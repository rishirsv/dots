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897" firstSheet="0" activeTab="0" autoFilterDateGrouping="1"/>
  </bookViews>
  <sheets>
    <sheet name="Project North &gt;&gt;&gt;" sheetId="1" state="visible" r:id="rId1"/>
    <sheet name="Disclaimer" sheetId="2" state="visible" r:id="rId2"/>
    <sheet name="QofE &gt;&gt;" sheetId="3" state="visible" r:id="rId3"/>
    <sheet name="QofE | Bridge" sheetId="4" state="visible" r:id="rId4"/>
    <sheet name="QofE | Summary" sheetId="5" state="visible" r:id="rId5"/>
    <sheet name="QofE | Detail" sheetId="6" state="visible" r:id="rId6"/>
    <sheet name="Net debt&gt;&gt;" sheetId="7" state="visible" r:id="rId7"/>
    <sheet name="Net debt" sheetId="8" state="visible" r:id="rId8"/>
    <sheet name="Financials&gt;&gt;" sheetId="9" state="visible" r:id="rId9"/>
    <sheet name="Income statement" sheetId="10" state="visible" r:id="rId10"/>
    <sheet name="Balance sheet" sheetId="11" state="visible" r:id="rId11"/>
    <sheet name="Cash flow" sheetId="12" state="visible" r:id="rId12"/>
    <sheet name="Personnel&gt;&gt;" sheetId="13" state="visible" r:id="rId13"/>
    <sheet name="IS | Payroll costs" sheetId="14" state="visible" r:id="rId14"/>
    <sheet name="Headcount census" sheetId="15" state="visible" r:id="rId15"/>
    <sheet name="Other analysis&gt;&gt;" sheetId="16" state="visible" r:id="rId16"/>
    <sheet name="Top customers" sheetId="17" state="visible" r:id="rId17"/>
    <sheet name="Revenue by customer group" sheetId="18" state="visible" r:id="rId18"/>
    <sheet name="Recons &gt;&gt;" sheetId="19" state="visible" r:id="rId19"/>
    <sheet name="Recons | IS" sheetId="20" state="visible" r:id="rId20"/>
    <sheet name="Recons | BS" sheetId="21" state="visible" r:id="rId21"/>
    <sheet name="Recon | Cash flow" sheetId="22" state="visible" r:id="rId22"/>
    <sheet name="Recon | Billings" sheetId="23" state="visible" r:id="rId23"/>
    <sheet name="Checks&gt;&gt;" sheetId="24" state="visible" r:id="rId24"/>
    <sheet name="Checks | Core" sheetId="25" state="visible" r:id="rId25"/>
    <sheet name="Audit&gt;&gt;" sheetId="26" state="visible" r:id="rId26"/>
    <sheet name="Audit | Issues_Index" sheetId="27" state="visible" r:id="rId27"/>
    <sheet name="Audit | Run_Log" sheetId="28" state="visible" r:id="rId28"/>
    <sheet name="_Sys|Trial_Balance" sheetId="29" state="hidden" r:id="rId29"/>
    <sheet name="_Sys|Line_Map" sheetId="30" state="hidden" r:id="rId30"/>
    <sheet name="_Sys|Tab_Manifest" sheetId="31" state="hidden" r:id="rId31"/>
    <sheet name="_Sys|Config" sheetId="32" state="hidden" r:id="rId32"/>
  </sheets>
  <definedNames>
    <definedName name="a" hidden="1" function="0" vbProcedure="0">{"'Sheet1'!$A$5:$G$42"}</definedName>
    <definedName name="aa" hidden="1" function="0" vbProcedure="0">{"'Sheet1'!$A$5:$G$42"}</definedName>
    <definedName name="aa.2" hidden="1" function="0" vbProcedure="0">{#N/A,#N/A,0,"Cashflow Analysis";#N/A,#N/A,0,"Sensitivity Analysis";#N/A,#N/A,0,"PV";#N/A,#N/A,0,"Pro Forma"}</definedName>
    <definedName name="aaaa" hidden="1" function="0" vbProcedure="0">{"'Edit'!$A$1:$V$2277"}</definedName>
    <definedName name="aaaaaa" hidden="1" function="0" vbProcedure="0">{"Report",#N/A,0,"March Details"}</definedName>
    <definedName name="aaaaaaa" hidden="1" function="0" vbProcedure="0">{"barlup",#N/A,0,"evabnk97";"gillespey",#N/A,0,"evabnk97";"koon",#N/A,0,"evabnk97";"schreur",#N/A,0,"evabnk97";"stone",#N/A,0,"evabnk97";"wichmann",#N/A,0,"evabnk97";"wright",#N/A,0,"evabnk97"}</definedName>
    <definedName name="aaaaaaaaaa" hidden="1" function="0" vbProcedure="0">{"FCB_ALL",#N/A,0,"FCB";"GREY_ALL",#N/A,0,"GREY"}</definedName>
    <definedName name="AAB_GSPPG" hidden="1" function="0" vbProcedure="0">"AAB_Goldman Sachs PPG Chart Utilities 1.0g"</definedName>
    <definedName name="aassas" hidden="1" function="0" vbProcedure="0">{"PR1","pr1",1,"Sch PR-1"}</definedName>
    <definedName name="ab" hidden="1" function="0" vbProcedure="0">{"fis.dbo.r1_datasum"}</definedName>
    <definedName name="abc" hidden="1" function="0" vbProcedure="0">{#N/A,#N/A,0,"Sheet1";#N/A,#N/A,0,"Sheet2";#N/A,#N/A,0,"Sheet3";#N/A,#N/A,0,"Sheet4";#N/A,#N/A,0,"Sheet5";#N/A,#N/A,0,"Sheet6"}</definedName>
    <definedName name="absfghbtg" hidden="1" function="0" vbProcedure="0">#REF!~#REF!~#REF!~#REF!~#REF!~#REF!~#REF!~#REF!~#REF!~#REF!~#REF!~#REF!~#REF!~#REF!~#REF!~#REF!~#REF!~#REF!~#REF!~#REF!~#REF!~#REF!~#REF!~#REF!~#REF!~#REF!~#REF!~#REF!~#REF!~#REF!~#REF!~#REF!~#REF!~#REF!~#REF!~#REF!~#REF!~#REF!~#REF!~#REF!~#REF!~#REF!~#REF!~#REF!~#REF!~#REF!~#REF!~#REF!~#REF!~#REF!~#REF!~#REF!~#REF!~#REF!</definedName>
    <definedName name="AccessDatabase" hidden="1" function="0" vbProcedure="0">"P:\LGF Access Files.mdb"</definedName>
    <definedName name="Accessforecast" hidden="1" function="0" vbProcedure="0">{"SUM",#N/A,0,"Details (2)"}</definedName>
    <definedName name="Access_Button" hidden="1" function="0" vbProcedure="0">"CONSOL_SIM_List"</definedName>
    <definedName name="ad" hidden="1" function="0" vbProcedure="0">{#N/A,#N/A,0,"Sheet1";#N/A,#N/A,0,"Sheet2";#N/A,#N/A,0,"Sheet3";#N/A,#N/A,0,"Sheet4";#N/A,#N/A,0,"Sheet5";#N/A,#N/A,0,"Sheet6"}</definedName>
    <definedName name="adasdasdasdasd" hidden="1" function="0" vbProcedure="0">{"PR1","pr1",1,"Sch PR-1"}</definedName>
    <definedName name="adcd" hidden="1" function="0" vbProcedure="0">{#N/A,#N/A,0,"Sheet8";#N/A,#N/A,0,"Sheet7"}</definedName>
    <definedName name="aDfa" hidden="1" function="0" vbProcedure="0">{#N/A,#N/A,0,"Aging Summary";#N/A,#N/A,0,"Ratio Analysis";#N/A,#N/A,0,"Test 120 Day Accts";#N/A,#N/A,0,"Tickmarks"}</definedName>
    <definedName name="ADFWAE" hidden="1" function="0" vbProcedure="0">{"summary1",#N/A,1,"Comps";"summary2",#N/A,1,"Comps";"summary3",#N/A,1,"Comps"}</definedName>
    <definedName name="adgad" hidden="1" function="0" vbProcedure="0">{1,1,-1.25,-15.5,604.5,369,0,0,1,1,0,1,#N/A,91,#N/A,20.5555555555556,24.8571428571429,1,0,0,3,1,1,0,80,"Swvu.summary3.","ACwvu.summary3.",#N/A,0,0,0.5,0.5,0.5,0.5,2,"&amp;F","&amp;A&amp;RPage &amp;P",1,0,0,0,1,50,#N/A,#N/A,"=R104C1:R153C31",0,#N/A,#N/A,0,0,1,1,600,600,0,0,1,1,1}</definedName>
    <definedName name="ads" hidden="1" function="0" vbProcedure="0">{"inputs raw data",#N/A,1,"INPUT"}</definedName>
    <definedName name="adsew" hidden="1" function="0" vbProcedure="0">{"FCB_ALL",#N/A,0,"FCB"}</definedName>
    <definedName name="ADSFA" hidden="1" function="0" vbProcedure="0">{"inputs raw data",#N/A,1,"INPUT"}</definedName>
    <definedName name="adsfaw" hidden="1" function="0" vbProcedure="0">{"FCB_ALL",#N/A,0,"FCB";"GREY_ALL",#N/A,0,"GREY"}</definedName>
    <definedName name="adsfca" hidden="1" function="0" vbProcedure="0">{"FCB_ALL",#N/A,0,"FCB";"GREY_ALL",#N/A,0,"GREY"}</definedName>
    <definedName name="adsfeklj" hidden="1" function="0" vbProcedure="0">{"FCB_ALL",#N/A,0,"FCB"}</definedName>
    <definedName name="adsfkl" hidden="1" function="0" vbProcedure="0">{"FCB_ALL",#N/A,0,"FCB";"GREY_ALL",#N/A,0,"GREY"}</definedName>
    <definedName name="adsga" hidden="1" function="0" vbProcedure="0">{"FCB_ALL",#N/A,0,"FCB"}</definedName>
    <definedName name="adsgawe" hidden="1" function="0" vbProcedure="0">{"FCB_ALL",#N/A,0,"FCB"}</definedName>
    <definedName name="adwdlkj" hidden="1" function="0" vbProcedure="0">{"FCB_ALL",#N/A,0,"FCB"}</definedName>
    <definedName name="ae" hidden="1" function="0" vbProcedure="0">{"'Edit'!$A$1:$V$2277"}</definedName>
    <definedName name="AEWEW" hidden="1" function="0" vbProcedure="0">{"inputs raw data",#N/A,1,"INPUT"}</definedName>
    <definedName name="aewfwe" hidden="1" function="0" vbProcedure="0">{#N/A,#N/A,0,"Brad_DCFM";#N/A,#N/A,0,"Nick_DCFM";#N/A,#N/A,0,"Mobile_DCFM"}</definedName>
    <definedName name="afge" hidden="1" function="0" vbProcedure="0">{"FCB_ALL",#N/A,0,"FCB";"GREY_ALL",#N/A,0,"GREY"}</definedName>
    <definedName name="agne" hidden="1" function="0" vbProcedure="0">{"FCB_ALL",#N/A,0,"FCB";"GREY_ALL",#N/A,0,"GREY"}</definedName>
    <definedName name="ahge" hidden="1" function="0" vbProcedure="0">{"FCB_ALL",#N/A,0,"FCB";"GREY_ALL",#N/A,0,"GREY"}</definedName>
    <definedName name="alfredo" hidden="1" function="0" vbProcedure="0">{#N/A,#N/A,0,"CNS_ADJ";"Balance Consolidado",#N/A,0,"BCEC_CNS";#N/A,#N/A,0,"USGAAP_ADJ"}</definedName>
    <definedName name="all" hidden="1" function="0" vbProcedure="0">{#N/A,#N/A,1,"Gross Revenue";#N/A,#N/A,1,"CURRENCY";#N/A,#N/A,1,"EXOTICS";#N/A,#N/A,1,"EM OPTIONS";#N/A,#N/A,1,"MEX  FWD NDF";#N/A,#N/A,1,"FE ASIA SPOT";#N/A,#N/A,1,"INT RATE SWP";#N/A,#N/A,1,"NON-LATIN";#N/A,#N/A,1,"NON-MEX NDF";#N/A,#N/A,1,"ENERGY";#N/A,#N/A,1,"METALS";#N/A,#N/A,1,"BONDS";#N/A,#N/A,1,"HY BONDS";#N/A,#N/A,1,"LA-ASIAN";#N/A,#N/A,1,"EMG REPO";#N/A,#N/A,1,"TREASURY REPO";#N/A,#N/A,1,"EMG BONDS";#N/A,#N/A,1,"CREDIT DERIV";#N/A,#N/A,1,"CORP DERIV";#N/A,#N/A,1,"LDN-BOND";#N/A,#N/A,1,"LDN-EEC";#N/A,#N/A,1,"LDN-DOLLAR";#N/A,#N/A,1,"LDN-CROSS";#N/A,#N/A,1,"LDN-EXOTICS";#N/A,#N/A,1,"LDN-EM REPO";#N/A,#N/A,1,"LDN-T REPO";#N/A,#N/A,1,"LDN-NDF";#N/A,#N/A,1,"LDN-EM BOND";#N/A,#N/A,1,"LDN-DERIV";#N/A,#N/A,1,"LDN-ELEC";#N/A,#N/A,1,"LDN-ENERGY";#N/A,#N/A,1,"LDN-GOLD SPOT";#N/A,#N/A,1,"LDN-GOLD FWD-OPT";#N/A,#N/A,1,"LDN-GAS";#N/A,#N/A,1,"LDN-ILLIQUID BD";#N/A,#N/A,1,"LDN-EQUITY";#N/A,#N/A,1,"LDN-ASSET SWP";#N/A,#N/A,1,"LDN-HY BOND";#N/A,#N/A,1,"LDN-INV GRD BD"}</definedName>
    <definedName name="ana" hidden="1" function="0" vbProcedure="0">{#N/A,#N/A,0,"Sheet1";#N/A,#N/A,0,"Sheet2";#N/A,#N/A,0,"Sheet3";#N/A,#N/A,0,"Sheet4";#N/A,#N/A,0,"Sheet5";#N/A,#N/A,0,"Sheet6"}</definedName>
    <definedName name="analyst" hidden="1" function="0" vbProcedure="0">{#N/A,#N/A,0,"Sheet1";#N/A,#N/A,0,"Sheet2";#N/A,#N/A,0,"Sheet3";#N/A,#N/A,0,"Sheet4";#N/A,#N/A,0,"Sheet5";#N/A,#N/A,0,"Sheet6"}</definedName>
    <definedName name="annualforc" hidden="1" function="0" vbProcedure="0">{#N/A,#N/A,0,"FAB VENDORS";"BUD SUM",#N/A,0,"BUD SUM WO TEX"}</definedName>
    <definedName name="anything" hidden="1" function="0" vbProcedure="0">{#N/A,#N/A,0,"Output";#N/A,#N/A,0,"Cover Sheet";#N/A,#N/A,0,"Current Mkt. Projections"}</definedName>
    <definedName name="aq" hidden="1" function="0" vbProcedure="0">{"'Edit'!$A$1:$V$2277"}</definedName>
    <definedName name="ardoutput" hidden="1" function="0" vbProcedure="0">{#N/A,#N/A,0,"Quarterly P&amp;L Overview";#N/A,#N/A,0,"Industry or Geography P&amp;L Split";#N/A,#N/A,0,"P&amp;L Quarter Trends";#N/A,#N/A,0,"Risk Analysis (Exposure Report)";#N/A,#N/A,0,"SVS Generated Report";#N/A,#N/A,0,"P&amp;L Outlook Expense Detail";#N/A,#N/A,0,"Common Size P&amp;L";#N/A,#N/A,0,"Ratios";#N/A,#N/A,0,"Compensation Pool Results";#N/A,#N/A,0,"Balance Sheet";#N/A,#N/A,0,"Common Size Balance Sheet";#N/A,#N/A,0,"Contract Review";#N/A,#N/A,0,"BALANCED SCORECARD"}</definedName>
    <definedName name="arew" hidden="1" function="0" vbProcedure="0">{"cap_structure",#N/A,0,"Graph-Mkt Cap";"price",#N/A,0,"Graph-Price";"ebit",#N/A,0,"Graph-EBITDA";"ebitda",#N/A,0,"Graph-EBITDA"}</definedName>
    <definedName name="arg" hidden="1" function="0" vbProcedure="0">{"inputs raw data",#N/A,1,"INPUT"}</definedName>
    <definedName name="as" hidden="1" function="0" vbProcedure="0">{"'Edit'!$A$1:$V$2277"}</definedName>
    <definedName name="AS2DocOpenMode" hidden="1" function="0" vbProcedure="0">"AS2DocumentEdit"</definedName>
    <definedName name="AS2HasNoAutoHeaderFooter" hidden="1" function="0" vbProcedure="0">" "</definedName>
    <definedName name="asa" hidden="1" function="0" vbProcedure="0">{"FCB_ALL",#N/A,0,"FCB"}</definedName>
    <definedName name="asasasasas" hidden="1" function="0" vbProcedure="0">{"PR1","pr1",1,"Sch PR-1"}</definedName>
    <definedName name="asdaw" hidden="1" function="0" vbProcedure="0">{"FCB_ALL",#N/A,0,"FCB"}</definedName>
    <definedName name="asdf" hidden="1" function="0" vbProcedure="0">{"'Edit'!$A$1:$V$2277"}</definedName>
    <definedName name="asdfag" hidden="1" function="0" vbProcedure="0">{"DTCONSOASSUMPTIONS1",#N/A,0,"CONSO";"DTCONSOASSUMPTIONS2",#N/A,0,"CONSO";"DTCONSOASSUMPTIONS3",#N/A,0,"CONSO";"DTCONSOINCOME",#N/A,0,"CONSO";"DTCOOSAEBITDA",#N/A,0,"COOSA";"DTCONSOCASHFLOW",#N/A,0,"CONSO";"DTCONSOBALANCESHEET",#N/A,0,"CONSO";"DTCONSOCAPEX1",#N/A,0,"CONSO";"DTCONSOCAPEX2",#N/A,0,"CONSO";"DTCONSOCAPEX3",#N/A,0,"CONSO";"DTDONNAASSUMPTIONS1",#N/A,0,"PAPER DONNACONA";"DTDONNAASSUMPTIONS2",#N/A,0,"PAPER DONNACONA";"DTDONNAASSUMPTIONS3",#N/A,0,"PAPER DONNACONA";"DTDONNAINCOME",#N/A,0,"PAPER DONNACONA";"DTDONNACASHFLOW",#N/A,0,"PAPER DONNACONA";"DTDONNABALANCESHEET",#N/A,0,"PAPER DONNACONA";"DTDONNACAPEX",#N/A,0,"PAPER DONNACONA";"DTDOLBEAUASSUMPTIONS1",#N/A,0,"PAPER DOLBEAU";"DTDOLBEAUASSUMPTIONS2",#N/A,0,"PAPER DOLBEAU";"DTDOLBEAUASSUMPTIONS3",#N/A,0,"PAPER DOLBEAU";"DTDOLBEAUINCOME",#N/A,0,"PAPER DOLBEAU";"DTDOLBEAUCASHFLOW",#N/A,0,"PAPER DOLBEAU";"DTDOLBEAUBALANCESHEET",#N/A,0,"PAPER DOLBEAU";"DTDOLBEAUCAPEX",#N/A,0,"PAPER DOLBEAU";"DTLUMBERASSUMPTIONS1",#N/A,0,"LUMBER";"DTLUMBERASSUMPTIONS2",#N/A,0,"LUMBER";"DTLUMBERASSUMPTIONS3",#N/A,0,"LUMBER";"DTLUMBERINCOME",#N/A,0,"LUMBER";"DTLUMBERCASHFLOW",#N/A,0,"LUMBER";"DTLUMBERBALANCESHEET",#N/A,0,"LUMBER";"DTLUMBERCAPEX",#N/A,0,"LUMBER";"DTCOOSAASSUMPTIONS1",#N/A,0,"COOSA";"DTCOOSAASSUMPTION2",#N/A,0,"COOSA";"DTCOOSAASSUMPTIONS3",#N/A,0,"COOSA";"DTCOOSAINCOME",#N/A,0,"COOSA";"DTCOOSACASHFLOW",#N/A,0,"COOSA";"DTCOOSABALANCESHEET",#N/A,0,"COOSA";"DTCOOSACAPEX",#N/A,0,"COOSA";"DTELIMINATIONINCOME",#N/A,0,"ELIMINATION";"DTELIMINATIONCASHFLOW",#N/A,0,"ELIMINATION";"DTELIMINATIONBALANCESHEET",#N/A,0,"ELIMINATION";"DTHEADOFFICEASSUMPTIONS",#N/A,0,"H.OFFICE";"DTHEADOFFICEINCOME",#N/A,0,"H.OFFICE";"DTHEADOFFICECASHFLOW",#N/A,0,"H.OFFICE";"DTHEADOFFICEBALANCESHEET",#N/A,0,"H.OFFICE";"DTHEADOFFICECAPEX",#N/A,0,"H.OFFICE";"DTSEGMENTED",#N/A,0,"SEGMENTED INFO";"DTTAX1",#N/A,0,"impôt";"DTTAX2",#N/A,0,"impôt"}</definedName>
    <definedName name="asdfasdf" hidden="1" function="0" vbProcedure="0">{"'Edit'!$A$1:$V$2277"}</definedName>
    <definedName name="asdfasdfas" hidden="1" function="0" vbProcedure="0">{#N/A,#N/A,0,"Sheet1";#N/A,#N/A,0,"Sheet2";#N/A,#N/A,0,"Sheet3";#N/A,#N/A,0,"Sheet4";#N/A,#N/A,0,"Sheet5";#N/A,#N/A,0,"Sheet6"}</definedName>
    <definedName name="asdfe" hidden="1" function="0" vbProcedure="0">{"FCB_ALL",#N/A,0,"FCB"}</definedName>
    <definedName name="asdfn" hidden="1" function="0" vbProcedure="0">{"FCB_ALL",#N/A,0,"FCB";"GREY_ALL",#N/A,0,"GREY"}</definedName>
    <definedName name="asdfSDF" hidden="1" function="0" vbProcedure="0">{#N/A,#N/A,0,"Sheet1";#N/A,#N/A,0,"Sheet2";#N/A,#N/A,0,"Sheet3";#N/A,#N/A,0,"Sheet4";#N/A,#N/A,0,"Sheet5";#N/A,#N/A,0,"Sheet6"}</definedName>
    <definedName name="asdgaew" hidden="1" function="0" vbProcedure="0">{"FCB_ALL",#N/A,0,"FCB"}</definedName>
    <definedName name="asdr5" hidden="1" function="0" vbProcedure="0">{"FCB_ALL",#N/A,0,"FCB";"GREY_ALL",#N/A,0,"GREY"}</definedName>
    <definedName name="asfd" hidden="1" function="0" vbProcedure="0">{"FCB_ALL",#N/A,0,"FCB"}</definedName>
    <definedName name="ass" hidden="1" function="0" vbProcedure="0">{"'Edit'!$A$1:$V$2277"}</definedName>
    <definedName name="assasdafsda" hidden="1" function="0" vbProcedure="0">{"PR1","pr1",1,"Sch PR-1"}</definedName>
    <definedName name="ASSS" hidden="1" function="0" vbProcedure="0">{"FCB_ALL",#N/A,0,"FCB"}</definedName>
    <definedName name="assssss" hidden="1" function="0" vbProcedure="0">{"FCB_ALL",#N/A,0,"FCB"}</definedName>
    <definedName name="assum" hidden="1" function="0" vbProcedure="0">{"'Sheet1'!$A$5:$G$42"}</definedName>
    <definedName name="att" hidden="1" function="0" vbProcedure="0">{#N/A,#N/A,0,"COVER PAGE";#N/A,#N/A,0,"Page 2";#N/A,#N/A,0,"Page 2";#N/A,#N/A,0,"Page 4";#N/A,#N/A,0,"Page5";#N/A,#N/A,0,"Page 6";#N/A,#N/A,0,"Page 7";#N/A,#N/A,0,"Page 8";#N/A,#N/A,0,"Page 10";#N/A,#N/A,0,"Long-Term OCF Mult.";#N/A,#N/A,0,"PCS Comp";#N/A,#N/A,0,"OCS-CAPEX";#N/A,#N/A,0,"Blank"}</definedName>
    <definedName name="awe" hidden="1" function="0" vbProcedure="0">{"FCB_ALL",#N/A,0,"FCB"}</definedName>
    <definedName name="awea" hidden="1" function="0" vbProcedure="0">{"FCB_ALL",#N/A,0,"FCB";"GREY_ALL",#N/A,0,"GREY"}</definedName>
    <definedName name="az" hidden="1" function="0" vbProcedure="0">{"'Edit'!$A$1:$V$2277"}</definedName>
    <definedName name="b" hidden="1" function="0" vbProcedure="0">{"barlup",#N/A,0,"evabnk97";"gillespey",#N/A,0,"evabnk97";"koon",#N/A,0,"evabnk97";"schreur",#N/A,0,"evabnk97";"stone",#N/A,0,"evabnk97";"wichmann",#N/A,0,"evabnk97";"wright",#N/A,0,"evabnk97"}</definedName>
    <definedName name="ba" hidden="1" function="0" vbProcedure="0">{"FCB_ALL",#N/A,0,"FCB";"GREY_ALL",#N/A,0,"GREY"}</definedName>
    <definedName name="Bank" hidden="1" function="0" vbProcedure="0">{1,1,-1.25,-15.5,456.75,279.75,0,0,1,1,0,1,21,1,127,6,3,4,1,1,3,1,1,1,100,"Swvu.profits.","ACwvu.profits.",1,0,0,0.511811023622047,0.511811023622047,0.511811023622047,0.511811023622047,1,"","",0,0,0,0,1,#N/A,1,1,#DIV/0!,0,"Rwvu.profits.",#N/A,0,0}</definedName>
    <definedName name="barrera" hidden="1" function="0" vbProcedure="0">{#N/A,#N/A,0,"RESUMEN ECON.";#N/A,#N/A,0,"Costos de R.H.";#N/A,#N/A,0,"COSTO HW";#N/A,#N/A,0,"CUADROS";#N/A,#N/A,0,"SCADA´s";#N/A,#N/A,0,"PRECIOS EQUIPOS"}</definedName>
    <definedName name="bbbbb" hidden="1" function="0" vbProcedure="0">{"Curr Month",#N/A,0,"Months";"All Months",#N/A,0,"Months";"YTD",#N/A,0,"Months";"01 Months",#N/A,0,"01";"03 Months",#N/A,0,"Months";"05 Months",#N/A,0,"Months";"06 Months",#N/A,0,"Months";"08 Months",#N/A,0,"Months";"09 Months",#N/A,0,"Months";"10 Months",#N/A,0,"Months";"11 Months",#N/A,0,"Months";"12 Months",#N/A,0,"Months";"13 Months",#N/A,0,"Months";"14 Months",#N/A,0,"Months";"15 Months",#N/A,0,"Months";"23 Months",#N/A,0,"Months";"24 Months",#N/A,0,"Months";"25 Months",#N/A,0,"Months";"43 Months",#N/A,0,"Months";"45 Months",#N/A,0,"Months";"50 Months",#N/A,0,"Months"}</definedName>
    <definedName name="Bear" hidden="1" function="0" vbProcedure="0">{#N/A,#N/A,0,"TS";#N/A,#N/A,0,"Combo";#N/A,#N/A,0,"FAIR";#N/A,#N/A,0,"RBC";#N/A,#N/A,0,"xxxx";#N/A,#N/A,0,"A_D";#N/A,#N/A,0,"WACC";#N/A,#N/A,0,"DCF";#N/A,#N/A,0,"LBO";#N/A,#N/A,0,"AcqMults";#N/A,#N/A,0,"CompMults"}</definedName>
    <definedName name="Bebefits" hidden="1" function="0" vbProcedure="0">{"summary",#N/A,0,"3 yr average";"comps",#N/A,0,"3 yr average"}</definedName>
    <definedName name="BILL" hidden="1" function="0" vbProcedure="0">{#N/A,#N/A,0,"Quarterly P&amp;L Overview";#N/A,#N/A,0,"Industry or Geography P&amp;L Split";#N/A,#N/A,0,"P&amp;L Quarter Trends";#N/A,#N/A,0,"Risk Analysis (Exposure Report)";#N/A,#N/A,0,"SVS Generated Report";#N/A,#N/A,0,"P&amp;L Outlook Expense Detail";#N/A,#N/A,0,"Common Size P&amp;L";#N/A,#N/A,0,"Ratios";#N/A,#N/A,0,"Compensation Pool Results";#N/A,#N/A,0,"Balance Sheet";#N/A,#N/A,0,"Common Size Balance Sheet";#N/A,#N/A,0,"Contract Review";#N/A,#N/A,0,"BALANCED SCORECARD"}</definedName>
    <definedName name="BLANK" hidden="1" function="0" vbProcedure="0">{"SUMMARY",#N/A,1,"RIGGIN INCR";"SUMMARY",#N/A,1,"DEAN";"SUMMARY",#N/A,1,"GAWRYS";"SUMMARY",#N/A,1,"RUSSO GBVS";"SUMMARY",#N/A,1,"RUSSO WW";"SUMMARY",#N/A,1,"RUSSO TOTAL ";"SUMMARY",#N/A,1,"BOUCHARD";"SUMMARY",#N/A,1,"ZECCA";"SUMMARY",#N/A,1,"RIGGIN TOTAL";"SUMMARY",#N/A,1,"REGLI INCR";"SUMMARY",#N/A,1,"SUSKI";"SUMMARY",#N/A,1,"JOHNSON";"SUMMARY",#N/A,1,"CONN";"SUMMARY",#N/A,1,"REGLI TOTAL";"SUMMARY",#N/A,1,"BROWN";"SUMMARY",#N/A,1,"DENIGRIS INC";"SUMMARY",#N/A,1,"DeNIGRIS TOTAL";"IS",#N/A,1,"INC ST"}</definedName>
    <definedName name="BLUE" hidden="1" function="0" vbProcedure="0">{#N/A,#N/A,0,"Barranca"}</definedName>
    <definedName name="BLUE1" hidden="1" function="0" vbProcedure="0">{#N/A,#N/A,0,"Total";#N/A,#N/A,0,"Sew";#N/A,#N/A,0,"Finish";#N/A,#N/A,0,"CUT";#N/A,#N/A,0,"Mill 5";#N/A,#N/A,0,"Mill 6";#N/A,#N/A,0,"Mill 8";#N/A,#N/A,0,"Mill 9";#N/A,#N/A,0,"Mill 10";#N/A,#N/A,0,"Mill 12";#N/A,#N/A,0,"Mill 15";#N/A,#N/A,0,"Mill 17"}</definedName>
    <definedName name="BM" hidden="1" function="0" vbProcedure="0">{"EBITDA",#N/A,1,"P&amp;L Net of Disc Ops";"output net of disc ops",#N/A,1,"Revenue";"input",#N/A,1,"Revenue";"output",#N/A,1,"DC";"Input",#N/A,1,"DC";"MTN and MCN",#N/A,1,"Margin";"output detail line items",#N/A,1,"SGA";"personnel by year",#N/A,1,"Payroll";#N/A,#N/A,1,"CapEx"}</definedName>
    <definedName name="Brightline" hidden="1" function="0" vbProcedure="0">{"Curr Month",#N/A,0,"Curr Mo";"Total West",#N/A,0,"Curr Mo";"YTD",#N/A,0,"Curr Mo";"12 Months",#N/A,0,"Curr Mo";"13 Months",#N/A,0,"Curr Mo";"14 Months",#N/A,0,"Curr Mo";"15 Months",#N/A,0,"Curr Mo";"43 Months",#N/A,0,"Curr Mo";"45 Months",#N/A,0,"Curr Mo";"63 Months",#N/A,0,"Curr Mo"}</definedName>
    <definedName name="Briteline" hidden="1" function="0" vbProcedure="0">{"Curr Month",#N/A,0,"Curr Mo";"Total West",#N/A,0,"Curr Mo";"YTD",#N/A,0,"Curr Mo";"12 Months",#N/A,0,"Curr Mo";"13 Months",#N/A,0,"Curr Mo";"14 Months",#N/A,0,"Curr Mo";"15 Months",#N/A,0,"Curr Mo";"43 Months",#N/A,0,"Curr Mo";"45 Months",#N/A,0,"Curr Mo";"63 Months",#N/A,0,"Curr Mo"}</definedName>
    <definedName name="briteline___" hidden="1" function="0" vbProcedure="0">{"Curr Month",#N/A,0,"Curr Mo";"Total West",#N/A,0,"Curr Mo";"YTD",#N/A,0,"Curr Mo";"12 Months",#N/A,0,"Curr Mo";"13 Months",#N/A,0,"Curr Mo";"14 Months",#N/A,0,"Curr Mo";"15 Months",#N/A,0,"Curr Mo";"43 Months",#N/A,0,"Curr Mo";"45 Months",#N/A,0,"Curr Mo";"63 Months",#N/A,0,"Curr Mo"}</definedName>
    <definedName name="BROWN" hidden="1" function="0" vbProcedure="0">{"SUMMARY",#N/A,1,"RIGGIN INCR";"SUMMARY",#N/A,1,"DEAN";"SUMMARY",#N/A,1,"GAWRYS";"SUMMARY",#N/A,1,"RUSSO GBVS";"SUMMARY",#N/A,1,"RUSSO WW";"SUMMARY",#N/A,1,"RUSSO TOTAL ";"SUMMARY",#N/A,1,"BOUCHARD";"SUMMARY",#N/A,1,"ZECCA";"SUMMARY",#N/A,1,"RIGGIN TOTAL";"SUMMARY",#N/A,1,"REGLI INCR";"SUMMARY",#N/A,1,"SUSKI";"SUMMARY",#N/A,1,"JOHNSON";"SUMMARY",#N/A,1,"CONN";"SUMMARY",#N/A,1,"REGLI TOTAL";"SUMMARY",#N/A,1,"BROWN";"SUMMARY",#N/A,1,"DENIGRIS INC";"SUMMARY",#N/A,1,"DeNIGRIS TOTAL";"IS",#N/A,1,"INC ST"}</definedName>
    <definedName name="budget1" hidden="1" function="0" vbProcedure="0">{"Overview",#N/A,1,"Overview";"New Gen",#N/A,1,"New Gen";"cap-ex",#N/A,1,"Consol cap-ex";"cap-ex",#N/A,1,"APC cap-ex";"cap-ex",#N/A,1,"GPC cap-ex";"cap-ex",#N/A,1,"GUL cap-ex";"cap-ex",#N/A,1,"MPC cap-ex";"cap-ex",#N/A,1,"SAV cap-ex";"cap-ex",#N/A,1,"SEGCO cap-ex";"cap-ex",#N/A,1,"SWE cap-ex"}</definedName>
    <definedName name="BudgetSumm" hidden="1" function="0" vbProcedure="0">{#N/A,#N/A,0,"Cashflow Analysis";#N/A,#N/A,0,"Sensitivity Analysis";#N/A,#N/A,0,"PV";#N/A,#N/A,0,"Pro Forma"}</definedName>
    <definedName name="BudgetSumm.2" hidden="1" function="0" vbProcedure="0">{#N/A,#N/A,0,"Cashflow Analysis";#N/A,#N/A,0,"Sensitivity Analysis";#N/A,#N/A,0,"PV";#N/A,#N/A,0,"Pro Forma"}</definedName>
    <definedName name="Button_429" hidden="0" function="0" vbProcedure="0">"LeaseCalc_Lease_Data_List"</definedName>
    <definedName name="cade" hidden="1" function="0" vbProcedure="0">{"FCB_ALL",#N/A,0,"FCB"}</definedName>
    <definedName name="cads" hidden="1" function="0" vbProcedure="0">{"FCB_ALL",#N/A,0,"FCB"}</definedName>
    <definedName name="cadsf" hidden="1" function="0" vbProcedure="0">{"FCB_ALL",#N/A,0,"FCB"}</definedName>
    <definedName name="caega" hidden="1" function="0" vbProcedure="0">{"FCB_ALL",#N/A,0,"FCB"}</definedName>
    <definedName name="caer" hidden="1" function="0" vbProcedure="0">{"FCB_ALL",#N/A,0,"FCB"}</definedName>
    <definedName name="cagare" hidden="1" function="0" vbProcedure="0">{"FCB_ALL",#N/A,0,"FCB"}</definedName>
    <definedName name="Cap" hidden="1" function="0" vbProcedure="0">{1,1,-1.25,-15.5,456.75,279.75,0,0,1,1,0,1,18,1,199,6,3,4,1,1,3,1,1,1,100,"Swvu.cash.","ACwvu.cash.",1,0,0,0.511811023622047,0.511811023622047,0.511811023622047,0.511811023622047,1,"","",0,0,0,0,1,#N/A,1,1,#DIV/0!,0,"Rwvu.cash.",#N/A,0,0}</definedName>
    <definedName name="cap.pos" hidden="1" function="0" vbProcedure="0">{#N/A,#N/A,1,"FD II Portfolio Summary";#N/A,#N/A,1,"Fd II Cap. Position ";#N/A,#N/A,1,"BV Valuation";#N/A,#N/A,1,"FV Valuation";#N/A,#N/A,1,"Valuation Change";#N/A,#N/A,1,"Weasler";#N/A,#N/A,1,"Weasler val";#N/A,#N/A,1,"J Chain";#N/A,#N/A,1,"J Chain Val";#N/A,#N/A,1,"Monona";#N/A,#N/A,1,"Monona Val";#N/A,#N/A,1,"DSI";#N/A,#N/A,1,"DSI Val";#N/A,#N/A,1,"Temple";#N/A,#N/A,1,"Temple Val";#N/A,#N/A,1,"JRI";#N/A,#N/A,1,"NDS ";#N/A,#N/A,1,"Stronghaven";#N/A,#N/A,1,"Connor";#N/A,#N/A,1,"HWC"}</definedName>
    <definedName name="Capacity" hidden="1" function="0" vbProcedure="0">{#N/A,#N/A,0,"IPO";#N/A,#N/A,0,"DCF";#N/A,#N/A,0,"LBO";#N/A,#N/A,0,"MULT_VAL";#N/A,#N/A,0,"Status Quo";#N/A,#N/A,0,"Recap"}</definedName>
    <definedName name="cavde" hidden="1" function="0" vbProcedure="0">{"FCB_ALL",#N/A,0,"FCB"}</definedName>
    <definedName name="CBWorkbookPriority" hidden="1" function="0" vbProcedure="0">-1679205845</definedName>
    <definedName name="CBWorkbookPriority1" hidden="1" function="0" vbProcedure="0">-1222926411</definedName>
    <definedName name="cb_sChartFD191DC_opts" hidden="1" function="0" vbProcedure="0">"1, 3, 1, False, 2, True, False, , 0, False, True, 1, 1"</definedName>
    <definedName name="cb_sChartFD1A245_opts" hidden="1" function="0" vbProcedure="0">"1, 3, 1, False, 2, True, False, , 0, False, True, 1, 1"</definedName>
    <definedName name="cb_sChartFD3F0E9_opts" hidden="1" function="0" vbProcedure="0">"1, 3, 1, False, 2, True, False, , 0, False, False, 1, 1"</definedName>
    <definedName name="cb_sChartFD3F27E_opts" hidden="1" function="0" vbProcedure="0">"1, 3, 1, False, 2, True, False, , 0, False, True, 1, 1"</definedName>
    <definedName name="ccc" hidden="1" function="0" vbProcedure="0">{"arpm1995",#N/A,0,"Summary 95-96";"bus_long_distance",#N/A,0,"Summary 95-96";"mins_per_day",#N/A,0,"Summary 95-96";"minutes1995",#N/A,0,"Summary 95-96";"rev_per_day",#N/A,0,"Summary 95-96";"view1995",#N/A,0,"Summary 95-96"}</definedName>
    <definedName name="CCOmps" hidden="1" function="0" vbProcedure="0">{"page1",#N/A,1,"PRICING";"page2",#N/A,1,"PRICING"}</definedName>
    <definedName name="CellAbove" hidden="0" function="0" vbProcedure="0">INDIRECT(ADDRESS(ROW()-1,COLUMN()))</definedName>
    <definedName name="cert" hidden="1" function="0" vbProcedure="0">{"fis.dbo.r1_datasum"}</definedName>
    <definedName name="cert1" hidden="1" function="0" vbProcedure="0">{"fis.dbo.r1_datasum"}</definedName>
    <definedName name="CFFleet" hidden="1" function="0" vbProcedure="0">{#N/A,#N/A,0,"Cover";#N/A,#N/A,0,"TOC";#N/A,#N/A,0,"IS";#N/A,#N/A,0,"Mo. IS";#N/A,#N/A,0,"Cont By Div";#N/A,#N/A,0,"BS";#N/A,#N/A,0,"CF";#N/A,#N/A,0,"Inventory"}</definedName>
    <definedName name="cgaf" hidden="1" function="0" vbProcedure="0">{"FCB_ALL",#N/A,0,"FCB"}</definedName>
    <definedName name="cgafde" hidden="1" function="0" vbProcedure="0">{"FCB_ALL",#N/A,0,"FCB"}</definedName>
    <definedName name="ch" hidden="1" function="0" vbProcedure="0">{"CEA Group Budget months only sterling",#N/A,1,"Profit and Loss";"CEA Group Budget months only sterling",#N/A,1,"Firm capex";"CEA Group Budget months only sterling",#N/A,1,"Gross profit analysis";"CEA Group Budget months only sterling",#N/A,1,"Cashflow";"CEA Group Budget months only sterling",#N/A,1,"Balance Sheet"}</definedName>
    <definedName name="ChangeRange" hidden="1" function="0" vbProcedure="0">{#N/A}</definedName>
    <definedName name="check2" hidden="1" function="0" vbProcedure="0">{#N/A,#N/A,0,"Cashflow Analysis";#N/A,#N/A,0,"Sensitivity Analysis";#N/A,#N/A,0,"PV";#N/A,#N/A,0,"Pro Forma"}</definedName>
    <definedName name="cheryl" hidden="1" function="0" vbProcedure="0">{#N/A,#N/A,0,"Barranca"}</definedName>
    <definedName name="chgeas" hidden="1" function="0" vbProcedure="0">{"FCB_ALL",#N/A,0,"FCB"}</definedName>
    <definedName name="CIQWBGuid" hidden="1" function="0" vbProcedure="0">"e5d3da9a-a122-4f10-8591-a05f5c4fcf3a"</definedName>
    <definedName name="CIT" hidden="0" function="0" vbProcedure="0">{#N/A}</definedName>
    <definedName name="Compco1" hidden="1" function="0" vbProcedure="0">{"Page1",#N/A,0,"CompCo";"Page2",#N/A,0,"CompCo"}</definedName>
    <definedName name="Compco2" hidden="1" function="0" vbProcedure="0">{"Page1",#N/A,0,"CompCo";"Page2",#N/A,0,"CompCo"}</definedName>
    <definedName name="CompPie" hidden="1" function="0" vbProcedure="0">{"one",#N/A,1,"Alaska";"two",#N/A,1,"Alaska";"three",#N/A,1,"Alaska";"four",#N/A,1,"Alaska"}</definedName>
    <definedName name="conflict" hidden="1" function="0" vbProcedure="0">{"arpm1995",#N/A,0,"Summary 95-96";"bus_long_distance",#N/A,0,"Summary 95-96";"mins_per_day",#N/A,0,"Summary 95-96";"minutes1995",#N/A,0,"Summary 95-96";"rev_per_day",#N/A,0,"Summary 95-96";"view1995",#N/A,0,"Summary 95-96"}</definedName>
    <definedName name="consumer" hidden="1" function="0" vbProcedure="0">{"'Sheet1'!$A$5:$G$42"}</definedName>
    <definedName name="ContentsHelp" hidden="1" function="0" vbProcedure="0">{#N/A}</definedName>
    <definedName name="copin" hidden="1" function="0" vbProcedure="0">{#N/A,#N/A,1,"RESUMEN ECON.";#N/A,#N/A,1,"Costos de R.H.";#N/A,#N/A,1,"COSTO HW";#N/A,#N/A,1,"CUADROS";#N/A,#N/A,1,"SCADA´s";#N/A,#N/A,1,"PRECIOS EQUIPOS"}</definedName>
    <definedName name="copon" hidden="1" function="0" vbProcedure="0">{#N/A,#N/A,0,"RESUMEN ECON.";#N/A,#N/A,0,"Costos de R.H.";#N/A,#N/A,0,"COSTO HW";#N/A,#N/A,0,"CUADROS";#N/A,#N/A,0,"SCADA´s";#N/A,#N/A,0,"PRECIOS EQUIPOS"}</definedName>
    <definedName name="Costes" hidden="1" function="0" vbProcedure="0">{#N/A,#N/A,1,"RESUMEN ECON.";#N/A,#N/A,1,"Costos de R.H.";#N/A,#N/A,1,"COSTO HW";#N/A,#N/A,1,"CUADROS";#N/A,#N/A,1,"SCADA´s";#N/A,#N/A,1,"PRECIOS EQUIPOS"}</definedName>
    <definedName name="cpvs" hidden="1" function="0" vbProcedure="0">{#N/A,#N/A,1,"FD II Portfolio Summary";#N/A,#N/A,1,"Fd II Cap. Position ";#N/A,#N/A,1,"BV Valuation";#N/A,#N/A,1,"FV Valuation";#N/A,#N/A,1,"Valuation Change";#N/A,#N/A,1,"Weasler";#N/A,#N/A,1,"Weasler val";#N/A,#N/A,1,"J Chain";#N/A,#N/A,1,"J Chain Val";#N/A,#N/A,1,"Monona";#N/A,#N/A,1,"Monona Val";#N/A,#N/A,1,"DSI";#N/A,#N/A,1,"DSI Val";#N/A,#N/A,1,"Temple";#N/A,#N/A,1,"Temple Val";#N/A,#N/A,1,"JRI";#N/A,#N/A,1,"NDS ";#N/A,#N/A,1,"Stronghaven";#N/A,#N/A,1,"Connor";#N/A,#N/A,1,"HWC"}</definedName>
    <definedName name="CreateTable" hidden="1" function="0" vbProcedure="0">{#N/A}</definedName>
    <definedName name="credit1" hidden="1" function="0" vbProcedure="0">{#N/A,#N/A,1,"Overview";#N/A,#N/A,1,"New Gen"}</definedName>
    <definedName name="CSG" hidden="1" function="0" vbProcedure="0">{"cap_structure",#N/A,0,"Graph-Mkt Cap";"price",#N/A,0,"Graph-Price";"ebit",#N/A,0,"Graph-EBITDA";"ebitda",#N/A,0,"Graph-EBITDA"}</definedName>
    <definedName name="cursource" hidden="1" function="0" vbProcedure="0">"SQLServer"</definedName>
    <definedName name="cvade" hidden="1" function="0" vbProcedure="0">{"FCB_ALL",#N/A,0,"FCB"}</definedName>
    <definedName name="cxgxgfgfs" hidden="1" function="0" vbProcedure="0">{#N/A,#N/A,0,"Cashflow Analysis";#N/A,#N/A,0,"Sensitivity Analysis";#N/A,#N/A,0,"PV";#N/A,#N/A,0,"Pro Forma"}</definedName>
    <definedName name="cxgxgfgfs.2" hidden="1" function="0" vbProcedure="0">{#N/A,#N/A,0,"Cashflow Analysis";#N/A,#N/A,0,"Sensitivity Analysis";#N/A,#N/A,0,"PV";#N/A,#N/A,0,"Pro Forma"}</definedName>
    <definedName name="d" hidden="1" function="0" vbProcedure="0">{#N/A,#N/A,0,"Barranca"}</definedName>
    <definedName name="daeklj" hidden="1" function="0" vbProcedure="0">{"FCB_ALL",#N/A,0,"FCB"}</definedName>
    <definedName name="daewkl" hidden="1" function="0" vbProcedure="0">{"FCB_ALL",#N/A,0,"FCB";"GREY_ALL",#N/A,0,"GREY"}</definedName>
    <definedName name="DAFAD" hidden="1" function="0" vbProcedure="0">{"cap_structure",#N/A,0,"Graph-Mkt Cap";"price",#N/A,0,"Graph-Price";"ebit",#N/A,0,"Graph-EBITDA";"ebitda",#N/A,0,"Graph-EBITDA"}</definedName>
    <definedName name="Daily" hidden="1" function="0" vbProcedure="0">0</definedName>
    <definedName name="das" hidden="1" function="0" vbProcedure="0">{"FCB_ALL",#N/A,0,"FCB";"GREY_ALL",#N/A,0,"GREY"}</definedName>
    <definedName name="dasfdsa" hidden="1" function="0" vbProcedure="0">{"SUM",#N/A,0,"Details (2)"}</definedName>
    <definedName name="dasgfdag" hidden="1" function="0" vbProcedure="0">{"FCB_ALL",#N/A,0,"FCB"}</definedName>
    <definedName name="dasklej" hidden="1" function="0" vbProcedure="0">{"FCB_ALL",#N/A,0,"FCB"}</definedName>
    <definedName name="DateRangePrice" hidden="1" function="0" vbProcedure="0">OFFSET(#REF!,5,0,COUNTA(#REF!)-COUNTA(#REF!),1)</definedName>
    <definedName name="dbase_char_set" hidden="1" function="0" vbProcedure="0">1</definedName>
    <definedName name="dbase_compatibility" hidden="1" function="0" vbProcedure="0">1</definedName>
    <definedName name="dbase_dflt" hidden="1" function="0" vbProcedure="0">TRUE()</definedName>
    <definedName name="dd" hidden="1" function="0" vbProcedure="0">{"Summary",#N/A,0,"Details (2)"}</definedName>
    <definedName name="ddd" hidden="1" function="0" vbProcedure="0">{#N/A,#N/A,0,"FAB VENDORS";"BUD SUM",#N/A,0,"BUD SUM WO TEX"}</definedName>
    <definedName name="dddddd" hidden="1" function="0" vbProcedure="0">{"FCB_ALL",#N/A,0,"FCB";"GREY_ALL",#N/A,0,"GREY"}</definedName>
    <definedName name="DeleteRange" hidden="1" function="0" vbProcedure="0">{#N/A}</definedName>
    <definedName name="DeleteTable" hidden="1" function="0" vbProcedure="0">{#N/A}</definedName>
    <definedName name="dfd" hidden="1" function="0" vbProcedure="0">{"FCB_ALL",#N/A,0,"FCB";"GREY_ALL",#N/A,0,"GREY"}</definedName>
    <definedName name="dfdas" hidden="1" function="0" vbProcedure="0">{"FCB_ALL",#N/A,0,"FCB";"GREY_ALL",#N/A,0,"GREY"}</definedName>
    <definedName name="dfdas1" hidden="1" function="0" vbProcedure="0">{"FCB_ALL",#N/A,0,"FCB";"GREY_ALL",#N/A,0,"GREY"}</definedName>
    <definedName name="dfdfd" hidden="1" function="0" vbProcedure="0">{"FCB_ALL",#N/A,0,"FCB";"GREY_ALL",#N/A,0,"GREY"}</definedName>
    <definedName name="dfdfdd" hidden="1" function="0" vbProcedure="0">{"FCB_ALL",#N/A,0,"FCB";"GREY_ALL",#N/A,0,"GREY"}</definedName>
    <definedName name="dfdfdfd" hidden="1" function="0" vbProcedure="0">{"FCB_ALL",#N/A,0,"FCB"}</definedName>
    <definedName name="dfdfdfd1" hidden="1" function="0" vbProcedure="0">{"FCB_ALL",#N/A,0,"FCB"}</definedName>
    <definedName name="dfdsf" hidden="1" function="0" vbProcedure="0">{"FCB_ALL",#N/A,0,"FCB";"GREY_ALL",#N/A,0,"GREY"}</definedName>
    <definedName name="dfgd" hidden="1" function="0" vbProcedure="0">{#N/A,#N/A,0,"Cashflow Analysis";#N/A,#N/A,0,"Sensitivity Analysis";#N/A,#N/A,0,"PV";#N/A,#N/A,0,"Pro Forma"}</definedName>
    <definedName name="dfgdgd" hidden="1" function="0" vbProcedure="0">{"FCB_ALL",#N/A,0,"FCB"}</definedName>
    <definedName name="dfgdxfv" hidden="1" function="0" vbProcedure="0">{"FCB_ALL",#N/A,0,"FCB"}</definedName>
    <definedName name="dfgsdf" hidden="1" function="0" vbProcedure="0">{"FCB_ALL",#N/A,0,"FCB"}</definedName>
    <definedName name="dfhzfd" hidden="1" function="0" vbProcedure="0">{"'Sheet1'!$A$5:$G$42"}</definedName>
    <definedName name="dfs" hidden="1" function="0" vbProcedure="0">{#N/A,#N/A,0,"Cover";#N/A,#N/A,0,"TOC";#N/A,#N/A,0,"IS";#N/A,#N/A,0,"Mo. IS";#N/A,#N/A,0,"Cont By Div";#N/A,#N/A,0,"BS";#N/A,#N/A,0,"CF";#N/A,#N/A,0,"Inventory"}</definedName>
    <definedName name="dfsafd" hidden="1" function="0" vbProcedure="0">{"Total",#N/A,0,"Laurel";"PDP",#N/A,0,"Laurel";"PNP",#N/A,0,"Laurel";"PUD",#N/A,0,"Laurel";"Total",#N/A,0,"Summerland";"Prob",#N/A,0,"Laurel";"PDP",#N/A,0,"Summerland";"PNP",#N/A,0,"Summerland";"PUD",#N/A,0,"Summerland";"Prob",#N/A,0,"Summerland";"Total",#N/A,0,"Soso";"PDP",#N/A,0,"Soso";"PNP",#N/A,0,"Soso";"PUD",#N/A,0,"Soso";"Prob",#N/A,0,"Soso";"Total",#N/A,0,"Martinville";"PDP",#N/A,0,"Martinville";"PNP",#N/A,0,"Martinville";"PUD",#N/A,0,"Martinville";"Prob",#N/A,0,"Martinville";"Total",#N/A,0,"Brookhaven";"PDP",#N/A,0,"Brookhaven";"PNP",#N/A,0,"Brookhaven";"PUD",#N/A,0,"Brookhaven";"Prob",#N/A,0,"Brookhaven";"Total",#N/A,0,"Monroe";"PDP",#N/A,0,"Monroe";"PNP",#N/A,0,"Monroe";"PUD",#N/A,0,"Monroe";"Prob",#N/A,0,"Monroe"}</definedName>
    <definedName name="dfsafd1" hidden="1" function="0" vbProcedure="0">{"Total",#N/A,0,"Laurel";"PDP",#N/A,0,"Laurel";"PNP",#N/A,0,"Laurel";"PUD",#N/A,0,"Laurel";"Total",#N/A,0,"Summerland";"Prob",#N/A,0,"Laurel";"PDP",#N/A,0,"Summerland";"PNP",#N/A,0,"Summerland";"PUD",#N/A,0,"Summerland";"Prob",#N/A,0,"Summerland";"Total",#N/A,0,"Soso";"PDP",#N/A,0,"Soso";"PNP",#N/A,0,"Soso";"PUD",#N/A,0,"Soso";"Prob",#N/A,0,"Soso";"Total",#N/A,0,"Martinville";"PDP",#N/A,0,"Martinville";"PNP",#N/A,0,"Martinville";"PUD",#N/A,0,"Martinville";"Prob",#N/A,0,"Martinville";"Total",#N/A,0,"Brookhaven";"PDP",#N/A,0,"Brookhaven";"PNP",#N/A,0,"Brookhaven";"PUD",#N/A,0,"Brookhaven";"Prob",#N/A,0,"Brookhaven";"Total",#N/A,0,"Monroe";"PDP",#N/A,0,"Monroe";"PNP",#N/A,0,"Monroe";"PUD",#N/A,0,"Monroe";"Prob",#N/A,0,"Monroe"}</definedName>
    <definedName name="dfsafs" hidden="1" function="0" vbProcedure="0">{"Total",#N/A,0,"Laurel";"PDP",#N/A,0,"Laurel";"PNP",#N/A,0,"Laurel";"PUD",#N/A,0,"Laurel";"Total",#N/A,0,"Summerland";"Prob",#N/A,0,"Laurel";"PDP",#N/A,0,"Summerland";"PNP",#N/A,0,"Summerland";"PUD",#N/A,0,"Summerland";"Prob",#N/A,0,"Summerland";"Total",#N/A,0,"Soso";"PDP",#N/A,0,"Soso";"PNP",#N/A,0,"Soso";"PUD",#N/A,0,"Soso";"Prob",#N/A,0,"Soso";"Total",#N/A,0,"Martinville";"PDP",#N/A,0,"Martinville";"PNP",#N/A,0,"Martinville";"PUD",#N/A,0,"Martinville";"Prob",#N/A,0,"Martinville";"Total",#N/A,0,"Brookhaven";"PDP",#N/A,0,"Brookhaven";"PNP",#N/A,0,"Brookhaven";"PUD",#N/A,0,"Brookhaven";"Prob",#N/A,0,"Brookhaven";"Total",#N/A,0,"Monroe";"PDP",#N/A,0,"Monroe";"PNP",#N/A,0,"Monroe";"PUD",#N/A,0,"Monroe";"Prob",#N/A,0,"Monroe"}</definedName>
    <definedName name="dfsfa" hidden="1" function="0" vbProcedure="0">{"Total",#N/A,0,"Laurel";"PDP",#N/A,0,"Laurel";"PNP",#N/A,0,"Laurel";"PUD",#N/A,0,"Laurel";"Total",#N/A,0,"Summerland";"Prob",#N/A,0,"Laurel";"PDP",#N/A,0,"Summerland";"PNP",#N/A,0,"Summerland";"PUD",#N/A,0,"Summerland";"Prob",#N/A,0,"Summerland";"Total",#N/A,0,"Soso";"PDP",#N/A,0,"Soso";"PNP",#N/A,0,"Soso";"PUD",#N/A,0,"Soso";"Prob",#N/A,0,"Soso";"Total",#N/A,0,"Martinville";"PDP",#N/A,0,"Martinville";"PNP",#N/A,0,"Martinville";"PUD",#N/A,0,"Martinville";"Prob",#N/A,0,"Martinville";"Total",#N/A,0,"Brookhaven";"PDP",#N/A,0,"Brookhaven";"PNP",#N/A,0,"Brookhaven";"PUD",#N/A,0,"Brookhaven";"Prob",#N/A,0,"Brookhaven";"Total",#N/A,0,"Monroe";"PDP",#N/A,0,"Monroe";"PNP",#N/A,0,"Monroe";"PUD",#N/A,0,"Monroe";"Prob",#N/A,0,"Monroe"}</definedName>
    <definedName name="dfsgsdfg" hidden="1" function="0" vbProcedure="0">{#N/A,#N/A,0,"Cover";#N/A,#N/A,0,"TOC";#N/A,#N/A,0,"IS";#N/A,#N/A,0,"Mo. IS";#N/A,#N/A,0,"Cont By Div";#N/A,#N/A,0,"BS";#N/A,#N/A,0,"CF";#N/A,#N/A,0,"Inventory"}</definedName>
    <definedName name="dgh" hidden="1" function="0" vbProcedure="0">{"summary",#N/A,0,"3 yr average";"comps",#N/A,0,"3 yr average"}</definedName>
    <definedName name="dgtdf" hidden="1" function="0" vbProcedure="0">{"FCB_ALL",#N/A,0,"FCB"}</definedName>
    <definedName name="DHG" hidden="1" function="0" vbProcedure="0">{"cap_structure",#N/A,0,"Graph-Mkt Cap";"price",#N/A,0,"Graph-Price";"ebit",#N/A,0,"Graph-EBITDA";"ebitda",#N/A,0,"Graph-EBITDA"}</definedName>
    <definedName name="dis" hidden="1" function="0" vbProcedure="0">{#N/A,#N/A,0,"Cashflow Analysis";#N/A,#N/A,0,"Sensitivity Analysis";#N/A,#N/A,0,"PV";#N/A,#N/A,0,"Pro Forma"}</definedName>
    <definedName name="dis.2" hidden="1" function="0" vbProcedure="0">{#N/A,#N/A,0,"Cashflow Analysis";#N/A,#N/A,0,"Sensitivity Analysis";#N/A,#N/A,0,"PV";#N/A,#N/A,0,"Pro Forma"}</definedName>
    <definedName name="dreyer" hidden="1" function="0" vbProcedure="0">{"FCB_ALL",#N/A,0,"FCB"}</definedName>
    <definedName name="drgd" hidden="1" function="0" vbProcedure="0">{"FCB_ALL",#N/A,0,"FCB"}</definedName>
    <definedName name="drtd" hidden="1" function="0" vbProcedure="0">{"FCB_ALL",#N/A,0,"FCB"}</definedName>
    <definedName name="drtg" hidden="1" function="0" vbProcedure="0">{"FCB_ALL",#N/A,0,"FCB"}</definedName>
    <definedName name="drtgdg" hidden="1" function="0" vbProcedure="0">{"FCB_ALL",#N/A,0,"FCB"}</definedName>
    <definedName name="dsafd" hidden="1" function="0" vbProcedure="0">{"Total",#N/A,0,"Laurel";"PDP",#N/A,0,"Laurel";"PNP",#N/A,0,"Laurel";"PUD",#N/A,0,"Laurel";"Total",#N/A,0,"Summerland";"Prob",#N/A,0,"Laurel";"PDP",#N/A,0,"Summerland";"PNP",#N/A,0,"Summerland";"PUD",#N/A,0,"Summerland";"Prob",#N/A,0,"Summerland";"Total",#N/A,0,"Soso";"PDP",#N/A,0,"Soso";"PNP",#N/A,0,"Soso";"PUD",#N/A,0,"Soso";"Prob",#N/A,0,"Soso";"Total",#N/A,0,"Martinville";"PDP",#N/A,0,"Martinville";"PNP",#N/A,0,"Martinville";"PUD",#N/A,0,"Martinville";"Prob",#N/A,0,"Martinville";"Total",#N/A,0,"Brookhaven";"PDP",#N/A,0,"Brookhaven";"PNP",#N/A,0,"Brookhaven";"PUD",#N/A,0,"Brookhaven";"Prob",#N/A,0,"Brookhaven";"Total",#N/A,0,"Monroe";"PDP",#N/A,0,"Monroe";"PNP",#N/A,0,"Monroe";"PUD",#N/A,0,"Monroe";"Prob",#N/A,0,"Monroe"}</definedName>
    <definedName name="dsaflkj" hidden="1" function="0" vbProcedure="0">{"FCB_ALL",#N/A,0,"FCB";"GREY_ALL",#N/A,0,"GREY"}</definedName>
    <definedName name="dsaflkje" hidden="1" function="0" vbProcedure="0">{"FCB_ALL",#N/A,0,"FCB"}</definedName>
    <definedName name="dsafwlekj" hidden="1" function="0" vbProcedure="0">{"FCB_ALL",#N/A,0,"FCB";"GREY_ALL",#N/A,0,"GREY"}</definedName>
    <definedName name="dsea" hidden="1" function="0" vbProcedure="0">{"FCB_ALL",#N/A,0,"FCB"}</definedName>
    <definedName name="dsfgr" hidden="1" function="0" vbProcedure="0">{"FCB_ALL",#N/A,0,"FCB"}</definedName>
    <definedName name="dsfsd" hidden="1" function="0" vbProcedure="0">{"Total",#N/A,0,"Six Fields";"PDP",#N/A,0,"Six Fields";"PNP",#N/A,0,"Six Fields";"PUD",#N/A,0,"Six Fields";"Prob",#N/A,0,"Six Fields"}</definedName>
    <definedName name="Dummy" hidden="1" function="0" vbProcedure="0">{"Summary",#N/A,0,"Summary"}</definedName>
    <definedName name="Dummy1" hidden="1" function="0" vbProcedure="0">{"Summary",#N/A,0,"Summary"}</definedName>
    <definedName name="Dummy1_1" hidden="1" function="0" vbProcedure="0">{"Summary",#N/A,0,"Summary"}</definedName>
    <definedName name="Dummy1_1_1" hidden="1" function="0" vbProcedure="0">{"Summary",#N/A,0,"Summary"}</definedName>
    <definedName name="Dummy1_1_2" hidden="1" function="0" vbProcedure="0">{"Summary",#N/A,0,"Summary"}</definedName>
    <definedName name="Dummy1_1_3" hidden="1" function="0" vbProcedure="0">{"Summary",#N/A,0,"Summary"}</definedName>
    <definedName name="Dummy1_1_4" hidden="1" function="0" vbProcedure="0">{"Summary",#N/A,0,"Summary"}</definedName>
    <definedName name="Dummy1_2" hidden="1" function="0" vbProcedure="0">{"Summary",#N/A,0,"Summary"}</definedName>
    <definedName name="Dummy1_3" hidden="1" function="0" vbProcedure="0">{"Summary",#N/A,0,"Summary"}</definedName>
    <definedName name="Dummy1_4" hidden="1" function="0" vbProcedure="0">{"Summary",#N/A,0,"Summary"}</definedName>
    <definedName name="Dummy1_5" hidden="1" function="0" vbProcedure="0">{"Summary",#N/A,0,"Summary"}</definedName>
    <definedName name="Dummy_1" hidden="1" function="0" vbProcedure="0">{"Summary",#N/A,0,"Summary"}</definedName>
    <definedName name="Dummy_1_1" hidden="1" function="0" vbProcedure="0">{"Summary",#N/A,0,"Summary"}</definedName>
    <definedName name="Dummy_1_2" hidden="1" function="0" vbProcedure="0">{"Summary",#N/A,0,"Summary"}</definedName>
    <definedName name="Dummy_1_3" hidden="1" function="0" vbProcedure="0">{"Summary",#N/A,0,"Summary"}</definedName>
    <definedName name="Dummy_1_4" hidden="1" function="0" vbProcedure="0">{"Summary",#N/A,0,"Summary"}</definedName>
    <definedName name="Dummy_2" hidden="1" function="0" vbProcedure="0">{"Summary",#N/A,0,"Summary"}</definedName>
    <definedName name="Dummy_3" hidden="1" function="0" vbProcedure="0">{"Summary",#N/A,0,"Summary"}</definedName>
    <definedName name="Dummy_4" hidden="1" function="0" vbProcedure="0">{"Summary",#N/A,0,"Summary"}</definedName>
    <definedName name="Dummy_5" hidden="1" function="0" vbProcedure="0">{"Summary",#N/A,0,"Summary"}</definedName>
    <definedName name="e" hidden="1" function="0" vbProcedure="0">{"Summary",#N/A,0,"Details (2)"}</definedName>
    <definedName name="ed" hidden="1" function="0" vbProcedure="0">{#N/A,#N/A,0,"FAB VENDORS";"BUD SUM",#N/A,0,"BUD SUM WO TEX"}</definedName>
    <definedName name="eerr" hidden="1" function="0" vbProcedure="0">{"Alle Perioden",#N/A,0,"Erf";"Alle Perioden",#N/A,0,"Ang";"Alle Perioden",#N/A,0,"BV";"Alle Perioden",#N/A,0,"BE";"Alle Perioden",#N/A,0,"Re";"Alle Perioden",#N/A,0,"Vol"}</definedName>
    <definedName name="ef" hidden="1" function="0" vbProcedure="0">{1,1,-1.25,-15.5,604.5,369,0,0,1,1,0,1,#N/A,1,#N/A,20.5555555555556,28.9285714285714,1,0,0,3,1,1,0,80,"Swvu.summary1.","ACwvu.summary1.",#N/A,0,0,0.5,0.5,0.5,0.5,2,"&amp;F","&amp;L&amp;D&amp;C&amp;A&amp;RPage &amp;P",1,0,0,0,1,50,#N/A,#N/A,"=R1C1:R55C31",0,#N/A,#N/A,0,0,1,1,600,600,0,0,1,1,1}</definedName>
    <definedName name="efin" hidden="1" function="0" vbProcedure="0">{#N/A,#N/A,0,"Output";#N/A,#N/A,0,"Cover Sheet";#N/A,#N/A,0,"Current Mkt. Projections"}</definedName>
    <definedName name="efn" hidden="1" function="0" vbProcedure="0">{#N/A,#N/A,1,"DCF Summary";#N/A,#N/A,1,"Casema";#N/A,#N/A,1,"UK";#N/A,#N/A,1,"RCF";#N/A,#N/A,1,"Intercable CZ";#N/A,#N/A,1,"Interkabel P";#N/A,#N/A,1,"LBO-Total";#N/A,#N/A,1,"LBO-Casema"}</definedName>
    <definedName name="ENG_BI_EXEC_CMD_ARGS" hidden="1" function="0" vbProcedure="0">"03304607809811810611010910610803605007005005305105305405505805705404905704903305005712708707909608606508708005909212011511307211111811909811013009404709606711511411210611912107707309412612709112012010907611811011210611112209804609507211111812109711412"</definedName>
    <definedName name="ENG_BI_EXEC_CMD_ARGS_10" hidden="1" function="0" vbProcedure="0">"11203803704806303601006407211111811909811013007406903708610111311711007003407007807803503604706603701006905408410112411610611611006601506009310611511106701106108809711911207307703908709711711810206603405305304905705904905205304905103803205106703201906"</definedName>
    <definedName name="ENG_BI_EXEC_CMD_ARGS_11" hidden="1" function="0" vbProcedure="0">"7048084106116108067010064052069119127105118116111110105110120067125132086083068078083070073080069087065086092061053130"</definedName>
    <definedName name="ENG_BI_EXEC_CMD_ARGS_2" hidden="1" function="0" vbProcedure="0">"60740690970610430710730860461260320540751240890690820700780931040670830730700620700730811301230770730850890890700620581251271001121231141181011211020690700830730870860780890620770740840840740820900740821341320951161191061191011161050730660760720850650"</definedName>
    <definedName name="ENG_BI_EXEC_CMD_ARGS_3" hidden="1" function="0" vbProcedure="0">"85080072066115101108101062057048099071074078099097116117125132102113114114119098121101072071085092078082065103115102114100101113125132102113117107109106104076069083071076088068073066102111129123099117117107115106099076080078085065082094078074086069065"</definedName>
    <definedName name="ENG_BI_EXEC_CMD_ARGS_4" hidden="1" function="0" vbProcedure="0">"07109810011103210911503208611811710512011103308710110810209804108211010305112612409911212110310811410606808509108307008306709306606707407712512710011311810210810910407008208509006907408308408906508608906807409306906505305003307809711412209712312803305"</definedName>
    <definedName name="ENG_BI_EXEC_CMD_ARGS_5" hidden="1" function="0" vbProcedure="0">"00570500541301230991171171071171051030750740790930690690870690870750690650930700620560490360731011081101091021061150330540480530581251321021131171071091061040700770830890780740820730830690620540480530581251321021131171071091061040700770830890780740820"</definedName>
    <definedName name="ENG_BI_EXEC_CMD_ARGS_6" hidden="1" function="0" vbProcedure="0">"87089066083088061054053049062132124095121118099113105103072085091091077083083085073073078072073065093076062051058033066122103121120116041059048053058126124099112121103108114106068085091083078084078088077083093074082088073066085073061052054032074124104"</definedName>
    <definedName name="ENG_BI_EXEC_CMD_ARGS_7" hidden="1" function="0" vbProcedure="0">"11712411703305504805305812513210411211811011909812010108107008307608607807707407906908906909208906106907811012211011511211410910511511607101706108311011611611011111406701006909411510511906301106408511910611408207503308610610911810606103810311411011910"</definedName>
    <definedName name="ENG_BI_EXEC_CMD_ARGS_8" hidden="1" function="0" vbProcedure="0">"01011130350480660100640741101081211221121250810981201151231161141090410861011131181020650340881191171100410480620190610811021151191241111231090320901021091181050610380390470710170610841231181161211011040721111191191011031211061121140320901021081261080"</definedName>
    <definedName name="ENG_BI_EXEC_CMD_ARGS_9" hidden="1" function="0" vbProcedure="0">"62034093115118106034036052062019069047089120102115066010064088081085090102114127102115083097113106032095106108121106062035081065087088069091093070082043033048067010064073066087106109105037087098112117105066034124104104101062049049100066077082095106121"</definedName>
    <definedName name="ENG_BI_EXE_NAME" hidden="1" function="0" vbProcedure="0">"BICORE.EXE"</definedName>
    <definedName name="ENG_BI_GEN_LIC" hidden="1" function="0" vbProcedure="0">"0"</definedName>
    <definedName name="ENG_BI_GEN_LIC_WS" hidden="1" function="0" vbProcedure="0">"True"</definedName>
    <definedName name="ENG_BI_LBI" hidden="1" function="0" vbProcedure="0">"31T70U3BZY"</definedName>
    <definedName name="ENG_BI_PROFILE_PATH" hidden="1" function="0" vbProcedure="0">"C:\ProgramData\Alchemex\AlchemexSmartReporting\MetaData\MAS\Report Designer Add-In S500 Demo 1-0-2\BICORE_profiler_20130111_145418.csv"</definedName>
    <definedName name="ENG_BI_REPOS_FILE" hidden="1" function="0" vbProcedure="0">"\\sur2008files\mascustom$\MI\alchemex.svd"</definedName>
    <definedName name="ENG_BI_REPOS_PATH" hidden="1" function="0" vbProcedure="0">"\\sur2008files\mascustom$\MI"</definedName>
    <definedName name="ENG_BI_TLA" hidden="1" function="0" vbProcedure="0">"45;221;52;132;127;181;248;161;55;54;252;123;147;268;176;156;41;65;78;271;223;115;189;103;154;150;113;101;67;258;249;103"</definedName>
    <definedName name="EPC" hidden="1" function="0" vbProcedure="0">{#N/A,#N/A,0,"RESUMEN ECON.";#N/A,#N/A,0,"Costos de R.H.";#N/A,#N/A,0,"COSTO HW";#N/A,#N/A,0,"CUADROS";#N/A,#N/A,0,"SCADA´s";#N/A,#N/A,0,"PRECIOS EQUIPOS"}</definedName>
    <definedName name="EPMWorkbookOptions_1" hidden="1" function="0" vbProcedure="0">"dgEAAB+LCAAAAAAABACFkMEKgkAQhu9B77DsPVcLOoTaoS5BYhRU10lHXdJZ2d3aHj8pLKpD12++f4b5w/mtqdkVtZGKIh54PmdImcollRG/2GIUTPk8Hg7Cg9Lnk1LntLWdaliXIzO7GRnxytp2JoRzznMTT+lSjH0/EMdkvcsqbGAkyVigDPkrlf9P8e4qY+EWC42mSiltkeICaoOh+IQPb1Ej6CVYSGkHV+zNb/xw+182WlnMLOa9/Tv4"</definedName>
    <definedName name="EPMWorkbookOptions_2" hidden="1" function="0" vbProcedure="0">"9F3OxBOtzB60hFONCeryveGHd9WJr+7iO45h/1l2AQAA"</definedName>
    <definedName name="er" hidden="1" function="0" vbProcedure="0">{1,1,-1.25,-15.5,604.5,369,0,0,1,1,0,1,#N/A,91,#N/A,20.5555555555556,24.8571428571429,1,0,0,3,1,1,0,80,"Swvu.summary3.","ACwvu.summary3.",#N/A,0,0,0.5,0.5,0.5,0.5,2,"&amp;F","&amp;A&amp;RPage &amp;P",1,0,0,0,1,50,#N/A,#N/A,"=R104C1:R153C31",0,#N/A,#N/A,0,0,1,1,600,600,0,0,1,1,1}</definedName>
    <definedName name="erere" hidden="1" function="0" vbProcedure="0">{"arpm1995",#N/A,0,"Summary 95-96";"bus_long_distance",#N/A,0,"Summary 95-96";"mins_per_day",#N/A,0,"Summary 95-96";"minutes1995",#N/A,0,"Summary 95-96";"rev_per_day",#N/A,0,"Summary 95-96";"view1995",#N/A,0,"Summary 95-96"}</definedName>
    <definedName name="ererer" hidden="1" function="0" vbProcedure="0">{"arpm1995",#N/A,0,"Summary 95-96";"bus_long_distance",#N/A,0,"Summary 95-96";"mins_per_day",#N/A,0,"Summary 95-96";"minutes1995",#N/A,0,"Summary 95-96";"rev_per_day",#N/A,0,"Summary 95-96";"view1995",#N/A,0,"Summary 95-96"}</definedName>
    <definedName name="erewre" hidden="1" function="0" vbProcedure="0">{"arpm1995",#N/A,0,"Summary 95-96";"bus_long_distance",#N/A,0,"Summary 95-96";"mins_per_day",#N/A,0,"Summary 95-96";"minutes1995",#N/A,0,"Summary 95-96";"rev_per_day",#N/A,0,"Summary 95-96";"view1995",#N/A,0,"Summary 95-96"}</definedName>
    <definedName name="ers" hidden="1" function="0" vbProcedure="0">{"FCB_ALL",#N/A,0,"FCB";"GREY_ALL",#N/A,0,"GREY"}</definedName>
    <definedName name="ersdf" hidden="1" function="0" vbProcedure="0">{"FCB_ALL",#N/A,0,"FCB";"GREY_ALL",#N/A,0,"GREY"}</definedName>
    <definedName name="erser" hidden="1" function="0" vbProcedure="0">{"FCB_ALL",#N/A,0,"FCB"}</definedName>
    <definedName name="es" hidden="1" function="0" vbProcedure="0">{"FCB_ALL",#N/A,0,"FCB"}</definedName>
    <definedName name="esr" hidden="1" function="0" vbProcedure="0">{"FCB_ALL",#N/A,0,"FCB"}</definedName>
    <definedName name="esrs" hidden="1" function="0" vbProcedure="0">{"FCB_ALL",#N/A,0,"FCB"}</definedName>
    <definedName name="EV__LASTREFTIME__" hidden="1" function="0" vbProcedure="0">39429.3810648148</definedName>
    <definedName name="EV__MAXEXPCOLS__" hidden="1" function="0" vbProcedure="0">200</definedName>
    <definedName name="EV__MAXEXPROWS__" hidden="1" function="0" vbProcedure="0">20000</definedName>
    <definedName name="EV__WBEVMODE__" hidden="1" function="0" vbProcedure="0">0</definedName>
    <definedName name="EV__WBREFOPTIONS__" hidden="1" function="0" vbProcedure="0">134217733</definedName>
    <definedName name="EV__WBVERSION__" hidden="1" function="0" vbProcedure="0">0</definedName>
    <definedName name="ExactAddinConnection.050" hidden="1" function="0" vbProcedure="0">"TMN_EXACT;002;6124;1"</definedName>
    <definedName name="ExactAddinReports" hidden="1" function="0" vbProcedure="0">1</definedName>
    <definedName name="Expenses" hidden="1" function="0" vbProcedure="0">{"SUM",#N/A,0,"Details (2)"}</definedName>
    <definedName name="fadsf" hidden="1" function="0" vbProcedure="0">{1,1,-1.25,-15.5,604.5,369,0,0,1,1,0,1,#N/A,1,#N/A,20.5555555555556,28.9285714285714,1,0,0,3,1,1,0,80,"Swvu.summary1.","ACwvu.summary1.",#N/A,0,0,0.5,0.5,0.5,0.5,2,"&amp;F","&amp;L&amp;D&amp;C&amp;A&amp;RPage &amp;P",1,0,0,0,1,50,#N/A,#N/A,"=R1C1:R55C31",0,#N/A,#N/A,0,0,1,1,600,600,0,0,1,1,1}</definedName>
    <definedName name="fafs" hidden="1" function="0" vbProcedure="0">{#N/A,#N/A,0,"Brad BANM_S";#N/A,#N/A,0,"Brad SAM_BANM";#N/A,#N/A,0,"Brad_LD";#N/A,#N/A,0,"BANM-&gt;S";#N/A,#N/A,0,"BANM_S";#N/A,#N/A,0,"S-&gt;BANM";#N/A,#N/A,0,"SAM_BANM";#N/A,#N/A,0,"BANM";#N/A,#N/A,0,"Sam"}</definedName>
    <definedName name="fasdfs" hidden="1" function="0" vbProcedure="0">{#N/A,#N/A,0,"Aging Summary";#N/A,#N/A,0,"Ratio Analysis";#N/A,#N/A,0,"Test 120 Day Accts";#N/A,#N/A,0,"Tickmarks"}</definedName>
    <definedName name="fd" hidden="1" function="0" vbProcedure="0">{"FCB_ALL",#N/A,0,"FCB"}</definedName>
    <definedName name="fdgad" hidden="1" function="0" vbProcedure="0">{"inputs raw data",#N/A,1,"INPUT"}</definedName>
    <definedName name="fdgfdg" hidden="1" function="0" vbProcedure="0">{"FCB_ALL",#N/A,0,"FCB";"GREY_ALL",#N/A,0,"GREY"}</definedName>
    <definedName name="fds" hidden="1" function="0" vbProcedure="0">{"FCB_ALL",#N/A,0,"FCB"}</definedName>
    <definedName name="fdsafdas" hidden="1" function="0" vbProcedure="0">{"Summary",#N/A,0,"Details (2)"}</definedName>
    <definedName name="fdsag" hidden="1" function="0" vbProcedure="0">{"FCB_ALL",#N/A,0,"FCB"}</definedName>
    <definedName name="fdsakfjds" hidden="1" function="0" vbProcedure="0">{"FCB_ALL",#N/A,0,"FCB";"GREY_ALL",#N/A,0,"GREY"}</definedName>
    <definedName name="fdsg" hidden="1" function="0" vbProcedure="0">{"FCB_ALL",#N/A,0,"FCB"}</definedName>
    <definedName name="feb" hidden="1" function="0" vbProcedure="0">{#N/A,#N/A,0,"FAB VENDORS";"BUD SUM",#N/A,0,"BUD SUM WO TEX"}</definedName>
    <definedName name="ff" hidden="1" function="0" vbProcedure="0">{"Summary",#N/A,0,"Details (2)"}</definedName>
    <definedName name="fff" hidden="1" function="0" vbProcedure="0">{"SUM",#N/A,0,"Details (2)"}</definedName>
    <definedName name="ffffff" hidden="1" function="0" vbProcedure="0">{#N/A,#N/A,0,"Cashflow Analysis";#N/A,#N/A,0,"Sensitivity Analysis";#N/A,#N/A,0,"PV";#N/A,#N/A,0,"Pro Forma"}</definedName>
    <definedName name="ffffff.2" hidden="1" function="0" vbProcedure="0">{#N/A,#N/A,0,"Cashflow Analysis";#N/A,#N/A,0,"Sensitivity Analysis";#N/A,#N/A,0,"PV";#N/A,#N/A,0,"Pro Forma"}</definedName>
    <definedName name="ffffffffff" hidden="1" function="0" vbProcedure="0">{1,1,-1.25,-15.5,604.5,369,0,0,1,1,0,1,#N/A,41,#N/A,20.5555555555556,27.0714285714286,1,0,0,3,1,1,0,80,"Swvu.summary2.","ACwvu.summary2.",#N/A,0,0,0.5,0.5,0.5,0.5,2,"&amp;F","&amp;A&amp;RPage &amp;P",1,0,0,0,1,50,#N/A,#N/A,"=R56C1:R103C31",0,#N/A,#N/A,0,0,1,1,600,600,0,0,1,1,1}</definedName>
    <definedName name="fgfdg" hidden="1" function="0" vbProcedure="0">{"FCB_ALL",#N/A,0,"FCB";"GREY_ALL",#N/A,0,"GREY"}</definedName>
    <definedName name="fhg" hidden="1" function="0" vbProcedure="0">{1,1,-1.25,-15.5,604.5,369,0,0,1,1,0,1,#N/A,91,#N/A,20.5555555555556,24.8571428571429,1,0,0,3,1,1,0,80,"Swvu.summary3.","ACwvu.summary3.",#N/A,0,0,0.5,0.5,0.5,0.5,2,"&amp;F","&amp;A&amp;RPage &amp;P",1,0,0,0,1,50,#N/A,#N/A,"=R104C1:R153C31",0,#N/A,#N/A,0,0,1,1,600,600,0,0,1,1,1}</definedName>
    <definedName name="fhj" hidden="1" function="0" vbProcedure="0">{1,1,-1.25,-15.5,604.5,369,0,0,1,1,0,1,83,1,38,4,5,4,1,1,3,1,1,1,75,"Swvu.inputs._.raw._.data.","ACwvu.inputs._.raw._.data.",#N/A,0,0,0.5,0.5,0.5,0.5,2,"&amp;F","&amp;A&amp;RPage &amp;P",0,0,0,0,1,60,#N/A,#N/A,"=R1C61:R53C89","=C1:C5",#N/A,#N/A,0,0,0,1,600,600,0,0,1,1,1}</definedName>
    <definedName name="ficha" hidden="1" function="0" vbProcedure="0">{#N/A,#N/A,0,"RESUMEN ECON.";#N/A,#N/A,0,"Costos de R.H.";#N/A,#N/A,0,"COSTO HW";#N/A,#N/A,0,"CUADROS";#N/A,#N/A,0,"SCADA´s";#N/A,#N/A,0,"PRECIOS EQUIPOS"}</definedName>
    <definedName name="fin" hidden="1" function="0" vbProcedure="0">{"rev_history_revenueDetail",#N/A,0,"historical rev us";"rev_history_minutesDetail",#N/A,0,"historical rev us"}</definedName>
    <definedName name="Final_Summary" hidden="1" function="0" vbProcedure="0">{1,1,-1.25,-15.5,604.5,369,0,0,1,1,0,1,#N/A,1,#N/A,20.5555555555556,28.9285714285714,1,0,0,3,1,1,0,80,"Swvu.summary1.","ACwvu.summary1.",#N/A,0,0,0.5,0.5,0.5,0.5,2,"&amp;F","&amp;L&amp;D&amp;C&amp;A&amp;RPage &amp;P",1,0,0,0,1,50,#N/A,#N/A,"=R1C1:R55C31",0,#N/A,#N/A,0,0,1,1,600,600,0,0,1,1,1}</definedName>
    <definedName name="financials" hidden="1" function="0" vbProcedure="0">{"PAGE1",#N/A,0,"BID (3)";"PAGE2",#N/A,0,"BID (3)"}</definedName>
    <definedName name="fine" hidden="1" function="0" vbProcedure="0">{#N/A,#N/A,0,"RESUMEN ECON.";#N/A,#N/A,0,"Costos de R.H.";#N/A,#N/A,0,"COSTO HW";#N/A,#N/A,0,"CUADROS";#N/A,#N/A,0,"SCADA´s";#N/A,#N/A,0,"PRECIOS EQUIPOS"}</definedName>
    <definedName name="fm" hidden="1" function="0" vbProcedure="0">{"summary1",#N/A,1,"Comps";"summary2",#N/A,1,"Comps";"summary3",#N/A,1,"Comps"}</definedName>
    <definedName name="fsdafdsa" hidden="1" function="0" vbProcedure="0">{"SUM",#N/A,0,"Details (2)"}</definedName>
    <definedName name="fsdsfafd" hidden="1" function="0" vbProcedure="0">{"CSheet",#N/A,0,"C";"SmCap",#N/A,0,"VAL1";"GulfCoast",#N/A,0,"VAL1";"nav",#N/A,0,"NAV";"Summary",#N/A,0,"NAV"}</definedName>
    <definedName name="fsfsd" hidden="1" function="0" vbProcedure="0">{#N/A,#N/A,1,"RESUMEN ECON.";#N/A,#N/A,1,"Costos de R.H.";#N/A,#N/A,1,"COSTO HW";#N/A,#N/A,1,"CUADROS";#N/A,#N/A,1,"SCADA´s";#N/A,#N/A,1,"PRECIOS EQUIPOS"}</definedName>
    <definedName name="fsgdr" hidden="1" function="0" vbProcedure="0">{"FCB_ALL",#N/A,0,"FCB"}</definedName>
    <definedName name="fsr" hidden="1" function="0" vbProcedure="0">{"FCB_ALL",#N/A,0,"FCB"}</definedName>
    <definedName name="fsv" hidden="1" function="0" vbProcedure="0">{"FCB_ALL",#N/A,0,"FCB";"GREY_ALL",#N/A,0,"GREY"}</definedName>
    <definedName name="ftyf" hidden="1" function="0" vbProcedure="0">{"FCB_ALL",#N/A,0,"FCB";"GREY_ALL",#N/A,0,"GREY"}</definedName>
    <definedName name="Fuckoff" hidden="1" function="0" vbProcedure="0">{"Input Sheet",#N/A,0,"Input";"New Co",#N/A,0,"NEWCO";"Acq Cash Flow",#N/A,0,"Acq. CF";"Target Cash Flow",#N/A,0,"Tgt. CF";"Operational Merger",#N/A,0,"OP Merger";"Acq Balance Sheet",#N/A,0,"Acq. BS";"Target Balance Sheet",#N/A,0,"Tgt. BS";"BOE Comp",#N/A,0,"BOEComp"}</definedName>
    <definedName name="fundIV" hidden="1" function="0" vbProcedure="0">{#N/A,#N/A,1,"BV Valuation II";#N/A,#N/A,1,"FV Valuation";#N/A,#N/A,1,"Fd II Cap. Position ";#N/A,#N/A,1,"JRI";#N/A,#N/A,1,"Weasler";#N/A,#N/A,1,"NDS ";#N/A,#N/A,1,"J Chain";#N/A,#N/A,1,"Monona";#N/A,#N/A,1,"Stronghaven";#N/A,#N/A,1,"Connor";#N/A,#N/A,1,"DSI";#N/A,#N/A,1,"HWC";#N/A,#N/A,1,"Temple";#N/A,#N/A,1,"F3 Bullets";#N/A,#N/A,1,"FD II Portfolio Summary";#N/A,#N/A,1,"BV Valuation";#N/A,#N/A,1,"MV Valuation";#N/A,#N/A,1,"Fd III Cap. Position ";#N/A,#N/A,1,"Beacon";#N/A,#N/A,1,"CII";#N/A,#N/A,1,"MCA";#N/A,#N/A,1,"Elm";#N/A,#N/A,1,"Tharco";#N/A,#N/A,1,"Dee H";#N/A,#N/A,1,"Globe";#N/A,#N/A,1,"Hunt Valve";#N/A,#N/A,1,"KBA";#N/A,#N/A,1,"Glassmaster";#N/A,#N/A,1,"May";#N/A,#N/A,1,"CBSA";#N/A,#N/A,1,"ACE"}</definedName>
    <definedName name="fundiv1" hidden="1" function="0" vbProcedure="0">{#N/A,#N/A,1,"BV Valuation II";#N/A,#N/A,1,"FV Valuation";#N/A,#N/A,1,"Fd II Cap. Position ";#N/A,#N/A,1,"JRI";#N/A,#N/A,1,"Weasler";#N/A,#N/A,1,"NDS ";#N/A,#N/A,1,"J Chain";#N/A,#N/A,1,"Monona";#N/A,#N/A,1,"Stronghaven";#N/A,#N/A,1,"Connor";#N/A,#N/A,1,"DSI";#N/A,#N/A,1,"HWC";#N/A,#N/A,1,"Temple";#N/A,#N/A,1,"F3 Bullets";#N/A,#N/A,1,"FD II Portfolio Summary";#N/A,#N/A,1,"BV Valuation";#N/A,#N/A,1,"MV Valuation";#N/A,#N/A,1,"Fd III Cap. Position ";#N/A,#N/A,1,"Beacon";#N/A,#N/A,1,"CII";#N/A,#N/A,1,"MCA";#N/A,#N/A,1,"Elm";#N/A,#N/A,1,"Tharco";#N/A,#N/A,1,"Dee H";#N/A,#N/A,1,"Globe";#N/A,#N/A,1,"Hunt Valve";#N/A,#N/A,1,"KBA";#N/A,#N/A,1,"Glassmaster";#N/A,#N/A,1,"May";#N/A,#N/A,1,"CBSA";#N/A,#N/A,1,"ACE"}</definedName>
    <definedName name="g" hidden="1" function="0" vbProcedure="0">{"SUM",#N/A,0,"Details (2)"}</definedName>
    <definedName name="gadew" hidden="1" function="0" vbProcedure="0">{"FCB_ALL",#N/A,0,"FCB"}</definedName>
    <definedName name="gadfsh" hidden="1" function="0" vbProcedure="0">{"FCB_ALL",#N/A,0,"FCB"}</definedName>
    <definedName name="gads" hidden="1" function="0" vbProcedure="0">{"FCB_ALL",#N/A,0,"FCB"}</definedName>
    <definedName name="gadse" hidden="1" function="0" vbProcedure="0">{"FCB_ALL",#N/A,0,"FCB"}</definedName>
    <definedName name="Gatewayforecast" hidden="1" function="0" vbProcedure="0">{"SUM",#N/A,0,"Details (2)"}</definedName>
    <definedName name="gawea" hidden="1" function="0" vbProcedure="0">{"FCB_ALL",#N/A,0,"FCB"}</definedName>
    <definedName name="gawen" hidden="1" function="0" vbProcedure="0">{"FCB_ALL",#N/A,0,"FCB"}</definedName>
    <definedName name="gegeg" hidden="1" function="0" vbProcedure="0">{#N/A,#N/A,0,"Cashflow Analysis";#N/A,#N/A,0,"Sensitivity Analysis";#N/A,#N/A,0,"PV";#N/A,#N/A,0,"Pro Forma"}</definedName>
    <definedName name="gegeg.2" hidden="1" function="0" vbProcedure="0">{#N/A,#N/A,0,"Cashflow Analysis";#N/A,#N/A,0,"Sensitivity Analysis";#N/A,#N/A,0,"PV";#N/A,#N/A,0,"Pro Forma"}</definedName>
    <definedName name="gfasd" hidden="1" function="0" vbProcedure="0">{"FCB_ALL",#N/A,0,"FCB"}</definedName>
    <definedName name="gfhs" hidden="1" function="0" vbProcedure="0">{"summary1",#N/A,1,"Comps";"summary2",#N/A,1,"Comps";"summary3",#N/A,1,"Comps"}</definedName>
    <definedName name="gfsdn" hidden="1" function="0" vbProcedure="0">{"FCB_ALL",#N/A,0,"FCB";"GREY_ALL",#N/A,0,"GREY"}</definedName>
    <definedName name="gg" hidden="1" function="0" vbProcedure="0">{#N/A,#N/A,0,"DCF Summary";#N/A,#N/A,0,"Casema";#N/A,#N/A,0,"Casema NoTel";#N/A,#N/A,0,"UK";#N/A,#N/A,0,"RCF";#N/A,#N/A,0,"Intercable CZ";#N/A,#N/A,0,"Interkabel P"}</definedName>
    <definedName name="gg.2" hidden="1" function="0" vbProcedure="0">{#N/A,#N/A,0,"Cashflow Analysis";#N/A,#N/A,0,"Sensitivity Analysis";#N/A,#N/A,0,"PV";#N/A,#N/A,0,"Pro Forma"}</definedName>
    <definedName name="ggg" hidden="1" function="0" vbProcedure="0">{#N/A,#N/A,1,"RESUMEN ECON.";#N/A,#N/A,1,"Costos de R.H.";#N/A,#N/A,1,"COSTO HW";#N/A,#N/A,1,"CUADROS";#N/A,#N/A,1,"SCADA´s";#N/A,#N/A,1,"PRECIOS EQUIPOS"}</definedName>
    <definedName name="gkn" hidden="1" function="0" vbProcedure="0">{#N/A,#N/A,0,"COVER PAGE";#N/A,#N/A,0,"Page 2";#N/A,#N/A,0,"Page 2";#N/A,#N/A,0,"Page 4";#N/A,#N/A,0,"Page5";#N/A,#N/A,0,"Page 6";#N/A,#N/A,0,"Page 7";#N/A,#N/A,0,"Page 8";#N/A,#N/A,0,"Page 10";#N/A,#N/A,0,"Long-Term OCF Mult.";#N/A,#N/A,0,"PCS Comp";#N/A,#N/A,0,"OCS-CAPEX";#N/A,#N/A,0,"Blank"}</definedName>
    <definedName name="GKUY" hidden="1" function="0" vbProcedure="0">{1,1,-1.25,-15.5,604.5,369,0,0,1,1,0,1,#N/A,41,#N/A,20.5555555555556,27.0714285714286,1,0,0,3,1,1,0,80,"Swvu.summary2.","ACwvu.summary2.",#N/A,0,0,0.5,0.5,0.5,0.5,2,"&amp;F","&amp;A&amp;RPage &amp;P",1,0,0,0,1,50,#N/A,#N/A,"=R56C1:R103C31",0,#N/A,#N/A,0,0,1,1,600,600,0,0,1,1,1}</definedName>
    <definedName name="gnr" hidden="1" function="0" vbProcedure="0">{"Total",#N/A,0,"Laurel";"PDP",#N/A,0,"Laurel";"PNP",#N/A,0,"Laurel";"PUD",#N/A,0,"Laurel";"Total",#N/A,0,"Summerland";"Prob",#N/A,0,"Laurel";"PDP",#N/A,0,"Summerland";"PNP",#N/A,0,"Summerland";"PUD",#N/A,0,"Summerland";"Prob",#N/A,0,"Summerland";"Total",#N/A,0,"Soso";"PDP",#N/A,0,"Soso";"PNP",#N/A,0,"Soso";"PUD",#N/A,0,"Soso";"Prob",#N/A,0,"Soso";"Total",#N/A,0,"Martinville";"PDP",#N/A,0,"Martinville";"PNP",#N/A,0,"Martinville";"PUD",#N/A,0,"Martinville";"Prob",#N/A,0,"Martinville";"Total",#N/A,0,"Brookhaven";"PDP",#N/A,0,"Brookhaven";"PNP",#N/A,0,"Brookhaven";"PUD",#N/A,0,"Brookhaven";"Prob",#N/A,0,"Brookhaven";"Total",#N/A,0,"Monroe";"PDP",#N/A,0,"Monroe";"PNP",#N/A,0,"Monroe";"PUD",#N/A,0,"Monroe";"Prob",#N/A,0,"Monroe"}</definedName>
    <definedName name="go" hidden="1" function="0" vbProcedure="0">{#N/A,#N/A,0,"Barranca"}</definedName>
    <definedName name="gtrwegrwegw" hidden="1" function="0" vbProcedure="0">{"Summary",#N/A,0,"Details (2)"}</definedName>
    <definedName name="gty" hidden="1" function="0" vbProcedure="0">{"arpm1995",#N/A,0,"Summary 95-96";"bus_long_distance",#N/A,0,"Summary 95-96";"mins_per_day",#N/A,0,"Summary 95-96";"minutes1995",#N/A,0,"Summary 95-96";"rev_per_day",#N/A,0,"Summary 95-96";"view1995",#N/A,0,"Summary 95-96"}</definedName>
    <definedName name="h" hidden="1" function="0" vbProcedure="0">{#N/A,#N/A,0,"Sheet1";#N/A,#N/A,0,"Sheet2";#N/A,#N/A,0,"Sheet3";#N/A,#N/A,0,"Sheet4";#N/A,#N/A,0,"Sheet5";#N/A,#N/A,0,"Sheet6"}</definedName>
    <definedName name="HD" hidden="1" function="0" vbProcedure="0">{1,1,-1.25,-15.5,604.5,369,0,0,1,1,0,1,83,1,38,4,5,4,1,1,3,1,1,1,75,"Swvu.inputs._.raw._.data.","ACwvu.inputs._.raw._.data.",#N/A,0,0,0.5,0.5,0.5,0.5,2,"&amp;F","&amp;A&amp;RPage &amp;P",0,0,0,0,1,60,#N/A,#N/A,"=R1C61:R53C89","=C1:C5",#N/A,#N/A,0,0,0,1,600,600,0,0,1,1,1}</definedName>
    <definedName name="HEI" hidden="1" function="0" vbProcedure="0">{"AQUIRORDCF",#N/A,0,"Merger consequences";"Acquirorassns",#N/A,0,"Merger consequences"}</definedName>
    <definedName name="Help" hidden="1" function="0" vbProcedure="0">{#N/A,#N/A,0,"Barranca"}</definedName>
    <definedName name="help1" hidden="1" function="0" vbProcedure="0">{#N/A,#N/A,0,"Total";#N/A,#N/A,0,"Sew";#N/A,#N/A,0,"Finish";#N/A,#N/A,0,"CUT";#N/A,#N/A,0,"Mill 5";#N/A,#N/A,0,"Mill 6";#N/A,#N/A,0,"Mill 8";#N/A,#N/A,0,"Mill 9";#N/A,#N/A,0,"Mill 10";#N/A,#N/A,0,"Mill 12";#N/A,#N/A,0,"Mill 15";#N/A,#N/A,0,"Mill 17"}</definedName>
    <definedName name="hfd" hidden="1" function="0" vbProcedure="0">{"FCB_ALL",#N/A,0,"FCB";"GREY_ALL",#N/A,0,"GREY"}</definedName>
    <definedName name="hfydf" hidden="1" function="0" vbProcedure="0">{"FCB_ALL",#N/A,0,"FCB"}</definedName>
    <definedName name="hgsrt" hidden="1" function="0" vbProcedure="0">{"FCB_ALL",#N/A,0,"FCB";"GREY_ALL",#N/A,0,"GREY"}</definedName>
    <definedName name="hh" hidden="1" function="0" vbProcedure="0">{#N/A,#N/A,1,"DCF Summary";#N/A,#N/A,1,"Casema";#N/A,#N/A,1,"UK";#N/A,#N/A,1,"RCF";#N/A,#N/A,1,"Intercable CZ";#N/A,#N/A,1,"Interkabel P";#N/A,#N/A,1,"LBO-Total";#N/A,#N/A,1,"LBO-Casema"}</definedName>
    <definedName name="hhhh" hidden="1" function="0" vbProcedure="0">{"SUM",#N/A,0,"Details (2)"}</definedName>
    <definedName name="Hi" hidden="1" function="0" vbProcedure="0">{#N/A,#N/A,0,"FAB VENDORS";"BUD SUM",#N/A,0,"BUD SUM WO TEX"}</definedName>
    <definedName name="hjf" hidden="1" function="0" vbProcedure="0">{1,1,-1.25,-15.5,604.5,369,0,0,1,1,0,1,#N/A,1,#N/A,20.5555555555556,28.9285714285714,1,0,0,3,1,1,0,80,"Swvu.summary1.","ACwvu.summary1.",#N/A,0,0,0.5,0.5,0.5,0.5,2,"&amp;F","&amp;L&amp;D&amp;C&amp;A&amp;RPage &amp;P",1,0,0,0,1,50,#N/A,#N/A,"=R1C1:R55C31",0,#N/A,#N/A,0,0,1,1,600,600,0,0,1,1,1}</definedName>
    <definedName name="hn.ConvertZero1" hidden="1" function="0" vbProcedure="0">#REF!~#REF!~#REF!~#REF!~#REF!~#REF!~#REF!~#REF!~#REF!~#REF!</definedName>
    <definedName name="hn.ConvertZero2" hidden="1" function="0" vbProcedure="0">#REF!~#REF!~#REF!~#REF!~#REF!~#REF!~#REF!~#REF!</definedName>
    <definedName name="hn.ConvertZero3" hidden="1" function="0" vbProcedure="0">#REF!~#REF!~#REF!~#REF!~#REF!</definedName>
    <definedName name="hn.ConvertZero4" hidden="1" function="0" vbProcedure="0">#REF!~#REF!~#REF!~#REF!~#REF!~#REF!~#REF!~#REF!</definedName>
    <definedName name="hn.ConvertZeroUnhide1" hidden="1" function="0" vbProcedure="0">#REF!~#REF!~#REF!</definedName>
    <definedName name="hn.Delete015" hidden="1" function="0" vbProcedure="0">#REF!~#REF!~#REF!~#REF!~#REF!</definedName>
    <definedName name="hn.DZ_MultByFXRates" hidden="1" function="0" vbProcedure="0">#REF!~#REF!~#REF!~#REF!</definedName>
    <definedName name="hn.LTM_MultByFXRates" hidden="1" function="0" vbProcedure="0">#REF!~#REF!~#REF!~#REF!~#REF!~#REF!~#REF!</definedName>
    <definedName name="hn.ModelVersion" hidden="1" function="0" vbProcedure="0">1</definedName>
    <definedName name="hn.MultbyFXRates" hidden="1" function="0" vbProcedure="0">#REF!~#REF!~#REF!~#REF!~#REF!~#REF!~#REF!</definedName>
    <definedName name="hn.MultByFXRates1" hidden="1" function="0" vbProcedure="0">#REF!~#REF!~#REF!~#REF!~#REF!</definedName>
    <definedName name="hn.MultByFXRates2" hidden="1" function="0" vbProcedure="0">#REF!~#REF!~#REF!~#REF!~#REF!</definedName>
    <definedName name="hn.MultByFXRates3" hidden="1" function="0" vbProcedure="0">#REF!~#REF!~#REF!~#REF!~#REF!</definedName>
    <definedName name="hn.MultbyFxrates4" hidden="1" function="0" vbProcedure="0">#REF!~#REF!~#REF!~#REF!~#REF!~#REF!~#REF!</definedName>
    <definedName name="hn.multbyfxrates5" hidden="1" function="0" vbProcedure="0">#REF!~#REF!~#REF!~#REF!~#REF!</definedName>
    <definedName name="hn.multbyfxrates6" hidden="1" function="0" vbProcedure="0">#REF!~#REF!~#REF!~#REF!~#REF!</definedName>
    <definedName name="hn.multbyfxrates7" hidden="1" function="0" vbProcedure="0">#REF!~#REF!~#REF!~#REF!~#REF!</definedName>
    <definedName name="hn.MultByFXRatesBot1" hidden="1" function="0" vbProcedure="0">#REF!~#REF!~#REF!~#REF!~#REF!~#REF!~#REF!~#REF!~#REF!~#REF!~#REF!~#REF!</definedName>
    <definedName name="hn.MultByFXRatesBot2" hidden="1" function="0" vbProcedure="0">#REF!~#REF!~#REF!~#REF!~#REF!~#REF!~#REF!~#REF!~#REF!~#REF!~#REF!~#REF!</definedName>
    <definedName name="hn.MultByFXRatesBot3" hidden="1" function="0" vbProcedure="0">#REF!~#REF!~#REF!~#REF!~#REF!~#REF!~#REF!~#REF!~#REF!~#REF!~#REF!~#REF!</definedName>
    <definedName name="hn.MultByFXRatesBot4" hidden="1" function="0" vbProcedure="0">#REF!~#REF!~#REF!~#REF!~#REF!~#REF!~#REF!~#REF!~#REF!~#REF!~#REF!~#REF!~#REF!</definedName>
    <definedName name="hn.MultByFXRatesBot5" hidden="1" function="0" vbProcedure="0">#REF!~#REF!~#REF!~#REF!~#REF!~#REF!~#REF!~#REF!~#REF!~#REF!~#REF!</definedName>
    <definedName name="hn.MultByFXRatesBot6" hidden="1" function="0" vbProcedure="0">#REF!~#REF!~#REF!~#REF!~#REF!~#REF!~#REF!~#REF!~#REF!~#REF!~#REF!</definedName>
    <definedName name="hn.MultByFXRatesBot7" hidden="1" function="0" vbProcedure="0">#REF!~#REF!~#REF!~#REF!~#REF!~#REF!~#REF!~#REF!~#REF!~#REF!~#REF!</definedName>
    <definedName name="hn.MultByFXRatesTop1" hidden="1" function="0" vbProcedure="0">#REF!~#REF!~#REF!~#REF!~#REF!~#REF!~#REF!~#REF!~#REF!~#REF!~#REF!~#REF!</definedName>
    <definedName name="hn.MultByFXRatesTop2" hidden="1" function="0" vbProcedure="0">#REF!~#REF!~#REF!~#REF!~#REF!~#REF!~#REF!~#REF!~#REF!~#REF!~#REF!~#REF!~#REF!~#REF!~#REF!</definedName>
    <definedName name="hn.MultByFXRatesTop3" hidden="1" function="0" vbProcedure="0">#REF!~#REF!~#REF!~#REF!~#REF!~#REF!~#REF!~#REF!~#REF!~#REF!~#REF!~#REF!~#REF!~#REF!~#REF!</definedName>
    <definedName name="hn.MultByFXRatesTop4" hidden="1" function="0" vbProcedure="0">#REF!~#REF!~#REF!~#REF!~#REF!~#REF!~#REF!~#REF!~#REF!~#REF!~#REF!~#REF!~#REF!~#REF!~#REF!</definedName>
    <definedName name="hn.MultByFXRatesTop5" hidden="1" function="0" vbProcedure="0">#REF!~#REF!~#REF!~#REF!~#REF!~#REF!~#REF!~#REF!~#REF!~#REF!~#REF!~#REF!</definedName>
    <definedName name="hn.MultByFXRatesTop6" hidden="1" function="0" vbProcedure="0">#REF!~#REF!~#REF!~#REF!~#REF!~#REF!~#REF!~#REF!~#REF!~#REF!~#REF!~#REF!~#REF!~#REF!~#REF!</definedName>
    <definedName name="hn.MultByFXRatesTop7" hidden="1" function="0" vbProcedure="0">#REF!~#REF!~#REF!~#REF!~#REF!~#REF!~#REF!~#REF!~#REF!~#REF!~#REF!~#REF!~#REF!~#REF!~#REF!</definedName>
    <definedName name="hn.NoUpload" hidden="1" function="0" vbProcedure="0">0</definedName>
    <definedName name="hod" hidden="1" function="0" vbProcedure="0">{#N/A,#N/A,0,"TS";#N/A,#N/A,0,"Combo";#N/A,#N/A,0,"FAIR";#N/A,#N/A,0,"RBC";#N/A,#N/A,0,"xxxx";#N/A,#N/A,0,"A_D";#N/A,#N/A,0,"WACC";#N/A,#N/A,0,"DCF";#N/A,#N/A,0,"LBO";#N/A,#N/A,0,"AcqMults";#N/A,#N/A,0,"CompMults"}</definedName>
    <definedName name="houy" hidden="1" function="0" vbProcedure="0">{#N/A,#N/A,0,"AD_Purchase";#N/A,#N/A,0,"Credit";#N/A,#N/A,0,"PF Acquisition";#N/A,#N/A,0,"PF Offering"}</definedName>
    <definedName name="HQ" hidden="1" function="0" vbProcedure="0">{#N/A,#N/A,0,"6405";#N/A,#N/A,0,"6406";#N/A,#N/A,0,"6409";#N/A,#N/A,0,"6425";#N/A,#N/A,0,"6426";#N/A,#N/A,0,"6427";#N/A,#N/A,0,"6440";#N/A,#N/A,0,"6441";#N/A,#N/A,0,"6442";#N/A,#N/A,0,"6443"}</definedName>
    <definedName name="HTML1_1" hidden="1" function="0" vbProcedure="0">"[TB9.XLS]St_tot_94_95!$A$1:$J$428"</definedName>
    <definedName name="HTML3_1" hidden="1" function="0" vbProcedure="0">"[TB9.XLS]St_tot_94_95!$A$1:$H$427"</definedName>
    <definedName name="HTML4_10" hidden="1" function="0" vbProcedure="0">"Emil.Asistores@crtc.x400.gc.ca"</definedName>
    <definedName name="HTML4_11" hidden="1" function="0" vbProcedure="0">1</definedName>
    <definedName name="HTML4_12" hidden="1" function="0" vbProcedure="0">"O:\ENG\PROC_REP\TELECOM\1997\PART7\QS_REP98\BCTEL\BCTEL.HTM"</definedName>
    <definedName name="HTML4_2" hidden="1" function="0" vbProcedure="0">1</definedName>
    <definedName name="HTML4_3" hidden="1" function="0" vbProcedure="0">"BC Tel 1998 Quality Of Service Report"</definedName>
    <definedName name="HTML4_4" hidden="1" function="0" vbProcedure="0">"BC Tel 1998 Quality Of Service Report"</definedName>
    <definedName name="HTML4_5" hidden="1" function="0" vbProcedure="0">""</definedName>
    <definedName name="HTML4_6" hidden="1" function="0" vbProcedure="0">-4146</definedName>
    <definedName name="HTML4_7" hidden="1" function="0" vbProcedure="0">-4146</definedName>
    <definedName name="HTML4_8" hidden="1" function="0" vbProcedure="0">"1997/10/24"</definedName>
    <definedName name="HTML4_9" hidden="1" function="0" vbProcedure="0">"Emil Asistores"</definedName>
    <definedName name="HTML5_10" hidden="1" function="0" vbProcedure="0">"Emil.Asistores@crtc.x400.gc.ca"</definedName>
    <definedName name="HTML5_11" hidden="1" function="0" vbProcedure="0">1</definedName>
    <definedName name="HTML5_12" hidden="1" function="0" vbProcedure="0">"O:\ENG\PROC_REP\TELECOM\1997\PART7\QS_REP98\TCI\TCI.HTM"</definedName>
    <definedName name="HTML5_2" hidden="1" function="0" vbProcedure="0">1</definedName>
    <definedName name="HTML5_3" hidden="1" function="0" vbProcedure="0">"TCI 1998 Quality Of Service Report"</definedName>
    <definedName name="HTML5_4" hidden="1" function="0" vbProcedure="0">"TCI 1998 Quality Of Service Report"</definedName>
    <definedName name="HTML5_5" hidden="1" function="0" vbProcedure="0">""</definedName>
    <definedName name="HTML5_6" hidden="1" function="0" vbProcedure="0">-4146</definedName>
    <definedName name="HTML5_7" hidden="1" function="0" vbProcedure="0">-4146</definedName>
    <definedName name="HTML5_8" hidden="1" function="0" vbProcedure="0">"1997/10/30"</definedName>
    <definedName name="HTML5_9" hidden="1" function="0" vbProcedure="0">"Emil Asistores"</definedName>
    <definedName name="HTMLControl" hidden="1" function="0" vbProcedure="0">{"'Edit'!$A$1:$V$2277"}</definedName>
    <definedName name="HTML_Control_BS" hidden="1" function="0" vbProcedure="0">{"'Sheet1'!$A$1:$L$21"}</definedName>
    <definedName name="i" hidden="1" function="0" vbProcedure="0">{#N/A,#N/A,1,"DCF Summary";#N/A,#N/A,1,"Casema";#N/A,#N/A,1,"UK";#N/A,#N/A,1,"RCF";#N/A,#N/A,1,"Intercable CZ";#N/A,#N/A,1,"Interkabel P";#N/A,#N/A,1,"LBO-Total";#N/A,#N/A,1,"LBO-Casema"}</definedName>
    <definedName name="INFO_BI_EXE_NAME" hidden="1" function="0" vbProcedure="0">"BICORE.EXE"</definedName>
    <definedName name="INFO_EXE_SERVER_PATH" hidden="1" function="0" vbProcedure="0">"C:\Program Files (x86)\Sage Software\Sage MAS 500 Client\Managed Applications\SMIFramework\BICORE.EXE"</definedName>
    <definedName name="INFO_INSTANCE_ID" hidden="1" function="0" vbProcedure="0">"0"</definedName>
    <definedName name="INFO_INSTANCE_NAME" hidden="1" function="0" vbProcedure="0">"Overall Reporting Statement 2016_20150812_10_25_43_2525.xls"</definedName>
    <definedName name="INFO_REPORT_CODE" hidden="1" function="0" vbProcedure="0">"S500-AI01-1-2"</definedName>
    <definedName name="INFO_REPORT_ID" hidden="1" function="0" vbProcedure="0">"9"</definedName>
    <definedName name="INFO_REPORT_NAME" hidden="1" function="0" vbProcedure="0">"Overall Reporting Statement 2016"</definedName>
    <definedName name="INFO_RUN_USER" hidden="1" function="0" vbProcedure="0">""</definedName>
    <definedName name="INFO_RUN_WORKSTATION" hidden="1" function="0" vbProcedure="0">"RDPFINANCE"</definedName>
    <definedName name="Inmovilizado2" hidden="1" function="0" vbProcedure="0">{#N/A,#N/A,0,"CNS_ADJ";"Balance Consolidado",#N/A,0,"BCEC_CNS";#N/A,#N/A,0,"USGAAP_ADJ"}</definedName>
    <definedName name="int_ext_sel" hidden="1" function="0" vbProcedure="0">2</definedName>
    <definedName name="IQRA2" hidden="1" function="0" vbProcedure="0">"$A$3:$A$1306"</definedName>
    <definedName name="IQRA3" hidden="1" function="0" vbProcedure="0">"$A$4:$A$1307"</definedName>
    <definedName name="IQRB2" hidden="1" function="0" vbProcedure="0">"$B$3:$B$1306"</definedName>
    <definedName name="IQRC2" hidden="1" function="0" vbProcedure="0">"$C$3:$C$1306"</definedName>
    <definedName name="IQ_1_4_FAMILY_JUNIOR_LIENS_CHARGE_OFFS_FDIC" hidden="1" function="0" vbProcedure="0">"c6605"</definedName>
    <definedName name="IQ_1_4_FAMILY_JUNIOR_LIENS_NET_CHARGE_OFFS_FDIC" hidden="1" function="0" vbProcedure="0">"c6643"</definedName>
    <definedName name="IQ_1_4_FAMILY_JUNIOR_LIENS_RECOVERIES_FDIC" hidden="1" function="0" vbProcedure="0">"c6624"</definedName>
    <definedName name="IQ_1_4_FAMILY_SENIOR_LIENS_CHARGE_OFFS_FDIC" hidden="1" function="0" vbProcedure="0">"c6604"</definedName>
    <definedName name="IQ_1_4_FAMILY_SENIOR_LIENS_NET_CHARGE_OFFS_FDIC" hidden="1" function="0" vbProcedure="0">"c6642"</definedName>
    <definedName name="IQ_1_4_FAMILY_SENIOR_LIENS_RECOVERIES_FDIC" hidden="1" function="0" vbProcedure="0">"c6623"</definedName>
    <definedName name="IQ_1_4_HOME_EQUITY_NET_LOANS_FDIC" hidden="1" function="0" vbProcedure="0">"c6441"</definedName>
    <definedName name="IQ_1_4_RESIDENTIAL_FIRST_LIENS_NET_LOANS_FDIC" hidden="1" function="0" vbProcedure="0">"c6439"</definedName>
    <definedName name="IQ_1_4_RESIDENTIAL_JUNIOR_LIENS_NET_LOANS_FDIC" hidden="1" function="0" vbProcedure="0">"c6440"</definedName>
    <definedName name="IQ_1_4_RESIDENTIAL_LOANS_FDIC" hidden="1" function="0" vbProcedure="0">"c6310"</definedName>
    <definedName name="IQ_ACCOUNTS_PAY" hidden="1" function="0" vbProcedure="0">"c32"</definedName>
    <definedName name="IQ_ACCOUNT_CHANGE" hidden="1" function="0" vbProcedure="0">"c413"</definedName>
    <definedName name="IQ_ACCRUED_EXP" hidden="1" function="0" vbProcedure="0">"c8"</definedName>
    <definedName name="IQ_ACCR_INT_PAY" hidden="1" function="0" vbProcedure="0">"c1"</definedName>
    <definedName name="IQ_ACCR_INT_PAY_CF" hidden="1" function="0" vbProcedure="0">"c2"</definedName>
    <definedName name="IQ_ACCR_INT_RECEIV" hidden="1" function="0" vbProcedure="0">"c3"</definedName>
    <definedName name="IQ_ACCR_INT_RECEIV_CF" hidden="1" function="0" vbProcedure="0">"c4"</definedName>
    <definedName name="IQ_ACCT_RECV_10YR_ANN_GROWTH" hidden="1" function="0" vbProcedure="0">"c1924"</definedName>
    <definedName name="IQ_ACCT_RECV_1YR_ANN_GROWTH" hidden="1" function="0" vbProcedure="0">"c1919"</definedName>
    <definedName name="IQ_ACCT_RECV_2YR_ANN_GROWTH" hidden="1" function="0" vbProcedure="0">"c1920"</definedName>
    <definedName name="IQ_ACCT_RECV_3YR_ANN_GROWTH" hidden="1" function="0" vbProcedure="0">"c1921"</definedName>
    <definedName name="IQ_ACCT_RECV_5YR_ANN_GROWTH" hidden="1" function="0" vbProcedure="0">"c1922"</definedName>
    <definedName name="IQ_ACCT_RECV_7YR_ANN_GROWTH" hidden="1" function="0" vbProcedure="0">"c1923"</definedName>
    <definedName name="IQ_ACCUMULATED_PENSION_OBLIGATION" hidden="1" function="0" vbProcedure="0">"c2244"</definedName>
    <definedName name="IQ_ACCUM_DEP" hidden="1" function="0" vbProcedure="0">"c7"</definedName>
    <definedName name="IQ_ACQUIRED_BY_REPORTING_BANK_FDIC" hidden="1" function="0" vbProcedure="0">"c6535"</definedName>
    <definedName name="IQ_ACQUIRE_REAL_ESTATE_CF" hidden="1" function="0" vbProcedure="0">"c6"</definedName>
    <definedName name="IQ_ACQUISITION_RE_ASSETS" hidden="1" function="0" vbProcedure="0">"c1628"</definedName>
    <definedName name="IQ_ACQ_COSTS_CAPITALIZED" hidden="1" function="0" vbProcedure="0">"c5"</definedName>
    <definedName name="IQ_ACQ_COST_SUB" hidden="1" function="0" vbProcedure="0">"c2125"</definedName>
    <definedName name="IQ_AD" hidden="1" function="0" vbProcedure="0">"c7"</definedName>
    <definedName name="IQ_ADDIN" hidden="1" function="0" vbProcedure="0">"AUTO"</definedName>
    <definedName name="IQ_ADDITIONAL_NON_INT_INC_FDIC" hidden="1" function="0" vbProcedure="0">"c6574"</definedName>
    <definedName name="IQ_ADD_PAID_IN" hidden="1" function="0" vbProcedure="0">"c39"</definedName>
    <definedName name="IQ_ADJUSTABLE_RATE_LOANS_FDIC" hidden="1" function="0" vbProcedure="0">"c6375"</definedName>
    <definedName name="IQ_ADVERTISING" hidden="1" function="0" vbProcedure="0">"c2246"</definedName>
    <definedName name="IQ_ADVERTISING_MARKETING" hidden="1" function="0" vbProcedure="0">"c1566"</definedName>
    <definedName name="IQ_AE" hidden="1" function="0" vbProcedure="0">"c8"</definedName>
    <definedName name="IQ_AE_BNK" hidden="1" function="0" vbProcedure="0">"c9"</definedName>
    <definedName name="IQ_AE_BR" hidden="1" function="0" vbProcedure="0">"c10"</definedName>
    <definedName name="IQ_AE_FIN" hidden="1" function="0" vbProcedure="0">"c11"</definedName>
    <definedName name="IQ_AE_INS" hidden="1" function="0" vbProcedure="0">"c12"</definedName>
    <definedName name="IQ_AE_REIT" hidden="1" function="0" vbProcedure="0">"c13"</definedName>
    <definedName name="IQ_AE_UTI" hidden="1" function="0" vbProcedure="0">"c14"</definedName>
    <definedName name="IQ_AFTER_TAX_INCOME_FDIC" hidden="1" function="0" vbProcedure="0">"c6583"</definedName>
    <definedName name="IQ_AGRICULTURAL_PRODUCTION_CHARGE_OFFS_FDIC" hidden="1" function="0" vbProcedure="0">"c6597"</definedName>
    <definedName name="IQ_AGRICULTURAL_PRODUCTION_CHARGE_OFFS_LESS_THAN_300M_FDIC" hidden="1" function="0" vbProcedure="0">"c6655"</definedName>
    <definedName name="IQ_AGRICULTURAL_PRODUCTION_NET_CHARGE_OFFS_FDIC" hidden="1" function="0" vbProcedure="0">"c6635"</definedName>
    <definedName name="IQ_AGRICULTURAL_PRODUCTION_NET_CHARGE_OFFS_LESS_THAN_300M_FDIC" hidden="1" function="0" vbProcedure="0">"c6657"</definedName>
    <definedName name="IQ_AGRICULTURAL_PRODUCTION_RECOVERIES_FDIC" hidden="1" function="0" vbProcedure="0">"c6616"</definedName>
    <definedName name="IQ_AGRICULTURAL_PRODUCTION_RECOVERIES_LESS_THAN_300M_FDIC" hidden="1" function="0" vbProcedure="0">"c6656"</definedName>
    <definedName name="IQ_ALLOWANCE_10YR_ANN_GROWTH" hidden="1" function="0" vbProcedure="0">"c18"</definedName>
    <definedName name="IQ_ALLOWANCE_1YR_ANN_GROWTH" hidden="1" function="0" vbProcedure="0">"c19"</definedName>
    <definedName name="IQ_ALLOWANCE_2YR_ANN_GROWTH" hidden="1" function="0" vbProcedure="0">"c20"</definedName>
    <definedName name="IQ_ALLOWANCE_3YR_ANN_GROWTH" hidden="1" function="0" vbProcedure="0">"c21"</definedName>
    <definedName name="IQ_ALLOWANCE_5YR_ANN_GROWTH" hidden="1" function="0" vbProcedure="0">"c22"</definedName>
    <definedName name="IQ_ALLOWANCE_7YR_ANN_GROWTH" hidden="1" function="0" vbProcedure="0">"c23"</definedName>
    <definedName name="IQ_ALLOWANCE_CHARGE_OFFS" hidden="1" function="0" vbProcedure="0">"c24"</definedName>
    <definedName name="IQ_ALLOWANCE_NON_PERF_LOANS" hidden="1" function="0" vbProcedure="0">"c25"</definedName>
    <definedName name="IQ_ALLOWANCE_TOTAL_LOANS" hidden="1" function="0" vbProcedure="0">"c26"</definedName>
    <definedName name="IQ_ALLOW_BORROW_CONST" hidden="1" function="0" vbProcedure="0">"c15"</definedName>
    <definedName name="IQ_ALLOW_CONST" hidden="1" function="0" vbProcedure="0">"c16"</definedName>
    <definedName name="IQ_ALLOW_DOUBT_ACCT" hidden="1" function="0" vbProcedure="0">"c2092"</definedName>
    <definedName name="IQ_ALLOW_EQUITY_CONST" hidden="1" function="0" vbProcedure="0">"c16"</definedName>
    <definedName name="IQ_ALLOW_LL" hidden="1" function="0" vbProcedure="0">"c17"</definedName>
    <definedName name="IQ_AMENDED_BALANCE_PREVIOUS_YR_FDIC" hidden="1" function="0" vbProcedure="0">"c6499"</definedName>
    <definedName name="IQ_AMORTIZATION" hidden="1" function="0" vbProcedure="0">"c1471"</definedName>
    <definedName name="IQ_AMORTIZED_COST_FDIC" hidden="1" function="0" vbProcedure="0">"c6426"</definedName>
    <definedName name="IQ_AMORT_EXPENSE_FDIC" hidden="1" function="0" vbProcedure="0">"c6677"</definedName>
    <definedName name="IQ_AMT_OUT" hidden="1" function="0" vbProcedure="0">"c2145"</definedName>
    <definedName name="IQ_ANNUALIZED_DIVIDEND" hidden="1" function="0" vbProcedure="0">"c1579"</definedName>
    <definedName name="IQ_ANNUITY_LIAB" hidden="1" function="0" vbProcedure="0">"c27"</definedName>
    <definedName name="IQ_ANNUITY_PAY" hidden="1" function="0" vbProcedure="0">"c28"</definedName>
    <definedName name="IQ_ANNUITY_POLICY_EXP" hidden="1" function="0" vbProcedure="0">"c29"</definedName>
    <definedName name="IQ_ANNUITY_REC" hidden="1" function="0" vbProcedure="0">"c30"</definedName>
    <definedName name="IQ_ANNUITY_REV" hidden="1" function="0" vbProcedure="0">"c31"</definedName>
    <definedName name="IQ_AP" hidden="1" function="0" vbProcedure="0">"c32"</definedName>
    <definedName name="IQ_APIC" hidden="1" function="0" vbProcedure="0">"c39"</definedName>
    <definedName name="IQ_AP_BNK" hidden="1" function="0" vbProcedure="0">"c33"</definedName>
    <definedName name="IQ_AP_BR" hidden="1" function="0" vbProcedure="0">"c34"</definedName>
    <definedName name="IQ_AP_FIN" hidden="1" function="0" vbProcedure="0">"c35"</definedName>
    <definedName name="IQ_AP_INS" hidden="1" function="0" vbProcedure="0">"c36"</definedName>
    <definedName name="IQ_AP_REIT" hidden="1" function="0" vbProcedure="0">"c37"</definedName>
    <definedName name="IQ_AP_UTI" hidden="1" function="0" vbProcedure="0">"c38"</definedName>
    <definedName name="IQ_AR" hidden="1" function="0" vbProcedure="0">"c40"</definedName>
    <definedName name="IQ_ARPU" hidden="1" function="0" vbProcedure="0">"c2126"</definedName>
    <definedName name="IQ_AR_BR" hidden="1" function="0" vbProcedure="0">"c41"</definedName>
    <definedName name="IQ_AR_LT" hidden="1" function="0" vbProcedure="0">"c42"</definedName>
    <definedName name="IQ_AR_REIT" hidden="1" function="0" vbProcedure="0">"c43"</definedName>
    <definedName name="IQ_AR_TURNS" hidden="1" function="0" vbProcedure="0">"c44"</definedName>
    <definedName name="IQ_AR_UTI" hidden="1" function="0" vbProcedure="0">"c45"</definedName>
    <definedName name="IQ_ASSETS_CAP_LEASE_DEPR" hidden="1" function="0" vbProcedure="0">"c2068"</definedName>
    <definedName name="IQ_ASSETS_CAP_LEASE_GROSS" hidden="1" function="0" vbProcedure="0">"c2069"</definedName>
    <definedName name="IQ_ASSETS_HELD_FDIC" hidden="1" function="0" vbProcedure="0">"c6305"</definedName>
    <definedName name="IQ_ASSETS_OPER_LEASE_DEPR" hidden="1" function="0" vbProcedure="0">"c2070"</definedName>
    <definedName name="IQ_ASSETS_OPER_LEASE_GROSS" hidden="1" function="0" vbProcedure="0">"c2071"</definedName>
    <definedName name="IQ_ASSETS_PER_EMPLOYEE_FDIC" hidden="1" function="0" vbProcedure="0">"c6737"</definedName>
    <definedName name="IQ_ASSETS_SOLD_1_4_FAMILY_LOANS_FDIC" hidden="1" function="0" vbProcedure="0">"c6686"</definedName>
    <definedName name="IQ_ASSETS_SOLD_AUTO_LOANS_FDIC" hidden="1" function="0" vbProcedure="0">"c6680"</definedName>
    <definedName name="IQ_ASSETS_SOLD_CL_LOANS_FDIC" hidden="1" function="0" vbProcedure="0">"c6681"</definedName>
    <definedName name="IQ_ASSETS_SOLD_CREDIT_CARDS_RECEIVABLES_FDIC" hidden="1" function="0" vbProcedure="0">"c6683"</definedName>
    <definedName name="IQ_ASSETS_SOLD_HOME_EQUITY_LINES_FDIC" hidden="1" function="0" vbProcedure="0">"c6684"</definedName>
    <definedName name="IQ_ASSETS_SOLD_OTHER_CONSUMER_LOANS_FDIC" hidden="1" function="0" vbProcedure="0">"c6682"</definedName>
    <definedName name="IQ_ASSETS_SOLD_OTHER_LOANS_FDIC" hidden="1" function="0" vbProcedure="0">"c6685"</definedName>
    <definedName name="IQ_ASSET_BACKED_FDIC" hidden="1" function="0" vbProcedure="0">"c6301"</definedName>
    <definedName name="IQ_ASSET_MGMT_FEE" hidden="1" function="0" vbProcedure="0">"c46"</definedName>
    <definedName name="IQ_ASSET_TURNS" hidden="1" function="0" vbProcedure="0">"c47"</definedName>
    <definedName name="IQ_ASSET_WRITEDOWN" hidden="1" function="0" vbProcedure="0">"c48"</definedName>
    <definedName name="IQ_ASSET_WRITEDOWN_BNK" hidden="1" function="0" vbProcedure="0">"c49"</definedName>
    <definedName name="IQ_ASSET_WRITEDOWN_BR" hidden="1" function="0" vbProcedure="0">"c50"</definedName>
    <definedName name="IQ_ASSET_WRITEDOWN_CF" hidden="1" function="0" vbProcedure="0">"c51"</definedName>
    <definedName name="IQ_ASSET_WRITEDOWN_CF_BNK" hidden="1" function="0" vbProcedure="0">"c52"</definedName>
    <definedName name="IQ_ASSET_WRITEDOWN_CF_BR" hidden="1" function="0" vbProcedure="0">"c53"</definedName>
    <definedName name="IQ_ASSET_WRITEDOWN_CF_FIN" hidden="1" function="0" vbProcedure="0">"c54"</definedName>
    <definedName name="IQ_ASSET_WRITEDOWN_CF_INS" hidden="1" function="0" vbProcedure="0">"c55"</definedName>
    <definedName name="IQ_ASSET_WRITEDOWN_CF_REIT" hidden="1" function="0" vbProcedure="0">"c56"</definedName>
    <definedName name="IQ_ASSET_WRITEDOWN_CF_UTI" hidden="1" function="0" vbProcedure="0">"c57"</definedName>
    <definedName name="IQ_ASSET_WRITEDOWN_FIN" hidden="1" function="0" vbProcedure="0">"c58"</definedName>
    <definedName name="IQ_ASSET_WRITEDOWN_INS" hidden="1" function="0" vbProcedure="0">"c59"</definedName>
    <definedName name="IQ_ASSET_WRITEDOWN_REIT" hidden="1" function="0" vbProcedure="0">"c60"</definedName>
    <definedName name="IQ_ASSET_WRITEDOWN_UTI" hidden="1" function="0" vbProcedure="0">"c61"</definedName>
    <definedName name="IQ_AUDITOR_NAME" hidden="1" function="0" vbProcedure="0">"c1539"</definedName>
    <definedName name="IQ_AUDITOR_OPINION" hidden="1" function="0" vbProcedure="0">"c1540"</definedName>
    <definedName name="IQ_AUTO_WRITTEN" hidden="1" function="0" vbProcedure="0">"c62"</definedName>
    <definedName name="IQ_AVAILABLE_FOR_SALE_FDIC" hidden="1" function="0" vbProcedure="0">"c6409"</definedName>
    <definedName name="IQ_AVERAGE_ASSETS_FDIC" hidden="1" function="0" vbProcedure="0">"c6362"</definedName>
    <definedName name="IQ_AVERAGE_ASSETS_QUART_FDIC" hidden="1" function="0" vbProcedure="0">"c6363"</definedName>
    <definedName name="IQ_AVERAGE_EARNING_ASSETS_FDIC" hidden="1" function="0" vbProcedure="0">"c6748"</definedName>
    <definedName name="IQ_AVERAGE_EQUITY_FDIC" hidden="1" function="0" vbProcedure="0">"c6749"</definedName>
    <definedName name="IQ_AVERAGE_LOANS_FDIC" hidden="1" function="0" vbProcedure="0">"c6750"</definedName>
    <definedName name="IQ_AVG_BANK_ASSETS" hidden="1" function="0" vbProcedure="0">"c2072"</definedName>
    <definedName name="IQ_AVG_BANK_LOANS" hidden="1" function="0" vbProcedure="0">"c2073"</definedName>
    <definedName name="IQ_AVG_BROKER_REC" hidden="1" function="0" vbProcedure="0">"c63"</definedName>
    <definedName name="IQ_AVG_BROKER_REC_NO" hidden="1" function="0" vbProcedure="0">"c64"</definedName>
    <definedName name="IQ_AVG_DAILY_VOL" hidden="1" function="0" vbProcedure="0">"c65"</definedName>
    <definedName name="IQ_AVG_INT_BEAR_LIAB" hidden="1" function="0" vbProcedure="0">"c66"</definedName>
    <definedName name="IQ_AVG_INT_BEAR_LIAB_10YR_ANN_GROWTH" hidden="1" function="0" vbProcedure="0">"c67"</definedName>
    <definedName name="IQ_AVG_INT_BEAR_LIAB_1YR_ANN_GROWTH" hidden="1" function="0" vbProcedure="0">"c68"</definedName>
    <definedName name="IQ_AVG_INT_BEAR_LIAB_2YR_ANN_GROWTH" hidden="1" function="0" vbProcedure="0">"c69"</definedName>
    <definedName name="IQ_AVG_INT_BEAR_LIAB_3YR_ANN_GROWTH" hidden="1" function="0" vbProcedure="0">"c70"</definedName>
    <definedName name="IQ_AVG_INT_BEAR_LIAB_5YR_ANN_GROWTH" hidden="1" function="0" vbProcedure="0">"c71"</definedName>
    <definedName name="IQ_AVG_INT_BEAR_LIAB_7YR_ANN_GROWTH" hidden="1" function="0" vbProcedure="0">"c72"</definedName>
    <definedName name="IQ_AVG_INT_EARN_ASSETS" hidden="1" function="0" vbProcedure="0">"c73"</definedName>
    <definedName name="IQ_AVG_INT_EARN_ASSETS_10YR_ANN_GROWTH" hidden="1" function="0" vbProcedure="0">"c74"</definedName>
    <definedName name="IQ_AVG_INT_EARN_ASSETS_1YR_ANN_GROWTH" hidden="1" function="0" vbProcedure="0">"c75"</definedName>
    <definedName name="IQ_AVG_INT_EARN_ASSETS_2YR_ANN_GROWTH" hidden="1" function="0" vbProcedure="0">"c76"</definedName>
    <definedName name="IQ_AVG_INT_EARN_ASSETS_3YR_ANN_GROWTH" hidden="1" function="0" vbProcedure="0">"c77"</definedName>
    <definedName name="IQ_AVG_INT_EARN_ASSETS_5YR_ANN_GROWTH" hidden="1" function="0" vbProcedure="0">"c78"</definedName>
    <definedName name="IQ_AVG_INT_EARN_ASSETS_7YR_ANN_GROWTH" hidden="1" function="0" vbProcedure="0">"c79"</definedName>
    <definedName name="IQ_AVG_MKTCAP" hidden="1" function="0" vbProcedure="0">"c80"</definedName>
    <definedName name="IQ_AVG_PRICE" hidden="1" function="0" vbProcedure="0">"c81"</definedName>
    <definedName name="IQ_AVG_SHAREOUTSTANDING" hidden="1" function="0" vbProcedure="0">"c83"</definedName>
    <definedName name="IQ_AVG_TEV" hidden="1" function="0" vbProcedure="0">"c84"</definedName>
    <definedName name="IQ_AVG_VOLUME" hidden="1" function="0" vbProcedure="0">"c65"</definedName>
    <definedName name="IQ_BALANCES_DUE_DEPOSITORY_INSTITUTIONS_FDIC" hidden="1" function="0" vbProcedure="0">"c6389"</definedName>
    <definedName name="IQ_BALANCES_DUE_FOREIGN_FDIC" hidden="1" function="0" vbProcedure="0">"c6391"</definedName>
    <definedName name="IQ_BALANCES_DUE_FRB_FDIC" hidden="1" function="0" vbProcedure="0">"c6393"</definedName>
    <definedName name="IQ_BALANCE_GOODS_APR_FC_UNUSED_UNUSED_UNUSED" hidden="1" function="0" vbProcedure="0">"c8353"</definedName>
    <definedName name="IQ_BALANCE_GOODS_APR_UNUSED_UNUSED_UNUSED" hidden="1" function="0" vbProcedure="0">"c7473"</definedName>
    <definedName name="IQ_BALANCE_GOODS_FC_UNUSED_UNUSED_UNUSED" hidden="1" function="0" vbProcedure="0">"c7693"</definedName>
    <definedName name="IQ_BALANCE_GOODS_POP_FC_UNUSED_UNUSED_UNUSED" hidden="1" function="0" vbProcedure="0">"c7913"</definedName>
    <definedName name="IQ_BALANCE_GOODS_POP_UNUSED_UNUSED_UNUSED" hidden="1" function="0" vbProcedure="0">"c7033"</definedName>
    <definedName name="IQ_BALANCE_GOODS_UNUSED_UNUSED_UNUSED" hidden="1" function="0" vbProcedure="0">"c6813"</definedName>
    <definedName name="IQ_BALANCE_GOODS_YOY_FC_UNUSED_UNUSED_UNUSED" hidden="1" function="0" vbProcedure="0">"c8133"</definedName>
    <definedName name="IQ_BALANCE_GOODS_YOY_UNUSED_UNUSED_UNUSED" hidden="1" function="0" vbProcedure="0">"c7253"</definedName>
    <definedName name="IQ_BALANCE_SERV_APR_FC_UNUSED_UNUSED_UNUSED" hidden="1" function="0" vbProcedure="0">"c8355"</definedName>
    <definedName name="IQ_BALANCE_SERV_APR_UNUSED_UNUSED_UNUSED" hidden="1" function="0" vbProcedure="0">"c7475"</definedName>
    <definedName name="IQ_BALANCE_SERV_FC_UNUSED_UNUSED_UNUSED" hidden="1" function="0" vbProcedure="0">"c7695"</definedName>
    <definedName name="IQ_BALANCE_SERV_POP_FC_UNUSED_UNUSED_UNUSED" hidden="1" function="0" vbProcedure="0">"c7915"</definedName>
    <definedName name="IQ_BALANCE_SERV_POP_UNUSED_UNUSED_UNUSED" hidden="1" function="0" vbProcedure="0">"c7035"</definedName>
    <definedName name="IQ_BALANCE_SERV_UNUSED_UNUSED_UNUSED" hidden="1" function="0" vbProcedure="0">"c6815"</definedName>
    <definedName name="IQ_BALANCE_SERV_YOY_FC_UNUSED_UNUSED_UNUSED" hidden="1" function="0" vbProcedure="0">"c8135"</definedName>
    <definedName name="IQ_BALANCE_SERV_YOY_UNUSED_UNUSED_UNUSED" hidden="1" function="0" vbProcedure="0">"c7255"</definedName>
    <definedName name="IQ_BALANCE_TRADE_APR_FC_UNUSED_UNUSED_UNUSED" hidden="1" function="0" vbProcedure="0">"c8357"</definedName>
    <definedName name="IQ_BALANCE_TRADE_APR_UNUSED_UNUSED_UNUSED" hidden="1" function="0" vbProcedure="0">"c7477"</definedName>
    <definedName name="IQ_BALANCE_TRADE_FC_UNUSED_UNUSED_UNUSED" hidden="1" function="0" vbProcedure="0">"c7697"</definedName>
    <definedName name="IQ_BALANCE_TRADE_POP_FC_UNUSED_UNUSED_UNUSED" hidden="1" function="0" vbProcedure="0">"c7917"</definedName>
    <definedName name="IQ_BALANCE_TRADE_POP_UNUSED_UNUSED_UNUSED" hidden="1" function="0" vbProcedure="0">"c7037"</definedName>
    <definedName name="IQ_BALANCE_TRADE_UNUSED_UNUSED_UNUSED" hidden="1" function="0" vbProcedure="0">"c6817"</definedName>
    <definedName name="IQ_BALANCE_TRADE_YOY_FC_UNUSED_UNUSED_UNUSED" hidden="1" function="0" vbProcedure="0">"c8137"</definedName>
    <definedName name="IQ_BALANCE_TRADE_YOY_UNUSED_UNUSED_UNUSED" hidden="1" function="0" vbProcedure="0">"c7257"</definedName>
    <definedName name="IQ_BANKS_FOREIGN_COUNTRIES_TOTAL_DEPOSITS_FDIC" hidden="1" function="0" vbProcedure="0">"c6475"</definedName>
    <definedName name="IQ_BANK_BENEFICIARY_FDIC" hidden="1" function="0" vbProcedure="0">"c6505"</definedName>
    <definedName name="IQ_BANK_GUARANTOR_FDIC" hidden="1" function="0" vbProcedure="0">"c6506"</definedName>
    <definedName name="IQ_BANK_PREMISES_FDIC" hidden="1" function="0" vbProcedure="0">"c6329"</definedName>
    <definedName name="IQ_BANK_SECURITIZATION_1_4_FAMILY_LOANS_FDIC" hidden="1" function="0" vbProcedure="0">"c6721"</definedName>
    <definedName name="IQ_BANK_SECURITIZATION_AUTO_LOANS_FDIC" hidden="1" function="0" vbProcedure="0">"c6715"</definedName>
    <definedName name="IQ_BANK_SECURITIZATION_CL_LOANS_FDIC" hidden="1" function="0" vbProcedure="0">"c6716"</definedName>
    <definedName name="IQ_BANK_SECURITIZATION_CREDIT_CARDS_RECEIVABLES_FDIC" hidden="1" function="0" vbProcedure="0">"c6718"</definedName>
    <definedName name="IQ_BANK_SECURITIZATION_HOME_EQUITY_LINES_FDIC" hidden="1" function="0" vbProcedure="0">"c6719"</definedName>
    <definedName name="IQ_BANK_SECURITIZATION_OTHER_CONSUMER_LOANS_FDIC" hidden="1" function="0" vbProcedure="0">"c6717"</definedName>
    <definedName name="IQ_BANK_SECURITIZATION_OTHER_LOANS_FDIC" hidden="1" function="0" vbProcedure="0">"c6720"</definedName>
    <definedName name="IQ_BASIC_EPS_EXCL" hidden="1" function="0" vbProcedure="0">"c85"</definedName>
    <definedName name="IQ_BASIC_EPS_INCL" hidden="1" function="0" vbProcedure="0">"c86"</definedName>
    <definedName name="IQ_BASIC_NORMAL_EPS" hidden="1" function="0" vbProcedure="0">"c1592"</definedName>
    <definedName name="IQ_BASIC_WEIGHT" hidden="1" function="0" vbProcedure="0">"c87"</definedName>
    <definedName name="IQ_BENCHMARK_SECURITY" hidden="1" function="0" vbProcedure="0">"c2154"</definedName>
    <definedName name="IQ_BENCHMARK_SPRD" hidden="1" function="0" vbProcedure="0">"c2153"</definedName>
    <definedName name="IQ_BETA" hidden="1" function="0" vbProcedure="0">"c88"</definedName>
    <definedName name="IQ_BETA_1YR" hidden="1" function="0" vbProcedure="0">"c1966"</definedName>
    <definedName name="IQ_BETA_1YR_RSQ" hidden="1" function="0" vbProcedure="0">"c2132"</definedName>
    <definedName name="IQ_BETA_2YR" hidden="1" function="0" vbProcedure="0">"c1965"</definedName>
    <definedName name="IQ_BETA_2YR_RSQ" hidden="1" function="0" vbProcedure="0">"c2131"</definedName>
    <definedName name="IQ_BETA_5YR" hidden="1" function="0" vbProcedure="0">"c88"</definedName>
    <definedName name="IQ_BETA_5YR_RSQ" hidden="1" function="0" vbProcedure="0">"c2130"</definedName>
    <definedName name="IQ_BIG_INT_BEAR_CD" hidden="1" function="0" vbProcedure="0">"c89"</definedName>
    <definedName name="IQ_BOARD_MEMBER" hidden="1" function="0" vbProcedure="0">"c96"</definedName>
    <definedName name="IQ_BOARD_MEMBER_BACKGROUND" hidden="1" function="0" vbProcedure="0">"c2101"</definedName>
    <definedName name="IQ_BOARD_MEMBER_TITLE" hidden="1" function="0" vbProcedure="0">"c97"</definedName>
    <definedName name="IQ_BOND_COUPON" hidden="1" function="0" vbProcedure="0">"c2183"</definedName>
    <definedName name="IQ_BOND_COUPON_TYPE" hidden="1" function="0" vbProcedure="0">"c2184"</definedName>
    <definedName name="IQ_BOND_PRICE" hidden="1" function="0" vbProcedure="0">"c2162"</definedName>
    <definedName name="IQ_BROKERED_DEPOSITS_FDIC" hidden="1" function="0" vbProcedure="0">"c6486"</definedName>
    <definedName name="IQ_BROK_COMISSION" hidden="1" function="0" vbProcedure="0">"c98"</definedName>
    <definedName name="IQ_BUDGET_BALANCE_APR_FC_UNUSED_UNUSED_UNUSED" hidden="1" function="0" vbProcedure="0">"c8359"</definedName>
    <definedName name="IQ_BUDGET_BALANCE_APR_UNUSED_UNUSED_UNUSED" hidden="1" function="0" vbProcedure="0">"c7479"</definedName>
    <definedName name="IQ_BUDGET_BALANCE_FC_UNUSED_UNUSED_UNUSED" hidden="1" function="0" vbProcedure="0">"c7699"</definedName>
    <definedName name="IQ_BUDGET_BALANCE_POP_FC_UNUSED_UNUSED_UNUSED" hidden="1" function="0" vbProcedure="0">"c7919"</definedName>
    <definedName name="IQ_BUDGET_BALANCE_POP_UNUSED_UNUSED_UNUSED" hidden="1" function="0" vbProcedure="0">"c7039"</definedName>
    <definedName name="IQ_BUDGET_BALANCE_UNUSED_UNUSED_UNUSED" hidden="1" function="0" vbProcedure="0">"c6819"</definedName>
    <definedName name="IQ_BUDGET_BALANCE_YOY_FC_UNUSED_UNUSED_UNUSED" hidden="1" function="0" vbProcedure="0">"c8139"</definedName>
    <definedName name="IQ_BUDGET_BALANCE_YOY_UNUSED_UNUSED_UNUSED" hidden="1" function="0" vbProcedure="0">"c7259"</definedName>
    <definedName name="IQ_BUDGET_RECEIPTS_APR_FC_UNUSED_UNUSED_UNUSED" hidden="1" function="0" vbProcedure="0">"c8361"</definedName>
    <definedName name="IQ_BUDGET_RECEIPTS_APR_UNUSED_UNUSED_UNUSED" hidden="1" function="0" vbProcedure="0">"c7481"</definedName>
    <definedName name="IQ_BUDGET_RECEIPTS_FC_UNUSED_UNUSED_UNUSED" hidden="1" function="0" vbProcedure="0">"c7701"</definedName>
    <definedName name="IQ_BUDGET_RECEIPTS_POP_FC_UNUSED_UNUSED_UNUSED" hidden="1" function="0" vbProcedure="0">"c7921"</definedName>
    <definedName name="IQ_BUDGET_RECEIPTS_POP_UNUSED_UNUSED_UNUSED" hidden="1" function="0" vbProcedure="0">"c7041"</definedName>
    <definedName name="IQ_BUDGET_RECEIPTS_UNUSED_UNUSED_UNUSED" hidden="1" function="0" vbProcedure="0">"c6821"</definedName>
    <definedName name="IQ_BUDGET_RECEIPTS_YOY_FC_UNUSED_UNUSED_UNUSED" hidden="1" function="0" vbProcedure="0">"c8141"</definedName>
    <definedName name="IQ_BUDGET_RECEIPTS_YOY_UNUSED_UNUSED_UNUSED" hidden="1" function="0" vbProcedure="0">"c7261"</definedName>
    <definedName name="IQ_BUILDINGS" hidden="1" function="0" vbProcedure="0">"c99"</definedName>
    <definedName name="IQ_BUSINESS_DESCRIPTION" hidden="1" function="0" vbProcedure="0">"c322"</definedName>
    <definedName name="IQ_BV_OVER_SHARES" hidden="1" function="0" vbProcedure="0">"c100"</definedName>
    <definedName name="IQ_BV_SHARE" hidden="1" function="0" vbProcedure="0">"c100"</definedName>
    <definedName name="IQ_BV_SHARE_ACT_OR_EST_REUT" hidden="1" function="0" vbProcedure="0">"c5477"</definedName>
    <definedName name="IQ_BV_SHARE_EST_REUT" hidden="1" function="0" vbProcedure="0">"c5439"</definedName>
    <definedName name="IQ_BV_SHARE_HIGH_EST_REUT" hidden="1" function="0" vbProcedure="0">"c5441"</definedName>
    <definedName name="IQ_BV_SHARE_LOW_EST_REUT" hidden="1" function="0" vbProcedure="0">"c5442"</definedName>
    <definedName name="IQ_BV_SHARE_MEDIAN_EST_REUT" hidden="1" function="0" vbProcedure="0">"c5440"</definedName>
    <definedName name="IQ_BV_SHARE_NUM_EST_REUT" hidden="1" function="0" vbProcedure="0">"c5443"</definedName>
    <definedName name="IQ_BV_SHARE_STDDEV_EST_REUT" hidden="1" function="0" vbProcedure="0">"c5444"</definedName>
    <definedName name="IQ_CALLABLE" hidden="1" function="0" vbProcedure="0">"c2196"</definedName>
    <definedName name="IQ_CALL_FEATURE" hidden="1" function="0" vbProcedure="0">"c2197"</definedName>
    <definedName name="IQ_CAL_Q" hidden="1" function="0" vbProcedure="0">"c101"</definedName>
    <definedName name="IQ_CAL_Y" hidden="1" function="0" vbProcedure="0">"c102"</definedName>
    <definedName name="IQ_CAPEX" hidden="1" function="0" vbProcedure="0">"c103"</definedName>
    <definedName name="IQ_CAPEX_10YR_ANN_GROWTH" hidden="1" function="0" vbProcedure="0">"c104"</definedName>
    <definedName name="IQ_CAPEX_1YR_ANN_GROWTH" hidden="1" function="0" vbProcedure="0">"c105"</definedName>
    <definedName name="IQ_CAPEX_2YR_ANN_GROWTH" hidden="1" function="0" vbProcedure="0">"c106"</definedName>
    <definedName name="IQ_CAPEX_3YR_ANN_GROWTH" hidden="1" function="0" vbProcedure="0">"c107"</definedName>
    <definedName name="IQ_CAPEX_5YR_ANN_GROWTH" hidden="1" function="0" vbProcedure="0">"c108"</definedName>
    <definedName name="IQ_CAPEX_7YR_ANN_GROWTH" hidden="1" function="0" vbProcedure="0">"c109"</definedName>
    <definedName name="IQ_CAPEX_ACT_OR_EST_REUT" hidden="1" function="0" vbProcedure="0">"c5474"</definedName>
    <definedName name="IQ_CAPEX_BNK" hidden="1" function="0" vbProcedure="0">"c110"</definedName>
    <definedName name="IQ_CAPEX_BR" hidden="1" function="0" vbProcedure="0">"c111"</definedName>
    <definedName name="IQ_CAPEX_EST_REUT" hidden="1" function="0" vbProcedure="0">"c3969"</definedName>
    <definedName name="IQ_CAPEX_FIN" hidden="1" function="0" vbProcedure="0">"c112"</definedName>
    <definedName name="IQ_CAPEX_HIGH_EST_REUT" hidden="1" function="0" vbProcedure="0">"c3971"</definedName>
    <definedName name="IQ_CAPEX_INS" hidden="1" function="0" vbProcedure="0">"c113"</definedName>
    <definedName name="IQ_CAPEX_LOW_EST_REUT" hidden="1" function="0" vbProcedure="0">"c3972"</definedName>
    <definedName name="IQ_CAPEX_MEDIAN_EST_REUT" hidden="1" function="0" vbProcedure="0">"c3970"</definedName>
    <definedName name="IQ_CAPEX_NUM_EST_REUT" hidden="1" function="0" vbProcedure="0">"c3973"</definedName>
    <definedName name="IQ_CAPEX_STDDEV_EST_REUT" hidden="1" function="0" vbProcedure="0">"c3974"</definedName>
    <definedName name="IQ_CAPEX_UTI" hidden="1" function="0" vbProcedure="0">"c114"</definedName>
    <definedName name="IQ_CAPITALIZED_INTEREST" hidden="1" function="0" vbProcedure="0">"c2076"</definedName>
    <definedName name="IQ_CAPITAL_LEASE" hidden="1" function="0" vbProcedure="0">"c115"</definedName>
    <definedName name="IQ_CAPITAL_LEASES" hidden="1" function="0" vbProcedure="0">"c115"</definedName>
    <definedName name="IQ_CASH" hidden="1" function="0" vbProcedure="0">"c118"</definedName>
    <definedName name="IQ_CASH_ACQUIRE_CF" hidden="1" function="0" vbProcedure="0">"c1630"</definedName>
    <definedName name="IQ_CASH_CONVERSION" hidden="1" function="0" vbProcedure="0">"c117"</definedName>
    <definedName name="IQ_CASH_DIVIDENDS_NET_INCOME_FDIC" hidden="1" function="0" vbProcedure="0">"c6738"</definedName>
    <definedName name="IQ_CASH_DUE_BANKS" hidden="1" function="0" vbProcedure="0">"c118"</definedName>
    <definedName name="IQ_CASH_EQUIV" hidden="1" function="0" vbProcedure="0">"c118"</definedName>
    <definedName name="IQ_CASH_FINAN" hidden="1" function="0" vbProcedure="0">"c119"</definedName>
    <definedName name="IQ_CASH_INTEREST" hidden="1" function="0" vbProcedure="0">"c120"</definedName>
    <definedName name="IQ_CASH_INVEST" hidden="1" function="0" vbProcedure="0">"c121"</definedName>
    <definedName name="IQ_CASH_IN_PROCESS_FDIC" hidden="1" function="0" vbProcedure="0">"c6386"</definedName>
    <definedName name="IQ_CASH_OPER" hidden="1" function="0" vbProcedure="0">"c122"</definedName>
    <definedName name="IQ_CASH_SEGREG" hidden="1" function="0" vbProcedure="0">"c123"</definedName>
    <definedName name="IQ_CASH_SHARE" hidden="1" function="0" vbProcedure="0">"c1911"</definedName>
    <definedName name="IQ_CASH_ST" hidden="1" function="0" vbProcedure="0">"c124"</definedName>
    <definedName name="IQ_CASH_ST_INVEST" hidden="1" function="0" vbProcedure="0">"c124"</definedName>
    <definedName name="IQ_CASH_TAXES" hidden="1" function="0" vbProcedure="0">"c125"</definedName>
    <definedName name="IQ_CCE_FDIC" hidden="1" function="0" vbProcedure="0">"c6296"</definedName>
    <definedName name="IQ_CFO_10YR_ANN_GROWTH" hidden="1" function="0" vbProcedure="0">"c126"</definedName>
    <definedName name="IQ_CFO_1YR_ANN_GROWTH" hidden="1" function="0" vbProcedure="0">"c127"</definedName>
    <definedName name="IQ_CFO_2YR_ANN_GROWTH" hidden="1" function="0" vbProcedure="0">"c128"</definedName>
    <definedName name="IQ_CFO_3YR_ANN_GROWTH" hidden="1" function="0" vbProcedure="0">"c129"</definedName>
    <definedName name="IQ_CFO_5YR_ANN_GROWTH" hidden="1" function="0" vbProcedure="0">"c130"</definedName>
    <definedName name="IQ_CFO_7YR_ANN_GROWTH" hidden="1" function="0" vbProcedure="0">"c131"</definedName>
    <definedName name="IQ_CFO_CURRENT_LIAB" hidden="1" function="0" vbProcedure="0">"c132"</definedName>
    <definedName name="IQ_CFPS_ACT_OR_EST_REUT" hidden="1" function="0" vbProcedure="0">"c5463"</definedName>
    <definedName name="IQ_CFPS_EST_REUT" hidden="1" function="0" vbProcedure="0">"c3844"</definedName>
    <definedName name="IQ_CFPS_HIGH_EST_REUT" hidden="1" function="0" vbProcedure="0">"c3846"</definedName>
    <definedName name="IQ_CFPS_LOW_EST_REUT" hidden="1" function="0" vbProcedure="0">"c3847"</definedName>
    <definedName name="IQ_CFPS_MEDIAN_EST_REUT" hidden="1" function="0" vbProcedure="0">"c3845"</definedName>
    <definedName name="IQ_CFPS_NUM_EST_REUT" hidden="1" function="0" vbProcedure="0">"c3848"</definedName>
    <definedName name="IQ_CFPS_STDDEV_EST_REUT" hidden="1" function="0" vbProcedure="0">"c3849"</definedName>
    <definedName name="IQ_CH" hidden="0" function="0" vbProcedure="0">110000</definedName>
    <definedName name="IQ_CHANGES_WORK_CAP" hidden="1" function="0" vbProcedure="0">"c161"</definedName>
    <definedName name="IQ_CHANGE_AP" hidden="1" function="0" vbProcedure="0">"c133"</definedName>
    <definedName name="IQ_CHANGE_AP_BNK" hidden="1" function="0" vbProcedure="0">"c134"</definedName>
    <definedName name="IQ_CHANGE_AP_BR" hidden="1" function="0" vbProcedure="0">"c135"</definedName>
    <definedName name="IQ_CHANGE_AP_FIN" hidden="1" function="0" vbProcedure="0">"c136"</definedName>
    <definedName name="IQ_CHANGE_AP_INS" hidden="1" function="0" vbProcedure="0">"c137"</definedName>
    <definedName name="IQ_CHANGE_AP_REIT" hidden="1" function="0" vbProcedure="0">"c138"</definedName>
    <definedName name="IQ_CHANGE_AP_UTI" hidden="1" function="0" vbProcedure="0">"c139"</definedName>
    <definedName name="IQ_CHANGE_AR" hidden="1" function="0" vbProcedure="0">"c140"</definedName>
    <definedName name="IQ_CHANGE_AR_BNK" hidden="1" function="0" vbProcedure="0">"c141"</definedName>
    <definedName name="IQ_CHANGE_AR_BR" hidden="1" function="0" vbProcedure="0">"c142"</definedName>
    <definedName name="IQ_CHANGE_AR_FIN" hidden="1" function="0" vbProcedure="0">"c143"</definedName>
    <definedName name="IQ_CHANGE_AR_INS" hidden="1" function="0" vbProcedure="0">"c144"</definedName>
    <definedName name="IQ_CHANGE_AR_REIT" hidden="1" function="0" vbProcedure="0">"c145"</definedName>
    <definedName name="IQ_CHANGE_AR_UTI" hidden="1" function="0" vbProcedure="0">"c146"</definedName>
    <definedName name="IQ_CHANGE_DEF_TAX" hidden="1" function="0" vbProcedure="0">"c147"</definedName>
    <definedName name="IQ_CHANGE_DEPOSIT_ACCT" hidden="1" function="0" vbProcedure="0">"c148"</definedName>
    <definedName name="IQ_CHANGE_INC_TAX" hidden="1" function="0" vbProcedure="0">"c149"</definedName>
    <definedName name="IQ_CHANGE_INS_RES_LIAB" hidden="1" function="0" vbProcedure="0">"c150"</definedName>
    <definedName name="IQ_CHANGE_INVENTORY" hidden="1" function="0" vbProcedure="0">"c151"</definedName>
    <definedName name="IQ_CHANGE_INVENT_REAL_APR_FC_UNUSED_UNUSED_UNUSED" hidden="1" function="0" vbProcedure="0">"c8500"</definedName>
    <definedName name="IQ_CHANGE_INVENT_REAL_APR_UNUSED_UNUSED_UNUSED" hidden="1" function="0" vbProcedure="0">"c7620"</definedName>
    <definedName name="IQ_CHANGE_INVENT_REAL_FC_UNUSED_UNUSED_UNUSED" hidden="1" function="0" vbProcedure="0">"c7840"</definedName>
    <definedName name="IQ_CHANGE_INVENT_REAL_POP_FC_UNUSED_UNUSED_UNUSED" hidden="1" function="0" vbProcedure="0">"c8060"</definedName>
    <definedName name="IQ_CHANGE_INVENT_REAL_POP_UNUSED_UNUSED_UNUSED" hidden="1" function="0" vbProcedure="0">"c7180"</definedName>
    <definedName name="IQ_CHANGE_INVENT_REAL_UNUSED_UNUSED_UNUSED" hidden="1" function="0" vbProcedure="0">"c6960"</definedName>
    <definedName name="IQ_CHANGE_INVENT_REAL_YOY_FC_UNUSED_UNUSED_UNUSED" hidden="1" function="0" vbProcedure="0">"c8280"</definedName>
    <definedName name="IQ_CHANGE_INVENT_REAL_YOY_UNUSED_UNUSED_UNUSED" hidden="1" function="0" vbProcedure="0">"c7400"</definedName>
    <definedName name="IQ_CHANGE_NET_WORKING_CAPITAL" hidden="1" function="0" vbProcedure="0">"c1909"</definedName>
    <definedName name="IQ_CHANGE_OTHER_NET_OPER_ASSETS_BR" hidden="1" function="0" vbProcedure="0">"c3595"</definedName>
    <definedName name="IQ_CHANGE_OTHER_WORK_CAP" hidden="1" function="0" vbProcedure="0">"c152"</definedName>
    <definedName name="IQ_CHANGE_OTHER_WORK_CAP_BNK" hidden="1" function="0" vbProcedure="0">"c153"</definedName>
    <definedName name="IQ_CHANGE_OTHER_WORK_CAP_BR" hidden="1" function="0" vbProcedure="0">"c154"</definedName>
    <definedName name="IQ_CHANGE_OTHER_WORK_CAP_FIN" hidden="1" function="0" vbProcedure="0">"c155"</definedName>
    <definedName name="IQ_CHANGE_OTHER_WORK_CAP_INS" hidden="1" function="0" vbProcedure="0">"c156"</definedName>
    <definedName name="IQ_CHANGE_OTHER_WORK_CAP_REIT" hidden="1" function="0" vbProcedure="0">"c157"</definedName>
    <definedName name="IQ_CHANGE_OTHER_WORK_CAP_UTI" hidden="1" function="0" vbProcedure="0">"c158"</definedName>
    <definedName name="IQ_CHANGE_TRADING_ASSETS" hidden="1" function="0" vbProcedure="0">"c159"</definedName>
    <definedName name="IQ_CHANGE_UNEARN_REV" hidden="1" function="0" vbProcedure="0">"c160"</definedName>
    <definedName name="IQ_CHANGE_WORK_CAP" hidden="1" function="0" vbProcedure="0">"c161"</definedName>
    <definedName name="IQ_CHARGE_OFFS_1_4_FAMILY_FDIC" hidden="1" function="0" vbProcedure="0">"c6756"</definedName>
    <definedName name="IQ_CHARGE_OFFS_1_4_FAMILY_LOANS_FDIC" hidden="1" function="0" vbProcedure="0">"c6714"</definedName>
    <definedName name="IQ_CHARGE_OFFS_AUTO_LOANS_FDIC" hidden="1" function="0" vbProcedure="0">"c6708"</definedName>
    <definedName name="IQ_CHARGE_OFFS_CL_LOANS_FDIC" hidden="1" function="0" vbProcedure="0">"c6709"</definedName>
    <definedName name="IQ_CHARGE_OFFS_COMMERCIAL_INDUSTRIAL_FDIC" hidden="1" function="0" vbProcedure="0">"c6759"</definedName>
    <definedName name="IQ_CHARGE_OFFS_COMMERCIAL_RE_FDIC" hidden="1" function="0" vbProcedure="0">"c6754"</definedName>
    <definedName name="IQ_CHARGE_OFFS_COMMERCIAL_RE_NOT_SECURED_FDIC" hidden="1" function="0" vbProcedure="0">"c6764"</definedName>
    <definedName name="IQ_CHARGE_OFFS_CONSTRUCTION_DEVELOPMENT_FDIC" hidden="1" function="0" vbProcedure="0">"c6753"</definedName>
    <definedName name="IQ_CHARGE_OFFS_CREDIT_CARDS_FDIC" hidden="1" function="0" vbProcedure="0">"c6761"</definedName>
    <definedName name="IQ_CHARGE_OFFS_CREDIT_CARDS_RECEIVABLES_FDIC" hidden="1" function="0" vbProcedure="0">"c6711"</definedName>
    <definedName name="IQ_CHARGE_OFFS_GROSS" hidden="1" function="0" vbProcedure="0">"c162"</definedName>
    <definedName name="IQ_CHARGE_OFFS_HOME_EQUITY_FDIC" hidden="1" function="0" vbProcedure="0">"c6757"</definedName>
    <definedName name="IQ_CHARGE_OFFS_HOME_EQUITY_LINES_FDIC" hidden="1" function="0" vbProcedure="0">"c6712"</definedName>
    <definedName name="IQ_CHARGE_OFFS_INDIVIDUALS_FDIC" hidden="1" function="0" vbProcedure="0">"c6760"</definedName>
    <definedName name="IQ_CHARGE_OFFS_MULTI_FAMILY_FDIC" hidden="1" function="0" vbProcedure="0">"c6755"</definedName>
    <definedName name="IQ_CHARGE_OFFS_NET" hidden="1" function="0" vbProcedure="0">"c163"</definedName>
    <definedName name="IQ_CHARGE_OFFS_OTHER_1_4_FAMILY_FDIC" hidden="1" function="0" vbProcedure="0">"c6758"</definedName>
    <definedName name="IQ_CHARGE_OFFS_OTHER_CONSUMER_LOANS_FDIC" hidden="1" function="0" vbProcedure="0">"c6710"</definedName>
    <definedName name="IQ_CHARGE_OFFS_OTHER_INDIVIDUAL_FDIC" hidden="1" function="0" vbProcedure="0">"c6762"</definedName>
    <definedName name="IQ_CHARGE_OFFS_OTHER_LOANS_FDIC" hidden="1" function="0" vbProcedure="0">"c6763"</definedName>
    <definedName name="IQ_CHARGE_OFFS_OTHER_LOANS_OTHER_FDIC" hidden="1" function="0" vbProcedure="0">"c6713"</definedName>
    <definedName name="IQ_CHARGE_OFFS_RECOVERED" hidden="1" function="0" vbProcedure="0">"c164"</definedName>
    <definedName name="IQ_CHARGE_OFFS_RE_LOANS_FDIC" hidden="1" function="0" vbProcedure="0">"c6752"</definedName>
    <definedName name="IQ_CHARGE_OFFS_TOTAL_AVG_LOANS" hidden="1" function="0" vbProcedure="0">"c165"</definedName>
    <definedName name="IQ_CITY" hidden="1" function="0" vbProcedure="0">"c166"</definedName>
    <definedName name="IQ_CLASSA_OUTSTANDING_BS_DATE" hidden="1" function="0" vbProcedure="0">"c1971"</definedName>
    <definedName name="IQ_CLASSA_OUTSTANDING_FILING_DATE" hidden="1" function="0" vbProcedure="0">"c1973"</definedName>
    <definedName name="IQ_CLASSB_OUTSTANDING_BS_DATE" hidden="1" function="0" vbProcedure="0">"c1972"</definedName>
    <definedName name="IQ_CLASSB_OUTSTANDING_FILING_DATE" hidden="1" function="0" vbProcedure="0">"c1974"</definedName>
    <definedName name="IQ_CLOSEPRICE" hidden="1" function="0" vbProcedure="0">"c174"</definedName>
    <definedName name="IQ_CLOSEPRICE_ADJ" hidden="1" function="0" vbProcedure="0">"c2115"</definedName>
    <definedName name="IQ_CL_DUE_AFTER_FIVE" hidden="1" function="0" vbProcedure="0">"c167"</definedName>
    <definedName name="IQ_CL_DUE_CY" hidden="1" function="0" vbProcedure="0">"c168"</definedName>
    <definedName name="IQ_CL_DUE_CY1" hidden="1" function="0" vbProcedure="0">"c169"</definedName>
    <definedName name="IQ_CL_DUE_CY2" hidden="1" function="0" vbProcedure="0">"c170"</definedName>
    <definedName name="IQ_CL_DUE_CY3" hidden="1" function="0" vbProcedure="0">"c171"</definedName>
    <definedName name="IQ_CL_DUE_CY4" hidden="1" function="0" vbProcedure="0">"c172"</definedName>
    <definedName name="IQ_CL_DUE_NEXT_FIVE" hidden="1" function="0" vbProcedure="0">"c173"</definedName>
    <definedName name="IQ_CMO_FDIC" hidden="1" function="0" vbProcedure="0">"c6406"</definedName>
    <definedName name="IQ_COGS" hidden="1" function="0" vbProcedure="0">"c175"</definedName>
    <definedName name="IQ_COLLECTION_DOMESTIC_FDIC" hidden="1" function="0" vbProcedure="0">"c6387"</definedName>
    <definedName name="IQ_COMBINED_RATIO" hidden="1" function="0" vbProcedure="0">"c176"</definedName>
    <definedName name="IQ_COMMERCIAL_BANKS_DEPOSITS_FOREIGN_FDIC" hidden="1" function="0" vbProcedure="0">"c6480"</definedName>
    <definedName name="IQ_COMMERCIAL_BANKS_LOANS_FDIC" hidden="1" function="0" vbProcedure="0">"c6434"</definedName>
    <definedName name="IQ_COMMERCIAL_BANKS_NONTRANSACTION_ACCOUNTS_FDIC" hidden="1" function="0" vbProcedure="0">"c6548"</definedName>
    <definedName name="IQ_COMMERCIAL_BANKS_TOTAL_DEPOSITS_FDIC" hidden="1" function="0" vbProcedure="0">"c6474"</definedName>
    <definedName name="IQ_COMMERCIAL_BANKS_TOTAL_LOANS_FOREIGN_FDIC" hidden="1" function="0" vbProcedure="0">"c6444"</definedName>
    <definedName name="IQ_COMMERCIAL_BANKS_TRANSACTION_ACCOUNTS_FDIC" hidden="1" function="0" vbProcedure="0">"c6540"</definedName>
    <definedName name="IQ_COMMERCIAL_DOM" hidden="1" function="0" vbProcedure="0">"c177"</definedName>
    <definedName name="IQ_COMMERCIAL_FIRE_WRITTEN" hidden="1" function="0" vbProcedure="0">"c178"</definedName>
    <definedName name="IQ_COMMERCIAL_INDUSTRIAL_CHARGE_OFFS_FDIC" hidden="1" function="0" vbProcedure="0">"c6598"</definedName>
    <definedName name="IQ_COMMERCIAL_INDUSTRIAL_LOANS_NET_FDIC" hidden="1" function="0" vbProcedure="0">"c6317"</definedName>
    <definedName name="IQ_COMMERCIAL_INDUSTRIAL_NET_CHARGE_OFFS_FDIC" hidden="1" function="0" vbProcedure="0">"c6636"</definedName>
    <definedName name="IQ_COMMERCIAL_INDUSTRIAL_RECOVERIES_FDIC" hidden="1" function="0" vbProcedure="0">"c6617"</definedName>
    <definedName name="IQ_COMMERCIAL_INDUSTRIAL_TOTAL_LOANS_FOREIGN_FDIC" hidden="1" function="0" vbProcedure="0">"c6451"</definedName>
    <definedName name="IQ_COMMERCIAL_MORT" hidden="1" function="0" vbProcedure="0">"c179"</definedName>
    <definedName name="IQ_COMMERCIAL_RE_CONSTRUCTION_LAND_DEV_FDIC" hidden="1" function="0" vbProcedure="0">"c6526"</definedName>
    <definedName name="IQ_COMMERCIAL_RE_LOANS_FDIC" hidden="1" function="0" vbProcedure="0">"c6312"</definedName>
    <definedName name="IQ_COMMISSION_DEF" hidden="1" function="0" vbProcedure="0">"c181"</definedName>
    <definedName name="IQ_COMMISS_FEES" hidden="1" function="0" vbProcedure="0">"c180"</definedName>
    <definedName name="IQ_COMMITMENTS_MATURITY_EXCEEDING_1YR_FDIC" hidden="1" function="0" vbProcedure="0">"c6531"</definedName>
    <definedName name="IQ_COMMITMENTS_NOT_SECURED_RE_FDIC" hidden="1" function="0" vbProcedure="0">"c6528"</definedName>
    <definedName name="IQ_COMMITMENTS_SECURED_RE_FDIC" hidden="1" function="0" vbProcedure="0">"c6527"</definedName>
    <definedName name="IQ_COMMODITY_EXPOSURES_FDIC" hidden="1" function="0" vbProcedure="0">"c6665"</definedName>
    <definedName name="IQ_COMMON" hidden="1" function="0" vbProcedure="0">"c182"</definedName>
    <definedName name="IQ_COMMON_APIC" hidden="1" function="0" vbProcedure="0">"c183"</definedName>
    <definedName name="IQ_COMMON_APIC_BNK" hidden="1" function="0" vbProcedure="0">"c184"</definedName>
    <definedName name="IQ_COMMON_APIC_BR" hidden="1" function="0" vbProcedure="0">"c185"</definedName>
    <definedName name="IQ_COMMON_APIC_FIN" hidden="1" function="0" vbProcedure="0">"c186"</definedName>
    <definedName name="IQ_COMMON_APIC_INS" hidden="1" function="0" vbProcedure="0">"c187"</definedName>
    <definedName name="IQ_COMMON_APIC_REIT" hidden="1" function="0" vbProcedure="0">"c188"</definedName>
    <definedName name="IQ_COMMON_APIC_UTI" hidden="1" function="0" vbProcedure="0">"c189"</definedName>
    <definedName name="IQ_COMMON_DIV_CF" hidden="1" function="0" vbProcedure="0">"c190"</definedName>
    <definedName name="IQ_COMMON_EQUITY_10YR_ANN_GROWTH" hidden="1" function="0" vbProcedure="0">"c191"</definedName>
    <definedName name="IQ_COMMON_EQUITY_1YR_ANN_GROWTH" hidden="1" function="0" vbProcedure="0">"c192"</definedName>
    <definedName name="IQ_COMMON_EQUITY_2YR_ANN_GROWTH" hidden="1" function="0" vbProcedure="0">"c193"</definedName>
    <definedName name="IQ_COMMON_EQUITY_3YR_ANN_GROWTH" hidden="1" function="0" vbProcedure="0">"c194"</definedName>
    <definedName name="IQ_COMMON_EQUITY_5YR_ANN_GROWTH" hidden="1" function="0" vbProcedure="0">"c195"</definedName>
    <definedName name="IQ_COMMON_EQUITY_7YR_ANN_GROWTH" hidden="1" function="0" vbProcedure="0">"c196"</definedName>
    <definedName name="IQ_COMMON_FDIC" hidden="1" function="0" vbProcedure="0">"c6350"</definedName>
    <definedName name="IQ_COMMON_ISSUED" hidden="1" function="0" vbProcedure="0">"c197"</definedName>
    <definedName name="IQ_COMMON_ISSUED_BNK" hidden="1" function="0" vbProcedure="0">"c198"</definedName>
    <definedName name="IQ_COMMON_ISSUED_BR" hidden="1" function="0" vbProcedure="0">"c199"</definedName>
    <definedName name="IQ_COMMON_ISSUED_FIN" hidden="1" function="0" vbProcedure="0">"c200"</definedName>
    <definedName name="IQ_COMMON_ISSUED_INS" hidden="1" function="0" vbProcedure="0">"c201"</definedName>
    <definedName name="IQ_COMMON_ISSUED_REIT" hidden="1" function="0" vbProcedure="0">"c202"</definedName>
    <definedName name="IQ_COMMON_ISSUED_UTI" hidden="1" function="0" vbProcedure="0">"c203"</definedName>
    <definedName name="IQ_COMMON_PER_ADR" hidden="1" function="0" vbProcedure="0">"c204"</definedName>
    <definedName name="IQ_COMMON_PREF_DIV_CF" hidden="1" function="0" vbProcedure="0">"c205"</definedName>
    <definedName name="IQ_COMMON_REP" hidden="1" function="0" vbProcedure="0">"c206"</definedName>
    <definedName name="IQ_COMMON_REP_BNK" hidden="1" function="0" vbProcedure="0">"c207"</definedName>
    <definedName name="IQ_COMMON_REP_BR" hidden="1" function="0" vbProcedure="0">"c208"</definedName>
    <definedName name="IQ_COMMON_REP_FIN" hidden="1" function="0" vbProcedure="0">"c209"</definedName>
    <definedName name="IQ_COMMON_REP_INS" hidden="1" function="0" vbProcedure="0">"c210"</definedName>
    <definedName name="IQ_COMMON_REP_REIT" hidden="1" function="0" vbProcedure="0">"c211"</definedName>
    <definedName name="IQ_COMMON_REP_UTI" hidden="1" function="0" vbProcedure="0">"c212"</definedName>
    <definedName name="IQ_COMMON_STOCK" hidden="1" function="0" vbProcedure="0">"c182"</definedName>
    <definedName name="IQ_COMPANY_ADDRESS" hidden="1" function="0" vbProcedure="0">"c214"</definedName>
    <definedName name="IQ_COMPANY_NAME" hidden="1" function="0" vbProcedure="0">"c215"</definedName>
    <definedName name="IQ_COMPANY_NAME_LONG" hidden="1" function="0" vbProcedure="0">"c1585"</definedName>
    <definedName name="IQ_COMPANY_PHONE" hidden="1" function="0" vbProcedure="0">"c216"</definedName>
    <definedName name="IQ_COMPANY_STATUS" hidden="1" function="0" vbProcedure="0">"c2097"</definedName>
    <definedName name="IQ_COMPANY_STREET1" hidden="1" function="0" vbProcedure="0">"c217"</definedName>
    <definedName name="IQ_COMPANY_STREET2" hidden="1" function="0" vbProcedure="0">"c218"</definedName>
    <definedName name="IQ_COMPANY_TICKER" hidden="1" function="0" vbProcedure="0">"c219"</definedName>
    <definedName name="IQ_COMPANY_TYPE" hidden="1" function="0" vbProcedure="0">"c2096"</definedName>
    <definedName name="IQ_COMPANY_WEBSITE" hidden="1" function="0" vbProcedure="0">"c220"</definedName>
    <definedName name="IQ_COMPANY_ZIP" hidden="1" function="0" vbProcedure="0">"c221"</definedName>
    <definedName name="IQ_COMP_BENEFITS" hidden="1" function="0" vbProcedure="0">"c213"</definedName>
    <definedName name="IQ_CONSTRUCTION_DEV_LOANS_FDIC" hidden="1" function="0" vbProcedure="0">"c6313"</definedName>
    <definedName name="IQ_CONSTRUCTION_LAND_DEVELOPMENT_CHARGE_OFFS_FDIC" hidden="1" function="0" vbProcedure="0">"c6594"</definedName>
    <definedName name="IQ_CONSTRUCTION_LAND_DEVELOPMENT_NET_CHARGE_OFFS_FDIC" hidden="1" function="0" vbProcedure="0">"c6632"</definedName>
    <definedName name="IQ_CONSTRUCTION_LAND_DEVELOPMENT_RECOVERIES_FDIC" hidden="1" function="0" vbProcedure="0">"c6613"</definedName>
    <definedName name="IQ_CONSTRUCTION_LOANS" hidden="1" function="0" vbProcedure="0">"c222"</definedName>
    <definedName name="IQ_CONSUMER_LOANS" hidden="1" function="0" vbProcedure="0">"c223"</definedName>
    <definedName name="IQ_CONTRACTS_OTHER_COMMODITIES_EQUITIES_FDIC" hidden="1" function="0" vbProcedure="0">"c6522"</definedName>
    <definedName name="IQ_CONVEXITY" hidden="1" function="0" vbProcedure="0">"c2182"</definedName>
    <definedName name="IQ_CONVEYED_TO_OTHERS_FDIC" hidden="1" function="0" vbProcedure="0">"c6534"</definedName>
    <definedName name="IQ_CONV_DATE" hidden="1" function="0" vbProcedure="0">"c2191"</definedName>
    <definedName name="IQ_CONV_PREMIUM" hidden="1" function="0" vbProcedure="0">"c2195"</definedName>
    <definedName name="IQ_CONV_PRICE" hidden="1" function="0" vbProcedure="0">"c2193"</definedName>
    <definedName name="IQ_CONV_RATE" hidden="1" function="0" vbProcedure="0">"c2192"</definedName>
    <definedName name="IQ_CONV_SECURITY" hidden="1" function="0" vbProcedure="0">"c2189"</definedName>
    <definedName name="IQ_CONV_SECURITY_ISSUER" hidden="1" function="0" vbProcedure="0">"c2190"</definedName>
    <definedName name="IQ_CONV_SECURITY_PRICE" hidden="1" function="0" vbProcedure="0">"c2194"</definedName>
    <definedName name="IQ_CORE_CAPITAL_RATIO_FDIC" hidden="1" function="0" vbProcedure="0">"c6745"</definedName>
    <definedName name="IQ_CORP_GOODS_PRICE_INDEX_APR_FC_UNUSED_UNUSED_UNUSED" hidden="1" function="0" vbProcedure="0">"c8381"</definedName>
    <definedName name="IQ_CORP_GOODS_PRICE_INDEX_APR_UNUSED_UNUSED_UNUSED" hidden="1" function="0" vbProcedure="0">"c7501"</definedName>
    <definedName name="IQ_CORP_GOODS_PRICE_INDEX_FC_UNUSED_UNUSED_UNUSED" hidden="1" function="0" vbProcedure="0">"c7721"</definedName>
    <definedName name="IQ_CORP_GOODS_PRICE_INDEX_POP_FC_UNUSED_UNUSED_UNUSED" hidden="1" function="0" vbProcedure="0">"c7941"</definedName>
    <definedName name="IQ_CORP_GOODS_PRICE_INDEX_POP_UNUSED_UNUSED_UNUSED" hidden="1" function="0" vbProcedure="0">"c7061"</definedName>
    <definedName name="IQ_CORP_GOODS_PRICE_INDEX_UNUSED_UNUSED_UNUSED" hidden="1" function="0" vbProcedure="0">"c6841"</definedName>
    <definedName name="IQ_CORP_GOODS_PRICE_INDEX_YOY_FC_UNUSED_UNUSED_UNUSED" hidden="1" function="0" vbProcedure="0">"c8161"</definedName>
    <definedName name="IQ_CORP_GOODS_PRICE_INDEX_YOY_UNUSED_UNUSED_UNUSED" hidden="1" function="0" vbProcedure="0">"c7281"</definedName>
    <definedName name="IQ_COST_BORROWINGS" hidden="1" function="0" vbProcedure="0">"c225"</definedName>
    <definedName name="IQ_COST_OF_FUNDING_ASSETS_FDIC" hidden="1" function="0" vbProcedure="0">"c6725"</definedName>
    <definedName name="IQ_COST_REV" hidden="1" function="0" vbProcedure="0">"c226"</definedName>
    <definedName name="IQ_COST_REVENUE" hidden="1" function="0" vbProcedure="0">"c226"</definedName>
    <definedName name="IQ_COST_SAVINGS" hidden="1" function="0" vbProcedure="0">"c227"</definedName>
    <definedName name="IQ_COST_SERVICE" hidden="1" function="0" vbProcedure="0">"c228"</definedName>
    <definedName name="IQ_COST_TOTAL_BORROWINGS" hidden="1" function="0" vbProcedure="0">"c229"</definedName>
    <definedName name="IQ_COUNTRY_NAME" hidden="1" function="0" vbProcedure="0">"c230"</definedName>
    <definedName name="IQ_COVERED_POPS" hidden="1" function="0" vbProcedure="0">"c2124"</definedName>
    <definedName name="IQ_CQ" hidden="0" function="0" vbProcedure="0">5000</definedName>
    <definedName name="IQ_CREDIT_CARD_CHARGE_OFFS_FDIC" hidden="1" function="0" vbProcedure="0">"c6652"</definedName>
    <definedName name="IQ_CREDIT_CARD_FEE_BNK" hidden="1" function="0" vbProcedure="0">"c231"</definedName>
    <definedName name="IQ_CREDIT_CARD_FEE_FIN" hidden="1" function="0" vbProcedure="0">"c1583"</definedName>
    <definedName name="IQ_CREDIT_CARD_LINES_FDIC" hidden="1" function="0" vbProcedure="0">"c6525"</definedName>
    <definedName name="IQ_CREDIT_CARD_LOANS_FDIC" hidden="1" function="0" vbProcedure="0">"c6319"</definedName>
    <definedName name="IQ_CREDIT_CARD_NET_CHARGE_OFFS_FDIC" hidden="1" function="0" vbProcedure="0">"c6654"</definedName>
    <definedName name="IQ_CREDIT_CARD_RECOVERIES_FDIC" hidden="1" function="0" vbProcedure="0">"c6653"</definedName>
    <definedName name="IQ_CREDIT_LOSS_CF" hidden="1" function="0" vbProcedure="0">"c232"</definedName>
    <definedName name="IQ_CREDIT_LOSS_PROVISION_NET_CHARGE_OFFS_FDIC" hidden="1" function="0" vbProcedure="0">"c6734"</definedName>
    <definedName name="IQ_CUMULATIVE_SPLIT_FACTOR" hidden="1" function="0" vbProcedure="0">"c2094"</definedName>
    <definedName name="IQ_CURRENCY_COIN_DOMESTIC_FDIC" hidden="1" function="0" vbProcedure="0">"c6388"</definedName>
    <definedName name="IQ_CURRENCY_FACTOR_BS" hidden="1" function="0" vbProcedure="0">"c233"</definedName>
    <definedName name="IQ_CURRENCY_FACTOR_IS" hidden="1" function="0" vbProcedure="0">"c234"</definedName>
    <definedName name="IQ_CURRENCY_GAIN" hidden="1" function="0" vbProcedure="0">"c235"</definedName>
    <definedName name="IQ_CURRENCY_GAIN_BR" hidden="1" function="0" vbProcedure="0">"c236"</definedName>
    <definedName name="IQ_CURRENCY_GAIN_FIN" hidden="1" function="0" vbProcedure="0">"c237"</definedName>
    <definedName name="IQ_CURRENCY_GAIN_INS" hidden="1" function="0" vbProcedure="0">"c238"</definedName>
    <definedName name="IQ_CURRENCY_GAIN_REIT" hidden="1" function="0" vbProcedure="0">"c239"</definedName>
    <definedName name="IQ_CURRENCY_GAIN_UTI" hidden="1" function="0" vbProcedure="0">"c240"</definedName>
    <definedName name="IQ_CURRENT_PORT" hidden="1" function="0" vbProcedure="0">"c241"</definedName>
    <definedName name="IQ_CURRENT_PORT_BNK" hidden="1" function="0" vbProcedure="0">"c242"</definedName>
    <definedName name="IQ_CURRENT_PORT_DEBT" hidden="1" function="0" vbProcedure="0">"c243"</definedName>
    <definedName name="IQ_CURRENT_PORT_DEBT_BNK" hidden="1" function="0" vbProcedure="0">"c244"</definedName>
    <definedName name="IQ_CURRENT_PORT_DEBT_BR" hidden="1" function="0" vbProcedure="0">"c1567"</definedName>
    <definedName name="IQ_CURRENT_PORT_DEBT_FIN" hidden="1" function="0" vbProcedure="0">"c1568"</definedName>
    <definedName name="IQ_CURRENT_PORT_DEBT_INS" hidden="1" function="0" vbProcedure="0">"c1569"</definedName>
    <definedName name="IQ_CURRENT_PORT_DEBT_REIT" hidden="1" function="0" vbProcedure="0">"c1570"</definedName>
    <definedName name="IQ_CURRENT_PORT_DEBT_UTI" hidden="1" function="0" vbProcedure="0">"c1571"</definedName>
    <definedName name="IQ_CURRENT_PORT_LEASES" hidden="1" function="0" vbProcedure="0">"c245"</definedName>
    <definedName name="IQ_CURRENT_RATIO" hidden="1" function="0" vbProcedure="0">"c246"</definedName>
    <definedName name="IQ_CURR_ACCT_BALANCE_APR_FC_UNUSED_UNUSED_UNUSED" hidden="1" function="0" vbProcedure="0">"c8387"</definedName>
    <definedName name="IQ_CURR_ACCT_BALANCE_APR_UNUSED_UNUSED_UNUSED" hidden="1" function="0" vbProcedure="0">"c7507"</definedName>
    <definedName name="IQ_CURR_ACCT_BALANCE_FC_UNUSED_UNUSED_UNUSED" hidden="1" function="0" vbProcedure="0">"c7727"</definedName>
    <definedName name="IQ_CURR_ACCT_BALANCE_POP_FC_UNUSED_UNUSED_UNUSED" hidden="1" function="0" vbProcedure="0">"c7947"</definedName>
    <definedName name="IQ_CURR_ACCT_BALANCE_POP_UNUSED_UNUSED_UNUSED" hidden="1" function="0" vbProcedure="0">"c7067"</definedName>
    <definedName name="IQ_CURR_ACCT_BALANCE_UNUSED_UNUSED_UNUSED" hidden="1" function="0" vbProcedure="0">"c6847"</definedName>
    <definedName name="IQ_CURR_ACCT_BALANCE_YOY_FC_UNUSED_UNUSED_UNUSED" hidden="1" function="0" vbProcedure="0">"c8167"</definedName>
    <definedName name="IQ_CURR_ACCT_BALANCE_YOY_UNUSED_UNUSED_UNUSED" hidden="1" function="0" vbProcedure="0">"c7287"</definedName>
    <definedName name="IQ_CURR_DOMESTIC_TAXES" hidden="1" function="0" vbProcedure="0">"c2074"</definedName>
    <definedName name="IQ_CURR_FOREIGN_TAXES" hidden="1" function="0" vbProcedure="0">"c2075"</definedName>
    <definedName name="IQ_CY" hidden="0" function="0" vbProcedure="0">10000</definedName>
    <definedName name="IQ_DA" hidden="1" function="0" vbProcedure="0">"c247"</definedName>
    <definedName name="IQ_DAILY" hidden="0" function="0" vbProcedure="0">500000</definedName>
    <definedName name="IQ_DATED_DATE" hidden="1" function="0" vbProcedure="0">"c2185"</definedName>
    <definedName name="IQ_DAYS_COVER_SHORT" hidden="1" function="0" vbProcedure="0">"c1578"</definedName>
    <definedName name="IQ_DAYS_INVENTORY_OUT" hidden="1" function="0" vbProcedure="0">"c273"</definedName>
    <definedName name="IQ_DAYS_PAYABLE_OUT" hidden="1" function="0" vbProcedure="0">"c274"</definedName>
    <definedName name="IQ_DAYS_PAY_OUTST" hidden="1" function="0" vbProcedure="0">"c274"</definedName>
    <definedName name="IQ_DAYS_SALES_OUT" hidden="1" function="0" vbProcedure="0">"c275"</definedName>
    <definedName name="IQ_DAYS_SALES_OUTST" hidden="1" function="0" vbProcedure="0">"c275"</definedName>
    <definedName name="IQ_DAY_COUNT" hidden="1" function="0" vbProcedure="0">"c2161"</definedName>
    <definedName name="IQ_DA_BR" hidden="1" function="0" vbProcedure="0">"c248"</definedName>
    <definedName name="IQ_DA_CF" hidden="1" function="0" vbProcedure="0">"c249"</definedName>
    <definedName name="IQ_DA_CF_BNK" hidden="1" function="0" vbProcedure="0">"c250"</definedName>
    <definedName name="IQ_DA_CF_BR" hidden="1" function="0" vbProcedure="0">"c251"</definedName>
    <definedName name="IQ_DA_CF_FIN" hidden="1" function="0" vbProcedure="0">"c252"</definedName>
    <definedName name="IQ_DA_CF_INS" hidden="1" function="0" vbProcedure="0">"c253"</definedName>
    <definedName name="IQ_DA_CF_REIT" hidden="1" function="0" vbProcedure="0">"c254"</definedName>
    <definedName name="IQ_DA_CF_UTI" hidden="1" function="0" vbProcedure="0">"c255"</definedName>
    <definedName name="IQ_DA_FIN" hidden="1" function="0" vbProcedure="0">"c256"</definedName>
    <definedName name="IQ_DA_INS" hidden="1" function="0" vbProcedure="0">"c257"</definedName>
    <definedName name="IQ_DA_REIT" hidden="1" function="0" vbProcedure="0">"c258"</definedName>
    <definedName name="IQ_DA_SUPPL" hidden="1" function="0" vbProcedure="0">"c259"</definedName>
    <definedName name="IQ_DA_SUPPL_BR" hidden="1" function="0" vbProcedure="0">"c260"</definedName>
    <definedName name="IQ_DA_SUPPL_CF" hidden="1" function="0" vbProcedure="0">"c261"</definedName>
    <definedName name="IQ_DA_SUPPL_CF_BNK" hidden="1" function="0" vbProcedure="0">"c262"</definedName>
    <definedName name="IQ_DA_SUPPL_CF_BR" hidden="1" function="0" vbProcedure="0">"c263"</definedName>
    <definedName name="IQ_DA_SUPPL_CF_FIN" hidden="1" function="0" vbProcedure="0">"c264"</definedName>
    <definedName name="IQ_DA_SUPPL_CF_INS" hidden="1" function="0" vbProcedure="0">"c265"</definedName>
    <definedName name="IQ_DA_SUPPL_CF_REIT" hidden="1" function="0" vbProcedure="0">"c266"</definedName>
    <definedName name="IQ_DA_SUPPL_CF_UTI" hidden="1" function="0" vbProcedure="0">"c267"</definedName>
    <definedName name="IQ_DA_SUPPL_FIN" hidden="1" function="0" vbProcedure="0">"c268"</definedName>
    <definedName name="IQ_DA_SUPPL_INS" hidden="1" function="0" vbProcedure="0">"c269"</definedName>
    <definedName name="IQ_DA_SUPPL_REIT" hidden="1" function="0" vbProcedure="0">"c270"</definedName>
    <definedName name="IQ_DA_SUPPL_UTI" hidden="1" function="0" vbProcedure="0">"c271"</definedName>
    <definedName name="IQ_DA_UTI" hidden="1" function="0" vbProcedure="0">"c272"</definedName>
    <definedName name="IQ_DEFERRED_DOMESTIC_TAXES" hidden="1" function="0" vbProcedure="0">"c2077"</definedName>
    <definedName name="IQ_DEFERRED_FOREIGN_TAXES" hidden="1" function="0" vbProcedure="0">"c2078"</definedName>
    <definedName name="IQ_DEFERRED_INC_TAX" hidden="1" function="0" vbProcedure="0">"c315"</definedName>
    <definedName name="IQ_DEFERRED_TAXES" hidden="1" function="0" vbProcedure="0">"c147"</definedName>
    <definedName name="IQ_DEF_ACQ_CST" hidden="1" function="0" vbProcedure="0">"c301"</definedName>
    <definedName name="IQ_DEF_AMORT" hidden="1" function="0" vbProcedure="0">"c276"</definedName>
    <definedName name="IQ_DEF_AMORT_BNK" hidden="1" function="0" vbProcedure="0">"c277"</definedName>
    <definedName name="IQ_DEF_AMORT_BR" hidden="1" function="0" vbProcedure="0">"c278"</definedName>
    <definedName name="IQ_DEF_AMORT_FIN" hidden="1" function="0" vbProcedure="0">"c279"</definedName>
    <definedName name="IQ_DEF_AMORT_INS" hidden="1" function="0" vbProcedure="0">"c280"</definedName>
    <definedName name="IQ_DEF_AMORT_REIT" hidden="1" function="0" vbProcedure="0">"c281"</definedName>
    <definedName name="IQ_DEF_AMORT_UTI" hidden="1" function="0" vbProcedure="0">"c282"</definedName>
    <definedName name="IQ_DEF_BENEFIT_INTEREST_COST" hidden="1" function="0" vbProcedure="0">"c283"</definedName>
    <definedName name="IQ_DEF_BENEFIT_OTHER_COST" hidden="1" function="0" vbProcedure="0">"c284"</definedName>
    <definedName name="IQ_DEF_BENEFIT_ROA" hidden="1" function="0" vbProcedure="0">"c285"</definedName>
    <definedName name="IQ_DEF_BENEFIT_SERVICE_COST" hidden="1" function="0" vbProcedure="0">"c286"</definedName>
    <definedName name="IQ_DEF_BENEFIT_TOTAL_COST" hidden="1" function="0" vbProcedure="0">"c287"</definedName>
    <definedName name="IQ_DEF_CHARGES_BR" hidden="1" function="0" vbProcedure="0">"c288"</definedName>
    <definedName name="IQ_DEF_CHARGES_CF" hidden="1" function="0" vbProcedure="0">"c289"</definedName>
    <definedName name="IQ_DEF_CHARGES_FIN" hidden="1" function="0" vbProcedure="0">"c290"</definedName>
    <definedName name="IQ_DEF_CHARGES_INS" hidden="1" function="0" vbProcedure="0">"c291"</definedName>
    <definedName name="IQ_DEF_CHARGES_LT" hidden="1" function="0" vbProcedure="0">"c292"</definedName>
    <definedName name="IQ_DEF_CHARGES_LT_BNK" hidden="1" function="0" vbProcedure="0">"c293"</definedName>
    <definedName name="IQ_DEF_CHARGES_LT_BR" hidden="1" function="0" vbProcedure="0">"c294"</definedName>
    <definedName name="IQ_DEF_CHARGES_LT_FIN" hidden="1" function="0" vbProcedure="0">"c295"</definedName>
    <definedName name="IQ_DEF_CHARGES_LT_INS" hidden="1" function="0" vbProcedure="0">"c296"</definedName>
    <definedName name="IQ_DEF_CHARGES_LT_REIT" hidden="1" function="0" vbProcedure="0">"c297"</definedName>
    <definedName name="IQ_DEF_CHARGES_LT_UTI" hidden="1" function="0" vbProcedure="0">"c298"</definedName>
    <definedName name="IQ_DEF_CHARGES_REIT" hidden="1" function="0" vbProcedure="0">"c299"</definedName>
    <definedName name="IQ_DEF_CONTRIBUTION_TOTAL_COST" hidden="1" function="0" vbProcedure="0">"c300"</definedName>
    <definedName name="IQ_DEF_INC_TAX" hidden="1" function="0" vbProcedure="0">"c313"</definedName>
    <definedName name="IQ_DEF_POLICY_ACQ_COSTS" hidden="1" function="0" vbProcedure="0">"c301"</definedName>
    <definedName name="IQ_DEF_POLICY_ACQ_COSTS_CF" hidden="1" function="0" vbProcedure="0">"c302"</definedName>
    <definedName name="IQ_DEF_POLICY_AMORT" hidden="1" function="0" vbProcedure="0">"c303"</definedName>
    <definedName name="IQ_DEF_TAX_ASSETS_CURRENT" hidden="1" function="0" vbProcedure="0">"c309"</definedName>
    <definedName name="IQ_DEF_TAX_ASSETS_LT" hidden="1" function="0" vbProcedure="0">"c310"</definedName>
    <definedName name="IQ_DEF_TAX_ASSETS_LT_BNK" hidden="1" function="0" vbProcedure="0">"c311"</definedName>
    <definedName name="IQ_DEF_TAX_ASSET_LT_BR" hidden="1" function="0" vbProcedure="0">"c304"</definedName>
    <definedName name="IQ_DEF_TAX_ASSET_LT_FIN" hidden="1" function="0" vbProcedure="0">"c305"</definedName>
    <definedName name="IQ_DEF_TAX_ASSET_LT_INS" hidden="1" function="0" vbProcedure="0">"c306"</definedName>
    <definedName name="IQ_DEF_TAX_ASSET_LT_REIT" hidden="1" function="0" vbProcedure="0">"c307"</definedName>
    <definedName name="IQ_DEF_TAX_ASSET_LT_UTI" hidden="1" function="0" vbProcedure="0">"c308"</definedName>
    <definedName name="IQ_DEF_TAX_LIAB_CURRENT" hidden="1" function="0" vbProcedure="0">"c312"</definedName>
    <definedName name="IQ_DEF_TAX_LIAB_LT" hidden="1" function="0" vbProcedure="0">"c313"</definedName>
    <definedName name="IQ_DEF_TAX_LIAB_LT_BNK" hidden="1" function="0" vbProcedure="0">"c314"</definedName>
    <definedName name="IQ_DEF_TAX_LIAB_LT_BR" hidden="1" function="0" vbProcedure="0">"c315"</definedName>
    <definedName name="IQ_DEF_TAX_LIAB_LT_FIN" hidden="1" function="0" vbProcedure="0">"c316"</definedName>
    <definedName name="IQ_DEF_TAX_LIAB_LT_INS" hidden="1" function="0" vbProcedure="0">"c317"</definedName>
    <definedName name="IQ_DEF_TAX_LIAB_LT_REIT" hidden="1" function="0" vbProcedure="0">"c318"</definedName>
    <definedName name="IQ_DEF_TAX_LIAB_LT_UTI" hidden="1" function="0" vbProcedure="0">"c319"</definedName>
    <definedName name="IQ_DEMAND_DEP" hidden="1" function="0" vbProcedure="0">"c320"</definedName>
    <definedName name="IQ_DEMAND_DEPOSITS_FDIC" hidden="1" function="0" vbProcedure="0">"c6489"</definedName>
    <definedName name="IQ_DEPOSITORY_INSTITUTIONS_CHARGE_OFFS_FDIC" hidden="1" function="0" vbProcedure="0">"c6596"</definedName>
    <definedName name="IQ_DEPOSITORY_INSTITUTIONS_NET_CHARGE_OFFS_FDIC" hidden="1" function="0" vbProcedure="0">"c6634"</definedName>
    <definedName name="IQ_DEPOSITORY_INSTITUTIONS_RECOVERIES_FDIC" hidden="1" function="0" vbProcedure="0">"c6615"</definedName>
    <definedName name="IQ_DEPOSITS_FIN" hidden="1" function="0" vbProcedure="0">"c321"</definedName>
    <definedName name="IQ_DEPOSITS_HELD_DOMESTIC_FDIC" hidden="1" function="0" vbProcedure="0">"c6340"</definedName>
    <definedName name="IQ_DEPOSITS_HELD_FOREIGN_FDIC" hidden="1" function="0" vbProcedure="0">"c6341"</definedName>
    <definedName name="IQ_DEPOSITS_LESS_THAN_100K_AFTER_THREE_YEARS_FDIC" hidden="1" function="0" vbProcedure="0">"c6464"</definedName>
    <definedName name="IQ_DEPOSITS_LESS_THAN_100K_THREE_MONTHS_FDIC" hidden="1" function="0" vbProcedure="0">"c6461"</definedName>
    <definedName name="IQ_DEPOSITS_LESS_THAN_100K_THREE_YEARS_FDIC" hidden="1" function="0" vbProcedure="0">"c6463"</definedName>
    <definedName name="IQ_DEPOSITS_LESS_THAN_100K_TWELVE_MONTHS_FDIC" hidden="1" function="0" vbProcedure="0">"c6462"</definedName>
    <definedName name="IQ_DEPOSITS_MORE_THAN_100K_AFTER_THREE_YEARS_FDIC" hidden="1" function="0" vbProcedure="0">"c6469"</definedName>
    <definedName name="IQ_DEPOSITS_MORE_THAN_100K_THREE_MONTHS_FDIC" hidden="1" function="0" vbProcedure="0">"c6466"</definedName>
    <definedName name="IQ_DEPOSITS_MORE_THAN_100K_THREE_YEARS_FDIC" hidden="1" function="0" vbProcedure="0">"c6468"</definedName>
    <definedName name="IQ_DEPOSITS_MORE_THAN_100K_TWELVE_MONTHS_FDIC" hidden="1" function="0" vbProcedure="0">"c6467"</definedName>
    <definedName name="IQ_DEPOSIT_ACCOUNTS_LESS_THAN_100K_FDIC" hidden="1" function="0" vbProcedure="0">"c6494"</definedName>
    <definedName name="IQ_DEPOSIT_ACCOUNTS_MORE_THAN_100K_FDIC" hidden="1" function="0" vbProcedure="0">"c6492"</definedName>
    <definedName name="IQ_DEPRE_AMORT" hidden="1" function="0" vbProcedure="0">"c247"</definedName>
    <definedName name="IQ_DEPRE_AMORT_SUPPL" hidden="1" function="0" vbProcedure="0">"c1593"</definedName>
    <definedName name="IQ_DEPRE_DEPLE" hidden="1" function="0" vbProcedure="0">"c261"</definedName>
    <definedName name="IQ_DEPRE_SUPP" hidden="1" function="0" vbProcedure="0">"c1443"</definedName>
    <definedName name="IQ_DERIVATIVES_FDIC" hidden="1" function="0" vbProcedure="0">"c6523"</definedName>
    <definedName name="IQ_DESCRIPTION_LONG" hidden="1" function="0" vbProcedure="0">"c322"</definedName>
    <definedName name="IQ_DEVELOP_LAND" hidden="1" function="0" vbProcedure="0">"c323"</definedName>
    <definedName name="IQ_DIFF_LASTCLOSE_TARGET_PRICE_REUT" hidden="1" function="0" vbProcedure="0">"c5436"</definedName>
    <definedName name="IQ_DILUT_ADJUST" hidden="1" function="0" vbProcedure="0">"c1621"</definedName>
    <definedName name="IQ_DILUT_EPS_EXCL" hidden="1" function="0" vbProcedure="0">"c324"</definedName>
    <definedName name="IQ_DILUT_EPS_INCL" hidden="1" function="0" vbProcedure="0">"c325"</definedName>
    <definedName name="IQ_DILUT_EPS_NORM" hidden="1" function="0" vbProcedure="0">"c1903"</definedName>
    <definedName name="IQ_DILUT_NI" hidden="1" function="0" vbProcedure="0">"c2079"</definedName>
    <definedName name="IQ_DILUT_NORMAL_EPS" hidden="1" function="0" vbProcedure="0">"c1594"</definedName>
    <definedName name="IQ_DILUT_WEIGHT" hidden="1" function="0" vbProcedure="0">"c326"</definedName>
    <definedName name="IQ_DISCONT_OPER" hidden="1" function="0" vbProcedure="0">"c333"</definedName>
    <definedName name="IQ_DISCOUNT_RATE_PENSION_DOMESTIC" hidden="1" function="0" vbProcedure="0">"c327"</definedName>
    <definedName name="IQ_DISCOUNT_RATE_PENSION_FOREIGN" hidden="1" function="0" vbProcedure="0">"c328"</definedName>
    <definedName name="IQ_DISTR_EXCESS_EARN" hidden="1" function="0" vbProcedure="0">"c329"</definedName>
    <definedName name="IQ_DIVEST_CF" hidden="1" function="0" vbProcedure="0">"c331"</definedName>
    <definedName name="IQ_DIVIDENDS_DECLARED_COMMON_FDIC" hidden="1" function="0" vbProcedure="0">"c6659"</definedName>
    <definedName name="IQ_DIVIDENDS_DECLARED_PREFERRED_FDIC" hidden="1" function="0" vbProcedure="0">"c6658"</definedName>
    <definedName name="IQ_DIVIDENDS_FDIC" hidden="1" function="0" vbProcedure="0">"c6660"</definedName>
    <definedName name="IQ_DIVIDEND_YIELD" hidden="1" function="0" vbProcedure="0">"c332"</definedName>
    <definedName name="IQ_DIVID_SHARE" hidden="1" function="0" vbProcedure="0">"c330"</definedName>
    <definedName name="IQ_DIV_PAYMENT_DATE" hidden="1" function="0" vbProcedure="0">"c2205"</definedName>
    <definedName name="IQ_DIV_RECORD_DATE" hidden="1" function="0" vbProcedure="0">"c2204"</definedName>
    <definedName name="IQ_DIV_SHARE" hidden="1" function="0" vbProcedure="0">"c330"</definedName>
    <definedName name="IQ_DNTM" hidden="1" function="0" vbProcedure="0">700000</definedName>
    <definedName name="IQ_DO" hidden="1" function="0" vbProcedure="0">"c333"</definedName>
    <definedName name="IQ_DO_ASSETS_CURRENT" hidden="1" function="0" vbProcedure="0">"c334"</definedName>
    <definedName name="IQ_DO_ASSETS_LT" hidden="1" function="0" vbProcedure="0">"c335"</definedName>
    <definedName name="IQ_DO_CF" hidden="1" function="0" vbProcedure="0">"c336"</definedName>
    <definedName name="IQ_DPAC" hidden="1" function="0" vbProcedure="0">"c2801"</definedName>
    <definedName name="IQ_DPS_10YR_ANN_GROWTH" hidden="1" function="0" vbProcedure="0">"c337"</definedName>
    <definedName name="IQ_DPS_1YR_ANN_GROWTH" hidden="1" function="0" vbProcedure="0">"c338"</definedName>
    <definedName name="IQ_DPS_2YR_ANN_GROWTH" hidden="1" function="0" vbProcedure="0">"c339"</definedName>
    <definedName name="IQ_DPS_3YR_ANN_GROWTH" hidden="1" function="0" vbProcedure="0">"c340"</definedName>
    <definedName name="IQ_DPS_5YR_ANN_GROWTH" hidden="1" function="0" vbProcedure="0">"c341"</definedName>
    <definedName name="IQ_DPS_7YR_ANN_GROWTH" hidden="1" function="0" vbProcedure="0">"c342"</definedName>
    <definedName name="IQ_DPS_ACT_OR_EST_REUT" hidden="1" function="0" vbProcedure="0">"c5464"</definedName>
    <definedName name="IQ_DPS_EST_BOTTOM_UP_REUT" hidden="1" function="0" vbProcedure="0">"c5501"</definedName>
    <definedName name="IQ_DPS_EST_REUT" hidden="1" function="0" vbProcedure="0">"c3851"</definedName>
    <definedName name="IQ_DPS_HIGH_EST_REUT" hidden="1" function="0" vbProcedure="0">"c3853"</definedName>
    <definedName name="IQ_DPS_LOW_EST_REUT" hidden="1" function="0" vbProcedure="0">"c3854"</definedName>
    <definedName name="IQ_DPS_MEDIAN_EST_REUT" hidden="1" function="0" vbProcedure="0">"c3852"</definedName>
    <definedName name="IQ_DPS_NUM_EST_REUT" hidden="1" function="0" vbProcedure="0">"c3855"</definedName>
    <definedName name="IQ_DPS_STDDEV_EST_REUT" hidden="1" function="0" vbProcedure="0">"c3856"</definedName>
    <definedName name="IQ_DURATION" hidden="1" function="0" vbProcedure="0">"c2181"</definedName>
    <definedName name="IQ_EARNINGS_ANNOUNCE_DATE" hidden="1" function="0" vbProcedure="0">"c1649"</definedName>
    <definedName name="IQ_EARNINGS_COVERAGE_NET_CHARGE_OFFS_FDIC" hidden="1" function="0" vbProcedure="0">"c6735"</definedName>
    <definedName name="IQ_EARNING_ASSETS_FDIC" hidden="1" function="0" vbProcedure="0">"c6360"</definedName>
    <definedName name="IQ_EARNING_ASSETS_YIELD_FDIC" hidden="1" function="0" vbProcedure="0">"c6724"</definedName>
    <definedName name="IQ_EARNING_ASSET_YIELD" hidden="1" function="0" vbProcedure="0">"c343"</definedName>
    <definedName name="IQ_EARNING_CO" hidden="1" function="0" vbProcedure="0">"c344"</definedName>
    <definedName name="IQ_EARNING_CO_10YR_ANN_GROWTH" hidden="1" function="0" vbProcedure="0">"c345"</definedName>
    <definedName name="IQ_EARNING_CO_1YR_ANN_GROWTH" hidden="1" function="0" vbProcedure="0">"c346"</definedName>
    <definedName name="IQ_EARNING_CO_2YR_ANN_GROWTH" hidden="1" function="0" vbProcedure="0">"c347"</definedName>
    <definedName name="IQ_EARNING_CO_3YR_ANN_GROWTH" hidden="1" function="0" vbProcedure="0">"c348"</definedName>
    <definedName name="IQ_EARNING_CO_5YR_ANN_GROWTH" hidden="1" function="0" vbProcedure="0">"c349"</definedName>
    <definedName name="IQ_EARNING_CO_7YR_ANN_GROWTH" hidden="1" function="0" vbProcedure="0">"c350"</definedName>
    <definedName name="IQ_EARNING_CO_MARGIN" hidden="1" function="0" vbProcedure="0">"c351"</definedName>
    <definedName name="IQ_EBIT" hidden="1" function="0" vbProcedure="0">"c352"</definedName>
    <definedName name="IQ_EBITA" hidden="1" function="0" vbProcedure="0">"c1910"</definedName>
    <definedName name="IQ_EBITA_10YR_ANN_GROWTH" hidden="1" function="0" vbProcedure="0">"c1954"</definedName>
    <definedName name="IQ_EBITA_1YR_ANN_GROWTH" hidden="1" function="0" vbProcedure="0">"c1949"</definedName>
    <definedName name="IQ_EBITA_2YR_ANN_GROWTH" hidden="1" function="0" vbProcedure="0">"c1950"</definedName>
    <definedName name="IQ_EBITA_3YR_ANN_GROWTH" hidden="1" function="0" vbProcedure="0">"c1951"</definedName>
    <definedName name="IQ_EBITA_5YR_ANN_GROWTH" hidden="1" function="0" vbProcedure="0">"c1952"</definedName>
    <definedName name="IQ_EBITA_7YR_ANN_GROWTH" hidden="1" function="0" vbProcedure="0">"c1953"</definedName>
    <definedName name="IQ_EBITA_MARGIN" hidden="1" function="0" vbProcedure="0">"c1963"</definedName>
    <definedName name="IQ_EBITDA" hidden="1" function="0" vbProcedure="0">"c361"</definedName>
    <definedName name="IQ_EBITDA_10YR_ANN_GROWTH" hidden="1" function="0" vbProcedure="0">"c362"</definedName>
    <definedName name="IQ_EBITDA_1YR_ANN_GROWTH" hidden="1" function="0" vbProcedure="0">"c363"</definedName>
    <definedName name="IQ_EBITDA_2YR_ANN_GROWTH" hidden="1" function="0" vbProcedure="0">"c364"</definedName>
    <definedName name="IQ_EBITDA_3YR_ANN_GROWTH" hidden="1" function="0" vbProcedure="0">"c365"</definedName>
    <definedName name="IQ_EBITDA_5YR_ANN_GROWTH" hidden="1" function="0" vbProcedure="0">"c366"</definedName>
    <definedName name="IQ_EBITDA_7YR_ANN_GROWTH" hidden="1" function="0" vbProcedure="0">"c367"</definedName>
    <definedName name="IQ_EBITDA_ACT_OR_EST_REUT" hidden="1" function="0" vbProcedure="0">"c5462"</definedName>
    <definedName name="IQ_EBITDA_CAPEX_INT" hidden="1" function="0" vbProcedure="0">"c368"</definedName>
    <definedName name="IQ_EBITDA_CAPEX_OVER_TOTAL_IE" hidden="1" function="0" vbProcedure="0">"c368"</definedName>
    <definedName name="IQ_EBITDA_INT" hidden="1" function="0" vbProcedure="0">"c373"</definedName>
    <definedName name="IQ_EBITDA_MARGIN" hidden="1" function="0" vbProcedure="0">"c372"</definedName>
    <definedName name="IQ_EBITDA_OVER_TOTAL_IE" hidden="1" function="0" vbProcedure="0">"c373"</definedName>
    <definedName name="IQ_EBIT_10YR_ANN_GROWTH" hidden="1" function="0" vbProcedure="0">"c353"</definedName>
    <definedName name="IQ_EBIT_1YR_ANN_GROWTH" hidden="1" function="0" vbProcedure="0">"c354"</definedName>
    <definedName name="IQ_EBIT_2YR_ANN_GROWTH" hidden="1" function="0" vbProcedure="0">"c355"</definedName>
    <definedName name="IQ_EBIT_3YR_ANN_GROWTH" hidden="1" function="0" vbProcedure="0">"c356"</definedName>
    <definedName name="IQ_EBIT_5YR_ANN_GROWTH" hidden="1" function="0" vbProcedure="0">"c357"</definedName>
    <definedName name="IQ_EBIT_7YR_ANN_GROWTH" hidden="1" function="0" vbProcedure="0">"c358"</definedName>
    <definedName name="IQ_EBIT_ACT_OR_EST_REUT" hidden="1" function="0" vbProcedure="0">"c5465"</definedName>
    <definedName name="IQ_EBIT_EST_REUT" hidden="1" function="0" vbProcedure="0">"c5333"</definedName>
    <definedName name="IQ_EBIT_HIGH_EST_REUT" hidden="1" function="0" vbProcedure="0">"c5335"</definedName>
    <definedName name="IQ_EBIT_INT" hidden="1" function="0" vbProcedure="0">"c360"</definedName>
    <definedName name="IQ_EBIT_LOW_EST_REUT" hidden="1" function="0" vbProcedure="0">"c5336"</definedName>
    <definedName name="IQ_EBIT_MARGIN" hidden="1" function="0" vbProcedure="0">"c359"</definedName>
    <definedName name="IQ_EBIT_MEDIAN_EST_REUT" hidden="1" function="0" vbProcedure="0">"c5334"</definedName>
    <definedName name="IQ_EBIT_NUM_EST_REUT" hidden="1" function="0" vbProcedure="0">"c5337"</definedName>
    <definedName name="IQ_EBIT_OVER_IE" hidden="1" function="0" vbProcedure="0">"c360"</definedName>
    <definedName name="IQ_EBIT_STDDEV_EST_REUT" hidden="1" function="0" vbProcedure="0">"c5338"</definedName>
    <definedName name="IQ_EBT" hidden="1" function="0" vbProcedure="0">"c376"</definedName>
    <definedName name="IQ_EBT_BNK" hidden="1" function="0" vbProcedure="0">"c377"</definedName>
    <definedName name="IQ_EBT_BR" hidden="1" function="0" vbProcedure="0">"c378"</definedName>
    <definedName name="IQ_EBT_EXCL" hidden="1" function="0" vbProcedure="0">"c379"</definedName>
    <definedName name="IQ_EBT_EXCL_BNK" hidden="1" function="0" vbProcedure="0">"c380"</definedName>
    <definedName name="IQ_EBT_EXCL_BR" hidden="1" function="0" vbProcedure="0">"c381"</definedName>
    <definedName name="IQ_EBT_EXCL_FIN" hidden="1" function="0" vbProcedure="0">"c382"</definedName>
    <definedName name="IQ_EBT_EXCL_INS" hidden="1" function="0" vbProcedure="0">"c383"</definedName>
    <definedName name="IQ_EBT_EXCL_MARGIN" hidden="1" function="0" vbProcedure="0">"c1462"</definedName>
    <definedName name="IQ_EBT_EXCL_REIT" hidden="1" function="0" vbProcedure="0">"c384"</definedName>
    <definedName name="IQ_EBT_EXCL_UTI" hidden="1" function="0" vbProcedure="0">"c385"</definedName>
    <definedName name="IQ_EBT_FIN" hidden="1" function="0" vbProcedure="0">"c386"</definedName>
    <definedName name="IQ_EBT_INCL_MARGIN" hidden="1" function="0" vbProcedure="0">"c387"</definedName>
    <definedName name="IQ_EBT_INS" hidden="1" function="0" vbProcedure="0">"c388"</definedName>
    <definedName name="IQ_EBT_REIT" hidden="1" function="0" vbProcedure="0">"c389"</definedName>
    <definedName name="IQ_EBT_UTI" hidden="1" function="0" vbProcedure="0">"c390"</definedName>
    <definedName name="IQ_ECO_METRIC_6810" hidden="1" function="0" vbProcedure="0">"c6810"</definedName>
    <definedName name="IQ_ECO_METRIC_6811" hidden="1" function="0" vbProcedure="0">"c6811"</definedName>
    <definedName name="IQ_ECO_METRIC_6812" hidden="1" function="0" vbProcedure="0">"c6812"</definedName>
    <definedName name="IQ_ECO_METRIC_6813" hidden="1" function="0" vbProcedure="0">"c6813"</definedName>
    <definedName name="IQ_ECO_METRIC_6814" hidden="1" function="0" vbProcedure="0">"c6814"</definedName>
    <definedName name="IQ_ECO_METRIC_6815" hidden="1" function="0" vbProcedure="0">"c6815"</definedName>
    <definedName name="IQ_ECO_METRIC_6816" hidden="1" function="0" vbProcedure="0">"c6816"</definedName>
    <definedName name="IQ_ECO_METRIC_6817" hidden="1" function="0" vbProcedure="0">"c6817"</definedName>
    <definedName name="IQ_ECO_METRIC_6818" hidden="1" function="0" vbProcedure="0">"c6818"</definedName>
    <definedName name="IQ_ECO_METRIC_6819" hidden="1" function="0" vbProcedure="0">"c6819"</definedName>
    <definedName name="IQ_ECO_METRIC_6820" hidden="1" function="0" vbProcedure="0">"c6820"</definedName>
    <definedName name="IQ_ECO_METRIC_6821" hidden="1" function="0" vbProcedure="0">"c6821"</definedName>
    <definedName name="IQ_ECO_METRIC_6822" hidden="1" function="0" vbProcedure="0">"c6822"</definedName>
    <definedName name="IQ_ECO_METRIC_6823" hidden="1" function="0" vbProcedure="0">"c6823"</definedName>
    <definedName name="IQ_ECO_METRIC_6824" hidden="1" function="0" vbProcedure="0">"c6824"</definedName>
    <definedName name="IQ_ECO_METRIC_6825" hidden="1" function="0" vbProcedure="0">"c6825"</definedName>
    <definedName name="IQ_ECO_METRIC_6825_UNUSED_UNUSED_UNUSED" hidden="1" function="0" vbProcedure="0">"c6825"</definedName>
    <definedName name="IQ_ECO_METRIC_6826" hidden="1" function="0" vbProcedure="0">"c6826"</definedName>
    <definedName name="IQ_ECO_METRIC_6827" hidden="1" function="0" vbProcedure="0">"c6827"</definedName>
    <definedName name="IQ_ECO_METRIC_6828" hidden="1" function="0" vbProcedure="0">"c6828"</definedName>
    <definedName name="IQ_ECO_METRIC_6829" hidden="1" function="0" vbProcedure="0">"c6829"</definedName>
    <definedName name="IQ_ECO_METRIC_6830" hidden="1" function="0" vbProcedure="0">"c6830"</definedName>
    <definedName name="IQ_ECO_METRIC_6831" hidden="1" function="0" vbProcedure="0">"c6831"</definedName>
    <definedName name="IQ_ECO_METRIC_6832" hidden="1" function="0" vbProcedure="0">"c6832"</definedName>
    <definedName name="IQ_ECO_METRIC_6833" hidden="1" function="0" vbProcedure="0">"c6833"</definedName>
    <definedName name="IQ_ECO_METRIC_6834" hidden="1" function="0" vbProcedure="0">"c6834"</definedName>
    <definedName name="IQ_ECO_METRIC_6835" hidden="1" function="0" vbProcedure="0">"c6835"</definedName>
    <definedName name="IQ_ECO_METRIC_6836" hidden="1" function="0" vbProcedure="0">"c6836"</definedName>
    <definedName name="IQ_ECO_METRIC_6837" hidden="1" function="0" vbProcedure="0">"c6837"</definedName>
    <definedName name="IQ_ECO_METRIC_6838" hidden="1" function="0" vbProcedure="0">"c6838"</definedName>
    <definedName name="IQ_ECO_METRIC_6839" hidden="1" function="0" vbProcedure="0">"c6839"</definedName>
    <definedName name="IQ_ECO_METRIC_6839_UNUSED_UNUSED_UNUSED" hidden="1" function="0" vbProcedure="0">"c6839"</definedName>
    <definedName name="IQ_ECO_METRIC_6840" hidden="1" function="0" vbProcedure="0">"c6840"</definedName>
    <definedName name="IQ_ECO_METRIC_6841" hidden="1" function="0" vbProcedure="0">"c6841"</definedName>
    <definedName name="IQ_ECO_METRIC_6842" hidden="1" function="0" vbProcedure="0">"c6842"</definedName>
    <definedName name="IQ_ECO_METRIC_6843" hidden="1" function="0" vbProcedure="0">"c6843"</definedName>
    <definedName name="IQ_ECO_METRIC_6844" hidden="1" function="0" vbProcedure="0">"c6844"</definedName>
    <definedName name="IQ_ECO_METRIC_6845" hidden="1" function="0" vbProcedure="0">"c6845"</definedName>
    <definedName name="IQ_ECO_METRIC_6846" hidden="1" function="0" vbProcedure="0">"c6846"</definedName>
    <definedName name="IQ_ECO_METRIC_6847" hidden="1" function="0" vbProcedure="0">"c6847"</definedName>
    <definedName name="IQ_ECO_METRIC_6848" hidden="1" function="0" vbProcedure="0">"c6848"</definedName>
    <definedName name="IQ_ECO_METRIC_6849" hidden="1" function="0" vbProcedure="0">"c6849"</definedName>
    <definedName name="IQ_ECO_METRIC_6850" hidden="1" function="0" vbProcedure="0">"c6850"</definedName>
    <definedName name="IQ_ECO_METRIC_6851" hidden="1" function="0" vbProcedure="0">"c6851"</definedName>
    <definedName name="IQ_ECO_METRIC_6852" hidden="1" function="0" vbProcedure="0">"c6852"</definedName>
    <definedName name="IQ_ECO_METRIC_6853" hidden="1" function="0" vbProcedure="0">"c6853"</definedName>
    <definedName name="IQ_ECO_METRIC_6854" hidden="1" function="0" vbProcedure="0">"c6854"</definedName>
    <definedName name="IQ_ECO_METRIC_6855" hidden="1" function="0" vbProcedure="0">"c6855"</definedName>
    <definedName name="IQ_ECO_METRIC_6856" hidden="1" function="0" vbProcedure="0">"c6856"</definedName>
    <definedName name="IQ_ECO_METRIC_6857" hidden="1" function="0" vbProcedure="0">"c6857"</definedName>
    <definedName name="IQ_ECO_METRIC_6858" hidden="1" function="0" vbProcedure="0">"c6858"</definedName>
    <definedName name="IQ_ECO_METRIC_6859" hidden="1" function="0" vbProcedure="0">"c6859"</definedName>
    <definedName name="IQ_ECO_METRIC_6860" hidden="1" function="0" vbProcedure="0">"c6860"</definedName>
    <definedName name="IQ_ECO_METRIC_6861" hidden="1" function="0" vbProcedure="0">"c6861"</definedName>
    <definedName name="IQ_ECO_METRIC_6862" hidden="1" function="0" vbProcedure="0">"c6862"</definedName>
    <definedName name="IQ_ECO_METRIC_6863" hidden="1" function="0" vbProcedure="0">"c6863"</definedName>
    <definedName name="IQ_ECO_METRIC_6864" hidden="1" function="0" vbProcedure="0">"c6864"</definedName>
    <definedName name="IQ_ECO_METRIC_6865" hidden="1" function="0" vbProcedure="0">"c6865"</definedName>
    <definedName name="IQ_ECO_METRIC_6866" hidden="1" function="0" vbProcedure="0">"c6866"</definedName>
    <definedName name="IQ_ECO_METRIC_6867" hidden="1" function="0" vbProcedure="0">"c6867"</definedName>
    <definedName name="IQ_ECO_METRIC_6868" hidden="1" function="0" vbProcedure="0">"c6868"</definedName>
    <definedName name="IQ_ECO_METRIC_6869" hidden="1" function="0" vbProcedure="0">"c6869"</definedName>
    <definedName name="IQ_ECO_METRIC_6870" hidden="1" function="0" vbProcedure="0">"c6870"</definedName>
    <definedName name="IQ_ECO_METRIC_6871" hidden="1" function="0" vbProcedure="0">"c6871"</definedName>
    <definedName name="IQ_ECO_METRIC_6872" hidden="1" function="0" vbProcedure="0">"c6872"</definedName>
    <definedName name="IQ_ECO_METRIC_6873" hidden="1" function="0" vbProcedure="0">"c6873"</definedName>
    <definedName name="IQ_ECO_METRIC_6874" hidden="1" function="0" vbProcedure="0">"c6874"</definedName>
    <definedName name="IQ_ECO_METRIC_6875" hidden="1" function="0" vbProcedure="0">"c6875"</definedName>
    <definedName name="IQ_ECO_METRIC_6876" hidden="1" function="0" vbProcedure="0">"c6876"</definedName>
    <definedName name="IQ_ECO_METRIC_6877" hidden="1" function="0" vbProcedure="0">"c6877"</definedName>
    <definedName name="IQ_ECO_METRIC_6878" hidden="1" function="0" vbProcedure="0">"c6878"</definedName>
    <definedName name="IQ_ECO_METRIC_6879" hidden="1" function="0" vbProcedure="0">"c6879"</definedName>
    <definedName name="IQ_ECO_METRIC_6880" hidden="1" function="0" vbProcedure="0">"c6880"</definedName>
    <definedName name="IQ_ECO_METRIC_6881" hidden="1" function="0" vbProcedure="0">"c6881"</definedName>
    <definedName name="IQ_ECO_METRIC_6882" hidden="1" function="0" vbProcedure="0">"c6882"</definedName>
    <definedName name="IQ_ECO_METRIC_6883" hidden="1" function="0" vbProcedure="0">"c6883"</definedName>
    <definedName name="IQ_ECO_METRIC_6884" hidden="1" function="0" vbProcedure="0">"c6884"</definedName>
    <definedName name="IQ_ECO_METRIC_6885" hidden="1" function="0" vbProcedure="0">"c6885"</definedName>
    <definedName name="IQ_ECO_METRIC_6886" hidden="1" function="0" vbProcedure="0">"c6886"</definedName>
    <definedName name="IQ_ECO_METRIC_6887" hidden="1" function="0" vbProcedure="0">"c6887"</definedName>
    <definedName name="IQ_ECO_METRIC_6888" hidden="1" function="0" vbProcedure="0">"c6888"</definedName>
    <definedName name="IQ_ECO_METRIC_6889" hidden="1" function="0" vbProcedure="0">"c6889"</definedName>
    <definedName name="IQ_ECO_METRIC_6890" hidden="1" function="0" vbProcedure="0">"c6890"</definedName>
    <definedName name="IQ_ECO_METRIC_6891" hidden="1" function="0" vbProcedure="0">"c6891"</definedName>
    <definedName name="IQ_ECO_METRIC_6892" hidden="1" function="0" vbProcedure="0">"c6892"</definedName>
    <definedName name="IQ_ECO_METRIC_6893" hidden="1" function="0" vbProcedure="0">"c6893"</definedName>
    <definedName name="IQ_ECO_METRIC_6894" hidden="1" function="0" vbProcedure="0">"c6894"</definedName>
    <definedName name="IQ_ECO_METRIC_6895" hidden="1" function="0" vbProcedure="0">"c6895"</definedName>
    <definedName name="IQ_ECO_METRIC_6896" hidden="1" function="0" vbProcedure="0">"c6896"</definedName>
    <definedName name="IQ_ECO_METRIC_6896_UNUSED_UNUSED_UNUSED" hidden="1" function="0" vbProcedure="0">"c6896"</definedName>
    <definedName name="IQ_ECO_METRIC_6897" hidden="1" function="0" vbProcedure="0">"c6897"</definedName>
    <definedName name="IQ_ECO_METRIC_6897_UNUSED_UNUSED_UNUSED" hidden="1" function="0" vbProcedure="0">"c6897"</definedName>
    <definedName name="IQ_ECO_METRIC_6899" hidden="1" function="0" vbProcedure="0">"c6899"</definedName>
    <definedName name="IQ_ECO_METRIC_6900" hidden="1" function="0" vbProcedure="0">"c6900"</definedName>
    <definedName name="IQ_ECO_METRIC_6901" hidden="1" function="0" vbProcedure="0">"c6901"</definedName>
    <definedName name="IQ_ECO_METRIC_6902" hidden="1" function="0" vbProcedure="0">"c6902"</definedName>
    <definedName name="IQ_ECO_METRIC_6903" hidden="1" function="0" vbProcedure="0">"c6903"</definedName>
    <definedName name="IQ_ECO_METRIC_6904" hidden="1" function="0" vbProcedure="0">"c6904"</definedName>
    <definedName name="IQ_ECO_METRIC_6905" hidden="1" function="0" vbProcedure="0">"c6905"</definedName>
    <definedName name="IQ_ECO_METRIC_6906" hidden="1" function="0" vbProcedure="0">"c6906"</definedName>
    <definedName name="IQ_ECO_METRIC_6907" hidden="1" function="0" vbProcedure="0">"c6907"</definedName>
    <definedName name="IQ_ECO_METRIC_6908" hidden="1" function="0" vbProcedure="0">"c6908"</definedName>
    <definedName name="IQ_ECO_METRIC_6909" hidden="1" function="0" vbProcedure="0">"c6909"</definedName>
    <definedName name="IQ_ECO_METRIC_6910" hidden="1" function="0" vbProcedure="0">"c6910"</definedName>
    <definedName name="IQ_ECO_METRIC_6911" hidden="1" function="0" vbProcedure="0">"c6911"</definedName>
    <definedName name="IQ_ECO_METRIC_6912" hidden="1" function="0" vbProcedure="0">"c6912"</definedName>
    <definedName name="IQ_ECO_METRIC_6913" hidden="1" function="0" vbProcedure="0">"c6913"</definedName>
    <definedName name="IQ_ECO_METRIC_6914" hidden="1" function="0" vbProcedure="0">"c6914"</definedName>
    <definedName name="IQ_ECO_METRIC_6915" hidden="1" function="0" vbProcedure="0">"c6915"</definedName>
    <definedName name="IQ_ECO_METRIC_6916" hidden="1" function="0" vbProcedure="0">"c6916"</definedName>
    <definedName name="IQ_ECO_METRIC_6917" hidden="1" function="0" vbProcedure="0">"c6917"</definedName>
    <definedName name="IQ_ECO_METRIC_6918" hidden="1" function="0" vbProcedure="0">"c6918"</definedName>
    <definedName name="IQ_ECO_METRIC_6919" hidden="1" function="0" vbProcedure="0">"c6919"</definedName>
    <definedName name="IQ_ECO_METRIC_6920" hidden="1" function="0" vbProcedure="0">"c6920"</definedName>
    <definedName name="IQ_ECO_METRIC_6921" hidden="1" function="0" vbProcedure="0">"c6921"</definedName>
    <definedName name="IQ_ECO_METRIC_6922" hidden="1" function="0" vbProcedure="0">"c6922"</definedName>
    <definedName name="IQ_ECO_METRIC_6923" hidden="1" function="0" vbProcedure="0">"c6923"</definedName>
    <definedName name="IQ_ECO_METRIC_6924" hidden="1" function="0" vbProcedure="0">"c6924"</definedName>
    <definedName name="IQ_ECO_METRIC_6925" hidden="1" function="0" vbProcedure="0">"c6925"</definedName>
    <definedName name="IQ_ECO_METRIC_6926" hidden="1" function="0" vbProcedure="0">"c6926"</definedName>
    <definedName name="IQ_ECO_METRIC_6928" hidden="1" function="0" vbProcedure="0">"c6928"</definedName>
    <definedName name="IQ_ECO_METRIC_6929" hidden="1" function="0" vbProcedure="0">"c6929"</definedName>
    <definedName name="IQ_ECO_METRIC_6930" hidden="1" function="0" vbProcedure="0">"c6930"</definedName>
    <definedName name="IQ_ECO_METRIC_6931" hidden="1" function="0" vbProcedure="0">"c6931"</definedName>
    <definedName name="IQ_ECO_METRIC_6932" hidden="1" function="0" vbProcedure="0">"c6932"</definedName>
    <definedName name="IQ_ECO_METRIC_6933" hidden="1" function="0" vbProcedure="0">"c6933"</definedName>
    <definedName name="IQ_ECO_METRIC_6934" hidden="1" function="0" vbProcedure="0">"c6934"</definedName>
    <definedName name="IQ_ECO_METRIC_6935" hidden="1" function="0" vbProcedure="0">"c6935"</definedName>
    <definedName name="IQ_ECO_METRIC_6936" hidden="1" function="0" vbProcedure="0">"c6936"</definedName>
    <definedName name="IQ_ECO_METRIC_6937" hidden="1" function="0" vbProcedure="0">"c6937"</definedName>
    <definedName name="IQ_ECO_METRIC_6938" hidden="1" function="0" vbProcedure="0">"c6938"</definedName>
    <definedName name="IQ_ECO_METRIC_6939" hidden="1" function="0" vbProcedure="0">"c6939"</definedName>
    <definedName name="IQ_ECO_METRIC_6940" hidden="1" function="0" vbProcedure="0">"c6940"</definedName>
    <definedName name="IQ_ECO_METRIC_6941" hidden="1" function="0" vbProcedure="0">"c6941"</definedName>
    <definedName name="IQ_ECO_METRIC_6942" hidden="1" function="0" vbProcedure="0">"c6942"</definedName>
    <definedName name="IQ_ECO_METRIC_6943" hidden="1" function="0" vbProcedure="0">"c6943"</definedName>
    <definedName name="IQ_ECO_METRIC_6944" hidden="1" function="0" vbProcedure="0">"c6944"</definedName>
    <definedName name="IQ_ECO_METRIC_6945" hidden="1" function="0" vbProcedure="0">"c6945"</definedName>
    <definedName name="IQ_ECO_METRIC_6946" hidden="1" function="0" vbProcedure="0">"c6946"</definedName>
    <definedName name="IQ_ECO_METRIC_6947" hidden="1" function="0" vbProcedure="0">"c6947"</definedName>
    <definedName name="IQ_ECO_METRIC_6948" hidden="1" function="0" vbProcedure="0">"c6948"</definedName>
    <definedName name="IQ_ECO_METRIC_6949" hidden="1" function="0" vbProcedure="0">"c6949"</definedName>
    <definedName name="IQ_ECO_METRIC_6950" hidden="1" function="0" vbProcedure="0">"c6950"</definedName>
    <definedName name="IQ_ECO_METRIC_6951" hidden="1" function="0" vbProcedure="0">"c6951"</definedName>
    <definedName name="IQ_ECO_METRIC_6952" hidden="1" function="0" vbProcedure="0">"c6952"</definedName>
    <definedName name="IQ_ECO_METRIC_6953" hidden="1" function="0" vbProcedure="0">"c6953"</definedName>
    <definedName name="IQ_ECO_METRIC_6954" hidden="1" function="0" vbProcedure="0">"c6954"</definedName>
    <definedName name="IQ_ECO_METRIC_6955" hidden="1" function="0" vbProcedure="0">"c6955"</definedName>
    <definedName name="IQ_ECO_METRIC_6956" hidden="1" function="0" vbProcedure="0">"c6956"</definedName>
    <definedName name="IQ_ECO_METRIC_6957" hidden="1" function="0" vbProcedure="0">"c6957"</definedName>
    <definedName name="IQ_ECO_METRIC_6958" hidden="1" function="0" vbProcedure="0">"c6958"</definedName>
    <definedName name="IQ_ECO_METRIC_6959" hidden="1" function="0" vbProcedure="0">"c6959"</definedName>
    <definedName name="IQ_ECO_METRIC_6960" hidden="1" function="0" vbProcedure="0">"c6960"</definedName>
    <definedName name="IQ_ECO_METRIC_6962" hidden="1" function="0" vbProcedure="0">"c6962"</definedName>
    <definedName name="IQ_ECO_METRIC_6963" hidden="1" function="0" vbProcedure="0">"c6963"</definedName>
    <definedName name="IQ_ECO_METRIC_6964" hidden="1" function="0" vbProcedure="0">"c6964"</definedName>
    <definedName name="IQ_ECO_METRIC_6965" hidden="1" function="0" vbProcedure="0">"c6965"</definedName>
    <definedName name="IQ_ECO_METRIC_6966" hidden="1" function="0" vbProcedure="0">"c6966"</definedName>
    <definedName name="IQ_ECO_METRIC_6967" hidden="1" function="0" vbProcedure="0">"c6967"</definedName>
    <definedName name="IQ_ECO_METRIC_6968" hidden="1" function="0" vbProcedure="0">"c6968"</definedName>
    <definedName name="IQ_ECO_METRIC_6969" hidden="1" function="0" vbProcedure="0">"c6969"</definedName>
    <definedName name="IQ_ECO_METRIC_6970" hidden="1" function="0" vbProcedure="0">"c6970"</definedName>
    <definedName name="IQ_ECO_METRIC_6971" hidden="1" function="0" vbProcedure="0">"c6971"</definedName>
    <definedName name="IQ_ECO_METRIC_6972" hidden="1" function="0" vbProcedure="0">"c6972"</definedName>
    <definedName name="IQ_ECO_METRIC_6973" hidden="1" function="0" vbProcedure="0">"c6973"</definedName>
    <definedName name="IQ_ECO_METRIC_6974" hidden="1" function="0" vbProcedure="0">"c6974"</definedName>
    <definedName name="IQ_ECO_METRIC_6975" hidden="1" function="0" vbProcedure="0">"c6975"</definedName>
    <definedName name="IQ_ECO_METRIC_6976" hidden="1" function="0" vbProcedure="0">"c6976"</definedName>
    <definedName name="IQ_ECO_METRIC_6977" hidden="1" function="0" vbProcedure="0">"c6977"</definedName>
    <definedName name="IQ_ECO_METRIC_6978" hidden="1" function="0" vbProcedure="0">"c6978"</definedName>
    <definedName name="IQ_ECO_METRIC_6979" hidden="1" function="0" vbProcedure="0">"c6979"</definedName>
    <definedName name="IQ_ECO_METRIC_6980" hidden="1" function="0" vbProcedure="0">"c6980"</definedName>
    <definedName name="IQ_ECO_METRIC_6981" hidden="1" function="0" vbProcedure="0">"c6981"</definedName>
    <definedName name="IQ_ECO_METRIC_6982" hidden="1" function="0" vbProcedure="0">"c6982"</definedName>
    <definedName name="IQ_ECO_METRIC_6983" hidden="1" function="0" vbProcedure="0">"c6983"</definedName>
    <definedName name="IQ_ECO_METRIC_6984" hidden="1" function="0" vbProcedure="0">"c6984"</definedName>
    <definedName name="IQ_ECO_METRIC_6985" hidden="1" function="0" vbProcedure="0">"c6985"</definedName>
    <definedName name="IQ_ECO_METRIC_6986" hidden="1" function="0" vbProcedure="0">"c6986"</definedName>
    <definedName name="IQ_ECO_METRIC_6987" hidden="1" function="0" vbProcedure="0">"c6987"</definedName>
    <definedName name="IQ_ECO_METRIC_6988" hidden="1" function="0" vbProcedure="0">"c6988"</definedName>
    <definedName name="IQ_ECO_METRIC_6988_UNUSED_UNUSED_UNUSED" hidden="1" function="0" vbProcedure="0">"c6988"</definedName>
    <definedName name="IQ_ECO_METRIC_6989" hidden="1" function="0" vbProcedure="0">"c6989"</definedName>
    <definedName name="IQ_ECO_METRIC_6990" hidden="1" function="0" vbProcedure="0">"c6990"</definedName>
    <definedName name="IQ_ECO_METRIC_6991" hidden="1" function="0" vbProcedure="0">"c6991"</definedName>
    <definedName name="IQ_ECO_METRIC_6992" hidden="1" function="0" vbProcedure="0">"c6992"</definedName>
    <definedName name="IQ_ECO_METRIC_6993" hidden="1" function="0" vbProcedure="0">"c6993"</definedName>
    <definedName name="IQ_ECO_METRIC_6994" hidden="1" function="0" vbProcedure="0">"c6994"</definedName>
    <definedName name="IQ_ECO_METRIC_6995" hidden="1" function="0" vbProcedure="0">"c6995"</definedName>
    <definedName name="IQ_ECO_METRIC_6996" hidden="1" function="0" vbProcedure="0">"c6996"</definedName>
    <definedName name="IQ_ECO_METRIC_6997" hidden="1" function="0" vbProcedure="0">"c6997"</definedName>
    <definedName name="IQ_ECO_METRIC_6998" hidden="1" function="0" vbProcedure="0">"c6998"</definedName>
    <definedName name="IQ_ECO_METRIC_7000" hidden="1" function="0" vbProcedure="0">"c7000"</definedName>
    <definedName name="IQ_ECO_METRIC_7001" hidden="1" function="0" vbProcedure="0">"c7001"</definedName>
    <definedName name="IQ_ECO_METRIC_7002" hidden="1" function="0" vbProcedure="0">"c7002"</definedName>
    <definedName name="IQ_ECO_METRIC_7003" hidden="1" function="0" vbProcedure="0">"c7003"</definedName>
    <definedName name="IQ_ECO_METRIC_7004" hidden="1" function="0" vbProcedure="0">"c7004"</definedName>
    <definedName name="IQ_ECO_METRIC_7005" hidden="1" function="0" vbProcedure="0">"c7005"</definedName>
    <definedName name="IQ_ECO_METRIC_7006" hidden="1" function="0" vbProcedure="0">"c7006"</definedName>
    <definedName name="IQ_ECO_METRIC_7007" hidden="1" function="0" vbProcedure="0">"c7007"</definedName>
    <definedName name="IQ_ECO_METRIC_7008" hidden="1" function="0" vbProcedure="0">"c7008"</definedName>
    <definedName name="IQ_ECO_METRIC_7009" hidden="1" function="0" vbProcedure="0">"c7009"</definedName>
    <definedName name="IQ_ECO_METRIC_7010" hidden="1" function="0" vbProcedure="0">"c7010"</definedName>
    <definedName name="IQ_ECO_METRIC_7011" hidden="1" function="0" vbProcedure="0">"c7011"</definedName>
    <definedName name="IQ_ECO_METRIC_7012" hidden="1" function="0" vbProcedure="0">"c7012"</definedName>
    <definedName name="IQ_ECO_METRIC_7013" hidden="1" function="0" vbProcedure="0">"c7013"</definedName>
    <definedName name="IQ_ECO_METRIC_7015" hidden="1" function="0" vbProcedure="0">"c7015"</definedName>
    <definedName name="IQ_ECO_METRIC_7016" hidden="1" function="0" vbProcedure="0">"c7016"</definedName>
    <definedName name="IQ_ECO_METRIC_7017" hidden="1" function="0" vbProcedure="0">"c7017"</definedName>
    <definedName name="IQ_ECO_METRIC_7018" hidden="1" function="0" vbProcedure="0">"c7018"</definedName>
    <definedName name="IQ_ECO_METRIC_7019" hidden="1" function="0" vbProcedure="0">"c7019"</definedName>
    <definedName name="IQ_ECO_METRIC_7020" hidden="1" function="0" vbProcedure="0">"c7020"</definedName>
    <definedName name="IQ_ECO_METRIC_7021" hidden="1" function="0" vbProcedure="0">"c7021"</definedName>
    <definedName name="IQ_ECO_METRIC_7023" hidden="1" function="0" vbProcedure="0">"c7023"</definedName>
    <definedName name="IQ_ECO_METRIC_7024" hidden="1" function="0" vbProcedure="0">"c7024"</definedName>
    <definedName name="IQ_ECO_METRIC_7025" hidden="1" function="0" vbProcedure="0">"c7025"</definedName>
    <definedName name="IQ_ECO_METRIC_7026" hidden="1" function="0" vbProcedure="0">"c7026"</definedName>
    <definedName name="IQ_ECO_METRIC_7027" hidden="1" function="0" vbProcedure="0">"c7027"</definedName>
    <definedName name="IQ_ECO_METRIC_7028" hidden="1" function="0" vbProcedure="0">"c7028"</definedName>
    <definedName name="IQ_ECO_METRIC_7029" hidden="1" function="0" vbProcedure="0">"c7029"</definedName>
    <definedName name="IQ_ECO_METRIC_7030" hidden="1" function="0" vbProcedure="0">"c7030"</definedName>
    <definedName name="IQ_ECO_METRIC_7031" hidden="1" function="0" vbProcedure="0">"c7031"</definedName>
    <definedName name="IQ_ECO_METRIC_7032" hidden="1" function="0" vbProcedure="0">"c7032"</definedName>
    <definedName name="IQ_ECO_METRIC_7033" hidden="1" function="0" vbProcedure="0">"c7033"</definedName>
    <definedName name="IQ_ECO_METRIC_7034" hidden="1" function="0" vbProcedure="0">"c7034"</definedName>
    <definedName name="IQ_ECO_METRIC_7035" hidden="1" function="0" vbProcedure="0">"c7035"</definedName>
    <definedName name="IQ_ECO_METRIC_7036" hidden="1" function="0" vbProcedure="0">"c7036"</definedName>
    <definedName name="IQ_ECO_METRIC_7037" hidden="1" function="0" vbProcedure="0">"c7037"</definedName>
    <definedName name="IQ_ECO_METRIC_7038" hidden="1" function="0" vbProcedure="0">"c7038"</definedName>
    <definedName name="IQ_ECO_METRIC_7039" hidden="1" function="0" vbProcedure="0">"c7039"</definedName>
    <definedName name="IQ_ECO_METRIC_7040" hidden="1" function="0" vbProcedure="0">"c7040"</definedName>
    <definedName name="IQ_ECO_METRIC_7041" hidden="1" function="0" vbProcedure="0">"c7041"</definedName>
    <definedName name="IQ_ECO_METRIC_7042" hidden="1" function="0" vbProcedure="0">"c7042"</definedName>
    <definedName name="IQ_ECO_METRIC_7043" hidden="1" function="0" vbProcedure="0">"c7043"</definedName>
    <definedName name="IQ_ECO_METRIC_7044" hidden="1" function="0" vbProcedure="0">"c7044"</definedName>
    <definedName name="IQ_ECO_METRIC_7045" hidden="1" function="0" vbProcedure="0">"c7045"</definedName>
    <definedName name="IQ_ECO_METRIC_7045_UNUSED_UNUSED_UNUSED" hidden="1" function="0" vbProcedure="0">"c7045"</definedName>
    <definedName name="IQ_ECO_METRIC_7046" hidden="1" function="0" vbProcedure="0">"c7046"</definedName>
    <definedName name="IQ_ECO_METRIC_7047" hidden="1" function="0" vbProcedure="0">"c7047"</definedName>
    <definedName name="IQ_ECO_METRIC_7048" hidden="1" function="0" vbProcedure="0">"c7048"</definedName>
    <definedName name="IQ_ECO_METRIC_7049" hidden="1" function="0" vbProcedure="0">"c7049"</definedName>
    <definedName name="IQ_ECO_METRIC_7050" hidden="1" function="0" vbProcedure="0">"c7050"</definedName>
    <definedName name="IQ_ECO_METRIC_7051" hidden="1" function="0" vbProcedure="0">"c7051"</definedName>
    <definedName name="IQ_ECO_METRIC_7052" hidden="1" function="0" vbProcedure="0">"c7052"</definedName>
    <definedName name="IQ_ECO_METRIC_7053" hidden="1" function="0" vbProcedure="0">"c7053"</definedName>
    <definedName name="IQ_ECO_METRIC_7054" hidden="1" function="0" vbProcedure="0">"c7054"</definedName>
    <definedName name="IQ_ECO_METRIC_7055" hidden="1" function="0" vbProcedure="0">"c7055"</definedName>
    <definedName name="IQ_ECO_METRIC_7056" hidden="1" function="0" vbProcedure="0">"c7056"</definedName>
    <definedName name="IQ_ECO_METRIC_7057" hidden="1" function="0" vbProcedure="0">"c7057"</definedName>
    <definedName name="IQ_ECO_METRIC_7058" hidden="1" function="0" vbProcedure="0">"c7058"</definedName>
    <definedName name="IQ_ECO_METRIC_7059" hidden="1" function="0" vbProcedure="0">"c7059"</definedName>
    <definedName name="IQ_ECO_METRIC_7059_UNUSED_UNUSED_UNUSED" hidden="1" function="0" vbProcedure="0">"c7059"</definedName>
    <definedName name="IQ_ECO_METRIC_7060" hidden="1" function="0" vbProcedure="0">"c7060"</definedName>
    <definedName name="IQ_ECO_METRIC_7061" hidden="1" function="0" vbProcedure="0">"c7061"</definedName>
    <definedName name="IQ_ECO_METRIC_7062" hidden="1" function="0" vbProcedure="0">"c7062"</definedName>
    <definedName name="IQ_ECO_METRIC_7063" hidden="1" function="0" vbProcedure="0">"c7063"</definedName>
    <definedName name="IQ_ECO_METRIC_7064" hidden="1" function="0" vbProcedure="0">"c7064"</definedName>
    <definedName name="IQ_ECO_METRIC_7065" hidden="1" function="0" vbProcedure="0">"c7065"</definedName>
    <definedName name="IQ_ECO_METRIC_7066" hidden="1" function="0" vbProcedure="0">"c7066"</definedName>
    <definedName name="IQ_ECO_METRIC_7067" hidden="1" function="0" vbProcedure="0">"c7067"</definedName>
    <definedName name="IQ_ECO_METRIC_7068" hidden="1" function="0" vbProcedure="0">"c7068"</definedName>
    <definedName name="IQ_ECO_METRIC_7069" hidden="1" function="0" vbProcedure="0">"c7069"</definedName>
    <definedName name="IQ_ECO_METRIC_7070" hidden="1" function="0" vbProcedure="0">"c7070"</definedName>
    <definedName name="IQ_ECO_METRIC_7071" hidden="1" function="0" vbProcedure="0">"c7071"</definedName>
    <definedName name="IQ_ECO_METRIC_7072" hidden="1" function="0" vbProcedure="0">"c7072"</definedName>
    <definedName name="IQ_ECO_METRIC_7073" hidden="1" function="0" vbProcedure="0">"c7073"</definedName>
    <definedName name="IQ_ECO_METRIC_7074" hidden="1" function="0" vbProcedure="0">"c7074"</definedName>
    <definedName name="IQ_ECO_METRIC_7075" hidden="1" function="0" vbProcedure="0">"c7075"</definedName>
    <definedName name="IQ_ECO_METRIC_7076" hidden="1" function="0" vbProcedure="0">"c7076"</definedName>
    <definedName name="IQ_ECO_METRIC_7077" hidden="1" function="0" vbProcedure="0">"c7077"</definedName>
    <definedName name="IQ_ECO_METRIC_7078" hidden="1" function="0" vbProcedure="0">"c7078"</definedName>
    <definedName name="IQ_ECO_METRIC_7079" hidden="1" function="0" vbProcedure="0">"c7079"</definedName>
    <definedName name="IQ_ECO_METRIC_7080" hidden="1" function="0" vbProcedure="0">"c7080"</definedName>
    <definedName name="IQ_ECO_METRIC_7081" hidden="1" function="0" vbProcedure="0">"c7081"</definedName>
    <definedName name="IQ_ECO_METRIC_7082" hidden="1" function="0" vbProcedure="0">"c7082"</definedName>
    <definedName name="IQ_ECO_METRIC_7083" hidden="1" function="0" vbProcedure="0">"c7083"</definedName>
    <definedName name="IQ_ECO_METRIC_7084" hidden="1" function="0" vbProcedure="0">"c7084"</definedName>
    <definedName name="IQ_ECO_METRIC_7085" hidden="1" function="0" vbProcedure="0">"c7085"</definedName>
    <definedName name="IQ_ECO_METRIC_7086" hidden="1" function="0" vbProcedure="0">"c7086"</definedName>
    <definedName name="IQ_ECO_METRIC_7087" hidden="1" function="0" vbProcedure="0">"c7087"</definedName>
    <definedName name="IQ_ECO_METRIC_7088" hidden="1" function="0" vbProcedure="0">"c7088"</definedName>
    <definedName name="IQ_ECO_METRIC_7089" hidden="1" function="0" vbProcedure="0">"c7089"</definedName>
    <definedName name="IQ_ECO_METRIC_7090" hidden="1" function="0" vbProcedure="0">"c7090"</definedName>
    <definedName name="IQ_ECO_METRIC_7091" hidden="1" function="0" vbProcedure="0">"c7091"</definedName>
    <definedName name="IQ_ECO_METRIC_7092" hidden="1" function="0" vbProcedure="0">"c7092"</definedName>
    <definedName name="IQ_ECO_METRIC_7093" hidden="1" function="0" vbProcedure="0">"c7093"</definedName>
    <definedName name="IQ_ECO_METRIC_7094" hidden="1" function="0" vbProcedure="0">"c7094"</definedName>
    <definedName name="IQ_ECO_METRIC_7095" hidden="1" function="0" vbProcedure="0">"c7095"</definedName>
    <definedName name="IQ_ECO_METRIC_7096" hidden="1" function="0" vbProcedure="0">"c7096"</definedName>
    <definedName name="IQ_ECO_METRIC_7097" hidden="1" function="0" vbProcedure="0">"c7097"</definedName>
    <definedName name="IQ_ECO_METRIC_7098" hidden="1" function="0" vbProcedure="0">"c7098"</definedName>
    <definedName name="IQ_ECO_METRIC_7099" hidden="1" function="0" vbProcedure="0">"c7099"</definedName>
    <definedName name="IQ_ECO_METRIC_7100" hidden="1" function="0" vbProcedure="0">"c7100"</definedName>
    <definedName name="IQ_ECO_METRIC_7101" hidden="1" function="0" vbProcedure="0">"c7101"</definedName>
    <definedName name="IQ_ECO_METRIC_7102" hidden="1" function="0" vbProcedure="0">"c7102"</definedName>
    <definedName name="IQ_ECO_METRIC_7103" hidden="1" function="0" vbProcedure="0">"c7103"</definedName>
    <definedName name="IQ_ECO_METRIC_7104" hidden="1" function="0" vbProcedure="0">"c7104"</definedName>
    <definedName name="IQ_ECO_METRIC_7105" hidden="1" function="0" vbProcedure="0">"c7105"</definedName>
    <definedName name="IQ_ECO_METRIC_7106" hidden="1" function="0" vbProcedure="0">"c7106"</definedName>
    <definedName name="IQ_ECO_METRIC_7107" hidden="1" function="0" vbProcedure="0">"c7107"</definedName>
    <definedName name="IQ_ECO_METRIC_7108" hidden="1" function="0" vbProcedure="0">"c7108"</definedName>
    <definedName name="IQ_ECO_METRIC_7109" hidden="1" function="0" vbProcedure="0">"c7109"</definedName>
    <definedName name="IQ_ECO_METRIC_7110" hidden="1" function="0" vbProcedure="0">"c7110"</definedName>
    <definedName name="IQ_ECO_METRIC_7111" hidden="1" function="0" vbProcedure="0">"c7111"</definedName>
    <definedName name="IQ_ECO_METRIC_7112" hidden="1" function="0" vbProcedure="0">"c7112"</definedName>
    <definedName name="IQ_ECO_METRIC_7113" hidden="1" function="0" vbProcedure="0">"c7113"</definedName>
    <definedName name="IQ_ECO_METRIC_7114" hidden="1" function="0" vbProcedure="0">"c7114"</definedName>
    <definedName name="IQ_ECO_METRIC_7115" hidden="1" function="0" vbProcedure="0">"c7115"</definedName>
    <definedName name="IQ_ECO_METRIC_7116" hidden="1" function="0" vbProcedure="0">"c7116"</definedName>
    <definedName name="IQ_ECO_METRIC_7116_UNUSED_UNUSED_UNUSED" hidden="1" function="0" vbProcedure="0">"c7116"</definedName>
    <definedName name="IQ_ECO_METRIC_7117" hidden="1" function="0" vbProcedure="0">"c7117"</definedName>
    <definedName name="IQ_ECO_METRIC_7117_UNUSED_UNUSED_UNUSED" hidden="1" function="0" vbProcedure="0">"c7117"</definedName>
    <definedName name="IQ_ECO_METRIC_7119" hidden="1" function="0" vbProcedure="0">"c7119"</definedName>
    <definedName name="IQ_ECO_METRIC_7120" hidden="1" function="0" vbProcedure="0">"c7120"</definedName>
    <definedName name="IQ_ECO_METRIC_7121" hidden="1" function="0" vbProcedure="0">"c7121"</definedName>
    <definedName name="IQ_ECO_METRIC_7122" hidden="1" function="0" vbProcedure="0">"c7122"</definedName>
    <definedName name="IQ_ECO_METRIC_7123" hidden="1" function="0" vbProcedure="0">"c7123"</definedName>
    <definedName name="IQ_ECO_METRIC_7124" hidden="1" function="0" vbProcedure="0">"c7124"</definedName>
    <definedName name="IQ_ECO_METRIC_7125" hidden="1" function="0" vbProcedure="0">"c7125"</definedName>
    <definedName name="IQ_ECO_METRIC_7126" hidden="1" function="0" vbProcedure="0">"c7126"</definedName>
    <definedName name="IQ_ECO_METRIC_7127" hidden="1" function="0" vbProcedure="0">"c7127"</definedName>
    <definedName name="IQ_ECO_METRIC_7128" hidden="1" function="0" vbProcedure="0">"c7128"</definedName>
    <definedName name="IQ_ECO_METRIC_7129" hidden="1" function="0" vbProcedure="0">"c7129"</definedName>
    <definedName name="IQ_ECO_METRIC_7130" hidden="1" function="0" vbProcedure="0">"c7130"</definedName>
    <definedName name="IQ_ECO_METRIC_7131" hidden="1" function="0" vbProcedure="0">"c7131"</definedName>
    <definedName name="IQ_ECO_METRIC_7132" hidden="1" function="0" vbProcedure="0">"c7132"</definedName>
    <definedName name="IQ_ECO_METRIC_7133" hidden="1" function="0" vbProcedure="0">"c7133"</definedName>
    <definedName name="IQ_ECO_METRIC_7134" hidden="1" function="0" vbProcedure="0">"c7134"</definedName>
    <definedName name="IQ_ECO_METRIC_7135" hidden="1" function="0" vbProcedure="0">"c7135"</definedName>
    <definedName name="IQ_ECO_METRIC_7136" hidden="1" function="0" vbProcedure="0">"c7136"</definedName>
    <definedName name="IQ_ECO_METRIC_7137" hidden="1" function="0" vbProcedure="0">"c7137"</definedName>
    <definedName name="IQ_ECO_METRIC_7138" hidden="1" function="0" vbProcedure="0">"c7138"</definedName>
    <definedName name="IQ_ECO_METRIC_7139" hidden="1" function="0" vbProcedure="0">"c7139"</definedName>
    <definedName name="IQ_ECO_METRIC_7140" hidden="1" function="0" vbProcedure="0">"c7140"</definedName>
    <definedName name="IQ_ECO_METRIC_7141" hidden="1" function="0" vbProcedure="0">"c7141"</definedName>
    <definedName name="IQ_ECO_METRIC_7142" hidden="1" function="0" vbProcedure="0">"c7142"</definedName>
    <definedName name="IQ_ECO_METRIC_7143" hidden="1" function="0" vbProcedure="0">"c7143"</definedName>
    <definedName name="IQ_ECO_METRIC_7144" hidden="1" function="0" vbProcedure="0">"c7144"</definedName>
    <definedName name="IQ_ECO_METRIC_7145" hidden="1" function="0" vbProcedure="0">"c7145"</definedName>
    <definedName name="IQ_ECO_METRIC_7146" hidden="1" function="0" vbProcedure="0">"c7146"</definedName>
    <definedName name="IQ_ECO_METRIC_7148" hidden="1" function="0" vbProcedure="0">"c7148"</definedName>
    <definedName name="IQ_ECO_METRIC_7149" hidden="1" function="0" vbProcedure="0">"c7149"</definedName>
    <definedName name="IQ_ECO_METRIC_7150" hidden="1" function="0" vbProcedure="0">"c7150"</definedName>
    <definedName name="IQ_ECO_METRIC_7151" hidden="1" function="0" vbProcedure="0">"c7151"</definedName>
    <definedName name="IQ_ECO_METRIC_7152" hidden="1" function="0" vbProcedure="0">"c7152"</definedName>
    <definedName name="IQ_ECO_METRIC_7153" hidden="1" function="0" vbProcedure="0">"c7153"</definedName>
    <definedName name="IQ_ECO_METRIC_7154" hidden="1" function="0" vbProcedure="0">"c7154"</definedName>
    <definedName name="IQ_ECO_METRIC_7155" hidden="1" function="0" vbProcedure="0">"c7155"</definedName>
    <definedName name="IQ_ECO_METRIC_7156" hidden="1" function="0" vbProcedure="0">"c7156"</definedName>
    <definedName name="IQ_ECO_METRIC_7157" hidden="1" function="0" vbProcedure="0">"c7157"</definedName>
    <definedName name="IQ_ECO_METRIC_7158" hidden="1" function="0" vbProcedure="0">"c7158"</definedName>
    <definedName name="IQ_ECO_METRIC_7159" hidden="1" function="0" vbProcedure="0">"c7159"</definedName>
    <definedName name="IQ_ECO_METRIC_7160" hidden="1" function="0" vbProcedure="0">"c7160"</definedName>
    <definedName name="IQ_ECO_METRIC_7161" hidden="1" function="0" vbProcedure="0">"c7161"</definedName>
    <definedName name="IQ_ECO_METRIC_7162" hidden="1" function="0" vbProcedure="0">"c7162"</definedName>
    <definedName name="IQ_ECO_METRIC_7163" hidden="1" function="0" vbProcedure="0">"c7163"</definedName>
    <definedName name="IQ_ECO_METRIC_7164" hidden="1" function="0" vbProcedure="0">"c7164"</definedName>
    <definedName name="IQ_ECO_METRIC_7165" hidden="1" function="0" vbProcedure="0">"c7165"</definedName>
    <definedName name="IQ_ECO_METRIC_7166" hidden="1" function="0" vbProcedure="0">"c7166"</definedName>
    <definedName name="IQ_ECO_METRIC_7167" hidden="1" function="0" vbProcedure="0">"c7167"</definedName>
    <definedName name="IQ_ECO_METRIC_7168" hidden="1" function="0" vbProcedure="0">"c7168"</definedName>
    <definedName name="IQ_ECO_METRIC_7169" hidden="1" function="0" vbProcedure="0">"c7169"</definedName>
    <definedName name="IQ_ECO_METRIC_7170" hidden="1" function="0" vbProcedure="0">"c7170"</definedName>
    <definedName name="IQ_ECO_METRIC_7171" hidden="1" function="0" vbProcedure="0">"c7171"</definedName>
    <definedName name="IQ_ECO_METRIC_7172" hidden="1" function="0" vbProcedure="0">"c7172"</definedName>
    <definedName name="IQ_ECO_METRIC_7173" hidden="1" function="0" vbProcedure="0">"c7173"</definedName>
    <definedName name="IQ_ECO_METRIC_7174" hidden="1" function="0" vbProcedure="0">"c7174"</definedName>
    <definedName name="IQ_ECO_METRIC_7175" hidden="1" function="0" vbProcedure="0">"c7175"</definedName>
    <definedName name="IQ_ECO_METRIC_7176" hidden="1" function="0" vbProcedure="0">"c7176"</definedName>
    <definedName name="IQ_ECO_METRIC_7177" hidden="1" function="0" vbProcedure="0">"c7177"</definedName>
    <definedName name="IQ_ECO_METRIC_7178" hidden="1" function="0" vbProcedure="0">"c7178"</definedName>
    <definedName name="IQ_ECO_METRIC_7179" hidden="1" function="0" vbProcedure="0">"c7179"</definedName>
    <definedName name="IQ_ECO_METRIC_7180" hidden="1" function="0" vbProcedure="0">"c7180"</definedName>
    <definedName name="IQ_ECO_METRIC_7182" hidden="1" function="0" vbProcedure="0">"c7182"</definedName>
    <definedName name="IQ_ECO_METRIC_7183" hidden="1" function="0" vbProcedure="0">"c7183"</definedName>
    <definedName name="IQ_ECO_METRIC_7184" hidden="1" function="0" vbProcedure="0">"c7184"</definedName>
    <definedName name="IQ_ECO_METRIC_7185" hidden="1" function="0" vbProcedure="0">"c7185"</definedName>
    <definedName name="IQ_ECO_METRIC_7186" hidden="1" function="0" vbProcedure="0">"c7186"</definedName>
    <definedName name="IQ_ECO_METRIC_7187" hidden="1" function="0" vbProcedure="0">"c7187"</definedName>
    <definedName name="IQ_ECO_METRIC_7188" hidden="1" function="0" vbProcedure="0">"c7188"</definedName>
    <definedName name="IQ_ECO_METRIC_7189" hidden="1" function="0" vbProcedure="0">"c7189"</definedName>
    <definedName name="IQ_ECO_METRIC_7190" hidden="1" function="0" vbProcedure="0">"c7190"</definedName>
    <definedName name="IQ_ECO_METRIC_7191" hidden="1" function="0" vbProcedure="0">"c7191"</definedName>
    <definedName name="IQ_ECO_METRIC_7192" hidden="1" function="0" vbProcedure="0">"c7192"</definedName>
    <definedName name="IQ_ECO_METRIC_7193" hidden="1" function="0" vbProcedure="0">"c7193"</definedName>
    <definedName name="IQ_ECO_METRIC_7194" hidden="1" function="0" vbProcedure="0">"c7194"</definedName>
    <definedName name="IQ_ECO_METRIC_7195" hidden="1" function="0" vbProcedure="0">"c7195"</definedName>
    <definedName name="IQ_ECO_METRIC_7196" hidden="1" function="0" vbProcedure="0">"c7196"</definedName>
    <definedName name="IQ_ECO_METRIC_7197" hidden="1" function="0" vbProcedure="0">"c7197"</definedName>
    <definedName name="IQ_ECO_METRIC_7198" hidden="1" function="0" vbProcedure="0">"c7198"</definedName>
    <definedName name="IQ_ECO_METRIC_7199" hidden="1" function="0" vbProcedure="0">"c7199"</definedName>
    <definedName name="IQ_ECO_METRIC_7200" hidden="1" function="0" vbProcedure="0">"c7200"</definedName>
    <definedName name="IQ_ECO_METRIC_7201" hidden="1" function="0" vbProcedure="0">"c7201"</definedName>
    <definedName name="IQ_ECO_METRIC_7202" hidden="1" function="0" vbProcedure="0">"c7202"</definedName>
    <definedName name="IQ_ECO_METRIC_7203" hidden="1" function="0" vbProcedure="0">"c7203"</definedName>
    <definedName name="IQ_ECO_METRIC_7204" hidden="1" function="0" vbProcedure="0">"c7204"</definedName>
    <definedName name="IQ_ECO_METRIC_7205" hidden="1" function="0" vbProcedure="0">"c7205"</definedName>
    <definedName name="IQ_ECO_METRIC_7206" hidden="1" function="0" vbProcedure="0">"c7206"</definedName>
    <definedName name="IQ_ECO_METRIC_7207" hidden="1" function="0" vbProcedure="0">"c7207"</definedName>
    <definedName name="IQ_ECO_METRIC_7208" hidden="1" function="0" vbProcedure="0">"c7208"</definedName>
    <definedName name="IQ_ECO_METRIC_7208_UNUSED_UNUSED_UNUSED" hidden="1" function="0" vbProcedure="0">"c7208"</definedName>
    <definedName name="IQ_ECO_METRIC_7209" hidden="1" function="0" vbProcedure="0">"c7209"</definedName>
    <definedName name="IQ_ECO_METRIC_7210" hidden="1" function="0" vbProcedure="0">"c7210"</definedName>
    <definedName name="IQ_ECO_METRIC_7211" hidden="1" function="0" vbProcedure="0">"c7211"</definedName>
    <definedName name="IQ_ECO_METRIC_7212" hidden="1" function="0" vbProcedure="0">"c7212"</definedName>
    <definedName name="IQ_ECO_METRIC_7213" hidden="1" function="0" vbProcedure="0">"c7213"</definedName>
    <definedName name="IQ_ECO_METRIC_7214" hidden="1" function="0" vbProcedure="0">"c7214"</definedName>
    <definedName name="IQ_ECO_METRIC_7215" hidden="1" function="0" vbProcedure="0">"c7215"</definedName>
    <definedName name="IQ_ECO_METRIC_7216" hidden="1" function="0" vbProcedure="0">"c7216"</definedName>
    <definedName name="IQ_ECO_METRIC_7217" hidden="1" function="0" vbProcedure="0">"c7217"</definedName>
    <definedName name="IQ_ECO_METRIC_7218" hidden="1" function="0" vbProcedure="0">"c7218"</definedName>
    <definedName name="IQ_ECO_METRIC_7220" hidden="1" function="0" vbProcedure="0">"c7220"</definedName>
    <definedName name="IQ_ECO_METRIC_7221" hidden="1" function="0" vbProcedure="0">"c7221"</definedName>
    <definedName name="IQ_ECO_METRIC_7222" hidden="1" function="0" vbProcedure="0">"c7222"</definedName>
    <definedName name="IQ_ECO_METRIC_7223" hidden="1" function="0" vbProcedure="0">"c7223"</definedName>
    <definedName name="IQ_ECO_METRIC_7224" hidden="1" function="0" vbProcedure="0">"c7224"</definedName>
    <definedName name="IQ_ECO_METRIC_7225" hidden="1" function="0" vbProcedure="0">"c7225"</definedName>
    <definedName name="IQ_ECO_METRIC_7226" hidden="1" function="0" vbProcedure="0">"c7226"</definedName>
    <definedName name="IQ_ECO_METRIC_7227" hidden="1" function="0" vbProcedure="0">"c7227"</definedName>
    <definedName name="IQ_ECO_METRIC_7228" hidden="1" function="0" vbProcedure="0">"c7228"</definedName>
    <definedName name="IQ_ECO_METRIC_7229" hidden="1" function="0" vbProcedure="0">"c7229"</definedName>
    <definedName name="IQ_ECO_METRIC_7230" hidden="1" function="0" vbProcedure="0">"c7230"</definedName>
    <definedName name="IQ_ECO_METRIC_7231" hidden="1" function="0" vbProcedure="0">"c7231"</definedName>
    <definedName name="IQ_ECO_METRIC_7232" hidden="1" function="0" vbProcedure="0">"c7232"</definedName>
    <definedName name="IQ_ECO_METRIC_7233" hidden="1" function="0" vbProcedure="0">"c7233"</definedName>
    <definedName name="IQ_ECO_METRIC_7235" hidden="1" function="0" vbProcedure="0">"c7235"</definedName>
    <definedName name="IQ_ECO_METRIC_7236" hidden="1" function="0" vbProcedure="0">"c7236"</definedName>
    <definedName name="IQ_ECO_METRIC_7237" hidden="1" function="0" vbProcedure="0">"c7237"</definedName>
    <definedName name="IQ_ECO_METRIC_7238" hidden="1" function="0" vbProcedure="0">"c7238"</definedName>
    <definedName name="IQ_ECO_METRIC_7239" hidden="1" function="0" vbProcedure="0">"c7239"</definedName>
    <definedName name="IQ_ECO_METRIC_7240" hidden="1" function="0" vbProcedure="0">"c7240"</definedName>
    <definedName name="IQ_ECO_METRIC_7241" hidden="1" function="0" vbProcedure="0">"c7241"</definedName>
    <definedName name="IQ_ECO_METRIC_7243" hidden="1" function="0" vbProcedure="0">"c7243"</definedName>
    <definedName name="IQ_ECO_METRIC_7244" hidden="1" function="0" vbProcedure="0">"c7244"</definedName>
    <definedName name="IQ_ECO_METRIC_7245" hidden="1" function="0" vbProcedure="0">"c7245"</definedName>
    <definedName name="IQ_ECO_METRIC_7246" hidden="1" function="0" vbProcedure="0">"c7246"</definedName>
    <definedName name="IQ_ECO_METRIC_7247" hidden="1" function="0" vbProcedure="0">"c7247"</definedName>
    <definedName name="IQ_ECO_METRIC_7248" hidden="1" function="0" vbProcedure="0">"c7248"</definedName>
    <definedName name="IQ_ECO_METRIC_7249" hidden="1" function="0" vbProcedure="0">"c7249"</definedName>
    <definedName name="IQ_ECO_METRIC_7250" hidden="1" function="0" vbProcedure="0">"c7250"</definedName>
    <definedName name="IQ_ECO_METRIC_7251" hidden="1" function="0" vbProcedure="0">"c7251"</definedName>
    <definedName name="IQ_ECO_METRIC_7252" hidden="1" function="0" vbProcedure="0">"c7252"</definedName>
    <definedName name="IQ_ECO_METRIC_7253" hidden="1" function="0" vbProcedure="0">"c7253"</definedName>
    <definedName name="IQ_ECO_METRIC_7254" hidden="1" function="0" vbProcedure="0">"c7254"</definedName>
    <definedName name="IQ_ECO_METRIC_7255" hidden="1" function="0" vbProcedure="0">"c7255"</definedName>
    <definedName name="IQ_ECO_METRIC_7256" hidden="1" function="0" vbProcedure="0">"c7256"</definedName>
    <definedName name="IQ_ECO_METRIC_7257" hidden="1" function="0" vbProcedure="0">"c7257"</definedName>
    <definedName name="IQ_ECO_METRIC_7258" hidden="1" function="0" vbProcedure="0">"c7258"</definedName>
    <definedName name="IQ_ECO_METRIC_7259" hidden="1" function="0" vbProcedure="0">"c7259"</definedName>
    <definedName name="IQ_ECO_METRIC_7260" hidden="1" function="0" vbProcedure="0">"c7260"</definedName>
    <definedName name="IQ_ECO_METRIC_7261" hidden="1" function="0" vbProcedure="0">"c7261"</definedName>
    <definedName name="IQ_ECO_METRIC_7262" hidden="1" function="0" vbProcedure="0">"c7262"</definedName>
    <definedName name="IQ_ECO_METRIC_7263" hidden="1" function="0" vbProcedure="0">"c7263"</definedName>
    <definedName name="IQ_ECO_METRIC_7264" hidden="1" function="0" vbProcedure="0">"c7264"</definedName>
    <definedName name="IQ_ECO_METRIC_7265" hidden="1" function="0" vbProcedure="0">"c7265"</definedName>
    <definedName name="IQ_ECO_METRIC_7265_UNUSED_UNUSED_UNUSED" hidden="1" function="0" vbProcedure="0">"c7265"</definedName>
    <definedName name="IQ_ECO_METRIC_7266" hidden="1" function="0" vbProcedure="0">"c7266"</definedName>
    <definedName name="IQ_ECO_METRIC_7267" hidden="1" function="0" vbProcedure="0">"c7267"</definedName>
    <definedName name="IQ_ECO_METRIC_7268" hidden="1" function="0" vbProcedure="0">"c7268"</definedName>
    <definedName name="IQ_ECO_METRIC_7269" hidden="1" function="0" vbProcedure="0">"c7269"</definedName>
    <definedName name="IQ_ECO_METRIC_7270" hidden="1" function="0" vbProcedure="0">"c7270"</definedName>
    <definedName name="IQ_ECO_METRIC_7272" hidden="1" function="0" vbProcedure="0">"c7272"</definedName>
    <definedName name="IQ_ECO_METRIC_7273" hidden="1" function="0" vbProcedure="0">"c7273"</definedName>
    <definedName name="IQ_ECO_METRIC_7274" hidden="1" function="0" vbProcedure="0">"c7274"</definedName>
    <definedName name="IQ_ECO_METRIC_7275" hidden="1" function="0" vbProcedure="0">"c7275"</definedName>
    <definedName name="IQ_ECO_METRIC_7276" hidden="1" function="0" vbProcedure="0">"c7276"</definedName>
    <definedName name="IQ_ECO_METRIC_7277" hidden="1" function="0" vbProcedure="0">"c7277"</definedName>
    <definedName name="IQ_ECO_METRIC_7278" hidden="1" function="0" vbProcedure="0">"c7278"</definedName>
    <definedName name="IQ_ECO_METRIC_7279" hidden="1" function="0" vbProcedure="0">"c7279"</definedName>
    <definedName name="IQ_ECO_METRIC_7279_UNUSED_UNUSED_UNUSED" hidden="1" function="0" vbProcedure="0">"c7279"</definedName>
    <definedName name="IQ_ECO_METRIC_7280" hidden="1" function="0" vbProcedure="0">"c7280"</definedName>
    <definedName name="IQ_ECO_METRIC_7281" hidden="1" function="0" vbProcedure="0">"c7281"</definedName>
    <definedName name="IQ_ECO_METRIC_7282" hidden="1" function="0" vbProcedure="0">"c7282"</definedName>
    <definedName name="IQ_ECO_METRIC_7283" hidden="1" function="0" vbProcedure="0">"c7283"</definedName>
    <definedName name="IQ_ECO_METRIC_7284" hidden="1" function="0" vbProcedure="0">"c7284"</definedName>
    <definedName name="IQ_ECO_METRIC_7285" hidden="1" function="0" vbProcedure="0">"c7285"</definedName>
    <definedName name="IQ_ECO_METRIC_7286" hidden="1" function="0" vbProcedure="0">"c7286"</definedName>
    <definedName name="IQ_ECO_METRIC_7287" hidden="1" function="0" vbProcedure="0">"c7287"</definedName>
    <definedName name="IQ_ECO_METRIC_7288" hidden="1" function="0" vbProcedure="0">"c7288"</definedName>
    <definedName name="IQ_ECO_METRIC_7289" hidden="1" function="0" vbProcedure="0">"c7289"</definedName>
    <definedName name="IQ_ECO_METRIC_7290" hidden="1" function="0" vbProcedure="0">"c7290"</definedName>
    <definedName name="IQ_ECO_METRIC_7291" hidden="1" function="0" vbProcedure="0">"c7291"</definedName>
    <definedName name="IQ_ECO_METRIC_7292" hidden="1" function="0" vbProcedure="0">"c7292"</definedName>
    <definedName name="IQ_ECO_METRIC_7293" hidden="1" function="0" vbProcedure="0">"c7293"</definedName>
    <definedName name="IQ_ECO_METRIC_7294" hidden="1" function="0" vbProcedure="0">"c7294"</definedName>
    <definedName name="IQ_ECO_METRIC_7295" hidden="1" function="0" vbProcedure="0">"c7295"</definedName>
    <definedName name="IQ_ECO_METRIC_7296" hidden="1" function="0" vbProcedure="0">"c7296"</definedName>
    <definedName name="IQ_ECO_METRIC_7297" hidden="1" function="0" vbProcedure="0">"c7297"</definedName>
    <definedName name="IQ_ECO_METRIC_7298" hidden="1" function="0" vbProcedure="0">"c7298"</definedName>
    <definedName name="IQ_ECO_METRIC_7299" hidden="1" function="0" vbProcedure="0">"c7299"</definedName>
    <definedName name="IQ_ECO_METRIC_7300" hidden="1" function="0" vbProcedure="0">"c7300"</definedName>
    <definedName name="IQ_ECO_METRIC_7301" hidden="1" function="0" vbProcedure="0">"c7301"</definedName>
    <definedName name="IQ_ECO_METRIC_7302" hidden="1" function="0" vbProcedure="0">"c7302"</definedName>
    <definedName name="IQ_ECO_METRIC_7303" hidden="1" function="0" vbProcedure="0">"c7303"</definedName>
    <definedName name="IQ_ECO_METRIC_7304" hidden="1" function="0" vbProcedure="0">"c7304"</definedName>
    <definedName name="IQ_ECO_METRIC_7305" hidden="1" function="0" vbProcedure="0">"c7305"</definedName>
    <definedName name="IQ_ECO_METRIC_7306" hidden="1" function="0" vbProcedure="0">"c7306"</definedName>
    <definedName name="IQ_ECO_METRIC_7307" hidden="1" function="0" vbProcedure="0">"c7307"</definedName>
    <definedName name="IQ_ECO_METRIC_7308" hidden="1" function="0" vbProcedure="0">"c7308"</definedName>
    <definedName name="IQ_ECO_METRIC_7309" hidden="1" function="0" vbProcedure="0">"c7309"</definedName>
    <definedName name="IQ_ECO_METRIC_7310" hidden="1" function="0" vbProcedure="0">"c7310"</definedName>
    <definedName name="IQ_ECO_METRIC_7311" hidden="1" function="0" vbProcedure="0">"c7311"</definedName>
    <definedName name="IQ_ECO_METRIC_7312" hidden="1" function="0" vbProcedure="0">"c7312"</definedName>
    <definedName name="IQ_ECO_METRIC_7313" hidden="1" function="0" vbProcedure="0">"c7313"</definedName>
    <definedName name="IQ_ECO_METRIC_7314" hidden="1" function="0" vbProcedure="0">"c7314"</definedName>
    <definedName name="IQ_ECO_METRIC_7315" hidden="1" function="0" vbProcedure="0">"c7315"</definedName>
    <definedName name="IQ_ECO_METRIC_7316" hidden="1" function="0" vbProcedure="0">"c7316"</definedName>
    <definedName name="IQ_ECO_METRIC_7317" hidden="1" function="0" vbProcedure="0">"c7317"</definedName>
    <definedName name="IQ_ECO_METRIC_7318" hidden="1" function="0" vbProcedure="0">"c7318"</definedName>
    <definedName name="IQ_ECO_METRIC_7319" hidden="1" function="0" vbProcedure="0">"c7319"</definedName>
    <definedName name="IQ_ECO_METRIC_7320" hidden="1" function="0" vbProcedure="0">"c7320"</definedName>
    <definedName name="IQ_ECO_METRIC_7321" hidden="1" function="0" vbProcedure="0">"c7321"</definedName>
    <definedName name="IQ_ECO_METRIC_7322" hidden="1" function="0" vbProcedure="0">"c7322"</definedName>
    <definedName name="IQ_ECO_METRIC_7323" hidden="1" function="0" vbProcedure="0">"c7323"</definedName>
    <definedName name="IQ_ECO_METRIC_7324" hidden="1" function="0" vbProcedure="0">"c7324"</definedName>
    <definedName name="IQ_ECO_METRIC_7325" hidden="1" function="0" vbProcedure="0">"c7325"</definedName>
    <definedName name="IQ_ECO_METRIC_7326" hidden="1" function="0" vbProcedure="0">"c7326"</definedName>
    <definedName name="IQ_ECO_METRIC_7327" hidden="1" function="0" vbProcedure="0">"c7327"</definedName>
    <definedName name="IQ_ECO_METRIC_7328" hidden="1" function="0" vbProcedure="0">"c7328"</definedName>
    <definedName name="IQ_ECO_METRIC_7329" hidden="1" function="0" vbProcedure="0">"c7329"</definedName>
    <definedName name="IQ_ECO_METRIC_7330" hidden="1" function="0" vbProcedure="0">"c7330"</definedName>
    <definedName name="IQ_ECO_METRIC_7331" hidden="1" function="0" vbProcedure="0">"c7331"</definedName>
    <definedName name="IQ_ECO_METRIC_7332" hidden="1" function="0" vbProcedure="0">"c7332"</definedName>
    <definedName name="IQ_ECO_METRIC_7333" hidden="1" function="0" vbProcedure="0">"c7333"</definedName>
    <definedName name="IQ_ECO_METRIC_7334" hidden="1" function="0" vbProcedure="0">"c7334"</definedName>
    <definedName name="IQ_ECO_METRIC_7335" hidden="1" function="0" vbProcedure="0">"c7335"</definedName>
    <definedName name="IQ_ECO_METRIC_7336" hidden="1" function="0" vbProcedure="0">"c7336"</definedName>
    <definedName name="IQ_ECO_METRIC_7336_UNUSED_UNUSED_UNUSED" hidden="1" function="0" vbProcedure="0">"c7336"</definedName>
    <definedName name="IQ_ECO_METRIC_7337" hidden="1" function="0" vbProcedure="0">"c7337"</definedName>
    <definedName name="IQ_ECO_METRIC_7337_UNUSED_UNUSED_UNUSED" hidden="1" function="0" vbProcedure="0">"c7337"</definedName>
    <definedName name="IQ_ECO_METRIC_7339" hidden="1" function="0" vbProcedure="0">"c7339"</definedName>
    <definedName name="IQ_ECO_METRIC_7341" hidden="1" function="0" vbProcedure="0">"c7341"</definedName>
    <definedName name="IQ_ECO_METRIC_7342" hidden="1" function="0" vbProcedure="0">"c7342"</definedName>
    <definedName name="IQ_ECO_METRIC_7343" hidden="1" function="0" vbProcedure="0">"c7343"</definedName>
    <definedName name="IQ_ECO_METRIC_7344" hidden="1" function="0" vbProcedure="0">"c7344"</definedName>
    <definedName name="IQ_ECO_METRIC_7345" hidden="1" function="0" vbProcedure="0">"c7345"</definedName>
    <definedName name="IQ_ECO_METRIC_7346" hidden="1" function="0" vbProcedure="0">"c7346"</definedName>
    <definedName name="IQ_ECO_METRIC_7347" hidden="1" function="0" vbProcedure="0">"c7347"</definedName>
    <definedName name="IQ_ECO_METRIC_7348" hidden="1" function="0" vbProcedure="0">"c7348"</definedName>
    <definedName name="IQ_ECO_METRIC_7349" hidden="1" function="0" vbProcedure="0">"c7349"</definedName>
    <definedName name="IQ_ECO_METRIC_7350" hidden="1" function="0" vbProcedure="0">"c7350"</definedName>
    <definedName name="IQ_ECO_METRIC_7351" hidden="1" function="0" vbProcedure="0">"c7351"</definedName>
    <definedName name="IQ_ECO_METRIC_7352" hidden="1" function="0" vbProcedure="0">"c7352"</definedName>
    <definedName name="IQ_ECO_METRIC_7353" hidden="1" function="0" vbProcedure="0">"c7353"</definedName>
    <definedName name="IQ_ECO_METRIC_7354" hidden="1" function="0" vbProcedure="0">"c7354"</definedName>
    <definedName name="IQ_ECO_METRIC_7355" hidden="1" function="0" vbProcedure="0">"c7355"</definedName>
    <definedName name="IQ_ECO_METRIC_7356" hidden="1" function="0" vbProcedure="0">"c7356"</definedName>
    <definedName name="IQ_ECO_METRIC_7357" hidden="1" function="0" vbProcedure="0">"c7357"</definedName>
    <definedName name="IQ_ECO_METRIC_7358" hidden="1" function="0" vbProcedure="0">"c7358"</definedName>
    <definedName name="IQ_ECO_METRIC_7359" hidden="1" function="0" vbProcedure="0">"c7359"</definedName>
    <definedName name="IQ_ECO_METRIC_7360" hidden="1" function="0" vbProcedure="0">"c7360"</definedName>
    <definedName name="IQ_ECO_METRIC_7361" hidden="1" function="0" vbProcedure="0">"c7361"</definedName>
    <definedName name="IQ_ECO_METRIC_7362" hidden="1" function="0" vbProcedure="0">"c7362"</definedName>
    <definedName name="IQ_ECO_METRIC_7363" hidden="1" function="0" vbProcedure="0">"c7363"</definedName>
    <definedName name="IQ_ECO_METRIC_7364" hidden="1" function="0" vbProcedure="0">"c7364"</definedName>
    <definedName name="IQ_ECO_METRIC_7365" hidden="1" function="0" vbProcedure="0">"c7365"</definedName>
    <definedName name="IQ_ECO_METRIC_7366" hidden="1" function="0" vbProcedure="0">"c7366"</definedName>
    <definedName name="IQ_ECO_METRIC_7368" hidden="1" function="0" vbProcedure="0">"c7368"</definedName>
    <definedName name="IQ_ECO_METRIC_7369" hidden="1" function="0" vbProcedure="0">"c7369"</definedName>
    <definedName name="IQ_ECO_METRIC_7370" hidden="1" function="0" vbProcedure="0">"c7370"</definedName>
    <definedName name="IQ_ECO_METRIC_7371" hidden="1" function="0" vbProcedure="0">"c7371"</definedName>
    <definedName name="IQ_ECO_METRIC_7372" hidden="1" function="0" vbProcedure="0">"c7372"</definedName>
    <definedName name="IQ_ECO_METRIC_7373" hidden="1" function="0" vbProcedure="0">"c7373"</definedName>
    <definedName name="IQ_ECO_METRIC_7374" hidden="1" function="0" vbProcedure="0">"c7374"</definedName>
    <definedName name="IQ_ECO_METRIC_7375" hidden="1" function="0" vbProcedure="0">"c7375"</definedName>
    <definedName name="IQ_ECO_METRIC_7376" hidden="1" function="0" vbProcedure="0">"c7376"</definedName>
    <definedName name="IQ_ECO_METRIC_7377" hidden="1" function="0" vbProcedure="0">"c7377"</definedName>
    <definedName name="IQ_ECO_METRIC_7378" hidden="1" function="0" vbProcedure="0">"c7378"</definedName>
    <definedName name="IQ_ECO_METRIC_7379" hidden="1" function="0" vbProcedure="0">"c7379"</definedName>
    <definedName name="IQ_ECO_METRIC_7380" hidden="1" function="0" vbProcedure="0">"c7380"</definedName>
    <definedName name="IQ_ECO_METRIC_7381" hidden="1" function="0" vbProcedure="0">"c7381"</definedName>
    <definedName name="IQ_ECO_METRIC_7382" hidden="1" function="0" vbProcedure="0">"c7382"</definedName>
    <definedName name="IQ_ECO_METRIC_7383" hidden="1" function="0" vbProcedure="0">"c7383"</definedName>
    <definedName name="IQ_ECO_METRIC_7384" hidden="1" function="0" vbProcedure="0">"c7384"</definedName>
    <definedName name="IQ_ECO_METRIC_7385" hidden="1" function="0" vbProcedure="0">"c7385"</definedName>
    <definedName name="IQ_ECO_METRIC_7386" hidden="1" function="0" vbProcedure="0">"c7386"</definedName>
    <definedName name="IQ_ECO_METRIC_7387" hidden="1" function="0" vbProcedure="0">"c7387"</definedName>
    <definedName name="IQ_ECO_METRIC_7388" hidden="1" function="0" vbProcedure="0">"c7388"</definedName>
    <definedName name="IQ_ECO_METRIC_7389" hidden="1" function="0" vbProcedure="0">"c7389"</definedName>
    <definedName name="IQ_ECO_METRIC_7390" hidden="1" function="0" vbProcedure="0">"c7390"</definedName>
    <definedName name="IQ_ECO_METRIC_7391" hidden="1" function="0" vbProcedure="0">"c7391"</definedName>
    <definedName name="IQ_ECO_METRIC_7392" hidden="1" function="0" vbProcedure="0">"c7392"</definedName>
    <definedName name="IQ_ECO_METRIC_7393" hidden="1" function="0" vbProcedure="0">"c7393"</definedName>
    <definedName name="IQ_ECO_METRIC_7394" hidden="1" function="0" vbProcedure="0">"c7394"</definedName>
    <definedName name="IQ_ECO_METRIC_7395" hidden="1" function="0" vbProcedure="0">"c7395"</definedName>
    <definedName name="IQ_ECO_METRIC_7396" hidden="1" function="0" vbProcedure="0">"c7396"</definedName>
    <definedName name="IQ_ECO_METRIC_7397" hidden="1" function="0" vbProcedure="0">"c7397"</definedName>
    <definedName name="IQ_ECO_METRIC_7398" hidden="1" function="0" vbProcedure="0">"c7398"</definedName>
    <definedName name="IQ_ECO_METRIC_7399" hidden="1" function="0" vbProcedure="0">"c7399"</definedName>
    <definedName name="IQ_ECO_METRIC_7400" hidden="1" function="0" vbProcedure="0">"c7400"</definedName>
    <definedName name="IQ_ECO_METRIC_7402" hidden="1" function="0" vbProcedure="0">"c7402"</definedName>
    <definedName name="IQ_ECO_METRIC_7403" hidden="1" function="0" vbProcedure="0">"c7403"</definedName>
    <definedName name="IQ_ECO_METRIC_7404" hidden="1" function="0" vbProcedure="0">"c7404"</definedName>
    <definedName name="IQ_ECO_METRIC_7405" hidden="1" function="0" vbProcedure="0">"c7405"</definedName>
    <definedName name="IQ_ECO_METRIC_7406" hidden="1" function="0" vbProcedure="0">"c7406"</definedName>
    <definedName name="IQ_ECO_METRIC_7407" hidden="1" function="0" vbProcedure="0">"c7407"</definedName>
    <definedName name="IQ_ECO_METRIC_7408" hidden="1" function="0" vbProcedure="0">"c7408"</definedName>
    <definedName name="IQ_ECO_METRIC_7409" hidden="1" function="0" vbProcedure="0">"c7409"</definedName>
    <definedName name="IQ_ECO_METRIC_7410" hidden="1" function="0" vbProcedure="0">"c7410"</definedName>
    <definedName name="IQ_ECO_METRIC_7411" hidden="1" function="0" vbProcedure="0">"c7411"</definedName>
    <definedName name="IQ_ECO_METRIC_7412" hidden="1" function="0" vbProcedure="0">"c7412"</definedName>
    <definedName name="IQ_ECO_METRIC_7413" hidden="1" function="0" vbProcedure="0">"c7413"</definedName>
    <definedName name="IQ_ECO_METRIC_7414" hidden="1" function="0" vbProcedure="0">"c7414"</definedName>
    <definedName name="IQ_ECO_METRIC_7415" hidden="1" function="0" vbProcedure="0">"c7415"</definedName>
    <definedName name="IQ_ECO_METRIC_7416" hidden="1" function="0" vbProcedure="0">"c7416"</definedName>
    <definedName name="IQ_ECO_METRIC_7417" hidden="1" function="0" vbProcedure="0">"c7417"</definedName>
    <definedName name="IQ_ECO_METRIC_7418" hidden="1" function="0" vbProcedure="0">"c7418"</definedName>
    <definedName name="IQ_ECO_METRIC_7419" hidden="1" function="0" vbProcedure="0">"c7419"</definedName>
    <definedName name="IQ_ECO_METRIC_7420" hidden="1" function="0" vbProcedure="0">"c7420"</definedName>
    <definedName name="IQ_ECO_METRIC_7421" hidden="1" function="0" vbProcedure="0">"c7421"</definedName>
    <definedName name="IQ_ECO_METRIC_7422" hidden="1" function="0" vbProcedure="0">"c7422"</definedName>
    <definedName name="IQ_ECO_METRIC_7423" hidden="1" function="0" vbProcedure="0">"c7423"</definedName>
    <definedName name="IQ_ECO_METRIC_7424" hidden="1" function="0" vbProcedure="0">"c7424"</definedName>
    <definedName name="IQ_ECO_METRIC_7425" hidden="1" function="0" vbProcedure="0">"c7425"</definedName>
    <definedName name="IQ_ECO_METRIC_7426" hidden="1" function="0" vbProcedure="0">"c7426"</definedName>
    <definedName name="IQ_ECO_METRIC_7427" hidden="1" function="0" vbProcedure="0">"c7427"</definedName>
    <definedName name="IQ_ECO_METRIC_7428" hidden="1" function="0" vbProcedure="0">"c7428"</definedName>
    <definedName name="IQ_ECO_METRIC_7428_UNUSED_UNUSED_UNUSED" hidden="1" function="0" vbProcedure="0">"c7428"</definedName>
    <definedName name="IQ_ECO_METRIC_7429" hidden="1" function="0" vbProcedure="0">"c7429"</definedName>
    <definedName name="IQ_ECO_METRIC_7430" hidden="1" function="0" vbProcedure="0">"c7430"</definedName>
    <definedName name="IQ_ECO_METRIC_7431" hidden="1" function="0" vbProcedure="0">"c7431"</definedName>
    <definedName name="IQ_ECO_METRIC_7432" hidden="1" function="0" vbProcedure="0">"c7432"</definedName>
    <definedName name="IQ_ECO_METRIC_7433" hidden="1" function="0" vbProcedure="0">"c7433"</definedName>
    <definedName name="IQ_ECO_METRIC_7434" hidden="1" function="0" vbProcedure="0">"c7434"</definedName>
    <definedName name="IQ_ECO_METRIC_7435" hidden="1" function="0" vbProcedure="0">"c7435"</definedName>
    <definedName name="IQ_ECO_METRIC_7436" hidden="1" function="0" vbProcedure="0">"c7436"</definedName>
    <definedName name="IQ_ECO_METRIC_7437" hidden="1" function="0" vbProcedure="0">"c7437"</definedName>
    <definedName name="IQ_ECO_METRIC_7438" hidden="1" function="0" vbProcedure="0">"c7438"</definedName>
    <definedName name="IQ_ECO_METRIC_7440" hidden="1" function="0" vbProcedure="0">"c7440"</definedName>
    <definedName name="IQ_ECO_METRIC_7441" hidden="1" function="0" vbProcedure="0">"c7441"</definedName>
    <definedName name="IQ_ECO_METRIC_7442" hidden="1" function="0" vbProcedure="0">"c7442"</definedName>
    <definedName name="IQ_ECO_METRIC_7443" hidden="1" function="0" vbProcedure="0">"c7443"</definedName>
    <definedName name="IQ_ECO_METRIC_7444" hidden="1" function="0" vbProcedure="0">"c7444"</definedName>
    <definedName name="IQ_ECO_METRIC_7445" hidden="1" function="0" vbProcedure="0">"c7445"</definedName>
    <definedName name="IQ_ECO_METRIC_7446" hidden="1" function="0" vbProcedure="0">"c7446"</definedName>
    <definedName name="IQ_ECO_METRIC_7447" hidden="1" function="0" vbProcedure="0">"c7447"</definedName>
    <definedName name="IQ_ECO_METRIC_7448" hidden="1" function="0" vbProcedure="0">"c7448"</definedName>
    <definedName name="IQ_ECO_METRIC_7449" hidden="1" function="0" vbProcedure="0">"c7449"</definedName>
    <definedName name="IQ_ECO_METRIC_7450" hidden="1" function="0" vbProcedure="0">"c7450"</definedName>
    <definedName name="IQ_ECO_METRIC_7451" hidden="1" function="0" vbProcedure="0">"c7451"</definedName>
    <definedName name="IQ_ECO_METRIC_7452" hidden="1" function="0" vbProcedure="0">"c7452"</definedName>
    <definedName name="IQ_ECO_METRIC_7453" hidden="1" function="0" vbProcedure="0">"c7453"</definedName>
    <definedName name="IQ_ECO_METRIC_7455" hidden="1" function="0" vbProcedure="0">"c7455"</definedName>
    <definedName name="IQ_ECO_METRIC_7456" hidden="1" function="0" vbProcedure="0">"c7456"</definedName>
    <definedName name="IQ_ECO_METRIC_7457" hidden="1" function="0" vbProcedure="0">"c7457"</definedName>
    <definedName name="IQ_ECO_METRIC_7458" hidden="1" function="0" vbProcedure="0">"c7458"</definedName>
    <definedName name="IQ_ECO_METRIC_7459" hidden="1" function="0" vbProcedure="0">"c7459"</definedName>
    <definedName name="IQ_ECO_METRIC_7460" hidden="1" function="0" vbProcedure="0">"c7460"</definedName>
    <definedName name="IQ_ECO_METRIC_7461" hidden="1" function="0" vbProcedure="0">"c7461"</definedName>
    <definedName name="IQ_ECO_METRIC_7463" hidden="1" function="0" vbProcedure="0">"c7463"</definedName>
    <definedName name="IQ_ECO_METRIC_7464" hidden="1" function="0" vbProcedure="0">"c7464"</definedName>
    <definedName name="IQ_ECO_METRIC_7465" hidden="1" function="0" vbProcedure="0">"c7465"</definedName>
    <definedName name="IQ_ECO_METRIC_7466" hidden="1" function="0" vbProcedure="0">"c7466"</definedName>
    <definedName name="IQ_ECO_METRIC_7467" hidden="1" function="0" vbProcedure="0">"c7467"</definedName>
    <definedName name="IQ_ECO_METRIC_7468" hidden="1" function="0" vbProcedure="0">"c7468"</definedName>
    <definedName name="IQ_ECO_METRIC_7469" hidden="1" function="0" vbProcedure="0">"c7469"</definedName>
    <definedName name="IQ_ECO_METRIC_7470" hidden="1" function="0" vbProcedure="0">"c7470"</definedName>
    <definedName name="IQ_ECO_METRIC_7472" hidden="1" function="0" vbProcedure="0">"c7472"</definedName>
    <definedName name="IQ_ECO_METRIC_7473" hidden="1" function="0" vbProcedure="0">"c7473"</definedName>
    <definedName name="IQ_ECO_METRIC_7474" hidden="1" function="0" vbProcedure="0">"c7474"</definedName>
    <definedName name="IQ_ECO_METRIC_7475" hidden="1" function="0" vbProcedure="0">"c7475"</definedName>
    <definedName name="IQ_ECO_METRIC_7476" hidden="1" function="0" vbProcedure="0">"c7476"</definedName>
    <definedName name="IQ_ECO_METRIC_7477" hidden="1" function="0" vbProcedure="0">"c7477"</definedName>
    <definedName name="IQ_ECO_METRIC_7478" hidden="1" function="0" vbProcedure="0">"c7478"</definedName>
    <definedName name="IQ_ECO_METRIC_7479" hidden="1" function="0" vbProcedure="0">"c7479"</definedName>
    <definedName name="IQ_ECO_METRIC_7480" hidden="1" function="0" vbProcedure="0">"c7480"</definedName>
    <definedName name="IQ_ECO_METRIC_7481" hidden="1" function="0" vbProcedure="0">"c7481"</definedName>
    <definedName name="IQ_ECO_METRIC_7482" hidden="1" function="0" vbProcedure="0">"c7482"</definedName>
    <definedName name="IQ_ECO_METRIC_7483" hidden="1" function="0" vbProcedure="0">"c7483"</definedName>
    <definedName name="IQ_ECO_METRIC_7486" hidden="1" function="0" vbProcedure="0">"c7486"</definedName>
    <definedName name="IQ_ECO_METRIC_7487" hidden="1" function="0" vbProcedure="0">"c7487"</definedName>
    <definedName name="IQ_ECO_METRIC_7488" hidden="1" function="0" vbProcedure="0">"c7488"</definedName>
    <definedName name="IQ_ECO_METRIC_7489" hidden="1" function="0" vbProcedure="0">"c7489"</definedName>
    <definedName name="IQ_ECO_METRIC_7490" hidden="1" function="0" vbProcedure="0">"c7490"</definedName>
    <definedName name="IQ_ECO_METRIC_7491" hidden="1" function="0" vbProcedure="0">"c7491"</definedName>
    <definedName name="IQ_ECO_METRIC_7492" hidden="1" function="0" vbProcedure="0">"c7492"</definedName>
    <definedName name="IQ_ECO_METRIC_7493" hidden="1" function="0" vbProcedure="0">"c7493"</definedName>
    <definedName name="IQ_ECO_METRIC_7494" hidden="1" function="0" vbProcedure="0">"c7494"</definedName>
    <definedName name="IQ_ECO_METRIC_7495" hidden="1" function="0" vbProcedure="0">"c7495"</definedName>
    <definedName name="IQ_ECO_METRIC_7496" hidden="1" function="0" vbProcedure="0">"c7496"</definedName>
    <definedName name="IQ_ECO_METRIC_7497" hidden="1" function="0" vbProcedure="0">"c7497"</definedName>
    <definedName name="IQ_ECO_METRIC_7498" hidden="1" function="0" vbProcedure="0">"c7498"</definedName>
    <definedName name="IQ_ECO_METRIC_7500" hidden="1" function="0" vbProcedure="0">"c7500"</definedName>
    <definedName name="IQ_ECO_METRIC_7501" hidden="1" function="0" vbProcedure="0">"c7501"</definedName>
    <definedName name="IQ_ECO_METRIC_7502" hidden="1" function="0" vbProcedure="0">"c7502"</definedName>
    <definedName name="IQ_ECO_METRIC_7503" hidden="1" function="0" vbProcedure="0">"c7503"</definedName>
    <definedName name="IQ_ECO_METRIC_7504" hidden="1" function="0" vbProcedure="0">"c7504"</definedName>
    <definedName name="IQ_ECO_METRIC_7505" hidden="1" function="0" vbProcedure="0">"c7505"</definedName>
    <definedName name="IQ_ECO_METRIC_7507" hidden="1" function="0" vbProcedure="0">"c7507"</definedName>
    <definedName name="IQ_ECO_METRIC_7508" hidden="1" function="0" vbProcedure="0">"c7508"</definedName>
    <definedName name="IQ_ECO_METRIC_7509" hidden="1" function="0" vbProcedure="0">"c7509"</definedName>
    <definedName name="IQ_ECO_METRIC_7510" hidden="1" function="0" vbProcedure="0">"c7510"</definedName>
    <definedName name="IQ_ECO_METRIC_7511" hidden="1" function="0" vbProcedure="0">"c7511"</definedName>
    <definedName name="IQ_ECO_METRIC_7512" hidden="1" function="0" vbProcedure="0">"c7512"</definedName>
    <definedName name="IQ_ECO_METRIC_7513" hidden="1" function="0" vbProcedure="0">"c7513"</definedName>
    <definedName name="IQ_ECO_METRIC_7514" hidden="1" function="0" vbProcedure="0">"c7514"</definedName>
    <definedName name="IQ_ECO_METRIC_7515" hidden="1" function="0" vbProcedure="0">"c7515"</definedName>
    <definedName name="IQ_ECO_METRIC_7516" hidden="1" function="0" vbProcedure="0">"c7516"</definedName>
    <definedName name="IQ_ECO_METRIC_7517" hidden="1" function="0" vbProcedure="0">"c7517"</definedName>
    <definedName name="IQ_ECO_METRIC_7518" hidden="1" function="0" vbProcedure="0">"c7518"</definedName>
    <definedName name="IQ_ECO_METRIC_7519" hidden="1" function="0" vbProcedure="0">"c7519"</definedName>
    <definedName name="IQ_ECO_METRIC_7520" hidden="1" function="0" vbProcedure="0">"c7520"</definedName>
    <definedName name="IQ_ECO_METRIC_7521" hidden="1" function="0" vbProcedure="0">"c7521"</definedName>
    <definedName name="IQ_ECO_METRIC_7522" hidden="1" function="0" vbProcedure="0">"c7522"</definedName>
    <definedName name="IQ_ECO_METRIC_7523" hidden="1" function="0" vbProcedure="0">"c7523"</definedName>
    <definedName name="IQ_ECO_METRIC_7524" hidden="1" function="0" vbProcedure="0">"c7524"</definedName>
    <definedName name="IQ_ECO_METRIC_7525" hidden="1" function="0" vbProcedure="0">"c7525"</definedName>
    <definedName name="IQ_ECO_METRIC_7526" hidden="1" function="0" vbProcedure="0">"c7526"</definedName>
    <definedName name="IQ_ECO_METRIC_7527" hidden="1" function="0" vbProcedure="0">"c7527"</definedName>
    <definedName name="IQ_ECO_METRIC_7528" hidden="1" function="0" vbProcedure="0">"c7528"</definedName>
    <definedName name="IQ_ECO_METRIC_7529" hidden="1" function="0" vbProcedure="0">"c7529"</definedName>
    <definedName name="IQ_ECO_METRIC_7530" hidden="1" function="0" vbProcedure="0">"c7530"</definedName>
    <definedName name="IQ_ECO_METRIC_7531" hidden="1" function="0" vbProcedure="0">"c7531"</definedName>
    <definedName name="IQ_ECO_METRIC_7532" hidden="1" function="0" vbProcedure="0">"c7532"</definedName>
    <definedName name="IQ_ECO_METRIC_7533" hidden="1" function="0" vbProcedure="0">"c7533"</definedName>
    <definedName name="IQ_ECO_METRIC_7534" hidden="1" function="0" vbProcedure="0">"c7534"</definedName>
    <definedName name="IQ_ECO_METRIC_7535" hidden="1" function="0" vbProcedure="0">"c7535"</definedName>
    <definedName name="IQ_ECO_METRIC_7536" hidden="1" function="0" vbProcedure="0">"c7536"</definedName>
    <definedName name="IQ_ECO_METRIC_7537" hidden="1" function="0" vbProcedure="0">"c7537"</definedName>
    <definedName name="IQ_ECO_METRIC_7538" hidden="1" function="0" vbProcedure="0">"c7538"</definedName>
    <definedName name="IQ_ECO_METRIC_7539" hidden="1" function="0" vbProcedure="0">"c7539"</definedName>
    <definedName name="IQ_ECO_METRIC_7540" hidden="1" function="0" vbProcedure="0">"c7540"</definedName>
    <definedName name="IQ_ECO_METRIC_7541" hidden="1" function="0" vbProcedure="0">"c7541"</definedName>
    <definedName name="IQ_ECO_METRIC_7542" hidden="1" function="0" vbProcedure="0">"c7542"</definedName>
    <definedName name="IQ_ECO_METRIC_7543" hidden="1" function="0" vbProcedure="0">"c7543"</definedName>
    <definedName name="IQ_ECO_METRIC_7544" hidden="1" function="0" vbProcedure="0">"c7544"</definedName>
    <definedName name="IQ_ECO_METRIC_7545" hidden="1" function="0" vbProcedure="0">"c7545"</definedName>
    <definedName name="IQ_ECO_METRIC_7546" hidden="1" function="0" vbProcedure="0">"c7546"</definedName>
    <definedName name="IQ_ECO_METRIC_7547" hidden="1" function="0" vbProcedure="0">"c7547"</definedName>
    <definedName name="IQ_ECO_METRIC_7548" hidden="1" function="0" vbProcedure="0">"c7548"</definedName>
    <definedName name="IQ_ECO_METRIC_7549" hidden="1" function="0" vbProcedure="0">"c7549"</definedName>
    <definedName name="IQ_ECO_METRIC_7550" hidden="1" function="0" vbProcedure="0">"c7550"</definedName>
    <definedName name="IQ_ECO_METRIC_7551" hidden="1" function="0" vbProcedure="0">"c7551"</definedName>
    <definedName name="IQ_ECO_METRIC_7552" hidden="1" function="0" vbProcedure="0">"c7552"</definedName>
    <definedName name="IQ_ECO_METRIC_7553" hidden="1" function="0" vbProcedure="0">"c7553"</definedName>
    <definedName name="IQ_ECO_METRIC_7554" hidden="1" function="0" vbProcedure="0">"c7554"</definedName>
    <definedName name="IQ_ECO_METRIC_7555" hidden="1" function="0" vbProcedure="0">"c7555"</definedName>
    <definedName name="IQ_ECO_METRIC_7556" hidden="1" function="0" vbProcedure="0">"c7556"</definedName>
    <definedName name="IQ_ECO_METRIC_7556_UNUSED_UNUSED_UNUSED" hidden="1" function="0" vbProcedure="0">"c7556"</definedName>
    <definedName name="IQ_ECO_METRIC_7557" hidden="1" function="0" vbProcedure="0">"c7557"</definedName>
    <definedName name="IQ_ECO_METRIC_7557_UNUSED_UNUSED_UNUSED" hidden="1" function="0" vbProcedure="0">"c7557"</definedName>
    <definedName name="IQ_ECO_METRIC_7560" hidden="1" function="0" vbProcedure="0">"c7560"</definedName>
    <definedName name="IQ_ECO_METRIC_7561" hidden="1" function="0" vbProcedure="0">"c7561"</definedName>
    <definedName name="IQ_ECO_METRIC_7562" hidden="1" function="0" vbProcedure="0">"c7562"</definedName>
    <definedName name="IQ_ECO_METRIC_7563" hidden="1" function="0" vbProcedure="0">"c7563"</definedName>
    <definedName name="IQ_ECO_METRIC_7564" hidden="1" function="0" vbProcedure="0">"c7564"</definedName>
    <definedName name="IQ_ECO_METRIC_7565" hidden="1" function="0" vbProcedure="0">"c7565"</definedName>
    <definedName name="IQ_ECO_METRIC_7566" hidden="1" function="0" vbProcedure="0">"c7566"</definedName>
    <definedName name="IQ_ECO_METRIC_7567" hidden="1" function="0" vbProcedure="0">"c7567"</definedName>
    <definedName name="IQ_ECO_METRIC_7568" hidden="1" function="0" vbProcedure="0">"c7568"</definedName>
    <definedName name="IQ_ECO_METRIC_7570" hidden="1" function="0" vbProcedure="0">"c7570"</definedName>
    <definedName name="IQ_ECO_METRIC_7571" hidden="1" function="0" vbProcedure="0">"c7571"</definedName>
    <definedName name="IQ_ECO_METRIC_7572" hidden="1" function="0" vbProcedure="0">"c7572"</definedName>
    <definedName name="IQ_ECO_METRIC_7573" hidden="1" function="0" vbProcedure="0">"c7573"</definedName>
    <definedName name="IQ_ECO_METRIC_7574" hidden="1" function="0" vbProcedure="0">"c7574"</definedName>
    <definedName name="IQ_ECO_METRIC_7575" hidden="1" function="0" vbProcedure="0">"c7575"</definedName>
    <definedName name="IQ_ECO_METRIC_7576" hidden="1" function="0" vbProcedure="0">"c7576"</definedName>
    <definedName name="IQ_ECO_METRIC_7577" hidden="1" function="0" vbProcedure="0">"c7577"</definedName>
    <definedName name="IQ_ECO_METRIC_7578" hidden="1" function="0" vbProcedure="0">"c7578"</definedName>
    <definedName name="IQ_ECO_METRIC_7579" hidden="1" function="0" vbProcedure="0">"c7579"</definedName>
    <definedName name="IQ_ECO_METRIC_7580" hidden="1" function="0" vbProcedure="0">"c7580"</definedName>
    <definedName name="IQ_ECO_METRIC_7581" hidden="1" function="0" vbProcedure="0">"c7581"</definedName>
    <definedName name="IQ_ECO_METRIC_7582" hidden="1" function="0" vbProcedure="0">"c7582"</definedName>
    <definedName name="IQ_ECO_METRIC_7583" hidden="1" function="0" vbProcedure="0">"c7583"</definedName>
    <definedName name="IQ_ECO_METRIC_7584" hidden="1" function="0" vbProcedure="0">"c7584"</definedName>
    <definedName name="IQ_ECO_METRIC_7585" hidden="1" function="0" vbProcedure="0">"c7585"</definedName>
    <definedName name="IQ_ECO_METRIC_7586" hidden="1" function="0" vbProcedure="0">"c7586"</definedName>
    <definedName name="IQ_ECO_METRIC_7588" hidden="1" function="0" vbProcedure="0">"c7588"</definedName>
    <definedName name="IQ_ECO_METRIC_7589" hidden="1" function="0" vbProcedure="0">"c7589"</definedName>
    <definedName name="IQ_ECO_METRIC_7590" hidden="1" function="0" vbProcedure="0">"c7590"</definedName>
    <definedName name="IQ_ECO_METRIC_7591" hidden="1" function="0" vbProcedure="0">"c7591"</definedName>
    <definedName name="IQ_ECO_METRIC_7592" hidden="1" function="0" vbProcedure="0">"c7592"</definedName>
    <definedName name="IQ_ECO_METRIC_7593" hidden="1" function="0" vbProcedure="0">"c7593"</definedName>
    <definedName name="IQ_ECO_METRIC_7594" hidden="1" function="0" vbProcedure="0">"c7594"</definedName>
    <definedName name="IQ_ECO_METRIC_7596" hidden="1" function="0" vbProcedure="0">"c7596"</definedName>
    <definedName name="IQ_ECO_METRIC_7597" hidden="1" function="0" vbProcedure="0">"c7597"</definedName>
    <definedName name="IQ_ECO_METRIC_7598" hidden="1" function="0" vbProcedure="0">"c7598"</definedName>
    <definedName name="IQ_ECO_METRIC_7599" hidden="1" function="0" vbProcedure="0">"c7599"</definedName>
    <definedName name="IQ_ECO_METRIC_7600" hidden="1" function="0" vbProcedure="0">"c7600"</definedName>
    <definedName name="IQ_ECO_METRIC_7601" hidden="1" function="0" vbProcedure="0">"c7601"</definedName>
    <definedName name="IQ_ECO_METRIC_7602" hidden="1" function="0" vbProcedure="0">"c7602"</definedName>
    <definedName name="IQ_ECO_METRIC_7603" hidden="1" function="0" vbProcedure="0">"c7603"</definedName>
    <definedName name="IQ_ECO_METRIC_7604" hidden="1" function="0" vbProcedure="0">"c7604"</definedName>
    <definedName name="IQ_ECO_METRIC_7605" hidden="1" function="0" vbProcedure="0">"c7605"</definedName>
    <definedName name="IQ_ECO_METRIC_7606" hidden="1" function="0" vbProcedure="0">"c7606"</definedName>
    <definedName name="IQ_ECO_METRIC_7607" hidden="1" function="0" vbProcedure="0">"c7607"</definedName>
    <definedName name="IQ_ECO_METRIC_7608" hidden="1" function="0" vbProcedure="0">"c7608"</definedName>
    <definedName name="IQ_ECO_METRIC_7609" hidden="1" function="0" vbProcedure="0">"c7609"</definedName>
    <definedName name="IQ_ECO_METRIC_7610" hidden="1" function="0" vbProcedure="0">"c7610"</definedName>
    <definedName name="IQ_ECO_METRIC_7611" hidden="1" function="0" vbProcedure="0">"c7611"</definedName>
    <definedName name="IQ_ECO_METRIC_7612" hidden="1" function="0" vbProcedure="0">"c7612"</definedName>
    <definedName name="IQ_ECO_METRIC_7613" hidden="1" function="0" vbProcedure="0">"c7613"</definedName>
    <definedName name="IQ_ECO_METRIC_7614" hidden="1" function="0" vbProcedure="0">"c7614"</definedName>
    <definedName name="IQ_ECO_METRIC_7615" hidden="1" function="0" vbProcedure="0">"c7615"</definedName>
    <definedName name="IQ_ECO_METRIC_7616" hidden="1" function="0" vbProcedure="0">"c7616"</definedName>
    <definedName name="IQ_ECO_METRIC_7617" hidden="1" function="0" vbProcedure="0">"c7617"</definedName>
    <definedName name="IQ_ECO_METRIC_7618" hidden="1" function="0" vbProcedure="0">"c7618"</definedName>
    <definedName name="IQ_ECO_METRIC_7619" hidden="1" function="0" vbProcedure="0">"c7619"</definedName>
    <definedName name="IQ_ECO_METRIC_7620" hidden="1" function="0" vbProcedure="0">"c7620"</definedName>
    <definedName name="IQ_ECO_METRIC_7622" hidden="1" function="0" vbProcedure="0">"c7622"</definedName>
    <definedName name="IQ_ECO_METRIC_7623" hidden="1" function="0" vbProcedure="0">"c7623"</definedName>
    <definedName name="IQ_ECO_METRIC_7624" hidden="1" function="0" vbProcedure="0">"c7624"</definedName>
    <definedName name="IQ_ECO_METRIC_7625" hidden="1" function="0" vbProcedure="0">"c7625"</definedName>
    <definedName name="IQ_ECO_METRIC_7626" hidden="1" function="0" vbProcedure="0">"c7626"</definedName>
    <definedName name="IQ_ECO_METRIC_7627" hidden="1" function="0" vbProcedure="0">"c7627"</definedName>
    <definedName name="IQ_ECO_METRIC_7628" hidden="1" function="0" vbProcedure="0">"c7628"</definedName>
    <definedName name="IQ_ECO_METRIC_7629" hidden="1" function="0" vbProcedure="0">"c7629"</definedName>
    <definedName name="IQ_ECO_METRIC_7630" hidden="1" function="0" vbProcedure="0">"c7630"</definedName>
    <definedName name="IQ_ECO_METRIC_7631" hidden="1" function="0" vbProcedure="0">"c7631"</definedName>
    <definedName name="IQ_ECO_METRIC_7632" hidden="1" function="0" vbProcedure="0">"c7632"</definedName>
    <definedName name="IQ_ECO_METRIC_7633" hidden="1" function="0" vbProcedure="0">"c7633"</definedName>
    <definedName name="IQ_ECO_METRIC_7634" hidden="1" function="0" vbProcedure="0">"c7634"</definedName>
    <definedName name="IQ_ECO_METRIC_7635" hidden="1" function="0" vbProcedure="0">"c7635"</definedName>
    <definedName name="IQ_ECO_METRIC_7636" hidden="1" function="0" vbProcedure="0">"c7636"</definedName>
    <definedName name="IQ_ECO_METRIC_7637" hidden="1" function="0" vbProcedure="0">"c7637"</definedName>
    <definedName name="IQ_ECO_METRIC_7638" hidden="1" function="0" vbProcedure="0">"c7638"</definedName>
    <definedName name="IQ_ECO_METRIC_7639" hidden="1" function="0" vbProcedure="0">"c7639"</definedName>
    <definedName name="IQ_ECO_METRIC_7640" hidden="1" function="0" vbProcedure="0">"c7640"</definedName>
    <definedName name="IQ_ECO_METRIC_7641" hidden="1" function="0" vbProcedure="0">"c7641"</definedName>
    <definedName name="IQ_ECO_METRIC_7642" hidden="1" function="0" vbProcedure="0">"c7642"</definedName>
    <definedName name="IQ_ECO_METRIC_7643" hidden="1" function="0" vbProcedure="0">"c7643"</definedName>
    <definedName name="IQ_ECO_METRIC_7644" hidden="1" function="0" vbProcedure="0">"c7644"</definedName>
    <definedName name="IQ_ECO_METRIC_7645" hidden="1" function="0" vbProcedure="0">"c7645"</definedName>
    <definedName name="IQ_ECO_METRIC_7646" hidden="1" function="0" vbProcedure="0">"c7646"</definedName>
    <definedName name="IQ_ECO_METRIC_7647" hidden="1" function="0" vbProcedure="0">"c7647"</definedName>
    <definedName name="IQ_ECO_METRIC_7648" hidden="1" function="0" vbProcedure="0">"c7648"</definedName>
    <definedName name="IQ_ECO_METRIC_7648_UNUSED_UNUSED_UNUSED" hidden="1" function="0" vbProcedure="0">"c7648"</definedName>
    <definedName name="IQ_ECO_METRIC_7649" hidden="1" function="0" vbProcedure="0">"c7649"</definedName>
    <definedName name="IQ_ECO_METRIC_7650" hidden="1" function="0" vbProcedure="0">"c7650"</definedName>
    <definedName name="IQ_ECO_METRIC_7651" hidden="1" function="0" vbProcedure="0">"c7651"</definedName>
    <definedName name="IQ_ECO_METRIC_7652" hidden="1" function="0" vbProcedure="0">"c7652"</definedName>
    <definedName name="IQ_ECO_METRIC_7653" hidden="1" function="0" vbProcedure="0">"c7653"</definedName>
    <definedName name="IQ_ECO_METRIC_7654" hidden="1" function="0" vbProcedure="0">"c7654"</definedName>
    <definedName name="IQ_ECO_METRIC_7655" hidden="1" function="0" vbProcedure="0">"c7655"</definedName>
    <definedName name="IQ_ECO_METRIC_7656" hidden="1" function="0" vbProcedure="0">"c7656"</definedName>
    <definedName name="IQ_ECO_METRIC_7657" hidden="1" function="0" vbProcedure="0">"c7657"</definedName>
    <definedName name="IQ_ECO_METRIC_7658" hidden="1" function="0" vbProcedure="0">"c7658"</definedName>
    <definedName name="IQ_ECO_METRIC_7660" hidden="1" function="0" vbProcedure="0">"c7660"</definedName>
    <definedName name="IQ_ECO_METRIC_7661" hidden="1" function="0" vbProcedure="0">"c7661"</definedName>
    <definedName name="IQ_ECO_METRIC_7663" hidden="1" function="0" vbProcedure="0">"c7663"</definedName>
    <definedName name="IQ_ECO_METRIC_7664" hidden="1" function="0" vbProcedure="0">"c7664"</definedName>
    <definedName name="IQ_ECO_METRIC_7665" hidden="1" function="0" vbProcedure="0">"c7665"</definedName>
    <definedName name="IQ_ECO_METRIC_7666" hidden="1" function="0" vbProcedure="0">"c7666"</definedName>
    <definedName name="IQ_ECO_METRIC_7667" hidden="1" function="0" vbProcedure="0">"c7667"</definedName>
    <definedName name="IQ_ECO_METRIC_7668" hidden="1" function="0" vbProcedure="0">"c7668"</definedName>
    <definedName name="IQ_ECO_METRIC_7669" hidden="1" function="0" vbProcedure="0">"c7669"</definedName>
    <definedName name="IQ_ECO_METRIC_7670" hidden="1" function="0" vbProcedure="0">"c7670"</definedName>
    <definedName name="IQ_ECO_METRIC_7675" hidden="1" function="0" vbProcedure="0">"c7675"</definedName>
    <definedName name="IQ_ECO_METRIC_7676" hidden="1" function="0" vbProcedure="0">"c7676"</definedName>
    <definedName name="IQ_ECO_METRIC_7677" hidden="1" function="0" vbProcedure="0">"c7677"</definedName>
    <definedName name="IQ_ECO_METRIC_7678" hidden="1" function="0" vbProcedure="0">"c7678"</definedName>
    <definedName name="IQ_ECO_METRIC_7679" hidden="1" function="0" vbProcedure="0">"c7679"</definedName>
    <definedName name="IQ_ECO_METRIC_7680" hidden="1" function="0" vbProcedure="0">"c7680"</definedName>
    <definedName name="IQ_ECO_METRIC_7681" hidden="1" function="0" vbProcedure="0">"c7681"</definedName>
    <definedName name="IQ_ECO_METRIC_7685" hidden="1" function="0" vbProcedure="0">"c7685"</definedName>
    <definedName name="IQ_ECO_METRIC_7687" hidden="1" function="0" vbProcedure="0">"c7687"</definedName>
    <definedName name="IQ_ECO_METRIC_7688" hidden="1" function="0" vbProcedure="0">"c7688"</definedName>
    <definedName name="IQ_ECO_METRIC_7689" hidden="1" function="0" vbProcedure="0">"c7689"</definedName>
    <definedName name="IQ_ECO_METRIC_7690" hidden="1" function="0" vbProcedure="0">"c7690"</definedName>
    <definedName name="IQ_ECO_METRIC_7691" hidden="1" function="0" vbProcedure="0">"c7691"</definedName>
    <definedName name="IQ_ECO_METRIC_7692" hidden="1" function="0" vbProcedure="0">"c7692"</definedName>
    <definedName name="IQ_ECO_METRIC_7693" hidden="1" function="0" vbProcedure="0">"c7693"</definedName>
    <definedName name="IQ_ECO_METRIC_7694" hidden="1" function="0" vbProcedure="0">"c7694"</definedName>
    <definedName name="IQ_ECO_METRIC_7695" hidden="1" function="0" vbProcedure="0">"c7695"</definedName>
    <definedName name="IQ_ECO_METRIC_7696" hidden="1" function="0" vbProcedure="0">"c7696"</definedName>
    <definedName name="IQ_ECO_METRIC_7697" hidden="1" function="0" vbProcedure="0">"c7697"</definedName>
    <definedName name="IQ_ECO_METRIC_7698" hidden="1" function="0" vbProcedure="0">"c7698"</definedName>
    <definedName name="IQ_ECO_METRIC_7699" hidden="1" function="0" vbProcedure="0">"c7699"</definedName>
    <definedName name="IQ_ECO_METRIC_7700" hidden="1" function="0" vbProcedure="0">"c7700"</definedName>
    <definedName name="IQ_ECO_METRIC_7701" hidden="1" function="0" vbProcedure="0">"c7701"</definedName>
    <definedName name="IQ_ECO_METRIC_7702" hidden="1" function="0" vbProcedure="0">"c7702"</definedName>
    <definedName name="IQ_ECO_METRIC_7703" hidden="1" function="0" vbProcedure="0">"c7703"</definedName>
    <definedName name="IQ_ECO_METRIC_7705" hidden="1" function="0" vbProcedure="0">"c7705"</definedName>
    <definedName name="IQ_ECO_METRIC_7705_UNUSED_UNUSED_UNUSED" hidden="1" function="0" vbProcedure="0">"c7705"</definedName>
    <definedName name="IQ_ECO_METRIC_7707" hidden="1" function="0" vbProcedure="0">"c7707"</definedName>
    <definedName name="IQ_ECO_METRIC_7708" hidden="1" function="0" vbProcedure="0">"c7708"</definedName>
    <definedName name="IQ_ECO_METRIC_7709" hidden="1" function="0" vbProcedure="0">"c7709"</definedName>
    <definedName name="IQ_ECO_METRIC_7710" hidden="1" function="0" vbProcedure="0">"c7710"</definedName>
    <definedName name="IQ_ECO_METRIC_7711" hidden="1" function="0" vbProcedure="0">"c7711"</definedName>
    <definedName name="IQ_ECO_METRIC_7712" hidden="1" function="0" vbProcedure="0">"c7712"</definedName>
    <definedName name="IQ_ECO_METRIC_7713" hidden="1" function="0" vbProcedure="0">"c7713"</definedName>
    <definedName name="IQ_ECO_METRIC_7714" hidden="1" function="0" vbProcedure="0">"c7714"</definedName>
    <definedName name="IQ_ECO_METRIC_7715" hidden="1" function="0" vbProcedure="0">"c7715"</definedName>
    <definedName name="IQ_ECO_METRIC_7716" hidden="1" function="0" vbProcedure="0">"c7716"</definedName>
    <definedName name="IQ_ECO_METRIC_7717" hidden="1" function="0" vbProcedure="0">"c7717"</definedName>
    <definedName name="IQ_ECO_METRIC_7719" hidden="1" function="0" vbProcedure="0">"c7719"</definedName>
    <definedName name="IQ_ECO_METRIC_7719_UNUSED_UNUSED_UNUSED" hidden="1" function="0" vbProcedure="0">"c7719"</definedName>
    <definedName name="IQ_ECO_METRIC_7720" hidden="1" function="0" vbProcedure="0">"c7720"</definedName>
    <definedName name="IQ_ECO_METRIC_7721" hidden="1" function="0" vbProcedure="0">"c7721"</definedName>
    <definedName name="IQ_ECO_METRIC_7722" hidden="1" function="0" vbProcedure="0">"c7722"</definedName>
    <definedName name="IQ_ECO_METRIC_7723" hidden="1" function="0" vbProcedure="0">"c7723"</definedName>
    <definedName name="IQ_ECO_METRIC_7724" hidden="1" function="0" vbProcedure="0">"c7724"</definedName>
    <definedName name="IQ_ECO_METRIC_7725" hidden="1" function="0" vbProcedure="0">"c7725"</definedName>
    <definedName name="IQ_ECO_METRIC_7726" hidden="1" function="0" vbProcedure="0">"c7726"</definedName>
    <definedName name="IQ_ECO_METRIC_7727" hidden="1" function="0" vbProcedure="0">"c7727"</definedName>
    <definedName name="IQ_ECO_METRIC_7728" hidden="1" function="0" vbProcedure="0">"c7728"</definedName>
    <definedName name="IQ_ECO_METRIC_7729" hidden="1" function="0" vbProcedure="0">"c7729"</definedName>
    <definedName name="IQ_ECO_METRIC_7730" hidden="1" function="0" vbProcedure="0">"c7730"</definedName>
    <definedName name="IQ_ECO_METRIC_7731" hidden="1" function="0" vbProcedure="0">"c7731"</definedName>
    <definedName name="IQ_ECO_METRIC_7732" hidden="1" function="0" vbProcedure="0">"c7732"</definedName>
    <definedName name="IQ_ECO_METRIC_7733" hidden="1" function="0" vbProcedure="0">"c7733"</definedName>
    <definedName name="IQ_ECO_METRIC_7734" hidden="1" function="0" vbProcedure="0">"c7734"</definedName>
    <definedName name="IQ_ECO_METRIC_7735" hidden="1" function="0" vbProcedure="0">"c7735"</definedName>
    <definedName name="IQ_ECO_METRIC_7736" hidden="1" function="0" vbProcedure="0">"c7736"</definedName>
    <definedName name="IQ_ECO_METRIC_7737" hidden="1" function="0" vbProcedure="0">"c7737"</definedName>
    <definedName name="IQ_ECO_METRIC_7738" hidden="1" function="0" vbProcedure="0">"c7738"</definedName>
    <definedName name="IQ_ECO_METRIC_7739" hidden="1" function="0" vbProcedure="0">"c7739"</definedName>
    <definedName name="IQ_ECO_METRIC_7740" hidden="1" function="0" vbProcedure="0">"c7740"</definedName>
    <definedName name="IQ_ECO_METRIC_7741" hidden="1" function="0" vbProcedure="0">"c7741"</definedName>
    <definedName name="IQ_ECO_METRIC_7742" hidden="1" function="0" vbProcedure="0">"c7742"</definedName>
    <definedName name="IQ_ECO_METRIC_7743" hidden="1" function="0" vbProcedure="0">"c7743"</definedName>
    <definedName name="IQ_ECO_METRIC_7744" hidden="1" function="0" vbProcedure="0">"c7744"</definedName>
    <definedName name="IQ_ECO_METRIC_7745" hidden="1" function="0" vbProcedure="0">"c7745"</definedName>
    <definedName name="IQ_ECO_METRIC_7746" hidden="1" function="0" vbProcedure="0">"c7746"</definedName>
    <definedName name="IQ_ECO_METRIC_7747" hidden="1" function="0" vbProcedure="0">"c7747"</definedName>
    <definedName name="IQ_ECO_METRIC_7748" hidden="1" function="0" vbProcedure="0">"c7748"</definedName>
    <definedName name="IQ_ECO_METRIC_7749" hidden="1" function="0" vbProcedure="0">"c7749"</definedName>
    <definedName name="IQ_ECO_METRIC_7750" hidden="1" function="0" vbProcedure="0">"c7750"</definedName>
    <definedName name="IQ_ECO_METRIC_7751" hidden="1" function="0" vbProcedure="0">"c7751"</definedName>
    <definedName name="IQ_ECO_METRIC_7752" hidden="1" function="0" vbProcedure="0">"c7752"</definedName>
    <definedName name="IQ_ECO_METRIC_7753" hidden="1" function="0" vbProcedure="0">"c7753"</definedName>
    <definedName name="IQ_ECO_METRIC_7754" hidden="1" function="0" vbProcedure="0">"c7754"</definedName>
    <definedName name="IQ_ECO_METRIC_7755" hidden="1" function="0" vbProcedure="0">"c7755"</definedName>
    <definedName name="IQ_ECO_METRIC_7756" hidden="1" function="0" vbProcedure="0">"c7756"</definedName>
    <definedName name="IQ_ECO_METRIC_7757" hidden="1" function="0" vbProcedure="0">"c7757"</definedName>
    <definedName name="IQ_ECO_METRIC_7758" hidden="1" function="0" vbProcedure="0">"c7758"</definedName>
    <definedName name="IQ_ECO_METRIC_7759" hidden="1" function="0" vbProcedure="0">"c7759"</definedName>
    <definedName name="IQ_ECO_METRIC_7760" hidden="1" function="0" vbProcedure="0">"c7760"</definedName>
    <definedName name="IQ_ECO_METRIC_7761" hidden="1" function="0" vbProcedure="0">"c7761"</definedName>
    <definedName name="IQ_ECO_METRIC_7762" hidden="1" function="0" vbProcedure="0">"c7762"</definedName>
    <definedName name="IQ_ECO_METRIC_7763" hidden="1" function="0" vbProcedure="0">"c7763"</definedName>
    <definedName name="IQ_ECO_METRIC_7764" hidden="1" function="0" vbProcedure="0">"c7764"</definedName>
    <definedName name="IQ_ECO_METRIC_7765" hidden="1" function="0" vbProcedure="0">"c7765"</definedName>
    <definedName name="IQ_ECO_METRIC_7766" hidden="1" function="0" vbProcedure="0">"c7766"</definedName>
    <definedName name="IQ_ECO_METRIC_7767" hidden="1" function="0" vbProcedure="0">"c7767"</definedName>
    <definedName name="IQ_ECO_METRIC_7768" hidden="1" function="0" vbProcedure="0">"c7768"</definedName>
    <definedName name="IQ_ECO_METRIC_7769" hidden="1" function="0" vbProcedure="0">"c7769"</definedName>
    <definedName name="IQ_ECO_METRIC_7770" hidden="1" function="0" vbProcedure="0">"c7770"</definedName>
    <definedName name="IQ_ECO_METRIC_7771" hidden="1" function="0" vbProcedure="0">"c7771"</definedName>
    <definedName name="IQ_ECO_METRIC_7772" hidden="1" function="0" vbProcedure="0">"c7772"</definedName>
    <definedName name="IQ_ECO_METRIC_7773" hidden="1" function="0" vbProcedure="0">"c7773"</definedName>
    <definedName name="IQ_ECO_METRIC_7774" hidden="1" function="0" vbProcedure="0">"c7774"</definedName>
    <definedName name="IQ_ECO_METRIC_7775" hidden="1" function="0" vbProcedure="0">"c7775"</definedName>
    <definedName name="IQ_ECO_METRIC_7776" hidden="1" function="0" vbProcedure="0">"c7776"</definedName>
    <definedName name="IQ_ECO_METRIC_7776_UNUSED_UNUSED_UNUSED" hidden="1" function="0" vbProcedure="0">"c7776"</definedName>
    <definedName name="IQ_ECO_METRIC_7777" hidden="1" function="0" vbProcedure="0">"c7777"</definedName>
    <definedName name="IQ_ECO_METRIC_7777_UNUSED_UNUSED_UNUSED" hidden="1" function="0" vbProcedure="0">"c7777"</definedName>
    <definedName name="IQ_ECO_METRIC_7779" hidden="1" function="0" vbProcedure="0">"c7779"</definedName>
    <definedName name="IQ_ECO_METRIC_7780" hidden="1" function="0" vbProcedure="0">"c7780"</definedName>
    <definedName name="IQ_ECO_METRIC_7781" hidden="1" function="0" vbProcedure="0">"c7781"</definedName>
    <definedName name="IQ_ECO_METRIC_7782" hidden="1" function="0" vbProcedure="0">"c7782"</definedName>
    <definedName name="IQ_ECO_METRIC_7783" hidden="1" function="0" vbProcedure="0">"c7783"</definedName>
    <definedName name="IQ_ECO_METRIC_7784" hidden="1" function="0" vbProcedure="0">"c7784"</definedName>
    <definedName name="IQ_ECO_METRIC_7785" hidden="1" function="0" vbProcedure="0">"c7785"</definedName>
    <definedName name="IQ_ECO_METRIC_7786" hidden="1" function="0" vbProcedure="0">"c7786"</definedName>
    <definedName name="IQ_ECO_METRIC_7787" hidden="1" function="0" vbProcedure="0">"c7787"</definedName>
    <definedName name="IQ_ECO_METRIC_7788" hidden="1" function="0" vbProcedure="0">"c7788"</definedName>
    <definedName name="IQ_ECO_METRIC_7789" hidden="1" function="0" vbProcedure="0">"c7789"</definedName>
    <definedName name="IQ_ECO_METRIC_7790" hidden="1" function="0" vbProcedure="0">"c7790"</definedName>
    <definedName name="IQ_ECO_METRIC_7791" hidden="1" function="0" vbProcedure="0">"c7791"</definedName>
    <definedName name="IQ_ECO_METRIC_7792" hidden="1" function="0" vbProcedure="0">"c7792"</definedName>
    <definedName name="IQ_ECO_METRIC_7793" hidden="1" function="0" vbProcedure="0">"c7793"</definedName>
    <definedName name="IQ_ECO_METRIC_7794" hidden="1" function="0" vbProcedure="0">"c7794"</definedName>
    <definedName name="IQ_ECO_METRIC_7795" hidden="1" function="0" vbProcedure="0">"c7795"</definedName>
    <definedName name="IQ_ECO_METRIC_7796" hidden="1" function="0" vbProcedure="0">"c7796"</definedName>
    <definedName name="IQ_ECO_METRIC_7797" hidden="1" function="0" vbProcedure="0">"c7797"</definedName>
    <definedName name="IQ_ECO_METRIC_7798" hidden="1" function="0" vbProcedure="0">"c7798"</definedName>
    <definedName name="IQ_ECO_METRIC_7799" hidden="1" function="0" vbProcedure="0">"c7799"</definedName>
    <definedName name="IQ_ECO_METRIC_7800" hidden="1" function="0" vbProcedure="0">"c7800"</definedName>
    <definedName name="IQ_ECO_METRIC_7801" hidden="1" function="0" vbProcedure="0">"c7801"</definedName>
    <definedName name="IQ_ECO_METRIC_7802" hidden="1" function="0" vbProcedure="0">"c7802"</definedName>
    <definedName name="IQ_ECO_METRIC_7803" hidden="1" function="0" vbProcedure="0">"c7803"</definedName>
    <definedName name="IQ_ECO_METRIC_7804" hidden="1" function="0" vbProcedure="0">"c7804"</definedName>
    <definedName name="IQ_ECO_METRIC_7805" hidden="1" function="0" vbProcedure="0">"c7805"</definedName>
    <definedName name="IQ_ECO_METRIC_7806" hidden="1" function="0" vbProcedure="0">"c7806"</definedName>
    <definedName name="IQ_ECO_METRIC_7808" hidden="1" function="0" vbProcedure="0">"c7808"</definedName>
    <definedName name="IQ_ECO_METRIC_7809" hidden="1" function="0" vbProcedure="0">"c7809"</definedName>
    <definedName name="IQ_ECO_METRIC_7810" hidden="1" function="0" vbProcedure="0">"c7810"</definedName>
    <definedName name="IQ_ECO_METRIC_7812" hidden="1" function="0" vbProcedure="0">"c7812"</definedName>
    <definedName name="IQ_ECO_METRIC_7813" hidden="1" function="0" vbProcedure="0">"c7813"</definedName>
    <definedName name="IQ_ECO_METRIC_7814" hidden="1" function="0" vbProcedure="0">"c7814"</definedName>
    <definedName name="IQ_ECO_METRIC_7815" hidden="1" function="0" vbProcedure="0">"c7815"</definedName>
    <definedName name="IQ_ECO_METRIC_7816" hidden="1" function="0" vbProcedure="0">"c7816"</definedName>
    <definedName name="IQ_ECO_METRIC_7817" hidden="1" function="0" vbProcedure="0">"c7817"</definedName>
    <definedName name="IQ_ECO_METRIC_7818" hidden="1" function="0" vbProcedure="0">"c7818"</definedName>
    <definedName name="IQ_ECO_METRIC_7819" hidden="1" function="0" vbProcedure="0">"c7819"</definedName>
    <definedName name="IQ_ECO_METRIC_7820" hidden="1" function="0" vbProcedure="0">"c7820"</definedName>
    <definedName name="IQ_ECO_METRIC_7821" hidden="1" function="0" vbProcedure="0">"c7821"</definedName>
    <definedName name="IQ_ECO_METRIC_7822" hidden="1" function="0" vbProcedure="0">"c7822"</definedName>
    <definedName name="IQ_ECO_METRIC_7823" hidden="1" function="0" vbProcedure="0">"c7823"</definedName>
    <definedName name="IQ_ECO_METRIC_7824" hidden="1" function="0" vbProcedure="0">"c7824"</definedName>
    <definedName name="IQ_ECO_METRIC_7825" hidden="1" function="0" vbProcedure="0">"c7825"</definedName>
    <definedName name="IQ_ECO_METRIC_7826" hidden="1" function="0" vbProcedure="0">"c7826"</definedName>
    <definedName name="IQ_ECO_METRIC_7827" hidden="1" function="0" vbProcedure="0">"c7827"</definedName>
    <definedName name="IQ_ECO_METRIC_7828" hidden="1" function="0" vbProcedure="0">"c7828"</definedName>
    <definedName name="IQ_ECO_METRIC_7829" hidden="1" function="0" vbProcedure="0">"c7829"</definedName>
    <definedName name="IQ_ECO_METRIC_7830" hidden="1" function="0" vbProcedure="0">"c7830"</definedName>
    <definedName name="IQ_ECO_METRIC_7831" hidden="1" function="0" vbProcedure="0">"c7831"</definedName>
    <definedName name="IQ_ECO_METRIC_7832" hidden="1" function="0" vbProcedure="0">"c7832"</definedName>
    <definedName name="IQ_ECO_METRIC_7833" hidden="1" function="0" vbProcedure="0">"c7833"</definedName>
    <definedName name="IQ_ECO_METRIC_7834" hidden="1" function="0" vbProcedure="0">"c7834"</definedName>
    <definedName name="IQ_ECO_METRIC_7835" hidden="1" function="0" vbProcedure="0">"c7835"</definedName>
    <definedName name="IQ_ECO_METRIC_7836" hidden="1" function="0" vbProcedure="0">"c7836"</definedName>
    <definedName name="IQ_ECO_METRIC_7837" hidden="1" function="0" vbProcedure="0">"c7837"</definedName>
    <definedName name="IQ_ECO_METRIC_7838" hidden="1" function="0" vbProcedure="0">"c7838"</definedName>
    <definedName name="IQ_ECO_METRIC_7839" hidden="1" function="0" vbProcedure="0">"c7839"</definedName>
    <definedName name="IQ_ECO_METRIC_7840" hidden="1" function="0" vbProcedure="0">"c7840"</definedName>
    <definedName name="IQ_ECO_METRIC_7842" hidden="1" function="0" vbProcedure="0">"c7842"</definedName>
    <definedName name="IQ_ECO_METRIC_7843" hidden="1" function="0" vbProcedure="0">"c7843"</definedName>
    <definedName name="IQ_ECO_METRIC_7844" hidden="1" function="0" vbProcedure="0">"c7844"</definedName>
    <definedName name="IQ_ECO_METRIC_7845" hidden="1" function="0" vbProcedure="0">"c7845"</definedName>
    <definedName name="IQ_ECO_METRIC_7846" hidden="1" function="0" vbProcedure="0">"c7846"</definedName>
    <definedName name="IQ_ECO_METRIC_7847" hidden="1" function="0" vbProcedure="0">"c7847"</definedName>
    <definedName name="IQ_ECO_METRIC_7848" hidden="1" function="0" vbProcedure="0">"c7848"</definedName>
    <definedName name="IQ_ECO_METRIC_7849" hidden="1" function="0" vbProcedure="0">"c7849"</definedName>
    <definedName name="IQ_ECO_METRIC_7850" hidden="1" function="0" vbProcedure="0">"c7850"</definedName>
    <definedName name="IQ_ECO_METRIC_7851" hidden="1" function="0" vbProcedure="0">"c7851"</definedName>
    <definedName name="IQ_ECO_METRIC_7852" hidden="1" function="0" vbProcedure="0">"c7852"</definedName>
    <definedName name="IQ_ECO_METRIC_7853" hidden="1" function="0" vbProcedure="0">"c7853"</definedName>
    <definedName name="IQ_ECO_METRIC_7854" hidden="1" function="0" vbProcedure="0">"c7854"</definedName>
    <definedName name="IQ_ECO_METRIC_7855" hidden="1" function="0" vbProcedure="0">"c7855"</definedName>
    <definedName name="IQ_ECO_METRIC_7856" hidden="1" function="0" vbProcedure="0">"c7856"</definedName>
    <definedName name="IQ_ECO_METRIC_7857" hidden="1" function="0" vbProcedure="0">"c7857"</definedName>
    <definedName name="IQ_ECO_METRIC_7858" hidden="1" function="0" vbProcedure="0">"c7858"</definedName>
    <definedName name="IQ_ECO_METRIC_7859" hidden="1" function="0" vbProcedure="0">"c7859"</definedName>
    <definedName name="IQ_ECO_METRIC_7860" hidden="1" function="0" vbProcedure="0">"c7860"</definedName>
    <definedName name="IQ_ECO_METRIC_7861" hidden="1" function="0" vbProcedure="0">"c7861"</definedName>
    <definedName name="IQ_ECO_METRIC_7862" hidden="1" function="0" vbProcedure="0">"c7862"</definedName>
    <definedName name="IQ_ECO_METRIC_7863" hidden="1" function="0" vbProcedure="0">"c7863"</definedName>
    <definedName name="IQ_ECO_METRIC_7864" hidden="1" function="0" vbProcedure="0">"c7864"</definedName>
    <definedName name="IQ_ECO_METRIC_7865" hidden="1" function="0" vbProcedure="0">"c7865"</definedName>
    <definedName name="IQ_ECO_METRIC_7866" hidden="1" function="0" vbProcedure="0">"c7866"</definedName>
    <definedName name="IQ_ECO_METRIC_7867" hidden="1" function="0" vbProcedure="0">"c7867"</definedName>
    <definedName name="IQ_ECO_METRIC_7868" hidden="1" function="0" vbProcedure="0">"c7868"</definedName>
    <definedName name="IQ_ECO_METRIC_7868_UNUSED_UNUSED_UNUSED" hidden="1" function="0" vbProcedure="0">"c7868"</definedName>
    <definedName name="IQ_ECO_METRIC_7869" hidden="1" function="0" vbProcedure="0">"c7869"</definedName>
    <definedName name="IQ_ECO_METRIC_7870" hidden="1" function="0" vbProcedure="0">"c7870"</definedName>
    <definedName name="IQ_ECO_METRIC_7871" hidden="1" function="0" vbProcedure="0">"c7871"</definedName>
    <definedName name="IQ_ECO_METRIC_7872" hidden="1" function="0" vbProcedure="0">"c7872"</definedName>
    <definedName name="IQ_ECO_METRIC_7874" hidden="1" function="0" vbProcedure="0">"c7874"</definedName>
    <definedName name="IQ_ECO_METRIC_7875" hidden="1" function="0" vbProcedure="0">"c7875"</definedName>
    <definedName name="IQ_ECO_METRIC_7876" hidden="1" function="0" vbProcedure="0">"c7876"</definedName>
    <definedName name="IQ_ECO_METRIC_7877" hidden="1" function="0" vbProcedure="0">"c7877"</definedName>
    <definedName name="IQ_ECO_METRIC_7878" hidden="1" function="0" vbProcedure="0">"c7878"</definedName>
    <definedName name="IQ_ECO_METRIC_7880" hidden="1" function="0" vbProcedure="0">"c7880"</definedName>
    <definedName name="IQ_ECO_METRIC_7881" hidden="1" function="0" vbProcedure="0">"c7881"</definedName>
    <definedName name="IQ_ECO_METRIC_7882" hidden="1" function="0" vbProcedure="0">"c7882"</definedName>
    <definedName name="IQ_ECO_METRIC_7883" hidden="1" function="0" vbProcedure="0">"c7883"</definedName>
    <definedName name="IQ_ECO_METRIC_7884" hidden="1" function="0" vbProcedure="0">"c7884"</definedName>
    <definedName name="IQ_ECO_METRIC_7885" hidden="1" function="0" vbProcedure="0">"c7885"</definedName>
    <definedName name="IQ_ECO_METRIC_7886" hidden="1" function="0" vbProcedure="0">"c7886"</definedName>
    <definedName name="IQ_ECO_METRIC_7887" hidden="1" function="0" vbProcedure="0">"c7887"</definedName>
    <definedName name="IQ_ECO_METRIC_7888" hidden="1" function="0" vbProcedure="0">"c7888"</definedName>
    <definedName name="IQ_ECO_METRIC_7889" hidden="1" function="0" vbProcedure="0">"c7889"</definedName>
    <definedName name="IQ_ECO_METRIC_7890" hidden="1" function="0" vbProcedure="0">"c7890"</definedName>
    <definedName name="IQ_ECO_METRIC_7891" hidden="1" function="0" vbProcedure="0">"c7891"</definedName>
    <definedName name="IQ_ECO_METRIC_7892" hidden="1" function="0" vbProcedure="0">"c7892"</definedName>
    <definedName name="IQ_ECO_METRIC_7893" hidden="1" function="0" vbProcedure="0">"c7893"</definedName>
    <definedName name="IQ_ECO_METRIC_7895" hidden="1" function="0" vbProcedure="0">"c7895"</definedName>
    <definedName name="IQ_ECO_METRIC_7896" hidden="1" function="0" vbProcedure="0">"c7896"</definedName>
    <definedName name="IQ_ECO_METRIC_7897" hidden="1" function="0" vbProcedure="0">"c7897"</definedName>
    <definedName name="IQ_ECO_METRIC_7898" hidden="1" function="0" vbProcedure="0">"c7898"</definedName>
    <definedName name="IQ_ECO_METRIC_7899" hidden="1" function="0" vbProcedure="0">"c7899"</definedName>
    <definedName name="IQ_ECO_METRIC_7900" hidden="1" function="0" vbProcedure="0">"c7900"</definedName>
    <definedName name="IQ_ECO_METRIC_7901" hidden="1" function="0" vbProcedure="0">"c7901"</definedName>
    <definedName name="IQ_ECO_METRIC_7903" hidden="1" function="0" vbProcedure="0">"c7903"</definedName>
    <definedName name="IQ_ECO_METRIC_7904" hidden="1" function="0" vbProcedure="0">"c7904"</definedName>
    <definedName name="IQ_ECO_METRIC_7905" hidden="1" function="0" vbProcedure="0">"c7905"</definedName>
    <definedName name="IQ_ECO_METRIC_7906" hidden="1" function="0" vbProcedure="0">"c7906"</definedName>
    <definedName name="IQ_ECO_METRIC_7907" hidden="1" function="0" vbProcedure="0">"c7907"</definedName>
    <definedName name="IQ_ECO_METRIC_7908" hidden="1" function="0" vbProcedure="0">"c7908"</definedName>
    <definedName name="IQ_ECO_METRIC_7909" hidden="1" function="0" vbProcedure="0">"c7909"</definedName>
    <definedName name="IQ_ECO_METRIC_7910" hidden="1" function="0" vbProcedure="0">"c7910"</definedName>
    <definedName name="IQ_ECO_METRIC_7911" hidden="1" function="0" vbProcedure="0">"c7911"</definedName>
    <definedName name="IQ_ECO_METRIC_7912" hidden="1" function="0" vbProcedure="0">"c7912"</definedName>
    <definedName name="IQ_ECO_METRIC_7913" hidden="1" function="0" vbProcedure="0">"c7913"</definedName>
    <definedName name="IQ_ECO_METRIC_7914" hidden="1" function="0" vbProcedure="0">"c7914"</definedName>
    <definedName name="IQ_ECO_METRIC_7915" hidden="1" function="0" vbProcedure="0">"c7915"</definedName>
    <definedName name="IQ_ECO_METRIC_7916" hidden="1" function="0" vbProcedure="0">"c7916"</definedName>
    <definedName name="IQ_ECO_METRIC_7917" hidden="1" function="0" vbProcedure="0">"c7917"</definedName>
    <definedName name="IQ_ECO_METRIC_7918" hidden="1" function="0" vbProcedure="0">"c7918"</definedName>
    <definedName name="IQ_ECO_METRIC_7919" hidden="1" function="0" vbProcedure="0">"c7919"</definedName>
    <definedName name="IQ_ECO_METRIC_7920" hidden="1" function="0" vbProcedure="0">"c7920"</definedName>
    <definedName name="IQ_ECO_METRIC_7921" hidden="1" function="0" vbProcedure="0">"c7921"</definedName>
    <definedName name="IQ_ECO_METRIC_7922" hidden="1" function="0" vbProcedure="0">"c7922"</definedName>
    <definedName name="IQ_ECO_METRIC_7923" hidden="1" function="0" vbProcedure="0">"c7923"</definedName>
    <definedName name="IQ_ECO_METRIC_7925" hidden="1" function="0" vbProcedure="0">"c7925"</definedName>
    <definedName name="IQ_ECO_METRIC_7925_UNUSED_UNUSED_UNUSED" hidden="1" function="0" vbProcedure="0">"c7925"</definedName>
    <definedName name="IQ_ECO_METRIC_7927" hidden="1" function="0" vbProcedure="0">"c7927"</definedName>
    <definedName name="IQ_ECO_METRIC_7928" hidden="1" function="0" vbProcedure="0">"c7928"</definedName>
    <definedName name="IQ_ECO_METRIC_7929" hidden="1" function="0" vbProcedure="0">"c7929"</definedName>
    <definedName name="IQ_ECO_METRIC_7930" hidden="1" function="0" vbProcedure="0">"c7930"</definedName>
    <definedName name="IQ_ECO_METRIC_7931" hidden="1" function="0" vbProcedure="0">"c7931"</definedName>
    <definedName name="IQ_ECO_METRIC_7932" hidden="1" function="0" vbProcedure="0">"c7932"</definedName>
    <definedName name="IQ_ECO_METRIC_7933" hidden="1" function="0" vbProcedure="0">"c7933"</definedName>
    <definedName name="IQ_ECO_METRIC_7934" hidden="1" function="0" vbProcedure="0">"c7934"</definedName>
    <definedName name="IQ_ECO_METRIC_7935" hidden="1" function="0" vbProcedure="0">"c7935"</definedName>
    <definedName name="IQ_ECO_METRIC_7936" hidden="1" function="0" vbProcedure="0">"c7936"</definedName>
    <definedName name="IQ_ECO_METRIC_7937" hidden="1" function="0" vbProcedure="0">"c7937"</definedName>
    <definedName name="IQ_ECO_METRIC_7939" hidden="1" function="0" vbProcedure="0">"c7939"</definedName>
    <definedName name="IQ_ECO_METRIC_7939_UNUSED_UNUSED_UNUSED" hidden="1" function="0" vbProcedure="0">"c7939"</definedName>
    <definedName name="IQ_ECO_METRIC_7940" hidden="1" function="0" vbProcedure="0">"c7940"</definedName>
    <definedName name="IQ_ECO_METRIC_7941" hidden="1" function="0" vbProcedure="0">"c7941"</definedName>
    <definedName name="IQ_ECO_METRIC_7942" hidden="1" function="0" vbProcedure="0">"c7942"</definedName>
    <definedName name="IQ_ECO_METRIC_7943" hidden="1" function="0" vbProcedure="0">"c7943"</definedName>
    <definedName name="IQ_ECO_METRIC_7944" hidden="1" function="0" vbProcedure="0">"c7944"</definedName>
    <definedName name="IQ_ECO_METRIC_7945" hidden="1" function="0" vbProcedure="0">"c7945"</definedName>
    <definedName name="IQ_ECO_METRIC_7946" hidden="1" function="0" vbProcedure="0">"c7946"</definedName>
    <definedName name="IQ_ECO_METRIC_7947" hidden="1" function="0" vbProcedure="0">"c7947"</definedName>
    <definedName name="IQ_ECO_METRIC_7948" hidden="1" function="0" vbProcedure="0">"c7948"</definedName>
    <definedName name="IQ_ECO_METRIC_7949" hidden="1" function="0" vbProcedure="0">"c7949"</definedName>
    <definedName name="IQ_ECO_METRIC_7950" hidden="1" function="0" vbProcedure="0">"c7950"</definedName>
    <definedName name="IQ_ECO_METRIC_7951" hidden="1" function="0" vbProcedure="0">"c7951"</definedName>
    <definedName name="IQ_ECO_METRIC_7952" hidden="1" function="0" vbProcedure="0">"c7952"</definedName>
    <definedName name="IQ_ECO_METRIC_7953" hidden="1" function="0" vbProcedure="0">"c7953"</definedName>
    <definedName name="IQ_ECO_METRIC_7954" hidden="1" function="0" vbProcedure="0">"c7954"</definedName>
    <definedName name="IQ_ECO_METRIC_7955" hidden="1" function="0" vbProcedure="0">"c7955"</definedName>
    <definedName name="IQ_ECO_METRIC_7956" hidden="1" function="0" vbProcedure="0">"c7956"</definedName>
    <definedName name="IQ_ECO_METRIC_7957" hidden="1" function="0" vbProcedure="0">"c7957"</definedName>
    <definedName name="IQ_ECO_METRIC_7958" hidden="1" function="0" vbProcedure="0">"c7958"</definedName>
    <definedName name="IQ_ECO_METRIC_7959" hidden="1" function="0" vbProcedure="0">"c7959"</definedName>
    <definedName name="IQ_ECO_METRIC_7960" hidden="1" function="0" vbProcedure="0">"c7960"</definedName>
    <definedName name="IQ_ECO_METRIC_7961" hidden="1" function="0" vbProcedure="0">"c7961"</definedName>
    <definedName name="IQ_ECO_METRIC_7962" hidden="1" function="0" vbProcedure="0">"c7962"</definedName>
    <definedName name="IQ_ECO_METRIC_7963" hidden="1" function="0" vbProcedure="0">"c7963"</definedName>
    <definedName name="IQ_ECO_METRIC_7964" hidden="1" function="0" vbProcedure="0">"c7964"</definedName>
    <definedName name="IQ_ECO_METRIC_7965" hidden="1" function="0" vbProcedure="0">"c7965"</definedName>
    <definedName name="IQ_ECO_METRIC_7966" hidden="1" function="0" vbProcedure="0">"c7966"</definedName>
    <definedName name="IQ_ECO_METRIC_7967" hidden="1" function="0" vbProcedure="0">"c7967"</definedName>
    <definedName name="IQ_ECO_METRIC_7968" hidden="1" function="0" vbProcedure="0">"c7968"</definedName>
    <definedName name="IQ_ECO_METRIC_7969" hidden="1" function="0" vbProcedure="0">"c7969"</definedName>
    <definedName name="IQ_ECO_METRIC_7970" hidden="1" function="0" vbProcedure="0">"c7970"</definedName>
    <definedName name="IQ_ECO_METRIC_7971" hidden="1" function="0" vbProcedure="0">"c7971"</definedName>
    <definedName name="IQ_ECO_METRIC_7972" hidden="1" function="0" vbProcedure="0">"c7972"</definedName>
    <definedName name="IQ_ECO_METRIC_7973" hidden="1" function="0" vbProcedure="0">"c7973"</definedName>
    <definedName name="IQ_ECO_METRIC_7974" hidden="1" function="0" vbProcedure="0">"c7974"</definedName>
    <definedName name="IQ_ECO_METRIC_7975" hidden="1" function="0" vbProcedure="0">"c7975"</definedName>
    <definedName name="IQ_ECO_METRIC_7976" hidden="1" function="0" vbProcedure="0">"c7976"</definedName>
    <definedName name="IQ_ECO_METRIC_7977" hidden="1" function="0" vbProcedure="0">"c7977"</definedName>
    <definedName name="IQ_ECO_METRIC_7978" hidden="1" function="0" vbProcedure="0">"c7978"</definedName>
    <definedName name="IQ_ECO_METRIC_7979" hidden="1" function="0" vbProcedure="0">"c7979"</definedName>
    <definedName name="IQ_ECO_METRIC_7980" hidden="1" function="0" vbProcedure="0">"c7980"</definedName>
    <definedName name="IQ_ECO_METRIC_7981" hidden="1" function="0" vbProcedure="0">"c7981"</definedName>
    <definedName name="IQ_ECO_METRIC_7982" hidden="1" function="0" vbProcedure="0">"c7982"</definedName>
    <definedName name="IQ_ECO_METRIC_7983" hidden="1" function="0" vbProcedure="0">"c7983"</definedName>
    <definedName name="IQ_ECO_METRIC_7984" hidden="1" function="0" vbProcedure="0">"c7984"</definedName>
    <definedName name="IQ_ECO_METRIC_7985" hidden="1" function="0" vbProcedure="0">"c7985"</definedName>
    <definedName name="IQ_ECO_METRIC_7986" hidden="1" function="0" vbProcedure="0">"c7986"</definedName>
    <definedName name="IQ_ECO_METRIC_7987" hidden="1" function="0" vbProcedure="0">"c7987"</definedName>
    <definedName name="IQ_ECO_METRIC_7988" hidden="1" function="0" vbProcedure="0">"c7988"</definedName>
    <definedName name="IQ_ECO_METRIC_7989" hidden="1" function="0" vbProcedure="0">"c7989"</definedName>
    <definedName name="IQ_ECO_METRIC_7990" hidden="1" function="0" vbProcedure="0">"c7990"</definedName>
    <definedName name="IQ_ECO_METRIC_7991" hidden="1" function="0" vbProcedure="0">"c7991"</definedName>
    <definedName name="IQ_ECO_METRIC_7992" hidden="1" function="0" vbProcedure="0">"c7992"</definedName>
    <definedName name="IQ_ECO_METRIC_7993" hidden="1" function="0" vbProcedure="0">"c7993"</definedName>
    <definedName name="IQ_ECO_METRIC_7994" hidden="1" function="0" vbProcedure="0">"c7994"</definedName>
    <definedName name="IQ_ECO_METRIC_7995" hidden="1" function="0" vbProcedure="0">"c7995"</definedName>
    <definedName name="IQ_ECO_METRIC_7996" hidden="1" function="0" vbProcedure="0">"c7996"</definedName>
    <definedName name="IQ_ECO_METRIC_7996_UNUSED_UNUSED_UNUSED" hidden="1" function="0" vbProcedure="0">"c7996"</definedName>
    <definedName name="IQ_ECO_METRIC_7997" hidden="1" function="0" vbProcedure="0">"c7997"</definedName>
    <definedName name="IQ_ECO_METRIC_7997_UNUSED_UNUSED_UNUSED" hidden="1" function="0" vbProcedure="0">"c7997"</definedName>
    <definedName name="IQ_ECO_METRIC_7999" hidden="1" function="0" vbProcedure="0">"c7999"</definedName>
    <definedName name="IQ_ECO_METRIC_8000" hidden="1" function="0" vbProcedure="0">"c8000"</definedName>
    <definedName name="IQ_ECO_METRIC_8001" hidden="1" function="0" vbProcedure="0">"c8001"</definedName>
    <definedName name="IQ_ECO_METRIC_8002" hidden="1" function="0" vbProcedure="0">"c8002"</definedName>
    <definedName name="IQ_ECO_METRIC_8003" hidden="1" function="0" vbProcedure="0">"c8003"</definedName>
    <definedName name="IQ_ECO_METRIC_8004" hidden="1" function="0" vbProcedure="0">"c8004"</definedName>
    <definedName name="IQ_ECO_METRIC_8005" hidden="1" function="0" vbProcedure="0">"c8005"</definedName>
    <definedName name="IQ_ECO_METRIC_8006" hidden="1" function="0" vbProcedure="0">"c8006"</definedName>
    <definedName name="IQ_ECO_METRIC_8007" hidden="1" function="0" vbProcedure="0">"c8007"</definedName>
    <definedName name="IQ_ECO_METRIC_8008" hidden="1" function="0" vbProcedure="0">"c8008"</definedName>
    <definedName name="IQ_ECO_METRIC_8009" hidden="1" function="0" vbProcedure="0">"c8009"</definedName>
    <definedName name="IQ_ECO_METRIC_8010" hidden="1" function="0" vbProcedure="0">"c8010"</definedName>
    <definedName name="IQ_ECO_METRIC_8011" hidden="1" function="0" vbProcedure="0">"c8011"</definedName>
    <definedName name="IQ_ECO_METRIC_8012" hidden="1" function="0" vbProcedure="0">"c8012"</definedName>
    <definedName name="IQ_ECO_METRIC_8013" hidden="1" function="0" vbProcedure="0">"c8013"</definedName>
    <definedName name="IQ_ECO_METRIC_8014" hidden="1" function="0" vbProcedure="0">"c8014"</definedName>
    <definedName name="IQ_ECO_METRIC_8015" hidden="1" function="0" vbProcedure="0">"c8015"</definedName>
    <definedName name="IQ_ECO_METRIC_8016" hidden="1" function="0" vbProcedure="0">"c8016"</definedName>
    <definedName name="IQ_ECO_METRIC_8017" hidden="1" function="0" vbProcedure="0">"c8017"</definedName>
    <definedName name="IQ_ECO_METRIC_8018" hidden="1" function="0" vbProcedure="0">"c8018"</definedName>
    <definedName name="IQ_ECO_METRIC_8019" hidden="1" function="0" vbProcedure="0">"c8019"</definedName>
    <definedName name="IQ_ECO_METRIC_8020" hidden="1" function="0" vbProcedure="0">"c8020"</definedName>
    <definedName name="IQ_ECO_METRIC_8021" hidden="1" function="0" vbProcedure="0">"c8021"</definedName>
    <definedName name="IQ_ECO_METRIC_8022" hidden="1" function="0" vbProcedure="0">"c8022"</definedName>
    <definedName name="IQ_ECO_METRIC_8023" hidden="1" function="0" vbProcedure="0">"c8023"</definedName>
    <definedName name="IQ_ECO_METRIC_8024" hidden="1" function="0" vbProcedure="0">"c8024"</definedName>
    <definedName name="IQ_ECO_METRIC_8025" hidden="1" function="0" vbProcedure="0">"c8025"</definedName>
    <definedName name="IQ_ECO_METRIC_8026" hidden="1" function="0" vbProcedure="0">"c8026"</definedName>
    <definedName name="IQ_ECO_METRIC_8028" hidden="1" function="0" vbProcedure="0">"c8028"</definedName>
    <definedName name="IQ_ECO_METRIC_8029" hidden="1" function="0" vbProcedure="0">"c8029"</definedName>
    <definedName name="IQ_ECO_METRIC_8030" hidden="1" function="0" vbProcedure="0">"c8030"</definedName>
    <definedName name="IQ_ECO_METRIC_8032" hidden="1" function="0" vbProcedure="0">"c8032"</definedName>
    <definedName name="IQ_ECO_METRIC_8033" hidden="1" function="0" vbProcedure="0">"c8033"</definedName>
    <definedName name="IQ_ECO_METRIC_8034" hidden="1" function="0" vbProcedure="0">"c8034"</definedName>
    <definedName name="IQ_ECO_METRIC_8035" hidden="1" function="0" vbProcedure="0">"c8035"</definedName>
    <definedName name="IQ_ECO_METRIC_8036" hidden="1" function="0" vbProcedure="0">"c8036"</definedName>
    <definedName name="IQ_ECO_METRIC_8037" hidden="1" function="0" vbProcedure="0">"c8037"</definedName>
    <definedName name="IQ_ECO_METRIC_8038" hidden="1" function="0" vbProcedure="0">"c8038"</definedName>
    <definedName name="IQ_ECO_METRIC_8039" hidden="1" function="0" vbProcedure="0">"c8039"</definedName>
    <definedName name="IQ_ECO_METRIC_8040" hidden="1" function="0" vbProcedure="0">"c8040"</definedName>
    <definedName name="IQ_ECO_METRIC_8041" hidden="1" function="0" vbProcedure="0">"c8041"</definedName>
    <definedName name="IQ_ECO_METRIC_8042" hidden="1" function="0" vbProcedure="0">"c8042"</definedName>
    <definedName name="IQ_ECO_METRIC_8043" hidden="1" function="0" vbProcedure="0">"c8043"</definedName>
    <definedName name="IQ_ECO_METRIC_8044" hidden="1" function="0" vbProcedure="0">"c8044"</definedName>
    <definedName name="IQ_ECO_METRIC_8045" hidden="1" function="0" vbProcedure="0">"c8045"</definedName>
    <definedName name="IQ_ECO_METRIC_8046" hidden="1" function="0" vbProcedure="0">"c8046"</definedName>
    <definedName name="IQ_ECO_METRIC_8047" hidden="1" function="0" vbProcedure="0">"c8047"</definedName>
    <definedName name="IQ_ECO_METRIC_8048" hidden="1" function="0" vbProcedure="0">"c8048"</definedName>
    <definedName name="IQ_ECO_METRIC_8049" hidden="1" function="0" vbProcedure="0">"c8049"</definedName>
    <definedName name="IQ_ECO_METRIC_8050" hidden="1" function="0" vbProcedure="0">"c8050"</definedName>
    <definedName name="IQ_ECO_METRIC_8051" hidden="1" function="0" vbProcedure="0">"c8051"</definedName>
    <definedName name="IQ_ECO_METRIC_8052" hidden="1" function="0" vbProcedure="0">"c8052"</definedName>
    <definedName name="IQ_ECO_METRIC_8053" hidden="1" function="0" vbProcedure="0">"c8053"</definedName>
    <definedName name="IQ_ECO_METRIC_8054" hidden="1" function="0" vbProcedure="0">"c8054"</definedName>
    <definedName name="IQ_ECO_METRIC_8055" hidden="1" function="0" vbProcedure="0">"c8055"</definedName>
    <definedName name="IQ_ECO_METRIC_8056" hidden="1" function="0" vbProcedure="0">"c8056"</definedName>
    <definedName name="IQ_ECO_METRIC_8057" hidden="1" function="0" vbProcedure="0">"c8057"</definedName>
    <definedName name="IQ_ECO_METRIC_8058" hidden="1" function="0" vbProcedure="0">"c8058"</definedName>
    <definedName name="IQ_ECO_METRIC_8059" hidden="1" function="0" vbProcedure="0">"c8059"</definedName>
    <definedName name="IQ_ECO_METRIC_8060" hidden="1" function="0" vbProcedure="0">"c8060"</definedName>
    <definedName name="IQ_ECO_METRIC_8062" hidden="1" function="0" vbProcedure="0">"c8062"</definedName>
    <definedName name="IQ_ECO_METRIC_8063" hidden="1" function="0" vbProcedure="0">"c8063"</definedName>
    <definedName name="IQ_ECO_METRIC_8064" hidden="1" function="0" vbProcedure="0">"c8064"</definedName>
    <definedName name="IQ_ECO_METRIC_8065" hidden="1" function="0" vbProcedure="0">"c8065"</definedName>
    <definedName name="IQ_ECO_METRIC_8066" hidden="1" function="0" vbProcedure="0">"c8066"</definedName>
    <definedName name="IQ_ECO_METRIC_8067" hidden="1" function="0" vbProcedure="0">"c8067"</definedName>
    <definedName name="IQ_ECO_METRIC_8068" hidden="1" function="0" vbProcedure="0">"c8068"</definedName>
    <definedName name="IQ_ECO_METRIC_8069" hidden="1" function="0" vbProcedure="0">"c8069"</definedName>
    <definedName name="IQ_ECO_METRIC_8070" hidden="1" function="0" vbProcedure="0">"c8070"</definedName>
    <definedName name="IQ_ECO_METRIC_8071" hidden="1" function="0" vbProcedure="0">"c8071"</definedName>
    <definedName name="IQ_ECO_METRIC_8072" hidden="1" function="0" vbProcedure="0">"c8072"</definedName>
    <definedName name="IQ_ECO_METRIC_8073" hidden="1" function="0" vbProcedure="0">"c8073"</definedName>
    <definedName name="IQ_ECO_METRIC_8074" hidden="1" function="0" vbProcedure="0">"c8074"</definedName>
    <definedName name="IQ_ECO_METRIC_8075" hidden="1" function="0" vbProcedure="0">"c8075"</definedName>
    <definedName name="IQ_ECO_METRIC_8076" hidden="1" function="0" vbProcedure="0">"c8076"</definedName>
    <definedName name="IQ_ECO_METRIC_8077" hidden="1" function="0" vbProcedure="0">"c8077"</definedName>
    <definedName name="IQ_ECO_METRIC_8078" hidden="1" function="0" vbProcedure="0">"c8078"</definedName>
    <definedName name="IQ_ECO_METRIC_8079" hidden="1" function="0" vbProcedure="0">"c8079"</definedName>
    <definedName name="IQ_ECO_METRIC_8080" hidden="1" function="0" vbProcedure="0">"c8080"</definedName>
    <definedName name="IQ_ECO_METRIC_8081" hidden="1" function="0" vbProcedure="0">"c8081"</definedName>
    <definedName name="IQ_ECO_METRIC_8082" hidden="1" function="0" vbProcedure="0">"c8082"</definedName>
    <definedName name="IQ_ECO_METRIC_8083" hidden="1" function="0" vbProcedure="0">"c8083"</definedName>
    <definedName name="IQ_ECO_METRIC_8084" hidden="1" function="0" vbProcedure="0">"c8084"</definedName>
    <definedName name="IQ_ECO_METRIC_8085" hidden="1" function="0" vbProcedure="0">"c8085"</definedName>
    <definedName name="IQ_ECO_METRIC_8086" hidden="1" function="0" vbProcedure="0">"c8086"</definedName>
    <definedName name="IQ_ECO_METRIC_8087" hidden="1" function="0" vbProcedure="0">"c8087"</definedName>
    <definedName name="IQ_ECO_METRIC_8088" hidden="1" function="0" vbProcedure="0">"c8088"</definedName>
    <definedName name="IQ_ECO_METRIC_8088_UNUSED_UNUSED_UNUSED" hidden="1" function="0" vbProcedure="0">"c8088"</definedName>
    <definedName name="IQ_ECO_METRIC_8089" hidden="1" function="0" vbProcedure="0">"c8089"</definedName>
    <definedName name="IQ_ECO_METRIC_8090" hidden="1" function="0" vbProcedure="0">"c8090"</definedName>
    <definedName name="IQ_ECO_METRIC_8091" hidden="1" function="0" vbProcedure="0">"c8091"</definedName>
    <definedName name="IQ_ECO_METRIC_8092" hidden="1" function="0" vbProcedure="0">"c8092"</definedName>
    <definedName name="IQ_ECO_METRIC_8094" hidden="1" function="0" vbProcedure="0">"c8094"</definedName>
    <definedName name="IQ_ECO_METRIC_8095" hidden="1" function="0" vbProcedure="0">"c8095"</definedName>
    <definedName name="IQ_ECO_METRIC_8096" hidden="1" function="0" vbProcedure="0">"c8096"</definedName>
    <definedName name="IQ_ECO_METRIC_8097" hidden="1" function="0" vbProcedure="0">"c8097"</definedName>
    <definedName name="IQ_ECO_METRIC_8098" hidden="1" function="0" vbProcedure="0">"c8098"</definedName>
    <definedName name="IQ_ECO_METRIC_8100" hidden="1" function="0" vbProcedure="0">"c8100"</definedName>
    <definedName name="IQ_ECO_METRIC_8101" hidden="1" function="0" vbProcedure="0">"c8101"</definedName>
    <definedName name="IQ_ECO_METRIC_8102" hidden="1" function="0" vbProcedure="0">"c8102"</definedName>
    <definedName name="IQ_ECO_METRIC_8103" hidden="1" function="0" vbProcedure="0">"c8103"</definedName>
    <definedName name="IQ_ECO_METRIC_8104" hidden="1" function="0" vbProcedure="0">"c8104"</definedName>
    <definedName name="IQ_ECO_METRIC_8105" hidden="1" function="0" vbProcedure="0">"c8105"</definedName>
    <definedName name="IQ_ECO_METRIC_8106" hidden="1" function="0" vbProcedure="0">"c8106"</definedName>
    <definedName name="IQ_ECO_METRIC_8107" hidden="1" function="0" vbProcedure="0">"c8107"</definedName>
    <definedName name="IQ_ECO_METRIC_8108" hidden="1" function="0" vbProcedure="0">"c8108"</definedName>
    <definedName name="IQ_ECO_METRIC_8109" hidden="1" function="0" vbProcedure="0">"c8109"</definedName>
    <definedName name="IQ_ECO_METRIC_8110" hidden="1" function="0" vbProcedure="0">"c8110"</definedName>
    <definedName name="IQ_ECO_METRIC_8111" hidden="1" function="0" vbProcedure="0">"c8111"</definedName>
    <definedName name="IQ_ECO_METRIC_8112" hidden="1" function="0" vbProcedure="0">"c8112"</definedName>
    <definedName name="IQ_ECO_METRIC_8113" hidden="1" function="0" vbProcedure="0">"c8113"</definedName>
    <definedName name="IQ_ECO_METRIC_8115" hidden="1" function="0" vbProcedure="0">"c8115"</definedName>
    <definedName name="IQ_ECO_METRIC_8116" hidden="1" function="0" vbProcedure="0">"c8116"</definedName>
    <definedName name="IQ_ECO_METRIC_8117" hidden="1" function="0" vbProcedure="0">"c8117"</definedName>
    <definedName name="IQ_ECO_METRIC_8118" hidden="1" function="0" vbProcedure="0">"c8118"</definedName>
    <definedName name="IQ_ECO_METRIC_8119" hidden="1" function="0" vbProcedure="0">"c8119"</definedName>
    <definedName name="IQ_ECO_METRIC_8120" hidden="1" function="0" vbProcedure="0">"c8120"</definedName>
    <definedName name="IQ_ECO_METRIC_8121" hidden="1" function="0" vbProcedure="0">"c8121"</definedName>
    <definedName name="IQ_ECO_METRIC_8123" hidden="1" function="0" vbProcedure="0">"c8123"</definedName>
    <definedName name="IQ_ECO_METRIC_8124" hidden="1" function="0" vbProcedure="0">"c8124"</definedName>
    <definedName name="IQ_ECO_METRIC_8125" hidden="1" function="0" vbProcedure="0">"c8125"</definedName>
    <definedName name="IQ_ECO_METRIC_8126" hidden="1" function="0" vbProcedure="0">"c8126"</definedName>
    <definedName name="IQ_ECO_METRIC_8127" hidden="1" function="0" vbProcedure="0">"c8127"</definedName>
    <definedName name="IQ_ECO_METRIC_8128" hidden="1" function="0" vbProcedure="0">"c8128"</definedName>
    <definedName name="IQ_ECO_METRIC_8129" hidden="1" function="0" vbProcedure="0">"c8129"</definedName>
    <definedName name="IQ_ECO_METRIC_8130" hidden="1" function="0" vbProcedure="0">"c8130"</definedName>
    <definedName name="IQ_ECO_METRIC_8131" hidden="1" function="0" vbProcedure="0">"c8131"</definedName>
    <definedName name="IQ_ECO_METRIC_8132" hidden="1" function="0" vbProcedure="0">"c8132"</definedName>
    <definedName name="IQ_ECO_METRIC_8133" hidden="1" function="0" vbProcedure="0">"c8133"</definedName>
    <definedName name="IQ_ECO_METRIC_8134" hidden="1" function="0" vbProcedure="0">"c8134"</definedName>
    <definedName name="IQ_ECO_METRIC_8135" hidden="1" function="0" vbProcedure="0">"c8135"</definedName>
    <definedName name="IQ_ECO_METRIC_8136" hidden="1" function="0" vbProcedure="0">"c8136"</definedName>
    <definedName name="IQ_ECO_METRIC_8137" hidden="1" function="0" vbProcedure="0">"c8137"</definedName>
    <definedName name="IQ_ECO_METRIC_8138" hidden="1" function="0" vbProcedure="0">"c8138"</definedName>
    <definedName name="IQ_ECO_METRIC_8139" hidden="1" function="0" vbProcedure="0">"c8139"</definedName>
    <definedName name="IQ_ECO_METRIC_8140" hidden="1" function="0" vbProcedure="0">"c8140"</definedName>
    <definedName name="IQ_ECO_METRIC_8141" hidden="1" function="0" vbProcedure="0">"c8141"</definedName>
    <definedName name="IQ_ECO_METRIC_8142" hidden="1" function="0" vbProcedure="0">"c8142"</definedName>
    <definedName name="IQ_ECO_METRIC_8143" hidden="1" function="0" vbProcedure="0">"c8143"</definedName>
    <definedName name="IQ_ECO_METRIC_8145" hidden="1" function="0" vbProcedure="0">"c8145"</definedName>
    <definedName name="IQ_ECO_METRIC_8145_UNUSED_UNUSED_UNUSED" hidden="1" function="0" vbProcedure="0">"c8145"</definedName>
    <definedName name="IQ_ECO_METRIC_8147" hidden="1" function="0" vbProcedure="0">"c8147"</definedName>
    <definedName name="IQ_ECO_METRIC_8148" hidden="1" function="0" vbProcedure="0">"c8148"</definedName>
    <definedName name="IQ_ECO_METRIC_8149" hidden="1" function="0" vbProcedure="0">"c8149"</definedName>
    <definedName name="IQ_ECO_METRIC_8150" hidden="1" function="0" vbProcedure="0">"c8150"</definedName>
    <definedName name="IQ_ECO_METRIC_8152" hidden="1" function="0" vbProcedure="0">"c8152"</definedName>
    <definedName name="IQ_ECO_METRIC_8153" hidden="1" function="0" vbProcedure="0">"c8153"</definedName>
    <definedName name="IQ_ECO_METRIC_8154" hidden="1" function="0" vbProcedure="0">"c8154"</definedName>
    <definedName name="IQ_ECO_METRIC_8155" hidden="1" function="0" vbProcedure="0">"c8155"</definedName>
    <definedName name="IQ_ECO_METRIC_8156" hidden="1" function="0" vbProcedure="0">"c8156"</definedName>
    <definedName name="IQ_ECO_METRIC_8157" hidden="1" function="0" vbProcedure="0">"c8157"</definedName>
    <definedName name="IQ_ECO_METRIC_8159" hidden="1" function="0" vbProcedure="0">"c8159"</definedName>
    <definedName name="IQ_ECO_METRIC_8159_UNUSED_UNUSED_UNUSED" hidden="1" function="0" vbProcedure="0">"c8159"</definedName>
    <definedName name="IQ_ECO_METRIC_8160" hidden="1" function="0" vbProcedure="0">"c8160"</definedName>
    <definedName name="IQ_ECO_METRIC_8161" hidden="1" function="0" vbProcedure="0">"c8161"</definedName>
    <definedName name="IQ_ECO_METRIC_8162" hidden="1" function="0" vbProcedure="0">"c8162"</definedName>
    <definedName name="IQ_ECO_METRIC_8163" hidden="1" function="0" vbProcedure="0">"c8163"</definedName>
    <definedName name="IQ_ECO_METRIC_8164" hidden="1" function="0" vbProcedure="0">"c8164"</definedName>
    <definedName name="IQ_ECO_METRIC_8165" hidden="1" function="0" vbProcedure="0">"c8165"</definedName>
    <definedName name="IQ_ECO_METRIC_8166" hidden="1" function="0" vbProcedure="0">"c8166"</definedName>
    <definedName name="IQ_ECO_METRIC_8167" hidden="1" function="0" vbProcedure="0">"c8167"</definedName>
    <definedName name="IQ_ECO_METRIC_8168" hidden="1" function="0" vbProcedure="0">"c8168"</definedName>
    <definedName name="IQ_ECO_METRIC_8169" hidden="1" function="0" vbProcedure="0">"c8169"</definedName>
    <definedName name="IQ_ECO_METRIC_8170" hidden="1" function="0" vbProcedure="0">"c8170"</definedName>
    <definedName name="IQ_ECO_METRIC_8171" hidden="1" function="0" vbProcedure="0">"c8171"</definedName>
    <definedName name="IQ_ECO_METRIC_8172" hidden="1" function="0" vbProcedure="0">"c8172"</definedName>
    <definedName name="IQ_ECO_METRIC_8173" hidden="1" function="0" vbProcedure="0">"c8173"</definedName>
    <definedName name="IQ_ECO_METRIC_8174" hidden="1" function="0" vbProcedure="0">"c8174"</definedName>
    <definedName name="IQ_ECO_METRIC_8175" hidden="1" function="0" vbProcedure="0">"c8175"</definedName>
    <definedName name="IQ_ECO_METRIC_8176" hidden="1" function="0" vbProcedure="0">"c8176"</definedName>
    <definedName name="IQ_ECO_METRIC_8177" hidden="1" function="0" vbProcedure="0">"c8177"</definedName>
    <definedName name="IQ_ECO_METRIC_8178" hidden="1" function="0" vbProcedure="0">"c8178"</definedName>
    <definedName name="IQ_ECO_METRIC_8179" hidden="1" function="0" vbProcedure="0">"c8179"</definedName>
    <definedName name="IQ_ECO_METRIC_8180" hidden="1" function="0" vbProcedure="0">"c8180"</definedName>
    <definedName name="IQ_ECO_METRIC_8181" hidden="1" function="0" vbProcedure="0">"c8181"</definedName>
    <definedName name="IQ_ECO_METRIC_8182" hidden="1" function="0" vbProcedure="0">"c8182"</definedName>
    <definedName name="IQ_ECO_METRIC_8183" hidden="1" function="0" vbProcedure="0">"c8183"</definedName>
    <definedName name="IQ_ECO_METRIC_8184" hidden="1" function="0" vbProcedure="0">"c8184"</definedName>
    <definedName name="IQ_ECO_METRIC_8185" hidden="1" function="0" vbProcedure="0">"c8185"</definedName>
    <definedName name="IQ_ECO_METRIC_8186" hidden="1" function="0" vbProcedure="0">"c8186"</definedName>
    <definedName name="IQ_ECO_METRIC_8187" hidden="1" function="0" vbProcedure="0">"c8187"</definedName>
    <definedName name="IQ_ECO_METRIC_8188" hidden="1" function="0" vbProcedure="0">"c8188"</definedName>
    <definedName name="IQ_ECO_METRIC_8189" hidden="1" function="0" vbProcedure="0">"c8189"</definedName>
    <definedName name="IQ_ECO_METRIC_8190" hidden="1" function="0" vbProcedure="0">"c8190"</definedName>
    <definedName name="IQ_ECO_METRIC_8191" hidden="1" function="0" vbProcedure="0">"c8191"</definedName>
    <definedName name="IQ_ECO_METRIC_8192" hidden="1" function="0" vbProcedure="0">"c8192"</definedName>
    <definedName name="IQ_ECO_METRIC_8193" hidden="1" function="0" vbProcedure="0">"c8193"</definedName>
    <definedName name="IQ_ECO_METRIC_8194" hidden="1" function="0" vbProcedure="0">"c8194"</definedName>
    <definedName name="IQ_ECO_METRIC_8195" hidden="1" function="0" vbProcedure="0">"c8195"</definedName>
    <definedName name="IQ_ECO_METRIC_8196" hidden="1" function="0" vbProcedure="0">"c8196"</definedName>
    <definedName name="IQ_ECO_METRIC_8197" hidden="1" function="0" vbProcedure="0">"c8197"</definedName>
    <definedName name="IQ_ECO_METRIC_8198" hidden="1" function="0" vbProcedure="0">"c8198"</definedName>
    <definedName name="IQ_ECO_METRIC_8199" hidden="1" function="0" vbProcedure="0">"c8199"</definedName>
    <definedName name="IQ_ECO_METRIC_8200" hidden="1" function="0" vbProcedure="0">"c8200"</definedName>
    <definedName name="IQ_ECO_METRIC_8201" hidden="1" function="0" vbProcedure="0">"c8201"</definedName>
    <definedName name="IQ_ECO_METRIC_8202" hidden="1" function="0" vbProcedure="0">"c8202"</definedName>
    <definedName name="IQ_ECO_METRIC_8203" hidden="1" function="0" vbProcedure="0">"c8203"</definedName>
    <definedName name="IQ_ECO_METRIC_8204" hidden="1" function="0" vbProcedure="0">"c8204"</definedName>
    <definedName name="IQ_ECO_METRIC_8205" hidden="1" function="0" vbProcedure="0">"c8205"</definedName>
    <definedName name="IQ_ECO_METRIC_8206" hidden="1" function="0" vbProcedure="0">"c8206"</definedName>
    <definedName name="IQ_ECO_METRIC_8207" hidden="1" function="0" vbProcedure="0">"c8207"</definedName>
    <definedName name="IQ_ECO_METRIC_8208" hidden="1" function="0" vbProcedure="0">"c8208"</definedName>
    <definedName name="IQ_ECO_METRIC_8209" hidden="1" function="0" vbProcedure="0">"c8209"</definedName>
    <definedName name="IQ_ECO_METRIC_8210" hidden="1" function="0" vbProcedure="0">"c8210"</definedName>
    <definedName name="IQ_ECO_METRIC_8211" hidden="1" function="0" vbProcedure="0">"c8211"</definedName>
    <definedName name="IQ_ECO_METRIC_8212" hidden="1" function="0" vbProcedure="0">"c8212"</definedName>
    <definedName name="IQ_ECO_METRIC_8213" hidden="1" function="0" vbProcedure="0">"c8213"</definedName>
    <definedName name="IQ_ECO_METRIC_8214" hidden="1" function="0" vbProcedure="0">"c8214"</definedName>
    <definedName name="IQ_ECO_METRIC_8215" hidden="1" function="0" vbProcedure="0">"c8215"</definedName>
    <definedName name="IQ_ECO_METRIC_8216" hidden="1" function="0" vbProcedure="0">"c8216"</definedName>
    <definedName name="IQ_ECO_METRIC_8216_UNUSED_UNUSED_UNUSED" hidden="1" function="0" vbProcedure="0">"c8216"</definedName>
    <definedName name="IQ_ECO_METRIC_8217" hidden="1" function="0" vbProcedure="0">"c8217"</definedName>
    <definedName name="IQ_ECO_METRIC_8217_UNUSED_UNUSED_UNUSED" hidden="1" function="0" vbProcedure="0">"c8217"</definedName>
    <definedName name="IQ_ECO_METRIC_8219" hidden="1" function="0" vbProcedure="0">"c8219"</definedName>
    <definedName name="IQ_ECO_METRIC_8221" hidden="1" function="0" vbProcedure="0">"c8221"</definedName>
    <definedName name="IQ_ECO_METRIC_8222" hidden="1" function="0" vbProcedure="0">"c8222"</definedName>
    <definedName name="IQ_ECO_METRIC_8223" hidden="1" function="0" vbProcedure="0">"c8223"</definedName>
    <definedName name="IQ_ECO_METRIC_8224" hidden="1" function="0" vbProcedure="0">"c8224"</definedName>
    <definedName name="IQ_ECO_METRIC_8225" hidden="1" function="0" vbProcedure="0">"c8225"</definedName>
    <definedName name="IQ_ECO_METRIC_8226" hidden="1" function="0" vbProcedure="0">"c8226"</definedName>
    <definedName name="IQ_ECO_METRIC_8227" hidden="1" function="0" vbProcedure="0">"c8227"</definedName>
    <definedName name="IQ_ECO_METRIC_8228" hidden="1" function="0" vbProcedure="0">"c8228"</definedName>
    <definedName name="IQ_ECO_METRIC_8229" hidden="1" function="0" vbProcedure="0">"c8229"</definedName>
    <definedName name="IQ_ECO_METRIC_8230" hidden="1" function="0" vbProcedure="0">"c8230"</definedName>
    <definedName name="IQ_ECO_METRIC_8231" hidden="1" function="0" vbProcedure="0">"c8231"</definedName>
    <definedName name="IQ_ECO_METRIC_8232" hidden="1" function="0" vbProcedure="0">"c8232"</definedName>
    <definedName name="IQ_ECO_METRIC_8233" hidden="1" function="0" vbProcedure="0">"c8233"</definedName>
    <definedName name="IQ_ECO_METRIC_8234" hidden="1" function="0" vbProcedure="0">"c8234"</definedName>
    <definedName name="IQ_ECO_METRIC_8235" hidden="1" function="0" vbProcedure="0">"c8235"</definedName>
    <definedName name="IQ_ECO_METRIC_8236" hidden="1" function="0" vbProcedure="0">"c8236"</definedName>
    <definedName name="IQ_ECO_METRIC_8237" hidden="1" function="0" vbProcedure="0">"c8237"</definedName>
    <definedName name="IQ_ECO_METRIC_8238" hidden="1" function="0" vbProcedure="0">"c8238"</definedName>
    <definedName name="IQ_ECO_METRIC_8239" hidden="1" function="0" vbProcedure="0">"c8239"</definedName>
    <definedName name="IQ_ECO_METRIC_8240" hidden="1" function="0" vbProcedure="0">"c8240"</definedName>
    <definedName name="IQ_ECO_METRIC_8241" hidden="1" function="0" vbProcedure="0">"c8241"</definedName>
    <definedName name="IQ_ECO_METRIC_8242" hidden="1" function="0" vbProcedure="0">"c8242"</definedName>
    <definedName name="IQ_ECO_METRIC_8243" hidden="1" function="0" vbProcedure="0">"c8243"</definedName>
    <definedName name="IQ_ECO_METRIC_8244" hidden="1" function="0" vbProcedure="0">"c8244"</definedName>
    <definedName name="IQ_ECO_METRIC_8245" hidden="1" function="0" vbProcedure="0">"c8245"</definedName>
    <definedName name="IQ_ECO_METRIC_8246" hidden="1" function="0" vbProcedure="0">"c8246"</definedName>
    <definedName name="IQ_ECO_METRIC_8248" hidden="1" function="0" vbProcedure="0">"c8248"</definedName>
    <definedName name="IQ_ECO_METRIC_8249" hidden="1" function="0" vbProcedure="0">"c8249"</definedName>
    <definedName name="IQ_ECO_METRIC_8250" hidden="1" function="0" vbProcedure="0">"c8250"</definedName>
    <definedName name="IQ_ECO_METRIC_8252" hidden="1" function="0" vbProcedure="0">"c8252"</definedName>
    <definedName name="IQ_ECO_METRIC_8253" hidden="1" function="0" vbProcedure="0">"c8253"</definedName>
    <definedName name="IQ_ECO_METRIC_8254" hidden="1" function="0" vbProcedure="0">"c8254"</definedName>
    <definedName name="IQ_ECO_METRIC_8255" hidden="1" function="0" vbProcedure="0">"c8255"</definedName>
    <definedName name="IQ_ECO_METRIC_8256" hidden="1" function="0" vbProcedure="0">"c8256"</definedName>
    <definedName name="IQ_ECO_METRIC_8257" hidden="1" function="0" vbProcedure="0">"c8257"</definedName>
    <definedName name="IQ_ECO_METRIC_8258" hidden="1" function="0" vbProcedure="0">"c8258"</definedName>
    <definedName name="IQ_ECO_METRIC_8259" hidden="1" function="0" vbProcedure="0">"c8259"</definedName>
    <definedName name="IQ_ECO_METRIC_8260" hidden="1" function="0" vbProcedure="0">"c8260"</definedName>
    <definedName name="IQ_ECO_METRIC_8261" hidden="1" function="0" vbProcedure="0">"c8261"</definedName>
    <definedName name="IQ_ECO_METRIC_8262" hidden="1" function="0" vbProcedure="0">"c8262"</definedName>
    <definedName name="IQ_ECO_METRIC_8263" hidden="1" function="0" vbProcedure="0">"c8263"</definedName>
    <definedName name="IQ_ECO_METRIC_8264" hidden="1" function="0" vbProcedure="0">"c8264"</definedName>
    <definedName name="IQ_ECO_METRIC_8265" hidden="1" function="0" vbProcedure="0">"c8265"</definedName>
    <definedName name="IQ_ECO_METRIC_8266" hidden="1" function="0" vbProcedure="0">"c8266"</definedName>
    <definedName name="IQ_ECO_METRIC_8267" hidden="1" function="0" vbProcedure="0">"c8267"</definedName>
    <definedName name="IQ_ECO_METRIC_8268" hidden="1" function="0" vbProcedure="0">"c8268"</definedName>
    <definedName name="IQ_ECO_METRIC_8269" hidden="1" function="0" vbProcedure="0">"c8269"</definedName>
    <definedName name="IQ_ECO_METRIC_8270" hidden="1" function="0" vbProcedure="0">"c8270"</definedName>
    <definedName name="IQ_ECO_METRIC_8271" hidden="1" function="0" vbProcedure="0">"c8271"</definedName>
    <definedName name="IQ_ECO_METRIC_8272" hidden="1" function="0" vbProcedure="0">"c8272"</definedName>
    <definedName name="IQ_ECO_METRIC_8273" hidden="1" function="0" vbProcedure="0">"c8273"</definedName>
    <definedName name="IQ_ECO_METRIC_8274" hidden="1" function="0" vbProcedure="0">"c8274"</definedName>
    <definedName name="IQ_ECO_METRIC_8275" hidden="1" function="0" vbProcedure="0">"c8275"</definedName>
    <definedName name="IQ_ECO_METRIC_8276" hidden="1" function="0" vbProcedure="0">"c8276"</definedName>
    <definedName name="IQ_ECO_METRIC_8277" hidden="1" function="0" vbProcedure="0">"c8277"</definedName>
    <definedName name="IQ_ECO_METRIC_8278" hidden="1" function="0" vbProcedure="0">"c8278"</definedName>
    <definedName name="IQ_ECO_METRIC_8279" hidden="1" function="0" vbProcedure="0">"c8279"</definedName>
    <definedName name="IQ_ECO_METRIC_8280" hidden="1" function="0" vbProcedure="0">"c8280"</definedName>
    <definedName name="IQ_ECO_METRIC_8282" hidden="1" function="0" vbProcedure="0">"c8282"</definedName>
    <definedName name="IQ_ECO_METRIC_8283" hidden="1" function="0" vbProcedure="0">"c8283"</definedName>
    <definedName name="IQ_ECO_METRIC_8284" hidden="1" function="0" vbProcedure="0">"c8284"</definedName>
    <definedName name="IQ_ECO_METRIC_8285" hidden="1" function="0" vbProcedure="0">"c8285"</definedName>
    <definedName name="IQ_ECO_METRIC_8286" hidden="1" function="0" vbProcedure="0">"c8286"</definedName>
    <definedName name="IQ_ECO_METRIC_8287" hidden="1" function="0" vbProcedure="0">"c8287"</definedName>
    <definedName name="IQ_ECO_METRIC_8288" hidden="1" function="0" vbProcedure="0">"c8288"</definedName>
    <definedName name="IQ_ECO_METRIC_8289" hidden="1" function="0" vbProcedure="0">"c8289"</definedName>
    <definedName name="IQ_ECO_METRIC_8290" hidden="1" function="0" vbProcedure="0">"c8290"</definedName>
    <definedName name="IQ_ECO_METRIC_8291" hidden="1" function="0" vbProcedure="0">"c8291"</definedName>
    <definedName name="IQ_ECO_METRIC_8292" hidden="1" function="0" vbProcedure="0">"c8292"</definedName>
    <definedName name="IQ_ECO_METRIC_8293" hidden="1" function="0" vbProcedure="0">"c8293"</definedName>
    <definedName name="IQ_ECO_METRIC_8294" hidden="1" function="0" vbProcedure="0">"c8294"</definedName>
    <definedName name="IQ_ECO_METRIC_8295" hidden="1" function="0" vbProcedure="0">"c8295"</definedName>
    <definedName name="IQ_ECO_METRIC_8296" hidden="1" function="0" vbProcedure="0">"c8296"</definedName>
    <definedName name="IQ_ECO_METRIC_8297" hidden="1" function="0" vbProcedure="0">"c8297"</definedName>
    <definedName name="IQ_ECO_METRIC_8298" hidden="1" function="0" vbProcedure="0">"c8298"</definedName>
    <definedName name="IQ_ECO_METRIC_8299" hidden="1" function="0" vbProcedure="0">"c8299"</definedName>
    <definedName name="IQ_ECO_METRIC_8300" hidden="1" function="0" vbProcedure="0">"c8300"</definedName>
    <definedName name="IQ_ECO_METRIC_8301" hidden="1" function="0" vbProcedure="0">"c8301"</definedName>
    <definedName name="IQ_ECO_METRIC_8302" hidden="1" function="0" vbProcedure="0">"c8302"</definedName>
    <definedName name="IQ_ECO_METRIC_8303" hidden="1" function="0" vbProcedure="0">"c8303"</definedName>
    <definedName name="IQ_ECO_METRIC_8304" hidden="1" function="0" vbProcedure="0">"c8304"</definedName>
    <definedName name="IQ_ECO_METRIC_8305" hidden="1" function="0" vbProcedure="0">"c8305"</definedName>
    <definedName name="IQ_ECO_METRIC_8306" hidden="1" function="0" vbProcedure="0">"c8306"</definedName>
    <definedName name="IQ_ECO_METRIC_8307" hidden="1" function="0" vbProcedure="0">"c8307"</definedName>
    <definedName name="IQ_ECO_METRIC_8308" hidden="1" function="0" vbProcedure="0">"c8308"</definedName>
    <definedName name="IQ_ECO_METRIC_8308_UNUSED_UNUSED_UNUSED" hidden="1" function="0" vbProcedure="0">"c8308"</definedName>
    <definedName name="IQ_ECO_METRIC_8309" hidden="1" function="0" vbProcedure="0">"c8309"</definedName>
    <definedName name="IQ_ECO_METRIC_8310" hidden="1" function="0" vbProcedure="0">"c8310"</definedName>
    <definedName name="IQ_ECO_METRIC_8311" hidden="1" function="0" vbProcedure="0">"c8311"</definedName>
    <definedName name="IQ_ECO_METRIC_8312" hidden="1" function="0" vbProcedure="0">"c8312"</definedName>
    <definedName name="IQ_ECO_METRIC_8314" hidden="1" function="0" vbProcedure="0">"c8314"</definedName>
    <definedName name="IQ_ECO_METRIC_8315" hidden="1" function="0" vbProcedure="0">"c8315"</definedName>
    <definedName name="IQ_ECO_METRIC_8316" hidden="1" function="0" vbProcedure="0">"c8316"</definedName>
    <definedName name="IQ_ECO_METRIC_8317" hidden="1" function="0" vbProcedure="0">"c8317"</definedName>
    <definedName name="IQ_ECO_METRIC_8318" hidden="1" function="0" vbProcedure="0">"c8318"</definedName>
    <definedName name="IQ_ECO_METRIC_8320" hidden="1" function="0" vbProcedure="0">"c8320"</definedName>
    <definedName name="IQ_ECO_METRIC_8321" hidden="1" function="0" vbProcedure="0">"c8321"</definedName>
    <definedName name="IQ_ECO_METRIC_8322" hidden="1" function="0" vbProcedure="0">"c8322"</definedName>
    <definedName name="IQ_ECO_METRIC_8323" hidden="1" function="0" vbProcedure="0">"c8323"</definedName>
    <definedName name="IQ_ECO_METRIC_8324" hidden="1" function="0" vbProcedure="0">"c8324"</definedName>
    <definedName name="IQ_ECO_METRIC_8325" hidden="1" function="0" vbProcedure="0">"c8325"</definedName>
    <definedName name="IQ_ECO_METRIC_8326" hidden="1" function="0" vbProcedure="0">"c8326"</definedName>
    <definedName name="IQ_ECO_METRIC_8327" hidden="1" function="0" vbProcedure="0">"c8327"</definedName>
    <definedName name="IQ_ECO_METRIC_8328" hidden="1" function="0" vbProcedure="0">"c8328"</definedName>
    <definedName name="IQ_ECO_METRIC_8329" hidden="1" function="0" vbProcedure="0">"c8329"</definedName>
    <definedName name="IQ_ECO_METRIC_8330" hidden="1" function="0" vbProcedure="0">"c8330"</definedName>
    <definedName name="IQ_ECO_METRIC_8331" hidden="1" function="0" vbProcedure="0">"c8331"</definedName>
    <definedName name="IQ_ECO_METRIC_8332" hidden="1" function="0" vbProcedure="0">"c8332"</definedName>
    <definedName name="IQ_ECO_METRIC_8333" hidden="1" function="0" vbProcedure="0">"c8333"</definedName>
    <definedName name="IQ_ECO_METRIC_8335" hidden="1" function="0" vbProcedure="0">"c8335"</definedName>
    <definedName name="IQ_ECO_METRIC_8336" hidden="1" function="0" vbProcedure="0">"c8336"</definedName>
    <definedName name="IQ_ECO_METRIC_8337" hidden="1" function="0" vbProcedure="0">"c8337"</definedName>
    <definedName name="IQ_ECO_METRIC_8338" hidden="1" function="0" vbProcedure="0">"c8338"</definedName>
    <definedName name="IQ_ECO_METRIC_8339" hidden="1" function="0" vbProcedure="0">"c8339"</definedName>
    <definedName name="IQ_ECO_METRIC_8340" hidden="1" function="0" vbProcedure="0">"c8340"</definedName>
    <definedName name="IQ_ECO_METRIC_8341" hidden="1" function="0" vbProcedure="0">"c8341"</definedName>
    <definedName name="IQ_ECO_METRIC_8343" hidden="1" function="0" vbProcedure="0">"c8343"</definedName>
    <definedName name="IQ_ECO_METRIC_8344" hidden="1" function="0" vbProcedure="0">"c8344"</definedName>
    <definedName name="IQ_ECO_METRIC_8345" hidden="1" function="0" vbProcedure="0">"c8345"</definedName>
    <definedName name="IQ_ECO_METRIC_8346" hidden="1" function="0" vbProcedure="0">"c8346"</definedName>
    <definedName name="IQ_ECO_METRIC_8347" hidden="1" function="0" vbProcedure="0">"c8347"</definedName>
    <definedName name="IQ_ECO_METRIC_8348" hidden="1" function="0" vbProcedure="0">"c8348"</definedName>
    <definedName name="IQ_ECO_METRIC_8349" hidden="1" function="0" vbProcedure="0">"c8349"</definedName>
    <definedName name="IQ_ECO_METRIC_8350" hidden="1" function="0" vbProcedure="0">"c8350"</definedName>
    <definedName name="IQ_ECO_METRIC_8352" hidden="1" function="0" vbProcedure="0">"c8352"</definedName>
    <definedName name="IQ_ECO_METRIC_8353" hidden="1" function="0" vbProcedure="0">"c8353"</definedName>
    <definedName name="IQ_ECO_METRIC_8354" hidden="1" function="0" vbProcedure="0">"c8354"</definedName>
    <definedName name="IQ_ECO_METRIC_8355" hidden="1" function="0" vbProcedure="0">"c8355"</definedName>
    <definedName name="IQ_ECO_METRIC_8356" hidden="1" function="0" vbProcedure="0">"c8356"</definedName>
    <definedName name="IQ_ECO_METRIC_8357" hidden="1" function="0" vbProcedure="0">"c8357"</definedName>
    <definedName name="IQ_ECO_METRIC_8358" hidden="1" function="0" vbProcedure="0">"c8358"</definedName>
    <definedName name="IQ_ECO_METRIC_8359" hidden="1" function="0" vbProcedure="0">"c8359"</definedName>
    <definedName name="IQ_ECO_METRIC_8360" hidden="1" function="0" vbProcedure="0">"c8360"</definedName>
    <definedName name="IQ_ECO_METRIC_8361" hidden="1" function="0" vbProcedure="0">"c8361"</definedName>
    <definedName name="IQ_ECO_METRIC_8362" hidden="1" function="0" vbProcedure="0">"c8362"</definedName>
    <definedName name="IQ_ECO_METRIC_8363" hidden="1" function="0" vbProcedure="0">"c8363"</definedName>
    <definedName name="IQ_ECO_METRIC_8367" hidden="1" function="0" vbProcedure="0">"c8367"</definedName>
    <definedName name="IQ_ECO_METRIC_8368" hidden="1" function="0" vbProcedure="0">"c8368"</definedName>
    <definedName name="IQ_ECO_METRIC_8369" hidden="1" function="0" vbProcedure="0">"c8369"</definedName>
    <definedName name="IQ_ECO_METRIC_8370" hidden="1" function="0" vbProcedure="0">"c8370"</definedName>
    <definedName name="IQ_ECO_METRIC_8371" hidden="1" function="0" vbProcedure="0">"c8371"</definedName>
    <definedName name="IQ_ECO_METRIC_8372" hidden="1" function="0" vbProcedure="0">"c8372"</definedName>
    <definedName name="IQ_ECO_METRIC_8373" hidden="1" function="0" vbProcedure="0">"c8373"</definedName>
    <definedName name="IQ_ECO_METRIC_8374" hidden="1" function="0" vbProcedure="0">"c8374"</definedName>
    <definedName name="IQ_ECO_METRIC_8375" hidden="1" function="0" vbProcedure="0">"c8375"</definedName>
    <definedName name="IQ_ECO_METRIC_8376" hidden="1" function="0" vbProcedure="0">"c8376"</definedName>
    <definedName name="IQ_ECO_METRIC_8377" hidden="1" function="0" vbProcedure="0">"c8377"</definedName>
    <definedName name="IQ_ECO_METRIC_8380" hidden="1" function="0" vbProcedure="0">"c8380"</definedName>
    <definedName name="IQ_ECO_METRIC_8381" hidden="1" function="0" vbProcedure="0">"c8381"</definedName>
    <definedName name="IQ_ECO_METRIC_8382" hidden="1" function="0" vbProcedure="0">"c8382"</definedName>
    <definedName name="IQ_ECO_METRIC_8383" hidden="1" function="0" vbProcedure="0">"c8383"</definedName>
    <definedName name="IQ_ECO_METRIC_8384" hidden="1" function="0" vbProcedure="0">"c8384"</definedName>
    <definedName name="IQ_ECO_METRIC_8385" hidden="1" function="0" vbProcedure="0">"c8385"</definedName>
    <definedName name="IQ_ECO_METRIC_8387" hidden="1" function="0" vbProcedure="0">"c8387"</definedName>
    <definedName name="IQ_ECO_METRIC_8388" hidden="1" function="0" vbProcedure="0">"c8388"</definedName>
    <definedName name="IQ_ECO_METRIC_8389" hidden="1" function="0" vbProcedure="0">"c8389"</definedName>
    <definedName name="IQ_ECO_METRIC_8390" hidden="1" function="0" vbProcedure="0">"c8390"</definedName>
    <definedName name="IQ_ECO_METRIC_8391" hidden="1" function="0" vbProcedure="0">"c8391"</definedName>
    <definedName name="IQ_ECO_METRIC_8392" hidden="1" function="0" vbProcedure="0">"c8392"</definedName>
    <definedName name="IQ_ECO_METRIC_8393" hidden="1" function="0" vbProcedure="0">"c8393"</definedName>
    <definedName name="IQ_ECO_METRIC_8394" hidden="1" function="0" vbProcedure="0">"c8394"</definedName>
    <definedName name="IQ_ECO_METRIC_8395" hidden="1" function="0" vbProcedure="0">"c8395"</definedName>
    <definedName name="IQ_ECO_METRIC_8396" hidden="1" function="0" vbProcedure="0">"c8396"</definedName>
    <definedName name="IQ_ECO_METRIC_8397" hidden="1" function="0" vbProcedure="0">"c8397"</definedName>
    <definedName name="IQ_ECO_METRIC_8398" hidden="1" function="0" vbProcedure="0">"c8398"</definedName>
    <definedName name="IQ_ECO_METRIC_8399" hidden="1" function="0" vbProcedure="0">"c8399"</definedName>
    <definedName name="IQ_ECO_METRIC_8400" hidden="1" function="0" vbProcedure="0">"c8400"</definedName>
    <definedName name="IQ_ECO_METRIC_8401" hidden="1" function="0" vbProcedure="0">"c8401"</definedName>
    <definedName name="IQ_ECO_METRIC_8402" hidden="1" function="0" vbProcedure="0">"c8402"</definedName>
    <definedName name="IQ_ECO_METRIC_8403" hidden="1" function="0" vbProcedure="0">"c8403"</definedName>
    <definedName name="IQ_ECO_METRIC_8404" hidden="1" function="0" vbProcedure="0">"c8404"</definedName>
    <definedName name="IQ_ECO_METRIC_8405" hidden="1" function="0" vbProcedure="0">"c8405"</definedName>
    <definedName name="IQ_ECO_METRIC_8406" hidden="1" function="0" vbProcedure="0">"c8406"</definedName>
    <definedName name="IQ_ECO_METRIC_8407" hidden="1" function="0" vbProcedure="0">"c8407"</definedName>
    <definedName name="IQ_ECO_METRIC_8408" hidden="1" function="0" vbProcedure="0">"c8408"</definedName>
    <definedName name="IQ_ECO_METRIC_8409" hidden="1" function="0" vbProcedure="0">"c8409"</definedName>
    <definedName name="IQ_ECO_METRIC_8410" hidden="1" function="0" vbProcedure="0">"c8410"</definedName>
    <definedName name="IQ_ECO_METRIC_8411" hidden="1" function="0" vbProcedure="0">"c8411"</definedName>
    <definedName name="IQ_ECO_METRIC_8412" hidden="1" function="0" vbProcedure="0">"c8412"</definedName>
    <definedName name="IQ_ECO_METRIC_8413" hidden="1" function="0" vbProcedure="0">"c8413"</definedName>
    <definedName name="IQ_ECO_METRIC_8414" hidden="1" function="0" vbProcedure="0">"c8414"</definedName>
    <definedName name="IQ_ECO_METRIC_8415" hidden="1" function="0" vbProcedure="0">"c8415"</definedName>
    <definedName name="IQ_ECO_METRIC_8416" hidden="1" function="0" vbProcedure="0">"c8416"</definedName>
    <definedName name="IQ_ECO_METRIC_8417" hidden="1" function="0" vbProcedure="0">"c8417"</definedName>
    <definedName name="IQ_ECO_METRIC_8418" hidden="1" function="0" vbProcedure="0">"c8418"</definedName>
    <definedName name="IQ_ECO_METRIC_8419" hidden="1" function="0" vbProcedure="0">"c8419"</definedName>
    <definedName name="IQ_ECO_METRIC_8420" hidden="1" function="0" vbProcedure="0">"c8420"</definedName>
    <definedName name="IQ_ECO_METRIC_8421" hidden="1" function="0" vbProcedure="0">"c8421"</definedName>
    <definedName name="IQ_ECO_METRIC_8422" hidden="1" function="0" vbProcedure="0">"c8422"</definedName>
    <definedName name="IQ_ECO_METRIC_8423" hidden="1" function="0" vbProcedure="0">"c8423"</definedName>
    <definedName name="IQ_ECO_METRIC_8424" hidden="1" function="0" vbProcedure="0">"c8424"</definedName>
    <definedName name="IQ_ECO_METRIC_8425" hidden="1" function="0" vbProcedure="0">"c8425"</definedName>
    <definedName name="IQ_ECO_METRIC_8426" hidden="1" function="0" vbProcedure="0">"c8426"</definedName>
    <definedName name="IQ_ECO_METRIC_8427" hidden="1" function="0" vbProcedure="0">"c8427"</definedName>
    <definedName name="IQ_ECO_METRIC_8428" hidden="1" function="0" vbProcedure="0">"c8428"</definedName>
    <definedName name="IQ_ECO_METRIC_8429" hidden="1" function="0" vbProcedure="0">"c8429"</definedName>
    <definedName name="IQ_ECO_METRIC_8430" hidden="1" function="0" vbProcedure="0">"c8430"</definedName>
    <definedName name="IQ_ECO_METRIC_8431" hidden="1" function="0" vbProcedure="0">"c8431"</definedName>
    <definedName name="IQ_ECO_METRIC_8432" hidden="1" function="0" vbProcedure="0">"c8432"</definedName>
    <definedName name="IQ_ECO_METRIC_8433" hidden="1" function="0" vbProcedure="0">"c8433"</definedName>
    <definedName name="IQ_ECO_METRIC_8434" hidden="1" function="0" vbProcedure="0">"c8434"</definedName>
    <definedName name="IQ_ECO_METRIC_8435" hidden="1" function="0" vbProcedure="0">"c8435"</definedName>
    <definedName name="IQ_ECO_METRIC_8436" hidden="1" function="0" vbProcedure="0">"c8436"</definedName>
    <definedName name="IQ_ECO_METRIC_8436_UNUSED_UNUSED_UNUSED" hidden="1" function="0" vbProcedure="0">"c8436"</definedName>
    <definedName name="IQ_ECO_METRIC_8437" hidden="1" function="0" vbProcedure="0">"c8437"</definedName>
    <definedName name="IQ_ECO_METRIC_8437_UNUSED_UNUSED_UNUSED" hidden="1" function="0" vbProcedure="0">"c8437"</definedName>
    <definedName name="IQ_ECO_METRIC_8440" hidden="1" function="0" vbProcedure="0">"c8440"</definedName>
    <definedName name="IQ_ECO_METRIC_8441" hidden="1" function="0" vbProcedure="0">"c8441"</definedName>
    <definedName name="IQ_ECO_METRIC_8442" hidden="1" function="0" vbProcedure="0">"c8442"</definedName>
    <definedName name="IQ_ECO_METRIC_8443" hidden="1" function="0" vbProcedure="0">"c8443"</definedName>
    <definedName name="IQ_ECO_METRIC_8444" hidden="1" function="0" vbProcedure="0">"c8444"</definedName>
    <definedName name="IQ_ECO_METRIC_8445" hidden="1" function="0" vbProcedure="0">"c8445"</definedName>
    <definedName name="IQ_ECO_METRIC_8446" hidden="1" function="0" vbProcedure="0">"c8446"</definedName>
    <definedName name="IQ_ECO_METRIC_8447" hidden="1" function="0" vbProcedure="0">"c8447"</definedName>
    <definedName name="IQ_ECO_METRIC_8448" hidden="1" function="0" vbProcedure="0">"c8448"</definedName>
    <definedName name="IQ_ECO_METRIC_8450" hidden="1" function="0" vbProcedure="0">"c8450"</definedName>
    <definedName name="IQ_ECO_METRIC_8451" hidden="1" function="0" vbProcedure="0">"c8451"</definedName>
    <definedName name="IQ_ECO_METRIC_8452" hidden="1" function="0" vbProcedure="0">"c8452"</definedName>
    <definedName name="IQ_ECO_METRIC_8453" hidden="1" function="0" vbProcedure="0">"c8453"</definedName>
    <definedName name="IQ_ECO_METRIC_8454" hidden="1" function="0" vbProcedure="0">"c8454"</definedName>
    <definedName name="IQ_ECO_METRIC_8455" hidden="1" function="0" vbProcedure="0">"c8455"</definedName>
    <definedName name="IQ_ECO_METRIC_8456" hidden="1" function="0" vbProcedure="0">"c8456"</definedName>
    <definedName name="IQ_ECO_METRIC_8457" hidden="1" function="0" vbProcedure="0">"c8457"</definedName>
    <definedName name="IQ_ECO_METRIC_8458" hidden="1" function="0" vbProcedure="0">"c8458"</definedName>
    <definedName name="IQ_ECO_METRIC_8459" hidden="1" function="0" vbProcedure="0">"c8459"</definedName>
    <definedName name="IQ_ECO_METRIC_8460" hidden="1" function="0" vbProcedure="0">"c8460"</definedName>
    <definedName name="IQ_ECO_METRIC_8461" hidden="1" function="0" vbProcedure="0">"c8461"</definedName>
    <definedName name="IQ_ECO_METRIC_8462" hidden="1" function="0" vbProcedure="0">"c8462"</definedName>
    <definedName name="IQ_ECO_METRIC_8463" hidden="1" function="0" vbProcedure="0">"c8463"</definedName>
    <definedName name="IQ_ECO_METRIC_8464" hidden="1" function="0" vbProcedure="0">"c8464"</definedName>
    <definedName name="IQ_ECO_METRIC_8465" hidden="1" function="0" vbProcedure="0">"c8465"</definedName>
    <definedName name="IQ_ECO_METRIC_8466" hidden="1" function="0" vbProcedure="0">"c8466"</definedName>
    <definedName name="IQ_ECO_METRIC_8468" hidden="1" function="0" vbProcedure="0">"c8468"</definedName>
    <definedName name="IQ_ECO_METRIC_8469" hidden="1" function="0" vbProcedure="0">"c8469"</definedName>
    <definedName name="IQ_ECO_METRIC_8470" hidden="1" function="0" vbProcedure="0">"c8470"</definedName>
    <definedName name="IQ_ECO_METRIC_8472" hidden="1" function="0" vbProcedure="0">"c8472"</definedName>
    <definedName name="IQ_ECO_METRIC_8473" hidden="1" function="0" vbProcedure="0">"c8473"</definedName>
    <definedName name="IQ_ECO_METRIC_8474" hidden="1" function="0" vbProcedure="0">"c8474"</definedName>
    <definedName name="IQ_ECO_METRIC_8476" hidden="1" function="0" vbProcedure="0">"c8476"</definedName>
    <definedName name="IQ_ECO_METRIC_8477" hidden="1" function="0" vbProcedure="0">"c8477"</definedName>
    <definedName name="IQ_ECO_METRIC_8478" hidden="1" function="0" vbProcedure="0">"c8478"</definedName>
    <definedName name="IQ_ECO_METRIC_8479" hidden="1" function="0" vbProcedure="0">"c8479"</definedName>
    <definedName name="IQ_ECO_METRIC_8480" hidden="1" function="0" vbProcedure="0">"c8480"</definedName>
    <definedName name="IQ_ECO_METRIC_8481" hidden="1" function="0" vbProcedure="0">"c8481"</definedName>
    <definedName name="IQ_ECO_METRIC_8482" hidden="1" function="0" vbProcedure="0">"c8482"</definedName>
    <definedName name="IQ_ECO_METRIC_8483" hidden="1" function="0" vbProcedure="0">"c8483"</definedName>
    <definedName name="IQ_ECO_METRIC_8484" hidden="1" function="0" vbProcedure="0">"c8484"</definedName>
    <definedName name="IQ_ECO_METRIC_8485" hidden="1" function="0" vbProcedure="0">"c8485"</definedName>
    <definedName name="IQ_ECO_METRIC_8486" hidden="1" function="0" vbProcedure="0">"c8486"</definedName>
    <definedName name="IQ_ECO_METRIC_8487" hidden="1" function="0" vbProcedure="0">"c8487"</definedName>
    <definedName name="IQ_ECO_METRIC_8488" hidden="1" function="0" vbProcedure="0">"c8488"</definedName>
    <definedName name="IQ_ECO_METRIC_8489" hidden="1" function="0" vbProcedure="0">"c8489"</definedName>
    <definedName name="IQ_ECO_METRIC_8490" hidden="1" function="0" vbProcedure="0">"c8490"</definedName>
    <definedName name="IQ_ECO_METRIC_8491" hidden="1" function="0" vbProcedure="0">"c8491"</definedName>
    <definedName name="IQ_ECO_METRIC_8492" hidden="1" function="0" vbProcedure="0">"c8492"</definedName>
    <definedName name="IQ_ECO_METRIC_8493" hidden="1" function="0" vbProcedure="0">"c8493"</definedName>
    <definedName name="IQ_ECO_METRIC_8494" hidden="1" function="0" vbProcedure="0">"c8494"</definedName>
    <definedName name="IQ_ECO_METRIC_8495" hidden="1" function="0" vbProcedure="0">"c8495"</definedName>
    <definedName name="IQ_ECO_METRIC_8496" hidden="1" function="0" vbProcedure="0">"c8496"</definedName>
    <definedName name="IQ_ECO_METRIC_8497" hidden="1" function="0" vbProcedure="0">"c8497"</definedName>
    <definedName name="IQ_ECO_METRIC_8498" hidden="1" function="0" vbProcedure="0">"c8498"</definedName>
    <definedName name="IQ_ECO_METRIC_8499" hidden="1" function="0" vbProcedure="0">"c8499"</definedName>
    <definedName name="IQ_ECO_METRIC_8500" hidden="1" function="0" vbProcedure="0">"c8500"</definedName>
    <definedName name="IQ_ECO_METRIC_8502" hidden="1" function="0" vbProcedure="0">"c8502"</definedName>
    <definedName name="IQ_ECO_METRIC_8503" hidden="1" function="0" vbProcedure="0">"c8503"</definedName>
    <definedName name="IQ_ECO_METRIC_8504" hidden="1" function="0" vbProcedure="0">"c8504"</definedName>
    <definedName name="IQ_ECO_METRIC_8505" hidden="1" function="0" vbProcedure="0">"c8505"</definedName>
    <definedName name="IQ_ECO_METRIC_8506" hidden="1" function="0" vbProcedure="0">"c8506"</definedName>
    <definedName name="IQ_ECO_METRIC_8507" hidden="1" function="0" vbProcedure="0">"c8507"</definedName>
    <definedName name="IQ_ECO_METRIC_8508" hidden="1" function="0" vbProcedure="0">"c8508"</definedName>
    <definedName name="IQ_ECO_METRIC_8509" hidden="1" function="0" vbProcedure="0">"c8509"</definedName>
    <definedName name="IQ_ECO_METRIC_8510" hidden="1" function="0" vbProcedure="0">"c8510"</definedName>
    <definedName name="IQ_ECO_METRIC_8511" hidden="1" function="0" vbProcedure="0">"c8511"</definedName>
    <definedName name="IQ_ECO_METRIC_8512" hidden="1" function="0" vbProcedure="0">"c8512"</definedName>
    <definedName name="IQ_ECO_METRIC_8513" hidden="1" function="0" vbProcedure="0">"c8513"</definedName>
    <definedName name="IQ_ECO_METRIC_8514" hidden="1" function="0" vbProcedure="0">"c8514"</definedName>
    <definedName name="IQ_ECO_METRIC_8515" hidden="1" function="0" vbProcedure="0">"c8515"</definedName>
    <definedName name="IQ_ECO_METRIC_8516" hidden="1" function="0" vbProcedure="0">"c8516"</definedName>
    <definedName name="IQ_ECO_METRIC_8517" hidden="1" function="0" vbProcedure="0">"c8517"</definedName>
    <definedName name="IQ_ECO_METRIC_8518" hidden="1" function="0" vbProcedure="0">"c8518"</definedName>
    <definedName name="IQ_ECO_METRIC_8519" hidden="1" function="0" vbProcedure="0">"c8519"</definedName>
    <definedName name="IQ_ECO_METRIC_8520" hidden="1" function="0" vbProcedure="0">"c8520"</definedName>
    <definedName name="IQ_ECO_METRIC_8521" hidden="1" function="0" vbProcedure="0">"c8521"</definedName>
    <definedName name="IQ_ECO_METRIC_8522" hidden="1" function="0" vbProcedure="0">"c8522"</definedName>
    <definedName name="IQ_ECO_METRIC_8523" hidden="1" function="0" vbProcedure="0">"c8523"</definedName>
    <definedName name="IQ_ECO_METRIC_8524" hidden="1" function="0" vbProcedure="0">"c8524"</definedName>
    <definedName name="IQ_ECO_METRIC_8525" hidden="1" function="0" vbProcedure="0">"c8525"</definedName>
    <definedName name="IQ_ECO_METRIC_8526" hidden="1" function="0" vbProcedure="0">"c8526"</definedName>
    <definedName name="IQ_ECO_METRIC_8527" hidden="1" function="0" vbProcedure="0">"c8527"</definedName>
    <definedName name="IQ_ECO_METRIC_8528" hidden="1" function="0" vbProcedure="0">"c8528"</definedName>
    <definedName name="IQ_ECO_METRIC_8528_UNUSED_UNUSED_UNUSED" hidden="1" function="0" vbProcedure="0">"c8528"</definedName>
    <definedName name="IQ_ECO_METRIC_8529" hidden="1" function="0" vbProcedure="0">"c8529"</definedName>
    <definedName name="IQ_ECO_METRIC_8530" hidden="1" function="0" vbProcedure="0">"c8530"</definedName>
    <definedName name="IQ_ECO_METRIC_8531" hidden="1" function="0" vbProcedure="0">"c8531"</definedName>
    <definedName name="IQ_ECO_METRIC_8532" hidden="1" function="0" vbProcedure="0">"c8532"</definedName>
    <definedName name="IQ_ECO_METRIC_8534" hidden="1" function="0" vbProcedure="0">"c8534"</definedName>
    <definedName name="IQ_ECO_METRIC_8535" hidden="1" function="0" vbProcedure="0">"c8535"</definedName>
    <definedName name="IQ_ECO_METRIC_8536" hidden="1" function="0" vbProcedure="0">"c8536"</definedName>
    <definedName name="IQ_ECO_METRIC_8537" hidden="1" function="0" vbProcedure="0">"c8537"</definedName>
    <definedName name="IQ_ECO_METRIC_8538" hidden="1" function="0" vbProcedure="0">"c8538"</definedName>
    <definedName name="IQ_ECO_METRIC_8540" hidden="1" function="0" vbProcedure="0">"c8540"</definedName>
    <definedName name="IQ_ECO_METRIC_8541" hidden="1" function="0" vbProcedure="0">"c8541"</definedName>
    <definedName name="IQ_ECO_METRIC_8543" hidden="1" function="0" vbProcedure="0">"c8543"</definedName>
    <definedName name="IQ_ECO_METRIC_8544" hidden="1" function="0" vbProcedure="0">"c8544"</definedName>
    <definedName name="IQ_ECO_METRIC_8545" hidden="1" function="0" vbProcedure="0">"c8545"</definedName>
    <definedName name="IQ_ECO_METRIC_8546" hidden="1" function="0" vbProcedure="0">"c8546"</definedName>
    <definedName name="IQ_ECO_METRIC_8547" hidden="1" function="0" vbProcedure="0">"c8547"</definedName>
    <definedName name="IQ_ECO_METRIC_8548" hidden="1" function="0" vbProcedure="0">"c8548"</definedName>
    <definedName name="IQ_ECO_METRIC_8549" hidden="1" function="0" vbProcedure="0">"c8549"</definedName>
    <definedName name="IQ_ECO_METRIC_8550" hidden="1" function="0" vbProcedure="0">"c8550"</definedName>
    <definedName name="IQ_ECO_METRIC_8555" hidden="1" function="0" vbProcedure="0">"c8555"</definedName>
    <definedName name="IQ_ECO_METRIC_8556" hidden="1" function="0" vbProcedure="0">"c8556"</definedName>
    <definedName name="IQ_ECO_METRIC_8557" hidden="1" function="0" vbProcedure="0">"c8557"</definedName>
    <definedName name="IQ_ECO_METRIC_8558" hidden="1" function="0" vbProcedure="0">"c8558"</definedName>
    <definedName name="IQ_ECO_METRIC_8559" hidden="1" function="0" vbProcedure="0">"c8559"</definedName>
    <definedName name="IQ_ECO_METRIC_8560" hidden="1" function="0" vbProcedure="0">"c8560"</definedName>
    <definedName name="IQ_ECO_METRIC_8561" hidden="1" function="0" vbProcedure="0">"c8561"</definedName>
    <definedName name="IQ_ECO_METRIC_8565" hidden="1" function="0" vbProcedure="0">"c8565"</definedName>
    <definedName name="IQ_ECO_METRIC_8567" hidden="1" function="0" vbProcedure="0">"c8567"</definedName>
    <definedName name="IQ_ECO_METRIC_8568" hidden="1" function="0" vbProcedure="0">"c8568"</definedName>
    <definedName name="IQ_ECO_METRIC_8569" hidden="1" function="0" vbProcedure="0">"c8569"</definedName>
    <definedName name="IQ_EFFECT_SPECIAL_CHARGE" hidden="1" function="0" vbProcedure="0">"c1595"</definedName>
    <definedName name="IQ_EFFECT_TAX_RATE" hidden="1" function="0" vbProcedure="0">"c1899"</definedName>
    <definedName name="IQ_EFFICIENCY_RATIO" hidden="1" function="0" vbProcedure="0">"c391"</definedName>
    <definedName name="IQ_EFFICIENCY_RATIO_FDIC" hidden="1" function="0" vbProcedure="0">"c6736"</definedName>
    <definedName name="IQ_EMPLOYEES" hidden="1" function="0" vbProcedure="0">"c392"</definedName>
    <definedName name="IQ_ENTERPRISE_VALUE" hidden="1" function="0" vbProcedure="0">"c84"</definedName>
    <definedName name="IQ_EPS_10YR_ANN_GROWTH" hidden="1" function="0" vbProcedure="0">"c393"</definedName>
    <definedName name="IQ_EPS_1YR_ANN_GROWTH" hidden="1" function="0" vbProcedure="0">"c394"</definedName>
    <definedName name="IQ_EPS_2YR_ANN_GROWTH" hidden="1" function="0" vbProcedure="0">"c395"</definedName>
    <definedName name="IQ_EPS_3YR_ANN_GROWTH" hidden="1" function="0" vbProcedure="0">"c396"</definedName>
    <definedName name="IQ_EPS_5YR_ANN_GROWTH" hidden="1" function="0" vbProcedure="0">"c397"</definedName>
    <definedName name="IQ_EPS_7YR_ANN_GROWTH" hidden="1" function="0" vbProcedure="0">"c398"</definedName>
    <definedName name="IQ_EPS_ACT_OR_EST_REUT" hidden="1" function="0" vbProcedure="0">"c5460"</definedName>
    <definedName name="IQ_EPS_EST" hidden="1" function="0" vbProcedure="0">"c399"</definedName>
    <definedName name="IQ_EPS_EST_BOTTOM_UP_REUT" hidden="1" function="0" vbProcedure="0">"c5497"</definedName>
    <definedName name="IQ_EPS_GW_ACT_OR_EST_REUT" hidden="1" function="0" vbProcedure="0">"c5469"</definedName>
    <definedName name="IQ_EPS_GW_EST_BOTTOM_UP_REUT" hidden="1" function="0" vbProcedure="0">"c5499"</definedName>
    <definedName name="IQ_EPS_HIGH_EST" hidden="1" function="0" vbProcedure="0">"c400"</definedName>
    <definedName name="IQ_EPS_LOW_EST" hidden="1" function="0" vbProcedure="0">"c401"</definedName>
    <definedName name="IQ_EPS_NORM" hidden="1" function="0" vbProcedure="0">"c1902"</definedName>
    <definedName name="IQ_EPS_NORM_EST_BOTTOM_UP_REUT" hidden="1" function="0" vbProcedure="0">"c5498"</definedName>
    <definedName name="IQ_EPS_NUM_EST" hidden="1" function="0" vbProcedure="0">"c402"</definedName>
    <definedName name="IQ_EPS_REPORTED_EST_BOTTOM_UP_REUT" hidden="1" function="0" vbProcedure="0">"c5500"</definedName>
    <definedName name="IQ_EPS_REPORT_ACT_OR_EST_REUT" hidden="1" function="0" vbProcedure="0">"c5470"</definedName>
    <definedName name="IQ_EPS_STDDEV_EST" hidden="1" function="0" vbProcedure="0">"c403"</definedName>
    <definedName name="IQ_EQUITY_AFFIL" hidden="1" function="0" vbProcedure="0">"c552"</definedName>
    <definedName name="IQ_EQUITY_CAPITAL_ASSETS_FDIC" hidden="1" function="0" vbProcedure="0">"c6744"</definedName>
    <definedName name="IQ_EQUITY_FDIC" hidden="1" function="0" vbProcedure="0">"c6353"</definedName>
    <definedName name="IQ_EQUITY_METHOD" hidden="1" function="0" vbProcedure="0">"c404"</definedName>
    <definedName name="IQ_EQUITY_SECURITIES_FDIC" hidden="1" function="0" vbProcedure="0">"c6304"</definedName>
    <definedName name="IQ_EQUITY_SECURITY_EXPOSURES_FDIC" hidden="1" function="0" vbProcedure="0">"c6664"</definedName>
    <definedName name="IQ_EQV_OVER_BV" hidden="1" function="0" vbProcedure="0">"c1596"</definedName>
    <definedName name="IQ_EQV_OVER_LTM_PRETAX_INC" hidden="1" function="0" vbProcedure="0">"c739"</definedName>
    <definedName name="IQ_ESOP_DEBT" hidden="1" function="0" vbProcedure="0">"c1597"</definedName>
    <definedName name="IQ_ESTIMATED_ASSESSABLE_DEPOSITS_FDIC" hidden="1" function="0" vbProcedure="0">"c6490"</definedName>
    <definedName name="IQ_ESTIMATED_INSURED_DEPOSITS_FDIC" hidden="1" function="0" vbProcedure="0">"c6491"</definedName>
    <definedName name="IQ_EST_ACT_BV_SHARE_REUT" hidden="1" function="0" vbProcedure="0">"c5445"</definedName>
    <definedName name="IQ_EST_ACT_CAPEX_REUT" hidden="1" function="0" vbProcedure="0">"c3975"</definedName>
    <definedName name="IQ_EST_ACT_CFPS_REUT" hidden="1" function="0" vbProcedure="0">"c3850"</definedName>
    <definedName name="IQ_EST_ACT_DPS_REUT" hidden="1" function="0" vbProcedure="0">"c3857"</definedName>
    <definedName name="IQ_EST_ACT_EBITDA_REUT" hidden="1" function="0" vbProcedure="0">"c3836"</definedName>
    <definedName name="IQ_EST_ACT_EBIT_REUT" hidden="1" function="0" vbProcedure="0">"c5339"</definedName>
    <definedName name="IQ_EST_ACT_EPS" hidden="1" function="0" vbProcedure="0">"c1648"</definedName>
    <definedName name="IQ_EST_ACT_EPS_REUT" hidden="1" function="0" vbProcedure="0">"c5457"</definedName>
    <definedName name="IQ_EST_ACT_FFO_REUT" hidden="1" function="0" vbProcedure="0">"c3843"</definedName>
    <definedName name="IQ_EST_ACT_FFO_SHARE_SHARE_THOM" hidden="1" function="0" vbProcedure="0">"c4005"</definedName>
    <definedName name="IQ_EST_ACT_NAV_SHARE_REUT" hidden="1" function="0" vbProcedure="0">"c5616"</definedName>
    <definedName name="IQ_EST_ACT_NET_DEBT_REUT" hidden="1" function="0" vbProcedure="0">"c5446"</definedName>
    <definedName name="IQ_EST_ACT_NI_GW_REUT" hidden="1" function="0" vbProcedure="0">"c5381"</definedName>
    <definedName name="IQ_EST_ACT_NI_REPORTED_REUT" hidden="1" function="0" vbProcedure="0">"c5388"</definedName>
    <definedName name="IQ_EST_ACT_NI_REUT" hidden="1" function="0" vbProcedure="0">"c5374"</definedName>
    <definedName name="IQ_EST_ACT_OPER_INC_REUT" hidden="1" function="0" vbProcedure="0">"c5346"</definedName>
    <definedName name="IQ_EST_ACT_PRETAX_GW_INC_REUT" hidden="1" function="0" vbProcedure="0">"c5360"</definedName>
    <definedName name="IQ_EST_ACT_PRETAX_INC_REUT" hidden="1" function="0" vbProcedure="0">"c5353"</definedName>
    <definedName name="IQ_EST_ACT_PRETAX_REPORT_INC_REUT" hidden="1" function="0" vbProcedure="0">"c5367"</definedName>
    <definedName name="IQ_EST_ACT_RETURN_ASSETS_REUT" hidden="1" function="0" vbProcedure="0">"c3996"</definedName>
    <definedName name="IQ_EST_ACT_RETURN_EQUITY_REUT" hidden="1" function="0" vbProcedure="0">"c3989"</definedName>
    <definedName name="IQ_EST_ACT_REV_REUT" hidden="1" function="0" vbProcedure="0">"c3835"</definedName>
    <definedName name="IQ_EST_CAPEX_GROWTH_1YR_REUT" hidden="1" function="0" vbProcedure="0">"c5447"</definedName>
    <definedName name="IQ_EST_CAPEX_GROWTH_2YR_REUT" hidden="1" function="0" vbProcedure="0">"c5448"</definedName>
    <definedName name="IQ_EST_CAPEX_GROWTH_Q_1YR_REUT" hidden="1" function="0" vbProcedure="0">"c5449"</definedName>
    <definedName name="IQ_EST_CAPEX_SEQ_GROWTH_Q_REUT" hidden="1" function="0" vbProcedure="0">"c5450"</definedName>
    <definedName name="IQ_EST_CFPS_DIFF_REUT" hidden="1" function="0" vbProcedure="0">"c3892"</definedName>
    <definedName name="IQ_EST_CFPS_GROWTH_1YR_REUT" hidden="1" function="0" vbProcedure="0">"c3878"</definedName>
    <definedName name="IQ_EST_CFPS_GROWTH_2YR_REUT" hidden="1" function="0" vbProcedure="0">"c3879"</definedName>
    <definedName name="IQ_EST_CFPS_GROWTH_Q_1YR_REUT" hidden="1" function="0" vbProcedure="0">"c3880"</definedName>
    <definedName name="IQ_EST_CFPS_SEQ_GROWTH_Q_REUT" hidden="1" function="0" vbProcedure="0">"c3881"</definedName>
    <definedName name="IQ_EST_CFPS_SURPRISE_PERCENT_REUT" hidden="1" function="0" vbProcedure="0">"c3893"</definedName>
    <definedName name="IQ_EST_CURRENCY" hidden="1" function="0" vbProcedure="0">"c2140"</definedName>
    <definedName name="IQ_EST_DATE" hidden="1" function="0" vbProcedure="0">"c1634"</definedName>
    <definedName name="IQ_EST_DPS_DIFF_REUT" hidden="1" function="0" vbProcedure="0">"c3894"</definedName>
    <definedName name="IQ_EST_DPS_GROWTH_1YR_REUT" hidden="1" function="0" vbProcedure="0">"c3882"</definedName>
    <definedName name="IQ_EST_DPS_GROWTH_2YR_REUT" hidden="1" function="0" vbProcedure="0">"c3883"</definedName>
    <definedName name="IQ_EST_DPS_GROWTH_Q_1YR_REUT" hidden="1" function="0" vbProcedure="0">"c3884"</definedName>
    <definedName name="IQ_EST_DPS_SEQ_GROWTH_Q_REUT" hidden="1" function="0" vbProcedure="0">"c3885"</definedName>
    <definedName name="IQ_EST_DPS_SURPRISE_PERCENT_REUT" hidden="1" function="0" vbProcedure="0">"c3895"</definedName>
    <definedName name="IQ_EST_EBITDA_DIFF_REUT" hidden="1" function="0" vbProcedure="0">"c3888"</definedName>
    <definedName name="IQ_EST_EBITDA_GROWTH_1YR_REUT" hidden="1" function="0" vbProcedure="0">"c3864"</definedName>
    <definedName name="IQ_EST_EBITDA_GROWTH_2YR_REUT" hidden="1" function="0" vbProcedure="0">"c3865"</definedName>
    <definedName name="IQ_EST_EBITDA_GROWTH_Q_1YR_REUT" hidden="1" function="0" vbProcedure="0">"c3866"</definedName>
    <definedName name="IQ_EST_EBITDA_SEQ_GROWTH_Q_REUT" hidden="1" function="0" vbProcedure="0">"c3867"</definedName>
    <definedName name="IQ_EST_EBITDA_SURPRISE_PERCENT_REUT" hidden="1" function="0" vbProcedure="0">"c3889"</definedName>
    <definedName name="IQ_EST_EBIT_DIFF_REUT" hidden="1" function="0" vbProcedure="0">"c5413"</definedName>
    <definedName name="IQ_EST_EBIT_SURPRISE_PERCENT_REUT" hidden="1" function="0" vbProcedure="0">"c5414"</definedName>
    <definedName name="IQ_EST_EPS_DIFF_REUT" hidden="1" function="0" vbProcedure="0">"c5458"</definedName>
    <definedName name="IQ_EST_EPS_GROWTH_1YR" hidden="1" function="0" vbProcedure="0">"c1636"</definedName>
    <definedName name="IQ_EST_EPS_GROWTH_2YR_REUT" hidden="1" function="0" vbProcedure="0">"c3858"</definedName>
    <definedName name="IQ_EST_EPS_GROWTH_5YR" hidden="1" function="0" vbProcedure="0">"c1655"</definedName>
    <definedName name="IQ_EST_EPS_GROWTH_5YR_BOTTOM_UP_REUT" hidden="1" function="0" vbProcedure="0">"c5495"</definedName>
    <definedName name="IQ_EST_EPS_GROWTH_5YR_HIGH" hidden="1" function="0" vbProcedure="0">"c1657"</definedName>
    <definedName name="IQ_EST_EPS_GROWTH_5YR_HIGH_REUT" hidden="1" function="0" vbProcedure="0">"c5322"</definedName>
    <definedName name="IQ_EST_EPS_GROWTH_5YR_LOW" hidden="1" function="0" vbProcedure="0">"c1658"</definedName>
    <definedName name="IQ_EST_EPS_GROWTH_5YR_LOW_REUT" hidden="1" function="0" vbProcedure="0">"c5323"</definedName>
    <definedName name="IQ_EST_EPS_GROWTH_5YR_MEDIAN" hidden="1" function="0" vbProcedure="0">"c1656"</definedName>
    <definedName name="IQ_EST_EPS_GROWTH_5YR_MEDIAN_REUT" hidden="1" function="0" vbProcedure="0">"c5321"</definedName>
    <definedName name="IQ_EST_EPS_GROWTH_5YR_NUM" hidden="1" function="0" vbProcedure="0">"c1659"</definedName>
    <definedName name="IQ_EST_EPS_GROWTH_5YR_NUM_REUT" hidden="1" function="0" vbProcedure="0">"c5324"</definedName>
    <definedName name="IQ_EST_EPS_GROWTH_5YR_STDDEV" hidden="1" function="0" vbProcedure="0">"c1660"</definedName>
    <definedName name="IQ_EST_EPS_GROWTH_5YR_STDDEV_REUT" hidden="1" function="0" vbProcedure="0">"c5325"</definedName>
    <definedName name="IQ_EST_EPS_GROWTH_Q_1YR" hidden="1" function="0" vbProcedure="0">"c1641"</definedName>
    <definedName name="IQ_EST_EPS_SEQ_GROWTH_Q_REUT" hidden="1" function="0" vbProcedure="0">"c3859"</definedName>
    <definedName name="IQ_EST_EPS_SURPRISE_PERCENT_REUT" hidden="1" function="0" vbProcedure="0">"c5459"</definedName>
    <definedName name="IQ_EST_FFO_DIFF_REUT" hidden="1" function="0" vbProcedure="0">"c3890"</definedName>
    <definedName name="IQ_EST_FFO_GROWTH_1YR_REUT" hidden="1" function="0" vbProcedure="0">"c3874"</definedName>
    <definedName name="IQ_EST_FFO_GROWTH_2YR_REUT" hidden="1" function="0" vbProcedure="0">"c3875"</definedName>
    <definedName name="IQ_EST_FFO_GROWTH_Q_1YR_REUT" hidden="1" function="0" vbProcedure="0">"c3876"</definedName>
    <definedName name="IQ_EST_FFO_SEQ_GROWTH_Q_REUT" hidden="1" function="0" vbProcedure="0">"c3877"</definedName>
    <definedName name="IQ_EST_FFO_SHARE_SHARE_DIFF_THOM" hidden="1" function="0" vbProcedure="0">"c5186"</definedName>
    <definedName name="IQ_EST_FFO_SHARE_SHARE_SURPRISE_PERCENT_THOM" hidden="1" function="0" vbProcedure="0">"c5187"</definedName>
    <definedName name="IQ_EST_FFO_SURPRISE_PERCENT_REUT" hidden="1" function="0" vbProcedure="0">"c3891"</definedName>
    <definedName name="IQ_EST_FOOTNOTE_REUT" hidden="1" function="0" vbProcedure="0">"c5478"</definedName>
    <definedName name="IQ_EST_NI_DIFF_REUT" hidden="1" function="0" vbProcedure="0">"c5423"</definedName>
    <definedName name="IQ_EST_NI_GW_DIFF_REUT" hidden="1" function="0" vbProcedure="0">"c5425"</definedName>
    <definedName name="IQ_EST_NI_GW_SURPRISE_PERCENT_REUT" hidden="1" function="0" vbProcedure="0">"c5426"</definedName>
    <definedName name="IQ_EST_NI_REPORT_DIFF_REUT" hidden="1" function="0" vbProcedure="0">"c5427"</definedName>
    <definedName name="IQ_EST_NI_REPORT_SURPRISE_PERCENT_REUT" hidden="1" function="0" vbProcedure="0">"c5428"</definedName>
    <definedName name="IQ_EST_NI_SURPRISE_PERCENT_REUT" hidden="1" function="0" vbProcedure="0">"c5424"</definedName>
    <definedName name="IQ_EST_NUM_BUY_CIQ" hidden="1" function="0" vbProcedure="0">"c3700"</definedName>
    <definedName name="IQ_EST_NUM_BUY_THOM" hidden="1" function="0" vbProcedure="0">"c5165"</definedName>
    <definedName name="IQ_EST_NUM_HIGHEST_REC_REUT" hidden="1" function="0" vbProcedure="0">"c3869"</definedName>
    <definedName name="IQ_EST_NUM_HIGH_REC_REUT" hidden="1" function="0" vbProcedure="0">"c3870"</definedName>
    <definedName name="IQ_EST_NUM_HOLD_CIQ" hidden="1" function="0" vbProcedure="0">"c3702"</definedName>
    <definedName name="IQ_EST_NUM_HOLD_THOM" hidden="1" function="0" vbProcedure="0">"c5167"</definedName>
    <definedName name="IQ_EST_NUM_LOWEST_REC_REUT" hidden="1" function="0" vbProcedure="0">"c3873"</definedName>
    <definedName name="IQ_EST_NUM_LOW_REC_REUT" hidden="1" function="0" vbProcedure="0">"c3872"</definedName>
    <definedName name="IQ_EST_NUM_NEUTRAL_REC_REUT" hidden="1" function="0" vbProcedure="0">"c3871"</definedName>
    <definedName name="IQ_EST_NUM_NO_OPINION_REUT" hidden="1" function="0" vbProcedure="0">"c3868"</definedName>
    <definedName name="IQ_EST_NUM_OUTPERFORM_CIQ" hidden="1" function="0" vbProcedure="0">"c3701"</definedName>
    <definedName name="IQ_EST_NUM_OUTPERFORM_THOM" hidden="1" function="0" vbProcedure="0">"c5166"</definedName>
    <definedName name="IQ_EST_NUM_SELL_CIQ" hidden="1" function="0" vbProcedure="0">"c3704"</definedName>
    <definedName name="IQ_EST_NUM_SELL_THOM" hidden="1" function="0" vbProcedure="0">"c5169"</definedName>
    <definedName name="IQ_EST_NUM_UNDERPERFORM_CIQ" hidden="1" function="0" vbProcedure="0">"c3703"</definedName>
    <definedName name="IQ_EST_NUM_UNDERPERFORM_THOM" hidden="1" function="0" vbProcedure="0">"c5168"</definedName>
    <definedName name="IQ_EST_OPER_INC_DIFF_REUT" hidden="1" function="0" vbProcedure="0">"c5415"</definedName>
    <definedName name="IQ_EST_OPER_INC_SURPRISE_PERCENT_REUT" hidden="1" function="0" vbProcedure="0">"c5416"</definedName>
    <definedName name="IQ_EST_PRE_TAX_DIFF_REUT" hidden="1" function="0" vbProcedure="0">"c5417"</definedName>
    <definedName name="IQ_EST_PRE_TAX_GW_DIFF_REUT" hidden="1" function="0" vbProcedure="0">"c5419"</definedName>
    <definedName name="IQ_EST_PRE_TAX_GW_SURPRISE_PERCENT_REUT" hidden="1" function="0" vbProcedure="0">"c5420"</definedName>
    <definedName name="IQ_EST_PRE_TAX_REPORT_DIFF_REUT" hidden="1" function="0" vbProcedure="0">"c5421"</definedName>
    <definedName name="IQ_EST_PRE_TAX_REPORT_SURPRISE_PERCENT_REUT" hidden="1" function="0" vbProcedure="0">"c5422"</definedName>
    <definedName name="IQ_EST_PRE_TAX_SURPRISE_PERCENT_REUT" hidden="1" function="0" vbProcedure="0">"c5418"</definedName>
    <definedName name="IQ_EST_REV_DIFF_REUT" hidden="1" function="0" vbProcedure="0">"c3886"</definedName>
    <definedName name="IQ_EST_REV_GROWTH_1YR_REUT" hidden="1" function="0" vbProcedure="0">"c3860"</definedName>
    <definedName name="IQ_EST_REV_GROWTH_2YR_REUT" hidden="1" function="0" vbProcedure="0">"c3861"</definedName>
    <definedName name="IQ_EST_REV_GROWTH_Q_1YR_REUT" hidden="1" function="0" vbProcedure="0">"c3862"</definedName>
    <definedName name="IQ_EST_REV_SEQ_GROWTH_Q_REUT" hidden="1" function="0" vbProcedure="0">"c3863"</definedName>
    <definedName name="IQ_EST_REV_SURPRISE_PERCENT_REUT" hidden="1" function="0" vbProcedure="0">"c3887"</definedName>
    <definedName name="IQ_EVAL_DATE" hidden="1" function="0" vbProcedure="0">"c2180"</definedName>
    <definedName name="IQ_EV_OVER_EMPLOYEE" hidden="1" function="0" vbProcedure="0">"c1225"</definedName>
    <definedName name="IQ_EV_OVER_LTM_EBIT" hidden="1" function="0" vbProcedure="0">"c1221"</definedName>
    <definedName name="IQ_EV_OVER_LTM_EBITDA" hidden="1" function="0" vbProcedure="0">"c1223"</definedName>
    <definedName name="IQ_EV_OVER_LTM_REVENUE" hidden="1" function="0" vbProcedure="0">"c1227"</definedName>
    <definedName name="IQ_EXCHANGE" hidden="1" function="0" vbProcedure="0">"c405"</definedName>
    <definedName name="IQ_EXERCISED" hidden="1" function="0" vbProcedure="0">"c406"</definedName>
    <definedName name="IQ_EXERCISE_PRICE" hidden="1" function="0" vbProcedure="0">"c406"</definedName>
    <definedName name="IQ_EXPENSE_CODE_" hidden="1" function="0" vbProcedure="0">"019800700"</definedName>
    <definedName name="IQ_EXPLORE_DRILL" hidden="1" function="0" vbProcedure="0">"c409"</definedName>
    <definedName name="IQ_EXPORTS_APR_FC_UNUSED_UNUSED_UNUSED" hidden="1" function="0" vbProcedure="0">"c8401"</definedName>
    <definedName name="IQ_EXPORTS_APR_UNUSED_UNUSED_UNUSED" hidden="1" function="0" vbProcedure="0">"c7521"</definedName>
    <definedName name="IQ_EXPORTS_FC_UNUSED_UNUSED_UNUSED" hidden="1" function="0" vbProcedure="0">"c7741"</definedName>
    <definedName name="IQ_EXPORTS_GOODS_REAL_SAAR_APR_FC_UNUSED_UNUSED_UNUSED" hidden="1" function="0" vbProcedure="0">"c8512"</definedName>
    <definedName name="IQ_EXPORTS_GOODS_REAL_SAAR_APR_UNUSED_UNUSED_UNUSED" hidden="1" function="0" vbProcedure="0">"c7632"</definedName>
    <definedName name="IQ_EXPORTS_GOODS_REAL_SAAR_FC_UNUSED_UNUSED_UNUSED" hidden="1" function="0" vbProcedure="0">"c7852"</definedName>
    <definedName name="IQ_EXPORTS_GOODS_REAL_SAAR_POP_FC_UNUSED_UNUSED_UNUSED" hidden="1" function="0" vbProcedure="0">"c8072"</definedName>
    <definedName name="IQ_EXPORTS_GOODS_REAL_SAAR_POP_UNUSED_UNUSED_UNUSED" hidden="1" function="0" vbProcedure="0">"c7192"</definedName>
    <definedName name="IQ_EXPORTS_GOODS_REAL_SAAR_UNUSED_UNUSED_UNUSED" hidden="1" function="0" vbProcedure="0">"c6972"</definedName>
    <definedName name="IQ_EXPORTS_GOODS_REAL_SAAR_YOY_FC_UNUSED_UNUSED_UNUSED" hidden="1" function="0" vbProcedure="0">"c8292"</definedName>
    <definedName name="IQ_EXPORTS_GOODS_REAL_SAAR_YOY_UNUSED_UNUSED_UNUSED" hidden="1" function="0" vbProcedure="0">"c7412"</definedName>
    <definedName name="IQ_EXPORTS_POP_FC_UNUSED_UNUSED_UNUSED" hidden="1" function="0" vbProcedure="0">"c7961"</definedName>
    <definedName name="IQ_EXPORTS_POP_UNUSED_UNUSED_UNUSED" hidden="1" function="0" vbProcedure="0">"c7081"</definedName>
    <definedName name="IQ_EXPORTS_SERVICES_REAL_SAAR_APR_FC_UNUSED_UNUSED_UNUSED" hidden="1" function="0" vbProcedure="0">"c8516"</definedName>
    <definedName name="IQ_EXPORTS_SERVICES_REAL_SAAR_APR_UNUSED_UNUSED_UNUSED" hidden="1" function="0" vbProcedure="0">"c7636"</definedName>
    <definedName name="IQ_EXPORTS_SERVICES_REAL_SAAR_FC_UNUSED_UNUSED_UNUSED" hidden="1" function="0" vbProcedure="0">"c7856"</definedName>
    <definedName name="IQ_EXPORTS_SERVICES_REAL_SAAR_POP_FC_UNUSED_UNUSED_UNUSED" hidden="1" function="0" vbProcedure="0">"c8076"</definedName>
    <definedName name="IQ_EXPORTS_SERVICES_REAL_SAAR_POP_UNUSED_UNUSED_UNUSED" hidden="1" function="0" vbProcedure="0">"c7196"</definedName>
    <definedName name="IQ_EXPORTS_SERVICES_REAL_SAAR_UNUSED_UNUSED_UNUSED" hidden="1" function="0" vbProcedure="0">"c6976"</definedName>
    <definedName name="IQ_EXPORTS_SERVICES_REAL_SAAR_YOY_FC_UNUSED_UNUSED_UNUSED" hidden="1" function="0" vbProcedure="0">"c8296"</definedName>
    <definedName name="IQ_EXPORTS_SERVICES_REAL_SAAR_YOY_UNUSED_UNUSED_UNUSED" hidden="1" function="0" vbProcedure="0">"c7416"</definedName>
    <definedName name="IQ_EXPORTS_UNUSED_UNUSED_UNUSED" hidden="1" function="0" vbProcedure="0">"c6861"</definedName>
    <definedName name="IQ_EXPORTS_YOY_FC_UNUSED_UNUSED_UNUSED" hidden="1" function="0" vbProcedure="0">"c8181"</definedName>
    <definedName name="IQ_EXPORTS_YOY_UNUSED_UNUSED_UNUSED" hidden="1" function="0" vbProcedure="0">"c7301"</definedName>
    <definedName name="IQ_EXP_RETURN_PENSION_DOMESTIC" hidden="1" function="0" vbProcedure="0">"c407"</definedName>
    <definedName name="IQ_EXP_RETURN_PENSION_FOREIGN" hidden="1" function="0" vbProcedure="0">"c408"</definedName>
    <definedName name="IQ_EXTRAORDINARY_GAINS_FDIC" hidden="1" function="0" vbProcedure="0">"c6586"</definedName>
    <definedName name="IQ_EXTRA_ACC_ITEMS" hidden="1" function="0" vbProcedure="0">"c410"</definedName>
    <definedName name="IQ_EXTRA_ACC_ITEMS_BNK" hidden="1" function="0" vbProcedure="0">"c411"</definedName>
    <definedName name="IQ_EXTRA_ACC_ITEMS_BR" hidden="1" function="0" vbProcedure="0">"c412"</definedName>
    <definedName name="IQ_EXTRA_ACC_ITEMS_FIN" hidden="1" function="0" vbProcedure="0">"c413"</definedName>
    <definedName name="IQ_EXTRA_ACC_ITEMS_INS" hidden="1" function="0" vbProcedure="0">"c414"</definedName>
    <definedName name="IQ_EXTRA_ACC_ITEMS_REIT" hidden="1" function="0" vbProcedure="0">"c415"</definedName>
    <definedName name="IQ_EXTRA_ACC_ITEMS_UTI" hidden="1" function="0" vbProcedure="0">"c416"</definedName>
    <definedName name="IQ_EXTRA_ITEMS" hidden="1" function="0" vbProcedure="0">"c413"</definedName>
    <definedName name="IQ_FAIR_VALUE_FDIC" hidden="1" function="0" vbProcedure="0">"c6427"</definedName>
    <definedName name="IQ_FARMLAND_LOANS_FDIC" hidden="1" function="0" vbProcedure="0">"c6314"</definedName>
    <definedName name="IQ_FARM_LOANS_NET_FDIC" hidden="1" function="0" vbProcedure="0">"c6316"</definedName>
    <definedName name="IQ_FARM_LOANS_TOTAL_LOANS_FOREIGN_FDIC" hidden="1" function="0" vbProcedure="0">"c6450"</definedName>
    <definedName name="IQ_FDIC" hidden="1" function="0" vbProcedure="0">"c417"</definedName>
    <definedName name="IQ_FED_FUNDS_PURCHASED_FDIC" hidden="1" function="0" vbProcedure="0">"c6343"</definedName>
    <definedName name="IQ_FED_FUNDS_SOLD_FDIC" hidden="1" function="0" vbProcedure="0">"c6307"</definedName>
    <definedName name="IQ_FFO" hidden="1" function="0" vbProcedure="0">"c1574"</definedName>
    <definedName name="IQ_FFO_EST_REUT" hidden="1" function="0" vbProcedure="0">"c3837"</definedName>
    <definedName name="IQ_FFO_HIGH_EST_REUT" hidden="1" function="0" vbProcedure="0">"c3839"</definedName>
    <definedName name="IQ_FFO_LOW_EST_REUT" hidden="1" function="0" vbProcedure="0">"c3840"</definedName>
    <definedName name="IQ_FFO_MEDIAN_EST_REUT" hidden="1" function="0" vbProcedure="0">"c3838"</definedName>
    <definedName name="IQ_FFO_NUM_EST_REUT" hidden="1" function="0" vbProcedure="0">"c3841"</definedName>
    <definedName name="IQ_FFO_SHARE_SHARE_EST_DET_EST_CURRENCY_THOM" hidden="1" function="0" vbProcedure="0">"c12487"</definedName>
    <definedName name="IQ_FFO_SHARE_SHARE_EST_DET_EST_DATE_THOM" hidden="1" function="0" vbProcedure="0">"c12238"</definedName>
    <definedName name="IQ_FFO_SHARE_SHARE_EST_DET_EST_INCL_THOM" hidden="1" function="0" vbProcedure="0">"c12370"</definedName>
    <definedName name="IQ_FFO_SHARE_SHARE_EST_DET_EST_ORIGIN" hidden="1" function="0" vbProcedure="0">"c12722"</definedName>
    <definedName name="IQ_FFO_SHARE_SHARE_EST_DET_EST_ORIGIN_THOM" hidden="1" function="0" vbProcedure="0">"c12608"</definedName>
    <definedName name="IQ_FFO_SHARE_SHARE_EST_DET_EST_THOM" hidden="1" function="0" vbProcedure="0">"c12088"</definedName>
    <definedName name="IQ_FFO_SHARE_SHARE_EST_THOM" hidden="1" function="0" vbProcedure="0">"c3999"</definedName>
    <definedName name="IQ_FFO_SHARE_SHARE_HIGH_EST_THOM" hidden="1" function="0" vbProcedure="0">"c4001"</definedName>
    <definedName name="IQ_FFO_SHARE_SHARE_LOW_EST_THOM" hidden="1" function="0" vbProcedure="0">"c4002"</definedName>
    <definedName name="IQ_FFO_SHARE_SHARE_MEDIAN_EST_THOM" hidden="1" function="0" vbProcedure="0">"c4000"</definedName>
    <definedName name="IQ_FFO_SHARE_SHARE_NUM_EST_THOM" hidden="1" function="0" vbProcedure="0">"c4003"</definedName>
    <definedName name="IQ_FFO_SHARE_SHARE_STDDEV_EST_THOM" hidden="1" function="0" vbProcedure="0">"c4004"</definedName>
    <definedName name="IQ_FFO_STDDEV_EST_REUT" hidden="1" function="0" vbProcedure="0">"c3842"</definedName>
    <definedName name="IQ_FH" hidden="0" function="0" vbProcedure="0">100000</definedName>
    <definedName name="IQ_FHLB_ADVANCES_FDIC" hidden="1" function="0" vbProcedure="0">"c6366"</definedName>
    <definedName name="IQ_FHLB_DEBT" hidden="1" function="0" vbProcedure="0">"c423"</definedName>
    <definedName name="IQ_FHLB_DUE_CY" hidden="1" function="0" vbProcedure="0">"c2080"</definedName>
    <definedName name="IQ_FHLB_DUE_CY1" hidden="1" function="0" vbProcedure="0">"c2081"</definedName>
    <definedName name="IQ_FHLB_DUE_CY2" hidden="1" function="0" vbProcedure="0">"c2082"</definedName>
    <definedName name="IQ_FHLB_DUE_CY3" hidden="1" function="0" vbProcedure="0">"c2083"</definedName>
    <definedName name="IQ_FHLB_DUE_CY4" hidden="1" function="0" vbProcedure="0">"c2084"</definedName>
    <definedName name="IQ_FHLB_DUE_NEXT_FIVE" hidden="1" function="0" vbProcedure="0">"c2085"</definedName>
    <definedName name="IQ_FIDUCIARY_ACTIVITIES_FDIC" hidden="1" function="0" vbProcedure="0">"c6571"</definedName>
    <definedName name="IQ_FIFETEEN_YEAR_FIXED_AND_FLOATING_RATE_FDIC" hidden="1" function="0" vbProcedure="0">"c6423"</definedName>
    <definedName name="IQ_FIFETEEN_YEAR_MORTGAGE_PASS_THROUGHS_FDIC" hidden="1" function="0" vbProcedure="0">"c6415"</definedName>
    <definedName name="IQ_FILINGDATE_BS" hidden="1" function="0" vbProcedure="0">"c424"</definedName>
    <definedName name="IQ_FILINGDATE_CF" hidden="1" function="0" vbProcedure="0">"c425"</definedName>
    <definedName name="IQ_FILINGDATE_IS" hidden="1" function="0" vbProcedure="0">"c426"</definedName>
    <definedName name="IQ_FILING_CURRENCY" hidden="1" function="0" vbProcedure="0">"c2129"</definedName>
    <definedName name="IQ_FINANCING_CASH" hidden="1" function="0" vbProcedure="0">"c893"</definedName>
    <definedName name="IQ_FINANCING_CASH_SUPPL" hidden="1" function="0" vbProcedure="0">"c899"</definedName>
    <definedName name="IQ_FINISHED_INV" hidden="1" function="0" vbProcedure="0">"c438"</definedName>
    <definedName name="IQ_FIN_DIV_ASSETS_CURRENT" hidden="1" function="0" vbProcedure="0">"c427"</definedName>
    <definedName name="IQ_FIN_DIV_ASSETS_LT" hidden="1" function="0" vbProcedure="0">"c428"</definedName>
    <definedName name="IQ_FIN_DIV_DEBT_CURRENT" hidden="1" function="0" vbProcedure="0">"c429"</definedName>
    <definedName name="IQ_FIN_DIV_DEBT_LT" hidden="1" function="0" vbProcedure="0">"c430"</definedName>
    <definedName name="IQ_FIN_DIV_EXP" hidden="1" function="0" vbProcedure="0">"c431"</definedName>
    <definedName name="IQ_FIN_DIV_INT_EXP" hidden="1" function="0" vbProcedure="0">"c432"</definedName>
    <definedName name="IQ_FIN_DIV_LIAB_CURRENT" hidden="1" function="0" vbProcedure="0">"c433"</definedName>
    <definedName name="IQ_FIN_DIV_LIAB_LT" hidden="1" function="0" vbProcedure="0">"c434"</definedName>
    <definedName name="IQ_FIN_DIV_LOANS_CURRENT" hidden="1" function="0" vbProcedure="0">"c435"</definedName>
    <definedName name="IQ_FIN_DIV_LOANS_LT" hidden="1" function="0" vbProcedure="0">"c436"</definedName>
    <definedName name="IQ_FIN_DIV_REV" hidden="1" function="0" vbProcedure="0">"c437"</definedName>
    <definedName name="IQ_FIRST_INT_DATE" hidden="1" function="0" vbProcedure="0">"c2186"</definedName>
    <definedName name="IQ_FIRST_YEAR_LIFE" hidden="1" function="0" vbProcedure="0">"c439"</definedName>
    <definedName name="IQ_FISCAL_Q" hidden="1" function="0" vbProcedure="0">"c440"</definedName>
    <definedName name="IQ_FISCAL_Y" hidden="1" function="0" vbProcedure="0">"c441"</definedName>
    <definedName name="IQ_FIVEPERCENT_PERCENT" hidden="1" function="0" vbProcedure="0">"c443"</definedName>
    <definedName name="IQ_FIVEPERCENT_SHARES" hidden="1" function="0" vbProcedure="0">"c444"</definedName>
    <definedName name="IQ_FIVE_PERCENT_OWNER" hidden="1" function="0" vbProcedure="0">"c442"</definedName>
    <definedName name="IQ_FIVE_YEAR_FIXED_AND_FLOATING_RATE_FDIC" hidden="1" function="0" vbProcedure="0">"c6422"</definedName>
    <definedName name="IQ_FIVE_YEAR_MORTGAGE_PASS_THROUGHS_FDIC" hidden="1" function="0" vbProcedure="0">"c6414"</definedName>
    <definedName name="IQ_FIXED_ASSET_TURNS" hidden="1" function="0" vbProcedure="0">"c445"</definedName>
    <definedName name="IQ_FIXED_INVEST_APR_FC_UNUSED_UNUSED_UNUSED" hidden="1" function="0" vbProcedure="0">"c8410"</definedName>
    <definedName name="IQ_FIXED_INVEST_APR_UNUSED_UNUSED_UNUSED" hidden="1" function="0" vbProcedure="0">"c7530"</definedName>
    <definedName name="IQ_FIXED_INVEST_FC_UNUSED_UNUSED_UNUSED" hidden="1" function="0" vbProcedure="0">"c7750"</definedName>
    <definedName name="IQ_FIXED_INVEST_POP_FC_UNUSED_UNUSED_UNUSED" hidden="1" function="0" vbProcedure="0">"c7970"</definedName>
    <definedName name="IQ_FIXED_INVEST_POP_UNUSED_UNUSED_UNUSED" hidden="1" function="0" vbProcedure="0">"c7090"</definedName>
    <definedName name="IQ_FIXED_INVEST_REAL_APR_FC_UNUSED_UNUSED_UNUSED" hidden="1" function="0" vbProcedure="0">"c8518"</definedName>
    <definedName name="IQ_FIXED_INVEST_REAL_APR_UNUSED_UNUSED_UNUSED" hidden="1" function="0" vbProcedure="0">"c7638"</definedName>
    <definedName name="IQ_FIXED_INVEST_REAL_FC_UNUSED_UNUSED_UNUSED" hidden="1" function="0" vbProcedure="0">"c7858"</definedName>
    <definedName name="IQ_FIXED_INVEST_REAL_POP_FC_UNUSED_UNUSED_UNUSED" hidden="1" function="0" vbProcedure="0">"c8078"</definedName>
    <definedName name="IQ_FIXED_INVEST_REAL_POP_UNUSED_UNUSED_UNUSED" hidden="1" function="0" vbProcedure="0">"c7198"</definedName>
    <definedName name="IQ_FIXED_INVEST_REAL_UNUSED_UNUSED_UNUSED" hidden="1" function="0" vbProcedure="0">"c6978"</definedName>
    <definedName name="IQ_FIXED_INVEST_REAL_YOY_FC_UNUSED_UNUSED_UNUSED" hidden="1" function="0" vbProcedure="0">"c8298"</definedName>
    <definedName name="IQ_FIXED_INVEST_REAL_YOY_UNUSED_UNUSED_UNUSED" hidden="1" function="0" vbProcedure="0">"c7418"</definedName>
    <definedName name="IQ_FIXED_INVEST_UNUSED_UNUSED_UNUSED" hidden="1" function="0" vbProcedure="0">"c6870"</definedName>
    <definedName name="IQ_FIXED_INVEST_YOY_FC_UNUSED_UNUSED_UNUSED" hidden="1" function="0" vbProcedure="0">"c8190"</definedName>
    <definedName name="IQ_FIXED_INVEST_YOY_UNUSED_UNUSED_UNUSED" hidden="1" function="0" vbProcedure="0">"c7310"</definedName>
    <definedName name="IQ_FLOAT_PERCENT" hidden="1" function="0" vbProcedure="0">"c1575"</definedName>
    <definedName name="IQ_FNMA_FHLMC_FDIC" hidden="1" function="0" vbProcedure="0">"c6397"</definedName>
    <definedName name="IQ_FNMA_FHLMC_GNMA_FDIC" hidden="1" function="0" vbProcedure="0">"c6399"</definedName>
    <definedName name="IQ_FORECLOSED_PROPERTIES_FDIC" hidden="1" function="0" vbProcedure="0">"c6459"</definedName>
    <definedName name="IQ_FOREIGN_BANKS_DEPOSITS_FOREIGN_FDIC" hidden="1" function="0" vbProcedure="0">"c6481"</definedName>
    <definedName name="IQ_FOREIGN_BANKS_LOAN_CHARG_OFFS_FDIC" hidden="1" function="0" vbProcedure="0">"c6645"</definedName>
    <definedName name="IQ_FOREIGN_BANKS_NET_CHARGE_OFFS_FDIC" hidden="1" function="0" vbProcedure="0">"c6647"</definedName>
    <definedName name="IQ_FOREIGN_BANKS_NONTRANSACTION_ACCOUNTS_FDIC" hidden="1" function="0" vbProcedure="0">"c6550"</definedName>
    <definedName name="IQ_FOREIGN_BANKS_RECOVERIES_FDIC" hidden="1" function="0" vbProcedure="0">"c6646"</definedName>
    <definedName name="IQ_FOREIGN_BANKS_TRANSACTION_ACCOUNTS_FDIC" hidden="1" function="0" vbProcedure="0">"c6542"</definedName>
    <definedName name="IQ_FOREIGN_BANK_LOANS_FDIC" hidden="1" function="0" vbProcedure="0">"c6437"</definedName>
    <definedName name="IQ_FOREIGN_BRANCHES_US_BANKS_FDIC" hidden="1" function="0" vbProcedure="0">"c6392"</definedName>
    <definedName name="IQ_FOREIGN_BRANCHES_US_BANKS_LOANS_FDIC" hidden="1" function="0" vbProcedure="0">"c6438"</definedName>
    <definedName name="IQ_FOREIGN_COUNTRIES_BANKS_TOTAL_LOANS_FOREIGN_FDIC" hidden="1" function="0" vbProcedure="0">"c6445"</definedName>
    <definedName name="IQ_FOREIGN_DEBT_SECURITIES_FDIC" hidden="1" function="0" vbProcedure="0">"c6303"</definedName>
    <definedName name="IQ_FOREIGN_DEPOSITS_NONTRANSACTION_ACCOUNTS_FDIC" hidden="1" function="0" vbProcedure="0">"c6549"</definedName>
    <definedName name="IQ_FOREIGN_DEPOSITS_TRANSACTION_ACCOUNTS_FDIC" hidden="1" function="0" vbProcedure="0">"c6541"</definedName>
    <definedName name="IQ_FOREIGN_DEP_IB" hidden="1" function="0" vbProcedure="0">"c446"</definedName>
    <definedName name="IQ_FOREIGN_DEP_NON_IB" hidden="1" function="0" vbProcedure="0">"c447"</definedName>
    <definedName name="IQ_FOREIGN_EXCHANGE" hidden="1" function="0" vbProcedure="0">"c451"</definedName>
    <definedName name="IQ_FOREIGN_EXCHANGE_EXPOSURES_FDIC" hidden="1" function="0" vbProcedure="0">"c6663"</definedName>
    <definedName name="IQ_FOREIGN_GOVERNMENTS_CHARGE_OFFS_FDIC" hidden="1" function="0" vbProcedure="0">"c6600"</definedName>
    <definedName name="IQ_FOREIGN_GOVERNMENTS_DEPOSITS_FOREIGN_FDIC" hidden="1" function="0" vbProcedure="0">"c6482"</definedName>
    <definedName name="IQ_FOREIGN_GOVERNMENTS_NET_CHARGE_OFFS_FDIC" hidden="1" function="0" vbProcedure="0">"c6638"</definedName>
    <definedName name="IQ_FOREIGN_GOVERNMENTS_NONTRANSACTION_ACCOUNTS_FDIC" hidden="1" function="0" vbProcedure="0">"c6551"</definedName>
    <definedName name="IQ_FOREIGN_GOVERNMENTS_RECOVERIES_FDIC" hidden="1" function="0" vbProcedure="0">"c6619"</definedName>
    <definedName name="IQ_FOREIGN_GOVERNMENTS_TOTAL_DEPOSITS_FDIC" hidden="1" function="0" vbProcedure="0">"c6476"</definedName>
    <definedName name="IQ_FOREIGN_GOVERNMENTS_TRANSACTION_ACCOUNTS_FDIC" hidden="1" function="0" vbProcedure="0">"c6543"</definedName>
    <definedName name="IQ_FOREIGN_GOVERNMENT_LOANS_FDIC" hidden="1" function="0" vbProcedure="0">"c6430"</definedName>
    <definedName name="IQ_FOREIGN_LOANS" hidden="1" function="0" vbProcedure="0">"c448"</definedName>
    <definedName name="IQ_FQ" hidden="0" function="0" vbProcedure="0">500</definedName>
    <definedName name="IQ_FUEL" hidden="1" function="0" vbProcedure="0">"c449"</definedName>
    <definedName name="IQ_FULLY_INSURED_DEPOSITS_FDIC" hidden="1" function="0" vbProcedure="0">"c6487"</definedName>
    <definedName name="IQ_FULL_TIME" hidden="1" function="0" vbProcedure="0">"c450"</definedName>
    <definedName name="IQ_FUTURES_FORWARD_CONTRACTS_NOTIONAL_AMOUNT_FDIC" hidden="1" function="0" vbProcedure="0">"c6518"</definedName>
    <definedName name="IQ_FUTURES_FORWARD_CONTRACTS_RATE_RISK_FDIC" hidden="1" function="0" vbProcedure="0">"c6508"</definedName>
    <definedName name="IQ_FWD_CY" hidden="1" function="0" vbProcedure="0">10001</definedName>
    <definedName name="IQ_FWD_CY1" hidden="1" function="0" vbProcedure="0">10002</definedName>
    <definedName name="IQ_FWD_CY2" hidden="1" function="0" vbProcedure="0">10003</definedName>
    <definedName name="IQ_FWD_FY" hidden="1" function="0" vbProcedure="0">1001</definedName>
    <definedName name="IQ_FWD_FY1" hidden="1" function="0" vbProcedure="0">1002</definedName>
    <definedName name="IQ_FWD_FY2" hidden="1" function="0" vbProcedure="0">1003</definedName>
    <definedName name="IQ_FWD_Q" hidden="1" function="0" vbProcedure="0">501</definedName>
    <definedName name="IQ_FWD_Q1" hidden="1" function="0" vbProcedure="0">502</definedName>
    <definedName name="IQ_FWD_Q2" hidden="1" function="0" vbProcedure="0">503</definedName>
    <definedName name="IQ_FX" hidden="1" function="0" vbProcedure="0">"c451"</definedName>
    <definedName name="IQ_FX_CONTRACTS_FDIC" hidden="1" function="0" vbProcedure="0">"c6517"</definedName>
    <definedName name="IQ_FX_CONTRACTS_SPOT_FDIC" hidden="1" function="0" vbProcedure="0">"c6356"</definedName>
    <definedName name="IQ_FY" hidden="0" function="0" vbProcedure="0">1000</definedName>
    <definedName name="IQ_GAINS_SALE_ASSETS_FDIC" hidden="1" function="0" vbProcedure="0">"c6675"</definedName>
    <definedName name="IQ_GAIN_ASSETS" hidden="1" function="0" vbProcedure="0">"c452"</definedName>
    <definedName name="IQ_GAIN_ASSETS_BNK" hidden="1" function="0" vbProcedure="0">"c453"</definedName>
    <definedName name="IQ_GAIN_ASSETS_BR" hidden="1" function="0" vbProcedure="0">"c454"</definedName>
    <definedName name="IQ_GAIN_ASSETS_CF" hidden="1" function="0" vbProcedure="0">"c455"</definedName>
    <definedName name="IQ_GAIN_ASSETS_CF_BNK" hidden="1" function="0" vbProcedure="0">"c456"</definedName>
    <definedName name="IQ_GAIN_ASSETS_CF_BR" hidden="1" function="0" vbProcedure="0">"c457"</definedName>
    <definedName name="IQ_GAIN_ASSETS_CF_FIN" hidden="1" function="0" vbProcedure="0">"c458"</definedName>
    <definedName name="IQ_GAIN_ASSETS_CF_INS" hidden="1" function="0" vbProcedure="0">"c459"</definedName>
    <definedName name="IQ_GAIN_ASSETS_CF_REIT" hidden="1" function="0" vbProcedure="0">"c460"</definedName>
    <definedName name="IQ_GAIN_ASSETS_CF_UTI" hidden="1" function="0" vbProcedure="0">"c461"</definedName>
    <definedName name="IQ_GAIN_ASSETS_FIN" hidden="1" function="0" vbProcedure="0">"c462"</definedName>
    <definedName name="IQ_GAIN_ASSETS_INS" hidden="1" function="0" vbProcedure="0">"c463"</definedName>
    <definedName name="IQ_GAIN_ASSETS_REIT" hidden="1" function="0" vbProcedure="0">"c471"</definedName>
    <definedName name="IQ_GAIN_ASSETS_REV" hidden="1" function="0" vbProcedure="0">"c472"</definedName>
    <definedName name="IQ_GAIN_ASSETS_REV_BNK" hidden="1" function="0" vbProcedure="0">"c473"</definedName>
    <definedName name="IQ_GAIN_ASSETS_REV_BR" hidden="1" function="0" vbProcedure="0">"c474"</definedName>
    <definedName name="IQ_GAIN_ASSETS_REV_FIN" hidden="1" function="0" vbProcedure="0">"c475"</definedName>
    <definedName name="IQ_GAIN_ASSETS_REV_INS" hidden="1" function="0" vbProcedure="0">"c476"</definedName>
    <definedName name="IQ_GAIN_ASSETS_REV_REIT" hidden="1" function="0" vbProcedure="0">"c477"</definedName>
    <definedName name="IQ_GAIN_ASSETS_REV_UTI" hidden="1" function="0" vbProcedure="0">"c478"</definedName>
    <definedName name="IQ_GAIN_ASSETS_UTI" hidden="1" function="0" vbProcedure="0">"c479"</definedName>
    <definedName name="IQ_GAIN_INVEST" hidden="1" function="0" vbProcedure="0">"c1463"</definedName>
    <definedName name="IQ_GAIN_INVEST_BNK" hidden="1" function="0" vbProcedure="0">"c1582"</definedName>
    <definedName name="IQ_GAIN_INVEST_BR" hidden="1" function="0" vbProcedure="0">"c1464"</definedName>
    <definedName name="IQ_GAIN_INVEST_CF" hidden="1" function="0" vbProcedure="0">"c480"</definedName>
    <definedName name="IQ_GAIN_INVEST_CF_BNK" hidden="1" function="0" vbProcedure="0">"c481"</definedName>
    <definedName name="IQ_GAIN_INVEST_CF_BR" hidden="1" function="0" vbProcedure="0">"c482"</definedName>
    <definedName name="IQ_GAIN_INVEST_CF_FIN" hidden="1" function="0" vbProcedure="0">"c483"</definedName>
    <definedName name="IQ_GAIN_INVEST_CF_INS" hidden="1" function="0" vbProcedure="0">"c484"</definedName>
    <definedName name="IQ_GAIN_INVEST_CF_REIT" hidden="1" function="0" vbProcedure="0">"c485"</definedName>
    <definedName name="IQ_GAIN_INVEST_CF_UTI" hidden="1" function="0" vbProcedure="0">"c486"</definedName>
    <definedName name="IQ_GAIN_INVEST_FIN" hidden="1" function="0" vbProcedure="0">"c1465"</definedName>
    <definedName name="IQ_GAIN_INVEST_INS" hidden="1" function="0" vbProcedure="0">"c1466"</definedName>
    <definedName name="IQ_GAIN_INVEST_REIT" hidden="1" function="0" vbProcedure="0">"c1467"</definedName>
    <definedName name="IQ_GAIN_INVEST_REV" hidden="1" function="0" vbProcedure="0">"c494"</definedName>
    <definedName name="IQ_GAIN_INVEST_REV_BNK" hidden="1" function="0" vbProcedure="0">"c495"</definedName>
    <definedName name="IQ_GAIN_INVEST_REV_BR" hidden="1" function="0" vbProcedure="0">"c496"</definedName>
    <definedName name="IQ_GAIN_INVEST_REV_FIN" hidden="1" function="0" vbProcedure="0">"c497"</definedName>
    <definedName name="IQ_GAIN_INVEST_REV_INS" hidden="1" function="0" vbProcedure="0">"c498"</definedName>
    <definedName name="IQ_GAIN_INVEST_REV_REIT" hidden="1" function="0" vbProcedure="0">"c499"</definedName>
    <definedName name="IQ_GAIN_INVEST_REV_UTI" hidden="1" function="0" vbProcedure="0">"c500"</definedName>
    <definedName name="IQ_GAIN_INVEST_UTI" hidden="1" function="0" vbProcedure="0">"c1468"</definedName>
    <definedName name="IQ_GAIN_LOANS_REC" hidden="1" function="0" vbProcedure="0">"c501"</definedName>
    <definedName name="IQ_GAIN_LOANS_RECEIV" hidden="1" function="0" vbProcedure="0">"c502"</definedName>
    <definedName name="IQ_GAIN_LOANS_RECEIV_REV_FIN" hidden="1" function="0" vbProcedure="0">"c503"</definedName>
    <definedName name="IQ_GAIN_LOANS_REV" hidden="1" function="0" vbProcedure="0">"c504"</definedName>
    <definedName name="IQ_GAIN_SALE_ASSETS" hidden="1" function="0" vbProcedure="0">"c452"</definedName>
    <definedName name="IQ_GAIN_SALE_LOANS_FDIC" hidden="1" function="0" vbProcedure="0">"c6673"</definedName>
    <definedName name="IQ_GAIN_SALE_RE_FDIC" hidden="1" function="0" vbProcedure="0">"c6674"</definedName>
    <definedName name="IQ_GA_EXP" hidden="1" function="0" vbProcedure="0">"c2241"</definedName>
    <definedName name="IQ_GNMA_FDIC" hidden="1" function="0" vbProcedure="0">"c6398"</definedName>
    <definedName name="IQ_GOODWILL_FDIC" hidden="1" function="0" vbProcedure="0">"c6334"</definedName>
    <definedName name="IQ_GOODWILL_IMPAIRMENT_FDIC" hidden="1" function="0" vbProcedure="0">"c6678"</definedName>
    <definedName name="IQ_GOODWILL_INTAN_FDIC" hidden="1" function="0" vbProcedure="0">"c6333"</definedName>
    <definedName name="IQ_GOODWILL_NET" hidden="1" function="0" vbProcedure="0">"c530"</definedName>
    <definedName name="IQ_GP" hidden="1" function="0" vbProcedure="0">"c511"</definedName>
    <definedName name="IQ_GPPE" hidden="1" function="0" vbProcedure="0">"c518"</definedName>
    <definedName name="IQ_GP_10YR_ANN_GROWTH" hidden="1" function="0" vbProcedure="0">"c512"</definedName>
    <definedName name="IQ_GP_1YR_ANN_GROWTH" hidden="1" function="0" vbProcedure="0">"c513"</definedName>
    <definedName name="IQ_GP_2YR_ANN_GROWTH" hidden="1" function="0" vbProcedure="0">"c514"</definedName>
    <definedName name="IQ_GP_3YR_ANN_GROWTH" hidden="1" function="0" vbProcedure="0">"c515"</definedName>
    <definedName name="IQ_GP_5YR_ANN_GROWTH" hidden="1" function="0" vbProcedure="0">"c516"</definedName>
    <definedName name="IQ_GP_7YR_ANN_GROWTH" hidden="1" function="0" vbProcedure="0">"c517"</definedName>
    <definedName name="IQ_GROSS_DIVID" hidden="1" function="0" vbProcedure="0">"c192"</definedName>
    <definedName name="IQ_GROSS_LOANS" hidden="1" function="0" vbProcedure="0">"c521"</definedName>
    <definedName name="IQ_GROSS_LOANS_10YR_ANN_GROWTH" hidden="1" function="0" vbProcedure="0">"c522"</definedName>
    <definedName name="IQ_GROSS_LOANS_1YR_ANN_GROWTH" hidden="1" function="0" vbProcedure="0">"c523"</definedName>
    <definedName name="IQ_GROSS_LOANS_2YR_ANN_GROWTH" hidden="1" function="0" vbProcedure="0">"c524"</definedName>
    <definedName name="IQ_GROSS_LOANS_3YR_ANN_GROWTH" hidden="1" function="0" vbProcedure="0">"c525"</definedName>
    <definedName name="IQ_GROSS_LOANS_5YR_ANN_GROWTH" hidden="1" function="0" vbProcedure="0">"c526"</definedName>
    <definedName name="IQ_GROSS_LOANS_7YR_ANN_GROWTH" hidden="1" function="0" vbProcedure="0">"c527"</definedName>
    <definedName name="IQ_GROSS_LOANS_TOTAL_DEPOSITS" hidden="1" function="0" vbProcedure="0">"c528"</definedName>
    <definedName name="IQ_GROSS_MARGIN" hidden="1" function="0" vbProcedure="0">"c529"</definedName>
    <definedName name="IQ_GROSS_PROFIT" hidden="1" function="0" vbProcedure="0">"c511"</definedName>
    <definedName name="IQ_GROSS_SPRD" hidden="1" function="0" vbProcedure="0">"c2155"</definedName>
    <definedName name="IQ_GW" hidden="1" function="0" vbProcedure="0">"c530"</definedName>
    <definedName name="IQ_GW_AMORT_BR" hidden="1" function="0" vbProcedure="0">"c532"</definedName>
    <definedName name="IQ_GW_AMORT_FIN" hidden="1" function="0" vbProcedure="0">"c540"</definedName>
    <definedName name="IQ_GW_AMORT_INS" hidden="1" function="0" vbProcedure="0">"c541"</definedName>
    <definedName name="IQ_GW_AMORT_REIT" hidden="1" function="0" vbProcedure="0">"c542"</definedName>
    <definedName name="IQ_GW_AMORT_UTI" hidden="1" function="0" vbProcedure="0">"c543"</definedName>
    <definedName name="IQ_GW_INTAN_AMORT" hidden="1" function="0" vbProcedure="0">"c1469"</definedName>
    <definedName name="IQ_GW_INTAN_AMORT_BNK" hidden="1" function="0" vbProcedure="0">"c544"</definedName>
    <definedName name="IQ_GW_INTAN_AMORT_BR" hidden="1" function="0" vbProcedure="0">"c1470"</definedName>
    <definedName name="IQ_GW_INTAN_AMORT_CF" hidden="1" function="0" vbProcedure="0">"c1471"</definedName>
    <definedName name="IQ_GW_INTAN_AMORT_CF_BNK" hidden="1" function="0" vbProcedure="0">"c1472"</definedName>
    <definedName name="IQ_GW_INTAN_AMORT_CF_BR" hidden="1" function="0" vbProcedure="0">"c1473"</definedName>
    <definedName name="IQ_GW_INTAN_AMORT_CF_FIN" hidden="1" function="0" vbProcedure="0">"c1474"</definedName>
    <definedName name="IQ_GW_INTAN_AMORT_CF_INS" hidden="1" function="0" vbProcedure="0">"c1475"</definedName>
    <definedName name="IQ_GW_INTAN_AMORT_CF_REIT" hidden="1" function="0" vbProcedure="0">"c1476"</definedName>
    <definedName name="IQ_GW_INTAN_AMORT_CF_UTI" hidden="1" function="0" vbProcedure="0">"c1477"</definedName>
    <definedName name="IQ_GW_INTAN_AMORT_FIN" hidden="1" function="0" vbProcedure="0">"c1478"</definedName>
    <definedName name="IQ_GW_INTAN_AMORT_INS" hidden="1" function="0" vbProcedure="0">"c1479"</definedName>
    <definedName name="IQ_GW_INTAN_AMORT_REIT" hidden="1" function="0" vbProcedure="0">"c1480"</definedName>
    <definedName name="IQ_GW_INTAN_AMORT_UTI" hidden="1" function="0" vbProcedure="0">"c1481"</definedName>
    <definedName name="IQ_HELD_MATURITY_FDIC" hidden="1" function="0" vbProcedure="0">"c6408"</definedName>
    <definedName name="IQ_HG_REV_OTHER_HOTEL_MOTEL" hidden="1" function="0" vbProcedure="0">"c8731"</definedName>
    <definedName name="IQ_HG_REV_TOTAL_CASINO_GAMING" hidden="1" function="0" vbProcedure="0">"c8723"</definedName>
    <definedName name="IQ_HG_REV_TOTAL_HOTEL_MOTEL" hidden="1" function="0" vbProcedure="0">"c8732"</definedName>
    <definedName name="IQ_HIGHPRICE" hidden="1" function="0" vbProcedure="0">"c545"</definedName>
    <definedName name="IQ_HOMEOWNERS_WRITTEN" hidden="1" function="0" vbProcedure="0">"c546"</definedName>
    <definedName name="IQ_HOME_EQUITY_LOC_NET_CHARGE_OFFS_FDIC" hidden="1" function="0" vbProcedure="0">"c6644"</definedName>
    <definedName name="IQ_HOME_EQUITY_LOC_TOTAL_CHARGE_OFFS_FDIC" hidden="1" function="0" vbProcedure="0">"c6606"</definedName>
    <definedName name="IQ_HOME_EQUITY_LOC_TOTAL_RECOVERIES_FDIC" hidden="1" function="0" vbProcedure="0">"c6625"</definedName>
    <definedName name="IQ_HOUSING_COMPLETIONS_SINGLE_FAM_APR_FC_UNUSED_UNUSED_UNUSED" hidden="1" function="0" vbProcedure="0">"c8422"</definedName>
    <definedName name="IQ_HOUSING_COMPLETIONS_SINGLE_FAM_APR_UNUSED_UNUSED_UNUSED" hidden="1" function="0" vbProcedure="0">"c7542"</definedName>
    <definedName name="IQ_HOUSING_COMPLETIONS_SINGLE_FAM_FC_UNUSED_UNUSED_UNUSED" hidden="1" function="0" vbProcedure="0">"c7762"</definedName>
    <definedName name="IQ_HOUSING_COMPLETIONS_SINGLE_FAM_POP_FC_UNUSED_UNUSED_UNUSED" hidden="1" function="0" vbProcedure="0">"c7982"</definedName>
    <definedName name="IQ_HOUSING_COMPLETIONS_SINGLE_FAM_POP_UNUSED_UNUSED_UNUSED" hidden="1" function="0" vbProcedure="0">"c7102"</definedName>
    <definedName name="IQ_HOUSING_COMPLETIONS_SINGLE_FAM_UNUSED_UNUSED_UNUSED" hidden="1" function="0" vbProcedure="0">"c6882"</definedName>
    <definedName name="IQ_HOUSING_COMPLETIONS_SINGLE_FAM_YOY_FC_UNUSED_UNUSED_UNUSED" hidden="1" function="0" vbProcedure="0">"c8202"</definedName>
    <definedName name="IQ_HOUSING_COMPLETIONS_SINGLE_FAM_YOY_UNUSED_UNUSED_UNUSED" hidden="1" function="0" vbProcedure="0">"c7322"</definedName>
    <definedName name="IQ_IMPAIRMENT_GW" hidden="1" function="0" vbProcedure="0">"c548"</definedName>
    <definedName name="IQ_IMPAIR_OIL" hidden="1" function="0" vbProcedure="0">"c547"</definedName>
    <definedName name="IQ_IMPORTS_GOODS_REAL_SAAR_APR_FC_UNUSED_UNUSED_UNUSED" hidden="1" function="0" vbProcedure="0">"c8523"</definedName>
    <definedName name="IQ_IMPORTS_GOODS_REAL_SAAR_APR_UNUSED_UNUSED_UNUSED" hidden="1" function="0" vbProcedure="0">"c7643"</definedName>
    <definedName name="IQ_IMPORTS_GOODS_REAL_SAAR_FC_UNUSED_UNUSED_UNUSED" hidden="1" function="0" vbProcedure="0">"c7863"</definedName>
    <definedName name="IQ_IMPORTS_GOODS_REAL_SAAR_POP_FC_UNUSED_UNUSED_UNUSED" hidden="1" function="0" vbProcedure="0">"c8083"</definedName>
    <definedName name="IQ_IMPORTS_GOODS_REAL_SAAR_POP_UNUSED_UNUSED_UNUSED" hidden="1" function="0" vbProcedure="0">"c7203"</definedName>
    <definedName name="IQ_IMPORTS_GOODS_REAL_SAAR_UNUSED_UNUSED_UNUSED" hidden="1" function="0" vbProcedure="0">"c6983"</definedName>
    <definedName name="IQ_IMPORTS_GOODS_REAL_SAAR_YOY_FC_UNUSED_UNUSED_UNUSED" hidden="1" function="0" vbProcedure="0">"c8303"</definedName>
    <definedName name="IQ_IMPORTS_GOODS_REAL_SAAR_YOY_UNUSED_UNUSED_UNUSED" hidden="1" function="0" vbProcedure="0">"c7423"</definedName>
    <definedName name="IQ_IMPORTS_GOODS_SERVICES_APR_FC_UNUSED_UNUSED_UNUSED" hidden="1" function="0" vbProcedure="0">"c8429"</definedName>
    <definedName name="IQ_IMPORTS_GOODS_SERVICES_APR_UNUSED_UNUSED_UNUSED" hidden="1" function="0" vbProcedure="0">"c7549"</definedName>
    <definedName name="IQ_IMPORTS_GOODS_SERVICES_FC_UNUSED_UNUSED_UNUSED" hidden="1" function="0" vbProcedure="0">"c7769"</definedName>
    <definedName name="IQ_IMPORTS_GOODS_SERVICES_POP_FC_UNUSED_UNUSED_UNUSED" hidden="1" function="0" vbProcedure="0">"c7989"</definedName>
    <definedName name="IQ_IMPORTS_GOODS_SERVICES_POP_UNUSED_UNUSED_UNUSED" hidden="1" function="0" vbProcedure="0">"c7109"</definedName>
    <definedName name="IQ_IMPORTS_GOODS_SERVICES_REAL_SAAR_APR_FC_UNUSED_UNUSED_UNUSED" hidden="1" function="0" vbProcedure="0">"c8524"</definedName>
    <definedName name="IQ_IMPORTS_GOODS_SERVICES_REAL_SAAR_APR_UNUSED_UNUSED_UNUSED" hidden="1" function="0" vbProcedure="0">"c7644"</definedName>
    <definedName name="IQ_IMPORTS_GOODS_SERVICES_REAL_SAAR_FC_UNUSED_UNUSED_UNUSED" hidden="1" function="0" vbProcedure="0">"c7864"</definedName>
    <definedName name="IQ_IMPORTS_GOODS_SERVICES_REAL_SAAR_POP_FC_UNUSED_UNUSED_UNUSED" hidden="1" function="0" vbProcedure="0">"c8084"</definedName>
    <definedName name="IQ_IMPORTS_GOODS_SERVICES_REAL_SAAR_POP_UNUSED_UNUSED_UNUSED" hidden="1" function="0" vbProcedure="0">"c7204"</definedName>
    <definedName name="IQ_IMPORTS_GOODS_SERVICES_REAL_SAAR_UNUSED_UNUSED_UNUSED" hidden="1" function="0" vbProcedure="0">"c6984"</definedName>
    <definedName name="IQ_IMPORTS_GOODS_SERVICES_REAL_SAAR_YOY_FC_UNUSED_UNUSED_UNUSED" hidden="1" function="0" vbProcedure="0">"c8304"</definedName>
    <definedName name="IQ_IMPORTS_GOODS_SERVICES_REAL_SAAR_YOY_UNUSED_UNUSED_UNUSED" hidden="1" function="0" vbProcedure="0">"c7424"</definedName>
    <definedName name="IQ_IMPORTS_GOODS_SERVICES_UNUSED_UNUSED_UNUSED" hidden="1" function="0" vbProcedure="0">"c6889"</definedName>
    <definedName name="IQ_IMPORTS_GOODS_SERVICES_YOY_FC_UNUSED_UNUSED_UNUSED" hidden="1" function="0" vbProcedure="0">"c8209"</definedName>
    <definedName name="IQ_IMPORTS_GOODS_SERVICES_YOY_UNUSED_UNUSED_UNUSED" hidden="1" function="0" vbProcedure="0">"c7329"</definedName>
    <definedName name="IQ_INCIDENTAL_CHANGES_BUSINESS_COMBINATIONS_FDIC" hidden="1" function="0" vbProcedure="0">"c6502"</definedName>
    <definedName name="IQ_INCOME_BEFORE_EXTRA_FDIC" hidden="1" function="0" vbProcedure="0">"c6585"</definedName>
    <definedName name="IQ_INCOME_EARNED_FDIC" hidden="1" function="0" vbProcedure="0">"c6359"</definedName>
    <definedName name="IQ_INCOME_TAXES_FDIC" hidden="1" function="0" vbProcedure="0">"c6582"</definedName>
    <definedName name="IQ_INC_AFTER_TAX" hidden="1" function="0" vbProcedure="0">"c1598"</definedName>
    <definedName name="IQ_INC_AVAIL_EXCL" hidden="1" function="0" vbProcedure="0">"c789"</definedName>
    <definedName name="IQ_INC_AVAIL_INCL" hidden="1" function="0" vbProcedure="0">"c791"</definedName>
    <definedName name="IQ_INC_BEFORE_TAX" hidden="1" function="0" vbProcedure="0">"c386"</definedName>
    <definedName name="IQ_INC_EQUITY" hidden="1" function="0" vbProcedure="0">"c549"</definedName>
    <definedName name="IQ_INC_EQUITY_BR" hidden="1" function="0" vbProcedure="0">"c550"</definedName>
    <definedName name="IQ_INC_EQUITY_CF" hidden="1" function="0" vbProcedure="0">"c551"</definedName>
    <definedName name="IQ_INC_EQUITY_FIN" hidden="1" function="0" vbProcedure="0">"c552"</definedName>
    <definedName name="IQ_INC_EQUITY_INS" hidden="1" function="0" vbProcedure="0">"c553"</definedName>
    <definedName name="IQ_INC_EQUITY_REC_BNK" hidden="1" function="0" vbProcedure="0">"c554"</definedName>
    <definedName name="IQ_INC_EQUITY_REIT" hidden="1" function="0" vbProcedure="0">"c555"</definedName>
    <definedName name="IQ_INC_EQUITY_REV_BNK" hidden="1" function="0" vbProcedure="0">"c556"</definedName>
    <definedName name="IQ_INC_EQUITY_UTI" hidden="1" function="0" vbProcedure="0">"c557"</definedName>
    <definedName name="IQ_INC_REAL_ESTATE_REC" hidden="1" function="0" vbProcedure="0">"c558"</definedName>
    <definedName name="IQ_INC_REAL_ESTATE_REV" hidden="1" function="0" vbProcedure="0">"c559"</definedName>
    <definedName name="IQ_INC_TAX" hidden="1" function="0" vbProcedure="0">"c560"</definedName>
    <definedName name="IQ_INC_TAX_EXCL" hidden="1" function="0" vbProcedure="0">"c1599"</definedName>
    <definedName name="IQ_INC_TAX_PAY_CURRENT" hidden="1" function="0" vbProcedure="0">"c561"</definedName>
    <definedName name="IQ_INC_TRADE_ACT" hidden="1" function="0" vbProcedure="0">"c562"</definedName>
    <definedName name="IQ_INDIVIDUALS_CHARGE_OFFS_FDIC" hidden="1" function="0" vbProcedure="0">"c6599"</definedName>
    <definedName name="IQ_INDIVIDUALS_LOANS_FDIC" hidden="1" function="0" vbProcedure="0">"c6318"</definedName>
    <definedName name="IQ_INDIVIDUALS_NET_CHARGE_OFFS_FDIC" hidden="1" function="0" vbProcedure="0">"c6637"</definedName>
    <definedName name="IQ_INDIVIDUALS_OTHER_LOANS_FDIC" hidden="1" function="0" vbProcedure="0">"c6321"</definedName>
    <definedName name="IQ_INDIVIDUALS_PARTNERSHIPS_CORP_DEPOSITS_FOREIGN_FDIC" hidden="1" function="0" vbProcedure="0">"c6479"</definedName>
    <definedName name="IQ_INDIVIDUALS_PARTNERSHIPS_CORP_NONTRANSACTION_ACCOUNTS_FDIC" hidden="1" function="0" vbProcedure="0">"c6545"</definedName>
    <definedName name="IQ_INDIVIDUALS_PARTNERSHIPS_CORP_TOTAL_DEPOSITS_FDIC" hidden="1" function="0" vbProcedure="0">"c6471"</definedName>
    <definedName name="IQ_INDIVIDUALS_PARTNERSHIPS_CORP_TRANSACTION_ACCOUNTS_FDIC" hidden="1" function="0" vbProcedure="0">"c6537"</definedName>
    <definedName name="IQ_INDIVIDUALS_RECOVERIES_FDIC" hidden="1" function="0" vbProcedure="0">"c6618"</definedName>
    <definedName name="IQ_INSIDER_3MTH_BOUGHT_PCT" hidden="1" function="0" vbProcedure="0">"c1534"</definedName>
    <definedName name="IQ_INSIDER_3MTH_NET_PCT" hidden="1" function="0" vbProcedure="0">"c1535"</definedName>
    <definedName name="IQ_INSIDER_3MTH_SOLD_PCT" hidden="1" function="0" vbProcedure="0">"c1533"</definedName>
    <definedName name="IQ_INSIDER_6MTH_BOUGHT_PCT" hidden="1" function="0" vbProcedure="0">"c1537"</definedName>
    <definedName name="IQ_INSIDER_6MTH_NET_PCT" hidden="1" function="0" vbProcedure="0">"c1538"</definedName>
    <definedName name="IQ_INSIDER_6MTH_SOLD_PCT" hidden="1" function="0" vbProcedure="0">"c1536"</definedName>
    <definedName name="IQ_INSIDER_LOANS_FDIC" hidden="1" function="0" vbProcedure="0">"c6365"</definedName>
    <definedName name="IQ_INSIDER_OVER_TOTAL" hidden="1" function="0" vbProcedure="0">"c1581"</definedName>
    <definedName name="IQ_INSIDER_OWNER" hidden="1" function="0" vbProcedure="0">"c577"</definedName>
    <definedName name="IQ_INSIDER_PERCENT" hidden="1" function="0" vbProcedure="0">"c578"</definedName>
    <definedName name="IQ_INSIDER_SHARES" hidden="1" function="0" vbProcedure="0">"c579"</definedName>
    <definedName name="IQ_INSTITUTIONAL_OVER_TOTAL" hidden="1" function="0" vbProcedure="0">"c1580"</definedName>
    <definedName name="IQ_INSTITUTIONAL_OWNER" hidden="1" function="0" vbProcedure="0">"c580"</definedName>
    <definedName name="IQ_INSTITUTIONAL_PERCENT" hidden="1" function="0" vbProcedure="0">"c581"</definedName>
    <definedName name="IQ_INSTITUTIONAL_SHARES" hidden="1" function="0" vbProcedure="0">"c582"</definedName>
    <definedName name="IQ_INSTITUTIONS_EARNINGS_GAINS_FDIC" hidden="1" function="0" vbProcedure="0">"c6723"</definedName>
    <definedName name="IQ_INSURANCE_COMMISSION_FEES_FDIC" hidden="1" function="0" vbProcedure="0">"c6670"</definedName>
    <definedName name="IQ_INSURANCE_UNDERWRITING_INCOME_FDIC" hidden="1" function="0" vbProcedure="0">"c6671"</definedName>
    <definedName name="IQ_INSUR_RECEIV" hidden="1" function="0" vbProcedure="0">"c1600"</definedName>
    <definedName name="IQ_INS_ANNUITY_LIAB" hidden="1" function="0" vbProcedure="0">"c563"</definedName>
    <definedName name="IQ_INS_DIV_EXP" hidden="1" function="0" vbProcedure="0">"c564"</definedName>
    <definedName name="IQ_INS_DIV_REV" hidden="1" function="0" vbProcedure="0">"c565"</definedName>
    <definedName name="IQ_INS_IN_FORCE" hidden="1" function="0" vbProcedure="0">"c566"</definedName>
    <definedName name="IQ_INS_LIAB" hidden="1" function="0" vbProcedure="0">"c567"</definedName>
    <definedName name="IQ_INS_POLICY_EXP" hidden="1" function="0" vbProcedure="0">"c568"</definedName>
    <definedName name="IQ_INS_REV" hidden="1" function="0" vbProcedure="0">"c569"</definedName>
    <definedName name="IQ_INS_SETTLE" hidden="1" function="0" vbProcedure="0">"c570"</definedName>
    <definedName name="IQ_INS_SETTLE_BNK" hidden="1" function="0" vbProcedure="0">"c571"</definedName>
    <definedName name="IQ_INS_SETTLE_BR" hidden="1" function="0" vbProcedure="0">"c572"</definedName>
    <definedName name="IQ_INS_SETTLE_FIN" hidden="1" function="0" vbProcedure="0">"c573"</definedName>
    <definedName name="IQ_INS_SETTLE_INS" hidden="1" function="0" vbProcedure="0">"c574"</definedName>
    <definedName name="IQ_INS_SETTLE_REIT" hidden="1" function="0" vbProcedure="0">"c575"</definedName>
    <definedName name="IQ_INS_SETTLE_UTI" hidden="1" function="0" vbProcedure="0">"c576"</definedName>
    <definedName name="IQ_INTANGIBLES_NET" hidden="1" function="0" vbProcedure="0">"c907"</definedName>
    <definedName name="IQ_INTEREST_BEARING_BALANCES_FDIC" hidden="1" function="0" vbProcedure="0">"c6371"</definedName>
    <definedName name="IQ_INTEREST_BEARING_DEPOSITS_DOMESTIC_FDIC" hidden="1" function="0" vbProcedure="0">"c6478"</definedName>
    <definedName name="IQ_INTEREST_BEARING_DEPOSITS_FDIC" hidden="1" function="0" vbProcedure="0">"c6373"</definedName>
    <definedName name="IQ_INTEREST_BEARING_DEPOSITS_FOREIGN_FDIC" hidden="1" function="0" vbProcedure="0">"c6485"</definedName>
    <definedName name="IQ_INTEREST_EXP" hidden="1" function="0" vbProcedure="0">"c618"</definedName>
    <definedName name="IQ_INTEREST_EXP_NET" hidden="1" function="0" vbProcedure="0">"c1450"</definedName>
    <definedName name="IQ_INTEREST_EXP_NON" hidden="1" function="0" vbProcedure="0">"c618"</definedName>
    <definedName name="IQ_INTEREST_EXP_SUPPL" hidden="1" function="0" vbProcedure="0">"c1460"</definedName>
    <definedName name="IQ_INTEREST_INC" hidden="1" function="0" vbProcedure="0">"c769"</definedName>
    <definedName name="IQ_INTEREST_INC_NON" hidden="1" function="0" vbProcedure="0">"c619"</definedName>
    <definedName name="IQ_INTEREST_INVEST_INC" hidden="1" function="0" vbProcedure="0">"c619"</definedName>
    <definedName name="IQ_INTEREST_RATE_CONTRACTS_FDIC" hidden="1" function="0" vbProcedure="0">"c6512"</definedName>
    <definedName name="IQ_INTEREST_RATE_EXPOSURES_FDIC" hidden="1" function="0" vbProcedure="0">"c6662"</definedName>
    <definedName name="IQ_INT_BORROW" hidden="1" function="0" vbProcedure="0">"c583"</definedName>
    <definedName name="IQ_INT_DEMAND_NOTES_FDIC" hidden="1" function="0" vbProcedure="0">"c6567"</definedName>
    <definedName name="IQ_INT_DEPOSITS" hidden="1" function="0" vbProcedure="0">"c584"</definedName>
    <definedName name="IQ_INT_DIV_INC" hidden="1" function="0" vbProcedure="0">"c585"</definedName>
    <definedName name="IQ_INT_DOMESTIC_DEPOSITS_FDIC" hidden="1" function="0" vbProcedure="0">"c6564"</definedName>
    <definedName name="IQ_INT_EXP_BR" hidden="1" function="0" vbProcedure="0">"c586"</definedName>
    <definedName name="IQ_INT_EXP_COVERAGE" hidden="1" function="0" vbProcedure="0">"c587"</definedName>
    <definedName name="IQ_INT_EXP_FIN" hidden="1" function="0" vbProcedure="0">"c588"</definedName>
    <definedName name="IQ_INT_EXP_INS" hidden="1" function="0" vbProcedure="0">"c589"</definedName>
    <definedName name="IQ_INT_EXP_LTD" hidden="1" function="0" vbProcedure="0">"c2086"</definedName>
    <definedName name="IQ_INT_EXP_REIT" hidden="1" function="0" vbProcedure="0">"c590"</definedName>
    <definedName name="IQ_INT_EXP_TOTAL" hidden="1" function="0" vbProcedure="0">"c591"</definedName>
    <definedName name="IQ_INT_EXP_TOTAL_FDIC" hidden="1" function="0" vbProcedure="0">"c6569"</definedName>
    <definedName name="IQ_INT_EXP_UTI" hidden="1" function="0" vbProcedure="0">"c592"</definedName>
    <definedName name="IQ_INT_FED_FUNDS_FDIC" hidden="1" function="0" vbProcedure="0">"c6566"</definedName>
    <definedName name="IQ_INT_FOREIGN_DEPOSITS_FDIC" hidden="1" function="0" vbProcedure="0">"c6565"</definedName>
    <definedName name="IQ_INT_INC_BR" hidden="1" function="0" vbProcedure="0">"c593"</definedName>
    <definedName name="IQ_INT_INC_DEPOSITORY_INST_FDIC" hidden="1" function="0" vbProcedure="0">"c6558"</definedName>
    <definedName name="IQ_INT_INC_DOM_LOANS_FDIC" hidden="1" function="0" vbProcedure="0">"c6555"</definedName>
    <definedName name="IQ_INT_INC_FED_FUNDS_FDIC" hidden="1" function="0" vbProcedure="0">"c6561"</definedName>
    <definedName name="IQ_INT_INC_FIN" hidden="1" function="0" vbProcedure="0">"c594"</definedName>
    <definedName name="IQ_INT_INC_FOREIGN_LOANS_FDIC" hidden="1" function="0" vbProcedure="0">"c6556"</definedName>
    <definedName name="IQ_INT_INC_INVEST" hidden="1" function="0" vbProcedure="0">"c595"</definedName>
    <definedName name="IQ_INT_INC_LEASE_RECEIVABLES_FDIC" hidden="1" function="0" vbProcedure="0">"c6557"</definedName>
    <definedName name="IQ_INT_INC_LOANS" hidden="1" function="0" vbProcedure="0">"c596"</definedName>
    <definedName name="IQ_INT_INC_OTHER_FDIC" hidden="1" function="0" vbProcedure="0">"c6562"</definedName>
    <definedName name="IQ_INT_INC_REIT" hidden="1" function="0" vbProcedure="0">"c597"</definedName>
    <definedName name="IQ_INT_INC_SECURITIES_FDIC" hidden="1" function="0" vbProcedure="0">"c6559"</definedName>
    <definedName name="IQ_INT_INC_TOTAL" hidden="1" function="0" vbProcedure="0">"c598"</definedName>
    <definedName name="IQ_INT_INC_TOTAL_FDIC" hidden="1" function="0" vbProcedure="0">"c6563"</definedName>
    <definedName name="IQ_INT_INC_TRADING_ACCOUNTS_FDIC" hidden="1" function="0" vbProcedure="0">"c6560"</definedName>
    <definedName name="IQ_INT_INC_UTI" hidden="1" function="0" vbProcedure="0">"c599"</definedName>
    <definedName name="IQ_INT_INV_INC" hidden="1" function="0" vbProcedure="0">"c600"</definedName>
    <definedName name="IQ_INT_INV_INC_REIT" hidden="1" function="0" vbProcedure="0">"c601"</definedName>
    <definedName name="IQ_INT_INV_INC_UTI" hidden="1" function="0" vbProcedure="0">"c602"</definedName>
    <definedName name="IQ_INT_ON_BORROWING_COVERAGE" hidden="1" function="0" vbProcedure="0">"c603"</definedName>
    <definedName name="IQ_INT_RATE_SPREAD" hidden="1" function="0" vbProcedure="0">"c604"</definedName>
    <definedName name="IQ_INT_SUB_NOTES_FDIC" hidden="1" function="0" vbProcedure="0">"c6568"</definedName>
    <definedName name="IQ_INVENTORY" hidden="1" function="0" vbProcedure="0">"c622"</definedName>
    <definedName name="IQ_INVENTORY_TURNS" hidden="1" function="0" vbProcedure="0">"c623"</definedName>
    <definedName name="IQ_INVENTORY_UTI" hidden="1" function="0" vbProcedure="0">"c624"</definedName>
    <definedName name="IQ_INVESTMENT_BANKING_OTHER_FEES_FDIC" hidden="1" function="0" vbProcedure="0">"c6666"</definedName>
    <definedName name="IQ_INVEST_DEBT" hidden="1" function="0" vbProcedure="0">"c625"</definedName>
    <definedName name="IQ_INVEST_EQUITY_PREF" hidden="1" function="0" vbProcedure="0">"c626"</definedName>
    <definedName name="IQ_INVEST_FHLB" hidden="1" function="0" vbProcedure="0">"c627"</definedName>
    <definedName name="IQ_INVEST_LOANS_CF" hidden="1" function="0" vbProcedure="0">"c628"</definedName>
    <definedName name="IQ_INVEST_LOANS_CF_BNK" hidden="1" function="0" vbProcedure="0">"c629"</definedName>
    <definedName name="IQ_INVEST_LOANS_CF_BR" hidden="1" function="0" vbProcedure="0">"c630"</definedName>
    <definedName name="IQ_INVEST_LOANS_CF_FIN" hidden="1" function="0" vbProcedure="0">"c631"</definedName>
    <definedName name="IQ_INVEST_LOANS_CF_INS" hidden="1" function="0" vbProcedure="0">"c632"</definedName>
    <definedName name="IQ_INVEST_LOANS_CF_REIT" hidden="1" function="0" vbProcedure="0">"c633"</definedName>
    <definedName name="IQ_INVEST_LOANS_CF_UTI" hidden="1" function="0" vbProcedure="0">"c634"</definedName>
    <definedName name="IQ_INVEST_REAL_ESTATE" hidden="1" function="0" vbProcedure="0">"c635"</definedName>
    <definedName name="IQ_INVEST_SECURITY" hidden="1" function="0" vbProcedure="0">"c636"</definedName>
    <definedName name="IQ_INVEST_SECURITY_CF" hidden="1" function="0" vbProcedure="0">"c637"</definedName>
    <definedName name="IQ_INVEST_SECURITY_CF_BNK" hidden="1" function="0" vbProcedure="0">"c638"</definedName>
    <definedName name="IQ_INVEST_SECURITY_CF_BR" hidden="1" function="0" vbProcedure="0">"c639"</definedName>
    <definedName name="IQ_INVEST_SECURITY_CF_FIN" hidden="1" function="0" vbProcedure="0">"c640"</definedName>
    <definedName name="IQ_INVEST_SECURITY_CF_INS" hidden="1" function="0" vbProcedure="0">"c641"</definedName>
    <definedName name="IQ_INVEST_SECURITY_CF_REIT" hidden="1" function="0" vbProcedure="0">"c642"</definedName>
    <definedName name="IQ_INVEST_SECURITY_CF_UTI" hidden="1" function="0" vbProcedure="0">"c643"</definedName>
    <definedName name="IQ_INV_10YR_ANN_GROWTH" hidden="1" function="0" vbProcedure="0">"c1930"</definedName>
    <definedName name="IQ_INV_1YR_ANN_GROWTH" hidden="1" function="0" vbProcedure="0">"c1925"</definedName>
    <definedName name="IQ_INV_2YR_ANN_GROWTH" hidden="1" function="0" vbProcedure="0">"c1926"</definedName>
    <definedName name="IQ_INV_3YR_ANN_GROWTH" hidden="1" function="0" vbProcedure="0">"c1927"</definedName>
    <definedName name="IQ_INV_5YR_ANN_GROWTH" hidden="1" function="0" vbProcedure="0">"c1928"</definedName>
    <definedName name="IQ_INV_7YR_ANN_GROWTH" hidden="1" function="0" vbProcedure="0">"c1929"</definedName>
    <definedName name="IQ_INV_BANKING_FEE" hidden="1" function="0" vbProcedure="0">"c620"</definedName>
    <definedName name="IQ_INV_METHOD" hidden="1" function="0" vbProcedure="0">"c621"</definedName>
    <definedName name="IQ_IPRD" hidden="1" function="0" vbProcedure="0">"c644"</definedName>
    <definedName name="IQ_IRA_KEOGH_ACCOUNTS_FDIC" hidden="1" function="0" vbProcedure="0">"c6496"</definedName>
    <definedName name="IQ_ISM_SERVICES_APR_FC_UNUSED_UNUSED_UNUSED" hidden="1" function="0" vbProcedure="0">"c8443"</definedName>
    <definedName name="IQ_ISM_SERVICES_APR_UNUSED_UNUSED_UNUSED" hidden="1" function="0" vbProcedure="0">"c7563"</definedName>
    <definedName name="IQ_ISM_SERVICES_FC_UNUSED_UNUSED_UNUSED" hidden="1" function="0" vbProcedure="0">"c7783"</definedName>
    <definedName name="IQ_ISM_SERVICES_POP_FC_UNUSED_UNUSED_UNUSED" hidden="1" function="0" vbProcedure="0">"c8003"</definedName>
    <definedName name="IQ_ISM_SERVICES_POP_UNUSED_UNUSED_UNUSED" hidden="1" function="0" vbProcedure="0">"c7123"</definedName>
    <definedName name="IQ_ISM_SERVICES_UNUSED_UNUSED_UNUSED" hidden="1" function="0" vbProcedure="0">"c6903"</definedName>
    <definedName name="IQ_ISM_SERVICES_YOY_FC_UNUSED_UNUSED_UNUSED" hidden="1" function="0" vbProcedure="0">"c8223"</definedName>
    <definedName name="IQ_ISM_SERVICES_YOY_UNUSED_UNUSED_UNUSED" hidden="1" function="0" vbProcedure="0">"c7343"</definedName>
    <definedName name="IQ_ISSUED_GUARANTEED_US_FDIC" hidden="1" function="0" vbProcedure="0">"c6404"</definedName>
    <definedName name="IQ_ISSUER" hidden="1" function="0" vbProcedure="0">"c2143"</definedName>
    <definedName name="IQ_ISSUER_PARENT" hidden="1" function="0" vbProcedure="0">"c2144"</definedName>
    <definedName name="IQ_ISSUE_CURRENCY" hidden="1" function="0" vbProcedure="0">"c2156"</definedName>
    <definedName name="IQ_ISSUE_NAME" hidden="1" function="0" vbProcedure="0">"c2142"</definedName>
    <definedName name="IQ_ISS_DEBT_NET" hidden="1" function="0" vbProcedure="0">"c751"</definedName>
    <definedName name="IQ_ISS_STOCK_NET" hidden="1" function="0" vbProcedure="0">"c1601"</definedName>
    <definedName name="IQ_LAND" hidden="1" function="0" vbProcedure="0">"c645"</definedName>
    <definedName name="IQ_LASTSALEPRICE" hidden="1" function="0" vbProcedure="0">"c646"</definedName>
    <definedName name="IQ_LASTSALEPRICE_DATE" hidden="1" function="0" vbProcedure="0">"c2109"</definedName>
    <definedName name="IQ_LAST_PMT_DATE" hidden="1" function="0" vbProcedure="0">"c2188"</definedName>
    <definedName name="IQ_LAST_SPLIT_DATE" hidden="1" function="0" vbProcedure="0">"c2095"</definedName>
    <definedName name="IQ_LAST_SPLIT_FACTOR" hidden="1" function="0" vbProcedure="0">"c2093"</definedName>
    <definedName name="IQ_LATESTK" hidden="1" function="0" vbProcedure="0">1000</definedName>
    <definedName name="IQ_LATESTQ" hidden="1" function="0" vbProcedure="0">500</definedName>
    <definedName name="IQ_LEASE_FINANCING_RECEIVABLES_CHARGE_OFFS_FDIC" hidden="1" function="0" vbProcedure="0">"c6602"</definedName>
    <definedName name="IQ_LEASE_FINANCING_RECEIVABLES_FDIC" hidden="1" function="0" vbProcedure="0">"c6433"</definedName>
    <definedName name="IQ_LEASE_FINANCING_RECEIVABLES_NET_CHARGE_OFFS_FDIC" hidden="1" function="0" vbProcedure="0">"c6640"</definedName>
    <definedName name="IQ_LEASE_FINANCING_RECEIVABLES_RECOVERIES_FDIC" hidden="1" function="0" vbProcedure="0">"c6621"</definedName>
    <definedName name="IQ_LEASE_FINANCING_RECEIVABLES_TOTAL_LOANS_FOREIGN_FDIC" hidden="1" function="0" vbProcedure="0">"c6449"</definedName>
    <definedName name="IQ_LEGAL_SETTLE" hidden="1" function="0" vbProcedure="0">"c647"</definedName>
    <definedName name="IQ_LEGAL_SETTLE_BNK" hidden="1" function="0" vbProcedure="0">"c648"</definedName>
    <definedName name="IQ_LEGAL_SETTLE_BR" hidden="1" function="0" vbProcedure="0">"c649"</definedName>
    <definedName name="IQ_LEGAL_SETTLE_FIN" hidden="1" function="0" vbProcedure="0">"c650"</definedName>
    <definedName name="IQ_LEGAL_SETTLE_INS" hidden="1" function="0" vbProcedure="0">"c651"</definedName>
    <definedName name="IQ_LEGAL_SETTLE_REIT" hidden="1" function="0" vbProcedure="0">"c652"</definedName>
    <definedName name="IQ_LEGAL_SETTLE_UTI" hidden="1" function="0" vbProcedure="0">"c653"</definedName>
    <definedName name="IQ_LEVERAGE_RATIO" hidden="1" function="0" vbProcedure="0">"c654"</definedName>
    <definedName name="IQ_LEVERED_FCF" hidden="1" function="0" vbProcedure="0">"c1907"</definedName>
    <definedName name="IQ_LFCF_10YR_ANN_GROWTH" hidden="1" function="0" vbProcedure="0">"c1942"</definedName>
    <definedName name="IQ_LFCF_1YR_ANN_GROWTH" hidden="1" function="0" vbProcedure="0">"c1937"</definedName>
    <definedName name="IQ_LFCF_2YR_ANN_GROWTH" hidden="1" function="0" vbProcedure="0">"c1938"</definedName>
    <definedName name="IQ_LFCF_3YR_ANN_GROWTH" hidden="1" function="0" vbProcedure="0">"c1939"</definedName>
    <definedName name="IQ_LFCF_5YR_ANN_GROWTH" hidden="1" function="0" vbProcedure="0">"c1940"</definedName>
    <definedName name="IQ_LFCF_7YR_ANN_GROWTH" hidden="1" function="0" vbProcedure="0">"c1941"</definedName>
    <definedName name="IQ_LFCF_MARGIN" hidden="1" function="0" vbProcedure="0">"c1961"</definedName>
    <definedName name="IQ_LICENSED_POPS" hidden="1" function="0" vbProcedure="0">"c2123"</definedName>
    <definedName name="IQ_LIFE_INSURANCE_ASSETS_FDIC" hidden="1" function="0" vbProcedure="0">"c6372"</definedName>
    <definedName name="IQ_LIFOR" hidden="1" function="0" vbProcedure="0">"c655"</definedName>
    <definedName name="IQ_LISTING_CURRENCY" hidden="1" function="0" vbProcedure="0">"c2127"</definedName>
    <definedName name="IQ_LL" hidden="1" function="0" vbProcedure="0">"c656"</definedName>
    <definedName name="IQ_LOANS_AND_LEASES_HELD_FDIC" hidden="1" function="0" vbProcedure="0">"c6367"</definedName>
    <definedName name="IQ_LOANS_CF" hidden="1" function="0" vbProcedure="0">"c659"</definedName>
    <definedName name="IQ_LOANS_CF_BNK" hidden="1" function="0" vbProcedure="0">"c660"</definedName>
    <definedName name="IQ_LOANS_CF_BR" hidden="1" function="0" vbProcedure="0">"c661"</definedName>
    <definedName name="IQ_LOANS_CF_FIN" hidden="1" function="0" vbProcedure="0">"c662"</definedName>
    <definedName name="IQ_LOANS_CF_INS" hidden="1" function="0" vbProcedure="0">"c663"</definedName>
    <definedName name="IQ_LOANS_CF_REIT" hidden="1" function="0" vbProcedure="0">"c664"</definedName>
    <definedName name="IQ_LOANS_CF_UTI" hidden="1" function="0" vbProcedure="0">"c665"</definedName>
    <definedName name="IQ_LOANS_DEPOSITORY_INSTITUTIONS_FDIC" hidden="1" function="0" vbProcedure="0">"c6382"</definedName>
    <definedName name="IQ_LOANS_FOR_SALE" hidden="1" function="0" vbProcedure="0">"c666"</definedName>
    <definedName name="IQ_LOANS_HELD_FOREIGN_FDIC" hidden="1" function="0" vbProcedure="0">"c6315"</definedName>
    <definedName name="IQ_LOANS_LEASES_FOREIGN_FDIC" hidden="1" function="0" vbProcedure="0">"c6383"</definedName>
    <definedName name="IQ_LOANS_LEASES_GROSS_FDIC" hidden="1" function="0" vbProcedure="0">"c6323"</definedName>
    <definedName name="IQ_LOANS_LEASES_GROSS_FOREIGN_FDIC" hidden="1" function="0" vbProcedure="0">"c6384"</definedName>
    <definedName name="IQ_LOANS_LEASES_NET_FDIC" hidden="1" function="0" vbProcedure="0">"c6327"</definedName>
    <definedName name="IQ_LOANS_LEASES_NET_UNEARNED_FDIC" hidden="1" function="0" vbProcedure="0">"c6325"</definedName>
    <definedName name="IQ_LOANS_NOT_SECURED_RE_FDIC" hidden="1" function="0" vbProcedure="0">"c6381"</definedName>
    <definedName name="IQ_LOANS_PAST_DUE" hidden="1" function="0" vbProcedure="0">"c667"</definedName>
    <definedName name="IQ_LOANS_RECEIV_CURRENT" hidden="1" function="0" vbProcedure="0">"c668"</definedName>
    <definedName name="IQ_LOANS_RECEIV_LT" hidden="1" function="0" vbProcedure="0">"c669"</definedName>
    <definedName name="IQ_LOANS_RECEIV_LT_UTI" hidden="1" function="0" vbProcedure="0">"c670"</definedName>
    <definedName name="IQ_LOANS_SECURED_BY_RE_CHARGE_OFFS_FDIC" hidden="1" function="0" vbProcedure="0">"c6588"</definedName>
    <definedName name="IQ_LOANS_SECURED_BY_RE_RECOVERIES_FDIC" hidden="1" function="0" vbProcedure="0">"c6607"</definedName>
    <definedName name="IQ_LOANS_SECURED_NON_US_FDIC" hidden="1" function="0" vbProcedure="0">"c6380"</definedName>
    <definedName name="IQ_LOANS_SECURED_RE_NET_CHARGE_OFFS_FDIC" hidden="1" function="0" vbProcedure="0">"c6626"</definedName>
    <definedName name="IQ_LOANS_TO_DEPOSITORY_INSTITUTIONS_FOREIGN_FDIC" hidden="1" function="0" vbProcedure="0">"c6453"</definedName>
    <definedName name="IQ_LOANS_TO_FOREIGN_GOVERNMENTS_FDIC" hidden="1" function="0" vbProcedure="0">"c6448"</definedName>
    <definedName name="IQ_LOANS_TO_INDIVIDUALS_FOREIGN_FDIC" hidden="1" function="0" vbProcedure="0">"c6452"</definedName>
    <definedName name="IQ_LOAN_COMMITMENTS_REVOLVING_FDIC" hidden="1" function="0" vbProcedure="0">"c6524"</definedName>
    <definedName name="IQ_LOAN_LEASE_RECEIV" hidden="1" function="0" vbProcedure="0">"c657"</definedName>
    <definedName name="IQ_LOAN_LOSS" hidden="1" function="0" vbProcedure="0">"c656"</definedName>
    <definedName name="IQ_LOAN_LOSSES_FDIC" hidden="1" function="0" vbProcedure="0">"c6580"</definedName>
    <definedName name="IQ_LOAN_LOSS_ALLOWANCE_NONCURRENT_LOANS_FDIC" hidden="1" function="0" vbProcedure="0">"c6740"</definedName>
    <definedName name="IQ_LOAN_LOSS_ALLOW_FDIC" hidden="1" function="0" vbProcedure="0">"c6326"</definedName>
    <definedName name="IQ_LOAN_SERVICE_REV" hidden="1" function="0" vbProcedure="0">"c658"</definedName>
    <definedName name="IQ_LONG_TERM_ASSETS_FDIC" hidden="1" function="0" vbProcedure="0">"c6361"</definedName>
    <definedName name="IQ_LONG_TERM_DEBT" hidden="1" function="0" vbProcedure="0">"c674"</definedName>
    <definedName name="IQ_LONG_TERM_DEBT_OVER_TOTAL_CAP" hidden="1" function="0" vbProcedure="0">"c677"</definedName>
    <definedName name="IQ_LONG_TERM_GROWTH" hidden="1" function="0" vbProcedure="0">"c671"</definedName>
    <definedName name="IQ_LONG_TERM_INV" hidden="1" function="0" vbProcedure="0">"c697"</definedName>
    <definedName name="IQ_LOSS_ALLOWANCE_LOANS_FDIC" hidden="1" function="0" vbProcedure="0">"c6739"</definedName>
    <definedName name="IQ_LOSS_LOSS_EXP" hidden="1" function="0" vbProcedure="0">"c672"</definedName>
    <definedName name="IQ_LOWPRICE" hidden="1" function="0" vbProcedure="0">"c673"</definedName>
    <definedName name="IQ_LTD_DUE_AFTER_FIVE" hidden="1" function="0" vbProcedure="0">"c704"</definedName>
    <definedName name="IQ_LTD_DUE_CY" hidden="1" function="0" vbProcedure="0">"c705"</definedName>
    <definedName name="IQ_LTD_DUE_CY1" hidden="1" function="0" vbProcedure="0">"c706"</definedName>
    <definedName name="IQ_LTD_DUE_CY2" hidden="1" function="0" vbProcedure="0">"c707"</definedName>
    <definedName name="IQ_LTD_DUE_CY3" hidden="1" function="0" vbProcedure="0">"c708"</definedName>
    <definedName name="IQ_LTD_DUE_CY4" hidden="1" function="0" vbProcedure="0">"c709"</definedName>
    <definedName name="IQ_LTD_DUE_NEXT_FIVE" hidden="1" function="0" vbProcedure="0">"c710"</definedName>
    <definedName name="IQ_LTM" hidden="0" function="0" vbProcedure="0">2000</definedName>
    <definedName name="IQ_LTMMONTH" hidden="1" function="0" vbProcedure="0">120000</definedName>
    <definedName name="IQ_LTM_REVENUE_OVER_EMPLOYEES" hidden="1" function="0" vbProcedure="0">"c1304"</definedName>
    <definedName name="IQ_LT_DEBT" hidden="1" function="0" vbProcedure="0">"c674"</definedName>
    <definedName name="IQ_LT_DEBT_BNK" hidden="1" function="0" vbProcedure="0">"c675"</definedName>
    <definedName name="IQ_LT_DEBT_BR" hidden="1" function="0" vbProcedure="0">"c676"</definedName>
    <definedName name="IQ_LT_DEBT_CAPITAL" hidden="1" function="0" vbProcedure="0">"c677"</definedName>
    <definedName name="IQ_LT_DEBT_EQUITY" hidden="1" function="0" vbProcedure="0">"c678"</definedName>
    <definedName name="IQ_LT_DEBT_FIN" hidden="1" function="0" vbProcedure="0">"c679"</definedName>
    <definedName name="IQ_LT_DEBT_INS" hidden="1" function="0" vbProcedure="0">"c680"</definedName>
    <definedName name="IQ_LT_DEBT_ISSUED" hidden="1" function="0" vbProcedure="0">"c681"</definedName>
    <definedName name="IQ_LT_DEBT_ISSUED_BNK" hidden="1" function="0" vbProcedure="0">"c682"</definedName>
    <definedName name="IQ_LT_DEBT_ISSUED_BR" hidden="1" function="0" vbProcedure="0">"c683"</definedName>
    <definedName name="IQ_LT_DEBT_ISSUED_FIN" hidden="1" function="0" vbProcedure="0">"c684"</definedName>
    <definedName name="IQ_LT_DEBT_ISSUED_INS" hidden="1" function="0" vbProcedure="0">"c685"</definedName>
    <definedName name="IQ_LT_DEBT_ISSUED_REIT" hidden="1" function="0" vbProcedure="0">"c686"</definedName>
    <definedName name="IQ_LT_DEBT_ISSUED_UTI" hidden="1" function="0" vbProcedure="0">"c687"</definedName>
    <definedName name="IQ_LT_DEBT_REIT" hidden="1" function="0" vbProcedure="0">"c688"</definedName>
    <definedName name="IQ_LT_DEBT_REPAID" hidden="1" function="0" vbProcedure="0">"c689"</definedName>
    <definedName name="IQ_LT_DEBT_REPAID_BNK" hidden="1" function="0" vbProcedure="0">"c690"</definedName>
    <definedName name="IQ_LT_DEBT_REPAID_BR" hidden="1" function="0" vbProcedure="0">"c691"</definedName>
    <definedName name="IQ_LT_DEBT_REPAID_FIN" hidden="1" function="0" vbProcedure="0">"c692"</definedName>
    <definedName name="IQ_LT_DEBT_REPAID_INS" hidden="1" function="0" vbProcedure="0">"c693"</definedName>
    <definedName name="IQ_LT_DEBT_REPAID_REIT" hidden="1" function="0" vbProcedure="0">"c694"</definedName>
    <definedName name="IQ_LT_DEBT_REPAID_UTI" hidden="1" function="0" vbProcedure="0">"c695"</definedName>
    <definedName name="IQ_LT_DEBT_UTI" hidden="1" function="0" vbProcedure="0">"c696"</definedName>
    <definedName name="IQ_LT_INVEST" hidden="1" function="0" vbProcedure="0">"c697"</definedName>
    <definedName name="IQ_LT_INVEST_BR" hidden="1" function="0" vbProcedure="0">"c698"</definedName>
    <definedName name="IQ_LT_INVEST_FIN" hidden="1" function="0" vbProcedure="0">"c699"</definedName>
    <definedName name="IQ_LT_INVEST_REIT" hidden="1" function="0" vbProcedure="0">"c700"</definedName>
    <definedName name="IQ_LT_INVEST_UTI" hidden="1" function="0" vbProcedure="0">"c701"</definedName>
    <definedName name="IQ_LT_NOTE_RECEIV" hidden="1" function="0" vbProcedure="0">"c1602"</definedName>
    <definedName name="IQ_MACHINERY" hidden="1" function="0" vbProcedure="0">"c711"</definedName>
    <definedName name="IQ_MAINT_REPAIR" hidden="1" function="0" vbProcedure="0">"c2087"</definedName>
    <definedName name="IQ_MARKETCAP" hidden="1" function="0" vbProcedure="0">"c712"</definedName>
    <definedName name="IQ_MARKETING" hidden="1" function="0" vbProcedure="0">"c2239"</definedName>
    <definedName name="IQ_MARKET_CAP_LFCF" hidden="1" function="0" vbProcedure="0">"c2209"</definedName>
    <definedName name="IQ_MATURITY_DATE" hidden="1" function="0" vbProcedure="0">"c2146"</definedName>
    <definedName name="IQ_MATURITY_ONE_YEAR_LESS_FDIC" hidden="1" function="0" vbProcedure="0">"c6425"</definedName>
    <definedName name="IQ_MC_GA_MARGIN" hidden="1" function="0" vbProcedure="0">"c9930"</definedName>
    <definedName name="IQ_MC_GA_OPERATING_REV" hidden="1" function="0" vbProcedure="0">"c9929"</definedName>
    <definedName name="IQ_MC_MEDICAL_EXPENSE_RATIO" hidden="1" function="0" vbProcedure="0">"c9927"</definedName>
    <definedName name="IQ_MC_SGA_MARGIN" hidden="1" function="0" vbProcedure="0">"c9932"</definedName>
    <definedName name="IQ_MC_SGA_OPERATING_REV" hidden="1" function="0" vbProcedure="0">"c9931"</definedName>
    <definedName name="IQ_MEDIAN_NEW_HOME_SALES_APR_FC_UNUSED_UNUSED_UNUSED" hidden="1" function="0" vbProcedure="0">"c8460"</definedName>
    <definedName name="IQ_MEDIAN_NEW_HOME_SALES_APR_UNUSED_UNUSED_UNUSED" hidden="1" function="0" vbProcedure="0">"c7580"</definedName>
    <definedName name="IQ_MEDIAN_NEW_HOME_SALES_FC_UNUSED_UNUSED_UNUSED" hidden="1" function="0" vbProcedure="0">"c7800"</definedName>
    <definedName name="IQ_MEDIAN_NEW_HOME_SALES_POP_FC_UNUSED_UNUSED_UNUSED" hidden="1" function="0" vbProcedure="0">"c8020"</definedName>
    <definedName name="IQ_MEDIAN_NEW_HOME_SALES_POP_UNUSED_UNUSED_UNUSED" hidden="1" function="0" vbProcedure="0">"c7140"</definedName>
    <definedName name="IQ_MEDIAN_NEW_HOME_SALES_UNUSED_UNUSED_UNUSED" hidden="1" function="0" vbProcedure="0">"c6920"</definedName>
    <definedName name="IQ_MEDIAN_NEW_HOME_SALES_YOY_FC_UNUSED_UNUSED_UNUSED" hidden="1" function="0" vbProcedure="0">"c8240"</definedName>
    <definedName name="IQ_MEDIAN_NEW_HOME_SALES_YOY_UNUSED_UNUSED_UNUSED" hidden="1" function="0" vbProcedure="0">"c7360"</definedName>
    <definedName name="IQ_MERGER" hidden="1" function="0" vbProcedure="0">"c713"</definedName>
    <definedName name="IQ_MERGER_BNK" hidden="1" function="0" vbProcedure="0">"c714"</definedName>
    <definedName name="IQ_MERGER_BR" hidden="1" function="0" vbProcedure="0">"c715"</definedName>
    <definedName name="IQ_MERGER_FIN" hidden="1" function="0" vbProcedure="0">"c716"</definedName>
    <definedName name="IQ_MERGER_INS" hidden="1" function="0" vbProcedure="0">"c717"</definedName>
    <definedName name="IQ_MERGER_REIT" hidden="1" function="0" vbProcedure="0">"c718"</definedName>
    <definedName name="IQ_MERGER_RESTRUCTURE" hidden="1" function="0" vbProcedure="0">"c719"</definedName>
    <definedName name="IQ_MERGER_RESTRUCTURE_BNK" hidden="1" function="0" vbProcedure="0">"c720"</definedName>
    <definedName name="IQ_MERGER_RESTRUCTURE_BR" hidden="1" function="0" vbProcedure="0">"c721"</definedName>
    <definedName name="IQ_MERGER_RESTRUCTURE_FIN" hidden="1" function="0" vbProcedure="0">"c722"</definedName>
    <definedName name="IQ_MERGER_RESTRUCTURE_INS" hidden="1" function="0" vbProcedure="0">"c723"</definedName>
    <definedName name="IQ_MERGER_RESTRUCTURE_REIT" hidden="1" function="0" vbProcedure="0">"c724"</definedName>
    <definedName name="IQ_MERGER_RESTRUCTURE_UTI" hidden="1" function="0" vbProcedure="0">"c725"</definedName>
    <definedName name="IQ_MERGER_UTI" hidden="1" function="0" vbProcedure="0">"c726"</definedName>
    <definedName name="IQ_MINORITY_INTEREST" hidden="1" function="0" vbProcedure="0">"c727"</definedName>
    <definedName name="IQ_MINORITY_INTEREST_BNK" hidden="1" function="0" vbProcedure="0">"c728"</definedName>
    <definedName name="IQ_MINORITY_INTEREST_BR" hidden="1" function="0" vbProcedure="0">"c729"</definedName>
    <definedName name="IQ_MINORITY_INTEREST_CF" hidden="1" function="0" vbProcedure="0">"c730"</definedName>
    <definedName name="IQ_MINORITY_INTEREST_FIN" hidden="1" function="0" vbProcedure="0">"c731"</definedName>
    <definedName name="IQ_MINORITY_INTEREST_INS" hidden="1" function="0" vbProcedure="0">"c732"</definedName>
    <definedName name="IQ_MINORITY_INTEREST_IS" hidden="1" function="0" vbProcedure="0">"c733"</definedName>
    <definedName name="IQ_MINORITY_INTEREST_REIT" hidden="1" function="0" vbProcedure="0">"c734"</definedName>
    <definedName name="IQ_MINORITY_INTEREST_TOTAL" hidden="1" function="0" vbProcedure="0">"c1905"</definedName>
    <definedName name="IQ_MINORITY_INTEREST_UTI" hidden="1" function="0" vbProcedure="0">"c735"</definedName>
    <definedName name="IQ_MISC_ADJUST_CF" hidden="1" function="0" vbProcedure="0">"c736"</definedName>
    <definedName name="IQ_MISC_EARN_ADJ" hidden="1" function="0" vbProcedure="0">"c1603"</definedName>
    <definedName name="IQ_MKTCAP_EBT_EXCL" hidden="1" function="0" vbProcedure="0">"c737"</definedName>
    <definedName name="IQ_MKTCAP_EBT_EXCL_AVG" hidden="1" function="0" vbProcedure="0">"c738"</definedName>
    <definedName name="IQ_MKTCAP_EBT_INCL_AVG" hidden="1" function="0" vbProcedure="0">"c739"</definedName>
    <definedName name="IQ_MKTCAP_TOTAL_REV" hidden="1" function="0" vbProcedure="0">"c740"</definedName>
    <definedName name="IQ_MKTCAP_TOTAL_REV_AVG" hidden="1" function="0" vbProcedure="0">"c741"</definedName>
    <definedName name="IQ_MKTCAP_TOTAL_REV_FWD" hidden="1" function="0" vbProcedure="0">"c742"</definedName>
    <definedName name="IQ_MM_ACCOUNT" hidden="1" function="0" vbProcedure="0">"c743"</definedName>
    <definedName name="IQ_MONEY_MARKET_DEPOSIT_ACCOUNTS_FDIC" hidden="1" function="0" vbProcedure="0">"c6553"</definedName>
    <definedName name="IQ_MONTH" hidden="0" function="0" vbProcedure="0">15000</definedName>
    <definedName name="IQ_MORTGAGE_BACKED_SECURITIES_FDIC" hidden="1" function="0" vbProcedure="0">"c6402"</definedName>
    <definedName name="IQ_MORTGAGE_SERVICING_FDIC" hidden="1" function="0" vbProcedure="0">"c6335"</definedName>
    <definedName name="IQ_MORTGAGE_SERV_RIGHTS" hidden="1" function="0" vbProcedure="0">"c2242"</definedName>
    <definedName name="IQ_MORT_BANKING_FEE" hidden="1" function="0" vbProcedure="0">"c745"</definedName>
    <definedName name="IQ_MORT_BANK_ACT" hidden="1" function="0" vbProcedure="0">"c744"</definedName>
    <definedName name="IQ_MORT_INT_INC" hidden="1" function="0" vbProcedure="0">"c746"</definedName>
    <definedName name="IQ_MORT_LOANS" hidden="1" function="0" vbProcedure="0">"c747"</definedName>
    <definedName name="IQ_MORT_SECURITY" hidden="1" function="0" vbProcedure="0">"c748"</definedName>
    <definedName name="IQ_MTD" hidden="1" function="0" vbProcedure="0">800000</definedName>
    <definedName name="IQ_MULTIFAMILY_RESIDENTIAL_LOANS_FDIC" hidden="1" function="0" vbProcedure="0">"c6311"</definedName>
    <definedName name="IQ_NAMES_REVISION_DATE_" hidden="1" function="0" vbProcedure="0">43526.7168287037</definedName>
    <definedName name="IQ_NAV_ACT_OR_EST" hidden="1" function="0" vbProcedure="0">"c2225"</definedName>
    <definedName name="IQ_NAV_SHARE_ACT_OR_EST_REUT" hidden="1" function="0" vbProcedure="0">"c5623"</definedName>
    <definedName name="IQ_NAV_SHARE_EST_REUT" hidden="1" function="0" vbProcedure="0">"c5617"</definedName>
    <definedName name="IQ_NAV_SHARE_HIGH_EST_REUT" hidden="1" function="0" vbProcedure="0">"c5620"</definedName>
    <definedName name="IQ_NAV_SHARE_LOW_EST_REUT" hidden="1" function="0" vbProcedure="0">"c5621"</definedName>
    <definedName name="IQ_NAV_SHARE_MEDIAN_EST_REUT" hidden="1" function="0" vbProcedure="0">"c5618"</definedName>
    <definedName name="IQ_NAV_SHARE_NUM_EST_REUT" hidden="1" function="0" vbProcedure="0">"c5622"</definedName>
    <definedName name="IQ_NAV_SHARE_STDDEV_EST_REUT" hidden="1" function="0" vbProcedure="0">"c5619"</definedName>
    <definedName name="IQ_NET_CHANGE" hidden="1" function="0" vbProcedure="0">"c749"</definedName>
    <definedName name="IQ_NET_CHARGE_OFFS_FDIC" hidden="1" function="0" vbProcedure="0">"c6641"</definedName>
    <definedName name="IQ_NET_CHARGE_OFFS_LOANS_FDIC" hidden="1" function="0" vbProcedure="0">"c6751"</definedName>
    <definedName name="IQ_NET_DEBT" hidden="1" function="0" vbProcedure="0">"c1584"</definedName>
    <definedName name="IQ_NET_DEBT_ACT_OR_EST_REUT" hidden="1" function="0" vbProcedure="0">"c5473"</definedName>
    <definedName name="IQ_NET_DEBT_EBITDA" hidden="1" function="0" vbProcedure="0">"c750"</definedName>
    <definedName name="IQ_NET_DEBT_EST_REUT" hidden="1" function="0" vbProcedure="0">"c3976"</definedName>
    <definedName name="IQ_NET_DEBT_HIGH_EST_REUT" hidden="1" function="0" vbProcedure="0">"c3978"</definedName>
    <definedName name="IQ_NET_DEBT_ISSUED" hidden="1" function="0" vbProcedure="0">"c751"</definedName>
    <definedName name="IQ_NET_DEBT_ISSUED_BNK" hidden="1" function="0" vbProcedure="0">"c752"</definedName>
    <definedName name="IQ_NET_DEBT_ISSUED_BR" hidden="1" function="0" vbProcedure="0">"c753"</definedName>
    <definedName name="IQ_NET_DEBT_ISSUED_FIN" hidden="1" function="0" vbProcedure="0">"c754"</definedName>
    <definedName name="IQ_NET_DEBT_ISSUED_INS" hidden="1" function="0" vbProcedure="0">"c755"</definedName>
    <definedName name="IQ_NET_DEBT_ISSUED_REIT" hidden="1" function="0" vbProcedure="0">"c756"</definedName>
    <definedName name="IQ_NET_DEBT_ISSUED_UTI" hidden="1" function="0" vbProcedure="0">"c757"</definedName>
    <definedName name="IQ_NET_DEBT_LOW_EST_REUT" hidden="1" function="0" vbProcedure="0">"c3979"</definedName>
    <definedName name="IQ_NET_DEBT_MEDIAN_EST_REUT" hidden="1" function="0" vbProcedure="0">"c3977"</definedName>
    <definedName name="IQ_NET_DEBT_NUM_EST_REUT" hidden="1" function="0" vbProcedure="0">"c3980"</definedName>
    <definedName name="IQ_NET_DEBT_STDDEV_EST_REUT" hidden="1" function="0" vbProcedure="0">"c3981"</definedName>
    <definedName name="IQ_NET_INC" hidden="1" function="0" vbProcedure="0">"c781"</definedName>
    <definedName name="IQ_NET_INCOME_FDIC" hidden="1" function="0" vbProcedure="0">"c6587"</definedName>
    <definedName name="IQ_NET_INC_BEFORE" hidden="1" function="0" vbProcedure="0">"c344"</definedName>
    <definedName name="IQ_NET_INC_CF" hidden="1" function="0" vbProcedure="0">"c793"</definedName>
    <definedName name="IQ_NET_INC_MARGIN" hidden="1" function="0" vbProcedure="0">"c794"</definedName>
    <definedName name="IQ_NET_INTEREST_EXP" hidden="1" function="0" vbProcedure="0">"c769"</definedName>
    <definedName name="IQ_NET_INTEREST_EXP_REIT" hidden="1" function="0" vbProcedure="0">"c770"</definedName>
    <definedName name="IQ_NET_INTEREST_EXP_UTI" hidden="1" function="0" vbProcedure="0">"c771"</definedName>
    <definedName name="IQ_NET_INTEREST_INC" hidden="1" function="0" vbProcedure="0">"c764"</definedName>
    <definedName name="IQ_NET_INTEREST_INC_AFTER_LL" hidden="1" function="0" vbProcedure="0">"c1604"</definedName>
    <definedName name="IQ_NET_INTEREST_MARGIN_FDIC" hidden="1" function="0" vbProcedure="0">"c6726"</definedName>
    <definedName name="IQ_NET_INT_INC_10YR_ANN_GROWTH" hidden="1" function="0" vbProcedure="0">"c758"</definedName>
    <definedName name="IQ_NET_INT_INC_1YR_ANN_GROWTH" hidden="1" function="0" vbProcedure="0">"c759"</definedName>
    <definedName name="IQ_NET_INT_INC_2YR_ANN_GROWTH" hidden="1" function="0" vbProcedure="0">"c760"</definedName>
    <definedName name="IQ_NET_INT_INC_3YR_ANN_GROWTH" hidden="1" function="0" vbProcedure="0">"c761"</definedName>
    <definedName name="IQ_NET_INT_INC_5YR_ANN_GROWTH" hidden="1" function="0" vbProcedure="0">"c762"</definedName>
    <definedName name="IQ_NET_INT_INC_7YR_ANN_GROWTH" hidden="1" function="0" vbProcedure="0">"c763"</definedName>
    <definedName name="IQ_NET_INT_INC_BNK" hidden="1" function="0" vbProcedure="0">"c764"</definedName>
    <definedName name="IQ_NET_INT_INC_BNK_FDIC" hidden="1" function="0" vbProcedure="0">"c6570"</definedName>
    <definedName name="IQ_NET_INT_INC_BR" hidden="1" function="0" vbProcedure="0">"c765"</definedName>
    <definedName name="IQ_NET_INT_INC_FIN" hidden="1" function="0" vbProcedure="0">"c766"</definedName>
    <definedName name="IQ_NET_INT_INC_TOTAL_REV" hidden="1" function="0" vbProcedure="0">"c767"</definedName>
    <definedName name="IQ_NET_INT_MARGIN" hidden="1" function="0" vbProcedure="0">"c768"</definedName>
    <definedName name="IQ_NET_LOANS" hidden="1" function="0" vbProcedure="0">"c772"</definedName>
    <definedName name="IQ_NET_LOANS_10YR_ANN_GROWTH" hidden="1" function="0" vbProcedure="0">"c773"</definedName>
    <definedName name="IQ_NET_LOANS_1YR_ANN_GROWTH" hidden="1" function="0" vbProcedure="0">"c774"</definedName>
    <definedName name="IQ_NET_LOANS_2YR_ANN_GROWTH" hidden="1" function="0" vbProcedure="0">"c775"</definedName>
    <definedName name="IQ_NET_LOANS_3YR_ANN_GROWTH" hidden="1" function="0" vbProcedure="0">"c776"</definedName>
    <definedName name="IQ_NET_LOANS_5YR_ANN_GROWTH" hidden="1" function="0" vbProcedure="0">"c777"</definedName>
    <definedName name="IQ_NET_LOANS_7YR_ANN_GROWTH" hidden="1" function="0" vbProcedure="0">"c778"</definedName>
    <definedName name="IQ_NET_LOANS_LEASES_CORE_DEPOSITS_FDIC" hidden="1" function="0" vbProcedure="0">"c6743"</definedName>
    <definedName name="IQ_NET_LOANS_LEASES_DEPOSITS_FDIC" hidden="1" function="0" vbProcedure="0">"c6742"</definedName>
    <definedName name="IQ_NET_LOANS_TOTAL_DEPOSITS" hidden="1" function="0" vbProcedure="0">"c779"</definedName>
    <definedName name="IQ_NET_OPERATING_INCOME_ASSETS_FDIC" hidden="1" function="0" vbProcedure="0">"c6729"</definedName>
    <definedName name="IQ_NET_RENTAL_EXP_FN" hidden="1" function="0" vbProcedure="0">"c780"</definedName>
    <definedName name="IQ_NET_SECURITIZATION_INCOME_FDIC" hidden="1" function="0" vbProcedure="0">"c6669"</definedName>
    <definedName name="IQ_NET_SERVICING_FEES_FDIC" hidden="1" function="0" vbProcedure="0">"c6668"</definedName>
    <definedName name="IQ_NEXT_CALL_DATE" hidden="1" function="0" vbProcedure="0">"c2198"</definedName>
    <definedName name="IQ_NEXT_CALL_PRICE" hidden="1" function="0" vbProcedure="0">"c2199"</definedName>
    <definedName name="IQ_NEXT_INT_DATE" hidden="1" function="0" vbProcedure="0">"c2187"</definedName>
    <definedName name="IQ_NEXT_PUT_DATE" hidden="1" function="0" vbProcedure="0">"c2200"</definedName>
    <definedName name="IQ_NEXT_PUT_PRICE" hidden="1" function="0" vbProcedure="0">"c2201"</definedName>
    <definedName name="IQ_NI" hidden="1" function="0" vbProcedure="0">"c781"</definedName>
    <definedName name="IQ_NI_10YR_ANN_GROWTH" hidden="1" function="0" vbProcedure="0">"c782"</definedName>
    <definedName name="IQ_NI_1YR_ANN_GROWTH" hidden="1" function="0" vbProcedure="0">"c783"</definedName>
    <definedName name="IQ_NI_2YR_ANN_GROWTH" hidden="1" function="0" vbProcedure="0">"c784"</definedName>
    <definedName name="IQ_NI_3YR_ANN_GROWTH" hidden="1" function="0" vbProcedure="0">"c785"</definedName>
    <definedName name="IQ_NI_5YR_ANN_GROWTH" hidden="1" function="0" vbProcedure="0">"c786"</definedName>
    <definedName name="IQ_NI_7YR_ANN_GROWTH" hidden="1" function="0" vbProcedure="0">"c787"</definedName>
    <definedName name="IQ_NI_ACT_OR_EST_REUT" hidden="1" function="0" vbProcedure="0">"c5468"</definedName>
    <definedName name="IQ_NI_AFTER_CAPITALIZED" hidden="1" function="0" vbProcedure="0">"c788"</definedName>
    <definedName name="IQ_NI_AVAIL_EXCL" hidden="1" function="0" vbProcedure="0">"c789"</definedName>
    <definedName name="IQ_NI_AVAIL_EXCL_MARGIN" hidden="1" function="0" vbProcedure="0">"c790"</definedName>
    <definedName name="IQ_NI_AVAIL_INCL" hidden="1" function="0" vbProcedure="0">"c791"</definedName>
    <definedName name="IQ_NI_BEFORE_CAPITALIZED" hidden="1" function="0" vbProcedure="0">"c792"</definedName>
    <definedName name="IQ_NI_CF" hidden="1" function="0" vbProcedure="0">"c793"</definedName>
    <definedName name="IQ_NI_EST_REUT" hidden="1" function="0" vbProcedure="0">"c5368"</definedName>
    <definedName name="IQ_NI_GW_EST_REUT" hidden="1" function="0" vbProcedure="0">"c5375"</definedName>
    <definedName name="IQ_NI_GW_HIGH_EST_REUT" hidden="1" function="0" vbProcedure="0">"c5377"</definedName>
    <definedName name="IQ_NI_GW_LOW_EST_REUT" hidden="1" function="0" vbProcedure="0">"c5378"</definedName>
    <definedName name="IQ_NI_GW_MEDIAN_EST_REUT" hidden="1" function="0" vbProcedure="0">"c5376"</definedName>
    <definedName name="IQ_NI_GW_NUM_EST_REUT" hidden="1" function="0" vbProcedure="0">"c5379"</definedName>
    <definedName name="IQ_NI_GW_STDDEV_EST_REUT" hidden="1" function="0" vbProcedure="0">"c5380"</definedName>
    <definedName name="IQ_NI_HIGH_EST_REUT" hidden="1" function="0" vbProcedure="0">"c5370"</definedName>
    <definedName name="IQ_NI_LOW_EST_REUT" hidden="1" function="0" vbProcedure="0">"c5371"</definedName>
    <definedName name="IQ_NI_MARGIN" hidden="1" function="0" vbProcedure="0">"c794"</definedName>
    <definedName name="IQ_NI_MEDIAN_EST_REUT" hidden="1" function="0" vbProcedure="0">"c5369"</definedName>
    <definedName name="IQ_NI_NORM" hidden="1" function="0" vbProcedure="0">"c1901"</definedName>
    <definedName name="IQ_NI_NORM_10YR_ANN_GROWTH" hidden="1" function="0" vbProcedure="0">"c1960"</definedName>
    <definedName name="IQ_NI_NORM_1YR_ANN_GROWTH" hidden="1" function="0" vbProcedure="0">"c1955"</definedName>
    <definedName name="IQ_NI_NORM_2YR_ANN_GROWTH" hidden="1" function="0" vbProcedure="0">"c1956"</definedName>
    <definedName name="IQ_NI_NORM_3YR_ANN_GROWTH" hidden="1" function="0" vbProcedure="0">"c1957"</definedName>
    <definedName name="IQ_NI_NORM_5YR_ANN_GROWTH" hidden="1" function="0" vbProcedure="0">"c1958"</definedName>
    <definedName name="IQ_NI_NORM_7YR_ANN_GROWTH" hidden="1" function="0" vbProcedure="0">"c1959"</definedName>
    <definedName name="IQ_NI_NORM_MARGIN" hidden="1" function="0" vbProcedure="0">"c1964"</definedName>
    <definedName name="IQ_NI_NUM_EST_REUT" hidden="1" function="0" vbProcedure="0">"c5372"</definedName>
    <definedName name="IQ_NI_REPORTED_EST_REUT" hidden="1" function="0" vbProcedure="0">"c5382"</definedName>
    <definedName name="IQ_NI_REPORTED_HIGH_EST_REUT" hidden="1" function="0" vbProcedure="0">"c5384"</definedName>
    <definedName name="IQ_NI_REPORTED_LOW_EST_REUT" hidden="1" function="0" vbProcedure="0">"c5385"</definedName>
    <definedName name="IQ_NI_REPORTED_MEDIAN_EST_REUT" hidden="1" function="0" vbProcedure="0">"c5383"</definedName>
    <definedName name="IQ_NI_REPORTED_NUM_EST_REUT" hidden="1" function="0" vbProcedure="0">"c5386"</definedName>
    <definedName name="IQ_NI_REPORTED_STDDEV_EST_REUT" hidden="1" function="0" vbProcedure="0">"c5387"</definedName>
    <definedName name="IQ_NI_SFAS" hidden="1" function="0" vbProcedure="0">"c795"</definedName>
    <definedName name="IQ_NI_STDDEV_EST_REUT" hidden="1" function="0" vbProcedure="0">"c5373"</definedName>
    <definedName name="IQ_NONCURRENT_LOANS_1_4_FAMILY_FDIC" hidden="1" function="0" vbProcedure="0">"c6770"</definedName>
    <definedName name="IQ_NONCURRENT_LOANS_COMMERCIAL_INDUSTRIAL_FDIC" hidden="1" function="0" vbProcedure="0">"c6773"</definedName>
    <definedName name="IQ_NONCURRENT_LOANS_COMMERCIAL_RE_FDIC" hidden="1" function="0" vbProcedure="0">"c6768"</definedName>
    <definedName name="IQ_NONCURRENT_LOANS_COMMERCIAL_RE_NOT_SECURED_FDIC" hidden="1" function="0" vbProcedure="0">"c6778"</definedName>
    <definedName name="IQ_NONCURRENT_LOANS_CONSTRUCTION_LAND_DEV_FDIC" hidden="1" function="0" vbProcedure="0">"c6767"</definedName>
    <definedName name="IQ_NONCURRENT_LOANS_CREDIT_CARD_FDIC" hidden="1" function="0" vbProcedure="0">"c6775"</definedName>
    <definedName name="IQ_NONCURRENT_LOANS_GUARANTEED_FDIC" hidden="1" function="0" vbProcedure="0">"c6358"</definedName>
    <definedName name="IQ_NONCURRENT_LOANS_HOME_EQUITY_FDIC" hidden="1" function="0" vbProcedure="0">"c6771"</definedName>
    <definedName name="IQ_NONCURRENT_LOANS_INDIVIDUALS_FDIC" hidden="1" function="0" vbProcedure="0">"c6774"</definedName>
    <definedName name="IQ_NONCURRENT_LOANS_LEASES_FDIC" hidden="1" function="0" vbProcedure="0">"c6357"</definedName>
    <definedName name="IQ_NONCURRENT_LOANS_MULTIFAMILY_FDIC" hidden="1" function="0" vbProcedure="0">"c6769"</definedName>
    <definedName name="IQ_NONCURRENT_LOANS_OTHER_FAMILY_FDIC" hidden="1" function="0" vbProcedure="0">"c6772"</definedName>
    <definedName name="IQ_NONCURRENT_LOANS_OTHER_INDIVIDUAL_FDIC" hidden="1" function="0" vbProcedure="0">"c6776"</definedName>
    <definedName name="IQ_NONCURRENT_LOANS_OTHER_LOANS_FDIC" hidden="1" function="0" vbProcedure="0">"c6777"</definedName>
    <definedName name="IQ_NONCURRENT_LOANS_RE_FDIC" hidden="1" function="0" vbProcedure="0">"c6766"</definedName>
    <definedName name="IQ_NONCURRENT_LOANS_TOTAL_LOANS_FDIC" hidden="1" function="0" vbProcedure="0">"c6765"</definedName>
    <definedName name="IQ_NONCURRENT_OREO_ASSETS_FDIC" hidden="1" function="0" vbProcedure="0">"c6741"</definedName>
    <definedName name="IQ_NONINTEREST_BEARING_BALANCES_FDIC" hidden="1" function="0" vbProcedure="0">"c6394"</definedName>
    <definedName name="IQ_NONINTEREST_BEARING_DEPOSITS_DOMESTIC_FDIC" hidden="1" function="0" vbProcedure="0">"c6477"</definedName>
    <definedName name="IQ_NONINTEREST_BEARING_DEPOSITS_FOREIGN_FDIC" hidden="1" function="0" vbProcedure="0">"c6484"</definedName>
    <definedName name="IQ_NONINTEREST_EXPENSE_EARNING_ASSETS_FDIC" hidden="1" function="0" vbProcedure="0">"c6728"</definedName>
    <definedName name="IQ_NONINTEREST_INCOME_EARNING_ASSETS_FDIC" hidden="1" function="0" vbProcedure="0">"c6727"</definedName>
    <definedName name="IQ_NONMORTGAGE_SERVICING_FDIC" hidden="1" function="0" vbProcedure="0">"c6336"</definedName>
    <definedName name="IQ_NONRES_FIXED_INVEST_PRIV_APR_FC_UNUSED_UNUSED_UNUSED" hidden="1" function="0" vbProcedure="0">"c8468"</definedName>
    <definedName name="IQ_NONRES_FIXED_INVEST_PRIV_APR_UNUSED_UNUSED_UNUSED" hidden="1" function="0" vbProcedure="0">"c7588"</definedName>
    <definedName name="IQ_NONRES_FIXED_INVEST_PRIV_FC_UNUSED_UNUSED_UNUSED" hidden="1" function="0" vbProcedure="0">"c7808"</definedName>
    <definedName name="IQ_NONRES_FIXED_INVEST_PRIV_POP_FC_UNUSED_UNUSED_UNUSED" hidden="1" function="0" vbProcedure="0">"c8028"</definedName>
    <definedName name="IQ_NONRES_FIXED_INVEST_PRIV_POP_UNUSED_UNUSED_UNUSED" hidden="1" function="0" vbProcedure="0">"c7148"</definedName>
    <definedName name="IQ_NONRES_FIXED_INVEST_PRIV_UNUSED_UNUSED_UNUSED" hidden="1" function="0" vbProcedure="0">"c6928"</definedName>
    <definedName name="IQ_NONRES_FIXED_INVEST_PRIV_YOY_FC_UNUSED_UNUSED_UNUSED" hidden="1" function="0" vbProcedure="0">"c8248"</definedName>
    <definedName name="IQ_NONRES_FIXED_INVEST_PRIV_YOY_UNUSED_UNUSED_UNUSED" hidden="1" function="0" vbProcedure="0">"c7368"</definedName>
    <definedName name="IQ_NONTRANSACTION_ACCOUNTS_FDIC" hidden="1" function="0" vbProcedure="0">"c6552"</definedName>
    <definedName name="IQ_NONUTIL_REV" hidden="1" function="0" vbProcedure="0">"c2089"</definedName>
    <definedName name="IQ_NON_ACCRUAL_LOANS" hidden="1" function="0" vbProcedure="0">"c796"</definedName>
    <definedName name="IQ_NON_CASH" hidden="1" function="0" vbProcedure="0">"c797"</definedName>
    <definedName name="IQ_NON_CASH_ITEMS" hidden="1" function="0" vbProcedure="0">"c797"</definedName>
    <definedName name="IQ_NON_INS_EXP" hidden="1" function="0" vbProcedure="0">"c798"</definedName>
    <definedName name="IQ_NON_INS_REV" hidden="1" function="0" vbProcedure="0">"c799"</definedName>
    <definedName name="IQ_NON_INTEREST_EXP" hidden="1" function="0" vbProcedure="0">"c801"</definedName>
    <definedName name="IQ_NON_INTEREST_INC" hidden="1" function="0" vbProcedure="0">"c802"</definedName>
    <definedName name="IQ_NON_INT_BEAR_CD" hidden="1" function="0" vbProcedure="0">"c800"</definedName>
    <definedName name="IQ_NON_INT_EXP" hidden="1" function="0" vbProcedure="0">"c801"</definedName>
    <definedName name="IQ_NON_INT_EXP_FDIC" hidden="1" function="0" vbProcedure="0">"c6579"</definedName>
    <definedName name="IQ_NON_INT_INC" hidden="1" function="0" vbProcedure="0">"c802"</definedName>
    <definedName name="IQ_NON_INT_INC_10YR_ANN_GROWTH" hidden="1" function="0" vbProcedure="0">"c803"</definedName>
    <definedName name="IQ_NON_INT_INC_1YR_ANN_GROWTH" hidden="1" function="0" vbProcedure="0">"c804"</definedName>
    <definedName name="IQ_NON_INT_INC_2YR_ANN_GROWTH" hidden="1" function="0" vbProcedure="0">"c805"</definedName>
    <definedName name="IQ_NON_INT_INC_3YR_ANN_GROWTH" hidden="1" function="0" vbProcedure="0">"c806"</definedName>
    <definedName name="IQ_NON_INT_INC_5YR_ANN_GROWTH" hidden="1" function="0" vbProcedure="0">"c807"</definedName>
    <definedName name="IQ_NON_INT_INC_7YR_ANN_GROWTH" hidden="1" function="0" vbProcedure="0">"c808"</definedName>
    <definedName name="IQ_NON_INT_INC_FDIC" hidden="1" function="0" vbProcedure="0">"c6575"</definedName>
    <definedName name="IQ_NON_OPER_EXP" hidden="1" function="0" vbProcedure="0">"c809"</definedName>
    <definedName name="IQ_NON_OPER_INC" hidden="1" function="0" vbProcedure="0">"c810"</definedName>
    <definedName name="IQ_NON_PERFORMING_ASSETS" hidden="1" function="0" vbProcedure="0">"c826"</definedName>
    <definedName name="IQ_NON_PERFORMING_LOANS" hidden="1" function="0" vbProcedure="0">"c827"</definedName>
    <definedName name="IQ_NON_PERF_ASSETS_10YR_ANN_GROWTH" hidden="1" function="0" vbProcedure="0">"c811"</definedName>
    <definedName name="IQ_NON_PERF_ASSETS_1YR_ANN_GROWTH" hidden="1" function="0" vbProcedure="0">"c812"</definedName>
    <definedName name="IQ_NON_PERF_ASSETS_2YR_ANN_GROWTH" hidden="1" function="0" vbProcedure="0">"c813"</definedName>
    <definedName name="IQ_NON_PERF_ASSETS_3YR_ANN_GROWTH" hidden="1" function="0" vbProcedure="0">"c814"</definedName>
    <definedName name="IQ_NON_PERF_ASSETS_5YR_ANN_GROWTH" hidden="1" function="0" vbProcedure="0">"c815"</definedName>
    <definedName name="IQ_NON_PERF_ASSETS_7YR_ANN_GROWTH" hidden="1" function="0" vbProcedure="0">"c816"</definedName>
    <definedName name="IQ_NON_PERF_ASSETS_TOTAL_ASSETS" hidden="1" function="0" vbProcedure="0">"c817"</definedName>
    <definedName name="IQ_NON_PERF_LOANS_10YR_ANN_GROWTH" hidden="1" function="0" vbProcedure="0">"c818"</definedName>
    <definedName name="IQ_NON_PERF_LOANS_1YR_ANN_GROWTH" hidden="1" function="0" vbProcedure="0">"c819"</definedName>
    <definedName name="IQ_NON_PERF_LOANS_2YR_ANN_GROWTH" hidden="1" function="0" vbProcedure="0">"c820"</definedName>
    <definedName name="IQ_NON_PERF_LOANS_3YR_ANN_GROWTH" hidden="1" function="0" vbProcedure="0">"c821"</definedName>
    <definedName name="IQ_NON_PERF_LOANS_5YR_ANN_GROWTH" hidden="1" function="0" vbProcedure="0">"c822"</definedName>
    <definedName name="IQ_NON_PERF_LOANS_7YR_ANN_GROWTH" hidden="1" function="0" vbProcedure="0">"c823"</definedName>
    <definedName name="IQ_NON_PERF_LOANS_TOTAL_ASSETS" hidden="1" function="0" vbProcedure="0">"c824"</definedName>
    <definedName name="IQ_NON_PERF_LOANS_TOTAL_LOANS" hidden="1" function="0" vbProcedure="0">"c825"</definedName>
    <definedName name="IQ_NON_US_ADDRESSEES_TOTAL_LOANS_FOREIGN_FDIC" hidden="1" function="0" vbProcedure="0">"c6443"</definedName>
    <definedName name="IQ_NON_US_CHARGE_OFFS_AND_RECOVERIES_FDIC" hidden="1" function="0" vbProcedure="0">"c6650"</definedName>
    <definedName name="IQ_NON_US_CHARGE_OFFS_FDIC" hidden="1" function="0" vbProcedure="0">"c6648"</definedName>
    <definedName name="IQ_NON_US_COMMERCIAL_INDUSTRIAL_CHARGE_OFFS_FDIC" hidden="1" function="0" vbProcedure="0">"c6651"</definedName>
    <definedName name="IQ_NON_US_NET_LOANS_FDIC" hidden="1" function="0" vbProcedure="0">"c6376"</definedName>
    <definedName name="IQ_NON_US_RECOVERIES_FDIC" hidden="1" function="0" vbProcedure="0">"c6649"</definedName>
    <definedName name="IQ_NORMAL_INC_AFTER" hidden="1" function="0" vbProcedure="0">"c1605"</definedName>
    <definedName name="IQ_NORMAL_INC_AVAIL" hidden="1" function="0" vbProcedure="0">"c1606"</definedName>
    <definedName name="IQ_NORMAL_INC_BEFORE" hidden="1" function="0" vbProcedure="0">"c1607"</definedName>
    <definedName name="IQ_NORM_EPS_ACT_OR_EST_REUT" hidden="1" function="0" vbProcedure="0">"c5472"</definedName>
    <definedName name="IQ_NOTES_PAY" hidden="1" function="0" vbProcedure="0">"c1176"</definedName>
    <definedName name="IQ_NOTIONAL_AMOUNT_CREDIT_DERIVATIVES_FDIC" hidden="1" function="0" vbProcedure="0">"c6507"</definedName>
    <definedName name="IQ_NOTIONAL_VALUE_EXCHANGE_SWAPS_FDIC" hidden="1" function="0" vbProcedure="0">"c6516"</definedName>
    <definedName name="IQ_NOTIONAL_VALUE_OTHER_SWAPS_FDIC" hidden="1" function="0" vbProcedure="0">"c6521"</definedName>
    <definedName name="IQ_NOTIONAL_VALUE_RATE_SWAPS_FDIC" hidden="1" function="0" vbProcedure="0">"c6511"</definedName>
    <definedName name="IQ_NOW_ACCOUNT" hidden="1" function="0" vbProcedure="0">"c828"</definedName>
    <definedName name="IQ_NPPE" hidden="1" function="0" vbProcedure="0">"c829"</definedName>
    <definedName name="IQ_NPPE_10YR_ANN_GROWTH" hidden="1" function="0" vbProcedure="0">"c830"</definedName>
    <definedName name="IQ_NPPE_1YR_ANN_GROWTH" hidden="1" function="0" vbProcedure="0">"c831"</definedName>
    <definedName name="IQ_NPPE_2YR_ANN_GROWTH" hidden="1" function="0" vbProcedure="0">"c832"</definedName>
    <definedName name="IQ_NPPE_3YR_ANN_GROWTH" hidden="1" function="0" vbProcedure="0">"c833"</definedName>
    <definedName name="IQ_NPPE_5YR_ANN_GROWTH" hidden="1" function="0" vbProcedure="0">"c834"</definedName>
    <definedName name="IQ_NPPE_7YR_ANN_GROWTH" hidden="1" function="0" vbProcedure="0">"c835"</definedName>
    <definedName name="IQ_NTM" hidden="0" function="0" vbProcedure="0">6000</definedName>
    <definedName name="IQ_NUKE" hidden="1" function="0" vbProcedure="0">"c836"</definedName>
    <definedName name="IQ_NUKE_CF" hidden="1" function="0" vbProcedure="0">"c837"</definedName>
    <definedName name="IQ_NUKE_CONTR" hidden="1" function="0" vbProcedure="0">"c838"</definedName>
    <definedName name="IQ_NUMBER_ADRHOLDERS" hidden="1" function="0" vbProcedure="0">"c1970"</definedName>
    <definedName name="IQ_NUMBER_DAYS" hidden="1" function="0" vbProcedure="0">"c1904"</definedName>
    <definedName name="IQ_NUMBER_DEPOSITS_LESS_THAN_100K_FDIC" hidden="1" function="0" vbProcedure="0">"c6495"</definedName>
    <definedName name="IQ_NUMBER_DEPOSITS_MORE_THAN_100K_FDIC" hidden="1" function="0" vbProcedure="0">"c6493"</definedName>
    <definedName name="IQ_NUMBER_SHAREHOLDERS" hidden="1" function="0" vbProcedure="0">"c1967"</definedName>
    <definedName name="IQ_NUMBER_SHAREHOLDERS_CLASSA" hidden="1" function="0" vbProcedure="0">"c1968"</definedName>
    <definedName name="IQ_NUMBER_SHAREHOLDERS_OTHER" hidden="1" function="0" vbProcedure="0">"c1969"</definedName>
    <definedName name="IQ_NUM_BRANCHES" hidden="1" function="0" vbProcedure="0">"c2088"</definedName>
    <definedName name="IQ_OBLIGATIONS_OF_STATES_TOTAL_LOANS_FOREIGN_FDIC" hidden="1" function="0" vbProcedure="0">"c6447"</definedName>
    <definedName name="IQ_OBLIGATIONS_STATES_FDIC" hidden="1" function="0" vbProcedure="0">"c6431"</definedName>
    <definedName name="IQ_OCCUPY_EXP" hidden="1" function="0" vbProcedure="0">"c839"</definedName>
    <definedName name="IQ_OFFER_AMOUNT" hidden="1" function="0" vbProcedure="0">"c2152"</definedName>
    <definedName name="IQ_OFFER_COUPON" hidden="1" function="0" vbProcedure="0">"c2147"</definedName>
    <definedName name="IQ_OFFER_COUPON_TYPE" hidden="1" function="0" vbProcedure="0">"c2148"</definedName>
    <definedName name="IQ_OFFER_DATE" hidden="1" function="0" vbProcedure="0">"c2149"</definedName>
    <definedName name="IQ_OFFER_PRICE" hidden="1" function="0" vbProcedure="0">"c2150"</definedName>
    <definedName name="IQ_OFFER_YIELD" hidden="1" function="0" vbProcedure="0">"c2151"</definedName>
    <definedName name="IQ_OG_10DISC" hidden="1" function="0" vbProcedure="0">"c1998"</definedName>
    <definedName name="IQ_OG_10DISC_GAS" hidden="1" function="0" vbProcedure="0">"c2018"</definedName>
    <definedName name="IQ_OG_10DISC_OIL" hidden="1" function="0" vbProcedure="0">"c2008"</definedName>
    <definedName name="IQ_OG_ACQ_COST_PROVED" hidden="1" function="0" vbProcedure="0">"c1975"</definedName>
    <definedName name="IQ_OG_ACQ_COST_PROVED_GAS" hidden="1" function="0" vbProcedure="0">"c1987"</definedName>
    <definedName name="IQ_OG_ACQ_COST_PROVED_OIL" hidden="1" function="0" vbProcedure="0">"c1981"</definedName>
    <definedName name="IQ_OG_ACQ_COST_UNPROVED" hidden="1" function="0" vbProcedure="0">"c1976"</definedName>
    <definedName name="IQ_OG_ACQ_COST_UNPROVED_GAS" hidden="1" function="0" vbProcedure="0">"c1988"</definedName>
    <definedName name="IQ_OG_ACQ_COST_UNPROVED_OIL" hidden="1" function="0" vbProcedure="0">"c1982"</definedName>
    <definedName name="IQ_OG_CLOSE_BALANCE_GAS" hidden="1" function="0" vbProcedure="0">"c2049"</definedName>
    <definedName name="IQ_OG_CLOSE_BALANCE_OIL" hidden="1" function="0" vbProcedure="0">"c2037"</definedName>
    <definedName name="IQ_OG_DCF_BEFORE_TAXES" hidden="1" function="0" vbProcedure="0">"c2023"</definedName>
    <definedName name="IQ_OG_DCF_BEFORE_TAXES_GAS" hidden="1" function="0" vbProcedure="0">"c2025"</definedName>
    <definedName name="IQ_OG_DCF_BEFORE_TAXES_OIL" hidden="1" function="0" vbProcedure="0">"c2024"</definedName>
    <definedName name="IQ_OG_DEVELOPED_RESERVES_GAS" hidden="1" function="0" vbProcedure="0">"c2053"</definedName>
    <definedName name="IQ_OG_DEVELOPED_RESERVES_OIL" hidden="1" function="0" vbProcedure="0">"c2054"</definedName>
    <definedName name="IQ_OG_DEVELOPMENT_COSTS" hidden="1" function="0" vbProcedure="0">"c1978"</definedName>
    <definedName name="IQ_OG_DEVELOPMENT_COSTS_GAS" hidden="1" function="0" vbProcedure="0">"c1990"</definedName>
    <definedName name="IQ_OG_DEVELOPMENT_COSTS_OIL" hidden="1" function="0" vbProcedure="0">"c1984"</definedName>
    <definedName name="IQ_OG_EQUITY_DCF" hidden="1" function="0" vbProcedure="0">"c2002"</definedName>
    <definedName name="IQ_OG_EQUITY_DCF_GAS" hidden="1" function="0" vbProcedure="0">"c2022"</definedName>
    <definedName name="IQ_OG_EQUITY_DCF_OIL" hidden="1" function="0" vbProcedure="0">"c2012"</definedName>
    <definedName name="IQ_OG_EQUTY_RESERVES_GAS" hidden="1" function="0" vbProcedure="0">"c2050"</definedName>
    <definedName name="IQ_OG_EQUTY_RESERVES_OIL" hidden="1" function="0" vbProcedure="0">"c2038"</definedName>
    <definedName name="IQ_OG_EXPLORATION_COSTS" hidden="1" function="0" vbProcedure="0">"c1977"</definedName>
    <definedName name="IQ_OG_EXPLORATION_COSTS_GAS" hidden="1" function="0" vbProcedure="0">"c1989"</definedName>
    <definedName name="IQ_OG_EXPLORATION_COSTS_OIL" hidden="1" function="0" vbProcedure="0">"c1983"</definedName>
    <definedName name="IQ_OG_EXT_DISC_GAS" hidden="1" function="0" vbProcedure="0">"c2043"</definedName>
    <definedName name="IQ_OG_EXT_DISC_OIL" hidden="1" function="0" vbProcedure="0">"c2031"</definedName>
    <definedName name="IQ_OG_FUTURE_CASH_INFLOWS" hidden="1" function="0" vbProcedure="0">"c1993"</definedName>
    <definedName name="IQ_OG_FUTURE_CASH_INFLOWS_GAS" hidden="1" function="0" vbProcedure="0">"c2013"</definedName>
    <definedName name="IQ_OG_FUTURE_CASH_INFLOWS_OIL" hidden="1" function="0" vbProcedure="0">"c2003"</definedName>
    <definedName name="IQ_OG_FUTURE_DEVELOPMENT_COSTS" hidden="1" function="0" vbProcedure="0">"c1995"</definedName>
    <definedName name="IQ_OG_FUTURE_DEVELOPMENT_COSTS_GAS" hidden="1" function="0" vbProcedure="0">"c2015"</definedName>
    <definedName name="IQ_OG_FUTURE_DEVELOPMENT_COSTS_OIL" hidden="1" function="0" vbProcedure="0">"c2005"</definedName>
    <definedName name="IQ_OG_FUTURE_INC_TAXES" hidden="1" function="0" vbProcedure="0">"c1997"</definedName>
    <definedName name="IQ_OG_FUTURE_INC_TAXES_GAS" hidden="1" function="0" vbProcedure="0">"c2017"</definedName>
    <definedName name="IQ_OG_FUTURE_INC_TAXES_OIL" hidden="1" function="0" vbProcedure="0">"c2007"</definedName>
    <definedName name="IQ_OG_FUTURE_PRODUCTION_COSTS" hidden="1" function="0" vbProcedure="0">"c1994"</definedName>
    <definedName name="IQ_OG_FUTURE_PRODUCTION_COSTS_GAS" hidden="1" function="0" vbProcedure="0">"c2014"</definedName>
    <definedName name="IQ_OG_FUTURE_PRODUCTION_COSTS_OIL" hidden="1" function="0" vbProcedure="0">"c2004"</definedName>
    <definedName name="IQ_OG_GAS_PRICE_HEDGED" hidden="1" function="0" vbProcedure="0">"c2056"</definedName>
    <definedName name="IQ_OG_GAS_PRICE_UNHEDGED" hidden="1" function="0" vbProcedure="0">"c2058"</definedName>
    <definedName name="IQ_OG_IMPROVED_RECOVERY_GAS" hidden="1" function="0" vbProcedure="0">"c2044"</definedName>
    <definedName name="IQ_OG_IMPROVED_RECOVERY_OIL" hidden="1" function="0" vbProcedure="0">"c2032"</definedName>
    <definedName name="IQ_OG_LIQUID_GAS_PRICE_HEDGED" hidden="1" function="0" vbProcedure="0">"c2233"</definedName>
    <definedName name="IQ_OG_LIQUID_GAS_PRICE_UNHEDGED" hidden="1" function="0" vbProcedure="0">"c2234"</definedName>
    <definedName name="IQ_OG_NET_FUTURE_CASH_FLOWS" hidden="1" function="0" vbProcedure="0">"c1996"</definedName>
    <definedName name="IQ_OG_NET_FUTURE_CASH_FLOWS_GAS" hidden="1" function="0" vbProcedure="0">"c2016"</definedName>
    <definedName name="IQ_OG_NET_FUTURE_CASH_FLOWS_OIL" hidden="1" function="0" vbProcedure="0">"c2006"</definedName>
    <definedName name="IQ_OG_OIL_PRICE_HEDGED" hidden="1" function="0" vbProcedure="0">"c2055"</definedName>
    <definedName name="IQ_OG_OIL_PRICE_UNHEDGED" hidden="1" function="0" vbProcedure="0">"c2057"</definedName>
    <definedName name="IQ_OG_OPEN_BALANCE_GAS" hidden="1" function="0" vbProcedure="0">"c2041"</definedName>
    <definedName name="IQ_OG_OPEN_BALANCE_OIL" hidden="1" function="0" vbProcedure="0">"c2029"</definedName>
    <definedName name="IQ_OG_OTHER_ADJ_FCF" hidden="1" function="0" vbProcedure="0">"c1999"</definedName>
    <definedName name="IQ_OG_OTHER_ADJ_FCF_GAS" hidden="1" function="0" vbProcedure="0">"c2019"</definedName>
    <definedName name="IQ_OG_OTHER_ADJ_FCF_OIL" hidden="1" function="0" vbProcedure="0">"c2009"</definedName>
    <definedName name="IQ_OG_OTHER_ADJ_GAS" hidden="1" function="0" vbProcedure="0">"c2048"</definedName>
    <definedName name="IQ_OG_OTHER_ADJ_OIL" hidden="1" function="0" vbProcedure="0">"c2036"</definedName>
    <definedName name="IQ_OG_OTHER_COSTS" hidden="1" function="0" vbProcedure="0">"c1979"</definedName>
    <definedName name="IQ_OG_OTHER_COSTS_GAS" hidden="1" function="0" vbProcedure="0">"c1991"</definedName>
    <definedName name="IQ_OG_OTHER_COSTS_OIL" hidden="1" function="0" vbProcedure="0">"c1985"</definedName>
    <definedName name="IQ_OG_PRODUCTION_GAS" hidden="1" function="0" vbProcedure="0">"c2047"</definedName>
    <definedName name="IQ_OG_PRODUCTION_OIL" hidden="1" function="0" vbProcedure="0">"c2035"</definedName>
    <definedName name="IQ_OG_PURCHASES_GAS" hidden="1" function="0" vbProcedure="0">"c2045"</definedName>
    <definedName name="IQ_OG_PURCHASES_OIL" hidden="1" function="0" vbProcedure="0">"c2033"</definedName>
    <definedName name="IQ_OG_REVISIONS_GAS" hidden="1" function="0" vbProcedure="0">"c2042"</definedName>
    <definedName name="IQ_OG_REVISIONS_OIL" hidden="1" function="0" vbProcedure="0">"c2030"</definedName>
    <definedName name="IQ_OG_SALES_IN_PLACE_GAS" hidden="1" function="0" vbProcedure="0">"c2046"</definedName>
    <definedName name="IQ_OG_SALES_IN_PLACE_OIL" hidden="1" function="0" vbProcedure="0">"c2034"</definedName>
    <definedName name="IQ_OG_STANDARDIZED_DCF" hidden="1" function="0" vbProcedure="0">"c2000"</definedName>
    <definedName name="IQ_OG_STANDARDIZED_DCF_GAS" hidden="1" function="0" vbProcedure="0">"c2020"</definedName>
    <definedName name="IQ_OG_STANDARDIZED_DCF_HEDGED" hidden="1" function="0" vbProcedure="0">"c2001"</definedName>
    <definedName name="IQ_OG_STANDARDIZED_DCF_HEDGED_GAS" hidden="1" function="0" vbProcedure="0">"c2021"</definedName>
    <definedName name="IQ_OG_STANDARDIZED_DCF_HEDGED_OIL" hidden="1" function="0" vbProcedure="0">"c2011"</definedName>
    <definedName name="IQ_OG_STANDARDIZED_DCF_OIL" hidden="1" function="0" vbProcedure="0">"c2010"</definedName>
    <definedName name="IQ_OG_TAXES" hidden="1" function="0" vbProcedure="0">"c2026"</definedName>
    <definedName name="IQ_OG_TAXES_GAS" hidden="1" function="0" vbProcedure="0">"c2028"</definedName>
    <definedName name="IQ_OG_TAXES_OIL" hidden="1" function="0" vbProcedure="0">"c2027"</definedName>
    <definedName name="IQ_OG_TOTAL_COSTS" hidden="1" function="0" vbProcedure="0">"c1980"</definedName>
    <definedName name="IQ_OG_TOTAL_COSTS_GAS" hidden="1" function="0" vbProcedure="0">"c1992"</definedName>
    <definedName name="IQ_OG_TOTAL_COSTS_OIL" hidden="1" function="0" vbProcedure="0">"c1986"</definedName>
    <definedName name="IQ_OG_TOTAL_EST_PROVED_RESERVES_GAS" hidden="1" function="0" vbProcedure="0">"c2052"</definedName>
    <definedName name="IQ_OG_TOTAL_GAS_PRODUCTION" hidden="1" function="0" vbProcedure="0">"c2060"</definedName>
    <definedName name="IQ_OG_TOTAL_LIQUID_GAS_PRODUCTION" hidden="1" function="0" vbProcedure="0">"c2235"</definedName>
    <definedName name="IQ_OG_TOTAL_OIL_PRODUCTON" hidden="1" function="0" vbProcedure="0">"c2059"</definedName>
    <definedName name="IQ_OG_UNDEVELOPED_RESERVES_GAS" hidden="1" function="0" vbProcedure="0">"c2051"</definedName>
    <definedName name="IQ_OG_UNDEVELOPED_RESERVES_OIL" hidden="1" function="0" vbProcedure="0">"c2039"</definedName>
    <definedName name="IQ_OIL_IMPAIR" hidden="1" function="0" vbProcedure="0">"c840"</definedName>
    <definedName name="IQ_OL_COMM_AFTER_FIVE" hidden="1" function="0" vbProcedure="0">"c841"</definedName>
    <definedName name="IQ_OL_COMM_CY" hidden="1" function="0" vbProcedure="0">"c842"</definedName>
    <definedName name="IQ_OL_COMM_CY1" hidden="1" function="0" vbProcedure="0">"c843"</definedName>
    <definedName name="IQ_OL_COMM_CY2" hidden="1" function="0" vbProcedure="0">"c844"</definedName>
    <definedName name="IQ_OL_COMM_CY3" hidden="1" function="0" vbProcedure="0">"c845"</definedName>
    <definedName name="IQ_OL_COMM_CY4" hidden="1" function="0" vbProcedure="0">"c846"</definedName>
    <definedName name="IQ_OL_COMM_NEXT_FIVE" hidden="1" function="0" vbProcedure="0">"c847"</definedName>
    <definedName name="IQ_OPENPRICE" hidden="1" function="0" vbProcedure="0">"c848"</definedName>
    <definedName name="IQ_OPERATIONS_EXP" hidden="1" function="0" vbProcedure="0">"c855"</definedName>
    <definedName name="IQ_OPER_INC" hidden="1" function="0" vbProcedure="0">"c849"</definedName>
    <definedName name="IQ_OPER_INC_ACT_OR_EST_REUT" hidden="1" function="0" vbProcedure="0">"c5466"</definedName>
    <definedName name="IQ_OPER_INC_BR" hidden="1" function="0" vbProcedure="0">"c850"</definedName>
    <definedName name="IQ_OPER_INC_EST_REUT" hidden="1" function="0" vbProcedure="0">"c5340"</definedName>
    <definedName name="IQ_OPER_INC_FIN" hidden="1" function="0" vbProcedure="0">"c851"</definedName>
    <definedName name="IQ_OPER_INC_HIGH_EST_REUT" hidden="1" function="0" vbProcedure="0">"c5342"</definedName>
    <definedName name="IQ_OPER_INC_INS" hidden="1" function="0" vbProcedure="0">"c852"</definedName>
    <definedName name="IQ_OPER_INC_LOW_EST_REUT" hidden="1" function="0" vbProcedure="0">"c5343"</definedName>
    <definedName name="IQ_OPER_INC_MARGIN" hidden="1" function="0" vbProcedure="0">"c362"</definedName>
    <definedName name="IQ_OPER_INC_MEDIAN_EST_REUT" hidden="1" function="0" vbProcedure="0">"c5341"</definedName>
    <definedName name="IQ_OPER_INC_NUM_EST_REUT" hidden="1" function="0" vbProcedure="0">"c5344"</definedName>
    <definedName name="IQ_OPER_INC_REIT" hidden="1" function="0" vbProcedure="0">"c853"</definedName>
    <definedName name="IQ_OPER_INC_STDDEV_EST_REUT" hidden="1" function="0" vbProcedure="0">"c5345"</definedName>
    <definedName name="IQ_OPER_INC_UTI" hidden="1" function="0" vbProcedure="0">"c854"</definedName>
    <definedName name="IQ_OPTIONS_BEG_OS" hidden="1" function="0" vbProcedure="0">"c1572"</definedName>
    <definedName name="IQ_OPTIONS_CANCELLED" hidden="1" function="0" vbProcedure="0">"c856"</definedName>
    <definedName name="IQ_OPTIONS_END_OS" hidden="1" function="0" vbProcedure="0">"c1573"</definedName>
    <definedName name="IQ_OPTIONS_EXERCISED" hidden="1" function="0" vbProcedure="0">"c2116"</definedName>
    <definedName name="IQ_OPTIONS_ISSUED" hidden="1" function="0" vbProcedure="0">"c857"</definedName>
    <definedName name="IQ_ORDER_BACKLOG" hidden="1" function="0" vbProcedure="0">"c2090"</definedName>
    <definedName name="IQ_OREO_1_4_RESIDENTIAL_FDIC" hidden="1" function="0" vbProcedure="0">"c6454"</definedName>
    <definedName name="IQ_OREO_COMMERCIAL_RE_FDIC" hidden="1" function="0" vbProcedure="0">"c6456"</definedName>
    <definedName name="IQ_OREO_CONSTRUCTION_DEVELOPMENT_FDIC" hidden="1" function="0" vbProcedure="0">"c6457"</definedName>
    <definedName name="IQ_OREO_FARMLAND_FDIC" hidden="1" function="0" vbProcedure="0">"c6458"</definedName>
    <definedName name="IQ_OREO_FOREIGN_FDIC" hidden="1" function="0" vbProcedure="0">"c6460"</definedName>
    <definedName name="IQ_OREO_MULTI_FAMILY_RESIDENTIAL_FDIC" hidden="1" function="0" vbProcedure="0">"c6455"</definedName>
    <definedName name="IQ_OTHER_ADJUST_GROSS_LOANS" hidden="1" function="0" vbProcedure="0">"c859"</definedName>
    <definedName name="IQ_OTHER_AMORT_BR" hidden="1" function="0" vbProcedure="0">"c5566"</definedName>
    <definedName name="IQ_OTHER_ASSETS" hidden="1" function="0" vbProcedure="0">"c860"</definedName>
    <definedName name="IQ_OTHER_ASSETS_BNK" hidden="1" function="0" vbProcedure="0">"c861"</definedName>
    <definedName name="IQ_OTHER_ASSETS_BR" hidden="1" function="0" vbProcedure="0">"c862"</definedName>
    <definedName name="IQ_OTHER_ASSETS_FDIC" hidden="1" function="0" vbProcedure="0">"c6338"</definedName>
    <definedName name="IQ_OTHER_ASSETS_FIN" hidden="1" function="0" vbProcedure="0">"c863"</definedName>
    <definedName name="IQ_OTHER_ASSETS_INS" hidden="1" function="0" vbProcedure="0">"c864"</definedName>
    <definedName name="IQ_OTHER_ASSETS_REIT" hidden="1" function="0" vbProcedure="0">"c865"</definedName>
    <definedName name="IQ_OTHER_ASSETS_SERV_RIGHTS" hidden="1" function="0" vbProcedure="0">"c2243"</definedName>
    <definedName name="IQ_OTHER_ASSETS_UTI" hidden="1" function="0" vbProcedure="0">"c866"</definedName>
    <definedName name="IQ_OTHER_BEARING_LIAB" hidden="1" function="0" vbProcedure="0">"c1608"</definedName>
    <definedName name="IQ_OTHER_BENEFITS_OBLIGATION" hidden="1" function="0" vbProcedure="0">"c867"</definedName>
    <definedName name="IQ_OTHER_BORROWED_FUNDS_FDIC" hidden="1" function="0" vbProcedure="0">"c6345"</definedName>
    <definedName name="IQ_OTHER_CA" hidden="1" function="0" vbProcedure="0">"c868"</definedName>
    <definedName name="IQ_OTHER_CA_SUPPL" hidden="1" function="0" vbProcedure="0">"c869"</definedName>
    <definedName name="IQ_OTHER_CA_SUPPL_BNK" hidden="1" function="0" vbProcedure="0">"c870"</definedName>
    <definedName name="IQ_OTHER_CA_SUPPL_BR" hidden="1" function="0" vbProcedure="0">"c871"</definedName>
    <definedName name="IQ_OTHER_CA_SUPPL_FIN" hidden="1" function="0" vbProcedure="0">"c872"</definedName>
    <definedName name="IQ_OTHER_CA_SUPPL_INS" hidden="1" function="0" vbProcedure="0">"c873"</definedName>
    <definedName name="IQ_OTHER_CA_SUPPL_REIT" hidden="1" function="0" vbProcedure="0">"c874"</definedName>
    <definedName name="IQ_OTHER_CA_SUPPL_UTI" hidden="1" function="0" vbProcedure="0">"c875"</definedName>
    <definedName name="IQ_OTHER_CA_UTI" hidden="1" function="0" vbProcedure="0">"c876"</definedName>
    <definedName name="IQ_OTHER_CL" hidden="1" function="0" vbProcedure="0">"c877"</definedName>
    <definedName name="IQ_OTHER_CL_SUPPL" hidden="1" function="0" vbProcedure="0">"c878"</definedName>
    <definedName name="IQ_OTHER_CL_SUPPL_BNK" hidden="1" function="0" vbProcedure="0">"c879"</definedName>
    <definedName name="IQ_OTHER_CL_SUPPL_BR" hidden="1" function="0" vbProcedure="0">"c880"</definedName>
    <definedName name="IQ_OTHER_CL_SUPPL_FIN" hidden="1" function="0" vbProcedure="0">"c881"</definedName>
    <definedName name="IQ_OTHER_CL_SUPPL_REIT" hidden="1" function="0" vbProcedure="0">"c882"</definedName>
    <definedName name="IQ_OTHER_CL_SUPPL_UTI" hidden="1" function="0" vbProcedure="0">"c883"</definedName>
    <definedName name="IQ_OTHER_CL_UTI" hidden="1" function="0" vbProcedure="0">"c884"</definedName>
    <definedName name="IQ_OTHER_COMPREHENSIVE_INCOME_FDIC" hidden="1" function="0" vbProcedure="0">"c6503"</definedName>
    <definedName name="IQ_OTHER_CURRENT_ASSETS" hidden="1" function="0" vbProcedure="0">"c868"</definedName>
    <definedName name="IQ_OTHER_CURRENT_LIAB" hidden="1" function="0" vbProcedure="0">"c877"</definedName>
    <definedName name="IQ_OTHER_DEP" hidden="1" function="0" vbProcedure="0">"c885"</definedName>
    <definedName name="IQ_OTHER_DEPOSITORY_INSTITUTIONS_LOANS_FDIC" hidden="1" function="0" vbProcedure="0">"c6436"</definedName>
    <definedName name="IQ_OTHER_DEPOSITORY_INSTITUTIONS_TOTAL_LOANS_FOREIGN_FDIC" hidden="1" function="0" vbProcedure="0">"c6442"</definedName>
    <definedName name="IQ_OTHER_DOMESTIC_DEBT_SECURITIES_FDIC" hidden="1" function="0" vbProcedure="0">"c6302"</definedName>
    <definedName name="IQ_OTHER_EARNING" hidden="1" function="0" vbProcedure="0">"c1609"</definedName>
    <definedName name="IQ_OTHER_EQUITY" hidden="1" function="0" vbProcedure="0">"c886"</definedName>
    <definedName name="IQ_OTHER_EQUITY_BNK" hidden="1" function="0" vbProcedure="0">"c887"</definedName>
    <definedName name="IQ_OTHER_EQUITY_BR" hidden="1" function="0" vbProcedure="0">"c888"</definedName>
    <definedName name="IQ_OTHER_EQUITY_FIN" hidden="1" function="0" vbProcedure="0">"c889"</definedName>
    <definedName name="IQ_OTHER_EQUITY_INS" hidden="1" function="0" vbProcedure="0">"c890"</definedName>
    <definedName name="IQ_OTHER_EQUITY_REIT" hidden="1" function="0" vbProcedure="0">"c891"</definedName>
    <definedName name="IQ_OTHER_EQUITY_UTI" hidden="1" function="0" vbProcedure="0">"c892"</definedName>
    <definedName name="IQ_OTHER_FINANCE_ACT" hidden="1" function="0" vbProcedure="0">"c893"</definedName>
    <definedName name="IQ_OTHER_FINANCE_ACT_BNK" hidden="1" function="0" vbProcedure="0">"c894"</definedName>
    <definedName name="IQ_OTHER_FINANCE_ACT_BR" hidden="1" function="0" vbProcedure="0">"c895"</definedName>
    <definedName name="IQ_OTHER_FINANCE_ACT_FIN" hidden="1" function="0" vbProcedure="0">"c896"</definedName>
    <definedName name="IQ_OTHER_FINANCE_ACT_INS" hidden="1" function="0" vbProcedure="0">"c897"</definedName>
    <definedName name="IQ_OTHER_FINANCE_ACT_REIT" hidden="1" function="0" vbProcedure="0">"c898"</definedName>
    <definedName name="IQ_OTHER_FINANCE_ACT_SUPPL" hidden="1" function="0" vbProcedure="0">"c899"</definedName>
    <definedName name="IQ_OTHER_FINANCE_ACT_SUPPL_BNK" hidden="1" function="0" vbProcedure="0">"c900"</definedName>
    <definedName name="IQ_OTHER_FINANCE_ACT_SUPPL_BR" hidden="1" function="0" vbProcedure="0">"c901"</definedName>
    <definedName name="IQ_OTHER_FINANCE_ACT_SUPPL_FIN" hidden="1" function="0" vbProcedure="0">"c902"</definedName>
    <definedName name="IQ_OTHER_FINANCE_ACT_SUPPL_INS" hidden="1" function="0" vbProcedure="0">"c903"</definedName>
    <definedName name="IQ_OTHER_FINANCE_ACT_SUPPL_REIT" hidden="1" function="0" vbProcedure="0">"c904"</definedName>
    <definedName name="IQ_OTHER_FINANCE_ACT_SUPPL_UTI" hidden="1" function="0" vbProcedure="0">"c905"</definedName>
    <definedName name="IQ_OTHER_FINANCE_ACT_UTI" hidden="1" function="0" vbProcedure="0">"c906"</definedName>
    <definedName name="IQ_OTHER_INSURANCE_FEES_FDIC" hidden="1" function="0" vbProcedure="0">"c6672"</definedName>
    <definedName name="IQ_OTHER_INTAN" hidden="1" function="0" vbProcedure="0">"c907"</definedName>
    <definedName name="IQ_OTHER_INTANGIBLE_FDIC" hidden="1" function="0" vbProcedure="0">"c6337"</definedName>
    <definedName name="IQ_OTHER_INTAN_BNK" hidden="1" function="0" vbProcedure="0">"c908"</definedName>
    <definedName name="IQ_OTHER_INTAN_BR" hidden="1" function="0" vbProcedure="0">"c909"</definedName>
    <definedName name="IQ_OTHER_INTAN_FIN" hidden="1" function="0" vbProcedure="0">"c910"</definedName>
    <definedName name="IQ_OTHER_INTAN_INS" hidden="1" function="0" vbProcedure="0">"c911"</definedName>
    <definedName name="IQ_OTHER_INTAN_REIT" hidden="1" function="0" vbProcedure="0">"c912"</definedName>
    <definedName name="IQ_OTHER_INTAN_UTI" hidden="1" function="0" vbProcedure="0">"c913"</definedName>
    <definedName name="IQ_OTHER_INV" hidden="1" function="0" vbProcedure="0">"c914"</definedName>
    <definedName name="IQ_OTHER_INVEST" hidden="1" function="0" vbProcedure="0">"c915"</definedName>
    <definedName name="IQ_OTHER_INVESTING" hidden="1" function="0" vbProcedure="0">"c916"</definedName>
    <definedName name="IQ_OTHER_INVEST_ACT" hidden="1" function="0" vbProcedure="0">"c916"</definedName>
    <definedName name="IQ_OTHER_INVEST_ACT_BNK" hidden="1" function="0" vbProcedure="0">"c917"</definedName>
    <definedName name="IQ_OTHER_INVEST_ACT_BR" hidden="1" function="0" vbProcedure="0">"c918"</definedName>
    <definedName name="IQ_OTHER_INVEST_ACT_FIN" hidden="1" function="0" vbProcedure="0">"c919"</definedName>
    <definedName name="IQ_OTHER_INVEST_ACT_INS" hidden="1" function="0" vbProcedure="0">"c920"</definedName>
    <definedName name="IQ_OTHER_INVEST_ACT_REIT" hidden="1" function="0" vbProcedure="0">"c921"</definedName>
    <definedName name="IQ_OTHER_INVEST_ACT_SUPPL" hidden="1" function="0" vbProcedure="0">"c922"</definedName>
    <definedName name="IQ_OTHER_INVEST_ACT_SUPPL_BNK" hidden="1" function="0" vbProcedure="0">"c923"</definedName>
    <definedName name="IQ_OTHER_INVEST_ACT_SUPPL_BR" hidden="1" function="0" vbProcedure="0">"c924"</definedName>
    <definedName name="IQ_OTHER_INVEST_ACT_SUPPL_FIN" hidden="1" function="0" vbProcedure="0">"c925"</definedName>
    <definedName name="IQ_OTHER_INVEST_ACT_SUPPL_INS" hidden="1" function="0" vbProcedure="0">"c926"</definedName>
    <definedName name="IQ_OTHER_INVEST_ACT_SUPPL_REIT" hidden="1" function="0" vbProcedure="0">"c927"</definedName>
    <definedName name="IQ_OTHER_INVEST_ACT_SUPPL_UTI" hidden="1" function="0" vbProcedure="0">"c928"</definedName>
    <definedName name="IQ_OTHER_INVEST_ACT_UTI" hidden="1" function="0" vbProcedure="0">"c929"</definedName>
    <definedName name="IQ_OTHER_LIAB" hidden="1" function="0" vbProcedure="0">"c930"</definedName>
    <definedName name="IQ_OTHER_LIABILITIES_FDIC" hidden="1" function="0" vbProcedure="0">"c6347"</definedName>
    <definedName name="IQ_OTHER_LIAB_BNK" hidden="1" function="0" vbProcedure="0">"c931"</definedName>
    <definedName name="IQ_OTHER_LIAB_BR" hidden="1" function="0" vbProcedure="0">"c932"</definedName>
    <definedName name="IQ_OTHER_LIAB_FIN" hidden="1" function="0" vbProcedure="0">"c933"</definedName>
    <definedName name="IQ_OTHER_LIAB_INS" hidden="1" function="0" vbProcedure="0">"c934"</definedName>
    <definedName name="IQ_OTHER_LIAB_LT" hidden="1" function="0" vbProcedure="0">"c935"</definedName>
    <definedName name="IQ_OTHER_LIAB_LT_BNK" hidden="1" function="0" vbProcedure="0">"c936"</definedName>
    <definedName name="IQ_OTHER_LIAB_LT_BR" hidden="1" function="0" vbProcedure="0">"c937"</definedName>
    <definedName name="IQ_OTHER_LIAB_LT_FIN" hidden="1" function="0" vbProcedure="0">"c938"</definedName>
    <definedName name="IQ_OTHER_LIAB_LT_INS" hidden="1" function="0" vbProcedure="0">"c939"</definedName>
    <definedName name="IQ_OTHER_LIAB_LT_REIT" hidden="1" function="0" vbProcedure="0">"c940"</definedName>
    <definedName name="IQ_OTHER_LIAB_LT_UTI" hidden="1" function="0" vbProcedure="0">"c941"</definedName>
    <definedName name="IQ_OTHER_LIAB_REIT" hidden="1" function="0" vbProcedure="0">"c942"</definedName>
    <definedName name="IQ_OTHER_LIAB_UTI" hidden="1" function="0" vbProcedure="0">"c943"</definedName>
    <definedName name="IQ_OTHER_LIAB_WRITTEN" hidden="1" function="0" vbProcedure="0">"c944"</definedName>
    <definedName name="IQ_OTHER_LOANS" hidden="1" function="0" vbProcedure="0">"c945"</definedName>
    <definedName name="IQ_OTHER_LOANS_CHARGE_OFFS_FDIC" hidden="1" function="0" vbProcedure="0">"c6601"</definedName>
    <definedName name="IQ_OTHER_LOANS_FOREIGN_FDIC" hidden="1" function="0" vbProcedure="0">"c6446"</definedName>
    <definedName name="IQ_OTHER_LOANS_LEASES_FDIC" hidden="1" function="0" vbProcedure="0">"c6322"</definedName>
    <definedName name="IQ_OTHER_LOANS_NET_CHARGE_OFFS_FDIC" hidden="1" function="0" vbProcedure="0">"c6639"</definedName>
    <definedName name="IQ_OTHER_LOANS_RECOVERIES_FDIC" hidden="1" function="0" vbProcedure="0">"c6620"</definedName>
    <definedName name="IQ_OTHER_LOANS_TOTAL_FDIC" hidden="1" function="0" vbProcedure="0">"c6432"</definedName>
    <definedName name="IQ_OTHER_LONG_TERM" hidden="1" function="0" vbProcedure="0">"c946"</definedName>
    <definedName name="IQ_OTHER_LT_ASSETS" hidden="1" function="0" vbProcedure="0">"c946"</definedName>
    <definedName name="IQ_OTHER_LT_ASSETS_BNK" hidden="1" function="0" vbProcedure="0">"c947"</definedName>
    <definedName name="IQ_OTHER_LT_ASSETS_BR" hidden="1" function="0" vbProcedure="0">"c948"</definedName>
    <definedName name="IQ_OTHER_LT_ASSETS_FIN" hidden="1" function="0" vbProcedure="0">"c949"</definedName>
    <definedName name="IQ_OTHER_LT_ASSETS_INS" hidden="1" function="0" vbProcedure="0">"c950"</definedName>
    <definedName name="IQ_OTHER_LT_ASSETS_REIT" hidden="1" function="0" vbProcedure="0">"c951"</definedName>
    <definedName name="IQ_OTHER_LT_ASSETS_UTI" hidden="1" function="0" vbProcedure="0">"c952"</definedName>
    <definedName name="IQ_OTHER_NET" hidden="1" function="0" vbProcedure="0">"c959"</definedName>
    <definedName name="IQ_OTHER_NON_INT_EXP" hidden="1" function="0" vbProcedure="0">"c953"</definedName>
    <definedName name="IQ_OTHER_NON_INT_EXPENSE_FDIC" hidden="1" function="0" vbProcedure="0">"c6679"</definedName>
    <definedName name="IQ_OTHER_NON_INT_EXP_FDIC" hidden="1" function="0" vbProcedure="0">"c6578"</definedName>
    <definedName name="IQ_OTHER_NON_INT_EXP_TOTAL" hidden="1" function="0" vbProcedure="0">"c954"</definedName>
    <definedName name="IQ_OTHER_NON_INT_INC" hidden="1" function="0" vbProcedure="0">"c955"</definedName>
    <definedName name="IQ_OTHER_NON_INT_INC_FDIC" hidden="1" function="0" vbProcedure="0">"c6676"</definedName>
    <definedName name="IQ_OTHER_NON_OPER_EXP" hidden="1" function="0" vbProcedure="0">"c956"</definedName>
    <definedName name="IQ_OTHER_NON_OPER_EXP_BR" hidden="1" function="0" vbProcedure="0">"c957"</definedName>
    <definedName name="IQ_OTHER_NON_OPER_EXP_FIN" hidden="1" function="0" vbProcedure="0">"c958"</definedName>
    <definedName name="IQ_OTHER_NON_OPER_EXP_INS" hidden="1" function="0" vbProcedure="0">"c959"</definedName>
    <definedName name="IQ_OTHER_NON_OPER_EXP_REIT" hidden="1" function="0" vbProcedure="0">"c960"</definedName>
    <definedName name="IQ_OTHER_NON_OPER_EXP_SUPPL" hidden="1" function="0" vbProcedure="0">"c961"</definedName>
    <definedName name="IQ_OTHER_NON_OPER_EXP_SUPPL_BR" hidden="1" function="0" vbProcedure="0">"c962"</definedName>
    <definedName name="IQ_OTHER_NON_OPER_EXP_SUPPL_FIN" hidden="1" function="0" vbProcedure="0">"c963"</definedName>
    <definedName name="IQ_OTHER_NON_OPER_EXP_SUPPL_INS" hidden="1" function="0" vbProcedure="0">"c964"</definedName>
    <definedName name="IQ_OTHER_NON_OPER_EXP_SUPPL_REIT" hidden="1" function="0" vbProcedure="0">"c965"</definedName>
    <definedName name="IQ_OTHER_NON_OPER_EXP_SUPPL_UTI" hidden="1" function="0" vbProcedure="0">"c966"</definedName>
    <definedName name="IQ_OTHER_NON_OPER_EXP_UTI" hidden="1" function="0" vbProcedure="0">"c967"</definedName>
    <definedName name="IQ_OTHER_OFF_BS_LIAB_FDIC" hidden="1" function="0" vbProcedure="0">"c6533"</definedName>
    <definedName name="IQ_OTHER_OPER" hidden="1" function="0" vbProcedure="0">"c982"</definedName>
    <definedName name="IQ_OTHER_OPER_ACT" hidden="1" function="0" vbProcedure="0">"c983"</definedName>
    <definedName name="IQ_OTHER_OPER_ACT_BNK" hidden="1" function="0" vbProcedure="0">"c984"</definedName>
    <definedName name="IQ_OTHER_OPER_ACT_BR" hidden="1" function="0" vbProcedure="0">"c985"</definedName>
    <definedName name="IQ_OTHER_OPER_ACT_FIN" hidden="1" function="0" vbProcedure="0">"c986"</definedName>
    <definedName name="IQ_OTHER_OPER_ACT_INS" hidden="1" function="0" vbProcedure="0">"c987"</definedName>
    <definedName name="IQ_OTHER_OPER_ACT_REIT" hidden="1" function="0" vbProcedure="0">"c988"</definedName>
    <definedName name="IQ_OTHER_OPER_ACT_UTI" hidden="1" function="0" vbProcedure="0">"c989"</definedName>
    <definedName name="IQ_OTHER_OPER_BR" hidden="1" function="0" vbProcedure="0">"c990"</definedName>
    <definedName name="IQ_OTHER_OPER_FIN" hidden="1" function="0" vbProcedure="0">"c991"</definedName>
    <definedName name="IQ_OTHER_OPER_INS" hidden="1" function="0" vbProcedure="0">"c992"</definedName>
    <definedName name="IQ_OTHER_OPER_REIT" hidden="1" function="0" vbProcedure="0">"c993"</definedName>
    <definedName name="IQ_OTHER_OPER_SUPPL_BR" hidden="1" function="0" vbProcedure="0">"c994"</definedName>
    <definedName name="IQ_OTHER_OPER_SUPPL_FIN" hidden="1" function="0" vbProcedure="0">"c995"</definedName>
    <definedName name="IQ_OTHER_OPER_SUPPL_INS" hidden="1" function="0" vbProcedure="0">"c996"</definedName>
    <definedName name="IQ_OTHER_OPER_SUPPL_REIT" hidden="1" function="0" vbProcedure="0">"c997"</definedName>
    <definedName name="IQ_OTHER_OPER_SUPPL_UTI" hidden="1" function="0" vbProcedure="0">"c998"</definedName>
    <definedName name="IQ_OTHER_OPER_TOT_BNK" hidden="1" function="0" vbProcedure="0">"c999"</definedName>
    <definedName name="IQ_OTHER_OPER_TOT_BR" hidden="1" function="0" vbProcedure="0">"c1000"</definedName>
    <definedName name="IQ_OTHER_OPER_TOT_FIN" hidden="1" function="0" vbProcedure="0">"c1001"</definedName>
    <definedName name="IQ_OTHER_OPER_TOT_INS" hidden="1" function="0" vbProcedure="0">"c1002"</definedName>
    <definedName name="IQ_OTHER_OPER_TOT_REIT" hidden="1" function="0" vbProcedure="0">"c1003"</definedName>
    <definedName name="IQ_OTHER_OPER_TOT_UTI" hidden="1" function="0" vbProcedure="0">"c1004"</definedName>
    <definedName name="IQ_OTHER_OPER_UTI" hidden="1" function="0" vbProcedure="0">"c1005"</definedName>
    <definedName name="IQ_OTHER_OUTSTANDING_BS_DATE" hidden="1" function="0" vbProcedure="0">"c1972"</definedName>
    <definedName name="IQ_OTHER_OUTSTANDING_FILING_DATE" hidden="1" function="0" vbProcedure="0">"c1974"</definedName>
    <definedName name="IQ_OTHER_PC_WRITTEN" hidden="1" function="0" vbProcedure="0">"c1006"</definedName>
    <definedName name="IQ_OTHER_REAL_ESTATE" hidden="1" function="0" vbProcedure="0">"c1007"</definedName>
    <definedName name="IQ_OTHER_RECEIV" hidden="1" function="0" vbProcedure="0">"c1008"</definedName>
    <definedName name="IQ_OTHER_RECEIV_INS" hidden="1" function="0" vbProcedure="0">"c1009"</definedName>
    <definedName name="IQ_OTHER_REV" hidden="1" function="0" vbProcedure="0">"c1010"</definedName>
    <definedName name="IQ_OTHER_REVENUE" hidden="1" function="0" vbProcedure="0">"c1010"</definedName>
    <definedName name="IQ_OTHER_REV_BR" hidden="1" function="0" vbProcedure="0">"c1011"</definedName>
    <definedName name="IQ_OTHER_REV_FIN" hidden="1" function="0" vbProcedure="0">"c1012"</definedName>
    <definedName name="IQ_OTHER_REV_INS" hidden="1" function="0" vbProcedure="0">"c1013"</definedName>
    <definedName name="IQ_OTHER_REV_REIT" hidden="1" function="0" vbProcedure="0">"c1014"</definedName>
    <definedName name="IQ_OTHER_REV_SUPPL" hidden="1" function="0" vbProcedure="0">"c1015"</definedName>
    <definedName name="IQ_OTHER_REV_SUPPL_BR" hidden="1" function="0" vbProcedure="0">"c1016"</definedName>
    <definedName name="IQ_OTHER_REV_SUPPL_FIN" hidden="1" function="0" vbProcedure="0">"c1017"</definedName>
    <definedName name="IQ_OTHER_REV_SUPPL_INS" hidden="1" function="0" vbProcedure="0">"c1018"</definedName>
    <definedName name="IQ_OTHER_REV_SUPPL_REIT" hidden="1" function="0" vbProcedure="0">"c1019"</definedName>
    <definedName name="IQ_OTHER_REV_SUPPL_UTI" hidden="1" function="0" vbProcedure="0">"c1020"</definedName>
    <definedName name="IQ_OTHER_REV_UTI" hidden="1" function="0" vbProcedure="0">"c1021"</definedName>
    <definedName name="IQ_OTHER_RE_OWNED_FDIC" hidden="1" function="0" vbProcedure="0">"c6330"</definedName>
    <definedName name="IQ_OTHER_SAVINGS_DEPOSITS_FDIC" hidden="1" function="0" vbProcedure="0">"c6554"</definedName>
    <definedName name="IQ_OTHER_TRANSACTIONS_FDIC" hidden="1" function="0" vbProcedure="0">"c6504"</definedName>
    <definedName name="IQ_OTHER_UNUSED_COMMITMENTS_FDIC" hidden="1" function="0" vbProcedure="0">"c6530"</definedName>
    <definedName name="IQ_OTHER_UNUSUAL" hidden="1" function="0" vbProcedure="0">"c1488"</definedName>
    <definedName name="IQ_OTHER_UNUSUAL_BNK" hidden="1" function="0" vbProcedure="0">"c1560"</definedName>
    <definedName name="IQ_OTHER_UNUSUAL_BR" hidden="1" function="0" vbProcedure="0">"c1561"</definedName>
    <definedName name="IQ_OTHER_UNUSUAL_FIN" hidden="1" function="0" vbProcedure="0">"c1562"</definedName>
    <definedName name="IQ_OTHER_UNUSUAL_INS" hidden="1" function="0" vbProcedure="0">"c1563"</definedName>
    <definedName name="IQ_OTHER_UNUSUAL_REIT" hidden="1" function="0" vbProcedure="0">"c1564"</definedName>
    <definedName name="IQ_OTHER_UNUSUAL_SUPPL" hidden="1" function="0" vbProcedure="0">"c1494"</definedName>
    <definedName name="IQ_OTHER_UNUSUAL_SUPPL_BNK" hidden="1" function="0" vbProcedure="0">"c1495"</definedName>
    <definedName name="IQ_OTHER_UNUSUAL_SUPPL_BR" hidden="1" function="0" vbProcedure="0">"c1496"</definedName>
    <definedName name="IQ_OTHER_UNUSUAL_SUPPL_FIN" hidden="1" function="0" vbProcedure="0">"c1497"</definedName>
    <definedName name="IQ_OTHER_UNUSUAL_SUPPL_INS" hidden="1" function="0" vbProcedure="0">"c1498"</definedName>
    <definedName name="IQ_OTHER_UNUSUAL_SUPPL_REIT" hidden="1" function="0" vbProcedure="0">"c1499"</definedName>
    <definedName name="IQ_OTHER_UNUSUAL_SUPPL_UTI" hidden="1" function="0" vbProcedure="0">"c1500"</definedName>
    <definedName name="IQ_OTHER_UNUSUAL_UTI" hidden="1" function="0" vbProcedure="0">"c1565"</definedName>
    <definedName name="IQ_OUTSTANDING_BS_DATE" hidden="1" function="0" vbProcedure="0">"c1022"</definedName>
    <definedName name="IQ_OUTSTANDING_FILING_DATE" hidden="1" function="0" vbProcedure="0">"c1023"</definedName>
    <definedName name="IQ_OVER_FIFETEEN_YEAR_MORTGAGE_PASS_THROUGHS_FDIC" hidden="1" function="0" vbProcedure="0">"c6416"</definedName>
    <definedName name="IQ_OVER_FIFTEEN_YEAR_FIXED_AND_FLOATING_RATE_FDIC" hidden="1" function="0" vbProcedure="0">"c6424"</definedName>
    <definedName name="IQ_OVER_THREE_YEARS_FDIC" hidden="1" function="0" vbProcedure="0">"c6418"</definedName>
    <definedName name="IQ_OWNERSHIP" hidden="1" function="0" vbProcedure="0">"c2160"</definedName>
    <definedName name="IQ_PARTICIPATION_POOLS_RESIDENTIAL_MORTGAGES_FDIC" hidden="1" function="0" vbProcedure="0">"c6403"</definedName>
    <definedName name="IQ_PART_TIME" hidden="1" function="0" vbProcedure="0">"c1024"</definedName>
    <definedName name="IQ_PAST_DUE_30_1_4_FAMILY_LOANS_FDIC" hidden="1" function="0" vbProcedure="0">"c6693"</definedName>
    <definedName name="IQ_PAST_DUE_30_AUTO_LOANS_FDIC" hidden="1" function="0" vbProcedure="0">"c6687"</definedName>
    <definedName name="IQ_PAST_DUE_30_CL_LOANS_FDIC" hidden="1" function="0" vbProcedure="0">"c6688"</definedName>
    <definedName name="IQ_PAST_DUE_30_CREDIT_CARDS_RECEIVABLES_FDIC" hidden="1" function="0" vbProcedure="0">"c6690"</definedName>
    <definedName name="IQ_PAST_DUE_30_HOME_EQUITY_LINES_FDIC" hidden="1" function="0" vbProcedure="0">"c6691"</definedName>
    <definedName name="IQ_PAST_DUE_30_OTHER_CONSUMER_LOANS_FDIC" hidden="1" function="0" vbProcedure="0">"c6689"</definedName>
    <definedName name="IQ_PAST_DUE_30_OTHER_LOANS_FDIC" hidden="1" function="0" vbProcedure="0">"c6692"</definedName>
    <definedName name="IQ_PAST_DUE_90_1_4_FAMILY_LOANS_FDIC" hidden="1" function="0" vbProcedure="0">"c6700"</definedName>
    <definedName name="IQ_PAST_DUE_90_AUTO_LOANS_FDIC" hidden="1" function="0" vbProcedure="0">"c6694"</definedName>
    <definedName name="IQ_PAST_DUE_90_CL_LOANS_FDIC" hidden="1" function="0" vbProcedure="0">"c6695"</definedName>
    <definedName name="IQ_PAST_DUE_90_CREDIT_CARDS_RECEIVABLES_FDIC" hidden="1" function="0" vbProcedure="0">"c6697"</definedName>
    <definedName name="IQ_PAST_DUE_90_HOME_EQUITY_LINES_FDIC" hidden="1" function="0" vbProcedure="0">"c6698"</definedName>
    <definedName name="IQ_PAST_DUE_90_OTHER_CONSUMER_LOANS_FDIC" hidden="1" function="0" vbProcedure="0">"c6696"</definedName>
    <definedName name="IQ_PAST_DUE_90_OTHER_LOANS_FDIC" hidden="1" function="0" vbProcedure="0">"c6699"</definedName>
    <definedName name="IQ_PAYOUT_RATIO" hidden="1" function="0" vbProcedure="0">"c1900"</definedName>
    <definedName name="IQ_PAY_ACCRUED" hidden="1" function="0" vbProcedure="0">"c8"</definedName>
    <definedName name="IQ_PBV" hidden="1" function="0" vbProcedure="0">"c1025"</definedName>
    <definedName name="IQ_PBV_AVG" hidden="1" function="0" vbProcedure="0">"c1026"</definedName>
    <definedName name="IQ_PC_WRITTEN" hidden="1" function="0" vbProcedure="0">"c1027"</definedName>
    <definedName name="IQ_PENSION" hidden="1" function="0" vbProcedure="0">"c1031"</definedName>
    <definedName name="IQ_PERCENT_CHANGE_EST_5YR_GROWTH_RATE_12MONTHS_REUT" hidden="1" function="0" vbProcedure="0">"c3959"</definedName>
    <definedName name="IQ_PERCENT_CHANGE_EST_5YR_GROWTH_RATE_18MONTHS_REUT" hidden="1" function="0" vbProcedure="0">"c3960"</definedName>
    <definedName name="IQ_PERCENT_CHANGE_EST_5YR_GROWTH_RATE_3MONTHS_REUT" hidden="1" function="0" vbProcedure="0">"c3956"</definedName>
    <definedName name="IQ_PERCENT_CHANGE_EST_5YR_GROWTH_RATE_6MONTHS_REUT" hidden="1" function="0" vbProcedure="0">"c3957"</definedName>
    <definedName name="IQ_PERCENT_CHANGE_EST_5YR_GROWTH_RATE_9MONTHS_REUT" hidden="1" function="0" vbProcedure="0">"c3958"</definedName>
    <definedName name="IQ_PERCENT_CHANGE_EST_5YR_GROWTH_RATE_DAY_REUT" hidden="1" function="0" vbProcedure="0">"c3954"</definedName>
    <definedName name="IQ_PERCENT_CHANGE_EST_5YR_GROWTH_RATE_MONTH_REUT" hidden="1" function="0" vbProcedure="0">"c3955"</definedName>
    <definedName name="IQ_PERCENT_CHANGE_EST_5YR_GROWTH_RATE_WEEK_REUT" hidden="1" function="0" vbProcedure="0">"c5435"</definedName>
    <definedName name="IQ_PERCENT_CHANGE_EST_CFPS_12MONTHS_REUT" hidden="1" function="0" vbProcedure="0">"c3924"</definedName>
    <definedName name="IQ_PERCENT_CHANGE_EST_CFPS_18MONTHS_REUT" hidden="1" function="0" vbProcedure="0">"c3925"</definedName>
    <definedName name="IQ_PERCENT_CHANGE_EST_CFPS_3MONTHS_REUT" hidden="1" function="0" vbProcedure="0">"c3921"</definedName>
    <definedName name="IQ_PERCENT_CHANGE_EST_CFPS_6MONTHS_REUT" hidden="1" function="0" vbProcedure="0">"c3922"</definedName>
    <definedName name="IQ_PERCENT_CHANGE_EST_CFPS_9MONTHS_REUT" hidden="1" function="0" vbProcedure="0">"c3923"</definedName>
    <definedName name="IQ_PERCENT_CHANGE_EST_CFPS_DAY_REUT" hidden="1" function="0" vbProcedure="0">"c3919"</definedName>
    <definedName name="IQ_PERCENT_CHANGE_EST_CFPS_MONTH_REUT" hidden="1" function="0" vbProcedure="0">"c3920"</definedName>
    <definedName name="IQ_PERCENT_CHANGE_EST_CFPS_WEEK_REUT" hidden="1" function="0" vbProcedure="0">"c3962"</definedName>
    <definedName name="IQ_PERCENT_CHANGE_EST_DPS_12MONTHS_REUT" hidden="1" function="0" vbProcedure="0">"c3931"</definedName>
    <definedName name="IQ_PERCENT_CHANGE_EST_DPS_18MONTHS_REUT" hidden="1" function="0" vbProcedure="0">"c3932"</definedName>
    <definedName name="IQ_PERCENT_CHANGE_EST_DPS_3MONTHS_REUT" hidden="1" function="0" vbProcedure="0">"c3928"</definedName>
    <definedName name="IQ_PERCENT_CHANGE_EST_DPS_6MONTHS_REUT" hidden="1" function="0" vbProcedure="0">"c3929"</definedName>
    <definedName name="IQ_PERCENT_CHANGE_EST_DPS_9MONTHS_REUT" hidden="1" function="0" vbProcedure="0">"c3930"</definedName>
    <definedName name="IQ_PERCENT_CHANGE_EST_DPS_DAY_REUT" hidden="1" function="0" vbProcedure="0">"c3926"</definedName>
    <definedName name="IQ_PERCENT_CHANGE_EST_DPS_MONTH_REUT" hidden="1" function="0" vbProcedure="0">"c3927"</definedName>
    <definedName name="IQ_PERCENT_CHANGE_EST_DPS_WEEK_REUT" hidden="1" function="0" vbProcedure="0">"c3963"</definedName>
    <definedName name="IQ_PERCENT_CHANGE_EST_EBITDA_12MONTHS_REUT" hidden="1" function="0" vbProcedure="0">"c3917"</definedName>
    <definedName name="IQ_PERCENT_CHANGE_EST_EBITDA_18MONTHS_REUT" hidden="1" function="0" vbProcedure="0">"c3918"</definedName>
    <definedName name="IQ_PERCENT_CHANGE_EST_EBITDA_3MONTHS_REUT" hidden="1" function="0" vbProcedure="0">"c3914"</definedName>
    <definedName name="IQ_PERCENT_CHANGE_EST_EBITDA_6MONTHS_REUT" hidden="1" function="0" vbProcedure="0">"c3915"</definedName>
    <definedName name="IQ_PERCENT_CHANGE_EST_EBITDA_9MONTHS_REUT" hidden="1" function="0" vbProcedure="0">"c3916"</definedName>
    <definedName name="IQ_PERCENT_CHANGE_EST_EBITDA_DAY_REUT" hidden="1" function="0" vbProcedure="0">"c3912"</definedName>
    <definedName name="IQ_PERCENT_CHANGE_EST_EBITDA_MONTH_REUT" hidden="1" function="0" vbProcedure="0">"c3913"</definedName>
    <definedName name="IQ_PERCENT_CHANGE_EST_EBITDA_WEEK_REUT" hidden="1" function="0" vbProcedure="0">"c3961"</definedName>
    <definedName name="IQ_PERCENT_CHANGE_EST_EPS_12MONTHS_REUT" hidden="1" function="0" vbProcedure="0">"c3902"</definedName>
    <definedName name="IQ_PERCENT_CHANGE_EST_EPS_18MONTHS_REUT" hidden="1" function="0" vbProcedure="0">"c3903"</definedName>
    <definedName name="IQ_PERCENT_CHANGE_EST_EPS_3MONTHS_REUT" hidden="1" function="0" vbProcedure="0">"c3899"</definedName>
    <definedName name="IQ_PERCENT_CHANGE_EST_EPS_6MONTHS_REUT" hidden="1" function="0" vbProcedure="0">"c3900"</definedName>
    <definedName name="IQ_PERCENT_CHANGE_EST_EPS_9MONTHS_REUT" hidden="1" function="0" vbProcedure="0">"c3901"</definedName>
    <definedName name="IQ_PERCENT_CHANGE_EST_EPS_DAY_REUT" hidden="1" function="0" vbProcedure="0">"c3896"</definedName>
    <definedName name="IQ_PERCENT_CHANGE_EST_EPS_MONTH_REUT" hidden="1" function="0" vbProcedure="0">"c3898"</definedName>
    <definedName name="IQ_PERCENT_CHANGE_EST_EPS_WEEK_REUT" hidden="1" function="0" vbProcedure="0">"c3897"</definedName>
    <definedName name="IQ_PERCENT_CHANGE_EST_FFO_12MONTHS" hidden="1" function="0" vbProcedure="0">"c1828"</definedName>
    <definedName name="IQ_PERCENT_CHANGE_EST_FFO_12MONTHS_REUT" hidden="1" function="0" vbProcedure="0">"c3938"</definedName>
    <definedName name="IQ_PERCENT_CHANGE_EST_FFO_18MONTHS" hidden="1" function="0" vbProcedure="0">"c1829"</definedName>
    <definedName name="IQ_PERCENT_CHANGE_EST_FFO_18MONTHS_REUT" hidden="1" function="0" vbProcedure="0">"c3939"</definedName>
    <definedName name="IQ_PERCENT_CHANGE_EST_FFO_3MONTHS" hidden="1" function="0" vbProcedure="0">"c1825"</definedName>
    <definedName name="IQ_PERCENT_CHANGE_EST_FFO_3MONTHS_REUT" hidden="1" function="0" vbProcedure="0">"c3935"</definedName>
    <definedName name="IQ_PERCENT_CHANGE_EST_FFO_6MONTHS" hidden="1" function="0" vbProcedure="0">"c1826"</definedName>
    <definedName name="IQ_PERCENT_CHANGE_EST_FFO_6MONTHS_REUT" hidden="1" function="0" vbProcedure="0">"c3936"</definedName>
    <definedName name="IQ_PERCENT_CHANGE_EST_FFO_9MONTHS" hidden="1" function="0" vbProcedure="0">"c1827"</definedName>
    <definedName name="IQ_PERCENT_CHANGE_EST_FFO_9MONTHS_REUT" hidden="1" function="0" vbProcedure="0">"c3937"</definedName>
    <definedName name="IQ_PERCENT_CHANGE_EST_FFO_DAY" hidden="1" function="0" vbProcedure="0">"c1822"</definedName>
    <definedName name="IQ_PERCENT_CHANGE_EST_FFO_DAY_REUT" hidden="1" function="0" vbProcedure="0">"c3933"</definedName>
    <definedName name="IQ_PERCENT_CHANGE_EST_FFO_MONTH" hidden="1" function="0" vbProcedure="0">"c1824"</definedName>
    <definedName name="IQ_PERCENT_CHANGE_EST_FFO_MONTH_REUT" hidden="1" function="0" vbProcedure="0">"c3934"</definedName>
    <definedName name="IQ_PERCENT_CHANGE_EST_FFO_SHARE_SHARE_12MONTHS_THOM" hidden="1" function="0" vbProcedure="0">"c5248"</definedName>
    <definedName name="IQ_PERCENT_CHANGE_EST_FFO_SHARE_SHARE_18MONTHS_THOM" hidden="1" function="0" vbProcedure="0">"c5249"</definedName>
    <definedName name="IQ_PERCENT_CHANGE_EST_FFO_SHARE_SHARE_3MONTHS_THOM" hidden="1" function="0" vbProcedure="0">"c5245"</definedName>
    <definedName name="IQ_PERCENT_CHANGE_EST_FFO_SHARE_SHARE_6MONTHS_THOM" hidden="1" function="0" vbProcedure="0">"c5246"</definedName>
    <definedName name="IQ_PERCENT_CHANGE_EST_FFO_SHARE_SHARE_9MONTHS_THOM" hidden="1" function="0" vbProcedure="0">"c5247"</definedName>
    <definedName name="IQ_PERCENT_CHANGE_EST_FFO_SHARE_SHARE_DAY_THOM" hidden="1" function="0" vbProcedure="0">"c5243"</definedName>
    <definedName name="IQ_PERCENT_CHANGE_EST_FFO_SHARE_SHARE_MONTH_THOM" hidden="1" function="0" vbProcedure="0">"c5244"</definedName>
    <definedName name="IQ_PERCENT_CHANGE_EST_FFO_SHARE_SHARE_WEEK_THOM" hidden="1" function="0" vbProcedure="0">"c5274"</definedName>
    <definedName name="IQ_PERCENT_CHANGE_EST_FFO_WEEK" hidden="1" function="0" vbProcedure="0">"c1823"</definedName>
    <definedName name="IQ_PERCENT_CHANGE_EST_FFO_WEEK_REUT" hidden="1" function="0" vbProcedure="0">"c3964"</definedName>
    <definedName name="IQ_PERCENT_CHANGE_EST_PRICE_TARGET_12MONTHS_REUT" hidden="1" function="0" vbProcedure="0">"c3952"</definedName>
    <definedName name="IQ_PERCENT_CHANGE_EST_PRICE_TARGET_18MONTHS_REUT" hidden="1" function="0" vbProcedure="0">"c3953"</definedName>
    <definedName name="IQ_PERCENT_CHANGE_EST_PRICE_TARGET_3MONTHS_REUT" hidden="1" function="0" vbProcedure="0">"c3949"</definedName>
    <definedName name="IQ_PERCENT_CHANGE_EST_PRICE_TARGET_6MONTHS_REUT" hidden="1" function="0" vbProcedure="0">"c3950"</definedName>
    <definedName name="IQ_PERCENT_CHANGE_EST_PRICE_TARGET_9MONTHS_REUT" hidden="1" function="0" vbProcedure="0">"c3951"</definedName>
    <definedName name="IQ_PERCENT_CHANGE_EST_PRICE_TARGET_DAY_REUT" hidden="1" function="0" vbProcedure="0">"c3947"</definedName>
    <definedName name="IQ_PERCENT_CHANGE_EST_PRICE_TARGET_MONTH_REUT" hidden="1" function="0" vbProcedure="0">"c3948"</definedName>
    <definedName name="IQ_PERCENT_CHANGE_EST_PRICE_TARGET_WEEK_REUT" hidden="1" function="0" vbProcedure="0">"c3967"</definedName>
    <definedName name="IQ_PERCENT_CHANGE_EST_RECO_12MONTHS_REUT" hidden="1" function="0" vbProcedure="0">"c3945"</definedName>
    <definedName name="IQ_PERCENT_CHANGE_EST_RECO_18MONTHS_REUT" hidden="1" function="0" vbProcedure="0">"c3946"</definedName>
    <definedName name="IQ_PERCENT_CHANGE_EST_RECO_3MONTHS_REUT" hidden="1" function="0" vbProcedure="0">"c3942"</definedName>
    <definedName name="IQ_PERCENT_CHANGE_EST_RECO_6MONTHS_REUT" hidden="1" function="0" vbProcedure="0">"c3943"</definedName>
    <definedName name="IQ_PERCENT_CHANGE_EST_RECO_9MONTHS_REUT" hidden="1" function="0" vbProcedure="0">"c3944"</definedName>
    <definedName name="IQ_PERCENT_CHANGE_EST_RECO_DAY_REUT" hidden="1" function="0" vbProcedure="0">"c3940"</definedName>
    <definedName name="IQ_PERCENT_CHANGE_EST_RECO_MONTH_REUT" hidden="1" function="0" vbProcedure="0">"c3941"</definedName>
    <definedName name="IQ_PERCENT_CHANGE_EST_RECO_WEEK_REUT" hidden="1" function="0" vbProcedure="0">"c3966"</definedName>
    <definedName name="IQ_PERCENT_CHANGE_EST_REV_12MONTHS_REUT" hidden="1" function="0" vbProcedure="0">"c3910"</definedName>
    <definedName name="IQ_PERCENT_CHANGE_EST_REV_18MONTHS_REUT" hidden="1" function="0" vbProcedure="0">"c3911"</definedName>
    <definedName name="IQ_PERCENT_CHANGE_EST_REV_3MONTHS_REUT" hidden="1" function="0" vbProcedure="0">"c3907"</definedName>
    <definedName name="IQ_PERCENT_CHANGE_EST_REV_6MONTHS_REUT" hidden="1" function="0" vbProcedure="0">"c3908"</definedName>
    <definedName name="IQ_PERCENT_CHANGE_EST_REV_9MONTHS_REUT" hidden="1" function="0" vbProcedure="0">"c3909"</definedName>
    <definedName name="IQ_PERCENT_CHANGE_EST_REV_DAY_REUT" hidden="1" function="0" vbProcedure="0">"c3904"</definedName>
    <definedName name="IQ_PERCENT_CHANGE_EST_REV_MONTH_REUT" hidden="1" function="0" vbProcedure="0">"c3906"</definedName>
    <definedName name="IQ_PERCENT_CHANGE_EST_REV_WEEK_REUT" hidden="1" function="0" vbProcedure="0">"c3905"</definedName>
    <definedName name="IQ_PERCENT_INSURED_FDIC" hidden="1" function="0" vbProcedure="0">"c6374"</definedName>
    <definedName name="IQ_PERIODDATE" hidden="1" function="0" vbProcedure="0">"c1034"</definedName>
    <definedName name="IQ_PERIODDATE_BS" hidden="1" function="0" vbProcedure="0">"c1032"</definedName>
    <definedName name="IQ_PERIODDATE_CF" hidden="1" function="0" vbProcedure="0">"c1033"</definedName>
    <definedName name="IQ_PERIODDATE_FDIC" hidden="1" function="0" vbProcedure="0">"c13646"</definedName>
    <definedName name="IQ_PERIODDATE_IS" hidden="1" function="0" vbProcedure="0">"c1034"</definedName>
    <definedName name="IQ_PERIODLENGTH_CF" hidden="1" function="0" vbProcedure="0">"c1502"</definedName>
    <definedName name="IQ_PERIODLENGTH_IS" hidden="1" function="0" vbProcedure="0">"c1503"</definedName>
    <definedName name="IQ_PERTYPE" hidden="1" function="0" vbProcedure="0">"c1611"</definedName>
    <definedName name="IQ_PE_EXCL" hidden="1" function="0" vbProcedure="0">"c1028"</definedName>
    <definedName name="IQ_PE_EXCL_AVG" hidden="1" function="0" vbProcedure="0">"c1029"</definedName>
    <definedName name="IQ_PE_EXCL_FWD" hidden="1" function="0" vbProcedure="0">"c1030"</definedName>
    <definedName name="IQ_PE_NORMALIZED" hidden="1" function="0" vbProcedure="0">"c2207"</definedName>
    <definedName name="IQ_PE_RATIO" hidden="1" function="0" vbProcedure="0">"c1610"</definedName>
    <definedName name="IQ_PLEDGED_SECURITIES_FDIC" hidden="1" function="0" vbProcedure="0">"c6401"</definedName>
    <definedName name="IQ_PLL" hidden="1" function="0" vbProcedure="0">"c2114"</definedName>
    <definedName name="IQ_PMT_FREQ" hidden="1" function="0" vbProcedure="0">"c2236"</definedName>
    <definedName name="IQ_POLICY_BENEFITS" hidden="1" function="0" vbProcedure="0">"c1036"</definedName>
    <definedName name="IQ_POLICY_COST" hidden="1" function="0" vbProcedure="0">"c1037"</definedName>
    <definedName name="IQ_POLICY_LIAB" hidden="1" function="0" vbProcedure="0">"c1612"</definedName>
    <definedName name="IQ_POLICY_LOANS" hidden="1" function="0" vbProcedure="0">"c1038"</definedName>
    <definedName name="IQ_POSTPAID_CHURN" hidden="1" function="0" vbProcedure="0">"c2121"</definedName>
    <definedName name="IQ_POSTPAID_SUBS" hidden="1" function="0" vbProcedure="0">"c2118"</definedName>
    <definedName name="IQ_POST_RETIRE_EXP" hidden="1" function="0" vbProcedure="0">"c1039"</definedName>
    <definedName name="IQ_POTENTIAL_UPSIDE_REUT" hidden="1" function="0" vbProcedure="0">"c3968"</definedName>
    <definedName name="IQ_PREFERRED_FDIC" hidden="1" function="0" vbProcedure="0">"c6349"</definedName>
    <definedName name="IQ_PREF_CONVERT" hidden="1" function="0" vbProcedure="0">"c1041"</definedName>
    <definedName name="IQ_PREF_DIVID" hidden="1" function="0" vbProcedure="0">"c1461"</definedName>
    <definedName name="IQ_PREF_DIV_CF" hidden="1" function="0" vbProcedure="0">"c1042"</definedName>
    <definedName name="IQ_PREF_DIV_OTHER" hidden="1" function="0" vbProcedure="0">"c1043"</definedName>
    <definedName name="IQ_PREF_EQUITY" hidden="1" function="0" vbProcedure="0">"c1044"</definedName>
    <definedName name="IQ_PREF_ISSUED" hidden="1" function="0" vbProcedure="0">"c1045"</definedName>
    <definedName name="IQ_PREF_ISSUED_BNK" hidden="1" function="0" vbProcedure="0">"c1046"</definedName>
    <definedName name="IQ_PREF_ISSUED_BR" hidden="1" function="0" vbProcedure="0">"c1047"</definedName>
    <definedName name="IQ_PREF_ISSUED_FIN" hidden="1" function="0" vbProcedure="0">"c1048"</definedName>
    <definedName name="IQ_PREF_ISSUED_INS" hidden="1" function="0" vbProcedure="0">"c1049"</definedName>
    <definedName name="IQ_PREF_ISSUED_REIT" hidden="1" function="0" vbProcedure="0">"c1050"</definedName>
    <definedName name="IQ_PREF_ISSUED_UTI" hidden="1" function="0" vbProcedure="0">"c1051"</definedName>
    <definedName name="IQ_PREF_NON_REDEEM" hidden="1" function="0" vbProcedure="0">"c1052"</definedName>
    <definedName name="IQ_PREF_OTHER" hidden="1" function="0" vbProcedure="0">"c1053"</definedName>
    <definedName name="IQ_PREF_OTHER_BNK" hidden="1" function="0" vbProcedure="0">"c1054"</definedName>
    <definedName name="IQ_PREF_OTHER_BR" hidden="1" function="0" vbProcedure="0">"c1055"</definedName>
    <definedName name="IQ_PREF_OTHER_FIN" hidden="1" function="0" vbProcedure="0">"c1056"</definedName>
    <definedName name="IQ_PREF_OTHER_INS" hidden="1" function="0" vbProcedure="0">"c1057"</definedName>
    <definedName name="IQ_PREF_OTHER_REIT" hidden="1" function="0" vbProcedure="0">"c1058"</definedName>
    <definedName name="IQ_PREF_REDEEM" hidden="1" function="0" vbProcedure="0">"c1059"</definedName>
    <definedName name="IQ_PREF_REP" hidden="1" function="0" vbProcedure="0">"c1060"</definedName>
    <definedName name="IQ_PREF_REP_BNK" hidden="1" function="0" vbProcedure="0">"c1061"</definedName>
    <definedName name="IQ_PREF_REP_BR" hidden="1" function="0" vbProcedure="0">"c1062"</definedName>
    <definedName name="IQ_PREF_REP_FIN" hidden="1" function="0" vbProcedure="0">"c1063"</definedName>
    <definedName name="IQ_PREF_REP_INS" hidden="1" function="0" vbProcedure="0">"c1064"</definedName>
    <definedName name="IQ_PREF_REP_REIT" hidden="1" function="0" vbProcedure="0">"c1065"</definedName>
    <definedName name="IQ_PREF_REP_UTI" hidden="1" function="0" vbProcedure="0">"c1066"</definedName>
    <definedName name="IQ_PREF_STOCK" hidden="1" function="0" vbProcedure="0">"c1052"</definedName>
    <definedName name="IQ_PREF_TOT" hidden="1" function="0" vbProcedure="0">"c1044"</definedName>
    <definedName name="IQ_PREMISES_EQUIPMENT_FDIC" hidden="1" function="0" vbProcedure="0">"c6577"</definedName>
    <definedName name="IQ_PREMIUMS_ANNUITY_REV" hidden="1" function="0" vbProcedure="0">"c1067"</definedName>
    <definedName name="IQ_PREPAID_CHURN" hidden="1" function="0" vbProcedure="0">"c2120"</definedName>
    <definedName name="IQ_PREPAID_EXP" hidden="1" function="0" vbProcedure="0">"c1068"</definedName>
    <definedName name="IQ_PREPAID_EXPEN" hidden="1" function="0" vbProcedure="0">"c1068"</definedName>
    <definedName name="IQ_PREPAID_SUBS" hidden="1" function="0" vbProcedure="0">"c2117"</definedName>
    <definedName name="IQ_PRETAX_GW_INC_EST_REUT" hidden="1" function="0" vbProcedure="0">"c5354"</definedName>
    <definedName name="IQ_PRETAX_GW_INC_HIGH_EST_REUT" hidden="1" function="0" vbProcedure="0">"c5356"</definedName>
    <definedName name="IQ_PRETAX_GW_INC_LOW_EST_REUT" hidden="1" function="0" vbProcedure="0">"c5357"</definedName>
    <definedName name="IQ_PRETAX_GW_INC_MEDIAN_EST_REUT" hidden="1" function="0" vbProcedure="0">"c5355"</definedName>
    <definedName name="IQ_PRETAX_GW_INC_NUM_EST_REUT" hidden="1" function="0" vbProcedure="0">"c5358"</definedName>
    <definedName name="IQ_PRETAX_GW_INC_STDDEV_EST_REUT" hidden="1" function="0" vbProcedure="0">"c5359"</definedName>
    <definedName name="IQ_PRETAX_INC_EST_REUT" hidden="1" function="0" vbProcedure="0">"c5347"</definedName>
    <definedName name="IQ_PRETAX_INC_HIGH_EST_REUT" hidden="1" function="0" vbProcedure="0">"c5349"</definedName>
    <definedName name="IQ_PRETAX_INC_LOW_EST_REUT" hidden="1" function="0" vbProcedure="0">"c5350"</definedName>
    <definedName name="IQ_PRETAX_INC_MEDIAN_EST_REUT" hidden="1" function="0" vbProcedure="0">"c5348"</definedName>
    <definedName name="IQ_PRETAX_INC_NUM_EST_REUT" hidden="1" function="0" vbProcedure="0">"c5351"</definedName>
    <definedName name="IQ_PRETAX_INC_STDDEV_EST_REUT" hidden="1" function="0" vbProcedure="0">"c5352"</definedName>
    <definedName name="IQ_PRETAX_REPORT_INC_EST_REUT" hidden="1" function="0" vbProcedure="0">"c5361"</definedName>
    <definedName name="IQ_PRETAX_REPORT_INC_HIGH_EST_REUT" hidden="1" function="0" vbProcedure="0">"c5363"</definedName>
    <definedName name="IQ_PRETAX_REPORT_INC_LOW_EST_REUT" hidden="1" function="0" vbProcedure="0">"c5364"</definedName>
    <definedName name="IQ_PRETAX_REPORT_INC_MEDIAN_EST_REUT" hidden="1" function="0" vbProcedure="0">"c5362"</definedName>
    <definedName name="IQ_PRETAX_REPORT_INC_NUM_EST_REUT" hidden="1" function="0" vbProcedure="0">"c5365"</definedName>
    <definedName name="IQ_PRETAX_REPORT_INC_STDDEV_EST_REUT" hidden="1" function="0" vbProcedure="0">"c5366"</definedName>
    <definedName name="IQ_PRETAX_RETURN_ASSETS_FDIC" hidden="1" function="0" vbProcedure="0">"c6731"</definedName>
    <definedName name="IQ_PRE_OPEN_COST" hidden="1" function="0" vbProcedure="0">"c1040"</definedName>
    <definedName name="IQ_PRE_TAX_ACT_OR_EST_REUT" hidden="1" function="0" vbProcedure="0">"c5467"</definedName>
    <definedName name="IQ_PRE_TAX_INCOME_FDIC" hidden="1" function="0" vbProcedure="0">"c6581"</definedName>
    <definedName name="IQ_PRICEDATE" hidden="1" function="0" vbProcedure="0">"c1069"</definedName>
    <definedName name="IQ_PRICE_CFPS_FWD_REUT" hidden="1" function="0" vbProcedure="0">"c4053"</definedName>
    <definedName name="IQ_PRICE_OVER_BVPS" hidden="1" function="0" vbProcedure="0">"c1026"</definedName>
    <definedName name="IQ_PRICE_OVER_LTM_EPS" hidden="1" function="0" vbProcedure="0">"c1029"</definedName>
    <definedName name="IQ_PRICE_TARGET_BOTTOM_UP_REUT" hidden="1" function="0" vbProcedure="0">"c5494"</definedName>
    <definedName name="IQ_PRICING_DATE" hidden="1" function="0" vbProcedure="0">"c1613"</definedName>
    <definedName name="IQ_PRIMARY_EPS_TYPE_REUT" hidden="1" function="0" vbProcedure="0">"c5481"</definedName>
    <definedName name="IQ_PRIMARY_EPS_TYPE_THOM" hidden="1" function="0" vbProcedure="0">"c5297"</definedName>
    <definedName name="IQ_PRIMARY_INDUSTRY" hidden="1" function="0" vbProcedure="0">"c1070"</definedName>
    <definedName name="IQ_PRINCIPAL_AMT" hidden="1" function="0" vbProcedure="0">"c2157"</definedName>
    <definedName name="IQ_PRIVATELY_ISSUED_MORTGAGE_BACKED_SECURITIES_FDIC" hidden="1" function="0" vbProcedure="0">"c6407"</definedName>
    <definedName name="IQ_PRIVATELY_ISSUED_MORTGAGE_PASS_THROUGHS_FDIC" hidden="1" function="0" vbProcedure="0">"c6405"</definedName>
    <definedName name="IQ_PRIVATE_CONST_TOTAL_APR_FC_UNUSED_UNUSED_UNUSED" hidden="1" function="0" vbProcedure="0">"c8559"</definedName>
    <definedName name="IQ_PRIVATE_CONST_TOTAL_APR_UNUSED_UNUSED_UNUSED" hidden="1" function="0" vbProcedure="0">"c7679"</definedName>
    <definedName name="IQ_PRIVATE_CONST_TOTAL_FC_UNUSED_UNUSED_UNUSED" hidden="1" function="0" vbProcedure="0">"c7899"</definedName>
    <definedName name="IQ_PRIVATE_CONST_TOTAL_POP_FC_UNUSED_UNUSED_UNUSED" hidden="1" function="0" vbProcedure="0">"c8119"</definedName>
    <definedName name="IQ_PRIVATE_CONST_TOTAL_POP_UNUSED_UNUSED_UNUSED" hidden="1" function="0" vbProcedure="0">"c7239"</definedName>
    <definedName name="IQ_PRIVATE_CONST_TOTAL_UNUSED_UNUSED_UNUSED" hidden="1" function="0" vbProcedure="0">"c7019"</definedName>
    <definedName name="IQ_PRIVATE_CONST_TOTAL_YOY_FC_UNUSED_UNUSED_UNUSED" hidden="1" function="0" vbProcedure="0">"c8339"</definedName>
    <definedName name="IQ_PRIVATE_CONST_TOTAL_YOY_UNUSED_UNUSED_UNUSED" hidden="1" function="0" vbProcedure="0">"c7459"</definedName>
    <definedName name="IQ_PRIVATE_RES_CONST_REAL_APR_FC_UNUSED_UNUSED_UNUSED" hidden="1" function="0" vbProcedure="0">"c8535"</definedName>
    <definedName name="IQ_PRIVATE_RES_CONST_REAL_APR_UNUSED_UNUSED_UNUSED" hidden="1" function="0" vbProcedure="0">"c7655"</definedName>
    <definedName name="IQ_PRIVATE_RES_CONST_REAL_FC_UNUSED_UNUSED_UNUSED" hidden="1" function="0" vbProcedure="0">"c7875"</definedName>
    <definedName name="IQ_PRIVATE_RES_CONST_REAL_POP_FC_UNUSED_UNUSED_UNUSED" hidden="1" function="0" vbProcedure="0">"c8095"</definedName>
    <definedName name="IQ_PRIVATE_RES_CONST_REAL_POP_UNUSED_UNUSED_UNUSED" hidden="1" function="0" vbProcedure="0">"c7215"</definedName>
    <definedName name="IQ_PRIVATE_RES_CONST_REAL_UNUSED_UNUSED_UNUSED" hidden="1" function="0" vbProcedure="0">"c6995"</definedName>
    <definedName name="IQ_PRIVATE_RES_CONST_REAL_YOY_FC_UNUSED_UNUSED_UNUSED" hidden="1" function="0" vbProcedure="0">"c8315"</definedName>
    <definedName name="IQ_PRIVATE_RES_CONST_REAL_YOY_UNUSED_UNUSED_UNUSED" hidden="1" function="0" vbProcedure="0">"c7435"</definedName>
    <definedName name="IQ_PROFESSIONAL" hidden="1" function="0" vbProcedure="0">"c1071"</definedName>
    <definedName name="IQ_PROFESSIONAL_TITLE" hidden="1" function="0" vbProcedure="0">"c1072"</definedName>
    <definedName name="IQ_PROJECTED_PENSION_OBLIGATION" hidden="1" function="0" vbProcedure="0">"c1292"</definedName>
    <definedName name="IQ_PROPERTY_EXP" hidden="1" function="0" vbProcedure="0">"c1073"</definedName>
    <definedName name="IQ_PROPERTY_GROSS" hidden="1" function="0" vbProcedure="0">"c518"</definedName>
    <definedName name="IQ_PROPERTY_MGMT_FEE" hidden="1" function="0" vbProcedure="0">"c1074"</definedName>
    <definedName name="IQ_PROPERTY_NET" hidden="1" function="0" vbProcedure="0">"c829"</definedName>
    <definedName name="IQ_PROVISION_10YR_ANN_GROWTH" hidden="1" function="0" vbProcedure="0">"c1077"</definedName>
    <definedName name="IQ_PROVISION_1YR_ANN_GROWTH" hidden="1" function="0" vbProcedure="0">"c1078"</definedName>
    <definedName name="IQ_PROVISION_2YR_ANN_GROWTH" hidden="1" function="0" vbProcedure="0">"c1079"</definedName>
    <definedName name="IQ_PROVISION_3YR_ANN_GROWTH" hidden="1" function="0" vbProcedure="0">"c1080"</definedName>
    <definedName name="IQ_PROVISION_5YR_ANN_GROWTH" hidden="1" function="0" vbProcedure="0">"c1081"</definedName>
    <definedName name="IQ_PROVISION_7YR_ANN_GROWTH" hidden="1" function="0" vbProcedure="0">"c1082"</definedName>
    <definedName name="IQ_PROVISION_CHARGE_OFFS" hidden="1" function="0" vbProcedure="0">"c1083"</definedName>
    <definedName name="IQ_PROV_BAD_DEBTS" hidden="1" function="0" vbProcedure="0">"c1075"</definedName>
    <definedName name="IQ_PROV_BAD_DEBTS_CF" hidden="1" function="0" vbProcedure="0">"c1076"</definedName>
    <definedName name="IQ_PRO_FORMA_BASIC_EPS" hidden="1" function="0" vbProcedure="0">"c1614"</definedName>
    <definedName name="IQ_PRO_FORMA_DILUT_EPS" hidden="1" function="0" vbProcedure="0">"c1615"</definedName>
    <definedName name="IQ_PRO_FORMA_NET_INC" hidden="1" function="0" vbProcedure="0">"c795"</definedName>
    <definedName name="IQ_PTBV" hidden="1" function="0" vbProcedure="0">"c1084"</definedName>
    <definedName name="IQ_PTBV_AVG" hidden="1" function="0" vbProcedure="0">"c1085"</definedName>
    <definedName name="IQ_PURCHASED_OPTION_CONTRACTS_FDIC" hidden="1" function="0" vbProcedure="0">"c6510"</definedName>
    <definedName name="IQ_PURCHASED_OPTION_CONTRACTS_FX_RISK_FDIC" hidden="1" function="0" vbProcedure="0">"c6515"</definedName>
    <definedName name="IQ_PURCHASED_OPTION_CONTRACTS_NON_FX_IR_FDIC" hidden="1" function="0" vbProcedure="0">"c6520"</definedName>
    <definedName name="IQ_PURCHASES_EQUIP_NONRES_SAAR_APR_FC_UNUSED_UNUSED_UNUSED" hidden="1" function="0" vbProcedure="0">"c8491"</definedName>
    <definedName name="IQ_PURCHASES_EQUIP_NONRES_SAAR_APR_UNUSED_UNUSED_UNUSED" hidden="1" function="0" vbProcedure="0">"c7611"</definedName>
    <definedName name="IQ_PURCHASES_EQUIP_NONRES_SAAR_FC_UNUSED_UNUSED_UNUSED" hidden="1" function="0" vbProcedure="0">"c7831"</definedName>
    <definedName name="IQ_PURCHASES_EQUIP_NONRES_SAAR_POP_FC_UNUSED_UNUSED_UNUSED" hidden="1" function="0" vbProcedure="0">"c8051"</definedName>
    <definedName name="IQ_PURCHASES_EQUIP_NONRES_SAAR_POP_UNUSED_UNUSED_UNUSED" hidden="1" function="0" vbProcedure="0">"c7171"</definedName>
    <definedName name="IQ_PURCHASES_EQUIP_NONRES_SAAR_UNUSED_UNUSED_UNUSED" hidden="1" function="0" vbProcedure="0">"c6951"</definedName>
    <definedName name="IQ_PURCHASES_EQUIP_NONRES_SAAR_YOY_FC_UNUSED_UNUSED_UNUSED" hidden="1" function="0" vbProcedure="0">"c8271"</definedName>
    <definedName name="IQ_PURCHASES_EQUIP_NONRES_SAAR_YOY_UNUSED_UNUSED_UNUSED" hidden="1" function="0" vbProcedure="0">"c7391"</definedName>
    <definedName name="IQ_PURCHASE_FOREIGN_CURRENCIES_FDIC" hidden="1" function="0" vbProcedure="0">"c6513"</definedName>
    <definedName name="IQ_QTD" hidden="1" function="0" vbProcedure="0">750000</definedName>
    <definedName name="IQ_QUICK_RATIO" hidden="1" function="0" vbProcedure="0">"c1086"</definedName>
    <definedName name="IQ_RATE_COMP_GROWTH_DOMESTIC" hidden="1" function="0" vbProcedure="0">"c1087"</definedName>
    <definedName name="IQ_RATE_COMP_GROWTH_FOREIGN" hidden="1" function="0" vbProcedure="0">"c1088"</definedName>
    <definedName name="IQ_RAW_INV" hidden="1" function="0" vbProcedure="0">"c1089"</definedName>
    <definedName name="IQ_RD_EXP" hidden="1" function="0" vbProcedure="0">"c1090"</definedName>
    <definedName name="IQ_RD_EXP_FN" hidden="1" function="0" vbProcedure="0">"c1091"</definedName>
    <definedName name="IQ_RE" hidden="1" function="0" vbProcedure="0">"c1092"</definedName>
    <definedName name="IQ_REAL_ESTATE" hidden="1" function="0" vbProcedure="0">"c1093"</definedName>
    <definedName name="IQ_REAL_ESTATE_ASSETS" hidden="1" function="0" vbProcedure="0">"c1094"</definedName>
    <definedName name="IQ_RECOVERIES_1_4_FAMILY_LOANS_FDIC" hidden="1" function="0" vbProcedure="0">"c6707"</definedName>
    <definedName name="IQ_RECOVERIES_AUTO_LOANS_FDIC" hidden="1" function="0" vbProcedure="0">"c6701"</definedName>
    <definedName name="IQ_RECOVERIES_CL_LOANS_FDIC" hidden="1" function="0" vbProcedure="0">"c6702"</definedName>
    <definedName name="IQ_RECOVERIES_CREDIT_CARDS_RECEIVABLES_FDIC" hidden="1" function="0" vbProcedure="0">"c6704"</definedName>
    <definedName name="IQ_RECOVERIES_HOME_EQUITY_LINES_FDIC" hidden="1" function="0" vbProcedure="0">"c6705"</definedName>
    <definedName name="IQ_RECOVERIES_OTHER_CONSUMER_LOANS_FDIC" hidden="1" function="0" vbProcedure="0">"c6703"</definedName>
    <definedName name="IQ_RECOVERIES_OTHER_LOANS_FDIC" hidden="1" function="0" vbProcedure="0">"c6706"</definedName>
    <definedName name="IQ_REDEEM_PREF_STOCK" hidden="1" function="0" vbProcedure="0">"c1059"</definedName>
    <definedName name="IQ_REG_ASSETS" hidden="1" function="0" vbProcedure="0">"c1095"</definedName>
    <definedName name="IQ_REINSURANCE" hidden="1" function="0" vbProcedure="0">"c1100"</definedName>
    <definedName name="IQ_REINSUR_PAY" hidden="1" function="0" vbProcedure="0">"c1096"</definedName>
    <definedName name="IQ_REINSUR_PAY_CF" hidden="1" function="0" vbProcedure="0">"c1097"</definedName>
    <definedName name="IQ_REINSUR_RECOVER" hidden="1" function="0" vbProcedure="0">"c1098"</definedName>
    <definedName name="IQ_REINSUR_RECOVER_CF" hidden="1" function="0" vbProcedure="0">"c1099"</definedName>
    <definedName name="IQ_RELATED_PLANS_FDIC" hidden="1" function="0" vbProcedure="0">"c6320"</definedName>
    <definedName name="IQ_RENTAL_REV" hidden="1" function="0" vbProcedure="0">"c1101"</definedName>
    <definedName name="IQ_RESEARCH_DEV" hidden="1" function="0" vbProcedure="0">"c1090"</definedName>
    <definedName name="IQ_RESIDENTIAL_LOANS" hidden="1" function="0" vbProcedure="0">"c1102"</definedName>
    <definedName name="IQ_RESTATEMENTS_NET_FDIC" hidden="1" function="0" vbProcedure="0">"c6500"</definedName>
    <definedName name="IQ_RESTATEMENT_BS" hidden="1" function="0" vbProcedure="0">"c1643"</definedName>
    <definedName name="IQ_RESTATEMENT_CF" hidden="1" function="0" vbProcedure="0">"c1644"</definedName>
    <definedName name="IQ_RESTATEMENT_IS" hidden="1" function="0" vbProcedure="0">"c1642"</definedName>
    <definedName name="IQ_RESTRICTED_CASH" hidden="1" function="0" vbProcedure="0">"c1103"</definedName>
    <definedName name="IQ_RESTRUCTURE" hidden="1" function="0" vbProcedure="0">"c1104"</definedName>
    <definedName name="IQ_RESTRUCTURED_LOANS" hidden="1" function="0" vbProcedure="0">"c1112"</definedName>
    <definedName name="IQ_RESTRUCTURED_LOANS_1_4_RESIDENTIAL_FDIC" hidden="1" function="0" vbProcedure="0">"c6378"</definedName>
    <definedName name="IQ_RESTRUCTURED_LOANS_LEASES_FDIC" hidden="1" function="0" vbProcedure="0">"c6377"</definedName>
    <definedName name="IQ_RESTRUCTURED_LOANS_NON_1_4_FDIC" hidden="1" function="0" vbProcedure="0">"c6379"</definedName>
    <definedName name="IQ_RESTRUCTURE_BNK" hidden="1" function="0" vbProcedure="0">"c1105"</definedName>
    <definedName name="IQ_RESTRUCTURE_BR" hidden="1" function="0" vbProcedure="0">"c1106"</definedName>
    <definedName name="IQ_RESTRUCTURE_CF" hidden="1" function="0" vbProcedure="0">"c1107"</definedName>
    <definedName name="IQ_RESTRUCTURE_FIN" hidden="1" function="0" vbProcedure="0">"c1108"</definedName>
    <definedName name="IQ_RESTRUCTURE_INS" hidden="1" function="0" vbProcedure="0">"c1109"</definedName>
    <definedName name="IQ_RESTRUCTURE_REIT" hidden="1" function="0" vbProcedure="0">"c1110"</definedName>
    <definedName name="IQ_RESTRUCTURE_UTI" hidden="1" function="0" vbProcedure="0">"c1111"</definedName>
    <definedName name="IQ_RES_CONST_REAL_APR_FC_UNUSED_UNUSED_UNUSED" hidden="1" function="0" vbProcedure="0">"c8536"</definedName>
    <definedName name="IQ_RES_CONST_REAL_APR_UNUSED_UNUSED_UNUSED" hidden="1" function="0" vbProcedure="0">"c7656"</definedName>
    <definedName name="IQ_RES_CONST_REAL_FC_UNUSED_UNUSED_UNUSED" hidden="1" function="0" vbProcedure="0">"c7876"</definedName>
    <definedName name="IQ_RES_CONST_REAL_POP_FC_UNUSED_UNUSED_UNUSED" hidden="1" function="0" vbProcedure="0">"c8096"</definedName>
    <definedName name="IQ_RES_CONST_REAL_POP_UNUSED_UNUSED_UNUSED" hidden="1" function="0" vbProcedure="0">"c7216"</definedName>
    <definedName name="IQ_RES_CONST_REAL_SAAR_APR_FC_UNUSED_UNUSED_UNUSED" hidden="1" function="0" vbProcedure="0">"c8537"</definedName>
    <definedName name="IQ_RES_CONST_REAL_SAAR_APR_UNUSED_UNUSED_UNUSED" hidden="1" function="0" vbProcedure="0">"c7657"</definedName>
    <definedName name="IQ_RES_CONST_REAL_SAAR_FC_UNUSED_UNUSED_UNUSED" hidden="1" function="0" vbProcedure="0">"c7877"</definedName>
    <definedName name="IQ_RES_CONST_REAL_SAAR_POP_FC_UNUSED_UNUSED_UNUSED" hidden="1" function="0" vbProcedure="0">"c8097"</definedName>
    <definedName name="IQ_RES_CONST_REAL_SAAR_POP_UNUSED_UNUSED_UNUSED" hidden="1" function="0" vbProcedure="0">"c7217"</definedName>
    <definedName name="IQ_RES_CONST_REAL_SAAR_UNUSED_UNUSED_UNUSED" hidden="1" function="0" vbProcedure="0">"c6997"</definedName>
    <definedName name="IQ_RES_CONST_REAL_SAAR_YOY_FC_UNUSED_UNUSED_UNUSED" hidden="1" function="0" vbProcedure="0">"c8317"</definedName>
    <definedName name="IQ_RES_CONST_REAL_SAAR_YOY_UNUSED_UNUSED_UNUSED" hidden="1" function="0" vbProcedure="0">"c7437"</definedName>
    <definedName name="IQ_RES_CONST_REAL_UNUSED_UNUSED_UNUSED" hidden="1" function="0" vbProcedure="0">"c6996"</definedName>
    <definedName name="IQ_RES_CONST_REAL_YOY_FC_UNUSED_UNUSED_UNUSED" hidden="1" function="0" vbProcedure="0">"c8316"</definedName>
    <definedName name="IQ_RES_CONST_REAL_YOY_UNUSED_UNUSED_UNUSED" hidden="1" function="0" vbProcedure="0">"c7436"</definedName>
    <definedName name="IQ_RES_CONST_SAAR_APR_FC_UNUSED_UNUSED_UNUSED" hidden="1" function="0" vbProcedure="0">"c8540"</definedName>
    <definedName name="IQ_RES_CONST_SAAR_APR_UNUSED_UNUSED_UNUSED" hidden="1" function="0" vbProcedure="0">"c7660"</definedName>
    <definedName name="IQ_RES_CONST_SAAR_FC_UNUSED_UNUSED_UNUSED" hidden="1" function="0" vbProcedure="0">"c7880"</definedName>
    <definedName name="IQ_RES_CONST_SAAR_POP_FC_UNUSED_UNUSED_UNUSED" hidden="1" function="0" vbProcedure="0">"c8100"</definedName>
    <definedName name="IQ_RES_CONST_SAAR_POP_UNUSED_UNUSED_UNUSED" hidden="1" function="0" vbProcedure="0">"c7220"</definedName>
    <definedName name="IQ_RES_CONST_SAAR_UNUSED_UNUSED_UNUSED" hidden="1" function="0" vbProcedure="0">"c7000"</definedName>
    <definedName name="IQ_RES_CONST_SAAR_YOY_FC_UNUSED_UNUSED_UNUSED" hidden="1" function="0" vbProcedure="0">"c8320"</definedName>
    <definedName name="IQ_RES_CONST_SAAR_YOY_UNUSED_UNUSED_UNUSED" hidden="1" function="0" vbProcedure="0">"c7440"</definedName>
    <definedName name="IQ_RETAIL_AVG_STORE_SIZE_GROSS" hidden="1" function="0" vbProcedure="0">"c2066"</definedName>
    <definedName name="IQ_RETAIL_AVG_STORE_SIZE_NET" hidden="1" function="0" vbProcedure="0">"c2067"</definedName>
    <definedName name="IQ_RETAIL_CLOSED_STORES" hidden="1" function="0" vbProcedure="0">"c2063"</definedName>
    <definedName name="IQ_RETAIL_DEPOSITS_FDIC" hidden="1" function="0" vbProcedure="0">"c6488"</definedName>
    <definedName name="IQ_RETAIL_OPENED_STORES" hidden="1" function="0" vbProcedure="0">"c2062"</definedName>
    <definedName name="IQ_RETAIL_SALES_SQFT_ALL_GROSS" hidden="1" function="0" vbProcedure="0">"c2138"</definedName>
    <definedName name="IQ_RETAIL_SALES_SQFT_ALL_NET" hidden="1" function="0" vbProcedure="0">"c2139"</definedName>
    <definedName name="IQ_RETAIL_SALES_SQFT_COMPARABLE_GROSS" hidden="1" function="0" vbProcedure="0">"c2136"</definedName>
    <definedName name="IQ_RETAIL_SALES_SQFT_COMPARABLE_NET" hidden="1" function="0" vbProcedure="0">"c2137"</definedName>
    <definedName name="IQ_RETAIL_SALES_SQFT_OWNED_GROSS" hidden="1" function="0" vbProcedure="0">"c2134"</definedName>
    <definedName name="IQ_RETAIL_SALES_SQFT_OWNED_NET" hidden="1" function="0" vbProcedure="0">"c2135"</definedName>
    <definedName name="IQ_RETAIL_SQ_FOOTAGE" hidden="1" function="0" vbProcedure="0">"c2064"</definedName>
    <definedName name="IQ_RETAIL_STORE_SELLING_AREA" hidden="1" function="0" vbProcedure="0">"c2065"</definedName>
    <definedName name="IQ_RETAIL_TOTAL_STORES" hidden="1" function="0" vbProcedure="0">"c2061"</definedName>
    <definedName name="IQ_RETAINED_EARN" hidden="1" function="0" vbProcedure="0">"c1092"</definedName>
    <definedName name="IQ_RETAINED_EARNINGS_AVERAGE_EQUITY_FDIC" hidden="1" function="0" vbProcedure="0">"c6733"</definedName>
    <definedName name="IQ_RETURN_ASSETS" hidden="1" function="0" vbProcedure="0">"c1113"</definedName>
    <definedName name="IQ_RETURN_ASSETS_ACT_OR_EST_REUT" hidden="1" function="0" vbProcedure="0">"c5475"</definedName>
    <definedName name="IQ_RETURN_ASSETS_BANK" hidden="1" function="0" vbProcedure="0">"c1114"</definedName>
    <definedName name="IQ_RETURN_ASSETS_BROK" hidden="1" function="0" vbProcedure="0">"c1115"</definedName>
    <definedName name="IQ_RETURN_ASSETS_EST_REUT" hidden="1" function="0" vbProcedure="0">"c3990"</definedName>
    <definedName name="IQ_RETURN_ASSETS_FDIC" hidden="1" function="0" vbProcedure="0">"c6730"</definedName>
    <definedName name="IQ_RETURN_ASSETS_FS" hidden="1" function="0" vbProcedure="0">"c1116"</definedName>
    <definedName name="IQ_RETURN_ASSETS_HIGH_EST_REUT" hidden="1" function="0" vbProcedure="0">"c3992"</definedName>
    <definedName name="IQ_RETURN_ASSETS_LOW_EST_REUT" hidden="1" function="0" vbProcedure="0">"c3993"</definedName>
    <definedName name="IQ_RETURN_ASSETS_MEDIAN_EST_REUT" hidden="1" function="0" vbProcedure="0">"c3991"</definedName>
    <definedName name="IQ_RETURN_ASSETS_NUM_EST_REUT" hidden="1" function="0" vbProcedure="0">"c3994"</definedName>
    <definedName name="IQ_RETURN_ASSETS_STDDEV_EST_REUT" hidden="1" function="0" vbProcedure="0">"c3995"</definedName>
    <definedName name="IQ_RETURN_CAPITAL" hidden="1" function="0" vbProcedure="0">"c1117"</definedName>
    <definedName name="IQ_RETURN_EQUITY" hidden="1" function="0" vbProcedure="0">"c1118"</definedName>
    <definedName name="IQ_RETURN_EQUITY_ACT_OR_EST_REUT" hidden="1" function="0" vbProcedure="0">"c5476"</definedName>
    <definedName name="IQ_RETURN_EQUITY_BANK" hidden="1" function="0" vbProcedure="0">"c1119"</definedName>
    <definedName name="IQ_RETURN_EQUITY_BROK" hidden="1" function="0" vbProcedure="0">"c1120"</definedName>
    <definedName name="IQ_RETURN_EQUITY_EST_REUT" hidden="1" function="0" vbProcedure="0">"c3983"</definedName>
    <definedName name="IQ_RETURN_EQUITY_FDIC" hidden="1" function="0" vbProcedure="0">"c6732"</definedName>
    <definedName name="IQ_RETURN_EQUITY_FS" hidden="1" function="0" vbProcedure="0">"c1121"</definedName>
    <definedName name="IQ_RETURN_EQUITY_HIGH_EST_REUT" hidden="1" function="0" vbProcedure="0">"c3985"</definedName>
    <definedName name="IQ_RETURN_EQUITY_LOW_EST_REUT" hidden="1" function="0" vbProcedure="0">"c3986"</definedName>
    <definedName name="IQ_RETURN_EQUITY_MEDIAN_EST_REUT" hidden="1" function="0" vbProcedure="0">"c3984"</definedName>
    <definedName name="IQ_RETURN_EQUITY_NUM_EST_REUT" hidden="1" function="0" vbProcedure="0">"c3987"</definedName>
    <definedName name="IQ_RETURN_EQUITY_STDDEV_EST_REUT" hidden="1" function="0" vbProcedure="0">"c3988"</definedName>
    <definedName name="IQ_RETURN_INVESTMENT" hidden="1" function="0" vbProcedure="0">"c1117"</definedName>
    <definedName name="IQ_REV" hidden="1" function="0" vbProcedure="0">"c1122"</definedName>
    <definedName name="IQ_REVALUATION_GAINS_FDIC" hidden="1" function="0" vbProcedure="0">"c6428"</definedName>
    <definedName name="IQ_REVALUATION_LOSSES_FDIC" hidden="1" function="0" vbProcedure="0">"c6429"</definedName>
    <definedName name="IQ_REVENUE" hidden="1" function="0" vbProcedure="0">"c1122"</definedName>
    <definedName name="IQ_REVENUE_ACT_OR_EST_REUT" hidden="1" function="0" vbProcedure="0">"c5461"</definedName>
    <definedName name="IQ_REVENUE_EST_BOTTOM_UP_REUT" hidden="1" function="0" vbProcedure="0">"c5496"</definedName>
    <definedName name="IQ_REVISION_DATE_" hidden="1" function="0" vbProcedure="0">38671.5933796296</definedName>
    <definedName name="IQ_REVOLVING_SECURED_1_–4_NON_ACCRUAL_FFIEC" hidden="1" function="0" vbProcedure="0">"c15565"</definedName>
    <definedName name="IQ_REV_BEFORE_LL" hidden="1" function="0" vbProcedure="0">"c1123"</definedName>
    <definedName name="IQ_REV_UTI" hidden="1" function="0" vbProcedure="0">"c1125"</definedName>
    <definedName name="IQ_RE_FORECLOSURE_FDIC" hidden="1" function="0" vbProcedure="0">"c6332"</definedName>
    <definedName name="IQ_RE_INVEST_FDIC" hidden="1" function="0" vbProcedure="0">"c6331"</definedName>
    <definedName name="IQ_RE_LOANS_DOMESTIC_CHARGE_OFFS_FDIC" hidden="1" function="0" vbProcedure="0">"c6589"</definedName>
    <definedName name="IQ_RE_LOANS_DOMESTIC_FDIC" hidden="1" function="0" vbProcedure="0">"c6309"</definedName>
    <definedName name="IQ_RE_LOANS_DOMESTIC_NET_CHARGE_OFFS_FDIC" hidden="1" function="0" vbProcedure="0">"c6627"</definedName>
    <definedName name="IQ_RE_LOANS_DOMESTIC_RECOVERIES_FDIC" hidden="1" function="0" vbProcedure="0">"c6608"</definedName>
    <definedName name="IQ_RE_LOANS_FDIC" hidden="1" function="0" vbProcedure="0">"c6308"</definedName>
    <definedName name="IQ_RE_LOANS_FOREIGN_CHARGE_OFFS_FDIC" hidden="1" function="0" vbProcedure="0">"c6595"</definedName>
    <definedName name="IQ_RE_LOANS_FOREIGN_NET_CHARGE_OFFS_FDIC" hidden="1" function="0" vbProcedure="0">"c6633"</definedName>
    <definedName name="IQ_RE_LOANS_FOREIGN_RECOVERIES_FDIC" hidden="1" function="0" vbProcedure="0">"c6614"</definedName>
    <definedName name="IQ_RISK_WEIGHTED_ASSETS_FDIC" hidden="1" function="0" vbProcedure="0">"c6370"</definedName>
    <definedName name="IQ_SALARY" hidden="1" function="0" vbProcedure="0">"c1130"</definedName>
    <definedName name="IQ_SALARY_FDIC" hidden="1" function="0" vbProcedure="0">"c6576"</definedName>
    <definedName name="IQ_SALES_MARKETING" hidden="1" function="0" vbProcedure="0">"c2240"</definedName>
    <definedName name="IQ_SALE_CONVERSION_RETIREMENT_STOCK_FDIC" hidden="1" function="0" vbProcedure="0">"c6661"</definedName>
    <definedName name="IQ_SALE_INTAN_CF" hidden="1" function="0" vbProcedure="0">"c1131"</definedName>
    <definedName name="IQ_SALE_INTAN_CF_BNK" hidden="1" function="0" vbProcedure="0">"c1132"</definedName>
    <definedName name="IQ_SALE_INTAN_CF_BR" hidden="1" function="0" vbProcedure="0">"c1133"</definedName>
    <definedName name="IQ_SALE_INTAN_CF_FIN" hidden="1" function="0" vbProcedure="0">"c1134"</definedName>
    <definedName name="IQ_SALE_INTAN_CF_INS" hidden="1" function="0" vbProcedure="0">"c1135"</definedName>
    <definedName name="IQ_SALE_INTAN_CF_REIT" hidden="1" function="0" vbProcedure="0">"c1627"</definedName>
    <definedName name="IQ_SALE_INTAN_CF_UTI" hidden="1" function="0" vbProcedure="0">"c1136"</definedName>
    <definedName name="IQ_SALE_PPE_CF" hidden="1" function="0" vbProcedure="0">"c1137"</definedName>
    <definedName name="IQ_SALE_PPE_CF_BNK" hidden="1" function="0" vbProcedure="0">"c1138"</definedName>
    <definedName name="IQ_SALE_PPE_CF_BR" hidden="1" function="0" vbProcedure="0">"c1139"</definedName>
    <definedName name="IQ_SALE_PPE_CF_FIN" hidden="1" function="0" vbProcedure="0">"c1140"</definedName>
    <definedName name="IQ_SALE_PPE_CF_INS" hidden="1" function="0" vbProcedure="0">"c1141"</definedName>
    <definedName name="IQ_SALE_PPE_CF_UTI" hidden="1" function="0" vbProcedure="0">"c1142"</definedName>
    <definedName name="IQ_SALE_REAL_ESTATE_CF" hidden="1" function="0" vbProcedure="0">"c1143"</definedName>
    <definedName name="IQ_SALE_REAL_ESTATE_CF_BNK" hidden="1" function="0" vbProcedure="0">"c1144"</definedName>
    <definedName name="IQ_SALE_REAL_ESTATE_CF_BR" hidden="1" function="0" vbProcedure="0">"c1145"</definedName>
    <definedName name="IQ_SALE_REAL_ESTATE_CF_FIN" hidden="1" function="0" vbProcedure="0">"c1146"</definedName>
    <definedName name="IQ_SALE_REAL_ESTATE_CF_INS" hidden="1" function="0" vbProcedure="0">"c1147"</definedName>
    <definedName name="IQ_SALE_REAL_ESTATE_CF_UTI" hidden="1" function="0" vbProcedure="0">"c1148"</definedName>
    <definedName name="IQ_SALE_RE_ASSETS" hidden="1" function="0" vbProcedure="0">"c1629"</definedName>
    <definedName name="IQ_SAME_STORE" hidden="1" function="0" vbProcedure="0">"c1149"</definedName>
    <definedName name="IQ_SAVING_DEP" hidden="1" function="0" vbProcedure="0">"c1150"</definedName>
    <definedName name="IQ_SECURED_1_4_FAMILY_RESIDENTIAL_CHARGE_OFFS_FDIC" hidden="1" function="0" vbProcedure="0">"c6590"</definedName>
    <definedName name="IQ_SECURED_1_4_FAMILY_RESIDENTIAL_NET_CHARGE_OFFS_FDIC" hidden="1" function="0" vbProcedure="0">"c6628"</definedName>
    <definedName name="IQ_SECURED_1_4_FAMILY_RESIDENTIAL_RECOVERIES_FDIC" hidden="1" function="0" vbProcedure="0">"c6609"</definedName>
    <definedName name="IQ_SECURED_FARMLAND_CHARGE_OFFS_FDIC" hidden="1" function="0" vbProcedure="0">"c6593"</definedName>
    <definedName name="IQ_SECURED_FARMLAND_NET_CHARGE_OFFS_FDIC" hidden="1" function="0" vbProcedure="0">"c6631"</definedName>
    <definedName name="IQ_SECURED_FARMLAND_RECOVERIES_FDIC" hidden="1" function="0" vbProcedure="0">"c6612"</definedName>
    <definedName name="IQ_SECURED_MULTIFAMILY_RESIDENTIAL_CHARGE_OFFS_FDIC" hidden="1" function="0" vbProcedure="0">"c6591"</definedName>
    <definedName name="IQ_SECURED_MULTIFAMILY_RESIDENTIAL_NET_CHARGE_OFFS_FDIC" hidden="1" function="0" vbProcedure="0">"c6629"</definedName>
    <definedName name="IQ_SECURED_MULTIFAMILY_RESIDENTIAL_RECOVERIES_FDIC" hidden="1" function="0" vbProcedure="0">"c6610"</definedName>
    <definedName name="IQ_SECURED_NONFARM_NONRESIDENTIAL_CHARGE_OFFS_FDIC" hidden="1" function="0" vbProcedure="0">"c6592"</definedName>
    <definedName name="IQ_SECURED_NONFARM_NONRESIDENTIAL_NET_CHARGE_OFFS_FDIC" hidden="1" function="0" vbProcedure="0">"c6630"</definedName>
    <definedName name="IQ_SECURED_NONFARM_NONRESIDENTIAL_RECOVERIES_FDIC" hidden="1" function="0" vbProcedure="0">"c6611"</definedName>
    <definedName name="IQ_SECURITIES_GAINS_FDIC" hidden="1" function="0" vbProcedure="0">"c6584"</definedName>
    <definedName name="IQ_SECURITIES_ISSUED_STATES_FDIC" hidden="1" function="0" vbProcedure="0">"c6300"</definedName>
    <definedName name="IQ_SECURITIES_LENT_FDIC" hidden="1" function="0" vbProcedure="0">"c6532"</definedName>
    <definedName name="IQ_SECURITIES_UNDERWRITING_FDIC" hidden="1" function="0" vbProcedure="0">"c6529"</definedName>
    <definedName name="IQ_SECURITY_BORROW" hidden="1" function="0" vbProcedure="0">"c1152"</definedName>
    <definedName name="IQ_SECURITY_LEVEL" hidden="1" function="0" vbProcedure="0">"c2159"</definedName>
    <definedName name="IQ_SECURITY_NOTES" hidden="1" function="0" vbProcedure="0">"c2202"</definedName>
    <definedName name="IQ_SECURITY_OWN" hidden="1" function="0" vbProcedure="0">"c1153"</definedName>
    <definedName name="IQ_SECURITY_RESELL" hidden="1" function="0" vbProcedure="0">"c1154"</definedName>
    <definedName name="IQ_SECURITY_TYPE" hidden="1" function="0" vbProcedure="0">"c2158"</definedName>
    <definedName name="IQ_SECUR_RECEIV" hidden="1" function="0" vbProcedure="0">"c1151"</definedName>
    <definedName name="IQ_SEMI_BACKLOG_UNITS" hidden="1" function="0" vbProcedure="0">"c10005"</definedName>
    <definedName name="IQ_SEMI_BOOKINGS_AVG_PRICE" hidden="1" function="0" vbProcedure="0">"c10002"</definedName>
    <definedName name="IQ_SEMI_BOOKINGS_UNITS" hidden="1" function="0" vbProcedure="0">"c10001"</definedName>
    <definedName name="IQ_SEMI_BOOKINGS_VALUE" hidden="1" function="0" vbProcedure="0">"c10003"</definedName>
    <definedName name="IQ_SEMI_BOOKINGS_VALUE_CHANGE" hidden="1" function="0" vbProcedure="0">"c10004"</definedName>
    <definedName name="IQ_SEPARATE_ACCT_ASSETS" hidden="1" function="0" vbProcedure="0">"c1155"</definedName>
    <definedName name="IQ_SEPARATE_ACCT_LIAB" hidden="1" function="0" vbProcedure="0">"c1156"</definedName>
    <definedName name="IQ_SERVICE_CHARGES_FDIC" hidden="1" function="0" vbProcedure="0">"c6572"</definedName>
    <definedName name="IQ_SERV_CHARGE_DEPOSITS" hidden="1" function="0" vbProcedure="0">"c1157"</definedName>
    <definedName name="IQ_SGA" hidden="1" function="0" vbProcedure="0">"c1158"</definedName>
    <definedName name="IQ_SGA_BNK" hidden="1" function="0" vbProcedure="0">"c1159"</definedName>
    <definedName name="IQ_SGA_INS" hidden="1" function="0" vbProcedure="0">"c1160"</definedName>
    <definedName name="IQ_SGA_MARGIN" hidden="1" function="0" vbProcedure="0">"c1898"</definedName>
    <definedName name="IQ_SGA_REIT" hidden="1" function="0" vbProcedure="0">"c1161"</definedName>
    <definedName name="IQ_SGA_SUPPL" hidden="1" function="0" vbProcedure="0">"c1162"</definedName>
    <definedName name="IQ_SGA_UTI" hidden="1" function="0" vbProcedure="0">"c1163"</definedName>
    <definedName name="IQ_SHAREOUTSTANDING" hidden="1" function="0" vbProcedure="0">"c1347"</definedName>
    <definedName name="IQ_SHARESOUTSTANDING" hidden="1" function="0" vbProcedure="0">"c1164"</definedName>
    <definedName name="IQ_SHORT_INTEREST" hidden="1" function="0" vbProcedure="0">"c1165"</definedName>
    <definedName name="IQ_SHORT_INTEREST_OVER_FLOAT" hidden="1" function="0" vbProcedure="0">"c1577"</definedName>
    <definedName name="IQ_SHORT_INTEREST_PERCENT" hidden="1" function="0" vbProcedure="0">"c1576"</definedName>
    <definedName name="IQ_SHORT_TERM_INVEST" hidden="1" function="0" vbProcedure="0">"c1197"</definedName>
    <definedName name="IQ_SMALL_INT_BEAR_CD" hidden="1" function="0" vbProcedure="0">"c1166"</definedName>
    <definedName name="IQ_SOFTWARE" hidden="1" function="0" vbProcedure="0">"c1167"</definedName>
    <definedName name="IQ_SOURCE" hidden="1" function="0" vbProcedure="0">"c1168"</definedName>
    <definedName name="IQ_SP" hidden="1" function="0" vbProcedure="0">"c2171"</definedName>
    <definedName name="IQ_SPECIAL_DIV_CF" hidden="1" function="0" vbProcedure="0">"c1169"</definedName>
    <definedName name="IQ_SPECIAL_DIV_CF_BNK" hidden="1" function="0" vbProcedure="0">"c1170"</definedName>
    <definedName name="IQ_SPECIAL_DIV_CF_BR" hidden="1" function="0" vbProcedure="0">"c1171"</definedName>
    <definedName name="IQ_SPECIAL_DIV_CF_FIN" hidden="1" function="0" vbProcedure="0">"c1172"</definedName>
    <definedName name="IQ_SPECIAL_DIV_CF_INS" hidden="1" function="0" vbProcedure="0">"c1173"</definedName>
    <definedName name="IQ_SPECIAL_DIV_CF_REIT" hidden="1" function="0" vbProcedure="0">"c1174"</definedName>
    <definedName name="IQ_SPECIAL_DIV_CF_UTI" hidden="1" function="0" vbProcedure="0">"c1175"</definedName>
    <definedName name="IQ_SP_DATE" hidden="1" function="0" vbProcedure="0">"c2172"</definedName>
    <definedName name="IQ_SP_ISSUE_LC_ACTION" hidden="1" function="0" vbProcedure="0">"c2644"</definedName>
    <definedName name="IQ_SP_ISSUE_LC_DATE" hidden="1" function="0" vbProcedure="0">"c2643"</definedName>
    <definedName name="IQ_SP_ISSUE_LC_LT" hidden="1" function="0" vbProcedure="0">"c2645"</definedName>
    <definedName name="IQ_SP_REASON" hidden="1" function="0" vbProcedure="0">"c2174"</definedName>
    <definedName name="IQ_SP_STATUS" hidden="1" function="0" vbProcedure="0">"c2173"</definedName>
    <definedName name="IQ_STATE" hidden="1" function="0" vbProcedure="0">"c1200"</definedName>
    <definedName name="IQ_STATES_NONTRANSACTION_ACCOUNTS_FDIC" hidden="1" function="0" vbProcedure="0">"c6547"</definedName>
    <definedName name="IQ_STATES_TOTAL_DEPOSITS_FDIC" hidden="1" function="0" vbProcedure="0">"c6473"</definedName>
    <definedName name="IQ_STATES_TRANSACTION_ACCOUNTS_FDIC" hidden="1" function="0" vbProcedure="0">"c6539"</definedName>
    <definedName name="IQ_STATUTORY_SURPLUS" hidden="1" function="0" vbProcedure="0">"c1201"</definedName>
    <definedName name="IQ_STOCK_BASED" hidden="1" function="0" vbProcedure="0">"c1202"</definedName>
    <definedName name="IQ_STOCK_BASED_CF" hidden="1" function="0" vbProcedure="0">"c1203"</definedName>
    <definedName name="IQ_STOCK_BASED_COGS_FIN" hidden="1" function="0" vbProcedure="0">"c2998"</definedName>
    <definedName name="IQ_STOCK_BASED_COGS_UTIL" hidden="1" function="0" vbProcedure="0">"c2997"</definedName>
    <definedName name="IQ_STRIKE_PRICE_ISSUED" hidden="1" function="0" vbProcedure="0">"c1645"</definedName>
    <definedName name="IQ_STRIKE_PRICE_OS" hidden="1" function="0" vbProcedure="0">"c1646"</definedName>
    <definedName name="IQ_STW" hidden="1" function="0" vbProcedure="0">"c2166"</definedName>
    <definedName name="IQ_ST_DEBT" hidden="1" function="0" vbProcedure="0">"c1176"</definedName>
    <definedName name="IQ_ST_DEBT_BNK" hidden="1" function="0" vbProcedure="0">"c1177"</definedName>
    <definedName name="IQ_ST_DEBT_BR" hidden="1" function="0" vbProcedure="0">"c1178"</definedName>
    <definedName name="IQ_ST_DEBT_FIN" hidden="1" function="0" vbProcedure="0">"c1179"</definedName>
    <definedName name="IQ_ST_DEBT_INS" hidden="1" function="0" vbProcedure="0">"c1180"</definedName>
    <definedName name="IQ_ST_DEBT_ISSUED" hidden="1" function="0" vbProcedure="0">"c1181"</definedName>
    <definedName name="IQ_ST_DEBT_ISSUED_BNK" hidden="1" function="0" vbProcedure="0">"c1182"</definedName>
    <definedName name="IQ_ST_DEBT_ISSUED_BR" hidden="1" function="0" vbProcedure="0">"c1183"</definedName>
    <definedName name="IQ_ST_DEBT_ISSUED_FIN" hidden="1" function="0" vbProcedure="0">"c1184"</definedName>
    <definedName name="IQ_ST_DEBT_ISSUED_INS" hidden="1" function="0" vbProcedure="0">"c1185"</definedName>
    <definedName name="IQ_ST_DEBT_ISSUED_REIT" hidden="1" function="0" vbProcedure="0">"c1186"</definedName>
    <definedName name="IQ_ST_DEBT_ISSUED_UTI" hidden="1" function="0" vbProcedure="0">"c1187"</definedName>
    <definedName name="IQ_ST_DEBT_REIT" hidden="1" function="0" vbProcedure="0">"c1188"</definedName>
    <definedName name="IQ_ST_DEBT_REPAID" hidden="1" function="0" vbProcedure="0">"c1189"</definedName>
    <definedName name="IQ_ST_DEBT_REPAID_BNK" hidden="1" function="0" vbProcedure="0">"c1190"</definedName>
    <definedName name="IQ_ST_DEBT_REPAID_BR" hidden="1" function="0" vbProcedure="0">"c1191"</definedName>
    <definedName name="IQ_ST_DEBT_REPAID_FIN" hidden="1" function="0" vbProcedure="0">"c1192"</definedName>
    <definedName name="IQ_ST_DEBT_REPAID_INS" hidden="1" function="0" vbProcedure="0">"c1193"</definedName>
    <definedName name="IQ_ST_DEBT_REPAID_REIT" hidden="1" function="0" vbProcedure="0">"c1194"</definedName>
    <definedName name="IQ_ST_DEBT_REPAID_UTI" hidden="1" function="0" vbProcedure="0">"c1195"</definedName>
    <definedName name="IQ_ST_DEBT_UTI" hidden="1" function="0" vbProcedure="0">"c1196"</definedName>
    <definedName name="IQ_ST_INVEST" hidden="1" function="0" vbProcedure="0">"c1197"</definedName>
    <definedName name="IQ_ST_INVEST_UTI" hidden="1" function="0" vbProcedure="0">"c1198"</definedName>
    <definedName name="IQ_ST_NOTE_RECEIV" hidden="1" function="0" vbProcedure="0">"c1199"</definedName>
    <definedName name="IQ_SUB_DEBT_FDIC" hidden="1" function="0" vbProcedure="0">"c6346"</definedName>
    <definedName name="IQ_SUB_LEASE_AFTER_FIVE" hidden="1" function="0" vbProcedure="0">"c1207"</definedName>
    <definedName name="IQ_SUB_LEASE_INC_CY" hidden="1" function="0" vbProcedure="0">"c1208"</definedName>
    <definedName name="IQ_SUB_LEASE_INC_CY1" hidden="1" function="0" vbProcedure="0">"c1209"</definedName>
    <definedName name="IQ_SUB_LEASE_INC_CY2" hidden="1" function="0" vbProcedure="0">"c1210"</definedName>
    <definedName name="IQ_SUB_LEASE_INC_CY3" hidden="1" function="0" vbProcedure="0">"c1211"</definedName>
    <definedName name="IQ_SUB_LEASE_INC_CY4" hidden="1" function="0" vbProcedure="0">"c1212"</definedName>
    <definedName name="IQ_SUB_LEASE_NEXT_FIVE" hidden="1" function="0" vbProcedure="0">"c1213"</definedName>
    <definedName name="IQ_SURPLUS_FDIC" hidden="1" function="0" vbProcedure="0">"c6351"</definedName>
    <definedName name="IQ_SVA" hidden="1" function="0" vbProcedure="0">"c1214"</definedName>
    <definedName name="IQ_TAX_BENEFIT_OPTIONS" hidden="1" function="0" vbProcedure="0">"c1215"</definedName>
    <definedName name="IQ_TAX_EQUIV_NET_INT_INC" hidden="1" function="0" vbProcedure="0">"c1216"</definedName>
    <definedName name="IQ_TBV" hidden="1" function="0" vbProcedure="0">"c1906"</definedName>
    <definedName name="IQ_TBV_10YR_ANN_GROWTH" hidden="1" function="0" vbProcedure="0">"c1936"</definedName>
    <definedName name="IQ_TBV_1YR_ANN_GROWTH" hidden="1" function="0" vbProcedure="0">"c1931"</definedName>
    <definedName name="IQ_TBV_2YR_ANN_GROWTH" hidden="1" function="0" vbProcedure="0">"c1932"</definedName>
    <definedName name="IQ_TBV_3YR_ANN_GROWTH" hidden="1" function="0" vbProcedure="0">"c1933"</definedName>
    <definedName name="IQ_TBV_5YR_ANN_GROWTH" hidden="1" function="0" vbProcedure="0">"c1934"</definedName>
    <definedName name="IQ_TBV_7YR_ANN_GROWTH" hidden="1" function="0" vbProcedure="0">"c1935"</definedName>
    <definedName name="IQ_TBV_SHARE" hidden="1" function="0" vbProcedure="0">"c1217"</definedName>
    <definedName name="IQ_TEMPLATE" hidden="1" function="0" vbProcedure="0">"c1521"</definedName>
    <definedName name="IQ_TENANT" hidden="1" function="0" vbProcedure="0">"c1218"</definedName>
    <definedName name="IQ_TEV" hidden="1" function="0" vbProcedure="0">"c1219"</definedName>
    <definedName name="IQ_TEV_EBIT" hidden="1" function="0" vbProcedure="0">"c1220"</definedName>
    <definedName name="IQ_TEV_EBITDA" hidden="1" function="0" vbProcedure="0">"c1222"</definedName>
    <definedName name="IQ_TEV_EBITDA_AVG" hidden="1" function="0" vbProcedure="0">"c1223"</definedName>
    <definedName name="IQ_TEV_EBITDA_FWD" hidden="1" function="0" vbProcedure="0">"c1224"</definedName>
    <definedName name="IQ_TEV_EBIT_AVG" hidden="1" function="0" vbProcedure="0">"c1221"</definedName>
    <definedName name="IQ_TEV_EBIT_FWD_REUT" hidden="1" function="0" vbProcedure="0">"c4054"</definedName>
    <definedName name="IQ_TEV_EMPLOYEE_AVG" hidden="1" function="0" vbProcedure="0">"c1225"</definedName>
    <definedName name="IQ_TEV_TOTAL_REV" hidden="1" function="0" vbProcedure="0">"c1226"</definedName>
    <definedName name="IQ_TEV_TOTAL_REV_AVG" hidden="1" function="0" vbProcedure="0">"c1227"</definedName>
    <definedName name="IQ_TEV_TOTAL_REV_FWD" hidden="1" function="0" vbProcedure="0">"c1228"</definedName>
    <definedName name="IQ_TEV_UFCF" hidden="1" function="0" vbProcedure="0">"c2208"</definedName>
    <definedName name="IQ_THREE_MONTHS_FIXED_AND_FLOATING_FDIC" hidden="1" function="0" vbProcedure="0">"c6419"</definedName>
    <definedName name="IQ_THREE_MONTHS_MORTGAGE_PASS_THROUGHS_FDIC" hidden="1" function="0" vbProcedure="0">"c6411"</definedName>
    <definedName name="IQ_THREE_YEARS_LESS_FDIC" hidden="1" function="0" vbProcedure="0">"c6417"</definedName>
    <definedName name="IQ_THREE_YEAR_FIXED_AND_FLOATING_RATE_FDIC" hidden="1" function="0" vbProcedure="0">"c6421"</definedName>
    <definedName name="IQ_THREE_YEAR_MORTGAGE_PASS_THROUGHS_FDIC" hidden="1" function="0" vbProcedure="0">"c6413"</definedName>
    <definedName name="IQ_TIER_1_RISK_BASED_CAPITAL_RATIO_FDIC" hidden="1" function="0" vbProcedure="0">"c6746"</definedName>
    <definedName name="IQ_TIER_ONE_FDIC" hidden="1" function="0" vbProcedure="0">"c6369"</definedName>
    <definedName name="IQ_TIER_ONE_RATIO" hidden="1" function="0" vbProcedure="0">"c1229"</definedName>
    <definedName name="IQ_TIME_DEP" hidden="1" function="0" vbProcedure="0">"c1230"</definedName>
    <definedName name="IQ_TIME_DEPOSITS_LESS_THAN_100K_FDIC" hidden="1" function="0" vbProcedure="0">"c6465"</definedName>
    <definedName name="IQ_TIME_DEPOSITS_MORE_THAN_100K_FDIC" hidden="1" function="0" vbProcedure="0">"c6470"</definedName>
    <definedName name="IQ_TODAY" hidden="1" function="0" vbProcedure="0">0</definedName>
    <definedName name="IQ_TOTAL_AR_BR" hidden="1" function="0" vbProcedure="0">"c1231"</definedName>
    <definedName name="IQ_TOTAL_AR_REIT" hidden="1" function="0" vbProcedure="0">"c1232"</definedName>
    <definedName name="IQ_TOTAL_AR_UTI" hidden="1" function="0" vbProcedure="0">"c1233"</definedName>
    <definedName name="IQ_TOTAL_ASSETS" hidden="1" function="0" vbProcedure="0">"c1234"</definedName>
    <definedName name="IQ_TOTAL_ASSETS_10YR_ANN_GROWTH" hidden="1" function="0" vbProcedure="0">"c1235"</definedName>
    <definedName name="IQ_TOTAL_ASSETS_1YR_ANN_GROWTH" hidden="1" function="0" vbProcedure="0">"c1236"</definedName>
    <definedName name="IQ_TOTAL_ASSETS_2YR_ANN_GROWTH" hidden="1" function="0" vbProcedure="0">"c1237"</definedName>
    <definedName name="IQ_TOTAL_ASSETS_3YR_ANN_GROWTH" hidden="1" function="0" vbProcedure="0">"c1238"</definedName>
    <definedName name="IQ_TOTAL_ASSETS_5YR_ANN_GROWTH" hidden="1" function="0" vbProcedure="0">"c1239"</definedName>
    <definedName name="IQ_TOTAL_ASSETS_7YR_ANN_GROWTH" hidden="1" function="0" vbProcedure="0">"c1240"</definedName>
    <definedName name="IQ_TOTAL_ASSETS_FDIC" hidden="1" function="0" vbProcedure="0">"c6339"</definedName>
    <definedName name="IQ_TOTAL_AVG_CE_TOTAL_AVG_ASSETS" hidden="1" function="0" vbProcedure="0">"c1241"</definedName>
    <definedName name="IQ_TOTAL_AVG_EQUITY_TOTAL_AVG_ASSETS" hidden="1" function="0" vbProcedure="0">"c1242"</definedName>
    <definedName name="IQ_TOTAL_CA" hidden="1" function="0" vbProcedure="0">"c1243"</definedName>
    <definedName name="IQ_TOTAL_CAP" hidden="1" function="0" vbProcedure="0">"c1507"</definedName>
    <definedName name="IQ_TOTAL_CAPITAL_RATIO" hidden="1" function="0" vbProcedure="0">"c1244"</definedName>
    <definedName name="IQ_TOTAL_CASH_DIVID" hidden="1" function="0" vbProcedure="0">"c1266"</definedName>
    <definedName name="IQ_TOTAL_CASH_FINAN" hidden="1" function="0" vbProcedure="0">"c119"</definedName>
    <definedName name="IQ_TOTAL_CASH_INVEST" hidden="1" function="0" vbProcedure="0">"c121"</definedName>
    <definedName name="IQ_TOTAL_CASH_OPER" hidden="1" function="0" vbProcedure="0">"c122"</definedName>
    <definedName name="IQ_TOTAL_CHARGE_OFFS_FDIC" hidden="1" function="0" vbProcedure="0">"c6603"</definedName>
    <definedName name="IQ_TOTAL_CHURN" hidden="1" function="0" vbProcedure="0">"c2122"</definedName>
    <definedName name="IQ_TOTAL_CL" hidden="1" function="0" vbProcedure="0">"c1245"</definedName>
    <definedName name="IQ_TOTAL_COMMON" hidden="1" function="0" vbProcedure="0">"c1022"</definedName>
    <definedName name="IQ_TOTAL_COMMON_EQUITY" hidden="1" function="0" vbProcedure="0">"c1246"</definedName>
    <definedName name="IQ_TOTAL_CURRENT_ASSETS" hidden="1" function="0" vbProcedure="0">"c1243"</definedName>
    <definedName name="IQ_TOTAL_CURRENT_LIAB" hidden="1" function="0" vbProcedure="0">"c1245"</definedName>
    <definedName name="IQ_TOTAL_DEBT" hidden="1" function="0" vbProcedure="0">"c1247"</definedName>
    <definedName name="IQ_TOTAL_DEBT_CAPITAL" hidden="1" function="0" vbProcedure="0">"c1248"</definedName>
    <definedName name="IQ_TOTAL_DEBT_DUE" hidden="1" function="0" vbProcedure="0">"c2509"</definedName>
    <definedName name="IQ_TOTAL_DEBT_EBITDA" hidden="1" function="0" vbProcedure="0">"c1249"</definedName>
    <definedName name="IQ_TOTAL_DEBT_EQUITY" hidden="1" function="0" vbProcedure="0">"c1250"</definedName>
    <definedName name="IQ_TOTAL_DEBT_ISSUED" hidden="1" function="0" vbProcedure="0">"c1251"</definedName>
    <definedName name="IQ_TOTAL_DEBT_ISSUED_BNK" hidden="1" function="0" vbProcedure="0">"c1252"</definedName>
    <definedName name="IQ_TOTAL_DEBT_ISSUED_BR" hidden="1" function="0" vbProcedure="0">"c1253"</definedName>
    <definedName name="IQ_TOTAL_DEBT_ISSUED_FIN" hidden="1" function="0" vbProcedure="0">"c1254"</definedName>
    <definedName name="IQ_TOTAL_DEBT_ISSUED_REIT" hidden="1" function="0" vbProcedure="0">"c1255"</definedName>
    <definedName name="IQ_TOTAL_DEBT_ISSUED_UTI" hidden="1" function="0" vbProcedure="0">"c1256"</definedName>
    <definedName name="IQ_TOTAL_DEBT_ISSUES_INS" hidden="1" function="0" vbProcedure="0">"c1257"</definedName>
    <definedName name="IQ_TOTAL_DEBT_OVER_EBITDA" hidden="1" function="0" vbProcedure="0">"c1249"</definedName>
    <definedName name="IQ_TOTAL_DEBT_OVER_TOTAL_BV" hidden="1" function="0" vbProcedure="0">"c1250"</definedName>
    <definedName name="IQ_TOTAL_DEBT_OVER_TOTAL_CAP" hidden="1" function="0" vbProcedure="0">"c1248"</definedName>
    <definedName name="IQ_TOTAL_DEBT_REPAID" hidden="1" function="0" vbProcedure="0">"c1258"</definedName>
    <definedName name="IQ_TOTAL_DEBT_REPAID_BNK" hidden="1" function="0" vbProcedure="0">"c1259"</definedName>
    <definedName name="IQ_TOTAL_DEBT_REPAID_BR" hidden="1" function="0" vbProcedure="0">"c1260"</definedName>
    <definedName name="IQ_TOTAL_DEBT_REPAID_FIN" hidden="1" function="0" vbProcedure="0">"c1261"</definedName>
    <definedName name="IQ_TOTAL_DEBT_REPAID_INS" hidden="1" function="0" vbProcedure="0">"c1262"</definedName>
    <definedName name="IQ_TOTAL_DEBT_REPAID_REIT" hidden="1" function="0" vbProcedure="0">"c1263"</definedName>
    <definedName name="IQ_TOTAL_DEBT_REPAID_UTI" hidden="1" function="0" vbProcedure="0">"c1264"</definedName>
    <definedName name="IQ_TOTAL_DEBT_SECURITIES_FDIC" hidden="1" function="0" vbProcedure="0">"c6410"</definedName>
    <definedName name="IQ_TOTAL_DEPOSITS" hidden="1" function="0" vbProcedure="0">"c1265"</definedName>
    <definedName name="IQ_TOTAL_DEPOSITS_FDIC" hidden="1" function="0" vbProcedure="0">"c6342"</definedName>
    <definedName name="IQ_TOTAL_DIV_PAID_CF" hidden="1" function="0" vbProcedure="0">"c1266"</definedName>
    <definedName name="IQ_TOTAL_EMPLOYEE" hidden="1" function="0" vbProcedure="0">"c1522"</definedName>
    <definedName name="IQ_TOTAL_EMPLOYEES" hidden="1" function="0" vbProcedure="0">"c1522"</definedName>
    <definedName name="IQ_TOTAL_EMPLOYEES_FDIC" hidden="1" function="0" vbProcedure="0">"c6355"</definedName>
    <definedName name="IQ_TOTAL_EQUITY" hidden="1" function="0" vbProcedure="0">"c1267"</definedName>
    <definedName name="IQ_TOTAL_EQUITY_10YR_ANN_GROWTH" hidden="1" function="0" vbProcedure="0">"c1268"</definedName>
    <definedName name="IQ_TOTAL_EQUITY_1YR_ANN_GROWTH" hidden="1" function="0" vbProcedure="0">"c1269"</definedName>
    <definedName name="IQ_TOTAL_EQUITY_2YR_ANN_GROWTH" hidden="1" function="0" vbProcedure="0">"c1270"</definedName>
    <definedName name="IQ_TOTAL_EQUITY_3YR_ANN_GROWTH" hidden="1" function="0" vbProcedure="0">"c1271"</definedName>
    <definedName name="IQ_TOTAL_EQUITY_5YR_ANN_GROWTH" hidden="1" function="0" vbProcedure="0">"c1272"</definedName>
    <definedName name="IQ_TOTAL_EQUITY_7YR_ANN_GROWTH" hidden="1" function="0" vbProcedure="0">"c1273"</definedName>
    <definedName name="IQ_TOTAL_EQUITY_ALLOWANCE_TOTAL_LOANS" hidden="1" function="0" vbProcedure="0">"c1274"</definedName>
    <definedName name="IQ_TOTAL_INTEREST_EXP" hidden="1" function="0" vbProcedure="0">"c591"</definedName>
    <definedName name="IQ_TOTAL_INVENTORY" hidden="1" function="0" vbProcedure="0">"c622"</definedName>
    <definedName name="IQ_TOTAL_INVEST" hidden="1" function="0" vbProcedure="0">"c1275"</definedName>
    <definedName name="IQ_TOTAL_LIAB" hidden="1" function="0" vbProcedure="0">"c1276"</definedName>
    <definedName name="IQ_TOTAL_LIABILITIES_FDIC" hidden="1" function="0" vbProcedure="0">"c6348"</definedName>
    <definedName name="IQ_TOTAL_LIAB_BNK" hidden="1" function="0" vbProcedure="0">"c1277"</definedName>
    <definedName name="IQ_TOTAL_LIAB_BR" hidden="1" function="0" vbProcedure="0">"c1278"</definedName>
    <definedName name="IQ_TOTAL_LIAB_EQUITY" hidden="1" function="0" vbProcedure="0">"c1279"</definedName>
    <definedName name="IQ_TOTAL_LIAB_EQUITY_FDIC" hidden="1" function="0" vbProcedure="0">"c6354"</definedName>
    <definedName name="IQ_TOTAL_LIAB_FIN" hidden="1" function="0" vbProcedure="0">"c1280"</definedName>
    <definedName name="IQ_TOTAL_LIAB_INS" hidden="1" function="0" vbProcedure="0">"c1281"</definedName>
    <definedName name="IQ_TOTAL_LIAB_REIT" hidden="1" function="0" vbProcedure="0">"c1282"</definedName>
    <definedName name="IQ_TOTAL_LIAB_SHAREHOLD" hidden="1" function="0" vbProcedure="0">"c1279"</definedName>
    <definedName name="IQ_TOTAL_LIAB_TOTAL_ASSETS" hidden="1" function="0" vbProcedure="0">"c1283"</definedName>
    <definedName name="IQ_TOTAL_LONG_DEBT" hidden="1" function="0" vbProcedure="0">"c1617"</definedName>
    <definedName name="IQ_TOTAL_NON_REC" hidden="1" function="0" vbProcedure="0">"c1444"</definedName>
    <definedName name="IQ_TOTAL_OPER_EXPEN" hidden="1" function="0" vbProcedure="0">"c1445"</definedName>
    <definedName name="IQ_TOTAL_OPER_EXP_BR" hidden="1" function="0" vbProcedure="0">"c1284"</definedName>
    <definedName name="IQ_TOTAL_OPER_EXP_FIN" hidden="1" function="0" vbProcedure="0">"c1285"</definedName>
    <definedName name="IQ_TOTAL_OPER_EXP_INS" hidden="1" function="0" vbProcedure="0">"c1286"</definedName>
    <definedName name="IQ_TOTAL_OPER_EXP_REIT" hidden="1" function="0" vbProcedure="0">"c1287"</definedName>
    <definedName name="IQ_TOTAL_OPER_EXP_UTI" hidden="1" function="0" vbProcedure="0">"c1288"</definedName>
    <definedName name="IQ_TOTAL_OTHER_OPER" hidden="1" function="0" vbProcedure="0">"c1289"</definedName>
    <definedName name="IQ_TOTAL_OUTSTANDING_BS_DATE" hidden="1" function="0" vbProcedure="0">"c1022"</definedName>
    <definedName name="IQ_TOTAL_OUTSTANDING_FILING_DATE" hidden="1" function="0" vbProcedure="0">"c2107"</definedName>
    <definedName name="IQ_TOTAL_PENSION_ASSETS" hidden="1" function="0" vbProcedure="0">"c1290"</definedName>
    <definedName name="IQ_TOTAL_PENSION_EXP" hidden="1" function="0" vbProcedure="0">"c1291"</definedName>
    <definedName name="IQ_TOTAL_PENSION_OBLIGATION" hidden="1" function="0" vbProcedure="0">"c1292"</definedName>
    <definedName name="IQ_TOTAL_PROVED_RESERVES_OIL" hidden="1" function="0" vbProcedure="0">"c2040"</definedName>
    <definedName name="IQ_TOTAL_RECEIV" hidden="1" function="0" vbProcedure="0">"c1293"</definedName>
    <definedName name="IQ_TOTAL_RECOVERIES_FDIC" hidden="1" function="0" vbProcedure="0">"c6622"</definedName>
    <definedName name="IQ_TOTAL_REV" hidden="1" function="0" vbProcedure="0">"c1294"</definedName>
    <definedName name="IQ_TOTAL_REVENUE" hidden="1" function="0" vbProcedure="0">"c1294"</definedName>
    <definedName name="IQ_TOTAL_REV_10YR_ANN_GROWTH" hidden="1" function="0" vbProcedure="0">"c1295"</definedName>
    <definedName name="IQ_TOTAL_REV_1YR_ANN_GROWTH" hidden="1" function="0" vbProcedure="0">"c1296"</definedName>
    <definedName name="IQ_TOTAL_REV_2YR_ANN_GROWTH" hidden="1" function="0" vbProcedure="0">"c1297"</definedName>
    <definedName name="IQ_TOTAL_REV_3YR_ANN_GROWTH" hidden="1" function="0" vbProcedure="0">"c1298"</definedName>
    <definedName name="IQ_TOTAL_REV_5YR_ANN_GROWTH" hidden="1" function="0" vbProcedure="0">"c1299"</definedName>
    <definedName name="IQ_TOTAL_REV_7YR_ANN_GROWTH" hidden="1" function="0" vbProcedure="0">"c1300"</definedName>
    <definedName name="IQ_TOTAL_REV_AS_REPORTED" hidden="1" function="0" vbProcedure="0">"c1301"</definedName>
    <definedName name="IQ_TOTAL_REV_BNK" hidden="1" function="0" vbProcedure="0">"c1302"</definedName>
    <definedName name="IQ_TOTAL_REV_BNK_FDIC" hidden="1" function="0" vbProcedure="0">"c6786"</definedName>
    <definedName name="IQ_TOTAL_REV_BR" hidden="1" function="0" vbProcedure="0">"c1303"</definedName>
    <definedName name="IQ_TOTAL_REV_EMPLOYEE" hidden="1" function="0" vbProcedure="0">"c1304"</definedName>
    <definedName name="IQ_TOTAL_REV_FIN" hidden="1" function="0" vbProcedure="0">"c1305"</definedName>
    <definedName name="IQ_TOTAL_REV_INS" hidden="1" function="0" vbProcedure="0">"c1306"</definedName>
    <definedName name="IQ_TOTAL_REV_REIT" hidden="1" function="0" vbProcedure="0">"c1307"</definedName>
    <definedName name="IQ_TOTAL_REV_SHARE" hidden="1" function="0" vbProcedure="0">"c1912"</definedName>
    <definedName name="IQ_TOTAL_REV_UTI" hidden="1" function="0" vbProcedure="0">"c1308"</definedName>
    <definedName name="IQ_TOTAL_RISK_BASED_CAPITAL_RATIO_FDIC" hidden="1" function="0" vbProcedure="0">"c6747"</definedName>
    <definedName name="IQ_TOTAL_SECURITIES_FDIC" hidden="1" function="0" vbProcedure="0">"c6306"</definedName>
    <definedName name="IQ_TOTAL_SPECIAL" hidden="1" function="0" vbProcedure="0">"c1618"</definedName>
    <definedName name="IQ_TOTAL_ST_BORROW" hidden="1" function="0" vbProcedure="0">"c1177"</definedName>
    <definedName name="IQ_TOTAL_SUBS" hidden="1" function="0" vbProcedure="0">"c2119"</definedName>
    <definedName name="IQ_TOTAL_TIME_DEPOSITS_FDIC" hidden="1" function="0" vbProcedure="0">"c6497"</definedName>
    <definedName name="IQ_TOTAL_TIME_SAVINGS_DEPOSITS_FDIC" hidden="1" function="0" vbProcedure="0">"c6498"</definedName>
    <definedName name="IQ_TOTAL_UNUSED_COMMITMENTS_FDIC" hidden="1" function="0" vbProcedure="0">"c6536"</definedName>
    <definedName name="IQ_TOTAL_UNUSUAL" hidden="1" function="0" vbProcedure="0">"c1508"</definedName>
    <definedName name="IQ_TOTAL_UNUSUAL_BR" hidden="1" function="0" vbProcedure="0">"c5517"</definedName>
    <definedName name="IQ_TOT_ADJ_INC" hidden="1" function="0" vbProcedure="0">"c1616"</definedName>
    <definedName name="IQ_TRADE_AR" hidden="1" function="0" vbProcedure="0">"c40"</definedName>
    <definedName name="IQ_TRADE_PRINCIPAL" hidden="1" function="0" vbProcedure="0">"c1309"</definedName>
    <definedName name="IQ_TRADING_ACCOUNT_GAINS_FEES_FDIC" hidden="1" function="0" vbProcedure="0">"c6573"</definedName>
    <definedName name="IQ_TRADING_ASSETS" hidden="1" function="0" vbProcedure="0">"c1310"</definedName>
    <definedName name="IQ_TRADING_ASSETS_FDIC" hidden="1" function="0" vbProcedure="0">"c6328"</definedName>
    <definedName name="IQ_TRADING_CURRENCY" hidden="1" function="0" vbProcedure="0">"c2212"</definedName>
    <definedName name="IQ_TRADING_LIABILITIES_FDIC" hidden="1" function="0" vbProcedure="0">"c6344"</definedName>
    <definedName name="IQ_TRANSACTION_ACCOUNTS_FDIC" hidden="1" function="0" vbProcedure="0">"c6544"</definedName>
    <definedName name="IQ_TREASURY" hidden="1" function="0" vbProcedure="0">"c1311"</definedName>
    <definedName name="IQ_TREASURY_OTHER_EQUITY" hidden="1" function="0" vbProcedure="0">"c1312"</definedName>
    <definedName name="IQ_TREASURY_OTHER_EQUITY_BNK" hidden="1" function="0" vbProcedure="0">"c1313"</definedName>
    <definedName name="IQ_TREASURY_OTHER_EQUITY_BR" hidden="1" function="0" vbProcedure="0">"c1314"</definedName>
    <definedName name="IQ_TREASURY_OTHER_EQUITY_FIN" hidden="1" function="0" vbProcedure="0">"c1315"</definedName>
    <definedName name="IQ_TREASURY_OTHER_EQUITY_INS" hidden="1" function="0" vbProcedure="0">"c1316"</definedName>
    <definedName name="IQ_TREASURY_OTHER_EQUITY_REIT" hidden="1" function="0" vbProcedure="0">"c1317"</definedName>
    <definedName name="IQ_TREASURY_OTHER_EQUITY_UTI" hidden="1" function="0" vbProcedure="0">"c1318"</definedName>
    <definedName name="IQ_TREASURY_STOCK" hidden="1" function="0" vbProcedure="0">"c1311"</definedName>
    <definedName name="IQ_TREASURY_STOCK_TRANSACTIONS_FDIC" hidden="1" function="0" vbProcedure="0">"c6501"</definedName>
    <definedName name="IQ_TRUST_INC" hidden="1" function="0" vbProcedure="0">"c1319"</definedName>
    <definedName name="IQ_TRUST_PREF" hidden="1" function="0" vbProcedure="0">"c1320"</definedName>
    <definedName name="IQ_TR_BUY_ADVISORS" hidden="1" function="0" vbProcedure="0">"c2387"</definedName>
    <definedName name="IQ_TR_SELL_ADVISORS" hidden="1" function="0" vbProcedure="0">"c2388"</definedName>
    <definedName name="IQ_TR_SUBDEBT" hidden="1" function="0" vbProcedure="0">"c2370"</definedName>
    <definedName name="IQ_TR_TARGET_ADVISORS" hidden="1" function="0" vbProcedure="0">"c2386"</definedName>
    <definedName name="IQ_TWELVE_MONTHS_FIXED_AND_FLOATING_FDIC" hidden="1" function="0" vbProcedure="0">"c6420"</definedName>
    <definedName name="IQ_TWELVE_MONTHS_MORTGAGE_PASS_THROUGHS_FDIC" hidden="1" function="0" vbProcedure="0">"c6412"</definedName>
    <definedName name="IQ_UFCF_10YR_ANN_GROWTH" hidden="1" function="0" vbProcedure="0">"c1948"</definedName>
    <definedName name="IQ_UFCF_1YR_ANN_GROWTH" hidden="1" function="0" vbProcedure="0">"c1943"</definedName>
    <definedName name="IQ_UFCF_2YR_ANN_GROWTH" hidden="1" function="0" vbProcedure="0">"c1944"</definedName>
    <definedName name="IQ_UFCF_3YR_ANN_GROWTH" hidden="1" function="0" vbProcedure="0">"c1945"</definedName>
    <definedName name="IQ_UFCF_5YR_ANN_GROWTH" hidden="1" function="0" vbProcedure="0">"c1946"</definedName>
    <definedName name="IQ_UFCF_7YR_ANN_GROWTH" hidden="1" function="0" vbProcedure="0">"c1947"</definedName>
    <definedName name="IQ_UFCF_MARGIN" hidden="1" function="0" vbProcedure="0">"c1962"</definedName>
    <definedName name="IQ_UNDIVIDED_PROFITS_FDIC" hidden="1" function="0" vbProcedure="0">"c6352"</definedName>
    <definedName name="IQ_UNEARNED_INCOME_FDIC" hidden="1" function="0" vbProcedure="0">"c6324"</definedName>
    <definedName name="IQ_UNEARNED_INCOME_FOREIGN_FDIC" hidden="1" function="0" vbProcedure="0">"c6385"</definedName>
    <definedName name="IQ_UNEARN_PREMIUM" hidden="1" function="0" vbProcedure="0">"c1321"</definedName>
    <definedName name="IQ_UNEARN_REV_CURRENT" hidden="1" function="0" vbProcedure="0">"c1322"</definedName>
    <definedName name="IQ_UNEARN_REV_CURRENT_BNK" hidden="1" function="0" vbProcedure="0">"c1323"</definedName>
    <definedName name="IQ_UNEARN_REV_CURRENT_BR" hidden="1" function="0" vbProcedure="0">"c1324"</definedName>
    <definedName name="IQ_UNEARN_REV_CURRENT_FIN" hidden="1" function="0" vbProcedure="0">"c1325"</definedName>
    <definedName name="IQ_UNEARN_REV_CURRENT_INS" hidden="1" function="0" vbProcedure="0">"c1326"</definedName>
    <definedName name="IQ_UNEARN_REV_CURRENT_REIT" hidden="1" function="0" vbProcedure="0">"c1327"</definedName>
    <definedName name="IQ_UNEARN_REV_CURRENT_UTI" hidden="1" function="0" vbProcedure="0">"c1328"</definedName>
    <definedName name="IQ_UNEARN_REV_LT" hidden="1" function="0" vbProcedure="0">"c1329"</definedName>
    <definedName name="IQ_UNLEVERED_FCF" hidden="1" function="0" vbProcedure="0">"c1908"</definedName>
    <definedName name="IQ_UNPAID_CLAIMS" hidden="1" function="0" vbProcedure="0">"c1330"</definedName>
    <definedName name="IQ_UNPROFITABLE_INSTITUTIONS_FDIC" hidden="1" function="0" vbProcedure="0">"c6722"</definedName>
    <definedName name="IQ_UNREALIZED_GAIN" hidden="1" function="0" vbProcedure="0">"c1619"</definedName>
    <definedName name="IQ_UNUSED_LOAN_COMMITMENTS_FDIC" hidden="1" function="0" vbProcedure="0">"c6368"</definedName>
    <definedName name="IQ_UNUSUAL_EXP" hidden="1" function="0" vbProcedure="0">"c1456"</definedName>
    <definedName name="IQ_US_BRANCHES_FOREIGN_BANKS_FDIC" hidden="1" function="0" vbProcedure="0">"c6390"</definedName>
    <definedName name="IQ_US_BRANCHES_FOREIGN_BANK_LOANS_FDIC" hidden="1" function="0" vbProcedure="0">"c6435"</definedName>
    <definedName name="IQ_US_GAAP" hidden="1" function="0" vbProcedure="0">"c1331"</definedName>
    <definedName name="IQ_US_GAAP_CA" hidden="1" function="0" vbProcedure="0">"c2930"</definedName>
    <definedName name="IQ_US_GAAP_CL" hidden="1" function="0" vbProcedure="0">"c2932"</definedName>
    <definedName name="IQ_US_GAAP_COST_REV" hidden="1" function="0" vbProcedure="0">"c2965"</definedName>
    <definedName name="IQ_US_GAAP_DO" hidden="1" function="0" vbProcedure="0">"c2973"</definedName>
    <definedName name="IQ_US_GAAP_EXTRA_ACC_ITEMS" hidden="1" function="0" vbProcedure="0">"c2972"</definedName>
    <definedName name="IQ_US_GAAP_INC_TAX" hidden="1" function="0" vbProcedure="0">"c2975"</definedName>
    <definedName name="IQ_US_GAAP_INTEREST_EXP" hidden="1" function="0" vbProcedure="0">"c2971"</definedName>
    <definedName name="IQ_US_GAAP_LIAB_LT" hidden="1" function="0" vbProcedure="0">"c2933"</definedName>
    <definedName name="IQ_US_GAAP_MINORITY_INTEREST_IS" hidden="1" function="0" vbProcedure="0">"c2974"</definedName>
    <definedName name="IQ_US_GAAP_NCA" hidden="1" function="0" vbProcedure="0">"c2931"</definedName>
    <definedName name="IQ_US_GAAP_NI_AVAIL_EXCL" hidden="1" function="0" vbProcedure="0">"c2977"</definedName>
    <definedName name="IQ_US_GAAP_OTHER_NON_OPER" hidden="1" function="0" vbProcedure="0">"c2969"</definedName>
    <definedName name="IQ_US_GAAP_OTHER_OPER" hidden="1" function="0" vbProcedure="0">"c2968"</definedName>
    <definedName name="IQ_US_GAAP_RD" hidden="1" function="0" vbProcedure="0">"c2967"</definedName>
    <definedName name="IQ_US_GAAP_SGA" hidden="1" function="0" vbProcedure="0">"c2966"</definedName>
    <definedName name="IQ_US_GAAP_TOTAL_REV" hidden="1" function="0" vbProcedure="0">"c2964"</definedName>
    <definedName name="IQ_US_GAAP_TOTAL_UNUSUAL" hidden="1" function="0" vbProcedure="0">"c2970"</definedName>
    <definedName name="IQ_US_GOV_AGENCIES_FDIC" hidden="1" function="0" vbProcedure="0">"c6395"</definedName>
    <definedName name="IQ_US_GOV_DEPOSITS_FDIC" hidden="1" function="0" vbProcedure="0">"c6483"</definedName>
    <definedName name="IQ_US_GOV_ENTERPRISES_FDIC" hidden="1" function="0" vbProcedure="0">"c6396"</definedName>
    <definedName name="IQ_US_GOV_NONCURRENT_LOANS_TOTAL_NONCURRENT_FDIC" hidden="1" function="0" vbProcedure="0">"c6779"</definedName>
    <definedName name="IQ_US_GOV_NONTRANSACTION_ACCOUNTS_FDIC" hidden="1" function="0" vbProcedure="0">"c6546"</definedName>
    <definedName name="IQ_US_GOV_OBLIGATIONS_FDIC" hidden="1" function="0" vbProcedure="0">"c6299"</definedName>
    <definedName name="IQ_US_GOV_SECURITIES_FDIC" hidden="1" function="0" vbProcedure="0">"c6297"</definedName>
    <definedName name="IQ_US_GOV_TOTAL_DEPOSITS_FDIC" hidden="1" function="0" vbProcedure="0">"c6472"</definedName>
    <definedName name="IQ_US_GOV_TRANSACTION_ACCOUNTS_FDIC" hidden="1" function="0" vbProcedure="0">"c6538"</definedName>
    <definedName name="IQ_US_TREASURY_SECURITIES_FDIC" hidden="1" function="0" vbProcedure="0">"c6298"</definedName>
    <definedName name="IQ_UTIL_PPE_NET" hidden="1" function="0" vbProcedure="0">"c1620"</definedName>
    <definedName name="IQ_UTIL_REV" hidden="1" function="0" vbProcedure="0">"c2091"</definedName>
    <definedName name="IQ_UV_PENSION_LIAB" hidden="1" function="0" vbProcedure="0">"c1332"</definedName>
    <definedName name="IQ_VALUATION_ALLOWANCES_FDIC" hidden="1" function="0" vbProcedure="0">"c6400"</definedName>
    <definedName name="IQ_VALUE_TRADED_LAST_3MTH" hidden="1" function="0" vbProcedure="0">"c1530"</definedName>
    <definedName name="IQ_VALUE_TRADED_LAST_6MTH" hidden="1" function="0" vbProcedure="0">"c1531"</definedName>
    <definedName name="IQ_VALUE_TRADED_LAST_MTH" hidden="1" function="0" vbProcedure="0">"c1529"</definedName>
    <definedName name="IQ_VALUE_TRADED_LAST_WK" hidden="1" function="0" vbProcedure="0">"c1528"</definedName>
    <definedName name="IQ_VALUE_TRADED_LAST_YR" hidden="1" function="0" vbProcedure="0">"c1532"</definedName>
    <definedName name="IQ_VC_REVENUE_FDIC" hidden="1" function="0" vbProcedure="0">"c6667"</definedName>
    <definedName name="IQ_VOLATILE_LIABILITIES_FDIC" hidden="1" function="0" vbProcedure="0">"c6364"</definedName>
    <definedName name="IQ_VOLUME" hidden="1" function="0" vbProcedure="0">"c1333"</definedName>
    <definedName name="IQ_VOL_LAST_3MTH" hidden="1" function="0" vbProcedure="0">"c1525"</definedName>
    <definedName name="IQ_VOL_LAST_6MTH" hidden="1" function="0" vbProcedure="0">"c1526"</definedName>
    <definedName name="IQ_VOL_LAST_MTH" hidden="1" function="0" vbProcedure="0">"c1524"</definedName>
    <definedName name="IQ_VOL_LAST_WK" hidden="1" function="0" vbProcedure="0">"c1523"</definedName>
    <definedName name="IQ_VOL_LAST_YR" hidden="1" function="0" vbProcedure="0">"c1527"</definedName>
    <definedName name="IQ_WEEK" hidden="0" function="0" vbProcedure="0">50000</definedName>
    <definedName name="IQ_WEIGHTED_AVG_PRICE" hidden="1" function="0" vbProcedure="0">"c1334"</definedName>
    <definedName name="IQ_WIP_INV" hidden="1" function="0" vbProcedure="0">"c1335"</definedName>
    <definedName name="IQ_WORKMEN_WRITTEN" hidden="1" function="0" vbProcedure="0">"c1336"</definedName>
    <definedName name="IQ_WRITTEN_OPTION_CONTRACTS_FDIC" hidden="1" function="0" vbProcedure="0">"c6509"</definedName>
    <definedName name="IQ_WRITTEN_OPTION_CONTRACTS_FX_RISK_FDIC" hidden="1" function="0" vbProcedure="0">"c6514"</definedName>
    <definedName name="IQ_WRITTEN_OPTION_CONTRACTS_NON_FX_IR_FDIC" hidden="1" function="0" vbProcedure="0">"c6519"</definedName>
    <definedName name="IQ_XDIV_DATE" hidden="1" function="0" vbProcedure="0">"c2203"</definedName>
    <definedName name="IQ_YEARHIGH" hidden="1" function="0" vbProcedure="0">"c1337"</definedName>
    <definedName name="IQ_YEARLOW" hidden="1" function="0" vbProcedure="0">"c1338"</definedName>
    <definedName name="IQ_YTD" hidden="0" function="0" vbProcedure="0">3000</definedName>
    <definedName name="IQ_YTDMONTH" hidden="1" function="0" vbProcedure="0">130000</definedName>
    <definedName name="IQ_YTW" hidden="1" function="0" vbProcedure="0">"c2163"</definedName>
    <definedName name="IQ_YTW_DATE" hidden="1" function="0" vbProcedure="0">"c2164"</definedName>
    <definedName name="IQ_YTW_DATE_TYPE" hidden="1" function="0" vbProcedure="0">"c2165"</definedName>
    <definedName name="IQ_Z_SCORE" hidden="1" function="0" vbProcedure="0">"c1339"</definedName>
    <definedName name="iv" hidden="1" function="0" vbProcedure="0">{#N/A,#N/A,1,"F3 Bullets";#N/A,#N/A,1,"FD III Port Summ";#N/A,#N/A,1,"BV Valuation";#N/A,#N/A,1,"MV Valuation";#N/A,#N/A,1,"Fd III Cap. Position ";#N/A,#N/A,1,"Beacon";#N/A,#N/A,1,"CII";#N/A,#N/A,1,"MCA";#N/A,#N/A,1,"Elm";#N/A,#N/A,1,"Tharco";#N/A,#N/A,1,"Dee H";#N/A,#N/A,1,"Globe";#N/A,#N/A,1,"Hunt Valve";#N/A,#N/A,1,"KBA";#N/A,#N/A,1,"Glassmaster";#N/A,#N/A,1,"May";#N/A,#N/A,1,"ACE"}</definedName>
    <definedName name="jb" hidden="1" function="0" vbProcedure="0">{"summary1",#N/A,1,"Comps";"summary2",#N/A,1,"Comps";"summary3",#N/A,1,"Comps"}</definedName>
    <definedName name="jen" hidden="1" function="0" vbProcedure="0">{1,1,-1.25,-15.5,456.75,279.75,0,0,1,1,0,1,8,1,4,6,3,4,1,1,3,1,1,1,100,"Swvu.turnover.","ACwvu.turnover.",1,0,0,0.511811023622047,0.511811023622047,0.511811023622047,0.511811023622047,1,"","",0,0,0,0,1,#N/A,1,1,#DIV/0!,0,"Rwvu.turnover.",#N/A,0,0}</definedName>
    <definedName name="jk" hidden="1" function="0" vbProcedure="0">{1,1,-1.25,-15.5,604.5,369,0,0,1,1,0,1,#N/A,1,#N/A,20.5555555555556,28.9285714285714,1,0,0,3,1,1,0,80,"Swvu.summary1.","ACwvu.summary1.",#N/A,0,0,0.5,0.5,0.5,0.5,2,"&amp;F","&amp;L&amp;D&amp;C&amp;A&amp;RPage &amp;P",1,0,0,0,1,50,#N/A,#N/A,"=R1C1:R55C31",0,#N/A,#N/A,0,0,1,1,600,600,0,0,1,1,1}</definedName>
    <definedName name="JMBM" hidden="1" function="0" vbProcedure="0">{#N/A,#N/A,1,"RESUMEN ECON.";#N/A,#N/A,1,"Costos de R.H.";#N/A,#N/A,1,"COSTO HW";#N/A,#N/A,1,"CUADROS";#N/A,#N/A,1,"SCADA´s";#N/A,#N/A,1,"PRECIOS EQUIPOS"}</definedName>
    <definedName name="JMBMI" hidden="1" function="0" vbProcedure="0">{#N/A,#N/A,1,"RESUMEN ECON.";#N/A,#N/A,1,"Costos de R.H.";#N/A,#N/A,1,"COSTO HW";#N/A,#N/A,1,"CUADROS";#N/A,#N/A,1,"SCADA´s";#N/A,#N/A,1,"PRECIOS EQUIPOS"}</definedName>
    <definedName name="JUAN" hidden="1" function="0" vbProcedure="0">{#N/A,#N/A,0,"RESUMEN ECON.";#N/A,#N/A,0,"Costos de R.H.";#N/A,#N/A,0,"COSTO HW";#N/A,#N/A,0,"CUADROS";#N/A,#N/A,0,"SCADA´s";#N/A,#N/A,0,"PRECIOS EQUIPOS"}</definedName>
    <definedName name="JUMABA" hidden="1" function="0" vbProcedure="0">{#N/A,#N/A,1,"RESUMEN ECON.";#N/A,#N/A,1,"Costos de R.H.";#N/A,#N/A,1,"COSTO HW";#N/A,#N/A,1,"CUADROS";#N/A,#N/A,1,"SCADA´s";#N/A,#N/A,1,"PRECIOS EQUIPOS"}</definedName>
    <definedName name="Kfw" hidden="1" function="0" vbProcedure="0">{"coversht",#N/A,1,"TOC";"assmp1",#N/A,1,"ASS";"assmp2",#N/A,1,"ASS";"cashfl1",#N/A,1,"CF";"return1",#N/A,1,"Return";"return2",#N/A,1,"Return";"EIncome",#N/A,1,"EINC";"rev1",#N/A,1,"Rev";"rev2",#N/A,1,"Rev";"exp1",#N/A,1,"Exp";"exp2",#N/A,1,"Exp";"exp3",#N/A,1,"Exp";"exp4",#N/A,1,"Exp";"MaintRes",#N/A,1,"MRES";"drwdn1",#N/A,1,"Drwdn";"drwdn2",#N/A,1,"Drwdn";"drwdn3",#N/A,1,"Drwdn";"debt1",#N/A,1,"Fin";"debt2",#N/A,1,"Fin";"tax1",#N/A,1,"TAXES";"tax2",#N/A,1,"TAXES";"Deprec",#N/A,1,"DEPR";"Balsht1",#N/A,1,"BS_IS";"Balsht2",#N/A,1,"BS_IS";"Ref1",#N/A,1,"REF1";"Ref2",#N/A,1,"REF2";"Ref3",#N/A,1,"REF3";"Ref4",#N/A,1,"REF4"}</definedName>
    <definedName name="KGKHJ" hidden="1" function="0" vbProcedure="0">{1,1,-1.25,-15.5,604.5,369,0,0,1,1,0,1,#N/A,1,#N/A,20.5555555555556,28.9285714285714,1,0,0,3,1,1,0,80,"Swvu.summary1.","ACwvu.summary1.",#N/A,0,0,0.5,0.5,0.5,0.5,2,"&amp;F","&amp;L&amp;D&amp;C&amp;A&amp;RPage &amp;P",1,0,0,0,1,50,#N/A,#N/A,"=R1C1:R55C31",0,#N/A,#N/A,0,0,1,1,600,600,0,0,1,1,1}</definedName>
    <definedName name="kj" hidden="1" function="0" vbProcedure="0">{"CASHFLOW",#N/A,0,"Northpointe"}</definedName>
    <definedName name="kk" hidden="1" function="0" vbProcedure="0">{#N/A,#N/A,0,"Output";#N/A,#N/A,0,"Cover Sheet";#N/A,#N/A,0,"Current Mkt. Projections"}</definedName>
    <definedName name="l" hidden="1" function="0" vbProcedure="0">{"'Sheet1'!$A$5:$G$42"}</definedName>
    <definedName name="lbo" hidden="1" function="0" vbProcedure="0">{#N/A,#N/A,0,"Summary";#N/A,#N/A,0,"Projections";#N/A,#N/A,0,"Mkt Mults";#N/A,#N/A,0,"DCF";#N/A,#N/A,0,"Accr Dil";#N/A,#N/A,0,"PIC LBO";#N/A,#N/A,0,"MULT10_4";#N/A,#N/A,0,"CBI LBO"}</definedName>
    <definedName name="LBOCreditConsol" hidden="1" function="0" vbProcedure="0">{"FCB_ALL",#N/A,0,"FCB"}</definedName>
    <definedName name="ll" hidden="1" function="0" vbProcedure="0">{"Summary",#N/A,0,"Details (2)"}</definedName>
    <definedName name="LLCP" hidden="1" function="0" vbProcedure="0">{"PAGE1",#N/A,0,"BID (3)";"PAGE2",#N/A,0,"BID (3)"}</definedName>
    <definedName name="lll" hidden="1" function="0" vbProcedure="0">{"SUM",#N/A,0,"Details (2)"}</definedName>
    <definedName name="lllll" hidden="1" function="0" vbProcedure="0">{"Summary",#N/A,0,"Details (2)"}</definedName>
    <definedName name="lllllllll" hidden="1" function="0" vbProcedure="0">{"SUM",#N/A,0,"Details (2)"}</definedName>
    <definedName name="lllllllllllllllllll" hidden="1" function="0" vbProcedure="0">{"Summary",#N/A,0,"Details (2)"}</definedName>
    <definedName name="Local" hidden="1" function="0" vbProcedure="0">{"arpm1995",#N/A,0,"Summary 95-96";"bus_long_distance",#N/A,0,"Summary 95-96";"mins_per_day",#N/A,0,"Summary 95-96";"minutes1995",#N/A,0,"Summary 95-96";"rev_per_day",#N/A,0,"Summary 95-96";"view1995",#N/A,0,"Summary 95-96"}</definedName>
    <definedName name="LOCAL_DATE_SEPARATOR" hidden="1" function="0" vbProcedure="0">#NAME?</definedName>
    <definedName name="LOCAL_DAY_FORMAT" hidden="1" function="0" vbProcedure="0">#NAME?</definedName>
    <definedName name="LOCAL_HOUR_FORMAT" hidden="1" function="0" vbProcedure="0">#NAME?</definedName>
    <definedName name="LOCAL_MINUTE_FORMAT" hidden="1" function="0" vbProcedure="0">#NAME?</definedName>
    <definedName name="LOCAL_MONTH_FORMAT" hidden="1" function="0" vbProcedure="0">#NAME?</definedName>
    <definedName name="LOCAL_MYSQL_DATE_FORMAT" hidden="1" function="0" vbProcedure="0">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YEAR_FORMAT" hidden="1" function="0" vbProcedure="0">#NAME?</definedName>
    <definedName name="LOCAL_TIME_SEPARATOR" hidden="1" function="0" vbProcedure="0">#NAME?</definedName>
    <definedName name="LOCAL_SECOND_FORMAT" hidden="1" function="0" vbProcedure="0">#NAME?</definedName>
    <definedName name="m" hidden="1" function="0" vbProcedure="0">{#N/A,#N/A,0,"DCF Summary";#N/A,#N/A,0,"Casema";#N/A,#N/A,0,"Casema NoTel";#N/A,#N/A,0,"UK";#N/A,#N/A,0,"RCF";#N/A,#N/A,0,"Intercable CZ";#N/A,#N/A,0,"Interkabel P"}</definedName>
    <definedName name="MGHM" hidden="1" function="0" vbProcedure="0">{1,1,-1.25,-15.5,604.5,369,0,0,1,1,0,1,#N/A,41,#N/A,20.5555555555556,27.0714285714286,1,0,0,3,1,1,0,80,"Swvu.summary2.","ACwvu.summary2.",#N/A,0,0,0.5,0.5,0.5,0.5,2,"&amp;F","&amp;A&amp;RPage &amp;P",1,0,0,0,1,50,#N/A,#N/A,"=R56C1:R103C31",0,#N/A,#N/A,0,0,1,1,600,600,0,0,1,1,1}</definedName>
    <definedName name="mhj" hidden="1" function="0" vbProcedure="0">{1,1,-1.25,-15.5,604.5,369,0,0,1,1,0,1,#N/A,41,#N/A,20.5555555555556,27.0714285714286,1,0,0,3,1,1,0,80,"Swvu.summary2.","ACwvu.summary2.",#N/A,0,0,0.5,0.5,0.5,0.5,2,"&amp;F","&amp;A&amp;RPage &amp;P",1,0,0,0,1,50,#N/A,#N/A,"=R56C1:R103C31",0,#N/A,#N/A,0,0,1,1,600,600,0,0,1,1,1}</definedName>
    <definedName name="mkting_adv" hidden="1" function="0" vbProcedure="0">{#N/A,#N/A,0,"ASSUMPTIONS";#N/A,#N/A,0,"Valuation Summary";"page1",#N/A,0,"PRESENTATION";"page2",#N/A,0,"PRESENTATION";#N/A,#N/A,0,"ORIGINAL_ROLLBACK"}</definedName>
    <definedName name="mkting_adver" hidden="1" function="0" vbProcedure="0">{#N/A,#N/A,0,"ASSUMPTIONS";#N/A,#N/A,0,"Valuation Summary";"page1",#N/A,0,"PRESENTATION";"page2",#N/A,0,"PRESENTATION";#N/A,#N/A,0,"ORIGINAL_ROLLBACK"}</definedName>
    <definedName name="mmmmm" hidden="1" function="0" vbProcedure="0">{#N/A,#N/A,0,"Cover";#N/A,#N/A,0,"LUMI";#N/A,#N/A,0,"COMD";#N/A,#N/A,0,"Valuation";#N/A,#N/A,0,"Assumptions";#N/A,#N/A,0,"Pooling";#N/A,#N/A,0,"BalanceSheet"}</definedName>
    <definedName name="mo" hidden="1" function="0" vbProcedure="0">{"fis.dbo.r1_datasum"}</definedName>
    <definedName name="model" hidden="1" function="0" vbProcedure="0">{#N/A,#N/A,0,"Rev Grwth";#N/A,#N/A,0,"Op Inc Grwth";#N/A,#N/A,0,"Net Grwth";#N/A,#N/A,0,"EPS Growth"}</definedName>
    <definedName name="n" hidden="1" function="0" vbProcedure="0">{"fis.dbo.r1_datasum"}</definedName>
    <definedName name="Name4" hidden="1" function="0" vbProcedure="0">{"Input Sheet",#N/A,0,"Input";"New Co",#N/A,0,"NEWCO";"Acq Cash Flow",#N/A,0,"Acq. CF";"Target Cash Flow",#N/A,0,"Tgt. CF";"Operational Merger",#N/A,0,"OP Merger";"Acq Balance Sheet",#N/A,0,"Acq. BS";"Target Balance Sheet",#N/A,0,"Tgt. BS";"BOE Comp",#N/A,0,"BOEComp"}</definedName>
    <definedName name="naveeds" hidden="1" function="0" vbProcedure="0">{"CSheet",#N/A,0,"C";"SmCap",#N/A,0,"VAL1";"GulfCoast",#N/A,0,"VAL1";"nav",#N/A,0,"NAV";"Summary",#N/A,0,"NAV"}</definedName>
    <definedName name="ncas" hidden="1" function="0" vbProcedure="0">{"FCB_ALL",#N/A,0,"FCB";"GREY_ALL",#N/A,0,"GREY"}</definedName>
    <definedName name="new" hidden="1" function="0" vbProcedure="0">{#N/A,#N/A,1,"Sheet1 (2)";#N/A,#N/A,1,"Sheet1 (3)";#N/A,#N/A,1,"Sheet1 (4)";#N/A,#N/A,1,"Sheet1 (5)";#N/A,#N/A,1,"Sheet1 (8)";#N/A,#N/A,1,"Sheet1 (9)";#N/A,#N/A,1,"Sheet1 (10)";#N/A,#N/A,1,"Sheet1 (6)";#N/A,#N/A,1,"Sheet1 (7)";#N/A,#N/A,1,"Sheet1 (11)";#N/A,#N/A,1,"Sheet2 (2)";#N/A,#N/A,1,"Sheet3 (2)";#N/A,#N/A,1,"Sheet4 (2)";#N/A,#N/A,1,"Sheet9 (2)";#N/A,#N/A,1,"Sheet8 (2)";#N/A,#N/A,1,"Sheet7 (2)";#N/A,#N/A,1,"Sheet5 (2)";#N/A,#N/A,1,"Sheet2 (3)";#N/A,#N/A,1,"Sheet6 (2)";#N/A,#N/A,1,"Sheet 6A";#N/A,#N/A,1,"Sheet2 (4)";#N/A,#N/A,1,"Sheet2 (5)";#N/A,#N/A,1,"Sheet3 (3)";#N/A,#N/A,1,"Sheet3 (4)";#N/A,#N/A,1,"Sheet4 (3)";#N/A,#N/A,1,"Sheet4 (4)";#N/A,#N/A,1,"Sheet8 (3)";#N/A,#N/A,1,"Sheet8 (4)";#N/A,#N/A,1,"Sheet5 (3)";#N/A,#N/A,1,"Sheet5 (4)";#N/A,#N/A,1,"Sheet10 (2)";#N/A,#N/A,1,"Sheet7 (3)";#N/A,#N/A,1,"Sheet6 (3)";#N/A,#N/A,1,"Sheet5 (5)";#N/A,#N/A,1,"Sheet9 (3)";#N/A,#N/A,1,"Sheet4 (5)";#N/A,#N/A,1,"Sheet12 (2)";#N/A,#N/A,1,"Sheet11 (2)";#N/A,#N/A,1,"Sheet13 (2)";#N/A,#N/A,1,"Sheet14 (2)";#N/A,#N/A,1,"Sheet15 (2)";#N/A,#N/A,1,"Sheet16 (2)";#N/A,#N/A,1,"Sheet1 (12)";#N/A,#N/A,1,"Sheet3 (5)";#N/A,#N/A,1,"Sheet7 (4)";#N/A,#N/A,1,"Sheet2 (6)";#N/A,#N/A,1,"sheet1 (13)";#N/A,#N/A,1,"sheet2 (7)";#N/A,#N/A,1,"sheet10 (3)";#N/A,#N/A,1,"sheet11 (3)";#N/A,#N/A,1,"sheet3 (6)";#N/A,#N/A,1,"sheet4 (6)";#N/A,#N/A,1,"sheet5 (6)";#N/A,#N/A,1,"sheet6 (4)";#N/A,#N/A,1,"sheet7 (5)";#N/A,#N/A,1,"sheet8 (5)";#N/A,#N/A,1,"sheet9 (4)";#N/A,#N/A,1,"Sheet1 (14)";#N/A,#N/A,1,"Sheet2 (8)";#N/A,#N/A,1,"Sheet3 (8)";#N/A,#N/A,1,"Sheet3 (7)";#N/A,#N/A,1,"Sheet4 (7)";#N/A,#N/A,1,"Sheet5 (7)";#N/A,#N/A,1,"Sheet6 (5)";#N/A,#N/A,1,"Sheet1";#N/A,#N/A,1,"Sheet2"}</definedName>
    <definedName name="NICHOLE" hidden="1" function="0" vbProcedure="0">{#N/A,#N/A,0,"Total";#N/A,#N/A,0,"Sew";#N/A,#N/A,0,"Finish";#N/A,#N/A,0,"CUT";#N/A,#N/A,0,"Mill 5";#N/A,#N/A,0,"Mill 6";#N/A,#N/A,0,"Mill 8";#N/A,#N/A,0,"Mill 9";#N/A,#N/A,0,"Mill 10";#N/A,#N/A,0,"Mill 12";#N/A,#N/A,0,"Mill 15";#N/A,#N/A,0,"Mill 17"}</definedName>
    <definedName name="nn" hidden="1" function="0" vbProcedure="0">{#N/A,#N/A,0,"Sheet1";#N/A,#N/A,0,"Sheet2";#N/A,#N/A,0,"Sheet3";#N/A,#N/A,0,"Sheet4";#N/A,#N/A,0,"Sheet5";#N/A,#N/A,0,"Sheet6"}</definedName>
    <definedName name="NOBL" hidden="1" function="0" vbProcedure="0">{"AQUIRORDCF",#N/A,0,"Merger consequences";"Acquirorassns",#N/A,0,"Merger consequences"}</definedName>
    <definedName name="normal" hidden="1" function="0" vbProcedure="0">{"arpm1995",#N/A,0,"Summary 95-96";"bus_long_distance",#N/A,0,"Summary 95-96";"mins_per_day",#N/A,0,"Summary 95-96";"minutes1995",#N/A,0,"Summary 95-96";"rev_per_day",#N/A,0,"Summary 95-96";"view1995",#N/A,0,"Summary 95-96"}</definedName>
    <definedName name="nothegsd" hidden="1" function="0" vbProcedure="0">{"Summary",#N/A,0,"Details (2)"}</definedName>
    <definedName name="no_1" hidden="1" function="0" vbProcedure="0">{"'Sheet1'!$A$5:$G$42"}</definedName>
    <definedName name="oiwea" hidden="1" function="0" vbProcedure="0">{"FCB_ALL",#N/A,0,"FCB";"GREY_ALL",#N/A,0,"GREY"}</definedName>
    <definedName name="old" hidden="1" function="0" vbProcedure="0">{"AQUIRORDCF",#N/A,0,"Merger consequences";"Acquirorassns",#N/A,0,"Merger consequences"}</definedName>
    <definedName name="OP" hidden="1" function="0" vbProcedure="0">{"Summary",#N/A,0,"Details (2)"}</definedName>
    <definedName name="opendbs" hidden="1" function="0" vbProcedure="0">{"fis.dbo.r1_datasum"}</definedName>
    <definedName name="opendbs1" hidden="1" function="0" vbProcedure="0">{"fis.dbo.r1_datasum"}</definedName>
    <definedName name="OPER" hidden="1" function="0" vbProcedure="0">{"SUM",#N/A,0,"Details (2)"}</definedName>
    <definedName name="OperatorServicesFi" hidden="1" function="0" vbProcedure="0">{"SUM",#N/A,0,"Details (2)"}</definedName>
    <definedName name="ouhio" hidden="1" function="0" vbProcedure="0">{"Summary",#N/A,0,"Details (2)"}</definedName>
    <definedName name="Outlook" hidden="1" function="0" vbProcedure="0">{"arpm1995",#N/A,0,"Summary 95-96";"bus_long_distance",#N/A,0,"Summary 95-96";"mins_per_day",#N/A,0,"Summary 95-96";"minutes1995",#N/A,0,"Summary 95-96";"rev_per_day",#N/A,0,"Summary 95-96";"view1995",#N/A,0,"Summary 95-96"}</definedName>
    <definedName name="PassWord" hidden="1" function="0" vbProcedure="0">"clean1"</definedName>
    <definedName name="PassWord2" hidden="1" function="0" vbProcedure="0">"DELETE"</definedName>
    <definedName name="PB" hidden="1" function="0" vbProcedure="0">REPT(LOCAL_YEAR_FORMAT,4)&amp;LOCAL_DATE_SEPARATOR&amp;REPT(LOCAL_MONTH_FORMAT,2)&amp;LOCAL_DATE_SEPARATOR&amp;REPT(LOCAL_DAY_FORMAT,2)&amp;" "&amp;REPT(LOCAL_HOUR_FORMAT,2)&amp;LOCAL_TIME_SEPARATOR&amp;REPT(LOCAL_MINUTE_FORMAT,2)&amp;LOCAL_TIME_SEPARATOR&amp;REPT(LOCAL_SECOND_FORMAT,2)</definedName>
    <definedName name="PDM" hidden="1" function="0" vbProcedure="0">{#N/A,#N/A,0,"Summary";#N/A,#N/A,0,"Signatures";#N/A,#N/A,0,"FL Current";#N/A,#N/A,0,"Assumptions";#N/A,#N/A,0,"Assumptions";#N/A,#N/A,0,"Assumptions";#N/A,#N/A,0,"FL Last";#N/A,#N/A,0,"FL Orig";#N/A,#N/A,0,"C to G Explain"}</definedName>
    <definedName name="PeterTEST" hidden="1" function="0" vbProcedure="0">{#N/A,#N/A,1,"Acq-Ass";#N/A,#N/A,1,"Acq-IS";#N/A,#N/A,1,"Acq-BS";#N/A,#N/A,1,"Acq-CF"}</definedName>
    <definedName name="Pitchbook" hidden="1" function="0" vbProcedure="0">{#N/A,#N/A,1,"Sheet16"}</definedName>
    <definedName name="pj" hidden="1" function="0" vbProcedure="0">{#N/A,#N/A,0,"Sheet1";#N/A,#N/A,0,"Sheet2";#N/A,#N/A,0,"Sheet3";#N/A,#N/A,0,"Sheet4";#N/A,#N/A,0,"Sheet5";#N/A,#N/A,0,"Sheet6"}</definedName>
    <definedName name="PL" hidden="1" function="0" vbProcedure="0">{#N/A,#N/A,0,"Quarterly P&amp;L Overview";#N/A,#N/A,0,"Industry or Geography P&amp;L Split";#N/A,#N/A,0,"P&amp;L Quarter Trends";#N/A,#N/A,0,"Risk Analysis (Exposure Report)";#N/A,#N/A,0,"SVS Generated Report";#N/A,#N/A,0,"P&amp;L Outlook Expense Detail";#N/A,#N/A,0,"Common Size P&amp;L";#N/A,#N/A,0,"Ratios";#N/A,#N/A,0,"Compensation Pool Results";#N/A,#N/A,0,"Balance Sheet";#N/A,#N/A,0,"Common Size Balance Sheet";#N/A,#N/A,0,"Contract Review";#N/A,#N/A,0,"BALANCED SCORECARD"}</definedName>
    <definedName name="plan2" hidden="1" function="0" vbProcedure="0">{"'Sheet1'!$A$5:$G$42"}</definedName>
    <definedName name="Plastics" hidden="1" function="0" vbProcedure="0">{"Curr Month",#N/A,0,"Months";"All Months",#N/A,0,"Months";"YTD",#N/A,0,"Months";"01 Months",#N/A,0,"01";"03 Months",#N/A,0,"Months";"05 Months",#N/A,0,"Months";"06 Months",#N/A,0,"Months";"08 Months",#N/A,0,"Months";"09 Months",#N/A,0,"Months";"10 Months",#N/A,0,"Months";"11 Months",#N/A,0,"Months";"12 Months",#N/A,0,"Months";"13 Months",#N/A,0,"Months";"14 Months",#N/A,0,"Months";"15 Months",#N/A,0,"Months";"23 Months",#N/A,0,"Months";"24 Months",#N/A,0,"Months";"25 Months",#N/A,0,"Months";"43 Months",#N/A,0,"Months";"45 Months",#N/A,0,"Months";"50 Months",#N/A,0,"Months"}</definedName>
    <definedName name="pp" hidden="1" function="0" vbProcedure="0">{"Summary",#N/A,0,"Details (2)"}</definedName>
    <definedName name="ppp" hidden="1" function="0" vbProcedure="0">{#N/A,#N/A,0,"FAB VENDORS";"BUD SUM",#N/A,0,"BUD SUM WO TEX"}</definedName>
    <definedName name="pppp" hidden="1" function="0" vbProcedure="0">{"Summary",#N/A,0,"Details (2)"}</definedName>
    <definedName name="pppp2" hidden="1" function="0" vbProcedure="0">{"Summary",#N/A,0,"Details (2)"}</definedName>
    <definedName name="ppppp" hidden="1" function="0" vbProcedure="0">{"SUM",#N/A,0,"Details (2)"}</definedName>
    <definedName name="pppppp" hidden="1" function="0" vbProcedure="0">{"Summary",#N/A,0,"Details (2)"}</definedName>
    <definedName name="ppppppp" hidden="1" function="0" vbProcedure="0">{"SUM",#N/A,0,"Details (2)"}</definedName>
    <definedName name="pppppppp" hidden="1" function="0" vbProcedure="0">{"Summary",#N/A,0,"Details (2)"}</definedName>
    <definedName name="ppppppppp" hidden="1" function="0" vbProcedure="0">{"SUM",#N/A,0,"Details (2)"}</definedName>
    <definedName name="pppppppppp" hidden="1" function="0" vbProcedure="0">{"Summary",#N/A,0,"Details (2)"}</definedName>
    <definedName name="ppppppppppp" hidden="1" function="0" vbProcedure="0">{"SUM",#N/A,0,"Details (2)"}</definedName>
    <definedName name="pppppppppppp" hidden="1" function="0" vbProcedure="0">{"Summary",#N/A,0,"Details (2)"}</definedName>
    <definedName name="ppppppppppppp" hidden="1" function="0" vbProcedure="0">{"SUM",#N/A,0,"Details (2)"}</definedName>
    <definedName name="ppppppppppppppp" hidden="1" function="0" vbProcedure="0">{"Summary",#N/A,0,"Details (2)"}</definedName>
    <definedName name="pppppppppppppppp" hidden="1" function="0" vbProcedure="0">{"SUM",#N/A,0,"Details (2)"}</definedName>
    <definedName name="ppppppppppppppppp" hidden="1" function="0" vbProcedure="0">{"Summary",#N/A,0,"Details (2)"}</definedName>
    <definedName name="ppppppppppppppppppppppppppp" hidden="1" function="0" vbProcedure="0">{"FCB_ALL",#N/A,0,"FCB"}</definedName>
    <definedName name="prd" hidden="1" function="0" vbProcedure="0">{"Netbacks",#N/A,0,"Netbacks"}</definedName>
    <definedName name="prd." hidden="1" function="0" vbProcedure="0">{"IS Years",#N/A,0,"Income Statement";"IS Q96",#N/A,0,"Income Statement";"IS Q97",#N/A,0,"Income Statement";"Corporate",#N/A,0,"Corporate Profile";"Netbacks",#N/A,0,"Netbacks"}</definedName>
    <definedName name="prgrp" hidden="1" function="0" vbProcedure="0">{"cap_structure",#N/A,0,"Graph-Mkt Cap";"price",#N/A,0,"Graph-Price";"ebit",#N/A,0,"Graph-EBITDA";"ebitda",#N/A,0,"Graph-EBITDA"}</definedName>
    <definedName name="PriceRange" hidden="1" function="0" vbProcedure="0">OFFSET(#REF!,5,0,COUNTA(#REF!)-COUNTA(#REF!),1)</definedName>
    <definedName name="print4" hidden="1" function="0" vbProcedure="0">{"Structure",#N/A,0,"Structure";"Ownership",#N/A,0,"Ownership";"Returns by Security",#N/A,0,"Returns Summary";"Returns by Holder",#N/A,0,"Returns Summary";"Returns Matrix",#N/A,0,"Returns Summary";"Exit Summary",#N/A,0,"Exit Summary";"Assumptions",#N/A,0,"Projection Assumptions";"Income Statement",#N/A,0,"Income Statement";"Cash Flows",#N/A,0,"Cash Flow";"Balance Sheet",#N/A,0,"Balance Sheet";"Debt Summary 1",#N/A,0,"Debt Summary";"Debt Summary 2",#N/A,0,"Debt Summary"}</definedName>
    <definedName name="ptg" hidden="1" function="0" vbProcedure="0">{#N/A,#N/A,1,"RESUMEN ECON.";#N/A,#N/A,1,"Costos de R.H.";#N/A,#N/A,1,"COSTO HW";#N/A,#N/A,1,"CUADROS";#N/A,#N/A,1,"SCADA´s";#N/A,#N/A,1,"PRECIOS EQUIPOS"}</definedName>
    <definedName name="PUB_FileID" hidden="1" function="0" vbProcedure="0">"L10003649.xls"</definedName>
    <definedName name="PUB_UserID" hidden="1" function="0" vbProcedure="0">"MAYERX"</definedName>
    <definedName name="q" hidden="1" function="0" vbProcedure="0">{"CSheet",#N/A,0,"C";"SmCap",#N/A,0,"VAL1";"GulfCoast",#N/A,0,"VAL1";"nav",#N/A,0,"NAV";"Summary",#N/A,0,"NAV"}</definedName>
    <definedName name="Q1Variances" hidden="1" function="0" vbProcedure="0">{#N/A,#N/A,0,"Revised Plan description";#N/A,#N/A,0,"Mth Sum";#N/A,#N/A,0,"YTD Sum";#N/A,#N/A,0,"Mth Rev Sum";#N/A,#N/A,0,"YTD Rev Sum";#N/A,#N/A,0,"Direct Margin";#N/A,#N/A,0,"Data MarginvsPlan";#N/A,#N/A,0,"Local MarginvsPlan";#N/A,#N/A,0,"Internet MarginvsPlan";#N/A,#N/A,0,"LD Margin vs Plan ";#N/A,#N/A,0,"Data Margin YTDvsPlan";#N/A,#N/A,0,"Local Margin YTDvsPlan";#N/A,#N/A,0,"Internet Margin YTDvsPlan";#N/A,#N/A,0,"LD Margin YTD vs Plan";#N/A,#N/A,0,"SC vs Pr Month ";#N/A,#N/A,0,"SVC Detail Mth vs Pr Mth";#N/A,#N/A,0,"Ind vs Pr Month ";#N/A,#N/A,0,"SGA (Elem) vs Pr Month";#N/A,#N/A,0,"SGA (BU) vs Pr Mth";#N/A,#N/A,0,"SC vs Plan";#N/A,#N/A,0,"SVC Detail Mth vsPlan ";#N/A,#N/A,0,"Ind vs Plan";#N/A,#N/A,0,"SGA (Elem) vs Plan";#N/A,#N/A,0,"SGA (BU) vs Plan";#N/A,#N/A,0,"SC vs YTD 00";#N/A,#N/A,0,"SGA (Elem) vs YTD 00";#N/A,#N/A,0,"SGA (BU) YTD vs YTD 00";#N/A,#N/A,0,"SC vs YTD Plan ";#N/A,#N/A,0,"SVC YTD Detail Mth vsPlan ";#N/A,#N/A,0,"SGA (Elem) vs YTD Plan";#N/A,#N/A,0,"SGA (BU) YTD vs Plan";#N/A,#N/A,0,"CapExp";#N/A,#N/A,0,"EBITDA";#N/A,#N/A,0,"Mth trends";#N/A,#N/A,0,"Inc. Statement";#N/A,#N/A,0,"Balance Sheet";#N/A,#N/A,0,"Cash Flow"}</definedName>
    <definedName name="qg" hidden="1" function="0" vbProcedure="0">{#N/A,#N/A,0,"RESUMEN ECON.";#N/A,#N/A,0,"Costos de R.H.";#N/A,#N/A,0,"COSTO HW";#N/A,#N/A,0,"CUADROS";#N/A,#N/A,0,"SCADA´s";#N/A,#N/A,0,"PRECIOS EQUIPOS"}</definedName>
    <definedName name="qq" hidden="1" function="0" vbProcedure="0">{#N/A,#N/A,0,"March Details"}</definedName>
    <definedName name="qqqqqqqq" hidden="1" function="0" vbProcedure="0">{"Report",#N/A,0,"March Details"}</definedName>
    <definedName name="qre" hidden="1" function="0" vbProcedure="0">{1,1,-1.25,-15.5,604.5,369,0,0,1,1,0,1,83,1,38,4,5,4,1,1,3,1,1,1,75,"Swvu.inputs._.raw._.data.","ACwvu.inputs._.raw._.data.",#N/A,0,0,0.5,0.5,0.5,0.5,2,"&amp;F","&amp;A&amp;RPage &amp;P",0,0,0,0,1,60,#N/A,#N/A,"=R1C61:R53C89","=C1:C5",#N/A,#N/A,0,0,0,1,600,600,0,0,1,1,1}</definedName>
    <definedName name="Qtroperations" hidden="1" function="0" vbProcedure="0">{"arpm1995",#N/A,0,"Summary 95-96";"bus_long_distance",#N/A,0,"Summary 95-96";"mins_per_day",#N/A,0,"Summary 95-96";"minutes1995",#N/A,0,"Summary 95-96";"rev_per_day",#N/A,0,"Summary 95-96";"view1995",#N/A,0,"Summary 95-96"}</definedName>
    <definedName name="quarter" hidden="1" function="0" vbProcedure="0">{#N/A,#N/A,0,"Sheet8";#N/A,#N/A,0,"Sheet7"}</definedName>
    <definedName name="qwert" hidden="1" function="0" vbProcedure="0">{1,1,-1.25,-15.5,604.5,369,0,0,1,1,0,1,#N/A,41,#N/A,20.5555555555556,27.0714285714286,1,0,0,3,1,1,0,80,"Swvu.summary2.","ACwvu.summary2.",#N/A,0,0,0.5,0.5,0.5,0.5,2,"&amp;F","&amp;A&amp;RPage &amp;P",1,0,0,0,1,50,#N/A,#N/A,"=R56C1:R103C31",0,#N/A,#N/A,0,0,1,1,600,600,0,0,1,1,1}</definedName>
    <definedName name="radg" hidden="1" function="0" vbProcedure="0">{"FCB_ALL",#N/A,0,"FCB";"GREY_ALL",#N/A,0,"GREY"}</definedName>
    <definedName name="redo" hidden="1" function="0" vbProcedure="0">{#N/A,#N/A,0,"ACQ_GRAPHS";#N/A,#N/A,0,"T_1 GRAPHS";#N/A,#N/A,0,"T_2 GRAPHS";#N/A,#N/A,0,"COMB_GRAPHS"}</definedName>
    <definedName name="reewrew" hidden="1" function="0" vbProcedure="0">{"arpm1995",#N/A,0,"Summary 95-96";"bus_long_distance",#N/A,0,"Summary 95-96";"mins_per_day",#N/A,0,"Summary 95-96";"minutes1995",#N/A,0,"Summary 95-96";"rev_per_day",#N/A,0,"Summary 95-96";"view1995",#N/A,0,"Summary 95-96"}</definedName>
    <definedName name="Regnew" hidden="1" function="0" vbProcedure="0">{"arpm1995",#N/A,0,"Summary 95-96";"bus_long_distance",#N/A,0,"Summary 95-96";"mins_per_day",#N/A,0,"Summary 95-96";"minutes1995",#N/A,0,"Summary 95-96";"rev_per_day",#N/A,0,"Summary 95-96";"view1995",#N/A,0,"Summary 95-96"}</definedName>
    <definedName name="rere" hidden="1" function="0" vbProcedure="0">{"arpm1995",#N/A,0,"Summary 95-96";"bus_long_distance",#N/A,0,"Summary 95-96";"mins_per_day",#N/A,0,"Summary 95-96";"minutes1995",#N/A,0,"Summary 95-96";"rev_per_day",#N/A,0,"Summary 95-96";"view1995",#N/A,0,"Summary 95-96"}</definedName>
    <definedName name="rerer" hidden="1" function="0" vbProcedure="0">{"arpm1995",#N/A,0,"Summary 95-96";"bus_long_distance",#N/A,0,"Summary 95-96";"mins_per_day",#N/A,0,"Summary 95-96";"minutes1995",#N/A,0,"Summary 95-96";"rev_per_day",#N/A,0,"Summary 95-96";"view1995",#N/A,0,"Summary 95-96"}</definedName>
    <definedName name="rerewr" hidden="1" function="0" vbProcedure="0">{"arpm1995",#N/A,0,"Summary 95-96";"bus_long_distance",#N/A,0,"Summary 95-96";"mins_per_day",#N/A,0,"Summary 95-96";"minutes1995",#N/A,0,"Summary 95-96";"rev_per_day",#N/A,0,"Summary 95-96";"view1995",#N/A,0,"Summary 95-96"}</definedName>
    <definedName name="rerewty4etr" hidden="1" function="0" vbProcedure="0">{"arpm1995",#N/A,0,"Summary 95-96";"bus_long_distance",#N/A,0,"Summary 95-96";"mins_per_day",#N/A,0,"Summary 95-96";"minutes1995",#N/A,0,"Summary 95-96";"rev_per_day",#N/A,0,"Summary 95-96";"view1995",#N/A,0,"Summary 95-96"}</definedName>
    <definedName name="reryt4y" hidden="1" function="0" vbProcedure="0">{"arpm1995",#N/A,0,"Summary 95-96";"bus_long_distance",#N/A,0,"Summary 95-96";"mins_per_day",#N/A,0,"Summary 95-96";"minutes1995",#N/A,0,"Summary 95-96";"rev_per_day",#N/A,0,"Summary 95-96";"view1995",#N/A,0,"Summary 95-96"}</definedName>
    <definedName name="Retail" hidden="1" function="0" vbProcedure="0">{"'Sheet1'!$A$5:$G$42"}</definedName>
    <definedName name="rft" hidden="1" function="0" vbProcedure="0">{#N/A,#N/A,1,"RESUMEN ECON.";#N/A,#N/A,1,"Costos de R.H.";#N/A,#N/A,1,"COSTO HW";#N/A,#N/A,1,"CUADROS";#N/A,#N/A,1,"SCADA´s";#N/A,#N/A,1,"PRECIOS EQUIPOS"}</definedName>
    <definedName name="RiskAfterRecalcMacro" hidden="1" function="0" vbProcedure="0">""</definedName>
    <definedName name="RiskAfterSimMacro" hidden="1" function="0" vbProcedure="0">""</definedName>
    <definedName name="RiskBeforeRecalcMacro" hidden="1" function="0" vbProcedure="0">""</definedName>
    <definedName name="RiskBeforeSimMacro" hidden="1" function="0" vbProcedure="0">""</definedName>
    <definedName name="RiskCollectDistributionSamples" hidden="1" function="0" vbProcedure="0">2</definedName>
    <definedName name="RiskFixedSeed" hidden="1" function="0" vbProcedure="0">1</definedName>
    <definedName name="RiskHasSettings" hidden="1" function="0" vbProcedure="0">5</definedName>
    <definedName name="RiskMinimizeOnStart" hidden="1" function="0" vbProcedure="0">FALSE()</definedName>
    <definedName name="RiskMonitorConvergence" hidden="1" function="0" vbProcedure="0">FALSE()</definedName>
    <definedName name="RiskMultipleCPUSupportEnabled" hidden="1" function="0" vbProcedure="0">TRUE()</definedName>
    <definedName name="RiskNumIterations" hidden="1" function="0" vbProcedure="0">100</definedName>
    <definedName name="RiskNumSimulations" hidden="1" function="0" vbProcedure="0">1</definedName>
    <definedName name="RiskPauseOnError" hidden="1" function="0" vbProcedure="0">FALSE()</definedName>
    <definedName name="RiskRunAfterRecalcMacro" hidden="1" function="0" vbProcedure="0">FALSE()</definedName>
    <definedName name="RiskRunAfterSimMacro" hidden="1" function="0" vbProcedure="0">FALSE()</definedName>
    <definedName name="RiskRunBeforeRecalcMacro" hidden="1" function="0" vbProcedure="0">FALSE()</definedName>
    <definedName name="RiskRunBeforeSimMacro" hidden="1" function="0" vbProcedure="0">FALSE()</definedName>
    <definedName name="RiskSamplingType" hidden="1" function="0" vbProcedure="0">3</definedName>
    <definedName name="RiskStandardRecalc" hidden="1" function="0" vbProcedure="0">1</definedName>
    <definedName name="RiskUpdateDisplay" hidden="1" function="0" vbProcedure="0">FALSE()</definedName>
    <definedName name="RiskUseDifferentSeedForEachSim" hidden="1" function="0" vbProcedure="0">FALSE()</definedName>
    <definedName name="RiskUseFixedSeed" hidden="1" function="0" vbProcedure="0">FALSE()</definedName>
    <definedName name="RiskUseMultipleCPUs" hidden="1" function="0" vbProcedure="0">FALSE()</definedName>
    <definedName name="RPA" hidden="1" function="0" vbProcedure="0">{#N/A,#N/A,0,"Cashflow Analysis";#N/A,#N/A,0,"Sensitivity Analysis";#N/A,#N/A,0,"PV";#N/A,#N/A,0,"Pro Forma"}</definedName>
    <definedName name="RPA.2" hidden="1" function="0" vbProcedure="0">{#N/A,#N/A,0,"Cashflow Analysis";#N/A,#N/A,0,"Sensitivity Analysis";#N/A,#N/A,0,"PV";#N/A,#N/A,0,"Pro Forma"}</definedName>
    <definedName name="rrrrr" hidden="1" function="0" vbProcedure="0">{"'Edit'!$A$1:$V$2277"}</definedName>
    <definedName name="rrrrrr" hidden="1" function="0" vbProcedure="0">{"'Edit'!$A$1:$V$2277"}</definedName>
    <definedName name="rse" hidden="1" function="0" vbProcedure="0">{"FCB_ALL",#N/A,0,"FCB"}</definedName>
    <definedName name="rt" hidden="1" function="0" vbProcedure="0">{"inputs raw data",#N/A,1,"INPUT"}</definedName>
    <definedName name="rtu" hidden="1" function="0" vbProcedure="0">{#N/A,#N/A,1,"RESUMEN ECON.";#N/A,#N/A,1,"Costos de R.H.";#N/A,#N/A,1,"COSTO HW";#N/A,#N/A,1,"CUADROS";#N/A,#N/A,1,"SCADA´s";#N/A,#N/A,1,"PRECIOS EQUIPOS"}</definedName>
    <definedName name="sa" hidden="1" function="0" vbProcedure="0">{1,1,-1.25,-15.5,604.5,369,0,0,1,1,0,1,#N/A,41,#N/A,20.5555555555556,27.0714285714286,1,0,0,3,1,1,0,80,"Swvu.summary2.","ACwvu.summary2.",#N/A,0,0,0.5,0.5,0.5,0.5,2,"&amp;F","&amp;A&amp;RPage &amp;P",1,0,0,0,1,50,#N/A,#N/A,"=R56C1:R103C31",0,#N/A,#N/A,0,0,1,1,600,600,0,0,1,1,1}</definedName>
    <definedName name="sadfsdfsdfsaf" hidden="1" function="0" vbProcedure="0">{"wpocash",#N/A,0,"WPOALLT";"wpoinc",#N/A,0,"WPOALLT";"wpobroad",#N/A,0,"WPOALLT";"wpocable",#N/A,0,"WPOALLT";"wpoexcl",#N/A,0,"WPOALLT";"wponwsweek",#N/A,0,"WPOALLT";"wpopost",#N/A,0,"WPOALLT"}</definedName>
    <definedName name="sagf" hidden="1" function="0" vbProcedure="0">{1,1,-1.25,-15.5,604.5,369,0,0,1,1,0,1,83,1,38,4,5,4,1,1,3,1,1,1,75,"Swvu.inputs._.raw._.data.","ACwvu.inputs._.raw._.data.",#N/A,0,0,0.5,0.5,0.5,0.5,2,"&amp;F","&amp;A&amp;RPage &amp;P",0,0,0,0,1,60,#N/A,#N/A,"=R1C61:R53C89","=C1:C5",#N/A,#N/A,0,0,0,1,600,600,0,0,1,1,1}</definedName>
    <definedName name="SAPBEXhrIndnt" hidden="1" function="0" vbProcedure="0">"Wide"</definedName>
    <definedName name="SAPsysID" hidden="1" function="0" vbProcedure="0">"708C5W7SBKP804JT78WJ0JNKI"</definedName>
    <definedName name="SAPwbID" hidden="1" function="0" vbProcedure="0">"ARS"</definedName>
    <definedName name="sasdfkj" hidden="1" function="0" vbProcedure="0">{"FCB_ALL",#N/A,0,"FCB"}</definedName>
    <definedName name="sdafe" hidden="1" function="0" vbProcedure="0">{"FCB_ALL",#N/A,0,"FCB";"GREY_ALL",#N/A,0,"GREY"}</definedName>
    <definedName name="sdaflkej" hidden="1" function="0" vbProcedure="0">{"FCB_ALL",#N/A,0,"FCB";"GREY_ALL",#N/A,0,"GREY"}</definedName>
    <definedName name="sdafsdafsaf" hidden="1" function="0" vbProcedure="0">{"wpocash",#N/A,0,"WPOALLT";"wpoinc",#N/A,0,"WPOALLT";"wpobroad",#N/A,0,"WPOALLT";"wpocable",#N/A,0,"WPOALLT";"wpoexcl",#N/A,0,"WPOALLT";"wponwsweek",#N/A,0,"WPOALLT";"wpopost",#N/A,0,"WPOALLT"}</definedName>
    <definedName name="sdas" hidden="1" function="0" vbProcedure="0">{"Total",#N/A,0,"Six Fields";"PDP",#N/A,0,"Six Fields";"PNP",#N/A,0,"Six Fields";"PUD",#N/A,0,"Six Fields";"Prob",#N/A,0,"Six Fields"}</definedName>
    <definedName name="sdasd" hidden="1" function="0" vbProcedure="0">{"FCB_ALL",#N/A,0,"FCB";"GREY_ALL",#N/A,0,"GREY"}</definedName>
    <definedName name="sdf" hidden="1" function="0" vbProcedure="0">{#N/A,#N/A,0,"FAB VENDORS";"BUD SUM",#N/A,0,"BUD SUM WO TEX"}</definedName>
    <definedName name="sdfasr" hidden="1" function="0" vbProcedure="0">{"FCB_ALL",#N/A,0,"FCB"}</definedName>
    <definedName name="sdfdsf" hidden="1" function="0" vbProcedure="0">{"FCB_ALL",#N/A,0,"FCB";"GREY_ALL",#N/A,0,"GREY"}</definedName>
    <definedName name="sdfg" hidden="1" function="0" vbProcedure="0">{"summary",#N/A,0,"3 yr average";"comps",#N/A,0,"3 yr average"}</definedName>
    <definedName name="sdfga" hidden="1" function="0" vbProcedure="0">{1,1,-1.25,-15.5,604.5,369,0,0,1,1,0,1,83,1,38,4,5,4,1,1,3,1,1,1,75,"Swvu.inputs._.raw._.data.","ACwvu.inputs._.raw._.data.",#N/A,0,0,0.5,0.5,0.5,0.5,2,"&amp;F","&amp;A&amp;RPage &amp;P",0,0,0,0,1,60,#N/A,#N/A,"=R1C61:R53C89","=C1:C5",#N/A,#N/A,0,0,0,1,600,600,0,0,1,1,1}</definedName>
    <definedName name="sdfh" hidden="1" function="0" vbProcedure="0">{"FCB_ALL",#N/A,0,"FCB"}</definedName>
    <definedName name="sdfsdfsdfsafsdf" hidden="1" function="0" vbProcedure="0">{"FCB_ALL",#N/A,0,"FCB"}</definedName>
    <definedName name="sdhr" hidden="1" function="0" vbProcedure="0">{"FCB_ALL",#N/A,0,"FCB";"GREY_ALL",#N/A,0,"GREY"}</definedName>
    <definedName name="sdsds" hidden="1" function="0" vbProcedure="0">{"PR1","pr1",1,"Sch PR-1"}</definedName>
    <definedName name="sdz" hidden="1" function="0" vbProcedure="0">{"FCB_ALL",#N/A,0,"FCB"}</definedName>
    <definedName name="secondaries" hidden="1" function="0" vbProcedure="0">{#N/A,#N/A,0,"Summary";#N/A,#N/A,0,"Pending";#N/A,#N/A,0,"Oct'97";#N/A,#N/A,0,"Sept'97";#N/A,#N/A,0,"Aug'97";#N/A,#N/A,0,"Jul'97";#N/A,#N/A,0,"Jun'97";#N/A,#N/A,0,"May'97";#N/A,#N/A,0,"Apr'97";#N/A,#N/A,0,"Mar'97";#N/A,#N/A,0,"Feb'97";#N/A,#N/A,0,"Jan'97"}</definedName>
    <definedName name="sfdgsar" hidden="1" function="0" vbProcedure="0">{"FCB_ALL",#N/A,0,"FCB";"GREY_ALL",#N/A,0,"GREY"}</definedName>
    <definedName name="sfj" hidden="1" function="0" vbProcedure="0">{"PR1","pr1",1,"Sch PR-1"}</definedName>
    <definedName name="shg" hidden="1" function="0" vbProcedure="0">{#N/A,#N/A,0,"Index";#N/A,#N/A,0,"IncStmt";#N/A,#N/A,0,"Ratios";#N/A,#N/A,0,"CashFlows";#N/A,#N/A,0,"Ins1";#N/A,#N/A,0,"Ins2";#N/A,#N/A,0,"SelfFund";#N/A,#N/A,0,"SGA";#N/A,#N/A,0,"Recon";#N/A,#N/A,0,"Earnings";#N/A,#N/A,0,"Earnings (2)";#N/A,#N/A,0,"Stock";#N/A,#N/A,0,"Stock (2)";#N/A,#N/A,0,"PeerRatios";#N/A,#N/A,0,"PeerRanks"}</definedName>
    <definedName name="shit" hidden="1" function="0" vbProcedure="0">{#N/A,"Base",0,"Dividend";#N/A,"Conservative",0,"Dividend";#N/A,"Downside",0,"Dividend"}</definedName>
    <definedName name="Simple" hidden="1" function="0" vbProcedure="0">{#N/A,#N/A,0,"RESUMEN ECON.";#N/A,#N/A,0,"Costos de R.H.";#N/A,#N/A,0,"COSTO HW";#N/A,#N/A,0,"CUADROS";#N/A,#N/A,0,"SCADA´s";#N/A,#N/A,0,"PRECIOS EQUIPOS"}</definedName>
    <definedName name="SLEVIN" hidden="1" function="0" vbProcedure="0">{"SUMMARY",#N/A,1,"RIGGIN INCR";"SUMMARY",#N/A,1,"DEAN";"SUMMARY",#N/A,1,"GAWRYS";"SUMMARY",#N/A,1,"RUSSO GBVS";"SUMMARY",#N/A,1,"RUSSO WW";"SUMMARY",#N/A,1,"RUSSO TOTAL ";"SUMMARY",#N/A,1,"BOUCHARD";"SUMMARY",#N/A,1,"ZECCA";"SUMMARY",#N/A,1,"RIGGIN TOTAL";"SUMMARY",#N/A,1,"REGLI INCR";"SUMMARY",#N/A,1,"SUSKI";"SUMMARY",#N/A,1,"JOHNSON";"SUMMARY",#N/A,1,"CONN";"SUMMARY",#N/A,1,"REGLI TOTAL";"SUMMARY",#N/A,1,"BROWN";"SUMMARY",#N/A,1,"DENIGRIS INC";"SUMMARY",#N/A,1,"DeNIGRIS TOTAL";"IS",#N/A,1,"INC ST"}</definedName>
    <definedName name="SLT" hidden="1" function="0" vbProcedure="0">{"SUM",#N/A,0,"Details (2)"}</definedName>
    <definedName name="SPM" hidden="1" function="0" vbProcedure="0">{#N/A,#N/A,0,"Cashflow Analysis";#N/A,#N/A,0,"Sensitivity Analysis";#N/A,#N/A,0,"PV";#N/A,#N/A,0,"Pro Forma"}</definedName>
    <definedName name="SPM.2" hidden="1" function="0" vbProcedure="0">{#N/A,#N/A,0,"Cashflow Analysis";#N/A,#N/A,0,"Sensitivity Analysis";#N/A,#N/A,0,"PV";#N/A,#N/A,0,"Pro Forma"}</definedName>
    <definedName name="sql_statement" hidden="1" function="0" vbProcedure="0">"select distinct acct_cat,sum(cyr),sum(lyr),sum(cbd),mult
from r1_datasum
group by acct_cat
"</definedName>
    <definedName name="ss" hidden="1" function="0" vbProcedure="0">{#N/A,#N/A,0,"COVER PAGE";#N/A,#N/A,0,"Page 2";#N/A,#N/A,0,"Page 2";#N/A,#N/A,0,"Page 4";#N/A,#N/A,0,"Page5";#N/A,#N/A,0,"Page 6";#N/A,#N/A,0,"Page 7";#N/A,#N/A,0,"Page 8";#N/A,#N/A,0,"Page 10";#N/A,#N/A,0,"Long-Term OCF Mult.";#N/A,#N/A,0,"PCS Comp";#N/A,#N/A,0,"OCS-CAPEX";#N/A,#N/A,0,"Blank"}</definedName>
    <definedName name="sssssss" hidden="1" function="0" vbProcedure="0">{"PR1","pr1",1,"Sch PR-1"}</definedName>
    <definedName name="stands" hidden="1" function="0" vbProcedure="0">{"FCB_ALL",#N/A,0,"FCB";"GREY_ALL",#N/A,0,"GREY"}</definedName>
    <definedName name="stands1" hidden="1" function="0" vbProcedure="0">{"FCB_ALL",#N/A,0,"FCB";"GREY_ALL",#N/A,0,"GREY"}</definedName>
    <definedName name="stud13" hidden="1" function="0" vbProcedure="0">{#N/A,#N/A,0,"Quarterly P&amp;L Overview";#N/A,#N/A,0,"Industry or Geography P&amp;L Split";#N/A,#N/A,0,"P&amp;L Quarter Trends";#N/A,#N/A,0,"Risk Analysis (Exposure Report)";#N/A,#N/A,0,"SVS Generated Report";#N/A,#N/A,0,"P&amp;L Outlook Expense Detail";#N/A,#N/A,0,"Common Size P&amp;L";#N/A,#N/A,0,"Ratios";#N/A,#N/A,0,"Compensation Pool Results";#N/A,#N/A,0,"Balance Sheet";#N/A,#N/A,0,"Common Size Balance Sheet";#N/A,#N/A,0,"Contract Review";#N/A,#N/A,0,"BALANCED SCORECARD"}</definedName>
    <definedName name="SV_ENCPT_LOGON_PWD" hidden="1" function="0" vbProcedure="0">"078104085088070118116120102"</definedName>
    <definedName name="SV_ENCPT_LOGON_USER" hidden="1" function="0" vbProcedure="0">"095094088070084104115102112100101110"</definedName>
    <definedName name="switch" hidden="1" function="0" vbProcedure="0">{"arpm1995",#N/A,0,"Summary 95-96";"bus_long_distance",#N/A,0,"Summary 95-96";"mins_per_day",#N/A,0,"Summary 95-96";"minutes1995",#N/A,0,"Summary 95-96";"rev_per_day",#N/A,0,"Summary 95-96";"view1995",#N/A,0,"Summary 95-96"}</definedName>
    <definedName name="t" hidden="1" function="0" vbProcedure="0">{#N/A,#N/A,1,"Sheet1 (2)";#N/A,#N/A,1,"Sheet1 (3)";#N/A,#N/A,1,"Sheet1 (4)";#N/A,#N/A,1,"Sheet1 (5)";#N/A,#N/A,1,"Sheet1 (8)";#N/A,#N/A,1,"Sheet1 (9)";#N/A,#N/A,1,"Sheet1 (10)";#N/A,#N/A,1,"Sheet1 (6)";#N/A,#N/A,1,"Sheet1 (7)";#N/A,#N/A,1,"Sheet1 (11)";#N/A,#N/A,1,"Sheet2 (2)";#N/A,#N/A,1,"Sheet3 (2)";#N/A,#N/A,1,"Sheet4 (2)";#N/A,#N/A,1,"Sheet9 (2)";#N/A,#N/A,1,"Sheet8 (2)";#N/A,#N/A,1,"Sheet7 (2)";#N/A,#N/A,1,"Sheet5 (2)";#N/A,#N/A,1,"Sheet2 (3)";#N/A,#N/A,1,"Sheet6 (2)";#N/A,#N/A,1,"Sheet 6A";#N/A,#N/A,1,"Sheet2 (4)";#N/A,#N/A,1,"Sheet2 (5)";#N/A,#N/A,1,"Sheet3 (3)";#N/A,#N/A,1,"Sheet3 (4)";#N/A,#N/A,1,"Sheet4 (3)";#N/A,#N/A,1,"Sheet4 (4)";#N/A,#N/A,1,"Sheet8 (3)";#N/A,#N/A,1,"Sheet8 (4)";#N/A,#N/A,1,"Sheet5 (3)";#N/A,#N/A,1,"Sheet5 (4)";#N/A,#N/A,1,"Sheet10 (2)";#N/A,#N/A,1,"Sheet7 (3)";#N/A,#N/A,1,"Sheet6 (3)";#N/A,#N/A,1,"Sheet5 (5)";#N/A,#N/A,1,"Sheet9 (3)";#N/A,#N/A,1,"Sheet4 (5)";#N/A,#N/A,1,"Sheet12 (2)";#N/A,#N/A,1,"Sheet11 (2)";#N/A,#N/A,1,"Sheet13 (2)";#N/A,#N/A,1,"Sheet14 (2)";#N/A,#N/A,1,"Sheet15 (2)";#N/A,#N/A,1,"Sheet16 (2)";#N/A,#N/A,1,"Sheet1 (12)";#N/A,#N/A,1,"Sheet3 (5)";#N/A,#N/A,1,"Sheet7 (4)";#N/A,#N/A,1,"Sheet2 (6)";#N/A,#N/A,1,"sheet1 (13)";#N/A,#N/A,1,"sheet2 (7)";#N/A,#N/A,1,"sheet10 (3)";#N/A,#N/A,1,"sheet11 (3)";#N/A,#N/A,1,"sheet3 (6)";#N/A,#N/A,1,"sheet4 (6)";#N/A,#N/A,1,"sheet5 (6)";#N/A,#N/A,1,"sheet6 (4)";#N/A,#N/A,1,"sheet7 (5)";#N/A,#N/A,1,"sheet8 (5)";#N/A,#N/A,1,"sheet9 (4)";#N/A,#N/A,1,"Sheet1 (14)";#N/A,#N/A,1,"Sheet2 (8)";#N/A,#N/A,1,"Sheet3 (8)";#N/A,#N/A,1,"Sheet3 (7)";#N/A,#N/A,1,"Sheet4 (7)";#N/A,#N/A,1,"Sheet5 (7)";#N/A,#N/A,1,"Sheet6 (5)";#N/A,#N/A,1,"Sheet1";#N/A,#N/A,1,"Sheet2"}</definedName>
    <definedName name="t2_1" hidden="1" function="0" vbProcedure="0">{"'Sheet1'!$A$5:$G$42"}</definedName>
    <definedName name="temp" hidden="1" function="0" vbProcedure="0">{#N/A,#N/A,1,"FD II Portfolio Summary";#N/A,#N/A,1,"Fd II Cap. Position ";#N/A,#N/A,1,"BV Valuation";#N/A,#N/A,1,"FV Valuation";#N/A,#N/A,1,"Valuation Change";#N/A,#N/A,1,"Weasler";#N/A,#N/A,1,"Weasler val";#N/A,#N/A,1,"J Chain";#N/A,#N/A,1,"J Chain Val";#N/A,#N/A,1,"Monona";#N/A,#N/A,1,"Monona Val";#N/A,#N/A,1,"DSI";#N/A,#N/A,1,"DSI Val";#N/A,#N/A,1,"Temple";#N/A,#N/A,1,"Temple Val";#N/A,#N/A,1,"JRI";#N/A,#N/A,1,"NDS ";#N/A,#N/A,1,"Stronghaven";#N/A,#N/A,1,"Connor";#N/A,#N/A,1,"HWC"}</definedName>
    <definedName name="temp1" hidden="1" function="0" vbProcedure="0">{#N/A,#N/A,1,"BV Valuation II";#N/A,#N/A,1,"FV Valuation";#N/A,#N/A,1,"Fd II Cap. Position ";#N/A,#N/A,1,"JRI";#N/A,#N/A,1,"Weasler";#N/A,#N/A,1,"NDS ";#N/A,#N/A,1,"J Chain";#N/A,#N/A,1,"Monona";#N/A,#N/A,1,"Stronghaven";#N/A,#N/A,1,"Connor";#N/A,#N/A,1,"DSI";#N/A,#N/A,1,"HWC";#N/A,#N/A,1,"Temple";#N/A,#N/A,1,"F3 Bullets";#N/A,#N/A,1,"FD II Portfolio Summary";#N/A,#N/A,1,"BV Valuation";#N/A,#N/A,1,"MV Valuation";#N/A,#N/A,1,"Fd III Cap. Position ";#N/A,#N/A,1,"Beacon";#N/A,#N/A,1,"CII";#N/A,#N/A,1,"MCA";#N/A,#N/A,1,"Elm";#N/A,#N/A,1,"Tharco";#N/A,#N/A,1,"Dee H";#N/A,#N/A,1,"Globe";#N/A,#N/A,1,"Hunt Valve";#N/A,#N/A,1,"KBA";#N/A,#N/A,1,"Glassmaster";#N/A,#N/A,1,"May";#N/A,#N/A,1,"CBSA";#N/A,#N/A,1,"ACE"}</definedName>
    <definedName name="temp2" hidden="1" function="0" vbProcedure="0">{#N/A,#N/A,1,"FD II Portfolio Summary";#N/A,#N/A,1,"Fd II Cap. Position ";#N/A,#N/A,1,"BV Valuation";#N/A,#N/A,1,"FV Valuation";#N/A,#N/A,1,"Valuation Change";#N/A,#N/A,1,"Weasler";#N/A,#N/A,1,"Weasler val";#N/A,#N/A,1,"J Chain";#N/A,#N/A,1,"J Chain Val";#N/A,#N/A,1,"Monona";#N/A,#N/A,1,"Monona Val";#N/A,#N/A,1,"DSI";#N/A,#N/A,1,"DSI Val";#N/A,#N/A,1,"Temple";#N/A,#N/A,1,"Temple Val";#N/A,#N/A,1,"JRI";#N/A,#N/A,1,"NDS ";#N/A,#N/A,1,"Stronghaven";#N/A,#N/A,1,"Connor";#N/A,#N/A,1,"HWC"}</definedName>
    <definedName name="tempq" hidden="1" function="0" vbProcedure="0">{#N/A,#N/A,1,"BV Valuation II";#N/A,#N/A,1,"FV Valuation";#N/A,#N/A,1,"Fd II Cap. Position ";#N/A,#N/A,1,"JRI";#N/A,#N/A,1,"Weasler";#N/A,#N/A,1,"NDS ";#N/A,#N/A,1,"J Chain";#N/A,#N/A,1,"Monona";#N/A,#N/A,1,"Stronghaven";#N/A,#N/A,1,"Connor";#N/A,#N/A,1,"DSI";#N/A,#N/A,1,"HWC";#N/A,#N/A,1,"Temple";#N/A,#N/A,1,"F3 Bullets";#N/A,#N/A,1,"FD II Portfolio Summary";#N/A,#N/A,1,"BV Valuation";#N/A,#N/A,1,"MV Valuation";#N/A,#N/A,1,"Fd III Cap. Position ";#N/A,#N/A,1,"Beacon";#N/A,#N/A,1,"CII";#N/A,#N/A,1,"MCA";#N/A,#N/A,1,"Elm";#N/A,#N/A,1,"Tharco";#N/A,#N/A,1,"Dee H";#N/A,#N/A,1,"Globe";#N/A,#N/A,1,"Hunt Valve";#N/A,#N/A,1,"KBA";#N/A,#N/A,1,"Glassmaster";#N/A,#N/A,1,"May";#N/A,#N/A,1,"CBSA";#N/A,#N/A,1,"ACE"}</definedName>
    <definedName name="tempq2" hidden="1" function="0" vbProcedure="0">{#N/A,#N/A,1,"FD II Portfolio Summary";#N/A,#N/A,1,"Fd II Cap. Position ";#N/A,#N/A,1,"BV Valuation";#N/A,#N/A,1,"FV Valuation";#N/A,#N/A,1,"Valuation Change";#N/A,#N/A,1,"Weasler";#N/A,#N/A,1,"Weasler val";#N/A,#N/A,1,"J Chain";#N/A,#N/A,1,"J Chain Val";#N/A,#N/A,1,"Monona";#N/A,#N/A,1,"Monona Val";#N/A,#N/A,1,"DSI";#N/A,#N/A,1,"DSI Val";#N/A,#N/A,1,"Temple";#N/A,#N/A,1,"Temple Val";#N/A,#N/A,1,"JRI";#N/A,#N/A,1,"NDS ";#N/A,#N/A,1,"Stronghaven";#N/A,#N/A,1,"Connor";#N/A,#N/A,1,"HWC"}</definedName>
    <definedName name="tempq3" hidden="1" function="0" vbProcedure="0">{#N/A,#N/A,1,"F3 Bullets";#N/A,#N/A,1,"FD III Port Summ";#N/A,#N/A,1,"BV Valuation";#N/A,#N/A,1,"Fd III Cap. Position ";#N/A,#N/A,1,"Beacon";#N/A,#N/A,1,"Beacon (2)";#N/A,#N/A,1,"CII";#N/A,#N/A,1,"CII 2";#N/A,#N/A,1,"MCA";#N/A,#N/A,1,"Elm";#N/A,#N/A,1,"Tharco";#N/A,#N/A,1,"Dee H";#N/A,#N/A,1,"Globe";#N/A,#N/A,1,"Hunt Valve";#N/A,#N/A,1,"KBA";#N/A,#N/A,1,"Glassmaster";#N/A,#N/A,1,"May"}</definedName>
    <definedName name="tempq4" hidden="1" function="0" vbProcedure="0">{#N/A,#N/A,1,"FD III Port Summ";#N/A,#N/A,1,"Beacon";#N/A,#N/A,1,"CII";#N/A,#N/A,1,"MCA";#N/A,#N/A,1,"Elm";#N/A,#N/A,1,"Tharco";#N/A,#N/A,1,"Dee H";#N/A,#N/A,1,"Globe";#N/A,#N/A,1,"Hunt Valve";#N/A,#N/A,1,"KBA";#N/A,#N/A,1,"Glassmaster";#N/A,#N/A,1,"MLS";#N/A,#N/A,1,"CBSA";#N/A,#N/A,1,"ACE";#N/A,#N/A,1,"United Central";#N/A,#N/A,1,"Jakel";#N/A,#N/A,1,"Lake City "}</definedName>
    <definedName name="tempq5" hidden="1" function="0" vbProcedure="0">{#N/A,#N/A,1,"F3 Bullets";#N/A,#N/A,1,"FD III Port Summ";#N/A,#N/A,1,"BV Valuation";#N/A,#N/A,1,"MV Valuation";#N/A,#N/A,1,"Fd III Cap. Position ";#N/A,#N/A,1,"Beacon";#N/A,#N/A,1,"CII";#N/A,#N/A,1,"MCA";#N/A,#N/A,1,"Elm";#N/A,#N/A,1,"Tharco";#N/A,#N/A,1,"Dee H";#N/A,#N/A,1,"Globe";#N/A,#N/A,1,"Hunt Valve";#N/A,#N/A,1,"KBA";#N/A,#N/A,1,"Glassmaster";#N/A,#N/A,1,"May";#N/A,#N/A,1,"ACE"}</definedName>
    <definedName name="tempq6" hidden="1" function="0" vbProcedure="0">{#N/A,#N/A,1,"FD IV Portfolio Summary ";#N/A,#N/A,1,"Western";#N/A,#N/A,1,"Kranson";#N/A,#N/A,1,"ARC";#N/A,#N/A,1,"Precise";#N/A,#N/A,1,"WNA"}</definedName>
    <definedName name="tempq7" hidden="1" function="0" vbProcedure="0">{#N/A,#N/A,1,"FD II Portfolio Summary";#N/A,#N/A,1,"Fd II Cap. Position ";#N/A,#N/A,1,"BV Valuation";#N/A,#N/A,1,"FV Valuation";#N/A,#N/A,1,"Valuation Change";#N/A,#N/A,1,"Weasler";#N/A,#N/A,1,"Weasler val";#N/A,#N/A,1,"J Chain";#N/A,#N/A,1,"J Chain Val";#N/A,#N/A,1,"Monona";#N/A,#N/A,1,"Monona Val";#N/A,#N/A,1,"DSI";#N/A,#N/A,1,"DSI Val";#N/A,#N/A,1,"Temple";#N/A,#N/A,1,"Temple Val";#N/A,#N/A,1,"JRI";#N/A,#N/A,1,"NDS ";#N/A,#N/A,1,"Stronghaven";#N/A,#N/A,1,"Connor";#N/A,#N/A,1,"HWC"}</definedName>
    <definedName name="tempq8" hidden="1" function="0" vbProcedure="0">{#N/A,#N/A,1," Bullets II";#N/A,#N/A,1,"Fd II Cap. Position ";#N/A,#N/A,1,"FD II Portfolio Summary";#N/A,#N/A,1,"BV Valuation";#N/A,#N/A,1,"FV Valuation";#N/A,#N/A,1,"Valuation Change II";#N/A,#N/A,1,"Utiliserve";#N/A,#N/A,1,"Temple";#N/A,#N/A,1,"JRI";#N/A,#N/A,1,"Weasler";#N/A,#N/A,1,"NDS ";#N/A,#N/A,1,"Stronghaven";#N/A,#N/A,1,"Connor";#N/A,#N/A,1,"DSI";#N/A,#N/A,1,"HWC";#N/A,#N/A,1,"Bullets III";#N/A,#N/A,1,"Fd III Cap. Position ";#N/A,#N/A,1,"FD III Port Summ";#N/A,#N/A,1,"BV Valuation (2)";#N/A,#N/A,1,"MV Valuation";#N/A,#N/A,1,"Valuation Change III";#N/A,#N/A,1,"Globe";#N/A,#N/A,1,"Beacon";#N/A,#N/A,1,"CII";#N/A,#N/A,1,"MCA";#N/A,#N/A,1,"Elm";#N/A,#N/A,1,"Tharco";#N/A,#N/A,1,"Dee H";#N/A,#N/A,1,"Hunt Valve";#N/A,#N/A,1,"KBA";#N/A,#N/A,1,"Glassmaster";#N/A,#N/A,1,"MLS";#N/A,#N/A,1,"CBSA";#N/A,#N/A,1,"ACE";#N/A,#N/A,1,"United Central";#N/A,#N/A,1,"Jakel";#N/A,#N/A,1,"Lake City ";#N/A,#N/A,1,"Bullets IV";#N/A,#N/A,1,"Fd IV Cap. Position  ";#N/A,#N/A,1,"FD IV Portfolio Summary ";#N/A,#N/A,1,"Fund IV BV  ";#N/A,#N/A,1,"Western";#N/A,#N/A,1,"Kranson"}</definedName>
    <definedName name="tetas" hidden="1" function="0" vbProcedure="0">{#N/A,#N/A,0,"RESUMEN ECON.";#N/A,#N/A,0,"Costos de R.H.";#N/A,#N/A,0,"COSTO HW";#N/A,#N/A,0,"CUADROS";#N/A,#N/A,0,"SCADA´s";#N/A,#N/A,0,"PRECIOS EQUIPOS"}</definedName>
    <definedName name="Titan" hidden="1" function="0" vbProcedure="0">{"kricash",#N/A,0,"INC";"kriinc",#N/A,0,"INC";"krimiami",#N/A,0,"INC";"kriother",#N/A,0,"INC";"kripapers",#N/A,0,"INC"}</definedName>
    <definedName name="tl" hidden="1" function="0" vbProcedure="0">{#N/A,#N/A,0,"FAB VENDORS";"BUD SUM",#N/A,0,"BUD SUM WO TEX"}</definedName>
    <definedName name="TM1REBUILDOPTION" hidden="0" function="0" vbProcedure="0">1</definedName>
    <definedName name="trevor" hidden="1" function="0" vbProcedure="0">{#N/A,#N/A,0,"FAB VENDORS";"BUD SUM",#N/A,0,"BUD SUM WO TEX"}</definedName>
    <definedName name="Trust2" hidden="1" function="0" vbProcedure="0">{#N/A,#N/A,0,"Summary";#N/A,#N/A,0,"Financials";#N/A,#N/A,0,"Returns";#N/A,#N/A,0,"Open";#N/A,#N/A,0,"Assumptions"}</definedName>
    <definedName name="tt" hidden="1" function="0" vbProcedure="0">{"Summary",#N/A,0,"Details (2)"}</definedName>
    <definedName name="ttt" hidden="1" function="0" vbProcedure="0">{"SUM",#N/A,0,"Details (2)"}</definedName>
    <definedName name="tttt" hidden="1" function="0" vbProcedure="0">{"Summary",#N/A,0,"Details (2)"}</definedName>
    <definedName name="TU" hidden="1" function="0" vbProcedure="0">{#N/A,#N/A,0,"CNS_ADJ";"Balance Consolidado",#N/A,0,"BCEC_CNS";#N/A,#N/A,0,"USGAAP_ADJ"}</definedName>
    <definedName name="Tulsa" hidden="1" function="0" vbProcedure="0">{#N/A,#N/A,0,"Report Data";#N/A,#N/A,0,"COMP POOL";#N/A,#N/A,0,"COMP POOL NB95";#N/A,#N/A,0,"COMP POOL NB94"}</definedName>
    <definedName name="tyler" hidden="1" function="0" vbProcedure="0">{1,1,-1.25,-15.5,604.5,369,0,0,1,1,0,1,#N/A,1,#N/A,20.5555555555556,28.9285714285714,1,0,0,3,1,1,0,80,"Swvu.summary1.","ACwvu.summary1.",#N/A,0,0,0.5,0.5,0.5,0.5,2,"&amp;F","&amp;L&amp;D&amp;C&amp;A&amp;RPage &amp;P",1,0,0,0,1,50,#N/A,#N/A,"=R1C1:R55C31",0,#N/A,#N/A,0,0,1,1,600,600,0,0,1,1,1}</definedName>
    <definedName name="tyler1" hidden="1" function="0" vbProcedure="0">{1,1,-1.25,-15.5,604.5,369,0,0,1,1,0,1,#N/A,91,#N/A,20.5555555555556,24.8571428571429,1,0,0,3,1,1,0,80,"Swvu.summary3.","ACwvu.summary3.",#N/A,0,0,0.5,0.5,0.5,0.5,2,"&amp;F","&amp;A&amp;RPage &amp;P",1,0,0,0,1,50,#N/A,#N/A,"=R104C1:R153C31",0,#N/A,#N/A,0,0,1,1,600,600,0,0,1,1,1}</definedName>
    <definedName name="u" hidden="1" function="0" vbProcedure="0">{"CSheet",#N/A,0,"C";"SmCap",#N/A,0,"VAL1";"GulfCoast",#N/A,0,"VAL1";"nav",#N/A,0,"NAV";"Summary",#N/A,0,"NAV"}</definedName>
    <definedName name="United" hidden="1" function="0" vbProcedure="0">{#N/A,#N/A,1,"BV Valuation II";#N/A,#N/A,1,"FV Valuation";#N/A,#N/A,1,"Fd II Cap. Position ";#N/A,#N/A,1,"JRI";#N/A,#N/A,1,"Weasler";#N/A,#N/A,1,"NDS ";#N/A,#N/A,1,"J Chain";#N/A,#N/A,1,"Monona";#N/A,#N/A,1,"Stronghaven";#N/A,#N/A,1,"Connor";#N/A,#N/A,1,"DSI";#N/A,#N/A,1,"HWC";#N/A,#N/A,1,"Temple";#N/A,#N/A,1,"F3 Bullets";#N/A,#N/A,1,"FD II Portfolio Summary";#N/A,#N/A,1,"BV Valuation";#N/A,#N/A,1,"MV Valuation";#N/A,#N/A,1,"Fd III Cap. Position ";#N/A,#N/A,1,"Beacon";#N/A,#N/A,1,"CII";#N/A,#N/A,1,"MCA";#N/A,#N/A,1,"Elm";#N/A,#N/A,1,"Tharco";#N/A,#N/A,1,"Dee H";#N/A,#N/A,1,"Globe";#N/A,#N/A,1,"Hunt Valve";#N/A,#N/A,1,"KBA";#N/A,#N/A,1,"Glassmaster";#N/A,#N/A,1,"May";#N/A,#N/A,1,"CBSA";#N/A,#N/A,1,"ACE"}</definedName>
    <definedName name="uyfkf" hidden="1" function="0" vbProcedure="0">{1,1,-1.25,-15.5,604.5,369,0,0,1,1,0,1,#N/A,41,#N/A,20.5555555555556,27.0714285714286,1,0,0,3,1,1,0,80,"Swvu.summary2.","ACwvu.summary2.",#N/A,0,0,0.5,0.5,0.5,0.5,2,"&amp;F","&amp;A&amp;RPage &amp;P",1,0,0,0,1,50,#N/A,#N/A,"=R56C1:R103C31",0,#N/A,#N/A,0,0,1,1,600,600,0,0,1,1,1}</definedName>
    <definedName name="UYR" hidden="1" function="0" vbProcedure="0">{1,1,-1.25,-15.5,604.5,369,0,0,1,1,0,1,#N/A,91,#N/A,20.5555555555556,24.8571428571429,1,0,0,3,1,1,0,80,"Swvu.summary3.","ACwvu.summary3.",#N/A,0,0,0.5,0.5,0.5,0.5,2,"&amp;F","&amp;A&amp;RPage &amp;P",1,0,0,0,1,50,#N/A,#N/A,"=R104C1:R153C31",0,#N/A,#N/A,0,0,1,1,600,600,0,0,1,1,1}</definedName>
    <definedName name="Valuation" hidden="1" function="0" vbProcedure="0">{#N/A,#N/A,0,"Output";#N/A,#N/A,0,"Cover Sheet";#N/A,#N/A,0,"Current Mkt. Projections"}</definedName>
    <definedName name="value" hidden="1" function="0" vbProcedure="0">OFFSET(#REF!,5,0,COUNTA(#REF!)-COUNTA(#REF!),1)</definedName>
    <definedName name="Value.2" hidden="1" function="0" vbProcedure="0">{#N/A,#N/A,0,"Cashflow Analysis";#N/A,#N/A,0,"Sensitivity Analysis";#N/A,#N/A,0,"PV";#N/A,#N/A,0,"Pro Forma"}</definedName>
    <definedName name="value1" hidden="1" function="0" vbProcedure="0">{#N/A,#N/A,0,"Cashflow Analysis";#N/A,#N/A,0,"Sensitivity Analysis";#N/A,#N/A,0,"PV";#N/A,#N/A,0,"Pro Forma"}</definedName>
    <definedName name="value1.2" hidden="1" function="0" vbProcedure="0">{#N/A,#N/A,0,"Cashflow Analysis";#N/A,#N/A,0,"Sensitivity Analysis";#N/A,#N/A,0,"PV";#N/A,#N/A,0,"Pro Forma"}</definedName>
    <definedName name="varianc" hidden="1" function="0" vbProcedure="0">{#N/A,#N/A,1,"Mth Sum";#N/A,#N/A,1,"YTD Sum";#N/A,#N/A,1,"Mth Rev Sum";#N/A,#N/A,1,"YTD Rev Sum";#N/A,#N/A,1,"SC vs Pr Month (Revised)";#N/A,#N/A,1,"SVC Detail Mth vs Pr Mth (Rev)";#N/A,#N/A,1,"SGA (Elem) vs Pr Month";#N/A,#N/A,1,"SGA (BU) vs Pr Mth";#N/A,#N/A,1,"SC vs Plan (Revised)";#N/A,#N/A,1,"SVC Detail Mth vsPlan (Rev)";#N/A,#N/A,1,"SGA (Elem) vs Plan";#N/A,#N/A,1,"SGA (BU) vs Plan(Rev)";#N/A,#N/A,1,"SC vs YTD 00 (Revised)";#N/A,#N/A,1,"SGA (Elem) vs YTD 00";#N/A,#N/A,1,"SGA (BU) YTD vs YTD 00";#N/A,#N/A,1,"SC vs YTD Plan (Revised)";#N/A,#N/A,1,"SVC YTD Detail Mth vsPlan (Rev)";#N/A,#N/A,1,"SGA (Elem) vs YTD Plan";#N/A,#N/A,1,"SGA (BU) YTD vs Plan(Rev)";#N/A,#N/A,1,"CapExp";#N/A,#N/A,1,"EBITDA(Flash)";#N/A,#N/A,1,"NetInc(Flash)";#N/A,#N/A,1,"Gross Margin(Flash)";#N/A,#N/A,1,"Mth trends(Flash)";#N/A,#N/A,1,"HeadcountP01";#N/A,#N/A,1,"Headcount P00";#N/A,#N/A,1,"Inc. Statement";#N/A,#N/A,1,"Balance Sheet";#N/A,#N/A,1,"Cash Flow"}</definedName>
    <definedName name="Veneco" hidden="1" function="0" vbProcedure="0">{"one",#N/A,1,"Alaska";"two",#N/A,1,"Alaska";"three",#N/A,1,"Alaska";"four",#N/A,1,"Alaska"}</definedName>
    <definedName name="viajes" hidden="1" function="0" vbProcedure="0">{#N/A,#N/A,1,"RESUMEN ECON.";#N/A,#N/A,1,"Costos de R.H.";#N/A,#N/A,1,"COSTO HW";#N/A,#N/A,1,"CUADROS";#N/A,#N/A,1,"SCADA´s";#N/A,#N/A,1,"PRECIOS EQUIPOS"}</definedName>
    <definedName name="viajes2" hidden="1" function="0" vbProcedure="0">{#N/A,#N/A,1,"RESUMEN ECON.";#N/A,#N/A,1,"Costos de R.H.";#N/A,#N/A,1,"COSTO HW";#N/A,#N/A,1,"CUADROS";#N/A,#N/A,1,"SCADA´s";#N/A,#N/A,1,"PRECIOS EQUIPOS"}</definedName>
    <definedName name="vnbs" hidden="1" function="0" vbProcedure="0">{"FCB_ALL",#N/A,0,"FCB"}</definedName>
    <definedName name="vsr" hidden="1" function="0" vbProcedure="0">{"FCB_ALL",#N/A,0,"FCB"}</definedName>
    <definedName name="vvvv" hidden="1" function="0" vbProcedure="0">{#N/A,#N/A,0,"Cashflow Analysis";#N/A,#N/A,0,"Sensitivity Analysis";#N/A,#N/A,0,"PV";#N/A,#N/A,0,"Pro Forma"}</definedName>
    <definedName name="VVVV.2" hidden="1" function="0" vbProcedure="0">{#N/A,#N/A,0,"Cashflow Analysis";#N/A,#N/A,0,"Sensitivity Analysis";#N/A,#N/A,0,"PV";#N/A,#N/A,0,"Pro Forma"}</definedName>
    <definedName name="wafe" hidden="1" function="0" vbProcedure="0">{"summary1",#N/A,1,"Comps";"summary2",#N/A,1,"Comps";"summary3",#N/A,1,"Comps"}</definedName>
    <definedName name="wc" hidden="1" function="0" vbProcedure="0">{"Cover",#N/A,0,"Cover";"Summary",#N/A,0,"Summarpage";"Assumptions",#N/A,0,"Assumptions";"Earnings",#N/A,0,"Earnings";"CF Oper.",#N/A,0,"Earnings";"Balance Sheet",#N/A,0,"balance";"Cash Flow",#N/A,0,"cash flow";"Paper Production",#N/A,0,"Paper";"Paper Earnings",#N/A,0,"Paper";"Wood Production",#N/A,0,"Wood Products";"Wood Earnings",#N/A,0,"Wood Products";"Pulp Production",#N/A,0,"Pulp";"Pulp Earnings",#N/A,0,"Pulp"}</definedName>
    <definedName name="wc.3" hidden="1" function="0" vbProcedure="0">{"Cover",#N/A,0,"Cover";"Summary",#N/A,0,"Summarpage";"Assumptions",#N/A,0,"Assumptions";"Earnings",#N/A,0,"Earnings";"CF Oper.",#N/A,0,"Earnings";"Balance Sheet",#N/A,0,"balance";"Cash Flow",#N/A,0,"cash flow";"Paper Production",#N/A,0,"Paper";"Paper Earnings",#N/A,0,"Paper";"Wood Production",#N/A,0,"Wood Products";"Wood Earnings",#N/A,0,"Wood Products";"Pulp Production",#N/A,0,"Pulp";"Pulp Earnings",#N/A,0,"Pulp"}</definedName>
    <definedName name="WEA" hidden="1" function="0" vbProcedure="0">{1,1,-1.25,-15.5,604.5,369,0,0,1,1,0,1,#N/A,91,#N/A,20.5555555555556,24.8571428571429,1,0,0,3,1,1,0,80,"Swvu.summary3.","ACwvu.summary3.",#N/A,0,0,0.5,0.5,0.5,0.5,2,"&amp;F","&amp;A&amp;RPage &amp;P",1,0,0,0,1,50,#N/A,#N/A,"=R104C1:R153C31",0,#N/A,#N/A,0,0,1,1,600,600,0,0,1,1,1}</definedName>
    <definedName name="wefaf" hidden="1" function="0" vbProcedure="0">{1,1,-1.25,-15.5,604.5,369,0,0,1,1,0,1,#N/A,91,#N/A,20.5555555555556,24.8571428571429,1,0,0,3,1,1,0,80,"Swvu.summary3.","ACwvu.summary3.",#N/A,0,0,0.5,0.5,0.5,0.5,2,"&amp;F","&amp;A&amp;RPage &amp;P",1,0,0,0,1,50,#N/A,#N/A,"=R104C1:R153C31",0,#N/A,#N/A,0,0,1,1,600,600,0,0,1,1,1}</definedName>
    <definedName name="wefaff" hidden="1" function="0" vbProcedure="0">{#N/A,#N/A,0,"Assum";#N/A,#N/A,0,"IS";#N/A,#N/A,0,"Op-BS";#N/A,#N/A,0,"BSCF";#N/A,#N/A,0,"Brad_IS";#N/A,#N/A,0,"Brad_BSCF";#N/A,#N/A,0,"Nick_IS";#N/A,#N/A,0,"Nick_BSCF";#N/A,#N/A,0,"Mobile_IS";#N/A,#N/A,0,"Mobile_BSCF";#N/A,#N/A,0,"Syn+Elim";#N/A,#N/A,0,"Ratings"}</definedName>
    <definedName name="wekwn" hidden="1" function="0" vbProcedure="0">{"'Edit'!$A$1:$V$2277"}</definedName>
    <definedName name="welw" hidden="1" function="0" vbProcedure="0">{"'Edit'!$A$1:$V$2277"}</definedName>
    <definedName name="WEQQE" hidden="1" function="0" vbProcedure="0">{"summary1",#N/A,1,"Comps";"summary2",#N/A,1,"Comps";"summary3",#N/A,1,"Comps"}</definedName>
    <definedName name="wererer" hidden="1" function="0" vbProcedure="0">{"arpm1995",#N/A,0,"Summary 95-96";"bus_long_distance",#N/A,0,"Summary 95-96";"mins_per_day",#N/A,0,"Summary 95-96";"minutes1995",#N/A,0,"Summary 95-96";"rev_per_day",#N/A,0,"Summary 95-96";"view1995",#N/A,0,"Summary 95-96"}</definedName>
    <definedName name="wg" hidden="1" function="0" vbProcedure="0">{"ReportTop",#N/A,0,"report top"}</definedName>
    <definedName name="WHO" hidden="1" function="0" vbProcedure="0">{#N/A,#N/A,0,"SUMMARY";#N/A,#N/A,0,"DETAIL";#N/A,#N/A,0,"VARIANCE"}</definedName>
    <definedName name="wholesaleforecast" hidden="1" function="0" vbProcedure="0">{"SUM",#N/A,0,"Details (2)"}</definedName>
    <definedName name="WQE" hidden="1" function="0" vbProcedure="0">{1,1,-1.25,-15.5,604.5,369,0,0,1,1,0,1,#N/A,1,#N/A,20.5555555555556,28.9285714285714,1,0,0,3,1,1,0,80,"Swvu.summary1.","ACwvu.summary1.",#N/A,0,0,0.5,0.5,0.5,0.5,2,"&amp;F","&amp;L&amp;D&amp;C&amp;A&amp;RPage &amp;P",1,0,0,0,1,50,#N/A,#N/A,"=R1C1:R55C31",0,#N/A,#N/A,0,0,1,1,600,600,0,0,1,1,1}</definedName>
    <definedName name="wr" hidden="1" function="0" vbProcedure="0">{"Cashflow chart",#N/A,1,"A";"Rev Assumptions",#N/A,1,"B";"Rev Reconcilliation 1",#N/A,1,"B";"Rev Reconcilliation 2",#N/A,1,"B";"exp 1",#N/A,1,"C";"exp 2",#N/A,1,"C";"exp3",#N/A,1,"C";"cap 1",#N/A,1,"D";"exp4",#N/A,1,"C";"cap 2",#N/A,1,"D";"cap 3",#N/A,1,"D";"inputs",#N/A,1,"E"}</definedName>
    <definedName name="wrd.2._.pagers.3" hidden="1" function="0" vbProcedure="0">{"Cover",#N/A,0,"Cover";"Summary",#N/A,0,"Summarpage"}</definedName>
    <definedName name="wrd.2_.pagers.3" hidden="1" function="0" vbProcedure="0">{"Cover",#N/A,0,"Cover";"Summary",#N/A,0,"Summarpage"}</definedName>
    <definedName name="wrer" hidden="1" function="0" vbProcedure="0">{"arpm1995",#N/A,0,"Summary 95-96";"bus_long_distance",#N/A,0,"Summary 95-96";"mins_per_day",#N/A,0,"Summary 95-96";"minutes1995",#N/A,0,"Summary 95-96";"rev_per_day",#N/A,0,"Summary 95-96";"view1995",#N/A,0,"Summary 95-96"}</definedName>
    <definedName name="wrn" hidden="1" function="0" vbProcedure="0">{"FCB_ALL",#N/A,0,"FCB"}</definedName>
    <definedName name="wrn.123100._.Port._.Review." hidden="1" function="0" vbProcedure="0">{#N/A,#N/A,1,"Port Summary II";#N/A,#N/A,1,"II BV IRR";#N/A,#N/A,1,"II FV IRR";#N/A,#N/A,1,"JRI";#N/A,#N/A,1,"Weasler";#N/A,#N/A,1,"Stronghaven";#N/A,#N/A,1,"Connor";#N/A,#N/A,1,"HWC";#N/A,#N/A,1,"Temple";#N/A,#N/A,1,"Port Summary III";#N/A,#N/A,1,"III BV IRR";#N/A,#N/A,1,"III MV IRR";#N/A,#N/A,1,"Beacon";#N/A,#N/A,1,"CII";#N/A,#N/A,1,"MCA";#N/A,#N/A,1,"Elm";#N/A,#N/A,1,"Elm Memo";#N/A,#N/A,1,"Tharco";#N/A,#N/A,1,"Dee H";#N/A,#N/A,1,"DH Memo";#N/A,#N/A,1,"Hunt Valve";#N/A,#N/A,1,"KBA";#N/A,#N/A,1,"Glassmaster";#N/A,#N/A,1,"MLS";#N/A,#N/A,1,"CBSA";#N/A,#N/A,1,"ACE";#N/A,#N/A,1,"United Central";#N/A,#N/A,1,"Jakel";#N/A,#N/A,1,"Lake City ";#N/A,#N/A,1,"LCI Memo";#N/A,#N/A,1,"Port Summary IV";#N/A,#N/A,1,"IV BV IRR";#N/A,#N/A,1,"Western";#N/A,#N/A,1,"Kranson";#N/A,#N/A,1,"ARC";#N/A,#N/A,1,"Precise";#N/A,#N/A,1,"WNA"}</definedName>
    <definedName name="wrn.12_30._.Adv._.Book." hidden="1" function="0" vbProcedure="0">{#N/A,#N/A,1,"Fd II Bullets";#N/A,#N/A,1,"Fd II Cap. Position ";#N/A,#N/A,1,"FD II Portfolio Summary";#N/A,#N/A,1,"Fund II BV";#N/A,#N/A,1,"Fund II FV";#N/A,#N/A,1,"JRI";#N/A,#N/A,1,"Weasler";#N/A,#N/A,1,"NDS ";#N/A,#N/A,1,"J Chain";#N/A,#N/A,1,"Stronghaven";#N/A,#N/A,1,"Connor";#N/A,#N/A,1,"DSI";#N/A,#N/A,1,"HWC";#N/A,#N/A,1,"Temple";#N/A,#N/A,1,"F3 Bullets";#N/A,#N/A,1,"Fd III Cap. Position ";#N/A,#N/A,1,"FD III Port Summ";#N/A,#N/A,1,"Fund III BV";#N/A,#N/A,1,"Fund III MV";#N/A,#N/A,1,"Beacon";#N/A,#N/A,1,"CII";#N/A,#N/A,1,"MCA";#N/A,#N/A,1,"Elm";#N/A,#N/A,1,"Tharco";#N/A,#N/A,1,"Dee H";#N/A,#N/A,1,"Globe";#N/A,#N/A,1,"Hunt Valve";#N/A,#N/A,1,"KBA";#N/A,#N/A,1,"Glassmaster";#N/A,#N/A,1,"May";#N/A,#N/A,1,"CBSA";#N/A,#N/A,1,"ACE";#N/A,#N/A,1,"United Central";#N/A,#N/A,1,"Jakel";#N/A,#N/A,1,"Lake City ";#N/A,#N/A,1,"F4 Bullets ";#N/A,#N/A,1,"Fd IV Cap. Position  ";#N/A,#N/A,1,"FD IV Portfolio Summary ";#N/A,#N/A,1,"Fund IV BV";#N/A,#N/A,1,"Western";#N/A,#N/A,1,"Kranson"}</definedName>
    <definedName name="wrn.2._.pagers." hidden="1" function="0" vbProcedure="0">{"Cover",#N/A,0,"Cover";"Summary",#N/A,0,"Summarpage"}</definedName>
    <definedName name="wrn.2._.pagers.2" hidden="1" function="0" vbProcedure="0">{"Cover",#N/A,0,"Cover";"Summary",#N/A,0,"Summarpage"}</definedName>
    <definedName name="wrn.2._.pagers.3" hidden="1" function="0" vbProcedure="0">{"Cover",#N/A,0,"Cover";"Summary",#N/A,0,"Summarpage"}</definedName>
    <definedName name="wrn.2._.pagers.4" hidden="1" function="0" vbProcedure="0">{"Cover",#N/A,0,"Cover";"Summary",#N/A,0,"Summarpage"}</definedName>
    <definedName name="wrn.2._.pagers.5" hidden="1" function="0" vbProcedure="0">{"Cover",#N/A,0,"Cover";"Summary",#N/A,0,"Summarpage"}</definedName>
    <definedName name="wrn.2._.pagers.6" hidden="1" function="0" vbProcedure="0">{"Cover",#N/A,0,"Cover";"Summary",#N/A,0,"Summarpage"}</definedName>
    <definedName name="wrn.2._.pagers.8" hidden="1" function="0" vbProcedure="0">{"Cover",#N/A,0,"Cover";"Summary",#N/A,0,"Summarpage"}</definedName>
    <definedName name="wrn.2._pagers.4" hidden="1" function="0" vbProcedure="0">{"Cover",#N/A,0,"Cover";"Summary",#N/A,0,"Summarpage"}</definedName>
    <definedName name="wrn.3.00._.Adv.._.Board." hidden="1" function="0" vbProcedure="0">{#N/A,#N/A,1,"Fd II Inv. act.";#N/A,#N/A,1,"Fd II Cap. Position ";#N/A,#N/A,1,"FD II Portfolio Summary";#N/A,#N/A,1,"BV Valuation";#N/A,#N/A,1,"FV Valuation";#N/A,#N/A,1,"JRI";#N/A,#N/A,1,"Weasler";#N/A,#N/A,1,"NDS ";#N/A,#N/A,1,"Stronghaven";#N/A,#N/A,1,"Connor";#N/A,#N/A,1,"DSI";#N/A,#N/A,1,"HWC";#N/A,#N/A,1,"Temple";#N/A,#N/A,1,"Fd III Inv. act.";#N/A,#N/A,1,"Fd III Cap. Position ";#N/A,#N/A,1,"FD III Port Summ";#N/A,#N/A,1,"FD III BV";#N/A,#N/A,1,"FD III MV";#N/A,#N/A,1,"Beacon";#N/A,#N/A,1,"CII";#N/A,#N/A,1,"MCA";#N/A,#N/A,1,"Elm";#N/A,#N/A,1,"Tharco";#N/A,#N/A,1,"Dee H";#N/A,#N/A,1,"Globe";#N/A,#N/A,1,"Hunt Valve";#N/A,#N/A,1,"KBA";#N/A,#N/A,1,"Glassmaster";#N/A,#N/A,1,"MLS";#N/A,#N/A,1,"CBSA";#N/A,#N/A,1,"ACE";#N/A,#N/A,1,"United Central";#N/A,#N/A,1,"Jakel";#N/A,#N/A,1,"Lake City ";#N/A,#N/A,1,"Fd IV Inv. act.";#N/A,#N/A,1,"Fd IV Cap. Position  ";#N/A,#N/A,1,"FD IV Portfolio Summary ";#N/A,#N/A,1,"FD IV BV";#N/A,#N/A,1,"Western";#N/A,#N/A,1,"Kranson"}</definedName>
    <definedName name="wrn.3cases." hidden="1" function="0" vbProcedure="0">{#N/A,"Base",0,"Dividend";#N/A,"Conservative",0,"Dividend";#N/A,"Downside",0,"Dividend"}</definedName>
    <definedName name="wrn.5._.Year._.Plan." hidden="1" function="0" vbProcedure="0">{"Consolidated assumptions 1",#N/A,0,"CONSO";"Consolidated assumptions 2",#N/A,0,"CONSO";"Consolidated assumptions 3",#N/A,0,"CONSO";"Consolidated earnings",#N/A,0,"CONSO";"Consolidated Cash Flow",#N/A,0,"CONSO";"Consolidated Balance Sheet",#N/A,0,"CONSO";"Consolidated Cap-Ex",#N/A,0,"CONSO";"Paper Donnacona summary assumptions",#N/A,0,"PAPER DONNACONA";"Paper Donnacona earnings",#N/A,0,"PAPER DONNACONA";"Paper Donnacona Cash Flow",#N/A,0,"PAPER DONNACONA";"Paper Donnacona Balance Sheet",#N/A,0,"PAPER DONNACONA";"Paper Donnacona Cap-ex",#N/A,0,"PAPER DONNACONA";"Paper Dolbeau summary assumptions",#N/A,0,"PAPER DOLBEAU";"Paper Dolbeau earnings",#N/A,0,"PAPER DOLBEAU";"Paper Dolbeau Cash Flow",#N/A,0,"PAPER DOLBEAU";"Paper Dolbeau Balance Sheet",#N/A,0,"PAPER DOLBEAU";"Paper Dolbeau Cap-ex",#N/A,0,"PAPER DOLBEAU";"Lumber assumptions 1",#N/A,0,"LUMBER";"Lumber assumptions 2",#N/A,0,"LUMBER";"Lumber earnings",#N/A,0,"LUMBER";"Lumber Cash Flow",#N/A,0,"LUMBER";"Lumber Balance Sheet",#N/A,0,"LUMBER";"Lumber Cap-ex",#N/A,0,"LUMBER";"Coosa assumptions 1",#N/A,0,"COOSA";"Coosa assumptions 2",#N/A,0,"COOSA";"Coosa earnings",#N/A,0,"COOSA";"Coosa Cash Flow",#N/A,0,"COOSA";"Coosa Balance Sheet",#N/A,0,"COOSA";"Coosa Cap-ex",#N/A,0,"COOSA";"Head Office assumptions",#N/A,0,"H.OFFICE";"Head Office earnings",#N/A,0,"H.OFFICE";"Head Office Cash Flow",#N/A,0,"H.OFFICE";"Head Office Balance Sheet",#N/A,0,"H.OFFICE";"Head Office Cap-ex",#N/A,0,"H.OFFICE";"Tax 1",#N/A,0,"impôt";"Tax 2",#N/A,0,"impôt"}</definedName>
    <definedName name="wrn.9_30._.Adv._.Board." hidden="1" function="0" vbProcedure="0">{#N/A,#N/A,1,"Fd II Bullets";#N/A,#N/A,1,"Fd II Cap. Position ";#N/A,#N/A,1,"FD II Portfolio Summary";#N/A,#N/A,1,"BV Valuation ";#N/A,#N/A,1,"FV Valuation";#N/A,#N/A,1,"Valuation Change II";#N/A,#N/A,1,"Costumes";#N/A,#N/A,1,"DSI";#N/A,#N/A,1,"Temple";#N/A,#N/A,1,"Temple Value";#N/A,#N/A,1,"JRI";#N/A,#N/A,1,"Weasler";#N/A,#N/A,1,"NDS ";#N/A,#N/A,1,"J Chain";#N/A,#N/A,1,"Stronghaven";#N/A,#N/A,1,"Connor";#N/A,#N/A,1,"HWC";#N/A,#N/A,1,"F3 Bullets";#N/A,#N/A,1,"Fd III Cap. Position  ";#N/A,#N/A,1,"FD III Port Summ";#N/A,#N/A,1,"BV Valuation";#N/A,#N/A,1,"MV Valuation";#N/A,#N/A,1,"Valuation Change III";#N/A,#N/A,1,"Beacon";#N/A,#N/A,1,"Beacon Value";#N/A,#N/A,1,"Tharco";#N/A,#N/A,1,"Tharco Value";#N/A,#N/A,1,"Dee H";#N/A,#N/A,1,"Dee H Value";#N/A,#N/A,1,"Globe";#N/A,#N/A,1,"Globe Value";#N/A,#N/A,1,"CII";#N/A,#N/A,1,"MCA";#N/A,#N/A,1,"Elm";#N/A,#N/A,1,"Hunt Valve";#N/A,#N/A,1,"Hund 2";#N/A,#N/A,1,"KBA";#N/A,#N/A,1,"Glassmaster";#N/A,#N/A,1,"May";#N/A,#N/A,1,"CBSA";#N/A,#N/A,1,"ACE";#N/A,#N/A,1,"United Central";#N/A,#N/A,1,"Jakel";#N/A,#N/A,1,"Lake City ";#N/A,#N/A,1,"F4 Bullets ";#N/A,#N/A,1,"Fd IV Cap. Position  ";#N/A,#N/A,1,"FD IV Portfolio Summary ";#N/A,#N/A,1,"BV Valuation IV ";#N/A,#N/A,1,"Western"}</definedName>
    <definedName name="wrn.9_30._.LP._.Meeting." hidden="1" function="0" vbProcedure="0">{#N/A,#N/A,1,"Fund II Graph";#N/A,#N/A,1,"Fd II Cap. Position ";#N/A,#N/A,1,"Fd II Inv. act.";#N/A,#N/A,1,"FD II Portfolio Summary";#N/A,#N/A,1,"BV Valuation II";#N/A,#N/A,1,"FV Valuation II";#N/A,#N/A,1,"Fund II Per.";#N/A,#N/A,1,"Valuation Change II";#N/A,#N/A,1,"JRI";#N/A,#N/A,1,"Weasler";#N/A,#N/A,1,"Return Analysis";#N/A,#N/A,1,"NDS Return";#N/A,#N/A,1,"NDS";#N/A,#N/A,1,"Stronghaven";#N/A,#N/A,1,"Connor";#N/A,#N/A,1,"HWC";#N/A,#N/A,1,"Temple";#N/A,#N/A,1,"Fund III Graph";#N/A,#N/A,1,"Fd III Cap. Position ";#N/A,#N/A,1,"Add-ons";#N/A,#N/A,1,"Fd III Inv. act.";#N/A,#N/A,1,"FD III Port Summ";#N/A,#N/A,1,"BV Valuation III";#N/A,#N/A,1,"MV Valuation III";#N/A,#N/A,1,"Fund III Per.";#N/A,#N/A,1,"Valuation Change III";#N/A,#N/A,1,"Beacon";#N/A,#N/A,1,"CII";#N/A,#N/A,1,"MCA";#N/A,#N/A,1,"Elm";#N/A,#N/A,1,"Tharco";#N/A,#N/A,1,"Tharco Write-up";#N/A,#N/A,1,"Dee H";#N/A,#N/A,1,"Dee H. Memo";#N/A,#N/A,1,"Globe";#N/A,#N/A,1,"Hunt Valve";#N/A,#N/A,1,"KBA";#N/A,#N/A,1,"Glassmaster";#N/A,#N/A,1,"MLS";#N/A,#N/A,1,"CBSA";#N/A,#N/A,1,"ACE";#N/A,#N/A,1,"United Central";#N/A,#N/A,1,"Jakel";#N/A,#N/A,1,"Lake City ";#N/A,#N/A,1,"LCF Com.";#N/A,#N/A,1,"Fund IV Graph";#N/A,#N/A,1,"Fd IV Cap. Position  ";#N/A,#N/A,1,"Fd IV Inv. act.";#N/A,#N/A,1,"FD IV Portfolio Summary ";#N/A,#N/A,1,"BV Valuation";#N/A,#N/A,1,"Fund IV Per.";#N/A,#N/A,1,"Western";#N/A,#N/A,1,"Kranson";#N/A,#N/A,1,"ARC";#N/A,#N/A,1,"Precise";#N/A,#N/A,1,"WNA"}</definedName>
    <definedName name="wrn.abc" hidden="1" function="0" vbProcedure="0">{#N/A,#N/A,0,"Index";#N/A,#N/A,0,"IncStmt";#N/A,#N/A,0,"Ratios";#N/A,#N/A,0,"CashFlows";#N/A,#N/A,0,"Ins1";#N/A,#N/A,0,"Ins2";#N/A,#N/A,0,"SelfFund";#N/A,#N/A,0,"SGA";#N/A,#N/A,0,"Recon";#N/A,#N/A,0,"Earnings";#N/A,#N/A,0,"Earnings (2)";#N/A,#N/A,0,"Stock";#N/A,#N/A,0,"Stock (2)";#N/A,#N/A,0,"PeerRatios";#N/A,#N/A,0,"PeerRanks"}</definedName>
    <definedName name="wrn.Accounts." hidden="1" function="0" vbProcedure="0">{"turnover",#N/A,0;"profits",#N/A,0;"cash",#N/A,0}</definedName>
    <definedName name="wrn.Accretion." hidden="1" function="0" vbProcedure="0">{"Accretion",#N/A,0,"Assum"}</definedName>
    <definedName name="wrn.Accr_Dil." hidden="1" function="0" vbProcedure="0">{#N/A,#N/A,0,"Debt Accr";#N/A,#N/A,0,"Stock Accr";#N/A,#N/A,0,"Debt Stock Accr"}</definedName>
    <definedName name="wrn.ACI." hidden="1" function="0" vbProcedure="0">{"ACI IS",#N/A,0,"ACI - IS";"ACI BS",#N/A,0,"ACI - BS";"ACI Detail IS",#N/A,0,"ACI - Detail IS";"ACI Detail IS Supplemental Info",#N/A,0,"ACI - Detail IS";"ACI Monthly 1999",#N/A,0,"ACI Monthly";"ACI Monthly 1998",#N/A,0,"ACI Monthly";"ACI Monthly 1997",#N/A,0,"ACI Monthly"}</definedName>
    <definedName name="wrn.AcqState." hidden="1" function="0" vbProcedure="0">{#N/A,#N/A,1,"Acq-Ass";#N/A,#N/A,1,"Acq-IS";#N/A,#N/A,1,"Acq-BS";#N/A,#N/A,1,"Acq-CF"}</definedName>
    <definedName name="wrn.AcqState1" hidden="1" function="0" vbProcedure="0">{#N/A,#N/A,1,"Acq-Ass";#N/A,#N/A,1,"Acq-IS";#N/A,#N/A,1,"Acq-BS";#N/A,#N/A,1,"Acq-CF"}</definedName>
    <definedName name="wrn.Acquiror." hidden="1" function="0" vbProcedure="0">{#N/A,#N/A,1,"Acq-Ass";#N/A,#N/A,1,"Acq-IS";#N/A,#N/A,1,"Acq-BS";#N/A,#N/A,1,"Acq-CF";#N/A,#N/A,1,"Acq-Proj";#N/A,#N/A,1,"Acq-CapEx";#N/A,#N/A,1,"Acq-Debt";#N/A,#N/A,1,"Acq-Int";#N/A,#N/A,1,"Acq-BD";#N/A,#N/A,1,"Acq-TD";#N/A,#N/A,1,"Acq-Taxes";#N/A,#N/A,1,"Acq-Credit";#N/A,#N/A,1,"Acq-Val";#N/A,#N/A,1,"Acq-Mult Val"}</definedName>
    <definedName name="wrn.Acquisition_matrix." hidden="1" function="0" vbProcedure="0">{"Acq_matrix",#N/A,0,"Acquisition Matrix"}</definedName>
    <definedName name="wrn.AcqVal." hidden="1" function="0" vbProcedure="0">{#N/A,#N/A,0,"Acq-Val";#N/A,#N/A,0,"Acq-Mult Val"}</definedName>
    <definedName name="wrn.adj95." hidden="1" function="0" vbProcedure="0">{"adj95mult",#N/A,0,"COMPCO";"adj95est",#N/A,0,"COMPCO"}</definedName>
    <definedName name="wrn.adj95a" hidden="1" function="0" vbProcedure="0">{"adj95mult",#N/A,0,"COMPCO";"adj95est",#N/A,0,"COMPCO"}</definedName>
    <definedName name="wrn.AGING._.ALL." hidden="1" function="0" vbProcedure="0">{#N/A,#N/A,0,"CURR-AG";#N/A,#N/A,0,"BDS-AG";#N/A,#N/A,0,"GOLD-AG";#N/A,#N/A,0,"EXOT-AG";#N/A,#N/A,0,"EQTY-AG";#N/A,#N/A,0,"EMG RP-AG";#N/A,#N/A,0,"$REPO-AG";#N/A,#N/A,0,"PFD EQTY-AG";#N/A,#N/A,0,"EMG BDS-AG";#N/A,#N/A,0,"LATIN$-AG";#N/A,#N/A,0,"DERIV-AG";#N/A,#N/A,0,"EAST$-AG";#N/A,#N/A,0,"NON-MEX-AG";#N/A,#N/A,0,"ELECT-AG"}</definedName>
    <definedName name="wrn.Aging._.and._.Trend._.Analysis." hidden="1" function="0" vbProcedure="0">{#N/A,#N/A,0,"Aging Summary";#N/A,#N/A,0,"Ratio Analysis";#N/A,#N/A,0,"Test 120 Day Accts";#N/A,#N/A,0,"Tickmarks"}</definedName>
    <definedName name="wrn.Aging._.and._.Trend._.Analysis._1" hidden="1" function="0" vbProcedure="0">{#N/A,#N/A,0,"Aging Summary";#N/A,#N/A,0,"Ratio Analysis";#N/A,#N/A,0,"Test 120 Day Accts";#N/A,#N/A,0,"Tickmarks"}</definedName>
    <definedName name="wrn.Aging._.and._.Trend._.Analysis._1_1" hidden="1" function="0" vbProcedure="0">{#N/A,#N/A,0,"Aging Summary";#N/A,#N/A,0,"Ratio Analysis";#N/A,#N/A,0,"Test 120 Day Accts";#N/A,#N/A,0,"Tickmarks"}</definedName>
    <definedName name="wrn.Aging._.and._.Trend._.Analysis._1_2" hidden="1" function="0" vbProcedure="0">{#N/A,#N/A,0,"Aging Summary";#N/A,#N/A,0,"Ratio Analysis";#N/A,#N/A,0,"Test 120 Day Accts";#N/A,#N/A,0,"Tickmarks"}</definedName>
    <definedName name="wrn.Aging._.and._.Trend._.Analysis._1_3" hidden="1" function="0" vbProcedure="0">{#N/A,#N/A,0,"Aging Summary";#N/A,#N/A,0,"Ratio Analysis";#N/A,#N/A,0,"Test 120 Day Accts";#N/A,#N/A,0,"Tickmarks"}</definedName>
    <definedName name="wrn.Aging._.and._.Trend._.Analysis._1_4" hidden="1" function="0" vbProcedure="0">{#N/A,#N/A,0,"Aging Summary";#N/A,#N/A,0,"Ratio Analysis";#N/A,#N/A,0,"Test 120 Day Accts";#N/A,#N/A,0,"Tickmarks"}</definedName>
    <definedName name="wrn.Aging._.and._.Trend._.Analysis._2" hidden="1" function="0" vbProcedure="0">{#N/A,#N/A,0,"Aging Summary";#N/A,#N/A,0,"Ratio Analysis";#N/A,#N/A,0,"Test 120 Day Accts";#N/A,#N/A,0,"Tickmarks"}</definedName>
    <definedName name="wrn.Aging._.and._.Trend._.Analysis._3" hidden="1" function="0" vbProcedure="0">{#N/A,#N/A,0,"Aging Summary";#N/A,#N/A,0,"Ratio Analysis";#N/A,#N/A,0,"Test 120 Day Accts";#N/A,#N/A,0,"Tickmarks"}</definedName>
    <definedName name="wrn.Aging._.and._.Trend._.Analysis._4" hidden="1" function="0" vbProcedure="0">{#N/A,#N/A,0,"Aging Summary";#N/A,#N/A,0,"Ratio Analysis";#N/A,#N/A,0,"Test 120 Day Accts";#N/A,#N/A,0,"Tickmarks"}</definedName>
    <definedName name="wrn.Aging._.and._.Trend._.Analysis._5" hidden="1" function="0" vbProcedure="0">{#N/A,#N/A,0,"Aging Summary";#N/A,#N/A,0,"Ratio Analysis";#N/A,#N/A,0,"Test 120 Day Accts";#N/A,#N/A,0,"Tickmarks"}</definedName>
    <definedName name="wrn.Alex." hidden="1" function="0" vbProcedure="0">{#N/A,#N/A,0,"TradeSumm";#N/A,#N/A,0,"StatsSumm"}</definedName>
    <definedName name="wrn.all." hidden="1" function="0" vbProcedure="0">{#N/A,#N/A,0,"Brad BANM_S";#N/A,#N/A,0,"Brad SAM_BANM";#N/A,#N/A,0,"Brad_LD";#N/A,#N/A,0,"BANM-&gt;S";#N/A,#N/A,0,"BANM_S";#N/A,#N/A,0,"S-&gt;BANM";#N/A,#N/A,0,"SAM_BANM";#N/A,#N/A,0,"BANM";#N/A,#N/A,0,"Sam"}</definedName>
    <definedName name="wrn.all.views.1" hidden="1" function="0" vbProcedure="0">{#N/A,#N/A,0,"Summary";#N/A,#N/A,0,"Signatures";#N/A,#N/A,0,"FL Current";#N/A,#N/A,0,"Assumptions";#N/A,#N/A,0,"Assumptions";#N/A,#N/A,0,"Assumptions";#N/A,#N/A,0,"FL Last";#N/A,#N/A,0,"FL Orig";#N/A,#N/A,0,"C to G Explain"}</definedName>
    <definedName name="wrn.all.views.1a" hidden="1" function="0" vbProcedure="0">{#N/A,#N/A,0,"Summary";#N/A,#N/A,0,"Signatures";#N/A,#N/A,0,"FL Current";#N/A,#N/A,0,"Assumptions";#N/A,#N/A,0,"Assumptions";#N/A,#N/A,0,"Assumptions";#N/A,#N/A,0,"FL Last";#N/A,#N/A,0,"FL Orig";#N/A,#N/A,0,"C to G Explain"}</definedName>
    <definedName name="wrn.All._.Financials." hidden="1" function="0" vbProcedure="0">{#N/A,#N/A,1,"Assumptions";#N/A,#N/A,1,"Op Projection";#N/A,#N/A,1,"Capital";#N/A,#N/A,1,"Income";#N/A,#N/A,1,"Balance";#N/A,#N/A,1,"Sources&amp;Uses"}</definedName>
    <definedName name="wrn.all._.graphs." hidden="1" function="0" vbProcedure="0">{#N/A,#N/A,0,"total telco cost ";#N/A,#N/A,0,"# min per month EEA";#N/A,#N/A,0,"# min per month LSA";#N/A,#N/A,0,"# min per month 800";#N/A,#N/A,0,"# min per month WATS";#N/A,#N/A,0,"# min per month X-BORDER";#N/A,#N/A,0,"# min per month Intl";#N/A,#N/A,0,"mthly revenue";#N/A,#N/A,0,"total telco cost as % of rev";#N/A,#N/A,0,"res per bus revenue min split";#N/A,#N/A,0,"# DALS";#N/A,#N/A,0,"% of total min by axs type";#N/A,#N/A,0,"telco cost per rev minute";#N/A,#N/A,0,"rev per rev minute";#N/A,#N/A,0,"contribution per minute"}</definedName>
    <definedName name="wrn.all._.gulp._.sheets." hidden="1" function="0" vbProcedure="0">{#N/A,#N/A,0,"units";#N/A,#N/A,0,"projections";#N/A,#N/A,0,"calendar";#N/A,#N/A,0,"gulp shares";#N/A,#N/A,0,"gulp comp";#N/A,#N/A,0,"gulp-acq";#N/A,#N/A,0,"gulp dcf";#N/A,#N/A,0,"gulp wacc";#N/A,#N/A,0,"acc_dil";#N/A,#N/A,0,"gulp summary";#N/A,#N/A,0,"snooze";#N/A,#N/A,0,"combined";#N/A,#N/A,0,"valuation";#N/A,#N/A,0,"PurchPriMult";#N/A,#N/A,0,"Trans-Sum";#N/A,#N/A,0,"Net Debt";#N/A,#N/A,0,"fees"}</definedName>
    <definedName name="wrn.all._.input." hidden="1" function="0" vbProcedure="0">{"basic esc rates",#N/A,0,"Basic data";"basic units on",#N/A,0,"Basic data";"basic capacity",#N/A,0,"Basic data";"basic cap factor",#N/A,0,"Basic data";"basic heat rates",#N/A,0,"Basic data";"basic generation",#N/A,0,"Basic data";"basic price",#N/A,0,"Basic data";"basic rev mp",#N/A,0,"Basic data";"basic rev cos",#N/A,0,"Basic data";"basic fuel cost",#N/A,0,"Basic data";"basic o_m",#N/A,0,"Basic data";"basic nox o_m",#N/A,0,"Basic data";"basic env o_m",#N/A,0,"Basic data";"basic corp oh",#N/A,0,"Basic data";"basic oil inv",#N/A,0,"Basic data";"basic prop tax",#N/A,0,"Basic data";"basic summary costs",#N/A,0,"Basic data";"basic gross book value",#N/A,0,"Basic data";"basic cap add",#N/A,0,"Basic data";"basic nox cap add",#N/A,0,"Basic data";"basic other env cap add",#N/A,0,"Basic data";"basic deprec",#N/A,0,"Basic data";"basic decom",#N/A,0,"Basic data";"basic rate base",#N/A,0,"Basic data";"basic summary book value",#N/A,0,"Basic data"}</definedName>
    <definedName name="wrn.All._.Pages." hidden="1" function="0" vbProcedure="0">{"income statement",#N/A,0,"P&amp;L";"Balance Sheet",#N/A,0,"BS";"Cash Flow",#N/A,0,"CF";"Debt and Interest",#N/A,0,"Debt &amp; Int";"Working Capital",#N/A,0,"Wking Cap";"Capex and Depreciation",#N/A,0,"Capex &amp; Depr";"Tax and Equity",#N/A,0,"Tax &amp; Equity";"DCF",#N/A,0,"DCF";"Sensitivity on Discount Rate",#N/A,0,"Sensit-Rate";"WACC",#N/A,0,"WACC";"Sensitivity on Sales Growth",#N/A,0,"Sensit-Sales"}</definedName>
    <definedName name="wrn.All._.Sheets." hidden="1" function="0" vbProcedure="0">{#N/A,#N/A,0,"6405";#N/A,#N/A,0,"6406";#N/A,#N/A,0,"6409";#N/A,#N/A,0,"6425";#N/A,#N/A,0,"6426";#N/A,#N/A,0,"6427";#N/A,#N/A,0,"6440";#N/A,#N/A,0,"6441";#N/A,#N/A,0,"6442";#N/A,#N/A,0,"6443"}</definedName>
    <definedName name="wrn.All._.Stock_10_12_14." hidden="1" function="0" vbProcedure="0">{"Has Gets","$10, All Stock, Purchase",0,"Has Gets";"Has Gets","$10, All Stock, Pooling",0,"Has Gets";"Has Gets","$12, All Stock, Purchase",0,"Has Gets";"Has Gets","$12, All Stock, Pooling",0,"Has Gets";"Has Gets","$14, All Stock, Purchase",0,"Has Gets";"Has Gets","$14, All Stock, Pooling",0,"Has Gets"}</definedName>
    <definedName name="wrn.All._.Views." hidden="1" function="0" vbProcedure="0">{#N/A,#N/A,0,"Summary";#N/A,#N/A,0,"Signatures";#N/A,#N/A,0,"FL Current";#N/A,#N/A,0,"Assumptions";#N/A,#N/A,0,"Assumptions";#N/A,#N/A,0,"Assumptions";#N/A,#N/A,0,"FL Last";#N/A,#N/A,0,"FL Orig";#N/A,#N/A,0,"C to G Explain"}</definedName>
    <definedName name="wrn.All._1" hidden="1" function="0" vbProcedure="0">{#N/A,#N/A,0,"Cover Sheet";#N/A,#N/A,0,"Instructions";#N/A,#N/A,0,"Exchange Rates";#N/A,#N/A,0,"Cash Detail";#N/A,#N/A,0,"Receivables Detail";#N/A,#N/A,0,"Inventory Detail";#N/A,#N/A,0,"Accrued Tax Detail";#N/A,#N/A,0,"Income Statement";#N/A,#N/A,0,"Balance Sheet";#N/A,#N/A,0,"Cash Flow";#N/A,#N/A,0,"Investment";#N/A,#N/A,0,"Summary"}</definedName>
    <definedName name="wrn.All._1_1" hidden="1" function="0" vbProcedure="0">{#N/A,#N/A,0,"Cover Sheet";#N/A,#N/A,0,"Instructions";#N/A,#N/A,0,"Exchange Rates";#N/A,#N/A,0,"Cash Detail";#N/A,#N/A,0,"Receivables Detail";#N/A,#N/A,0,"Inventory Detail";#N/A,#N/A,0,"Accrued Tax Detail";#N/A,#N/A,0,"Income Statement";#N/A,#N/A,0,"Balance Sheet";#N/A,#N/A,0,"Cash Flow";#N/A,#N/A,0,"Investment";#N/A,#N/A,0,"Summary"}</definedName>
    <definedName name="wrn.All._1_2" hidden="1" function="0" vbProcedure="0">{#N/A,#N/A,0,"Cover Sheet";#N/A,#N/A,0,"Instructions";#N/A,#N/A,0,"Exchange Rates";#N/A,#N/A,0,"Cash Detail";#N/A,#N/A,0,"Receivables Detail";#N/A,#N/A,0,"Inventory Detail";#N/A,#N/A,0,"Accrued Tax Detail";#N/A,#N/A,0,"Income Statement";#N/A,#N/A,0,"Balance Sheet";#N/A,#N/A,0,"Cash Flow";#N/A,#N/A,0,"Investment";#N/A,#N/A,0,"Summary"}</definedName>
    <definedName name="wrn.All._1_3" hidden="1" function="0" vbProcedure="0">{#N/A,#N/A,0,"Cover Sheet";#N/A,#N/A,0,"Instructions";#N/A,#N/A,0,"Exchange Rates";#N/A,#N/A,0,"Cash Detail";#N/A,#N/A,0,"Receivables Detail";#N/A,#N/A,0,"Inventory Detail";#N/A,#N/A,0,"Accrued Tax Detail";#N/A,#N/A,0,"Income Statement";#N/A,#N/A,0,"Balance Sheet";#N/A,#N/A,0,"Cash Flow";#N/A,#N/A,0,"Investment";#N/A,#N/A,0,"Summary"}</definedName>
    <definedName name="wrn.All._1_4" hidden="1" function="0" vbProcedure="0">{#N/A,#N/A,0,"Cover Sheet";#N/A,#N/A,0,"Instructions";#N/A,#N/A,0,"Exchange Rates";#N/A,#N/A,0,"Cash Detail";#N/A,#N/A,0,"Receivables Detail";#N/A,#N/A,0,"Inventory Detail";#N/A,#N/A,0,"Accrued Tax Detail";#N/A,#N/A,0,"Income Statement";#N/A,#N/A,0,"Balance Sheet";#N/A,#N/A,0,"Cash Flow";#N/A,#N/A,0,"Investment";#N/A,#N/A,0,"Summary"}</definedName>
    <definedName name="wrn.All._2" hidden="1" function="0" vbProcedure="0">{#N/A,#N/A,0,"Cover Sheet";#N/A,#N/A,0,"Instructions";#N/A,#N/A,0,"Exchange Rates";#N/A,#N/A,0,"Cash Detail";#N/A,#N/A,0,"Receivables Detail";#N/A,#N/A,0,"Inventory Detail";#N/A,#N/A,0,"Accrued Tax Detail";#N/A,#N/A,0,"Income Statement";#N/A,#N/A,0,"Balance Sheet";#N/A,#N/A,0,"Cash Flow";#N/A,#N/A,0,"Investment";#N/A,#N/A,0,"Summary"}</definedName>
    <definedName name="wrn.All._3" hidden="1" function="0" vbProcedure="0">{#N/A,#N/A,0,"Cover Sheet";#N/A,#N/A,0,"Instructions";#N/A,#N/A,0,"Exchange Rates";#N/A,#N/A,0,"Cash Detail";#N/A,#N/A,0,"Receivables Detail";#N/A,#N/A,0,"Inventory Detail";#N/A,#N/A,0,"Accrued Tax Detail";#N/A,#N/A,0,"Income Statement";#N/A,#N/A,0,"Balance Sheet";#N/A,#N/A,0,"Cash Flow";#N/A,#N/A,0,"Investment";#N/A,#N/A,0,"Summary"}</definedName>
    <definedName name="wrn.All._4" hidden="1" function="0" vbProcedure="0">{#N/A,#N/A,0,"Cover Sheet";#N/A,#N/A,0,"Instructions";#N/A,#N/A,0,"Exchange Rates";#N/A,#N/A,0,"Cash Detail";#N/A,#N/A,0,"Receivables Detail";#N/A,#N/A,0,"Inventory Detail";#N/A,#N/A,0,"Accrued Tax Detail";#N/A,#N/A,0,"Income Statement";#N/A,#N/A,0,"Balance Sheet";#N/A,#N/A,0,"Cash Flow";#N/A,#N/A,0,"Investment";#N/A,#N/A,0,"Summary"}</definedName>
    <definedName name="wrn.All._5" hidden="1" function="0" vbProcedure="0">{#N/A,#N/A,0,"Cover Sheet";#N/A,#N/A,0,"Instructions";#N/A,#N/A,0,"Exchange Rates";#N/A,#N/A,0,"Cash Detail";#N/A,#N/A,0,"Receivables Detail";#N/A,#N/A,0,"Inventory Detail";#N/A,#N/A,0,"Accrued Tax Detail";#N/A,#N/A,0,"Income Statement";#N/A,#N/A,0,"Balance Sheet";#N/A,#N/A,0,"Cash Flow";#N/A,#N/A,0,"Investment";#N/A,#N/A,0,"Summary"}</definedName>
    <definedName name="wrn.ALL4" hidden="1" function="0" vbProcedure="0">{#N/A,#N/A,0,"ASSUMPTIONS";#N/A,#N/A,0,"Valuation Summary";"page1",#N/A,0,"PRESENTATION";"page2",#N/A,0,"PRESENTATION";#N/A,#N/A,0,"ORIGINAL_ROLLBACK"}</definedName>
    <definedName name="wrn.ALL5" hidden="1" function="0" vbProcedure="0">{#N/A,#N/A,0,"ASSUMPTIONS";#N/A,#N/A,0,"Valuation Summary";"page1",#N/A,0,"PRESENTATION";"page2",#N/A,0,"PRESENTATION";#N/A,#N/A,0,"ORIGINAL_ROLLBACK"}</definedName>
    <definedName name="wrn.ALL6" hidden="1" function="0" vbProcedure="0">{#N/A,#N/A,0,"ASSUMPTIONS";#N/A,#N/A,0,"Valuation Summary";"page1",#N/A,0,"PRESENTATION";"page2",#N/A,0,"PRESENTATION";#N/A,#N/A,0,"ORIGINAL_ROLLBACK"}</definedName>
    <definedName name="wrn.ALL8" hidden="1" function="0" vbProcedure="0">{#N/A,#N/A,0,"ASSUMPTIONS";#N/A,#N/A,0,"Valuation Summary";"page1",#N/A,0,"PRESENTATION";"page2",#N/A,0,"PRESENTATION";#N/A,#N/A,0,"ORIGINAL_ROLLBACK"}</definedName>
    <definedName name="wrn.ALLbutPREMIUM." hidden="1" function="0" vbProcedure="0">{#N/A,#N/A,0,"Projections";#N/A,#N/A,0,"AccrDil";#N/A,#N/A,0,"PurchPriMult";#N/A,#N/A,0,"Mults7_13";#N/A,#N/A,0,"Mkt Mults";#N/A,#N/A,0,"Acq Mults";#N/A,#N/A,0,"StockPrices";#N/A,#N/A,0,"Prem Paid";#N/A,#N/A,0,"DCF";#N/A,#N/A,0,"AUTO";#N/A,#N/A,0,"Relative Trading";#N/A,#N/A,0,"Mkt Val";#N/A,#N/A,0,"Acq Val"}</definedName>
    <definedName name="wrn.AllModels." hidden="1" function="0" vbProcedure="0">{#N/A,#N/A,0,"AD_Purchase";#N/A,#N/A,0,"Credit";#N/A,#N/A,0,"PF Acquisition";#N/A,#N/A,0,"PF Offering"}</definedName>
    <definedName name="wrn.all_1" hidden="1" function="0" vbProcedure="0">{#N/A,#N/A,0,"total telco cost ";#N/A,#N/A,0,"# min per month EEA";#N/A,#N/A,0,"# min per month LSA";#N/A,#N/A,0,"# min per month 800";#N/A,#N/A,0,"# min per month WATS";#N/A,#N/A,0,"# min per month X-BORDER";#N/A,#N/A,0,"# min per month Intl";#N/A,#N/A,0,"mthly revenue";#N/A,#N/A,0,"total telco cost as % of rev";#N/A,#N/A,0,"res per bus revenue min split";#N/A,#N/A,0,"# DALS";#N/A,#N/A,0,"% of total min by axs type";#N/A,#N/A,0,"telco cost per rev minute";#N/A,#N/A,0,"rev per rev minute";#N/A,#N/A,0,"contribution per minute"}</definedName>
    <definedName name="wrn.All_Models." hidden="1" function="0" vbProcedure="0">{#N/A,#N/A,0,"Summary";#N/A,#N/A,0,"Projections";#N/A,#N/A,0,"Mkt Mults";#N/A,#N/A,0,"DCF";#N/A,#N/A,0,"Accr Dil";#N/A,#N/A,0,"PIC LBO";#N/A,#N/A,0,"MULT10_4";#N/A,#N/A,0,"CBI LBO"}</definedName>
    <definedName name="wrn.All_Sheets." hidden="1" function="0" vbProcedure="0">{#N/A,#N/A,0,"Projections";#N/A,#N/A,0,"Contribution_Stock";#N/A,#N/A,0,"PF_Combo_Stock";#N/A,#N/A,0,"Projections";#N/A,#N/A,0,"Contribution_Cash";#N/A,#N/A,0,"PF_Combo_Cash";#N/A,#N/A,0,"IPO_Cash"}</definedName>
    <definedName name="wrn.Anteilig._.alle._.Perioden." hidden="1" function="0" vbProcedure="0">{"Alle Perioden",#N/A,0,"Erf";"Alle Perioden",#N/A,0,"Ang";"Alle Perioden",#N/A,0,"BV";"Alle Perioden",#N/A,0,"BE";"Alle Perioden",#N/A,0,"Re";"Alle Perioden",#N/A,0,"Vol"}</definedName>
    <definedName name="wrn.Anteilig._.erste._.elf._.Perioden." hidden="1" function="0" vbProcedure="0">{"Erste elf Perioden",#N/A,0,"Erf";"Erste elf Perioden",#N/A,0,"Ang";"Erste elf Perioden",#N/A,0,"BV";"Erste elf Perioden",#N/A,0,"BE";"Erste elf Perioden",#N/A,0,"Vol";"Erste elf Perioden",#N/A,0,"Re"}</definedName>
    <definedName name="wrn.AQUIROR._.DCF." hidden="1" function="0" vbProcedure="0">{"AQUIRORDCF",#N/A,0,"Merger consequences";"Acquirorassns",#N/A,0,"Merger consequences"}</definedName>
    <definedName name="wrn.AR._.PACKAGE." hidden="1" function="0" vbProcedure="0">{#N/A,#N/A,0,"BR-Gross";#N/A,#N/A,0,"AGING COMP";#N/A,#N/A,0,"BR-Net";#N/A,#N/A,0,"RECSUB";#N/A,#N/A,0,"BILL94";#N/A,#N/A,0,"L.D.S. Rep 1"}</definedName>
    <definedName name="wrn.Asia._.Total._.Variance." hidden="1" function="0" vbProcedure="0">{#N/A,#N/A,0,"Asia"}</definedName>
    <definedName name="wrn.Assumptions." hidden="1" function="0" vbProcedure="0">{"Assumptions",#N/A,0,"Assum"}</definedName>
    <definedName name="wrn.Auto._.Comp." hidden="1" function="0" vbProcedure="0">{#N/A,#N/A,0,"Sheet1"}</definedName>
    <definedName name="wrn.A_VALUATION." hidden="1" function="0" vbProcedure="0">{#N/A,#N/A,0,"A_D";#N/A,#N/A,0,"WACC";#N/A,#N/A,0,"DCF";#N/A,#N/A,0,"A";#N/A,#N/A,0,"LBO";#N/A,#N/A,0,"C";#N/A,#N/A,0,"impd";#N/A,#N/A,0,"comps"}</definedName>
    <definedName name="wrn.Backup." hidden="1" function="0" vbProcedure="0">{#N/A,#N/A,0,"Balance";#N/A,#N/A,0,"TDFX";#N/A,#N/A,0,"TDDDF";#N/A,#N/A,0,"ADI";#N/A,#N/A,0,"CUBE";#N/A,#N/A,0,"DIMD";#N/A,#N/A,0,"ZRAN";#N/A,#N/A,0,"GNMC"}</definedName>
    <definedName name="wrn.Balance._.Sheets." hidden="1" function="0" vbProcedure="0">{#N/A,#N/A,0,"Bal sht";"Qtrly Bal Sht",#N/A,0,"Bal sht - QTR"}</definedName>
    <definedName name="wrn.Barranca." hidden="1" function="0" vbProcedure="0">{#N/A,#N/A,0,"Barranca"}</definedName>
    <definedName name="wrn.Basic." hidden="1" function="0" vbProcedure="0">{#N/A,#N/A,0,"Cover";#N/A,#N/A,0,"Assumptions";#N/A,#N/A,0,"Acquirer";#N/A,#N/A,0,"Target";#N/A,#N/A,0,"Income Statement";#N/A,#N/A,0,"Summary Tables"}</definedName>
    <definedName name="wrn.basics." hidden="1" function="0" vbProcedure="0">{#N/A,#N/A,0,"TSUM";#N/A,#N/A,0,"shares";#N/A,#N/A,0,"earnout";#N/A,#N/A,0,"Heaty";#N/A,#N/A,0,"self-tend";#N/A,#N/A,0,"self-sum"}</definedName>
    <definedName name="wrn.BD._.FINAL." hidden="1" function="0" vbProcedure="0">{#N/A,#N/A,0,"Cover";#N/A,#N/A,0,"Index";#N/A,#N/A,0,"HL";#N/A,#N/A,0,"BS ACCTS";#N/A,#N/A,0,"Table";#N/A,#N/A,0,"Summ";#N/A,#N/A,0,"ComAn-finished";#N/A,#N/A,0,"SmbAn-FINISHED";#N/A,#N/A,0,"RebAn";#N/A,#N/A,0,"ComR";#N/A,#N/A,0,"SmbR-FINISHED";#N/A,#N/A,0,"RebR-FINISHED";#N/A,#N/A,0,"RC";#N/A,#N/A,0,"NetR";#N/A,#N/A,0,"Non-Trade";#N/A,#N/A,0,"Notes Receivables";#N/A,#N/A,0,"ComP-diteck-FINISHED";#N/A,#N/A,0,"SmbP-finished";#N/A,#N/A,0,"RebP-DITECK-FINISHED";#N/A,#N/A,0,"NetP";#N/A,#N/A,0,"AllcompanyG";#N/A,#N/A,0,"AR 91+&gt;100K"}</definedName>
    <definedName name="wrn.BD._.Preliminary." hidden="1" function="0" vbProcedure="0">{#N/A,#N/A,0,"Cover";#N/A,#N/A,0,"Index";#N/A,#N/A,0,"HL";#N/A,#N/A,0,"Table";#N/A,#N/A,0,"Summ";#N/A,#N/A,0,"ComR";#N/A,#N/A,0,"SmbR-FINISHED";#N/A,#N/A,0,"RebR-FINISHED";#N/A,#N/A,0,"Specific Provision";#N/A,#N/A,0,"NetR";#N/A,#N/A,0,"Non-Trade";#N/A,#N/A,0,"ComP-diteck-FINISHED";#N/A,#N/A,0,"SmbP-finished";#N/A,#N/A,0,"RebP-DITECK-FINISHED";#N/A,#N/A,0,"NetP";#N/A,#N/A,0,"AllcompanyG";#N/A,#N/A,0,"AR 91+&gt;100K"}</definedName>
    <definedName name="wrn.BID." hidden="1" function="0" vbProcedure="0">{"PAGE1",#N/A,0,"BID (3)";"PAGE2",#N/A,0,"BID (3)"}</definedName>
    <definedName name="wrn.BUDGET." hidden="1" function="0" vbProcedure="0">{#N/A,#N/A,0,"Total";#N/A,#N/A,0,"Sew";#N/A,#N/A,0,"Finish";#N/A,#N/A,0,"CUT";#N/A,#N/A,0,"Mill 5";#N/A,#N/A,0,"Mill 6";#N/A,#N/A,0,"Mill 8";#N/A,#N/A,0,"Mill 9";#N/A,#N/A,0,"Mill 10";#N/A,#N/A,0,"Mill 12";#N/A,#N/A,0,"Mill 15";#N/A,#N/A,0,"Mill 17"}</definedName>
    <definedName name="wrn.Budget._.Analysis." hidden="1" function="0" vbProcedure="0">{#N/A,#N/A,0,"Mill 5"}</definedName>
    <definedName name="wrn.bullshit1." hidden="1" function="0" vbProcedure="0">{#N/A,#N/A,0,"Sheet1";#N/A,#N/A,0,"Summary";#N/A,#N/A,0,"proj1";#N/A,#N/A,0,"proj2"}</definedName>
    <definedName name="wrn.CAG." hidden="1" function="0" vbProcedure="0">{#N/A,#N/A,0,"CAG"}</definedName>
    <definedName name="wrn.CANWEST._.GLOBAL." hidden="1" function="0" vbProcedure="0">{"BS",#N/A,0;"RE",#N/A,0;"IS",#N/A,0;"CASH",#N/A,0}</definedName>
    <definedName name="wrn.Cap._.Budget9_27." hidden="1" function="0" vbProcedure="0">{"Overview",#N/A,1,"Overview";"New Gen",#N/A,1,"New Gen";"cap-ex",#N/A,1,"Consol cap-ex";"cap-ex",#N/A,1,"APC cap-ex";"cap-ex",#N/A,1,"GPC cap-ex";"cap-ex",#N/A,1,"GUL cap-ex";"cap-ex",#N/A,1,"MPC cap-ex";"cap-ex",#N/A,1,"SAV cap-ex";"cap-ex",#N/A,1,"SEGCO cap-ex";"cap-ex",#N/A,1,"SWE cap-ex"}</definedName>
    <definedName name="wrn.Carterco." hidden="1" function="0" vbProcedure="0">{#N/A,#N/A,0,"Carterco"}</definedName>
    <definedName name="wrn.CEA._.Budget._.months._.sterling." hidden="1" function="0" vbProcedure="0">{"CEA Group Budget months only sterling",#N/A,1,"Profit and Loss";"CEA Group Budget months only sterling",#N/A,1,"Firm capex";"CEA Group Budget months only sterling",#N/A,1,"Gross profit analysis";"CEA Group Budget months only sterling",#N/A,1,"Cashflow";"CEA Group Budget months only sterling",#N/A,1,"Balance Sheet"}</definedName>
    <definedName name="wrn.CEA._.Budget._.years._.sterling." hidden="1" function="0" vbProcedure="0">{"CEA Group Budget years sterling",#N/A,1,"Profit and Loss";"CEA Group Budget years sterling",#N/A,1,"Firm capex";"CEA Group Budget years sterling",#N/A,1,"Gross profit analysis";"CEA Group Budget years sterling",#N/A,1,"Cashflow";"CEA Group Budget years sterling",#N/A,1,"Balance Sheet"}</definedName>
    <definedName name="wrn.CEA._.Budget._.years._.USD." hidden="1" function="0" vbProcedure="0">{"CEA Group Budget years USD",#N/A,1,"Profit and Loss";"CEA Group Budget years USD",#N/A,1,"Firm capex";"CEA Group Budget years USD",#N/A,1,"Gross profit analysis";"CEA Group Budget years USD",#N/A,1,"Cashflow";"CEA Group Budget years USD",#N/A,1,"Balance Sheet"}</definedName>
    <definedName name="wrn.CEA._.Group._.budget._.months._.USD." hidden="1" function="0" vbProcedure="0">{"CEA Group budget months USD",#N/A,1,"Profit and Loss";"CEA Group budget months USD",#N/A,1,"Firm capex";"CEA Group budget months USD",#N/A,1,"Gross profit analysis";"CEA Group budget months USD",#N/A,1,"Cashflow";"CEA Group budget months USD",#N/A,1,"Balance Sheet"}</definedName>
    <definedName name="wrn.CEGH._.Budget._.months._.sterling." hidden="1" function="0" vbProcedure="0">{"CEGH Group Budget months only sterling",#N/A,1,"Profit and Loss";"CEGH Group Budget months only sterling",#N/A,1,"Firm capex";"CEGH Group Budget months only sterling",#N/A,1,"Gross profit analysis";"CEGH Group Budget months only sterling",#N/A,1,"Cashflow";"CEGH Group Budget months only sterling",#N/A,1,"Balance Sheet"}</definedName>
    <definedName name="wrn.CEGH._.Budget._.months._.USD." hidden="1" function="0" vbProcedure="0">{"CEGH Budget months only in USD",#N/A,1,"Profit and Loss";"CEGH Budget months only in USD",#N/A,1,"Firm capex";"CEGH Budget months only in USD",#N/A,1,"Gross profit analysis";"CEGH Budget months only in USD",#N/A,1,"Cashflow";"CEGH Budget months only in USD",#N/A,1,"Balance Sheet"}</definedName>
    <definedName name="wrn.CEGH._.Budget._.years._.sterling." hidden="1" function="0" vbProcedure="0">{"CEGH Group Budget years sterling",#N/A,1,"Profit and Loss";"CEGH Group Budget years sterling",#N/A,1,"Firm capex";"CEGH Group Budget years sterling",#N/A,1,"Gross profit analysis";"CEGH Group Budget years sterling",#N/A,1,"Cashflow";"CEGH Group Budget years sterling",#N/A,1,"Balance Sheet"}</definedName>
    <definedName name="wrn.CEGh._.Budget._.years._.USD." hidden="1" function="0" vbProcedure="0">{"CEGH Budget years USD",#N/A,1,"Profit and Loss";"CEGH Budget years USD",#N/A,1,"Firm capex";"CEGH Budget years USD",#N/A,1,"Gross profit analysis";"CEGH Budget years USD",#N/A,1,"Cashflow";"CEGH Budget years USD",#N/A,1,"Balance Sheet"}</definedName>
    <definedName name="wrn.CEGH._.sub._.group._.months._.sterling." hidden="1" function="0" vbProcedure="0">{"CEGH sub-group budget months only sterling",#N/A,1,"Profit and Loss";"CEGH sub-group budget months only sterling",#N/A,1,"Firm capex";"CEGH sub-group budget months only sterling",#N/A,1,"Cashflow";"CEGH sub-group budget months only sterling",#N/A,1,"Balance Sheet"}</definedName>
    <definedName name="wrn.CEGH._.sub._.group._.months._.USD." hidden="1" function="0" vbProcedure="0">{"CEGH sub group months USD",#N/A,1,"Profit and Loss";"CEGH sub group months USD",#N/A,1,"Firm capex";"CEGH sub group months USD",#N/A,1,"Cashflow";"CEGH sub group months USD",#N/A,1,"Balance Sheet"}</definedName>
    <definedName name="wrn.CEGH._.sub._.group._.years._.sterling." hidden="1" function="0" vbProcedure="0">{"CEGH sub-group budget years sterling",#N/A,1,"Profit and Loss";"CEGH sub-group budget years sterling",#N/A,1,"Firm capex";"CEGH sub-group budget years sterling",#N/A,1,"Cashflow";"CEGH sub-group budget years sterling",#N/A,1,"Balance Sheet"}</definedName>
    <definedName name="wrn.CEGH._.sub._.group._.years._.USD." hidden="1" function="0" vbProcedure="0">{"CEGH sub-group years USD",#N/A,1,"Profit and Loss";"CEGH sub-group years USD",#N/A,1,"Firm capex";"CEGH sub-group years USD",#N/A,1,"Cashflow";"CEGH sub-group years USD",#N/A,1,"Balance Sheet"}</definedName>
    <definedName name="wrn.CEI._.Budget._.months._.sterling." hidden="1" function="0" vbProcedure="0">{"CEI Budget months only sterling",#N/A,1,"Profit and Loss";"CEI Budget months only sterling",#N/A,1,"Firm capex";"CEI Budget months only sterling",#N/A,1,"Gross profit analysis";"CEI Budget months only sterling",#N/A,1,"Cashflow";"CEI Budget months only sterling",#N/A,1,"Balance Sheet"}</definedName>
    <definedName name="wrn.CEI._.Budget._.months._.USD." hidden="1" function="0" vbProcedure="0">{"CEI budget months USD",#N/A,1,"Profit and Loss";"CEI budget months USD",#N/A,1,"Firm capex";"CEI budget months USD",#N/A,1,"Gross profit analysis";"CEI budget months USD",#N/A,1,"Cashflow";"CEI budget months USD",#N/A,1,"Balance Sheet"}</definedName>
    <definedName name="wrn.CEI._.Budget._.years._.sterling." hidden="1" function="0" vbProcedure="0">{"CEI Budget years sterling",#N/A,1,"Profit and Loss";"CEI Budget years sterling",#N/A,1,"Firm capex";"CEI Budget years sterling",#N/A,1,"Gross profit analysis";"CEI Budget years sterling",#N/A,1,"Cashflow";"CEI Budget years sterling",#N/A,1,"Balance Sheet"}</definedName>
    <definedName name="wrn.CEI._.Budget._.years._.USD." hidden="1" function="0" vbProcedure="0">{"CEI Budget years USD",#N/A,1,"Profit and Loss";"CEI Budget years USD",#N/A,1,"Firm capex";"CEI Budget years USD",#N/A,1,"Gross profit analysis";"CEI Budget years USD",#N/A,1,"Cashflow";"CEI Budget years USD",#N/A,1,"Balance Sheet"}</definedName>
    <definedName name="wrn.Chart._.Printouts." hidden="1" function="0" vbProcedure="0">{"2 Area",#N/A,1,"Area";"2 Bar",#N/A,1,"Area";"SSB Bar",#N/A,1,"Area";"2 Stacked Bar",#N/A,1,"Area";"2 Stacked Bar 100",#N/A,1,"Area";"2 Stacked Col",#N/A,1,"Area";"2 Stacked Col 100",#N/A,1,"Area";"2 HiLow",#N/A,1,"Area";"2 Line",#N/A,1,"Area";"2 Scatter",#N/A,1,"Area";"2 ColumnLine",#N/A,1,"Area";"2 ScatterLine",#N/A,1,"Area";"2 Football",#N/A,1,"Area";"2 DAPS",#N/A,1,"Area";"2 Rover",#N/A,1,"Area";"2 Student1",#N/A,1,"Area";"2 Student2",#N/A,1,"Area";"2 Student3",#N/A,1,"Area";"2 Column",#N/A,1,"Area";"2 League",#N/A,1,"Area";"2 Pies",#N/A,1,"Area"}</definedName>
    <definedName name="wrn.client." hidden="1" function="0" vbProcedure="0">{"multiple",#N/A,0,"client";"margins",#N/A,0,"client";"data",#N/A,0,"client"}</definedName>
    <definedName name="wrn.Client3." hidden="1" function="0" vbProcedure="0">{"data",#N/A,0,"client (3)";"margins",#N/A,0,"client (3)";"multiple",#N/A,0,"client (3)"}</definedName>
    <definedName name="wrn.client4." hidden="1" function="0" vbProcedure="0">{"multiple",#N/A,0,"client (4)";"margins",#N/A,0,"client (4)";"data",#N/A,0,"client (4)"}</definedName>
    <definedName name="WRN.CM" hidden="1" function="0" vbProcedure="0">{#N/A,#N/A,0,"FAB VENDORS";"BUD SUM",#N/A,0,"BUD SUM WO TEX"}</definedName>
    <definedName name="WRN.CM1" hidden="1" function="0" vbProcedure="0">{#N/A,#N/A,0,"FAB VENDORS";"BUD SUM",#N/A,0,"BUD SUM WO TEX"}</definedName>
    <definedName name="wrn.Combination." hidden="1" function="0" vbProcedure="0">{#N/A,#N/A,0,"Combo-Ass ";#N/A,#N/A,0,"Combo-AD sum";#N/A,#N/A,0,"Combo-Syn Sens";#N/A,#N/A,0,"Combo-Contr";#N/A,#N/A,0,"Combo-Credit Sum";#N/A,#N/A,0,"Combo-Credit";#N/A,#N/A,0,"Combo-AD";#N/A,#N/A,0,"Combo-AD";#N/A,#N/A,0,"Combo-AD CF";#N/A,#N/A,0,"Combo-IS";#N/A,#N/A,0,"Combo-BS";#N/A,#N/A,0,"Combo-CF";#N/A,#N/A,0,"Combo-Debt";#N/A,#N/A,0,"Combo-Int";#N/A,#N/A,0,"Combo-CapEx";#N/A,#N/A,0,"Combo-BD";#N/A,#N/A,0,"Combo-TD";#N/A,#N/A,0,"Combo-Taxes";#N/A,#N/A,0,"Combo-Val";#N/A,#N/A,0,"Combo-Mult Va"}</definedName>
    <definedName name="wrn.COMBINED." hidden="1" function="0" vbProcedure="0">{#N/A,#N/A,0,"INPUTS";#N/A,#N/A,0,"PROFORMA BSHEET";#N/A,#N/A,0,"COMBINED";#N/A,#N/A,0,"HIGH YIELD";#N/A,#N/A,0,"COMB_GRAPHS"}</definedName>
    <definedName name="wrn.ComboResults." hidden="1" function="0" vbProcedure="0">{#N/A,#N/A,0,"Combo-Ass ";#N/A,#N/A,0,"Combo-AD sum";#N/A,#N/A,0,"Combo-Syn Sens";#N/A,#N/A,0,"Combo-Contr";#N/A,#N/A,0,"Combo-Credit Sum";#N/A,#N/A,0,"Combo-Credit";#N/A,#N/A,0,"Combo-AD";#N/A,#N/A,0,"Combo-AD CF"}</definedName>
    <definedName name="wrn.ComboState." hidden="1" function="0" vbProcedure="0">{#N/A,#N/A,0,"Combo-Ass ";#N/A,#N/A,0,"Combo-IS";#N/A,#N/A,0,"Combo-BS";#N/A,#N/A,0,"Combo-CF"}</definedName>
    <definedName name="wrn.Comp._.and._.Prices." hidden="1" function="0" vbProcedure="0">{#N/A,#N/A,0,"comp";#N/A,#N/A,0,"Alpha";#N/A,#N/A,0,"Hi";#N/A,#N/A,0,"Lo";#N/A,#N/A,0,"Mkt. Cap";#N/A,#N/A,0,"Categ."}</definedName>
    <definedName name="wrn.Comparisons." hidden="1" function="0" vbProcedure="0">{#N/A,#N/A,0," IS Comparison";#N/A,#N/A,0,"BS Comparison";#N/A,#N/A,0," SCF Comparison"}</definedName>
    <definedName name="wrn.compco." hidden="1" function="0" vbProcedure="0">{"page1",#N/A,0,"BHCOMPC5";"page2",#N/A,0,"BHCOMPC5";"page3",#N/A,0,"BHCOMPC5";"page4",#N/A,0,"BHCOMPC5"}</definedName>
    <definedName name="wrn.compco2" hidden="1" function="0" vbProcedure="0">{"mult96",#N/A,0,"PETCOMP";"est96",#N/A,0,"PETCOMP";"mult95",#N/A,0,"PETCOMP";"est95",#N/A,0,"PETCOMP";"multltm",#N/A,0,"PETCOMP";"resultltm",#N/A,0,"PETCOMP"}</definedName>
    <definedName name="wrn.compco3" hidden="1" function="0" vbProcedure="0">{"mult96",#N/A,0,"PETCOMP";"est96",#N/A,0,"PETCOMP";"mult95",#N/A,0,"PETCOMP";"est95",#N/A,0,"PETCOMP";"multltm",#N/A,0,"PETCOMP";"resultltm",#N/A,0,"PETCOMP"}</definedName>
    <definedName name="wrn.Complete." hidden="1" function="0" vbProcedure="0">{"Cover",#N/A,0,"Cover";"Summary",#N/A,0,"Summarpage";"Assumptions",#N/A,0,"Assumptions";"Earnings",#N/A,0,"Earnings";"CF Oper.",#N/A,0,"Earnings";"Balance Sheet",#N/A,0,"balance";"Cash Flow",#N/A,0,"cash flow";"Paper Production",#N/A,0,"Paper";"Paper Earnings",#N/A,0,"Paper";"Wood Production",#N/A,0,"Wood Products";"Wood Earnings",#N/A,0,"Wood Products";"Pulp Production",#N/A,0,"Pulp";"Pulp Earnings",#N/A,0,"Pulp"}</definedName>
    <definedName name="wrn.Complete.2" hidden="1" function="0" vbProcedure="0">{"Cover",#N/A,0,"Cover";"Summary",#N/A,0,"Summarpage";"Assumptions",#N/A,0,"Assumptions";"Earnings",#N/A,0,"Earnings";"CF Oper.",#N/A,0,"Earnings";"Balance Sheet",#N/A,0,"balance";"Cash Flow",#N/A,0,"cash flow";"Paper Production",#N/A,0,"Paper";"Paper Earnings",#N/A,0,"Paper";"Wood Production",#N/A,0,"Wood Products";"Wood Earnings",#N/A,0,"Wood Products";"Pulp Production",#N/A,0,"Pulp";"Pulp Earnings",#N/A,0,"Pulp"}</definedName>
    <definedName name="wrn.Complete.2.4" hidden="1" function="0" vbProcedure="0">{"Cover",#N/A,0,"Cover";"Summary",#N/A,0,"Summarpage";"Assumptions",#N/A,0,"Assumptions";"Earnings",#N/A,0,"Earnings";"CF Oper.",#N/A,0,"Earnings";"Balance Sheet",#N/A,0,"balance";"Cash Flow",#N/A,0,"cash flow";"Paper Production",#N/A,0,"Paper";"Paper Earnings",#N/A,0,"Paper";"Wood Production",#N/A,0,"Wood Products";"Wood Earnings",#N/A,0,"Wood Products";"Pulp Production",#N/A,0,"Pulp";"Pulp Earnings",#N/A,0,"Pulp"}</definedName>
    <definedName name="wrn.Complete.3" hidden="1" function="0" vbProcedure="0">{"Cover",#N/A,0,"Cover";"Summary",#N/A,0,"Summarpage";"Assumptions",#N/A,0,"Assumptions";"Earnings",#N/A,0,"Earnings";"CF Oper.",#N/A,0,"Earnings";"Balance Sheet",#N/A,0,"balance";"Cash Flow",#N/A,0,"cash flow";"Paper Production",#N/A,0,"Paper";"Paper Earnings",#N/A,0,"Paper";"Wood Production",#N/A,0,"Wood Products";"Wood Earnings",#N/A,0,"Wood Products";"Pulp Production",#N/A,0,"Pulp";"Pulp Earnings",#N/A,0,"Pulp"}</definedName>
    <definedName name="wrn.Complete.3.4" hidden="1" function="0" vbProcedure="0">{"Cover",#N/A,0,"Cover";"Summary",#N/A,0,"Summarpage";"Assumptions",#N/A,0,"Assumptions";"Earnings",#N/A,0,"Earnings";"CF Oper.",#N/A,0,"Earnings";"Balance Sheet",#N/A,0,"balance";"Cash Flow",#N/A,0,"cash flow";"Paper Production",#N/A,0,"Paper";"Paper Earnings",#N/A,0,"Paper";"Wood Production",#N/A,0,"Wood Products";"Wood Earnings",#N/A,0,"Wood Products";"Pulp Production",#N/A,0,"Pulp";"Pulp Earnings",#N/A,0,"Pulp"}</definedName>
    <definedName name="wrn.Complete.3.6" hidden="1" function="0" vbProcedure="0">{"Cover",#N/A,0,"Cover";"Summary",#N/A,0,"Summarpage";"Assumptions",#N/A,0,"Assumptions";"Earnings",#N/A,0,"Earnings";"CF Oper.",#N/A,0,"Earnings";"Balance Sheet",#N/A,0,"balance";"Cash Flow",#N/A,0,"cash flow";"Paper Production",#N/A,0,"Paper";"Paper Earnings",#N/A,0,"Paper";"Wood Production",#N/A,0,"Wood Products";"Wood Earnings",#N/A,0,"Wood Products";"Pulp Production",#N/A,0,"Pulp";"Pulp Earnings",#N/A,0,"Pulp"}</definedName>
    <definedName name="wrn.Complete.3.7" hidden="1" function="0" vbProcedure="0">{"Cover",#N/A,0,"Cover";"Summary",#N/A,0,"Summarpage";"Assumptions",#N/A,0,"Assumptions";"Earnings",#N/A,0,"Earnings";"CF Oper.",#N/A,0,"Earnings";"Balance Sheet",#N/A,0,"balance";"Cash Flow",#N/A,0,"cash flow";"Paper Production",#N/A,0,"Paper";"Paper Earnings",#N/A,0,"Paper";"Wood Production",#N/A,0,"Wood Products";"Wood Earnings",#N/A,0,"Wood Products";"Pulp Production",#N/A,0,"Pulp";"Pulp Earnings",#N/A,0,"Pulp"}</definedName>
    <definedName name="wrn.Complete.3.9" hidden="1" function="0" vbProcedure="0">{"Cover",#N/A,0,"Cover";"Summary",#N/A,0,"Summarpage";"Assumptions",#N/A,0,"Assumptions";"Earnings",#N/A,0,"Earnings";"CF Oper.",#N/A,0,"Earnings";"Balance Sheet",#N/A,0,"balance";"Cash Flow",#N/A,0,"cash flow";"Paper Production",#N/A,0,"Paper";"Paper Earnings",#N/A,0,"Paper";"Wood Production",#N/A,0,"Wood Products";"Wood Earnings",#N/A,0,"Wood Products";"Pulp Production",#N/A,0,"Pulp";"Pulp Earnings",#N/A,0,"Pulp"}</definedName>
    <definedName name="wrn.Complete.4" hidden="1" function="0" vbProcedure="0">{"Cover",#N/A,0,"Cover";"Summary",#N/A,0,"Summarpage";"Assumptions",#N/A,0,"Assumptions";"Earnings",#N/A,0,"Earnings";"CF Oper.",#N/A,0,"Earnings";"Balance Sheet",#N/A,0,"balance";"Cash Flow",#N/A,0,"cash flow";"Paper Production",#N/A,0,"Paper";"Paper Earnings",#N/A,0,"Paper";"Wood Production",#N/A,0,"Wood Products";"Wood Earnings",#N/A,0,"Wood Products";"Pulp Production",#N/A,0,"Pulp";"Pulp Earnings",#N/A,0,"Pulp"}</definedName>
    <definedName name="wrn.Complete.5" hidden="1" function="0" vbProcedure="0">{"Cover",#N/A,0,"Cover";"Summary",#N/A,0,"Summarpage";"Assumptions",#N/A,0,"Assumptions";"Earnings",#N/A,0,"Earnings";"CF Oper.",#N/A,0,"Earnings";"Balance Sheet",#N/A,0,"balance";"Cash Flow",#N/A,0,"cash flow";"Paper Production",#N/A,0,"Paper";"Paper Earnings",#N/A,0,"Paper";"Wood Production",#N/A,0,"Wood Products";"Wood Earnings",#N/A,0,"Wood Products";"Pulp Production",#N/A,0,"Pulp";"Pulp Earnings",#N/A,0,"Pulp"}</definedName>
    <definedName name="wrn.Complete.6" hidden="1" function="0" vbProcedure="0">{"Cover",#N/A,0,"Cover";"Summary",#N/A,0,"Summarpage";"Assumptions",#N/A,0,"Assumptions";"Earnings",#N/A,0,"Earnings";"CF Oper.",#N/A,0,"Earnings";"Balance Sheet",#N/A,0,"balance";"Cash Flow",#N/A,0,"cash flow";"Paper Production",#N/A,0,"Paper";"Paper Earnings",#N/A,0,"Paper";"Wood Production",#N/A,0,"Wood Products";"Wood Earnings",#N/A,0,"Wood Products";"Pulp Production",#N/A,0,"Pulp";"Pulp Earnings",#N/A,0,"Pulp"}</definedName>
    <definedName name="wrn.Complete.7" hidden="1" function="0" vbProcedure="0">{"Cover",#N/A,0,"Cover";"Summary",#N/A,0,"Summarpage";"Assumptions",#N/A,0,"Assumptions";"Earnings",#N/A,0,"Earnings";"CF Oper.",#N/A,0,"Earnings";"Balance Sheet",#N/A,0,"balance";"Cash Flow",#N/A,0,"cash flow";"Paper Production",#N/A,0,"Paper";"Paper Earnings",#N/A,0,"Paper";"Wood Production",#N/A,0,"Wood Products";"Wood Earnings",#N/A,0,"Wood Products";"Pulp Production",#N/A,0,"Pulp";"Pulp Earnings",#N/A,0,"Pulp"}</definedName>
    <definedName name="wrn.Complete.8" hidden="1" function="0" vbProcedure="0">{"Cover",#N/A,0,"Cover";"Summary",#N/A,0,"Summarpage";"Assumptions",#N/A,0,"Assumptions";"Earnings",#N/A,0,"Earnings";"CF Oper.",#N/A,0,"Earnings";"Balance Sheet",#N/A,0,"balance";"Cash Flow",#N/A,0,"cash flow";"Paper Production",#N/A,0,"Paper";"Paper Earnings",#N/A,0,"Paper";"Wood Production",#N/A,0,"Wood Products";"Wood Earnings",#N/A,0,"Wood Products";"Pulp Production",#N/A,0,"Pulp";"Pulp Earnings",#N/A,0,"Pulp"}</definedName>
    <definedName name="wrn.Complete.9" hidden="1" function="0" vbProcedure="0">{"Cover",#N/A,0,"Cover";"Summary",#N/A,0,"Summarpage";"Assumptions",#N/A,0,"Assumptions";"Earnings",#N/A,0,"Earnings";"CF Oper.",#N/A,0,"Earnings";"Balance Sheet",#N/A,0,"balance";"Cash Flow",#N/A,0,"cash flow";"Paper Production",#N/A,0,"Paper";"Paper Earnings",#N/A,0,"Paper";"Wood Production",#N/A,0,"Wood Products";"Wood Earnings",#N/A,0,"Wood Products";"Pulp Production",#N/A,0,"Pulp";"Pulp Earnings",#N/A,0,"Pulp"}</definedName>
    <definedName name="wrn.Complete._.Model." hidden="1" function="0" vbProcedure="0">{#N/A,#N/A,0,"Assumptions";#N/A,#N/A,0,"AcqShares";#N/A,#N/A,0,"TgtShares";#N/A,#N/A,0,"Acq IS";#N/A,#N/A,0,"Tgt IS";#N/A,#N/A,0,"PFIS";#N/A,#N/A,0,"MergerAnalysis";#N/A,#N/A,0,"Contribution";#N/A,#N/A,0,"SumStat"}</definedName>
    <definedName name="wrn.Comps." hidden="1" function="0" vbProcedure="0">{#N/A,#N/A,0,"Comps"}</definedName>
    <definedName name="wrn.comps.whatisthis" hidden="1" function="0" vbProcedure="0">{#N/A,#N/A,0,"Comp"}</definedName>
    <definedName name="wrn.comps.whatisthis_1" hidden="1" function="0" vbProcedure="0">{#N/A,#N/A,0,"Comp"}</definedName>
    <definedName name="wrn.comps.whatisthis_1_1" hidden="1" function="0" vbProcedure="0">{#N/A,#N/A,0,"Comp"}</definedName>
    <definedName name="wrn.comps.whatisthis_1_2" hidden="1" function="0" vbProcedure="0">{#N/A,#N/A,0,"Comp"}</definedName>
    <definedName name="wrn.comps.whatisthis_1_3" hidden="1" function="0" vbProcedure="0">{#N/A,#N/A,0,"Comp"}</definedName>
    <definedName name="wrn.comps.whatisthis_1_4" hidden="1" function="0" vbProcedure="0">{#N/A,#N/A,0,"Comp"}</definedName>
    <definedName name="wrn.comps.whatisthis_2" hidden="1" function="0" vbProcedure="0">{#N/A,#N/A,0,"Comp"}</definedName>
    <definedName name="wrn.comps.whatisthis_3" hidden="1" function="0" vbProcedure="0">{#N/A,#N/A,0,"Comp"}</definedName>
    <definedName name="wrn.comps.whatisthis_4" hidden="1" function="0" vbProcedure="0">{#N/A,#N/A,0,"Comp"}</definedName>
    <definedName name="wrn.comps.whatisthis_5" hidden="1" function="0" vbProcedure="0">{#N/A,#N/A,0,"Comp"}</definedName>
    <definedName name="wrn.comps._1" hidden="1" function="0" vbProcedure="0">{#N/A,#N/A,0,"Comp"}</definedName>
    <definedName name="wrn.comps._1_1" hidden="1" function="0" vbProcedure="0">{#N/A,#N/A,0,"Comp"}</definedName>
    <definedName name="wrn.comps._1_2" hidden="1" function="0" vbProcedure="0">{#N/A,#N/A,0,"Comp"}</definedName>
    <definedName name="wrn.comps._1_3" hidden="1" function="0" vbProcedure="0">{#N/A,#N/A,0,"Comp"}</definedName>
    <definedName name="wrn.comps._1_4" hidden="1" function="0" vbProcedure="0">{#N/A,#N/A,0,"Comp"}</definedName>
    <definedName name="wrn.comps._2" hidden="1" function="0" vbProcedure="0">{#N/A,#N/A,0,"Comp"}</definedName>
    <definedName name="wrn.comps._3" hidden="1" function="0" vbProcedure="0">{#N/A,#N/A,0,"Comp"}</definedName>
    <definedName name="wrn.comps._4" hidden="1" function="0" vbProcedure="0">{#N/A,#N/A,0,"Comp"}</definedName>
    <definedName name="wrn.comps._5" hidden="1" function="0" vbProcedure="0">{#N/A,#N/A,0,"Comp"}</definedName>
    <definedName name="wrn.CONSOLIDACIÓN." hidden="1" function="0" vbProcedure="0">{#N/A,#N/A,0,"CNS_ADJ";"Balance Consolidado",#N/A,0,"BCEC_CNS";#N/A,#N/A,0,"USGAAP_ADJ"}</definedName>
    <definedName name="wrn.Consolidating." hidden="1" function="0" vbProcedure="0">{"Consolidated IS",#N/A,0,"Consolidated IS";"Consolidated Detail IS",#N/A,0,"Consolidated Detail IS";"Consolidated Detail Supplemental Info",#N/A,0,"Consolidated Detail IS";"Consolidated CF",#N/A,0,"Consolidated CF";"Consolidated BS",#N/A,0,"Consolidated BS";"Consolidating 1999 Detail IS",#N/A,0,"1999 Detail IS";"Consolidated 1999 Supplemental Info",#N/A,0,"1999 Detail IS";"Consolidating 1998 Detail IS",#N/A,0,"1998 Detail IS";"Consolidating 1998 Supplemental Info",#N/A,0,"1998 Detail IS";"Consolidating 1997 Detail IS",#N/A,0,"1997 Detail IS";"Consolidated 1997 Supplemental Info",#N/A,0,"1997 Detail IS"}</definedName>
    <definedName name="wrn.Corp.._.Div.._.Reports." hidden="1" function="0" vbProcedure="0">{#N/A,#N/A,0,"HQ";#N/A,#N/A,0,"Admin";#N/A,#N/A,0,"Pres";#N/A,#N/A,0,"Travel";#N/A,#N/A,0,"HR";#N/A,#N/A,0,"Accounting";#N/A,#N/A,0,"IS";#N/A,#N/A,0,"Telephones";#N/A,#N/A,0,"Imaging";#N/A,#N/A,0,"Facilities";#N/A,#N/A,0,"HQ marketing"}</definedName>
    <definedName name="wrn.CORPO." hidden="1" function="0" vbProcedure="0">{#N/A,#N/A,0,"DIV.CORPO"}</definedName>
    <definedName name="wrn.Corporate." hidden="1" function="0" vbProcedure="0">{"Corporate",#N/A,0,"Corporate Profile"}</definedName>
    <definedName name="wrn.cotop." hidden="1" function="0" vbProcedure="0">{"ReportTop",#N/A,0,"report top"}</definedName>
    <definedName name="wrn.cotop2." hidden="1" function="0" vbProcedure="0">{"ReportTop",#N/A,0,"report top"}</definedName>
    <definedName name="wrn.CPB." hidden="1" function="0" vbProcedure="0">{#N/A,#N/A,0,"CPB"}</definedName>
    <definedName name="wrn.Credit._.Summary." hidden="1" function="0" vbProcedure="0">{#N/A,#N/A,0,"Credit Summary"}</definedName>
    <definedName name="wrn.CW." hidden="1" function="0" vbProcedure="0">{#N/A,#N/A,0,"FAB VENDORS";"BUD SUM",#N/A,0,"BUD SUM WO TEX"}</definedName>
    <definedName name="wrn.DAILY._.SALES." hidden="1" function="0" vbProcedure="0">{"New York",#N/A,0,"NY";"London Et Al",#N/A,0,"NY";"Cash Balance",#N/A,0,"NY"}</definedName>
    <definedName name="wrn.DATA." hidden="1" function="0" vbProcedure="0">{#N/A,#N/A,0,"WTI";#N/A,#N/A,0,"Cdn Oil";#N/A,#N/A,0,"Cdn Gas";#N/A,#N/A,0,"CDN Gas Exports";#N/A,#N/A,0,"CDN Gas Prod";#N/A,#N/A,0,"CDN Gas Wells";#N/A,#N/A,0,"US Gas";#N/A,#N/A,0,"US Gas Prod";#N/A,#N/A,0,"US Gas Wells";#N/A,#N/A,0,"US Work Gas";#N/A,#N/A,0,"US Rig Count";#N/A,#N/A,0,"US Gas End-Use";#N/A,#N/A,0,"Chem"}</definedName>
    <definedName name="wrn.DataVPN." hidden="1" function="0" vbProcedure="0">{"Cashflow chart",#N/A,1,"A";"Rev Assumptions",#N/A,1,"B";"Rev Reconcilliation 1",#N/A,1,"B";"Rev Reconcilliation 2",#N/A,1,"B";"exp 1",#N/A,1,"C";"exp 2",#N/A,1,"C";"exp3",#N/A,1,"C";"cap 1",#N/A,1,"D";"exp4",#N/A,1,"C";"cap 2",#N/A,1,"D";"cap 3",#N/A,1,"D";"inputs",#N/A,1,"E"}</definedName>
    <definedName name="wrn.DataVPN1" hidden="1" function="0" vbProcedure="0">{"Cashflow chart",#N/A,1,"A";"Rev Assumptions",#N/A,1,"B";"Rev Reconcilliation 1",#N/A,1,"B";"Rev Reconcilliation 2",#N/A,1,"B";"exp 1",#N/A,1,"C";"exp 2",#N/A,1,"C";"exp3",#N/A,1,"C";"cap 1",#N/A,1,"D";"exp4",#N/A,1,"C";"cap 2",#N/A,1,"D";"cap 3",#N/A,1,"D";"inputs",#N/A,1,"E"}</definedName>
    <definedName name="wrn.dcf." hidden="1" function="0" vbProcedure="0">{"mgmt forecast",#N/A,0,"Mgmt Forecast";"dcf table",#N/A,0,"Mgmt Forecast";"sensitivity",#N/A,0,"Mgmt Forecast";"table inputs",#N/A,0,"Mgmt Forecast";"calculations",#N/A,0,"Mgmt Forecast"}</definedName>
    <definedName name="wrn.DCF._.Only." hidden="1" function="0" vbProcedure="0">{#N/A,#N/A,0,"DCF Summary";#N/A,#N/A,0,"Casema";#N/A,#N/A,0,"Casema NoTel";#N/A,#N/A,0,"UK";#N/A,#N/A,0,"RCF";#N/A,#N/A,0,"Intercable CZ";#N/A,#N/A,0,"Interkabel P"}</definedName>
    <definedName name="wrn.DCF._.Valuation." hidden="1" function="0" vbProcedure="0">{"value box",#N/A,1,"DPL Inc. Fin Statements";"unlevered free cash flows",#N/A,1,"DPL Inc. Fin Statements"}</definedName>
    <definedName name="wrn.dcf._1" hidden="1" function="0" vbProcedure="0">{"mgmt forecast",#N/A,0,"Mgmt Forecast";"dcf table",#N/A,0,"Mgmt Forecast";"sensitivity",#N/A,0,"Mgmt Forecast";"table inputs",#N/A,0,"Mgmt Forecast";"calculations",#N/A,0,"Mgmt Forecast"}</definedName>
    <definedName name="wrn.dcf._1_1" hidden="1" function="0" vbProcedure="0">{"mgmt forecast",#N/A,0,"Mgmt Forecast";"dcf table",#N/A,0,"Mgmt Forecast";"sensitivity",#N/A,0,"Mgmt Forecast";"table inputs",#N/A,0,"Mgmt Forecast";"calculations",#N/A,0,"Mgmt Forecast"}</definedName>
    <definedName name="wrn.dcf._1_2" hidden="1" function="0" vbProcedure="0">{"mgmt forecast",#N/A,0,"Mgmt Forecast";"dcf table",#N/A,0,"Mgmt Forecast";"sensitivity",#N/A,0,"Mgmt Forecast";"table inputs",#N/A,0,"Mgmt Forecast";"calculations",#N/A,0,"Mgmt Forecast"}</definedName>
    <definedName name="wrn.dcf._1_3" hidden="1" function="0" vbProcedure="0">{"mgmt forecast",#N/A,0,"Mgmt Forecast";"dcf table",#N/A,0,"Mgmt Forecast";"sensitivity",#N/A,0,"Mgmt Forecast";"table inputs",#N/A,0,"Mgmt Forecast";"calculations",#N/A,0,"Mgmt Forecast"}</definedName>
    <definedName name="wrn.dcf._1_4" hidden="1" function="0" vbProcedure="0">{"mgmt forecast",#N/A,0,"Mgmt Forecast";"dcf table",#N/A,0,"Mgmt Forecast";"sensitivity",#N/A,0,"Mgmt Forecast";"table inputs",#N/A,0,"Mgmt Forecast";"calculations",#N/A,0,"Mgmt Forecast"}</definedName>
    <definedName name="wrn.dcf._2" hidden="1" function="0" vbProcedure="0">{"mgmt forecast",#N/A,0,"Mgmt Forecast";"dcf table",#N/A,0,"Mgmt Forecast";"sensitivity",#N/A,0,"Mgmt Forecast";"table inputs",#N/A,0,"Mgmt Forecast";"calculations",#N/A,0,"Mgmt Forecast"}</definedName>
    <definedName name="wrn.dcf._3" hidden="1" function="0" vbProcedure="0">{"mgmt forecast",#N/A,0,"Mgmt Forecast";"dcf table",#N/A,0,"Mgmt Forecast";"sensitivity",#N/A,0,"Mgmt Forecast";"table inputs",#N/A,0,"Mgmt Forecast";"calculations",#N/A,0,"Mgmt Forecast"}</definedName>
    <definedName name="wrn.dcf._4" hidden="1" function="0" vbProcedure="0">{"mgmt forecast",#N/A,0,"Mgmt Forecast";"dcf table",#N/A,0,"Mgmt Forecast";"sensitivity",#N/A,0,"Mgmt Forecast";"table inputs",#N/A,0,"Mgmt Forecast";"calculations",#N/A,0,"Mgmt Forecast"}</definedName>
    <definedName name="wrn.dcf._5" hidden="1" function="0" vbProcedure="0">{"mgmt forecast",#N/A,0,"Mgmt Forecast";"dcf table",#N/A,0,"Mgmt Forecast";"sensitivity",#N/A,0,"Mgmt Forecast";"table inputs",#N/A,0,"Mgmt Forecast";"calculations",#N/A,0,"Mgmt Forecast"}</definedName>
    <definedName name="wrn.DCF_Terminal_Value_qchm." hidden="1" function="0" vbProcedure="0">{"qchm_dcf",#N/A,0,"QCHMDCF2";"qchm_terminal",#N/A,0,"QCHMDCF2"}</definedName>
    <definedName name="wrn.Delchamps." hidden="1" function="0" vbProcedure="0">{"Operating Data",#N/A,1,"Sheet1";"Valuation Matrix",#N/A,1,"Sheet1";"Sales Analysis",#N/A,1,"Sheet1";"Closed Remodelled New",#N/A,1,"Sheet1";"Competitive and FSP",#N/A,1,"Sheet1";"Working Capital and Capex",#N/A,1,"Sheet1";"depreciation",#N/A,1,"Sheet1"}</definedName>
    <definedName name="wrn.detail." hidden="1" function="0" vbProcedure="0">{"Build1",#N/A,0,"Buildup";"Build2",#N/A,0,"Buildup";"Build3",#N/A,0,"Buildup"}</definedName>
    <definedName name="wrn.Detail._.Income._.Statement." hidden="1" function="0" vbProcedure="0">{"Facility Detail",#N/A,0,"P&amp;L Detail"}</definedName>
    <definedName name="wrn.devdeal." hidden="1" function="0" vbProcedure="0">{"top",#N/A,1,"Detail";"next",#N/A,1,"Detail";"then",#N/A,1,"Detail";"and",#N/A,1,"Detail";"inaddition",#N/A,1,"Detail";"finally",#N/A,1,"Detail"}</definedName>
    <definedName name="wrn.djall." hidden="1" function="0" vbProcedure="0">{"djcash",#N/A,0,"DJann";"djinc",#N/A,0,"DJann";"djtaxes",#N/A,0,"DJann";"djbuspub",#N/A,0,"DJann";"djwall",#N/A,0,"DJann";"djcompprs",#N/A,0,"DJann";"djteler",#N/A,0,"DJann"}</definedName>
    <definedName name="wrn.DTPLAN." hidden="1" function="0" vbProcedure="0">{"DTCONSOASSUMPTIONS1",#N/A,0,"CONSO";"DTCONSOASSUMPTIONS2",#N/A,0,"CONSO";"DTCONSOASSUMPTIONS3",#N/A,0,"CONSO";"DTCONSOINCOME",#N/A,0,"CONSO";"DTCOOSAEBITDA",#N/A,0,"COOSA";"DTCONSOCASHFLOW",#N/A,0,"CONSO";"DTCONSOBALANCESHEET",#N/A,0,"CONSO";"DTCONSOCAPEX1",#N/A,0,"CONSO";"DTCONSOCAPEX2",#N/A,0,"CONSO";"DTCONSOCAPEX3",#N/A,0,"CONSO";"DTDONNAASSUMPTIONS1",#N/A,0,"PAPER DONNACONA";"DTDONNAASSUMPTIONS2",#N/A,0,"PAPER DONNACONA";"DTDONNAASSUMPTIONS3",#N/A,0,"PAPER DONNACONA";"DTDONNAINCOME",#N/A,0,"PAPER DONNACONA";"DTDONNACASHFLOW",#N/A,0,"PAPER DONNACONA";"DTDONNABALANCESHEET",#N/A,0,"PAPER DONNACONA";"DTDONNACAPEX",#N/A,0,"PAPER DONNACONA";"DTDOLBEAUASSUMPTIONS1",#N/A,0,"PAPER DOLBEAU";"DTDOLBEAUASSUMPTIONS2",#N/A,0,"PAPER DOLBEAU";"DTDOLBEAUASSUMPTIONS3",#N/A,0,"PAPER DOLBEAU";"DTDOLBEAUINCOME",#N/A,0,"PAPER DOLBEAU";"DTDOLBEAUCASHFLOW",#N/A,0,"PAPER DOLBEAU";"DTDOLBEAUBALANCESHEET",#N/A,0,"PAPER DOLBEAU";"DTDOLBEAUCAPEX",#N/A,0,"PAPER DOLBEAU";"DTLUMBERASSUMPTIONS1",#N/A,0,"LUMBER";"DTLUMBERASSUMPTIONS2",#N/A,0,"LUMBER";"DTLUMBERASSUMPTIONS3",#N/A,0,"LUMBER";"DTLUMBERINCOME",#N/A,0,"LUMBER";"DTLUMBERCASHFLOW",#N/A,0,"LUMBER";"DTLUMBERBALANCESHEET",#N/A,0,"LUMBER";"DTLUMBERCAPEX",#N/A,0,"LUMBER";"DTCOOSAASSUMPTIONS1",#N/A,0,"COOSA";"DTCOOSAASSUMPTION2",#N/A,0,"COOSA";"DTCOOSAASSUMPTIONS3",#N/A,0,"COOSA";"DTCOOSAINCOME",#N/A,0,"COOSA";"DTCOOSACASHFLOW",#N/A,0,"COOSA";"DTCOOSABALANCESHEET",#N/A,0,"COOSA";"DTCOOSACAPEX",#N/A,0,"COOSA";"DTELIMINATIONINCOME",#N/A,0,"ELIMINATION";"DTELIMINATIONCASHFLOW",#N/A,0,"ELIMINATION";"DTELIMINATIONBALANCESHEET",#N/A,0,"ELIMINATION";"DTHEADOFFICEASSUMPTIONS",#N/A,0,"H.OFFICE";"DTHEADOFFICEINCOME",#N/A,0,"H.OFFICE";"DTHEADOFFICECASHFLOW",#N/A,0,"H.OFFICE";"DTHEADOFFICEBALANCESHEET",#N/A,0,"H.OFFICE";"DTHEADOFFICECAPEX",#N/A,0,"H.OFFICE";"DTSEGMENTED",#N/A,0,"SEGMENTED INFO";"DTTAX1",#N/A,0,"impôt";"DTTAX2",#N/A,0,"impôt"}</definedName>
    <definedName name="wrn.Earnings._.Model." hidden="1" function="0" vbProcedure="0">{#N/A,#N/A,0,"Product Revenue";#N/A,#N/A,0,"Geographic Revenue";#N/A,#N/A,0,"Income Statement - As Reported";#N/A,#N/A,0,"Income Statement - Operating";#N/A,#N/A,0,"Income Statement - %Revenue";#N/A,#N/A,0,"Year-over-Year Growth";#N/A,#N/A,0,"Sequential Growth";#N/A,#N/A,0,"Balance Sheet";#N/A,#N/A,0,"Cash Flow";#N/A,#N/A,0,"Ratios";#N/A,#N/A,0,"Valuation"}</definedName>
    <definedName name="wrn.Economic._.Value._.Added._.Analysis." hidden="1" function="0" vbProcedure="0">{"EVA",#N/A,0,"EVA";"WACC",#N/A,0,"WACC"}</definedName>
    <definedName name="wrn.ecpall." hidden="1" function="0" vbProcedure="0">{"ecpcash",#N/A,0,"ECPann";"ecpinc",#N/A,0,"ECPann";"ecpindia",#N/A,0,"ECPann";"ecpmun",#N/A,0,"ECPann";"ecpphoenix",#N/A,0,"ECPann";"ecpothe",#N/A,0,"ECPann";"ecpbalsht",#N/A,0,"ECPann"}</definedName>
    <definedName name="wrn.EE4._.Budget._.months._.sterling." hidden="1" function="0" vbProcedure="0">{"EE4 Budget months only sterling",#N/A,1,"Profit and Loss";"EE4 Budget months only sterling",#N/A,1,"Firm capex";"EE4 Budget months only sterling",#N/A,1,"Cashflow";"EE4 Budget months only sterling",#N/A,1,"Balance Sheet"}</definedName>
    <definedName name="wrn.EE4._.Budget._.months._.USD." hidden="1" function="0" vbProcedure="0">{"EE4 Budget months only in USD",#N/A,1,"Profit and Loss";"EE4 Budget months only in USD",#N/A,1,"Firm capex";"EE4 Budget months only in USD",#N/A,1,"Cashflow";"EE4 Budget months only in USD",#N/A,1,"Balance Sheet"}</definedName>
    <definedName name="wrn.EE4._.budget._.years._.sterling." hidden="1" function="0" vbProcedure="0">{"EE4 Budget years sterling",#N/A,1,"Profit and Loss";"EE4 Budget years sterling",#N/A,1,"Firm capex";"EE4 Budget years sterling",#N/A,1,"Cashflow";"EE4 Budget years sterling",#N/A,1,"Balance Sheet"}</definedName>
    <definedName name="wrn.EE4._.Budget._.years._.USD." hidden="1" function="0" vbProcedure="0">{"EE4 Budget years USD",#N/A,1,"Profit and Loss";"EE4 Budget years USD",#N/A,1,"Firm capex";"EE4 Budget years USD",#N/A,1,"Cashflow";"EE4 Budget years USD",#N/A,1,"Balance Sheet"}</definedName>
    <definedName name="wrn.EF._.Complet." hidden="1" function="0" vbProcedure="0">{#N/A,#N/A,1,"1";#N/A,#N/A,1,"1.2";#N/A,#N/A,1,"2";#N/A,#N/A,1,"4";#N/A,#N/A,1,"11";#N/A,#N/A,1,"11.9";#N/A,#N/A,1,"A";#N/A,#N/A,1,"B";#N/A,#N/A,1,"C"}</definedName>
    <definedName name="wrn.Einhundert._.Prozent._.alle._.Perioden." hidden="1" function="0" vbProcedure="0">{"Alle Perioden",#N/A,0,"Erf";"Alle Perioden",#N/A,0,"BV100";"Alle Perioden",#N/A,0,"BE100";"Alle Perioden",#N/A,0,"Re100";"Alle Perioden",#N/A,0,"Vol100"}</definedName>
    <definedName name="wrn.Einhundert._.Prozent._.erste._.elf._.Perioden." hidden="1" function="0" vbProcedure="0">{"Erste elf Perioden",#N/A,0,"Erf";"Erste elf Perioden",#N/A,0,"BV100";"Erste elf Perioden",#N/A,0,"BE100";"Erste elf Perioden",#N/A,0,"Re100";"Erste elf Perioden",#N/A,0,"Vol100"}</definedName>
    <definedName name="wrn.Enitre._.Model." hidden="1" function="0" vbProcedure="0">{"Input Sheet",#N/A,0,"Input";"New Co",#N/A,0,"NEWCO";"Acq Cash Flow",#N/A,0,"Acq. CF";"Target Cash Flow",#N/A,0,"Tgt. CF";"Operational Merger",#N/A,0,"OP Merger";"Acq Balance Sheet",#N/A,0,"Acq. BS";"Target Balance Sheet",#N/A,0,"Tgt. BS";"BOE Comp",#N/A,0,"BOEComp"}</definedName>
    <definedName name="wrn.ETATS." hidden="1" function="0" vbProcedure="0">{"TABLE",#N/A,1,"Feuil1";"CONSO",#N/A,1,"Feuil1";"STHUB1",#N/A,1,"Feuil1";"STHUB2",#N/A,1,"Feuil1";"PROSERV",#N/A,1,"Feuil1";"GROUPE",#N/A,1,"Feuil1";"BERTHELET",#N/A,1,"Feuil1";"MEILLEURES",#N/A,1,"Feuil1";"TRICORP",#N/A,1,"Feuil1"}</definedName>
    <definedName name="wrn.Everything." hidden="1" function="0" vbProcedure="0">{#N/A,#N/A,0,"BNSF";#N/A,#N/A,0,"KC";#N/A,#N/A,0,"KCws";#N/A,#N/A,0,"MergKC";#N/A,#N/A,0,"CredStwKC";#N/A,#N/A,0,"SP";#N/A,#N/A,0,"SPws";#N/A,#N/A,0,"MergSP";#N/A,#N/A,0,"CredStwSP";#N/A,#N/A,0,"SPbrkup";#N/A,#N/A,0,"SPwBNSFws";#N/A,#N/A,0,"MergSPwBNSF";#N/A,#N/A,0,"CredStSPwBNSF (2)";#N/A,#N/A,0,"SPwKCws (2)";#N/A,#N/A,0,"MergSPwKC (2)";#N/A,#N/A,0,"CredStKCwSP";#N/A,#N/A,0,"ILL";#N/A,#N/A,0,"SPwILLws";#N/A,#N/A,0,"CredStILLwSP";#N/A,#N/A,0,"MergSPwILL";#N/A,#N/A,0,"CredStILLwSP";#N/A,#N/A,0,"Conrail";#N/A,#N/A,0,"CONws";#N/A,#N/A,0,"MergCON";#N/A,#N/A,0,"CredStwCON";#N/A,#N/A,0,"SPwCONws ";#N/A,#N/A,0,"MergSPwCON";#N/A,#N/A,0,"CredStILLwCON";#N/A,#N/A,0,"SPws (2)";#N/A,#N/A,0,"MergSP (2)";#N/A,#N/A,0,"CredStwSP (2)";#N/A,#N/A,0,"CSX";#N/A,#N/A,0,"CSXws";#N/A,#N/A,0,"MergCSX";#N/A,#N/A,0,"CredStwCSX";#N/A,#N/A,0,"Norfolk";#N/A,#N/A,0,"NORws";#N/A,#N/A,0,"MergNOR";#N/A,#N/A,0,"CredStwNOR";#N/A,#N/A,0,"NORwCONws";#N/A,#N/A,0,"MergNORwCON"}</definedName>
    <definedName name="wrn.Facility._.Profit._.and._.Loss." hidden="1" function="0" vbProcedure="0">{"Domestic Prisons - Prior to 1998 - 1",#N/A,0,"Domestic Prisons";"Domestic Prisons - Prior to 1998 - 2",#N/A,0,"Domestic Prisons";"Domestic Prisons - 1998",#N/A,0,"Domestic Prisons";"Domestic Prisons - 1999",#N/A,0,"Domestic Prisons";"Domestic Prisons - 2000",#N/A,0,"Domestic Prisons";"Domestic Prisons - 2001",#N/A,0,"Domestic Prisons"}</definedName>
    <definedName name="wrn.fc" hidden="1" function="0" vbProcedure="0">{"FCB_ALL",#N/A,0,"FCB"}</definedName>
    <definedName name="wrn.fc12" hidden="1" function="0" vbProcedure="0">{"FCB_ALL",#N/A,0,"FCB"}</definedName>
    <definedName name="wrn.fcb" hidden="1" function="0" vbProcedure="0">{"FCB_ALL",#N/A,0,"FCB"}</definedName>
    <definedName name="wrn.FCB." hidden="1" function="0" vbProcedure="0">{"FCB_ALL",#N/A,0,"FCB"}</definedName>
    <definedName name="wrn.fcb.1" hidden="1" function="0" vbProcedure="0">{"FCB_ALL",#N/A,0,"FCB"}</definedName>
    <definedName name="wrn.fcb.9" hidden="1" function="0" vbProcedure="0">{"FCB_ALL",#N/A,0,"FCB"}</definedName>
    <definedName name="wrn.fcb._dcf" hidden="1" function="0" vbProcedure="0">{"FCB_ALL",#N/A,0,"FCB"}</definedName>
    <definedName name="wrn.fcb1" hidden="1" function="0" vbProcedure="0">{"FCB_ALL",#N/A,0,"FCB"}</definedName>
    <definedName name="wrn.fcb10" hidden="1" function="0" vbProcedure="0">{"FCB_ALL",#N/A,0,"FCB"}</definedName>
    <definedName name="wrn.fcb11" hidden="1" function="0" vbProcedure="0">{"FCB_ALL",#N/A,0,"FCB"}</definedName>
    <definedName name="wrn.fcb2" hidden="1" function="0" vbProcedure="0">{"FCB_ALL",#N/A,0,"FCB"}</definedName>
    <definedName name="wrn.fcb2_dcf" hidden="1" function="0" vbProcedure="0">{"FCB_ALL",#N/A,0,"FCB"}</definedName>
    <definedName name="wrn.fcb3" hidden="1" function="0" vbProcedure="0">{"FCB_ALL",#N/A,0,"FCB"}</definedName>
    <definedName name="wrn.fcb4" hidden="1" function="0" vbProcedure="0">{"FCB_ALL",#N/A,0,"FCB"}</definedName>
    <definedName name="wrn.fcb5" hidden="1" function="0" vbProcedure="0">{"FCB_ALL",#N/A,0,"FCB"}</definedName>
    <definedName name="wrn.fcb6" hidden="1" function="0" vbProcedure="0">{"FCB_ALL",#N/A,0,"FCB"}</definedName>
    <definedName name="wrn.fcb7" hidden="1" function="0" vbProcedure="0">{"FCB_ALL",#N/A,0,"FCB"}</definedName>
    <definedName name="wrn.fcb8" hidden="1" function="0" vbProcedure="0">{"FCB_ALL",#N/A,0,"FCB"}</definedName>
    <definedName name="wrn.fcb9" hidden="1" function="0" vbProcedure="0">{"FCB_ALL",#N/A,0,"FCB"}</definedName>
    <definedName name="wrn.FDII6_01PortReview." hidden="1" function="0" vbProcedure="0">{#N/A,#N/A,1,"Port Summary II";#N/A,#N/A,1,"BV Valuation";#N/A,#N/A,1,"FV Valuation";#N/A,#N/A,1,"JRI";#N/A,#N/A,1,"Weasler";#N/A,#N/A,1,"Stronghaven";#N/A,#N/A,1,"Connor";#N/A,#N/A,1,"HWC";#N/A,#N/A,1,"Temple"}</definedName>
    <definedName name="wrn.FdIII6_30_01PortRev.." hidden="1" function="0" vbProcedure="0">{#N/A,#N/A,1,"Beacon";#N/A,#N/A,1,"CII";#N/A,#N/A,1,"MCA";#N/A,#N/A,1,"Elm";#N/A,#N/A,1,"Tharco";#N/A,#N/A,1,"Dee H";#N/A,#N/A,1,"Hunt Valve";#N/A,#N/A,1,"KBA";#N/A,#N/A,1,"Glassmaster";#N/A,#N/A,1,"MLS";#N/A,#N/A,1,"CBSA";#N/A,#N/A,1,"ACE";#N/A,#N/A,1,"United Central";#N/A,#N/A,1,"Jakel";#N/A,#N/A,1,"Lake City "}</definedName>
    <definedName name="wrn.Filter." hidden="1" function="0" vbProcedure="0">{#N/A,#N/A,0,"Assump2";#N/A,#N/A,0,"Income2";#N/A,#N/A,0,"Balance2";#N/A,#N/A,0,"DCF Filter";#N/A,#N/A,0,"Trans Assump2";#N/A,#N/A,0,"Combined Income2";#N/A,#N/A,0,"Combined Balance2"}</definedName>
    <definedName name="wrn.financial._.package." hidden="1" function="0" vbProcedure="0">{#N/A,#N/A,0,"BALANCE SHEET";#N/A,#N/A,0,"IS";#N/A,#N/A,0,"ISCOMPAR";#N/A,#N/A,0,"ADD RETMAR";#N/A,#N/A,0,"VARIOUS COMP";#N/A,#N/A,0,"RATIOS";#N/A,#N/A,0,"GRAPHS"}</definedName>
    <definedName name="wrn.Financial_Package." hidden="1" function="0" vbProcedure="0">{#N/A,#N/A,0,"Cover";#N/A,#N/A,0,"TOC";#N/A,#N/A,0,"IS";#N/A,#N/A,0,"Mo. IS";#N/A,#N/A,0,"Cont By Div";#N/A,#N/A,0,"BS";#N/A,#N/A,0,"CF";#N/A,#N/A,0,"Inventory"}</definedName>
    <definedName name="wrn.finmodel." hidden="1" function="0" vbProcedure="0">{#N/A,#N/A,0,"Fin Model"}</definedName>
    <definedName name="wrn.finmodel._1" hidden="1" function="0" vbProcedure="0">{#N/A,#N/A,0,"Fin Model"}</definedName>
    <definedName name="wrn.finmodel._1_1" hidden="1" function="0" vbProcedure="0">{#N/A,#N/A,0,"Fin Model"}</definedName>
    <definedName name="wrn.finmodel._1_2" hidden="1" function="0" vbProcedure="0">{#N/A,#N/A,0,"Fin Model"}</definedName>
    <definedName name="wrn.finmodel._1_3" hidden="1" function="0" vbProcedure="0">{#N/A,#N/A,0,"Fin Model"}</definedName>
    <definedName name="wrn.finmodel._1_4" hidden="1" function="0" vbProcedure="0">{#N/A,#N/A,0,"Fin Model"}</definedName>
    <definedName name="wrn.finmodel._2" hidden="1" function="0" vbProcedure="0">{#N/A,#N/A,0,"Fin Model"}</definedName>
    <definedName name="wrn.finmodel._3" hidden="1" function="0" vbProcedure="0">{#N/A,#N/A,0,"Fin Model"}</definedName>
    <definedName name="wrn.finmodel._4" hidden="1" function="0" vbProcedure="0">{#N/A,#N/A,0,"Fin Model"}</definedName>
    <definedName name="wrn.finmodel._5" hidden="1" function="0" vbProcedure="0">{#N/A,#N/A,0,"Fin Model"}</definedName>
    <definedName name="wrn.first2." hidden="1" function="0" vbProcedure="0">{#N/A,#N/A,0,"sum-don";#N/A,#N/A,0,"inc-don"}</definedName>
    <definedName name="wrn.first3." hidden="1" function="0" vbProcedure="0">{#N/A,#N/A,0,"Summary";#N/A,#N/A,0,"proj1";#N/A,#N/A,0,"proj2"}</definedName>
    <definedName name="wrn.first4." hidden="1" function="0" vbProcedure="0">{#N/A,#N/A,0,"Summary";#N/A,#N/A,0,"proj1";#N/A,#N/A,0,"proj2";#N/A,#N/A,0,"DCF"}</definedName>
    <definedName name="wrn.fleck." hidden="1" function="0" vbProcedure="0">{"first",#N/A,0,"FLEXPAC2";"second",#N/A,0,"FLEXPAC2"}</definedName>
    <definedName name="wrn.fleckcompac." hidden="1" function="0" vbProcedure="0">{"one",#N/A,0,"FLEXPAC2";"two",#N/A,0,"FLEXPAC2";"three",#N/A,0,"FLEXPAC2"}</definedName>
    <definedName name="wrn.FS_2005." hidden="1" function="0" vbProcedure="0">{"BS-Yearly",#N/A,1,"BS-Year";"BS-Monthly-2005",#N/A,1,"BS"}</definedName>
    <definedName name="wrn.Full._.Budget." hidden="1" function="0" vbProcedure="0">{#N/A,#N/A,0,"IS-Month";#N/A,#N/A,0,"IS-Qtr";#N/A,#N/A,0,"Bal";#N/A,#N/A,0,"Flow";#N/A,#N/A,0,"Volumes";#N/A,#N/A,0,"LOE";#N/A,#N/A,0,"Revenues";#N/A,#N/A,0,"OpMar";#N/A,#N/A,0,"DD&amp;A";#N/A,#N/A,0,"Oil $";#N/A,#N/A,0,"Gas $";#N/A,#N/A,0,"Swaps";#N/A,#N/A,0,"CAPEX";#N/A,#N/A,0,"G&amp;A";#N/A,#N/A,0,"Debt";#N/A,#N/A,0,"Interest"}</definedName>
    <definedName name="wrn.Full._.Model." hidden="1" function="0" vbProcedure="0">{#N/A,#N/A,1,"Summary";#N/A,#N/A,1,"Operating";#N/A,#N/A,1,"Shares";#N/A,#N/A,1,"Earnings";#N/A,#N/A,1,"Cash Flow";#N/A,#N/A,1,"Bal";#N/A,#N/A,1,"Taxes";#N/A,#N/A,1,"Reserves";#N/A,#N/A,1,"Debt";#N/A,#N/A,1,"Netback";#N/A,#N/A,1,"NAV";#N/A,#N/A,1,"Quarters";#N/A,#N/A,1,"ROE"}</definedName>
    <definedName name="wrn.Full._.Package." hidden="1" function="0" vbProcedure="0">{#N/A,#N/A,0,"COVER";#N/A,#N/A,0,"INDEX";#N/A,#N/A,0,"P1000 P&amp;L";#N/A,#N/A,0,"B1000 Balance Sheet";#N/A,#N/A,0,"P1100 Turnover";#N/A,#N/A,0,"P1200 Exceptional";#N/A,#N/A,0,"P1300 Interest";#N/A,#N/A,0,"P1400 Dividends";#N/A,#N/A,0,"P1500 Other P&amp;L Details";#N/A,#N/A,0,"P1600 Profit Reconciliation";#N/A,#N/A,0,"B1100 Tangible Assets";#N/A,#N/A,0,"B1110 Plant and Equipment";#N/A,#N/A,0,"B1120 FA Disps &amp; Historic Cost";#N/A,#N/A,0,"B1200 Investment in Subs";#N/A,#N/A,0,"B1210 Provision in Subs";#N/A,#N/A,0,"B1300 Asso, Other Invs &amp; G'will";#N/A,#N/A,0,"B1400 Stocks";#N/A,#N/A,0,"B1500 Debtors";#N/A,#N/A,0,"B1600 Current Asset Investments";#N/A,#N/A,0,"B1700 Cash, Bank, Loans";#N/A,#N/A,0,"B1800 Creditors &lt; 1 Year";#N/A,#N/A,0,"B1900 Creditors &gt; 1 Year";#N/A,#N/A,0,"B2000 Leasing and Provisions";#N/A,#N/A,0,"B2100 Intra Group";#N/A,#N/A,0,"B2200 Assoc, Cap Com, Conting";#N/A,#N/A,0,"B3000 Share Capital &amp; Reserves";#N/A,#N/A,0,"T1000 Taxation";#N/A,#N/A,0,"D1000 Derivatives etc";#N/A,#N/A,0,"R1000 Related Party"}</definedName>
    <definedName name="wrn.Full._.Print._.Out." hidden="1" function="0" vbProcedure="0">{#N/A,#N/A,1,"Notice";#N/A,#N/A,1,"Title";#N/A,#N/A,1,"Contents";#N/A,#N/A,1,"General Assumptions";#N/A,#N/A,1,"Accounts";#N/A,#N/A,1,"OperatingAssumptions";#N/A,#N/A,1,"OpAssBk";#N/A,#N/A,1,"Consumer";#N/A,#N/A,1,"Business";#N/A,#N/A,1,"CorpISP";#N/A,#N/A,1,"ISP";#N/A,#N/A,1,"Carrier";#N/A,#N/A,1,"Other";#N/A,#N/A,1,"Depn";#N/A,#N/A,1,"Debt";#N/A,#N/A,1,"Cashflow";#N/A,#N/A,1,"Finance Leases";#N/A,#N/A,1,"Optus Lease";#N/A,#N/A,1,"Sthn Cross Lease";#N/A,#N/A,1,"Ops Summary";#N/A,#N/A,1,"Summary";#N/A,#N/A,1,"AssBookGen";#N/A,#N/A,1,"Historical Data"}</definedName>
    <definedName name="wrn.Full._.Print._.Out._1" hidden="1" function="0" vbProcedure="0">{#N/A,#N/A,1,"Notice";#N/A,#N/A,1,"Title";#N/A,#N/A,1,"Contents";#N/A,#N/A,1,"General Assumptions";#N/A,#N/A,1,"Accounts";#N/A,#N/A,1,"OperatingAssumptions";#N/A,#N/A,1,"OpAssBk";#N/A,#N/A,1,"Consumer";#N/A,#N/A,1,"Business";#N/A,#N/A,1,"CorpISP";#N/A,#N/A,1,"ISP";#N/A,#N/A,1,"Carrier";#N/A,#N/A,1,"Other";#N/A,#N/A,1,"Depn";#N/A,#N/A,1,"Debt";#N/A,#N/A,1,"Cashflow";#N/A,#N/A,1,"Finance Leases";#N/A,#N/A,1,"Optus Lease";#N/A,#N/A,1,"Sthn Cross Lease";#N/A,#N/A,1,"Ops Summary";#N/A,#N/A,1,"Summary";#N/A,#N/A,1,"AssBookGen";#N/A,#N/A,1,"Historical Data"}</definedName>
    <definedName name="wrn.Full._.Print._.Out._1_1" hidden="1" function="0" vbProcedure="0">{#N/A,#N/A,1,"Notice";#N/A,#N/A,1,"Title";#N/A,#N/A,1,"Contents";#N/A,#N/A,1,"General Assumptions";#N/A,#N/A,1,"Accounts";#N/A,#N/A,1,"OperatingAssumptions";#N/A,#N/A,1,"OpAssBk";#N/A,#N/A,1,"Consumer";#N/A,#N/A,1,"Business";#N/A,#N/A,1,"CorpISP";#N/A,#N/A,1,"ISP";#N/A,#N/A,1,"Carrier";#N/A,#N/A,1,"Other";#N/A,#N/A,1,"Depn";#N/A,#N/A,1,"Debt";#N/A,#N/A,1,"Cashflow";#N/A,#N/A,1,"Finance Leases";#N/A,#N/A,1,"Optus Lease";#N/A,#N/A,1,"Sthn Cross Lease";#N/A,#N/A,1,"Ops Summary";#N/A,#N/A,1,"Summary";#N/A,#N/A,1,"AssBookGen";#N/A,#N/A,1,"Historical Data"}</definedName>
    <definedName name="wrn.Full._.Print._.Out._1_2" hidden="1" function="0" vbProcedure="0">{#N/A,#N/A,1,"Notice";#N/A,#N/A,1,"Title";#N/A,#N/A,1,"Contents";#N/A,#N/A,1,"General Assumptions";#N/A,#N/A,1,"Accounts";#N/A,#N/A,1,"OperatingAssumptions";#N/A,#N/A,1,"OpAssBk";#N/A,#N/A,1,"Consumer";#N/A,#N/A,1,"Business";#N/A,#N/A,1,"CorpISP";#N/A,#N/A,1,"ISP";#N/A,#N/A,1,"Carrier";#N/A,#N/A,1,"Other";#N/A,#N/A,1,"Depn";#N/A,#N/A,1,"Debt";#N/A,#N/A,1,"Cashflow";#N/A,#N/A,1,"Finance Leases";#N/A,#N/A,1,"Optus Lease";#N/A,#N/A,1,"Sthn Cross Lease";#N/A,#N/A,1,"Ops Summary";#N/A,#N/A,1,"Summary";#N/A,#N/A,1,"AssBookGen";#N/A,#N/A,1,"Historical Data"}</definedName>
    <definedName name="wrn.Full._.Print._.Out._1_3" hidden="1" function="0" vbProcedure="0">{#N/A,#N/A,1,"Notice";#N/A,#N/A,1,"Title";#N/A,#N/A,1,"Contents";#N/A,#N/A,1,"General Assumptions";#N/A,#N/A,1,"Accounts";#N/A,#N/A,1,"OperatingAssumptions";#N/A,#N/A,1,"OpAssBk";#N/A,#N/A,1,"Consumer";#N/A,#N/A,1,"Business";#N/A,#N/A,1,"CorpISP";#N/A,#N/A,1,"ISP";#N/A,#N/A,1,"Carrier";#N/A,#N/A,1,"Other";#N/A,#N/A,1,"Depn";#N/A,#N/A,1,"Debt";#N/A,#N/A,1,"Cashflow";#N/A,#N/A,1,"Finance Leases";#N/A,#N/A,1,"Optus Lease";#N/A,#N/A,1,"Sthn Cross Lease";#N/A,#N/A,1,"Ops Summary";#N/A,#N/A,1,"Summary";#N/A,#N/A,1,"AssBookGen";#N/A,#N/A,1,"Historical Data"}</definedName>
    <definedName name="wrn.Full._.Print._.Out._1_4" hidden="1" function="0" vbProcedure="0">{#N/A,#N/A,1,"Notice";#N/A,#N/A,1,"Title";#N/A,#N/A,1,"Contents";#N/A,#N/A,1,"General Assumptions";#N/A,#N/A,1,"Accounts";#N/A,#N/A,1,"OperatingAssumptions";#N/A,#N/A,1,"OpAssBk";#N/A,#N/A,1,"Consumer";#N/A,#N/A,1,"Business";#N/A,#N/A,1,"CorpISP";#N/A,#N/A,1,"ISP";#N/A,#N/A,1,"Carrier";#N/A,#N/A,1,"Other";#N/A,#N/A,1,"Depn";#N/A,#N/A,1,"Debt";#N/A,#N/A,1,"Cashflow";#N/A,#N/A,1,"Finance Leases";#N/A,#N/A,1,"Optus Lease";#N/A,#N/A,1,"Sthn Cross Lease";#N/A,#N/A,1,"Ops Summary";#N/A,#N/A,1,"Summary";#N/A,#N/A,1,"AssBookGen";#N/A,#N/A,1,"Historical Data"}</definedName>
    <definedName name="wrn.Full._.Print._.Out._2" hidden="1" function="0" vbProcedure="0">{#N/A,#N/A,1,"Notice";#N/A,#N/A,1,"Title";#N/A,#N/A,1,"Contents";#N/A,#N/A,1,"General Assumptions";#N/A,#N/A,1,"Accounts";#N/A,#N/A,1,"OperatingAssumptions";#N/A,#N/A,1,"OpAssBk";#N/A,#N/A,1,"Consumer";#N/A,#N/A,1,"Business";#N/A,#N/A,1,"CorpISP";#N/A,#N/A,1,"ISP";#N/A,#N/A,1,"Carrier";#N/A,#N/A,1,"Other";#N/A,#N/A,1,"Depn";#N/A,#N/A,1,"Debt";#N/A,#N/A,1,"Cashflow";#N/A,#N/A,1,"Finance Leases";#N/A,#N/A,1,"Optus Lease";#N/A,#N/A,1,"Sthn Cross Lease";#N/A,#N/A,1,"Ops Summary";#N/A,#N/A,1,"Summary";#N/A,#N/A,1,"AssBookGen";#N/A,#N/A,1,"Historical Data"}</definedName>
    <definedName name="wrn.Full._.Print._.Out._3" hidden="1" function="0" vbProcedure="0">{#N/A,#N/A,1,"Notice";#N/A,#N/A,1,"Title";#N/A,#N/A,1,"Contents";#N/A,#N/A,1,"General Assumptions";#N/A,#N/A,1,"Accounts";#N/A,#N/A,1,"OperatingAssumptions";#N/A,#N/A,1,"OpAssBk";#N/A,#N/A,1,"Consumer";#N/A,#N/A,1,"Business";#N/A,#N/A,1,"CorpISP";#N/A,#N/A,1,"ISP";#N/A,#N/A,1,"Carrier";#N/A,#N/A,1,"Other";#N/A,#N/A,1,"Depn";#N/A,#N/A,1,"Debt";#N/A,#N/A,1,"Cashflow";#N/A,#N/A,1,"Finance Leases";#N/A,#N/A,1,"Optus Lease";#N/A,#N/A,1,"Sthn Cross Lease";#N/A,#N/A,1,"Ops Summary";#N/A,#N/A,1,"Summary";#N/A,#N/A,1,"AssBookGen";#N/A,#N/A,1,"Historical Data"}</definedName>
    <definedName name="wrn.Full._.Print._.Out._4" hidden="1" function="0" vbProcedure="0">{#N/A,#N/A,1,"Notice";#N/A,#N/A,1,"Title";#N/A,#N/A,1,"Contents";#N/A,#N/A,1,"General Assumptions";#N/A,#N/A,1,"Accounts";#N/A,#N/A,1,"OperatingAssumptions";#N/A,#N/A,1,"OpAssBk";#N/A,#N/A,1,"Consumer";#N/A,#N/A,1,"Business";#N/A,#N/A,1,"CorpISP";#N/A,#N/A,1,"ISP";#N/A,#N/A,1,"Carrier";#N/A,#N/A,1,"Other";#N/A,#N/A,1,"Depn";#N/A,#N/A,1,"Debt";#N/A,#N/A,1,"Cashflow";#N/A,#N/A,1,"Finance Leases";#N/A,#N/A,1,"Optus Lease";#N/A,#N/A,1,"Sthn Cross Lease";#N/A,#N/A,1,"Ops Summary";#N/A,#N/A,1,"Summary";#N/A,#N/A,1,"AssBookGen";#N/A,#N/A,1,"Historical Data"}</definedName>
    <definedName name="wrn.Full._.Print._.Out._5" hidden="1" function="0" vbProcedure="0">{#N/A,#N/A,1,"Notice";#N/A,#N/A,1,"Title";#N/A,#N/A,1,"Contents";#N/A,#N/A,1,"General Assumptions";#N/A,#N/A,1,"Accounts";#N/A,#N/A,1,"OperatingAssumptions";#N/A,#N/A,1,"OpAssBk";#N/A,#N/A,1,"Consumer";#N/A,#N/A,1,"Business";#N/A,#N/A,1,"CorpISP";#N/A,#N/A,1,"ISP";#N/A,#N/A,1,"Carrier";#N/A,#N/A,1,"Other";#N/A,#N/A,1,"Depn";#N/A,#N/A,1,"Debt";#N/A,#N/A,1,"Cashflow";#N/A,#N/A,1,"Finance Leases";#N/A,#N/A,1,"Optus Lease";#N/A,#N/A,1,"Sthn Cross Lease";#N/A,#N/A,1,"Ops Summary";#N/A,#N/A,1,"Summary";#N/A,#N/A,1,"AssBookGen";#N/A,#N/A,1,"Historical Data"}</definedName>
    <definedName name="wrn.Full._.Report." hidden="1" function="0" vbProcedure="0">{"Assumptions",#N/A,0,"Sheet1";"Main Report",#N/A,0,"Sheet1";"Results",#N/A,0,"Sheet1";"Advances",#N/A,0,"Sheet1"}</definedName>
    <definedName name="wrn.Full_Template." hidden="1" function="0" vbProcedure="0">{#N/A,#N/A,0,"1Summary";#N/A,#N/A,0,"2Assumptions";#N/A,#N/A,0,"3Cash Flow";#N/A,#N/A,0,"4Return of Investment Chart";#N/A,#N/A,0,"5Year 1 Reconciliation";#N/A,#N/A,0,"6Residual";#N/A,#N/A,0,"7Pricing Matrix";#N/A,#N/A,0,"8Vacancy Matrix";#N/A,#N/A,0,"9Vacancy Chart";#N/A,#N/A,0,"AExpiration Schedule";#N/A,#N/A,0,"BExpiration Chart";#N/A,#N/A,0,"CLease-up Schedule";#N/A,#N/A,0,"DWeighted Average Calculation"}</definedName>
    <definedName name="wrn.Fund._.II." hidden="1" function="0" vbProcedure="0">{#N/A,#N/A,1,"Fd II Bullets";#N/A,#N/A,1,"FD II Portfolio Summary";#N/A,#N/A,1,"BV Valuation";#N/A,#N/A,1,"FV Valuation";#N/A,#N/A,1,"Fd II Cap. Position ";#N/A,#N/A,1,"JRI";#N/A,#N/A,1,"Weasler";#N/A,#N/A,1,"Weasler val";#N/A,#N/A,1,"NDS ";#N/A,#N/A,1,"J Chain";#N/A,#N/A,1,"J Chain Val";#N/A,#N/A,1,"Monona";#N/A,#N/A,1,"Monona Val";#N/A,#N/A,1,"Stronghaven";#N/A,#N/A,1,"Connor";#N/A,#N/A,1,"DSI";#N/A,#N/A,1,"DSI Val";#N/A,#N/A,1,"HWC";#N/A,#N/A,1,"Temple";#N/A,#N/A,1,"Temple Val"}</definedName>
    <definedName name="wrn.Fund._.II._.Adv.._.Brd._.June._.2000." hidden="1" function="0" vbProcedure="0">{#N/A,#N/A,1,"FD II Portfolio Summary";#N/A,#N/A,1,"JRI";#N/A,#N/A,1,"NDS";#N/A,#N/A,1,"Weasler";#N/A,#N/A,1,"Stronghaven";#N/A,#N/A,1,"Connor";#N/A,#N/A,1,"Docu";#N/A,#N/A,1,"HWC";#N/A,#N/A,1,"Temple"}</definedName>
    <definedName name="wrn.Fund._.II._.Adv._.Mtg.." hidden="1" function="0" vbProcedure="0">{#N/A,#N/A,1,"BV Valuation II";#N/A,#N/A,1,"FV Valuation";#N/A,#N/A,1,"Fd II Cap. Position ";#N/A,#N/A,1,"JRI";#N/A,#N/A,1,"Weasler";#N/A,#N/A,1,"NDS ";#N/A,#N/A,1,"J Chain";#N/A,#N/A,1,"Monona";#N/A,#N/A,1,"Stronghaven";#N/A,#N/A,1,"Connor";#N/A,#N/A,1,"DSI";#N/A,#N/A,1,"HWC";#N/A,#N/A,1,"Temple";#N/A,#N/A,1,"F3 Bullets";#N/A,#N/A,1,"FD II Portfolio Summary";#N/A,#N/A,1,"BV Valuation";#N/A,#N/A,1,"MV Valuation";#N/A,#N/A,1,"Fd III Cap. Position ";#N/A,#N/A,1,"Beacon";#N/A,#N/A,1,"CII";#N/A,#N/A,1,"MCA";#N/A,#N/A,1,"Elm";#N/A,#N/A,1,"Tharco";#N/A,#N/A,1,"Dee H";#N/A,#N/A,1,"Globe";#N/A,#N/A,1,"Hunt Valve";#N/A,#N/A,1,"KBA";#N/A,#N/A,1,"Glassmaster";#N/A,#N/A,1,"May";#N/A,#N/A,1,"CBSA";#N/A,#N/A,1,"ACE"}</definedName>
    <definedName name="wrn.Fund._.II._.Mtg.." hidden="1" function="0" vbProcedure="0">{#N/A,#N/A,1,"FD II Portfolio Summary";#N/A,#N/A,1,"Fd II Cap. Position ";#N/A,#N/A,1,"BV Valuation";#N/A,#N/A,1,"FV Valuation";#N/A,#N/A,1,"Valuation Change";#N/A,#N/A,1,"Weasler";#N/A,#N/A,1,"Weasler val";#N/A,#N/A,1,"J Chain";#N/A,#N/A,1,"J Chain Val";#N/A,#N/A,1,"Monona";#N/A,#N/A,1,"Monona Val";#N/A,#N/A,1,"DSI";#N/A,#N/A,1,"DSI Val";#N/A,#N/A,1,"Temple";#N/A,#N/A,1,"Temple Val";#N/A,#N/A,1,"JRI";#N/A,#N/A,1,"NDS ";#N/A,#N/A,1,"Stronghaven";#N/A,#N/A,1,"Connor";#N/A,#N/A,1,"HWC"}</definedName>
    <definedName name="wrn.Fund._.III." hidden="1" function="0" vbProcedure="0">{#N/A,#N/A,1,"F3 Bullets";#N/A,#N/A,1,"FD III Port Summ";#N/A,#N/A,1,"BV Valuation";#N/A,#N/A,1,"Fd III Cap. Position ";#N/A,#N/A,1,"Beacon";#N/A,#N/A,1,"Beacon (2)";#N/A,#N/A,1,"CII";#N/A,#N/A,1,"CII 2";#N/A,#N/A,1,"MCA";#N/A,#N/A,1,"Elm";#N/A,#N/A,1,"Tharco";#N/A,#N/A,1,"Dee H";#N/A,#N/A,1,"Globe";#N/A,#N/A,1,"Hunt Valve";#N/A,#N/A,1,"KBA";#N/A,#N/A,1,"Glassmaster";#N/A,#N/A,1,"May"}</definedName>
    <definedName name="wrn.Fund._.III._.Adv.._.Brd.._.June._.2000." hidden="1" function="0" vbProcedure="0">{#N/A,#N/A,1,"FD III Port Summ";#N/A,#N/A,1,"Beacon";#N/A,#N/A,1,"CII";#N/A,#N/A,1,"MCA";#N/A,#N/A,1,"Elm";#N/A,#N/A,1,"Tharco";#N/A,#N/A,1,"Dee H";#N/A,#N/A,1,"Globe";#N/A,#N/A,1,"Hunt Valve";#N/A,#N/A,1,"KBA";#N/A,#N/A,1,"Glassmaster";#N/A,#N/A,1,"MLS";#N/A,#N/A,1,"CBSA";#N/A,#N/A,1,"ACE";#N/A,#N/A,1,"United Central";#N/A,#N/A,1,"Jakel";#N/A,#N/A,1,"Lake City "}</definedName>
    <definedName name="wrn.Fund._.III._.Adv._.Mtg.." hidden="1" function="0" vbProcedure="0">{#N/A,#N/A,1,"F3 Bullets";#N/A,#N/A,1,"FD III Port Summ";#N/A,#N/A,1,"BV Valuation";#N/A,#N/A,1,"MV Valuation";#N/A,#N/A,1,"Fd III Cap. Position ";#N/A,#N/A,1,"Beacon";#N/A,#N/A,1,"CII";#N/A,#N/A,1,"MCA";#N/A,#N/A,1,"Elm";#N/A,#N/A,1,"Tharco";#N/A,#N/A,1,"Dee H";#N/A,#N/A,1,"Globe";#N/A,#N/A,1,"Hunt Valve";#N/A,#N/A,1,"KBA";#N/A,#N/A,1,"Glassmaster";#N/A,#N/A,1,"May";#N/A,#N/A,1,"ACE"}</definedName>
    <definedName name="wrn.Fund._.IV._.Adv.._.Brd.._.June._.2000." hidden="1" function="0" vbProcedure="0">{#N/A,#N/A,1,"FD IV Portfolio Summary ";#N/A,#N/A,1,"Western";#N/A,#N/A,1,"Kranson";#N/A,#N/A,1,"ARC";#N/A,#N/A,1,"Precise";#N/A,#N/A,1,"WNA"}</definedName>
    <definedName name="wrn.FUNDING._.ANALYSIS._.PRINT." hidden="1" function="0" vbProcedure="0">{"0TOC",#N/A,1,"Sheet2";"1 2 3","A Scenario 1",1,"STAND ALONE";"1 2 3","A SCenario 2",1,"STAND ALONE";"1 2 3","A Scenario 3",1,"STAND ALONE";"4","A Scenario 4",1,"STAND ALONE";"5","A Scenario 5",1,"EDWARD SCENARIOS";"6","A Scenario 6",1,"EDWARD SCENARIOS";"7","A Scenario 7",1,"SAM SCENARIOS";"8","A Scenario 8",1,"SAM SCENARIOS";"9 - Nutmeg",#N/A,1,"NUTMEG";"10 - LA",#N/A,1,"LATAM CASH";"11 - Stream nds",#N/A,1,"STREAM - NDS"}</definedName>
    <definedName name="wrn.Funnel._.Report." hidden="1" function="0" vbProcedure="0">{#N/A,#N/A,0,"funnel";#N/A,#N/A,0,"AE Summary";#N/A,#N/A,0,"Product Summary"}</definedName>
    <definedName name="wrn.FY97SBP." hidden="1" function="0" vbProcedure="0">{#N/A,#N/A,0,"FY97";#N/A,#N/A,0,"FY98";#N/A,#N/A,0,"FY99";#N/A,#N/A,0,"FY00";#N/A,#N/A,0,"FY01"}</definedName>
    <definedName name="wrn.GCIall." hidden="1" function="0" vbProcedure="0">{"gcicash",#N/A,0,"GCIINC";"gciinc",#N/A,0,"GCIINC";"gciexclusa",#N/A,0,"GCIINC";"usatdy",#N/A,0,"GCIINC"}</definedName>
    <definedName name="wrn.Gesamtausdruck._.alle._.Perioden." hidden="1" function="0" vbProcedure="0">{"Alle Perioden",#N/A,0,"Erf";"Alle Perioden",#N/A,0,"Ang";"Alle Perioden",#N/A,0,"BV";"Alle Perioden",#N/A,0,"BE";"Alle Perioden",#N/A,0,"Re";"Alle Perioden",#N/A,0,"Vol";"Alle Perioden",#N/A,0,"BV100";"Alle Perioden",#N/A,0,"BE100";"Alle Perioden",#N/A,0,"Re100";"Alle Perioden",#N/A,0,"Vol100"}</definedName>
    <definedName name="wrn.Gesamtausdruck._.erste._.elf._.Perioden." hidden="1" function="0" vbProcedure="0">{"Erste elf Perioden",#N/A,0,"Erf";"Erste elf Perioden",#N/A,0,"Ang";"Erste elf Perioden",#N/A,0,"BV";"Erste elf Perioden",#N/A,0,"BE";"Erste elf Perioden",#N/A,0,"Re";"Erste elf Perioden",#N/A,0,"Vol";"Erste elf Perioden",#N/A,0,"BV100";"Erste elf Perioden",#N/A,0,"BE100";"Erste elf Perioden",#N/A,0,"Re100";"Erste elf Perioden",#N/A,0,"Vol100"}</definedName>
    <definedName name="wrn.GIS." hidden="1" function="0" vbProcedure="0">{#N/A,#N/A,0,"GIS"}</definedName>
    <definedName name="wrn.graph." hidden="1" function="0" vbProcedure="0">{"graph",#N/A,0,"RIGCOUNT";"graph",#N/A,0,"ON_OFFSHORE";"graph",#N/A,0,"crewcnt";"graph",#N/A,0,"OILvGAS";"graph",#N/A,0,"OFF_RIGCOUNT";"graph",#N/A,0,"indep perf";"graph",#N/A,0,"oil serv perf"}</definedName>
    <definedName name="wrn.GRAPHS." hidden="1" function="0" vbProcedure="0">{#N/A,#N/A,0,"ACQ_GRAPHS";#N/A,#N/A,0,"T_1 GRAPHS";#N/A,#N/A,0,"T_2 GRAPHS";#N/A,#N/A,0,"COMB_GRAPHS"}</definedName>
    <definedName name="wrn.Group._.budget._.months._.only." hidden="1" function="0" vbProcedure="0">{"Group Budget months only",#N/A,1,"Profit and Loss";"Group Budget months only",#N/A,1,"Firm capex";"Group Budget months only",#N/A,1,"Gross profit analysis";"Group Budget months only",#N/A,1,"Cashflow";"Group Budget months only",#N/A,1,"Balance Sheet"}</definedName>
    <definedName name="wrn.Group._.budget._.years._.only." hidden="1" function="0" vbProcedure="0">{"Group Budget years only",#N/A,1,"Profit and Loss";"Group Budget years only",#N/A,1,"Firm capex";"Group Budget years only",#N/A,1,"Gross profit analysis";"Group Budget years only",#N/A,1,"Cashflow";"Group Budget years only",#N/A,1,"Balance Sheet"}</definedName>
    <definedName name="wrn.Growth." hidden="1" function="0" vbProcedure="0">{#N/A,#N/A,0,"Rev Grwth";#N/A,#N/A,0,"Op Inc Grwth";#N/A,#N/A,0,"Net Grwth";#N/A,#N/A,0,"EPS Growth"}</definedName>
    <definedName name="wrn.HANDOUT." hidden="1" function="0" vbProcedure="0">{#N/A,#N/A,0,"COVER PAGE";#N/A,#N/A,0,"Page 2";#N/A,#N/A,0,"Page 2";#N/A,#N/A,0,"Page 4";#N/A,#N/A,0,"Page5";#N/A,#N/A,0,"Page 6";#N/A,#N/A,0,"Page 7";#N/A,#N/A,0,"Page 8";#N/A,#N/A,0,"Page 10";#N/A,#N/A,0,"Long-Term OCF Mult.";#N/A,#N/A,0,"PCS Comp";#N/A,#N/A,0,"OCS-CAPEX";#N/A,#N/A,0,"Blank"}</definedName>
    <definedName name="wrn.HEAT." hidden="1" function="0" vbProcedure="0">{#N/A,#N/A,0,"Heat";#N/A,#N/A,0,"DCF";#N/A,#N/A,0,"LBO";#N/A,#N/A,0,"A";#N/A,#N/A,0,"C";#N/A,#N/A,0,"impd";#N/A,#N/A,0,"Accr-Dilu"}</definedName>
    <definedName name="wrn.historical." hidden="1" function="0" vbProcedure="0">{"historical_is_annual",#N/A,0,"historical is";"historical_is_annual_cs",#N/A,0,"historical is";"historical_is_annual_growth",#N/A,0,"historical is";"historical_is_quarter",#N/A,0,"historical is";"historical_is_quarter_cs",#N/A,0,"historical is";"historical_is_quarter_growth",#N/A,0,"historical is";"historical_bs_annual",#N/A,0,"historical is";"historical_bs_annaul_cs",#N/A,0,"historical is";"historical_bs_annaul_growth",#N/A,0,"historical is";"historical_bs_quarter",#N/A,0,"historical is";"historical_bs_quarter_cs",#N/A,0,"historical is";"historical_bs_quarter_growth",#N/A,0,"historical is";"historical_cf",#N/A,0,"historical is";"historical_workcap",#N/A,0,"historical is";"historical_ratios_1",#N/A,0,"historical is";"historical_ratios_2",#N/A,0,"historical is";"historical_ratios_3",#N/A,0,"historical is"}</definedName>
    <definedName name="wrn.historical._.rev._.backup." hidden="1" function="0" vbProcedure="0">{"rev_history_revenueDetail",#N/A,0,"historical rev us";"rev_history_minutesDetail",#N/A,0,"historical rev us"}</definedName>
    <definedName name="wrn.HNZ." hidden="1" function="0" vbProcedure="0">{#N/A,#N/A,0,"HNZ"}</definedName>
    <definedName name="wrn.HSSH._.budget._.months._.NLG." hidden="1" function="0" vbProcedure="0">{"HSSH Group budget months only in NLG",#N/A,1,"Profit and Loss";"HSSH Group budget months only in NLG",#N/A,1,"Firm capex";"HSSH Group budget months only in NLG",#N/A,1,"Gross profit analysis";"HSSH Group budget months only in NLG",#N/A,1,"Cashflow";"HSSH Group budget months only in NLG",#N/A,1,"Balance Sheet"}</definedName>
    <definedName name="wrn.HSSH._.Budget._.months._.sterling." hidden="1" function="0" vbProcedure="0">{"HSSH Budget months only sterling",#N/A,1,"Profit and Loss";"HSSH Budget months only sterling",#N/A,1,"Firm capex";"HSSH Budget months only sterling",#N/A,1,"Gross profit analysis";"HSSH Budget months only sterling",#N/A,1,"Cashflow";"HSSH Budget months only sterling",#N/A,1,"Balance Sheet"}</definedName>
    <definedName name="wrn.HSSH._.budget._.years._.NLG." hidden="1" function="0" vbProcedure="0">{"HSSH Budget years NLG",#N/A,1,"Profit and Loss";"HSSH Budget years NLG",#N/A,1,"Firm capex";"HSSH Budget years NLG",#N/A,1,"Gross profit analysis";"HSSH Budget years NLG",#N/A,1,"Cashflow";"HSSH Budget years NLG",#N/A,1,"Balance Sheet"}</definedName>
    <definedName name="wrn.HSSH._.Budget._.years._.sterling." hidden="1" function="0" vbProcedure="0">{"HSSH Budget years sterling",#N/A,1,"Profit and Loss";"HSSH Budget years sterling",#N/A,1,"Firm capex";"HSSH Budget years sterling",#N/A,1,"Gross profit analysis";"HSSH Budget years sterling",#N/A,1,"Cashflow";"HSSH Budget years sterling",#N/A,1,"Balance Sheet"}</definedName>
    <definedName name="wrn.Hydraulic." hidden="1" function="0" vbProcedure="0">{#N/A,#N/A,0,"HuscoCombined-Summ";#N/A,#N/A,0,"HuscoCombined-Income";#N/A,#N/A,0,"HuscoCombined-Offering";#N/A,#N/A,0,"HuscoCombined-Split";#N/A,#N/A,0,"HuscoCombined-Mults";#N/A,#N/A,0,"Husco-Summ";#N/A,#N/A,0,"Husco-Income";#N/A,#N/A,0,"Husco-Offering";#N/A,#N/A,0,"Husco-Split";#N/A,#N/A,0,"Husco-Mults";#N/A,#N/A,0,"Target-Income"}</definedName>
    <definedName name="wrn.Hydraulic2." hidden="1" function="0" vbProcedure="0">{#N/A,#N/A,0,"HuscoCombined-Summ";#N/A,#N/A,0,"HuscoCombined-Income";#N/A,#N/A,0,"HuscoCombined-Offering";#N/A,#N/A,0,"Husco-Income";#N/A,#N/A,0,"TargetEngineer";#N/A,#N/A,0,"TargetAcqCalc";#N/A,#N/A,0,"Husco-Acq"}</definedName>
    <definedName name="wrn.II._.PortRev33102." hidden="1" function="0" vbProcedure="0">{#N/A,#N/A,1,"Port Summary II";#N/A,#N/A,1,"BV Valuation";#N/A,#N/A,1,"FV Valuation";#N/A,#N/A,1,"JRI";#N/A,#N/A,1,"Weasler";#N/A,#N/A,1,"Stronghaven";#N/A,#N/A,1,"Connor";#N/A,#N/A,1,"HWC";#N/A,#N/A,1,"Temple"}</definedName>
    <definedName name="wrn.III." hidden="1" function="0" vbProcedure="0">{"CASHFLOW",#N/A,0,"Northpointe"}</definedName>
    <definedName name="wrn.III1." hidden="1" function="0" vbProcedure="0">{"CASHFLOW",#N/A,0,"Northpointe"}</definedName>
    <definedName name="wrn.Ilijan._.Print." hidden="1" function="0" vbProcedure="0">{#N/A,#N/A,1,"CoverLetter";#N/A,#N/A,1,"Scope";#N/A,#N/A,1,"Table of Contents";#N/A,#N/A,1,"Summary";#N/A,#N/A,1,"Assumptions";#N/A,#N/A,1,"OrgChart";#N/A,#N/A,1,"Schedule";#N/A,#N/A,1,"Mob";#N/A,#N/A,1,"Spares";#N/A,#N/A,1,"MobStaff";#N/A,#N/A,1,"Training";#N/A,#N/A,1,"MobBackup";#N/A,#N/A,1,"ComOps";#N/A,#N/A,1,"Staff_Yrs1,3";#N/A,#N/A,1,"Staff_Yrs4,5";#N/A,#N/A,1,"Staff_Yrs6+";#N/A,#N/A,1,"ExpatBenefits";#N/A,#N/A,1,"ContractStaff";#N/A,#N/A,1,"CommOpnsBackup";#N/A,#N/A,1,"MR";#N/A,#N/A,1,"CTG L&amp;E";#N/A,#N/A,1,"STG L&amp;E";#N/A,#N/A,1,"Rotation";#N/A,#N/A,1,"AvailModl";#N/A,#N/A,1,"Data";#N/A,#N/A,1,"Comparisons";#N/A,#N/A,1,"ScopeSplit"}</definedName>
    <definedName name="wrn.imp_sommaire." hidden="1" function="0" vbProcedure="0">{"imp_Sommaire",#N/A,0,"REV IMMOBILIER"}</definedName>
    <definedName name="wrn.imp_Tous." hidden="1" function="0" vbProcedure="0">{"imp_0196",#N/A,0,"0019";"imp_0000",#N/A,0,"0000";"imp_0214",#N/A,0,"0214";"imp_0143",#N/A,0,"0143";"imp_0144",#N/A,0,"0144";"imp_0154",#N/A,0,"0154";"imp_0155",#N/A,0,"0155";"imp_0161",#N/A,0,"0161";"imp_0205",#N/A,0,"0205";"imp_0196",#N/A,0,"0196"}</definedName>
    <definedName name="wrn.Income._.Statement." hidden="1" function="0" vbProcedure="0">{"% Growth",#N/A,0,"Income Statement";"% of GDAR",#N/A,0,"Income Statement"}</definedName>
    <definedName name="wrn.Income._.Statement._1" hidden="1" function="0" vbProcedure="0">{"% Growth",#N/A,0,"Income Statement";"% of GDAR",#N/A,0,"Income Statement"}</definedName>
    <definedName name="wrn.Income._.Statement._1_1" hidden="1" function="0" vbProcedure="0">{"% Growth",#N/A,0,"Income Statement";"% of GDAR",#N/A,0,"Income Statement"}</definedName>
    <definedName name="wrn.Income._.Statement._1_2" hidden="1" function="0" vbProcedure="0">{"% Growth",#N/A,0,"Income Statement";"% of GDAR",#N/A,0,"Income Statement"}</definedName>
    <definedName name="wrn.Income._.Statement._1_3" hidden="1" function="0" vbProcedure="0">{"% Growth",#N/A,0,"Income Statement";"% of GDAR",#N/A,0,"Income Statement"}</definedName>
    <definedName name="wrn.Income._.Statement._1_4" hidden="1" function="0" vbProcedure="0">{"% Growth",#N/A,0,"Income Statement";"% of GDAR",#N/A,0,"Income Statement"}</definedName>
    <definedName name="wrn.Income._.Statement._2" hidden="1" function="0" vbProcedure="0">{"% Growth",#N/A,0,"Income Statement";"% of GDAR",#N/A,0,"Income Statement"}</definedName>
    <definedName name="wrn.Income._.Statement._3" hidden="1" function="0" vbProcedure="0">{"% Growth",#N/A,0,"Income Statement";"% of GDAR",#N/A,0,"Income Statement"}</definedName>
    <definedName name="wrn.Income._.Statement._4" hidden="1" function="0" vbProcedure="0">{"% Growth",#N/A,0,"Income Statement";"% of GDAR",#N/A,0,"Income Statement"}</definedName>
    <definedName name="wrn.Income._.Statement._5" hidden="1" function="0" vbProcedure="0">{"% Growth",#N/A,0,"Income Statement";"% of GDAR",#N/A,0,"Income Statement"}</definedName>
    <definedName name="wrn.Income._.Statements." hidden="1" function="0" vbProcedure="0">{"Income Statement",#N/A,0,"P&amp;L - $";"Quarterly Income Statement",#N/A,0,"P&amp;L Detail"}</definedName>
    <definedName name="wrn.Individual._.Statements." hidden="1" function="0" vbProcedure="0">{"barlup",#N/A,0,"evabnk97";"gillespey",#N/A,0,"evabnk97";"koon",#N/A,0,"evabnk97";"schreur",#N/A,0,"evabnk97";"stone",#N/A,0,"evabnk97";"wichmann",#N/A,0,"evabnk97";"wright",#N/A,0,"evabnk97"}</definedName>
    <definedName name="wrn.info." hidden="1" function="0" vbProcedure="0">{#N/A,#N/A,0,"INFORMATIQUE"}</definedName>
    <definedName name="wrn.input._.and._.output." hidden="1" function="0" vbProcedure="0">{"EBITDA",#N/A,1,"P&amp;L Net of Disc Ops";"output net of disc ops",#N/A,1,"Revenue";"input",#N/A,1,"Revenue";"output",#N/A,1,"DC";"Input",#N/A,1,"DC";"MTN and MCN",#N/A,1,"Margin";"output detail line items",#N/A,1,"SGA";"personnel by year",#N/A,1,"Payroll";#N/A,#N/A,1,"CapEx"}</definedName>
    <definedName name="wrn.Input._.Print._.Area." hidden="1" function="0" vbProcedure="0">{#N/A,#N/A,0,"inputs";#N/A,#N/A,0,"inputs"}</definedName>
    <definedName name="wrn.Instructor._.Tips." hidden="1" function="0" vbProcedure="0">{"Area 1",#N/A,1,"Area";"Bar 1",#N/A,1,"Area";"Salomon Bar 1",#N/A,1,"Area";"Stacked Bar 1",#N/A,1,"Area";"Stacked Bar 100 1",#N/A,1,"Area";"Stacked Col 1",#N/A,1,"Area";"Stacked Col 100 1",#N/A,1,"Area";"HiLow 1",#N/A,1,"Area";"Line 1",#N/A,1,"Area";"Scatter 1",#N/A,1,"Area";"ColLine 1",#N/A,1,"Area";"Scatterline 1",#N/A,1,"Area";"Football 1",#N/A,1,"Area";"DAPS 1",#N/A,1,"Area";"Rover 1",#N/A,1,"Area";"Exchange 1",#N/A,1,"Area";"Histogram 1",#N/A,1,"Area";"Price Vol 1",#N/A,1,"Area";"Interactive 1",#N/A,1,"Area";"Column 1",#N/A,1,"Area";"League 1",#N/A,1,"Area";"Pie 1",#N/A,1,"Area"}</definedName>
    <definedName name="wrn.IPO." hidden="1" function="0" vbProcedure="0">{#N/A,#N/A,0,"Summary";#N/A,#N/A,0,"Jan'97";#N/A,#N/A,0,"Feb'97";#N/A,#N/A,0,"Mar'97";#N/A,#N/A,0,"Apr'97";#N/A,#N/A,0,"May'97";#N/A,#N/A,0,"Jun'97";#N/A,#N/A,0,"Jul'97";#N/A,#N/A,0,"Aug'97";#N/A,#N/A,0,"Sept'97";#N/A,#N/A,0,"Oct'97";#N/A,#N/A,0,"Nov'97";#N/A,#N/A,0,"Dec'97";#N/A,#N/A,0,"Pending"}</definedName>
    <definedName name="wrn.IPO._.Analysis." hidden="1" function="0" vbProcedure="0">{#N/A,#N/A,0,"Summary";#N/A,#N/A,0,"Pending";#N/A,#N/A,0,"Oct'97";#N/A,#N/A,0,"Sept'97";#N/A,#N/A,0,"Aug'97";#N/A,#N/A,0,"Jul'97";#N/A,#N/A,0,"Jun'97";#N/A,#N/A,0,"May'97";#N/A,#N/A,0,"Apr'97";#N/A,#N/A,0,"Mar'97";#N/A,#N/A,0,"Feb'97";#N/A,#N/A,0,"Jan'97"}</definedName>
    <definedName name="wrn.IPO._.Valuation." hidden="1" function="0" vbProcedure="0">{"assumptions",#N/A,0,"Scenario 1";"valuation",#N/A,0,"Scenario 1"}</definedName>
    <definedName name="wrn.ipovalue." hidden="1" function="0" vbProcedure="0">{#N/A,#N/A,0,"puboff";#N/A,#N/A,0,"valuation";#N/A,#N/A,0,"finanalsis";#N/A,#N/A,0,"split";#N/A,#N/A,0,"ownership"}</definedName>
    <definedName name="wrn.IS._.Q96." hidden="1" function="0" vbProcedure="0">{"IS Q96",#N/A,0,"Income Statement"}</definedName>
    <definedName name="wrn.IS._.Q97." hidden="1" function="0" vbProcedure="0">{"IS Q97",#N/A,0,"Income Statement"}</definedName>
    <definedName name="wrn.IS._.Years." hidden="1" function="0" vbProcedure="0">{"IS Years",#N/A,0,"Income Statement"}</definedName>
    <definedName name="wrn.ISCG._.model." hidden="1" function="0" vbProcedure="0">{#N/A,#N/A,0,"Second";#N/A,#N/A,0,"ownership";#N/A,#N/A,0,"Valuation";#N/A,#N/A,0,"Eqiv";#N/A,#N/A,0,"Mults";#N/A,#N/A,0,"ISCG Graphics"}</definedName>
    <definedName name="wrn.IS_BS_SCF." hidden="1" function="0" vbProcedure="0">{#N/A,#N/A,0,"Income Statement";#N/A,#N/A,0,"Balance Sheet";#N/A,#N/A,0,"Cash Flow"}</definedName>
    <definedName name="wrn.IV." hidden="1" function="0" vbProcedure="0">{"CASHFLOW",#N/A,0,"Northpointe"}</definedName>
    <definedName name="wrn.JODM._.Graphs." hidden="1" function="0" vbProcedure="0">{"graph",#N/A,0,"WWJU";"graph",#N/A,0,"WWSEM";"graph",#N/A,0,"GOMJU";"graph",#N/A,0,"GOMSEM";"graph",#N/A,0,"NSJU";"graph",#N/A,0,"NSSEM";"graph",#N/A,0,"WAJU";"graph",#N/A,0,"STOCKPRI";"graph",#N/A,0,"CFTEV";"graph",#N/A,0,"NAV-RCV";"graph",#N/A,0,"CRUDEWW"}</definedName>
    <definedName name="wrn.July._.Final." hidden="1" function="0" vbProcedure="0">{#N/A,#N/A,1,"Mth Sum";#N/A,#N/A,1,"YTD Sum";#N/A,#N/A,1,"Mth Rev Sum";#N/A,#N/A,1,"YTD Rev Sum";#N/A,#N/A,1,"SC vs Pr Month (Revised)";#N/A,#N/A,1,"SVC Detail Mth vs Pr Mth (Rev)";#N/A,#N/A,1,"SGA (Elem) vs Pr Month";#N/A,#N/A,1,"SGA (BU) vs Pr Mth";#N/A,#N/A,1,"SC vs Plan (Revised)";#N/A,#N/A,1,"SVC Detail Mth vsPlan (Rev)";#N/A,#N/A,1,"SGA (Elem) vs Plan";#N/A,#N/A,1,"SGA (BU) vs Plan(Rev)";#N/A,#N/A,1,"SC vs YTD 00 (Revised)";#N/A,#N/A,1,"SGA (Elem) vs YTD 00";#N/A,#N/A,1,"SGA (BU) YTD vs YTD 00";#N/A,#N/A,1,"SC vs YTD Plan (Revised)";#N/A,#N/A,1,"SVC YTD Detail Mth vsPlan (Rev)";#N/A,#N/A,1,"SGA (Elem) vs YTD Plan";#N/A,#N/A,1,"SGA (BU) YTD vs Plan(Rev)";#N/A,#N/A,1,"CapExp";#N/A,#N/A,1,"EBITDA(Flash)";#N/A,#N/A,1,"NetInc(Flash)";#N/A,#N/A,1,"Gross Margin(Flash)";#N/A,#N/A,1,"Mth trends(Flash)";#N/A,#N/A,1,"HeadcountP01";#N/A,#N/A,1,"Headcount P00";#N/A,#N/A,1,"Inc. Statement";#N/A,#N/A,1,"Balance Sheet";#N/A,#N/A,1,"Cash Flow"}</definedName>
    <definedName name="wrn.July._.Presentation." hidden="1" function="0" vbProcedure="0">{#N/A,#N/A,0,"Revised Plan description";#N/A,#N/A,0,"Mth Sum";#N/A,#N/A,0,"YTD Sum";#N/A,#N/A,0,"Mth Rev Sum";#N/A,#N/A,0,"YTD Rev Sum";#N/A,#N/A,0,"Direct Margin";#N/A,#N/A,0,"Data MarginvsPlan";#N/A,#N/A,0,"Local MarginvsPlan";#N/A,#N/A,0,"Internet MarginvsPlan";#N/A,#N/A,0,"LD Margin vs Plan ";#N/A,#N/A,0,"Data Margin YTDvsPlan";#N/A,#N/A,0,"Local Margin YTDvsPlan";#N/A,#N/A,0,"Internet Margin YTDvsPlan";#N/A,#N/A,0,"LD Margin YTD vs Plan";#N/A,#N/A,0,"SC vs Pr Month ";#N/A,#N/A,0,"SVC Detail Mth vs Pr Mth";#N/A,#N/A,0,"Ind vs Pr Month ";#N/A,#N/A,0,"SGA (Elem) vs Pr Month";#N/A,#N/A,0,"SGA (BU) vs Pr Mth";#N/A,#N/A,0,"SC vs Plan";#N/A,#N/A,0,"SVC Detail Mth vsPlan ";#N/A,#N/A,0,"Ind vs Plan";#N/A,#N/A,0,"SGA (Elem) vs Plan";#N/A,#N/A,0,"SGA (BU) vs Plan";#N/A,#N/A,0,"SC vs YTD 00";#N/A,#N/A,0,"SGA (Elem) vs YTD 00";#N/A,#N/A,0,"SGA (BU) YTD vs YTD 00";#N/A,#N/A,0,"SC vs YTD Plan ";#N/A,#N/A,0,"SVC YTD Detail Mth vsPlan ";#N/A,#N/A,0,"SGA (Elem) vs YTD Plan";#N/A,#N/A,0,"SGA (BU) YTD vs Plan";#N/A,#N/A,0,"CapExp";#N/A,#N/A,0,"EBITDA";#N/A,#N/A,0,"Mth trends";#N/A,#N/A,0,"Inc. Statement";#N/A,#N/A,0,"Balance Sheet";#N/A,#N/A,0,"Cash Flow"}</definedName>
    <definedName name="wrn.Just._.Sorts." hidden="1" function="0" vbProcedure="0">{#N/A,#N/A,0,"Hi";#N/A,#N/A,0,"Lo";#N/A,#N/A,0,"Mkt. Cap";#N/A,#N/A,0,"Alpha"}</definedName>
    <definedName name="wrn.K." hidden="1" function="0" vbProcedure="0">{#N/A,#N/A,0,"K"}</definedName>
    <definedName name="wrn.K3._.Annual." hidden="1" function="0" vbProcedure="0">{"K3Cash",#N/A,0,"Ann";"K3Income",#N/A,0,"Ann";"K3Educ",#N/A,0,"Ann";"K3media",#N/A,0,"Ann";"K3Info",#N/A,0,"Ann";"K3Valuation",#N/A,0,"Ann"}</definedName>
    <definedName name="wrn.K3._.Quarterly." hidden="1" function="0" vbProcedure="0">{"K3 first",#N/A,0,"Qtr.";"K3 second",#N/A,0,"Qtr.";"K3 Third",#N/A,0,"Qtr.";"K3 Fourth",#N/A,0,"Qtr.";"K3 Full",#N/A,0,"Qtr."}</definedName>
    <definedName name="wrn.kriall." hidden="1" function="0" vbProcedure="0">{"kricash",#N/A,0,"INC";"kriinc",#N/A,0,"INC";"krimiami",#N/A,0,"INC";"kriother",#N/A,0,"INC";"kripapers",#N/A,0,"INC"}</definedName>
    <definedName name="wrn.LBO._.Summary." hidden="1" function="0" vbProcedure="0">{"LBO Summary",#N/A,0,"Summary"}</definedName>
    <definedName name="wrn.Level._.4." hidden="1" function="0" vbProcedure="0">{"Income (All hidden)",#N/A,0,"Income";"EPS (All Hidden)",#N/A,0,"EPS";"Cash Flow (All Hidden)",#N/A,0,"CashFlow";"Quarterly (Last, Current and Next)",#N/A,0,"Quarterly";"Inventory",#N/A,0,"Inventory";"Other Section",#N/A,0,"Detail Qtrly";"Dividend (All Hidden)",#N/A,0,"Dividend";"ROE (All Hidden)",#N/A,0,"Return On Equity";"FinRatio",#N/A,0,"Financials &amp; Ratios"}</definedName>
    <definedName name="wrn.LM._.Gear." hidden="1" function="0" vbProcedure="0">{"LM Gear IS",#N/A,0,"LM Gear - IS";"LM Gear BS",#N/A,0,"LM Gear BS";"LM Gear Detail IS",#N/A,0,"LM Gear - Detail IS";"LM Gear Detail IS Supplemental Info",#N/A,0,"LM Gear - Detail IS";"LM Gear Monthly 1999",#N/A,0,"LM Gear Monthly";"LM Gear Monthly 1998",#N/A,0,"LM Gear Monthly";"LM Gear Monthly 1997",#N/A,0,"LM Gear Monthly"}</definedName>
    <definedName name="wrn.LP._.Committee._.Book." hidden="1" function="0" vbProcedure="0">{#N/A,#N/A,1,"FD II Portfolio Summary";#N/A,#N/A,1,"Fd II Cap. Position ";#N/A,#N/A,1,"BV Valuation";#N/A,#N/A,1,"FV Valuation";#N/A,#N/A,1,"Valuation Change";#N/A,#N/A,1,"Weasler";#N/A,#N/A,1,"Weasler val";#N/A,#N/A,1,"J Chain";#N/A,#N/A,1,"J Chain Val";#N/A,#N/A,1,"Monona";#N/A,#N/A,1,"Monona Val";#N/A,#N/A,1,"DSI";#N/A,#N/A,1,"DSI Val";#N/A,#N/A,1,"Temple";#N/A,#N/A,1,"Temple Val";#N/A,#N/A,1,"JRI";#N/A,#N/A,1,"NDS ";#N/A,#N/A,1,"Stronghaven";#N/A,#N/A,1,"Connor";#N/A,#N/A,1,"HWC"}</definedName>
    <definedName name="wrn.LP._.Committee._.June._.13.._.2000." hidden="1" function="0" vbProcedure="0">{#N/A,#N/A,1," Bullets II";#N/A,#N/A,1,"Fd II Cap. Position ";#N/A,#N/A,1,"FD II Portfolio Summary";#N/A,#N/A,1,"BV Valuation";#N/A,#N/A,1,"FV Valuation";#N/A,#N/A,1,"Valuation Change II";#N/A,#N/A,1,"Utiliserve";#N/A,#N/A,1,"Temple";#N/A,#N/A,1,"JRI";#N/A,#N/A,1,"Weasler";#N/A,#N/A,1,"NDS ";#N/A,#N/A,1,"Stronghaven";#N/A,#N/A,1,"Connor";#N/A,#N/A,1,"DSI";#N/A,#N/A,1,"HWC";#N/A,#N/A,1,"Bullets III";#N/A,#N/A,1,"Fd III Cap. Position ";#N/A,#N/A,1,"FD III Port Summ";#N/A,#N/A,1,"BV Valuation (2)";#N/A,#N/A,1,"MV Valuation";#N/A,#N/A,1,"Valuation Change III";#N/A,#N/A,1,"Globe";#N/A,#N/A,1,"Beacon";#N/A,#N/A,1,"CII";#N/A,#N/A,1,"MCA";#N/A,#N/A,1,"Elm";#N/A,#N/A,1,"Tharco";#N/A,#N/A,1,"Dee H";#N/A,#N/A,1,"Hunt Valve";#N/A,#N/A,1,"KBA";#N/A,#N/A,1,"Glassmaster";#N/A,#N/A,1,"MLS";#N/A,#N/A,1,"CBSA";#N/A,#N/A,1,"ACE";#N/A,#N/A,1,"United Central";#N/A,#N/A,1,"Jakel";#N/A,#N/A,1,"Lake City ";#N/A,#N/A,1,"Bullets IV";#N/A,#N/A,1,"Fd IV Cap. Position  ";#N/A,#N/A,1,"FD IV Portfolio Summary ";#N/A,#N/A,1,"Fund IV BV  ";#N/A,#N/A,1,"Western";#N/A,#N/A,1,"Kranson"}</definedName>
    <definedName name="wrn.LUXCOS." hidden="1" function="0" vbProcedure="0">{"LUX_ASSET",#N/A,0,"CII-Q494.XLS";"LUX_LIAB",#N/A,0,"CII-Q494.XLS";"LUX_INC",#N/A,0,"CII-Q494.XLS";"LUXje",#N/A,0,"CII-Q494.XLS"}</definedName>
    <definedName name="wrn.Main._.Fields." hidden="1" function="0" vbProcedure="0">{"Total",#N/A,0,"Laurel";"PDP",#N/A,0,"Laurel";"PNP",#N/A,0,"Laurel";"PUD",#N/A,0,"Laurel";"Total",#N/A,0,"Summerland";"Prob",#N/A,0,"Laurel";"PDP",#N/A,0,"Summerland";"PNP",#N/A,0,"Summerland";"PUD",#N/A,0,"Summerland";"Prob",#N/A,0,"Summerland";"Total",#N/A,0,"Soso";"PDP",#N/A,0,"Soso";"PNP",#N/A,0,"Soso";"PUD",#N/A,0,"Soso";"Prob",#N/A,0,"Soso";"Total",#N/A,0,"Martinville";"PDP",#N/A,0,"Martinville";"PNP",#N/A,0,"Martinville";"PUD",#N/A,0,"Martinville";"Prob",#N/A,0,"Martinville";"Total",#N/A,0,"Brookhaven";"PDP",#N/A,0,"Brookhaven";"PNP",#N/A,0,"Brookhaven";"PUD",#N/A,0,"Brookhaven";"Prob",#N/A,0,"Brookhaven";"Total",#N/A,0,"Monroe";"PDP",#N/A,0,"Monroe";"PNP",#N/A,0,"Monroe";"PUD",#N/A,0,"Monroe";"Prob",#N/A,0,"Monroe"}</definedName>
    <definedName name="wrn.Maine." hidden="1" function="0" vbProcedure="0">{"Assumptions",#N/A,1,"Assumptions";"Income",#N/A,1,"Income";"Balance",#N/A,1,"Balance"}</definedName>
    <definedName name="wrn.Maine2." hidden="1" function="0" vbProcedure="0">{"TransactionAssump",#N/A,0,"Transaction Assump";"Combined Income",#N/A,0,"Combined Income-Contrib.";"Combined Bal",#N/A,0,"Combined Bal.";"Combined Credit",#N/A,0,"Combined Credit";"Income Overview",#N/A,0,"Income Overview";"Balance Overview",#N/A,0,"Balance Overview";"Cash Flow Overview",#N/A,0,"Cash Flow Overview";"Contribution Overview",#N/A,0,"Contribution Overview"}</definedName>
    <definedName name="wrn.Management._.Control._.Report." hidden="1" function="0" vbProcedure="0">{#N/A,#N/A,1,"Sheet1 (2)";#N/A,#N/A,1,"Sheet1 (3)";#N/A,#N/A,1,"Sheet1 (4)";#N/A,#N/A,1,"Sheet1 (5)";#N/A,#N/A,1,"Sheet1 (8)";#N/A,#N/A,1,"Sheet1 (9)";#N/A,#N/A,1,"Sheet1 (10)";#N/A,#N/A,1,"Sheet1 (6)";#N/A,#N/A,1,"Sheet1 (7)";#N/A,#N/A,1,"Sheet1 (11)";#N/A,#N/A,1,"Sheet2 (2)";#N/A,#N/A,1,"Sheet3 (2)";#N/A,#N/A,1,"Sheet4 (2)";#N/A,#N/A,1,"Sheet9 (2)";#N/A,#N/A,1,"Sheet8 (2)";#N/A,#N/A,1,"Sheet7 (2)";#N/A,#N/A,1,"Sheet5 (2)";#N/A,#N/A,1,"Sheet2 (3)";#N/A,#N/A,1,"Sheet6 (2)";#N/A,#N/A,1,"Sheet 6A";#N/A,#N/A,1,"Sheet2 (4)";#N/A,#N/A,1,"Sheet2 (5)";#N/A,#N/A,1,"Sheet3 (3)";#N/A,#N/A,1,"Sheet3 (4)";#N/A,#N/A,1,"Sheet4 (3)";#N/A,#N/A,1,"Sheet4 (4)";#N/A,#N/A,1,"Sheet8 (3)";#N/A,#N/A,1,"Sheet8 (4)";#N/A,#N/A,1,"Sheet5 (3)";#N/A,#N/A,1,"Sheet5 (4)";#N/A,#N/A,1,"Sheet10 (2)";#N/A,#N/A,1,"Sheet7 (3)";#N/A,#N/A,1,"Sheet6 (3)";#N/A,#N/A,1,"Sheet5 (5)";#N/A,#N/A,1,"Sheet9 (3)";#N/A,#N/A,1,"Sheet4 (5)";#N/A,#N/A,1,"Sheet12 (2)";#N/A,#N/A,1,"Sheet11 (2)";#N/A,#N/A,1,"Sheet13 (2)";#N/A,#N/A,1,"Sheet14 (2)";#N/A,#N/A,1,"Sheet15 (2)";#N/A,#N/A,1,"Sheet16 (2)";#N/A,#N/A,1,"Sheet1 (12)";#N/A,#N/A,1,"Sheet3 (5)";#N/A,#N/A,1,"Sheet7 (4)";#N/A,#N/A,1,"Sheet2 (6)";#N/A,#N/A,1,"sheet1 (13)";#N/A,#N/A,1,"sheet2 (7)";#N/A,#N/A,1,"sheet10 (3)";#N/A,#N/A,1,"sheet11 (3)";#N/A,#N/A,1,"sheet3 (6)";#N/A,#N/A,1,"sheet4 (6)";#N/A,#N/A,1,"sheet5 (6)";#N/A,#N/A,1,"sheet6 (4)";#N/A,#N/A,1,"sheet7 (5)";#N/A,#N/A,1,"sheet8 (5)";#N/A,#N/A,1,"sheet9 (4)";#N/A,#N/A,1,"Sheet1 (14)";#N/A,#N/A,1,"Sheet2 (8)";#N/A,#N/A,1,"Sheet3 (8)";#N/A,#N/A,1,"Sheet3 (7)";#N/A,#N/A,1,"Sheet4 (7)";#N/A,#N/A,1,"Sheet5 (7)";#N/A,#N/A,1,"Sheet6 (5)";#N/A,#N/A,1,"Sheet1";#N/A,#N/A,1,"Sheet2"}</definedName>
    <definedName name="wrn.Margins." hidden="1" function="0" vbProcedure="0">{#N/A,#N/A,0,"Margins - GrossR&amp;D";#N/A,#N/A,0,"Margins - sg&amp;a";#N/A,#N/A,0,"Margins - Oper-net"}</definedName>
    <definedName name="wrn.MCCRK." hidden="1" function="0" vbProcedure="0">{#N/A,#N/A,0,"MCCRK"}</definedName>
    <definedName name="wrn.merge." hidden="1" function="0" vbProcedure="0">{#N/A,#N/A,0,"IPO";#N/A,#N/A,0,"DCF";#N/A,#N/A,0,"LBO";#N/A,#N/A,0,"MULT_VAL";#N/A,#N/A,0,"Status Quo";#N/A,#N/A,0,"Recap"}</definedName>
    <definedName name="wrn.Merger." hidden="1" function="0" vbProcedure="0">{"title",#N/A,0,"Title sheet";"Summary",#N/A,0,"Summary";"Financing sheet",#N/A,0,"MODEL";"Ownership",#N/A,0,"MODEL";"Discrepancy",#N/A,0,"MODEL";"Balance",#N/A,0,"Balance_Sheets";"Cash flow",#N/A,0,"MODEL";"Earnings",#N/A,0,"MODEL";"Value per boe",#N/A,0,"MODEL";"efficiency",#N/A,0,"MODEL";"nav",#N/A,0,"MODEL";"share price",#N/A,0,"MODEL";"operations",#N/A,0,"MODEL"}</definedName>
    <definedName name="wrn.merger._.analysis." hidden="1" function="0" vbProcedure="0">{"title",#N/A,0,"Sheet13";"table of contents",#N/A,0,"Sheet13";"summary",#N/A,0,"Summary";"Acq. price",#N/A,0,"MODEL";"balance",#N/A,0,"Balance_Sheets";"pro forma ownership",#N/A,0,"MODEL";"value per boe",#N/A,0,"MODEL";"cash flow",#N/A,0,"MODEL";"earnings",#N/A,0,"MODEL";"nav",#N/A,0,"MODEL";"financial summary",#N/A,0,"MODEL";"operations summary",#N/A,0,"MODEL";"cf sens.",#N/A,0,"MODEL";"earn sen.",#N/A,0,"MODEL";"debt sens.",#N/A,0,"MODEL";"other sens.",#N/A,0,"MODEL"}</definedName>
    <definedName name="wrn.merger._.analysis.II" hidden="1" function="0" vbProcedure="0">{"title",#N/A,0,"Sheet13";"table of contents",#N/A,0,"Sheet13";"summary",#N/A,0,"Summary";"Acq. price",#N/A,0,"MODEL";"balance",#N/A,0,"Balance_Sheets";"pro forma ownership",#N/A,0,"MODEL";"value per boe",#N/A,0,"MODEL";"cash flow",#N/A,0,"MODEL";"earnings",#N/A,0,"MODEL";"nav",#N/A,0,"MODEL";"financial summary",#N/A,0,"MODEL";"operations summary",#N/A,0,"MODEL";"cf sens.",#N/A,0,"MODEL";"earn sen.",#N/A,0,"MODEL";"debt sens.",#N/A,0,"MODEL";"other sens.",#N/A,0,"MODEL"}</definedName>
    <definedName name="wrn.merger._.analysis.III" hidden="1" function="0" vbProcedure="0">{"title",#N/A,0,"Sheet13";"table of contents",#N/A,0,"Sheet13";"summary",#N/A,0,"Summary";"Acq. price",#N/A,0,"MODEL";"balance",#N/A,0,"Balance_Sheets";"pro forma ownership",#N/A,0,"MODEL";"value per boe",#N/A,0,"MODEL";"cash flow",#N/A,0,"MODEL";"earnings",#N/A,0,"MODEL";"nav",#N/A,0,"MODEL";"financial summary",#N/A,0,"MODEL";"operations summary",#N/A,0,"MODEL";"cf sens.",#N/A,0,"MODEL";"earn sen.",#N/A,0,"MODEL";"debt sens.",#N/A,0,"MODEL";"other sens.",#N/A,0,"MODEL"}</definedName>
    <definedName name="wrn.merger._.analysis.IIII" hidden="1" function="0" vbProcedure="0">{"title",#N/A,0,"Sheet13";"table of contents",#N/A,0,"Sheet13";"summary",#N/A,0,"Summary";"Acq. price",#N/A,0,"MODEL";"balance",#N/A,0,"Balance_Sheets";"pro forma ownership",#N/A,0,"MODEL";"value per boe",#N/A,0,"MODEL";"cash flow",#N/A,0,"MODEL";"earnings",#N/A,0,"MODEL";"nav",#N/A,0,"MODEL";"financial summary",#N/A,0,"MODEL";"operations summary",#N/A,0,"MODEL";"cf sens.",#N/A,0,"MODEL";"earn sen.",#N/A,0,"MODEL";"debt sens.",#N/A,0,"MODEL";"other sens.",#N/A,0,"MODEL"}</definedName>
    <definedName name="wrn.merger._.analysis.IV" hidden="1" function="0" vbProcedure="0">{"title",#N/A,0,"Sheet13";"table of contents",#N/A,0,"Sheet13";"summary",#N/A,0,"Summary";"Acq. price",#N/A,0,"MODEL";"balance",#N/A,0,"Balance_Sheets";"pro forma ownership",#N/A,0,"MODEL";"value per boe",#N/A,0,"MODEL";"cash flow",#N/A,0,"MODEL";"earnings",#N/A,0,"MODEL";"nav",#N/A,0,"MODEL";"financial summary",#N/A,0,"MODEL";"operations summary",#N/A,0,"MODEL";"cf sens.",#N/A,0,"MODEL";"earn sen.",#N/A,0,"MODEL";"debt sens.",#N/A,0,"MODEL";"other sens.",#N/A,0,"MODEL"}</definedName>
    <definedName name="wrn.mhpall." hidden="1" function="0" vbProcedure="0">{"mhpcash",#N/A,0,"MHPNEWX";"mhpinc",#N/A,0,"MHPNEWX";"mhptax",#N/A,0,"MHPNEWX";"mhpbroad",#N/A,0,"MHPNEWX";"mhpeduc",#N/A,0,"MHPNEWX";"mhpfin",#N/A,0,"MHPNEWX";"mhpinfo",#N/A,0,"MHPNEWX"}</definedName>
    <definedName name="wrn.MILLARES." hidden="1" function="0" vbProcedure="0">{#N/A,#N/A,1,"RESUMEN ECON.";#N/A,#N/A,1,"Costos de R.H.";#N/A,#N/A,1,"COSTO HW";#N/A,#N/A,1,"CUADROS";#N/A,#N/A,1,"SCADA´s";#N/A,#N/A,1,"PRECIOS EQUIPOS"}</definedName>
    <definedName name="wrn.Model." hidden="1" function="0" vbProcedure="0">{#N/A,#N/A,0,"Cover";#N/A,#N/A,0,"LUMI";#N/A,#N/A,0,"COMD";#N/A,#N/A,0,"Valuation";#N/A,#N/A,0,"Assumptions";#N/A,#N/A,0,"Pooling";#N/A,#N/A,0,"BalanceSheet"}</definedName>
    <definedName name="wrn.Model._.Level._.3." hidden="1" function="0" vbProcedure="0">{"Income (All hidden)",#N/A,0,"Income";"EPS (All Hidden)",#N/A,0,"EPS";"EPS (All Hidden)",#N/A,0,"CashFlow";"Quarterly (Last, Current and Next)",#N/A,0,"Quarterly"}</definedName>
    <definedName name="wrn.Month._.End._.Print._.Out." hidden="1" function="0" vbProcedure="0">{"Yen Denominated",#N/A,0,"A-R Aging (JPY)";"Dollar Denominated",#N/A,0,"A-R Aging (JPY)";"Yen Denominated",#N/A,0,"A-R Control (JPY)";"Dollar Denominated",#N/A,0,"A-R Control (JPY)";#N/A,#N/A,0,"A-R Aging (USD)";#N/A,#N/A,0,"A-R Control (USD)";"Aussie Denominated",#N/A,0,"A-R Aging (AUD)";"Dollar Denominated",#N/A,0,"A-R Aging (AUD)";"Aussie Denominated",#N/A,0,"A-R Control (AUD)";"Dollar Denominated",#N/A,0,"A-R Control (AUD)";#N/A,#N/A,0,"A-R Aging Recon.";#N/A,#N/A,0,"A-R Control Recon.";#N/A,#N/A,0,"Cash App (JPY- NAB)";#N/A,#N/A,0,"Cash App (JPY-Citi)";#N/A,#N/A,0,"Cash App (USD)";#N/A,#N/A,0,"Cash App (AUD)";#N/A,#N/A,0,"Cash Disb (AUD)";#N/A,#N/A,0,"Cash Disb (JPY-NAB)";#N/A,#N/A,0,"Cash Disb (JPY-Citi)";#N/A,#N/A,0,"Cash Disb (USD)";#N/A,#N/A,0,"Cash Receipts (AUD)";#N/A,#N/A,0,"Cash Receipts (JPY-NAB)";#N/A,#N/A,0,"Cash Receipts (JPY-Citi)";#N/A,#N/A,0,"Cash Receipts (USD)";#N/A,#N/A,0,"Bank Rec (AUD)";#N/A,#N/A,0,"Bank Rec (JPY-NAB)";#N/A,#N/A,0,"Bank Rec (JPY-Citi)";#N/A,#N/A,0,"Bank Rec (USD)";#N/A,#N/A,0,"Petty Cash (AUD)";#N/A,#N/A,0,"Petty Cash (JPY)";#N/A,#N/A,0,"Head &amp; Ticket Counts";#N/A,#N/A,0,"Payroll"}</definedName>
    <definedName name="wrn.MONTHLY._.INVENTORY._.SCHEDULE." hidden="1" function="0" vbProcedure="0">{#N/A,#N/A,0,"Sheet1";#N/A,#N/A,0,"Sheet2";#N/A,#N/A,0,"Sheet3";#N/A,#N/A,0,"Sheet4";#N/A,#N/A,0,"Sheet5";#N/A,#N/A,0,"Sheet6"}</definedName>
    <definedName name="wrn.Months." hidden="1" function="0" vbProcedure="0">{"Curr Month",#N/A,0,"Curr Mo";"All Months",#N/A,0,"Curr Mo";"YTD",#N/A,0,"Curr Mo";"1001",#N/A,0,"Curr Mo";"1002",#N/A,0,"Curr Mo";"4012",#N/A,0,"Curr Mo";"4017",#N/A,0,"Curr Mo";"1050",#N/A,0,"Curr Mo";"1009",#N/A,0,"Curr Mo";"4079",#N/A,0,"Curr Mo";"4077",#N/A,0,"Curr Mo";"1005",#N/A,0,"Curr Mo";"1008",#N/A,0,"Curr Mo";"1011",#N/A,0,"Curr Mo";"1006",#N/A,0,"Curr Mo";"1024",#N/A,0,"Curr Mo";"1003",#N/A,0,"Curr Mo";"1025",#N/A,0,"Curr Mo";"4013",#N/A,0,"Curr Mo";"1091",#N/A,0,"Curr Mo";"1010",#N/A,0,"Curr Mo";"1023",#N/A,0,"Curr Mo";"4014",#N/A,0,"Curr Mo";"1043",#N/A,0,"Curr Mo";"1014",#N/A,0,"Curr Mo";"1015",#N/A,0,"Curr Mo";"1012",#N/A,0,"Curr Mo";"1061",#N/A,0,"Curr Mo";"1045",#N/A,0,"Curr Mo";"4058",#N/A,0,"Curr Mo";"1033",#N/A,0,"Curr Mo";"1103",#N/A,0,"Curr Mo";"4007",#N/A,0,"Curr Mo";"4021",#N/A,0,"Curr Mo";"4026",#N/A,0,"Curr Mo";"4022",#N/A,0,"Curr Mo";"4050",#N/A,0,"Curr Mo";"4032",#N/A,0,"Curr Mo";"4089",#N/A,0,"Curr Mo";"1042",#N/A,0,"Curr Mo";"1048",#N/A,0,"Curr Mo";"4049",#N/A,0,"Curr Mo"}</definedName>
    <definedName name="wrn.MONTH_END." hidden="1" function="0" vbProcedure="0">{#N/A,#N/A,0,"SUMMARY";#N/A,#N/A,0,"DETAIL";#N/A,#N/A,0,"VARIANCE"}</definedName>
    <definedName name="wrn.MRA." hidden="1" function="0" vbProcedure="0">{"MRA IS",#N/A,0,"MRA - IS";"MRA BS",#N/A,0,"MRA - BS";"MRA Detail IS",#N/A,0,"MRA - Detail IS";"MRA Detail IS Supplemental Info",#N/A,0,"MRA - Detail IS";"MRA Monthly 1999",#N/A,0,"MRA Monthly";"MRA Monthly IS 1998",#N/A,0,"MRA Monthly";"MRA Monthly IS 1997",#N/A,0,"MRA Monthly"}</definedName>
    <definedName name="wrn.Munsell." hidden="1" function="0" vbProcedure="0">{#N/A,#N/A,0,"Index";#N/A,#N/A,0,"IncStmt";#N/A,#N/A,0,"Ratios";#N/A,#N/A,0,"CashFlows";#N/A,#N/A,0,"Ins1";#N/A,#N/A,0,"Ins2";#N/A,#N/A,0,"SelfFund";#N/A,#N/A,0,"SGA";#N/A,#N/A,0,"Recon";#N/A,#N/A,0,"Earnings";#N/A,#N/A,0,"Earnings (2)";#N/A,#N/A,0,"Stock";#N/A,#N/A,0,"Stock (2)";#N/A,#N/A,0,"PeerRatios";#N/A,#N/A,0,"PeerRanks"}</definedName>
    <definedName name="wrn.NA." hidden="1" function="0" vbProcedure="0">{#N/A,#N/A,0,"NA"}</definedName>
    <definedName name="wrn.Neds." hidden="1" function="0" vbProcedure="0">{"page1",#N/A,1,"PRICING";"page2",#N/A,1,"PRICING"}</definedName>
    <definedName name="wrn.Netbacks." hidden="1" function="0" vbProcedure="0">{"Netbacks",#N/A,0,"Netbacks"}</definedName>
    <definedName name="wrn.new." hidden="1" function="0" vbProcedure="0">{"new1",#N/A,0,"FLEXPAC2";"new2",#N/A,0,"FLEXPAC2"}</definedName>
    <definedName name="wrn.newest." hidden="1" function="0" vbProcedure="0">{#N/A,#N/A,1,"TS";#N/A,#N/A,1,"Combo";#N/A,#N/A,1,"FAIR";#N/A,#N/A,1,"RBC";#N/A,#N/A,1,"xxxx"}</definedName>
    <definedName name="wrn.nuevahoja." hidden="1" function="0" vbProcedure="0">{#N/A,#N/A,0,"CNS_ADJ";"Balance Consolidado",#N/A,0,"BCEC_CNS";#N/A,#N/A,0,"USGAAP_ADJ"}</definedName>
    <definedName name="wrn.nytaann." hidden="1" function="0" vbProcedure="0">{"nytacash",#N/A,0,"GLOBEINC";"nytainc",#N/A,0,"GLOBEINC";"nytanyt",#N/A,0,"GLOBEINC";"nytareg",#N/A,0,"GLOBEINC";"nytaglobe",#N/A,0,"GLOBEINC";"nytapprttl",#N/A,0,"GLOBEINC"}</definedName>
    <definedName name="wrn.OPSUMM." hidden="1" function="0" vbProcedure="0">{#N/A,#N/A,0,"BAGOSLEA"}</definedName>
    <definedName name="wrn.Output." hidden="1" function="0" vbProcedure="0">{#N/A,#N/A,0,"Assumptions";#N/A,#N/A,0,"IS";#N/A,#N/A,0,"BS";#N/A,#N/A,0,"CF"}</definedName>
    <definedName name="wrn.packer._.1." hidden="1" function="0" vbProcedure="0">{#N/A,#N/A,0,"gopher summary";#N/A,#N/A,0,"GOPH-Comp Co. Mult";#N/A,#N/A,0,"GOPH-Acq. Mult ";#N/A,#N/A,0,"gopher dcf";#N/A,#N/A,0,"goph-dividend";#N/A,#N/A,0,"GOPHER WACC";#N/A,#N/A,0,"Contribution";#N/A,#N/A,0,"contr.anal.";#N/A,#N/A,0,"acc_dil";#N/A,#N/A,0,"GOPHER";#N/A,#N/A,0,"pro forma";#N/A,#N/A,0,"PACK-Comp Co. Mult";#N/A,#N/A,0,"packer dcf ";#N/A,#N/A,0,"PACK WACC ";#N/A,#N/A,0,"PACKER";#N/A,#N/A,0,"PurchPriMult"}</definedName>
    <definedName name="wrn.page57to67." hidden="1" function="0" vbProcedure="0">{#N/A,#N/A,0,"57";#N/A,#N/A,0,"58";#N/A,#N/A,0,"59";#N/A,#N/A,0,"60";#N/A,#N/A,0,"60A";#N/A,#N/A,0,"61";#N/A,#N/A,0,"62";#N/A,#N/A,0,"63";#N/A,#N/A,0,"63A";#N/A,#N/A,0,"64";#N/A,#N/A,0,"65";#N/A,#N/A,0,"66";#N/A,#N/A,0,"67"}</definedName>
    <definedName name="wrn.page57to67._1" hidden="1" function="0" vbProcedure="0">{#N/A,#N/A,0,"57";#N/A,#N/A,0,"58";#N/A,#N/A,0,"59";#N/A,#N/A,0,"60";#N/A,#N/A,0,"60A";#N/A,#N/A,0,"61";#N/A,#N/A,0,"62";#N/A,#N/A,0,"63";#N/A,#N/A,0,"63A";#N/A,#N/A,0,"64";#N/A,#N/A,0,"65";#N/A,#N/A,0,"66";#N/A,#N/A,0,"67"}</definedName>
    <definedName name="wrn.page57to67._1_1" hidden="1" function="0" vbProcedure="0">{#N/A,#N/A,0,"57";#N/A,#N/A,0,"58";#N/A,#N/A,0,"59";#N/A,#N/A,0,"60";#N/A,#N/A,0,"60A";#N/A,#N/A,0,"61";#N/A,#N/A,0,"62";#N/A,#N/A,0,"63";#N/A,#N/A,0,"63A";#N/A,#N/A,0,"64";#N/A,#N/A,0,"65";#N/A,#N/A,0,"66";#N/A,#N/A,0,"67"}</definedName>
    <definedName name="wrn.page57to67._1_2" hidden="1" function="0" vbProcedure="0">{#N/A,#N/A,0,"57";#N/A,#N/A,0,"58";#N/A,#N/A,0,"59";#N/A,#N/A,0,"60";#N/A,#N/A,0,"60A";#N/A,#N/A,0,"61";#N/A,#N/A,0,"62";#N/A,#N/A,0,"63";#N/A,#N/A,0,"63A";#N/A,#N/A,0,"64";#N/A,#N/A,0,"65";#N/A,#N/A,0,"66";#N/A,#N/A,0,"67"}</definedName>
    <definedName name="wrn.page57to67._1_3" hidden="1" function="0" vbProcedure="0">{#N/A,#N/A,0,"57";#N/A,#N/A,0,"58";#N/A,#N/A,0,"59";#N/A,#N/A,0,"60";#N/A,#N/A,0,"60A";#N/A,#N/A,0,"61";#N/A,#N/A,0,"62";#N/A,#N/A,0,"63";#N/A,#N/A,0,"63A";#N/A,#N/A,0,"64";#N/A,#N/A,0,"65";#N/A,#N/A,0,"66";#N/A,#N/A,0,"67"}</definedName>
    <definedName name="wrn.page57to67._1_4" hidden="1" function="0" vbProcedure="0">{#N/A,#N/A,0,"57";#N/A,#N/A,0,"58";#N/A,#N/A,0,"59";#N/A,#N/A,0,"60";#N/A,#N/A,0,"60A";#N/A,#N/A,0,"61";#N/A,#N/A,0,"62";#N/A,#N/A,0,"63";#N/A,#N/A,0,"63A";#N/A,#N/A,0,"64";#N/A,#N/A,0,"65";#N/A,#N/A,0,"66";#N/A,#N/A,0,"67"}</definedName>
    <definedName name="wrn.page57to67._2" hidden="1" function="0" vbProcedure="0">{#N/A,#N/A,0,"57";#N/A,#N/A,0,"58";#N/A,#N/A,0,"59";#N/A,#N/A,0,"60";#N/A,#N/A,0,"60A";#N/A,#N/A,0,"61";#N/A,#N/A,0,"62";#N/A,#N/A,0,"63";#N/A,#N/A,0,"63A";#N/A,#N/A,0,"64";#N/A,#N/A,0,"65";#N/A,#N/A,0,"66";#N/A,#N/A,0,"67"}</definedName>
    <definedName name="wrn.page57to67._3" hidden="1" function="0" vbProcedure="0">{#N/A,#N/A,0,"57";#N/A,#N/A,0,"58";#N/A,#N/A,0,"59";#N/A,#N/A,0,"60";#N/A,#N/A,0,"60A";#N/A,#N/A,0,"61";#N/A,#N/A,0,"62";#N/A,#N/A,0,"63";#N/A,#N/A,0,"63A";#N/A,#N/A,0,"64";#N/A,#N/A,0,"65";#N/A,#N/A,0,"66";#N/A,#N/A,0,"67"}</definedName>
    <definedName name="wrn.page57to67._4" hidden="1" function="0" vbProcedure="0">{#N/A,#N/A,0,"57";#N/A,#N/A,0,"58";#N/A,#N/A,0,"59";#N/A,#N/A,0,"60";#N/A,#N/A,0,"60A";#N/A,#N/A,0,"61";#N/A,#N/A,0,"62";#N/A,#N/A,0,"63";#N/A,#N/A,0,"63A";#N/A,#N/A,0,"64";#N/A,#N/A,0,"65";#N/A,#N/A,0,"66";#N/A,#N/A,0,"67"}</definedName>
    <definedName name="wrn.page57to67._5" hidden="1" function="0" vbProcedure="0">{#N/A,#N/A,0,"57";#N/A,#N/A,0,"58";#N/A,#N/A,0,"59";#N/A,#N/A,0,"60";#N/A,#N/A,0,"60A";#N/A,#N/A,0,"61";#N/A,#N/A,0,"62";#N/A,#N/A,0,"63";#N/A,#N/A,0,"63A";#N/A,#N/A,0,"64";#N/A,#N/A,0,"65";#N/A,#N/A,0,"66";#N/A,#N/A,0,"67"}</definedName>
    <definedName name="wrn.Pages._.28._.to._.50." hidden="1" function="0" vbProcedure="0">{#N/A,#N/A,0,"28";#N/A,#N/A,0,"29";#N/A,#N/A,0,"30";#N/A,#N/A,0,"31";#N/A,#N/A,0,"32";#N/A,#N/A,0,"33";#N/A,#N/A,0,"34";#N/A,#N/A,0,"35";#N/A,#N/A,0,"36";#N/A,#N/A,0,"37";#N/A,#N/A,0,"38";#N/A,#N/A,0,"39";#N/A,#N/A,0,"40";#N/A,#N/A,0,"41";#N/A,#N/A,0,"42";#N/A,#N/A,0,"43";#N/A,#N/A,0,"44";#N/A,#N/A,0,"45";#N/A,#N/A,0,"46";#N/A,#N/A,0,"47";#N/A,#N/A,0,"48";#N/A,#N/A,0,"49";#N/A,#N/A,0,"50"}</definedName>
    <definedName name="wrn.Pages._.28._.to._.50._1" hidden="1" function="0" vbProcedure="0">{#N/A,#N/A,0,"28";#N/A,#N/A,0,"29";#N/A,#N/A,0,"30";#N/A,#N/A,0,"31";#N/A,#N/A,0,"32";#N/A,#N/A,0,"33";#N/A,#N/A,0,"34";#N/A,#N/A,0,"35";#N/A,#N/A,0,"36";#N/A,#N/A,0,"37";#N/A,#N/A,0,"38";#N/A,#N/A,0,"39";#N/A,#N/A,0,"40";#N/A,#N/A,0,"41";#N/A,#N/A,0,"42";#N/A,#N/A,0,"43";#N/A,#N/A,0,"44";#N/A,#N/A,0,"45";#N/A,#N/A,0,"46";#N/A,#N/A,0,"47";#N/A,#N/A,0,"48";#N/A,#N/A,0,"49";#N/A,#N/A,0,"50"}</definedName>
    <definedName name="wrn.Pages._.28._.to._.50._1_1" hidden="1" function="0" vbProcedure="0">{#N/A,#N/A,0,"28";#N/A,#N/A,0,"29";#N/A,#N/A,0,"30";#N/A,#N/A,0,"31";#N/A,#N/A,0,"32";#N/A,#N/A,0,"33";#N/A,#N/A,0,"34";#N/A,#N/A,0,"35";#N/A,#N/A,0,"36";#N/A,#N/A,0,"37";#N/A,#N/A,0,"38";#N/A,#N/A,0,"39";#N/A,#N/A,0,"40";#N/A,#N/A,0,"41";#N/A,#N/A,0,"42";#N/A,#N/A,0,"43";#N/A,#N/A,0,"44";#N/A,#N/A,0,"45";#N/A,#N/A,0,"46";#N/A,#N/A,0,"47";#N/A,#N/A,0,"48";#N/A,#N/A,0,"49";#N/A,#N/A,0,"50"}</definedName>
    <definedName name="wrn.Pages._.28._.to._.50._1_2" hidden="1" function="0" vbProcedure="0">{#N/A,#N/A,0,"28";#N/A,#N/A,0,"29";#N/A,#N/A,0,"30";#N/A,#N/A,0,"31";#N/A,#N/A,0,"32";#N/A,#N/A,0,"33";#N/A,#N/A,0,"34";#N/A,#N/A,0,"35";#N/A,#N/A,0,"36";#N/A,#N/A,0,"37";#N/A,#N/A,0,"38";#N/A,#N/A,0,"39";#N/A,#N/A,0,"40";#N/A,#N/A,0,"41";#N/A,#N/A,0,"42";#N/A,#N/A,0,"43";#N/A,#N/A,0,"44";#N/A,#N/A,0,"45";#N/A,#N/A,0,"46";#N/A,#N/A,0,"47";#N/A,#N/A,0,"48";#N/A,#N/A,0,"49";#N/A,#N/A,0,"50"}</definedName>
    <definedName name="wrn.Pages._.28._.to._.50._1_3" hidden="1" function="0" vbProcedure="0">{#N/A,#N/A,0,"28";#N/A,#N/A,0,"29";#N/A,#N/A,0,"30";#N/A,#N/A,0,"31";#N/A,#N/A,0,"32";#N/A,#N/A,0,"33";#N/A,#N/A,0,"34";#N/A,#N/A,0,"35";#N/A,#N/A,0,"36";#N/A,#N/A,0,"37";#N/A,#N/A,0,"38";#N/A,#N/A,0,"39";#N/A,#N/A,0,"40";#N/A,#N/A,0,"41";#N/A,#N/A,0,"42";#N/A,#N/A,0,"43";#N/A,#N/A,0,"44";#N/A,#N/A,0,"45";#N/A,#N/A,0,"46";#N/A,#N/A,0,"47";#N/A,#N/A,0,"48";#N/A,#N/A,0,"49";#N/A,#N/A,0,"50"}</definedName>
    <definedName name="wrn.Pages._.28._.to._.50._1_4" hidden="1" function="0" vbProcedure="0">{#N/A,#N/A,0,"28";#N/A,#N/A,0,"29";#N/A,#N/A,0,"30";#N/A,#N/A,0,"31";#N/A,#N/A,0,"32";#N/A,#N/A,0,"33";#N/A,#N/A,0,"34";#N/A,#N/A,0,"35";#N/A,#N/A,0,"36";#N/A,#N/A,0,"37";#N/A,#N/A,0,"38";#N/A,#N/A,0,"39";#N/A,#N/A,0,"40";#N/A,#N/A,0,"41";#N/A,#N/A,0,"42";#N/A,#N/A,0,"43";#N/A,#N/A,0,"44";#N/A,#N/A,0,"45";#N/A,#N/A,0,"46";#N/A,#N/A,0,"47";#N/A,#N/A,0,"48";#N/A,#N/A,0,"49";#N/A,#N/A,0,"50"}</definedName>
    <definedName name="wrn.Pages._.28._.to._.50._2" hidden="1" function="0" vbProcedure="0">{#N/A,#N/A,0,"28";#N/A,#N/A,0,"29";#N/A,#N/A,0,"30";#N/A,#N/A,0,"31";#N/A,#N/A,0,"32";#N/A,#N/A,0,"33";#N/A,#N/A,0,"34";#N/A,#N/A,0,"35";#N/A,#N/A,0,"36";#N/A,#N/A,0,"37";#N/A,#N/A,0,"38";#N/A,#N/A,0,"39";#N/A,#N/A,0,"40";#N/A,#N/A,0,"41";#N/A,#N/A,0,"42";#N/A,#N/A,0,"43";#N/A,#N/A,0,"44";#N/A,#N/A,0,"45";#N/A,#N/A,0,"46";#N/A,#N/A,0,"47";#N/A,#N/A,0,"48";#N/A,#N/A,0,"49";#N/A,#N/A,0,"50"}</definedName>
    <definedName name="wrn.Pages._.28._.to._.50._3" hidden="1" function="0" vbProcedure="0">{#N/A,#N/A,0,"28";#N/A,#N/A,0,"29";#N/A,#N/A,0,"30";#N/A,#N/A,0,"31";#N/A,#N/A,0,"32";#N/A,#N/A,0,"33";#N/A,#N/A,0,"34";#N/A,#N/A,0,"35";#N/A,#N/A,0,"36";#N/A,#N/A,0,"37";#N/A,#N/A,0,"38";#N/A,#N/A,0,"39";#N/A,#N/A,0,"40";#N/A,#N/A,0,"41";#N/A,#N/A,0,"42";#N/A,#N/A,0,"43";#N/A,#N/A,0,"44";#N/A,#N/A,0,"45";#N/A,#N/A,0,"46";#N/A,#N/A,0,"47";#N/A,#N/A,0,"48";#N/A,#N/A,0,"49";#N/A,#N/A,0,"50"}</definedName>
    <definedName name="wrn.Pages._.28._.to._.50._4" hidden="1" function="0" vbProcedure="0">{#N/A,#N/A,0,"28";#N/A,#N/A,0,"29";#N/A,#N/A,0,"30";#N/A,#N/A,0,"31";#N/A,#N/A,0,"32";#N/A,#N/A,0,"33";#N/A,#N/A,0,"34";#N/A,#N/A,0,"35";#N/A,#N/A,0,"36";#N/A,#N/A,0,"37";#N/A,#N/A,0,"38";#N/A,#N/A,0,"39";#N/A,#N/A,0,"40";#N/A,#N/A,0,"41";#N/A,#N/A,0,"42";#N/A,#N/A,0,"43";#N/A,#N/A,0,"44";#N/A,#N/A,0,"45";#N/A,#N/A,0,"46";#N/A,#N/A,0,"47";#N/A,#N/A,0,"48";#N/A,#N/A,0,"49";#N/A,#N/A,0,"50"}</definedName>
    <definedName name="wrn.Pages._.28._.to._.50._5" hidden="1" function="0" vbProcedure="0">{#N/A,#N/A,0,"28";#N/A,#N/A,0,"29";#N/A,#N/A,0,"30";#N/A,#N/A,0,"31";#N/A,#N/A,0,"32";#N/A,#N/A,0,"33";#N/A,#N/A,0,"34";#N/A,#N/A,0,"35";#N/A,#N/A,0,"36";#N/A,#N/A,0,"37";#N/A,#N/A,0,"38";#N/A,#N/A,0,"39";#N/A,#N/A,0,"40";#N/A,#N/A,0,"41";#N/A,#N/A,0,"42";#N/A,#N/A,0,"43";#N/A,#N/A,0,"44";#N/A,#N/A,0,"45";#N/A,#N/A,0,"46";#N/A,#N/A,0,"47";#N/A,#N/A,0,"48";#N/A,#N/A,0,"49";#N/A,#N/A,0,"50"}</definedName>
    <definedName name="wrn.Pages._.51._.to._.66." hidden="1" function="0" vbProcedure="0">{#N/A,#N/A,0,"51";#N/A,#N/A,0,"52";#N/A,#N/A,0,"53";#N/A,#N/A,0,"54";#N/A,#N/A,0,"55";#N/A,#N/A,0,"55A";#N/A,#N/A,0,"56";#N/A,#N/A,0,"57";#N/A,#N/A,0,"57A";#N/A,#N/A,0,"58";#N/A,#N/A,0,"59";#N/A,#N/A,0,"60";#N/A,#N/A,0,"60A";#N/A,#N/A,0,"61";#N/A,#N/A,0,"62";#N/A,#N/A,0,"63";#N/A,#N/A,0,"63A";#N/A,#N/A,0,"64";#N/A,#N/A,0,"65";#N/A,#N/A,0,"66"}</definedName>
    <definedName name="wrn.Pages._.51._.to._.66._1" hidden="1" function="0" vbProcedure="0">{#N/A,#N/A,0,"51";#N/A,#N/A,0,"52";#N/A,#N/A,0,"53";#N/A,#N/A,0,"54";#N/A,#N/A,0,"55";#N/A,#N/A,0,"55A";#N/A,#N/A,0,"56";#N/A,#N/A,0,"57";#N/A,#N/A,0,"57A";#N/A,#N/A,0,"58";#N/A,#N/A,0,"59";#N/A,#N/A,0,"60";#N/A,#N/A,0,"60A";#N/A,#N/A,0,"61";#N/A,#N/A,0,"62";#N/A,#N/A,0,"63";#N/A,#N/A,0,"63A";#N/A,#N/A,0,"64";#N/A,#N/A,0,"65";#N/A,#N/A,0,"66"}</definedName>
    <definedName name="wrn.Pages._.51._.to._.66._1_1" hidden="1" function="0" vbProcedure="0">{#N/A,#N/A,0,"51";#N/A,#N/A,0,"52";#N/A,#N/A,0,"53";#N/A,#N/A,0,"54";#N/A,#N/A,0,"55";#N/A,#N/A,0,"55A";#N/A,#N/A,0,"56";#N/A,#N/A,0,"57";#N/A,#N/A,0,"57A";#N/A,#N/A,0,"58";#N/A,#N/A,0,"59";#N/A,#N/A,0,"60";#N/A,#N/A,0,"60A";#N/A,#N/A,0,"61";#N/A,#N/A,0,"62";#N/A,#N/A,0,"63";#N/A,#N/A,0,"63A";#N/A,#N/A,0,"64";#N/A,#N/A,0,"65";#N/A,#N/A,0,"66"}</definedName>
    <definedName name="wrn.Pages._.51._.to._.66._1_2" hidden="1" function="0" vbProcedure="0">{#N/A,#N/A,0,"51";#N/A,#N/A,0,"52";#N/A,#N/A,0,"53";#N/A,#N/A,0,"54";#N/A,#N/A,0,"55";#N/A,#N/A,0,"55A";#N/A,#N/A,0,"56";#N/A,#N/A,0,"57";#N/A,#N/A,0,"57A";#N/A,#N/A,0,"58";#N/A,#N/A,0,"59";#N/A,#N/A,0,"60";#N/A,#N/A,0,"60A";#N/A,#N/A,0,"61";#N/A,#N/A,0,"62";#N/A,#N/A,0,"63";#N/A,#N/A,0,"63A";#N/A,#N/A,0,"64";#N/A,#N/A,0,"65";#N/A,#N/A,0,"66"}</definedName>
    <definedName name="wrn.Pages._.51._.to._.66._1_3" hidden="1" function="0" vbProcedure="0">{#N/A,#N/A,0,"51";#N/A,#N/A,0,"52";#N/A,#N/A,0,"53";#N/A,#N/A,0,"54";#N/A,#N/A,0,"55";#N/A,#N/A,0,"55A";#N/A,#N/A,0,"56";#N/A,#N/A,0,"57";#N/A,#N/A,0,"57A";#N/A,#N/A,0,"58";#N/A,#N/A,0,"59";#N/A,#N/A,0,"60";#N/A,#N/A,0,"60A";#N/A,#N/A,0,"61";#N/A,#N/A,0,"62";#N/A,#N/A,0,"63";#N/A,#N/A,0,"63A";#N/A,#N/A,0,"64";#N/A,#N/A,0,"65";#N/A,#N/A,0,"66"}</definedName>
    <definedName name="wrn.Pages._.51._.to._.66._1_4" hidden="1" function="0" vbProcedure="0">{#N/A,#N/A,0,"51";#N/A,#N/A,0,"52";#N/A,#N/A,0,"53";#N/A,#N/A,0,"54";#N/A,#N/A,0,"55";#N/A,#N/A,0,"55A";#N/A,#N/A,0,"56";#N/A,#N/A,0,"57";#N/A,#N/A,0,"57A";#N/A,#N/A,0,"58";#N/A,#N/A,0,"59";#N/A,#N/A,0,"60";#N/A,#N/A,0,"60A";#N/A,#N/A,0,"61";#N/A,#N/A,0,"62";#N/A,#N/A,0,"63";#N/A,#N/A,0,"63A";#N/A,#N/A,0,"64";#N/A,#N/A,0,"65";#N/A,#N/A,0,"66"}</definedName>
    <definedName name="wrn.Pages._.51._.to._.66._2" hidden="1" function="0" vbProcedure="0">{#N/A,#N/A,0,"51";#N/A,#N/A,0,"52";#N/A,#N/A,0,"53";#N/A,#N/A,0,"54";#N/A,#N/A,0,"55";#N/A,#N/A,0,"55A";#N/A,#N/A,0,"56";#N/A,#N/A,0,"57";#N/A,#N/A,0,"57A";#N/A,#N/A,0,"58";#N/A,#N/A,0,"59";#N/A,#N/A,0,"60";#N/A,#N/A,0,"60A";#N/A,#N/A,0,"61";#N/A,#N/A,0,"62";#N/A,#N/A,0,"63";#N/A,#N/A,0,"63A";#N/A,#N/A,0,"64";#N/A,#N/A,0,"65";#N/A,#N/A,0,"66"}</definedName>
    <definedName name="wrn.Pages._.51._.to._.66._3" hidden="1" function="0" vbProcedure="0">{#N/A,#N/A,0,"51";#N/A,#N/A,0,"52";#N/A,#N/A,0,"53";#N/A,#N/A,0,"54";#N/A,#N/A,0,"55";#N/A,#N/A,0,"55A";#N/A,#N/A,0,"56";#N/A,#N/A,0,"57";#N/A,#N/A,0,"57A";#N/A,#N/A,0,"58";#N/A,#N/A,0,"59";#N/A,#N/A,0,"60";#N/A,#N/A,0,"60A";#N/A,#N/A,0,"61";#N/A,#N/A,0,"62";#N/A,#N/A,0,"63";#N/A,#N/A,0,"63A";#N/A,#N/A,0,"64";#N/A,#N/A,0,"65";#N/A,#N/A,0,"66"}</definedName>
    <definedName name="wrn.Pages._.51._.to._.66._4" hidden="1" function="0" vbProcedure="0">{#N/A,#N/A,0,"51";#N/A,#N/A,0,"52";#N/A,#N/A,0,"53";#N/A,#N/A,0,"54";#N/A,#N/A,0,"55";#N/A,#N/A,0,"55A";#N/A,#N/A,0,"56";#N/A,#N/A,0,"57";#N/A,#N/A,0,"57A";#N/A,#N/A,0,"58";#N/A,#N/A,0,"59";#N/A,#N/A,0,"60";#N/A,#N/A,0,"60A";#N/A,#N/A,0,"61";#N/A,#N/A,0,"62";#N/A,#N/A,0,"63";#N/A,#N/A,0,"63A";#N/A,#N/A,0,"64";#N/A,#N/A,0,"65";#N/A,#N/A,0,"66"}</definedName>
    <definedName name="wrn.Pages._.51._.to._.66._5" hidden="1" function="0" vbProcedure="0">{#N/A,#N/A,0,"51";#N/A,#N/A,0,"52";#N/A,#N/A,0,"53";#N/A,#N/A,0,"54";#N/A,#N/A,0,"55";#N/A,#N/A,0,"55A";#N/A,#N/A,0,"56";#N/A,#N/A,0,"57";#N/A,#N/A,0,"57A";#N/A,#N/A,0,"58";#N/A,#N/A,0,"59";#N/A,#N/A,0,"60";#N/A,#N/A,0,"60A";#N/A,#N/A,0,"61";#N/A,#N/A,0,"62";#N/A,#N/A,0,"63";#N/A,#N/A,0,"63A";#N/A,#N/A,0,"64";#N/A,#N/A,0,"65";#N/A,#N/A,0,"66"}</definedName>
    <definedName name="wrn.pages._.88._.to._.end." hidden="1" function="0" vbProcedure="0">{#N/A,#N/A,0,"88";#N/A,#N/A,0,"89";#N/A,#N/A,0,"90";#N/A,#N/A,0,"91";#N/A,#N/A,0,"92";#N/A,#N/A,0,"93";#N/A,#N/A,0,"94";#N/A,#N/A,0,"94.1a";#N/A,#N/A,0,"94.1b";#N/A,#N/A,0,"94.2a";#N/A,#N/A,0,"94.2b";#N/A,#N/A,0,"94.3a";#N/A,#N/A,0,"94.3b";#N/A,#N/A,0,"95";#N/A,#N/A,0,"96";#N/A,#N/A,0,"97";#N/A,#N/A,0,"98";#N/A,#N/A,0,"99";#N/A,#N/A,0,"100";#N/A,#N/A,0,"101";#N/A,#N/A,0,"102";#N/A,#N/A,0,"103";#N/A,#N/A,0,"104";#N/A,#N/A,0,"105";#N/A,#N/A,0,"106";#N/A,#N/A,0,"107";#N/A,#N/A,0,"108";#N/A,#N/A,0,"109";#N/A,#N/A,0,"110";#N/A,#N/A,0,"110A";#N/A,#N/A,0,"111";#N/A,#N/A,0,"112";#N/A,#N/A,0,"113";#N/A,#N/A,0,"SignPage"}</definedName>
    <definedName name="wrn.pages._.88._.to._.end._1" hidden="1" function="0" vbProcedure="0">{#N/A,#N/A,0,"88";#N/A,#N/A,0,"89";#N/A,#N/A,0,"90";#N/A,#N/A,0,"91";#N/A,#N/A,0,"92";#N/A,#N/A,0,"93";#N/A,#N/A,0,"94";#N/A,#N/A,0,"94.1a";#N/A,#N/A,0,"94.1b";#N/A,#N/A,0,"94.2a";#N/A,#N/A,0,"94.2b";#N/A,#N/A,0,"94.3a";#N/A,#N/A,0,"94.3b";#N/A,#N/A,0,"95";#N/A,#N/A,0,"96";#N/A,#N/A,0,"97";#N/A,#N/A,0,"98";#N/A,#N/A,0,"99";#N/A,#N/A,0,"100";#N/A,#N/A,0,"101";#N/A,#N/A,0,"102";#N/A,#N/A,0,"103";#N/A,#N/A,0,"104";#N/A,#N/A,0,"105";#N/A,#N/A,0,"106";#N/A,#N/A,0,"107";#N/A,#N/A,0,"108";#N/A,#N/A,0,"109";#N/A,#N/A,0,"110";#N/A,#N/A,0,"110A";#N/A,#N/A,0,"111";#N/A,#N/A,0,"112";#N/A,#N/A,0,"113";#N/A,#N/A,0,"SignPage"}</definedName>
    <definedName name="wrn.pages._.88._.to._.end._1_1" hidden="1" function="0" vbProcedure="0">{#N/A,#N/A,0,"88";#N/A,#N/A,0,"89";#N/A,#N/A,0,"90";#N/A,#N/A,0,"91";#N/A,#N/A,0,"92";#N/A,#N/A,0,"93";#N/A,#N/A,0,"94";#N/A,#N/A,0,"94.1a";#N/A,#N/A,0,"94.1b";#N/A,#N/A,0,"94.2a";#N/A,#N/A,0,"94.2b";#N/A,#N/A,0,"94.3a";#N/A,#N/A,0,"94.3b";#N/A,#N/A,0,"95";#N/A,#N/A,0,"96";#N/A,#N/A,0,"97";#N/A,#N/A,0,"98";#N/A,#N/A,0,"99";#N/A,#N/A,0,"100";#N/A,#N/A,0,"101";#N/A,#N/A,0,"102";#N/A,#N/A,0,"103";#N/A,#N/A,0,"104";#N/A,#N/A,0,"105";#N/A,#N/A,0,"106";#N/A,#N/A,0,"107";#N/A,#N/A,0,"108";#N/A,#N/A,0,"109";#N/A,#N/A,0,"110";#N/A,#N/A,0,"110A";#N/A,#N/A,0,"111";#N/A,#N/A,0,"112";#N/A,#N/A,0,"113";#N/A,#N/A,0,"SignPage"}</definedName>
    <definedName name="wrn.pages._.88._.to._.end._1_2" hidden="1" function="0" vbProcedure="0">{#N/A,#N/A,0,"88";#N/A,#N/A,0,"89";#N/A,#N/A,0,"90";#N/A,#N/A,0,"91";#N/A,#N/A,0,"92";#N/A,#N/A,0,"93";#N/A,#N/A,0,"94";#N/A,#N/A,0,"94.1a";#N/A,#N/A,0,"94.1b";#N/A,#N/A,0,"94.2a";#N/A,#N/A,0,"94.2b";#N/A,#N/A,0,"94.3a";#N/A,#N/A,0,"94.3b";#N/A,#N/A,0,"95";#N/A,#N/A,0,"96";#N/A,#N/A,0,"97";#N/A,#N/A,0,"98";#N/A,#N/A,0,"99";#N/A,#N/A,0,"100";#N/A,#N/A,0,"101";#N/A,#N/A,0,"102";#N/A,#N/A,0,"103";#N/A,#N/A,0,"104";#N/A,#N/A,0,"105";#N/A,#N/A,0,"106";#N/A,#N/A,0,"107";#N/A,#N/A,0,"108";#N/A,#N/A,0,"109";#N/A,#N/A,0,"110";#N/A,#N/A,0,"110A";#N/A,#N/A,0,"111";#N/A,#N/A,0,"112";#N/A,#N/A,0,"113";#N/A,#N/A,0,"SignPage"}</definedName>
    <definedName name="wrn.pages._.88._.to._.end._1_3" hidden="1" function="0" vbProcedure="0">{#N/A,#N/A,0,"88";#N/A,#N/A,0,"89";#N/A,#N/A,0,"90";#N/A,#N/A,0,"91";#N/A,#N/A,0,"92";#N/A,#N/A,0,"93";#N/A,#N/A,0,"94";#N/A,#N/A,0,"94.1a";#N/A,#N/A,0,"94.1b";#N/A,#N/A,0,"94.2a";#N/A,#N/A,0,"94.2b";#N/A,#N/A,0,"94.3a";#N/A,#N/A,0,"94.3b";#N/A,#N/A,0,"95";#N/A,#N/A,0,"96";#N/A,#N/A,0,"97";#N/A,#N/A,0,"98";#N/A,#N/A,0,"99";#N/A,#N/A,0,"100";#N/A,#N/A,0,"101";#N/A,#N/A,0,"102";#N/A,#N/A,0,"103";#N/A,#N/A,0,"104";#N/A,#N/A,0,"105";#N/A,#N/A,0,"106";#N/A,#N/A,0,"107";#N/A,#N/A,0,"108";#N/A,#N/A,0,"109";#N/A,#N/A,0,"110";#N/A,#N/A,0,"110A";#N/A,#N/A,0,"111";#N/A,#N/A,0,"112";#N/A,#N/A,0,"113";#N/A,#N/A,0,"SignPage"}</definedName>
    <definedName name="wrn.pages._.88._.to._.end._1_4" hidden="1" function="0" vbProcedure="0">{#N/A,#N/A,0,"88";#N/A,#N/A,0,"89";#N/A,#N/A,0,"90";#N/A,#N/A,0,"91";#N/A,#N/A,0,"92";#N/A,#N/A,0,"93";#N/A,#N/A,0,"94";#N/A,#N/A,0,"94.1a";#N/A,#N/A,0,"94.1b";#N/A,#N/A,0,"94.2a";#N/A,#N/A,0,"94.2b";#N/A,#N/A,0,"94.3a";#N/A,#N/A,0,"94.3b";#N/A,#N/A,0,"95";#N/A,#N/A,0,"96";#N/A,#N/A,0,"97";#N/A,#N/A,0,"98";#N/A,#N/A,0,"99";#N/A,#N/A,0,"100";#N/A,#N/A,0,"101";#N/A,#N/A,0,"102";#N/A,#N/A,0,"103";#N/A,#N/A,0,"104";#N/A,#N/A,0,"105";#N/A,#N/A,0,"106";#N/A,#N/A,0,"107";#N/A,#N/A,0,"108";#N/A,#N/A,0,"109";#N/A,#N/A,0,"110";#N/A,#N/A,0,"110A";#N/A,#N/A,0,"111";#N/A,#N/A,0,"112";#N/A,#N/A,0,"113";#N/A,#N/A,0,"SignPage"}</definedName>
    <definedName name="wrn.pages._.88._.to._.end._2" hidden="1" function="0" vbProcedure="0">{#N/A,#N/A,0,"88";#N/A,#N/A,0,"89";#N/A,#N/A,0,"90";#N/A,#N/A,0,"91";#N/A,#N/A,0,"92";#N/A,#N/A,0,"93";#N/A,#N/A,0,"94";#N/A,#N/A,0,"94.1a";#N/A,#N/A,0,"94.1b";#N/A,#N/A,0,"94.2a";#N/A,#N/A,0,"94.2b";#N/A,#N/A,0,"94.3a";#N/A,#N/A,0,"94.3b";#N/A,#N/A,0,"95";#N/A,#N/A,0,"96";#N/A,#N/A,0,"97";#N/A,#N/A,0,"98";#N/A,#N/A,0,"99";#N/A,#N/A,0,"100";#N/A,#N/A,0,"101";#N/A,#N/A,0,"102";#N/A,#N/A,0,"103";#N/A,#N/A,0,"104";#N/A,#N/A,0,"105";#N/A,#N/A,0,"106";#N/A,#N/A,0,"107";#N/A,#N/A,0,"108";#N/A,#N/A,0,"109";#N/A,#N/A,0,"110";#N/A,#N/A,0,"110A";#N/A,#N/A,0,"111";#N/A,#N/A,0,"112";#N/A,#N/A,0,"113";#N/A,#N/A,0,"SignPage"}</definedName>
    <definedName name="wrn.pages._.88._.to._.end._3" hidden="1" function="0" vbProcedure="0">{#N/A,#N/A,0,"88";#N/A,#N/A,0,"89";#N/A,#N/A,0,"90";#N/A,#N/A,0,"91";#N/A,#N/A,0,"92";#N/A,#N/A,0,"93";#N/A,#N/A,0,"94";#N/A,#N/A,0,"94.1a";#N/A,#N/A,0,"94.1b";#N/A,#N/A,0,"94.2a";#N/A,#N/A,0,"94.2b";#N/A,#N/A,0,"94.3a";#N/A,#N/A,0,"94.3b";#N/A,#N/A,0,"95";#N/A,#N/A,0,"96";#N/A,#N/A,0,"97";#N/A,#N/A,0,"98";#N/A,#N/A,0,"99";#N/A,#N/A,0,"100";#N/A,#N/A,0,"101";#N/A,#N/A,0,"102";#N/A,#N/A,0,"103";#N/A,#N/A,0,"104";#N/A,#N/A,0,"105";#N/A,#N/A,0,"106";#N/A,#N/A,0,"107";#N/A,#N/A,0,"108";#N/A,#N/A,0,"109";#N/A,#N/A,0,"110";#N/A,#N/A,0,"110A";#N/A,#N/A,0,"111";#N/A,#N/A,0,"112";#N/A,#N/A,0,"113";#N/A,#N/A,0,"SignPage"}</definedName>
    <definedName name="wrn.pages._.88._.to._.end._4" hidden="1" function="0" vbProcedure="0">{#N/A,#N/A,0,"88";#N/A,#N/A,0,"89";#N/A,#N/A,0,"90";#N/A,#N/A,0,"91";#N/A,#N/A,0,"92";#N/A,#N/A,0,"93";#N/A,#N/A,0,"94";#N/A,#N/A,0,"94.1a";#N/A,#N/A,0,"94.1b";#N/A,#N/A,0,"94.2a";#N/A,#N/A,0,"94.2b";#N/A,#N/A,0,"94.3a";#N/A,#N/A,0,"94.3b";#N/A,#N/A,0,"95";#N/A,#N/A,0,"96";#N/A,#N/A,0,"97";#N/A,#N/A,0,"98";#N/A,#N/A,0,"99";#N/A,#N/A,0,"100";#N/A,#N/A,0,"101";#N/A,#N/A,0,"102";#N/A,#N/A,0,"103";#N/A,#N/A,0,"104";#N/A,#N/A,0,"105";#N/A,#N/A,0,"106";#N/A,#N/A,0,"107";#N/A,#N/A,0,"108";#N/A,#N/A,0,"109";#N/A,#N/A,0,"110";#N/A,#N/A,0,"110A";#N/A,#N/A,0,"111";#N/A,#N/A,0,"112";#N/A,#N/A,0,"113";#N/A,#N/A,0,"SignPage"}</definedName>
    <definedName name="wrn.pages._.88._.to._.end._5" hidden="1" function="0" vbProcedure="0">{#N/A,#N/A,0,"88";#N/A,#N/A,0,"89";#N/A,#N/A,0,"90";#N/A,#N/A,0,"91";#N/A,#N/A,0,"92";#N/A,#N/A,0,"93";#N/A,#N/A,0,"94";#N/A,#N/A,0,"94.1a";#N/A,#N/A,0,"94.1b";#N/A,#N/A,0,"94.2a";#N/A,#N/A,0,"94.2b";#N/A,#N/A,0,"94.3a";#N/A,#N/A,0,"94.3b";#N/A,#N/A,0,"95";#N/A,#N/A,0,"96";#N/A,#N/A,0,"97";#N/A,#N/A,0,"98";#N/A,#N/A,0,"99";#N/A,#N/A,0,"100";#N/A,#N/A,0,"101";#N/A,#N/A,0,"102";#N/A,#N/A,0,"103";#N/A,#N/A,0,"104";#N/A,#N/A,0,"105";#N/A,#N/A,0,"106";#N/A,#N/A,0,"107";#N/A,#N/A,0,"108";#N/A,#N/A,0,"109";#N/A,#N/A,0,"110";#N/A,#N/A,0,"110A";#N/A,#N/A,0,"111";#N/A,#N/A,0,"112";#N/A,#N/A,0,"113";#N/A,#N/A,0,"SignPage"}</definedName>
    <definedName name="wrn.Penn._.PSC._.part._.1." hidden="1" function="0" vbProcedure="0">{#N/A,#N/A,0,"Cover";#N/A,#N/A,0,"Index 1";#N/A,#N/A,0,"Index 2";#N/A,#N/A,0,"Blank";#N/A,#N/A,0,"1";#N/A,#N/A,0,"2";#N/A,#N/A,0,"3";#N/A,#N/A,0,"4";#N/A,#N/A,0,"5";#N/A,#N/A,0,"6";#N/A,#N/A,0,"7";#N/A,#N/A,0,"8";#N/A,#N/A,0,"9";#N/A,#N/A,0,"10";#N/A,#N/A,0,"11";#N/A,#N/A,0,"12";#N/A,#N/A,0,"13";#N/A,#N/A,0,"14";#N/A,#N/A,0,"15";#N/A,#N/A,0,"16";#N/A,#N/A,0,"17";#N/A,#N/A,0,"18";#N/A,#N/A,0,"19";#N/A,#N/A,0,"20";#N/A,#N/A,0,"21";#N/A,#N/A,0,"22";#N/A,#N/A,0,"23";#N/A,#N/A,0,"24";#N/A,#N/A,0,"25";#N/A,#N/A,0,"26";#N/A,#N/A,0,"27";#N/A,#N/A,0,"28";#N/A,#N/A,0,"29";#N/A,#N/A,0,"30";#N/A,#N/A,0,"31";#N/A,#N/A,0,"32";#N/A,#N/A,0,"33";#N/A,#N/A,0,"34";#N/A,#N/A,0,"35";#N/A,#N/A,0,"36";#N/A,#N/A,0,"37";#N/A,#N/A,0,"38";#N/A,#N/A,0,"39";#N/A,#N/A,0,"40";#N/A,#N/A,0,"41";#N/A,#N/A,0,"42";#N/A,#N/A,0,"43";#N/A,#N/A,0,"44";#N/A,#N/A,0,"45";#N/A,#N/A,0,"46";#N/A,#N/A,0,"47";#N/A,#N/A,0,"48";#N/A,#N/A,0,"49";#N/A,#N/A,0,"50";#N/A,#N/A,0,"51";#N/A,#N/A,0,"52";#N/A,#N/A,0,"53";#N/A,#N/A,0,"54";#N/A,#N/A,0,"55";#N/A,#N/A,0,"55A";#N/A,#N/A,0,"56";#N/A,#N/A,0,"57";#N/A,#N/A,0,"57A";#N/A,#N/A,0,"58";#N/A,#N/A,0,"59";#N/A,#N/A,0,"60";#N/A,#N/A,0,"60A";#N/A,#N/A,0,"61";#N/A,#N/A,0,"62";#N/A,#N/A,0,"63";#N/A,#N/A,0,"63A";#N/A,#N/A,0,"64";#N/A,#N/A,0,"65";#N/A,#N/A,0,"66"}</definedName>
    <definedName name="wrn.Penn._.PSC._.part._.1._1" hidden="1" function="0" vbProcedure="0">{#N/A,#N/A,0,"Cover";#N/A,#N/A,0,"Index 1";#N/A,#N/A,0,"Index 2";#N/A,#N/A,0,"Blank";#N/A,#N/A,0,"1";#N/A,#N/A,0,"2";#N/A,#N/A,0,"3";#N/A,#N/A,0,"4";#N/A,#N/A,0,"5";#N/A,#N/A,0,"6";#N/A,#N/A,0,"7";#N/A,#N/A,0,"8";#N/A,#N/A,0,"9";#N/A,#N/A,0,"10";#N/A,#N/A,0,"11";#N/A,#N/A,0,"12";#N/A,#N/A,0,"13";#N/A,#N/A,0,"14";#N/A,#N/A,0,"15";#N/A,#N/A,0,"16";#N/A,#N/A,0,"17";#N/A,#N/A,0,"18";#N/A,#N/A,0,"19";#N/A,#N/A,0,"20";#N/A,#N/A,0,"21";#N/A,#N/A,0,"22";#N/A,#N/A,0,"23";#N/A,#N/A,0,"24";#N/A,#N/A,0,"25";#N/A,#N/A,0,"26";#N/A,#N/A,0,"27";#N/A,#N/A,0,"28";#N/A,#N/A,0,"29";#N/A,#N/A,0,"30";#N/A,#N/A,0,"31";#N/A,#N/A,0,"32";#N/A,#N/A,0,"33";#N/A,#N/A,0,"34";#N/A,#N/A,0,"35";#N/A,#N/A,0,"36";#N/A,#N/A,0,"37";#N/A,#N/A,0,"38";#N/A,#N/A,0,"39";#N/A,#N/A,0,"40";#N/A,#N/A,0,"41";#N/A,#N/A,0,"42";#N/A,#N/A,0,"43";#N/A,#N/A,0,"44";#N/A,#N/A,0,"45";#N/A,#N/A,0,"46";#N/A,#N/A,0,"47";#N/A,#N/A,0,"48";#N/A,#N/A,0,"49";#N/A,#N/A,0,"50";#N/A,#N/A,0,"51";#N/A,#N/A,0,"52";#N/A,#N/A,0,"53";#N/A,#N/A,0,"54";#N/A,#N/A,0,"55";#N/A,#N/A,0,"55A";#N/A,#N/A,0,"56";#N/A,#N/A,0,"57";#N/A,#N/A,0,"57A";#N/A,#N/A,0,"58";#N/A,#N/A,0,"59";#N/A,#N/A,0,"60";#N/A,#N/A,0,"60A";#N/A,#N/A,0,"61";#N/A,#N/A,0,"62";#N/A,#N/A,0,"63";#N/A,#N/A,0,"63A";#N/A,#N/A,0,"64";#N/A,#N/A,0,"65";#N/A,#N/A,0,"66"}</definedName>
    <definedName name="wrn.Penn._.PSC._.part._.1._1_1" hidden="1" function="0" vbProcedure="0">{#N/A,#N/A,0,"Cover";#N/A,#N/A,0,"Index 1";#N/A,#N/A,0,"Index 2";#N/A,#N/A,0,"Blank";#N/A,#N/A,0,"1";#N/A,#N/A,0,"2";#N/A,#N/A,0,"3";#N/A,#N/A,0,"4";#N/A,#N/A,0,"5";#N/A,#N/A,0,"6";#N/A,#N/A,0,"7";#N/A,#N/A,0,"8";#N/A,#N/A,0,"9";#N/A,#N/A,0,"10";#N/A,#N/A,0,"11";#N/A,#N/A,0,"12";#N/A,#N/A,0,"13";#N/A,#N/A,0,"14";#N/A,#N/A,0,"15";#N/A,#N/A,0,"16";#N/A,#N/A,0,"17";#N/A,#N/A,0,"18";#N/A,#N/A,0,"19";#N/A,#N/A,0,"20";#N/A,#N/A,0,"21";#N/A,#N/A,0,"22";#N/A,#N/A,0,"23";#N/A,#N/A,0,"24";#N/A,#N/A,0,"25";#N/A,#N/A,0,"26";#N/A,#N/A,0,"27";#N/A,#N/A,0,"28";#N/A,#N/A,0,"29";#N/A,#N/A,0,"30";#N/A,#N/A,0,"31";#N/A,#N/A,0,"32";#N/A,#N/A,0,"33";#N/A,#N/A,0,"34";#N/A,#N/A,0,"35";#N/A,#N/A,0,"36";#N/A,#N/A,0,"37";#N/A,#N/A,0,"38";#N/A,#N/A,0,"39";#N/A,#N/A,0,"40";#N/A,#N/A,0,"41";#N/A,#N/A,0,"42";#N/A,#N/A,0,"43";#N/A,#N/A,0,"44";#N/A,#N/A,0,"45";#N/A,#N/A,0,"46";#N/A,#N/A,0,"47";#N/A,#N/A,0,"48";#N/A,#N/A,0,"49";#N/A,#N/A,0,"50";#N/A,#N/A,0,"51";#N/A,#N/A,0,"52";#N/A,#N/A,0,"53";#N/A,#N/A,0,"54";#N/A,#N/A,0,"55";#N/A,#N/A,0,"55A";#N/A,#N/A,0,"56";#N/A,#N/A,0,"57";#N/A,#N/A,0,"57A";#N/A,#N/A,0,"58";#N/A,#N/A,0,"59";#N/A,#N/A,0,"60";#N/A,#N/A,0,"60A";#N/A,#N/A,0,"61";#N/A,#N/A,0,"62";#N/A,#N/A,0,"63";#N/A,#N/A,0,"63A";#N/A,#N/A,0,"64";#N/A,#N/A,0,"65";#N/A,#N/A,0,"66"}</definedName>
    <definedName name="wrn.Penn._.PSC._.part._.1._1_2" hidden="1" function="0" vbProcedure="0">{#N/A,#N/A,0,"Cover";#N/A,#N/A,0,"Index 1";#N/A,#N/A,0,"Index 2";#N/A,#N/A,0,"Blank";#N/A,#N/A,0,"1";#N/A,#N/A,0,"2";#N/A,#N/A,0,"3";#N/A,#N/A,0,"4";#N/A,#N/A,0,"5";#N/A,#N/A,0,"6";#N/A,#N/A,0,"7";#N/A,#N/A,0,"8";#N/A,#N/A,0,"9";#N/A,#N/A,0,"10";#N/A,#N/A,0,"11";#N/A,#N/A,0,"12";#N/A,#N/A,0,"13";#N/A,#N/A,0,"14";#N/A,#N/A,0,"15";#N/A,#N/A,0,"16";#N/A,#N/A,0,"17";#N/A,#N/A,0,"18";#N/A,#N/A,0,"19";#N/A,#N/A,0,"20";#N/A,#N/A,0,"21";#N/A,#N/A,0,"22";#N/A,#N/A,0,"23";#N/A,#N/A,0,"24";#N/A,#N/A,0,"25";#N/A,#N/A,0,"26";#N/A,#N/A,0,"27";#N/A,#N/A,0,"28";#N/A,#N/A,0,"29";#N/A,#N/A,0,"30";#N/A,#N/A,0,"31";#N/A,#N/A,0,"32";#N/A,#N/A,0,"33";#N/A,#N/A,0,"34";#N/A,#N/A,0,"35";#N/A,#N/A,0,"36";#N/A,#N/A,0,"37";#N/A,#N/A,0,"38";#N/A,#N/A,0,"39";#N/A,#N/A,0,"40";#N/A,#N/A,0,"41";#N/A,#N/A,0,"42";#N/A,#N/A,0,"43";#N/A,#N/A,0,"44";#N/A,#N/A,0,"45";#N/A,#N/A,0,"46";#N/A,#N/A,0,"47";#N/A,#N/A,0,"48";#N/A,#N/A,0,"49";#N/A,#N/A,0,"50";#N/A,#N/A,0,"51";#N/A,#N/A,0,"52";#N/A,#N/A,0,"53";#N/A,#N/A,0,"54";#N/A,#N/A,0,"55";#N/A,#N/A,0,"55A";#N/A,#N/A,0,"56";#N/A,#N/A,0,"57";#N/A,#N/A,0,"57A";#N/A,#N/A,0,"58";#N/A,#N/A,0,"59";#N/A,#N/A,0,"60";#N/A,#N/A,0,"60A";#N/A,#N/A,0,"61";#N/A,#N/A,0,"62";#N/A,#N/A,0,"63";#N/A,#N/A,0,"63A";#N/A,#N/A,0,"64";#N/A,#N/A,0,"65";#N/A,#N/A,0,"66"}</definedName>
    <definedName name="wrn.Penn._.PSC._.part._.1._1_3" hidden="1" function="0" vbProcedure="0">{#N/A,#N/A,0,"Cover";#N/A,#N/A,0,"Index 1";#N/A,#N/A,0,"Index 2";#N/A,#N/A,0,"Blank";#N/A,#N/A,0,"1";#N/A,#N/A,0,"2";#N/A,#N/A,0,"3";#N/A,#N/A,0,"4";#N/A,#N/A,0,"5";#N/A,#N/A,0,"6";#N/A,#N/A,0,"7";#N/A,#N/A,0,"8";#N/A,#N/A,0,"9";#N/A,#N/A,0,"10";#N/A,#N/A,0,"11";#N/A,#N/A,0,"12";#N/A,#N/A,0,"13";#N/A,#N/A,0,"14";#N/A,#N/A,0,"15";#N/A,#N/A,0,"16";#N/A,#N/A,0,"17";#N/A,#N/A,0,"18";#N/A,#N/A,0,"19";#N/A,#N/A,0,"20";#N/A,#N/A,0,"21";#N/A,#N/A,0,"22";#N/A,#N/A,0,"23";#N/A,#N/A,0,"24";#N/A,#N/A,0,"25";#N/A,#N/A,0,"26";#N/A,#N/A,0,"27";#N/A,#N/A,0,"28";#N/A,#N/A,0,"29";#N/A,#N/A,0,"30";#N/A,#N/A,0,"31";#N/A,#N/A,0,"32";#N/A,#N/A,0,"33";#N/A,#N/A,0,"34";#N/A,#N/A,0,"35";#N/A,#N/A,0,"36";#N/A,#N/A,0,"37";#N/A,#N/A,0,"38";#N/A,#N/A,0,"39";#N/A,#N/A,0,"40";#N/A,#N/A,0,"41";#N/A,#N/A,0,"42";#N/A,#N/A,0,"43";#N/A,#N/A,0,"44";#N/A,#N/A,0,"45";#N/A,#N/A,0,"46";#N/A,#N/A,0,"47";#N/A,#N/A,0,"48";#N/A,#N/A,0,"49";#N/A,#N/A,0,"50";#N/A,#N/A,0,"51";#N/A,#N/A,0,"52";#N/A,#N/A,0,"53";#N/A,#N/A,0,"54";#N/A,#N/A,0,"55";#N/A,#N/A,0,"55A";#N/A,#N/A,0,"56";#N/A,#N/A,0,"57";#N/A,#N/A,0,"57A";#N/A,#N/A,0,"58";#N/A,#N/A,0,"59";#N/A,#N/A,0,"60";#N/A,#N/A,0,"60A";#N/A,#N/A,0,"61";#N/A,#N/A,0,"62";#N/A,#N/A,0,"63";#N/A,#N/A,0,"63A";#N/A,#N/A,0,"64";#N/A,#N/A,0,"65";#N/A,#N/A,0,"66"}</definedName>
    <definedName name="wrn.Penn._.PSC._.part._.1._1_4" hidden="1" function="0" vbProcedure="0">{#N/A,#N/A,0,"Cover";#N/A,#N/A,0,"Index 1";#N/A,#N/A,0,"Index 2";#N/A,#N/A,0,"Blank";#N/A,#N/A,0,"1";#N/A,#N/A,0,"2";#N/A,#N/A,0,"3";#N/A,#N/A,0,"4";#N/A,#N/A,0,"5";#N/A,#N/A,0,"6";#N/A,#N/A,0,"7";#N/A,#N/A,0,"8";#N/A,#N/A,0,"9";#N/A,#N/A,0,"10";#N/A,#N/A,0,"11";#N/A,#N/A,0,"12";#N/A,#N/A,0,"13";#N/A,#N/A,0,"14";#N/A,#N/A,0,"15";#N/A,#N/A,0,"16";#N/A,#N/A,0,"17";#N/A,#N/A,0,"18";#N/A,#N/A,0,"19";#N/A,#N/A,0,"20";#N/A,#N/A,0,"21";#N/A,#N/A,0,"22";#N/A,#N/A,0,"23";#N/A,#N/A,0,"24";#N/A,#N/A,0,"25";#N/A,#N/A,0,"26";#N/A,#N/A,0,"27";#N/A,#N/A,0,"28";#N/A,#N/A,0,"29";#N/A,#N/A,0,"30";#N/A,#N/A,0,"31";#N/A,#N/A,0,"32";#N/A,#N/A,0,"33";#N/A,#N/A,0,"34";#N/A,#N/A,0,"35";#N/A,#N/A,0,"36";#N/A,#N/A,0,"37";#N/A,#N/A,0,"38";#N/A,#N/A,0,"39";#N/A,#N/A,0,"40";#N/A,#N/A,0,"41";#N/A,#N/A,0,"42";#N/A,#N/A,0,"43";#N/A,#N/A,0,"44";#N/A,#N/A,0,"45";#N/A,#N/A,0,"46";#N/A,#N/A,0,"47";#N/A,#N/A,0,"48";#N/A,#N/A,0,"49";#N/A,#N/A,0,"50";#N/A,#N/A,0,"51";#N/A,#N/A,0,"52";#N/A,#N/A,0,"53";#N/A,#N/A,0,"54";#N/A,#N/A,0,"55";#N/A,#N/A,0,"55A";#N/A,#N/A,0,"56";#N/A,#N/A,0,"57";#N/A,#N/A,0,"57A";#N/A,#N/A,0,"58";#N/A,#N/A,0,"59";#N/A,#N/A,0,"60";#N/A,#N/A,0,"60A";#N/A,#N/A,0,"61";#N/A,#N/A,0,"62";#N/A,#N/A,0,"63";#N/A,#N/A,0,"63A";#N/A,#N/A,0,"64";#N/A,#N/A,0,"65";#N/A,#N/A,0,"66"}</definedName>
    <definedName name="wrn.Penn._.PSC._.part._.1._2" hidden="1" function="0" vbProcedure="0">{#N/A,#N/A,0,"Cover";#N/A,#N/A,0,"Index 1";#N/A,#N/A,0,"Index 2";#N/A,#N/A,0,"Blank";#N/A,#N/A,0,"1";#N/A,#N/A,0,"2";#N/A,#N/A,0,"3";#N/A,#N/A,0,"4";#N/A,#N/A,0,"5";#N/A,#N/A,0,"6";#N/A,#N/A,0,"7";#N/A,#N/A,0,"8";#N/A,#N/A,0,"9";#N/A,#N/A,0,"10";#N/A,#N/A,0,"11";#N/A,#N/A,0,"12";#N/A,#N/A,0,"13";#N/A,#N/A,0,"14";#N/A,#N/A,0,"15";#N/A,#N/A,0,"16";#N/A,#N/A,0,"17";#N/A,#N/A,0,"18";#N/A,#N/A,0,"19";#N/A,#N/A,0,"20";#N/A,#N/A,0,"21";#N/A,#N/A,0,"22";#N/A,#N/A,0,"23";#N/A,#N/A,0,"24";#N/A,#N/A,0,"25";#N/A,#N/A,0,"26";#N/A,#N/A,0,"27";#N/A,#N/A,0,"28";#N/A,#N/A,0,"29";#N/A,#N/A,0,"30";#N/A,#N/A,0,"31";#N/A,#N/A,0,"32";#N/A,#N/A,0,"33";#N/A,#N/A,0,"34";#N/A,#N/A,0,"35";#N/A,#N/A,0,"36";#N/A,#N/A,0,"37";#N/A,#N/A,0,"38";#N/A,#N/A,0,"39";#N/A,#N/A,0,"40";#N/A,#N/A,0,"41";#N/A,#N/A,0,"42";#N/A,#N/A,0,"43";#N/A,#N/A,0,"44";#N/A,#N/A,0,"45";#N/A,#N/A,0,"46";#N/A,#N/A,0,"47";#N/A,#N/A,0,"48";#N/A,#N/A,0,"49";#N/A,#N/A,0,"50";#N/A,#N/A,0,"51";#N/A,#N/A,0,"52";#N/A,#N/A,0,"53";#N/A,#N/A,0,"54";#N/A,#N/A,0,"55";#N/A,#N/A,0,"55A";#N/A,#N/A,0,"56";#N/A,#N/A,0,"57";#N/A,#N/A,0,"57A";#N/A,#N/A,0,"58";#N/A,#N/A,0,"59";#N/A,#N/A,0,"60";#N/A,#N/A,0,"60A";#N/A,#N/A,0,"61";#N/A,#N/A,0,"62";#N/A,#N/A,0,"63";#N/A,#N/A,0,"63A";#N/A,#N/A,0,"64";#N/A,#N/A,0,"65";#N/A,#N/A,0,"66"}</definedName>
    <definedName name="wrn.Penn._.PSC._.part._.1._3" hidden="1" function="0" vbProcedure="0">{#N/A,#N/A,0,"Cover";#N/A,#N/A,0,"Index 1";#N/A,#N/A,0,"Index 2";#N/A,#N/A,0,"Blank";#N/A,#N/A,0,"1";#N/A,#N/A,0,"2";#N/A,#N/A,0,"3";#N/A,#N/A,0,"4";#N/A,#N/A,0,"5";#N/A,#N/A,0,"6";#N/A,#N/A,0,"7";#N/A,#N/A,0,"8";#N/A,#N/A,0,"9";#N/A,#N/A,0,"10";#N/A,#N/A,0,"11";#N/A,#N/A,0,"12";#N/A,#N/A,0,"13";#N/A,#N/A,0,"14";#N/A,#N/A,0,"15";#N/A,#N/A,0,"16";#N/A,#N/A,0,"17";#N/A,#N/A,0,"18";#N/A,#N/A,0,"19";#N/A,#N/A,0,"20";#N/A,#N/A,0,"21";#N/A,#N/A,0,"22";#N/A,#N/A,0,"23";#N/A,#N/A,0,"24";#N/A,#N/A,0,"25";#N/A,#N/A,0,"26";#N/A,#N/A,0,"27";#N/A,#N/A,0,"28";#N/A,#N/A,0,"29";#N/A,#N/A,0,"30";#N/A,#N/A,0,"31";#N/A,#N/A,0,"32";#N/A,#N/A,0,"33";#N/A,#N/A,0,"34";#N/A,#N/A,0,"35";#N/A,#N/A,0,"36";#N/A,#N/A,0,"37";#N/A,#N/A,0,"38";#N/A,#N/A,0,"39";#N/A,#N/A,0,"40";#N/A,#N/A,0,"41";#N/A,#N/A,0,"42";#N/A,#N/A,0,"43";#N/A,#N/A,0,"44";#N/A,#N/A,0,"45";#N/A,#N/A,0,"46";#N/A,#N/A,0,"47";#N/A,#N/A,0,"48";#N/A,#N/A,0,"49";#N/A,#N/A,0,"50";#N/A,#N/A,0,"51";#N/A,#N/A,0,"52";#N/A,#N/A,0,"53";#N/A,#N/A,0,"54";#N/A,#N/A,0,"55";#N/A,#N/A,0,"55A";#N/A,#N/A,0,"56";#N/A,#N/A,0,"57";#N/A,#N/A,0,"57A";#N/A,#N/A,0,"58";#N/A,#N/A,0,"59";#N/A,#N/A,0,"60";#N/A,#N/A,0,"60A";#N/A,#N/A,0,"61";#N/A,#N/A,0,"62";#N/A,#N/A,0,"63";#N/A,#N/A,0,"63A";#N/A,#N/A,0,"64";#N/A,#N/A,0,"65";#N/A,#N/A,0,"66"}</definedName>
    <definedName name="wrn.Penn._.PSC._.part._.1._4" hidden="1" function="0" vbProcedure="0">{#N/A,#N/A,0,"Cover";#N/A,#N/A,0,"Index 1";#N/A,#N/A,0,"Index 2";#N/A,#N/A,0,"Blank";#N/A,#N/A,0,"1";#N/A,#N/A,0,"2";#N/A,#N/A,0,"3";#N/A,#N/A,0,"4";#N/A,#N/A,0,"5";#N/A,#N/A,0,"6";#N/A,#N/A,0,"7";#N/A,#N/A,0,"8";#N/A,#N/A,0,"9";#N/A,#N/A,0,"10";#N/A,#N/A,0,"11";#N/A,#N/A,0,"12";#N/A,#N/A,0,"13";#N/A,#N/A,0,"14";#N/A,#N/A,0,"15";#N/A,#N/A,0,"16";#N/A,#N/A,0,"17";#N/A,#N/A,0,"18";#N/A,#N/A,0,"19";#N/A,#N/A,0,"20";#N/A,#N/A,0,"21";#N/A,#N/A,0,"22";#N/A,#N/A,0,"23";#N/A,#N/A,0,"24";#N/A,#N/A,0,"25";#N/A,#N/A,0,"26";#N/A,#N/A,0,"27";#N/A,#N/A,0,"28";#N/A,#N/A,0,"29";#N/A,#N/A,0,"30";#N/A,#N/A,0,"31";#N/A,#N/A,0,"32";#N/A,#N/A,0,"33";#N/A,#N/A,0,"34";#N/A,#N/A,0,"35";#N/A,#N/A,0,"36";#N/A,#N/A,0,"37";#N/A,#N/A,0,"38";#N/A,#N/A,0,"39";#N/A,#N/A,0,"40";#N/A,#N/A,0,"41";#N/A,#N/A,0,"42";#N/A,#N/A,0,"43";#N/A,#N/A,0,"44";#N/A,#N/A,0,"45";#N/A,#N/A,0,"46";#N/A,#N/A,0,"47";#N/A,#N/A,0,"48";#N/A,#N/A,0,"49";#N/A,#N/A,0,"50";#N/A,#N/A,0,"51";#N/A,#N/A,0,"52";#N/A,#N/A,0,"53";#N/A,#N/A,0,"54";#N/A,#N/A,0,"55";#N/A,#N/A,0,"55A";#N/A,#N/A,0,"56";#N/A,#N/A,0,"57";#N/A,#N/A,0,"57A";#N/A,#N/A,0,"58";#N/A,#N/A,0,"59";#N/A,#N/A,0,"60";#N/A,#N/A,0,"60A";#N/A,#N/A,0,"61";#N/A,#N/A,0,"62";#N/A,#N/A,0,"63";#N/A,#N/A,0,"63A";#N/A,#N/A,0,"64";#N/A,#N/A,0,"65";#N/A,#N/A,0,"66"}</definedName>
    <definedName name="wrn.Penn._.PSC._.part._.1._5" hidden="1" function="0" vbProcedure="0">{#N/A,#N/A,0,"Cover";#N/A,#N/A,0,"Index 1";#N/A,#N/A,0,"Index 2";#N/A,#N/A,0,"Blank";#N/A,#N/A,0,"1";#N/A,#N/A,0,"2";#N/A,#N/A,0,"3";#N/A,#N/A,0,"4";#N/A,#N/A,0,"5";#N/A,#N/A,0,"6";#N/A,#N/A,0,"7";#N/A,#N/A,0,"8";#N/A,#N/A,0,"9";#N/A,#N/A,0,"10";#N/A,#N/A,0,"11";#N/A,#N/A,0,"12";#N/A,#N/A,0,"13";#N/A,#N/A,0,"14";#N/A,#N/A,0,"15";#N/A,#N/A,0,"16";#N/A,#N/A,0,"17";#N/A,#N/A,0,"18";#N/A,#N/A,0,"19";#N/A,#N/A,0,"20";#N/A,#N/A,0,"21";#N/A,#N/A,0,"22";#N/A,#N/A,0,"23";#N/A,#N/A,0,"24";#N/A,#N/A,0,"25";#N/A,#N/A,0,"26";#N/A,#N/A,0,"27";#N/A,#N/A,0,"28";#N/A,#N/A,0,"29";#N/A,#N/A,0,"30";#N/A,#N/A,0,"31";#N/A,#N/A,0,"32";#N/A,#N/A,0,"33";#N/A,#N/A,0,"34";#N/A,#N/A,0,"35";#N/A,#N/A,0,"36";#N/A,#N/A,0,"37";#N/A,#N/A,0,"38";#N/A,#N/A,0,"39";#N/A,#N/A,0,"40";#N/A,#N/A,0,"41";#N/A,#N/A,0,"42";#N/A,#N/A,0,"43";#N/A,#N/A,0,"44";#N/A,#N/A,0,"45";#N/A,#N/A,0,"46";#N/A,#N/A,0,"47";#N/A,#N/A,0,"48";#N/A,#N/A,0,"49";#N/A,#N/A,0,"50";#N/A,#N/A,0,"51";#N/A,#N/A,0,"52";#N/A,#N/A,0,"53";#N/A,#N/A,0,"54";#N/A,#N/A,0,"55";#N/A,#N/A,0,"55A";#N/A,#N/A,0,"56";#N/A,#N/A,0,"57";#N/A,#N/A,0,"57A";#N/A,#N/A,0,"58";#N/A,#N/A,0,"59";#N/A,#N/A,0,"60";#N/A,#N/A,0,"60A";#N/A,#N/A,0,"61";#N/A,#N/A,0,"62";#N/A,#N/A,0,"63";#N/A,#N/A,0,"63A";#N/A,#N/A,0,"64";#N/A,#N/A,0,"65";#N/A,#N/A,0,"66"}</definedName>
    <definedName name="wrn.Penn._.PSC._.part._.2." hidden="1" function="0" vbProcedure="0">{#N/A,#N/A,0,"67";#N/A,#N/A,0,"68";#N/A,#N/A,0,"68A";#N/A,#N/A,0,"69";#N/A,#N/A,0,"70";#N/A,#N/A,0,"71";#N/A,#N/A,0,"72";#N/A,#N/A,0,"73";#N/A,#N/A,0,"74";#N/A,#N/A,0,"75";#N/A,#N/A,0,"76";#N/A,#N/A,0,"77";#N/A,#N/A,0,"78";#N/A,#N/A,0,"79";#N/A,#N/A,0,"80";#N/A,#N/A,0,"81";#N/A,#N/A,0,"82";#N/A,#N/A,0,"83";#N/A,#N/A,0,"84";#N/A,#N/A,0,"85";#N/A,#N/A,0,"86";#N/A,#N/A,0,"87";#N/A,#N/A,0,"88";#N/A,#N/A,0,"89";#N/A,#N/A,0,"90";#N/A,#N/A,0,"91";#N/A,#N/A,0,"92";#N/A,#N/A,0,"93";#N/A,#N/A,0,"94.1a";#N/A,#N/A,0,"94.1b";#N/A,#N/A,0,"94.2a";#N/A,#N/A,0,"94.2b";#N/A,#N/A,0,"94.3a";#N/A,#N/A,0,"94.3b";#N/A,#N/A,0,"95";#N/A,#N/A,0,"96";#N/A,#N/A,0,"97";#N/A,#N/A,0,"98";#N/A,#N/A,0,"99";#N/A,#N/A,0,"100";#N/A,#N/A,0,"101";#N/A,#N/A,0,"102";#N/A,#N/A,0,"103";#N/A,#N/A,0,"104";#N/A,#N/A,0,"105";#N/A,#N/A,0,"106";#N/A,#N/A,0,"107";#N/A,#N/A,0,"108";#N/A,#N/A,0,"109";#N/A,#N/A,0,"110";#N/A,#N/A,0,"111";#N/A,#N/A,0,"112";#N/A,#N/A,0,"113";#N/A,#N/A,0,"SignPage"}</definedName>
    <definedName name="wrn.Penn._.PSC._.part._.2._1" hidden="1" function="0" vbProcedure="0">{#N/A,#N/A,0,"67";#N/A,#N/A,0,"68";#N/A,#N/A,0,"68A";#N/A,#N/A,0,"69";#N/A,#N/A,0,"70";#N/A,#N/A,0,"71";#N/A,#N/A,0,"72";#N/A,#N/A,0,"73";#N/A,#N/A,0,"74";#N/A,#N/A,0,"75";#N/A,#N/A,0,"76";#N/A,#N/A,0,"77";#N/A,#N/A,0,"78";#N/A,#N/A,0,"79";#N/A,#N/A,0,"80";#N/A,#N/A,0,"81";#N/A,#N/A,0,"82";#N/A,#N/A,0,"83";#N/A,#N/A,0,"84";#N/A,#N/A,0,"85";#N/A,#N/A,0,"86";#N/A,#N/A,0,"87";#N/A,#N/A,0,"88";#N/A,#N/A,0,"89";#N/A,#N/A,0,"90";#N/A,#N/A,0,"91";#N/A,#N/A,0,"92";#N/A,#N/A,0,"93";#N/A,#N/A,0,"94.1a";#N/A,#N/A,0,"94.1b";#N/A,#N/A,0,"94.2a";#N/A,#N/A,0,"94.2b";#N/A,#N/A,0,"94.3a";#N/A,#N/A,0,"94.3b";#N/A,#N/A,0,"95";#N/A,#N/A,0,"96";#N/A,#N/A,0,"97";#N/A,#N/A,0,"98";#N/A,#N/A,0,"99";#N/A,#N/A,0,"100";#N/A,#N/A,0,"101";#N/A,#N/A,0,"102";#N/A,#N/A,0,"103";#N/A,#N/A,0,"104";#N/A,#N/A,0,"105";#N/A,#N/A,0,"106";#N/A,#N/A,0,"107";#N/A,#N/A,0,"108";#N/A,#N/A,0,"109";#N/A,#N/A,0,"110";#N/A,#N/A,0,"111";#N/A,#N/A,0,"112";#N/A,#N/A,0,"113";#N/A,#N/A,0,"SignPage"}</definedName>
    <definedName name="wrn.Penn._.PSC._.part._.2._1_1" hidden="1" function="0" vbProcedure="0">{#N/A,#N/A,0,"67";#N/A,#N/A,0,"68";#N/A,#N/A,0,"68A";#N/A,#N/A,0,"69";#N/A,#N/A,0,"70";#N/A,#N/A,0,"71";#N/A,#N/A,0,"72";#N/A,#N/A,0,"73";#N/A,#N/A,0,"74";#N/A,#N/A,0,"75";#N/A,#N/A,0,"76";#N/A,#N/A,0,"77";#N/A,#N/A,0,"78";#N/A,#N/A,0,"79";#N/A,#N/A,0,"80";#N/A,#N/A,0,"81";#N/A,#N/A,0,"82";#N/A,#N/A,0,"83";#N/A,#N/A,0,"84";#N/A,#N/A,0,"85";#N/A,#N/A,0,"86";#N/A,#N/A,0,"87";#N/A,#N/A,0,"88";#N/A,#N/A,0,"89";#N/A,#N/A,0,"90";#N/A,#N/A,0,"91";#N/A,#N/A,0,"92";#N/A,#N/A,0,"93";#N/A,#N/A,0,"94.1a";#N/A,#N/A,0,"94.1b";#N/A,#N/A,0,"94.2a";#N/A,#N/A,0,"94.2b";#N/A,#N/A,0,"94.3a";#N/A,#N/A,0,"94.3b";#N/A,#N/A,0,"95";#N/A,#N/A,0,"96";#N/A,#N/A,0,"97";#N/A,#N/A,0,"98";#N/A,#N/A,0,"99";#N/A,#N/A,0,"100";#N/A,#N/A,0,"101";#N/A,#N/A,0,"102";#N/A,#N/A,0,"103";#N/A,#N/A,0,"104";#N/A,#N/A,0,"105";#N/A,#N/A,0,"106";#N/A,#N/A,0,"107";#N/A,#N/A,0,"108";#N/A,#N/A,0,"109";#N/A,#N/A,0,"110";#N/A,#N/A,0,"111";#N/A,#N/A,0,"112";#N/A,#N/A,0,"113";#N/A,#N/A,0,"SignPage"}</definedName>
    <definedName name="wrn.Penn._.PSC._.part._.2._1_2" hidden="1" function="0" vbProcedure="0">{#N/A,#N/A,0,"67";#N/A,#N/A,0,"68";#N/A,#N/A,0,"68A";#N/A,#N/A,0,"69";#N/A,#N/A,0,"70";#N/A,#N/A,0,"71";#N/A,#N/A,0,"72";#N/A,#N/A,0,"73";#N/A,#N/A,0,"74";#N/A,#N/A,0,"75";#N/A,#N/A,0,"76";#N/A,#N/A,0,"77";#N/A,#N/A,0,"78";#N/A,#N/A,0,"79";#N/A,#N/A,0,"80";#N/A,#N/A,0,"81";#N/A,#N/A,0,"82";#N/A,#N/A,0,"83";#N/A,#N/A,0,"84";#N/A,#N/A,0,"85";#N/A,#N/A,0,"86";#N/A,#N/A,0,"87";#N/A,#N/A,0,"88";#N/A,#N/A,0,"89";#N/A,#N/A,0,"90";#N/A,#N/A,0,"91";#N/A,#N/A,0,"92";#N/A,#N/A,0,"93";#N/A,#N/A,0,"94.1a";#N/A,#N/A,0,"94.1b";#N/A,#N/A,0,"94.2a";#N/A,#N/A,0,"94.2b";#N/A,#N/A,0,"94.3a";#N/A,#N/A,0,"94.3b";#N/A,#N/A,0,"95";#N/A,#N/A,0,"96";#N/A,#N/A,0,"97";#N/A,#N/A,0,"98";#N/A,#N/A,0,"99";#N/A,#N/A,0,"100";#N/A,#N/A,0,"101";#N/A,#N/A,0,"102";#N/A,#N/A,0,"103";#N/A,#N/A,0,"104";#N/A,#N/A,0,"105";#N/A,#N/A,0,"106";#N/A,#N/A,0,"107";#N/A,#N/A,0,"108";#N/A,#N/A,0,"109";#N/A,#N/A,0,"110";#N/A,#N/A,0,"111";#N/A,#N/A,0,"112";#N/A,#N/A,0,"113";#N/A,#N/A,0,"SignPage"}</definedName>
    <definedName name="wrn.Penn._.PSC._.part._.2._1_3" hidden="1" function="0" vbProcedure="0">{#N/A,#N/A,0,"67";#N/A,#N/A,0,"68";#N/A,#N/A,0,"68A";#N/A,#N/A,0,"69";#N/A,#N/A,0,"70";#N/A,#N/A,0,"71";#N/A,#N/A,0,"72";#N/A,#N/A,0,"73";#N/A,#N/A,0,"74";#N/A,#N/A,0,"75";#N/A,#N/A,0,"76";#N/A,#N/A,0,"77";#N/A,#N/A,0,"78";#N/A,#N/A,0,"79";#N/A,#N/A,0,"80";#N/A,#N/A,0,"81";#N/A,#N/A,0,"82";#N/A,#N/A,0,"83";#N/A,#N/A,0,"84";#N/A,#N/A,0,"85";#N/A,#N/A,0,"86";#N/A,#N/A,0,"87";#N/A,#N/A,0,"88";#N/A,#N/A,0,"89";#N/A,#N/A,0,"90";#N/A,#N/A,0,"91";#N/A,#N/A,0,"92";#N/A,#N/A,0,"93";#N/A,#N/A,0,"94.1a";#N/A,#N/A,0,"94.1b";#N/A,#N/A,0,"94.2a";#N/A,#N/A,0,"94.2b";#N/A,#N/A,0,"94.3a";#N/A,#N/A,0,"94.3b";#N/A,#N/A,0,"95";#N/A,#N/A,0,"96";#N/A,#N/A,0,"97";#N/A,#N/A,0,"98";#N/A,#N/A,0,"99";#N/A,#N/A,0,"100";#N/A,#N/A,0,"101";#N/A,#N/A,0,"102";#N/A,#N/A,0,"103";#N/A,#N/A,0,"104";#N/A,#N/A,0,"105";#N/A,#N/A,0,"106";#N/A,#N/A,0,"107";#N/A,#N/A,0,"108";#N/A,#N/A,0,"109";#N/A,#N/A,0,"110";#N/A,#N/A,0,"111";#N/A,#N/A,0,"112";#N/A,#N/A,0,"113";#N/A,#N/A,0,"SignPage"}</definedName>
    <definedName name="wrn.Penn._.PSC._.part._.2._1_4" hidden="1" function="0" vbProcedure="0">{#N/A,#N/A,0,"67";#N/A,#N/A,0,"68";#N/A,#N/A,0,"68A";#N/A,#N/A,0,"69";#N/A,#N/A,0,"70";#N/A,#N/A,0,"71";#N/A,#N/A,0,"72";#N/A,#N/A,0,"73";#N/A,#N/A,0,"74";#N/A,#N/A,0,"75";#N/A,#N/A,0,"76";#N/A,#N/A,0,"77";#N/A,#N/A,0,"78";#N/A,#N/A,0,"79";#N/A,#N/A,0,"80";#N/A,#N/A,0,"81";#N/A,#N/A,0,"82";#N/A,#N/A,0,"83";#N/A,#N/A,0,"84";#N/A,#N/A,0,"85";#N/A,#N/A,0,"86";#N/A,#N/A,0,"87";#N/A,#N/A,0,"88";#N/A,#N/A,0,"89";#N/A,#N/A,0,"90";#N/A,#N/A,0,"91";#N/A,#N/A,0,"92";#N/A,#N/A,0,"93";#N/A,#N/A,0,"94.1a";#N/A,#N/A,0,"94.1b";#N/A,#N/A,0,"94.2a";#N/A,#N/A,0,"94.2b";#N/A,#N/A,0,"94.3a";#N/A,#N/A,0,"94.3b";#N/A,#N/A,0,"95";#N/A,#N/A,0,"96";#N/A,#N/A,0,"97";#N/A,#N/A,0,"98";#N/A,#N/A,0,"99";#N/A,#N/A,0,"100";#N/A,#N/A,0,"101";#N/A,#N/A,0,"102";#N/A,#N/A,0,"103";#N/A,#N/A,0,"104";#N/A,#N/A,0,"105";#N/A,#N/A,0,"106";#N/A,#N/A,0,"107";#N/A,#N/A,0,"108";#N/A,#N/A,0,"109";#N/A,#N/A,0,"110";#N/A,#N/A,0,"111";#N/A,#N/A,0,"112";#N/A,#N/A,0,"113";#N/A,#N/A,0,"SignPage"}</definedName>
    <definedName name="wrn.Penn._.PSC._.part._.2._2" hidden="1" function="0" vbProcedure="0">{#N/A,#N/A,0,"67";#N/A,#N/A,0,"68";#N/A,#N/A,0,"68A";#N/A,#N/A,0,"69";#N/A,#N/A,0,"70";#N/A,#N/A,0,"71";#N/A,#N/A,0,"72";#N/A,#N/A,0,"73";#N/A,#N/A,0,"74";#N/A,#N/A,0,"75";#N/A,#N/A,0,"76";#N/A,#N/A,0,"77";#N/A,#N/A,0,"78";#N/A,#N/A,0,"79";#N/A,#N/A,0,"80";#N/A,#N/A,0,"81";#N/A,#N/A,0,"82";#N/A,#N/A,0,"83";#N/A,#N/A,0,"84";#N/A,#N/A,0,"85";#N/A,#N/A,0,"86";#N/A,#N/A,0,"87";#N/A,#N/A,0,"88";#N/A,#N/A,0,"89";#N/A,#N/A,0,"90";#N/A,#N/A,0,"91";#N/A,#N/A,0,"92";#N/A,#N/A,0,"93";#N/A,#N/A,0,"94.1a";#N/A,#N/A,0,"94.1b";#N/A,#N/A,0,"94.2a";#N/A,#N/A,0,"94.2b";#N/A,#N/A,0,"94.3a";#N/A,#N/A,0,"94.3b";#N/A,#N/A,0,"95";#N/A,#N/A,0,"96";#N/A,#N/A,0,"97";#N/A,#N/A,0,"98";#N/A,#N/A,0,"99";#N/A,#N/A,0,"100";#N/A,#N/A,0,"101";#N/A,#N/A,0,"102";#N/A,#N/A,0,"103";#N/A,#N/A,0,"104";#N/A,#N/A,0,"105";#N/A,#N/A,0,"106";#N/A,#N/A,0,"107";#N/A,#N/A,0,"108";#N/A,#N/A,0,"109";#N/A,#N/A,0,"110";#N/A,#N/A,0,"111";#N/A,#N/A,0,"112";#N/A,#N/A,0,"113";#N/A,#N/A,0,"SignPage"}</definedName>
    <definedName name="wrn.Penn._.PSC._.part._.2._3" hidden="1" function="0" vbProcedure="0">{#N/A,#N/A,0,"67";#N/A,#N/A,0,"68";#N/A,#N/A,0,"68A";#N/A,#N/A,0,"69";#N/A,#N/A,0,"70";#N/A,#N/A,0,"71";#N/A,#N/A,0,"72";#N/A,#N/A,0,"73";#N/A,#N/A,0,"74";#N/A,#N/A,0,"75";#N/A,#N/A,0,"76";#N/A,#N/A,0,"77";#N/A,#N/A,0,"78";#N/A,#N/A,0,"79";#N/A,#N/A,0,"80";#N/A,#N/A,0,"81";#N/A,#N/A,0,"82";#N/A,#N/A,0,"83";#N/A,#N/A,0,"84";#N/A,#N/A,0,"85";#N/A,#N/A,0,"86";#N/A,#N/A,0,"87";#N/A,#N/A,0,"88";#N/A,#N/A,0,"89";#N/A,#N/A,0,"90";#N/A,#N/A,0,"91";#N/A,#N/A,0,"92";#N/A,#N/A,0,"93";#N/A,#N/A,0,"94.1a";#N/A,#N/A,0,"94.1b";#N/A,#N/A,0,"94.2a";#N/A,#N/A,0,"94.2b";#N/A,#N/A,0,"94.3a";#N/A,#N/A,0,"94.3b";#N/A,#N/A,0,"95";#N/A,#N/A,0,"96";#N/A,#N/A,0,"97";#N/A,#N/A,0,"98";#N/A,#N/A,0,"99";#N/A,#N/A,0,"100";#N/A,#N/A,0,"101";#N/A,#N/A,0,"102";#N/A,#N/A,0,"103";#N/A,#N/A,0,"104";#N/A,#N/A,0,"105";#N/A,#N/A,0,"106";#N/A,#N/A,0,"107";#N/A,#N/A,0,"108";#N/A,#N/A,0,"109";#N/A,#N/A,0,"110";#N/A,#N/A,0,"111";#N/A,#N/A,0,"112";#N/A,#N/A,0,"113";#N/A,#N/A,0,"SignPage"}</definedName>
    <definedName name="wrn.Penn._.PSC._.part._.2._4" hidden="1" function="0" vbProcedure="0">{#N/A,#N/A,0,"67";#N/A,#N/A,0,"68";#N/A,#N/A,0,"68A";#N/A,#N/A,0,"69";#N/A,#N/A,0,"70";#N/A,#N/A,0,"71";#N/A,#N/A,0,"72";#N/A,#N/A,0,"73";#N/A,#N/A,0,"74";#N/A,#N/A,0,"75";#N/A,#N/A,0,"76";#N/A,#N/A,0,"77";#N/A,#N/A,0,"78";#N/A,#N/A,0,"79";#N/A,#N/A,0,"80";#N/A,#N/A,0,"81";#N/A,#N/A,0,"82";#N/A,#N/A,0,"83";#N/A,#N/A,0,"84";#N/A,#N/A,0,"85";#N/A,#N/A,0,"86";#N/A,#N/A,0,"87";#N/A,#N/A,0,"88";#N/A,#N/A,0,"89";#N/A,#N/A,0,"90";#N/A,#N/A,0,"91";#N/A,#N/A,0,"92";#N/A,#N/A,0,"93";#N/A,#N/A,0,"94.1a";#N/A,#N/A,0,"94.1b";#N/A,#N/A,0,"94.2a";#N/A,#N/A,0,"94.2b";#N/A,#N/A,0,"94.3a";#N/A,#N/A,0,"94.3b";#N/A,#N/A,0,"95";#N/A,#N/A,0,"96";#N/A,#N/A,0,"97";#N/A,#N/A,0,"98";#N/A,#N/A,0,"99";#N/A,#N/A,0,"100";#N/A,#N/A,0,"101";#N/A,#N/A,0,"102";#N/A,#N/A,0,"103";#N/A,#N/A,0,"104";#N/A,#N/A,0,"105";#N/A,#N/A,0,"106";#N/A,#N/A,0,"107";#N/A,#N/A,0,"108";#N/A,#N/A,0,"109";#N/A,#N/A,0,"110";#N/A,#N/A,0,"111";#N/A,#N/A,0,"112";#N/A,#N/A,0,"113";#N/A,#N/A,0,"SignPage"}</definedName>
    <definedName name="wrn.Penn._.PSC._.part._.2._5" hidden="1" function="0" vbProcedure="0">{#N/A,#N/A,0,"67";#N/A,#N/A,0,"68";#N/A,#N/A,0,"68A";#N/A,#N/A,0,"69";#N/A,#N/A,0,"70";#N/A,#N/A,0,"71";#N/A,#N/A,0,"72";#N/A,#N/A,0,"73";#N/A,#N/A,0,"74";#N/A,#N/A,0,"75";#N/A,#N/A,0,"76";#N/A,#N/A,0,"77";#N/A,#N/A,0,"78";#N/A,#N/A,0,"79";#N/A,#N/A,0,"80";#N/A,#N/A,0,"81";#N/A,#N/A,0,"82";#N/A,#N/A,0,"83";#N/A,#N/A,0,"84";#N/A,#N/A,0,"85";#N/A,#N/A,0,"86";#N/A,#N/A,0,"87";#N/A,#N/A,0,"88";#N/A,#N/A,0,"89";#N/A,#N/A,0,"90";#N/A,#N/A,0,"91";#N/A,#N/A,0,"92";#N/A,#N/A,0,"93";#N/A,#N/A,0,"94.1a";#N/A,#N/A,0,"94.1b";#N/A,#N/A,0,"94.2a";#N/A,#N/A,0,"94.2b";#N/A,#N/A,0,"94.3a";#N/A,#N/A,0,"94.3b";#N/A,#N/A,0,"95";#N/A,#N/A,0,"96";#N/A,#N/A,0,"97";#N/A,#N/A,0,"98";#N/A,#N/A,0,"99";#N/A,#N/A,0,"100";#N/A,#N/A,0,"101";#N/A,#N/A,0,"102";#N/A,#N/A,0,"103";#N/A,#N/A,0,"104";#N/A,#N/A,0,"105";#N/A,#N/A,0,"106";#N/A,#N/A,0,"107";#N/A,#N/A,0,"108";#N/A,#N/A,0,"109";#N/A,#N/A,0,"110";#N/A,#N/A,0,"111";#N/A,#N/A,0,"112";#N/A,#N/A,0,"113";#N/A,#N/A,0,"SignPage"}</definedName>
    <definedName name="wrn.Phase._.in." hidden="1" function="0" vbProcedure="0">{"Phase in summary",#N/A,0,"P&amp;L Phased"}</definedName>
    <definedName name="wrn.PL._.Detail." hidden="1" function="0" vbProcedure="0">{#N/A,#N/A,0,"P&amp;L Detail";#N/A,#N/A,0,"P&amp;L Detail";#N/A,#N/A,0,"P&amp;L Detail"}</definedName>
    <definedName name="wrn.PLC._.Co.._.budget._.months." hidden="1" function="0" vbProcedure="0">{"PLC Company Budget months only",#N/A,1,"Profit and Loss";"PLC Company Budget months only",#N/A,1,"Firm capex";"PLC Company Budget months only",#N/A,1,"Gross profit analysis";"PLC Company Budget months only",#N/A,1,"Cashflow";"PLC Company Budget months only",#N/A,1,"Balance Sheet"}</definedName>
    <definedName name="wrn.PLC._.Company._.budget._.years." hidden="1" function="0" vbProcedure="0">{"PLC Company Budget years",#N/A,1,"Profit and Loss";"PLC Company Budget years",#N/A,1,"Firm capex";"PLC Company Budget years",#N/A,1,"Gross profit analysis";"PLC Company Budget years",#N/A,1,"Cashflow";"PLC Company Budget years",#N/A,1,"Balance Sheet"}</definedName>
    <definedName name="wrn.PLX." hidden="1" function="0" vbProcedure="0">{"cred comp",#N/A,0,"Comparable Credit Analysis";"IS",#N/A,0,"IS";"Sensitivity",#N/A,0,"Sensitivity";"BS",#N/A,0,"BS";"Bond Summary",#N/A,0,"B Summary";"AD",#N/A,0,"Accretion";"NAV",#N/A,0,"NAV";"SU",#N/A,0,"S&amp;U";"acq. study",#N/A,0,"Acq. Study";"F Charges",#N/A,0,"Fixed Charges"}</definedName>
    <definedName name="wrn.PRES_OUT." hidden="1" function="0" vbProcedure="0">{"page1",#N/A,0,"PRESENTATION";"page2",#N/A,0,"PRESENTATION";#N/A,#N/A,0,"Valuation Summary"}</definedName>
    <definedName name="wrn.PRES_OUT2" hidden="1" function="0" vbProcedure="0">{"page1",#N/A,0,"PRESENTATION";"page2",#N/A,0,"PRESENTATION";#N/A,#N/A,0,"Valuation Summary"}</definedName>
    <definedName name="wrn.Pres_OUT3" hidden="1" function="0" vbProcedure="0">{"page1",#N/A,0,"PRESENTATION";"page2",#N/A,0,"PRESENTATION";#N/A,#N/A,0,"Valuation Summary"}</definedName>
    <definedName name="wrn.PRES_OUT4" hidden="1" function="0" vbProcedure="0">{"page1",#N/A,0,"PRESENTATION";"page2",#N/A,0,"PRESENTATION";#N/A,#N/A,0,"Valuation Summary"}</definedName>
    <definedName name="wrn.PRES_OUT5" hidden="1" function="0" vbProcedure="0">{"page1",#N/A,0,"PRESENTATION";"page2",#N/A,0,"PRESENTATION";#N/A,#N/A,0,"Valuation Summary"}</definedName>
    <definedName name="wrn.PRES_OUT6" hidden="1" function="0" vbProcedure="0">{"page1",#N/A,0,"PRESENTATION";"page2",#N/A,0,"PRESENTATION";#N/A,#N/A,0,"Valuation Summary"}</definedName>
    <definedName name="wrn.PRES_OUT8" hidden="1" function="0" vbProcedure="0">{"page1",#N/A,0,"PRESENTATION";"page2",#N/A,0,"PRESENTATION";#N/A,#N/A,0,"Valuation Summary"}</definedName>
    <definedName name="wrn.print." hidden="1" function="0" vbProcedure="0">{"one",#N/A,1,"Alaska";"two",#N/A,1,"Alaska";"three",#N/A,1,"Alaska";"four",#N/A,1,"Alaska"}</definedName>
    <definedName name="wrn.Print._.All." hidden="1" function="0" vbProcedure="0">{"IS Years",#N/A,0,"Income Statement";"IS Q96",#N/A,0,"Income Statement";"IS Q97",#N/A,0,"Income Statement";"Corporate",#N/A,0,"Corporate Profile";"Netbacks",#N/A,0,"Netbacks"}</definedName>
    <definedName name="wrn.Print._.All._.Pages." hidden="1" function="0" vbProcedure="0">{"LBO Summary",#N/A,0,"Summary";"Income Statement",#N/A,0,"Model";"Cash Flow",#N/A,0,"Model";"Balance Sheet",#N/A,0,"Model";"Working Capital",#N/A,0,"Model";"Pro Forma Balance Sheets",#N/A,0,"PFBS";"Debt Balances",#N/A,0,"Model";"Fee Schedules",#N/A,0,"Model"}</definedName>
    <definedName name="wrn.Print._.All._.Worksheets." hidden="1" function="0" vbProcedure="0">{#N/A,#N/A,0,"Capitaliztion Matrix";#N/A,#N/A,0,"4YR P&amp;L";#N/A,#N/A,0,"Program Contributions";#N/A,#N/A,0,"P&amp;L Trans YR 2";#N/A,#N/A,0,"Rev &amp; EBITDA YR2";#N/A,#N/A,0,"P&amp;L Trans YR 1";#N/A,#N/A,0,"Rev &amp; EBITDA YR1"}</definedName>
    <definedName name="wrn.print._.graphs." hidden="1" function="0" vbProcedure="0">{"cap_structure",#N/A,0,"Graph-Mkt Cap";"price",#N/A,0,"Graph-Price";"ebit",#N/A,0,"Graph-EBITDA";"ebitda",#N/A,0,"Graph-EBITDA"}</definedName>
    <definedName name="wrn.print._.raw._.data._.entry." hidden="1" function="0" vbProcedure="0">{"inputs raw data",#N/A,1,"INPUT"}</definedName>
    <definedName name="wrn.print._.raw._data._.entry2." hidden="1" function="0" vbProcedure="0">{"inputs raw data",#N/A,1,"INPUT"}</definedName>
    <definedName name="wrn.print._.standalone." hidden="1" function="0" vbProcedure="0">{"standalone1",#N/A,0,"DCFBase";"standalone2",#N/A,0,"DCFBase"}</definedName>
    <definedName name="wrn.print._.summary._.sheets." hidden="1" function="0" vbProcedure="0">{"summary1",#N/A,1,"Comps";"summary2",#N/A,1,"Comps";"summary3",#N/A,1,"Comps"}</definedName>
    <definedName name="wrn.print._.summary._.sheets.2" hidden="1" function="0" vbProcedure="0">{"summary1",#N/A,1,"Comps";"summary2",#N/A,1,"Comps";"summary3",#N/A,1,"Comps"}</definedName>
    <definedName name="wrn.Print2." hidden="1" function="0" vbProcedure="0">{"Structure",#N/A,0,"Structure";"Ownership",#N/A,0,"Ownership";"Returns by Security",#N/A,0,"Returns Summary";"Returns by Holder",#N/A,0,"Returns Summary";"Returns Matrix",#N/A,0,"Returns Summary";"Exit Summary",#N/A,0,"Exit Summary";"Assumptions",#N/A,0,"Projection Assumptions";"Income Statement",#N/A,0,"Income Statement";"Cash Flows",#N/A,0,"Cash Flow";"Balance Sheet",#N/A,0,"Balance Sheet";"Debt Summary 1",#N/A,0,"Debt Summary";"Debt Summary 2",#N/A,0,"Debt Summary"}</definedName>
    <definedName name="wrn.print3." hidden="1" function="0" vbProcedure="0">{"Structure",#N/A,0,"Structure";"Ownership",#N/A,0,"Ownership";"Returns by Security",#N/A,0,"Returns Summary";"Returns by Holder",#N/A,0,"Returns Summary";"Returns Matrix",#N/A,0,"Returns Summary";"Exit Summary",#N/A,0,"Exit Summary";"Assumptions",#N/A,0,"Projection Assumptions";"Income Statement",#N/A,0,"Income Statement";"Cash Flows",#N/A,0,"Cash Flow";"Balance Sheet",#N/A,0,"Balance Sheet";"Debt Summary 1",#N/A,0,"Debt Summary";"Debt Summary 2",#N/A,0,"Debt Summary"}</definedName>
    <definedName name="wrn.printac." hidden="1" function="0" vbProcedure="0">{#N/A,#N/A,0,"Op-BS";#N/A,#N/A,0,"Assum";#N/A,#N/A,0,"IS";#N/A,#N/A,0,"Syn+Elim";#N/A,#N/A,0,"BSCF";#N/A,#N/A,0,"Blue_IS";#N/A,#N/A,0,"Blue_BSCF";#N/A,#N/A,0,"Ratings"}</definedName>
    <definedName name="wrn.PrintAll." hidden="1" function="0" vbProcedure="0">{"PA1",#N/A,0,"BORDMW";"pa2",#N/A,0,"BORDMW";"PA3",#N/A,0,"BORDMW";"PA4",#N/A,0,"BORDMW"}</definedName>
    <definedName name="wrn.printqtr." hidden="1" function="0" vbProcedure="0">{"nytasecond",#N/A,0,"NYTQTRS";"nytafirst",#N/A,0,"NYTQTRS";"nytathird",#N/A,0,"NYTQTRS";"nytafourth",#N/A,0,"NYTQTRS";"nytafull",#N/A,0,"NYTQTRS"}</definedName>
    <definedName name="wrn.Print_Buyer." hidden="1" function="0" vbProcedure="0">{#N/A,"DR",0,"increm pf";#N/A,"MAMSI",0,"increm pf";#N/A,"MAXI",0,"increm pf";#N/A,"PCAM",0,"increm pf";#N/A,"PHSV",0,"increm pf";#N/A,"SIE",0,"increm pf"}</definedName>
    <definedName name="wrn.Print_Target." hidden="1" function="0" vbProcedure="0">{#N/A,"Foundation Health",0,"increm pf";#N/A,"FHP International",0,"increm pf";#N/A,"Healthsource",0,"increm pf";#N/A,"Humana",0,"increm pf";#N/A,"Oxford Health Plans",0,"increm pf";#N/A,"PacifiCare",0,"increm pf";#N/A,"United HealthCare",0,"increm pf";#N/A,"U.S. Healthcare",0,"increm pf";#N/A,"Value Health",0,"increm pf";#N/A,"WellPoint",0,"increm pf"}</definedName>
    <definedName name="wrn.PROD._.PLAN._.OPTION._.4." hidden="1" function="0" vbProcedure="0">{"TOP 4",#N/A,0,"MVR_SUM OPTION 4 BY MO";"TOP 3A",#N/A,0,"MVR_SUM OPTION 3A BY MO";"TOP OPT 4 VS 3A",#N/A,0,"MVR_SUM OPTION 4 VS 3A BY MO";#N/A,#N/A,0,"MVR_SUM OPTION 4 SUM";#N/A,#N/A,0,"PROD PLAN 4";#N/A,#N/A,0,"PROD PLAN 3A";#N/A,#N/A,0,"PROD UNITS 4 VS 3A";#N/A,#N/A,0,"DLV 4 VS 3A";#N/A,#N/A,0,"SPD 4 VS 3A";#N/A,#N/A,0,"ABS 4 VS 3A"}</definedName>
    <definedName name="wrn.Proforma." hidden="1" function="0" vbProcedure="0">{"coversht",#N/A,1,"TOC";"assmp1",#N/A,1,"ASS";"assmp2",#N/A,1,"ASS";"cashfl1",#N/A,1,"CF";"return1",#N/A,1,"Return";"return2",#N/A,1,"Return";"EIncome",#N/A,1,"EINC";"rev1",#N/A,1,"Rev";"rev2",#N/A,1,"Rev";"exp1",#N/A,1,"Exp";"exp2",#N/A,1,"Exp";"exp3",#N/A,1,"Exp";"exp4",#N/A,1,"Exp";"MaintRes",#N/A,1,"MRES";"drwdn1",#N/A,1,"Drwdn";"drwdn2",#N/A,1,"Drwdn";"drwdn3",#N/A,1,"Drwdn";"debt1",#N/A,1,"Fin";"debt2",#N/A,1,"Fin";"tax1",#N/A,1,"TAXES";"tax2",#N/A,1,"TAXES";"Deprec",#N/A,1,"DEPR";"Balsht1",#N/A,1,"BS_IS";"Balsht2",#N/A,1,"BS_IS";"Ref1",#N/A,1,"REF1";"Ref2",#N/A,1,"REF2";"Ref3",#N/A,1,"REF3";"Ref4",#N/A,1,"REF4"}</definedName>
    <definedName name="wrn.Pulp." hidden="1" function="0" vbProcedure="0">{"Pulp Production",#N/A,0,"Pulp";"Pulp Earnings",#N/A,0,"Pulp"}</definedName>
    <definedName name="wrn.Pulp.2" hidden="1" function="0" vbProcedure="0">{"Pulp Production",#N/A,0,"Pulp";"Pulp Earnings",#N/A,0,"Pulp"}</definedName>
    <definedName name="wrn.Pulp.3" hidden="1" function="0" vbProcedure="0">{"Pulp Production",#N/A,0,"Pulp";"Pulp Earnings",#N/A,0,"Pulp"}</definedName>
    <definedName name="wrn.Pulp.3.2" hidden="1" function="0" vbProcedure="0">{"Pulp Production",#N/A,0,"Pulp";"Pulp Earnings",#N/A,0,"Pulp"}</definedName>
    <definedName name="wrn.Pulp.3.4" hidden="1" function="0" vbProcedure="0">{"Pulp Production",#N/A,0,"Pulp";"Pulp Earnings",#N/A,0,"Pulp"}</definedName>
    <definedName name="wrn.Pulp.3.6" hidden="1" function="0" vbProcedure="0">{"Pulp Production",#N/A,0,"Pulp";"Pulp Earnings",#N/A,0,"Pulp"}</definedName>
    <definedName name="wrn.Pulp.4" hidden="1" function="0" vbProcedure="0">{"Pulp Production",#N/A,0,"Pulp";"Pulp Earnings",#N/A,0,"Pulp"}</definedName>
    <definedName name="wrn.Pulp.5" hidden="1" function="0" vbProcedure="0">{"Pulp Production",#N/A,0,"Pulp";"Pulp Earnings",#N/A,0,"Pulp"}</definedName>
    <definedName name="wrn.Pulp.6" hidden="1" function="0" vbProcedure="0">{"Pulp Production",#N/A,0,"Pulp";"Pulp Earnings",#N/A,0,"Pulp"}</definedName>
    <definedName name="wrn.Pulp.7" hidden="1" function="0" vbProcedure="0">{"Pulp Production",#N/A,0,"Pulp";"Pulp Earnings",#N/A,0,"Pulp"}</definedName>
    <definedName name="wrn.Pulp.8" hidden="1" function="0" vbProcedure="0">{"Pulp Production",#N/A,0,"Pulp";"Pulp Earnings",#N/A,0,"Pulp"}</definedName>
    <definedName name="wrn.Pulp.9" hidden="1" function="0" vbProcedure="0">{"Pulp Production",#N/A,0,"Pulp";"Pulp Earnings",#N/A,0,"Pulp"}</definedName>
    <definedName name="wrn.Pump." hidden="1" function="0" vbProcedure="0">{#N/A,#N/A,0,"Assump";#N/A,#N/A,0,"Income";#N/A,#N/A,0,"Balance";#N/A,#N/A,0,"DCF Pump";#N/A,#N/A,0,"Trans Assump";#N/A,#N/A,0,"Combined Income";#N/A,#N/A,0,"Combined Balance"}</definedName>
    <definedName name="wrn.Quarterly._.Income._.Statement." hidden="1" function="0" vbProcedure="0">{"Quarterly Income Statement",#N/A,0,"P&amp;L Detail"}</definedName>
    <definedName name="wrn.Quarters." hidden="1" function="0" vbProcedure="0">{"All Qtrs",#N/A,0,"Curr Mo";"1001Q",#N/A,0,"Curr Mo";"1002Q",#N/A,0,"Curr Mo";"4012Q",#N/A,0,"Curr Mo";"4017Q",#N/A,0,"Curr Mo";"1050Q",#N/A,0,"Curr Mo";"1009Q",#N/A,0,"Curr Mo";"4079Q",#N/A,0,"Curr Mo";"4077Q",#N/A,0,"Curr Mo";"1005Q",#N/A,0,"Curr Mo";"1008Q",#N/A,0,"Curr Mo";"1011Q",#N/A,0,"Curr Mo";"1006Q",#N/A,0,"Curr Mo";"1024Q",#N/A,0,"Curr Mo";"1003Q",#N/A,0,"Curr Mo";"1025q",#N/A,0,"Curr Mo";"4013Q",#N/A,0,"Curr Mo";"1091Q",#N/A,0,"Curr Mo";"1010Q",#N/A,0,"Curr Mo";"1023Q",#N/A,0,"Curr Mo";"4014Q",#N/A,0,"Curr Mo";"1043Q",#N/A,0,"Curr Mo";"1014Q",#N/A,0,"Curr Mo";"1015Q",#N/A,0,"Curr Mo";"1012Q",#N/A,0,"Curr Mo";"1061Q",#N/A,0,"Curr Mo";"1045Q",#N/A,0,"Curr Mo";"4058Q",#N/A,0,"Curr Mo";"1033Q",#N/A,0,"Curr Mo";"1103Q",#N/A,0,"Curr Mo";"4007Q",#N/A,0,"Curr Mo";"4021Q",#N/A,0,"Curr Mo";"4026Q",#N/A,0,"Curr Mo";"4022Q",#N/A,0,"Curr Mo";"4050Q",#N/A,0,"Curr Mo";"4032Q",#N/A,0,"Curr Mo";"4089Q",#N/A,0,"Curr Mo";"1042Q",#N/A,0,"Curr Mo";"1048Q",#N/A,0,"Curr Mo";"4049Q",#N/A,0,"Curr Mo"}</definedName>
    <definedName name="wrn.RANKED._.REC._.LLC." hidden="1" function="0" vbProcedure="0">{#N/A,#N/A,0,"BONDS";#N/A,#N/A,0,"NON-LATIN";#N/A,#N/A,0,"HY BONDS";#N/A,#N/A,0,"LA-ASIAN";#N/A,#N/A,0,"EMG REPO";#N/A,#N/A,0,"TREASURY REPO";#N/A,#N/A,0,"EMG BONDS";#N/A,#N/A,0,"CREDIT DERIV";#N/A,#N/A,0,"CORP DERIV"}</definedName>
    <definedName name="wrn.RANKED._.REV._.GRP._.LLC." hidden="1" function="0" vbProcedure="0">{#N/A,#N/A,0,"CURRENCY";#N/A,#N/A,0,"BONDS";#N/A,#N/A,0,"GOLD";#N/A,#N/A,0,"EXOTICS";#N/A,#N/A,0,"NON-LATIN";#N/A,#N/A,0,"HY BONDS";#N/A,#N/A,0,"LA-ASIAN";#N/A,#N/A,0,"EMG REPO";#N/A,#N/A,0,"TREASURY REPO";#N/A,#N/A,0,"EMG BONDS";#N/A,#N/A,0,"EM OPTIONS";#N/A,#N/A,0,"CREDIT DERIV";#N/A,#N/A,0,"CORP DERIV";#N/A,#N/A,0,"NON-MEX SPOT";#N/A,#N/A,0,"ELECTRICITY";#N/A,#N/A,0,"FE ASIA SPOT";#N/A,#N/A,0,"MEX  FWD NDF"}</definedName>
    <definedName name="wrn.Rapport." hidden="1" function="0" vbProcedure="0">{#N/A,#N/A,0,"SHEET1";#N/A,#N/A,0,"SHEET2";#N/A,#N/A,0,"SHEET3";#N/A,#N/A,0,"SHEET4"}</definedName>
    <definedName name="wrn.RELEVANTSHEETS." hidden="1" function="0" vbProcedure="0">{#N/A,#N/A,0,"AD_Purch";#N/A,#N/A,0,"Projections";#N/A,#N/A,0,"DCF";#N/A,#N/A,0,"Mkt Val"}</definedName>
    <definedName name="wrn.Relvals." hidden="1" function="0" vbProcedure="0">{"weekly",#N/A,0,"HLTH_BND";"weekly",#N/A,0,"PAP_BOND";#N/A,#N/A,0,"RET_BND";"weekly",#N/A,0,"CHM_BND";#N/A,#N/A,0,"MOVIES";#N/A,#N/A,0,"CABLE";#N/A,#N/A,0,"BDCSTRV"}</definedName>
    <definedName name="wrn.Report." hidden="1" function="0" vbProcedure="0">{"Report",#N/A,0,"March Details"}</definedName>
    <definedName name="wrn.Report._.2." hidden="1" function="0" vbProcedure="0">{#N/A,#N/A,1,"Pivots-Employee";#N/A,"Scenerio2",1,"Assumptions Summary"}</definedName>
    <definedName name="wrn.Report._.Summary." hidden="1" function="0" vbProcedure="0">{#N/A,#N/A,0,"March Details"}</definedName>
    <definedName name="wrn.Report1." hidden="1" function="0" vbProcedure="0">{#N/A,#N/A,1,"Pivots-Employee";#N/A,"Scenario1",1,"Assumptions Summary"}</definedName>
    <definedName name="wrn.REPORTING._.PACKAGE." hidden="1" function="0" vbProcedure="0">{#N/A,#N/A,1,"Cover";#N/A,#N/A,1,"BS";#N/A,#N/A,1,"BS (2)";#N/A,#N/A,1,"BS (3)";#N/A,#N/A,1,"Supp Info-BS";#N/A,#N/A,1,"IS";#N/A,#N/A,1,"IS (2)";#N/A,#N/A,1,"IS (3)";#N/A,#N/A,1,"Supp Info-IS";#N/A,#N/A,1,"CF";#N/A,#N/A,1,"Supp Info-CF";#N/A,#N/A,1,"SH";#N/A,#N/A,1,"Supp Info-SH"}</definedName>
    <definedName name="wrn.reports." hidden="1" function="0" vbProcedure="0">{"summary",#N/A,0,"3 yr average";"comps",#N/A,0,"3 yr average"}</definedName>
    <definedName name="wrn.Report_PR_1." hidden="1" function="0" vbProcedure="0">{"PR1","pr1",1,"Sch PR-1"}</definedName>
    <definedName name="wrn.RESERVE._.SCHEDULE." hidden="1" function="0" vbProcedure="0">{#N/A,#N/A,0,"Sheet8";#N/A,#N/A,0,"Sheet7"}</definedName>
    <definedName name="wrn.Results." hidden="1" function="0" vbProcedure="0">{#N/A,#N/A,0,"PR report 1";#N/A,#N/A,0,"PR report 2";#N/A,#N/A,0,"PR report 3";#N/A,#N/A,0,"HBE Rev";#N/A,#N/A,0,"PR report 4";#N/A,#N/A,0,"Wiggin Rev";#N/A,#N/A,0,"NH Rev"}</definedName>
    <definedName name="wrn.revenue._.historical." hidden="1" function="0" vbProcedure="0">{"rev_summary2",#N/A,0,"historical min us";"rev_summary1",#N/A,0,"historical min us";"rev_perMinuteSummary",#N/A,0,"hist rev per minute summary";"rev_worldwide_rev",#N/A,0,"historical min us";"rev_worldwide_minutes",#N/A,0,"historical min us";"rev_rev_ROW",#N/A,0,"historical min us";"rev_other",#N/A,0,"historical min us"}</definedName>
    <definedName name="wrn.Revised._.Cap._.Budget." hidden="1" function="0" vbProcedure="0">{#N/A,#N/A,1,"Overview";#N/A,#N/A,1,"New Gen"}</definedName>
    <definedName name="wrn.Revised._.Capital._.Budget." hidden="1" function="0" vbProcedure="0">{#N/A,#N/A,1,"Overview";#N/A,#N/A,1,"New Gen";#N/A,#N/A,1,"Consol cap-ex";#N/A,#N/A,1,"APC cap-ex";#N/A,#N/A,1,"GPC cap-ex";#N/A,#N/A,1,"GUL cap-ex";#N/A,#N/A,1,"MPC cap-ex";#N/A,#N/A,1,"SAV cap-ex";#N/A,#N/A,1,"SEGCO cap-ex";#N/A,#N/A,1,"SWE cap-ex"}</definedName>
    <definedName name="wrn.Ricobayo._.I." hidden="1" function="0" vbProcedure="0">{#N/A,#N/A,0,"RESUMEN ECON.";#N/A,#N/A,0,"Costos de R.H.";#N/A,#N/A,0,"COSTO HW";#N/A,#N/A,0,"CUADROS";#N/A,#N/A,0,"SCADA´s";#N/A,#N/A,0,"PRECIOS EQUIPOS"}</definedName>
    <definedName name="wrn.Riverwood_comp_model." hidden="1" function="0" vbProcedure="0">{#N/A,#N/A,0,"Che-Ga";#N/A,#N/A,0,"Iv-Sm";#N/A,#N/A,0,"So-We";#N/A,#N/A,0,"Me-Po";#N/A,#N/A,0,"Be-Bo";#N/A,#N/A,0,"Cha-Ki";#N/A,#N/A,0,"In";#N/A,#N/A,0,"Schedule 23";#N/A,#N/A,0,"Schedule 22";#N/A,#N/A,0,"WACC"}</definedName>
    <definedName name="wrn.Roll._.Up._.Fields." hidden="1" function="0" vbProcedure="0">{"Total",#N/A,0,"Six Fields";"PDP",#N/A,0,"Six Fields";"PNP",#N/A,0,"Six Fields";"PUD",#N/A,0,"Six Fields";"Prob",#N/A,0,"Six Fields"}</definedName>
    <definedName name="wrn.sales." hidden="1" function="0" vbProcedure="0">{"sales",#N/A,0,"Sales";"sales existing",#N/A,0,"Sales";"sales rd1",#N/A,0,"Sales";"sales rd2",#N/A,0,"Sales"}</definedName>
    <definedName name="wrn.San._.Pedro." hidden="1" function="0" vbProcedure="0">{#N/A,#N/A,0,"San Pedro"}</definedName>
    <definedName name="wrn.SBEI." hidden="1" function="0" vbProcedure="0">{#N/A,#N/A,1,"Table1";#N/A,#N/A,1,"Table2";#N/A,#N/A,1,"Table3";#N/A,#N/A,1,"Table4";#N/A,#N/A,1,"Table5";#N/A,#N/A,1,"Table6";#N/A,#N/A,1,"Table7";#N/A,#N/A,1,"Table8";#N/A,#N/A,1,"Table9";#N/A,#N/A,1,"Table10";#N/A,#N/A,1,"Table11";#N/A,#N/A,1,"Table12";#N/A,#N/A,1,"Table13";#N/A,#N/A,1,"Table14"}</definedName>
    <definedName name="wrn.SB_PRES." hidden="1" function="0" vbProcedure="0">{#N/A,#N/A,1,"Sheet16"}</definedName>
    <definedName name="wrn.Scanning._.Div.._.Reports." hidden="1" function="0" vbProcedure="0">{#N/A,#N/A,0,"Scanning";#N/A,#N/A,0,"Printing";#N/A,#N/A,0,"Manufacturing";#N/A,#N/A,0,"Shipping";#N/A,#N/A,0,"Quality";#N/A,#N/A,0,"Purchasing";#N/A,#N/A,0,"Eng";#N/A,#N/A,0,"Scan_sales";#N/A,#N/A,0,"Scan_admin";#N/A,#N/A,0,"Domestic";#N/A,#N/A,0,"Education";#N/A,#N/A,0,"Commercial";#N/A,#N/A,0,"Scan_support";#N/A,#N/A,0,"Scan_marketing";#N/A,#N/A,0,"Inter"}</definedName>
    <definedName name="wrn.Scantron._.Tustin._.Reports." hidden="1" function="0" vbProcedure="0">{#N/A,#N/A,0,"Scantron";#N/A,#N/A,0,"COS";#N/A,#N/A,0,"Development";#N/A,#N/A,0,"Selling";#N/A,#N/A,0,"G&amp;A"}</definedName>
    <definedName name="wrn.Sensitivity." hidden="1" function="0" vbProcedure="0">{"sen cf",#N/A,0,"MODEL";"sen earn",#N/A,0,"MODEL";"sen debt",#N/A,0,"MODEL";"sen nav",#N/A,0,"MODEL"}</definedName>
    <definedName name="wrn.Service._.Group._.Reports." hidden="1" function="0" vbProcedure="0">{#N/A,#N/A,0,"SSG_total";#N/A,#N/A,0,"SSG_field_service";#N/A,#N/A,0,"SSG_inside_operations";#N/A,#N/A,0,"SSG_selling";#N/A,#N/A,0,"SSG_G&amp;A"}</definedName>
    <definedName name="wrn.Set." hidden="1" function="0" vbProcedure="0">{#N/A,#N/A,0,"High";#N/A,#N/A,0,"Low";#N/A,#N/A,0,"MarketCap";#N/A,#N/A,0,"Alpha"}</definedName>
    <definedName name="wrn.Short._.Form._.Print._.Out." hidden="1" function="0" vbProcedure="0">{#N/A,#N/A,0,"General Assumptions";#N/A,#N/A,0,"Accounts";#N/A,#N/A,0,"OperatingAssumptions";#N/A,#N/A,0,"Cashflow";#N/A,#N/A,0,"Debt";#N/A,#N/A,0,"Ops Summary";#N/A,#N/A,0,"Summary"}</definedName>
    <definedName name="wrn.Short._.Form._.Print._.Out._1" hidden="1" function="0" vbProcedure="0">{#N/A,#N/A,0,"General Assumptions";#N/A,#N/A,0,"Accounts";#N/A,#N/A,0,"OperatingAssumptions";#N/A,#N/A,0,"Cashflow";#N/A,#N/A,0,"Debt";#N/A,#N/A,0,"Ops Summary";#N/A,#N/A,0,"Summary"}</definedName>
    <definedName name="wrn.Short._.Form._.Print._.Out._1_1" hidden="1" function="0" vbProcedure="0">{#N/A,#N/A,0,"General Assumptions";#N/A,#N/A,0,"Accounts";#N/A,#N/A,0,"OperatingAssumptions";#N/A,#N/A,0,"Cashflow";#N/A,#N/A,0,"Debt";#N/A,#N/A,0,"Ops Summary";#N/A,#N/A,0,"Summary"}</definedName>
    <definedName name="wrn.Short._.Form._.Print._.Out._1_2" hidden="1" function="0" vbProcedure="0">{#N/A,#N/A,0,"General Assumptions";#N/A,#N/A,0,"Accounts";#N/A,#N/A,0,"OperatingAssumptions";#N/A,#N/A,0,"Cashflow";#N/A,#N/A,0,"Debt";#N/A,#N/A,0,"Ops Summary";#N/A,#N/A,0,"Summary"}</definedName>
    <definedName name="wrn.Short._.Form._.Print._.Out._1_3" hidden="1" function="0" vbProcedure="0">{#N/A,#N/A,0,"General Assumptions";#N/A,#N/A,0,"Accounts";#N/A,#N/A,0,"OperatingAssumptions";#N/A,#N/A,0,"Cashflow";#N/A,#N/A,0,"Debt";#N/A,#N/A,0,"Ops Summary";#N/A,#N/A,0,"Summary"}</definedName>
    <definedName name="wrn.Short._.Form._.Print._.Out._1_4" hidden="1" function="0" vbProcedure="0">{#N/A,#N/A,0,"General Assumptions";#N/A,#N/A,0,"Accounts";#N/A,#N/A,0,"OperatingAssumptions";#N/A,#N/A,0,"Cashflow";#N/A,#N/A,0,"Debt";#N/A,#N/A,0,"Ops Summary";#N/A,#N/A,0,"Summary"}</definedName>
    <definedName name="wrn.Short._.Form._.Print._.Out._2" hidden="1" function="0" vbProcedure="0">{#N/A,#N/A,0,"General Assumptions";#N/A,#N/A,0,"Accounts";#N/A,#N/A,0,"OperatingAssumptions";#N/A,#N/A,0,"Cashflow";#N/A,#N/A,0,"Debt";#N/A,#N/A,0,"Ops Summary";#N/A,#N/A,0,"Summary"}</definedName>
    <definedName name="wrn.Short._.Form._.Print._.Out._3" hidden="1" function="0" vbProcedure="0">{#N/A,#N/A,0,"General Assumptions";#N/A,#N/A,0,"Accounts";#N/A,#N/A,0,"OperatingAssumptions";#N/A,#N/A,0,"Cashflow";#N/A,#N/A,0,"Debt";#N/A,#N/A,0,"Ops Summary";#N/A,#N/A,0,"Summary"}</definedName>
    <definedName name="wrn.Short._.Form._.Print._.Out._4" hidden="1" function="0" vbProcedure="0">{#N/A,#N/A,0,"General Assumptions";#N/A,#N/A,0,"Accounts";#N/A,#N/A,0,"OperatingAssumptions";#N/A,#N/A,0,"Cashflow";#N/A,#N/A,0,"Debt";#N/A,#N/A,0,"Ops Summary";#N/A,#N/A,0,"Summary"}</definedName>
    <definedName name="wrn.Short._.Form._.Print._.Out._5" hidden="1" function="0" vbProcedure="0">{#N/A,#N/A,0,"General Assumptions";#N/A,#N/A,0,"Accounts";#N/A,#N/A,0,"OperatingAssumptions";#N/A,#N/A,0,"Cashflow";#N/A,#N/A,0,"Debt";#N/A,#N/A,0,"Ops Summary";#N/A,#N/A,0,"Summary"}</definedName>
    <definedName name="wrn.Side._.by._.Side." hidden="1" function="0" vbProcedure="0">{"Side 99",#N/A,0,"S&amp;U Side by Side"}</definedName>
    <definedName name="wrn.SKSCS1." hidden="1" function="0" vbProcedure="0">{#N/A,#N/A,0,"Antony Financials";#N/A,#N/A,0,"Cowboy Financials";#N/A,#N/A,0,"Combined";#N/A,#N/A,0,"Valuematrix";#N/A,#N/A,0,"DCFAntony";#N/A,#N/A,0,"DCFCowboy";#N/A,#N/A,0,"DCFCombined"}</definedName>
    <definedName name="wrn.Sommaire." hidden="1" function="0" vbProcedure="0">{#N/A,#N/A,1,"Summary";#N/A,#N/A,1,"NARRATIF";#N/A,#N/A,1,"SALES";#N/A,#N/A,1,"NOPAT";#N/A,#N/A,1,"CASH";#N/A,#N/A,1,"UA";#N/A,#N/A,1,"spares"}</definedName>
    <definedName name="wrn.sspall." hidden="1" function="0" vbProcedure="0">{"sspcash",#N/A,0,"EWSINCX";"sspinc",#N/A,0,"EWSINCX";"ssptax",#N/A,0,"EWSINCX";"ssppub",#N/A,0,"EWSINCX";"sspperchgetc",#N/A,0,"EWSINCX";"sspevan",#N/A,0,"EWSINCX";"sspbroad",#N/A,0,"EWSINCX";"sspbroadcont",#N/A,0,"EWSINCX";"sspcable",#N/A,0,"EWSINCX";"sspent",#N/A,0,"EWSINCX"}</definedName>
    <definedName name="wrn.standaloneboth1" hidden="1" function="0" vbProcedure="0">{"FCB_ALL",#N/A,0,"FCB";"GREY_ALL",#N/A,0,"GREY"}</definedName>
    <definedName name="wrn.Standard._.Reports." hidden="1" function="0" vbProcedure="0">{#N/A,#N/A,0,"Quarterly P&amp;L Overview";#N/A,#N/A,0,"Industry or Geography P&amp;L Split";#N/A,#N/A,0,"P&amp;L Quarter Trends";#N/A,#N/A,0,"Risk Analysis (Exposure Report)";#N/A,#N/A,0,"SVS Generated Report";#N/A,#N/A,0,"P&amp;L Outlook Expense Detail";#N/A,#N/A,0,"Common Size P&amp;L";#N/A,#N/A,0,"Ratios";#N/A,#N/A,0,"Compensation Pool Results";#N/A,#N/A,0,"Balance Sheet";#N/A,#N/A,0,"Common Size Balance Sheet";#N/A,#N/A,0,"Contract Review";#N/A,#N/A,0,"BALANCED SCORECARD"}</definedName>
    <definedName name="wrn.stand_alone_both" hidden="1" function="0" vbProcedure="0">{"FCB_ALL",#N/A,0,"FCB";"GREY_ALL",#N/A,0,"GREY"}</definedName>
    <definedName name="wrn.STAND_ALONE_BOTH." hidden="1" function="0" vbProcedure="0">{"FCB_ALL",#N/A,0,"FCB";"GREY_ALL",#N/A,0,"GREY"}</definedName>
    <definedName name="wrn.stand_alone_both.1" hidden="1" function="0" vbProcedure="0">{"FCB_ALL",#N/A,0,"FCB";"GREY_ALL",#N/A,0,"GREY"}</definedName>
    <definedName name="wrn.Stand_alone_both._dcf" hidden="1" function="0" vbProcedure="0">{"FCB_ALL",#N/A,0,"FCB";"GREY_ALL",#N/A,0,"GREY"}</definedName>
    <definedName name="wrn.stand_alone_both1" hidden="1" function="0" vbProcedure="0">{"FCB_ALL",#N/A,0,"FCB";"GREY_ALL",#N/A,0,"GREY"}</definedName>
    <definedName name="wrn.stand_alone_both9" hidden="1" function="0" vbProcedure="0">{"FCB_ALL",#N/A,0,"FCB";"GREY_ALL",#N/A,0,"GREY"}</definedName>
    <definedName name="wrn.Statements." hidden="1" function="0" vbProcedure="0">{#N/A,#N/A,0,"CostOfService";#N/A,#N/A,0,"BalanceSheet";#N/A,#N/A,0,"IncomeStmt";#N/A,#N/A,0,"CashFlow";#N/A,#N/A,0,"RateBase"}</definedName>
    <definedName name="wrn.statemetns1." hidden="1" function="0" vbProcedure="0">{#N/A,#N/A,0,"CostOfService";#N/A,#N/A,0,"BalanceSheet";#N/A,#N/A,0,"IncomeStmt";#N/A,#N/A,0,"CashFlow";#N/A,#N/A,0,"RateBase"}</definedName>
    <definedName name="wrn.Statistics." hidden="1" function="0" vbProcedure="0">{"Std Poor",#N/A,0,"S&amp;P";"Sum Stats",#N/A,0,"Stats"}</definedName>
    <definedName name="wrn.Structure." hidden="1" function="0" vbProcedure="0">{#N/A,#N/A,0,"Structure";#N/A,#N/A,0,"Proj-Cal";#N/A,#N/A,0,"Market"}</definedName>
    <definedName name="wrn.SUM." hidden="1" function="0" vbProcedure="0">{"SUM",#N/A,0,"Details (2)"}</definedName>
    <definedName name="wrn.sumarry_96_980" hidden="1" function="0" vbProcedure="0">{"arpm1995",#N/A,0,"Summary 95-96";"bus_long_distance",#N/A,0,"Summary 95-96";"mins_per_day",#N/A,0,"Summary 95-96";"minutes1995",#N/A,0,"Summary 95-96";"rev_per_day",#N/A,0,"Summary 95-96";"view1995",#N/A,0,"Summary 95-96"}</definedName>
    <definedName name="wrn.Summary." hidden="1" function="0" vbProcedure="0">{"Sum1",#N/A,0,"Reserve Report";"Sum2",#N/A,0,"Reserve Report";"Sum3",#N/A,0,"Reserve Report";"Sum4",#N/A,0,"Reserve Report"}</definedName>
    <definedName name="wrn.Summary._.of._.Details2." hidden="1" function="0" vbProcedure="0">{"Summary",#N/A,0,"Details (2)"}</definedName>
    <definedName name="wrn.Summary._1" hidden="1" function="0" vbProcedure="0">{"Summary",#N/A,0,"Summary"}</definedName>
    <definedName name="wrn.Summary._1_1" hidden="1" function="0" vbProcedure="0">{"Summary",#N/A,0,"Summary"}</definedName>
    <definedName name="wrn.Summary._1_2" hidden="1" function="0" vbProcedure="0">{"Summary",#N/A,0,"Summary"}</definedName>
    <definedName name="wrn.Summary._1_3" hidden="1" function="0" vbProcedure="0">{"Summary",#N/A,0,"Summary"}</definedName>
    <definedName name="wrn.Summary._1_4" hidden="1" function="0" vbProcedure="0">{"Summary",#N/A,0,"Summary"}</definedName>
    <definedName name="wrn.Summary._2" hidden="1" function="0" vbProcedure="0">{"Summary",#N/A,0,"Summary"}</definedName>
    <definedName name="wrn.Summary._3" hidden="1" function="0" vbProcedure="0">{"Summary",#N/A,0,"Summary"}</definedName>
    <definedName name="wrn.Summary._4" hidden="1" function="0" vbProcedure="0">{"Summary",#N/A,0,"Summary"}</definedName>
    <definedName name="wrn.Summary._5" hidden="1" function="0" vbProcedure="0">{"Summary",#N/A,0,"Summary"}</definedName>
    <definedName name="wrn.SummaryPgs." hidden="1" function="0" vbProcedure="0">{#N/A,#N/A,0,"CreditStat";#N/A,#N/A,0,"SPbrkup";#N/A,#N/A,0,"MerSPsyn";#N/A,#N/A,0,"MerSPwKCsyn";#N/A,#N/A,0,"MerSPwKCsyn (2)";#N/A,#N/A,0,"CreditStat (2)"}</definedName>
    <definedName name="wrn.summary_95_890" hidden="1" function="0" vbProcedure="0">{"arpm1995",#N/A,0,"Summary 95-96";"bus_long_distance",#N/A,0,"Summary 95-96";"mins_per_day",#N/A,0,"Summary 95-96";"minutes1995",#N/A,0,"Summary 95-96";"rev_per_day",#N/A,0,"Summary 95-96";"view1995",#N/A,0,"Summary 95-96"}</definedName>
    <definedName name="wrn.summary_95_950" hidden="1" function="0" vbProcedure="0">{"arpm1995",#N/A,0,"Summary 95-96";"bus_long_distance",#N/A,0,"Summary 95-96";"mins_per_day",#N/A,0,"Summary 95-96";"minutes1995",#N/A,0,"Summary 95-96";"rev_per_day",#N/A,0,"Summary 95-96";"view1995",#N/A,0,"Summary 95-96"}</definedName>
    <definedName name="wrn.summary_95_96." hidden="1" function="0" vbProcedure="0">{"arpm1995",#N/A,0,"Summary 95-96";"bus_long_distance",#N/A,0,"Summary 95-96";"mins_per_day",#N/A,0,"Summary 95-96";"minutes1995",#N/A,0,"Summary 95-96";"rev_per_day",#N/A,0,"Summary 95-96";"view1995",#N/A,0,"Summary 95-96"}</definedName>
    <definedName name="wrn.summary_95_960" hidden="1" function="0" vbProcedure="0">{"arpm1995",#N/A,0,"Summary 95-96";"bus_long_distance",#N/A,0,"Summary 95-96";"mins_per_day",#N/A,0,"Summary 95-96";"minutes1995",#N/A,0,"Summary 95-96";"rev_per_day",#N/A,0,"Summary 95-96";"view1995",#N/A,0,"Summary 95-96"}</definedName>
    <definedName name="wrn.summary_95_961." hidden="1" function="0" vbProcedure="0">{"arpm1995",#N/A,0,"Summary 95-96";"bus_long_distance",#N/A,0,"Summary 95-96";"mins_per_day",#N/A,0,"Summary 95-96";"minutes1995",#N/A,0,"Summary 95-96";"rev_per_day",#N/A,0,"Summary 95-96";"view1995",#N/A,0,"Summary 95-96"}</definedName>
    <definedName name="wrn.summary_95_963" hidden="1" function="0" vbProcedure="0">{"arpm1995",#N/A,0,"Summary 95-96";"bus_long_distance",#N/A,0,"Summary 95-96";"mins_per_day",#N/A,0,"Summary 95-96";"minutes1995",#N/A,0,"Summary 95-96";"rev_per_day",#N/A,0,"Summary 95-96";"view1995",#N/A,0,"Summary 95-96"}</definedName>
    <definedName name="wrn.summary_95_966" hidden="1" function="0" vbProcedure="0">{"arpm1995",#N/A,0,"Summary 95-96";"bus_long_distance",#N/A,0,"Summary 95-96";"mins_per_day",#N/A,0,"Summary 95-96";"minutes1995",#N/A,0,"Summary 95-96";"rev_per_day",#N/A,0,"Summary 95-96";"view1995",#N/A,0,"Summary 95-96"}</definedName>
    <definedName name="wrn.summary_95_967" hidden="1" function="0" vbProcedure="0">{"arpm1995",#N/A,0,"Summary 95-96";"bus_long_distance",#N/A,0,"Summary 95-96";"mins_per_day",#N/A,0,"Summary 95-96";"minutes1995",#N/A,0,"Summary 95-96";"rev_per_day",#N/A,0,"Summary 95-96";"view1995",#N/A,0,"Summary 95-96"}</definedName>
    <definedName name="wrn.summary_95_968" hidden="1" function="0" vbProcedure="0">{"arpm1995",#N/A,0,"Summary 95-96";"bus_long_distance",#N/A,0,"Summary 95-96";"mins_per_day",#N/A,0,"Summary 95-96";"minutes1995",#N/A,0,"Summary 95-96";"rev_per_day",#N/A,0,"Summary 95-96";"view1995",#N/A,0,"Summary 95-96"}</definedName>
    <definedName name="wrn.summary_95_968w" hidden="1" function="0" vbProcedure="0">{"arpm1995",#N/A,0,"Summary 95-96";"bus_long_distance",#N/A,0,"Summary 95-96";"mins_per_day",#N/A,0,"Summary 95-96";"minutes1995",#N/A,0,"Summary 95-96";"rev_per_day",#N/A,0,"Summary 95-96";"view1995",#N/A,0,"Summary 95-96"}</definedName>
    <definedName name="wrn.summary_95_969" hidden="1" function="0" vbProcedure="0">{"arpm1995",#N/A,0,"Summary 95-96";"bus_long_distance",#N/A,0,"Summary 95-96";"mins_per_day",#N/A,0,"Summary 95-96";"minutes1995",#N/A,0,"Summary 95-96";"rev_per_day",#N/A,0,"Summary 95-96";"view1995",#N/A,0,"Summary 95-96"}</definedName>
    <definedName name="wrn.summary_95_97" hidden="1" function="0" vbProcedure="0">{"arpm1995",#N/A,0,"Summary 95-96";"bus_long_distance",#N/A,0,"Summary 95-96";"mins_per_day",#N/A,0,"Summary 95-96";"minutes1995",#N/A,0,"Summary 95-96";"rev_per_day",#N/A,0,"Summary 95-96";"view1995",#N/A,0,"Summary 95-96"}</definedName>
    <definedName name="wrn.summary_95_970" hidden="1" function="0" vbProcedure="0">{"arpm1995",#N/A,0,"Summary 95-96";"bus_long_distance",#N/A,0,"Summary 95-96";"mins_per_day",#N/A,0,"Summary 95-96";"minutes1995",#N/A,0,"Summary 95-96";"rev_per_day",#N/A,0,"Summary 95-96";"view1995",#N/A,0,"Summary 95-96"}</definedName>
    <definedName name="wrn.summary_95_971" hidden="1" function="0" vbProcedure="0">{"arpm1995",#N/A,0,"Summary 95-96";"bus_long_distance",#N/A,0,"Summary 95-96";"mins_per_day",#N/A,0,"Summary 95-96";"minutes1995",#N/A,0,"Summary 95-96";"rev_per_day",#N/A,0,"Summary 95-96";"view1995",#N/A,0,"Summary 95-96"}</definedName>
    <definedName name="wrn.summary_95_98" hidden="1" function="0" vbProcedure="0">{"arpm1995",#N/A,0,"Summary 95-96";"bus_long_distance",#N/A,0,"Summary 95-96";"mins_per_day",#N/A,0,"Summary 95-96";"minutes1995",#N/A,0,"Summary 95-96";"rev_per_day",#N/A,0,"Summary 95-96";"view1995",#N/A,0,"Summary 95-96"}</definedName>
    <definedName name="wrn.summary_95_982" hidden="1" function="0" vbProcedure="0">{"arpm1995",#N/A,0,"Summary 95-96";"bus_long_distance",#N/A,0,"Summary 95-96";"mins_per_day",#N/A,0,"Summary 95-96";"minutes1995",#N/A,0,"Summary 95-96";"rev_per_day",#N/A,0,"Summary 95-96";"view1995",#N/A,0,"Summary 95-96"}</definedName>
    <definedName name="wrn.summary_96_915" hidden="1" function="0" vbProcedure="0">{"arpm1995",#N/A,0,"Summary 95-96";"bus_long_distance",#N/A,0,"Summary 95-96";"mins_per_day",#N/A,0,"Summary 95-96";"minutes1995",#N/A,0,"Summary 95-96";"rev_per_day",#N/A,0,"Summary 95-96";"view1995",#N/A,0,"Summary 95-96"}</definedName>
    <definedName name="wrn.summary_96_97" hidden="1" function="0" vbProcedure="0">{"arpm1995",#N/A,0,"Summary 95-96";"bus_long_distance",#N/A,0,"Summary 95-96";"mins_per_day",#N/A,0,"Summary 95-96";"minutes1995",#N/A,0,"Summary 95-96";"rev_per_day",#N/A,0,"Summary 95-96";"view1995",#N/A,0,"Summary 95-96"}</definedName>
    <definedName name="wrn.summary_96_970" hidden="1" function="0" vbProcedure="0">{"arpm1995",#N/A,0,"Summary 95-96";"bus_long_distance",#N/A,0,"Summary 95-96";"mins_per_day",#N/A,0,"Summary 95-96";"minutes1995",#N/A,0,"Summary 95-96";"rev_per_day",#N/A,0,"Summary 95-96";"view1995",#N/A,0,"Summary 95-96"}</definedName>
    <definedName name="wrn.summary_96_973" hidden="1" function="0" vbProcedure="0">{"arpm1995",#N/A,0,"Summary 95-96";"bus_long_distance",#N/A,0,"Summary 95-96";"mins_per_day",#N/A,0,"Summary 95-96";"minutes1995",#N/A,0,"Summary 95-96";"rev_per_day",#N/A,0,"Summary 95-96";"view1995",#N/A,0,"Summary 95-96"}</definedName>
    <definedName name="wrn.summary_96_974" hidden="1" function="0" vbProcedure="0">{"arpm1995",#N/A,0,"Summary 95-96";"bus_long_distance",#N/A,0,"Summary 95-96";"mins_per_day",#N/A,0,"Summary 95-96";"minutes1995",#N/A,0,"Summary 95-96";"rev_per_day",#N/A,0,"Summary 95-96";"view1995",#N/A,0,"Summary 95-96"}</definedName>
    <definedName name="wrn.summary_96_977" hidden="1" function="0" vbProcedure="0">{"arpm1995",#N/A,0,"Summary 95-96";"bus_long_distance",#N/A,0,"Summary 95-96";"mins_per_day",#N/A,0,"Summary 95-96";"minutes1995",#N/A,0,"Summary 95-96";"rev_per_day",#N/A,0,"Summary 95-96";"view1995",#N/A,0,"Summary 95-96"}</definedName>
    <definedName name="wrn.summary_96_977_1" hidden="1" function="0" vbProcedure="0">{"arpm1995",#N/A,0,"Summary 95-96";"bus_long_distance",#N/A,0,"Summary 95-96";"mins_per_day",#N/A,0,"Summary 95-96";"minutes1995",#N/A,0,"Summary 95-96";"rev_per_day",#N/A,0,"Summary 95-96";"view1995",#N/A,0,"Summary 95-96"}</definedName>
    <definedName name="wrn.summary_96_978" hidden="1" function="0" vbProcedure="0">{"arpm1995",#N/A,0,"Summary 95-96";"bus_long_distance",#N/A,0,"Summary 95-96";"mins_per_day",#N/A,0,"Summary 95-96";"minutes1995",#N/A,0,"Summary 95-96";"rev_per_day",#N/A,0,"Summary 95-96";"view1995",#N/A,0,"Summary 95-96"}</definedName>
    <definedName name="wrn.summary_96_97x" hidden="1" function="0" vbProcedure="0">{"arpm1995",#N/A,0,"Summary 95-96";"bus_long_distance",#N/A,0,"Summary 95-96";"mins_per_day",#N/A,0,"Summary 95-96";"minutes1995",#N/A,0,"Summary 95-96";"rev_per_day",#N/A,0,"Summary 95-96";"view1995",#N/A,0,"Summary 95-96"}</definedName>
    <definedName name="wrn.summary_96_987" hidden="1" function="0" vbProcedure="0">{"arpm1995",#N/A,0,"Summary 95-96";"bus_long_distance",#N/A,0,"Summary 95-96";"mins_per_day",#N/A,0,"Summary 95-96";"minutes1995",#N/A,0,"Summary 95-96";"rev_per_day",#N/A,0,"Summary 95-96";"view1995",#N/A,0,"Summary 95-96"}</definedName>
    <definedName name="wrn.Supplemental_Reports." hidden="1" function="0" vbProcedure="0">{#N/A,#N/A,0,"Report Data";#N/A,#N/A,0,"COMP POOL";#N/A,#N/A,0,"COMP POOL NB95";#N/A,#N/A,0,"COMP POOL NB94"}</definedName>
    <definedName name="wrn.Survey._.Div.._.Reports." hidden="1" function="0" vbProcedure="0">{#N/A,#N/A,0,"Survey";#N/A,#N/A,0,"Tech_COS";#N/A,#N/A,0,"Tech_Consult";#N/A,#N/A,0,"Tech_dev";#N/A,#N/A,0,"Tech_sales";#N/A,#N/A,0,"Tech_channel";#N/A,#N/A,0,"Tech_marketing";#N/A,#N/A,0,"Tech_admin"}</definedName>
    <definedName name="wrn.Target." hidden="1" function="0" vbProcedure="0">{#N/A,#N/A,1,"Tar-Ass";#N/A,#N/A,1,"Tar-IS";#N/A,#N/A,1,"Tar-BS";#N/A,#N/A,1,"Tar-CF";#N/A,#N/A,1,"Tar-Adg BS";#N/A,#N/A,1,"Tar-Proj";#N/A,#N/A,1,"Tar-CapEx";#N/A,#N/A,1,"Tar-Debt";#N/A,#N/A,1,"Tar-Int";#N/A,#N/A,1,"Tar-BD";#N/A,#N/A,1,"Tar-TD";#N/A,#N/A,1,"Tar-Taxes";#N/A,#N/A,1,"Tar-Credit";#N/A,#N/A,1,"Val - sum";#N/A,#N/A,1,"Val - Sum1";#N/A,#N/A,1,"Val - sum2";#N/A,#N/A,1,"Val - Sum3";#N/A,#N/A,1,"Tar-DCF";#N/A,#N/A,1,"Tar-Val LBO";#N/A,#N/A,1,"Tar-Mult Val"}</definedName>
    <definedName name="wrn.TARGET._.DCF." hidden="1" function="0" vbProcedure="0">{"targetdcf",#N/A,0,"Merger consequences";"TARGETASSU",#N/A,0,"Merger consequences";"TERMINAL VALUE",#N/A,0,"Merger consequences"}</definedName>
    <definedName name="wrn.TargetLBO." hidden="1" function="0" vbProcedure="0">{#N/A,#N/A,1,"Tar-Ass";#N/A,#N/A,1,"Tar-Ass LBO";#N/A,#N/A,1,"LBO Ret";#N/A,#N/A,1,"Tar-BS LBO";#N/A,#N/A,1,"Tar-IS LBO";#N/A,#N/A,1,"Tar-CF LBO";#N/A,#N/A,1,"Tar-Debt LBO";#N/A,#N/A,1,"Tar-Int LBO";#N/A,#N/A,1,"Tar-Taxes LBO";#N/A,#N/A,1,"Tar-Val LBO"}</definedName>
    <definedName name="wrn.TargetState." hidden="1" function="0" vbProcedure="0">{#N/A,#N/A,0,"Tar-Ass";#N/A,#N/A,0,"Tar-IS";#N/A,#N/A,0,"Tar-BS";#N/A,#N/A,0,"Tar-Adg BS";#N/A,#N/A,0,"Tar-CF"}</definedName>
    <definedName name="wrn.TargetVal." hidden="1" function="0" vbProcedure="0">{#N/A,#N/A,1,"Val - sum";#N/A,#N/A,1,"Val - Sum1";#N/A,#N/A,1,"Val - sum2";#N/A,#N/A,1,"Val - Sum3";#N/A,#N/A,1,"Tar-DCF";#N/A,#N/A,1,"Tar-Val LBO";#N/A,#N/A,1,"Tar-Mult Val"}</definedName>
    <definedName name="wrn.test." hidden="1" function="0" vbProcedure="0">{#N/A,#N/A,1,"Sheet5 (4)";#N/A,#N/A,1,"Sheet10 (2)";#N/A,#N/A,1,"Sheet16 (2)"}</definedName>
    <definedName name="wrn.Test._1" hidden="1" function="0" vbProcedure="0">{#N/A,#N/A,0,"P&amp;L";#N/A,#N/A,0,"BS"}</definedName>
    <definedName name="wrn.Test._1_1" hidden="1" function="0" vbProcedure="0">{#N/A,#N/A,0,"P&amp;L";#N/A,#N/A,0,"BS"}</definedName>
    <definedName name="wrn.Test._1_2" hidden="1" function="0" vbProcedure="0">{#N/A,#N/A,0,"P&amp;L";#N/A,#N/A,0,"BS"}</definedName>
    <definedName name="wrn.Test._1_3" hidden="1" function="0" vbProcedure="0">{#N/A,#N/A,0,"P&amp;L";#N/A,#N/A,0,"BS"}</definedName>
    <definedName name="wrn.Test._1_4" hidden="1" function="0" vbProcedure="0">{#N/A,#N/A,0,"P&amp;L";#N/A,#N/A,0,"BS"}</definedName>
    <definedName name="wrn.Test._2" hidden="1" function="0" vbProcedure="0">{#N/A,#N/A,0,"P&amp;L";#N/A,#N/A,0,"BS"}</definedName>
    <definedName name="wrn.Test._3" hidden="1" function="0" vbProcedure="0">{#N/A,#N/A,0,"P&amp;L";#N/A,#N/A,0,"BS"}</definedName>
    <definedName name="wrn.Test._4" hidden="1" function="0" vbProcedure="0">{#N/A,#N/A,0,"P&amp;L";#N/A,#N/A,0,"BS"}</definedName>
    <definedName name="wrn.Test._5" hidden="1" function="0" vbProcedure="0">{#N/A,#N/A,0,"P&amp;L";#N/A,#N/A,0,"BS"}</definedName>
    <definedName name="wrn.TheWholeEnchilada." hidden="1" function="0" vbProcedure="0">{"CSheet",#N/A,0,"C";"SmCap",#N/A,0,"VAL1";"GulfCoast",#N/A,0,"VAL1";"nav",#N/A,0,"NAV";"Summary",#N/A,0,"NAV"}</definedName>
    <definedName name="wrn.TMCALL." hidden="1" function="0" vbProcedure="0">{"tmccash",#N/A,0,"INCX";"tmcinc",#N/A,0,"INCX";"tmcpretx",#N/A,0,"INCX";"tmcadrev",#N/A,0,"INCX";"tmcbooks",#N/A,0,"INCX"}</definedName>
    <definedName name="wrn.TOOL." hidden="1" function="0" vbProcedure="0">{#N/A,#N/A,1,"Consolidated";#N/A,#N/A,1,"Offering";#N/A,#N/A,1,"WAE";#N/A,#N/A,1,"Combined";#N/A,#N/A,1,"PE Consolidated";#N/A,#N/A,1,"CF Consolidated";#N/A,#N/A,1,"Income";#N/A,#N/A,1,"OfferingTool";#N/A,#N/A,1,"Inputs";#N/A,#N/A,1,"PE";#N/A,#N/A,1,"CF";#N/A,#N/A,1,"Income (2)";#N/A,#N/A,1,"Inputs (2)";#N/A,#N/A,1,"PE (2)";#N/A,#N/A,1,"CF (2)";#N/A,#N/A,1,"Summary"}</definedName>
    <definedName name="wrn.Total." hidden="1" function="0" vbProcedure="0">{#N/A,#N/A,0,"Trans-Sum";#N/A,#N/A,0,"Accr-Dilu2";#N/A,#N/A,0,"Contribution";#N/A,#N/A,0,"Combined";#N/A,#N/A,0,"ASTF";#N/A,#N/A,0,"BRA";#N/A,#N/A,0,"Bra_C";#N/A,#N/A,0,"AcqMults";#N/A,#N/A,0,"CompMults";#N/A,#N/A,0,"DCF";#N/A,#N/A,0,"WACC";#N/A,#N/A,0,"LBO";#N/A,#N/A,0,"Summary";#N/A,#N/A,0,"StructSum"}</definedName>
    <definedName name="wrn.Total._.Proved." hidden="1" function="0" vbProcedure="0">{"Total",#N/A,0,"Total Proved";"PDP",#N/A,0,"Total Proved";"PNP",#N/A,0,"Total Proved";"PUD",#N/A,0,"Total Proved"}</definedName>
    <definedName name="wrn.Total._.Proved._.plus._.Probable." hidden="1" function="0" vbProcedure="0">{"Total",#N/A,0,"Total Proved + Probable";"PDP",#N/A,0,"Total Proved + Probable";"PNP",#N/A,0,"Total Proved + Probable";"PUD",#N/A,0,"Total Proved + Probable";"Prob",#N/A,0,"Total Proved + Probable"}</definedName>
    <definedName name="wrn.Total._.Scantron." hidden="1" function="0" vbProcedure="0">{#N/A,#N/A,0,"Total by function - wo";#N/A,#N/A,0,"Total by function";#N/A,#N/A,0,"Total";#N/A,#N/A,0,"Scantron";#N/A,#N/A,0,"SSG_total"}</definedName>
    <definedName name="wrn.Tout._.Sauf._.BG." hidden="1" function="0" vbProcedure="0">{#N/A,#N/A,0,"A BS";#N/A,#N/A,0,"B Ratios";#N/A,#N/A,0,"A P&amp;L";#N/A,#N/A,0,"A SIG";#N/A,#N/A,0,"B Verif";#N/A,#N/A,0,"B Verif LEADS";#N/A,#N/A,0,"C";#N/A,#N/A,0,"D";#N/A,#N/A,0,"E";#N/A,#N/A,0,"F";#N/A,#N/A,0,"G";#N/A,#N/A,0,"H";#N/A,#N/A,0,"I";#N/A,#N/A,0,"K";#N/A,#N/A,0,"L";#N/A,#N/A,0,"M";#N/A,#N/A,0,"N";#N/A,#N/A,0,"O";#N/A,#N/A,0,"P";#N/A,#N/A,0,"R";#N/A,#N/A,0,"S";#N/A,#N/A,0,"T"}</definedName>
    <definedName name="wrn.Trading._.Summary." hidden="1" function="0" vbProcedure="0">{#N/A,#N/A,0,"Trading Summary"}</definedName>
    <definedName name="wrn.TransPrcd_123." hidden="1" function="0" vbProcedure="0">{#N/A,#N/A,1,"TransPrcd 1";#N/A,#N/A,1,"TransPrcd 2";#N/A,#N/A,1,"TransPrcd 3"}</definedName>
    <definedName name="wrn.trball." hidden="1" function="0" vbProcedure="0">{"trbcash",#N/A,0,"INCPF";"trbinc",#N/A,0,"INCPF";"trbchic",#N/A,0,"INCPF";"trbadrev",#N/A,0,"INCPF";"trbstns",#N/A,0,"INCPF";"trbtvstns",#N/A,0,"INCPF"}</definedName>
    <definedName name="wrn.tsp." hidden="1" function="0" vbProcedure="0">{#N/A,#N/A,0,"Summary";#N/A,#N/A,0,"Financials";#N/A,#N/A,0,"Returns";#N/A,#N/A,0,"Open";#N/A,#N/A,0,"Assumptions"}</definedName>
    <definedName name="wrn.Tweety." hidden="1" function="0" vbProcedure="0">{#N/A,#N/A,0,"A&amp;E";#N/A,#N/A,0,"HighTop";#N/A,#N/A,0,"JG";#N/A,#N/A,0,"RI";#N/A,#N/A,0,"woHT";#N/A,#N/A,0,"woHT&amp;JG"}</definedName>
    <definedName name="wrn.Typhoon." hidden="1" function="0" vbProcedure="0">{"Agg Output",#N/A,0,"Operational Drivers Output";"NW Output",#N/A,0,"Operational Drivers Output";"South Output",#N/A,0,"Operational Drivers Output";"Central Output",#N/A,0,"Operational Drivers Output"}</definedName>
    <definedName name="wrn.VALUATION." hidden="1" function="0" vbProcedure="0">{#N/A,#N/A,0,"Valuation Assumptions";#N/A,#N/A,0,"Summary";#N/A,#N/A,0,"DCF";#N/A,#N/A,0,"Valuation";#N/A,#N/A,0,"WACC";#N/A,#N/A,0,"UBVH";#N/A,#N/A,0,"Free Cash Flow"}</definedName>
    <definedName name="wrn.Value." hidden="1" function="0" vbProcedure="0">{#N/A,#N/A,0,"Cashflow Analysis";#N/A,#N/A,0,"Sensitivity Analysis";#N/A,#N/A,0,"PV";#N/A,#N/A,0,"Pro Forma"}</definedName>
    <definedName name="wrn.Value.2" hidden="1" function="0" vbProcedure="0">{#N/A,#N/A,0,"Cashflow Analysis";#N/A,#N/A,0,"Sensitivity Analysis";#N/A,#N/A,0,"PV";#N/A,#N/A,0,"Pro Forma"}</definedName>
    <definedName name="wrn.Wacc." hidden="1" function="0" vbProcedure="0">{"Area1",#N/A,0,"OREWACC";"Area2",#N/A,0,"OREWACC"}</definedName>
    <definedName name="wrn.Web._.Portfolio._.Companies._.June._.2000." hidden="1" function="0" vbProcedure="0">{#N/A,#N/A,1,"FD II Portfolio Summary";#N/A,#N/A,1,"Fund II BV";#N/A,#N/A,1,"Fund II FV";#N/A,#N/A,1,"JRI";#N/A,#N/A,1,"NDS";#N/A,#N/A,1,"Weasler";#N/A,#N/A,1,"Stronghaven";#N/A,#N/A,1,"Connor";#N/A,#N/A,1,"Docu";#N/A,#N/A,1,"HWC";#N/A,#N/A,1,"Temple";#N/A,#N/A,1,"FD III Port Summ";#N/A,#N/A,1,"Fund III BV ";#N/A,#N/A,1,"Fund III MV ";#N/A,#N/A,1,"Beacon";#N/A,#N/A,1,"CII";#N/A,#N/A,1,"MCA";#N/A,#N/A,1,"Elm";#N/A,#N/A,1,"Tharco";#N/A,#N/A,1,"Dee H";#N/A,#N/A,1,"Globe";#N/A,#N/A,1,"Hunt Valve";#N/A,#N/A,1,"KBA";#N/A,#N/A,1,"Glassmaster";#N/A,#N/A,1,"MLS";#N/A,#N/A,1,"CBSA";#N/A,#N/A,1,"ACE";#N/A,#N/A,1,"United Central";#N/A,#N/A,1,"Jakel";#N/A,#N/A,1,"Lake City ";#N/A,#N/A,1,"FD IV Portfolio Summary ";#N/A,#N/A,1,"BV Valuation";#N/A,#N/A,1,"Western";#N/A,#N/A,1,"Kranson";#N/A,#N/A,1,"ARC";#N/A,#N/A,1,"Precise"}</definedName>
    <definedName name="wrn.wicor." hidden="1" function="0" vbProcedure="0">{#N/A,#N/A,0,"FACTSHEETS";#N/A,#N/A,0,"pump";#N/A,#N/A,0,"filter"}</definedName>
    <definedName name="wrn.wpoall." hidden="1" function="0" vbProcedure="0">{"wpocash",#N/A,0,"WPOALLT";"wpoinc",#N/A,0,"WPOALLT";"wpoexcl",#N/A,0,"WPOALLT";"wpocable",#N/A,0,"WPOALLT";"wpobroad",#N/A,0,"WPOALLT";"wpopost",#N/A,0,"WPOALLT";"wponwsweek",#N/A,0,"WPOALLT"}</definedName>
    <definedName name="wrn.WWY." hidden="1" function="0" vbProcedure="0">{#N/A,#N/A,0,"WWY"}</definedName>
    <definedName name="wrn.מאזן_בוחן_כללי." hidden="1" function="0" vbProcedure="0">{#N/A,#N/A,0,"מאזן בוחן";"כל_מאזן_בוחן",#N/A,0,"מאזן בוחן"}</definedName>
    <definedName name="wrn.סעיפי_מאזן_בוחן." hidden="1" function="0" vbProcedure="0">{"מזומנים",#N/A,0,"מאזן בוחן";"חיבים_ויתרות_חובה",#N/A,0,"מאזן בוחן";"רכוש_קבוע",#N/A,0,"מאזן בוחן";"השקעה_זק",#N/A,0,"מאזן בוחן";"השקעה_במוחזקות",#N/A,0,"מאזן בוחן";"השקעה_אחרות",#N/A,0,"מאזן בוחן";"זכאים_ויתרות_זכות",#N/A,0,"מאזן בוחן";"הלוואות_בעמנ_ובנקים",#N/A,0,"מאזן בוחן";"עתודה_לפצויים_והון",#N/A,0,"מאזן בוחן";"הכנסות",#N/A,0,"מאזן בוחן";"הוצאות_הנהלה_וכלליות",#N/A,0,"מאזן בוחן";"הוצאות_מימון",#N/A,0,"מאזן בוחן";"אקוויטי_ובדיקת_השקעו",#N/A,0,"מאזן בוחן"}</definedName>
    <definedName name="wrn1.Statements." hidden="1" function="0" vbProcedure="0">{#N/A,#N/A,0,"CostOfService";#N/A,#N/A,0,"BalanceSheet";#N/A,#N/A,0,"IncomeStmt";#N/A,#N/A,0,"CashFlow";#N/A,#N/A,0,"RateBase"}</definedName>
    <definedName name="wrn2.All." hidden="1" function="0" vbProcedure="0">{#N/A,#N/A,0,"Structure";#N/A,#N/A,0,"Shares";#N/A,#N/A,0,"Market";#N/A,#N/A,0,"Proj-Cal";#N/A,#N/A,0,"Margins - GrossR&amp;D";#N/A,#N/A,0,"Margins - sg&amp;a";#N/A,#N/A,0,"Margins - Oper-net";#N/A,#N/A,0,"Rev Grwth";#N/A,#N/A,0,"Op Inc Grwth";#N/A,#N/A,0,"Net Grwth";#N/A,#N/A,0,"EPS Growth";#N/A,#N/A,0,"Balance";#N/A,#N/A,0,"TDFX";#N/A,#N/A,0,"CUBE";#N/A,#N/A,0,"TDDDF";#N/A,#N/A,0,"DIMD";#N/A,#N/A,0,"ELNT";#N/A,#N/A,0,"ZRAN";#N/A,#N/A,0,"FDJA";#N/A,#N/A,0,"GNMC"}</definedName>
    <definedName name="wrnc" hidden="1" function="0" vbProcedure="0">{"Cover",#N/A,0,"Cover";"Summary",#N/A,0,"Summarpage";"Assumptions",#N/A,0,"Assumptions";"Earnings",#N/A,0,"Earnings";"CF Oper.",#N/A,0,"Earnings";"Balance Sheet",#N/A,0,"balance";"Cash Flow",#N/A,0,"cash flow";"Paper Production",#N/A,0,"Paper";"Paper Earnings",#N/A,0,"Paper";"Wood Production",#N/A,0,"Wood Products";"Wood Earnings",#N/A,0,"Wood Products";"Pulp Production",#N/A,0,"Pulp";"Pulp Earnings",#N/A,0,"Pulp"}</definedName>
    <definedName name="wrnc.2" hidden="1" function="0" vbProcedure="0">{"Cover",#N/A,0,"Cover";"Summary",#N/A,0,"Summarpage";"Assumptions",#N/A,0,"Assumptions";"Earnings",#N/A,0,"Earnings";"CF Oper.",#N/A,0,"Earnings";"Balance Sheet",#N/A,0,"balance";"Cash Flow",#N/A,0,"cash flow";"Paper Production",#N/A,0,"Paper";"Paper Earnings",#N/A,0,"Paper";"Wood Production",#N/A,0,"Wood Products";"Wood Earnings",#N/A,0,"Wood Products";"Pulp Production",#N/A,0,"Pulp";"Pulp Earnings",#N/A,0,"Pulp"}</definedName>
    <definedName name="wrnrep" hidden="1" function="0" vbProcedure="0">{"summary",#N/A,0,"3 yr average";"comps",#N/A,0,"3 yr average"}</definedName>
    <definedName name="wrn_eva" hidden="1" function="0" vbProcedure="0">{"EVA",#N/A,0,"EVA";"WACC",#N/A,0,"WACC"}</definedName>
    <definedName name="wrn_summary_95_952" hidden="1" function="0" vbProcedure="0">{"arpm1995",#N/A,0,"Summary 95-96";"bus_long_distance",#N/A,0,"Summary 95-96";"mins_per_day",#N/A,0,"Summary 95-96";"minutes1995",#N/A,0,"Summary 95-96";"rev_per_day",#N/A,0,"Summary 95-96";"view1995",#N/A,0,"Summary 95-96"}</definedName>
    <definedName name="wrn_summary_95_952_1" hidden="1" function="0" vbProcedure="0">{"arpm1995",#N/A,0,"Summary 95-96";"bus_long_distance",#N/A,0,"Summary 95-96";"mins_per_day",#N/A,0,"Summary 95-96";"minutes1995",#N/A,0,"Summary 95-96";"rev_per_day",#N/A,0,"Summary 95-96";"view1995",#N/A,0,"Summary 95-96"}</definedName>
    <definedName name="wrrr" hidden="1" function="0" vbProcedure="0">{"arpm1995",#N/A,0,"Summary 95-96";"bus_long_distance",#N/A,0,"Summary 95-96";"mins_per_day",#N/A,0,"Summary 95-96";"minutes1995",#N/A,0,"Summary 95-96";"rev_per_day",#N/A,0,"Summary 95-96";"view1995",#N/A,0,"Summary 95-96"}</definedName>
    <definedName name="wr_1" hidden="1" function="0" vbProcedure="0">{"Cashflow chart",#N/A,1,"A";"Rev Assumptions",#N/A,1,"B";"Rev Reconcilliation 1",#N/A,1,"B";"Rev Reconcilliation 2",#N/A,1,"B";"exp 1",#N/A,1,"C";"exp 2",#N/A,1,"C";"exp3",#N/A,1,"C";"cap 1",#N/A,1,"D";"exp4",#N/A,1,"C";"cap 2",#N/A,1,"D";"cap 3",#N/A,1,"D";"inputs",#N/A,1,"E"}</definedName>
    <definedName name="wt" hidden="1" function="0" vbProcedure="0">{1,1,-1.25,-15.5,604.5,369,0,0,1,1,0,1,#N/A,1,#N/A,20.5555555555556,28.9285714285714,1,0,0,3,1,1,0,80,"Swvu.summary1.","ACwvu.summary1.",#N/A,0,0,0.5,0.5,0.5,0.5,2,"&amp;F","&amp;L&amp;D&amp;C&amp;A&amp;RPage &amp;P",1,0,0,0,1,50,#N/A,#N/A,"=R1C1:R55C31",0,#N/A,#N/A,0,0,1,1,600,600,0,0,1,1,1}</definedName>
    <definedName name="wtere" hidden="1" function="0" vbProcedure="0">{"arpm1995",#N/A,0,"Summary 95-96";"bus_long_distance",#N/A,0,"Summary 95-96";"mins_per_day",#N/A,0,"Summary 95-96";"minutes1995",#N/A,0,"Summary 95-96";"rev_per_day",#N/A,0,"Summary 95-96";"view1995",#N/A,0,"Summary 95-96"}</definedName>
    <definedName name="wvu.cash." hidden="1" function="0" vbProcedure="0">{1,1,-1.25,-15.5,456.75,279.75,0,0,1,1,0,1,18,1,199,6,3,4,1,1,3,1,1,1,100,"Swvu.cash.","ACwvu.cash.",1,0,0,0.511811023622047,0.511811023622047,0.511811023622047,0.511811023622047,1,"","",0,0,0,0,1,#N/A,1,1,#DIV/0!,0,"Rwvu.cash.",#N/A,0,0}</definedName>
    <definedName name="wvu.inputs._.raw._.data." hidden="1" function="0" vbProcedure="0">{1,1,-1.25,-15.5,604.5,369,0,0,1,1,0,1,83,1,38,4,5,4,1,1,3,1,1,1,75,"Swvu.inputs._.raw._.data.","ACwvu.inputs._.raw._.data.",#N/A,0,0,0.5,0.5,0.5,0.5,2,"&amp;F","&amp;A&amp;RPage &amp;P",0,0,0,0,1,60,#N/A,#N/A,"=R1C61:R53C89","=C1:C5",#N/A,#N/A,0,0,0,1,600,600,0,0,1,1,1}</definedName>
    <definedName name="wvu.profits." hidden="1" function="0" vbProcedure="0">{1,1,-1.25,-15.5,456.75,279.75,0,0,1,1,0,1,21,1,127,6,3,4,1,1,3,1,1,1,100,"Swvu.profits.","ACwvu.profits.",1,0,0,0.511811023622047,0.511811023622047,0.511811023622047,0.511811023622047,1,"","",0,0,0,0,1,#N/A,1,1,#DIV/0!,0,"Rwvu.profits.",#N/A,0,0}</definedName>
    <definedName name="wvu.summary1." hidden="1" function="0" vbProcedure="0">{1,1,-1.25,-15.5,604.5,369,0,0,1,1,0,1,#N/A,1,#N/A,20.5555555555556,28.9285714285714,1,0,0,3,1,1,0,80,"Swvu.summary1.","ACwvu.summary1.",#N/A,0,0,0.5,0.5,0.5,0.5,2,"&amp;F","&amp;L&amp;D&amp;C&amp;A&amp;RPage &amp;P",1,0,0,0,1,50,#N/A,#N/A,"=R1C1:R55C31",0,#N/A,#N/A,0,0,1,1,600,600,0,0,1,1,1}</definedName>
    <definedName name="wvu.summary2." hidden="1" function="0" vbProcedure="0">{1,1,-1.25,-15.5,604.5,369,0,0,1,1,0,1,#N/A,41,#N/A,20.5555555555556,27.0714285714286,1,0,0,3,1,1,0,80,"Swvu.summary2.","ACwvu.summary2.",#N/A,0,0,0.5,0.5,0.5,0.5,2,"&amp;F","&amp;A&amp;RPage &amp;P",1,0,0,0,1,50,#N/A,#N/A,"=R56C1:R103C31",0,#N/A,#N/A,0,0,1,1,600,600,0,0,1,1,1}</definedName>
    <definedName name="wvu.summary3." hidden="1" function="0" vbProcedure="0">{1,1,-1.25,-15.5,604.5,369,0,0,1,1,0,1,#N/A,91,#N/A,20.5555555555556,24.8571428571429,1,0,0,3,1,1,0,80,"Swvu.summary3.","ACwvu.summary3.",#N/A,0,0,0.5,0.5,0.5,0.5,2,"&amp;F","&amp;A&amp;RPage &amp;P",1,0,0,0,1,50,#N/A,#N/A,"=R104C1:R153C31",0,#N/A,#N/A,0,0,1,1,600,600,0,0,1,1,1}</definedName>
    <definedName name="wvu.summary4" hidden="1" function="0" vbProcedure="0">{1,1,-1.25,-15.5,604.5,369,0,0,1,1,0,1,#N/A,91,#N/A,20.5555555555556,24.8571428571429,1,0,0,3,1,1,0,80,"Swvu.summary3.","ACwvu.summary3.",#N/A,0,0,0.5,0.5,0.5,0.5,2,"&amp;F","&amp;A&amp;RPage &amp;P",1,0,0,0,1,50,#N/A,#N/A,"=R104C1:R153C31",0,#N/A,#N/A,0,0,1,1,600,600,0,0,1,1,1}</definedName>
    <definedName name="wvu.summary4." hidden="1" function="0" vbProcedure="0">{1,1,-1.25,-15.5,604.5,369,0,0,1,1,0,1,#N/A,1,#N/A,20.5555555555556,28.9285714285714,1,0,0,3,1,1,0,80,"Swvu.summary1.","ACwvu.summary1.",#N/A,0,0,0.5,0.5,0.5,0.5,2,"&amp;F","&amp;L&amp;D&amp;C&amp;A&amp;RPage &amp;P",1,0,0,0,1,50,#N/A,#N/A,"=R1C1:R55C31",0,#N/A,#N/A,0,0,1,1,600,600,0,0,1,1,1}</definedName>
    <definedName name="wvu.summary6" hidden="1" function="0" vbProcedure="0">{1,1,-1.25,-15.5,604.5,369,0,0,1,1,0,1,#N/A,41,#N/A,20.5555555555556,27.0714285714286,1,0,0,3,1,1,0,80,"Swvu.summary2.","ACwvu.summary2.",#N/A,0,0,0.5,0.5,0.5,0.5,2,"&amp;F","&amp;A&amp;RPage &amp;P",1,0,0,0,1,50,#N/A,#N/A,"=R56C1:R103C31",0,#N/A,#N/A,0,0,1,1,600,600,0,0,1,1,1}</definedName>
    <definedName name="wvu.turnover." hidden="1" function="0" vbProcedure="0">{1,1,-1.25,-15.5,456.75,279.75,0,0,1,1,0,1,8,1,4,6,3,4,1,1,3,1,1,1,100,"Swvu.turnover.","ACwvu.turnover.",1,0,0,0.511811023622047,0.511811023622047,0.511811023622047,0.511811023622047,1,"","",0,0,0,0,1,#N/A,1,1,#DIV/0!,0,"Rwvu.turnover.",#N/A,0,0}</definedName>
    <definedName name="ww" hidden="1" function="0" vbProcedure="0">{#N/A,#N/A,1,"RESUMEN ECON.";#N/A,#N/A,1,"Costos de R.H.";#N/A,#N/A,1,"COSTO HW";#N/A,#N/A,1,"CUADROS";#N/A,#N/A,1,"SCADA´s";#N/A,#N/A,1,"PRECIOS EQUIPOS"}</definedName>
    <definedName name="wwewrt" hidden="1" function="0" vbProcedure="0">{#N/A,#N/A,0,"RESUMEN ECON.";#N/A,#N/A,0,"Costos de R.H.";#N/A,#N/A,0,"COSTO HW";#N/A,#N/A,0,"CUADROS";#N/A,#N/A,0,"SCADA´s";#N/A,#N/A,0,"PRECIOS EQUIPOS"}</definedName>
    <definedName name="www" hidden="1" function="0" vbProcedure="0">{#N/A,"Foundation Health",0,"increm pf";#N/A,"FHP International",0,"increm pf";#N/A,"Healthsource",0,"increm pf";#N/A,"Humana",0,"increm pf";#N/A,"Oxford Health Plans",0,"increm pf";#N/A,"PacifiCare",0,"increm pf";#N/A,"United HealthCare",0,"increm pf";#N/A,"U.S. Healthcare",0,"increm pf";#N/A,"Value Health",0,"increm pf";#N/A,"WellPoint",0,"increm pf"}</definedName>
    <definedName name="www.nuevahoja." hidden="1" function="0" vbProcedure="0">{#N/A,#N/A,0,"CNS_ADJ";"Balance Consolidado",#N/A,0,"BCEC_CNS";#N/A,#N/A,0,"USGAAP_ADJ"}</definedName>
    <definedName name="x" hidden="1" function="0" vbProcedure="0">{#N/A,#N/A,0,"FY97";#N/A,#N/A,0,"FY98";#N/A,#N/A,0,"FY99";#N/A,#N/A,0,"FY00";#N/A,#N/A,0,"FY01"}</definedName>
    <definedName name="xvc" hidden="1" function="0" vbProcedure="0">{"FCB_ALL",#N/A,0,"FCB"}</definedName>
    <definedName name="xx" hidden="1" function="0" vbProcedure="0">{#N/A,#N/A,0,"Sheet1";#N/A,#N/A,0,"Sheet2";#N/A,#N/A,0,"Sheet3";#N/A,#N/A,0,"Sheet4";#N/A,#N/A,0,"Sheet5";#N/A,#N/A,0,"Sheet6"}</definedName>
    <definedName name="xxd" hidden="1" function="0" vbProcedure="0">{#N/A,#N/A,0,"Cashflow Analysis";#N/A,#N/A,0,"Sensitivity Analysis";#N/A,#N/A,0,"PV";#N/A,#N/A,0,"Pro Forma"}</definedName>
    <definedName name="xxd.2" hidden="1" function="0" vbProcedure="0">{#N/A,#N/A,0,"Cashflow Analysis";#N/A,#N/A,0,"Sensitivity Analysis";#N/A,#N/A,0,"PV";#N/A,#N/A,0,"Pro Forma"}</definedName>
    <definedName name="Z_36FD64AC_A8C7_11D2_BA96_C0180FD4674E_.wvu.PrintArea" hidden="1" function="0" vbProcedure="0">#REF!~#REF!</definedName>
    <definedName name="Z_702CE201_67EF_11D2_8E81_00104BCAECA1_.wvu.PrintTitles" hidden="1" function="0" vbProcedure="0">#REF!~#REF!</definedName>
    <definedName name="Z_7AA0BF31_4111_4E23_9D0D_CB55CEA6966E_.wvu.PrintArea" hidden="1" function="0" vbProcedure="0">#REF!~#REF!</definedName>
    <definedName name="Z_ADCF894C_DAFA_4BD3_BD21_89E33EBA8162_.wvu.PrintArea" hidden="1" function="0" vbProcedure="0">#REF!~#REF!</definedName>
    <definedName name="Z_C229C740_74EF_11D3_8C05_00105AA43A7F_.wvu.PrintTitles" hidden="1" function="0" vbProcedure="0">#REF!~#REF!</definedName>
    <definedName name="Z_C5D78028_30FA_4544_95A0_7A6B3E790E9F_.wvu.PrintArea" hidden="1" function="0" vbProcedure="0">#REF!~#REF!</definedName>
    <definedName name="Z_FCE1EA20_50AC_4599_9AE4_39031AF9A32C_.wvu.PrintArea" hidden="1" function="0" vbProcedure="0">#REF!~#REF!</definedName>
    <definedName name="\" hidden="1" function="0" vbProcedure="0">{"kricash",#N/A,0,"INC";"kriinc",#N/A,0,"INC";"krimiami",#N/A,0,"INC";"kriother",#N/A,0,"INC";"kripapers",#N/A,0,"INC"}</definedName>
    <definedName name="_1__FDSAUDITLINK__" hidden="1" function="0" vbProcedure="0">{"fdsup://directions/FAT Viewer?action=UPDATE&amp;creator=factset&amp;DYN_ARGS=TRUE&amp;DOC_NAME=FAT:FQL_AUDITING_CLIENT_TEMPLATE.FAT&amp;display_string=Audit&amp;VAR:KEY=YXKJUNQROF&amp;VAR:QUERY=RkZfRUJJVERBX09QRVIoQU5OLDEyLzMxLzIwMDgsMTIvMzEvMjAxMCxGWSk=&amp;WINDOW=FIRST_POPUP&amp;HEIGH","T=450&amp;WIDTH=450&amp;START_MAXIMIZED=FALSE&amp;VAR:CALENDAR=US&amp;VAR:SYMBOL=PZA.UN&amp;VAR:INDEX=0"}</definedName>
    <definedName name="_2__FDSAUDITLINK__" hidden="1" function="0" vbProcedure="0">{"fdsup://directions/FAT Viewer?action=UPDATE&amp;creator=factset&amp;DYN_ARGS=TRUE&amp;DOC_NAME=FAT:FQL_AUDITING_CLIENT_TEMPLATE.FAT&amp;display_string=Audit&amp;VAR:KEY=WZETIXUZET&amp;VAR:QUERY=RkZfQ09HUyhBTk4sMTIvMzEvMjAwOCwxMi8zMS8yMDEwLEZZKQ==&amp;WINDOW=FIRST_POPUP&amp;HEIGHT=450&amp;WI","DTH=450&amp;START_MAXIMIZED=FALSE&amp;VAR:CALENDAR=US&amp;VAR:SYMBOL=PZA.UN&amp;VAR:INDEX=0"}</definedName>
    <definedName name="_3__FDSAUDITLINK__" hidden="1" function="0" vbProcedure="0">{"fdsup://Directions/FactSet Auditing Viewer?action=AUDIT_VALUE&amp;DB=129&amp;ID1=B0CVPN&amp;VALUEID=01001&amp;SDATE=2008&amp;PERIODTYPE=ANN_STD&amp;SCFT=3&amp;window=popup_no_bar&amp;width=385&amp;height=120&amp;START_MAXIMIZED=FALSE&amp;creator=factset&amp;display_string=Audit"}</definedName>
    <definedName name="_ADS1" hidden="1" function="0" vbProcedure="0">{"FCB_ALL",#N/A,0,"FCB"}</definedName>
    <definedName name="_as1" hidden="1" function="0" vbProcedure="0">{"FCB_ALL",#N/A,0,"FCB"}</definedName>
    <definedName name="_AS2" hidden="1" function="0" vbProcedure="0">{"FCB_ALL",#N/A,0,"FCB"}</definedName>
    <definedName name="_as3" hidden="1" function="0" vbProcedure="0">{"FCB_ALL",#N/A,0,"FCB"}</definedName>
    <definedName name="_AS4" hidden="1" function="0" vbProcedure="0">{"FCB_ALL",#N/A,0,"FCB"}</definedName>
    <definedName name="_as6" hidden="1" function="0" vbProcedure="0">{"FCB_ALL",#N/A,0,"FCB"}</definedName>
    <definedName name="_AS7" hidden="1" function="0" vbProcedure="0">{"FCB_ALL",#N/A,0,"FCB"}</definedName>
    <definedName name="_AtRisk_SimSetting_AutomaticallyGenerateReports" hidden="1" function="0" vbProcedure="0">FALSE()</definedName>
    <definedName name="_AtRisk_SimSetting_AutomaticResultsDisplayMode" hidden="1" function="0" vbProcedure="0">1</definedName>
    <definedName name="_AtRisk_SimSetting_ConvergenceConfidenceLevel" hidden="1" function="0" vbProcedure="0">0.95</definedName>
    <definedName name="_AtRisk_SimSetting_ConvergencePercentileToTest" hidden="1" function="0" vbProcedure="0">0.9</definedName>
    <definedName name="_AtRisk_SimSetting_ConvergencePerformMeanTest" hidden="1" function="0" vbProcedure="0">TRUE()</definedName>
    <definedName name="_AtRisk_SimSetting_ConvergencePerformPercentileTest" hidden="1" function="0" vbProcedure="0">FALSE()</definedName>
    <definedName name="_AtRisk_SimSetting_ConvergencePerformStdDeviationTest" hidden="1" function="0" vbProcedure="0">FALSE()</definedName>
    <definedName name="_AtRisk_SimSetting_ConvergenceTestAllOutputs" hidden="1" function="0" vbProcedure="0">TRUE()</definedName>
    <definedName name="_AtRisk_SimSetting_ConvergenceTestingPeriod" hidden="1" function="0" vbProcedure="0">100</definedName>
    <definedName name="_AtRisk_SimSetting_ConvergenceTolerance" hidden="1" function="0" vbProcedure="0">0.03</definedName>
    <definedName name="_AtRisk_SimSetting_LiveUpdate" hidden="1" function="0" vbProcedure="0">TRUE()</definedName>
    <definedName name="_AtRisk_SimSetting_LiveUpdatePeriod" hidden="1" function="0" vbProcedure="0">-1</definedName>
    <definedName name="_AtRisk_SimSetting_RandomNumberGenerator" hidden="1" function="0" vbProcedure="0">0</definedName>
    <definedName name="_AtRisk_SimSetting_ReportsList" hidden="1" function="0" vbProcedure="0">0</definedName>
    <definedName name="_AtRisk_SimSetting_SimNameCount" hidden="1" function="0" vbProcedure="0">0</definedName>
    <definedName name="_AtRisk_SimSetting_SmartSensitivityAnalysisEnabled" hidden="1" function="0" vbProcedure="0">TRUE()</definedName>
    <definedName name="_AtRisk_SimSetting_StatisticFunctionUpdating" hidden="1" function="0" vbProcedure="0">1</definedName>
    <definedName name="_AtRisk_SimSetting_StdRecalcBehavior" hidden="1" function="0" vbProcedure="0">0</definedName>
    <definedName name="_AtRisk_SimSetting_StdRecalcWithoutRiskStatic" hidden="1" function="0" vbProcedure="0">0</definedName>
    <definedName name="_AtRisk_SimSetting_StdRecalcWithoutRiskStaticPercentile" hidden="1" function="0" vbProcedure="0">0.5</definedName>
    <definedName name="_df1" hidden="1" function="0" vbProcedure="0">{#N/A,#N/A,0,"Calc";#N/A,#N/A,0,"Sensitivity";#N/A,#N/A,0,"LT Earn.Dil.";#N/A,#N/A,0,"Dil. AVP"}</definedName>
    <definedName name="_df2" hidden="1" function="0" vbProcedure="0">{#N/A,#N/A,0,"Calc";#N/A,#N/A,0,"Sensitivity";#N/A,#N/A,0,"LT Earn.Dil.";#N/A,#N/A,0,"Dil. AVP"}</definedName>
    <definedName name="_dfd1" hidden="1" function="0" vbProcedure="0">{"FCB_ALL",#N/A,0,"FCB";"GREY_ALL",#N/A,0,"GREY"}</definedName>
    <definedName name="_GSRATES_1" hidden="1" function="0" vbProcedure="0">"CT30000120060921        "</definedName>
    <definedName name="_GSRATES_COUNT" hidden="1" function="0" vbProcedure="0">1</definedName>
    <definedName name="_hd1" hidden="1" function="0" vbProcedure="0">{#N/A,#N/A,0,"Calc";#N/A,#N/A,0,"Sensitivity";#N/A,#N/A,0,"LT Earn.Dil.";#N/A,#N/A,0,"Dil. AVP"}</definedName>
    <definedName name="_hd2" hidden="1" function="0" vbProcedure="0">{#N/A,#N/A,0,"Calc";#N/A,#N/A,0,"Sensitivity";#N/A,#N/A,0,"LT Earn.Dil.";#N/A,#N/A,0,"Dil. AVP"}</definedName>
    <definedName name="_new1" hidden="1" function="0" vbProcedure="0">{#N/A,#N/A,1,"Sheet5 (4)";#N/A,#N/A,1,"Sheet10 (2)";#N/A,#N/A,1,"Sheet16 (2)"}</definedName>
    <definedName name="_OK2" hidden="1" function="0" vbProcedure="0">{#N/A,#N/A,0,"Cover";#N/A,#N/A,0,"LUMI";#N/A,#N/A,0,"COMD";#N/A,#N/A,0,"Valuation";#N/A,#N/A,0,"Assumptions";#N/A,#N/A,0,"Pooling";#N/A,#N/A,0,"BalanceSheet"}</definedName>
    <definedName name="_Order1" hidden="1" function="0" vbProcedure="0">255</definedName>
    <definedName name="_Order2" hidden="1" function="0" vbProcedure="0">255</definedName>
    <definedName name="_p1" hidden="1" function="0" vbProcedure="0">{"SUM",#N/A,0,"Details (2)"}</definedName>
    <definedName name="_PL2" hidden="1" function="0" vbProcedure="0">{#N/A,#N/A,0,"Quarterly P&amp;L Overview";#N/A,#N/A,0,"Industry or Geography P&amp;L Split";#N/A,#N/A,0,"P&amp;L Quarter Trends";#N/A,#N/A,0,"Risk Analysis (Exposure Report)";#N/A,#N/A,0,"SVS Generated Report";#N/A,#N/A,0,"P&amp;L Outlook Expense Detail";#N/A,#N/A,0,"Common Size P&amp;L";#N/A,#N/A,0,"Ratios";#N/A,#N/A,0,"Compensation Pool Results";#N/A,#N/A,0,"Balance Sheet";#N/A,#N/A,0,"Common Size Balance Sheet";#N/A,#N/A,0,"Contract Review";#N/A,#N/A,0,"BALANCED SCORECARD"}</definedName>
    <definedName name="_PL4" hidden="1" function="0" vbProcedure="0">{#N/A,#N/A,0,"Report Data";#N/A,#N/A,0,"COMP POOL";#N/A,#N/A,0,"COMP POOL NB95";#N/A,#N/A,0,"COMP POOL NB94"}</definedName>
    <definedName name="_PL5" hidden="1" function="0" vbProcedure="0">{#N/A,#N/A,0,"Quarterly P&amp;L Overview";#N/A,#N/A,0,"Industry or Geography P&amp;L Split";#N/A,#N/A,0,"P&amp;L Quarter Trends";#N/A,#N/A,0,"Risk Analysis (Exposure Report)";#N/A,#N/A,0,"SVS Generated Report";#N/A,#N/A,0,"P&amp;L Outlook Expense Detail";#N/A,#N/A,0,"Common Size P&amp;L";#N/A,#N/A,0,"Ratios";#N/A,#N/A,0,"Compensation Pool Results";#N/A,#N/A,0,"Balance Sheet";#N/A,#N/A,0,"Common Size Balance Sheet";#N/A,#N/A,0,"Contract Review";#N/A,#N/A,0,"BALANCED SCORECARD"}</definedName>
    <definedName name="_pp2" hidden="1" function="0" vbProcedure="0">{"Summary",#N/A,0,"Details (2)"}</definedName>
    <definedName name="_ppp1" hidden="1" function="0" vbProcedure="0">{"SUM",#N/A,0,"Details (2)"}</definedName>
    <definedName name="_q2" hidden="1" function="0" vbProcedure="0">{"Summary",#N/A,0,"Details (2)"}</definedName>
    <definedName name="_q3" hidden="1" function="0" vbProcedure="0">{"SUM",#N/A,0,"Details (2)"}</definedName>
    <definedName name="_q4" hidden="1" function="0" vbProcedure="0">{"Summary",#N/A,0,"Details (2)"}</definedName>
    <definedName name="_q5" hidden="1" function="0" vbProcedure="0">{"SUM",#N/A,0,"Details (2)"}</definedName>
    <definedName name="_sop3" hidden="1" function="0" vbProcedure="0">{"data",#N/A,0,"client (3)";"margins",#N/A,0,"client (3)";"multiple",#N/A,0,"client (3)"}</definedName>
    <definedName name="_t2" hidden="1" function="0" vbProcedure="0">{"'Sheet1'!$A$5:$G$42"}</definedName>
    <definedName name="_t9" hidden="1" function="0" vbProcedure="0">{#N/A,#N/A,1,"FD II Portfolio Summary";#N/A,#N/A,1,"Fund II BV";#N/A,#N/A,1,"Fund II FV";#N/A,#N/A,1,"JRI";#N/A,#N/A,1,"NDS";#N/A,#N/A,1,"Weasler";#N/A,#N/A,1,"Stronghaven";#N/A,#N/A,1,"Connor";#N/A,#N/A,1,"Docu";#N/A,#N/A,1,"HWC";#N/A,#N/A,1,"Temple";#N/A,#N/A,1,"FD III Port Summ";#N/A,#N/A,1,"Fund III BV ";#N/A,#N/A,1,"Fund III MV ";#N/A,#N/A,1,"Beacon";#N/A,#N/A,1,"CII";#N/A,#N/A,1,"MCA";#N/A,#N/A,1,"Elm";#N/A,#N/A,1,"Tharco";#N/A,#N/A,1,"Dee H";#N/A,#N/A,1,"Globe";#N/A,#N/A,1,"Hunt Valve";#N/A,#N/A,1,"KBA";#N/A,#N/A,1,"Glassmaster";#N/A,#N/A,1,"MLS";#N/A,#N/A,1,"CBSA";#N/A,#N/A,1,"ACE";#N/A,#N/A,1,"United Central";#N/A,#N/A,1,"Jakel";#N/A,#N/A,1,"Lake City ";#N/A,#N/A,1,"FD IV Portfolio Summary ";#N/A,#N/A,1,"BV Valuation";#N/A,#N/A,1,"Western";#N/A,#N/A,1,"Kranson";#N/A,#N/A,1,"ARC";#N/A,#N/A,1,"Precise"}</definedName>
    <definedName name="_UNDO31X31X_" hidden="1" function="0" vbProcedure="0">'NWC | Adjusted'!$BF$11:$BF$25</definedName>
    <definedName name="_UNDO_UPS_" hidden="1" function="0" vbProcedure="0">'Lost customers'!$BA$1002:$CU$1002</definedName>
    <definedName name="_UNDO_UPS_SEL_" hidden="1" function="0" vbProcedure="0">'Lost customers'!$BA$1002:$CU$1002</definedName>
    <definedName name="_v2" hidden="1" function="0" vbProcedure="0">{"arpm1995",#N/A,0,"Summary 95-96";"bus_long_distance",#N/A,0,"Summary 95-96";"mins_per_day",#N/A,0,"Summary 95-96";"minutes1995",#N/A,0,"Summary 95-96";"rev_per_day",#N/A,0,"Summary 95-96";"view1995",#N/A,0,"Summary 95-96"}</definedName>
    <definedName name="_ver1" hidden="1" function="0" vbProcedure="0">{#N/A,#N/A,0,"Quarterly P&amp;L Overview";#N/A,#N/A,0,"Industry or Geography P&amp;L Split";#N/A,#N/A,0,"P&amp;L Quarter Trends";#N/A,#N/A,0,"Risk Analysis (Exposure Report)";#N/A,#N/A,0,"SVS Generated Report";#N/A,#N/A,0,"P&amp;L Outlook Expense Detail";#N/A,#N/A,0,"Common Size P&amp;L";#N/A,#N/A,0,"Ratios";#N/A,#N/A,0,"Compensation Pool Results";#N/A,#N/A,0,"Balance Sheet";#N/A,#N/A,0,"Common Size Balance Sheet";#N/A,#N/A,0,"Contract Review";#N/A,#N/A,0,"BALANCED SCORECARD"}</definedName>
    <definedName name="_wrn1" hidden="1" function="0" vbProcedure="0">{"FCB_ALL",#N/A,0,"FCB"}</definedName>
    <definedName name="_wrn2" hidden="1" function="0" vbProcedure="0">{#N/A,#N/A,0,"ASSUMPTIONS";#N/A,#N/A,0,"Valuation Summary";"page1",#N/A,0,"PRESENTATION";"page2",#N/A,0,"PRESENTATION";#N/A,#N/A,0,"ORIGINAL_ROLLBACK"}</definedName>
    <definedName name="_wrn3" hidden="1" function="0" vbProcedure="0">{#N/A,#N/A,0,"ASSUMPTIONS";#N/A,#N/A,0,"Valuation Summary";"page1",#N/A,0,"PRESENTATION";"page2",#N/A,0,"PRESENTATION";#N/A,#N/A,0,"ORIGINAL_ROLLBACK"}</definedName>
    <definedName name="_wrn9" hidden="1" function="0" vbProcedure="0">{"FCB_ALL",#N/A,0,"FCB"}</definedName>
    <definedName name="_X1" hidden="1" function="0" vbProcedure="0">{"Summary",#N/A,0,"Details (2)"}</definedName>
    <definedName name="_Zcomps1" hidden="1" function="0" vbProcedure="0">{0,0,0,0,1,-4105,42.5196850393701,42.5196850393701,42.5196850393701,42.5196850393701,2,1,1,0,0,0,#N/A,1,85,1,1,"","","","&amp;""Kennerly,Roman Bold""&amp;14L&amp;12EHMAN &amp;14 B&amp;12ROTHERS","","",0}</definedName>
    <definedName name="_Zcomps2" hidden="1" function="0" vbProcedure="0">{0,0,0,0,1,-4105,28.3464566929134,28.3464566929134,28.346456664,28.3464566929134,2,1,1,0,0,0,#N/A,1,85,1,2,"","","","&amp;""Kennerly,Roman Bold""&amp;14L&amp;12EHMAN &amp;14 B&amp;12ROTHERS","","",0}</definedName>
    <definedName name="__FDS_HYPERLINK_TOGGLE_STATE__" hidden="1" function="0" vbProcedure="0">"ON"</definedName>
    <definedName name="__IntlFixup" hidden="1" function="0" vbProcedure="0">TRUE()</definedName>
    <definedName name="__p1" hidden="1" function="0" vbProcedure="0">{"SUM",#N/A,0,"Details (2)"}</definedName>
    <definedName name="__pp2" hidden="1" function="0" vbProcedure="0">{"Summary",#N/A,0,"Details (2)"}</definedName>
    <definedName name="__ppp1" hidden="1" function="0" vbProcedure="0">{"SUM",#N/A,0,"Details (2)"}</definedName>
    <definedName name="__q2" hidden="1" function="0" vbProcedure="0">{"Summary",#N/A,0,"Details (2)"}</definedName>
    <definedName name="__q3" hidden="1" function="0" vbProcedure="0">{"SUM",#N/A,0,"Details (2)"}</definedName>
    <definedName name="__q4" hidden="1" function="0" vbProcedure="0">{"Summary",#N/A,0,"Details (2)"}</definedName>
    <definedName name="__q5" hidden="1" function="0" vbProcedure="0">{"SUM",#N/A,0,"Details (2)"}</definedName>
    <definedName name="__t2" hidden="1" function="0" vbProcedure="0">{"'Sheet1'!$A$5:$G$42"}</definedName>
    <definedName name="__v2" hidden="1" function="0" vbProcedure="0">{"arpm1995",#N/A,0,"Summary 95-96";"bus_long_distance",#N/A,0,"Summary 95-96";"mins_per_day",#N/A,0,"Summary 95-96";"minutes1995",#N/A,0,"Summary 95-96";"rev_per_day",#N/A,0,"Summary 95-96";"view1995",#N/A,0,"Summary 95-96"}</definedName>
    <definedName name="__WHO2" hidden="1" function="0" vbProcedure="0">{#N/A,#N/A,0,"SUMMARY";#N/A,#N/A,0,"DETAIL";#N/A,#N/A,0,"VARIANCE"}</definedName>
    <definedName name="__wrn2" hidden="1" function="0" vbProcedure="0">{#N/A,#N/A,0,"ASSUMPTIONS";#N/A,#N/A,0,"Valuation Summary";"page1",#N/A,0,"PRESENTATION";"page2",#N/A,0,"PRESENTATION";#N/A,#N/A,0,"ORIGINAL_ROLLBACK"}</definedName>
    <definedName name="__wrn3" hidden="1" function="0" vbProcedure="0">{#N/A,#N/A,0,"ASSUMPTIONS";#N/A,#N/A,0,"Valuation Summary";"page1",#N/A,0,"PRESENTATION";"page2",#N/A,0,"PRESENTATION";#N/A,#N/A,0,"ORIGINAL_ROLLBACK"}</definedName>
    <definedName name="__X1" hidden="1" function="0" vbProcedure="0">{"Summary",#N/A,0,"Details (2)"}</definedName>
    <definedName name="__xlfn.IFERROR" hidden="1" function="0" vbProcedure="0">{#NAME?}</definedName>
    <definedName name="___t2" hidden="1" function="0" vbProcedure="0">{"'Sheet1'!$A$5:$G$42"}</definedName>
    <definedName name="___wrn2" hidden="1" function="0" vbProcedure="0">{#N/A,#N/A,0,"ASSUMPTIONS";#N/A,#N/A,0,"Valuation Summary";"page1",#N/A,0,"PRESENTATION";"page2",#N/A,0,"PRESENTATION";#N/A,#N/A,0,"ORIGINAL_ROLLBACK"}</definedName>
    <definedName name="___wrn3" hidden="1" function="0" vbProcedure="0">{#N/A,#N/A,0,"ASSUMPTIONS";#N/A,#N/A,0,"Valuation Summary";"page1",#N/A,0,"PRESENTATION";"page2",#N/A,0,"PRESENTATION";#N/A,#N/A,0,"ORIGINAL_ROLLBACK"}</definedName>
    <definedName name="____t2" hidden="1" function="0" vbProcedure="0">{"'Sheet1'!$A$5:$G$42"}</definedName>
    <definedName name="____WHO2" hidden="1" function="0" vbProcedure="0">{#N/A,#N/A,0,"SUMMARY";#N/A,#N/A,0,"DETAIL";#N/A,#N/A,0,"VARIANCE"}</definedName>
    <definedName name="____wr3" hidden="1" function="0" vbProcedure="0">{#N/A,#N/A,0,"ASSUMPTIONS";#N/A,#N/A,0,"Valuation Summary";"page1",#N/A,0,"PRESENTATION";"page2",#N/A,0,"PRESENTATION";#N/A,#N/A,0,"ORIGINAL_ROLLBACK"}</definedName>
    <definedName name="____wrn2" hidden="1" function="0" vbProcedure="0">{#N/A,#N/A,0,"ASSUMPTIONS";#N/A,#N/A,0,"Valuation Summary";"page1",#N/A,0,"PRESENTATION";"page2",#N/A,0,"PRESENTATION";#N/A,#N/A,0,"ORIGINAL_ROLLBACK"}</definedName>
    <definedName name="____wrn3" hidden="1" function="0" vbProcedure="0">{#N/A,#N/A,0,"ASSUMPTIONS";#N/A,#N/A,0,"Valuation Summary";"page1",#N/A,0,"PRESENTATION";"page2",#N/A,0,"PRESENTATION";#N/A,#N/A,0,"ORIGINAL_ROLLBACK"}</definedName>
    <definedName name="_____t2" hidden="1" function="0" vbProcedure="0">{"'Sheet1'!$A$5:$G$42"}</definedName>
    <definedName name="_____wrn2" hidden="1" function="0" vbProcedure="0">{#N/A,#N/A,0,"ASSUMPTIONS";#N/A,#N/A,0,"Valuation Summary";"page1",#N/A,0,"PRESENTATION";"page2",#N/A,0,"PRESENTATION";#N/A,#N/A,0,"ORIGINAL_ROLLBACK"}</definedName>
    <definedName name="_____wrn3" hidden="1" function="0" vbProcedure="0">{#N/A,#N/A,0,"ASSUMPTIONS";#N/A,#N/A,0,"Valuation Summary";"page1",#N/A,0,"PRESENTATION";"page2",#N/A,0,"PRESENTATION";#N/A,#N/A,0,"ORIGINAL_ROLLBACK"}</definedName>
    <definedName name="______t2" hidden="1" function="0" vbProcedure="0">{"'Sheet1'!$A$5:$G$42"}</definedName>
    <definedName name="______WHO2" hidden="1" function="0" vbProcedure="0">{#N/A,#N/A,0,"SUMMARY";#N/A,#N/A,0,"DETAIL";#N/A,#N/A,0,"VARIANCE"}</definedName>
    <definedName name="______wrn2" hidden="1" function="0" vbProcedure="0">{"arpm1995",#N/A,0,"Summary 95-96";"bus_long_distance",#N/A,0,"Summary 95-96";"mins_per_day",#N/A,0,"Summary 95-96";"minutes1995",#N/A,0,"Summary 95-96";"rev_per_day",#N/A,0,"Summary 95-96";"view1995",#N/A,0,"Summary 95-96"}</definedName>
    <definedName name="_______t2" hidden="1" function="0" vbProcedure="0">{"'Sheet1'!$A$5:$G$42"}</definedName>
    <definedName name="_______wrn2" hidden="1" function="0" vbProcedure="0">{"arpm1995",#N/A,0,"Summary 95-96";"bus_long_distance",#N/A,0,"Summary 95-96";"mins_per_day",#N/A,0,"Summary 95-96";"minutes1995",#N/A,0,"Summary 95-96";"rev_per_day",#N/A,0,"Summary 95-96";"view1995",#N/A,0,"Summary 95-96"}</definedName>
    <definedName name="________t2" hidden="1" function="0" vbProcedure="0">{"'Sheet1'!$A$5:$G$42"}</definedName>
    <definedName name="________wrn2" hidden="1" function="0" vbProcedure="0">{"arpm1995",#N/A,0,"Summary 95-96";"bus_long_distance",#N/A,0,"Summary 95-96";"mins_per_day",#N/A,0,"Summary 95-96";"minutes1995",#N/A,0,"Summary 95-96";"rev_per_day",#N/A,0,"Summary 95-96";"view1995",#N/A,0,"Summary 95-96"}</definedName>
    <definedName name="_________t2" hidden="1" function="0" vbProcedure="0">{"'Sheet1'!$A$5:$G$42"}</definedName>
    <definedName name="_________wrn2" hidden="1" function="0" vbProcedure="0">{"arpm1995",#N/A,0,"Summary 95-96";"bus_long_distance",#N/A,0,"Summary 95-96";"mins_per_day",#N/A,0,"Summary 95-96";"minutes1995",#N/A,0,"Summary 95-96";"rev_per_day",#N/A,0,"Summary 95-96";"view1995",#N/A,0,"Summary 95-96"}</definedName>
    <definedName name="__________t2" hidden="1" function="0" vbProcedure="0">{"'Sheet1'!$A$5:$G$42"}</definedName>
    <definedName name="__________wrn2" hidden="1" function="0" vbProcedure="0">{"arpm1995",#N/A,0,"Summary 95-96";"bus_long_distance",#N/A,0,"Summary 95-96";"mins_per_day",#N/A,0,"Summary 95-96";"minutes1995",#N/A,0,"Summary 95-96";"rev_per_day",#N/A,0,"Summary 95-96";"view1995",#N/A,0,"Summary 95-96"}</definedName>
    <definedName name="____________t2" hidden="1" function="0" vbProcedure="0">{"'Sheet1'!$A$5:$G$42"}</definedName>
    <definedName name="____________wrn2" hidden="1" function="0" vbProcedure="0">{"arpm1995",#N/A,0,"Summary 95-96";"bus_long_distance",#N/A,0,"Summary 95-96";"mins_per_day",#N/A,0,"Summary 95-96";"minutes1995",#N/A,0,"Summary 95-96";"rev_per_day",#N/A,0,"Summary 95-96";"view1995",#N/A,0,"Summary 95-96"}</definedName>
    <definedName name="_____________t2" hidden="1" function="0" vbProcedure="0">{"'Sheet1'!$A$5:$G$42"}</definedName>
    <definedName name="_____________wrn2" hidden="1" function="0" vbProcedure="0">{"arpm1995",#N/A,0,"Summary 95-96";"bus_long_distance",#N/A,0,"Summary 95-96";"mins_per_day",#N/A,0,"Summary 95-96";"minutes1995",#N/A,0,"Summary 95-96";"rev_per_day",#N/A,0,"Summary 95-96";"view1995",#N/A,0,"Summary 95-96"}</definedName>
    <definedName name="ctl_monthly_period_count">'_Sys|Config'!$B$2</definedName>
    <definedName name="ctl_month_start">'_Sys|Config'!$B$3</definedName>
    <definedName name="ctl_tolerance_abs">'_Sys|Config'!$B$4</definedName>
    <definedName name="ctl_tolerance_pct">'_Sys|Config'!$B$5</definedName>
    <definedName name="ctl_project_name">'_Sys|Config'!$B$6</definedName>
    <definedName name="LOCAL_MYSQL_DATE_FORMAT" localSheetId="3" hidden="1" function="0" vbProcedure="0">REPT(LOCAL_YEAR_FORMAT,4)&amp;LOCAL_DATE_SEPARATOR&amp;REPT(LOCAL_MONTH_FORMAT,2)&amp;LOCAL_DATE_SEPARATOR&amp;REPT(LOCAL_DAY_FORMAT,2)&amp;" "&amp;REPT(LOCAL_HOUR_FORMAT,2)&amp;LOCAL_TIME_SEPARATOR&amp;REPT(LOCAL_MINUTE_FORMAT,2)&amp;LOCAL_TIME_SEPARATOR&amp;REPT(LOCAL_SECOND_FORMAT,2)</definedName>
    <definedName name="PB" localSheetId="3" hidden="1" function="0" vbProcedure="0">REPT(LOCAL_YEAR_FORMAT,4)&amp;LOCAL_DATE_SEPARATOR&amp;REPT(LOCAL_MONTH_FORMAT,2)&amp;LOCAL_DATE_SEPARATOR&amp;REPT(LOCAL_DAY_FORMAT,2)&amp;" "&amp;REPT(LOCAL_HOUR_FORMAT,2)&amp;LOCAL_TIME_SEPARATOR&amp;REPT(LOCAL_MINUTE_FORMAT,2)&amp;LOCAL_TIME_SEPARATOR&amp;REPT(LOCAL_SECOND_FORMAT,2)</definedName>
    <definedName name="_EXPORT31_1_439456065917.537741_456065917.537741" localSheetId="3" hidden="1" function="0" vbProcedure="0">'QofE | Bridge'!$C$110:$H$121</definedName>
    <definedName name="_EXPORT31_1_4603460232598.763499_461963887.345742" localSheetId="3" hidden="1" function="0" vbProcedure="0">'QofE | Bridge'!$C$7:$AG$96</definedName>
    <definedName name="_EXPORT31_1_4913459457254.784648_459457254.784648" localSheetId="3" hidden="1" function="0" vbProcedure="0">'QofE | Bridge'!$C$110:$I$121</definedName>
    <definedName name="_EXPORT31_1_5809456065950.38587_456698003.916561" localSheetId="3" hidden="1" function="0" vbProcedure="0">'QofE | Bridge'!$C$110:$H$122</definedName>
    <definedName name="_EXPORT31_1_888459449697.535785_459457082.640847" localSheetId="3" hidden="1" function="0" vbProcedure="0">'QofE | Bridge'!$C$7:$I$96</definedName>
    <definedName name="_EXPORT31_1_9796455900563.019806_457223275.578646" localSheetId="3" hidden="1" function="0" vbProcedure="0">'QofE | Bridge'!$C$7:$H$96</definedName>
    <definedName name="_EXPORT31_4_1102456073377.55421_456073377.55421" localSheetId="3" hidden="1" function="0" vbProcedure="0">'QofE | Bridge'!$J$95</definedName>
    <definedName name="_EXPORT31_1_1119456016671.759474_459448961.206692" localSheetId="4" hidden="1" function="0" vbProcedure="0">'QofE | Summary'!$C$7:$G$25</definedName>
    <definedName name="_EXPORT31_1_2459459442073.161405_461963397.056453" localSheetId="4" hidden="1" function="0" vbProcedure="0">'QofE | Summary'!$C$7:$H$25</definedName>
    <definedName name="_EXPORT31_1_7968456511019.586891_456598968.771345" localSheetId="4" hidden="1" function="0" vbProcedure="0">'QofE | Summary'!$C$8:$G$25</definedName>
    <definedName name="_UpSlideHiddenState2459459442073.161405_28f9b3c725ce40eeb57a25a0cda2c4dd" localSheetId="4" hidden="1" function="0" vbProcedure="0">'QofE | Summary'!$C$13:$H$13~'QofE | Summary'!$G$7:$G$25</definedName>
    <definedName name="_UpSlideHiddenState5562455880172.455196_e62157b2be04401f97282e6573d40c40" localSheetId="4" hidden="0" function="0" vbProcedure="0">'QofE | Summary'!$C$15:$G$20</definedName>
    <definedName name="_EXPORT31_1_2533459457312.093633_460836684.195846" localSheetId="5" hidden="1" function="0" vbProcedure="0">'QofE | Detail'!$C$109:$AY$120</definedName>
    <definedName name="_EXPORT31_1_439456065917.537741_456065917.537741" localSheetId="5" hidden="1" function="0" vbProcedure="0">'QofE | Detail'!$C$109:$AX$119</definedName>
    <definedName name="_EXPORT31_1_4913459457254.784648_459457254.784648" localSheetId="5" hidden="1" function="0" vbProcedure="0">'QofE | Detail'!$C$109:$AY$119</definedName>
    <definedName name="_EXPORT31_1_5809456065950.38587_456698003.916561" localSheetId="5" hidden="1" function="0" vbProcedure="0">'QofE | Detail'!$C$109:$AX$120</definedName>
    <definedName name="_EXPORT31_1_888459449697.535785_461963536.497509" localSheetId="5" hidden="1" function="0" vbProcedure="0">'QofE | Detail'!$C$7:$AY$95</definedName>
    <definedName name="_EXPORT31_1_9796455900563.019806_457223275.578646" localSheetId="5" hidden="1" function="0" vbProcedure="0">'QofE | Detail'!$C$7:$AX$95</definedName>
    <definedName name="_EXPORT31_4_1102456073377.55421_456073377.55421" localSheetId="5" hidden="1" function="0" vbProcedure="0">'QofE | Detail'!$AZ$94</definedName>
    <definedName name="_UpSlideHiddenState3236455881832.850582_d4c2b34a68eb4c389a11ec5cc7b7cad9" localSheetId="5" hidden="0" function="0" vbProcedure="0">'QofE | Detail'!$C$111:$AX$112~'QofE | Detail'!$E$109:$AR$119</definedName>
    <definedName name="_UpSlideHiddenState3929455881877.177754_b15a0a7aef494d24a82f1dd9699d280e" localSheetId="5" hidden="0" function="0" vbProcedure="0">'QofE | Detail'!$E$109:$AR$120</definedName>
    <definedName name="_UpSlideHiddenState6367455880772.367305_342de4c1f20d44428c8a07b0f6074095" localSheetId="5" hidden="0" function="0" vbProcedure="0">'QofE | Detail'!$C$10:$AX$13~'QofE | Detail'!$C$20:$AX$29~'QofE | Detail'!$C$40:$AX$45~'QofE | Detail'!$C$47:$AX$66~'QofE | Detail'!$C$73:$AX$82~'QofE | Detail'!$E$7:$AR$95</definedName>
    <definedName name="_UpSlideHiddenState6367455880772.367305_8de517a107114ef8874c27859ba8aaf1" localSheetId="5" hidden="0" function="0" vbProcedure="0">'QofE | Detail'!$C$20:$AX$29~'QofE | Detail'!$C$40:$AX$45~'QofE | Detail'!$C$47:$AX$66~'QofE | Detail'!$C$73:$AX$82~'QofE | Detail'!$E$7:$AR$95</definedName>
    <definedName name="_UpSlideHiddenState6367455880772.367305_8fd669e5a95448d0bb572126829d46d0" localSheetId="5" hidden="0" function="0" vbProcedure="0">'QofE | Detail'!$C$16:$AX$35~'QofE | Detail'!$C$40:$AX$45~'QofE | Detail'!$C$69:$AX$92~'QofE | Detail'!$E$7:$AR$95</definedName>
    <definedName name="_UpSlideHiddenState888459449697.535785_2f701a492e4d4601ad3f867effaa5b70" localSheetId="5" hidden="1" function="0" vbProcedure="0">'QofE | Detail'!$C$16:$AY$35~'QofE | Detail'!$C$38:$AY$38~'QofE | Detail'!$C$40:$AY$45~'QofE | Detail'!$C$60:$AY$61~'QofE | Detail'!$C$64:$AY$65~'QofE | Detail'!$C$69:$AY$92~'QofE | Detail'!$E$7:$AT$95~'QofE | Detail'!$AX$7:$AX$95</definedName>
    <definedName name="_UpSlideHiddenState888459449697.535785_79b246339dcd43449582309201ec5c96" localSheetId="5" hidden="1" function="0" vbProcedure="0">'QofE | Detail'!$C$10:$AY$13~'QofE | Detail'!$C$17:$AY$18~'QofE | Detail'!$C$20:$AY$29~'QofE | Detail'!$C$38:$AY$38~'QofE | Detail'!$C$40:$AY$45~'QofE | Detail'!$C$47:$AY$66~'QofE | Detail'!$C$70:$AY$71~'QofE | Detail'!$C$73:$AY$82~'QofE | Detail'!$E$7:$AT$95~'QofE | Detail'!$AX$7:$AX$95</definedName>
    <definedName name="_EXPORT31_1_1454461536982.730292_461962307.796211" localSheetId="7" hidden="1" function="0" vbProcedure="0">'Net debt'!$C$7:$I$34</definedName>
    <definedName name="_EXPORT31_1_8364456522183.615719_456522183.615719" localSheetId="7" hidden="1" function="0" vbProcedure="0">'Net debt'!$C$8:$H$34</definedName>
    <definedName name="_EXPORT31_1_8847455916255.030769_456481086.104202" localSheetId="7" hidden="1" function="0" vbProcedure="0">'Net debt'!$C$7:$H$34</definedName>
    <definedName name="_EXPORT31_4_4458455916378.264466_455916378.264466" localSheetId="7" hidden="1" function="0" vbProcedure="0">'Net debt'!$H$34</definedName>
    <definedName name="_EXPORT31_4_7090455916402.160618_455916409.8496" localSheetId="7" hidden="1" function="0" vbProcedure="0">'Net debt'!$J$34</definedName>
    <definedName name="_UpSlideHiddenState8847455916255.030769_67073fb5616e4d968a58fea9ef9f39a2" localSheetId="7" hidden="1" function="0" vbProcedure="0">'Net debt'!$C$10:$H$14~'Net debt'!$C$26:$H$31~'Net debt'!$C$17:$H$18~'Net debt'!$C$21:$H$22</definedName>
    <definedName name="_EXPORT31_1_3073456331643.517452_458321792.384462" localSheetId="9" hidden="1" function="0" vbProcedure="0">'Income statement'!$C$7:$AY$358</definedName>
    <definedName name="_UpSlideHiddenState1638455879732.84961_222254034b9c485f94f88aa2ba5ca714" localSheetId="9" hidden="0" function="0" vbProcedure="0">'Income statement'!$C$8:$AY$8~'Income statement'!$C$10:$AY$116~'Income statement'!$C$118:$AY$169~'Income statement'!$C$172:$AY$203~'Income statement'!$C$205:$AY$221~'Income statement'!$C$223:$AY$233~'Income statement'!$C$239:$AY$253~'Income statement'!$C$280:$AY$293~'Income statement'!$C$255:$AY$278~'Income statement'!$C$295:$AY$327~'Income statement'!$C$195:$AY$279~'Income statement'!$C$329:$AY$330~'Income statement'!$C$332:$AY$332~'Income statement'!$C$339:$AY$342~'Income statement'!$C$344:$AY$345~'Income statement'!$C$348:$AY$351~'Income statement'!$D$7:$AS$358</definedName>
    <definedName name="_UpSlideHiddenState1638455879732.84961_b3fec0a1a9834d1394b857858d8983c7" localSheetId="9" hidden="0" function="0" vbProcedure="0">'Income statement'!$C$8:$AY$8~'Income statement'!$C$10:$AY$29~'Income statement'!$C$31:$AY$37~'Income statement'!$C$39:$AY$62~'Income statement'!$C$64:$AY$67~'Income statement'!$C$69:$AY$78~'Income statement'!$C$80:$AY$89~'Income statement'!$C$91:$AY$100~'Income statement'!$C$102:$AY$103~'Income statement'!$C$105:$AY$108~'Income statement'!$C$110:$AY$111~'Income statement'!$C$113:$AY$115~'Income statement'!$C$118:$AY$169~'Income statement'!$C$172:$AY$203~'Income statement'!$C$205:$AY$221~'Income statement'!$C$223:$AY$233~'Income statement'!$C$239:$AY$253~'Income statement'!$C$280:$AY$293~'Income statement'!$C$255:$AY$278~'Income statement'!$C$295:$AY$327~'Income statement'!$C$195:$AY$279~'Income statement'!$C$329:$AY$330~'Income statement'!$C$332:$AY$332~'Income statement'!$C$339:$AY$342~'Income statement'!$C$344:$AY$345~'Income statement'!$C$348:$AY$351~'Income statement'!$D$7:$AS$358</definedName>
    <definedName name="_EXPORT31_1_188456494620.911234_456494620.911234" localSheetId="10" hidden="1" function="0" vbProcedure="0">'Balance sheet'!$C$7:$BD$185</definedName>
    <definedName name="_EXPORT31_1_306456331745.077004_458320587.963799" localSheetId="10" hidden="1" function="0" vbProcedure="0">'Balance sheet'!$C$7:$AY$185</definedName>
    <definedName name="_EXPORT31_1_9345459441269.142114_460150744.016965" localSheetId="10" hidden="1" function="0" vbProcedure="0">'Balance sheet'!$C$7:$AZ$185</definedName>
    <definedName name="_UpSlideHiddenState4849455879919.348801_d3bac1fbd2e24ed28d8bb5580a550e7e" localSheetId="10" hidden="0" function="0" vbProcedure="0">'Balance sheet'!$C$11:$AY$15~'Balance sheet'!$C$17:$AY$25~'Balance sheet'!$C$27:$AY$36~'Balance sheet'!$C$38:$AY$40~'Balance sheet'!$C$42:$AY$48~'Balance sheet'!$C$50:$AY$50~'Balance sheet'!$C$53:$AY$93~'Balance sheet'!$C$97:$AY$115~'Balance sheet'!$C$117:$AY$125~'Balance sheet'!$C$127:$AY$127~'Balance sheet'!$C$129:$AY$130~'Balance sheet'!$C$132:$AY$150~'Balance sheet'!$C$152:$AY$153~'Balance sheet'!$C$155:$AY$155~'Balance sheet'!$C$157:$AY$157~'Balance sheet'!$C$159:$AY$160~'Balance sheet'!$C$165:$AY$173~'Balance sheet'!$C$176:$AY$183~'Balance sheet'!$D$7:$AS$185</definedName>
    <definedName name="_xlnm._FilterDatabase" localSheetId="10" hidden="1">'Balance sheet'!$C$9:$E$185</definedName>
    <definedName name="_EXPORT31_1_1379456332002.359629_458405073.16646" localSheetId="11" hidden="1" function="0" vbProcedure="0">'Cash flow'!$C$7:$AY$192</definedName>
    <definedName name="_EXPORT31_1_4926459441333.005865_460150796.894595" localSheetId="11" hidden="1" function="0" vbProcedure="0">'Cash flow'!$C$7:$AZ$192</definedName>
    <definedName name="_EXPORT31_1_5228456602986.019564_456953601.692845" localSheetId="11" hidden="1" function="0" vbProcedure="0">'Cash flow'!$C$7:$AY$196</definedName>
    <definedName name="_EXPORT31_1_6893459639601.62007_460176154.157132" localSheetId="11" hidden="1" function="0" vbProcedure="0">'Cash flow'!$C$7:$AZ$196</definedName>
    <definedName name="_UpSlideHiddenState2883455879974.556075_644a3c91a4cd4bdd808bb2eb95f66e26" localSheetId="11" hidden="0" function="0" vbProcedure="0">'Cash flow'!$C$11:$AY$29~'Cash flow'!$C$31:$AY$139~'Cash flow'!$C$143:$AY$146~'Cash flow'!$C$148:$AY$159~'Cash flow'!$C$161:$AY$163~'Cash flow'!$C$165:$AY$165~'Cash flow'!$C$169:$AY$172~'Cash flow'!$C$174:$AY$177~'Cash flow'!$C$179:$AY$180~'Cash flow'!$C$182:$AY$185~'Cash flow'!$C$187:$AY$187~'Cash flow'!$D$7:$AV$192</definedName>
    <definedName name="_EXPORT31_1_5055459639406.38255_460605314.831654" localSheetId="13" hidden="1" function="0" vbProcedure="0">'IS | Payroll costs'!$C$7:$AZ$69</definedName>
    <definedName name="_EXPORT31_1_6510456499322.884378_456593810.816024" localSheetId="13" hidden="1" function="0" vbProcedure="0">'IS | Payroll costs'!$C$7:$AY$69</definedName>
    <definedName name="_UpSlideHiddenState816455883974.175834_3e6f490707e8488e8797c5da87789a0a" localSheetId="13" hidden="0" function="0" vbProcedure="0">'IS | Payroll costs'!$C$10:$AY$13~'IS | Payroll costs'!$C$15:$AY$16~'IS | Payroll costs'!$C$18:$AY$21~'IS | Payroll costs'!$C$23:$AY$31~'IS | Payroll costs'!$C$33:$AY$33~'IS | Payroll costs'!$C$35:$AY$35~'IS | Payroll costs'!$D$7:$AS$69</definedName>
    <definedName name="_UpSlideHiddenState816455883974.175834_748ad759729e47d78695af5e51ce2d75" localSheetId="13" hidden="0" function="0" vbProcedure="0">'IS | Payroll costs'!$C$10:$AY$13~'IS | Payroll costs'!$C$15:$AY$16~'IS | Payroll costs'!$C$18:$AY$21~'IS | Payroll costs'!$C$23:$AY$31~'IS | Payroll costs'!$C$33:$AY$33~'IS | Payroll costs'!$C$35:$AY$35~'IS | Payroll costs'!$C$50:$AY$55~'IS | Payroll costs'!$D$7:$AS$69</definedName>
    <definedName name="_EXPORT31_1_171459638652.078828_459638652.078828" localSheetId="17" hidden="1" function="0" vbProcedure="0">'Revenue by customer group'!$C$7:$CT$21</definedName>
    <definedName name="_EXPORT31_1_8699456676003.862565_458333963.616438" localSheetId="17" hidden="1" function="0" vbProcedure="0">'Revenue by customer group'!$C$7:$CS$21</definedName>
    <definedName name="_EXPORT31_1_8551456696469.753049_457213415.963901" localSheetId="19" hidden="1" function="0" vbProcedure="0">'Recons | IS'!$C$7:$L$32</definedName>
    <definedName name="_UpSlideHiddenState1749455883402.957515_eb113c61782142ee9556511658db8f5a" localSheetId="19" hidden="0" function="0" vbProcedure="0">'Recons | IS'!$E$7:$E$32~'Recons | IS'!$H$7:$H$32~'Recons | IS'!$K$7:$K$32</definedName>
    <definedName name="_EXPORT31_1_7613456953423.286336_457213453.480821" localSheetId="20" hidden="1" function="0" vbProcedure="0">'Recons | BS'!$C$7:$L$40</definedName>
    <definedName name="_EXPORT31_1_4173456454587.928334_460837052.670596" localSheetId="21" hidden="1" function="0" vbProcedure="0">'Recon | Cash flow'!$C$7:$AD$43</definedName>
    <definedName name="_EXPORT31_1_2587456454933.024681_456616224.365743" localSheetId="22" hidden="1" function="0" vbProcedure="0">'Recon | Billings'!$C$7:$AY$65</definedName>
    <definedName name="_EXPORT31_1_33459622664.177303_461972387.500468" localSheetId="22" hidden="1" function="0" vbProcedure="0">'Recon | Billings'!$C$7:$AZ$65</definedName>
  </definedNames>
  <calcPr calcId="124519" fullCalcOnLoad="1" refMode="A1" iterate="0" iterateCount="100" iterateDelta="0.001"/>
</workbook>
</file>

<file path=xl/styles.xml><?xml version="1.0" encoding="utf-8"?>
<styleSheet xmlns="http://schemas.openxmlformats.org/spreadsheetml/2006/main">
  <numFmts count="43">
    <numFmt numFmtId="164" formatCode="mmmm\ yyyy"/>
    <numFmt numFmtId="165" formatCode="0.0%"/>
    <numFmt numFmtId="166" formatCode="mmm/yy"/>
    <numFmt numFmtId="167" formatCode="#,##0_);\(#,##0\);\-_);@"/>
    <numFmt numFmtId="168" formatCode="#,##0.0%_);\(#,##0.0%\);\-_);@"/>
    <numFmt numFmtId="169" formatCode="#,##0.0%_);\(#,##0.0\)%;\-_);@_)"/>
    <numFmt numFmtId="170" formatCode="_(* #,##0_);_(* \(#,##0\);_(* \-_);_(@_)"/>
    <numFmt numFmtId="171" formatCode="_(* #,##0_);_(* \(#,##0\);_(* \-??_);_(@_)"/>
    <numFmt numFmtId="172" formatCode="* _(#,##0_);* \(#,##0\);* _(\-_)"/>
    <numFmt numFmtId="173" formatCode="_ * #,##0_ ;_*&quot; (&quot;#,##0\);_ * \-_ ;_ @_ "/>
    <numFmt numFmtId="174" formatCode="#,##0.0%_);\(#,##0.0\)%;\-_);@"/>
    <numFmt numFmtId="175" formatCode="_ * #,##0_ ;_ * \(#,##0\)_ ;_ * \-_ ;_ @_ "/>
    <numFmt numFmtId="176" formatCode="_(* #,##0.0_);_(* \(#,##0.0\);_(* \-?_);_(@_)"/>
    <numFmt numFmtId="177" formatCode="#,##0.00%_);\(#,##0.00%\);\-_);@"/>
    <numFmt numFmtId="178" formatCode="_(* #,##0.00000_);_(* \(#,##0.00000\);_(* \-_);_(@_)"/>
    <numFmt numFmtId="179" formatCode="[$-409]d\-mmm\-yy;@"/>
    <numFmt numFmtId="180" formatCode="#,##0.00_);\(#,##0.00\);\-_);@"/>
    <numFmt numFmtId="181" formatCode="0.00000"/>
    <numFmt numFmtId="182" formatCode="0.0"/>
    <numFmt numFmtId="183" formatCode="0.000"/>
    <numFmt numFmtId="184" formatCode="0.0000"/>
    <numFmt numFmtId="185" formatCode="_(* #,##0.00_);_(* \(#,##0.00\);_(* \-??_);_(@_)"/>
    <numFmt numFmtId="186" formatCode="_(* #,##0.00_);_(* \(#,##0.00\);_(* \-_);_(@_)"/>
    <numFmt numFmtId="187" formatCode="dd/mm/yyyy"/>
    <numFmt numFmtId="188" formatCode="[$-409]mmm\-yy;@"/>
    <numFmt numFmtId="189" formatCode="_(* #,##0_);_(* \(#,##0\);_(* &quot; - &quot;_);_(@_)"/>
    <numFmt numFmtId="190" formatCode="#,##0.000_);\(#,##0.000\);\-_);@"/>
    <numFmt numFmtId="191" formatCode="#,###;\(#,###\);\-"/>
    <numFmt numFmtId="192" formatCode="#,##0.00000_);\(#,##0.00000\);\-_);@"/>
    <numFmt numFmtId="193" formatCode="#,##0.0000_);\(#,##0.0000\);\-_);@"/>
    <numFmt numFmtId="194" formatCode="dd/mmm"/>
    <numFmt numFmtId="195" formatCode="_(\$* #,##0.00_);_(\$* \(#,##0.00\);_(\$* \-??_);_(@_)"/>
    <numFmt numFmtId="196" formatCode="dd/mmm/yy"/>
    <numFmt numFmtId="197" formatCode="[$-409]dd\-mmm\-yy;@"/>
    <numFmt numFmtId="198" formatCode="#,##0%_);\(#,##0\)%;\-_);@_)"/>
    <numFmt numFmtId="199" formatCode="_ * #,##0.00_ ;_*&quot; (&quot;#,##0.00\);_ * \-_ ;_ @_ "/>
    <numFmt numFmtId="200" formatCode="\$#,##0_);[RED]&quot;($&quot;#,##0\)"/>
    <numFmt numFmtId="201" formatCode="_ * #,##0.0000_ ;_*&quot; (&quot;#,##0.0000\);_ * \-_ ;_ @_ "/>
    <numFmt numFmtId="202" formatCode="#,##0.0%_);\(#,##0.0%\);&quot; - &quot;_);@"/>
    <numFmt numFmtId="203" formatCode="_(* #,##0.0_);_(* \(#,##0.0\);_(* \-_);_(@_)"/>
    <numFmt numFmtId="204" formatCode="#,##0_);\(#,##0\);&quot; - &quot;_)"/>
    <numFmt numFmtId="205" formatCode="yyyy-mm-dd"/>
    <numFmt numFmtId="206" formatCode="_-* #,##0.00_-;\-* #,##0.00_-;_-* \-??_-;_-@_-"/>
  </numFmts>
  <fonts count="78">
    <font>
      <name val="Calibri"/>
      <family val="2"/>
      <color theme="1"/>
      <sz val="11"/>
    </font>
    <font>
      <name val="Arial"/>
      <family val="0"/>
      <sz val="10"/>
    </font>
    <font>
      <name val="Arial"/>
      <family val="0"/>
      <sz val="10"/>
    </font>
    <font>
      <name val="Arial"/>
      <family val="0"/>
      <sz val="10"/>
    </font>
    <font>
      <name val="Arial"/>
      <family val="2"/>
      <color theme="10"/>
      <sz val="8"/>
      <u val="single"/>
    </font>
    <font>
      <name val="Arial"/>
      <family val="2"/>
      <color theme="1"/>
      <sz val="8"/>
    </font>
    <font>
      <name val="Univers for KPMG"/>
      <family val="2"/>
      <color theme="1"/>
      <sz val="8"/>
    </font>
    <font>
      <name val="Arial"/>
      <family val="2"/>
      <sz val="8"/>
    </font>
    <font>
      <name val="Arial"/>
      <family val="2"/>
      <sz val="10"/>
    </font>
    <font>
      <name val="Microsoft Sans Serif"/>
      <family val="2"/>
      <color rgb="FF000000"/>
      <sz val="8.25"/>
    </font>
    <font>
      <name val="Segoe UI"/>
      <family val="2"/>
      <sz val="9"/>
    </font>
    <font>
      <name val="KPMG Bold"/>
      <family val="2"/>
      <color theme="1"/>
      <sz val="11"/>
    </font>
    <font>
      <name val="KPMG Extralight"/>
      <family val="2"/>
      <color rgb="FFFFFFFF"/>
      <sz val="22"/>
    </font>
    <font>
      <name val="KPMG Bold"/>
      <family val="2"/>
      <color theme="0"/>
      <sz val="60"/>
    </font>
    <font>
      <name val="KPMG Bold"/>
      <family val="2"/>
      <b val="1"/>
      <color rgb="FFC00000"/>
      <sz val="11"/>
    </font>
    <font>
      <name val="KPMG Bold"/>
      <family val="2"/>
      <b val="1"/>
      <color rgb="FFFFFFFF"/>
      <sz val="11"/>
    </font>
    <font>
      <name val="KPMG Bold"/>
      <family val="2"/>
      <b val="1"/>
      <color theme="0"/>
      <sz val="11"/>
    </font>
    <font>
      <name val="KPMG Bold"/>
      <family val="2"/>
      <b val="1"/>
      <color rgb="FFFFFFFF"/>
      <sz val="8"/>
    </font>
    <font>
      <name val="KPMG Bold"/>
      <family val="2"/>
      <color rgb="FF0091DA"/>
      <sz val="11"/>
    </font>
    <font>
      <name val="Arial"/>
      <family val="2"/>
      <color rgb="FF000000"/>
      <sz val="8"/>
    </font>
    <font>
      <name val="Arial"/>
      <family val="2"/>
      <color rgb="FF00338D"/>
      <sz val="8"/>
    </font>
    <font>
      <name val="Arial"/>
      <family val="2"/>
      <b val="1"/>
      <color rgb="FFFFFFFF"/>
      <sz val="8"/>
    </font>
    <font>
      <name val="Arial"/>
      <family val="2"/>
      <i val="1"/>
      <sz val="8"/>
    </font>
    <font>
      <name val="Arial"/>
      <family val="2"/>
      <b val="1"/>
      <color rgb="FF00338D"/>
      <sz val="8"/>
    </font>
    <font>
      <name val="Arial"/>
      <family val="2"/>
      <b val="1"/>
      <color rgb="FFC00000"/>
      <sz val="8"/>
    </font>
    <font>
      <name val="Arial"/>
      <family val="2"/>
      <i val="1"/>
      <color rgb="FF000000"/>
      <sz val="8"/>
    </font>
    <font>
      <name val="Arial"/>
      <family val="2"/>
      <i val="1"/>
      <color rgb="FFFF0000"/>
      <sz val="8"/>
    </font>
    <font>
      <name val="KPMG Bold"/>
      <family val="2"/>
      <color rgb="FF00338D"/>
      <sz val="18"/>
    </font>
    <font>
      <name val="Arial"/>
      <family val="2"/>
      <i val="1"/>
      <color rgb="FF000000"/>
      <sz val="9"/>
    </font>
    <font>
      <name val="Arial"/>
      <family val="2"/>
      <color rgb="FF000000"/>
      <sz val="7"/>
    </font>
    <font>
      <name val="Arial"/>
      <family val="2"/>
      <color rgb="FFFF0000"/>
      <sz val="8"/>
      <u val="single"/>
    </font>
    <font>
      <name val="Arial"/>
      <family val="2"/>
      <b val="1"/>
      <color theme="0"/>
      <sz val="8"/>
    </font>
    <font>
      <name val="Arial"/>
      <family val="2"/>
      <color theme="0"/>
      <sz val="8"/>
    </font>
    <font>
      <name val="Arial"/>
      <family val="2"/>
      <b val="1"/>
      <color rgb="FF0070C0"/>
      <sz val="8"/>
    </font>
    <font>
      <name val="Arial"/>
      <family val="2"/>
      <b val="1"/>
      <color rgb="FF000000"/>
      <sz val="8"/>
    </font>
    <font>
      <name val="Arial"/>
      <family val="2"/>
      <i val="1"/>
      <color theme="1"/>
      <sz val="8"/>
    </font>
    <font>
      <name val="Arial"/>
      <family val="2"/>
      <i val="1"/>
      <color rgb="FF0070C0"/>
      <sz val="8"/>
    </font>
    <font>
      <name val="Arial"/>
      <family val="2"/>
      <b val="1"/>
      <sz val="8"/>
    </font>
    <font>
      <name val="Arial"/>
      <family val="2"/>
      <b val="1"/>
      <color theme="1"/>
      <sz val="8"/>
    </font>
    <font>
      <name val="Arial"/>
      <family val="2"/>
      <b val="1"/>
      <color rgb="FFFF0000"/>
      <sz val="8"/>
    </font>
    <font>
      <name val="Arial"/>
      <family val="2"/>
      <b val="1"/>
      <i val="1"/>
      <color rgb="FF0070C0"/>
      <sz val="8"/>
    </font>
    <font>
      <name val="Arial"/>
      <family val="2"/>
      <b val="1"/>
      <color rgb="FF00338D"/>
      <sz val="9"/>
    </font>
    <font>
      <name val="Arial"/>
      <family val="2"/>
      <color rgb="FFFFFFFF"/>
      <sz val="7"/>
    </font>
    <font>
      <name val="Arial"/>
      <family val="2"/>
      <color rgb="FF00338D"/>
      <sz val="7"/>
    </font>
    <font>
      <name val="Arial"/>
      <family val="2"/>
      <color rgb="FF595959"/>
      <sz val="7"/>
    </font>
    <font>
      <name val="Calibri"/>
      <family val="2"/>
      <i val="1"/>
      <color theme="1"/>
      <sz val="11"/>
    </font>
    <font>
      <name val="Arial"/>
      <family val="2"/>
      <b val="1"/>
      <i val="1"/>
      <color rgb="FFFFFFFF"/>
      <sz val="8"/>
    </font>
    <font>
      <name val="Arial"/>
      <family val="2"/>
      <b val="1"/>
      <i val="1"/>
      <color rgb="FF000000"/>
      <sz val="8"/>
    </font>
    <font>
      <name val="Arial"/>
      <family val="2"/>
      <b val="1"/>
      <i val="1"/>
      <color theme="1"/>
      <sz val="8"/>
    </font>
    <font>
      <name val="Calibri"/>
      <family val="2"/>
      <color rgb="FF00338D"/>
      <sz val="8"/>
    </font>
    <font>
      <name val="Univers for KPMG"/>
      <family val="2"/>
      <b val="1"/>
      <color rgb="FFFFFFFF"/>
      <sz val="8"/>
    </font>
    <font>
      <name val="Arial"/>
      <family val="2"/>
      <b val="1"/>
      <color rgb="FFFFFFFF"/>
      <sz val="9"/>
    </font>
    <font>
      <name val="Arial"/>
      <family val="2"/>
      <i val="1"/>
      <color theme="1"/>
      <sz val="8"/>
      <u val="single"/>
    </font>
    <font>
      <name val="Arial"/>
      <family val="2"/>
      <color rgb="FF000000"/>
      <sz val="8"/>
      <u val="single"/>
    </font>
    <font>
      <name val="Arial"/>
      <family val="2"/>
      <sz val="8"/>
      <u val="single"/>
    </font>
    <font>
      <name val="Arial"/>
      <family val="2"/>
      <b val="1"/>
      <color rgb="FF002060"/>
      <sz val="9.6"/>
    </font>
    <font>
      <name val="Arial"/>
      <family val="2"/>
      <color rgb="FF0070C0"/>
      <sz val="8"/>
    </font>
    <font>
      <name val="Arial"/>
      <family val="2"/>
      <color theme="1"/>
      <sz val="8"/>
      <u val="single"/>
    </font>
    <font>
      <name val="Arial"/>
      <family val="2"/>
      <b val="1"/>
      <i val="1"/>
      <color theme="0"/>
      <sz val="8"/>
    </font>
    <font>
      <name val="Arial"/>
      <family val="2"/>
      <i val="1"/>
      <color theme="0"/>
      <sz val="8"/>
    </font>
    <font>
      <name val="Calibri"/>
      <family val="2"/>
      <color theme="0"/>
      <sz val="11"/>
    </font>
    <font>
      <name val="Arial"/>
      <family val="2"/>
      <i val="1"/>
      <sz val="9"/>
    </font>
    <font>
      <name val="Arial"/>
      <family val="2"/>
      <sz val="7"/>
    </font>
    <font>
      <name val="Arial"/>
      <family val="2"/>
      <color rgb="FF000000"/>
      <sz val="8"/>
      <vertAlign val="superscript"/>
    </font>
    <font>
      <name val="Arial"/>
      <family val="2"/>
      <color rgb="FFFF0000"/>
      <sz val="8"/>
    </font>
    <font>
      <name val="Arial"/>
      <family val="2"/>
      <sz val="8"/>
    </font>
    <font>
      <name val="Arial"/>
      <family val="2"/>
      <i val="1"/>
      <sz val="8"/>
    </font>
    <font>
      <name val="Arial"/>
      <family val="2"/>
      <b val="1"/>
      <i val="1"/>
      <sz val="8"/>
    </font>
    <font>
      <name val="Arial"/>
      <family val="2"/>
      <b val="1"/>
      <i val="1"/>
      <sz val="8"/>
    </font>
    <font>
      <name val="Arial"/>
      <family val="2"/>
      <color rgb="FF000000"/>
      <sz val="8"/>
    </font>
    <font>
      <name val="Arial"/>
      <family val="2"/>
      <i val="1"/>
      <color rgb="FFFF0000"/>
      <sz val="8"/>
      <u val="single"/>
    </font>
    <font>
      <name val="Arial"/>
      <family val="2"/>
      <b val="1"/>
      <i val="1"/>
      <color rgb="FFC00000"/>
      <sz val="8"/>
    </font>
    <font>
      <name val="Calibri"/>
      <family val="2"/>
      <b val="1"/>
      <color theme="1"/>
      <sz val="11"/>
    </font>
    <font>
      <name val="Tahoma"/>
      <family val="2"/>
      <color rgb="FF000000"/>
      <sz val="8"/>
    </font>
    <font>
      <name val="Arial"/>
      <family val="2"/>
      <b val="1"/>
      <color theme="1"/>
      <sz val="8"/>
      <u val="single"/>
    </font>
    <font>
      <name val="Arial"/>
      <family val="2"/>
      <sz val="9"/>
    </font>
    <font>
      <name val="Segoe UI"/>
      <family val="2"/>
      <i val="1"/>
      <sz val="9"/>
    </font>
    <font>
      <name val="Calibri"/>
      <b val="1"/>
      <sz val="10"/>
    </font>
  </fonts>
  <fills count="25">
    <fill>
      <patternFill/>
    </fill>
    <fill>
      <patternFill patternType="gray125"/>
    </fill>
    <fill>
      <patternFill patternType="solid">
        <fgColor rgb="FF00338D"/>
        <bgColor rgb="FF002060"/>
      </patternFill>
    </fill>
    <fill>
      <patternFill patternType="solid">
        <fgColor rgb="FF0091DA"/>
        <bgColor rgb="FF0070C0"/>
      </patternFill>
    </fill>
    <fill>
      <patternFill patternType="solid">
        <fgColor rgb="FFFFFFFF"/>
        <bgColor rgb="FFF2F2F2"/>
      </patternFill>
    </fill>
    <fill>
      <patternFill patternType="solid">
        <fgColor rgb="FF1E49E2"/>
        <bgColor rgb="FF0563C1"/>
      </patternFill>
    </fill>
    <fill>
      <patternFill patternType="solid">
        <fgColor rgb="FF00B8F5"/>
        <bgColor rgb="FF00B8FF"/>
      </patternFill>
    </fill>
    <fill>
      <patternFill patternType="solid">
        <fgColor rgb="FFE5E5E5"/>
        <bgColor rgb="FFD9D9D9"/>
      </patternFill>
    </fill>
    <fill>
      <patternFill patternType="solid">
        <fgColor rgb="FF00B8FF"/>
        <bgColor rgb="FF00B8F5"/>
      </patternFill>
    </fill>
    <fill>
      <patternFill patternType="solid">
        <fgColor rgb="FF666666"/>
        <bgColor rgb="FF767171"/>
      </patternFill>
    </fill>
    <fill>
      <patternFill patternType="solid">
        <fgColor rgb="FF0070C0"/>
        <bgColor rgb="FF0563C1"/>
      </patternFill>
    </fill>
    <fill>
      <patternFill patternType="solid">
        <fgColor rgb="FF7213EA"/>
        <bgColor rgb="FF510DBC"/>
      </patternFill>
    </fill>
    <fill>
      <patternFill patternType="solid">
        <fgColor rgb="FFFFFF00"/>
        <bgColor rgb="FFFFD966"/>
      </patternFill>
    </fill>
    <fill>
      <patternFill patternType="solid">
        <fgColor rgb="FFACEAFF"/>
        <bgColor rgb="FFD9D9D9"/>
      </patternFill>
    </fill>
    <fill>
      <patternFill patternType="solid">
        <fgColor theme="7" tint="0.7999000000000001"/>
        <bgColor rgb="FFF2F2F2"/>
      </patternFill>
    </fill>
    <fill>
      <patternFill patternType="solid">
        <fgColor theme="0" tint="-0.25"/>
        <bgColor rgb="FFB2B2B2"/>
      </patternFill>
    </fill>
    <fill>
      <patternFill patternType="solid">
        <fgColor theme="0" tint="-0.15"/>
        <bgColor rgb="FFE5E5E5"/>
      </patternFill>
    </fill>
    <fill>
      <patternFill patternType="solid">
        <fgColor theme="5" tint="0.5999"/>
        <bgColor rgb="FFFFC7CE"/>
      </patternFill>
    </fill>
    <fill>
      <patternFill patternType="solid">
        <fgColor theme="0" tint="-0.05"/>
        <bgColor rgb="FFFFFFFF"/>
      </patternFill>
    </fill>
    <fill>
      <patternFill patternType="solid">
        <fgColor theme="7" tint="0.3999"/>
        <bgColor rgb="FFFFE699"/>
      </patternFill>
    </fill>
    <fill>
      <patternFill patternType="solid">
        <fgColor theme="7" tint="0.5999"/>
        <bgColor rgb="FFFFF2CC"/>
      </patternFill>
    </fill>
    <fill>
      <patternFill patternType="solid">
        <fgColor rgb="FF510DBC"/>
        <bgColor rgb="FF7213EA"/>
      </patternFill>
    </fill>
    <fill>
      <patternFill patternType="solid">
        <fgColor theme="1"/>
        <bgColor rgb="FF003300"/>
      </patternFill>
    </fill>
    <fill>
      <patternFill patternType="solid">
        <fgColor rgb="FFFD349C"/>
        <bgColor rgb="FFFF00FF"/>
      </patternFill>
    </fill>
    <fill>
      <patternFill patternType="solid">
        <fgColor rgb="00D9E1F2"/>
      </patternFill>
    </fill>
  </fills>
  <borders count="100">
    <border>
      <left/>
      <right/>
      <top/>
      <bottom/>
      <diagonal/>
    </border>
    <border>
      <left/>
      <right/>
      <top/>
      <bottom style="medium">
        <color theme="0"/>
      </bottom>
      <diagonal/>
    </border>
    <border>
      <left/>
      <right/>
      <top style="thin">
        <color rgb="FF00338D"/>
      </top>
      <bottom/>
      <diagonal/>
    </border>
    <border>
      <left/>
      <right/>
      <top/>
      <bottom style="medium">
        <color rgb="FF00338D"/>
      </bottom>
      <diagonal/>
    </border>
    <border>
      <left/>
      <right style="thin">
        <color rgb="FF00338D"/>
      </right>
      <top/>
      <bottom/>
      <diagonal/>
    </border>
    <border>
      <left/>
      <right style="thin">
        <color theme="0"/>
      </right>
      <top style="thin">
        <color rgb="FFFFFFFF"/>
      </top>
      <bottom/>
      <diagonal/>
    </border>
    <border>
      <left style="thin">
        <color theme="0"/>
      </left>
      <right style="thin">
        <color theme="0"/>
      </right>
      <top style="thin">
        <color rgb="FFFFFFFF"/>
      </top>
      <bottom/>
      <diagonal/>
    </border>
    <border>
      <left style="thin">
        <color theme="0"/>
      </left>
      <right/>
      <top style="thin">
        <color rgb="FFFFFFFF"/>
      </top>
      <bottom/>
      <diagonal/>
    </border>
    <border>
      <left/>
      <right/>
      <top/>
      <bottom style="dashed">
        <color rgb="FF00338D"/>
      </bottom>
      <diagonal/>
    </border>
    <border>
      <left/>
      <right/>
      <top style="dashed">
        <color rgb="FF00338D"/>
      </top>
      <bottom style="dashed">
        <color rgb="FF00338D"/>
      </bottom>
      <diagonal/>
    </border>
    <border>
      <left/>
      <right/>
      <top style="thin">
        <color rgb="FFFFFFFF"/>
      </top>
      <bottom/>
      <diagonal/>
    </border>
    <border>
      <left/>
      <right/>
      <top style="dashed">
        <color rgb="FF00338D"/>
      </top>
      <bottom/>
      <diagonal/>
    </border>
    <border>
      <left/>
      <right/>
      <top style="thin">
        <color rgb="FFFFFFFF"/>
      </top>
      <bottom style="thin">
        <color rgb="FFFFFFFF"/>
      </bottom>
      <diagonal/>
    </border>
    <border>
      <left/>
      <right/>
      <top/>
      <bottom style="thin">
        <color rgb="FF00338D"/>
      </bottom>
      <diagonal/>
    </border>
    <border>
      <left/>
      <right/>
      <top style="thin">
        <color rgb="FFFFFFFF"/>
      </top>
      <bottom style="thin"/>
      <diagonal/>
    </border>
    <border>
      <left/>
      <right/>
      <top/>
      <bottom style="thin">
        <color rgb="FFFFFFFF"/>
      </bottom>
      <diagonal/>
    </border>
    <border>
      <left/>
      <right/>
      <top style="medium">
        <color rgb="FF00338D"/>
      </top>
      <bottom style="thin">
        <color rgb="FF00338D"/>
      </bottom>
      <diagonal/>
    </border>
    <border>
      <left/>
      <right/>
      <top style="thin">
        <color rgb="FFFFFFFF"/>
      </top>
      <bottom style="thin">
        <color rgb="FF00338D"/>
      </bottom>
      <diagonal/>
    </border>
    <border>
      <left/>
      <right/>
      <top style="dashed">
        <color rgb="FF00338D"/>
      </top>
      <bottom style="medium">
        <color rgb="FF00338D"/>
      </bottom>
      <diagonal/>
    </border>
    <border>
      <left style="thin">
        <color theme="0"/>
      </left>
      <right style="thin">
        <color theme="0"/>
      </right>
      <top/>
      <bottom/>
      <diagonal/>
    </border>
    <border>
      <left/>
      <right style="thin">
        <color theme="0"/>
      </right>
      <top/>
      <bottom/>
      <diagonal/>
    </border>
    <border>
      <left style="thin">
        <color theme="0"/>
      </left>
      <right/>
      <top/>
      <bottom/>
      <diagonal/>
    </border>
    <border>
      <left/>
      <right/>
      <top style="thin">
        <color rgb="FF00338D"/>
      </top>
      <bottom style="medium">
        <color rgb="FF00338D"/>
      </bottom>
      <diagonal/>
    </border>
    <border>
      <left/>
      <right style="dashed">
        <color rgb="FF00338D"/>
      </right>
      <top/>
      <bottom/>
      <diagonal/>
    </border>
    <border>
      <left/>
      <right style="dashed">
        <color rgb="FF00338D"/>
      </right>
      <top/>
      <bottom style="thin">
        <color rgb="FF00338D"/>
      </bottom>
      <diagonal/>
    </border>
    <border>
      <left/>
      <right style="thin">
        <color rgb="FF00338D"/>
      </right>
      <top/>
      <bottom style="thin">
        <color rgb="FF00338D"/>
      </bottom>
      <diagonal/>
    </border>
    <border>
      <left/>
      <right style="dashed">
        <color rgb="FF00338D"/>
      </right>
      <top style="thin">
        <color rgb="FF00338D"/>
      </top>
      <bottom/>
      <diagonal/>
    </border>
    <border>
      <left/>
      <right style="thin">
        <color rgb="FF00338D"/>
      </right>
      <top style="thin">
        <color rgb="FF00338D"/>
      </top>
      <bottom/>
      <diagonal/>
    </border>
    <border>
      <left/>
      <right style="dashed">
        <color rgb="FF00338D"/>
      </right>
      <top/>
      <bottom style="medium">
        <color rgb="FF00338D"/>
      </bottom>
      <diagonal/>
    </border>
    <border>
      <left/>
      <right style="thin">
        <color rgb="FF00338D"/>
      </right>
      <top style="medium">
        <color rgb="FF00338D"/>
      </top>
      <bottom style="thin">
        <color rgb="FF00338D"/>
      </bottom>
      <diagonal/>
    </border>
    <border>
      <left/>
      <right style="thin">
        <color rgb="FF00338D"/>
      </right>
      <top/>
      <bottom style="medium">
        <color rgb="FF00338D"/>
      </bottom>
      <diagonal/>
    </border>
    <border>
      <left style="thin">
        <color rgb="FFFFFFFF"/>
      </left>
      <right/>
      <top/>
      <bottom style="thin">
        <color rgb="FFFFFFFF"/>
      </bottom>
      <diagonal/>
    </border>
    <border>
      <left/>
      <right style="thin">
        <color rgb="FFFFFFFF"/>
      </right>
      <top/>
      <bottom style="thin">
        <color rgb="FFFFFFFF"/>
      </bottom>
      <diagonal/>
    </border>
    <border>
      <left/>
      <right/>
      <top style="medium">
        <color rgb="FF00338D"/>
      </top>
      <bottom/>
      <diagonal/>
    </border>
    <border>
      <left/>
      <right style="dashed">
        <color rgb="FF00338D"/>
      </right>
      <top style="thin">
        <color rgb="FF00338D"/>
      </top>
      <bottom style="medium">
        <color rgb="FF00338D"/>
      </bottom>
      <diagonal/>
    </border>
    <border>
      <left/>
      <right style="thin">
        <color rgb="FF00338D"/>
      </right>
      <top style="thin">
        <color rgb="FF00338D"/>
      </top>
      <bottom style="medium">
        <color rgb="FF00338D"/>
      </bottom>
      <diagonal/>
    </border>
    <border>
      <left style="medium"/>
      <right style="medium"/>
      <top style="medium"/>
      <bottom style="medium"/>
      <diagonal/>
    </border>
    <border>
      <left style="medium"/>
      <right style="medium"/>
      <top/>
      <bottom style="medium"/>
      <diagonal/>
    </border>
    <border>
      <left/>
      <right/>
      <top/>
      <bottom style="thin"/>
      <diagonal/>
    </border>
    <border>
      <left/>
      <right/>
      <top style="thin"/>
      <bottom style="thin"/>
      <diagonal/>
    </border>
    <border>
      <left style="medium"/>
      <right/>
      <top style="medium"/>
      <bottom style="medium"/>
      <diagonal/>
    </border>
    <border>
      <left/>
      <right/>
      <top style="medium"/>
      <bottom style="medium"/>
      <diagonal/>
    </border>
    <border>
      <left/>
      <right style="medium"/>
      <top style="medium"/>
      <bottom style="medium"/>
      <diagonal/>
    </border>
    <border>
      <left/>
      <right/>
      <top style="thin">
        <color rgb="FF002060"/>
      </top>
      <bottom/>
      <diagonal/>
    </border>
    <border>
      <left/>
      <right style="dashed">
        <color rgb="FF00338D"/>
      </right>
      <top style="thin">
        <color rgb="FF002060"/>
      </top>
      <bottom/>
      <diagonal/>
    </border>
    <border>
      <left/>
      <right style="thin">
        <color rgb="FF00338D"/>
      </right>
      <top style="thin">
        <color rgb="FF002060"/>
      </top>
      <bottom/>
      <diagonal/>
    </border>
    <border>
      <left/>
      <right/>
      <top/>
      <bottom style="thin">
        <color rgb="FF002060"/>
      </bottom>
      <diagonal/>
    </border>
    <border>
      <left/>
      <right style="dashed">
        <color rgb="FF00338D"/>
      </right>
      <top/>
      <bottom style="thin">
        <color rgb="FF002060"/>
      </bottom>
      <diagonal/>
    </border>
    <border>
      <left/>
      <right style="thin">
        <color rgb="FF00338D"/>
      </right>
      <top/>
      <bottom style="thin">
        <color rgb="FF002060"/>
      </bottom>
      <diagonal/>
    </border>
    <border>
      <left style="medium"/>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style="medium"/>
      <top/>
      <bottom style="medium"/>
      <diagonal/>
    </border>
    <border>
      <left style="thin">
        <color rgb="FF00338D"/>
      </left>
      <right/>
      <top style="thin">
        <color rgb="FF00338D"/>
      </top>
      <bottom style="thin">
        <color rgb="FF00338D"/>
      </bottom>
      <diagonal/>
    </border>
    <border>
      <left/>
      <right/>
      <top style="thin">
        <color rgb="FF00338D"/>
      </top>
      <bottom style="thin">
        <color rgb="FF00338D"/>
      </bottom>
      <diagonal/>
    </border>
    <border>
      <left/>
      <right style="thin">
        <color rgb="FF00338D"/>
      </right>
      <top style="thin">
        <color rgb="FF00338D"/>
      </top>
      <bottom style="thin">
        <color rgb="FF00338D"/>
      </bottom>
      <diagonal/>
    </border>
    <border>
      <left style="thin">
        <color rgb="FF00338D"/>
      </left>
      <right/>
      <top/>
      <bottom/>
      <diagonal/>
    </border>
    <border>
      <left style="thin">
        <color rgb="FF00338D"/>
      </left>
      <right/>
      <top/>
      <bottom style="thin">
        <color rgb="FF00338D"/>
      </bottom>
      <diagonal/>
    </border>
    <border>
      <left style="thin">
        <color rgb="FF00338D"/>
      </left>
      <right/>
      <top style="thin">
        <color rgb="FF00338D"/>
      </top>
      <bottom/>
      <diagonal/>
    </border>
    <border>
      <left style="dashed">
        <color rgb="FF00338D"/>
      </left>
      <right style="dashed">
        <color rgb="FF00338D"/>
      </right>
      <top/>
      <bottom/>
      <diagonal/>
    </border>
    <border>
      <left style="dashed">
        <color rgb="FF00338D"/>
      </left>
      <right style="dashed">
        <color rgb="FF00338D"/>
      </right>
      <top style="thin">
        <color rgb="FF00338D"/>
      </top>
      <bottom style="medium">
        <color rgb="FF00338D"/>
      </bottom>
      <diagonal/>
    </border>
    <border>
      <left style="dashed">
        <color rgb="FF00338D"/>
      </left>
      <right/>
      <top/>
      <bottom style="dashed">
        <color rgb="FF00338D"/>
      </bottom>
      <diagonal/>
    </border>
    <border>
      <left/>
      <right style="thin">
        <color rgb="FF00338D"/>
      </right>
      <top/>
      <bottom style="dashed">
        <color rgb="FF00338D"/>
      </bottom>
      <diagonal/>
    </border>
    <border>
      <left/>
      <right style="thin">
        <color rgb="FF00338D"/>
      </right>
      <top style="dashed">
        <color rgb="FF00338D"/>
      </top>
      <bottom/>
      <diagonal/>
    </border>
    <border>
      <left/>
      <right style="dashed">
        <color rgb="FF00338D"/>
      </right>
      <top style="dashed">
        <color rgb="FF00338D"/>
      </top>
      <bottom/>
      <diagonal/>
    </border>
    <border>
      <left/>
      <right style="thin">
        <color rgb="FF00338D"/>
      </right>
      <top style="dashed">
        <color rgb="FF00338D"/>
      </top>
      <bottom style="dashed">
        <color rgb="FF00338D"/>
      </bottom>
      <diagonal/>
    </border>
    <border>
      <left/>
      <right style="dashed">
        <color rgb="FF00338D"/>
      </right>
      <top style="dashed">
        <color rgb="FF00338D"/>
      </top>
      <bottom style="dashed">
        <color rgb="FF00338D"/>
      </bottom>
      <diagonal/>
    </border>
    <border>
      <left style="thin">
        <color rgb="FF00338D"/>
      </left>
      <right/>
      <top style="dashed">
        <color rgb="FF00338D"/>
      </top>
      <bottom/>
      <diagonal/>
    </border>
    <border>
      <left/>
      <right style="dashed">
        <color rgb="FF00338D"/>
      </right>
      <top/>
      <bottom style="dashed">
        <color rgb="FF00338D"/>
      </bottom>
      <diagonal/>
    </border>
    <border>
      <left style="thin">
        <color rgb="FF00338D"/>
      </left>
      <right/>
      <top/>
      <bottom style="medium">
        <color rgb="FF00338D"/>
      </bottom>
      <diagonal/>
    </border>
    <border>
      <left style="dashed">
        <color rgb="FF00338D"/>
      </left>
      <right/>
      <top/>
      <bottom style="thin">
        <color rgb="FF00338D"/>
      </bottom>
      <diagonal/>
    </border>
    <border>
      <left/>
      <right style="thin"/>
      <top/>
      <bottom/>
      <diagonal/>
    </border>
    <border>
      <left/>
      <right style="dashed">
        <color rgb="FF00338D"/>
      </right>
      <top style="thin">
        <color rgb="FF00338D"/>
      </top>
      <bottom style="thin">
        <color rgb="FF00338D"/>
      </bottom>
      <diagonal/>
    </border>
    <border>
      <left style="thin">
        <color theme="0"/>
      </left>
      <right style="thin">
        <color theme="0"/>
      </right>
      <top/>
      <bottom style="thin">
        <color theme="0"/>
      </bottom>
      <diagonal/>
    </border>
    <border>
      <left/>
      <right style="thin">
        <color rgb="FFFFFFFF"/>
      </right>
      <top/>
      <bottom style="thin">
        <color rgb="FF00338D"/>
      </bottom>
      <diagonal/>
    </border>
    <border>
      <left style="thin">
        <color rgb="FFFFFFFF"/>
      </left>
      <right/>
      <top/>
      <bottom style="thin">
        <color rgb="FF00338D"/>
      </bottom>
      <diagonal/>
    </border>
    <border>
      <left/>
      <right style="thin">
        <color theme="0"/>
      </right>
      <top style="thin">
        <color theme="0"/>
      </top>
      <bottom style="thin">
        <color rgb="FF00338D"/>
      </bottom>
      <diagonal/>
    </border>
    <border>
      <left style="thin">
        <color theme="0"/>
      </left>
      <right style="thin">
        <color theme="0"/>
      </right>
      <top style="thin">
        <color theme="0"/>
      </top>
      <bottom style="thin">
        <color rgb="FF00338D"/>
      </bottom>
      <diagonal/>
    </border>
    <border>
      <left style="thin">
        <color theme="0"/>
      </left>
      <right/>
      <top style="thin">
        <color theme="0"/>
      </top>
      <bottom style="thin">
        <color rgb="FF00338D"/>
      </bottom>
      <diagonal/>
    </border>
    <border>
      <left/>
      <right/>
      <top/>
      <bottom style="thin">
        <color rgb="FF9999FF"/>
      </bottom>
      <diagonal/>
    </border>
    <border>
      <left style="thin">
        <color rgb="FF00338D"/>
      </left>
      <right/>
      <top style="thin">
        <color rgb="FF00338D"/>
      </top>
      <bottom style="medium">
        <color rgb="FF00338D"/>
      </bottom>
      <diagonal/>
    </border>
    <border>
      <left/>
      <right style="thin">
        <color theme="0"/>
      </right>
      <top/>
      <bottom style="dashed">
        <color rgb="FF00338D"/>
      </bottom>
      <diagonal/>
    </border>
    <border>
      <left style="dashed">
        <color rgb="FF00338D"/>
      </left>
      <right/>
      <top/>
      <bottom/>
      <diagonal/>
    </border>
    <border>
      <left style="dashed">
        <color rgb="FF00338D"/>
      </left>
      <right style="thin">
        <color rgb="FF00338D"/>
      </right>
      <top/>
      <bottom/>
      <diagonal/>
    </border>
    <border>
      <left style="dashed">
        <color rgb="FF00338D"/>
      </left>
      <right style="thin">
        <color rgb="FF00338D"/>
      </right>
      <top/>
      <bottom style="thin">
        <color rgb="FF00338D"/>
      </bottom>
      <diagonal/>
    </border>
    <border>
      <left style="dashed">
        <color rgb="FF00338D"/>
      </left>
      <right style="thin">
        <color rgb="FF00338D"/>
      </right>
      <top/>
      <bottom style="medium">
        <color rgb="FF00338D"/>
      </bottom>
      <diagonal/>
    </border>
    <border>
      <left style="dashed">
        <color rgb="FF00338D"/>
      </left>
      <right/>
      <top/>
      <bottom style="medium">
        <color rgb="FF00338D"/>
      </bottom>
      <diagonal/>
    </border>
    <border>
      <left style="dashed">
        <color rgb="FF00338D"/>
      </left>
      <right style="thin">
        <color rgb="FF00338D"/>
      </right>
      <top style="thin">
        <color rgb="FF00338D"/>
      </top>
      <bottom style="medium">
        <color rgb="FF00338D"/>
      </bottom>
      <diagonal/>
    </border>
    <border>
      <left style="dashed">
        <color rgb="FF00338D"/>
      </left>
      <right/>
      <top style="thin">
        <color rgb="FF00338D"/>
      </top>
      <bottom style="medium">
        <color rgb="FF00338D"/>
      </bottom>
      <diagonal/>
    </border>
    <border>
      <left style="dashed">
        <color theme="0"/>
      </left>
      <right/>
      <top/>
      <bottom style="thin">
        <color rgb="FFFFFFFF"/>
      </bottom>
      <diagonal/>
    </border>
    <border>
      <left style="thin">
        <color rgb="FF00338D"/>
      </left>
      <right/>
      <top style="thin">
        <color rgb="FFFFFFFF"/>
      </top>
      <bottom/>
      <diagonal/>
    </border>
    <border>
      <left style="dashed">
        <color rgb="FF00338D"/>
      </left>
      <right/>
      <top style="thin">
        <color rgb="FFFFFFFF"/>
      </top>
      <bottom/>
      <diagonal/>
    </border>
    <border>
      <left style="dashed">
        <color rgb="FF00338D"/>
      </left>
      <right/>
      <top style="thin">
        <color rgb="FF00338D"/>
      </top>
      <bottom/>
      <diagonal/>
    </border>
    <border>
      <left style="thin">
        <color rgb="FF00338D"/>
      </left>
      <right style="thin">
        <color theme="0"/>
      </right>
      <top/>
      <bottom/>
      <diagonal/>
    </border>
    <border>
      <left style="thin">
        <color rgb="FF00338D"/>
      </left>
      <right style="thin">
        <color theme="0"/>
      </right>
      <top/>
      <bottom style="thin">
        <color rgb="FF00338D"/>
      </bottom>
      <diagonal/>
    </border>
    <border>
      <left style="thin">
        <color rgb="FF00338D"/>
      </left>
      <right style="thin">
        <color theme="0"/>
      </right>
      <top/>
      <bottom style="medium">
        <color rgb="FF00338D"/>
      </bottom>
      <diagonal/>
    </border>
    <border>
      <left style="thin"/>
      <right style="thin"/>
      <top style="thin"/>
      <bottom style="thin"/>
      <diagonal/>
    </border>
    <border>
      <left style="thin">
        <color rgb="00D9D9D9"/>
      </left>
      <right style="thin">
        <color rgb="00D9D9D9"/>
      </right>
      <top style="thin">
        <color rgb="00D9D9D9"/>
      </top>
      <bottom style="thin">
        <color rgb="00D9D9D9"/>
      </bottom>
    </border>
  </borders>
  <cellStyleXfs count="69">
    <xf numFmtId="0" fontId="0" fillId="0" borderId="0" applyAlignment="1">
      <alignment horizontal="general" vertical="bottom"/>
    </xf>
    <xf numFmtId="43" fontId="3" fillId="0" borderId="0"/>
    <xf numFmtId="41" fontId="3" fillId="0" borderId="0"/>
    <xf numFmtId="195" fontId="0" fillId="0" borderId="0" applyAlignment="1">
      <alignment horizontal="general" vertical="bottom"/>
    </xf>
    <xf numFmtId="42" fontId="3" fillId="0" borderId="0"/>
    <xf numFmtId="9" fontId="0" fillId="0" borderId="0" applyAlignment="1">
      <alignment horizontal="general" vertical="bottom"/>
    </xf>
    <xf numFmtId="185" fontId="0" fillId="0" borderId="0" applyAlignment="1">
      <alignment horizontal="general" vertical="bottom"/>
    </xf>
    <xf numFmtId="185" fontId="0" fillId="0" borderId="0" applyAlignment="1">
      <alignment horizontal="general" vertical="bottom"/>
    </xf>
    <xf numFmtId="206" fontId="0" fillId="0" borderId="0" applyAlignment="1">
      <alignment horizontal="general" vertical="bottom"/>
    </xf>
    <xf numFmtId="185" fontId="0" fillId="0" borderId="0" applyAlignment="1">
      <alignment horizontal="general" vertical="bottom"/>
    </xf>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6"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65" fillId="0" borderId="0" applyAlignment="1">
      <alignment horizontal="general" vertical="bottom"/>
    </xf>
    <xf numFmtId="0" fontId="65" fillId="0" borderId="0" applyAlignment="1">
      <alignment horizontal="general" vertical="bottom"/>
    </xf>
    <xf numFmtId="0" fontId="5"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8"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8" fillId="0" borderId="0" applyAlignment="1">
      <alignment horizontal="general" vertical="bottom"/>
    </xf>
    <xf numFmtId="0" fontId="6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9"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10" fillId="0" borderId="0" applyAlignment="1">
      <alignment horizontal="general" vertical="center"/>
    </xf>
    <xf numFmtId="0" fontId="5" fillId="0" borderId="0" applyAlignment="1">
      <alignment horizontal="general" vertical="bottom"/>
    </xf>
    <xf numFmtId="9" fontId="0" fillId="0" borderId="0" applyAlignment="1">
      <alignment horizontal="general" vertical="bottom"/>
    </xf>
  </cellStyleXfs>
  <cellXfs count="6794">
    <xf numFmtId="0" fontId="0" fillId="0" borderId="0" applyAlignment="1" pivotButton="0" quotePrefix="0" xfId="0">
      <alignment horizontal="general" vertical="bottom"/>
    </xf>
    <xf numFmtId="0" fontId="11" fillId="0" borderId="0" applyAlignment="1" pivotButton="0" quotePrefix="0" xfId="0">
      <alignment horizontal="general" vertical="bottom"/>
    </xf>
    <xf numFmtId="0" fontId="11" fillId="2" borderId="0" applyAlignment="1" pivotButton="0" quotePrefix="0" xfId="0">
      <alignment horizontal="general" vertical="bottom"/>
    </xf>
    <xf numFmtId="0" fontId="11" fillId="3" borderId="0" applyAlignment="1" pivotButton="0" quotePrefix="0" xfId="0">
      <alignment horizontal="general" vertical="bottom"/>
    </xf>
    <xf numFmtId="0" fontId="12" fillId="3" borderId="0" applyAlignment="1" pivotButton="0" quotePrefix="0" xfId="0">
      <alignment horizontal="left" vertical="bottom"/>
    </xf>
    <xf numFmtId="0" fontId="13" fillId="3" borderId="0" applyAlignment="1" pivotButton="0" quotePrefix="0" xfId="0">
      <alignment horizontal="general" vertical="bottom"/>
    </xf>
    <xf numFmtId="0" fontId="14" fillId="3" borderId="0" applyAlignment="1" pivotButton="0" quotePrefix="0" xfId="0">
      <alignment horizontal="general" vertical="bottom"/>
    </xf>
    <xf numFmtId="0" fontId="15" fillId="3" borderId="0" applyAlignment="1" pivotButton="0" quotePrefix="0" xfId="0">
      <alignment horizontal="general" vertical="bottom"/>
    </xf>
    <xf numFmtId="0" fontId="11" fillId="3" borderId="1" applyAlignment="1" pivotButton="0" quotePrefix="0" xfId="0">
      <alignment horizontal="general" vertical="bottom"/>
    </xf>
    <xf numFmtId="164" fontId="16" fillId="3" borderId="0" applyAlignment="1" pivotButton="0" quotePrefix="0" xfId="0">
      <alignment horizontal="left" vertical="bottom"/>
    </xf>
    <xf numFmtId="0" fontId="17" fillId="3" borderId="0" applyAlignment="1" pivotButton="0" quotePrefix="0" xfId="0">
      <alignment horizontal="general" vertical="bottom"/>
    </xf>
    <xf numFmtId="0" fontId="18" fillId="3" borderId="0" applyAlignment="1" pivotButton="0" quotePrefix="0" xfId="0">
      <alignment horizontal="general" vertical="bottom"/>
    </xf>
    <xf numFmtId="0" fontId="19" fillId="2" borderId="0" applyAlignment="1" pivotButton="0" quotePrefix="0" xfId="0">
      <alignment horizontal="general" vertical="bottom"/>
    </xf>
    <xf numFmtId="0" fontId="19" fillId="0" borderId="0" applyAlignment="1" pivotButton="0" quotePrefix="0" xfId="0">
      <alignment horizontal="general" vertical="bottom"/>
    </xf>
    <xf numFmtId="0" fontId="5" fillId="0" borderId="0" applyAlignment="1" pivotButton="0" quotePrefix="0" xfId="54">
      <alignment horizontal="general" vertical="bottom"/>
    </xf>
    <xf numFmtId="0" fontId="20" fillId="0" borderId="0" applyAlignment="1" pivotButton="0" quotePrefix="0" xfId="46">
      <alignment horizontal="general" vertical="center"/>
    </xf>
    <xf numFmtId="0" fontId="21" fillId="2" borderId="2" applyAlignment="1" pivotButton="0" quotePrefix="0" xfId="54">
      <alignment horizontal="left" vertical="center"/>
    </xf>
    <xf numFmtId="0" fontId="22" fillId="0" borderId="0" applyAlignment="1" pivotButton="0" quotePrefix="0" xfId="46">
      <alignment horizontal="general" vertical="bottom"/>
    </xf>
    <xf numFmtId="0" fontId="7" fillId="4" borderId="0" applyAlignment="1" pivotButton="0" quotePrefix="0" xfId="54">
      <alignment horizontal="left" vertical="center"/>
    </xf>
    <xf numFmtId="0" fontId="7" fillId="0" borderId="0" applyAlignment="1" pivotButton="0" quotePrefix="0" xfId="46">
      <alignment horizontal="general" vertical="bottom"/>
    </xf>
    <xf numFmtId="0" fontId="23" fillId="4" borderId="0" applyAlignment="1" pivotButton="0" quotePrefix="0" xfId="54">
      <alignment horizontal="left" vertical="center"/>
    </xf>
    <xf numFmtId="0" fontId="24" fillId="0" borderId="0" applyAlignment="1" pivotButton="0" quotePrefix="0" xfId="54">
      <alignment horizontal="general" vertical="bottom"/>
    </xf>
    <xf numFmtId="0" fontId="25" fillId="0" borderId="0" applyAlignment="1" pivotButton="0" quotePrefix="0" xfId="0">
      <alignment horizontal="general" vertical="bottom"/>
    </xf>
    <xf numFmtId="0" fontId="7" fillId="0" borderId="0" applyAlignment="1" pivotButton="0" quotePrefix="0" xfId="54">
      <alignment horizontal="left" vertical="center" wrapText="1"/>
    </xf>
    <xf numFmtId="0" fontId="5" fillId="0" borderId="0" applyAlignment="1" pivotButton="0" quotePrefix="0" xfId="54">
      <alignment horizontal="general" vertical="bottom" wrapText="1"/>
    </xf>
    <xf numFmtId="0" fontId="23" fillId="0" borderId="0" applyAlignment="1" pivotButton="0" quotePrefix="0" xfId="54">
      <alignment horizontal="left" vertical="center"/>
    </xf>
    <xf numFmtId="0" fontId="19" fillId="0" borderId="0" applyAlignment="1" pivotButton="0" quotePrefix="0" xfId="54">
      <alignment horizontal="left" vertical="center" wrapText="1"/>
    </xf>
    <xf numFmtId="0" fontId="19" fillId="0" borderId="3" applyAlignment="1" pivotButton="0" quotePrefix="0" xfId="54">
      <alignment horizontal="left" vertical="center" wrapText="1"/>
    </xf>
    <xf numFmtId="0" fontId="5" fillId="0" borderId="0" applyAlignment="1" pivotButton="0" quotePrefix="0" xfId="0">
      <alignment horizontal="general" vertical="bottom"/>
    </xf>
    <xf numFmtId="0" fontId="6" fillId="0" borderId="0" applyAlignment="1" pivotButton="0" quotePrefix="0" xfId="46">
      <alignment horizontal="general" vertical="bottom"/>
    </xf>
    <xf numFmtId="0" fontId="5" fillId="2" borderId="0" applyAlignment="1" pivotButton="0" quotePrefix="0" xfId="46">
      <alignment horizontal="general" vertical="bottom"/>
    </xf>
    <xf numFmtId="0" fontId="7" fillId="0" borderId="0" applyAlignment="1" pivotButton="0" quotePrefix="0" xfId="57">
      <alignment horizontal="general" vertical="bottom"/>
    </xf>
    <xf numFmtId="0" fontId="7" fillId="0" borderId="0" applyAlignment="1" pivotButton="0" quotePrefix="0" xfId="57">
      <alignment horizontal="left" vertical="top"/>
    </xf>
    <xf numFmtId="0" fontId="26" fillId="0" borderId="0" applyAlignment="1" pivotButton="0" quotePrefix="0" xfId="57">
      <alignment horizontal="general" vertical="bottom"/>
    </xf>
    <xf numFmtId="0" fontId="5" fillId="2" borderId="4" applyAlignment="1" pivotButton="0" quotePrefix="0" xfId="39">
      <alignment horizontal="general" vertical="bottom"/>
    </xf>
    <xf numFmtId="0" fontId="27" fillId="0" borderId="0" applyAlignment="1" pivotButton="0" quotePrefix="0" xfId="39">
      <alignment horizontal="left" vertical="bottom"/>
    </xf>
    <xf numFmtId="0" fontId="5" fillId="0" borderId="0" applyAlignment="1" pivotButton="0" quotePrefix="0" xfId="39">
      <alignment horizontal="general" vertical="bottom"/>
    </xf>
    <xf numFmtId="0" fontId="5" fillId="0" borderId="0" applyAlignment="1" pivotButton="0" quotePrefix="0" xfId="39">
      <alignment horizontal="general" vertical="top"/>
    </xf>
    <xf numFmtId="0" fontId="26" fillId="0" borderId="0" applyAlignment="1" pivotButton="0" quotePrefix="0" xfId="39">
      <alignment horizontal="general" vertical="bottom"/>
    </xf>
    <xf numFmtId="0" fontId="28" fillId="0" borderId="0" applyAlignment="1" pivotButton="0" quotePrefix="0" xfId="39">
      <alignment horizontal="left" vertical="bottom"/>
    </xf>
    <xf numFmtId="165" fontId="5" fillId="0" borderId="0" applyAlignment="1" pivotButton="0" quotePrefix="0" xfId="19">
      <alignment horizontal="general" vertical="bottom"/>
    </xf>
    <xf numFmtId="0" fontId="29" fillId="0" borderId="0" applyAlignment="1" pivotButton="0" quotePrefix="0" xfId="39">
      <alignment horizontal="left" vertical="bottom"/>
    </xf>
    <xf numFmtId="0" fontId="24" fillId="0" borderId="0" applyAlignment="1" pivotButton="0" quotePrefix="0" xfId="39">
      <alignment horizontal="left" vertical="bottom"/>
    </xf>
    <xf numFmtId="0" fontId="5" fillId="0" borderId="0" applyAlignment="1" pivotButton="0" quotePrefix="0" xfId="54">
      <alignment horizontal="left" vertical="top"/>
    </xf>
    <xf numFmtId="49" fontId="30" fillId="0" borderId="0" applyAlignment="1" pivotButton="0" quotePrefix="0" xfId="50">
      <alignment horizontal="general" vertical="bottom"/>
    </xf>
    <xf numFmtId="0" fontId="5" fillId="2" borderId="0" applyAlignment="1" pivotButton="0" quotePrefix="0" xfId="46">
      <alignment horizontal="general" vertical="bottom"/>
    </xf>
    <xf numFmtId="0" fontId="5" fillId="0" borderId="0" applyAlignment="1" pivotButton="0" quotePrefix="0" xfId="50">
      <alignment horizontal="general" vertical="bottom"/>
    </xf>
    <xf numFmtId="0" fontId="21" fillId="2" borderId="0" applyAlignment="1" pivotButton="0" quotePrefix="0" xfId="54">
      <alignment horizontal="left" vertical="center"/>
    </xf>
    <xf numFmtId="0" fontId="5" fillId="0" borderId="0" applyAlignment="1" pivotButton="0" quotePrefix="0" xfId="54">
      <alignment horizontal="general" vertical="bottom"/>
    </xf>
    <xf numFmtId="0" fontId="26" fillId="0" borderId="0" applyAlignment="1" pivotButton="0" quotePrefix="0" xfId="57">
      <alignment horizontal="general" vertical="bottom"/>
    </xf>
    <xf numFmtId="0" fontId="7" fillId="0" borderId="0" applyAlignment="1" pivotButton="0" quotePrefix="0" xfId="57">
      <alignment horizontal="general" vertical="bottom"/>
    </xf>
    <xf numFmtId="0" fontId="21" fillId="5" borderId="0" applyAlignment="1" pivotButton="0" quotePrefix="0" xfId="54">
      <alignment horizontal="left" vertical="center"/>
    </xf>
    <xf numFmtId="0" fontId="21" fillId="5" borderId="0" applyAlignment="1" pivotButton="0" quotePrefix="0" xfId="54">
      <alignment horizontal="center" vertical="center"/>
    </xf>
    <xf numFmtId="0" fontId="21" fillId="6" borderId="0" applyAlignment="1" pivotButton="0" quotePrefix="0" xfId="54">
      <alignment horizontal="center" vertical="center"/>
    </xf>
    <xf numFmtId="0" fontId="31" fillId="5" borderId="0" applyAlignment="1" applyProtection="1" pivotButton="0" quotePrefix="0" xfId="54">
      <alignment horizontal="left" vertical="bottom"/>
      <protection locked="0" hidden="0"/>
    </xf>
    <xf numFmtId="0" fontId="31" fillId="5" borderId="5" applyAlignment="1" pivotButton="0" quotePrefix="0" xfId="54">
      <alignment horizontal="right" vertical="bottom" wrapText="1"/>
    </xf>
    <xf numFmtId="0" fontId="31" fillId="5" borderId="6" applyAlignment="1" pivotButton="0" quotePrefix="0" xfId="54">
      <alignment horizontal="right" vertical="bottom" wrapText="1"/>
    </xf>
    <xf numFmtId="166" fontId="31" fillId="5" borderId="6" applyAlignment="1" pivotButton="0" quotePrefix="0" xfId="54">
      <alignment horizontal="right" vertical="bottom" wrapText="1"/>
    </xf>
    <xf numFmtId="166" fontId="31" fillId="5" borderId="7" applyAlignment="1" pivotButton="0" quotePrefix="0" xfId="54">
      <alignment horizontal="right" vertical="bottom" wrapText="1"/>
    </xf>
    <xf numFmtId="0" fontId="32" fillId="0" borderId="0" applyAlignment="1" pivotButton="0" quotePrefix="0" xfId="54">
      <alignment horizontal="general" vertical="bottom"/>
    </xf>
    <xf numFmtId="0" fontId="31" fillId="6" borderId="5" applyAlignment="1" pivotButton="0" quotePrefix="0" xfId="54">
      <alignment horizontal="right" vertical="bottom" wrapText="1"/>
    </xf>
    <xf numFmtId="0" fontId="31" fillId="6" borderId="6" applyAlignment="1" pivotButton="0" quotePrefix="0" xfId="54">
      <alignment horizontal="right" vertical="bottom" wrapText="1"/>
    </xf>
    <xf numFmtId="166" fontId="31" fillId="6" borderId="6" applyAlignment="1" pivotButton="0" quotePrefix="0" xfId="54">
      <alignment horizontal="right" vertical="bottom" wrapText="1"/>
    </xf>
    <xf numFmtId="166" fontId="31" fillId="6" borderId="7" applyAlignment="1" pivotButton="0" quotePrefix="0" xfId="54">
      <alignment horizontal="right" vertical="bottom" wrapText="1"/>
    </xf>
    <xf numFmtId="166" fontId="31" fillId="5" borderId="0" applyAlignment="1" pivotButton="0" quotePrefix="0" xfId="54">
      <alignment horizontal="right" vertical="top"/>
    </xf>
    <xf numFmtId="0" fontId="33" fillId="0" borderId="0" applyAlignment="1" pivotButton="0" quotePrefix="0" xfId="50">
      <alignment horizontal="general" vertical="bottom"/>
    </xf>
    <xf numFmtId="0" fontId="34" fillId="4" borderId="0" applyAlignment="1" applyProtection="1" pivotButton="0" quotePrefix="0" xfId="54">
      <alignment horizontal="left" vertical="bottom"/>
      <protection locked="0" hidden="0"/>
    </xf>
    <xf numFmtId="167" fontId="34" fillId="4" borderId="0" applyAlignment="1" pivotButton="0" quotePrefix="0" xfId="54">
      <alignment horizontal="right" vertical="bottom" wrapText="1"/>
    </xf>
    <xf numFmtId="167" fontId="34" fillId="0" borderId="0" applyAlignment="1" pivotButton="0" quotePrefix="0" xfId="54">
      <alignment horizontal="right" vertical="bottom"/>
    </xf>
    <xf numFmtId="167" fontId="34" fillId="7" borderId="0" applyAlignment="1" pivotButton="0" quotePrefix="0" xfId="54">
      <alignment horizontal="right" vertical="bottom"/>
    </xf>
    <xf numFmtId="167" fontId="34" fillId="0" borderId="8" applyAlignment="1" pivotButton="0" quotePrefix="0" xfId="54">
      <alignment horizontal="left" vertical="top"/>
    </xf>
    <xf numFmtId="0" fontId="23" fillId="4" borderId="0" applyAlignment="1" applyProtection="1" pivotButton="0" quotePrefix="0" xfId="54">
      <alignment horizontal="left" vertical="bottom"/>
      <protection locked="0" hidden="0"/>
    </xf>
    <xf numFmtId="0" fontId="34" fillId="4" borderId="0" applyAlignment="1" pivotButton="0" quotePrefix="0" xfId="54">
      <alignment horizontal="right" vertical="bottom" wrapText="1"/>
    </xf>
    <xf numFmtId="0" fontId="34" fillId="0" borderId="0" applyAlignment="1" pivotButton="0" quotePrefix="0" xfId="54">
      <alignment horizontal="right" vertical="bottom"/>
    </xf>
    <xf numFmtId="0" fontId="34" fillId="7" borderId="0" applyAlignment="1" pivotButton="0" quotePrefix="0" xfId="54">
      <alignment horizontal="right" vertical="bottom"/>
    </xf>
    <xf numFmtId="0" fontId="34" fillId="0" borderId="9" applyAlignment="1" pivotButton="0" quotePrefix="0" xfId="54">
      <alignment horizontal="left" vertical="top"/>
    </xf>
    <xf numFmtId="0" fontId="7" fillId="4" borderId="0" applyAlignment="1" pivotButton="0" quotePrefix="0" xfId="54">
      <alignment horizontal="left" vertical="center" indent="2"/>
    </xf>
    <xf numFmtId="0" fontId="31" fillId="8" borderId="10" applyAlignment="1" pivotButton="0" quotePrefix="0" xfId="54">
      <alignment horizontal="center" vertical="center"/>
    </xf>
    <xf numFmtId="167" fontId="19" fillId="4" borderId="0" applyAlignment="1" pivotButton="0" quotePrefix="0" xfId="54">
      <alignment horizontal="right" vertical="center" wrapText="1"/>
    </xf>
    <xf numFmtId="167" fontId="19" fillId="4" borderId="0" applyAlignment="1" pivotButton="0" quotePrefix="0" xfId="54">
      <alignment horizontal="right" vertical="center"/>
    </xf>
    <xf numFmtId="167" fontId="19" fillId="7" borderId="0" applyAlignment="1" pivotButton="0" quotePrefix="0" xfId="54">
      <alignment horizontal="right" vertical="center"/>
    </xf>
    <xf numFmtId="167" fontId="19" fillId="0" borderId="11" applyAlignment="1" pivotButton="0" quotePrefix="0" xfId="54">
      <alignment horizontal="left" vertical="top" wrapText="1"/>
    </xf>
    <xf numFmtId="0" fontId="7" fillId="0" borderId="0" applyAlignment="1" pivotButton="0" quotePrefix="0" xfId="54">
      <alignment horizontal="left" vertical="center" indent="2"/>
    </xf>
    <xf numFmtId="0" fontId="31" fillId="8" borderId="12" applyAlignment="1" pivotButton="0" quotePrefix="0" xfId="54">
      <alignment horizontal="center" vertical="center"/>
    </xf>
    <xf numFmtId="167" fontId="19" fillId="4" borderId="0" applyAlignment="1" pivotButton="0" quotePrefix="0" xfId="54">
      <alignment horizontal="right" vertical="bottom" wrapText="1"/>
    </xf>
    <xf numFmtId="167" fontId="19" fillId="0" borderId="0" applyAlignment="1" pivotButton="0" quotePrefix="0" xfId="54">
      <alignment horizontal="right" vertical="bottom"/>
    </xf>
    <xf numFmtId="167" fontId="19" fillId="7" borderId="0" applyAlignment="1" pivotButton="0" quotePrefix="0" xfId="54">
      <alignment horizontal="right" vertical="bottom"/>
    </xf>
    <xf numFmtId="0" fontId="7" fillId="4" borderId="13" applyAlignment="1" pivotButton="0" quotePrefix="0" xfId="54">
      <alignment horizontal="left" vertical="center" indent="2"/>
    </xf>
    <xf numFmtId="0" fontId="31" fillId="8" borderId="14" applyAlignment="1" pivotButton="0" quotePrefix="0" xfId="54">
      <alignment horizontal="center" vertical="center"/>
    </xf>
    <xf numFmtId="167" fontId="19" fillId="4" borderId="13" applyAlignment="1" pivotButton="0" quotePrefix="0" xfId="54">
      <alignment horizontal="right" vertical="center" wrapText="1"/>
    </xf>
    <xf numFmtId="167" fontId="19" fillId="4" borderId="13" applyAlignment="1" pivotButton="0" quotePrefix="0" xfId="54">
      <alignment horizontal="right" vertical="center"/>
    </xf>
    <xf numFmtId="167" fontId="19" fillId="7" borderId="13" applyAlignment="1" pivotButton="0" quotePrefix="0" xfId="54">
      <alignment horizontal="right" vertical="center"/>
    </xf>
    <xf numFmtId="0" fontId="19" fillId="4" borderId="0" applyAlignment="1" applyProtection="1" pivotButton="0" quotePrefix="0" xfId="54">
      <alignment horizontal="left" vertical="bottom" indent="1"/>
      <protection locked="0" hidden="0"/>
    </xf>
    <xf numFmtId="0" fontId="19" fillId="4" borderId="0" applyAlignment="1" applyProtection="1" pivotButton="0" quotePrefix="0" xfId="54">
      <alignment horizontal="left" vertical="bottom"/>
      <protection locked="0" hidden="0"/>
    </xf>
    <xf numFmtId="167" fontId="19" fillId="0" borderId="9" applyAlignment="1" pivotButton="0" quotePrefix="0" xfId="54">
      <alignment horizontal="left" vertical="top"/>
    </xf>
    <xf numFmtId="0" fontId="34" fillId="0" borderId="2" applyAlignment="1" applyProtection="1" pivotButton="0" quotePrefix="0" xfId="54">
      <alignment horizontal="left" vertical="bottom"/>
      <protection locked="0" hidden="0"/>
    </xf>
    <xf numFmtId="167" fontId="34" fillId="0" borderId="2" applyAlignment="1" pivotButton="0" quotePrefix="0" xfId="54">
      <alignment horizontal="right" vertical="bottom" wrapText="1"/>
    </xf>
    <xf numFmtId="167" fontId="34" fillId="0" borderId="2" applyAlignment="1" pivotButton="0" quotePrefix="0" xfId="54">
      <alignment horizontal="right" vertical="bottom"/>
    </xf>
    <xf numFmtId="167" fontId="34" fillId="7" borderId="2" applyAlignment="1" pivotButton="0" quotePrefix="0" xfId="54">
      <alignment horizontal="right" vertical="bottom"/>
    </xf>
    <xf numFmtId="167" fontId="34" fillId="0" borderId="9" applyAlignment="1" pivotButton="0" quotePrefix="0" xfId="54">
      <alignment horizontal="left" vertical="top"/>
    </xf>
    <xf numFmtId="0" fontId="7" fillId="0" borderId="0" applyAlignment="1" pivotButton="0" quotePrefix="0" xfId="54">
      <alignment horizontal="left" vertical="center" indent="3"/>
    </xf>
    <xf numFmtId="167" fontId="7" fillId="0" borderId="0" applyAlignment="1" pivotButton="0" quotePrefix="0" xfId="54">
      <alignment horizontal="right" vertical="center" wrapText="1"/>
    </xf>
    <xf numFmtId="167" fontId="19" fillId="0" borderId="0" applyAlignment="1" pivotButton="0" quotePrefix="0" xfId="54">
      <alignment horizontal="right" vertical="center"/>
    </xf>
    <xf numFmtId="167" fontId="19" fillId="7" borderId="0" applyAlignment="1" pivotButton="0" quotePrefix="0" xfId="54">
      <alignment horizontal="right" vertical="center"/>
    </xf>
    <xf numFmtId="167" fontId="7" fillId="0" borderId="9" applyAlignment="1" pivotButton="0" quotePrefix="0" xfId="54">
      <alignment horizontal="left" vertical="top" wrapText="1"/>
    </xf>
    <xf numFmtId="0" fontId="7" fillId="0" borderId="13" applyAlignment="1" pivotButton="0" quotePrefix="0" xfId="54">
      <alignment horizontal="left" vertical="center" indent="3"/>
    </xf>
    <xf numFmtId="167" fontId="7" fillId="0" borderId="13" applyAlignment="1" pivotButton="0" quotePrefix="0" xfId="54">
      <alignment horizontal="right" vertical="center" wrapText="1"/>
    </xf>
    <xf numFmtId="167" fontId="19" fillId="0" borderId="13" applyAlignment="1" pivotButton="0" quotePrefix="0" xfId="54">
      <alignment horizontal="right" vertical="center"/>
    </xf>
    <xf numFmtId="0" fontId="31" fillId="8" borderId="0" applyAlignment="1" pivotButton="0" quotePrefix="0" xfId="54">
      <alignment horizontal="center" vertical="center"/>
    </xf>
    <xf numFmtId="167" fontId="7" fillId="0" borderId="9" applyAlignment="1" pivotButton="0" quotePrefix="0" xfId="54">
      <alignment horizontal="left" vertical="top"/>
    </xf>
    <xf numFmtId="0" fontId="7" fillId="4" borderId="13" applyAlignment="1" pivotButton="0" quotePrefix="0" xfId="54">
      <alignment horizontal="left" vertical="center" indent="3"/>
    </xf>
    <xf numFmtId="167" fontId="7" fillId="4" borderId="13" applyAlignment="1" pivotButton="0" quotePrefix="0" xfId="54">
      <alignment horizontal="right" vertical="center" wrapText="1"/>
    </xf>
    <xf numFmtId="167" fontId="19" fillId="4" borderId="0" applyAlignment="1" pivotButton="0" quotePrefix="0" xfId="54">
      <alignment horizontal="right" vertical="center" wrapText="1"/>
    </xf>
    <xf numFmtId="167" fontId="19" fillId="0" borderId="9" applyAlignment="1" pivotButton="0" quotePrefix="0" xfId="54">
      <alignment horizontal="left" vertical="top" wrapText="1"/>
    </xf>
    <xf numFmtId="0" fontId="31" fillId="8" borderId="15" applyAlignment="1" pivotButton="0" quotePrefix="0" xfId="54">
      <alignment horizontal="center" vertical="center"/>
    </xf>
    <xf numFmtId="167" fontId="19" fillId="0" borderId="8" applyAlignment="1" pivotButton="0" quotePrefix="0" xfId="54">
      <alignment horizontal="left" vertical="top" wrapText="1"/>
    </xf>
    <xf numFmtId="0" fontId="35" fillId="2" borderId="0" applyAlignment="1" pivotButton="0" quotePrefix="0" xfId="46">
      <alignment horizontal="general" vertical="bottom"/>
    </xf>
    <xf numFmtId="0" fontId="36" fillId="0" borderId="0" applyAlignment="1" pivotButton="0" quotePrefix="0" xfId="50">
      <alignment horizontal="general" vertical="bottom"/>
    </xf>
    <xf numFmtId="0" fontId="25" fillId="0" borderId="0" applyAlignment="1" applyProtection="1" pivotButton="0" quotePrefix="0" xfId="54">
      <alignment horizontal="left" vertical="bottom"/>
      <protection locked="0" hidden="0"/>
    </xf>
    <xf numFmtId="167" fontId="25" fillId="7" borderId="0" applyAlignment="1" pivotButton="0" quotePrefix="0" xfId="54">
      <alignment horizontal="right" vertical="bottom" wrapText="1"/>
    </xf>
    <xf numFmtId="168" fontId="25" fillId="0" borderId="0" applyAlignment="1" pivotButton="0" quotePrefix="0" xfId="54">
      <alignment horizontal="right" vertical="bottom" wrapText="1"/>
    </xf>
    <xf numFmtId="168" fontId="25" fillId="0" borderId="0" applyAlignment="1" pivotButton="0" quotePrefix="0" xfId="54">
      <alignment horizontal="right" vertical="bottom"/>
    </xf>
    <xf numFmtId="168" fontId="25" fillId="7" borderId="0" applyAlignment="1" pivotButton="0" quotePrefix="0" xfId="54">
      <alignment horizontal="right" vertical="bottom"/>
    </xf>
    <xf numFmtId="0" fontId="35" fillId="0" borderId="0" applyAlignment="1" pivotButton="0" quotePrefix="0" xfId="54">
      <alignment horizontal="general" vertical="bottom"/>
    </xf>
    <xf numFmtId="168" fontId="25" fillId="7" borderId="0" applyAlignment="1" pivotButton="0" quotePrefix="0" xfId="54">
      <alignment horizontal="right" vertical="bottom" wrapText="1"/>
    </xf>
    <xf numFmtId="167" fontId="25" fillId="0" borderId="9" applyAlignment="1" pivotButton="0" quotePrefix="0" xfId="54">
      <alignment horizontal="left" vertical="top"/>
    </xf>
    <xf numFmtId="0" fontId="22" fillId="0" borderId="0" applyAlignment="1" pivotButton="0" quotePrefix="0" xfId="57">
      <alignment horizontal="general" vertical="bottom"/>
    </xf>
    <xf numFmtId="0" fontId="34" fillId="0" borderId="16" applyAlignment="1" applyProtection="1" pivotButton="0" quotePrefix="0" xfId="54">
      <alignment horizontal="left" vertical="bottom"/>
      <protection locked="0" hidden="0"/>
    </xf>
    <xf numFmtId="167" fontId="34" fillId="0" borderId="16" applyAlignment="1" pivotButton="0" quotePrefix="0" xfId="54">
      <alignment horizontal="right" vertical="bottom" wrapText="1"/>
    </xf>
    <xf numFmtId="167" fontId="34" fillId="0" borderId="16" applyAlignment="1" pivotButton="0" quotePrefix="0" xfId="54">
      <alignment horizontal="right" vertical="bottom"/>
    </xf>
    <xf numFmtId="167" fontId="34" fillId="0" borderId="16" applyAlignment="1" pivotButton="0" quotePrefix="0" xfId="54">
      <alignment horizontal="right" vertical="bottom"/>
    </xf>
    <xf numFmtId="0" fontId="37" fillId="4" borderId="0" applyAlignment="1" pivotButton="0" quotePrefix="0" xfId="54">
      <alignment horizontal="left" vertical="center"/>
    </xf>
    <xf numFmtId="167" fontId="34" fillId="4" borderId="0" applyAlignment="1" pivotButton="0" quotePrefix="0" xfId="54">
      <alignment horizontal="right" vertical="center" wrapText="1"/>
    </xf>
    <xf numFmtId="167" fontId="34" fillId="0" borderId="0" applyAlignment="1" pivotButton="0" quotePrefix="0" xfId="54">
      <alignment horizontal="right" vertical="center"/>
    </xf>
    <xf numFmtId="167" fontId="34" fillId="7" borderId="0" applyAlignment="1" pivotButton="0" quotePrefix="0" xfId="54">
      <alignment horizontal="right" vertical="center"/>
    </xf>
    <xf numFmtId="0" fontId="7" fillId="4" borderId="0" applyAlignment="1" pivotButton="0" quotePrefix="0" xfId="54">
      <alignment horizontal="left" vertical="center" indent="1"/>
    </xf>
    <xf numFmtId="167" fontId="19" fillId="0" borderId="9" applyAlignment="1" pivotButton="0" quotePrefix="0" xfId="54">
      <alignment horizontal="left" vertical="top"/>
    </xf>
    <xf numFmtId="167" fontId="19" fillId="0" borderId="9" applyAlignment="1" pivotButton="0" quotePrefix="0" xfId="54">
      <alignment horizontal="left" vertical="top" wrapText="1"/>
    </xf>
    <xf numFmtId="0" fontId="34" fillId="7" borderId="2" applyAlignment="1" applyProtection="1" pivotButton="0" quotePrefix="0" xfId="54">
      <alignment horizontal="left" vertical="bottom"/>
      <protection locked="0" hidden="0"/>
    </xf>
    <xf numFmtId="167" fontId="34" fillId="7" borderId="2" applyAlignment="1" pivotButton="0" quotePrefix="0" xfId="54">
      <alignment horizontal="right" vertical="bottom" wrapText="1"/>
    </xf>
    <xf numFmtId="167" fontId="19" fillId="4" borderId="0" applyAlignment="1" pivotButton="0" quotePrefix="0" xfId="54">
      <alignment horizontal="right" vertical="center" wrapText="1"/>
    </xf>
    <xf numFmtId="167" fontId="19" fillId="4" borderId="0" applyAlignment="1" pivotButton="0" quotePrefix="0" xfId="54">
      <alignment horizontal="right" vertical="center"/>
    </xf>
    <xf numFmtId="167" fontId="19" fillId="7" borderId="0" applyAlignment="1" pivotButton="0" quotePrefix="0" xfId="54">
      <alignment horizontal="right" vertical="center"/>
    </xf>
    <xf numFmtId="0" fontId="5" fillId="0" borderId="0" applyAlignment="1" pivotButton="0" quotePrefix="0" xfId="54">
      <alignment horizontal="general" vertical="bottom"/>
    </xf>
    <xf numFmtId="167" fontId="19" fillId="0" borderId="8" applyAlignment="1" pivotButton="0" quotePrefix="0" xfId="54">
      <alignment horizontal="left" vertical="top" wrapText="1"/>
    </xf>
    <xf numFmtId="0" fontId="7" fillId="4" borderId="0" applyAlignment="1" pivotButton="0" quotePrefix="0" xfId="54">
      <alignment horizontal="left" vertical="center" indent="3"/>
    </xf>
    <xf numFmtId="0" fontId="7" fillId="4" borderId="0" applyAlignment="1" pivotButton="0" quotePrefix="0" xfId="54">
      <alignment horizontal="left" vertical="center" indent="2"/>
    </xf>
    <xf numFmtId="167" fontId="7" fillId="4" borderId="0" applyAlignment="1" pivotButton="0" quotePrefix="0" xfId="54">
      <alignment horizontal="right" vertical="center" wrapText="1"/>
    </xf>
    <xf numFmtId="167" fontId="7" fillId="0" borderId="11" applyAlignment="1" pivotButton="0" quotePrefix="0" xfId="54">
      <alignment horizontal="left" vertical="top" wrapText="1"/>
    </xf>
    <xf numFmtId="167" fontId="7" fillId="4" borderId="0" applyAlignment="1" pivotButton="0" quotePrefix="0" xfId="54">
      <alignment horizontal="right" vertical="center" wrapText="1"/>
    </xf>
    <xf numFmtId="167" fontId="19" fillId="4" borderId="0" applyAlignment="1" pivotButton="0" quotePrefix="0" xfId="54">
      <alignment horizontal="right" vertical="center"/>
    </xf>
    <xf numFmtId="167" fontId="7" fillId="0" borderId="11" applyAlignment="1" pivotButton="0" quotePrefix="0" xfId="54">
      <alignment horizontal="left" vertical="top"/>
    </xf>
    <xf numFmtId="167" fontId="7" fillId="0" borderId="8" applyAlignment="1" pivotButton="0" quotePrefix="0" xfId="54">
      <alignment horizontal="left" vertical="top"/>
    </xf>
    <xf numFmtId="0" fontId="31" fillId="8" borderId="17" applyAlignment="1" pivotButton="0" quotePrefix="0" xfId="54">
      <alignment horizontal="center" vertical="center"/>
    </xf>
    <xf numFmtId="0" fontId="19" fillId="4" borderId="13" applyAlignment="1" pivotButton="0" quotePrefix="0" xfId="54">
      <alignment horizontal="left" vertical="center" indent="1"/>
    </xf>
    <xf numFmtId="0" fontId="19" fillId="4" borderId="13" applyAlignment="1" pivotButton="0" quotePrefix="0" xfId="54">
      <alignment horizontal="left" vertical="center"/>
    </xf>
    <xf numFmtId="167" fontId="19" fillId="4" borderId="13" applyAlignment="1" pivotButton="0" quotePrefix="0" xfId="54">
      <alignment horizontal="right" vertical="center" wrapText="1"/>
    </xf>
    <xf numFmtId="167" fontId="19" fillId="4" borderId="13" applyAlignment="1" pivotButton="0" quotePrefix="0" xfId="54">
      <alignment horizontal="right" vertical="center"/>
    </xf>
    <xf numFmtId="167" fontId="19" fillId="7" borderId="13" applyAlignment="1" pivotButton="0" quotePrefix="0" xfId="54">
      <alignment horizontal="right" vertical="center"/>
    </xf>
    <xf numFmtId="0" fontId="38" fillId="0" borderId="0" applyAlignment="1" pivotButton="0" quotePrefix="0" xfId="54">
      <alignment horizontal="general" vertical="bottom"/>
    </xf>
    <xf numFmtId="0" fontId="34" fillId="7" borderId="0" applyAlignment="1" pivotButton="0" quotePrefix="0" xfId="54">
      <alignment horizontal="left" vertical="center"/>
    </xf>
    <xf numFmtId="167" fontId="34" fillId="7" borderId="0" applyAlignment="1" pivotButton="0" quotePrefix="0" xfId="54">
      <alignment horizontal="right" vertical="center" wrapText="1"/>
    </xf>
    <xf numFmtId="167" fontId="34" fillId="7" borderId="0" applyAlignment="1" pivotButton="0" quotePrefix="0" xfId="54">
      <alignment horizontal="right" vertical="center"/>
    </xf>
    <xf numFmtId="167" fontId="34" fillId="0" borderId="9" applyAlignment="1" pivotButton="0" quotePrefix="0" xfId="54">
      <alignment horizontal="left" vertical="top"/>
    </xf>
    <xf numFmtId="0" fontId="5" fillId="2" borderId="0" applyAlignment="1" pivotButton="0" quotePrefix="0" xfId="46">
      <alignment horizontal="general" vertical="bottom" wrapText="1"/>
    </xf>
    <xf numFmtId="0" fontId="33" fillId="0" borderId="0" applyAlignment="1" pivotButton="0" quotePrefix="0" xfId="50">
      <alignment horizontal="general" vertical="bottom" wrapText="1"/>
    </xf>
    <xf numFmtId="0" fontId="23" fillId="4" borderId="0" applyAlignment="1" pivotButton="0" quotePrefix="0" xfId="54">
      <alignment horizontal="left" vertical="center" wrapText="1"/>
    </xf>
    <xf numFmtId="167" fontId="19" fillId="0" borderId="0" applyAlignment="1" pivotButton="0" quotePrefix="0" xfId="54">
      <alignment horizontal="right" vertical="center" wrapText="1"/>
    </xf>
    <xf numFmtId="0" fontId="5" fillId="0" borderId="0" applyAlignment="1" pivotButton="0" quotePrefix="0" xfId="54">
      <alignment horizontal="general" vertical="bottom" wrapText="1"/>
    </xf>
    <xf numFmtId="0" fontId="26" fillId="0" borderId="0" applyAlignment="1" pivotButton="0" quotePrefix="0" xfId="57">
      <alignment horizontal="general" vertical="bottom" wrapText="1"/>
    </xf>
    <xf numFmtId="0" fontId="7" fillId="0" borderId="0" applyAlignment="1" pivotButton="0" quotePrefix="0" xfId="57">
      <alignment horizontal="general" vertical="bottom" wrapText="1"/>
    </xf>
    <xf numFmtId="0" fontId="7" fillId="0" borderId="0" applyAlignment="1" pivotButton="0" quotePrefix="0" xfId="54">
      <alignment horizontal="left" vertical="center" wrapText="1" indent="3"/>
    </xf>
    <xf numFmtId="0" fontId="31" fillId="8" borderId="10" applyAlignment="1" pivotButton="0" quotePrefix="0" xfId="54">
      <alignment horizontal="center" vertical="center" wrapText="1"/>
    </xf>
    <xf numFmtId="167" fontId="19" fillId="0" borderId="0" applyAlignment="1" pivotButton="0" quotePrefix="0" xfId="54">
      <alignment horizontal="right" vertical="center" wrapText="1"/>
    </xf>
    <xf numFmtId="167" fontId="19" fillId="7" borderId="0" applyAlignment="1" pivotButton="0" quotePrefix="0" xfId="54">
      <alignment horizontal="right" vertical="center" wrapText="1"/>
    </xf>
    <xf numFmtId="0" fontId="7" fillId="0" borderId="13" applyAlignment="1" pivotButton="0" quotePrefix="0" xfId="54">
      <alignment horizontal="left" vertical="center" wrapText="1" indent="3"/>
    </xf>
    <xf numFmtId="167" fontId="19" fillId="0" borderId="13" applyAlignment="1" pivotButton="0" quotePrefix="0" xfId="54">
      <alignment horizontal="right" vertical="center" wrapText="1"/>
    </xf>
    <xf numFmtId="167" fontId="19" fillId="7" borderId="13" applyAlignment="1" pivotButton="0" quotePrefix="0" xfId="54">
      <alignment horizontal="right" vertical="center" wrapText="1"/>
    </xf>
    <xf numFmtId="0" fontId="7" fillId="0" borderId="0" applyAlignment="1" pivotButton="0" quotePrefix="0" xfId="54">
      <alignment horizontal="left" vertical="center" wrapText="1" indent="2"/>
    </xf>
    <xf numFmtId="0" fontId="31" fillId="8" borderId="12" applyAlignment="1" pivotButton="0" quotePrefix="0" xfId="54">
      <alignment horizontal="center" vertical="center" wrapText="1"/>
    </xf>
    <xf numFmtId="167" fontId="39" fillId="0" borderId="9" applyAlignment="1" pivotButton="0" quotePrefix="0" xfId="54">
      <alignment horizontal="left" vertical="top" wrapText="1"/>
    </xf>
    <xf numFmtId="0" fontId="31" fillId="8" borderId="15" applyAlignment="1" pivotButton="0" quotePrefix="0" xfId="54">
      <alignment horizontal="center" vertical="center" wrapText="1"/>
    </xf>
    <xf numFmtId="0" fontId="7" fillId="0" borderId="0" applyAlignment="1" pivotButton="0" quotePrefix="0" xfId="54">
      <alignment horizontal="left" vertical="center" wrapText="1" indent="2"/>
    </xf>
    <xf numFmtId="167" fontId="7" fillId="0" borderId="0" applyAlignment="1" pivotButton="0" quotePrefix="0" xfId="54">
      <alignment horizontal="right" vertical="center" wrapText="1"/>
    </xf>
    <xf numFmtId="167" fontId="19" fillId="0" borderId="0" applyAlignment="1" pivotButton="0" quotePrefix="0" xfId="54">
      <alignment horizontal="right" vertical="center" wrapText="1"/>
    </xf>
    <xf numFmtId="167" fontId="19" fillId="7" borderId="0" applyAlignment="1" pivotButton="0" quotePrefix="0" xfId="54">
      <alignment horizontal="right" vertical="center" wrapText="1"/>
    </xf>
    <xf numFmtId="0" fontId="31" fillId="8" borderId="0" applyAlignment="1" pivotButton="0" quotePrefix="0" xfId="54">
      <alignment horizontal="center" vertical="center" wrapText="1"/>
    </xf>
    <xf numFmtId="0" fontId="7" fillId="4" borderId="0" applyAlignment="1" pivotButton="0" quotePrefix="0" xfId="54">
      <alignment horizontal="left" vertical="center" wrapText="1" indent="2"/>
    </xf>
    <xf numFmtId="0" fontId="7" fillId="0" borderId="13" applyAlignment="1" pivotButton="0" quotePrefix="0" xfId="54">
      <alignment horizontal="left" vertical="center" wrapText="1" indent="2"/>
    </xf>
    <xf numFmtId="0" fontId="31" fillId="8" borderId="13" applyAlignment="1" pivotButton="0" quotePrefix="0" xfId="54">
      <alignment horizontal="center" vertical="center" wrapText="1"/>
    </xf>
    <xf numFmtId="1" fontId="32" fillId="0" borderId="0" applyAlignment="1" pivotButton="0" quotePrefix="0" xfId="54">
      <alignment horizontal="general" vertical="bottom"/>
    </xf>
    <xf numFmtId="0" fontId="25" fillId="7" borderId="3" applyAlignment="1" pivotButton="0" quotePrefix="0" xfId="54">
      <alignment horizontal="left" vertical="center"/>
    </xf>
    <xf numFmtId="0" fontId="19" fillId="7" borderId="3" applyAlignment="1" pivotButton="0" quotePrefix="0" xfId="54">
      <alignment horizontal="left" vertical="center"/>
    </xf>
    <xf numFmtId="168" fontId="25" fillId="7" borderId="3" applyAlignment="1" pivotButton="0" quotePrefix="0" xfId="54">
      <alignment horizontal="right" vertical="center" wrapText="1"/>
    </xf>
    <xf numFmtId="168" fontId="25" fillId="7" borderId="3" applyAlignment="1" pivotButton="0" quotePrefix="0" xfId="54">
      <alignment horizontal="right" vertical="center"/>
    </xf>
    <xf numFmtId="168" fontId="25" fillId="0" borderId="18" applyAlignment="1" pivotButton="0" quotePrefix="0" xfId="54">
      <alignment horizontal="left" vertical="top"/>
    </xf>
    <xf numFmtId="0" fontId="5" fillId="4" borderId="0" applyAlignment="1" pivotButton="0" quotePrefix="0" xfId="54">
      <alignment horizontal="general" vertical="bottom"/>
    </xf>
    <xf numFmtId="0" fontId="5" fillId="4" borderId="0" applyAlignment="1" pivotButton="0" quotePrefix="0" xfId="54">
      <alignment horizontal="left" vertical="top"/>
    </xf>
    <xf numFmtId="0" fontId="23" fillId="4" borderId="0" applyAlignment="1" pivotButton="0" quotePrefix="0" xfId="54">
      <alignment horizontal="left" vertical="center" indent="1"/>
    </xf>
    <xf numFmtId="0" fontId="40" fillId="0" borderId="0" applyAlignment="1" pivotButton="0" quotePrefix="0" xfId="50">
      <alignment horizontal="general" vertical="bottom"/>
    </xf>
    <xf numFmtId="0" fontId="35" fillId="4" borderId="0" applyAlignment="1" pivotButton="0" quotePrefix="0" xfId="54">
      <alignment horizontal="left" vertical="bottom" indent="1"/>
    </xf>
    <xf numFmtId="0" fontId="35" fillId="4" borderId="0" applyAlignment="1" pivotButton="0" quotePrefix="0" xfId="54">
      <alignment horizontal="general" vertical="bottom"/>
    </xf>
    <xf numFmtId="169" fontId="35" fillId="4" borderId="0" applyAlignment="1" pivotButton="0" quotePrefix="0" xfId="54">
      <alignment horizontal="general" vertical="bottom"/>
    </xf>
    <xf numFmtId="0" fontId="35" fillId="4" borderId="0" applyAlignment="1" pivotButton="0" quotePrefix="0" xfId="54">
      <alignment horizontal="left" vertical="top"/>
    </xf>
    <xf numFmtId="167" fontId="35" fillId="4" borderId="0" applyAlignment="1" pivotButton="0" quotePrefix="0" xfId="54">
      <alignment horizontal="right" vertical="bottom"/>
    </xf>
    <xf numFmtId="167" fontId="7" fillId="0" borderId="0" applyAlignment="1" pivotButton="0" quotePrefix="0" xfId="57">
      <alignment horizontal="right" vertical="bottom"/>
    </xf>
    <xf numFmtId="0" fontId="5" fillId="0" borderId="0" applyAlignment="1" pivotButton="0" quotePrefix="0" xfId="50">
      <alignment horizontal="general" vertical="bottom"/>
    </xf>
    <xf numFmtId="0" fontId="32" fillId="0" borderId="0" applyAlignment="1" pivotButton="0" quotePrefix="0" xfId="54">
      <alignment horizontal="general" vertical="bottom"/>
    </xf>
    <xf numFmtId="166" fontId="31" fillId="5" borderId="19" applyAlignment="1" pivotButton="0" quotePrefix="0" xfId="54">
      <alignment horizontal="right" vertical="top"/>
    </xf>
    <xf numFmtId="0" fontId="7" fillId="0" borderId="13" applyAlignment="1" pivotButton="0" quotePrefix="0" xfId="54">
      <alignment horizontal="left" vertical="center" indent="2"/>
    </xf>
    <xf numFmtId="0" fontId="7" fillId="0" borderId="0" applyAlignment="1" pivotButton="0" quotePrefix="0" xfId="54">
      <alignment horizontal="left" vertical="center" indent="1"/>
    </xf>
    <xf numFmtId="167" fontId="7" fillId="0" borderId="0" applyAlignment="1" pivotButton="0" quotePrefix="0" xfId="54">
      <alignment horizontal="right" vertical="center" wrapText="1"/>
    </xf>
    <xf numFmtId="167" fontId="19" fillId="0" borderId="0" applyAlignment="1" pivotButton="0" quotePrefix="0" xfId="54">
      <alignment horizontal="right" vertical="center"/>
    </xf>
    <xf numFmtId="0" fontId="33" fillId="4" borderId="0" applyAlignment="1" pivotButton="0" quotePrefix="0" xfId="50">
      <alignment horizontal="general" vertical="bottom"/>
    </xf>
    <xf numFmtId="0" fontId="7" fillId="4" borderId="3" applyAlignment="1" pivotButton="0" quotePrefix="0" xfId="54">
      <alignment horizontal="left" vertical="center" indent="2"/>
    </xf>
    <xf numFmtId="0" fontId="31" fillId="4" borderId="3" applyAlignment="1" pivotButton="0" quotePrefix="0" xfId="54">
      <alignment horizontal="center" vertical="center"/>
    </xf>
    <xf numFmtId="167" fontId="7" fillId="4" borderId="3" applyAlignment="1" pivotButton="0" quotePrefix="0" xfId="54">
      <alignment horizontal="right" vertical="center" wrapText="1"/>
    </xf>
    <xf numFmtId="167" fontId="19" fillId="4" borderId="3" applyAlignment="1" pivotButton="0" quotePrefix="0" xfId="54">
      <alignment horizontal="right" vertical="center"/>
    </xf>
    <xf numFmtId="167" fontId="19" fillId="4" borderId="3" applyAlignment="1" pivotButton="0" quotePrefix="0" xfId="54">
      <alignment horizontal="left" vertical="top"/>
    </xf>
    <xf numFmtId="0" fontId="26" fillId="4" borderId="0" applyAlignment="1" pivotButton="0" quotePrefix="0" xfId="57">
      <alignment horizontal="general" vertical="bottom"/>
    </xf>
    <xf numFmtId="0" fontId="7" fillId="4" borderId="0" applyAlignment="1" pivotButton="0" quotePrefix="0" xfId="57">
      <alignment horizontal="general" vertical="bottom"/>
    </xf>
    <xf numFmtId="0" fontId="0" fillId="0" borderId="0" applyAlignment="1" pivotButton="0" quotePrefix="0" xfId="0">
      <alignment horizontal="general" vertical="top"/>
    </xf>
    <xf numFmtId="0" fontId="5" fillId="0" borderId="0" applyAlignment="1" pivotButton="0" quotePrefix="0" xfId="47">
      <alignment horizontal="general" vertical="bottom"/>
    </xf>
    <xf numFmtId="0" fontId="5" fillId="2" borderId="0" applyAlignment="1" pivotButton="0" quotePrefix="0" xfId="39">
      <alignment horizontal="left" vertical="bottom"/>
    </xf>
    <xf numFmtId="0" fontId="5" fillId="0" borderId="0" applyAlignment="1" pivotButton="0" quotePrefix="0" xfId="39">
      <alignment horizontal="left" vertical="bottom"/>
    </xf>
    <xf numFmtId="170" fontId="5" fillId="0" borderId="0" applyAlignment="1" pivotButton="0" quotePrefix="0" xfId="39">
      <alignment horizontal="general" vertical="bottom"/>
    </xf>
    <xf numFmtId="0" fontId="5" fillId="4" borderId="0" applyAlignment="1" pivotButton="0" quotePrefix="0" xfId="50">
      <alignment horizontal="general" vertical="bottom"/>
    </xf>
    <xf numFmtId="0" fontId="21" fillId="2" borderId="4" applyAlignment="1" pivotButton="0" quotePrefix="0" xfId="54">
      <alignment horizontal="left" vertical="center"/>
    </xf>
    <xf numFmtId="0" fontId="5" fillId="4" borderId="0" applyAlignment="1" pivotButton="0" quotePrefix="0" xfId="50">
      <alignment horizontal="general" vertical="bottom"/>
    </xf>
    <xf numFmtId="0" fontId="31" fillId="5" borderId="20" applyAlignment="1" pivotButton="0" quotePrefix="0" xfId="54">
      <alignment horizontal="right" vertical="bottom" wrapText="1"/>
    </xf>
    <xf numFmtId="0" fontId="31" fillId="5" borderId="19" applyAlignment="1" pivotButton="0" quotePrefix="0" xfId="54">
      <alignment horizontal="right" vertical="bottom" wrapText="1"/>
    </xf>
    <xf numFmtId="166" fontId="31" fillId="5" borderId="21" applyAlignment="1" pivotButton="0" quotePrefix="0" xfId="54">
      <alignment horizontal="right" vertical="bottom" wrapText="1"/>
    </xf>
    <xf numFmtId="0" fontId="34" fillId="0" borderId="0" applyAlignment="1" applyProtection="1" pivotButton="0" quotePrefix="0" xfId="54">
      <alignment horizontal="left" vertical="bottom"/>
      <protection locked="0" hidden="0"/>
    </xf>
    <xf numFmtId="167" fontId="19" fillId="4" borderId="0" applyAlignment="1" pivotButton="0" quotePrefix="0" xfId="54">
      <alignment horizontal="right" vertical="bottom"/>
    </xf>
    <xf numFmtId="0" fontId="34" fillId="7" borderId="22" applyAlignment="1" applyProtection="1" pivotButton="0" quotePrefix="0" xfId="54">
      <alignment horizontal="general" vertical="center"/>
      <protection locked="0" hidden="0"/>
    </xf>
    <xf numFmtId="167" fontId="34" fillId="7" borderId="22" applyAlignment="1" pivotButton="0" quotePrefix="0" xfId="54">
      <alignment horizontal="general" vertical="center"/>
    </xf>
    <xf numFmtId="0" fontId="35" fillId="2" borderId="0" applyAlignment="1" pivotButton="0" quotePrefix="0" xfId="46">
      <alignment horizontal="general" vertical="bottom"/>
    </xf>
    <xf numFmtId="0" fontId="36" fillId="4" borderId="0" applyAlignment="1" pivotButton="0" quotePrefix="0" xfId="50">
      <alignment horizontal="general" vertical="bottom"/>
    </xf>
    <xf numFmtId="0" fontId="22" fillId="7" borderId="3" applyAlignment="1" applyProtection="1" pivotButton="0" quotePrefix="0" xfId="54">
      <alignment horizontal="left" vertical="bottom"/>
      <protection locked="0" hidden="0"/>
    </xf>
    <xf numFmtId="167" fontId="22" fillId="7" borderId="3" applyAlignment="1" pivotButton="0" quotePrefix="0" xfId="54">
      <alignment horizontal="right" vertical="bottom"/>
    </xf>
    <xf numFmtId="168" fontId="22" fillId="7" borderId="3" applyAlignment="1" pivotButton="0" quotePrefix="0" xfId="54">
      <alignment horizontal="right" vertical="bottom"/>
    </xf>
    <xf numFmtId="0" fontId="35" fillId="0" borderId="0" applyAlignment="1" pivotButton="0" quotePrefix="0" xfId="54">
      <alignment horizontal="general" vertical="bottom"/>
    </xf>
    <xf numFmtId="0" fontId="34" fillId="0" borderId="13" applyAlignment="1" applyProtection="1" pivotButton="0" quotePrefix="0" xfId="54">
      <alignment horizontal="left" vertical="bottom"/>
      <protection locked="0" hidden="0"/>
    </xf>
    <xf numFmtId="167" fontId="34" fillId="0" borderId="13" applyAlignment="1" pivotButton="0" quotePrefix="0" xfId="54">
      <alignment horizontal="right" vertical="bottom"/>
    </xf>
    <xf numFmtId="167" fontId="38" fillId="0" borderId="0" applyAlignment="1" pivotButton="0" quotePrefix="0" xfId="54">
      <alignment horizontal="right" vertical="bottom"/>
    </xf>
    <xf numFmtId="167" fontId="5" fillId="0" borderId="0" applyAlignment="1" pivotButton="0" quotePrefix="0" xfId="54">
      <alignment horizontal="right" vertical="bottom"/>
    </xf>
    <xf numFmtId="0" fontId="19" fillId="0" borderId="0" applyAlignment="1" applyProtection="1" pivotButton="0" quotePrefix="0" xfId="54">
      <alignment horizontal="left" vertical="bottom" indent="1"/>
      <protection locked="0" hidden="0"/>
    </xf>
    <xf numFmtId="0" fontId="19" fillId="0" borderId="13" applyAlignment="1" applyProtection="1" pivotButton="0" quotePrefix="0" xfId="54">
      <alignment horizontal="left" vertical="bottom" indent="1"/>
      <protection locked="0" hidden="0"/>
    </xf>
    <xf numFmtId="167" fontId="5" fillId="0" borderId="13" applyAlignment="1" pivotButton="0" quotePrefix="0" xfId="54">
      <alignment horizontal="right" vertical="bottom"/>
    </xf>
    <xf numFmtId="0" fontId="34" fillId="7" borderId="0" applyAlignment="1" applyProtection="1" pivotButton="0" quotePrefix="0" xfId="54">
      <alignment horizontal="left" vertical="bottom"/>
      <protection locked="0" hidden="0"/>
    </xf>
    <xf numFmtId="168" fontId="25" fillId="7" borderId="3" applyAlignment="1" pivotButton="0" quotePrefix="0" xfId="54">
      <alignment horizontal="right" vertical="bottom"/>
    </xf>
    <xf numFmtId="171" fontId="35" fillId="0" borderId="0" applyAlignment="1" pivotButton="0" quotePrefix="0" xfId="21">
      <alignment horizontal="general" vertical="bottom"/>
    </xf>
    <xf numFmtId="0" fontId="26" fillId="0" borderId="0" applyAlignment="1" pivotButton="0" quotePrefix="0" xfId="57">
      <alignment horizontal="left" vertical="bottom"/>
    </xf>
    <xf numFmtId="0" fontId="5" fillId="0" borderId="0" applyAlignment="1" pivotButton="0" quotePrefix="0" xfId="39">
      <alignment horizontal="general" vertical="bottom"/>
    </xf>
    <xf numFmtId="0" fontId="26" fillId="0" borderId="0" applyAlignment="1" pivotButton="0" quotePrefix="0" xfId="39">
      <alignment horizontal="left" vertical="bottom"/>
    </xf>
    <xf numFmtId="0" fontId="26" fillId="0" borderId="0" applyAlignment="1" pivotButton="0" quotePrefix="0" xfId="57">
      <alignment horizontal="left" vertical="bottom"/>
    </xf>
    <xf numFmtId="0" fontId="5" fillId="0" borderId="0" applyAlignment="1" pivotButton="0" quotePrefix="0" xfId="50">
      <alignment horizontal="general" vertical="bottom"/>
    </xf>
    <xf numFmtId="166" fontId="31" fillId="5" borderId="0" applyAlignment="1" pivotButton="0" quotePrefix="0" xfId="54">
      <alignment horizontal="right" vertical="bottom"/>
    </xf>
    <xf numFmtId="166" fontId="31" fillId="5" borderId="20" applyAlignment="1" pivotButton="0" quotePrefix="0" xfId="54">
      <alignment horizontal="right" vertical="bottom"/>
    </xf>
    <xf numFmtId="166" fontId="31" fillId="5" borderId="19" applyAlignment="1" pivotButton="0" quotePrefix="0" xfId="54">
      <alignment horizontal="right" vertical="bottom" wrapText="1"/>
    </xf>
    <xf numFmtId="0" fontId="33" fillId="0" borderId="0" applyAlignment="1" pivotButton="0" quotePrefix="0" xfId="50">
      <alignment horizontal="general" vertical="bottom"/>
    </xf>
    <xf numFmtId="167" fontId="34" fillId="0" borderId="23" applyAlignment="1" pivotButton="0" quotePrefix="0" xfId="54">
      <alignment horizontal="right" vertical="bottom"/>
    </xf>
    <xf numFmtId="167" fontId="34" fillId="0" borderId="0" applyAlignment="1" pivotButton="0" quotePrefix="0" xfId="54">
      <alignment horizontal="right" vertical="bottom"/>
    </xf>
    <xf numFmtId="167" fontId="34" fillId="0" borderId="4" applyAlignment="1" pivotButton="0" quotePrefix="0" xfId="54">
      <alignment horizontal="right" vertical="bottom"/>
    </xf>
    <xf numFmtId="0" fontId="34" fillId="0" borderId="23" applyAlignment="1" pivotButton="0" quotePrefix="0" xfId="54">
      <alignment horizontal="right" vertical="bottom"/>
    </xf>
    <xf numFmtId="0" fontId="34" fillId="0" borderId="0" applyAlignment="1" pivotButton="0" quotePrefix="0" xfId="54">
      <alignment horizontal="right" vertical="bottom"/>
    </xf>
    <xf numFmtId="0" fontId="34" fillId="0" borderId="4" applyAlignment="1" pivotButton="0" quotePrefix="0" xfId="54">
      <alignment horizontal="right" vertical="bottom"/>
    </xf>
    <xf numFmtId="167" fontId="19" fillId="4" borderId="0" applyAlignment="1" pivotButton="0" quotePrefix="0" xfId="54">
      <alignment horizontal="right" vertical="center"/>
    </xf>
    <xf numFmtId="167" fontId="19" fillId="4" borderId="23" applyAlignment="1" pivotButton="0" quotePrefix="0" xfId="54">
      <alignment horizontal="right" vertical="center"/>
    </xf>
    <xf numFmtId="167" fontId="19" fillId="4" borderId="4" applyAlignment="1" pivotButton="0" quotePrefix="0" xfId="54">
      <alignment horizontal="right" vertical="center"/>
    </xf>
    <xf numFmtId="167" fontId="19" fillId="0" borderId="23" applyAlignment="1" pivotButton="0" quotePrefix="0" xfId="54">
      <alignment horizontal="right" vertical="bottom"/>
    </xf>
    <xf numFmtId="167" fontId="19" fillId="0" borderId="0" applyAlignment="1" pivotButton="0" quotePrefix="0" xfId="54">
      <alignment horizontal="right" vertical="bottom"/>
    </xf>
    <xf numFmtId="167" fontId="19" fillId="0" borderId="4" applyAlignment="1" pivotButton="0" quotePrefix="0" xfId="54">
      <alignment horizontal="right" vertical="bottom"/>
    </xf>
    <xf numFmtId="167" fontId="19" fillId="4" borderId="24" applyAlignment="1" pivotButton="0" quotePrefix="0" xfId="54">
      <alignment horizontal="right" vertical="center"/>
    </xf>
    <xf numFmtId="167" fontId="19" fillId="4" borderId="25" applyAlignment="1" pivotButton="0" quotePrefix="0" xfId="54">
      <alignment horizontal="right" vertical="center"/>
    </xf>
    <xf numFmtId="167" fontId="34" fillId="0" borderId="26" applyAlignment="1" pivotButton="0" quotePrefix="0" xfId="54">
      <alignment horizontal="right" vertical="bottom"/>
    </xf>
    <xf numFmtId="167" fontId="34" fillId="0" borderId="27" applyAlignment="1" pivotButton="0" quotePrefix="0" xfId="54">
      <alignment horizontal="right" vertical="bottom"/>
    </xf>
    <xf numFmtId="167" fontId="19" fillId="0" borderId="0" applyAlignment="1" pivotButton="0" quotePrefix="0" xfId="54">
      <alignment horizontal="right" vertical="center"/>
    </xf>
    <xf numFmtId="167" fontId="19" fillId="0" borderId="23" applyAlignment="1" pivotButton="0" quotePrefix="0" xfId="54">
      <alignment horizontal="right" vertical="center"/>
    </xf>
    <xf numFmtId="167" fontId="19" fillId="0" borderId="0" applyAlignment="1" pivotButton="0" quotePrefix="0" xfId="54">
      <alignment horizontal="right" vertical="center"/>
    </xf>
    <xf numFmtId="167" fontId="19" fillId="0" borderId="4" applyAlignment="1" pivotButton="0" quotePrefix="0" xfId="54">
      <alignment horizontal="right" vertical="center"/>
    </xf>
    <xf numFmtId="167" fontId="19" fillId="0" borderId="13" applyAlignment="1" pivotButton="0" quotePrefix="0" xfId="54">
      <alignment horizontal="right" vertical="center"/>
    </xf>
    <xf numFmtId="167" fontId="19" fillId="0" borderId="24" applyAlignment="1" pivotButton="0" quotePrefix="0" xfId="54">
      <alignment horizontal="right" vertical="center"/>
    </xf>
    <xf numFmtId="167" fontId="19" fillId="0" borderId="25" applyAlignment="1" pivotButton="0" quotePrefix="0" xfId="54">
      <alignment horizontal="right" vertical="center"/>
    </xf>
    <xf numFmtId="0" fontId="36" fillId="0" borderId="0" applyAlignment="1" pivotButton="0" quotePrefix="0" xfId="50">
      <alignment horizontal="general" vertical="bottom"/>
    </xf>
    <xf numFmtId="167" fontId="25" fillId="7" borderId="0" applyAlignment="1" pivotButton="0" quotePrefix="0" xfId="54">
      <alignment horizontal="right" vertical="bottom"/>
    </xf>
    <xf numFmtId="168" fontId="25" fillId="0" borderId="28" applyAlignment="1" pivotButton="0" quotePrefix="0" xfId="54">
      <alignment horizontal="right" vertical="bottom"/>
    </xf>
    <xf numFmtId="168" fontId="25" fillId="0" borderId="4" applyAlignment="1" pivotButton="0" quotePrefix="0" xfId="54">
      <alignment horizontal="right" vertical="bottom"/>
    </xf>
    <xf numFmtId="167" fontId="34" fillId="0" borderId="29" applyAlignment="1" pivotButton="0" quotePrefix="0" xfId="54">
      <alignment horizontal="right" vertical="bottom"/>
    </xf>
    <xf numFmtId="167" fontId="34" fillId="0" borderId="0" applyAlignment="1" pivotButton="0" quotePrefix="0" xfId="54">
      <alignment horizontal="right" vertical="center"/>
    </xf>
    <xf numFmtId="167" fontId="34" fillId="0" borderId="23" applyAlignment="1" pivotButton="0" quotePrefix="0" xfId="54">
      <alignment horizontal="right" vertical="center"/>
    </xf>
    <xf numFmtId="167" fontId="34" fillId="0" borderId="0" applyAlignment="1" pivotButton="0" quotePrefix="0" xfId="54">
      <alignment horizontal="right" vertical="center"/>
    </xf>
    <xf numFmtId="167" fontId="34" fillId="0" borderId="4" applyAlignment="1" pivotButton="0" quotePrefix="0" xfId="54">
      <alignment horizontal="right" vertical="center"/>
    </xf>
    <xf numFmtId="167" fontId="34" fillId="7" borderId="26" applyAlignment="1" pivotButton="0" quotePrefix="0" xfId="54">
      <alignment horizontal="right" vertical="bottom"/>
    </xf>
    <xf numFmtId="167" fontId="34" fillId="7" borderId="27" applyAlignment="1" pivotButton="0" quotePrefix="0" xfId="54">
      <alignment horizontal="right" vertical="bottom"/>
    </xf>
    <xf numFmtId="167" fontId="34" fillId="7" borderId="2" applyAlignment="1" pivotButton="0" quotePrefix="0" xfId="54">
      <alignment horizontal="right" vertical="center"/>
    </xf>
    <xf numFmtId="167" fontId="34" fillId="7" borderId="23" applyAlignment="1" pivotButton="0" quotePrefix="0" xfId="54">
      <alignment horizontal="right" vertical="center"/>
    </xf>
    <xf numFmtId="167" fontId="34" fillId="7" borderId="0" applyAlignment="1" pivotButton="0" quotePrefix="0" xfId="54">
      <alignment horizontal="right" vertical="center"/>
    </xf>
    <xf numFmtId="167" fontId="34" fillId="7" borderId="4" applyAlignment="1" pivotButton="0" quotePrefix="0" xfId="54">
      <alignment horizontal="right" vertical="center"/>
    </xf>
    <xf numFmtId="0" fontId="33" fillId="0" borderId="0" applyAlignment="1" pivotButton="0" quotePrefix="0" xfId="50">
      <alignment horizontal="general" vertical="bottom" wrapText="1"/>
    </xf>
    <xf numFmtId="167" fontId="19" fillId="4" borderId="23" applyAlignment="1" pivotButton="0" quotePrefix="0" xfId="54">
      <alignment horizontal="right" vertical="center" wrapText="1"/>
    </xf>
    <xf numFmtId="167" fontId="19" fillId="4" borderId="0" applyAlignment="1" pivotButton="0" quotePrefix="0" xfId="54">
      <alignment horizontal="right" vertical="center" wrapText="1"/>
    </xf>
    <xf numFmtId="167" fontId="19" fillId="4" borderId="4" applyAlignment="1" pivotButton="0" quotePrefix="0" xfId="54">
      <alignment horizontal="right" vertical="center" wrapText="1"/>
    </xf>
    <xf numFmtId="167" fontId="19" fillId="0" borderId="0" applyAlignment="1" pivotButton="0" quotePrefix="0" xfId="54">
      <alignment horizontal="right" vertical="center" wrapText="1"/>
    </xf>
    <xf numFmtId="167" fontId="19" fillId="0" borderId="23" applyAlignment="1" pivotButton="0" quotePrefix="0" xfId="54">
      <alignment horizontal="right" vertical="center" wrapText="1"/>
    </xf>
    <xf numFmtId="167" fontId="19" fillId="0" borderId="0" applyAlignment="1" pivotButton="0" quotePrefix="0" xfId="54">
      <alignment horizontal="right" vertical="center" wrapText="1"/>
    </xf>
    <xf numFmtId="167" fontId="19" fillId="0" borderId="4" applyAlignment="1" pivotButton="0" quotePrefix="0" xfId="54">
      <alignment horizontal="right" vertical="center" wrapText="1"/>
    </xf>
    <xf numFmtId="167" fontId="19" fillId="0" borderId="13" applyAlignment="1" pivotButton="0" quotePrefix="0" xfId="54">
      <alignment horizontal="right" vertical="center" wrapText="1"/>
    </xf>
    <xf numFmtId="167" fontId="19" fillId="0" borderId="24" applyAlignment="1" pivotButton="0" quotePrefix="0" xfId="54">
      <alignment horizontal="right" vertical="center" wrapText="1"/>
    </xf>
    <xf numFmtId="167" fontId="19" fillId="0" borderId="25" applyAlignment="1" pivotButton="0" quotePrefix="0" xfId="54">
      <alignment horizontal="right" vertical="center" wrapText="1"/>
    </xf>
    <xf numFmtId="168" fontId="25" fillId="7" borderId="28" applyAlignment="1" pivotButton="0" quotePrefix="0" xfId="54">
      <alignment horizontal="right" vertical="center"/>
    </xf>
    <xf numFmtId="168" fontId="25" fillId="7" borderId="30" applyAlignment="1" pivotButton="0" quotePrefix="0" xfId="54">
      <alignment horizontal="right" vertical="center"/>
    </xf>
    <xf numFmtId="0" fontId="5" fillId="4" borderId="0" applyAlignment="1" pivotButton="0" quotePrefix="0" xfId="54">
      <alignment horizontal="general" vertical="bottom"/>
    </xf>
    <xf numFmtId="0" fontId="25" fillId="4" borderId="0" applyAlignment="1" pivotButton="0" quotePrefix="0" xfId="54">
      <alignment horizontal="left" vertical="center" indent="1"/>
    </xf>
    <xf numFmtId="0" fontId="40" fillId="0" borderId="0" applyAlignment="1" pivotButton="0" quotePrefix="0" xfId="50">
      <alignment horizontal="general" vertical="bottom"/>
    </xf>
    <xf numFmtId="169" fontId="35" fillId="4" borderId="0" applyAlignment="1" pivotButton="0" quotePrefix="0" xfId="54">
      <alignment horizontal="general" vertical="bottom"/>
    </xf>
    <xf numFmtId="167" fontId="35" fillId="4" borderId="0" applyAlignment="1" pivotButton="0" quotePrefix="0" xfId="54">
      <alignment horizontal="right" vertical="bottom"/>
    </xf>
    <xf numFmtId="0" fontId="22" fillId="4" borderId="0" applyAlignment="1" pivotButton="0" quotePrefix="0" xfId="54">
      <alignment horizontal="left" vertical="center"/>
    </xf>
    <xf numFmtId="167" fontId="25" fillId="0" borderId="0" applyAlignment="1" pivotButton="0" quotePrefix="0" xfId="54">
      <alignment horizontal="right" vertical="center"/>
    </xf>
    <xf numFmtId="167" fontId="25" fillId="0" borderId="0" applyAlignment="1" pivotButton="0" quotePrefix="0" xfId="54">
      <alignment horizontal="right" vertical="center"/>
    </xf>
    <xf numFmtId="172" fontId="25" fillId="4" borderId="0" applyAlignment="1" pivotButton="0" quotePrefix="0" xfId="54">
      <alignment horizontal="left" vertical="top"/>
    </xf>
    <xf numFmtId="167" fontId="25" fillId="4" borderId="0" applyAlignment="1" pivotButton="0" quotePrefix="0" xfId="54">
      <alignment horizontal="left" vertical="top"/>
    </xf>
    <xf numFmtId="0" fontId="5" fillId="0" borderId="0" applyAlignment="1" pivotButton="0" quotePrefix="0" xfId="50">
      <alignment horizontal="general" vertical="bottom"/>
    </xf>
    <xf numFmtId="0" fontId="31" fillId="5" borderId="0" applyAlignment="1" applyProtection="1" pivotButton="0" quotePrefix="0" xfId="54">
      <alignment horizontal="left" vertical="bottom"/>
      <protection locked="0" hidden="0"/>
    </xf>
    <xf numFmtId="166" fontId="31" fillId="5" borderId="0" applyAlignment="1" pivotButton="0" quotePrefix="0" xfId="54">
      <alignment horizontal="right" vertical="bottom"/>
    </xf>
    <xf numFmtId="167" fontId="19" fillId="0" borderId="0" applyAlignment="1" pivotButton="0" quotePrefix="0" xfId="54">
      <alignment horizontal="right" vertical="center"/>
    </xf>
    <xf numFmtId="167" fontId="19" fillId="0" borderId="23" applyAlignment="1" pivotButton="0" quotePrefix="0" xfId="54">
      <alignment horizontal="right" vertical="center"/>
    </xf>
    <xf numFmtId="167" fontId="19" fillId="0" borderId="0" applyAlignment="1" pivotButton="0" quotePrefix="0" xfId="54">
      <alignment horizontal="right" vertical="center"/>
    </xf>
    <xf numFmtId="167" fontId="19" fillId="0" borderId="4" applyAlignment="1" pivotButton="0" quotePrefix="0" xfId="54">
      <alignment horizontal="right" vertical="center"/>
    </xf>
    <xf numFmtId="167" fontId="19" fillId="4" borderId="3" applyAlignment="1" pivotButton="0" quotePrefix="0" xfId="54">
      <alignment horizontal="right" vertical="center"/>
    </xf>
    <xf numFmtId="167" fontId="19" fillId="4" borderId="28" applyAlignment="1" pivotButton="0" quotePrefix="0" xfId="54">
      <alignment horizontal="right" vertical="center"/>
    </xf>
    <xf numFmtId="167" fontId="19" fillId="4" borderId="30" applyAlignment="1" pivotButton="0" quotePrefix="0" xfId="54">
      <alignment horizontal="right" vertical="center"/>
    </xf>
    <xf numFmtId="0" fontId="26" fillId="4" borderId="0" applyAlignment="1" pivotButton="0" quotePrefix="0" xfId="57">
      <alignment horizontal="left" vertical="bottom"/>
    </xf>
    <xf numFmtId="0" fontId="0" fillId="2" borderId="0" applyAlignment="1" pivotButton="0" quotePrefix="0" xfId="0">
      <alignment horizontal="left" vertical="bottom"/>
    </xf>
    <xf numFmtId="0" fontId="0" fillId="0" borderId="0" applyAlignment="1" pivotButton="0" quotePrefix="0" xfId="0">
      <alignment horizontal="left" vertical="bottom"/>
    </xf>
    <xf numFmtId="0" fontId="0" fillId="0" borderId="0" applyAlignment="1" pivotButton="0" quotePrefix="0" xfId="0">
      <alignment horizontal="general" vertical="bottom"/>
    </xf>
    <xf numFmtId="0" fontId="45" fillId="0" borderId="0" applyAlignment="1" pivotButton="0" quotePrefix="0" xfId="0">
      <alignment horizontal="general" vertical="bottom"/>
    </xf>
    <xf numFmtId="0" fontId="27" fillId="0" borderId="0" applyAlignment="1" pivotButton="0" quotePrefix="0" xfId="0">
      <alignment horizontal="left" vertical="bottom"/>
    </xf>
    <xf numFmtId="173" fontId="0" fillId="0" borderId="0" applyAlignment="1" pivotButton="0" quotePrefix="0" xfId="0">
      <alignment horizontal="general" vertical="bottom"/>
    </xf>
    <xf numFmtId="0" fontId="28" fillId="0" borderId="0" applyAlignment="1" pivotButton="0" quotePrefix="0" xfId="0">
      <alignment horizontal="left" vertical="bottom"/>
    </xf>
    <xf numFmtId="0" fontId="29" fillId="0" borderId="0" applyAlignment="1" pivotButton="0" quotePrefix="0" xfId="0">
      <alignment horizontal="left" vertical="bottom"/>
    </xf>
    <xf numFmtId="0" fontId="24" fillId="0" borderId="0" applyAlignment="1" pivotButton="0" quotePrefix="0" xfId="0">
      <alignment horizontal="left" vertical="bottom"/>
    </xf>
    <xf numFmtId="174" fontId="45" fillId="0" borderId="0" applyAlignment="1" pivotButton="0" quotePrefix="0" xfId="0">
      <alignment horizontal="general" vertical="bottom"/>
    </xf>
    <xf numFmtId="174" fontId="45" fillId="0" borderId="0" applyAlignment="1" pivotButton="0" quotePrefix="0" xfId="0">
      <alignment horizontal="general" vertical="bottom"/>
    </xf>
    <xf numFmtId="0" fontId="5" fillId="2" borderId="0" applyAlignment="1" pivotButton="0" quotePrefix="0" xfId="0">
      <alignment horizontal="left" vertical="bottom"/>
    </xf>
    <xf numFmtId="0" fontId="5" fillId="0" borderId="0" applyAlignment="1" pivotButton="0" quotePrefix="0" xfId="0">
      <alignment horizontal="left" vertical="bottom"/>
    </xf>
    <xf numFmtId="0" fontId="21" fillId="2" borderId="0" applyAlignment="1" pivotButton="0" quotePrefix="0" xfId="0">
      <alignment horizontal="left" vertical="center"/>
    </xf>
    <xf numFmtId="173" fontId="21" fillId="2" borderId="0" applyAlignment="1" pivotButton="0" quotePrefix="0" xfId="0">
      <alignment horizontal="general" vertical="center"/>
    </xf>
    <xf numFmtId="0" fontId="5" fillId="0" borderId="0" applyAlignment="1" pivotButton="0" quotePrefix="0" xfId="0">
      <alignment horizontal="general" vertical="bottom"/>
    </xf>
    <xf numFmtId="0" fontId="35" fillId="0" borderId="0" applyAlignment="1" pivotButton="0" quotePrefix="0" xfId="0">
      <alignment horizontal="general" vertical="bottom"/>
    </xf>
    <xf numFmtId="0" fontId="35" fillId="2" borderId="0" applyAlignment="1" pivotButton="0" quotePrefix="0" xfId="0">
      <alignment horizontal="left" vertical="bottom"/>
    </xf>
    <xf numFmtId="0" fontId="35" fillId="0" borderId="0" applyAlignment="1" pivotButton="0" quotePrefix="0" xfId="0">
      <alignment horizontal="left" vertical="bottom"/>
    </xf>
    <xf numFmtId="0" fontId="46" fillId="5" borderId="0" applyAlignment="1" pivotButton="0" quotePrefix="0" xfId="0">
      <alignment horizontal="left" vertical="bottom"/>
    </xf>
    <xf numFmtId="166" fontId="21" fillId="5" borderId="15" applyAlignment="1" pivotButton="0" quotePrefix="0" xfId="0">
      <alignment horizontal="center" vertical="bottom"/>
    </xf>
    <xf numFmtId="166" fontId="21" fillId="5" borderId="31" applyAlignment="1" pivotButton="0" quotePrefix="0" xfId="0">
      <alignment horizontal="center" vertical="bottom"/>
    </xf>
    <xf numFmtId="166" fontId="21" fillId="5" borderId="32" applyAlignment="1" pivotButton="0" quotePrefix="0" xfId="0">
      <alignment horizontal="center" vertical="bottom"/>
    </xf>
    <xf numFmtId="166" fontId="21" fillId="5" borderId="31" applyAlignment="1" pivotButton="0" quotePrefix="0" xfId="0">
      <alignment horizontal="center" vertical="bottom" wrapText="1"/>
    </xf>
    <xf numFmtId="166" fontId="46" fillId="8" borderId="15" applyAlignment="1" pivotButton="0" quotePrefix="0" xfId="0">
      <alignment horizontal="center" vertical="bottom"/>
    </xf>
    <xf numFmtId="166" fontId="46" fillId="8" borderId="31" applyAlignment="1" pivotButton="0" quotePrefix="0" xfId="0">
      <alignment horizontal="center" vertical="bottom"/>
    </xf>
    <xf numFmtId="166" fontId="46" fillId="8" borderId="31" applyAlignment="1" pivotButton="0" quotePrefix="0" xfId="0">
      <alignment horizontal="center" vertical="bottom" wrapText="1"/>
    </xf>
    <xf numFmtId="166" fontId="21" fillId="8" borderId="31" applyAlignment="1" pivotButton="0" quotePrefix="0" xfId="0">
      <alignment horizontal="center" vertical="bottom"/>
    </xf>
    <xf numFmtId="166" fontId="21" fillId="8" borderId="31" applyAlignment="1" pivotButton="0" quotePrefix="0" xfId="0">
      <alignment horizontal="center" vertical="bottom" wrapText="1"/>
    </xf>
    <xf numFmtId="0" fontId="35" fillId="0" borderId="0" applyAlignment="1" pivotButton="0" quotePrefix="0" xfId="0">
      <alignment horizontal="center" vertical="bottom"/>
    </xf>
    <xf numFmtId="0" fontId="35" fillId="0" borderId="0" applyAlignment="1" pivotButton="0" quotePrefix="0" xfId="0">
      <alignment horizontal="general" vertical="bottom"/>
    </xf>
    <xf numFmtId="0" fontId="21" fillId="5" borderId="0" applyAlignment="1" pivotButton="0" quotePrefix="0" xfId="0">
      <alignment horizontal="left" vertical="bottom"/>
    </xf>
    <xf numFmtId="166" fontId="21" fillId="5" borderId="0" applyAlignment="1" pivotButton="0" quotePrefix="0" xfId="0">
      <alignment horizontal="right" vertical="bottom"/>
    </xf>
    <xf numFmtId="166" fontId="21" fillId="5" borderId="20" applyAlignment="1" pivotButton="0" quotePrefix="0" xfId="0">
      <alignment horizontal="right" vertical="bottom"/>
    </xf>
    <xf numFmtId="166" fontId="21" fillId="5" borderId="0" applyAlignment="1" pivotButton="0" quotePrefix="0" xfId="0">
      <alignment horizontal="right" vertical="bottom"/>
    </xf>
    <xf numFmtId="166" fontId="21" fillId="5" borderId="19" applyAlignment="1" pivotButton="0" quotePrefix="0" xfId="0">
      <alignment horizontal="right" vertical="bottom"/>
    </xf>
    <xf numFmtId="166" fontId="21" fillId="5" borderId="21" applyAlignment="1" pivotButton="0" quotePrefix="0" xfId="0">
      <alignment horizontal="right" vertical="center" wrapText="1"/>
    </xf>
    <xf numFmtId="166" fontId="46" fillId="8" borderId="0" applyAlignment="1" pivotButton="0" quotePrefix="0" xfId="0">
      <alignment horizontal="right" vertical="bottom"/>
    </xf>
    <xf numFmtId="166" fontId="46" fillId="8" borderId="20" applyAlignment="1" pivotButton="0" quotePrefix="0" xfId="0">
      <alignment horizontal="right" vertical="bottom"/>
    </xf>
    <xf numFmtId="166" fontId="46" fillId="8" borderId="0" applyAlignment="1" pivotButton="0" quotePrefix="0" xfId="0">
      <alignment horizontal="right" vertical="bottom"/>
    </xf>
    <xf numFmtId="166" fontId="46" fillId="8" borderId="19" applyAlignment="1" pivotButton="0" quotePrefix="0" xfId="0">
      <alignment horizontal="right" vertical="bottom"/>
    </xf>
    <xf numFmtId="166" fontId="46" fillId="8" borderId="21" applyAlignment="1" pivotButton="0" quotePrefix="0" xfId="0">
      <alignment horizontal="right" vertical="center" wrapText="1"/>
    </xf>
    <xf numFmtId="166" fontId="21" fillId="8" borderId="19" applyAlignment="1" pivotButton="0" quotePrefix="0" xfId="0">
      <alignment horizontal="right" vertical="center" wrapText="1"/>
    </xf>
    <xf numFmtId="166" fontId="21" fillId="8" borderId="21" applyAlignment="1" pivotButton="0" quotePrefix="0" xfId="0">
      <alignment horizontal="right" vertical="center" wrapText="1"/>
    </xf>
    <xf numFmtId="0" fontId="35" fillId="0" borderId="0" applyAlignment="1" pivotButton="0" quotePrefix="0" xfId="0">
      <alignment horizontal="general" vertical="bottom" wrapText="1"/>
    </xf>
    <xf numFmtId="0" fontId="5" fillId="2" borderId="0" applyAlignment="1" pivotButton="0" quotePrefix="0" xfId="0">
      <alignment horizontal="left" vertical="bottom"/>
    </xf>
    <xf numFmtId="0" fontId="5" fillId="0" borderId="0" applyAlignment="1" pivotButton="0" quotePrefix="0" xfId="0">
      <alignment horizontal="left" vertical="bottom"/>
    </xf>
    <xf numFmtId="0" fontId="19" fillId="0" borderId="0" applyAlignment="1" pivotButton="0" quotePrefix="0" xfId="0">
      <alignment horizontal="left" vertical="bottom" indent="2"/>
    </xf>
    <xf numFmtId="0" fontId="19" fillId="0" borderId="0" applyAlignment="1" pivotButton="0" quotePrefix="0" xfId="0">
      <alignment horizontal="left" vertical="bottom"/>
    </xf>
    <xf numFmtId="173" fontId="19" fillId="0" borderId="0" applyAlignment="1" pivotButton="0" quotePrefix="0" xfId="0">
      <alignment horizontal="general" vertical="bottom"/>
    </xf>
    <xf numFmtId="173" fontId="19" fillId="0" borderId="23" applyAlignment="1" pivotButton="0" quotePrefix="0" xfId="0">
      <alignment horizontal="general" vertical="bottom"/>
    </xf>
    <xf numFmtId="173" fontId="19" fillId="0" borderId="0" applyAlignment="1" pivotButton="0" quotePrefix="0" xfId="0">
      <alignment horizontal="general" vertical="bottom"/>
    </xf>
    <xf numFmtId="173" fontId="19" fillId="0" borderId="4" applyAlignment="1" pivotButton="0" quotePrefix="0" xfId="0">
      <alignment horizontal="general" vertical="bottom"/>
    </xf>
    <xf numFmtId="174" fontId="25" fillId="0" borderId="0" applyAlignment="1" pivotButton="0" quotePrefix="0" xfId="0">
      <alignment horizontal="general" vertical="bottom"/>
    </xf>
    <xf numFmtId="174" fontId="25" fillId="0" borderId="23" applyAlignment="1" pivotButton="0" quotePrefix="0" xfId="0">
      <alignment horizontal="general" vertical="bottom"/>
    </xf>
    <xf numFmtId="174" fontId="25" fillId="0" borderId="0" applyAlignment="1" pivotButton="0" quotePrefix="0" xfId="0">
      <alignment horizontal="general" vertical="bottom"/>
    </xf>
    <xf numFmtId="174" fontId="25" fillId="0" borderId="4" applyAlignment="1" pivotButton="0" quotePrefix="0" xfId="0">
      <alignment horizontal="general" vertical="bottom"/>
    </xf>
    <xf numFmtId="0" fontId="5" fillId="0" borderId="0" applyAlignment="1" pivotButton="0" quotePrefix="0" xfId="0">
      <alignment horizontal="general" vertical="bottom"/>
    </xf>
    <xf numFmtId="0" fontId="35" fillId="0" borderId="0" applyAlignment="1" pivotButton="0" quotePrefix="0" xfId="0">
      <alignment horizontal="general" vertical="bottom"/>
    </xf>
    <xf numFmtId="0" fontId="19" fillId="0" borderId="13" applyAlignment="1" pivotButton="0" quotePrefix="0" xfId="0">
      <alignment horizontal="left" vertical="bottom" indent="2"/>
    </xf>
    <xf numFmtId="0" fontId="19" fillId="0" borderId="13" applyAlignment="1" pivotButton="0" quotePrefix="0" xfId="0">
      <alignment horizontal="left" vertical="bottom"/>
    </xf>
    <xf numFmtId="173" fontId="19" fillId="0" borderId="13" applyAlignment="1" pivotButton="0" quotePrefix="0" xfId="0">
      <alignment horizontal="general" vertical="bottom"/>
    </xf>
    <xf numFmtId="173" fontId="19" fillId="0" borderId="24" applyAlignment="1" pivotButton="0" quotePrefix="0" xfId="0">
      <alignment horizontal="general" vertical="bottom"/>
    </xf>
    <xf numFmtId="173" fontId="19" fillId="0" borderId="25" applyAlignment="1" pivotButton="0" quotePrefix="0" xfId="0">
      <alignment horizontal="general" vertical="bottom"/>
    </xf>
    <xf numFmtId="174" fontId="25" fillId="0" borderId="13" applyAlignment="1" pivotButton="0" quotePrefix="0" xfId="0">
      <alignment horizontal="general" vertical="bottom"/>
    </xf>
    <xf numFmtId="174" fontId="25" fillId="0" borderId="24" applyAlignment="1" pivotButton="0" quotePrefix="0" xfId="0">
      <alignment horizontal="general" vertical="bottom"/>
    </xf>
    <xf numFmtId="174" fontId="25" fillId="0" borderId="25" applyAlignment="1" pivotButton="0" quotePrefix="0" xfId="0">
      <alignment horizontal="general" vertical="bottom"/>
    </xf>
    <xf numFmtId="0" fontId="19" fillId="0" borderId="0" applyAlignment="1" pivotButton="0" quotePrefix="0" xfId="0">
      <alignment horizontal="left" vertical="bottom" indent="1"/>
    </xf>
    <xf numFmtId="173" fontId="5" fillId="0" borderId="0" applyAlignment="1" pivotButton="0" quotePrefix="0" xfId="0">
      <alignment horizontal="general" vertical="bottom"/>
    </xf>
    <xf numFmtId="0" fontId="19" fillId="0" borderId="13" applyAlignment="1" pivotButton="0" quotePrefix="0" xfId="0">
      <alignment horizontal="left" vertical="bottom" indent="1"/>
    </xf>
    <xf numFmtId="0" fontId="38" fillId="2" borderId="0" applyAlignment="1" pivotButton="0" quotePrefix="0" xfId="0">
      <alignment horizontal="left" vertical="bottom"/>
    </xf>
    <xf numFmtId="0" fontId="38" fillId="0" borderId="0" applyAlignment="1" pivotButton="0" quotePrefix="0" xfId="0">
      <alignment horizontal="left" vertical="bottom"/>
    </xf>
    <xf numFmtId="0" fontId="34" fillId="0" borderId="0" applyAlignment="1" pivotButton="0" quotePrefix="0" xfId="0">
      <alignment horizontal="left" vertical="bottom"/>
    </xf>
    <xf numFmtId="173" fontId="34" fillId="0" borderId="0" applyAlignment="1" pivotButton="0" quotePrefix="0" xfId="0">
      <alignment horizontal="general" vertical="bottom"/>
    </xf>
    <xf numFmtId="173" fontId="34" fillId="0" borderId="23" applyAlignment="1" pivotButton="0" quotePrefix="0" xfId="0">
      <alignment horizontal="general" vertical="bottom"/>
    </xf>
    <xf numFmtId="173" fontId="34" fillId="0" borderId="0" applyAlignment="1" pivotButton="0" quotePrefix="0" xfId="0">
      <alignment horizontal="general" vertical="bottom"/>
    </xf>
    <xf numFmtId="173" fontId="34" fillId="0" borderId="4" applyAlignment="1" pivotButton="0" quotePrefix="0" xfId="0">
      <alignment horizontal="general" vertical="bottom"/>
    </xf>
    <xf numFmtId="174" fontId="47" fillId="0" borderId="0" applyAlignment="1" pivotButton="0" quotePrefix="0" xfId="0">
      <alignment horizontal="general" vertical="bottom"/>
    </xf>
    <xf numFmtId="174" fontId="47" fillId="0" borderId="23" applyAlignment="1" pivotButton="0" quotePrefix="0" xfId="0">
      <alignment horizontal="general" vertical="bottom"/>
    </xf>
    <xf numFmtId="174" fontId="47" fillId="0" borderId="0" applyAlignment="1" pivotButton="0" quotePrefix="0" xfId="0">
      <alignment horizontal="general" vertical="bottom"/>
    </xf>
    <xf numFmtId="174" fontId="47" fillId="0" borderId="4" applyAlignment="1" pivotButton="0" quotePrefix="0" xfId="0">
      <alignment horizontal="general" vertical="bottom"/>
    </xf>
    <xf numFmtId="0" fontId="38" fillId="0" borderId="0" applyAlignment="1" pivotButton="0" quotePrefix="0" xfId="0">
      <alignment horizontal="general" vertical="bottom"/>
    </xf>
    <xf numFmtId="0" fontId="48" fillId="0" borderId="0" applyAlignment="1" pivotButton="0" quotePrefix="0" xfId="0">
      <alignment horizontal="general" vertical="bottom"/>
    </xf>
    <xf numFmtId="0" fontId="38" fillId="0" borderId="0" applyAlignment="1" pivotButton="0" quotePrefix="0" xfId="0">
      <alignment horizontal="general" vertical="bottom"/>
    </xf>
    <xf numFmtId="0" fontId="19" fillId="0" borderId="0" applyAlignment="1" pivotButton="0" quotePrefix="0" xfId="0">
      <alignment horizontal="left" vertical="bottom" indent="3"/>
    </xf>
    <xf numFmtId="0" fontId="19" fillId="0" borderId="13" applyAlignment="1" pivotButton="0" quotePrefix="0" xfId="0">
      <alignment horizontal="left" vertical="bottom" indent="3"/>
    </xf>
    <xf numFmtId="168" fontId="35" fillId="0" borderId="0" applyAlignment="1" pivotButton="0" quotePrefix="0" xfId="0">
      <alignment horizontal="right" vertical="bottom"/>
    </xf>
    <xf numFmtId="0" fontId="19" fillId="0" borderId="0" applyAlignment="1" pivotButton="0" quotePrefix="0" xfId="0">
      <alignment horizontal="left" vertical="bottom" indent="2"/>
    </xf>
    <xf numFmtId="0" fontId="19" fillId="0" borderId="0" applyAlignment="1" pivotButton="0" quotePrefix="0" xfId="0">
      <alignment horizontal="left" vertical="bottom"/>
    </xf>
    <xf numFmtId="0" fontId="19" fillId="0" borderId="0" applyAlignment="1" pivotButton="0" quotePrefix="0" xfId="0">
      <alignment horizontal="left" vertical="bottom" indent="3"/>
    </xf>
    <xf numFmtId="0" fontId="35" fillId="0" borderId="0" applyAlignment="1" pivotButton="0" quotePrefix="0" xfId="0">
      <alignment horizontal="general" vertical="bottom"/>
    </xf>
    <xf numFmtId="173" fontId="19" fillId="4" borderId="13" applyAlignment="1" pivotButton="0" quotePrefix="0" xfId="0">
      <alignment horizontal="general" vertical="bottom"/>
    </xf>
    <xf numFmtId="173" fontId="19" fillId="4" borderId="24" applyAlignment="1" pivotButton="0" quotePrefix="0" xfId="0">
      <alignment horizontal="general" vertical="bottom"/>
    </xf>
    <xf numFmtId="173" fontId="19" fillId="4" borderId="25" applyAlignment="1" pivotButton="0" quotePrefix="0" xfId="0">
      <alignment horizontal="general" vertical="bottom"/>
    </xf>
    <xf numFmtId="0" fontId="0" fillId="4" borderId="13" applyAlignment="1" pivotButton="0" quotePrefix="0" xfId="0">
      <alignment horizontal="general" vertical="bottom"/>
    </xf>
    <xf numFmtId="174" fontId="25" fillId="4" borderId="13" applyAlignment="1" pivotButton="0" quotePrefix="0" xfId="0">
      <alignment horizontal="general" vertical="bottom"/>
    </xf>
    <xf numFmtId="174" fontId="25" fillId="4" borderId="24" applyAlignment="1" pivotButton="0" quotePrefix="0" xfId="0">
      <alignment horizontal="general" vertical="bottom"/>
    </xf>
    <xf numFmtId="174" fontId="25" fillId="4" borderId="25" applyAlignment="1" pivotButton="0" quotePrefix="0" xfId="0">
      <alignment horizontal="general" vertical="bottom"/>
    </xf>
    <xf numFmtId="0" fontId="19" fillId="0" borderId="0" applyAlignment="1" pivotButton="0" quotePrefix="0" xfId="0">
      <alignment horizontal="left" vertical="bottom" indent="1"/>
    </xf>
    <xf numFmtId="0" fontId="19" fillId="0" borderId="13" applyAlignment="1" pivotButton="0" quotePrefix="0" xfId="0">
      <alignment horizontal="left" vertical="bottom" indent="4"/>
    </xf>
    <xf numFmtId="0" fontId="19" fillId="0" borderId="0" applyAlignment="1" pivotButton="0" quotePrefix="0" xfId="0">
      <alignment horizontal="left" vertical="bottom" indent="4"/>
    </xf>
    <xf numFmtId="0" fontId="34" fillId="7" borderId="3" applyAlignment="1" pivotButton="0" quotePrefix="0" xfId="0">
      <alignment horizontal="left" vertical="bottom"/>
    </xf>
    <xf numFmtId="173" fontId="34" fillId="7" borderId="3" applyAlignment="1" pivotButton="0" quotePrefix="0" xfId="0">
      <alignment horizontal="general" vertical="bottom"/>
    </xf>
    <xf numFmtId="173" fontId="34" fillId="7" borderId="23" applyAlignment="1" pivotButton="0" quotePrefix="0" xfId="0">
      <alignment horizontal="general" vertical="bottom"/>
    </xf>
    <xf numFmtId="173" fontId="34" fillId="7" borderId="0" applyAlignment="1" pivotButton="0" quotePrefix="0" xfId="0">
      <alignment horizontal="general" vertical="bottom"/>
    </xf>
    <xf numFmtId="173" fontId="34" fillId="7" borderId="4" applyAlignment="1" pivotButton="0" quotePrefix="0" xfId="0">
      <alignment horizontal="general" vertical="bottom"/>
    </xf>
    <xf numFmtId="173" fontId="34" fillId="7" borderId="28" applyAlignment="1" pivotButton="0" quotePrefix="0" xfId="0">
      <alignment horizontal="general" vertical="bottom"/>
    </xf>
    <xf numFmtId="173" fontId="34" fillId="7" borderId="30" applyAlignment="1" pivotButton="0" quotePrefix="0" xfId="0">
      <alignment horizontal="general" vertical="bottom"/>
    </xf>
    <xf numFmtId="174" fontId="47" fillId="7" borderId="3" applyAlignment="1" pivotButton="0" quotePrefix="0" xfId="0">
      <alignment horizontal="general" vertical="bottom"/>
    </xf>
    <xf numFmtId="174" fontId="47" fillId="7" borderId="28" applyAlignment="1" pivotButton="0" quotePrefix="0" xfId="0">
      <alignment horizontal="general" vertical="bottom"/>
    </xf>
    <xf numFmtId="174" fontId="47" fillId="7" borderId="30" applyAlignment="1" pivotButton="0" quotePrefix="0" xfId="0">
      <alignment horizontal="general" vertical="bottom"/>
    </xf>
    <xf numFmtId="0" fontId="19" fillId="0" borderId="0" applyAlignment="1" pivotButton="0" quotePrefix="0" xfId="0">
      <alignment horizontal="left" vertical="center"/>
    </xf>
    <xf numFmtId="0" fontId="34" fillId="0" borderId="0" applyAlignment="1" pivotButton="0" quotePrefix="0" xfId="0">
      <alignment horizontal="left" vertical="bottom"/>
    </xf>
    <xf numFmtId="167" fontId="19" fillId="0" borderId="0" applyAlignment="1" pivotButton="0" quotePrefix="0" xfId="0">
      <alignment horizontal="right" vertical="bottom"/>
    </xf>
    <xf numFmtId="167" fontId="19" fillId="0" borderId="33" applyAlignment="1" pivotButton="0" quotePrefix="0" xfId="0">
      <alignment horizontal="right" vertical="bottom"/>
    </xf>
    <xf numFmtId="174" fontId="25" fillId="0" borderId="0" applyAlignment="1" pivotButton="0" quotePrefix="0" xfId="0">
      <alignment horizontal="right" vertical="bottom"/>
    </xf>
    <xf numFmtId="174" fontId="25" fillId="0" borderId="33" applyAlignment="1" pivotButton="0" quotePrefix="0" xfId="0">
      <alignment horizontal="right" vertical="bottom"/>
    </xf>
    <xf numFmtId="0" fontId="19" fillId="0" borderId="0" applyAlignment="1" pivotButton="0" quotePrefix="0" xfId="0">
      <alignment horizontal="left" vertical="center"/>
    </xf>
    <xf numFmtId="0" fontId="34" fillId="0" borderId="0" applyAlignment="1" pivotButton="0" quotePrefix="0" xfId="0">
      <alignment horizontal="left" vertical="bottom"/>
    </xf>
    <xf numFmtId="167" fontId="19" fillId="0" borderId="0" applyAlignment="1" pivotButton="0" quotePrefix="0" xfId="0">
      <alignment horizontal="right" vertical="bottom"/>
    </xf>
    <xf numFmtId="167" fontId="19" fillId="0" borderId="23" applyAlignment="1" pivotButton="0" quotePrefix="0" xfId="0">
      <alignment horizontal="right" vertical="bottom"/>
    </xf>
    <xf numFmtId="167" fontId="19" fillId="0" borderId="4" applyAlignment="1" pivotButton="0" quotePrefix="0" xfId="0">
      <alignment horizontal="right" vertical="bottom"/>
    </xf>
    <xf numFmtId="167" fontId="19" fillId="0" borderId="0" applyAlignment="1" pivotButton="0" quotePrefix="0" xfId="0">
      <alignment horizontal="right" vertical="bottom"/>
    </xf>
    <xf numFmtId="0" fontId="0" fillId="0" borderId="0" applyAlignment="1" pivotButton="0" quotePrefix="0" xfId="0">
      <alignment horizontal="general" vertical="bottom"/>
    </xf>
    <xf numFmtId="174" fontId="25" fillId="0" borderId="0" applyAlignment="1" pivotButton="0" quotePrefix="0" xfId="0">
      <alignment horizontal="right" vertical="bottom"/>
    </xf>
    <xf numFmtId="174" fontId="25" fillId="0" borderId="0" applyAlignment="1" pivotButton="0" quotePrefix="0" xfId="0">
      <alignment horizontal="right" vertical="bottom"/>
    </xf>
    <xf numFmtId="0" fontId="19" fillId="0" borderId="13" applyAlignment="1" pivotButton="0" quotePrefix="0" xfId="0">
      <alignment horizontal="left" vertical="center"/>
    </xf>
    <xf numFmtId="0" fontId="34" fillId="7" borderId="3" applyAlignment="1" pivotButton="0" quotePrefix="0" xfId="0">
      <alignment horizontal="left" vertical="center"/>
    </xf>
    <xf numFmtId="0" fontId="34" fillId="7" borderId="22" applyAlignment="1" pivotButton="0" quotePrefix="0" xfId="0">
      <alignment horizontal="left" vertical="center"/>
    </xf>
    <xf numFmtId="167" fontId="34" fillId="7" borderId="22" applyAlignment="1" pivotButton="0" quotePrefix="0" xfId="0">
      <alignment horizontal="right" vertical="center"/>
    </xf>
    <xf numFmtId="167" fontId="34" fillId="7" borderId="34" applyAlignment="1" pivotButton="0" quotePrefix="0" xfId="0">
      <alignment horizontal="right" vertical="center"/>
    </xf>
    <xf numFmtId="167" fontId="34" fillId="7" borderId="35" applyAlignment="1" pivotButton="0" quotePrefix="0" xfId="0">
      <alignment horizontal="right" vertical="center"/>
    </xf>
    <xf numFmtId="167" fontId="34" fillId="0" borderId="0" applyAlignment="1" pivotButton="0" quotePrefix="0" xfId="0">
      <alignment horizontal="right" vertical="center"/>
    </xf>
    <xf numFmtId="174" fontId="47" fillId="0" borderId="0" applyAlignment="1" pivotButton="0" quotePrefix="0" xfId="0">
      <alignment horizontal="right" vertical="center"/>
    </xf>
    <xf numFmtId="174" fontId="47" fillId="0" borderId="0" applyAlignment="1" pivotButton="0" quotePrefix="0" xfId="0">
      <alignment horizontal="right" vertical="center"/>
    </xf>
    <xf numFmtId="0" fontId="19" fillId="4" borderId="0" applyAlignment="1" pivotButton="0" quotePrefix="0" xfId="0">
      <alignment horizontal="left" vertical="bottom" indent="1"/>
    </xf>
    <xf numFmtId="0" fontId="19" fillId="4" borderId="0" applyAlignment="1" pivotButton="0" quotePrefix="0" xfId="0">
      <alignment horizontal="left" vertical="bottom"/>
    </xf>
    <xf numFmtId="173" fontId="19" fillId="4" borderId="0" applyAlignment="1" pivotButton="0" quotePrefix="0" xfId="0">
      <alignment horizontal="general" vertical="bottom"/>
    </xf>
    <xf numFmtId="173" fontId="19" fillId="4" borderId="0" applyAlignment="1" pivotButton="0" quotePrefix="0" xfId="0">
      <alignment horizontal="general" vertical="bottom"/>
    </xf>
    <xf numFmtId="173" fontId="19" fillId="0" borderId="0" applyAlignment="1" pivotButton="0" quotePrefix="0" xfId="0">
      <alignment horizontal="general" vertical="bottom"/>
    </xf>
    <xf numFmtId="167" fontId="35" fillId="0" borderId="0" applyAlignment="1" pivotButton="0" quotePrefix="0" xfId="0">
      <alignment horizontal="right" vertical="bottom"/>
    </xf>
    <xf numFmtId="167" fontId="35" fillId="0" borderId="0" applyAlignment="1" pivotButton="0" quotePrefix="0" xfId="0">
      <alignment horizontal="right" vertical="bottom"/>
    </xf>
    <xf numFmtId="167" fontId="35" fillId="0" borderId="0" applyAlignment="1" pivotButton="0" quotePrefix="0" xfId="0">
      <alignment horizontal="right" vertical="bottom"/>
    </xf>
    <xf numFmtId="170" fontId="5" fillId="0" borderId="0" applyAlignment="1" pivotButton="0" quotePrefix="0" xfId="0">
      <alignment horizontal="general" vertical="bottom"/>
    </xf>
    <xf numFmtId="0" fontId="49" fillId="0" borderId="0" applyAlignment="1" pivotButton="0" quotePrefix="0" xfId="0">
      <alignment horizontal="general" vertical="bottom"/>
    </xf>
    <xf numFmtId="175" fontId="50" fillId="2" borderId="0" applyAlignment="1" pivotButton="0" quotePrefix="0" xfId="0">
      <alignment horizontal="general" vertical="center"/>
    </xf>
    <xf numFmtId="0" fontId="21" fillId="5" borderId="0" applyAlignment="1" pivotButton="0" quotePrefix="0" xfId="47">
      <alignment horizontal="left" vertical="center"/>
    </xf>
    <xf numFmtId="175" fontId="50" fillId="5" borderId="0" applyAlignment="1" pivotButton="0" quotePrefix="0" xfId="0">
      <alignment horizontal="general" vertical="center"/>
    </xf>
    <xf numFmtId="0" fontId="34" fillId="4" borderId="0" applyAlignment="1" pivotButton="0" quotePrefix="0" xfId="0">
      <alignment horizontal="left" vertical="bottom"/>
    </xf>
    <xf numFmtId="170" fontId="34" fillId="4" borderId="0" applyAlignment="1" pivotButton="0" quotePrefix="0" xfId="0">
      <alignment horizontal="general" vertical="bottom"/>
    </xf>
    <xf numFmtId="167" fontId="5" fillId="0" borderId="0" applyAlignment="1" pivotButton="0" quotePrefix="0" xfId="0">
      <alignment horizontal="right" vertical="bottom"/>
    </xf>
    <xf numFmtId="170" fontId="19" fillId="4" borderId="0" applyAlignment="1" pivotButton="0" quotePrefix="0" xfId="0">
      <alignment horizontal="general" vertical="bottom"/>
    </xf>
    <xf numFmtId="0" fontId="5" fillId="0" borderId="0" applyAlignment="1" pivotButton="0" quotePrefix="0" xfId="0">
      <alignment horizontal="left" vertical="bottom" indent="1"/>
    </xf>
    <xf numFmtId="0" fontId="34" fillId="7" borderId="2" applyAlignment="1" pivotButton="0" quotePrefix="0" xfId="0">
      <alignment horizontal="general" vertical="center"/>
    </xf>
    <xf numFmtId="170" fontId="34" fillId="7" borderId="2" applyAlignment="1" pivotButton="0" quotePrefix="0" xfId="0">
      <alignment horizontal="general" vertical="center"/>
    </xf>
    <xf numFmtId="0" fontId="34" fillId="7" borderId="22" applyAlignment="1" pivotButton="0" quotePrefix="0" xfId="0">
      <alignment horizontal="general" vertical="center"/>
    </xf>
    <xf numFmtId="170" fontId="34" fillId="7" borderId="22" applyAlignment="1" pivotButton="0" quotePrefix="0" xfId="0">
      <alignment horizontal="general" vertical="center"/>
    </xf>
    <xf numFmtId="170" fontId="35" fillId="0" borderId="0" applyAlignment="1" pivotButton="0" quotePrefix="0" xfId="0">
      <alignment horizontal="general" vertical="bottom"/>
    </xf>
    <xf numFmtId="170" fontId="38" fillId="0" borderId="0" applyAlignment="1" pivotButton="0" quotePrefix="0" xfId="0">
      <alignment horizontal="general" vertical="bottom"/>
    </xf>
    <xf numFmtId="167" fontId="5" fillId="0" borderId="0" applyAlignment="1" pivotButton="0" quotePrefix="0" xfId="0">
      <alignment horizontal="general" vertical="bottom"/>
    </xf>
    <xf numFmtId="0" fontId="23" fillId="0" borderId="0" applyAlignment="1" pivotButton="0" quotePrefix="0" xfId="0">
      <alignment horizontal="general" vertical="bottom"/>
    </xf>
    <xf numFmtId="0" fontId="41" fillId="0" borderId="0" applyAlignment="1" pivotButton="0" quotePrefix="0" xfId="0">
      <alignment horizontal="left" vertical="center" readingOrder="1"/>
    </xf>
    <xf numFmtId="166" fontId="21" fillId="8" borderId="0" applyAlignment="1" pivotButton="0" quotePrefix="0" xfId="0">
      <alignment horizontal="right" vertical="bottom" wrapText="1"/>
    </xf>
    <xf numFmtId="0" fontId="19" fillId="4" borderId="0" applyAlignment="1" pivotButton="0" quotePrefix="0" xfId="0">
      <alignment horizontal="left" vertical="bottom" indent="2"/>
    </xf>
    <xf numFmtId="176" fontId="19" fillId="4" borderId="0" applyAlignment="1" pivotButton="0" quotePrefix="0" xfId="0">
      <alignment horizontal="general" vertical="bottom"/>
    </xf>
    <xf numFmtId="174" fontId="25" fillId="4" borderId="0" applyAlignment="1" pivotButton="0" quotePrefix="0" xfId="0">
      <alignment horizontal="general" vertical="bottom"/>
    </xf>
    <xf numFmtId="0" fontId="19" fillId="4" borderId="13" applyAlignment="1" pivotButton="0" quotePrefix="0" xfId="0">
      <alignment horizontal="left" vertical="bottom" indent="2"/>
    </xf>
    <xf numFmtId="176" fontId="19" fillId="4" borderId="13" applyAlignment="1" pivotButton="0" quotePrefix="0" xfId="0">
      <alignment horizontal="general" vertical="bottom"/>
    </xf>
    <xf numFmtId="167" fontId="5" fillId="0" borderId="0" applyAlignment="1" pivotButton="0" quotePrefix="0" xfId="0">
      <alignment horizontal="left" vertical="bottom"/>
    </xf>
    <xf numFmtId="176" fontId="5" fillId="0" borderId="0" applyAlignment="1" pivotButton="0" quotePrefix="0" xfId="0">
      <alignment horizontal="left" vertical="bottom"/>
    </xf>
    <xf numFmtId="0" fontId="19" fillId="4" borderId="13" applyAlignment="1" pivotButton="0" quotePrefix="0" xfId="0">
      <alignment horizontal="left" vertical="bottom" indent="1"/>
    </xf>
    <xf numFmtId="176" fontId="34" fillId="4" borderId="0" applyAlignment="1" pivotButton="0" quotePrefix="0" xfId="0">
      <alignment horizontal="general" vertical="bottom"/>
    </xf>
    <xf numFmtId="174" fontId="47" fillId="4" borderId="0" applyAlignment="1" pivotButton="0" quotePrefix="0" xfId="0">
      <alignment horizontal="general" vertical="bottom"/>
    </xf>
    <xf numFmtId="176" fontId="34" fillId="7" borderId="3" applyAlignment="1" pivotButton="0" quotePrefix="0" xfId="0">
      <alignment horizontal="general" vertical="bottom"/>
    </xf>
    <xf numFmtId="176" fontId="5" fillId="0" borderId="0" applyAlignment="1" pivotButton="0" quotePrefix="0" xfId="0">
      <alignment horizontal="general" vertical="bottom"/>
    </xf>
    <xf numFmtId="176" fontId="35" fillId="0" borderId="0" applyAlignment="1" pivotButton="0" quotePrefix="0" xfId="0">
      <alignment horizontal="general" vertical="bottom"/>
    </xf>
    <xf numFmtId="177" fontId="41" fillId="7" borderId="0" applyAlignment="1" pivotButton="0" quotePrefix="0" xfId="0">
      <alignment horizontal="center" vertical="center" wrapText="1" readingOrder="1"/>
    </xf>
    <xf numFmtId="177" fontId="51" fillId="2" borderId="0" applyAlignment="1" pivotButton="0" quotePrefix="0" xfId="0">
      <alignment horizontal="center" vertical="center" wrapText="1" readingOrder="1"/>
    </xf>
    <xf numFmtId="0" fontId="21" fillId="2" borderId="2" applyAlignment="1" pivotButton="0" quotePrefix="0" xfId="0">
      <alignment horizontal="left" vertical="center"/>
    </xf>
    <xf numFmtId="173" fontId="21" fillId="2" borderId="2" applyAlignment="1" pivotButton="0" quotePrefix="0" xfId="0">
      <alignment horizontal="general" vertical="center"/>
    </xf>
    <xf numFmtId="167" fontId="38" fillId="0" borderId="0" applyAlignment="1" pivotButton="0" quotePrefix="0" xfId="0">
      <alignment horizontal="right" vertical="bottom"/>
    </xf>
    <xf numFmtId="166" fontId="21" fillId="5" borderId="21" applyAlignment="1" pivotButton="0" quotePrefix="0" xfId="0">
      <alignment horizontal="right" vertical="bottom" wrapText="1"/>
    </xf>
    <xf numFmtId="0" fontId="19" fillId="4" borderId="13" applyAlignment="1" pivotButton="0" quotePrefix="0" xfId="0">
      <alignment horizontal="left" vertical="bottom"/>
    </xf>
    <xf numFmtId="0" fontId="5" fillId="0" borderId="0" applyAlignment="1" pivotButton="0" quotePrefix="0" xfId="0">
      <alignment horizontal="left" vertical="bottom"/>
    </xf>
    <xf numFmtId="167" fontId="5" fillId="0" borderId="0" applyAlignment="1" pivotButton="0" quotePrefix="0" xfId="0">
      <alignment horizontal="right" vertical="bottom"/>
    </xf>
    <xf numFmtId="0" fontId="35" fillId="2" borderId="0" applyAlignment="1" pivotButton="0" quotePrefix="0" xfId="0">
      <alignment horizontal="left" vertical="bottom"/>
    </xf>
    <xf numFmtId="0" fontId="35" fillId="0" borderId="0" applyAlignment="1" pivotButton="0" quotePrefix="0" xfId="0">
      <alignment horizontal="left" vertical="bottom"/>
    </xf>
    <xf numFmtId="0" fontId="21" fillId="5" borderId="0" applyAlignment="1" pivotButton="0" quotePrefix="0" xfId="0">
      <alignment horizontal="left" vertical="bottom"/>
    </xf>
    <xf numFmtId="170" fontId="5" fillId="0" borderId="0" applyAlignment="1" pivotButton="0" quotePrefix="0" xfId="0">
      <alignment horizontal="right" vertical="bottom"/>
    </xf>
    <xf numFmtId="170" fontId="5" fillId="0" borderId="23" applyAlignment="1" pivotButton="0" quotePrefix="0" xfId="0">
      <alignment horizontal="right" vertical="bottom"/>
    </xf>
    <xf numFmtId="170" fontId="5" fillId="0" borderId="0" applyAlignment="1" pivotButton="0" quotePrefix="0" xfId="0">
      <alignment horizontal="right" vertical="bottom"/>
    </xf>
    <xf numFmtId="170" fontId="5" fillId="0" borderId="4" applyAlignment="1" pivotButton="0" quotePrefix="0" xfId="0">
      <alignment horizontal="right" vertical="bottom"/>
    </xf>
    <xf numFmtId="0" fontId="5" fillId="0" borderId="0" applyAlignment="1" pivotButton="0" quotePrefix="0" xfId="0">
      <alignment horizontal="left" vertical="bottom" indent="2"/>
    </xf>
    <xf numFmtId="0" fontId="35" fillId="0" borderId="0" applyAlignment="1" pivotButton="0" quotePrefix="0" xfId="0">
      <alignment horizontal="left" vertical="bottom"/>
    </xf>
    <xf numFmtId="0" fontId="35" fillId="7" borderId="0" applyAlignment="1" pivotButton="0" quotePrefix="0" xfId="0">
      <alignment horizontal="left" vertical="bottom" indent="2"/>
    </xf>
    <xf numFmtId="0" fontId="35" fillId="7" borderId="0" applyAlignment="1" pivotButton="0" quotePrefix="0" xfId="0">
      <alignment horizontal="general" vertical="bottom"/>
    </xf>
    <xf numFmtId="170" fontId="35" fillId="7" borderId="0" applyAlignment="1" pivotButton="0" quotePrefix="0" xfId="0">
      <alignment horizontal="right" vertical="bottom"/>
    </xf>
    <xf numFmtId="170" fontId="35" fillId="7" borderId="23" applyAlignment="1" pivotButton="0" quotePrefix="0" xfId="0">
      <alignment horizontal="right" vertical="bottom"/>
    </xf>
    <xf numFmtId="170" fontId="35" fillId="7" borderId="0" applyAlignment="1" pivotButton="0" quotePrefix="0" xfId="0">
      <alignment horizontal="right" vertical="bottom"/>
    </xf>
    <xf numFmtId="170" fontId="35" fillId="7" borderId="4" applyAlignment="1" pivotButton="0" quotePrefix="0" xfId="0">
      <alignment horizontal="right" vertical="bottom"/>
    </xf>
    <xf numFmtId="178" fontId="35" fillId="7" borderId="0" applyAlignment="1" pivotButton="0" quotePrefix="0" xfId="0">
      <alignment horizontal="right" vertical="bottom"/>
    </xf>
    <xf numFmtId="178" fontId="35" fillId="7" borderId="23" applyAlignment="1" pivotButton="0" quotePrefix="0" xfId="0">
      <alignment horizontal="right" vertical="bottom"/>
    </xf>
    <xf numFmtId="178" fontId="35" fillId="7" borderId="0" applyAlignment="1" pivotButton="0" quotePrefix="0" xfId="0">
      <alignment horizontal="right" vertical="bottom"/>
    </xf>
    <xf numFmtId="178" fontId="35" fillId="7" borderId="4" applyAlignment="1" pivotButton="0" quotePrefix="0" xfId="0">
      <alignment horizontal="right" vertical="bottom"/>
    </xf>
    <xf numFmtId="178" fontId="35" fillId="9" borderId="0" applyAlignment="1" pivotButton="0" quotePrefix="0" xfId="0">
      <alignment horizontal="right" vertical="bottom"/>
    </xf>
    <xf numFmtId="0" fontId="5" fillId="0" borderId="13" applyAlignment="1" pivotButton="0" quotePrefix="0" xfId="0">
      <alignment horizontal="left" vertical="bottom" indent="2"/>
    </xf>
    <xf numFmtId="0" fontId="5" fillId="0" borderId="13" applyAlignment="1" pivotButton="0" quotePrefix="0" xfId="0">
      <alignment horizontal="general" vertical="bottom"/>
    </xf>
    <xf numFmtId="170" fontId="5" fillId="0" borderId="13" applyAlignment="1" pivotButton="0" quotePrefix="0" xfId="0">
      <alignment horizontal="right" vertical="bottom"/>
    </xf>
    <xf numFmtId="170" fontId="5" fillId="0" borderId="24" applyAlignment="1" pivotButton="0" quotePrefix="0" xfId="0">
      <alignment horizontal="right" vertical="bottom"/>
    </xf>
    <xf numFmtId="170" fontId="5" fillId="7" borderId="13" applyAlignment="1" pivotButton="0" quotePrefix="0" xfId="0">
      <alignment horizontal="right" vertical="bottom"/>
    </xf>
    <xf numFmtId="170" fontId="5" fillId="7" borderId="25" applyAlignment="1" pivotButton="0" quotePrefix="0" xfId="0">
      <alignment horizontal="right" vertical="bottom"/>
    </xf>
    <xf numFmtId="178" fontId="38" fillId="0" borderId="36" applyAlignment="1" pivotButton="0" quotePrefix="0" xfId="0">
      <alignment horizontal="general" vertical="bottom"/>
    </xf>
    <xf numFmtId="170" fontId="34" fillId="7" borderId="22" applyAlignment="1" pivotButton="0" quotePrefix="0" xfId="0">
      <alignment horizontal="right" vertical="center"/>
    </xf>
    <xf numFmtId="170" fontId="34" fillId="7" borderId="34" applyAlignment="1" pivotButton="0" quotePrefix="0" xfId="0">
      <alignment horizontal="right" vertical="center"/>
    </xf>
    <xf numFmtId="170" fontId="34" fillId="7" borderId="35" applyAlignment="1" pivotButton="0" quotePrefix="0" xfId="0">
      <alignment horizontal="right" vertical="center"/>
    </xf>
    <xf numFmtId="0" fontId="5" fillId="0" borderId="0" applyAlignment="1" pivotButton="0" quotePrefix="0" xfId="0">
      <alignment horizontal="left" vertical="bottom"/>
    </xf>
    <xf numFmtId="0" fontId="52" fillId="0" borderId="0" applyAlignment="1" pivotButton="0" quotePrefix="0" xfId="0">
      <alignment horizontal="general" vertical="bottom"/>
    </xf>
    <xf numFmtId="0" fontId="5" fillId="0" borderId="0" applyAlignment="1" pivotButton="0" quotePrefix="0" xfId="0">
      <alignment horizontal="left" vertical="bottom" indent="3"/>
    </xf>
    <xf numFmtId="170" fontId="5" fillId="0" borderId="0" applyAlignment="1" pivotButton="0" quotePrefix="0" xfId="0">
      <alignment horizontal="right" vertical="bottom"/>
    </xf>
    <xf numFmtId="170" fontId="5" fillId="0" borderId="23" applyAlignment="1" pivotButton="0" quotePrefix="0" xfId="0">
      <alignment horizontal="right" vertical="bottom"/>
    </xf>
    <xf numFmtId="170" fontId="5" fillId="0" borderId="0" applyAlignment="1" pivotButton="0" quotePrefix="0" xfId="0">
      <alignment horizontal="right" vertical="bottom"/>
    </xf>
    <xf numFmtId="170" fontId="5" fillId="0" borderId="4" applyAlignment="1" pivotButton="0" quotePrefix="0" xfId="0">
      <alignment horizontal="right" vertical="bottom"/>
    </xf>
    <xf numFmtId="0" fontId="5" fillId="4" borderId="0" applyAlignment="1" pivotButton="0" quotePrefix="0" xfId="0">
      <alignment horizontal="left" vertical="bottom" indent="3"/>
    </xf>
    <xf numFmtId="0" fontId="5" fillId="4" borderId="13" applyAlignment="1" pivotButton="0" quotePrefix="0" xfId="0">
      <alignment horizontal="left" vertical="bottom" indent="3"/>
    </xf>
    <xf numFmtId="0" fontId="5" fillId="4" borderId="13" applyAlignment="1" pivotButton="0" quotePrefix="0" xfId="0">
      <alignment horizontal="general" vertical="bottom"/>
    </xf>
    <xf numFmtId="170" fontId="5" fillId="0" borderId="13" applyAlignment="1" pivotButton="0" quotePrefix="0" xfId="0">
      <alignment horizontal="right" vertical="bottom"/>
    </xf>
    <xf numFmtId="170" fontId="5" fillId="0" borderId="24" applyAlignment="1" pivotButton="0" quotePrefix="0" xfId="0">
      <alignment horizontal="right" vertical="bottom"/>
    </xf>
    <xf numFmtId="170" fontId="5" fillId="0" borderId="25" applyAlignment="1" pivotButton="0" quotePrefix="0" xfId="0">
      <alignment horizontal="right" vertical="bottom"/>
    </xf>
    <xf numFmtId="0" fontId="5" fillId="4" borderId="0" applyAlignment="1" pivotButton="0" quotePrefix="0" xfId="0">
      <alignment horizontal="left" vertical="bottom" indent="2"/>
    </xf>
    <xf numFmtId="0" fontId="5" fillId="4" borderId="13" applyAlignment="1" pivotButton="0" quotePrefix="0" xfId="0">
      <alignment horizontal="left" vertical="bottom" indent="2"/>
    </xf>
    <xf numFmtId="170" fontId="21" fillId="5" borderId="0" applyAlignment="1" pivotButton="0" quotePrefix="0" xfId="0">
      <alignment horizontal="left" vertical="bottom"/>
    </xf>
    <xf numFmtId="170" fontId="5" fillId="0" borderId="0" applyAlignment="1" pivotButton="0" quotePrefix="0" xfId="0">
      <alignment horizontal="left" vertical="bottom" indent="1"/>
    </xf>
    <xf numFmtId="170" fontId="5" fillId="0" borderId="0" applyAlignment="1" pivotButton="0" quotePrefix="0" xfId="0">
      <alignment horizontal="left" vertical="bottom" indent="2"/>
    </xf>
    <xf numFmtId="170" fontId="38" fillId="0" borderId="36" applyAlignment="1" pivotButton="0" quotePrefix="0" xfId="0">
      <alignment horizontal="general" vertical="bottom"/>
    </xf>
    <xf numFmtId="170" fontId="5" fillId="0" borderId="13" applyAlignment="1" pivotButton="0" quotePrefix="0" xfId="0">
      <alignment horizontal="left" vertical="bottom" indent="2"/>
    </xf>
    <xf numFmtId="170" fontId="5" fillId="4" borderId="13" applyAlignment="1" pivotButton="0" quotePrefix="0" xfId="0">
      <alignment horizontal="general" vertical="bottom"/>
    </xf>
    <xf numFmtId="170" fontId="5" fillId="4" borderId="13" applyAlignment="1" pivotButton="0" quotePrefix="0" xfId="0">
      <alignment horizontal="right" vertical="bottom"/>
    </xf>
    <xf numFmtId="170" fontId="5" fillId="4" borderId="24" applyAlignment="1" pivotButton="0" quotePrefix="0" xfId="0">
      <alignment horizontal="right" vertical="bottom"/>
    </xf>
    <xf numFmtId="170" fontId="5" fillId="4" borderId="25" applyAlignment="1" pivotButton="0" quotePrefix="0" xfId="0">
      <alignment horizontal="right" vertical="bottom"/>
    </xf>
    <xf numFmtId="170" fontId="5" fillId="0" borderId="0" applyAlignment="1" pivotButton="0" quotePrefix="0" xfId="0">
      <alignment horizontal="general" vertical="bottom"/>
    </xf>
    <xf numFmtId="170" fontId="5" fillId="4" borderId="13" applyAlignment="1" pivotButton="0" quotePrefix="0" xfId="0">
      <alignment horizontal="left" vertical="bottom" indent="1"/>
    </xf>
    <xf numFmtId="0" fontId="19" fillId="4" borderId="0" applyAlignment="1" pivotButton="0" quotePrefix="0" xfId="0">
      <alignment horizontal="left" vertical="bottom" indent="2"/>
    </xf>
    <xf numFmtId="0" fontId="19" fillId="4" borderId="0" applyAlignment="1" pivotButton="0" quotePrefix="0" xfId="0">
      <alignment horizontal="left" vertical="bottom"/>
    </xf>
    <xf numFmtId="173" fontId="19" fillId="0" borderId="0" applyAlignment="1" pivotButton="0" quotePrefix="0" xfId="0">
      <alignment horizontal="general" vertical="bottom"/>
    </xf>
    <xf numFmtId="173" fontId="19" fillId="0" borderId="23" applyAlignment="1" pivotButton="0" quotePrefix="0" xfId="0">
      <alignment horizontal="general" vertical="bottom"/>
    </xf>
    <xf numFmtId="173" fontId="19" fillId="0" borderId="4" applyAlignment="1" pivotButton="0" quotePrefix="0" xfId="0">
      <alignment horizontal="general" vertical="bottom"/>
    </xf>
    <xf numFmtId="0" fontId="19" fillId="4" borderId="0" applyAlignment="1" pivotButton="0" quotePrefix="0" xfId="0">
      <alignment horizontal="left" vertical="bottom" indent="1"/>
    </xf>
    <xf numFmtId="173" fontId="34" fillId="7" borderId="22" applyAlignment="1" pivotButton="0" quotePrefix="0" xfId="0">
      <alignment horizontal="general" vertical="center"/>
    </xf>
    <xf numFmtId="173" fontId="34" fillId="7" borderId="34" applyAlignment="1" pivotButton="0" quotePrefix="0" xfId="0">
      <alignment horizontal="general" vertical="center"/>
    </xf>
    <xf numFmtId="173" fontId="34" fillId="7" borderId="35" applyAlignment="1" pivotButton="0" quotePrefix="0" xfId="0">
      <alignment horizontal="general" vertical="center"/>
    </xf>
    <xf numFmtId="167" fontId="5" fillId="0" borderId="23" applyAlignment="1" pivotButton="0" quotePrefix="0" xfId="0">
      <alignment horizontal="right" vertical="bottom"/>
    </xf>
    <xf numFmtId="167" fontId="5" fillId="0" borderId="4" applyAlignment="1" pivotButton="0" quotePrefix="0" xfId="0">
      <alignment horizontal="right" vertical="bottom"/>
    </xf>
    <xf numFmtId="168" fontId="35" fillId="0" borderId="23" applyAlignment="1" pivotButton="0" quotePrefix="0" xfId="0">
      <alignment horizontal="right" vertical="bottom"/>
    </xf>
    <xf numFmtId="168" fontId="35" fillId="0" borderId="0" applyAlignment="1" pivotButton="0" quotePrefix="0" xfId="0">
      <alignment horizontal="right" vertical="bottom"/>
    </xf>
    <xf numFmtId="168" fontId="35" fillId="0" borderId="4" applyAlignment="1" pivotButton="0" quotePrefix="0" xfId="0">
      <alignment horizontal="right" vertical="bottom"/>
    </xf>
    <xf numFmtId="170" fontId="5" fillId="7" borderId="0" applyAlignment="1" pivotButton="0" quotePrefix="0" xfId="0">
      <alignment horizontal="right" vertical="bottom"/>
    </xf>
    <xf numFmtId="167" fontId="5" fillId="0" borderId="36" applyAlignment="1" pivotButton="0" quotePrefix="0" xfId="0">
      <alignment horizontal="right" vertical="bottom"/>
    </xf>
    <xf numFmtId="167" fontId="5" fillId="0" borderId="37" applyAlignment="1" pivotButton="0" quotePrefix="0" xfId="0">
      <alignment horizontal="right" vertical="bottom"/>
    </xf>
    <xf numFmtId="0" fontId="19" fillId="4" borderId="0" applyAlignment="1" pivotButton="0" quotePrefix="0" xfId="0">
      <alignment horizontal="left" vertical="bottom" indent="3"/>
    </xf>
    <xf numFmtId="167" fontId="5" fillId="0" borderId="0" applyAlignment="1" pivotButton="0" quotePrefix="0" xfId="0">
      <alignment horizontal="right" vertical="bottom"/>
    </xf>
    <xf numFmtId="167" fontId="5" fillId="0" borderId="23" applyAlignment="1" pivotButton="0" quotePrefix="0" xfId="0">
      <alignment horizontal="right" vertical="bottom"/>
    </xf>
    <xf numFmtId="167" fontId="5" fillId="0" borderId="0" applyAlignment="1" pivotButton="0" quotePrefix="0" xfId="0">
      <alignment horizontal="right" vertical="bottom"/>
    </xf>
    <xf numFmtId="167" fontId="5" fillId="0" borderId="4" applyAlignment="1" pivotButton="0" quotePrefix="0" xfId="0">
      <alignment horizontal="right" vertical="bottom"/>
    </xf>
    <xf numFmtId="0" fontId="19" fillId="4" borderId="13" applyAlignment="1" pivotButton="0" quotePrefix="0" xfId="0">
      <alignment horizontal="left" vertical="bottom" indent="3"/>
    </xf>
    <xf numFmtId="167" fontId="5" fillId="4" borderId="13" applyAlignment="1" pivotButton="0" quotePrefix="0" xfId="0">
      <alignment horizontal="right" vertical="bottom"/>
    </xf>
    <xf numFmtId="167" fontId="5" fillId="4" borderId="24" applyAlignment="1" pivotButton="0" quotePrefix="0" xfId="0">
      <alignment horizontal="right" vertical="bottom"/>
    </xf>
    <xf numFmtId="167" fontId="5" fillId="4" borderId="25" applyAlignment="1" pivotButton="0" quotePrefix="0" xfId="0">
      <alignment horizontal="right" vertical="bottom"/>
    </xf>
    <xf numFmtId="0" fontId="19" fillId="4" borderId="2" applyAlignment="1" pivotButton="0" quotePrefix="0" xfId="0">
      <alignment horizontal="left" vertical="bottom" indent="1"/>
    </xf>
    <xf numFmtId="0" fontId="19" fillId="4" borderId="2" applyAlignment="1" pivotButton="0" quotePrefix="0" xfId="0">
      <alignment horizontal="left" vertical="bottom"/>
    </xf>
    <xf numFmtId="173" fontId="19" fillId="4" borderId="2" applyAlignment="1" pivotButton="0" quotePrefix="0" xfId="0">
      <alignment horizontal="general" vertical="bottom"/>
    </xf>
    <xf numFmtId="173" fontId="19" fillId="0" borderId="2" applyAlignment="1" pivotButton="0" quotePrefix="0" xfId="0">
      <alignment horizontal="general" vertical="bottom"/>
    </xf>
    <xf numFmtId="173" fontId="19" fillId="0" borderId="26" applyAlignment="1" pivotButton="0" quotePrefix="0" xfId="0">
      <alignment horizontal="general" vertical="bottom"/>
    </xf>
    <xf numFmtId="173" fontId="19" fillId="0" borderId="27" applyAlignment="1" pivotButton="0" quotePrefix="0" xfId="0">
      <alignment horizontal="general" vertical="bottom"/>
    </xf>
    <xf numFmtId="0" fontId="5" fillId="4" borderId="0" applyAlignment="1" pivotButton="0" quotePrefix="0" xfId="0">
      <alignment horizontal="general" vertical="bottom"/>
    </xf>
    <xf numFmtId="170" fontId="34" fillId="7" borderId="34" applyAlignment="1" pivotButton="0" quotePrefix="0" xfId="0">
      <alignment horizontal="general" vertical="center"/>
    </xf>
    <xf numFmtId="170" fontId="34" fillId="7" borderId="35" applyAlignment="1" pivotButton="0" quotePrefix="0" xfId="0">
      <alignment horizontal="general" vertical="center"/>
    </xf>
    <xf numFmtId="0" fontId="35" fillId="0" borderId="0" applyAlignment="1" pivotButton="0" quotePrefix="0" xfId="0">
      <alignment horizontal="left" vertical="bottom" indent="1"/>
    </xf>
    <xf numFmtId="167" fontId="35" fillId="0" borderId="0" applyAlignment="1" pivotButton="0" quotePrefix="0" xfId="0">
      <alignment horizontal="right" vertical="bottom"/>
    </xf>
    <xf numFmtId="167" fontId="35" fillId="0" borderId="23" applyAlignment="1" pivotButton="0" quotePrefix="0" xfId="0">
      <alignment horizontal="right" vertical="bottom"/>
    </xf>
    <xf numFmtId="167" fontId="35" fillId="0" borderId="4" applyAlignment="1" pivotButton="0" quotePrefix="0" xfId="0">
      <alignment horizontal="right" vertical="bottom"/>
    </xf>
    <xf numFmtId="173" fontId="25" fillId="0" borderId="0" applyAlignment="1" pivotButton="0" quotePrefix="0" xfId="0">
      <alignment horizontal="general" vertical="bottom"/>
    </xf>
    <xf numFmtId="167" fontId="5" fillId="4" borderId="0" applyAlignment="1" pivotButton="0" quotePrefix="0" xfId="0">
      <alignment horizontal="right" vertical="bottom"/>
    </xf>
    <xf numFmtId="167" fontId="5" fillId="4" borderId="23" applyAlignment="1" pivotButton="0" quotePrefix="0" xfId="0">
      <alignment horizontal="right" vertical="bottom"/>
    </xf>
    <xf numFmtId="167" fontId="5" fillId="4" borderId="4" applyAlignment="1" pivotButton="0" quotePrefix="0" xfId="0">
      <alignment horizontal="right" vertical="bottom"/>
    </xf>
    <xf numFmtId="167" fontId="5" fillId="0" borderId="13" applyAlignment="1" pivotButton="0" quotePrefix="0" xfId="0">
      <alignment horizontal="right" vertical="bottom"/>
    </xf>
    <xf numFmtId="167" fontId="5" fillId="0" borderId="24" applyAlignment="1" pivotButton="0" quotePrefix="0" xfId="0">
      <alignment horizontal="right" vertical="bottom"/>
    </xf>
    <xf numFmtId="167" fontId="5" fillId="0" borderId="25" applyAlignment="1" pivotButton="0" quotePrefix="0" xfId="0">
      <alignment horizontal="right" vertical="bottom"/>
    </xf>
    <xf numFmtId="170" fontId="35" fillId="0" borderId="0" applyAlignment="1" pivotButton="0" quotePrefix="0" xfId="0">
      <alignment horizontal="right" vertical="bottom"/>
    </xf>
    <xf numFmtId="170" fontId="35" fillId="0" borderId="0" applyAlignment="1" pivotButton="0" quotePrefix="0" xfId="0">
      <alignment horizontal="right" vertical="bottom"/>
    </xf>
    <xf numFmtId="0" fontId="35" fillId="7" borderId="0" applyAlignment="1" pivotButton="0" quotePrefix="0" xfId="0">
      <alignment horizontal="left" vertical="bottom" indent="1"/>
    </xf>
    <xf numFmtId="179" fontId="5" fillId="0" borderId="0" applyAlignment="1" pivotButton="0" quotePrefix="0" xfId="0">
      <alignment horizontal="general" vertical="bottom"/>
    </xf>
    <xf numFmtId="180" fontId="5" fillId="0" borderId="0" applyAlignment="1" pivotButton="0" quotePrefix="0" xfId="0">
      <alignment horizontal="right" vertical="bottom"/>
    </xf>
    <xf numFmtId="0" fontId="5" fillId="4" borderId="0" applyAlignment="1" pivotButton="0" quotePrefix="0" xfId="0">
      <alignment horizontal="general" vertical="bottom"/>
    </xf>
    <xf numFmtId="170" fontId="5" fillId="4" borderId="0" applyAlignment="1" pivotButton="0" quotePrefix="0" xfId="0">
      <alignment horizontal="right" vertical="bottom"/>
    </xf>
    <xf numFmtId="170" fontId="5" fillId="4" borderId="23" applyAlignment="1" pivotButton="0" quotePrefix="0" xfId="0">
      <alignment horizontal="right" vertical="bottom"/>
    </xf>
    <xf numFmtId="170" fontId="5" fillId="4" borderId="4" applyAlignment="1" pivotButton="0" quotePrefix="0" xfId="0">
      <alignment horizontal="right" vertical="bottom"/>
    </xf>
    <xf numFmtId="179" fontId="5" fillId="0" borderId="0" applyAlignment="1" pivotButton="0" quotePrefix="0" xfId="0">
      <alignment horizontal="general" vertical="bottom"/>
    </xf>
    <xf numFmtId="180" fontId="5" fillId="0" borderId="0" applyAlignment="1" pivotButton="0" quotePrefix="0" xfId="0">
      <alignment horizontal="right" vertical="bottom"/>
    </xf>
    <xf numFmtId="174" fontId="35" fillId="0" borderId="0" applyAlignment="1" pivotButton="0" quotePrefix="0" xfId="0">
      <alignment horizontal="right" vertical="bottom"/>
    </xf>
    <xf numFmtId="0" fontId="5" fillId="4" borderId="0" applyAlignment="1" pivotButton="0" quotePrefix="0" xfId="0">
      <alignment horizontal="left" vertical="bottom"/>
    </xf>
    <xf numFmtId="174" fontId="35" fillId="0" borderId="0" applyAlignment="1" pivotButton="0" quotePrefix="0" xfId="0">
      <alignment horizontal="left" vertical="bottom"/>
    </xf>
    <xf numFmtId="174" fontId="35" fillId="0" borderId="0" applyAlignment="1" pivotButton="0" quotePrefix="0" xfId="0">
      <alignment horizontal="left" vertical="bottom"/>
    </xf>
    <xf numFmtId="0" fontId="35" fillId="4" borderId="13" applyAlignment="1" pivotButton="0" quotePrefix="0" xfId="0">
      <alignment horizontal="left" vertical="bottom"/>
    </xf>
    <xf numFmtId="0" fontId="5" fillId="0" borderId="13" applyAlignment="1" pivotButton="0" quotePrefix="0" xfId="0">
      <alignment horizontal="left" vertical="bottom" indent="1"/>
    </xf>
    <xf numFmtId="9" fontId="35" fillId="0" borderId="0" applyAlignment="1" pivotButton="0" quotePrefix="0" xfId="0">
      <alignment horizontal="general" vertical="bottom"/>
    </xf>
    <xf numFmtId="9" fontId="35" fillId="0" borderId="0" applyAlignment="1" pivotButton="0" quotePrefix="0" xfId="0">
      <alignment horizontal="general" vertical="bottom"/>
    </xf>
    <xf numFmtId="174" fontId="47" fillId="7" borderId="22" applyAlignment="1" pivotButton="0" quotePrefix="0" xfId="0">
      <alignment horizontal="right" vertical="center"/>
    </xf>
    <xf numFmtId="0" fontId="5" fillId="4" borderId="13" applyAlignment="1" pivotButton="0" quotePrefix="0" xfId="0">
      <alignment horizontal="left" vertical="bottom" indent="1"/>
    </xf>
    <xf numFmtId="0" fontId="5" fillId="4" borderId="0" applyAlignment="1" pivotButton="0" quotePrefix="0" xfId="0">
      <alignment horizontal="left" vertical="bottom" indent="1"/>
    </xf>
    <xf numFmtId="173" fontId="19" fillId="0" borderId="13" applyAlignment="1" pivotButton="0" quotePrefix="0" xfId="0">
      <alignment horizontal="general" vertical="bottom"/>
    </xf>
    <xf numFmtId="173" fontId="19" fillId="0" borderId="24" applyAlignment="1" pivotButton="0" quotePrefix="0" xfId="0">
      <alignment horizontal="general" vertical="bottom"/>
    </xf>
    <xf numFmtId="173" fontId="19" fillId="0" borderId="25" applyAlignment="1" pivotButton="0" quotePrefix="0" xfId="0">
      <alignment horizontal="general" vertical="bottom"/>
    </xf>
    <xf numFmtId="0" fontId="5" fillId="4" borderId="0" applyAlignment="1" pivotButton="0" quotePrefix="0" xfId="0">
      <alignment horizontal="left" vertical="bottom" indent="3"/>
    </xf>
    <xf numFmtId="167" fontId="38" fillId="0" borderId="0" applyAlignment="1" pivotButton="0" quotePrefix="0" xfId="0">
      <alignment horizontal="left" vertical="bottom"/>
    </xf>
    <xf numFmtId="0" fontId="5" fillId="0" borderId="0" applyAlignment="1" pivotButton="0" quotePrefix="0" xfId="0">
      <alignment horizontal="left" vertical="bottom" indent="2"/>
    </xf>
    <xf numFmtId="167" fontId="38" fillId="0" borderId="0" applyAlignment="1" pivotButton="0" quotePrefix="0" xfId="0">
      <alignment horizontal="right" vertical="bottom"/>
    </xf>
    <xf numFmtId="173" fontId="19" fillId="4" borderId="23" applyAlignment="1" pivotButton="0" quotePrefix="0" xfId="0">
      <alignment horizontal="general" vertical="bottom"/>
    </xf>
    <xf numFmtId="173" fontId="19" fillId="4" borderId="4" applyAlignment="1" pivotButton="0" quotePrefix="0" xfId="0">
      <alignment horizontal="general" vertical="bottom"/>
    </xf>
    <xf numFmtId="0" fontId="19" fillId="4" borderId="13" applyAlignment="1" pivotButton="0" quotePrefix="0" xfId="0">
      <alignment horizontal="left" vertical="center" indent="1"/>
    </xf>
    <xf numFmtId="0" fontId="19" fillId="4" borderId="13" applyAlignment="1" pivotButton="0" quotePrefix="0" xfId="0">
      <alignment horizontal="general" vertical="center"/>
    </xf>
    <xf numFmtId="173" fontId="19" fillId="4" borderId="13" applyAlignment="1" pivotButton="0" quotePrefix="0" xfId="0">
      <alignment horizontal="general" vertical="center"/>
    </xf>
    <xf numFmtId="173" fontId="19" fillId="4" borderId="24" applyAlignment="1" pivotButton="0" quotePrefix="0" xfId="0">
      <alignment horizontal="general" vertical="center"/>
    </xf>
    <xf numFmtId="173" fontId="19" fillId="4" borderId="25" applyAlignment="1" pivotButton="0" quotePrefix="0" xfId="0">
      <alignment horizontal="general" vertical="center"/>
    </xf>
    <xf numFmtId="0" fontId="5" fillId="9" borderId="0" applyAlignment="1" pivotButton="0" quotePrefix="0" xfId="0">
      <alignment horizontal="left" vertical="bottom"/>
    </xf>
    <xf numFmtId="0" fontId="21" fillId="9" borderId="0" applyAlignment="1" pivotButton="0" quotePrefix="0" xfId="0">
      <alignment horizontal="general" vertical="bottom"/>
    </xf>
    <xf numFmtId="0" fontId="5" fillId="9" borderId="0" applyAlignment="1" pivotButton="0" quotePrefix="0" xfId="0">
      <alignment horizontal="general" vertical="bottom"/>
    </xf>
    <xf numFmtId="170" fontId="5" fillId="9" borderId="0" applyAlignment="1" pivotButton="0" quotePrefix="0" xfId="0">
      <alignment horizontal="right" vertical="bottom"/>
    </xf>
    <xf numFmtId="170" fontId="5" fillId="9" borderId="0" applyAlignment="1" pivotButton="0" quotePrefix="0" xfId="0">
      <alignment horizontal="right" vertical="bottom"/>
    </xf>
    <xf numFmtId="0" fontId="5" fillId="4" borderId="0" applyAlignment="1" pivotButton="0" quotePrefix="0" xfId="0">
      <alignment horizontal="left" vertical="bottom" indent="2"/>
    </xf>
    <xf numFmtId="170" fontId="5" fillId="4" borderId="0" applyAlignment="1" pivotButton="0" quotePrefix="0" xfId="0">
      <alignment horizontal="right" vertical="bottom"/>
    </xf>
    <xf numFmtId="167" fontId="38" fillId="0" borderId="36" applyAlignment="1" pivotButton="0" quotePrefix="0" xfId="0">
      <alignment horizontal="right" vertical="bottom"/>
    </xf>
    <xf numFmtId="9" fontId="38" fillId="0" borderId="36" applyAlignment="1" pivotButton="0" quotePrefix="0" xfId="0">
      <alignment horizontal="general" vertical="bottom"/>
    </xf>
    <xf numFmtId="166" fontId="21" fillId="5" borderId="0" applyAlignment="1" pivotButton="0" quotePrefix="0" xfId="0">
      <alignment horizontal="left" vertical="bottom"/>
    </xf>
    <xf numFmtId="166" fontId="21" fillId="5" borderId="0" applyAlignment="1" pivotButton="0" quotePrefix="0" xfId="0">
      <alignment horizontal="right" vertical="bottom" wrapText="1"/>
    </xf>
    <xf numFmtId="167" fontId="5" fillId="0" borderId="3" applyAlignment="1" pivotButton="0" quotePrefix="0" xfId="0">
      <alignment horizontal="left" vertical="bottom"/>
    </xf>
    <xf numFmtId="167" fontId="5" fillId="0" borderId="3" applyAlignment="1" pivotButton="0" quotePrefix="0" xfId="0">
      <alignment horizontal="right" vertical="bottom"/>
    </xf>
    <xf numFmtId="0" fontId="5" fillId="0" borderId="0" applyAlignment="1" pivotButton="0" quotePrefix="0" xfId="0">
      <alignment horizontal="right" vertical="bottom"/>
    </xf>
    <xf numFmtId="0" fontId="21" fillId="2" borderId="0" applyAlignment="1" pivotButton="0" quotePrefix="0" xfId="0">
      <alignment horizontal="left" vertical="center"/>
    </xf>
    <xf numFmtId="173" fontId="21" fillId="2" borderId="0" applyAlignment="1" pivotButton="0" quotePrefix="0" xfId="0">
      <alignment horizontal="general" vertical="center"/>
    </xf>
    <xf numFmtId="0" fontId="5" fillId="0" borderId="0" applyAlignment="1" pivotButton="0" quotePrefix="0" xfId="0">
      <alignment horizontal="right" vertical="bottom"/>
    </xf>
    <xf numFmtId="0" fontId="35" fillId="0" borderId="0" applyAlignment="1" pivotButton="0" quotePrefix="0" xfId="0">
      <alignment horizontal="left" vertical="bottom"/>
    </xf>
    <xf numFmtId="0" fontId="35" fillId="0" borderId="0" applyAlignment="1" pivotButton="0" quotePrefix="0" xfId="0">
      <alignment horizontal="right" vertical="bottom"/>
    </xf>
    <xf numFmtId="0" fontId="23" fillId="4" borderId="0" applyAlignment="1" pivotButton="0" quotePrefix="0" xfId="0">
      <alignment horizontal="left" vertical="bottom"/>
    </xf>
    <xf numFmtId="170" fontId="5" fillId="0" borderId="25" applyAlignment="1" pivotButton="0" quotePrefix="0" xfId="0">
      <alignment horizontal="right" vertical="bottom"/>
    </xf>
    <xf numFmtId="0" fontId="35" fillId="0" borderId="38" applyAlignment="1" pivotButton="0" quotePrefix="0" xfId="0">
      <alignment horizontal="left" vertical="bottom"/>
    </xf>
    <xf numFmtId="0" fontId="35" fillId="0" borderId="38" applyAlignment="1" pivotButton="0" quotePrefix="0" xfId="0">
      <alignment horizontal="right" vertical="bottom"/>
    </xf>
    <xf numFmtId="0" fontId="35" fillId="0" borderId="39" applyAlignment="1" pivotButton="0" quotePrefix="0" xfId="0">
      <alignment horizontal="left" vertical="bottom"/>
    </xf>
    <xf numFmtId="0" fontId="35" fillId="0" borderId="39" applyAlignment="1" pivotButton="0" quotePrefix="0" xfId="0">
      <alignment horizontal="right" vertical="bottom"/>
    </xf>
    <xf numFmtId="0" fontId="35" fillId="0" borderId="0" applyAlignment="1" pivotButton="0" quotePrefix="0" xfId="0">
      <alignment horizontal="right" vertical="bottom"/>
    </xf>
    <xf numFmtId="168" fontId="35" fillId="0" borderId="0" applyAlignment="1" pivotButton="0" quotePrefix="0" xfId="0">
      <alignment horizontal="left" vertical="bottom"/>
    </xf>
    <xf numFmtId="168" fontId="35" fillId="0" borderId="0" applyAlignment="1" pivotButton="0" quotePrefix="0" xfId="0">
      <alignment horizontal="right" vertical="bottom"/>
    </xf>
    <xf numFmtId="168" fontId="35" fillId="0" borderId="0" applyAlignment="1" pivotButton="0" quotePrefix="0" xfId="0">
      <alignment horizontal="right" vertical="bottom"/>
    </xf>
    <xf numFmtId="174" fontId="35" fillId="0" borderId="0" applyAlignment="1" pivotButton="0" quotePrefix="0" xfId="0">
      <alignment horizontal="general" vertical="bottom"/>
    </xf>
    <xf numFmtId="170" fontId="34" fillId="7" borderId="2" applyAlignment="1" pivotButton="0" quotePrefix="0" xfId="0">
      <alignment horizontal="right" vertical="center"/>
    </xf>
    <xf numFmtId="170" fontId="34" fillId="7" borderId="26" applyAlignment="1" pivotButton="0" quotePrefix="0" xfId="0">
      <alignment horizontal="right" vertical="center"/>
    </xf>
    <xf numFmtId="170" fontId="34" fillId="7" borderId="27" applyAlignment="1" pivotButton="0" quotePrefix="0" xfId="0">
      <alignment horizontal="right" vertical="center"/>
    </xf>
    <xf numFmtId="167" fontId="48" fillId="0" borderId="36" applyAlignment="1" pivotButton="0" quotePrefix="0" xfId="0">
      <alignment horizontal="right" vertical="bottom"/>
    </xf>
    <xf numFmtId="0" fontId="35" fillId="0" borderId="0" applyAlignment="1" pivotButton="0" quotePrefix="0" xfId="0">
      <alignment horizontal="right" vertical="bottom"/>
    </xf>
    <xf numFmtId="167" fontId="35" fillId="0" borderId="0" applyAlignment="1" pivotButton="0" quotePrefix="0" xfId="0">
      <alignment horizontal="left" vertical="bottom"/>
    </xf>
    <xf numFmtId="0" fontId="34" fillId="0" borderId="0" applyAlignment="1" pivotButton="0" quotePrefix="0" xfId="0">
      <alignment horizontal="general" vertical="center"/>
    </xf>
    <xf numFmtId="170" fontId="34" fillId="0" borderId="0" applyAlignment="1" pivotButton="0" quotePrefix="0" xfId="0">
      <alignment horizontal="right" vertical="center"/>
    </xf>
    <xf numFmtId="170" fontId="34" fillId="0" borderId="0" applyAlignment="1" pivotButton="0" quotePrefix="0" xfId="0">
      <alignment horizontal="right" vertical="center"/>
    </xf>
    <xf numFmtId="0" fontId="25" fillId="0" borderId="0" applyAlignment="1" pivotButton="0" quotePrefix="0" xfId="0">
      <alignment horizontal="general" vertical="center"/>
    </xf>
    <xf numFmtId="170" fontId="25" fillId="0" borderId="0" applyAlignment="1" pivotButton="0" quotePrefix="0" xfId="0">
      <alignment horizontal="right" vertical="center"/>
    </xf>
    <xf numFmtId="170" fontId="25" fillId="0" borderId="0" applyAlignment="1" pivotButton="0" quotePrefix="0" xfId="0">
      <alignment horizontal="right" vertical="center"/>
    </xf>
    <xf numFmtId="167" fontId="19" fillId="0" borderId="0" applyAlignment="1" pivotButton="0" quotePrefix="0" xfId="0">
      <alignment horizontal="right" vertical="center"/>
    </xf>
    <xf numFmtId="174" fontId="35" fillId="0" borderId="0" applyAlignment="1" pivotButton="0" quotePrefix="0" xfId="0">
      <alignment horizontal="general" vertical="bottom"/>
    </xf>
    <xf numFmtId="174" fontId="35" fillId="0" borderId="0" applyAlignment="1" pivotButton="0" quotePrefix="0" xfId="0">
      <alignment horizontal="right" vertical="bottom"/>
    </xf>
    <xf numFmtId="0" fontId="5" fillId="0" borderId="13" applyAlignment="1" pivotButton="0" quotePrefix="0" xfId="0">
      <alignment horizontal="left" vertical="bottom" indent="3"/>
    </xf>
    <xf numFmtId="0" fontId="35" fillId="0" borderId="40" applyAlignment="1" pivotButton="0" quotePrefix="0" xfId="0">
      <alignment horizontal="general" vertical="bottom"/>
    </xf>
    <xf numFmtId="174" fontId="35" fillId="0" borderId="41" applyAlignment="1" pivotButton="0" quotePrefix="0" xfId="0">
      <alignment horizontal="left" vertical="bottom"/>
    </xf>
    <xf numFmtId="174" fontId="35" fillId="0" borderId="41" applyAlignment="1" pivotButton="0" quotePrefix="0" xfId="0">
      <alignment horizontal="right" vertical="bottom"/>
    </xf>
    <xf numFmtId="174" fontId="35" fillId="0" borderId="42" applyAlignment="1" pivotButton="0" quotePrefix="0" xfId="0">
      <alignment horizontal="right" vertical="bottom"/>
    </xf>
    <xf numFmtId="0" fontId="5" fillId="0" borderId="2" applyAlignment="1" pivotButton="0" quotePrefix="0" xfId="0">
      <alignment horizontal="left" vertical="bottom" indent="1"/>
    </xf>
    <xf numFmtId="0" fontId="5" fillId="0" borderId="2" applyAlignment="1" pivotButton="0" quotePrefix="0" xfId="0">
      <alignment horizontal="general" vertical="bottom"/>
    </xf>
    <xf numFmtId="170" fontId="5" fillId="0" borderId="2" applyAlignment="1" pivotButton="0" quotePrefix="0" xfId="0">
      <alignment horizontal="right" vertical="bottom"/>
    </xf>
    <xf numFmtId="170" fontId="5" fillId="0" borderId="26" applyAlignment="1" pivotButton="0" quotePrefix="0" xfId="0">
      <alignment horizontal="right" vertical="bottom"/>
    </xf>
    <xf numFmtId="170" fontId="5" fillId="0" borderId="27" applyAlignment="1" pivotButton="0" quotePrefix="0" xfId="0">
      <alignment horizontal="right" vertical="bottom"/>
    </xf>
    <xf numFmtId="0" fontId="5" fillId="0" borderId="2" applyAlignment="1" pivotButton="0" quotePrefix="0" xfId="0">
      <alignment horizontal="left" vertical="bottom"/>
    </xf>
    <xf numFmtId="0" fontId="19" fillId="7" borderId="0" applyAlignment="1" pivotButton="0" quotePrefix="0" xfId="0">
      <alignment horizontal="general" vertical="center"/>
    </xf>
    <xf numFmtId="170" fontId="19" fillId="7" borderId="0" applyAlignment="1" pivotButton="0" quotePrefix="0" xfId="0">
      <alignment horizontal="right" vertical="center"/>
    </xf>
    <xf numFmtId="170" fontId="19" fillId="7" borderId="0" applyAlignment="1" pivotButton="0" quotePrefix="0" xfId="0">
      <alignment horizontal="right" vertical="center"/>
    </xf>
    <xf numFmtId="166" fontId="21" fillId="6" borderId="21" applyAlignment="1" pivotButton="0" quotePrefix="0" xfId="0">
      <alignment horizontal="left" vertical="bottom" wrapText="1"/>
    </xf>
    <xf numFmtId="166" fontId="21" fillId="6" borderId="21" applyAlignment="1" pivotButton="0" quotePrefix="0" xfId="0">
      <alignment horizontal="right" vertical="bottom" wrapText="1"/>
    </xf>
    <xf numFmtId="181" fontId="5" fillId="0" borderId="0" applyAlignment="1" pivotButton="0" quotePrefix="0" xfId="0">
      <alignment horizontal="left" vertical="bottom"/>
    </xf>
    <xf numFmtId="182" fontId="5" fillId="0" borderId="0" applyAlignment="1" pivotButton="0" quotePrefix="0" xfId="0">
      <alignment horizontal="left" vertical="bottom"/>
    </xf>
    <xf numFmtId="167" fontId="5" fillId="4" borderId="0" applyAlignment="1" pivotButton="0" quotePrefix="0" xfId="0">
      <alignment horizontal="right" vertical="bottom"/>
    </xf>
    <xf numFmtId="0" fontId="35" fillId="0" borderId="0" applyAlignment="1" pivotButton="0" quotePrefix="0" xfId="0">
      <alignment horizontal="general" vertical="bottom"/>
    </xf>
    <xf numFmtId="9" fontId="5" fillId="0" borderId="0" applyAlignment="1" pivotButton="0" quotePrefix="0" xfId="0">
      <alignment horizontal="right" vertical="bottom"/>
    </xf>
    <xf numFmtId="183" fontId="5" fillId="0" borderId="0" applyAlignment="1" pivotButton="0" quotePrefix="0" xfId="0">
      <alignment horizontal="left" vertical="bottom"/>
    </xf>
    <xf numFmtId="0" fontId="5" fillId="4" borderId="0" applyAlignment="1" pivotButton="0" quotePrefix="0" xfId="0">
      <alignment horizontal="left" vertical="bottom" indent="1"/>
    </xf>
    <xf numFmtId="0" fontId="5" fillId="0" borderId="0" applyAlignment="1" pivotButton="0" quotePrefix="0" xfId="0">
      <alignment horizontal="left" vertical="bottom" indent="1"/>
    </xf>
    <xf numFmtId="184" fontId="5" fillId="0" borderId="0" applyAlignment="1" pivotButton="0" quotePrefix="0" xfId="0">
      <alignment horizontal="left" vertical="bottom"/>
    </xf>
    <xf numFmtId="0" fontId="47" fillId="7" borderId="22" applyAlignment="1" pivotButton="0" quotePrefix="0" xfId="0">
      <alignment horizontal="general" vertical="center"/>
    </xf>
    <xf numFmtId="0" fontId="34" fillId="7" borderId="22" applyAlignment="1" pivotButton="0" quotePrefix="0" xfId="0">
      <alignment horizontal="right" vertical="center"/>
    </xf>
    <xf numFmtId="0" fontId="5" fillId="0" borderId="0" applyAlignment="1" pivotButton="0" quotePrefix="0" xfId="0">
      <alignment horizontal="left" vertical="bottom" indent="4"/>
    </xf>
    <xf numFmtId="0" fontId="5" fillId="4" borderId="0" applyAlignment="1" pivotButton="0" quotePrefix="0" xfId="0">
      <alignment horizontal="left" vertical="bottom" indent="4"/>
    </xf>
    <xf numFmtId="0" fontId="5" fillId="4" borderId="13" applyAlignment="1" pivotButton="0" quotePrefix="0" xfId="0">
      <alignment horizontal="left" vertical="bottom" indent="4"/>
    </xf>
    <xf numFmtId="0" fontId="5" fillId="0" borderId="0" applyAlignment="1" pivotButton="0" quotePrefix="0" xfId="0">
      <alignment horizontal="left" vertical="bottom" indent="3"/>
    </xf>
    <xf numFmtId="0" fontId="35" fillId="7" borderId="0" applyAlignment="1" pivotButton="0" quotePrefix="0" xfId="0">
      <alignment horizontal="left" vertical="bottom" indent="4"/>
    </xf>
    <xf numFmtId="0" fontId="35" fillId="7" borderId="0" applyAlignment="1" pivotButton="0" quotePrefix="0" xfId="0">
      <alignment horizontal="general" vertical="bottom"/>
    </xf>
    <xf numFmtId="167" fontId="35" fillId="7" borderId="0" applyAlignment="1" pivotButton="0" quotePrefix="0" xfId="0">
      <alignment horizontal="right" vertical="bottom"/>
    </xf>
    <xf numFmtId="167" fontId="35" fillId="7" borderId="23" applyAlignment="1" pivotButton="0" quotePrefix="0" xfId="0">
      <alignment horizontal="right" vertical="bottom"/>
    </xf>
    <xf numFmtId="167" fontId="35" fillId="7" borderId="4" applyAlignment="1" pivotButton="0" quotePrefix="0" xfId="0">
      <alignment horizontal="right" vertical="bottom"/>
    </xf>
    <xf numFmtId="0" fontId="35" fillId="7" borderId="13" applyAlignment="1" pivotButton="0" quotePrefix="0" xfId="0">
      <alignment horizontal="left" vertical="bottom" indent="4"/>
    </xf>
    <xf numFmtId="0" fontId="35" fillId="7" borderId="13" applyAlignment="1" pivotButton="0" quotePrefix="0" xfId="0">
      <alignment horizontal="general" vertical="bottom"/>
    </xf>
    <xf numFmtId="167" fontId="35" fillId="7" borderId="13" applyAlignment="1" pivotButton="0" quotePrefix="0" xfId="0">
      <alignment horizontal="right" vertical="bottom"/>
    </xf>
    <xf numFmtId="167" fontId="35" fillId="7" borderId="24" applyAlignment="1" pivotButton="0" quotePrefix="0" xfId="0">
      <alignment horizontal="right" vertical="bottom"/>
    </xf>
    <xf numFmtId="167" fontId="35" fillId="7" borderId="25" applyAlignment="1" pivotButton="0" quotePrefix="0" xfId="0">
      <alignment horizontal="right" vertical="bottom"/>
    </xf>
    <xf numFmtId="0" fontId="35" fillId="7" borderId="0" applyAlignment="1" pivotButton="0" quotePrefix="0" xfId="0">
      <alignment horizontal="left" vertical="bottom" indent="3"/>
    </xf>
    <xf numFmtId="0" fontId="35" fillId="7" borderId="13" applyAlignment="1" pivotButton="0" quotePrefix="0" xfId="0">
      <alignment horizontal="left" vertical="bottom" indent="3"/>
    </xf>
    <xf numFmtId="0" fontId="35" fillId="7" borderId="0" applyAlignment="1" pivotButton="0" quotePrefix="0" xfId="0">
      <alignment horizontal="left" vertical="bottom" indent="2"/>
    </xf>
    <xf numFmtId="0" fontId="5" fillId="0" borderId="43" applyAlignment="1" pivotButton="0" quotePrefix="0" xfId="0">
      <alignment horizontal="left" vertical="bottom" indent="1"/>
    </xf>
    <xf numFmtId="0" fontId="5" fillId="0" borderId="43" applyAlignment="1" pivotButton="0" quotePrefix="0" xfId="0">
      <alignment horizontal="general" vertical="bottom"/>
    </xf>
    <xf numFmtId="167" fontId="5" fillId="0" borderId="43" applyAlignment="1" pivotButton="0" quotePrefix="0" xfId="0">
      <alignment horizontal="right" vertical="bottom"/>
    </xf>
    <xf numFmtId="167" fontId="5" fillId="0" borderId="44" applyAlignment="1" pivotButton="0" quotePrefix="0" xfId="0">
      <alignment horizontal="right" vertical="bottom"/>
    </xf>
    <xf numFmtId="167" fontId="5" fillId="0" borderId="45" applyAlignment="1" pivotButton="0" quotePrefix="0" xfId="0">
      <alignment horizontal="right" vertical="bottom"/>
    </xf>
    <xf numFmtId="167" fontId="5" fillId="0" borderId="13" applyAlignment="1" pivotButton="0" quotePrefix="0" xfId="0">
      <alignment horizontal="right" vertical="bottom"/>
    </xf>
    <xf numFmtId="167" fontId="5" fillId="0" borderId="24" applyAlignment="1" pivotButton="0" quotePrefix="0" xfId="0">
      <alignment horizontal="right" vertical="bottom"/>
    </xf>
    <xf numFmtId="167" fontId="5" fillId="0" borderId="25" applyAlignment="1" pivotButton="0" quotePrefix="0" xfId="0">
      <alignment horizontal="right" vertical="bottom"/>
    </xf>
    <xf numFmtId="168" fontId="48" fillId="0" borderId="36" applyAlignment="1" pivotButton="0" quotePrefix="0" xfId="0">
      <alignment horizontal="right" vertical="bottom"/>
    </xf>
    <xf numFmtId="0" fontId="34" fillId="7" borderId="3" applyAlignment="1" pivotButton="0" quotePrefix="0" xfId="0">
      <alignment horizontal="general" vertical="center"/>
    </xf>
    <xf numFmtId="167" fontId="34" fillId="7" borderId="3" applyAlignment="1" pivotButton="0" quotePrefix="0" xfId="0">
      <alignment horizontal="right" vertical="center"/>
    </xf>
    <xf numFmtId="167" fontId="34" fillId="7" borderId="28" applyAlignment="1" pivotButton="0" quotePrefix="0" xfId="0">
      <alignment horizontal="right" vertical="center"/>
    </xf>
    <xf numFmtId="167" fontId="34" fillId="7" borderId="30" applyAlignment="1" pivotButton="0" quotePrefix="0" xfId="0">
      <alignment horizontal="right" vertical="center"/>
    </xf>
    <xf numFmtId="0" fontId="5" fillId="4" borderId="13" applyAlignment="1" pivotButton="0" quotePrefix="0" xfId="0">
      <alignment horizontal="left" vertical="bottom"/>
    </xf>
    <xf numFmtId="0" fontId="35" fillId="7" borderId="0" applyAlignment="1" pivotButton="0" quotePrefix="0" xfId="0">
      <alignment horizontal="left" vertical="bottom"/>
    </xf>
    <xf numFmtId="0" fontId="35" fillId="7" borderId="13" applyAlignment="1" pivotButton="0" quotePrefix="0" xfId="0">
      <alignment horizontal="left" vertical="bottom"/>
    </xf>
    <xf numFmtId="0" fontId="48" fillId="0" borderId="36" applyAlignment="1" pivotButton="0" quotePrefix="0" xfId="0">
      <alignment horizontal="general" vertical="bottom"/>
    </xf>
    <xf numFmtId="172" fontId="5" fillId="0" borderId="0" applyAlignment="1" pivotButton="0" quotePrefix="0" xfId="0">
      <alignment horizontal="right" vertical="bottom"/>
    </xf>
    <xf numFmtId="0" fontId="5" fillId="4" borderId="0" applyAlignment="1" pivotButton="0" quotePrefix="0" xfId="0">
      <alignment horizontal="left" vertical="bottom" indent="4"/>
    </xf>
    <xf numFmtId="0" fontId="35" fillId="7" borderId="0" applyAlignment="1" pivotButton="0" quotePrefix="0" xfId="0">
      <alignment horizontal="left" vertical="bottom" indent="4"/>
    </xf>
    <xf numFmtId="0" fontId="35" fillId="7" borderId="0" applyAlignment="1" pivotButton="0" quotePrefix="0" xfId="0">
      <alignment horizontal="left" vertical="bottom"/>
    </xf>
    <xf numFmtId="180" fontId="35" fillId="7" borderId="0" applyAlignment="1" pivotButton="0" quotePrefix="0" xfId="0">
      <alignment horizontal="right" vertical="bottom"/>
    </xf>
    <xf numFmtId="180" fontId="35" fillId="7" borderId="23" applyAlignment="1" pivotButton="0" quotePrefix="0" xfId="0">
      <alignment horizontal="right" vertical="bottom"/>
    </xf>
    <xf numFmtId="180" fontId="35" fillId="7" borderId="0" applyAlignment="1" pivotButton="0" quotePrefix="0" xfId="0">
      <alignment horizontal="right" vertical="bottom"/>
    </xf>
    <xf numFmtId="180" fontId="35" fillId="7" borderId="4" applyAlignment="1" pivotButton="0" quotePrefix="0" xfId="0">
      <alignment horizontal="right" vertical="bottom"/>
    </xf>
    <xf numFmtId="180" fontId="35" fillId="7" borderId="13" applyAlignment="1" pivotButton="0" quotePrefix="0" xfId="0">
      <alignment horizontal="right" vertical="bottom"/>
    </xf>
    <xf numFmtId="180" fontId="35" fillId="7" borderId="24" applyAlignment="1" pivotButton="0" quotePrefix="0" xfId="0">
      <alignment horizontal="right" vertical="bottom"/>
    </xf>
    <xf numFmtId="180" fontId="35" fillId="7" borderId="25" applyAlignment="1" pivotButton="0" quotePrefix="0" xfId="0">
      <alignment horizontal="right" vertical="bottom"/>
    </xf>
    <xf numFmtId="0" fontId="35" fillId="7" borderId="0" applyAlignment="1" pivotButton="0" quotePrefix="0" xfId="0">
      <alignment horizontal="left" vertical="bottom" indent="3"/>
    </xf>
    <xf numFmtId="168" fontId="35" fillId="7" borderId="0" applyAlignment="1" pivotButton="0" quotePrefix="0" xfId="0">
      <alignment horizontal="right" vertical="bottom"/>
    </xf>
    <xf numFmtId="168" fontId="35" fillId="7" borderId="23" applyAlignment="1" pivotButton="0" quotePrefix="0" xfId="0">
      <alignment horizontal="right" vertical="bottom"/>
    </xf>
    <xf numFmtId="168" fontId="35" fillId="7" borderId="0" applyAlignment="1" pivotButton="0" quotePrefix="0" xfId="0">
      <alignment horizontal="right" vertical="bottom"/>
    </xf>
    <xf numFmtId="168" fontId="35" fillId="7" borderId="4" applyAlignment="1" pivotButton="0" quotePrefix="0" xfId="0">
      <alignment horizontal="right" vertical="bottom"/>
    </xf>
    <xf numFmtId="167" fontId="35" fillId="7" borderId="0" applyAlignment="1" pivotButton="0" quotePrefix="0" xfId="0">
      <alignment horizontal="right" vertical="bottom"/>
    </xf>
    <xf numFmtId="0" fontId="35" fillId="7" borderId="2" applyAlignment="1" pivotButton="0" quotePrefix="0" xfId="0">
      <alignment horizontal="left" vertical="bottom" indent="3"/>
    </xf>
    <xf numFmtId="0" fontId="35" fillId="7" borderId="2" applyAlignment="1" pivotButton="0" quotePrefix="0" xfId="0">
      <alignment horizontal="left" vertical="bottom"/>
    </xf>
    <xf numFmtId="0" fontId="35" fillId="7" borderId="2" applyAlignment="1" pivotButton="0" quotePrefix="0" xfId="0">
      <alignment horizontal="general" vertical="bottom"/>
    </xf>
    <xf numFmtId="167" fontId="35" fillId="7" borderId="2" applyAlignment="1" pivotButton="0" quotePrefix="0" xfId="0">
      <alignment horizontal="right" vertical="bottom"/>
    </xf>
    <xf numFmtId="167" fontId="35" fillId="7" borderId="26" applyAlignment="1" pivotButton="0" quotePrefix="0" xfId="0">
      <alignment horizontal="right" vertical="bottom"/>
    </xf>
    <xf numFmtId="167" fontId="35" fillId="7" borderId="27" applyAlignment="1" pivotButton="0" quotePrefix="0" xfId="0">
      <alignment horizontal="right" vertical="bottom"/>
    </xf>
    <xf numFmtId="0" fontId="5" fillId="4" borderId="0" applyAlignment="1" pivotButton="0" quotePrefix="0" xfId="0">
      <alignment horizontal="left" vertical="bottom"/>
    </xf>
    <xf numFmtId="0" fontId="5" fillId="0" borderId="46" applyAlignment="1" pivotButton="0" quotePrefix="0" xfId="0">
      <alignment horizontal="left" vertical="bottom" indent="2"/>
    </xf>
    <xf numFmtId="0" fontId="5" fillId="4" borderId="46" applyAlignment="1" pivotButton="0" quotePrefix="0" xfId="0">
      <alignment horizontal="left" vertical="bottom"/>
    </xf>
    <xf numFmtId="0" fontId="5" fillId="4" borderId="46" applyAlignment="1" pivotButton="0" quotePrefix="0" xfId="0">
      <alignment horizontal="general" vertical="bottom"/>
    </xf>
    <xf numFmtId="167" fontId="5" fillId="4" borderId="46" applyAlignment="1" pivotButton="0" quotePrefix="0" xfId="0">
      <alignment horizontal="right" vertical="bottom"/>
    </xf>
    <xf numFmtId="167" fontId="5" fillId="4" borderId="47" applyAlignment="1" pivotButton="0" quotePrefix="0" xfId="0">
      <alignment horizontal="right" vertical="bottom"/>
    </xf>
    <xf numFmtId="167" fontId="5" fillId="4" borderId="48" applyAlignment="1" pivotButton="0" quotePrefix="0" xfId="0">
      <alignment horizontal="right" vertical="bottom"/>
    </xf>
    <xf numFmtId="0" fontId="5" fillId="10" borderId="0" applyAlignment="1" pivotButton="0" quotePrefix="0" xfId="0">
      <alignment horizontal="general" vertical="bottom"/>
    </xf>
    <xf numFmtId="0" fontId="5" fillId="10" borderId="0" applyAlignment="1" pivotButton="0" quotePrefix="0" xfId="0">
      <alignment horizontal="general" vertical="bottom"/>
    </xf>
    <xf numFmtId="0" fontId="5" fillId="7" borderId="0" applyAlignment="1" pivotButton="0" quotePrefix="0" xfId="0">
      <alignment horizontal="left" vertical="bottom"/>
    </xf>
    <xf numFmtId="0" fontId="5" fillId="7" borderId="0" applyAlignment="1" pivotButton="0" quotePrefix="0" xfId="0">
      <alignment horizontal="general" vertical="bottom"/>
    </xf>
    <xf numFmtId="170" fontId="5" fillId="7" borderId="23" applyAlignment="1" pivotButton="0" quotePrefix="0" xfId="0">
      <alignment horizontal="right" vertical="bottom"/>
    </xf>
    <xf numFmtId="170" fontId="5" fillId="7" borderId="0" applyAlignment="1" pivotButton="0" quotePrefix="0" xfId="0">
      <alignment horizontal="right" vertical="bottom"/>
    </xf>
    <xf numFmtId="170" fontId="5" fillId="7" borderId="4" applyAlignment="1" pivotButton="0" quotePrefix="0" xfId="0">
      <alignment horizontal="right" vertical="bottom"/>
    </xf>
    <xf numFmtId="0" fontId="5" fillId="0" borderId="0" applyAlignment="1" pivotButton="0" quotePrefix="0" xfId="0">
      <alignment horizontal="general" vertical="bottom"/>
    </xf>
    <xf numFmtId="0" fontId="5" fillId="0" borderId="0" applyAlignment="1" pivotButton="0" quotePrefix="0" xfId="0">
      <alignment horizontal="left" vertical="bottom" indent="1"/>
    </xf>
    <xf numFmtId="167" fontId="38" fillId="0" borderId="36" applyAlignment="1" pivotButton="0" quotePrefix="0" xfId="0">
      <alignment horizontal="right" vertical="bottom"/>
    </xf>
    <xf numFmtId="166" fontId="46" fillId="5" borderId="20" applyAlignment="1" pivotButton="0" quotePrefix="0" xfId="0">
      <alignment horizontal="right" vertical="bottom"/>
    </xf>
    <xf numFmtId="173" fontId="46" fillId="2" borderId="0" applyAlignment="1" pivotButton="0" quotePrefix="0" xfId="0">
      <alignment horizontal="general" vertical="center"/>
    </xf>
    <xf numFmtId="166" fontId="46" fillId="5" borderId="21" applyAlignment="1" pivotButton="0" quotePrefix="0" xfId="0">
      <alignment horizontal="right" vertical="bottom" wrapText="1"/>
    </xf>
    <xf numFmtId="174" fontId="35" fillId="0" borderId="13" applyAlignment="1" pivotButton="0" quotePrefix="0" xfId="0">
      <alignment horizontal="right" vertical="bottom"/>
    </xf>
    <xf numFmtId="167" fontId="38" fillId="0" borderId="36" applyAlignment="1" pivotButton="0" quotePrefix="0" xfId="0">
      <alignment horizontal="left" vertical="bottom"/>
    </xf>
    <xf numFmtId="185" fontId="5" fillId="0" borderId="0" applyAlignment="1" pivotButton="0" quotePrefix="0" xfId="0">
      <alignment horizontal="general" vertical="bottom"/>
    </xf>
    <xf numFmtId="0" fontId="52" fillId="0" borderId="0" applyAlignment="1" pivotButton="0" quotePrefix="0" xfId="0">
      <alignment horizontal="left" vertical="bottom"/>
    </xf>
    <xf numFmtId="0" fontId="5" fillId="0" borderId="0" applyAlignment="1" pivotButton="0" quotePrefix="0" xfId="0">
      <alignment horizontal="left" vertical="bottom" indent="3"/>
    </xf>
    <xf numFmtId="0" fontId="5" fillId="0" borderId="0" applyAlignment="1" pivotButton="0" quotePrefix="0" xfId="0">
      <alignment horizontal="left" vertical="bottom" indent="2"/>
    </xf>
    <xf numFmtId="0" fontId="38" fillId="4" borderId="13" applyAlignment="1" pivotButton="0" quotePrefix="0" xfId="0">
      <alignment horizontal="general" vertical="bottom"/>
    </xf>
    <xf numFmtId="0" fontId="35" fillId="0" borderId="0" applyAlignment="1" pivotButton="0" quotePrefix="0" xfId="0">
      <alignment horizontal="right" vertical="bottom"/>
    </xf>
    <xf numFmtId="165" fontId="48" fillId="0" borderId="36" applyAlignment="1" pivotButton="0" quotePrefix="0" xfId="0">
      <alignment horizontal="general" vertical="bottom"/>
    </xf>
    <xf numFmtId="170" fontId="35" fillId="0" borderId="0" applyAlignment="1" pivotButton="0" quotePrefix="0" xfId="0">
      <alignment horizontal="right" vertical="bottom"/>
    </xf>
    <xf numFmtId="0" fontId="5" fillId="0" borderId="23" applyAlignment="1" pivotButton="0" quotePrefix="0" xfId="0">
      <alignment horizontal="general" vertical="bottom"/>
    </xf>
    <xf numFmtId="0" fontId="5" fillId="0" borderId="4" applyAlignment="1" pivotButton="0" quotePrefix="0" xfId="0">
      <alignment horizontal="general" vertical="bottom"/>
    </xf>
    <xf numFmtId="169" fontId="35" fillId="0" borderId="0" applyAlignment="1" pivotButton="0" quotePrefix="0" xfId="0">
      <alignment horizontal="right" vertical="bottom"/>
    </xf>
    <xf numFmtId="167" fontId="48" fillId="0" borderId="36" applyAlignment="1" pivotButton="0" quotePrefix="0" xfId="0">
      <alignment horizontal="general" vertical="bottom"/>
    </xf>
    <xf numFmtId="167" fontId="48" fillId="0" borderId="0" applyAlignment="1" pivotButton="0" quotePrefix="0" xfId="0">
      <alignment horizontal="general" vertical="bottom"/>
    </xf>
    <xf numFmtId="0" fontId="34" fillId="0" borderId="0" applyAlignment="1" pivotButton="0" quotePrefix="0" xfId="0">
      <alignment horizontal="general" vertical="center"/>
    </xf>
    <xf numFmtId="0" fontId="5" fillId="0" borderId="0" applyAlignment="1" pivotButton="0" quotePrefix="0" xfId="0">
      <alignment horizontal="right" vertical="bottom"/>
    </xf>
    <xf numFmtId="0" fontId="25" fillId="0" borderId="0" applyAlignment="1" pivotButton="0" quotePrefix="0" xfId="0">
      <alignment horizontal="general" vertical="center"/>
    </xf>
    <xf numFmtId="167" fontId="25" fillId="0" borderId="0" applyAlignment="1" pivotButton="0" quotePrefix="0" xfId="0">
      <alignment horizontal="right" vertical="center"/>
    </xf>
    <xf numFmtId="0" fontId="38" fillId="0" borderId="0" applyAlignment="1" pivotButton="0" quotePrefix="0" xfId="0">
      <alignment horizontal="left" vertical="bottom"/>
    </xf>
    <xf numFmtId="0" fontId="48" fillId="0" borderId="0" applyAlignment="1" pivotButton="0" quotePrefix="0" xfId="0">
      <alignment horizontal="general" vertical="bottom"/>
    </xf>
    <xf numFmtId="0" fontId="48" fillId="0" borderId="0" applyAlignment="1" pivotButton="0" quotePrefix="0" xfId="0">
      <alignment horizontal="left" vertical="bottom"/>
    </xf>
    <xf numFmtId="0" fontId="48" fillId="0" borderId="0" applyAlignment="1" pivotButton="0" quotePrefix="0" xfId="0">
      <alignment horizontal="right" vertical="bottom"/>
    </xf>
    <xf numFmtId="0" fontId="38" fillId="0" borderId="0" applyAlignment="1" pivotButton="0" quotePrefix="0" xfId="0">
      <alignment horizontal="right" vertical="bottom"/>
    </xf>
    <xf numFmtId="167" fontId="48" fillId="0" borderId="0" applyAlignment="1" pivotButton="0" quotePrefix="0" xfId="0">
      <alignment horizontal="general" vertical="bottom"/>
    </xf>
    <xf numFmtId="186" fontId="48" fillId="0" borderId="36" applyAlignment="1" pivotButton="0" quotePrefix="0" xfId="0">
      <alignment horizontal="general" vertical="bottom"/>
    </xf>
    <xf numFmtId="185" fontId="35" fillId="0" borderId="0" applyAlignment="1" pivotButton="0" quotePrefix="0" xfId="0">
      <alignment horizontal="general" vertical="bottom"/>
    </xf>
    <xf numFmtId="170" fontId="48" fillId="0" borderId="36" applyAlignment="1" pivotButton="0" quotePrefix="0" xfId="0">
      <alignment horizontal="general" vertical="bottom"/>
    </xf>
    <xf numFmtId="0" fontId="6" fillId="0" borderId="0" applyAlignment="1" pivotButton="0" quotePrefix="0" xfId="49">
      <alignment horizontal="general" vertical="bottom"/>
    </xf>
    <xf numFmtId="0" fontId="0" fillId="2" borderId="0" applyAlignment="1" pivotButton="0" quotePrefix="0" xfId="46">
      <alignment horizontal="left" vertical="bottom"/>
    </xf>
    <xf numFmtId="0" fontId="0" fillId="0" borderId="0" applyAlignment="1" pivotButton="0" quotePrefix="0" xfId="46">
      <alignment horizontal="left" vertical="bottom"/>
    </xf>
    <xf numFmtId="0" fontId="0" fillId="0" borderId="0" applyAlignment="1" pivotButton="0" quotePrefix="0" xfId="46">
      <alignment horizontal="general" vertical="bottom"/>
    </xf>
    <xf numFmtId="0" fontId="0" fillId="0" borderId="0" applyAlignment="1" pivotButton="0" quotePrefix="0" xfId="46">
      <alignment horizontal="general" vertical="bottom"/>
    </xf>
    <xf numFmtId="0" fontId="27" fillId="0" borderId="0" applyAlignment="1" pivotButton="0" quotePrefix="0" xfId="46">
      <alignment horizontal="left" vertical="bottom"/>
    </xf>
    <xf numFmtId="0" fontId="28" fillId="0" borderId="0" applyAlignment="1" pivotButton="0" quotePrefix="0" xfId="46">
      <alignment horizontal="left" vertical="bottom"/>
    </xf>
    <xf numFmtId="0" fontId="29" fillId="0" borderId="0" applyAlignment="1" pivotButton="0" quotePrefix="0" xfId="61">
      <alignment horizontal="left" vertical="bottom"/>
    </xf>
    <xf numFmtId="0" fontId="24" fillId="0" borderId="0" applyAlignment="1" pivotButton="0" quotePrefix="0" xfId="46">
      <alignment horizontal="left" vertical="bottom"/>
    </xf>
    <xf numFmtId="0" fontId="5" fillId="2" borderId="0" applyAlignment="1" pivotButton="0" quotePrefix="0" xfId="46">
      <alignment horizontal="left" vertical="bottom"/>
    </xf>
    <xf numFmtId="0" fontId="5" fillId="0" borderId="0" applyAlignment="1" pivotButton="0" quotePrefix="0" xfId="46">
      <alignment horizontal="left" vertical="bottom"/>
    </xf>
    <xf numFmtId="0" fontId="21" fillId="2" borderId="0" applyAlignment="1" pivotButton="0" quotePrefix="0" xfId="46">
      <alignment horizontal="left" vertical="center"/>
    </xf>
    <xf numFmtId="173" fontId="21" fillId="2" borderId="0" applyAlignment="1" pivotButton="0" quotePrefix="0" xfId="46">
      <alignment horizontal="general" vertical="center"/>
    </xf>
    <xf numFmtId="0" fontId="5" fillId="0" borderId="0" applyAlignment="1" pivotButton="0" quotePrefix="0" xfId="46">
      <alignment horizontal="general" vertical="bottom"/>
    </xf>
    <xf numFmtId="173" fontId="21" fillId="2" borderId="0" applyAlignment="1" pivotButton="0" quotePrefix="0" xfId="46">
      <alignment horizontal="general" vertical="center"/>
    </xf>
    <xf numFmtId="0" fontId="35" fillId="2" borderId="0" applyAlignment="1" pivotButton="0" quotePrefix="0" xfId="46">
      <alignment horizontal="left" vertical="bottom"/>
    </xf>
    <xf numFmtId="0" fontId="35" fillId="0" borderId="0" applyAlignment="1" pivotButton="0" quotePrefix="0" xfId="46">
      <alignment horizontal="left" vertical="bottom"/>
    </xf>
    <xf numFmtId="0" fontId="21" fillId="5" borderId="0" applyAlignment="1" pivotButton="0" quotePrefix="0" xfId="46">
      <alignment horizontal="left" vertical="bottom"/>
    </xf>
    <xf numFmtId="166" fontId="21" fillId="5" borderId="15" applyAlignment="1" pivotButton="0" quotePrefix="0" xfId="46">
      <alignment horizontal="center" vertical="bottom"/>
    </xf>
    <xf numFmtId="166" fontId="21" fillId="5" borderId="31" applyAlignment="1" pivotButton="0" quotePrefix="0" xfId="46">
      <alignment horizontal="center" vertical="bottom"/>
    </xf>
    <xf numFmtId="0" fontId="35" fillId="0" borderId="0" applyAlignment="1" pivotButton="0" quotePrefix="0" xfId="46">
      <alignment horizontal="general" vertical="bottom"/>
    </xf>
    <xf numFmtId="166" fontId="21" fillId="5" borderId="20" applyAlignment="1" pivotButton="0" quotePrefix="0" xfId="46">
      <alignment horizontal="center" vertical="bottom"/>
    </xf>
    <xf numFmtId="166" fontId="21" fillId="8" borderId="15" applyAlignment="1" pivotButton="0" quotePrefix="0" xfId="46">
      <alignment horizontal="center" vertical="bottom"/>
    </xf>
    <xf numFmtId="166" fontId="21" fillId="8" borderId="31" applyAlignment="1" pivotButton="0" quotePrefix="0" xfId="46">
      <alignment horizontal="center" vertical="bottom"/>
    </xf>
    <xf numFmtId="166" fontId="21" fillId="8" borderId="20" applyAlignment="1" pivotButton="0" quotePrefix="0" xfId="46">
      <alignment horizontal="center" vertical="bottom"/>
    </xf>
    <xf numFmtId="166" fontId="21" fillId="11" borderId="15" applyAlignment="1" pivotButton="0" quotePrefix="0" xfId="46">
      <alignment horizontal="center" vertical="bottom"/>
    </xf>
    <xf numFmtId="166" fontId="21" fillId="11" borderId="31" applyAlignment="1" pivotButton="0" quotePrefix="0" xfId="46">
      <alignment horizontal="center" vertical="bottom"/>
    </xf>
    <xf numFmtId="166" fontId="21" fillId="11" borderId="20" applyAlignment="1" pivotButton="0" quotePrefix="0" xfId="46">
      <alignment horizontal="center" vertical="bottom"/>
    </xf>
    <xf numFmtId="0" fontId="23" fillId="4" borderId="49" applyAlignment="1" pivotButton="0" quotePrefix="0" xfId="61">
      <alignment horizontal="general" vertical="bottom"/>
    </xf>
    <xf numFmtId="0" fontId="5" fillId="0" borderId="50" applyAlignment="1" pivotButton="0" quotePrefix="0" xfId="61">
      <alignment horizontal="left" vertical="bottom"/>
    </xf>
    <xf numFmtId="166" fontId="21" fillId="5" borderId="0" applyAlignment="1" pivotButton="0" quotePrefix="0" xfId="46">
      <alignment horizontal="right" vertical="bottom"/>
    </xf>
    <xf numFmtId="166" fontId="21" fillId="5" borderId="20" applyAlignment="1" pivotButton="0" quotePrefix="0" xfId="46">
      <alignment horizontal="right" vertical="bottom"/>
    </xf>
    <xf numFmtId="166" fontId="21" fillId="5" borderId="19" applyAlignment="1" pivotButton="0" quotePrefix="0" xfId="46">
      <alignment horizontal="right" vertical="bottom"/>
    </xf>
    <xf numFmtId="166" fontId="21" fillId="5" borderId="19" applyAlignment="1" pivotButton="0" quotePrefix="0" xfId="46">
      <alignment horizontal="right" vertical="bottom" wrapText="1"/>
    </xf>
    <xf numFmtId="166" fontId="21" fillId="5" borderId="5" applyAlignment="1" pivotButton="0" quotePrefix="0" xfId="46">
      <alignment horizontal="right" vertical="bottom"/>
    </xf>
    <xf numFmtId="166" fontId="21" fillId="5" borderId="21" applyAlignment="1" pivotButton="0" quotePrefix="0" xfId="46">
      <alignment horizontal="right" vertical="bottom"/>
    </xf>
    <xf numFmtId="166" fontId="21" fillId="8" borderId="0" applyAlignment="1" pivotButton="0" quotePrefix="0" xfId="46">
      <alignment horizontal="right" vertical="bottom"/>
    </xf>
    <xf numFmtId="166" fontId="21" fillId="8" borderId="20" applyAlignment="1" pivotButton="0" quotePrefix="0" xfId="46">
      <alignment horizontal="right" vertical="bottom"/>
    </xf>
    <xf numFmtId="166" fontId="21" fillId="8" borderId="5" applyAlignment="1" pivotButton="0" quotePrefix="0" xfId="46">
      <alignment horizontal="right" vertical="bottom"/>
    </xf>
    <xf numFmtId="166" fontId="21" fillId="8" borderId="0" applyAlignment="1" pivotButton="0" quotePrefix="0" xfId="46">
      <alignment horizontal="right" vertical="bottom"/>
    </xf>
    <xf numFmtId="166" fontId="21" fillId="8" borderId="21" applyAlignment="1" pivotButton="0" quotePrefix="0" xfId="46">
      <alignment horizontal="right" vertical="bottom"/>
    </xf>
    <xf numFmtId="166" fontId="21" fillId="8" borderId="19" applyAlignment="1" pivotButton="0" quotePrefix="0" xfId="46">
      <alignment horizontal="right" vertical="bottom" wrapText="1"/>
    </xf>
    <xf numFmtId="166" fontId="21" fillId="11" borderId="0" applyAlignment="1" pivotButton="0" quotePrefix="0" xfId="46">
      <alignment horizontal="right" vertical="bottom"/>
    </xf>
    <xf numFmtId="166" fontId="21" fillId="11" borderId="20" applyAlignment="1" pivotButton="0" quotePrefix="0" xfId="46">
      <alignment horizontal="right" vertical="bottom"/>
    </xf>
    <xf numFmtId="166" fontId="21" fillId="11" borderId="5" applyAlignment="1" pivotButton="0" quotePrefix="0" xfId="46">
      <alignment horizontal="right" vertical="bottom"/>
    </xf>
    <xf numFmtId="166" fontId="21" fillId="11" borderId="19" applyAlignment="1" pivotButton="0" quotePrefix="0" xfId="46">
      <alignment horizontal="right" vertical="bottom"/>
    </xf>
    <xf numFmtId="166" fontId="21" fillId="11" borderId="21" applyAlignment="1" pivotButton="0" quotePrefix="0" xfId="46">
      <alignment horizontal="right" vertical="bottom"/>
    </xf>
    <xf numFmtId="166" fontId="21" fillId="11" borderId="19" applyAlignment="1" pivotButton="0" quotePrefix="0" xfId="46">
      <alignment horizontal="right" vertical="bottom" wrapText="1"/>
    </xf>
    <xf numFmtId="0" fontId="53" fillId="0" borderId="51" applyAlignment="1" pivotButton="0" quotePrefix="0" xfId="61">
      <alignment horizontal="left" vertical="bottom"/>
    </xf>
    <xf numFmtId="0" fontId="54" fillId="0" borderId="52" applyAlignment="1" pivotButton="0" quotePrefix="0" xfId="61">
      <alignment horizontal="left" vertical="bottom"/>
    </xf>
    <xf numFmtId="166" fontId="21" fillId="5" borderId="19" applyAlignment="1" pivotButton="0" quotePrefix="0" xfId="46">
      <alignment horizontal="left" vertical="bottom" wrapText="1"/>
    </xf>
    <xf numFmtId="0" fontId="19" fillId="4" borderId="0" applyAlignment="1" pivotButton="0" quotePrefix="0" xfId="46">
      <alignment horizontal="left" vertical="bottom" indent="1"/>
    </xf>
    <xf numFmtId="173" fontId="19" fillId="4" borderId="0" applyAlignment="1" pivotButton="0" quotePrefix="0" xfId="46">
      <alignment horizontal="general" vertical="bottom"/>
    </xf>
    <xf numFmtId="173" fontId="19" fillId="4" borderId="23" applyAlignment="1" pivotButton="0" quotePrefix="0" xfId="46">
      <alignment horizontal="general" vertical="bottom"/>
    </xf>
    <xf numFmtId="173" fontId="19" fillId="4" borderId="4" applyAlignment="1" pivotButton="0" quotePrefix="0" xfId="46">
      <alignment horizontal="general" vertical="bottom"/>
    </xf>
    <xf numFmtId="173" fontId="19" fillId="4" borderId="0" applyAlignment="1" pivotButton="0" quotePrefix="0" xfId="46">
      <alignment horizontal="general" vertical="bottom"/>
    </xf>
    <xf numFmtId="174" fontId="25" fillId="4" borderId="0" applyAlignment="1" pivotButton="0" quotePrefix="0" xfId="46">
      <alignment horizontal="general" vertical="bottom"/>
    </xf>
    <xf numFmtId="174" fontId="25" fillId="4" borderId="23" applyAlignment="1" pivotButton="0" quotePrefix="0" xfId="46">
      <alignment horizontal="general" vertical="bottom"/>
    </xf>
    <xf numFmtId="174" fontId="25" fillId="4" borderId="4" applyAlignment="1" pivotButton="0" quotePrefix="0" xfId="46">
      <alignment horizontal="general" vertical="bottom"/>
    </xf>
    <xf numFmtId="174" fontId="25" fillId="0" borderId="0" applyAlignment="1" pivotButton="0" quotePrefix="0" xfId="46">
      <alignment horizontal="general" vertical="bottom"/>
    </xf>
    <xf numFmtId="0" fontId="19" fillId="0" borderId="51" applyAlignment="1" pivotButton="0" quotePrefix="0" xfId="61">
      <alignment horizontal="left" vertical="bottom"/>
    </xf>
    <xf numFmtId="0" fontId="5" fillId="0" borderId="52" applyAlignment="1" pivotButton="0" quotePrefix="0" xfId="61">
      <alignment horizontal="left" vertical="bottom"/>
    </xf>
    <xf numFmtId="0" fontId="19" fillId="4" borderId="13" applyAlignment="1" pivotButton="0" quotePrefix="0" xfId="46">
      <alignment horizontal="left" vertical="bottom" indent="1"/>
    </xf>
    <xf numFmtId="173" fontId="19" fillId="4" borderId="13" applyAlignment="1" pivotButton="0" quotePrefix="0" xfId="46">
      <alignment horizontal="general" vertical="bottom"/>
    </xf>
    <xf numFmtId="173" fontId="19" fillId="4" borderId="24" applyAlignment="1" pivotButton="0" quotePrefix="0" xfId="46">
      <alignment horizontal="general" vertical="bottom"/>
    </xf>
    <xf numFmtId="173" fontId="19" fillId="4" borderId="25" applyAlignment="1" pivotButton="0" quotePrefix="0" xfId="46">
      <alignment horizontal="general" vertical="bottom"/>
    </xf>
    <xf numFmtId="174" fontId="25" fillId="4" borderId="13" applyAlignment="1" pivotButton="0" quotePrefix="0" xfId="46">
      <alignment horizontal="general" vertical="bottom"/>
    </xf>
    <xf numFmtId="174" fontId="25" fillId="4" borderId="24" applyAlignment="1" pivotButton="0" quotePrefix="0" xfId="46">
      <alignment horizontal="general" vertical="bottom"/>
    </xf>
    <xf numFmtId="174" fontId="25" fillId="4" borderId="25" applyAlignment="1" pivotButton="0" quotePrefix="0" xfId="46">
      <alignment horizontal="general" vertical="bottom"/>
    </xf>
    <xf numFmtId="174" fontId="25" fillId="0" borderId="13" applyAlignment="1" pivotButton="0" quotePrefix="0" xfId="46">
      <alignment horizontal="general" vertical="bottom"/>
    </xf>
    <xf numFmtId="0" fontId="34" fillId="7" borderId="3" applyAlignment="1" pivotButton="0" quotePrefix="0" xfId="46">
      <alignment horizontal="left" vertical="bottom"/>
    </xf>
    <xf numFmtId="173" fontId="34" fillId="7" borderId="3" applyAlignment="1" pivotButton="0" quotePrefix="0" xfId="46">
      <alignment horizontal="general" vertical="bottom"/>
    </xf>
    <xf numFmtId="173" fontId="34" fillId="7" borderId="28" applyAlignment="1" pivotButton="0" quotePrefix="0" xfId="46">
      <alignment horizontal="general" vertical="bottom"/>
    </xf>
    <xf numFmtId="173" fontId="34" fillId="7" borderId="30" applyAlignment="1" pivotButton="0" quotePrefix="0" xfId="46">
      <alignment horizontal="general" vertical="bottom"/>
    </xf>
    <xf numFmtId="174" fontId="47" fillId="7" borderId="3" applyAlignment="1" pivotButton="0" quotePrefix="0" xfId="46">
      <alignment horizontal="general" vertical="bottom"/>
    </xf>
    <xf numFmtId="174" fontId="47" fillId="7" borderId="28" applyAlignment="1" pivotButton="0" quotePrefix="0" xfId="46">
      <alignment horizontal="general" vertical="bottom"/>
    </xf>
    <xf numFmtId="174" fontId="47" fillId="7" borderId="30" applyAlignment="1" pivotButton="0" quotePrefix="0" xfId="46">
      <alignment horizontal="general" vertical="bottom"/>
    </xf>
    <xf numFmtId="0" fontId="19" fillId="0" borderId="53" applyAlignment="1" pivotButton="0" quotePrefix="0" xfId="61">
      <alignment horizontal="left" vertical="bottom"/>
    </xf>
    <xf numFmtId="0" fontId="5" fillId="0" borderId="54" applyAlignment="1" pivotButton="0" quotePrefix="0" xfId="61">
      <alignment horizontal="left" vertical="bottom"/>
    </xf>
    <xf numFmtId="167" fontId="35" fillId="0" borderId="0" applyAlignment="1" pivotButton="0" quotePrefix="0" xfId="46">
      <alignment horizontal="right" vertical="bottom"/>
    </xf>
    <xf numFmtId="167" fontId="35" fillId="0" borderId="0" applyAlignment="1" pivotButton="0" quotePrefix="0" xfId="46">
      <alignment horizontal="right" vertical="bottom"/>
    </xf>
    <xf numFmtId="0" fontId="19" fillId="0" borderId="0" applyAlignment="1" pivotButton="0" quotePrefix="0" xfId="61">
      <alignment horizontal="left" vertical="bottom"/>
    </xf>
    <xf numFmtId="0" fontId="5" fillId="0" borderId="0" applyAlignment="1" pivotButton="0" quotePrefix="0" xfId="61">
      <alignment horizontal="left" vertical="bottom"/>
    </xf>
    <xf numFmtId="0" fontId="35" fillId="2" borderId="0" applyAlignment="1" pivotButton="0" quotePrefix="0" xfId="46">
      <alignment horizontal="left" vertical="bottom"/>
    </xf>
    <xf numFmtId="0" fontId="35" fillId="0" borderId="0" applyAlignment="1" pivotButton="0" quotePrefix="0" xfId="46">
      <alignment horizontal="left" vertical="bottom"/>
    </xf>
    <xf numFmtId="0" fontId="35" fillId="0" borderId="0" applyAlignment="1" pivotButton="0" quotePrefix="0" xfId="46">
      <alignment horizontal="general" vertical="bottom"/>
    </xf>
    <xf numFmtId="167" fontId="35" fillId="4" borderId="0" applyAlignment="1" pivotButton="0" quotePrefix="0" xfId="46">
      <alignment horizontal="right" vertical="bottom"/>
    </xf>
    <xf numFmtId="0" fontId="5" fillId="0" borderId="0" applyAlignment="1" pivotButton="0" quotePrefix="0" xfId="46">
      <alignment horizontal="general" vertical="bottom"/>
    </xf>
    <xf numFmtId="173" fontId="5" fillId="0" borderId="0" applyAlignment="1" pivotButton="0" quotePrefix="0" xfId="46">
      <alignment horizontal="general" vertical="bottom"/>
    </xf>
    <xf numFmtId="0" fontId="23" fillId="0" borderId="0" applyAlignment="1" pivotButton="0" quotePrefix="0" xfId="61">
      <alignment horizontal="general" vertical="bottom"/>
    </xf>
    <xf numFmtId="0" fontId="53" fillId="0" borderId="0" applyAlignment="1" pivotButton="0" quotePrefix="0" xfId="61">
      <alignment horizontal="left" vertical="bottom"/>
    </xf>
    <xf numFmtId="0" fontId="54" fillId="0" borderId="0" applyAlignment="1" pivotButton="0" quotePrefix="0" xfId="61">
      <alignment horizontal="left" vertical="bottom"/>
    </xf>
    <xf numFmtId="0" fontId="5" fillId="2" borderId="4" applyAlignment="1" pivotButton="0" quotePrefix="0" xfId="40">
      <alignment horizontal="general" vertical="bottom"/>
    </xf>
    <xf numFmtId="0" fontId="27" fillId="0" borderId="0" applyAlignment="1" pivotButton="0" quotePrefix="0" xfId="40">
      <alignment horizontal="left" vertical="bottom"/>
    </xf>
    <xf numFmtId="0" fontId="28" fillId="0" borderId="0" applyAlignment="1" pivotButton="0" quotePrefix="0" xfId="40">
      <alignment horizontal="left" vertical="bottom"/>
    </xf>
    <xf numFmtId="0" fontId="29" fillId="0" borderId="0" applyAlignment="1" pivotButton="0" quotePrefix="0" xfId="40">
      <alignment horizontal="left" vertical="bottom"/>
    </xf>
    <xf numFmtId="0" fontId="24" fillId="0" borderId="0" applyAlignment="1" pivotButton="0" quotePrefix="0" xfId="40">
      <alignment horizontal="left" vertical="bottom"/>
    </xf>
    <xf numFmtId="0" fontId="50" fillId="2" borderId="55" applyAlignment="1" pivotButton="0" quotePrefix="0" xfId="0">
      <alignment horizontal="general" vertical="center"/>
    </xf>
    <xf numFmtId="0" fontId="50" fillId="2" borderId="56" applyAlignment="1" pivotButton="0" quotePrefix="0" xfId="0">
      <alignment horizontal="general" vertical="center"/>
    </xf>
    <xf numFmtId="0" fontId="50" fillId="2" borderId="57" applyAlignment="1" pivotButton="0" quotePrefix="0" xfId="0">
      <alignment horizontal="general" vertical="center"/>
    </xf>
    <xf numFmtId="0" fontId="31" fillId="2" borderId="0" applyAlignment="1" pivotButton="0" quotePrefix="0" xfId="46">
      <alignment horizontal="general" vertical="bottom"/>
    </xf>
    <xf numFmtId="0" fontId="31" fillId="0" borderId="0" applyAlignment="1" pivotButton="0" quotePrefix="0" xfId="50">
      <alignment horizontal="general" vertical="bottom"/>
    </xf>
    <xf numFmtId="0" fontId="31" fillId="5" borderId="0" applyAlignment="1" pivotButton="0" quotePrefix="0" xfId="0">
      <alignment horizontal="general" vertical="bottom"/>
    </xf>
    <xf numFmtId="0" fontId="31" fillId="5" borderId="0" applyAlignment="1" pivotButton="0" quotePrefix="0" xfId="0">
      <alignment horizontal="general" vertical="bottom"/>
    </xf>
    <xf numFmtId="0" fontId="31" fillId="0" borderId="0" applyAlignment="1" pivotButton="0" quotePrefix="0" xfId="0">
      <alignment horizontal="general" vertical="bottom"/>
    </xf>
    <xf numFmtId="187" fontId="5" fillId="0" borderId="0" applyAlignment="1" pivotButton="0" quotePrefix="0" xfId="0">
      <alignment horizontal="left" vertical="bottom"/>
    </xf>
    <xf numFmtId="0" fontId="5" fillId="0" borderId="0" applyAlignment="1" pivotButton="0" quotePrefix="0" xfId="0">
      <alignment horizontal="left" vertical="bottom"/>
    </xf>
    <xf numFmtId="0" fontId="5"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5" fillId="0" borderId="0" applyAlignment="1" pivotButton="0" quotePrefix="0" xfId="0">
      <alignment horizontal="general" vertical="bottom"/>
    </xf>
    <xf numFmtId="0" fontId="56" fillId="0" borderId="0" applyAlignment="1" pivotButton="0" quotePrefix="0" xfId="50">
      <alignment horizontal="general" vertical="bottom"/>
    </xf>
    <xf numFmtId="187" fontId="5" fillId="0" borderId="11" applyAlignment="1" pivotButton="0" quotePrefix="0" xfId="0">
      <alignment horizontal="left" vertical="bottom"/>
    </xf>
    <xf numFmtId="0" fontId="5" fillId="0" borderId="11" applyAlignment="1" pivotButton="0" quotePrefix="0" xfId="0">
      <alignment horizontal="left" vertical="bottom"/>
    </xf>
    <xf numFmtId="0" fontId="5" fillId="0" borderId="11" applyAlignment="1" pivotButton="0" quotePrefix="0" xfId="0">
      <alignment horizontal="general" vertical="bottom"/>
    </xf>
    <xf numFmtId="167" fontId="5" fillId="0" borderId="11" applyAlignment="1" pivotButton="0" quotePrefix="0" xfId="0">
      <alignment horizontal="right" vertical="bottom"/>
    </xf>
    <xf numFmtId="0" fontId="5" fillId="0" borderId="11" applyAlignment="1" pivotButton="0" quotePrefix="0" xfId="0">
      <alignment horizontal="general" vertical="bottom"/>
    </xf>
    <xf numFmtId="0" fontId="57" fillId="0" borderId="0" applyAlignment="1" pivotButton="0" quotePrefix="0" xfId="0">
      <alignment horizontal="general" vertical="bottom"/>
    </xf>
    <xf numFmtId="0" fontId="5" fillId="0" borderId="8" applyAlignment="1" pivotButton="0" quotePrefix="0" xfId="0">
      <alignment horizontal="left" vertical="bottom"/>
    </xf>
    <xf numFmtId="0" fontId="5" fillId="0" borderId="8" applyAlignment="1" pivotButton="0" quotePrefix="0" xfId="0">
      <alignment horizontal="general" vertical="bottom"/>
    </xf>
    <xf numFmtId="167" fontId="5" fillId="0" borderId="8" applyAlignment="1" pivotButton="0" quotePrefix="0" xfId="0">
      <alignment horizontal="right" vertical="bottom"/>
    </xf>
    <xf numFmtId="0" fontId="5" fillId="0" borderId="8" applyAlignment="1" pivotButton="0" quotePrefix="0" xfId="0">
      <alignment horizontal="general" vertical="bottom"/>
    </xf>
    <xf numFmtId="0" fontId="5" fillId="0" borderId="3" applyAlignment="1" pivotButton="0" quotePrefix="0" xfId="0">
      <alignment horizontal="left" vertical="bottom"/>
    </xf>
    <xf numFmtId="0" fontId="5" fillId="0" borderId="3" applyAlignment="1" pivotButton="0" quotePrefix="0" xfId="0">
      <alignment horizontal="general" vertical="bottom"/>
    </xf>
    <xf numFmtId="0" fontId="5" fillId="0" borderId="3" applyAlignment="1" pivotButton="0" quotePrefix="0" xfId="0">
      <alignment horizontal="general" vertical="bottom"/>
    </xf>
    <xf numFmtId="170" fontId="35" fillId="0" borderId="0" applyAlignment="1" pivotButton="0" quotePrefix="0" xfId="0">
      <alignment horizontal="general" vertical="bottom"/>
    </xf>
    <xf numFmtId="170" fontId="45" fillId="0" borderId="0" applyAlignment="1" pivotButton="0" quotePrefix="0" xfId="0">
      <alignment horizontal="general" vertical="bottom"/>
    </xf>
    <xf numFmtId="0" fontId="5" fillId="0" borderId="0" applyAlignment="1" pivotButton="0" quotePrefix="0" xfId="29">
      <alignment horizontal="general" vertical="bottom"/>
    </xf>
    <xf numFmtId="0" fontId="5" fillId="0" borderId="0" applyAlignment="1" pivotButton="0" quotePrefix="0" xfId="29">
      <alignment horizontal="general" vertical="bottom"/>
    </xf>
    <xf numFmtId="0" fontId="29" fillId="0" borderId="0" applyAlignment="1" pivotButton="0" quotePrefix="0" xfId="46">
      <alignment horizontal="left" vertical="bottom"/>
    </xf>
    <xf numFmtId="0" fontId="0" fillId="2" borderId="0" applyAlignment="1" pivotButton="0" quotePrefix="0" xfId="46">
      <alignment horizontal="left" vertical="bottom"/>
    </xf>
    <xf numFmtId="0" fontId="0" fillId="0" borderId="0" applyAlignment="1" pivotButton="0" quotePrefix="0" xfId="46">
      <alignment horizontal="left" vertical="bottom"/>
    </xf>
    <xf numFmtId="0" fontId="21" fillId="2" borderId="0" applyAlignment="1" pivotButton="0" quotePrefix="0" xfId="26">
      <alignment horizontal="left" vertical="center"/>
    </xf>
    <xf numFmtId="0" fontId="21" fillId="2" borderId="0" applyAlignment="1" pivotButton="0" quotePrefix="0" xfId="26">
      <alignment horizontal="general" vertical="center"/>
    </xf>
    <xf numFmtId="173" fontId="21" fillId="2" borderId="0" applyAlignment="1" pivotButton="0" quotePrefix="0" xfId="29">
      <alignment horizontal="general" vertical="center"/>
    </xf>
    <xf numFmtId="0" fontId="21" fillId="5" borderId="0" applyAlignment="1" pivotButton="0" quotePrefix="0" xfId="26">
      <alignment horizontal="left" vertical="bottom"/>
    </xf>
    <xf numFmtId="0" fontId="21" fillId="5" borderId="0" applyAlignment="1" pivotButton="0" quotePrefix="0" xfId="26">
      <alignment horizontal="general" vertical="bottom"/>
    </xf>
    <xf numFmtId="0" fontId="31" fillId="5" borderId="0" applyAlignment="1" pivotButton="0" quotePrefix="0" xfId="72">
      <alignment horizontal="center" vertical="bottom"/>
    </xf>
    <xf numFmtId="0" fontId="32" fillId="5" borderId="0" applyAlignment="1" pivotButton="0" quotePrefix="0" xfId="72">
      <alignment horizontal="center" vertical="bottom"/>
    </xf>
    <xf numFmtId="0" fontId="32" fillId="5" borderId="20" applyAlignment="1" pivotButton="0" quotePrefix="0" xfId="72">
      <alignment horizontal="center" vertical="bottom"/>
    </xf>
    <xf numFmtId="0" fontId="31" fillId="5" borderId="15" applyAlignment="1" pivotButton="0" quotePrefix="0" xfId="72">
      <alignment horizontal="center" vertical="bottom"/>
    </xf>
    <xf numFmtId="0" fontId="31" fillId="5" borderId="32" applyAlignment="1" pivotButton="0" quotePrefix="0" xfId="72">
      <alignment horizontal="center" vertical="bottom"/>
    </xf>
    <xf numFmtId="0" fontId="58" fillId="6" borderId="0" applyAlignment="1" pivotButton="0" quotePrefix="0" xfId="72">
      <alignment horizontal="center" vertical="bottom"/>
    </xf>
    <xf numFmtId="0" fontId="59" fillId="6" borderId="0" applyAlignment="1" pivotButton="0" quotePrefix="0" xfId="72">
      <alignment horizontal="center" vertical="bottom"/>
    </xf>
    <xf numFmtId="0" fontId="59" fillId="6" borderId="20" applyAlignment="1" pivotButton="0" quotePrefix="0" xfId="72">
      <alignment horizontal="center" vertical="bottom"/>
    </xf>
    <xf numFmtId="0" fontId="58" fillId="6" borderId="0" applyAlignment="1" pivotButton="0" quotePrefix="0" xfId="72">
      <alignment horizontal="center" vertical="bottom"/>
    </xf>
    <xf numFmtId="0" fontId="58" fillId="6" borderId="20" applyAlignment="1" pivotButton="0" quotePrefix="0" xfId="72">
      <alignment horizontal="center" vertical="bottom"/>
    </xf>
    <xf numFmtId="0" fontId="0" fillId="2" borderId="0" applyAlignment="1" pivotButton="0" quotePrefix="0" xfId="46">
      <alignment horizontal="left" vertical="bottom"/>
    </xf>
    <xf numFmtId="0" fontId="21" fillId="5" borderId="0" applyAlignment="1" pivotButton="0" quotePrefix="0" xfId="26">
      <alignment horizontal="general" vertical="bottom"/>
    </xf>
    <xf numFmtId="188" fontId="21" fillId="5" borderId="10" applyAlignment="1" pivotButton="0" quotePrefix="0" xfId="29">
      <alignment horizontal="right" vertical="bottom"/>
    </xf>
    <xf numFmtId="188" fontId="21" fillId="5" borderId="5" applyAlignment="1" pivotButton="0" quotePrefix="0" xfId="29">
      <alignment horizontal="right" vertical="bottom"/>
    </xf>
    <xf numFmtId="166" fontId="21" fillId="5" borderId="5" applyAlignment="1" pivotButton="0" quotePrefix="0" xfId="29">
      <alignment horizontal="right" vertical="bottom"/>
    </xf>
    <xf numFmtId="166" fontId="21" fillId="5" borderId="6" applyAlignment="1" pivotButton="0" quotePrefix="0" xfId="29">
      <alignment horizontal="right" vertical="bottom"/>
    </xf>
    <xf numFmtId="166" fontId="21" fillId="5" borderId="6" applyAlignment="1" pivotButton="0" quotePrefix="0" xfId="29">
      <alignment horizontal="right" vertical="center" wrapText="1"/>
    </xf>
    <xf numFmtId="166" fontId="21" fillId="5" borderId="7" applyAlignment="1" pivotButton="0" quotePrefix="0" xfId="29">
      <alignment horizontal="right" vertical="center" wrapText="1"/>
    </xf>
    <xf numFmtId="166" fontId="46" fillId="6" borderId="10" applyAlignment="1" pivotButton="0" quotePrefix="0" xfId="25">
      <alignment horizontal="right" vertical="bottom"/>
    </xf>
    <xf numFmtId="166" fontId="46" fillId="6" borderId="5" applyAlignment="1" pivotButton="0" quotePrefix="0" xfId="25">
      <alignment horizontal="right" vertical="bottom"/>
    </xf>
    <xf numFmtId="166" fontId="46" fillId="6" borderId="10" applyAlignment="1" pivotButton="0" quotePrefix="0" xfId="25">
      <alignment horizontal="right" vertical="center" wrapText="1"/>
    </xf>
    <xf numFmtId="166" fontId="46" fillId="6" borderId="7" applyAlignment="1" pivotButton="0" quotePrefix="0" xfId="25">
      <alignment horizontal="right" vertical="center" wrapText="1"/>
    </xf>
    <xf numFmtId="0" fontId="5" fillId="0" borderId="0" applyAlignment="1" pivotButton="0" quotePrefix="0" xfId="29">
      <alignment horizontal="general" vertical="bottom"/>
    </xf>
    <xf numFmtId="166" fontId="21" fillId="5" borderId="6" applyAlignment="1" pivotButton="0" quotePrefix="0" xfId="29">
      <alignment horizontal="right" vertical="bottom" wrapText="1"/>
    </xf>
    <xf numFmtId="0" fontId="19" fillId="0" borderId="0" applyAlignment="1" pivotButton="0" quotePrefix="0" xfId="26">
      <alignment horizontal="left" vertical="bottom" indent="4"/>
    </xf>
    <xf numFmtId="0" fontId="19" fillId="0" borderId="0" applyAlignment="1" pivotButton="0" quotePrefix="0" xfId="26">
      <alignment horizontal="general" vertical="bottom"/>
    </xf>
    <xf numFmtId="173" fontId="19" fillId="0" borderId="0" applyAlignment="1" pivotButton="0" quotePrefix="0" xfId="29">
      <alignment horizontal="general" vertical="bottom"/>
    </xf>
    <xf numFmtId="173" fontId="19" fillId="0" borderId="23" applyAlignment="1" pivotButton="0" quotePrefix="0" xfId="29">
      <alignment horizontal="general" vertical="bottom"/>
    </xf>
    <xf numFmtId="173" fontId="19" fillId="0" borderId="0" applyAlignment="1" pivotButton="0" quotePrefix="0" xfId="29">
      <alignment horizontal="general" vertical="bottom"/>
    </xf>
    <xf numFmtId="173" fontId="19" fillId="0" borderId="4" applyAlignment="1" pivotButton="0" quotePrefix="0" xfId="29">
      <alignment horizontal="general" vertical="bottom"/>
    </xf>
    <xf numFmtId="173" fontId="19" fillId="0" borderId="0" applyAlignment="1" pivotButton="0" quotePrefix="0" xfId="29">
      <alignment horizontal="general" vertical="bottom"/>
    </xf>
    <xf numFmtId="0" fontId="0" fillId="0" borderId="0" applyAlignment="1" pivotButton="0" quotePrefix="0" xfId="0">
      <alignment horizontal="general" vertical="bottom"/>
    </xf>
    <xf numFmtId="174" fontId="25" fillId="0" borderId="0" applyAlignment="1" pivotButton="0" quotePrefix="0" xfId="29">
      <alignment horizontal="general" vertical="bottom"/>
    </xf>
    <xf numFmtId="174" fontId="25" fillId="0" borderId="23" applyAlignment="1" pivotButton="0" quotePrefix="0" xfId="29">
      <alignment horizontal="general" vertical="bottom"/>
    </xf>
    <xf numFmtId="174" fontId="25" fillId="0" borderId="0" applyAlignment="1" pivotButton="0" quotePrefix="0" xfId="29">
      <alignment horizontal="general" vertical="bottom"/>
    </xf>
    <xf numFmtId="174" fontId="25" fillId="0" borderId="4" applyAlignment="1" pivotButton="0" quotePrefix="0" xfId="29">
      <alignment horizontal="general" vertical="bottom"/>
    </xf>
    <xf numFmtId="174" fontId="25" fillId="0" borderId="0" applyAlignment="1" pivotButton="0" quotePrefix="0" xfId="29">
      <alignment horizontal="general" vertical="bottom"/>
    </xf>
    <xf numFmtId="0" fontId="19" fillId="0" borderId="13" applyAlignment="1" pivotButton="0" quotePrefix="0" xfId="26">
      <alignment horizontal="left" vertical="bottom" indent="4"/>
    </xf>
    <xf numFmtId="0" fontId="19" fillId="0" borderId="13" applyAlignment="1" pivotButton="0" quotePrefix="0" xfId="26">
      <alignment horizontal="general" vertical="bottom"/>
    </xf>
    <xf numFmtId="173" fontId="19" fillId="0" borderId="13" applyAlignment="1" pivotButton="0" quotePrefix="0" xfId="29">
      <alignment horizontal="general" vertical="bottom"/>
    </xf>
    <xf numFmtId="173" fontId="19" fillId="0" borderId="24" applyAlignment="1" pivotButton="0" quotePrefix="0" xfId="29">
      <alignment horizontal="general" vertical="bottom"/>
    </xf>
    <xf numFmtId="173" fontId="19" fillId="0" borderId="25" applyAlignment="1" pivotButton="0" quotePrefix="0" xfId="29">
      <alignment horizontal="general" vertical="bottom"/>
    </xf>
    <xf numFmtId="0" fontId="0" fillId="0" borderId="0" applyAlignment="1" pivotButton="0" quotePrefix="0" xfId="0">
      <alignment horizontal="general" vertical="bottom"/>
    </xf>
    <xf numFmtId="174" fontId="25" fillId="0" borderId="13" applyAlignment="1" pivotButton="0" quotePrefix="0" xfId="29">
      <alignment horizontal="general" vertical="bottom"/>
    </xf>
    <xf numFmtId="174" fontId="25" fillId="0" borderId="24" applyAlignment="1" pivotButton="0" quotePrefix="0" xfId="29">
      <alignment horizontal="general" vertical="bottom"/>
    </xf>
    <xf numFmtId="174" fontId="25" fillId="0" borderId="25" applyAlignment="1" pivotButton="0" quotePrefix="0" xfId="29">
      <alignment horizontal="general" vertical="bottom"/>
    </xf>
    <xf numFmtId="0" fontId="19" fillId="0" borderId="0" applyAlignment="1" pivotButton="0" quotePrefix="0" xfId="26">
      <alignment horizontal="left" vertical="bottom" indent="3"/>
    </xf>
    <xf numFmtId="0" fontId="19" fillId="0" borderId="13" applyAlignment="1" pivotButton="0" quotePrefix="0" xfId="26">
      <alignment horizontal="left" vertical="bottom" indent="3"/>
    </xf>
    <xf numFmtId="0" fontId="19" fillId="0" borderId="0" applyAlignment="1" pivotButton="0" quotePrefix="0" xfId="26">
      <alignment horizontal="left" vertical="bottom" indent="2"/>
    </xf>
    <xf numFmtId="189" fontId="19" fillId="0" borderId="0" applyAlignment="1" pivotButton="0" quotePrefix="0" xfId="29">
      <alignment horizontal="general" vertical="bottom"/>
    </xf>
    <xf numFmtId="189" fontId="19" fillId="0" borderId="23" applyAlignment="1" pivotButton="0" quotePrefix="0" xfId="29">
      <alignment horizontal="general" vertical="bottom"/>
    </xf>
    <xf numFmtId="189" fontId="19" fillId="0" borderId="0" applyAlignment="1" pivotButton="0" quotePrefix="0" xfId="29">
      <alignment horizontal="general" vertical="bottom"/>
    </xf>
    <xf numFmtId="189" fontId="19" fillId="0" borderId="4" applyAlignment="1" pivotButton="0" quotePrefix="0" xfId="29">
      <alignment horizontal="general" vertical="bottom"/>
    </xf>
    <xf numFmtId="189" fontId="19" fillId="0" borderId="13" applyAlignment="1" pivotButton="0" quotePrefix="0" xfId="29">
      <alignment horizontal="general" vertical="bottom"/>
    </xf>
    <xf numFmtId="189" fontId="19" fillId="0" borderId="24" applyAlignment="1" pivotButton="0" quotePrefix="0" xfId="29">
      <alignment horizontal="general" vertical="bottom"/>
    </xf>
    <xf numFmtId="189" fontId="19" fillId="0" borderId="25" applyAlignment="1" pivotButton="0" quotePrefix="0" xfId="29">
      <alignment horizontal="general" vertical="bottom"/>
    </xf>
    <xf numFmtId="189" fontId="25" fillId="0" borderId="0" applyAlignment="1" pivotButton="0" quotePrefix="0" xfId="29">
      <alignment horizontal="general" vertical="bottom"/>
    </xf>
    <xf numFmtId="0" fontId="19" fillId="0" borderId="13" applyAlignment="1" pivotButton="0" quotePrefix="0" xfId="26">
      <alignment horizontal="left" vertical="bottom" indent="2"/>
    </xf>
    <xf numFmtId="0" fontId="19" fillId="0" borderId="0" applyAlignment="1" pivotButton="0" quotePrefix="0" xfId="26">
      <alignment horizontal="left" vertical="bottom" indent="1"/>
    </xf>
    <xf numFmtId="0" fontId="7" fillId="0" borderId="0" applyAlignment="1" pivotButton="0" quotePrefix="0" xfId="72">
      <alignment horizontal="left" vertical="bottom" indent="1"/>
    </xf>
    <xf numFmtId="0" fontId="7" fillId="0" borderId="0" applyAlignment="1" pivotButton="0" quotePrefix="0" xfId="72">
      <alignment horizontal="general" vertical="bottom"/>
    </xf>
    <xf numFmtId="189" fontId="7" fillId="0" borderId="0" applyAlignment="1" pivotButton="0" quotePrefix="0" xfId="72">
      <alignment horizontal="right" vertical="bottom"/>
    </xf>
    <xf numFmtId="189" fontId="7" fillId="0" borderId="23" applyAlignment="1" pivotButton="0" quotePrefix="0" xfId="72">
      <alignment horizontal="right" vertical="bottom"/>
    </xf>
    <xf numFmtId="189" fontId="7" fillId="0" borderId="0" applyAlignment="1" pivotButton="0" quotePrefix="0" xfId="72">
      <alignment horizontal="right" vertical="bottom"/>
    </xf>
    <xf numFmtId="189" fontId="7" fillId="0" borderId="4" applyAlignment="1" pivotButton="0" quotePrefix="0" xfId="72">
      <alignment horizontal="right" vertical="bottom"/>
    </xf>
    <xf numFmtId="174" fontId="22" fillId="0" borderId="0" applyAlignment="1" pivotButton="0" quotePrefix="0" xfId="72">
      <alignment horizontal="right" vertical="bottom"/>
    </xf>
    <xf numFmtId="174" fontId="22" fillId="0" borderId="23" applyAlignment="1" pivotButton="0" quotePrefix="0" xfId="72">
      <alignment horizontal="right" vertical="bottom"/>
    </xf>
    <xf numFmtId="174" fontId="22" fillId="0" borderId="0" applyAlignment="1" pivotButton="0" quotePrefix="0" xfId="72">
      <alignment horizontal="right" vertical="bottom"/>
    </xf>
    <xf numFmtId="174" fontId="22" fillId="0" borderId="4" applyAlignment="1" pivotButton="0" quotePrefix="0" xfId="72">
      <alignment horizontal="right" vertical="bottom"/>
    </xf>
    <xf numFmtId="0" fontId="7" fillId="0" borderId="0" applyAlignment="1" pivotButton="0" quotePrefix="0" xfId="72">
      <alignment horizontal="general" vertical="bottom"/>
    </xf>
    <xf numFmtId="189" fontId="7" fillId="7" borderId="0" applyAlignment="1" pivotButton="0" quotePrefix="0" xfId="72">
      <alignment horizontal="right" vertical="bottom"/>
    </xf>
    <xf numFmtId="189" fontId="7" fillId="7" borderId="23" applyAlignment="1" pivotButton="0" quotePrefix="0" xfId="72">
      <alignment horizontal="right" vertical="bottom"/>
    </xf>
    <xf numFmtId="189" fontId="7" fillId="7" borderId="0" applyAlignment="1" pivotButton="0" quotePrefix="0" xfId="72">
      <alignment horizontal="right" vertical="bottom"/>
    </xf>
    <xf numFmtId="174" fontId="22" fillId="7" borderId="0" applyAlignment="1" pivotButton="0" quotePrefix="0" xfId="72">
      <alignment horizontal="right" vertical="bottom"/>
    </xf>
    <xf numFmtId="174" fontId="22" fillId="7" borderId="23" applyAlignment="1" pivotButton="0" quotePrefix="0" xfId="72">
      <alignment horizontal="right" vertical="bottom"/>
    </xf>
    <xf numFmtId="174" fontId="22" fillId="7" borderId="0" applyAlignment="1" pivotButton="0" quotePrefix="0" xfId="72">
      <alignment horizontal="right" vertical="bottom"/>
    </xf>
    <xf numFmtId="174" fontId="22" fillId="7" borderId="4" applyAlignment="1" pivotButton="0" quotePrefix="0" xfId="72">
      <alignment horizontal="right" vertical="bottom"/>
    </xf>
    <xf numFmtId="0" fontId="34" fillId="7" borderId="22" applyAlignment="1" pivotButton="0" quotePrefix="0" xfId="72">
      <alignment horizontal="general" vertical="center"/>
    </xf>
    <xf numFmtId="189" fontId="34" fillId="7" borderId="22" applyAlignment="1" pivotButton="0" quotePrefix="0" xfId="72">
      <alignment horizontal="right" vertical="center"/>
    </xf>
    <xf numFmtId="189" fontId="34" fillId="7" borderId="34" applyAlignment="1" pivotButton="0" quotePrefix="0" xfId="72">
      <alignment horizontal="right" vertical="center"/>
    </xf>
    <xf numFmtId="189" fontId="34" fillId="7" borderId="35" applyAlignment="1" pivotButton="0" quotePrefix="0" xfId="72">
      <alignment horizontal="right" vertical="center"/>
    </xf>
    <xf numFmtId="174" fontId="47" fillId="7" borderId="22" applyAlignment="1" pivotButton="0" quotePrefix="0" xfId="72">
      <alignment horizontal="right" vertical="center"/>
    </xf>
    <xf numFmtId="174" fontId="47" fillId="7" borderId="34" applyAlignment="1" pivotButton="0" quotePrefix="0" xfId="72">
      <alignment horizontal="right" vertical="center"/>
    </xf>
    <xf numFmtId="174" fontId="47" fillId="7" borderId="35" applyAlignment="1" pivotButton="0" quotePrefix="0" xfId="72">
      <alignment horizontal="right" vertical="center"/>
    </xf>
    <xf numFmtId="0" fontId="0" fillId="0" borderId="0" applyAlignment="1" pivotButton="0" quotePrefix="0" xfId="46">
      <alignment horizontal="left" vertical="bottom"/>
    </xf>
    <xf numFmtId="0" fontId="5" fillId="0" borderId="0" applyAlignment="1" pivotButton="0" quotePrefix="0" xfId="29">
      <alignment horizontal="general" vertical="bottom"/>
    </xf>
    <xf numFmtId="0" fontId="5" fillId="0" borderId="0" applyAlignment="1" pivotButton="0" quotePrefix="0" xfId="29">
      <alignment horizontal="general" vertical="bottom"/>
    </xf>
    <xf numFmtId="185" fontId="5" fillId="0" borderId="0" applyAlignment="1" pivotButton="0" quotePrefix="0" xfId="29">
      <alignment horizontal="general" vertical="bottom"/>
    </xf>
    <xf numFmtId="0" fontId="22" fillId="0" borderId="0" applyAlignment="1" pivotButton="0" quotePrefix="0" xfId="72">
      <alignment horizontal="general" vertical="bottom"/>
    </xf>
    <xf numFmtId="167" fontId="22" fillId="0" borderId="0" applyAlignment="1" pivotButton="0" quotePrefix="0" xfId="51">
      <alignment horizontal="right" vertical="bottom"/>
    </xf>
    <xf numFmtId="167" fontId="22" fillId="0" borderId="0" applyAlignment="1" pivotButton="0" quotePrefix="0" xfId="51">
      <alignment horizontal="right" vertical="bottom"/>
    </xf>
    <xf numFmtId="167" fontId="22" fillId="0" borderId="0" applyAlignment="1" pivotButton="0" quotePrefix="0" xfId="72">
      <alignment horizontal="right" vertical="bottom"/>
    </xf>
    <xf numFmtId="167" fontId="22" fillId="0" borderId="0" applyAlignment="1" pivotButton="0" quotePrefix="0" xfId="72">
      <alignment horizontal="right" vertical="bottom"/>
    </xf>
    <xf numFmtId="190" fontId="22" fillId="0" borderId="0" applyAlignment="1" pivotButton="0" quotePrefix="0" xfId="72">
      <alignment horizontal="right" vertical="bottom"/>
    </xf>
    <xf numFmtId="167" fontId="5" fillId="0" borderId="0" applyAlignment="1" pivotButton="0" quotePrefix="0" xfId="29">
      <alignment horizontal="right" vertical="bottom"/>
    </xf>
    <xf numFmtId="167" fontId="5" fillId="0" borderId="0" applyAlignment="1" pivotButton="0" quotePrefix="0" xfId="29">
      <alignment horizontal="right" vertical="bottom"/>
    </xf>
    <xf numFmtId="189" fontId="5" fillId="0" borderId="0" applyAlignment="1" pivotButton="0" quotePrefix="0" xfId="29">
      <alignment horizontal="general" vertical="bottom"/>
    </xf>
    <xf numFmtId="189" fontId="5" fillId="0" borderId="0" applyAlignment="1" pivotButton="0" quotePrefix="0" xfId="29">
      <alignment horizontal="general" vertical="bottom"/>
    </xf>
    <xf numFmtId="0" fontId="7" fillId="0" borderId="0" applyAlignment="1" pivotButton="0" quotePrefix="0" xfId="51">
      <alignment horizontal="general" vertical="bottom"/>
    </xf>
    <xf numFmtId="0" fontId="22" fillId="0" borderId="0" applyAlignment="1" pivotButton="0" quotePrefix="0" xfId="51">
      <alignment horizontal="general" vertical="bottom"/>
    </xf>
    <xf numFmtId="0" fontId="7" fillId="0" borderId="0" applyAlignment="1" pivotButton="0" quotePrefix="0" xfId="51">
      <alignment horizontal="general" vertical="bottom"/>
    </xf>
    <xf numFmtId="0" fontId="5" fillId="2" borderId="4" applyAlignment="1" pivotButton="0" quotePrefix="0" xfId="68">
      <alignment horizontal="general" vertical="bottom"/>
    </xf>
    <xf numFmtId="0" fontId="27" fillId="0" borderId="0" applyAlignment="1" pivotButton="0" quotePrefix="0" xfId="68">
      <alignment horizontal="left" vertical="bottom"/>
    </xf>
    <xf numFmtId="166" fontId="7" fillId="0" borderId="0" applyAlignment="1" pivotButton="0" quotePrefix="0" xfId="51">
      <alignment horizontal="general" vertical="top"/>
    </xf>
    <xf numFmtId="166" fontId="7" fillId="0" borderId="0" applyAlignment="1" pivotButton="0" quotePrefix="0" xfId="51">
      <alignment horizontal="general" vertical="top"/>
    </xf>
    <xf numFmtId="0" fontId="28" fillId="0" borderId="0" applyAlignment="1" pivotButton="0" quotePrefix="0" xfId="68">
      <alignment horizontal="left" vertical="bottom"/>
    </xf>
    <xf numFmtId="0" fontId="29" fillId="0" borderId="0" applyAlignment="1" pivotButton="0" quotePrefix="0" xfId="68">
      <alignment horizontal="left" vertical="bottom"/>
    </xf>
    <xf numFmtId="0" fontId="24" fillId="0" borderId="0" applyAlignment="1" pivotButton="0" quotePrefix="0" xfId="68">
      <alignment horizontal="left" vertical="bottom"/>
    </xf>
    <xf numFmtId="49" fontId="30" fillId="0" borderId="0" applyAlignment="1" pivotButton="0" quotePrefix="0" xfId="50">
      <alignment horizontal="general" vertical="bottom"/>
    </xf>
    <xf numFmtId="0" fontId="21" fillId="2" borderId="0" applyAlignment="1" pivotButton="0" quotePrefix="0" xfId="27">
      <alignment horizontal="left" vertical="center"/>
    </xf>
    <xf numFmtId="0" fontId="46" fillId="2" borderId="0" applyAlignment="1" pivotButton="0" quotePrefix="0" xfId="27">
      <alignment horizontal="left" vertical="center"/>
    </xf>
    <xf numFmtId="0" fontId="50" fillId="2" borderId="0" applyAlignment="1" pivotButton="0" quotePrefix="0" xfId="51">
      <alignment horizontal="general" vertical="center"/>
    </xf>
    <xf numFmtId="0" fontId="50" fillId="2" borderId="0" applyAlignment="1" pivotButton="0" quotePrefix="0" xfId="51">
      <alignment horizontal="general" vertical="center"/>
    </xf>
    <xf numFmtId="0" fontId="50" fillId="2" borderId="4" applyAlignment="1" pivotButton="0" quotePrefix="0" xfId="51">
      <alignment horizontal="general" vertical="center"/>
    </xf>
    <xf numFmtId="173" fontId="21" fillId="2" borderId="0" applyAlignment="1" pivotButton="0" quotePrefix="0" xfId="30">
      <alignment horizontal="general" vertical="center"/>
    </xf>
    <xf numFmtId="0" fontId="22" fillId="0" borderId="0" applyAlignment="1" pivotButton="0" quotePrefix="0" xfId="51">
      <alignment horizontal="general" vertical="bottom"/>
    </xf>
    <xf numFmtId="0" fontId="7" fillId="5" borderId="0" applyAlignment="1" pivotButton="0" quotePrefix="0" xfId="51">
      <alignment horizontal="general" vertical="bottom"/>
    </xf>
    <xf numFmtId="0" fontId="22" fillId="5" borderId="0" applyAlignment="1" pivotButton="0" quotePrefix="0" xfId="51">
      <alignment horizontal="general" vertical="bottom"/>
    </xf>
    <xf numFmtId="0" fontId="31" fillId="5" borderId="0" applyAlignment="1" pivotButton="0" quotePrefix="0" xfId="72">
      <alignment horizontal="center" vertical="bottom"/>
    </xf>
    <xf numFmtId="0" fontId="32" fillId="5" borderId="0" applyAlignment="1" pivotButton="0" quotePrefix="0" xfId="72">
      <alignment horizontal="center" vertical="bottom"/>
    </xf>
    <xf numFmtId="0" fontId="31" fillId="5" borderId="20" applyAlignment="1" pivotButton="0" quotePrefix="0" xfId="72">
      <alignment horizontal="center" vertical="bottom"/>
    </xf>
    <xf numFmtId="0" fontId="59" fillId="6" borderId="0" applyAlignment="1" pivotButton="0" quotePrefix="0" xfId="72">
      <alignment horizontal="center" vertical="bottom"/>
    </xf>
    <xf numFmtId="0" fontId="5" fillId="2" borderId="0" applyAlignment="1" pivotButton="0" quotePrefix="0" xfId="46">
      <alignment horizontal="right" vertical="bottom"/>
    </xf>
    <xf numFmtId="0" fontId="5" fillId="0" borderId="0" applyAlignment="1" pivotButton="0" quotePrefix="0" xfId="50">
      <alignment horizontal="right" vertical="bottom"/>
    </xf>
    <xf numFmtId="166" fontId="21" fillId="5" borderId="10" applyAlignment="1" pivotButton="0" quotePrefix="0" xfId="30">
      <alignment horizontal="right" vertical="bottom"/>
    </xf>
    <xf numFmtId="166" fontId="21" fillId="5" borderId="5" applyAlignment="1" pivotButton="0" quotePrefix="0" xfId="30">
      <alignment horizontal="right" vertical="bottom"/>
    </xf>
    <xf numFmtId="166" fontId="21" fillId="5" borderId="6" applyAlignment="1" pivotButton="0" quotePrefix="0" xfId="30">
      <alignment horizontal="right" vertical="bottom"/>
    </xf>
    <xf numFmtId="166" fontId="21" fillId="5" borderId="6" applyAlignment="1" pivotButton="0" quotePrefix="0" xfId="30">
      <alignment horizontal="right" vertical="bottom" wrapText="1"/>
    </xf>
    <xf numFmtId="166" fontId="21" fillId="5" borderId="7" applyAlignment="1" pivotButton="0" quotePrefix="0" xfId="30">
      <alignment horizontal="right" vertical="bottom" wrapText="1"/>
    </xf>
    <xf numFmtId="0" fontId="7" fillId="0" borderId="0" applyAlignment="1" pivotButton="0" quotePrefix="0" xfId="51">
      <alignment horizontal="right" vertical="bottom"/>
    </xf>
    <xf numFmtId="166" fontId="46" fillId="6" borderId="10" applyAlignment="1" pivotButton="0" quotePrefix="0" xfId="27">
      <alignment horizontal="right" vertical="bottom"/>
    </xf>
    <xf numFmtId="166" fontId="46" fillId="6" borderId="5" applyAlignment="1" pivotButton="0" quotePrefix="0" xfId="27">
      <alignment horizontal="right" vertical="bottom"/>
    </xf>
    <xf numFmtId="166" fontId="46" fillId="6" borderId="10" applyAlignment="1" pivotButton="0" quotePrefix="0" xfId="27">
      <alignment horizontal="right" vertical="bottom" wrapText="1"/>
    </xf>
    <xf numFmtId="166" fontId="46" fillId="6" borderId="7" applyAlignment="1" pivotButton="0" quotePrefix="0" xfId="27">
      <alignment horizontal="right" vertical="bottom" wrapText="1"/>
    </xf>
    <xf numFmtId="0" fontId="22" fillId="0" borderId="0" applyAlignment="1" pivotButton="0" quotePrefix="0" xfId="51">
      <alignment horizontal="right" vertical="bottom"/>
    </xf>
    <xf numFmtId="0" fontId="7" fillId="0" borderId="0" applyAlignment="1" pivotButton="0" quotePrefix="0" xfId="51">
      <alignment horizontal="right" vertical="bottom"/>
    </xf>
    <xf numFmtId="0" fontId="7" fillId="0" borderId="0" applyAlignment="1" pivotButton="0" quotePrefix="0" xfId="51">
      <alignment horizontal="left" vertical="bottom" indent="4"/>
    </xf>
    <xf numFmtId="0" fontId="22" fillId="0" borderId="0" applyAlignment="1" pivotButton="0" quotePrefix="0" xfId="51">
      <alignment horizontal="left" vertical="bottom" indent="4"/>
    </xf>
    <xf numFmtId="167" fontId="7" fillId="0" borderId="0" applyAlignment="1" pivotButton="0" quotePrefix="0" xfId="51">
      <alignment horizontal="right" vertical="bottom"/>
    </xf>
    <xf numFmtId="167" fontId="7" fillId="0" borderId="23" applyAlignment="1" pivotButton="0" quotePrefix="0" xfId="51">
      <alignment horizontal="right" vertical="bottom"/>
    </xf>
    <xf numFmtId="167" fontId="7" fillId="0" borderId="4" applyAlignment="1" pivotButton="0" quotePrefix="0" xfId="51">
      <alignment horizontal="right" vertical="bottom"/>
    </xf>
    <xf numFmtId="0" fontId="7" fillId="0" borderId="0" applyAlignment="1" pivotButton="0" quotePrefix="0" xfId="51">
      <alignment horizontal="general" vertical="bottom"/>
    </xf>
    <xf numFmtId="168" fontId="22" fillId="0" borderId="0" applyAlignment="1" pivotButton="0" quotePrefix="0" xfId="51">
      <alignment horizontal="right" vertical="bottom"/>
    </xf>
    <xf numFmtId="168" fontId="22" fillId="0" borderId="23" applyAlignment="1" pivotButton="0" quotePrefix="0" xfId="51">
      <alignment horizontal="right" vertical="bottom"/>
    </xf>
    <xf numFmtId="168" fontId="22" fillId="0" borderId="4" applyAlignment="1" pivotButton="0" quotePrefix="0" xfId="51">
      <alignment horizontal="right" vertical="bottom"/>
    </xf>
    <xf numFmtId="0" fontId="7" fillId="0" borderId="13" applyAlignment="1" pivotButton="0" quotePrefix="0" xfId="51">
      <alignment horizontal="left" vertical="bottom" indent="4"/>
    </xf>
    <xf numFmtId="0" fontId="22" fillId="0" borderId="13" applyAlignment="1" pivotButton="0" quotePrefix="0" xfId="51">
      <alignment horizontal="left" vertical="bottom" indent="4"/>
    </xf>
    <xf numFmtId="167" fontId="7" fillId="0" borderId="13" applyAlignment="1" pivotButton="0" quotePrefix="0" xfId="51">
      <alignment horizontal="right" vertical="bottom"/>
    </xf>
    <xf numFmtId="167" fontId="7" fillId="0" borderId="24" applyAlignment="1" pivotButton="0" quotePrefix="0" xfId="51">
      <alignment horizontal="right" vertical="bottom"/>
    </xf>
    <xf numFmtId="167" fontId="7" fillId="0" borderId="25" applyAlignment="1" pivotButton="0" quotePrefix="0" xfId="51">
      <alignment horizontal="right" vertical="bottom"/>
    </xf>
    <xf numFmtId="168" fontId="22" fillId="0" borderId="13" applyAlignment="1" pivotButton="0" quotePrefix="0" xfId="51">
      <alignment horizontal="right" vertical="bottom"/>
    </xf>
    <xf numFmtId="168" fontId="22" fillId="0" borderId="24" applyAlignment="1" pivotButton="0" quotePrefix="0" xfId="51">
      <alignment horizontal="right" vertical="bottom"/>
    </xf>
    <xf numFmtId="168" fontId="22" fillId="0" borderId="25" applyAlignment="1" pivotButton="0" quotePrefix="0" xfId="51">
      <alignment horizontal="right" vertical="bottom"/>
    </xf>
    <xf numFmtId="0" fontId="7" fillId="0" borderId="13" applyAlignment="1" pivotButton="0" quotePrefix="0" xfId="51">
      <alignment horizontal="left" vertical="bottom" indent="3"/>
    </xf>
    <xf numFmtId="0" fontId="22" fillId="0" borderId="13" applyAlignment="1" pivotButton="0" quotePrefix="0" xfId="51">
      <alignment horizontal="left" vertical="bottom" indent="3"/>
    </xf>
    <xf numFmtId="0" fontId="7" fillId="0" borderId="0" applyAlignment="1" pivotButton="0" quotePrefix="0" xfId="51">
      <alignment horizontal="left" vertical="bottom" indent="2"/>
    </xf>
    <xf numFmtId="0" fontId="22" fillId="0" borderId="0" applyAlignment="1" pivotButton="0" quotePrefix="0" xfId="51">
      <alignment horizontal="left" vertical="bottom" indent="2"/>
    </xf>
    <xf numFmtId="0" fontId="7" fillId="0" borderId="0" applyAlignment="1" pivotButton="0" quotePrefix="0" xfId="51">
      <alignment horizontal="left" vertical="bottom" indent="3"/>
    </xf>
    <xf numFmtId="0" fontId="22" fillId="0" borderId="0" applyAlignment="1" pivotButton="0" quotePrefix="0" xfId="51">
      <alignment horizontal="left" vertical="bottom" indent="3"/>
    </xf>
    <xf numFmtId="0" fontId="7" fillId="0" borderId="0" applyAlignment="1" pivotButton="0" quotePrefix="0" xfId="51">
      <alignment horizontal="left" vertical="bottom" indent="5"/>
    </xf>
    <xf numFmtId="167" fontId="7" fillId="0" borderId="58" applyAlignment="1" pivotButton="0" quotePrefix="0" xfId="51">
      <alignment horizontal="right" vertical="bottom"/>
    </xf>
    <xf numFmtId="168" fontId="22" fillId="0" borderId="58" applyAlignment="1" pivotButton="0" quotePrefix="0" xfId="51">
      <alignment horizontal="right" vertical="bottom"/>
    </xf>
    <xf numFmtId="0" fontId="7" fillId="0" borderId="13" applyAlignment="1" pivotButton="0" quotePrefix="0" xfId="51">
      <alignment horizontal="left" vertical="bottom" indent="5"/>
    </xf>
    <xf numFmtId="167" fontId="7" fillId="0" borderId="59" applyAlignment="1" pivotButton="0" quotePrefix="0" xfId="51">
      <alignment horizontal="right" vertical="bottom"/>
    </xf>
    <xf numFmtId="168" fontId="22" fillId="0" borderId="59" applyAlignment="1" pivotButton="0" quotePrefix="0" xfId="51">
      <alignment horizontal="right" vertical="bottom"/>
    </xf>
    <xf numFmtId="171" fontId="35" fillId="2" borderId="0" applyAlignment="1" pivotButton="0" quotePrefix="0" xfId="46">
      <alignment horizontal="general" vertical="bottom"/>
    </xf>
    <xf numFmtId="171" fontId="36" fillId="0" borderId="0" applyAlignment="1" pivotButton="0" quotePrefix="0" xfId="50">
      <alignment horizontal="general" vertical="bottom"/>
    </xf>
    <xf numFmtId="168" fontId="22" fillId="4" borderId="13" applyAlignment="1" pivotButton="0" quotePrefix="0" xfId="51">
      <alignment horizontal="right" vertical="bottom"/>
    </xf>
    <xf numFmtId="0" fontId="22" fillId="0" borderId="13" applyAlignment="1" pivotButton="0" quotePrefix="0" xfId="51">
      <alignment horizontal="left" vertical="bottom" indent="2"/>
    </xf>
    <xf numFmtId="0" fontId="7" fillId="0" borderId="13" applyAlignment="1" pivotButton="0" quotePrefix="0" xfId="51">
      <alignment horizontal="left" vertical="bottom" indent="2"/>
    </xf>
    <xf numFmtId="0" fontId="7" fillId="0" borderId="0" applyAlignment="1" pivotButton="0" quotePrefix="0" xfId="51">
      <alignment horizontal="left" vertical="bottom" indent="1"/>
    </xf>
    <xf numFmtId="0" fontId="22" fillId="0" borderId="0" applyAlignment="1" pivotButton="0" quotePrefix="0" xfId="51">
      <alignment horizontal="left" vertical="bottom" indent="1"/>
    </xf>
    <xf numFmtId="0" fontId="7" fillId="0" borderId="0" applyAlignment="1" pivotButton="0" quotePrefix="0" xfId="72">
      <alignment horizontal="left" vertical="bottom" indent="1"/>
    </xf>
    <xf numFmtId="0" fontId="22" fillId="0" borderId="0" applyAlignment="1" pivotButton="0" quotePrefix="0" xfId="72">
      <alignment horizontal="left" vertical="bottom" indent="1"/>
    </xf>
    <xf numFmtId="191" fontId="7" fillId="0" borderId="0" applyAlignment="1" pivotButton="0" quotePrefix="0" xfId="51">
      <alignment horizontal="general" vertical="bottom"/>
    </xf>
    <xf numFmtId="191" fontId="7" fillId="0" borderId="23" applyAlignment="1" pivotButton="0" quotePrefix="0" xfId="51">
      <alignment horizontal="general" vertical="bottom"/>
    </xf>
    <xf numFmtId="191" fontId="7" fillId="0" borderId="4" applyAlignment="1" pivotButton="0" quotePrefix="0" xfId="51">
      <alignment horizontal="general" vertical="bottom"/>
    </xf>
    <xf numFmtId="0" fontId="56" fillId="0" borderId="0" applyAlignment="1" pivotButton="0" quotePrefix="0" xfId="50">
      <alignment horizontal="general" vertical="bottom"/>
    </xf>
    <xf numFmtId="191" fontId="7" fillId="7" borderId="0" applyAlignment="1" pivotButton="0" quotePrefix="0" xfId="51">
      <alignment horizontal="general" vertical="bottom"/>
    </xf>
    <xf numFmtId="191" fontId="7" fillId="7" borderId="23" applyAlignment="1" pivotButton="0" quotePrefix="0" xfId="51">
      <alignment horizontal="general" vertical="bottom"/>
    </xf>
    <xf numFmtId="191" fontId="7" fillId="7" borderId="4" applyAlignment="1" pivotButton="0" quotePrefix="0" xfId="51">
      <alignment horizontal="general" vertical="bottom"/>
    </xf>
    <xf numFmtId="168" fontId="22" fillId="7" borderId="0" applyAlignment="1" pivotButton="0" quotePrefix="0" xfId="51">
      <alignment horizontal="right" vertical="bottom"/>
    </xf>
    <xf numFmtId="168" fontId="22" fillId="7" borderId="23" applyAlignment="1" pivotButton="0" quotePrefix="0" xfId="51">
      <alignment horizontal="right" vertical="bottom"/>
    </xf>
    <xf numFmtId="168" fontId="22" fillId="7" borderId="4" applyAlignment="1" pivotButton="0" quotePrefix="0" xfId="51">
      <alignment horizontal="right" vertical="bottom"/>
    </xf>
    <xf numFmtId="0" fontId="34" fillId="7" borderId="22" applyAlignment="1" pivotButton="0" quotePrefix="0" xfId="51">
      <alignment horizontal="general" vertical="center"/>
    </xf>
    <xf numFmtId="0" fontId="47" fillId="7" borderId="22" applyAlignment="1" pivotButton="0" quotePrefix="0" xfId="51">
      <alignment horizontal="general" vertical="center"/>
    </xf>
    <xf numFmtId="167" fontId="34" fillId="7" borderId="22" applyAlignment="1" pivotButton="0" quotePrefix="0" xfId="51">
      <alignment horizontal="right" vertical="center"/>
    </xf>
    <xf numFmtId="191" fontId="34" fillId="7" borderId="22" applyAlignment="1" pivotButton="0" quotePrefix="0" xfId="51">
      <alignment horizontal="general" vertical="center"/>
    </xf>
    <xf numFmtId="191" fontId="34" fillId="7" borderId="34" applyAlignment="1" pivotButton="0" quotePrefix="0" xfId="51">
      <alignment horizontal="general" vertical="center"/>
    </xf>
    <xf numFmtId="191" fontId="34" fillId="7" borderId="35" applyAlignment="1" pivotButton="0" quotePrefix="0" xfId="51">
      <alignment horizontal="general" vertical="center"/>
    </xf>
    <xf numFmtId="168" fontId="47" fillId="7" borderId="22" applyAlignment="1" pivotButton="0" quotePrefix="0" xfId="51">
      <alignment horizontal="right" vertical="center"/>
    </xf>
    <xf numFmtId="168" fontId="47" fillId="7" borderId="34" applyAlignment="1" pivotButton="0" quotePrefix="0" xfId="51">
      <alignment horizontal="right" vertical="center"/>
    </xf>
    <xf numFmtId="168" fontId="47" fillId="7" borderId="35" applyAlignment="1" pivotButton="0" quotePrefix="0" xfId="51">
      <alignment horizontal="right" vertical="center"/>
    </xf>
    <xf numFmtId="0" fontId="22" fillId="0" borderId="0" applyAlignment="1" pivotButton="0" quotePrefix="0" xfId="51">
      <alignment horizontal="general" vertical="bottom"/>
    </xf>
    <xf numFmtId="191" fontId="7" fillId="0" borderId="0" applyAlignment="1" pivotButton="0" quotePrefix="0" xfId="51">
      <alignment horizontal="general" vertical="bottom"/>
    </xf>
    <xf numFmtId="191" fontId="7" fillId="0" borderId="0" applyAlignment="1" pivotButton="0" quotePrefix="0" xfId="51">
      <alignment horizontal="general" vertical="bottom"/>
    </xf>
    <xf numFmtId="191" fontId="22" fillId="0" borderId="0" applyAlignment="1" pivotButton="0" quotePrefix="0" xfId="51">
      <alignment horizontal="general" vertical="bottom"/>
    </xf>
    <xf numFmtId="191" fontId="22" fillId="0" borderId="0" applyAlignment="1" pivotButton="0" quotePrefix="0" xfId="51">
      <alignment horizontal="general" vertical="bottom"/>
    </xf>
    <xf numFmtId="190" fontId="22" fillId="0" borderId="0" applyAlignment="1" pivotButton="0" quotePrefix="0" xfId="51">
      <alignment horizontal="right" vertical="bottom"/>
    </xf>
    <xf numFmtId="172" fontId="7" fillId="0" borderId="0" applyAlignment="1" pivotButton="0" quotePrefix="0" xfId="51">
      <alignment horizontal="right" vertical="bottom"/>
    </xf>
    <xf numFmtId="0" fontId="29" fillId="0" borderId="0" applyAlignment="1" pivotButton="0" quotePrefix="0" xfId="69">
      <alignment horizontal="left" vertical="bottom"/>
    </xf>
    <xf numFmtId="0" fontId="21" fillId="2" borderId="0" applyAlignment="1" pivotButton="0" quotePrefix="0" xfId="0">
      <alignment horizontal="general" vertical="center"/>
    </xf>
    <xf numFmtId="188" fontId="31" fillId="5" borderId="0" applyAlignment="1" pivotButton="0" quotePrefix="0" xfId="0">
      <alignment horizontal="general" vertical="bottom"/>
    </xf>
    <xf numFmtId="188" fontId="31" fillId="5" borderId="20" applyAlignment="1" pivotButton="0" quotePrefix="0" xfId="0">
      <alignment horizontal="general" vertical="bottom"/>
    </xf>
    <xf numFmtId="0" fontId="5" fillId="7" borderId="0" applyAlignment="1" pivotButton="0" quotePrefix="0" xfId="0">
      <alignment horizontal="left" vertical="bottom" indent="3"/>
    </xf>
    <xf numFmtId="167" fontId="5" fillId="7" borderId="0" applyAlignment="1" pivotButton="0" quotePrefix="0" xfId="0">
      <alignment horizontal="right" vertical="bottom"/>
    </xf>
    <xf numFmtId="167" fontId="5" fillId="7" borderId="4" applyAlignment="1" pivotButton="0" quotePrefix="0" xfId="0">
      <alignment horizontal="right" vertical="bottom"/>
    </xf>
    <xf numFmtId="192" fontId="5" fillId="2" borderId="0" applyAlignment="1" pivotButton="0" quotePrefix="0" xfId="0">
      <alignment horizontal="left" vertical="bottom"/>
    </xf>
    <xf numFmtId="192" fontId="5" fillId="0" borderId="0" applyAlignment="1" pivotButton="0" quotePrefix="0" xfId="0">
      <alignment horizontal="left" vertical="bottom"/>
    </xf>
    <xf numFmtId="192" fontId="5" fillId="4" borderId="13" applyAlignment="1" pivotButton="0" quotePrefix="0" xfId="0">
      <alignment horizontal="left" vertical="bottom" indent="3"/>
    </xf>
    <xf numFmtId="192" fontId="5" fillId="4" borderId="13" applyAlignment="1" pivotButton="0" quotePrefix="0" xfId="0">
      <alignment horizontal="right" vertical="bottom"/>
    </xf>
    <xf numFmtId="192" fontId="5" fillId="4" borderId="24" applyAlignment="1" pivotButton="0" quotePrefix="0" xfId="0">
      <alignment horizontal="right" vertical="bottom"/>
    </xf>
    <xf numFmtId="192" fontId="5" fillId="7" borderId="13" applyAlignment="1" pivotButton="0" quotePrefix="0" xfId="0">
      <alignment horizontal="right" vertical="bottom"/>
    </xf>
    <xf numFmtId="192" fontId="5" fillId="7" borderId="25" applyAlignment="1" pivotButton="0" quotePrefix="0" xfId="0">
      <alignment horizontal="right" vertical="bottom"/>
    </xf>
    <xf numFmtId="192" fontId="5" fillId="0" borderId="0" applyAlignment="1" pivotButton="0" quotePrefix="0" xfId="0">
      <alignment horizontal="general" vertical="bottom"/>
    </xf>
    <xf numFmtId="0" fontId="5" fillId="7" borderId="0" applyAlignment="1" pivotButton="0" quotePrefix="0" xfId="0">
      <alignment horizontal="left" vertical="bottom" indent="2"/>
    </xf>
    <xf numFmtId="167" fontId="5" fillId="7" borderId="0" applyAlignment="1" pivotButton="0" quotePrefix="0" xfId="0">
      <alignment horizontal="right" vertical="bottom"/>
    </xf>
    <xf numFmtId="0" fontId="5" fillId="7" borderId="0" applyAlignment="1" pivotButton="0" quotePrefix="0" xfId="0">
      <alignment horizontal="left" vertical="bottom" indent="3"/>
    </xf>
    <xf numFmtId="193" fontId="5" fillId="2" borderId="0" applyAlignment="1" pivotButton="0" quotePrefix="0" xfId="0">
      <alignment horizontal="left" vertical="bottom"/>
    </xf>
    <xf numFmtId="193" fontId="5" fillId="0" borderId="0" applyAlignment="1" pivotButton="0" quotePrefix="0" xfId="0">
      <alignment horizontal="left" vertical="bottom"/>
    </xf>
    <xf numFmtId="193" fontId="5" fillId="4" borderId="13" applyAlignment="1" pivotButton="0" quotePrefix="0" xfId="0">
      <alignment horizontal="left" vertical="bottom" indent="3"/>
    </xf>
    <xf numFmtId="193" fontId="5" fillId="0" borderId="13" applyAlignment="1" pivotButton="0" quotePrefix="0" xfId="0">
      <alignment horizontal="right" vertical="bottom"/>
    </xf>
    <xf numFmtId="193" fontId="5" fillId="0" borderId="24" applyAlignment="1" pivotButton="0" quotePrefix="0" xfId="0">
      <alignment horizontal="right" vertical="bottom"/>
    </xf>
    <xf numFmtId="193" fontId="5" fillId="7" borderId="13" applyAlignment="1" pivotButton="0" quotePrefix="0" xfId="0">
      <alignment horizontal="right" vertical="bottom"/>
    </xf>
    <xf numFmtId="193" fontId="5" fillId="7" borderId="25" applyAlignment="1" pivotButton="0" quotePrefix="0" xfId="0">
      <alignment horizontal="right" vertical="bottom"/>
    </xf>
    <xf numFmtId="193" fontId="5" fillId="4" borderId="13" applyAlignment="1" pivotButton="0" quotePrefix="0" xfId="0">
      <alignment horizontal="right" vertical="bottom"/>
    </xf>
    <xf numFmtId="193" fontId="5" fillId="0" borderId="0" applyAlignment="1" pivotButton="0" quotePrefix="0" xfId="0">
      <alignment horizontal="general" vertical="bottom"/>
    </xf>
    <xf numFmtId="0" fontId="5" fillId="7" borderId="13" applyAlignment="1" pivotButton="0" quotePrefix="0" xfId="0">
      <alignment horizontal="left" vertical="bottom" indent="2"/>
    </xf>
    <xf numFmtId="167" fontId="5" fillId="7" borderId="13" applyAlignment="1" pivotButton="0" quotePrefix="0" xfId="0">
      <alignment horizontal="right" vertical="bottom"/>
    </xf>
    <xf numFmtId="167" fontId="5" fillId="7" borderId="25" applyAlignment="1" pivotButton="0" quotePrefix="0" xfId="0">
      <alignment horizontal="right" vertical="bottom"/>
    </xf>
    <xf numFmtId="0" fontId="5" fillId="7" borderId="0" applyAlignment="1" pivotButton="0" quotePrefix="0" xfId="0">
      <alignment horizontal="left" vertical="bottom" indent="1"/>
    </xf>
    <xf numFmtId="0" fontId="21" fillId="2" borderId="2" applyAlignment="1" pivotButton="0" quotePrefix="0" xfId="0">
      <alignment horizontal="general" vertical="center"/>
    </xf>
    <xf numFmtId="0" fontId="21" fillId="2" borderId="60" applyAlignment="1" pivotButton="0" quotePrefix="0" xfId="0">
      <alignment horizontal="general" vertical="center"/>
    </xf>
    <xf numFmtId="0" fontId="21" fillId="5" borderId="0" applyAlignment="1" pivotButton="0" quotePrefix="0" xfId="0">
      <alignment horizontal="right" vertical="bottom" wrapText="1"/>
    </xf>
    <xf numFmtId="0" fontId="21" fillId="5" borderId="19" applyAlignment="1" pivotButton="0" quotePrefix="0" xfId="0">
      <alignment horizontal="right" vertical="bottom" wrapText="1"/>
    </xf>
    <xf numFmtId="0" fontId="35" fillId="0" borderId="0" applyAlignment="1" pivotButton="0" quotePrefix="0" xfId="0">
      <alignment horizontal="left" vertical="bottom" indent="1"/>
    </xf>
    <xf numFmtId="167" fontId="35" fillId="0" borderId="61" applyAlignment="1" pivotButton="0" quotePrefix="0" xfId="0">
      <alignment horizontal="right" vertical="bottom"/>
    </xf>
    <xf numFmtId="192" fontId="47" fillId="7" borderId="22" applyAlignment="1" pivotButton="0" quotePrefix="0" xfId="0">
      <alignment horizontal="right" vertical="center"/>
    </xf>
    <xf numFmtId="192" fontId="47" fillId="7" borderId="62" applyAlignment="1" pivotButton="0" quotePrefix="0" xfId="0">
      <alignment horizontal="right" vertical="center"/>
    </xf>
    <xf numFmtId="0" fontId="7" fillId="0" borderId="0" applyAlignment="1" pivotButton="0" quotePrefix="0" xfId="72">
      <alignment horizontal="general" vertical="bottom"/>
    </xf>
    <xf numFmtId="0" fontId="7" fillId="0" borderId="0" applyAlignment="1" pivotButton="0" quotePrefix="0" xfId="72">
      <alignment horizontal="general" vertical="bottom"/>
    </xf>
    <xf numFmtId="0" fontId="5" fillId="0" borderId="0" applyAlignment="1" pivotButton="0" quotePrefix="0" xfId="46">
      <alignment horizontal="left" vertical="bottom"/>
    </xf>
    <xf numFmtId="0" fontId="21" fillId="2" borderId="0" applyAlignment="1" pivotButton="0" quotePrefix="0" xfId="25">
      <alignment horizontal="left" vertical="center"/>
    </xf>
    <xf numFmtId="0" fontId="7" fillId="2" borderId="0" applyAlignment="1" pivotButton="0" quotePrefix="0" xfId="72">
      <alignment horizontal="general" vertical="bottom"/>
    </xf>
    <xf numFmtId="0" fontId="60" fillId="2" borderId="0" applyAlignment="1" pivotButton="0" quotePrefix="0" xfId="46">
      <alignment horizontal="left" vertical="bottom"/>
    </xf>
    <xf numFmtId="0" fontId="32" fillId="0" borderId="0" applyAlignment="1" pivotButton="0" quotePrefix="0" xfId="46">
      <alignment horizontal="left" vertical="bottom"/>
    </xf>
    <xf numFmtId="0" fontId="31" fillId="5" borderId="0" applyAlignment="1" pivotButton="0" quotePrefix="0" xfId="25">
      <alignment horizontal="left" vertical="center"/>
    </xf>
    <xf numFmtId="0" fontId="31" fillId="6" borderId="0" applyAlignment="1" pivotButton="0" quotePrefix="0" xfId="72">
      <alignment horizontal="center" vertical="bottom"/>
    </xf>
    <xf numFmtId="0" fontId="32" fillId="6" borderId="0" applyAlignment="1" pivotButton="0" quotePrefix="0" xfId="72">
      <alignment horizontal="center" vertical="bottom"/>
    </xf>
    <xf numFmtId="0" fontId="32" fillId="6" borderId="20" applyAlignment="1" pivotButton="0" quotePrefix="0" xfId="72">
      <alignment horizontal="center" vertical="bottom"/>
    </xf>
    <xf numFmtId="0" fontId="31" fillId="6" borderId="0" applyAlignment="1" pivotButton="0" quotePrefix="0" xfId="72">
      <alignment horizontal="center" vertical="bottom"/>
    </xf>
    <xf numFmtId="0" fontId="31" fillId="6" borderId="20" applyAlignment="1" pivotButton="0" quotePrefix="0" xfId="72">
      <alignment horizontal="center" vertical="bottom"/>
    </xf>
    <xf numFmtId="0" fontId="32" fillId="0" borderId="0" applyAlignment="1" pivotButton="0" quotePrefix="0" xfId="72">
      <alignment horizontal="general" vertical="bottom"/>
    </xf>
    <xf numFmtId="0" fontId="21" fillId="5" borderId="0" applyAlignment="1" pivotButton="0" quotePrefix="0" xfId="25">
      <alignment horizontal="left" vertical="bottom"/>
    </xf>
    <xf numFmtId="0" fontId="21" fillId="5" borderId="0" applyAlignment="1" pivotButton="0" quotePrefix="0" xfId="25">
      <alignment horizontal="general" vertical="bottom"/>
    </xf>
    <xf numFmtId="166" fontId="21" fillId="5" borderId="10" applyAlignment="1" pivotButton="0" quotePrefix="0" xfId="25">
      <alignment horizontal="right" vertical="bottom"/>
    </xf>
    <xf numFmtId="166" fontId="21" fillId="5" borderId="5" applyAlignment="1" pivotButton="0" quotePrefix="0" xfId="25">
      <alignment horizontal="right" vertical="bottom"/>
    </xf>
    <xf numFmtId="166" fontId="21" fillId="5" borderId="10" applyAlignment="1" pivotButton="0" quotePrefix="0" xfId="25">
      <alignment horizontal="right" vertical="center" wrapText="1"/>
    </xf>
    <xf numFmtId="166" fontId="21" fillId="5" borderId="7" applyAlignment="1" pivotButton="0" quotePrefix="0" xfId="25">
      <alignment horizontal="right" vertical="center" wrapText="1"/>
    </xf>
    <xf numFmtId="166" fontId="21" fillId="6" borderId="10" applyAlignment="1" pivotButton="0" quotePrefix="0" xfId="25">
      <alignment horizontal="right" vertical="bottom"/>
    </xf>
    <xf numFmtId="166" fontId="21" fillId="6" borderId="5" applyAlignment="1" pivotButton="0" quotePrefix="0" xfId="25">
      <alignment horizontal="right" vertical="bottom"/>
    </xf>
    <xf numFmtId="166" fontId="21" fillId="6" borderId="5" applyAlignment="1" pivotButton="0" quotePrefix="0" xfId="25">
      <alignment horizontal="right" vertical="bottom" wrapText="1"/>
    </xf>
    <xf numFmtId="166" fontId="21" fillId="6" borderId="10" applyAlignment="1" pivotButton="0" quotePrefix="0" xfId="25">
      <alignment horizontal="right" vertical="center" wrapText="1"/>
    </xf>
    <xf numFmtId="167" fontId="7" fillId="0" borderId="0" applyAlignment="1" pivotButton="0" quotePrefix="0" xfId="72">
      <alignment horizontal="right" vertical="bottom"/>
    </xf>
    <xf numFmtId="167" fontId="7" fillId="0" borderId="23" applyAlignment="1" pivotButton="0" quotePrefix="0" xfId="72">
      <alignment horizontal="right" vertical="bottom"/>
    </xf>
    <xf numFmtId="167" fontId="7" fillId="0" borderId="0" applyAlignment="1" pivotButton="0" quotePrefix="0" xfId="72">
      <alignment horizontal="right" vertical="bottom"/>
    </xf>
    <xf numFmtId="167" fontId="7" fillId="0" borderId="4" applyAlignment="1" pivotButton="0" quotePrefix="0" xfId="72">
      <alignment horizontal="right" vertical="bottom"/>
    </xf>
    <xf numFmtId="0" fontId="7" fillId="0" borderId="0" applyAlignment="1" pivotButton="0" quotePrefix="0" xfId="72">
      <alignment horizontal="left" vertical="bottom" indent="3"/>
    </xf>
    <xf numFmtId="167" fontId="7" fillId="0" borderId="58" applyAlignment="1" pivotButton="0" quotePrefix="0" xfId="72">
      <alignment horizontal="right" vertical="bottom"/>
    </xf>
    <xf numFmtId="0" fontId="7" fillId="0" borderId="13" applyAlignment="1" pivotButton="0" quotePrefix="0" xfId="72">
      <alignment horizontal="left" vertical="bottom" indent="3"/>
    </xf>
    <xf numFmtId="167" fontId="7" fillId="0" borderId="13" applyAlignment="1" pivotButton="0" quotePrefix="0" xfId="72">
      <alignment horizontal="right" vertical="bottom"/>
    </xf>
    <xf numFmtId="167" fontId="7" fillId="0" borderId="24" applyAlignment="1" pivotButton="0" quotePrefix="0" xfId="72">
      <alignment horizontal="right" vertical="bottom"/>
    </xf>
    <xf numFmtId="167" fontId="7" fillId="0" borderId="25" applyAlignment="1" pivotButton="0" quotePrefix="0" xfId="72">
      <alignment horizontal="right" vertical="bottom"/>
    </xf>
    <xf numFmtId="167" fontId="7" fillId="0" borderId="59" applyAlignment="1" pivotButton="0" quotePrefix="0" xfId="72">
      <alignment horizontal="right" vertical="bottom"/>
    </xf>
    <xf numFmtId="174" fontId="22" fillId="0" borderId="13" applyAlignment="1" pivotButton="0" quotePrefix="0" xfId="72">
      <alignment horizontal="right" vertical="bottom"/>
    </xf>
    <xf numFmtId="174" fontId="22" fillId="0" borderId="24" applyAlignment="1" pivotButton="0" quotePrefix="0" xfId="72">
      <alignment horizontal="right" vertical="bottom"/>
    </xf>
    <xf numFmtId="174" fontId="22" fillId="0" borderId="25" applyAlignment="1" pivotButton="0" quotePrefix="0" xfId="72">
      <alignment horizontal="right" vertical="bottom"/>
    </xf>
    <xf numFmtId="0" fontId="7" fillId="0" borderId="0" applyAlignment="1" pivotButton="0" quotePrefix="0" xfId="72">
      <alignment horizontal="left" vertical="bottom" indent="2"/>
    </xf>
    <xf numFmtId="0" fontId="7" fillId="0" borderId="0" applyAlignment="1" pivotButton="0" quotePrefix="0" xfId="72">
      <alignment horizontal="left" vertical="bottom" indent="2"/>
    </xf>
    <xf numFmtId="0" fontId="7" fillId="0" borderId="13" applyAlignment="1" pivotButton="0" quotePrefix="0" xfId="72">
      <alignment horizontal="left" vertical="bottom" indent="2"/>
    </xf>
    <xf numFmtId="167" fontId="34" fillId="7" borderId="22" applyAlignment="1" pivotButton="0" quotePrefix="0" xfId="72">
      <alignment horizontal="right" vertical="center"/>
    </xf>
    <xf numFmtId="167" fontId="34" fillId="7" borderId="34" applyAlignment="1" pivotButton="0" quotePrefix="0" xfId="72">
      <alignment horizontal="right" vertical="center"/>
    </xf>
    <xf numFmtId="167" fontId="34" fillId="7" borderId="35" applyAlignment="1" pivotButton="0" quotePrefix="0" xfId="72">
      <alignment horizontal="right" vertical="center"/>
    </xf>
    <xf numFmtId="0" fontId="21" fillId="5" borderId="0" applyAlignment="1" pivotButton="0" quotePrefix="0" xfId="25">
      <alignment horizontal="general" vertical="bottom" wrapText="1"/>
    </xf>
    <xf numFmtId="0" fontId="57" fillId="0" borderId="0" applyAlignment="1" pivotButton="0" quotePrefix="0" xfId="0">
      <alignment horizontal="general" vertical="bottom"/>
    </xf>
    <xf numFmtId="0" fontId="19" fillId="0" borderId="0" applyAlignment="1" pivotButton="0" quotePrefix="0" xfId="26">
      <alignment horizontal="general" vertical="bottom"/>
    </xf>
    <xf numFmtId="0" fontId="34" fillId="7" borderId="2" applyAlignment="1" pivotButton="0" quotePrefix="0" xfId="72">
      <alignment horizontal="general" vertical="center"/>
    </xf>
    <xf numFmtId="167" fontId="34" fillId="7" borderId="2" applyAlignment="1" pivotButton="0" quotePrefix="0" xfId="72">
      <alignment horizontal="right" vertical="center"/>
    </xf>
    <xf numFmtId="167" fontId="34" fillId="7" borderId="26" applyAlignment="1" pivotButton="0" quotePrefix="0" xfId="72">
      <alignment horizontal="right" vertical="center"/>
    </xf>
    <xf numFmtId="167" fontId="34" fillId="7" borderId="27" applyAlignment="1" pivotButton="0" quotePrefix="0" xfId="72">
      <alignment horizontal="right" vertical="center"/>
    </xf>
    <xf numFmtId="0" fontId="7" fillId="0" borderId="0" applyAlignment="1" pivotButton="0" quotePrefix="0" xfId="72">
      <alignment horizontal="left" vertical="bottom" indent="1"/>
    </xf>
    <xf numFmtId="167" fontId="7" fillId="0" borderId="0" applyAlignment="1" pivotButton="0" quotePrefix="0" xfId="72">
      <alignment horizontal="right" vertical="bottom"/>
    </xf>
    <xf numFmtId="167" fontId="7" fillId="0" borderId="23" applyAlignment="1" pivotButton="0" quotePrefix="0" xfId="72">
      <alignment horizontal="right" vertical="bottom"/>
    </xf>
    <xf numFmtId="167" fontId="7" fillId="0" borderId="0" applyAlignment="1" pivotButton="0" quotePrefix="0" xfId="72">
      <alignment horizontal="right" vertical="bottom"/>
    </xf>
    <xf numFmtId="167" fontId="7" fillId="0" borderId="4" applyAlignment="1" pivotButton="0" quotePrefix="0" xfId="72">
      <alignment horizontal="right" vertical="bottom"/>
    </xf>
    <xf numFmtId="0" fontId="45" fillId="2" borderId="0" applyAlignment="1" pivotButton="0" quotePrefix="0" xfId="46">
      <alignment horizontal="left" vertical="bottom"/>
    </xf>
    <xf numFmtId="0" fontId="22" fillId="7" borderId="0" applyAlignment="1" pivotButton="0" quotePrefix="0" xfId="72">
      <alignment horizontal="general" vertical="bottom"/>
    </xf>
    <xf numFmtId="167" fontId="22" fillId="7" borderId="0" applyAlignment="1" pivotButton="0" quotePrefix="0" xfId="72">
      <alignment horizontal="right" vertical="bottom"/>
    </xf>
    <xf numFmtId="167" fontId="22" fillId="7" borderId="0" applyAlignment="1" pivotButton="0" quotePrefix="0" xfId="72">
      <alignment horizontal="right" vertical="bottom"/>
    </xf>
    <xf numFmtId="0" fontId="22" fillId="0" borderId="0" applyAlignment="1" pivotButton="0" quotePrefix="0" xfId="72">
      <alignment horizontal="general" vertical="bottom"/>
    </xf>
    <xf numFmtId="0" fontId="5" fillId="0" borderId="0" applyAlignment="1" pivotButton="0" quotePrefix="0" xfId="25">
      <alignment horizontal="general" vertical="bottom"/>
    </xf>
    <xf numFmtId="0" fontId="5" fillId="0" borderId="0" applyAlignment="1" pivotButton="0" quotePrefix="0" xfId="25">
      <alignment horizontal="general" vertical="bottom"/>
    </xf>
    <xf numFmtId="173" fontId="21" fillId="2" borderId="0" applyAlignment="1" pivotButton="0" quotePrefix="0" xfId="25">
      <alignment horizontal="general" vertical="center"/>
    </xf>
    <xf numFmtId="0" fontId="21" fillId="5" borderId="0" applyAlignment="1" pivotButton="0" quotePrefix="0" xfId="25">
      <alignment horizontal="left" vertical="bottom"/>
    </xf>
    <xf numFmtId="0" fontId="21" fillId="5" borderId="0" applyAlignment="1" pivotButton="0" quotePrefix="0" xfId="25">
      <alignment horizontal="general" vertical="bottom"/>
    </xf>
    <xf numFmtId="166" fontId="21" fillId="6" borderId="7" applyAlignment="1" pivotButton="0" quotePrefix="0" xfId="25">
      <alignment horizontal="right" vertical="center" wrapText="1"/>
    </xf>
    <xf numFmtId="0" fontId="19" fillId="0" borderId="0" applyAlignment="1" pivotButton="0" quotePrefix="0" xfId="25">
      <alignment horizontal="left" vertical="bottom" indent="1"/>
    </xf>
    <xf numFmtId="173" fontId="19" fillId="0" borderId="0" applyAlignment="1" pivotButton="0" quotePrefix="0" xfId="25">
      <alignment horizontal="general" vertical="bottom"/>
    </xf>
    <xf numFmtId="173" fontId="19" fillId="0" borderId="23" applyAlignment="1" pivotButton="0" quotePrefix="0" xfId="25">
      <alignment horizontal="general" vertical="bottom"/>
    </xf>
    <xf numFmtId="173" fontId="19" fillId="0" borderId="4" applyAlignment="1" pivotButton="0" quotePrefix="0" xfId="25">
      <alignment horizontal="general" vertical="bottom"/>
    </xf>
    <xf numFmtId="174" fontId="25" fillId="0" borderId="0" applyAlignment="1" pivotButton="0" quotePrefix="0" xfId="25">
      <alignment horizontal="general" vertical="bottom"/>
    </xf>
    <xf numFmtId="174" fontId="25" fillId="0" borderId="23" applyAlignment="1" pivotButton="0" quotePrefix="0" xfId="25">
      <alignment horizontal="general" vertical="bottom"/>
    </xf>
    <xf numFmtId="174" fontId="25" fillId="0" borderId="4" applyAlignment="1" pivotButton="0" quotePrefix="0" xfId="25">
      <alignment horizontal="general" vertical="bottom"/>
    </xf>
    <xf numFmtId="174" fontId="25" fillId="0" borderId="0" applyAlignment="1" pivotButton="0" quotePrefix="0" xfId="25">
      <alignment horizontal="general" vertical="bottom"/>
    </xf>
    <xf numFmtId="0" fontId="19" fillId="0" borderId="0" applyAlignment="1" pivotButton="0" quotePrefix="0" xfId="25">
      <alignment horizontal="left" vertical="bottom" indent="3"/>
    </xf>
    <xf numFmtId="0" fontId="19" fillId="0" borderId="13" applyAlignment="1" pivotButton="0" quotePrefix="0" xfId="25">
      <alignment horizontal="left" vertical="bottom" indent="3"/>
    </xf>
    <xf numFmtId="173" fontId="19" fillId="0" borderId="13" applyAlignment="1" pivotButton="0" quotePrefix="0" xfId="25">
      <alignment horizontal="general" vertical="bottom"/>
    </xf>
    <xf numFmtId="173" fontId="19" fillId="0" borderId="24" applyAlignment="1" pivotButton="0" quotePrefix="0" xfId="25">
      <alignment horizontal="general" vertical="bottom"/>
    </xf>
    <xf numFmtId="173" fontId="19" fillId="0" borderId="25" applyAlignment="1" pivotButton="0" quotePrefix="0" xfId="25">
      <alignment horizontal="general" vertical="bottom"/>
    </xf>
    <xf numFmtId="174" fontId="25" fillId="0" borderId="13" applyAlignment="1" pivotButton="0" quotePrefix="0" xfId="25">
      <alignment horizontal="general" vertical="bottom"/>
    </xf>
    <xf numFmtId="174" fontId="25" fillId="0" borderId="24" applyAlignment="1" pivotButton="0" quotePrefix="0" xfId="25">
      <alignment horizontal="general" vertical="bottom"/>
    </xf>
    <xf numFmtId="174" fontId="25" fillId="0" borderId="25" applyAlignment="1" pivotButton="0" quotePrefix="0" xfId="25">
      <alignment horizontal="general" vertical="bottom"/>
    </xf>
    <xf numFmtId="174" fontId="25" fillId="0" borderId="13" applyAlignment="1" pivotButton="0" quotePrefix="0" xfId="25">
      <alignment horizontal="general" vertical="bottom"/>
    </xf>
    <xf numFmtId="0" fontId="19" fillId="0" borderId="0" applyAlignment="1" pivotButton="0" quotePrefix="0" xfId="25">
      <alignment horizontal="left" vertical="bottom" indent="2"/>
    </xf>
    <xf numFmtId="0" fontId="19" fillId="12" borderId="0" applyAlignment="1" pivotButton="0" quotePrefix="0" xfId="25">
      <alignment horizontal="left" vertical="bottom" indent="3"/>
    </xf>
    <xf numFmtId="0" fontId="19" fillId="12" borderId="13" applyAlignment="1" pivotButton="0" quotePrefix="0" xfId="25">
      <alignment horizontal="left" vertical="bottom" indent="3"/>
    </xf>
    <xf numFmtId="0" fontId="19" fillId="12" borderId="0" applyAlignment="1" pivotButton="0" quotePrefix="0" xfId="25">
      <alignment horizontal="left" vertical="bottom" indent="2"/>
    </xf>
    <xf numFmtId="0" fontId="19" fillId="0" borderId="13" applyAlignment="1" pivotButton="0" quotePrefix="0" xfId="25">
      <alignment horizontal="left" vertical="bottom" indent="2"/>
    </xf>
    <xf numFmtId="0" fontId="34" fillId="7" borderId="22" applyAlignment="1" pivotButton="0" quotePrefix="0" xfId="25">
      <alignment horizontal="left" vertical="center"/>
    </xf>
    <xf numFmtId="173" fontId="34" fillId="7" borderId="22" applyAlignment="1" pivotButton="0" quotePrefix="0" xfId="25">
      <alignment horizontal="general" vertical="center"/>
    </xf>
    <xf numFmtId="173" fontId="34" fillId="7" borderId="34" applyAlignment="1" pivotButton="0" quotePrefix="0" xfId="25">
      <alignment horizontal="general" vertical="center"/>
    </xf>
    <xf numFmtId="173" fontId="34" fillId="7" borderId="35" applyAlignment="1" pivotButton="0" quotePrefix="0" xfId="25">
      <alignment horizontal="general" vertical="center"/>
    </xf>
    <xf numFmtId="174" fontId="47" fillId="7" borderId="22" applyAlignment="1" pivotButton="0" quotePrefix="0" xfId="25">
      <alignment horizontal="general" vertical="center"/>
    </xf>
    <xf numFmtId="174" fontId="47" fillId="7" borderId="34" applyAlignment="1" pivotButton="0" quotePrefix="0" xfId="25">
      <alignment horizontal="general" vertical="center"/>
    </xf>
    <xf numFmtId="174" fontId="47" fillId="7" borderId="35" applyAlignment="1" pivotButton="0" quotePrefix="0" xfId="25">
      <alignment horizontal="general" vertical="center"/>
    </xf>
    <xf numFmtId="0" fontId="5" fillId="0" borderId="0" applyAlignment="1" pivotButton="0" quotePrefix="0" xfId="46">
      <alignment horizontal="left" vertical="bottom"/>
    </xf>
    <xf numFmtId="0" fontId="34" fillId="0" borderId="0" applyAlignment="1" pivotButton="0" quotePrefix="0" xfId="25">
      <alignment horizontal="left" vertical="center"/>
    </xf>
    <xf numFmtId="173" fontId="34" fillId="0" borderId="0" applyAlignment="1" pivotButton="0" quotePrefix="0" xfId="25">
      <alignment horizontal="general" vertical="center"/>
    </xf>
    <xf numFmtId="174" fontId="47" fillId="0" borderId="0" applyAlignment="1" pivotButton="0" quotePrefix="0" xfId="25">
      <alignment horizontal="general" vertical="center"/>
    </xf>
    <xf numFmtId="0" fontId="5" fillId="0" borderId="0" applyAlignment="1" pivotButton="0" quotePrefix="0" xfId="25">
      <alignment horizontal="general" vertical="bottom"/>
    </xf>
    <xf numFmtId="0" fontId="5" fillId="0" borderId="0" applyAlignment="1" pivotButton="0" quotePrefix="0" xfId="25">
      <alignment horizontal="general" vertical="bottom"/>
    </xf>
    <xf numFmtId="167" fontId="19" fillId="0" borderId="0" applyAlignment="1" pivotButton="0" quotePrefix="0" xfId="26">
      <alignment horizontal="right" vertical="bottom"/>
    </xf>
    <xf numFmtId="0" fontId="19" fillId="0" borderId="0" applyAlignment="1" pivotButton="0" quotePrefix="0" xfId="26">
      <alignment horizontal="general" vertical="bottom"/>
    </xf>
    <xf numFmtId="0" fontId="19" fillId="0" borderId="0" applyAlignment="1" pivotButton="0" quotePrefix="0" xfId="26">
      <alignment horizontal="left" vertical="bottom" indent="2"/>
    </xf>
    <xf numFmtId="0" fontId="34" fillId="7" borderId="2" applyAlignment="1" pivotButton="0" quotePrefix="0" xfId="25">
      <alignment horizontal="general" vertical="center"/>
    </xf>
    <xf numFmtId="167" fontId="34" fillId="7" borderId="2" applyAlignment="1" pivotButton="0" quotePrefix="0" xfId="25">
      <alignment horizontal="right" vertical="center"/>
    </xf>
    <xf numFmtId="167" fontId="34" fillId="7" borderId="26" applyAlignment="1" pivotButton="0" quotePrefix="0" xfId="25">
      <alignment horizontal="right" vertical="center"/>
    </xf>
    <xf numFmtId="167" fontId="34" fillId="7" borderId="27" applyAlignment="1" pivotButton="0" quotePrefix="0" xfId="25">
      <alignment horizontal="right" vertical="center"/>
    </xf>
    <xf numFmtId="0" fontId="5" fillId="0" borderId="0" applyAlignment="1" pivotButton="0" quotePrefix="0" xfId="25">
      <alignment horizontal="left" vertical="bottom" indent="1"/>
    </xf>
    <xf numFmtId="167" fontId="5" fillId="0" borderId="0" applyAlignment="1" pivotButton="0" quotePrefix="0" xfId="25">
      <alignment horizontal="right" vertical="bottom"/>
    </xf>
    <xf numFmtId="167" fontId="5" fillId="0" borderId="23" applyAlignment="1" pivotButton="0" quotePrefix="0" xfId="25">
      <alignment horizontal="right" vertical="bottom"/>
    </xf>
    <xf numFmtId="167" fontId="5" fillId="0" borderId="0" applyAlignment="1" pivotButton="0" quotePrefix="0" xfId="25">
      <alignment horizontal="right" vertical="bottom"/>
    </xf>
    <xf numFmtId="167" fontId="5" fillId="0" borderId="4" applyAlignment="1" pivotButton="0" quotePrefix="0" xfId="25">
      <alignment horizontal="right" vertical="bottom"/>
    </xf>
    <xf numFmtId="0" fontId="34" fillId="7" borderId="22" applyAlignment="1" pivotButton="0" quotePrefix="0" xfId="25">
      <alignment horizontal="general" vertical="center"/>
    </xf>
    <xf numFmtId="167" fontId="34" fillId="7" borderId="22" applyAlignment="1" pivotButton="0" quotePrefix="0" xfId="25">
      <alignment horizontal="right" vertical="center"/>
    </xf>
    <xf numFmtId="167" fontId="34" fillId="7" borderId="34" applyAlignment="1" pivotButton="0" quotePrefix="0" xfId="25">
      <alignment horizontal="right" vertical="center"/>
    </xf>
    <xf numFmtId="167" fontId="34" fillId="7" borderId="35" applyAlignment="1" pivotButton="0" quotePrefix="0" xfId="25">
      <alignment horizontal="right" vertical="center"/>
    </xf>
    <xf numFmtId="0" fontId="35" fillId="0" borderId="0" applyAlignment="1" pivotButton="0" quotePrefix="0" xfId="25">
      <alignment horizontal="general" vertical="bottom"/>
    </xf>
    <xf numFmtId="0" fontId="0" fillId="4" borderId="0" applyAlignment="1" pivotButton="0" quotePrefix="0" xfId="0">
      <alignment horizontal="general" vertical="bottom"/>
    </xf>
    <xf numFmtId="173" fontId="19" fillId="0" borderId="0" applyAlignment="1" pivotButton="0" quotePrefix="0" xfId="0">
      <alignment horizontal="left" vertical="bottom" indent="1"/>
    </xf>
    <xf numFmtId="173" fontId="19" fillId="0" borderId="23" applyAlignment="1" pivotButton="0" quotePrefix="0" xfId="0">
      <alignment horizontal="left" vertical="bottom" indent="1"/>
    </xf>
    <xf numFmtId="173" fontId="19" fillId="0" borderId="4" applyAlignment="1" pivotButton="0" quotePrefix="0" xfId="0">
      <alignment horizontal="left" vertical="bottom" indent="1"/>
    </xf>
    <xf numFmtId="0" fontId="0" fillId="0" borderId="0" applyAlignment="1" pivotButton="0" quotePrefix="0" xfId="0">
      <alignment horizontal="left" vertical="bottom" indent="1"/>
    </xf>
    <xf numFmtId="0" fontId="35" fillId="4" borderId="13" applyAlignment="1" pivotButton="0" quotePrefix="0" xfId="0">
      <alignment horizontal="left" vertical="bottom" indent="1"/>
    </xf>
    <xf numFmtId="167" fontId="35" fillId="4" borderId="13" applyAlignment="1" pivotButton="0" quotePrefix="0" xfId="0">
      <alignment horizontal="right" vertical="bottom"/>
    </xf>
    <xf numFmtId="167" fontId="35" fillId="4" borderId="0" applyAlignment="1" pivotButton="0" quotePrefix="0" xfId="0">
      <alignment horizontal="right" vertical="bottom"/>
    </xf>
    <xf numFmtId="0" fontId="7" fillId="2" borderId="0" applyAlignment="1" pivotButton="0" quotePrefix="0" xfId="49">
      <alignment horizontal="general" vertical="bottom"/>
    </xf>
    <xf numFmtId="0" fontId="27" fillId="4" borderId="0" applyAlignment="1" pivotButton="0" quotePrefix="0" xfId="49">
      <alignment horizontal="general" vertical="center"/>
    </xf>
    <xf numFmtId="0" fontId="5" fillId="2" borderId="0" applyAlignment="1" pivotButton="0" quotePrefix="0" xfId="49">
      <alignment horizontal="general" vertical="bottom"/>
    </xf>
    <xf numFmtId="0" fontId="61" fillId="4" borderId="0" applyAlignment="1" pivotButton="0" quotePrefix="0" xfId="49">
      <alignment horizontal="general" vertical="bottom"/>
    </xf>
    <xf numFmtId="0" fontId="62" fillId="0" borderId="0" applyAlignment="1" pivotButton="0" quotePrefix="0" xfId="49">
      <alignment horizontal="general" vertical="bottom"/>
    </xf>
    <xf numFmtId="0" fontId="5" fillId="2" borderId="0" applyAlignment="1" pivotButton="0" quotePrefix="0" xfId="0">
      <alignment horizontal="left" vertical="bottom"/>
    </xf>
    <xf numFmtId="0" fontId="5" fillId="0" borderId="0" applyAlignment="1" pivotButton="0" quotePrefix="0" xfId="0">
      <alignment horizontal="left" vertical="bottom"/>
    </xf>
    <xf numFmtId="0" fontId="21" fillId="5" borderId="0" applyAlignment="1" pivotButton="0" quotePrefix="0" xfId="0">
      <alignment horizontal="left" vertical="bottom"/>
    </xf>
    <xf numFmtId="0" fontId="21" fillId="5" borderId="5" applyAlignment="1" pivotButton="0" quotePrefix="0" xfId="0">
      <alignment horizontal="right" vertical="bottom"/>
    </xf>
    <xf numFmtId="0" fontId="21" fillId="5" borderId="20" applyAlignment="1" pivotButton="0" quotePrefix="0" xfId="0">
      <alignment horizontal="right" vertical="bottom"/>
    </xf>
    <xf numFmtId="0" fontId="21" fillId="5" borderId="19" applyAlignment="1" pivotButton="0" quotePrefix="0" xfId="0">
      <alignment horizontal="right" vertical="bottom"/>
    </xf>
    <xf numFmtId="0" fontId="21" fillId="5" borderId="19" applyAlignment="1" pivotButton="0" quotePrefix="0" xfId="0">
      <alignment horizontal="right" vertical="center" wrapText="1"/>
    </xf>
    <xf numFmtId="0" fontId="0" fillId="0" borderId="0" applyAlignment="1" pivotButton="0" quotePrefix="0" xfId="0">
      <alignment horizontal="general" vertical="bottom"/>
    </xf>
    <xf numFmtId="0" fontId="21" fillId="5" borderId="0" applyAlignment="1" pivotButton="0" quotePrefix="0" xfId="0">
      <alignment horizontal="right" vertical="center" wrapText="1"/>
    </xf>
    <xf numFmtId="0" fontId="21" fillId="5" borderId="5" applyAlignment="1" pivotButton="0" quotePrefix="0" xfId="0">
      <alignment horizontal="right" vertical="center" wrapText="1"/>
    </xf>
    <xf numFmtId="0" fontId="21" fillId="5" borderId="0" applyAlignment="1" pivotButton="0" quotePrefix="0" xfId="0">
      <alignment horizontal="right" vertical="bottom"/>
    </xf>
    <xf numFmtId="0" fontId="5" fillId="0" borderId="0" applyAlignment="1" pivotButton="0" quotePrefix="0" xfId="0">
      <alignment horizontal="general" vertical="bottom"/>
    </xf>
    <xf numFmtId="170" fontId="5" fillId="0" borderId="23" applyAlignment="1" pivotButton="0" quotePrefix="0" xfId="0">
      <alignment horizontal="general" vertical="bottom"/>
    </xf>
    <xf numFmtId="0" fontId="5" fillId="2" borderId="13" applyAlignment="1" pivotButton="0" quotePrefix="0" xfId="0">
      <alignment horizontal="left" vertical="bottom"/>
    </xf>
    <xf numFmtId="0" fontId="5" fillId="0" borderId="13" applyAlignment="1" pivotButton="0" quotePrefix="0" xfId="0">
      <alignment horizontal="left" vertical="bottom"/>
    </xf>
    <xf numFmtId="170" fontId="5" fillId="0" borderId="13" applyAlignment="1" pivotButton="0" quotePrefix="0" xfId="0">
      <alignment horizontal="general" vertical="bottom"/>
    </xf>
    <xf numFmtId="170" fontId="5" fillId="0" borderId="24" applyAlignment="1" pivotButton="0" quotePrefix="0" xfId="0">
      <alignment horizontal="general" vertical="bottom"/>
    </xf>
    <xf numFmtId="166" fontId="21" fillId="5" borderId="0" applyAlignment="1" pivotButton="0" quotePrefix="0" xfId="0">
      <alignment horizontal="right" vertical="bottom" wrapText="1"/>
    </xf>
    <xf numFmtId="166" fontId="21" fillId="5" borderId="21" applyAlignment="1" pivotButton="0" quotePrefix="0" xfId="0">
      <alignment horizontal="right" vertical="bottom"/>
    </xf>
    <xf numFmtId="0" fontId="19" fillId="0" borderId="0" applyAlignment="1" pivotButton="0" quotePrefix="0" xfId="0">
      <alignment horizontal="left" vertical="bottom" indent="1"/>
    </xf>
    <xf numFmtId="0" fontId="19" fillId="0" borderId="13" applyAlignment="1" pivotButton="0" quotePrefix="0" xfId="0">
      <alignment horizontal="left" vertical="bottom" indent="1"/>
    </xf>
    <xf numFmtId="0" fontId="34" fillId="7" borderId="2" applyAlignment="1" pivotButton="0" quotePrefix="0" xfId="0">
      <alignment horizontal="left" vertical="bottom"/>
    </xf>
    <xf numFmtId="173" fontId="34" fillId="7" borderId="2" applyAlignment="1" pivotButton="0" quotePrefix="0" xfId="0">
      <alignment horizontal="general" vertical="bottom"/>
    </xf>
    <xf numFmtId="173" fontId="34" fillId="7" borderId="26" applyAlignment="1" pivotButton="0" quotePrefix="0" xfId="0">
      <alignment horizontal="general" vertical="bottom"/>
    </xf>
    <xf numFmtId="173" fontId="34" fillId="7" borderId="27" applyAlignment="1" pivotButton="0" quotePrefix="0" xfId="0">
      <alignment horizontal="general" vertical="bottom"/>
    </xf>
    <xf numFmtId="0" fontId="19" fillId="0" borderId="3" applyAlignment="1" pivotButton="0" quotePrefix="0" xfId="0">
      <alignment horizontal="left" vertical="bottom"/>
    </xf>
    <xf numFmtId="173" fontId="19" fillId="0" borderId="3" applyAlignment="1" pivotButton="0" quotePrefix="0" xfId="0">
      <alignment horizontal="general" vertical="bottom"/>
    </xf>
    <xf numFmtId="173" fontId="19" fillId="0" borderId="28" applyAlignment="1" pivotButton="0" quotePrefix="0" xfId="0">
      <alignment horizontal="general" vertical="bottom"/>
    </xf>
    <xf numFmtId="173" fontId="19" fillId="0" borderId="30" applyAlignment="1" pivotButton="0" quotePrefix="0" xfId="0">
      <alignment horizontal="general" vertical="bottom"/>
    </xf>
    <xf numFmtId="189" fontId="35" fillId="0" borderId="0" applyAlignment="1" pivotButton="0" quotePrefix="0" xfId="0">
      <alignment horizontal="general" vertical="bottom"/>
    </xf>
    <xf numFmtId="189" fontId="35" fillId="0" borderId="0" applyAlignment="1" pivotButton="0" quotePrefix="0" xfId="0">
      <alignment horizontal="general" vertical="bottom"/>
    </xf>
    <xf numFmtId="189" fontId="35" fillId="12" borderId="0" applyAlignment="1" pivotButton="0" quotePrefix="0" xfId="0">
      <alignment horizontal="general" vertical="bottom"/>
    </xf>
    <xf numFmtId="0" fontId="5" fillId="2" borderId="0" applyAlignment="1" pivotButton="0" quotePrefix="0" xfId="51">
      <alignment horizontal="left" vertical="bottom"/>
    </xf>
    <xf numFmtId="0" fontId="5" fillId="0" borderId="0" applyAlignment="1" pivotButton="0" quotePrefix="0" xfId="51">
      <alignment horizontal="left" vertical="bottom"/>
    </xf>
    <xf numFmtId="0" fontId="27" fillId="0" borderId="0" applyAlignment="1" pivotButton="0" quotePrefix="0" xfId="51">
      <alignment horizontal="left" vertical="bottom"/>
    </xf>
    <xf numFmtId="0" fontId="28" fillId="0" borderId="0" applyAlignment="1" pivotButton="0" quotePrefix="0" xfId="51">
      <alignment horizontal="left" vertical="bottom"/>
    </xf>
    <xf numFmtId="0" fontId="29" fillId="0" borderId="0" applyAlignment="1" pivotButton="0" quotePrefix="0" xfId="66">
      <alignment horizontal="left" vertical="bottom"/>
    </xf>
    <xf numFmtId="0" fontId="24" fillId="0" borderId="0" applyAlignment="1" pivotButton="0" quotePrefix="0" xfId="51">
      <alignment horizontal="left" vertical="bottom"/>
    </xf>
    <xf numFmtId="0" fontId="5" fillId="2" borderId="0" applyAlignment="1" pivotButton="0" quotePrefix="0" xfId="51">
      <alignment horizontal="left" vertical="bottom"/>
    </xf>
    <xf numFmtId="0" fontId="5" fillId="0" borderId="0" applyAlignment="1" pivotButton="0" quotePrefix="0" xfId="51">
      <alignment horizontal="left" vertical="bottom"/>
    </xf>
    <xf numFmtId="0" fontId="31" fillId="2" borderId="0" applyAlignment="1" pivotButton="0" quotePrefix="0" xfId="51">
      <alignment horizontal="left" vertical="bottom"/>
    </xf>
    <xf numFmtId="0" fontId="31" fillId="0" borderId="0" applyAlignment="1" pivotButton="0" quotePrefix="0" xfId="51">
      <alignment horizontal="left" vertical="bottom"/>
    </xf>
    <xf numFmtId="0" fontId="31" fillId="5" borderId="0" applyAlignment="1" pivotButton="0" quotePrefix="0" xfId="0">
      <alignment horizontal="left" vertical="bottom"/>
    </xf>
    <xf numFmtId="0" fontId="31" fillId="5" borderId="20" applyAlignment="1" pivotButton="0" quotePrefix="0" xfId="0">
      <alignment horizontal="general" vertical="bottom"/>
    </xf>
    <xf numFmtId="0" fontId="31" fillId="5" borderId="0" applyAlignment="1" pivotButton="0" quotePrefix="0" xfId="0">
      <alignment horizontal="center" vertical="bottom"/>
    </xf>
    <xf numFmtId="0" fontId="31" fillId="5" borderId="21" applyAlignment="1" pivotButton="0" quotePrefix="0" xfId="0">
      <alignment horizontal="center" vertical="bottom"/>
    </xf>
    <xf numFmtId="0" fontId="31" fillId="5" borderId="10" applyAlignment="1" pivotButton="0" quotePrefix="0" xfId="0">
      <alignment horizontal="center" vertical="bottom"/>
    </xf>
    <xf numFmtId="0" fontId="31" fillId="5" borderId="7" applyAlignment="1" pivotButton="0" quotePrefix="0" xfId="0">
      <alignment horizontal="center" vertical="bottom"/>
    </xf>
    <xf numFmtId="0" fontId="31" fillId="5" borderId="7" applyAlignment="1" pivotButton="0" quotePrefix="0" xfId="0">
      <alignment horizontal="general" vertical="bottom"/>
    </xf>
    <xf numFmtId="0" fontId="31" fillId="5" borderId="10" applyAlignment="1" pivotButton="0" quotePrefix="0" xfId="0">
      <alignment horizontal="general" vertical="bottom"/>
    </xf>
    <xf numFmtId="0" fontId="5" fillId="0" borderId="23" applyAlignment="1" pivotButton="0" quotePrefix="0" xfId="0">
      <alignment horizontal="left" vertical="bottom"/>
    </xf>
    <xf numFmtId="0" fontId="5" fillId="13" borderId="23" applyAlignment="1" pivotButton="0" quotePrefix="0" xfId="0">
      <alignment horizontal="left" vertical="bottom"/>
    </xf>
    <xf numFmtId="0" fontId="38" fillId="0" borderId="63" applyAlignment="1" pivotButton="0" quotePrefix="0" xfId="0">
      <alignment horizontal="left" vertical="bottom" wrapText="1"/>
    </xf>
    <xf numFmtId="0" fontId="38" fillId="0" borderId="8" applyAlignment="1" pivotButton="0" quotePrefix="0" xfId="0">
      <alignment horizontal="left" vertical="bottom" wrapText="1"/>
    </xf>
    <xf numFmtId="0" fontId="38" fillId="13" borderId="64" applyAlignment="1" pivotButton="0" quotePrefix="0" xfId="0">
      <alignment horizontal="left" vertical="bottom" wrapText="1"/>
    </xf>
    <xf numFmtId="0" fontId="35" fillId="2" borderId="0" applyAlignment="1" pivotButton="0" quotePrefix="0" xfId="51">
      <alignment horizontal="left" vertical="bottom"/>
    </xf>
    <xf numFmtId="0" fontId="35" fillId="0" borderId="0" applyAlignment="1" pivotButton="0" quotePrefix="0" xfId="51">
      <alignment horizontal="left" vertical="bottom"/>
    </xf>
    <xf numFmtId="0" fontId="5" fillId="13" borderId="4" applyAlignment="1" pivotButton="0" quotePrefix="0" xfId="0">
      <alignment horizontal="left" vertical="bottom"/>
    </xf>
    <xf numFmtId="194" fontId="5" fillId="0" borderId="0" applyAlignment="1" pivotButton="0" quotePrefix="0" xfId="0">
      <alignment horizontal="left" vertical="bottom"/>
    </xf>
    <xf numFmtId="0" fontId="38" fillId="0" borderId="11" applyAlignment="1" pivotButton="0" quotePrefix="0" xfId="0">
      <alignment horizontal="left" vertical="bottom"/>
    </xf>
    <xf numFmtId="0" fontId="5" fillId="0" borderId="65" applyAlignment="1" pivotButton="0" quotePrefix="0" xfId="0">
      <alignment horizontal="general" vertical="bottom"/>
    </xf>
    <xf numFmtId="0" fontId="5" fillId="0" borderId="66" applyAlignment="1" pivotButton="0" quotePrefix="0" xfId="0">
      <alignment horizontal="left" vertical="bottom"/>
    </xf>
    <xf numFmtId="0" fontId="5" fillId="13" borderId="66" applyAlignment="1" pivotButton="0" quotePrefix="0" xfId="0">
      <alignment horizontal="left" vertical="bottom"/>
    </xf>
    <xf numFmtId="0" fontId="5" fillId="13" borderId="65" applyAlignment="1" pivotButton="0" quotePrefix="0" xfId="0">
      <alignment horizontal="left" vertical="bottom"/>
    </xf>
    <xf numFmtId="0" fontId="5" fillId="0" borderId="65" applyAlignment="1" pivotButton="0" quotePrefix="0" xfId="0">
      <alignment horizontal="general" vertical="bottom" wrapText="1"/>
    </xf>
    <xf numFmtId="0" fontId="38" fillId="0" borderId="9" applyAlignment="1" pivotButton="0" quotePrefix="0" xfId="0">
      <alignment horizontal="left" vertical="bottom"/>
    </xf>
    <xf numFmtId="0" fontId="5" fillId="0" borderId="67" applyAlignment="1" pivotButton="0" quotePrefix="0" xfId="0">
      <alignment horizontal="general" vertical="bottom"/>
    </xf>
    <xf numFmtId="0" fontId="5" fillId="0" borderId="9" applyAlignment="1" pivotButton="0" quotePrefix="0" xfId="0">
      <alignment horizontal="left" vertical="bottom"/>
    </xf>
    <xf numFmtId="0" fontId="5" fillId="0" borderId="68" applyAlignment="1" pivotButton="0" quotePrefix="0" xfId="0">
      <alignment horizontal="left" vertical="bottom"/>
    </xf>
    <xf numFmtId="0" fontId="5" fillId="13" borderId="68" applyAlignment="1" pivotButton="0" quotePrefix="0" xfId="0">
      <alignment horizontal="left" vertical="bottom"/>
    </xf>
    <xf numFmtId="0" fontId="5" fillId="13" borderId="67" applyAlignment="1" pivotButton="0" quotePrefix="0" xfId="0">
      <alignment horizontal="left" vertical="bottom"/>
    </xf>
    <xf numFmtId="0" fontId="38" fillId="0" borderId="11" applyAlignment="1" pivotButton="0" quotePrefix="0" xfId="0">
      <alignment horizontal="left" vertical="bottom" wrapText="1"/>
    </xf>
    <xf numFmtId="0" fontId="38" fillId="0" borderId="66" applyAlignment="1" pivotButton="0" quotePrefix="0" xfId="0">
      <alignment horizontal="left" vertical="bottom" wrapText="1"/>
    </xf>
    <xf numFmtId="0" fontId="38" fillId="13" borderId="66" applyAlignment="1" pivotButton="0" quotePrefix="0" xfId="0">
      <alignment horizontal="left" vertical="bottom" wrapText="1"/>
    </xf>
    <xf numFmtId="194" fontId="5" fillId="0" borderId="69" applyAlignment="1" pivotButton="0" quotePrefix="0" xfId="0">
      <alignment horizontal="left" vertical="bottom"/>
    </xf>
    <xf numFmtId="9" fontId="5" fillId="0" borderId="66" applyAlignment="1" pivotButton="0" quotePrefix="0" xfId="0">
      <alignment horizontal="left" vertical="bottom"/>
    </xf>
    <xf numFmtId="180" fontId="5" fillId="13" borderId="66" applyAlignment="1" pivotButton="0" quotePrefix="0" xfId="0">
      <alignment horizontal="right" vertical="bottom"/>
    </xf>
    <xf numFmtId="166" fontId="5" fillId="0" borderId="0" applyAlignment="1" pivotButton="0" quotePrefix="0" xfId="0">
      <alignment horizontal="left" vertical="bottom"/>
    </xf>
    <xf numFmtId="9" fontId="5" fillId="0" borderId="23" applyAlignment="1" pivotButton="0" quotePrefix="0" xfId="0">
      <alignment horizontal="left" vertical="bottom"/>
    </xf>
    <xf numFmtId="180" fontId="5" fillId="13" borderId="23" applyAlignment="1" pivotButton="0" quotePrefix="0" xfId="0">
      <alignment horizontal="right" vertical="bottom"/>
    </xf>
    <xf numFmtId="9" fontId="5" fillId="0" borderId="70" applyAlignment="1" pivotButton="0" quotePrefix="0" xfId="0">
      <alignment horizontal="left" vertical="bottom"/>
    </xf>
    <xf numFmtId="180" fontId="5" fillId="13" borderId="70" applyAlignment="1" pivotButton="0" quotePrefix="0" xfId="0">
      <alignment horizontal="right" vertical="bottom"/>
    </xf>
    <xf numFmtId="0" fontId="38" fillId="0" borderId="3" applyAlignment="1" pivotButton="0" quotePrefix="0" xfId="0">
      <alignment horizontal="left" vertical="bottom"/>
    </xf>
    <xf numFmtId="0" fontId="5" fillId="0" borderId="3" applyAlignment="1" pivotButton="0" quotePrefix="0" xfId="0">
      <alignment horizontal="general" vertical="bottom"/>
    </xf>
    <xf numFmtId="0" fontId="5" fillId="0" borderId="71" applyAlignment="1" pivotButton="0" quotePrefix="0" xfId="0">
      <alignment horizontal="left" vertical="bottom"/>
    </xf>
    <xf numFmtId="0" fontId="5" fillId="0" borderId="28" applyAlignment="1" pivotButton="0" quotePrefix="0" xfId="0">
      <alignment horizontal="left" vertical="bottom"/>
    </xf>
    <xf numFmtId="0" fontId="5" fillId="13" borderId="28" applyAlignment="1" pivotButton="0" quotePrefix="0" xfId="0">
      <alignment horizontal="left" vertical="bottom"/>
    </xf>
    <xf numFmtId="0" fontId="5" fillId="13" borderId="30" applyAlignment="1" pivotButton="0" quotePrefix="0" xfId="0">
      <alignment horizontal="left" vertical="bottom"/>
    </xf>
    <xf numFmtId="0" fontId="38" fillId="0" borderId="0" applyAlignment="1" pivotButton="0" quotePrefix="0" xfId="51">
      <alignment horizontal="left" vertical="bottom"/>
    </xf>
    <xf numFmtId="0" fontId="5" fillId="0" borderId="0" applyAlignment="1" pivotButton="0" quotePrefix="0" xfId="0">
      <alignment horizontal="general" vertical="bottom" wrapText="1"/>
    </xf>
    <xf numFmtId="0" fontId="5" fillId="0" borderId="0" applyAlignment="1" pivotButton="0" quotePrefix="0" xfId="0">
      <alignment horizontal="right" vertical="bottom" wrapText="1"/>
    </xf>
    <xf numFmtId="0" fontId="31" fillId="2" borderId="0" applyAlignment="1" pivotButton="0" quotePrefix="0" xfId="48">
      <alignment horizontal="general" vertical="center" wrapText="1"/>
    </xf>
    <xf numFmtId="0" fontId="31" fillId="2" borderId="0" applyAlignment="1" pivotButton="0" quotePrefix="0" xfId="48">
      <alignment horizontal="right" vertical="bottom" wrapText="1"/>
    </xf>
    <xf numFmtId="0" fontId="31" fillId="5" borderId="0" applyAlignment="1" pivotButton="0" quotePrefix="0" xfId="48">
      <alignment horizontal="general" vertical="bottom" wrapText="1"/>
    </xf>
    <xf numFmtId="0" fontId="31" fillId="5" borderId="0" applyAlignment="1" pivotButton="0" quotePrefix="0" xfId="48">
      <alignment horizontal="right" vertical="bottom" wrapText="1"/>
    </xf>
    <xf numFmtId="0" fontId="31" fillId="5" borderId="20" applyAlignment="1" pivotButton="0" quotePrefix="0" xfId="48">
      <alignment horizontal="right" vertical="bottom" wrapText="1"/>
    </xf>
    <xf numFmtId="0" fontId="31" fillId="5" borderId="10" applyAlignment="1" pivotButton="0" quotePrefix="0" xfId="48">
      <alignment horizontal="right" vertical="bottom" wrapText="1"/>
    </xf>
    <xf numFmtId="0" fontId="31" fillId="5" borderId="5" applyAlignment="1" pivotButton="0" quotePrefix="0" xfId="48">
      <alignment horizontal="right" vertical="bottom" wrapText="1"/>
    </xf>
    <xf numFmtId="0" fontId="23" fillId="4" borderId="0" applyAlignment="1" pivotButton="0" quotePrefix="0" xfId="48">
      <alignment horizontal="general" vertical="bottom" wrapText="1"/>
    </xf>
    <xf numFmtId="0" fontId="5" fillId="0" borderId="23" applyAlignment="1" pivotButton="0" quotePrefix="0" xfId="0">
      <alignment horizontal="right" vertical="bottom" wrapText="1"/>
    </xf>
    <xf numFmtId="0" fontId="5" fillId="7" borderId="0" applyAlignment="1" pivotButton="0" quotePrefix="0" xfId="0">
      <alignment horizontal="right" vertical="bottom" wrapText="1"/>
    </xf>
    <xf numFmtId="0" fontId="5" fillId="0" borderId="13" applyAlignment="1" pivotButton="0" quotePrefix="0" xfId="0">
      <alignment horizontal="left" vertical="bottom" wrapText="1" indent="1"/>
    </xf>
    <xf numFmtId="0" fontId="5" fillId="0" borderId="13" applyAlignment="1" pivotButton="0" quotePrefix="0" xfId="0">
      <alignment horizontal="right" vertical="bottom" wrapText="1"/>
    </xf>
    <xf numFmtId="0" fontId="5" fillId="0" borderId="24" applyAlignment="1" pivotButton="0" quotePrefix="0" xfId="17">
      <alignment horizontal="right" vertical="bottom" wrapText="1"/>
    </xf>
    <xf numFmtId="0" fontId="64" fillId="7" borderId="13" applyAlignment="1" pivotButton="0" quotePrefix="0" xfId="0">
      <alignment horizontal="right" vertical="bottom" wrapText="1"/>
    </xf>
    <xf numFmtId="0" fontId="5" fillId="7" borderId="13" applyAlignment="1" pivotButton="0" quotePrefix="0" xfId="0">
      <alignment horizontal="right" vertical="bottom" wrapText="1"/>
    </xf>
    <xf numFmtId="0" fontId="7" fillId="7" borderId="0" applyAlignment="1" pivotButton="0" quotePrefix="0" xfId="0">
      <alignment horizontal="left" vertical="bottom" wrapText="1"/>
    </xf>
    <xf numFmtId="0" fontId="5" fillId="7" borderId="23" applyAlignment="1" pivotButton="0" quotePrefix="0" xfId="17">
      <alignment horizontal="right" vertical="bottom" wrapText="1"/>
    </xf>
    <xf numFmtId="0" fontId="7" fillId="0" borderId="0" applyAlignment="1" pivotButton="0" quotePrefix="0" xfId="0">
      <alignment horizontal="left" vertical="bottom" wrapText="1" indent="1"/>
    </xf>
    <xf numFmtId="0" fontId="7" fillId="0" borderId="13" applyAlignment="1" pivotButton="0" quotePrefix="0" xfId="0">
      <alignment horizontal="left" vertical="bottom" wrapText="1" indent="1"/>
    </xf>
    <xf numFmtId="0" fontId="5" fillId="0" borderId="24" applyAlignment="1" pivotButton="0" quotePrefix="0" xfId="0">
      <alignment horizontal="right" vertical="bottom" wrapText="1"/>
    </xf>
    <xf numFmtId="0" fontId="5" fillId="0" borderId="72" applyAlignment="1" pivotButton="0" quotePrefix="0" xfId="0">
      <alignment horizontal="right" vertical="bottom" wrapText="1"/>
    </xf>
    <xf numFmtId="0" fontId="5" fillId="7" borderId="0" applyAlignment="1" pivotButton="0" quotePrefix="0" xfId="0">
      <alignment horizontal="left" vertical="bottom" wrapText="1"/>
    </xf>
    <xf numFmtId="0" fontId="5" fillId="7" borderId="23" applyAlignment="1" pivotButton="0" quotePrefix="0" xfId="0">
      <alignment horizontal="right" vertical="bottom" wrapText="1"/>
    </xf>
    <xf numFmtId="0" fontId="5" fillId="0" borderId="0" applyAlignment="1" pivotButton="0" quotePrefix="0" xfId="0">
      <alignment horizontal="left" vertical="bottom" wrapText="1" indent="1"/>
    </xf>
    <xf numFmtId="0" fontId="7" fillId="0" borderId="0" applyAlignment="1" pivotButton="0" quotePrefix="0" xfId="0">
      <alignment horizontal="right" vertical="bottom" wrapText="1"/>
    </xf>
    <xf numFmtId="0" fontId="65" fillId="0" borderId="13" applyAlignment="1" pivotButton="0" quotePrefix="0" xfId="0">
      <alignment horizontal="left" vertical="bottom" wrapText="1" indent="1"/>
    </xf>
    <xf numFmtId="0" fontId="7" fillId="0" borderId="13" applyAlignment="1" pivotButton="0" quotePrefix="0" xfId="0">
      <alignment horizontal="right" vertical="bottom" wrapText="1"/>
    </xf>
    <xf numFmtId="0" fontId="22" fillId="0" borderId="13" applyAlignment="1" pivotButton="0" quotePrefix="0" xfId="0">
      <alignment horizontal="left" vertical="bottom" wrapText="1" indent="1"/>
    </xf>
    <xf numFmtId="0" fontId="5" fillId="0" borderId="0" applyAlignment="1" pivotButton="0" quotePrefix="0" xfId="0">
      <alignment horizontal="right" vertical="top" wrapText="1"/>
    </xf>
    <xf numFmtId="0" fontId="5" fillId="0" borderId="0" applyAlignment="1" pivotButton="0" quotePrefix="0" xfId="0">
      <alignment horizontal="general" vertical="top" wrapText="1"/>
    </xf>
    <xf numFmtId="0" fontId="5" fillId="0" borderId="73" applyAlignment="1" pivotButton="0" quotePrefix="0" xfId="0">
      <alignment horizontal="general" vertical="top" wrapText="1"/>
    </xf>
    <xf numFmtId="0" fontId="5" fillId="7" borderId="3" applyAlignment="1" pivotButton="0" quotePrefix="0" xfId="0">
      <alignment horizontal="left" vertical="bottom" wrapText="1"/>
    </xf>
    <xf numFmtId="0" fontId="5" fillId="7" borderId="3" applyAlignment="1" pivotButton="0" quotePrefix="0" xfId="0">
      <alignment horizontal="right" vertical="bottom" wrapText="1"/>
    </xf>
    <xf numFmtId="0" fontId="5" fillId="7" borderId="28" applyAlignment="1" pivotButton="0" quotePrefix="0" xfId="0">
      <alignment horizontal="right" vertical="bottom" wrapText="1"/>
    </xf>
    <xf numFmtId="0" fontId="31" fillId="2" borderId="0" applyAlignment="1" pivotButton="0" quotePrefix="0" xfId="48">
      <alignment horizontal="general" vertical="center" wrapText="1"/>
    </xf>
    <xf numFmtId="0" fontId="31" fillId="2" borderId="0" applyAlignment="1" pivotButton="0" quotePrefix="0" xfId="48">
      <alignment horizontal="right" vertical="bottom" wrapText="1"/>
    </xf>
    <xf numFmtId="0" fontId="66" fillId="0" borderId="0" applyAlignment="1" pivotButton="0" quotePrefix="0" xfId="0">
      <alignment horizontal="left" vertical="bottom" wrapText="1"/>
    </xf>
    <xf numFmtId="0" fontId="5" fillId="0" borderId="9" applyAlignment="1" pivotButton="0" quotePrefix="0" xfId="0">
      <alignment horizontal="right" vertical="bottom" wrapText="1"/>
    </xf>
    <xf numFmtId="0" fontId="5" fillId="0" borderId="68" applyAlignment="1" pivotButton="0" quotePrefix="0" xfId="17">
      <alignment horizontal="right" vertical="bottom" wrapText="1"/>
    </xf>
    <xf numFmtId="0" fontId="5" fillId="0" borderId="0" applyAlignment="1" pivotButton="0" quotePrefix="0" xfId="0">
      <alignment horizontal="left" vertical="bottom" wrapText="1" indent="2"/>
    </xf>
    <xf numFmtId="0" fontId="22" fillId="0" borderId="13" applyAlignment="1" pivotButton="0" quotePrefix="0" xfId="0">
      <alignment horizontal="left" vertical="bottom" wrapText="1"/>
    </xf>
    <xf numFmtId="0" fontId="65" fillId="0" borderId="13" applyAlignment="1" pivotButton="0" quotePrefix="0" xfId="0">
      <alignment horizontal="right" vertical="bottom" wrapText="1"/>
    </xf>
    <xf numFmtId="0" fontId="65" fillId="0" borderId="24" applyAlignment="1" pivotButton="0" quotePrefix="0" xfId="0">
      <alignment horizontal="right" vertical="bottom" wrapText="1"/>
    </xf>
    <xf numFmtId="0" fontId="22" fillId="0" borderId="0" applyAlignment="1" pivotButton="0" quotePrefix="0" xfId="0">
      <alignment horizontal="left" vertical="bottom" wrapText="1" indent="2"/>
    </xf>
    <xf numFmtId="0" fontId="7" fillId="0" borderId="13" applyAlignment="1" pivotButton="0" quotePrefix="0" xfId="0">
      <alignment horizontal="left" vertical="bottom" wrapText="1"/>
    </xf>
    <xf numFmtId="0" fontId="22" fillId="0" borderId="0" applyAlignment="1" pivotButton="0" quotePrefix="0" xfId="0">
      <alignment horizontal="right" vertical="bottom" wrapText="1"/>
    </xf>
    <xf numFmtId="0" fontId="7" fillId="7" borderId="22" applyAlignment="1" pivotButton="0" quotePrefix="0" xfId="0">
      <alignment horizontal="right" vertical="bottom" wrapText="1"/>
    </xf>
    <xf numFmtId="0" fontId="67" fillId="0" borderId="0" applyAlignment="1" pivotButton="0" quotePrefix="0" xfId="0">
      <alignment horizontal="left" vertical="top" wrapText="1" indent="1"/>
    </xf>
    <xf numFmtId="0" fontId="67" fillId="0" borderId="0" applyAlignment="1" pivotButton="0" quotePrefix="0" xfId="0">
      <alignment horizontal="right" vertical="bottom" wrapText="1"/>
    </xf>
    <xf numFmtId="0" fontId="67" fillId="0" borderId="23" applyAlignment="1" pivotButton="0" quotePrefix="0" xfId="0">
      <alignment horizontal="right" vertical="bottom" wrapText="1"/>
    </xf>
    <xf numFmtId="0" fontId="67" fillId="0" borderId="0" applyAlignment="1" pivotButton="0" quotePrefix="0" xfId="0">
      <alignment horizontal="right" vertical="top" wrapText="1"/>
    </xf>
    <xf numFmtId="0" fontId="67" fillId="0" borderId="0" applyAlignment="1" pivotButton="0" quotePrefix="0" xfId="0">
      <alignment horizontal="general" vertical="top" wrapText="1"/>
    </xf>
    <xf numFmtId="0" fontId="7" fillId="0" borderId="23" applyAlignment="1" pivotButton="0" quotePrefix="0" xfId="17">
      <alignment horizontal="right" vertical="bottom" wrapText="1"/>
    </xf>
    <xf numFmtId="195" fontId="7" fillId="0" borderId="0" applyAlignment="1" pivotButton="0" quotePrefix="0" xfId="17">
      <alignment horizontal="right" vertical="bottom" wrapText="1"/>
    </xf>
    <xf numFmtId="0" fontId="22" fillId="0" borderId="0" applyAlignment="1" pivotButton="0" quotePrefix="0" xfId="0">
      <alignment horizontal="right" vertical="top" wrapText="1"/>
    </xf>
    <xf numFmtId="0" fontId="22" fillId="0" borderId="0" applyAlignment="1" pivotButton="0" quotePrefix="0" xfId="0">
      <alignment horizontal="general" vertical="top" wrapText="1"/>
    </xf>
    <xf numFmtId="0" fontId="5" fillId="7" borderId="2" applyAlignment="1" pivotButton="0" quotePrefix="0" xfId="0">
      <alignment horizontal="left" vertical="bottom" wrapText="1"/>
    </xf>
    <xf numFmtId="0" fontId="5" fillId="7" borderId="2" applyAlignment="1" pivotButton="0" quotePrefix="0" xfId="0">
      <alignment horizontal="right" vertical="bottom" wrapText="1"/>
    </xf>
    <xf numFmtId="0" fontId="5" fillId="7" borderId="26" applyAlignment="1" pivotButton="0" quotePrefix="0" xfId="0">
      <alignment horizontal="right" vertical="bottom" wrapText="1"/>
    </xf>
    <xf numFmtId="0" fontId="67" fillId="0" borderId="13" applyAlignment="1" pivotButton="0" quotePrefix="0" xfId="0">
      <alignment horizontal="left" vertical="bottom" wrapText="1" indent="1"/>
    </xf>
    <xf numFmtId="0" fontId="22" fillId="7" borderId="0" applyAlignment="1" pivotButton="0" quotePrefix="0" xfId="0">
      <alignment horizontal="right" vertical="bottom" wrapText="1"/>
    </xf>
    <xf numFmtId="0" fontId="68" fillId="0" borderId="0" applyAlignment="1" pivotButton="0" quotePrefix="0" xfId="0">
      <alignment horizontal="left" vertical="top" wrapText="1" indent="1"/>
    </xf>
    <xf numFmtId="167" fontId="5" fillId="0" borderId="23" applyAlignment="1" pivotButton="0" quotePrefix="0" xfId="0">
      <alignment horizontal="right" vertical="bottom" wrapText="1"/>
    </xf>
    <xf numFmtId="167" fontId="5" fillId="0" borderId="0" applyAlignment="1" pivotButton="0" quotePrefix="0" xfId="0">
      <alignment horizontal="right" vertical="bottom" wrapText="1"/>
    </xf>
    <xf numFmtId="0" fontId="7" fillId="0" borderId="0" applyAlignment="1" pivotButton="0" quotePrefix="0" xfId="0">
      <alignment horizontal="left" vertical="top" wrapText="1" indent="1"/>
    </xf>
    <xf numFmtId="0" fontId="7" fillId="0" borderId="11" applyAlignment="1" pivotButton="0" quotePrefix="0" xfId="0">
      <alignment horizontal="right" vertical="bottom" wrapText="1"/>
    </xf>
    <xf numFmtId="167" fontId="5" fillId="0" borderId="66" applyAlignment="1" pivotButton="0" quotePrefix="0" xfId="0">
      <alignment horizontal="right" vertical="bottom" wrapText="1"/>
    </xf>
    <xf numFmtId="167" fontId="5" fillId="0" borderId="11" applyAlignment="1" pivotButton="0" quotePrefix="0" xfId="0">
      <alignment horizontal="right" vertical="bottom" wrapText="1"/>
    </xf>
    <xf numFmtId="0" fontId="5" fillId="0" borderId="0" applyAlignment="1" pivotButton="0" quotePrefix="0" xfId="0">
      <alignment horizontal="left" vertical="top" wrapText="1" indent="2"/>
    </xf>
    <xf numFmtId="0" fontId="67" fillId="4" borderId="13" applyAlignment="1" pivotButton="0" quotePrefix="0" xfId="0">
      <alignment horizontal="left" vertical="top" wrapText="1" indent="1"/>
    </xf>
    <xf numFmtId="0" fontId="7" fillId="4" borderId="13" applyAlignment="1" pivotButton="0" quotePrefix="0" xfId="0">
      <alignment horizontal="right" vertical="bottom" wrapText="1"/>
    </xf>
    <xf numFmtId="167" fontId="5" fillId="4" borderId="24" applyAlignment="1" pivotButton="0" quotePrefix="0" xfId="0">
      <alignment horizontal="right" vertical="bottom" wrapText="1"/>
    </xf>
    <xf numFmtId="167" fontId="5" fillId="4" borderId="13" applyAlignment="1" pivotButton="0" quotePrefix="0" xfId="0">
      <alignment horizontal="right" vertical="bottom" wrapText="1"/>
    </xf>
    <xf numFmtId="0" fontId="7" fillId="7" borderId="3" applyAlignment="1" pivotButton="0" quotePrefix="0" xfId="0">
      <alignment horizontal="left" vertical="top" wrapText="1"/>
    </xf>
    <xf numFmtId="0" fontId="31" fillId="5" borderId="0" applyAlignment="1" pivotButton="0" quotePrefix="0" xfId="48">
      <alignment horizontal="center" vertical="bottom" wrapText="1"/>
    </xf>
    <xf numFmtId="0" fontId="31" fillId="5" borderId="20" applyAlignment="1" pivotButton="0" quotePrefix="0" xfId="48">
      <alignment horizontal="center" vertical="bottom" wrapText="1"/>
    </xf>
    <xf numFmtId="0" fontId="5" fillId="0" borderId="2" applyAlignment="1" pivotButton="0" quotePrefix="0" xfId="0">
      <alignment horizontal="general" vertical="bottom" wrapText="1"/>
    </xf>
    <xf numFmtId="0" fontId="5" fillId="0" borderId="2" applyAlignment="1" pivotButton="0" quotePrefix="0" xfId="0">
      <alignment horizontal="right" vertical="bottom" wrapText="1"/>
    </xf>
    <xf numFmtId="0" fontId="5" fillId="0" borderId="26" applyAlignment="1" pivotButton="0" quotePrefix="0" xfId="0">
      <alignment horizontal="right" vertical="bottom" wrapText="1"/>
    </xf>
    <xf numFmtId="0" fontId="5" fillId="0" borderId="2" applyAlignment="1" pivotButton="0" quotePrefix="0" xfId="0">
      <alignment horizontal="right" vertical="bottom"/>
    </xf>
    <xf numFmtId="0" fontId="23" fillId="4" borderId="2" applyAlignment="1" pivotButton="0" quotePrefix="0" xfId="0">
      <alignment horizontal="general" vertical="bottom" wrapText="1"/>
    </xf>
    <xf numFmtId="0" fontId="5" fillId="0" borderId="56" applyAlignment="1" pivotButton="0" quotePrefix="0" xfId="0">
      <alignment horizontal="general" vertical="bottom" wrapText="1"/>
    </xf>
    <xf numFmtId="0" fontId="5" fillId="0" borderId="56" applyAlignment="1" pivotButton="0" quotePrefix="0" xfId="0">
      <alignment horizontal="right" vertical="bottom" wrapText="1"/>
    </xf>
    <xf numFmtId="0" fontId="5" fillId="0" borderId="74" applyAlignment="1" pivotButton="0" quotePrefix="0" xfId="0">
      <alignment horizontal="right" vertical="bottom" wrapText="1"/>
    </xf>
    <xf numFmtId="0" fontId="5" fillId="0" borderId="56" applyAlignment="1" pivotButton="0" quotePrefix="0" xfId="0">
      <alignment horizontal="right" vertical="bottom"/>
    </xf>
    <xf numFmtId="0" fontId="5" fillId="0" borderId="13" applyAlignment="1" pivotButton="0" quotePrefix="0" xfId="0">
      <alignment horizontal="general" vertical="bottom" wrapText="1"/>
    </xf>
    <xf numFmtId="0" fontId="5" fillId="0" borderId="13" applyAlignment="1" pivotButton="0" quotePrefix="0" xfId="0">
      <alignment horizontal="right" vertical="bottom"/>
    </xf>
    <xf numFmtId="167" fontId="7" fillId="0" borderId="0" applyAlignment="1" pivotButton="0" quotePrefix="0" xfId="51">
      <alignment horizontal="right" vertical="bottom"/>
    </xf>
    <xf numFmtId="167" fontId="7" fillId="0" borderId="0" applyAlignment="1" pivotButton="0" quotePrefix="0" xfId="51">
      <alignment horizontal="right" vertical="bottom"/>
    </xf>
    <xf numFmtId="0" fontId="37" fillId="0" borderId="0" applyAlignment="1" pivotButton="0" quotePrefix="0" xfId="51">
      <alignment horizontal="general" vertical="bottom"/>
    </xf>
    <xf numFmtId="185" fontId="7" fillId="0" borderId="0" applyAlignment="1" pivotButton="0" quotePrefix="0" xfId="51">
      <alignment horizontal="general" vertical="bottom"/>
    </xf>
    <xf numFmtId="0" fontId="21" fillId="2" borderId="0" applyAlignment="1" pivotButton="0" quotePrefix="0" xfId="51">
      <alignment horizontal="general" vertical="center"/>
    </xf>
    <xf numFmtId="0" fontId="21" fillId="5" borderId="0" applyAlignment="1" pivotButton="0" quotePrefix="0" xfId="51">
      <alignment horizontal="general" vertical="center"/>
    </xf>
    <xf numFmtId="0" fontId="21" fillId="5" borderId="0" applyAlignment="1" pivotButton="0" quotePrefix="0" xfId="51">
      <alignment horizontal="center" vertical="center"/>
    </xf>
    <xf numFmtId="0" fontId="21" fillId="5" borderId="20" applyAlignment="1" pivotButton="0" quotePrefix="0" xfId="51">
      <alignment horizontal="center" vertical="center"/>
    </xf>
    <xf numFmtId="0" fontId="21" fillId="5" borderId="32" applyAlignment="1" pivotButton="0" quotePrefix="0" xfId="51">
      <alignment horizontal="center" vertical="center"/>
    </xf>
    <xf numFmtId="0" fontId="21" fillId="5" borderId="0" applyAlignment="1" pivotButton="0" quotePrefix="0" xfId="51">
      <alignment horizontal="left" vertical="bottom"/>
    </xf>
    <xf numFmtId="166" fontId="21" fillId="5" borderId="0" applyAlignment="1" pivotButton="0" quotePrefix="0" xfId="51">
      <alignment horizontal="left" vertical="bottom"/>
    </xf>
    <xf numFmtId="166" fontId="21" fillId="5" borderId="10" applyAlignment="1" pivotButton="0" quotePrefix="0" xfId="51">
      <alignment horizontal="right" vertical="bottom"/>
    </xf>
    <xf numFmtId="166" fontId="21" fillId="5" borderId="5" applyAlignment="1" pivotButton="0" quotePrefix="0" xfId="51">
      <alignment horizontal="right" vertical="bottom"/>
    </xf>
    <xf numFmtId="166" fontId="21" fillId="5" borderId="6" applyAlignment="1" pivotButton="0" quotePrefix="0" xfId="51">
      <alignment horizontal="right" vertical="bottom"/>
    </xf>
    <xf numFmtId="166" fontId="21" fillId="5" borderId="7" applyAlignment="1" pivotButton="0" quotePrefix="0" xfId="51">
      <alignment horizontal="right" vertical="center" wrapText="1"/>
    </xf>
    <xf numFmtId="166" fontId="21" fillId="5" borderId="7" applyAlignment="1" pivotButton="0" quotePrefix="0" xfId="51">
      <alignment horizontal="right" vertical="bottom" wrapText="1"/>
    </xf>
    <xf numFmtId="0" fontId="7" fillId="0" borderId="0" applyAlignment="1" pivotButton="0" quotePrefix="0" xfId="51">
      <alignment horizontal="left" vertical="bottom" indent="2"/>
    </xf>
    <xf numFmtId="185" fontId="7" fillId="0" borderId="0" applyAlignment="1" pivotButton="0" quotePrefix="0" xfId="51">
      <alignment horizontal="right" vertical="bottom"/>
    </xf>
    <xf numFmtId="185" fontId="7" fillId="0" borderId="23" applyAlignment="1" pivotButton="0" quotePrefix="0" xfId="51">
      <alignment horizontal="right" vertical="bottom"/>
    </xf>
    <xf numFmtId="185" fontId="7" fillId="0" borderId="4" applyAlignment="1" pivotButton="0" quotePrefix="0" xfId="51">
      <alignment horizontal="right" vertical="bottom"/>
    </xf>
    <xf numFmtId="185" fontId="7" fillId="0" borderId="0" applyAlignment="1" pivotButton="0" quotePrefix="0" xfId="51">
      <alignment horizontal="general" vertical="bottom"/>
    </xf>
    <xf numFmtId="0" fontId="7" fillId="0" borderId="13" applyAlignment="1" pivotButton="0" quotePrefix="0" xfId="51">
      <alignment horizontal="general" vertical="bottom"/>
    </xf>
    <xf numFmtId="185" fontId="7" fillId="0" borderId="13" applyAlignment="1" pivotButton="0" quotePrefix="0" xfId="51">
      <alignment horizontal="right" vertical="bottom"/>
    </xf>
    <xf numFmtId="185" fontId="7" fillId="0" borderId="24" applyAlignment="1" pivotButton="0" quotePrefix="0" xfId="51">
      <alignment horizontal="right" vertical="bottom"/>
    </xf>
    <xf numFmtId="185" fontId="7" fillId="0" borderId="25" applyAlignment="1" pivotButton="0" quotePrefix="0" xfId="51">
      <alignment horizontal="right" vertical="bottom"/>
    </xf>
    <xf numFmtId="0" fontId="7" fillId="0" borderId="0" applyAlignment="1" pivotButton="0" quotePrefix="0" xfId="51">
      <alignment horizontal="left" vertical="bottom" indent="1"/>
    </xf>
    <xf numFmtId="0" fontId="7" fillId="0" borderId="0" applyAlignment="1" pivotButton="0" quotePrefix="0" xfId="51">
      <alignment horizontal="general" vertical="bottom"/>
    </xf>
    <xf numFmtId="0" fontId="7" fillId="0" borderId="13" applyAlignment="1" pivotButton="0" quotePrefix="0" xfId="51">
      <alignment horizontal="left" vertical="bottom" indent="1"/>
    </xf>
    <xf numFmtId="0" fontId="34" fillId="7" borderId="3" applyAlignment="1" pivotButton="0" quotePrefix="0" xfId="51">
      <alignment horizontal="left" vertical="center"/>
    </xf>
    <xf numFmtId="0" fontId="34" fillId="7" borderId="3" applyAlignment="1" pivotButton="0" quotePrefix="0" xfId="51">
      <alignment horizontal="general" vertical="center"/>
    </xf>
    <xf numFmtId="167" fontId="34" fillId="7" borderId="3" applyAlignment="1" pivotButton="0" quotePrefix="0" xfId="51">
      <alignment horizontal="right" vertical="center"/>
    </xf>
    <xf numFmtId="167" fontId="34" fillId="7" borderId="28" applyAlignment="1" pivotButton="0" quotePrefix="0" xfId="51">
      <alignment horizontal="right" vertical="center"/>
    </xf>
    <xf numFmtId="167" fontId="34" fillId="7" borderId="30" applyAlignment="1" pivotButton="0" quotePrefix="0" xfId="51">
      <alignment horizontal="right" vertical="center"/>
    </xf>
    <xf numFmtId="185" fontId="34" fillId="7" borderId="3" applyAlignment="1" pivotButton="0" quotePrefix="0" xfId="51">
      <alignment horizontal="right" vertical="center"/>
    </xf>
    <xf numFmtId="185" fontId="34" fillId="7" borderId="28" applyAlignment="1" pivotButton="0" quotePrefix="0" xfId="51">
      <alignment horizontal="right" vertical="center"/>
    </xf>
    <xf numFmtId="185" fontId="34" fillId="7" borderId="30" applyAlignment="1" pivotButton="0" quotePrefix="0" xfId="51">
      <alignment horizontal="right" vertical="center"/>
    </xf>
    <xf numFmtId="173" fontId="21" fillId="2" borderId="0" applyAlignment="1" pivotButton="0" quotePrefix="0" xfId="0">
      <alignment horizontal="left" vertical="center"/>
    </xf>
    <xf numFmtId="173" fontId="50" fillId="2" borderId="0" applyAlignment="1" pivotButton="0" quotePrefix="0" xfId="0">
      <alignment horizontal="left" vertical="center"/>
    </xf>
    <xf numFmtId="173" fontId="21" fillId="0" borderId="0" applyAlignment="1" pivotButton="0" quotePrefix="0" xfId="0">
      <alignment horizontal="general" vertical="center"/>
    </xf>
    <xf numFmtId="0" fontId="7" fillId="0" borderId="0" applyAlignment="1" pivotButton="0" quotePrefix="0" xfId="0">
      <alignment horizontal="general" vertical="bottom"/>
    </xf>
    <xf numFmtId="166" fontId="21" fillId="5" borderId="0" applyAlignment="1" pivotButton="0" quotePrefix="0" xfId="0">
      <alignment horizontal="left" vertical="bottom"/>
    </xf>
    <xf numFmtId="166" fontId="0" fillId="0" borderId="0" applyAlignment="1" pivotButton="0" quotePrefix="0" xfId="0">
      <alignment horizontal="general" vertical="top"/>
    </xf>
    <xf numFmtId="166" fontId="21" fillId="0" borderId="0" applyAlignment="1" pivotButton="0" quotePrefix="0" xfId="0">
      <alignment horizontal="center" vertical="bottom"/>
    </xf>
    <xf numFmtId="166" fontId="21" fillId="0" borderId="0" applyAlignment="1" pivotButton="0" quotePrefix="0" xfId="0">
      <alignment horizontal="center" vertical="bottom" wrapText="1"/>
    </xf>
    <xf numFmtId="166" fontId="0" fillId="0" borderId="0" applyAlignment="1" pivotButton="0" quotePrefix="0" xfId="0">
      <alignment horizontal="general" vertical="top"/>
    </xf>
    <xf numFmtId="166" fontId="21" fillId="0" borderId="0" applyAlignment="1" pivotButton="0" quotePrefix="0" xfId="0">
      <alignment horizontal="right" vertical="bottom"/>
    </xf>
    <xf numFmtId="166" fontId="21" fillId="0" borderId="0" applyAlignment="1" pivotButton="0" quotePrefix="0" xfId="0">
      <alignment horizontal="right" vertical="bottom" wrapText="1"/>
    </xf>
    <xf numFmtId="173" fontId="19" fillId="0" borderId="0" applyAlignment="1" pivotButton="0" quotePrefix="0" xfId="0">
      <alignment horizontal="left" vertical="bottom"/>
    </xf>
    <xf numFmtId="170" fontId="0" fillId="0" borderId="0" applyAlignment="1" pivotButton="0" quotePrefix="0" xfId="0">
      <alignment horizontal="general" vertical="bottom"/>
    </xf>
    <xf numFmtId="173" fontId="19" fillId="0" borderId="13" applyAlignment="1" pivotButton="0" quotePrefix="0" xfId="0">
      <alignment horizontal="left" vertical="bottom"/>
    </xf>
    <xf numFmtId="173" fontId="19" fillId="0" borderId="56" applyAlignment="1" pivotButton="0" quotePrefix="0" xfId="0">
      <alignment horizontal="general" vertical="bottom"/>
    </xf>
    <xf numFmtId="173" fontId="19" fillId="0" borderId="74" applyAlignment="1" pivotButton="0" quotePrefix="0" xfId="0">
      <alignment horizontal="general" vertical="bottom"/>
    </xf>
    <xf numFmtId="173" fontId="19" fillId="0" borderId="57" applyAlignment="1" pivotButton="0" quotePrefix="0" xfId="0">
      <alignment horizontal="general" vertical="bottom"/>
    </xf>
    <xf numFmtId="170" fontId="0" fillId="0" borderId="0" applyAlignment="1" pivotButton="0" quotePrefix="0" xfId="0">
      <alignment horizontal="general" vertical="bottom"/>
    </xf>
    <xf numFmtId="0" fontId="0" fillId="0" borderId="0" applyAlignment="1" pivotButton="0" quotePrefix="0" xfId="0">
      <alignment horizontal="general" vertical="bottom"/>
    </xf>
    <xf numFmtId="173" fontId="19" fillId="0" borderId="0" applyAlignment="1" pivotButton="0" quotePrefix="0" xfId="0">
      <alignment horizontal="left" vertical="bottom"/>
    </xf>
    <xf numFmtId="173" fontId="34" fillId="7" borderId="3" applyAlignment="1" pivotButton="0" quotePrefix="0" xfId="0">
      <alignment horizontal="left" vertical="bottom"/>
    </xf>
    <xf numFmtId="170" fontId="0" fillId="0" borderId="0" applyAlignment="1" pivotButton="0" quotePrefix="0" xfId="0">
      <alignment horizontal="general" vertical="bottom"/>
    </xf>
    <xf numFmtId="0" fontId="5" fillId="0" borderId="0" applyAlignment="1" pivotButton="0" quotePrefix="0" xfId="51">
      <alignment horizontal="left" vertical="bottom"/>
    </xf>
    <xf numFmtId="0" fontId="34" fillId="0" borderId="0" applyAlignment="1" pivotButton="0" quotePrefix="0" xfId="0">
      <alignment horizontal="left" vertical="bottom"/>
    </xf>
    <xf numFmtId="173" fontId="34" fillId="0" borderId="0" applyAlignment="1" pivotButton="0" quotePrefix="0" xfId="0">
      <alignment horizontal="left" vertical="bottom"/>
    </xf>
    <xf numFmtId="170" fontId="0" fillId="0" borderId="0" applyAlignment="1" pivotButton="0" quotePrefix="0" xfId="0">
      <alignment horizontal="general" vertical="bottom"/>
    </xf>
    <xf numFmtId="0" fontId="7" fillId="0" borderId="0" applyAlignment="1" pivotButton="0" quotePrefix="0" xfId="0">
      <alignment horizontal="general" vertical="bottom"/>
    </xf>
    <xf numFmtId="173" fontId="34" fillId="7" borderId="22" applyAlignment="1" pivotButton="0" quotePrefix="0" xfId="0">
      <alignment horizontal="left" vertical="center"/>
    </xf>
    <xf numFmtId="0" fontId="23" fillId="4" borderId="0" applyAlignment="1" pivotButton="0" quotePrefix="0" xfId="51">
      <alignment horizontal="general" vertical="bottom"/>
    </xf>
    <xf numFmtId="0" fontId="54" fillId="0" borderId="0" applyAlignment="1" pivotButton="0" quotePrefix="0" xfId="51">
      <alignment horizontal="general" vertical="bottom"/>
    </xf>
    <xf numFmtId="0" fontId="7" fillId="0" borderId="0" applyAlignment="1" pivotButton="0" quotePrefix="0" xfId="51">
      <alignment horizontal="left" vertical="bottom" indent="1"/>
    </xf>
    <xf numFmtId="0" fontId="37" fillId="0" borderId="0" applyAlignment="1" pivotButton="0" quotePrefix="0" xfId="51">
      <alignment horizontal="left" vertical="bottom"/>
    </xf>
    <xf numFmtId="0" fontId="21" fillId="2" borderId="0" applyAlignment="1" pivotButton="0" quotePrefix="0" xfId="28">
      <alignment horizontal="general" vertical="center"/>
    </xf>
    <xf numFmtId="173" fontId="21" fillId="2" borderId="0" applyAlignment="1" pivotButton="0" quotePrefix="0" xfId="31">
      <alignment horizontal="general" vertical="center"/>
    </xf>
    <xf numFmtId="173" fontId="21" fillId="2" borderId="0" applyAlignment="1" pivotButton="0" quotePrefix="0" xfId="31">
      <alignment horizontal="general" vertical="center"/>
    </xf>
    <xf numFmtId="0" fontId="21" fillId="5" borderId="0" applyAlignment="1" pivotButton="0" quotePrefix="0" xfId="28">
      <alignment horizontal="general" vertical="bottom"/>
    </xf>
    <xf numFmtId="0" fontId="60" fillId="0" borderId="0" applyAlignment="1" pivotButton="0" quotePrefix="0" xfId="46">
      <alignment horizontal="left" vertical="bottom"/>
    </xf>
    <xf numFmtId="188" fontId="21" fillId="5" borderId="10" applyAlignment="1" pivotButton="0" quotePrefix="0" xfId="31">
      <alignment horizontal="right" vertical="bottom"/>
    </xf>
    <xf numFmtId="188" fontId="21" fillId="5" borderId="5" applyAlignment="1" pivotButton="0" quotePrefix="0" xfId="31">
      <alignment horizontal="right" vertical="bottom"/>
    </xf>
    <xf numFmtId="166" fontId="21" fillId="5" borderId="5" applyAlignment="1" pivotButton="0" quotePrefix="0" xfId="31">
      <alignment horizontal="right" vertical="bottom"/>
    </xf>
    <xf numFmtId="166" fontId="21" fillId="5" borderId="6" applyAlignment="1" pivotButton="0" quotePrefix="0" xfId="31">
      <alignment horizontal="right" vertical="bottom"/>
    </xf>
    <xf numFmtId="166" fontId="21" fillId="5" borderId="6" applyAlignment="1" pivotButton="0" quotePrefix="0" xfId="31">
      <alignment horizontal="right" vertical="center" wrapText="1"/>
    </xf>
    <xf numFmtId="166" fontId="21" fillId="5" borderId="7" applyAlignment="1" pivotButton="0" quotePrefix="0" xfId="31">
      <alignment horizontal="right" vertical="center" wrapText="1"/>
    </xf>
    <xf numFmtId="166" fontId="46" fillId="6" borderId="10" applyAlignment="1" pivotButton="0" quotePrefix="0" xfId="28">
      <alignment horizontal="right" vertical="bottom"/>
    </xf>
    <xf numFmtId="166" fontId="46" fillId="6" borderId="5" applyAlignment="1" pivotButton="0" quotePrefix="0" xfId="28">
      <alignment horizontal="right" vertical="bottom"/>
    </xf>
    <xf numFmtId="166" fontId="46" fillId="6" borderId="10" applyAlignment="1" pivotButton="0" quotePrefix="0" xfId="28">
      <alignment horizontal="right" vertical="center" wrapText="1"/>
    </xf>
    <xf numFmtId="166" fontId="46" fillId="6" borderId="7" applyAlignment="1" pivotButton="0" quotePrefix="0" xfId="28">
      <alignment horizontal="right" vertical="center" wrapText="1"/>
    </xf>
    <xf numFmtId="167" fontId="7" fillId="0" borderId="23" applyAlignment="1" pivotButton="0" quotePrefix="0" xfId="51">
      <alignment horizontal="right" vertical="bottom"/>
    </xf>
    <xf numFmtId="167" fontId="7" fillId="0" borderId="4" applyAlignment="1" pivotButton="0" quotePrefix="0" xfId="51">
      <alignment horizontal="right" vertical="bottom"/>
    </xf>
    <xf numFmtId="168" fontId="25" fillId="0" borderId="0" applyAlignment="1" pivotButton="0" quotePrefix="0" xfId="31">
      <alignment horizontal="right" vertical="bottom"/>
    </xf>
    <xf numFmtId="168" fontId="22" fillId="0" borderId="0" applyAlignment="1" pivotButton="0" quotePrefix="0" xfId="51">
      <alignment horizontal="right" vertical="bottom"/>
    </xf>
    <xf numFmtId="168" fontId="22" fillId="0" borderId="23" applyAlignment="1" pivotButton="0" quotePrefix="0" xfId="51">
      <alignment horizontal="right" vertical="bottom"/>
    </xf>
    <xf numFmtId="168" fontId="22" fillId="0" borderId="0" applyAlignment="1" pivotButton="0" quotePrefix="0" xfId="51">
      <alignment horizontal="right" vertical="bottom"/>
    </xf>
    <xf numFmtId="168" fontId="22" fillId="0" borderId="4" applyAlignment="1" pivotButton="0" quotePrefix="0" xfId="51">
      <alignment horizontal="right" vertical="bottom"/>
    </xf>
    <xf numFmtId="0" fontId="7" fillId="0" borderId="0" applyAlignment="1" pivotButton="0" quotePrefix="0" xfId="51">
      <alignment horizontal="left" vertical="bottom" indent="2"/>
    </xf>
    <xf numFmtId="0" fontId="7" fillId="4" borderId="13" applyAlignment="1" pivotButton="0" quotePrefix="0" xfId="51">
      <alignment horizontal="left" vertical="bottom" indent="2"/>
    </xf>
    <xf numFmtId="167" fontId="7" fillId="4" borderId="13" applyAlignment="1" pivotButton="0" quotePrefix="0" xfId="51">
      <alignment horizontal="right" vertical="bottom"/>
    </xf>
    <xf numFmtId="167" fontId="7" fillId="4" borderId="24" applyAlignment="1" pivotButton="0" quotePrefix="0" xfId="51">
      <alignment horizontal="right" vertical="bottom"/>
    </xf>
    <xf numFmtId="167" fontId="7" fillId="4" borderId="25" applyAlignment="1" pivotButton="0" quotePrefix="0" xfId="51">
      <alignment horizontal="right" vertical="bottom"/>
    </xf>
    <xf numFmtId="168" fontId="22" fillId="0" borderId="13" applyAlignment="1" pivotButton="0" quotePrefix="0" xfId="51">
      <alignment horizontal="right" vertical="bottom"/>
    </xf>
    <xf numFmtId="168" fontId="22" fillId="0" borderId="24" applyAlignment="1" pivotButton="0" quotePrefix="0" xfId="51">
      <alignment horizontal="right" vertical="bottom"/>
    </xf>
    <xf numFmtId="168" fontId="22" fillId="0" borderId="25" applyAlignment="1" pivotButton="0" quotePrefix="0" xfId="51">
      <alignment horizontal="right" vertical="bottom"/>
    </xf>
    <xf numFmtId="167" fontId="34" fillId="7" borderId="34" applyAlignment="1" pivotButton="0" quotePrefix="0" xfId="51">
      <alignment horizontal="right" vertical="center"/>
    </xf>
    <xf numFmtId="167" fontId="34" fillId="7" borderId="35" applyAlignment="1" pivotButton="0" quotePrefix="0" xfId="51">
      <alignment horizontal="right" vertical="center"/>
    </xf>
    <xf numFmtId="0" fontId="45" fillId="0" borderId="0" applyAlignment="1" pivotButton="0" quotePrefix="0" xfId="46">
      <alignment horizontal="left" vertical="bottom"/>
    </xf>
    <xf numFmtId="172" fontId="22" fillId="0" borderId="0" applyAlignment="1" pivotButton="0" quotePrefix="0" xfId="0">
      <alignment horizontal="right" vertical="bottom"/>
    </xf>
    <xf numFmtId="172" fontId="22" fillId="0" borderId="0" applyAlignment="1" pivotButton="0" quotePrefix="0" xfId="51">
      <alignment horizontal="right" vertical="bottom"/>
    </xf>
    <xf numFmtId="0" fontId="5" fillId="2" borderId="0" applyAlignment="1" pivotButton="0" quotePrefix="0" xfId="47">
      <alignment horizontal="general" vertical="bottom"/>
    </xf>
    <xf numFmtId="0" fontId="5" fillId="0" borderId="0" applyAlignment="1" pivotButton="0" quotePrefix="0" xfId="38">
      <alignment horizontal="general" vertical="bottom"/>
    </xf>
    <xf numFmtId="0" fontId="5" fillId="0" borderId="0" applyAlignment="1" pivotButton="0" quotePrefix="0" xfId="38">
      <alignment horizontal="left" vertical="bottom"/>
    </xf>
    <xf numFmtId="170" fontId="5" fillId="0" borderId="0" applyAlignment="1" pivotButton="0" quotePrefix="0" xfId="38">
      <alignment horizontal="general" vertical="bottom"/>
    </xf>
    <xf numFmtId="170" fontId="5" fillId="0" borderId="0" applyAlignment="1" pivotButton="0" quotePrefix="0" xfId="38">
      <alignment horizontal="general" vertical="bottom"/>
    </xf>
    <xf numFmtId="0" fontId="21" fillId="2" borderId="0" applyAlignment="1" pivotButton="0" quotePrefix="0" xfId="38">
      <alignment horizontal="left" vertical="center"/>
    </xf>
    <xf numFmtId="173" fontId="21" fillId="2" borderId="0" applyAlignment="1" pivotButton="0" quotePrefix="0" xfId="38">
      <alignment horizontal="left" vertical="center"/>
    </xf>
    <xf numFmtId="173" fontId="21" fillId="2" borderId="0" applyAlignment="1" pivotButton="0" quotePrefix="0" xfId="38">
      <alignment horizontal="general" vertical="center"/>
    </xf>
    <xf numFmtId="173" fontId="21" fillId="2" borderId="0" applyAlignment="1" pivotButton="0" quotePrefix="0" xfId="38">
      <alignment horizontal="general" vertical="center"/>
    </xf>
    <xf numFmtId="0" fontId="21" fillId="5" borderId="0" applyAlignment="1" pivotButton="0" quotePrefix="0" xfId="38">
      <alignment horizontal="left" vertical="bottom"/>
    </xf>
    <xf numFmtId="166" fontId="21" fillId="5" borderId="0" applyAlignment="1" pivotButton="0" quotePrefix="0" xfId="38">
      <alignment horizontal="left" vertical="bottom"/>
    </xf>
    <xf numFmtId="166" fontId="21" fillId="5" borderId="15" applyAlignment="1" pivotButton="0" quotePrefix="0" xfId="38">
      <alignment horizontal="center" vertical="bottom"/>
    </xf>
    <xf numFmtId="166" fontId="21" fillId="5" borderId="31" applyAlignment="1" pivotButton="0" quotePrefix="0" xfId="38">
      <alignment horizontal="center" vertical="bottom"/>
    </xf>
    <xf numFmtId="166" fontId="21" fillId="5" borderId="21" applyAlignment="1" pivotButton="0" quotePrefix="0" xfId="38">
      <alignment horizontal="center" vertical="bottom" wrapText="1"/>
    </xf>
    <xf numFmtId="166" fontId="21" fillId="5" borderId="20" applyAlignment="1" pivotButton="0" quotePrefix="0" xfId="38">
      <alignment horizontal="center" vertical="bottom" wrapText="1"/>
    </xf>
    <xf numFmtId="166" fontId="21" fillId="5" borderId="0" applyAlignment="1" pivotButton="0" quotePrefix="0" xfId="38">
      <alignment horizontal="general" vertical="bottom" wrapText="1"/>
    </xf>
    <xf numFmtId="196" fontId="5" fillId="0" borderId="0" applyAlignment="1" pivotButton="0" quotePrefix="0" xfId="38">
      <alignment horizontal="general" vertical="bottom"/>
    </xf>
    <xf numFmtId="166" fontId="21" fillId="5" borderId="0" applyAlignment="1" pivotButton="0" quotePrefix="0" xfId="38">
      <alignment horizontal="center" vertical="bottom" wrapText="1"/>
    </xf>
    <xf numFmtId="166" fontId="21" fillId="5" borderId="21" applyAlignment="1" pivotButton="0" quotePrefix="0" xfId="38">
      <alignment horizontal="general" vertical="bottom" wrapText="1"/>
    </xf>
    <xf numFmtId="166" fontId="21" fillId="5" borderId="31" applyAlignment="1" pivotButton="0" quotePrefix="0" xfId="38">
      <alignment horizontal="center" vertical="bottom" wrapText="1"/>
    </xf>
    <xf numFmtId="166" fontId="21" fillId="5" borderId="15" applyAlignment="1" pivotButton="0" quotePrefix="0" xfId="38">
      <alignment horizontal="center" vertical="bottom" wrapText="1"/>
    </xf>
    <xf numFmtId="166" fontId="21" fillId="8" borderId="15" applyAlignment="1" pivotButton="0" quotePrefix="0" xfId="38">
      <alignment horizontal="center" vertical="bottom"/>
    </xf>
    <xf numFmtId="166" fontId="21" fillId="8" borderId="31" applyAlignment="1" pivotButton="0" quotePrefix="0" xfId="38">
      <alignment horizontal="center" vertical="bottom"/>
    </xf>
    <xf numFmtId="166" fontId="21" fillId="8" borderId="31" applyAlignment="1" pivotButton="0" quotePrefix="0" xfId="38">
      <alignment horizontal="center" vertical="bottom" wrapText="1"/>
    </xf>
    <xf numFmtId="166" fontId="21" fillId="8" borderId="21" applyAlignment="1" pivotButton="0" quotePrefix="0" xfId="38">
      <alignment horizontal="general" vertical="bottom" wrapText="1"/>
    </xf>
    <xf numFmtId="196" fontId="5" fillId="2" borderId="0" applyAlignment="1" pivotButton="0" quotePrefix="0" xfId="47">
      <alignment horizontal="general" vertical="bottom"/>
    </xf>
    <xf numFmtId="196" fontId="30" fillId="0" borderId="0" applyAlignment="1" pivotButton="0" quotePrefix="0" xfId="50">
      <alignment horizontal="general" vertical="bottom"/>
    </xf>
    <xf numFmtId="196" fontId="21" fillId="5" borderId="0" applyAlignment="1" pivotButton="0" quotePrefix="0" xfId="38">
      <alignment horizontal="right" vertical="bottom"/>
    </xf>
    <xf numFmtId="196" fontId="21" fillId="5" borderId="20" applyAlignment="1" pivotButton="0" quotePrefix="0" xfId="38">
      <alignment horizontal="right" vertical="bottom"/>
    </xf>
    <xf numFmtId="196" fontId="21" fillId="5" borderId="19" applyAlignment="1" pivotButton="0" quotePrefix="0" xfId="38">
      <alignment horizontal="right" vertical="bottom"/>
    </xf>
    <xf numFmtId="196" fontId="21" fillId="5" borderId="7" applyAlignment="1" pivotButton="0" quotePrefix="0" xfId="38">
      <alignment horizontal="right" vertical="bottom" wrapText="1"/>
    </xf>
    <xf numFmtId="196" fontId="21" fillId="5" borderId="5" applyAlignment="1" pivotButton="0" quotePrefix="0" xfId="38">
      <alignment horizontal="right" vertical="bottom" wrapText="1"/>
    </xf>
    <xf numFmtId="196" fontId="21" fillId="5" borderId="0" applyAlignment="1" pivotButton="0" quotePrefix="0" xfId="38">
      <alignment horizontal="right" vertical="bottom" wrapText="1"/>
    </xf>
    <xf numFmtId="196" fontId="21" fillId="5" borderId="6" applyAlignment="1" pivotButton="0" quotePrefix="0" xfId="38">
      <alignment horizontal="right" vertical="bottom" wrapText="1"/>
    </xf>
    <xf numFmtId="196" fontId="21" fillId="5" borderId="21" applyAlignment="1" pivotButton="0" quotePrefix="0" xfId="38">
      <alignment horizontal="right" vertical="bottom" wrapText="1"/>
    </xf>
    <xf numFmtId="196" fontId="21" fillId="5" borderId="0" applyAlignment="1" pivotButton="0" quotePrefix="0" xfId="38">
      <alignment horizontal="right" vertical="bottom" wrapText="1"/>
    </xf>
    <xf numFmtId="196" fontId="21" fillId="8" borderId="0" applyAlignment="1" pivotButton="0" quotePrefix="0" xfId="38">
      <alignment horizontal="right" vertical="bottom"/>
    </xf>
    <xf numFmtId="196" fontId="21" fillId="8" borderId="20" applyAlignment="1" pivotButton="0" quotePrefix="0" xfId="38">
      <alignment horizontal="right" vertical="bottom"/>
    </xf>
    <xf numFmtId="196" fontId="21" fillId="8" borderId="19" applyAlignment="1" pivotButton="0" quotePrefix="0" xfId="38">
      <alignment horizontal="right" vertical="bottom"/>
    </xf>
    <xf numFmtId="196" fontId="21" fillId="8" borderId="21" applyAlignment="1" pivotButton="0" quotePrefix="0" xfId="38">
      <alignment horizontal="right" vertical="bottom" wrapText="1"/>
    </xf>
    <xf numFmtId="0" fontId="19" fillId="0" borderId="0" applyAlignment="1" pivotButton="0" quotePrefix="0" xfId="38">
      <alignment horizontal="left" vertical="bottom" indent="1"/>
    </xf>
    <xf numFmtId="173" fontId="19" fillId="0" borderId="0" applyAlignment="1" pivotButton="0" quotePrefix="0" xfId="38">
      <alignment horizontal="left" vertical="bottom"/>
    </xf>
    <xf numFmtId="196" fontId="19" fillId="0" borderId="0" applyAlignment="1" pivotButton="0" quotePrefix="0" xfId="38">
      <alignment horizontal="left" vertical="bottom"/>
    </xf>
    <xf numFmtId="173" fontId="19" fillId="0" borderId="0" applyAlignment="1" pivotButton="0" quotePrefix="0" xfId="38">
      <alignment horizontal="general" vertical="bottom"/>
    </xf>
    <xf numFmtId="173" fontId="19" fillId="0" borderId="23" applyAlignment="1" pivotButton="0" quotePrefix="0" xfId="38">
      <alignment horizontal="general" vertical="bottom"/>
    </xf>
    <xf numFmtId="173" fontId="19" fillId="0" borderId="4" applyAlignment="1" pivotButton="0" quotePrefix="0" xfId="38">
      <alignment horizontal="general" vertical="bottom"/>
    </xf>
    <xf numFmtId="173" fontId="19" fillId="0" borderId="0" applyAlignment="1" pivotButton="0" quotePrefix="0" xfId="38">
      <alignment horizontal="general" vertical="bottom"/>
    </xf>
    <xf numFmtId="173" fontId="19" fillId="0" borderId="58" applyAlignment="1" pivotButton="0" quotePrefix="0" xfId="38">
      <alignment horizontal="general" vertical="bottom"/>
    </xf>
    <xf numFmtId="0" fontId="35" fillId="2" borderId="0" applyAlignment="1" pivotButton="0" quotePrefix="0" xfId="47">
      <alignment horizontal="general" vertical="bottom"/>
    </xf>
    <xf numFmtId="0" fontId="40" fillId="4" borderId="0" applyAlignment="1" pivotButton="0" quotePrefix="0" xfId="50">
      <alignment horizontal="general" vertical="bottom"/>
    </xf>
    <xf numFmtId="171" fontId="35" fillId="2" borderId="0" applyAlignment="1" pivotButton="0" quotePrefix="0" xfId="47">
      <alignment horizontal="general" vertical="bottom"/>
    </xf>
    <xf numFmtId="0" fontId="19" fillId="0" borderId="0" applyAlignment="1" pivotButton="0" quotePrefix="0" xfId="38">
      <alignment horizontal="left" vertical="bottom" indent="1"/>
    </xf>
    <xf numFmtId="173" fontId="19" fillId="0" borderId="0" applyAlignment="1" pivotButton="0" quotePrefix="0" xfId="38">
      <alignment horizontal="left" vertical="bottom"/>
    </xf>
    <xf numFmtId="196" fontId="19" fillId="0" borderId="0" applyAlignment="1" pivotButton="0" quotePrefix="0" xfId="38">
      <alignment horizontal="left" vertical="bottom"/>
    </xf>
    <xf numFmtId="173" fontId="19" fillId="0" borderId="0" applyAlignment="1" pivotButton="0" quotePrefix="0" xfId="38">
      <alignment horizontal="general" vertical="bottom"/>
    </xf>
    <xf numFmtId="173" fontId="19" fillId="0" borderId="23" applyAlignment="1" pivotButton="0" quotePrefix="0" xfId="38">
      <alignment horizontal="general" vertical="bottom"/>
    </xf>
    <xf numFmtId="173" fontId="19" fillId="0" borderId="4" applyAlignment="1" pivotButton="0" quotePrefix="0" xfId="38">
      <alignment horizontal="general" vertical="bottom"/>
    </xf>
    <xf numFmtId="173" fontId="19" fillId="0" borderId="0" applyAlignment="1" pivotButton="0" quotePrefix="0" xfId="38">
      <alignment horizontal="general" vertical="bottom"/>
    </xf>
    <xf numFmtId="170" fontId="5" fillId="0" borderId="0" applyAlignment="1" pivotButton="0" quotePrefix="0" xfId="38">
      <alignment horizontal="general" vertical="bottom"/>
    </xf>
    <xf numFmtId="0" fontId="19" fillId="0" borderId="13" applyAlignment="1" pivotButton="0" quotePrefix="0" xfId="38">
      <alignment horizontal="left" vertical="bottom" indent="1"/>
    </xf>
    <xf numFmtId="173" fontId="19" fillId="0" borderId="13" applyAlignment="1" pivotButton="0" quotePrefix="0" xfId="38">
      <alignment horizontal="left" vertical="bottom"/>
    </xf>
    <xf numFmtId="196" fontId="19" fillId="0" borderId="13" applyAlignment="1" pivotButton="0" quotePrefix="0" xfId="38">
      <alignment horizontal="left" vertical="bottom"/>
    </xf>
    <xf numFmtId="173" fontId="19" fillId="0" borderId="13" applyAlignment="1" pivotButton="0" quotePrefix="0" xfId="38">
      <alignment horizontal="general" vertical="bottom"/>
    </xf>
    <xf numFmtId="173" fontId="19" fillId="0" borderId="24" applyAlignment="1" pivotButton="0" quotePrefix="0" xfId="38">
      <alignment horizontal="general" vertical="bottom"/>
    </xf>
    <xf numFmtId="173" fontId="19" fillId="0" borderId="25" applyAlignment="1" pivotButton="0" quotePrefix="0" xfId="38">
      <alignment horizontal="general" vertical="bottom"/>
    </xf>
    <xf numFmtId="173" fontId="19" fillId="0" borderId="13" applyAlignment="1" pivotButton="0" quotePrefix="0" xfId="38">
      <alignment horizontal="general" vertical="bottom"/>
    </xf>
    <xf numFmtId="173" fontId="19" fillId="0" borderId="25" applyAlignment="1" pivotButton="0" quotePrefix="0" xfId="38">
      <alignment horizontal="general" vertical="bottom"/>
    </xf>
    <xf numFmtId="173" fontId="19" fillId="0" borderId="59" applyAlignment="1" pivotButton="0" quotePrefix="0" xfId="38">
      <alignment horizontal="general" vertical="bottom"/>
    </xf>
    <xf numFmtId="0" fontId="19" fillId="0" borderId="0" applyAlignment="1" pivotButton="0" quotePrefix="0" xfId="38">
      <alignment horizontal="left" vertical="bottom"/>
    </xf>
    <xf numFmtId="0" fontId="38" fillId="2" borderId="0" applyAlignment="1" pivotButton="0" quotePrefix="0" xfId="47">
      <alignment horizontal="general" vertical="bottom"/>
    </xf>
    <xf numFmtId="0" fontId="19" fillId="0" borderId="13" applyAlignment="1" pivotButton="0" quotePrefix="0" xfId="38">
      <alignment horizontal="left" vertical="bottom"/>
    </xf>
    <xf numFmtId="0" fontId="34" fillId="7" borderId="3" applyAlignment="1" pivotButton="0" quotePrefix="0" xfId="38">
      <alignment horizontal="left" vertical="bottom"/>
    </xf>
    <xf numFmtId="173" fontId="34" fillId="7" borderId="3" applyAlignment="1" pivotButton="0" quotePrefix="0" xfId="38">
      <alignment horizontal="left" vertical="bottom"/>
    </xf>
    <xf numFmtId="173" fontId="34" fillId="7" borderId="3" applyAlignment="1" pivotButton="0" quotePrefix="0" xfId="38">
      <alignment horizontal="general" vertical="bottom"/>
    </xf>
    <xf numFmtId="173" fontId="34" fillId="7" borderId="28" applyAlignment="1" pivotButton="0" quotePrefix="0" xfId="38">
      <alignment horizontal="general" vertical="bottom"/>
    </xf>
    <xf numFmtId="173" fontId="34" fillId="7" borderId="30" applyAlignment="1" pivotButton="0" quotePrefix="0" xfId="38">
      <alignment horizontal="general" vertical="bottom"/>
    </xf>
    <xf numFmtId="173" fontId="34" fillId="7" borderId="71" applyAlignment="1" pivotButton="0" quotePrefix="0" xfId="38">
      <alignment horizontal="general" vertical="bottom"/>
    </xf>
    <xf numFmtId="0" fontId="35" fillId="0" borderId="0" applyAlignment="1" pivotButton="0" quotePrefix="0" xfId="38">
      <alignment horizontal="general" vertical="bottom"/>
    </xf>
    <xf numFmtId="0" fontId="35" fillId="0" borderId="0" applyAlignment="1" pivotButton="0" quotePrefix="0" xfId="38">
      <alignment horizontal="left" vertical="bottom"/>
    </xf>
    <xf numFmtId="170" fontId="35" fillId="0" borderId="0" applyAlignment="1" pivotButton="0" quotePrefix="0" xfId="38">
      <alignment horizontal="general" vertical="bottom"/>
    </xf>
    <xf numFmtId="170" fontId="35" fillId="0" borderId="0" applyAlignment="1" pivotButton="0" quotePrefix="0" xfId="38">
      <alignment horizontal="general" vertical="bottom"/>
    </xf>
    <xf numFmtId="0" fontId="21" fillId="2" borderId="2" applyAlignment="1" pivotButton="0" quotePrefix="0" xfId="51">
      <alignment horizontal="left" vertical="center"/>
    </xf>
    <xf numFmtId="173" fontId="21" fillId="2" borderId="2" applyAlignment="1" pivotButton="0" quotePrefix="0" xfId="51">
      <alignment horizontal="general" vertical="center"/>
    </xf>
    <xf numFmtId="0" fontId="21" fillId="5" borderId="0" applyAlignment="1" pivotButton="0" quotePrefix="0" xfId="51">
      <alignment horizontal="left" vertical="bottom"/>
    </xf>
    <xf numFmtId="166" fontId="21" fillId="5" borderId="0" applyAlignment="1" pivotButton="0" quotePrefix="0" xfId="51">
      <alignment horizontal="right" vertical="bottom"/>
    </xf>
    <xf numFmtId="166" fontId="21" fillId="5" borderId="20" applyAlignment="1" pivotButton="0" quotePrefix="0" xfId="51">
      <alignment horizontal="right" vertical="bottom"/>
    </xf>
    <xf numFmtId="166" fontId="21" fillId="5" borderId="0" applyAlignment="1" pivotButton="0" quotePrefix="0" xfId="51">
      <alignment horizontal="right" vertical="bottom"/>
    </xf>
    <xf numFmtId="166" fontId="21" fillId="5" borderId="19" applyAlignment="1" pivotButton="0" quotePrefix="0" xfId="51">
      <alignment horizontal="right" vertical="bottom"/>
    </xf>
    <xf numFmtId="166" fontId="21" fillId="5" borderId="21" applyAlignment="1" pivotButton="0" quotePrefix="0" xfId="51">
      <alignment horizontal="right" vertical="bottom" wrapText="1"/>
    </xf>
    <xf numFmtId="0" fontId="19" fillId="4" borderId="0" applyAlignment="1" pivotButton="0" quotePrefix="0" xfId="51">
      <alignment horizontal="left" vertical="bottom" indent="1"/>
    </xf>
    <xf numFmtId="173" fontId="19" fillId="4" borderId="0" applyAlignment="1" pivotButton="0" quotePrefix="0" xfId="51">
      <alignment horizontal="general" vertical="bottom"/>
    </xf>
    <xf numFmtId="173" fontId="19" fillId="4" borderId="23" applyAlignment="1" pivotButton="0" quotePrefix="0" xfId="51">
      <alignment horizontal="general" vertical="bottom"/>
    </xf>
    <xf numFmtId="173" fontId="19" fillId="4" borderId="0" applyAlignment="1" pivotButton="0" quotePrefix="0" xfId="51">
      <alignment horizontal="general" vertical="bottom"/>
    </xf>
    <xf numFmtId="173" fontId="19" fillId="4" borderId="4" applyAlignment="1" pivotButton="0" quotePrefix="0" xfId="51">
      <alignment horizontal="general" vertical="bottom"/>
    </xf>
    <xf numFmtId="0" fontId="19" fillId="4" borderId="13" applyAlignment="1" pivotButton="0" quotePrefix="0" xfId="51">
      <alignment horizontal="left" vertical="bottom" indent="1"/>
    </xf>
    <xf numFmtId="173" fontId="19" fillId="4" borderId="13" applyAlignment="1" pivotButton="0" quotePrefix="0" xfId="51">
      <alignment horizontal="general" vertical="bottom"/>
    </xf>
    <xf numFmtId="173" fontId="19" fillId="4" borderId="24" applyAlignment="1" pivotButton="0" quotePrefix="0" xfId="51">
      <alignment horizontal="general" vertical="bottom"/>
    </xf>
    <xf numFmtId="173" fontId="19" fillId="4" borderId="25" applyAlignment="1" pivotButton="0" quotePrefix="0" xfId="51">
      <alignment horizontal="general" vertical="bottom"/>
    </xf>
    <xf numFmtId="0" fontId="34" fillId="7" borderId="3" applyAlignment="1" pivotButton="0" quotePrefix="0" xfId="51">
      <alignment horizontal="left" vertical="bottom"/>
    </xf>
    <xf numFmtId="173" fontId="34" fillId="7" borderId="3" applyAlignment="1" pivotButton="0" quotePrefix="0" xfId="51">
      <alignment horizontal="general" vertical="bottom"/>
    </xf>
    <xf numFmtId="173" fontId="34" fillId="7" borderId="28" applyAlignment="1" pivotButton="0" quotePrefix="0" xfId="51">
      <alignment horizontal="general" vertical="bottom"/>
    </xf>
    <xf numFmtId="173" fontId="34" fillId="7" borderId="30" applyAlignment="1" pivotButton="0" quotePrefix="0" xfId="51">
      <alignment horizontal="general" vertical="bottom"/>
    </xf>
    <xf numFmtId="191" fontId="37" fillId="0" borderId="0" applyAlignment="1" pivotButton="0" quotePrefix="0" xfId="51">
      <alignment horizontal="general" vertical="bottom"/>
    </xf>
    <xf numFmtId="191" fontId="37" fillId="0" borderId="0" applyAlignment="1" pivotButton="0" quotePrefix="0" xfId="51">
      <alignment horizontal="general" vertical="bottom"/>
    </xf>
    <xf numFmtId="49" fontId="70" fillId="0" borderId="0" applyAlignment="1" pivotButton="0" quotePrefix="0" xfId="50">
      <alignment horizontal="general" vertical="bottom"/>
    </xf>
    <xf numFmtId="0" fontId="71" fillId="0" borderId="0" applyAlignment="1" pivotButton="0" quotePrefix="0" xfId="54">
      <alignment horizontal="general" vertical="bottom"/>
    </xf>
    <xf numFmtId="0" fontId="5" fillId="14" borderId="0" applyAlignment="1" pivotButton="0" quotePrefix="0" xfId="46">
      <alignment horizontal="general" vertical="bottom"/>
    </xf>
    <xf numFmtId="170" fontId="5" fillId="14" borderId="0" applyAlignment="1" pivotButton="0" quotePrefix="0" xfId="46">
      <alignment horizontal="general" vertical="bottom"/>
    </xf>
    <xf numFmtId="166" fontId="21" fillId="5" borderId="0" applyAlignment="1" pivotButton="0" quotePrefix="0" xfId="46">
      <alignment horizontal="right" vertical="bottom"/>
    </xf>
    <xf numFmtId="166" fontId="21" fillId="5" borderId="21" applyAlignment="1" pivotButton="0" quotePrefix="0" xfId="46">
      <alignment horizontal="right" vertical="center" wrapText="1"/>
    </xf>
    <xf numFmtId="0" fontId="5" fillId="0" borderId="0" applyAlignment="1" pivotButton="0" quotePrefix="0" xfId="46">
      <alignment horizontal="left" vertical="bottom" indent="1"/>
    </xf>
    <xf numFmtId="170" fontId="5" fillId="7" borderId="0" applyAlignment="1" pivotButton="0" quotePrefix="0" xfId="46">
      <alignment horizontal="right" vertical="bottom"/>
    </xf>
    <xf numFmtId="170" fontId="5" fillId="7" borderId="23" applyAlignment="1" pivotButton="0" quotePrefix="0" xfId="46">
      <alignment horizontal="right" vertical="bottom"/>
    </xf>
    <xf numFmtId="170" fontId="5" fillId="0" borderId="0" applyAlignment="1" pivotButton="0" quotePrefix="0" xfId="46">
      <alignment horizontal="right" vertical="bottom"/>
    </xf>
    <xf numFmtId="170" fontId="5" fillId="0" borderId="23" applyAlignment="1" pivotButton="0" quotePrefix="0" xfId="46">
      <alignment horizontal="right" vertical="bottom"/>
    </xf>
    <xf numFmtId="170" fontId="5" fillId="0" borderId="0" applyAlignment="1" pivotButton="0" quotePrefix="0" xfId="46">
      <alignment horizontal="right" vertical="bottom"/>
    </xf>
    <xf numFmtId="170" fontId="5" fillId="0" borderId="4" applyAlignment="1" pivotButton="0" quotePrefix="0" xfId="46">
      <alignment horizontal="right" vertical="bottom"/>
    </xf>
    <xf numFmtId="0" fontId="5" fillId="0" borderId="0" applyAlignment="1" pivotButton="0" quotePrefix="0" xfId="46">
      <alignment horizontal="left" vertical="bottom" indent="2"/>
    </xf>
    <xf numFmtId="0" fontId="35" fillId="7" borderId="0" applyAlignment="1" pivotButton="0" quotePrefix="0" xfId="46">
      <alignment horizontal="left" vertical="bottom" indent="2"/>
    </xf>
    <xf numFmtId="0" fontId="35" fillId="7" borderId="0" applyAlignment="1" pivotButton="0" quotePrefix="0" xfId="46">
      <alignment horizontal="general" vertical="bottom"/>
    </xf>
    <xf numFmtId="170" fontId="35" fillId="7" borderId="0" applyAlignment="1" pivotButton="0" quotePrefix="0" xfId="46">
      <alignment horizontal="right" vertical="bottom"/>
    </xf>
    <xf numFmtId="170" fontId="35" fillId="7" borderId="23" applyAlignment="1" pivotButton="0" quotePrefix="0" xfId="46">
      <alignment horizontal="right" vertical="bottom"/>
    </xf>
    <xf numFmtId="170" fontId="35" fillId="7" borderId="0" applyAlignment="1" pivotButton="0" quotePrefix="0" xfId="46">
      <alignment horizontal="right" vertical="bottom"/>
    </xf>
    <xf numFmtId="170" fontId="35" fillId="7" borderId="4" applyAlignment="1" pivotButton="0" quotePrefix="0" xfId="46">
      <alignment horizontal="right" vertical="bottom"/>
    </xf>
    <xf numFmtId="0" fontId="5" fillId="0" borderId="13" applyAlignment="1" pivotButton="0" quotePrefix="0" xfId="46">
      <alignment horizontal="left" vertical="bottom" indent="2"/>
    </xf>
    <xf numFmtId="0" fontId="5" fillId="0" borderId="13" applyAlignment="1" pivotButton="0" quotePrefix="0" xfId="46">
      <alignment horizontal="general" vertical="bottom"/>
    </xf>
    <xf numFmtId="170" fontId="5" fillId="0" borderId="13" applyAlignment="1" pivotButton="0" quotePrefix="0" xfId="46">
      <alignment horizontal="right" vertical="bottom"/>
    </xf>
    <xf numFmtId="170" fontId="5" fillId="0" borderId="24" applyAlignment="1" pivotButton="0" quotePrefix="0" xfId="46">
      <alignment horizontal="right" vertical="bottom"/>
    </xf>
    <xf numFmtId="170" fontId="5" fillId="0" borderId="13" applyAlignment="1" pivotButton="0" quotePrefix="0" xfId="46">
      <alignment horizontal="right" vertical="bottom"/>
    </xf>
    <xf numFmtId="170" fontId="5" fillId="0" borderId="25" applyAlignment="1" pivotButton="0" quotePrefix="0" xfId="46">
      <alignment horizontal="right" vertical="bottom"/>
    </xf>
    <xf numFmtId="178" fontId="38" fillId="0" borderId="36" applyAlignment="1" pivotButton="0" quotePrefix="0" xfId="46">
      <alignment horizontal="general" vertical="bottom"/>
    </xf>
    <xf numFmtId="0" fontId="34" fillId="7" borderId="22" applyAlignment="1" pivotButton="0" quotePrefix="0" xfId="46">
      <alignment horizontal="general" vertical="center"/>
    </xf>
    <xf numFmtId="170" fontId="34" fillId="7" borderId="22" applyAlignment="1" pivotButton="0" quotePrefix="0" xfId="46">
      <alignment horizontal="right" vertical="center"/>
    </xf>
    <xf numFmtId="170" fontId="34" fillId="7" borderId="34" applyAlignment="1" pivotButton="0" quotePrefix="0" xfId="46">
      <alignment horizontal="right" vertical="center"/>
    </xf>
    <xf numFmtId="170" fontId="34" fillId="7" borderId="35" applyAlignment="1" pivotButton="0" quotePrefix="0" xfId="46">
      <alignment horizontal="right" vertical="center"/>
    </xf>
    <xf numFmtId="0" fontId="6" fillId="15" borderId="0" applyAlignment="1" pivotButton="0" quotePrefix="0" xfId="46">
      <alignment horizontal="general" vertical="bottom"/>
    </xf>
    <xf numFmtId="0" fontId="7" fillId="0" borderId="0" applyAlignment="1" pivotButton="0" quotePrefix="0" xfId="71">
      <alignment horizontal="general" vertical="bottom"/>
    </xf>
    <xf numFmtId="0" fontId="7" fillId="0" borderId="0" applyAlignment="1" pivotButton="0" quotePrefix="0" xfId="71">
      <alignment horizontal="general" vertical="bottom" wrapText="1"/>
    </xf>
    <xf numFmtId="0" fontId="0" fillId="0" borderId="0" applyAlignment="1" applyProtection="1" pivotButton="0" quotePrefix="0" xfId="45">
      <alignment horizontal="general" vertical="bottom"/>
      <protection locked="0" hidden="0"/>
    </xf>
    <xf numFmtId="0" fontId="38" fillId="0" borderId="0" applyAlignment="1" applyProtection="1" pivotButton="0" quotePrefix="0" xfId="45">
      <alignment horizontal="general" vertical="center"/>
      <protection locked="0" hidden="0"/>
    </xf>
    <xf numFmtId="0" fontId="5" fillId="0" borderId="0" applyAlignment="1" pivotButton="0" quotePrefix="0" xfId="50">
      <alignment horizontal="general" vertical="bottom" wrapText="1"/>
    </xf>
    <xf numFmtId="0" fontId="31" fillId="2" borderId="0" applyAlignment="1" pivotButton="0" quotePrefix="0" xfId="50">
      <alignment horizontal="left" vertical="center"/>
    </xf>
    <xf numFmtId="0" fontId="31" fillId="2" borderId="0" applyAlignment="1" pivotButton="0" quotePrefix="0" xfId="50">
      <alignment horizontal="left" vertical="center" wrapText="1"/>
    </xf>
    <xf numFmtId="0" fontId="7" fillId="0" borderId="0" applyAlignment="1" pivotButton="0" quotePrefix="0" xfId="71">
      <alignment horizontal="general" vertical="bottom"/>
    </xf>
    <xf numFmtId="0" fontId="31" fillId="5" borderId="0" applyAlignment="1" pivotButton="0" quotePrefix="0" xfId="50">
      <alignment horizontal="left" vertical="bottom"/>
    </xf>
    <xf numFmtId="0" fontId="31" fillId="5" borderId="32" applyAlignment="1" pivotButton="0" quotePrefix="0" xfId="50">
      <alignment horizontal="center" vertical="bottom" wrapText="1"/>
    </xf>
    <xf numFmtId="0" fontId="31" fillId="5" borderId="75" applyAlignment="1" pivotButton="0" quotePrefix="0" xfId="50">
      <alignment horizontal="center" vertical="bottom" wrapText="1"/>
    </xf>
    <xf numFmtId="0" fontId="31" fillId="5" borderId="31" applyAlignment="1" pivotButton="0" quotePrefix="0" xfId="50">
      <alignment horizontal="center" vertical="bottom" wrapText="1"/>
    </xf>
    <xf numFmtId="0" fontId="31" fillId="5" borderId="19" applyAlignment="1" pivotButton="0" quotePrefix="0" xfId="50">
      <alignment horizontal="center" vertical="bottom" wrapText="1"/>
    </xf>
    <xf numFmtId="0" fontId="31" fillId="8" borderId="32" applyAlignment="1" pivotButton="0" quotePrefix="0" xfId="50">
      <alignment horizontal="center" vertical="bottom"/>
    </xf>
    <xf numFmtId="0" fontId="31" fillId="8" borderId="75" applyAlignment="1" pivotButton="0" quotePrefix="0" xfId="50">
      <alignment horizontal="center" vertical="bottom"/>
    </xf>
    <xf numFmtId="0" fontId="31" fillId="8" borderId="31" applyAlignment="1" pivotButton="0" quotePrefix="0" xfId="50">
      <alignment horizontal="center" vertical="bottom"/>
    </xf>
    <xf numFmtId="0" fontId="31" fillId="5" borderId="0" applyAlignment="1" pivotButton="0" quotePrefix="0" xfId="50">
      <alignment horizontal="left" vertical="bottom"/>
    </xf>
    <xf numFmtId="196" fontId="31" fillId="5" borderId="5" applyAlignment="1" pivotButton="0" quotePrefix="0" xfId="50">
      <alignment horizontal="right" vertical="bottom" wrapText="1"/>
    </xf>
    <xf numFmtId="196" fontId="31" fillId="5" borderId="6" applyAlignment="1" pivotButton="0" quotePrefix="0" xfId="50">
      <alignment horizontal="right" vertical="bottom" wrapText="1"/>
    </xf>
    <xf numFmtId="196" fontId="31" fillId="5" borderId="7" applyAlignment="1" pivotButton="0" quotePrefix="0" xfId="50">
      <alignment horizontal="right" vertical="bottom" wrapText="1"/>
    </xf>
    <xf numFmtId="196" fontId="31" fillId="8" borderId="5" applyAlignment="1" pivotButton="0" quotePrefix="0" xfId="50">
      <alignment horizontal="right" vertical="bottom" wrapText="1"/>
    </xf>
    <xf numFmtId="196" fontId="31" fillId="8" borderId="6" applyAlignment="1" pivotButton="0" quotePrefix="0" xfId="50">
      <alignment horizontal="right" vertical="bottom" wrapText="1"/>
    </xf>
    <xf numFmtId="196" fontId="31" fillId="8" borderId="7" applyAlignment="1" pivotButton="0" quotePrefix="0" xfId="50">
      <alignment horizontal="right" vertical="bottom" wrapText="1"/>
    </xf>
    <xf numFmtId="196" fontId="31" fillId="8" borderId="7" applyAlignment="1" pivotButton="0" quotePrefix="0" xfId="50">
      <alignment horizontal="right" vertical="center" wrapText="1"/>
    </xf>
    <xf numFmtId="0" fontId="34" fillId="7" borderId="0" applyAlignment="1" pivotButton="0" quotePrefix="0" xfId="50">
      <alignment horizontal="left" vertical="center"/>
    </xf>
    <xf numFmtId="171" fontId="34" fillId="7" borderId="0" applyAlignment="1" pivotButton="0" quotePrefix="0" xfId="50">
      <alignment horizontal="right" vertical="center" wrapText="1"/>
    </xf>
    <xf numFmtId="171" fontId="34" fillId="7" borderId="0" applyAlignment="1" pivotButton="0" quotePrefix="0" xfId="50">
      <alignment horizontal="right" vertical="center" wrapText="1"/>
    </xf>
    <xf numFmtId="171" fontId="34" fillId="7" borderId="4" applyAlignment="1" pivotButton="0" quotePrefix="0" xfId="50">
      <alignment horizontal="right" vertical="center" wrapText="1"/>
    </xf>
    <xf numFmtId="0" fontId="7" fillId="4" borderId="0" applyAlignment="1" pivotButton="0" quotePrefix="0" xfId="50">
      <alignment horizontal="left" vertical="center" indent="1"/>
    </xf>
    <xf numFmtId="171" fontId="19" fillId="4" borderId="0" applyAlignment="1" pivotButton="0" quotePrefix="0" xfId="50">
      <alignment horizontal="right" vertical="center" wrapText="1"/>
    </xf>
    <xf numFmtId="171" fontId="19" fillId="4" borderId="0" applyAlignment="1" pivotButton="0" quotePrefix="0" xfId="50">
      <alignment horizontal="right" vertical="center" wrapText="1"/>
    </xf>
    <xf numFmtId="171" fontId="19" fillId="4" borderId="4" applyAlignment="1" pivotButton="0" quotePrefix="0" xfId="50">
      <alignment horizontal="right" vertical="center" wrapText="1"/>
    </xf>
    <xf numFmtId="171" fontId="19" fillId="0" borderId="0" applyAlignment="1" pivotButton="0" quotePrefix="0" xfId="50">
      <alignment horizontal="right" vertical="center" wrapText="1"/>
    </xf>
    <xf numFmtId="0" fontId="5" fillId="2" borderId="0" applyAlignment="1" pivotButton="0" quotePrefix="0" xfId="46">
      <alignment horizontal="general" vertical="bottom"/>
    </xf>
    <xf numFmtId="0" fontId="33" fillId="4" borderId="0" applyAlignment="1" pivotButton="0" quotePrefix="0" xfId="50">
      <alignment horizontal="general" vertical="bottom"/>
    </xf>
    <xf numFmtId="0" fontId="34" fillId="7" borderId="2" applyAlignment="1" pivotButton="0" quotePrefix="0" xfId="50">
      <alignment horizontal="general" vertical="center"/>
    </xf>
    <xf numFmtId="171" fontId="34" fillId="7" borderId="2" applyAlignment="1" pivotButton="0" quotePrefix="0" xfId="50">
      <alignment horizontal="right" vertical="center"/>
    </xf>
    <xf numFmtId="171" fontId="34" fillId="7" borderId="27" applyAlignment="1" pivotButton="0" quotePrefix="0" xfId="50">
      <alignment horizontal="right" vertical="center"/>
    </xf>
    <xf numFmtId="0" fontId="5" fillId="0" borderId="0" applyAlignment="1" pivotButton="0" quotePrefix="0" xfId="50">
      <alignment horizontal="general" vertical="bottom"/>
    </xf>
    <xf numFmtId="0" fontId="7" fillId="0" borderId="0" applyAlignment="1" pivotButton="0" quotePrefix="0" xfId="71">
      <alignment horizontal="general" vertical="bottom"/>
    </xf>
    <xf numFmtId="0" fontId="7" fillId="4" borderId="0" applyAlignment="1" pivotButton="0" quotePrefix="0" xfId="50">
      <alignment horizontal="left" vertical="center"/>
    </xf>
    <xf numFmtId="171" fontId="19" fillId="0" borderId="0" applyAlignment="1" pivotButton="0" quotePrefix="0" xfId="50">
      <alignment horizontal="right" vertical="center" wrapText="1"/>
    </xf>
    <xf numFmtId="171" fontId="19" fillId="0" borderId="4" applyAlignment="1" pivotButton="0" quotePrefix="0" xfId="50">
      <alignment horizontal="right" vertical="center" wrapText="1"/>
    </xf>
    <xf numFmtId="0" fontId="22" fillId="7" borderId="3" applyAlignment="1" pivotButton="0" quotePrefix="0" xfId="50">
      <alignment horizontal="left" vertical="center"/>
    </xf>
    <xf numFmtId="168" fontId="25" fillId="7" borderId="3" applyAlignment="1" pivotButton="0" quotePrefix="0" xfId="50">
      <alignment horizontal="right" vertical="center" wrapText="1"/>
    </xf>
    <xf numFmtId="168" fontId="25" fillId="7" borderId="30" applyAlignment="1" pivotButton="0" quotePrefix="0" xfId="50">
      <alignment horizontal="right" vertical="center" wrapText="1"/>
    </xf>
    <xf numFmtId="0" fontId="35" fillId="0" borderId="0" applyAlignment="1" pivotButton="0" quotePrefix="0" xfId="50">
      <alignment horizontal="general" vertical="bottom"/>
    </xf>
    <xf numFmtId="171" fontId="35" fillId="0" borderId="0" applyAlignment="1" pivotButton="0" quotePrefix="0" xfId="50">
      <alignment horizontal="general" vertical="bottom" wrapText="1"/>
    </xf>
    <xf numFmtId="167" fontId="5" fillId="0" borderId="0" applyAlignment="1" pivotButton="0" quotePrefix="0" xfId="50">
      <alignment horizontal="right" vertical="bottom"/>
    </xf>
    <xf numFmtId="0" fontId="22" fillId="0" borderId="0" applyAlignment="1" pivotButton="0" quotePrefix="0" xfId="71">
      <alignment horizontal="general" vertical="bottom"/>
    </xf>
    <xf numFmtId="0" fontId="33" fillId="4" borderId="0" applyAlignment="1" pivotButton="0" quotePrefix="0" xfId="50">
      <alignment horizontal="general" vertical="bottom"/>
    </xf>
    <xf numFmtId="0" fontId="21" fillId="2" borderId="0" applyAlignment="1" pivotButton="0" quotePrefix="0" xfId="50">
      <alignment horizontal="left" vertical="center"/>
    </xf>
    <xf numFmtId="0" fontId="31" fillId="5" borderId="13" applyAlignment="1" pivotButton="0" quotePrefix="0" xfId="50">
      <alignment horizontal="left" vertical="bottom" wrapText="1"/>
    </xf>
    <xf numFmtId="0" fontId="31" fillId="5" borderId="13" applyAlignment="1" pivotButton="0" quotePrefix="0" xfId="50">
      <alignment horizontal="right" vertical="bottom" wrapText="1"/>
    </xf>
    <xf numFmtId="167" fontId="7" fillId="4" borderId="0" applyAlignment="1" pivotButton="0" quotePrefix="0" xfId="50">
      <alignment horizontal="right" vertical="center"/>
    </xf>
    <xf numFmtId="0" fontId="7" fillId="4" borderId="0" applyAlignment="1" pivotButton="0" quotePrefix="0" xfId="50">
      <alignment horizontal="left" vertical="center"/>
    </xf>
    <xf numFmtId="167" fontId="7" fillId="4" borderId="0" applyAlignment="1" pivotButton="0" quotePrefix="0" xfId="50">
      <alignment horizontal="right" vertical="center"/>
    </xf>
    <xf numFmtId="0" fontId="7" fillId="4" borderId="3" applyAlignment="1" pivotButton="0" quotePrefix="0" xfId="50">
      <alignment horizontal="left" vertical="center"/>
    </xf>
    <xf numFmtId="167" fontId="7" fillId="4" borderId="3" applyAlignment="1" pivotButton="0" quotePrefix="0" xfId="50">
      <alignment horizontal="right" vertical="center"/>
    </xf>
    <xf numFmtId="9" fontId="21" fillId="2" borderId="2" applyAlignment="1" pivotButton="0" quotePrefix="0" xfId="82">
      <alignment horizontal="left" vertical="center"/>
    </xf>
    <xf numFmtId="9" fontId="5" fillId="0" borderId="0" applyAlignment="1" pivotButton="0" quotePrefix="0" xfId="82">
      <alignment horizontal="general" vertical="bottom"/>
    </xf>
    <xf numFmtId="9" fontId="7" fillId="0" borderId="0" applyAlignment="1" pivotButton="0" quotePrefix="0" xfId="82">
      <alignment horizontal="general" vertical="bottom"/>
    </xf>
    <xf numFmtId="0" fontId="31" fillId="5" borderId="56" applyAlignment="1" pivotButton="0" quotePrefix="0" xfId="50">
      <alignment horizontal="left" vertical="bottom" wrapText="1"/>
    </xf>
    <xf numFmtId="0" fontId="31" fillId="5" borderId="56" applyAlignment="1" pivotButton="0" quotePrefix="0" xfId="50">
      <alignment horizontal="right" vertical="bottom" wrapText="1"/>
    </xf>
    <xf numFmtId="0" fontId="31" fillId="5" borderId="56" applyAlignment="1" pivotButton="0" quotePrefix="0" xfId="50">
      <alignment horizontal="right" vertical="bottom"/>
    </xf>
    <xf numFmtId="0" fontId="7" fillId="4" borderId="13" applyAlignment="1" pivotButton="0" quotePrefix="0" xfId="50">
      <alignment horizontal="left" vertical="center"/>
    </xf>
    <xf numFmtId="167" fontId="7" fillId="4" borderId="13" applyAlignment="1" pivotButton="0" quotePrefix="0" xfId="50">
      <alignment horizontal="right" vertical="center"/>
    </xf>
    <xf numFmtId="0" fontId="35" fillId="0" borderId="0" applyAlignment="1" pivotButton="0" quotePrefix="0" xfId="39">
      <alignment horizontal="general" vertical="bottom"/>
    </xf>
    <xf numFmtId="0" fontId="34" fillId="0" borderId="0" applyAlignment="1" pivotButton="0" quotePrefix="0" xfId="39">
      <alignment horizontal="left" vertical="center"/>
    </xf>
    <xf numFmtId="0" fontId="5" fillId="2" borderId="0" applyAlignment="1" pivotButton="0" quotePrefix="0" xfId="47">
      <alignment horizontal="general" vertical="bottom"/>
    </xf>
    <xf numFmtId="0" fontId="24" fillId="0" borderId="0" applyAlignment="1" pivotButton="0" quotePrefix="0" xfId="54">
      <alignment horizontal="general" vertical="bottom"/>
    </xf>
    <xf numFmtId="0" fontId="21" fillId="2" borderId="0" applyAlignment="1" pivotButton="0" quotePrefix="0" xfId="39">
      <alignment horizontal="left" vertical="center"/>
    </xf>
    <xf numFmtId="0" fontId="35" fillId="0" borderId="0" applyAlignment="1" pivotButton="0" quotePrefix="0" xfId="39">
      <alignment horizontal="general" vertical="bottom"/>
    </xf>
    <xf numFmtId="0" fontId="21" fillId="5" borderId="0" applyAlignment="1" pivotButton="0" quotePrefix="0" xfId="39">
      <alignment horizontal="left" vertical="bottom"/>
    </xf>
    <xf numFmtId="0" fontId="21" fillId="5" borderId="15" applyAlignment="1" pivotButton="0" quotePrefix="0" xfId="39">
      <alignment horizontal="center" vertical="bottom"/>
    </xf>
    <xf numFmtId="0" fontId="21" fillId="5" borderId="20" applyAlignment="1" pivotButton="0" quotePrefix="0" xfId="39">
      <alignment horizontal="center" vertical="bottom"/>
    </xf>
    <xf numFmtId="0" fontId="21" fillId="8" borderId="0" applyAlignment="1" pivotButton="0" quotePrefix="0" xfId="39">
      <alignment horizontal="center" vertical="bottom"/>
    </xf>
    <xf numFmtId="0" fontId="21" fillId="8" borderId="20" applyAlignment="1" pivotButton="0" quotePrefix="0" xfId="39">
      <alignment horizontal="center" vertical="bottom"/>
    </xf>
    <xf numFmtId="0" fontId="21" fillId="8" borderId="15" applyAlignment="1" pivotButton="0" quotePrefix="0" xfId="39">
      <alignment horizontal="center" vertical="bottom"/>
    </xf>
    <xf numFmtId="0" fontId="21" fillId="5" borderId="0" applyAlignment="1" pivotButton="0" quotePrefix="0" xfId="39">
      <alignment horizontal="left" vertical="bottom"/>
    </xf>
    <xf numFmtId="197" fontId="31" fillId="5" borderId="20" applyAlignment="1" pivotButton="0" quotePrefix="0" xfId="45">
      <alignment horizontal="right" vertical="bottom" wrapText="1"/>
    </xf>
    <xf numFmtId="197" fontId="31" fillId="5" borderId="19" applyAlignment="1" pivotButton="0" quotePrefix="0" xfId="45">
      <alignment horizontal="right" vertical="bottom" wrapText="1"/>
    </xf>
    <xf numFmtId="197" fontId="31" fillId="5" borderId="21" applyAlignment="1" pivotButton="0" quotePrefix="0" xfId="45">
      <alignment horizontal="right" vertical="bottom" wrapText="1"/>
    </xf>
    <xf numFmtId="197" fontId="31" fillId="5" borderId="6" applyAlignment="1" pivotButton="0" quotePrefix="0" xfId="45">
      <alignment horizontal="right" vertical="bottom" wrapText="1"/>
    </xf>
    <xf numFmtId="179" fontId="31" fillId="8" borderId="10" applyAlignment="1" pivotButton="0" quotePrefix="0" xfId="39">
      <alignment horizontal="right" vertical="bottom"/>
    </xf>
    <xf numFmtId="179" fontId="31" fillId="8" borderId="7" applyAlignment="1" pivotButton="0" quotePrefix="0" xfId="39">
      <alignment horizontal="right" vertical="bottom"/>
    </xf>
    <xf numFmtId="179" fontId="31" fillId="8" borderId="6" applyAlignment="1" pivotButton="0" quotePrefix="0" xfId="39">
      <alignment horizontal="right" vertical="bottom"/>
    </xf>
    <xf numFmtId="179" fontId="31" fillId="8" borderId="5" applyAlignment="1" pivotButton="0" quotePrefix="0" xfId="39">
      <alignment horizontal="right" vertical="bottom"/>
    </xf>
    <xf numFmtId="179" fontId="31" fillId="8" borderId="0" applyAlignment="1" pivotButton="0" quotePrefix="0" xfId="39">
      <alignment horizontal="right" vertical="bottom"/>
    </xf>
    <xf numFmtId="0" fontId="23" fillId="4" borderId="0" applyAlignment="1" pivotButton="0" quotePrefix="0" xfId="39">
      <alignment horizontal="general" vertical="bottom"/>
    </xf>
    <xf numFmtId="0" fontId="5" fillId="0" borderId="4" applyAlignment="1" pivotButton="0" quotePrefix="0" xfId="39">
      <alignment horizontal="general" vertical="bottom"/>
    </xf>
    <xf numFmtId="0" fontId="5" fillId="0" borderId="0" applyAlignment="1" pivotButton="0" quotePrefix="0" xfId="39">
      <alignment horizontal="left" vertical="bottom" indent="2"/>
    </xf>
    <xf numFmtId="0" fontId="5" fillId="0" borderId="0" applyAlignment="1" pivotButton="0" quotePrefix="0" xfId="39">
      <alignment horizontal="left" vertical="bottom"/>
    </xf>
    <xf numFmtId="170" fontId="5" fillId="0" borderId="0" applyAlignment="1" pivotButton="0" quotePrefix="0" xfId="39">
      <alignment horizontal="general" vertical="bottom"/>
    </xf>
    <xf numFmtId="170" fontId="5" fillId="0" borderId="4" applyAlignment="1" pivotButton="0" quotePrefix="0" xfId="39">
      <alignment horizontal="general" vertical="bottom"/>
    </xf>
    <xf numFmtId="170" fontId="5" fillId="0" borderId="0" applyAlignment="1" pivotButton="0" quotePrefix="0" xfId="39">
      <alignment horizontal="general" vertical="bottom"/>
    </xf>
    <xf numFmtId="167" fontId="35" fillId="0" borderId="0" applyAlignment="1" pivotButton="0" quotePrefix="0" xfId="39">
      <alignment horizontal="right" vertical="bottom"/>
    </xf>
    <xf numFmtId="0" fontId="5" fillId="0" borderId="13" applyAlignment="1" pivotButton="0" quotePrefix="0" xfId="39">
      <alignment horizontal="left" vertical="bottom" indent="2"/>
    </xf>
    <xf numFmtId="0" fontId="5" fillId="0" borderId="13" applyAlignment="1" pivotButton="0" quotePrefix="0" xfId="39">
      <alignment horizontal="left" vertical="bottom"/>
    </xf>
    <xf numFmtId="170" fontId="5" fillId="0" borderId="13" applyAlignment="1" pivotButton="0" quotePrefix="0" xfId="39">
      <alignment horizontal="general" vertical="bottom"/>
    </xf>
    <xf numFmtId="170" fontId="5" fillId="0" borderId="25" applyAlignment="1" pivotButton="0" quotePrefix="0" xfId="39">
      <alignment horizontal="general" vertical="bottom"/>
    </xf>
    <xf numFmtId="0" fontId="5" fillId="0" borderId="0" applyAlignment="1" pivotButton="0" quotePrefix="0" xfId="39">
      <alignment horizontal="left" vertical="bottom" indent="1"/>
    </xf>
    <xf numFmtId="0" fontId="5" fillId="0" borderId="13" applyAlignment="1" pivotButton="0" quotePrefix="0" xfId="39">
      <alignment horizontal="left" vertical="bottom" indent="1"/>
    </xf>
    <xf numFmtId="0" fontId="38" fillId="7" borderId="3" applyAlignment="1" pivotButton="0" quotePrefix="0" xfId="39">
      <alignment horizontal="general" vertical="bottom"/>
    </xf>
    <xf numFmtId="0" fontId="38" fillId="7" borderId="3" applyAlignment="1" pivotButton="0" quotePrefix="0" xfId="39">
      <alignment horizontal="left" vertical="bottom"/>
    </xf>
    <xf numFmtId="170" fontId="38" fillId="7" borderId="3" applyAlignment="1" pivotButton="0" quotePrefix="0" xfId="39">
      <alignment horizontal="general" vertical="bottom"/>
    </xf>
    <xf numFmtId="170" fontId="38" fillId="7" borderId="30" applyAlignment="1" pivotButton="0" quotePrefix="0" xfId="39">
      <alignment horizontal="general" vertical="bottom"/>
    </xf>
    <xf numFmtId="170" fontId="5" fillId="0" borderId="4" applyAlignment="1" pivotButton="0" quotePrefix="0" xfId="39">
      <alignment horizontal="general" vertical="bottom"/>
    </xf>
    <xf numFmtId="170" fontId="5" fillId="0" borderId="0" applyAlignment="1" pivotButton="0" quotePrefix="0" xfId="39">
      <alignment horizontal="general" vertical="bottom"/>
    </xf>
    <xf numFmtId="0" fontId="5" fillId="0" borderId="0" applyAlignment="1" pivotButton="0" quotePrefix="0" xfId="39">
      <alignment horizontal="left" vertical="bottom" indent="3"/>
    </xf>
    <xf numFmtId="0" fontId="5" fillId="0" borderId="13" applyAlignment="1" pivotButton="0" quotePrefix="0" xfId="39">
      <alignment horizontal="left" vertical="bottom" indent="3"/>
    </xf>
    <xf numFmtId="0" fontId="5" fillId="0" borderId="0" applyAlignment="1" pivotButton="0" quotePrefix="0" xfId="39">
      <alignment horizontal="left" vertical="bottom"/>
    </xf>
    <xf numFmtId="0" fontId="5" fillId="0" borderId="13" applyAlignment="1" pivotButton="0" quotePrefix="0" xfId="39">
      <alignment horizontal="left" vertical="bottom"/>
    </xf>
    <xf numFmtId="170" fontId="5" fillId="0" borderId="25" applyAlignment="1" pivotButton="0" quotePrefix="0" xfId="39">
      <alignment horizontal="general" vertical="bottom"/>
    </xf>
    <xf numFmtId="170" fontId="5" fillId="0" borderId="13" applyAlignment="1" pivotButton="0" quotePrefix="0" xfId="39">
      <alignment horizontal="general" vertical="bottom"/>
    </xf>
    <xf numFmtId="0" fontId="5" fillId="0" borderId="0" applyAlignment="1" pivotButton="0" quotePrefix="0" xfId="39">
      <alignment horizontal="general" vertical="bottom"/>
    </xf>
    <xf numFmtId="0" fontId="5" fillId="4" borderId="0" applyAlignment="1" pivotButton="0" quotePrefix="0" xfId="39">
      <alignment horizontal="general" vertical="bottom"/>
    </xf>
    <xf numFmtId="0" fontId="5" fillId="4" borderId="0" applyAlignment="1" pivotButton="0" quotePrefix="0" xfId="39">
      <alignment horizontal="left" vertical="bottom"/>
    </xf>
    <xf numFmtId="170" fontId="5" fillId="4" borderId="0" applyAlignment="1" pivotButton="0" quotePrefix="0" xfId="39">
      <alignment horizontal="general" vertical="bottom"/>
    </xf>
    <xf numFmtId="0" fontId="35" fillId="4" borderId="0" applyAlignment="1" pivotButton="0" quotePrefix="0" xfId="39">
      <alignment horizontal="general" vertical="bottom"/>
    </xf>
    <xf numFmtId="189" fontId="35" fillId="0" borderId="0" applyAlignment="1" pivotButton="0" quotePrefix="0" xfId="39">
      <alignment horizontal="left" vertical="bottom"/>
    </xf>
    <xf numFmtId="170" fontId="35" fillId="0" borderId="0" applyAlignment="1" pivotButton="0" quotePrefix="0" xfId="39">
      <alignment horizontal="general" vertical="bottom"/>
    </xf>
    <xf numFmtId="0" fontId="23" fillId="4" borderId="0" applyAlignment="1" pivotButton="0" quotePrefix="0" xfId="39">
      <alignment horizontal="general" vertical="center"/>
    </xf>
    <xf numFmtId="0" fontId="35" fillId="0" borderId="0" applyAlignment="1" pivotButton="0" quotePrefix="0" xfId="39">
      <alignment horizontal="left" vertical="bottom" indent="1"/>
    </xf>
    <xf numFmtId="0" fontId="35" fillId="0" borderId="0" applyAlignment="1" pivotButton="0" quotePrefix="0" xfId="39">
      <alignment horizontal="left" vertical="bottom"/>
    </xf>
    <xf numFmtId="0" fontId="35" fillId="4" borderId="13" applyAlignment="1" pivotButton="0" quotePrefix="0" xfId="39">
      <alignment horizontal="left" vertical="bottom" indent="1"/>
    </xf>
    <xf numFmtId="0" fontId="35" fillId="4" borderId="13" applyAlignment="1" pivotButton="0" quotePrefix="0" xfId="39">
      <alignment horizontal="left" vertical="bottom"/>
    </xf>
    <xf numFmtId="170" fontId="35" fillId="4" borderId="13" applyAlignment="1" pivotButton="0" quotePrefix="0" xfId="39">
      <alignment horizontal="general" vertical="bottom"/>
    </xf>
    <xf numFmtId="0" fontId="35" fillId="4" borderId="0" applyAlignment="1" pivotButton="0" quotePrefix="0" xfId="39">
      <alignment horizontal="left" vertical="bottom"/>
    </xf>
    <xf numFmtId="170" fontId="35" fillId="4" borderId="0" applyAlignment="1" pivotButton="0" quotePrefix="0" xfId="39">
      <alignment horizontal="general" vertical="bottom"/>
    </xf>
    <xf numFmtId="0" fontId="35" fillId="4" borderId="0" applyAlignment="1" pivotButton="0" quotePrefix="0" xfId="39">
      <alignment horizontal="general" vertical="bottom"/>
    </xf>
    <xf numFmtId="0" fontId="7" fillId="0" borderId="0" applyAlignment="1" pivotButton="0" quotePrefix="0" xfId="57">
      <alignment horizontal="left" vertical="bottom" wrapText="1"/>
    </xf>
    <xf numFmtId="0" fontId="5" fillId="0" borderId="0" applyAlignment="1" pivotButton="0" quotePrefix="0" xfId="39">
      <alignment horizontal="left" vertical="bottom" wrapText="1"/>
    </xf>
    <xf numFmtId="0" fontId="5" fillId="0" borderId="0" applyAlignment="1" pivotButton="0" quotePrefix="0" xfId="54">
      <alignment horizontal="left" vertical="bottom"/>
    </xf>
    <xf numFmtId="0" fontId="5" fillId="0" borderId="0" applyAlignment="1" pivotButton="0" quotePrefix="0" xfId="54">
      <alignment horizontal="left" vertical="bottom" wrapText="1"/>
    </xf>
    <xf numFmtId="167" fontId="5" fillId="0" borderId="0" applyAlignment="1" pivotButton="0" quotePrefix="0" xfId="50">
      <alignment horizontal="right" vertical="bottom"/>
    </xf>
    <xf numFmtId="0" fontId="5" fillId="0" borderId="0" applyAlignment="1" pivotButton="0" quotePrefix="0" xfId="50">
      <alignment horizontal="left" vertical="bottom" wrapText="1"/>
    </xf>
    <xf numFmtId="0" fontId="26" fillId="0" borderId="0" applyAlignment="1" pivotButton="0" quotePrefix="0" xfId="50">
      <alignment horizontal="general" vertical="bottom"/>
    </xf>
    <xf numFmtId="168" fontId="35" fillId="0" borderId="0" applyAlignment="1" pivotButton="0" quotePrefix="0" xfId="50">
      <alignment horizontal="right" vertical="bottom"/>
    </xf>
    <xf numFmtId="168" fontId="35" fillId="0" borderId="0" applyAlignment="1" pivotButton="0" quotePrefix="0" xfId="50">
      <alignment horizontal="right" vertical="bottom"/>
    </xf>
    <xf numFmtId="0" fontId="21" fillId="2" borderId="0" applyAlignment="1" pivotButton="0" quotePrefix="0" xfId="50">
      <alignment horizontal="left" vertical="center" wrapText="1"/>
    </xf>
    <xf numFmtId="0" fontId="26" fillId="0" borderId="0" applyAlignment="1" pivotButton="0" quotePrefix="0" xfId="50">
      <alignment horizontal="general" vertical="bottom"/>
    </xf>
    <xf numFmtId="0" fontId="31" fillId="5" borderId="0" applyAlignment="1" pivotButton="0" quotePrefix="0" xfId="50">
      <alignment horizontal="right" vertical="bottom"/>
    </xf>
    <xf numFmtId="0" fontId="31" fillId="5" borderId="20" applyAlignment="1" pivotButton="0" quotePrefix="0" xfId="50">
      <alignment horizontal="right" vertical="bottom"/>
    </xf>
    <xf numFmtId="0" fontId="31" fillId="5" borderId="32" applyAlignment="1" pivotButton="0" quotePrefix="0" xfId="50">
      <alignment horizontal="center" vertical="bottom"/>
    </xf>
    <xf numFmtId="0" fontId="31" fillId="5" borderId="75" applyAlignment="1" pivotButton="0" quotePrefix="0" xfId="50">
      <alignment horizontal="center" vertical="bottom"/>
    </xf>
    <xf numFmtId="0" fontId="31" fillId="5" borderId="31" applyAlignment="1" pivotButton="0" quotePrefix="0" xfId="50">
      <alignment horizontal="center" vertical="bottom"/>
    </xf>
    <xf numFmtId="0" fontId="31" fillId="5" borderId="19" applyAlignment="1" pivotButton="0" quotePrefix="0" xfId="50">
      <alignment horizontal="center" vertical="bottom"/>
    </xf>
    <xf numFmtId="166" fontId="21" fillId="8" borderId="15" applyAlignment="1" pivotButton="0" quotePrefix="0" xfId="0">
      <alignment horizontal="center" vertical="bottom"/>
    </xf>
    <xf numFmtId="166" fontId="21" fillId="8" borderId="15" applyAlignment="1" pivotButton="0" quotePrefix="0" xfId="0">
      <alignment horizontal="center" vertical="bottom" wrapText="1"/>
    </xf>
    <xf numFmtId="0" fontId="31" fillId="5" borderId="31" applyAlignment="1" pivotButton="0" quotePrefix="0" xfId="50">
      <alignment horizontal="left" vertical="bottom" wrapText="1"/>
    </xf>
    <xf numFmtId="0" fontId="31" fillId="5" borderId="0" applyAlignment="1" applyProtection="1" pivotButton="0" quotePrefix="0" xfId="50">
      <alignment horizontal="left" vertical="bottom"/>
      <protection locked="0" hidden="0"/>
    </xf>
    <xf numFmtId="179" fontId="31" fillId="5" borderId="0" applyAlignment="1" pivotButton="0" quotePrefix="0" xfId="50">
      <alignment horizontal="left" vertical="bottom"/>
    </xf>
    <xf numFmtId="196" fontId="31" fillId="5" borderId="0" applyAlignment="1" pivotButton="0" quotePrefix="0" xfId="50">
      <alignment horizontal="right" vertical="bottom"/>
    </xf>
    <xf numFmtId="196" fontId="31" fillId="5" borderId="20" applyAlignment="1" pivotButton="0" quotePrefix="0" xfId="50">
      <alignment horizontal="right" vertical="bottom"/>
    </xf>
    <xf numFmtId="196" fontId="31" fillId="5" borderId="21" applyAlignment="1" pivotButton="0" quotePrefix="0" xfId="50">
      <alignment horizontal="right" vertical="bottom"/>
    </xf>
    <xf numFmtId="196" fontId="31" fillId="5" borderId="5" applyAlignment="1" pivotButton="0" quotePrefix="0" xfId="50">
      <alignment horizontal="right" vertical="bottom"/>
    </xf>
    <xf numFmtId="196" fontId="31" fillId="5" borderId="6" applyAlignment="1" pivotButton="0" quotePrefix="0" xfId="50">
      <alignment horizontal="right" vertical="bottom"/>
    </xf>
    <xf numFmtId="196" fontId="31" fillId="5" borderId="7" applyAlignment="1" pivotButton="0" quotePrefix="0" xfId="50">
      <alignment horizontal="right" vertical="bottom"/>
    </xf>
    <xf numFmtId="166" fontId="21" fillId="8" borderId="6" applyAlignment="1" pivotButton="0" quotePrefix="0" xfId="0">
      <alignment horizontal="right" vertical="bottom"/>
    </xf>
    <xf numFmtId="166" fontId="21" fillId="8" borderId="7" applyAlignment="1" pivotButton="0" quotePrefix="0" xfId="0">
      <alignment horizontal="right" vertical="center" wrapText="1"/>
    </xf>
    <xf numFmtId="166" fontId="21" fillId="8" borderId="5" applyAlignment="1" pivotButton="0" quotePrefix="0" xfId="0">
      <alignment horizontal="right" vertical="bottom"/>
    </xf>
    <xf numFmtId="196" fontId="31" fillId="5" borderId="7" applyAlignment="1" pivotButton="0" quotePrefix="0" xfId="50">
      <alignment horizontal="left" vertical="bottom" wrapText="1"/>
    </xf>
    <xf numFmtId="0" fontId="5" fillId="0" borderId="0" applyAlignment="1" pivotButton="0" quotePrefix="0" xfId="39">
      <alignment horizontal="left" vertical="bottom" indent="2"/>
    </xf>
    <xf numFmtId="170" fontId="5" fillId="0" borderId="23" applyAlignment="1" pivotButton="0" quotePrefix="0" xfId="39">
      <alignment horizontal="general" vertical="bottom"/>
    </xf>
    <xf numFmtId="170" fontId="5" fillId="0" borderId="58" applyAlignment="1" pivotButton="0" quotePrefix="0" xfId="39">
      <alignment horizontal="general" vertical="bottom"/>
    </xf>
    <xf numFmtId="174" fontId="35" fillId="0" borderId="0" applyAlignment="1" pivotButton="0" quotePrefix="0" xfId="39">
      <alignment horizontal="general" vertical="bottom"/>
    </xf>
    <xf numFmtId="174" fontId="35" fillId="0" borderId="0" applyAlignment="1" pivotButton="0" quotePrefix="0" xfId="39">
      <alignment horizontal="general" vertical="bottom"/>
    </xf>
    <xf numFmtId="170" fontId="5" fillId="0" borderId="0" applyAlignment="1" pivotButton="0" quotePrefix="0" xfId="39">
      <alignment horizontal="left" vertical="bottom" wrapText="1"/>
    </xf>
    <xf numFmtId="0" fontId="5" fillId="0" borderId="13" applyAlignment="1" pivotButton="0" quotePrefix="0" xfId="39">
      <alignment horizontal="left" vertical="bottom" indent="2"/>
    </xf>
    <xf numFmtId="0" fontId="5" fillId="0" borderId="13" applyAlignment="1" pivotButton="0" quotePrefix="0" xfId="39">
      <alignment horizontal="left" vertical="bottom"/>
    </xf>
    <xf numFmtId="170" fontId="5" fillId="0" borderId="13" applyAlignment="1" pivotButton="0" quotePrefix="0" xfId="39">
      <alignment horizontal="general" vertical="bottom"/>
    </xf>
    <xf numFmtId="170" fontId="5" fillId="0" borderId="24" applyAlignment="1" pivotButton="0" quotePrefix="0" xfId="39">
      <alignment horizontal="general" vertical="bottom"/>
    </xf>
    <xf numFmtId="170" fontId="5" fillId="0" borderId="25" applyAlignment="1" pivotButton="0" quotePrefix="0" xfId="39">
      <alignment horizontal="general" vertical="bottom"/>
    </xf>
    <xf numFmtId="170" fontId="5" fillId="0" borderId="59" applyAlignment="1" pivotButton="0" quotePrefix="0" xfId="39">
      <alignment horizontal="general" vertical="bottom"/>
    </xf>
    <xf numFmtId="174" fontId="35" fillId="0" borderId="13" applyAlignment="1" pivotButton="0" quotePrefix="0" xfId="39">
      <alignment horizontal="general" vertical="bottom"/>
    </xf>
    <xf numFmtId="170" fontId="5" fillId="0" borderId="13" applyAlignment="1" pivotButton="0" quotePrefix="0" xfId="39">
      <alignment horizontal="left" vertical="bottom" wrapText="1"/>
    </xf>
    <xf numFmtId="0" fontId="5" fillId="0" borderId="0" applyAlignment="1" pivotButton="0" quotePrefix="0" xfId="39">
      <alignment horizontal="left" vertical="bottom" indent="1"/>
    </xf>
    <xf numFmtId="170" fontId="5" fillId="0" borderId="0" applyAlignment="1" pivotButton="0" quotePrefix="0" xfId="39">
      <alignment horizontal="left" vertical="top" wrapText="1"/>
    </xf>
    <xf numFmtId="170" fontId="5" fillId="0" borderId="0" applyAlignment="1" pivotButton="0" quotePrefix="0" xfId="39">
      <alignment horizontal="left" vertical="top" wrapText="1"/>
    </xf>
    <xf numFmtId="170" fontId="5" fillId="0" borderId="13" applyAlignment="1" pivotButton="0" quotePrefix="0" xfId="39">
      <alignment horizontal="left" vertical="top" wrapText="1"/>
    </xf>
    <xf numFmtId="0" fontId="5" fillId="0" borderId="0" applyAlignment="1" pivotButton="0" quotePrefix="0" xfId="39">
      <alignment horizontal="left" vertical="bottom" indent="2"/>
    </xf>
    <xf numFmtId="0" fontId="5" fillId="0" borderId="0" applyAlignment="1" pivotButton="0" quotePrefix="0" xfId="39">
      <alignment horizontal="left" vertical="bottom"/>
    </xf>
    <xf numFmtId="170" fontId="5" fillId="0" borderId="23" applyAlignment="1" pivotButton="0" quotePrefix="0" xfId="39">
      <alignment horizontal="general" vertical="bottom"/>
    </xf>
    <xf numFmtId="170" fontId="5" fillId="0" borderId="58" applyAlignment="1" pivotButton="0" quotePrefix="0" xfId="39">
      <alignment horizontal="general" vertical="bottom"/>
    </xf>
    <xf numFmtId="167" fontId="5" fillId="4" borderId="0" applyAlignment="1" pivotButton="0" quotePrefix="0" xfId="39">
      <alignment horizontal="right" vertical="bottom"/>
    </xf>
    <xf numFmtId="168" fontId="35" fillId="4" borderId="0" applyAlignment="1" pivotButton="0" quotePrefix="0" xfId="39">
      <alignment horizontal="right" vertical="bottom"/>
    </xf>
    <xf numFmtId="0" fontId="5" fillId="0" borderId="0" applyAlignment="1" pivotButton="0" quotePrefix="0" xfId="39">
      <alignment horizontal="general" vertical="top" wrapText="1"/>
    </xf>
    <xf numFmtId="0" fontId="26" fillId="0" borderId="0" applyAlignment="1" pivotButton="0" quotePrefix="0" xfId="39">
      <alignment horizontal="general" vertical="bottom"/>
    </xf>
    <xf numFmtId="0" fontId="5" fillId="0" borderId="0" applyAlignment="1" pivotButton="0" quotePrefix="0" xfId="39">
      <alignment horizontal="left" vertical="bottom" indent="1"/>
    </xf>
    <xf numFmtId="0" fontId="5" fillId="0" borderId="0" applyAlignment="1" pivotButton="0" quotePrefix="0" xfId="39">
      <alignment horizontal="left" vertical="bottom"/>
    </xf>
    <xf numFmtId="170" fontId="5" fillId="0" borderId="0" applyAlignment="1" pivotButton="0" quotePrefix="0" xfId="39">
      <alignment horizontal="left" vertical="top" wrapText="1"/>
    </xf>
    <xf numFmtId="0" fontId="5" fillId="0" borderId="0" applyAlignment="1" pivotButton="0" quotePrefix="0" xfId="39">
      <alignment horizontal="left" vertical="bottom" indent="3"/>
    </xf>
    <xf numFmtId="0" fontId="5" fillId="0" borderId="13" applyAlignment="1" pivotButton="0" quotePrefix="0" xfId="39">
      <alignment horizontal="left" vertical="bottom" indent="3"/>
    </xf>
    <xf numFmtId="0" fontId="5" fillId="0" borderId="0" applyAlignment="1" pivotButton="0" quotePrefix="0" xfId="39">
      <alignment horizontal="left" vertical="bottom" indent="3"/>
    </xf>
    <xf numFmtId="0" fontId="5" fillId="4" borderId="13" applyAlignment="1" pivotButton="0" quotePrefix="0" xfId="39">
      <alignment horizontal="left" vertical="bottom" indent="2"/>
    </xf>
    <xf numFmtId="0" fontId="5" fillId="4" borderId="13" applyAlignment="1" pivotButton="0" quotePrefix="0" xfId="39">
      <alignment horizontal="left" vertical="bottom"/>
    </xf>
    <xf numFmtId="170" fontId="5" fillId="4" borderId="13" applyAlignment="1" pivotButton="0" quotePrefix="0" xfId="39">
      <alignment horizontal="general" vertical="bottom"/>
    </xf>
    <xf numFmtId="170" fontId="5" fillId="4" borderId="24" applyAlignment="1" pivotButton="0" quotePrefix="0" xfId="39">
      <alignment horizontal="general" vertical="bottom"/>
    </xf>
    <xf numFmtId="170" fontId="5" fillId="4" borderId="25" applyAlignment="1" pivotButton="0" quotePrefix="0" xfId="39">
      <alignment horizontal="general" vertical="bottom"/>
    </xf>
    <xf numFmtId="170" fontId="5" fillId="4" borderId="59" applyAlignment="1" pivotButton="0" quotePrefix="0" xfId="39">
      <alignment horizontal="general" vertical="bottom"/>
    </xf>
    <xf numFmtId="174" fontId="35" fillId="4" borderId="13" applyAlignment="1" pivotButton="0" quotePrefix="0" xfId="39">
      <alignment horizontal="general" vertical="bottom"/>
    </xf>
    <xf numFmtId="170" fontId="5" fillId="4" borderId="13" applyAlignment="1" pivotButton="0" quotePrefix="0" xfId="39">
      <alignment horizontal="left" vertical="top" wrapText="1"/>
    </xf>
    <xf numFmtId="0" fontId="5" fillId="4" borderId="13" applyAlignment="1" pivotButton="0" quotePrefix="0" xfId="39">
      <alignment horizontal="left" vertical="bottom" indent="1"/>
    </xf>
    <xf numFmtId="170" fontId="5" fillId="4" borderId="0" applyAlignment="1" pivotButton="0" quotePrefix="0" xfId="39">
      <alignment horizontal="left" vertical="top" wrapText="1"/>
    </xf>
    <xf numFmtId="167" fontId="34" fillId="7" borderId="0" applyAlignment="1" pivotButton="0" quotePrefix="0" xfId="50">
      <alignment horizontal="right" vertical="center"/>
    </xf>
    <xf numFmtId="167" fontId="34" fillId="7" borderId="23" applyAlignment="1" pivotButton="0" quotePrefix="0" xfId="50">
      <alignment horizontal="right" vertical="center"/>
    </xf>
    <xf numFmtId="167" fontId="34" fillId="7" borderId="0" applyAlignment="1" pivotButton="0" quotePrefix="0" xfId="50">
      <alignment horizontal="right" vertical="center"/>
    </xf>
    <xf numFmtId="167" fontId="34" fillId="7" borderId="4" applyAlignment="1" pivotButton="0" quotePrefix="0" xfId="50">
      <alignment horizontal="right" vertical="center"/>
    </xf>
    <xf numFmtId="167" fontId="34" fillId="7" borderId="58" applyAlignment="1" pivotButton="0" quotePrefix="0" xfId="50">
      <alignment horizontal="right" vertical="center"/>
    </xf>
    <xf numFmtId="168" fontId="47" fillId="7" borderId="0" applyAlignment="1" pivotButton="0" quotePrefix="0" xfId="50">
      <alignment horizontal="right" vertical="center"/>
    </xf>
    <xf numFmtId="168" fontId="47" fillId="7" borderId="0" applyAlignment="1" pivotButton="0" quotePrefix="0" xfId="50">
      <alignment horizontal="right" vertical="center"/>
    </xf>
    <xf numFmtId="167" fontId="34" fillId="7" borderId="0" applyAlignment="1" pivotButton="0" quotePrefix="0" xfId="50">
      <alignment horizontal="left" vertical="top" wrapText="1"/>
    </xf>
    <xf numFmtId="0" fontId="19" fillId="4" borderId="0" applyAlignment="1" pivotButton="0" quotePrefix="0" xfId="50">
      <alignment horizontal="left" vertical="center"/>
    </xf>
    <xf numFmtId="167" fontId="25" fillId="4" borderId="0" applyAlignment="1" pivotButton="0" quotePrefix="0" xfId="50">
      <alignment horizontal="right" vertical="center"/>
    </xf>
    <xf numFmtId="167" fontId="19" fillId="4" borderId="0" applyAlignment="1" pivotButton="0" quotePrefix="0" xfId="50">
      <alignment horizontal="right" vertical="center"/>
    </xf>
    <xf numFmtId="167" fontId="19" fillId="4" borderId="23" applyAlignment="1" pivotButton="0" quotePrefix="0" xfId="50">
      <alignment horizontal="right" vertical="center"/>
    </xf>
    <xf numFmtId="167" fontId="19" fillId="4" borderId="0" applyAlignment="1" pivotButton="0" quotePrefix="0" xfId="50">
      <alignment horizontal="right" vertical="center"/>
    </xf>
    <xf numFmtId="167" fontId="19" fillId="4" borderId="4" applyAlignment="1" pivotButton="0" quotePrefix="0" xfId="50">
      <alignment horizontal="right" vertical="center"/>
    </xf>
    <xf numFmtId="167" fontId="19" fillId="0" borderId="58" applyAlignment="1" pivotButton="0" quotePrefix="0" xfId="50">
      <alignment horizontal="right" vertical="center"/>
    </xf>
    <xf numFmtId="167" fontId="19" fillId="0" borderId="0" applyAlignment="1" pivotButton="0" quotePrefix="0" xfId="50">
      <alignment horizontal="right" vertical="center"/>
    </xf>
    <xf numFmtId="167" fontId="19" fillId="0" borderId="0" applyAlignment="1" pivotButton="0" quotePrefix="0" xfId="50">
      <alignment horizontal="right" vertical="center"/>
    </xf>
    <xf numFmtId="168" fontId="25" fillId="0" borderId="0" applyAlignment="1" pivotButton="0" quotePrefix="0" xfId="50">
      <alignment horizontal="right" vertical="center"/>
    </xf>
    <xf numFmtId="168" fontId="25" fillId="0" borderId="0" applyAlignment="1" pivotButton="0" quotePrefix="0" xfId="50">
      <alignment horizontal="right" vertical="center"/>
    </xf>
    <xf numFmtId="167" fontId="19" fillId="4" borderId="0" applyAlignment="1" pivotButton="0" quotePrefix="0" xfId="50">
      <alignment horizontal="left" vertical="top" wrapText="1"/>
    </xf>
    <xf numFmtId="0" fontId="25" fillId="7" borderId="0" applyAlignment="1" pivotButton="0" quotePrefix="0" xfId="50">
      <alignment horizontal="left" vertical="center"/>
    </xf>
    <xf numFmtId="0" fontId="19" fillId="7" borderId="0" applyAlignment="1" pivotButton="0" quotePrefix="0" xfId="50">
      <alignment horizontal="left" vertical="center"/>
    </xf>
    <xf numFmtId="168" fontId="25" fillId="7" borderId="0" applyAlignment="1" pivotButton="0" quotePrefix="0" xfId="50">
      <alignment horizontal="right" vertical="center"/>
    </xf>
    <xf numFmtId="168" fontId="25" fillId="7" borderId="23" applyAlignment="1" pivotButton="0" quotePrefix="0" xfId="50">
      <alignment horizontal="right" vertical="center"/>
    </xf>
    <xf numFmtId="168" fontId="25" fillId="7" borderId="0" applyAlignment="1" pivotButton="0" quotePrefix="0" xfId="50">
      <alignment horizontal="right" vertical="center"/>
    </xf>
    <xf numFmtId="168" fontId="25" fillId="7" borderId="4" applyAlignment="1" pivotButton="0" quotePrefix="0" xfId="50">
      <alignment horizontal="right" vertical="center"/>
    </xf>
    <xf numFmtId="168" fontId="25" fillId="7" borderId="58" applyAlignment="1" pivotButton="0" quotePrefix="0" xfId="50">
      <alignment horizontal="right" vertical="center"/>
    </xf>
    <xf numFmtId="168" fontId="25" fillId="7" borderId="0" applyAlignment="1" pivotButton="0" quotePrefix="0" xfId="50">
      <alignment horizontal="left" vertical="top" wrapText="1"/>
    </xf>
    <xf numFmtId="0" fontId="23" fillId="4" borderId="0" applyAlignment="1" pivotButton="0" quotePrefix="0" xfId="71">
      <alignment horizontal="left" vertical="center"/>
    </xf>
    <xf numFmtId="0" fontId="23" fillId="4" borderId="0" applyAlignment="1" pivotButton="0" quotePrefix="0" xfId="50">
      <alignment horizontal="left" vertical="center"/>
    </xf>
    <xf numFmtId="0" fontId="19" fillId="4" borderId="0" applyAlignment="1" pivotButton="0" quotePrefix="0" xfId="50">
      <alignment horizontal="left" vertical="center" indent="1"/>
    </xf>
    <xf numFmtId="0" fontId="31" fillId="8" borderId="15" applyAlignment="1" pivotButton="0" quotePrefix="0" xfId="50">
      <alignment horizontal="center" vertical="center"/>
    </xf>
    <xf numFmtId="167" fontId="19" fillId="0" borderId="0" applyAlignment="1" pivotButton="0" quotePrefix="0" xfId="50">
      <alignment horizontal="right" vertical="center"/>
    </xf>
    <xf numFmtId="167" fontId="19" fillId="0" borderId="23" applyAlignment="1" pivotButton="0" quotePrefix="0" xfId="50">
      <alignment horizontal="right" vertical="center"/>
    </xf>
    <xf numFmtId="167" fontId="19" fillId="0" borderId="0" applyAlignment="1" pivotButton="0" quotePrefix="0" xfId="50">
      <alignment horizontal="right" vertical="center"/>
    </xf>
    <xf numFmtId="167" fontId="19" fillId="0" borderId="4" applyAlignment="1" pivotButton="0" quotePrefix="0" xfId="50">
      <alignment horizontal="right" vertical="center"/>
    </xf>
    <xf numFmtId="167" fontId="19" fillId="4" borderId="0" applyAlignment="1" pivotButton="0" quotePrefix="0" xfId="50">
      <alignment horizontal="right" vertical="center"/>
    </xf>
    <xf numFmtId="167" fontId="19" fillId="4" borderId="0" applyAlignment="1" pivotButton="0" quotePrefix="0" xfId="50">
      <alignment horizontal="right" vertical="center"/>
    </xf>
    <xf numFmtId="167" fontId="19" fillId="0" borderId="58" applyAlignment="1" pivotButton="0" quotePrefix="0" xfId="50">
      <alignment horizontal="right" vertical="center"/>
    </xf>
    <xf numFmtId="167" fontId="19" fillId="4" borderId="0" applyAlignment="1" pivotButton="0" quotePrefix="0" xfId="50">
      <alignment horizontal="left" vertical="top" wrapText="1"/>
    </xf>
    <xf numFmtId="0" fontId="31" fillId="8" borderId="12" applyAlignment="1" pivotButton="0" quotePrefix="0" xfId="50">
      <alignment horizontal="center" vertical="center"/>
    </xf>
    <xf numFmtId="0" fontId="31" fillId="8" borderId="10" applyAlignment="1" pivotButton="0" quotePrefix="0" xfId="50">
      <alignment horizontal="center" vertical="center"/>
    </xf>
    <xf numFmtId="0" fontId="19" fillId="4" borderId="0" applyAlignment="1" pivotButton="0" quotePrefix="0" xfId="50">
      <alignment horizontal="left" vertical="center" indent="2"/>
    </xf>
    <xf numFmtId="0" fontId="19" fillId="4" borderId="13" applyAlignment="1" pivotButton="0" quotePrefix="0" xfId="50">
      <alignment horizontal="left" vertical="center" indent="2"/>
    </xf>
    <xf numFmtId="167" fontId="19" fillId="4" borderId="13" applyAlignment="1" pivotButton="0" quotePrefix="0" xfId="50">
      <alignment horizontal="right" vertical="center"/>
    </xf>
    <xf numFmtId="167" fontId="19" fillId="4" borderId="24" applyAlignment="1" pivotButton="0" quotePrefix="0" xfId="50">
      <alignment horizontal="right" vertical="center"/>
    </xf>
    <xf numFmtId="167" fontId="19" fillId="4" borderId="25" applyAlignment="1" pivotButton="0" quotePrefix="0" xfId="50">
      <alignment horizontal="right" vertical="center"/>
    </xf>
    <xf numFmtId="167" fontId="19" fillId="4" borderId="59" applyAlignment="1" pivotButton="0" quotePrefix="0" xfId="50">
      <alignment horizontal="right" vertical="center"/>
    </xf>
    <xf numFmtId="168" fontId="25" fillId="4" borderId="13" applyAlignment="1" pivotButton="0" quotePrefix="0" xfId="50">
      <alignment horizontal="right" vertical="center"/>
    </xf>
    <xf numFmtId="167" fontId="19" fillId="4" borderId="13" applyAlignment="1" pivotButton="0" quotePrefix="0" xfId="50">
      <alignment horizontal="left" vertical="top" wrapText="1"/>
    </xf>
    <xf numFmtId="0" fontId="19" fillId="4" borderId="13" applyAlignment="1" pivotButton="0" quotePrefix="0" xfId="50">
      <alignment horizontal="left" vertical="center"/>
    </xf>
    <xf numFmtId="0" fontId="31" fillId="4" borderId="17" applyAlignment="1" pivotButton="0" quotePrefix="0" xfId="50">
      <alignment horizontal="center" vertical="center"/>
    </xf>
    <xf numFmtId="167" fontId="19" fillId="4" borderId="13" applyAlignment="1" pivotButton="0" quotePrefix="0" xfId="50">
      <alignment horizontal="right" vertical="center"/>
    </xf>
    <xf numFmtId="167" fontId="19" fillId="4" borderId="59" applyAlignment="1" pivotButton="0" quotePrefix="0" xfId="50">
      <alignment horizontal="right" vertical="center"/>
    </xf>
    <xf numFmtId="167" fontId="19" fillId="4" borderId="13" applyAlignment="1" pivotButton="0" quotePrefix="0" xfId="50">
      <alignment horizontal="left" vertical="top" wrapText="1"/>
    </xf>
    <xf numFmtId="0" fontId="26" fillId="4" borderId="0" applyAlignment="1" pivotButton="0" quotePrefix="0" xfId="50">
      <alignment horizontal="general" vertical="bottom"/>
    </xf>
    <xf numFmtId="167" fontId="19" fillId="4" borderId="24" applyAlignment="1" pivotButton="0" quotePrefix="0" xfId="50">
      <alignment horizontal="right" vertical="center"/>
    </xf>
    <xf numFmtId="167" fontId="19" fillId="4" borderId="25" applyAlignment="1" pivotButton="0" quotePrefix="0" xfId="50">
      <alignment horizontal="right" vertical="center"/>
    </xf>
    <xf numFmtId="167" fontId="19" fillId="0" borderId="59" applyAlignment="1" pivotButton="0" quotePrefix="0" xfId="50">
      <alignment horizontal="right" vertical="center"/>
    </xf>
    <xf numFmtId="167" fontId="19" fillId="0" borderId="13" applyAlignment="1" pivotButton="0" quotePrefix="0" xfId="50">
      <alignment horizontal="right" vertical="center"/>
    </xf>
    <xf numFmtId="168" fontId="25" fillId="0" borderId="13" applyAlignment="1" pivotButton="0" quotePrefix="0" xfId="50">
      <alignment horizontal="right" vertical="center"/>
    </xf>
    <xf numFmtId="0" fontId="7" fillId="0" borderId="0" applyAlignment="1" pivotButton="0" quotePrefix="0" xfId="57">
      <alignment horizontal="left" vertical="bottom" indent="2"/>
    </xf>
    <xf numFmtId="0" fontId="7" fillId="4" borderId="13" applyAlignment="1" pivotButton="0" quotePrefix="0" xfId="57">
      <alignment horizontal="left" vertical="bottom" indent="2"/>
    </xf>
    <xf numFmtId="0" fontId="31" fillId="8" borderId="0" applyAlignment="1" pivotButton="0" quotePrefix="0" xfId="50">
      <alignment horizontal="center" vertical="center"/>
    </xf>
    <xf numFmtId="0" fontId="31" fillId="4" borderId="13" applyAlignment="1" pivotButton="0" quotePrefix="0" xfId="50">
      <alignment horizontal="center" vertical="center"/>
    </xf>
    <xf numFmtId="0" fontId="25" fillId="7" borderId="3" applyAlignment="1" pivotButton="0" quotePrefix="0" xfId="50">
      <alignment horizontal="left" vertical="center"/>
    </xf>
    <xf numFmtId="168" fontId="25" fillId="7" borderId="3" applyAlignment="1" pivotButton="0" quotePrefix="0" xfId="50">
      <alignment horizontal="right" vertical="center"/>
    </xf>
    <xf numFmtId="168" fontId="25" fillId="7" borderId="28" applyAlignment="1" pivotButton="0" quotePrefix="0" xfId="50">
      <alignment horizontal="right" vertical="center"/>
    </xf>
    <xf numFmtId="168" fontId="25" fillId="7" borderId="30" applyAlignment="1" pivotButton="0" quotePrefix="0" xfId="50">
      <alignment horizontal="right" vertical="center"/>
    </xf>
    <xf numFmtId="168" fontId="25" fillId="7" borderId="71" applyAlignment="1" pivotButton="0" quotePrefix="0" xfId="50">
      <alignment horizontal="right" vertical="center"/>
    </xf>
    <xf numFmtId="168" fontId="25" fillId="7" borderId="3" applyAlignment="1" pivotButton="0" quotePrefix="0" xfId="50">
      <alignment horizontal="left" vertical="top" wrapText="1"/>
    </xf>
    <xf numFmtId="0" fontId="7" fillId="0" borderId="0" applyAlignment="1" pivotButton="0" quotePrefix="0" xfId="57">
      <alignment horizontal="left" vertical="top" wrapText="1"/>
    </xf>
    <xf numFmtId="0" fontId="22" fillId="0" borderId="2" applyAlignment="1" pivotButton="0" quotePrefix="0" xfId="57">
      <alignment horizontal="general" vertical="bottom"/>
    </xf>
    <xf numFmtId="49" fontId="47" fillId="4" borderId="2" applyAlignment="1" applyProtection="1" pivotButton="0" quotePrefix="0" xfId="50">
      <alignment horizontal="left" vertical="center"/>
      <protection locked="0" hidden="0"/>
    </xf>
    <xf numFmtId="167" fontId="47" fillId="4" borderId="2" applyAlignment="1" applyProtection="1" pivotButton="0" quotePrefix="0" xfId="50">
      <alignment horizontal="right" vertical="center"/>
      <protection locked="0" hidden="0"/>
    </xf>
    <xf numFmtId="167" fontId="25" fillId="4" borderId="2" applyAlignment="1" applyProtection="1" pivotButton="0" quotePrefix="0" xfId="50">
      <alignment horizontal="right" vertical="center"/>
      <protection locked="0" hidden="0"/>
    </xf>
    <xf numFmtId="167" fontId="47" fillId="4" borderId="0" applyAlignment="1" applyProtection="1" pivotButton="0" quotePrefix="0" xfId="50">
      <alignment horizontal="right" vertical="center"/>
      <protection locked="0" hidden="0"/>
    </xf>
    <xf numFmtId="167" fontId="47" fillId="4" borderId="0" applyAlignment="1" applyProtection="1" pivotButton="0" quotePrefix="0" xfId="50">
      <alignment horizontal="right" vertical="center"/>
      <protection locked="0" hidden="0"/>
    </xf>
    <xf numFmtId="171" fontId="35" fillId="0" borderId="0" applyAlignment="1" pivotButton="0" quotePrefix="0" xfId="50">
      <alignment horizontal="general" vertical="bottom"/>
    </xf>
    <xf numFmtId="167" fontId="25" fillId="4" borderId="2" applyAlignment="1" applyProtection="1" pivotButton="0" quotePrefix="0" xfId="50">
      <alignment horizontal="left" vertical="top" wrapText="1"/>
      <protection locked="0" hidden="0"/>
    </xf>
    <xf numFmtId="0" fontId="22" fillId="0" borderId="0" applyAlignment="1" pivotButton="0" quotePrefix="0" xfId="57">
      <alignment horizontal="general" vertical="bottom"/>
    </xf>
    <xf numFmtId="49" fontId="47" fillId="4" borderId="0" applyAlignment="1" applyProtection="1" pivotButton="0" quotePrefix="0" xfId="50">
      <alignment horizontal="left" vertical="center"/>
      <protection locked="0" hidden="0"/>
    </xf>
    <xf numFmtId="167" fontId="25" fillId="4" borderId="0" applyAlignment="1" applyProtection="1" pivotButton="0" quotePrefix="0" xfId="50">
      <alignment horizontal="right" vertical="center"/>
      <protection locked="0" hidden="0"/>
    </xf>
    <xf numFmtId="167" fontId="25" fillId="4" borderId="0" applyAlignment="1" applyProtection="1" pivotButton="0" quotePrefix="0" xfId="50">
      <alignment horizontal="left" vertical="top" wrapText="1"/>
      <protection locked="0" hidden="0"/>
    </xf>
    <xf numFmtId="0" fontId="22" fillId="0" borderId="13" applyAlignment="1" pivotButton="0" quotePrefix="0" xfId="57">
      <alignment horizontal="general" vertical="bottom"/>
    </xf>
    <xf numFmtId="167" fontId="22" fillId="0" borderId="13" applyAlignment="1" pivotButton="0" quotePrefix="0" xfId="57">
      <alignment horizontal="general" vertical="bottom"/>
    </xf>
    <xf numFmtId="167" fontId="22" fillId="0" borderId="13" applyAlignment="1" pivotButton="0" quotePrefix="0" xfId="57">
      <alignment horizontal="left" vertical="bottom" wrapText="1"/>
    </xf>
    <xf numFmtId="0" fontId="31" fillId="8" borderId="21" applyAlignment="1" pivotButton="0" quotePrefix="0" xfId="50">
      <alignment horizontal="center" vertical="bottom"/>
    </xf>
    <xf numFmtId="196" fontId="31" fillId="8" borderId="5" applyAlignment="1" pivotButton="0" quotePrefix="0" xfId="50">
      <alignment horizontal="right" vertical="bottom"/>
    </xf>
    <xf numFmtId="196" fontId="31" fillId="8" borderId="6" applyAlignment="1" pivotButton="0" quotePrefix="0" xfId="50">
      <alignment horizontal="right" vertical="bottom"/>
    </xf>
    <xf numFmtId="0" fontId="7" fillId="0" borderId="0" applyAlignment="1" pivotButton="0" quotePrefix="0" xfId="57">
      <alignment horizontal="left" vertical="bottom" indent="1"/>
    </xf>
    <xf numFmtId="0" fontId="31" fillId="6" borderId="0" applyAlignment="1" pivotButton="0" quotePrefix="0" xfId="57">
      <alignment horizontal="center" vertical="center"/>
    </xf>
    <xf numFmtId="0" fontId="7" fillId="0" borderId="0" applyAlignment="1" pivotButton="0" quotePrefix="0" xfId="57">
      <alignment horizontal="right" vertical="bottom"/>
    </xf>
    <xf numFmtId="0" fontId="7" fillId="0" borderId="23" applyAlignment="1" pivotButton="0" quotePrefix="0" xfId="57">
      <alignment horizontal="right" vertical="bottom"/>
    </xf>
    <xf numFmtId="0" fontId="7" fillId="0" borderId="0" applyAlignment="1" pivotButton="0" quotePrefix="0" xfId="57">
      <alignment horizontal="right" vertical="bottom"/>
    </xf>
    <xf numFmtId="0" fontId="7" fillId="0" borderId="4" applyAlignment="1" pivotButton="0" quotePrefix="0" xfId="57">
      <alignment horizontal="right" vertical="bottom"/>
    </xf>
    <xf numFmtId="0" fontId="7" fillId="4" borderId="3" applyAlignment="1" pivotButton="0" quotePrefix="0" xfId="57">
      <alignment horizontal="general" vertical="bottom"/>
    </xf>
    <xf numFmtId="0" fontId="7" fillId="4" borderId="28" applyAlignment="1" pivotButton="0" quotePrefix="0" xfId="57">
      <alignment horizontal="general" vertical="bottom"/>
    </xf>
    <xf numFmtId="0" fontId="7" fillId="4" borderId="30" applyAlignment="1" pivotButton="0" quotePrefix="0" xfId="57">
      <alignment horizontal="general" vertical="bottom"/>
    </xf>
    <xf numFmtId="0" fontId="7" fillId="4" borderId="0" applyAlignment="1" pivotButton="0" quotePrefix="0" xfId="57">
      <alignment horizontal="general" vertical="bottom"/>
    </xf>
    <xf numFmtId="0" fontId="7" fillId="4" borderId="3" applyAlignment="1" pivotButton="0" quotePrefix="0" xfId="57">
      <alignment horizontal="left" vertical="bottom" wrapText="1"/>
    </xf>
    <xf numFmtId="49" fontId="23" fillId="4" borderId="2" applyAlignment="1" applyProtection="1" pivotButton="0" quotePrefix="0" xfId="50">
      <alignment horizontal="left" vertical="center"/>
      <protection locked="0" hidden="0"/>
    </xf>
    <xf numFmtId="0" fontId="7" fillId="0" borderId="2" applyAlignment="1" pivotButton="0" quotePrefix="0" xfId="57">
      <alignment horizontal="general" vertical="bottom"/>
    </xf>
    <xf numFmtId="0" fontId="7" fillId="0" borderId="26" applyAlignment="1" pivotButton="0" quotePrefix="0" xfId="57">
      <alignment horizontal="general" vertical="bottom"/>
    </xf>
    <xf numFmtId="49" fontId="19" fillId="4" borderId="0" applyAlignment="1" applyProtection="1" pivotButton="0" quotePrefix="0" xfId="50">
      <alignment horizontal="left" vertical="center"/>
      <protection locked="0" hidden="0"/>
    </xf>
    <xf numFmtId="189" fontId="7" fillId="0" borderId="0" applyAlignment="1" pivotButton="0" quotePrefix="0" xfId="57">
      <alignment horizontal="general" vertical="bottom"/>
    </xf>
    <xf numFmtId="189" fontId="7" fillId="0" borderId="23" applyAlignment="1" pivotButton="0" quotePrefix="0" xfId="57">
      <alignment horizontal="general" vertical="bottom"/>
    </xf>
    <xf numFmtId="189" fontId="7" fillId="0" borderId="0" applyAlignment="1" pivotButton="0" quotePrefix="0" xfId="57">
      <alignment horizontal="general" vertical="bottom"/>
    </xf>
    <xf numFmtId="49" fontId="19" fillId="0" borderId="0" applyAlignment="1" applyProtection="1" pivotButton="0" quotePrefix="0" xfId="50">
      <alignment horizontal="left" vertical="center"/>
      <protection locked="0" hidden="0"/>
    </xf>
    <xf numFmtId="49" fontId="19" fillId="0" borderId="0" applyAlignment="1" applyProtection="1" pivotButton="0" quotePrefix="0" xfId="50">
      <alignment horizontal="left" vertical="center" indent="1"/>
      <protection locked="0" hidden="0"/>
    </xf>
    <xf numFmtId="49" fontId="19" fillId="4" borderId="13" applyAlignment="1" applyProtection="1" pivotButton="0" quotePrefix="0" xfId="50">
      <alignment horizontal="left" vertical="center" indent="1"/>
      <protection locked="0" hidden="0"/>
    </xf>
    <xf numFmtId="189" fontId="7" fillId="4" borderId="13" applyAlignment="1" pivotButton="0" quotePrefix="0" xfId="57">
      <alignment horizontal="general" vertical="bottom"/>
    </xf>
    <xf numFmtId="189" fontId="7" fillId="4" borderId="24" applyAlignment="1" pivotButton="0" quotePrefix="0" xfId="57">
      <alignment horizontal="general" vertical="bottom"/>
    </xf>
    <xf numFmtId="49" fontId="19" fillId="0" borderId="13" applyAlignment="1" applyProtection="1" pivotButton="0" quotePrefix="0" xfId="50">
      <alignment horizontal="left" vertical="center"/>
      <protection locked="0" hidden="0"/>
    </xf>
    <xf numFmtId="189" fontId="7" fillId="0" borderId="13" applyAlignment="1" pivotButton="0" quotePrefix="0" xfId="57">
      <alignment horizontal="general" vertical="bottom"/>
    </xf>
    <xf numFmtId="189" fontId="7" fillId="0" borderId="24" applyAlignment="1" pivotButton="0" quotePrefix="0" xfId="57">
      <alignment horizontal="general" vertical="bottom"/>
    </xf>
    <xf numFmtId="167" fontId="19" fillId="16" borderId="0" applyAlignment="1" applyProtection="1" pivotButton="0" quotePrefix="0" xfId="50">
      <alignment horizontal="right" vertical="center"/>
      <protection locked="0" hidden="0"/>
    </xf>
    <xf numFmtId="189" fontId="19" fillId="4" borderId="0" applyAlignment="1" applyProtection="1" pivotButton="0" quotePrefix="0" xfId="50">
      <alignment horizontal="right" vertical="center"/>
      <protection locked="0" hidden="0"/>
    </xf>
    <xf numFmtId="189" fontId="7" fillId="0" borderId="0" applyAlignment="1" pivotButton="0" quotePrefix="0" xfId="57">
      <alignment horizontal="general" vertical="bottom"/>
    </xf>
    <xf numFmtId="189" fontId="7" fillId="0" borderId="23" applyAlignment="1" pivotButton="0" quotePrefix="0" xfId="57">
      <alignment horizontal="general" vertical="bottom"/>
    </xf>
    <xf numFmtId="189" fontId="7" fillId="0" borderId="0" applyAlignment="1" pivotButton="0" quotePrefix="0" xfId="57">
      <alignment horizontal="general" vertical="bottom"/>
    </xf>
    <xf numFmtId="167" fontId="19" fillId="16" borderId="13" applyAlignment="1" applyProtection="1" pivotButton="0" quotePrefix="0" xfId="50">
      <alignment horizontal="right" vertical="center"/>
      <protection locked="0" hidden="0"/>
    </xf>
    <xf numFmtId="49" fontId="34" fillId="7" borderId="2" applyAlignment="1" applyProtection="1" pivotButton="0" quotePrefix="0" xfId="50">
      <alignment horizontal="left" vertical="center"/>
      <protection locked="0" hidden="0"/>
    </xf>
    <xf numFmtId="167" fontId="34" fillId="7" borderId="2" applyAlignment="1" applyProtection="1" pivotButton="0" quotePrefix="0" xfId="50">
      <alignment horizontal="right" vertical="center"/>
      <protection locked="0" hidden="0"/>
    </xf>
    <xf numFmtId="189" fontId="34" fillId="7" borderId="2" applyAlignment="1" applyProtection="1" pivotButton="0" quotePrefix="0" xfId="50">
      <alignment horizontal="right" vertical="center"/>
      <protection locked="0" hidden="0"/>
    </xf>
    <xf numFmtId="189" fontId="37" fillId="7" borderId="0" applyAlignment="1" pivotButton="0" quotePrefix="0" xfId="57">
      <alignment horizontal="general" vertical="bottom"/>
    </xf>
    <xf numFmtId="189" fontId="37" fillId="7" borderId="23" applyAlignment="1" pivotButton="0" quotePrefix="0" xfId="57">
      <alignment horizontal="general" vertical="bottom"/>
    </xf>
    <xf numFmtId="189" fontId="37" fillId="7" borderId="3" applyAlignment="1" pivotButton="0" quotePrefix="0" xfId="57">
      <alignment horizontal="general" vertical="bottom"/>
    </xf>
    <xf numFmtId="189" fontId="37" fillId="7" borderId="28" applyAlignment="1" pivotButton="0" quotePrefix="0" xfId="57">
      <alignment horizontal="general" vertical="bottom"/>
    </xf>
    <xf numFmtId="0" fontId="7" fillId="4" borderId="33" applyAlignment="1" pivotButton="0" quotePrefix="0" xfId="57">
      <alignment horizontal="general" vertical="bottom"/>
    </xf>
    <xf numFmtId="0" fontId="7" fillId="0" borderId="0" applyAlignment="1" pivotButton="0" quotePrefix="0" xfId="57">
      <alignment horizontal="left" vertical="bottom" wrapText="1"/>
    </xf>
    <xf numFmtId="196" fontId="21" fillId="5" borderId="0" applyAlignment="1" pivotButton="0" quotePrefix="0" xfId="0">
      <alignment horizontal="right" vertical="bottom"/>
    </xf>
    <xf numFmtId="196" fontId="21" fillId="5" borderId="20" applyAlignment="1" pivotButton="0" quotePrefix="0" xfId="0">
      <alignment horizontal="right" vertical="bottom"/>
    </xf>
    <xf numFmtId="196" fontId="21" fillId="5" borderId="0" applyAlignment="1" pivotButton="0" quotePrefix="0" xfId="0">
      <alignment horizontal="right" vertical="bottom"/>
    </xf>
    <xf numFmtId="196" fontId="21" fillId="5" borderId="6" applyAlignment="1" pivotButton="0" quotePrefix="0" xfId="0">
      <alignment horizontal="right" vertical="bottom"/>
    </xf>
    <xf numFmtId="166" fontId="21" fillId="8" borderId="7" applyAlignment="1" pivotButton="0" quotePrefix="0" xfId="0">
      <alignment horizontal="right" vertical="bottom" wrapText="1"/>
    </xf>
    <xf numFmtId="0" fontId="64" fillId="0" borderId="0" applyAlignment="1" pivotButton="0" quotePrefix="0" xfId="0">
      <alignment horizontal="general" vertical="bottom"/>
    </xf>
    <xf numFmtId="0" fontId="5" fillId="4" borderId="56" applyAlignment="1" pivotButton="0" quotePrefix="0" xfId="0">
      <alignment horizontal="left" vertical="bottom" indent="1"/>
    </xf>
    <xf numFmtId="0" fontId="5" fillId="4" borderId="56" applyAlignment="1" pivotButton="0" quotePrefix="0" xfId="0">
      <alignment horizontal="general" vertical="bottom"/>
    </xf>
    <xf numFmtId="167" fontId="5" fillId="4" borderId="56" applyAlignment="1" pivotButton="0" quotePrefix="0" xfId="0">
      <alignment horizontal="right" vertical="bottom"/>
    </xf>
    <xf numFmtId="167" fontId="5" fillId="4" borderId="74" applyAlignment="1" pivotButton="0" quotePrefix="0" xfId="0">
      <alignment horizontal="right" vertical="bottom"/>
    </xf>
    <xf numFmtId="167" fontId="5" fillId="4" borderId="57" applyAlignment="1" pivotButton="0" quotePrefix="0" xfId="0">
      <alignment horizontal="right" vertical="bottom"/>
    </xf>
    <xf numFmtId="196" fontId="21" fillId="5" borderId="5" applyAlignment="1" pivotButton="0" quotePrefix="0" xfId="0">
      <alignment horizontal="right" vertical="bottom"/>
    </xf>
    <xf numFmtId="167" fontId="38" fillId="0" borderId="0" applyAlignment="1" pivotButton="0" quotePrefix="0" xfId="0">
      <alignment horizontal="right" vertical="bottom"/>
    </xf>
    <xf numFmtId="0" fontId="34" fillId="7" borderId="0" applyAlignment="1" pivotButton="0" quotePrefix="0" xfId="0">
      <alignment horizontal="left" vertical="center"/>
    </xf>
    <xf numFmtId="0" fontId="34" fillId="7" borderId="0" applyAlignment="1" pivotButton="0" quotePrefix="0" xfId="0">
      <alignment horizontal="general" vertical="center"/>
    </xf>
    <xf numFmtId="167" fontId="34" fillId="7" borderId="0" applyAlignment="1" pivotButton="0" quotePrefix="0" xfId="0">
      <alignment horizontal="right" vertical="center"/>
    </xf>
    <xf numFmtId="0" fontId="25" fillId="7" borderId="0" applyAlignment="1" pivotButton="0" quotePrefix="0" xfId="0">
      <alignment horizontal="left" vertical="center"/>
    </xf>
    <xf numFmtId="0" fontId="25" fillId="7" borderId="0" applyAlignment="1" pivotButton="0" quotePrefix="0" xfId="0">
      <alignment horizontal="general" vertical="center"/>
    </xf>
    <xf numFmtId="167" fontId="25" fillId="7" borderId="0" applyAlignment="1" pivotButton="0" quotePrefix="0" xfId="0">
      <alignment horizontal="right" vertical="center"/>
    </xf>
    <xf numFmtId="167" fontId="38" fillId="0" borderId="36" applyAlignment="1" pivotButton="0" quotePrefix="0" xfId="0">
      <alignment horizontal="general" vertical="bottom"/>
    </xf>
    <xf numFmtId="167" fontId="5" fillId="7" borderId="23" applyAlignment="1" pivotButton="0" quotePrefix="0" xfId="0">
      <alignment horizontal="right" vertical="bottom"/>
    </xf>
    <xf numFmtId="170" fontId="5" fillId="0" borderId="0" applyAlignment="1" pivotButton="0" quotePrefix="0" xfId="0">
      <alignment horizontal="left" vertical="bottom" indent="4"/>
    </xf>
    <xf numFmtId="170" fontId="5" fillId="0" borderId="13" applyAlignment="1" pivotButton="0" quotePrefix="0" xfId="0">
      <alignment horizontal="left" vertical="bottom" indent="4"/>
    </xf>
    <xf numFmtId="167" fontId="5" fillId="7" borderId="24" applyAlignment="1" pivotButton="0" quotePrefix="0" xfId="0">
      <alignment horizontal="right" vertical="bottom"/>
    </xf>
    <xf numFmtId="167" fontId="5" fillId="14" borderId="0" applyAlignment="1" pivotButton="0" quotePrefix="0" xfId="0">
      <alignment horizontal="right" vertical="bottom"/>
    </xf>
    <xf numFmtId="167" fontId="5" fillId="14" borderId="23" applyAlignment="1" pivotButton="0" quotePrefix="0" xfId="0">
      <alignment horizontal="right" vertical="bottom"/>
    </xf>
    <xf numFmtId="167" fontId="5" fillId="14" borderId="4" applyAlignment="1" pivotButton="0" quotePrefix="0" xfId="0">
      <alignment horizontal="right" vertical="bottom"/>
    </xf>
    <xf numFmtId="167" fontId="5" fillId="0" borderId="2" applyAlignment="1" pivotButton="0" quotePrefix="0" xfId="0">
      <alignment horizontal="right" vertical="bottom"/>
    </xf>
    <xf numFmtId="167" fontId="5" fillId="0" borderId="26" applyAlignment="1" pivotButton="0" quotePrefix="0" xfId="0">
      <alignment horizontal="right" vertical="bottom"/>
    </xf>
    <xf numFmtId="167" fontId="5" fillId="0" borderId="27" applyAlignment="1" pivotButton="0" quotePrefix="0" xfId="0">
      <alignment horizontal="right" vertical="bottom"/>
    </xf>
    <xf numFmtId="0" fontId="5" fillId="7" borderId="0" applyAlignment="1" pivotButton="0" quotePrefix="0" xfId="0">
      <alignment horizontal="general" vertical="bottom"/>
    </xf>
    <xf numFmtId="0" fontId="5" fillId="7" borderId="23" applyAlignment="1" pivotButton="0" quotePrefix="0" xfId="0">
      <alignment horizontal="general" vertical="bottom"/>
    </xf>
    <xf numFmtId="0" fontId="5" fillId="7" borderId="13" applyAlignment="1" pivotButton="0" quotePrefix="0" xfId="0">
      <alignment horizontal="general" vertical="bottom"/>
    </xf>
    <xf numFmtId="0" fontId="5" fillId="7" borderId="24" applyAlignment="1" pivotButton="0" quotePrefix="0" xfId="0">
      <alignment horizontal="general" vertical="bottom"/>
    </xf>
    <xf numFmtId="0" fontId="23" fillId="4" borderId="0" applyAlignment="1" pivotButton="0" quotePrefix="0" xfId="0">
      <alignment horizontal="general" vertical="bottom"/>
    </xf>
    <xf numFmtId="170" fontId="5" fillId="0" borderId="0" applyAlignment="1" pivotButton="0" quotePrefix="0" xfId="0">
      <alignment horizontal="general" vertical="bottom"/>
    </xf>
    <xf numFmtId="0" fontId="5" fillId="0" borderId="13" applyAlignment="1" pivotButton="0" quotePrefix="0" xfId="0">
      <alignment horizontal="left" vertical="bottom" indent="2"/>
    </xf>
    <xf numFmtId="0" fontId="5" fillId="0" borderId="13" applyAlignment="1" pivotButton="0" quotePrefix="0" xfId="0">
      <alignment horizontal="general" vertical="bottom"/>
    </xf>
    <xf numFmtId="167" fontId="5" fillId="7" borderId="59" applyAlignment="1" pivotButton="0" quotePrefix="0" xfId="0">
      <alignment horizontal="right" vertical="bottom"/>
    </xf>
    <xf numFmtId="170" fontId="19" fillId="4" borderId="0" applyAlignment="1" pivotButton="0" quotePrefix="0" xfId="0">
      <alignment horizontal="left" vertical="bottom" indent="1"/>
    </xf>
    <xf numFmtId="173" fontId="19" fillId="7" borderId="0" applyAlignment="1" pivotButton="0" quotePrefix="0" xfId="0">
      <alignment horizontal="general" vertical="bottom"/>
    </xf>
    <xf numFmtId="173" fontId="19" fillId="7" borderId="4" applyAlignment="1" pivotButton="0" quotePrefix="0" xfId="0">
      <alignment horizontal="general" vertical="bottom"/>
    </xf>
    <xf numFmtId="173" fontId="19" fillId="7" borderId="13" applyAlignment="1" pivotButton="0" quotePrefix="0" xfId="0">
      <alignment horizontal="general" vertical="bottom"/>
    </xf>
    <xf numFmtId="173" fontId="19" fillId="7" borderId="25" applyAlignment="1" pivotButton="0" quotePrefix="0" xfId="0">
      <alignment horizontal="general" vertical="bottom"/>
    </xf>
    <xf numFmtId="170" fontId="19" fillId="4" borderId="0" applyAlignment="1" pivotButton="0" quotePrefix="0" xfId="0">
      <alignment horizontal="left" vertical="bottom"/>
    </xf>
    <xf numFmtId="0" fontId="5" fillId="0" borderId="3" applyAlignment="1" pivotButton="0" quotePrefix="0" xfId="0">
      <alignment horizontal="left" vertical="bottom" indent="1"/>
    </xf>
    <xf numFmtId="0" fontId="5" fillId="7" borderId="3" applyAlignment="1" pivotButton="0" quotePrefix="0" xfId="0">
      <alignment horizontal="general" vertical="bottom"/>
    </xf>
    <xf numFmtId="0" fontId="31" fillId="6" borderId="12" applyAlignment="1" pivotButton="0" quotePrefix="0" xfId="0">
      <alignment horizontal="center" vertical="center"/>
    </xf>
    <xf numFmtId="167" fontId="5" fillId="14" borderId="13" applyAlignment="1" pivotButton="0" quotePrefix="0" xfId="0">
      <alignment horizontal="right" vertical="bottom"/>
    </xf>
    <xf numFmtId="167" fontId="5" fillId="14" borderId="24" applyAlignment="1" pivotButton="0" quotePrefix="0" xfId="0">
      <alignment horizontal="right" vertical="bottom"/>
    </xf>
    <xf numFmtId="167" fontId="5" fillId="14" borderId="25" applyAlignment="1" pivotButton="0" quotePrefix="0" xfId="0">
      <alignment horizontal="right" vertical="bottom"/>
    </xf>
    <xf numFmtId="0" fontId="31" fillId="6" borderId="15" applyAlignment="1" pivotButton="0" quotePrefix="0" xfId="0">
      <alignment horizontal="center" vertical="center"/>
    </xf>
    <xf numFmtId="0" fontId="31" fillId="6" borderId="17" applyAlignment="1" pivotButton="0" quotePrefix="0" xfId="0">
      <alignment horizontal="center" vertical="center"/>
    </xf>
    <xf numFmtId="173" fontId="19" fillId="14" borderId="0" applyAlignment="1" pivotButton="0" quotePrefix="0" xfId="0">
      <alignment horizontal="general" vertical="bottom"/>
    </xf>
    <xf numFmtId="173" fontId="19" fillId="14" borderId="23" applyAlignment="1" pivotButton="0" quotePrefix="0" xfId="0">
      <alignment horizontal="general" vertical="bottom"/>
    </xf>
    <xf numFmtId="173" fontId="19" fillId="14" borderId="0" applyAlignment="1" pivotButton="0" quotePrefix="0" xfId="0">
      <alignment horizontal="general" vertical="bottom"/>
    </xf>
    <xf numFmtId="173" fontId="19" fillId="14" borderId="4" applyAlignment="1" pivotButton="0" quotePrefix="0" xfId="0">
      <alignment horizontal="general" vertical="bottom"/>
    </xf>
    <xf numFmtId="0" fontId="34" fillId="7" borderId="0" applyAlignment="1" pivotButton="0" quotePrefix="0" xfId="0">
      <alignment horizontal="left" vertical="center"/>
    </xf>
    <xf numFmtId="173" fontId="34" fillId="7" borderId="0" applyAlignment="1" pivotButton="0" quotePrefix="0" xfId="0">
      <alignment horizontal="general" vertical="center"/>
    </xf>
    <xf numFmtId="173" fontId="34" fillId="7" borderId="0" applyAlignment="1" pivotButton="0" quotePrefix="0" xfId="0">
      <alignment horizontal="general" vertical="center"/>
    </xf>
    <xf numFmtId="0" fontId="34" fillId="7" borderId="22" applyAlignment="1" pivotButton="0" quotePrefix="0" xfId="0">
      <alignment horizontal="left" vertical="bottom"/>
    </xf>
    <xf numFmtId="173" fontId="34" fillId="7" borderId="22" applyAlignment="1" pivotButton="0" quotePrefix="0" xfId="0">
      <alignment horizontal="general" vertical="bottom"/>
    </xf>
    <xf numFmtId="173" fontId="34" fillId="7" borderId="34" applyAlignment="1" pivotButton="0" quotePrefix="0" xfId="0">
      <alignment horizontal="general" vertical="bottom"/>
    </xf>
    <xf numFmtId="173" fontId="34" fillId="7" borderId="35" applyAlignment="1" pivotButton="0" quotePrefix="0" xfId="0">
      <alignment horizontal="general" vertical="bottom"/>
    </xf>
    <xf numFmtId="168" fontId="35" fillId="4" borderId="0" applyAlignment="1" pivotButton="0" quotePrefix="0" xfId="50">
      <alignment horizontal="right" vertical="bottom"/>
    </xf>
    <xf numFmtId="0" fontId="31" fillId="5" borderId="0" applyAlignment="1" pivotButton="0" quotePrefix="0" xfId="50">
      <alignment horizontal="right" vertical="bottom"/>
    </xf>
    <xf numFmtId="0" fontId="31" fillId="8" borderId="19" applyAlignment="1" pivotButton="0" quotePrefix="0" xfId="50">
      <alignment horizontal="center" vertical="bottom"/>
    </xf>
    <xf numFmtId="0" fontId="31" fillId="5" borderId="13" applyAlignment="1" applyProtection="1" pivotButton="0" quotePrefix="0" xfId="50">
      <alignment horizontal="left" vertical="bottom"/>
      <protection locked="0" hidden="0"/>
    </xf>
    <xf numFmtId="196" fontId="31" fillId="5" borderId="13" applyAlignment="1" pivotButton="0" quotePrefix="0" xfId="50">
      <alignment horizontal="right" vertical="bottom"/>
    </xf>
    <xf numFmtId="196" fontId="31" fillId="5" borderId="76" applyAlignment="1" pivotButton="0" quotePrefix="0" xfId="50">
      <alignment horizontal="right" vertical="bottom"/>
    </xf>
    <xf numFmtId="196" fontId="31" fillId="5" borderId="77" applyAlignment="1" pivotButton="0" quotePrefix="0" xfId="50">
      <alignment horizontal="right" vertical="bottom"/>
    </xf>
    <xf numFmtId="196" fontId="31" fillId="8" borderId="78" applyAlignment="1" pivotButton="0" quotePrefix="0" xfId="50">
      <alignment horizontal="right" vertical="bottom"/>
    </xf>
    <xf numFmtId="196" fontId="31" fillId="8" borderId="79" applyAlignment="1" pivotButton="0" quotePrefix="0" xfId="50">
      <alignment horizontal="right" vertical="bottom"/>
    </xf>
    <xf numFmtId="196" fontId="31" fillId="8" borderId="80" applyAlignment="1" pivotButton="0" quotePrefix="0" xfId="50">
      <alignment horizontal="right" vertical="bottom"/>
    </xf>
    <xf numFmtId="196" fontId="31" fillId="8" borderId="79" applyAlignment="1" pivotButton="0" quotePrefix="0" xfId="50">
      <alignment horizontal="right" vertical="bottom" wrapText="1"/>
    </xf>
    <xf numFmtId="196" fontId="31" fillId="8" borderId="80" applyAlignment="1" pivotButton="0" quotePrefix="0" xfId="50">
      <alignment horizontal="right" vertical="bottom" wrapText="1"/>
    </xf>
    <xf numFmtId="167" fontId="34" fillId="4" borderId="0" applyAlignment="1" pivotButton="0" quotePrefix="0" xfId="50">
      <alignment horizontal="right" vertical="center"/>
    </xf>
    <xf numFmtId="167" fontId="34" fillId="4" borderId="23" applyAlignment="1" pivotButton="0" quotePrefix="0" xfId="50">
      <alignment horizontal="right" vertical="center"/>
    </xf>
    <xf numFmtId="167" fontId="34" fillId="4" borderId="2" applyAlignment="1" pivotButton="0" quotePrefix="0" xfId="50">
      <alignment horizontal="right" vertical="center"/>
    </xf>
    <xf numFmtId="167" fontId="34" fillId="4" borderId="27" applyAlignment="1" pivotButton="0" quotePrefix="0" xfId="50">
      <alignment horizontal="right" vertical="center"/>
    </xf>
    <xf numFmtId="167" fontId="34" fillId="0" borderId="0" applyAlignment="1" pivotButton="0" quotePrefix="0" xfId="50">
      <alignment horizontal="right" vertical="center"/>
    </xf>
    <xf numFmtId="167" fontId="34" fillId="0" borderId="4" applyAlignment="1" pivotButton="0" quotePrefix="0" xfId="50">
      <alignment horizontal="right" vertical="center"/>
    </xf>
    <xf numFmtId="167" fontId="7" fillId="0" borderId="0" applyAlignment="1" pivotButton="0" quotePrefix="0" xfId="50">
      <alignment horizontal="right" vertical="center"/>
    </xf>
    <xf numFmtId="167" fontId="7" fillId="4" borderId="23" applyAlignment="1" pivotButton="0" quotePrefix="0" xfId="50">
      <alignment horizontal="right" vertical="center"/>
    </xf>
    <xf numFmtId="167" fontId="7" fillId="4" borderId="4" applyAlignment="1" pivotButton="0" quotePrefix="0" xfId="50">
      <alignment horizontal="right" vertical="center"/>
    </xf>
    <xf numFmtId="167" fontId="19" fillId="0" borderId="4" applyAlignment="1" pivotButton="0" quotePrefix="0" xfId="50">
      <alignment horizontal="right" vertical="center"/>
    </xf>
    <xf numFmtId="168" fontId="22" fillId="0" borderId="0" applyAlignment="1" pivotButton="0" quotePrefix="0" xfId="57">
      <alignment horizontal="right" vertical="bottom"/>
    </xf>
    <xf numFmtId="0" fontId="7" fillId="4" borderId="13" applyAlignment="1" pivotButton="0" quotePrefix="0" xfId="50">
      <alignment horizontal="left" vertical="center" indent="1"/>
    </xf>
    <xf numFmtId="167" fontId="7" fillId="4" borderId="24" applyAlignment="1" pivotButton="0" quotePrefix="0" xfId="50">
      <alignment horizontal="right" vertical="center"/>
    </xf>
    <xf numFmtId="167" fontId="7" fillId="4" borderId="25" applyAlignment="1" pivotButton="0" quotePrefix="0" xfId="50">
      <alignment horizontal="right" vertical="center"/>
    </xf>
    <xf numFmtId="167" fontId="19" fillId="0" borderId="25" applyAlignment="1" pivotButton="0" quotePrefix="0" xfId="50">
      <alignment horizontal="right" vertical="center"/>
    </xf>
    <xf numFmtId="167" fontId="7" fillId="0" borderId="23" applyAlignment="1" pivotButton="0" quotePrefix="0" xfId="50">
      <alignment horizontal="right" vertical="center"/>
    </xf>
    <xf numFmtId="0" fontId="19" fillId="4" borderId="2" applyAlignment="1" pivotButton="0" quotePrefix="0" xfId="50">
      <alignment horizontal="left" vertical="center"/>
    </xf>
    <xf numFmtId="167" fontId="19" fillId="4" borderId="2" applyAlignment="1" pivotButton="0" quotePrefix="0" xfId="50">
      <alignment horizontal="right" vertical="center"/>
    </xf>
    <xf numFmtId="167" fontId="19" fillId="4" borderId="26" applyAlignment="1" pivotButton="0" quotePrefix="0" xfId="50">
      <alignment horizontal="right" vertical="center"/>
    </xf>
    <xf numFmtId="167" fontId="19" fillId="4" borderId="27" applyAlignment="1" pivotButton="0" quotePrefix="0" xfId="50">
      <alignment horizontal="right" vertical="center"/>
    </xf>
    <xf numFmtId="167" fontId="19" fillId="0" borderId="2" applyAlignment="1" pivotButton="0" quotePrefix="0" xfId="50">
      <alignment horizontal="right" vertical="center"/>
    </xf>
    <xf numFmtId="167" fontId="19" fillId="0" borderId="27" applyAlignment="1" pivotButton="0" quotePrefix="0" xfId="50">
      <alignment horizontal="right" vertical="center"/>
    </xf>
    <xf numFmtId="0" fontId="37" fillId="7" borderId="2" applyAlignment="1" pivotButton="0" quotePrefix="0" xfId="50">
      <alignment horizontal="left" vertical="center"/>
    </xf>
    <xf numFmtId="167" fontId="37" fillId="7" borderId="2" applyAlignment="1" pivotButton="0" quotePrefix="0" xfId="50">
      <alignment horizontal="right" vertical="center"/>
    </xf>
    <xf numFmtId="167" fontId="37" fillId="7" borderId="26" applyAlignment="1" pivotButton="0" quotePrefix="0" xfId="50">
      <alignment horizontal="right" vertical="center"/>
    </xf>
    <xf numFmtId="167" fontId="37" fillId="7" borderId="27" applyAlignment="1" pivotButton="0" quotePrefix="0" xfId="50">
      <alignment horizontal="right" vertical="center"/>
    </xf>
    <xf numFmtId="0" fontId="7" fillId="7" borderId="3" applyAlignment="1" pivotButton="0" quotePrefix="0" xfId="50">
      <alignment horizontal="left" vertical="center"/>
    </xf>
    <xf numFmtId="168" fontId="22" fillId="7" borderId="3" applyAlignment="1" pivotButton="0" quotePrefix="0" xfId="50">
      <alignment horizontal="right" vertical="center"/>
    </xf>
    <xf numFmtId="168" fontId="22" fillId="7" borderId="28" applyAlignment="1" pivotButton="0" quotePrefix="0" xfId="50">
      <alignment horizontal="right" vertical="center"/>
    </xf>
    <xf numFmtId="168" fontId="22" fillId="7" borderId="30" applyAlignment="1" pivotButton="0" quotePrefix="0" xfId="50">
      <alignment horizontal="right" vertical="center"/>
    </xf>
    <xf numFmtId="167" fontId="19" fillId="4" borderId="0" applyAlignment="1" applyProtection="1" pivotButton="0" quotePrefix="0" xfId="50">
      <alignment horizontal="right" vertical="center"/>
      <protection locked="0" hidden="0"/>
    </xf>
    <xf numFmtId="167" fontId="25" fillId="0" borderId="2" applyAlignment="1" pivotButton="0" quotePrefix="0" xfId="50">
      <alignment horizontal="left" vertical="bottom"/>
    </xf>
    <xf numFmtId="167" fontId="25" fillId="0" borderId="2" applyAlignment="1" pivotButton="0" quotePrefix="0" xfId="50">
      <alignment horizontal="right" vertical="bottom"/>
    </xf>
    <xf numFmtId="167" fontId="25" fillId="0" borderId="0" applyAlignment="1" pivotButton="0" quotePrefix="0" xfId="50">
      <alignment horizontal="right" vertical="bottom"/>
    </xf>
    <xf numFmtId="167" fontId="25" fillId="0" borderId="13" applyAlignment="1" pivotButton="0" quotePrefix="0" xfId="50">
      <alignment horizontal="left" vertical="bottom"/>
    </xf>
    <xf numFmtId="167" fontId="25" fillId="0" borderId="13" applyAlignment="1" pivotButton="0" quotePrefix="0" xfId="50">
      <alignment horizontal="right" vertical="bottom"/>
    </xf>
    <xf numFmtId="167" fontId="34" fillId="4" borderId="2" applyAlignment="1" applyProtection="1" pivotButton="0" quotePrefix="0" xfId="50">
      <alignment horizontal="right" vertical="center"/>
      <protection locked="0" hidden="0"/>
    </xf>
    <xf numFmtId="167" fontId="34" fillId="4" borderId="26" applyAlignment="1" applyProtection="1" pivotButton="0" quotePrefix="0" xfId="50">
      <alignment horizontal="right" vertical="center"/>
      <protection locked="0" hidden="0"/>
    </xf>
    <xf numFmtId="167" fontId="19" fillId="4" borderId="23" applyAlignment="1" applyProtection="1" pivotButton="0" quotePrefix="0" xfId="50">
      <alignment horizontal="right" vertical="center"/>
      <protection locked="0" hidden="0"/>
    </xf>
    <xf numFmtId="167" fontId="19" fillId="4" borderId="0" applyAlignment="1" applyProtection="1" pivotButton="0" quotePrefix="0" xfId="50">
      <alignment horizontal="right" vertical="center"/>
      <protection locked="0" hidden="0"/>
    </xf>
    <xf numFmtId="167" fontId="19" fillId="0" borderId="0" applyAlignment="1" applyProtection="1" pivotButton="0" quotePrefix="0" xfId="50">
      <alignment horizontal="right" vertical="center"/>
      <protection locked="0" hidden="0"/>
    </xf>
    <xf numFmtId="167" fontId="19" fillId="0" borderId="23" applyAlignment="1" applyProtection="1" pivotButton="0" quotePrefix="0" xfId="50">
      <alignment horizontal="right" vertical="center"/>
      <protection locked="0" hidden="0"/>
    </xf>
    <xf numFmtId="167" fontId="19" fillId="0" borderId="0" applyAlignment="1" applyProtection="1" pivotButton="0" quotePrefix="0" xfId="50">
      <alignment horizontal="right" vertical="center"/>
      <protection locked="0" hidden="0"/>
    </xf>
    <xf numFmtId="167" fontId="19" fillId="0" borderId="0" applyAlignment="1" applyProtection="1" pivotButton="0" quotePrefix="0" xfId="50">
      <alignment horizontal="left" vertical="center"/>
      <protection locked="0" hidden="0"/>
    </xf>
    <xf numFmtId="167" fontId="19" fillId="0" borderId="13" applyAlignment="1" applyProtection="1" pivotButton="0" quotePrefix="0" xfId="50">
      <alignment horizontal="right" vertical="center"/>
      <protection locked="0" hidden="0"/>
    </xf>
    <xf numFmtId="167" fontId="19" fillId="0" borderId="24" applyAlignment="1" applyProtection="1" pivotButton="0" quotePrefix="0" xfId="50">
      <alignment horizontal="right" vertical="center"/>
      <protection locked="0" hidden="0"/>
    </xf>
    <xf numFmtId="167" fontId="19" fillId="4" borderId="0" applyAlignment="1" applyProtection="1" pivotButton="0" quotePrefix="0" xfId="50">
      <alignment horizontal="left" vertical="center"/>
      <protection locked="0" hidden="0"/>
    </xf>
    <xf numFmtId="49" fontId="34" fillId="7" borderId="22" applyAlignment="1" applyProtection="1" pivotButton="0" quotePrefix="0" xfId="50">
      <alignment horizontal="left" vertical="center"/>
      <protection locked="0" hidden="0"/>
    </xf>
    <xf numFmtId="167" fontId="34" fillId="7" borderId="22" applyAlignment="1" applyProtection="1" pivotButton="0" quotePrefix="0" xfId="50">
      <alignment horizontal="right" vertical="center"/>
      <protection locked="0" hidden="0"/>
    </xf>
    <xf numFmtId="167" fontId="34" fillId="7" borderId="34" applyAlignment="1" applyProtection="1" pivotButton="0" quotePrefix="0" xfId="50">
      <alignment horizontal="right" vertical="center"/>
      <protection locked="0" hidden="0"/>
    </xf>
    <xf numFmtId="167" fontId="34" fillId="4" borderId="0" applyAlignment="1" applyProtection="1" pivotButton="0" quotePrefix="0" xfId="50">
      <alignment horizontal="right" vertical="center"/>
      <protection locked="0" hidden="0"/>
    </xf>
    <xf numFmtId="0" fontId="21" fillId="2" borderId="13" applyAlignment="1" pivotButton="0" quotePrefix="0" xfId="50">
      <alignment horizontal="general" vertical="center"/>
    </xf>
    <xf numFmtId="0" fontId="21" fillId="5" borderId="0" applyAlignment="1" pivotButton="0" quotePrefix="0" xfId="50">
      <alignment horizontal="left" vertical="center"/>
    </xf>
    <xf numFmtId="0" fontId="21" fillId="5" borderId="0" applyAlignment="1" pivotButton="0" quotePrefix="0" xfId="50">
      <alignment horizontal="right" vertical="center"/>
    </xf>
    <xf numFmtId="167" fontId="5" fillId="0" borderId="0" applyAlignment="1" pivotButton="0" quotePrefix="0" xfId="50">
      <alignment horizontal="general" vertical="bottom"/>
    </xf>
    <xf numFmtId="0" fontId="5" fillId="0" borderId="13" applyAlignment="1" pivotButton="0" quotePrefix="0" xfId="50">
      <alignment horizontal="general" vertical="bottom"/>
    </xf>
    <xf numFmtId="167" fontId="5" fillId="0" borderId="13" applyAlignment="1" pivotButton="0" quotePrefix="0" xfId="50">
      <alignment horizontal="general" vertical="bottom"/>
    </xf>
    <xf numFmtId="0" fontId="5" fillId="0" borderId="3" applyAlignment="1" pivotButton="0" quotePrefix="0" xfId="50">
      <alignment horizontal="general" vertical="bottom"/>
    </xf>
    <xf numFmtId="167" fontId="5" fillId="0" borderId="3" applyAlignment="1" pivotButton="0" quotePrefix="0" xfId="50">
      <alignment horizontal="general" vertical="bottom"/>
    </xf>
    <xf numFmtId="171" fontId="5" fillId="0" borderId="0" applyAlignment="1" pivotButton="0" quotePrefix="0" xfId="50">
      <alignment horizontal="general" vertical="bottom"/>
    </xf>
    <xf numFmtId="0" fontId="31" fillId="5" borderId="0" applyAlignment="1" pivotButton="0" quotePrefix="0" xfId="50">
      <alignment horizontal="left" vertical="bottom" wrapText="1"/>
    </xf>
    <xf numFmtId="0" fontId="31" fillId="5" borderId="0" applyAlignment="1" pivotButton="0" quotePrefix="0" xfId="50">
      <alignment horizontal="right" vertical="bottom" wrapText="1"/>
    </xf>
    <xf numFmtId="0" fontId="31" fillId="5" borderId="19" applyAlignment="1" pivotButton="0" quotePrefix="0" xfId="50">
      <alignment horizontal="right" vertical="bottom"/>
    </xf>
    <xf numFmtId="0" fontId="31" fillId="5" borderId="19" applyAlignment="1" pivotButton="0" quotePrefix="0" xfId="50">
      <alignment horizontal="right" vertical="bottom" wrapText="1"/>
    </xf>
    <xf numFmtId="0" fontId="31" fillId="5" borderId="21" applyAlignment="1" pivotButton="0" quotePrefix="0" xfId="50">
      <alignment horizontal="right" vertical="bottom" wrapText="1"/>
    </xf>
    <xf numFmtId="0" fontId="31" fillId="5" borderId="13" applyAlignment="1" pivotButton="0" quotePrefix="0" xfId="50">
      <alignment horizontal="left" vertical="bottom"/>
    </xf>
    <xf numFmtId="172" fontId="7" fillId="4" borderId="0" applyAlignment="1" pivotButton="0" quotePrefix="0" xfId="50">
      <alignment horizontal="left" vertical="center"/>
    </xf>
    <xf numFmtId="0" fontId="5" fillId="0" borderId="9" applyAlignment="1" pivotButton="0" quotePrefix="0" xfId="50">
      <alignment horizontal="general" vertical="bottom"/>
    </xf>
    <xf numFmtId="167" fontId="5" fillId="4" borderId="0" applyAlignment="1" pivotButton="0" quotePrefix="0" xfId="50">
      <alignment horizontal="right" vertical="bottom"/>
    </xf>
    <xf numFmtId="167" fontId="5" fillId="0" borderId="9" applyAlignment="1" pivotButton="0" quotePrefix="0" xfId="50">
      <alignment horizontal="right" vertical="bottom"/>
    </xf>
    <xf numFmtId="172" fontId="7" fillId="4" borderId="13" applyAlignment="1" pivotButton="0" quotePrefix="0" xfId="50">
      <alignment horizontal="left" vertical="center"/>
    </xf>
    <xf numFmtId="0" fontId="22" fillId="4" borderId="0" applyAlignment="1" pivotButton="0" quotePrefix="0" xfId="50">
      <alignment horizontal="left" vertical="center"/>
    </xf>
    <xf numFmtId="167" fontId="35" fillId="4" borderId="0" applyAlignment="1" pivotButton="0" quotePrefix="0" xfId="50">
      <alignment horizontal="right" vertical="bottom"/>
    </xf>
    <xf numFmtId="167" fontId="35" fillId="0" borderId="9" applyAlignment="1" pivotButton="0" quotePrefix="0" xfId="50">
      <alignment horizontal="right" vertical="bottom"/>
    </xf>
    <xf numFmtId="172" fontId="7" fillId="4" borderId="3" applyAlignment="1" pivotButton="0" quotePrefix="0" xfId="50">
      <alignment horizontal="left" vertical="center"/>
    </xf>
    <xf numFmtId="0" fontId="22" fillId="4" borderId="13" applyAlignment="1" pivotButton="0" quotePrefix="0" xfId="50">
      <alignment horizontal="left" vertical="center"/>
    </xf>
    <xf numFmtId="167" fontId="35" fillId="4" borderId="13" applyAlignment="1" pivotButton="0" quotePrefix="0" xfId="50">
      <alignment horizontal="right" vertical="bottom"/>
    </xf>
    <xf numFmtId="0" fontId="38" fillId="0" borderId="0" applyAlignment="1" pivotButton="0" quotePrefix="0" xfId="50">
      <alignment horizontal="general" vertical="bottom"/>
    </xf>
    <xf numFmtId="0" fontId="22" fillId="4" borderId="3" applyAlignment="1" pivotButton="0" quotePrefix="0" xfId="50">
      <alignment horizontal="left" vertical="center"/>
    </xf>
    <xf numFmtId="167" fontId="35" fillId="4" borderId="3" applyAlignment="1" pivotButton="0" quotePrefix="0" xfId="50">
      <alignment horizontal="right" vertical="bottom"/>
    </xf>
    <xf numFmtId="0" fontId="23" fillId="7" borderId="0" applyAlignment="1" pivotButton="0" quotePrefix="0" xfId="50">
      <alignment horizontal="left" vertical="center"/>
    </xf>
    <xf numFmtId="0" fontId="5" fillId="7" borderId="0" applyAlignment="1" pivotButton="0" quotePrefix="0" xfId="50">
      <alignment horizontal="general" vertical="bottom"/>
    </xf>
    <xf numFmtId="0" fontId="7" fillId="7" borderId="0" applyAlignment="1" pivotButton="0" quotePrefix="0" xfId="50">
      <alignment horizontal="left" vertical="center"/>
    </xf>
    <xf numFmtId="167" fontId="5" fillId="7" borderId="0" applyAlignment="1" pivotButton="0" quotePrefix="0" xfId="50">
      <alignment horizontal="right" vertical="bottom"/>
    </xf>
    <xf numFmtId="167" fontId="5" fillId="0" borderId="9" applyAlignment="1" pivotButton="0" quotePrefix="0" xfId="50">
      <alignment horizontal="general" vertical="top" wrapText="1"/>
    </xf>
    <xf numFmtId="0" fontId="22" fillId="7" borderId="0" applyAlignment="1" pivotButton="0" quotePrefix="0" xfId="50">
      <alignment horizontal="left" vertical="center"/>
    </xf>
    <xf numFmtId="167" fontId="35" fillId="7" borderId="0" applyAlignment="1" pivotButton="0" quotePrefix="0" xfId="50">
      <alignment horizontal="right" vertical="bottom"/>
    </xf>
    <xf numFmtId="167" fontId="35" fillId="7" borderId="3" applyAlignment="1" pivotButton="0" quotePrefix="0" xfId="50">
      <alignment horizontal="right" vertical="bottom"/>
    </xf>
    <xf numFmtId="167" fontId="35" fillId="0" borderId="18" applyAlignment="1" pivotButton="0" quotePrefix="0" xfId="50">
      <alignment horizontal="right" vertical="bottom"/>
    </xf>
    <xf numFmtId="172" fontId="7" fillId="4" borderId="0" applyAlignment="1" pivotButton="0" quotePrefix="0" xfId="50">
      <alignment horizontal="left" vertical="center"/>
    </xf>
    <xf numFmtId="0" fontId="5" fillId="0" borderId="0" applyAlignment="1" pivotButton="0" quotePrefix="0" xfId="45">
      <alignment horizontal="general" vertical="bottom"/>
    </xf>
    <xf numFmtId="0" fontId="5" fillId="0" borderId="0" applyAlignment="1" pivotButton="0" quotePrefix="0" xfId="45">
      <alignment horizontal="center" vertical="bottom"/>
    </xf>
    <xf numFmtId="0" fontId="5" fillId="0" borderId="0" applyAlignment="1" pivotButton="0" quotePrefix="0" xfId="45">
      <alignment horizontal="left" vertical="bottom"/>
    </xf>
    <xf numFmtId="0" fontId="5" fillId="0" borderId="0" applyAlignment="1" pivotButton="0" quotePrefix="0" xfId="39">
      <alignment horizontal="center" vertical="bottom"/>
    </xf>
    <xf numFmtId="0" fontId="5" fillId="0" borderId="0" applyAlignment="1" pivotButton="0" quotePrefix="0" xfId="39">
      <alignment horizontal="left" vertical="bottom"/>
    </xf>
    <xf numFmtId="0" fontId="5" fillId="0" borderId="0" applyAlignment="1" pivotButton="0" quotePrefix="0" xfId="54">
      <alignment horizontal="center" vertical="bottom"/>
    </xf>
    <xf numFmtId="0" fontId="5" fillId="0" borderId="0" applyAlignment="1" pivotButton="0" quotePrefix="0" xfId="54">
      <alignment horizontal="left" vertical="bottom"/>
    </xf>
    <xf numFmtId="0" fontId="21" fillId="2" borderId="0" applyAlignment="1" pivotButton="0" quotePrefix="0" xfId="45">
      <alignment horizontal="general" vertical="center"/>
    </xf>
    <xf numFmtId="0" fontId="21" fillId="2" borderId="0" applyAlignment="1" pivotButton="0" quotePrefix="0" xfId="45">
      <alignment horizontal="center" vertical="center"/>
    </xf>
    <xf numFmtId="0" fontId="5" fillId="0" borderId="0" applyAlignment="1" pivotButton="0" quotePrefix="0" xfId="45">
      <alignment horizontal="general" vertical="bottom"/>
    </xf>
    <xf numFmtId="0" fontId="21" fillId="2" borderId="0" applyAlignment="1" pivotButton="0" quotePrefix="0" xfId="45">
      <alignment horizontal="left" vertical="center"/>
    </xf>
    <xf numFmtId="0" fontId="32" fillId="5" borderId="0" applyAlignment="1" pivotButton="0" quotePrefix="0" xfId="45">
      <alignment horizontal="general" vertical="bottom"/>
    </xf>
    <xf numFmtId="0" fontId="31" fillId="5" borderId="32" applyAlignment="1" pivotButton="0" quotePrefix="0" xfId="45">
      <alignment horizontal="center" vertical="bottom"/>
    </xf>
    <xf numFmtId="0" fontId="31" fillId="5" borderId="75" applyAlignment="1" pivotButton="0" quotePrefix="0" xfId="45">
      <alignment horizontal="center" vertical="bottom"/>
    </xf>
    <xf numFmtId="0" fontId="31" fillId="5" borderId="31" applyAlignment="1" pivotButton="0" quotePrefix="0" xfId="45">
      <alignment horizontal="center" vertical="bottom"/>
    </xf>
    <xf numFmtId="0" fontId="31" fillId="5" borderId="15" applyAlignment="1" pivotButton="0" quotePrefix="0" xfId="45">
      <alignment horizontal="center" vertical="bottom"/>
    </xf>
    <xf numFmtId="0" fontId="31" fillId="5" borderId="15" applyAlignment="1" pivotButton="0" quotePrefix="0" xfId="45">
      <alignment horizontal="left" vertical="bottom"/>
    </xf>
    <xf numFmtId="0" fontId="31" fillId="5" borderId="0" applyAlignment="1" pivotButton="0" quotePrefix="0" xfId="45">
      <alignment horizontal="general" vertical="center"/>
    </xf>
    <xf numFmtId="0" fontId="31" fillId="5" borderId="0" applyAlignment="1" pivotButton="0" quotePrefix="0" xfId="45">
      <alignment horizontal="general" vertical="center"/>
    </xf>
    <xf numFmtId="197" fontId="31" fillId="5" borderId="5" applyAlignment="1" pivotButton="0" quotePrefix="0" xfId="45">
      <alignment horizontal="right" vertical="center" wrapText="1"/>
    </xf>
    <xf numFmtId="197" fontId="31" fillId="5" borderId="6" applyAlignment="1" pivotButton="0" quotePrefix="0" xfId="45">
      <alignment horizontal="right" vertical="center" wrapText="1"/>
    </xf>
    <xf numFmtId="197" fontId="31" fillId="5" borderId="7" applyAlignment="1" pivotButton="0" quotePrefix="0" xfId="45">
      <alignment horizontal="right" vertical="center" wrapText="1"/>
    </xf>
    <xf numFmtId="197" fontId="31" fillId="5" borderId="17" applyAlignment="1" pivotButton="0" quotePrefix="0" xfId="45">
      <alignment horizontal="center" vertical="bottom" wrapText="1"/>
    </xf>
    <xf numFmtId="197" fontId="32" fillId="5" borderId="17" applyAlignment="1" pivotButton="0" quotePrefix="0" xfId="45">
      <alignment horizontal="left" vertical="bottom" wrapText="1"/>
    </xf>
    <xf numFmtId="0" fontId="5" fillId="0" borderId="0" applyAlignment="1" pivotButton="0" quotePrefix="0" xfId="45">
      <alignment horizontal="left" vertical="bottom" indent="2"/>
    </xf>
    <xf numFmtId="167" fontId="19" fillId="4" borderId="0" applyAlignment="1" pivotButton="0" quotePrefix="0" xfId="45">
      <alignment horizontal="right" vertical="bottom" wrapText="1"/>
    </xf>
    <xf numFmtId="167" fontId="34" fillId="4" borderId="0" applyAlignment="1" pivotButton="0" quotePrefix="0" xfId="45">
      <alignment horizontal="center" vertical="bottom" wrapText="1"/>
    </xf>
    <xf numFmtId="167" fontId="19" fillId="4" borderId="9" applyAlignment="1" pivotButton="0" quotePrefix="0" xfId="45">
      <alignment horizontal="left" vertical="bottom" wrapText="1"/>
    </xf>
    <xf numFmtId="167" fontId="19" fillId="4" borderId="9" applyAlignment="1" pivotButton="0" quotePrefix="0" xfId="45">
      <alignment horizontal="left" vertical="top" wrapText="1"/>
    </xf>
    <xf numFmtId="0" fontId="38" fillId="0" borderId="0" applyAlignment="1" pivotButton="0" quotePrefix="0" xfId="45">
      <alignment horizontal="left" vertical="bottom" indent="2"/>
    </xf>
    <xf numFmtId="0" fontId="5" fillId="4" borderId="13" applyAlignment="1" pivotButton="0" quotePrefix="0" xfId="45">
      <alignment horizontal="left" vertical="bottom" indent="2"/>
    </xf>
    <xf numFmtId="0" fontId="38" fillId="4" borderId="0" applyAlignment="1" pivotButton="0" quotePrefix="0" xfId="45">
      <alignment horizontal="left" vertical="bottom" indent="2"/>
    </xf>
    <xf numFmtId="167" fontId="19" fillId="4" borderId="13" applyAlignment="1" pivotButton="0" quotePrefix="0" xfId="45">
      <alignment horizontal="right" vertical="bottom" wrapText="1"/>
    </xf>
    <xf numFmtId="167" fontId="34" fillId="4" borderId="13" applyAlignment="1" pivotButton="0" quotePrefix="0" xfId="45">
      <alignment horizontal="center" vertical="bottom" wrapText="1"/>
    </xf>
    <xf numFmtId="0" fontId="5" fillId="4" borderId="0" applyAlignment="1" pivotButton="0" quotePrefix="0" xfId="45">
      <alignment horizontal="left" vertical="bottom" indent="1"/>
    </xf>
    <xf numFmtId="0" fontId="31" fillId="6" borderId="7" applyAlignment="1" pivotButton="0" quotePrefix="0" xfId="45">
      <alignment horizontal="center" vertical="center"/>
    </xf>
    <xf numFmtId="167" fontId="5" fillId="4" borderId="0" applyAlignment="1" pivotButton="0" quotePrefix="0" xfId="45">
      <alignment horizontal="right" vertical="bottom"/>
    </xf>
    <xf numFmtId="167" fontId="38" fillId="4" borderId="0" applyAlignment="1" pivotButton="0" quotePrefix="0" xfId="45">
      <alignment horizontal="center" vertical="bottom"/>
    </xf>
    <xf numFmtId="167" fontId="5" fillId="4" borderId="0" applyAlignment="1" pivotButton="0" quotePrefix="0" xfId="45">
      <alignment horizontal="left" vertical="top" wrapText="1"/>
    </xf>
    <xf numFmtId="0" fontId="5" fillId="0" borderId="0" applyAlignment="1" pivotButton="0" quotePrefix="0" xfId="45">
      <alignment horizontal="left" vertical="bottom" indent="1"/>
    </xf>
    <xf numFmtId="0" fontId="31" fillId="6" borderId="12" applyAlignment="1" pivotButton="0" quotePrefix="0" xfId="45">
      <alignment horizontal="center" vertical="center"/>
    </xf>
    <xf numFmtId="167" fontId="19" fillId="4" borderId="0" applyAlignment="1" pivotButton="0" quotePrefix="0" xfId="45">
      <alignment horizontal="right" vertical="bottom"/>
    </xf>
    <xf numFmtId="197" fontId="34" fillId="4" borderId="0" applyAlignment="1" pivotButton="0" quotePrefix="0" xfId="45">
      <alignment horizontal="center" vertical="bottom" wrapText="1"/>
    </xf>
    <xf numFmtId="167" fontId="19" fillId="4" borderId="0" applyAlignment="1" pivotButton="0" quotePrefix="0" xfId="45">
      <alignment horizontal="right" vertical="bottom"/>
    </xf>
    <xf numFmtId="0" fontId="31" fillId="6" borderId="15" applyAlignment="1" pivotButton="0" quotePrefix="0" xfId="45">
      <alignment horizontal="center" vertical="center"/>
    </xf>
    <xf numFmtId="167" fontId="19" fillId="4" borderId="13" applyAlignment="1" pivotButton="0" quotePrefix="0" xfId="45">
      <alignment horizontal="right" vertical="bottom"/>
    </xf>
    <xf numFmtId="197" fontId="34" fillId="4" borderId="13" applyAlignment="1" pivotButton="0" quotePrefix="0" xfId="45">
      <alignment horizontal="center" vertical="bottom" wrapText="1"/>
    </xf>
    <xf numFmtId="0" fontId="31" fillId="6" borderId="10" applyAlignment="1" pivotButton="0" quotePrefix="0" xfId="39">
      <alignment horizontal="center" vertical="center"/>
    </xf>
    <xf numFmtId="0" fontId="5" fillId="4" borderId="0" applyAlignment="1" pivotButton="0" quotePrefix="0" xfId="39">
      <alignment horizontal="left" vertical="bottom" indent="1"/>
    </xf>
    <xf numFmtId="0" fontId="34" fillId="7" borderId="22" applyAlignment="1" pivotButton="0" quotePrefix="0" xfId="45">
      <alignment horizontal="general" vertical="center"/>
    </xf>
    <xf numFmtId="167" fontId="34" fillId="7" borderId="22" applyAlignment="1" pivotButton="0" quotePrefix="0" xfId="45">
      <alignment horizontal="right" vertical="center"/>
    </xf>
    <xf numFmtId="167" fontId="34" fillId="7" borderId="22" applyAlignment="1" pivotButton="0" quotePrefix="0" xfId="45">
      <alignment horizontal="center" vertical="center"/>
    </xf>
    <xf numFmtId="167" fontId="19" fillId="7" borderId="3" applyAlignment="1" pivotButton="0" quotePrefix="0" xfId="45">
      <alignment horizontal="left" vertical="top"/>
    </xf>
    <xf numFmtId="0" fontId="23" fillId="4" borderId="0" applyAlignment="1" pivotButton="0" quotePrefix="0" xfId="45">
      <alignment horizontal="general" vertical="bottom"/>
    </xf>
    <xf numFmtId="0" fontId="38" fillId="0" borderId="0" applyAlignment="1" pivotButton="0" quotePrefix="0" xfId="45">
      <alignment horizontal="center" vertical="bottom"/>
    </xf>
    <xf numFmtId="0" fontId="5" fillId="0" borderId="0" applyAlignment="1" pivotButton="0" quotePrefix="0" xfId="45">
      <alignment horizontal="left" vertical="top"/>
    </xf>
    <xf numFmtId="0" fontId="5" fillId="0" borderId="0" applyAlignment="1" pivotButton="0" quotePrefix="0" xfId="45">
      <alignment horizontal="left" vertical="bottom" indent="3"/>
    </xf>
    <xf numFmtId="0" fontId="5" fillId="4" borderId="13" applyAlignment="1" pivotButton="0" quotePrefix="0" xfId="45">
      <alignment horizontal="left" vertical="bottom" indent="3"/>
    </xf>
    <xf numFmtId="197" fontId="34" fillId="4" borderId="56" applyAlignment="1" pivotButton="0" quotePrefix="0" xfId="45">
      <alignment horizontal="center" vertical="bottom" wrapText="1"/>
    </xf>
    <xf numFmtId="0" fontId="5" fillId="0" borderId="56" applyAlignment="1" pivotButton="0" quotePrefix="0" xfId="45">
      <alignment horizontal="general" vertical="bottom"/>
    </xf>
    <xf numFmtId="167" fontId="5" fillId="0" borderId="56" applyAlignment="1" pivotButton="0" quotePrefix="0" xfId="45">
      <alignment horizontal="right" vertical="bottom"/>
    </xf>
    <xf numFmtId="167" fontId="5" fillId="0" borderId="13" applyAlignment="1" pivotButton="0" quotePrefix="0" xfId="45">
      <alignment horizontal="center" vertical="bottom"/>
    </xf>
    <xf numFmtId="167" fontId="5" fillId="0" borderId="13" applyAlignment="1" pivotButton="0" quotePrefix="0" xfId="45">
      <alignment horizontal="left" vertical="bottom"/>
    </xf>
    <xf numFmtId="0" fontId="34" fillId="7" borderId="3" applyAlignment="1" pivotButton="0" quotePrefix="0" xfId="45">
      <alignment horizontal="general" vertical="center"/>
    </xf>
    <xf numFmtId="167" fontId="34" fillId="7" borderId="3" applyAlignment="1" pivotButton="0" quotePrefix="0" xfId="45">
      <alignment horizontal="right" vertical="center"/>
    </xf>
    <xf numFmtId="182" fontId="0" fillId="0" borderId="0" applyAlignment="1" pivotButton="0" quotePrefix="0" xfId="0">
      <alignment horizontal="general" vertical="bottom"/>
    </xf>
    <xf numFmtId="167" fontId="34" fillId="7" borderId="3" applyAlignment="1" pivotButton="0" quotePrefix="0" xfId="45">
      <alignment horizontal="center" vertical="bottom"/>
    </xf>
    <xf numFmtId="167" fontId="19" fillId="7" borderId="3" applyAlignment="1" pivotButton="0" quotePrefix="0" xfId="45">
      <alignment horizontal="left" vertical="bottom"/>
    </xf>
    <xf numFmtId="0" fontId="34" fillId="0" borderId="0" applyAlignment="1" pivotButton="0" quotePrefix="0" xfId="45">
      <alignment horizontal="general" vertical="bottom"/>
    </xf>
    <xf numFmtId="167" fontId="34" fillId="0" borderId="0" applyAlignment="1" pivotButton="0" quotePrefix="0" xfId="45">
      <alignment horizontal="right" vertical="bottom"/>
    </xf>
    <xf numFmtId="167" fontId="34" fillId="0" borderId="0" applyAlignment="1" pivotButton="0" quotePrefix="0" xfId="45">
      <alignment horizontal="center" vertical="bottom"/>
    </xf>
    <xf numFmtId="167" fontId="19" fillId="0" borderId="0" applyAlignment="1" pivotButton="0" quotePrefix="0" xfId="45">
      <alignment horizontal="left" vertical="bottom"/>
    </xf>
    <xf numFmtId="0" fontId="35" fillId="0" borderId="0" applyAlignment="1" pivotButton="0" quotePrefix="0" xfId="45">
      <alignment horizontal="left" vertical="bottom"/>
    </xf>
    <xf numFmtId="0" fontId="35" fillId="0" borderId="0" applyAlignment="1" pivotButton="0" quotePrefix="0" xfId="45">
      <alignment horizontal="general" vertical="bottom"/>
    </xf>
    <xf numFmtId="167" fontId="35" fillId="0" borderId="0" applyAlignment="1" pivotButton="0" quotePrefix="0" xfId="45">
      <alignment horizontal="right" vertical="bottom"/>
    </xf>
    <xf numFmtId="167" fontId="35" fillId="0" borderId="0" applyAlignment="1" pivotButton="0" quotePrefix="0" xfId="45">
      <alignment horizontal="right" vertical="bottom"/>
    </xf>
    <xf numFmtId="167" fontId="35" fillId="0" borderId="0" applyAlignment="1" pivotButton="0" quotePrefix="0" xfId="45">
      <alignment horizontal="center" vertical="bottom"/>
    </xf>
    <xf numFmtId="167" fontId="35" fillId="0" borderId="0" applyAlignment="1" pivotButton="0" quotePrefix="0" xfId="45">
      <alignment horizontal="left" vertical="bottom"/>
    </xf>
    <xf numFmtId="0" fontId="35" fillId="4" borderId="0" applyAlignment="1" pivotButton="0" quotePrefix="0" xfId="45">
      <alignment horizontal="general" vertical="bottom"/>
    </xf>
    <xf numFmtId="167" fontId="35" fillId="4" borderId="0" applyAlignment="1" pivotButton="0" quotePrefix="0" xfId="45">
      <alignment horizontal="general" vertical="bottom"/>
    </xf>
    <xf numFmtId="0" fontId="0" fillId="0" borderId="0" applyAlignment="1" pivotButton="0" quotePrefix="0" xfId="0">
      <alignment horizontal="left" vertical="bottom"/>
    </xf>
    <xf numFmtId="185" fontId="0" fillId="0" borderId="0" applyAlignment="1" pivotButton="0" quotePrefix="0" xfId="0">
      <alignment horizontal="general" vertical="bottom"/>
    </xf>
    <xf numFmtId="173" fontId="5" fillId="0" borderId="0" applyAlignment="1" pivotButton="0" quotePrefix="0" xfId="0">
      <alignment horizontal="general" vertical="bottom"/>
    </xf>
    <xf numFmtId="198" fontId="5" fillId="0" borderId="0" applyAlignment="1" pivotButton="0" quotePrefix="0" xfId="0">
      <alignment horizontal="general" vertical="bottom"/>
    </xf>
    <xf numFmtId="166" fontId="46" fillId="5" borderId="0" applyAlignment="1" pivotButton="0" quotePrefix="0" xfId="0">
      <alignment horizontal="center" vertical="bottom"/>
    </xf>
    <xf numFmtId="166" fontId="46" fillId="5" borderId="21" applyAlignment="1" pivotButton="0" quotePrefix="0" xfId="0">
      <alignment horizontal="center" vertical="bottom"/>
    </xf>
    <xf numFmtId="166" fontId="46" fillId="5" borderId="0" applyAlignment="1" pivotButton="0" quotePrefix="0" xfId="0">
      <alignment horizontal="center" vertical="bottom"/>
    </xf>
    <xf numFmtId="166" fontId="46" fillId="5" borderId="20" applyAlignment="1" pivotButton="0" quotePrefix="0" xfId="0">
      <alignment horizontal="center" vertical="bottom"/>
    </xf>
    <xf numFmtId="166" fontId="46" fillId="5" borderId="19" applyAlignment="1" pivotButton="0" quotePrefix="0" xfId="0">
      <alignment horizontal="center" vertical="bottom"/>
    </xf>
    <xf numFmtId="166" fontId="46" fillId="5" borderId="21" applyAlignment="1" pivotButton="0" quotePrefix="0" xfId="0">
      <alignment horizontal="center" vertical="bottom" wrapText="1"/>
    </xf>
    <xf numFmtId="166" fontId="46" fillId="8" borderId="32" applyAlignment="1" pivotButton="0" quotePrefix="0" xfId="0">
      <alignment horizontal="center" vertical="bottom"/>
    </xf>
    <xf numFmtId="166" fontId="46" fillId="8" borderId="21" applyAlignment="1" pivotButton="0" quotePrefix="0" xfId="0">
      <alignment horizontal="center" vertical="bottom"/>
    </xf>
    <xf numFmtId="166" fontId="46" fillId="8" borderId="0" applyAlignment="1" pivotButton="0" quotePrefix="0" xfId="0">
      <alignment horizontal="center" vertical="bottom"/>
    </xf>
    <xf numFmtId="166" fontId="46" fillId="8" borderId="15" applyAlignment="1" pivotButton="0" quotePrefix="0" xfId="0">
      <alignment horizontal="center" vertical="bottom" wrapText="1"/>
    </xf>
    <xf numFmtId="166" fontId="46" fillId="8" borderId="0" applyAlignment="1" pivotButton="0" quotePrefix="0" xfId="0">
      <alignment horizontal="center" vertical="bottom" wrapText="1"/>
    </xf>
    <xf numFmtId="166" fontId="46" fillId="8" borderId="10" applyAlignment="1" pivotButton="0" quotePrefix="0" xfId="0">
      <alignment horizontal="right" vertical="bottom"/>
    </xf>
    <xf numFmtId="166" fontId="46" fillId="8" borderId="7" applyAlignment="1" pivotButton="0" quotePrefix="0" xfId="0">
      <alignment horizontal="right" vertical="bottom" wrapText="1"/>
    </xf>
    <xf numFmtId="166" fontId="46" fillId="8" borderId="21" applyAlignment="1" pivotButton="0" quotePrefix="0" xfId="0">
      <alignment horizontal="right" vertical="bottom" wrapText="1"/>
    </xf>
    <xf numFmtId="0" fontId="19" fillId="17" borderId="0" applyAlignment="1" pivotButton="0" quotePrefix="0" xfId="0">
      <alignment horizontal="left" vertical="bottom" indent="2"/>
    </xf>
    <xf numFmtId="0" fontId="19" fillId="17" borderId="0" applyAlignment="1" pivotButton="0" quotePrefix="0" xfId="0">
      <alignment horizontal="left" vertical="bottom"/>
    </xf>
    <xf numFmtId="0" fontId="38" fillId="0" borderId="0" applyAlignment="1" pivotButton="0" quotePrefix="0" xfId="0">
      <alignment horizontal="general" vertical="bottom"/>
    </xf>
    <xf numFmtId="0" fontId="19" fillId="4" borderId="0" applyAlignment="1" pivotButton="0" quotePrefix="0" xfId="0">
      <alignment horizontal="left" vertical="bottom" indent="3"/>
    </xf>
    <xf numFmtId="173" fontId="19" fillId="0" borderId="2" applyAlignment="1" pivotButton="0" quotePrefix="0" xfId="0">
      <alignment horizontal="general" vertical="bottom"/>
    </xf>
    <xf numFmtId="0" fontId="19" fillId="0" borderId="0" applyAlignment="1" pivotButton="0" quotePrefix="0" xfId="0">
      <alignment horizontal="left" vertical="bottom" indent="3"/>
    </xf>
    <xf numFmtId="0" fontId="19" fillId="0" borderId="13" applyAlignment="1" pivotButton="0" quotePrefix="0" xfId="0">
      <alignment horizontal="left" vertical="bottom" indent="3"/>
    </xf>
    <xf numFmtId="0" fontId="19" fillId="0" borderId="0" applyAlignment="1" pivotButton="0" quotePrefix="0" xfId="0">
      <alignment horizontal="left" vertical="bottom" indent="2"/>
    </xf>
    <xf numFmtId="0" fontId="19" fillId="4" borderId="13" applyAlignment="1" pivotButton="0" quotePrefix="0" xfId="0">
      <alignment horizontal="left" vertical="bottom" indent="4"/>
    </xf>
    <xf numFmtId="0" fontId="19" fillId="4" borderId="0" applyAlignment="1" pivotButton="0" quotePrefix="0" xfId="0">
      <alignment horizontal="left" vertical="bottom" indent="4"/>
    </xf>
    <xf numFmtId="0" fontId="19" fillId="4" borderId="56" applyAlignment="1" pivotButton="0" quotePrefix="0" xfId="0">
      <alignment horizontal="left" vertical="bottom"/>
    </xf>
    <xf numFmtId="174" fontId="25" fillId="0" borderId="56" applyAlignment="1" pivotButton="0" quotePrefix="0" xfId="0">
      <alignment horizontal="general" vertical="bottom"/>
    </xf>
    <xf numFmtId="174" fontId="25" fillId="0" borderId="74" applyAlignment="1" pivotButton="0" quotePrefix="0" xfId="0">
      <alignment horizontal="general" vertical="bottom"/>
    </xf>
    <xf numFmtId="174" fontId="25" fillId="0" borderId="57" applyAlignment="1" pivotButton="0" quotePrefix="0" xfId="0">
      <alignment horizontal="general" vertical="bottom"/>
    </xf>
    <xf numFmtId="174" fontId="25" fillId="0" borderId="13" applyAlignment="1" pivotButton="0" quotePrefix="0" xfId="0">
      <alignment horizontal="general" vertical="bottom"/>
    </xf>
    <xf numFmtId="174" fontId="25" fillId="0" borderId="24" applyAlignment="1" pivotButton="0" quotePrefix="0" xfId="0">
      <alignment horizontal="general" vertical="bottom"/>
    </xf>
    <xf numFmtId="174" fontId="25" fillId="0" borderId="25" applyAlignment="1" pivotButton="0" quotePrefix="0" xfId="0">
      <alignment horizontal="general" vertical="bottom"/>
    </xf>
    <xf numFmtId="174" fontId="25" fillId="0" borderId="0" applyAlignment="1" pivotButton="0" quotePrefix="0" xfId="0">
      <alignment horizontal="general" vertical="bottom"/>
    </xf>
    <xf numFmtId="174" fontId="25" fillId="0" borderId="23" applyAlignment="1" pivotButton="0" quotePrefix="0" xfId="0">
      <alignment horizontal="general" vertical="bottom"/>
    </xf>
    <xf numFmtId="174" fontId="25" fillId="0" borderId="0" applyAlignment="1" pivotButton="0" quotePrefix="0" xfId="0">
      <alignment horizontal="general" vertical="bottom"/>
    </xf>
    <xf numFmtId="174" fontId="25" fillId="0" borderId="4" applyAlignment="1" pivotButton="0" quotePrefix="0" xfId="0">
      <alignment horizontal="general" vertical="bottom"/>
    </xf>
    <xf numFmtId="174" fontId="25" fillId="4" borderId="23" applyAlignment="1" pivotButton="0" quotePrefix="0" xfId="0">
      <alignment horizontal="general" vertical="bottom"/>
    </xf>
    <xf numFmtId="174" fontId="25" fillId="4" borderId="0" applyAlignment="1" pivotButton="0" quotePrefix="0" xfId="0">
      <alignment horizontal="general" vertical="bottom"/>
    </xf>
    <xf numFmtId="174" fontId="25" fillId="4" borderId="4" applyAlignment="1" pivotButton="0" quotePrefix="0" xfId="0">
      <alignment horizontal="general" vertical="bottom"/>
    </xf>
    <xf numFmtId="170" fontId="5" fillId="0" borderId="0" applyAlignment="1" pivotButton="0" quotePrefix="0" xfId="39">
      <alignment horizontal="general" vertical="bottom"/>
    </xf>
    <xf numFmtId="173" fontId="21" fillId="2" borderId="0" applyAlignment="1" pivotButton="0" quotePrefix="0" xfId="39">
      <alignment horizontal="general" vertical="center"/>
    </xf>
    <xf numFmtId="0" fontId="5" fillId="0" borderId="0" applyAlignment="1" pivotButton="0" quotePrefix="0" xfId="39">
      <alignment horizontal="general" vertical="bottom"/>
    </xf>
    <xf numFmtId="0" fontId="21" fillId="5" borderId="20" applyAlignment="1" pivotButton="0" quotePrefix="0" xfId="39">
      <alignment horizontal="left" vertical="bottom"/>
    </xf>
    <xf numFmtId="196" fontId="21" fillId="5" borderId="20" applyAlignment="1" pivotButton="0" quotePrefix="0" xfId="39">
      <alignment horizontal="center" vertical="bottom"/>
    </xf>
    <xf numFmtId="196" fontId="21" fillId="5" borderId="15" applyAlignment="1" pivotButton="0" quotePrefix="0" xfId="39">
      <alignment horizontal="center" vertical="bottom"/>
    </xf>
    <xf numFmtId="196" fontId="21" fillId="5" borderId="31" applyAlignment="1" pivotButton="0" quotePrefix="0" xfId="39">
      <alignment horizontal="center" vertical="bottom"/>
    </xf>
    <xf numFmtId="0" fontId="21" fillId="5" borderId="0" applyAlignment="1" pivotButton="0" quotePrefix="0" xfId="39">
      <alignment horizontal="center" vertical="bottom"/>
    </xf>
    <xf numFmtId="196" fontId="21" fillId="8" borderId="19" applyAlignment="1" pivotButton="0" quotePrefix="0" xfId="39">
      <alignment horizontal="center" vertical="bottom"/>
    </xf>
    <xf numFmtId="196" fontId="21" fillId="8" borderId="15" applyAlignment="1" pivotButton="0" quotePrefix="0" xfId="39">
      <alignment horizontal="center" vertical="bottom"/>
    </xf>
    <xf numFmtId="196" fontId="21" fillId="8" borderId="21" applyAlignment="1" pivotButton="0" quotePrefix="0" xfId="39">
      <alignment horizontal="center" vertical="bottom"/>
    </xf>
    <xf numFmtId="196" fontId="21" fillId="8" borderId="31" applyAlignment="1" pivotButton="0" quotePrefix="0" xfId="39">
      <alignment horizontal="center" vertical="bottom"/>
    </xf>
    <xf numFmtId="179" fontId="31" fillId="5" borderId="0" applyAlignment="1" pivotButton="0" quotePrefix="0" xfId="39">
      <alignment horizontal="right" vertical="bottom"/>
    </xf>
    <xf numFmtId="179" fontId="31" fillId="5" borderId="20" applyAlignment="1" pivotButton="0" quotePrefix="0" xfId="39">
      <alignment horizontal="right" vertical="bottom"/>
    </xf>
    <xf numFmtId="196" fontId="21" fillId="5" borderId="5" applyAlignment="1" pivotButton="0" quotePrefix="0" xfId="39">
      <alignment horizontal="right" vertical="bottom"/>
    </xf>
    <xf numFmtId="196" fontId="21" fillId="5" borderId="20" applyAlignment="1" pivotButton="0" quotePrefix="0" xfId="39">
      <alignment horizontal="right" vertical="bottom"/>
    </xf>
    <xf numFmtId="196" fontId="21" fillId="5" borderId="0" applyAlignment="1" pivotButton="0" quotePrefix="0" xfId="39">
      <alignment horizontal="right" vertical="bottom"/>
    </xf>
    <xf numFmtId="179" fontId="31" fillId="5" borderId="7" applyAlignment="1" pivotButton="0" quotePrefix="0" xfId="39">
      <alignment horizontal="right" vertical="bottom"/>
    </xf>
    <xf numFmtId="196" fontId="21" fillId="8" borderId="6" applyAlignment="1" pivotButton="0" quotePrefix="0" xfId="39">
      <alignment horizontal="right" vertical="bottom"/>
    </xf>
    <xf numFmtId="196" fontId="21" fillId="8" borderId="0" applyAlignment="1" pivotButton="0" quotePrefix="0" xfId="39">
      <alignment horizontal="right" vertical="bottom"/>
    </xf>
    <xf numFmtId="196" fontId="21" fillId="8" borderId="6" applyAlignment="1" pivotButton="0" quotePrefix="0" xfId="39">
      <alignment horizontal="right" vertical="bottom" wrapText="1"/>
    </xf>
    <xf numFmtId="196" fontId="21" fillId="8" borderId="0" applyAlignment="1" pivotButton="0" quotePrefix="0" xfId="39">
      <alignment horizontal="right" vertical="bottom" wrapText="1"/>
    </xf>
    <xf numFmtId="0" fontId="23" fillId="0" borderId="0" applyAlignment="1" pivotButton="0" quotePrefix="0" xfId="39">
      <alignment horizontal="general" vertical="bottom"/>
    </xf>
    <xf numFmtId="0" fontId="5" fillId="0" borderId="0" applyAlignment="1" pivotButton="0" quotePrefix="0" xfId="39">
      <alignment horizontal="general" vertical="bottom"/>
    </xf>
    <xf numFmtId="0" fontId="5" fillId="0" borderId="23" applyAlignment="1" pivotButton="0" quotePrefix="0" xfId="39">
      <alignment horizontal="general" vertical="bottom"/>
    </xf>
    <xf numFmtId="0" fontId="5" fillId="0" borderId="4" applyAlignment="1" pivotButton="0" quotePrefix="0" xfId="39">
      <alignment horizontal="general" vertical="bottom"/>
    </xf>
    <xf numFmtId="0" fontId="5" fillId="0" borderId="58" applyAlignment="1" pivotButton="0" quotePrefix="0" xfId="39">
      <alignment horizontal="general" vertical="bottom"/>
    </xf>
    <xf numFmtId="0" fontId="5" fillId="0" borderId="0" applyAlignment="1" pivotButton="0" quotePrefix="0" xfId="39">
      <alignment horizontal="general" vertical="bottom"/>
    </xf>
    <xf numFmtId="170" fontId="5" fillId="0" borderId="24" applyAlignment="1" pivotButton="0" quotePrefix="0" xfId="39">
      <alignment horizontal="general" vertical="bottom"/>
    </xf>
    <xf numFmtId="170" fontId="5" fillId="0" borderId="59" applyAlignment="1" pivotButton="0" quotePrefix="0" xfId="39">
      <alignment horizontal="general" vertical="bottom"/>
    </xf>
    <xf numFmtId="0" fontId="5" fillId="0" borderId="0" applyAlignment="1" pivotButton="0" quotePrefix="0" xfId="39">
      <alignment horizontal="left" vertical="bottom" indent="1"/>
    </xf>
    <xf numFmtId="170" fontId="38" fillId="7" borderId="28" applyAlignment="1" pivotButton="0" quotePrefix="0" xfId="39">
      <alignment horizontal="general" vertical="bottom"/>
    </xf>
    <xf numFmtId="170" fontId="38" fillId="7" borderId="71" applyAlignment="1" pivotButton="0" quotePrefix="0" xfId="39">
      <alignment horizontal="general" vertical="bottom"/>
    </xf>
    <xf numFmtId="0" fontId="5" fillId="0" borderId="0" applyAlignment="1" pivotButton="0" quotePrefix="0" xfId="39">
      <alignment horizontal="left" vertical="bottom" indent="3"/>
    </xf>
    <xf numFmtId="170" fontId="35" fillId="0" borderId="0" applyAlignment="1" pivotButton="0" quotePrefix="0" xfId="39">
      <alignment horizontal="general" vertical="bottom"/>
    </xf>
    <xf numFmtId="0" fontId="21" fillId="2" borderId="2" applyAlignment="1" pivotButton="0" quotePrefix="0" xfId="39">
      <alignment horizontal="left" vertical="center"/>
    </xf>
    <xf numFmtId="173" fontId="21" fillId="2" borderId="2" applyAlignment="1" pivotButton="0" quotePrefix="0" xfId="39">
      <alignment horizontal="general" vertical="center"/>
    </xf>
    <xf numFmtId="0" fontId="21" fillId="5" borderId="81" applyAlignment="1" pivotButton="0" quotePrefix="0" xfId="39">
      <alignment horizontal="left" vertical="bottom"/>
    </xf>
    <xf numFmtId="179" fontId="31" fillId="5" borderId="0" applyAlignment="1" pivotButton="0" quotePrefix="0" xfId="39">
      <alignment horizontal="right" vertical="bottom"/>
    </xf>
    <xf numFmtId="196" fontId="21" fillId="5" borderId="21" applyAlignment="1" pivotButton="0" quotePrefix="0" xfId="39">
      <alignment horizontal="right" vertical="bottom"/>
    </xf>
    <xf numFmtId="196" fontId="21" fillId="5" borderId="19" applyAlignment="1" pivotButton="0" quotePrefix="0" xfId="39">
      <alignment horizontal="right" vertical="bottom"/>
    </xf>
    <xf numFmtId="196" fontId="21" fillId="5" borderId="0" applyAlignment="1" pivotButton="0" quotePrefix="0" xfId="39">
      <alignment horizontal="right" vertical="bottom"/>
    </xf>
    <xf numFmtId="170" fontId="5" fillId="18" borderId="0" applyAlignment="1" pivotButton="0" quotePrefix="0" xfId="39">
      <alignment horizontal="general" vertical="bottom"/>
    </xf>
    <xf numFmtId="0" fontId="5" fillId="0" borderId="13" applyAlignment="1" pivotButton="0" quotePrefix="0" xfId="39">
      <alignment horizontal="left" vertical="bottom" indent="1"/>
    </xf>
    <xf numFmtId="170" fontId="5" fillId="18" borderId="13" applyAlignment="1" pivotButton="0" quotePrefix="0" xfId="39">
      <alignment horizontal="general" vertical="bottom"/>
    </xf>
    <xf numFmtId="0" fontId="38" fillId="7" borderId="22" applyAlignment="1" pivotButton="0" quotePrefix="0" xfId="39">
      <alignment horizontal="general" vertical="bottom"/>
    </xf>
    <xf numFmtId="0" fontId="38" fillId="7" borderId="22" applyAlignment="1" pivotButton="0" quotePrefix="0" xfId="39">
      <alignment horizontal="left" vertical="bottom"/>
    </xf>
    <xf numFmtId="170" fontId="38" fillId="7" borderId="22" applyAlignment="1" pivotButton="0" quotePrefix="0" xfId="39">
      <alignment horizontal="general" vertical="bottom"/>
    </xf>
    <xf numFmtId="170" fontId="38" fillId="7" borderId="34" applyAlignment="1" pivotButton="0" quotePrefix="0" xfId="39">
      <alignment horizontal="general" vertical="bottom"/>
    </xf>
    <xf numFmtId="170" fontId="38" fillId="7" borderId="35" applyAlignment="1" pivotButton="0" quotePrefix="0" xfId="39">
      <alignment horizontal="general" vertical="bottom"/>
    </xf>
    <xf numFmtId="0" fontId="5" fillId="0" borderId="0" applyAlignment="1" pivotButton="0" quotePrefix="0" xfId="39">
      <alignment horizontal="left" vertical="bottom"/>
    </xf>
    <xf numFmtId="170" fontId="5" fillId="18" borderId="0" applyAlignment="1" pivotButton="0" quotePrefix="0" xfId="39">
      <alignment horizontal="general" vertical="bottom"/>
    </xf>
    <xf numFmtId="179" fontId="31" fillId="5" borderId="21" applyAlignment="1" pivotButton="0" quotePrefix="0" xfId="39">
      <alignment horizontal="right" vertical="bottom" wrapText="1"/>
    </xf>
    <xf numFmtId="0" fontId="5" fillId="0" borderId="13" applyAlignment="1" pivotButton="0" quotePrefix="0" xfId="39">
      <alignment horizontal="left" vertical="bottom"/>
    </xf>
    <xf numFmtId="170" fontId="5" fillId="18" borderId="24" applyAlignment="1" pivotButton="0" quotePrefix="0" xfId="39">
      <alignment horizontal="general" vertical="bottom"/>
    </xf>
    <xf numFmtId="170" fontId="5" fillId="18" borderId="25" applyAlignment="1" pivotButton="0" quotePrefix="0" xfId="39">
      <alignment horizontal="general" vertical="bottom"/>
    </xf>
    <xf numFmtId="0" fontId="5" fillId="0" borderId="0" applyAlignment="1" pivotButton="0" quotePrefix="0" xfId="39">
      <alignment horizontal="general" vertical="bottom"/>
    </xf>
    <xf numFmtId="170" fontId="5" fillId="19" borderId="13" applyAlignment="1" pivotButton="0" quotePrefix="0" xfId="39">
      <alignment horizontal="general" vertical="bottom"/>
    </xf>
    <xf numFmtId="170" fontId="5" fillId="20" borderId="13" applyAlignment="1" pivotButton="0" quotePrefix="0" xfId="39">
      <alignment horizontal="general" vertical="bottom"/>
    </xf>
    <xf numFmtId="166" fontId="21" fillId="5" borderId="19" applyAlignment="1" pivotButton="0" quotePrefix="0" xfId="0">
      <alignment horizontal="right" vertical="bottom" wrapText="1"/>
    </xf>
    <xf numFmtId="0" fontId="37" fillId="4" borderId="0" applyAlignment="1" pivotButton="0" quotePrefix="0" xfId="0">
      <alignment horizontal="left" vertical="bottom" indent="1"/>
    </xf>
    <xf numFmtId="0" fontId="37" fillId="4" borderId="0" applyAlignment="1" pivotButton="0" quotePrefix="0" xfId="0">
      <alignment horizontal="left" vertical="bottom"/>
    </xf>
    <xf numFmtId="0" fontId="5" fillId="4" borderId="13" applyAlignment="1" pivotButton="0" quotePrefix="0" xfId="39">
      <alignment horizontal="left" vertical="bottom" indent="3"/>
    </xf>
    <xf numFmtId="0" fontId="37" fillId="4" borderId="13" applyAlignment="1" pivotButton="0" quotePrefix="0" xfId="0">
      <alignment horizontal="left" vertical="bottom"/>
    </xf>
    <xf numFmtId="170" fontId="5" fillId="7" borderId="13" applyAlignment="1" pivotButton="0" quotePrefix="0" xfId="39">
      <alignment horizontal="general" vertical="bottom"/>
    </xf>
    <xf numFmtId="170" fontId="5" fillId="7" borderId="0" applyAlignment="1" pivotButton="0" quotePrefix="0" xfId="39">
      <alignment horizontal="general" vertical="bottom"/>
    </xf>
    <xf numFmtId="0" fontId="5" fillId="0" borderId="0" applyAlignment="1" pivotButton="0" quotePrefix="0" xfId="39">
      <alignment horizontal="left" vertical="bottom" indent="4"/>
    </xf>
    <xf numFmtId="0" fontId="5" fillId="0" borderId="13" applyAlignment="1" pivotButton="0" quotePrefix="0" xfId="39">
      <alignment horizontal="left" vertical="bottom" indent="4"/>
    </xf>
    <xf numFmtId="167" fontId="5" fillId="7" borderId="2" applyAlignment="1" pivotButton="0" quotePrefix="0" xfId="0">
      <alignment horizontal="right" vertical="bottom"/>
    </xf>
    <xf numFmtId="167" fontId="38" fillId="7" borderId="0" applyAlignment="1" pivotButton="0" quotePrefix="0" xfId="0">
      <alignment horizontal="right" vertical="bottom"/>
    </xf>
    <xf numFmtId="0" fontId="35" fillId="0" borderId="13" applyAlignment="1" pivotButton="0" quotePrefix="0" xfId="0">
      <alignment horizontal="general" vertical="bottom"/>
    </xf>
    <xf numFmtId="168" fontId="35" fillId="0" borderId="13" applyAlignment="1" pivotButton="0" quotePrefix="0" xfId="0">
      <alignment horizontal="right" vertical="bottom"/>
    </xf>
    <xf numFmtId="168" fontId="35" fillId="7" borderId="13" applyAlignment="1" pivotButton="0" quotePrefix="0" xfId="0">
      <alignment horizontal="right" vertical="bottom"/>
    </xf>
    <xf numFmtId="0" fontId="35" fillId="4" borderId="0" applyAlignment="1" pivotButton="0" quotePrefix="0" xfId="0">
      <alignment horizontal="general" vertical="bottom"/>
    </xf>
    <xf numFmtId="170" fontId="35" fillId="4" borderId="0" applyAlignment="1" pivotButton="0" quotePrefix="0" xfId="0">
      <alignment horizontal="general" vertical="bottom"/>
    </xf>
    <xf numFmtId="172" fontId="35" fillId="4" borderId="0" applyAlignment="1" pivotButton="0" quotePrefix="0" xfId="0">
      <alignment horizontal="right" vertical="bottom"/>
    </xf>
    <xf numFmtId="166" fontId="46" fillId="8" borderId="20" applyAlignment="1" pivotButton="0" quotePrefix="0" xfId="0">
      <alignment horizontal="center" vertical="bottom"/>
    </xf>
    <xf numFmtId="167" fontId="0" fillId="0" borderId="0" applyAlignment="1" pivotButton="0" quotePrefix="0" xfId="0">
      <alignment horizontal="right" vertical="bottom"/>
    </xf>
    <xf numFmtId="167" fontId="0" fillId="0" borderId="0" applyAlignment="1" pivotButton="0" quotePrefix="0" xfId="0">
      <alignment horizontal="right" vertical="bottom"/>
    </xf>
    <xf numFmtId="9" fontId="5" fillId="0" borderId="0" applyAlignment="1" pivotButton="0" quotePrefix="0" xfId="19">
      <alignment horizontal="general" vertical="bottom"/>
    </xf>
    <xf numFmtId="170" fontId="19" fillId="0" borderId="0" applyAlignment="1" pivotButton="0" quotePrefix="0" xfId="0">
      <alignment horizontal="general" vertical="bottom"/>
    </xf>
    <xf numFmtId="170" fontId="19" fillId="0" borderId="23" applyAlignment="1" pivotButton="0" quotePrefix="0" xfId="0">
      <alignment horizontal="general" vertical="bottom"/>
    </xf>
    <xf numFmtId="170" fontId="19" fillId="0" borderId="0" applyAlignment="1" pivotButton="0" quotePrefix="0" xfId="0">
      <alignment horizontal="general" vertical="bottom"/>
    </xf>
    <xf numFmtId="170" fontId="19" fillId="0" borderId="4" applyAlignment="1" pivotButton="0" quotePrefix="0" xfId="0">
      <alignment horizontal="general" vertical="bottom"/>
    </xf>
    <xf numFmtId="170" fontId="19" fillId="0" borderId="13" applyAlignment="1" pivotButton="0" quotePrefix="0" xfId="0">
      <alignment horizontal="general" vertical="bottom"/>
    </xf>
    <xf numFmtId="170" fontId="19" fillId="0" borderId="24" applyAlignment="1" pivotButton="0" quotePrefix="0" xfId="0">
      <alignment horizontal="general" vertical="bottom"/>
    </xf>
    <xf numFmtId="170" fontId="19" fillId="0" borderId="25" applyAlignment="1" pivotButton="0" quotePrefix="0" xfId="0">
      <alignment horizontal="general" vertical="bottom"/>
    </xf>
    <xf numFmtId="170" fontId="34" fillId="7" borderId="3" applyAlignment="1" pivotButton="0" quotePrefix="0" xfId="0">
      <alignment horizontal="general" vertical="bottom"/>
    </xf>
    <xf numFmtId="170" fontId="34" fillId="7" borderId="28" applyAlignment="1" pivotButton="0" quotePrefix="0" xfId="0">
      <alignment horizontal="general" vertical="bottom"/>
    </xf>
    <xf numFmtId="170" fontId="34" fillId="7" borderId="30" applyAlignment="1" pivotButton="0" quotePrefix="0" xfId="0">
      <alignment horizontal="general" vertical="bottom"/>
    </xf>
    <xf numFmtId="0" fontId="38" fillId="0" borderId="2" applyAlignment="1" pivotButton="0" quotePrefix="0" xfId="0">
      <alignment horizontal="general" vertical="bottom"/>
    </xf>
    <xf numFmtId="0" fontId="38" fillId="0" borderId="2" applyAlignment="1" pivotButton="0" quotePrefix="0" xfId="0">
      <alignment horizontal="left" vertical="bottom"/>
    </xf>
    <xf numFmtId="168" fontId="48" fillId="0" borderId="2" applyAlignment="1" pivotButton="0" quotePrefix="0" xfId="0">
      <alignment horizontal="right" vertical="bottom"/>
    </xf>
    <xf numFmtId="0" fontId="38" fillId="0" borderId="3" applyAlignment="1" pivotButton="0" quotePrefix="0" xfId="0">
      <alignment horizontal="general" vertical="bottom"/>
    </xf>
    <xf numFmtId="168" fontId="48" fillId="0" borderId="3" applyAlignment="1" pivotButton="0" quotePrefix="0" xfId="0">
      <alignment horizontal="right" vertical="bottom"/>
    </xf>
    <xf numFmtId="179" fontId="5" fillId="0" borderId="0" applyAlignment="1" pivotButton="0" quotePrefix="0" xfId="0">
      <alignment horizontal="left" vertical="bottom"/>
    </xf>
    <xf numFmtId="179" fontId="0" fillId="0" borderId="0" applyAlignment="1" pivotButton="0" quotePrefix="0" xfId="0">
      <alignment horizontal="left" vertical="bottom"/>
    </xf>
    <xf numFmtId="179" fontId="21" fillId="2" borderId="0" applyAlignment="1" pivotButton="0" quotePrefix="0" xfId="0">
      <alignment horizontal="left" vertical="center"/>
    </xf>
    <xf numFmtId="179" fontId="21" fillId="5" borderId="0" applyAlignment="1" pivotButton="0" quotePrefix="0" xfId="0">
      <alignment horizontal="left" vertical="bottom"/>
    </xf>
    <xf numFmtId="179" fontId="19" fillId="4" borderId="0" applyAlignment="1" pivotButton="0" quotePrefix="0" xfId="0">
      <alignment horizontal="left" vertical="bottom"/>
    </xf>
    <xf numFmtId="173" fontId="19" fillId="7" borderId="23" applyAlignment="1" pivotButton="0" quotePrefix="0" xfId="0">
      <alignment horizontal="general" vertical="bottom"/>
    </xf>
    <xf numFmtId="0" fontId="19" fillId="0" borderId="0" applyAlignment="1" pivotButton="0" quotePrefix="0" xfId="0">
      <alignment horizontal="left" vertical="bottom"/>
    </xf>
    <xf numFmtId="179" fontId="19" fillId="0" borderId="0" applyAlignment="1" pivotButton="0" quotePrefix="0" xfId="0">
      <alignment horizontal="left" vertical="bottom"/>
    </xf>
    <xf numFmtId="173" fontId="19" fillId="7" borderId="0" applyAlignment="1" pivotButton="0" quotePrefix="0" xfId="0">
      <alignment horizontal="general" vertical="bottom"/>
    </xf>
    <xf numFmtId="0" fontId="19" fillId="0" borderId="13" applyAlignment="1" pivotButton="0" quotePrefix="0" xfId="0">
      <alignment horizontal="left" vertical="bottom" indent="2"/>
    </xf>
    <xf numFmtId="0" fontId="19" fillId="0" borderId="13" applyAlignment="1" pivotButton="0" quotePrefix="0" xfId="0">
      <alignment horizontal="left" vertical="bottom"/>
    </xf>
    <xf numFmtId="179" fontId="19" fillId="0" borderId="13" applyAlignment="1" pivotButton="0" quotePrefix="0" xfId="0">
      <alignment horizontal="left" vertical="bottom"/>
    </xf>
    <xf numFmtId="173" fontId="19" fillId="7" borderId="24" applyAlignment="1" pivotButton="0" quotePrefix="0" xfId="0">
      <alignment horizontal="general" vertical="bottom"/>
    </xf>
    <xf numFmtId="179" fontId="19" fillId="4" borderId="13" applyAlignment="1" pivotButton="0" quotePrefix="0" xfId="0">
      <alignment horizontal="left" vertical="bottom"/>
    </xf>
    <xf numFmtId="179" fontId="34" fillId="7" borderId="3" applyAlignment="1" pivotButton="0" quotePrefix="0" xfId="0">
      <alignment horizontal="left" vertical="bottom"/>
    </xf>
    <xf numFmtId="0" fontId="5" fillId="2" borderId="0" applyAlignment="1" pivotButton="0" quotePrefix="0" xfId="25">
      <alignment horizontal="left" vertical="bottom"/>
    </xf>
    <xf numFmtId="0" fontId="5" fillId="0" borderId="0" applyAlignment="1" pivotButton="0" quotePrefix="0" xfId="25">
      <alignment horizontal="left" vertical="bottom"/>
    </xf>
    <xf numFmtId="49" fontId="5" fillId="0" borderId="0" applyAlignment="1" pivotButton="0" quotePrefix="0" xfId="25">
      <alignment horizontal="left" vertical="bottom"/>
    </xf>
    <xf numFmtId="0" fontId="27" fillId="0" borderId="0" applyAlignment="1" pivotButton="0" quotePrefix="0" xfId="25">
      <alignment horizontal="left" vertical="bottom"/>
    </xf>
    <xf numFmtId="0" fontId="28" fillId="0" borderId="0" applyAlignment="1" pivotButton="0" quotePrefix="0" xfId="25">
      <alignment horizontal="left" vertical="bottom"/>
    </xf>
    <xf numFmtId="0" fontId="29" fillId="0" borderId="0" applyAlignment="1" pivotButton="0" quotePrefix="0" xfId="25">
      <alignment horizontal="left" vertical="bottom"/>
    </xf>
    <xf numFmtId="0" fontId="24" fillId="0" borderId="0" applyAlignment="1" pivotButton="0" quotePrefix="0" xfId="25">
      <alignment horizontal="left" vertical="bottom"/>
    </xf>
    <xf numFmtId="0" fontId="5" fillId="2" borderId="0" applyAlignment="1" pivotButton="0" quotePrefix="0" xfId="25">
      <alignment horizontal="left" vertical="bottom"/>
    </xf>
    <xf numFmtId="0" fontId="5" fillId="0" borderId="0" applyAlignment="1" pivotButton="0" quotePrefix="0" xfId="25">
      <alignment horizontal="left" vertical="bottom"/>
    </xf>
    <xf numFmtId="49" fontId="21" fillId="2" borderId="0" applyAlignment="1" pivotButton="0" quotePrefix="0" xfId="25">
      <alignment horizontal="left" vertical="center"/>
    </xf>
    <xf numFmtId="173" fontId="21" fillId="2" borderId="0" applyAlignment="1" pivotButton="0" quotePrefix="0" xfId="25">
      <alignment horizontal="left" vertical="center"/>
    </xf>
    <xf numFmtId="0" fontId="35" fillId="0" borderId="0" applyAlignment="1" pivotButton="0" quotePrefix="0" xfId="25">
      <alignment horizontal="general" vertical="bottom"/>
    </xf>
    <xf numFmtId="49" fontId="21" fillId="5" borderId="0" applyAlignment="1" pivotButton="0" quotePrefix="0" xfId="25">
      <alignment horizontal="left" vertical="bottom"/>
    </xf>
    <xf numFmtId="166" fontId="21" fillId="5" borderId="0" applyAlignment="1" pivotButton="0" quotePrefix="0" xfId="25">
      <alignment horizontal="left" vertical="bottom"/>
    </xf>
    <xf numFmtId="166" fontId="21" fillId="5" borderId="15" applyAlignment="1" pivotButton="0" quotePrefix="0" xfId="25">
      <alignment horizontal="center" vertical="bottom"/>
    </xf>
    <xf numFmtId="166" fontId="21" fillId="5" borderId="0" applyAlignment="1" pivotButton="0" quotePrefix="0" xfId="25">
      <alignment horizontal="center" vertical="bottom"/>
    </xf>
    <xf numFmtId="166" fontId="21" fillId="8" borderId="15" applyAlignment="1" pivotButton="0" quotePrefix="0" xfId="25">
      <alignment horizontal="center" vertical="bottom"/>
    </xf>
    <xf numFmtId="166" fontId="21" fillId="8" borderId="20" applyAlignment="1" pivotButton="0" quotePrefix="0" xfId="25">
      <alignment horizontal="center" vertical="bottom"/>
    </xf>
    <xf numFmtId="166" fontId="21" fillId="8" borderId="0" applyAlignment="1" pivotButton="0" quotePrefix="0" xfId="25">
      <alignment horizontal="center" vertical="bottom"/>
    </xf>
    <xf numFmtId="166" fontId="21" fillId="8" borderId="0" applyAlignment="1" pivotButton="0" quotePrefix="0" xfId="25">
      <alignment horizontal="center" vertical="bottom"/>
    </xf>
    <xf numFmtId="166" fontId="21" fillId="5" borderId="6" applyAlignment="1" pivotButton="0" quotePrefix="0" xfId="25">
      <alignment horizontal="right" vertical="bottom"/>
    </xf>
    <xf numFmtId="196" fontId="21" fillId="5" borderId="7" applyAlignment="1" pivotButton="0" quotePrefix="0" xfId="25">
      <alignment horizontal="right" vertical="bottom" wrapText="1"/>
    </xf>
    <xf numFmtId="166" fontId="21" fillId="8" borderId="0" applyAlignment="1" pivotButton="0" quotePrefix="0" xfId="25">
      <alignment horizontal="right" vertical="bottom"/>
    </xf>
    <xf numFmtId="166" fontId="21" fillId="8" borderId="5" applyAlignment="1" pivotButton="0" quotePrefix="0" xfId="25">
      <alignment horizontal="right" vertical="bottom"/>
    </xf>
    <xf numFmtId="166" fontId="21" fillId="8" borderId="10" applyAlignment="1" pivotButton="0" quotePrefix="0" xfId="25">
      <alignment horizontal="right" vertical="bottom"/>
    </xf>
    <xf numFmtId="166" fontId="21" fillId="8" borderId="7" applyAlignment="1" pivotButton="0" quotePrefix="0" xfId="25">
      <alignment horizontal="right" vertical="bottom"/>
    </xf>
    <xf numFmtId="166" fontId="21" fillId="8" borderId="6" applyAlignment="1" pivotButton="0" quotePrefix="0" xfId="25">
      <alignment horizontal="right" vertical="bottom" wrapText="1"/>
    </xf>
    <xf numFmtId="166" fontId="21" fillId="8" borderId="10" applyAlignment="1" pivotButton="0" quotePrefix="0" xfId="25">
      <alignment horizontal="right" vertical="bottom" wrapText="1"/>
    </xf>
    <xf numFmtId="0" fontId="5" fillId="0" borderId="0" applyAlignment="1" pivotButton="0" quotePrefix="0" xfId="25">
      <alignment horizontal="general" vertical="bottom"/>
    </xf>
    <xf numFmtId="0" fontId="5" fillId="2" borderId="0" applyAlignment="1" pivotButton="0" quotePrefix="0" xfId="25">
      <alignment horizontal="left" vertical="top"/>
    </xf>
    <xf numFmtId="0" fontId="5" fillId="0" borderId="0" applyAlignment="1" pivotButton="0" quotePrefix="0" xfId="25">
      <alignment horizontal="left" vertical="top"/>
    </xf>
    <xf numFmtId="0" fontId="19" fillId="0" borderId="0" applyAlignment="1" pivotButton="0" quotePrefix="0" xfId="25">
      <alignment horizontal="left" vertical="top" indent="1"/>
    </xf>
    <xf numFmtId="49" fontId="19" fillId="0" borderId="0" applyAlignment="1" pivotButton="0" quotePrefix="0" xfId="25">
      <alignment horizontal="left" vertical="top"/>
    </xf>
    <xf numFmtId="196" fontId="19" fillId="0" borderId="0" applyAlignment="1" pivotButton="0" quotePrefix="0" xfId="25">
      <alignment horizontal="left" vertical="top"/>
    </xf>
    <xf numFmtId="173" fontId="19" fillId="0" borderId="0" applyAlignment="1" pivotButton="0" quotePrefix="0" xfId="25">
      <alignment horizontal="left" vertical="top"/>
    </xf>
    <xf numFmtId="173" fontId="19" fillId="0" borderId="0" applyAlignment="1" pivotButton="0" quotePrefix="0" xfId="25">
      <alignment horizontal="general" vertical="top"/>
    </xf>
    <xf numFmtId="173" fontId="7" fillId="0" borderId="0" applyAlignment="1" pivotButton="0" quotePrefix="0" xfId="25">
      <alignment horizontal="general" vertical="top"/>
    </xf>
    <xf numFmtId="0" fontId="5" fillId="0" borderId="0" applyAlignment="1" pivotButton="0" quotePrefix="0" xfId="25">
      <alignment horizontal="general" vertical="top"/>
    </xf>
    <xf numFmtId="185" fontId="19" fillId="0" borderId="0" applyAlignment="1" pivotButton="0" quotePrefix="0" xfId="25">
      <alignment horizontal="general" vertical="top"/>
    </xf>
    <xf numFmtId="185" fontId="7" fillId="0" borderId="0" applyAlignment="1" pivotButton="0" quotePrefix="0" xfId="25">
      <alignment horizontal="general" vertical="top"/>
    </xf>
    <xf numFmtId="173" fontId="19" fillId="0" borderId="23" applyAlignment="1" pivotButton="0" quotePrefix="0" xfId="25">
      <alignment horizontal="general" vertical="top"/>
    </xf>
    <xf numFmtId="173" fontId="19" fillId="0" borderId="0" applyAlignment="1" pivotButton="0" quotePrefix="0" xfId="25">
      <alignment horizontal="general" vertical="top"/>
    </xf>
    <xf numFmtId="173" fontId="19" fillId="0" borderId="4" applyAlignment="1" pivotButton="0" quotePrefix="0" xfId="25">
      <alignment horizontal="general" vertical="top"/>
    </xf>
    <xf numFmtId="0" fontId="35" fillId="0" borderId="0" applyAlignment="1" pivotButton="0" quotePrefix="0" xfId="25">
      <alignment horizontal="general" vertical="top"/>
    </xf>
    <xf numFmtId="0" fontId="5" fillId="0" borderId="0" applyAlignment="1" pivotButton="0" quotePrefix="0" xfId="25">
      <alignment horizontal="general" vertical="top"/>
    </xf>
    <xf numFmtId="173" fontId="5" fillId="0" borderId="0" applyAlignment="1" pivotButton="0" quotePrefix="0" xfId="25">
      <alignment horizontal="general" vertical="top"/>
    </xf>
    <xf numFmtId="0" fontId="5" fillId="0" borderId="0" applyAlignment="1" pivotButton="0" quotePrefix="0" xfId="25">
      <alignment horizontal="general" vertical="top"/>
    </xf>
    <xf numFmtId="0" fontId="7" fillId="0" borderId="0" applyAlignment="1" pivotButton="0" quotePrefix="0" xfId="25">
      <alignment horizontal="left" vertical="top" indent="1"/>
    </xf>
    <xf numFmtId="199" fontId="7" fillId="0" borderId="0" applyAlignment="1" pivotButton="0" quotePrefix="0" xfId="25">
      <alignment horizontal="general" vertical="top"/>
    </xf>
    <xf numFmtId="0" fontId="5" fillId="0" borderId="0" applyAlignment="1" pivotButton="0" quotePrefix="0" xfId="25">
      <alignment horizontal="general" vertical="top"/>
    </xf>
    <xf numFmtId="0" fontId="38" fillId="2" borderId="0" applyAlignment="1" pivotButton="0" quotePrefix="0" xfId="25">
      <alignment horizontal="general" vertical="top"/>
    </xf>
    <xf numFmtId="0" fontId="38" fillId="0" borderId="0" applyAlignment="1" pivotButton="0" quotePrefix="0" xfId="25">
      <alignment horizontal="general" vertical="top"/>
    </xf>
    <xf numFmtId="0" fontId="34" fillId="7" borderId="22" applyAlignment="1" pivotButton="0" quotePrefix="0" xfId="25">
      <alignment horizontal="general" vertical="top"/>
    </xf>
    <xf numFmtId="171" fontId="34" fillId="7" borderId="22" applyAlignment="1" pivotButton="0" quotePrefix="0" xfId="23">
      <alignment horizontal="general" vertical="top"/>
    </xf>
    <xf numFmtId="171" fontId="37" fillId="7" borderId="22" applyAlignment="1" pivotButton="0" quotePrefix="0" xfId="23">
      <alignment horizontal="general" vertical="top"/>
    </xf>
    <xf numFmtId="171" fontId="34" fillId="7" borderId="34" applyAlignment="1" pivotButton="0" quotePrefix="0" xfId="23">
      <alignment horizontal="general" vertical="top"/>
    </xf>
    <xf numFmtId="171" fontId="34" fillId="7" borderId="22" applyAlignment="1" pivotButton="0" quotePrefix="0" xfId="23">
      <alignment horizontal="left" vertical="top"/>
    </xf>
    <xf numFmtId="171" fontId="34" fillId="7" borderId="35" applyAlignment="1" pivotButton="0" quotePrefix="0" xfId="23">
      <alignment horizontal="general" vertical="top"/>
    </xf>
    <xf numFmtId="0" fontId="48" fillId="0" borderId="0" applyAlignment="1" pivotButton="0" quotePrefix="0" xfId="25">
      <alignment horizontal="general" vertical="top"/>
    </xf>
    <xf numFmtId="0" fontId="38" fillId="0" borderId="0" applyAlignment="1" pivotButton="0" quotePrefix="0" xfId="25">
      <alignment horizontal="general" vertical="top"/>
    </xf>
    <xf numFmtId="171" fontId="5" fillId="0" borderId="0" applyAlignment="1" pivotButton="0" quotePrefix="0" xfId="25">
      <alignment horizontal="general" vertical="bottom"/>
    </xf>
    <xf numFmtId="0" fontId="35" fillId="2" borderId="0" applyAlignment="1" pivotButton="0" quotePrefix="0" xfId="25">
      <alignment horizontal="left" vertical="bottom"/>
    </xf>
    <xf numFmtId="0" fontId="35" fillId="0" borderId="0" applyAlignment="1" pivotButton="0" quotePrefix="0" xfId="25">
      <alignment horizontal="left" vertical="bottom"/>
    </xf>
    <xf numFmtId="49" fontId="35" fillId="0" borderId="0" applyAlignment="1" pivotButton="0" quotePrefix="0" xfId="25">
      <alignment horizontal="left" vertical="bottom"/>
    </xf>
    <xf numFmtId="173" fontId="25" fillId="4" borderId="0" applyAlignment="1" pivotButton="0" quotePrefix="0" xfId="25">
      <alignment horizontal="general" vertical="bottom"/>
    </xf>
    <xf numFmtId="173" fontId="25" fillId="0" borderId="0" applyAlignment="1" pivotButton="0" quotePrefix="0" xfId="25">
      <alignment horizontal="general" vertical="bottom"/>
    </xf>
    <xf numFmtId="173" fontId="25" fillId="0" borderId="0" applyAlignment="1" pivotButton="0" quotePrefix="0" xfId="25">
      <alignment horizontal="general" vertical="bottom"/>
    </xf>
    <xf numFmtId="0" fontId="35" fillId="0" borderId="0" applyAlignment="1" pivotButton="0" quotePrefix="0" xfId="25">
      <alignment horizontal="general" vertical="bottom"/>
    </xf>
    <xf numFmtId="173" fontId="26" fillId="0" borderId="0" applyAlignment="1" pivotButton="0" quotePrefix="0" xfId="25">
      <alignment horizontal="general" vertical="bottom"/>
    </xf>
    <xf numFmtId="173" fontId="26" fillId="0" borderId="0" applyAlignment="1" pivotButton="0" quotePrefix="0" xfId="25">
      <alignment horizontal="general" vertical="bottom"/>
    </xf>
    <xf numFmtId="0" fontId="7" fillId="2" borderId="0" applyAlignment="1" pivotButton="0" quotePrefix="0" xfId="80">
      <alignment horizontal="left" vertical="center"/>
    </xf>
    <xf numFmtId="0" fontId="7" fillId="0" borderId="0" applyAlignment="1" pivotButton="0" quotePrefix="0" xfId="80">
      <alignment horizontal="left" vertical="center"/>
    </xf>
    <xf numFmtId="0" fontId="7" fillId="0" borderId="0" applyAlignment="1" pivotButton="0" quotePrefix="0" xfId="80">
      <alignment horizontal="general" vertical="center"/>
    </xf>
    <xf numFmtId="0" fontId="27" fillId="0" borderId="0" applyAlignment="1" pivotButton="0" quotePrefix="0" xfId="80">
      <alignment horizontal="left" vertical="bottom"/>
    </xf>
    <xf numFmtId="0" fontId="28" fillId="0" borderId="0" applyAlignment="1" pivotButton="0" quotePrefix="0" xfId="80">
      <alignment horizontal="left" vertical="bottom"/>
    </xf>
    <xf numFmtId="0" fontId="29" fillId="0" borderId="0" applyAlignment="1" pivotButton="0" quotePrefix="0" xfId="80">
      <alignment horizontal="left" vertical="bottom"/>
    </xf>
    <xf numFmtId="0" fontId="24" fillId="0" borderId="0" applyAlignment="1" pivotButton="0" quotePrefix="0" xfId="80">
      <alignment horizontal="left" vertical="bottom"/>
    </xf>
    <xf numFmtId="0" fontId="7" fillId="0" borderId="0" applyAlignment="1" pivotButton="0" quotePrefix="0" xfId="0">
      <alignment horizontal="general" vertical="center"/>
    </xf>
    <xf numFmtId="0" fontId="21" fillId="5" borderId="0" applyAlignment="1" pivotButton="0" quotePrefix="0" xfId="80">
      <alignment horizontal="left" vertical="center"/>
    </xf>
    <xf numFmtId="173" fontId="21" fillId="5" borderId="0" applyAlignment="1" pivotButton="0" quotePrefix="0" xfId="80">
      <alignment horizontal="left" vertical="center"/>
    </xf>
    <xf numFmtId="173" fontId="21" fillId="5" borderId="0" applyAlignment="1" pivotButton="0" quotePrefix="0" xfId="80">
      <alignment horizontal="center" vertical="center"/>
    </xf>
    <xf numFmtId="173" fontId="21" fillId="6" borderId="0" applyAlignment="1" pivotButton="0" quotePrefix="0" xfId="80">
      <alignment horizontal="center" vertical="center"/>
    </xf>
    <xf numFmtId="0" fontId="7" fillId="2" borderId="0" applyAlignment="1" pivotButton="0" quotePrefix="0" xfId="80">
      <alignment horizontal="left" vertical="bottom"/>
    </xf>
    <xf numFmtId="0" fontId="7" fillId="0" borderId="0" applyAlignment="1" pivotButton="0" quotePrefix="0" xfId="80">
      <alignment horizontal="left" vertical="bottom"/>
    </xf>
    <xf numFmtId="0" fontId="21" fillId="5" borderId="0" applyAlignment="1" pivotButton="0" quotePrefix="0" xfId="80">
      <alignment horizontal="left" vertical="bottom"/>
    </xf>
    <xf numFmtId="166" fontId="21" fillId="5" borderId="0" applyAlignment="1" pivotButton="0" quotePrefix="0" xfId="80">
      <alignment horizontal="left" vertical="bottom"/>
    </xf>
    <xf numFmtId="0" fontId="21" fillId="5" borderId="0" applyAlignment="1" pivotButton="0" quotePrefix="0" xfId="80">
      <alignment horizontal="left" vertical="bottom" wrapText="1"/>
    </xf>
    <xf numFmtId="166" fontId="21" fillId="5" borderId="0" applyAlignment="1" pivotButton="0" quotePrefix="0" xfId="80">
      <alignment horizontal="left" vertical="bottom" wrapText="1"/>
    </xf>
    <xf numFmtId="166" fontId="21" fillId="5" borderId="10" applyAlignment="1" pivotButton="0" quotePrefix="0" xfId="80">
      <alignment horizontal="right" vertical="bottom"/>
    </xf>
    <xf numFmtId="166" fontId="21" fillId="5" borderId="6" applyAlignment="1" pivotButton="0" quotePrefix="0" xfId="80">
      <alignment horizontal="right" vertical="bottom" wrapText="1"/>
    </xf>
    <xf numFmtId="166" fontId="21" fillId="5" borderId="10" applyAlignment="1" pivotButton="0" quotePrefix="0" xfId="80">
      <alignment horizontal="right" vertical="bottom" wrapText="1"/>
    </xf>
    <xf numFmtId="0" fontId="7" fillId="0" borderId="0" applyAlignment="1" pivotButton="0" quotePrefix="0" xfId="80">
      <alignment horizontal="general" vertical="bottom"/>
    </xf>
    <xf numFmtId="166" fontId="21" fillId="6" borderId="10" applyAlignment="1" pivotButton="0" quotePrefix="0" xfId="80">
      <alignment horizontal="right" vertical="bottom"/>
    </xf>
    <xf numFmtId="166" fontId="21" fillId="6" borderId="6" applyAlignment="1" pivotButton="0" quotePrefix="0" xfId="80">
      <alignment horizontal="right" vertical="bottom" wrapText="1"/>
    </xf>
    <xf numFmtId="166" fontId="21" fillId="6" borderId="10" applyAlignment="1" pivotButton="0" quotePrefix="0" xfId="80">
      <alignment horizontal="right" vertical="bottom" wrapText="1"/>
    </xf>
    <xf numFmtId="0" fontId="19" fillId="4" borderId="0" applyAlignment="1" pivotButton="0" quotePrefix="0" xfId="0">
      <alignment horizontal="left" vertical="center" indent="1"/>
    </xf>
    <xf numFmtId="173" fontId="19" fillId="4" borderId="0" applyAlignment="1" pivotButton="0" quotePrefix="0" xfId="0">
      <alignment horizontal="general" vertical="center"/>
    </xf>
    <xf numFmtId="196" fontId="19" fillId="4" borderId="0" applyAlignment="1" pivotButton="0" quotePrefix="0" xfId="0">
      <alignment horizontal="general" vertical="center"/>
    </xf>
    <xf numFmtId="173" fontId="19" fillId="4" borderId="4" applyAlignment="1" pivotButton="0" quotePrefix="0" xfId="0">
      <alignment horizontal="general" vertical="center"/>
    </xf>
    <xf numFmtId="174" fontId="25" fillId="4" borderId="0" applyAlignment="1" pivotButton="0" quotePrefix="0" xfId="0">
      <alignment horizontal="general" vertical="center"/>
    </xf>
    <xf numFmtId="174" fontId="25" fillId="4" borderId="4" applyAlignment="1" pivotButton="0" quotePrefix="0" xfId="0">
      <alignment horizontal="general" vertical="center"/>
    </xf>
    <xf numFmtId="196" fontId="19" fillId="4" borderId="13" applyAlignment="1" pivotButton="0" quotePrefix="0" xfId="0">
      <alignment horizontal="general" vertical="center"/>
    </xf>
    <xf numFmtId="174" fontId="25" fillId="4" borderId="13" applyAlignment="1" pivotButton="0" quotePrefix="0" xfId="0">
      <alignment horizontal="general" vertical="center"/>
    </xf>
    <xf numFmtId="174" fontId="25" fillId="4" borderId="25" applyAlignment="1" pivotButton="0" quotePrefix="0" xfId="0">
      <alignment horizontal="general" vertical="center"/>
    </xf>
    <xf numFmtId="0" fontId="19" fillId="4" borderId="0" applyAlignment="1" pivotButton="0" quotePrefix="0" xfId="0">
      <alignment horizontal="left" vertical="center"/>
    </xf>
    <xf numFmtId="189" fontId="22" fillId="2" borderId="0" applyAlignment="1" pivotButton="0" quotePrefix="0" xfId="80">
      <alignment horizontal="left" vertical="center"/>
    </xf>
    <xf numFmtId="0" fontId="19" fillId="4" borderId="13" applyAlignment="1" pivotButton="0" quotePrefix="0" xfId="0">
      <alignment horizontal="left" vertical="center"/>
    </xf>
    <xf numFmtId="173" fontId="34" fillId="7" borderId="3" applyAlignment="1" pivotButton="0" quotePrefix="0" xfId="0">
      <alignment horizontal="general" vertical="center"/>
    </xf>
    <xf numFmtId="173" fontId="34" fillId="7" borderId="30" applyAlignment="1" pivotButton="0" quotePrefix="0" xfId="0">
      <alignment horizontal="general" vertical="center"/>
    </xf>
    <xf numFmtId="174" fontId="47" fillId="7" borderId="3" applyAlignment="1" pivotButton="0" quotePrefix="0" xfId="0">
      <alignment horizontal="general" vertical="center"/>
    </xf>
    <xf numFmtId="174" fontId="47" fillId="7" borderId="30" applyAlignment="1" pivotButton="0" quotePrefix="0" xfId="0">
      <alignment horizontal="general" vertical="center"/>
    </xf>
    <xf numFmtId="189" fontId="22" fillId="0" borderId="0" applyAlignment="1" pivotButton="0" quotePrefix="0" xfId="80">
      <alignment horizontal="left" vertical="center"/>
    </xf>
    <xf numFmtId="0" fontId="22" fillId="0" borderId="0" applyAlignment="1" pivotButton="0" quotePrefix="0" xfId="80">
      <alignment horizontal="general" vertical="center"/>
    </xf>
    <xf numFmtId="0" fontId="22" fillId="0" borderId="0" applyAlignment="1" pivotButton="0" quotePrefix="0" xfId="80">
      <alignment horizontal="left" vertical="center"/>
    </xf>
    <xf numFmtId="189" fontId="22" fillId="0" borderId="0" applyAlignment="1" pivotButton="0" quotePrefix="0" xfId="80">
      <alignment horizontal="general" vertical="center"/>
    </xf>
    <xf numFmtId="0" fontId="7" fillId="0" borderId="0" applyAlignment="1" pivotButton="0" quotePrefix="0" xfId="80">
      <alignment horizontal="left" vertical="center" indent="2"/>
    </xf>
    <xf numFmtId="167" fontId="7" fillId="0" borderId="0" applyAlignment="1" pivotButton="0" quotePrefix="0" xfId="80">
      <alignment horizontal="right" vertical="center"/>
    </xf>
    <xf numFmtId="0" fontId="7" fillId="4" borderId="13" applyAlignment="1" pivotButton="0" quotePrefix="0" xfId="80">
      <alignment horizontal="left" vertical="center" indent="2"/>
    </xf>
    <xf numFmtId="0" fontId="7" fillId="4" borderId="13" applyAlignment="1" pivotButton="0" quotePrefix="0" xfId="80">
      <alignment horizontal="left" vertical="center"/>
    </xf>
    <xf numFmtId="167" fontId="7" fillId="4" borderId="13" applyAlignment="1" pivotButton="0" quotePrefix="0" xfId="80">
      <alignment horizontal="right" vertical="center"/>
    </xf>
    <xf numFmtId="0" fontId="7" fillId="4" borderId="13" applyAlignment="1" pivotButton="0" quotePrefix="0" xfId="80">
      <alignment horizontal="general" vertical="center"/>
    </xf>
    <xf numFmtId="0" fontId="7" fillId="0" borderId="0" applyAlignment="1" pivotButton="0" quotePrefix="0" xfId="80">
      <alignment horizontal="left" vertical="center" indent="1"/>
    </xf>
    <xf numFmtId="167" fontId="7" fillId="0" borderId="0" applyAlignment="1" pivotButton="0" quotePrefix="0" xfId="80">
      <alignment horizontal="general" vertical="center"/>
    </xf>
    <xf numFmtId="167" fontId="7" fillId="4" borderId="13" applyAlignment="1" pivotButton="0" quotePrefix="0" xfId="80">
      <alignment horizontal="general" vertical="center"/>
    </xf>
    <xf numFmtId="0" fontId="7" fillId="2" borderId="0" applyAlignment="1" pivotButton="0" quotePrefix="0" xfId="80">
      <alignment horizontal="left" vertical="center"/>
    </xf>
    <xf numFmtId="0" fontId="7" fillId="0" borderId="0" applyAlignment="1" pivotButton="0" quotePrefix="0" xfId="80">
      <alignment horizontal="left" vertical="center"/>
    </xf>
    <xf numFmtId="0" fontId="21" fillId="2" borderId="0" applyAlignment="1" pivotButton="0" quotePrefix="0" xfId="80">
      <alignment horizontal="left" vertical="center"/>
    </xf>
    <xf numFmtId="173" fontId="21" fillId="2" borderId="0" applyAlignment="1" pivotButton="0" quotePrefix="0" xfId="80">
      <alignment horizontal="left" vertical="center"/>
    </xf>
    <xf numFmtId="173" fontId="21" fillId="2" borderId="0" applyAlignment="1" pivotButton="0" quotePrefix="0" xfId="80">
      <alignment horizontal="general" vertical="center"/>
    </xf>
    <xf numFmtId="0" fontId="7" fillId="0" borderId="0" applyAlignment="1" pivotButton="0" quotePrefix="0" xfId="80">
      <alignment horizontal="general" vertical="center"/>
    </xf>
    <xf numFmtId="0" fontId="19" fillId="4" borderId="0" applyAlignment="1" pivotButton="0" quotePrefix="0" xfId="80">
      <alignment horizontal="left" vertical="center" indent="2"/>
    </xf>
    <xf numFmtId="173" fontId="19" fillId="4" borderId="0" applyAlignment="1" pivotButton="0" quotePrefix="0" xfId="80">
      <alignment horizontal="left" vertical="center"/>
    </xf>
    <xf numFmtId="0" fontId="19" fillId="4" borderId="0" applyAlignment="1" pivotButton="0" quotePrefix="0" xfId="80">
      <alignment horizontal="left" vertical="center"/>
    </xf>
    <xf numFmtId="196" fontId="19" fillId="4" borderId="0" applyAlignment="1" pivotButton="0" quotePrefix="0" xfId="80">
      <alignment horizontal="left" vertical="center"/>
    </xf>
    <xf numFmtId="173" fontId="19" fillId="4" borderId="0" applyAlignment="1" pivotButton="0" quotePrefix="0" xfId="80">
      <alignment horizontal="general" vertical="center"/>
    </xf>
    <xf numFmtId="173" fontId="19" fillId="4" borderId="4" applyAlignment="1" pivotButton="0" quotePrefix="0" xfId="80">
      <alignment horizontal="general" vertical="center"/>
    </xf>
    <xf numFmtId="168" fontId="25" fillId="4" borderId="0" applyAlignment="1" pivotButton="0" quotePrefix="0" xfId="80">
      <alignment horizontal="right" vertical="center"/>
    </xf>
    <xf numFmtId="168" fontId="25" fillId="4" borderId="4" applyAlignment="1" pivotButton="0" quotePrefix="0" xfId="80">
      <alignment horizontal="right" vertical="center"/>
    </xf>
    <xf numFmtId="0" fontId="19" fillId="4" borderId="13" applyAlignment="1" pivotButton="0" quotePrefix="0" xfId="80">
      <alignment horizontal="left" vertical="center" indent="2"/>
    </xf>
    <xf numFmtId="173" fontId="19" fillId="4" borderId="13" applyAlignment="1" pivotButton="0" quotePrefix="0" xfId="80">
      <alignment horizontal="left" vertical="center"/>
    </xf>
    <xf numFmtId="0" fontId="19" fillId="4" borderId="13" applyAlignment="1" pivotButton="0" quotePrefix="0" xfId="80">
      <alignment horizontal="left" vertical="center"/>
    </xf>
    <xf numFmtId="196" fontId="19" fillId="4" borderId="13" applyAlignment="1" pivotButton="0" quotePrefix="0" xfId="80">
      <alignment horizontal="left" vertical="center"/>
    </xf>
    <xf numFmtId="173" fontId="19" fillId="4" borderId="13" applyAlignment="1" pivotButton="0" quotePrefix="0" xfId="80">
      <alignment horizontal="general" vertical="center"/>
    </xf>
    <xf numFmtId="173" fontId="19" fillId="4" borderId="25" applyAlignment="1" pivotButton="0" quotePrefix="0" xfId="80">
      <alignment horizontal="general" vertical="center"/>
    </xf>
    <xf numFmtId="168" fontId="25" fillId="4" borderId="13" applyAlignment="1" pivotButton="0" quotePrefix="0" xfId="80">
      <alignment horizontal="right" vertical="center"/>
    </xf>
    <xf numFmtId="168" fontId="25" fillId="4" borderId="25" applyAlignment="1" pivotButton="0" quotePrefix="0" xfId="80">
      <alignment horizontal="right" vertical="center"/>
    </xf>
    <xf numFmtId="0" fontId="19" fillId="4" borderId="0" applyAlignment="1" pivotButton="0" quotePrefix="0" xfId="80">
      <alignment horizontal="left" vertical="center" indent="1"/>
    </xf>
    <xf numFmtId="173" fontId="19" fillId="0" borderId="0" applyAlignment="1" pivotButton="0" quotePrefix="0" xfId="80">
      <alignment horizontal="general" vertical="center"/>
    </xf>
    <xf numFmtId="173" fontId="19" fillId="0" borderId="13" applyAlignment="1" pivotButton="0" quotePrefix="0" xfId="80">
      <alignment horizontal="general" vertical="center"/>
    </xf>
    <xf numFmtId="0" fontId="19" fillId="4" borderId="13" applyAlignment="1" pivotButton="0" quotePrefix="0" xfId="80">
      <alignment horizontal="left" vertical="center" indent="1"/>
    </xf>
    <xf numFmtId="0" fontId="34" fillId="7" borderId="3" applyAlignment="1" pivotButton="0" quotePrefix="0" xfId="80">
      <alignment horizontal="left" vertical="center"/>
    </xf>
    <xf numFmtId="173" fontId="34" fillId="7" borderId="3" applyAlignment="1" pivotButton="0" quotePrefix="0" xfId="80">
      <alignment horizontal="left" vertical="center"/>
    </xf>
    <xf numFmtId="173" fontId="34" fillId="7" borderId="3" applyAlignment="1" pivotButton="0" quotePrefix="0" xfId="80">
      <alignment horizontal="general" vertical="center"/>
    </xf>
    <xf numFmtId="173" fontId="34" fillId="7" borderId="30" applyAlignment="1" pivotButton="0" quotePrefix="0" xfId="80">
      <alignment horizontal="general" vertical="center"/>
    </xf>
    <xf numFmtId="168" fontId="47" fillId="7" borderId="3" applyAlignment="1" pivotButton="0" quotePrefix="0" xfId="80">
      <alignment horizontal="right" vertical="center"/>
    </xf>
    <xf numFmtId="168" fontId="47" fillId="7" borderId="30" applyAlignment="1" pivotButton="0" quotePrefix="0" xfId="80">
      <alignment horizontal="right" vertical="center"/>
    </xf>
    <xf numFmtId="0" fontId="21" fillId="5" borderId="0" applyAlignment="1" pivotButton="0" quotePrefix="0" xfId="0">
      <alignment horizontal="center" vertical="bottom"/>
    </xf>
    <xf numFmtId="166" fontId="21" fillId="5" borderId="20" applyAlignment="1" pivotButton="0" quotePrefix="0" xfId="0">
      <alignment horizontal="center" vertical="bottom"/>
    </xf>
    <xf numFmtId="166" fontId="21" fillId="5" borderId="0" applyAlignment="1" pivotButton="0" quotePrefix="0" xfId="0">
      <alignment horizontal="center" vertical="bottom"/>
    </xf>
    <xf numFmtId="166" fontId="21" fillId="5" borderId="0" applyAlignment="1" pivotButton="0" quotePrefix="0" xfId="0">
      <alignment horizontal="center" vertical="bottom"/>
    </xf>
    <xf numFmtId="0" fontId="21" fillId="5" borderId="0" applyAlignment="1" pivotButton="0" quotePrefix="0" xfId="0">
      <alignment horizontal="right" vertical="bottom" wrapText="1"/>
    </xf>
    <xf numFmtId="196" fontId="21" fillId="5" borderId="10" applyAlignment="1" pivotButton="0" quotePrefix="0" xfId="0">
      <alignment horizontal="right" vertical="bottom"/>
    </xf>
    <xf numFmtId="196" fontId="21" fillId="5" borderId="7" applyAlignment="1" pivotButton="0" quotePrefix="0" xfId="0">
      <alignment horizontal="right" vertical="bottom"/>
    </xf>
    <xf numFmtId="196" fontId="21" fillId="5" borderId="7" applyAlignment="1" pivotButton="0" quotePrefix="0" xfId="0">
      <alignment horizontal="right" vertical="bottom" wrapText="1"/>
    </xf>
    <xf numFmtId="0" fontId="19" fillId="4" borderId="0" applyAlignment="1" pivotButton="0" quotePrefix="0" xfId="0">
      <alignment horizontal="general" vertical="bottom"/>
    </xf>
    <xf numFmtId="189" fontId="19" fillId="4" borderId="0" applyAlignment="1" pivotButton="0" quotePrefix="0" xfId="0">
      <alignment horizontal="general" vertical="bottom"/>
    </xf>
    <xf numFmtId="173" fontId="19" fillId="16" borderId="0" applyAlignment="1" pivotButton="0" quotePrefix="0" xfId="0">
      <alignment horizontal="general" vertical="bottom"/>
    </xf>
    <xf numFmtId="173" fontId="19" fillId="16" borderId="23" applyAlignment="1" pivotButton="0" quotePrefix="0" xfId="0">
      <alignment horizontal="general" vertical="bottom"/>
    </xf>
    <xf numFmtId="173" fontId="19" fillId="16" borderId="4" applyAlignment="1" pivotButton="0" quotePrefix="0" xfId="0">
      <alignment horizontal="general" vertical="bottom"/>
    </xf>
    <xf numFmtId="166" fontId="19" fillId="4" borderId="0" applyAlignment="1" pivotButton="0" quotePrefix="0" xfId="0">
      <alignment horizontal="left" vertical="bottom" indent="2"/>
    </xf>
    <xf numFmtId="194" fontId="19" fillId="4" borderId="0" applyAlignment="1" pivotButton="0" quotePrefix="0" xfId="0">
      <alignment horizontal="left" vertical="bottom" indent="2"/>
    </xf>
    <xf numFmtId="0" fontId="19" fillId="4" borderId="13" applyAlignment="1" pivotButton="0" quotePrefix="0" xfId="0">
      <alignment horizontal="general" vertical="bottom"/>
    </xf>
    <xf numFmtId="189" fontId="19" fillId="4" borderId="13" applyAlignment="1" pivotButton="0" quotePrefix="0" xfId="0">
      <alignment horizontal="general" vertical="bottom"/>
    </xf>
    <xf numFmtId="173" fontId="19" fillId="16" borderId="13" applyAlignment="1" pivotButton="0" quotePrefix="0" xfId="0">
      <alignment horizontal="general" vertical="bottom"/>
    </xf>
    <xf numFmtId="173" fontId="19" fillId="16" borderId="24" applyAlignment="1" pivotButton="0" quotePrefix="0" xfId="0">
      <alignment horizontal="general" vertical="bottom"/>
    </xf>
    <xf numFmtId="173" fontId="19" fillId="16" borderId="25" applyAlignment="1" pivotButton="0" quotePrefix="0" xfId="0">
      <alignment horizontal="general" vertical="bottom"/>
    </xf>
    <xf numFmtId="0" fontId="34" fillId="7" borderId="3" applyAlignment="1" pivotButton="0" quotePrefix="0" xfId="0">
      <alignment horizontal="general" vertical="bottom"/>
    </xf>
    <xf numFmtId="189" fontId="34" fillId="7" borderId="3" applyAlignment="1" pivotButton="0" quotePrefix="0" xfId="0">
      <alignment horizontal="general" vertical="bottom"/>
    </xf>
    <xf numFmtId="189" fontId="35" fillId="2" borderId="0" applyAlignment="1" pivotButton="0" quotePrefix="0" xfId="0">
      <alignment horizontal="left" vertical="bottom"/>
    </xf>
    <xf numFmtId="189" fontId="35" fillId="0" borderId="0" applyAlignment="1" pivotButton="0" quotePrefix="0" xfId="0">
      <alignment horizontal="left" vertical="bottom"/>
    </xf>
    <xf numFmtId="189" fontId="35" fillId="0" borderId="0" applyAlignment="1" pivotButton="0" quotePrefix="0" xfId="0">
      <alignment horizontal="general" vertical="bottom"/>
    </xf>
    <xf numFmtId="0" fontId="35" fillId="4" borderId="13" applyAlignment="1" pivotButton="0" quotePrefix="0" xfId="0">
      <alignment horizontal="general" vertical="bottom"/>
    </xf>
    <xf numFmtId="189" fontId="35" fillId="4" borderId="13" applyAlignment="1" pivotButton="0" quotePrefix="0" xfId="0">
      <alignment horizontal="general" vertical="bottom"/>
    </xf>
    <xf numFmtId="0" fontId="5" fillId="2" borderId="0" applyAlignment="1" pivotButton="0" quotePrefix="0" xfId="81">
      <alignment horizontal="left" vertical="bottom"/>
    </xf>
    <xf numFmtId="0" fontId="5" fillId="0" borderId="0" applyAlignment="1" pivotButton="0" quotePrefix="0" xfId="81">
      <alignment horizontal="left" vertical="bottom"/>
    </xf>
    <xf numFmtId="0" fontId="5" fillId="0" borderId="0" applyAlignment="1" pivotButton="0" quotePrefix="0" xfId="81">
      <alignment horizontal="general" vertical="bottom"/>
    </xf>
    <xf numFmtId="0" fontId="5" fillId="0" borderId="0" applyAlignment="1" pivotButton="0" quotePrefix="0" xfId="81">
      <alignment horizontal="left" vertical="bottom"/>
    </xf>
    <xf numFmtId="0" fontId="5" fillId="0" borderId="0" applyAlignment="1" pivotButton="0" quotePrefix="0" xfId="81">
      <alignment horizontal="general" vertical="bottom"/>
    </xf>
    <xf numFmtId="0" fontId="27" fillId="0" borderId="0" applyAlignment="1" pivotButton="0" quotePrefix="0" xfId="81">
      <alignment horizontal="left" vertical="bottom"/>
    </xf>
    <xf numFmtId="0" fontId="28" fillId="0" borderId="0" applyAlignment="1" pivotButton="0" quotePrefix="0" xfId="81">
      <alignment horizontal="left" vertical="bottom"/>
    </xf>
    <xf numFmtId="0" fontId="29" fillId="0" borderId="0" applyAlignment="1" pivotButton="0" quotePrefix="0" xfId="81">
      <alignment horizontal="left" vertical="bottom"/>
    </xf>
    <xf numFmtId="0" fontId="24" fillId="0" borderId="0" applyAlignment="1" pivotButton="0" quotePrefix="0" xfId="81">
      <alignment horizontal="left" vertical="bottom"/>
    </xf>
    <xf numFmtId="0" fontId="5" fillId="2" borderId="0" applyAlignment="1" pivotButton="0" quotePrefix="0" xfId="81">
      <alignment horizontal="left" vertical="bottom"/>
    </xf>
    <xf numFmtId="0" fontId="21" fillId="2" borderId="0" applyAlignment="1" pivotButton="0" quotePrefix="0" xfId="81">
      <alignment horizontal="left" vertical="center"/>
    </xf>
    <xf numFmtId="173" fontId="21" fillId="2" borderId="0" applyAlignment="1" pivotButton="0" quotePrefix="0" xfId="81">
      <alignment horizontal="general" vertical="center"/>
    </xf>
    <xf numFmtId="0" fontId="21" fillId="5" borderId="0" applyAlignment="1" pivotButton="0" quotePrefix="0" xfId="81">
      <alignment horizontal="left" vertical="bottom"/>
    </xf>
    <xf numFmtId="0" fontId="21" fillId="5" borderId="0" applyAlignment="1" pivotButton="0" quotePrefix="0" xfId="81">
      <alignment horizontal="left" vertical="bottom"/>
    </xf>
    <xf numFmtId="166" fontId="21" fillId="5" borderId="0" applyAlignment="1" pivotButton="0" quotePrefix="0" xfId="81">
      <alignment horizontal="center" vertical="bottom"/>
    </xf>
    <xf numFmtId="166" fontId="21" fillId="5" borderId="15" applyAlignment="1" pivotButton="0" quotePrefix="0" xfId="81">
      <alignment horizontal="center" vertical="bottom"/>
    </xf>
    <xf numFmtId="166" fontId="21" fillId="5" borderId="15" applyAlignment="1" pivotButton="0" quotePrefix="0" xfId="81">
      <alignment horizontal="center" vertical="bottom" wrapText="1"/>
    </xf>
    <xf numFmtId="166" fontId="21" fillId="6" borderId="0" applyAlignment="1" pivotButton="0" quotePrefix="0" xfId="81">
      <alignment horizontal="center" vertical="bottom"/>
    </xf>
    <xf numFmtId="166" fontId="21" fillId="6" borderId="15" applyAlignment="1" pivotButton="0" quotePrefix="0" xfId="81">
      <alignment horizontal="center" vertical="bottom"/>
    </xf>
    <xf numFmtId="166" fontId="21" fillId="6" borderId="15" applyAlignment="1" pivotButton="0" quotePrefix="0" xfId="81">
      <alignment horizontal="center" vertical="bottom" wrapText="1"/>
    </xf>
    <xf numFmtId="166" fontId="21" fillId="5" borderId="10" applyAlignment="1" pivotButton="0" quotePrefix="0" xfId="81">
      <alignment horizontal="right" vertical="bottom"/>
    </xf>
    <xf numFmtId="166" fontId="21" fillId="5" borderId="5" applyAlignment="1" pivotButton="0" quotePrefix="0" xfId="81">
      <alignment horizontal="right" vertical="bottom"/>
    </xf>
    <xf numFmtId="166" fontId="21" fillId="5" borderId="6" applyAlignment="1" pivotButton="0" quotePrefix="0" xfId="81">
      <alignment horizontal="right" vertical="bottom" wrapText="1"/>
    </xf>
    <xf numFmtId="166" fontId="21" fillId="5" borderId="7" applyAlignment="1" pivotButton="0" quotePrefix="0" xfId="81">
      <alignment horizontal="right" vertical="bottom" wrapText="1"/>
    </xf>
    <xf numFmtId="166" fontId="21" fillId="6" borderId="10" applyAlignment="1" pivotButton="0" quotePrefix="0" xfId="81">
      <alignment horizontal="right" vertical="bottom"/>
    </xf>
    <xf numFmtId="166" fontId="21" fillId="6" borderId="5" applyAlignment="1" pivotButton="0" quotePrefix="0" xfId="81">
      <alignment horizontal="right" vertical="bottom"/>
    </xf>
    <xf numFmtId="166" fontId="21" fillId="6" borderId="5" applyAlignment="1" pivotButton="0" quotePrefix="0" xfId="81">
      <alignment horizontal="right" vertical="bottom" wrapText="1"/>
    </xf>
    <xf numFmtId="166" fontId="21" fillId="6" borderId="7" applyAlignment="1" pivotButton="0" quotePrefix="0" xfId="81">
      <alignment horizontal="right" vertical="bottom" wrapText="1"/>
    </xf>
    <xf numFmtId="0" fontId="19" fillId="0" borderId="0" applyAlignment="1" pivotButton="0" quotePrefix="0" xfId="81">
      <alignment horizontal="left" vertical="bottom" indent="3"/>
    </xf>
    <xf numFmtId="0" fontId="19" fillId="0" borderId="0" applyAlignment="1" pivotButton="0" quotePrefix="0" xfId="81">
      <alignment horizontal="left" vertical="bottom"/>
    </xf>
    <xf numFmtId="0" fontId="19" fillId="0" borderId="0" applyAlignment="1" pivotButton="0" quotePrefix="0" xfId="81">
      <alignment horizontal="left" vertical="bottom"/>
    </xf>
    <xf numFmtId="173" fontId="19" fillId="4" borderId="0" applyAlignment="1" pivotButton="0" quotePrefix="0" xfId="81">
      <alignment horizontal="general" vertical="bottom"/>
    </xf>
    <xf numFmtId="173" fontId="19" fillId="4" borderId="0" applyAlignment="1" pivotButton="0" quotePrefix="0" xfId="81">
      <alignment horizontal="general" vertical="bottom"/>
    </xf>
    <xf numFmtId="173" fontId="19" fillId="4" borderId="58" applyAlignment="1" pivotButton="0" quotePrefix="0" xfId="81">
      <alignment horizontal="general" vertical="bottom"/>
    </xf>
    <xf numFmtId="168" fontId="25" fillId="4" borderId="0" applyAlignment="1" pivotButton="0" quotePrefix="0" xfId="81">
      <alignment horizontal="right" vertical="bottom"/>
    </xf>
    <xf numFmtId="168" fontId="25" fillId="4" borderId="0" applyAlignment="1" pivotButton="0" quotePrefix="0" xfId="81">
      <alignment horizontal="right" vertical="bottom"/>
    </xf>
    <xf numFmtId="168" fontId="25" fillId="4" borderId="4" applyAlignment="1" pivotButton="0" quotePrefix="0" xfId="81">
      <alignment horizontal="right" vertical="bottom"/>
    </xf>
    <xf numFmtId="0" fontId="19" fillId="0" borderId="13" applyAlignment="1" pivotButton="0" quotePrefix="0" xfId="81">
      <alignment horizontal="left" vertical="bottom" indent="3"/>
    </xf>
    <xf numFmtId="0" fontId="19" fillId="0" borderId="13" applyAlignment="1" pivotButton="0" quotePrefix="0" xfId="81">
      <alignment horizontal="left" vertical="bottom"/>
    </xf>
    <xf numFmtId="173" fontId="19" fillId="4" borderId="13" applyAlignment="1" pivotButton="0" quotePrefix="0" xfId="81">
      <alignment horizontal="general" vertical="bottom"/>
    </xf>
    <xf numFmtId="173" fontId="19" fillId="4" borderId="59" applyAlignment="1" pivotButton="0" quotePrefix="0" xfId="81">
      <alignment horizontal="general" vertical="bottom"/>
    </xf>
    <xf numFmtId="168" fontId="25" fillId="4" borderId="13" applyAlignment="1" pivotButton="0" quotePrefix="0" xfId="81">
      <alignment horizontal="right" vertical="bottom"/>
    </xf>
    <xf numFmtId="168" fontId="25" fillId="4" borderId="25" applyAlignment="1" pivotButton="0" quotePrefix="0" xfId="81">
      <alignment horizontal="right" vertical="bottom"/>
    </xf>
    <xf numFmtId="0" fontId="19" fillId="0" borderId="13" applyAlignment="1" pivotButton="0" quotePrefix="0" xfId="81">
      <alignment horizontal="left" vertical="bottom" indent="2"/>
    </xf>
    <xf numFmtId="0" fontId="19" fillId="0" borderId="0" applyAlignment="1" pivotButton="0" quotePrefix="0" xfId="81">
      <alignment horizontal="left" vertical="bottom" indent="1"/>
    </xf>
    <xf numFmtId="168" fontId="25" fillId="4" borderId="27" applyAlignment="1" pivotButton="0" quotePrefix="0" xfId="81">
      <alignment horizontal="right" vertical="bottom"/>
    </xf>
    <xf numFmtId="0" fontId="19" fillId="0" borderId="0" applyAlignment="1" pivotButton="0" quotePrefix="0" xfId="81">
      <alignment horizontal="left" vertical="bottom" indent="2"/>
    </xf>
    <xf numFmtId="0" fontId="5" fillId="0" borderId="0" applyAlignment="1" pivotButton="0" quotePrefix="0" xfId="81">
      <alignment horizontal="left" vertical="bottom"/>
    </xf>
    <xf numFmtId="0" fontId="19" fillId="0" borderId="2" applyAlignment="1" pivotButton="0" quotePrefix="0" xfId="81">
      <alignment horizontal="left" vertical="center"/>
    </xf>
    <xf numFmtId="173" fontId="19" fillId="0" borderId="2" applyAlignment="1" pivotButton="0" quotePrefix="0" xfId="81">
      <alignment horizontal="general" vertical="center"/>
    </xf>
    <xf numFmtId="173" fontId="19" fillId="0" borderId="60" applyAlignment="1" pivotButton="0" quotePrefix="0" xfId="81">
      <alignment horizontal="general" vertical="center"/>
    </xf>
    <xf numFmtId="0" fontId="5" fillId="0" borderId="0" applyAlignment="1" pivotButton="0" quotePrefix="0" xfId="81">
      <alignment horizontal="general" vertical="bottom"/>
    </xf>
    <xf numFmtId="168" fontId="25" fillId="0" borderId="2" applyAlignment="1" pivotButton="0" quotePrefix="0" xfId="81">
      <alignment horizontal="right" vertical="center"/>
    </xf>
    <xf numFmtId="168" fontId="25" fillId="0" borderId="27" applyAlignment="1" pivotButton="0" quotePrefix="0" xfId="81">
      <alignment horizontal="right" vertical="center"/>
    </xf>
    <xf numFmtId="0" fontId="19" fillId="0" borderId="13" applyAlignment="1" pivotButton="0" quotePrefix="0" xfId="81">
      <alignment horizontal="left" vertical="bottom" indent="1"/>
    </xf>
    <xf numFmtId="0" fontId="5" fillId="2" borderId="0" applyAlignment="1" pivotButton="0" quotePrefix="0" xfId="81">
      <alignment horizontal="left" vertical="bottom"/>
    </xf>
    <xf numFmtId="0" fontId="5" fillId="0" borderId="0" applyAlignment="1" pivotButton="0" quotePrefix="0" xfId="81">
      <alignment horizontal="left" vertical="bottom"/>
    </xf>
    <xf numFmtId="0" fontId="5" fillId="0" borderId="0" applyAlignment="1" pivotButton="0" quotePrefix="0" xfId="81">
      <alignment horizontal="general" vertical="bottom"/>
    </xf>
    <xf numFmtId="0" fontId="34" fillId="7" borderId="22" applyAlignment="1" pivotButton="0" quotePrefix="0" xfId="81">
      <alignment horizontal="left" vertical="center"/>
    </xf>
    <xf numFmtId="173" fontId="34" fillId="7" borderId="22" applyAlignment="1" pivotButton="0" quotePrefix="0" xfId="81">
      <alignment horizontal="general" vertical="center"/>
    </xf>
    <xf numFmtId="173" fontId="34" fillId="7" borderId="82" applyAlignment="1" pivotButton="0" quotePrefix="0" xfId="81">
      <alignment horizontal="general" vertical="center"/>
    </xf>
    <xf numFmtId="168" fontId="47" fillId="7" borderId="22" applyAlignment="1" pivotButton="0" quotePrefix="0" xfId="81">
      <alignment horizontal="right" vertical="center"/>
    </xf>
    <xf numFmtId="168" fontId="47" fillId="7" borderId="35" applyAlignment="1" pivotButton="0" quotePrefix="0" xfId="81">
      <alignment horizontal="right" vertical="center"/>
    </xf>
    <xf numFmtId="0" fontId="21" fillId="5" borderId="0" applyAlignment="1" pivotButton="0" quotePrefix="0" xfId="81">
      <alignment horizontal="left" vertical="bottom" wrapText="1"/>
    </xf>
    <xf numFmtId="0" fontId="19" fillId="0" borderId="0" applyAlignment="1" pivotButton="0" quotePrefix="0" xfId="81">
      <alignment horizontal="left" vertical="bottom" indent="4"/>
    </xf>
    <xf numFmtId="173" fontId="19" fillId="0" borderId="0" applyAlignment="1" pivotButton="0" quotePrefix="0" xfId="81">
      <alignment horizontal="general" vertical="bottom"/>
    </xf>
    <xf numFmtId="0" fontId="19" fillId="0" borderId="13" applyAlignment="1" pivotButton="0" quotePrefix="0" xfId="81">
      <alignment horizontal="left" vertical="bottom" indent="4"/>
    </xf>
    <xf numFmtId="173" fontId="19" fillId="0" borderId="13" applyAlignment="1" pivotButton="0" quotePrefix="0" xfId="81">
      <alignment horizontal="general" vertical="bottom"/>
    </xf>
    <xf numFmtId="0" fontId="19" fillId="0" borderId="56" applyAlignment="1" pivotButton="0" quotePrefix="0" xfId="81">
      <alignment horizontal="left" vertical="bottom" indent="2"/>
    </xf>
    <xf numFmtId="0" fontId="19" fillId="0" borderId="56" applyAlignment="1" pivotButton="0" quotePrefix="0" xfId="81">
      <alignment horizontal="left" vertical="bottom"/>
    </xf>
    <xf numFmtId="173" fontId="19" fillId="0" borderId="56" applyAlignment="1" pivotButton="0" quotePrefix="0" xfId="81">
      <alignment horizontal="general" vertical="bottom"/>
    </xf>
    <xf numFmtId="173" fontId="19" fillId="4" borderId="56" applyAlignment="1" pivotButton="0" quotePrefix="0" xfId="81">
      <alignment horizontal="general" vertical="bottom"/>
    </xf>
    <xf numFmtId="173" fontId="19" fillId="4" borderId="55" applyAlignment="1" pivotButton="0" quotePrefix="0" xfId="81">
      <alignment horizontal="general" vertical="bottom"/>
    </xf>
    <xf numFmtId="0" fontId="38" fillId="2" borderId="0" applyAlignment="1" pivotButton="0" quotePrefix="0" xfId="81">
      <alignment horizontal="left" vertical="bottom"/>
    </xf>
    <xf numFmtId="0" fontId="38" fillId="0" borderId="0" applyAlignment="1" pivotButton="0" quotePrefix="0" xfId="81">
      <alignment horizontal="left" vertical="bottom"/>
    </xf>
    <xf numFmtId="0" fontId="34" fillId="7" borderId="22" applyAlignment="1" pivotButton="0" quotePrefix="0" xfId="81">
      <alignment horizontal="general" vertical="center"/>
    </xf>
    <xf numFmtId="167" fontId="34" fillId="7" borderId="22" applyAlignment="1" pivotButton="0" quotePrefix="0" xfId="81">
      <alignment horizontal="right" vertical="center"/>
    </xf>
    <xf numFmtId="167" fontId="34" fillId="7" borderId="35" applyAlignment="1" pivotButton="0" quotePrefix="0" xfId="81">
      <alignment horizontal="right" vertical="center"/>
    </xf>
    <xf numFmtId="0" fontId="38" fillId="0" borderId="0" applyAlignment="1" pivotButton="0" quotePrefix="0" xfId="81">
      <alignment horizontal="general" vertical="bottom"/>
    </xf>
    <xf numFmtId="0" fontId="72" fillId="0" borderId="0" applyAlignment="1" pivotButton="0" quotePrefix="0" xfId="0">
      <alignment horizontal="general" vertical="bottom"/>
    </xf>
    <xf numFmtId="0" fontId="72" fillId="0" borderId="0" applyAlignment="1" pivotButton="0" quotePrefix="0" xfId="0">
      <alignment horizontal="general" vertical="bottom"/>
    </xf>
    <xf numFmtId="0" fontId="35" fillId="2" borderId="0" applyAlignment="1" pivotButton="0" quotePrefix="0" xfId="81">
      <alignment horizontal="left" vertical="bottom"/>
    </xf>
    <xf numFmtId="0" fontId="35" fillId="0" borderId="0" applyAlignment="1" pivotButton="0" quotePrefix="0" xfId="81">
      <alignment horizontal="left" vertical="bottom"/>
    </xf>
    <xf numFmtId="196" fontId="35" fillId="0" borderId="0" applyAlignment="1" pivotButton="0" quotePrefix="0" xfId="81">
      <alignment horizontal="general" vertical="bottom"/>
    </xf>
    <xf numFmtId="0" fontId="35" fillId="0" borderId="4" applyAlignment="1" pivotButton="0" quotePrefix="0" xfId="81">
      <alignment horizontal="left" vertical="bottom"/>
    </xf>
    <xf numFmtId="0" fontId="35" fillId="0" borderId="0" applyAlignment="1" pivotButton="0" quotePrefix="0" xfId="81">
      <alignment horizontal="left" vertical="bottom"/>
    </xf>
    <xf numFmtId="189" fontId="35" fillId="0" borderId="0" applyAlignment="1" pivotButton="0" quotePrefix="0" xfId="81">
      <alignment horizontal="general" vertical="bottom"/>
    </xf>
    <xf numFmtId="189" fontId="35" fillId="0" borderId="0" applyAlignment="1" pivotButton="0" quotePrefix="0" xfId="81">
      <alignment horizontal="general" vertical="bottom"/>
    </xf>
    <xf numFmtId="0" fontId="35" fillId="0" borderId="0" applyAlignment="1" pivotButton="0" quotePrefix="0" xfId="81">
      <alignment horizontal="general" vertical="bottom"/>
    </xf>
    <xf numFmtId="0" fontId="23" fillId="4" borderId="2" applyAlignment="1" pivotButton="0" quotePrefix="0" xfId="0">
      <alignment horizontal="general" vertical="bottom"/>
    </xf>
    <xf numFmtId="0" fontId="52" fillId="0" borderId="0" applyAlignment="1" pivotButton="0" quotePrefix="0" xfId="0">
      <alignment horizontal="general" vertical="bottom"/>
    </xf>
    <xf numFmtId="189" fontId="35" fillId="0" borderId="23" applyAlignment="1" pivotButton="0" quotePrefix="0" xfId="0">
      <alignment horizontal="general" vertical="bottom"/>
    </xf>
    <xf numFmtId="0" fontId="0" fillId="2" borderId="0" applyAlignment="1" pivotButton="0" quotePrefix="0" xfId="0">
      <alignment horizontal="general" vertical="bottom"/>
    </xf>
    <xf numFmtId="189" fontId="5" fillId="0" borderId="0" applyAlignment="1" pivotButton="0" quotePrefix="0" xfId="0">
      <alignment horizontal="general" vertical="bottom"/>
    </xf>
    <xf numFmtId="189" fontId="5" fillId="0" borderId="0" applyAlignment="1" pivotButton="0" quotePrefix="0" xfId="0">
      <alignment horizontal="general" vertical="bottom"/>
    </xf>
    <xf numFmtId="0" fontId="5" fillId="0" borderId="0" applyAlignment="1" pivotButton="0" quotePrefix="0" xfId="39">
      <alignment horizontal="general" vertical="bottom" wrapText="1"/>
    </xf>
    <xf numFmtId="196" fontId="21" fillId="5" borderId="0" applyAlignment="1" pivotButton="0" quotePrefix="0" xfId="39">
      <alignment horizontal="right" vertical="bottom" wrapText="1"/>
    </xf>
    <xf numFmtId="0" fontId="23" fillId="4" borderId="0" applyAlignment="1" pivotButton="0" quotePrefix="0" xfId="39">
      <alignment horizontal="left" vertical="bottom"/>
    </xf>
    <xf numFmtId="189" fontId="35" fillId="0" borderId="0" applyAlignment="1" pivotButton="0" quotePrefix="0" xfId="39">
      <alignment horizontal="general" vertical="bottom"/>
    </xf>
    <xf numFmtId="189" fontId="35" fillId="0" borderId="0" applyAlignment="1" pivotButton="0" quotePrefix="0" xfId="39">
      <alignment horizontal="general" vertical="bottom"/>
    </xf>
    <xf numFmtId="0" fontId="21" fillId="5" borderId="0" applyAlignment="1" pivotButton="0" quotePrefix="0" xfId="39">
      <alignment horizontal="center" vertical="bottom"/>
    </xf>
    <xf numFmtId="0" fontId="50" fillId="2" borderId="0" applyAlignment="1" pivotButton="0" quotePrefix="0" xfId="0">
      <alignment horizontal="general" vertical="center"/>
    </xf>
    <xf numFmtId="0" fontId="0" fillId="0" borderId="0" applyAlignment="1" pivotButton="0" quotePrefix="0" xfId="0">
      <alignment horizontal="general" vertical="bottom"/>
    </xf>
    <xf numFmtId="0" fontId="31" fillId="2" borderId="0" applyAlignment="1" pivotButton="0" quotePrefix="0" xfId="47">
      <alignment horizontal="general" vertical="bottom"/>
    </xf>
    <xf numFmtId="0" fontId="31" fillId="0" borderId="0" applyAlignment="1" pivotButton="0" quotePrefix="0" xfId="54">
      <alignment horizontal="general" vertical="bottom"/>
    </xf>
    <xf numFmtId="0" fontId="31" fillId="5" borderId="15" applyAlignment="1" pivotButton="0" quotePrefix="0" xfId="0">
      <alignment horizontal="center" vertical="bottom"/>
    </xf>
    <xf numFmtId="0" fontId="31" fillId="6" borderId="15" applyAlignment="1" pivotButton="0" quotePrefix="0" xfId="0">
      <alignment horizontal="center" vertical="bottom"/>
    </xf>
    <xf numFmtId="0" fontId="31" fillId="0" borderId="0" applyAlignment="1" pivotButton="0" quotePrefix="0" xfId="0">
      <alignment horizontal="center" vertical="bottom"/>
    </xf>
    <xf numFmtId="0" fontId="31" fillId="0" borderId="0" applyAlignment="1" pivotButton="0" quotePrefix="0" xfId="0">
      <alignment horizontal="general" vertical="bottom"/>
    </xf>
    <xf numFmtId="0" fontId="31" fillId="2" borderId="0" applyAlignment="1" pivotButton="0" quotePrefix="0" xfId="47">
      <alignment horizontal="right" vertical="bottom" wrapText="1"/>
    </xf>
    <xf numFmtId="0" fontId="31" fillId="0" borderId="0" applyAlignment="1" pivotButton="0" quotePrefix="0" xfId="54">
      <alignment horizontal="right" vertical="bottom" wrapText="1"/>
    </xf>
    <xf numFmtId="0" fontId="31" fillId="5" borderId="0" applyAlignment="1" pivotButton="0" quotePrefix="0" xfId="0">
      <alignment horizontal="right" vertical="bottom" wrapText="1"/>
    </xf>
    <xf numFmtId="0" fontId="31" fillId="5" borderId="6" applyAlignment="1" pivotButton="0" quotePrefix="0" xfId="0">
      <alignment horizontal="right" vertical="bottom" wrapText="1"/>
    </xf>
    <xf numFmtId="0" fontId="31" fillId="0" borderId="0" applyAlignment="1" pivotButton="0" quotePrefix="0" xfId="0">
      <alignment horizontal="right" vertical="bottom" wrapText="1"/>
    </xf>
    <xf numFmtId="0" fontId="31" fillId="6" borderId="0" applyAlignment="1" pivotButton="0" quotePrefix="0" xfId="0">
      <alignment horizontal="right" vertical="bottom" wrapText="1"/>
    </xf>
    <xf numFmtId="0" fontId="31" fillId="6" borderId="6" applyAlignment="1" pivotButton="0" quotePrefix="0" xfId="0">
      <alignment horizontal="right" vertical="bottom" wrapText="1"/>
    </xf>
    <xf numFmtId="0" fontId="31" fillId="5" borderId="0" applyAlignment="1" pivotButton="0" quotePrefix="0" xfId="0">
      <alignment horizontal="general" vertical="bottom" wrapText="1"/>
    </xf>
    <xf numFmtId="0" fontId="31" fillId="0" borderId="0" applyAlignment="1" pivotButton="0" quotePrefix="0" xfId="0">
      <alignment horizontal="general" vertical="bottom" wrapText="1"/>
    </xf>
    <xf numFmtId="0" fontId="31" fillId="0" borderId="0" applyAlignment="1" pivotButton="0" quotePrefix="0" xfId="0">
      <alignment horizontal="right" vertical="bottom" wrapText="1"/>
    </xf>
    <xf numFmtId="167" fontId="5" fillId="0" borderId="0" applyAlignment="1" pivotButton="0" quotePrefix="0" xfId="0">
      <alignment horizontal="general" vertical="bottom"/>
    </xf>
    <xf numFmtId="167" fontId="5" fillId="0" borderId="0" applyAlignment="1" pivotButton="0" quotePrefix="0" xfId="0">
      <alignment horizontal="general" vertical="bottom"/>
    </xf>
    <xf numFmtId="167" fontId="5" fillId="0" borderId="13" applyAlignment="1" pivotButton="0" quotePrefix="0" xfId="0">
      <alignment horizontal="general" vertical="bottom"/>
    </xf>
    <xf numFmtId="167" fontId="5" fillId="4" borderId="13" applyAlignment="1" pivotButton="0" quotePrefix="0" xfId="0">
      <alignment horizontal="general" vertical="bottom"/>
    </xf>
    <xf numFmtId="167" fontId="5" fillId="0" borderId="0" applyAlignment="1" pivotButton="0" quotePrefix="0" xfId="0">
      <alignment horizontal="general" vertical="bottom"/>
    </xf>
    <xf numFmtId="167" fontId="34" fillId="7" borderId="2" applyAlignment="1" pivotButton="0" quotePrefix="0" xfId="0">
      <alignment horizontal="right" vertical="center"/>
    </xf>
    <xf numFmtId="167" fontId="34" fillId="7" borderId="22" applyAlignment="1" pivotButton="0" quotePrefix="0" xfId="0">
      <alignment horizontal="general" vertical="center"/>
    </xf>
    <xf numFmtId="168" fontId="47" fillId="7" borderId="22" applyAlignment="1" pivotButton="0" quotePrefix="0" xfId="0">
      <alignment horizontal="right" vertical="center"/>
    </xf>
    <xf numFmtId="167" fontId="35" fillId="0" borderId="0" applyAlignment="1" pivotButton="0" quotePrefix="0" xfId="0">
      <alignment horizontal="general" vertical="bottom"/>
    </xf>
    <xf numFmtId="0" fontId="35" fillId="0" borderId="0" applyAlignment="1" pivotButton="0" quotePrefix="0" xfId="0">
      <alignment horizontal="general" vertical="bottom"/>
    </xf>
    <xf numFmtId="189" fontId="5" fillId="0" borderId="0" applyAlignment="1" pivotButton="0" quotePrefix="0" xfId="0">
      <alignment horizontal="left" vertical="bottom"/>
    </xf>
    <xf numFmtId="0" fontId="5" fillId="2" borderId="0" applyAlignment="1" pivotButton="0" quotePrefix="0" xfId="0">
      <alignment horizontal="left" vertical="bottom" wrapText="1"/>
    </xf>
    <xf numFmtId="0" fontId="5" fillId="0" borderId="0" applyAlignment="1" pivotButton="0" quotePrefix="0" xfId="0">
      <alignment horizontal="left" vertical="bottom" wrapText="1"/>
    </xf>
    <xf numFmtId="0" fontId="21" fillId="5" borderId="20" applyAlignment="1" pivotButton="0" quotePrefix="0" xfId="0">
      <alignment horizontal="left" vertical="bottom" wrapText="1"/>
    </xf>
    <xf numFmtId="0" fontId="21" fillId="5" borderId="19" applyAlignment="1" pivotButton="0" quotePrefix="0" xfId="0">
      <alignment horizontal="left" vertical="bottom" wrapText="1"/>
    </xf>
    <xf numFmtId="179" fontId="21" fillId="5" borderId="19" applyAlignment="1" pivotButton="0" quotePrefix="0" xfId="0">
      <alignment horizontal="left" vertical="bottom" wrapText="1"/>
    </xf>
    <xf numFmtId="179" fontId="21" fillId="5" borderId="21" applyAlignment="1" pivotButton="0" quotePrefix="0" xfId="0">
      <alignment horizontal="left" vertical="bottom" wrapText="1"/>
    </xf>
    <xf numFmtId="0" fontId="5" fillId="0" borderId="8" applyAlignment="1" pivotButton="0" quotePrefix="0" xfId="0">
      <alignment horizontal="general" vertical="center" wrapText="1"/>
    </xf>
    <xf numFmtId="0" fontId="5" fillId="0" borderId="8" applyAlignment="1" pivotButton="0" quotePrefix="0" xfId="0">
      <alignment horizontal="left" vertical="center" wrapText="1"/>
    </xf>
    <xf numFmtId="196" fontId="5" fillId="0" borderId="8" applyAlignment="1" pivotButton="0" quotePrefix="0" xfId="0">
      <alignment horizontal="left" vertical="center" wrapText="1"/>
    </xf>
    <xf numFmtId="179" fontId="5" fillId="0" borderId="8" applyAlignment="1" pivotButton="0" quotePrefix="0" xfId="0">
      <alignment horizontal="left" vertical="center" wrapText="1"/>
    </xf>
    <xf numFmtId="0" fontId="38" fillId="0" borderId="8" applyAlignment="1" pivotButton="0" quotePrefix="0" xfId="0">
      <alignment horizontal="left" vertical="center" wrapText="1"/>
    </xf>
    <xf numFmtId="0" fontId="5" fillId="0" borderId="11" applyAlignment="1" pivotButton="0" quotePrefix="0" xfId="0">
      <alignment horizontal="left" vertical="center" wrapText="1"/>
    </xf>
    <xf numFmtId="196" fontId="5" fillId="0" borderId="11" applyAlignment="1" pivotButton="0" quotePrefix="0" xfId="0">
      <alignment horizontal="left" vertical="center" wrapText="1"/>
    </xf>
    <xf numFmtId="179" fontId="5" fillId="0" borderId="11" applyAlignment="1" pivotButton="0" quotePrefix="0" xfId="0">
      <alignment horizontal="left" vertical="center" wrapText="1"/>
    </xf>
    <xf numFmtId="0" fontId="5" fillId="0" borderId="11" applyAlignment="1" pivotButton="0" quotePrefix="0" xfId="0">
      <alignment horizontal="general" vertical="center" wrapText="1"/>
    </xf>
    <xf numFmtId="0" fontId="5" fillId="0" borderId="18" applyAlignment="1" pivotButton="0" quotePrefix="0" xfId="0">
      <alignment horizontal="general" vertical="center" wrapText="1"/>
    </xf>
    <xf numFmtId="0" fontId="5" fillId="0" borderId="18" applyAlignment="1" pivotButton="0" quotePrefix="0" xfId="0">
      <alignment horizontal="left" vertical="center" wrapText="1"/>
    </xf>
    <xf numFmtId="196" fontId="5" fillId="0" borderId="18" applyAlignment="1" pivotButton="0" quotePrefix="0" xfId="0">
      <alignment horizontal="left" vertical="center" wrapText="1"/>
    </xf>
    <xf numFmtId="179" fontId="5" fillId="0" borderId="18" applyAlignment="1" pivotButton="0" quotePrefix="0" xfId="0">
      <alignment horizontal="left" vertical="center" wrapText="1"/>
    </xf>
    <xf numFmtId="170" fontId="5" fillId="0" borderId="0" applyAlignment="1" pivotButton="0" quotePrefix="0" xfId="0">
      <alignment horizontal="left" vertical="bottom"/>
    </xf>
    <xf numFmtId="170" fontId="5" fillId="0" borderId="0" applyAlignment="1" pivotButton="0" quotePrefix="0" xfId="0">
      <alignment horizontal="general" vertical="bottom"/>
    </xf>
    <xf numFmtId="166" fontId="21" fillId="5" borderId="19" applyAlignment="1" pivotButton="0" quotePrefix="0" xfId="0">
      <alignment horizontal="right" vertical="center" wrapText="1"/>
    </xf>
    <xf numFmtId="166" fontId="21" fillId="5" borderId="0" applyAlignment="1" pivotButton="0" quotePrefix="0" xfId="0">
      <alignment horizontal="right" vertical="center" wrapText="1"/>
    </xf>
    <xf numFmtId="196" fontId="21" fillId="5" borderId="21" applyAlignment="1" pivotButton="0" quotePrefix="0" xfId="0">
      <alignment horizontal="right" vertical="bottom"/>
    </xf>
    <xf numFmtId="196" fontId="21" fillId="5" borderId="19" applyAlignment="1" pivotButton="0" quotePrefix="0" xfId="0">
      <alignment horizontal="right" vertical="bottom"/>
    </xf>
    <xf numFmtId="196" fontId="21" fillId="5" borderId="0" applyAlignment="1" pivotButton="0" quotePrefix="0" xfId="0">
      <alignment horizontal="right" vertical="bottom" wrapText="1"/>
    </xf>
    <xf numFmtId="166" fontId="21" fillId="5" borderId="20" applyAlignment="1" pivotButton="0" quotePrefix="0" xfId="0">
      <alignment horizontal="left" vertical="bottom" wrapText="1"/>
    </xf>
    <xf numFmtId="166" fontId="21" fillId="5" borderId="19" applyAlignment="1" pivotButton="0" quotePrefix="0" xfId="0">
      <alignment horizontal="left" vertical="bottom"/>
    </xf>
    <xf numFmtId="0" fontId="19" fillId="4" borderId="9" applyAlignment="1" pivotButton="0" quotePrefix="0" xfId="0">
      <alignment horizontal="left" vertical="center" wrapText="1"/>
    </xf>
    <xf numFmtId="174" fontId="19" fillId="4" borderId="9" applyAlignment="1" pivotButton="0" quotePrefix="0" xfId="0">
      <alignment horizontal="left" vertical="center" wrapText="1"/>
    </xf>
    <xf numFmtId="173" fontId="19" fillId="4" borderId="9" applyAlignment="1" pivotButton="0" quotePrefix="0" xfId="0">
      <alignment horizontal="left" vertical="center" wrapText="1"/>
    </xf>
    <xf numFmtId="200" fontId="19" fillId="4" borderId="9" applyAlignment="1" pivotButton="0" quotePrefix="0" xfId="0">
      <alignment horizontal="left" vertical="center" wrapText="1"/>
    </xf>
    <xf numFmtId="0" fontId="19" fillId="4" borderId="18" applyAlignment="1" pivotButton="0" quotePrefix="0" xfId="0">
      <alignment horizontal="left" vertical="center" wrapText="1"/>
    </xf>
    <xf numFmtId="174" fontId="19" fillId="4" borderId="18" applyAlignment="1" pivotButton="0" quotePrefix="0" xfId="0">
      <alignment horizontal="left" vertical="center" wrapText="1"/>
    </xf>
    <xf numFmtId="173" fontId="19" fillId="4" borderId="18" applyAlignment="1" pivotButton="0" quotePrefix="0" xfId="0">
      <alignment horizontal="left" vertical="center" wrapText="1"/>
    </xf>
    <xf numFmtId="0" fontId="21" fillId="5" borderId="8" applyAlignment="1" pivotButton="0" quotePrefix="0" xfId="0">
      <alignment horizontal="left" vertical="bottom"/>
    </xf>
    <xf numFmtId="166" fontId="21" fillId="5" borderId="8" applyAlignment="1" pivotButton="0" quotePrefix="0" xfId="0">
      <alignment horizontal="left" vertical="bottom" wrapText="1"/>
    </xf>
    <xf numFmtId="166" fontId="21" fillId="5" borderId="83" applyAlignment="1" pivotButton="0" quotePrefix="0" xfId="0">
      <alignment horizontal="left" vertical="bottom"/>
    </xf>
    <xf numFmtId="0" fontId="19" fillId="4" borderId="11" applyAlignment="1" pivotButton="0" quotePrefix="0" xfId="0">
      <alignment horizontal="left" vertical="center" wrapText="1"/>
    </xf>
    <xf numFmtId="174" fontId="19" fillId="4" borderId="11" applyAlignment="1" pivotButton="0" quotePrefix="0" xfId="0">
      <alignment horizontal="left" vertical="center" wrapText="1"/>
    </xf>
    <xf numFmtId="187" fontId="19" fillId="4" borderId="11" applyAlignment="1" pivotButton="0" quotePrefix="0" xfId="0">
      <alignment horizontal="left" vertical="center"/>
    </xf>
    <xf numFmtId="187" fontId="19" fillId="4" borderId="18" applyAlignment="1" pivotButton="0" quotePrefix="0" xfId="0">
      <alignment horizontal="left" vertical="center"/>
    </xf>
    <xf numFmtId="0" fontId="23" fillId="4" borderId="0" applyAlignment="1" pivotButton="0" quotePrefix="0" xfId="0">
      <alignment horizontal="left" vertical="center" wrapText="1"/>
    </xf>
    <xf numFmtId="174" fontId="19" fillId="4" borderId="0" applyAlignment="1" pivotButton="0" quotePrefix="0" xfId="0">
      <alignment horizontal="left" vertical="center" wrapText="1"/>
    </xf>
    <xf numFmtId="173" fontId="19" fillId="4" borderId="0" applyAlignment="1" pivotButton="0" quotePrefix="0" xfId="0">
      <alignment horizontal="left" vertical="center" wrapText="1"/>
    </xf>
    <xf numFmtId="0" fontId="19" fillId="4" borderId="0" applyAlignment="1" pivotButton="0" quotePrefix="0" xfId="0">
      <alignment horizontal="left" vertical="center" wrapText="1"/>
    </xf>
    <xf numFmtId="0" fontId="23" fillId="4" borderId="2" applyAlignment="1" pivotButton="0" quotePrefix="0" xfId="0">
      <alignment horizontal="left" vertical="center" wrapText="1"/>
    </xf>
    <xf numFmtId="174" fontId="19" fillId="4" borderId="2" applyAlignment="1" pivotButton="0" quotePrefix="0" xfId="0">
      <alignment horizontal="left" vertical="center" wrapText="1"/>
    </xf>
    <xf numFmtId="173" fontId="19" fillId="4" borderId="2" applyAlignment="1" pivotButton="0" quotePrefix="0" xfId="0">
      <alignment horizontal="left" vertical="center" wrapText="1"/>
    </xf>
    <xf numFmtId="173" fontId="19" fillId="4" borderId="11" applyAlignment="1" pivotButton="0" quotePrefix="0" xfId="0">
      <alignment horizontal="left" vertical="center" wrapText="1"/>
    </xf>
    <xf numFmtId="187" fontId="19" fillId="4" borderId="0" applyAlignment="1" pivotButton="0" quotePrefix="0" xfId="0">
      <alignment horizontal="left" vertical="center" wrapText="1"/>
    </xf>
    <xf numFmtId="187" fontId="19" fillId="4" borderId="9" applyAlignment="1" pivotButton="0" quotePrefix="0" xfId="0">
      <alignment horizontal="left" vertical="center" wrapText="1"/>
    </xf>
    <xf numFmtId="0" fontId="23" fillId="4" borderId="2" applyAlignment="1" pivotButton="0" quotePrefix="0" xfId="0">
      <alignment horizontal="left" vertical="center"/>
    </xf>
    <xf numFmtId="0" fontId="7" fillId="2" borderId="0" applyAlignment="1" pivotButton="0" quotePrefix="0" xfId="52">
      <alignment horizontal="left" vertical="bottom"/>
    </xf>
    <xf numFmtId="0" fontId="27" fillId="0" borderId="0" applyAlignment="1" pivotButton="0" quotePrefix="0" xfId="52">
      <alignment horizontal="left" vertical="bottom"/>
    </xf>
    <xf numFmtId="0" fontId="7" fillId="0" borderId="0" applyAlignment="1" pivotButton="0" quotePrefix="0" xfId="52">
      <alignment horizontal="general" vertical="bottom"/>
    </xf>
    <xf numFmtId="0" fontId="7" fillId="0" borderId="0" applyAlignment="1" pivotButton="0" quotePrefix="0" xfId="52">
      <alignment horizontal="left" vertical="bottom"/>
    </xf>
    <xf numFmtId="0" fontId="7" fillId="0" borderId="0" applyAlignment="1" pivotButton="0" quotePrefix="0" xfId="52">
      <alignment horizontal="general" vertical="bottom"/>
    </xf>
    <xf numFmtId="0" fontId="28" fillId="0" borderId="0" applyAlignment="1" pivotButton="0" quotePrefix="0" xfId="52">
      <alignment horizontal="left" vertical="bottom"/>
    </xf>
    <xf numFmtId="0" fontId="29" fillId="0" borderId="0" applyAlignment="1" pivotButton="0" quotePrefix="0" xfId="52">
      <alignment horizontal="left" vertical="bottom"/>
    </xf>
    <xf numFmtId="0" fontId="24" fillId="0" borderId="0" applyAlignment="1" pivotButton="0" quotePrefix="0" xfId="52">
      <alignment horizontal="left" vertical="bottom"/>
    </xf>
    <xf numFmtId="0" fontId="21" fillId="5" borderId="0" applyAlignment="1" pivotButton="0" quotePrefix="0" xfId="0">
      <alignment horizontal="left" vertical="bottom" wrapText="1"/>
    </xf>
    <xf numFmtId="0" fontId="21" fillId="5" borderId="20" applyAlignment="1" pivotButton="0" quotePrefix="0" xfId="0">
      <alignment horizontal="center" vertical="bottom"/>
    </xf>
    <xf numFmtId="196" fontId="5" fillId="0" borderId="0" applyAlignment="1" pivotButton="0" quotePrefix="0" xfId="0">
      <alignment horizontal="general" vertical="bottom"/>
    </xf>
    <xf numFmtId="0" fontId="21" fillId="5" borderId="10" applyAlignment="1" pivotButton="0" quotePrefix="0" xfId="0">
      <alignment horizontal="left" vertical="bottom"/>
    </xf>
    <xf numFmtId="0" fontId="21" fillId="5" borderId="5" applyAlignment="1" pivotButton="0" quotePrefix="0" xfId="0">
      <alignment horizontal="left" vertical="center" wrapText="1"/>
    </xf>
    <xf numFmtId="173" fontId="19" fillId="0" borderId="84" applyAlignment="1" pivotButton="0" quotePrefix="0" xfId="0">
      <alignment horizontal="general" vertical="bottom"/>
    </xf>
    <xf numFmtId="0" fontId="19" fillId="4" borderId="0" applyAlignment="1" pivotButton="0" quotePrefix="0" xfId="0">
      <alignment horizontal="left" vertical="bottom" wrapText="1"/>
    </xf>
    <xf numFmtId="170" fontId="5" fillId="0" borderId="3" applyAlignment="1" pivotButton="0" quotePrefix="0" xfId="0">
      <alignment horizontal="general" vertical="bottom"/>
    </xf>
    <xf numFmtId="170" fontId="5" fillId="0" borderId="28" applyAlignment="1" pivotButton="0" quotePrefix="0" xfId="0">
      <alignment horizontal="general" vertical="bottom"/>
    </xf>
    <xf numFmtId="173" fontId="19" fillId="0" borderId="72" applyAlignment="1" pivotButton="0" quotePrefix="0" xfId="0">
      <alignment horizontal="general" vertical="bottom"/>
    </xf>
    <xf numFmtId="0" fontId="34" fillId="7" borderId="3" applyAlignment="1" pivotButton="0" quotePrefix="0" xfId="0">
      <alignment horizontal="left" vertical="bottom" wrapText="1"/>
    </xf>
    <xf numFmtId="170" fontId="35" fillId="12" borderId="0" applyAlignment="1" pivotButton="0" quotePrefix="0" xfId="0">
      <alignment horizontal="general" vertical="bottom"/>
    </xf>
    <xf numFmtId="173" fontId="19" fillId="7" borderId="84" applyAlignment="1" pivotButton="0" quotePrefix="0" xfId="0">
      <alignment horizontal="general" vertical="bottom"/>
    </xf>
    <xf numFmtId="173" fontId="19" fillId="7" borderId="72" applyAlignment="1" pivotButton="0" quotePrefix="0" xfId="0">
      <alignment horizontal="general" vertical="bottom"/>
    </xf>
    <xf numFmtId="170" fontId="35" fillId="0" borderId="0" applyAlignment="1" pivotButton="0" quotePrefix="0" xfId="0">
      <alignment horizontal="general" vertical="bottom"/>
    </xf>
    <xf numFmtId="0" fontId="19" fillId="7" borderId="13" applyAlignment="1" pivotButton="0" quotePrefix="0" xfId="0">
      <alignment horizontal="left" vertical="bottom"/>
    </xf>
    <xf numFmtId="170" fontId="7" fillId="0" borderId="0" applyAlignment="1" pivotButton="0" quotePrefix="0" xfId="80">
      <alignment horizontal="general" vertical="center"/>
    </xf>
    <xf numFmtId="170" fontId="7" fillId="0" borderId="0" applyAlignment="1" pivotButton="0" quotePrefix="0" xfId="80">
      <alignment horizontal="general" vertical="center"/>
    </xf>
    <xf numFmtId="0" fontId="10" fillId="0" borderId="0" applyAlignment="1" pivotButton="0" quotePrefix="0" xfId="80">
      <alignment horizontal="general" vertical="center"/>
    </xf>
    <xf numFmtId="170" fontId="10" fillId="0" borderId="0" applyAlignment="1" pivotButton="0" quotePrefix="0" xfId="80">
      <alignment horizontal="general" vertical="center"/>
    </xf>
    <xf numFmtId="170" fontId="10" fillId="0" borderId="0" applyAlignment="1" pivotButton="0" quotePrefix="0" xfId="80">
      <alignment horizontal="general" vertical="center"/>
    </xf>
    <xf numFmtId="185" fontId="7" fillId="0" borderId="0" applyAlignment="1" pivotButton="0" quotePrefix="0" xfId="80">
      <alignment horizontal="general" vertical="center"/>
    </xf>
    <xf numFmtId="173" fontId="7" fillId="0" borderId="0" applyAlignment="1" pivotButton="0" quotePrefix="0" xfId="80">
      <alignment horizontal="general" vertical="center"/>
    </xf>
    <xf numFmtId="0" fontId="7" fillId="2" borderId="0" applyAlignment="1" pivotButton="0" quotePrefix="0" xfId="49">
      <alignment horizontal="general" vertical="bottom"/>
    </xf>
    <xf numFmtId="166" fontId="21" fillId="5" borderId="15" applyAlignment="1" pivotButton="0" quotePrefix="0" xfId="80">
      <alignment horizontal="center" vertical="bottom"/>
    </xf>
    <xf numFmtId="166" fontId="21" fillId="5" borderId="31" applyAlignment="1" pivotButton="0" quotePrefix="0" xfId="80">
      <alignment horizontal="center" vertical="bottom"/>
    </xf>
    <xf numFmtId="166" fontId="21" fillId="5" borderId="31" applyAlignment="1" pivotButton="0" quotePrefix="0" xfId="80">
      <alignment horizontal="center" vertical="bottom" wrapText="1"/>
    </xf>
    <xf numFmtId="166" fontId="21" fillId="5" borderId="0" applyAlignment="1" pivotButton="0" quotePrefix="0" xfId="80">
      <alignment horizontal="center" vertical="bottom"/>
    </xf>
    <xf numFmtId="166" fontId="21" fillId="5" borderId="20" applyAlignment="1" pivotButton="0" quotePrefix="0" xfId="80">
      <alignment horizontal="center" vertical="bottom"/>
    </xf>
    <xf numFmtId="166" fontId="21" fillId="8" borderId="15" applyAlignment="1" pivotButton="0" quotePrefix="0" xfId="80">
      <alignment horizontal="center" vertical="bottom"/>
    </xf>
    <xf numFmtId="166" fontId="21" fillId="8" borderId="31" applyAlignment="1" pivotButton="0" quotePrefix="0" xfId="80">
      <alignment horizontal="center" vertical="bottom"/>
    </xf>
    <xf numFmtId="166" fontId="21" fillId="8" borderId="0" applyAlignment="1" pivotButton="0" quotePrefix="0" xfId="80">
      <alignment horizontal="center" vertical="bottom"/>
    </xf>
    <xf numFmtId="166" fontId="21" fillId="8" borderId="20" applyAlignment="1" pivotButton="0" quotePrefix="0" xfId="80">
      <alignment horizontal="center" vertical="bottom"/>
    </xf>
    <xf numFmtId="166" fontId="21" fillId="8" borderId="31" applyAlignment="1" pivotButton="0" quotePrefix="0" xfId="80">
      <alignment horizontal="center" vertical="bottom" wrapText="1"/>
    </xf>
    <xf numFmtId="166" fontId="21" fillId="21" borderId="15" applyAlignment="1" pivotButton="0" quotePrefix="0" xfId="80">
      <alignment horizontal="center" vertical="bottom"/>
    </xf>
    <xf numFmtId="166" fontId="21" fillId="21" borderId="31" applyAlignment="1" pivotButton="0" quotePrefix="0" xfId="80">
      <alignment horizontal="center" vertical="bottom"/>
    </xf>
    <xf numFmtId="166" fontId="21" fillId="21" borderId="0" applyAlignment="1" pivotButton="0" quotePrefix="0" xfId="80">
      <alignment horizontal="center" vertical="bottom"/>
    </xf>
    <xf numFmtId="166" fontId="21" fillId="21" borderId="20" applyAlignment="1" pivotButton="0" quotePrefix="0" xfId="80">
      <alignment horizontal="center" vertical="bottom"/>
    </xf>
    <xf numFmtId="166" fontId="21" fillId="21" borderId="31" applyAlignment="1" pivotButton="0" quotePrefix="0" xfId="80">
      <alignment horizontal="center" vertical="bottom" wrapText="1"/>
    </xf>
    <xf numFmtId="0" fontId="7" fillId="2" borderId="0" applyAlignment="1" pivotButton="0" quotePrefix="0" xfId="49">
      <alignment horizontal="general" vertical="bottom"/>
    </xf>
    <xf numFmtId="0" fontId="24" fillId="0" borderId="0" applyAlignment="1" pivotButton="0" quotePrefix="0" xfId="54">
      <alignment horizontal="general" vertical="bottom"/>
    </xf>
    <xf numFmtId="166" fontId="21" fillId="5" borderId="0" applyAlignment="1" pivotButton="0" quotePrefix="0" xfId="80">
      <alignment horizontal="right" vertical="bottom"/>
    </xf>
    <xf numFmtId="166" fontId="21" fillId="5" borderId="20" applyAlignment="1" pivotButton="0" quotePrefix="0" xfId="80">
      <alignment horizontal="right" vertical="bottom"/>
    </xf>
    <xf numFmtId="166" fontId="21" fillId="5" borderId="0" applyAlignment="1" pivotButton="0" quotePrefix="0" xfId="80">
      <alignment horizontal="right" vertical="bottom"/>
    </xf>
    <xf numFmtId="166" fontId="21" fillId="5" borderId="19" applyAlignment="1" pivotButton="0" quotePrefix="0" xfId="80">
      <alignment horizontal="right" vertical="bottom"/>
    </xf>
    <xf numFmtId="166" fontId="21" fillId="5" borderId="21" applyAlignment="1" pivotButton="0" quotePrefix="0" xfId="80">
      <alignment horizontal="right" vertical="bottom" wrapText="1"/>
    </xf>
    <xf numFmtId="166" fontId="21" fillId="5" borderId="5" applyAlignment="1" pivotButton="0" quotePrefix="0" xfId="80">
      <alignment horizontal="right" vertical="bottom"/>
    </xf>
    <xf numFmtId="166" fontId="21" fillId="8" borderId="0" applyAlignment="1" pivotButton="0" quotePrefix="0" xfId="80">
      <alignment horizontal="right" vertical="bottom"/>
    </xf>
    <xf numFmtId="166" fontId="21" fillId="8" borderId="20" applyAlignment="1" pivotButton="0" quotePrefix="0" xfId="80">
      <alignment horizontal="right" vertical="bottom"/>
    </xf>
    <xf numFmtId="166" fontId="21" fillId="8" borderId="10" applyAlignment="1" pivotButton="0" quotePrefix="0" xfId="80">
      <alignment horizontal="right" vertical="bottom"/>
    </xf>
    <xf numFmtId="166" fontId="21" fillId="8" borderId="5" applyAlignment="1" pivotButton="0" quotePrefix="0" xfId="80">
      <alignment horizontal="right" vertical="bottom"/>
    </xf>
    <xf numFmtId="166" fontId="21" fillId="8" borderId="19" applyAlignment="1" pivotButton="0" quotePrefix="0" xfId="80">
      <alignment horizontal="right" vertical="bottom"/>
    </xf>
    <xf numFmtId="166" fontId="21" fillId="8" borderId="21" applyAlignment="1" pivotButton="0" quotePrefix="0" xfId="80">
      <alignment horizontal="right" vertical="bottom" wrapText="1"/>
    </xf>
    <xf numFmtId="166" fontId="21" fillId="21" borderId="0" applyAlignment="1" pivotButton="0" quotePrefix="0" xfId="80">
      <alignment horizontal="right" vertical="bottom"/>
    </xf>
    <xf numFmtId="166" fontId="21" fillId="21" borderId="20" applyAlignment="1" pivotButton="0" quotePrefix="0" xfId="80">
      <alignment horizontal="right" vertical="bottom"/>
    </xf>
    <xf numFmtId="166" fontId="21" fillId="21" borderId="10" applyAlignment="1" pivotButton="0" quotePrefix="0" xfId="80">
      <alignment horizontal="right" vertical="bottom"/>
    </xf>
    <xf numFmtId="166" fontId="21" fillId="21" borderId="5" applyAlignment="1" pivotButton="0" quotePrefix="0" xfId="80">
      <alignment horizontal="right" vertical="bottom"/>
    </xf>
    <xf numFmtId="166" fontId="21" fillId="21" borderId="19" applyAlignment="1" pivotButton="0" quotePrefix="0" xfId="80">
      <alignment horizontal="right" vertical="bottom"/>
    </xf>
    <xf numFmtId="166" fontId="21" fillId="21" borderId="21" applyAlignment="1" pivotButton="0" quotePrefix="0" xfId="80">
      <alignment horizontal="right" vertical="bottom" wrapText="1"/>
    </xf>
    <xf numFmtId="173" fontId="19" fillId="7" borderId="0" applyAlignment="1" pivotButton="0" quotePrefix="0" xfId="80">
      <alignment horizontal="general" vertical="center"/>
    </xf>
    <xf numFmtId="173" fontId="19" fillId="7" borderId="23" applyAlignment="1" pivotButton="0" quotePrefix="0" xfId="80">
      <alignment horizontal="general" vertical="center"/>
    </xf>
    <xf numFmtId="173" fontId="19" fillId="4" borderId="23" applyAlignment="1" pivotButton="0" quotePrefix="0" xfId="80">
      <alignment horizontal="general" vertical="center"/>
    </xf>
    <xf numFmtId="173" fontId="19" fillId="4" borderId="0" applyAlignment="1" pivotButton="0" quotePrefix="0" xfId="80">
      <alignment horizontal="general" vertical="center"/>
    </xf>
    <xf numFmtId="173" fontId="19" fillId="7" borderId="13" applyAlignment="1" pivotButton="0" quotePrefix="0" xfId="80">
      <alignment horizontal="general" vertical="center"/>
    </xf>
    <xf numFmtId="173" fontId="19" fillId="7" borderId="24" applyAlignment="1" pivotButton="0" quotePrefix="0" xfId="80">
      <alignment horizontal="general" vertical="center"/>
    </xf>
    <xf numFmtId="173" fontId="19" fillId="4" borderId="24" applyAlignment="1" pivotButton="0" quotePrefix="0" xfId="80">
      <alignment horizontal="general" vertical="center"/>
    </xf>
    <xf numFmtId="198" fontId="7" fillId="0" borderId="0" applyAlignment="1" pivotButton="0" quotePrefix="0" xfId="80">
      <alignment horizontal="general" vertical="center"/>
    </xf>
    <xf numFmtId="0" fontId="34" fillId="7" borderId="22" applyAlignment="1" pivotButton="0" quotePrefix="0" xfId="80">
      <alignment horizontal="left" vertical="center"/>
    </xf>
    <xf numFmtId="173" fontId="34" fillId="7" borderId="22" applyAlignment="1" pivotButton="0" quotePrefix="0" xfId="80">
      <alignment horizontal="general" vertical="center"/>
    </xf>
    <xf numFmtId="173" fontId="34" fillId="7" borderId="34" applyAlignment="1" pivotButton="0" quotePrefix="0" xfId="80">
      <alignment horizontal="general" vertical="center"/>
    </xf>
    <xf numFmtId="173" fontId="34" fillId="7" borderId="35" applyAlignment="1" pivotButton="0" quotePrefix="0" xfId="80">
      <alignment horizontal="general" vertical="center"/>
    </xf>
    <xf numFmtId="0" fontId="22" fillId="2" borderId="0" applyAlignment="1" pivotButton="0" quotePrefix="0" xfId="49">
      <alignment horizontal="general" vertical="bottom"/>
    </xf>
    <xf numFmtId="0" fontId="36" fillId="4" borderId="0" applyAlignment="1" pivotButton="0" quotePrefix="0" xfId="50">
      <alignment horizontal="general" vertical="bottom"/>
    </xf>
    <xf numFmtId="0" fontId="25" fillId="7" borderId="0" applyAlignment="1" pivotButton="0" quotePrefix="0" xfId="80">
      <alignment horizontal="left" vertical="center"/>
    </xf>
    <xf numFmtId="173" fontId="25" fillId="7" borderId="0" applyAlignment="1" pivotButton="0" quotePrefix="0" xfId="80">
      <alignment horizontal="general" vertical="center"/>
    </xf>
    <xf numFmtId="168" fontId="25" fillId="7" borderId="0" applyAlignment="1" pivotButton="0" quotePrefix="0" xfId="80">
      <alignment horizontal="right" vertical="center"/>
    </xf>
    <xf numFmtId="170" fontId="22" fillId="0" borderId="0" applyAlignment="1" pivotButton="0" quotePrefix="0" xfId="80">
      <alignment horizontal="general" vertical="center"/>
    </xf>
    <xf numFmtId="198" fontId="22" fillId="0" borderId="0" applyAlignment="1" pivotButton="0" quotePrefix="0" xfId="80">
      <alignment horizontal="general" vertical="center"/>
    </xf>
    <xf numFmtId="170" fontId="22" fillId="0" borderId="0" applyAlignment="1" pivotButton="0" quotePrefix="0" xfId="80">
      <alignment horizontal="general" vertical="center"/>
    </xf>
    <xf numFmtId="170" fontId="22" fillId="7" borderId="0" applyAlignment="1" pivotButton="0" quotePrefix="0" xfId="80">
      <alignment horizontal="general" vertical="center"/>
    </xf>
    <xf numFmtId="170" fontId="7" fillId="7" borderId="0" applyAlignment="1" pivotButton="0" quotePrefix="0" xfId="80">
      <alignment horizontal="general" vertical="center"/>
    </xf>
    <xf numFmtId="0" fontId="5" fillId="2" borderId="0" applyAlignment="1" pivotButton="0" quotePrefix="0" xfId="49">
      <alignment horizontal="general" vertical="bottom"/>
    </xf>
    <xf numFmtId="0" fontId="21" fillId="5" borderId="5" applyAlignment="1" pivotButton="0" quotePrefix="0" xfId="39">
      <alignment horizontal="right" vertical="bottom" wrapText="1"/>
    </xf>
    <xf numFmtId="166" fontId="21" fillId="8" borderId="6" applyAlignment="1" pivotButton="0" quotePrefix="0" xfId="55">
      <alignment horizontal="right" vertical="bottom"/>
    </xf>
    <xf numFmtId="166" fontId="21" fillId="8" borderId="7" applyAlignment="1" pivotButton="0" quotePrefix="0" xfId="55">
      <alignment horizontal="right" vertical="bottom"/>
    </xf>
    <xf numFmtId="0" fontId="38" fillId="2" borderId="0" applyAlignment="1" pivotButton="0" quotePrefix="0" xfId="49">
      <alignment horizontal="general" vertical="bottom"/>
    </xf>
    <xf numFmtId="0" fontId="19" fillId="4" borderId="0" applyAlignment="1" pivotButton="0" quotePrefix="0" xfId="39">
      <alignment horizontal="left" vertical="bottom"/>
    </xf>
    <xf numFmtId="173" fontId="19" fillId="4" borderId="0" applyAlignment="1" pivotButton="0" quotePrefix="0" xfId="39">
      <alignment horizontal="general" vertical="bottom"/>
    </xf>
    <xf numFmtId="173" fontId="19" fillId="4" borderId="85" applyAlignment="1" pivotButton="0" quotePrefix="0" xfId="39">
      <alignment horizontal="general" vertical="bottom"/>
    </xf>
    <xf numFmtId="173" fontId="19" fillId="4" borderId="84" applyAlignment="1" pivotButton="0" quotePrefix="0" xfId="39">
      <alignment horizontal="general" vertical="bottom"/>
    </xf>
    <xf numFmtId="0" fontId="19" fillId="4" borderId="0" applyAlignment="1" pivotButton="0" quotePrefix="0" xfId="39">
      <alignment horizontal="left" vertical="bottom" indent="2"/>
    </xf>
    <xf numFmtId="0" fontId="19" fillId="4" borderId="13" applyAlignment="1" pivotButton="0" quotePrefix="0" xfId="39">
      <alignment horizontal="left" vertical="bottom" indent="2"/>
    </xf>
    <xf numFmtId="173" fontId="19" fillId="4" borderId="13" applyAlignment="1" pivotButton="0" quotePrefix="0" xfId="39">
      <alignment horizontal="general" vertical="bottom"/>
    </xf>
    <xf numFmtId="173" fontId="19" fillId="4" borderId="86" applyAlignment="1" pivotButton="0" quotePrefix="0" xfId="39">
      <alignment horizontal="general" vertical="bottom"/>
    </xf>
    <xf numFmtId="173" fontId="19" fillId="4" borderId="72" applyAlignment="1" pivotButton="0" quotePrefix="0" xfId="39">
      <alignment horizontal="general" vertical="bottom"/>
    </xf>
    <xf numFmtId="0" fontId="19" fillId="4" borderId="13" applyAlignment="1" pivotButton="0" quotePrefix="0" xfId="39">
      <alignment horizontal="left" vertical="bottom" indent="1"/>
    </xf>
    <xf numFmtId="0" fontId="34" fillId="4" borderId="0" applyAlignment="1" pivotButton="0" quotePrefix="0" xfId="39">
      <alignment horizontal="left" vertical="bottom"/>
    </xf>
    <xf numFmtId="173" fontId="34" fillId="4" borderId="0" applyAlignment="1" pivotButton="0" quotePrefix="0" xfId="39">
      <alignment horizontal="general" vertical="bottom"/>
    </xf>
    <xf numFmtId="173" fontId="34" fillId="4" borderId="85" applyAlignment="1" pivotButton="0" quotePrefix="0" xfId="39">
      <alignment horizontal="general" vertical="bottom"/>
    </xf>
    <xf numFmtId="173" fontId="34" fillId="4" borderId="84" applyAlignment="1" pivotButton="0" quotePrefix="0" xfId="39">
      <alignment horizontal="general" vertical="bottom"/>
    </xf>
    <xf numFmtId="0" fontId="34" fillId="7" borderId="3" applyAlignment="1" pivotButton="0" quotePrefix="0" xfId="39">
      <alignment horizontal="left" vertical="bottom"/>
    </xf>
    <xf numFmtId="173" fontId="34" fillId="7" borderId="3" applyAlignment="1" pivotButton="0" quotePrefix="0" xfId="39">
      <alignment horizontal="general" vertical="bottom"/>
    </xf>
    <xf numFmtId="173" fontId="34" fillId="7" borderId="87" applyAlignment="1" pivotButton="0" quotePrefix="0" xfId="39">
      <alignment horizontal="general" vertical="bottom"/>
    </xf>
    <xf numFmtId="173" fontId="34" fillId="7" borderId="88" applyAlignment="1" pivotButton="0" quotePrefix="0" xfId="39">
      <alignment horizontal="general" vertical="bottom"/>
    </xf>
    <xf numFmtId="0" fontId="5" fillId="0" borderId="85" applyAlignment="1" pivotButton="0" quotePrefix="0" xfId="39">
      <alignment horizontal="general" vertical="bottom"/>
    </xf>
    <xf numFmtId="0" fontId="5" fillId="0" borderId="84" applyAlignment="1" pivotButton="0" quotePrefix="0" xfId="39">
      <alignment horizontal="general" vertical="bottom"/>
    </xf>
    <xf numFmtId="167" fontId="5" fillId="0" borderId="0" applyAlignment="1" pivotButton="0" quotePrefix="0" xfId="39">
      <alignment horizontal="right" vertical="bottom"/>
    </xf>
    <xf numFmtId="167" fontId="5" fillId="0" borderId="85" applyAlignment="1" pivotButton="0" quotePrefix="0" xfId="39">
      <alignment horizontal="right" vertical="bottom"/>
    </xf>
    <xf numFmtId="167" fontId="5" fillId="7" borderId="0" applyAlignment="1" pivotButton="0" quotePrefix="0" xfId="39">
      <alignment horizontal="right" vertical="bottom"/>
    </xf>
    <xf numFmtId="167" fontId="5" fillId="7" borderId="85" applyAlignment="1" pivotButton="0" quotePrefix="0" xfId="39">
      <alignment horizontal="right" vertical="bottom"/>
    </xf>
    <xf numFmtId="167" fontId="5" fillId="7" borderId="84" applyAlignment="1" pivotButton="0" quotePrefix="0" xfId="39">
      <alignment horizontal="right" vertical="bottom"/>
    </xf>
    <xf numFmtId="167" fontId="5" fillId="0" borderId="13" applyAlignment="1" pivotButton="0" quotePrefix="0" xfId="39">
      <alignment horizontal="right" vertical="bottom"/>
    </xf>
    <xf numFmtId="167" fontId="5" fillId="0" borderId="86" applyAlignment="1" pivotButton="0" quotePrefix="0" xfId="39">
      <alignment horizontal="right" vertical="bottom"/>
    </xf>
    <xf numFmtId="167" fontId="5" fillId="7" borderId="13" applyAlignment="1" pivotButton="0" quotePrefix="0" xfId="39">
      <alignment horizontal="right" vertical="bottom"/>
    </xf>
    <xf numFmtId="167" fontId="5" fillId="7" borderId="86" applyAlignment="1" pivotButton="0" quotePrefix="0" xfId="39">
      <alignment horizontal="right" vertical="bottom"/>
    </xf>
    <xf numFmtId="167" fontId="5" fillId="7" borderId="72" applyAlignment="1" pivotButton="0" quotePrefix="0" xfId="39">
      <alignment horizontal="right" vertical="bottom"/>
    </xf>
    <xf numFmtId="0" fontId="34" fillId="7" borderId="22" applyAlignment="1" pivotButton="0" quotePrefix="0" xfId="39">
      <alignment horizontal="general" vertical="center"/>
    </xf>
    <xf numFmtId="167" fontId="34" fillId="7" borderId="22" applyAlignment="1" pivotButton="0" quotePrefix="0" xfId="39">
      <alignment horizontal="right" vertical="center"/>
    </xf>
    <xf numFmtId="167" fontId="34" fillId="7" borderId="89" applyAlignment="1" pivotButton="0" quotePrefix="0" xfId="39">
      <alignment horizontal="right" vertical="center"/>
    </xf>
    <xf numFmtId="167" fontId="34" fillId="7" borderId="90" applyAlignment="1" pivotButton="0" quotePrefix="0" xfId="39">
      <alignment horizontal="right" vertical="center"/>
    </xf>
    <xf numFmtId="0" fontId="35" fillId="2" borderId="0" applyAlignment="1" pivotButton="0" quotePrefix="0" xfId="49">
      <alignment horizontal="general" vertical="bottom"/>
    </xf>
    <xf numFmtId="0" fontId="25" fillId="4" borderId="0" applyAlignment="1" pivotButton="0" quotePrefix="0" xfId="39">
      <alignment horizontal="left" vertical="bottom"/>
    </xf>
    <xf numFmtId="173" fontId="25" fillId="4" borderId="0" applyAlignment="1" pivotButton="0" quotePrefix="0" xfId="39">
      <alignment horizontal="general" vertical="bottom"/>
    </xf>
    <xf numFmtId="173" fontId="25" fillId="4" borderId="0" applyAlignment="1" pivotButton="0" quotePrefix="0" xfId="39">
      <alignment horizontal="general" vertical="bottom"/>
    </xf>
    <xf numFmtId="173" fontId="19" fillId="4" borderId="0" applyAlignment="1" pivotButton="0" quotePrefix="0" xfId="39">
      <alignment horizontal="general" vertical="bottom"/>
    </xf>
    <xf numFmtId="0" fontId="46" fillId="2" borderId="0" applyAlignment="1" pivotButton="0" quotePrefix="0" xfId="39">
      <alignment horizontal="left" vertical="center"/>
    </xf>
    <xf numFmtId="196" fontId="21" fillId="5" borderId="91" applyAlignment="1" pivotButton="0" quotePrefix="0" xfId="39">
      <alignment horizontal="center" vertical="bottom"/>
    </xf>
    <xf numFmtId="0" fontId="46" fillId="5" borderId="0" applyAlignment="1" pivotButton="0" quotePrefix="0" xfId="39">
      <alignment horizontal="left" vertical="bottom"/>
    </xf>
    <xf numFmtId="0" fontId="21" fillId="5" borderId="10" applyAlignment="1" pivotButton="0" quotePrefix="0" xfId="39">
      <alignment horizontal="right" vertical="center" wrapText="1"/>
    </xf>
    <xf numFmtId="0" fontId="21" fillId="5" borderId="5" applyAlignment="1" pivotButton="0" quotePrefix="0" xfId="39">
      <alignment horizontal="right" vertical="center" wrapText="1"/>
    </xf>
    <xf numFmtId="0" fontId="46" fillId="5" borderId="20" applyAlignment="1" pivotButton="0" quotePrefix="0" xfId="55">
      <alignment horizontal="left" vertical="bottom"/>
    </xf>
    <xf numFmtId="173" fontId="19" fillId="4" borderId="23" applyAlignment="1" pivotButton="0" quotePrefix="0" xfId="39">
      <alignment horizontal="general" vertical="bottom"/>
    </xf>
    <xf numFmtId="173" fontId="19" fillId="4" borderId="92" applyAlignment="1" pivotButton="0" quotePrefix="0" xfId="39">
      <alignment horizontal="general" vertical="bottom"/>
    </xf>
    <xf numFmtId="173" fontId="19" fillId="4" borderId="10" applyAlignment="1" pivotButton="0" quotePrefix="0" xfId="39">
      <alignment horizontal="general" vertical="bottom"/>
    </xf>
    <xf numFmtId="173" fontId="19" fillId="4" borderId="93" applyAlignment="1" pivotButton="0" quotePrefix="0" xfId="39">
      <alignment horizontal="general" vertical="bottom"/>
    </xf>
    <xf numFmtId="0" fontId="25" fillId="4" borderId="10" applyAlignment="1" pivotButton="0" quotePrefix="0" xfId="39">
      <alignment horizontal="left" vertical="bottom"/>
    </xf>
    <xf numFmtId="173" fontId="19" fillId="4" borderId="58" applyAlignment="1" pivotButton="0" quotePrefix="0" xfId="39">
      <alignment horizontal="general" vertical="bottom"/>
    </xf>
    <xf numFmtId="173" fontId="19" fillId="4" borderId="24" applyAlignment="1" pivotButton="0" quotePrefix="0" xfId="39">
      <alignment horizontal="general" vertical="bottom"/>
    </xf>
    <xf numFmtId="173" fontId="19" fillId="4" borderId="59" applyAlignment="1" pivotButton="0" quotePrefix="0" xfId="39">
      <alignment horizontal="general" vertical="bottom"/>
    </xf>
    <xf numFmtId="0" fontId="25" fillId="4" borderId="13" applyAlignment="1" pivotButton="0" quotePrefix="0" xfId="39">
      <alignment horizontal="left" vertical="bottom"/>
    </xf>
    <xf numFmtId="0" fontId="19" fillId="4" borderId="0" applyAlignment="1" pivotButton="0" quotePrefix="0" xfId="39">
      <alignment horizontal="left" vertical="bottom" indent="1"/>
    </xf>
    <xf numFmtId="173" fontId="19" fillId="0" borderId="58" applyAlignment="1" pivotButton="0" quotePrefix="0" xfId="39">
      <alignment horizontal="general" vertical="bottom"/>
    </xf>
    <xf numFmtId="0" fontId="34" fillId="7" borderId="2" applyAlignment="1" pivotButton="0" quotePrefix="0" xfId="39">
      <alignment horizontal="left" vertical="bottom"/>
    </xf>
    <xf numFmtId="173" fontId="34" fillId="7" borderId="2" applyAlignment="1" pivotButton="0" quotePrefix="0" xfId="39">
      <alignment horizontal="general" vertical="bottom"/>
    </xf>
    <xf numFmtId="173" fontId="34" fillId="7" borderId="26" applyAlignment="1" pivotButton="0" quotePrefix="0" xfId="39">
      <alignment horizontal="general" vertical="bottom"/>
    </xf>
    <xf numFmtId="173" fontId="34" fillId="7" borderId="60" applyAlignment="1" pivotButton="0" quotePrefix="0" xfId="39">
      <alignment horizontal="general" vertical="bottom"/>
    </xf>
    <xf numFmtId="173" fontId="34" fillId="7" borderId="94" applyAlignment="1" pivotButton="0" quotePrefix="0" xfId="39">
      <alignment horizontal="general" vertical="bottom"/>
    </xf>
    <xf numFmtId="0" fontId="47" fillId="7" borderId="2" applyAlignment="1" pivotButton="0" quotePrefix="0" xfId="39">
      <alignment horizontal="left" vertical="bottom"/>
    </xf>
    <xf numFmtId="0" fontId="56" fillId="4" borderId="0" applyAlignment="1" pivotButton="0" quotePrefix="0" xfId="50">
      <alignment horizontal="general" vertical="bottom"/>
    </xf>
    <xf numFmtId="0" fontId="19" fillId="4" borderId="13" applyAlignment="1" pivotButton="0" quotePrefix="0" xfId="39">
      <alignment horizontal="left" vertical="bottom"/>
    </xf>
    <xf numFmtId="173" fontId="34" fillId="7" borderId="28" applyAlignment="1" pivotButton="0" quotePrefix="0" xfId="39">
      <alignment horizontal="general" vertical="bottom"/>
    </xf>
    <xf numFmtId="173" fontId="34" fillId="7" borderId="71" applyAlignment="1" pivotButton="0" quotePrefix="0" xfId="39">
      <alignment horizontal="general" vertical="bottom"/>
    </xf>
    <xf numFmtId="0" fontId="47" fillId="7" borderId="3" applyAlignment="1" pivotButton="0" quotePrefix="0" xfId="39">
      <alignment horizontal="left" vertical="bottom"/>
    </xf>
    <xf numFmtId="1" fontId="73" fillId="0" borderId="0" applyAlignment="1" pivotButton="0" quotePrefix="0" xfId="39">
      <alignment horizontal="general" vertical="bottom"/>
    </xf>
    <xf numFmtId="173" fontId="25" fillId="0" borderId="0" applyAlignment="1" pivotButton="0" quotePrefix="0" xfId="39">
      <alignment horizontal="general" vertical="bottom"/>
    </xf>
    <xf numFmtId="0" fontId="5" fillId="0" borderId="0" applyAlignment="1" pivotButton="0" quotePrefix="0" xfId="62">
      <alignment horizontal="general" vertical="bottom"/>
    </xf>
    <xf numFmtId="0" fontId="5" fillId="0" borderId="0" applyAlignment="1" pivotButton="0" quotePrefix="0" xfId="62">
      <alignment horizontal="general" vertical="bottom"/>
    </xf>
    <xf numFmtId="0" fontId="5" fillId="0" borderId="0" applyAlignment="1" pivotButton="0" quotePrefix="0" xfId="62">
      <alignment horizontal="general" vertical="bottom"/>
    </xf>
    <xf numFmtId="0" fontId="5" fillId="0" borderId="0" applyAlignment="1" pivotButton="0" quotePrefix="0" xfId="62">
      <alignment horizontal="general" vertical="bottom" wrapText="1"/>
    </xf>
    <xf numFmtId="0" fontId="39" fillId="0" borderId="0" applyAlignment="1" pivotButton="0" quotePrefix="0" xfId="0">
      <alignment horizontal="general" vertical="bottom"/>
    </xf>
    <xf numFmtId="173" fontId="21" fillId="2" borderId="0" applyAlignment="1" pivotButton="0" quotePrefix="0" xfId="0">
      <alignment horizontal="general" vertical="center" wrapText="1"/>
    </xf>
    <xf numFmtId="166" fontId="21" fillId="5" borderId="0" applyAlignment="1" pivotButton="0" quotePrefix="0" xfId="0">
      <alignment horizontal="center" vertical="bottom" wrapText="1"/>
    </xf>
    <xf numFmtId="166" fontId="21" fillId="5" borderId="10" applyAlignment="1" pivotButton="0" quotePrefix="0" xfId="0">
      <alignment horizontal="center" vertical="bottom"/>
    </xf>
    <xf numFmtId="166" fontId="21" fillId="5" borderId="5" applyAlignment="1" pivotButton="0" quotePrefix="0" xfId="0">
      <alignment horizontal="center" vertical="bottom"/>
    </xf>
    <xf numFmtId="166" fontId="21" fillId="5" borderId="10" applyAlignment="1" pivotButton="0" quotePrefix="0" xfId="0">
      <alignment horizontal="center" vertical="bottom" wrapText="1"/>
    </xf>
    <xf numFmtId="0" fontId="21" fillId="5" borderId="10" applyAlignment="1" pivotButton="0" quotePrefix="0" xfId="39">
      <alignment horizontal="right" vertical="bottom" wrapText="1"/>
    </xf>
    <xf numFmtId="0" fontId="21" fillId="5" borderId="7" applyAlignment="1" pivotButton="0" quotePrefix="0" xfId="39">
      <alignment horizontal="right" vertical="bottom" wrapText="1"/>
    </xf>
    <xf numFmtId="0" fontId="21" fillId="5" borderId="10" applyAlignment="1" pivotButton="0" quotePrefix="0" xfId="39">
      <alignment horizontal="general" vertical="bottom" wrapText="1"/>
    </xf>
    <xf numFmtId="173" fontId="19" fillId="4" borderId="20" applyAlignment="1" pivotButton="0" quotePrefix="0" xfId="0">
      <alignment horizontal="general" vertical="bottom"/>
    </xf>
    <xf numFmtId="173" fontId="19" fillId="4" borderId="95" applyAlignment="1" pivotButton="0" quotePrefix="0" xfId="0">
      <alignment horizontal="general" vertical="bottom"/>
    </xf>
    <xf numFmtId="173" fontId="19" fillId="4" borderId="84" applyAlignment="1" pivotButton="0" quotePrefix="0" xfId="0">
      <alignment horizontal="general" vertical="bottom"/>
    </xf>
    <xf numFmtId="173" fontId="19" fillId="4" borderId="0" applyAlignment="1" pivotButton="0" quotePrefix="0" xfId="0">
      <alignment horizontal="general" vertical="bottom" wrapText="1"/>
    </xf>
    <xf numFmtId="173" fontId="19" fillId="0" borderId="85" applyAlignment="1" pivotButton="0" quotePrefix="0" xfId="0">
      <alignment horizontal="general" vertical="bottom"/>
    </xf>
    <xf numFmtId="173" fontId="19" fillId="4" borderId="85" applyAlignment="1" pivotButton="0" quotePrefix="0" xfId="0">
      <alignment horizontal="general" vertical="bottom"/>
    </xf>
    <xf numFmtId="173" fontId="19" fillId="0" borderId="20" applyAlignment="1" pivotButton="0" quotePrefix="0" xfId="0">
      <alignment horizontal="general" vertical="bottom"/>
    </xf>
    <xf numFmtId="0" fontId="19" fillId="4" borderId="0" applyAlignment="1" pivotButton="0" quotePrefix="0" xfId="0">
      <alignment horizontal="general" vertical="bottom" wrapText="1"/>
    </xf>
    <xf numFmtId="173" fontId="19" fillId="0" borderId="95" applyAlignment="1" pivotButton="0" quotePrefix="0" xfId="0">
      <alignment horizontal="general" vertical="bottom"/>
    </xf>
    <xf numFmtId="173" fontId="5" fillId="0" borderId="0" applyAlignment="1" pivotButton="0" quotePrefix="0" xfId="0">
      <alignment horizontal="general" vertical="bottom" wrapText="1"/>
    </xf>
    <xf numFmtId="173" fontId="19" fillId="4" borderId="76" applyAlignment="1" pivotButton="0" quotePrefix="0" xfId="0">
      <alignment horizontal="general" vertical="bottom"/>
    </xf>
    <xf numFmtId="173" fontId="19" fillId="0" borderId="86" applyAlignment="1" pivotButton="0" quotePrefix="0" xfId="0">
      <alignment horizontal="general" vertical="bottom"/>
    </xf>
    <xf numFmtId="173" fontId="19" fillId="4" borderId="86" applyAlignment="1" pivotButton="0" quotePrefix="0" xfId="0">
      <alignment horizontal="general" vertical="bottom"/>
    </xf>
    <xf numFmtId="173" fontId="19" fillId="4" borderId="96" applyAlignment="1" pivotButton="0" quotePrefix="0" xfId="0">
      <alignment horizontal="general" vertical="bottom"/>
    </xf>
    <xf numFmtId="173" fontId="19" fillId="4" borderId="72" applyAlignment="1" pivotButton="0" quotePrefix="0" xfId="0">
      <alignment horizontal="general" vertical="bottom"/>
    </xf>
    <xf numFmtId="173" fontId="19" fillId="4" borderId="13" applyAlignment="1" pivotButton="0" quotePrefix="0" xfId="0">
      <alignment horizontal="general" vertical="bottom" wrapText="1"/>
    </xf>
    <xf numFmtId="173" fontId="19" fillId="4" borderId="0" applyAlignment="1" pivotButton="0" quotePrefix="0" xfId="0">
      <alignment horizontal="general" vertical="bottom" wrapText="1"/>
    </xf>
    <xf numFmtId="173" fontId="34" fillId="7" borderId="87" applyAlignment="1" pivotButton="0" quotePrefix="0" xfId="0">
      <alignment horizontal="general" vertical="bottom"/>
    </xf>
    <xf numFmtId="173" fontId="34" fillId="7" borderId="97" applyAlignment="1" pivotButton="0" quotePrefix="0" xfId="0">
      <alignment horizontal="general" vertical="bottom"/>
    </xf>
    <xf numFmtId="173" fontId="34" fillId="7" borderId="88" applyAlignment="1" pivotButton="0" quotePrefix="0" xfId="0">
      <alignment horizontal="general" vertical="bottom"/>
    </xf>
    <xf numFmtId="173" fontId="34" fillId="7" borderId="3" applyAlignment="1" pivotButton="0" quotePrefix="0" xfId="0">
      <alignment horizontal="general" vertical="bottom" wrapText="1"/>
    </xf>
    <xf numFmtId="170" fontId="35"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0" fillId="2" borderId="0" applyAlignment="1" pivotButton="0" quotePrefix="0" xfId="0">
      <alignment horizontal="left" vertical="bottom"/>
    </xf>
    <xf numFmtId="201" fontId="19" fillId="4" borderId="0" applyAlignment="1" pivotButton="0" quotePrefix="0" xfId="0">
      <alignment horizontal="general" vertical="bottom"/>
    </xf>
    <xf numFmtId="0" fontId="19" fillId="4" borderId="0" applyAlignment="1" pivotButton="0" quotePrefix="0" xfId="0">
      <alignment horizontal="left" vertical="center" indent="1"/>
    </xf>
    <xf numFmtId="170" fontId="35" fillId="7" borderId="0" applyAlignment="1" pivotButton="0" quotePrefix="0" xfId="0">
      <alignment horizontal="general" vertical="bottom"/>
    </xf>
    <xf numFmtId="170" fontId="35" fillId="7" borderId="0" applyAlignment="1" pivotButton="0" quotePrefix="0" xfId="0">
      <alignment horizontal="general" vertical="bottom"/>
    </xf>
    <xf numFmtId="0" fontId="45" fillId="2" borderId="0" applyAlignment="1" pivotButton="0" quotePrefix="0" xfId="0">
      <alignment horizontal="left" vertical="bottom"/>
    </xf>
    <xf numFmtId="0" fontId="0" fillId="2" borderId="0" applyAlignment="1" pivotButton="0" quotePrefix="0" xfId="0">
      <alignment horizontal="left" vertical="bottom"/>
    </xf>
    <xf numFmtId="0" fontId="0" fillId="22" borderId="0" applyAlignment="1" pivotButton="0" quotePrefix="0" xfId="0">
      <alignment horizontal="general" vertical="bottom"/>
    </xf>
    <xf numFmtId="166" fontId="21" fillId="11" borderId="15" applyAlignment="1" pivotButton="0" quotePrefix="0" xfId="0">
      <alignment horizontal="center" vertical="bottom"/>
    </xf>
    <xf numFmtId="166" fontId="21" fillId="11" borderId="31" applyAlignment="1" pivotButton="0" quotePrefix="0" xfId="0">
      <alignment horizontal="center" vertical="bottom"/>
    </xf>
    <xf numFmtId="166" fontId="21" fillId="6" borderId="15" applyAlignment="1" pivotButton="0" quotePrefix="0" xfId="0">
      <alignment horizontal="center" vertical="bottom"/>
    </xf>
    <xf numFmtId="166" fontId="21" fillId="6" borderId="31" applyAlignment="1" pivotButton="0" quotePrefix="0" xfId="0">
      <alignment horizontal="center" vertical="bottom"/>
    </xf>
    <xf numFmtId="166" fontId="21" fillId="23" borderId="15" applyAlignment="1" pivotButton="0" quotePrefix="0" xfId="0">
      <alignment horizontal="center" vertical="bottom"/>
    </xf>
    <xf numFmtId="166" fontId="21" fillId="23" borderId="31" applyAlignment="1" pivotButton="0" quotePrefix="0" xfId="0">
      <alignment horizontal="center" vertical="bottom"/>
    </xf>
    <xf numFmtId="166" fontId="21" fillId="8" borderId="0" applyAlignment="1" pivotButton="0" quotePrefix="0" xfId="0">
      <alignment horizontal="right" vertical="bottom"/>
    </xf>
    <xf numFmtId="166" fontId="21" fillId="8" borderId="20" applyAlignment="1" pivotButton="0" quotePrefix="0" xfId="0">
      <alignment horizontal="right" vertical="bottom"/>
    </xf>
    <xf numFmtId="166" fontId="21" fillId="8" borderId="19" applyAlignment="1" pivotButton="0" quotePrefix="0" xfId="0">
      <alignment horizontal="right" vertical="bottom"/>
    </xf>
    <xf numFmtId="166" fontId="21" fillId="11" borderId="0" applyAlignment="1" pivotButton="0" quotePrefix="0" xfId="0">
      <alignment horizontal="right" vertical="bottom"/>
    </xf>
    <xf numFmtId="166" fontId="21" fillId="11" borderId="20" applyAlignment="1" pivotButton="0" quotePrefix="0" xfId="0">
      <alignment horizontal="right" vertical="bottom"/>
    </xf>
    <xf numFmtId="166" fontId="21" fillId="11" borderId="19" applyAlignment="1" pivotButton="0" quotePrefix="0" xfId="0">
      <alignment horizontal="right" vertical="bottom"/>
    </xf>
    <xf numFmtId="166" fontId="21" fillId="11" borderId="19" applyAlignment="1" pivotButton="0" quotePrefix="0" xfId="0">
      <alignment horizontal="right" vertical="center" wrapText="1"/>
    </xf>
    <xf numFmtId="166" fontId="21" fillId="6" borderId="0" applyAlignment="1" pivotButton="0" quotePrefix="0" xfId="0">
      <alignment horizontal="right" vertical="bottom"/>
    </xf>
    <xf numFmtId="166" fontId="21" fillId="6" borderId="20" applyAlignment="1" pivotButton="0" quotePrefix="0" xfId="0">
      <alignment horizontal="right" vertical="bottom"/>
    </xf>
    <xf numFmtId="166" fontId="21" fillId="6" borderId="19" applyAlignment="1" pivotButton="0" quotePrefix="0" xfId="0">
      <alignment horizontal="right" vertical="bottom"/>
    </xf>
    <xf numFmtId="166" fontId="21" fillId="6" borderId="19" applyAlignment="1" pivotButton="0" quotePrefix="0" xfId="0">
      <alignment horizontal="right" vertical="center" wrapText="1"/>
    </xf>
    <xf numFmtId="166" fontId="21" fillId="23" borderId="0" applyAlignment="1" pivotButton="0" quotePrefix="0" xfId="0">
      <alignment horizontal="right" vertical="bottom"/>
    </xf>
    <xf numFmtId="166" fontId="21" fillId="23" borderId="20" applyAlignment="1" pivotButton="0" quotePrefix="0" xfId="0">
      <alignment horizontal="right" vertical="bottom"/>
    </xf>
    <xf numFmtId="166" fontId="21" fillId="23" borderId="19" applyAlignment="1" pivotButton="0" quotePrefix="0" xfId="0">
      <alignment horizontal="right" vertical="bottom"/>
    </xf>
    <xf numFmtId="166" fontId="21" fillId="23" borderId="19" applyAlignment="1" pivotButton="0" quotePrefix="0" xfId="0">
      <alignment horizontal="right" vertical="center" wrapText="1"/>
    </xf>
    <xf numFmtId="202" fontId="25" fillId="4" borderId="0" applyAlignment="1" pivotButton="0" quotePrefix="0" xfId="0">
      <alignment horizontal="right" vertical="bottom"/>
    </xf>
    <xf numFmtId="202" fontId="25" fillId="4" borderId="23" applyAlignment="1" pivotButton="0" quotePrefix="0" xfId="0">
      <alignment horizontal="right" vertical="bottom"/>
    </xf>
    <xf numFmtId="202" fontId="25" fillId="4" borderId="4" applyAlignment="1" pivotButton="0" quotePrefix="0" xfId="0">
      <alignment horizontal="right" vertical="bottom"/>
    </xf>
    <xf numFmtId="202" fontId="25" fillId="4" borderId="0" applyAlignment="1" pivotButton="0" quotePrefix="0" xfId="0">
      <alignment horizontal="right" vertical="bottom"/>
    </xf>
    <xf numFmtId="202" fontId="47" fillId="7" borderId="22" applyAlignment="1" pivotButton="0" quotePrefix="0" xfId="0">
      <alignment horizontal="right" vertical="center"/>
    </xf>
    <xf numFmtId="202" fontId="47" fillId="7" borderId="34" applyAlignment="1" pivotButton="0" quotePrefix="0" xfId="0">
      <alignment horizontal="right" vertical="center"/>
    </xf>
    <xf numFmtId="202" fontId="47" fillId="7" borderId="35" applyAlignment="1" pivotButton="0" quotePrefix="0" xfId="0">
      <alignment horizontal="right" vertical="center"/>
    </xf>
    <xf numFmtId="172" fontId="35" fillId="0" borderId="0" applyAlignment="1" pivotButton="0" quotePrefix="0" xfId="0">
      <alignment horizontal="right" vertical="bottom"/>
    </xf>
    <xf numFmtId="0" fontId="23" fillId="4" borderId="0" applyAlignment="1" pivotButton="0" quotePrefix="0" xfId="0">
      <alignment horizontal="general" vertical="center"/>
    </xf>
    <xf numFmtId="0" fontId="23" fillId="4" borderId="0" applyAlignment="1" pivotButton="0" quotePrefix="0" xfId="0">
      <alignment horizontal="general" vertical="center"/>
    </xf>
    <xf numFmtId="0" fontId="0" fillId="0" borderId="0" applyAlignment="1" pivotButton="0" quotePrefix="0" xfId="0">
      <alignment horizontal="left" vertical="bottom"/>
    </xf>
    <xf numFmtId="0" fontId="0" fillId="0" borderId="0" applyAlignment="1" pivotButton="0" quotePrefix="0" xfId="0">
      <alignment horizontal="general" vertical="bottom"/>
    </xf>
    <xf numFmtId="203" fontId="5" fillId="0" borderId="0" applyAlignment="1" pivotButton="0" quotePrefix="0" xfId="39">
      <alignment horizontal="general" vertical="bottom"/>
    </xf>
    <xf numFmtId="203" fontId="5" fillId="0" borderId="0" applyAlignment="1" pivotButton="0" quotePrefix="0" xfId="39">
      <alignment horizontal="general" vertical="bottom"/>
    </xf>
    <xf numFmtId="0" fontId="5" fillId="2" borderId="0" applyAlignment="1" pivotButton="0" quotePrefix="0" xfId="39">
      <alignment horizontal="left" vertical="bottom"/>
    </xf>
    <xf numFmtId="166" fontId="21" fillId="5" borderId="5" applyAlignment="1" pivotButton="0" quotePrefix="0" xfId="0">
      <alignment horizontal="right" vertical="bottom"/>
    </xf>
    <xf numFmtId="0" fontId="21" fillId="5" borderId="5" applyAlignment="1" pivotButton="0" quotePrefix="0" xfId="0">
      <alignment horizontal="right" vertical="bottom"/>
    </xf>
    <xf numFmtId="0" fontId="21" fillId="5" borderId="19" applyAlignment="1" pivotButton="0" quotePrefix="0" xfId="0">
      <alignment horizontal="right" vertical="bottom"/>
    </xf>
    <xf numFmtId="0" fontId="21" fillId="5" borderId="5" applyAlignment="1" pivotButton="0" quotePrefix="0" xfId="0">
      <alignment horizontal="right" vertical="bottom" wrapText="1"/>
    </xf>
    <xf numFmtId="0" fontId="64" fillId="0" borderId="0" applyAlignment="1" pivotButton="0" quotePrefix="0" xfId="39">
      <alignment horizontal="general" vertical="bottom"/>
    </xf>
    <xf numFmtId="0" fontId="74" fillId="0" borderId="0" applyAlignment="1" pivotButton="0" quotePrefix="0" xfId="39">
      <alignment horizontal="general" vertical="bottom"/>
    </xf>
    <xf numFmtId="170" fontId="64" fillId="0" borderId="0" applyAlignment="1" pivotButton="0" quotePrefix="0" xfId="39">
      <alignment horizontal="general" vertical="bottom"/>
    </xf>
    <xf numFmtId="0" fontId="34" fillId="0" borderId="2" applyAlignment="1" pivotButton="0" quotePrefix="0" xfId="0">
      <alignment horizontal="left" vertical="center"/>
    </xf>
    <xf numFmtId="173" fontId="34" fillId="0" borderId="2" applyAlignment="1" pivotButton="0" quotePrefix="0" xfId="0">
      <alignment horizontal="general" vertical="center"/>
    </xf>
    <xf numFmtId="173" fontId="34" fillId="0" borderId="26" applyAlignment="1" pivotButton="0" quotePrefix="0" xfId="0">
      <alignment horizontal="general" vertical="center"/>
    </xf>
    <xf numFmtId="173" fontId="34" fillId="0" borderId="27" applyAlignment="1" pivotButton="0" quotePrefix="0" xfId="0">
      <alignment horizontal="general" vertical="center"/>
    </xf>
    <xf numFmtId="170" fontId="38" fillId="0" borderId="0" applyAlignment="1" pivotButton="0" quotePrefix="0" xfId="39">
      <alignment horizontal="general" vertical="bottom"/>
    </xf>
    <xf numFmtId="170" fontId="38" fillId="0" borderId="0" applyAlignment="1" pivotButton="0" quotePrefix="0" xfId="39">
      <alignment horizontal="general" vertical="bottom" wrapText="1"/>
    </xf>
    <xf numFmtId="0" fontId="19" fillId="0" borderId="0" applyAlignment="1" pivotButton="0" quotePrefix="0" xfId="0">
      <alignment horizontal="left" vertical="center" indent="1"/>
    </xf>
    <xf numFmtId="172" fontId="19" fillId="0" borderId="0" applyAlignment="1" pivotButton="0" quotePrefix="0" xfId="0">
      <alignment horizontal="right" vertical="center"/>
    </xf>
    <xf numFmtId="172" fontId="19" fillId="0" borderId="23" applyAlignment="1" pivotButton="0" quotePrefix="0" xfId="0">
      <alignment horizontal="right" vertical="center"/>
    </xf>
    <xf numFmtId="172" fontId="19" fillId="0" borderId="4" applyAlignment="1" pivotButton="0" quotePrefix="0" xfId="0">
      <alignment horizontal="right" vertical="center"/>
    </xf>
    <xf numFmtId="202" fontId="35" fillId="4" borderId="98" applyAlignment="1" pivotButton="0" quotePrefix="0" xfId="39">
      <alignment horizontal="right" vertical="bottom"/>
    </xf>
    <xf numFmtId="170" fontId="5" fillId="0" borderId="98" applyAlignment="1" pivotButton="0" quotePrefix="0" xfId="39">
      <alignment horizontal="general" vertical="bottom"/>
    </xf>
    <xf numFmtId="0" fontId="19" fillId="0" borderId="13" applyAlignment="1" pivotButton="0" quotePrefix="0" xfId="0">
      <alignment horizontal="left" vertical="center" indent="1"/>
    </xf>
    <xf numFmtId="172" fontId="19" fillId="0" borderId="13" applyAlignment="1" pivotButton="0" quotePrefix="0" xfId="0">
      <alignment horizontal="right" vertical="center"/>
    </xf>
    <xf numFmtId="172" fontId="19" fillId="0" borderId="24" applyAlignment="1" pivotButton="0" quotePrefix="0" xfId="0">
      <alignment horizontal="right" vertical="center"/>
    </xf>
    <xf numFmtId="172" fontId="19" fillId="0" borderId="25" applyAlignment="1" pivotButton="0" quotePrefix="0" xfId="0">
      <alignment horizontal="right" vertical="center"/>
    </xf>
    <xf numFmtId="0" fontId="19" fillId="0" borderId="0" applyAlignment="1" pivotButton="0" quotePrefix="0" xfId="0">
      <alignment horizontal="left" vertical="center"/>
    </xf>
    <xf numFmtId="172" fontId="19" fillId="0" borderId="0" applyAlignment="1" pivotButton="0" quotePrefix="0" xfId="0">
      <alignment horizontal="right" vertical="bottom"/>
    </xf>
    <xf numFmtId="172" fontId="19" fillId="0" borderId="23" applyAlignment="1" pivotButton="0" quotePrefix="0" xfId="0">
      <alignment horizontal="right" vertical="bottom"/>
    </xf>
    <xf numFmtId="172" fontId="19" fillId="0" borderId="4" applyAlignment="1" pivotButton="0" quotePrefix="0" xfId="0">
      <alignment horizontal="right" vertical="bottom"/>
    </xf>
    <xf numFmtId="172" fontId="19" fillId="4" borderId="0" applyAlignment="1" pivotButton="0" quotePrefix="0" xfId="0">
      <alignment horizontal="right" vertical="bottom"/>
    </xf>
    <xf numFmtId="172" fontId="19" fillId="4" borderId="23" applyAlignment="1" pivotButton="0" quotePrefix="0" xfId="0">
      <alignment horizontal="right" vertical="bottom"/>
    </xf>
    <xf numFmtId="172" fontId="19" fillId="4" borderId="4" applyAlignment="1" pivotButton="0" quotePrefix="0" xfId="0">
      <alignment horizontal="right" vertical="bottom"/>
    </xf>
    <xf numFmtId="172" fontId="34" fillId="7" borderId="22" applyAlignment="1" pivotButton="0" quotePrefix="0" xfId="0">
      <alignment horizontal="right" vertical="center"/>
    </xf>
    <xf numFmtId="172" fontId="34" fillId="7" borderId="34" applyAlignment="1" pivotButton="0" quotePrefix="0" xfId="0">
      <alignment horizontal="right" vertical="center"/>
    </xf>
    <xf numFmtId="172" fontId="34" fillId="7" borderId="35" applyAlignment="1" pivotButton="0" quotePrefix="0" xfId="0">
      <alignment horizontal="right" vertical="center"/>
    </xf>
    <xf numFmtId="0" fontId="57" fillId="0" borderId="0" applyAlignment="1" pivotButton="0" quotePrefix="0" xfId="39">
      <alignment horizontal="general" vertical="bottom"/>
    </xf>
    <xf numFmtId="166" fontId="46" fillId="8" borderId="0" applyAlignment="1" pivotButton="0" quotePrefix="0" xfId="0">
      <alignment horizontal="center" vertical="bottom"/>
    </xf>
    <xf numFmtId="166" fontId="46" fillId="8" borderId="5" applyAlignment="1" pivotButton="0" quotePrefix="0" xfId="0">
      <alignment horizontal="right" vertical="bottom"/>
    </xf>
    <xf numFmtId="166" fontId="46" fillId="8" borderId="7" applyAlignment="1" pivotButton="0" quotePrefix="0" xfId="0">
      <alignment horizontal="right" vertical="bottom"/>
    </xf>
    <xf numFmtId="166" fontId="46" fillId="8" borderId="6" applyAlignment="1" pivotButton="0" quotePrefix="0" xfId="0">
      <alignment horizontal="right" vertical="bottom"/>
    </xf>
    <xf numFmtId="166" fontId="46" fillId="8" borderId="6" applyAlignment="1" pivotButton="0" quotePrefix="0" xfId="0">
      <alignment horizontal="right" vertical="bottom" wrapText="1"/>
    </xf>
    <xf numFmtId="174" fontId="47" fillId="7" borderId="22" applyAlignment="1" pivotButton="0" quotePrefix="0" xfId="0">
      <alignment horizontal="general" vertical="center"/>
    </xf>
    <xf numFmtId="174" fontId="47" fillId="7" borderId="34" applyAlignment="1" pivotButton="0" quotePrefix="0" xfId="0">
      <alignment horizontal="general" vertical="center"/>
    </xf>
    <xf numFmtId="174" fontId="47" fillId="7" borderId="35" applyAlignment="1" pivotButton="0" quotePrefix="0" xfId="0">
      <alignment horizontal="general" vertical="center"/>
    </xf>
    <xf numFmtId="0" fontId="25" fillId="2" borderId="0" applyAlignment="1" pivotButton="0" quotePrefix="0" xfId="39">
      <alignment horizontal="left" vertical="bottom"/>
    </xf>
    <xf numFmtId="170" fontId="0" fillId="0" borderId="0" applyAlignment="1" pivotButton="0" quotePrefix="0" xfId="0">
      <alignment horizontal="general" vertical="bottom"/>
    </xf>
    <xf numFmtId="166" fontId="21" fillId="5" borderId="5" applyAlignment="1" pivotButton="0" quotePrefix="0" xfId="0">
      <alignment horizontal="right" vertical="bottom" wrapText="1"/>
    </xf>
    <xf numFmtId="0" fontId="46" fillId="8" borderId="6" applyAlignment="1" pivotButton="0" quotePrefix="0" xfId="0">
      <alignment horizontal="right" vertical="bottom" wrapText="1"/>
    </xf>
    <xf numFmtId="0" fontId="25" fillId="0" borderId="0" applyAlignment="1" pivotButton="0" quotePrefix="0" xfId="39">
      <alignment horizontal="left" vertical="bottom"/>
    </xf>
    <xf numFmtId="0" fontId="25" fillId="0" borderId="0" applyAlignment="1" pivotButton="0" quotePrefix="0" xfId="39">
      <alignment horizontal="general" vertical="bottom"/>
    </xf>
    <xf numFmtId="170" fontId="25" fillId="0" borderId="0" applyAlignment="1" pivotButton="0" quotePrefix="0" xfId="39">
      <alignment horizontal="general" vertical="bottom"/>
    </xf>
    <xf numFmtId="0" fontId="25" fillId="0" borderId="0" applyAlignment="1" pivotButton="0" quotePrefix="0" xfId="39">
      <alignment horizontal="left" vertical="bottom" indent="1"/>
    </xf>
    <xf numFmtId="0" fontId="25" fillId="4" borderId="13" applyAlignment="1" pivotButton="0" quotePrefix="0" xfId="39">
      <alignment horizontal="left" vertical="bottom" indent="1"/>
    </xf>
    <xf numFmtId="170" fontId="25" fillId="4" borderId="13" applyAlignment="1" pivotButton="0" quotePrefix="0" xfId="39">
      <alignment horizontal="general" vertical="bottom"/>
    </xf>
    <xf numFmtId="170" fontId="25" fillId="0" borderId="0" applyAlignment="1" pivotButton="0" quotePrefix="0" xfId="39">
      <alignment horizontal="general" vertical="bottom"/>
    </xf>
    <xf numFmtId="168" fontId="35" fillId="0" borderId="0" applyAlignment="1" pivotButton="0" quotePrefix="0" xfId="39">
      <alignment horizontal="right" vertical="bottom"/>
    </xf>
    <xf numFmtId="0" fontId="38" fillId="0" borderId="0" applyAlignment="1" pivotButton="0" quotePrefix="0" xfId="39">
      <alignment horizontal="general" vertical="bottom"/>
    </xf>
    <xf numFmtId="0" fontId="5" fillId="2" borderId="0" applyAlignment="1" pivotButton="0" quotePrefix="0" xfId="43">
      <alignment horizontal="left" vertical="bottom"/>
    </xf>
    <xf numFmtId="0" fontId="5" fillId="0" borderId="0" applyAlignment="1" pivotButton="0" quotePrefix="0" xfId="43">
      <alignment horizontal="left" vertical="bottom"/>
    </xf>
    <xf numFmtId="0" fontId="5" fillId="0" borderId="0" applyAlignment="1" pivotButton="0" quotePrefix="0" xfId="43">
      <alignment horizontal="general" vertical="bottom"/>
    </xf>
    <xf numFmtId="170" fontId="5" fillId="0" borderId="0" applyAlignment="1" pivotButton="0" quotePrefix="0" xfId="43">
      <alignment horizontal="general" vertical="bottom"/>
    </xf>
    <xf numFmtId="170" fontId="35" fillId="0" borderId="0" applyAlignment="1" pivotButton="0" quotePrefix="0" xfId="43">
      <alignment horizontal="general" vertical="bottom"/>
    </xf>
    <xf numFmtId="0" fontId="27" fillId="0" borderId="0" applyAlignment="1" pivotButton="0" quotePrefix="0" xfId="43">
      <alignment horizontal="left" vertical="bottom"/>
    </xf>
    <xf numFmtId="0" fontId="28" fillId="0" borderId="0" applyAlignment="1" pivotButton="0" quotePrefix="0" xfId="43">
      <alignment horizontal="left" vertical="bottom"/>
    </xf>
    <xf numFmtId="0" fontId="29" fillId="0" borderId="0" applyAlignment="1" pivotButton="0" quotePrefix="0" xfId="43">
      <alignment horizontal="left" vertical="bottom"/>
    </xf>
    <xf numFmtId="0" fontId="24" fillId="0" borderId="0" applyAlignment="1" pivotButton="0" quotePrefix="0" xfId="43">
      <alignment horizontal="left" vertical="bottom"/>
    </xf>
    <xf numFmtId="0" fontId="25" fillId="2" borderId="0" applyAlignment="1" pivotButton="0" quotePrefix="0" xfId="43">
      <alignment horizontal="left" vertical="bottom"/>
    </xf>
    <xf numFmtId="0" fontId="25" fillId="0" borderId="0" applyAlignment="1" pivotButton="0" quotePrefix="0" xfId="43">
      <alignment horizontal="left" vertical="bottom"/>
    </xf>
    <xf numFmtId="0" fontId="25" fillId="0" borderId="0" applyAlignment="1" pivotButton="0" quotePrefix="0" xfId="43">
      <alignment horizontal="general" vertical="bottom"/>
    </xf>
    <xf numFmtId="170" fontId="25" fillId="0" borderId="0" applyAlignment="1" pivotButton="0" quotePrefix="0" xfId="43">
      <alignment horizontal="general" vertical="bottom"/>
    </xf>
    <xf numFmtId="0" fontId="5" fillId="2" borderId="0" applyAlignment="1" pivotButton="0" quotePrefix="0" xfId="0">
      <alignment horizontal="left" vertical="bottom"/>
    </xf>
    <xf numFmtId="0" fontId="24" fillId="0" borderId="0" applyAlignment="1" pivotButton="0" quotePrefix="0" xfId="56">
      <alignment horizontal="general" vertical="bottom"/>
    </xf>
    <xf numFmtId="0" fontId="21" fillId="2" borderId="2" applyAlignment="1" pivotButton="0" quotePrefix="0" xfId="0">
      <alignment horizontal="left" vertical="center"/>
    </xf>
    <xf numFmtId="0" fontId="21" fillId="5" borderId="0" applyAlignment="1" pivotButton="0" quotePrefix="0" xfId="0">
      <alignment horizontal="left" vertical="bottom"/>
    </xf>
    <xf numFmtId="166" fontId="21" fillId="8" borderId="21" applyAlignment="1" pivotButton="0" quotePrefix="0" xfId="0">
      <alignment horizontal="right" vertical="bottom"/>
    </xf>
    <xf numFmtId="0" fontId="19" fillId="4" borderId="0" applyAlignment="1" pivotButton="0" quotePrefix="0" xfId="0">
      <alignment horizontal="left" vertical="bottom" indent="1"/>
    </xf>
    <xf numFmtId="0" fontId="19" fillId="4" borderId="13" applyAlignment="1" pivotButton="0" quotePrefix="0" xfId="0">
      <alignment horizontal="left" vertical="bottom" indent="1"/>
    </xf>
    <xf numFmtId="196" fontId="19" fillId="4" borderId="0" applyAlignment="1" pivotButton="0" quotePrefix="0" xfId="0">
      <alignment horizontal="left" vertical="bottom"/>
    </xf>
    <xf numFmtId="196" fontId="19" fillId="0" borderId="3" applyAlignment="1" pivotButton="0" quotePrefix="0" xfId="0">
      <alignment horizontal="left" vertical="bottom"/>
    </xf>
    <xf numFmtId="173" fontId="19" fillId="0" borderId="3" applyAlignment="1" pivotButton="0" quotePrefix="0" xfId="0">
      <alignment horizontal="general" vertical="bottom"/>
    </xf>
    <xf numFmtId="173" fontId="19" fillId="0" borderId="87" applyAlignment="1" pivotButton="0" quotePrefix="0" xfId="0">
      <alignment horizontal="general" vertical="bottom"/>
    </xf>
    <xf numFmtId="174" fontId="25" fillId="0" borderId="3" applyAlignment="1" pivotButton="0" quotePrefix="0" xfId="0">
      <alignment horizontal="general" vertical="bottom"/>
    </xf>
    <xf numFmtId="174" fontId="25" fillId="0" borderId="28" applyAlignment="1" pivotButton="0" quotePrefix="0" xfId="0">
      <alignment horizontal="general" vertical="bottom"/>
    </xf>
    <xf numFmtId="0" fontId="5" fillId="2" borderId="0" applyAlignment="1" pivotButton="0" quotePrefix="0" xfId="42">
      <alignment horizontal="general" vertical="bottom"/>
    </xf>
    <xf numFmtId="0" fontId="5" fillId="0" borderId="0" applyAlignment="1" pivotButton="0" quotePrefix="0" xfId="42">
      <alignment horizontal="general" vertical="bottom"/>
    </xf>
    <xf numFmtId="0" fontId="5" fillId="0" borderId="0" applyAlignment="1" pivotButton="0" quotePrefix="0" xfId="42">
      <alignment horizontal="left" vertical="bottom"/>
    </xf>
    <xf numFmtId="0" fontId="21" fillId="2" borderId="2" applyAlignment="1" pivotButton="0" quotePrefix="0" xfId="42">
      <alignment horizontal="left" vertical="center"/>
    </xf>
    <xf numFmtId="173" fontId="21" fillId="2" borderId="2" applyAlignment="1" pivotButton="0" quotePrefix="0" xfId="42">
      <alignment horizontal="left" vertical="center"/>
    </xf>
    <xf numFmtId="173" fontId="21" fillId="2" borderId="2" applyAlignment="1" pivotButton="0" quotePrefix="0" xfId="42">
      <alignment horizontal="general" vertical="center"/>
    </xf>
    <xf numFmtId="0" fontId="21" fillId="5" borderId="0" applyAlignment="1" pivotButton="0" quotePrefix="0" xfId="42">
      <alignment horizontal="left" vertical="bottom"/>
    </xf>
    <xf numFmtId="166" fontId="21" fillId="5" borderId="0" applyAlignment="1" pivotButton="0" quotePrefix="0" xfId="42">
      <alignment horizontal="left" vertical="bottom" wrapText="1"/>
    </xf>
    <xf numFmtId="166" fontId="21" fillId="5" borderId="0" applyAlignment="1" pivotButton="0" quotePrefix="0" xfId="42">
      <alignment horizontal="left" vertical="bottom"/>
    </xf>
    <xf numFmtId="166" fontId="21" fillId="5" borderId="20" applyAlignment="1" pivotButton="0" quotePrefix="0" xfId="42">
      <alignment horizontal="right" vertical="bottom"/>
    </xf>
    <xf numFmtId="166" fontId="21" fillId="5" borderId="19" applyAlignment="1" pivotButton="0" quotePrefix="0" xfId="42">
      <alignment horizontal="right" vertical="bottom"/>
    </xf>
    <xf numFmtId="166" fontId="21" fillId="8" borderId="21" applyAlignment="1" pivotButton="0" quotePrefix="0" xfId="42">
      <alignment horizontal="right" vertical="bottom" wrapText="1"/>
    </xf>
    <xf numFmtId="0" fontId="19" fillId="4" borderId="0" applyAlignment="1" pivotButton="0" quotePrefix="0" xfId="42">
      <alignment horizontal="left" vertical="bottom" indent="2"/>
    </xf>
    <xf numFmtId="173" fontId="19" fillId="4" borderId="0" applyAlignment="1" pivotButton="0" quotePrefix="0" xfId="42">
      <alignment horizontal="left" vertical="bottom"/>
    </xf>
    <xf numFmtId="173" fontId="19" fillId="4" borderId="0" applyAlignment="1" pivotButton="0" quotePrefix="0" xfId="42">
      <alignment horizontal="general" vertical="bottom"/>
    </xf>
    <xf numFmtId="173" fontId="19" fillId="4" borderId="85" applyAlignment="1" pivotButton="0" quotePrefix="0" xfId="42">
      <alignment horizontal="general" vertical="bottom"/>
    </xf>
    <xf numFmtId="174" fontId="25" fillId="4" borderId="0" applyAlignment="1" pivotButton="0" quotePrefix="0" xfId="42">
      <alignment horizontal="general" vertical="bottom"/>
    </xf>
    <xf numFmtId="0" fontId="19" fillId="4" borderId="13" applyAlignment="1" pivotButton="0" quotePrefix="0" xfId="42">
      <alignment horizontal="left" vertical="bottom" indent="2"/>
    </xf>
    <xf numFmtId="173" fontId="19" fillId="4" borderId="13" applyAlignment="1" pivotButton="0" quotePrefix="0" xfId="42">
      <alignment horizontal="left" vertical="bottom"/>
    </xf>
    <xf numFmtId="173" fontId="19" fillId="4" borderId="13" applyAlignment="1" pivotButton="0" quotePrefix="0" xfId="42">
      <alignment horizontal="general" vertical="bottom"/>
    </xf>
    <xf numFmtId="173" fontId="19" fillId="4" borderId="86" applyAlignment="1" pivotButton="0" quotePrefix="0" xfId="42">
      <alignment horizontal="general" vertical="bottom"/>
    </xf>
    <xf numFmtId="174" fontId="25" fillId="4" borderId="13" applyAlignment="1" pivotButton="0" quotePrefix="0" xfId="42">
      <alignment horizontal="general" vertical="bottom"/>
    </xf>
    <xf numFmtId="0" fontId="19" fillId="4" borderId="0" applyAlignment="1" pivotButton="0" quotePrefix="0" xfId="42">
      <alignment horizontal="left" vertical="bottom" indent="1"/>
    </xf>
    <xf numFmtId="0" fontId="38" fillId="2" borderId="0" applyAlignment="1" pivotButton="0" quotePrefix="0" xfId="42">
      <alignment horizontal="general" vertical="bottom"/>
    </xf>
    <xf numFmtId="0" fontId="38" fillId="0" borderId="0" applyAlignment="1" pivotButton="0" quotePrefix="0" xfId="42">
      <alignment horizontal="general" vertical="bottom"/>
    </xf>
    <xf numFmtId="0" fontId="35" fillId="2" borderId="0" applyAlignment="1" pivotButton="0" quotePrefix="0" xfId="42">
      <alignment horizontal="general" vertical="bottom"/>
    </xf>
    <xf numFmtId="0" fontId="35" fillId="0" borderId="0" applyAlignment="1" pivotButton="0" quotePrefix="0" xfId="42">
      <alignment horizontal="general" vertical="bottom"/>
    </xf>
    <xf numFmtId="0" fontId="19" fillId="4" borderId="13" applyAlignment="1" pivotButton="0" quotePrefix="0" xfId="42">
      <alignment horizontal="left" vertical="bottom" indent="1"/>
    </xf>
    <xf numFmtId="0" fontId="34" fillId="4" borderId="0" applyAlignment="1" pivotButton="0" quotePrefix="0" xfId="42">
      <alignment horizontal="left" vertical="bottom"/>
    </xf>
    <xf numFmtId="173" fontId="34" fillId="4" borderId="0" applyAlignment="1" pivotButton="0" quotePrefix="0" xfId="42">
      <alignment horizontal="left" vertical="bottom"/>
    </xf>
    <xf numFmtId="173" fontId="34" fillId="4" borderId="0" applyAlignment="1" pivotButton="0" quotePrefix="0" xfId="42">
      <alignment horizontal="general" vertical="bottom"/>
    </xf>
    <xf numFmtId="173" fontId="34" fillId="4" borderId="85" applyAlignment="1" pivotButton="0" quotePrefix="0" xfId="42">
      <alignment horizontal="general" vertical="bottom"/>
    </xf>
    <xf numFmtId="174" fontId="47" fillId="4" borderId="0" applyAlignment="1" pivotButton="0" quotePrefix="0" xfId="42">
      <alignment horizontal="general" vertical="bottom"/>
    </xf>
    <xf numFmtId="0" fontId="23" fillId="4" borderId="0" applyAlignment="1" pivotButton="0" quotePrefix="0" xfId="42">
      <alignment horizontal="left" vertical="bottom"/>
    </xf>
    <xf numFmtId="0" fontId="19" fillId="4" borderId="13" applyAlignment="1" pivotButton="0" quotePrefix="0" xfId="42">
      <alignment horizontal="left" vertical="bottom"/>
    </xf>
    <xf numFmtId="196" fontId="34" fillId="7" borderId="0" applyAlignment="1" pivotButton="0" quotePrefix="0" xfId="42">
      <alignment horizontal="left" vertical="bottom"/>
    </xf>
    <xf numFmtId="173" fontId="34" fillId="7" borderId="0" applyAlignment="1" pivotButton="0" quotePrefix="0" xfId="42">
      <alignment horizontal="left" vertical="bottom"/>
    </xf>
    <xf numFmtId="173" fontId="34" fillId="7" borderId="0" applyAlignment="1" pivotButton="0" quotePrefix="0" xfId="42">
      <alignment horizontal="general" vertical="bottom"/>
    </xf>
    <xf numFmtId="173" fontId="34" fillId="7" borderId="85" applyAlignment="1" pivotButton="0" quotePrefix="0" xfId="42">
      <alignment horizontal="general" vertical="bottom"/>
    </xf>
    <xf numFmtId="174" fontId="47" fillId="7" borderId="0" applyAlignment="1" pivotButton="0" quotePrefix="0" xfId="42">
      <alignment horizontal="general" vertical="bottom"/>
    </xf>
    <xf numFmtId="196" fontId="25" fillId="0" borderId="3" applyAlignment="1" pivotButton="0" quotePrefix="0" xfId="42">
      <alignment horizontal="left" vertical="bottom"/>
    </xf>
    <xf numFmtId="173" fontId="25" fillId="0" borderId="3" applyAlignment="1" pivotButton="0" quotePrefix="0" xfId="42">
      <alignment horizontal="left" vertical="bottom"/>
    </xf>
    <xf numFmtId="174" fontId="25" fillId="0" borderId="3" applyAlignment="1" pivotButton="0" quotePrefix="0" xfId="42">
      <alignment horizontal="general" vertical="bottom"/>
    </xf>
    <xf numFmtId="174" fontId="25" fillId="0" borderId="87" applyAlignment="1" pivotButton="0" quotePrefix="0" xfId="42">
      <alignment horizontal="general" vertical="bottom"/>
    </xf>
    <xf numFmtId="196" fontId="34" fillId="0" borderId="0" applyAlignment="1" pivotButton="0" quotePrefix="0" xfId="42">
      <alignment horizontal="left" vertical="bottom"/>
    </xf>
    <xf numFmtId="173" fontId="34" fillId="0" borderId="0" applyAlignment="1" pivotButton="0" quotePrefix="0" xfId="42">
      <alignment horizontal="left" vertical="bottom"/>
    </xf>
    <xf numFmtId="173" fontId="34" fillId="0" borderId="0" applyAlignment="1" pivotButton="0" quotePrefix="0" xfId="42">
      <alignment horizontal="general" vertical="bottom"/>
    </xf>
    <xf numFmtId="174" fontId="47" fillId="0" borderId="0" applyAlignment="1" pivotButton="0" quotePrefix="0" xfId="42">
      <alignment horizontal="general" vertical="bottom"/>
    </xf>
    <xf numFmtId="196" fontId="25" fillId="0" borderId="0" applyAlignment="1" pivotButton="0" quotePrefix="0" xfId="42">
      <alignment horizontal="left" vertical="bottom"/>
    </xf>
    <xf numFmtId="173" fontId="25" fillId="0" borderId="0" applyAlignment="1" pivotButton="0" quotePrefix="0" xfId="42">
      <alignment horizontal="left" vertical="bottom"/>
    </xf>
    <xf numFmtId="173" fontId="25" fillId="0" borderId="0" applyAlignment="1" pivotButton="0" quotePrefix="0" xfId="42">
      <alignment horizontal="general" vertical="bottom"/>
    </xf>
    <xf numFmtId="174" fontId="25" fillId="0" borderId="0" applyAlignment="1" pivotButton="0" quotePrefix="0" xfId="42">
      <alignment horizontal="general" vertical="bottom"/>
    </xf>
    <xf numFmtId="173" fontId="25" fillId="12" borderId="0" applyAlignment="1" pivotButton="0" quotePrefix="0" xfId="42">
      <alignment horizontal="general" vertical="bottom"/>
    </xf>
    <xf numFmtId="0" fontId="5" fillId="2" borderId="0" applyAlignment="1" pivotButton="0" quotePrefix="0" xfId="42">
      <alignment horizontal="right" vertical="bottom"/>
    </xf>
    <xf numFmtId="0" fontId="35" fillId="0" borderId="0" applyAlignment="1" pivotButton="0" quotePrefix="0" xfId="42">
      <alignment horizontal="left" vertical="bottom"/>
    </xf>
    <xf numFmtId="170" fontId="5" fillId="0" borderId="0" applyAlignment="1" pivotButton="0" quotePrefix="0" xfId="42">
      <alignment horizontal="general" vertical="bottom"/>
    </xf>
    <xf numFmtId="166" fontId="21" fillId="5" borderId="0" applyAlignment="1" pivotButton="0" quotePrefix="0" xfId="42">
      <alignment horizontal="right" vertical="bottom"/>
    </xf>
    <xf numFmtId="166" fontId="21" fillId="5" borderId="21" applyAlignment="1" pivotButton="0" quotePrefix="0" xfId="42">
      <alignment horizontal="right" vertical="bottom"/>
    </xf>
    <xf numFmtId="173" fontId="25" fillId="0" borderId="3" applyAlignment="1" pivotButton="0" quotePrefix="0" xfId="42">
      <alignment horizontal="general" vertical="bottom"/>
    </xf>
    <xf numFmtId="0" fontId="34" fillId="0" borderId="0" applyAlignment="1" pivotButton="0" quotePrefix="0" xfId="42">
      <alignment horizontal="left" vertical="bottom"/>
    </xf>
    <xf numFmtId="0" fontId="25" fillId="0" borderId="0" applyAlignment="1" pivotButton="0" quotePrefix="0" xfId="42">
      <alignment horizontal="left" vertical="bottom"/>
    </xf>
    <xf numFmtId="173" fontId="25" fillId="0" borderId="0" applyAlignment="1" pivotButton="0" quotePrefix="0" xfId="42">
      <alignment horizontal="general" vertical="bottom"/>
    </xf>
    <xf numFmtId="0" fontId="5" fillId="0" borderId="0" applyAlignment="1" pivotButton="0" quotePrefix="0" xfId="42">
      <alignment horizontal="general" vertical="bottom"/>
    </xf>
    <xf numFmtId="0" fontId="21" fillId="2" borderId="0" applyAlignment="1" pivotButton="0" quotePrefix="0" xfId="80">
      <alignment horizontal="left" vertical="center"/>
    </xf>
    <xf numFmtId="173" fontId="21" fillId="2" borderId="0" applyAlignment="1" pivotButton="0" quotePrefix="0" xfId="80">
      <alignment horizontal="general" vertical="center"/>
    </xf>
    <xf numFmtId="188" fontId="21" fillId="5" borderId="0" applyAlignment="1" pivotButton="0" quotePrefix="0" xfId="80">
      <alignment horizontal="right" vertical="bottom"/>
    </xf>
    <xf numFmtId="188" fontId="21" fillId="5" borderId="20" applyAlignment="1" pivotButton="0" quotePrefix="0" xfId="80">
      <alignment horizontal="right" vertical="bottom"/>
    </xf>
    <xf numFmtId="188" fontId="21" fillId="5" borderId="0" applyAlignment="1" pivotButton="0" quotePrefix="0" xfId="80">
      <alignment horizontal="right" vertical="bottom"/>
    </xf>
    <xf numFmtId="0" fontId="47" fillId="7" borderId="0" applyAlignment="1" pivotButton="0" quotePrefix="0" xfId="0">
      <alignment horizontal="general" vertical="center"/>
    </xf>
    <xf numFmtId="167" fontId="47" fillId="7" borderId="0" applyAlignment="1" pivotButton="0" quotePrefix="0" xfId="0">
      <alignment horizontal="right" vertical="center"/>
    </xf>
    <xf numFmtId="196" fontId="21" fillId="5" borderId="0" applyAlignment="1" pivotButton="0" quotePrefix="0" xfId="80">
      <alignment horizontal="right" vertical="center"/>
    </xf>
    <xf numFmtId="196" fontId="21" fillId="5" borderId="20" applyAlignment="1" pivotButton="0" quotePrefix="0" xfId="80">
      <alignment horizontal="right" vertical="center"/>
    </xf>
    <xf numFmtId="196" fontId="21" fillId="5" borderId="0" applyAlignment="1" pivotButton="0" quotePrefix="0" xfId="80">
      <alignment horizontal="right" vertical="center"/>
    </xf>
    <xf numFmtId="196" fontId="21" fillId="5" borderId="31" applyAlignment="1" pivotButton="0" quotePrefix="0" xfId="80">
      <alignment horizontal="center" vertical="center"/>
    </xf>
    <xf numFmtId="196" fontId="21" fillId="5" borderId="19" applyAlignment="1" pivotButton="0" quotePrefix="0" xfId="80">
      <alignment horizontal="right" vertical="center"/>
    </xf>
    <xf numFmtId="196" fontId="21" fillId="5" borderId="21" applyAlignment="1" pivotButton="0" quotePrefix="0" xfId="80">
      <alignment horizontal="right" vertical="center"/>
    </xf>
    <xf numFmtId="0" fontId="7" fillId="0" borderId="0" applyAlignment="1" pivotButton="0" quotePrefix="0" xfId="80">
      <alignment horizontal="general" vertical="center"/>
    </xf>
    <xf numFmtId="173" fontId="19" fillId="0" borderId="0" applyAlignment="1" pivotButton="0" quotePrefix="0" xfId="80">
      <alignment horizontal="general" vertical="center"/>
    </xf>
    <xf numFmtId="173" fontId="19" fillId="0" borderId="4" applyAlignment="1" pivotButton="0" quotePrefix="0" xfId="80">
      <alignment horizontal="general" vertical="center"/>
    </xf>
    <xf numFmtId="0" fontId="19" fillId="0" borderId="0" applyAlignment="1" pivotButton="0" quotePrefix="0" xfId="80">
      <alignment horizontal="left" vertical="center" indent="2"/>
    </xf>
    <xf numFmtId="0" fontId="19" fillId="0" borderId="13" applyAlignment="1" pivotButton="0" quotePrefix="0" xfId="80">
      <alignment horizontal="left" vertical="center" indent="2"/>
    </xf>
    <xf numFmtId="173" fontId="19" fillId="0" borderId="25" applyAlignment="1" pivotButton="0" quotePrefix="0" xfId="80">
      <alignment horizontal="general" vertical="center"/>
    </xf>
    <xf numFmtId="0" fontId="19" fillId="0" borderId="0" applyAlignment="1" pivotButton="0" quotePrefix="0" xfId="80">
      <alignment horizontal="left" vertical="center" indent="1"/>
    </xf>
    <xf numFmtId="0" fontId="19" fillId="0" borderId="0" applyAlignment="1" pivotButton="0" quotePrefix="0" xfId="80">
      <alignment horizontal="left" vertical="center" indent="1"/>
    </xf>
    <xf numFmtId="0" fontId="19" fillId="0" borderId="56" applyAlignment="1" pivotButton="0" quotePrefix="0" xfId="80">
      <alignment horizontal="left" vertical="center"/>
    </xf>
    <xf numFmtId="173" fontId="19" fillId="0" borderId="56" applyAlignment="1" pivotButton="0" quotePrefix="0" xfId="80">
      <alignment horizontal="general" vertical="center"/>
    </xf>
    <xf numFmtId="173" fontId="19" fillId="0" borderId="74" applyAlignment="1" pivotButton="0" quotePrefix="0" xfId="80">
      <alignment horizontal="general" vertical="center"/>
    </xf>
    <xf numFmtId="173" fontId="19" fillId="0" borderId="57" applyAlignment="1" pivotButton="0" quotePrefix="0" xfId="80">
      <alignment horizontal="general" vertical="center"/>
    </xf>
    <xf numFmtId="173" fontId="34" fillId="7" borderId="28" applyAlignment="1" pivotButton="0" quotePrefix="0" xfId="80">
      <alignment horizontal="general" vertical="center"/>
    </xf>
    <xf numFmtId="167" fontId="22" fillId="0" borderId="0" applyAlignment="1" pivotButton="0" quotePrefix="0" xfId="80">
      <alignment horizontal="right" vertical="center"/>
    </xf>
    <xf numFmtId="0" fontId="10" fillId="0" borderId="0" applyAlignment="1" pivotButton="0" quotePrefix="0" xfId="80">
      <alignment horizontal="general" vertical="center"/>
    </xf>
    <xf numFmtId="0" fontId="22" fillId="0" borderId="0" applyAlignment="1" pivotButton="0" quotePrefix="0" xfId="80">
      <alignment horizontal="left" vertical="center" indent="1"/>
    </xf>
    <xf numFmtId="0" fontId="22" fillId="4" borderId="13" applyAlignment="1" pivotButton="0" quotePrefix="0" xfId="80">
      <alignment horizontal="left" vertical="center" indent="1"/>
    </xf>
    <xf numFmtId="167" fontId="22" fillId="4" borderId="13" applyAlignment="1" pivotButton="0" quotePrefix="0" xfId="80">
      <alignment horizontal="right" vertical="center"/>
    </xf>
    <xf numFmtId="167" fontId="22" fillId="0" borderId="0" applyAlignment="1" pivotButton="0" quotePrefix="0" xfId="80">
      <alignment horizontal="general" vertical="center"/>
    </xf>
    <xf numFmtId="0" fontId="21" fillId="2" borderId="2" applyAlignment="1" pivotButton="0" quotePrefix="0" xfId="80">
      <alignment horizontal="left" vertical="center"/>
    </xf>
    <xf numFmtId="173" fontId="21" fillId="2" borderId="2" applyAlignment="1" pivotButton="0" quotePrefix="0" xfId="80">
      <alignment horizontal="general" vertical="center"/>
    </xf>
    <xf numFmtId="167" fontId="19" fillId="4" borderId="0" applyAlignment="1" pivotButton="0" quotePrefix="0" xfId="80">
      <alignment horizontal="right" vertical="center"/>
    </xf>
    <xf numFmtId="167" fontId="19" fillId="4" borderId="23" applyAlignment="1" pivotButton="0" quotePrefix="0" xfId="80">
      <alignment horizontal="right" vertical="center"/>
    </xf>
    <xf numFmtId="167" fontId="19" fillId="4" borderId="0" applyAlignment="1" pivotButton="0" quotePrefix="0" xfId="80">
      <alignment horizontal="right" vertical="center"/>
    </xf>
    <xf numFmtId="167" fontId="19" fillId="4" borderId="4" applyAlignment="1" pivotButton="0" quotePrefix="0" xfId="80">
      <alignment horizontal="right" vertical="center"/>
    </xf>
    <xf numFmtId="167" fontId="19" fillId="4" borderId="13" applyAlignment="1" pivotButton="0" quotePrefix="0" xfId="80">
      <alignment horizontal="right" vertical="center"/>
    </xf>
    <xf numFmtId="167" fontId="19" fillId="4" borderId="24" applyAlignment="1" pivotButton="0" quotePrefix="0" xfId="80">
      <alignment horizontal="right" vertical="center"/>
    </xf>
    <xf numFmtId="167" fontId="19" fillId="4" borderId="25" applyAlignment="1" pivotButton="0" quotePrefix="0" xfId="80">
      <alignment horizontal="right" vertical="center"/>
    </xf>
    <xf numFmtId="0" fontId="19" fillId="0" borderId="13" applyAlignment="1" pivotButton="0" quotePrefix="0" xfId="80">
      <alignment horizontal="left" vertical="center" indent="1"/>
    </xf>
    <xf numFmtId="0" fontId="19" fillId="0" borderId="13" applyAlignment="1" pivotButton="0" quotePrefix="0" xfId="80">
      <alignment horizontal="left" vertical="center"/>
    </xf>
    <xf numFmtId="167" fontId="34" fillId="7" borderId="3" applyAlignment="1" pivotButton="0" quotePrefix="0" xfId="80">
      <alignment horizontal="right" vertical="center"/>
    </xf>
    <xf numFmtId="167" fontId="34" fillId="7" borderId="28" applyAlignment="1" pivotButton="0" quotePrefix="0" xfId="80">
      <alignment horizontal="right" vertical="center"/>
    </xf>
    <xf numFmtId="167" fontId="34" fillId="7" borderId="30" applyAlignment="1" pivotButton="0" quotePrefix="0" xfId="80">
      <alignment horizontal="right" vertical="center"/>
    </xf>
    <xf numFmtId="167" fontId="22" fillId="0" borderId="0" applyAlignment="1" pivotButton="0" quotePrefix="0" xfId="80">
      <alignment horizontal="right" vertical="center"/>
    </xf>
    <xf numFmtId="167" fontId="22" fillId="0" borderId="0" applyAlignment="1" pivotButton="0" quotePrefix="0" xfId="80">
      <alignment horizontal="general" vertical="center"/>
    </xf>
    <xf numFmtId="0" fontId="19" fillId="0" borderId="0" applyAlignment="1" pivotButton="0" quotePrefix="0" xfId="80">
      <alignment horizontal="left" vertical="center"/>
    </xf>
    <xf numFmtId="0" fontId="21" fillId="2" borderId="0" applyAlignment="1" pivotButton="0" quotePrefix="0" xfId="64">
      <alignment horizontal="left" vertical="center"/>
    </xf>
    <xf numFmtId="173" fontId="21" fillId="2" borderId="0" applyAlignment="1" pivotButton="0" quotePrefix="0" xfId="64">
      <alignment horizontal="general" vertical="center"/>
    </xf>
    <xf numFmtId="0" fontId="21" fillId="5" borderId="0" applyAlignment="1" pivotButton="0" quotePrefix="0" xfId="64">
      <alignment horizontal="left" vertical="bottom"/>
    </xf>
    <xf numFmtId="0" fontId="21" fillId="5" borderId="20" applyAlignment="1" pivotButton="0" quotePrefix="0" xfId="64">
      <alignment horizontal="left" vertical="bottom"/>
    </xf>
    <xf numFmtId="0" fontId="21" fillId="5" borderId="0" applyAlignment="1" pivotButton="0" quotePrefix="0" xfId="64">
      <alignment horizontal="left" vertical="bottom"/>
    </xf>
    <xf numFmtId="196" fontId="21" fillId="5" borderId="31" applyAlignment="1" pivotButton="0" quotePrefix="0" xfId="64">
      <alignment horizontal="center" vertical="bottom"/>
    </xf>
    <xf numFmtId="0" fontId="21" fillId="5" borderId="0" applyAlignment="1" pivotButton="0" quotePrefix="0" xfId="64">
      <alignment horizontal="center" vertical="bottom"/>
    </xf>
    <xf numFmtId="0" fontId="21" fillId="5" borderId="81" applyAlignment="1" pivotButton="0" quotePrefix="0" xfId="64">
      <alignment horizontal="left" vertical="bottom"/>
    </xf>
    <xf numFmtId="179" fontId="31" fillId="5" borderId="0" applyAlignment="1" pivotButton="0" quotePrefix="0" xfId="64">
      <alignment horizontal="right" vertical="bottom"/>
    </xf>
    <xf numFmtId="179" fontId="31" fillId="5" borderId="20" applyAlignment="1" pivotButton="0" quotePrefix="0" xfId="64">
      <alignment horizontal="right" vertical="bottom"/>
    </xf>
    <xf numFmtId="179" fontId="31" fillId="5" borderId="0" applyAlignment="1" pivotButton="0" quotePrefix="0" xfId="64">
      <alignment horizontal="right" vertical="bottom"/>
    </xf>
    <xf numFmtId="196" fontId="21" fillId="5" borderId="21" applyAlignment="1" pivotButton="0" quotePrefix="0" xfId="64">
      <alignment horizontal="right" vertical="bottom"/>
    </xf>
    <xf numFmtId="196" fontId="21" fillId="5" borderId="19" applyAlignment="1" pivotButton="0" quotePrefix="0" xfId="64">
      <alignment horizontal="right" vertical="bottom"/>
    </xf>
    <xf numFmtId="196" fontId="21" fillId="5" borderId="0" applyAlignment="1" pivotButton="0" quotePrefix="0" xfId="64">
      <alignment horizontal="right" vertical="bottom"/>
    </xf>
    <xf numFmtId="179" fontId="31" fillId="5" borderId="7" applyAlignment="1" pivotButton="0" quotePrefix="0" xfId="64">
      <alignment horizontal="right" vertical="bottom"/>
    </xf>
    <xf numFmtId="0" fontId="7" fillId="18" borderId="0" applyAlignment="1" pivotButton="0" quotePrefix="0" xfId="80">
      <alignment horizontal="general" vertical="center"/>
    </xf>
    <xf numFmtId="0" fontId="7" fillId="18" borderId="23" applyAlignment="1" pivotButton="0" quotePrefix="0" xfId="80">
      <alignment horizontal="general" vertical="center"/>
    </xf>
    <xf numFmtId="167" fontId="7" fillId="0" borderId="23" applyAlignment="1" pivotButton="0" quotePrefix="0" xfId="80">
      <alignment horizontal="right" vertical="center"/>
    </xf>
    <xf numFmtId="167" fontId="7" fillId="0" borderId="0" applyAlignment="1" pivotButton="0" quotePrefix="0" xfId="80">
      <alignment horizontal="right" vertical="center"/>
    </xf>
    <xf numFmtId="167" fontId="7" fillId="0" borderId="4" applyAlignment="1" pivotButton="0" quotePrefix="0" xfId="80">
      <alignment horizontal="right" vertical="center"/>
    </xf>
    <xf numFmtId="0" fontId="7" fillId="0" borderId="0" applyAlignment="1" pivotButton="0" quotePrefix="0" xfId="80">
      <alignment horizontal="left" vertical="center" indent="1"/>
    </xf>
    <xf numFmtId="0" fontId="7" fillId="0" borderId="13" applyAlignment="1" pivotButton="0" quotePrefix="0" xfId="80">
      <alignment horizontal="left" vertical="center" indent="1"/>
    </xf>
    <xf numFmtId="0" fontId="7" fillId="18" borderId="13" applyAlignment="1" pivotButton="0" quotePrefix="0" xfId="80">
      <alignment horizontal="general" vertical="center"/>
    </xf>
    <xf numFmtId="0" fontId="7" fillId="18" borderId="24" applyAlignment="1" pivotButton="0" quotePrefix="0" xfId="80">
      <alignment horizontal="general" vertical="center"/>
    </xf>
    <xf numFmtId="167" fontId="7" fillId="0" borderId="13" applyAlignment="1" pivotButton="0" quotePrefix="0" xfId="80">
      <alignment horizontal="right" vertical="center"/>
    </xf>
    <xf numFmtId="167" fontId="7" fillId="0" borderId="24" applyAlignment="1" pivotButton="0" quotePrefix="0" xfId="80">
      <alignment horizontal="right" vertical="center"/>
    </xf>
    <xf numFmtId="167" fontId="7" fillId="0" borderId="25" applyAlignment="1" pivotButton="0" quotePrefix="0" xfId="80">
      <alignment horizontal="right" vertical="center"/>
    </xf>
    <xf numFmtId="167" fontId="7" fillId="18" borderId="0" applyAlignment="1" pivotButton="0" quotePrefix="0" xfId="80">
      <alignment horizontal="right" vertical="center"/>
    </xf>
    <xf numFmtId="167" fontId="7" fillId="18" borderId="23" applyAlignment="1" pivotButton="0" quotePrefix="0" xfId="80">
      <alignment horizontal="right" vertical="center"/>
    </xf>
    <xf numFmtId="0" fontId="34" fillId="7" borderId="22" applyAlignment="1" pivotButton="0" quotePrefix="0" xfId="80">
      <alignment horizontal="general" vertical="center"/>
    </xf>
    <xf numFmtId="167" fontId="34" fillId="7" borderId="22" applyAlignment="1" pivotButton="0" quotePrefix="0" xfId="80">
      <alignment horizontal="right" vertical="center"/>
    </xf>
    <xf numFmtId="167" fontId="34" fillId="7" borderId="34" applyAlignment="1" pivotButton="0" quotePrefix="0" xfId="80">
      <alignment horizontal="right" vertical="center"/>
    </xf>
    <xf numFmtId="167" fontId="34" fillId="7" borderId="35" applyAlignment="1" pivotButton="0" quotePrefix="0" xfId="80">
      <alignment horizontal="right" vertical="center"/>
    </xf>
    <xf numFmtId="0" fontId="7" fillId="4" borderId="13" applyAlignment="1" pivotButton="0" quotePrefix="0" xfId="80">
      <alignment horizontal="left" vertical="center" indent="1"/>
    </xf>
    <xf numFmtId="0" fontId="7" fillId="4" borderId="24" applyAlignment="1" pivotButton="0" quotePrefix="0" xfId="80">
      <alignment horizontal="general" vertical="center"/>
    </xf>
    <xf numFmtId="167" fontId="7" fillId="4" borderId="25" applyAlignment="1" pivotButton="0" quotePrefix="0" xfId="80">
      <alignment horizontal="right" vertical="center"/>
    </xf>
    <xf numFmtId="0" fontId="22" fillId="4" borderId="13" applyAlignment="1" pivotButton="0" quotePrefix="0" xfId="80">
      <alignment horizontal="general" vertical="center"/>
    </xf>
    <xf numFmtId="0" fontId="0" fillId="0" borderId="0" applyAlignment="1" pivotButton="0" quotePrefix="0" xfId="0">
      <alignment horizontal="general" vertical="center"/>
    </xf>
    <xf numFmtId="0" fontId="5" fillId="0" borderId="0" applyAlignment="1" pivotButton="0" quotePrefix="0" xfId="0">
      <alignment horizontal="general" vertical="center"/>
    </xf>
    <xf numFmtId="0" fontId="7" fillId="18" borderId="0" applyAlignment="1" pivotButton="0" quotePrefix="0" xfId="0">
      <alignment horizontal="general" vertical="center"/>
    </xf>
    <xf numFmtId="0" fontId="7" fillId="18" borderId="23" applyAlignment="1" pivotButton="0" quotePrefix="0" xfId="0">
      <alignment horizontal="general" vertical="center"/>
    </xf>
    <xf numFmtId="167" fontId="7" fillId="0" borderId="0" applyAlignment="1" pivotButton="0" quotePrefix="0" xfId="0">
      <alignment horizontal="right" vertical="center"/>
    </xf>
    <xf numFmtId="167" fontId="7" fillId="0" borderId="23" applyAlignment="1" pivotButton="0" quotePrefix="0" xfId="0">
      <alignment horizontal="right" vertical="center"/>
    </xf>
    <xf numFmtId="167" fontId="7" fillId="0" borderId="0" applyAlignment="1" pivotButton="0" quotePrefix="0" xfId="0">
      <alignment horizontal="right" vertical="center"/>
    </xf>
    <xf numFmtId="167" fontId="7" fillId="0" borderId="4" applyAlignment="1" pivotButton="0" quotePrefix="0" xfId="0">
      <alignment horizontal="right" vertical="center"/>
    </xf>
    <xf numFmtId="0" fontId="0" fillId="0" borderId="0" applyAlignment="1" pivotButton="0" quotePrefix="0" xfId="0">
      <alignment horizontal="general" vertical="center"/>
    </xf>
    <xf numFmtId="0" fontId="7" fillId="0" borderId="0" applyAlignment="1" pivotButton="0" quotePrefix="0" xfId="0">
      <alignment horizontal="left" vertical="center" indent="1"/>
    </xf>
    <xf numFmtId="0" fontId="7" fillId="17" borderId="0" applyAlignment="1" pivotButton="0" quotePrefix="0" xfId="0">
      <alignment horizontal="left" vertical="center" indent="1"/>
    </xf>
    <xf numFmtId="0" fontId="7" fillId="4" borderId="0" applyAlignment="1" pivotButton="0" quotePrefix="0" xfId="0">
      <alignment horizontal="left" vertical="center" indent="1"/>
    </xf>
    <xf numFmtId="0" fontId="7" fillId="4" borderId="0" applyAlignment="1" pivotButton="0" quotePrefix="0" xfId="0">
      <alignment horizontal="general" vertical="center"/>
    </xf>
    <xf numFmtId="0" fontId="7" fillId="4" borderId="23" applyAlignment="1" pivotButton="0" quotePrefix="0" xfId="0">
      <alignment horizontal="general" vertical="center"/>
    </xf>
    <xf numFmtId="0" fontId="7" fillId="0" borderId="13" applyAlignment="1" pivotButton="0" quotePrefix="0" xfId="0">
      <alignment horizontal="left" vertical="center" indent="1"/>
    </xf>
    <xf numFmtId="0" fontId="7" fillId="18" borderId="13" applyAlignment="1" pivotButton="0" quotePrefix="0" xfId="0">
      <alignment horizontal="general" vertical="center"/>
    </xf>
    <xf numFmtId="0" fontId="7" fillId="18" borderId="24" applyAlignment="1" pivotButton="0" quotePrefix="0" xfId="0">
      <alignment horizontal="general" vertical="center"/>
    </xf>
    <xf numFmtId="167" fontId="7" fillId="0" borderId="13" applyAlignment="1" pivotButton="0" quotePrefix="0" xfId="0">
      <alignment horizontal="right" vertical="center"/>
    </xf>
    <xf numFmtId="167" fontId="7" fillId="0" borderId="24" applyAlignment="1" pivotButton="0" quotePrefix="0" xfId="0">
      <alignment horizontal="right" vertical="center"/>
    </xf>
    <xf numFmtId="167" fontId="7" fillId="0" borderId="25" applyAlignment="1" pivotButton="0" quotePrefix="0" xfId="0">
      <alignment horizontal="right" vertical="center"/>
    </xf>
    <xf numFmtId="167" fontId="7" fillId="18" borderId="0" applyAlignment="1" pivotButton="0" quotePrefix="0" xfId="0">
      <alignment horizontal="right" vertical="center"/>
    </xf>
    <xf numFmtId="167" fontId="7" fillId="18" borderId="23" applyAlignment="1" pivotButton="0" quotePrefix="0" xfId="0">
      <alignment horizontal="right" vertical="center"/>
    </xf>
    <xf numFmtId="0" fontId="7" fillId="0" borderId="0" applyAlignment="1" pivotButton="0" quotePrefix="0" xfId="0">
      <alignment horizontal="left" vertical="center"/>
    </xf>
    <xf numFmtId="167" fontId="7" fillId="12" borderId="23" applyAlignment="1" pivotButton="0" quotePrefix="0" xfId="0">
      <alignment horizontal="right" vertical="center"/>
    </xf>
    <xf numFmtId="0" fontId="22" fillId="0" borderId="0" applyAlignment="1" pivotButton="0" quotePrefix="0" xfId="0">
      <alignment horizontal="general" vertical="center"/>
    </xf>
    <xf numFmtId="167" fontId="22" fillId="0" borderId="0" applyAlignment="1" pivotButton="0" quotePrefix="0" xfId="0">
      <alignment horizontal="right" vertical="center"/>
    </xf>
    <xf numFmtId="167" fontId="22" fillId="0" borderId="0" applyAlignment="1" pivotButton="0" quotePrefix="0" xfId="0">
      <alignment horizontal="right" vertical="center"/>
    </xf>
    <xf numFmtId="0" fontId="22" fillId="4" borderId="13" applyAlignment="1" pivotButton="0" quotePrefix="0" xfId="0">
      <alignment horizontal="general" vertical="center"/>
    </xf>
    <xf numFmtId="167" fontId="22" fillId="4" borderId="13" applyAlignment="1" pivotButton="0" quotePrefix="0" xfId="0">
      <alignment horizontal="right" vertical="center"/>
    </xf>
    <xf numFmtId="167" fontId="22" fillId="0" borderId="0" applyAlignment="1" pivotButton="0" quotePrefix="0" xfId="0">
      <alignment horizontal="general" vertical="center"/>
    </xf>
    <xf numFmtId="167" fontId="22" fillId="0" borderId="0" applyAlignment="1" pivotButton="0" quotePrefix="0" xfId="0">
      <alignment horizontal="general" vertical="center"/>
    </xf>
    <xf numFmtId="0" fontId="7" fillId="0" borderId="23" applyAlignment="1" pivotButton="0" quotePrefix="0" xfId="0">
      <alignment horizontal="general" vertical="center"/>
    </xf>
    <xf numFmtId="167" fontId="7" fillId="4" borderId="0" applyAlignment="1" pivotButton="0" quotePrefix="0" xfId="0">
      <alignment horizontal="right" vertical="center"/>
    </xf>
    <xf numFmtId="167" fontId="7" fillId="4" borderId="23" applyAlignment="1" pivotButton="0" quotePrefix="0" xfId="0">
      <alignment horizontal="right" vertical="center"/>
    </xf>
    <xf numFmtId="167" fontId="7" fillId="4" borderId="0" applyAlignment="1" pivotButton="0" quotePrefix="0" xfId="0">
      <alignment horizontal="right" vertical="center"/>
    </xf>
    <xf numFmtId="167" fontId="7" fillId="4" borderId="4" applyAlignment="1" pivotButton="0" quotePrefix="0" xfId="0">
      <alignment horizontal="right" vertical="center"/>
    </xf>
    <xf numFmtId="0" fontId="21" fillId="2" borderId="2" applyAlignment="1" pivotButton="0" quotePrefix="0" xfId="64">
      <alignment horizontal="left" vertical="center"/>
    </xf>
    <xf numFmtId="0" fontId="35" fillId="0" borderId="0" applyAlignment="1" pivotButton="0" quotePrefix="0" xfId="0">
      <alignment horizontal="general" vertical="center"/>
    </xf>
    <xf numFmtId="0" fontId="35" fillId="4" borderId="13" applyAlignment="1" pivotButton="0" quotePrefix="0" xfId="0">
      <alignment horizontal="general" vertical="center"/>
    </xf>
    <xf numFmtId="167" fontId="35" fillId="0" borderId="0" applyAlignment="1" pivotButton="0" quotePrefix="0" xfId="0">
      <alignment horizontal="general" vertical="center"/>
    </xf>
    <xf numFmtId="167" fontId="35" fillId="0" borderId="0" applyAlignment="1" pivotButton="0" quotePrefix="0" xfId="0">
      <alignment horizontal="general" vertical="center"/>
    </xf>
    <xf numFmtId="167" fontId="35" fillId="0" borderId="0" applyAlignment="1" pivotButton="0" quotePrefix="0" xfId="0">
      <alignment horizontal="right" vertical="center"/>
    </xf>
    <xf numFmtId="167" fontId="35" fillId="0" borderId="0" applyAlignment="1" pivotButton="0" quotePrefix="0" xfId="0">
      <alignment horizontal="right" vertical="center"/>
    </xf>
    <xf numFmtId="0" fontId="7" fillId="4" borderId="13" applyAlignment="1" pivotButton="0" quotePrefix="0" xfId="0">
      <alignment horizontal="left" vertical="center" indent="1"/>
    </xf>
    <xf numFmtId="0" fontId="7" fillId="4" borderId="13" applyAlignment="1" pivotButton="0" quotePrefix="0" xfId="0">
      <alignment horizontal="general" vertical="center"/>
    </xf>
    <xf numFmtId="0" fontId="7" fillId="4" borderId="24" applyAlignment="1" pivotButton="0" quotePrefix="0" xfId="0">
      <alignment horizontal="general" vertical="center"/>
    </xf>
    <xf numFmtId="167" fontId="7" fillId="4" borderId="13" applyAlignment="1" pivotButton="0" quotePrefix="0" xfId="0">
      <alignment horizontal="right" vertical="center"/>
    </xf>
    <xf numFmtId="167" fontId="7" fillId="4" borderId="24" applyAlignment="1" pivotButton="0" quotePrefix="0" xfId="0">
      <alignment horizontal="right" vertical="center"/>
    </xf>
    <xf numFmtId="167" fontId="7" fillId="4" borderId="25" applyAlignment="1" pivotButton="0" quotePrefix="0" xfId="0">
      <alignment horizontal="right" vertical="center"/>
    </xf>
    <xf numFmtId="167" fontId="22" fillId="0" borderId="13" applyAlignment="1" pivotButton="0" quotePrefix="0" xfId="0">
      <alignment horizontal="right" vertical="center"/>
    </xf>
    <xf numFmtId="167" fontId="7" fillId="0" borderId="0" applyAlignment="1" pivotButton="0" quotePrefix="0" xfId="0">
      <alignment horizontal="general" vertical="center"/>
    </xf>
    <xf numFmtId="167" fontId="7" fillId="0" borderId="0" applyAlignment="1" pivotButton="0" quotePrefix="0" xfId="0">
      <alignment horizontal="general" vertical="center"/>
    </xf>
    <xf numFmtId="0" fontId="7" fillId="4" borderId="0" applyAlignment="1" pivotButton="0" quotePrefix="0" xfId="80">
      <alignment horizontal="general" vertical="center"/>
    </xf>
    <xf numFmtId="0" fontId="7" fillId="4" borderId="23" applyAlignment="1" pivotButton="0" quotePrefix="0" xfId="80">
      <alignment horizontal="general" vertical="center"/>
    </xf>
    <xf numFmtId="167" fontId="7" fillId="0" borderId="0" applyAlignment="1" pivotButton="0" quotePrefix="0" xfId="80">
      <alignment horizontal="right" vertical="center"/>
    </xf>
    <xf numFmtId="167" fontId="7" fillId="0" borderId="23" applyAlignment="1" pivotButton="0" quotePrefix="0" xfId="80">
      <alignment horizontal="right" vertical="center"/>
    </xf>
    <xf numFmtId="167" fontId="7" fillId="4" borderId="0" applyAlignment="1" pivotButton="0" quotePrefix="0" xfId="80">
      <alignment horizontal="right" vertical="center"/>
    </xf>
    <xf numFmtId="167" fontId="7" fillId="4" borderId="0" applyAlignment="1" pivotButton="0" quotePrefix="0" xfId="80">
      <alignment horizontal="right" vertical="center"/>
    </xf>
    <xf numFmtId="167" fontId="7" fillId="4" borderId="4" applyAlignment="1" pivotButton="0" quotePrefix="0" xfId="80">
      <alignment horizontal="right" vertical="center"/>
    </xf>
    <xf numFmtId="0" fontId="75" fillId="0" borderId="0" applyAlignment="1" pivotButton="0" quotePrefix="0" xfId="80">
      <alignment horizontal="general" vertical="center"/>
    </xf>
    <xf numFmtId="0" fontId="75" fillId="0" borderId="0" applyAlignment="1" pivotButton="0" quotePrefix="0" xfId="80">
      <alignment horizontal="general" vertical="center"/>
    </xf>
    <xf numFmtId="0" fontId="7" fillId="4" borderId="0" applyAlignment="1" pivotButton="0" quotePrefix="0" xfId="80">
      <alignment horizontal="left" vertical="center" indent="1"/>
    </xf>
    <xf numFmtId="167" fontId="7" fillId="4" borderId="23" applyAlignment="1" pivotButton="0" quotePrefix="0" xfId="80">
      <alignment horizontal="right" vertical="center"/>
    </xf>
    <xf numFmtId="0" fontId="7" fillId="0" borderId="13" applyAlignment="1" pivotButton="0" quotePrefix="0" xfId="80">
      <alignment horizontal="left" vertical="center" indent="1"/>
    </xf>
    <xf numFmtId="0" fontId="21" fillId="2" borderId="0" applyAlignment="1" pivotButton="0" quotePrefix="0" xfId="65">
      <alignment horizontal="left" vertical="center"/>
    </xf>
    <xf numFmtId="173" fontId="21" fillId="2" borderId="0" applyAlignment="1" pivotButton="0" quotePrefix="0" xfId="65">
      <alignment horizontal="general" vertical="center"/>
    </xf>
    <xf numFmtId="0" fontId="21" fillId="5" borderId="0" applyAlignment="1" pivotButton="0" quotePrefix="0" xfId="65">
      <alignment horizontal="left" vertical="bottom"/>
    </xf>
    <xf numFmtId="0" fontId="21" fillId="5" borderId="20" applyAlignment="1" pivotButton="0" quotePrefix="0" xfId="65">
      <alignment horizontal="left" vertical="bottom"/>
    </xf>
    <xf numFmtId="0" fontId="21" fillId="5" borderId="0" applyAlignment="1" pivotButton="0" quotePrefix="0" xfId="65">
      <alignment horizontal="left" vertical="bottom"/>
    </xf>
    <xf numFmtId="196" fontId="21" fillId="5" borderId="31" applyAlignment="1" pivotButton="0" quotePrefix="0" xfId="65">
      <alignment horizontal="center" vertical="bottom"/>
    </xf>
    <xf numFmtId="0" fontId="21" fillId="5" borderId="0" applyAlignment="1" pivotButton="0" quotePrefix="0" xfId="65">
      <alignment horizontal="center" vertical="bottom"/>
    </xf>
    <xf numFmtId="0" fontId="21" fillId="5" borderId="81" applyAlignment="1" pivotButton="0" quotePrefix="0" xfId="65">
      <alignment horizontal="left" vertical="bottom"/>
    </xf>
    <xf numFmtId="179" fontId="31" fillId="5" borderId="0" applyAlignment="1" pivotButton="0" quotePrefix="0" xfId="65">
      <alignment horizontal="right" vertical="bottom"/>
    </xf>
    <xf numFmtId="179" fontId="31" fillId="5" borderId="20" applyAlignment="1" pivotButton="0" quotePrefix="0" xfId="65">
      <alignment horizontal="right" vertical="bottom"/>
    </xf>
    <xf numFmtId="179" fontId="31" fillId="5" borderId="0" applyAlignment="1" pivotButton="0" quotePrefix="0" xfId="65">
      <alignment horizontal="right" vertical="bottom"/>
    </xf>
    <xf numFmtId="196" fontId="21" fillId="5" borderId="21" applyAlignment="1" pivotButton="0" quotePrefix="0" xfId="65">
      <alignment horizontal="right" vertical="bottom"/>
    </xf>
    <xf numFmtId="196" fontId="21" fillId="5" borderId="19" applyAlignment="1" pivotButton="0" quotePrefix="0" xfId="65">
      <alignment horizontal="right" vertical="bottom"/>
    </xf>
    <xf numFmtId="196" fontId="21" fillId="5" borderId="0" applyAlignment="1" pivotButton="0" quotePrefix="0" xfId="65">
      <alignment horizontal="right" vertical="bottom"/>
    </xf>
    <xf numFmtId="179" fontId="31" fillId="5" borderId="7" applyAlignment="1" pivotButton="0" quotePrefix="0" xfId="65">
      <alignment horizontal="right" vertical="bottom"/>
    </xf>
    <xf numFmtId="167" fontId="7" fillId="0" borderId="0" applyAlignment="1" pivotButton="0" quotePrefix="0" xfId="80">
      <alignment horizontal="right" vertical="center"/>
    </xf>
    <xf numFmtId="167" fontId="7" fillId="0" borderId="4" applyAlignment="1" pivotButton="0" quotePrefix="0" xfId="80">
      <alignment horizontal="right" vertical="center"/>
    </xf>
    <xf numFmtId="0" fontId="7" fillId="0" borderId="23" applyAlignment="1" pivotButton="0" quotePrefix="0" xfId="80">
      <alignment horizontal="general" vertical="center"/>
    </xf>
    <xf numFmtId="167" fontId="7" fillId="0" borderId="13" applyAlignment="1" pivotButton="0" quotePrefix="0" xfId="80">
      <alignment horizontal="right" vertical="center"/>
    </xf>
    <xf numFmtId="167" fontId="7" fillId="0" borderId="25" applyAlignment="1" pivotButton="0" quotePrefix="0" xfId="80">
      <alignment horizontal="right" vertical="center"/>
    </xf>
    <xf numFmtId="0" fontId="10" fillId="0" borderId="0" applyAlignment="1" pivotButton="0" quotePrefix="0" xfId="80">
      <alignment horizontal="general" vertical="bottom"/>
    </xf>
    <xf numFmtId="173" fontId="21" fillId="2" borderId="0" applyAlignment="1" pivotButton="0" quotePrefix="0" xfId="80">
      <alignment horizontal="general" vertical="bottom"/>
    </xf>
    <xf numFmtId="167" fontId="19" fillId="0" borderId="0" applyAlignment="1" pivotButton="0" quotePrefix="0" xfId="80">
      <alignment horizontal="right" vertical="bottom"/>
    </xf>
    <xf numFmtId="167" fontId="19" fillId="0" borderId="0" applyAlignment="1" pivotButton="0" quotePrefix="0" xfId="80">
      <alignment horizontal="right" vertical="center"/>
    </xf>
    <xf numFmtId="167" fontId="19" fillId="0" borderId="23" applyAlignment="1" pivotButton="0" quotePrefix="0" xfId="80">
      <alignment horizontal="right" vertical="center"/>
    </xf>
    <xf numFmtId="173" fontId="19" fillId="0" borderId="23" applyAlignment="1" pivotButton="0" quotePrefix="0" xfId="80">
      <alignment horizontal="general" vertical="center"/>
    </xf>
    <xf numFmtId="180" fontId="19" fillId="0" borderId="0" applyAlignment="1" pivotButton="0" quotePrefix="0" xfId="80">
      <alignment horizontal="right" vertical="bottom"/>
    </xf>
    <xf numFmtId="180" fontId="19" fillId="0" borderId="0" applyAlignment="1" pivotButton="0" quotePrefix="0" xfId="80">
      <alignment horizontal="right" vertical="center"/>
    </xf>
    <xf numFmtId="180" fontId="19" fillId="0" borderId="23" applyAlignment="1" pivotButton="0" quotePrefix="0" xfId="80">
      <alignment horizontal="right" vertical="center"/>
    </xf>
    <xf numFmtId="180" fontId="19" fillId="0" borderId="0" applyAlignment="1" pivotButton="0" quotePrefix="0" xfId="80">
      <alignment horizontal="general" vertical="center"/>
    </xf>
    <xf numFmtId="180" fontId="19" fillId="0" borderId="23" applyAlignment="1" pivotButton="0" quotePrefix="0" xfId="80">
      <alignment horizontal="general" vertical="center"/>
    </xf>
    <xf numFmtId="180" fontId="19" fillId="0" borderId="0" applyAlignment="1" pivotButton="0" quotePrefix="0" xfId="80">
      <alignment horizontal="general" vertical="center"/>
    </xf>
    <xf numFmtId="180" fontId="19" fillId="0" borderId="4" applyAlignment="1" pivotButton="0" quotePrefix="0" xfId="80">
      <alignment horizontal="general" vertical="center"/>
    </xf>
    <xf numFmtId="167" fontId="19" fillId="0" borderId="13" applyAlignment="1" pivotButton="0" quotePrefix="0" xfId="80">
      <alignment horizontal="right" vertical="bottom"/>
    </xf>
    <xf numFmtId="167" fontId="19" fillId="0" borderId="13" applyAlignment="1" pivotButton="0" quotePrefix="0" xfId="80">
      <alignment horizontal="right" vertical="center"/>
    </xf>
    <xf numFmtId="167" fontId="19" fillId="0" borderId="24" applyAlignment="1" pivotButton="0" quotePrefix="0" xfId="80">
      <alignment horizontal="right" vertical="center"/>
    </xf>
    <xf numFmtId="173" fontId="19" fillId="0" borderId="24" applyAlignment="1" pivotButton="0" quotePrefix="0" xfId="80">
      <alignment horizontal="general" vertical="center"/>
    </xf>
    <xf numFmtId="173" fontId="34" fillId="7" borderId="3" applyAlignment="1" pivotButton="0" quotePrefix="0" xfId="80">
      <alignment horizontal="general" vertical="bottom"/>
    </xf>
    <xf numFmtId="0" fontId="25" fillId="0" borderId="0" applyAlignment="1" pivotButton="0" quotePrefix="0" xfId="80">
      <alignment horizontal="left" vertical="center"/>
    </xf>
    <xf numFmtId="173" fontId="25" fillId="0" borderId="0" applyAlignment="1" pivotButton="0" quotePrefix="0" xfId="80">
      <alignment horizontal="general" vertical="bottom"/>
    </xf>
    <xf numFmtId="173" fontId="25" fillId="0" borderId="0" applyAlignment="1" pivotButton="0" quotePrefix="0" xfId="80">
      <alignment horizontal="general" vertical="center"/>
    </xf>
    <xf numFmtId="173" fontId="25" fillId="0" borderId="0" applyAlignment="1" pivotButton="0" quotePrefix="0" xfId="80">
      <alignment horizontal="general" vertical="center"/>
    </xf>
    <xf numFmtId="0" fontId="76" fillId="0" borderId="0" applyAlignment="1" pivotButton="0" quotePrefix="0" xfId="80">
      <alignment horizontal="general" vertical="center"/>
    </xf>
    <xf numFmtId="173" fontId="25" fillId="0" borderId="0" applyAlignment="1" pivotButton="0" quotePrefix="0" xfId="80">
      <alignment horizontal="general" vertical="bottom"/>
    </xf>
    <xf numFmtId="173" fontId="25" fillId="7" borderId="0" applyAlignment="1" pivotButton="0" quotePrefix="0" xfId="80">
      <alignment horizontal="general" vertical="center"/>
    </xf>
    <xf numFmtId="173" fontId="19" fillId="0" borderId="0" applyAlignment="1" pivotButton="0" quotePrefix="0" xfId="80">
      <alignment horizontal="general" vertical="bottom"/>
    </xf>
    <xf numFmtId="0" fontId="34" fillId="7" borderId="0" applyAlignment="1" pivotButton="0" quotePrefix="0" xfId="80">
      <alignment horizontal="left" vertical="center"/>
    </xf>
    <xf numFmtId="173" fontId="34" fillId="7" borderId="0" applyAlignment="1" pivotButton="0" quotePrefix="0" xfId="80">
      <alignment horizontal="general" vertical="center"/>
    </xf>
    <xf numFmtId="0" fontId="34" fillId="0" borderId="0" applyAlignment="1" pivotButton="0" quotePrefix="0" xfId="80">
      <alignment horizontal="left" vertical="center"/>
    </xf>
    <xf numFmtId="173" fontId="34" fillId="0" borderId="0" applyAlignment="1" pivotButton="0" quotePrefix="0" xfId="80">
      <alignment horizontal="general" vertical="bottom"/>
    </xf>
    <xf numFmtId="173" fontId="34" fillId="0" borderId="0" applyAlignment="1" pivotButton="0" quotePrefix="0" xfId="80">
      <alignment horizontal="general" vertical="center"/>
    </xf>
    <xf numFmtId="173" fontId="34" fillId="0" borderId="0" applyAlignment="1" pivotButton="0" quotePrefix="0" xfId="80">
      <alignment horizontal="general" vertical="center"/>
    </xf>
    <xf numFmtId="173" fontId="25" fillId="12" borderId="0" applyAlignment="1" pivotButton="0" quotePrefix="0" xfId="80">
      <alignment horizontal="general" vertical="center"/>
    </xf>
    <xf numFmtId="173" fontId="25" fillId="12" borderId="0" applyAlignment="1" pivotButton="0" quotePrefix="0" xfId="80">
      <alignment horizontal="general" vertical="center"/>
    </xf>
    <xf numFmtId="0" fontId="5" fillId="0" borderId="0" applyAlignment="1" pivotButton="0" quotePrefix="0" xfId="35">
      <alignment horizontal="general" vertical="bottom"/>
    </xf>
    <xf numFmtId="0" fontId="5" fillId="0" borderId="0" applyAlignment="1" pivotButton="0" quotePrefix="0" xfId="35">
      <alignment horizontal="general" vertical="bottom"/>
    </xf>
    <xf numFmtId="0" fontId="21" fillId="2" borderId="0" applyAlignment="1" pivotButton="0" quotePrefix="0" xfId="35">
      <alignment horizontal="left" vertical="center"/>
    </xf>
    <xf numFmtId="173" fontId="21" fillId="2" borderId="0" applyAlignment="1" pivotButton="0" quotePrefix="0" xfId="35">
      <alignment horizontal="general" vertical="center"/>
    </xf>
    <xf numFmtId="0" fontId="21" fillId="5" borderId="0" applyAlignment="1" pivotButton="0" quotePrefix="0" xfId="35">
      <alignment horizontal="left" vertical="bottom"/>
    </xf>
    <xf numFmtId="166" fontId="21" fillId="5" borderId="0" applyAlignment="1" pivotButton="0" quotePrefix="0" xfId="35">
      <alignment horizontal="right" vertical="bottom"/>
    </xf>
    <xf numFmtId="166" fontId="21" fillId="5" borderId="20" applyAlignment="1" pivotButton="0" quotePrefix="0" xfId="35">
      <alignment horizontal="right" vertical="bottom"/>
    </xf>
    <xf numFmtId="166" fontId="21" fillId="5" borderId="0" applyAlignment="1" pivotButton="0" quotePrefix="0" xfId="35">
      <alignment horizontal="right" vertical="bottom"/>
    </xf>
    <xf numFmtId="166" fontId="21" fillId="5" borderId="19" applyAlignment="1" pivotButton="0" quotePrefix="0" xfId="35">
      <alignment horizontal="right" vertical="bottom"/>
    </xf>
    <xf numFmtId="166" fontId="21" fillId="5" borderId="21" applyAlignment="1" pivotButton="0" quotePrefix="0" xfId="35">
      <alignment horizontal="right" vertical="bottom" wrapText="1"/>
    </xf>
    <xf numFmtId="0" fontId="19" fillId="4" borderId="0" applyAlignment="1" pivotButton="0" quotePrefix="0" xfId="35">
      <alignment horizontal="left" vertical="bottom" indent="2"/>
    </xf>
    <xf numFmtId="173" fontId="19" fillId="4" borderId="0" applyAlignment="1" pivotButton="0" quotePrefix="0" xfId="35">
      <alignment horizontal="general" vertical="bottom"/>
    </xf>
    <xf numFmtId="173" fontId="19" fillId="4" borderId="23" applyAlignment="1" pivotButton="0" quotePrefix="0" xfId="35">
      <alignment horizontal="general" vertical="bottom"/>
    </xf>
    <xf numFmtId="173" fontId="19" fillId="4" borderId="0" applyAlignment="1" pivotButton="0" quotePrefix="0" xfId="35">
      <alignment horizontal="general" vertical="bottom"/>
    </xf>
    <xf numFmtId="173" fontId="19" fillId="4" borderId="4" applyAlignment="1" pivotButton="0" quotePrefix="0" xfId="35">
      <alignment horizontal="general" vertical="bottom"/>
    </xf>
    <xf numFmtId="0" fontId="19" fillId="17" borderId="0" applyAlignment="1" pivotButton="0" quotePrefix="0" xfId="35">
      <alignment horizontal="left" vertical="bottom" indent="2"/>
    </xf>
    <xf numFmtId="0" fontId="19" fillId="4" borderId="13" applyAlignment="1" pivotButton="0" quotePrefix="0" xfId="35">
      <alignment horizontal="left" vertical="bottom" indent="2"/>
    </xf>
    <xf numFmtId="173" fontId="19" fillId="4" borderId="13" applyAlignment="1" pivotButton="0" quotePrefix="0" xfId="35">
      <alignment horizontal="general" vertical="bottom"/>
    </xf>
    <xf numFmtId="173" fontId="19" fillId="4" borderId="24" applyAlignment="1" pivotButton="0" quotePrefix="0" xfId="35">
      <alignment horizontal="general" vertical="bottom"/>
    </xf>
    <xf numFmtId="173" fontId="19" fillId="4" borderId="25" applyAlignment="1" pivotButton="0" quotePrefix="0" xfId="35">
      <alignment horizontal="general" vertical="bottom"/>
    </xf>
    <xf numFmtId="0" fontId="19" fillId="4" borderId="0" applyAlignment="1" pivotButton="0" quotePrefix="0" xfId="35">
      <alignment horizontal="left" vertical="bottom" indent="1"/>
    </xf>
    <xf numFmtId="0" fontId="19" fillId="4" borderId="13" applyAlignment="1" pivotButton="0" quotePrefix="0" xfId="35">
      <alignment horizontal="left" vertical="bottom" indent="1"/>
    </xf>
    <xf numFmtId="0" fontId="34" fillId="7" borderId="3" applyAlignment="1" pivotButton="0" quotePrefix="0" xfId="35">
      <alignment horizontal="left" vertical="bottom"/>
    </xf>
    <xf numFmtId="173" fontId="34" fillId="7" borderId="3" applyAlignment="1" pivotButton="0" quotePrefix="0" xfId="35">
      <alignment horizontal="general" vertical="bottom"/>
    </xf>
    <xf numFmtId="173" fontId="34" fillId="7" borderId="28" applyAlignment="1" pivotButton="0" quotePrefix="0" xfId="35">
      <alignment horizontal="general" vertical="bottom"/>
    </xf>
    <xf numFmtId="173" fontId="34" fillId="7" borderId="30" applyAlignment="1" pivotButton="0" quotePrefix="0" xfId="35">
      <alignment horizontal="general" vertical="bottom"/>
    </xf>
    <xf numFmtId="0" fontId="34" fillId="0" borderId="0" applyAlignment="1" pivotButton="0" quotePrefix="0" xfId="35">
      <alignment horizontal="left" vertical="bottom"/>
    </xf>
    <xf numFmtId="173" fontId="34" fillId="0" borderId="0" applyAlignment="1" pivotButton="0" quotePrefix="0" xfId="35">
      <alignment horizontal="general" vertical="bottom"/>
    </xf>
    <xf numFmtId="173" fontId="34" fillId="0" borderId="0" applyAlignment="1" pivotButton="0" quotePrefix="0" xfId="35">
      <alignment horizontal="general" vertical="bottom"/>
    </xf>
    <xf numFmtId="0" fontId="25" fillId="0" borderId="0" applyAlignment="1" pivotButton="0" quotePrefix="0" xfId="35">
      <alignment horizontal="left" vertical="bottom"/>
    </xf>
    <xf numFmtId="173" fontId="25" fillId="0" borderId="0" applyAlignment="1" pivotButton="0" quotePrefix="0" xfId="35">
      <alignment horizontal="general" vertical="bottom"/>
    </xf>
    <xf numFmtId="173" fontId="25" fillId="0" borderId="0" applyAlignment="1" pivotButton="0" quotePrefix="0" xfId="35">
      <alignment horizontal="general" vertical="bottom"/>
    </xf>
    <xf numFmtId="0" fontId="35" fillId="0" borderId="0" applyAlignment="1" pivotButton="0" quotePrefix="0" xfId="35">
      <alignment horizontal="general" vertical="bottom"/>
    </xf>
    <xf numFmtId="0" fontId="5" fillId="0" borderId="0" applyAlignment="1" pivotButton="0" quotePrefix="0" xfId="35">
      <alignment horizontal="general" vertical="bottom"/>
    </xf>
    <xf numFmtId="173" fontId="5" fillId="0" borderId="0" applyAlignment="1" pivotButton="0" quotePrefix="0" xfId="35">
      <alignment horizontal="general" vertical="bottom"/>
    </xf>
    <xf numFmtId="171" fontId="36" fillId="4" borderId="0" applyAlignment="1" pivotButton="0" quotePrefix="0" xfId="50">
      <alignment horizontal="general" vertical="bottom"/>
    </xf>
    <xf numFmtId="0" fontId="19" fillId="0" borderId="0" applyAlignment="1" pivotButton="0" quotePrefix="0" xfId="35">
      <alignment horizontal="left" vertical="bottom" indent="2"/>
    </xf>
    <xf numFmtId="173" fontId="19" fillId="0" borderId="0" applyAlignment="1" pivotButton="0" quotePrefix="0" xfId="35">
      <alignment horizontal="general" vertical="bottom"/>
    </xf>
    <xf numFmtId="173" fontId="19" fillId="0" borderId="23" applyAlignment="1" pivotButton="0" quotePrefix="0" xfId="35">
      <alignment horizontal="general" vertical="bottom"/>
    </xf>
    <xf numFmtId="173" fontId="19" fillId="0" borderId="0" applyAlignment="1" pivotButton="0" quotePrefix="0" xfId="35">
      <alignment horizontal="general" vertical="bottom"/>
    </xf>
    <xf numFmtId="173" fontId="19" fillId="0" borderId="4" applyAlignment="1" pivotButton="0" quotePrefix="0" xfId="35">
      <alignment horizontal="general" vertical="bottom"/>
    </xf>
    <xf numFmtId="0" fontId="5" fillId="0" borderId="0" applyAlignment="1" pivotButton="0" quotePrefix="0" xfId="35">
      <alignment horizontal="general" vertical="bottom"/>
    </xf>
    <xf numFmtId="0" fontId="19" fillId="4" borderId="0" applyAlignment="1" pivotButton="0" quotePrefix="0" xfId="35">
      <alignment horizontal="left" vertical="bottom" indent="2"/>
    </xf>
    <xf numFmtId="196" fontId="21" fillId="5" borderId="0" applyAlignment="1" pivotButton="0" quotePrefix="0" xfId="35">
      <alignment horizontal="right" vertical="bottom"/>
    </xf>
    <xf numFmtId="196" fontId="21" fillId="5" borderId="20" applyAlignment="1" pivotButton="0" quotePrefix="0" xfId="35">
      <alignment horizontal="right" vertical="bottom"/>
    </xf>
    <xf numFmtId="196" fontId="21" fillId="5" borderId="0" applyAlignment="1" pivotButton="0" quotePrefix="0" xfId="35">
      <alignment horizontal="right" vertical="bottom"/>
    </xf>
    <xf numFmtId="196" fontId="21" fillId="5" borderId="75" applyAlignment="1" pivotButton="0" quotePrefix="0" xfId="35">
      <alignment horizontal="center" vertical="bottom"/>
    </xf>
    <xf numFmtId="196" fontId="21" fillId="5" borderId="31" applyAlignment="1" pivotButton="0" quotePrefix="0" xfId="35">
      <alignment horizontal="center" vertical="bottom" wrapText="1"/>
    </xf>
    <xf numFmtId="196" fontId="21" fillId="8" borderId="75" applyAlignment="1" pivotButton="0" quotePrefix="0" xfId="35">
      <alignment horizontal="center" vertical="bottom"/>
    </xf>
    <xf numFmtId="196" fontId="21" fillId="8" borderId="31" applyAlignment="1" pivotButton="0" quotePrefix="0" xfId="35">
      <alignment horizontal="center" vertical="bottom" wrapText="1"/>
    </xf>
    <xf numFmtId="196" fontId="21" fillId="5" borderId="19" applyAlignment="1" pivotButton="0" quotePrefix="0" xfId="35">
      <alignment horizontal="right" vertical="bottom"/>
    </xf>
    <xf numFmtId="196" fontId="21" fillId="5" borderId="21" applyAlignment="1" pivotButton="0" quotePrefix="0" xfId="35">
      <alignment horizontal="right" vertical="bottom" wrapText="1"/>
    </xf>
    <xf numFmtId="196" fontId="21" fillId="8" borderId="19" applyAlignment="1" pivotButton="0" quotePrefix="0" xfId="35">
      <alignment horizontal="right" vertical="bottom"/>
    </xf>
    <xf numFmtId="196" fontId="21" fillId="8" borderId="21" applyAlignment="1" pivotButton="0" quotePrefix="0" xfId="35">
      <alignment horizontal="right" vertical="bottom" wrapText="1"/>
    </xf>
    <xf numFmtId="0" fontId="19" fillId="4" borderId="0" applyAlignment="1" pivotButton="0" quotePrefix="0" xfId="35">
      <alignment horizontal="left" vertical="bottom"/>
    </xf>
    <xf numFmtId="173" fontId="19" fillId="18" borderId="0" applyAlignment="1" pivotButton="0" quotePrefix="0" xfId="35">
      <alignment horizontal="general" vertical="bottom"/>
    </xf>
    <xf numFmtId="173" fontId="19" fillId="7" borderId="0" applyAlignment="1" pivotButton="0" quotePrefix="0" xfId="35">
      <alignment horizontal="general" vertical="bottom"/>
    </xf>
    <xf numFmtId="173" fontId="19" fillId="0" borderId="0" applyAlignment="1" pivotButton="0" quotePrefix="0" xfId="35">
      <alignment horizontal="general" vertical="bottom"/>
    </xf>
    <xf numFmtId="173" fontId="19" fillId="7" borderId="13" applyAlignment="1" pivotButton="0" quotePrefix="0" xfId="35">
      <alignment horizontal="general" vertical="bottom"/>
    </xf>
    <xf numFmtId="173" fontId="19" fillId="0" borderId="13" applyAlignment="1" pivotButton="0" quotePrefix="0" xfId="35">
      <alignment horizontal="general" vertical="bottom"/>
    </xf>
    <xf numFmtId="0" fontId="19" fillId="0" borderId="13" applyAlignment="1" pivotButton="0" quotePrefix="0" xfId="35">
      <alignment horizontal="left" vertical="bottom"/>
    </xf>
    <xf numFmtId="173" fontId="19" fillId="0" borderId="24" applyAlignment="1" pivotButton="0" quotePrefix="0" xfId="35">
      <alignment horizontal="general" vertical="bottom"/>
    </xf>
    <xf numFmtId="173" fontId="19" fillId="0" borderId="25" applyAlignment="1" pivotButton="0" quotePrefix="0" xfId="35">
      <alignment horizontal="general" vertical="bottom"/>
    </xf>
    <xf numFmtId="173" fontId="25" fillId="12" borderId="0" applyAlignment="1" pivotButton="0" quotePrefix="0" xfId="35">
      <alignment horizontal="general" vertical="bottom"/>
    </xf>
    <xf numFmtId="167" fontId="5" fillId="4" borderId="13" applyAlignment="1" pivotButton="0" quotePrefix="0" xfId="35">
      <alignment horizontal="right" vertical="bottom"/>
    </xf>
    <xf numFmtId="167" fontId="5" fillId="4" borderId="24" applyAlignment="1" pivotButton="0" quotePrefix="0" xfId="35">
      <alignment horizontal="right" vertical="bottom"/>
    </xf>
    <xf numFmtId="167" fontId="5" fillId="4" borderId="25" applyAlignment="1" pivotButton="0" quotePrefix="0" xfId="35">
      <alignment horizontal="right" vertical="bottom"/>
    </xf>
    <xf numFmtId="167" fontId="5" fillId="0" borderId="0" applyAlignment="1" pivotButton="0" quotePrefix="0" xfId="35">
      <alignment horizontal="right" vertical="bottom"/>
    </xf>
    <xf numFmtId="167" fontId="5" fillId="0" borderId="23" applyAlignment="1" pivotButton="0" quotePrefix="0" xfId="35">
      <alignment horizontal="right" vertical="bottom"/>
    </xf>
    <xf numFmtId="167" fontId="5" fillId="0" borderId="0" applyAlignment="1" pivotButton="0" quotePrefix="0" xfId="35">
      <alignment horizontal="right" vertical="bottom"/>
    </xf>
    <xf numFmtId="167" fontId="5" fillId="0" borderId="4" applyAlignment="1" pivotButton="0" quotePrefix="0" xfId="35">
      <alignment horizontal="right" vertical="bottom"/>
    </xf>
    <xf numFmtId="0" fontId="34" fillId="7" borderId="22" applyAlignment="1" pivotButton="0" quotePrefix="0" xfId="35">
      <alignment horizontal="left" vertical="center"/>
    </xf>
    <xf numFmtId="173" fontId="34" fillId="7" borderId="22" applyAlignment="1" pivotButton="0" quotePrefix="0" xfId="35">
      <alignment horizontal="general" vertical="center"/>
    </xf>
    <xf numFmtId="173" fontId="34" fillId="7" borderId="34" applyAlignment="1" pivotButton="0" quotePrefix="0" xfId="35">
      <alignment horizontal="general" vertical="center"/>
    </xf>
    <xf numFmtId="173" fontId="34" fillId="7" borderId="35" applyAlignment="1" pivotButton="0" quotePrefix="0" xfId="35">
      <alignment horizontal="general" vertical="center"/>
    </xf>
    <xf numFmtId="0" fontId="19" fillId="0" borderId="0" applyAlignment="1" pivotButton="0" quotePrefix="0" xfId="80">
      <alignment horizontal="left" vertical="center" indent="2"/>
    </xf>
    <xf numFmtId="201" fontId="7" fillId="0" borderId="0" applyAlignment="1" pivotButton="0" quotePrefix="0" xfId="80">
      <alignment horizontal="general" vertical="center"/>
    </xf>
    <xf numFmtId="0" fontId="5" fillId="2" borderId="0" applyAlignment="1" pivotButton="0" quotePrefix="0" xfId="79">
      <alignment horizontal="left" vertical="bottom"/>
    </xf>
    <xf numFmtId="0" fontId="5" fillId="0" borderId="0" applyAlignment="1" pivotButton="0" quotePrefix="0" xfId="79">
      <alignment horizontal="left" vertical="bottom"/>
    </xf>
    <xf numFmtId="0" fontId="5" fillId="0" borderId="0" applyAlignment="1" pivotButton="0" quotePrefix="0" xfId="79">
      <alignment horizontal="general" vertical="bottom"/>
    </xf>
    <xf numFmtId="0" fontId="5" fillId="0" borderId="0" applyAlignment="1" pivotButton="0" quotePrefix="0" xfId="79">
      <alignment horizontal="general" vertical="bottom"/>
    </xf>
    <xf numFmtId="0" fontId="27" fillId="0" borderId="0" applyAlignment="1" pivotButton="0" quotePrefix="0" xfId="79">
      <alignment horizontal="left" vertical="bottom"/>
    </xf>
    <xf numFmtId="0" fontId="28" fillId="0" borderId="0" applyAlignment="1" pivotButton="0" quotePrefix="0" xfId="79">
      <alignment horizontal="left" vertical="bottom"/>
    </xf>
    <xf numFmtId="0" fontId="29" fillId="0" borderId="0" applyAlignment="1" pivotButton="0" quotePrefix="0" xfId="79">
      <alignment horizontal="left" vertical="bottom"/>
    </xf>
    <xf numFmtId="0" fontId="24" fillId="0" borderId="0" applyAlignment="1" pivotButton="0" quotePrefix="0" xfId="79">
      <alignment horizontal="left" vertical="bottom"/>
    </xf>
    <xf numFmtId="0" fontId="21" fillId="2" borderId="2" applyAlignment="1" pivotButton="0" quotePrefix="0" xfId="79">
      <alignment horizontal="left" vertical="center"/>
    </xf>
    <xf numFmtId="173" fontId="21" fillId="2" borderId="2" applyAlignment="1" pivotButton="0" quotePrefix="0" xfId="79">
      <alignment horizontal="general" vertical="center"/>
    </xf>
    <xf numFmtId="0" fontId="21" fillId="5" borderId="0" applyAlignment="1" pivotButton="0" quotePrefix="0" xfId="79">
      <alignment horizontal="left" vertical="bottom"/>
    </xf>
    <xf numFmtId="166" fontId="21" fillId="5" borderId="0" applyAlignment="1" pivotButton="0" quotePrefix="0" xfId="79">
      <alignment horizontal="right" vertical="bottom"/>
    </xf>
    <xf numFmtId="166" fontId="21" fillId="5" borderId="20" applyAlignment="1" pivotButton="0" quotePrefix="0" xfId="79">
      <alignment horizontal="right" vertical="bottom"/>
    </xf>
    <xf numFmtId="166" fontId="21" fillId="5" borderId="0" applyAlignment="1" pivotButton="0" quotePrefix="0" xfId="79">
      <alignment horizontal="right" vertical="bottom"/>
    </xf>
    <xf numFmtId="166" fontId="21" fillId="5" borderId="21" applyAlignment="1" pivotButton="0" quotePrefix="0" xfId="79">
      <alignment horizontal="right" vertical="bottom"/>
    </xf>
    <xf numFmtId="166" fontId="21" fillId="5" borderId="19" applyAlignment="1" pivotButton="0" quotePrefix="0" xfId="79">
      <alignment horizontal="right" vertical="bottom" wrapText="1"/>
    </xf>
    <xf numFmtId="0" fontId="19" fillId="4" borderId="0" applyAlignment="1" pivotButton="0" quotePrefix="0" xfId="79">
      <alignment horizontal="left" vertical="bottom" indent="2"/>
    </xf>
    <xf numFmtId="173" fontId="19" fillId="4" borderId="0" applyAlignment="1" pivotButton="0" quotePrefix="0" xfId="79">
      <alignment horizontal="general" vertical="bottom"/>
    </xf>
    <xf numFmtId="173" fontId="19" fillId="4" borderId="23" applyAlignment="1" pivotButton="0" quotePrefix="0" xfId="79">
      <alignment horizontal="general" vertical="bottom"/>
    </xf>
    <xf numFmtId="173" fontId="19" fillId="4" borderId="0" applyAlignment="1" pivotButton="0" quotePrefix="0" xfId="79">
      <alignment horizontal="general" vertical="bottom"/>
    </xf>
    <xf numFmtId="173" fontId="19" fillId="4" borderId="4" applyAlignment="1" pivotButton="0" quotePrefix="0" xfId="79">
      <alignment horizontal="general" vertical="bottom"/>
    </xf>
    <xf numFmtId="0" fontId="19" fillId="4" borderId="13" applyAlignment="1" pivotButton="0" quotePrefix="0" xfId="79">
      <alignment horizontal="left" vertical="bottom" indent="2"/>
    </xf>
    <xf numFmtId="173" fontId="19" fillId="4" borderId="13" applyAlignment="1" pivotButton="0" quotePrefix="0" xfId="79">
      <alignment horizontal="general" vertical="bottom"/>
    </xf>
    <xf numFmtId="173" fontId="19" fillId="4" borderId="24" applyAlignment="1" pivotButton="0" quotePrefix="0" xfId="79">
      <alignment horizontal="general" vertical="bottom"/>
    </xf>
    <xf numFmtId="173" fontId="19" fillId="4" borderId="25" applyAlignment="1" pivotButton="0" quotePrefix="0" xfId="79">
      <alignment horizontal="general" vertical="bottom"/>
    </xf>
    <xf numFmtId="0" fontId="19" fillId="4" borderId="0" applyAlignment="1" pivotButton="0" quotePrefix="0" xfId="79">
      <alignment horizontal="left" vertical="bottom" indent="1"/>
    </xf>
    <xf numFmtId="0" fontId="38" fillId="2" borderId="0" applyAlignment="1" pivotButton="0" quotePrefix="0" xfId="79">
      <alignment horizontal="left" vertical="bottom"/>
    </xf>
    <xf numFmtId="0" fontId="38" fillId="0" borderId="0" applyAlignment="1" pivotButton="0" quotePrefix="0" xfId="79">
      <alignment horizontal="left" vertical="bottom"/>
    </xf>
    <xf numFmtId="0" fontId="19" fillId="12" borderId="0" applyAlignment="1" pivotButton="0" quotePrefix="0" xfId="79">
      <alignment horizontal="left" vertical="bottom" indent="2"/>
    </xf>
    <xf numFmtId="0" fontId="35" fillId="2" borderId="0" applyAlignment="1" pivotButton="0" quotePrefix="0" xfId="79">
      <alignment horizontal="left" vertical="bottom"/>
    </xf>
    <xf numFmtId="0" fontId="35" fillId="0" borderId="0" applyAlignment="1" pivotButton="0" quotePrefix="0" xfId="79">
      <alignment horizontal="left" vertical="bottom"/>
    </xf>
    <xf numFmtId="0" fontId="19" fillId="4" borderId="13" applyAlignment="1" pivotButton="0" quotePrefix="0" xfId="79">
      <alignment horizontal="left" vertical="bottom" indent="1"/>
    </xf>
    <xf numFmtId="0" fontId="19" fillId="4" borderId="0" applyAlignment="1" pivotButton="0" quotePrefix="0" xfId="79">
      <alignment horizontal="left" vertical="bottom"/>
    </xf>
    <xf numFmtId="0" fontId="19" fillId="4" borderId="0" applyAlignment="1" pivotButton="0" quotePrefix="0" xfId="79">
      <alignment horizontal="left" vertical="bottom" indent="3"/>
    </xf>
    <xf numFmtId="0" fontId="19" fillId="4" borderId="13" applyAlignment="1" pivotButton="0" quotePrefix="0" xfId="79">
      <alignment horizontal="left" vertical="bottom" indent="3"/>
    </xf>
    <xf numFmtId="0" fontId="19" fillId="12" borderId="0" applyAlignment="1" pivotButton="0" quotePrefix="0" xfId="79">
      <alignment horizontal="left" vertical="bottom" indent="3"/>
    </xf>
    <xf numFmtId="0" fontId="19" fillId="4" borderId="13" applyAlignment="1" pivotButton="0" quotePrefix="0" xfId="79">
      <alignment horizontal="left" vertical="bottom"/>
    </xf>
    <xf numFmtId="0" fontId="34" fillId="7" borderId="3" applyAlignment="1" pivotButton="0" quotePrefix="0" xfId="79">
      <alignment horizontal="left" vertical="bottom"/>
    </xf>
    <xf numFmtId="173" fontId="34" fillId="7" borderId="3" applyAlignment="1" pivotButton="0" quotePrefix="0" xfId="79">
      <alignment horizontal="general" vertical="bottom"/>
    </xf>
    <xf numFmtId="173" fontId="34" fillId="7" borderId="28" applyAlignment="1" pivotButton="0" quotePrefix="0" xfId="79">
      <alignment horizontal="general" vertical="bottom"/>
    </xf>
    <xf numFmtId="173" fontId="34" fillId="7" borderId="30" applyAlignment="1" pivotButton="0" quotePrefix="0" xfId="79">
      <alignment horizontal="general" vertical="bottom"/>
    </xf>
    <xf numFmtId="166" fontId="21" fillId="5" borderId="15" applyAlignment="1" pivotButton="0" quotePrefix="0" xfId="79">
      <alignment horizontal="center" vertical="bottom"/>
    </xf>
    <xf numFmtId="166" fontId="21" fillId="5" borderId="32" applyAlignment="1" pivotButton="0" quotePrefix="0" xfId="79">
      <alignment horizontal="center" vertical="bottom"/>
    </xf>
    <xf numFmtId="0" fontId="5" fillId="2" borderId="0" applyAlignment="1" pivotButton="0" quotePrefix="0" xfId="78">
      <alignment horizontal="left" vertical="bottom"/>
    </xf>
    <xf numFmtId="0" fontId="5" fillId="0" borderId="0" applyAlignment="1" pivotButton="0" quotePrefix="0" xfId="78">
      <alignment horizontal="left" vertical="bottom"/>
    </xf>
    <xf numFmtId="0" fontId="5" fillId="0" borderId="0" applyAlignment="1" pivotButton="0" quotePrefix="0" xfId="78">
      <alignment horizontal="general" vertical="bottom"/>
    </xf>
    <xf numFmtId="0" fontId="5" fillId="0" borderId="0" applyAlignment="1" pivotButton="0" quotePrefix="0" xfId="78">
      <alignment horizontal="general" vertical="bottom"/>
    </xf>
    <xf numFmtId="0" fontId="27" fillId="0" borderId="0" applyAlignment="1" pivotButton="0" quotePrefix="0" xfId="78">
      <alignment horizontal="left" vertical="bottom"/>
    </xf>
    <xf numFmtId="0" fontId="28" fillId="0" borderId="0" applyAlignment="1" pivotButton="0" quotePrefix="0" xfId="78">
      <alignment horizontal="left" vertical="bottom"/>
    </xf>
    <xf numFmtId="0" fontId="29" fillId="0" borderId="0" applyAlignment="1" pivotButton="0" quotePrefix="0" xfId="78">
      <alignment horizontal="left" vertical="bottom"/>
    </xf>
    <xf numFmtId="0" fontId="24" fillId="0" borderId="0" applyAlignment="1" pivotButton="0" quotePrefix="0" xfId="78">
      <alignment horizontal="left" vertical="bottom"/>
    </xf>
    <xf numFmtId="0" fontId="5" fillId="2" borderId="0" applyAlignment="1" pivotButton="0" quotePrefix="0" xfId="78">
      <alignment horizontal="left" vertical="bottom"/>
    </xf>
    <xf numFmtId="0" fontId="5" fillId="0" borderId="0" applyAlignment="1" pivotButton="0" quotePrefix="0" xfId="78">
      <alignment horizontal="left" vertical="bottom"/>
    </xf>
    <xf numFmtId="0" fontId="21" fillId="2" borderId="0" applyAlignment="1" pivotButton="0" quotePrefix="0" xfId="78">
      <alignment horizontal="left" vertical="center"/>
    </xf>
    <xf numFmtId="173" fontId="21" fillId="2" borderId="0" applyAlignment="1" pivotButton="0" quotePrefix="0" xfId="78">
      <alignment horizontal="general" vertical="center"/>
    </xf>
    <xf numFmtId="0" fontId="35" fillId="2" borderId="0" applyAlignment="1" pivotButton="0" quotePrefix="0" xfId="78">
      <alignment horizontal="left" vertical="bottom"/>
    </xf>
    <xf numFmtId="0" fontId="35" fillId="0" borderId="0" applyAlignment="1" pivotButton="0" quotePrefix="0" xfId="78">
      <alignment horizontal="left" vertical="bottom"/>
    </xf>
    <xf numFmtId="0" fontId="21" fillId="5" borderId="0" applyAlignment="1" pivotButton="0" quotePrefix="0" xfId="78">
      <alignment horizontal="left" vertical="bottom"/>
    </xf>
    <xf numFmtId="166" fontId="21" fillId="5" borderId="15" applyAlignment="1" pivotButton="0" quotePrefix="0" xfId="78">
      <alignment horizontal="center" vertical="bottom"/>
    </xf>
    <xf numFmtId="166" fontId="21" fillId="5" borderId="20" applyAlignment="1" pivotButton="0" quotePrefix="0" xfId="78">
      <alignment horizontal="center" vertical="bottom"/>
    </xf>
    <xf numFmtId="166" fontId="21" fillId="5" borderId="0" applyAlignment="1" pivotButton="0" quotePrefix="0" xfId="78">
      <alignment horizontal="center" vertical="bottom"/>
    </xf>
    <xf numFmtId="166" fontId="21" fillId="5" borderId="0" applyAlignment="1" pivotButton="0" quotePrefix="0" xfId="78">
      <alignment horizontal="center" vertical="bottom"/>
    </xf>
    <xf numFmtId="166" fontId="21" fillId="5" borderId="0" applyAlignment="1" pivotButton="0" quotePrefix="0" xfId="78">
      <alignment horizontal="right" vertical="bottom"/>
    </xf>
    <xf numFmtId="166" fontId="21" fillId="5" borderId="5" applyAlignment="1" pivotButton="0" quotePrefix="0" xfId="78">
      <alignment horizontal="right" vertical="bottom"/>
    </xf>
    <xf numFmtId="166" fontId="21" fillId="5" borderId="10" applyAlignment="1" pivotButton="0" quotePrefix="0" xfId="78">
      <alignment horizontal="right" vertical="bottom"/>
    </xf>
    <xf numFmtId="166" fontId="21" fillId="5" borderId="7" applyAlignment="1" pivotButton="0" quotePrefix="0" xfId="78">
      <alignment horizontal="right" vertical="bottom"/>
    </xf>
    <xf numFmtId="166" fontId="21" fillId="5" borderId="6" applyAlignment="1" pivotButton="0" quotePrefix="0" xfId="78">
      <alignment horizontal="right" vertical="bottom" wrapText="1"/>
    </xf>
    <xf numFmtId="188" fontId="5" fillId="0" borderId="0" applyAlignment="1" pivotButton="0" quotePrefix="0" xfId="78">
      <alignment horizontal="general" vertical="bottom" wrapText="1"/>
    </xf>
    <xf numFmtId="0" fontId="19" fillId="4" borderId="0" applyAlignment="1" pivotButton="0" quotePrefix="0" xfId="78">
      <alignment horizontal="left" vertical="bottom" indent="1"/>
    </xf>
    <xf numFmtId="173" fontId="19" fillId="4" borderId="0" applyAlignment="1" pivotButton="0" quotePrefix="0" xfId="78">
      <alignment horizontal="general" vertical="bottom"/>
    </xf>
    <xf numFmtId="173" fontId="19" fillId="4" borderId="23" applyAlignment="1" pivotButton="0" quotePrefix="0" xfId="78">
      <alignment horizontal="general" vertical="bottom"/>
    </xf>
    <xf numFmtId="173" fontId="19" fillId="4" borderId="0" applyAlignment="1" pivotButton="0" quotePrefix="0" xfId="78">
      <alignment horizontal="general" vertical="bottom"/>
    </xf>
    <xf numFmtId="173" fontId="19" fillId="4" borderId="4" applyAlignment="1" pivotButton="0" quotePrefix="0" xfId="78">
      <alignment horizontal="general" vertical="bottom"/>
    </xf>
    <xf numFmtId="189" fontId="5" fillId="0" borderId="0" applyAlignment="1" pivotButton="0" quotePrefix="0" xfId="78">
      <alignment horizontal="general" vertical="bottom"/>
    </xf>
    <xf numFmtId="0" fontId="19" fillId="4" borderId="13" applyAlignment="1" pivotButton="0" quotePrefix="0" xfId="78">
      <alignment horizontal="left" vertical="bottom" indent="1"/>
    </xf>
    <xf numFmtId="173" fontId="19" fillId="4" borderId="13" applyAlignment="1" pivotButton="0" quotePrefix="0" xfId="78">
      <alignment horizontal="general" vertical="bottom"/>
    </xf>
    <xf numFmtId="173" fontId="19" fillId="4" borderId="24" applyAlignment="1" pivotButton="0" quotePrefix="0" xfId="78">
      <alignment horizontal="general" vertical="bottom"/>
    </xf>
    <xf numFmtId="173" fontId="19" fillId="4" borderId="25" applyAlignment="1" pivotButton="0" quotePrefix="0" xfId="78">
      <alignment horizontal="general" vertical="bottom"/>
    </xf>
    <xf numFmtId="0" fontId="19" fillId="4" borderId="0" applyAlignment="1" pivotButton="0" quotePrefix="0" xfId="78">
      <alignment horizontal="left" vertical="bottom"/>
    </xf>
    <xf numFmtId="0" fontId="38" fillId="2" borderId="0" applyAlignment="1" pivotButton="0" quotePrefix="0" xfId="78">
      <alignment horizontal="left" vertical="bottom"/>
    </xf>
    <xf numFmtId="0" fontId="38" fillId="0" borderId="0" applyAlignment="1" pivotButton="0" quotePrefix="0" xfId="78">
      <alignment horizontal="left" vertical="bottom"/>
    </xf>
    <xf numFmtId="0" fontId="19" fillId="4" borderId="13" applyAlignment="1" pivotButton="0" quotePrefix="0" xfId="78">
      <alignment horizontal="left" vertical="bottom"/>
    </xf>
    <xf numFmtId="0" fontId="34" fillId="7" borderId="3" applyAlignment="1" pivotButton="0" quotePrefix="0" xfId="78">
      <alignment horizontal="left" vertical="bottom"/>
    </xf>
    <xf numFmtId="173" fontId="34" fillId="7" borderId="3" applyAlignment="1" pivotButton="0" quotePrefix="0" xfId="78">
      <alignment horizontal="general" vertical="bottom"/>
    </xf>
    <xf numFmtId="173" fontId="34" fillId="7" borderId="28" applyAlignment="1" pivotButton="0" quotePrefix="0" xfId="78">
      <alignment horizontal="general" vertical="bottom"/>
    </xf>
    <xf numFmtId="173" fontId="34" fillId="7" borderId="30" applyAlignment="1" pivotButton="0" quotePrefix="0" xfId="78">
      <alignment horizontal="general" vertical="bottom"/>
    </xf>
    <xf numFmtId="0" fontId="21" fillId="2" borderId="2" applyAlignment="1" pivotButton="0" quotePrefix="0" xfId="78">
      <alignment horizontal="left" vertical="center"/>
    </xf>
    <xf numFmtId="173" fontId="21" fillId="2" borderId="2" applyAlignment="1" pivotButton="0" quotePrefix="0" xfId="78">
      <alignment horizontal="general" vertical="center"/>
    </xf>
    <xf numFmtId="188" fontId="5" fillId="0" borderId="0" applyAlignment="1" pivotButton="0" quotePrefix="0" xfId="78">
      <alignment horizontal="general" vertical="bottom"/>
    </xf>
    <xf numFmtId="173" fontId="19" fillId="7" borderId="0" applyAlignment="1" pivotButton="0" quotePrefix="0" xfId="78">
      <alignment horizontal="general" vertical="bottom"/>
    </xf>
    <xf numFmtId="173" fontId="19" fillId="7" borderId="4" applyAlignment="1" pivotButton="0" quotePrefix="0" xfId="78">
      <alignment horizontal="general" vertical="bottom"/>
    </xf>
    <xf numFmtId="173" fontId="19" fillId="7" borderId="13" applyAlignment="1" pivotButton="0" quotePrefix="0" xfId="78">
      <alignment horizontal="general" vertical="bottom"/>
    </xf>
    <xf numFmtId="173" fontId="19" fillId="7" borderId="25" applyAlignment="1" pivotButton="0" quotePrefix="0" xfId="78">
      <alignment horizontal="general" vertical="bottom"/>
    </xf>
    <xf numFmtId="0" fontId="19" fillId="4" borderId="0" applyAlignment="1" pivotButton="0" quotePrefix="0" xfId="78">
      <alignment horizontal="left" vertical="bottom" indent="2"/>
    </xf>
    <xf numFmtId="0" fontId="19" fillId="4" borderId="13" applyAlignment="1" pivotButton="0" quotePrefix="0" xfId="78">
      <alignment horizontal="left" vertical="bottom" indent="2"/>
    </xf>
    <xf numFmtId="0" fontId="5" fillId="2" borderId="0" applyAlignment="1" pivotButton="0" quotePrefix="0" xfId="34">
      <alignment horizontal="left" vertical="bottom"/>
    </xf>
    <xf numFmtId="0" fontId="5" fillId="0" borderId="0" applyAlignment="1" pivotButton="0" quotePrefix="0" xfId="34">
      <alignment horizontal="left" vertical="bottom"/>
    </xf>
    <xf numFmtId="0" fontId="27" fillId="0" borderId="0" applyAlignment="1" pivotButton="0" quotePrefix="0" xfId="34">
      <alignment horizontal="left" vertical="bottom"/>
    </xf>
    <xf numFmtId="0" fontId="28" fillId="0" borderId="0" applyAlignment="1" pivotButton="0" quotePrefix="0" xfId="34">
      <alignment horizontal="left" vertical="bottom"/>
    </xf>
    <xf numFmtId="0" fontId="29" fillId="0" borderId="0" applyAlignment="1" pivotButton="0" quotePrefix="0" xfId="34">
      <alignment horizontal="left" vertical="bottom"/>
    </xf>
    <xf numFmtId="0" fontId="24" fillId="0" borderId="0" applyAlignment="1" pivotButton="0" quotePrefix="0" xfId="34">
      <alignment horizontal="left" vertical="bottom"/>
    </xf>
    <xf numFmtId="0" fontId="5" fillId="2" borderId="0" applyAlignment="1" pivotButton="0" quotePrefix="0" xfId="34">
      <alignment horizontal="left" vertical="bottom"/>
    </xf>
    <xf numFmtId="0" fontId="5" fillId="0" borderId="0" applyAlignment="1" pivotButton="0" quotePrefix="0" xfId="34">
      <alignment horizontal="left" vertical="bottom"/>
    </xf>
    <xf numFmtId="0" fontId="21" fillId="2" borderId="0" applyAlignment="1" pivotButton="0" quotePrefix="0" xfId="34">
      <alignment horizontal="left" vertical="center"/>
    </xf>
    <xf numFmtId="0" fontId="5" fillId="2" borderId="0" applyAlignment="1" pivotButton="0" quotePrefix="0" xfId="34">
      <alignment horizontal="left" vertical="bottom" wrapText="1"/>
    </xf>
    <xf numFmtId="0" fontId="5" fillId="0" borderId="0" applyAlignment="1" pivotButton="0" quotePrefix="0" xfId="34">
      <alignment horizontal="left" vertical="bottom" wrapText="1"/>
    </xf>
    <xf numFmtId="0" fontId="21" fillId="5" borderId="0" applyAlignment="1" pivotButton="0" quotePrefix="0" xfId="34">
      <alignment horizontal="left" vertical="bottom" wrapText="1"/>
    </xf>
    <xf numFmtId="166" fontId="21" fillId="5" borderId="15" applyAlignment="1" pivotButton="0" quotePrefix="0" xfId="34">
      <alignment horizontal="center" vertical="bottom" wrapText="1"/>
    </xf>
    <xf numFmtId="166" fontId="21" fillId="5" borderId="0" applyAlignment="1" pivotButton="0" quotePrefix="0" xfId="34">
      <alignment horizontal="center" vertical="bottom" wrapText="1"/>
    </xf>
    <xf numFmtId="166" fontId="21" fillId="5" borderId="20" applyAlignment="1" pivotButton="0" quotePrefix="0" xfId="34">
      <alignment horizontal="center" vertical="bottom" wrapText="1"/>
    </xf>
    <xf numFmtId="0" fontId="0" fillId="0" borderId="0" applyAlignment="1" pivotButton="0" quotePrefix="0" xfId="0">
      <alignment horizontal="general" vertical="bottom" wrapText="1"/>
    </xf>
    <xf numFmtId="166" fontId="21" fillId="8" borderId="15" applyAlignment="1" pivotButton="0" quotePrefix="0" xfId="34">
      <alignment horizontal="center" vertical="bottom" wrapText="1"/>
    </xf>
    <xf numFmtId="166" fontId="21" fillId="8" borderId="0" applyAlignment="1" pivotButton="0" quotePrefix="0" xfId="34">
      <alignment horizontal="center" vertical="bottom" wrapText="1"/>
    </xf>
    <xf numFmtId="166" fontId="21" fillId="8" borderId="20" applyAlignment="1" pivotButton="0" quotePrefix="0" xfId="34">
      <alignment horizontal="center" vertical="bottom" wrapText="1"/>
    </xf>
    <xf numFmtId="0" fontId="21" fillId="5" borderId="0" applyAlignment="1" pivotButton="0" quotePrefix="0" xfId="34">
      <alignment horizontal="left" vertical="bottom"/>
    </xf>
    <xf numFmtId="166" fontId="21" fillId="5" borderId="0" applyAlignment="1" pivotButton="0" quotePrefix="0" xfId="34">
      <alignment horizontal="right" vertical="bottom"/>
    </xf>
    <xf numFmtId="166" fontId="21" fillId="5" borderId="10" applyAlignment="1" pivotButton="0" quotePrefix="0" xfId="34">
      <alignment horizontal="right" vertical="bottom"/>
    </xf>
    <xf numFmtId="166" fontId="21" fillId="5" borderId="5" applyAlignment="1" pivotButton="0" quotePrefix="0" xfId="34">
      <alignment horizontal="right" vertical="bottom"/>
    </xf>
    <xf numFmtId="166" fontId="21" fillId="5" borderId="0" applyAlignment="1" pivotButton="0" quotePrefix="0" xfId="34">
      <alignment horizontal="right" vertical="center" wrapText="1"/>
    </xf>
    <xf numFmtId="166" fontId="21" fillId="8" borderId="0" applyAlignment="1" pivotButton="0" quotePrefix="0" xfId="34">
      <alignment horizontal="right" vertical="bottom"/>
    </xf>
    <xf numFmtId="166" fontId="21" fillId="8" borderId="10" applyAlignment="1" pivotButton="0" quotePrefix="0" xfId="34">
      <alignment horizontal="right" vertical="bottom"/>
    </xf>
    <xf numFmtId="166" fontId="21" fillId="8" borderId="5" applyAlignment="1" pivotButton="0" quotePrefix="0" xfId="34">
      <alignment horizontal="right" vertical="bottom"/>
    </xf>
    <xf numFmtId="0" fontId="35" fillId="2" borderId="0" applyAlignment="1" pivotButton="0" quotePrefix="0" xfId="34">
      <alignment horizontal="left" vertical="bottom"/>
    </xf>
    <xf numFmtId="0" fontId="35" fillId="0" borderId="0" applyAlignment="1" pivotButton="0" quotePrefix="0" xfId="34">
      <alignment horizontal="left" vertical="bottom"/>
    </xf>
    <xf numFmtId="0" fontId="5" fillId="2" borderId="0" applyAlignment="1" pivotButton="0" quotePrefix="0" xfId="33">
      <alignment horizontal="left" vertical="bottom"/>
    </xf>
    <xf numFmtId="0" fontId="5" fillId="0" borderId="0" applyAlignment="1" pivotButton="0" quotePrefix="0" xfId="33">
      <alignment horizontal="left" vertical="bottom"/>
    </xf>
    <xf numFmtId="0" fontId="5" fillId="0" borderId="0" applyAlignment="1" pivotButton="0" quotePrefix="0" xfId="33">
      <alignment horizontal="general" vertical="bottom"/>
    </xf>
    <xf numFmtId="0" fontId="27" fillId="0" borderId="0" applyAlignment="1" pivotButton="0" quotePrefix="0" xfId="33">
      <alignment horizontal="left" vertical="bottom"/>
    </xf>
    <xf numFmtId="0" fontId="28" fillId="0" borderId="0" applyAlignment="1" pivotButton="0" quotePrefix="0" xfId="33">
      <alignment horizontal="left" vertical="bottom"/>
    </xf>
    <xf numFmtId="0" fontId="29" fillId="0" borderId="0" applyAlignment="1" pivotButton="0" quotePrefix="0" xfId="33">
      <alignment horizontal="left" vertical="bottom"/>
    </xf>
    <xf numFmtId="0" fontId="24" fillId="0" borderId="0" applyAlignment="1" pivotButton="0" quotePrefix="0" xfId="33">
      <alignment horizontal="left" vertical="bottom"/>
    </xf>
    <xf numFmtId="0" fontId="5" fillId="2" borderId="0" applyAlignment="1" pivotButton="0" quotePrefix="0" xfId="33">
      <alignment horizontal="left" vertical="bottom"/>
    </xf>
    <xf numFmtId="0" fontId="5" fillId="0" borderId="0" applyAlignment="1" pivotButton="0" quotePrefix="0" xfId="33">
      <alignment horizontal="left" vertical="bottom"/>
    </xf>
    <xf numFmtId="0" fontId="21" fillId="2" borderId="0" applyAlignment="1" pivotButton="0" quotePrefix="0" xfId="33">
      <alignment horizontal="left" vertical="center"/>
    </xf>
    <xf numFmtId="173" fontId="21" fillId="2" borderId="0" applyAlignment="1" pivotButton="0" quotePrefix="0" xfId="33">
      <alignment horizontal="general" vertical="center"/>
    </xf>
    <xf numFmtId="0" fontId="5" fillId="0" borderId="0" applyAlignment="1" pivotButton="0" quotePrefix="0" xfId="33">
      <alignment horizontal="general" vertical="bottom"/>
    </xf>
    <xf numFmtId="0" fontId="21" fillId="5" borderId="0" applyAlignment="1" pivotButton="0" quotePrefix="0" xfId="33">
      <alignment horizontal="left" vertical="bottom"/>
    </xf>
    <xf numFmtId="166" fontId="21" fillId="5" borderId="0" applyAlignment="1" pivotButton="0" quotePrefix="0" xfId="33">
      <alignment horizontal="right" vertical="bottom"/>
    </xf>
    <xf numFmtId="166" fontId="21" fillId="5" borderId="20" applyAlignment="1" pivotButton="0" quotePrefix="0" xfId="33">
      <alignment horizontal="right" vertical="bottom"/>
    </xf>
    <xf numFmtId="166" fontId="21" fillId="5" borderId="21" applyAlignment="1" pivotButton="0" quotePrefix="0" xfId="33">
      <alignment horizontal="right" vertical="bottom"/>
    </xf>
    <xf numFmtId="196" fontId="5" fillId="0" borderId="0" applyAlignment="1" pivotButton="0" quotePrefix="0" xfId="33">
      <alignment horizontal="general" vertical="bottom"/>
    </xf>
    <xf numFmtId="0" fontId="19" fillId="4" borderId="0" applyAlignment="1" pivotButton="0" quotePrefix="0" xfId="33">
      <alignment horizontal="left" vertical="bottom"/>
    </xf>
    <xf numFmtId="173" fontId="19" fillId="16" borderId="0" applyAlignment="1" pivotButton="0" quotePrefix="0" xfId="33">
      <alignment horizontal="general" vertical="bottom"/>
    </xf>
    <xf numFmtId="173" fontId="19" fillId="4" borderId="0" applyAlignment="1" pivotButton="0" quotePrefix="0" xfId="33">
      <alignment horizontal="general" vertical="bottom"/>
    </xf>
    <xf numFmtId="173" fontId="19" fillId="4" borderId="23" applyAlignment="1" pivotButton="0" quotePrefix="0" xfId="33">
      <alignment horizontal="general" vertical="bottom"/>
    </xf>
    <xf numFmtId="173" fontId="19" fillId="16" borderId="4" applyAlignment="1" pivotButton="0" quotePrefix="0" xfId="33">
      <alignment horizontal="general" vertical="bottom"/>
    </xf>
    <xf numFmtId="173" fontId="19" fillId="0" borderId="0" applyAlignment="1" pivotButton="0" quotePrefix="0" xfId="33">
      <alignment horizontal="general" vertical="bottom"/>
    </xf>
    <xf numFmtId="0" fontId="19" fillId="4" borderId="13" applyAlignment="1" pivotButton="0" quotePrefix="0" xfId="33">
      <alignment horizontal="left" vertical="bottom"/>
    </xf>
    <xf numFmtId="173" fontId="19" fillId="16" borderId="13" applyAlignment="1" pivotButton="0" quotePrefix="0" xfId="33">
      <alignment horizontal="general" vertical="bottom"/>
    </xf>
    <xf numFmtId="173" fontId="19" fillId="4" borderId="13" applyAlignment="1" pivotButton="0" quotePrefix="0" xfId="33">
      <alignment horizontal="general" vertical="bottom"/>
    </xf>
    <xf numFmtId="173" fontId="19" fillId="4" borderId="24" applyAlignment="1" pivotButton="0" quotePrefix="0" xfId="33">
      <alignment horizontal="general" vertical="bottom"/>
    </xf>
    <xf numFmtId="173" fontId="19" fillId="16" borderId="25" applyAlignment="1" pivotButton="0" quotePrefix="0" xfId="33">
      <alignment horizontal="general" vertical="bottom"/>
    </xf>
    <xf numFmtId="173" fontId="19" fillId="0" borderId="13" applyAlignment="1" pivotButton="0" quotePrefix="0" xfId="33">
      <alignment horizontal="general" vertical="bottom"/>
    </xf>
    <xf numFmtId="0" fontId="34" fillId="7" borderId="3" applyAlignment="1" pivotButton="0" quotePrefix="0" xfId="33">
      <alignment horizontal="left" vertical="bottom"/>
    </xf>
    <xf numFmtId="173" fontId="34" fillId="7" borderId="3" applyAlignment="1" pivotButton="0" quotePrefix="0" xfId="33">
      <alignment horizontal="general" vertical="bottom"/>
    </xf>
    <xf numFmtId="173" fontId="34" fillId="7" borderId="28" applyAlignment="1" pivotButton="0" quotePrefix="0" xfId="33">
      <alignment horizontal="general" vertical="bottom"/>
    </xf>
    <xf numFmtId="173" fontId="34" fillId="7" borderId="30" applyAlignment="1" pivotButton="0" quotePrefix="0" xfId="33">
      <alignment horizontal="general" vertical="bottom"/>
    </xf>
    <xf numFmtId="0" fontId="35" fillId="2" borderId="0" applyAlignment="1" pivotButton="0" quotePrefix="0" xfId="33">
      <alignment horizontal="left" vertical="bottom"/>
    </xf>
    <xf numFmtId="0" fontId="35" fillId="0" borderId="0" applyAlignment="1" pivotButton="0" quotePrefix="0" xfId="33">
      <alignment horizontal="left" vertical="bottom"/>
    </xf>
    <xf numFmtId="0" fontId="25" fillId="4" borderId="0" applyAlignment="1" pivotButton="0" quotePrefix="0" xfId="33">
      <alignment horizontal="left" vertical="bottom"/>
    </xf>
    <xf numFmtId="189" fontId="35" fillId="16" borderId="0" applyAlignment="1" pivotButton="0" quotePrefix="0" xfId="33">
      <alignment horizontal="general" vertical="bottom"/>
    </xf>
    <xf numFmtId="189" fontId="35" fillId="0" borderId="0" applyAlignment="1" pivotButton="0" quotePrefix="0" xfId="33">
      <alignment horizontal="left" vertical="bottom"/>
    </xf>
    <xf numFmtId="189" fontId="35" fillId="0" borderId="0" applyAlignment="1" pivotButton="0" quotePrefix="0" xfId="33">
      <alignment horizontal="general" vertical="bottom"/>
    </xf>
    <xf numFmtId="0" fontId="21" fillId="2" borderId="2" applyAlignment="1" pivotButton="0" quotePrefix="0" xfId="33">
      <alignment horizontal="left" vertical="center"/>
    </xf>
    <xf numFmtId="173" fontId="21" fillId="2" borderId="2" applyAlignment="1" pivotButton="0" quotePrefix="0" xfId="33">
      <alignment horizontal="left" vertical="center"/>
    </xf>
    <xf numFmtId="173" fontId="21" fillId="2" borderId="2" applyAlignment="1" pivotButton="0" quotePrefix="0" xfId="33">
      <alignment horizontal="general" vertical="center"/>
    </xf>
    <xf numFmtId="0" fontId="21" fillId="5" borderId="0" applyAlignment="1" pivotButton="0" quotePrefix="0" xfId="33">
      <alignment horizontal="left" vertical="bottom" wrapText="1"/>
    </xf>
    <xf numFmtId="0" fontId="19" fillId="4" borderId="3" applyAlignment="1" pivotButton="0" quotePrefix="0" xfId="33">
      <alignment horizontal="left" vertical="bottom"/>
    </xf>
    <xf numFmtId="189" fontId="19" fillId="4" borderId="3" applyAlignment="1" pivotButton="0" quotePrefix="0" xfId="33">
      <alignment horizontal="left" vertical="bottom"/>
    </xf>
    <xf numFmtId="189" fontId="19" fillId="4" borderId="3" applyAlignment="1" pivotButton="0" quotePrefix="0" xfId="33">
      <alignment horizontal="general" vertical="bottom"/>
    </xf>
    <xf numFmtId="0" fontId="21" fillId="5" borderId="0" applyAlignment="1" pivotButton="0" quotePrefix="0" xfId="33">
      <alignment horizontal="right" vertical="bottom" wrapText="1"/>
    </xf>
    <xf numFmtId="0" fontId="21" fillId="5" borderId="0" applyAlignment="1" pivotButton="0" quotePrefix="0" xfId="33">
      <alignment horizontal="right" vertical="bottom"/>
    </xf>
    <xf numFmtId="173" fontId="19" fillId="4" borderId="0" applyAlignment="1" pivotButton="0" quotePrefix="0" xfId="33">
      <alignment horizontal="right" vertical="bottom"/>
    </xf>
    <xf numFmtId="174" fontId="25" fillId="4" borderId="0" applyAlignment="1" pivotButton="0" quotePrefix="0" xfId="33">
      <alignment horizontal="right" vertical="bottom"/>
    </xf>
    <xf numFmtId="173" fontId="19" fillId="4" borderId="13" applyAlignment="1" pivotButton="0" quotePrefix="0" xfId="33">
      <alignment horizontal="right" vertical="bottom"/>
    </xf>
    <xf numFmtId="174" fontId="25" fillId="4" borderId="13" applyAlignment="1" pivotButton="0" quotePrefix="0" xfId="33">
      <alignment horizontal="right" vertical="bottom"/>
    </xf>
    <xf numFmtId="173" fontId="34" fillId="7" borderId="3" applyAlignment="1" pivotButton="0" quotePrefix="0" xfId="33">
      <alignment horizontal="right" vertical="bottom"/>
    </xf>
    <xf numFmtId="174" fontId="47" fillId="7" borderId="3" applyAlignment="1" pivotButton="0" quotePrefix="0" xfId="33">
      <alignment horizontal="right" vertical="bottom"/>
    </xf>
    <xf numFmtId="195" fontId="19" fillId="4" borderId="0" applyAlignment="1" pivotButton="0" quotePrefix="0" xfId="33">
      <alignment horizontal="right" vertical="bottom"/>
    </xf>
    <xf numFmtId="195" fontId="19" fillId="4" borderId="3" applyAlignment="1" pivotButton="0" quotePrefix="0" xfId="33">
      <alignment horizontal="right" vertical="bottom"/>
    </xf>
    <xf numFmtId="2" fontId="0" fillId="0" borderId="0" applyAlignment="1" pivotButton="0" quotePrefix="0" xfId="0">
      <alignment horizontal="general" vertical="bottom"/>
    </xf>
    <xf numFmtId="204" fontId="0" fillId="0" borderId="0" applyAlignment="1" pivotButton="0" quotePrefix="0" xfId="0">
      <alignment horizontal="general" vertical="bottom"/>
    </xf>
    <xf numFmtId="176" fontId="0" fillId="0" borderId="0" applyAlignment="1" pivotButton="0" quotePrefix="0" xfId="0">
      <alignment horizontal="general" vertical="bottom"/>
    </xf>
    <xf numFmtId="0" fontId="11" fillId="0" borderId="0" applyAlignment="1" pivotButton="0" quotePrefix="0" xfId="0">
      <alignment horizontal="general" vertical="bottom"/>
    </xf>
    <xf numFmtId="0" fontId="0" fillId="0" borderId="0" pivotButton="0" quotePrefix="0" xfId="0"/>
    <xf numFmtId="0" fontId="11" fillId="2" borderId="0" applyAlignment="1" pivotButton="0" quotePrefix="0" xfId="0">
      <alignment horizontal="general" vertical="bottom"/>
    </xf>
    <xf numFmtId="0" fontId="11" fillId="3" borderId="0" applyAlignment="1" pivotButton="0" quotePrefix="0" xfId="0">
      <alignment horizontal="general" vertical="bottom"/>
    </xf>
    <xf numFmtId="0" fontId="12" fillId="3" borderId="0" applyAlignment="1" pivotButton="0" quotePrefix="0" xfId="0">
      <alignment horizontal="left" vertical="bottom"/>
    </xf>
    <xf numFmtId="0" fontId="13" fillId="3" borderId="0" applyAlignment="1" pivotButton="0" quotePrefix="0" xfId="0">
      <alignment horizontal="general" vertical="bottom"/>
    </xf>
    <xf numFmtId="0" fontId="14" fillId="3" borderId="0" applyAlignment="1" pivotButton="0" quotePrefix="0" xfId="0">
      <alignment horizontal="general" vertical="bottom"/>
    </xf>
    <xf numFmtId="0" fontId="15" fillId="3" borderId="0" applyAlignment="1" pivotButton="0" quotePrefix="0" xfId="0">
      <alignment horizontal="general" vertical="bottom"/>
    </xf>
    <xf numFmtId="0" fontId="11" fillId="3" borderId="1" applyAlignment="1" pivotButton="0" quotePrefix="0" xfId="0">
      <alignment horizontal="general" vertical="bottom"/>
    </xf>
    <xf numFmtId="164" fontId="16" fillId="3" borderId="0" applyAlignment="1" pivotButton="0" quotePrefix="0" xfId="0">
      <alignment horizontal="left" vertical="bottom"/>
    </xf>
    <xf numFmtId="0" fontId="17" fillId="3" borderId="0" applyAlignment="1" pivotButton="0" quotePrefix="0" xfId="0">
      <alignment horizontal="general" vertical="bottom"/>
    </xf>
    <xf numFmtId="0" fontId="18" fillId="3" borderId="0" applyAlignment="1" pivotButton="0" quotePrefix="0" xfId="0">
      <alignment horizontal="general" vertical="bottom"/>
    </xf>
    <xf numFmtId="0" fontId="19" fillId="2" borderId="0" applyAlignment="1" pivotButton="0" quotePrefix="0" xfId="0">
      <alignment horizontal="general" vertical="bottom"/>
    </xf>
    <xf numFmtId="0" fontId="19" fillId="0" borderId="0" applyAlignment="1" pivotButton="0" quotePrefix="0" xfId="0">
      <alignment horizontal="general" vertical="bottom"/>
    </xf>
    <xf numFmtId="0" fontId="5" fillId="0" borderId="0" applyAlignment="1" pivotButton="0" quotePrefix="0" xfId="54">
      <alignment horizontal="general" vertical="bottom"/>
    </xf>
    <xf numFmtId="0" fontId="20" fillId="0" borderId="0" applyAlignment="1" pivotButton="0" quotePrefix="0" xfId="46">
      <alignment horizontal="general" vertical="center"/>
    </xf>
    <xf numFmtId="0" fontId="21" fillId="2" borderId="2" applyAlignment="1" pivotButton="0" quotePrefix="0" xfId="54">
      <alignment horizontal="left" vertical="center"/>
    </xf>
    <xf numFmtId="0" fontId="22" fillId="0" borderId="0" applyAlignment="1" pivotButton="0" quotePrefix="0" xfId="46">
      <alignment horizontal="general" vertical="bottom"/>
    </xf>
    <xf numFmtId="0" fontId="7" fillId="4" borderId="0" applyAlignment="1" pivotButton="0" quotePrefix="0" xfId="54">
      <alignment horizontal="left" vertical="center"/>
    </xf>
    <xf numFmtId="0" fontId="7" fillId="0" borderId="0" applyAlignment="1" pivotButton="0" quotePrefix="0" xfId="46">
      <alignment horizontal="general" vertical="bottom"/>
    </xf>
    <xf numFmtId="0" fontId="23" fillId="4" borderId="0" applyAlignment="1" pivotButton="0" quotePrefix="0" xfId="54">
      <alignment horizontal="left" vertical="center"/>
    </xf>
    <xf numFmtId="0" fontId="24" fillId="0" borderId="0" applyAlignment="1" pivotButton="0" quotePrefix="0" xfId="54">
      <alignment horizontal="general" vertical="bottom"/>
    </xf>
    <xf numFmtId="0" fontId="25" fillId="0" borderId="0" applyAlignment="1" pivotButton="0" quotePrefix="0" xfId="0">
      <alignment horizontal="general" vertical="bottom"/>
    </xf>
    <xf numFmtId="0" fontId="7" fillId="0" borderId="0" applyAlignment="1" pivotButton="0" quotePrefix="0" xfId="54">
      <alignment horizontal="left" vertical="center" wrapText="1"/>
    </xf>
    <xf numFmtId="0" fontId="5" fillId="0" borderId="0" applyAlignment="1" pivotButton="0" quotePrefix="0" xfId="54">
      <alignment horizontal="general" vertical="bottom" wrapText="1"/>
    </xf>
    <xf numFmtId="0" fontId="23" fillId="0" borderId="0" applyAlignment="1" pivotButton="0" quotePrefix="0" xfId="54">
      <alignment horizontal="left" vertical="center"/>
    </xf>
    <xf numFmtId="0" fontId="19" fillId="0" borderId="0" applyAlignment="1" pivotButton="0" quotePrefix="0" xfId="54">
      <alignment horizontal="left" vertical="center" wrapText="1"/>
    </xf>
    <xf numFmtId="0" fontId="19" fillId="0" borderId="3" applyAlignment="1" pivotButton="0" quotePrefix="0" xfId="54">
      <alignment horizontal="left" vertical="center" wrapText="1"/>
    </xf>
    <xf numFmtId="0" fontId="5" fillId="0" borderId="0" applyAlignment="1" pivotButton="0" quotePrefix="0" xfId="0">
      <alignment horizontal="general" vertical="bottom"/>
    </xf>
    <xf numFmtId="0" fontId="6" fillId="0" borderId="0" applyAlignment="1" pivotButton="0" quotePrefix="0" xfId="46">
      <alignment horizontal="general" vertical="bottom"/>
    </xf>
    <xf numFmtId="0" fontId="5" fillId="2" borderId="0" applyAlignment="1" pivotButton="0" quotePrefix="0" xfId="46">
      <alignment horizontal="general" vertical="bottom"/>
    </xf>
    <xf numFmtId="0" fontId="7" fillId="0" borderId="0" applyAlignment="1" pivotButton="0" quotePrefix="0" xfId="57">
      <alignment horizontal="general" vertical="bottom"/>
    </xf>
    <xf numFmtId="0" fontId="7" fillId="0" borderId="0" applyAlignment="1" pivotButton="0" quotePrefix="0" xfId="57">
      <alignment horizontal="left" vertical="top"/>
    </xf>
    <xf numFmtId="0" fontId="26" fillId="0" borderId="0" applyAlignment="1" pivotButton="0" quotePrefix="0" xfId="57">
      <alignment horizontal="general" vertical="bottom"/>
    </xf>
    <xf numFmtId="0" fontId="5" fillId="0" borderId="0" applyAlignment="1" pivotButton="0" quotePrefix="0" xfId="39">
      <alignment horizontal="general" vertical="bottom"/>
    </xf>
    <xf numFmtId="0" fontId="5" fillId="2" borderId="4" applyAlignment="1" pivotButton="0" quotePrefix="0" xfId="39">
      <alignment horizontal="general" vertical="bottom"/>
    </xf>
    <xf numFmtId="0" fontId="27" fillId="0" borderId="0" applyAlignment="1" pivotButton="0" quotePrefix="0" xfId="39">
      <alignment horizontal="left" vertical="bottom"/>
    </xf>
    <xf numFmtId="0" fontId="5" fillId="0" borderId="0" applyAlignment="1" pivotButton="0" quotePrefix="0" xfId="39">
      <alignment horizontal="general" vertical="top"/>
    </xf>
    <xf numFmtId="0" fontId="26" fillId="0" borderId="0" applyAlignment="1" pivotButton="0" quotePrefix="0" xfId="39">
      <alignment horizontal="general" vertical="bottom"/>
    </xf>
    <xf numFmtId="0" fontId="28" fillId="0" borderId="0" applyAlignment="1" pivotButton="0" quotePrefix="0" xfId="39">
      <alignment horizontal="left" vertical="bottom"/>
    </xf>
    <xf numFmtId="165" fontId="5" fillId="0" borderId="0" applyAlignment="1" pivotButton="0" quotePrefix="0" xfId="19">
      <alignment horizontal="general" vertical="bottom"/>
    </xf>
    <xf numFmtId="0" fontId="29" fillId="0" borderId="0" applyAlignment="1" pivotButton="0" quotePrefix="0" xfId="39">
      <alignment horizontal="left" vertical="bottom"/>
    </xf>
    <xf numFmtId="0" fontId="24" fillId="0" borderId="0" applyAlignment="1" pivotButton="0" quotePrefix="0" xfId="39">
      <alignment horizontal="left" vertical="bottom"/>
    </xf>
    <xf numFmtId="0" fontId="5" fillId="0" borderId="0" applyAlignment="1" pivotButton="0" quotePrefix="0" xfId="54">
      <alignment horizontal="left" vertical="top"/>
    </xf>
    <xf numFmtId="49" fontId="30" fillId="0" borderId="0" applyAlignment="1" pivotButton="0" quotePrefix="0" xfId="50">
      <alignment horizontal="general" vertical="bottom"/>
    </xf>
    <xf numFmtId="0" fontId="5" fillId="0" borderId="0" applyAlignment="1" pivotButton="0" quotePrefix="0" xfId="50">
      <alignment horizontal="general" vertical="bottom"/>
    </xf>
    <xf numFmtId="0" fontId="21" fillId="2" borderId="0" applyAlignment="1" pivotButton="0" quotePrefix="0" xfId="54">
      <alignment horizontal="left" vertical="center"/>
    </xf>
    <xf numFmtId="0" fontId="21" fillId="5" borderId="0" applyAlignment="1" pivotButton="0" quotePrefix="0" xfId="54">
      <alignment horizontal="left" vertical="center"/>
    </xf>
    <xf numFmtId="0" fontId="21" fillId="5" borderId="0" applyAlignment="1" pivotButton="0" quotePrefix="0" xfId="54">
      <alignment horizontal="center" vertical="center"/>
    </xf>
    <xf numFmtId="0" fontId="21" fillId="6" borderId="0" applyAlignment="1" pivotButton="0" quotePrefix="0" xfId="54">
      <alignment horizontal="center" vertical="center"/>
    </xf>
    <xf numFmtId="0" fontId="31" fillId="5" borderId="0" applyAlignment="1" applyProtection="1" pivotButton="0" quotePrefix="0" xfId="54">
      <alignment horizontal="left" vertical="bottom"/>
      <protection locked="0" hidden="0"/>
    </xf>
    <xf numFmtId="0" fontId="31" fillId="5" borderId="5" applyAlignment="1" pivotButton="0" quotePrefix="0" xfId="54">
      <alignment horizontal="right" vertical="bottom" wrapText="1"/>
    </xf>
    <xf numFmtId="0" fontId="31" fillId="5" borderId="6" applyAlignment="1" pivotButton="0" quotePrefix="0" xfId="54">
      <alignment horizontal="right" vertical="bottom" wrapText="1"/>
    </xf>
    <xf numFmtId="166" fontId="31" fillId="5" borderId="6" applyAlignment="1" pivotButton="0" quotePrefix="0" xfId="54">
      <alignment horizontal="right" vertical="bottom" wrapText="1"/>
    </xf>
    <xf numFmtId="166" fontId="31" fillId="5" borderId="7" applyAlignment="1" pivotButton="0" quotePrefix="0" xfId="54">
      <alignment horizontal="right" vertical="bottom" wrapText="1"/>
    </xf>
    <xf numFmtId="0" fontId="32" fillId="0" borderId="0" applyAlignment="1" pivotButton="0" quotePrefix="0" xfId="54">
      <alignment horizontal="general" vertical="bottom"/>
    </xf>
    <xf numFmtId="0" fontId="31" fillId="6" borderId="5" applyAlignment="1" pivotButton="0" quotePrefix="0" xfId="54">
      <alignment horizontal="right" vertical="bottom" wrapText="1"/>
    </xf>
    <xf numFmtId="0" fontId="31" fillId="6" borderId="6" applyAlignment="1" pivotButton="0" quotePrefix="0" xfId="54">
      <alignment horizontal="right" vertical="bottom" wrapText="1"/>
    </xf>
    <xf numFmtId="166" fontId="31" fillId="6" borderId="6" applyAlignment="1" pivotButton="0" quotePrefix="0" xfId="54">
      <alignment horizontal="right" vertical="bottom" wrapText="1"/>
    </xf>
    <xf numFmtId="166" fontId="31" fillId="6" borderId="7" applyAlignment="1" pivotButton="0" quotePrefix="0" xfId="54">
      <alignment horizontal="right" vertical="bottom" wrapText="1"/>
    </xf>
    <xf numFmtId="166" fontId="31" fillId="5" borderId="0" applyAlignment="1" pivotButton="0" quotePrefix="0" xfId="54">
      <alignment horizontal="right" vertical="top"/>
    </xf>
    <xf numFmtId="0" fontId="33" fillId="0" borderId="0" applyAlignment="1" pivotButton="0" quotePrefix="0" xfId="50">
      <alignment horizontal="general" vertical="bottom"/>
    </xf>
    <xf numFmtId="0" fontId="34" fillId="4" borderId="0" applyAlignment="1" applyProtection="1" pivotButton="0" quotePrefix="0" xfId="54">
      <alignment horizontal="left" vertical="bottom"/>
      <protection locked="0" hidden="0"/>
    </xf>
    <xf numFmtId="167" fontId="34" fillId="4" borderId="0" applyAlignment="1" pivotButton="0" quotePrefix="0" xfId="54">
      <alignment horizontal="right" vertical="bottom" wrapText="1"/>
    </xf>
    <xf numFmtId="167" fontId="34" fillId="0" borderId="0" applyAlignment="1" pivotButton="0" quotePrefix="0" xfId="54">
      <alignment horizontal="right" vertical="bottom"/>
    </xf>
    <xf numFmtId="167" fontId="34" fillId="7" borderId="0" applyAlignment="1" pivotButton="0" quotePrefix="0" xfId="54">
      <alignment horizontal="right" vertical="bottom"/>
    </xf>
    <xf numFmtId="167" fontId="34" fillId="0" borderId="8" applyAlignment="1" pivotButton="0" quotePrefix="0" xfId="54">
      <alignment horizontal="left" vertical="top"/>
    </xf>
    <xf numFmtId="0" fontId="23" fillId="4" borderId="0" applyAlignment="1" applyProtection="1" pivotButton="0" quotePrefix="0" xfId="54">
      <alignment horizontal="left" vertical="bottom"/>
      <protection locked="0" hidden="0"/>
    </xf>
    <xf numFmtId="0" fontId="34" fillId="4" borderId="0" applyAlignment="1" pivotButton="0" quotePrefix="0" xfId="54">
      <alignment horizontal="right" vertical="bottom" wrapText="1"/>
    </xf>
    <xf numFmtId="0" fontId="34" fillId="0" borderId="0" applyAlignment="1" pivotButton="0" quotePrefix="0" xfId="54">
      <alignment horizontal="right" vertical="bottom"/>
    </xf>
    <xf numFmtId="0" fontId="34" fillId="7" borderId="0" applyAlignment="1" pivotButton="0" quotePrefix="0" xfId="54">
      <alignment horizontal="right" vertical="bottom"/>
    </xf>
    <xf numFmtId="0" fontId="34" fillId="0" borderId="9" applyAlignment="1" pivotButton="0" quotePrefix="0" xfId="54">
      <alignment horizontal="left" vertical="top"/>
    </xf>
    <xf numFmtId="0" fontId="7" fillId="4" borderId="0" applyAlignment="1" pivotButton="0" quotePrefix="0" xfId="54">
      <alignment horizontal="left" vertical="center" indent="2"/>
    </xf>
    <xf numFmtId="0" fontId="31" fillId="8" borderId="10" applyAlignment="1" pivotButton="0" quotePrefix="0" xfId="54">
      <alignment horizontal="center" vertical="center"/>
    </xf>
    <xf numFmtId="167" fontId="19" fillId="4" borderId="0" applyAlignment="1" pivotButton="0" quotePrefix="0" xfId="54">
      <alignment horizontal="right" vertical="center" wrapText="1"/>
    </xf>
    <xf numFmtId="167" fontId="19" fillId="4" borderId="0" applyAlignment="1" pivotButton="0" quotePrefix="0" xfId="54">
      <alignment horizontal="right" vertical="center"/>
    </xf>
    <xf numFmtId="167" fontId="19" fillId="7" borderId="0" applyAlignment="1" pivotButton="0" quotePrefix="0" xfId="54">
      <alignment horizontal="right" vertical="center"/>
    </xf>
    <xf numFmtId="167" fontId="19" fillId="0" borderId="11" applyAlignment="1" pivotButton="0" quotePrefix="0" xfId="54">
      <alignment horizontal="left" vertical="top" wrapText="1"/>
    </xf>
    <xf numFmtId="0" fontId="7" fillId="0" borderId="0" applyAlignment="1" pivotButton="0" quotePrefix="0" xfId="54">
      <alignment horizontal="left" vertical="center" indent="2"/>
    </xf>
    <xf numFmtId="0" fontId="31" fillId="8" borderId="12" applyAlignment="1" pivotButton="0" quotePrefix="0" xfId="54">
      <alignment horizontal="center" vertical="center"/>
    </xf>
    <xf numFmtId="167" fontId="19" fillId="4" borderId="0" applyAlignment="1" pivotButton="0" quotePrefix="0" xfId="54">
      <alignment horizontal="right" vertical="bottom" wrapText="1"/>
    </xf>
    <xf numFmtId="167" fontId="19" fillId="0" borderId="0" applyAlignment="1" pivotButton="0" quotePrefix="0" xfId="54">
      <alignment horizontal="right" vertical="bottom"/>
    </xf>
    <xf numFmtId="167" fontId="19" fillId="7" borderId="0" applyAlignment="1" pivotButton="0" quotePrefix="0" xfId="54">
      <alignment horizontal="right" vertical="bottom"/>
    </xf>
    <xf numFmtId="0" fontId="7" fillId="4" borderId="13" applyAlignment="1" pivotButton="0" quotePrefix="0" xfId="54">
      <alignment horizontal="left" vertical="center" indent="2"/>
    </xf>
    <xf numFmtId="0" fontId="31" fillId="8" borderId="14" applyAlignment="1" pivotButton="0" quotePrefix="0" xfId="54">
      <alignment horizontal="center" vertical="center"/>
    </xf>
    <xf numFmtId="167" fontId="19" fillId="4" borderId="13" applyAlignment="1" pivotButton="0" quotePrefix="0" xfId="54">
      <alignment horizontal="right" vertical="center" wrapText="1"/>
    </xf>
    <xf numFmtId="167" fontId="19" fillId="4" borderId="13" applyAlignment="1" pivotButton="0" quotePrefix="0" xfId="54">
      <alignment horizontal="right" vertical="center"/>
    </xf>
    <xf numFmtId="167" fontId="19" fillId="7" borderId="13" applyAlignment="1" pivotButton="0" quotePrefix="0" xfId="54">
      <alignment horizontal="right" vertical="center"/>
    </xf>
    <xf numFmtId="0" fontId="19" fillId="4" borderId="0" applyAlignment="1" applyProtection="1" pivotButton="0" quotePrefix="0" xfId="54">
      <alignment horizontal="left" vertical="bottom" indent="1"/>
      <protection locked="0" hidden="0"/>
    </xf>
    <xf numFmtId="0" fontId="19" fillId="4" borderId="0" applyAlignment="1" applyProtection="1" pivotButton="0" quotePrefix="0" xfId="54">
      <alignment horizontal="left" vertical="bottom"/>
      <protection locked="0" hidden="0"/>
    </xf>
    <xf numFmtId="167" fontId="19" fillId="0" borderId="9" applyAlignment="1" pivotButton="0" quotePrefix="0" xfId="54">
      <alignment horizontal="left" vertical="top"/>
    </xf>
    <xf numFmtId="0" fontId="34" fillId="0" borderId="2" applyAlignment="1" applyProtection="1" pivotButton="0" quotePrefix="0" xfId="54">
      <alignment horizontal="left" vertical="bottom"/>
      <protection locked="0" hidden="0"/>
    </xf>
    <xf numFmtId="167" fontId="34" fillId="0" borderId="2" applyAlignment="1" pivotButton="0" quotePrefix="0" xfId="54">
      <alignment horizontal="right" vertical="bottom" wrapText="1"/>
    </xf>
    <xf numFmtId="167" fontId="34" fillId="0" borderId="2" applyAlignment="1" pivotButton="0" quotePrefix="0" xfId="54">
      <alignment horizontal="right" vertical="bottom"/>
    </xf>
    <xf numFmtId="167" fontId="34" fillId="7" borderId="2" applyAlignment="1" pivotButton="0" quotePrefix="0" xfId="54">
      <alignment horizontal="right" vertical="bottom"/>
    </xf>
    <xf numFmtId="167" fontId="34" fillId="0" borderId="9" applyAlignment="1" pivotButton="0" quotePrefix="0" xfId="54">
      <alignment horizontal="left" vertical="top"/>
    </xf>
    <xf numFmtId="0" fontId="7" fillId="0" borderId="0" applyAlignment="1" pivotButton="0" quotePrefix="0" xfId="54">
      <alignment horizontal="left" vertical="center" indent="3"/>
    </xf>
    <xf numFmtId="167" fontId="7" fillId="0" borderId="0" applyAlignment="1" pivotButton="0" quotePrefix="0" xfId="54">
      <alignment horizontal="right" vertical="center" wrapText="1"/>
    </xf>
    <xf numFmtId="167" fontId="19" fillId="0" borderId="0" applyAlignment="1" pivotButton="0" quotePrefix="0" xfId="54">
      <alignment horizontal="right" vertical="center"/>
    </xf>
    <xf numFmtId="167" fontId="7" fillId="0" borderId="9" applyAlignment="1" pivotButton="0" quotePrefix="0" xfId="54">
      <alignment horizontal="left" vertical="top" wrapText="1"/>
    </xf>
    <xf numFmtId="0" fontId="7" fillId="0" borderId="13" applyAlignment="1" pivotButton="0" quotePrefix="0" xfId="54">
      <alignment horizontal="left" vertical="center" indent="3"/>
    </xf>
    <xf numFmtId="167" fontId="7" fillId="0" borderId="13" applyAlignment="1" pivotButton="0" quotePrefix="0" xfId="54">
      <alignment horizontal="right" vertical="center" wrapText="1"/>
    </xf>
    <xf numFmtId="167" fontId="19" fillId="0" borderId="13" applyAlignment="1" pivotButton="0" quotePrefix="0" xfId="54">
      <alignment horizontal="right" vertical="center"/>
    </xf>
    <xf numFmtId="0" fontId="31" fillId="8" borderId="0" applyAlignment="1" pivotButton="0" quotePrefix="0" xfId="54">
      <alignment horizontal="center" vertical="center"/>
    </xf>
    <xf numFmtId="167" fontId="7" fillId="0" borderId="9" applyAlignment="1" pivotButton="0" quotePrefix="0" xfId="54">
      <alignment horizontal="left" vertical="top"/>
    </xf>
    <xf numFmtId="0" fontId="7" fillId="4" borderId="13" applyAlignment="1" pivotButton="0" quotePrefix="0" xfId="54">
      <alignment horizontal="left" vertical="center" indent="3"/>
    </xf>
    <xf numFmtId="167" fontId="7" fillId="4" borderId="13" applyAlignment="1" pivotButton="0" quotePrefix="0" xfId="54">
      <alignment horizontal="right" vertical="center" wrapText="1"/>
    </xf>
    <xf numFmtId="167" fontId="19" fillId="0" borderId="9" applyAlignment="1" pivotButton="0" quotePrefix="0" xfId="54">
      <alignment horizontal="left" vertical="top" wrapText="1"/>
    </xf>
    <xf numFmtId="0" fontId="31" fillId="8" borderId="15" applyAlignment="1" pivotButton="0" quotePrefix="0" xfId="54">
      <alignment horizontal="center" vertical="center"/>
    </xf>
    <xf numFmtId="167" fontId="19" fillId="0" borderId="8" applyAlignment="1" pivotButton="0" quotePrefix="0" xfId="54">
      <alignment horizontal="left" vertical="top" wrapText="1"/>
    </xf>
    <xf numFmtId="0" fontId="22" fillId="0" borderId="0" applyAlignment="1" pivotButton="0" quotePrefix="0" xfId="57">
      <alignment horizontal="general" vertical="bottom"/>
    </xf>
    <xf numFmtId="0" fontId="35" fillId="2" borderId="0" applyAlignment="1" pivotButton="0" quotePrefix="0" xfId="46">
      <alignment horizontal="general" vertical="bottom"/>
    </xf>
    <xf numFmtId="0" fontId="36" fillId="0" borderId="0" applyAlignment="1" pivotButton="0" quotePrefix="0" xfId="50">
      <alignment horizontal="general" vertical="bottom"/>
    </xf>
    <xf numFmtId="0" fontId="25" fillId="0" borderId="0" applyAlignment="1" applyProtection="1" pivotButton="0" quotePrefix="0" xfId="54">
      <alignment horizontal="left" vertical="bottom"/>
      <protection locked="0" hidden="0"/>
    </xf>
    <xf numFmtId="167" fontId="25" fillId="7" borderId="0" applyAlignment="1" pivotButton="0" quotePrefix="0" xfId="54">
      <alignment horizontal="right" vertical="bottom" wrapText="1"/>
    </xf>
    <xf numFmtId="168" fontId="25" fillId="0" borderId="0" applyAlignment="1" pivotButton="0" quotePrefix="0" xfId="54">
      <alignment horizontal="right" vertical="bottom" wrapText="1"/>
    </xf>
    <xf numFmtId="168" fontId="25" fillId="0" borderId="0" applyAlignment="1" pivotButton="0" quotePrefix="0" xfId="54">
      <alignment horizontal="right" vertical="bottom"/>
    </xf>
    <xf numFmtId="168" fontId="25" fillId="7" borderId="0" applyAlignment="1" pivotButton="0" quotePrefix="0" xfId="54">
      <alignment horizontal="right" vertical="bottom"/>
    </xf>
    <xf numFmtId="0" fontId="35" fillId="0" borderId="0" applyAlignment="1" pivotButton="0" quotePrefix="0" xfId="54">
      <alignment horizontal="general" vertical="bottom"/>
    </xf>
    <xf numFmtId="168" fontId="25" fillId="7" borderId="0" applyAlignment="1" pivotButton="0" quotePrefix="0" xfId="54">
      <alignment horizontal="right" vertical="bottom" wrapText="1"/>
    </xf>
    <xf numFmtId="167" fontId="25" fillId="0" borderId="9" applyAlignment="1" pivotButton="0" quotePrefix="0" xfId="54">
      <alignment horizontal="left" vertical="top"/>
    </xf>
    <xf numFmtId="0" fontId="34" fillId="0" borderId="16" applyAlignment="1" applyProtection="1" pivotButton="0" quotePrefix="0" xfId="54">
      <alignment horizontal="left" vertical="bottom"/>
      <protection locked="0" hidden="0"/>
    </xf>
    <xf numFmtId="167" fontId="34" fillId="0" borderId="16" applyAlignment="1" pivotButton="0" quotePrefix="0" xfId="54">
      <alignment horizontal="right" vertical="bottom" wrapText="1"/>
    </xf>
    <xf numFmtId="167" fontId="34" fillId="0" borderId="16" applyAlignment="1" pivotButton="0" quotePrefix="0" xfId="54">
      <alignment horizontal="right" vertical="bottom"/>
    </xf>
    <xf numFmtId="0" fontId="37" fillId="4" borderId="0" applyAlignment="1" pivotButton="0" quotePrefix="0" xfId="54">
      <alignment horizontal="left" vertical="center"/>
    </xf>
    <xf numFmtId="167" fontId="34" fillId="4" borderId="0" applyAlignment="1" pivotButton="0" quotePrefix="0" xfId="54">
      <alignment horizontal="right" vertical="center" wrapText="1"/>
    </xf>
    <xf numFmtId="167" fontId="34" fillId="0" borderId="0" applyAlignment="1" pivotButton="0" quotePrefix="0" xfId="54">
      <alignment horizontal="right" vertical="center"/>
    </xf>
    <xf numFmtId="167" fontId="34" fillId="7" borderId="0" applyAlignment="1" pivotButton="0" quotePrefix="0" xfId="54">
      <alignment horizontal="right" vertical="center"/>
    </xf>
    <xf numFmtId="0" fontId="7" fillId="4" borderId="0" applyAlignment="1" pivotButton="0" quotePrefix="0" xfId="54">
      <alignment horizontal="left" vertical="center" indent="1"/>
    </xf>
    <xf numFmtId="0" fontId="34" fillId="7" borderId="2" applyAlignment="1" applyProtection="1" pivotButton="0" quotePrefix="0" xfId="54">
      <alignment horizontal="left" vertical="bottom"/>
      <protection locked="0" hidden="0"/>
    </xf>
    <xf numFmtId="167" fontId="34" fillId="7" borderId="2" applyAlignment="1" pivotButton="0" quotePrefix="0" xfId="54">
      <alignment horizontal="right" vertical="bottom" wrapText="1"/>
    </xf>
    <xf numFmtId="0" fontId="7" fillId="4" borderId="0" applyAlignment="1" pivotButton="0" quotePrefix="0" xfId="54">
      <alignment horizontal="left" vertical="center" indent="3"/>
    </xf>
    <xf numFmtId="167" fontId="7" fillId="4" borderId="0" applyAlignment="1" pivotButton="0" quotePrefix="0" xfId="54">
      <alignment horizontal="right" vertical="center" wrapText="1"/>
    </xf>
    <xf numFmtId="167" fontId="7" fillId="0" borderId="11" applyAlignment="1" pivotButton="0" quotePrefix="0" xfId="54">
      <alignment horizontal="left" vertical="top" wrapText="1"/>
    </xf>
    <xf numFmtId="167" fontId="7" fillId="0" borderId="11" applyAlignment="1" pivotButton="0" quotePrefix="0" xfId="54">
      <alignment horizontal="left" vertical="top"/>
    </xf>
    <xf numFmtId="167" fontId="7" fillId="0" borderId="8" applyAlignment="1" pivotButton="0" quotePrefix="0" xfId="54">
      <alignment horizontal="left" vertical="top"/>
    </xf>
    <xf numFmtId="0" fontId="31" fillId="8" borderId="17" applyAlignment="1" pivotButton="0" quotePrefix="0" xfId="54">
      <alignment horizontal="center" vertical="center"/>
    </xf>
    <xf numFmtId="0" fontId="19" fillId="4" borderId="13" applyAlignment="1" pivotButton="0" quotePrefix="0" xfId="54">
      <alignment horizontal="left" vertical="center" indent="1"/>
    </xf>
    <xf numFmtId="0" fontId="19" fillId="4" borderId="13" applyAlignment="1" pivotButton="0" quotePrefix="0" xfId="54">
      <alignment horizontal="left" vertical="center"/>
    </xf>
    <xf numFmtId="0" fontId="38" fillId="0" borderId="0" applyAlignment="1" pivotButton="0" quotePrefix="0" xfId="54">
      <alignment horizontal="general" vertical="bottom"/>
    </xf>
    <xf numFmtId="0" fontId="34" fillId="7" borderId="0" applyAlignment="1" pivotButton="0" quotePrefix="0" xfId="54">
      <alignment horizontal="left" vertical="center"/>
    </xf>
    <xf numFmtId="167" fontId="34" fillId="7" borderId="0" applyAlignment="1" pivotButton="0" quotePrefix="0" xfId="54">
      <alignment horizontal="right" vertical="center" wrapText="1"/>
    </xf>
    <xf numFmtId="0" fontId="7" fillId="0" borderId="0" applyAlignment="1" pivotButton="0" quotePrefix="0" xfId="57">
      <alignment horizontal="general" vertical="bottom" wrapText="1"/>
    </xf>
    <xf numFmtId="0" fontId="5" fillId="2" borderId="0" applyAlignment="1" pivotButton="0" quotePrefix="0" xfId="46">
      <alignment horizontal="general" vertical="bottom" wrapText="1"/>
    </xf>
    <xf numFmtId="0" fontId="33" fillId="0" borderId="0" applyAlignment="1" pivotButton="0" quotePrefix="0" xfId="50">
      <alignment horizontal="general" vertical="bottom" wrapText="1"/>
    </xf>
    <xf numFmtId="0" fontId="23" fillId="4" borderId="0" applyAlignment="1" pivotButton="0" quotePrefix="0" xfId="54">
      <alignment horizontal="left" vertical="center" wrapText="1"/>
    </xf>
    <xf numFmtId="167" fontId="19" fillId="0" borderId="0" applyAlignment="1" pivotButton="0" quotePrefix="0" xfId="54">
      <alignment horizontal="right" vertical="center" wrapText="1"/>
    </xf>
    <xf numFmtId="0" fontId="26" fillId="0" borderId="0" applyAlignment="1" pivotButton="0" quotePrefix="0" xfId="57">
      <alignment horizontal="general" vertical="bottom" wrapText="1"/>
    </xf>
    <xf numFmtId="0" fontId="7" fillId="0" borderId="0" applyAlignment="1" pivotButton="0" quotePrefix="0" xfId="54">
      <alignment horizontal="left" vertical="center" wrapText="1" indent="3"/>
    </xf>
    <xf numFmtId="0" fontId="31" fillId="8" borderId="10" applyAlignment="1" pivotButton="0" quotePrefix="0" xfId="54">
      <alignment horizontal="center" vertical="center" wrapText="1"/>
    </xf>
    <xf numFmtId="167" fontId="19" fillId="7" borderId="0" applyAlignment="1" pivotButton="0" quotePrefix="0" xfId="54">
      <alignment horizontal="right" vertical="center" wrapText="1"/>
    </xf>
    <xf numFmtId="0" fontId="7" fillId="0" borderId="13" applyAlignment="1" pivotButton="0" quotePrefix="0" xfId="54">
      <alignment horizontal="left" vertical="center" wrapText="1" indent="3"/>
    </xf>
    <xf numFmtId="167" fontId="19" fillId="0" borderId="13" applyAlignment="1" pivotButton="0" quotePrefix="0" xfId="54">
      <alignment horizontal="right" vertical="center" wrapText="1"/>
    </xf>
    <xf numFmtId="167" fontId="19" fillId="7" borderId="13" applyAlignment="1" pivotButton="0" quotePrefix="0" xfId="54">
      <alignment horizontal="right" vertical="center" wrapText="1"/>
    </xf>
    <xf numFmtId="0" fontId="7" fillId="0" borderId="0" applyAlignment="1" pivotButton="0" quotePrefix="0" xfId="54">
      <alignment horizontal="left" vertical="center" wrapText="1" indent="2"/>
    </xf>
    <xf numFmtId="0" fontId="31" fillId="8" borderId="12" applyAlignment="1" pivotButton="0" quotePrefix="0" xfId="54">
      <alignment horizontal="center" vertical="center" wrapText="1"/>
    </xf>
    <xf numFmtId="167" fontId="39" fillId="0" borderId="9" applyAlignment="1" pivotButton="0" quotePrefix="0" xfId="54">
      <alignment horizontal="left" vertical="top" wrapText="1"/>
    </xf>
    <xf numFmtId="0" fontId="31" fillId="8" borderId="15" applyAlignment="1" pivotButton="0" quotePrefix="0" xfId="54">
      <alignment horizontal="center" vertical="center" wrapText="1"/>
    </xf>
    <xf numFmtId="0" fontId="31" fillId="8" borderId="0" applyAlignment="1" pivotButton="0" quotePrefix="0" xfId="54">
      <alignment horizontal="center" vertical="center" wrapText="1"/>
    </xf>
    <xf numFmtId="0" fontId="7" fillId="4" borderId="0" applyAlignment="1" pivotButton="0" quotePrefix="0" xfId="54">
      <alignment horizontal="left" vertical="center" wrapText="1" indent="2"/>
    </xf>
    <xf numFmtId="0" fontId="7" fillId="0" borderId="13" applyAlignment="1" pivotButton="0" quotePrefix="0" xfId="54">
      <alignment horizontal="left" vertical="center" wrapText="1" indent="2"/>
    </xf>
    <xf numFmtId="0" fontId="31" fillId="8" borderId="13" applyAlignment="1" pivotButton="0" quotePrefix="0" xfId="54">
      <alignment horizontal="center" vertical="center" wrapText="1"/>
    </xf>
    <xf numFmtId="1" fontId="32" fillId="0" borderId="0" applyAlignment="1" pivotButton="0" quotePrefix="0" xfId="54">
      <alignment horizontal="general" vertical="bottom"/>
    </xf>
    <xf numFmtId="0" fontId="25" fillId="7" borderId="3" applyAlignment="1" pivotButton="0" quotePrefix="0" xfId="54">
      <alignment horizontal="left" vertical="center"/>
    </xf>
    <xf numFmtId="0" fontId="19" fillId="7" borderId="3" applyAlignment="1" pivotButton="0" quotePrefix="0" xfId="54">
      <alignment horizontal="left" vertical="center"/>
    </xf>
    <xf numFmtId="168" fontId="25" fillId="7" borderId="3" applyAlignment="1" pivotButton="0" quotePrefix="0" xfId="54">
      <alignment horizontal="right" vertical="center" wrapText="1"/>
    </xf>
    <xf numFmtId="168" fontId="25" fillId="7" borderId="3" applyAlignment="1" pivotButton="0" quotePrefix="0" xfId="54">
      <alignment horizontal="right" vertical="center"/>
    </xf>
    <xf numFmtId="168" fontId="25" fillId="0" borderId="18" applyAlignment="1" pivotButton="0" quotePrefix="0" xfId="54">
      <alignment horizontal="left" vertical="top"/>
    </xf>
    <xf numFmtId="0" fontId="5" fillId="4" borderId="0" applyAlignment="1" pivotButton="0" quotePrefix="0" xfId="54">
      <alignment horizontal="general" vertical="bottom"/>
    </xf>
    <xf numFmtId="0" fontId="5" fillId="4" borderId="0" applyAlignment="1" pivotButton="0" quotePrefix="0" xfId="54">
      <alignment horizontal="left" vertical="top"/>
    </xf>
    <xf numFmtId="0" fontId="23" fillId="4" borderId="0" applyAlignment="1" pivotButton="0" quotePrefix="0" xfId="54">
      <alignment horizontal="left" vertical="center" indent="1"/>
    </xf>
    <xf numFmtId="0" fontId="40" fillId="0" borderId="0" applyAlignment="1" pivotButton="0" quotePrefix="0" xfId="50">
      <alignment horizontal="general" vertical="bottom"/>
    </xf>
    <xf numFmtId="0" fontId="35" fillId="4" borderId="0" applyAlignment="1" pivotButton="0" quotePrefix="0" xfId="54">
      <alignment horizontal="left" vertical="bottom" indent="1"/>
    </xf>
    <xf numFmtId="0" fontId="35" fillId="4" borderId="0" applyAlignment="1" pivotButton="0" quotePrefix="0" xfId="54">
      <alignment horizontal="general" vertical="bottom"/>
    </xf>
    <xf numFmtId="169" fontId="35" fillId="4" borderId="0" applyAlignment="1" pivotButton="0" quotePrefix="0" xfId="54">
      <alignment horizontal="general" vertical="bottom"/>
    </xf>
    <xf numFmtId="0" fontId="35" fillId="4" borderId="0" applyAlignment="1" pivotButton="0" quotePrefix="0" xfId="54">
      <alignment horizontal="left" vertical="top"/>
    </xf>
    <xf numFmtId="167" fontId="35" fillId="4" borderId="0" applyAlignment="1" pivotButton="0" quotePrefix="0" xfId="54">
      <alignment horizontal="right" vertical="bottom"/>
    </xf>
    <xf numFmtId="167" fontId="7" fillId="0" borderId="0" applyAlignment="1" pivotButton="0" quotePrefix="0" xfId="57">
      <alignment horizontal="right" vertical="bottom"/>
    </xf>
    <xf numFmtId="166" fontId="31" fillId="5" borderId="19" applyAlignment="1" pivotButton="0" quotePrefix="0" xfId="54">
      <alignment horizontal="right" vertical="top"/>
    </xf>
    <xf numFmtId="0" fontId="7" fillId="0" borderId="13" applyAlignment="1" pivotButton="0" quotePrefix="0" xfId="54">
      <alignment horizontal="left" vertical="center" indent="2"/>
    </xf>
    <xf numFmtId="0" fontId="7" fillId="0" borderId="0" applyAlignment="1" pivotButton="0" quotePrefix="0" xfId="54">
      <alignment horizontal="left" vertical="center" indent="1"/>
    </xf>
    <xf numFmtId="0" fontId="7" fillId="4" borderId="0" applyAlignment="1" pivotButton="0" quotePrefix="0" xfId="57">
      <alignment horizontal="general" vertical="bottom"/>
    </xf>
    <xf numFmtId="0" fontId="33" fillId="4" borderId="0" applyAlignment="1" pivotButton="0" quotePrefix="0" xfId="50">
      <alignment horizontal="general" vertical="bottom"/>
    </xf>
    <xf numFmtId="0" fontId="7" fillId="4" borderId="3" applyAlignment="1" pivotButton="0" quotePrefix="0" xfId="54">
      <alignment horizontal="left" vertical="center" indent="2"/>
    </xf>
    <xf numFmtId="0" fontId="31" fillId="4" borderId="3" applyAlignment="1" pivotButton="0" quotePrefix="0" xfId="54">
      <alignment horizontal="center" vertical="center"/>
    </xf>
    <xf numFmtId="167" fontId="7" fillId="4" borderId="3" applyAlignment="1" pivotButton="0" quotePrefix="0" xfId="54">
      <alignment horizontal="right" vertical="center" wrapText="1"/>
    </xf>
    <xf numFmtId="167" fontId="19" fillId="4" borderId="3" applyAlignment="1" pivotButton="0" quotePrefix="0" xfId="54">
      <alignment horizontal="right" vertical="center"/>
    </xf>
    <xf numFmtId="167" fontId="19" fillId="4" borderId="3" applyAlignment="1" pivotButton="0" quotePrefix="0" xfId="54">
      <alignment horizontal="left" vertical="top"/>
    </xf>
    <xf numFmtId="0" fontId="26" fillId="4" borderId="0" applyAlignment="1" pivotButton="0" quotePrefix="0" xfId="57">
      <alignment horizontal="general" vertical="bottom"/>
    </xf>
    <xf numFmtId="0" fontId="0" fillId="0" borderId="0" applyAlignment="1" pivotButton="0" quotePrefix="0" xfId="0">
      <alignment horizontal="general" vertical="top"/>
    </xf>
    <xf numFmtId="0" fontId="5" fillId="0" borderId="0" applyAlignment="1" pivotButton="0" quotePrefix="0" xfId="47">
      <alignment horizontal="general" vertical="bottom"/>
    </xf>
    <xf numFmtId="170" fontId="5" fillId="0" borderId="0" applyAlignment="1" pivotButton="0" quotePrefix="0" xfId="39">
      <alignment horizontal="general" vertical="bottom"/>
    </xf>
    <xf numFmtId="0" fontId="5" fillId="2" borderId="0" applyAlignment="1" pivotButton="0" quotePrefix="0" xfId="39">
      <alignment horizontal="left" vertical="bottom"/>
    </xf>
    <xf numFmtId="0" fontId="5" fillId="0" borderId="0" applyAlignment="1" pivotButton="0" quotePrefix="0" xfId="39">
      <alignment horizontal="left" vertical="bottom"/>
    </xf>
    <xf numFmtId="0" fontId="5" fillId="4" borderId="0" applyAlignment="1" pivotButton="0" quotePrefix="0" xfId="50">
      <alignment horizontal="general" vertical="bottom"/>
    </xf>
    <xf numFmtId="0" fontId="21" fillId="2" borderId="4" applyAlignment="1" pivotButton="0" quotePrefix="0" xfId="54">
      <alignment horizontal="left" vertical="center"/>
    </xf>
    <xf numFmtId="0" fontId="31" fillId="5" borderId="20" applyAlignment="1" pivotButton="0" quotePrefix="0" xfId="54">
      <alignment horizontal="right" vertical="bottom" wrapText="1"/>
    </xf>
    <xf numFmtId="0" fontId="31" fillId="5" borderId="19" applyAlignment="1" pivotButton="0" quotePrefix="0" xfId="54">
      <alignment horizontal="right" vertical="bottom" wrapText="1"/>
    </xf>
    <xf numFmtId="166" fontId="31" fillId="5" borderId="21" applyAlignment="1" pivotButton="0" quotePrefix="0" xfId="54">
      <alignment horizontal="right" vertical="bottom" wrapText="1"/>
    </xf>
    <xf numFmtId="0" fontId="34" fillId="0" borderId="0" applyAlignment="1" applyProtection="1" pivotButton="0" quotePrefix="0" xfId="54">
      <alignment horizontal="left" vertical="bottom"/>
      <protection locked="0" hidden="0"/>
    </xf>
    <xf numFmtId="167" fontId="19" fillId="4" borderId="0" applyAlignment="1" pivotButton="0" quotePrefix="0" xfId="54">
      <alignment horizontal="right" vertical="bottom"/>
    </xf>
    <xf numFmtId="0" fontId="34" fillId="7" borderId="22" applyAlignment="1" applyProtection="1" pivotButton="0" quotePrefix="0" xfId="54">
      <alignment horizontal="general" vertical="center"/>
      <protection locked="0" hidden="0"/>
    </xf>
    <xf numFmtId="167" fontId="34" fillId="7" borderId="22" applyAlignment="1" pivotButton="0" quotePrefix="0" xfId="54">
      <alignment horizontal="general" vertical="center"/>
    </xf>
    <xf numFmtId="0" fontId="36" fillId="4" borderId="0" applyAlignment="1" pivotButton="0" quotePrefix="0" xfId="50">
      <alignment horizontal="general" vertical="bottom"/>
    </xf>
    <xf numFmtId="0" fontId="22" fillId="7" borderId="3" applyAlignment="1" applyProtection="1" pivotButton="0" quotePrefix="0" xfId="54">
      <alignment horizontal="left" vertical="bottom"/>
      <protection locked="0" hidden="0"/>
    </xf>
    <xf numFmtId="167" fontId="22" fillId="7" borderId="3" applyAlignment="1" pivotButton="0" quotePrefix="0" xfId="54">
      <alignment horizontal="right" vertical="bottom"/>
    </xf>
    <xf numFmtId="168" fontId="22" fillId="7" borderId="3" applyAlignment="1" pivotButton="0" quotePrefix="0" xfId="54">
      <alignment horizontal="right" vertical="bottom"/>
    </xf>
    <xf numFmtId="0" fontId="34" fillId="0" borderId="13" applyAlignment="1" applyProtection="1" pivotButton="0" quotePrefix="0" xfId="54">
      <alignment horizontal="left" vertical="bottom"/>
      <protection locked="0" hidden="0"/>
    </xf>
    <xf numFmtId="167" fontId="34" fillId="0" borderId="13" applyAlignment="1" pivotButton="0" quotePrefix="0" xfId="54">
      <alignment horizontal="right" vertical="bottom"/>
    </xf>
    <xf numFmtId="167" fontId="38" fillId="0" borderId="0" applyAlignment="1" pivotButton="0" quotePrefix="0" xfId="54">
      <alignment horizontal="right" vertical="bottom"/>
    </xf>
    <xf numFmtId="167" fontId="5" fillId="0" borderId="0" applyAlignment="1" pivotButton="0" quotePrefix="0" xfId="54">
      <alignment horizontal="right" vertical="bottom"/>
    </xf>
    <xf numFmtId="0" fontId="19" fillId="0" borderId="0" applyAlignment="1" applyProtection="1" pivotButton="0" quotePrefix="0" xfId="54">
      <alignment horizontal="left" vertical="bottom" indent="1"/>
      <protection locked="0" hidden="0"/>
    </xf>
    <xf numFmtId="0" fontId="19" fillId="0" borderId="13" applyAlignment="1" applyProtection="1" pivotButton="0" quotePrefix="0" xfId="54">
      <alignment horizontal="left" vertical="bottom" indent="1"/>
      <protection locked="0" hidden="0"/>
    </xf>
    <xf numFmtId="167" fontId="5" fillId="0" borderId="13" applyAlignment="1" pivotButton="0" quotePrefix="0" xfId="54">
      <alignment horizontal="right" vertical="bottom"/>
    </xf>
    <xf numFmtId="0" fontId="34" fillId="7" borderId="0" applyAlignment="1" applyProtection="1" pivotButton="0" quotePrefix="0" xfId="54">
      <alignment horizontal="left" vertical="bottom"/>
      <protection locked="0" hidden="0"/>
    </xf>
    <xf numFmtId="168" fontId="25" fillId="7" borderId="3" applyAlignment="1" pivotButton="0" quotePrefix="0" xfId="54">
      <alignment horizontal="right" vertical="bottom"/>
    </xf>
    <xf numFmtId="171" fontId="35" fillId="0" borderId="0" applyAlignment="1" pivotButton="0" quotePrefix="0" xfId="21">
      <alignment horizontal="general" vertical="bottom"/>
    </xf>
    <xf numFmtId="0" fontId="26" fillId="0" borderId="0" applyAlignment="1" pivotButton="0" quotePrefix="0" xfId="57">
      <alignment horizontal="left" vertical="bottom"/>
    </xf>
    <xf numFmtId="0" fontId="26" fillId="0" borderId="0" applyAlignment="1" pivotButton="0" quotePrefix="0" xfId="39">
      <alignment horizontal="left" vertical="bottom"/>
    </xf>
    <xf numFmtId="166" fontId="31" fillId="5" borderId="0" applyAlignment="1" pivotButton="0" quotePrefix="0" xfId="54">
      <alignment horizontal="right" vertical="bottom"/>
    </xf>
    <xf numFmtId="166" fontId="31" fillId="5" borderId="20" applyAlignment="1" pivotButton="0" quotePrefix="0" xfId="54">
      <alignment horizontal="right" vertical="bottom"/>
    </xf>
    <xf numFmtId="166" fontId="31" fillId="5" borderId="19" applyAlignment="1" pivotButton="0" quotePrefix="0" xfId="54">
      <alignment horizontal="right" vertical="bottom" wrapText="1"/>
    </xf>
    <xf numFmtId="167" fontId="34" fillId="0" borderId="23" applyAlignment="1" pivotButton="0" quotePrefix="0" xfId="54">
      <alignment horizontal="right" vertical="bottom"/>
    </xf>
    <xf numFmtId="167" fontId="34" fillId="0" borderId="4" applyAlignment="1" pivotButton="0" quotePrefix="0" xfId="54">
      <alignment horizontal="right" vertical="bottom"/>
    </xf>
    <xf numFmtId="0" fontId="34" fillId="0" borderId="23" applyAlignment="1" pivotButton="0" quotePrefix="0" xfId="54">
      <alignment horizontal="right" vertical="bottom"/>
    </xf>
    <xf numFmtId="0" fontId="34" fillId="0" borderId="4" applyAlignment="1" pivotButton="0" quotePrefix="0" xfId="54">
      <alignment horizontal="right" vertical="bottom"/>
    </xf>
    <xf numFmtId="167" fontId="19" fillId="4" borderId="23" applyAlignment="1" pivotButton="0" quotePrefix="0" xfId="54">
      <alignment horizontal="right" vertical="center"/>
    </xf>
    <xf numFmtId="167" fontId="19" fillId="4" borderId="4" applyAlignment="1" pivotButton="0" quotePrefix="0" xfId="54">
      <alignment horizontal="right" vertical="center"/>
    </xf>
    <xf numFmtId="167" fontId="19" fillId="0" borderId="23" applyAlignment="1" pivotButton="0" quotePrefix="0" xfId="54">
      <alignment horizontal="right" vertical="bottom"/>
    </xf>
    <xf numFmtId="167" fontId="19" fillId="0" borderId="4" applyAlignment="1" pivotButton="0" quotePrefix="0" xfId="54">
      <alignment horizontal="right" vertical="bottom"/>
    </xf>
    <xf numFmtId="167" fontId="19" fillId="4" borderId="24" applyAlignment="1" pivotButton="0" quotePrefix="0" xfId="54">
      <alignment horizontal="right" vertical="center"/>
    </xf>
    <xf numFmtId="167" fontId="19" fillId="4" borderId="25" applyAlignment="1" pivotButton="0" quotePrefix="0" xfId="54">
      <alignment horizontal="right" vertical="center"/>
    </xf>
    <xf numFmtId="167" fontId="34" fillId="0" borderId="26" applyAlignment="1" pivotButton="0" quotePrefix="0" xfId="54">
      <alignment horizontal="right" vertical="bottom"/>
    </xf>
    <xf numFmtId="167" fontId="34" fillId="0" borderId="27" applyAlignment="1" pivotButton="0" quotePrefix="0" xfId="54">
      <alignment horizontal="right" vertical="bottom"/>
    </xf>
    <xf numFmtId="167" fontId="19" fillId="0" borderId="23" applyAlignment="1" pivotButton="0" quotePrefix="0" xfId="54">
      <alignment horizontal="right" vertical="center"/>
    </xf>
    <xf numFmtId="167" fontId="19" fillId="0" borderId="4" applyAlignment="1" pivotButton="0" quotePrefix="0" xfId="54">
      <alignment horizontal="right" vertical="center"/>
    </xf>
    <xf numFmtId="167" fontId="19" fillId="0" borderId="24" applyAlignment="1" pivotButton="0" quotePrefix="0" xfId="54">
      <alignment horizontal="right" vertical="center"/>
    </xf>
    <xf numFmtId="167" fontId="19" fillId="0" borderId="25" applyAlignment="1" pivotButton="0" quotePrefix="0" xfId="54">
      <alignment horizontal="right" vertical="center"/>
    </xf>
    <xf numFmtId="167" fontId="25" fillId="7" borderId="0" applyAlignment="1" pivotButton="0" quotePrefix="0" xfId="54">
      <alignment horizontal="right" vertical="bottom"/>
    </xf>
    <xf numFmtId="168" fontId="25" fillId="0" borderId="28" applyAlignment="1" pivotButton="0" quotePrefix="0" xfId="54">
      <alignment horizontal="right" vertical="bottom"/>
    </xf>
    <xf numFmtId="168" fontId="25" fillId="0" borderId="4" applyAlignment="1" pivotButton="0" quotePrefix="0" xfId="54">
      <alignment horizontal="right" vertical="bottom"/>
    </xf>
    <xf numFmtId="167" fontId="34" fillId="0" borderId="29" applyAlignment="1" pivotButton="0" quotePrefix="0" xfId="54">
      <alignment horizontal="right" vertical="bottom"/>
    </xf>
    <xf numFmtId="167" fontId="34" fillId="0" borderId="23" applyAlignment="1" pivotButton="0" quotePrefix="0" xfId="54">
      <alignment horizontal="right" vertical="center"/>
    </xf>
    <xf numFmtId="167" fontId="34" fillId="0" borderId="4" applyAlignment="1" pivotButton="0" quotePrefix="0" xfId="54">
      <alignment horizontal="right" vertical="center"/>
    </xf>
    <xf numFmtId="167" fontId="34" fillId="7" borderId="26" applyAlignment="1" pivotButton="0" quotePrefix="0" xfId="54">
      <alignment horizontal="right" vertical="bottom"/>
    </xf>
    <xf numFmtId="167" fontId="34" fillId="7" borderId="27" applyAlignment="1" pivotButton="0" quotePrefix="0" xfId="54">
      <alignment horizontal="right" vertical="bottom"/>
    </xf>
    <xf numFmtId="167" fontId="34" fillId="7" borderId="2" applyAlignment="1" pivotButton="0" quotePrefix="0" xfId="54">
      <alignment horizontal="right" vertical="center"/>
    </xf>
    <xf numFmtId="167" fontId="34" fillId="7" borderId="23" applyAlignment="1" pivotButton="0" quotePrefix="0" xfId="54">
      <alignment horizontal="right" vertical="center"/>
    </xf>
    <xf numFmtId="167" fontId="34" fillId="7" borderId="4" applyAlignment="1" pivotButton="0" quotePrefix="0" xfId="54">
      <alignment horizontal="right" vertical="center"/>
    </xf>
    <xf numFmtId="167" fontId="19" fillId="4" borderId="23" applyAlignment="1" pivotButton="0" quotePrefix="0" xfId="54">
      <alignment horizontal="right" vertical="center" wrapText="1"/>
    </xf>
    <xf numFmtId="167" fontId="19" fillId="4" borderId="4" applyAlignment="1" pivotButton="0" quotePrefix="0" xfId="54">
      <alignment horizontal="right" vertical="center" wrapText="1"/>
    </xf>
    <xf numFmtId="167" fontId="19" fillId="0" borderId="23" applyAlignment="1" pivotButton="0" quotePrefix="0" xfId="54">
      <alignment horizontal="right" vertical="center" wrapText="1"/>
    </xf>
    <xf numFmtId="167" fontId="19" fillId="0" borderId="4" applyAlignment="1" pivotButton="0" quotePrefix="0" xfId="54">
      <alignment horizontal="right" vertical="center" wrapText="1"/>
    </xf>
    <xf numFmtId="167" fontId="19" fillId="0" borderId="24" applyAlignment="1" pivotButton="0" quotePrefix="0" xfId="54">
      <alignment horizontal="right" vertical="center" wrapText="1"/>
    </xf>
    <xf numFmtId="167" fontId="19" fillId="0" borderId="25" applyAlignment="1" pivotButton="0" quotePrefix="0" xfId="54">
      <alignment horizontal="right" vertical="center" wrapText="1"/>
    </xf>
    <xf numFmtId="168" fontId="25" fillId="7" borderId="28" applyAlignment="1" pivotButton="0" quotePrefix="0" xfId="54">
      <alignment horizontal="right" vertical="center"/>
    </xf>
    <xf numFmtId="168" fontId="25" fillId="7" borderId="30" applyAlignment="1" pivotButton="0" quotePrefix="0" xfId="54">
      <alignment horizontal="right" vertical="center"/>
    </xf>
    <xf numFmtId="0" fontId="25" fillId="4" borderId="0" applyAlignment="1" pivotButton="0" quotePrefix="0" xfId="54">
      <alignment horizontal="left" vertical="center" indent="1"/>
    </xf>
    <xf numFmtId="0" fontId="22" fillId="4" borderId="0" applyAlignment="1" pivotButton="0" quotePrefix="0" xfId="54">
      <alignment horizontal="left" vertical="center"/>
    </xf>
    <xf numFmtId="167" fontId="25" fillId="0" borderId="0" applyAlignment="1" pivotButton="0" quotePrefix="0" xfId="54">
      <alignment horizontal="right" vertical="center"/>
    </xf>
    <xf numFmtId="172" fontId="25" fillId="4" borderId="0" applyAlignment="1" pivotButton="0" quotePrefix="0" xfId="54">
      <alignment horizontal="left" vertical="top"/>
    </xf>
    <xf numFmtId="167" fontId="25" fillId="4" borderId="0" applyAlignment="1" pivotButton="0" quotePrefix="0" xfId="54">
      <alignment horizontal="left" vertical="top"/>
    </xf>
    <xf numFmtId="167" fontId="19" fillId="4" borderId="28" applyAlignment="1" pivotButton="0" quotePrefix="0" xfId="54">
      <alignment horizontal="right" vertical="center"/>
    </xf>
    <xf numFmtId="167" fontId="19" fillId="4" borderId="30" applyAlignment="1" pivotButton="0" quotePrefix="0" xfId="54">
      <alignment horizontal="right" vertical="center"/>
    </xf>
    <xf numFmtId="0" fontId="26" fillId="4" borderId="0" applyAlignment="1" pivotButton="0" quotePrefix="0" xfId="57">
      <alignment horizontal="left" vertical="bottom"/>
    </xf>
    <xf numFmtId="0" fontId="6" fillId="15" borderId="0" applyAlignment="1" pivotButton="0" quotePrefix="0" xfId="46">
      <alignment horizontal="general" vertical="bottom"/>
    </xf>
    <xf numFmtId="0" fontId="5" fillId="0" borderId="0" applyAlignment="1" pivotButton="0" quotePrefix="0" xfId="45">
      <alignment horizontal="general" vertical="bottom"/>
    </xf>
    <xf numFmtId="0" fontId="0" fillId="0" borderId="0" applyAlignment="1" pivotButton="0" quotePrefix="0" xfId="0">
      <alignment horizontal="general" vertical="bottom"/>
    </xf>
    <xf numFmtId="0" fontId="5" fillId="0" borderId="0" applyAlignment="1" pivotButton="0" quotePrefix="0" xfId="45">
      <alignment horizontal="center" vertical="bottom"/>
    </xf>
    <xf numFmtId="0" fontId="5" fillId="0" borderId="0" applyAlignment="1" pivotButton="0" quotePrefix="0" xfId="45">
      <alignment horizontal="left" vertical="bottom"/>
    </xf>
    <xf numFmtId="0" fontId="5" fillId="0" borderId="0" applyAlignment="1" pivotButton="0" quotePrefix="0" xfId="39">
      <alignment horizontal="center" vertical="bottom"/>
    </xf>
    <xf numFmtId="0" fontId="5" fillId="0" borderId="0" applyAlignment="1" pivotButton="0" quotePrefix="0" xfId="54">
      <alignment horizontal="center" vertical="bottom"/>
    </xf>
    <xf numFmtId="0" fontId="5" fillId="0" borderId="0" applyAlignment="1" pivotButton="0" quotePrefix="0" xfId="54">
      <alignment horizontal="left" vertical="bottom"/>
    </xf>
    <xf numFmtId="0" fontId="21" fillId="2" borderId="0" applyAlignment="1" pivotButton="0" quotePrefix="0" xfId="45">
      <alignment horizontal="general" vertical="center"/>
    </xf>
    <xf numFmtId="0" fontId="21" fillId="2" borderId="0" applyAlignment="1" pivotButton="0" quotePrefix="0" xfId="45">
      <alignment horizontal="center" vertical="center"/>
    </xf>
    <xf numFmtId="0" fontId="21" fillId="2" borderId="0" applyAlignment="1" pivotButton="0" quotePrefix="0" xfId="45">
      <alignment horizontal="left" vertical="center"/>
    </xf>
    <xf numFmtId="0" fontId="32" fillId="5" borderId="0" applyAlignment="1" pivotButton="0" quotePrefix="0" xfId="45">
      <alignment horizontal="general" vertical="bottom"/>
    </xf>
    <xf numFmtId="0" fontId="31" fillId="5" borderId="32" applyAlignment="1" pivotButton="0" quotePrefix="0" xfId="45">
      <alignment horizontal="center" vertical="bottom"/>
    </xf>
    <xf numFmtId="0" fontId="31" fillId="5" borderId="75" applyAlignment="1" pivotButton="0" quotePrefix="0" xfId="45">
      <alignment horizontal="center" vertical="bottom"/>
    </xf>
    <xf numFmtId="0" fontId="31" fillId="5" borderId="31" applyAlignment="1" pivotButton="0" quotePrefix="0" xfId="45">
      <alignment horizontal="center" vertical="bottom"/>
    </xf>
    <xf numFmtId="0" fontId="31" fillId="5" borderId="15" applyAlignment="1" pivotButton="0" quotePrefix="0" xfId="45">
      <alignment horizontal="center" vertical="bottom"/>
    </xf>
    <xf numFmtId="0" fontId="31" fillId="5" borderId="15" applyAlignment="1" pivotButton="0" quotePrefix="0" xfId="45">
      <alignment horizontal="left" vertical="bottom"/>
    </xf>
    <xf numFmtId="0" fontId="31" fillId="5" borderId="0" applyAlignment="1" pivotButton="0" quotePrefix="0" xfId="45">
      <alignment horizontal="general" vertical="center"/>
    </xf>
    <xf numFmtId="197" fontId="31" fillId="5" borderId="5" applyAlignment="1" pivotButton="0" quotePrefix="0" xfId="45">
      <alignment horizontal="right" vertical="center" wrapText="1"/>
    </xf>
    <xf numFmtId="0" fontId="5" fillId="0" borderId="0" applyAlignment="1" pivotButton="0" quotePrefix="0" xfId="45">
      <alignment horizontal="left" vertical="bottom" indent="2"/>
    </xf>
    <xf numFmtId="167" fontId="19" fillId="4" borderId="0" applyAlignment="1" pivotButton="0" quotePrefix="0" xfId="45">
      <alignment horizontal="right" vertical="bottom" wrapText="1"/>
    </xf>
    <xf numFmtId="167" fontId="34" fillId="4" borderId="0" applyAlignment="1" pivotButton="0" quotePrefix="0" xfId="45">
      <alignment horizontal="center" vertical="bottom" wrapText="1"/>
    </xf>
    <xf numFmtId="167" fontId="19" fillId="4" borderId="9" applyAlignment="1" pivotButton="0" quotePrefix="0" xfId="45">
      <alignment horizontal="left" vertical="bottom" wrapText="1"/>
    </xf>
    <xf numFmtId="167" fontId="19" fillId="4" borderId="9" applyAlignment="1" pivotButton="0" quotePrefix="0" xfId="45">
      <alignment horizontal="left" vertical="top" wrapText="1"/>
    </xf>
    <xf numFmtId="0" fontId="38" fillId="0" borderId="0" applyAlignment="1" pivotButton="0" quotePrefix="0" xfId="45">
      <alignment horizontal="left" vertical="bottom" indent="2"/>
    </xf>
    <xf numFmtId="0" fontId="5" fillId="4" borderId="13" applyAlignment="1" pivotButton="0" quotePrefix="0" xfId="45">
      <alignment horizontal="left" vertical="bottom" indent="2"/>
    </xf>
    <xf numFmtId="0" fontId="38" fillId="4" borderId="0" applyAlignment="1" pivotButton="0" quotePrefix="0" xfId="45">
      <alignment horizontal="left" vertical="bottom" indent="2"/>
    </xf>
    <xf numFmtId="167" fontId="19" fillId="4" borderId="13" applyAlignment="1" pivotButton="0" quotePrefix="0" xfId="45">
      <alignment horizontal="right" vertical="bottom" wrapText="1"/>
    </xf>
    <xf numFmtId="167" fontId="34" fillId="4" borderId="13" applyAlignment="1" pivotButton="0" quotePrefix="0" xfId="45">
      <alignment horizontal="center" vertical="bottom" wrapText="1"/>
    </xf>
    <xf numFmtId="0" fontId="5" fillId="4" borderId="0" applyAlignment="1" pivotButton="0" quotePrefix="0" xfId="45">
      <alignment horizontal="left" vertical="bottom" indent="1"/>
    </xf>
    <xf numFmtId="0" fontId="31" fillId="6" borderId="7" applyAlignment="1" pivotButton="0" quotePrefix="0" xfId="45">
      <alignment horizontal="center" vertical="center"/>
    </xf>
    <xf numFmtId="167" fontId="5" fillId="4" borderId="0" applyAlignment="1" pivotButton="0" quotePrefix="0" xfId="45">
      <alignment horizontal="right" vertical="bottom"/>
    </xf>
    <xf numFmtId="167" fontId="38" fillId="4" borderId="0" applyAlignment="1" pivotButton="0" quotePrefix="0" xfId="45">
      <alignment horizontal="center" vertical="bottom"/>
    </xf>
    <xf numFmtId="167" fontId="5" fillId="4" borderId="0" applyAlignment="1" pivotButton="0" quotePrefix="0" xfId="45">
      <alignment horizontal="left" vertical="top" wrapText="1"/>
    </xf>
    <xf numFmtId="0" fontId="5" fillId="0" borderId="0" applyAlignment="1" pivotButton="0" quotePrefix="0" xfId="45">
      <alignment horizontal="left" vertical="bottom" indent="1"/>
    </xf>
    <xf numFmtId="0" fontId="31" fillId="6" borderId="12" applyAlignment="1" pivotButton="0" quotePrefix="0" xfId="45">
      <alignment horizontal="center" vertical="center"/>
    </xf>
    <xf numFmtId="167" fontId="19" fillId="4" borderId="0" applyAlignment="1" pivotButton="0" quotePrefix="0" xfId="45">
      <alignment horizontal="right" vertical="bottom"/>
    </xf>
    <xf numFmtId="197" fontId="34" fillId="4" borderId="0" applyAlignment="1" pivotButton="0" quotePrefix="0" xfId="45">
      <alignment horizontal="center" vertical="bottom" wrapText="1"/>
    </xf>
    <xf numFmtId="0" fontId="5" fillId="0" borderId="0" applyAlignment="1" pivotButton="0" quotePrefix="0" xfId="39">
      <alignment horizontal="left" vertical="bottom" indent="2"/>
    </xf>
    <xf numFmtId="0" fontId="5" fillId="4" borderId="13" applyAlignment="1" pivotButton="0" quotePrefix="0" xfId="39">
      <alignment horizontal="left" vertical="bottom" indent="2"/>
    </xf>
    <xf numFmtId="0" fontId="31" fillId="6" borderId="15" applyAlignment="1" pivotButton="0" quotePrefix="0" xfId="45">
      <alignment horizontal="center" vertical="center"/>
    </xf>
    <xf numFmtId="167" fontId="19" fillId="4" borderId="13" applyAlignment="1" pivotButton="0" quotePrefix="0" xfId="45">
      <alignment horizontal="right" vertical="bottom"/>
    </xf>
    <xf numFmtId="197" fontId="34" fillId="4" borderId="13" applyAlignment="1" pivotButton="0" quotePrefix="0" xfId="45">
      <alignment horizontal="center" vertical="bottom" wrapText="1"/>
    </xf>
    <xf numFmtId="0" fontId="5" fillId="0" borderId="0" applyAlignment="1" pivotButton="0" quotePrefix="0" xfId="39">
      <alignment horizontal="left" vertical="bottom" indent="1"/>
    </xf>
    <xf numFmtId="0" fontId="31" fillId="6" borderId="10" applyAlignment="1" pivotButton="0" quotePrefix="0" xfId="39">
      <alignment horizontal="center" vertical="center"/>
    </xf>
    <xf numFmtId="0" fontId="5" fillId="4" borderId="0" applyAlignment="1" pivotButton="0" quotePrefix="0" xfId="39">
      <alignment horizontal="left" vertical="bottom" indent="1"/>
    </xf>
    <xf numFmtId="0" fontId="34" fillId="7" borderId="22" applyAlignment="1" pivotButton="0" quotePrefix="0" xfId="45">
      <alignment horizontal="general" vertical="center"/>
    </xf>
    <xf numFmtId="167" fontId="34" fillId="7" borderId="22" applyAlignment="1" pivotButton="0" quotePrefix="0" xfId="45">
      <alignment horizontal="right" vertical="center"/>
    </xf>
    <xf numFmtId="167" fontId="34" fillId="7" borderId="22" applyAlignment="1" pivotButton="0" quotePrefix="0" xfId="45">
      <alignment horizontal="center" vertical="center"/>
    </xf>
    <xf numFmtId="167" fontId="19" fillId="7" borderId="3" applyAlignment="1" pivotButton="0" quotePrefix="0" xfId="45">
      <alignment horizontal="left" vertical="top"/>
    </xf>
    <xf numFmtId="0" fontId="23" fillId="4" borderId="0" applyAlignment="1" pivotButton="0" quotePrefix="0" xfId="45">
      <alignment horizontal="general" vertical="bottom"/>
    </xf>
    <xf numFmtId="0" fontId="38" fillId="0" borderId="0" applyAlignment="1" pivotButton="0" quotePrefix="0" xfId="45">
      <alignment horizontal="center" vertical="bottom"/>
    </xf>
    <xf numFmtId="0" fontId="5" fillId="0" borderId="0" applyAlignment="1" pivotButton="0" quotePrefix="0" xfId="45">
      <alignment horizontal="left" vertical="top"/>
    </xf>
    <xf numFmtId="0" fontId="5" fillId="0" borderId="0" applyAlignment="1" pivotButton="0" quotePrefix="0" xfId="45">
      <alignment horizontal="left" vertical="bottom" indent="3"/>
    </xf>
    <xf numFmtId="0" fontId="5" fillId="4" borderId="13" applyAlignment="1" pivotButton="0" quotePrefix="0" xfId="45">
      <alignment horizontal="left" vertical="bottom" indent="3"/>
    </xf>
    <xf numFmtId="197" fontId="34" fillId="4" borderId="56" applyAlignment="1" pivotButton="0" quotePrefix="0" xfId="45">
      <alignment horizontal="center" vertical="bottom" wrapText="1"/>
    </xf>
    <xf numFmtId="0" fontId="5" fillId="0" borderId="56" applyAlignment="1" pivotButton="0" quotePrefix="0" xfId="45">
      <alignment horizontal="general" vertical="bottom"/>
    </xf>
    <xf numFmtId="167" fontId="5" fillId="0" borderId="56" applyAlignment="1" pivotButton="0" quotePrefix="0" xfId="45">
      <alignment horizontal="right" vertical="bottom"/>
    </xf>
    <xf numFmtId="167" fontId="5" fillId="0" borderId="13" applyAlignment="1" pivotButton="0" quotePrefix="0" xfId="45">
      <alignment horizontal="center" vertical="bottom"/>
    </xf>
    <xf numFmtId="167" fontId="5" fillId="0" borderId="13" applyAlignment="1" pivotButton="0" quotePrefix="0" xfId="45">
      <alignment horizontal="left" vertical="bottom"/>
    </xf>
    <xf numFmtId="0" fontId="34" fillId="7" borderId="3" applyAlignment="1" pivotButton="0" quotePrefix="0" xfId="45">
      <alignment horizontal="general" vertical="center"/>
    </xf>
    <xf numFmtId="167" fontId="34" fillId="7" borderId="3" applyAlignment="1" pivotButton="0" quotePrefix="0" xfId="45">
      <alignment horizontal="right" vertical="center"/>
    </xf>
    <xf numFmtId="182" fontId="0" fillId="0" borderId="0" applyAlignment="1" pivotButton="0" quotePrefix="0" xfId="0">
      <alignment horizontal="general" vertical="bottom"/>
    </xf>
    <xf numFmtId="167" fontId="34" fillId="7" borderId="3" applyAlignment="1" pivotButton="0" quotePrefix="0" xfId="45">
      <alignment horizontal="center" vertical="bottom"/>
    </xf>
    <xf numFmtId="167" fontId="19" fillId="7" borderId="3" applyAlignment="1" pivotButton="0" quotePrefix="0" xfId="45">
      <alignment horizontal="left" vertical="bottom"/>
    </xf>
    <xf numFmtId="0" fontId="34" fillId="0" borderId="0" applyAlignment="1" pivotButton="0" quotePrefix="0" xfId="45">
      <alignment horizontal="general" vertical="bottom"/>
    </xf>
    <xf numFmtId="167" fontId="34" fillId="0" borderId="0" applyAlignment="1" pivotButton="0" quotePrefix="0" xfId="45">
      <alignment horizontal="right" vertical="bottom"/>
    </xf>
    <xf numFmtId="167" fontId="34" fillId="0" borderId="0" applyAlignment="1" pivotButton="0" quotePrefix="0" xfId="45">
      <alignment horizontal="center" vertical="bottom"/>
    </xf>
    <xf numFmtId="167" fontId="19" fillId="0" borderId="0" applyAlignment="1" pivotButton="0" quotePrefix="0" xfId="45">
      <alignment horizontal="left" vertical="bottom"/>
    </xf>
    <xf numFmtId="0" fontId="35" fillId="0" borderId="0" applyAlignment="1" pivotButton="0" quotePrefix="0" xfId="45">
      <alignment horizontal="general" vertical="bottom"/>
    </xf>
    <xf numFmtId="0" fontId="40" fillId="4" borderId="0" applyAlignment="1" pivotButton="0" quotePrefix="0" xfId="50">
      <alignment horizontal="general" vertical="bottom"/>
    </xf>
    <xf numFmtId="0" fontId="35" fillId="0" borderId="0" applyAlignment="1" pivotButton="0" quotePrefix="0" xfId="45">
      <alignment horizontal="left" vertical="bottom"/>
    </xf>
    <xf numFmtId="167" fontId="35" fillId="0" borderId="0" applyAlignment="1" pivotButton="0" quotePrefix="0" xfId="45">
      <alignment horizontal="right" vertical="bottom"/>
    </xf>
    <xf numFmtId="167" fontId="35" fillId="0" borderId="0" applyAlignment="1" pivotButton="0" quotePrefix="0" xfId="45">
      <alignment horizontal="center" vertical="bottom"/>
    </xf>
    <xf numFmtId="167" fontId="35" fillId="0" borderId="0" applyAlignment="1" pivotButton="0" quotePrefix="0" xfId="45">
      <alignment horizontal="left" vertical="bottom"/>
    </xf>
    <xf numFmtId="0" fontId="35" fillId="4" borderId="0" applyAlignment="1" pivotButton="0" quotePrefix="0" xfId="45">
      <alignment horizontal="general" vertical="bottom"/>
    </xf>
    <xf numFmtId="167" fontId="35" fillId="4" borderId="0" applyAlignment="1" pivotButton="0" quotePrefix="0" xfId="45">
      <alignment horizontal="general" vertical="bottom"/>
    </xf>
    <xf numFmtId="0" fontId="0" fillId="2" borderId="0" applyAlignment="1" pivotButton="0" quotePrefix="0" xfId="0">
      <alignment horizontal="left" vertical="bottom"/>
    </xf>
    <xf numFmtId="0" fontId="0" fillId="0" borderId="0" applyAlignment="1" pivotButton="0" quotePrefix="0" xfId="0">
      <alignment horizontal="left" vertical="bottom"/>
    </xf>
    <xf numFmtId="0" fontId="27" fillId="0" borderId="0" applyAlignment="1" pivotButton="0" quotePrefix="0" xfId="0">
      <alignment horizontal="left" vertical="bottom"/>
    </xf>
    <xf numFmtId="173" fontId="0" fillId="0" borderId="0" applyAlignment="1" pivotButton="0" quotePrefix="0" xfId="0">
      <alignment horizontal="general" vertical="bottom"/>
    </xf>
    <xf numFmtId="0" fontId="28" fillId="0" borderId="0" applyAlignment="1" pivotButton="0" quotePrefix="0" xfId="0">
      <alignment horizontal="left" vertical="bottom"/>
    </xf>
    <xf numFmtId="0" fontId="29" fillId="0" borderId="0" applyAlignment="1" pivotButton="0" quotePrefix="0" xfId="0">
      <alignment horizontal="left" vertical="bottom"/>
    </xf>
    <xf numFmtId="0" fontId="24" fillId="0" borderId="0" applyAlignment="1" pivotButton="0" quotePrefix="0" xfId="0">
      <alignment horizontal="left" vertical="bottom"/>
    </xf>
    <xf numFmtId="185" fontId="0" fillId="0" borderId="0" applyAlignment="1" pivotButton="0" quotePrefix="0" xfId="0">
      <alignment horizontal="general" vertical="bottom"/>
    </xf>
    <xf numFmtId="0" fontId="5" fillId="2" borderId="0" applyAlignment="1" pivotButton="0" quotePrefix="0" xfId="0">
      <alignment horizontal="left" vertical="bottom"/>
    </xf>
    <xf numFmtId="0" fontId="5" fillId="0" borderId="0" applyAlignment="1" pivotButton="0" quotePrefix="0" xfId="0">
      <alignment horizontal="left" vertical="bottom"/>
    </xf>
    <xf numFmtId="173" fontId="5" fillId="0" borderId="0" applyAlignment="1" pivotButton="0" quotePrefix="0" xfId="0">
      <alignment horizontal="general" vertical="bottom"/>
    </xf>
    <xf numFmtId="198" fontId="5" fillId="0" borderId="0" applyAlignment="1" pivotButton="0" quotePrefix="0" xfId="0">
      <alignment horizontal="general" vertical="bottom"/>
    </xf>
    <xf numFmtId="0" fontId="21" fillId="2" borderId="0" applyAlignment="1" pivotButton="0" quotePrefix="0" xfId="0">
      <alignment horizontal="left" vertical="center"/>
    </xf>
    <xf numFmtId="173" fontId="21" fillId="2" borderId="0" applyAlignment="1" pivotButton="0" quotePrefix="0" xfId="0">
      <alignment horizontal="general" vertical="center"/>
    </xf>
    <xf numFmtId="0" fontId="35" fillId="0" borderId="0" applyAlignment="1" pivotButton="0" quotePrefix="0" xfId="0">
      <alignment horizontal="general" vertical="bottom"/>
    </xf>
    <xf numFmtId="0" fontId="35" fillId="2" borderId="0" applyAlignment="1" pivotButton="0" quotePrefix="0" xfId="0">
      <alignment horizontal="left" vertical="bottom"/>
    </xf>
    <xf numFmtId="0" fontId="35" fillId="0" borderId="0" applyAlignment="1" pivotButton="0" quotePrefix="0" xfId="0">
      <alignment horizontal="left" vertical="bottom"/>
    </xf>
    <xf numFmtId="0" fontId="46" fillId="5" borderId="0" applyAlignment="1" pivotButton="0" quotePrefix="0" xfId="0">
      <alignment horizontal="left" vertical="bottom"/>
    </xf>
    <xf numFmtId="166" fontId="46" fillId="5" borderId="0" applyAlignment="1" pivotButton="0" quotePrefix="0" xfId="0">
      <alignment horizontal="center" vertical="bottom"/>
    </xf>
    <xf numFmtId="166" fontId="46" fillId="5" borderId="21" applyAlignment="1" pivotButton="0" quotePrefix="0" xfId="0">
      <alignment horizontal="center" vertical="bottom"/>
    </xf>
    <xf numFmtId="166" fontId="46" fillId="5" borderId="20" applyAlignment="1" pivotButton="0" quotePrefix="0" xfId="0">
      <alignment horizontal="center" vertical="bottom"/>
    </xf>
    <xf numFmtId="166" fontId="46" fillId="5" borderId="19" applyAlignment="1" pivotButton="0" quotePrefix="0" xfId="0">
      <alignment horizontal="center" vertical="bottom"/>
    </xf>
    <xf numFmtId="166" fontId="46" fillId="5" borderId="21" applyAlignment="1" pivotButton="0" quotePrefix="0" xfId="0">
      <alignment horizontal="center" vertical="bottom" wrapText="1"/>
    </xf>
    <xf numFmtId="166" fontId="46" fillId="8" borderId="15" applyAlignment="1" pivotButton="0" quotePrefix="0" xfId="0">
      <alignment horizontal="center" vertical="bottom"/>
    </xf>
    <xf numFmtId="166" fontId="46" fillId="8" borderId="32" applyAlignment="1" pivotButton="0" quotePrefix="0" xfId="0">
      <alignment horizontal="center" vertical="bottom"/>
    </xf>
    <xf numFmtId="166" fontId="46" fillId="8" borderId="31" applyAlignment="1" pivotButton="0" quotePrefix="0" xfId="0">
      <alignment horizontal="center" vertical="bottom"/>
    </xf>
    <xf numFmtId="166" fontId="46" fillId="8" borderId="21" applyAlignment="1" pivotButton="0" quotePrefix="0" xfId="0">
      <alignment horizontal="center" vertical="bottom"/>
    </xf>
    <xf numFmtId="166" fontId="46" fillId="8" borderId="0" applyAlignment="1" pivotButton="0" quotePrefix="0" xfId="0">
      <alignment horizontal="center" vertical="bottom"/>
    </xf>
    <xf numFmtId="166" fontId="46" fillId="8" borderId="15" applyAlignment="1" pivotButton="0" quotePrefix="0" xfId="0">
      <alignment horizontal="center" vertical="bottom" wrapText="1"/>
    </xf>
    <xf numFmtId="166" fontId="46" fillId="8" borderId="0" applyAlignment="1" pivotButton="0" quotePrefix="0" xfId="0">
      <alignment horizontal="center" vertical="bottom" wrapText="1"/>
    </xf>
    <xf numFmtId="0" fontId="21" fillId="5" borderId="0" applyAlignment="1" pivotButton="0" quotePrefix="0" xfId="0">
      <alignment horizontal="left" vertical="bottom"/>
    </xf>
    <xf numFmtId="166" fontId="21" fillId="5" borderId="0" applyAlignment="1" pivotButton="0" quotePrefix="0" xfId="0">
      <alignment horizontal="right" vertical="bottom"/>
    </xf>
    <xf numFmtId="166" fontId="21" fillId="5" borderId="20" applyAlignment="1" pivotButton="0" quotePrefix="0" xfId="0">
      <alignment horizontal="right" vertical="bottom"/>
    </xf>
    <xf numFmtId="166" fontId="21" fillId="5" borderId="19" applyAlignment="1" pivotButton="0" quotePrefix="0" xfId="0">
      <alignment horizontal="right" vertical="bottom"/>
    </xf>
    <xf numFmtId="166" fontId="21" fillId="5" borderId="21" applyAlignment="1" pivotButton="0" quotePrefix="0" xfId="0">
      <alignment horizontal="right" vertical="bottom" wrapText="1"/>
    </xf>
    <xf numFmtId="166" fontId="46" fillId="8" borderId="0" applyAlignment="1" pivotButton="0" quotePrefix="0" xfId="0">
      <alignment horizontal="right" vertical="bottom"/>
    </xf>
    <xf numFmtId="166" fontId="46" fillId="8" borderId="20" applyAlignment="1" pivotButton="0" quotePrefix="0" xfId="0">
      <alignment horizontal="right" vertical="bottom"/>
    </xf>
    <xf numFmtId="166" fontId="46" fillId="8" borderId="10" applyAlignment="1" pivotButton="0" quotePrefix="0" xfId="0">
      <alignment horizontal="right" vertical="bottom"/>
    </xf>
    <xf numFmtId="166" fontId="46" fillId="8" borderId="19" applyAlignment="1" pivotButton="0" quotePrefix="0" xfId="0">
      <alignment horizontal="right" vertical="bottom"/>
    </xf>
    <xf numFmtId="166" fontId="46" fillId="8" borderId="7" applyAlignment="1" pivotButton="0" quotePrefix="0" xfId="0">
      <alignment horizontal="right" vertical="bottom" wrapText="1"/>
    </xf>
    <xf numFmtId="166" fontId="46" fillId="8" borderId="21" applyAlignment="1" pivotButton="0" quotePrefix="0" xfId="0">
      <alignment horizontal="right" vertical="bottom" wrapText="1"/>
    </xf>
    <xf numFmtId="0" fontId="19" fillId="4" borderId="0" applyAlignment="1" pivotButton="0" quotePrefix="0" xfId="0">
      <alignment horizontal="left" vertical="bottom" indent="2"/>
    </xf>
    <xf numFmtId="0" fontId="19" fillId="4" borderId="0" applyAlignment="1" pivotButton="0" quotePrefix="0" xfId="0">
      <alignment horizontal="left" vertical="bottom"/>
    </xf>
    <xf numFmtId="173" fontId="19" fillId="0" borderId="0" applyAlignment="1" pivotButton="0" quotePrefix="0" xfId="0">
      <alignment horizontal="general" vertical="bottom"/>
    </xf>
    <xf numFmtId="173" fontId="19" fillId="0" borderId="23" applyAlignment="1" pivotButton="0" quotePrefix="0" xfId="0">
      <alignment horizontal="general" vertical="bottom"/>
    </xf>
    <xf numFmtId="173" fontId="19" fillId="0" borderId="4" applyAlignment="1" pivotButton="0" quotePrefix="0" xfId="0">
      <alignment horizontal="general" vertical="bottom"/>
    </xf>
    <xf numFmtId="174" fontId="25" fillId="0" borderId="0" applyAlignment="1" pivotButton="0" quotePrefix="0" xfId="0">
      <alignment horizontal="general" vertical="bottom"/>
    </xf>
    <xf numFmtId="174" fontId="25" fillId="0" borderId="23" applyAlignment="1" pivotButton="0" quotePrefix="0" xfId="0">
      <alignment horizontal="general" vertical="bottom"/>
    </xf>
    <xf numFmtId="174" fontId="25" fillId="0" borderId="4" applyAlignment="1" pivotButton="0" quotePrefix="0" xfId="0">
      <alignment horizontal="general" vertical="bottom"/>
    </xf>
    <xf numFmtId="0" fontId="19" fillId="4" borderId="13" applyAlignment="1" pivotButton="0" quotePrefix="0" xfId="0">
      <alignment horizontal="left" vertical="bottom" indent="2"/>
    </xf>
    <xf numFmtId="0" fontId="19" fillId="4" borderId="13" applyAlignment="1" pivotButton="0" quotePrefix="0" xfId="0">
      <alignment horizontal="left" vertical="bottom"/>
    </xf>
    <xf numFmtId="173" fontId="19" fillId="0" borderId="13" applyAlignment="1" pivotButton="0" quotePrefix="0" xfId="0">
      <alignment horizontal="general" vertical="bottom"/>
    </xf>
    <xf numFmtId="173" fontId="19" fillId="0" borderId="24" applyAlignment="1" pivotButton="0" quotePrefix="0" xfId="0">
      <alignment horizontal="general" vertical="bottom"/>
    </xf>
    <xf numFmtId="173" fontId="19" fillId="0" borderId="25" applyAlignment="1" pivotButton="0" quotePrefix="0" xfId="0">
      <alignment horizontal="general" vertical="bottom"/>
    </xf>
    <xf numFmtId="174" fontId="25" fillId="0" borderId="13" applyAlignment="1" pivotButton="0" quotePrefix="0" xfId="0">
      <alignment horizontal="general" vertical="bottom"/>
    </xf>
    <xf numFmtId="174" fontId="25" fillId="0" borderId="24" applyAlignment="1" pivotButton="0" quotePrefix="0" xfId="0">
      <alignment horizontal="general" vertical="bottom"/>
    </xf>
    <xf numFmtId="174" fontId="25" fillId="0" borderId="25" applyAlignment="1" pivotButton="0" quotePrefix="0" xfId="0">
      <alignment horizontal="general" vertical="bottom"/>
    </xf>
    <xf numFmtId="0" fontId="19" fillId="4" borderId="0" applyAlignment="1" pivotButton="0" quotePrefix="0" xfId="0">
      <alignment horizontal="left" vertical="bottom" indent="1"/>
    </xf>
    <xf numFmtId="0" fontId="19" fillId="0" borderId="0" applyAlignment="1" pivotButton="0" quotePrefix="0" xfId="0">
      <alignment horizontal="left" vertical="bottom" indent="2"/>
    </xf>
    <xf numFmtId="0" fontId="19" fillId="0" borderId="13" applyAlignment="1" pivotButton="0" quotePrefix="0" xfId="0">
      <alignment horizontal="left" vertical="bottom" indent="2"/>
    </xf>
    <xf numFmtId="0" fontId="19" fillId="0" borderId="0" applyAlignment="1" pivotButton="0" quotePrefix="0" xfId="0">
      <alignment horizontal="left" vertical="bottom" indent="1"/>
    </xf>
    <xf numFmtId="0" fontId="19" fillId="0" borderId="0" applyAlignment="1" pivotButton="0" quotePrefix="0" xfId="0">
      <alignment horizontal="left" vertical="bottom"/>
    </xf>
    <xf numFmtId="0" fontId="19" fillId="17" borderId="0" applyAlignment="1" pivotButton="0" quotePrefix="0" xfId="0">
      <alignment horizontal="left" vertical="bottom" indent="2"/>
    </xf>
    <xf numFmtId="0" fontId="19" fillId="17" borderId="0" applyAlignment="1" pivotButton="0" quotePrefix="0" xfId="0">
      <alignment horizontal="left" vertical="bottom"/>
    </xf>
    <xf numFmtId="0" fontId="19" fillId="0" borderId="13" applyAlignment="1" pivotButton="0" quotePrefix="0" xfId="0">
      <alignment horizontal="left" vertical="bottom" indent="1"/>
    </xf>
    <xf numFmtId="0" fontId="19" fillId="0" borderId="13" applyAlignment="1" pivotButton="0" quotePrefix="0" xfId="0">
      <alignment horizontal="left" vertical="bottom"/>
    </xf>
    <xf numFmtId="0" fontId="38" fillId="0" borderId="0" applyAlignment="1" pivotButton="0" quotePrefix="0" xfId="0">
      <alignment horizontal="general" vertical="bottom"/>
    </xf>
    <xf numFmtId="0" fontId="38" fillId="2" borderId="0" applyAlignment="1" pivotButton="0" quotePrefix="0" xfId="0">
      <alignment horizontal="left" vertical="bottom"/>
    </xf>
    <xf numFmtId="0" fontId="38" fillId="0" borderId="0" applyAlignment="1" pivotButton="0" quotePrefix="0" xfId="0">
      <alignment horizontal="left" vertical="bottom"/>
    </xf>
    <xf numFmtId="0" fontId="34" fillId="4" borderId="0" applyAlignment="1" pivotButton="0" quotePrefix="0" xfId="0">
      <alignment horizontal="left" vertical="bottom"/>
    </xf>
    <xf numFmtId="173" fontId="34" fillId="0" borderId="0" applyAlignment="1" pivotButton="0" quotePrefix="0" xfId="0">
      <alignment horizontal="general" vertical="bottom"/>
    </xf>
    <xf numFmtId="173" fontId="34" fillId="0" borderId="23" applyAlignment="1" pivotButton="0" quotePrefix="0" xfId="0">
      <alignment horizontal="general" vertical="bottom"/>
    </xf>
    <xf numFmtId="173" fontId="34" fillId="0" borderId="4" applyAlignment="1" pivotButton="0" quotePrefix="0" xfId="0">
      <alignment horizontal="general" vertical="bottom"/>
    </xf>
    <xf numFmtId="174" fontId="47" fillId="0" borderId="0" applyAlignment="1" pivotButton="0" quotePrefix="0" xfId="0">
      <alignment horizontal="general" vertical="bottom"/>
    </xf>
    <xf numFmtId="174" fontId="47" fillId="0" borderId="23" applyAlignment="1" pivotButton="0" quotePrefix="0" xfId="0">
      <alignment horizontal="general" vertical="bottom"/>
    </xf>
    <xf numFmtId="174" fontId="47" fillId="0" borderId="4" applyAlignment="1" pivotButton="0" quotePrefix="0" xfId="0">
      <alignment horizontal="general" vertical="bottom"/>
    </xf>
    <xf numFmtId="0" fontId="19" fillId="4" borderId="0" applyAlignment="1" pivotButton="0" quotePrefix="0" xfId="0">
      <alignment horizontal="left" vertical="bottom" indent="3"/>
    </xf>
    <xf numFmtId="0" fontId="19" fillId="4" borderId="13" applyAlignment="1" pivotButton="0" quotePrefix="0" xfId="0">
      <alignment horizontal="left" vertical="bottom" indent="3"/>
    </xf>
    <xf numFmtId="0" fontId="19" fillId="0" borderId="0" applyAlignment="1" pivotButton="0" quotePrefix="0" xfId="0">
      <alignment horizontal="left" vertical="bottom" indent="3"/>
    </xf>
    <xf numFmtId="173" fontId="19" fillId="4" borderId="13" applyAlignment="1" pivotButton="0" quotePrefix="0" xfId="0">
      <alignment horizontal="general" vertical="bottom"/>
    </xf>
    <xf numFmtId="173" fontId="19" fillId="4" borderId="24" applyAlignment="1" pivotButton="0" quotePrefix="0" xfId="0">
      <alignment horizontal="general" vertical="bottom"/>
    </xf>
    <xf numFmtId="173" fontId="19" fillId="4" borderId="25" applyAlignment="1" pivotButton="0" quotePrefix="0" xfId="0">
      <alignment horizontal="general" vertical="bottom"/>
    </xf>
    <xf numFmtId="0" fontId="5" fillId="4" borderId="13" applyAlignment="1" pivotButton="0" quotePrefix="0" xfId="0">
      <alignment horizontal="general" vertical="bottom"/>
    </xf>
    <xf numFmtId="174" fontId="25" fillId="4" borderId="13" applyAlignment="1" pivotButton="0" quotePrefix="0" xfId="0">
      <alignment horizontal="general" vertical="bottom"/>
    </xf>
    <xf numFmtId="174" fontId="25" fillId="4" borderId="24" applyAlignment="1" pivotButton="0" quotePrefix="0" xfId="0">
      <alignment horizontal="general" vertical="bottom"/>
    </xf>
    <xf numFmtId="174" fontId="25" fillId="4" borderId="25" applyAlignment="1" pivotButton="0" quotePrefix="0" xfId="0">
      <alignment horizontal="general" vertical="bottom"/>
    </xf>
    <xf numFmtId="173" fontId="19" fillId="0" borderId="2" applyAlignment="1" pivotButton="0" quotePrefix="0" xfId="0">
      <alignment horizontal="general" vertical="bottom"/>
    </xf>
    <xf numFmtId="0" fontId="19" fillId="0" borderId="13" applyAlignment="1" pivotButton="0" quotePrefix="0" xfId="0">
      <alignment horizontal="left" vertical="bottom" indent="3"/>
    </xf>
    <xf numFmtId="0" fontId="19" fillId="4" borderId="13" applyAlignment="1" pivotButton="0" quotePrefix="0" xfId="0">
      <alignment horizontal="left" vertical="bottom" indent="4"/>
    </xf>
    <xf numFmtId="0" fontId="19" fillId="4" borderId="0" applyAlignment="1" pivotButton="0" quotePrefix="0" xfId="0">
      <alignment horizontal="left" vertical="bottom" indent="4"/>
    </xf>
    <xf numFmtId="0" fontId="19" fillId="0" borderId="0" applyAlignment="1" pivotButton="0" quotePrefix="0" xfId="0">
      <alignment horizontal="left" vertical="bottom" indent="4"/>
    </xf>
    <xf numFmtId="0" fontId="19" fillId="0" borderId="13" applyAlignment="1" pivotButton="0" quotePrefix="0" xfId="0">
      <alignment horizontal="left" vertical="bottom" indent="4"/>
    </xf>
    <xf numFmtId="0" fontId="19" fillId="4" borderId="56" applyAlignment="1" pivotButton="0" quotePrefix="0" xfId="0">
      <alignment horizontal="left" vertical="bottom"/>
    </xf>
    <xf numFmtId="173" fontId="19" fillId="0" borderId="56" applyAlignment="1" pivotButton="0" quotePrefix="0" xfId="0">
      <alignment horizontal="general" vertical="bottom"/>
    </xf>
    <xf numFmtId="173" fontId="19" fillId="0" borderId="74" applyAlignment="1" pivotButton="0" quotePrefix="0" xfId="0">
      <alignment horizontal="general" vertical="bottom"/>
    </xf>
    <xf numFmtId="173" fontId="19" fillId="0" borderId="57" applyAlignment="1" pivotButton="0" quotePrefix="0" xfId="0">
      <alignment horizontal="general" vertical="bottom"/>
    </xf>
    <xf numFmtId="174" fontId="25" fillId="0" borderId="56" applyAlignment="1" pivotButton="0" quotePrefix="0" xfId="0">
      <alignment horizontal="general" vertical="bottom"/>
    </xf>
    <xf numFmtId="174" fontId="25" fillId="0" borderId="74" applyAlignment="1" pivotButton="0" quotePrefix="0" xfId="0">
      <alignment horizontal="general" vertical="bottom"/>
    </xf>
    <xf numFmtId="174" fontId="25" fillId="0" borderId="57" applyAlignment="1" pivotButton="0" quotePrefix="0" xfId="0">
      <alignment horizontal="general" vertical="bottom"/>
    </xf>
    <xf numFmtId="0" fontId="19" fillId="4" borderId="13" applyAlignment="1" pivotButton="0" quotePrefix="0" xfId="0">
      <alignment horizontal="left" vertical="bottom" indent="1"/>
    </xf>
    <xf numFmtId="0" fontId="34" fillId="7" borderId="3" applyAlignment="1" pivotButton="0" quotePrefix="0" xfId="0">
      <alignment horizontal="left" vertical="bottom"/>
    </xf>
    <xf numFmtId="173" fontId="34" fillId="7" borderId="3" applyAlignment="1" pivotButton="0" quotePrefix="0" xfId="0">
      <alignment horizontal="general" vertical="bottom"/>
    </xf>
    <xf numFmtId="173" fontId="34" fillId="7" borderId="28" applyAlignment="1" pivotButton="0" quotePrefix="0" xfId="0">
      <alignment horizontal="general" vertical="bottom"/>
    </xf>
    <xf numFmtId="173" fontId="34" fillId="7" borderId="30" applyAlignment="1" pivotButton="0" quotePrefix="0" xfId="0">
      <alignment horizontal="general" vertical="bottom"/>
    </xf>
    <xf numFmtId="174" fontId="47" fillId="7" borderId="3" applyAlignment="1" pivotButton="0" quotePrefix="0" xfId="0">
      <alignment horizontal="general" vertical="bottom"/>
    </xf>
    <xf numFmtId="174" fontId="47" fillId="7" borderId="28" applyAlignment="1" pivotButton="0" quotePrefix="0" xfId="0">
      <alignment horizontal="general" vertical="bottom"/>
    </xf>
    <xf numFmtId="174" fontId="47" fillId="7" borderId="30" applyAlignment="1" pivotButton="0" quotePrefix="0" xfId="0">
      <alignment horizontal="general" vertical="bottom"/>
    </xf>
    <xf numFmtId="173" fontId="19" fillId="4" borderId="0" applyAlignment="1" pivotButton="0" quotePrefix="0" xfId="0">
      <alignment horizontal="general" vertical="bottom"/>
    </xf>
    <xf numFmtId="173" fontId="19" fillId="4" borderId="23" applyAlignment="1" pivotButton="0" quotePrefix="0" xfId="0">
      <alignment horizontal="general" vertical="bottom"/>
    </xf>
    <xf numFmtId="173" fontId="19" fillId="4" borderId="4" applyAlignment="1" pivotButton="0" quotePrefix="0" xfId="0">
      <alignment horizontal="general" vertical="bottom"/>
    </xf>
    <xf numFmtId="174" fontId="25" fillId="4" borderId="0" applyAlignment="1" pivotButton="0" quotePrefix="0" xfId="0">
      <alignment horizontal="general" vertical="bottom"/>
    </xf>
    <xf numFmtId="174" fontId="25" fillId="4" borderId="23" applyAlignment="1" pivotButton="0" quotePrefix="0" xfId="0">
      <alignment horizontal="general" vertical="bottom"/>
    </xf>
    <xf numFmtId="174" fontId="25" fillId="4" borderId="4" applyAlignment="1" pivotButton="0" quotePrefix="0" xfId="0">
      <alignment horizontal="general" vertical="bottom"/>
    </xf>
    <xf numFmtId="167" fontId="35" fillId="0" borderId="0" applyAlignment="1" pivotButton="0" quotePrefix="0" xfId="0">
      <alignment horizontal="right" vertical="bottom"/>
    </xf>
    <xf numFmtId="0" fontId="5" fillId="2" borderId="0" applyAlignment="1" pivotButton="0" quotePrefix="0" xfId="47">
      <alignment horizontal="general" vertical="bottom"/>
    </xf>
    <xf numFmtId="0" fontId="7" fillId="2" borderId="0" applyAlignment="1" pivotButton="0" quotePrefix="0" xfId="49">
      <alignment horizontal="general" vertical="bottom"/>
    </xf>
    <xf numFmtId="0" fontId="27" fillId="4" borderId="0" applyAlignment="1" pivotButton="0" quotePrefix="0" xfId="49">
      <alignment horizontal="general" vertical="center"/>
    </xf>
    <xf numFmtId="0" fontId="35" fillId="0" borderId="0" applyAlignment="1" pivotButton="0" quotePrefix="0" xfId="39">
      <alignment horizontal="general" vertical="bottom"/>
    </xf>
    <xf numFmtId="0" fontId="35" fillId="0" borderId="0" applyAlignment="1" pivotButton="0" quotePrefix="0" xfId="39">
      <alignment horizontal="left" vertical="bottom"/>
    </xf>
    <xf numFmtId="0" fontId="5" fillId="2" borderId="0" applyAlignment="1" pivotButton="0" quotePrefix="0" xfId="49">
      <alignment horizontal="general" vertical="bottom"/>
    </xf>
    <xf numFmtId="0" fontId="61" fillId="4" borderId="0" applyAlignment="1" pivotButton="0" quotePrefix="0" xfId="49">
      <alignment horizontal="general" vertical="bottom"/>
    </xf>
    <xf numFmtId="0" fontId="62" fillId="0" borderId="0" applyAlignment="1" pivotButton="0" quotePrefix="0" xfId="49">
      <alignment horizontal="general" vertical="bottom"/>
    </xf>
    <xf numFmtId="0" fontId="34" fillId="0" borderId="0" applyAlignment="1" pivotButton="0" quotePrefix="0" xfId="39">
      <alignment horizontal="left" vertical="center"/>
    </xf>
    <xf numFmtId="0" fontId="21" fillId="2" borderId="0" applyAlignment="1" pivotButton="0" quotePrefix="0" xfId="39">
      <alignment horizontal="left" vertical="center"/>
    </xf>
    <xf numFmtId="173" fontId="21" fillId="2" borderId="0" applyAlignment="1" pivotButton="0" quotePrefix="0" xfId="39">
      <alignment horizontal="general" vertical="center"/>
    </xf>
    <xf numFmtId="0" fontId="21" fillId="5" borderId="0" applyAlignment="1" pivotButton="0" quotePrefix="0" xfId="39">
      <alignment horizontal="left" vertical="bottom"/>
    </xf>
    <xf numFmtId="0" fontId="21" fillId="5" borderId="20" applyAlignment="1" pivotButton="0" quotePrefix="0" xfId="39">
      <alignment horizontal="left" vertical="bottom"/>
    </xf>
    <xf numFmtId="196" fontId="21" fillId="5" borderId="20" applyAlignment="1" pivotButton="0" quotePrefix="0" xfId="39">
      <alignment horizontal="center" vertical="bottom"/>
    </xf>
    <xf numFmtId="196" fontId="21" fillId="5" borderId="15" applyAlignment="1" pivotButton="0" quotePrefix="0" xfId="39">
      <alignment horizontal="center" vertical="bottom"/>
    </xf>
    <xf numFmtId="196" fontId="21" fillId="5" borderId="31" applyAlignment="1" pivotButton="0" quotePrefix="0" xfId="39">
      <alignment horizontal="center" vertical="bottom"/>
    </xf>
    <xf numFmtId="0" fontId="21" fillId="5" borderId="0" applyAlignment="1" pivotButton="0" quotePrefix="0" xfId="39">
      <alignment horizontal="center" vertical="bottom"/>
    </xf>
    <xf numFmtId="196" fontId="21" fillId="8" borderId="19" applyAlignment="1" pivotButton="0" quotePrefix="0" xfId="39">
      <alignment horizontal="center" vertical="bottom"/>
    </xf>
    <xf numFmtId="196" fontId="21" fillId="8" borderId="15" applyAlignment="1" pivotButton="0" quotePrefix="0" xfId="39">
      <alignment horizontal="center" vertical="bottom"/>
    </xf>
    <xf numFmtId="196" fontId="21" fillId="8" borderId="21" applyAlignment="1" pivotButton="0" quotePrefix="0" xfId="39">
      <alignment horizontal="center" vertical="bottom"/>
    </xf>
    <xf numFmtId="196" fontId="21" fillId="8" borderId="31" applyAlignment="1" pivotButton="0" quotePrefix="0" xfId="39">
      <alignment horizontal="center" vertical="bottom"/>
    </xf>
    <xf numFmtId="179" fontId="31" fillId="5" borderId="0" applyAlignment="1" pivotButton="0" quotePrefix="0" xfId="39">
      <alignment horizontal="right" vertical="bottom"/>
    </xf>
    <xf numFmtId="179" fontId="31" fillId="5" borderId="20" applyAlignment="1" pivotButton="0" quotePrefix="0" xfId="39">
      <alignment horizontal="right" vertical="bottom"/>
    </xf>
    <xf numFmtId="196" fontId="21" fillId="5" borderId="5" applyAlignment="1" pivotButton="0" quotePrefix="0" xfId="39">
      <alignment horizontal="right" vertical="bottom"/>
    </xf>
    <xf numFmtId="196" fontId="21" fillId="5" borderId="20" applyAlignment="1" pivotButton="0" quotePrefix="0" xfId="39">
      <alignment horizontal="right" vertical="bottom"/>
    </xf>
    <xf numFmtId="196" fontId="21" fillId="5" borderId="0" applyAlignment="1" pivotButton="0" quotePrefix="0" xfId="39">
      <alignment horizontal="right" vertical="bottom"/>
    </xf>
    <xf numFmtId="179" fontId="31" fillId="5" borderId="7" applyAlignment="1" pivotButton="0" quotePrefix="0" xfId="39">
      <alignment horizontal="right" vertical="bottom"/>
    </xf>
    <xf numFmtId="196" fontId="21" fillId="8" borderId="6" applyAlignment="1" pivotButton="0" quotePrefix="0" xfId="39">
      <alignment horizontal="right" vertical="bottom"/>
    </xf>
    <xf numFmtId="196" fontId="21" fillId="8" borderId="0" applyAlignment="1" pivotButton="0" quotePrefix="0" xfId="39">
      <alignment horizontal="right" vertical="bottom"/>
    </xf>
    <xf numFmtId="196" fontId="21" fillId="8" borderId="6" applyAlignment="1" pivotButton="0" quotePrefix="0" xfId="39">
      <alignment horizontal="right" vertical="bottom" wrapText="1"/>
    </xf>
    <xf numFmtId="196" fontId="21" fillId="8" borderId="0" applyAlignment="1" pivotButton="0" quotePrefix="0" xfId="39">
      <alignment horizontal="right" vertical="bottom" wrapText="1"/>
    </xf>
    <xf numFmtId="0" fontId="23" fillId="0" borderId="0" applyAlignment="1" pivotButton="0" quotePrefix="0" xfId="39">
      <alignment horizontal="general" vertical="bottom"/>
    </xf>
    <xf numFmtId="0" fontId="5" fillId="0" borderId="23" applyAlignment="1" pivotButton="0" quotePrefix="0" xfId="39">
      <alignment horizontal="general" vertical="bottom"/>
    </xf>
    <xf numFmtId="0" fontId="5" fillId="0" borderId="4" applyAlignment="1" pivotButton="0" quotePrefix="0" xfId="39">
      <alignment horizontal="general" vertical="bottom"/>
    </xf>
    <xf numFmtId="0" fontId="5" fillId="0" borderId="58" applyAlignment="1" pivotButton="0" quotePrefix="0" xfId="39">
      <alignment horizontal="general" vertical="bottom"/>
    </xf>
    <xf numFmtId="170" fontId="5" fillId="0" borderId="23" applyAlignment="1" pivotButton="0" quotePrefix="0" xfId="39">
      <alignment horizontal="general" vertical="bottom"/>
    </xf>
    <xf numFmtId="170" fontId="5" fillId="0" borderId="4" applyAlignment="1" pivotButton="0" quotePrefix="0" xfId="39">
      <alignment horizontal="general" vertical="bottom"/>
    </xf>
    <xf numFmtId="170" fontId="5" fillId="0" borderId="58" applyAlignment="1" pivotButton="0" quotePrefix="0" xfId="39">
      <alignment horizontal="general" vertical="bottom"/>
    </xf>
    <xf numFmtId="0" fontId="5" fillId="0" borderId="13" applyAlignment="1" pivotButton="0" quotePrefix="0" xfId="39">
      <alignment horizontal="left" vertical="bottom" indent="2"/>
    </xf>
    <xf numFmtId="0" fontId="5" fillId="0" borderId="13" applyAlignment="1" pivotButton="0" quotePrefix="0" xfId="39">
      <alignment horizontal="left" vertical="bottom"/>
    </xf>
    <xf numFmtId="170" fontId="5" fillId="0" borderId="13" applyAlignment="1" pivotButton="0" quotePrefix="0" xfId="39">
      <alignment horizontal="general" vertical="bottom"/>
    </xf>
    <xf numFmtId="170" fontId="5" fillId="0" borderId="24" applyAlignment="1" pivotButton="0" quotePrefix="0" xfId="39">
      <alignment horizontal="general" vertical="bottom"/>
    </xf>
    <xf numFmtId="170" fontId="5" fillId="0" borderId="25" applyAlignment="1" pivotButton="0" quotePrefix="0" xfId="39">
      <alignment horizontal="general" vertical="bottom"/>
    </xf>
    <xf numFmtId="170" fontId="5" fillId="0" borderId="59" applyAlignment="1" pivotButton="0" quotePrefix="0" xfId="39">
      <alignment horizontal="general" vertical="bottom"/>
    </xf>
    <xf numFmtId="0" fontId="38" fillId="2" borderId="0" applyAlignment="1" pivotButton="0" quotePrefix="0" xfId="47">
      <alignment horizontal="general" vertical="bottom"/>
    </xf>
    <xf numFmtId="0" fontId="5" fillId="0" borderId="13" applyAlignment="1" pivotButton="0" quotePrefix="0" xfId="39">
      <alignment horizontal="left" vertical="bottom" indent="1"/>
    </xf>
    <xf numFmtId="0" fontId="35" fillId="2" borderId="0" applyAlignment="1" pivotButton="0" quotePrefix="0" xfId="47">
      <alignment horizontal="general" vertical="bottom"/>
    </xf>
    <xf numFmtId="0" fontId="38" fillId="7" borderId="3" applyAlignment="1" pivotButton="0" quotePrefix="0" xfId="39">
      <alignment horizontal="general" vertical="bottom"/>
    </xf>
    <xf numFmtId="0" fontId="38" fillId="7" borderId="3" applyAlignment="1" pivotButton="0" quotePrefix="0" xfId="39">
      <alignment horizontal="left" vertical="bottom"/>
    </xf>
    <xf numFmtId="170" fontId="38" fillId="7" borderId="3" applyAlignment="1" pivotButton="0" quotePrefix="0" xfId="39">
      <alignment horizontal="general" vertical="bottom"/>
    </xf>
    <xf numFmtId="170" fontId="38" fillId="7" borderId="28" applyAlignment="1" pivotButton="0" quotePrefix="0" xfId="39">
      <alignment horizontal="general" vertical="bottom"/>
    </xf>
    <xf numFmtId="170" fontId="38" fillId="7" borderId="30" applyAlignment="1" pivotButton="0" quotePrefix="0" xfId="39">
      <alignment horizontal="general" vertical="bottom"/>
    </xf>
    <xf numFmtId="170" fontId="38" fillId="7" borderId="71" applyAlignment="1" pivotButton="0" quotePrefix="0" xfId="39">
      <alignment horizontal="general" vertical="bottom"/>
    </xf>
    <xf numFmtId="0" fontId="5" fillId="0" borderId="0" applyAlignment="1" pivotButton="0" quotePrefix="0" xfId="39">
      <alignment horizontal="left" vertical="bottom" indent="3"/>
    </xf>
    <xf numFmtId="0" fontId="5" fillId="0" borderId="13" applyAlignment="1" pivotButton="0" quotePrefix="0" xfId="39">
      <alignment horizontal="left" vertical="bottom" indent="3"/>
    </xf>
    <xf numFmtId="189" fontId="35" fillId="0" borderId="0" applyAlignment="1" pivotButton="0" quotePrefix="0" xfId="39">
      <alignment horizontal="left" vertical="bottom"/>
    </xf>
    <xf numFmtId="170" fontId="35" fillId="0" borderId="0" applyAlignment="1" pivotButton="0" quotePrefix="0" xfId="39">
      <alignment horizontal="general" vertical="bottom"/>
    </xf>
    <xf numFmtId="0" fontId="21" fillId="2" borderId="2" applyAlignment="1" pivotButton="0" quotePrefix="0" xfId="39">
      <alignment horizontal="left" vertical="center"/>
    </xf>
    <xf numFmtId="173" fontId="21" fillId="2" borderId="2" applyAlignment="1" pivotButton="0" quotePrefix="0" xfId="39">
      <alignment horizontal="general" vertical="center"/>
    </xf>
    <xf numFmtId="0" fontId="21" fillId="5" borderId="81" applyAlignment="1" pivotButton="0" quotePrefix="0" xfId="39">
      <alignment horizontal="left" vertical="bottom"/>
    </xf>
    <xf numFmtId="196" fontId="21" fillId="5" borderId="21" applyAlignment="1" pivotButton="0" quotePrefix="0" xfId="39">
      <alignment horizontal="right" vertical="bottom"/>
    </xf>
    <xf numFmtId="196" fontId="21" fillId="5" borderId="19" applyAlignment="1" pivotButton="0" quotePrefix="0" xfId="39">
      <alignment horizontal="right" vertical="bottom"/>
    </xf>
    <xf numFmtId="170" fontId="5" fillId="18" borderId="0" applyAlignment="1" pivotButton="0" quotePrefix="0" xfId="39">
      <alignment horizontal="general" vertical="bottom"/>
    </xf>
    <xf numFmtId="170" fontId="5" fillId="18" borderId="13" applyAlignment="1" pivotButton="0" quotePrefix="0" xfId="39">
      <alignment horizontal="general" vertical="bottom"/>
    </xf>
    <xf numFmtId="0" fontId="38" fillId="7" borderId="22" applyAlignment="1" pivotButton="0" quotePrefix="0" xfId="39">
      <alignment horizontal="general" vertical="bottom"/>
    </xf>
    <xf numFmtId="0" fontId="38" fillId="7" borderId="22" applyAlignment="1" pivotButton="0" quotePrefix="0" xfId="39">
      <alignment horizontal="left" vertical="bottom"/>
    </xf>
    <xf numFmtId="170" fontId="38" fillId="7" borderId="22" applyAlignment="1" pivotButton="0" quotePrefix="0" xfId="39">
      <alignment horizontal="general" vertical="bottom"/>
    </xf>
    <xf numFmtId="170" fontId="38" fillId="7" borderId="34" applyAlignment="1" pivotButton="0" quotePrefix="0" xfId="39">
      <alignment horizontal="general" vertical="bottom"/>
    </xf>
    <xf numFmtId="170" fontId="38" fillId="7" borderId="35" applyAlignment="1" pivotButton="0" quotePrefix="0" xfId="39">
      <alignment horizontal="general" vertical="bottom"/>
    </xf>
    <xf numFmtId="179" fontId="31" fillId="5" borderId="21" applyAlignment="1" pivotButton="0" quotePrefix="0" xfId="39">
      <alignment horizontal="right" vertical="bottom" wrapText="1"/>
    </xf>
    <xf numFmtId="170" fontId="5" fillId="18" borderId="24" applyAlignment="1" pivotButton="0" quotePrefix="0" xfId="39">
      <alignment horizontal="general" vertical="bottom"/>
    </xf>
    <xf numFmtId="170" fontId="5" fillId="18" borderId="25" applyAlignment="1" pivotButton="0" quotePrefix="0" xfId="39">
      <alignment horizontal="general" vertical="bottom"/>
    </xf>
    <xf numFmtId="170" fontId="5" fillId="19" borderId="13" applyAlignment="1" pivotButton="0" quotePrefix="0" xfId="39">
      <alignment horizontal="general" vertical="bottom"/>
    </xf>
    <xf numFmtId="170" fontId="5" fillId="20" borderId="13" applyAlignment="1" pivotButton="0" quotePrefix="0" xfId="39">
      <alignment horizontal="general" vertical="bottom"/>
    </xf>
    <xf numFmtId="171" fontId="35" fillId="2" borderId="0" applyAlignment="1" pivotButton="0" quotePrefix="0" xfId="47">
      <alignment horizontal="general" vertical="bottom"/>
    </xf>
    <xf numFmtId="166" fontId="21" fillId="5" borderId="19" applyAlignment="1" pivotButton="0" quotePrefix="0" xfId="0">
      <alignment horizontal="right" vertical="bottom" wrapText="1"/>
    </xf>
    <xf numFmtId="166" fontId="21" fillId="5" borderId="0" applyAlignment="1" pivotButton="0" quotePrefix="0" xfId="0">
      <alignment horizontal="right" vertical="bottom" wrapText="1"/>
    </xf>
    <xf numFmtId="0" fontId="23" fillId="4" borderId="0" applyAlignment="1" pivotButton="0" quotePrefix="0" xfId="0">
      <alignment horizontal="left" vertical="bottom"/>
    </xf>
    <xf numFmtId="173" fontId="19" fillId="7" borderId="0" applyAlignment="1" pivotButton="0" quotePrefix="0" xfId="0">
      <alignment horizontal="general" vertical="bottom"/>
    </xf>
    <xf numFmtId="173" fontId="19" fillId="7" borderId="13" applyAlignment="1" pivotButton="0" quotePrefix="0" xfId="0">
      <alignment horizontal="general" vertical="bottom"/>
    </xf>
    <xf numFmtId="0" fontId="37" fillId="4" borderId="0" applyAlignment="1" pivotButton="0" quotePrefix="0" xfId="0">
      <alignment horizontal="left" vertical="bottom" indent="1"/>
    </xf>
    <xf numFmtId="0" fontId="37" fillId="4" borderId="0" applyAlignment="1" pivotButton="0" quotePrefix="0" xfId="0">
      <alignment horizontal="left" vertical="bottom"/>
    </xf>
    <xf numFmtId="0" fontId="5" fillId="4" borderId="13" applyAlignment="1" pivotButton="0" quotePrefix="0" xfId="39">
      <alignment horizontal="left" vertical="bottom" indent="3"/>
    </xf>
    <xf numFmtId="0" fontId="37" fillId="4" borderId="13" applyAlignment="1" pivotButton="0" quotePrefix="0" xfId="0">
      <alignment horizontal="left" vertical="bottom"/>
    </xf>
    <xf numFmtId="170" fontId="5" fillId="7" borderId="13" applyAlignment="1" pivotButton="0" quotePrefix="0" xfId="39">
      <alignment horizontal="general" vertical="bottom"/>
    </xf>
    <xf numFmtId="170" fontId="5" fillId="7" borderId="0" applyAlignment="1" pivotButton="0" quotePrefix="0" xfId="39">
      <alignment horizontal="general" vertical="bottom"/>
    </xf>
    <xf numFmtId="0" fontId="5" fillId="0" borderId="0" applyAlignment="1" pivotButton="0" quotePrefix="0" xfId="39">
      <alignment horizontal="left" vertical="bottom" indent="4"/>
    </xf>
    <xf numFmtId="0" fontId="5" fillId="0" borderId="13" applyAlignment="1" pivotButton="0" quotePrefix="0" xfId="39">
      <alignment horizontal="left" vertical="bottom" indent="4"/>
    </xf>
    <xf numFmtId="0" fontId="5" fillId="0" borderId="2" applyAlignment="1" pivotButton="0" quotePrefix="0" xfId="0">
      <alignment horizontal="general" vertical="bottom"/>
    </xf>
    <xf numFmtId="167" fontId="5" fillId="0" borderId="2" applyAlignment="1" pivotButton="0" quotePrefix="0" xfId="0">
      <alignment horizontal="right" vertical="bottom"/>
    </xf>
    <xf numFmtId="167" fontId="5" fillId="7" borderId="2" applyAlignment="1" pivotButton="0" quotePrefix="0" xfId="0">
      <alignment horizontal="right" vertical="bottom"/>
    </xf>
    <xf numFmtId="167" fontId="38" fillId="0" borderId="0" applyAlignment="1" pivotButton="0" quotePrefix="0" xfId="0">
      <alignment horizontal="right" vertical="bottom"/>
    </xf>
    <xf numFmtId="167" fontId="38" fillId="7" borderId="0" applyAlignment="1" pivotButton="0" quotePrefix="0" xfId="0">
      <alignment horizontal="right" vertical="bottom"/>
    </xf>
    <xf numFmtId="0" fontId="35" fillId="0" borderId="13" applyAlignment="1" pivotButton="0" quotePrefix="0" xfId="0">
      <alignment horizontal="general" vertical="bottom"/>
    </xf>
    <xf numFmtId="168" fontId="35" fillId="0" borderId="13" applyAlignment="1" pivotButton="0" quotePrefix="0" xfId="0">
      <alignment horizontal="right" vertical="bottom"/>
    </xf>
    <xf numFmtId="168" fontId="35" fillId="7" borderId="13" applyAlignment="1" pivotButton="0" quotePrefix="0" xfId="0">
      <alignment horizontal="right" vertical="bottom"/>
    </xf>
    <xf numFmtId="170" fontId="35" fillId="0" borderId="0" applyAlignment="1" pivotButton="0" quotePrefix="0" xfId="0">
      <alignment horizontal="general" vertical="bottom"/>
    </xf>
    <xf numFmtId="0" fontId="35" fillId="4" borderId="0" applyAlignment="1" pivotButton="0" quotePrefix="0" xfId="0">
      <alignment horizontal="general" vertical="bottom"/>
    </xf>
    <xf numFmtId="170" fontId="35" fillId="4" borderId="0" applyAlignment="1" pivotButton="0" quotePrefix="0" xfId="0">
      <alignment horizontal="general" vertical="bottom"/>
    </xf>
    <xf numFmtId="172" fontId="35" fillId="4" borderId="0" applyAlignment="1" pivotButton="0" quotePrefix="0" xfId="0">
      <alignment horizontal="right" vertical="bottom"/>
    </xf>
    <xf numFmtId="0" fontId="6" fillId="0" borderId="0" applyAlignment="1" pivotButton="0" quotePrefix="0" xfId="49">
      <alignment horizontal="general" vertical="bottom"/>
    </xf>
    <xf numFmtId="167" fontId="0" fillId="0" borderId="0" applyAlignment="1" pivotButton="0" quotePrefix="0" xfId="0">
      <alignment horizontal="right" vertical="bottom"/>
    </xf>
    <xf numFmtId="166" fontId="21" fillId="5" borderId="21" applyAlignment="1" pivotButton="0" quotePrefix="0" xfId="0">
      <alignment horizontal="right" vertical="center" wrapText="1"/>
    </xf>
    <xf numFmtId="168" fontId="35" fillId="0" borderId="0" applyAlignment="1" pivotButton="0" quotePrefix="0" xfId="0">
      <alignment horizontal="right" vertical="bottom"/>
    </xf>
    <xf numFmtId="9" fontId="5" fillId="0" borderId="0" applyAlignment="1" pivotButton="0" quotePrefix="0" xfId="19">
      <alignment horizontal="general" vertical="bottom"/>
    </xf>
    <xf numFmtId="170" fontId="19" fillId="0" borderId="0" applyAlignment="1" pivotButton="0" quotePrefix="0" xfId="0">
      <alignment horizontal="general" vertical="bottom"/>
    </xf>
    <xf numFmtId="170" fontId="19" fillId="0" borderId="23" applyAlignment="1" pivotButton="0" quotePrefix="0" xfId="0">
      <alignment horizontal="general" vertical="bottom"/>
    </xf>
    <xf numFmtId="170" fontId="19" fillId="0" borderId="4" applyAlignment="1" pivotButton="0" quotePrefix="0" xfId="0">
      <alignment horizontal="general" vertical="bottom"/>
    </xf>
    <xf numFmtId="170" fontId="19" fillId="0" borderId="13" applyAlignment="1" pivotButton="0" quotePrefix="0" xfId="0">
      <alignment horizontal="general" vertical="bottom"/>
    </xf>
    <xf numFmtId="170" fontId="19" fillId="0" borderId="24" applyAlignment="1" pivotButton="0" quotePrefix="0" xfId="0">
      <alignment horizontal="general" vertical="bottom"/>
    </xf>
    <xf numFmtId="170" fontId="19" fillId="0" borderId="25" applyAlignment="1" pivotButton="0" quotePrefix="0" xfId="0">
      <alignment horizontal="general" vertical="bottom"/>
    </xf>
    <xf numFmtId="170" fontId="34" fillId="7" borderId="3" applyAlignment="1" pivotButton="0" quotePrefix="0" xfId="0">
      <alignment horizontal="general" vertical="bottom"/>
    </xf>
    <xf numFmtId="170" fontId="34" fillId="7" borderId="28" applyAlignment="1" pivotButton="0" quotePrefix="0" xfId="0">
      <alignment horizontal="general" vertical="bottom"/>
    </xf>
    <xf numFmtId="170" fontId="34" fillId="7" borderId="30" applyAlignment="1" pivotButton="0" quotePrefix="0" xfId="0">
      <alignment horizontal="general" vertical="bottom"/>
    </xf>
    <xf numFmtId="0" fontId="38" fillId="0" borderId="2" applyAlignment="1" pivotButton="0" quotePrefix="0" xfId="0">
      <alignment horizontal="general" vertical="bottom"/>
    </xf>
    <xf numFmtId="0" fontId="38" fillId="0" borderId="2" applyAlignment="1" pivotButton="0" quotePrefix="0" xfId="0">
      <alignment horizontal="left" vertical="bottom"/>
    </xf>
    <xf numFmtId="168" fontId="48" fillId="0" borderId="2" applyAlignment="1" pivotButton="0" quotePrefix="0" xfId="0">
      <alignment horizontal="right" vertical="bottom"/>
    </xf>
    <xf numFmtId="0" fontId="38" fillId="0" borderId="3" applyAlignment="1" pivotButton="0" quotePrefix="0" xfId="0">
      <alignment horizontal="general" vertical="bottom"/>
    </xf>
    <xf numFmtId="0" fontId="38" fillId="0" borderId="3" applyAlignment="1" pivotButton="0" quotePrefix="0" xfId="0">
      <alignment horizontal="left" vertical="bottom"/>
    </xf>
    <xf numFmtId="168" fontId="48" fillId="0" borderId="3" applyAlignment="1" pivotButton="0" quotePrefix="0" xfId="0">
      <alignment horizontal="right" vertical="bottom"/>
    </xf>
    <xf numFmtId="0" fontId="5" fillId="2" borderId="0" applyAlignment="1" pivotButton="0" quotePrefix="0" xfId="25">
      <alignment horizontal="left" vertical="bottom"/>
    </xf>
    <xf numFmtId="0" fontId="5" fillId="0" borderId="0" applyAlignment="1" pivotButton="0" quotePrefix="0" xfId="25">
      <alignment horizontal="left" vertical="bottom"/>
    </xf>
    <xf numFmtId="0" fontId="5" fillId="0" borderId="0" applyAlignment="1" pivotButton="0" quotePrefix="0" xfId="25">
      <alignment horizontal="general" vertical="bottom"/>
    </xf>
    <xf numFmtId="49" fontId="5" fillId="0" borderId="0" applyAlignment="1" pivotButton="0" quotePrefix="0" xfId="25">
      <alignment horizontal="left" vertical="bottom"/>
    </xf>
    <xf numFmtId="0" fontId="35" fillId="0" borderId="0" applyAlignment="1" pivotButton="0" quotePrefix="0" xfId="25">
      <alignment horizontal="general" vertical="bottom"/>
    </xf>
    <xf numFmtId="0" fontId="27" fillId="0" borderId="0" applyAlignment="1" pivotButton="0" quotePrefix="0" xfId="25">
      <alignment horizontal="left" vertical="bottom"/>
    </xf>
    <xf numFmtId="0" fontId="28" fillId="0" borderId="0" applyAlignment="1" pivotButton="0" quotePrefix="0" xfId="25">
      <alignment horizontal="left" vertical="bottom"/>
    </xf>
    <xf numFmtId="0" fontId="29" fillId="0" borderId="0" applyAlignment="1" pivotButton="0" quotePrefix="0" xfId="25">
      <alignment horizontal="left" vertical="bottom"/>
    </xf>
    <xf numFmtId="0" fontId="24" fillId="0" borderId="0" applyAlignment="1" pivotButton="0" quotePrefix="0" xfId="25">
      <alignment horizontal="left" vertical="bottom"/>
    </xf>
    <xf numFmtId="0" fontId="21" fillId="2" borderId="0" applyAlignment="1" pivotButton="0" quotePrefix="0" xfId="25">
      <alignment horizontal="left" vertical="center"/>
    </xf>
    <xf numFmtId="49" fontId="21" fillId="2" borderId="0" applyAlignment="1" pivotButton="0" quotePrefix="0" xfId="25">
      <alignment horizontal="left" vertical="center"/>
    </xf>
    <xf numFmtId="173" fontId="21" fillId="2" borderId="0" applyAlignment="1" pivotButton="0" quotePrefix="0" xfId="25">
      <alignment horizontal="left" vertical="center"/>
    </xf>
    <xf numFmtId="173" fontId="21" fillId="2" borderId="0" applyAlignment="1" pivotButton="0" quotePrefix="0" xfId="25">
      <alignment horizontal="general" vertical="center"/>
    </xf>
    <xf numFmtId="0" fontId="21" fillId="5" borderId="0" applyAlignment="1" pivotButton="0" quotePrefix="0" xfId="25">
      <alignment horizontal="left" vertical="bottom"/>
    </xf>
    <xf numFmtId="49" fontId="21" fillId="5" borderId="0" applyAlignment="1" pivotButton="0" quotePrefix="0" xfId="25">
      <alignment horizontal="left" vertical="bottom"/>
    </xf>
    <xf numFmtId="166" fontId="21" fillId="5" borderId="0" applyAlignment="1" pivotButton="0" quotePrefix="0" xfId="25">
      <alignment horizontal="left" vertical="bottom"/>
    </xf>
    <xf numFmtId="166" fontId="21" fillId="5" borderId="15" applyAlignment="1" pivotButton="0" quotePrefix="0" xfId="25">
      <alignment horizontal="center" vertical="bottom"/>
    </xf>
    <xf numFmtId="166" fontId="21" fillId="5" borderId="0" applyAlignment="1" pivotButton="0" quotePrefix="0" xfId="25">
      <alignment horizontal="center" vertical="bottom"/>
    </xf>
    <xf numFmtId="166" fontId="21" fillId="8" borderId="15" applyAlignment="1" pivotButton="0" quotePrefix="0" xfId="25">
      <alignment horizontal="center" vertical="bottom"/>
    </xf>
    <xf numFmtId="166" fontId="21" fillId="8" borderId="20" applyAlignment="1" pivotButton="0" quotePrefix="0" xfId="25">
      <alignment horizontal="center" vertical="bottom"/>
    </xf>
    <xf numFmtId="166" fontId="21" fillId="8" borderId="0" applyAlignment="1" pivotButton="0" quotePrefix="0" xfId="25">
      <alignment horizontal="center" vertical="bottom"/>
    </xf>
    <xf numFmtId="166" fontId="21" fillId="5" borderId="5" applyAlignment="1" pivotButton="0" quotePrefix="0" xfId="25">
      <alignment horizontal="right" vertical="bottom"/>
    </xf>
    <xf numFmtId="166" fontId="21" fillId="5" borderId="6" applyAlignment="1" pivotButton="0" quotePrefix="0" xfId="25">
      <alignment horizontal="right" vertical="bottom"/>
    </xf>
    <xf numFmtId="196" fontId="21" fillId="5" borderId="7" applyAlignment="1" pivotButton="0" quotePrefix="0" xfId="25">
      <alignment horizontal="right" vertical="bottom" wrapText="1"/>
    </xf>
    <xf numFmtId="166" fontId="21" fillId="8" borderId="0" applyAlignment="1" pivotButton="0" quotePrefix="0" xfId="25">
      <alignment horizontal="right" vertical="bottom"/>
    </xf>
    <xf numFmtId="166" fontId="21" fillId="8" borderId="5" applyAlignment="1" pivotButton="0" quotePrefix="0" xfId="25">
      <alignment horizontal="right" vertical="bottom"/>
    </xf>
    <xf numFmtId="166" fontId="21" fillId="8" borderId="10" applyAlignment="1" pivotButton="0" quotePrefix="0" xfId="25">
      <alignment horizontal="right" vertical="bottom"/>
    </xf>
    <xf numFmtId="166" fontId="21" fillId="8" borderId="7" applyAlignment="1" pivotButton="0" quotePrefix="0" xfId="25">
      <alignment horizontal="right" vertical="bottom"/>
    </xf>
    <xf numFmtId="166" fontId="21" fillId="8" borderId="6" applyAlignment="1" pivotButton="0" quotePrefix="0" xfId="25">
      <alignment horizontal="right" vertical="bottom" wrapText="1"/>
    </xf>
    <xf numFmtId="166" fontId="21" fillId="8" borderId="10" applyAlignment="1" pivotButton="0" quotePrefix="0" xfId="25">
      <alignment horizontal="right" vertical="bottom" wrapText="1"/>
    </xf>
    <xf numFmtId="0" fontId="5" fillId="0" borderId="0" applyAlignment="1" pivotButton="0" quotePrefix="0" xfId="25">
      <alignment horizontal="general" vertical="top"/>
    </xf>
    <xf numFmtId="0" fontId="5" fillId="2" borderId="0" applyAlignment="1" pivotButton="0" quotePrefix="0" xfId="25">
      <alignment horizontal="left" vertical="top"/>
    </xf>
    <xf numFmtId="0" fontId="5" fillId="0" borderId="0" applyAlignment="1" pivotButton="0" quotePrefix="0" xfId="25">
      <alignment horizontal="left" vertical="top"/>
    </xf>
    <xf numFmtId="0" fontId="19" fillId="0" borderId="0" applyAlignment="1" pivotButton="0" quotePrefix="0" xfId="25">
      <alignment horizontal="left" vertical="top" indent="1"/>
    </xf>
    <xf numFmtId="49" fontId="19" fillId="0" borderId="0" applyAlignment="1" pivotButton="0" quotePrefix="0" xfId="25">
      <alignment horizontal="left" vertical="top"/>
    </xf>
    <xf numFmtId="196" fontId="19" fillId="0" borderId="0" applyAlignment="1" pivotButton="0" quotePrefix="0" xfId="25">
      <alignment horizontal="left" vertical="top"/>
    </xf>
    <xf numFmtId="173" fontId="19" fillId="0" borderId="0" applyAlignment="1" pivotButton="0" quotePrefix="0" xfId="25">
      <alignment horizontal="left" vertical="top"/>
    </xf>
    <xf numFmtId="173" fontId="19" fillId="0" borderId="0" applyAlignment="1" pivotButton="0" quotePrefix="0" xfId="25">
      <alignment horizontal="general" vertical="top"/>
    </xf>
    <xf numFmtId="173" fontId="7" fillId="0" borderId="0" applyAlignment="1" pivotButton="0" quotePrefix="0" xfId="25">
      <alignment horizontal="general" vertical="top"/>
    </xf>
    <xf numFmtId="185" fontId="19" fillId="0" borderId="0" applyAlignment="1" pivotButton="0" quotePrefix="0" xfId="25">
      <alignment horizontal="general" vertical="top"/>
    </xf>
    <xf numFmtId="185" fontId="7" fillId="0" borderId="0" applyAlignment="1" pivotButton="0" quotePrefix="0" xfId="25">
      <alignment horizontal="general" vertical="top"/>
    </xf>
    <xf numFmtId="173" fontId="19" fillId="0" borderId="23" applyAlignment="1" pivotButton="0" quotePrefix="0" xfId="25">
      <alignment horizontal="general" vertical="top"/>
    </xf>
    <xf numFmtId="173" fontId="19" fillId="0" borderId="4" applyAlignment="1" pivotButton="0" quotePrefix="0" xfId="25">
      <alignment horizontal="general" vertical="top"/>
    </xf>
    <xf numFmtId="0" fontId="35" fillId="0" borderId="0" applyAlignment="1" pivotButton="0" quotePrefix="0" xfId="25">
      <alignment horizontal="general" vertical="top"/>
    </xf>
    <xf numFmtId="173" fontId="5" fillId="0" borderId="0" applyAlignment="1" pivotButton="0" quotePrefix="0" xfId="25">
      <alignment horizontal="general" vertical="top"/>
    </xf>
    <xf numFmtId="0" fontId="7" fillId="0" borderId="0" applyAlignment="1" pivotButton="0" quotePrefix="0" xfId="25">
      <alignment horizontal="left" vertical="top" indent="1"/>
    </xf>
    <xf numFmtId="199" fontId="7" fillId="0" borderId="0" applyAlignment="1" pivotButton="0" quotePrefix="0" xfId="25">
      <alignment horizontal="general" vertical="top"/>
    </xf>
    <xf numFmtId="0" fontId="38" fillId="0" borderId="0" applyAlignment="1" pivotButton="0" quotePrefix="0" xfId="25">
      <alignment horizontal="general" vertical="top"/>
    </xf>
    <xf numFmtId="0" fontId="38" fillId="2" borderId="0" applyAlignment="1" pivotButton="0" quotePrefix="0" xfId="25">
      <alignment horizontal="general" vertical="top"/>
    </xf>
    <xf numFmtId="0" fontId="34" fillId="7" borderId="22" applyAlignment="1" pivotButton="0" quotePrefix="0" xfId="25">
      <alignment horizontal="general" vertical="top"/>
    </xf>
    <xf numFmtId="171" fontId="34" fillId="7" borderId="22" applyAlignment="1" pivotButton="0" quotePrefix="0" xfId="23">
      <alignment horizontal="general" vertical="top"/>
    </xf>
    <xf numFmtId="171" fontId="37" fillId="7" borderId="22" applyAlignment="1" pivotButton="0" quotePrefix="0" xfId="23">
      <alignment horizontal="general" vertical="top"/>
    </xf>
    <xf numFmtId="171" fontId="34" fillId="7" borderId="34" applyAlignment="1" pivotButton="0" quotePrefix="0" xfId="23">
      <alignment horizontal="general" vertical="top"/>
    </xf>
    <xf numFmtId="171" fontId="34" fillId="7" borderId="22" applyAlignment="1" pivotButton="0" quotePrefix="0" xfId="23">
      <alignment horizontal="left" vertical="top"/>
    </xf>
    <xf numFmtId="171" fontId="34" fillId="7" borderId="35" applyAlignment="1" pivotButton="0" quotePrefix="0" xfId="23">
      <alignment horizontal="general" vertical="top"/>
    </xf>
    <xf numFmtId="0" fontId="48" fillId="0" borderId="0" applyAlignment="1" pivotButton="0" quotePrefix="0" xfId="25">
      <alignment horizontal="general" vertical="top"/>
    </xf>
    <xf numFmtId="171" fontId="5" fillId="0" borderId="0" applyAlignment="1" pivotButton="0" quotePrefix="0" xfId="25">
      <alignment horizontal="general" vertical="bottom"/>
    </xf>
    <xf numFmtId="0" fontId="35" fillId="2" borderId="0" applyAlignment="1" pivotButton="0" quotePrefix="0" xfId="25">
      <alignment horizontal="left" vertical="bottom"/>
    </xf>
    <xf numFmtId="0" fontId="35" fillId="0" borderId="0" applyAlignment="1" pivotButton="0" quotePrefix="0" xfId="25">
      <alignment horizontal="left" vertical="bottom"/>
    </xf>
    <xf numFmtId="49" fontId="35" fillId="0" borderId="0" applyAlignment="1" pivotButton="0" quotePrefix="0" xfId="25">
      <alignment horizontal="left" vertical="bottom"/>
    </xf>
    <xf numFmtId="173" fontId="25" fillId="4" borderId="0" applyAlignment="1" pivotButton="0" quotePrefix="0" xfId="25">
      <alignment horizontal="general" vertical="bottom"/>
    </xf>
    <xf numFmtId="173" fontId="25" fillId="0" borderId="0" applyAlignment="1" pivotButton="0" quotePrefix="0" xfId="25">
      <alignment horizontal="general" vertical="bottom"/>
    </xf>
    <xf numFmtId="173" fontId="26" fillId="0" borderId="0" applyAlignment="1" pivotButton="0" quotePrefix="0" xfId="25">
      <alignment horizontal="general" vertical="bottom"/>
    </xf>
    <xf numFmtId="0" fontId="21" fillId="5" borderId="8" applyAlignment="1" pivotButton="0" quotePrefix="0" xfId="0">
      <alignment horizontal="left" vertical="bottom"/>
    </xf>
    <xf numFmtId="166" fontId="21" fillId="5" borderId="8" applyAlignment="1" pivotButton="0" quotePrefix="0" xfId="0">
      <alignment horizontal="left" vertical="bottom" wrapText="1"/>
    </xf>
    <xf numFmtId="166" fontId="21" fillId="5" borderId="83" applyAlignment="1" pivotButton="0" quotePrefix="0" xfId="0">
      <alignment horizontal="left" vertical="bottom"/>
    </xf>
    <xf numFmtId="0" fontId="19" fillId="4" borderId="11" applyAlignment="1" pivotButton="0" quotePrefix="0" xfId="0">
      <alignment horizontal="left" vertical="center" wrapText="1"/>
    </xf>
    <xf numFmtId="174" fontId="19" fillId="4" borderId="11" applyAlignment="1" pivotButton="0" quotePrefix="0" xfId="0">
      <alignment horizontal="left" vertical="center" wrapText="1"/>
    </xf>
    <xf numFmtId="187" fontId="19" fillId="4" borderId="11" applyAlignment="1" pivotButton="0" quotePrefix="0" xfId="0">
      <alignment horizontal="left" vertical="center"/>
    </xf>
    <xf numFmtId="0" fontId="19" fillId="4" borderId="18" applyAlignment="1" pivotButton="0" quotePrefix="0" xfId="0">
      <alignment horizontal="left" vertical="center" wrapText="1"/>
    </xf>
    <xf numFmtId="174" fontId="19" fillId="4" borderId="18" applyAlignment="1" pivotButton="0" quotePrefix="0" xfId="0">
      <alignment horizontal="left" vertical="center" wrapText="1"/>
    </xf>
    <xf numFmtId="187" fontId="19" fillId="4" borderId="18" applyAlignment="1" pivotButton="0" quotePrefix="0" xfId="0">
      <alignment horizontal="left" vertical="center"/>
    </xf>
    <xf numFmtId="0" fontId="21" fillId="2" borderId="2" applyAlignment="1" pivotButton="0" quotePrefix="0" xfId="0">
      <alignment horizontal="left" vertical="center"/>
    </xf>
    <xf numFmtId="173" fontId="21" fillId="2" borderId="2" applyAlignment="1" pivotButton="0" quotePrefix="0" xfId="0">
      <alignment horizontal="general" vertical="center"/>
    </xf>
    <xf numFmtId="0" fontId="23" fillId="4" borderId="0" applyAlignment="1" pivotButton="0" quotePrefix="0" xfId="0">
      <alignment horizontal="left" vertical="center" wrapText="1"/>
    </xf>
    <xf numFmtId="174" fontId="19" fillId="4" borderId="0" applyAlignment="1" pivotButton="0" quotePrefix="0" xfId="0">
      <alignment horizontal="left" vertical="center" wrapText="1"/>
    </xf>
    <xf numFmtId="173" fontId="19" fillId="4" borderId="0" applyAlignment="1" pivotButton="0" quotePrefix="0" xfId="0">
      <alignment horizontal="left" vertical="center" wrapText="1"/>
    </xf>
    <xf numFmtId="0" fontId="19" fillId="4" borderId="0" applyAlignment="1" pivotButton="0" quotePrefix="0" xfId="0">
      <alignment horizontal="left" vertical="center" wrapText="1"/>
    </xf>
    <xf numFmtId="0" fontId="23" fillId="4" borderId="2" applyAlignment="1" pivotButton="0" quotePrefix="0" xfId="0">
      <alignment horizontal="left" vertical="center" wrapText="1"/>
    </xf>
    <xf numFmtId="174" fontId="19" fillId="4" borderId="2" applyAlignment="1" pivotButton="0" quotePrefix="0" xfId="0">
      <alignment horizontal="left" vertical="center" wrapText="1"/>
    </xf>
    <xf numFmtId="173" fontId="19" fillId="4" borderId="2" applyAlignment="1" pivotButton="0" quotePrefix="0" xfId="0">
      <alignment horizontal="left" vertical="center" wrapText="1"/>
    </xf>
    <xf numFmtId="173" fontId="19" fillId="4" borderId="11" applyAlignment="1" pivotButton="0" quotePrefix="0" xfId="0">
      <alignment horizontal="left" vertical="center" wrapText="1"/>
    </xf>
    <xf numFmtId="187" fontId="19" fillId="4" borderId="0" applyAlignment="1" pivotButton="0" quotePrefix="0" xfId="0">
      <alignment horizontal="left" vertical="center" wrapText="1"/>
    </xf>
    <xf numFmtId="187" fontId="19" fillId="4" borderId="9" applyAlignment="1" pivotButton="0" quotePrefix="0" xfId="0">
      <alignment horizontal="left" vertical="center" wrapText="1"/>
    </xf>
    <xf numFmtId="0" fontId="23" fillId="4" borderId="2" applyAlignment="1" pivotButton="0" quotePrefix="0" xfId="0">
      <alignment horizontal="left" vertical="center"/>
    </xf>
    <xf numFmtId="173" fontId="19" fillId="4" borderId="18" applyAlignment="1" pivotButton="0" quotePrefix="0" xfId="0">
      <alignment horizontal="left" vertical="center" wrapText="1"/>
    </xf>
    <xf numFmtId="0" fontId="0" fillId="2" borderId="0" applyAlignment="1" pivotButton="0" quotePrefix="0" xfId="46">
      <alignment horizontal="left" vertical="bottom"/>
    </xf>
    <xf numFmtId="0" fontId="0" fillId="0" borderId="0" applyAlignment="1" pivotButton="0" quotePrefix="0" xfId="46">
      <alignment horizontal="left" vertical="bottom"/>
    </xf>
    <xf numFmtId="0" fontId="7" fillId="0" borderId="0" applyAlignment="1" pivotButton="0" quotePrefix="0" xfId="51">
      <alignment horizontal="general" vertical="bottom"/>
    </xf>
    <xf numFmtId="0" fontId="27" fillId="0" borderId="0" applyAlignment="1" pivotButton="0" quotePrefix="0" xfId="46">
      <alignment horizontal="left" vertical="bottom"/>
    </xf>
    <xf numFmtId="0" fontId="28" fillId="0" borderId="0" applyAlignment="1" pivotButton="0" quotePrefix="0" xfId="46">
      <alignment horizontal="left" vertical="bottom"/>
    </xf>
    <xf numFmtId="0" fontId="29" fillId="0" borderId="0" applyAlignment="1" pivotButton="0" quotePrefix="0" xfId="46">
      <alignment horizontal="left" vertical="bottom"/>
    </xf>
    <xf numFmtId="0" fontId="24" fillId="0" borderId="0" applyAlignment="1" pivotButton="0" quotePrefix="0" xfId="46">
      <alignment horizontal="left" vertical="bottom"/>
    </xf>
    <xf numFmtId="0" fontId="21" fillId="2" borderId="0" applyAlignment="1" pivotButton="0" quotePrefix="0" xfId="28">
      <alignment horizontal="general" vertical="center"/>
    </xf>
    <xf numFmtId="173" fontId="21" fillId="2" borderId="0" applyAlignment="1" pivotButton="0" quotePrefix="0" xfId="31">
      <alignment horizontal="general" vertical="center"/>
    </xf>
    <xf numFmtId="0" fontId="21" fillId="5" borderId="0" applyAlignment="1" pivotButton="0" quotePrefix="0" xfId="28">
      <alignment horizontal="general" vertical="bottom"/>
    </xf>
    <xf numFmtId="0" fontId="31" fillId="5" borderId="0" applyAlignment="1" pivotButton="0" quotePrefix="0" xfId="72">
      <alignment horizontal="center" vertical="bottom"/>
    </xf>
    <xf numFmtId="0" fontId="32" fillId="5" borderId="0" applyAlignment="1" pivotButton="0" quotePrefix="0" xfId="72">
      <alignment horizontal="center" vertical="bottom"/>
    </xf>
    <xf numFmtId="0" fontId="32" fillId="5" borderId="20" applyAlignment="1" pivotButton="0" quotePrefix="0" xfId="72">
      <alignment horizontal="center" vertical="bottom"/>
    </xf>
    <xf numFmtId="0" fontId="31" fillId="5" borderId="15" applyAlignment="1" pivotButton="0" quotePrefix="0" xfId="72">
      <alignment horizontal="center" vertical="bottom"/>
    </xf>
    <xf numFmtId="0" fontId="31" fillId="5" borderId="32" applyAlignment="1" pivotButton="0" quotePrefix="0" xfId="72">
      <alignment horizontal="center" vertical="bottom"/>
    </xf>
    <xf numFmtId="0" fontId="58" fillId="6" borderId="0" applyAlignment="1" pivotButton="0" quotePrefix="0" xfId="72">
      <alignment horizontal="center" vertical="bottom"/>
    </xf>
    <xf numFmtId="0" fontId="59" fillId="6" borderId="0" applyAlignment="1" pivotButton="0" quotePrefix="0" xfId="72">
      <alignment horizontal="center" vertical="bottom"/>
    </xf>
    <xf numFmtId="0" fontId="59" fillId="6" borderId="20" applyAlignment="1" pivotButton="0" quotePrefix="0" xfId="72">
      <alignment horizontal="center" vertical="bottom"/>
    </xf>
    <xf numFmtId="0" fontId="58" fillId="6" borderId="20" applyAlignment="1" pivotButton="0" quotePrefix="0" xfId="72">
      <alignment horizontal="center" vertical="bottom"/>
    </xf>
    <xf numFmtId="0" fontId="60" fillId="2" borderId="0" applyAlignment="1" pivotButton="0" quotePrefix="0" xfId="46">
      <alignment horizontal="left" vertical="bottom"/>
    </xf>
    <xf numFmtId="0" fontId="60" fillId="0" borderId="0" applyAlignment="1" pivotButton="0" quotePrefix="0" xfId="46">
      <alignment horizontal="left" vertical="bottom"/>
    </xf>
    <xf numFmtId="188" fontId="21" fillId="5" borderId="10" applyAlignment="1" pivotButton="0" quotePrefix="0" xfId="31">
      <alignment horizontal="right" vertical="bottom"/>
    </xf>
    <xf numFmtId="188" fontId="21" fillId="5" borderId="5" applyAlignment="1" pivotButton="0" quotePrefix="0" xfId="31">
      <alignment horizontal="right" vertical="bottom"/>
    </xf>
    <xf numFmtId="166" fontId="21" fillId="5" borderId="5" applyAlignment="1" pivotButton="0" quotePrefix="0" xfId="31">
      <alignment horizontal="right" vertical="bottom"/>
    </xf>
    <xf numFmtId="166" fontId="21" fillId="5" borderId="6" applyAlignment="1" pivotButton="0" quotePrefix="0" xfId="31">
      <alignment horizontal="right" vertical="bottom"/>
    </xf>
    <xf numFmtId="166" fontId="21" fillId="5" borderId="6" applyAlignment="1" pivotButton="0" quotePrefix="0" xfId="31">
      <alignment horizontal="right" vertical="center" wrapText="1"/>
    </xf>
    <xf numFmtId="166" fontId="21" fillId="5" borderId="7" applyAlignment="1" pivotButton="0" quotePrefix="0" xfId="31">
      <alignment horizontal="right" vertical="center" wrapText="1"/>
    </xf>
    <xf numFmtId="166" fontId="46" fillId="6" borderId="10" applyAlignment="1" pivotButton="0" quotePrefix="0" xfId="28">
      <alignment horizontal="right" vertical="bottom"/>
    </xf>
    <xf numFmtId="166" fontId="46" fillId="6" borderId="5" applyAlignment="1" pivotButton="0" quotePrefix="0" xfId="28">
      <alignment horizontal="right" vertical="bottom"/>
    </xf>
    <xf numFmtId="166" fontId="46" fillId="6" borderId="10" applyAlignment="1" pivotButton="0" quotePrefix="0" xfId="28">
      <alignment horizontal="right" vertical="center" wrapText="1"/>
    </xf>
    <xf numFmtId="166" fontId="46" fillId="6" borderId="7" applyAlignment="1" pivotButton="0" quotePrefix="0" xfId="28">
      <alignment horizontal="right" vertical="center" wrapText="1"/>
    </xf>
    <xf numFmtId="0" fontId="7" fillId="0" borderId="0" applyAlignment="1" pivotButton="0" quotePrefix="0" xfId="51">
      <alignment horizontal="left" vertical="bottom" indent="1"/>
    </xf>
    <xf numFmtId="167" fontId="7" fillId="0" borderId="0" applyAlignment="1" pivotButton="0" quotePrefix="0" xfId="51">
      <alignment horizontal="right" vertical="bottom"/>
    </xf>
    <xf numFmtId="167" fontId="7" fillId="0" borderId="23" applyAlignment="1" pivotButton="0" quotePrefix="0" xfId="51">
      <alignment horizontal="right" vertical="bottom"/>
    </xf>
    <xf numFmtId="167" fontId="7" fillId="0" borderId="4" applyAlignment="1" pivotButton="0" quotePrefix="0" xfId="51">
      <alignment horizontal="right" vertical="bottom"/>
    </xf>
    <xf numFmtId="168" fontId="25" fillId="0" borderId="0" applyAlignment="1" pivotButton="0" quotePrefix="0" xfId="31">
      <alignment horizontal="right" vertical="bottom"/>
    </xf>
    <xf numFmtId="168" fontId="22" fillId="0" borderId="0" applyAlignment="1" pivotButton="0" quotePrefix="0" xfId="51">
      <alignment horizontal="right" vertical="bottom"/>
    </xf>
    <xf numFmtId="168" fontId="22" fillId="0" borderId="23" applyAlignment="1" pivotButton="0" quotePrefix="0" xfId="51">
      <alignment horizontal="right" vertical="bottom"/>
    </xf>
    <xf numFmtId="168" fontId="22" fillId="0" borderId="4" applyAlignment="1" pivotButton="0" quotePrefix="0" xfId="51">
      <alignment horizontal="right" vertical="bottom"/>
    </xf>
    <xf numFmtId="0" fontId="7" fillId="0" borderId="0" applyAlignment="1" pivotButton="0" quotePrefix="0" xfId="51">
      <alignment horizontal="left" vertical="bottom" indent="2"/>
    </xf>
    <xf numFmtId="0" fontId="7" fillId="4" borderId="13" applyAlignment="1" pivotButton="0" quotePrefix="0" xfId="51">
      <alignment horizontal="left" vertical="bottom" indent="2"/>
    </xf>
    <xf numFmtId="167" fontId="7" fillId="4" borderId="13" applyAlignment="1" pivotButton="0" quotePrefix="0" xfId="51">
      <alignment horizontal="right" vertical="bottom"/>
    </xf>
    <xf numFmtId="167" fontId="7" fillId="4" borderId="24" applyAlignment="1" pivotButton="0" quotePrefix="0" xfId="51">
      <alignment horizontal="right" vertical="bottom"/>
    </xf>
    <xf numFmtId="167" fontId="7" fillId="4" borderId="25" applyAlignment="1" pivotButton="0" quotePrefix="0" xfId="51">
      <alignment horizontal="right" vertical="bottom"/>
    </xf>
    <xf numFmtId="168" fontId="22" fillId="0" borderId="13" applyAlignment="1" pivotButton="0" quotePrefix="0" xfId="51">
      <alignment horizontal="right" vertical="bottom"/>
    </xf>
    <xf numFmtId="168" fontId="22" fillId="0" borderId="24" applyAlignment="1" pivotButton="0" quotePrefix="0" xfId="51">
      <alignment horizontal="right" vertical="bottom"/>
    </xf>
    <xf numFmtId="168" fontId="22" fillId="0" borderId="25" applyAlignment="1" pivotButton="0" quotePrefix="0" xfId="51">
      <alignment horizontal="right" vertical="bottom"/>
    </xf>
    <xf numFmtId="0" fontId="34" fillId="7" borderId="22" applyAlignment="1" pivotButton="0" quotePrefix="0" xfId="51">
      <alignment horizontal="general" vertical="center"/>
    </xf>
    <xf numFmtId="167" fontId="34" fillId="7" borderId="22" applyAlignment="1" pivotButton="0" quotePrefix="0" xfId="51">
      <alignment horizontal="right" vertical="center"/>
    </xf>
    <xf numFmtId="167" fontId="34" fillId="7" borderId="34" applyAlignment="1" pivotButton="0" quotePrefix="0" xfId="51">
      <alignment horizontal="right" vertical="center"/>
    </xf>
    <xf numFmtId="167" fontId="34" fillId="7" borderId="35" applyAlignment="1" pivotButton="0" quotePrefix="0" xfId="51">
      <alignment horizontal="right" vertical="center"/>
    </xf>
    <xf numFmtId="168" fontId="47" fillId="7" borderId="22" applyAlignment="1" pivotButton="0" quotePrefix="0" xfId="51">
      <alignment horizontal="right" vertical="center"/>
    </xf>
    <xf numFmtId="168" fontId="47" fillId="7" borderId="34" applyAlignment="1" pivotButton="0" quotePrefix="0" xfId="51">
      <alignment horizontal="right" vertical="center"/>
    </xf>
    <xf numFmtId="168" fontId="47" fillId="7" borderId="35" applyAlignment="1" pivotButton="0" quotePrefix="0" xfId="51">
      <alignment horizontal="right" vertical="center"/>
    </xf>
    <xf numFmtId="0" fontId="22" fillId="0" borderId="0" applyAlignment="1" pivotButton="0" quotePrefix="0" xfId="51">
      <alignment horizontal="general" vertical="bottom"/>
    </xf>
    <xf numFmtId="0" fontId="45" fillId="2" borderId="0" applyAlignment="1" pivotButton="0" quotePrefix="0" xfId="46">
      <alignment horizontal="left" vertical="bottom"/>
    </xf>
    <xf numFmtId="0" fontId="45" fillId="0" borderId="0" applyAlignment="1" pivotButton="0" quotePrefix="0" xfId="46">
      <alignment horizontal="left" vertical="bottom"/>
    </xf>
    <xf numFmtId="172" fontId="22" fillId="0" borderId="0" applyAlignment="1" pivotButton="0" quotePrefix="0" xfId="0">
      <alignment horizontal="right" vertical="bottom"/>
    </xf>
    <xf numFmtId="172" fontId="22" fillId="0" borderId="0" applyAlignment="1" pivotButton="0" quotePrefix="0" xfId="51">
      <alignment horizontal="right" vertical="bottom"/>
    </xf>
    <xf numFmtId="0" fontId="21" fillId="5" borderId="20" applyAlignment="1" pivotButton="0" quotePrefix="0" xfId="39">
      <alignment horizontal="center" vertical="bottom"/>
    </xf>
    <xf numFmtId="0" fontId="21" fillId="5" borderId="5" applyAlignment="1" pivotButton="0" quotePrefix="0" xfId="39">
      <alignment horizontal="right" vertical="bottom" wrapText="1"/>
    </xf>
    <xf numFmtId="166" fontId="21" fillId="8" borderId="6" applyAlignment="1" pivotButton="0" quotePrefix="0" xfId="55">
      <alignment horizontal="right" vertical="bottom"/>
    </xf>
    <xf numFmtId="166" fontId="21" fillId="8" borderId="7" applyAlignment="1" pivotButton="0" quotePrefix="0" xfId="55">
      <alignment horizontal="right" vertical="bottom"/>
    </xf>
    <xf numFmtId="0" fontId="38" fillId="2" borderId="0" applyAlignment="1" pivotButton="0" quotePrefix="0" xfId="49">
      <alignment horizontal="general" vertical="bottom"/>
    </xf>
    <xf numFmtId="0" fontId="19" fillId="4" borderId="0" applyAlignment="1" pivotButton="0" quotePrefix="0" xfId="39">
      <alignment horizontal="left" vertical="bottom"/>
    </xf>
    <xf numFmtId="173" fontId="19" fillId="4" borderId="0" applyAlignment="1" pivotButton="0" quotePrefix="0" xfId="39">
      <alignment horizontal="general" vertical="bottom"/>
    </xf>
    <xf numFmtId="173" fontId="19" fillId="4" borderId="85" applyAlignment="1" pivotButton="0" quotePrefix="0" xfId="39">
      <alignment horizontal="general" vertical="bottom"/>
    </xf>
    <xf numFmtId="173" fontId="19" fillId="4" borderId="84" applyAlignment="1" pivotButton="0" quotePrefix="0" xfId="39">
      <alignment horizontal="general" vertical="bottom"/>
    </xf>
    <xf numFmtId="0" fontId="19" fillId="4" borderId="0" applyAlignment="1" pivotButton="0" quotePrefix="0" xfId="39">
      <alignment horizontal="left" vertical="bottom" indent="2"/>
    </xf>
    <xf numFmtId="0" fontId="19" fillId="4" borderId="13" applyAlignment="1" pivotButton="0" quotePrefix="0" xfId="39">
      <alignment horizontal="left" vertical="bottom" indent="2"/>
    </xf>
    <xf numFmtId="173" fontId="19" fillId="4" borderId="13" applyAlignment="1" pivotButton="0" quotePrefix="0" xfId="39">
      <alignment horizontal="general" vertical="bottom"/>
    </xf>
    <xf numFmtId="173" fontId="19" fillId="4" borderId="86" applyAlignment="1" pivotButton="0" quotePrefix="0" xfId="39">
      <alignment horizontal="general" vertical="bottom"/>
    </xf>
    <xf numFmtId="173" fontId="19" fillId="4" borderId="72" applyAlignment="1" pivotButton="0" quotePrefix="0" xfId="39">
      <alignment horizontal="general" vertical="bottom"/>
    </xf>
    <xf numFmtId="0" fontId="19" fillId="4" borderId="13" applyAlignment="1" pivotButton="0" quotePrefix="0" xfId="39">
      <alignment horizontal="left" vertical="bottom" indent="1"/>
    </xf>
    <xf numFmtId="0" fontId="34" fillId="4" borderId="0" applyAlignment="1" pivotButton="0" quotePrefix="0" xfId="39">
      <alignment horizontal="left" vertical="bottom"/>
    </xf>
    <xf numFmtId="173" fontId="34" fillId="4" borderId="0" applyAlignment="1" pivotButton="0" quotePrefix="0" xfId="39">
      <alignment horizontal="general" vertical="bottom"/>
    </xf>
    <xf numFmtId="173" fontId="34" fillId="4" borderId="85" applyAlignment="1" pivotButton="0" quotePrefix="0" xfId="39">
      <alignment horizontal="general" vertical="bottom"/>
    </xf>
    <xf numFmtId="173" fontId="34" fillId="4" borderId="84" applyAlignment="1" pivotButton="0" quotePrefix="0" xfId="39">
      <alignment horizontal="general" vertical="bottom"/>
    </xf>
    <xf numFmtId="0" fontId="34" fillId="7" borderId="3" applyAlignment="1" pivotButton="0" quotePrefix="0" xfId="39">
      <alignment horizontal="left" vertical="bottom"/>
    </xf>
    <xf numFmtId="173" fontId="34" fillId="7" borderId="3" applyAlignment="1" pivotButton="0" quotePrefix="0" xfId="39">
      <alignment horizontal="general" vertical="bottom"/>
    </xf>
    <xf numFmtId="173" fontId="34" fillId="7" borderId="87" applyAlignment="1" pivotButton="0" quotePrefix="0" xfId="39">
      <alignment horizontal="general" vertical="bottom"/>
    </xf>
    <xf numFmtId="173" fontId="34" fillId="7" borderId="88" applyAlignment="1" pivotButton="0" quotePrefix="0" xfId="39">
      <alignment horizontal="general" vertical="bottom"/>
    </xf>
    <xf numFmtId="0" fontId="23" fillId="4" borderId="0" applyAlignment="1" pivotButton="0" quotePrefix="0" xfId="39">
      <alignment horizontal="general" vertical="bottom"/>
    </xf>
    <xf numFmtId="0" fontId="5" fillId="0" borderId="85" applyAlignment="1" pivotButton="0" quotePrefix="0" xfId="39">
      <alignment horizontal="general" vertical="bottom"/>
    </xf>
    <xf numFmtId="0" fontId="5" fillId="0" borderId="84" applyAlignment="1" pivotButton="0" quotePrefix="0" xfId="39">
      <alignment horizontal="general" vertical="bottom"/>
    </xf>
    <xf numFmtId="167" fontId="5" fillId="0" borderId="0" applyAlignment="1" pivotButton="0" quotePrefix="0" xfId="39">
      <alignment horizontal="right" vertical="bottom"/>
    </xf>
    <xf numFmtId="167" fontId="5" fillId="0" borderId="85" applyAlignment="1" pivotButton="0" quotePrefix="0" xfId="39">
      <alignment horizontal="right" vertical="bottom"/>
    </xf>
    <xf numFmtId="167" fontId="5" fillId="7" borderId="0" applyAlignment="1" pivotButton="0" quotePrefix="0" xfId="39">
      <alignment horizontal="right" vertical="bottom"/>
    </xf>
    <xf numFmtId="167" fontId="5" fillId="7" borderId="85" applyAlignment="1" pivotButton="0" quotePrefix="0" xfId="39">
      <alignment horizontal="right" vertical="bottom"/>
    </xf>
    <xf numFmtId="167" fontId="5" fillId="7" borderId="84" applyAlignment="1" pivotButton="0" quotePrefix="0" xfId="39">
      <alignment horizontal="right" vertical="bottom"/>
    </xf>
    <xf numFmtId="0" fontId="5" fillId="4" borderId="13" applyAlignment="1" pivotButton="0" quotePrefix="0" xfId="39">
      <alignment horizontal="left" vertical="bottom" indent="1"/>
    </xf>
    <xf numFmtId="167" fontId="5" fillId="0" borderId="13" applyAlignment="1" pivotButton="0" quotePrefix="0" xfId="39">
      <alignment horizontal="right" vertical="bottom"/>
    </xf>
    <xf numFmtId="167" fontId="5" fillId="0" borderId="86" applyAlignment="1" pivotButton="0" quotePrefix="0" xfId="39">
      <alignment horizontal="right" vertical="bottom"/>
    </xf>
    <xf numFmtId="167" fontId="5" fillId="7" borderId="13" applyAlignment="1" pivotButton="0" quotePrefix="0" xfId="39">
      <alignment horizontal="right" vertical="bottom"/>
    </xf>
    <xf numFmtId="167" fontId="5" fillId="7" borderId="86" applyAlignment="1" pivotButton="0" quotePrefix="0" xfId="39">
      <alignment horizontal="right" vertical="bottom"/>
    </xf>
    <xf numFmtId="167" fontId="5" fillId="7" borderId="72" applyAlignment="1" pivotButton="0" quotePrefix="0" xfId="39">
      <alignment horizontal="right" vertical="bottom"/>
    </xf>
    <xf numFmtId="0" fontId="34" fillId="7" borderId="22" applyAlignment="1" pivotButton="0" quotePrefix="0" xfId="39">
      <alignment horizontal="general" vertical="center"/>
    </xf>
    <xf numFmtId="167" fontId="34" fillId="7" borderId="22" applyAlignment="1" pivotButton="0" quotePrefix="0" xfId="39">
      <alignment horizontal="right" vertical="center"/>
    </xf>
    <xf numFmtId="167" fontId="34" fillId="7" borderId="89" applyAlignment="1" pivotButton="0" quotePrefix="0" xfId="39">
      <alignment horizontal="right" vertical="center"/>
    </xf>
    <xf numFmtId="167" fontId="34" fillId="7" borderId="90" applyAlignment="1" pivotButton="0" quotePrefix="0" xfId="39">
      <alignment horizontal="right" vertical="center"/>
    </xf>
    <xf numFmtId="0" fontId="35" fillId="2" borderId="0" applyAlignment="1" pivotButton="0" quotePrefix="0" xfId="49">
      <alignment horizontal="general" vertical="bottom"/>
    </xf>
    <xf numFmtId="0" fontId="25" fillId="4" borderId="0" applyAlignment="1" pivotButton="0" quotePrefix="0" xfId="39">
      <alignment horizontal="left" vertical="bottom"/>
    </xf>
    <xf numFmtId="173" fontId="25" fillId="4" borderId="0" applyAlignment="1" pivotButton="0" quotePrefix="0" xfId="39">
      <alignment horizontal="general" vertical="bottom"/>
    </xf>
    <xf numFmtId="0" fontId="46" fillId="2" borderId="0" applyAlignment="1" pivotButton="0" quotePrefix="0" xfId="39">
      <alignment horizontal="left" vertical="center"/>
    </xf>
    <xf numFmtId="196" fontId="21" fillId="5" borderId="91" applyAlignment="1" pivotButton="0" quotePrefix="0" xfId="39">
      <alignment horizontal="center" vertical="bottom"/>
    </xf>
    <xf numFmtId="0" fontId="46" fillId="5" borderId="0" applyAlignment="1" pivotButton="0" quotePrefix="0" xfId="39">
      <alignment horizontal="left" vertical="bottom"/>
    </xf>
    <xf numFmtId="0" fontId="21" fillId="5" borderId="10" applyAlignment="1" pivotButton="0" quotePrefix="0" xfId="39">
      <alignment horizontal="right" vertical="center" wrapText="1"/>
    </xf>
    <xf numFmtId="0" fontId="21" fillId="5" borderId="5" applyAlignment="1" pivotButton="0" quotePrefix="0" xfId="39">
      <alignment horizontal="right" vertical="center" wrapText="1"/>
    </xf>
    <xf numFmtId="0" fontId="46" fillId="5" borderId="20" applyAlignment="1" pivotButton="0" quotePrefix="0" xfId="55">
      <alignment horizontal="left" vertical="bottom"/>
    </xf>
    <xf numFmtId="0" fontId="23" fillId="4" borderId="0" applyAlignment="1" pivotButton="0" quotePrefix="0" xfId="39">
      <alignment horizontal="left" vertical="bottom"/>
    </xf>
    <xf numFmtId="173" fontId="19" fillId="4" borderId="23" applyAlignment="1" pivotButton="0" quotePrefix="0" xfId="39">
      <alignment horizontal="general" vertical="bottom"/>
    </xf>
    <xf numFmtId="173" fontId="19" fillId="4" borderId="92" applyAlignment="1" pivotButton="0" quotePrefix="0" xfId="39">
      <alignment horizontal="general" vertical="bottom"/>
    </xf>
    <xf numFmtId="173" fontId="19" fillId="4" borderId="10" applyAlignment="1" pivotButton="0" quotePrefix="0" xfId="39">
      <alignment horizontal="general" vertical="bottom"/>
    </xf>
    <xf numFmtId="173" fontId="19" fillId="4" borderId="93" applyAlignment="1" pivotButton="0" quotePrefix="0" xfId="39">
      <alignment horizontal="general" vertical="bottom"/>
    </xf>
    <xf numFmtId="0" fontId="25" fillId="4" borderId="10" applyAlignment="1" pivotButton="0" quotePrefix="0" xfId="39">
      <alignment horizontal="left" vertical="bottom"/>
    </xf>
    <xf numFmtId="173" fontId="19" fillId="4" borderId="58" applyAlignment="1" pivotButton="0" quotePrefix="0" xfId="39">
      <alignment horizontal="general" vertical="bottom"/>
    </xf>
    <xf numFmtId="173" fontId="19" fillId="4" borderId="24" applyAlignment="1" pivotButton="0" quotePrefix="0" xfId="39">
      <alignment horizontal="general" vertical="bottom"/>
    </xf>
    <xf numFmtId="173" fontId="19" fillId="4" borderId="59" applyAlignment="1" pivotButton="0" quotePrefix="0" xfId="39">
      <alignment horizontal="general" vertical="bottom"/>
    </xf>
    <xf numFmtId="0" fontId="25" fillId="4" borderId="13" applyAlignment="1" pivotButton="0" quotePrefix="0" xfId="39">
      <alignment horizontal="left" vertical="bottom"/>
    </xf>
    <xf numFmtId="0" fontId="19" fillId="4" borderId="0" applyAlignment="1" pivotButton="0" quotePrefix="0" xfId="39">
      <alignment horizontal="left" vertical="bottom" indent="1"/>
    </xf>
    <xf numFmtId="173" fontId="19" fillId="0" borderId="58" applyAlignment="1" pivotButton="0" quotePrefix="0" xfId="39">
      <alignment horizontal="general" vertical="bottom"/>
    </xf>
    <xf numFmtId="0" fontId="34" fillId="7" borderId="2" applyAlignment="1" pivotButton="0" quotePrefix="0" xfId="39">
      <alignment horizontal="left" vertical="bottom"/>
    </xf>
    <xf numFmtId="173" fontId="34" fillId="7" borderId="2" applyAlignment="1" pivotButton="0" quotePrefix="0" xfId="39">
      <alignment horizontal="general" vertical="bottom"/>
    </xf>
    <xf numFmtId="173" fontId="34" fillId="7" borderId="26" applyAlignment="1" pivotButton="0" quotePrefix="0" xfId="39">
      <alignment horizontal="general" vertical="bottom"/>
    </xf>
    <xf numFmtId="173" fontId="34" fillId="7" borderId="60" applyAlignment="1" pivotButton="0" quotePrefix="0" xfId="39">
      <alignment horizontal="general" vertical="bottom"/>
    </xf>
    <xf numFmtId="173" fontId="34" fillId="7" borderId="94" applyAlignment="1" pivotButton="0" quotePrefix="0" xfId="39">
      <alignment horizontal="general" vertical="bottom"/>
    </xf>
    <xf numFmtId="0" fontId="47" fillId="7" borderId="2" applyAlignment="1" pivotButton="0" quotePrefix="0" xfId="39">
      <alignment horizontal="left" vertical="bottom"/>
    </xf>
    <xf numFmtId="0" fontId="56" fillId="4" borderId="0" applyAlignment="1" pivotButton="0" quotePrefix="0" xfId="50">
      <alignment horizontal="general" vertical="bottom"/>
    </xf>
    <xf numFmtId="0" fontId="19" fillId="4" borderId="13" applyAlignment="1" pivotButton="0" quotePrefix="0" xfId="39">
      <alignment horizontal="left" vertical="bottom"/>
    </xf>
    <xf numFmtId="173" fontId="34" fillId="7" borderId="28" applyAlignment="1" pivotButton="0" quotePrefix="0" xfId="39">
      <alignment horizontal="general" vertical="bottom"/>
    </xf>
    <xf numFmtId="173" fontId="34" fillId="7" borderId="71" applyAlignment="1" pivotButton="0" quotePrefix="0" xfId="39">
      <alignment horizontal="general" vertical="bottom"/>
    </xf>
    <xf numFmtId="0" fontId="47" fillId="7" borderId="3" applyAlignment="1" pivotButton="0" quotePrefix="0" xfId="39">
      <alignment horizontal="left" vertical="bottom"/>
    </xf>
    <xf numFmtId="1" fontId="73" fillId="0" borderId="0" applyAlignment="1" pivotButton="0" quotePrefix="0" xfId="39">
      <alignment horizontal="general" vertical="bottom"/>
    </xf>
    <xf numFmtId="173" fontId="25" fillId="0" borderId="0" applyAlignment="1" pivotButton="0" quotePrefix="0" xfId="39">
      <alignment horizontal="general" vertical="bottom"/>
    </xf>
    <xf numFmtId="0" fontId="5" fillId="0" borderId="0" applyAlignment="1" pivotButton="0" quotePrefix="0" xfId="0">
      <alignment horizontal="general" vertical="bottom" wrapText="1"/>
    </xf>
    <xf numFmtId="0" fontId="5" fillId="0" borderId="0" applyAlignment="1" pivotButton="0" quotePrefix="0" xfId="62">
      <alignment horizontal="general" vertical="bottom"/>
    </xf>
    <xf numFmtId="0" fontId="5" fillId="0" borderId="0" applyAlignment="1" pivotButton="0" quotePrefix="0" xfId="62">
      <alignment horizontal="general" vertical="bottom" wrapText="1"/>
    </xf>
    <xf numFmtId="0" fontId="39" fillId="0" borderId="0" applyAlignment="1" pivotButton="0" quotePrefix="0" xfId="0">
      <alignment horizontal="general" vertical="bottom"/>
    </xf>
    <xf numFmtId="173" fontId="21" fillId="2" borderId="0" applyAlignment="1" pivotButton="0" quotePrefix="0" xfId="0">
      <alignment horizontal="general" vertical="center" wrapText="1"/>
    </xf>
    <xf numFmtId="166" fontId="21" fillId="5" borderId="0" applyAlignment="1" pivotButton="0" quotePrefix="0" xfId="0">
      <alignment horizontal="center" vertical="bottom"/>
    </xf>
    <xf numFmtId="166" fontId="21" fillId="5" borderId="20" applyAlignment="1" pivotButton="0" quotePrefix="0" xfId="0">
      <alignment horizontal="center" vertical="bottom"/>
    </xf>
    <xf numFmtId="166" fontId="21" fillId="5" borderId="0" applyAlignment="1" pivotButton="0" quotePrefix="0" xfId="0">
      <alignment horizontal="center" vertical="bottom" wrapText="1"/>
    </xf>
    <xf numFmtId="166" fontId="21" fillId="5" borderId="10" applyAlignment="1" pivotButton="0" quotePrefix="0" xfId="0">
      <alignment horizontal="center" vertical="bottom"/>
    </xf>
    <xf numFmtId="166" fontId="21" fillId="5" borderId="5" applyAlignment="1" pivotButton="0" quotePrefix="0" xfId="0">
      <alignment horizontal="center" vertical="bottom"/>
    </xf>
    <xf numFmtId="166" fontId="21" fillId="5" borderId="10" applyAlignment="1" pivotButton="0" quotePrefix="0" xfId="0">
      <alignment horizontal="center" vertical="bottom" wrapText="1"/>
    </xf>
    <xf numFmtId="0" fontId="21" fillId="5" borderId="10" applyAlignment="1" pivotButton="0" quotePrefix="0" xfId="39">
      <alignment horizontal="right" vertical="bottom" wrapText="1"/>
    </xf>
    <xf numFmtId="0" fontId="21" fillId="5" borderId="7" applyAlignment="1" pivotButton="0" quotePrefix="0" xfId="39">
      <alignment horizontal="right" vertical="bottom" wrapText="1"/>
    </xf>
    <xf numFmtId="0" fontId="21" fillId="5" borderId="10" applyAlignment="1" pivotButton="0" quotePrefix="0" xfId="39">
      <alignment horizontal="general" vertical="bottom" wrapText="1"/>
    </xf>
    <xf numFmtId="173" fontId="19" fillId="4" borderId="20" applyAlignment="1" pivotButton="0" quotePrefix="0" xfId="0">
      <alignment horizontal="general" vertical="bottom"/>
    </xf>
    <xf numFmtId="173" fontId="19" fillId="4" borderId="95" applyAlignment="1" pivotButton="0" quotePrefix="0" xfId="0">
      <alignment horizontal="general" vertical="bottom"/>
    </xf>
    <xf numFmtId="173" fontId="19" fillId="4" borderId="84" applyAlignment="1" pivotButton="0" quotePrefix="0" xfId="0">
      <alignment horizontal="general" vertical="bottom"/>
    </xf>
    <xf numFmtId="173" fontId="19" fillId="4" borderId="0" applyAlignment="1" pivotButton="0" quotePrefix="0" xfId="0">
      <alignment horizontal="general" vertical="bottom" wrapText="1"/>
    </xf>
    <xf numFmtId="173" fontId="19" fillId="0" borderId="85" applyAlignment="1" pivotButton="0" quotePrefix="0" xfId="0">
      <alignment horizontal="general" vertical="bottom"/>
    </xf>
    <xf numFmtId="173" fontId="19" fillId="4" borderId="85" applyAlignment="1" pivotButton="0" quotePrefix="0" xfId="0">
      <alignment horizontal="general" vertical="bottom"/>
    </xf>
    <xf numFmtId="173" fontId="19" fillId="0" borderId="20" applyAlignment="1" pivotButton="0" quotePrefix="0" xfId="0">
      <alignment horizontal="general" vertical="bottom"/>
    </xf>
    <xf numFmtId="0" fontId="19" fillId="4" borderId="0" applyAlignment="1" pivotButton="0" quotePrefix="0" xfId="0">
      <alignment horizontal="general" vertical="bottom" wrapText="1"/>
    </xf>
    <xf numFmtId="173" fontId="19" fillId="0" borderId="95" applyAlignment="1" pivotButton="0" quotePrefix="0" xfId="0">
      <alignment horizontal="general" vertical="bottom"/>
    </xf>
    <xf numFmtId="173" fontId="5" fillId="0" borderId="0" applyAlignment="1" pivotButton="0" quotePrefix="0" xfId="0">
      <alignment horizontal="general" vertical="bottom" wrapText="1"/>
    </xf>
    <xf numFmtId="173" fontId="19" fillId="4" borderId="76" applyAlignment="1" pivotButton="0" quotePrefix="0" xfId="0">
      <alignment horizontal="general" vertical="bottom"/>
    </xf>
    <xf numFmtId="173" fontId="19" fillId="0" borderId="86" applyAlignment="1" pivotButton="0" quotePrefix="0" xfId="0">
      <alignment horizontal="general" vertical="bottom"/>
    </xf>
    <xf numFmtId="173" fontId="19" fillId="4" borderId="86" applyAlignment="1" pivotButton="0" quotePrefix="0" xfId="0">
      <alignment horizontal="general" vertical="bottom"/>
    </xf>
    <xf numFmtId="173" fontId="19" fillId="4" borderId="96" applyAlignment="1" pivotButton="0" quotePrefix="0" xfId="0">
      <alignment horizontal="general" vertical="bottom"/>
    </xf>
    <xf numFmtId="173" fontId="19" fillId="4" borderId="72" applyAlignment="1" pivotButton="0" quotePrefix="0" xfId="0">
      <alignment horizontal="general" vertical="bottom"/>
    </xf>
    <xf numFmtId="173" fontId="19" fillId="4" borderId="13" applyAlignment="1" pivotButton="0" quotePrefix="0" xfId="0">
      <alignment horizontal="general" vertical="bottom" wrapText="1"/>
    </xf>
    <xf numFmtId="173" fontId="34" fillId="7" borderId="22" applyAlignment="1" pivotButton="0" quotePrefix="0" xfId="0">
      <alignment horizontal="general" vertical="center"/>
    </xf>
    <xf numFmtId="173" fontId="34" fillId="7" borderId="87" applyAlignment="1" pivotButton="0" quotePrefix="0" xfId="0">
      <alignment horizontal="general" vertical="bottom"/>
    </xf>
    <xf numFmtId="173" fontId="34" fillId="7" borderId="97" applyAlignment="1" pivotButton="0" quotePrefix="0" xfId="0">
      <alignment horizontal="general" vertical="bottom"/>
    </xf>
    <xf numFmtId="173" fontId="34" fillId="7" borderId="88" applyAlignment="1" pivotButton="0" quotePrefix="0" xfId="0">
      <alignment horizontal="general" vertical="bottom"/>
    </xf>
    <xf numFmtId="173" fontId="34" fillId="7" borderId="3" applyAlignment="1" pivotButton="0" quotePrefix="0" xfId="0">
      <alignment horizontal="general" vertical="bottom" wrapText="1"/>
    </xf>
    <xf numFmtId="170" fontId="35" fillId="0" borderId="0" applyAlignment="1" pivotButton="0" quotePrefix="0" xfId="0">
      <alignment horizontal="general" vertical="bottom" wrapText="1"/>
    </xf>
    <xf numFmtId="170" fontId="5" fillId="0" borderId="0" applyAlignment="1" pivotButton="0" quotePrefix="0" xfId="0">
      <alignment horizontal="general" vertical="bottom"/>
    </xf>
    <xf numFmtId="0" fontId="5" fillId="0" borderId="0" applyAlignment="1" pivotButton="0" quotePrefix="0" xfId="0">
      <alignment horizontal="left" vertical="bottom" wrapText="1"/>
    </xf>
    <xf numFmtId="0" fontId="5" fillId="0" borderId="0" applyAlignment="1" pivotButton="0" quotePrefix="0" xfId="0">
      <alignment horizontal="right" vertical="bottom" wrapText="1"/>
    </xf>
    <xf numFmtId="0" fontId="5" fillId="0" borderId="0" applyAlignment="1" pivotButton="0" quotePrefix="0" xfId="0">
      <alignment horizontal="right" vertical="bottom"/>
    </xf>
    <xf numFmtId="201" fontId="19" fillId="4" borderId="0" applyAlignment="1" pivotButton="0" quotePrefix="0" xfId="0">
      <alignment horizontal="general" vertical="bottom"/>
    </xf>
    <xf numFmtId="0" fontId="19" fillId="4" borderId="0" applyAlignment="1" pivotButton="0" quotePrefix="0" xfId="0">
      <alignment horizontal="left" vertical="center" indent="1"/>
    </xf>
    <xf numFmtId="0" fontId="34" fillId="7" borderId="22" applyAlignment="1" pivotButton="0" quotePrefix="0" xfId="0">
      <alignment horizontal="left" vertical="center"/>
    </xf>
    <xf numFmtId="173" fontId="34" fillId="7" borderId="34" applyAlignment="1" pivotButton="0" quotePrefix="0" xfId="0">
      <alignment horizontal="general" vertical="center"/>
    </xf>
    <xf numFmtId="173" fontId="34" fillId="7" borderId="35" applyAlignment="1" pivotButton="0" quotePrefix="0" xfId="0">
      <alignment horizontal="general" vertical="center"/>
    </xf>
    <xf numFmtId="170" fontId="35" fillId="7" borderId="0" applyAlignment="1" pivotButton="0" quotePrefix="0" xfId="0">
      <alignment horizontal="general" vertical="bottom"/>
    </xf>
    <xf numFmtId="0" fontId="45" fillId="2" borderId="0" applyAlignment="1" pivotButton="0" quotePrefix="0" xfId="0">
      <alignment horizontal="left" vertical="bottom"/>
    </xf>
    <xf numFmtId="0" fontId="27" fillId="4" borderId="0" applyAlignment="1" pivotButton="0" quotePrefix="0" xfId="49">
      <alignment horizontal="general" vertical="center"/>
    </xf>
    <xf numFmtId="0" fontId="61" fillId="4" borderId="0" applyAlignment="1" pivotButton="0" quotePrefix="0" xfId="49">
      <alignment horizontal="general" vertical="bottom"/>
    </xf>
    <xf numFmtId="0" fontId="62" fillId="0" borderId="0" applyAlignment="1" pivotButton="0" quotePrefix="0" xfId="49">
      <alignment horizontal="general" vertical="bottom"/>
    </xf>
    <xf numFmtId="0" fontId="24" fillId="0" borderId="0" applyAlignment="1" pivotButton="0" quotePrefix="0" xfId="54">
      <alignment horizontal="general" vertical="bottom"/>
    </xf>
    <xf numFmtId="0" fontId="21" fillId="2" borderId="0" applyAlignment="1" pivotButton="0" quotePrefix="0" xfId="39">
      <alignment horizontal="left" vertical="center"/>
    </xf>
    <xf numFmtId="0" fontId="21" fillId="5" borderId="0" applyAlignment="1" pivotButton="0" quotePrefix="0" xfId="39">
      <alignment horizontal="left" vertical="bottom"/>
    </xf>
    <xf numFmtId="0" fontId="69" fillId="4" borderId="0" applyAlignment="1" pivotButton="0" quotePrefix="0" xfId="39">
      <alignment horizontal="left" vertical="bottom"/>
    </xf>
    <xf numFmtId="0" fontId="69" fillId="4" borderId="0" applyAlignment="1" applyProtection="1" pivotButton="0" quotePrefix="0" xfId="39">
      <alignment horizontal="left" vertical="bottom"/>
      <protection locked="0" hidden="0"/>
    </xf>
    <xf numFmtId="0" fontId="77" fillId="24" borderId="99" pivotButton="0" quotePrefix="0" xfId="0"/>
    <xf numFmtId="0" fontId="0" fillId="0" borderId="99" applyProtection="1" pivotButton="0" quotePrefix="0" xfId="0">
      <protection locked="0" hidden="0"/>
    </xf>
    <xf numFmtId="0" fontId="0" fillId="0" borderId="99" pivotButton="0" quotePrefix="0" xfId="0"/>
    <xf numFmtId="0" fontId="77" fillId="24" borderId="0" pivotButton="0" quotePrefix="0" xfId="0"/>
    <xf numFmtId="205" fontId="0" fillId="0" borderId="99" applyProtection="1" pivotButton="0" quotePrefix="0" xfId="0">
      <protection locked="0" hidden="0"/>
    </xf>
    <xf numFmtId="10" fontId="0" fillId="0" borderId="99" applyProtection="1" pivotButton="0" quotePrefix="0" xfId="0">
      <protection locked="0" hidden="0"/>
    </xf>
    <xf numFmtId="0" fontId="45" fillId="0" borderId="0" applyAlignment="1" pivotButton="0" quotePrefix="0" xfId="0">
      <alignment horizontal="general" vertical="bottom"/>
    </xf>
    <xf numFmtId="174" fontId="45" fillId="0" borderId="0" applyAlignment="1" pivotButton="0" quotePrefix="0" xfId="0">
      <alignment horizontal="general" vertical="bottom"/>
    </xf>
    <xf numFmtId="166" fontId="21" fillId="5" borderId="15" applyAlignment="1" pivotButton="0" quotePrefix="0" xfId="0">
      <alignment horizontal="center" vertical="bottom"/>
    </xf>
    <xf numFmtId="166" fontId="21" fillId="5" borderId="31" applyAlignment="1" pivotButton="0" quotePrefix="0" xfId="0">
      <alignment horizontal="center" vertical="bottom"/>
    </xf>
    <xf numFmtId="166" fontId="21" fillId="5" borderId="32" applyAlignment="1" pivotButton="0" quotePrefix="0" xfId="0">
      <alignment horizontal="center" vertical="bottom"/>
    </xf>
    <xf numFmtId="166" fontId="21" fillId="5" borderId="31" applyAlignment="1" pivotButton="0" quotePrefix="0" xfId="0">
      <alignment horizontal="center" vertical="bottom" wrapText="1"/>
    </xf>
    <xf numFmtId="166" fontId="46" fillId="8" borderId="31" applyAlignment="1" pivotButton="0" quotePrefix="0" xfId="0">
      <alignment horizontal="center" vertical="bottom" wrapText="1"/>
    </xf>
    <xf numFmtId="166" fontId="21" fillId="8" borderId="31" applyAlignment="1" pivotButton="0" quotePrefix="0" xfId="0">
      <alignment horizontal="center" vertical="bottom"/>
    </xf>
    <xf numFmtId="166" fontId="21" fillId="8" borderId="31" applyAlignment="1" pivotButton="0" quotePrefix="0" xfId="0">
      <alignment horizontal="center" vertical="bottom" wrapText="1"/>
    </xf>
    <xf numFmtId="0" fontId="35" fillId="0" borderId="0" applyAlignment="1" pivotButton="0" quotePrefix="0" xfId="0">
      <alignment horizontal="center" vertical="bottom"/>
    </xf>
    <xf numFmtId="166" fontId="46" fillId="8" borderId="21" applyAlignment="1" pivotButton="0" quotePrefix="0" xfId="0">
      <alignment horizontal="right" vertical="center" wrapText="1"/>
    </xf>
    <xf numFmtId="166" fontId="21" fillId="8" borderId="19" applyAlignment="1" pivotButton="0" quotePrefix="0" xfId="0">
      <alignment horizontal="right" vertical="center" wrapText="1"/>
    </xf>
    <xf numFmtId="166" fontId="21" fillId="8" borderId="21" applyAlignment="1" pivotButton="0" quotePrefix="0" xfId="0">
      <alignment horizontal="right" vertical="center" wrapText="1"/>
    </xf>
    <xf numFmtId="0" fontId="35" fillId="0" borderId="0" applyAlignment="1" pivotButton="0" quotePrefix="0" xfId="0">
      <alignment horizontal="general" vertical="bottom" wrapText="1"/>
    </xf>
    <xf numFmtId="0" fontId="34" fillId="0" borderId="0" applyAlignment="1" pivotButton="0" quotePrefix="0" xfId="0">
      <alignment horizontal="left" vertical="bottom"/>
    </xf>
    <xf numFmtId="0" fontId="48" fillId="0" borderId="0" applyAlignment="1" pivotButton="0" quotePrefix="0" xfId="0">
      <alignment horizontal="general" vertical="bottom"/>
    </xf>
    <xf numFmtId="0" fontId="0" fillId="4" borderId="13" applyAlignment="1" pivotButton="0" quotePrefix="0" xfId="0">
      <alignment horizontal="general" vertical="bottom"/>
    </xf>
    <xf numFmtId="173" fontId="34" fillId="7" borderId="23" applyAlignment="1" pivotButton="0" quotePrefix="0" xfId="0">
      <alignment horizontal="general" vertical="bottom"/>
    </xf>
    <xf numFmtId="173" fontId="34" fillId="7" borderId="0" applyAlignment="1" pivotButton="0" quotePrefix="0" xfId="0">
      <alignment horizontal="general" vertical="bottom"/>
    </xf>
    <xf numFmtId="173" fontId="34" fillId="7" borderId="4" applyAlignment="1" pivotButton="0" quotePrefix="0" xfId="0">
      <alignment horizontal="general" vertical="bottom"/>
    </xf>
    <xf numFmtId="0" fontId="19" fillId="0" borderId="0" applyAlignment="1" pivotButton="0" quotePrefix="0" xfId="0">
      <alignment horizontal="left" vertical="center"/>
    </xf>
    <xf numFmtId="167" fontId="19" fillId="0" borderId="0" applyAlignment="1" pivotButton="0" quotePrefix="0" xfId="0">
      <alignment horizontal="right" vertical="bottom"/>
    </xf>
    <xf numFmtId="167" fontId="19" fillId="0" borderId="33" applyAlignment="1" pivotButton="0" quotePrefix="0" xfId="0">
      <alignment horizontal="right" vertical="bottom"/>
    </xf>
    <xf numFmtId="174" fontId="25" fillId="0" borderId="0" applyAlignment="1" pivotButton="0" quotePrefix="0" xfId="0">
      <alignment horizontal="right" vertical="bottom"/>
    </xf>
    <xf numFmtId="174" fontId="25" fillId="0" borderId="33" applyAlignment="1" pivotButton="0" quotePrefix="0" xfId="0">
      <alignment horizontal="right" vertical="bottom"/>
    </xf>
    <xf numFmtId="167" fontId="19" fillId="0" borderId="23" applyAlignment="1" pivotButton="0" quotePrefix="0" xfId="0">
      <alignment horizontal="right" vertical="bottom"/>
    </xf>
    <xf numFmtId="167" fontId="19" fillId="0" borderId="4" applyAlignment="1" pivotButton="0" quotePrefix="0" xfId="0">
      <alignment horizontal="right" vertical="bottom"/>
    </xf>
    <xf numFmtId="0" fontId="19" fillId="0" borderId="13" applyAlignment="1" pivotButton="0" quotePrefix="0" xfId="0">
      <alignment horizontal="left" vertical="center"/>
    </xf>
    <xf numFmtId="0" fontId="34" fillId="7" borderId="3" applyAlignment="1" pivotButton="0" quotePrefix="0" xfId="0">
      <alignment horizontal="left" vertical="center"/>
    </xf>
    <xf numFmtId="167" fontId="34" fillId="7" borderId="22" applyAlignment="1" pivotButton="0" quotePrefix="0" xfId="0">
      <alignment horizontal="right" vertical="center"/>
    </xf>
    <xf numFmtId="167" fontId="34" fillId="7" borderId="34" applyAlignment="1" pivotButton="0" quotePrefix="0" xfId="0">
      <alignment horizontal="right" vertical="center"/>
    </xf>
    <xf numFmtId="167" fontId="34" fillId="7" borderId="35" applyAlignment="1" pivotButton="0" quotePrefix="0" xfId="0">
      <alignment horizontal="right" vertical="center"/>
    </xf>
    <xf numFmtId="167" fontId="34" fillId="0" borderId="0" applyAlignment="1" pivotButton="0" quotePrefix="0" xfId="0">
      <alignment horizontal="right" vertical="center"/>
    </xf>
    <xf numFmtId="174" fontId="47" fillId="0" borderId="0" applyAlignment="1" pivotButton="0" quotePrefix="0" xfId="0">
      <alignment horizontal="right" vertical="center"/>
    </xf>
    <xf numFmtId="0" fontId="49" fillId="0" borderId="0" applyAlignment="1" pivotButton="0" quotePrefix="0" xfId="0">
      <alignment horizontal="general" vertical="bottom"/>
    </xf>
    <xf numFmtId="175" fontId="50" fillId="2" borderId="0" applyAlignment="1" pivotButton="0" quotePrefix="0" xfId="0">
      <alignment horizontal="general" vertical="center"/>
    </xf>
    <xf numFmtId="0" fontId="21" fillId="5" borderId="0" applyAlignment="1" pivotButton="0" quotePrefix="0" xfId="47">
      <alignment horizontal="left" vertical="center"/>
    </xf>
    <xf numFmtId="175" fontId="50" fillId="5" borderId="0" applyAlignment="1" pivotButton="0" quotePrefix="0" xfId="0">
      <alignment horizontal="general" vertical="center"/>
    </xf>
    <xf numFmtId="170" fontId="34" fillId="4" borderId="0" applyAlignment="1" pivotButton="0" quotePrefix="0" xfId="0">
      <alignment horizontal="general" vertical="bottom"/>
    </xf>
    <xf numFmtId="167" fontId="5" fillId="0" borderId="0" applyAlignment="1" pivotButton="0" quotePrefix="0" xfId="0">
      <alignment horizontal="right" vertical="bottom"/>
    </xf>
    <xf numFmtId="170" fontId="19" fillId="4" borderId="0" applyAlignment="1" pivotButton="0" quotePrefix="0" xfId="0">
      <alignment horizontal="general" vertical="bottom"/>
    </xf>
    <xf numFmtId="0" fontId="5" fillId="0" borderId="0" applyAlignment="1" pivotButton="0" quotePrefix="0" xfId="0">
      <alignment horizontal="left" vertical="bottom" indent="1"/>
    </xf>
    <xf numFmtId="0" fontId="34" fillId="7" borderId="2" applyAlignment="1" pivotButton="0" quotePrefix="0" xfId="0">
      <alignment horizontal="general" vertical="center"/>
    </xf>
    <xf numFmtId="170" fontId="34" fillId="7" borderId="2" applyAlignment="1" pivotButton="0" quotePrefix="0" xfId="0">
      <alignment horizontal="general" vertical="center"/>
    </xf>
    <xf numFmtId="0" fontId="34" fillId="7" borderId="22" applyAlignment="1" pivotButton="0" quotePrefix="0" xfId="0">
      <alignment horizontal="general" vertical="center"/>
    </xf>
    <xf numFmtId="170" fontId="34" fillId="7" borderId="22" applyAlignment="1" pivotButton="0" quotePrefix="0" xfId="0">
      <alignment horizontal="general" vertical="center"/>
    </xf>
    <xf numFmtId="170" fontId="38" fillId="0" borderId="0" applyAlignment="1" pivotButton="0" quotePrefix="0" xfId="0">
      <alignment horizontal="general" vertical="bottom"/>
    </xf>
    <xf numFmtId="167" fontId="5" fillId="0" borderId="0" applyAlignment="1" pivotButton="0" quotePrefix="0" xfId="0">
      <alignment horizontal="general" vertical="bottom"/>
    </xf>
    <xf numFmtId="0" fontId="23" fillId="0" borderId="0" applyAlignment="1" pivotButton="0" quotePrefix="0" xfId="0">
      <alignment horizontal="general" vertical="bottom"/>
    </xf>
    <xf numFmtId="0" fontId="41" fillId="0" borderId="0" applyAlignment="1" pivotButton="0" quotePrefix="0" xfId="0">
      <alignment horizontal="left" vertical="center" readingOrder="1"/>
    </xf>
    <xf numFmtId="166" fontId="21" fillId="8" borderId="0" applyAlignment="1" pivotButton="0" quotePrefix="0" xfId="0">
      <alignment horizontal="right" vertical="bottom" wrapText="1"/>
    </xf>
    <xf numFmtId="176" fontId="19" fillId="4" borderId="0" applyAlignment="1" pivotButton="0" quotePrefix="0" xfId="0">
      <alignment horizontal="general" vertical="bottom"/>
    </xf>
    <xf numFmtId="176" fontId="19" fillId="4" borderId="13" applyAlignment="1" pivotButton="0" quotePrefix="0" xfId="0">
      <alignment horizontal="general" vertical="bottom"/>
    </xf>
    <xf numFmtId="167" fontId="5" fillId="0" borderId="0" applyAlignment="1" pivotButton="0" quotePrefix="0" xfId="0">
      <alignment horizontal="left" vertical="bottom"/>
    </xf>
    <xf numFmtId="176" fontId="5" fillId="0" borderId="0" applyAlignment="1" pivotButton="0" quotePrefix="0" xfId="0">
      <alignment horizontal="left" vertical="bottom"/>
    </xf>
    <xf numFmtId="176" fontId="34" fillId="4" borderId="0" applyAlignment="1" pivotButton="0" quotePrefix="0" xfId="0">
      <alignment horizontal="general" vertical="bottom"/>
    </xf>
    <xf numFmtId="174" fontId="47" fillId="4" borderId="0" applyAlignment="1" pivotButton="0" quotePrefix="0" xfId="0">
      <alignment horizontal="general" vertical="bottom"/>
    </xf>
    <xf numFmtId="176" fontId="34" fillId="7" borderId="3" applyAlignment="1" pivotButton="0" quotePrefix="0" xfId="0">
      <alignment horizontal="general" vertical="bottom"/>
    </xf>
    <xf numFmtId="176" fontId="5" fillId="0" borderId="0" applyAlignment="1" pivotButton="0" quotePrefix="0" xfId="0">
      <alignment horizontal="general" vertical="bottom"/>
    </xf>
    <xf numFmtId="176" fontId="35" fillId="0" borderId="0" applyAlignment="1" pivotButton="0" quotePrefix="0" xfId="0">
      <alignment horizontal="general" vertical="bottom"/>
    </xf>
    <xf numFmtId="177" fontId="41" fillId="7" borderId="0" applyAlignment="1" pivotButton="0" quotePrefix="0" xfId="0">
      <alignment horizontal="center" vertical="center" wrapText="1" readingOrder="1"/>
    </xf>
    <xf numFmtId="177" fontId="51" fillId="2" borderId="0" applyAlignment="1" pivotButton="0" quotePrefix="0" xfId="0">
      <alignment horizontal="center" vertical="center" wrapText="1" readingOrder="1"/>
    </xf>
    <xf numFmtId="170" fontId="5" fillId="0" borderId="0" applyAlignment="1" pivotButton="0" quotePrefix="0" xfId="0">
      <alignment horizontal="right" vertical="bottom"/>
    </xf>
    <xf numFmtId="170" fontId="5" fillId="0" borderId="23" applyAlignment="1" pivotButton="0" quotePrefix="0" xfId="0">
      <alignment horizontal="right" vertical="bottom"/>
    </xf>
    <xf numFmtId="170" fontId="5" fillId="0" borderId="4" applyAlignment="1" pivotButton="0" quotePrefix="0" xfId="0">
      <alignment horizontal="right" vertical="bottom"/>
    </xf>
    <xf numFmtId="0" fontId="5" fillId="0" borderId="0" applyAlignment="1" pivotButton="0" quotePrefix="0" xfId="0">
      <alignment horizontal="left" vertical="bottom" indent="2"/>
    </xf>
    <xf numFmtId="0" fontId="35" fillId="7" borderId="0" applyAlignment="1" pivotButton="0" quotePrefix="0" xfId="0">
      <alignment horizontal="left" vertical="bottom" indent="2"/>
    </xf>
    <xf numFmtId="0" fontId="35" fillId="7" borderId="0" applyAlignment="1" pivotButton="0" quotePrefix="0" xfId="0">
      <alignment horizontal="general" vertical="bottom"/>
    </xf>
    <xf numFmtId="170" fontId="35" fillId="7" borderId="0" applyAlignment="1" pivotButton="0" quotePrefix="0" xfId="0">
      <alignment horizontal="right" vertical="bottom"/>
    </xf>
    <xf numFmtId="170" fontId="35" fillId="7" borderId="23" applyAlignment="1" pivotButton="0" quotePrefix="0" xfId="0">
      <alignment horizontal="right" vertical="bottom"/>
    </xf>
    <xf numFmtId="170" fontId="35" fillId="7" borderId="4" applyAlignment="1" pivotButton="0" quotePrefix="0" xfId="0">
      <alignment horizontal="right" vertical="bottom"/>
    </xf>
    <xf numFmtId="178" fontId="35" fillId="7" borderId="0" applyAlignment="1" pivotButton="0" quotePrefix="0" xfId="0">
      <alignment horizontal="right" vertical="bottom"/>
    </xf>
    <xf numFmtId="178" fontId="35" fillId="7" borderId="23" applyAlignment="1" pivotButton="0" quotePrefix="0" xfId="0">
      <alignment horizontal="right" vertical="bottom"/>
    </xf>
    <xf numFmtId="178" fontId="35" fillId="7" borderId="4" applyAlignment="1" pivotButton="0" quotePrefix="0" xfId="0">
      <alignment horizontal="right" vertical="bottom"/>
    </xf>
    <xf numFmtId="178" fontId="35" fillId="9" borderId="0" applyAlignment="1" pivotButton="0" quotePrefix="0" xfId="0">
      <alignment horizontal="right" vertical="bottom"/>
    </xf>
    <xf numFmtId="0" fontId="5" fillId="0" borderId="13" applyAlignment="1" pivotButton="0" quotePrefix="0" xfId="0">
      <alignment horizontal="left" vertical="bottom" indent="2"/>
    </xf>
    <xf numFmtId="0" fontId="5" fillId="0" borderId="13" applyAlignment="1" pivotButton="0" quotePrefix="0" xfId="0">
      <alignment horizontal="general" vertical="bottom"/>
    </xf>
    <xf numFmtId="170" fontId="5" fillId="0" borderId="13" applyAlignment="1" pivotButton="0" quotePrefix="0" xfId="0">
      <alignment horizontal="right" vertical="bottom"/>
    </xf>
    <xf numFmtId="170" fontId="5" fillId="0" borderId="24" applyAlignment="1" pivotButton="0" quotePrefix="0" xfId="0">
      <alignment horizontal="right" vertical="bottom"/>
    </xf>
    <xf numFmtId="170" fontId="5" fillId="7" borderId="13" applyAlignment="1" pivotButton="0" quotePrefix="0" xfId="0">
      <alignment horizontal="right" vertical="bottom"/>
    </xf>
    <xf numFmtId="170" fontId="5" fillId="7" borderId="25" applyAlignment="1" pivotButton="0" quotePrefix="0" xfId="0">
      <alignment horizontal="right" vertical="bottom"/>
    </xf>
    <xf numFmtId="178" fontId="38" fillId="0" borderId="36" applyAlignment="1" pivotButton="0" quotePrefix="0" xfId="0">
      <alignment horizontal="general" vertical="bottom"/>
    </xf>
    <xf numFmtId="170" fontId="34" fillId="7" borderId="22" applyAlignment="1" pivotButton="0" quotePrefix="0" xfId="0">
      <alignment horizontal="right" vertical="center"/>
    </xf>
    <xf numFmtId="170" fontId="34" fillId="7" borderId="34" applyAlignment="1" pivotButton="0" quotePrefix="0" xfId="0">
      <alignment horizontal="right" vertical="center"/>
    </xf>
    <xf numFmtId="170" fontId="34" fillId="7" borderId="35" applyAlignment="1" pivotButton="0" quotePrefix="0" xfId="0">
      <alignment horizontal="right" vertical="center"/>
    </xf>
    <xf numFmtId="0" fontId="52" fillId="0" borderId="0" applyAlignment="1" pivotButton="0" quotePrefix="0" xfId="0">
      <alignment horizontal="general" vertical="bottom"/>
    </xf>
    <xf numFmtId="0" fontId="5" fillId="0" borderId="0" applyAlignment="1" pivotButton="0" quotePrefix="0" xfId="0">
      <alignment horizontal="left" vertical="bottom" indent="3"/>
    </xf>
    <xf numFmtId="0" fontId="5" fillId="4" borderId="0" applyAlignment="1" pivotButton="0" quotePrefix="0" xfId="0">
      <alignment horizontal="left" vertical="bottom" indent="3"/>
    </xf>
    <xf numFmtId="0" fontId="5" fillId="4" borderId="13" applyAlignment="1" pivotButton="0" quotePrefix="0" xfId="0">
      <alignment horizontal="left" vertical="bottom" indent="3"/>
    </xf>
    <xf numFmtId="170" fontId="5" fillId="0" borderId="25" applyAlignment="1" pivotButton="0" quotePrefix="0" xfId="0">
      <alignment horizontal="right" vertical="bottom"/>
    </xf>
    <xf numFmtId="0" fontId="5" fillId="4" borderId="0" applyAlignment="1" pivotButton="0" quotePrefix="0" xfId="0">
      <alignment horizontal="left" vertical="bottom" indent="2"/>
    </xf>
    <xf numFmtId="0" fontId="5" fillId="4" borderId="13" applyAlignment="1" pivotButton="0" quotePrefix="0" xfId="0">
      <alignment horizontal="left" vertical="bottom" indent="2"/>
    </xf>
    <xf numFmtId="170" fontId="21" fillId="5" borderId="0" applyAlignment="1" pivotButton="0" quotePrefix="0" xfId="0">
      <alignment horizontal="left" vertical="bottom"/>
    </xf>
    <xf numFmtId="170" fontId="5" fillId="0" borderId="0" applyAlignment="1" pivotButton="0" quotePrefix="0" xfId="0">
      <alignment horizontal="left" vertical="bottom" indent="1"/>
    </xf>
    <xf numFmtId="170" fontId="5" fillId="0" borderId="0" applyAlignment="1" pivotButton="0" quotePrefix="0" xfId="0">
      <alignment horizontal="left" vertical="bottom" indent="2"/>
    </xf>
    <xf numFmtId="170" fontId="38" fillId="0" borderId="36" applyAlignment="1" pivotButton="0" quotePrefix="0" xfId="0">
      <alignment horizontal="general" vertical="bottom"/>
    </xf>
    <xf numFmtId="170" fontId="5" fillId="0" borderId="13" applyAlignment="1" pivotButton="0" quotePrefix="0" xfId="0">
      <alignment horizontal="left" vertical="bottom" indent="2"/>
    </xf>
    <xf numFmtId="170" fontId="5" fillId="4" borderId="13" applyAlignment="1" pivotButton="0" quotePrefix="0" xfId="0">
      <alignment horizontal="general" vertical="bottom"/>
    </xf>
    <xf numFmtId="170" fontId="5" fillId="4" borderId="13" applyAlignment="1" pivotButton="0" quotePrefix="0" xfId="0">
      <alignment horizontal="right" vertical="bottom"/>
    </xf>
    <xf numFmtId="170" fontId="5" fillId="4" borderId="24" applyAlignment="1" pivotButton="0" quotePrefix="0" xfId="0">
      <alignment horizontal="right" vertical="bottom"/>
    </xf>
    <xf numFmtId="170" fontId="5" fillId="4" borderId="25" applyAlignment="1" pivotButton="0" quotePrefix="0" xfId="0">
      <alignment horizontal="right" vertical="bottom"/>
    </xf>
    <xf numFmtId="170" fontId="5" fillId="4" borderId="13" applyAlignment="1" pivotButton="0" quotePrefix="0" xfId="0">
      <alignment horizontal="left" vertical="bottom" indent="1"/>
    </xf>
    <xf numFmtId="167" fontId="5" fillId="0" borderId="23" applyAlignment="1" pivotButton="0" quotePrefix="0" xfId="0">
      <alignment horizontal="right" vertical="bottom"/>
    </xf>
    <xf numFmtId="167" fontId="5" fillId="0" borderId="4" applyAlignment="1" pivotButton="0" quotePrefix="0" xfId="0">
      <alignment horizontal="right" vertical="bottom"/>
    </xf>
    <xf numFmtId="168" fontId="35" fillId="0" borderId="23" applyAlignment="1" pivotButton="0" quotePrefix="0" xfId="0">
      <alignment horizontal="right" vertical="bottom"/>
    </xf>
    <xf numFmtId="168" fontId="35" fillId="0" borderId="4" applyAlignment="1" pivotButton="0" quotePrefix="0" xfId="0">
      <alignment horizontal="right" vertical="bottom"/>
    </xf>
    <xf numFmtId="170" fontId="5" fillId="7" borderId="0" applyAlignment="1" pivotButton="0" quotePrefix="0" xfId="0">
      <alignment horizontal="right" vertical="bottom"/>
    </xf>
    <xf numFmtId="167" fontId="5" fillId="0" borderId="36" applyAlignment="1" pivotButton="0" quotePrefix="0" xfId="0">
      <alignment horizontal="right" vertical="bottom"/>
    </xf>
    <xf numFmtId="167" fontId="5" fillId="0" borderId="37" applyAlignment="1" pivotButton="0" quotePrefix="0" xfId="0">
      <alignment horizontal="right" vertical="bottom"/>
    </xf>
    <xf numFmtId="167" fontId="5" fillId="4" borderId="13" applyAlignment="1" pivotButton="0" quotePrefix="0" xfId="0">
      <alignment horizontal="right" vertical="bottom"/>
    </xf>
    <xf numFmtId="167" fontId="5" fillId="4" borderId="24" applyAlignment="1" pivotButton="0" quotePrefix="0" xfId="0">
      <alignment horizontal="right" vertical="bottom"/>
    </xf>
    <xf numFmtId="167" fontId="5" fillId="4" borderId="25" applyAlignment="1" pivotButton="0" quotePrefix="0" xfId="0">
      <alignment horizontal="right" vertical="bottom"/>
    </xf>
    <xf numFmtId="0" fontId="19" fillId="4" borderId="2" applyAlignment="1" pivotButton="0" quotePrefix="0" xfId="0">
      <alignment horizontal="left" vertical="bottom" indent="1"/>
    </xf>
    <xf numFmtId="0" fontId="19" fillId="4" borderId="2" applyAlignment="1" pivotButton="0" quotePrefix="0" xfId="0">
      <alignment horizontal="left" vertical="bottom"/>
    </xf>
    <xf numFmtId="173" fontId="19" fillId="4" borderId="2" applyAlignment="1" pivotButton="0" quotePrefix="0" xfId="0">
      <alignment horizontal="general" vertical="bottom"/>
    </xf>
    <xf numFmtId="173" fontId="19" fillId="0" borderId="26" applyAlignment="1" pivotButton="0" quotePrefix="0" xfId="0">
      <alignment horizontal="general" vertical="bottom"/>
    </xf>
    <xf numFmtId="173" fontId="19" fillId="0" borderId="27" applyAlignment="1" pivotButton="0" quotePrefix="0" xfId="0">
      <alignment horizontal="general" vertical="bottom"/>
    </xf>
    <xf numFmtId="0" fontId="5" fillId="4" borderId="0" applyAlignment="1" pivotButton="0" quotePrefix="0" xfId="0">
      <alignment horizontal="general" vertical="bottom"/>
    </xf>
    <xf numFmtId="170" fontId="34" fillId="7" borderId="34" applyAlignment="1" pivotButton="0" quotePrefix="0" xfId="0">
      <alignment horizontal="general" vertical="center"/>
    </xf>
    <xf numFmtId="170" fontId="34" fillId="7" borderId="35" applyAlignment="1" pivotButton="0" quotePrefix="0" xfId="0">
      <alignment horizontal="general" vertical="center"/>
    </xf>
    <xf numFmtId="0" fontId="35" fillId="0" borderId="0" applyAlignment="1" pivotButton="0" quotePrefix="0" xfId="0">
      <alignment horizontal="left" vertical="bottom" indent="1"/>
    </xf>
    <xf numFmtId="167" fontId="35" fillId="0" borderId="23" applyAlignment="1" pivotButton="0" quotePrefix="0" xfId="0">
      <alignment horizontal="right" vertical="bottom"/>
    </xf>
    <xf numFmtId="167" fontId="35" fillId="0" borderId="4" applyAlignment="1" pivotButton="0" quotePrefix="0" xfId="0">
      <alignment horizontal="right" vertical="bottom"/>
    </xf>
    <xf numFmtId="173" fontId="25" fillId="0" borderId="0" applyAlignment="1" pivotButton="0" quotePrefix="0" xfId="0">
      <alignment horizontal="general" vertical="bottom"/>
    </xf>
    <xf numFmtId="167" fontId="5" fillId="4" borderId="0" applyAlignment="1" pivotButton="0" quotePrefix="0" xfId="0">
      <alignment horizontal="right" vertical="bottom"/>
    </xf>
    <xf numFmtId="167" fontId="5" fillId="4" borderId="23" applyAlignment="1" pivotButton="0" quotePrefix="0" xfId="0">
      <alignment horizontal="right" vertical="bottom"/>
    </xf>
    <xf numFmtId="167" fontId="5" fillId="4" borderId="4" applyAlignment="1" pivotButton="0" quotePrefix="0" xfId="0">
      <alignment horizontal="right" vertical="bottom"/>
    </xf>
    <xf numFmtId="167" fontId="5" fillId="0" borderId="13" applyAlignment="1" pivotButton="0" quotePrefix="0" xfId="0">
      <alignment horizontal="right" vertical="bottom"/>
    </xf>
    <xf numFmtId="167" fontId="5" fillId="0" borderId="24" applyAlignment="1" pivotButton="0" quotePrefix="0" xfId="0">
      <alignment horizontal="right" vertical="bottom"/>
    </xf>
    <xf numFmtId="167" fontId="5" fillId="0" borderId="25" applyAlignment="1" pivotButton="0" quotePrefix="0" xfId="0">
      <alignment horizontal="right" vertical="bottom"/>
    </xf>
    <xf numFmtId="170" fontId="35" fillId="0" borderId="0" applyAlignment="1" pivotButton="0" quotePrefix="0" xfId="0">
      <alignment horizontal="right" vertical="bottom"/>
    </xf>
    <xf numFmtId="0" fontId="35" fillId="7" borderId="0" applyAlignment="1" pivotButton="0" quotePrefix="0" xfId="0">
      <alignment horizontal="left" vertical="bottom" indent="1"/>
    </xf>
    <xf numFmtId="179" fontId="5" fillId="0" borderId="0" applyAlignment="1" pivotButton="0" quotePrefix="0" xfId="0">
      <alignment horizontal="general" vertical="bottom"/>
    </xf>
    <xf numFmtId="180" fontId="5" fillId="0" borderId="0" applyAlignment="1" pivotButton="0" quotePrefix="0" xfId="0">
      <alignment horizontal="right" vertical="bottom"/>
    </xf>
    <xf numFmtId="170" fontId="5" fillId="4" borderId="0" applyAlignment="1" pivotButton="0" quotePrefix="0" xfId="0">
      <alignment horizontal="right" vertical="bottom"/>
    </xf>
    <xf numFmtId="170" fontId="5" fillId="4" borderId="23" applyAlignment="1" pivotButton="0" quotePrefix="0" xfId="0">
      <alignment horizontal="right" vertical="bottom"/>
    </xf>
    <xf numFmtId="170" fontId="5" fillId="4" borderId="4" applyAlignment="1" pivotButton="0" quotePrefix="0" xfId="0">
      <alignment horizontal="right" vertical="bottom"/>
    </xf>
    <xf numFmtId="174" fontId="35" fillId="0" borderId="0" applyAlignment="1" pivotButton="0" quotePrefix="0" xfId="0">
      <alignment horizontal="right" vertical="bottom"/>
    </xf>
    <xf numFmtId="0" fontId="5" fillId="4" borderId="0" applyAlignment="1" pivotButton="0" quotePrefix="0" xfId="0">
      <alignment horizontal="left" vertical="bottom"/>
    </xf>
    <xf numFmtId="174" fontId="35" fillId="0" borderId="0" applyAlignment="1" pivotButton="0" quotePrefix="0" xfId="0">
      <alignment horizontal="left" vertical="bottom"/>
    </xf>
    <xf numFmtId="0" fontId="35" fillId="4" borderId="13" applyAlignment="1" pivotButton="0" quotePrefix="0" xfId="0">
      <alignment horizontal="left" vertical="bottom"/>
    </xf>
    <xf numFmtId="0" fontId="5" fillId="0" borderId="13" applyAlignment="1" pivotButton="0" quotePrefix="0" xfId="0">
      <alignment horizontal="left" vertical="bottom" indent="1"/>
    </xf>
    <xf numFmtId="9" fontId="35" fillId="0" borderId="0" applyAlignment="1" pivotButton="0" quotePrefix="0" xfId="0">
      <alignment horizontal="general" vertical="bottom"/>
    </xf>
    <xf numFmtId="174" fontId="47" fillId="7" borderId="22" applyAlignment="1" pivotButton="0" quotePrefix="0" xfId="0">
      <alignment horizontal="right" vertical="center"/>
    </xf>
    <xf numFmtId="0" fontId="5" fillId="4" borderId="13" applyAlignment="1" pivotButton="0" quotePrefix="0" xfId="0">
      <alignment horizontal="left" vertical="bottom" indent="1"/>
    </xf>
    <xf numFmtId="0" fontId="5" fillId="4" borderId="0" applyAlignment="1" pivotButton="0" quotePrefix="0" xfId="0">
      <alignment horizontal="left" vertical="bottom" indent="1"/>
    </xf>
    <xf numFmtId="167" fontId="38" fillId="0" borderId="0" applyAlignment="1" pivotButton="0" quotePrefix="0" xfId="0">
      <alignment horizontal="left" vertical="bottom"/>
    </xf>
    <xf numFmtId="0" fontId="19" fillId="4" borderId="13" applyAlignment="1" pivotButton="0" quotePrefix="0" xfId="0">
      <alignment horizontal="left" vertical="center" indent="1"/>
    </xf>
    <xf numFmtId="0" fontId="19" fillId="4" borderId="13" applyAlignment="1" pivotButton="0" quotePrefix="0" xfId="0">
      <alignment horizontal="general" vertical="center"/>
    </xf>
    <xf numFmtId="173" fontId="19" fillId="4" borderId="13" applyAlignment="1" pivotButton="0" quotePrefix="0" xfId="0">
      <alignment horizontal="general" vertical="center"/>
    </xf>
    <xf numFmtId="173" fontId="19" fillId="4" borderId="24" applyAlignment="1" pivotButton="0" quotePrefix="0" xfId="0">
      <alignment horizontal="general" vertical="center"/>
    </xf>
    <xf numFmtId="173" fontId="19" fillId="4" borderId="25" applyAlignment="1" pivotButton="0" quotePrefix="0" xfId="0">
      <alignment horizontal="general" vertical="center"/>
    </xf>
    <xf numFmtId="0" fontId="5" fillId="9" borderId="0" applyAlignment="1" pivotButton="0" quotePrefix="0" xfId="0">
      <alignment horizontal="general" vertical="bottom"/>
    </xf>
    <xf numFmtId="0" fontId="5" fillId="9" borderId="0" applyAlignment="1" pivotButton="0" quotePrefix="0" xfId="0">
      <alignment horizontal="left" vertical="bottom"/>
    </xf>
    <xf numFmtId="0" fontId="21" fillId="9" borderId="0" applyAlignment="1" pivotButton="0" quotePrefix="0" xfId="0">
      <alignment horizontal="general" vertical="bottom"/>
    </xf>
    <xf numFmtId="170" fontId="5" fillId="9" borderId="0" applyAlignment="1" pivotButton="0" quotePrefix="0" xfId="0">
      <alignment horizontal="right" vertical="bottom"/>
    </xf>
    <xf numFmtId="167" fontId="38" fillId="0" borderId="36" applyAlignment="1" pivotButton="0" quotePrefix="0" xfId="0">
      <alignment horizontal="right" vertical="bottom"/>
    </xf>
    <xf numFmtId="9" fontId="38" fillId="0" borderId="36" applyAlignment="1" pivotButton="0" quotePrefix="0" xfId="0">
      <alignment horizontal="general" vertical="bottom"/>
    </xf>
    <xf numFmtId="166" fontId="21" fillId="5" borderId="0" applyAlignment="1" pivotButton="0" quotePrefix="0" xfId="0">
      <alignment horizontal="left" vertical="bottom"/>
    </xf>
    <xf numFmtId="167" fontId="5" fillId="0" borderId="3" applyAlignment="1" pivotButton="0" quotePrefix="0" xfId="0">
      <alignment horizontal="left" vertical="bottom"/>
    </xf>
    <xf numFmtId="167" fontId="5" fillId="0" borderId="3" applyAlignment="1" pivotButton="0" quotePrefix="0" xfId="0">
      <alignment horizontal="right" vertical="bottom"/>
    </xf>
    <xf numFmtId="0" fontId="35" fillId="0" borderId="0" applyAlignment="1" pivotButton="0" quotePrefix="0" xfId="0">
      <alignment horizontal="right" vertical="bottom"/>
    </xf>
    <xf numFmtId="0" fontId="35" fillId="0" borderId="38" applyAlignment="1" pivotButton="0" quotePrefix="0" xfId="0">
      <alignment horizontal="left" vertical="bottom"/>
    </xf>
    <xf numFmtId="0" fontId="35" fillId="0" borderId="38" applyAlignment="1" pivotButton="0" quotePrefix="0" xfId="0">
      <alignment horizontal="right" vertical="bottom"/>
    </xf>
    <xf numFmtId="0" fontId="35" fillId="0" borderId="39" applyAlignment="1" pivotButton="0" quotePrefix="0" xfId="0">
      <alignment horizontal="left" vertical="bottom"/>
    </xf>
    <xf numFmtId="0" fontId="35" fillId="0" borderId="39" applyAlignment="1" pivotButton="0" quotePrefix="0" xfId="0">
      <alignment horizontal="right" vertical="bottom"/>
    </xf>
    <xf numFmtId="168" fontId="35" fillId="0" borderId="0" applyAlignment="1" pivotButton="0" quotePrefix="0" xfId="0">
      <alignment horizontal="left" vertical="bottom"/>
    </xf>
    <xf numFmtId="174" fontId="35" fillId="0" borderId="0" applyAlignment="1" pivotButton="0" quotePrefix="0" xfId="0">
      <alignment horizontal="general" vertical="bottom"/>
    </xf>
    <xf numFmtId="170" fontId="34" fillId="7" borderId="2" applyAlignment="1" pivotButton="0" quotePrefix="0" xfId="0">
      <alignment horizontal="right" vertical="center"/>
    </xf>
    <xf numFmtId="170" fontId="34" fillId="7" borderId="26" applyAlignment="1" pivotButton="0" quotePrefix="0" xfId="0">
      <alignment horizontal="right" vertical="center"/>
    </xf>
    <xf numFmtId="170" fontId="34" fillId="7" borderId="27" applyAlignment="1" pivotButton="0" quotePrefix="0" xfId="0">
      <alignment horizontal="right" vertical="center"/>
    </xf>
    <xf numFmtId="167" fontId="48" fillId="0" borderId="36" applyAlignment="1" pivotButton="0" quotePrefix="0" xfId="0">
      <alignment horizontal="right" vertical="bottom"/>
    </xf>
    <xf numFmtId="167" fontId="35" fillId="0" borderId="0" applyAlignment="1" pivotButton="0" quotePrefix="0" xfId="0">
      <alignment horizontal="left" vertical="bottom"/>
    </xf>
    <xf numFmtId="0" fontId="34" fillId="0" borderId="0" applyAlignment="1" pivotButton="0" quotePrefix="0" xfId="0">
      <alignment horizontal="general" vertical="center"/>
    </xf>
    <xf numFmtId="170" fontId="34" fillId="0" borderId="0" applyAlignment="1" pivotButton="0" quotePrefix="0" xfId="0">
      <alignment horizontal="right" vertical="center"/>
    </xf>
    <xf numFmtId="0" fontId="25" fillId="0" borderId="0" applyAlignment="1" pivotButton="0" quotePrefix="0" xfId="0">
      <alignment horizontal="general" vertical="center"/>
    </xf>
    <xf numFmtId="170" fontId="25" fillId="0" borderId="0" applyAlignment="1" pivotButton="0" quotePrefix="0" xfId="0">
      <alignment horizontal="right" vertical="center"/>
    </xf>
    <xf numFmtId="167" fontId="19" fillId="0" borderId="0" applyAlignment="1" pivotButton="0" quotePrefix="0" xfId="0">
      <alignment horizontal="right" vertical="center"/>
    </xf>
    <xf numFmtId="0" fontId="5" fillId="0" borderId="13" applyAlignment="1" pivotButton="0" quotePrefix="0" xfId="0">
      <alignment horizontal="left" vertical="bottom" indent="3"/>
    </xf>
    <xf numFmtId="0" fontId="35" fillId="0" borderId="40" applyAlignment="1" pivotButton="0" quotePrefix="0" xfId="0">
      <alignment horizontal="general" vertical="bottom"/>
    </xf>
    <xf numFmtId="174" fontId="35" fillId="0" borderId="41" applyAlignment="1" pivotButton="0" quotePrefix="0" xfId="0">
      <alignment horizontal="left" vertical="bottom"/>
    </xf>
    <xf numFmtId="174" fontId="35" fillId="0" borderId="41" applyAlignment="1" pivotButton="0" quotePrefix="0" xfId="0">
      <alignment horizontal="right" vertical="bottom"/>
    </xf>
    <xf numFmtId="174" fontId="35" fillId="0" borderId="42" applyAlignment="1" pivotButton="0" quotePrefix="0" xfId="0">
      <alignment horizontal="right" vertical="bottom"/>
    </xf>
    <xf numFmtId="0" fontId="5" fillId="0" borderId="2" applyAlignment="1" pivotButton="0" quotePrefix="0" xfId="0">
      <alignment horizontal="left" vertical="bottom" indent="1"/>
    </xf>
    <xf numFmtId="170" fontId="5" fillId="0" borderId="2" applyAlignment="1" pivotButton="0" quotePrefix="0" xfId="0">
      <alignment horizontal="right" vertical="bottom"/>
    </xf>
    <xf numFmtId="170" fontId="5" fillId="0" borderId="26" applyAlignment="1" pivotButton="0" quotePrefix="0" xfId="0">
      <alignment horizontal="right" vertical="bottom"/>
    </xf>
    <xf numFmtId="170" fontId="5" fillId="0" borderId="27" applyAlignment="1" pivotButton="0" quotePrefix="0" xfId="0">
      <alignment horizontal="right" vertical="bottom"/>
    </xf>
    <xf numFmtId="0" fontId="5" fillId="0" borderId="2" applyAlignment="1" pivotButton="0" quotePrefix="0" xfId="0">
      <alignment horizontal="left" vertical="bottom"/>
    </xf>
    <xf numFmtId="0" fontId="19" fillId="7" borderId="0" applyAlignment="1" pivotButton="0" quotePrefix="0" xfId="0">
      <alignment horizontal="general" vertical="center"/>
    </xf>
    <xf numFmtId="170" fontId="19" fillId="7" borderId="0" applyAlignment="1" pivotButton="0" quotePrefix="0" xfId="0">
      <alignment horizontal="right" vertical="center"/>
    </xf>
    <xf numFmtId="166" fontId="21" fillId="6" borderId="21" applyAlignment="1" pivotButton="0" quotePrefix="0" xfId="0">
      <alignment horizontal="left" vertical="bottom" wrapText="1"/>
    </xf>
    <xf numFmtId="166" fontId="21" fillId="6" borderId="21" applyAlignment="1" pivotButton="0" quotePrefix="0" xfId="0">
      <alignment horizontal="right" vertical="bottom" wrapText="1"/>
    </xf>
    <xf numFmtId="181" fontId="5" fillId="0" borderId="0" applyAlignment="1" pivotButton="0" quotePrefix="0" xfId="0">
      <alignment horizontal="left" vertical="bottom"/>
    </xf>
    <xf numFmtId="182" fontId="5" fillId="0" borderId="0" applyAlignment="1" pivotButton="0" quotePrefix="0" xfId="0">
      <alignment horizontal="left" vertical="bottom"/>
    </xf>
    <xf numFmtId="9" fontId="5" fillId="0" borderId="0" applyAlignment="1" pivotButton="0" quotePrefix="0" xfId="0">
      <alignment horizontal="right" vertical="bottom"/>
    </xf>
    <xf numFmtId="183" fontId="5" fillId="0" borderId="0" applyAlignment="1" pivotButton="0" quotePrefix="0" xfId="0">
      <alignment horizontal="left" vertical="bottom"/>
    </xf>
    <xf numFmtId="184" fontId="5" fillId="0" borderId="0" applyAlignment="1" pivotButton="0" quotePrefix="0" xfId="0">
      <alignment horizontal="left" vertical="bottom"/>
    </xf>
    <xf numFmtId="0" fontId="47" fillId="7" borderId="22" applyAlignment="1" pivotButton="0" quotePrefix="0" xfId="0">
      <alignment horizontal="general" vertical="center"/>
    </xf>
    <xf numFmtId="0" fontId="34" fillId="7" borderId="22" applyAlignment="1" pivotButton="0" quotePrefix="0" xfId="0">
      <alignment horizontal="right" vertical="center"/>
    </xf>
    <xf numFmtId="0" fontId="5" fillId="0" borderId="0" applyAlignment="1" pivotButton="0" quotePrefix="0" xfId="0">
      <alignment horizontal="left" vertical="bottom" indent="4"/>
    </xf>
    <xf numFmtId="0" fontId="5" fillId="4" borderId="0" applyAlignment="1" pivotButton="0" quotePrefix="0" xfId="0">
      <alignment horizontal="left" vertical="bottom" indent="4"/>
    </xf>
    <xf numFmtId="0" fontId="5" fillId="4" borderId="13" applyAlignment="1" pivotButton="0" quotePrefix="0" xfId="0">
      <alignment horizontal="left" vertical="bottom" indent="4"/>
    </xf>
    <xf numFmtId="0" fontId="35" fillId="7" borderId="0" applyAlignment="1" pivotButton="0" quotePrefix="0" xfId="0">
      <alignment horizontal="left" vertical="bottom" indent="4"/>
    </xf>
    <xf numFmtId="167" fontId="35" fillId="7" borderId="0" applyAlignment="1" pivotButton="0" quotePrefix="0" xfId="0">
      <alignment horizontal="right" vertical="bottom"/>
    </xf>
    <xf numFmtId="167" fontId="35" fillId="7" borderId="23" applyAlignment="1" pivotButton="0" quotePrefix="0" xfId="0">
      <alignment horizontal="right" vertical="bottom"/>
    </xf>
    <xf numFmtId="167" fontId="35" fillId="7" borderId="4" applyAlignment="1" pivotButton="0" quotePrefix="0" xfId="0">
      <alignment horizontal="right" vertical="bottom"/>
    </xf>
    <xf numFmtId="0" fontId="35" fillId="7" borderId="13" applyAlignment="1" pivotButton="0" quotePrefix="0" xfId="0">
      <alignment horizontal="left" vertical="bottom" indent="4"/>
    </xf>
    <xf numFmtId="0" fontId="35" fillId="7" borderId="13" applyAlignment="1" pivotButton="0" quotePrefix="0" xfId="0">
      <alignment horizontal="general" vertical="bottom"/>
    </xf>
    <xf numFmtId="167" fontId="35" fillId="7" borderId="13" applyAlignment="1" pivotButton="0" quotePrefix="0" xfId="0">
      <alignment horizontal="right" vertical="bottom"/>
    </xf>
    <xf numFmtId="167" fontId="35" fillId="7" borderId="24" applyAlignment="1" pivotButton="0" quotePrefix="0" xfId="0">
      <alignment horizontal="right" vertical="bottom"/>
    </xf>
    <xf numFmtId="167" fontId="35" fillId="7" borderId="25" applyAlignment="1" pivotButton="0" quotePrefix="0" xfId="0">
      <alignment horizontal="right" vertical="bottom"/>
    </xf>
    <xf numFmtId="0" fontId="35" fillId="7" borderId="0" applyAlignment="1" pivotButton="0" quotePrefix="0" xfId="0">
      <alignment horizontal="left" vertical="bottom" indent="3"/>
    </xf>
    <xf numFmtId="0" fontId="35" fillId="7" borderId="13" applyAlignment="1" pivotButton="0" quotePrefix="0" xfId="0">
      <alignment horizontal="left" vertical="bottom" indent="3"/>
    </xf>
    <xf numFmtId="0" fontId="5" fillId="0" borderId="43" applyAlignment="1" pivotButton="0" quotePrefix="0" xfId="0">
      <alignment horizontal="left" vertical="bottom" indent="1"/>
    </xf>
    <xf numFmtId="0" fontId="5" fillId="0" borderId="43" applyAlignment="1" pivotButton="0" quotePrefix="0" xfId="0">
      <alignment horizontal="general" vertical="bottom"/>
    </xf>
    <xf numFmtId="167" fontId="5" fillId="0" borderId="43" applyAlignment="1" pivotButton="0" quotePrefix="0" xfId="0">
      <alignment horizontal="right" vertical="bottom"/>
    </xf>
    <xf numFmtId="167" fontId="5" fillId="0" borderId="44" applyAlignment="1" pivotButton="0" quotePrefix="0" xfId="0">
      <alignment horizontal="right" vertical="bottom"/>
    </xf>
    <xf numFmtId="167" fontId="5" fillId="0" borderId="45" applyAlignment="1" pivotButton="0" quotePrefix="0" xfId="0">
      <alignment horizontal="right" vertical="bottom"/>
    </xf>
    <xf numFmtId="168" fontId="48" fillId="0" borderId="36" applyAlignment="1" pivotButton="0" quotePrefix="0" xfId="0">
      <alignment horizontal="right" vertical="bottom"/>
    </xf>
    <xf numFmtId="0" fontId="34" fillId="7" borderId="3" applyAlignment="1" pivotButton="0" quotePrefix="0" xfId="0">
      <alignment horizontal="general" vertical="center"/>
    </xf>
    <xf numFmtId="167" fontId="34" fillId="7" borderId="3" applyAlignment="1" pivotButton="0" quotePrefix="0" xfId="0">
      <alignment horizontal="right" vertical="center"/>
    </xf>
    <xf numFmtId="167" fontId="34" fillId="7" borderId="28" applyAlignment="1" pivotButton="0" quotePrefix="0" xfId="0">
      <alignment horizontal="right" vertical="center"/>
    </xf>
    <xf numFmtId="167" fontId="34" fillId="7" borderId="30" applyAlignment="1" pivotButton="0" quotePrefix="0" xfId="0">
      <alignment horizontal="right" vertical="center"/>
    </xf>
    <xf numFmtId="0" fontId="5" fillId="4" borderId="13" applyAlignment="1" pivotButton="0" quotePrefix="0" xfId="0">
      <alignment horizontal="left" vertical="bottom"/>
    </xf>
    <xf numFmtId="0" fontId="35" fillId="7" borderId="0" applyAlignment="1" pivotButton="0" quotePrefix="0" xfId="0">
      <alignment horizontal="left" vertical="bottom"/>
    </xf>
    <xf numFmtId="0" fontId="35" fillId="7" borderId="13" applyAlignment="1" pivotButton="0" quotePrefix="0" xfId="0">
      <alignment horizontal="left" vertical="bottom"/>
    </xf>
    <xf numFmtId="0" fontId="48" fillId="0" borderId="36" applyAlignment="1" pivotButton="0" quotePrefix="0" xfId="0">
      <alignment horizontal="general" vertical="bottom"/>
    </xf>
    <xf numFmtId="172" fontId="5" fillId="0" borderId="0" applyAlignment="1" pivotButton="0" quotePrefix="0" xfId="0">
      <alignment horizontal="right" vertical="bottom"/>
    </xf>
    <xf numFmtId="180" fontId="35" fillId="7" borderId="0" applyAlignment="1" pivotButton="0" quotePrefix="0" xfId="0">
      <alignment horizontal="right" vertical="bottom"/>
    </xf>
    <xf numFmtId="180" fontId="35" fillId="7" borderId="23" applyAlignment="1" pivotButton="0" quotePrefix="0" xfId="0">
      <alignment horizontal="right" vertical="bottom"/>
    </xf>
    <xf numFmtId="180" fontId="35" fillId="7" borderId="4" applyAlignment="1" pivotButton="0" quotePrefix="0" xfId="0">
      <alignment horizontal="right" vertical="bottom"/>
    </xf>
    <xf numFmtId="180" fontId="35" fillId="7" borderId="13" applyAlignment="1" pivotButton="0" quotePrefix="0" xfId="0">
      <alignment horizontal="right" vertical="bottom"/>
    </xf>
    <xf numFmtId="180" fontId="35" fillId="7" borderId="24" applyAlignment="1" pivotButton="0" quotePrefix="0" xfId="0">
      <alignment horizontal="right" vertical="bottom"/>
    </xf>
    <xf numFmtId="180" fontId="35" fillId="7" borderId="25" applyAlignment="1" pivotButton="0" quotePrefix="0" xfId="0">
      <alignment horizontal="right" vertical="bottom"/>
    </xf>
    <xf numFmtId="168" fontId="35" fillId="7" borderId="0" applyAlignment="1" pivotButton="0" quotePrefix="0" xfId="0">
      <alignment horizontal="right" vertical="bottom"/>
    </xf>
    <xf numFmtId="168" fontId="35" fillId="7" borderId="23" applyAlignment="1" pivotButton="0" quotePrefix="0" xfId="0">
      <alignment horizontal="right" vertical="bottom"/>
    </xf>
    <xf numFmtId="168" fontId="35" fillId="7" borderId="4" applyAlignment="1" pivotButton="0" quotePrefix="0" xfId="0">
      <alignment horizontal="right" vertical="bottom"/>
    </xf>
    <xf numFmtId="0" fontId="35" fillId="7" borderId="2" applyAlignment="1" pivotButton="0" quotePrefix="0" xfId="0">
      <alignment horizontal="left" vertical="bottom" indent="3"/>
    </xf>
    <xf numFmtId="0" fontId="35" fillId="7" borderId="2" applyAlignment="1" pivotButton="0" quotePrefix="0" xfId="0">
      <alignment horizontal="left" vertical="bottom"/>
    </xf>
    <xf numFmtId="0" fontId="35" fillId="7" borderId="2" applyAlignment="1" pivotButton="0" quotePrefix="0" xfId="0">
      <alignment horizontal="general" vertical="bottom"/>
    </xf>
    <xf numFmtId="167" fontId="35" fillId="7" borderId="2" applyAlignment="1" pivotButton="0" quotePrefix="0" xfId="0">
      <alignment horizontal="right" vertical="bottom"/>
    </xf>
    <xf numFmtId="167" fontId="35" fillId="7" borderId="26" applyAlignment="1" pivotButton="0" quotePrefix="0" xfId="0">
      <alignment horizontal="right" vertical="bottom"/>
    </xf>
    <xf numFmtId="167" fontId="35" fillId="7" borderId="27" applyAlignment="1" pivotButton="0" quotePrefix="0" xfId="0">
      <alignment horizontal="right" vertical="bottom"/>
    </xf>
    <xf numFmtId="0" fontId="5" fillId="0" borderId="46" applyAlignment="1" pivotButton="0" quotePrefix="0" xfId="0">
      <alignment horizontal="left" vertical="bottom" indent="2"/>
    </xf>
    <xf numFmtId="0" fontId="5" fillId="4" borderId="46" applyAlignment="1" pivotButton="0" quotePrefix="0" xfId="0">
      <alignment horizontal="left" vertical="bottom"/>
    </xf>
    <xf numFmtId="0" fontId="5" fillId="4" borderId="46" applyAlignment="1" pivotButton="0" quotePrefix="0" xfId="0">
      <alignment horizontal="general" vertical="bottom"/>
    </xf>
    <xf numFmtId="167" fontId="5" fillId="4" borderId="46" applyAlignment="1" pivotButton="0" quotePrefix="0" xfId="0">
      <alignment horizontal="right" vertical="bottom"/>
    </xf>
    <xf numFmtId="167" fontId="5" fillId="4" borderId="47" applyAlignment="1" pivotButton="0" quotePrefix="0" xfId="0">
      <alignment horizontal="right" vertical="bottom"/>
    </xf>
    <xf numFmtId="167" fontId="5" fillId="4" borderId="48" applyAlignment="1" pivotButton="0" quotePrefix="0" xfId="0">
      <alignment horizontal="right" vertical="bottom"/>
    </xf>
    <xf numFmtId="0" fontId="5" fillId="10" borderId="0" applyAlignment="1" pivotButton="0" quotePrefix="0" xfId="0">
      <alignment horizontal="general" vertical="bottom"/>
    </xf>
    <xf numFmtId="0" fontId="5" fillId="7" borderId="0" applyAlignment="1" pivotButton="0" quotePrefix="0" xfId="0">
      <alignment horizontal="left" vertical="bottom"/>
    </xf>
    <xf numFmtId="0" fontId="5" fillId="7" borderId="0" applyAlignment="1" pivotButton="0" quotePrefix="0" xfId="0">
      <alignment horizontal="general" vertical="bottom"/>
    </xf>
    <xf numFmtId="170" fontId="5" fillId="7" borderId="23" applyAlignment="1" pivotButton="0" quotePrefix="0" xfId="0">
      <alignment horizontal="right" vertical="bottom"/>
    </xf>
    <xf numFmtId="170" fontId="5" fillId="7" borderId="4" applyAlignment="1" pivotButton="0" quotePrefix="0" xfId="0">
      <alignment horizontal="right" vertical="bottom"/>
    </xf>
    <xf numFmtId="166" fontId="46" fillId="5" borderId="20" applyAlignment="1" pivotButton="0" quotePrefix="0" xfId="0">
      <alignment horizontal="right" vertical="bottom"/>
    </xf>
    <xf numFmtId="173" fontId="46" fillId="2" borderId="0" applyAlignment="1" pivotButton="0" quotePrefix="0" xfId="0">
      <alignment horizontal="general" vertical="center"/>
    </xf>
    <xf numFmtId="166" fontId="46" fillId="5" borderId="21" applyAlignment="1" pivotButton="0" quotePrefix="0" xfId="0">
      <alignment horizontal="right" vertical="bottom" wrapText="1"/>
    </xf>
    <xf numFmtId="174" fontId="35" fillId="0" borderId="13" applyAlignment="1" pivotButton="0" quotePrefix="0" xfId="0">
      <alignment horizontal="right" vertical="bottom"/>
    </xf>
    <xf numFmtId="167" fontId="38" fillId="0" borderId="36" applyAlignment="1" pivotButton="0" quotePrefix="0" xfId="0">
      <alignment horizontal="left" vertical="bottom"/>
    </xf>
    <xf numFmtId="185" fontId="5" fillId="0" borderId="0" applyAlignment="1" pivotButton="0" quotePrefix="0" xfId="0">
      <alignment horizontal="general" vertical="bottom"/>
    </xf>
    <xf numFmtId="0" fontId="52" fillId="0" borderId="0" applyAlignment="1" pivotButton="0" quotePrefix="0" xfId="0">
      <alignment horizontal="left" vertical="bottom"/>
    </xf>
    <xf numFmtId="0" fontId="38" fillId="4" borderId="13" applyAlignment="1" pivotButton="0" quotePrefix="0" xfId="0">
      <alignment horizontal="general" vertical="bottom"/>
    </xf>
    <xf numFmtId="165" fontId="48" fillId="0" borderId="36" applyAlignment="1" pivotButton="0" quotePrefix="0" xfId="0">
      <alignment horizontal="general" vertical="bottom"/>
    </xf>
    <xf numFmtId="0" fontId="5" fillId="0" borderId="23" applyAlignment="1" pivotButton="0" quotePrefix="0" xfId="0">
      <alignment horizontal="general" vertical="bottom"/>
    </xf>
    <xf numFmtId="0" fontId="5" fillId="0" borderId="4" applyAlignment="1" pivotButton="0" quotePrefix="0" xfId="0">
      <alignment horizontal="general" vertical="bottom"/>
    </xf>
    <xf numFmtId="169" fontId="35" fillId="0" borderId="0" applyAlignment="1" pivotButton="0" quotePrefix="0" xfId="0">
      <alignment horizontal="right" vertical="bottom"/>
    </xf>
    <xf numFmtId="167" fontId="48" fillId="0" borderId="36" applyAlignment="1" pivotButton="0" quotePrefix="0" xfId="0">
      <alignment horizontal="general" vertical="bottom"/>
    </xf>
    <xf numFmtId="167" fontId="48" fillId="0" borderId="0" applyAlignment="1" pivotButton="0" quotePrefix="0" xfId="0">
      <alignment horizontal="general" vertical="bottom"/>
    </xf>
    <xf numFmtId="167" fontId="25" fillId="0" borderId="0" applyAlignment="1" pivotButton="0" quotePrefix="0" xfId="0">
      <alignment horizontal="right" vertical="center"/>
    </xf>
    <xf numFmtId="0" fontId="48" fillId="0" borderId="0" applyAlignment="1" pivotButton="0" quotePrefix="0" xfId="0">
      <alignment horizontal="left" vertical="bottom"/>
    </xf>
    <xf numFmtId="0" fontId="48" fillId="0" borderId="0" applyAlignment="1" pivotButton="0" quotePrefix="0" xfId="0">
      <alignment horizontal="right" vertical="bottom"/>
    </xf>
    <xf numFmtId="0" fontId="38" fillId="0" borderId="0" applyAlignment="1" pivotButton="0" quotePrefix="0" xfId="0">
      <alignment horizontal="right" vertical="bottom"/>
    </xf>
    <xf numFmtId="186" fontId="48" fillId="0" borderId="36" applyAlignment="1" pivotButton="0" quotePrefix="0" xfId="0">
      <alignment horizontal="general" vertical="bottom"/>
    </xf>
    <xf numFmtId="185" fontId="35" fillId="0" borderId="0" applyAlignment="1" pivotButton="0" quotePrefix="0" xfId="0">
      <alignment horizontal="general" vertical="bottom"/>
    </xf>
    <xf numFmtId="170" fontId="48" fillId="0" borderId="36" applyAlignment="1" pivotButton="0" quotePrefix="0" xfId="0">
      <alignment horizontal="general" vertical="bottom"/>
    </xf>
    <xf numFmtId="0" fontId="0" fillId="0" borderId="0" applyAlignment="1" pivotButton="0" quotePrefix="0" xfId="46">
      <alignment horizontal="general" vertical="bottom"/>
    </xf>
    <xf numFmtId="0" fontId="29" fillId="0" borderId="0" applyAlignment="1" pivotButton="0" quotePrefix="0" xfId="61">
      <alignment horizontal="left" vertical="bottom"/>
    </xf>
    <xf numFmtId="0" fontId="5" fillId="0" borderId="0" applyAlignment="1" pivotButton="0" quotePrefix="0" xfId="46">
      <alignment horizontal="general" vertical="bottom"/>
    </xf>
    <xf numFmtId="0" fontId="5" fillId="2" borderId="0" applyAlignment="1" pivotButton="0" quotePrefix="0" xfId="46">
      <alignment horizontal="left" vertical="bottom"/>
    </xf>
    <xf numFmtId="0" fontId="5" fillId="0" borderId="0" applyAlignment="1" pivotButton="0" quotePrefix="0" xfId="46">
      <alignment horizontal="left" vertical="bottom"/>
    </xf>
    <xf numFmtId="0" fontId="21" fillId="2" borderId="0" applyAlignment="1" pivotButton="0" quotePrefix="0" xfId="46">
      <alignment horizontal="left" vertical="center"/>
    </xf>
    <xf numFmtId="173" fontId="21" fillId="2" borderId="0" applyAlignment="1" pivotButton="0" quotePrefix="0" xfId="46">
      <alignment horizontal="general" vertical="center"/>
    </xf>
    <xf numFmtId="0" fontId="35" fillId="0" borderId="0" applyAlignment="1" pivotButton="0" quotePrefix="0" xfId="46">
      <alignment horizontal="general" vertical="bottom"/>
    </xf>
    <xf numFmtId="0" fontId="35" fillId="2" borderId="0" applyAlignment="1" pivotButton="0" quotePrefix="0" xfId="46">
      <alignment horizontal="left" vertical="bottom"/>
    </xf>
    <xf numFmtId="0" fontId="35" fillId="0" borderId="0" applyAlignment="1" pivotButton="0" quotePrefix="0" xfId="46">
      <alignment horizontal="left" vertical="bottom"/>
    </xf>
    <xf numFmtId="0" fontId="21" fillId="5" borderId="0" applyAlignment="1" pivotButton="0" quotePrefix="0" xfId="46">
      <alignment horizontal="left" vertical="bottom"/>
    </xf>
    <xf numFmtId="166" fontId="21" fillId="5" borderId="15" applyAlignment="1" pivotButton="0" quotePrefix="0" xfId="46">
      <alignment horizontal="center" vertical="bottom"/>
    </xf>
    <xf numFmtId="166" fontId="21" fillId="5" borderId="31" applyAlignment="1" pivotButton="0" quotePrefix="0" xfId="46">
      <alignment horizontal="center" vertical="bottom"/>
    </xf>
    <xf numFmtId="166" fontId="21" fillId="5" borderId="20" applyAlignment="1" pivotButton="0" quotePrefix="0" xfId="46">
      <alignment horizontal="center" vertical="bottom"/>
    </xf>
    <xf numFmtId="166" fontId="21" fillId="8" borderId="15" applyAlignment="1" pivotButton="0" quotePrefix="0" xfId="46">
      <alignment horizontal="center" vertical="bottom"/>
    </xf>
    <xf numFmtId="166" fontId="21" fillId="8" borderId="31" applyAlignment="1" pivotButton="0" quotePrefix="0" xfId="46">
      <alignment horizontal="center" vertical="bottom"/>
    </xf>
    <xf numFmtId="166" fontId="21" fillId="8" borderId="20" applyAlignment="1" pivotButton="0" quotePrefix="0" xfId="46">
      <alignment horizontal="center" vertical="bottom"/>
    </xf>
    <xf numFmtId="166" fontId="21" fillId="11" borderId="15" applyAlignment="1" pivotButton="0" quotePrefix="0" xfId="46">
      <alignment horizontal="center" vertical="bottom"/>
    </xf>
    <xf numFmtId="166" fontId="21" fillId="11" borderId="31" applyAlignment="1" pivotButton="0" quotePrefix="0" xfId="46">
      <alignment horizontal="center" vertical="bottom"/>
    </xf>
    <xf numFmtId="166" fontId="21" fillId="11" borderId="20" applyAlignment="1" pivotButton="0" quotePrefix="0" xfId="46">
      <alignment horizontal="center" vertical="bottom"/>
    </xf>
    <xf numFmtId="0" fontId="23" fillId="4" borderId="49" applyAlignment="1" pivotButton="0" quotePrefix="0" xfId="61">
      <alignment horizontal="general" vertical="bottom"/>
    </xf>
    <xf numFmtId="0" fontId="5" fillId="0" borderId="50" applyAlignment="1" pivotButton="0" quotePrefix="0" xfId="61">
      <alignment horizontal="left" vertical="bottom"/>
    </xf>
    <xf numFmtId="166" fontId="21" fillId="5" borderId="0" applyAlignment="1" pivotButton="0" quotePrefix="0" xfId="46">
      <alignment horizontal="right" vertical="bottom"/>
    </xf>
    <xf numFmtId="166" fontId="21" fillId="5" borderId="20" applyAlignment="1" pivotButton="0" quotePrefix="0" xfId="46">
      <alignment horizontal="right" vertical="bottom"/>
    </xf>
    <xf numFmtId="166" fontId="21" fillId="5" borderId="19" applyAlignment="1" pivotButton="0" quotePrefix="0" xfId="46">
      <alignment horizontal="right" vertical="bottom"/>
    </xf>
    <xf numFmtId="166" fontId="21" fillId="5" borderId="19" applyAlignment="1" pivotButton="0" quotePrefix="0" xfId="46">
      <alignment horizontal="right" vertical="bottom" wrapText="1"/>
    </xf>
    <xf numFmtId="166" fontId="21" fillId="5" borderId="5" applyAlignment="1" pivotButton="0" quotePrefix="0" xfId="46">
      <alignment horizontal="right" vertical="bottom"/>
    </xf>
    <xf numFmtId="166" fontId="21" fillId="5" borderId="21" applyAlignment="1" pivotButton="0" quotePrefix="0" xfId="46">
      <alignment horizontal="right" vertical="bottom"/>
    </xf>
    <xf numFmtId="166" fontId="21" fillId="8" borderId="0" applyAlignment="1" pivotButton="0" quotePrefix="0" xfId="46">
      <alignment horizontal="right" vertical="bottom"/>
    </xf>
    <xf numFmtId="166" fontId="21" fillId="8" borderId="20" applyAlignment="1" pivotButton="0" quotePrefix="0" xfId="46">
      <alignment horizontal="right" vertical="bottom"/>
    </xf>
    <xf numFmtId="166" fontId="21" fillId="8" borderId="5" applyAlignment="1" pivotButton="0" quotePrefix="0" xfId="46">
      <alignment horizontal="right" vertical="bottom"/>
    </xf>
    <xf numFmtId="166" fontId="21" fillId="8" borderId="21" applyAlignment="1" pivotButton="0" quotePrefix="0" xfId="46">
      <alignment horizontal="right" vertical="bottom"/>
    </xf>
    <xf numFmtId="166" fontId="21" fillId="8" borderId="19" applyAlignment="1" pivotButton="0" quotePrefix="0" xfId="46">
      <alignment horizontal="right" vertical="bottom" wrapText="1"/>
    </xf>
    <xf numFmtId="166" fontId="21" fillId="11" borderId="0" applyAlignment="1" pivotButton="0" quotePrefix="0" xfId="46">
      <alignment horizontal="right" vertical="bottom"/>
    </xf>
    <xf numFmtId="166" fontId="21" fillId="11" borderId="20" applyAlignment="1" pivotButton="0" quotePrefix="0" xfId="46">
      <alignment horizontal="right" vertical="bottom"/>
    </xf>
    <xf numFmtId="166" fontId="21" fillId="11" borderId="5" applyAlignment="1" pivotButton="0" quotePrefix="0" xfId="46">
      <alignment horizontal="right" vertical="bottom"/>
    </xf>
    <xf numFmtId="166" fontId="21" fillId="11" borderId="19" applyAlignment="1" pivotButton="0" quotePrefix="0" xfId="46">
      <alignment horizontal="right" vertical="bottom"/>
    </xf>
    <xf numFmtId="166" fontId="21" fillId="11" borderId="21" applyAlignment="1" pivotButton="0" quotePrefix="0" xfId="46">
      <alignment horizontal="right" vertical="bottom"/>
    </xf>
    <xf numFmtId="166" fontId="21" fillId="11" borderId="19" applyAlignment="1" pivotButton="0" quotePrefix="0" xfId="46">
      <alignment horizontal="right" vertical="bottom" wrapText="1"/>
    </xf>
    <xf numFmtId="0" fontId="53" fillId="0" borderId="51" applyAlignment="1" pivotButton="0" quotePrefix="0" xfId="61">
      <alignment horizontal="left" vertical="bottom"/>
    </xf>
    <xf numFmtId="0" fontId="54" fillId="0" borderId="52" applyAlignment="1" pivotButton="0" quotePrefix="0" xfId="61">
      <alignment horizontal="left" vertical="bottom"/>
    </xf>
    <xf numFmtId="166" fontId="21" fillId="5" borderId="19" applyAlignment="1" pivotButton="0" quotePrefix="0" xfId="46">
      <alignment horizontal="left" vertical="bottom" wrapText="1"/>
    </xf>
    <xf numFmtId="0" fontId="19" fillId="4" borderId="0" applyAlignment="1" pivotButton="0" quotePrefix="0" xfId="46">
      <alignment horizontal="left" vertical="bottom" indent="1"/>
    </xf>
    <xf numFmtId="173" fontId="19" fillId="4" borderId="0" applyAlignment="1" pivotButton="0" quotePrefix="0" xfId="46">
      <alignment horizontal="general" vertical="bottom"/>
    </xf>
    <xf numFmtId="173" fontId="19" fillId="4" borderId="23" applyAlignment="1" pivotButton="0" quotePrefix="0" xfId="46">
      <alignment horizontal="general" vertical="bottom"/>
    </xf>
    <xf numFmtId="173" fontId="19" fillId="4" borderId="4" applyAlignment="1" pivotButton="0" quotePrefix="0" xfId="46">
      <alignment horizontal="general" vertical="bottom"/>
    </xf>
    <xf numFmtId="174" fontId="25" fillId="4" borderId="0" applyAlignment="1" pivotButton="0" quotePrefix="0" xfId="46">
      <alignment horizontal="general" vertical="bottom"/>
    </xf>
    <xf numFmtId="174" fontId="25" fillId="4" borderId="23" applyAlignment="1" pivotButton="0" quotePrefix="0" xfId="46">
      <alignment horizontal="general" vertical="bottom"/>
    </xf>
    <xf numFmtId="174" fontId="25" fillId="4" borderId="4" applyAlignment="1" pivotButton="0" quotePrefix="0" xfId="46">
      <alignment horizontal="general" vertical="bottom"/>
    </xf>
    <xf numFmtId="174" fontId="25" fillId="0" borderId="0" applyAlignment="1" pivotButton="0" quotePrefix="0" xfId="46">
      <alignment horizontal="general" vertical="bottom"/>
    </xf>
    <xf numFmtId="0" fontId="19" fillId="0" borderId="51" applyAlignment="1" pivotButton="0" quotePrefix="0" xfId="61">
      <alignment horizontal="left" vertical="bottom"/>
    </xf>
    <xf numFmtId="0" fontId="5" fillId="0" borderId="52" applyAlignment="1" pivotButton="0" quotePrefix="0" xfId="61">
      <alignment horizontal="left" vertical="bottom"/>
    </xf>
    <xf numFmtId="0" fontId="19" fillId="4" borderId="13" applyAlignment="1" pivotButton="0" quotePrefix="0" xfId="46">
      <alignment horizontal="left" vertical="bottom" indent="1"/>
    </xf>
    <xf numFmtId="173" fontId="19" fillId="4" borderId="13" applyAlignment="1" pivotButton="0" quotePrefix="0" xfId="46">
      <alignment horizontal="general" vertical="bottom"/>
    </xf>
    <xf numFmtId="173" fontId="19" fillId="4" borderId="24" applyAlignment="1" pivotButton="0" quotePrefix="0" xfId="46">
      <alignment horizontal="general" vertical="bottom"/>
    </xf>
    <xf numFmtId="173" fontId="19" fillId="4" borderId="25" applyAlignment="1" pivotButton="0" quotePrefix="0" xfId="46">
      <alignment horizontal="general" vertical="bottom"/>
    </xf>
    <xf numFmtId="174" fontId="25" fillId="4" borderId="13" applyAlignment="1" pivotButton="0" quotePrefix="0" xfId="46">
      <alignment horizontal="general" vertical="bottom"/>
    </xf>
    <xf numFmtId="174" fontId="25" fillId="4" borderId="24" applyAlignment="1" pivotButton="0" quotePrefix="0" xfId="46">
      <alignment horizontal="general" vertical="bottom"/>
    </xf>
    <xf numFmtId="174" fontId="25" fillId="4" borderId="25" applyAlignment="1" pivotButton="0" quotePrefix="0" xfId="46">
      <alignment horizontal="general" vertical="bottom"/>
    </xf>
    <xf numFmtId="174" fontId="25" fillId="0" borderId="13" applyAlignment="1" pivotButton="0" quotePrefix="0" xfId="46">
      <alignment horizontal="general" vertical="bottom"/>
    </xf>
    <xf numFmtId="0" fontId="34" fillId="7" borderId="3" applyAlignment="1" pivotButton="0" quotePrefix="0" xfId="46">
      <alignment horizontal="left" vertical="bottom"/>
    </xf>
    <xf numFmtId="173" fontId="34" fillId="7" borderId="3" applyAlignment="1" pivotButton="0" quotePrefix="0" xfId="46">
      <alignment horizontal="general" vertical="bottom"/>
    </xf>
    <xf numFmtId="173" fontId="34" fillId="7" borderId="28" applyAlignment="1" pivotButton="0" quotePrefix="0" xfId="46">
      <alignment horizontal="general" vertical="bottom"/>
    </xf>
    <xf numFmtId="173" fontId="34" fillId="7" borderId="30" applyAlignment="1" pivotButton="0" quotePrefix="0" xfId="46">
      <alignment horizontal="general" vertical="bottom"/>
    </xf>
    <xf numFmtId="174" fontId="47" fillId="7" borderId="3" applyAlignment="1" pivotButton="0" quotePrefix="0" xfId="46">
      <alignment horizontal="general" vertical="bottom"/>
    </xf>
    <xf numFmtId="174" fontId="47" fillId="7" borderId="28" applyAlignment="1" pivotButton="0" quotePrefix="0" xfId="46">
      <alignment horizontal="general" vertical="bottom"/>
    </xf>
    <xf numFmtId="174" fontId="47" fillId="7" borderId="30" applyAlignment="1" pivotButton="0" quotePrefix="0" xfId="46">
      <alignment horizontal="general" vertical="bottom"/>
    </xf>
    <xf numFmtId="0" fontId="19" fillId="0" borderId="53" applyAlignment="1" pivotButton="0" quotePrefix="0" xfId="61">
      <alignment horizontal="left" vertical="bottom"/>
    </xf>
    <xf numFmtId="0" fontId="5" fillId="0" borderId="54" applyAlignment="1" pivotButton="0" quotePrefix="0" xfId="61">
      <alignment horizontal="left" vertical="bottom"/>
    </xf>
    <xf numFmtId="167" fontId="35" fillId="0" borderId="0" applyAlignment="1" pivotButton="0" quotePrefix="0" xfId="46">
      <alignment horizontal="right" vertical="bottom"/>
    </xf>
    <xf numFmtId="0" fontId="19" fillId="0" borderId="0" applyAlignment="1" pivotButton="0" quotePrefix="0" xfId="61">
      <alignment horizontal="left" vertical="bottom"/>
    </xf>
    <xf numFmtId="0" fontId="5" fillId="0" borderId="0" applyAlignment="1" pivotButton="0" quotePrefix="0" xfId="61">
      <alignment horizontal="left" vertical="bottom"/>
    </xf>
    <xf numFmtId="167" fontId="35" fillId="4" borderId="0" applyAlignment="1" pivotButton="0" quotePrefix="0" xfId="46">
      <alignment horizontal="right" vertical="bottom"/>
    </xf>
    <xf numFmtId="173" fontId="5" fillId="0" borderId="0" applyAlignment="1" pivotButton="0" quotePrefix="0" xfId="46">
      <alignment horizontal="general" vertical="bottom"/>
    </xf>
    <xf numFmtId="0" fontId="23" fillId="0" borderId="0" applyAlignment="1" pivotButton="0" quotePrefix="0" xfId="61">
      <alignment horizontal="general" vertical="bottom"/>
    </xf>
    <xf numFmtId="0" fontId="53" fillId="0" borderId="0" applyAlignment="1" pivotButton="0" quotePrefix="0" xfId="61">
      <alignment horizontal="left" vertical="bottom"/>
    </xf>
    <xf numFmtId="0" fontId="54" fillId="0" borderId="0" applyAlignment="1" pivotButton="0" quotePrefix="0" xfId="61">
      <alignment horizontal="left" vertical="bottom"/>
    </xf>
    <xf numFmtId="0" fontId="5" fillId="2" borderId="4" applyAlignment="1" pivotButton="0" quotePrefix="0" xfId="40">
      <alignment horizontal="general" vertical="bottom"/>
    </xf>
    <xf numFmtId="0" fontId="27" fillId="0" borderId="0" applyAlignment="1" pivotButton="0" quotePrefix="0" xfId="40">
      <alignment horizontal="left" vertical="bottom"/>
    </xf>
    <xf numFmtId="0" fontId="28" fillId="0" borderId="0" applyAlignment="1" pivotButton="0" quotePrefix="0" xfId="40">
      <alignment horizontal="left" vertical="bottom"/>
    </xf>
    <xf numFmtId="0" fontId="29" fillId="0" borderId="0" applyAlignment="1" pivotButton="0" quotePrefix="0" xfId="40">
      <alignment horizontal="left" vertical="bottom"/>
    </xf>
    <xf numFmtId="0" fontId="24" fillId="0" borderId="0" applyAlignment="1" pivotButton="0" quotePrefix="0" xfId="40">
      <alignment horizontal="left" vertical="bottom"/>
    </xf>
    <xf numFmtId="0" fontId="50" fillId="2" borderId="55" applyAlignment="1" pivotButton="0" quotePrefix="0" xfId="0">
      <alignment horizontal="general" vertical="center"/>
    </xf>
    <xf numFmtId="0" fontId="50" fillId="2" borderId="56" applyAlignment="1" pivotButton="0" quotePrefix="0" xfId="0">
      <alignment horizontal="general" vertical="center"/>
    </xf>
    <xf numFmtId="0" fontId="50" fillId="2" borderId="57" applyAlignment="1" pivotButton="0" quotePrefix="0" xfId="0">
      <alignment horizontal="general" vertical="center"/>
    </xf>
    <xf numFmtId="0" fontId="31" fillId="0" borderId="0" applyAlignment="1" pivotButton="0" quotePrefix="0" xfId="0">
      <alignment horizontal="general" vertical="bottom"/>
    </xf>
    <xf numFmtId="0" fontId="31" fillId="2" borderId="0" applyAlignment="1" pivotButton="0" quotePrefix="0" xfId="46">
      <alignment horizontal="general" vertical="bottom"/>
    </xf>
    <xf numFmtId="0" fontId="31" fillId="0" borderId="0" applyAlignment="1" pivotButton="0" quotePrefix="0" xfId="50">
      <alignment horizontal="general" vertical="bottom"/>
    </xf>
    <xf numFmtId="0" fontId="31" fillId="5" borderId="0" applyAlignment="1" pivotButton="0" quotePrefix="0" xfId="0">
      <alignment horizontal="general" vertical="bottom"/>
    </xf>
    <xf numFmtId="187" fontId="5" fillId="0" borderId="0" applyAlignment="1" pivotButton="0" quotePrefix="0" xfId="0">
      <alignment horizontal="left" vertical="bottom"/>
    </xf>
    <xf numFmtId="0" fontId="56" fillId="0" borderId="0" applyAlignment="1" pivotButton="0" quotePrefix="0" xfId="50">
      <alignment horizontal="general" vertical="bottom"/>
    </xf>
    <xf numFmtId="187" fontId="5" fillId="0" borderId="11" applyAlignment="1" pivotButton="0" quotePrefix="0" xfId="0">
      <alignment horizontal="left" vertical="bottom"/>
    </xf>
    <xf numFmtId="0" fontId="5" fillId="0" borderId="11" applyAlignment="1" pivotButton="0" quotePrefix="0" xfId="0">
      <alignment horizontal="left" vertical="bottom"/>
    </xf>
    <xf numFmtId="0" fontId="5" fillId="0" borderId="11" applyAlignment="1" pivotButton="0" quotePrefix="0" xfId="0">
      <alignment horizontal="general" vertical="bottom"/>
    </xf>
    <xf numFmtId="167" fontId="5" fillId="0" borderId="11" applyAlignment="1" pivotButton="0" quotePrefix="0" xfId="0">
      <alignment horizontal="right" vertical="bottom"/>
    </xf>
    <xf numFmtId="0" fontId="57" fillId="0" borderId="0" applyAlignment="1" pivotButton="0" quotePrefix="0" xfId="0">
      <alignment horizontal="general" vertical="bottom"/>
    </xf>
    <xf numFmtId="0" fontId="5" fillId="0" borderId="8" applyAlignment="1" pivotButton="0" quotePrefix="0" xfId="0">
      <alignment horizontal="left" vertical="bottom"/>
    </xf>
    <xf numFmtId="0" fontId="5" fillId="0" borderId="8" applyAlignment="1" pivotButton="0" quotePrefix="0" xfId="0">
      <alignment horizontal="general" vertical="bottom"/>
    </xf>
    <xf numFmtId="167" fontId="5" fillId="0" borderId="8" applyAlignment="1" pivotButton="0" quotePrefix="0" xfId="0">
      <alignment horizontal="right" vertical="bottom"/>
    </xf>
    <xf numFmtId="0" fontId="5" fillId="0" borderId="3" applyAlignment="1" pivotButton="0" quotePrefix="0" xfId="0">
      <alignment horizontal="left" vertical="bottom"/>
    </xf>
    <xf numFmtId="0" fontId="5" fillId="0" borderId="3" applyAlignment="1" pivotButton="0" quotePrefix="0" xfId="0">
      <alignment horizontal="general" vertical="bottom"/>
    </xf>
    <xf numFmtId="170" fontId="45" fillId="0" borderId="0" applyAlignment="1" pivotButton="0" quotePrefix="0" xfId="0">
      <alignment horizontal="general" vertical="bottom"/>
    </xf>
    <xf numFmtId="0" fontId="5" fillId="0" borderId="0" applyAlignment="1" pivotButton="0" quotePrefix="0" xfId="29">
      <alignment horizontal="general" vertical="bottom"/>
    </xf>
    <xf numFmtId="0" fontId="21" fillId="2" borderId="0" applyAlignment="1" pivotButton="0" quotePrefix="0" xfId="26">
      <alignment horizontal="left" vertical="center"/>
    </xf>
    <xf numFmtId="0" fontId="21" fillId="2" borderId="0" applyAlignment="1" pivotButton="0" quotePrefix="0" xfId="26">
      <alignment horizontal="general" vertical="center"/>
    </xf>
    <xf numFmtId="173" fontId="21" fillId="2" borderId="0" applyAlignment="1" pivotButton="0" quotePrefix="0" xfId="29">
      <alignment horizontal="general" vertical="center"/>
    </xf>
    <xf numFmtId="0" fontId="21" fillId="5" borderId="0" applyAlignment="1" pivotButton="0" quotePrefix="0" xfId="26">
      <alignment horizontal="left" vertical="bottom"/>
    </xf>
    <xf numFmtId="0" fontId="21" fillId="5" borderId="0" applyAlignment="1" pivotButton="0" quotePrefix="0" xfId="26">
      <alignment horizontal="general" vertical="bottom"/>
    </xf>
    <xf numFmtId="188" fontId="21" fillId="5" borderId="10" applyAlignment="1" pivotButton="0" quotePrefix="0" xfId="29">
      <alignment horizontal="right" vertical="bottom"/>
    </xf>
    <xf numFmtId="188" fontId="21" fillId="5" borderId="5" applyAlignment="1" pivotButton="0" quotePrefix="0" xfId="29">
      <alignment horizontal="right" vertical="bottom"/>
    </xf>
    <xf numFmtId="166" fontId="21" fillId="5" borderId="5" applyAlignment="1" pivotButton="0" quotePrefix="0" xfId="29">
      <alignment horizontal="right" vertical="bottom"/>
    </xf>
    <xf numFmtId="166" fontId="21" fillId="5" borderId="6" applyAlignment="1" pivotButton="0" quotePrefix="0" xfId="29">
      <alignment horizontal="right" vertical="bottom"/>
    </xf>
    <xf numFmtId="166" fontId="21" fillId="5" borderId="6" applyAlignment="1" pivotButton="0" quotePrefix="0" xfId="29">
      <alignment horizontal="right" vertical="center" wrapText="1"/>
    </xf>
    <xf numFmtId="166" fontId="21" fillId="5" borderId="7" applyAlignment="1" pivotButton="0" quotePrefix="0" xfId="29">
      <alignment horizontal="right" vertical="center" wrapText="1"/>
    </xf>
    <xf numFmtId="166" fontId="46" fillId="6" borderId="10" applyAlignment="1" pivotButton="0" quotePrefix="0" xfId="25">
      <alignment horizontal="right" vertical="bottom"/>
    </xf>
    <xf numFmtId="166" fontId="46" fillId="6" borderId="5" applyAlignment="1" pivotButton="0" quotePrefix="0" xfId="25">
      <alignment horizontal="right" vertical="bottom"/>
    </xf>
    <xf numFmtId="166" fontId="46" fillId="6" borderId="10" applyAlignment="1" pivotButton="0" quotePrefix="0" xfId="25">
      <alignment horizontal="right" vertical="center" wrapText="1"/>
    </xf>
    <xf numFmtId="166" fontId="46" fillId="6" borderId="7" applyAlignment="1" pivotButton="0" quotePrefix="0" xfId="25">
      <alignment horizontal="right" vertical="center" wrapText="1"/>
    </xf>
    <xf numFmtId="166" fontId="21" fillId="5" borderId="6" applyAlignment="1" pivotButton="0" quotePrefix="0" xfId="29">
      <alignment horizontal="right" vertical="bottom" wrapText="1"/>
    </xf>
    <xf numFmtId="0" fontId="19" fillId="0" borderId="0" applyAlignment="1" pivotButton="0" quotePrefix="0" xfId="26">
      <alignment horizontal="left" vertical="bottom" indent="4"/>
    </xf>
    <xf numFmtId="0" fontId="19" fillId="0" borderId="0" applyAlignment="1" pivotButton="0" quotePrefix="0" xfId="26">
      <alignment horizontal="general" vertical="bottom"/>
    </xf>
    <xf numFmtId="173" fontId="19" fillId="0" borderId="0" applyAlignment="1" pivotButton="0" quotePrefix="0" xfId="29">
      <alignment horizontal="general" vertical="bottom"/>
    </xf>
    <xf numFmtId="173" fontId="19" fillId="0" borderId="23" applyAlignment="1" pivotButton="0" quotePrefix="0" xfId="29">
      <alignment horizontal="general" vertical="bottom"/>
    </xf>
    <xf numFmtId="173" fontId="19" fillId="0" borderId="4" applyAlignment="1" pivotButton="0" quotePrefix="0" xfId="29">
      <alignment horizontal="general" vertical="bottom"/>
    </xf>
    <xf numFmtId="174" fontId="25" fillId="0" borderId="0" applyAlignment="1" pivotButton="0" quotePrefix="0" xfId="29">
      <alignment horizontal="general" vertical="bottom"/>
    </xf>
    <xf numFmtId="174" fontId="25" fillId="0" borderId="23" applyAlignment="1" pivotButton="0" quotePrefix="0" xfId="29">
      <alignment horizontal="general" vertical="bottom"/>
    </xf>
    <xf numFmtId="174" fontId="25" fillId="0" borderId="4" applyAlignment="1" pivotButton="0" quotePrefix="0" xfId="29">
      <alignment horizontal="general" vertical="bottom"/>
    </xf>
    <xf numFmtId="0" fontId="19" fillId="0" borderId="13" applyAlignment="1" pivotButton="0" quotePrefix="0" xfId="26">
      <alignment horizontal="left" vertical="bottom" indent="4"/>
    </xf>
    <xf numFmtId="0" fontId="19" fillId="0" borderId="13" applyAlignment="1" pivotButton="0" quotePrefix="0" xfId="26">
      <alignment horizontal="general" vertical="bottom"/>
    </xf>
    <xf numFmtId="173" fontId="19" fillId="0" borderId="13" applyAlignment="1" pivotButton="0" quotePrefix="0" xfId="29">
      <alignment horizontal="general" vertical="bottom"/>
    </xf>
    <xf numFmtId="173" fontId="19" fillId="0" borderId="24" applyAlignment="1" pivotButton="0" quotePrefix="0" xfId="29">
      <alignment horizontal="general" vertical="bottom"/>
    </xf>
    <xf numFmtId="173" fontId="19" fillId="0" borderId="25" applyAlignment="1" pivotButton="0" quotePrefix="0" xfId="29">
      <alignment horizontal="general" vertical="bottom"/>
    </xf>
    <xf numFmtId="174" fontId="25" fillId="0" borderId="13" applyAlignment="1" pivotButton="0" quotePrefix="0" xfId="29">
      <alignment horizontal="general" vertical="bottom"/>
    </xf>
    <xf numFmtId="174" fontId="25" fillId="0" borderId="24" applyAlignment="1" pivotButton="0" quotePrefix="0" xfId="29">
      <alignment horizontal="general" vertical="bottom"/>
    </xf>
    <xf numFmtId="174" fontId="25" fillId="0" borderId="25" applyAlignment="1" pivotButton="0" quotePrefix="0" xfId="29">
      <alignment horizontal="general" vertical="bottom"/>
    </xf>
    <xf numFmtId="0" fontId="19" fillId="0" borderId="0" applyAlignment="1" pivotButton="0" quotePrefix="0" xfId="26">
      <alignment horizontal="left" vertical="bottom" indent="3"/>
    </xf>
    <xf numFmtId="0" fontId="19" fillId="0" borderId="13" applyAlignment="1" pivotButton="0" quotePrefix="0" xfId="26">
      <alignment horizontal="left" vertical="bottom" indent="3"/>
    </xf>
    <xf numFmtId="0" fontId="19" fillId="0" borderId="0" applyAlignment="1" pivotButton="0" quotePrefix="0" xfId="26">
      <alignment horizontal="left" vertical="bottom" indent="2"/>
    </xf>
    <xf numFmtId="189" fontId="19" fillId="0" borderId="0" applyAlignment="1" pivotButton="0" quotePrefix="0" xfId="29">
      <alignment horizontal="general" vertical="bottom"/>
    </xf>
    <xf numFmtId="189" fontId="19" fillId="0" borderId="23" applyAlignment="1" pivotButton="0" quotePrefix="0" xfId="29">
      <alignment horizontal="general" vertical="bottom"/>
    </xf>
    <xf numFmtId="189" fontId="19" fillId="0" borderId="4" applyAlignment="1" pivotButton="0" quotePrefix="0" xfId="29">
      <alignment horizontal="general" vertical="bottom"/>
    </xf>
    <xf numFmtId="189" fontId="19" fillId="0" borderId="13" applyAlignment="1" pivotButton="0" quotePrefix="0" xfId="29">
      <alignment horizontal="general" vertical="bottom"/>
    </xf>
    <xf numFmtId="189" fontId="19" fillId="0" borderId="24" applyAlignment="1" pivotButton="0" quotePrefix="0" xfId="29">
      <alignment horizontal="general" vertical="bottom"/>
    </xf>
    <xf numFmtId="189" fontId="19" fillId="0" borderId="25" applyAlignment="1" pivotButton="0" quotePrefix="0" xfId="29">
      <alignment horizontal="general" vertical="bottom"/>
    </xf>
    <xf numFmtId="189" fontId="25" fillId="0" borderId="0" applyAlignment="1" pivotButton="0" quotePrefix="0" xfId="29">
      <alignment horizontal="general" vertical="bottom"/>
    </xf>
    <xf numFmtId="0" fontId="19" fillId="0" borderId="13" applyAlignment="1" pivotButton="0" quotePrefix="0" xfId="26">
      <alignment horizontal="left" vertical="bottom" indent="2"/>
    </xf>
    <xf numFmtId="0" fontId="19" fillId="0" borderId="0" applyAlignment="1" pivotButton="0" quotePrefix="0" xfId="26">
      <alignment horizontal="left" vertical="bottom" indent="1"/>
    </xf>
    <xf numFmtId="0" fontId="7" fillId="0" borderId="0" applyAlignment="1" pivotButton="0" quotePrefix="0" xfId="72">
      <alignment horizontal="general" vertical="bottom"/>
    </xf>
    <xf numFmtId="0" fontId="7" fillId="0" borderId="0" applyAlignment="1" pivotButton="0" quotePrefix="0" xfId="72">
      <alignment horizontal="left" vertical="bottom" indent="1"/>
    </xf>
    <xf numFmtId="189" fontId="7" fillId="0" borderId="0" applyAlignment="1" pivotButton="0" quotePrefix="0" xfId="72">
      <alignment horizontal="right" vertical="bottom"/>
    </xf>
    <xf numFmtId="189" fontId="7" fillId="0" borderId="23" applyAlignment="1" pivotButton="0" quotePrefix="0" xfId="72">
      <alignment horizontal="right" vertical="bottom"/>
    </xf>
    <xf numFmtId="189" fontId="7" fillId="0" borderId="4" applyAlignment="1" pivotButton="0" quotePrefix="0" xfId="72">
      <alignment horizontal="right" vertical="bottom"/>
    </xf>
    <xf numFmtId="174" fontId="22" fillId="0" borderId="0" applyAlignment="1" pivotButton="0" quotePrefix="0" xfId="72">
      <alignment horizontal="right" vertical="bottom"/>
    </xf>
    <xf numFmtId="174" fontId="22" fillId="0" borderId="23" applyAlignment="1" pivotButton="0" quotePrefix="0" xfId="72">
      <alignment horizontal="right" vertical="bottom"/>
    </xf>
    <xf numFmtId="174" fontId="22" fillId="0" borderId="4" applyAlignment="1" pivotButton="0" quotePrefix="0" xfId="72">
      <alignment horizontal="right" vertical="bottom"/>
    </xf>
    <xf numFmtId="189" fontId="7" fillId="7" borderId="0" applyAlignment="1" pivotButton="0" quotePrefix="0" xfId="72">
      <alignment horizontal="right" vertical="bottom"/>
    </xf>
    <xf numFmtId="189" fontId="7" fillId="7" borderId="23" applyAlignment="1" pivotButton="0" quotePrefix="0" xfId="72">
      <alignment horizontal="right" vertical="bottom"/>
    </xf>
    <xf numFmtId="174" fontId="22" fillId="7" borderId="0" applyAlignment="1" pivotButton="0" quotePrefix="0" xfId="72">
      <alignment horizontal="right" vertical="bottom"/>
    </xf>
    <xf numFmtId="174" fontId="22" fillId="7" borderId="23" applyAlignment="1" pivotButton="0" quotePrefix="0" xfId="72">
      <alignment horizontal="right" vertical="bottom"/>
    </xf>
    <xf numFmtId="174" fontId="22" fillId="7" borderId="4" applyAlignment="1" pivotButton="0" quotePrefix="0" xfId="72">
      <alignment horizontal="right" vertical="bottom"/>
    </xf>
    <xf numFmtId="0" fontId="34" fillId="7" borderId="22" applyAlignment="1" pivotButton="0" quotePrefix="0" xfId="72">
      <alignment horizontal="general" vertical="center"/>
    </xf>
    <xf numFmtId="189" fontId="34" fillId="7" borderId="22" applyAlignment="1" pivotButton="0" quotePrefix="0" xfId="72">
      <alignment horizontal="right" vertical="center"/>
    </xf>
    <xf numFmtId="189" fontId="34" fillId="7" borderId="34" applyAlignment="1" pivotButton="0" quotePrefix="0" xfId="72">
      <alignment horizontal="right" vertical="center"/>
    </xf>
    <xf numFmtId="189" fontId="34" fillId="7" borderId="35" applyAlignment="1" pivotButton="0" quotePrefix="0" xfId="72">
      <alignment horizontal="right" vertical="center"/>
    </xf>
    <xf numFmtId="174" fontId="47" fillId="7" borderId="22" applyAlignment="1" pivotButton="0" quotePrefix="0" xfId="72">
      <alignment horizontal="right" vertical="center"/>
    </xf>
    <xf numFmtId="174" fontId="47" fillId="7" borderId="34" applyAlignment="1" pivotButton="0" quotePrefix="0" xfId="72">
      <alignment horizontal="right" vertical="center"/>
    </xf>
    <xf numFmtId="174" fontId="47" fillId="7" borderId="35" applyAlignment="1" pivotButton="0" quotePrefix="0" xfId="72">
      <alignment horizontal="right" vertical="center"/>
    </xf>
    <xf numFmtId="185" fontId="5" fillId="0" borderId="0" applyAlignment="1" pivotButton="0" quotePrefix="0" xfId="29">
      <alignment horizontal="general" vertical="bottom"/>
    </xf>
    <xf numFmtId="0" fontId="22" fillId="0" borderId="0" applyAlignment="1" pivotButton="0" quotePrefix="0" xfId="72">
      <alignment horizontal="general" vertical="bottom"/>
    </xf>
    <xf numFmtId="167" fontId="22" fillId="0" borderId="0" applyAlignment="1" pivotButton="0" quotePrefix="0" xfId="51">
      <alignment horizontal="right" vertical="bottom"/>
    </xf>
    <xf numFmtId="167" fontId="22" fillId="0" borderId="0" applyAlignment="1" pivotButton="0" quotePrefix="0" xfId="72">
      <alignment horizontal="right" vertical="bottom"/>
    </xf>
    <xf numFmtId="190" fontId="22" fillId="0" borderId="0" applyAlignment="1" pivotButton="0" quotePrefix="0" xfId="72">
      <alignment horizontal="right" vertical="bottom"/>
    </xf>
    <xf numFmtId="167" fontId="5" fillId="0" borderId="0" applyAlignment="1" pivotButton="0" quotePrefix="0" xfId="29">
      <alignment horizontal="right" vertical="bottom"/>
    </xf>
    <xf numFmtId="189" fontId="5" fillId="0" borderId="0" applyAlignment="1" pivotButton="0" quotePrefix="0" xfId="29">
      <alignment horizontal="general" vertical="bottom"/>
    </xf>
    <xf numFmtId="0" fontId="5" fillId="2" borderId="4" applyAlignment="1" pivotButton="0" quotePrefix="0" xfId="68">
      <alignment horizontal="general" vertical="bottom"/>
    </xf>
    <xf numFmtId="0" fontId="27" fillId="0" borderId="0" applyAlignment="1" pivotButton="0" quotePrefix="0" xfId="68">
      <alignment horizontal="left" vertical="bottom"/>
    </xf>
    <xf numFmtId="166" fontId="7" fillId="0" borderId="0" applyAlignment="1" pivotButton="0" quotePrefix="0" xfId="51">
      <alignment horizontal="general" vertical="top"/>
    </xf>
    <xf numFmtId="0" fontId="28" fillId="0" borderId="0" applyAlignment="1" pivotButton="0" quotePrefix="0" xfId="68">
      <alignment horizontal="left" vertical="bottom"/>
    </xf>
    <xf numFmtId="0" fontId="29" fillId="0" borderId="0" applyAlignment="1" pivotButton="0" quotePrefix="0" xfId="68">
      <alignment horizontal="left" vertical="bottom"/>
    </xf>
    <xf numFmtId="0" fontId="24" fillId="0" borderId="0" applyAlignment="1" pivotButton="0" quotePrefix="0" xfId="68">
      <alignment horizontal="left" vertical="bottom"/>
    </xf>
    <xf numFmtId="0" fontId="21" fillId="2" borderId="0" applyAlignment="1" pivotButton="0" quotePrefix="0" xfId="27">
      <alignment horizontal="left" vertical="center"/>
    </xf>
    <xf numFmtId="0" fontId="46" fillId="2" borderId="0" applyAlignment="1" pivotButton="0" quotePrefix="0" xfId="27">
      <alignment horizontal="left" vertical="center"/>
    </xf>
    <xf numFmtId="0" fontId="50" fillId="2" borderId="0" applyAlignment="1" pivotButton="0" quotePrefix="0" xfId="51">
      <alignment horizontal="general" vertical="center"/>
    </xf>
    <xf numFmtId="0" fontId="50" fillId="2" borderId="4" applyAlignment="1" pivotButton="0" quotePrefix="0" xfId="51">
      <alignment horizontal="general" vertical="center"/>
    </xf>
    <xf numFmtId="173" fontId="21" fillId="2" borderId="0" applyAlignment="1" pivotButton="0" quotePrefix="0" xfId="30">
      <alignment horizontal="general" vertical="center"/>
    </xf>
    <xf numFmtId="0" fontId="7" fillId="5" borderId="0" applyAlignment="1" pivotButton="0" quotePrefix="0" xfId="51">
      <alignment horizontal="general" vertical="bottom"/>
    </xf>
    <xf numFmtId="0" fontId="22" fillId="5" borderId="0" applyAlignment="1" pivotButton="0" quotePrefix="0" xfId="51">
      <alignment horizontal="general" vertical="bottom"/>
    </xf>
    <xf numFmtId="0" fontId="31" fillId="5" borderId="20" applyAlignment="1" pivotButton="0" quotePrefix="0" xfId="72">
      <alignment horizontal="center" vertical="bottom"/>
    </xf>
    <xf numFmtId="0" fontId="7" fillId="0" borderId="0" applyAlignment="1" pivotButton="0" quotePrefix="0" xfId="51">
      <alignment horizontal="right" vertical="bottom"/>
    </xf>
    <xf numFmtId="0" fontId="5" fillId="2" borderId="0" applyAlignment="1" pivotButton="0" quotePrefix="0" xfId="46">
      <alignment horizontal="right" vertical="bottom"/>
    </xf>
    <xf numFmtId="0" fontId="5" fillId="0" borderId="0" applyAlignment="1" pivotButton="0" quotePrefix="0" xfId="50">
      <alignment horizontal="right" vertical="bottom"/>
    </xf>
    <xf numFmtId="166" fontId="21" fillId="5" borderId="10" applyAlignment="1" pivotButton="0" quotePrefix="0" xfId="30">
      <alignment horizontal="right" vertical="bottom"/>
    </xf>
    <xf numFmtId="166" fontId="21" fillId="5" borderId="5" applyAlignment="1" pivotButton="0" quotePrefix="0" xfId="30">
      <alignment horizontal="right" vertical="bottom"/>
    </xf>
    <xf numFmtId="166" fontId="21" fillId="5" borderId="6" applyAlignment="1" pivotButton="0" quotePrefix="0" xfId="30">
      <alignment horizontal="right" vertical="bottom"/>
    </xf>
    <xf numFmtId="166" fontId="21" fillId="5" borderId="6" applyAlignment="1" pivotButton="0" quotePrefix="0" xfId="30">
      <alignment horizontal="right" vertical="bottom" wrapText="1"/>
    </xf>
    <xf numFmtId="166" fontId="21" fillId="5" borderId="7" applyAlignment="1" pivotButton="0" quotePrefix="0" xfId="30">
      <alignment horizontal="right" vertical="bottom" wrapText="1"/>
    </xf>
    <xf numFmtId="166" fontId="46" fillId="6" borderId="10" applyAlignment="1" pivotButton="0" quotePrefix="0" xfId="27">
      <alignment horizontal="right" vertical="bottom"/>
    </xf>
    <xf numFmtId="166" fontId="46" fillId="6" borderId="5" applyAlignment="1" pivotButton="0" quotePrefix="0" xfId="27">
      <alignment horizontal="right" vertical="bottom"/>
    </xf>
    <xf numFmtId="166" fontId="46" fillId="6" borderId="10" applyAlignment="1" pivotButton="0" quotePrefix="0" xfId="27">
      <alignment horizontal="right" vertical="bottom" wrapText="1"/>
    </xf>
    <xf numFmtId="166" fontId="46" fillId="6" borderId="7" applyAlignment="1" pivotButton="0" quotePrefix="0" xfId="27">
      <alignment horizontal="right" vertical="bottom" wrapText="1"/>
    </xf>
    <xf numFmtId="0" fontId="22" fillId="0" borderId="0" applyAlignment="1" pivotButton="0" quotePrefix="0" xfId="51">
      <alignment horizontal="right" vertical="bottom"/>
    </xf>
    <xf numFmtId="0" fontId="7" fillId="0" borderId="0" applyAlignment="1" pivotButton="0" quotePrefix="0" xfId="51">
      <alignment horizontal="left" vertical="bottom" indent="4"/>
    </xf>
    <xf numFmtId="0" fontId="22" fillId="0" borderId="0" applyAlignment="1" pivotButton="0" quotePrefix="0" xfId="51">
      <alignment horizontal="left" vertical="bottom" indent="4"/>
    </xf>
    <xf numFmtId="0" fontId="7" fillId="0" borderId="13" applyAlignment="1" pivotButton="0" quotePrefix="0" xfId="51">
      <alignment horizontal="left" vertical="bottom" indent="4"/>
    </xf>
    <xf numFmtId="0" fontId="22" fillId="0" borderId="13" applyAlignment="1" pivotButton="0" quotePrefix="0" xfId="51">
      <alignment horizontal="left" vertical="bottom" indent="4"/>
    </xf>
    <xf numFmtId="167" fontId="7" fillId="0" borderId="13" applyAlignment="1" pivotButton="0" quotePrefix="0" xfId="51">
      <alignment horizontal="right" vertical="bottom"/>
    </xf>
    <xf numFmtId="167" fontId="7" fillId="0" borderId="24" applyAlignment="1" pivotButton="0" quotePrefix="0" xfId="51">
      <alignment horizontal="right" vertical="bottom"/>
    </xf>
    <xf numFmtId="167" fontId="7" fillId="0" borderId="25" applyAlignment="1" pivotButton="0" quotePrefix="0" xfId="51">
      <alignment horizontal="right" vertical="bottom"/>
    </xf>
    <xf numFmtId="0" fontId="7" fillId="0" borderId="13" applyAlignment="1" pivotButton="0" quotePrefix="0" xfId="51">
      <alignment horizontal="left" vertical="bottom" indent="3"/>
    </xf>
    <xf numFmtId="0" fontId="22" fillId="0" borderId="13" applyAlignment="1" pivotButton="0" quotePrefix="0" xfId="51">
      <alignment horizontal="left" vertical="bottom" indent="3"/>
    </xf>
    <xf numFmtId="0" fontId="22" fillId="0" borderId="0" applyAlignment="1" pivotButton="0" quotePrefix="0" xfId="51">
      <alignment horizontal="left" vertical="bottom" indent="2"/>
    </xf>
    <xf numFmtId="0" fontId="7" fillId="0" borderId="0" applyAlignment="1" pivotButton="0" quotePrefix="0" xfId="51">
      <alignment horizontal="left" vertical="bottom" indent="3"/>
    </xf>
    <xf numFmtId="0" fontId="22" fillId="0" borderId="0" applyAlignment="1" pivotButton="0" quotePrefix="0" xfId="51">
      <alignment horizontal="left" vertical="bottom" indent="3"/>
    </xf>
    <xf numFmtId="0" fontId="7" fillId="0" borderId="0" applyAlignment="1" pivotButton="0" quotePrefix="0" xfId="51">
      <alignment horizontal="left" vertical="bottom" indent="5"/>
    </xf>
    <xf numFmtId="167" fontId="7" fillId="0" borderId="58" applyAlignment="1" pivotButton="0" quotePrefix="0" xfId="51">
      <alignment horizontal="right" vertical="bottom"/>
    </xf>
    <xf numFmtId="168" fontId="22" fillId="0" borderId="58" applyAlignment="1" pivotButton="0" quotePrefix="0" xfId="51">
      <alignment horizontal="right" vertical="bottom"/>
    </xf>
    <xf numFmtId="0" fontId="7" fillId="0" borderId="13" applyAlignment="1" pivotButton="0" quotePrefix="0" xfId="51">
      <alignment horizontal="left" vertical="bottom" indent="5"/>
    </xf>
    <xf numFmtId="167" fontId="7" fillId="0" borderId="59" applyAlignment="1" pivotButton="0" quotePrefix="0" xfId="51">
      <alignment horizontal="right" vertical="bottom"/>
    </xf>
    <xf numFmtId="168" fontId="22" fillId="0" borderId="59" applyAlignment="1" pivotButton="0" quotePrefix="0" xfId="51">
      <alignment horizontal="right" vertical="bottom"/>
    </xf>
    <xf numFmtId="171" fontId="35" fillId="2" borderId="0" applyAlignment="1" pivotButton="0" quotePrefix="0" xfId="46">
      <alignment horizontal="general" vertical="bottom"/>
    </xf>
    <xf numFmtId="171" fontId="36" fillId="0" borderId="0" applyAlignment="1" pivotButton="0" quotePrefix="0" xfId="50">
      <alignment horizontal="general" vertical="bottom"/>
    </xf>
    <xf numFmtId="168" fontId="22" fillId="4" borderId="13" applyAlignment="1" pivotButton="0" quotePrefix="0" xfId="51">
      <alignment horizontal="right" vertical="bottom"/>
    </xf>
    <xf numFmtId="0" fontId="22" fillId="0" borderId="13" applyAlignment="1" pivotButton="0" quotePrefix="0" xfId="51">
      <alignment horizontal="left" vertical="bottom" indent="2"/>
    </xf>
    <xf numFmtId="0" fontId="7" fillId="0" borderId="13" applyAlignment="1" pivotButton="0" quotePrefix="0" xfId="51">
      <alignment horizontal="left" vertical="bottom" indent="2"/>
    </xf>
    <xf numFmtId="0" fontId="22" fillId="0" borderId="0" applyAlignment="1" pivotButton="0" quotePrefix="0" xfId="51">
      <alignment horizontal="left" vertical="bottom" indent="1"/>
    </xf>
    <xf numFmtId="0" fontId="22" fillId="0" borderId="0" applyAlignment="1" pivotButton="0" quotePrefix="0" xfId="72">
      <alignment horizontal="left" vertical="bottom" indent="1"/>
    </xf>
    <xf numFmtId="191" fontId="7" fillId="0" borderId="0" applyAlignment="1" pivotButton="0" quotePrefix="0" xfId="51">
      <alignment horizontal="general" vertical="bottom"/>
    </xf>
    <xf numFmtId="191" fontId="7" fillId="0" borderId="23" applyAlignment="1" pivotButton="0" quotePrefix="0" xfId="51">
      <alignment horizontal="general" vertical="bottom"/>
    </xf>
    <xf numFmtId="191" fontId="7" fillId="0" borderId="4" applyAlignment="1" pivotButton="0" quotePrefix="0" xfId="51">
      <alignment horizontal="general" vertical="bottom"/>
    </xf>
    <xf numFmtId="191" fontId="7" fillId="7" borderId="0" applyAlignment="1" pivotButton="0" quotePrefix="0" xfId="51">
      <alignment horizontal="general" vertical="bottom"/>
    </xf>
    <xf numFmtId="191" fontId="7" fillId="7" borderId="23" applyAlignment="1" pivotButton="0" quotePrefix="0" xfId="51">
      <alignment horizontal="general" vertical="bottom"/>
    </xf>
    <xf numFmtId="191" fontId="7" fillId="7" borderId="4" applyAlignment="1" pivotButton="0" quotePrefix="0" xfId="51">
      <alignment horizontal="general" vertical="bottom"/>
    </xf>
    <xf numFmtId="168" fontId="22" fillId="7" borderId="0" applyAlignment="1" pivotButton="0" quotePrefix="0" xfId="51">
      <alignment horizontal="right" vertical="bottom"/>
    </xf>
    <xf numFmtId="168" fontId="22" fillId="7" borderId="23" applyAlignment="1" pivotButton="0" quotePrefix="0" xfId="51">
      <alignment horizontal="right" vertical="bottom"/>
    </xf>
    <xf numFmtId="168" fontId="22" fillId="7" borderId="4" applyAlignment="1" pivotButton="0" quotePrefix="0" xfId="51">
      <alignment horizontal="right" vertical="bottom"/>
    </xf>
    <xf numFmtId="0" fontId="47" fillId="7" borderId="22" applyAlignment="1" pivotButton="0" quotePrefix="0" xfId="51">
      <alignment horizontal="general" vertical="center"/>
    </xf>
    <xf numFmtId="191" fontId="34" fillId="7" borderId="22" applyAlignment="1" pivotButton="0" quotePrefix="0" xfId="51">
      <alignment horizontal="general" vertical="center"/>
    </xf>
    <xf numFmtId="191" fontId="34" fillId="7" borderId="34" applyAlignment="1" pivotButton="0" quotePrefix="0" xfId="51">
      <alignment horizontal="general" vertical="center"/>
    </xf>
    <xf numFmtId="191" fontId="34" fillId="7" borderId="35" applyAlignment="1" pivotButton="0" quotePrefix="0" xfId="51">
      <alignment horizontal="general" vertical="center"/>
    </xf>
    <xf numFmtId="191" fontId="22" fillId="0" borderId="0" applyAlignment="1" pivotButton="0" quotePrefix="0" xfId="51">
      <alignment horizontal="general" vertical="bottom"/>
    </xf>
    <xf numFmtId="190" fontId="22" fillId="0" borderId="0" applyAlignment="1" pivotButton="0" quotePrefix="0" xfId="51">
      <alignment horizontal="right" vertical="bottom"/>
    </xf>
    <xf numFmtId="172" fontId="7" fillId="0" borderId="0" applyAlignment="1" pivotButton="0" quotePrefix="0" xfId="51">
      <alignment horizontal="right" vertical="bottom"/>
    </xf>
    <xf numFmtId="0" fontId="29" fillId="0" borderId="0" applyAlignment="1" pivotButton="0" quotePrefix="0" xfId="69">
      <alignment horizontal="left" vertical="bottom"/>
    </xf>
    <xf numFmtId="0" fontId="21" fillId="2" borderId="0" applyAlignment="1" pivotButton="0" quotePrefix="0" xfId="0">
      <alignment horizontal="general" vertical="center"/>
    </xf>
    <xf numFmtId="188" fontId="31" fillId="5" borderId="0" applyAlignment="1" pivotButton="0" quotePrefix="0" xfId="0">
      <alignment horizontal="general" vertical="bottom"/>
    </xf>
    <xf numFmtId="188" fontId="31" fillId="5" borderId="20" applyAlignment="1" pivotButton="0" quotePrefix="0" xfId="0">
      <alignment horizontal="general" vertical="bottom"/>
    </xf>
    <xf numFmtId="0" fontId="5" fillId="7" borderId="0" applyAlignment="1" pivotButton="0" quotePrefix="0" xfId="0">
      <alignment horizontal="left" vertical="bottom" indent="3"/>
    </xf>
    <xf numFmtId="167" fontId="5" fillId="7" borderId="0" applyAlignment="1" pivotButton="0" quotePrefix="0" xfId="0">
      <alignment horizontal="right" vertical="bottom"/>
    </xf>
    <xf numFmtId="167" fontId="5" fillId="7" borderId="4" applyAlignment="1" pivotButton="0" quotePrefix="0" xfId="0">
      <alignment horizontal="right" vertical="bottom"/>
    </xf>
    <xf numFmtId="192" fontId="5" fillId="0" borderId="0" applyAlignment="1" pivotButton="0" quotePrefix="0" xfId="0">
      <alignment horizontal="general" vertical="bottom"/>
    </xf>
    <xf numFmtId="192" fontId="5" fillId="2" borderId="0" applyAlignment="1" pivotButton="0" quotePrefix="0" xfId="0">
      <alignment horizontal="left" vertical="bottom"/>
    </xf>
    <xf numFmtId="192" fontId="5" fillId="0" borderId="0" applyAlignment="1" pivotButton="0" quotePrefix="0" xfId="0">
      <alignment horizontal="left" vertical="bottom"/>
    </xf>
    <xf numFmtId="192" fontId="5" fillId="4" borderId="13" applyAlignment="1" pivotButton="0" quotePrefix="0" xfId="0">
      <alignment horizontal="left" vertical="bottom" indent="3"/>
    </xf>
    <xf numFmtId="192" fontId="5" fillId="4" borderId="13" applyAlignment="1" pivotButton="0" quotePrefix="0" xfId="0">
      <alignment horizontal="right" vertical="bottom"/>
    </xf>
    <xf numFmtId="192" fontId="5" fillId="4" borderId="24" applyAlignment="1" pivotButton="0" quotePrefix="0" xfId="0">
      <alignment horizontal="right" vertical="bottom"/>
    </xf>
    <xf numFmtId="192" fontId="5" fillId="7" borderId="13" applyAlignment="1" pivotButton="0" quotePrefix="0" xfId="0">
      <alignment horizontal="right" vertical="bottom"/>
    </xf>
    <xf numFmtId="192" fontId="5" fillId="7" borderId="25" applyAlignment="1" pivotButton="0" quotePrefix="0" xfId="0">
      <alignment horizontal="right" vertical="bottom"/>
    </xf>
    <xf numFmtId="0" fontId="5" fillId="7" borderId="0" applyAlignment="1" pivotButton="0" quotePrefix="0" xfId="0">
      <alignment horizontal="left" vertical="bottom" indent="2"/>
    </xf>
    <xf numFmtId="193" fontId="5" fillId="0" borderId="0" applyAlignment="1" pivotButton="0" quotePrefix="0" xfId="0">
      <alignment horizontal="general" vertical="bottom"/>
    </xf>
    <xf numFmtId="193" fontId="5" fillId="2" borderId="0" applyAlignment="1" pivotButton="0" quotePrefix="0" xfId="0">
      <alignment horizontal="left" vertical="bottom"/>
    </xf>
    <xf numFmtId="193" fontId="5" fillId="0" borderId="0" applyAlignment="1" pivotButton="0" quotePrefix="0" xfId="0">
      <alignment horizontal="left" vertical="bottom"/>
    </xf>
    <xf numFmtId="193" fontId="5" fillId="4" borderId="13" applyAlignment="1" pivotButton="0" quotePrefix="0" xfId="0">
      <alignment horizontal="left" vertical="bottom" indent="3"/>
    </xf>
    <xf numFmtId="193" fontId="5" fillId="0" borderId="13" applyAlignment="1" pivotButton="0" quotePrefix="0" xfId="0">
      <alignment horizontal="right" vertical="bottom"/>
    </xf>
    <xf numFmtId="193" fontId="5" fillId="0" borderId="24" applyAlignment="1" pivotButton="0" quotePrefix="0" xfId="0">
      <alignment horizontal="right" vertical="bottom"/>
    </xf>
    <xf numFmtId="193" fontId="5" fillId="7" borderId="13" applyAlignment="1" pivotButton="0" quotePrefix="0" xfId="0">
      <alignment horizontal="right" vertical="bottom"/>
    </xf>
    <xf numFmtId="193" fontId="5" fillId="7" borderId="25" applyAlignment="1" pivotButton="0" quotePrefix="0" xfId="0">
      <alignment horizontal="right" vertical="bottom"/>
    </xf>
    <xf numFmtId="193" fontId="5" fillId="4" borderId="13" applyAlignment="1" pivotButton="0" quotePrefix="0" xfId="0">
      <alignment horizontal="right" vertical="bottom"/>
    </xf>
    <xf numFmtId="0" fontId="5" fillId="7" borderId="13" applyAlignment="1" pivotButton="0" quotePrefix="0" xfId="0">
      <alignment horizontal="left" vertical="bottom" indent="2"/>
    </xf>
    <xf numFmtId="167" fontId="5" fillId="7" borderId="13" applyAlignment="1" pivotButton="0" quotePrefix="0" xfId="0">
      <alignment horizontal="right" vertical="bottom"/>
    </xf>
    <xf numFmtId="167" fontId="5" fillId="7" borderId="25" applyAlignment="1" pivotButton="0" quotePrefix="0" xfId="0">
      <alignment horizontal="right" vertical="bottom"/>
    </xf>
    <xf numFmtId="0" fontId="5" fillId="7" borderId="0" applyAlignment="1" pivotButton="0" quotePrefix="0" xfId="0">
      <alignment horizontal="left" vertical="bottom" indent="1"/>
    </xf>
    <xf numFmtId="0" fontId="21" fillId="2" borderId="2" applyAlignment="1" pivotButton="0" quotePrefix="0" xfId="0">
      <alignment horizontal="general" vertical="center"/>
    </xf>
    <xf numFmtId="0" fontId="21" fillId="2" borderId="60" applyAlignment="1" pivotButton="0" quotePrefix="0" xfId="0">
      <alignment horizontal="general" vertical="center"/>
    </xf>
    <xf numFmtId="0" fontId="21" fillId="5" borderId="0" applyAlignment="1" pivotButton="0" quotePrefix="0" xfId="0">
      <alignment horizontal="right" vertical="bottom" wrapText="1"/>
    </xf>
    <xf numFmtId="0" fontId="21" fillId="5" borderId="19" applyAlignment="1" pivotButton="0" quotePrefix="0" xfId="0">
      <alignment horizontal="right" vertical="bottom" wrapText="1"/>
    </xf>
    <xf numFmtId="167" fontId="35" fillId="0" borderId="61" applyAlignment="1" pivotButton="0" quotePrefix="0" xfId="0">
      <alignment horizontal="right" vertical="bottom"/>
    </xf>
    <xf numFmtId="192" fontId="47" fillId="7" borderId="22" applyAlignment="1" pivotButton="0" quotePrefix="0" xfId="0">
      <alignment horizontal="right" vertical="center"/>
    </xf>
    <xf numFmtId="192" fontId="47" fillId="7" borderId="62" applyAlignment="1" pivotButton="0" quotePrefix="0" xfId="0">
      <alignment horizontal="right" vertical="center"/>
    </xf>
    <xf numFmtId="0" fontId="7" fillId="2" borderId="0" applyAlignment="1" pivotButton="0" quotePrefix="0" xfId="72">
      <alignment horizontal="general" vertical="bottom"/>
    </xf>
    <xf numFmtId="0" fontId="32" fillId="0" borderId="0" applyAlignment="1" pivotButton="0" quotePrefix="0" xfId="72">
      <alignment horizontal="general" vertical="bottom"/>
    </xf>
    <xf numFmtId="0" fontId="32" fillId="0" borderId="0" applyAlignment="1" pivotButton="0" quotePrefix="0" xfId="46">
      <alignment horizontal="left" vertical="bottom"/>
    </xf>
    <xf numFmtId="0" fontId="31" fillId="5" borderId="0" applyAlignment="1" pivotButton="0" quotePrefix="0" xfId="25">
      <alignment horizontal="left" vertical="center"/>
    </xf>
    <xf numFmtId="0" fontId="31" fillId="6" borderId="0" applyAlignment="1" pivotButton="0" quotePrefix="0" xfId="72">
      <alignment horizontal="center" vertical="bottom"/>
    </xf>
    <xf numFmtId="0" fontId="32" fillId="6" borderId="0" applyAlignment="1" pivotButton="0" quotePrefix="0" xfId="72">
      <alignment horizontal="center" vertical="bottom"/>
    </xf>
    <xf numFmtId="0" fontId="32" fillId="6" borderId="20" applyAlignment="1" pivotButton="0" quotePrefix="0" xfId="72">
      <alignment horizontal="center" vertical="bottom"/>
    </xf>
    <xf numFmtId="0" fontId="31" fillId="6" borderId="20" applyAlignment="1" pivotButton="0" quotePrefix="0" xfId="72">
      <alignment horizontal="center" vertical="bottom"/>
    </xf>
    <xf numFmtId="0" fontId="21" fillId="5" borderId="0" applyAlignment="1" pivotButton="0" quotePrefix="0" xfId="25">
      <alignment horizontal="general" vertical="bottom"/>
    </xf>
    <xf numFmtId="166" fontId="21" fillId="5" borderId="10" applyAlignment="1" pivotButton="0" quotePrefix="0" xfId="25">
      <alignment horizontal="right" vertical="bottom"/>
    </xf>
    <xf numFmtId="166" fontId="21" fillId="5" borderId="10" applyAlignment="1" pivotButton="0" quotePrefix="0" xfId="25">
      <alignment horizontal="right" vertical="center" wrapText="1"/>
    </xf>
    <xf numFmtId="166" fontId="21" fillId="5" borderId="7" applyAlignment="1" pivotButton="0" quotePrefix="0" xfId="25">
      <alignment horizontal="right" vertical="center" wrapText="1"/>
    </xf>
    <xf numFmtId="166" fontId="21" fillId="6" borderId="10" applyAlignment="1" pivotButton="0" quotePrefix="0" xfId="25">
      <alignment horizontal="right" vertical="bottom"/>
    </xf>
    <xf numFmtId="166" fontId="21" fillId="6" borderId="5" applyAlignment="1" pivotButton="0" quotePrefix="0" xfId="25">
      <alignment horizontal="right" vertical="bottom"/>
    </xf>
    <xf numFmtId="166" fontId="21" fillId="6" borderId="5" applyAlignment="1" pivotButton="0" quotePrefix="0" xfId="25">
      <alignment horizontal="right" vertical="bottom" wrapText="1"/>
    </xf>
    <xf numFmtId="166" fontId="21" fillId="6" borderId="10" applyAlignment="1" pivotButton="0" quotePrefix="0" xfId="25">
      <alignment horizontal="right" vertical="center" wrapText="1"/>
    </xf>
    <xf numFmtId="167" fontId="7" fillId="0" borderId="0" applyAlignment="1" pivotButton="0" quotePrefix="0" xfId="72">
      <alignment horizontal="right" vertical="bottom"/>
    </xf>
    <xf numFmtId="167" fontId="7" fillId="0" borderId="23" applyAlignment="1" pivotButton="0" quotePrefix="0" xfId="72">
      <alignment horizontal="right" vertical="bottom"/>
    </xf>
    <xf numFmtId="167" fontId="7" fillId="0" borderId="4" applyAlignment="1" pivotButton="0" quotePrefix="0" xfId="72">
      <alignment horizontal="right" vertical="bottom"/>
    </xf>
    <xf numFmtId="0" fontId="7" fillId="0" borderId="0" applyAlignment="1" pivotButton="0" quotePrefix="0" xfId="72">
      <alignment horizontal="left" vertical="bottom" indent="3"/>
    </xf>
    <xf numFmtId="167" fontId="7" fillId="0" borderId="58" applyAlignment="1" pivotButton="0" quotePrefix="0" xfId="72">
      <alignment horizontal="right" vertical="bottom"/>
    </xf>
    <xf numFmtId="0" fontId="7" fillId="0" borderId="13" applyAlignment="1" pivotButton="0" quotePrefix="0" xfId="72">
      <alignment horizontal="left" vertical="bottom" indent="3"/>
    </xf>
    <xf numFmtId="167" fontId="7" fillId="0" borderId="13" applyAlignment="1" pivotButton="0" quotePrefix="0" xfId="72">
      <alignment horizontal="right" vertical="bottom"/>
    </xf>
    <xf numFmtId="167" fontId="7" fillId="0" borderId="24" applyAlignment="1" pivotButton="0" quotePrefix="0" xfId="72">
      <alignment horizontal="right" vertical="bottom"/>
    </xf>
    <xf numFmtId="167" fontId="7" fillId="0" borderId="25" applyAlignment="1" pivotButton="0" quotePrefix="0" xfId="72">
      <alignment horizontal="right" vertical="bottom"/>
    </xf>
    <xf numFmtId="167" fontId="7" fillId="0" borderId="59" applyAlignment="1" pivotButton="0" quotePrefix="0" xfId="72">
      <alignment horizontal="right" vertical="bottom"/>
    </xf>
    <xf numFmtId="174" fontId="22" fillId="0" borderId="13" applyAlignment="1" pivotButton="0" quotePrefix="0" xfId="72">
      <alignment horizontal="right" vertical="bottom"/>
    </xf>
    <xf numFmtId="174" fontId="22" fillId="0" borderId="24" applyAlignment="1" pivotButton="0" quotePrefix="0" xfId="72">
      <alignment horizontal="right" vertical="bottom"/>
    </xf>
    <xf numFmtId="174" fontId="22" fillId="0" borderId="25" applyAlignment="1" pivotButton="0" quotePrefix="0" xfId="72">
      <alignment horizontal="right" vertical="bottom"/>
    </xf>
    <xf numFmtId="0" fontId="7" fillId="0" borderId="0" applyAlignment="1" pivotButton="0" quotePrefix="0" xfId="72">
      <alignment horizontal="left" vertical="bottom" indent="2"/>
    </xf>
    <xf numFmtId="0" fontId="7" fillId="0" borderId="13" applyAlignment="1" pivotButton="0" quotePrefix="0" xfId="72">
      <alignment horizontal="left" vertical="bottom" indent="2"/>
    </xf>
    <xf numFmtId="167" fontId="34" fillId="7" borderId="22" applyAlignment="1" pivotButton="0" quotePrefix="0" xfId="72">
      <alignment horizontal="right" vertical="center"/>
    </xf>
    <xf numFmtId="167" fontId="34" fillId="7" borderId="34" applyAlignment="1" pivotButton="0" quotePrefix="0" xfId="72">
      <alignment horizontal="right" vertical="center"/>
    </xf>
    <xf numFmtId="167" fontId="34" fillId="7" borderId="35" applyAlignment="1" pivotButton="0" quotePrefix="0" xfId="72">
      <alignment horizontal="right" vertical="center"/>
    </xf>
    <xf numFmtId="0" fontId="21" fillId="5" borderId="0" applyAlignment="1" pivotButton="0" quotePrefix="0" xfId="25">
      <alignment horizontal="general" vertical="bottom" wrapText="1"/>
    </xf>
    <xf numFmtId="0" fontId="34" fillId="7" borderId="2" applyAlignment="1" pivotButton="0" quotePrefix="0" xfId="72">
      <alignment horizontal="general" vertical="center"/>
    </xf>
    <xf numFmtId="167" fontId="34" fillId="7" borderId="2" applyAlignment="1" pivotButton="0" quotePrefix="0" xfId="72">
      <alignment horizontal="right" vertical="center"/>
    </xf>
    <xf numFmtId="167" fontId="34" fillId="7" borderId="26" applyAlignment="1" pivotButton="0" quotePrefix="0" xfId="72">
      <alignment horizontal="right" vertical="center"/>
    </xf>
    <xf numFmtId="167" fontId="34" fillId="7" borderId="27" applyAlignment="1" pivotButton="0" quotePrefix="0" xfId="72">
      <alignment horizontal="right" vertical="center"/>
    </xf>
    <xf numFmtId="0" fontId="22" fillId="7" borderId="0" applyAlignment="1" pivotButton="0" quotePrefix="0" xfId="72">
      <alignment horizontal="general" vertical="bottom"/>
    </xf>
    <xf numFmtId="167" fontId="22" fillId="7" borderId="0" applyAlignment="1" pivotButton="0" quotePrefix="0" xfId="72">
      <alignment horizontal="right" vertical="bottom"/>
    </xf>
    <xf numFmtId="166" fontId="21" fillId="6" borderId="7" applyAlignment="1" pivotButton="0" quotePrefix="0" xfId="25">
      <alignment horizontal="right" vertical="center" wrapText="1"/>
    </xf>
    <xf numFmtId="0" fontId="19" fillId="0" borderId="0" applyAlignment="1" pivotButton="0" quotePrefix="0" xfId="25">
      <alignment horizontal="left" vertical="bottom" indent="1"/>
    </xf>
    <xf numFmtId="173" fontId="19" fillId="0" borderId="0" applyAlignment="1" pivotButton="0" quotePrefix="0" xfId="25">
      <alignment horizontal="general" vertical="bottom"/>
    </xf>
    <xf numFmtId="173" fontId="19" fillId="0" borderId="23" applyAlignment="1" pivotButton="0" quotePrefix="0" xfId="25">
      <alignment horizontal="general" vertical="bottom"/>
    </xf>
    <xf numFmtId="173" fontId="19" fillId="0" borderId="4" applyAlignment="1" pivotButton="0" quotePrefix="0" xfId="25">
      <alignment horizontal="general" vertical="bottom"/>
    </xf>
    <xf numFmtId="174" fontId="25" fillId="0" borderId="0" applyAlignment="1" pivotButton="0" quotePrefix="0" xfId="25">
      <alignment horizontal="general" vertical="bottom"/>
    </xf>
    <xf numFmtId="174" fontId="25" fillId="0" borderId="23" applyAlignment="1" pivotButton="0" quotePrefix="0" xfId="25">
      <alignment horizontal="general" vertical="bottom"/>
    </xf>
    <xf numFmtId="174" fontId="25" fillId="0" borderId="4" applyAlignment="1" pivotButton="0" quotePrefix="0" xfId="25">
      <alignment horizontal="general" vertical="bottom"/>
    </xf>
    <xf numFmtId="0" fontId="19" fillId="0" borderId="0" applyAlignment="1" pivotButton="0" quotePrefix="0" xfId="25">
      <alignment horizontal="left" vertical="bottom" indent="3"/>
    </xf>
    <xf numFmtId="0" fontId="19" fillId="0" borderId="13" applyAlignment="1" pivotButton="0" quotePrefix="0" xfId="25">
      <alignment horizontal="left" vertical="bottom" indent="3"/>
    </xf>
    <xf numFmtId="173" fontId="19" fillId="0" borderId="13" applyAlignment="1" pivotButton="0" quotePrefix="0" xfId="25">
      <alignment horizontal="general" vertical="bottom"/>
    </xf>
    <xf numFmtId="173" fontId="19" fillId="0" borderId="24" applyAlignment="1" pivotButton="0" quotePrefix="0" xfId="25">
      <alignment horizontal="general" vertical="bottom"/>
    </xf>
    <xf numFmtId="173" fontId="19" fillId="0" borderId="25" applyAlignment="1" pivotButton="0" quotePrefix="0" xfId="25">
      <alignment horizontal="general" vertical="bottom"/>
    </xf>
    <xf numFmtId="174" fontId="25" fillId="0" borderId="13" applyAlignment="1" pivotButton="0" quotePrefix="0" xfId="25">
      <alignment horizontal="general" vertical="bottom"/>
    </xf>
    <xf numFmtId="174" fontId="25" fillId="0" borderId="24" applyAlignment="1" pivotButton="0" quotePrefix="0" xfId="25">
      <alignment horizontal="general" vertical="bottom"/>
    </xf>
    <xf numFmtId="174" fontId="25" fillId="0" borderId="25" applyAlignment="1" pivotButton="0" quotePrefix="0" xfId="25">
      <alignment horizontal="general" vertical="bottom"/>
    </xf>
    <xf numFmtId="0" fontId="19" fillId="0" borderId="0" applyAlignment="1" pivotButton="0" quotePrefix="0" xfId="25">
      <alignment horizontal="left" vertical="bottom" indent="2"/>
    </xf>
    <xf numFmtId="0" fontId="19" fillId="12" borderId="0" applyAlignment="1" pivotButton="0" quotePrefix="0" xfId="25">
      <alignment horizontal="left" vertical="bottom" indent="3"/>
    </xf>
    <xf numFmtId="0" fontId="19" fillId="12" borderId="13" applyAlignment="1" pivotButton="0" quotePrefix="0" xfId="25">
      <alignment horizontal="left" vertical="bottom" indent="3"/>
    </xf>
    <xf numFmtId="0" fontId="19" fillId="12" borderId="0" applyAlignment="1" pivotButton="0" quotePrefix="0" xfId="25">
      <alignment horizontal="left" vertical="bottom" indent="2"/>
    </xf>
    <xf numFmtId="0" fontId="19" fillId="0" borderId="13" applyAlignment="1" pivotButton="0" quotePrefix="0" xfId="25">
      <alignment horizontal="left" vertical="bottom" indent="2"/>
    </xf>
    <xf numFmtId="0" fontId="34" fillId="7" borderId="22" applyAlignment="1" pivotButton="0" quotePrefix="0" xfId="25">
      <alignment horizontal="left" vertical="center"/>
    </xf>
    <xf numFmtId="173" fontId="34" fillId="7" borderId="22" applyAlignment="1" pivotButton="0" quotePrefix="0" xfId="25">
      <alignment horizontal="general" vertical="center"/>
    </xf>
    <xf numFmtId="173" fontId="34" fillId="7" borderId="34" applyAlignment="1" pivotButton="0" quotePrefix="0" xfId="25">
      <alignment horizontal="general" vertical="center"/>
    </xf>
    <xf numFmtId="173" fontId="34" fillId="7" borderId="35" applyAlignment="1" pivotButton="0" quotePrefix="0" xfId="25">
      <alignment horizontal="general" vertical="center"/>
    </xf>
    <xf numFmtId="174" fontId="47" fillId="7" borderId="22" applyAlignment="1" pivotButton="0" quotePrefix="0" xfId="25">
      <alignment horizontal="general" vertical="center"/>
    </xf>
    <xf numFmtId="174" fontId="47" fillId="7" borderId="34" applyAlignment="1" pivotButton="0" quotePrefix="0" xfId="25">
      <alignment horizontal="general" vertical="center"/>
    </xf>
    <xf numFmtId="174" fontId="47" fillId="7" borderId="35" applyAlignment="1" pivotButton="0" quotePrefix="0" xfId="25">
      <alignment horizontal="general" vertical="center"/>
    </xf>
    <xf numFmtId="0" fontId="34" fillId="0" borderId="0" applyAlignment="1" pivotButton="0" quotePrefix="0" xfId="25">
      <alignment horizontal="left" vertical="center"/>
    </xf>
    <xf numFmtId="173" fontId="34" fillId="0" borderId="0" applyAlignment="1" pivotButton="0" quotePrefix="0" xfId="25">
      <alignment horizontal="general" vertical="center"/>
    </xf>
    <xf numFmtId="174" fontId="47" fillId="0" borderId="0" applyAlignment="1" pivotButton="0" quotePrefix="0" xfId="25">
      <alignment horizontal="general" vertical="center"/>
    </xf>
    <xf numFmtId="167" fontId="19" fillId="0" borderId="0" applyAlignment="1" pivotButton="0" quotePrefix="0" xfId="26">
      <alignment horizontal="right" vertical="bottom"/>
    </xf>
    <xf numFmtId="0" fontId="34" fillId="7" borderId="2" applyAlignment="1" pivotButton="0" quotePrefix="0" xfId="25">
      <alignment horizontal="general" vertical="center"/>
    </xf>
    <xf numFmtId="167" fontId="34" fillId="7" borderId="2" applyAlignment="1" pivotButton="0" quotePrefix="0" xfId="25">
      <alignment horizontal="right" vertical="center"/>
    </xf>
    <xf numFmtId="167" fontId="34" fillId="7" borderId="26" applyAlignment="1" pivotButton="0" quotePrefix="0" xfId="25">
      <alignment horizontal="right" vertical="center"/>
    </xf>
    <xf numFmtId="167" fontId="34" fillId="7" borderId="27" applyAlignment="1" pivotButton="0" quotePrefix="0" xfId="25">
      <alignment horizontal="right" vertical="center"/>
    </xf>
    <xf numFmtId="0" fontId="5" fillId="0" borderId="0" applyAlignment="1" pivotButton="0" quotePrefix="0" xfId="25">
      <alignment horizontal="left" vertical="bottom" indent="1"/>
    </xf>
    <xf numFmtId="167" fontId="5" fillId="0" borderId="0" applyAlignment="1" pivotButton="0" quotePrefix="0" xfId="25">
      <alignment horizontal="right" vertical="bottom"/>
    </xf>
    <xf numFmtId="167" fontId="5" fillId="0" borderId="23" applyAlignment="1" pivotButton="0" quotePrefix="0" xfId="25">
      <alignment horizontal="right" vertical="bottom"/>
    </xf>
    <xf numFmtId="167" fontId="5" fillId="0" borderId="4" applyAlignment="1" pivotButton="0" quotePrefix="0" xfId="25">
      <alignment horizontal="right" vertical="bottom"/>
    </xf>
    <xf numFmtId="0" fontId="34" fillId="7" borderId="22" applyAlignment="1" pivotButton="0" quotePrefix="0" xfId="25">
      <alignment horizontal="general" vertical="center"/>
    </xf>
    <xf numFmtId="167" fontId="34" fillId="7" borderId="22" applyAlignment="1" pivotButton="0" quotePrefix="0" xfId="25">
      <alignment horizontal="right" vertical="center"/>
    </xf>
    <xf numFmtId="167" fontId="34" fillId="7" borderId="34" applyAlignment="1" pivotButton="0" quotePrefix="0" xfId="25">
      <alignment horizontal="right" vertical="center"/>
    </xf>
    <xf numFmtId="167" fontId="34" fillId="7" borderId="35" applyAlignment="1" pivotButton="0" quotePrefix="0" xfId="25">
      <alignment horizontal="right" vertical="center"/>
    </xf>
    <xf numFmtId="0" fontId="0" fillId="4" borderId="0" applyAlignment="1" pivotButton="0" quotePrefix="0" xfId="0">
      <alignment horizontal="general" vertical="bottom"/>
    </xf>
    <xf numFmtId="173" fontId="19" fillId="0" borderId="0" applyAlignment="1" pivotButton="0" quotePrefix="0" xfId="0">
      <alignment horizontal="left" vertical="bottom" indent="1"/>
    </xf>
    <xf numFmtId="173" fontId="19" fillId="0" borderId="23" applyAlignment="1" pivotButton="0" quotePrefix="0" xfId="0">
      <alignment horizontal="left" vertical="bottom" indent="1"/>
    </xf>
    <xf numFmtId="173" fontId="19" fillId="0" borderId="4" applyAlignment="1" pivotButton="0" quotePrefix="0" xfId="0">
      <alignment horizontal="left" vertical="bottom" indent="1"/>
    </xf>
    <xf numFmtId="0" fontId="0" fillId="0" borderId="0" applyAlignment="1" pivotButton="0" quotePrefix="0" xfId="0">
      <alignment horizontal="left" vertical="bottom" indent="1"/>
    </xf>
    <xf numFmtId="0" fontId="35" fillId="4" borderId="13" applyAlignment="1" pivotButton="0" quotePrefix="0" xfId="0">
      <alignment horizontal="left" vertical="bottom" indent="1"/>
    </xf>
    <xf numFmtId="167" fontId="35" fillId="4" borderId="13" applyAlignment="1" pivotButton="0" quotePrefix="0" xfId="0">
      <alignment horizontal="right" vertical="bottom"/>
    </xf>
    <xf numFmtId="167" fontId="35" fillId="4" borderId="0" applyAlignment="1" pivotButton="0" quotePrefix="0" xfId="0">
      <alignment horizontal="right" vertical="bottom"/>
    </xf>
    <xf numFmtId="0" fontId="21" fillId="5" borderId="5" applyAlignment="1" pivotButton="0" quotePrefix="0" xfId="0">
      <alignment horizontal="right" vertical="bottom"/>
    </xf>
    <xf numFmtId="0" fontId="21" fillId="5" borderId="20" applyAlignment="1" pivotButton="0" quotePrefix="0" xfId="0">
      <alignment horizontal="right" vertical="bottom"/>
    </xf>
    <xf numFmtId="0" fontId="21" fillId="5" borderId="19" applyAlignment="1" pivotButton="0" quotePrefix="0" xfId="0">
      <alignment horizontal="right" vertical="bottom"/>
    </xf>
    <xf numFmtId="0" fontId="21" fillId="5" borderId="19" applyAlignment="1" pivotButton="0" quotePrefix="0" xfId="0">
      <alignment horizontal="right" vertical="center" wrapText="1"/>
    </xf>
    <xf numFmtId="0" fontId="21" fillId="5" borderId="0" applyAlignment="1" pivotButton="0" quotePrefix="0" xfId="0">
      <alignment horizontal="right" vertical="center" wrapText="1"/>
    </xf>
    <xf numFmtId="0" fontId="21" fillId="5" borderId="5" applyAlignment="1" pivotButton="0" quotePrefix="0" xfId="0">
      <alignment horizontal="right" vertical="center" wrapText="1"/>
    </xf>
    <xf numFmtId="0" fontId="21" fillId="5" borderId="0" applyAlignment="1" pivotButton="0" quotePrefix="0" xfId="0">
      <alignment horizontal="right" vertical="bottom"/>
    </xf>
    <xf numFmtId="170" fontId="5" fillId="0" borderId="23" applyAlignment="1" pivotButton="0" quotePrefix="0" xfId="0">
      <alignment horizontal="general" vertical="bottom"/>
    </xf>
    <xf numFmtId="0" fontId="5" fillId="2" borderId="13" applyAlignment="1" pivotButton="0" quotePrefix="0" xfId="0">
      <alignment horizontal="left" vertical="bottom"/>
    </xf>
    <xf numFmtId="0" fontId="5" fillId="0" borderId="13" applyAlignment="1" pivotButton="0" quotePrefix="0" xfId="0">
      <alignment horizontal="left" vertical="bottom"/>
    </xf>
    <xf numFmtId="170" fontId="5" fillId="0" borderId="13" applyAlignment="1" pivotButton="0" quotePrefix="0" xfId="0">
      <alignment horizontal="general" vertical="bottom"/>
    </xf>
    <xf numFmtId="170" fontId="5" fillId="0" borderId="24" applyAlignment="1" pivotButton="0" quotePrefix="0" xfId="0">
      <alignment horizontal="general" vertical="bottom"/>
    </xf>
    <xf numFmtId="166" fontId="21" fillId="5" borderId="21" applyAlignment="1" pivotButton="0" quotePrefix="0" xfId="0">
      <alignment horizontal="right" vertical="bottom"/>
    </xf>
    <xf numFmtId="0" fontId="34" fillId="7" borderId="2" applyAlignment="1" pivotButton="0" quotePrefix="0" xfId="0">
      <alignment horizontal="left" vertical="bottom"/>
    </xf>
    <xf numFmtId="173" fontId="34" fillId="7" borderId="2" applyAlignment="1" pivotButton="0" quotePrefix="0" xfId="0">
      <alignment horizontal="general" vertical="bottom"/>
    </xf>
    <xf numFmtId="173" fontId="34" fillId="7" borderId="26" applyAlignment="1" pivotButton="0" quotePrefix="0" xfId="0">
      <alignment horizontal="general" vertical="bottom"/>
    </xf>
    <xf numFmtId="173" fontId="34" fillId="7" borderId="27" applyAlignment="1" pivotButton="0" quotePrefix="0" xfId="0">
      <alignment horizontal="general" vertical="bottom"/>
    </xf>
    <xf numFmtId="0" fontId="19" fillId="0" borderId="3" applyAlignment="1" pivotButton="0" quotePrefix="0" xfId="0">
      <alignment horizontal="left" vertical="bottom"/>
    </xf>
    <xf numFmtId="173" fontId="19" fillId="0" borderId="3" applyAlignment="1" pivotButton="0" quotePrefix="0" xfId="0">
      <alignment horizontal="general" vertical="bottom"/>
    </xf>
    <xf numFmtId="173" fontId="19" fillId="0" borderId="28" applyAlignment="1" pivotButton="0" quotePrefix="0" xfId="0">
      <alignment horizontal="general" vertical="bottom"/>
    </xf>
    <xf numFmtId="173" fontId="19" fillId="0" borderId="30" applyAlignment="1" pivotButton="0" quotePrefix="0" xfId="0">
      <alignment horizontal="general" vertical="bottom"/>
    </xf>
    <xf numFmtId="189" fontId="35" fillId="0" borderId="0" applyAlignment="1" pivotButton="0" quotePrefix="0" xfId="0">
      <alignment horizontal="general" vertical="bottom"/>
    </xf>
    <xf numFmtId="189" fontId="35" fillId="12" borderId="0" applyAlignment="1" pivotButton="0" quotePrefix="0" xfId="0">
      <alignment horizontal="general" vertical="bottom"/>
    </xf>
    <xf numFmtId="0" fontId="5" fillId="2" borderId="0" applyAlignment="1" pivotButton="0" quotePrefix="0" xfId="51">
      <alignment horizontal="left" vertical="bottom"/>
    </xf>
    <xf numFmtId="0" fontId="5" fillId="0" borderId="0" applyAlignment="1" pivotButton="0" quotePrefix="0" xfId="51">
      <alignment horizontal="left" vertical="bottom"/>
    </xf>
    <xf numFmtId="0" fontId="27" fillId="0" borderId="0" applyAlignment="1" pivotButton="0" quotePrefix="0" xfId="51">
      <alignment horizontal="left" vertical="bottom"/>
    </xf>
    <xf numFmtId="0" fontId="28" fillId="0" borderId="0" applyAlignment="1" pivotButton="0" quotePrefix="0" xfId="51">
      <alignment horizontal="left" vertical="bottom"/>
    </xf>
    <xf numFmtId="0" fontId="29" fillId="0" borderId="0" applyAlignment="1" pivotButton="0" quotePrefix="0" xfId="66">
      <alignment horizontal="left" vertical="bottom"/>
    </xf>
    <xf numFmtId="0" fontId="24" fillId="0" borderId="0" applyAlignment="1" pivotButton="0" quotePrefix="0" xfId="51">
      <alignment horizontal="left" vertical="bottom"/>
    </xf>
    <xf numFmtId="0" fontId="31" fillId="2" borderId="0" applyAlignment="1" pivotButton="0" quotePrefix="0" xfId="51">
      <alignment horizontal="left" vertical="bottom"/>
    </xf>
    <xf numFmtId="0" fontId="31" fillId="0" borderId="0" applyAlignment="1" pivotButton="0" quotePrefix="0" xfId="51">
      <alignment horizontal="left" vertical="bottom"/>
    </xf>
    <xf numFmtId="0" fontId="31" fillId="5" borderId="0" applyAlignment="1" pivotButton="0" quotePrefix="0" xfId="0">
      <alignment horizontal="left" vertical="bottom"/>
    </xf>
    <xf numFmtId="0" fontId="31" fillId="5" borderId="20" applyAlignment="1" pivotButton="0" quotePrefix="0" xfId="0">
      <alignment horizontal="general" vertical="bottom"/>
    </xf>
    <xf numFmtId="0" fontId="31" fillId="5" borderId="0" applyAlignment="1" pivotButton="0" quotePrefix="0" xfId="0">
      <alignment horizontal="center" vertical="bottom"/>
    </xf>
    <xf numFmtId="0" fontId="31" fillId="5" borderId="21" applyAlignment="1" pivotButton="0" quotePrefix="0" xfId="0">
      <alignment horizontal="center" vertical="bottom"/>
    </xf>
    <xf numFmtId="0" fontId="31" fillId="5" borderId="10" applyAlignment="1" pivotButton="0" quotePrefix="0" xfId="0">
      <alignment horizontal="center" vertical="bottom"/>
    </xf>
    <xf numFmtId="0" fontId="31" fillId="5" borderId="7" applyAlignment="1" pivotButton="0" quotePrefix="0" xfId="0">
      <alignment horizontal="center" vertical="bottom"/>
    </xf>
    <xf numFmtId="0" fontId="31" fillId="5" borderId="7" applyAlignment="1" pivotButton="0" quotePrefix="0" xfId="0">
      <alignment horizontal="general" vertical="bottom"/>
    </xf>
    <xf numFmtId="0" fontId="31" fillId="5" borderId="10" applyAlignment="1" pivotButton="0" quotePrefix="0" xfId="0">
      <alignment horizontal="general" vertical="bottom"/>
    </xf>
    <xf numFmtId="0" fontId="5" fillId="0" borderId="23" applyAlignment="1" pivotButton="0" quotePrefix="0" xfId="0">
      <alignment horizontal="left" vertical="bottom"/>
    </xf>
    <xf numFmtId="0" fontId="5" fillId="13" borderId="23" applyAlignment="1" pivotButton="0" quotePrefix="0" xfId="0">
      <alignment horizontal="left" vertical="bottom"/>
    </xf>
    <xf numFmtId="0" fontId="38" fillId="0" borderId="63" applyAlignment="1" pivotButton="0" quotePrefix="0" xfId="0">
      <alignment horizontal="left" vertical="bottom" wrapText="1"/>
    </xf>
    <xf numFmtId="0" fontId="38" fillId="0" borderId="8" applyAlignment="1" pivotButton="0" quotePrefix="0" xfId="0">
      <alignment horizontal="left" vertical="bottom" wrapText="1"/>
    </xf>
    <xf numFmtId="0" fontId="38" fillId="13" borderId="64" applyAlignment="1" pivotButton="0" quotePrefix="0" xfId="0">
      <alignment horizontal="left" vertical="bottom" wrapText="1"/>
    </xf>
    <xf numFmtId="0" fontId="35" fillId="2" borderId="0" applyAlignment="1" pivotButton="0" quotePrefix="0" xfId="51">
      <alignment horizontal="left" vertical="bottom"/>
    </xf>
    <xf numFmtId="0" fontId="35" fillId="0" borderId="0" applyAlignment="1" pivotButton="0" quotePrefix="0" xfId="51">
      <alignment horizontal="left" vertical="bottom"/>
    </xf>
    <xf numFmtId="0" fontId="5" fillId="13" borderId="4" applyAlignment="1" pivotButton="0" quotePrefix="0" xfId="0">
      <alignment horizontal="left" vertical="bottom"/>
    </xf>
    <xf numFmtId="194" fontId="5" fillId="0" borderId="0" applyAlignment="1" pivotButton="0" quotePrefix="0" xfId="0">
      <alignment horizontal="left" vertical="bottom"/>
    </xf>
    <xf numFmtId="0" fontId="38" fillId="0" borderId="11" applyAlignment="1" pivotButton="0" quotePrefix="0" xfId="0">
      <alignment horizontal="left" vertical="bottom"/>
    </xf>
    <xf numFmtId="0" fontId="5" fillId="0" borderId="65" applyAlignment="1" pivotButton="0" quotePrefix="0" xfId="0">
      <alignment horizontal="general" vertical="bottom"/>
    </xf>
    <xf numFmtId="0" fontId="5" fillId="0" borderId="66" applyAlignment="1" pivotButton="0" quotePrefix="0" xfId="0">
      <alignment horizontal="left" vertical="bottom"/>
    </xf>
    <xf numFmtId="0" fontId="5" fillId="13" borderId="66" applyAlignment="1" pivotButton="0" quotePrefix="0" xfId="0">
      <alignment horizontal="left" vertical="bottom"/>
    </xf>
    <xf numFmtId="0" fontId="5" fillId="13" borderId="65" applyAlignment="1" pivotButton="0" quotePrefix="0" xfId="0">
      <alignment horizontal="left" vertical="bottom"/>
    </xf>
    <xf numFmtId="0" fontId="5" fillId="0" borderId="65" applyAlignment="1" pivotButton="0" quotePrefix="0" xfId="0">
      <alignment horizontal="general" vertical="bottom" wrapText="1"/>
    </xf>
    <xf numFmtId="0" fontId="38" fillId="0" borderId="9" applyAlignment="1" pivotButton="0" quotePrefix="0" xfId="0">
      <alignment horizontal="left" vertical="bottom"/>
    </xf>
    <xf numFmtId="0" fontId="5" fillId="0" borderId="67" applyAlignment="1" pivotButton="0" quotePrefix="0" xfId="0">
      <alignment horizontal="general" vertical="bottom"/>
    </xf>
    <xf numFmtId="0" fontId="5" fillId="0" borderId="9" applyAlignment="1" pivotButton="0" quotePrefix="0" xfId="0">
      <alignment horizontal="left" vertical="bottom"/>
    </xf>
    <xf numFmtId="0" fontId="5" fillId="0" borderId="68" applyAlignment="1" pivotButton="0" quotePrefix="0" xfId="0">
      <alignment horizontal="left" vertical="bottom"/>
    </xf>
    <xf numFmtId="0" fontId="5" fillId="13" borderId="68" applyAlignment="1" pivotButton="0" quotePrefix="0" xfId="0">
      <alignment horizontal="left" vertical="bottom"/>
    </xf>
    <xf numFmtId="0" fontId="5" fillId="13" borderId="67" applyAlignment="1" pivotButton="0" quotePrefix="0" xfId="0">
      <alignment horizontal="left" vertical="bottom"/>
    </xf>
    <xf numFmtId="0" fontId="38" fillId="0" borderId="11" applyAlignment="1" pivotButton="0" quotePrefix="0" xfId="0">
      <alignment horizontal="left" vertical="bottom" wrapText="1"/>
    </xf>
    <xf numFmtId="0" fontId="38" fillId="0" borderId="66" applyAlignment="1" pivotButton="0" quotePrefix="0" xfId="0">
      <alignment horizontal="left" vertical="bottom" wrapText="1"/>
    </xf>
    <xf numFmtId="0" fontId="38" fillId="13" borderId="66" applyAlignment="1" pivotButton="0" quotePrefix="0" xfId="0">
      <alignment horizontal="left" vertical="bottom" wrapText="1"/>
    </xf>
    <xf numFmtId="194" fontId="5" fillId="0" borderId="69" applyAlignment="1" pivotButton="0" quotePrefix="0" xfId="0">
      <alignment horizontal="left" vertical="bottom"/>
    </xf>
    <xf numFmtId="9" fontId="5" fillId="0" borderId="66" applyAlignment="1" pivotButton="0" quotePrefix="0" xfId="0">
      <alignment horizontal="left" vertical="bottom"/>
    </xf>
    <xf numFmtId="180" fontId="5" fillId="13" borderId="66" applyAlignment="1" pivotButton="0" quotePrefix="0" xfId="0">
      <alignment horizontal="right" vertical="bottom"/>
    </xf>
    <xf numFmtId="166" fontId="5" fillId="0" borderId="0" applyAlignment="1" pivotButton="0" quotePrefix="0" xfId="0">
      <alignment horizontal="left" vertical="bottom"/>
    </xf>
    <xf numFmtId="9" fontId="5" fillId="0" borderId="23" applyAlignment="1" pivotButton="0" quotePrefix="0" xfId="0">
      <alignment horizontal="left" vertical="bottom"/>
    </xf>
    <xf numFmtId="180" fontId="5" fillId="13" borderId="23" applyAlignment="1" pivotButton="0" quotePrefix="0" xfId="0">
      <alignment horizontal="right" vertical="bottom"/>
    </xf>
    <xf numFmtId="9" fontId="5" fillId="0" borderId="70" applyAlignment="1" pivotButton="0" quotePrefix="0" xfId="0">
      <alignment horizontal="left" vertical="bottom"/>
    </xf>
    <xf numFmtId="180" fontId="5" fillId="13" borderId="70" applyAlignment="1" pivotButton="0" quotePrefix="0" xfId="0">
      <alignment horizontal="right" vertical="bottom"/>
    </xf>
    <xf numFmtId="0" fontId="5" fillId="0" borderId="71" applyAlignment="1" pivotButton="0" quotePrefix="0" xfId="0">
      <alignment horizontal="left" vertical="bottom"/>
    </xf>
    <xf numFmtId="0" fontId="5" fillId="0" borderId="28" applyAlignment="1" pivotButton="0" quotePrefix="0" xfId="0">
      <alignment horizontal="left" vertical="bottom"/>
    </xf>
    <xf numFmtId="0" fontId="5" fillId="13" borderId="28" applyAlignment="1" pivotButton="0" quotePrefix="0" xfId="0">
      <alignment horizontal="left" vertical="bottom"/>
    </xf>
    <xf numFmtId="0" fontId="5" fillId="13" borderId="30" applyAlignment="1" pivotButton="0" quotePrefix="0" xfId="0">
      <alignment horizontal="left" vertical="bottom"/>
    </xf>
    <xf numFmtId="0" fontId="38" fillId="0" borderId="0" applyAlignment="1" pivotButton="0" quotePrefix="0" xfId="51">
      <alignment horizontal="left" vertical="bottom"/>
    </xf>
    <xf numFmtId="0" fontId="31" fillId="2" borderId="0" applyAlignment="1" pivotButton="0" quotePrefix="0" xfId="48">
      <alignment horizontal="general" vertical="center" wrapText="1"/>
    </xf>
    <xf numFmtId="0" fontId="31" fillId="2" borderId="0" applyAlignment="1" pivotButton="0" quotePrefix="0" xfId="48">
      <alignment horizontal="right" vertical="bottom" wrapText="1"/>
    </xf>
    <xf numFmtId="0" fontId="31" fillId="5" borderId="0" applyAlignment="1" pivotButton="0" quotePrefix="0" xfId="48">
      <alignment horizontal="general" vertical="bottom" wrapText="1"/>
    </xf>
    <xf numFmtId="0" fontId="31" fillId="5" borderId="0" applyAlignment="1" pivotButton="0" quotePrefix="0" xfId="48">
      <alignment horizontal="right" vertical="bottom" wrapText="1"/>
    </xf>
    <xf numFmtId="0" fontId="31" fillId="5" borderId="20" applyAlignment="1" pivotButton="0" quotePrefix="0" xfId="48">
      <alignment horizontal="right" vertical="bottom" wrapText="1"/>
    </xf>
    <xf numFmtId="0" fontId="31" fillId="5" borderId="10" applyAlignment="1" pivotButton="0" quotePrefix="0" xfId="48">
      <alignment horizontal="right" vertical="bottom" wrapText="1"/>
    </xf>
    <xf numFmtId="0" fontId="31" fillId="5" borderId="5" applyAlignment="1" pivotButton="0" quotePrefix="0" xfId="48">
      <alignment horizontal="right" vertical="bottom" wrapText="1"/>
    </xf>
    <xf numFmtId="0" fontId="23" fillId="4" borderId="0" applyAlignment="1" pivotButton="0" quotePrefix="0" xfId="48">
      <alignment horizontal="general" vertical="bottom" wrapText="1"/>
    </xf>
    <xf numFmtId="0" fontId="5" fillId="0" borderId="23" applyAlignment="1" pivotButton="0" quotePrefix="0" xfId="0">
      <alignment horizontal="right" vertical="bottom" wrapText="1"/>
    </xf>
    <xf numFmtId="0" fontId="5" fillId="7" borderId="0" applyAlignment="1" pivotButton="0" quotePrefix="0" xfId="0">
      <alignment horizontal="right" vertical="bottom" wrapText="1"/>
    </xf>
    <xf numFmtId="0" fontId="5" fillId="0" borderId="13" applyAlignment="1" pivotButton="0" quotePrefix="0" xfId="0">
      <alignment horizontal="left" vertical="bottom" wrapText="1" indent="1"/>
    </xf>
    <xf numFmtId="0" fontId="5" fillId="0" borderId="13" applyAlignment="1" pivotButton="0" quotePrefix="0" xfId="0">
      <alignment horizontal="right" vertical="bottom" wrapText="1"/>
    </xf>
    <xf numFmtId="0" fontId="5" fillId="0" borderId="24" applyAlignment="1" pivotButton="0" quotePrefix="0" xfId="17">
      <alignment horizontal="right" vertical="bottom" wrapText="1"/>
    </xf>
    <xf numFmtId="0" fontId="64" fillId="7" borderId="13" applyAlignment="1" pivotButton="0" quotePrefix="0" xfId="0">
      <alignment horizontal="right" vertical="bottom" wrapText="1"/>
    </xf>
    <xf numFmtId="0" fontId="5" fillId="7" borderId="13" applyAlignment="1" pivotButton="0" quotePrefix="0" xfId="0">
      <alignment horizontal="right" vertical="bottom" wrapText="1"/>
    </xf>
    <xf numFmtId="0" fontId="7" fillId="7" borderId="0" applyAlignment="1" pivotButton="0" quotePrefix="0" xfId="0">
      <alignment horizontal="left" vertical="bottom" wrapText="1"/>
    </xf>
    <xf numFmtId="0" fontId="5" fillId="7" borderId="23" applyAlignment="1" pivotButton="0" quotePrefix="0" xfId="17">
      <alignment horizontal="right" vertical="bottom" wrapText="1"/>
    </xf>
    <xf numFmtId="0" fontId="7" fillId="0" borderId="0" applyAlignment="1" pivotButton="0" quotePrefix="0" xfId="0">
      <alignment horizontal="left" vertical="bottom" wrapText="1" indent="1"/>
    </xf>
    <xf numFmtId="0" fontId="7" fillId="0" borderId="13" applyAlignment="1" pivotButton="0" quotePrefix="0" xfId="0">
      <alignment horizontal="left" vertical="bottom" wrapText="1" indent="1"/>
    </xf>
    <xf numFmtId="0" fontId="5" fillId="0" borderId="24" applyAlignment="1" pivotButton="0" quotePrefix="0" xfId="0">
      <alignment horizontal="right" vertical="bottom" wrapText="1"/>
    </xf>
    <xf numFmtId="0" fontId="5" fillId="0" borderId="72" applyAlignment="1" pivotButton="0" quotePrefix="0" xfId="0">
      <alignment horizontal="right" vertical="bottom" wrapText="1"/>
    </xf>
    <xf numFmtId="0" fontId="5" fillId="7" borderId="0" applyAlignment="1" pivotButton="0" quotePrefix="0" xfId="0">
      <alignment horizontal="left" vertical="bottom" wrapText="1"/>
    </xf>
    <xf numFmtId="0" fontId="5" fillId="7" borderId="23" applyAlignment="1" pivotButton="0" quotePrefix="0" xfId="0">
      <alignment horizontal="right" vertical="bottom" wrapText="1"/>
    </xf>
    <xf numFmtId="0" fontId="5" fillId="0" borderId="0" applyAlignment="1" pivotButton="0" quotePrefix="0" xfId="0">
      <alignment horizontal="left" vertical="bottom" wrapText="1" indent="1"/>
    </xf>
    <xf numFmtId="0" fontId="7" fillId="0" borderId="0" applyAlignment="1" pivotButton="0" quotePrefix="0" xfId="0">
      <alignment horizontal="right" vertical="bottom" wrapText="1"/>
    </xf>
    <xf numFmtId="0" fontId="65" fillId="0" borderId="13" applyAlignment="1" pivotButton="0" quotePrefix="0" xfId="0">
      <alignment horizontal="left" vertical="bottom" wrapText="1" indent="1"/>
    </xf>
    <xf numFmtId="0" fontId="7" fillId="0" borderId="13" applyAlignment="1" pivotButton="0" quotePrefix="0" xfId="0">
      <alignment horizontal="right" vertical="bottom" wrapText="1"/>
    </xf>
    <xf numFmtId="0" fontId="22" fillId="0" borderId="13" applyAlignment="1" pivotButton="0" quotePrefix="0" xfId="0">
      <alignment horizontal="left" vertical="bottom" wrapText="1" indent="1"/>
    </xf>
    <xf numFmtId="0" fontId="5" fillId="0" borderId="0" applyAlignment="1" pivotButton="0" quotePrefix="0" xfId="0">
      <alignment horizontal="right" vertical="top" wrapText="1"/>
    </xf>
    <xf numFmtId="0" fontId="5" fillId="0" borderId="0" applyAlignment="1" pivotButton="0" quotePrefix="0" xfId="0">
      <alignment horizontal="general" vertical="top" wrapText="1"/>
    </xf>
    <xf numFmtId="0" fontId="5" fillId="0" borderId="73" applyAlignment="1" pivotButton="0" quotePrefix="0" xfId="0">
      <alignment horizontal="general" vertical="top" wrapText="1"/>
    </xf>
    <xf numFmtId="0" fontId="5" fillId="7" borderId="3" applyAlignment="1" pivotButton="0" quotePrefix="0" xfId="0">
      <alignment horizontal="left" vertical="bottom" wrapText="1"/>
    </xf>
    <xf numFmtId="0" fontId="5" fillId="7" borderId="3" applyAlignment="1" pivotButton="0" quotePrefix="0" xfId="0">
      <alignment horizontal="right" vertical="bottom" wrapText="1"/>
    </xf>
    <xf numFmtId="0" fontId="5" fillId="7" borderId="28" applyAlignment="1" pivotButton="0" quotePrefix="0" xfId="0">
      <alignment horizontal="right" vertical="bottom" wrapText="1"/>
    </xf>
    <xf numFmtId="0" fontId="66" fillId="0" borderId="0" applyAlignment="1" pivotButton="0" quotePrefix="0" xfId="0">
      <alignment horizontal="left" vertical="bottom" wrapText="1"/>
    </xf>
    <xf numFmtId="0" fontId="5" fillId="0" borderId="9" applyAlignment="1" pivotButton="0" quotePrefix="0" xfId="0">
      <alignment horizontal="right" vertical="bottom" wrapText="1"/>
    </xf>
    <xf numFmtId="0" fontId="5" fillId="0" borderId="68" applyAlignment="1" pivotButton="0" quotePrefix="0" xfId="17">
      <alignment horizontal="right" vertical="bottom" wrapText="1"/>
    </xf>
    <xf numFmtId="0" fontId="5" fillId="0" borderId="0" applyAlignment="1" pivotButton="0" quotePrefix="0" xfId="0">
      <alignment horizontal="left" vertical="bottom" wrapText="1" indent="2"/>
    </xf>
    <xf numFmtId="0" fontId="22" fillId="0" borderId="13" applyAlignment="1" pivotButton="0" quotePrefix="0" xfId="0">
      <alignment horizontal="left" vertical="bottom" wrapText="1"/>
    </xf>
    <xf numFmtId="0" fontId="65" fillId="0" borderId="13" applyAlignment="1" pivotButton="0" quotePrefix="0" xfId="0">
      <alignment horizontal="right" vertical="bottom" wrapText="1"/>
    </xf>
    <xf numFmtId="0" fontId="65" fillId="0" borderId="24" applyAlignment="1" pivotButton="0" quotePrefix="0" xfId="0">
      <alignment horizontal="right" vertical="bottom" wrapText="1"/>
    </xf>
    <xf numFmtId="0" fontId="22" fillId="0" borderId="0" applyAlignment="1" pivotButton="0" quotePrefix="0" xfId="0">
      <alignment horizontal="left" vertical="bottom" wrapText="1" indent="2"/>
    </xf>
    <xf numFmtId="0" fontId="7" fillId="0" borderId="13" applyAlignment="1" pivotButton="0" quotePrefix="0" xfId="0">
      <alignment horizontal="left" vertical="bottom" wrapText="1"/>
    </xf>
    <xf numFmtId="0" fontId="22" fillId="0" borderId="0" applyAlignment="1" pivotButton="0" quotePrefix="0" xfId="0">
      <alignment horizontal="right" vertical="bottom" wrapText="1"/>
    </xf>
    <xf numFmtId="0" fontId="7" fillId="7" borderId="22" applyAlignment="1" pivotButton="0" quotePrefix="0" xfId="0">
      <alignment horizontal="right" vertical="bottom" wrapText="1"/>
    </xf>
    <xf numFmtId="0" fontId="67" fillId="0" borderId="0" applyAlignment="1" pivotButton="0" quotePrefix="0" xfId="0">
      <alignment horizontal="left" vertical="top" wrapText="1" indent="1"/>
    </xf>
    <xf numFmtId="0" fontId="67" fillId="0" borderId="0" applyAlignment="1" pivotButton="0" quotePrefix="0" xfId="0">
      <alignment horizontal="right" vertical="bottom" wrapText="1"/>
    </xf>
    <xf numFmtId="0" fontId="67" fillId="0" borderId="23" applyAlignment="1" pivotButton="0" quotePrefix="0" xfId="0">
      <alignment horizontal="right" vertical="bottom" wrapText="1"/>
    </xf>
    <xf numFmtId="0" fontId="67" fillId="0" borderId="0" applyAlignment="1" pivotButton="0" quotePrefix="0" xfId="0">
      <alignment horizontal="right" vertical="top" wrapText="1"/>
    </xf>
    <xf numFmtId="0" fontId="67" fillId="0" borderId="0" applyAlignment="1" pivotButton="0" quotePrefix="0" xfId="0">
      <alignment horizontal="general" vertical="top" wrapText="1"/>
    </xf>
    <xf numFmtId="0" fontId="7" fillId="0" borderId="23" applyAlignment="1" pivotButton="0" quotePrefix="0" xfId="17">
      <alignment horizontal="right" vertical="bottom" wrapText="1"/>
    </xf>
    <xf numFmtId="195" fontId="7" fillId="0" borderId="0" applyAlignment="1" pivotButton="0" quotePrefix="0" xfId="17">
      <alignment horizontal="right" vertical="bottom" wrapText="1"/>
    </xf>
    <xf numFmtId="0" fontId="22" fillId="0" borderId="0" applyAlignment="1" pivotButton="0" quotePrefix="0" xfId="0">
      <alignment horizontal="right" vertical="top" wrapText="1"/>
    </xf>
    <xf numFmtId="0" fontId="22" fillId="0" borderId="0" applyAlignment="1" pivotButton="0" quotePrefix="0" xfId="0">
      <alignment horizontal="general" vertical="top" wrapText="1"/>
    </xf>
    <xf numFmtId="0" fontId="5" fillId="7" borderId="2" applyAlignment="1" pivotButton="0" quotePrefix="0" xfId="0">
      <alignment horizontal="left" vertical="bottom" wrapText="1"/>
    </xf>
    <xf numFmtId="0" fontId="5" fillId="7" borderId="2" applyAlignment="1" pivotButton="0" quotePrefix="0" xfId="0">
      <alignment horizontal="right" vertical="bottom" wrapText="1"/>
    </xf>
    <xf numFmtId="0" fontId="5" fillId="7" borderId="26" applyAlignment="1" pivotButton="0" quotePrefix="0" xfId="0">
      <alignment horizontal="right" vertical="bottom" wrapText="1"/>
    </xf>
    <xf numFmtId="0" fontId="67" fillId="0" borderId="13" applyAlignment="1" pivotButton="0" quotePrefix="0" xfId="0">
      <alignment horizontal="left" vertical="bottom" wrapText="1" indent="1"/>
    </xf>
    <xf numFmtId="0" fontId="22" fillId="7" borderId="0" applyAlignment="1" pivotButton="0" quotePrefix="0" xfId="0">
      <alignment horizontal="right" vertical="bottom" wrapText="1"/>
    </xf>
    <xf numFmtId="0" fontId="68" fillId="0" borderId="0" applyAlignment="1" pivotButton="0" quotePrefix="0" xfId="0">
      <alignment horizontal="left" vertical="top" wrapText="1" indent="1"/>
    </xf>
    <xf numFmtId="167" fontId="5" fillId="0" borderId="23" applyAlignment="1" pivotButton="0" quotePrefix="0" xfId="0">
      <alignment horizontal="right" vertical="bottom" wrapText="1"/>
    </xf>
    <xf numFmtId="167" fontId="5" fillId="0" borderId="0" applyAlignment="1" pivotButton="0" quotePrefix="0" xfId="0">
      <alignment horizontal="right" vertical="bottom" wrapText="1"/>
    </xf>
    <xf numFmtId="0" fontId="7" fillId="0" borderId="0" applyAlignment="1" pivotButton="0" quotePrefix="0" xfId="0">
      <alignment horizontal="left" vertical="top" wrapText="1" indent="1"/>
    </xf>
    <xf numFmtId="0" fontId="7" fillId="0" borderId="11" applyAlignment="1" pivotButton="0" quotePrefix="0" xfId="0">
      <alignment horizontal="right" vertical="bottom" wrapText="1"/>
    </xf>
    <xf numFmtId="167" fontId="5" fillId="0" borderId="66" applyAlignment="1" pivotButton="0" quotePrefix="0" xfId="0">
      <alignment horizontal="right" vertical="bottom" wrapText="1"/>
    </xf>
    <xf numFmtId="167" fontId="5" fillId="0" borderId="11" applyAlignment="1" pivotButton="0" quotePrefix="0" xfId="0">
      <alignment horizontal="right" vertical="bottom" wrapText="1"/>
    </xf>
    <xf numFmtId="0" fontId="5" fillId="0" borderId="0" applyAlignment="1" pivotButton="0" quotePrefix="0" xfId="0">
      <alignment horizontal="left" vertical="top" wrapText="1" indent="2"/>
    </xf>
    <xf numFmtId="0" fontId="67" fillId="4" borderId="13" applyAlignment="1" pivotButton="0" quotePrefix="0" xfId="0">
      <alignment horizontal="left" vertical="top" wrapText="1" indent="1"/>
    </xf>
    <xf numFmtId="0" fontId="7" fillId="4" borderId="13" applyAlignment="1" pivotButton="0" quotePrefix="0" xfId="0">
      <alignment horizontal="right" vertical="bottom" wrapText="1"/>
    </xf>
    <xf numFmtId="167" fontId="5" fillId="4" borderId="24" applyAlignment="1" pivotButton="0" quotePrefix="0" xfId="0">
      <alignment horizontal="right" vertical="bottom" wrapText="1"/>
    </xf>
    <xf numFmtId="167" fontId="5" fillId="4" borderId="13" applyAlignment="1" pivotButton="0" quotePrefix="0" xfId="0">
      <alignment horizontal="right" vertical="bottom" wrapText="1"/>
    </xf>
    <xf numFmtId="0" fontId="7" fillId="7" borderId="3" applyAlignment="1" pivotButton="0" quotePrefix="0" xfId="0">
      <alignment horizontal="left" vertical="top" wrapText="1"/>
    </xf>
    <xf numFmtId="0" fontId="31" fillId="5" borderId="0" applyAlignment="1" pivotButton="0" quotePrefix="0" xfId="48">
      <alignment horizontal="center" vertical="bottom" wrapText="1"/>
    </xf>
    <xf numFmtId="0" fontId="31" fillId="5" borderId="20" applyAlignment="1" pivotButton="0" quotePrefix="0" xfId="48">
      <alignment horizontal="center" vertical="bottom" wrapText="1"/>
    </xf>
    <xf numFmtId="0" fontId="5" fillId="0" borderId="2" applyAlignment="1" pivotButton="0" quotePrefix="0" xfId="0">
      <alignment horizontal="general" vertical="bottom" wrapText="1"/>
    </xf>
    <xf numFmtId="0" fontId="5" fillId="0" borderId="2" applyAlignment="1" pivotButton="0" quotePrefix="0" xfId="0">
      <alignment horizontal="right" vertical="bottom" wrapText="1"/>
    </xf>
    <xf numFmtId="0" fontId="5" fillId="0" borderId="26" applyAlignment="1" pivotButton="0" quotePrefix="0" xfId="0">
      <alignment horizontal="right" vertical="bottom" wrapText="1"/>
    </xf>
    <xf numFmtId="0" fontId="5" fillId="0" borderId="2" applyAlignment="1" pivotButton="0" quotePrefix="0" xfId="0">
      <alignment horizontal="right" vertical="bottom"/>
    </xf>
    <xf numFmtId="0" fontId="23" fillId="4" borderId="2" applyAlignment="1" pivotButton="0" quotePrefix="0" xfId="0">
      <alignment horizontal="general" vertical="bottom" wrapText="1"/>
    </xf>
    <xf numFmtId="0" fontId="5" fillId="0" borderId="56" applyAlignment="1" pivotButton="0" quotePrefix="0" xfId="0">
      <alignment horizontal="general" vertical="bottom" wrapText="1"/>
    </xf>
    <xf numFmtId="0" fontId="5" fillId="0" borderId="56" applyAlignment="1" pivotButton="0" quotePrefix="0" xfId="0">
      <alignment horizontal="right" vertical="bottom" wrapText="1"/>
    </xf>
    <xf numFmtId="0" fontId="5" fillId="0" borderId="74" applyAlignment="1" pivotButton="0" quotePrefix="0" xfId="0">
      <alignment horizontal="right" vertical="bottom" wrapText="1"/>
    </xf>
    <xf numFmtId="0" fontId="5" fillId="0" borderId="56" applyAlignment="1" pivotButton="0" quotePrefix="0" xfId="0">
      <alignment horizontal="right" vertical="bottom"/>
    </xf>
    <xf numFmtId="0" fontId="5" fillId="0" borderId="13" applyAlignment="1" pivotButton="0" quotePrefix="0" xfId="0">
      <alignment horizontal="general" vertical="bottom" wrapText="1"/>
    </xf>
    <xf numFmtId="0" fontId="5" fillId="0" borderId="13" applyAlignment="1" pivotButton="0" quotePrefix="0" xfId="0">
      <alignment horizontal="right" vertical="bottom"/>
    </xf>
    <xf numFmtId="0" fontId="37" fillId="0" borderId="0" applyAlignment="1" pivotButton="0" quotePrefix="0" xfId="51">
      <alignment horizontal="general" vertical="bottom"/>
    </xf>
    <xf numFmtId="185" fontId="7" fillId="0" borderId="0" applyAlignment="1" pivotButton="0" quotePrefix="0" xfId="51">
      <alignment horizontal="general" vertical="bottom"/>
    </xf>
    <xf numFmtId="0" fontId="21" fillId="2" borderId="0" applyAlignment="1" pivotButton="0" quotePrefix="0" xfId="51">
      <alignment horizontal="general" vertical="center"/>
    </xf>
    <xf numFmtId="0" fontId="21" fillId="5" borderId="0" applyAlignment="1" pivotButton="0" quotePrefix="0" xfId="51">
      <alignment horizontal="general" vertical="center"/>
    </xf>
    <xf numFmtId="0" fontId="21" fillId="5" borderId="0" applyAlignment="1" pivotButton="0" quotePrefix="0" xfId="51">
      <alignment horizontal="center" vertical="center"/>
    </xf>
    <xf numFmtId="0" fontId="21" fillId="5" borderId="20" applyAlignment="1" pivotButton="0" quotePrefix="0" xfId="51">
      <alignment horizontal="center" vertical="center"/>
    </xf>
    <xf numFmtId="0" fontId="21" fillId="5" borderId="32" applyAlignment="1" pivotButton="0" quotePrefix="0" xfId="51">
      <alignment horizontal="center" vertical="center"/>
    </xf>
    <xf numFmtId="0" fontId="21" fillId="5" borderId="0" applyAlignment="1" pivotButton="0" quotePrefix="0" xfId="51">
      <alignment horizontal="left" vertical="bottom"/>
    </xf>
    <xf numFmtId="166" fontId="21" fillId="5" borderId="0" applyAlignment="1" pivotButton="0" quotePrefix="0" xfId="51">
      <alignment horizontal="left" vertical="bottom"/>
    </xf>
    <xf numFmtId="166" fontId="21" fillId="5" borderId="10" applyAlignment="1" pivotButton="0" quotePrefix="0" xfId="51">
      <alignment horizontal="right" vertical="bottom"/>
    </xf>
    <xf numFmtId="166" fontId="21" fillId="5" borderId="5" applyAlignment="1" pivotButton="0" quotePrefix="0" xfId="51">
      <alignment horizontal="right" vertical="bottom"/>
    </xf>
    <xf numFmtId="166" fontId="21" fillId="5" borderId="6" applyAlignment="1" pivotButton="0" quotePrefix="0" xfId="51">
      <alignment horizontal="right" vertical="bottom"/>
    </xf>
    <xf numFmtId="166" fontId="21" fillId="5" borderId="7" applyAlignment="1" pivotButton="0" quotePrefix="0" xfId="51">
      <alignment horizontal="right" vertical="center" wrapText="1"/>
    </xf>
    <xf numFmtId="166" fontId="21" fillId="5" borderId="7" applyAlignment="1" pivotButton="0" quotePrefix="0" xfId="51">
      <alignment horizontal="right" vertical="bottom" wrapText="1"/>
    </xf>
    <xf numFmtId="185" fontId="7" fillId="0" borderId="0" applyAlignment="1" pivotButton="0" quotePrefix="0" xfId="51">
      <alignment horizontal="right" vertical="bottom"/>
    </xf>
    <xf numFmtId="185" fontId="7" fillId="0" borderId="23" applyAlignment="1" pivotButton="0" quotePrefix="0" xfId="51">
      <alignment horizontal="right" vertical="bottom"/>
    </xf>
    <xf numFmtId="185" fontId="7" fillId="0" borderId="4" applyAlignment="1" pivotButton="0" quotePrefix="0" xfId="51">
      <alignment horizontal="right" vertical="bottom"/>
    </xf>
    <xf numFmtId="0" fontId="7" fillId="0" borderId="13" applyAlignment="1" pivotButton="0" quotePrefix="0" xfId="51">
      <alignment horizontal="general" vertical="bottom"/>
    </xf>
    <xf numFmtId="185" fontId="7" fillId="0" borderId="13" applyAlignment="1" pivotButton="0" quotePrefix="0" xfId="51">
      <alignment horizontal="right" vertical="bottom"/>
    </xf>
    <xf numFmtId="185" fontId="7" fillId="0" borderId="24" applyAlignment="1" pivotButton="0" quotePrefix="0" xfId="51">
      <alignment horizontal="right" vertical="bottom"/>
    </xf>
    <xf numFmtId="185" fontId="7" fillId="0" borderId="25" applyAlignment="1" pivotButton="0" quotePrefix="0" xfId="51">
      <alignment horizontal="right" vertical="bottom"/>
    </xf>
    <xf numFmtId="0" fontId="7" fillId="0" borderId="13" applyAlignment="1" pivotButton="0" quotePrefix="0" xfId="51">
      <alignment horizontal="left" vertical="bottom" indent="1"/>
    </xf>
    <xf numFmtId="0" fontId="34" fillId="7" borderId="3" applyAlignment="1" pivotButton="0" quotePrefix="0" xfId="51">
      <alignment horizontal="left" vertical="center"/>
    </xf>
    <xf numFmtId="0" fontId="34" fillId="7" borderId="3" applyAlignment="1" pivotButton="0" quotePrefix="0" xfId="51">
      <alignment horizontal="general" vertical="center"/>
    </xf>
    <xf numFmtId="167" fontId="34" fillId="7" borderId="3" applyAlignment="1" pivotButton="0" quotePrefix="0" xfId="51">
      <alignment horizontal="right" vertical="center"/>
    </xf>
    <xf numFmtId="167" fontId="34" fillId="7" borderId="28" applyAlignment="1" pivotButton="0" quotePrefix="0" xfId="51">
      <alignment horizontal="right" vertical="center"/>
    </xf>
    <xf numFmtId="167" fontId="34" fillId="7" borderId="30" applyAlignment="1" pivotButton="0" quotePrefix="0" xfId="51">
      <alignment horizontal="right" vertical="center"/>
    </xf>
    <xf numFmtId="185" fontId="34" fillId="7" borderId="3" applyAlignment="1" pivotButton="0" quotePrefix="0" xfId="51">
      <alignment horizontal="right" vertical="center"/>
    </xf>
    <xf numFmtId="185" fontId="34" fillId="7" borderId="28" applyAlignment="1" pivotButton="0" quotePrefix="0" xfId="51">
      <alignment horizontal="right" vertical="center"/>
    </xf>
    <xf numFmtId="185" fontId="34" fillId="7" borderId="30" applyAlignment="1" pivotButton="0" quotePrefix="0" xfId="51">
      <alignment horizontal="right" vertical="center"/>
    </xf>
    <xf numFmtId="0" fontId="7" fillId="0" borderId="0" applyAlignment="1" pivotButton="0" quotePrefix="0" xfId="0">
      <alignment horizontal="general" vertical="bottom"/>
    </xf>
    <xf numFmtId="173" fontId="21" fillId="2" borderId="0" applyAlignment="1" pivotButton="0" quotePrefix="0" xfId="0">
      <alignment horizontal="left" vertical="center"/>
    </xf>
    <xf numFmtId="173" fontId="50" fillId="2" borderId="0" applyAlignment="1" pivotButton="0" quotePrefix="0" xfId="0">
      <alignment horizontal="left" vertical="center"/>
    </xf>
    <xf numFmtId="173" fontId="21" fillId="0" borderId="0" applyAlignment="1" pivotButton="0" quotePrefix="0" xfId="0">
      <alignment horizontal="general" vertical="center"/>
    </xf>
    <xf numFmtId="166" fontId="0" fillId="0" borderId="0" applyAlignment="1" pivotButton="0" quotePrefix="0" xfId="0">
      <alignment horizontal="general" vertical="top"/>
    </xf>
    <xf numFmtId="166" fontId="21" fillId="0" borderId="0" applyAlignment="1" pivotButton="0" quotePrefix="0" xfId="0">
      <alignment horizontal="center" vertical="bottom"/>
    </xf>
    <xf numFmtId="166" fontId="21" fillId="0" borderId="0" applyAlignment="1" pivotButton="0" quotePrefix="0" xfId="0">
      <alignment horizontal="center" vertical="bottom" wrapText="1"/>
    </xf>
    <xf numFmtId="166" fontId="21" fillId="0" borderId="0" applyAlignment="1" pivotButton="0" quotePrefix="0" xfId="0">
      <alignment horizontal="right" vertical="bottom"/>
    </xf>
    <xf numFmtId="166" fontId="21" fillId="0" borderId="0" applyAlignment="1" pivotButton="0" quotePrefix="0" xfId="0">
      <alignment horizontal="right" vertical="bottom" wrapText="1"/>
    </xf>
    <xf numFmtId="173" fontId="19" fillId="0" borderId="0" applyAlignment="1" pivotButton="0" quotePrefix="0" xfId="0">
      <alignment horizontal="left" vertical="bottom"/>
    </xf>
    <xf numFmtId="170" fontId="0" fillId="0" borderId="0" applyAlignment="1" pivotButton="0" quotePrefix="0" xfId="0">
      <alignment horizontal="general" vertical="bottom"/>
    </xf>
    <xf numFmtId="173" fontId="19" fillId="0" borderId="13" applyAlignment="1" pivotButton="0" quotePrefix="0" xfId="0">
      <alignment horizontal="left" vertical="bottom"/>
    </xf>
    <xf numFmtId="173" fontId="34" fillId="7" borderId="3" applyAlignment="1" pivotButton="0" quotePrefix="0" xfId="0">
      <alignment horizontal="left" vertical="bottom"/>
    </xf>
    <xf numFmtId="173" fontId="34" fillId="0" borderId="0" applyAlignment="1" pivotButton="0" quotePrefix="0" xfId="0">
      <alignment horizontal="left" vertical="bottom"/>
    </xf>
    <xf numFmtId="173" fontId="34" fillId="7" borderId="22" applyAlignment="1" pivotButton="0" quotePrefix="0" xfId="0">
      <alignment horizontal="left" vertical="center"/>
    </xf>
    <xf numFmtId="0" fontId="23" fillId="4" borderId="0" applyAlignment="1" pivotButton="0" quotePrefix="0" xfId="51">
      <alignment horizontal="general" vertical="bottom"/>
    </xf>
    <xf numFmtId="0" fontId="54" fillId="0" borderId="0" applyAlignment="1" pivotButton="0" quotePrefix="0" xfId="51">
      <alignment horizontal="general" vertical="bottom"/>
    </xf>
    <xf numFmtId="0" fontId="37" fillId="0" borderId="0" applyAlignment="1" pivotButton="0" quotePrefix="0" xfId="51">
      <alignment horizontal="left" vertical="bottom"/>
    </xf>
    <xf numFmtId="0" fontId="5" fillId="0" borderId="0" applyAlignment="1" pivotButton="0" quotePrefix="0" xfId="38">
      <alignment horizontal="general" vertical="bottom"/>
    </xf>
    <xf numFmtId="0" fontId="5" fillId="0" borderId="0" applyAlignment="1" pivotButton="0" quotePrefix="0" xfId="38">
      <alignment horizontal="left" vertical="bottom"/>
    </xf>
    <xf numFmtId="170" fontId="5" fillId="0" borderId="0" applyAlignment="1" pivotButton="0" quotePrefix="0" xfId="38">
      <alignment horizontal="general" vertical="bottom"/>
    </xf>
    <xf numFmtId="0" fontId="21" fillId="2" borderId="0" applyAlignment="1" pivotButton="0" quotePrefix="0" xfId="38">
      <alignment horizontal="left" vertical="center"/>
    </xf>
    <xf numFmtId="173" fontId="21" fillId="2" borderId="0" applyAlignment="1" pivotButton="0" quotePrefix="0" xfId="38">
      <alignment horizontal="left" vertical="center"/>
    </xf>
    <xf numFmtId="173" fontId="21" fillId="2" borderId="0" applyAlignment="1" pivotButton="0" quotePrefix="0" xfId="38">
      <alignment horizontal="general" vertical="center"/>
    </xf>
    <xf numFmtId="0" fontId="21" fillId="5" borderId="0" applyAlignment="1" pivotButton="0" quotePrefix="0" xfId="38">
      <alignment horizontal="left" vertical="bottom"/>
    </xf>
    <xf numFmtId="166" fontId="21" fillId="5" borderId="0" applyAlignment="1" pivotButton="0" quotePrefix="0" xfId="38">
      <alignment horizontal="left" vertical="bottom"/>
    </xf>
    <xf numFmtId="166" fontId="21" fillId="5" borderId="15" applyAlignment="1" pivotButton="0" quotePrefix="0" xfId="38">
      <alignment horizontal="center" vertical="bottom"/>
    </xf>
    <xf numFmtId="166" fontId="21" fillId="5" borderId="31" applyAlignment="1" pivotButton="0" quotePrefix="0" xfId="38">
      <alignment horizontal="center" vertical="bottom"/>
    </xf>
    <xf numFmtId="166" fontId="21" fillId="5" borderId="21" applyAlignment="1" pivotButton="0" quotePrefix="0" xfId="38">
      <alignment horizontal="center" vertical="bottom" wrapText="1"/>
    </xf>
    <xf numFmtId="166" fontId="21" fillId="5" borderId="20" applyAlignment="1" pivotButton="0" quotePrefix="0" xfId="38">
      <alignment horizontal="center" vertical="bottom" wrapText="1"/>
    </xf>
    <xf numFmtId="166" fontId="21" fillId="5" borderId="0" applyAlignment="1" pivotButton="0" quotePrefix="0" xfId="38">
      <alignment horizontal="general" vertical="bottom" wrapText="1"/>
    </xf>
    <xf numFmtId="196" fontId="5" fillId="0" borderId="0" applyAlignment="1" pivotButton="0" quotePrefix="0" xfId="38">
      <alignment horizontal="general" vertical="bottom"/>
    </xf>
    <xf numFmtId="166" fontId="21" fillId="5" borderId="0" applyAlignment="1" pivotButton="0" quotePrefix="0" xfId="38">
      <alignment horizontal="center" vertical="bottom" wrapText="1"/>
    </xf>
    <xf numFmtId="166" fontId="21" fillId="5" borderId="21" applyAlignment="1" pivotButton="0" quotePrefix="0" xfId="38">
      <alignment horizontal="general" vertical="bottom" wrapText="1"/>
    </xf>
    <xf numFmtId="166" fontId="21" fillId="5" borderId="31" applyAlignment="1" pivotButton="0" quotePrefix="0" xfId="38">
      <alignment horizontal="center" vertical="bottom" wrapText="1"/>
    </xf>
    <xf numFmtId="166" fontId="21" fillId="5" borderId="15" applyAlignment="1" pivotButton="0" quotePrefix="0" xfId="38">
      <alignment horizontal="center" vertical="bottom" wrapText="1"/>
    </xf>
    <xf numFmtId="166" fontId="21" fillId="8" borderId="15" applyAlignment="1" pivotButton="0" quotePrefix="0" xfId="38">
      <alignment horizontal="center" vertical="bottom"/>
    </xf>
    <xf numFmtId="166" fontId="21" fillId="8" borderId="31" applyAlignment="1" pivotButton="0" quotePrefix="0" xfId="38">
      <alignment horizontal="center" vertical="bottom"/>
    </xf>
    <xf numFmtId="166" fontId="21" fillId="8" borderId="31" applyAlignment="1" pivotButton="0" quotePrefix="0" xfId="38">
      <alignment horizontal="center" vertical="bottom" wrapText="1"/>
    </xf>
    <xf numFmtId="166" fontId="21" fillId="8" borderId="21" applyAlignment="1" pivotButton="0" quotePrefix="0" xfId="38">
      <alignment horizontal="general" vertical="bottom" wrapText="1"/>
    </xf>
    <xf numFmtId="196" fontId="5" fillId="2" borderId="0" applyAlignment="1" pivotButton="0" quotePrefix="0" xfId="47">
      <alignment horizontal="general" vertical="bottom"/>
    </xf>
    <xf numFmtId="196" fontId="30" fillId="0" borderId="0" applyAlignment="1" pivotButton="0" quotePrefix="0" xfId="50">
      <alignment horizontal="general" vertical="bottom"/>
    </xf>
    <xf numFmtId="196" fontId="21" fillId="5" borderId="0" applyAlignment="1" pivotButton="0" quotePrefix="0" xfId="38">
      <alignment horizontal="right" vertical="bottom"/>
    </xf>
    <xf numFmtId="196" fontId="21" fillId="5" borderId="20" applyAlignment="1" pivotButton="0" quotePrefix="0" xfId="38">
      <alignment horizontal="right" vertical="bottom"/>
    </xf>
    <xf numFmtId="196" fontId="21" fillId="5" borderId="19" applyAlignment="1" pivotButton="0" quotePrefix="0" xfId="38">
      <alignment horizontal="right" vertical="bottom"/>
    </xf>
    <xf numFmtId="196" fontId="21" fillId="5" borderId="7" applyAlignment="1" pivotButton="0" quotePrefix="0" xfId="38">
      <alignment horizontal="right" vertical="bottom" wrapText="1"/>
    </xf>
    <xf numFmtId="196" fontId="21" fillId="5" borderId="5" applyAlignment="1" pivotButton="0" quotePrefix="0" xfId="38">
      <alignment horizontal="right" vertical="bottom" wrapText="1"/>
    </xf>
    <xf numFmtId="196" fontId="21" fillId="5" borderId="0" applyAlignment="1" pivotButton="0" quotePrefix="0" xfId="38">
      <alignment horizontal="right" vertical="bottom" wrapText="1"/>
    </xf>
    <xf numFmtId="196" fontId="21" fillId="5" borderId="6" applyAlignment="1" pivotButton="0" quotePrefix="0" xfId="38">
      <alignment horizontal="right" vertical="bottom" wrapText="1"/>
    </xf>
    <xf numFmtId="196" fontId="21" fillId="5" borderId="21" applyAlignment="1" pivotButton="0" quotePrefix="0" xfId="38">
      <alignment horizontal="right" vertical="bottom" wrapText="1"/>
    </xf>
    <xf numFmtId="196" fontId="21" fillId="8" borderId="0" applyAlignment="1" pivotButton="0" quotePrefix="0" xfId="38">
      <alignment horizontal="right" vertical="bottom"/>
    </xf>
    <xf numFmtId="196" fontId="21" fillId="8" borderId="20" applyAlignment="1" pivotButton="0" quotePrefix="0" xfId="38">
      <alignment horizontal="right" vertical="bottom"/>
    </xf>
    <xf numFmtId="196" fontId="21" fillId="8" borderId="19" applyAlignment="1" pivotButton="0" quotePrefix="0" xfId="38">
      <alignment horizontal="right" vertical="bottom"/>
    </xf>
    <xf numFmtId="196" fontId="21" fillId="8" borderId="21" applyAlignment="1" pivotButton="0" quotePrefix="0" xfId="38">
      <alignment horizontal="right" vertical="bottom" wrapText="1"/>
    </xf>
    <xf numFmtId="0" fontId="19" fillId="0" borderId="0" applyAlignment="1" pivotButton="0" quotePrefix="0" xfId="38">
      <alignment horizontal="left" vertical="bottom" indent="1"/>
    </xf>
    <xf numFmtId="173" fontId="19" fillId="0" borderId="0" applyAlignment="1" pivotButton="0" quotePrefix="0" xfId="38">
      <alignment horizontal="left" vertical="bottom"/>
    </xf>
    <xf numFmtId="196" fontId="19" fillId="0" borderId="0" applyAlignment="1" pivotButton="0" quotePrefix="0" xfId="38">
      <alignment horizontal="left" vertical="bottom"/>
    </xf>
    <xf numFmtId="173" fontId="19" fillId="0" borderId="0" applyAlignment="1" pivotButton="0" quotePrefix="0" xfId="38">
      <alignment horizontal="general" vertical="bottom"/>
    </xf>
    <xf numFmtId="173" fontId="19" fillId="0" borderId="23" applyAlignment="1" pivotButton="0" quotePrefix="0" xfId="38">
      <alignment horizontal="general" vertical="bottom"/>
    </xf>
    <xf numFmtId="173" fontId="19" fillId="0" borderId="4" applyAlignment="1" pivotButton="0" quotePrefix="0" xfId="38">
      <alignment horizontal="general" vertical="bottom"/>
    </xf>
    <xf numFmtId="173" fontId="19" fillId="0" borderId="58" applyAlignment="1" pivotButton="0" quotePrefix="0" xfId="38">
      <alignment horizontal="general" vertical="bottom"/>
    </xf>
    <xf numFmtId="0" fontId="19" fillId="0" borderId="13" applyAlignment="1" pivotButton="0" quotePrefix="0" xfId="38">
      <alignment horizontal="left" vertical="bottom" indent="1"/>
    </xf>
    <xf numFmtId="173" fontId="19" fillId="0" borderId="13" applyAlignment="1" pivotButton="0" quotePrefix="0" xfId="38">
      <alignment horizontal="left" vertical="bottom"/>
    </xf>
    <xf numFmtId="196" fontId="19" fillId="0" borderId="13" applyAlignment="1" pivotButton="0" quotePrefix="0" xfId="38">
      <alignment horizontal="left" vertical="bottom"/>
    </xf>
    <xf numFmtId="173" fontId="19" fillId="0" borderId="13" applyAlignment="1" pivotButton="0" quotePrefix="0" xfId="38">
      <alignment horizontal="general" vertical="bottom"/>
    </xf>
    <xf numFmtId="173" fontId="19" fillId="0" borderId="24" applyAlignment="1" pivotButton="0" quotePrefix="0" xfId="38">
      <alignment horizontal="general" vertical="bottom"/>
    </xf>
    <xf numFmtId="173" fontId="19" fillId="0" borderId="25" applyAlignment="1" pivotButton="0" quotePrefix="0" xfId="38">
      <alignment horizontal="general" vertical="bottom"/>
    </xf>
    <xf numFmtId="173" fontId="19" fillId="0" borderId="59" applyAlignment="1" pivotButton="0" quotePrefix="0" xfId="38">
      <alignment horizontal="general" vertical="bottom"/>
    </xf>
    <xf numFmtId="0" fontId="19" fillId="0" borderId="0" applyAlignment="1" pivotButton="0" quotePrefix="0" xfId="38">
      <alignment horizontal="left" vertical="bottom"/>
    </xf>
    <xf numFmtId="0" fontId="19" fillId="0" borderId="13" applyAlignment="1" pivotButton="0" quotePrefix="0" xfId="38">
      <alignment horizontal="left" vertical="bottom"/>
    </xf>
    <xf numFmtId="0" fontId="34" fillId="7" borderId="3" applyAlignment="1" pivotButton="0" quotePrefix="0" xfId="38">
      <alignment horizontal="left" vertical="bottom"/>
    </xf>
    <xf numFmtId="173" fontId="34" fillId="7" borderId="3" applyAlignment="1" pivotButton="0" quotePrefix="0" xfId="38">
      <alignment horizontal="left" vertical="bottom"/>
    </xf>
    <xf numFmtId="173" fontId="34" fillId="7" borderId="3" applyAlignment="1" pivotButton="0" quotePrefix="0" xfId="38">
      <alignment horizontal="general" vertical="bottom"/>
    </xf>
    <xf numFmtId="173" fontId="34" fillId="7" borderId="28" applyAlignment="1" pivotButton="0" quotePrefix="0" xfId="38">
      <alignment horizontal="general" vertical="bottom"/>
    </xf>
    <xf numFmtId="173" fontId="34" fillId="7" borderId="30" applyAlignment="1" pivotButton="0" quotePrefix="0" xfId="38">
      <alignment horizontal="general" vertical="bottom"/>
    </xf>
    <xf numFmtId="173" fontId="34" fillId="7" borderId="71" applyAlignment="1" pivotButton="0" quotePrefix="0" xfId="38">
      <alignment horizontal="general" vertical="bottom"/>
    </xf>
    <xf numFmtId="170" fontId="35" fillId="0" borderId="0" applyAlignment="1" pivotButton="0" quotePrefix="0" xfId="38">
      <alignment horizontal="general" vertical="bottom"/>
    </xf>
    <xf numFmtId="0" fontId="35" fillId="0" borderId="0" applyAlignment="1" pivotButton="0" quotePrefix="0" xfId="38">
      <alignment horizontal="general" vertical="bottom"/>
    </xf>
    <xf numFmtId="0" fontId="35" fillId="0" borderId="0" applyAlignment="1" pivotButton="0" quotePrefix="0" xfId="38">
      <alignment horizontal="left" vertical="bottom"/>
    </xf>
    <xf numFmtId="0" fontId="21" fillId="2" borderId="2" applyAlignment="1" pivotButton="0" quotePrefix="0" xfId="51">
      <alignment horizontal="left" vertical="center"/>
    </xf>
    <xf numFmtId="173" fontId="21" fillId="2" borderId="2" applyAlignment="1" pivotButton="0" quotePrefix="0" xfId="51">
      <alignment horizontal="general" vertical="center"/>
    </xf>
    <xf numFmtId="166" fontId="21" fillId="5" borderId="0" applyAlignment="1" pivotButton="0" quotePrefix="0" xfId="51">
      <alignment horizontal="right" vertical="bottom"/>
    </xf>
    <xf numFmtId="166" fontId="21" fillId="5" borderId="20" applyAlignment="1" pivotButton="0" quotePrefix="0" xfId="51">
      <alignment horizontal="right" vertical="bottom"/>
    </xf>
    <xf numFmtId="166" fontId="21" fillId="5" borderId="19" applyAlignment="1" pivotButton="0" quotePrefix="0" xfId="51">
      <alignment horizontal="right" vertical="bottom"/>
    </xf>
    <xf numFmtId="166" fontId="21" fillId="5" borderId="21" applyAlignment="1" pivotButton="0" quotePrefix="0" xfId="51">
      <alignment horizontal="right" vertical="bottom" wrapText="1"/>
    </xf>
    <xf numFmtId="0" fontId="19" fillId="4" borderId="0" applyAlignment="1" pivotButton="0" quotePrefix="0" xfId="51">
      <alignment horizontal="left" vertical="bottom" indent="1"/>
    </xf>
    <xf numFmtId="173" fontId="19" fillId="4" borderId="0" applyAlignment="1" pivotButton="0" quotePrefix="0" xfId="51">
      <alignment horizontal="general" vertical="bottom"/>
    </xf>
    <xf numFmtId="173" fontId="19" fillId="4" borderId="23" applyAlignment="1" pivotButton="0" quotePrefix="0" xfId="51">
      <alignment horizontal="general" vertical="bottom"/>
    </xf>
    <xf numFmtId="173" fontId="19" fillId="4" borderId="4" applyAlignment="1" pivotButton="0" quotePrefix="0" xfId="51">
      <alignment horizontal="general" vertical="bottom"/>
    </xf>
    <xf numFmtId="0" fontId="19" fillId="4" borderId="13" applyAlignment="1" pivotButton="0" quotePrefix="0" xfId="51">
      <alignment horizontal="left" vertical="bottom" indent="1"/>
    </xf>
    <xf numFmtId="173" fontId="19" fillId="4" borderId="13" applyAlignment="1" pivotButton="0" quotePrefix="0" xfId="51">
      <alignment horizontal="general" vertical="bottom"/>
    </xf>
    <xf numFmtId="173" fontId="19" fillId="4" borderId="24" applyAlignment="1" pivotButton="0" quotePrefix="0" xfId="51">
      <alignment horizontal="general" vertical="bottom"/>
    </xf>
    <xf numFmtId="173" fontId="19" fillId="4" borderId="25" applyAlignment="1" pivotButton="0" quotePrefix="0" xfId="51">
      <alignment horizontal="general" vertical="bottom"/>
    </xf>
    <xf numFmtId="0" fontId="34" fillId="7" borderId="3" applyAlignment="1" pivotButton="0" quotePrefix="0" xfId="51">
      <alignment horizontal="left" vertical="bottom"/>
    </xf>
    <xf numFmtId="173" fontId="34" fillId="7" borderId="3" applyAlignment="1" pivotButton="0" quotePrefix="0" xfId="51">
      <alignment horizontal="general" vertical="bottom"/>
    </xf>
    <xf numFmtId="173" fontId="34" fillId="7" borderId="28" applyAlignment="1" pivotButton="0" quotePrefix="0" xfId="51">
      <alignment horizontal="general" vertical="bottom"/>
    </xf>
    <xf numFmtId="173" fontId="34" fillId="7" borderId="30" applyAlignment="1" pivotButton="0" quotePrefix="0" xfId="51">
      <alignment horizontal="general" vertical="bottom"/>
    </xf>
    <xf numFmtId="191" fontId="37" fillId="0" borderId="0" applyAlignment="1" pivotButton="0" quotePrefix="0" xfId="51">
      <alignment horizontal="general" vertical="bottom"/>
    </xf>
    <xf numFmtId="49" fontId="70" fillId="0" borderId="0" applyAlignment="1" pivotButton="0" quotePrefix="0" xfId="50">
      <alignment horizontal="general" vertical="bottom"/>
    </xf>
    <xf numFmtId="0" fontId="71" fillId="0" borderId="0" applyAlignment="1" pivotButton="0" quotePrefix="0" xfId="54">
      <alignment horizontal="general" vertical="bottom"/>
    </xf>
    <xf numFmtId="0" fontId="5" fillId="14" borderId="0" applyAlignment="1" pivotButton="0" quotePrefix="0" xfId="46">
      <alignment horizontal="general" vertical="bottom"/>
    </xf>
    <xf numFmtId="170" fontId="5" fillId="14" borderId="0" applyAlignment="1" pivotButton="0" quotePrefix="0" xfId="46">
      <alignment horizontal="general" vertical="bottom"/>
    </xf>
    <xf numFmtId="166" fontId="21" fillId="5" borderId="21" applyAlignment="1" pivotButton="0" quotePrefix="0" xfId="46">
      <alignment horizontal="right" vertical="center" wrapText="1"/>
    </xf>
    <xf numFmtId="0" fontId="5" fillId="0" borderId="0" applyAlignment="1" pivotButton="0" quotePrefix="0" xfId="46">
      <alignment horizontal="left" vertical="bottom" indent="1"/>
    </xf>
    <xf numFmtId="170" fontId="5" fillId="7" borderId="0" applyAlignment="1" pivotButton="0" quotePrefix="0" xfId="46">
      <alignment horizontal="right" vertical="bottom"/>
    </xf>
    <xf numFmtId="170" fontId="5" fillId="7" borderId="23" applyAlignment="1" pivotButton="0" quotePrefix="0" xfId="46">
      <alignment horizontal="right" vertical="bottom"/>
    </xf>
    <xf numFmtId="170" fontId="5" fillId="0" borderId="0" applyAlignment="1" pivotButton="0" quotePrefix="0" xfId="46">
      <alignment horizontal="right" vertical="bottom"/>
    </xf>
    <xf numFmtId="170" fontId="5" fillId="0" borderId="23" applyAlignment="1" pivotButton="0" quotePrefix="0" xfId="46">
      <alignment horizontal="right" vertical="bottom"/>
    </xf>
    <xf numFmtId="170" fontId="5" fillId="0" borderId="4" applyAlignment="1" pivotButton="0" quotePrefix="0" xfId="46">
      <alignment horizontal="right" vertical="bottom"/>
    </xf>
    <xf numFmtId="0" fontId="5" fillId="0" borderId="0" applyAlignment="1" pivotButton="0" quotePrefix="0" xfId="46">
      <alignment horizontal="left" vertical="bottom" indent="2"/>
    </xf>
    <xf numFmtId="0" fontId="35" fillId="7" borderId="0" applyAlignment="1" pivotButton="0" quotePrefix="0" xfId="46">
      <alignment horizontal="left" vertical="bottom" indent="2"/>
    </xf>
    <xf numFmtId="0" fontId="35" fillId="7" borderId="0" applyAlignment="1" pivotButton="0" quotePrefix="0" xfId="46">
      <alignment horizontal="general" vertical="bottom"/>
    </xf>
    <xf numFmtId="170" fontId="35" fillId="7" borderId="0" applyAlignment="1" pivotButton="0" quotePrefix="0" xfId="46">
      <alignment horizontal="right" vertical="bottom"/>
    </xf>
    <xf numFmtId="170" fontId="35" fillId="7" borderId="23" applyAlignment="1" pivotButton="0" quotePrefix="0" xfId="46">
      <alignment horizontal="right" vertical="bottom"/>
    </xf>
    <xf numFmtId="170" fontId="35" fillId="7" borderId="4" applyAlignment="1" pivotButton="0" quotePrefix="0" xfId="46">
      <alignment horizontal="right" vertical="bottom"/>
    </xf>
    <xf numFmtId="0" fontId="5" fillId="0" borderId="13" applyAlignment="1" pivotButton="0" quotePrefix="0" xfId="46">
      <alignment horizontal="left" vertical="bottom" indent="2"/>
    </xf>
    <xf numFmtId="0" fontId="5" fillId="0" borderId="13" applyAlignment="1" pivotButton="0" quotePrefix="0" xfId="46">
      <alignment horizontal="general" vertical="bottom"/>
    </xf>
    <xf numFmtId="170" fontId="5" fillId="0" borderId="13" applyAlignment="1" pivotButton="0" quotePrefix="0" xfId="46">
      <alignment horizontal="right" vertical="bottom"/>
    </xf>
    <xf numFmtId="170" fontId="5" fillId="0" borderId="24" applyAlignment="1" pivotButton="0" quotePrefix="0" xfId="46">
      <alignment horizontal="right" vertical="bottom"/>
    </xf>
    <xf numFmtId="170" fontId="5" fillId="0" borderId="25" applyAlignment="1" pivotButton="0" quotePrefix="0" xfId="46">
      <alignment horizontal="right" vertical="bottom"/>
    </xf>
    <xf numFmtId="178" fontId="38" fillId="0" borderId="36" applyAlignment="1" pivotButton="0" quotePrefix="0" xfId="46">
      <alignment horizontal="general" vertical="bottom"/>
    </xf>
    <xf numFmtId="0" fontId="34" fillId="7" borderId="22" applyAlignment="1" pivotButton="0" quotePrefix="0" xfId="46">
      <alignment horizontal="general" vertical="center"/>
    </xf>
    <xf numFmtId="170" fontId="34" fillId="7" borderId="22" applyAlignment="1" pivotButton="0" quotePrefix="0" xfId="46">
      <alignment horizontal="right" vertical="center"/>
    </xf>
    <xf numFmtId="170" fontId="34" fillId="7" borderId="34" applyAlignment="1" pivotButton="0" quotePrefix="0" xfId="46">
      <alignment horizontal="right" vertical="center"/>
    </xf>
    <xf numFmtId="170" fontId="34" fillId="7" borderId="35" applyAlignment="1" pivotButton="0" quotePrefix="0" xfId="46">
      <alignment horizontal="right" vertical="center"/>
    </xf>
    <xf numFmtId="0" fontId="7" fillId="0" borderId="0" applyAlignment="1" pivotButton="0" quotePrefix="0" xfId="71">
      <alignment horizontal="general" vertical="bottom"/>
    </xf>
    <xf numFmtId="0" fontId="7" fillId="0" borderId="0" applyAlignment="1" pivotButton="0" quotePrefix="0" xfId="71">
      <alignment horizontal="general" vertical="bottom" wrapText="1"/>
    </xf>
    <xf numFmtId="0" fontId="0" fillId="0" borderId="0" applyAlignment="1" applyProtection="1" pivotButton="0" quotePrefix="0" xfId="45">
      <alignment horizontal="general" vertical="bottom"/>
      <protection locked="0" hidden="0"/>
    </xf>
    <xf numFmtId="0" fontId="38" fillId="0" borderId="0" applyAlignment="1" applyProtection="1" pivotButton="0" quotePrefix="0" xfId="45">
      <alignment horizontal="general" vertical="center"/>
      <protection locked="0" hidden="0"/>
    </xf>
    <xf numFmtId="0" fontId="5" fillId="0" borderId="0" applyAlignment="1" pivotButton="0" quotePrefix="0" xfId="50">
      <alignment horizontal="general" vertical="bottom" wrapText="1"/>
    </xf>
    <xf numFmtId="0" fontId="31" fillId="2" borderId="0" applyAlignment="1" pivotButton="0" quotePrefix="0" xfId="50">
      <alignment horizontal="left" vertical="center"/>
    </xf>
    <xf numFmtId="0" fontId="31" fillId="2" borderId="0" applyAlignment="1" pivotButton="0" quotePrefix="0" xfId="50">
      <alignment horizontal="left" vertical="center" wrapText="1"/>
    </xf>
    <xf numFmtId="0" fontId="31" fillId="5" borderId="0" applyAlignment="1" pivotButton="0" quotePrefix="0" xfId="50">
      <alignment horizontal="left" vertical="bottom"/>
    </xf>
    <xf numFmtId="0" fontId="31" fillId="5" borderId="32" applyAlignment="1" pivotButton="0" quotePrefix="0" xfId="50">
      <alignment horizontal="center" vertical="bottom" wrapText="1"/>
    </xf>
    <xf numFmtId="0" fontId="31" fillId="5" borderId="75" applyAlignment="1" pivotButton="0" quotePrefix="0" xfId="50">
      <alignment horizontal="center" vertical="bottom" wrapText="1"/>
    </xf>
    <xf numFmtId="0" fontId="31" fillId="5" borderId="31" applyAlignment="1" pivotButton="0" quotePrefix="0" xfId="50">
      <alignment horizontal="center" vertical="bottom" wrapText="1"/>
    </xf>
    <xf numFmtId="0" fontId="31" fillId="5" borderId="19" applyAlignment="1" pivotButton="0" quotePrefix="0" xfId="50">
      <alignment horizontal="center" vertical="bottom" wrapText="1"/>
    </xf>
    <xf numFmtId="0" fontId="31" fillId="8" borderId="32" applyAlignment="1" pivotButton="0" quotePrefix="0" xfId="50">
      <alignment horizontal="center" vertical="bottom"/>
    </xf>
    <xf numFmtId="0" fontId="31" fillId="8" borderId="75" applyAlignment="1" pivotButton="0" quotePrefix="0" xfId="50">
      <alignment horizontal="center" vertical="bottom"/>
    </xf>
    <xf numFmtId="0" fontId="31" fillId="8" borderId="31" applyAlignment="1" pivotButton="0" quotePrefix="0" xfId="50">
      <alignment horizontal="center" vertical="bottom"/>
    </xf>
    <xf numFmtId="196" fontId="31" fillId="5" borderId="5" applyAlignment="1" pivotButton="0" quotePrefix="0" xfId="50">
      <alignment horizontal="right" vertical="bottom" wrapText="1"/>
    </xf>
    <xf numFmtId="196" fontId="31" fillId="5" borderId="6" applyAlignment="1" pivotButton="0" quotePrefix="0" xfId="50">
      <alignment horizontal="right" vertical="bottom" wrapText="1"/>
    </xf>
    <xf numFmtId="196" fontId="31" fillId="5" borderId="7" applyAlignment="1" pivotButton="0" quotePrefix="0" xfId="50">
      <alignment horizontal="right" vertical="bottom" wrapText="1"/>
    </xf>
    <xf numFmtId="196" fontId="31" fillId="8" borderId="5" applyAlignment="1" pivotButton="0" quotePrefix="0" xfId="50">
      <alignment horizontal="right" vertical="bottom" wrapText="1"/>
    </xf>
    <xf numFmtId="196" fontId="31" fillId="8" borderId="6" applyAlignment="1" pivotButton="0" quotePrefix="0" xfId="50">
      <alignment horizontal="right" vertical="bottom" wrapText="1"/>
    </xf>
    <xf numFmtId="196" fontId="31" fillId="8" borderId="7" applyAlignment="1" pivotButton="0" quotePrefix="0" xfId="50">
      <alignment horizontal="right" vertical="bottom" wrapText="1"/>
    </xf>
    <xf numFmtId="196" fontId="31" fillId="8" borderId="7" applyAlignment="1" pivotButton="0" quotePrefix="0" xfId="50">
      <alignment horizontal="right" vertical="center" wrapText="1"/>
    </xf>
    <xf numFmtId="0" fontId="34" fillId="7" borderId="0" applyAlignment="1" pivotButton="0" quotePrefix="0" xfId="50">
      <alignment horizontal="left" vertical="center"/>
    </xf>
    <xf numFmtId="171" fontId="34" fillId="7" borderId="0" applyAlignment="1" pivotButton="0" quotePrefix="0" xfId="50">
      <alignment horizontal="right" vertical="center" wrapText="1"/>
    </xf>
    <xf numFmtId="171" fontId="34" fillId="7" borderId="4" applyAlignment="1" pivotButton="0" quotePrefix="0" xfId="50">
      <alignment horizontal="right" vertical="center" wrapText="1"/>
    </xf>
    <xf numFmtId="0" fontId="7" fillId="4" borderId="0" applyAlignment="1" pivotButton="0" quotePrefix="0" xfId="50">
      <alignment horizontal="left" vertical="center" indent="1"/>
    </xf>
    <xf numFmtId="171" fontId="19" fillId="4" borderId="0" applyAlignment="1" pivotButton="0" quotePrefix="0" xfId="50">
      <alignment horizontal="right" vertical="center" wrapText="1"/>
    </xf>
    <xf numFmtId="171" fontId="19" fillId="4" borderId="4" applyAlignment="1" pivotButton="0" quotePrefix="0" xfId="50">
      <alignment horizontal="right" vertical="center" wrapText="1"/>
    </xf>
    <xf numFmtId="171" fontId="19" fillId="0" borderId="0" applyAlignment="1" pivotButton="0" quotePrefix="0" xfId="50">
      <alignment horizontal="right" vertical="center" wrapText="1"/>
    </xf>
    <xf numFmtId="0" fontId="34" fillId="7" borderId="2" applyAlignment="1" pivotButton="0" quotePrefix="0" xfId="50">
      <alignment horizontal="general" vertical="center"/>
    </xf>
    <xf numFmtId="171" fontId="34" fillId="7" borderId="2" applyAlignment="1" pivotButton="0" quotePrefix="0" xfId="50">
      <alignment horizontal="right" vertical="center"/>
    </xf>
    <xf numFmtId="171" fontId="34" fillId="7" borderId="27" applyAlignment="1" pivotButton="0" quotePrefix="0" xfId="50">
      <alignment horizontal="right" vertical="center"/>
    </xf>
    <xf numFmtId="0" fontId="7" fillId="4" borderId="0" applyAlignment="1" pivotButton="0" quotePrefix="0" xfId="50">
      <alignment horizontal="left" vertical="center"/>
    </xf>
    <xf numFmtId="171" fontId="19" fillId="0" borderId="4" applyAlignment="1" pivotButton="0" quotePrefix="0" xfId="50">
      <alignment horizontal="right" vertical="center" wrapText="1"/>
    </xf>
    <xf numFmtId="0" fontId="22" fillId="7" borderId="3" applyAlignment="1" pivotButton="0" quotePrefix="0" xfId="50">
      <alignment horizontal="left" vertical="center"/>
    </xf>
    <xf numFmtId="168" fontId="25" fillId="7" borderId="3" applyAlignment="1" pivotButton="0" quotePrefix="0" xfId="50">
      <alignment horizontal="right" vertical="center" wrapText="1"/>
    </xf>
    <xf numFmtId="168" fontId="25" fillId="7" borderId="30" applyAlignment="1" pivotButton="0" quotePrefix="0" xfId="50">
      <alignment horizontal="right" vertical="center" wrapText="1"/>
    </xf>
    <xf numFmtId="0" fontId="22" fillId="0" borderId="0" applyAlignment="1" pivotButton="0" quotePrefix="0" xfId="71">
      <alignment horizontal="general" vertical="bottom"/>
    </xf>
    <xf numFmtId="0" fontId="35" fillId="0" borderId="0" applyAlignment="1" pivotButton="0" quotePrefix="0" xfId="50">
      <alignment horizontal="general" vertical="bottom"/>
    </xf>
    <xf numFmtId="171" fontId="35" fillId="0" borderId="0" applyAlignment="1" pivotButton="0" quotePrefix="0" xfId="50">
      <alignment horizontal="general" vertical="bottom" wrapText="1"/>
    </xf>
    <xf numFmtId="167" fontId="5" fillId="0" borderId="0" applyAlignment="1" pivotButton="0" quotePrefix="0" xfId="50">
      <alignment horizontal="right" vertical="bottom"/>
    </xf>
    <xf numFmtId="0" fontId="21" fillId="2" borderId="0" applyAlignment="1" pivotButton="0" quotePrefix="0" xfId="50">
      <alignment horizontal="left" vertical="center"/>
    </xf>
    <xf numFmtId="0" fontId="31" fillId="5" borderId="13" applyAlignment="1" pivotButton="0" quotePrefix="0" xfId="50">
      <alignment horizontal="left" vertical="bottom" wrapText="1"/>
    </xf>
    <xf numFmtId="0" fontId="31" fillId="5" borderId="13" applyAlignment="1" pivotButton="0" quotePrefix="0" xfId="50">
      <alignment horizontal="right" vertical="bottom" wrapText="1"/>
    </xf>
    <xf numFmtId="167" fontId="7" fillId="4" borderId="0" applyAlignment="1" pivotButton="0" quotePrefix="0" xfId="50">
      <alignment horizontal="right" vertical="center"/>
    </xf>
    <xf numFmtId="0" fontId="7" fillId="4" borderId="3" applyAlignment="1" pivotButton="0" quotePrefix="0" xfId="50">
      <alignment horizontal="left" vertical="center"/>
    </xf>
    <xf numFmtId="167" fontId="7" fillId="4" borderId="3" applyAlignment="1" pivotButton="0" quotePrefix="0" xfId="50">
      <alignment horizontal="right" vertical="center"/>
    </xf>
    <xf numFmtId="9" fontId="7" fillId="0" borderId="0" applyAlignment="1" pivotButton="0" quotePrefix="0" xfId="82">
      <alignment horizontal="general" vertical="bottom"/>
    </xf>
    <xf numFmtId="9" fontId="21" fillId="2" borderId="2" applyAlignment="1" pivotButton="0" quotePrefix="0" xfId="82">
      <alignment horizontal="left" vertical="center"/>
    </xf>
    <xf numFmtId="9" fontId="5" fillId="0" borderId="0" applyAlignment="1" pivotButton="0" quotePrefix="0" xfId="82">
      <alignment horizontal="general" vertical="bottom"/>
    </xf>
    <xf numFmtId="0" fontId="31" fillId="5" borderId="56" applyAlignment="1" pivotButton="0" quotePrefix="0" xfId="50">
      <alignment horizontal="left" vertical="bottom" wrapText="1"/>
    </xf>
    <xf numFmtId="0" fontId="31" fillId="5" borderId="56" applyAlignment="1" pivotButton="0" quotePrefix="0" xfId="50">
      <alignment horizontal="right" vertical="bottom" wrapText="1"/>
    </xf>
    <xf numFmtId="0" fontId="31" fillId="5" borderId="56" applyAlignment="1" pivotButton="0" quotePrefix="0" xfId="50">
      <alignment horizontal="right" vertical="bottom"/>
    </xf>
    <xf numFmtId="0" fontId="7" fillId="4" borderId="13" applyAlignment="1" pivotButton="0" quotePrefix="0" xfId="50">
      <alignment horizontal="left" vertical="center"/>
    </xf>
    <xf numFmtId="167" fontId="7" fillId="4" borderId="13" applyAlignment="1" pivotButton="0" quotePrefix="0" xfId="50">
      <alignment horizontal="right" vertical="center"/>
    </xf>
    <xf numFmtId="0" fontId="21" fillId="5" borderId="15" applyAlignment="1" pivotButton="0" quotePrefix="0" xfId="39">
      <alignment horizontal="center" vertical="bottom"/>
    </xf>
    <xf numFmtId="0" fontId="21" fillId="8" borderId="0" applyAlignment="1" pivotButton="0" quotePrefix="0" xfId="39">
      <alignment horizontal="center" vertical="bottom"/>
    </xf>
    <xf numFmtId="0" fontId="21" fillId="8" borderId="20" applyAlignment="1" pivotButton="0" quotePrefix="0" xfId="39">
      <alignment horizontal="center" vertical="bottom"/>
    </xf>
    <xf numFmtId="0" fontId="21" fillId="8" borderId="15" applyAlignment="1" pivotButton="0" quotePrefix="0" xfId="39">
      <alignment horizontal="center" vertical="bottom"/>
    </xf>
    <xf numFmtId="197" fontId="31" fillId="5" borderId="20" applyAlignment="1" pivotButton="0" quotePrefix="0" xfId="45">
      <alignment horizontal="right" vertical="bottom" wrapText="1"/>
    </xf>
    <xf numFmtId="197" fontId="31" fillId="5" borderId="19" applyAlignment="1" pivotButton="0" quotePrefix="0" xfId="45">
      <alignment horizontal="right" vertical="bottom" wrapText="1"/>
    </xf>
    <xf numFmtId="197" fontId="31" fillId="5" borderId="21" applyAlignment="1" pivotButton="0" quotePrefix="0" xfId="45">
      <alignment horizontal="right" vertical="bottom" wrapText="1"/>
    </xf>
    <xf numFmtId="197" fontId="31" fillId="5" borderId="6" applyAlignment="1" pivotButton="0" quotePrefix="0" xfId="45">
      <alignment horizontal="right" vertical="bottom" wrapText="1"/>
    </xf>
    <xf numFmtId="179" fontId="31" fillId="8" borderId="10" applyAlignment="1" pivotButton="0" quotePrefix="0" xfId="39">
      <alignment horizontal="right" vertical="bottom"/>
    </xf>
    <xf numFmtId="179" fontId="31" fillId="8" borderId="7" applyAlignment="1" pivotButton="0" quotePrefix="0" xfId="39">
      <alignment horizontal="right" vertical="bottom"/>
    </xf>
    <xf numFmtId="179" fontId="31" fillId="8" borderId="6" applyAlignment="1" pivotButton="0" quotePrefix="0" xfId="39">
      <alignment horizontal="right" vertical="bottom"/>
    </xf>
    <xf numFmtId="179" fontId="31" fillId="8" borderId="5" applyAlignment="1" pivotButton="0" quotePrefix="0" xfId="39">
      <alignment horizontal="right" vertical="bottom"/>
    </xf>
    <xf numFmtId="179" fontId="31" fillId="8" borderId="0" applyAlignment="1" pivotButton="0" quotePrefix="0" xfId="39">
      <alignment horizontal="right" vertical="bottom"/>
    </xf>
    <xf numFmtId="167" fontId="35" fillId="0" borderId="0" applyAlignment="1" pivotButton="0" quotePrefix="0" xfId="39">
      <alignment horizontal="right" vertical="bottom"/>
    </xf>
    <xf numFmtId="0" fontId="5" fillId="4" borderId="0" applyAlignment="1" pivotButton="0" quotePrefix="0" xfId="39">
      <alignment horizontal="general" vertical="bottom"/>
    </xf>
    <xf numFmtId="0" fontId="5" fillId="4" borderId="0" applyAlignment="1" pivotButton="0" quotePrefix="0" xfId="39">
      <alignment horizontal="left" vertical="bottom"/>
    </xf>
    <xf numFmtId="170" fontId="5" fillId="4" borderId="0" applyAlignment="1" pivotButton="0" quotePrefix="0" xfId="39">
      <alignment horizontal="general" vertical="bottom"/>
    </xf>
    <xf numFmtId="0" fontId="35" fillId="4" borderId="0" applyAlignment="1" pivotButton="0" quotePrefix="0" xfId="39">
      <alignment horizontal="general" vertical="bottom"/>
    </xf>
    <xf numFmtId="0" fontId="23" fillId="4" borderId="0" applyAlignment="1" pivotButton="0" quotePrefix="0" xfId="39">
      <alignment horizontal="general" vertical="center"/>
    </xf>
    <xf numFmtId="0" fontId="35" fillId="0" borderId="0" applyAlignment="1" pivotButton="0" quotePrefix="0" xfId="39">
      <alignment horizontal="left" vertical="bottom" indent="1"/>
    </xf>
    <xf numFmtId="0" fontId="35" fillId="4" borderId="13" applyAlignment="1" pivotButton="0" quotePrefix="0" xfId="39">
      <alignment horizontal="left" vertical="bottom" indent="1"/>
    </xf>
    <xf numFmtId="0" fontId="35" fillId="4" borderId="13" applyAlignment="1" pivotButton="0" quotePrefix="0" xfId="39">
      <alignment horizontal="left" vertical="bottom"/>
    </xf>
    <xf numFmtId="170" fontId="35" fillId="4" borderId="13" applyAlignment="1" pivotButton="0" quotePrefix="0" xfId="39">
      <alignment horizontal="general" vertical="bottom"/>
    </xf>
    <xf numFmtId="0" fontId="35" fillId="4" borderId="0" applyAlignment="1" pivotButton="0" quotePrefix="0" xfId="39">
      <alignment horizontal="left" vertical="bottom"/>
    </xf>
    <xf numFmtId="170" fontId="35" fillId="4" borderId="0" applyAlignment="1" pivotButton="0" quotePrefix="0" xfId="39">
      <alignment horizontal="general" vertical="bottom"/>
    </xf>
    <xf numFmtId="0" fontId="7" fillId="0" borderId="0" applyAlignment="1" pivotButton="0" quotePrefix="0" xfId="57">
      <alignment horizontal="left" vertical="bottom" wrapText="1"/>
    </xf>
    <xf numFmtId="0" fontId="5" fillId="0" borderId="0" applyAlignment="1" pivotButton="0" quotePrefix="0" xfId="39">
      <alignment horizontal="left" vertical="bottom" wrapText="1"/>
    </xf>
    <xf numFmtId="0" fontId="5" fillId="0" borderId="0" applyAlignment="1" pivotButton="0" quotePrefix="0" xfId="54">
      <alignment horizontal="left" vertical="bottom" wrapText="1"/>
    </xf>
    <xf numFmtId="0" fontId="5" fillId="0" borderId="0" applyAlignment="1" pivotButton="0" quotePrefix="0" xfId="50">
      <alignment horizontal="left" vertical="bottom" wrapText="1"/>
    </xf>
    <xf numFmtId="0" fontId="26" fillId="0" borderId="0" applyAlignment="1" pivotButton="0" quotePrefix="0" xfId="50">
      <alignment horizontal="general" vertical="bottom"/>
    </xf>
    <xf numFmtId="168" fontId="35" fillId="0" borderId="0" applyAlignment="1" pivotButton="0" quotePrefix="0" xfId="50">
      <alignment horizontal="right" vertical="bottom"/>
    </xf>
    <xf numFmtId="0" fontId="21" fillId="2" borderId="0" applyAlignment="1" pivotButton="0" quotePrefix="0" xfId="50">
      <alignment horizontal="left" vertical="center" wrapText="1"/>
    </xf>
    <xf numFmtId="0" fontId="31" fillId="5" borderId="0" applyAlignment="1" pivotButton="0" quotePrefix="0" xfId="50">
      <alignment horizontal="right" vertical="bottom"/>
    </xf>
    <xf numFmtId="0" fontId="31" fillId="5" borderId="20" applyAlignment="1" pivotButton="0" quotePrefix="0" xfId="50">
      <alignment horizontal="right" vertical="bottom"/>
    </xf>
    <xf numFmtId="0" fontId="31" fillId="5" borderId="32" applyAlignment="1" pivotButton="0" quotePrefix="0" xfId="50">
      <alignment horizontal="center" vertical="bottom"/>
    </xf>
    <xf numFmtId="0" fontId="31" fillId="5" borderId="75" applyAlignment="1" pivotButton="0" quotePrefix="0" xfId="50">
      <alignment horizontal="center" vertical="bottom"/>
    </xf>
    <xf numFmtId="0" fontId="31" fillId="5" borderId="31" applyAlignment="1" pivotButton="0" quotePrefix="0" xfId="50">
      <alignment horizontal="center" vertical="bottom"/>
    </xf>
    <xf numFmtId="0" fontId="31" fillId="5" borderId="19" applyAlignment="1" pivotButton="0" quotePrefix="0" xfId="50">
      <alignment horizontal="center" vertical="bottom"/>
    </xf>
    <xf numFmtId="166" fontId="21" fillId="8" borderId="15" applyAlignment="1" pivotButton="0" quotePrefix="0" xfId="0">
      <alignment horizontal="center" vertical="bottom"/>
    </xf>
    <xf numFmtId="166" fontId="21" fillId="8" borderId="15" applyAlignment="1" pivotButton="0" quotePrefix="0" xfId="0">
      <alignment horizontal="center" vertical="bottom" wrapText="1"/>
    </xf>
    <xf numFmtId="0" fontId="31" fillId="5" borderId="31" applyAlignment="1" pivotButton="0" quotePrefix="0" xfId="50">
      <alignment horizontal="left" vertical="bottom" wrapText="1"/>
    </xf>
    <xf numFmtId="0" fontId="31" fillId="5" borderId="0" applyAlignment="1" applyProtection="1" pivotButton="0" quotePrefix="0" xfId="50">
      <alignment horizontal="left" vertical="bottom"/>
      <protection locked="0" hidden="0"/>
    </xf>
    <xf numFmtId="179" fontId="31" fillId="5" borderId="0" applyAlignment="1" pivotButton="0" quotePrefix="0" xfId="50">
      <alignment horizontal="left" vertical="bottom"/>
    </xf>
    <xf numFmtId="196" fontId="31" fillId="5" borderId="0" applyAlignment="1" pivotButton="0" quotePrefix="0" xfId="50">
      <alignment horizontal="right" vertical="bottom"/>
    </xf>
    <xf numFmtId="196" fontId="31" fillId="5" borderId="20" applyAlignment="1" pivotButton="0" quotePrefix="0" xfId="50">
      <alignment horizontal="right" vertical="bottom"/>
    </xf>
    <xf numFmtId="196" fontId="31" fillId="5" borderId="21" applyAlignment="1" pivotButton="0" quotePrefix="0" xfId="50">
      <alignment horizontal="right" vertical="bottom"/>
    </xf>
    <xf numFmtId="196" fontId="31" fillId="5" borderId="5" applyAlignment="1" pivotButton="0" quotePrefix="0" xfId="50">
      <alignment horizontal="right" vertical="bottom"/>
    </xf>
    <xf numFmtId="196" fontId="31" fillId="5" borderId="6" applyAlignment="1" pivotButton="0" quotePrefix="0" xfId="50">
      <alignment horizontal="right" vertical="bottom"/>
    </xf>
    <xf numFmtId="196" fontId="31" fillId="5" borderId="7" applyAlignment="1" pivotButton="0" quotePrefix="0" xfId="50">
      <alignment horizontal="right" vertical="bottom"/>
    </xf>
    <xf numFmtId="166" fontId="21" fillId="8" borderId="6" applyAlignment="1" pivotButton="0" quotePrefix="0" xfId="0">
      <alignment horizontal="right" vertical="bottom"/>
    </xf>
    <xf numFmtId="166" fontId="21" fillId="8" borderId="7" applyAlignment="1" pivotButton="0" quotePrefix="0" xfId="0">
      <alignment horizontal="right" vertical="center" wrapText="1"/>
    </xf>
    <xf numFmtId="166" fontId="21" fillId="8" borderId="5" applyAlignment="1" pivotButton="0" quotePrefix="0" xfId="0">
      <alignment horizontal="right" vertical="bottom"/>
    </xf>
    <xf numFmtId="196" fontId="31" fillId="5" borderId="7" applyAlignment="1" pivotButton="0" quotePrefix="0" xfId="50">
      <alignment horizontal="left" vertical="bottom" wrapText="1"/>
    </xf>
    <xf numFmtId="174" fontId="35" fillId="0" borderId="0" applyAlignment="1" pivotButton="0" quotePrefix="0" xfId="39">
      <alignment horizontal="general" vertical="bottom"/>
    </xf>
    <xf numFmtId="170" fontId="5" fillId="0" borderId="0" applyAlignment="1" pivotButton="0" quotePrefix="0" xfId="39">
      <alignment horizontal="left" vertical="bottom" wrapText="1"/>
    </xf>
    <xf numFmtId="174" fontId="35" fillId="0" borderId="13" applyAlignment="1" pivotButton="0" quotePrefix="0" xfId="39">
      <alignment horizontal="general" vertical="bottom"/>
    </xf>
    <xf numFmtId="170" fontId="5" fillId="0" borderId="13" applyAlignment="1" pivotButton="0" quotePrefix="0" xfId="39">
      <alignment horizontal="left" vertical="bottom" wrapText="1"/>
    </xf>
    <xf numFmtId="170" fontId="5" fillId="0" borderId="0" applyAlignment="1" pivotButton="0" quotePrefix="0" xfId="39">
      <alignment horizontal="left" vertical="top" wrapText="1"/>
    </xf>
    <xf numFmtId="170" fontId="5" fillId="0" borderId="13" applyAlignment="1" pivotButton="0" quotePrefix="0" xfId="39">
      <alignment horizontal="left" vertical="top" wrapText="1"/>
    </xf>
    <xf numFmtId="167" fontId="5" fillId="4" borderId="0" applyAlignment="1" pivotButton="0" quotePrefix="0" xfId="39">
      <alignment horizontal="right" vertical="bottom"/>
    </xf>
    <xf numFmtId="168" fontId="35" fillId="4" borderId="0" applyAlignment="1" pivotButton="0" quotePrefix="0" xfId="39">
      <alignment horizontal="right" vertical="bottom"/>
    </xf>
    <xf numFmtId="0" fontId="5" fillId="0" borderId="0" applyAlignment="1" pivotButton="0" quotePrefix="0" xfId="39">
      <alignment horizontal="general" vertical="top" wrapText="1"/>
    </xf>
    <xf numFmtId="0" fontId="5" fillId="4" borderId="13" applyAlignment="1" pivotButton="0" quotePrefix="0" xfId="39">
      <alignment horizontal="left" vertical="bottom"/>
    </xf>
    <xf numFmtId="170" fontId="5" fillId="4" borderId="13" applyAlignment="1" pivotButton="0" quotePrefix="0" xfId="39">
      <alignment horizontal="general" vertical="bottom"/>
    </xf>
    <xf numFmtId="170" fontId="5" fillId="4" borderId="24" applyAlignment="1" pivotButton="0" quotePrefix="0" xfId="39">
      <alignment horizontal="general" vertical="bottom"/>
    </xf>
    <xf numFmtId="170" fontId="5" fillId="4" borderId="25" applyAlignment="1" pivotButton="0" quotePrefix="0" xfId="39">
      <alignment horizontal="general" vertical="bottom"/>
    </xf>
    <xf numFmtId="170" fontId="5" fillId="4" borderId="59" applyAlignment="1" pivotButton="0" quotePrefix="0" xfId="39">
      <alignment horizontal="general" vertical="bottom"/>
    </xf>
    <xf numFmtId="174" fontId="35" fillId="4" borderId="13" applyAlignment="1" pivotButton="0" quotePrefix="0" xfId="39">
      <alignment horizontal="general" vertical="bottom"/>
    </xf>
    <xf numFmtId="170" fontId="5" fillId="4" borderId="13" applyAlignment="1" pivotButton="0" quotePrefix="0" xfId="39">
      <alignment horizontal="left" vertical="top" wrapText="1"/>
    </xf>
    <xf numFmtId="170" fontId="5" fillId="4" borderId="0" applyAlignment="1" pivotButton="0" quotePrefix="0" xfId="39">
      <alignment horizontal="left" vertical="top" wrapText="1"/>
    </xf>
    <xf numFmtId="167" fontId="34" fillId="7" borderId="0" applyAlignment="1" pivotButton="0" quotePrefix="0" xfId="50">
      <alignment horizontal="right" vertical="center"/>
    </xf>
    <xf numFmtId="167" fontId="34" fillId="7" borderId="23" applyAlignment="1" pivotButton="0" quotePrefix="0" xfId="50">
      <alignment horizontal="right" vertical="center"/>
    </xf>
    <xf numFmtId="167" fontId="34" fillId="7" borderId="4" applyAlignment="1" pivotButton="0" quotePrefix="0" xfId="50">
      <alignment horizontal="right" vertical="center"/>
    </xf>
    <xf numFmtId="167" fontId="34" fillId="7" borderId="58" applyAlignment="1" pivotButton="0" quotePrefix="0" xfId="50">
      <alignment horizontal="right" vertical="center"/>
    </xf>
    <xf numFmtId="168" fontId="47" fillId="7" borderId="0" applyAlignment="1" pivotButton="0" quotePrefix="0" xfId="50">
      <alignment horizontal="right" vertical="center"/>
    </xf>
    <xf numFmtId="167" fontId="34" fillId="7" borderId="0" applyAlignment="1" pivotButton="0" quotePrefix="0" xfId="50">
      <alignment horizontal="left" vertical="top" wrapText="1"/>
    </xf>
    <xf numFmtId="0" fontId="19" fillId="4" borderId="0" applyAlignment="1" pivotButton="0" quotePrefix="0" xfId="50">
      <alignment horizontal="left" vertical="center"/>
    </xf>
    <xf numFmtId="167" fontId="25" fillId="4" borderId="0" applyAlignment="1" pivotButton="0" quotePrefix="0" xfId="50">
      <alignment horizontal="right" vertical="center"/>
    </xf>
    <xf numFmtId="167" fontId="19" fillId="4" borderId="0" applyAlignment="1" pivotButton="0" quotePrefix="0" xfId="50">
      <alignment horizontal="right" vertical="center"/>
    </xf>
    <xf numFmtId="167" fontId="19" fillId="4" borderId="23" applyAlignment="1" pivotButton="0" quotePrefix="0" xfId="50">
      <alignment horizontal="right" vertical="center"/>
    </xf>
    <xf numFmtId="167" fontId="19" fillId="4" borderId="4" applyAlignment="1" pivotButton="0" quotePrefix="0" xfId="50">
      <alignment horizontal="right" vertical="center"/>
    </xf>
    <xf numFmtId="167" fontId="19" fillId="0" borderId="58" applyAlignment="1" pivotButton="0" quotePrefix="0" xfId="50">
      <alignment horizontal="right" vertical="center"/>
    </xf>
    <xf numFmtId="167" fontId="19" fillId="0" borderId="0" applyAlignment="1" pivotButton="0" quotePrefix="0" xfId="50">
      <alignment horizontal="right" vertical="center"/>
    </xf>
    <xf numFmtId="168" fontId="25" fillId="0" borderId="0" applyAlignment="1" pivotButton="0" quotePrefix="0" xfId="50">
      <alignment horizontal="right" vertical="center"/>
    </xf>
    <xf numFmtId="167" fontId="19" fillId="4" borderId="0" applyAlignment="1" pivotButton="0" quotePrefix="0" xfId="50">
      <alignment horizontal="left" vertical="top" wrapText="1"/>
    </xf>
    <xf numFmtId="0" fontId="25" fillId="7" borderId="0" applyAlignment="1" pivotButton="0" quotePrefix="0" xfId="50">
      <alignment horizontal="left" vertical="center"/>
    </xf>
    <xf numFmtId="0" fontId="19" fillId="7" borderId="0" applyAlignment="1" pivotButton="0" quotePrefix="0" xfId="50">
      <alignment horizontal="left" vertical="center"/>
    </xf>
    <xf numFmtId="168" fontId="25" fillId="7" borderId="0" applyAlignment="1" pivotButton="0" quotePrefix="0" xfId="50">
      <alignment horizontal="right" vertical="center"/>
    </xf>
    <xf numFmtId="168" fontId="25" fillId="7" borderId="23" applyAlignment="1" pivotButton="0" quotePrefix="0" xfId="50">
      <alignment horizontal="right" vertical="center"/>
    </xf>
    <xf numFmtId="168" fontId="25" fillId="7" borderId="4" applyAlignment="1" pivotButton="0" quotePrefix="0" xfId="50">
      <alignment horizontal="right" vertical="center"/>
    </xf>
    <xf numFmtId="168" fontId="25" fillId="7" borderId="58" applyAlignment="1" pivotButton="0" quotePrefix="0" xfId="50">
      <alignment horizontal="right" vertical="center"/>
    </xf>
    <xf numFmtId="168" fontId="25" fillId="7" borderId="0" applyAlignment="1" pivotButton="0" quotePrefix="0" xfId="50">
      <alignment horizontal="left" vertical="top" wrapText="1"/>
    </xf>
    <xf numFmtId="0" fontId="23" fillId="4" borderId="0" applyAlignment="1" pivotButton="0" quotePrefix="0" xfId="71">
      <alignment horizontal="left" vertical="center"/>
    </xf>
    <xf numFmtId="0" fontId="23" fillId="4" borderId="0" applyAlignment="1" pivotButton="0" quotePrefix="0" xfId="50">
      <alignment horizontal="left" vertical="center"/>
    </xf>
    <xf numFmtId="0" fontId="19" fillId="4" borderId="0" applyAlignment="1" pivotButton="0" quotePrefix="0" xfId="50">
      <alignment horizontal="left" vertical="center" indent="1"/>
    </xf>
    <xf numFmtId="0" fontId="31" fillId="8" borderId="15" applyAlignment="1" pivotButton="0" quotePrefix="0" xfId="50">
      <alignment horizontal="center" vertical="center"/>
    </xf>
    <xf numFmtId="167" fontId="19" fillId="0" borderId="23" applyAlignment="1" pivotButton="0" quotePrefix="0" xfId="50">
      <alignment horizontal="right" vertical="center"/>
    </xf>
    <xf numFmtId="167" fontId="19" fillId="0" borderId="4" applyAlignment="1" pivotButton="0" quotePrefix="0" xfId="50">
      <alignment horizontal="right" vertical="center"/>
    </xf>
    <xf numFmtId="0" fontId="31" fillId="8" borderId="12" applyAlignment="1" pivotButton="0" quotePrefix="0" xfId="50">
      <alignment horizontal="center" vertical="center"/>
    </xf>
    <xf numFmtId="0" fontId="31" fillId="8" borderId="10" applyAlignment="1" pivotButton="0" quotePrefix="0" xfId="50">
      <alignment horizontal="center" vertical="center"/>
    </xf>
    <xf numFmtId="0" fontId="19" fillId="4" borderId="0" applyAlignment="1" pivotButton="0" quotePrefix="0" xfId="50">
      <alignment horizontal="left" vertical="center" indent="2"/>
    </xf>
    <xf numFmtId="0" fontId="19" fillId="4" borderId="13" applyAlignment="1" pivotButton="0" quotePrefix="0" xfId="50">
      <alignment horizontal="left" vertical="center" indent="2"/>
    </xf>
    <xf numFmtId="167" fontId="19" fillId="4" borderId="13" applyAlignment="1" pivotButton="0" quotePrefix="0" xfId="50">
      <alignment horizontal="right" vertical="center"/>
    </xf>
    <xf numFmtId="167" fontId="19" fillId="4" borderId="24" applyAlignment="1" pivotButton="0" quotePrefix="0" xfId="50">
      <alignment horizontal="right" vertical="center"/>
    </xf>
    <xf numFmtId="167" fontId="19" fillId="4" borderId="25" applyAlignment="1" pivotButton="0" quotePrefix="0" xfId="50">
      <alignment horizontal="right" vertical="center"/>
    </xf>
    <xf numFmtId="167" fontId="19" fillId="4" borderId="59" applyAlignment="1" pivotButton="0" quotePrefix="0" xfId="50">
      <alignment horizontal="right" vertical="center"/>
    </xf>
    <xf numFmtId="168" fontId="25" fillId="4" borderId="13" applyAlignment="1" pivotButton="0" quotePrefix="0" xfId="50">
      <alignment horizontal="right" vertical="center"/>
    </xf>
    <xf numFmtId="167" fontId="19" fillId="4" borderId="13" applyAlignment="1" pivotButton="0" quotePrefix="0" xfId="50">
      <alignment horizontal="left" vertical="top" wrapText="1"/>
    </xf>
    <xf numFmtId="0" fontId="19" fillId="4" borderId="13" applyAlignment="1" pivotButton="0" quotePrefix="0" xfId="50">
      <alignment horizontal="left" vertical="center"/>
    </xf>
    <xf numFmtId="0" fontId="31" fillId="4" borderId="17" applyAlignment="1" pivotButton="0" quotePrefix="0" xfId="50">
      <alignment horizontal="center" vertical="center"/>
    </xf>
    <xf numFmtId="0" fontId="26" fillId="4" borderId="0" applyAlignment="1" pivotButton="0" quotePrefix="0" xfId="50">
      <alignment horizontal="general" vertical="bottom"/>
    </xf>
    <xf numFmtId="167" fontId="19" fillId="0" borderId="59" applyAlignment="1" pivotButton="0" quotePrefix="0" xfId="50">
      <alignment horizontal="right" vertical="center"/>
    </xf>
    <xf numFmtId="167" fontId="19" fillId="0" borderId="13" applyAlignment="1" pivotButton="0" quotePrefix="0" xfId="50">
      <alignment horizontal="right" vertical="center"/>
    </xf>
    <xf numFmtId="168" fontId="25" fillId="0" borderId="13" applyAlignment="1" pivotButton="0" quotePrefix="0" xfId="50">
      <alignment horizontal="right" vertical="center"/>
    </xf>
    <xf numFmtId="0" fontId="7" fillId="0" borderId="0" applyAlignment="1" pivotButton="0" quotePrefix="0" xfId="57">
      <alignment horizontal="left" vertical="bottom" indent="2"/>
    </xf>
    <xf numFmtId="0" fontId="7" fillId="4" borderId="13" applyAlignment="1" pivotButton="0" quotePrefix="0" xfId="57">
      <alignment horizontal="left" vertical="bottom" indent="2"/>
    </xf>
    <xf numFmtId="0" fontId="31" fillId="8" borderId="0" applyAlignment="1" pivotButton="0" quotePrefix="0" xfId="50">
      <alignment horizontal="center" vertical="center"/>
    </xf>
    <xf numFmtId="0" fontId="31" fillId="4" borderId="13" applyAlignment="1" pivotButton="0" quotePrefix="0" xfId="50">
      <alignment horizontal="center" vertical="center"/>
    </xf>
    <xf numFmtId="0" fontId="25" fillId="7" borderId="3" applyAlignment="1" pivotButton="0" quotePrefix="0" xfId="50">
      <alignment horizontal="left" vertical="center"/>
    </xf>
    <xf numFmtId="168" fontId="25" fillId="7" borderId="3" applyAlignment="1" pivotButton="0" quotePrefix="0" xfId="50">
      <alignment horizontal="right" vertical="center"/>
    </xf>
    <xf numFmtId="168" fontId="25" fillId="7" borderId="28" applyAlignment="1" pivotButton="0" quotePrefix="0" xfId="50">
      <alignment horizontal="right" vertical="center"/>
    </xf>
    <xf numFmtId="168" fontId="25" fillId="7" borderId="30" applyAlignment="1" pivotButton="0" quotePrefix="0" xfId="50">
      <alignment horizontal="right" vertical="center"/>
    </xf>
    <xf numFmtId="168" fontId="25" fillId="7" borderId="71" applyAlignment="1" pivotButton="0" quotePrefix="0" xfId="50">
      <alignment horizontal="right" vertical="center"/>
    </xf>
    <xf numFmtId="168" fontId="25" fillId="7" borderId="3" applyAlignment="1" pivotButton="0" quotePrefix="0" xfId="50">
      <alignment horizontal="left" vertical="top" wrapText="1"/>
    </xf>
    <xf numFmtId="0" fontId="7" fillId="0" borderId="0" applyAlignment="1" pivotButton="0" quotePrefix="0" xfId="57">
      <alignment horizontal="left" vertical="top" wrapText="1"/>
    </xf>
    <xf numFmtId="0" fontId="22" fillId="0" borderId="2" applyAlignment="1" pivotButton="0" quotePrefix="0" xfId="57">
      <alignment horizontal="general" vertical="bottom"/>
    </xf>
    <xf numFmtId="49" fontId="47" fillId="4" borderId="2" applyAlignment="1" applyProtection="1" pivotButton="0" quotePrefix="0" xfId="50">
      <alignment horizontal="left" vertical="center"/>
      <protection locked="0" hidden="0"/>
    </xf>
    <xf numFmtId="167" fontId="47" fillId="4" borderId="2" applyAlignment="1" applyProtection="1" pivotButton="0" quotePrefix="0" xfId="50">
      <alignment horizontal="right" vertical="center"/>
      <protection locked="0" hidden="0"/>
    </xf>
    <xf numFmtId="167" fontId="25" fillId="4" borderId="2" applyAlignment="1" applyProtection="1" pivotButton="0" quotePrefix="0" xfId="50">
      <alignment horizontal="right" vertical="center"/>
      <protection locked="0" hidden="0"/>
    </xf>
    <xf numFmtId="167" fontId="47" fillId="4" borderId="0" applyAlignment="1" applyProtection="1" pivotButton="0" quotePrefix="0" xfId="50">
      <alignment horizontal="right" vertical="center"/>
      <protection locked="0" hidden="0"/>
    </xf>
    <xf numFmtId="171" fontId="35" fillId="0" borderId="0" applyAlignment="1" pivotButton="0" quotePrefix="0" xfId="50">
      <alignment horizontal="general" vertical="bottom"/>
    </xf>
    <xf numFmtId="167" fontId="25" fillId="4" borderId="2" applyAlignment="1" applyProtection="1" pivotButton="0" quotePrefix="0" xfId="50">
      <alignment horizontal="left" vertical="top" wrapText="1"/>
      <protection locked="0" hidden="0"/>
    </xf>
    <xf numFmtId="49" fontId="47" fillId="4" borderId="0" applyAlignment="1" applyProtection="1" pivotButton="0" quotePrefix="0" xfId="50">
      <alignment horizontal="left" vertical="center"/>
      <protection locked="0" hidden="0"/>
    </xf>
    <xf numFmtId="167" fontId="25" fillId="4" borderId="0" applyAlignment="1" applyProtection="1" pivotButton="0" quotePrefix="0" xfId="50">
      <alignment horizontal="right" vertical="center"/>
      <protection locked="0" hidden="0"/>
    </xf>
    <xf numFmtId="167" fontId="25" fillId="4" borderId="0" applyAlignment="1" applyProtection="1" pivotButton="0" quotePrefix="0" xfId="50">
      <alignment horizontal="left" vertical="top" wrapText="1"/>
      <protection locked="0" hidden="0"/>
    </xf>
    <xf numFmtId="0" fontId="22" fillId="0" borderId="13" applyAlignment="1" pivotButton="0" quotePrefix="0" xfId="57">
      <alignment horizontal="general" vertical="bottom"/>
    </xf>
    <xf numFmtId="167" fontId="22" fillId="0" borderId="13" applyAlignment="1" pivotButton="0" quotePrefix="0" xfId="57">
      <alignment horizontal="general" vertical="bottom"/>
    </xf>
    <xf numFmtId="167" fontId="22" fillId="0" borderId="13" applyAlignment="1" pivotButton="0" quotePrefix="0" xfId="57">
      <alignment horizontal="left" vertical="bottom" wrapText="1"/>
    </xf>
    <xf numFmtId="0" fontId="31" fillId="8" borderId="21" applyAlignment="1" pivotButton="0" quotePrefix="0" xfId="50">
      <alignment horizontal="center" vertical="bottom"/>
    </xf>
    <xf numFmtId="196" fontId="31" fillId="8" borderId="5" applyAlignment="1" pivotButton="0" quotePrefix="0" xfId="50">
      <alignment horizontal="right" vertical="bottom"/>
    </xf>
    <xf numFmtId="196" fontId="31" fillId="8" borderId="6" applyAlignment="1" pivotButton="0" quotePrefix="0" xfId="50">
      <alignment horizontal="right" vertical="bottom"/>
    </xf>
    <xf numFmtId="0" fontId="7" fillId="0" borderId="0" applyAlignment="1" pivotButton="0" quotePrefix="0" xfId="57">
      <alignment horizontal="left" vertical="bottom" indent="1"/>
    </xf>
    <xf numFmtId="0" fontId="31" fillId="6" borderId="0" applyAlignment="1" pivotButton="0" quotePrefix="0" xfId="57">
      <alignment horizontal="center" vertical="center"/>
    </xf>
    <xf numFmtId="0" fontId="7" fillId="0" borderId="0" applyAlignment="1" pivotButton="0" quotePrefix="0" xfId="57">
      <alignment horizontal="right" vertical="bottom"/>
    </xf>
    <xf numFmtId="0" fontId="7" fillId="0" borderId="23" applyAlignment="1" pivotButton="0" quotePrefix="0" xfId="57">
      <alignment horizontal="right" vertical="bottom"/>
    </xf>
    <xf numFmtId="0" fontId="7" fillId="0" borderId="4" applyAlignment="1" pivotButton="0" quotePrefix="0" xfId="57">
      <alignment horizontal="right" vertical="bottom"/>
    </xf>
    <xf numFmtId="0" fontId="7" fillId="4" borderId="3" applyAlignment="1" pivotButton="0" quotePrefix="0" xfId="57">
      <alignment horizontal="general" vertical="bottom"/>
    </xf>
    <xf numFmtId="0" fontId="7" fillId="4" borderId="28" applyAlignment="1" pivotButton="0" quotePrefix="0" xfId="57">
      <alignment horizontal="general" vertical="bottom"/>
    </xf>
    <xf numFmtId="0" fontId="7" fillId="4" borderId="30" applyAlignment="1" pivotButton="0" quotePrefix="0" xfId="57">
      <alignment horizontal="general" vertical="bottom"/>
    </xf>
    <xf numFmtId="0" fontId="7" fillId="4" borderId="3" applyAlignment="1" pivotButton="0" quotePrefix="0" xfId="57">
      <alignment horizontal="left" vertical="bottom" wrapText="1"/>
    </xf>
    <xf numFmtId="49" fontId="23" fillId="4" borderId="2" applyAlignment="1" applyProtection="1" pivotButton="0" quotePrefix="0" xfId="50">
      <alignment horizontal="left" vertical="center"/>
      <protection locked="0" hidden="0"/>
    </xf>
    <xf numFmtId="0" fontId="7" fillId="0" borderId="2" applyAlignment="1" pivotButton="0" quotePrefix="0" xfId="57">
      <alignment horizontal="general" vertical="bottom"/>
    </xf>
    <xf numFmtId="0" fontId="7" fillId="0" borderId="26" applyAlignment="1" pivotButton="0" quotePrefix="0" xfId="57">
      <alignment horizontal="general" vertical="bottom"/>
    </xf>
    <xf numFmtId="49" fontId="19" fillId="4" borderId="0" applyAlignment="1" applyProtection="1" pivotButton="0" quotePrefix="0" xfId="50">
      <alignment horizontal="left" vertical="center"/>
      <protection locked="0" hidden="0"/>
    </xf>
    <xf numFmtId="189" fontId="7" fillId="0" borderId="0" applyAlignment="1" pivotButton="0" quotePrefix="0" xfId="57">
      <alignment horizontal="general" vertical="bottom"/>
    </xf>
    <xf numFmtId="189" fontId="7" fillId="0" borderId="23" applyAlignment="1" pivotButton="0" quotePrefix="0" xfId="57">
      <alignment horizontal="general" vertical="bottom"/>
    </xf>
    <xf numFmtId="49" fontId="19" fillId="0" borderId="0" applyAlignment="1" applyProtection="1" pivotButton="0" quotePrefix="0" xfId="50">
      <alignment horizontal="left" vertical="center"/>
      <protection locked="0" hidden="0"/>
    </xf>
    <xf numFmtId="49" fontId="19" fillId="0" borderId="0" applyAlignment="1" applyProtection="1" pivotButton="0" quotePrefix="0" xfId="50">
      <alignment horizontal="left" vertical="center" indent="1"/>
      <protection locked="0" hidden="0"/>
    </xf>
    <xf numFmtId="49" fontId="19" fillId="4" borderId="13" applyAlignment="1" applyProtection="1" pivotButton="0" quotePrefix="0" xfId="50">
      <alignment horizontal="left" vertical="center" indent="1"/>
      <protection locked="0" hidden="0"/>
    </xf>
    <xf numFmtId="189" fontId="7" fillId="4" borderId="13" applyAlignment="1" pivotButton="0" quotePrefix="0" xfId="57">
      <alignment horizontal="general" vertical="bottom"/>
    </xf>
    <xf numFmtId="189" fontId="7" fillId="4" borderId="24" applyAlignment="1" pivotButton="0" quotePrefix="0" xfId="57">
      <alignment horizontal="general" vertical="bottom"/>
    </xf>
    <xf numFmtId="49" fontId="19" fillId="0" borderId="13" applyAlignment="1" applyProtection="1" pivotButton="0" quotePrefix="0" xfId="50">
      <alignment horizontal="left" vertical="center"/>
      <protection locked="0" hidden="0"/>
    </xf>
    <xf numFmtId="189" fontId="7" fillId="0" borderId="13" applyAlignment="1" pivotButton="0" quotePrefix="0" xfId="57">
      <alignment horizontal="general" vertical="bottom"/>
    </xf>
    <xf numFmtId="189" fontId="7" fillId="0" borderId="24" applyAlignment="1" pivotButton="0" quotePrefix="0" xfId="57">
      <alignment horizontal="general" vertical="bottom"/>
    </xf>
    <xf numFmtId="167" fontId="19" fillId="16" borderId="0" applyAlignment="1" applyProtection="1" pivotButton="0" quotePrefix="0" xfId="50">
      <alignment horizontal="right" vertical="center"/>
      <protection locked="0" hidden="0"/>
    </xf>
    <xf numFmtId="189" fontId="19" fillId="4" borderId="0" applyAlignment="1" applyProtection="1" pivotButton="0" quotePrefix="0" xfId="50">
      <alignment horizontal="right" vertical="center"/>
      <protection locked="0" hidden="0"/>
    </xf>
    <xf numFmtId="167" fontId="19" fillId="16" borderId="13" applyAlignment="1" applyProtection="1" pivotButton="0" quotePrefix="0" xfId="50">
      <alignment horizontal="right" vertical="center"/>
      <protection locked="0" hidden="0"/>
    </xf>
    <xf numFmtId="49" fontId="34" fillId="7" borderId="2" applyAlignment="1" applyProtection="1" pivotButton="0" quotePrefix="0" xfId="50">
      <alignment horizontal="left" vertical="center"/>
      <protection locked="0" hidden="0"/>
    </xf>
    <xf numFmtId="167" fontId="34" fillId="7" borderId="2" applyAlignment="1" applyProtection="1" pivotButton="0" quotePrefix="0" xfId="50">
      <alignment horizontal="right" vertical="center"/>
      <protection locked="0" hidden="0"/>
    </xf>
    <xf numFmtId="189" fontId="34" fillId="7" borderId="2" applyAlignment="1" applyProtection="1" pivotButton="0" quotePrefix="0" xfId="50">
      <alignment horizontal="right" vertical="center"/>
      <protection locked="0" hidden="0"/>
    </xf>
    <xf numFmtId="189" fontId="37" fillId="7" borderId="0" applyAlignment="1" pivotButton="0" quotePrefix="0" xfId="57">
      <alignment horizontal="general" vertical="bottom"/>
    </xf>
    <xf numFmtId="189" fontId="37" fillId="7" borderId="23" applyAlignment="1" pivotButton="0" quotePrefix="0" xfId="57">
      <alignment horizontal="general" vertical="bottom"/>
    </xf>
    <xf numFmtId="189" fontId="37" fillId="7" borderId="3" applyAlignment="1" pivotButton="0" quotePrefix="0" xfId="57">
      <alignment horizontal="general" vertical="bottom"/>
    </xf>
    <xf numFmtId="189" fontId="37" fillId="7" borderId="28" applyAlignment="1" pivotButton="0" quotePrefix="0" xfId="57">
      <alignment horizontal="general" vertical="bottom"/>
    </xf>
    <xf numFmtId="0" fontId="7" fillId="4" borderId="33" applyAlignment="1" pivotButton="0" quotePrefix="0" xfId="57">
      <alignment horizontal="general" vertical="bottom"/>
    </xf>
    <xf numFmtId="196" fontId="21" fillId="5" borderId="0" applyAlignment="1" pivotButton="0" quotePrefix="0" xfId="0">
      <alignment horizontal="right" vertical="bottom"/>
    </xf>
    <xf numFmtId="196" fontId="21" fillId="5" borderId="20" applyAlignment="1" pivotButton="0" quotePrefix="0" xfId="0">
      <alignment horizontal="right" vertical="bottom"/>
    </xf>
    <xf numFmtId="196" fontId="21" fillId="5" borderId="6" applyAlignment="1" pivotButton="0" quotePrefix="0" xfId="0">
      <alignment horizontal="right" vertical="bottom"/>
    </xf>
    <xf numFmtId="166" fontId="21" fillId="8" borderId="7" applyAlignment="1" pivotButton="0" quotePrefix="0" xfId="0">
      <alignment horizontal="right" vertical="bottom" wrapText="1"/>
    </xf>
    <xf numFmtId="0" fontId="64" fillId="0" borderId="0" applyAlignment="1" pivotButton="0" quotePrefix="0" xfId="0">
      <alignment horizontal="general" vertical="bottom"/>
    </xf>
    <xf numFmtId="0" fontId="5" fillId="4" borderId="56" applyAlignment="1" pivotButton="0" quotePrefix="0" xfId="0">
      <alignment horizontal="left" vertical="bottom" indent="1"/>
    </xf>
    <xf numFmtId="0" fontId="5" fillId="4" borderId="56" applyAlignment="1" pivotButton="0" quotePrefix="0" xfId="0">
      <alignment horizontal="general" vertical="bottom"/>
    </xf>
    <xf numFmtId="167" fontId="5" fillId="4" borderId="56" applyAlignment="1" pivotButton="0" quotePrefix="0" xfId="0">
      <alignment horizontal="right" vertical="bottom"/>
    </xf>
    <xf numFmtId="167" fontId="5" fillId="4" borderId="74" applyAlignment="1" pivotButton="0" quotePrefix="0" xfId="0">
      <alignment horizontal="right" vertical="bottom"/>
    </xf>
    <xf numFmtId="167" fontId="5" fillId="4" borderId="57" applyAlignment="1" pivotButton="0" quotePrefix="0" xfId="0">
      <alignment horizontal="right" vertical="bottom"/>
    </xf>
    <xf numFmtId="196" fontId="21" fillId="5" borderId="5" applyAlignment="1" pivotButton="0" quotePrefix="0" xfId="0">
      <alignment horizontal="right" vertical="bottom"/>
    </xf>
    <xf numFmtId="0" fontId="34" fillId="7" borderId="0" applyAlignment="1" pivotButton="0" quotePrefix="0" xfId="0">
      <alignment horizontal="left" vertical="center"/>
    </xf>
    <xf numFmtId="0" fontId="34" fillId="7" borderId="0" applyAlignment="1" pivotButton="0" quotePrefix="0" xfId="0">
      <alignment horizontal="general" vertical="center"/>
    </xf>
    <xf numFmtId="167" fontId="34" fillId="7" borderId="0" applyAlignment="1" pivotButton="0" quotePrefix="0" xfId="0">
      <alignment horizontal="right" vertical="center"/>
    </xf>
    <xf numFmtId="0" fontId="25" fillId="7" borderId="0" applyAlignment="1" pivotButton="0" quotePrefix="0" xfId="0">
      <alignment horizontal="left" vertical="center"/>
    </xf>
    <xf numFmtId="0" fontId="25" fillId="7" borderId="0" applyAlignment="1" pivotButton="0" quotePrefix="0" xfId="0">
      <alignment horizontal="general" vertical="center"/>
    </xf>
    <xf numFmtId="167" fontId="25" fillId="7" borderId="0" applyAlignment="1" pivotButton="0" quotePrefix="0" xfId="0">
      <alignment horizontal="right" vertical="center"/>
    </xf>
    <xf numFmtId="167" fontId="38" fillId="0" borderId="36" applyAlignment="1" pivotButton="0" quotePrefix="0" xfId="0">
      <alignment horizontal="general" vertical="bottom"/>
    </xf>
    <xf numFmtId="167" fontId="5" fillId="7" borderId="23" applyAlignment="1" pivotButton="0" quotePrefix="0" xfId="0">
      <alignment horizontal="right" vertical="bottom"/>
    </xf>
    <xf numFmtId="170" fontId="5" fillId="0" borderId="0" applyAlignment="1" pivotButton="0" quotePrefix="0" xfId="0">
      <alignment horizontal="left" vertical="bottom" indent="4"/>
    </xf>
    <xf numFmtId="170" fontId="5" fillId="0" borderId="13" applyAlignment="1" pivotButton="0" quotePrefix="0" xfId="0">
      <alignment horizontal="left" vertical="bottom" indent="4"/>
    </xf>
    <xf numFmtId="167" fontId="5" fillId="7" borderId="24" applyAlignment="1" pivotButton="0" quotePrefix="0" xfId="0">
      <alignment horizontal="right" vertical="bottom"/>
    </xf>
    <xf numFmtId="167" fontId="5" fillId="14" borderId="0" applyAlignment="1" pivotButton="0" quotePrefix="0" xfId="0">
      <alignment horizontal="right" vertical="bottom"/>
    </xf>
    <xf numFmtId="167" fontId="5" fillId="14" borderId="23" applyAlignment="1" pivotButton="0" quotePrefix="0" xfId="0">
      <alignment horizontal="right" vertical="bottom"/>
    </xf>
    <xf numFmtId="167" fontId="5" fillId="14" borderId="4" applyAlignment="1" pivotButton="0" quotePrefix="0" xfId="0">
      <alignment horizontal="right" vertical="bottom"/>
    </xf>
    <xf numFmtId="167" fontId="5" fillId="0" borderId="26" applyAlignment="1" pivotButton="0" quotePrefix="0" xfId="0">
      <alignment horizontal="right" vertical="bottom"/>
    </xf>
    <xf numFmtId="167" fontId="5" fillId="0" borderId="27" applyAlignment="1" pivotButton="0" quotePrefix="0" xfId="0">
      <alignment horizontal="right" vertical="bottom"/>
    </xf>
    <xf numFmtId="0" fontId="5" fillId="7" borderId="23" applyAlignment="1" pivotButton="0" quotePrefix="0" xfId="0">
      <alignment horizontal="general" vertical="bottom"/>
    </xf>
    <xf numFmtId="0" fontId="5" fillId="7" borderId="13" applyAlignment="1" pivotButton="0" quotePrefix="0" xfId="0">
      <alignment horizontal="general" vertical="bottom"/>
    </xf>
    <xf numFmtId="0" fontId="5" fillId="7" borderId="24" applyAlignment="1" pivotButton="0" quotePrefix="0" xfId="0">
      <alignment horizontal="general" vertical="bottom"/>
    </xf>
    <xf numFmtId="0" fontId="23" fillId="4" borderId="0" applyAlignment="1" pivotButton="0" quotePrefix="0" xfId="0">
      <alignment horizontal="general" vertical="bottom"/>
    </xf>
    <xf numFmtId="167" fontId="5" fillId="7" borderId="59" applyAlignment="1" pivotButton="0" quotePrefix="0" xfId="0">
      <alignment horizontal="right" vertical="bottom"/>
    </xf>
    <xf numFmtId="170" fontId="19" fillId="4" borderId="0" applyAlignment="1" pivotButton="0" quotePrefix="0" xfId="0">
      <alignment horizontal="left" vertical="bottom" indent="1"/>
    </xf>
    <xf numFmtId="173" fontId="19" fillId="7" borderId="4" applyAlignment="1" pivotButton="0" quotePrefix="0" xfId="0">
      <alignment horizontal="general" vertical="bottom"/>
    </xf>
    <xf numFmtId="173" fontId="19" fillId="7" borderId="25" applyAlignment="1" pivotButton="0" quotePrefix="0" xfId="0">
      <alignment horizontal="general" vertical="bottom"/>
    </xf>
    <xf numFmtId="170" fontId="19" fillId="4" borderId="0" applyAlignment="1" pivotButton="0" quotePrefix="0" xfId="0">
      <alignment horizontal="left" vertical="bottom"/>
    </xf>
    <xf numFmtId="0" fontId="5" fillId="0" borderId="3" applyAlignment="1" pivotButton="0" quotePrefix="0" xfId="0">
      <alignment horizontal="left" vertical="bottom" indent="1"/>
    </xf>
    <xf numFmtId="0" fontId="5" fillId="7" borderId="3" applyAlignment="1" pivotButton="0" quotePrefix="0" xfId="0">
      <alignment horizontal="general" vertical="bottom"/>
    </xf>
    <xf numFmtId="0" fontId="31" fillId="6" borderId="12" applyAlignment="1" pivotButton="0" quotePrefix="0" xfId="0">
      <alignment horizontal="center" vertical="center"/>
    </xf>
    <xf numFmtId="167" fontId="5" fillId="14" borderId="13" applyAlignment="1" pivotButton="0" quotePrefix="0" xfId="0">
      <alignment horizontal="right" vertical="bottom"/>
    </xf>
    <xf numFmtId="167" fontId="5" fillId="14" borderId="24" applyAlignment="1" pivotButton="0" quotePrefix="0" xfId="0">
      <alignment horizontal="right" vertical="bottom"/>
    </xf>
    <xf numFmtId="167" fontId="5" fillId="14" borderId="25" applyAlignment="1" pivotButton="0" quotePrefix="0" xfId="0">
      <alignment horizontal="right" vertical="bottom"/>
    </xf>
    <xf numFmtId="0" fontId="31" fillId="6" borderId="15" applyAlignment="1" pivotButton="0" quotePrefix="0" xfId="0">
      <alignment horizontal="center" vertical="center"/>
    </xf>
    <xf numFmtId="0" fontId="31" fillId="6" borderId="17" applyAlignment="1" pivotButton="0" quotePrefix="0" xfId="0">
      <alignment horizontal="center" vertical="center"/>
    </xf>
    <xf numFmtId="173" fontId="19" fillId="14" borderId="0" applyAlignment="1" pivotButton="0" quotePrefix="0" xfId="0">
      <alignment horizontal="general" vertical="bottom"/>
    </xf>
    <xf numFmtId="173" fontId="19" fillId="14" borderId="23" applyAlignment="1" pivotButton="0" quotePrefix="0" xfId="0">
      <alignment horizontal="general" vertical="bottom"/>
    </xf>
    <xf numFmtId="173" fontId="19" fillId="14" borderId="4" applyAlignment="1" pivotButton="0" quotePrefix="0" xfId="0">
      <alignment horizontal="general" vertical="bottom"/>
    </xf>
    <xf numFmtId="173" fontId="34" fillId="7" borderId="0" applyAlignment="1" pivotButton="0" quotePrefix="0" xfId="0">
      <alignment horizontal="general" vertical="center"/>
    </xf>
    <xf numFmtId="0" fontId="34" fillId="7" borderId="22" applyAlignment="1" pivotButton="0" quotePrefix="0" xfId="0">
      <alignment horizontal="left" vertical="bottom"/>
    </xf>
    <xf numFmtId="173" fontId="34" fillId="7" borderId="22" applyAlignment="1" pivotButton="0" quotePrefix="0" xfId="0">
      <alignment horizontal="general" vertical="bottom"/>
    </xf>
    <xf numFmtId="173" fontId="34" fillId="7" borderId="34" applyAlignment="1" pivotButton="0" quotePrefix="0" xfId="0">
      <alignment horizontal="general" vertical="bottom"/>
    </xf>
    <xf numFmtId="173" fontId="34" fillId="7" borderId="35" applyAlignment="1" pivotButton="0" quotePrefix="0" xfId="0">
      <alignment horizontal="general" vertical="bottom"/>
    </xf>
    <xf numFmtId="168" fontId="35" fillId="4" borderId="0" applyAlignment="1" pivotButton="0" quotePrefix="0" xfId="50">
      <alignment horizontal="right" vertical="bottom"/>
    </xf>
    <xf numFmtId="0" fontId="31" fillId="8" borderId="19" applyAlignment="1" pivotButton="0" quotePrefix="0" xfId="50">
      <alignment horizontal="center" vertical="bottom"/>
    </xf>
    <xf numFmtId="0" fontId="31" fillId="5" borderId="13" applyAlignment="1" applyProtection="1" pivotButton="0" quotePrefix="0" xfId="50">
      <alignment horizontal="left" vertical="bottom"/>
      <protection locked="0" hidden="0"/>
    </xf>
    <xf numFmtId="196" fontId="31" fillId="5" borderId="13" applyAlignment="1" pivotButton="0" quotePrefix="0" xfId="50">
      <alignment horizontal="right" vertical="bottom"/>
    </xf>
    <xf numFmtId="196" fontId="31" fillId="5" borderId="76" applyAlignment="1" pivotButton="0" quotePrefix="0" xfId="50">
      <alignment horizontal="right" vertical="bottom"/>
    </xf>
    <xf numFmtId="196" fontId="31" fillId="5" borderId="77" applyAlignment="1" pivotButton="0" quotePrefix="0" xfId="50">
      <alignment horizontal="right" vertical="bottom"/>
    </xf>
    <xf numFmtId="196" fontId="31" fillId="8" borderId="78" applyAlignment="1" pivotButton="0" quotePrefix="0" xfId="50">
      <alignment horizontal="right" vertical="bottom"/>
    </xf>
    <xf numFmtId="196" fontId="31" fillId="8" borderId="79" applyAlignment="1" pivotButton="0" quotePrefix="0" xfId="50">
      <alignment horizontal="right" vertical="bottom"/>
    </xf>
    <xf numFmtId="196" fontId="31" fillId="8" borderId="80" applyAlignment="1" pivotButton="0" quotePrefix="0" xfId="50">
      <alignment horizontal="right" vertical="bottom"/>
    </xf>
    <xf numFmtId="196" fontId="31" fillId="8" borderId="79" applyAlignment="1" pivotButton="0" quotePrefix="0" xfId="50">
      <alignment horizontal="right" vertical="bottom" wrapText="1"/>
    </xf>
    <xf numFmtId="196" fontId="31" fillId="8" borderId="80" applyAlignment="1" pivotButton="0" quotePrefix="0" xfId="50">
      <alignment horizontal="right" vertical="bottom" wrapText="1"/>
    </xf>
    <xf numFmtId="167" fontId="34" fillId="4" borderId="0" applyAlignment="1" pivotButton="0" quotePrefix="0" xfId="50">
      <alignment horizontal="right" vertical="center"/>
    </xf>
    <xf numFmtId="167" fontId="34" fillId="4" borderId="23" applyAlignment="1" pivotButton="0" quotePrefix="0" xfId="50">
      <alignment horizontal="right" vertical="center"/>
    </xf>
    <xf numFmtId="167" fontId="34" fillId="4" borderId="2" applyAlignment="1" pivotButton="0" quotePrefix="0" xfId="50">
      <alignment horizontal="right" vertical="center"/>
    </xf>
    <xf numFmtId="167" fontId="34" fillId="4" borderId="27" applyAlignment="1" pivotButton="0" quotePrefix="0" xfId="50">
      <alignment horizontal="right" vertical="center"/>
    </xf>
    <xf numFmtId="167" fontId="34" fillId="0" borderId="0" applyAlignment="1" pivotButton="0" quotePrefix="0" xfId="50">
      <alignment horizontal="right" vertical="center"/>
    </xf>
    <xf numFmtId="167" fontId="34" fillId="0" borderId="4" applyAlignment="1" pivotButton="0" quotePrefix="0" xfId="50">
      <alignment horizontal="right" vertical="center"/>
    </xf>
    <xf numFmtId="167" fontId="7" fillId="0" borderId="0" applyAlignment="1" pivotButton="0" quotePrefix="0" xfId="50">
      <alignment horizontal="right" vertical="center"/>
    </xf>
    <xf numFmtId="167" fontId="7" fillId="4" borderId="23" applyAlignment="1" pivotButton="0" quotePrefix="0" xfId="50">
      <alignment horizontal="right" vertical="center"/>
    </xf>
    <xf numFmtId="167" fontId="7" fillId="4" borderId="4" applyAlignment="1" pivotButton="0" quotePrefix="0" xfId="50">
      <alignment horizontal="right" vertical="center"/>
    </xf>
    <xf numFmtId="168" fontId="22" fillId="0" borderId="0" applyAlignment="1" pivotButton="0" quotePrefix="0" xfId="57">
      <alignment horizontal="right" vertical="bottom"/>
    </xf>
    <xf numFmtId="0" fontId="7" fillId="4" borderId="13" applyAlignment="1" pivotButton="0" quotePrefix="0" xfId="50">
      <alignment horizontal="left" vertical="center" indent="1"/>
    </xf>
    <xf numFmtId="167" fontId="7" fillId="4" borderId="24" applyAlignment="1" pivotButton="0" quotePrefix="0" xfId="50">
      <alignment horizontal="right" vertical="center"/>
    </xf>
    <xf numFmtId="167" fontId="7" fillId="4" borderId="25" applyAlignment="1" pivotButton="0" quotePrefix="0" xfId="50">
      <alignment horizontal="right" vertical="center"/>
    </xf>
    <xf numFmtId="167" fontId="19" fillId="0" borderId="25" applyAlignment="1" pivotButton="0" quotePrefix="0" xfId="50">
      <alignment horizontal="right" vertical="center"/>
    </xf>
    <xf numFmtId="167" fontId="7" fillId="0" borderId="23" applyAlignment="1" pivotButton="0" quotePrefix="0" xfId="50">
      <alignment horizontal="right" vertical="center"/>
    </xf>
    <xf numFmtId="0" fontId="19" fillId="4" borderId="2" applyAlignment="1" pivotButton="0" quotePrefix="0" xfId="50">
      <alignment horizontal="left" vertical="center"/>
    </xf>
    <xf numFmtId="167" fontId="19" fillId="4" borderId="2" applyAlignment="1" pivotButton="0" quotePrefix="0" xfId="50">
      <alignment horizontal="right" vertical="center"/>
    </xf>
    <xf numFmtId="167" fontId="19" fillId="4" borderId="26" applyAlignment="1" pivotButton="0" quotePrefix="0" xfId="50">
      <alignment horizontal="right" vertical="center"/>
    </xf>
    <xf numFmtId="167" fontId="19" fillId="4" borderId="27" applyAlignment="1" pivotButton="0" quotePrefix="0" xfId="50">
      <alignment horizontal="right" vertical="center"/>
    </xf>
    <xf numFmtId="167" fontId="19" fillId="0" borderId="2" applyAlignment="1" pivotButton="0" quotePrefix="0" xfId="50">
      <alignment horizontal="right" vertical="center"/>
    </xf>
    <xf numFmtId="167" fontId="19" fillId="0" borderId="27" applyAlignment="1" pivotButton="0" quotePrefix="0" xfId="50">
      <alignment horizontal="right" vertical="center"/>
    </xf>
    <xf numFmtId="0" fontId="37" fillId="7" borderId="2" applyAlignment="1" pivotButton="0" quotePrefix="0" xfId="50">
      <alignment horizontal="left" vertical="center"/>
    </xf>
    <xf numFmtId="167" fontId="37" fillId="7" borderId="2" applyAlignment="1" pivotButton="0" quotePrefix="0" xfId="50">
      <alignment horizontal="right" vertical="center"/>
    </xf>
    <xf numFmtId="167" fontId="37" fillId="7" borderId="26" applyAlignment="1" pivotButton="0" quotePrefix="0" xfId="50">
      <alignment horizontal="right" vertical="center"/>
    </xf>
    <xf numFmtId="167" fontId="37" fillId="7" borderId="27" applyAlignment="1" pivotButton="0" quotePrefix="0" xfId="50">
      <alignment horizontal="right" vertical="center"/>
    </xf>
    <xf numFmtId="0" fontId="7" fillId="7" borderId="3" applyAlignment="1" pivotButton="0" quotePrefix="0" xfId="50">
      <alignment horizontal="left" vertical="center"/>
    </xf>
    <xf numFmtId="168" fontId="22" fillId="7" borderId="3" applyAlignment="1" pivotButton="0" quotePrefix="0" xfId="50">
      <alignment horizontal="right" vertical="center"/>
    </xf>
    <xf numFmtId="168" fontId="22" fillId="7" borderId="28" applyAlignment="1" pivotButton="0" quotePrefix="0" xfId="50">
      <alignment horizontal="right" vertical="center"/>
    </xf>
    <xf numFmtId="168" fontId="22" fillId="7" borderId="30" applyAlignment="1" pivotButton="0" quotePrefix="0" xfId="50">
      <alignment horizontal="right" vertical="center"/>
    </xf>
    <xf numFmtId="167" fontId="19" fillId="4" borderId="0" applyAlignment="1" applyProtection="1" pivotButton="0" quotePrefix="0" xfId="50">
      <alignment horizontal="right" vertical="center"/>
      <protection locked="0" hidden="0"/>
    </xf>
    <xf numFmtId="167" fontId="25" fillId="0" borderId="2" applyAlignment="1" pivotButton="0" quotePrefix="0" xfId="50">
      <alignment horizontal="left" vertical="bottom"/>
    </xf>
    <xf numFmtId="167" fontId="25" fillId="0" borderId="2" applyAlignment="1" pivotButton="0" quotePrefix="0" xfId="50">
      <alignment horizontal="right" vertical="bottom"/>
    </xf>
    <xf numFmtId="167" fontId="25" fillId="0" borderId="0" applyAlignment="1" pivotButton="0" quotePrefix="0" xfId="50">
      <alignment horizontal="right" vertical="bottom"/>
    </xf>
    <xf numFmtId="167" fontId="25" fillId="0" borderId="13" applyAlignment="1" pivotButton="0" quotePrefix="0" xfId="50">
      <alignment horizontal="left" vertical="bottom"/>
    </xf>
    <xf numFmtId="167" fontId="25" fillId="0" borderId="13" applyAlignment="1" pivotButton="0" quotePrefix="0" xfId="50">
      <alignment horizontal="right" vertical="bottom"/>
    </xf>
    <xf numFmtId="167" fontId="34" fillId="4" borderId="2" applyAlignment="1" applyProtection="1" pivotButton="0" quotePrefix="0" xfId="50">
      <alignment horizontal="right" vertical="center"/>
      <protection locked="0" hidden="0"/>
    </xf>
    <xf numFmtId="167" fontId="34" fillId="4" borderId="26" applyAlignment="1" applyProtection="1" pivotButton="0" quotePrefix="0" xfId="50">
      <alignment horizontal="right" vertical="center"/>
      <protection locked="0" hidden="0"/>
    </xf>
    <xf numFmtId="167" fontId="19" fillId="4" borderId="23" applyAlignment="1" applyProtection="1" pivotButton="0" quotePrefix="0" xfId="50">
      <alignment horizontal="right" vertical="center"/>
      <protection locked="0" hidden="0"/>
    </xf>
    <xf numFmtId="167" fontId="19" fillId="0" borderId="0" applyAlignment="1" applyProtection="1" pivotButton="0" quotePrefix="0" xfId="50">
      <alignment horizontal="right" vertical="center"/>
      <protection locked="0" hidden="0"/>
    </xf>
    <xf numFmtId="167" fontId="19" fillId="0" borderId="23" applyAlignment="1" applyProtection="1" pivotButton="0" quotePrefix="0" xfId="50">
      <alignment horizontal="right" vertical="center"/>
      <protection locked="0" hidden="0"/>
    </xf>
    <xf numFmtId="167" fontId="19" fillId="0" borderId="0" applyAlignment="1" applyProtection="1" pivotButton="0" quotePrefix="0" xfId="50">
      <alignment horizontal="left" vertical="center"/>
      <protection locked="0" hidden="0"/>
    </xf>
    <xf numFmtId="167" fontId="19" fillId="0" borderId="13" applyAlignment="1" applyProtection="1" pivotButton="0" quotePrefix="0" xfId="50">
      <alignment horizontal="right" vertical="center"/>
      <protection locked="0" hidden="0"/>
    </xf>
    <xf numFmtId="167" fontId="19" fillId="0" borderId="24" applyAlignment="1" applyProtection="1" pivotButton="0" quotePrefix="0" xfId="50">
      <alignment horizontal="right" vertical="center"/>
      <protection locked="0" hidden="0"/>
    </xf>
    <xf numFmtId="167" fontId="19" fillId="4" borderId="0" applyAlignment="1" applyProtection="1" pivotButton="0" quotePrefix="0" xfId="50">
      <alignment horizontal="left" vertical="center"/>
      <protection locked="0" hidden="0"/>
    </xf>
    <xf numFmtId="49" fontId="34" fillId="7" borderId="22" applyAlignment="1" applyProtection="1" pivotButton="0" quotePrefix="0" xfId="50">
      <alignment horizontal="left" vertical="center"/>
      <protection locked="0" hidden="0"/>
    </xf>
    <xf numFmtId="167" fontId="34" fillId="7" borderId="22" applyAlignment="1" applyProtection="1" pivotButton="0" quotePrefix="0" xfId="50">
      <alignment horizontal="right" vertical="center"/>
      <protection locked="0" hidden="0"/>
    </xf>
    <xf numFmtId="167" fontId="34" fillId="7" borderId="34" applyAlignment="1" applyProtection="1" pivotButton="0" quotePrefix="0" xfId="50">
      <alignment horizontal="right" vertical="center"/>
      <protection locked="0" hidden="0"/>
    </xf>
    <xf numFmtId="167" fontId="34" fillId="4" borderId="0" applyAlignment="1" applyProtection="1" pivotButton="0" quotePrefix="0" xfId="50">
      <alignment horizontal="right" vertical="center"/>
      <protection locked="0" hidden="0"/>
    </xf>
    <xf numFmtId="0" fontId="21" fillId="2" borderId="13" applyAlignment="1" pivotButton="0" quotePrefix="0" xfId="50">
      <alignment horizontal="general" vertical="center"/>
    </xf>
    <xf numFmtId="0" fontId="21" fillId="5" borderId="0" applyAlignment="1" pivotButton="0" quotePrefix="0" xfId="50">
      <alignment horizontal="left" vertical="center"/>
    </xf>
    <xf numFmtId="0" fontId="21" fillId="5" borderId="0" applyAlignment="1" pivotButton="0" quotePrefix="0" xfId="50">
      <alignment horizontal="right" vertical="center"/>
    </xf>
    <xf numFmtId="167" fontId="5" fillId="0" borderId="0" applyAlignment="1" pivotButton="0" quotePrefix="0" xfId="50">
      <alignment horizontal="general" vertical="bottom"/>
    </xf>
    <xf numFmtId="0" fontId="5" fillId="0" borderId="13" applyAlignment="1" pivotButton="0" quotePrefix="0" xfId="50">
      <alignment horizontal="general" vertical="bottom"/>
    </xf>
    <xf numFmtId="167" fontId="5" fillId="0" borderId="13" applyAlignment="1" pivotButton="0" quotePrefix="0" xfId="50">
      <alignment horizontal="general" vertical="bottom"/>
    </xf>
    <xf numFmtId="0" fontId="5" fillId="0" borderId="3" applyAlignment="1" pivotButton="0" quotePrefix="0" xfId="50">
      <alignment horizontal="general" vertical="bottom"/>
    </xf>
    <xf numFmtId="167" fontId="5" fillId="0" borderId="3" applyAlignment="1" pivotButton="0" quotePrefix="0" xfId="50">
      <alignment horizontal="general" vertical="bottom"/>
    </xf>
    <xf numFmtId="171" fontId="5" fillId="0" borderId="0" applyAlignment="1" pivotButton="0" quotePrefix="0" xfId="50">
      <alignment horizontal="general" vertical="bottom"/>
    </xf>
    <xf numFmtId="0" fontId="31" fillId="5" borderId="0" applyAlignment="1" pivotButton="0" quotePrefix="0" xfId="50">
      <alignment horizontal="left" vertical="bottom" wrapText="1"/>
    </xf>
    <xf numFmtId="0" fontId="31" fillId="5" borderId="0" applyAlignment="1" pivotButton="0" quotePrefix="0" xfId="50">
      <alignment horizontal="right" vertical="bottom" wrapText="1"/>
    </xf>
    <xf numFmtId="0" fontId="31" fillId="5" borderId="19" applyAlignment="1" pivotButton="0" quotePrefix="0" xfId="50">
      <alignment horizontal="right" vertical="bottom"/>
    </xf>
    <xf numFmtId="0" fontId="31" fillId="5" borderId="19" applyAlignment="1" pivotButton="0" quotePrefix="0" xfId="50">
      <alignment horizontal="right" vertical="bottom" wrapText="1"/>
    </xf>
    <xf numFmtId="0" fontId="31" fillId="5" borderId="21" applyAlignment="1" pivotButton="0" quotePrefix="0" xfId="50">
      <alignment horizontal="right" vertical="bottom" wrapText="1"/>
    </xf>
    <xf numFmtId="0" fontId="31" fillId="5" borderId="13" applyAlignment="1" pivotButton="0" quotePrefix="0" xfId="50">
      <alignment horizontal="left" vertical="bottom"/>
    </xf>
    <xf numFmtId="172" fontId="7" fillId="4" borderId="0" applyAlignment="1" pivotButton="0" quotePrefix="0" xfId="50">
      <alignment horizontal="left" vertical="center"/>
    </xf>
    <xf numFmtId="0" fontId="5" fillId="0" borderId="9" applyAlignment="1" pivotButton="0" quotePrefix="0" xfId="50">
      <alignment horizontal="general" vertical="bottom"/>
    </xf>
    <xf numFmtId="167" fontId="5" fillId="4" borderId="0" applyAlignment="1" pivotButton="0" quotePrefix="0" xfId="50">
      <alignment horizontal="right" vertical="bottom"/>
    </xf>
    <xf numFmtId="167" fontId="5" fillId="0" borderId="9" applyAlignment="1" pivotButton="0" quotePrefix="0" xfId="50">
      <alignment horizontal="right" vertical="bottom"/>
    </xf>
    <xf numFmtId="172" fontId="7" fillId="4" borderId="13" applyAlignment="1" pivotButton="0" quotePrefix="0" xfId="50">
      <alignment horizontal="left" vertical="center"/>
    </xf>
    <xf numFmtId="0" fontId="22" fillId="4" borderId="0" applyAlignment="1" pivotButton="0" quotePrefix="0" xfId="50">
      <alignment horizontal="left" vertical="center"/>
    </xf>
    <xf numFmtId="167" fontId="35" fillId="4" borderId="0" applyAlignment="1" pivotButton="0" quotePrefix="0" xfId="50">
      <alignment horizontal="right" vertical="bottom"/>
    </xf>
    <xf numFmtId="167" fontId="35" fillId="0" borderId="9" applyAlignment="1" pivotButton="0" quotePrefix="0" xfId="50">
      <alignment horizontal="right" vertical="bottom"/>
    </xf>
    <xf numFmtId="172" fontId="7" fillId="4" borderId="3" applyAlignment="1" pivotButton="0" quotePrefix="0" xfId="50">
      <alignment horizontal="left" vertical="center"/>
    </xf>
    <xf numFmtId="0" fontId="22" fillId="4" borderId="13" applyAlignment="1" pivotButton="0" quotePrefix="0" xfId="50">
      <alignment horizontal="left" vertical="center"/>
    </xf>
    <xf numFmtId="167" fontId="35" fillId="4" borderId="13" applyAlignment="1" pivotButton="0" quotePrefix="0" xfId="50">
      <alignment horizontal="right" vertical="bottom"/>
    </xf>
    <xf numFmtId="0" fontId="38" fillId="0" borderId="0" applyAlignment="1" pivotButton="0" quotePrefix="0" xfId="50">
      <alignment horizontal="general" vertical="bottom"/>
    </xf>
    <xf numFmtId="0" fontId="22" fillId="4" borderId="3" applyAlignment="1" pivotButton="0" quotePrefix="0" xfId="50">
      <alignment horizontal="left" vertical="center"/>
    </xf>
    <xf numFmtId="167" fontId="35" fillId="4" borderId="3" applyAlignment="1" pivotButton="0" quotePrefix="0" xfId="50">
      <alignment horizontal="right" vertical="bottom"/>
    </xf>
    <xf numFmtId="0" fontId="23" fillId="7" borderId="0" applyAlignment="1" pivotButton="0" quotePrefix="0" xfId="50">
      <alignment horizontal="left" vertical="center"/>
    </xf>
    <xf numFmtId="0" fontId="5" fillId="7" borderId="0" applyAlignment="1" pivotButton="0" quotePrefix="0" xfId="50">
      <alignment horizontal="general" vertical="bottom"/>
    </xf>
    <xf numFmtId="0" fontId="7" fillId="7" borderId="0" applyAlignment="1" pivotButton="0" quotePrefix="0" xfId="50">
      <alignment horizontal="left" vertical="center"/>
    </xf>
    <xf numFmtId="167" fontId="5" fillId="7" borderId="0" applyAlignment="1" pivotButton="0" quotePrefix="0" xfId="50">
      <alignment horizontal="right" vertical="bottom"/>
    </xf>
    <xf numFmtId="167" fontId="5" fillId="0" borderId="9" applyAlignment="1" pivotButton="0" quotePrefix="0" xfId="50">
      <alignment horizontal="general" vertical="top" wrapText="1"/>
    </xf>
    <xf numFmtId="0" fontId="22" fillId="7" borderId="0" applyAlignment="1" pivotButton="0" quotePrefix="0" xfId="50">
      <alignment horizontal="left" vertical="center"/>
    </xf>
    <xf numFmtId="167" fontId="35" fillId="7" borderId="0" applyAlignment="1" pivotButton="0" quotePrefix="0" xfId="50">
      <alignment horizontal="right" vertical="bottom"/>
    </xf>
    <xf numFmtId="167" fontId="35" fillId="7" borderId="3" applyAlignment="1" pivotButton="0" quotePrefix="0" xfId="50">
      <alignment horizontal="right" vertical="bottom"/>
    </xf>
    <xf numFmtId="167" fontId="35" fillId="0" borderId="18" applyAlignment="1" pivotButton="0" quotePrefix="0" xfId="50">
      <alignment horizontal="right" vertical="bottom"/>
    </xf>
    <xf numFmtId="166" fontId="46" fillId="8" borderId="20" applyAlignment="1" pivotButton="0" quotePrefix="0" xfId="0">
      <alignment horizontal="center" vertical="bottom"/>
    </xf>
    <xf numFmtId="179" fontId="5" fillId="0" borderId="0" applyAlignment="1" pivotButton="0" quotePrefix="0" xfId="0">
      <alignment horizontal="left" vertical="bottom"/>
    </xf>
    <xf numFmtId="179" fontId="0" fillId="0" borderId="0" applyAlignment="1" pivotButton="0" quotePrefix="0" xfId="0">
      <alignment horizontal="left" vertical="bottom"/>
    </xf>
    <xf numFmtId="179" fontId="21" fillId="2" borderId="0" applyAlignment="1" pivotButton="0" quotePrefix="0" xfId="0">
      <alignment horizontal="left" vertical="center"/>
    </xf>
    <xf numFmtId="179" fontId="21" fillId="5" borderId="0" applyAlignment="1" pivotButton="0" quotePrefix="0" xfId="0">
      <alignment horizontal="left" vertical="bottom"/>
    </xf>
    <xf numFmtId="179" fontId="19" fillId="4" borderId="0" applyAlignment="1" pivotButton="0" quotePrefix="0" xfId="0">
      <alignment horizontal="left" vertical="bottom"/>
    </xf>
    <xf numFmtId="173" fontId="19" fillId="7" borderId="23" applyAlignment="1" pivotButton="0" quotePrefix="0" xfId="0">
      <alignment horizontal="general" vertical="bottom"/>
    </xf>
    <xf numFmtId="179" fontId="19" fillId="0" borderId="0" applyAlignment="1" pivotButton="0" quotePrefix="0" xfId="0">
      <alignment horizontal="left" vertical="bottom"/>
    </xf>
    <xf numFmtId="179" fontId="19" fillId="0" borderId="13" applyAlignment="1" pivotButton="0" quotePrefix="0" xfId="0">
      <alignment horizontal="left" vertical="bottom"/>
    </xf>
    <xf numFmtId="173" fontId="19" fillId="7" borderId="24" applyAlignment="1" pivotButton="0" quotePrefix="0" xfId="0">
      <alignment horizontal="general" vertical="bottom"/>
    </xf>
    <xf numFmtId="179" fontId="19" fillId="4" borderId="13" applyAlignment="1" pivotButton="0" quotePrefix="0" xfId="0">
      <alignment horizontal="left" vertical="bottom"/>
    </xf>
    <xf numFmtId="179" fontId="34" fillId="7" borderId="3" applyAlignment="1" pivotButton="0" quotePrefix="0" xfId="0">
      <alignment horizontal="left" vertical="bottom"/>
    </xf>
    <xf numFmtId="0" fontId="7" fillId="2" borderId="0" applyAlignment="1" pivotButton="0" quotePrefix="0" xfId="80">
      <alignment horizontal="left" vertical="center"/>
    </xf>
    <xf numFmtId="0" fontId="7" fillId="0" borderId="0" applyAlignment="1" pivotButton="0" quotePrefix="0" xfId="80">
      <alignment horizontal="left" vertical="center"/>
    </xf>
    <xf numFmtId="0" fontId="7" fillId="0" borderId="0" applyAlignment="1" pivotButton="0" quotePrefix="0" xfId="80">
      <alignment horizontal="general" vertical="center"/>
    </xf>
    <xf numFmtId="0" fontId="27" fillId="0" borderId="0" applyAlignment="1" pivotButton="0" quotePrefix="0" xfId="80">
      <alignment horizontal="left" vertical="bottom"/>
    </xf>
    <xf numFmtId="0" fontId="28" fillId="0" borderId="0" applyAlignment="1" pivotButton="0" quotePrefix="0" xfId="80">
      <alignment horizontal="left" vertical="bottom"/>
    </xf>
    <xf numFmtId="0" fontId="29" fillId="0" borderId="0" applyAlignment="1" pivotButton="0" quotePrefix="0" xfId="80">
      <alignment horizontal="left" vertical="bottom"/>
    </xf>
    <xf numFmtId="0" fontId="24" fillId="0" borderId="0" applyAlignment="1" pivotButton="0" quotePrefix="0" xfId="80">
      <alignment horizontal="left" vertical="bottom"/>
    </xf>
    <xf numFmtId="0" fontId="7" fillId="0" borderId="0" applyAlignment="1" pivotButton="0" quotePrefix="0" xfId="0">
      <alignment horizontal="general" vertical="center"/>
    </xf>
    <xf numFmtId="0" fontId="21" fillId="5" borderId="0" applyAlignment="1" pivotButton="0" quotePrefix="0" xfId="80">
      <alignment horizontal="left" vertical="center"/>
    </xf>
    <xf numFmtId="173" fontId="21" fillId="5" borderId="0" applyAlignment="1" pivotButton="0" quotePrefix="0" xfId="80">
      <alignment horizontal="left" vertical="center"/>
    </xf>
    <xf numFmtId="173" fontId="21" fillId="5" borderId="0" applyAlignment="1" pivotButton="0" quotePrefix="0" xfId="80">
      <alignment horizontal="center" vertical="center"/>
    </xf>
    <xf numFmtId="173" fontId="21" fillId="6" borderId="0" applyAlignment="1" pivotButton="0" quotePrefix="0" xfId="80">
      <alignment horizontal="center" vertical="center"/>
    </xf>
    <xf numFmtId="0" fontId="7" fillId="0" borderId="0" applyAlignment="1" pivotButton="0" quotePrefix="0" xfId="80">
      <alignment horizontal="general" vertical="bottom"/>
    </xf>
    <xf numFmtId="0" fontId="7" fillId="2" borderId="0" applyAlignment="1" pivotButton="0" quotePrefix="0" xfId="80">
      <alignment horizontal="left" vertical="bottom"/>
    </xf>
    <xf numFmtId="0" fontId="7" fillId="0" borderId="0" applyAlignment="1" pivotButton="0" quotePrefix="0" xfId="80">
      <alignment horizontal="left" vertical="bottom"/>
    </xf>
    <xf numFmtId="0" fontId="21" fillId="5" borderId="0" applyAlignment="1" pivotButton="0" quotePrefix="0" xfId="80">
      <alignment horizontal="left" vertical="bottom"/>
    </xf>
    <xf numFmtId="166" fontId="21" fillId="5" borderId="0" applyAlignment="1" pivotButton="0" quotePrefix="0" xfId="80">
      <alignment horizontal="left" vertical="bottom"/>
    </xf>
    <xf numFmtId="0" fontId="21" fillId="5" borderId="0" applyAlignment="1" pivotButton="0" quotePrefix="0" xfId="80">
      <alignment horizontal="left" vertical="bottom" wrapText="1"/>
    </xf>
    <xf numFmtId="166" fontId="21" fillId="5" borderId="0" applyAlignment="1" pivotButton="0" quotePrefix="0" xfId="80">
      <alignment horizontal="left" vertical="bottom" wrapText="1"/>
    </xf>
    <xf numFmtId="166" fontId="21" fillId="5" borderId="10" applyAlignment="1" pivotButton="0" quotePrefix="0" xfId="80">
      <alignment horizontal="right" vertical="bottom"/>
    </xf>
    <xf numFmtId="166" fontId="21" fillId="5" borderId="6" applyAlignment="1" pivotButton="0" quotePrefix="0" xfId="80">
      <alignment horizontal="right" vertical="bottom" wrapText="1"/>
    </xf>
    <xf numFmtId="166" fontId="21" fillId="5" borderId="10" applyAlignment="1" pivotButton="0" quotePrefix="0" xfId="80">
      <alignment horizontal="right" vertical="bottom" wrapText="1"/>
    </xf>
    <xf numFmtId="166" fontId="21" fillId="6" borderId="10" applyAlignment="1" pivotButton="0" quotePrefix="0" xfId="80">
      <alignment horizontal="right" vertical="bottom"/>
    </xf>
    <xf numFmtId="166" fontId="21" fillId="6" borderId="6" applyAlignment="1" pivotButton="0" quotePrefix="0" xfId="80">
      <alignment horizontal="right" vertical="bottom" wrapText="1"/>
    </xf>
    <xf numFmtId="166" fontId="21" fillId="6" borderId="10" applyAlignment="1" pivotButton="0" quotePrefix="0" xfId="80">
      <alignment horizontal="right" vertical="bottom" wrapText="1"/>
    </xf>
    <xf numFmtId="173" fontId="19" fillId="4" borderId="0" applyAlignment="1" pivotButton="0" quotePrefix="0" xfId="0">
      <alignment horizontal="general" vertical="center"/>
    </xf>
    <xf numFmtId="196" fontId="19" fillId="4" borderId="0" applyAlignment="1" pivotButton="0" quotePrefix="0" xfId="0">
      <alignment horizontal="general" vertical="center"/>
    </xf>
    <xf numFmtId="173" fontId="19" fillId="4" borderId="4" applyAlignment="1" pivotButton="0" quotePrefix="0" xfId="0">
      <alignment horizontal="general" vertical="center"/>
    </xf>
    <xf numFmtId="174" fontId="25" fillId="4" borderId="0" applyAlignment="1" pivotButton="0" quotePrefix="0" xfId="0">
      <alignment horizontal="general" vertical="center"/>
    </xf>
    <xf numFmtId="174" fontId="25" fillId="4" borderId="4" applyAlignment="1" pivotButton="0" quotePrefix="0" xfId="0">
      <alignment horizontal="general" vertical="center"/>
    </xf>
    <xf numFmtId="196" fontId="19" fillId="4" borderId="13" applyAlignment="1" pivotButton="0" quotePrefix="0" xfId="0">
      <alignment horizontal="general" vertical="center"/>
    </xf>
    <xf numFmtId="174" fontId="25" fillId="4" borderId="13" applyAlignment="1" pivotButton="0" quotePrefix="0" xfId="0">
      <alignment horizontal="general" vertical="center"/>
    </xf>
    <xf numFmtId="174" fontId="25" fillId="4" borderId="25" applyAlignment="1" pivotButton="0" quotePrefix="0" xfId="0">
      <alignment horizontal="general" vertical="center"/>
    </xf>
    <xf numFmtId="0" fontId="19" fillId="4" borderId="0" applyAlignment="1" pivotButton="0" quotePrefix="0" xfId="0">
      <alignment horizontal="left" vertical="center"/>
    </xf>
    <xf numFmtId="189" fontId="22" fillId="2" borderId="0" applyAlignment="1" pivotButton="0" quotePrefix="0" xfId="80">
      <alignment horizontal="left" vertical="center"/>
    </xf>
    <xf numFmtId="0" fontId="19" fillId="4" borderId="13" applyAlignment="1" pivotButton="0" quotePrefix="0" xfId="0">
      <alignment horizontal="left" vertical="center"/>
    </xf>
    <xf numFmtId="173" fontId="34" fillId="7" borderId="3" applyAlignment="1" pivotButton="0" quotePrefix="0" xfId="0">
      <alignment horizontal="general" vertical="center"/>
    </xf>
    <xf numFmtId="173" fontId="34" fillId="7" borderId="30" applyAlignment="1" pivotButton="0" quotePrefix="0" xfId="0">
      <alignment horizontal="general" vertical="center"/>
    </xf>
    <xf numFmtId="174" fontId="47" fillId="7" borderId="3" applyAlignment="1" pivotButton="0" quotePrefix="0" xfId="0">
      <alignment horizontal="general" vertical="center"/>
    </xf>
    <xf numFmtId="174" fontId="47" fillId="7" borderId="30" applyAlignment="1" pivotButton="0" quotePrefix="0" xfId="0">
      <alignment horizontal="general" vertical="center"/>
    </xf>
    <xf numFmtId="189" fontId="22" fillId="0" borderId="0" applyAlignment="1" pivotButton="0" quotePrefix="0" xfId="80">
      <alignment horizontal="general" vertical="center"/>
    </xf>
    <xf numFmtId="189" fontId="22" fillId="0" borderId="0" applyAlignment="1" pivotButton="0" quotePrefix="0" xfId="80">
      <alignment horizontal="left" vertical="center"/>
    </xf>
    <xf numFmtId="0" fontId="22" fillId="0" borderId="0" applyAlignment="1" pivotButton="0" quotePrefix="0" xfId="80">
      <alignment horizontal="general" vertical="center"/>
    </xf>
    <xf numFmtId="0" fontId="22" fillId="0" borderId="0" applyAlignment="1" pivotButton="0" quotePrefix="0" xfId="80">
      <alignment horizontal="left" vertical="center"/>
    </xf>
    <xf numFmtId="0" fontId="7" fillId="0" borderId="0" applyAlignment="1" pivotButton="0" quotePrefix="0" xfId="80">
      <alignment horizontal="left" vertical="center" indent="2"/>
    </xf>
    <xf numFmtId="167" fontId="7" fillId="0" borderId="0" applyAlignment="1" pivotButton="0" quotePrefix="0" xfId="80">
      <alignment horizontal="right" vertical="center"/>
    </xf>
    <xf numFmtId="0" fontId="7" fillId="4" borderId="13" applyAlignment="1" pivotButton="0" quotePrefix="0" xfId="80">
      <alignment horizontal="left" vertical="center" indent="2"/>
    </xf>
    <xf numFmtId="0" fontId="7" fillId="4" borderId="13" applyAlignment="1" pivotButton="0" quotePrefix="0" xfId="80">
      <alignment horizontal="left" vertical="center"/>
    </xf>
    <xf numFmtId="167" fontId="7" fillId="4" borderId="13" applyAlignment="1" pivotButton="0" quotePrefix="0" xfId="80">
      <alignment horizontal="right" vertical="center"/>
    </xf>
    <xf numFmtId="0" fontId="7" fillId="4" borderId="13" applyAlignment="1" pivotButton="0" quotePrefix="0" xfId="80">
      <alignment horizontal="general" vertical="center"/>
    </xf>
    <xf numFmtId="0" fontId="7" fillId="0" borderId="0" applyAlignment="1" pivotButton="0" quotePrefix="0" xfId="80">
      <alignment horizontal="left" vertical="center" indent="1"/>
    </xf>
    <xf numFmtId="167" fontId="7" fillId="0" borderId="0" applyAlignment="1" pivotButton="0" quotePrefix="0" xfId="80">
      <alignment horizontal="general" vertical="center"/>
    </xf>
    <xf numFmtId="167" fontId="7" fillId="4" borderId="13" applyAlignment="1" pivotButton="0" quotePrefix="0" xfId="80">
      <alignment horizontal="general" vertical="center"/>
    </xf>
    <xf numFmtId="0" fontId="21" fillId="2" borderId="0" applyAlignment="1" pivotButton="0" quotePrefix="0" xfId="80">
      <alignment horizontal="left" vertical="center"/>
    </xf>
    <xf numFmtId="173" fontId="21" fillId="2" borderId="0" applyAlignment="1" pivotButton="0" quotePrefix="0" xfId="80">
      <alignment horizontal="left" vertical="center"/>
    </xf>
    <xf numFmtId="173" fontId="21" fillId="2" borderId="0" applyAlignment="1" pivotButton="0" quotePrefix="0" xfId="80">
      <alignment horizontal="general" vertical="center"/>
    </xf>
    <xf numFmtId="0" fontId="19" fillId="4" borderId="0" applyAlignment="1" pivotButton="0" quotePrefix="0" xfId="80">
      <alignment horizontal="left" vertical="center" indent="2"/>
    </xf>
    <xf numFmtId="173" fontId="19" fillId="4" borderId="0" applyAlignment="1" pivotButton="0" quotePrefix="0" xfId="80">
      <alignment horizontal="left" vertical="center"/>
    </xf>
    <xf numFmtId="0" fontId="19" fillId="4" borderId="0" applyAlignment="1" pivotButton="0" quotePrefix="0" xfId="80">
      <alignment horizontal="left" vertical="center"/>
    </xf>
    <xf numFmtId="196" fontId="19" fillId="4" borderId="0" applyAlignment="1" pivotButton="0" quotePrefix="0" xfId="80">
      <alignment horizontal="left" vertical="center"/>
    </xf>
    <xf numFmtId="173" fontId="19" fillId="4" borderId="0" applyAlignment="1" pivotButton="0" quotePrefix="0" xfId="80">
      <alignment horizontal="general" vertical="center"/>
    </xf>
    <xf numFmtId="173" fontId="19" fillId="4" borderId="4" applyAlignment="1" pivotButton="0" quotePrefix="0" xfId="80">
      <alignment horizontal="general" vertical="center"/>
    </xf>
    <xf numFmtId="168" fontId="25" fillId="4" borderId="0" applyAlignment="1" pivotButton="0" quotePrefix="0" xfId="80">
      <alignment horizontal="right" vertical="center"/>
    </xf>
    <xf numFmtId="168" fontId="25" fillId="4" borderId="4" applyAlignment="1" pivotButton="0" quotePrefix="0" xfId="80">
      <alignment horizontal="right" vertical="center"/>
    </xf>
    <xf numFmtId="0" fontId="19" fillId="4" borderId="13" applyAlignment="1" pivotButton="0" quotePrefix="0" xfId="80">
      <alignment horizontal="left" vertical="center" indent="2"/>
    </xf>
    <xf numFmtId="173" fontId="19" fillId="4" borderId="13" applyAlignment="1" pivotButton="0" quotePrefix="0" xfId="80">
      <alignment horizontal="left" vertical="center"/>
    </xf>
    <xf numFmtId="0" fontId="19" fillId="4" borderId="13" applyAlignment="1" pivotButton="0" quotePrefix="0" xfId="80">
      <alignment horizontal="left" vertical="center"/>
    </xf>
    <xf numFmtId="196" fontId="19" fillId="4" borderId="13" applyAlignment="1" pivotButton="0" quotePrefix="0" xfId="80">
      <alignment horizontal="left" vertical="center"/>
    </xf>
    <xf numFmtId="173" fontId="19" fillId="4" borderId="13" applyAlignment="1" pivotButton="0" quotePrefix="0" xfId="80">
      <alignment horizontal="general" vertical="center"/>
    </xf>
    <xf numFmtId="173" fontId="19" fillId="4" borderId="25" applyAlignment="1" pivotButton="0" quotePrefix="0" xfId="80">
      <alignment horizontal="general" vertical="center"/>
    </xf>
    <xf numFmtId="168" fontId="25" fillId="4" borderId="13" applyAlignment="1" pivotButton="0" quotePrefix="0" xfId="80">
      <alignment horizontal="right" vertical="center"/>
    </xf>
    <xf numFmtId="168" fontId="25" fillId="4" borderId="25" applyAlignment="1" pivotButton="0" quotePrefix="0" xfId="80">
      <alignment horizontal="right" vertical="center"/>
    </xf>
    <xf numFmtId="0" fontId="19" fillId="4" borderId="0" applyAlignment="1" pivotButton="0" quotePrefix="0" xfId="80">
      <alignment horizontal="left" vertical="center" indent="1"/>
    </xf>
    <xf numFmtId="173" fontId="19" fillId="0" borderId="0" applyAlignment="1" pivotButton="0" quotePrefix="0" xfId="80">
      <alignment horizontal="general" vertical="center"/>
    </xf>
    <xf numFmtId="173" fontId="19" fillId="0" borderId="13" applyAlignment="1" pivotButton="0" quotePrefix="0" xfId="80">
      <alignment horizontal="general" vertical="center"/>
    </xf>
    <xf numFmtId="0" fontId="19" fillId="4" borderId="13" applyAlignment="1" pivotButton="0" quotePrefix="0" xfId="80">
      <alignment horizontal="left" vertical="center" indent="1"/>
    </xf>
    <xf numFmtId="0" fontId="34" fillId="7" borderId="3" applyAlignment="1" pivotButton="0" quotePrefix="0" xfId="80">
      <alignment horizontal="left" vertical="center"/>
    </xf>
    <xf numFmtId="173" fontId="34" fillId="7" borderId="3" applyAlignment="1" pivotButton="0" quotePrefix="0" xfId="80">
      <alignment horizontal="left" vertical="center"/>
    </xf>
    <xf numFmtId="173" fontId="34" fillId="7" borderId="3" applyAlignment="1" pivotButton="0" quotePrefix="0" xfId="80">
      <alignment horizontal="general" vertical="center"/>
    </xf>
    <xf numFmtId="173" fontId="34" fillId="7" borderId="30" applyAlignment="1" pivotButton="0" quotePrefix="0" xfId="80">
      <alignment horizontal="general" vertical="center"/>
    </xf>
    <xf numFmtId="168" fontId="47" fillId="7" borderId="3" applyAlignment="1" pivotButton="0" quotePrefix="0" xfId="80">
      <alignment horizontal="right" vertical="center"/>
    </xf>
    <xf numFmtId="168" fontId="47" fillId="7" borderId="30" applyAlignment="1" pivotButton="0" quotePrefix="0" xfId="80">
      <alignment horizontal="right" vertical="center"/>
    </xf>
    <xf numFmtId="0" fontId="21" fillId="5" borderId="0" applyAlignment="1" pivotButton="0" quotePrefix="0" xfId="0">
      <alignment horizontal="center" vertical="bottom"/>
    </xf>
    <xf numFmtId="196" fontId="21" fillId="5" borderId="10" applyAlignment="1" pivotButton="0" quotePrefix="0" xfId="0">
      <alignment horizontal="right" vertical="bottom"/>
    </xf>
    <xf numFmtId="196" fontId="21" fillId="5" borderId="7" applyAlignment="1" pivotButton="0" quotePrefix="0" xfId="0">
      <alignment horizontal="right" vertical="bottom"/>
    </xf>
    <xf numFmtId="196" fontId="21" fillId="5" borderId="7" applyAlignment="1" pivotButton="0" quotePrefix="0" xfId="0">
      <alignment horizontal="right" vertical="bottom" wrapText="1"/>
    </xf>
    <xf numFmtId="0" fontId="19" fillId="4" borderId="0" applyAlignment="1" pivotButton="0" quotePrefix="0" xfId="0">
      <alignment horizontal="general" vertical="bottom"/>
    </xf>
    <xf numFmtId="189" fontId="19" fillId="4" borderId="0" applyAlignment="1" pivotButton="0" quotePrefix="0" xfId="0">
      <alignment horizontal="general" vertical="bottom"/>
    </xf>
    <xf numFmtId="173" fontId="19" fillId="16" borderId="0" applyAlignment="1" pivotButton="0" quotePrefix="0" xfId="0">
      <alignment horizontal="general" vertical="bottom"/>
    </xf>
    <xf numFmtId="173" fontId="19" fillId="16" borderId="23" applyAlignment="1" pivotButton="0" quotePrefix="0" xfId="0">
      <alignment horizontal="general" vertical="bottom"/>
    </xf>
    <xf numFmtId="173" fontId="19" fillId="16" borderId="4" applyAlignment="1" pivotButton="0" quotePrefix="0" xfId="0">
      <alignment horizontal="general" vertical="bottom"/>
    </xf>
    <xf numFmtId="166" fontId="19" fillId="4" borderId="0" applyAlignment="1" pivotButton="0" quotePrefix="0" xfId="0">
      <alignment horizontal="left" vertical="bottom" indent="2"/>
    </xf>
    <xf numFmtId="194" fontId="19" fillId="4" borderId="0" applyAlignment="1" pivotButton="0" quotePrefix="0" xfId="0">
      <alignment horizontal="left" vertical="bottom" indent="2"/>
    </xf>
    <xf numFmtId="0" fontId="19" fillId="4" borderId="13" applyAlignment="1" pivotButton="0" quotePrefix="0" xfId="0">
      <alignment horizontal="general" vertical="bottom"/>
    </xf>
    <xf numFmtId="189" fontId="19" fillId="4" borderId="13" applyAlignment="1" pivotButton="0" quotePrefix="0" xfId="0">
      <alignment horizontal="general" vertical="bottom"/>
    </xf>
    <xf numFmtId="173" fontId="19" fillId="16" borderId="13" applyAlignment="1" pivotButton="0" quotePrefix="0" xfId="0">
      <alignment horizontal="general" vertical="bottom"/>
    </xf>
    <xf numFmtId="173" fontId="19" fillId="16" borderId="24" applyAlignment="1" pivotButton="0" quotePrefix="0" xfId="0">
      <alignment horizontal="general" vertical="bottom"/>
    </xf>
    <xf numFmtId="173" fontId="19" fillId="16" borderId="25" applyAlignment="1" pivotButton="0" quotePrefix="0" xfId="0">
      <alignment horizontal="general" vertical="bottom"/>
    </xf>
    <xf numFmtId="0" fontId="34" fillId="7" borderId="3" applyAlignment="1" pivotButton="0" quotePrefix="0" xfId="0">
      <alignment horizontal="general" vertical="bottom"/>
    </xf>
    <xf numFmtId="189" fontId="34" fillId="7" borderId="3" applyAlignment="1" pivotButton="0" quotePrefix="0" xfId="0">
      <alignment horizontal="general" vertical="bottom"/>
    </xf>
    <xf numFmtId="189" fontId="35" fillId="2" borderId="0" applyAlignment="1" pivotButton="0" quotePrefix="0" xfId="0">
      <alignment horizontal="left" vertical="bottom"/>
    </xf>
    <xf numFmtId="189" fontId="35" fillId="0" borderId="0" applyAlignment="1" pivotButton="0" quotePrefix="0" xfId="0">
      <alignment horizontal="left" vertical="bottom"/>
    </xf>
    <xf numFmtId="0" fontId="35" fillId="4" borderId="13" applyAlignment="1" pivotButton="0" quotePrefix="0" xfId="0">
      <alignment horizontal="general" vertical="bottom"/>
    </xf>
    <xf numFmtId="189" fontId="35" fillId="4" borderId="13" applyAlignment="1" pivotButton="0" quotePrefix="0" xfId="0">
      <alignment horizontal="general" vertical="bottom"/>
    </xf>
    <xf numFmtId="0" fontId="5" fillId="2" borderId="0" applyAlignment="1" pivotButton="0" quotePrefix="0" xfId="81">
      <alignment horizontal="left" vertical="bottom"/>
    </xf>
    <xf numFmtId="0" fontId="5" fillId="0" borderId="0" applyAlignment="1" pivotButton="0" quotePrefix="0" xfId="81">
      <alignment horizontal="left" vertical="bottom"/>
    </xf>
    <xf numFmtId="0" fontId="5" fillId="0" borderId="0" applyAlignment="1" pivotButton="0" quotePrefix="0" xfId="81">
      <alignment horizontal="general" vertical="bottom"/>
    </xf>
    <xf numFmtId="0" fontId="27" fillId="0" borderId="0" applyAlignment="1" pivotButton="0" quotePrefix="0" xfId="81">
      <alignment horizontal="left" vertical="bottom"/>
    </xf>
    <xf numFmtId="0" fontId="28" fillId="0" borderId="0" applyAlignment="1" pivotButton="0" quotePrefix="0" xfId="81">
      <alignment horizontal="left" vertical="bottom"/>
    </xf>
    <xf numFmtId="0" fontId="29" fillId="0" borderId="0" applyAlignment="1" pivotButton="0" quotePrefix="0" xfId="81">
      <alignment horizontal="left" vertical="bottom"/>
    </xf>
    <xf numFmtId="0" fontId="24" fillId="0" borderId="0" applyAlignment="1" pivotButton="0" quotePrefix="0" xfId="81">
      <alignment horizontal="left" vertical="bottom"/>
    </xf>
    <xf numFmtId="0" fontId="21" fillId="2" borderId="0" applyAlignment="1" pivotButton="0" quotePrefix="0" xfId="81">
      <alignment horizontal="left" vertical="center"/>
    </xf>
    <xf numFmtId="173" fontId="21" fillId="2" borderId="0" applyAlignment="1" pivotButton="0" quotePrefix="0" xfId="81">
      <alignment horizontal="general" vertical="center"/>
    </xf>
    <xf numFmtId="0" fontId="21" fillId="5" borderId="0" applyAlignment="1" pivotButton="0" quotePrefix="0" xfId="81">
      <alignment horizontal="left" vertical="bottom"/>
    </xf>
    <xf numFmtId="166" fontId="21" fillId="5" borderId="0" applyAlignment="1" pivotButton="0" quotePrefix="0" xfId="81">
      <alignment horizontal="center" vertical="bottom"/>
    </xf>
    <xf numFmtId="166" fontId="21" fillId="5" borderId="15" applyAlignment="1" pivotButton="0" quotePrefix="0" xfId="81">
      <alignment horizontal="center" vertical="bottom"/>
    </xf>
    <xf numFmtId="166" fontId="21" fillId="5" borderId="15" applyAlignment="1" pivotButton="0" quotePrefix="0" xfId="81">
      <alignment horizontal="center" vertical="bottom" wrapText="1"/>
    </xf>
    <xf numFmtId="166" fontId="21" fillId="6" borderId="0" applyAlignment="1" pivotButton="0" quotePrefix="0" xfId="81">
      <alignment horizontal="center" vertical="bottom"/>
    </xf>
    <xf numFmtId="166" fontId="21" fillId="6" borderId="15" applyAlignment="1" pivotButton="0" quotePrefix="0" xfId="81">
      <alignment horizontal="center" vertical="bottom"/>
    </xf>
    <xf numFmtId="166" fontId="21" fillId="6" borderId="15" applyAlignment="1" pivotButton="0" quotePrefix="0" xfId="81">
      <alignment horizontal="center" vertical="bottom" wrapText="1"/>
    </xf>
    <xf numFmtId="166" fontId="21" fillId="5" borderId="10" applyAlignment="1" pivotButton="0" quotePrefix="0" xfId="81">
      <alignment horizontal="right" vertical="bottom"/>
    </xf>
    <xf numFmtId="166" fontId="21" fillId="5" borderId="5" applyAlignment="1" pivotButton="0" quotePrefix="0" xfId="81">
      <alignment horizontal="right" vertical="bottom"/>
    </xf>
    <xf numFmtId="166" fontId="21" fillId="5" borderId="6" applyAlignment="1" pivotButton="0" quotePrefix="0" xfId="81">
      <alignment horizontal="right" vertical="bottom" wrapText="1"/>
    </xf>
    <xf numFmtId="166" fontId="21" fillId="5" borderId="7" applyAlignment="1" pivotButton="0" quotePrefix="0" xfId="81">
      <alignment horizontal="right" vertical="bottom" wrapText="1"/>
    </xf>
    <xf numFmtId="166" fontId="21" fillId="6" borderId="10" applyAlignment="1" pivotButton="0" quotePrefix="0" xfId="81">
      <alignment horizontal="right" vertical="bottom"/>
    </xf>
    <xf numFmtId="166" fontId="21" fillId="6" borderId="5" applyAlignment="1" pivotButton="0" quotePrefix="0" xfId="81">
      <alignment horizontal="right" vertical="bottom"/>
    </xf>
    <xf numFmtId="166" fontId="21" fillId="6" borderId="5" applyAlignment="1" pivotButton="0" quotePrefix="0" xfId="81">
      <alignment horizontal="right" vertical="bottom" wrapText="1"/>
    </xf>
    <xf numFmtId="166" fontId="21" fillId="6" borderId="7" applyAlignment="1" pivotButton="0" quotePrefix="0" xfId="81">
      <alignment horizontal="right" vertical="bottom" wrapText="1"/>
    </xf>
    <xf numFmtId="0" fontId="19" fillId="0" borderId="0" applyAlignment="1" pivotButton="0" quotePrefix="0" xfId="81">
      <alignment horizontal="left" vertical="bottom" indent="3"/>
    </xf>
    <xf numFmtId="0" fontId="19" fillId="0" borderId="0" applyAlignment="1" pivotButton="0" quotePrefix="0" xfId="81">
      <alignment horizontal="left" vertical="bottom"/>
    </xf>
    <xf numFmtId="173" fontId="19" fillId="4" borderId="0" applyAlignment="1" pivotButton="0" quotePrefix="0" xfId="81">
      <alignment horizontal="general" vertical="bottom"/>
    </xf>
    <xf numFmtId="173" fontId="19" fillId="4" borderId="58" applyAlignment="1" pivotButton="0" quotePrefix="0" xfId="81">
      <alignment horizontal="general" vertical="bottom"/>
    </xf>
    <xf numFmtId="168" fontId="25" fillId="4" borderId="0" applyAlignment="1" pivotButton="0" quotePrefix="0" xfId="81">
      <alignment horizontal="right" vertical="bottom"/>
    </xf>
    <xf numFmtId="168" fontId="25" fillId="4" borderId="4" applyAlignment="1" pivotButton="0" quotePrefix="0" xfId="81">
      <alignment horizontal="right" vertical="bottom"/>
    </xf>
    <xf numFmtId="0" fontId="19" fillId="0" borderId="13" applyAlignment="1" pivotButton="0" quotePrefix="0" xfId="81">
      <alignment horizontal="left" vertical="bottom" indent="3"/>
    </xf>
    <xf numFmtId="0" fontId="19" fillId="0" borderId="13" applyAlignment="1" pivotButton="0" quotePrefix="0" xfId="81">
      <alignment horizontal="left" vertical="bottom"/>
    </xf>
    <xf numFmtId="173" fontId="19" fillId="4" borderId="13" applyAlignment="1" pivotButton="0" quotePrefix="0" xfId="81">
      <alignment horizontal="general" vertical="bottom"/>
    </xf>
    <xf numFmtId="173" fontId="19" fillId="4" borderId="59" applyAlignment="1" pivotButton="0" quotePrefix="0" xfId="81">
      <alignment horizontal="general" vertical="bottom"/>
    </xf>
    <xf numFmtId="168" fontId="25" fillId="4" borderId="13" applyAlignment="1" pivotButton="0" quotePrefix="0" xfId="81">
      <alignment horizontal="right" vertical="bottom"/>
    </xf>
    <xf numFmtId="168" fontId="25" fillId="4" borderId="25" applyAlignment="1" pivotButton="0" quotePrefix="0" xfId="81">
      <alignment horizontal="right" vertical="bottom"/>
    </xf>
    <xf numFmtId="0" fontId="19" fillId="0" borderId="13" applyAlignment="1" pivotButton="0" quotePrefix="0" xfId="81">
      <alignment horizontal="left" vertical="bottom" indent="2"/>
    </xf>
    <xf numFmtId="0" fontId="19" fillId="0" borderId="0" applyAlignment="1" pivotButton="0" quotePrefix="0" xfId="81">
      <alignment horizontal="left" vertical="bottom" indent="1"/>
    </xf>
    <xf numFmtId="168" fontId="25" fillId="4" borderId="27" applyAlignment="1" pivotButton="0" quotePrefix="0" xfId="81">
      <alignment horizontal="right" vertical="bottom"/>
    </xf>
    <xf numFmtId="0" fontId="19" fillId="0" borderId="0" applyAlignment="1" pivotButton="0" quotePrefix="0" xfId="81">
      <alignment horizontal="left" vertical="bottom" indent="2"/>
    </xf>
    <xf numFmtId="0" fontId="19" fillId="0" borderId="2" applyAlignment="1" pivotButton="0" quotePrefix="0" xfId="81">
      <alignment horizontal="left" vertical="center"/>
    </xf>
    <xf numFmtId="173" fontId="19" fillId="0" borderId="2" applyAlignment="1" pivotButton="0" quotePrefix="0" xfId="81">
      <alignment horizontal="general" vertical="center"/>
    </xf>
    <xf numFmtId="173" fontId="19" fillId="0" borderId="60" applyAlignment="1" pivotButton="0" quotePrefix="0" xfId="81">
      <alignment horizontal="general" vertical="center"/>
    </xf>
    <xf numFmtId="168" fontId="25" fillId="0" borderId="2" applyAlignment="1" pivotButton="0" quotePrefix="0" xfId="81">
      <alignment horizontal="right" vertical="center"/>
    </xf>
    <xf numFmtId="168" fontId="25" fillId="0" borderId="27" applyAlignment="1" pivotButton="0" quotePrefix="0" xfId="81">
      <alignment horizontal="right" vertical="center"/>
    </xf>
    <xf numFmtId="0" fontId="19" fillId="0" borderId="13" applyAlignment="1" pivotButton="0" quotePrefix="0" xfId="81">
      <alignment horizontal="left" vertical="bottom" indent="1"/>
    </xf>
    <xf numFmtId="0" fontId="34" fillId="7" borderId="22" applyAlignment="1" pivotButton="0" quotePrefix="0" xfId="81">
      <alignment horizontal="left" vertical="center"/>
    </xf>
    <xf numFmtId="173" fontId="34" fillId="7" borderId="22" applyAlignment="1" pivotButton="0" quotePrefix="0" xfId="81">
      <alignment horizontal="general" vertical="center"/>
    </xf>
    <xf numFmtId="173" fontId="34" fillId="7" borderId="82" applyAlignment="1" pivotButton="0" quotePrefix="0" xfId="81">
      <alignment horizontal="general" vertical="center"/>
    </xf>
    <xf numFmtId="168" fontId="47" fillId="7" borderId="22" applyAlignment="1" pivotButton="0" quotePrefix="0" xfId="81">
      <alignment horizontal="right" vertical="center"/>
    </xf>
    <xf numFmtId="168" fontId="47" fillId="7" borderId="35" applyAlignment="1" pivotButton="0" quotePrefix="0" xfId="81">
      <alignment horizontal="right" vertical="center"/>
    </xf>
    <xf numFmtId="0" fontId="21" fillId="5" borderId="0" applyAlignment="1" pivotButton="0" quotePrefix="0" xfId="81">
      <alignment horizontal="left" vertical="bottom" wrapText="1"/>
    </xf>
    <xf numFmtId="0" fontId="19" fillId="0" borderId="0" applyAlignment="1" pivotButton="0" quotePrefix="0" xfId="81">
      <alignment horizontal="left" vertical="bottom" indent="4"/>
    </xf>
    <xf numFmtId="173" fontId="19" fillId="0" borderId="0" applyAlignment="1" pivotButton="0" quotePrefix="0" xfId="81">
      <alignment horizontal="general" vertical="bottom"/>
    </xf>
    <xf numFmtId="0" fontId="19" fillId="0" borderId="13" applyAlignment="1" pivotButton="0" quotePrefix="0" xfId="81">
      <alignment horizontal="left" vertical="bottom" indent="4"/>
    </xf>
    <xf numFmtId="173" fontId="19" fillId="0" borderId="13" applyAlignment="1" pivotButton="0" quotePrefix="0" xfId="81">
      <alignment horizontal="general" vertical="bottom"/>
    </xf>
    <xf numFmtId="0" fontId="19" fillId="0" borderId="56" applyAlignment="1" pivotButton="0" quotePrefix="0" xfId="81">
      <alignment horizontal="left" vertical="bottom" indent="2"/>
    </xf>
    <xf numFmtId="0" fontId="19" fillId="0" borderId="56" applyAlignment="1" pivotButton="0" quotePrefix="0" xfId="81">
      <alignment horizontal="left" vertical="bottom"/>
    </xf>
    <xf numFmtId="173" fontId="19" fillId="0" borderId="56" applyAlignment="1" pivotButton="0" quotePrefix="0" xfId="81">
      <alignment horizontal="general" vertical="bottom"/>
    </xf>
    <xf numFmtId="173" fontId="19" fillId="4" borderId="56" applyAlignment="1" pivotButton="0" quotePrefix="0" xfId="81">
      <alignment horizontal="general" vertical="bottom"/>
    </xf>
    <xf numFmtId="173" fontId="19" fillId="4" borderId="55" applyAlignment="1" pivotButton="0" quotePrefix="0" xfId="81">
      <alignment horizontal="general" vertical="bottom"/>
    </xf>
    <xf numFmtId="0" fontId="38" fillId="0" borderId="0" applyAlignment="1" pivotButton="0" quotePrefix="0" xfId="81">
      <alignment horizontal="general" vertical="bottom"/>
    </xf>
    <xf numFmtId="0" fontId="38" fillId="2" borderId="0" applyAlignment="1" pivotButton="0" quotePrefix="0" xfId="81">
      <alignment horizontal="left" vertical="bottom"/>
    </xf>
    <xf numFmtId="0" fontId="38" fillId="0" borderId="0" applyAlignment="1" pivotButton="0" quotePrefix="0" xfId="81">
      <alignment horizontal="left" vertical="bottom"/>
    </xf>
    <xf numFmtId="0" fontId="34" fillId="7" borderId="22" applyAlignment="1" pivotButton="0" quotePrefix="0" xfId="81">
      <alignment horizontal="general" vertical="center"/>
    </xf>
    <xf numFmtId="167" fontId="34" fillId="7" borderId="22" applyAlignment="1" pivotButton="0" quotePrefix="0" xfId="81">
      <alignment horizontal="right" vertical="center"/>
    </xf>
    <xf numFmtId="167" fontId="34" fillId="7" borderId="35" applyAlignment="1" pivotButton="0" quotePrefix="0" xfId="81">
      <alignment horizontal="right" vertical="center"/>
    </xf>
    <xf numFmtId="0" fontId="72" fillId="0" borderId="0" applyAlignment="1" pivotButton="0" quotePrefix="0" xfId="0">
      <alignment horizontal="general" vertical="bottom"/>
    </xf>
    <xf numFmtId="0" fontId="35" fillId="0" borderId="0" applyAlignment="1" pivotButton="0" quotePrefix="0" xfId="81">
      <alignment horizontal="general" vertical="bottom"/>
    </xf>
    <xf numFmtId="0" fontId="35" fillId="2" borderId="0" applyAlignment="1" pivotButton="0" quotePrefix="0" xfId="81">
      <alignment horizontal="left" vertical="bottom"/>
    </xf>
    <xf numFmtId="0" fontId="35" fillId="0" borderId="0" applyAlignment="1" pivotButton="0" quotePrefix="0" xfId="81">
      <alignment horizontal="left" vertical="bottom"/>
    </xf>
    <xf numFmtId="196" fontId="35" fillId="0" borderId="0" applyAlignment="1" pivotButton="0" quotePrefix="0" xfId="81">
      <alignment horizontal="general" vertical="bottom"/>
    </xf>
    <xf numFmtId="0" fontId="35" fillId="0" borderId="4" applyAlignment="1" pivotButton="0" quotePrefix="0" xfId="81">
      <alignment horizontal="left" vertical="bottom"/>
    </xf>
    <xf numFmtId="189" fontId="35" fillId="0" borderId="0" applyAlignment="1" pivotButton="0" quotePrefix="0" xfId="81">
      <alignment horizontal="general" vertical="bottom"/>
    </xf>
    <xf numFmtId="0" fontId="23" fillId="4" borderId="2" applyAlignment="1" pivotButton="0" quotePrefix="0" xfId="0">
      <alignment horizontal="general" vertical="bottom"/>
    </xf>
    <xf numFmtId="189" fontId="35" fillId="0" borderId="23" applyAlignment="1" pivotButton="0" quotePrefix="0" xfId="0">
      <alignment horizontal="general" vertical="bottom"/>
    </xf>
    <xf numFmtId="0" fontId="0" fillId="2" borderId="0" applyAlignment="1" pivotButton="0" quotePrefix="0" xfId="0">
      <alignment horizontal="general" vertical="bottom"/>
    </xf>
    <xf numFmtId="189" fontId="5" fillId="0" borderId="0" applyAlignment="1" pivotButton="0" quotePrefix="0" xfId="0">
      <alignment horizontal="general" vertical="bottom"/>
    </xf>
    <xf numFmtId="0" fontId="5" fillId="0" borderId="0" applyAlignment="1" pivotButton="0" quotePrefix="0" xfId="39">
      <alignment horizontal="general" vertical="bottom" wrapText="1"/>
    </xf>
    <xf numFmtId="196" fontId="21" fillId="5" borderId="0" applyAlignment="1" pivotButton="0" quotePrefix="0" xfId="39">
      <alignment horizontal="right" vertical="bottom" wrapText="1"/>
    </xf>
    <xf numFmtId="189" fontId="35" fillId="0" borderId="0" applyAlignment="1" pivotButton="0" quotePrefix="0" xfId="39">
      <alignment horizontal="general" vertical="bottom"/>
    </xf>
    <xf numFmtId="0" fontId="50" fillId="2" borderId="0" applyAlignment="1" pivotButton="0" quotePrefix="0" xfId="0">
      <alignment horizontal="general" vertical="center"/>
    </xf>
    <xf numFmtId="0" fontId="31" fillId="2" borderId="0" applyAlignment="1" pivotButton="0" quotePrefix="0" xfId="47">
      <alignment horizontal="general" vertical="bottom"/>
    </xf>
    <xf numFmtId="0" fontId="31" fillId="0" borderId="0" applyAlignment="1" pivotButton="0" quotePrefix="0" xfId="54">
      <alignment horizontal="general" vertical="bottom"/>
    </xf>
    <xf numFmtId="0" fontId="31" fillId="5" borderId="15" applyAlignment="1" pivotButton="0" quotePrefix="0" xfId="0">
      <alignment horizontal="center" vertical="bottom"/>
    </xf>
    <xf numFmtId="0" fontId="31" fillId="6" borderId="15" applyAlignment="1" pivotButton="0" quotePrefix="0" xfId="0">
      <alignment horizontal="center" vertical="bottom"/>
    </xf>
    <xf numFmtId="0" fontId="31" fillId="0" borderId="0" applyAlignment="1" pivotButton="0" quotePrefix="0" xfId="0">
      <alignment horizontal="center" vertical="bottom"/>
    </xf>
    <xf numFmtId="0" fontId="31" fillId="0" borderId="0" applyAlignment="1" pivotButton="0" quotePrefix="0" xfId="0">
      <alignment horizontal="right" vertical="bottom" wrapText="1"/>
    </xf>
    <xf numFmtId="0" fontId="31" fillId="2" borderId="0" applyAlignment="1" pivotButton="0" quotePrefix="0" xfId="47">
      <alignment horizontal="right" vertical="bottom" wrapText="1"/>
    </xf>
    <xf numFmtId="0" fontId="31" fillId="0" borderId="0" applyAlignment="1" pivotButton="0" quotePrefix="0" xfId="54">
      <alignment horizontal="right" vertical="bottom" wrapText="1"/>
    </xf>
    <xf numFmtId="0" fontId="31" fillId="5" borderId="0" applyAlignment="1" pivotButton="0" quotePrefix="0" xfId="0">
      <alignment horizontal="right" vertical="bottom" wrapText="1"/>
    </xf>
    <xf numFmtId="0" fontId="31" fillId="5" borderId="6" applyAlignment="1" pivotButton="0" quotePrefix="0" xfId="0">
      <alignment horizontal="right" vertical="bottom" wrapText="1"/>
    </xf>
    <xf numFmtId="0" fontId="31" fillId="6" borderId="0" applyAlignment="1" pivotButton="0" quotePrefix="0" xfId="0">
      <alignment horizontal="right" vertical="bottom" wrapText="1"/>
    </xf>
    <xf numFmtId="0" fontId="31" fillId="6" borderId="6" applyAlignment="1" pivotButton="0" quotePrefix="0" xfId="0">
      <alignment horizontal="right" vertical="bottom" wrapText="1"/>
    </xf>
    <xf numFmtId="0" fontId="31" fillId="5" borderId="0" applyAlignment="1" pivotButton="0" quotePrefix="0" xfId="0">
      <alignment horizontal="general" vertical="bottom" wrapText="1"/>
    </xf>
    <xf numFmtId="0" fontId="31" fillId="0" borderId="0" applyAlignment="1" pivotButton="0" quotePrefix="0" xfId="0">
      <alignment horizontal="general" vertical="bottom" wrapText="1"/>
    </xf>
    <xf numFmtId="167" fontId="5" fillId="0" borderId="13" applyAlignment="1" pivotButton="0" quotePrefix="0" xfId="0">
      <alignment horizontal="general" vertical="bottom"/>
    </xf>
    <xf numFmtId="167" fontId="5" fillId="4" borderId="13" applyAlignment="1" pivotButton="0" quotePrefix="0" xfId="0">
      <alignment horizontal="general" vertical="bottom"/>
    </xf>
    <xf numFmtId="167" fontId="34" fillId="7" borderId="2" applyAlignment="1" pivotButton="0" quotePrefix="0" xfId="0">
      <alignment horizontal="right" vertical="center"/>
    </xf>
    <xf numFmtId="167" fontId="34" fillId="7" borderId="22" applyAlignment="1" pivotButton="0" quotePrefix="0" xfId="0">
      <alignment horizontal="general" vertical="center"/>
    </xf>
    <xf numFmtId="168" fontId="47" fillId="7" borderId="22" applyAlignment="1" pivotButton="0" quotePrefix="0" xfId="0">
      <alignment horizontal="right" vertical="center"/>
    </xf>
    <xf numFmtId="167" fontId="35" fillId="0" borderId="0" applyAlignment="1" pivotButton="0" quotePrefix="0" xfId="0">
      <alignment horizontal="general" vertical="bottom"/>
    </xf>
    <xf numFmtId="189" fontId="5" fillId="0" borderId="0" applyAlignment="1" pivotButton="0" quotePrefix="0" xfId="0">
      <alignment horizontal="left" vertical="bottom"/>
    </xf>
    <xf numFmtId="0" fontId="5" fillId="2" borderId="0" applyAlignment="1" pivotButton="0" quotePrefix="0" xfId="0">
      <alignment horizontal="left" vertical="bottom" wrapText="1"/>
    </xf>
    <xf numFmtId="0" fontId="21" fillId="5" borderId="20" applyAlignment="1" pivotButton="0" quotePrefix="0" xfId="0">
      <alignment horizontal="left" vertical="bottom" wrapText="1"/>
    </xf>
    <xf numFmtId="0" fontId="21" fillId="5" borderId="19" applyAlignment="1" pivotButton="0" quotePrefix="0" xfId="0">
      <alignment horizontal="left" vertical="bottom" wrapText="1"/>
    </xf>
    <xf numFmtId="179" fontId="21" fillId="5" borderId="19" applyAlignment="1" pivotButton="0" quotePrefix="0" xfId="0">
      <alignment horizontal="left" vertical="bottom" wrapText="1"/>
    </xf>
    <xf numFmtId="179" fontId="21" fillId="5" borderId="21" applyAlignment="1" pivotButton="0" quotePrefix="0" xfId="0">
      <alignment horizontal="left" vertical="bottom" wrapText="1"/>
    </xf>
    <xf numFmtId="0" fontId="5" fillId="0" borderId="8" applyAlignment="1" pivotButton="0" quotePrefix="0" xfId="0">
      <alignment horizontal="general" vertical="center" wrapText="1"/>
    </xf>
    <xf numFmtId="0" fontId="5" fillId="0" borderId="8" applyAlignment="1" pivotButton="0" quotePrefix="0" xfId="0">
      <alignment horizontal="left" vertical="center" wrapText="1"/>
    </xf>
    <xf numFmtId="196" fontId="5" fillId="0" borderId="8" applyAlignment="1" pivotButton="0" quotePrefix="0" xfId="0">
      <alignment horizontal="left" vertical="center" wrapText="1"/>
    </xf>
    <xf numFmtId="179" fontId="5" fillId="0" borderId="8" applyAlignment="1" pivotButton="0" quotePrefix="0" xfId="0">
      <alignment horizontal="left" vertical="center" wrapText="1"/>
    </xf>
    <xf numFmtId="0" fontId="38" fillId="0" borderId="8" applyAlignment="1" pivotButton="0" quotePrefix="0" xfId="0">
      <alignment horizontal="left" vertical="center" wrapText="1"/>
    </xf>
    <xf numFmtId="0" fontId="5" fillId="0" borderId="11" applyAlignment="1" pivotButton="0" quotePrefix="0" xfId="0">
      <alignment horizontal="left" vertical="center" wrapText="1"/>
    </xf>
    <xf numFmtId="196" fontId="5" fillId="0" borderId="11" applyAlignment="1" pivotButton="0" quotePrefix="0" xfId="0">
      <alignment horizontal="left" vertical="center" wrapText="1"/>
    </xf>
    <xf numFmtId="179" fontId="5" fillId="0" borderId="11" applyAlignment="1" pivotButton="0" quotePrefix="0" xfId="0">
      <alignment horizontal="left" vertical="center" wrapText="1"/>
    </xf>
    <xf numFmtId="0" fontId="5" fillId="0" borderId="11" applyAlignment="1" pivotButton="0" quotePrefix="0" xfId="0">
      <alignment horizontal="general" vertical="center" wrapText="1"/>
    </xf>
    <xf numFmtId="0" fontId="5" fillId="0" borderId="18" applyAlignment="1" pivotButton="0" quotePrefix="0" xfId="0">
      <alignment horizontal="general" vertical="center" wrapText="1"/>
    </xf>
    <xf numFmtId="0" fontId="5" fillId="0" borderId="18" applyAlignment="1" pivotButton="0" quotePrefix="0" xfId="0">
      <alignment horizontal="left" vertical="center" wrapText="1"/>
    </xf>
    <xf numFmtId="196" fontId="5" fillId="0" borderId="18" applyAlignment="1" pivotButton="0" quotePrefix="0" xfId="0">
      <alignment horizontal="left" vertical="center" wrapText="1"/>
    </xf>
    <xf numFmtId="179" fontId="5" fillId="0" borderId="18" applyAlignment="1" pivotButton="0" quotePrefix="0" xfId="0">
      <alignment horizontal="left" vertical="center" wrapText="1"/>
    </xf>
    <xf numFmtId="170" fontId="5" fillId="0" borderId="0" applyAlignment="1" pivotButton="0" quotePrefix="0" xfId="0">
      <alignment horizontal="left" vertical="bottom"/>
    </xf>
    <xf numFmtId="166" fontId="21" fillId="5" borderId="19" applyAlignment="1" pivotButton="0" quotePrefix="0" xfId="0">
      <alignment horizontal="right" vertical="center" wrapText="1"/>
    </xf>
    <xf numFmtId="166" fontId="21" fillId="5" borderId="0" applyAlignment="1" pivotButton="0" quotePrefix="0" xfId="0">
      <alignment horizontal="right" vertical="center" wrapText="1"/>
    </xf>
    <xf numFmtId="196" fontId="21" fillId="5" borderId="21" applyAlignment="1" pivotButton="0" quotePrefix="0" xfId="0">
      <alignment horizontal="right" vertical="bottom"/>
    </xf>
    <xf numFmtId="196" fontId="21" fillId="5" borderId="19" applyAlignment="1" pivotButton="0" quotePrefix="0" xfId="0">
      <alignment horizontal="right" vertical="bottom"/>
    </xf>
    <xf numFmtId="196" fontId="21" fillId="5" borderId="0" applyAlignment="1" pivotButton="0" quotePrefix="0" xfId="0">
      <alignment horizontal="right" vertical="bottom" wrapText="1"/>
    </xf>
    <xf numFmtId="166" fontId="21" fillId="5" borderId="20" applyAlignment="1" pivotButton="0" quotePrefix="0" xfId="0">
      <alignment horizontal="left" vertical="bottom" wrapText="1"/>
    </xf>
    <xf numFmtId="166" fontId="21" fillId="5" borderId="19" applyAlignment="1" pivotButton="0" quotePrefix="0" xfId="0">
      <alignment horizontal="left" vertical="bottom"/>
    </xf>
    <xf numFmtId="0" fontId="19" fillId="4" borderId="9" applyAlignment="1" pivotButton="0" quotePrefix="0" xfId="0">
      <alignment horizontal="left" vertical="center" wrapText="1"/>
    </xf>
    <xf numFmtId="174" fontId="19" fillId="4" borderId="9" applyAlignment="1" pivotButton="0" quotePrefix="0" xfId="0">
      <alignment horizontal="left" vertical="center" wrapText="1"/>
    </xf>
    <xf numFmtId="173" fontId="19" fillId="4" borderId="9" applyAlignment="1" pivotButton="0" quotePrefix="0" xfId="0">
      <alignment horizontal="left" vertical="center" wrapText="1"/>
    </xf>
    <xf numFmtId="200" fontId="19" fillId="4" borderId="9" applyAlignment="1" pivotButton="0" quotePrefix="0" xfId="0">
      <alignment horizontal="left" vertical="center" wrapText="1"/>
    </xf>
    <xf numFmtId="0" fontId="7" fillId="0" borderId="0" applyAlignment="1" pivotButton="0" quotePrefix="0" xfId="52">
      <alignment horizontal="general" vertical="bottom"/>
    </xf>
    <xf numFmtId="0" fontId="7" fillId="2" borderId="0" applyAlignment="1" pivotButton="0" quotePrefix="0" xfId="52">
      <alignment horizontal="left" vertical="bottom"/>
    </xf>
    <xf numFmtId="0" fontId="27" fillId="0" borderId="0" applyAlignment="1" pivotButton="0" quotePrefix="0" xfId="52">
      <alignment horizontal="left" vertical="bottom"/>
    </xf>
    <xf numFmtId="0" fontId="7" fillId="0" borderId="0" applyAlignment="1" pivotButton="0" quotePrefix="0" xfId="52">
      <alignment horizontal="left" vertical="bottom"/>
    </xf>
    <xf numFmtId="0" fontId="28" fillId="0" borderId="0" applyAlignment="1" pivotButton="0" quotePrefix="0" xfId="52">
      <alignment horizontal="left" vertical="bottom"/>
    </xf>
    <xf numFmtId="0" fontId="29" fillId="0" borderId="0" applyAlignment="1" pivotButton="0" quotePrefix="0" xfId="52">
      <alignment horizontal="left" vertical="bottom"/>
    </xf>
    <xf numFmtId="0" fontId="24" fillId="0" borderId="0" applyAlignment="1" pivotButton="0" quotePrefix="0" xfId="52">
      <alignment horizontal="left" vertical="bottom"/>
    </xf>
    <xf numFmtId="0" fontId="21" fillId="5" borderId="0" applyAlignment="1" pivotButton="0" quotePrefix="0" xfId="0">
      <alignment horizontal="left" vertical="bottom" wrapText="1"/>
    </xf>
    <xf numFmtId="0" fontId="21" fillId="5" borderId="20" applyAlignment="1" pivotButton="0" quotePrefix="0" xfId="0">
      <alignment horizontal="center" vertical="bottom"/>
    </xf>
    <xf numFmtId="196" fontId="5" fillId="0" borderId="0" applyAlignment="1" pivotButton="0" quotePrefix="0" xfId="0">
      <alignment horizontal="general" vertical="bottom"/>
    </xf>
    <xf numFmtId="0" fontId="21" fillId="5" borderId="10" applyAlignment="1" pivotButton="0" quotePrefix="0" xfId="0">
      <alignment horizontal="left" vertical="bottom"/>
    </xf>
    <xf numFmtId="0" fontId="21" fillId="5" borderId="5" applyAlignment="1" pivotButton="0" quotePrefix="0" xfId="0">
      <alignment horizontal="left" vertical="center" wrapText="1"/>
    </xf>
    <xf numFmtId="173" fontId="19" fillId="0" borderId="84" applyAlignment="1" pivotButton="0" quotePrefix="0" xfId="0">
      <alignment horizontal="general" vertical="bottom"/>
    </xf>
    <xf numFmtId="0" fontId="19" fillId="4" borderId="0" applyAlignment="1" pivotButton="0" quotePrefix="0" xfId="0">
      <alignment horizontal="left" vertical="bottom" wrapText="1"/>
    </xf>
    <xf numFmtId="170" fontId="5" fillId="0" borderId="3" applyAlignment="1" pivotButton="0" quotePrefix="0" xfId="0">
      <alignment horizontal="general" vertical="bottom"/>
    </xf>
    <xf numFmtId="170" fontId="5" fillId="0" borderId="28" applyAlignment="1" pivotButton="0" quotePrefix="0" xfId="0">
      <alignment horizontal="general" vertical="bottom"/>
    </xf>
    <xf numFmtId="173" fontId="19" fillId="0" borderId="72" applyAlignment="1" pivotButton="0" quotePrefix="0" xfId="0">
      <alignment horizontal="general" vertical="bottom"/>
    </xf>
    <xf numFmtId="0" fontId="34" fillId="7" borderId="3" applyAlignment="1" pivotButton="0" quotePrefix="0" xfId="0">
      <alignment horizontal="left" vertical="bottom" wrapText="1"/>
    </xf>
    <xf numFmtId="170" fontId="35" fillId="12" borderId="0" applyAlignment="1" pivotButton="0" quotePrefix="0" xfId="0">
      <alignment horizontal="general" vertical="bottom"/>
    </xf>
    <xf numFmtId="173" fontId="19" fillId="7" borderId="84" applyAlignment="1" pivotButton="0" quotePrefix="0" xfId="0">
      <alignment horizontal="general" vertical="bottom"/>
    </xf>
    <xf numFmtId="173" fontId="19" fillId="7" borderId="72" applyAlignment="1" pivotButton="0" quotePrefix="0" xfId="0">
      <alignment horizontal="general" vertical="bottom"/>
    </xf>
    <xf numFmtId="0" fontId="19" fillId="7" borderId="13" applyAlignment="1" pivotButton="0" quotePrefix="0" xfId="0">
      <alignment horizontal="left" vertical="bottom"/>
    </xf>
    <xf numFmtId="170" fontId="7" fillId="0" borderId="0" applyAlignment="1" pivotButton="0" quotePrefix="0" xfId="80">
      <alignment horizontal="general" vertical="center"/>
    </xf>
    <xf numFmtId="170" fontId="10" fillId="0" borderId="0" applyAlignment="1" pivotButton="0" quotePrefix="0" xfId="80">
      <alignment horizontal="general" vertical="center"/>
    </xf>
    <xf numFmtId="0" fontId="10" fillId="0" borderId="0" applyAlignment="1" pivotButton="0" quotePrefix="0" xfId="80">
      <alignment horizontal="general" vertical="center"/>
    </xf>
    <xf numFmtId="185" fontId="7" fillId="0" borderId="0" applyAlignment="1" pivotButton="0" quotePrefix="0" xfId="80">
      <alignment horizontal="general" vertical="center"/>
    </xf>
    <xf numFmtId="173" fontId="7" fillId="0" borderId="0" applyAlignment="1" pivotButton="0" quotePrefix="0" xfId="80">
      <alignment horizontal="general" vertical="center"/>
    </xf>
    <xf numFmtId="166" fontId="21" fillId="5" borderId="15" applyAlignment="1" pivotButton="0" quotePrefix="0" xfId="80">
      <alignment horizontal="center" vertical="bottom"/>
    </xf>
    <xf numFmtId="166" fontId="21" fillId="5" borderId="31" applyAlignment="1" pivotButton="0" quotePrefix="0" xfId="80">
      <alignment horizontal="center" vertical="bottom"/>
    </xf>
    <xf numFmtId="166" fontId="21" fillId="5" borderId="31" applyAlignment="1" pivotButton="0" quotePrefix="0" xfId="80">
      <alignment horizontal="center" vertical="bottom" wrapText="1"/>
    </xf>
    <xf numFmtId="166" fontId="21" fillId="5" borderId="0" applyAlignment="1" pivotButton="0" quotePrefix="0" xfId="80">
      <alignment horizontal="center" vertical="bottom"/>
    </xf>
    <xf numFmtId="166" fontId="21" fillId="5" borderId="20" applyAlignment="1" pivotButton="0" quotePrefix="0" xfId="80">
      <alignment horizontal="center" vertical="bottom"/>
    </xf>
    <xf numFmtId="166" fontId="21" fillId="8" borderId="15" applyAlignment="1" pivotButton="0" quotePrefix="0" xfId="80">
      <alignment horizontal="center" vertical="bottom"/>
    </xf>
    <xf numFmtId="166" fontId="21" fillId="8" borderId="31" applyAlignment="1" pivotButton="0" quotePrefix="0" xfId="80">
      <alignment horizontal="center" vertical="bottom"/>
    </xf>
    <xf numFmtId="166" fontId="21" fillId="8" borderId="0" applyAlignment="1" pivotButton="0" quotePrefix="0" xfId="80">
      <alignment horizontal="center" vertical="bottom"/>
    </xf>
    <xf numFmtId="166" fontId="21" fillId="8" borderId="20" applyAlignment="1" pivotButton="0" quotePrefix="0" xfId="80">
      <alignment horizontal="center" vertical="bottom"/>
    </xf>
    <xf numFmtId="166" fontId="21" fillId="8" borderId="31" applyAlignment="1" pivotButton="0" quotePrefix="0" xfId="80">
      <alignment horizontal="center" vertical="bottom" wrapText="1"/>
    </xf>
    <xf numFmtId="166" fontId="21" fillId="21" borderId="15" applyAlignment="1" pivotButton="0" quotePrefix="0" xfId="80">
      <alignment horizontal="center" vertical="bottom"/>
    </xf>
    <xf numFmtId="166" fontId="21" fillId="21" borderId="31" applyAlignment="1" pivotButton="0" quotePrefix="0" xfId="80">
      <alignment horizontal="center" vertical="bottom"/>
    </xf>
    <xf numFmtId="166" fontId="21" fillId="21" borderId="0" applyAlignment="1" pivotButton="0" quotePrefix="0" xfId="80">
      <alignment horizontal="center" vertical="bottom"/>
    </xf>
    <xf numFmtId="166" fontId="21" fillId="21" borderId="20" applyAlignment="1" pivotButton="0" quotePrefix="0" xfId="80">
      <alignment horizontal="center" vertical="bottom"/>
    </xf>
    <xf numFmtId="166" fontId="21" fillId="21" borderId="31" applyAlignment="1" pivotButton="0" quotePrefix="0" xfId="80">
      <alignment horizontal="center" vertical="bottom" wrapText="1"/>
    </xf>
    <xf numFmtId="166" fontId="21" fillId="5" borderId="0" applyAlignment="1" pivotButton="0" quotePrefix="0" xfId="80">
      <alignment horizontal="right" vertical="bottom"/>
    </xf>
    <xf numFmtId="166" fontId="21" fillId="5" borderId="20" applyAlignment="1" pivotButton="0" quotePrefix="0" xfId="80">
      <alignment horizontal="right" vertical="bottom"/>
    </xf>
    <xf numFmtId="166" fontId="21" fillId="5" borderId="19" applyAlignment="1" pivotButton="0" quotePrefix="0" xfId="80">
      <alignment horizontal="right" vertical="bottom"/>
    </xf>
    <xf numFmtId="166" fontId="21" fillId="5" borderId="21" applyAlignment="1" pivotButton="0" quotePrefix="0" xfId="80">
      <alignment horizontal="right" vertical="bottom" wrapText="1"/>
    </xf>
    <xf numFmtId="166" fontId="21" fillId="5" borderId="5" applyAlignment="1" pivotButton="0" quotePrefix="0" xfId="80">
      <alignment horizontal="right" vertical="bottom"/>
    </xf>
    <xf numFmtId="166" fontId="21" fillId="8" borderId="0" applyAlignment="1" pivotButton="0" quotePrefix="0" xfId="80">
      <alignment horizontal="right" vertical="bottom"/>
    </xf>
    <xf numFmtId="166" fontId="21" fillId="8" borderId="20" applyAlignment="1" pivotButton="0" quotePrefix="0" xfId="80">
      <alignment horizontal="right" vertical="bottom"/>
    </xf>
    <xf numFmtId="166" fontId="21" fillId="8" borderId="10" applyAlignment="1" pivotButton="0" quotePrefix="0" xfId="80">
      <alignment horizontal="right" vertical="bottom"/>
    </xf>
    <xf numFmtId="166" fontId="21" fillId="8" borderId="5" applyAlignment="1" pivotButton="0" quotePrefix="0" xfId="80">
      <alignment horizontal="right" vertical="bottom"/>
    </xf>
    <xf numFmtId="166" fontId="21" fillId="8" borderId="19" applyAlignment="1" pivotButton="0" quotePrefix="0" xfId="80">
      <alignment horizontal="right" vertical="bottom"/>
    </xf>
    <xf numFmtId="166" fontId="21" fillId="8" borderId="21" applyAlignment="1" pivotButton="0" quotePrefix="0" xfId="80">
      <alignment horizontal="right" vertical="bottom" wrapText="1"/>
    </xf>
    <xf numFmtId="166" fontId="21" fillId="21" borderId="0" applyAlignment="1" pivotButton="0" quotePrefix="0" xfId="80">
      <alignment horizontal="right" vertical="bottom"/>
    </xf>
    <xf numFmtId="166" fontId="21" fillId="21" borderId="20" applyAlignment="1" pivotButton="0" quotePrefix="0" xfId="80">
      <alignment horizontal="right" vertical="bottom"/>
    </xf>
    <xf numFmtId="166" fontId="21" fillId="21" borderId="10" applyAlignment="1" pivotButton="0" quotePrefix="0" xfId="80">
      <alignment horizontal="right" vertical="bottom"/>
    </xf>
    <xf numFmtId="166" fontId="21" fillId="21" borderId="5" applyAlignment="1" pivotButton="0" quotePrefix="0" xfId="80">
      <alignment horizontal="right" vertical="bottom"/>
    </xf>
    <xf numFmtId="166" fontId="21" fillId="21" borderId="19" applyAlignment="1" pivotButton="0" quotePrefix="0" xfId="80">
      <alignment horizontal="right" vertical="bottom"/>
    </xf>
    <xf numFmtId="166" fontId="21" fillId="21" borderId="21" applyAlignment="1" pivotButton="0" quotePrefix="0" xfId="80">
      <alignment horizontal="right" vertical="bottom" wrapText="1"/>
    </xf>
    <xf numFmtId="173" fontId="19" fillId="7" borderId="0" applyAlignment="1" pivotButton="0" quotePrefix="0" xfId="80">
      <alignment horizontal="general" vertical="center"/>
    </xf>
    <xf numFmtId="173" fontId="19" fillId="7" borderId="23" applyAlignment="1" pivotButton="0" quotePrefix="0" xfId="80">
      <alignment horizontal="general" vertical="center"/>
    </xf>
    <xf numFmtId="173" fontId="19" fillId="4" borderId="23" applyAlignment="1" pivotButton="0" quotePrefix="0" xfId="80">
      <alignment horizontal="general" vertical="center"/>
    </xf>
    <xf numFmtId="173" fontId="19" fillId="7" borderId="13" applyAlignment="1" pivotButton="0" quotePrefix="0" xfId="80">
      <alignment horizontal="general" vertical="center"/>
    </xf>
    <xf numFmtId="173" fontId="19" fillId="7" borderId="24" applyAlignment="1" pivotButton="0" quotePrefix="0" xfId="80">
      <alignment horizontal="general" vertical="center"/>
    </xf>
    <xf numFmtId="173" fontId="19" fillId="4" borderId="24" applyAlignment="1" pivotButton="0" quotePrefix="0" xfId="80">
      <alignment horizontal="general" vertical="center"/>
    </xf>
    <xf numFmtId="198" fontId="7" fillId="0" borderId="0" applyAlignment="1" pivotButton="0" quotePrefix="0" xfId="80">
      <alignment horizontal="general" vertical="center"/>
    </xf>
    <xf numFmtId="0" fontId="34" fillId="7" borderId="22" applyAlignment="1" pivotButton="0" quotePrefix="0" xfId="80">
      <alignment horizontal="left" vertical="center"/>
    </xf>
    <xf numFmtId="173" fontId="34" fillId="7" borderId="22" applyAlignment="1" pivotButton="0" quotePrefix="0" xfId="80">
      <alignment horizontal="general" vertical="center"/>
    </xf>
    <xf numFmtId="173" fontId="34" fillId="7" borderId="34" applyAlignment="1" pivotButton="0" quotePrefix="0" xfId="80">
      <alignment horizontal="general" vertical="center"/>
    </xf>
    <xf numFmtId="173" fontId="34" fillId="7" borderId="35" applyAlignment="1" pivotButton="0" quotePrefix="0" xfId="80">
      <alignment horizontal="general" vertical="center"/>
    </xf>
    <xf numFmtId="170" fontId="22" fillId="0" borderId="0" applyAlignment="1" pivotButton="0" quotePrefix="0" xfId="80">
      <alignment horizontal="general" vertical="center"/>
    </xf>
    <xf numFmtId="0" fontId="22" fillId="2" borderId="0" applyAlignment="1" pivotButton="0" quotePrefix="0" xfId="49">
      <alignment horizontal="general" vertical="bottom"/>
    </xf>
    <xf numFmtId="0" fontId="25" fillId="7" borderId="0" applyAlignment="1" pivotButton="0" quotePrefix="0" xfId="80">
      <alignment horizontal="left" vertical="center"/>
    </xf>
    <xf numFmtId="173" fontId="25" fillId="7" borderId="0" applyAlignment="1" pivotButton="0" quotePrefix="0" xfId="80">
      <alignment horizontal="general" vertical="center"/>
    </xf>
    <xf numFmtId="168" fontId="25" fillId="7" borderId="0" applyAlignment="1" pivotButton="0" quotePrefix="0" xfId="80">
      <alignment horizontal="right" vertical="center"/>
    </xf>
    <xf numFmtId="198" fontId="22" fillId="0" borderId="0" applyAlignment="1" pivotButton="0" quotePrefix="0" xfId="80">
      <alignment horizontal="general" vertical="center"/>
    </xf>
    <xf numFmtId="170" fontId="22" fillId="7" borderId="0" applyAlignment="1" pivotButton="0" quotePrefix="0" xfId="80">
      <alignment horizontal="general" vertical="center"/>
    </xf>
    <xf numFmtId="170" fontId="7" fillId="7" borderId="0" applyAlignment="1" pivotButton="0" quotePrefix="0" xfId="80">
      <alignment horizontal="general" vertical="center"/>
    </xf>
    <xf numFmtId="0" fontId="0" fillId="22" borderId="0" applyAlignment="1" pivotButton="0" quotePrefix="0" xfId="0">
      <alignment horizontal="general" vertical="bottom"/>
    </xf>
    <xf numFmtId="166" fontId="21" fillId="11" borderId="15" applyAlignment="1" pivotButton="0" quotePrefix="0" xfId="0">
      <alignment horizontal="center" vertical="bottom"/>
    </xf>
    <xf numFmtId="166" fontId="21" fillId="11" borderId="31" applyAlignment="1" pivotButton="0" quotePrefix="0" xfId="0">
      <alignment horizontal="center" vertical="bottom"/>
    </xf>
    <xf numFmtId="166" fontId="21" fillId="6" borderId="15" applyAlignment="1" pivotButton="0" quotePrefix="0" xfId="0">
      <alignment horizontal="center" vertical="bottom"/>
    </xf>
    <xf numFmtId="166" fontId="21" fillId="6" borderId="31" applyAlignment="1" pivotButton="0" quotePrefix="0" xfId="0">
      <alignment horizontal="center" vertical="bottom"/>
    </xf>
    <xf numFmtId="166" fontId="21" fillId="23" borderId="15" applyAlignment="1" pivotButton="0" quotePrefix="0" xfId="0">
      <alignment horizontal="center" vertical="bottom"/>
    </xf>
    <xf numFmtId="166" fontId="21" fillId="23" borderId="31" applyAlignment="1" pivotButton="0" quotePrefix="0" xfId="0">
      <alignment horizontal="center" vertical="bottom"/>
    </xf>
    <xf numFmtId="166" fontId="21" fillId="8" borderId="0" applyAlignment="1" pivotButton="0" quotePrefix="0" xfId="0">
      <alignment horizontal="right" vertical="bottom"/>
    </xf>
    <xf numFmtId="166" fontId="21" fillId="8" borderId="20" applyAlignment="1" pivotButton="0" quotePrefix="0" xfId="0">
      <alignment horizontal="right" vertical="bottom"/>
    </xf>
    <xf numFmtId="166" fontId="21" fillId="8" borderId="19" applyAlignment="1" pivotButton="0" quotePrefix="0" xfId="0">
      <alignment horizontal="right" vertical="bottom"/>
    </xf>
    <xf numFmtId="166" fontId="21" fillId="11" borderId="0" applyAlignment="1" pivotButton="0" quotePrefix="0" xfId="0">
      <alignment horizontal="right" vertical="bottom"/>
    </xf>
    <xf numFmtId="166" fontId="21" fillId="11" borderId="20" applyAlignment="1" pivotButton="0" quotePrefix="0" xfId="0">
      <alignment horizontal="right" vertical="bottom"/>
    </xf>
    <xf numFmtId="166" fontId="21" fillId="11" borderId="19" applyAlignment="1" pivotButton="0" quotePrefix="0" xfId="0">
      <alignment horizontal="right" vertical="bottom"/>
    </xf>
    <xf numFmtId="166" fontId="21" fillId="11" borderId="19" applyAlignment="1" pivotButton="0" quotePrefix="0" xfId="0">
      <alignment horizontal="right" vertical="center" wrapText="1"/>
    </xf>
    <xf numFmtId="166" fontId="21" fillId="6" borderId="0" applyAlignment="1" pivotButton="0" quotePrefix="0" xfId="0">
      <alignment horizontal="right" vertical="bottom"/>
    </xf>
    <xf numFmtId="166" fontId="21" fillId="6" borderId="20" applyAlignment="1" pivotButton="0" quotePrefix="0" xfId="0">
      <alignment horizontal="right" vertical="bottom"/>
    </xf>
    <xf numFmtId="166" fontId="21" fillId="6" borderId="19" applyAlignment="1" pivotButton="0" quotePrefix="0" xfId="0">
      <alignment horizontal="right" vertical="bottom"/>
    </xf>
    <xf numFmtId="166" fontId="21" fillId="6" borderId="19" applyAlignment="1" pivotButton="0" quotePrefix="0" xfId="0">
      <alignment horizontal="right" vertical="center" wrapText="1"/>
    </xf>
    <xf numFmtId="166" fontId="21" fillId="23" borderId="0" applyAlignment="1" pivotButton="0" quotePrefix="0" xfId="0">
      <alignment horizontal="right" vertical="bottom"/>
    </xf>
    <xf numFmtId="166" fontId="21" fillId="23" borderId="20" applyAlignment="1" pivotButton="0" quotePrefix="0" xfId="0">
      <alignment horizontal="right" vertical="bottom"/>
    </xf>
    <xf numFmtId="166" fontId="21" fillId="23" borderId="19" applyAlignment="1" pivotButton="0" quotePrefix="0" xfId="0">
      <alignment horizontal="right" vertical="bottom"/>
    </xf>
    <xf numFmtId="166" fontId="21" fillId="23" borderId="19" applyAlignment="1" pivotButton="0" quotePrefix="0" xfId="0">
      <alignment horizontal="right" vertical="center" wrapText="1"/>
    </xf>
    <xf numFmtId="202" fontId="25" fillId="4" borderId="0" applyAlignment="1" pivotButton="0" quotePrefix="0" xfId="0">
      <alignment horizontal="right" vertical="bottom"/>
    </xf>
    <xf numFmtId="202" fontId="25" fillId="4" borderId="23" applyAlignment="1" pivotButton="0" quotePrefix="0" xfId="0">
      <alignment horizontal="right" vertical="bottom"/>
    </xf>
    <xf numFmtId="202" fontId="25" fillId="4" borderId="4" applyAlignment="1" pivotButton="0" quotePrefix="0" xfId="0">
      <alignment horizontal="right" vertical="bottom"/>
    </xf>
    <xf numFmtId="202" fontId="47" fillId="7" borderId="22" applyAlignment="1" pivotButton="0" quotePrefix="0" xfId="0">
      <alignment horizontal="right" vertical="center"/>
    </xf>
    <xf numFmtId="202" fontId="47" fillId="7" borderId="34" applyAlignment="1" pivotButton="0" quotePrefix="0" xfId="0">
      <alignment horizontal="right" vertical="center"/>
    </xf>
    <xf numFmtId="202" fontId="47" fillId="7" borderId="35" applyAlignment="1" pivotButton="0" quotePrefix="0" xfId="0">
      <alignment horizontal="right" vertical="center"/>
    </xf>
    <xf numFmtId="172" fontId="35" fillId="0" borderId="0" applyAlignment="1" pivotButton="0" quotePrefix="0" xfId="0">
      <alignment horizontal="right" vertical="bottom"/>
    </xf>
    <xf numFmtId="0" fontId="23" fillId="4" borderId="0" applyAlignment="1" pivotButton="0" quotePrefix="0" xfId="0">
      <alignment horizontal="general" vertical="center"/>
    </xf>
    <xf numFmtId="203" fontId="5" fillId="0" borderId="0" applyAlignment="1" pivotButton="0" quotePrefix="0" xfId="39">
      <alignment horizontal="general" vertical="bottom"/>
    </xf>
    <xf numFmtId="166" fontId="21" fillId="5" borderId="5" applyAlignment="1" pivotButton="0" quotePrefix="0" xfId="0">
      <alignment horizontal="right" vertical="bottom"/>
    </xf>
    <xf numFmtId="0" fontId="21" fillId="5" borderId="5" applyAlignment="1" pivotButton="0" quotePrefix="0" xfId="0">
      <alignment horizontal="right" vertical="bottom" wrapText="1"/>
    </xf>
    <xf numFmtId="0" fontId="64" fillId="0" borderId="0" applyAlignment="1" pivotButton="0" quotePrefix="0" xfId="39">
      <alignment horizontal="general" vertical="bottom"/>
    </xf>
    <xf numFmtId="0" fontId="74" fillId="0" borderId="0" applyAlignment="1" pivotButton="0" quotePrefix="0" xfId="39">
      <alignment horizontal="general" vertical="bottom"/>
    </xf>
    <xf numFmtId="170" fontId="64" fillId="0" borderId="0" applyAlignment="1" pivotButton="0" quotePrefix="0" xfId="39">
      <alignment horizontal="general" vertical="bottom"/>
    </xf>
    <xf numFmtId="0" fontId="34" fillId="0" borderId="2" applyAlignment="1" pivotButton="0" quotePrefix="0" xfId="0">
      <alignment horizontal="left" vertical="center"/>
    </xf>
    <xf numFmtId="173" fontId="34" fillId="0" borderId="2" applyAlignment="1" pivotButton="0" quotePrefix="0" xfId="0">
      <alignment horizontal="general" vertical="center"/>
    </xf>
    <xf numFmtId="173" fontId="34" fillId="0" borderId="26" applyAlignment="1" pivotButton="0" quotePrefix="0" xfId="0">
      <alignment horizontal="general" vertical="center"/>
    </xf>
    <xf numFmtId="173" fontId="34" fillId="0" borderId="27" applyAlignment="1" pivotButton="0" quotePrefix="0" xfId="0">
      <alignment horizontal="general" vertical="center"/>
    </xf>
    <xf numFmtId="170" fontId="38" fillId="0" borderId="0" applyAlignment="1" pivotButton="0" quotePrefix="0" xfId="39">
      <alignment horizontal="general" vertical="bottom"/>
    </xf>
    <xf numFmtId="170" fontId="38" fillId="0" borderId="0" applyAlignment="1" pivotButton="0" quotePrefix="0" xfId="39">
      <alignment horizontal="general" vertical="bottom" wrapText="1"/>
    </xf>
    <xf numFmtId="0" fontId="19" fillId="0" borderId="0" applyAlignment="1" pivotButton="0" quotePrefix="0" xfId="0">
      <alignment horizontal="left" vertical="center" indent="1"/>
    </xf>
    <xf numFmtId="172" fontId="19" fillId="0" borderId="0" applyAlignment="1" pivotButton="0" quotePrefix="0" xfId="0">
      <alignment horizontal="right" vertical="center"/>
    </xf>
    <xf numFmtId="172" fontId="19" fillId="0" borderId="23" applyAlignment="1" pivotButton="0" quotePrefix="0" xfId="0">
      <alignment horizontal="right" vertical="center"/>
    </xf>
    <xf numFmtId="172" fontId="19" fillId="0" borderId="4" applyAlignment="1" pivotButton="0" quotePrefix="0" xfId="0">
      <alignment horizontal="right" vertical="center"/>
    </xf>
    <xf numFmtId="202" fontId="35" fillId="4" borderId="98" applyAlignment="1" pivotButton="0" quotePrefix="0" xfId="39">
      <alignment horizontal="right" vertical="bottom"/>
    </xf>
    <xf numFmtId="170" fontId="5" fillId="0" borderId="98" applyAlignment="1" pivotButton="0" quotePrefix="0" xfId="39">
      <alignment horizontal="general" vertical="bottom"/>
    </xf>
    <xf numFmtId="0" fontId="19" fillId="0" borderId="13" applyAlignment="1" pivotButton="0" quotePrefix="0" xfId="0">
      <alignment horizontal="left" vertical="center" indent="1"/>
    </xf>
    <xf numFmtId="172" fontId="19" fillId="0" borderId="13" applyAlignment="1" pivotButton="0" quotePrefix="0" xfId="0">
      <alignment horizontal="right" vertical="center"/>
    </xf>
    <xf numFmtId="172" fontId="19" fillId="0" borderId="24" applyAlignment="1" pivotButton="0" quotePrefix="0" xfId="0">
      <alignment horizontal="right" vertical="center"/>
    </xf>
    <xf numFmtId="172" fontId="19" fillId="0" borderId="25" applyAlignment="1" pivotButton="0" quotePrefix="0" xfId="0">
      <alignment horizontal="right" vertical="center"/>
    </xf>
    <xf numFmtId="172" fontId="19" fillId="0" borderId="0" applyAlignment="1" pivotButton="0" quotePrefix="0" xfId="0">
      <alignment horizontal="right" vertical="bottom"/>
    </xf>
    <xf numFmtId="172" fontId="19" fillId="0" borderId="23" applyAlignment="1" pivotButton="0" quotePrefix="0" xfId="0">
      <alignment horizontal="right" vertical="bottom"/>
    </xf>
    <xf numFmtId="172" fontId="19" fillId="0" borderId="4" applyAlignment="1" pivotButton="0" quotePrefix="0" xfId="0">
      <alignment horizontal="right" vertical="bottom"/>
    </xf>
    <xf numFmtId="172" fontId="19" fillId="4" borderId="0" applyAlignment="1" pivotButton="0" quotePrefix="0" xfId="0">
      <alignment horizontal="right" vertical="bottom"/>
    </xf>
    <xf numFmtId="172" fontId="19" fillId="4" borderId="23" applyAlignment="1" pivotButton="0" quotePrefix="0" xfId="0">
      <alignment horizontal="right" vertical="bottom"/>
    </xf>
    <xf numFmtId="172" fontId="19" fillId="4" borderId="4" applyAlignment="1" pivotButton="0" quotePrefix="0" xfId="0">
      <alignment horizontal="right" vertical="bottom"/>
    </xf>
    <xf numFmtId="172" fontId="34" fillId="7" borderId="22" applyAlignment="1" pivotButton="0" quotePrefix="0" xfId="0">
      <alignment horizontal="right" vertical="center"/>
    </xf>
    <xf numFmtId="172" fontId="34" fillId="7" borderId="34" applyAlignment="1" pivotButton="0" quotePrefix="0" xfId="0">
      <alignment horizontal="right" vertical="center"/>
    </xf>
    <xf numFmtId="172" fontId="34" fillId="7" borderId="35" applyAlignment="1" pivotButton="0" quotePrefix="0" xfId="0">
      <alignment horizontal="right" vertical="center"/>
    </xf>
    <xf numFmtId="0" fontId="57" fillId="0" borderId="0" applyAlignment="1" pivotButton="0" quotePrefix="0" xfId="39">
      <alignment horizontal="general" vertical="bottom"/>
    </xf>
    <xf numFmtId="166" fontId="46" fillId="8" borderId="5" applyAlignment="1" pivotButton="0" quotePrefix="0" xfId="0">
      <alignment horizontal="right" vertical="bottom"/>
    </xf>
    <xf numFmtId="166" fontId="46" fillId="8" borderId="7" applyAlignment="1" pivotButton="0" quotePrefix="0" xfId="0">
      <alignment horizontal="right" vertical="bottom"/>
    </xf>
    <xf numFmtId="166" fontId="46" fillId="8" borderId="6" applyAlignment="1" pivotButton="0" quotePrefix="0" xfId="0">
      <alignment horizontal="right" vertical="bottom"/>
    </xf>
    <xf numFmtId="166" fontId="46" fillId="8" borderId="6" applyAlignment="1" pivotButton="0" quotePrefix="0" xfId="0">
      <alignment horizontal="right" vertical="bottom" wrapText="1"/>
    </xf>
    <xf numFmtId="174" fontId="47" fillId="7" borderId="22" applyAlignment="1" pivotButton="0" quotePrefix="0" xfId="0">
      <alignment horizontal="general" vertical="center"/>
    </xf>
    <xf numFmtId="174" fontId="47" fillId="7" borderId="34" applyAlignment="1" pivotButton="0" quotePrefix="0" xfId="0">
      <alignment horizontal="general" vertical="center"/>
    </xf>
    <xf numFmtId="174" fontId="47" fillId="7" borderId="35" applyAlignment="1" pivotButton="0" quotePrefix="0" xfId="0">
      <alignment horizontal="general" vertical="center"/>
    </xf>
    <xf numFmtId="0" fontId="25" fillId="2" borderId="0" applyAlignment="1" pivotButton="0" quotePrefix="0" xfId="39">
      <alignment horizontal="left" vertical="bottom"/>
    </xf>
    <xf numFmtId="166" fontId="21" fillId="5" borderId="5" applyAlignment="1" pivotButton="0" quotePrefix="0" xfId="0">
      <alignment horizontal="right" vertical="bottom" wrapText="1"/>
    </xf>
    <xf numFmtId="0" fontId="46" fillId="8" borderId="6" applyAlignment="1" pivotButton="0" quotePrefix="0" xfId="0">
      <alignment horizontal="right" vertical="bottom" wrapText="1"/>
    </xf>
    <xf numFmtId="170" fontId="25" fillId="0" borderId="0" applyAlignment="1" pivotButton="0" quotePrefix="0" xfId="39">
      <alignment horizontal="general" vertical="bottom"/>
    </xf>
    <xf numFmtId="0" fontId="25" fillId="0" borderId="0" applyAlignment="1" pivotButton="0" quotePrefix="0" xfId="39">
      <alignment horizontal="left" vertical="bottom"/>
    </xf>
    <xf numFmtId="0" fontId="25" fillId="0" borderId="0" applyAlignment="1" pivotButton="0" quotePrefix="0" xfId="39">
      <alignment horizontal="general" vertical="bottom"/>
    </xf>
    <xf numFmtId="0" fontId="25" fillId="0" borderId="0" applyAlignment="1" pivotButton="0" quotePrefix="0" xfId="39">
      <alignment horizontal="left" vertical="bottom" indent="1"/>
    </xf>
    <xf numFmtId="0" fontId="25" fillId="4" borderId="13" applyAlignment="1" pivotButton="0" quotePrefix="0" xfId="39">
      <alignment horizontal="left" vertical="bottom" indent="1"/>
    </xf>
    <xf numFmtId="170" fontId="25" fillId="4" borderId="13" applyAlignment="1" pivotButton="0" quotePrefix="0" xfId="39">
      <alignment horizontal="general" vertical="bottom"/>
    </xf>
    <xf numFmtId="168" fontId="35" fillId="0" borderId="0" applyAlignment="1" pivotButton="0" quotePrefix="0" xfId="39">
      <alignment horizontal="right" vertical="bottom"/>
    </xf>
    <xf numFmtId="0" fontId="38" fillId="0" borderId="0" applyAlignment="1" pivotButton="0" quotePrefix="0" xfId="39">
      <alignment horizontal="general" vertical="bottom"/>
    </xf>
    <xf numFmtId="0" fontId="5" fillId="2" borderId="0" applyAlignment="1" pivotButton="0" quotePrefix="0" xfId="43">
      <alignment horizontal="left" vertical="bottom"/>
    </xf>
    <xf numFmtId="0" fontId="5" fillId="0" borderId="0" applyAlignment="1" pivotButton="0" quotePrefix="0" xfId="43">
      <alignment horizontal="left" vertical="bottom"/>
    </xf>
    <xf numFmtId="0" fontId="5" fillId="0" borderId="0" applyAlignment="1" pivotButton="0" quotePrefix="0" xfId="43">
      <alignment horizontal="general" vertical="bottom"/>
    </xf>
    <xf numFmtId="170" fontId="5" fillId="0" borderId="0" applyAlignment="1" pivotButton="0" quotePrefix="0" xfId="43">
      <alignment horizontal="general" vertical="bottom"/>
    </xf>
    <xf numFmtId="170" fontId="35" fillId="0" borderId="0" applyAlignment="1" pivotButton="0" quotePrefix="0" xfId="43">
      <alignment horizontal="general" vertical="bottom"/>
    </xf>
    <xf numFmtId="0" fontId="27" fillId="0" borderId="0" applyAlignment="1" pivotButton="0" quotePrefix="0" xfId="43">
      <alignment horizontal="left" vertical="bottom"/>
    </xf>
    <xf numFmtId="0" fontId="28" fillId="0" borderId="0" applyAlignment="1" pivotButton="0" quotePrefix="0" xfId="43">
      <alignment horizontal="left" vertical="bottom"/>
    </xf>
    <xf numFmtId="0" fontId="29" fillId="0" borderId="0" applyAlignment="1" pivotButton="0" quotePrefix="0" xfId="43">
      <alignment horizontal="left" vertical="bottom"/>
    </xf>
    <xf numFmtId="0" fontId="24" fillId="0" borderId="0" applyAlignment="1" pivotButton="0" quotePrefix="0" xfId="43">
      <alignment horizontal="left" vertical="bottom"/>
    </xf>
    <xf numFmtId="170" fontId="25" fillId="0" borderId="0" applyAlignment="1" pivotButton="0" quotePrefix="0" xfId="43">
      <alignment horizontal="general" vertical="bottom"/>
    </xf>
    <xf numFmtId="0" fontId="25" fillId="2" borderId="0" applyAlignment="1" pivotButton="0" quotePrefix="0" xfId="43">
      <alignment horizontal="left" vertical="bottom"/>
    </xf>
    <xf numFmtId="0" fontId="25" fillId="0" borderId="0" applyAlignment="1" pivotButton="0" quotePrefix="0" xfId="43">
      <alignment horizontal="left" vertical="bottom"/>
    </xf>
    <xf numFmtId="0" fontId="25" fillId="0" borderId="0" applyAlignment="1" pivotButton="0" quotePrefix="0" xfId="43">
      <alignment horizontal="general" vertical="bottom"/>
    </xf>
    <xf numFmtId="0" fontId="24" fillId="0" borderId="0" applyAlignment="1" pivotButton="0" quotePrefix="0" xfId="56">
      <alignment horizontal="general" vertical="bottom"/>
    </xf>
    <xf numFmtId="166" fontId="21" fillId="8" borderId="21" applyAlignment="1" pivotButton="0" quotePrefix="0" xfId="0">
      <alignment horizontal="right" vertical="bottom"/>
    </xf>
    <xf numFmtId="196" fontId="19" fillId="4" borderId="0" applyAlignment="1" pivotButton="0" quotePrefix="0" xfId="0">
      <alignment horizontal="left" vertical="bottom"/>
    </xf>
    <xf numFmtId="196" fontId="19" fillId="0" borderId="3" applyAlignment="1" pivotButton="0" quotePrefix="0" xfId="0">
      <alignment horizontal="left" vertical="bottom"/>
    </xf>
    <xf numFmtId="173" fontId="19" fillId="0" borderId="87" applyAlignment="1" pivotButton="0" quotePrefix="0" xfId="0">
      <alignment horizontal="general" vertical="bottom"/>
    </xf>
    <xf numFmtId="174" fontId="25" fillId="0" borderId="3" applyAlignment="1" pivotButton="0" quotePrefix="0" xfId="0">
      <alignment horizontal="general" vertical="bottom"/>
    </xf>
    <xf numFmtId="174" fontId="25" fillId="0" borderId="28" applyAlignment="1" pivotButton="0" quotePrefix="0" xfId="0">
      <alignment horizontal="general" vertical="bottom"/>
    </xf>
    <xf numFmtId="0" fontId="5" fillId="2" borderId="0" applyAlignment="1" pivotButton="0" quotePrefix="0" xfId="42">
      <alignment horizontal="general" vertical="bottom"/>
    </xf>
    <xf numFmtId="0" fontId="5" fillId="0" borderId="0" applyAlignment="1" pivotButton="0" quotePrefix="0" xfId="42">
      <alignment horizontal="general" vertical="bottom"/>
    </xf>
    <xf numFmtId="0" fontId="5" fillId="0" borderId="0" applyAlignment="1" pivotButton="0" quotePrefix="0" xfId="42">
      <alignment horizontal="left" vertical="bottom"/>
    </xf>
    <xf numFmtId="0" fontId="21" fillId="2" borderId="2" applyAlignment="1" pivotButton="0" quotePrefix="0" xfId="42">
      <alignment horizontal="left" vertical="center"/>
    </xf>
    <xf numFmtId="173" fontId="21" fillId="2" borderId="2" applyAlignment="1" pivotButton="0" quotePrefix="0" xfId="42">
      <alignment horizontal="left" vertical="center"/>
    </xf>
    <xf numFmtId="173" fontId="21" fillId="2" borderId="2" applyAlignment="1" pivotButton="0" quotePrefix="0" xfId="42">
      <alignment horizontal="general" vertical="center"/>
    </xf>
    <xf numFmtId="0" fontId="21" fillId="5" borderId="0" applyAlignment="1" pivotButton="0" quotePrefix="0" xfId="42">
      <alignment horizontal="left" vertical="bottom"/>
    </xf>
    <xf numFmtId="166" fontId="21" fillId="5" borderId="0" applyAlignment="1" pivotButton="0" quotePrefix="0" xfId="42">
      <alignment horizontal="left" vertical="bottom" wrapText="1"/>
    </xf>
    <xf numFmtId="166" fontId="21" fillId="5" borderId="0" applyAlignment="1" pivotButton="0" quotePrefix="0" xfId="42">
      <alignment horizontal="left" vertical="bottom"/>
    </xf>
    <xf numFmtId="166" fontId="21" fillId="5" borderId="20" applyAlignment="1" pivotButton="0" quotePrefix="0" xfId="42">
      <alignment horizontal="right" vertical="bottom"/>
    </xf>
    <xf numFmtId="166" fontId="21" fillId="5" borderId="19" applyAlignment="1" pivotButton="0" quotePrefix="0" xfId="42">
      <alignment horizontal="right" vertical="bottom"/>
    </xf>
    <xf numFmtId="166" fontId="21" fillId="8" borderId="21" applyAlignment="1" pivotButton="0" quotePrefix="0" xfId="42">
      <alignment horizontal="right" vertical="bottom" wrapText="1"/>
    </xf>
    <xf numFmtId="0" fontId="19" fillId="4" borderId="0" applyAlignment="1" pivotButton="0" quotePrefix="0" xfId="42">
      <alignment horizontal="left" vertical="bottom" indent="2"/>
    </xf>
    <xf numFmtId="173" fontId="19" fillId="4" borderId="0" applyAlignment="1" pivotButton="0" quotePrefix="0" xfId="42">
      <alignment horizontal="left" vertical="bottom"/>
    </xf>
    <xf numFmtId="173" fontId="19" fillId="4" borderId="0" applyAlignment="1" pivotButton="0" quotePrefix="0" xfId="42">
      <alignment horizontal="general" vertical="bottom"/>
    </xf>
    <xf numFmtId="173" fontId="19" fillId="4" borderId="85" applyAlignment="1" pivotButton="0" quotePrefix="0" xfId="42">
      <alignment horizontal="general" vertical="bottom"/>
    </xf>
    <xf numFmtId="174" fontId="25" fillId="4" borderId="0" applyAlignment="1" pivotButton="0" quotePrefix="0" xfId="42">
      <alignment horizontal="general" vertical="bottom"/>
    </xf>
    <xf numFmtId="0" fontId="19" fillId="4" borderId="13" applyAlignment="1" pivotButton="0" quotePrefix="0" xfId="42">
      <alignment horizontal="left" vertical="bottom" indent="2"/>
    </xf>
    <xf numFmtId="173" fontId="19" fillId="4" borderId="13" applyAlignment="1" pivotButton="0" quotePrefix="0" xfId="42">
      <alignment horizontal="left" vertical="bottom"/>
    </xf>
    <xf numFmtId="173" fontId="19" fillId="4" borderId="13" applyAlignment="1" pivotButton="0" quotePrefix="0" xfId="42">
      <alignment horizontal="general" vertical="bottom"/>
    </xf>
    <xf numFmtId="173" fontId="19" fillId="4" borderId="86" applyAlignment="1" pivotButton="0" quotePrefix="0" xfId="42">
      <alignment horizontal="general" vertical="bottom"/>
    </xf>
    <xf numFmtId="174" fontId="25" fillId="4" borderId="13" applyAlignment="1" pivotButton="0" quotePrefix="0" xfId="42">
      <alignment horizontal="general" vertical="bottom"/>
    </xf>
    <xf numFmtId="0" fontId="19" fillId="4" borderId="0" applyAlignment="1" pivotButton="0" quotePrefix="0" xfId="42">
      <alignment horizontal="left" vertical="bottom" indent="1"/>
    </xf>
    <xf numFmtId="0" fontId="38" fillId="2" borderId="0" applyAlignment="1" pivotButton="0" quotePrefix="0" xfId="42">
      <alignment horizontal="general" vertical="bottom"/>
    </xf>
    <xf numFmtId="0" fontId="38" fillId="0" borderId="0" applyAlignment="1" pivotButton="0" quotePrefix="0" xfId="42">
      <alignment horizontal="general" vertical="bottom"/>
    </xf>
    <xf numFmtId="0" fontId="35" fillId="2" borderId="0" applyAlignment="1" pivotButton="0" quotePrefix="0" xfId="42">
      <alignment horizontal="general" vertical="bottom"/>
    </xf>
    <xf numFmtId="0" fontId="35" fillId="0" borderId="0" applyAlignment="1" pivotButton="0" quotePrefix="0" xfId="42">
      <alignment horizontal="general" vertical="bottom"/>
    </xf>
    <xf numFmtId="0" fontId="19" fillId="4" borderId="13" applyAlignment="1" pivotButton="0" quotePrefix="0" xfId="42">
      <alignment horizontal="left" vertical="bottom" indent="1"/>
    </xf>
    <xf numFmtId="0" fontId="34" fillId="4" borderId="0" applyAlignment="1" pivotButton="0" quotePrefix="0" xfId="42">
      <alignment horizontal="left" vertical="bottom"/>
    </xf>
    <xf numFmtId="173" fontId="34" fillId="4" borderId="0" applyAlignment="1" pivotButton="0" quotePrefix="0" xfId="42">
      <alignment horizontal="left" vertical="bottom"/>
    </xf>
    <xf numFmtId="173" fontId="34" fillId="4" borderId="0" applyAlignment="1" pivotButton="0" quotePrefix="0" xfId="42">
      <alignment horizontal="general" vertical="bottom"/>
    </xf>
    <xf numFmtId="173" fontId="34" fillId="4" borderId="85" applyAlignment="1" pivotButton="0" quotePrefix="0" xfId="42">
      <alignment horizontal="general" vertical="bottom"/>
    </xf>
    <xf numFmtId="174" fontId="47" fillId="4" borderId="0" applyAlignment="1" pivotButton="0" quotePrefix="0" xfId="42">
      <alignment horizontal="general" vertical="bottom"/>
    </xf>
    <xf numFmtId="0" fontId="23" fillId="4" borderId="0" applyAlignment="1" pivotButton="0" quotePrefix="0" xfId="42">
      <alignment horizontal="left" vertical="bottom"/>
    </xf>
    <xf numFmtId="0" fontId="19" fillId="4" borderId="13" applyAlignment="1" pivotButton="0" quotePrefix="0" xfId="42">
      <alignment horizontal="left" vertical="bottom"/>
    </xf>
    <xf numFmtId="196" fontId="34" fillId="7" borderId="0" applyAlignment="1" pivotButton="0" quotePrefix="0" xfId="42">
      <alignment horizontal="left" vertical="bottom"/>
    </xf>
    <xf numFmtId="173" fontId="34" fillId="7" borderId="0" applyAlignment="1" pivotButton="0" quotePrefix="0" xfId="42">
      <alignment horizontal="left" vertical="bottom"/>
    </xf>
    <xf numFmtId="173" fontId="34" fillId="7" borderId="0" applyAlignment="1" pivotButton="0" quotePrefix="0" xfId="42">
      <alignment horizontal="general" vertical="bottom"/>
    </xf>
    <xf numFmtId="173" fontId="34" fillId="7" borderId="85" applyAlignment="1" pivotButton="0" quotePrefix="0" xfId="42">
      <alignment horizontal="general" vertical="bottom"/>
    </xf>
    <xf numFmtId="174" fontId="47" fillId="7" borderId="0" applyAlignment="1" pivotButton="0" quotePrefix="0" xfId="42">
      <alignment horizontal="general" vertical="bottom"/>
    </xf>
    <xf numFmtId="196" fontId="25" fillId="0" borderId="3" applyAlignment="1" pivotButton="0" quotePrefix="0" xfId="42">
      <alignment horizontal="left" vertical="bottom"/>
    </xf>
    <xf numFmtId="173" fontId="25" fillId="0" borderId="3" applyAlignment="1" pivotButton="0" quotePrefix="0" xfId="42">
      <alignment horizontal="left" vertical="bottom"/>
    </xf>
    <xf numFmtId="174" fontId="25" fillId="0" borderId="3" applyAlignment="1" pivotButton="0" quotePrefix="0" xfId="42">
      <alignment horizontal="general" vertical="bottom"/>
    </xf>
    <xf numFmtId="174" fontId="25" fillId="0" borderId="87" applyAlignment="1" pivotButton="0" quotePrefix="0" xfId="42">
      <alignment horizontal="general" vertical="bottom"/>
    </xf>
    <xf numFmtId="196" fontId="34" fillId="0" borderId="0" applyAlignment="1" pivotButton="0" quotePrefix="0" xfId="42">
      <alignment horizontal="left" vertical="bottom"/>
    </xf>
    <xf numFmtId="173" fontId="34" fillId="0" borderId="0" applyAlignment="1" pivotButton="0" quotePrefix="0" xfId="42">
      <alignment horizontal="left" vertical="bottom"/>
    </xf>
    <xf numFmtId="173" fontId="34" fillId="0" borderId="0" applyAlignment="1" pivotButton="0" quotePrefix="0" xfId="42">
      <alignment horizontal="general" vertical="bottom"/>
    </xf>
    <xf numFmtId="174" fontId="47" fillId="0" borderId="0" applyAlignment="1" pivotButton="0" quotePrefix="0" xfId="42">
      <alignment horizontal="general" vertical="bottom"/>
    </xf>
    <xf numFmtId="196" fontId="25" fillId="0" borderId="0" applyAlignment="1" pivotButton="0" quotePrefix="0" xfId="42">
      <alignment horizontal="left" vertical="bottom"/>
    </xf>
    <xf numFmtId="173" fontId="25" fillId="0" borderId="0" applyAlignment="1" pivotButton="0" quotePrefix="0" xfId="42">
      <alignment horizontal="left" vertical="bottom"/>
    </xf>
    <xf numFmtId="173" fontId="25" fillId="0" borderId="0" applyAlignment="1" pivotButton="0" quotePrefix="0" xfId="42">
      <alignment horizontal="general" vertical="bottom"/>
    </xf>
    <xf numFmtId="174" fontId="25" fillId="0" borderId="0" applyAlignment="1" pivotButton="0" quotePrefix="0" xfId="42">
      <alignment horizontal="general" vertical="bottom"/>
    </xf>
    <xf numFmtId="173" fontId="25" fillId="12" borderId="0" applyAlignment="1" pivotButton="0" quotePrefix="0" xfId="42">
      <alignment horizontal="general" vertical="bottom"/>
    </xf>
    <xf numFmtId="0" fontId="5" fillId="2" borderId="0" applyAlignment="1" pivotButton="0" quotePrefix="0" xfId="42">
      <alignment horizontal="right" vertical="bottom"/>
    </xf>
    <xf numFmtId="0" fontId="35" fillId="0" borderId="0" applyAlignment="1" pivotButton="0" quotePrefix="0" xfId="42">
      <alignment horizontal="left" vertical="bottom"/>
    </xf>
    <xf numFmtId="170" fontId="5" fillId="0" borderId="0" applyAlignment="1" pivotButton="0" quotePrefix="0" xfId="42">
      <alignment horizontal="general" vertical="bottom"/>
    </xf>
    <xf numFmtId="166" fontId="21" fillId="5" borderId="0" applyAlignment="1" pivotButton="0" quotePrefix="0" xfId="42">
      <alignment horizontal="right" vertical="bottom"/>
    </xf>
    <xf numFmtId="166" fontId="21" fillId="5" borderId="21" applyAlignment="1" pivotButton="0" quotePrefix="0" xfId="42">
      <alignment horizontal="right" vertical="bottom"/>
    </xf>
    <xf numFmtId="173" fontId="25" fillId="0" borderId="3" applyAlignment="1" pivotButton="0" quotePrefix="0" xfId="42">
      <alignment horizontal="general" vertical="bottom"/>
    </xf>
    <xf numFmtId="0" fontId="34" fillId="0" borderId="0" applyAlignment="1" pivotButton="0" quotePrefix="0" xfId="42">
      <alignment horizontal="left" vertical="bottom"/>
    </xf>
    <xf numFmtId="0" fontId="25" fillId="0" borderId="0" applyAlignment="1" pivotButton="0" quotePrefix="0" xfId="42">
      <alignment horizontal="left" vertical="bottom"/>
    </xf>
    <xf numFmtId="188" fontId="21" fillId="5" borderId="0" applyAlignment="1" pivotButton="0" quotePrefix="0" xfId="80">
      <alignment horizontal="right" vertical="bottom"/>
    </xf>
    <xf numFmtId="188" fontId="21" fillId="5" borderId="20" applyAlignment="1" pivotButton="0" quotePrefix="0" xfId="80">
      <alignment horizontal="right" vertical="bottom"/>
    </xf>
    <xf numFmtId="0" fontId="47" fillId="7" borderId="0" applyAlignment="1" pivotButton="0" quotePrefix="0" xfId="0">
      <alignment horizontal="general" vertical="center"/>
    </xf>
    <xf numFmtId="167" fontId="47" fillId="7" borderId="0" applyAlignment="1" pivotButton="0" quotePrefix="0" xfId="0">
      <alignment horizontal="right" vertical="center"/>
    </xf>
    <xf numFmtId="196" fontId="21" fillId="5" borderId="0" applyAlignment="1" pivotButton="0" quotePrefix="0" xfId="80">
      <alignment horizontal="right" vertical="center"/>
    </xf>
    <xf numFmtId="196" fontId="21" fillId="5" borderId="20" applyAlignment="1" pivotButton="0" quotePrefix="0" xfId="80">
      <alignment horizontal="right" vertical="center"/>
    </xf>
    <xf numFmtId="196" fontId="21" fillId="5" borderId="31" applyAlignment="1" pivotButton="0" quotePrefix="0" xfId="80">
      <alignment horizontal="center" vertical="center"/>
    </xf>
    <xf numFmtId="196" fontId="21" fillId="5" borderId="19" applyAlignment="1" pivotButton="0" quotePrefix="0" xfId="80">
      <alignment horizontal="right" vertical="center"/>
    </xf>
    <xf numFmtId="196" fontId="21" fillId="5" borderId="21" applyAlignment="1" pivotButton="0" quotePrefix="0" xfId="80">
      <alignment horizontal="right" vertical="center"/>
    </xf>
    <xf numFmtId="173" fontId="19" fillId="0" borderId="4" applyAlignment="1" pivotButton="0" quotePrefix="0" xfId="80">
      <alignment horizontal="general" vertical="center"/>
    </xf>
    <xf numFmtId="0" fontId="19" fillId="0" borderId="0" applyAlignment="1" pivotButton="0" quotePrefix="0" xfId="80">
      <alignment horizontal="left" vertical="center" indent="2"/>
    </xf>
    <xf numFmtId="0" fontId="19" fillId="0" borderId="13" applyAlignment="1" pivotButton="0" quotePrefix="0" xfId="80">
      <alignment horizontal="left" vertical="center" indent="2"/>
    </xf>
    <xf numFmtId="173" fontId="19" fillId="0" borderId="25" applyAlignment="1" pivotButton="0" quotePrefix="0" xfId="80">
      <alignment horizontal="general" vertical="center"/>
    </xf>
    <xf numFmtId="0" fontId="19" fillId="0" borderId="0" applyAlignment="1" pivotButton="0" quotePrefix="0" xfId="80">
      <alignment horizontal="left" vertical="center" indent="1"/>
    </xf>
    <xf numFmtId="0" fontId="19" fillId="0" borderId="56" applyAlignment="1" pivotButton="0" quotePrefix="0" xfId="80">
      <alignment horizontal="left" vertical="center"/>
    </xf>
    <xf numFmtId="173" fontId="19" fillId="0" borderId="56" applyAlignment="1" pivotButton="0" quotePrefix="0" xfId="80">
      <alignment horizontal="general" vertical="center"/>
    </xf>
    <xf numFmtId="173" fontId="19" fillId="0" borderId="74" applyAlignment="1" pivotButton="0" quotePrefix="0" xfId="80">
      <alignment horizontal="general" vertical="center"/>
    </xf>
    <xf numFmtId="173" fontId="19" fillId="0" borderId="57" applyAlignment="1" pivotButton="0" quotePrefix="0" xfId="80">
      <alignment horizontal="general" vertical="center"/>
    </xf>
    <xf numFmtId="173" fontId="34" fillId="7" borderId="28" applyAlignment="1" pivotButton="0" quotePrefix="0" xfId="80">
      <alignment horizontal="general" vertical="center"/>
    </xf>
    <xf numFmtId="167" fontId="22" fillId="0" borderId="0" applyAlignment="1" pivotButton="0" quotePrefix="0" xfId="80">
      <alignment horizontal="right" vertical="center"/>
    </xf>
    <xf numFmtId="0" fontId="22" fillId="0" borderId="0" applyAlignment="1" pivotButton="0" quotePrefix="0" xfId="80">
      <alignment horizontal="left" vertical="center" indent="1"/>
    </xf>
    <xf numFmtId="0" fontId="22" fillId="4" borderId="13" applyAlignment="1" pivotButton="0" quotePrefix="0" xfId="80">
      <alignment horizontal="left" vertical="center" indent="1"/>
    </xf>
    <xf numFmtId="167" fontId="22" fillId="4" borderId="13" applyAlignment="1" pivotButton="0" quotePrefix="0" xfId="80">
      <alignment horizontal="right" vertical="center"/>
    </xf>
    <xf numFmtId="167" fontId="22" fillId="0" borderId="0" applyAlignment="1" pivotButton="0" quotePrefix="0" xfId="80">
      <alignment horizontal="general" vertical="center"/>
    </xf>
    <xf numFmtId="0" fontId="21" fillId="2" borderId="2" applyAlignment="1" pivotButton="0" quotePrefix="0" xfId="80">
      <alignment horizontal="left" vertical="center"/>
    </xf>
    <xf numFmtId="173" fontId="21" fillId="2" borderId="2" applyAlignment="1" pivotButton="0" quotePrefix="0" xfId="80">
      <alignment horizontal="general" vertical="center"/>
    </xf>
    <xf numFmtId="167" fontId="19" fillId="4" borderId="0" applyAlignment="1" pivotButton="0" quotePrefix="0" xfId="80">
      <alignment horizontal="right" vertical="center"/>
    </xf>
    <xf numFmtId="167" fontId="19" fillId="4" borderId="23" applyAlignment="1" pivotButton="0" quotePrefix="0" xfId="80">
      <alignment horizontal="right" vertical="center"/>
    </xf>
    <xf numFmtId="167" fontId="19" fillId="4" borderId="4" applyAlignment="1" pivotButton="0" quotePrefix="0" xfId="80">
      <alignment horizontal="right" vertical="center"/>
    </xf>
    <xf numFmtId="167" fontId="19" fillId="4" borderId="13" applyAlignment="1" pivotButton="0" quotePrefix="0" xfId="80">
      <alignment horizontal="right" vertical="center"/>
    </xf>
    <xf numFmtId="167" fontId="19" fillId="4" borderId="24" applyAlignment="1" pivotButton="0" quotePrefix="0" xfId="80">
      <alignment horizontal="right" vertical="center"/>
    </xf>
    <xf numFmtId="167" fontId="19" fillId="4" borderId="25" applyAlignment="1" pivotButton="0" quotePrefix="0" xfId="80">
      <alignment horizontal="right" vertical="center"/>
    </xf>
    <xf numFmtId="0" fontId="19" fillId="0" borderId="13" applyAlignment="1" pivotButton="0" quotePrefix="0" xfId="80">
      <alignment horizontal="left" vertical="center" indent="1"/>
    </xf>
    <xf numFmtId="0" fontId="19" fillId="0" borderId="13" applyAlignment="1" pivotButton="0" quotePrefix="0" xfId="80">
      <alignment horizontal="left" vertical="center"/>
    </xf>
    <xf numFmtId="167" fontId="34" fillId="7" borderId="3" applyAlignment="1" pivotButton="0" quotePrefix="0" xfId="80">
      <alignment horizontal="right" vertical="center"/>
    </xf>
    <xf numFmtId="167" fontId="34" fillId="7" borderId="28" applyAlignment="1" pivotButton="0" quotePrefix="0" xfId="80">
      <alignment horizontal="right" vertical="center"/>
    </xf>
    <xf numFmtId="167" fontId="34" fillId="7" borderId="30" applyAlignment="1" pivotButton="0" quotePrefix="0" xfId="80">
      <alignment horizontal="right" vertical="center"/>
    </xf>
    <xf numFmtId="0" fontId="19" fillId="0" borderId="0" applyAlignment="1" pivotButton="0" quotePrefix="0" xfId="80">
      <alignment horizontal="left" vertical="center"/>
    </xf>
    <xf numFmtId="0" fontId="21" fillId="2" borderId="0" applyAlignment="1" pivotButton="0" quotePrefix="0" xfId="64">
      <alignment horizontal="left" vertical="center"/>
    </xf>
    <xf numFmtId="173" fontId="21" fillId="2" borderId="0" applyAlignment="1" pivotButton="0" quotePrefix="0" xfId="64">
      <alignment horizontal="general" vertical="center"/>
    </xf>
    <xf numFmtId="0" fontId="21" fillId="5" borderId="0" applyAlignment="1" pivotButton="0" quotePrefix="0" xfId="64">
      <alignment horizontal="left" vertical="bottom"/>
    </xf>
    <xf numFmtId="0" fontId="21" fillId="5" borderId="20" applyAlignment="1" pivotButton="0" quotePrefix="0" xfId="64">
      <alignment horizontal="left" vertical="bottom"/>
    </xf>
    <xf numFmtId="196" fontId="21" fillId="5" borderId="31" applyAlignment="1" pivotButton="0" quotePrefix="0" xfId="64">
      <alignment horizontal="center" vertical="bottom"/>
    </xf>
    <xf numFmtId="0" fontId="21" fillId="5" borderId="0" applyAlignment="1" pivotButton="0" quotePrefix="0" xfId="64">
      <alignment horizontal="center" vertical="bottom"/>
    </xf>
    <xf numFmtId="0" fontId="21" fillId="5" borderId="81" applyAlignment="1" pivotButton="0" quotePrefix="0" xfId="64">
      <alignment horizontal="left" vertical="bottom"/>
    </xf>
    <xf numFmtId="179" fontId="31" fillId="5" borderId="0" applyAlignment="1" pivotButton="0" quotePrefix="0" xfId="64">
      <alignment horizontal="right" vertical="bottom"/>
    </xf>
    <xf numFmtId="179" fontId="31" fillId="5" borderId="20" applyAlignment="1" pivotButton="0" quotePrefix="0" xfId="64">
      <alignment horizontal="right" vertical="bottom"/>
    </xf>
    <xf numFmtId="196" fontId="21" fillId="5" borderId="21" applyAlignment="1" pivotButton="0" quotePrefix="0" xfId="64">
      <alignment horizontal="right" vertical="bottom"/>
    </xf>
    <xf numFmtId="196" fontId="21" fillId="5" borderId="19" applyAlignment="1" pivotButton="0" quotePrefix="0" xfId="64">
      <alignment horizontal="right" vertical="bottom"/>
    </xf>
    <xf numFmtId="196" fontId="21" fillId="5" borderId="0" applyAlignment="1" pivotButton="0" quotePrefix="0" xfId="64">
      <alignment horizontal="right" vertical="bottom"/>
    </xf>
    <xf numFmtId="179" fontId="31" fillId="5" borderId="7" applyAlignment="1" pivotButton="0" quotePrefix="0" xfId="64">
      <alignment horizontal="right" vertical="bottom"/>
    </xf>
    <xf numFmtId="0" fontId="7" fillId="18" borderId="0" applyAlignment="1" pivotButton="0" quotePrefix="0" xfId="80">
      <alignment horizontal="general" vertical="center"/>
    </xf>
    <xf numFmtId="0" fontId="7" fillId="18" borderId="23" applyAlignment="1" pivotButton="0" quotePrefix="0" xfId="80">
      <alignment horizontal="general" vertical="center"/>
    </xf>
    <xf numFmtId="167" fontId="7" fillId="0" borderId="23" applyAlignment="1" pivotButton="0" quotePrefix="0" xfId="80">
      <alignment horizontal="right" vertical="center"/>
    </xf>
    <xf numFmtId="167" fontId="7" fillId="0" borderId="4" applyAlignment="1" pivotButton="0" quotePrefix="0" xfId="80">
      <alignment horizontal="right" vertical="center"/>
    </xf>
    <xf numFmtId="0" fontId="7" fillId="0" borderId="13" applyAlignment="1" pivotButton="0" quotePrefix="0" xfId="80">
      <alignment horizontal="left" vertical="center" indent="1"/>
    </xf>
    <xf numFmtId="0" fontId="7" fillId="18" borderId="13" applyAlignment="1" pivotButton="0" quotePrefix="0" xfId="80">
      <alignment horizontal="general" vertical="center"/>
    </xf>
    <xf numFmtId="0" fontId="7" fillId="18" borderId="24" applyAlignment="1" pivotButton="0" quotePrefix="0" xfId="80">
      <alignment horizontal="general" vertical="center"/>
    </xf>
    <xf numFmtId="167" fontId="7" fillId="0" borderId="13" applyAlignment="1" pivotButton="0" quotePrefix="0" xfId="80">
      <alignment horizontal="right" vertical="center"/>
    </xf>
    <xf numFmtId="167" fontId="7" fillId="0" borderId="24" applyAlignment="1" pivotButton="0" quotePrefix="0" xfId="80">
      <alignment horizontal="right" vertical="center"/>
    </xf>
    <xf numFmtId="167" fontId="7" fillId="0" borderId="25" applyAlignment="1" pivotButton="0" quotePrefix="0" xfId="80">
      <alignment horizontal="right" vertical="center"/>
    </xf>
    <xf numFmtId="167" fontId="7" fillId="18" borderId="0" applyAlignment="1" pivotButton="0" quotePrefix="0" xfId="80">
      <alignment horizontal="right" vertical="center"/>
    </xf>
    <xf numFmtId="167" fontId="7" fillId="18" borderId="23" applyAlignment="1" pivotButton="0" quotePrefix="0" xfId="80">
      <alignment horizontal="right" vertical="center"/>
    </xf>
    <xf numFmtId="0" fontId="34" fillId="7" borderId="22" applyAlignment="1" pivotButton="0" quotePrefix="0" xfId="80">
      <alignment horizontal="general" vertical="center"/>
    </xf>
    <xf numFmtId="167" fontId="34" fillId="7" borderId="22" applyAlignment="1" pivotButton="0" quotePrefix="0" xfId="80">
      <alignment horizontal="right" vertical="center"/>
    </xf>
    <xf numFmtId="167" fontId="34" fillId="7" borderId="34" applyAlignment="1" pivotButton="0" quotePrefix="0" xfId="80">
      <alignment horizontal="right" vertical="center"/>
    </xf>
    <xf numFmtId="167" fontId="34" fillId="7" borderId="35" applyAlignment="1" pivotButton="0" quotePrefix="0" xfId="80">
      <alignment horizontal="right" vertical="center"/>
    </xf>
    <xf numFmtId="0" fontId="7" fillId="4" borderId="13" applyAlignment="1" pivotButton="0" quotePrefix="0" xfId="80">
      <alignment horizontal="left" vertical="center" indent="1"/>
    </xf>
    <xf numFmtId="0" fontId="7" fillId="4" borderId="24" applyAlignment="1" pivotButton="0" quotePrefix="0" xfId="80">
      <alignment horizontal="general" vertical="center"/>
    </xf>
    <xf numFmtId="167" fontId="7" fillId="4" borderId="25" applyAlignment="1" pivotButton="0" quotePrefix="0" xfId="80">
      <alignment horizontal="right" vertical="center"/>
    </xf>
    <xf numFmtId="0" fontId="22" fillId="4" borderId="13" applyAlignment="1" pivotButton="0" quotePrefix="0" xfId="80">
      <alignment horizontal="general" vertical="center"/>
    </xf>
    <xf numFmtId="0" fontId="0" fillId="0" borderId="0" applyAlignment="1" pivotButton="0" quotePrefix="0" xfId="0">
      <alignment horizontal="general" vertical="center"/>
    </xf>
    <xf numFmtId="0" fontId="5" fillId="0" borderId="0" applyAlignment="1" pivotButton="0" quotePrefix="0" xfId="0">
      <alignment horizontal="general" vertical="center"/>
    </xf>
    <xf numFmtId="0" fontId="7" fillId="18" borderId="0" applyAlignment="1" pivotButton="0" quotePrefix="0" xfId="0">
      <alignment horizontal="general" vertical="center"/>
    </xf>
    <xf numFmtId="0" fontId="7" fillId="18" borderId="23" applyAlignment="1" pivotButton="0" quotePrefix="0" xfId="0">
      <alignment horizontal="general" vertical="center"/>
    </xf>
    <xf numFmtId="167" fontId="7" fillId="0" borderId="0" applyAlignment="1" pivotButton="0" quotePrefix="0" xfId="0">
      <alignment horizontal="right" vertical="center"/>
    </xf>
    <xf numFmtId="167" fontId="7" fillId="0" borderId="23" applyAlignment="1" pivotButton="0" quotePrefix="0" xfId="0">
      <alignment horizontal="right" vertical="center"/>
    </xf>
    <xf numFmtId="167" fontId="7" fillId="0" borderId="4" applyAlignment="1" pivotButton="0" quotePrefix="0" xfId="0">
      <alignment horizontal="right" vertical="center"/>
    </xf>
    <xf numFmtId="0" fontId="7" fillId="0" borderId="0" applyAlignment="1" pivotButton="0" quotePrefix="0" xfId="0">
      <alignment horizontal="left" vertical="center" indent="1"/>
    </xf>
    <xf numFmtId="0" fontId="7" fillId="17" borderId="0" applyAlignment="1" pivotButton="0" quotePrefix="0" xfId="0">
      <alignment horizontal="left" vertical="center" indent="1"/>
    </xf>
    <xf numFmtId="0" fontId="7" fillId="4" borderId="0" applyAlignment="1" pivotButton="0" quotePrefix="0" xfId="0">
      <alignment horizontal="left" vertical="center" indent="1"/>
    </xf>
    <xf numFmtId="0" fontId="7" fillId="4" borderId="0" applyAlignment="1" pivotButton="0" quotePrefix="0" xfId="0">
      <alignment horizontal="general" vertical="center"/>
    </xf>
    <xf numFmtId="0" fontId="7" fillId="4" borderId="23" applyAlignment="1" pivotButton="0" quotePrefix="0" xfId="0">
      <alignment horizontal="general" vertical="center"/>
    </xf>
    <xf numFmtId="0" fontId="7" fillId="0" borderId="13" applyAlignment="1" pivotButton="0" quotePrefix="0" xfId="0">
      <alignment horizontal="left" vertical="center" indent="1"/>
    </xf>
    <xf numFmtId="0" fontId="7" fillId="18" borderId="13" applyAlignment="1" pivotButton="0" quotePrefix="0" xfId="0">
      <alignment horizontal="general" vertical="center"/>
    </xf>
    <xf numFmtId="0" fontId="7" fillId="18" borderId="24" applyAlignment="1" pivotButton="0" quotePrefix="0" xfId="0">
      <alignment horizontal="general" vertical="center"/>
    </xf>
    <xf numFmtId="167" fontId="7" fillId="0" borderId="13" applyAlignment="1" pivotButton="0" quotePrefix="0" xfId="0">
      <alignment horizontal="right" vertical="center"/>
    </xf>
    <xf numFmtId="167" fontId="7" fillId="0" borderId="24" applyAlignment="1" pivotButton="0" quotePrefix="0" xfId="0">
      <alignment horizontal="right" vertical="center"/>
    </xf>
    <xf numFmtId="167" fontId="7" fillId="0" borderId="25" applyAlignment="1" pivotButton="0" quotePrefix="0" xfId="0">
      <alignment horizontal="right" vertical="center"/>
    </xf>
    <xf numFmtId="167" fontId="7" fillId="18" borderId="0" applyAlignment="1" pivotButton="0" quotePrefix="0" xfId="0">
      <alignment horizontal="right" vertical="center"/>
    </xf>
    <xf numFmtId="167" fontId="7" fillId="18" borderId="23" applyAlignment="1" pivotButton="0" quotePrefix="0" xfId="0">
      <alignment horizontal="right" vertical="center"/>
    </xf>
    <xf numFmtId="0" fontId="7" fillId="0" borderId="0" applyAlignment="1" pivotButton="0" quotePrefix="0" xfId="0">
      <alignment horizontal="left" vertical="center"/>
    </xf>
    <xf numFmtId="167" fontId="7" fillId="12" borderId="23" applyAlignment="1" pivotButton="0" quotePrefix="0" xfId="0">
      <alignment horizontal="right" vertical="center"/>
    </xf>
    <xf numFmtId="0" fontId="22" fillId="0" borderId="0" applyAlignment="1" pivotButton="0" quotePrefix="0" xfId="0">
      <alignment horizontal="general" vertical="center"/>
    </xf>
    <xf numFmtId="167" fontId="22" fillId="0" borderId="0" applyAlignment="1" pivotButton="0" quotePrefix="0" xfId="0">
      <alignment horizontal="right" vertical="center"/>
    </xf>
    <xf numFmtId="0" fontId="22" fillId="4" borderId="13" applyAlignment="1" pivotButton="0" quotePrefix="0" xfId="0">
      <alignment horizontal="general" vertical="center"/>
    </xf>
    <xf numFmtId="167" fontId="22" fillId="4" borderId="13" applyAlignment="1" pivotButton="0" quotePrefix="0" xfId="0">
      <alignment horizontal="right" vertical="center"/>
    </xf>
    <xf numFmtId="167" fontId="22" fillId="0" borderId="0" applyAlignment="1" pivotButton="0" quotePrefix="0" xfId="0">
      <alignment horizontal="general" vertical="center"/>
    </xf>
    <xf numFmtId="0" fontId="7" fillId="0" borderId="23" applyAlignment="1" pivotButton="0" quotePrefix="0" xfId="0">
      <alignment horizontal="general" vertical="center"/>
    </xf>
    <xf numFmtId="167" fontId="7" fillId="4" borderId="0" applyAlignment="1" pivotButton="0" quotePrefix="0" xfId="0">
      <alignment horizontal="right" vertical="center"/>
    </xf>
    <xf numFmtId="167" fontId="7" fillId="4" borderId="23" applyAlignment="1" pivotButton="0" quotePrefix="0" xfId="0">
      <alignment horizontal="right" vertical="center"/>
    </xf>
    <xf numFmtId="167" fontId="7" fillId="4" borderId="4" applyAlignment="1" pivotButton="0" quotePrefix="0" xfId="0">
      <alignment horizontal="right" vertical="center"/>
    </xf>
    <xf numFmtId="0" fontId="21" fillId="2" borderId="2" applyAlignment="1" pivotButton="0" quotePrefix="0" xfId="64">
      <alignment horizontal="left" vertical="center"/>
    </xf>
    <xf numFmtId="0" fontId="35" fillId="0" borderId="0" applyAlignment="1" pivotButton="0" quotePrefix="0" xfId="0">
      <alignment horizontal="general" vertical="center"/>
    </xf>
    <xf numFmtId="0" fontId="35" fillId="4" borderId="13" applyAlignment="1" pivotButton="0" quotePrefix="0" xfId="0">
      <alignment horizontal="general" vertical="center"/>
    </xf>
    <xf numFmtId="167" fontId="35" fillId="0" borderId="0" applyAlignment="1" pivotButton="0" quotePrefix="0" xfId="0">
      <alignment horizontal="general" vertical="center"/>
    </xf>
    <xf numFmtId="167" fontId="35" fillId="0" borderId="0" applyAlignment="1" pivotButton="0" quotePrefix="0" xfId="0">
      <alignment horizontal="right" vertical="center"/>
    </xf>
    <xf numFmtId="0" fontId="7" fillId="4" borderId="13" applyAlignment="1" pivotButton="0" quotePrefix="0" xfId="0">
      <alignment horizontal="left" vertical="center" indent="1"/>
    </xf>
    <xf numFmtId="0" fontId="7" fillId="4" borderId="13" applyAlignment="1" pivotButton="0" quotePrefix="0" xfId="0">
      <alignment horizontal="general" vertical="center"/>
    </xf>
    <xf numFmtId="0" fontId="7" fillId="4" borderId="24" applyAlignment="1" pivotButton="0" quotePrefix="0" xfId="0">
      <alignment horizontal="general" vertical="center"/>
    </xf>
    <xf numFmtId="167" fontId="7" fillId="4" borderId="13" applyAlignment="1" pivotButton="0" quotePrefix="0" xfId="0">
      <alignment horizontal="right" vertical="center"/>
    </xf>
    <xf numFmtId="167" fontId="7" fillId="4" borderId="24" applyAlignment="1" pivotButton="0" quotePrefix="0" xfId="0">
      <alignment horizontal="right" vertical="center"/>
    </xf>
    <xf numFmtId="167" fontId="7" fillId="4" borderId="25" applyAlignment="1" pivotButton="0" quotePrefix="0" xfId="0">
      <alignment horizontal="right" vertical="center"/>
    </xf>
    <xf numFmtId="167" fontId="22" fillId="0" borderId="13" applyAlignment="1" pivotButton="0" quotePrefix="0" xfId="0">
      <alignment horizontal="right" vertical="center"/>
    </xf>
    <xf numFmtId="167" fontId="7" fillId="0" borderId="0" applyAlignment="1" pivotButton="0" quotePrefix="0" xfId="0">
      <alignment horizontal="general" vertical="center"/>
    </xf>
    <xf numFmtId="0" fontId="7" fillId="4" borderId="0" applyAlignment="1" pivotButton="0" quotePrefix="0" xfId="80">
      <alignment horizontal="general" vertical="center"/>
    </xf>
    <xf numFmtId="0" fontId="7" fillId="4" borderId="23" applyAlignment="1" pivotButton="0" quotePrefix="0" xfId="80">
      <alignment horizontal="general" vertical="center"/>
    </xf>
    <xf numFmtId="167" fontId="7" fillId="4" borderId="0" applyAlignment="1" pivotButton="0" quotePrefix="0" xfId="80">
      <alignment horizontal="right" vertical="center"/>
    </xf>
    <xf numFmtId="167" fontId="7" fillId="4" borderId="4" applyAlignment="1" pivotButton="0" quotePrefix="0" xfId="80">
      <alignment horizontal="right" vertical="center"/>
    </xf>
    <xf numFmtId="0" fontId="75" fillId="0" borderId="0" applyAlignment="1" pivotButton="0" quotePrefix="0" xfId="80">
      <alignment horizontal="general" vertical="center"/>
    </xf>
    <xf numFmtId="0" fontId="7" fillId="4" borderId="0" applyAlignment="1" pivotButton="0" quotePrefix="0" xfId="80">
      <alignment horizontal="left" vertical="center" indent="1"/>
    </xf>
    <xf numFmtId="167" fontId="7" fillId="4" borderId="23" applyAlignment="1" pivotButton="0" quotePrefix="0" xfId="80">
      <alignment horizontal="right" vertical="center"/>
    </xf>
    <xf numFmtId="0" fontId="21" fillId="2" borderId="0" applyAlignment="1" pivotButton="0" quotePrefix="0" xfId="65">
      <alignment horizontal="left" vertical="center"/>
    </xf>
    <xf numFmtId="173" fontId="21" fillId="2" borderId="0" applyAlignment="1" pivotButton="0" quotePrefix="0" xfId="65">
      <alignment horizontal="general" vertical="center"/>
    </xf>
    <xf numFmtId="0" fontId="21" fillId="5" borderId="0" applyAlignment="1" pivotButton="0" quotePrefix="0" xfId="65">
      <alignment horizontal="left" vertical="bottom"/>
    </xf>
    <xf numFmtId="0" fontId="21" fillId="5" borderId="20" applyAlignment="1" pivotButton="0" quotePrefix="0" xfId="65">
      <alignment horizontal="left" vertical="bottom"/>
    </xf>
    <xf numFmtId="196" fontId="21" fillId="5" borderId="31" applyAlignment="1" pivotButton="0" quotePrefix="0" xfId="65">
      <alignment horizontal="center" vertical="bottom"/>
    </xf>
    <xf numFmtId="0" fontId="21" fillId="5" borderId="0" applyAlignment="1" pivotButton="0" quotePrefix="0" xfId="65">
      <alignment horizontal="center" vertical="bottom"/>
    </xf>
    <xf numFmtId="0" fontId="21" fillId="5" borderId="81" applyAlignment="1" pivotButton="0" quotePrefix="0" xfId="65">
      <alignment horizontal="left" vertical="bottom"/>
    </xf>
    <xf numFmtId="179" fontId="31" fillId="5" borderId="0" applyAlignment="1" pivotButton="0" quotePrefix="0" xfId="65">
      <alignment horizontal="right" vertical="bottom"/>
    </xf>
    <xf numFmtId="179" fontId="31" fillId="5" borderId="20" applyAlignment="1" pivotButton="0" quotePrefix="0" xfId="65">
      <alignment horizontal="right" vertical="bottom"/>
    </xf>
    <xf numFmtId="196" fontId="21" fillId="5" borderId="21" applyAlignment="1" pivotButton="0" quotePrefix="0" xfId="65">
      <alignment horizontal="right" vertical="bottom"/>
    </xf>
    <xf numFmtId="196" fontId="21" fillId="5" borderId="19" applyAlignment="1" pivotButton="0" quotePrefix="0" xfId="65">
      <alignment horizontal="right" vertical="bottom"/>
    </xf>
    <xf numFmtId="196" fontId="21" fillId="5" borderId="0" applyAlignment="1" pivotButton="0" quotePrefix="0" xfId="65">
      <alignment horizontal="right" vertical="bottom"/>
    </xf>
    <xf numFmtId="179" fontId="31" fillId="5" borderId="7" applyAlignment="1" pivotButton="0" quotePrefix="0" xfId="65">
      <alignment horizontal="right" vertical="bottom"/>
    </xf>
    <xf numFmtId="0" fontId="7" fillId="0" borderId="23" applyAlignment="1" pivotButton="0" quotePrefix="0" xfId="80">
      <alignment horizontal="general" vertical="center"/>
    </xf>
    <xf numFmtId="0" fontId="10" fillId="0" borderId="0" applyAlignment="1" pivotButton="0" quotePrefix="0" xfId="80">
      <alignment horizontal="general" vertical="bottom"/>
    </xf>
    <xf numFmtId="173" fontId="21" fillId="2" borderId="0" applyAlignment="1" pivotButton="0" quotePrefix="0" xfId="80">
      <alignment horizontal="general" vertical="bottom"/>
    </xf>
    <xf numFmtId="167" fontId="19" fillId="0" borderId="0" applyAlignment="1" pivotButton="0" quotePrefix="0" xfId="80">
      <alignment horizontal="right" vertical="bottom"/>
    </xf>
    <xf numFmtId="167" fontId="19" fillId="0" borderId="0" applyAlignment="1" pivotButton="0" quotePrefix="0" xfId="80">
      <alignment horizontal="right" vertical="center"/>
    </xf>
    <xf numFmtId="167" fontId="19" fillId="0" borderId="23" applyAlignment="1" pivotButton="0" quotePrefix="0" xfId="80">
      <alignment horizontal="right" vertical="center"/>
    </xf>
    <xf numFmtId="173" fontId="19" fillId="0" borderId="23" applyAlignment="1" pivotButton="0" quotePrefix="0" xfId="80">
      <alignment horizontal="general" vertical="center"/>
    </xf>
    <xf numFmtId="180" fontId="19" fillId="0" borderId="0" applyAlignment="1" pivotButton="0" quotePrefix="0" xfId="80">
      <alignment horizontal="right" vertical="bottom"/>
    </xf>
    <xf numFmtId="180" fontId="19" fillId="0" borderId="0" applyAlignment="1" pivotButton="0" quotePrefix="0" xfId="80">
      <alignment horizontal="right" vertical="center"/>
    </xf>
    <xf numFmtId="180" fontId="19" fillId="0" borderId="23" applyAlignment="1" pivotButton="0" quotePrefix="0" xfId="80">
      <alignment horizontal="right" vertical="center"/>
    </xf>
    <xf numFmtId="180" fontId="19" fillId="0" borderId="0" applyAlignment="1" pivotButton="0" quotePrefix="0" xfId="80">
      <alignment horizontal="general" vertical="center"/>
    </xf>
    <xf numFmtId="180" fontId="19" fillId="0" borderId="23" applyAlignment="1" pivotButton="0" quotePrefix="0" xfId="80">
      <alignment horizontal="general" vertical="center"/>
    </xf>
    <xf numFmtId="180" fontId="19" fillId="0" borderId="4" applyAlignment="1" pivotButton="0" quotePrefix="0" xfId="80">
      <alignment horizontal="general" vertical="center"/>
    </xf>
    <xf numFmtId="167" fontId="19" fillId="0" borderId="13" applyAlignment="1" pivotButton="0" quotePrefix="0" xfId="80">
      <alignment horizontal="right" vertical="bottom"/>
    </xf>
    <xf numFmtId="167" fontId="19" fillId="0" borderId="13" applyAlignment="1" pivotButton="0" quotePrefix="0" xfId="80">
      <alignment horizontal="right" vertical="center"/>
    </xf>
    <xf numFmtId="167" fontId="19" fillId="0" borderId="24" applyAlignment="1" pivotButton="0" quotePrefix="0" xfId="80">
      <alignment horizontal="right" vertical="center"/>
    </xf>
    <xf numFmtId="173" fontId="19" fillId="0" borderId="24" applyAlignment="1" pivotButton="0" quotePrefix="0" xfId="80">
      <alignment horizontal="general" vertical="center"/>
    </xf>
    <xf numFmtId="173" fontId="34" fillId="7" borderId="3" applyAlignment="1" pivotButton="0" quotePrefix="0" xfId="80">
      <alignment horizontal="general" vertical="bottom"/>
    </xf>
    <xf numFmtId="0" fontId="76" fillId="0" borderId="0" applyAlignment="1" pivotButton="0" quotePrefix="0" xfId="80">
      <alignment horizontal="general" vertical="center"/>
    </xf>
    <xf numFmtId="0" fontId="25" fillId="0" borderId="0" applyAlignment="1" pivotButton="0" quotePrefix="0" xfId="80">
      <alignment horizontal="left" vertical="center"/>
    </xf>
    <xf numFmtId="173" fontId="25" fillId="0" borderId="0" applyAlignment="1" pivotButton="0" quotePrefix="0" xfId="80">
      <alignment horizontal="general" vertical="bottom"/>
    </xf>
    <xf numFmtId="173" fontId="25" fillId="0" borderId="0" applyAlignment="1" pivotButton="0" quotePrefix="0" xfId="80">
      <alignment horizontal="general" vertical="center"/>
    </xf>
    <xf numFmtId="173" fontId="19" fillId="0" borderId="0" applyAlignment="1" pivotButton="0" quotePrefix="0" xfId="80">
      <alignment horizontal="general" vertical="bottom"/>
    </xf>
    <xf numFmtId="0" fontId="34" fillId="7" borderId="0" applyAlignment="1" pivotButton="0" quotePrefix="0" xfId="80">
      <alignment horizontal="left" vertical="center"/>
    </xf>
    <xf numFmtId="173" fontId="34" fillId="7" borderId="0" applyAlignment="1" pivotButton="0" quotePrefix="0" xfId="80">
      <alignment horizontal="general" vertical="center"/>
    </xf>
    <xf numFmtId="0" fontId="34" fillId="0" borderId="0" applyAlignment="1" pivotButton="0" quotePrefix="0" xfId="80">
      <alignment horizontal="left" vertical="center"/>
    </xf>
    <xf numFmtId="173" fontId="34" fillId="0" borderId="0" applyAlignment="1" pivotButton="0" quotePrefix="0" xfId="80">
      <alignment horizontal="general" vertical="bottom"/>
    </xf>
    <xf numFmtId="173" fontId="34" fillId="0" borderId="0" applyAlignment="1" pivotButton="0" quotePrefix="0" xfId="80">
      <alignment horizontal="general" vertical="center"/>
    </xf>
    <xf numFmtId="173" fontId="25" fillId="12" borderId="0" applyAlignment="1" pivotButton="0" quotePrefix="0" xfId="80">
      <alignment horizontal="general" vertical="center"/>
    </xf>
    <xf numFmtId="0" fontId="5" fillId="0" borderId="0" applyAlignment="1" pivotButton="0" quotePrefix="0" xfId="35">
      <alignment horizontal="general" vertical="bottom"/>
    </xf>
    <xf numFmtId="0" fontId="21" fillId="2" borderId="0" applyAlignment="1" pivotButton="0" quotePrefix="0" xfId="35">
      <alignment horizontal="left" vertical="center"/>
    </xf>
    <xf numFmtId="173" fontId="21" fillId="2" borderId="0" applyAlignment="1" pivotButton="0" quotePrefix="0" xfId="35">
      <alignment horizontal="general" vertical="center"/>
    </xf>
    <xf numFmtId="0" fontId="21" fillId="5" borderId="0" applyAlignment="1" pivotButton="0" quotePrefix="0" xfId="35">
      <alignment horizontal="left" vertical="bottom"/>
    </xf>
    <xf numFmtId="166" fontId="21" fillId="5" borderId="0" applyAlignment="1" pivotButton="0" quotePrefix="0" xfId="35">
      <alignment horizontal="right" vertical="bottom"/>
    </xf>
    <xf numFmtId="166" fontId="21" fillId="5" borderId="20" applyAlignment="1" pivotButton="0" quotePrefix="0" xfId="35">
      <alignment horizontal="right" vertical="bottom"/>
    </xf>
    <xf numFmtId="166" fontId="21" fillId="5" borderId="19" applyAlignment="1" pivotButton="0" quotePrefix="0" xfId="35">
      <alignment horizontal="right" vertical="bottom"/>
    </xf>
    <xf numFmtId="166" fontId="21" fillId="5" borderId="21" applyAlignment="1" pivotButton="0" quotePrefix="0" xfId="35">
      <alignment horizontal="right" vertical="bottom" wrapText="1"/>
    </xf>
    <xf numFmtId="0" fontId="19" fillId="4" borderId="0" applyAlignment="1" pivotButton="0" quotePrefix="0" xfId="35">
      <alignment horizontal="left" vertical="bottom" indent="2"/>
    </xf>
    <xf numFmtId="173" fontId="19" fillId="4" borderId="0" applyAlignment="1" pivotButton="0" quotePrefix="0" xfId="35">
      <alignment horizontal="general" vertical="bottom"/>
    </xf>
    <xf numFmtId="173" fontId="19" fillId="4" borderId="23" applyAlignment="1" pivotButton="0" quotePrefix="0" xfId="35">
      <alignment horizontal="general" vertical="bottom"/>
    </xf>
    <xf numFmtId="173" fontId="19" fillId="4" borderId="4" applyAlignment="1" pivotButton="0" quotePrefix="0" xfId="35">
      <alignment horizontal="general" vertical="bottom"/>
    </xf>
    <xf numFmtId="0" fontId="19" fillId="17" borderId="0" applyAlignment="1" pivotButton="0" quotePrefix="0" xfId="35">
      <alignment horizontal="left" vertical="bottom" indent="2"/>
    </xf>
    <xf numFmtId="0" fontId="19" fillId="4" borderId="13" applyAlignment="1" pivotButton="0" quotePrefix="0" xfId="35">
      <alignment horizontal="left" vertical="bottom" indent="2"/>
    </xf>
    <xf numFmtId="173" fontId="19" fillId="4" borderId="13" applyAlignment="1" pivotButton="0" quotePrefix="0" xfId="35">
      <alignment horizontal="general" vertical="bottom"/>
    </xf>
    <xf numFmtId="173" fontId="19" fillId="4" borderId="24" applyAlignment="1" pivotButton="0" quotePrefix="0" xfId="35">
      <alignment horizontal="general" vertical="bottom"/>
    </xf>
    <xf numFmtId="173" fontId="19" fillId="4" borderId="25" applyAlignment="1" pivotButton="0" quotePrefix="0" xfId="35">
      <alignment horizontal="general" vertical="bottom"/>
    </xf>
    <xf numFmtId="0" fontId="19" fillId="4" borderId="0" applyAlignment="1" pivotButton="0" quotePrefix="0" xfId="35">
      <alignment horizontal="left" vertical="bottom" indent="1"/>
    </xf>
    <xf numFmtId="0" fontId="19" fillId="4" borderId="13" applyAlignment="1" pivotButton="0" quotePrefix="0" xfId="35">
      <alignment horizontal="left" vertical="bottom" indent="1"/>
    </xf>
    <xf numFmtId="0" fontId="34" fillId="7" borderId="3" applyAlignment="1" pivotButton="0" quotePrefix="0" xfId="35">
      <alignment horizontal="left" vertical="bottom"/>
    </xf>
    <xf numFmtId="173" fontId="34" fillId="7" borderId="3" applyAlignment="1" pivotButton="0" quotePrefix="0" xfId="35">
      <alignment horizontal="general" vertical="bottom"/>
    </xf>
    <xf numFmtId="173" fontId="34" fillId="7" borderId="28" applyAlignment="1" pivotButton="0" quotePrefix="0" xfId="35">
      <alignment horizontal="general" vertical="bottom"/>
    </xf>
    <xf numFmtId="173" fontId="34" fillId="7" borderId="30" applyAlignment="1" pivotButton="0" quotePrefix="0" xfId="35">
      <alignment horizontal="general" vertical="bottom"/>
    </xf>
    <xf numFmtId="0" fontId="34" fillId="0" borderId="0" applyAlignment="1" pivotButton="0" quotePrefix="0" xfId="35">
      <alignment horizontal="left" vertical="bottom"/>
    </xf>
    <xf numFmtId="173" fontId="34" fillId="0" borderId="0" applyAlignment="1" pivotButton="0" quotePrefix="0" xfId="35">
      <alignment horizontal="general" vertical="bottom"/>
    </xf>
    <xf numFmtId="0" fontId="35" fillId="0" borderId="0" applyAlignment="1" pivotButton="0" quotePrefix="0" xfId="35">
      <alignment horizontal="general" vertical="bottom"/>
    </xf>
    <xf numFmtId="0" fontId="25" fillId="0" borderId="0" applyAlignment="1" pivotButton="0" quotePrefix="0" xfId="35">
      <alignment horizontal="left" vertical="bottom"/>
    </xf>
    <xf numFmtId="173" fontId="25" fillId="0" borderId="0" applyAlignment="1" pivotButton="0" quotePrefix="0" xfId="35">
      <alignment horizontal="general" vertical="bottom"/>
    </xf>
    <xf numFmtId="173" fontId="5" fillId="0" borderId="0" applyAlignment="1" pivotButton="0" quotePrefix="0" xfId="35">
      <alignment horizontal="general" vertical="bottom"/>
    </xf>
    <xf numFmtId="171" fontId="36" fillId="4" borderId="0" applyAlignment="1" pivotButton="0" quotePrefix="0" xfId="50">
      <alignment horizontal="general" vertical="bottom"/>
    </xf>
    <xf numFmtId="0" fontId="19" fillId="0" borderId="0" applyAlignment="1" pivotButton="0" quotePrefix="0" xfId="35">
      <alignment horizontal="left" vertical="bottom" indent="2"/>
    </xf>
    <xf numFmtId="173" fontId="19" fillId="0" borderId="0" applyAlignment="1" pivotButton="0" quotePrefix="0" xfId="35">
      <alignment horizontal="general" vertical="bottom"/>
    </xf>
    <xf numFmtId="173" fontId="19" fillId="0" borderId="23" applyAlignment="1" pivotButton="0" quotePrefix="0" xfId="35">
      <alignment horizontal="general" vertical="bottom"/>
    </xf>
    <xf numFmtId="173" fontId="19" fillId="0" borderId="4" applyAlignment="1" pivotButton="0" quotePrefix="0" xfId="35">
      <alignment horizontal="general" vertical="bottom"/>
    </xf>
    <xf numFmtId="196" fontId="21" fillId="5" borderId="0" applyAlignment="1" pivotButton="0" quotePrefix="0" xfId="35">
      <alignment horizontal="right" vertical="bottom"/>
    </xf>
    <xf numFmtId="196" fontId="21" fillId="5" borderId="20" applyAlignment="1" pivotButton="0" quotePrefix="0" xfId="35">
      <alignment horizontal="right" vertical="bottom"/>
    </xf>
    <xf numFmtId="196" fontId="21" fillId="5" borderId="75" applyAlignment="1" pivotButton="0" quotePrefix="0" xfId="35">
      <alignment horizontal="center" vertical="bottom"/>
    </xf>
    <xf numFmtId="196" fontId="21" fillId="5" borderId="31" applyAlignment="1" pivotButton="0" quotePrefix="0" xfId="35">
      <alignment horizontal="center" vertical="bottom" wrapText="1"/>
    </xf>
    <xf numFmtId="196" fontId="21" fillId="8" borderId="75" applyAlignment="1" pivotButton="0" quotePrefix="0" xfId="35">
      <alignment horizontal="center" vertical="bottom"/>
    </xf>
    <xf numFmtId="196" fontId="21" fillId="8" borderId="31" applyAlignment="1" pivotButton="0" quotePrefix="0" xfId="35">
      <alignment horizontal="center" vertical="bottom" wrapText="1"/>
    </xf>
    <xf numFmtId="196" fontId="21" fillId="5" borderId="19" applyAlignment="1" pivotButton="0" quotePrefix="0" xfId="35">
      <alignment horizontal="right" vertical="bottom"/>
    </xf>
    <xf numFmtId="196" fontId="21" fillId="5" borderId="21" applyAlignment="1" pivotButton="0" quotePrefix="0" xfId="35">
      <alignment horizontal="right" vertical="bottom" wrapText="1"/>
    </xf>
    <xf numFmtId="196" fontId="21" fillId="8" borderId="19" applyAlignment="1" pivotButton="0" quotePrefix="0" xfId="35">
      <alignment horizontal="right" vertical="bottom"/>
    </xf>
    <xf numFmtId="196" fontId="21" fillId="8" borderId="21" applyAlignment="1" pivotButton="0" quotePrefix="0" xfId="35">
      <alignment horizontal="right" vertical="bottom" wrapText="1"/>
    </xf>
    <xf numFmtId="0" fontId="19" fillId="4" borderId="0" applyAlignment="1" pivotButton="0" quotePrefix="0" xfId="35">
      <alignment horizontal="left" vertical="bottom"/>
    </xf>
    <xf numFmtId="173" fontId="19" fillId="18" borderId="0" applyAlignment="1" pivotButton="0" quotePrefix="0" xfId="35">
      <alignment horizontal="general" vertical="bottom"/>
    </xf>
    <xf numFmtId="173" fontId="19" fillId="7" borderId="0" applyAlignment="1" pivotButton="0" quotePrefix="0" xfId="35">
      <alignment horizontal="general" vertical="bottom"/>
    </xf>
    <xf numFmtId="173" fontId="19" fillId="7" borderId="13" applyAlignment="1" pivotButton="0" quotePrefix="0" xfId="35">
      <alignment horizontal="general" vertical="bottom"/>
    </xf>
    <xf numFmtId="173" fontId="19" fillId="0" borderId="13" applyAlignment="1" pivotButton="0" quotePrefix="0" xfId="35">
      <alignment horizontal="general" vertical="bottom"/>
    </xf>
    <xf numFmtId="0" fontId="19" fillId="0" borderId="13" applyAlignment="1" pivotButton="0" quotePrefix="0" xfId="35">
      <alignment horizontal="left" vertical="bottom"/>
    </xf>
    <xf numFmtId="173" fontId="19" fillId="0" borderId="24" applyAlignment="1" pivotButton="0" quotePrefix="0" xfId="35">
      <alignment horizontal="general" vertical="bottom"/>
    </xf>
    <xf numFmtId="173" fontId="19" fillId="0" borderId="25" applyAlignment="1" pivotButton="0" quotePrefix="0" xfId="35">
      <alignment horizontal="general" vertical="bottom"/>
    </xf>
    <xf numFmtId="173" fontId="25" fillId="12" borderId="0" applyAlignment="1" pivotButton="0" quotePrefix="0" xfId="35">
      <alignment horizontal="general" vertical="bottom"/>
    </xf>
    <xf numFmtId="167" fontId="5" fillId="4" borderId="13" applyAlignment="1" pivotButton="0" quotePrefix="0" xfId="35">
      <alignment horizontal="right" vertical="bottom"/>
    </xf>
    <xf numFmtId="167" fontId="5" fillId="4" borderId="24" applyAlignment="1" pivotButton="0" quotePrefix="0" xfId="35">
      <alignment horizontal="right" vertical="bottom"/>
    </xf>
    <xf numFmtId="167" fontId="5" fillId="4" borderId="25" applyAlignment="1" pivotButton="0" quotePrefix="0" xfId="35">
      <alignment horizontal="right" vertical="bottom"/>
    </xf>
    <xf numFmtId="167" fontId="5" fillId="0" borderId="0" applyAlignment="1" pivotButton="0" quotePrefix="0" xfId="35">
      <alignment horizontal="right" vertical="bottom"/>
    </xf>
    <xf numFmtId="167" fontId="5" fillId="0" borderId="23" applyAlignment="1" pivotButton="0" quotePrefix="0" xfId="35">
      <alignment horizontal="right" vertical="bottom"/>
    </xf>
    <xf numFmtId="167" fontId="5" fillId="0" borderId="4" applyAlignment="1" pivotButton="0" quotePrefix="0" xfId="35">
      <alignment horizontal="right" vertical="bottom"/>
    </xf>
    <xf numFmtId="0" fontId="34" fillId="7" borderId="22" applyAlignment="1" pivotButton="0" quotePrefix="0" xfId="35">
      <alignment horizontal="left" vertical="center"/>
    </xf>
    <xf numFmtId="173" fontId="34" fillId="7" borderId="22" applyAlignment="1" pivotButton="0" quotePrefix="0" xfId="35">
      <alignment horizontal="general" vertical="center"/>
    </xf>
    <xf numFmtId="173" fontId="34" fillId="7" borderId="34" applyAlignment="1" pivotButton="0" quotePrefix="0" xfId="35">
      <alignment horizontal="general" vertical="center"/>
    </xf>
    <xf numFmtId="173" fontId="34" fillId="7" borderId="35" applyAlignment="1" pivotButton="0" quotePrefix="0" xfId="35">
      <alignment horizontal="general" vertical="center"/>
    </xf>
    <xf numFmtId="201" fontId="7" fillId="0" borderId="0" applyAlignment="1" pivotButton="0" quotePrefix="0" xfId="80">
      <alignment horizontal="general" vertical="center"/>
    </xf>
    <xf numFmtId="0" fontId="5" fillId="2" borderId="0" applyAlignment="1" pivotButton="0" quotePrefix="0" xfId="79">
      <alignment horizontal="left" vertical="bottom"/>
    </xf>
    <xf numFmtId="0" fontId="5" fillId="0" borderId="0" applyAlignment="1" pivotButton="0" quotePrefix="0" xfId="79">
      <alignment horizontal="left" vertical="bottom"/>
    </xf>
    <xf numFmtId="0" fontId="5" fillId="0" borderId="0" applyAlignment="1" pivotButton="0" quotePrefix="0" xfId="79">
      <alignment horizontal="general" vertical="bottom"/>
    </xf>
    <xf numFmtId="0" fontId="27" fillId="0" borderId="0" applyAlignment="1" pivotButton="0" quotePrefix="0" xfId="79">
      <alignment horizontal="left" vertical="bottom"/>
    </xf>
    <xf numFmtId="0" fontId="28" fillId="0" borderId="0" applyAlignment="1" pivotButton="0" quotePrefix="0" xfId="79">
      <alignment horizontal="left" vertical="bottom"/>
    </xf>
    <xf numFmtId="0" fontId="29" fillId="0" borderId="0" applyAlignment="1" pivotButton="0" quotePrefix="0" xfId="79">
      <alignment horizontal="left" vertical="bottom"/>
    </xf>
    <xf numFmtId="0" fontId="24" fillId="0" borderId="0" applyAlignment="1" pivotButton="0" quotePrefix="0" xfId="79">
      <alignment horizontal="left" vertical="bottom"/>
    </xf>
    <xf numFmtId="0" fontId="21" fillId="2" borderId="2" applyAlignment="1" pivotButton="0" quotePrefix="0" xfId="79">
      <alignment horizontal="left" vertical="center"/>
    </xf>
    <xf numFmtId="173" fontId="21" fillId="2" borderId="2" applyAlignment="1" pivotButton="0" quotePrefix="0" xfId="79">
      <alignment horizontal="general" vertical="center"/>
    </xf>
    <xf numFmtId="0" fontId="21" fillId="5" borderId="0" applyAlignment="1" pivotButton="0" quotePrefix="0" xfId="79">
      <alignment horizontal="left" vertical="bottom"/>
    </xf>
    <xf numFmtId="166" fontId="21" fillId="5" borderId="0" applyAlignment="1" pivotButton="0" quotePrefix="0" xfId="79">
      <alignment horizontal="right" vertical="bottom"/>
    </xf>
    <xf numFmtId="166" fontId="21" fillId="5" borderId="20" applyAlignment="1" pivotButton="0" quotePrefix="0" xfId="79">
      <alignment horizontal="right" vertical="bottom"/>
    </xf>
    <xf numFmtId="166" fontId="21" fillId="5" borderId="21" applyAlignment="1" pivotButton="0" quotePrefix="0" xfId="79">
      <alignment horizontal="right" vertical="bottom"/>
    </xf>
    <xf numFmtId="166" fontId="21" fillId="5" borderId="19" applyAlignment="1" pivotButton="0" quotePrefix="0" xfId="79">
      <alignment horizontal="right" vertical="bottom" wrapText="1"/>
    </xf>
    <xf numFmtId="0" fontId="19" fillId="4" borderId="0" applyAlignment="1" pivotButton="0" quotePrefix="0" xfId="79">
      <alignment horizontal="left" vertical="bottom" indent="2"/>
    </xf>
    <xf numFmtId="173" fontId="19" fillId="4" borderId="0" applyAlignment="1" pivotButton="0" quotePrefix="0" xfId="79">
      <alignment horizontal="general" vertical="bottom"/>
    </xf>
    <xf numFmtId="173" fontId="19" fillId="4" borderId="23" applyAlignment="1" pivotButton="0" quotePrefix="0" xfId="79">
      <alignment horizontal="general" vertical="bottom"/>
    </xf>
    <xf numFmtId="173" fontId="19" fillId="4" borderId="4" applyAlignment="1" pivotButton="0" quotePrefix="0" xfId="79">
      <alignment horizontal="general" vertical="bottom"/>
    </xf>
    <xf numFmtId="0" fontId="19" fillId="4" borderId="13" applyAlignment="1" pivotButton="0" quotePrefix="0" xfId="79">
      <alignment horizontal="left" vertical="bottom" indent="2"/>
    </xf>
    <xf numFmtId="173" fontId="19" fillId="4" borderId="13" applyAlignment="1" pivotButton="0" quotePrefix="0" xfId="79">
      <alignment horizontal="general" vertical="bottom"/>
    </xf>
    <xf numFmtId="173" fontId="19" fillId="4" borderId="24" applyAlignment="1" pivotButton="0" quotePrefix="0" xfId="79">
      <alignment horizontal="general" vertical="bottom"/>
    </xf>
    <xf numFmtId="173" fontId="19" fillId="4" borderId="25" applyAlignment="1" pivotButton="0" quotePrefix="0" xfId="79">
      <alignment horizontal="general" vertical="bottom"/>
    </xf>
    <xf numFmtId="0" fontId="19" fillId="4" borderId="0" applyAlignment="1" pivotButton="0" quotePrefix="0" xfId="79">
      <alignment horizontal="left" vertical="bottom" indent="1"/>
    </xf>
    <xf numFmtId="0" fontId="38" fillId="2" borderId="0" applyAlignment="1" pivotButton="0" quotePrefix="0" xfId="79">
      <alignment horizontal="left" vertical="bottom"/>
    </xf>
    <xf numFmtId="0" fontId="38" fillId="0" borderId="0" applyAlignment="1" pivotButton="0" quotePrefix="0" xfId="79">
      <alignment horizontal="left" vertical="bottom"/>
    </xf>
    <xf numFmtId="0" fontId="19" fillId="12" borderId="0" applyAlignment="1" pivotButton="0" quotePrefix="0" xfId="79">
      <alignment horizontal="left" vertical="bottom" indent="2"/>
    </xf>
    <xf numFmtId="0" fontId="35" fillId="2" borderId="0" applyAlignment="1" pivotButton="0" quotePrefix="0" xfId="79">
      <alignment horizontal="left" vertical="bottom"/>
    </xf>
    <xf numFmtId="0" fontId="35" fillId="0" borderId="0" applyAlignment="1" pivotButton="0" quotePrefix="0" xfId="79">
      <alignment horizontal="left" vertical="bottom"/>
    </xf>
    <xf numFmtId="0" fontId="19" fillId="4" borderId="13" applyAlignment="1" pivotButton="0" quotePrefix="0" xfId="79">
      <alignment horizontal="left" vertical="bottom" indent="1"/>
    </xf>
    <xf numFmtId="0" fontId="19" fillId="4" borderId="0" applyAlignment="1" pivotButton="0" quotePrefix="0" xfId="79">
      <alignment horizontal="left" vertical="bottom"/>
    </xf>
    <xf numFmtId="0" fontId="19" fillId="4" borderId="0" applyAlignment="1" pivotButton="0" quotePrefix="0" xfId="79">
      <alignment horizontal="left" vertical="bottom" indent="3"/>
    </xf>
    <xf numFmtId="0" fontId="19" fillId="4" borderId="13" applyAlignment="1" pivotButton="0" quotePrefix="0" xfId="79">
      <alignment horizontal="left" vertical="bottom" indent="3"/>
    </xf>
    <xf numFmtId="0" fontId="19" fillId="12" borderId="0" applyAlignment="1" pivotButton="0" quotePrefix="0" xfId="79">
      <alignment horizontal="left" vertical="bottom" indent="3"/>
    </xf>
    <xf numFmtId="0" fontId="19" fillId="4" borderId="13" applyAlignment="1" pivotButton="0" quotePrefix="0" xfId="79">
      <alignment horizontal="left" vertical="bottom"/>
    </xf>
    <xf numFmtId="0" fontId="34" fillId="7" borderId="3" applyAlignment="1" pivotButton="0" quotePrefix="0" xfId="79">
      <alignment horizontal="left" vertical="bottom"/>
    </xf>
    <xf numFmtId="173" fontId="34" fillId="7" borderId="3" applyAlignment="1" pivotButton="0" quotePrefix="0" xfId="79">
      <alignment horizontal="general" vertical="bottom"/>
    </xf>
    <xf numFmtId="173" fontId="34" fillId="7" borderId="28" applyAlignment="1" pivotButton="0" quotePrefix="0" xfId="79">
      <alignment horizontal="general" vertical="bottom"/>
    </xf>
    <xf numFmtId="173" fontId="34" fillId="7" borderId="30" applyAlignment="1" pivotButton="0" quotePrefix="0" xfId="79">
      <alignment horizontal="general" vertical="bottom"/>
    </xf>
    <xf numFmtId="166" fontId="21" fillId="5" borderId="15" applyAlignment="1" pivotButton="0" quotePrefix="0" xfId="79">
      <alignment horizontal="center" vertical="bottom"/>
    </xf>
    <xf numFmtId="166" fontId="21" fillId="5" borderId="32" applyAlignment="1" pivotButton="0" quotePrefix="0" xfId="79">
      <alignment horizontal="center" vertical="bottom"/>
    </xf>
    <xf numFmtId="0" fontId="5" fillId="2" borderId="0" applyAlignment="1" pivotButton="0" quotePrefix="0" xfId="78">
      <alignment horizontal="left" vertical="bottom"/>
    </xf>
    <xf numFmtId="0" fontId="5" fillId="0" borderId="0" applyAlignment="1" pivotButton="0" quotePrefix="0" xfId="78">
      <alignment horizontal="left" vertical="bottom"/>
    </xf>
    <xf numFmtId="0" fontId="5" fillId="0" borderId="0" applyAlignment="1" pivotButton="0" quotePrefix="0" xfId="78">
      <alignment horizontal="general" vertical="bottom"/>
    </xf>
    <xf numFmtId="0" fontId="27" fillId="0" borderId="0" applyAlignment="1" pivotButton="0" quotePrefix="0" xfId="78">
      <alignment horizontal="left" vertical="bottom"/>
    </xf>
    <xf numFmtId="0" fontId="28" fillId="0" borderId="0" applyAlignment="1" pivotButton="0" quotePrefix="0" xfId="78">
      <alignment horizontal="left" vertical="bottom"/>
    </xf>
    <xf numFmtId="0" fontId="29" fillId="0" borderId="0" applyAlignment="1" pivotButton="0" quotePrefix="0" xfId="78">
      <alignment horizontal="left" vertical="bottom"/>
    </xf>
    <xf numFmtId="0" fontId="24" fillId="0" borderId="0" applyAlignment="1" pivotButton="0" quotePrefix="0" xfId="78">
      <alignment horizontal="left" vertical="bottom"/>
    </xf>
    <xf numFmtId="0" fontId="21" fillId="2" borderId="0" applyAlignment="1" pivotButton="0" quotePrefix="0" xfId="78">
      <alignment horizontal="left" vertical="center"/>
    </xf>
    <xf numFmtId="173" fontId="21" fillId="2" borderId="0" applyAlignment="1" pivotButton="0" quotePrefix="0" xfId="78">
      <alignment horizontal="general" vertical="center"/>
    </xf>
    <xf numFmtId="0" fontId="35" fillId="2" borderId="0" applyAlignment="1" pivotButton="0" quotePrefix="0" xfId="78">
      <alignment horizontal="left" vertical="bottom"/>
    </xf>
    <xf numFmtId="0" fontId="35" fillId="0" borderId="0" applyAlignment="1" pivotButton="0" quotePrefix="0" xfId="78">
      <alignment horizontal="left" vertical="bottom"/>
    </xf>
    <xf numFmtId="0" fontId="21" fillId="5" borderId="0" applyAlignment="1" pivotButton="0" quotePrefix="0" xfId="78">
      <alignment horizontal="left" vertical="bottom"/>
    </xf>
    <xf numFmtId="166" fontId="21" fillId="5" borderId="15" applyAlignment="1" pivotButton="0" quotePrefix="0" xfId="78">
      <alignment horizontal="center" vertical="bottom"/>
    </xf>
    <xf numFmtId="166" fontId="21" fillId="5" borderId="20" applyAlignment="1" pivotButton="0" quotePrefix="0" xfId="78">
      <alignment horizontal="center" vertical="bottom"/>
    </xf>
    <xf numFmtId="166" fontId="21" fillId="5" borderId="0" applyAlignment="1" pivotButton="0" quotePrefix="0" xfId="78">
      <alignment horizontal="center" vertical="bottom"/>
    </xf>
    <xf numFmtId="166" fontId="21" fillId="5" borderId="0" applyAlignment="1" pivotButton="0" quotePrefix="0" xfId="78">
      <alignment horizontal="right" vertical="bottom"/>
    </xf>
    <xf numFmtId="166" fontId="21" fillId="5" borderId="5" applyAlignment="1" pivotButton="0" quotePrefix="0" xfId="78">
      <alignment horizontal="right" vertical="bottom"/>
    </xf>
    <xf numFmtId="166" fontId="21" fillId="5" borderId="10" applyAlignment="1" pivotButton="0" quotePrefix="0" xfId="78">
      <alignment horizontal="right" vertical="bottom"/>
    </xf>
    <xf numFmtId="166" fontId="21" fillId="5" borderId="7" applyAlignment="1" pivotButton="0" quotePrefix="0" xfId="78">
      <alignment horizontal="right" vertical="bottom"/>
    </xf>
    <xf numFmtId="166" fontId="21" fillId="5" borderId="6" applyAlignment="1" pivotButton="0" quotePrefix="0" xfId="78">
      <alignment horizontal="right" vertical="bottom" wrapText="1"/>
    </xf>
    <xf numFmtId="188" fontId="5" fillId="0" borderId="0" applyAlignment="1" pivotButton="0" quotePrefix="0" xfId="78">
      <alignment horizontal="general" vertical="bottom" wrapText="1"/>
    </xf>
    <xf numFmtId="0" fontId="19" fillId="4" borderId="0" applyAlignment="1" pivotButton="0" quotePrefix="0" xfId="78">
      <alignment horizontal="left" vertical="bottom" indent="1"/>
    </xf>
    <xf numFmtId="173" fontId="19" fillId="4" borderId="0" applyAlignment="1" pivotButton="0" quotePrefix="0" xfId="78">
      <alignment horizontal="general" vertical="bottom"/>
    </xf>
    <xf numFmtId="173" fontId="19" fillId="4" borderId="23" applyAlignment="1" pivotButton="0" quotePrefix="0" xfId="78">
      <alignment horizontal="general" vertical="bottom"/>
    </xf>
    <xf numFmtId="173" fontId="19" fillId="4" borderId="4" applyAlignment="1" pivotButton="0" quotePrefix="0" xfId="78">
      <alignment horizontal="general" vertical="bottom"/>
    </xf>
    <xf numFmtId="189" fontId="5" fillId="0" borderId="0" applyAlignment="1" pivotButton="0" quotePrefix="0" xfId="78">
      <alignment horizontal="general" vertical="bottom"/>
    </xf>
    <xf numFmtId="0" fontId="19" fillId="4" borderId="13" applyAlignment="1" pivotButton="0" quotePrefix="0" xfId="78">
      <alignment horizontal="left" vertical="bottom" indent="1"/>
    </xf>
    <xf numFmtId="173" fontId="19" fillId="4" borderId="13" applyAlignment="1" pivotButton="0" quotePrefix="0" xfId="78">
      <alignment horizontal="general" vertical="bottom"/>
    </xf>
    <xf numFmtId="173" fontId="19" fillId="4" borderId="24" applyAlignment="1" pivotButton="0" quotePrefix="0" xfId="78">
      <alignment horizontal="general" vertical="bottom"/>
    </xf>
    <xf numFmtId="173" fontId="19" fillId="4" borderId="25" applyAlignment="1" pivotButton="0" quotePrefix="0" xfId="78">
      <alignment horizontal="general" vertical="bottom"/>
    </xf>
    <xf numFmtId="0" fontId="19" fillId="4" borderId="0" applyAlignment="1" pivotButton="0" quotePrefix="0" xfId="78">
      <alignment horizontal="left" vertical="bottom"/>
    </xf>
    <xf numFmtId="0" fontId="38" fillId="2" borderId="0" applyAlignment="1" pivotButton="0" quotePrefix="0" xfId="78">
      <alignment horizontal="left" vertical="bottom"/>
    </xf>
    <xf numFmtId="0" fontId="38" fillId="0" borderId="0" applyAlignment="1" pivotButton="0" quotePrefix="0" xfId="78">
      <alignment horizontal="left" vertical="bottom"/>
    </xf>
    <xf numFmtId="0" fontId="19" fillId="4" borderId="13" applyAlignment="1" pivotButton="0" quotePrefix="0" xfId="78">
      <alignment horizontal="left" vertical="bottom"/>
    </xf>
    <xf numFmtId="0" fontId="34" fillId="7" borderId="3" applyAlignment="1" pivotButton="0" quotePrefix="0" xfId="78">
      <alignment horizontal="left" vertical="bottom"/>
    </xf>
    <xf numFmtId="173" fontId="34" fillId="7" borderId="3" applyAlignment="1" pivotButton="0" quotePrefix="0" xfId="78">
      <alignment horizontal="general" vertical="bottom"/>
    </xf>
    <xf numFmtId="173" fontId="34" fillId="7" borderId="28" applyAlignment="1" pivotButton="0" quotePrefix="0" xfId="78">
      <alignment horizontal="general" vertical="bottom"/>
    </xf>
    <xf numFmtId="173" fontId="34" fillId="7" borderId="30" applyAlignment="1" pivotButton="0" quotePrefix="0" xfId="78">
      <alignment horizontal="general" vertical="bottom"/>
    </xf>
    <xf numFmtId="0" fontId="21" fillId="2" borderId="2" applyAlignment="1" pivotButton="0" quotePrefix="0" xfId="78">
      <alignment horizontal="left" vertical="center"/>
    </xf>
    <xf numFmtId="173" fontId="21" fillId="2" borderId="2" applyAlignment="1" pivotButton="0" quotePrefix="0" xfId="78">
      <alignment horizontal="general" vertical="center"/>
    </xf>
    <xf numFmtId="188" fontId="5" fillId="0" borderId="0" applyAlignment="1" pivotButton="0" quotePrefix="0" xfId="78">
      <alignment horizontal="general" vertical="bottom"/>
    </xf>
    <xf numFmtId="173" fontId="19" fillId="7" borderId="0" applyAlignment="1" pivotButton="0" quotePrefix="0" xfId="78">
      <alignment horizontal="general" vertical="bottom"/>
    </xf>
    <xf numFmtId="173" fontId="19" fillId="7" borderId="4" applyAlignment="1" pivotButton="0" quotePrefix="0" xfId="78">
      <alignment horizontal="general" vertical="bottom"/>
    </xf>
    <xf numFmtId="173" fontId="19" fillId="7" borderId="13" applyAlignment="1" pivotButton="0" quotePrefix="0" xfId="78">
      <alignment horizontal="general" vertical="bottom"/>
    </xf>
    <xf numFmtId="173" fontId="19" fillId="7" borderId="25" applyAlignment="1" pivotButton="0" quotePrefix="0" xfId="78">
      <alignment horizontal="general" vertical="bottom"/>
    </xf>
    <xf numFmtId="0" fontId="19" fillId="4" borderId="0" applyAlignment="1" pivotButton="0" quotePrefix="0" xfId="78">
      <alignment horizontal="left" vertical="bottom" indent="2"/>
    </xf>
    <xf numFmtId="0" fontId="19" fillId="4" borderId="13" applyAlignment="1" pivotButton="0" quotePrefix="0" xfId="78">
      <alignment horizontal="left" vertical="bottom" indent="2"/>
    </xf>
    <xf numFmtId="0" fontId="5" fillId="2" borderId="0" applyAlignment="1" pivotButton="0" quotePrefix="0" xfId="34">
      <alignment horizontal="left" vertical="bottom"/>
    </xf>
    <xf numFmtId="0" fontId="5" fillId="0" borderId="0" applyAlignment="1" pivotButton="0" quotePrefix="0" xfId="34">
      <alignment horizontal="left" vertical="bottom"/>
    </xf>
    <xf numFmtId="0" fontId="27" fillId="0" borderId="0" applyAlignment="1" pivotButton="0" quotePrefix="0" xfId="34">
      <alignment horizontal="left" vertical="bottom"/>
    </xf>
    <xf numFmtId="0" fontId="28" fillId="0" borderId="0" applyAlignment="1" pivotButton="0" quotePrefix="0" xfId="34">
      <alignment horizontal="left" vertical="bottom"/>
    </xf>
    <xf numFmtId="0" fontId="29" fillId="0" borderId="0" applyAlignment="1" pivotButton="0" quotePrefix="0" xfId="34">
      <alignment horizontal="left" vertical="bottom"/>
    </xf>
    <xf numFmtId="0" fontId="24" fillId="0" borderId="0" applyAlignment="1" pivotButton="0" quotePrefix="0" xfId="34">
      <alignment horizontal="left" vertical="bottom"/>
    </xf>
    <xf numFmtId="0" fontId="21" fillId="2" borderId="0" applyAlignment="1" pivotButton="0" quotePrefix="0" xfId="34">
      <alignment horizontal="left" vertical="center"/>
    </xf>
    <xf numFmtId="0" fontId="0" fillId="0" borderId="0" applyAlignment="1" pivotButton="0" quotePrefix="0" xfId="0">
      <alignment horizontal="general" vertical="bottom" wrapText="1"/>
    </xf>
    <xf numFmtId="0" fontId="5" fillId="2" borderId="0" applyAlignment="1" pivotButton="0" quotePrefix="0" xfId="34">
      <alignment horizontal="left" vertical="bottom" wrapText="1"/>
    </xf>
    <xf numFmtId="0" fontId="5" fillId="0" borderId="0" applyAlignment="1" pivotButton="0" quotePrefix="0" xfId="34">
      <alignment horizontal="left" vertical="bottom" wrapText="1"/>
    </xf>
    <xf numFmtId="0" fontId="21" fillId="5" borderId="0" applyAlignment="1" pivotButton="0" quotePrefix="0" xfId="34">
      <alignment horizontal="left" vertical="bottom" wrapText="1"/>
    </xf>
    <xf numFmtId="166" fontId="21" fillId="5" borderId="15" applyAlignment="1" pivotButton="0" quotePrefix="0" xfId="34">
      <alignment horizontal="center" vertical="bottom" wrapText="1"/>
    </xf>
    <xf numFmtId="166" fontId="21" fillId="5" borderId="0" applyAlignment="1" pivotButton="0" quotePrefix="0" xfId="34">
      <alignment horizontal="center" vertical="bottom" wrapText="1"/>
    </xf>
    <xf numFmtId="166" fontId="21" fillId="5" borderId="20" applyAlignment="1" pivotButton="0" quotePrefix="0" xfId="34">
      <alignment horizontal="center" vertical="bottom" wrapText="1"/>
    </xf>
    <xf numFmtId="166" fontId="21" fillId="8" borderId="15" applyAlignment="1" pivotButton="0" quotePrefix="0" xfId="34">
      <alignment horizontal="center" vertical="bottom" wrapText="1"/>
    </xf>
    <xf numFmtId="166" fontId="21" fillId="8" borderId="0" applyAlignment="1" pivotButton="0" quotePrefix="0" xfId="34">
      <alignment horizontal="center" vertical="bottom" wrapText="1"/>
    </xf>
    <xf numFmtId="166" fontId="21" fillId="8" borderId="20" applyAlignment="1" pivotButton="0" quotePrefix="0" xfId="34">
      <alignment horizontal="center" vertical="bottom" wrapText="1"/>
    </xf>
    <xf numFmtId="0" fontId="21" fillId="5" borderId="0" applyAlignment="1" pivotButton="0" quotePrefix="0" xfId="34">
      <alignment horizontal="left" vertical="bottom"/>
    </xf>
    <xf numFmtId="166" fontId="21" fillId="5" borderId="0" applyAlignment="1" pivotButton="0" quotePrefix="0" xfId="34">
      <alignment horizontal="right" vertical="bottom"/>
    </xf>
    <xf numFmtId="166" fontId="21" fillId="5" borderId="10" applyAlignment="1" pivotButton="0" quotePrefix="0" xfId="34">
      <alignment horizontal="right" vertical="bottom"/>
    </xf>
    <xf numFmtId="166" fontId="21" fillId="5" borderId="5" applyAlignment="1" pivotButton="0" quotePrefix="0" xfId="34">
      <alignment horizontal="right" vertical="bottom"/>
    </xf>
    <xf numFmtId="166" fontId="21" fillId="5" borderId="0" applyAlignment="1" pivotButton="0" quotePrefix="0" xfId="34">
      <alignment horizontal="right" vertical="center" wrapText="1"/>
    </xf>
    <xf numFmtId="166" fontId="21" fillId="8" borderId="0" applyAlignment="1" pivotButton="0" quotePrefix="0" xfId="34">
      <alignment horizontal="right" vertical="bottom"/>
    </xf>
    <xf numFmtId="166" fontId="21" fillId="8" borderId="10" applyAlignment="1" pivotButton="0" quotePrefix="0" xfId="34">
      <alignment horizontal="right" vertical="bottom"/>
    </xf>
    <xf numFmtId="166" fontId="21" fillId="8" borderId="5" applyAlignment="1" pivotButton="0" quotePrefix="0" xfId="34">
      <alignment horizontal="right" vertical="bottom"/>
    </xf>
    <xf numFmtId="0" fontId="35" fillId="2" borderId="0" applyAlignment="1" pivotButton="0" quotePrefix="0" xfId="34">
      <alignment horizontal="left" vertical="bottom"/>
    </xf>
    <xf numFmtId="0" fontId="35" fillId="0" borderId="0" applyAlignment="1" pivotButton="0" quotePrefix="0" xfId="34">
      <alignment horizontal="left" vertical="bottom"/>
    </xf>
    <xf numFmtId="0" fontId="5" fillId="2" borderId="0" applyAlignment="1" pivotButton="0" quotePrefix="0" xfId="33">
      <alignment horizontal="left" vertical="bottom"/>
    </xf>
    <xf numFmtId="0" fontId="5" fillId="0" borderId="0" applyAlignment="1" pivotButton="0" quotePrefix="0" xfId="33">
      <alignment horizontal="left" vertical="bottom"/>
    </xf>
    <xf numFmtId="0" fontId="5" fillId="0" borderId="0" applyAlignment="1" pivotButton="0" quotePrefix="0" xfId="33">
      <alignment horizontal="general" vertical="bottom"/>
    </xf>
    <xf numFmtId="0" fontId="27" fillId="0" borderId="0" applyAlignment="1" pivotButton="0" quotePrefix="0" xfId="33">
      <alignment horizontal="left" vertical="bottom"/>
    </xf>
    <xf numFmtId="0" fontId="28" fillId="0" borderId="0" applyAlignment="1" pivotButton="0" quotePrefix="0" xfId="33">
      <alignment horizontal="left" vertical="bottom"/>
    </xf>
    <xf numFmtId="0" fontId="29" fillId="0" borderId="0" applyAlignment="1" pivotButton="0" quotePrefix="0" xfId="33">
      <alignment horizontal="left" vertical="bottom"/>
    </xf>
    <xf numFmtId="0" fontId="24" fillId="0" borderId="0" applyAlignment="1" pivotButton="0" quotePrefix="0" xfId="33">
      <alignment horizontal="left" vertical="bottom"/>
    </xf>
    <xf numFmtId="0" fontId="21" fillId="2" borderId="0" applyAlignment="1" pivotButton="0" quotePrefix="0" xfId="33">
      <alignment horizontal="left" vertical="center"/>
    </xf>
    <xf numFmtId="173" fontId="21" fillId="2" borderId="0" applyAlignment="1" pivotButton="0" quotePrefix="0" xfId="33">
      <alignment horizontal="general" vertical="center"/>
    </xf>
    <xf numFmtId="0" fontId="21" fillId="5" borderId="0" applyAlignment="1" pivotButton="0" quotePrefix="0" xfId="33">
      <alignment horizontal="left" vertical="bottom"/>
    </xf>
    <xf numFmtId="166" fontId="21" fillId="5" borderId="0" applyAlignment="1" pivotButton="0" quotePrefix="0" xfId="33">
      <alignment horizontal="right" vertical="bottom"/>
    </xf>
    <xf numFmtId="166" fontId="21" fillId="5" borderId="20" applyAlignment="1" pivotButton="0" quotePrefix="0" xfId="33">
      <alignment horizontal="right" vertical="bottom"/>
    </xf>
    <xf numFmtId="166" fontId="21" fillId="5" borderId="21" applyAlignment="1" pivotButton="0" quotePrefix="0" xfId="33">
      <alignment horizontal="right" vertical="bottom"/>
    </xf>
    <xf numFmtId="196" fontId="5" fillId="0" borderId="0" applyAlignment="1" pivotButton="0" quotePrefix="0" xfId="33">
      <alignment horizontal="general" vertical="bottom"/>
    </xf>
    <xf numFmtId="0" fontId="19" fillId="4" borderId="0" applyAlignment="1" pivotButton="0" quotePrefix="0" xfId="33">
      <alignment horizontal="left" vertical="bottom"/>
    </xf>
    <xf numFmtId="173" fontId="19" fillId="16" borderId="0" applyAlignment="1" pivotButton="0" quotePrefix="0" xfId="33">
      <alignment horizontal="general" vertical="bottom"/>
    </xf>
    <xf numFmtId="173" fontId="19" fillId="4" borderId="0" applyAlignment="1" pivotButton="0" quotePrefix="0" xfId="33">
      <alignment horizontal="general" vertical="bottom"/>
    </xf>
    <xf numFmtId="173" fontId="19" fillId="4" borderId="23" applyAlignment="1" pivotButton="0" quotePrefix="0" xfId="33">
      <alignment horizontal="general" vertical="bottom"/>
    </xf>
    <xf numFmtId="173" fontId="19" fillId="16" borderId="4" applyAlignment="1" pivotButton="0" quotePrefix="0" xfId="33">
      <alignment horizontal="general" vertical="bottom"/>
    </xf>
    <xf numFmtId="173" fontId="19" fillId="0" borderId="0" applyAlignment="1" pivotButton="0" quotePrefix="0" xfId="33">
      <alignment horizontal="general" vertical="bottom"/>
    </xf>
    <xf numFmtId="0" fontId="19" fillId="4" borderId="13" applyAlignment="1" pivotButton="0" quotePrefix="0" xfId="33">
      <alignment horizontal="left" vertical="bottom"/>
    </xf>
    <xf numFmtId="173" fontId="19" fillId="16" borderId="13" applyAlignment="1" pivotButton="0" quotePrefix="0" xfId="33">
      <alignment horizontal="general" vertical="bottom"/>
    </xf>
    <xf numFmtId="173" fontId="19" fillId="4" borderId="13" applyAlignment="1" pivotButton="0" quotePrefix="0" xfId="33">
      <alignment horizontal="general" vertical="bottom"/>
    </xf>
    <xf numFmtId="173" fontId="19" fillId="4" borderId="24" applyAlignment="1" pivotButton="0" quotePrefix="0" xfId="33">
      <alignment horizontal="general" vertical="bottom"/>
    </xf>
    <xf numFmtId="173" fontId="19" fillId="16" borderId="25" applyAlignment="1" pivotButton="0" quotePrefix="0" xfId="33">
      <alignment horizontal="general" vertical="bottom"/>
    </xf>
    <xf numFmtId="173" fontId="19" fillId="0" borderId="13" applyAlignment="1" pivotButton="0" quotePrefix="0" xfId="33">
      <alignment horizontal="general" vertical="bottom"/>
    </xf>
    <xf numFmtId="0" fontId="34" fillId="7" borderId="3" applyAlignment="1" pivotButton="0" quotePrefix="0" xfId="33">
      <alignment horizontal="left" vertical="bottom"/>
    </xf>
    <xf numFmtId="173" fontId="34" fillId="7" borderId="3" applyAlignment="1" pivotButton="0" quotePrefix="0" xfId="33">
      <alignment horizontal="general" vertical="bottom"/>
    </xf>
    <xf numFmtId="173" fontId="34" fillId="7" borderId="28" applyAlignment="1" pivotButton="0" quotePrefix="0" xfId="33">
      <alignment horizontal="general" vertical="bottom"/>
    </xf>
    <xf numFmtId="173" fontId="34" fillId="7" borderId="30" applyAlignment="1" pivotButton="0" quotePrefix="0" xfId="33">
      <alignment horizontal="general" vertical="bottom"/>
    </xf>
    <xf numFmtId="189" fontId="35" fillId="0" borderId="0" applyAlignment="1" pivotButton="0" quotePrefix="0" xfId="33">
      <alignment horizontal="general" vertical="bottom"/>
    </xf>
    <xf numFmtId="0" fontId="35" fillId="2" borderId="0" applyAlignment="1" pivotButton="0" quotePrefix="0" xfId="33">
      <alignment horizontal="left" vertical="bottom"/>
    </xf>
    <xf numFmtId="0" fontId="35" fillId="0" borderId="0" applyAlignment="1" pivotButton="0" quotePrefix="0" xfId="33">
      <alignment horizontal="left" vertical="bottom"/>
    </xf>
    <xf numFmtId="0" fontId="25" fillId="4" borderId="0" applyAlignment="1" pivotButton="0" quotePrefix="0" xfId="33">
      <alignment horizontal="left" vertical="bottom"/>
    </xf>
    <xf numFmtId="189" fontId="35" fillId="16" borderId="0" applyAlignment="1" pivotButton="0" quotePrefix="0" xfId="33">
      <alignment horizontal="general" vertical="bottom"/>
    </xf>
    <xf numFmtId="189" fontId="35" fillId="0" borderId="0" applyAlignment="1" pivotButton="0" quotePrefix="0" xfId="33">
      <alignment horizontal="left" vertical="bottom"/>
    </xf>
    <xf numFmtId="0" fontId="21" fillId="2" borderId="2" applyAlignment="1" pivotButton="0" quotePrefix="0" xfId="33">
      <alignment horizontal="left" vertical="center"/>
    </xf>
    <xf numFmtId="173" fontId="21" fillId="2" borderId="2" applyAlignment="1" pivotButton="0" quotePrefix="0" xfId="33">
      <alignment horizontal="left" vertical="center"/>
    </xf>
    <xf numFmtId="173" fontId="21" fillId="2" borderId="2" applyAlignment="1" pivotButton="0" quotePrefix="0" xfId="33">
      <alignment horizontal="general" vertical="center"/>
    </xf>
    <xf numFmtId="0" fontId="21" fillId="5" borderId="0" applyAlignment="1" pivotButton="0" quotePrefix="0" xfId="33">
      <alignment horizontal="left" vertical="bottom" wrapText="1"/>
    </xf>
    <xf numFmtId="0" fontId="19" fillId="4" borderId="3" applyAlignment="1" pivotButton="0" quotePrefix="0" xfId="33">
      <alignment horizontal="left" vertical="bottom"/>
    </xf>
    <xf numFmtId="189" fontId="19" fillId="4" borderId="3" applyAlignment="1" pivotButton="0" quotePrefix="0" xfId="33">
      <alignment horizontal="left" vertical="bottom"/>
    </xf>
    <xf numFmtId="189" fontId="19" fillId="4" borderId="3" applyAlignment="1" pivotButton="0" quotePrefix="0" xfId="33">
      <alignment horizontal="general" vertical="bottom"/>
    </xf>
    <xf numFmtId="0" fontId="21" fillId="5" borderId="0" applyAlignment="1" pivotButton="0" quotePrefix="0" xfId="33">
      <alignment horizontal="right" vertical="bottom" wrapText="1"/>
    </xf>
    <xf numFmtId="0" fontId="21" fillId="5" borderId="0" applyAlignment="1" pivotButton="0" quotePrefix="0" xfId="33">
      <alignment horizontal="right" vertical="bottom"/>
    </xf>
    <xf numFmtId="173" fontId="19" fillId="4" borderId="0" applyAlignment="1" pivotButton="0" quotePrefix="0" xfId="33">
      <alignment horizontal="right" vertical="bottom"/>
    </xf>
    <xf numFmtId="174" fontId="25" fillId="4" borderId="0" applyAlignment="1" pivotButton="0" quotePrefix="0" xfId="33">
      <alignment horizontal="right" vertical="bottom"/>
    </xf>
    <xf numFmtId="173" fontId="19" fillId="4" borderId="13" applyAlignment="1" pivotButton="0" quotePrefix="0" xfId="33">
      <alignment horizontal="right" vertical="bottom"/>
    </xf>
    <xf numFmtId="174" fontId="25" fillId="4" borderId="13" applyAlignment="1" pivotButton="0" quotePrefix="0" xfId="33">
      <alignment horizontal="right" vertical="bottom"/>
    </xf>
    <xf numFmtId="173" fontId="34" fillId="7" borderId="3" applyAlignment="1" pivotButton="0" quotePrefix="0" xfId="33">
      <alignment horizontal="right" vertical="bottom"/>
    </xf>
    <xf numFmtId="174" fontId="47" fillId="7" borderId="3" applyAlignment="1" pivotButton="0" quotePrefix="0" xfId="33">
      <alignment horizontal="right" vertical="bottom"/>
    </xf>
    <xf numFmtId="195" fontId="19" fillId="4" borderId="0" applyAlignment="1" pivotButton="0" quotePrefix="0" xfId="33">
      <alignment horizontal="right" vertical="bottom"/>
    </xf>
    <xf numFmtId="195" fontId="19" fillId="4" borderId="3" applyAlignment="1" pivotButton="0" quotePrefix="0" xfId="33">
      <alignment horizontal="right" vertical="bottom"/>
    </xf>
    <xf numFmtId="2" fontId="0" fillId="0" borderId="0" applyAlignment="1" pivotButton="0" quotePrefix="0" xfId="0">
      <alignment horizontal="general" vertical="bottom"/>
    </xf>
    <xf numFmtId="204" fontId="0" fillId="0" borderId="0" applyAlignment="1" pivotButton="0" quotePrefix="0" xfId="0">
      <alignment horizontal="general" vertical="bottom"/>
    </xf>
    <xf numFmtId="176" fontId="0" fillId="0" borderId="0" applyAlignment="1" pivotButton="0" quotePrefix="0" xfId="0">
      <alignment horizontal="general" vertical="bottom"/>
    </xf>
    <xf numFmtId="205" fontId="0" fillId="0" borderId="99" applyProtection="1" pivotButton="0" quotePrefix="0" xfId="0">
      <protection locked="0" hidden="0"/>
    </xf>
  </cellXfs>
  <cellStyles count="69">
    <cellStyle name="Normal" xfId="0" builtinId="0"/>
    <cellStyle name="Comma" xfId="1" builtinId="3"/>
    <cellStyle name="Comma [0]" xfId="2" builtinId="6"/>
    <cellStyle name="Currency" xfId="3" builtinId="4"/>
    <cellStyle name="Currency [0]" xfId="4" builtinId="7"/>
    <cellStyle name="Percent" xfId="5" builtinId="5"/>
    <cellStyle name="Comma 2" xfId="6"/>
    <cellStyle name="Comma 2 2 3" xfId="7"/>
    <cellStyle name="Comma 2 4" xfId="8"/>
    <cellStyle name="Comma 3" xfId="9"/>
    <cellStyle name="Hyperlink 2" xfId="10"/>
    <cellStyle name="Normal 10" xfId="11"/>
    <cellStyle name="Normal 10 2" xfId="12"/>
    <cellStyle name="Normal 10 2 2" xfId="13"/>
    <cellStyle name="Normal 10 2 3" xfId="14"/>
    <cellStyle name="Normal 11" xfId="15"/>
    <cellStyle name="Normal 11 2" xfId="16"/>
    <cellStyle name="Normal 11 3" xfId="17"/>
    <cellStyle name="Normal 12" xfId="18"/>
    <cellStyle name="Normal 12 2" xfId="19"/>
    <cellStyle name="Normal 12 2 2" xfId="20"/>
    <cellStyle name="Normal 13" xfId="21"/>
    <cellStyle name="Normal 13 2" xfId="22"/>
    <cellStyle name="Normal 14" xfId="23"/>
    <cellStyle name="Normal 14 2" xfId="24"/>
    <cellStyle name="Normal 2" xfId="25"/>
    <cellStyle name="Normal 2 10" xfId="26"/>
    <cellStyle name="Normal 2 11" xfId="27"/>
    <cellStyle name="Normal 2 12" xfId="28"/>
    <cellStyle name="Normal 2 13" xfId="29"/>
    <cellStyle name="Normal 2 14" xfId="30"/>
    <cellStyle name="Normal 2 2" xfId="31"/>
    <cellStyle name="Normal 2 2 2" xfId="32"/>
    <cellStyle name="Normal 2 2 2 3" xfId="33"/>
    <cellStyle name="Normal 2 2 2 4 2 2" xfId="34"/>
    <cellStyle name="Normal 2 2 2 5 2 6 3 3" xfId="35"/>
    <cellStyle name="Normal 2 2 3" xfId="36"/>
    <cellStyle name="Normal 2 2 4" xfId="37"/>
    <cellStyle name="Normal 2 3" xfId="38"/>
    <cellStyle name="Normal 2 3 2" xfId="39"/>
    <cellStyle name="Normal 2 3 2 2 2 2" xfId="40"/>
    <cellStyle name="Normal 2 3 2 2 2 2 2 3 2 2 3 3" xfId="41"/>
    <cellStyle name="Normal 2 3 2 2 2 2 2 5 2 6" xfId="42"/>
    <cellStyle name="Normal 2 3 3" xfId="43"/>
    <cellStyle name="Normal 2 3 4" xfId="44"/>
    <cellStyle name="Normal 2 3 4 2" xfId="45"/>
    <cellStyle name="Normal 2 3 4 3" xfId="46"/>
    <cellStyle name="Normal 2 3 4 3 2" xfId="47"/>
    <cellStyle name="Normal 2 4" xfId="48"/>
    <cellStyle name="Normal 2 5" xfId="49"/>
    <cellStyle name="Normal 2 6" xfId="50"/>
    <cellStyle name="Normal 2 6 2" xfId="51"/>
    <cellStyle name="Normal 2 7" xfId="52"/>
    <cellStyle name="Normal 2 7 2" xfId="53"/>
    <cellStyle name="Normal 2 8" xfId="54"/>
    <cellStyle name="Normal 2 9" xfId="55"/>
    <cellStyle name="Normal 3" xfId="56"/>
    <cellStyle name="Normal 3 2" xfId="57"/>
    <cellStyle name="Normal 3 3" xfId="58"/>
    <cellStyle name="Normal 3 7" xfId="59"/>
    <cellStyle name="Normal 4" xfId="60"/>
    <cellStyle name="Normal 5" xfId="61"/>
    <cellStyle name="Normal 6" xfId="62"/>
    <cellStyle name="Normal 6 2 2" xfId="63"/>
    <cellStyle name="Normal 7" xfId="64"/>
    <cellStyle name="Normal 7 2" xfId="65"/>
    <cellStyle name="Normal 8" xfId="66"/>
    <cellStyle name="Normal 9" xfId="67"/>
    <cellStyle name="Percent 2" xfId="68"/>
  </cellStyles>
  <dxfs count="10">
    <dxf>
      <fill>
        <patternFill patternType="solid">
          <fgColor rgb="FF1E49E2"/>
          <bgColor rgb="FF000000"/>
        </patternFill>
      </fill>
    </dxf>
    <dxf>
      <fill>
        <patternFill patternType="solid">
          <fgColor rgb="FFE5E5E5"/>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338D"/>
          <bgColor rgb="FF000000"/>
        </patternFill>
      </fill>
    </dxf>
    <dxf>
      <fill>
        <patternFill patternType="solid">
          <fgColor rgb="FFFFFF00"/>
          <bgColor rgb="FF000000"/>
        </patternFill>
      </fill>
    </dxf>
    <dxf>
      <font>
        <color rgb="FF9C0006"/>
      </font>
      <numFmt numFmtId="164" formatCode="General"/>
      <fill>
        <patternFill>
          <bgColor rgb="FFFFC7CE"/>
        </patternFill>
      </fill>
    </dxf>
    <dxf>
      <font>
        <color rgb="FF9C0006"/>
      </font>
      <numFmt numFmtId="164" formatCode="General"/>
      <fill>
        <patternFill>
          <bgColor rgb="FFFFC7CE"/>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D349C"/>
      <rgbColor rgb="FF00FFFF"/>
      <rgbColor rgb="FF9C0006"/>
      <rgbColor rgb="FF008000"/>
      <rgbColor rgb="FF002060"/>
      <rgbColor rgb="FF767171"/>
      <rgbColor rgb="FF7213EA"/>
      <rgbColor rgb="FF0070C0"/>
      <rgbColor rgb="FFBFBFBF"/>
      <rgbColor rgb="FF808080"/>
      <rgbColor rgb="FF9999FF"/>
      <rgbColor rgb="FF7030A0"/>
      <rgbColor rgb="FFFFF2CC"/>
      <rgbColor rgb="FFF2F2F2"/>
      <rgbColor rgb="FF510DBC"/>
      <rgbColor rgb="FFB2B2B2"/>
      <rgbColor rgb="FF0563C1"/>
      <rgbColor rgb="FFD9D9D9"/>
      <rgbColor rgb="FF000080"/>
      <rgbColor rgb="FFFF00FF"/>
      <rgbColor rgb="FFFFD966"/>
      <rgbColor rgb="FF00FFFF"/>
      <rgbColor rgb="FF800080"/>
      <rgbColor rgb="FFC00000"/>
      <rgbColor rgb="FF0091DA"/>
      <rgbColor rgb="FF0000FF"/>
      <rgbColor rgb="FF00B8FF"/>
      <rgbColor rgb="FFACEAFF"/>
      <rgbColor rgb="FFE5E5E5"/>
      <rgbColor rgb="FFFFE699"/>
      <rgbColor rgb="FF76D2FF"/>
      <rgbColor rgb="FFFFC7CE"/>
      <rgbColor rgb="FFB497FF"/>
      <rgbColor rgb="FFF8CBAD"/>
      <rgbColor rgb="FF4472C4"/>
      <rgbColor rgb="FF00B8F5"/>
      <rgbColor rgb="FF99CC00"/>
      <rgbColor rgb="FFFFC000"/>
      <rgbColor rgb="FFFF9900"/>
      <rgbColor rgb="FFFF6600"/>
      <rgbColor rgb="FF666666"/>
      <rgbColor rgb="FF8B8B8B"/>
      <rgbColor rgb="FF00338D"/>
      <rgbColor rgb="FF339966"/>
      <rgbColor rgb="FF003300"/>
      <rgbColor rgb="FF333300"/>
      <rgbColor rgb="FF993300"/>
      <rgbColor rgb="FF993366"/>
      <rgbColor rgb="FF1E49E2"/>
      <rgbColor rgb="FF595959"/>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charts/chart1.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lang="en-US" sz="900" b="1" strike="noStrike">
                <a:solidFill>
                  <a:srgbClr val="00338d"/>
                </a:solidFill>
                <a:uFillTx/>
                <a:latin typeface="Arial"/>
                <a:ea typeface="Arial"/>
              </a:rPr>
              <a:t>Pro forma adjusted revenue and EBITDA</a:t>
            </a:r>
          </a:p>
        </rich>
      </tx>
      <layout>
        <manualLayout>
          <xMode val="edge"/>
          <yMode val="edge"/>
          <wMode val="factor"/>
          <hMode val="factor"/>
          <x val="0.0285340528166135"/>
          <y val="0.0275"/>
        </manualLayout>
      </layout>
      <overlay val="0"/>
      <spPr>
        <a:noFill/>
        <a:ln w="0">
          <a:noFill/>
          <a:prstDash val="solid"/>
        </a:ln>
      </spPr>
    </title>
    <plotArea>
      <layout>
        <manualLayout>
          <layoutTarget val="inner"/>
          <xMode val="edge"/>
          <yMode val="edge"/>
          <wMode val="factor"/>
          <hMode val="factor"/>
          <x val="0.141362112664541"/>
          <y val="0.117352941176471"/>
          <w val="0.777123702068514"/>
          <h val="0.6304411764705879"/>
        </manualLayout>
      </layout>
      <barChart>
        <barDir val="col"/>
        <grouping val="clustered"/>
        <varyColors val="0"/>
        <ser>
          <idx val="0"/>
          <order val="0"/>
          <tx>
            <strRef>
              <f>'QofE | Detail'!$C$37</f>
              <strCache>
                <ptCount val="1"/>
                <pt idx="0">
                  <v>Revenue, pro forma adjusted</v>
                </pt>
              </strCache>
            </strRef>
          </tx>
          <spPr>
            <a:solidFill>
              <a:srgbClr val="00338d"/>
            </a:solidFill>
            <a:ln w="12600">
              <a:noFill/>
              <a:prstDash val="solid"/>
            </a:ln>
          </spPr>
          <invertIfNegative val="0"/>
          <dLbls>
            <numFmt formatCode="#,##0_);\(#,##0\);\-_);@"/>
            <txPr>
              <a:bodyPr wrap="square"/>
              <a:lstStyle/>
              <a:p>
                <a:pPr>
                  <a:defRPr sz="700" b="0" strike="noStrike">
                    <a:solidFill>
                      <a:srgbClr val="ffffff"/>
                    </a:solidFill>
                    <a:uFillTx/>
                    <a:latin typeface="Arial"/>
                    <a:ea typeface="Arial"/>
                  </a:defRPr>
                </a:pPr>
                <a:r>
                  <a:t>None</a:t>
                </a:r>
              </a:p>
            </txPr>
            <dLblPos val="ctr"/>
            <showLegendKey val="0"/>
            <showVal val="1"/>
            <showCatName val="0"/>
            <showSerName val="0"/>
            <showPercent val="0"/>
            <showLeaderLines val="1"/>
          </dLbls>
          <cat>
            <strRef>
              <f>'QofE | Detail'!$AU$8:$AY$8</f>
              <strCache>
                <ptCount val="5"/>
                <pt idx="0">
                  <v>FY21</v>
                </pt>
                <pt idx="1">
                  <v>FY22</v>
                </pt>
                <pt idx="2">
                  <v>FY23</v>
                </pt>
                <pt idx="3">
                  <v>TTM
Apr-24</v>
                </pt>
                <pt idx="4">
                  <v>TTM
Jun-24</v>
                </pt>
              </strCache>
            </strRef>
          </cat>
          <val>
            <numRef>
              <f>'QofE | Detail'!$AU$37:$AY$37</f>
              <numCache>
                <formatCode>#,##0_);\(#,##0\);\-_);@</formatCode>
                <ptCount val="5"/>
                <pt idx="0">
                  <v>49232.0548273482</v>
                </pt>
                <pt idx="1">
                  <v>57933.7482430744</v>
                </pt>
                <pt idx="2">
                  <v>66838.0800044975</v>
                </pt>
                <pt idx="3">
                  <v>69583.93244325909</v>
                </pt>
                <pt idx="4">
                  <v>70603.2823069568</v>
                </pt>
              </numCache>
            </numRef>
          </val>
        </ser>
        <ser>
          <idx val="1"/>
          <order val="1"/>
          <tx>
            <strRef>
              <f>'QofE | Detail'!$C$94</f>
              <strCache>
                <ptCount val="1"/>
                <pt idx="0">
                  <v>EBITDA, pro forma adjusted</v>
                </pt>
              </strCache>
            </strRef>
          </tx>
          <spPr>
            <a:solidFill>
              <a:srgbClr val="00b8f5"/>
            </a:solidFill>
            <a:ln w="12600">
              <a:noFill/>
              <a:prstDash val="solid"/>
            </a:ln>
          </spPr>
          <invertIfNegative val="0"/>
          <dLbls>
            <numFmt formatCode="#,##0_);\(#,##0\);\-_);@"/>
            <txPr>
              <a:bodyPr wrap="square"/>
              <a:lstStyle/>
              <a:p>
                <a:pPr>
                  <a:defRPr sz="700" b="0" strike="noStrike">
                    <a:solidFill>
                      <a:srgbClr val="00338d"/>
                    </a:solidFill>
                    <a:uFillTx/>
                    <a:latin typeface="Arial"/>
                    <a:ea typeface="Arial"/>
                  </a:defRPr>
                </a:pPr>
                <a:r>
                  <a:t>None</a:t>
                </a:r>
              </a:p>
            </txPr>
            <dLblPos val="outEnd"/>
            <showLegendKey val="0"/>
            <showVal val="1"/>
            <showCatName val="0"/>
            <showSerName val="0"/>
            <showPercent val="0"/>
            <showLeaderLines val="1"/>
          </dLbls>
          <cat>
            <strRef>
              <f>'QofE | Detail'!$AU$8:$AY$8</f>
              <strCache>
                <ptCount val="5"/>
                <pt idx="0">
                  <v>FY21</v>
                </pt>
                <pt idx="1">
                  <v>FY22</v>
                </pt>
                <pt idx="2">
                  <v>FY23</v>
                </pt>
                <pt idx="3">
                  <v>TTM
Apr-24</v>
                </pt>
                <pt idx="4">
                  <v>TTM
Jun-24</v>
                </pt>
              </strCache>
            </strRef>
          </cat>
          <val>
            <numRef>
              <f>'QofE | Detail'!$AU$94:$AY$94</f>
              <numCache>
                <formatCode>#,##0_);\(#,##0\);\-_);@</formatCode>
                <ptCount val="5"/>
                <pt idx="0">
                  <v>14249.4736711129</v>
                </pt>
                <pt idx="1">
                  <v>16640.9001027886</v>
                </pt>
                <pt idx="2">
                  <v>20027.0850817653</v>
                </pt>
                <pt idx="3">
                  <v>21162.1880724667</v>
                </pt>
                <pt idx="4">
                  <v>22020.9500794407</v>
                </pt>
              </numCache>
            </numRef>
          </val>
        </ser>
        <gapWidth val="33"/>
        <overlap val="0"/>
        <axId val="85612618"/>
        <axId val="7459552"/>
      </barChart>
      <lineChart>
        <grouping val="standard"/>
        <varyColors val="0"/>
        <ser>
          <idx val="2"/>
          <order val="2"/>
          <tx>
            <strRef>
              <f>'QofE | Detail'!$C$95</f>
              <strCache>
                <ptCount val="1"/>
                <pt idx="0">
                  <v>EBITDA margin, pro forma adjusted</v>
                </pt>
              </strCache>
            </strRef>
          </tx>
          <spPr>
            <a:solidFill>
              <a:srgbClr val="1e49e2"/>
            </a:solidFill>
            <a:ln w="28440" cap="rnd">
              <a:solidFill>
                <a:srgbClr val="1e49e2"/>
              </a:solidFill>
              <a:prstDash val="solid"/>
              <a:round/>
            </a:ln>
          </spPr>
          <marker>
            <symbol val="none"/>
            <spPr>
              <a:ln>
                <a:prstDash val="solid"/>
              </a:ln>
            </spPr>
          </marker>
          <dPt>
            <idx val="0"/>
            <marker>
              <symbol val="none"/>
              <spPr>
                <a:ln>
                  <a:prstDash val="solid"/>
                </a:ln>
              </spPr>
            </marker>
            <spPr>
              <a:ln>
                <a:prstDash val="solid"/>
              </a:ln>
            </spPr>
          </dPt>
          <dPt>
            <idx val="2"/>
            <marker>
              <symbol val="none"/>
              <spPr>
                <a:ln>
                  <a:prstDash val="solid"/>
                </a:ln>
              </spPr>
            </marker>
            <spPr>
              <a:ln>
                <a:prstDash val="solid"/>
              </a:ln>
            </spPr>
          </dPt>
          <dLbls>
            <dLbl>
              <idx val="0"/>
              <numFmt formatCode="#,##0.0%_);\(#,##0.0%\);\-_);@"/>
              <txPr>
                <a:bodyPr wrap="square"/>
                <a:lstStyle/>
                <a:p>
                  <a:pPr>
                    <a:defRPr sz="700" b="0" strike="noStrike">
                      <a:solidFill>
                        <a:srgbClr val="00338d"/>
                      </a:solidFill>
                      <a:uFillTx/>
                      <a:latin typeface="Arial"/>
                    </a:defRPr>
                  </a:pPr>
                  <a:r>
                    <a:t>None</a:t>
                  </a:r>
                </a:p>
              </txPr>
              <dLblPos val="r"/>
              <showLegendKey val="0"/>
              <showVal val="1"/>
              <showCatName val="0"/>
              <showSerName val="0"/>
              <showPercent val="0"/>
            </dLbl>
            <dLbl>
              <idx val="2"/>
              <numFmt formatCode="#,##0.0%_);\(#,##0.0%\);\-_);@"/>
              <txPr>
                <a:bodyPr wrap="square"/>
                <a:lstStyle/>
                <a:p>
                  <a:pPr>
                    <a:defRPr sz="700" b="0" strike="noStrike">
                      <a:solidFill>
                        <a:srgbClr val="00338d"/>
                      </a:solidFill>
                      <a:uFillTx/>
                      <a:latin typeface="Arial"/>
                    </a:defRPr>
                  </a:pPr>
                  <a:r>
                    <a:t>None</a:t>
                  </a:r>
                </a:p>
              </txPr>
              <dLblPos val="r"/>
              <showLegendKey val="0"/>
              <showVal val="1"/>
              <showCatName val="0"/>
              <showSerName val="0"/>
              <showPercent val="0"/>
            </dLbl>
            <numFmt formatCode="#,##0.0%_);\(#,##0.0%\);\-_);@"/>
            <txPr>
              <a:bodyPr wrap="square"/>
              <a:lstStyle/>
              <a:p>
                <a:pPr>
                  <a:defRPr sz="700" b="0" strike="noStrike">
                    <a:solidFill>
                      <a:srgbClr val="00338d"/>
                    </a:solidFill>
                    <a:uFillTx/>
                    <a:latin typeface="Arial"/>
                    <a:ea typeface="Arial"/>
                  </a:defRPr>
                </a:pPr>
                <a:r>
                  <a:t>None</a:t>
                </a:r>
              </a:p>
            </txPr>
            <dLblPos val="r"/>
            <showLegendKey val="0"/>
            <showVal val="1"/>
            <showCatName val="0"/>
            <showSerName val="0"/>
            <showPercent val="0"/>
            <showLeaderLines val="0"/>
          </dLbls>
          <cat>
            <strRef>
              <f>'QofE | Detail'!$AU$8:$AY$8</f>
              <strCache>
                <ptCount val="5"/>
                <pt idx="0">
                  <v>FY21</v>
                </pt>
                <pt idx="1">
                  <v>FY22</v>
                </pt>
                <pt idx="2">
                  <v>FY23</v>
                </pt>
                <pt idx="3">
                  <v>TTM
Apr-24</v>
                </pt>
                <pt idx="4">
                  <v>TTM
Jun-24</v>
                </pt>
              </strCache>
            </strRef>
          </cat>
          <val>
            <numRef>
              <f>'QofE | Detail'!$AU$95:$AY$95</f>
              <numCache>
                <formatCode>#,##0.0%_);\(#,##0.0%\);\-_);@</formatCode>
                <ptCount val="5"/>
                <pt idx="0">
                  <v>0.289434875734608</v>
                </pt>
                <pt idx="1">
                  <v>0.287240177054794</v>
                </pt>
                <pt idx="2">
                  <v>0.299635852502311</v>
                </pt>
                <pt idx="3">
                  <v>0.304124635234191</v>
                </pt>
                <pt idx="4">
                  <v>0.311896973623716</v>
                </pt>
              </numCache>
            </numRef>
          </val>
          <smooth val="0"/>
        </ser>
        <hiLowLines>
          <spPr>
            <a:ln w="0">
              <a:noFill/>
              <a:prstDash val="solid"/>
            </a:ln>
          </spPr>
        </hiLowLines>
        <marker val="0"/>
        <axId val="98806216"/>
        <axId val="74977567"/>
      </lineChart>
      <catAx>
        <axId val="85612618"/>
        <scaling>
          <orientation val="minMax"/>
        </scaling>
        <delete val="0"/>
        <axPos val="b"/>
        <numFmt formatCode="General" sourceLinked="0"/>
        <majorTickMark val="none"/>
        <minorTickMark val="none"/>
        <tickLblPos val="nextTo"/>
        <spPr>
          <a:ln w="9360">
            <a:solidFill>
              <a:srgbClr val="b2b2b2"/>
            </a:solidFill>
            <a:prstDash val="solid"/>
            <a:round/>
          </a:ln>
        </spPr>
        <txPr>
          <a:bodyPr/>
          <a:lstStyle/>
          <a:p>
            <a:pPr>
              <a:defRPr sz="800" b="0" strike="noStrike">
                <a:solidFill>
                  <a:srgbClr val="00338d"/>
                </a:solidFill>
                <a:uFillTx/>
                <a:latin typeface="Arial"/>
                <a:ea typeface="Arial"/>
              </a:defRPr>
            </a:pPr>
            <a:r>
              <a:t>None</a:t>
            </a:r>
          </a:p>
        </txPr>
        <crossAx val="7459552"/>
        <crosses val="autoZero"/>
        <auto val="1"/>
        <lblAlgn val="ctr"/>
        <lblOffset val="100"/>
        <noMultiLvlLbl val="0"/>
      </catAx>
      <valAx>
        <axId val="7459552"/>
        <scaling>
          <orientation val="minMax"/>
        </scaling>
        <delete val="0"/>
        <axPos val="l"/>
        <title>
          <tx>
            <rich>
              <a:bodyPr rot="-5400000"/>
              <a:lstStyle/>
              <a:p>
                <a:pPr>
                  <a:defRPr sz="1300" b="0" strike="noStrike">
                    <a:uFillTx/>
                    <a:latin typeface="Arial"/>
                  </a:defRPr>
                </a:pPr>
                <a:r>
                  <a:rPr lang="en-US" sz="800" b="0" strike="noStrike">
                    <a:solidFill>
                      <a:srgbClr val="00338d"/>
                    </a:solidFill>
                    <a:uFillTx/>
                    <a:latin typeface="Arial"/>
                    <a:ea typeface="Arial"/>
                  </a:rPr>
                  <a:t>$'000</a:t>
                </a:r>
              </a:p>
            </rich>
          </tx>
          <overlay val="0"/>
          <spPr>
            <a:noFill/>
            <a:ln w="0">
              <a:noFill/>
              <a:prstDash val="solid"/>
            </a:ln>
          </spPr>
        </title>
        <numFmt formatCode="#,##0_);\(#,##0\);\-_);@" sourceLinked="0"/>
        <majorTickMark val="none"/>
        <minorTickMark val="none"/>
        <tickLblPos val="nextTo"/>
        <spPr>
          <a:ln w="9360">
            <a:solidFill>
              <a:srgbClr val="b2b2b2"/>
            </a:solidFill>
            <a:prstDash val="solid"/>
            <a:round/>
          </a:ln>
        </spPr>
        <txPr>
          <a:bodyPr/>
          <a:lstStyle/>
          <a:p>
            <a:pPr>
              <a:defRPr sz="700" b="0" strike="noStrike">
                <a:solidFill>
                  <a:srgbClr val="00338d"/>
                </a:solidFill>
                <a:uFillTx/>
                <a:latin typeface="Arial"/>
                <a:ea typeface="Arial"/>
              </a:defRPr>
            </a:pPr>
            <a:r>
              <a:t>None</a:t>
            </a:r>
          </a:p>
        </txPr>
        <crossAx val="85612618"/>
        <crosses val="autoZero"/>
        <crossBetween val="between"/>
      </valAx>
      <catAx>
        <axId val="98806216"/>
        <scaling>
          <orientation val="minMax"/>
        </scaling>
        <delete val="1"/>
        <axPos val="t"/>
        <numFmt formatCode="General" sourceLinked="1"/>
        <majorTickMark val="out"/>
        <minorTickMark val="none"/>
        <tickLblPos val="nextTo"/>
        <spPr>
          <a:ln w="6480">
            <a:solidFill>
              <a:srgbClr val="8b8b8b"/>
            </a:solidFill>
            <a:prstDash val="solid"/>
            <a:round/>
          </a:ln>
        </spPr>
        <txPr>
          <a:bodyPr/>
          <a:lstStyle/>
          <a:p>
            <a:pPr>
              <a:defRPr sz="800" b="0" strike="noStrike">
                <a:solidFill>
                  <a:srgbClr val="000000"/>
                </a:solidFill>
                <a:uFillTx/>
                <a:latin typeface="Arial"/>
                <a:ea typeface="Arial"/>
              </a:defRPr>
            </a:pPr>
            <a:r>
              <a:t>None</a:t>
            </a:r>
          </a:p>
        </txPr>
        <crossAx val="74977567"/>
        <auto val="1"/>
        <lblAlgn val="ctr"/>
        <lblOffset val="100"/>
        <noMultiLvlLbl val="0"/>
      </catAx>
      <valAx>
        <axId val="74977567"/>
        <scaling>
          <orientation val="minMax"/>
        </scaling>
        <delete val="0"/>
        <axPos val="r"/>
        <numFmt formatCode="#,##0.0%_);\(#,##0.0%\);\-_);@" sourceLinked="0"/>
        <majorTickMark val="none"/>
        <minorTickMark val="none"/>
        <tickLblPos val="nextTo"/>
        <spPr>
          <a:ln w="9360">
            <a:solidFill>
              <a:srgbClr val="b2b2b2"/>
            </a:solidFill>
            <a:prstDash val="solid"/>
            <a:round/>
          </a:ln>
        </spPr>
        <txPr>
          <a:bodyPr/>
          <a:lstStyle/>
          <a:p>
            <a:pPr>
              <a:defRPr sz="700" b="0" strike="noStrike">
                <a:solidFill>
                  <a:srgbClr val="00338d"/>
                </a:solidFill>
                <a:uFillTx/>
                <a:latin typeface="Arial"/>
                <a:ea typeface="Arial"/>
              </a:defRPr>
            </a:pPr>
            <a:r>
              <a:t>None</a:t>
            </a:r>
          </a:p>
        </txPr>
        <crossAx val="98806216"/>
        <crosses val="max"/>
        <crossBetween val="between"/>
      </valAx>
    </plotArea>
    <legend>
      <legendPos val="b"/>
      <layout>
        <manualLayout>
          <xMode val="edge"/>
          <yMode val="edge"/>
          <wMode val="factor"/>
          <hMode val="factor"/>
          <x val="0"/>
          <y val="0.892819438342739"/>
          <w val="1"/>
          <h val="0.107180561657261"/>
        </manualLayout>
      </layout>
      <overlay val="0"/>
      <spPr>
        <a:noFill/>
        <a:ln w="0">
          <a:noFill/>
          <a:prstDash val="solid"/>
        </a:ln>
      </spPr>
      <txPr>
        <a:bodyPr/>
        <a:lstStyle/>
        <a:p>
          <a:pPr>
            <a:defRPr sz="700" b="0" strike="noStrike">
              <a:solidFill>
                <a:srgbClr val="595959"/>
              </a:solidFill>
              <a:uFillTx/>
              <a:latin typeface="Arial"/>
              <a:ea typeface="Arial"/>
            </a:defRPr>
          </a:pPr>
          <a:r>
            <a:t>None</a:t>
          </a:r>
        </a:p>
      </txPr>
    </legend>
    <plotVisOnly val="0"/>
    <dispBlanksAs val="gap"/>
  </chart>
  <spPr>
    <a:noFill/>
    <a:ln w="25560">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54</col>
      <colOff>149400</colOff>
      <row>2</row>
      <rowOff>60120</rowOff>
    </from>
    <to>
      <col>63</col>
      <colOff>203040</colOff>
      <row>93</row>
      <rowOff>13680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filterMode="0">
    <tabColor rgb="FF00338D"/>
    <outlinePr summaryBelow="1" summaryRight="1"/>
    <pageSetUpPr fitToPage="1"/>
  </sheetPr>
  <dimension ref="A1:N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703125" defaultRowHeight="12.8" customHeight="0" zeroHeight="1" outlineLevelRow="0"/>
  <cols>
    <col width="5.57" customWidth="1" style="3709" min="1" max="1"/>
    <col width="3.57" customWidth="1" style="3709" min="2" max="2"/>
    <col width="0.57" customWidth="1" style="3709" min="3" max="3"/>
    <col width="6.57" customWidth="1" style="3709" min="4" max="4"/>
    <col width="13.15" customWidth="1" style="3709" min="5" max="5"/>
    <col width="10.14" customWidth="1" style="3709" min="6" max="14"/>
    <col width="8.57" customWidth="1" style="3709" min="15" max="16384"/>
  </cols>
  <sheetData>
    <row r="1" ht="14.25" customHeight="1" s="3710">
      <c r="A1" s="3711" t="n"/>
      <c r="B1" s="3712" t="n"/>
      <c r="C1" s="3712" t="n"/>
      <c r="D1" s="3712" t="n"/>
      <c r="E1" s="3712" t="n"/>
      <c r="F1" s="3712" t="n"/>
      <c r="G1" s="3712" t="n"/>
      <c r="H1" s="3712" t="n"/>
      <c r="I1" s="3712" t="n"/>
      <c r="J1" s="3712" t="n"/>
      <c r="K1" s="3712" t="n"/>
      <c r="L1" s="3712" t="n"/>
      <c r="M1" s="3712" t="n"/>
      <c r="N1" s="3712" t="n"/>
    </row>
    <row r="2" ht="14.25" customHeight="1" s="3710">
      <c r="A2" s="3711" t="n"/>
      <c r="B2" s="3712" t="n"/>
      <c r="C2" s="3712" t="n"/>
      <c r="D2" s="3712" t="n"/>
      <c r="E2" s="3712" t="n"/>
      <c r="F2" s="3712" t="n"/>
      <c r="G2" s="3712" t="n"/>
      <c r="H2" s="3712" t="n"/>
      <c r="I2" s="3712" t="n"/>
      <c r="J2" s="3712" t="n"/>
      <c r="K2" s="3712" t="n"/>
      <c r="L2" s="3712" t="n"/>
      <c r="M2" s="3712" t="n"/>
      <c r="N2" s="3712" t="n"/>
    </row>
    <row r="3" ht="14.25" customHeight="1" s="3710">
      <c r="A3" s="3711" t="n"/>
      <c r="B3" s="3712" t="n"/>
      <c r="C3" s="3712" t="n"/>
      <c r="D3" s="3712" t="n"/>
      <c r="E3" s="3712" t="n"/>
      <c r="F3" s="3712" t="n"/>
      <c r="G3" s="3712" t="n"/>
      <c r="H3" s="3712" t="n"/>
      <c r="I3" s="3712" t="n"/>
      <c r="J3" s="3712" t="n"/>
      <c r="K3" s="3712" t="n"/>
      <c r="L3" s="3712" t="n"/>
      <c r="M3" s="3712" t="n"/>
      <c r="N3" s="3712" t="n"/>
    </row>
    <row r="4" ht="14.25" customHeight="1" s="3710">
      <c r="A4" s="3711" t="n"/>
      <c r="B4" s="3712" t="n"/>
      <c r="C4" s="3713" t="inlineStr">
        <is>
          <t>KPMG</t>
        </is>
      </c>
      <c r="F4" s="3712" t="n"/>
      <c r="G4" s="3712" t="n"/>
      <c r="H4" s="3712" t="n"/>
      <c r="I4" s="3712" t="n"/>
      <c r="J4" s="3712" t="n"/>
      <c r="K4" s="3712" t="n"/>
      <c r="L4" s="3712" t="n"/>
      <c r="M4" s="3712" t="n"/>
      <c r="N4" s="3712" t="n"/>
    </row>
    <row r="5" ht="14.25" customHeight="1" s="3710">
      <c r="A5" s="3711" t="n"/>
      <c r="B5" s="3712" t="n"/>
      <c r="F5" s="3712" t="n"/>
      <c r="G5" s="3712" t="n"/>
      <c r="H5" s="3712" t="n"/>
      <c r="I5" s="3712" t="n"/>
      <c r="J5" s="3712" t="n"/>
      <c r="K5" s="3712" t="n"/>
      <c r="L5" s="3712" t="n"/>
      <c r="M5" s="3712" t="n"/>
      <c r="N5" s="3712" t="n"/>
    </row>
    <row r="6" ht="14.25" customHeight="1" s="3710">
      <c r="A6" s="3711" t="n"/>
      <c r="B6" s="3712" t="n"/>
      <c r="F6" s="3712" t="n"/>
      <c r="G6" s="3712" t="n"/>
      <c r="H6" s="3712" t="n"/>
      <c r="I6" s="3712" t="n"/>
      <c r="J6" s="3712" t="n"/>
      <c r="K6" s="3712" t="n"/>
      <c r="L6" s="3712" t="n"/>
      <c r="M6" s="3712" t="n"/>
      <c r="N6" s="3712" t="n"/>
    </row>
    <row r="7" ht="14.25" customHeight="1" s="3710">
      <c r="A7" s="3711" t="n"/>
      <c r="B7" s="3712" t="n"/>
      <c r="C7" s="3712" t="n"/>
      <c r="D7" s="3712" t="n"/>
      <c r="E7" s="3712" t="n"/>
      <c r="F7" s="3712" t="n"/>
      <c r="G7" s="3712" t="n"/>
      <c r="H7" s="3712" t="n"/>
      <c r="I7" s="3712" t="n"/>
      <c r="J7" s="3712" t="n"/>
      <c r="K7" s="3712" t="n"/>
      <c r="L7" s="3712" t="n"/>
      <c r="M7" s="3712" t="n"/>
      <c r="N7" s="3712" t="n"/>
    </row>
    <row r="8" ht="14.25" customHeight="1" s="3710">
      <c r="A8" s="3711" t="n"/>
      <c r="B8" s="3712" t="n"/>
      <c r="C8" s="3712" t="n"/>
      <c r="D8" s="3712" t="n"/>
      <c r="E8" s="3712" t="n"/>
      <c r="F8" s="3712" t="n"/>
      <c r="G8" s="3712" t="n"/>
      <c r="H8" s="3712" t="n"/>
      <c r="I8" s="3712" t="n"/>
      <c r="J8" s="3712" t="n"/>
      <c r="K8" s="3712" t="n"/>
      <c r="L8" s="3712" t="n"/>
      <c r="M8" s="3712" t="n"/>
      <c r="N8" s="3712" t="n"/>
    </row>
    <row r="9" ht="14.25" customHeight="1" s="3710">
      <c r="A9" s="3711" t="n"/>
      <c r="B9" s="3712" t="n"/>
      <c r="C9" s="3712" t="n"/>
      <c r="D9" s="3712" t="n"/>
      <c r="E9" s="3712" t="n"/>
      <c r="F9" s="3712" t="n"/>
      <c r="G9" s="3712" t="n"/>
      <c r="H9" s="3712" t="n"/>
      <c r="I9" s="3712" t="n"/>
      <c r="J9" s="3712" t="n"/>
      <c r="K9" s="3712" t="n"/>
      <c r="L9" s="3712" t="n"/>
      <c r="M9" s="3712" t="n"/>
      <c r="N9" s="3712" t="n"/>
    </row>
    <row r="10" ht="14.25" customHeight="1" s="3710">
      <c r="A10" s="3711" t="n"/>
      <c r="B10" s="3712" t="n"/>
      <c r="C10" s="3712" t="n"/>
      <c r="D10" s="3712" t="n"/>
      <c r="E10" s="3712" t="n"/>
      <c r="F10" s="3712" t="n"/>
      <c r="G10" s="3712" t="n"/>
      <c r="H10" s="3712" t="n"/>
      <c r="I10" s="3712" t="n"/>
      <c r="J10" s="3712" t="n"/>
      <c r="K10" s="3712" t="n"/>
      <c r="L10" s="3712" t="n"/>
      <c r="M10" s="3712" t="n"/>
      <c r="N10" s="3712" t="n"/>
    </row>
    <row r="11" ht="70.34999999999999" customHeight="1" s="3710">
      <c r="A11" s="3711" t="n"/>
      <c r="B11" s="3712" t="n"/>
      <c r="C11" s="3714">
        <f>MID(MID(CELL("filename",C2),FIND("]",CELL("filename",C2))+1,256),1,LEN(MID(CELL("filename",C2),FIND("]",CELL("filename",C2))+1,256))-4)</f>
        <v/>
      </c>
      <c r="D11" s="3712" t="n"/>
      <c r="E11" s="3712" t="n"/>
      <c r="F11" s="3712" t="n"/>
      <c r="G11" s="3712" t="n"/>
      <c r="H11" s="3712" t="n"/>
      <c r="I11" s="3712" t="n"/>
      <c r="J11" s="3712" t="n"/>
      <c r="K11" s="3712" t="n"/>
      <c r="L11" s="3712" t="n"/>
      <c r="M11" s="3712" t="n"/>
      <c r="N11" s="3712" t="n"/>
    </row>
    <row r="12" ht="14.25" customHeight="1" s="3710">
      <c r="A12" s="3711" t="n"/>
      <c r="B12" s="3712" t="n"/>
      <c r="C12" s="3712" t="n"/>
      <c r="D12" s="3712" t="n"/>
      <c r="E12" s="3712" t="n"/>
      <c r="F12" s="3712" t="n"/>
      <c r="G12" s="3712" t="n"/>
      <c r="H12" s="3712" t="n"/>
      <c r="I12" s="3712" t="n"/>
      <c r="J12" s="3712" t="n"/>
      <c r="K12" s="3712" t="n"/>
      <c r="L12" s="3712" t="n"/>
      <c r="M12" s="3712" t="n"/>
      <c r="N12" s="3712" t="n"/>
    </row>
    <row r="13" ht="14.25" customHeight="1" s="3710">
      <c r="A13" s="3711" t="n"/>
      <c r="B13" s="3712" t="n"/>
      <c r="C13" s="3712" t="n"/>
      <c r="D13" s="3712" t="n"/>
      <c r="E13" s="3712" t="n"/>
      <c r="F13" s="3712" t="n"/>
      <c r="G13" s="3712" t="n"/>
      <c r="H13" s="3712" t="n"/>
      <c r="I13" s="3712" t="n"/>
      <c r="J13" s="3712" t="n"/>
      <c r="K13" s="3712" t="n"/>
      <c r="L13" s="3712" t="n"/>
      <c r="M13" s="3712" t="n"/>
      <c r="N13" s="3712" t="n"/>
    </row>
    <row r="14" ht="14.25" customHeight="1" s="3710">
      <c r="A14" s="3711" t="n"/>
      <c r="B14" s="3712" t="n"/>
      <c r="C14" s="3712" t="n"/>
      <c r="D14" s="3712" t="n"/>
      <c r="E14" s="3712" t="n"/>
      <c r="F14" s="3712" t="n"/>
      <c r="G14" s="3712" t="n"/>
      <c r="H14" s="3712" t="n"/>
      <c r="I14" s="3712" t="n"/>
      <c r="J14" s="3712" t="n"/>
      <c r="K14" s="3712" t="n"/>
      <c r="L14" s="3712" t="n"/>
      <c r="M14" s="3712" t="n"/>
      <c r="N14" s="3712" t="n"/>
    </row>
    <row r="15" ht="14.25" customHeight="1" s="3710">
      <c r="A15" s="3711" t="n"/>
      <c r="B15" s="3712" t="n"/>
      <c r="C15" s="3712" t="n"/>
      <c r="D15" s="3712" t="n"/>
      <c r="E15" s="3712" t="n"/>
      <c r="F15" s="3712" t="n"/>
      <c r="G15" s="3712" t="n"/>
      <c r="H15" s="3712" t="n"/>
      <c r="I15" s="3712" t="n"/>
      <c r="J15" s="3712" t="n"/>
      <c r="K15" s="3712" t="n"/>
      <c r="L15" s="3712" t="n"/>
      <c r="M15" s="3712" t="n"/>
      <c r="N15" s="3712" t="n"/>
    </row>
    <row r="16" ht="14.25" customHeight="1" s="3710">
      <c r="A16" s="3711" t="n"/>
      <c r="B16" s="3712" t="n"/>
      <c r="C16" s="3715" t="inlineStr">
        <is>
          <t>DRAFT</t>
        </is>
      </c>
      <c r="D16" s="3712" t="n"/>
      <c r="E16" s="3712" t="n"/>
      <c r="F16" s="3712" t="n"/>
      <c r="G16" s="3712" t="n"/>
      <c r="H16" s="3712" t="n"/>
      <c r="I16" s="3712" t="n"/>
      <c r="J16" s="3712" t="n"/>
      <c r="K16" s="3712" t="n"/>
      <c r="L16" s="3712" t="n"/>
      <c r="M16" s="3712" t="n"/>
      <c r="N16" s="3712" t="n"/>
    </row>
    <row r="17" ht="14.25" customHeight="1" s="3710">
      <c r="A17" s="3711" t="n"/>
      <c r="B17" s="3712" t="n"/>
      <c r="C17" s="3716" t="inlineStr">
        <is>
          <t>Financial due diligence assistance</t>
        </is>
      </c>
      <c r="D17" s="3712" t="n"/>
      <c r="E17" s="3712" t="n"/>
      <c r="F17" s="3712" t="n"/>
      <c r="G17" s="3712" t="n"/>
      <c r="H17" s="3712" t="n"/>
      <c r="I17" s="3712" t="n"/>
      <c r="J17" s="3712" t="n"/>
      <c r="K17" s="3712" t="n"/>
      <c r="L17" s="3712" t="n"/>
      <c r="M17" s="3712" t="n"/>
      <c r="N17" s="3712" t="n"/>
    </row>
    <row r="18" ht="8.1" customHeight="1" s="3710">
      <c r="A18" s="3711" t="n"/>
      <c r="B18" s="3712" t="n"/>
      <c r="C18" s="3712" t="n"/>
      <c r="D18" s="3717" t="n"/>
      <c r="E18" s="3712" t="n"/>
      <c r="F18" s="3712" t="n"/>
      <c r="G18" s="3712" t="n"/>
      <c r="H18" s="3712" t="n"/>
      <c r="I18" s="3712" t="n"/>
      <c r="J18" s="3712" t="n"/>
      <c r="K18" s="3712" t="n"/>
      <c r="L18" s="3712" t="n"/>
      <c r="M18" s="3712" t="n"/>
      <c r="N18" s="3712" t="n"/>
    </row>
    <row r="19" ht="6.6" customHeight="1" s="3710">
      <c r="A19" s="3711" t="n"/>
      <c r="B19" s="3712" t="n"/>
      <c r="C19" s="3712" t="n"/>
      <c r="D19" s="3712" t="n"/>
      <c r="E19" s="3712" t="n"/>
      <c r="F19" s="3712" t="n"/>
      <c r="G19" s="3712" t="n"/>
      <c r="H19" s="3712" t="n"/>
      <c r="I19" s="3712" t="n"/>
      <c r="J19" s="3712" t="n"/>
      <c r="K19" s="3712" t="n"/>
      <c r="L19" s="3712" t="n"/>
      <c r="M19" s="3712" t="n"/>
      <c r="N19" s="3712" t="n"/>
    </row>
    <row r="20" ht="14.25" customHeight="1" s="3710">
      <c r="A20" s="3711" t="n"/>
      <c r="B20" s="3712" t="n"/>
      <c r="C20" s="3718">
        <f>TODAY()</f>
        <v/>
      </c>
      <c r="H20" s="3712" t="n"/>
      <c r="I20" s="3712" t="n"/>
      <c r="J20" s="3712" t="n"/>
      <c r="K20" s="3712" t="n"/>
      <c r="L20" s="3712" t="n"/>
      <c r="M20" s="3712" t="n"/>
      <c r="N20" s="3712" t="n"/>
    </row>
    <row r="21" ht="14.25" customHeight="1" s="3710">
      <c r="A21" s="3711" t="n"/>
      <c r="B21" s="3712" t="n"/>
      <c r="C21" s="3712" t="n"/>
      <c r="D21" s="3712" t="n"/>
      <c r="E21" s="3712" t="n"/>
      <c r="F21" s="3712" t="n"/>
      <c r="G21" s="3712" t="n"/>
      <c r="H21" s="3712" t="n"/>
      <c r="I21" s="3712" t="n"/>
      <c r="J21" s="3712" t="n"/>
      <c r="K21" s="3712" t="n"/>
      <c r="L21" s="3712" t="n"/>
      <c r="M21" s="3712" t="n"/>
      <c r="N21" s="3712" t="n"/>
    </row>
    <row r="22" ht="14.25" customHeight="1" s="3710">
      <c r="A22" s="3711" t="n"/>
      <c r="B22" s="3712" t="n"/>
      <c r="C22" s="3712" t="n"/>
      <c r="D22" s="3712" t="n"/>
      <c r="E22" s="3712" t="n"/>
      <c r="F22" s="3712" t="n"/>
      <c r="G22" s="3712" t="n"/>
      <c r="H22" s="3712" t="n"/>
      <c r="I22" s="3712" t="n"/>
      <c r="J22" s="3712" t="n"/>
      <c r="K22" s="3712" t="n"/>
      <c r="L22" s="3712" t="n"/>
      <c r="M22" s="3712" t="n"/>
      <c r="N22" s="3712" t="n"/>
    </row>
    <row r="23" ht="14.25" customHeight="1" s="3710">
      <c r="A23" s="3711" t="n"/>
      <c r="B23" s="3712" t="n"/>
      <c r="C23" s="3719" t="inlineStr">
        <is>
          <t>PRIVATE AND CONFIDENTIAL</t>
        </is>
      </c>
      <c r="D23" s="3712" t="n"/>
      <c r="E23" s="3712" t="n"/>
      <c r="F23" s="3712" t="n"/>
      <c r="G23" s="3712" t="n"/>
      <c r="H23" s="3712" t="n"/>
      <c r="I23" s="3712" t="n"/>
      <c r="J23" s="3712" t="n"/>
      <c r="K23" s="3712" t="n"/>
      <c r="L23" s="3712" t="n"/>
      <c r="M23" s="3712" t="n"/>
      <c r="N23" s="3712" t="n"/>
    </row>
    <row r="24" ht="14.25" customHeight="1" s="3710">
      <c r="A24" s="3711" t="n"/>
      <c r="B24" s="3712" t="n"/>
      <c r="C24" s="3712" t="n"/>
      <c r="D24" s="3712" t="n"/>
      <c r="E24" s="3712" t="n"/>
      <c r="F24" s="3712" t="n"/>
      <c r="G24" s="3712" t="n"/>
      <c r="H24" s="3712" t="n"/>
      <c r="I24" s="3712" t="n"/>
      <c r="J24" s="3712" t="n"/>
      <c r="K24" s="3712" t="n"/>
      <c r="L24" s="3712" t="n"/>
      <c r="M24" s="3712" t="n"/>
      <c r="N24" s="3720" t="inlineStr">
        <is>
          <t>VA</t>
        </is>
      </c>
    </row>
  </sheetData>
  <mergeCells count="2">
    <mergeCell ref="C20:G20"/>
    <mergeCell ref="C4:E6"/>
  </mergeCells>
  <printOptions horizontalCentered="0" verticalCentered="0" headings="0" gridLines="0" gridLinesSet="1"/>
  <pageMargins left="0.694444444444444" right="0.694444444444444" top="1.25" bottom="0.694444444444444" header="0.694444444444444" footer="0.3"/>
  <pageSetup orientation="landscape" paperSize="75" scale="100" fitToHeight="1" fitToWidth="1" pageOrder="downThenOver" blackAndWhite="0" draft="0" horizontalDpi="300" verticalDpi="300" copies="1"/>
  <headerFooter differentOddEven="0" differentFirst="0">
    <oddHeader>&amp;C&amp;"Univers 45 Light,Regular"&amp;8 &amp;F_x000a_&amp;A&amp;R&amp;"Univers 45 Light,Regular"&amp;8 Draft - Tentative and Preliminary_x000a_Subject to Change</oddHeader>
    <oddFooter>&amp;L&amp;"Univers 45 Light,Regular"&amp;8 This information is subject in all respects to the terms and conditions of our engagement letter, including restrictions on disclosure of this deliverable to third parties.</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0"/>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19.5703125" defaultRowHeight="11.25" customHeight="0" zeroHeight="0" outlineLevelRow="0"/>
  <cols>
    <col width="3.57" customWidth="1" style="3721" min="1" max="1"/>
    <col width="1.57" customWidth="1" style="3722" min="2" max="2"/>
    <col width="119.57" customWidth="1" style="3723" min="3" max="3"/>
    <col width="22.15" customWidth="1" style="3723" min="4" max="4"/>
    <col width="119.57" customWidth="1" style="3723" min="5" max="16384"/>
  </cols>
  <sheetData>
    <row r="1" ht="19.7" customHeight="1" s="3710">
      <c r="B1" s="3724" t="n"/>
      <c r="C1" s="3725" t="inlineStr">
        <is>
          <t>Notice and disclaimer</t>
        </is>
      </c>
    </row>
    <row r="2" ht="11.25" customHeight="1" s="3710">
      <c r="B2" s="3726" t="n"/>
      <c r="C2" s="3727" t="n"/>
    </row>
    <row r="3" ht="11.25" customHeight="1" s="3710">
      <c r="B3" s="3728" t="n"/>
      <c r="C3" s="3729" t="inlineStr">
        <is>
          <t>Context and scope of work</t>
        </is>
      </c>
    </row>
    <row r="4" ht="11.25" customHeight="1" s="3710">
      <c r="B4" s="4555" t="n"/>
      <c r="C4" s="3727" t="n"/>
    </row>
    <row r="5" ht="19.4" customHeight="1" s="3710">
      <c r="B5" s="3731" t="n"/>
      <c r="C5" s="3732" t="inlineStr">
        <is>
          <t xml:space="preserve">This Excel workbook is provided to Client Company Payment Services Inc. (“Client” or “You”) on a confidential basis pursuant to our engagement letter dated May 20, 2024 (“Engagement Letter”) and is subject in all respects to the terms and conditions of the Engagement Letter, including restrictions on use of this report by third parties. </t>
        </is>
      </c>
      <c r="D5" s="3733" t="n"/>
    </row>
    <row r="6" ht="11.25" customHeight="1" s="3710">
      <c r="C6" s="3732" t="n"/>
    </row>
    <row r="7" ht="37.3" customHeight="1" s="3710">
      <c r="C7" s="3732" t="inlineStr">
        <is>
          <t>If this Excel Workbook is received by any party other than Client, the recipient is placed on notice that this report has been prepared solely for Client’s benefit and its own use. KPMG LLP (“KPMG”) does not authorize recipient or any other party to rely on this report and any such reliance shall be at recipient’s sole risk. Therefore, KPMG shall have no liability or responsibility in respect of the advice, recommendations, or other information in this report to recipient or any other party other than Client. Further, this report and its contents may not be shared with or disclosed by the recipient to any party without the express written consent of Client and KPMG.</t>
        </is>
      </c>
    </row>
    <row r="8" ht="11.25" customHeight="1" s="3710">
      <c r="C8" s="3732" t="n"/>
    </row>
    <row r="9" ht="11.25" customHeight="1" s="3710">
      <c r="C9" s="3734" t="inlineStr">
        <is>
          <t>KPMG approach</t>
        </is>
      </c>
    </row>
    <row r="10" ht="11.25" customHeight="1" s="3710">
      <c r="C10" s="3732" t="n"/>
    </row>
    <row r="11" ht="64.15000000000001" customHeight="1" s="3710">
      <c r="C11" s="3733" t="inlineStr">
        <is>
          <t>Our Excel workbook makes reference to ‘KPMG Analysis’; this indicates only that we have (where specified) undertaken certain analytical activities on the underlying data to arrive at the information presented; we do not accept responsibility for the underlying data. The analysis of 'normalized'/'underlying‘ earnings and working capital is for indicative purposes only. We have sought to illustrate the effect on EBITDA/working capital of adjusting for those items identified in the course of our work that may be considered to be 'non-recurring' or 'exceptional' using criteria established by the Client. However the selection and quantification of such adjustments are necessarily judgmental. Because there is no authoritative literature or common standard with respect to the calculation of 'normalized'/'underlying' earnings/working capital, there is no basis to state whether all appropriate and comparable adjustments have been made. In addition, while the adjustments may indeed relate to items which are 'non-recurring' or 'exceptional' or otherwise unrepresentative of the trend, it is possible that earnings/working capital for future periods may be affected by such items, which may be different from the historical items.</t>
        </is>
      </c>
      <c r="D11" s="3733" t="n"/>
    </row>
    <row r="12" ht="11.25" customHeight="1" s="3710">
      <c r="C12" s="3732" t="n"/>
    </row>
    <row r="13" ht="46.25" customHeight="1" s="3710">
      <c r="C13" s="3733" t="inlineStr">
        <is>
          <t>The trailing twelve months ("TTM") run rate analysis has been prepared for illustrative purposes. There is no authoritative literature or common standard with respect to the calculation of 'run rate' EBITDA, and therefore there is no basis on which to state whether, in the illustrative analysis of 'run rate‘ EBITDA, all appropriate and comparable adjustments have been made. We have set out in our report the basis on which items have been included in or excluded from the run rate calculations for particular years. It is for you to satisfy yourselves as to whether the items included or excluded are appropriate for your purposes. The decision as to what items should be included in or excluded from the calculation of 'run rate' EBITDA is highly judgmental; you may choose to interpret the information presented differently.</t>
        </is>
      </c>
      <c r="D13" s="3733" t="n"/>
    </row>
    <row r="14" ht="11.25" customHeight="1" s="3710">
      <c r="C14" s="3732" t="n"/>
    </row>
    <row r="15" ht="28.35" customHeight="1" s="3710">
      <c r="C15" s="3733" t="inlineStr">
        <is>
          <t xml:space="preserve">The procedures we performed do not constitute an audit, examination or review in accordance with standards established by the Auditing and Assurance Standards Board (“AASB”) in Canada, and we have not otherwise verified the information we obtained or presented in this report. We express no opinion or any other form of assurance on Client’s internal control over financial reporting or on the information presented in our report and make no representations concerning its accuracy or completeness. </t>
        </is>
      </c>
      <c r="D15" s="3733" t="n"/>
    </row>
    <row r="16" ht="11.25" customHeight="1" s="3710">
      <c r="C16" s="3732" t="n"/>
    </row>
    <row r="17" ht="37.3" customHeight="1" s="3710">
      <c r="C17" s="3735" t="inlineStr">
        <is>
          <t xml:space="preserve">We have not compiled, examined, or applied other procedures in accordance with the Assurance and Related Services Guidelines issued by the AASB to prospective information contained in this document and, accordingly, express no opinion or any other form of assurance or representations concerning the accuracy, completeness or presentation format of such prospective information. There will usually be differences between projected and actual results, because events and circumstances frequently do not occur as expected, and those differences may be material. </t>
        </is>
      </c>
    </row>
    <row r="18" ht="11.25" customHeight="1" s="3710">
      <c r="C18" s="3732" t="n"/>
    </row>
    <row r="19" ht="37.3" customHeight="1" s="3710">
      <c r="C19" s="3735" t="inlineStr">
        <is>
          <t>The data included in this report was received from May 20, 2024  to August 8, 2024. Since many aspects of the prospective transaction have either not been finalized or are not yet documented, changes may occur that materially affect the financial and other information we received and reported to you. We have no obligation to update our report or to revise the information contained herein to reflect events and transactions occurring after August 8, 2024. We have reviewed this report with Management for the purpose of confirming the factual accuracy of the information we presented.</t>
        </is>
      </c>
    </row>
    <row r="20" ht="11.25" customHeight="1" s="3710">
      <c r="C20" s="3732" t="n"/>
    </row>
    <row r="21" ht="37.3" customHeight="1" s="3710">
      <c r="C21" s="3736" t="inlineStr">
        <is>
          <t>Because of its special nature, this report is not suited for any purpose other than to assist Client in its evaluation of the business and, as such and as agreed in the Engagement Agreement, this report may be provided to any prospective purchaser parties on a non-reliance basis and does not in any way involve advice or recommendations to any prospective purchaser party as to whether to proceed with a transaction. Accordingly, KPMG does not accept any liability or responsibility to any third party who may use or place reliance on our report.</t>
        </is>
      </c>
    </row>
    <row r="22"/>
    <row r="23"/>
    <row r="24"/>
    <row r="25"/>
    <row r="26"/>
    <row r="27"/>
    <row r="28" ht="11.25" customHeight="1" s="3710">
      <c r="B28" s="3737"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00000"/>
    <outlinePr summaryBelow="1" summaryRight="1"/>
    <pageSetUpPr fitToPage="0"/>
  </sheetPr>
  <dimension ref="A1:A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484375" defaultRowHeight="11.25" customHeight="0" zeroHeight="0" outlineLevelRow="0"/>
  <cols>
    <col width="9.140000000000001" customWidth="1" style="3738" min="1" max="16384"/>
  </cols>
  <sheetData/>
  <printOptions horizontalCentered="0" verticalCentered="0" headings="0" gridLines="0" gridLinesSet="1"/>
  <pageMargins left="0.7" right="0.7" top="0.75" bottom="0.75" header="0.511811023622047" footer="0.3"/>
  <pageSetup orientation="portrait" paperSize="1" scale="100" fitToHeight="1" fitToWidth="1" pageOrder="downThenOver" blackAndWhite="0" draft="0" horizontalDpi="300" verticalDpi="300" copies="1"/>
  <headerFooter differentOddEven="0" differentFirst="0">
    <oddHeader/>
    <oddFooter>&amp;C&amp;"Arial,Bold"&amp;7 Document Classification: KPMG Confidential</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0"/>
  </sheetPr>
  <dimension ref="A1:AK141"/>
  <sheetViews>
    <sheetView showFormulas="0" showGridLines="0" showRowColHeaders="1" showZeros="1" rightToLeft="0" tabSelected="0" showOutlineSymbols="1" defaultGridColor="1" view="normal" topLeftCell="A1" colorId="64" zoomScale="100" zoomScaleNormal="100" zoomScalePageLayoutView="100" workbookViewId="0">
      <pane xSplit="4" ySplit="9" topLeftCell="E10" activePane="bottomRight" state="frozen"/>
      <selection pane="topLeft" activeCell="A1" activeCellId="0" sqref="A1"/>
      <selection pane="topRight" activeCell="E1" activeCellId="0" sqref="E1"/>
      <selection pane="bottomLeft" activeCell="A10" activeCellId="0" sqref="A10"/>
      <selection pane="bottomRight" activeCell="A1" activeCellId="0" sqref="A1"/>
    </sheetView>
  </sheetViews>
  <sheetFormatPr baseColWidth="8" defaultColWidth="6.859375" defaultRowHeight="11.25" customHeight="0" zeroHeight="0" outlineLevelRow="2"/>
  <cols>
    <col width="3.57" customWidth="1" style="3739" min="1" max="1"/>
    <col width="1.57" customWidth="1" style="3740" min="2" max="2"/>
    <col width="36.15" customWidth="1" style="3740" min="3" max="3"/>
    <col width="3.15" customWidth="1" style="3740" min="4" max="4"/>
    <col width="8.15" customWidth="1" style="3740" min="5" max="9"/>
    <col width="1.57" customWidth="1" style="3740" min="10" max="10"/>
    <col width="8.15" customWidth="1" style="3740" min="11" max="15"/>
    <col width="1.57" customWidth="1" style="3740" min="16" max="16"/>
    <col width="8.15" customWidth="1" style="3740" min="17" max="21"/>
    <col width="1.57" customWidth="1" style="3740" min="22" max="22"/>
    <col width="8.15" customWidth="1" style="3740" min="23" max="27"/>
    <col width="1.57" customWidth="1" style="3740" min="28" max="28"/>
    <col width="8.15" customWidth="1" style="3740" min="29" max="33"/>
    <col width="1.57" customWidth="1" style="3740" min="34" max="34"/>
    <col width="74.42" customWidth="1" style="3741" min="35" max="35"/>
    <col width="6.85" customWidth="1" style="3742" min="36" max="36"/>
    <col width="6.85" customWidth="1" style="3740" min="37" max="16384"/>
  </cols>
  <sheetData>
    <row r="1" ht="22.05" customFormat="1" customHeight="1" s="3743">
      <c r="A1" s="3744" t="n"/>
      <c r="B1" s="3745" t="inlineStr">
        <is>
          <t>Project Name</t>
        </is>
      </c>
      <c r="AI1" s="3746" t="n"/>
      <c r="AJ1" s="3747" t="n"/>
    </row>
    <row r="2" ht="11.45" customFormat="1" customHeight="1" s="3743">
      <c r="A2" s="3744" t="n"/>
      <c r="B2" s="3748">
        <f>C7</f>
        <v/>
      </c>
      <c r="G2" s="3749" t="n"/>
      <c r="M2" s="3749" t="n"/>
      <c r="S2" s="3749" t="n"/>
      <c r="Y2" s="3749" t="n"/>
      <c r="AE2" s="3749" t="n"/>
      <c r="AI2" s="3746" t="n"/>
      <c r="AJ2" s="3747" t="n"/>
    </row>
    <row r="3" ht="11.25" customFormat="1" customHeight="1" s="3743">
      <c r="A3" s="3744" t="n"/>
      <c r="B3" s="3750" t="inlineStr">
        <is>
          <t>Source: TBD</t>
        </is>
      </c>
      <c r="AI3" s="3746" t="n"/>
      <c r="AJ3" s="3747" t="n"/>
    </row>
    <row r="4" ht="11.25" customHeight="1" s="3710">
      <c r="B4" s="3751" t="inlineStr">
        <is>
          <t>WORKING DRAFT</t>
        </is>
      </c>
      <c r="C4" s="3723" t="n"/>
      <c r="D4" s="3723" t="n"/>
      <c r="E4" s="3723" t="n"/>
      <c r="F4" s="3723" t="n"/>
      <c r="G4" s="3723" t="n"/>
      <c r="H4" s="3723" t="n"/>
      <c r="I4" s="3723" t="n"/>
      <c r="J4" s="3723" t="n"/>
      <c r="K4" s="3723" t="n"/>
      <c r="L4" s="3723" t="n"/>
      <c r="M4" s="3723" t="n"/>
      <c r="N4" s="3723" t="n"/>
      <c r="O4" s="3723" t="n"/>
      <c r="P4" s="3723" t="n"/>
      <c r="Q4" s="3723" t="n"/>
      <c r="R4" s="3723" t="n"/>
      <c r="S4" s="3723" t="n"/>
      <c r="T4" s="3723" t="n"/>
      <c r="U4" s="3723" t="n"/>
      <c r="V4" s="3723" t="n"/>
      <c r="W4" s="3723" t="n"/>
      <c r="X4" s="3723" t="n"/>
      <c r="Y4" s="3723" t="n"/>
      <c r="Z4" s="3723" t="n"/>
      <c r="AA4" s="3723" t="n"/>
      <c r="AB4" s="3723" t="n"/>
      <c r="AC4" s="3723" t="n"/>
      <c r="AD4" s="3723" t="n"/>
      <c r="AE4" s="3723" t="n"/>
      <c r="AF4" s="3723" t="n"/>
      <c r="AG4" s="3723" t="n"/>
      <c r="AH4" s="3723" t="n"/>
      <c r="AI4" s="3752" t="n"/>
    </row>
    <row r="5" ht="11.25" customHeight="1" s="3710">
      <c r="B5" s="3753" t="n"/>
      <c r="C5" s="3723" t="n"/>
      <c r="D5" s="3723" t="n"/>
      <c r="E5" s="3723" t="n"/>
      <c r="F5" s="3723" t="n"/>
      <c r="G5" s="3723" t="n"/>
      <c r="H5" s="3723" t="n"/>
      <c r="I5" s="3723" t="n"/>
      <c r="J5" s="3723" t="n"/>
      <c r="K5" s="3723" t="n"/>
      <c r="L5" s="3723" t="n"/>
      <c r="M5" s="3723" t="n"/>
      <c r="N5" s="3723" t="n"/>
      <c r="O5" s="3723" t="n"/>
      <c r="P5" s="3723" t="n"/>
      <c r="Q5" s="3723" t="n"/>
      <c r="R5" s="3723" t="n"/>
      <c r="S5" s="3723" t="n"/>
      <c r="T5" s="3723" t="n"/>
      <c r="U5" s="3723" t="n"/>
      <c r="V5" s="3723" t="n"/>
      <c r="W5" s="3723" t="n"/>
      <c r="X5" s="3723" t="n"/>
      <c r="Y5" s="3723" t="n"/>
      <c r="Z5" s="3723" t="n"/>
      <c r="AA5" s="3723" t="n"/>
      <c r="AB5" s="3723" t="n"/>
      <c r="AC5" s="3723" t="n"/>
      <c r="AD5" s="3723" t="n"/>
      <c r="AE5" s="3723" t="n"/>
      <c r="AF5" s="3723" t="n"/>
      <c r="AG5" s="3723" t="n"/>
      <c r="AH5" s="3723" t="n"/>
      <c r="AI5" s="3752" t="n"/>
    </row>
    <row r="6" ht="11.25" customHeight="1" s="3710">
      <c r="B6" s="3753" t="n"/>
      <c r="C6" s="3723" t="n"/>
      <c r="D6" s="3723" t="n"/>
      <c r="E6" s="3723" t="n"/>
      <c r="F6" s="3723" t="n"/>
      <c r="G6" s="3723" t="n"/>
      <c r="H6" s="3723" t="n"/>
      <c r="I6" s="3723" t="n"/>
      <c r="J6" s="3723" t="n"/>
      <c r="K6" s="3723" t="n"/>
      <c r="L6" s="3723" t="n"/>
      <c r="M6" s="3723" t="n"/>
      <c r="N6" s="3723" t="n"/>
      <c r="O6" s="3723" t="n"/>
      <c r="P6" s="3723" t="n"/>
      <c r="Q6" s="3723" t="n"/>
      <c r="R6" s="3723" t="n"/>
      <c r="S6" s="3723" t="n"/>
      <c r="T6" s="3723" t="n"/>
      <c r="U6" s="3723" t="n"/>
      <c r="V6" s="3723" t="n"/>
      <c r="W6" s="3723" t="n"/>
      <c r="X6" s="3723" t="n"/>
      <c r="Y6" s="3723" t="n"/>
      <c r="Z6" s="3723" t="n"/>
      <c r="AA6" s="3723" t="n"/>
      <c r="AB6" s="3723" t="n"/>
      <c r="AC6" s="3723" t="n"/>
      <c r="AD6" s="3723" t="n"/>
      <c r="AE6" s="3723" t="n"/>
      <c r="AF6" s="3723" t="n"/>
      <c r="AG6" s="3723" t="n"/>
      <c r="AH6" s="3723" t="n"/>
      <c r="AI6" s="3752" t="n"/>
    </row>
    <row r="7" ht="19.5" customFormat="1" customHeight="1" s="3740">
      <c r="A7" s="3739" t="n"/>
      <c r="B7" s="3754" t="n"/>
      <c r="C7" s="3755" t="inlineStr">
        <is>
          <t>Quality of earnings | Bridge</t>
        </is>
      </c>
      <c r="D7" s="3755" t="n"/>
      <c r="E7" s="3755" t="n"/>
      <c r="F7" s="3755" t="n"/>
      <c r="G7" s="3755" t="n"/>
      <c r="H7" s="3755" t="n"/>
      <c r="I7" s="3755" t="n"/>
      <c r="J7" s="3723" t="n"/>
      <c r="K7" s="3755" t="n"/>
      <c r="L7" s="3755" t="n"/>
      <c r="M7" s="3755" t="n"/>
      <c r="N7" s="3755" t="n"/>
      <c r="O7" s="3755" t="n"/>
      <c r="P7" s="3723" t="n"/>
      <c r="Q7" s="3755" t="n"/>
      <c r="R7" s="3755" t="n"/>
      <c r="S7" s="3755" t="n"/>
      <c r="T7" s="3755" t="n"/>
      <c r="U7" s="3755" t="n"/>
      <c r="V7" s="3723" t="n"/>
      <c r="W7" s="3755" t="n"/>
      <c r="X7" s="3755" t="n"/>
      <c r="Y7" s="3755" t="n"/>
      <c r="Z7" s="3755" t="n"/>
      <c r="AA7" s="3755" t="n"/>
      <c r="AB7" s="3723" t="n"/>
      <c r="AC7" s="3755" t="n"/>
      <c r="AD7" s="3755" t="n"/>
      <c r="AE7" s="3755" t="n"/>
      <c r="AF7" s="3755" t="n"/>
      <c r="AG7" s="3755" t="n"/>
      <c r="AH7" s="3723" t="n"/>
      <c r="AI7" s="3755" t="inlineStr">
        <is>
          <t>Comments</t>
        </is>
      </c>
      <c r="AJ7" s="3742" t="n"/>
    </row>
    <row r="8" ht="12" customFormat="1" customHeight="1" s="3740">
      <c r="A8" s="3739" t="n"/>
      <c r="B8" s="3754" t="n"/>
      <c r="C8" s="3756" t="n"/>
      <c r="D8" s="3756" t="n"/>
      <c r="E8" s="3757" t="inlineStr">
        <is>
          <t>TTM Apr-24 (As of Apr-24)</t>
        </is>
      </c>
      <c r="F8" s="3757" t="n"/>
      <c r="G8" s="3757" t="n"/>
      <c r="H8" s="3757" t="n"/>
      <c r="I8" s="3757" t="n"/>
      <c r="J8" s="3723" t="n"/>
      <c r="K8" s="3758" t="inlineStr">
        <is>
          <t>Jun-24 roll-forward change</t>
        </is>
      </c>
      <c r="L8" s="3758" t="n"/>
      <c r="M8" s="3758" t="n"/>
      <c r="N8" s="3758" t="n"/>
      <c r="O8" s="3758" t="n"/>
      <c r="P8" s="3723" t="n"/>
      <c r="Q8" s="3757" t="inlineStr">
        <is>
          <t>TTM Jun-24 (YTD Apr-24 run-rate)</t>
        </is>
      </c>
      <c r="R8" s="3757" t="n"/>
      <c r="S8" s="3757" t="n"/>
      <c r="T8" s="3757" t="n"/>
      <c r="U8" s="3757" t="n"/>
      <c r="V8" s="3723" t="n"/>
      <c r="W8" s="3758" t="inlineStr">
        <is>
          <t>YTD Jun-24 run-rate change</t>
        </is>
      </c>
      <c r="X8" s="3758" t="n"/>
      <c r="Y8" s="3758" t="n"/>
      <c r="Z8" s="3758" t="n"/>
      <c r="AA8" s="3758" t="n"/>
      <c r="AB8" s="3723" t="n"/>
      <c r="AC8" s="3757" t="inlineStr">
        <is>
          <t>TTM Jun-24 (As of Jun-24)</t>
        </is>
      </c>
      <c r="AD8" s="3757" t="n"/>
      <c r="AE8" s="3757" t="n"/>
      <c r="AF8" s="3757" t="n"/>
      <c r="AG8" s="3757" t="n"/>
      <c r="AH8" s="3723" t="n"/>
      <c r="AI8" s="3755" t="n"/>
      <c r="AJ8" s="3742" t="n"/>
    </row>
    <row r="9" ht="19.4" customFormat="1" customHeight="1" s="3740">
      <c r="A9" s="3739" t="n"/>
      <c r="B9" s="3754" t="n"/>
      <c r="C9" s="3759" t="inlineStr">
        <is>
          <t>$'000</t>
        </is>
      </c>
      <c r="D9" s="3759" t="inlineStr">
        <is>
          <t>Ref</t>
        </is>
      </c>
      <c r="E9" s="3760" t="inlineStr">
        <is>
          <t>FY21</t>
        </is>
      </c>
      <c r="F9" s="3761" t="inlineStr">
        <is>
          <t>FY22</t>
        </is>
      </c>
      <c r="G9" s="3762" t="inlineStr">
        <is>
          <t>FY23</t>
        </is>
      </c>
      <c r="H9" s="3763" t="inlineStr">
        <is>
          <t>TTM
Apr-24</t>
        </is>
      </c>
      <c r="I9" s="3763" t="inlineStr">
        <is>
          <t>TTM
Jun-24</t>
        </is>
      </c>
      <c r="J9" s="3764" t="n"/>
      <c r="K9" s="3765" t="inlineStr">
        <is>
          <t>FY21</t>
        </is>
      </c>
      <c r="L9" s="3766" t="inlineStr">
        <is>
          <t>FY22</t>
        </is>
      </c>
      <c r="M9" s="3767" t="inlineStr">
        <is>
          <t>FY23</t>
        </is>
      </c>
      <c r="N9" s="3768" t="inlineStr">
        <is>
          <t>TTM
Apr-24</t>
        </is>
      </c>
      <c r="O9" s="3768" t="inlineStr">
        <is>
          <t>TTM
Jun-24</t>
        </is>
      </c>
      <c r="P9" s="3764" t="n"/>
      <c r="Q9" s="3760" t="inlineStr">
        <is>
          <t>FY21</t>
        </is>
      </c>
      <c r="R9" s="3761" t="inlineStr">
        <is>
          <t>FY22</t>
        </is>
      </c>
      <c r="S9" s="3762" t="inlineStr">
        <is>
          <t>FY23</t>
        </is>
      </c>
      <c r="T9" s="3763" t="inlineStr">
        <is>
          <t>TTM
Apr-24</t>
        </is>
      </c>
      <c r="U9" s="3763" t="inlineStr">
        <is>
          <t>TTM
Jun-24</t>
        </is>
      </c>
      <c r="V9" s="3764" t="n"/>
      <c r="W9" s="3765" t="inlineStr">
        <is>
          <t>FY21</t>
        </is>
      </c>
      <c r="X9" s="3766" t="inlineStr">
        <is>
          <t>FY22</t>
        </is>
      </c>
      <c r="Y9" s="3767" t="inlineStr">
        <is>
          <t>FY23</t>
        </is>
      </c>
      <c r="Z9" s="3768" t="inlineStr">
        <is>
          <t>TTM
Apr-24</t>
        </is>
      </c>
      <c r="AA9" s="3768" t="inlineStr">
        <is>
          <t>TTM
Jun-24</t>
        </is>
      </c>
      <c r="AB9" s="3764" t="n"/>
      <c r="AC9" s="3760" t="inlineStr">
        <is>
          <t>FY21</t>
        </is>
      </c>
      <c r="AD9" s="3761" t="inlineStr">
        <is>
          <t>FY22</t>
        </is>
      </c>
      <c r="AE9" s="3762" t="inlineStr">
        <is>
          <t>FY23</t>
        </is>
      </c>
      <c r="AF9" s="3763" t="inlineStr">
        <is>
          <t>TTM
Apr-24</t>
        </is>
      </c>
      <c r="AG9" s="3763" t="inlineStr">
        <is>
          <t>TTM
Jun-24</t>
        </is>
      </c>
      <c r="AH9" s="3764" t="n"/>
      <c r="AI9" s="3769" t="n"/>
      <c r="AJ9" s="3742" t="n"/>
    </row>
    <row r="10" ht="12" customHeight="1" s="3710">
      <c r="B10" s="3770" t="n"/>
      <c r="C10" s="3771" t="inlineStr">
        <is>
          <t>Revenue, reported</t>
        </is>
      </c>
      <c r="D10" s="3771" t="n"/>
      <c r="E10" s="3772" t="n"/>
      <c r="F10" s="3772" t="n"/>
      <c r="G10" s="3773" t="n"/>
      <c r="H10" s="3773" t="n"/>
      <c r="I10" s="3774" t="n"/>
      <c r="J10" s="3723" t="n"/>
      <c r="K10" s="3772" t="n"/>
      <c r="L10" s="3772" t="n"/>
      <c r="M10" s="3773" t="n"/>
      <c r="N10" s="3773" t="n"/>
      <c r="O10" s="3774" t="n"/>
      <c r="P10" s="3723" t="n"/>
      <c r="Q10" s="3772" t="n"/>
      <c r="R10" s="3772" t="n"/>
      <c r="S10" s="3773" t="n"/>
      <c r="T10" s="3773" t="n"/>
      <c r="U10" s="3773" t="n"/>
      <c r="V10" s="3723" t="n"/>
      <c r="W10" s="3772" t="n"/>
      <c r="X10" s="3772" t="n"/>
      <c r="Y10" s="3773" t="n"/>
      <c r="Z10" s="3773" t="n"/>
      <c r="AA10" s="3773" t="n"/>
      <c r="AB10" s="3723" t="n"/>
      <c r="AC10" s="3772" t="n"/>
      <c r="AD10" s="3772" t="n"/>
      <c r="AE10" s="3773" t="n"/>
      <c r="AF10" s="3773" t="n"/>
      <c r="AG10" s="3773" t="n"/>
      <c r="AH10" s="3723" t="n"/>
      <c r="AI10" s="3775" t="n"/>
    </row>
    <row r="11" hidden="1" outlineLevel="1" ht="12" customHeight="1" s="3710">
      <c r="B11" s="3770" t="n"/>
      <c r="C11" s="3729" t="inlineStr">
        <is>
          <t>Due diligence adjustments</t>
        </is>
      </c>
      <c r="D11" s="3776" t="n"/>
      <c r="E11" s="3777" t="n"/>
      <c r="F11" s="3777" t="n"/>
      <c r="G11" s="3778" t="n"/>
      <c r="H11" s="3778" t="n"/>
      <c r="I11" s="3779" t="n"/>
      <c r="J11" s="3723" t="n"/>
      <c r="K11" s="3777" t="n"/>
      <c r="L11" s="3777" t="n"/>
      <c r="M11" s="3778" t="n"/>
      <c r="N11" s="3778" t="n"/>
      <c r="O11" s="3779" t="n"/>
      <c r="P11" s="3723" t="n"/>
      <c r="Q11" s="3777" t="n"/>
      <c r="R11" s="3777" t="n"/>
      <c r="S11" s="3778" t="n"/>
      <c r="T11" s="3778" t="n"/>
      <c r="U11" s="3778" t="n"/>
      <c r="V11" s="3723" t="n"/>
      <c r="W11" s="3777" t="n"/>
      <c r="X11" s="3777" t="n"/>
      <c r="Y11" s="3778" t="n"/>
      <c r="Z11" s="3778" t="n"/>
      <c r="AA11" s="3778" t="n"/>
      <c r="AB11" s="3723" t="n"/>
      <c r="AC11" s="3777" t="n"/>
      <c r="AD11" s="3777" t="n"/>
      <c r="AE11" s="3778" t="n"/>
      <c r="AF11" s="3778" t="n"/>
      <c r="AG11" s="3778" t="n"/>
      <c r="AH11" s="3723" t="n"/>
      <c r="AI11" s="3780" t="n"/>
    </row>
    <row r="12" hidden="1" outlineLevel="1" ht="12" customHeight="1" s="3710">
      <c r="B12" s="3770" t="n"/>
      <c r="C12" s="3781">
        <f>C49</f>
        <v/>
      </c>
      <c r="D12" s="3782">
        <f>D49</f>
        <v/>
      </c>
      <c r="E12" s="3783" t="n"/>
      <c r="F12" s="3783" t="n"/>
      <c r="G12" s="3784" t="n"/>
      <c r="H12" s="3784" t="n"/>
      <c r="I12" s="3785" t="n"/>
      <c r="J12" s="3723" t="n"/>
      <c r="K12" s="3783" t="n"/>
      <c r="L12" s="3783" t="n"/>
      <c r="M12" s="3784" t="n"/>
      <c r="N12" s="3784" t="n"/>
      <c r="O12" s="3785" t="n"/>
      <c r="P12" s="3723" t="n"/>
      <c r="Q12" s="3783" t="n"/>
      <c r="R12" s="3783" t="n"/>
      <c r="S12" s="3784" t="n"/>
      <c r="T12" s="3784" t="n"/>
      <c r="U12" s="3784" t="n"/>
      <c r="V12" s="3723" t="n"/>
      <c r="W12" s="3783" t="n"/>
      <c r="X12" s="3783" t="n"/>
      <c r="Y12" s="3784" t="n"/>
      <c r="Z12" s="3784" t="n"/>
      <c r="AA12" s="3784" t="n"/>
      <c r="AB12" s="3723" t="n"/>
      <c r="AC12" s="3783" t="n"/>
      <c r="AD12" s="3783" t="n"/>
      <c r="AE12" s="3784" t="n"/>
      <c r="AF12" s="3784" t="n"/>
      <c r="AG12" s="3784" t="n"/>
      <c r="AH12" s="3723" t="n"/>
      <c r="AI12" s="3786" t="n"/>
    </row>
    <row r="13" hidden="1" outlineLevel="1" ht="12" customHeight="1" s="3710">
      <c r="B13" s="3770" t="n"/>
      <c r="C13" s="3787">
        <f>C50</f>
        <v/>
      </c>
      <c r="D13" s="3788">
        <f>D50</f>
        <v/>
      </c>
      <c r="E13" s="3789" t="n"/>
      <c r="F13" s="3789" t="n"/>
      <c r="G13" s="3790" t="n"/>
      <c r="H13" s="3790" t="n"/>
      <c r="I13" s="3791" t="n"/>
      <c r="J13" s="3723" t="n"/>
      <c r="K13" s="3789" t="n"/>
      <c r="L13" s="3789" t="n"/>
      <c r="M13" s="3790" t="n"/>
      <c r="N13" s="3790" t="n"/>
      <c r="O13" s="3791" t="n"/>
      <c r="P13" s="3723" t="n"/>
      <c r="Q13" s="3789" t="n"/>
      <c r="R13" s="3789" t="n"/>
      <c r="S13" s="3790" t="n"/>
      <c r="T13" s="3790" t="n"/>
      <c r="U13" s="3790" t="n"/>
      <c r="V13" s="3723" t="n"/>
      <c r="W13" s="3789" t="n"/>
      <c r="X13" s="3789" t="n"/>
      <c r="Y13" s="3790" t="n"/>
      <c r="Z13" s="3790" t="n"/>
      <c r="AA13" s="3790" t="n"/>
      <c r="AB13" s="3723" t="n"/>
      <c r="AC13" s="3789" t="n"/>
      <c r="AD13" s="3789" t="n"/>
      <c r="AE13" s="3790" t="n"/>
      <c r="AF13" s="3790" t="n"/>
      <c r="AG13" s="3790" t="n"/>
      <c r="AH13" s="3723" t="n"/>
      <c r="AI13" s="3786" t="n"/>
    </row>
    <row r="14" hidden="1" outlineLevel="1" ht="12" customHeight="1" s="3710">
      <c r="B14" s="3770" t="n"/>
      <c r="C14" s="3792">
        <f>C51</f>
        <v/>
      </c>
      <c r="D14" s="3793">
        <f>D51</f>
        <v/>
      </c>
      <c r="E14" s="3794" t="n"/>
      <c r="F14" s="3794" t="n"/>
      <c r="G14" s="3795" t="n"/>
      <c r="H14" s="3795" t="n"/>
      <c r="I14" s="3796" t="n"/>
      <c r="J14" s="3723" t="n"/>
      <c r="K14" s="3794" t="n"/>
      <c r="L14" s="3794" t="n"/>
      <c r="M14" s="3795" t="n"/>
      <c r="N14" s="3795" t="n"/>
      <c r="O14" s="3796" t="n"/>
      <c r="P14" s="3723" t="n"/>
      <c r="Q14" s="3794" t="n"/>
      <c r="R14" s="3794" t="n"/>
      <c r="S14" s="3795" t="n"/>
      <c r="T14" s="3795" t="n"/>
      <c r="U14" s="3795" t="n"/>
      <c r="V14" s="3723" t="n"/>
      <c r="W14" s="3794" t="n"/>
      <c r="X14" s="3794" t="n"/>
      <c r="Y14" s="3795" t="n"/>
      <c r="Z14" s="3795" t="n"/>
      <c r="AA14" s="3795" t="n"/>
      <c r="AB14" s="3723" t="n"/>
      <c r="AC14" s="3794" t="n"/>
      <c r="AD14" s="3794" t="n"/>
      <c r="AE14" s="3795" t="n"/>
      <c r="AF14" s="3795" t="n"/>
      <c r="AG14" s="3795" t="n"/>
      <c r="AH14" s="3723" t="n"/>
      <c r="AI14" s="3786" t="n"/>
    </row>
    <row r="15" ht="12" customHeight="1" s="3710">
      <c r="B15" s="3770" t="n"/>
      <c r="C15" s="3797" t="inlineStr">
        <is>
          <t>Due diligence adjustments</t>
        </is>
      </c>
      <c r="D15" s="3798" t="n"/>
      <c r="E15" s="3789" t="n"/>
      <c r="F15" s="3789" t="n"/>
      <c r="G15" s="3790" t="n"/>
      <c r="H15" s="3790" t="n"/>
      <c r="I15" s="3791" t="n"/>
      <c r="J15" s="3723" t="n"/>
      <c r="K15" s="3789" t="n"/>
      <c r="L15" s="3789" t="n"/>
      <c r="M15" s="3790" t="n"/>
      <c r="N15" s="3790" t="n"/>
      <c r="O15" s="3791" t="n"/>
      <c r="P15" s="3723" t="n"/>
      <c r="Q15" s="3789" t="n"/>
      <c r="R15" s="3789" t="n"/>
      <c r="S15" s="3790" t="n"/>
      <c r="T15" s="3790" t="n"/>
      <c r="U15" s="3790" t="n"/>
      <c r="V15" s="3723" t="n"/>
      <c r="W15" s="3789" t="n"/>
      <c r="X15" s="3789" t="n"/>
      <c r="Y15" s="3790" t="n"/>
      <c r="Z15" s="3790" t="n"/>
      <c r="AA15" s="3790" t="n"/>
      <c r="AB15" s="3723" t="n"/>
      <c r="AC15" s="3789" t="n"/>
      <c r="AD15" s="3789" t="n"/>
      <c r="AE15" s="3790" t="n"/>
      <c r="AF15" s="3790" t="n"/>
      <c r="AG15" s="3790" t="n"/>
      <c r="AH15" s="3723" t="n"/>
      <c r="AI15" s="3799" t="n"/>
    </row>
    <row r="16" ht="12" customHeight="1" s="3710">
      <c r="B16" s="3770" t="n"/>
      <c r="C16" s="3800" t="inlineStr">
        <is>
          <t>Revenue, due diligence adjusted</t>
        </is>
      </c>
      <c r="D16" s="3800" t="n"/>
      <c r="E16" s="3801" t="n"/>
      <c r="F16" s="3801" t="n"/>
      <c r="G16" s="3802" t="n"/>
      <c r="H16" s="3802" t="n"/>
      <c r="I16" s="3803" t="n"/>
      <c r="J16" s="3723" t="n"/>
      <c r="K16" s="3801" t="n"/>
      <c r="L16" s="3801" t="n"/>
      <c r="M16" s="3802" t="n"/>
      <c r="N16" s="3802" t="n"/>
      <c r="O16" s="3803" t="n"/>
      <c r="P16" s="3723" t="n"/>
      <c r="Q16" s="3801" t="n"/>
      <c r="R16" s="3801" t="n"/>
      <c r="S16" s="3802" t="n"/>
      <c r="T16" s="3802" t="n"/>
      <c r="U16" s="3802" t="n"/>
      <c r="V16" s="3723" t="n"/>
      <c r="W16" s="3801" t="n"/>
      <c r="X16" s="3801" t="n"/>
      <c r="Y16" s="3802" t="n"/>
      <c r="Z16" s="3802" t="n"/>
      <c r="AA16" s="3802" t="n"/>
      <c r="AB16" s="3723" t="n"/>
      <c r="AC16" s="3801" t="n"/>
      <c r="AD16" s="3801" t="n"/>
      <c r="AE16" s="3802" t="n"/>
      <c r="AF16" s="3802" t="n"/>
      <c r="AG16" s="3802" t="n"/>
      <c r="AH16" s="3723" t="n"/>
      <c r="AI16" s="3804" t="n"/>
    </row>
    <row r="17" hidden="1" outlineLevel="1" ht="12" customHeight="1" s="3710">
      <c r="B17" s="3770" t="n"/>
      <c r="C17" s="3729" t="inlineStr">
        <is>
          <t>Pro forma adjustments</t>
        </is>
      </c>
      <c r="D17" s="3776" t="n"/>
      <c r="E17" s="3777" t="n"/>
      <c r="F17" s="3777" t="n"/>
      <c r="G17" s="3778" t="n"/>
      <c r="H17" s="3778" t="n"/>
      <c r="I17" s="3779" t="n"/>
      <c r="J17" s="3723" t="n"/>
      <c r="K17" s="3777" t="n"/>
      <c r="L17" s="3777" t="n"/>
      <c r="M17" s="3778" t="n"/>
      <c r="N17" s="3778" t="n"/>
      <c r="O17" s="3779" t="n"/>
      <c r="P17" s="3723" t="n"/>
      <c r="Q17" s="3777" t="n"/>
      <c r="R17" s="3777" t="n"/>
      <c r="S17" s="3778" t="n"/>
      <c r="T17" s="3778" t="n"/>
      <c r="U17" s="3778" t="n"/>
      <c r="V17" s="3723" t="n"/>
      <c r="W17" s="3777" t="n"/>
      <c r="X17" s="3777" t="n"/>
      <c r="Y17" s="3778" t="n"/>
      <c r="Z17" s="3778" t="n"/>
      <c r="AA17" s="3778" t="n"/>
      <c r="AB17" s="3723" t="n"/>
      <c r="AC17" s="3777" t="n"/>
      <c r="AD17" s="3777" t="n"/>
      <c r="AE17" s="3778" t="n"/>
      <c r="AF17" s="3778" t="n"/>
      <c r="AG17" s="3778" t="n"/>
      <c r="AH17" s="3723" t="n"/>
      <c r="AI17" s="3780" t="n"/>
    </row>
    <row r="18" hidden="1" outlineLevel="2" ht="12" customFormat="1" customHeight="1" s="3742">
      <c r="A18" s="3739" t="n"/>
      <c r="B18" s="3770" t="n"/>
      <c r="C18" s="3805">
        <f>C71</f>
        <v/>
      </c>
      <c r="D18" s="3782">
        <f>D71</f>
        <v/>
      </c>
      <c r="E18" s="3806" t="n"/>
      <c r="F18" s="3806" t="n"/>
      <c r="G18" s="3807" t="n"/>
      <c r="H18" s="3807" t="n"/>
      <c r="I18" s="3785" t="n"/>
      <c r="J18" s="3723" t="n"/>
      <c r="K18" s="3806" t="n"/>
      <c r="L18" s="3806" t="n"/>
      <c r="M18" s="3807" t="n"/>
      <c r="N18" s="3807" t="n"/>
      <c r="O18" s="3785" t="n"/>
      <c r="P18" s="3723" t="n"/>
      <c r="Q18" s="3806" t="n"/>
      <c r="R18" s="3806" t="n"/>
      <c r="S18" s="3807" t="n"/>
      <c r="T18" s="3807" t="n"/>
      <c r="U18" s="3807" t="n"/>
      <c r="V18" s="3723" t="n"/>
      <c r="W18" s="3806" t="n"/>
      <c r="X18" s="3806" t="n"/>
      <c r="Y18" s="3807" t="n"/>
      <c r="Z18" s="3807" t="n"/>
      <c r="AA18" s="3807" t="n"/>
      <c r="AB18" s="3723" t="n"/>
      <c r="AC18" s="3806" t="n"/>
      <c r="AD18" s="3806" t="n"/>
      <c r="AE18" s="3807" t="n"/>
      <c r="AF18" s="3807" t="n"/>
      <c r="AG18" s="3807" t="n"/>
      <c r="AH18" s="3723" t="n"/>
      <c r="AI18" s="3808" t="n"/>
      <c r="AK18" s="3740" t="n"/>
    </row>
    <row r="19" hidden="1" outlineLevel="2" ht="12" customFormat="1" customHeight="1" s="3742">
      <c r="A19" s="3739" t="n"/>
      <c r="B19" s="3770" t="n"/>
      <c r="C19" s="3809">
        <f>C72</f>
        <v/>
      </c>
      <c r="D19" s="3788">
        <f>D72</f>
        <v/>
      </c>
      <c r="E19" s="3810" t="n"/>
      <c r="F19" s="3810" t="n"/>
      <c r="G19" s="3811" t="n"/>
      <c r="H19" s="3811" t="n"/>
      <c r="I19" s="3796" t="n"/>
      <c r="J19" s="3723" t="n"/>
      <c r="K19" s="3810" t="n"/>
      <c r="L19" s="3810" t="n"/>
      <c r="M19" s="3811" t="n"/>
      <c r="N19" s="3811" t="n"/>
      <c r="O19" s="3796" t="n"/>
      <c r="P19" s="3723" t="n"/>
      <c r="Q19" s="3810" t="n"/>
      <c r="R19" s="3810" t="n"/>
      <c r="S19" s="3811" t="n"/>
      <c r="T19" s="3811" t="n"/>
      <c r="U19" s="3811" t="n"/>
      <c r="V19" s="3723" t="n"/>
      <c r="W19" s="3810" t="n"/>
      <c r="X19" s="3810" t="n"/>
      <c r="Y19" s="3811" t="n"/>
      <c r="Z19" s="3811" t="n"/>
      <c r="AA19" s="3811" t="n"/>
      <c r="AB19" s="3723" t="n"/>
      <c r="AC19" s="3810" t="n"/>
      <c r="AD19" s="3810" t="n"/>
      <c r="AE19" s="3811" t="n"/>
      <c r="AF19" s="3811" t="n"/>
      <c r="AG19" s="3811" t="n"/>
      <c r="AH19" s="3723" t="n"/>
      <c r="AI19" s="3808" t="n"/>
      <c r="AK19" s="3740" t="n"/>
    </row>
    <row r="20" hidden="1" outlineLevel="1" collapsed="1" ht="12" customFormat="1" customHeight="1" s="3742">
      <c r="A20" s="3739" t="n"/>
      <c r="B20" s="3770" t="n"/>
      <c r="C20" s="3787">
        <f>C73</f>
        <v/>
      </c>
      <c r="D20" s="3812">
        <f>D73</f>
        <v/>
      </c>
      <c r="E20" s="3806" t="n"/>
      <c r="F20" s="3806" t="n"/>
      <c r="G20" s="3807" t="n"/>
      <c r="H20" s="3807" t="n"/>
      <c r="I20" s="3785" t="n"/>
      <c r="J20" s="3723" t="n"/>
      <c r="K20" s="3806" t="n"/>
      <c r="L20" s="3806" t="n"/>
      <c r="M20" s="3807" t="n"/>
      <c r="N20" s="3807" t="n"/>
      <c r="O20" s="3785" t="n"/>
      <c r="P20" s="3723" t="n"/>
      <c r="Q20" s="3806" t="n"/>
      <c r="R20" s="3806" t="n"/>
      <c r="S20" s="3807" t="n"/>
      <c r="T20" s="3807" t="n"/>
      <c r="U20" s="3807" t="n"/>
      <c r="V20" s="3723" t="n"/>
      <c r="W20" s="3806" t="n"/>
      <c r="X20" s="3806" t="n"/>
      <c r="Y20" s="3807" t="n"/>
      <c r="Z20" s="3807" t="n"/>
      <c r="AA20" s="3807" t="n"/>
      <c r="AB20" s="3723" t="n"/>
      <c r="AC20" s="3806" t="n"/>
      <c r="AD20" s="3806" t="n"/>
      <c r="AE20" s="3807" t="n"/>
      <c r="AF20" s="3807" t="n"/>
      <c r="AG20" s="3807" t="n"/>
      <c r="AH20" s="3723" t="n"/>
      <c r="AI20" s="3808" t="n"/>
      <c r="AK20" s="3740" t="n"/>
    </row>
    <row r="21" hidden="1" outlineLevel="2" ht="12" customFormat="1" customHeight="1" s="3742">
      <c r="A21" s="3739" t="n"/>
      <c r="B21" s="3770" t="n"/>
      <c r="C21" s="3805">
        <f>C74</f>
        <v/>
      </c>
      <c r="D21" s="3788">
        <f>D74</f>
        <v/>
      </c>
      <c r="E21" s="3806" t="n"/>
      <c r="F21" s="3806" t="n"/>
      <c r="G21" s="3807" t="n"/>
      <c r="H21" s="3807" t="n"/>
      <c r="I21" s="3785" t="n"/>
      <c r="J21" s="3723" t="n"/>
      <c r="K21" s="3806" t="n"/>
      <c r="L21" s="3806" t="n"/>
      <c r="M21" s="3807" t="n"/>
      <c r="N21" s="3807" t="n"/>
      <c r="O21" s="3785" t="n"/>
      <c r="P21" s="3723" t="n"/>
      <c r="Q21" s="3806" t="n"/>
      <c r="R21" s="3806" t="n"/>
      <c r="S21" s="3807" t="n"/>
      <c r="T21" s="3807" t="n"/>
      <c r="U21" s="3807" t="n"/>
      <c r="V21" s="3723" t="n"/>
      <c r="W21" s="3806" t="n"/>
      <c r="X21" s="3806" t="n"/>
      <c r="Y21" s="3807" t="n"/>
      <c r="Z21" s="3807" t="n"/>
      <c r="AA21" s="3807" t="n"/>
      <c r="AB21" s="3723" t="n"/>
      <c r="AC21" s="3806" t="n"/>
      <c r="AD21" s="3806" t="n"/>
      <c r="AE21" s="3807" t="n"/>
      <c r="AF21" s="3807" t="n"/>
      <c r="AG21" s="3807" t="n"/>
      <c r="AH21" s="3723" t="n"/>
      <c r="AI21" s="3813" t="n"/>
      <c r="AK21" s="3740" t="n"/>
    </row>
    <row r="22" hidden="1" outlineLevel="2" ht="12" customFormat="1" customHeight="1" s="3742">
      <c r="A22" s="3739" t="n"/>
      <c r="B22" s="3770" t="n"/>
      <c r="C22" s="3805">
        <f>C75</f>
        <v/>
      </c>
      <c r="D22" s="3788">
        <f>D75</f>
        <v/>
      </c>
      <c r="E22" s="3806" t="n"/>
      <c r="F22" s="3806" t="n"/>
      <c r="G22" s="3807" t="n"/>
      <c r="H22" s="3807" t="n"/>
      <c r="I22" s="3785" t="n"/>
      <c r="J22" s="3723" t="n"/>
      <c r="K22" s="3806" t="n"/>
      <c r="L22" s="3806" t="n"/>
      <c r="M22" s="3807" t="n"/>
      <c r="N22" s="3807" t="n"/>
      <c r="O22" s="3785" t="n"/>
      <c r="P22" s="3723" t="n"/>
      <c r="Q22" s="3806" t="n"/>
      <c r="R22" s="3806" t="n"/>
      <c r="S22" s="3807" t="n"/>
      <c r="T22" s="3807" t="n"/>
      <c r="U22" s="3807" t="n"/>
      <c r="V22" s="3723" t="n"/>
      <c r="W22" s="3806" t="n"/>
      <c r="X22" s="3806" t="n"/>
      <c r="Y22" s="3807" t="n"/>
      <c r="Z22" s="3807" t="n"/>
      <c r="AA22" s="3807" t="n"/>
      <c r="AB22" s="3723" t="n"/>
      <c r="AC22" s="3806" t="n"/>
      <c r="AD22" s="3806" t="n"/>
      <c r="AE22" s="3807" t="n"/>
      <c r="AF22" s="3807" t="n"/>
      <c r="AG22" s="3807" t="n"/>
      <c r="AH22" s="3723" t="n"/>
      <c r="AI22" s="3813" t="n"/>
      <c r="AK22" s="3740" t="n"/>
    </row>
    <row r="23" hidden="1" outlineLevel="2" ht="12" customFormat="1" customHeight="1" s="3742">
      <c r="A23" s="3739" t="n"/>
      <c r="B23" s="3770" t="n"/>
      <c r="C23" s="3805">
        <f>C76</f>
        <v/>
      </c>
      <c r="D23" s="3788">
        <f>D76</f>
        <v/>
      </c>
      <c r="E23" s="3806" t="n"/>
      <c r="F23" s="3806" t="n"/>
      <c r="G23" s="3807" t="n"/>
      <c r="H23" s="3807" t="n"/>
      <c r="I23" s="3785" t="n"/>
      <c r="J23" s="3723" t="n"/>
      <c r="K23" s="3806" t="n"/>
      <c r="L23" s="3806" t="n"/>
      <c r="M23" s="3807" t="n"/>
      <c r="N23" s="3807" t="n"/>
      <c r="O23" s="3785" t="n"/>
      <c r="P23" s="3723" t="n"/>
      <c r="Q23" s="3806" t="n"/>
      <c r="R23" s="3806" t="n"/>
      <c r="S23" s="3807" t="n"/>
      <c r="T23" s="3807" t="n"/>
      <c r="U23" s="3807" t="n"/>
      <c r="V23" s="3723" t="n"/>
      <c r="W23" s="3806" t="n"/>
      <c r="X23" s="3806" t="n"/>
      <c r="Y23" s="3807" t="n"/>
      <c r="Z23" s="3807" t="n"/>
      <c r="AA23" s="3807" t="n"/>
      <c r="AB23" s="3723" t="n"/>
      <c r="AC23" s="3806" t="n"/>
      <c r="AD23" s="3806" t="n"/>
      <c r="AE23" s="3807" t="n"/>
      <c r="AF23" s="3807" t="n"/>
      <c r="AG23" s="3807" t="n"/>
      <c r="AH23" s="3723" t="n"/>
      <c r="AI23" s="3813" t="n"/>
      <c r="AK23" s="3740" t="n"/>
    </row>
    <row r="24" hidden="1" outlineLevel="2" ht="12" customFormat="1" customHeight="1" s="3742">
      <c r="A24" s="3739" t="n"/>
      <c r="B24" s="3770" t="n"/>
      <c r="C24" s="3805">
        <f>C77</f>
        <v/>
      </c>
      <c r="D24" s="3788">
        <f>D77</f>
        <v/>
      </c>
      <c r="E24" s="3806" t="n"/>
      <c r="F24" s="3806" t="n"/>
      <c r="G24" s="3807" t="n"/>
      <c r="H24" s="3807" t="n"/>
      <c r="I24" s="3785" t="n"/>
      <c r="J24" s="3723" t="n"/>
      <c r="K24" s="3806" t="n"/>
      <c r="L24" s="3806" t="n"/>
      <c r="M24" s="3807" t="n"/>
      <c r="N24" s="3807" t="n"/>
      <c r="O24" s="3785" t="n"/>
      <c r="P24" s="3723" t="n"/>
      <c r="Q24" s="3806" t="n"/>
      <c r="R24" s="3806" t="n"/>
      <c r="S24" s="3807" t="n"/>
      <c r="T24" s="3807" t="n"/>
      <c r="U24" s="3807" t="n"/>
      <c r="V24" s="3723" t="n"/>
      <c r="W24" s="3806" t="n"/>
      <c r="X24" s="3806" t="n"/>
      <c r="Y24" s="3807" t="n"/>
      <c r="Z24" s="3807" t="n"/>
      <c r="AA24" s="3807" t="n"/>
      <c r="AB24" s="3723" t="n"/>
      <c r="AC24" s="3806" t="n"/>
      <c r="AD24" s="3806" t="n"/>
      <c r="AE24" s="3807" t="n"/>
      <c r="AF24" s="3807" t="n"/>
      <c r="AG24" s="3807" t="n"/>
      <c r="AH24" s="3723" t="n"/>
      <c r="AI24" s="3813" t="n"/>
      <c r="AK24" s="3740" t="n"/>
    </row>
    <row r="25" hidden="1" outlineLevel="2" ht="12" customFormat="1" customHeight="1" s="3742">
      <c r="A25" s="3739" t="n"/>
      <c r="B25" s="3770" t="n"/>
      <c r="C25" s="3805">
        <f>C78</f>
        <v/>
      </c>
      <c r="D25" s="3788">
        <f>D78</f>
        <v/>
      </c>
      <c r="E25" s="3806" t="n"/>
      <c r="F25" s="3806" t="n"/>
      <c r="G25" s="3807" t="n"/>
      <c r="H25" s="3807" t="n"/>
      <c r="I25" s="3785" t="n"/>
      <c r="J25" s="3723" t="n"/>
      <c r="K25" s="3806" t="n"/>
      <c r="L25" s="3806" t="n"/>
      <c r="M25" s="3807" t="n"/>
      <c r="N25" s="3807" t="n"/>
      <c r="O25" s="3785" t="n"/>
      <c r="P25" s="3723" t="n"/>
      <c r="Q25" s="3806" t="n"/>
      <c r="R25" s="3806" t="n"/>
      <c r="S25" s="3807" t="n"/>
      <c r="T25" s="3807" t="n"/>
      <c r="U25" s="3807" t="n"/>
      <c r="V25" s="3723" t="n"/>
      <c r="W25" s="3806" t="n"/>
      <c r="X25" s="3806" t="n"/>
      <c r="Y25" s="3807" t="n"/>
      <c r="Z25" s="3807" t="n"/>
      <c r="AA25" s="3807" t="n"/>
      <c r="AB25" s="3723" t="n"/>
      <c r="AC25" s="3806" t="n"/>
      <c r="AD25" s="3806" t="n"/>
      <c r="AE25" s="3807" t="n"/>
      <c r="AF25" s="3807" t="n"/>
      <c r="AG25" s="3807" t="n"/>
      <c r="AH25" s="3723" t="n"/>
      <c r="AI25" s="3813" t="n"/>
      <c r="AK25" s="3740" t="n"/>
    </row>
    <row r="26" hidden="1" outlineLevel="2" ht="12" customFormat="1" customHeight="1" s="3742">
      <c r="A26" s="3739" t="n"/>
      <c r="B26" s="3770" t="n"/>
      <c r="C26" s="3805">
        <f>C79</f>
        <v/>
      </c>
      <c r="D26" s="3788">
        <f>D79</f>
        <v/>
      </c>
      <c r="E26" s="3806" t="n"/>
      <c r="F26" s="3806" t="n"/>
      <c r="G26" s="3807" t="n"/>
      <c r="H26" s="3807" t="n"/>
      <c r="I26" s="3785" t="n"/>
      <c r="J26" s="3723" t="n"/>
      <c r="K26" s="3806" t="n"/>
      <c r="L26" s="3806" t="n"/>
      <c r="M26" s="3807" t="n"/>
      <c r="N26" s="3807" t="n"/>
      <c r="O26" s="3785" t="n"/>
      <c r="P26" s="3723" t="n"/>
      <c r="Q26" s="3806" t="n"/>
      <c r="R26" s="3806" t="n"/>
      <c r="S26" s="3807" t="n"/>
      <c r="T26" s="3807" t="n"/>
      <c r="U26" s="3807" t="n"/>
      <c r="V26" s="3723" t="n"/>
      <c r="W26" s="3806" t="n"/>
      <c r="X26" s="3806" t="n"/>
      <c r="Y26" s="3807" t="n"/>
      <c r="Z26" s="3807" t="n"/>
      <c r="AA26" s="3807" t="n"/>
      <c r="AB26" s="3723" t="n"/>
      <c r="AC26" s="3806" t="n"/>
      <c r="AD26" s="3806" t="n"/>
      <c r="AE26" s="3807" t="n"/>
      <c r="AF26" s="3807" t="n"/>
      <c r="AG26" s="3807" t="n"/>
      <c r="AH26" s="3723" t="n"/>
      <c r="AI26" s="3813" t="n"/>
      <c r="AK26" s="3740" t="n"/>
    </row>
    <row r="27" hidden="1" outlineLevel="2" ht="12" customFormat="1" customHeight="1" s="3742">
      <c r="A27" s="3739" t="n"/>
      <c r="B27" s="3770" t="n"/>
      <c r="C27" s="3805">
        <f>C80</f>
        <v/>
      </c>
      <c r="D27" s="3788">
        <f>D80</f>
        <v/>
      </c>
      <c r="E27" s="3806" t="n"/>
      <c r="F27" s="3806" t="n"/>
      <c r="G27" s="3807" t="n"/>
      <c r="H27" s="3807" t="n"/>
      <c r="I27" s="3785" t="n"/>
      <c r="J27" s="3723" t="n"/>
      <c r="K27" s="3806" t="n"/>
      <c r="L27" s="3806" t="n"/>
      <c r="M27" s="3807" t="n"/>
      <c r="N27" s="3807" t="n"/>
      <c r="O27" s="3785" t="n"/>
      <c r="P27" s="3723" t="n"/>
      <c r="Q27" s="3806" t="n"/>
      <c r="R27" s="3806" t="n"/>
      <c r="S27" s="3807" t="n"/>
      <c r="T27" s="3807" t="n"/>
      <c r="U27" s="3807" t="n"/>
      <c r="V27" s="3723" t="n"/>
      <c r="W27" s="3806" t="n"/>
      <c r="X27" s="3806" t="n"/>
      <c r="Y27" s="3807" t="n"/>
      <c r="Z27" s="3807" t="n"/>
      <c r="AA27" s="3807" t="n"/>
      <c r="AB27" s="3723" t="n"/>
      <c r="AC27" s="3806" t="n"/>
      <c r="AD27" s="3806" t="n"/>
      <c r="AE27" s="3807" t="n"/>
      <c r="AF27" s="3807" t="n"/>
      <c r="AG27" s="3807" t="n"/>
      <c r="AH27" s="3723" t="n"/>
      <c r="AI27" s="3813" t="n"/>
      <c r="AK27" s="3740" t="n"/>
    </row>
    <row r="28" hidden="1" outlineLevel="2" ht="12" customFormat="1" customHeight="1" s="3742">
      <c r="A28" s="3739" t="n"/>
      <c r="B28" s="3770" t="n"/>
      <c r="C28" s="3805">
        <f>C81</f>
        <v/>
      </c>
      <c r="D28" s="3788">
        <f>D81</f>
        <v/>
      </c>
      <c r="E28" s="3806" t="n"/>
      <c r="F28" s="3806" t="n"/>
      <c r="G28" s="3807" t="n"/>
      <c r="H28" s="3807" t="n"/>
      <c r="I28" s="3785" t="n"/>
      <c r="J28" s="3723" t="n"/>
      <c r="K28" s="3806" t="n"/>
      <c r="L28" s="3806" t="n"/>
      <c r="M28" s="3807" t="n"/>
      <c r="N28" s="3807" t="n"/>
      <c r="O28" s="3785" t="n"/>
      <c r="P28" s="3723" t="n"/>
      <c r="Q28" s="3806" t="n"/>
      <c r="R28" s="3806" t="n"/>
      <c r="S28" s="3807" t="n"/>
      <c r="T28" s="3807" t="n"/>
      <c r="U28" s="3807" t="n"/>
      <c r="V28" s="3723" t="n"/>
      <c r="W28" s="3806" t="n"/>
      <c r="X28" s="3806" t="n"/>
      <c r="Y28" s="3807" t="n"/>
      <c r="Z28" s="3807" t="n"/>
      <c r="AA28" s="3807" t="n"/>
      <c r="AB28" s="3723" t="n"/>
      <c r="AC28" s="3806" t="n"/>
      <c r="AD28" s="3806" t="n"/>
      <c r="AE28" s="3807" t="n"/>
      <c r="AF28" s="3807" t="n"/>
      <c r="AG28" s="3807" t="n"/>
      <c r="AH28" s="3723" t="n"/>
      <c r="AI28" s="3813" t="n"/>
      <c r="AK28" s="3740" t="n"/>
    </row>
    <row r="29" hidden="1" outlineLevel="2" ht="12" customFormat="1" customHeight="1" s="3742">
      <c r="A29" s="3739" t="n"/>
      <c r="B29" s="3770" t="n"/>
      <c r="C29" s="3805">
        <f>C82</f>
        <v/>
      </c>
      <c r="D29" s="3788">
        <f>D82</f>
        <v/>
      </c>
      <c r="E29" s="3806" t="n"/>
      <c r="F29" s="3806" t="n"/>
      <c r="G29" s="3807" t="n"/>
      <c r="H29" s="3807" t="n"/>
      <c r="I29" s="3785" t="n"/>
      <c r="J29" s="3723" t="n"/>
      <c r="K29" s="3806" t="n"/>
      <c r="L29" s="3806" t="n"/>
      <c r="M29" s="3807" t="n"/>
      <c r="N29" s="3807" t="n"/>
      <c r="O29" s="3785" t="n"/>
      <c r="P29" s="3723" t="n"/>
      <c r="Q29" s="3806" t="n"/>
      <c r="R29" s="3806" t="n"/>
      <c r="S29" s="3807" t="n"/>
      <c r="T29" s="3807" t="n"/>
      <c r="U29" s="3807" t="n"/>
      <c r="V29" s="3723" t="n"/>
      <c r="W29" s="3806" t="n"/>
      <c r="X29" s="3806" t="n"/>
      <c r="Y29" s="3807" t="n"/>
      <c r="Z29" s="3807" t="n"/>
      <c r="AA29" s="3807" t="n"/>
      <c r="AB29" s="3723" t="n"/>
      <c r="AC29" s="3806" t="n"/>
      <c r="AD29" s="3806" t="n"/>
      <c r="AE29" s="3807" t="n"/>
      <c r="AF29" s="3807" t="n"/>
      <c r="AG29" s="3807" t="n"/>
      <c r="AH29" s="3723" t="n"/>
      <c r="AI29" s="3808" t="n"/>
      <c r="AK29" s="3740" t="n"/>
    </row>
    <row r="30" hidden="1" outlineLevel="2" ht="12" customFormat="1" customHeight="1" s="3742">
      <c r="A30" s="3739" t="n"/>
      <c r="B30" s="3770" t="n"/>
      <c r="C30" s="3814">
        <f>C83</f>
        <v/>
      </c>
      <c r="D30" s="3788">
        <f>D83</f>
        <v/>
      </c>
      <c r="E30" s="3815" t="n"/>
      <c r="F30" s="3815" t="n"/>
      <c r="G30" s="3795" t="n"/>
      <c r="H30" s="3795" t="n"/>
      <c r="I30" s="3796" t="n"/>
      <c r="J30" s="3723" t="n"/>
      <c r="K30" s="3815" t="n"/>
      <c r="L30" s="3815" t="n"/>
      <c r="M30" s="3795" t="n"/>
      <c r="N30" s="3795" t="n"/>
      <c r="O30" s="3796" t="n"/>
      <c r="P30" s="3723" t="n"/>
      <c r="Q30" s="3815" t="n"/>
      <c r="R30" s="3815" t="n"/>
      <c r="S30" s="3795" t="n"/>
      <c r="T30" s="3795" t="n"/>
      <c r="U30" s="3795" t="n"/>
      <c r="V30" s="3723" t="n"/>
      <c r="W30" s="3815" t="n"/>
      <c r="X30" s="3815" t="n"/>
      <c r="Y30" s="3795" t="n"/>
      <c r="Z30" s="3795" t="n"/>
      <c r="AA30" s="3795" t="n"/>
      <c r="AB30" s="3723" t="n"/>
      <c r="AC30" s="3815" t="n"/>
      <c r="AD30" s="3815" t="n"/>
      <c r="AE30" s="3795" t="n"/>
      <c r="AF30" s="3795" t="n"/>
      <c r="AG30" s="3795" t="n"/>
      <c r="AH30" s="3723" t="n"/>
      <c r="AI30" s="3808" t="n"/>
      <c r="AK30" s="3740" t="n"/>
    </row>
    <row r="31" hidden="1" outlineLevel="1" collapsed="1" ht="12" customFormat="1" customHeight="1" s="3742">
      <c r="A31" s="3739" t="n"/>
      <c r="B31" s="3770" t="n"/>
      <c r="C31" s="3787">
        <f>C84</f>
        <v/>
      </c>
      <c r="D31" s="3788">
        <f>D84</f>
        <v/>
      </c>
      <c r="E31" s="3783" t="n"/>
      <c r="F31" s="3783" t="n"/>
      <c r="G31" s="3807" t="n"/>
      <c r="H31" s="3807" t="n"/>
      <c r="I31" s="3785" t="n"/>
      <c r="J31" s="3723" t="n"/>
      <c r="K31" s="3783" t="n"/>
      <c r="L31" s="3783" t="n"/>
      <c r="M31" s="3807" t="n"/>
      <c r="N31" s="3807" t="n"/>
      <c r="O31" s="3785" t="n"/>
      <c r="P31" s="3723" t="n"/>
      <c r="Q31" s="3783" t="n"/>
      <c r="R31" s="3783" t="n"/>
      <c r="S31" s="3807" t="n"/>
      <c r="T31" s="3807" t="n"/>
      <c r="U31" s="3807" t="n"/>
      <c r="V31" s="3723" t="n"/>
      <c r="W31" s="3783" t="n"/>
      <c r="X31" s="3783" t="n"/>
      <c r="Y31" s="3807" t="n"/>
      <c r="Z31" s="3807" t="n"/>
      <c r="AA31" s="3807" t="n"/>
      <c r="AB31" s="3723" t="n"/>
      <c r="AC31" s="3783" t="n"/>
      <c r="AD31" s="3783" t="n"/>
      <c r="AE31" s="3807" t="n"/>
      <c r="AF31" s="3807" t="n"/>
      <c r="AG31" s="3807" t="n"/>
      <c r="AH31" s="3723" t="n"/>
      <c r="AI31" s="3816" t="n"/>
      <c r="AK31" s="3740" t="n"/>
    </row>
    <row r="32" hidden="1" outlineLevel="1" ht="12" customFormat="1" customHeight="1" s="3742">
      <c r="A32" s="3739" t="n"/>
      <c r="B32" s="3770" t="n"/>
      <c r="C32" s="3787">
        <f>C87</f>
        <v/>
      </c>
      <c r="D32" s="3788">
        <f>D87</f>
        <v/>
      </c>
      <c r="E32" s="3783" t="n"/>
      <c r="F32" s="3783" t="n"/>
      <c r="G32" s="3807" t="n"/>
      <c r="H32" s="3807" t="n"/>
      <c r="I32" s="3785" t="n"/>
      <c r="J32" s="3723" t="n"/>
      <c r="K32" s="3783" t="n"/>
      <c r="L32" s="3783" t="n"/>
      <c r="M32" s="3807" t="n"/>
      <c r="N32" s="3807" t="n"/>
      <c r="O32" s="3785" t="n"/>
      <c r="P32" s="3723" t="n"/>
      <c r="Q32" s="3783" t="n"/>
      <c r="R32" s="3783" t="n"/>
      <c r="S32" s="3807" t="n"/>
      <c r="T32" s="3807" t="n"/>
      <c r="U32" s="3807" t="n"/>
      <c r="V32" s="3723" t="n"/>
      <c r="W32" s="3783" t="n"/>
      <c r="X32" s="3783" t="n"/>
      <c r="Y32" s="3807" t="n"/>
      <c r="Z32" s="3807" t="n"/>
      <c r="AA32" s="3807" t="n"/>
      <c r="AB32" s="3723" t="n"/>
      <c r="AC32" s="3783" t="n"/>
      <c r="AD32" s="3783" t="n"/>
      <c r="AE32" s="3807" t="n"/>
      <c r="AF32" s="3807" t="n"/>
      <c r="AG32" s="3807" t="n"/>
      <c r="AH32" s="3723" t="n"/>
      <c r="AI32" s="3816" t="n"/>
      <c r="AK32" s="3740" t="n"/>
    </row>
    <row r="33" hidden="1" outlineLevel="1" ht="12" customFormat="1" customHeight="1" s="3742">
      <c r="A33" s="3739" t="n"/>
      <c r="B33" s="3770" t="n"/>
      <c r="C33" s="3787">
        <f>C89</f>
        <v/>
      </c>
      <c r="D33" s="3817">
        <f>D89</f>
        <v/>
      </c>
      <c r="E33" s="3783" t="n"/>
      <c r="F33" s="3783" t="n"/>
      <c r="G33" s="3807" t="n"/>
      <c r="H33" s="3807" t="n"/>
      <c r="I33" s="3785" t="n"/>
      <c r="J33" s="3723" t="n"/>
      <c r="K33" s="3783" t="n"/>
      <c r="L33" s="3783" t="n"/>
      <c r="M33" s="3807" t="n"/>
      <c r="N33" s="3807" t="n"/>
      <c r="O33" s="3785" t="n"/>
      <c r="P33" s="3723" t="n"/>
      <c r="Q33" s="3783" t="n"/>
      <c r="R33" s="3783" t="n"/>
      <c r="S33" s="3807" t="n"/>
      <c r="T33" s="3807" t="n"/>
      <c r="U33" s="3807" t="n"/>
      <c r="V33" s="3723" t="n"/>
      <c r="W33" s="3783" t="n"/>
      <c r="X33" s="3783" t="n"/>
      <c r="Y33" s="3807" t="n"/>
      <c r="Z33" s="3807" t="n"/>
      <c r="AA33" s="3807" t="n"/>
      <c r="AB33" s="3723" t="n"/>
      <c r="AC33" s="3783" t="n"/>
      <c r="AD33" s="3783" t="n"/>
      <c r="AE33" s="3807" t="n"/>
      <c r="AF33" s="3807" t="n"/>
      <c r="AG33" s="3807" t="n"/>
      <c r="AH33" s="3723" t="n"/>
      <c r="AI33" s="3816" t="n"/>
      <c r="AK33" s="3740" t="n"/>
    </row>
    <row r="34" hidden="1" outlineLevel="1" ht="12" customHeight="1" s="3710">
      <c r="B34" s="3770" t="n"/>
      <c r="C34" s="3787">
        <f>C90</f>
        <v/>
      </c>
      <c r="D34" s="3812">
        <f>D90</f>
        <v/>
      </c>
      <c r="E34" s="3783" t="n"/>
      <c r="F34" s="3783" t="n"/>
      <c r="G34" s="3807" t="n"/>
      <c r="H34" s="3807" t="n"/>
      <c r="I34" s="3785" t="n"/>
      <c r="J34" s="3723" t="n"/>
      <c r="K34" s="3783" t="n"/>
      <c r="L34" s="3783" t="n"/>
      <c r="M34" s="3807" t="n"/>
      <c r="N34" s="3807" t="n"/>
      <c r="O34" s="3785" t="n"/>
      <c r="P34" s="3723" t="n"/>
      <c r="Q34" s="3783" t="n"/>
      <c r="R34" s="3783" t="n"/>
      <c r="S34" s="3807" t="n"/>
      <c r="T34" s="3807" t="n"/>
      <c r="U34" s="3807" t="n"/>
      <c r="V34" s="3723" t="n"/>
      <c r="W34" s="3783" t="n"/>
      <c r="X34" s="3783" t="n"/>
      <c r="Y34" s="3807" t="n"/>
      <c r="Z34" s="3807" t="n"/>
      <c r="AA34" s="3807" t="n"/>
      <c r="AB34" s="3723" t="n"/>
      <c r="AC34" s="3783" t="n"/>
      <c r="AD34" s="3783" t="n"/>
      <c r="AE34" s="3807" t="n"/>
      <c r="AF34" s="3807" t="n"/>
      <c r="AG34" s="3807" t="n"/>
      <c r="AH34" s="3723" t="n"/>
      <c r="AI34" s="3786" t="n"/>
    </row>
    <row r="35" hidden="1" outlineLevel="1" ht="12" customHeight="1" s="3710">
      <c r="B35" s="3770" t="n"/>
      <c r="C35" s="3787">
        <f>C91</f>
        <v/>
      </c>
      <c r="D35" s="3782">
        <f>D91</f>
        <v/>
      </c>
      <c r="E35" s="3806" t="n"/>
      <c r="F35" s="3806" t="n"/>
      <c r="G35" s="3807" t="n"/>
      <c r="H35" s="3807" t="n"/>
      <c r="I35" s="3785" t="n"/>
      <c r="J35" s="3723" t="n"/>
      <c r="K35" s="3806" t="n"/>
      <c r="L35" s="3806" t="n"/>
      <c r="M35" s="3807" t="n"/>
      <c r="N35" s="3807" t="n"/>
      <c r="O35" s="3785" t="n"/>
      <c r="P35" s="3723" t="n"/>
      <c r="Q35" s="3806" t="n"/>
      <c r="R35" s="3806" t="n"/>
      <c r="S35" s="3807" t="n"/>
      <c r="T35" s="3807" t="n"/>
      <c r="U35" s="3807" t="n"/>
      <c r="V35" s="3723" t="n"/>
      <c r="W35" s="3806" t="n"/>
      <c r="X35" s="3806" t="n"/>
      <c r="Y35" s="3807" t="n"/>
      <c r="Z35" s="3807" t="n"/>
      <c r="AA35" s="3807" t="n"/>
      <c r="AB35" s="3723" t="n"/>
      <c r="AC35" s="3806" t="n"/>
      <c r="AD35" s="3806" t="n"/>
      <c r="AE35" s="3807" t="n"/>
      <c r="AF35" s="3807" t="n"/>
      <c r="AG35" s="3807" t="n"/>
      <c r="AH35" s="3723" t="n"/>
      <c r="AI35" s="3808" t="n"/>
    </row>
    <row r="36" hidden="1" outlineLevel="1" ht="12" customHeight="1" s="3710">
      <c r="B36" s="3770" t="n"/>
      <c r="C36" s="3792">
        <f>C92</f>
        <v/>
      </c>
      <c r="D36" s="3793">
        <f>D92</f>
        <v/>
      </c>
      <c r="E36" s="3794" t="n"/>
      <c r="F36" s="3794" t="n"/>
      <c r="G36" s="3795" t="n"/>
      <c r="H36" s="3795" t="n"/>
      <c r="I36" s="3796" t="n"/>
      <c r="J36" s="3723" t="n"/>
      <c r="K36" s="3794" t="n"/>
      <c r="L36" s="3794" t="n"/>
      <c r="M36" s="3795" t="n"/>
      <c r="N36" s="3795" t="n"/>
      <c r="O36" s="3796" t="n"/>
      <c r="P36" s="3723" t="n"/>
      <c r="Q36" s="3794" t="n"/>
      <c r="R36" s="3794" t="n"/>
      <c r="S36" s="3795" t="n"/>
      <c r="T36" s="3795" t="n"/>
      <c r="U36" s="3795" t="n"/>
      <c r="V36" s="3723" t="n"/>
      <c r="W36" s="3794" t="n"/>
      <c r="X36" s="3794" t="n"/>
      <c r="Y36" s="3795" t="n"/>
      <c r="Z36" s="3795" t="n"/>
      <c r="AA36" s="3795" t="n"/>
      <c r="AB36" s="3723" t="n"/>
      <c r="AC36" s="3794" t="n"/>
      <c r="AD36" s="3794" t="n"/>
      <c r="AE36" s="3795" t="n"/>
      <c r="AF36" s="3795" t="n"/>
      <c r="AG36" s="3795" t="n"/>
      <c r="AH36" s="3723" t="n"/>
      <c r="AI36" s="3818" t="n"/>
    </row>
    <row r="37" ht="12" customHeight="1" s="3710">
      <c r="B37" s="3770" t="n"/>
      <c r="C37" s="3797" t="inlineStr">
        <is>
          <t>Pro forma adjustments</t>
        </is>
      </c>
      <c r="D37" s="3798" t="n"/>
      <c r="E37" s="3789" t="n"/>
      <c r="F37" s="3789" t="n"/>
      <c r="G37" s="3790" t="n"/>
      <c r="H37" s="3790" t="n"/>
      <c r="I37" s="3791" t="n"/>
      <c r="J37" s="3723" t="n"/>
      <c r="K37" s="3789" t="n"/>
      <c r="L37" s="3789" t="n"/>
      <c r="M37" s="3790" t="n"/>
      <c r="N37" s="3790" t="n"/>
      <c r="O37" s="3791" t="n"/>
      <c r="P37" s="3723" t="n"/>
      <c r="Q37" s="3789" t="n"/>
      <c r="R37" s="3789" t="n"/>
      <c r="S37" s="3790" t="n"/>
      <c r="T37" s="3790" t="n"/>
      <c r="U37" s="3790" t="n"/>
      <c r="V37" s="3723" t="n"/>
      <c r="W37" s="3789" t="n"/>
      <c r="X37" s="3789" t="n"/>
      <c r="Y37" s="3790" t="n"/>
      <c r="Z37" s="3790" t="n"/>
      <c r="AA37" s="3790" t="n"/>
      <c r="AB37" s="3723" t="n"/>
      <c r="AC37" s="3789" t="n"/>
      <c r="AD37" s="3789" t="n"/>
      <c r="AE37" s="3790" t="n"/>
      <c r="AF37" s="3790" t="n"/>
      <c r="AG37" s="3790" t="n"/>
      <c r="AH37" s="3723" t="n"/>
      <c r="AI37" s="3799" t="n"/>
    </row>
    <row r="38" ht="12" customHeight="1" s="3710">
      <c r="B38" s="3770" t="n"/>
      <c r="C38" s="3800" t="inlineStr">
        <is>
          <t>Revenue, pro forma adjusted</t>
        </is>
      </c>
      <c r="D38" s="3800" t="n"/>
      <c r="E38" s="3801" t="n"/>
      <c r="F38" s="3801" t="n"/>
      <c r="G38" s="3802" t="n"/>
      <c r="H38" s="3802" t="n"/>
      <c r="I38" s="3803" t="n"/>
      <c r="J38" s="3723" t="n"/>
      <c r="K38" s="3801" t="n"/>
      <c r="L38" s="3801" t="n"/>
      <c r="M38" s="3802" t="n"/>
      <c r="N38" s="3802" t="n"/>
      <c r="O38" s="3803" t="n"/>
      <c r="P38" s="3723" t="n"/>
      <c r="Q38" s="3801" t="n"/>
      <c r="R38" s="3801" t="n"/>
      <c r="S38" s="3802" t="n"/>
      <c r="T38" s="3802" t="n"/>
      <c r="U38" s="3802" t="n"/>
      <c r="V38" s="3723" t="n"/>
      <c r="W38" s="3801" t="n"/>
      <c r="X38" s="3801" t="n"/>
      <c r="Y38" s="3802" t="n"/>
      <c r="Z38" s="3802" t="n"/>
      <c r="AA38" s="3802" t="n"/>
      <c r="AB38" s="3723" t="n"/>
      <c r="AC38" s="3801" t="n"/>
      <c r="AD38" s="3801" t="n"/>
      <c r="AE38" s="3802" t="n"/>
      <c r="AF38" s="3802" t="n"/>
      <c r="AG38" s="3802" t="n"/>
      <c r="AH38" s="3723" t="n"/>
      <c r="AI38" s="3804" t="n"/>
    </row>
    <row r="39" hidden="1" outlineLevel="1" ht="12" customFormat="1" customHeight="1" s="3819">
      <c r="A39" s="3820" t="n"/>
      <c r="B39" s="3821" t="n"/>
      <c r="C39" s="3822" t="inlineStr">
        <is>
          <t>Revenue, pro forma adjusted growth rate</t>
        </is>
      </c>
      <c r="D39" s="3822" t="n"/>
      <c r="E39" s="3823" t="n"/>
      <c r="F39" s="3824" t="n"/>
      <c r="G39" s="3825" t="n"/>
      <c r="H39" s="3825" t="n"/>
      <c r="I39" s="3826" t="n"/>
      <c r="J39" s="3827" t="n"/>
      <c r="K39" s="3823" t="n"/>
      <c r="L39" s="3828" t="n"/>
      <c r="M39" s="3826" t="n"/>
      <c r="N39" s="3826" t="n"/>
      <c r="O39" s="3826" t="n"/>
      <c r="P39" s="3827" t="n"/>
      <c r="Q39" s="3823" t="n"/>
      <c r="R39" s="3824" t="n"/>
      <c r="S39" s="3825" t="n"/>
      <c r="T39" s="3825" t="n"/>
      <c r="U39" s="3825" t="n"/>
      <c r="V39" s="3827" t="n"/>
      <c r="W39" s="3823" t="n"/>
      <c r="X39" s="3828" t="n"/>
      <c r="Y39" s="3826" t="n"/>
      <c r="Z39" s="3826" t="n"/>
      <c r="AA39" s="3826" t="n"/>
      <c r="AB39" s="3827" t="n"/>
      <c r="AC39" s="3823" t="n"/>
      <c r="AD39" s="3824" t="n"/>
      <c r="AE39" s="3825" t="n"/>
      <c r="AF39" s="3825" t="n"/>
      <c r="AG39" s="3825" t="n"/>
      <c r="AH39" s="3827" t="n"/>
      <c r="AI39" s="3829" t="n"/>
      <c r="AJ39" s="3742" t="n"/>
    </row>
    <row r="40" ht="4.5" customHeight="1" s="3710">
      <c r="B40" s="3770" t="n"/>
      <c r="C40" s="3830" t="n"/>
      <c r="D40" s="3830" t="n"/>
      <c r="E40" s="3831" t="n"/>
      <c r="F40" s="3831" t="n"/>
      <c r="G40" s="3832" t="n"/>
      <c r="H40" s="3832" t="n"/>
      <c r="I40" s="3832" t="n"/>
      <c r="J40" s="3723" t="n"/>
      <c r="K40" s="3831" t="n"/>
      <c r="L40" s="3831" t="n"/>
      <c r="M40" s="3832" t="n"/>
      <c r="N40" s="3832" t="n"/>
      <c r="O40" s="3832" t="n"/>
      <c r="P40" s="3723" t="n"/>
      <c r="Q40" s="3831" t="n"/>
      <c r="R40" s="3831" t="n"/>
      <c r="S40" s="3832" t="n"/>
      <c r="T40" s="3832" t="n"/>
      <c r="U40" s="3832" t="n"/>
      <c r="V40" s="3723" t="n"/>
      <c r="W40" s="3831" t="n"/>
      <c r="X40" s="3831" t="n"/>
      <c r="Y40" s="3832" t="n"/>
      <c r="Z40" s="3832" t="n"/>
      <c r="AA40" s="3832" t="n"/>
      <c r="AB40" s="3723" t="n"/>
      <c r="AC40" s="3831" t="n"/>
      <c r="AD40" s="3831" t="n"/>
      <c r="AE40" s="3832" t="n"/>
      <c r="AF40" s="3832" t="n"/>
      <c r="AG40" s="3832" t="n"/>
      <c r="AH40" s="3723" t="n"/>
      <c r="AI40" s="3804" t="n"/>
    </row>
    <row r="41" hidden="1" outlineLevel="1" ht="12" customHeight="1" s="3710">
      <c r="B41" s="3770" t="n"/>
      <c r="C41" s="3833" t="inlineStr">
        <is>
          <t>Net income, reported</t>
        </is>
      </c>
      <c r="D41" s="3833" t="n"/>
      <c r="E41" s="3834" t="n"/>
      <c r="F41" s="3834" t="n"/>
      <c r="G41" s="3835" t="n"/>
      <c r="H41" s="3835" t="n"/>
      <c r="I41" s="3836" t="n"/>
      <c r="J41" s="3723" t="n"/>
      <c r="K41" s="3834" t="n"/>
      <c r="L41" s="3834" t="n"/>
      <c r="M41" s="3835" t="n"/>
      <c r="N41" s="3835" t="n"/>
      <c r="O41" s="3836" t="n"/>
      <c r="P41" s="3723" t="n"/>
      <c r="Q41" s="3834" t="n"/>
      <c r="R41" s="3834" t="n"/>
      <c r="S41" s="3835" t="n"/>
      <c r="T41" s="3835" t="n"/>
      <c r="U41" s="3835" t="n"/>
      <c r="V41" s="3723" t="n"/>
      <c r="W41" s="3834" t="n"/>
      <c r="X41" s="3834" t="n"/>
      <c r="Y41" s="3835" t="n"/>
      <c r="Z41" s="3835" t="n"/>
      <c r="AA41" s="3835" t="n"/>
      <c r="AB41" s="3723" t="n"/>
      <c r="AC41" s="3834" t="n"/>
      <c r="AD41" s="3834" t="n"/>
      <c r="AE41" s="3835" t="n"/>
      <c r="AF41" s="3835" t="n"/>
      <c r="AG41" s="3835" t="n"/>
      <c r="AH41" s="3723" t="n"/>
      <c r="AI41" s="3804" t="n"/>
    </row>
    <row r="42" hidden="1" outlineLevel="1" ht="12" customHeight="1" s="3710">
      <c r="B42" s="3770" t="n"/>
      <c r="C42" s="3729" t="inlineStr">
        <is>
          <t>Add/(deduct)</t>
        </is>
      </c>
      <c r="D42" s="3833" t="n"/>
      <c r="E42" s="3834" t="n"/>
      <c r="F42" s="3834" t="n"/>
      <c r="G42" s="3835" t="n"/>
      <c r="H42" s="3835" t="n"/>
      <c r="I42" s="3836" t="n"/>
      <c r="J42" s="3723" t="n"/>
      <c r="K42" s="3834" t="n"/>
      <c r="L42" s="3834" t="n"/>
      <c r="M42" s="3835" t="n"/>
      <c r="N42" s="3835" t="n"/>
      <c r="O42" s="3836" t="n"/>
      <c r="P42" s="3723" t="n"/>
      <c r="Q42" s="3834" t="n"/>
      <c r="R42" s="3834" t="n"/>
      <c r="S42" s="3835" t="n"/>
      <c r="T42" s="3835" t="n"/>
      <c r="U42" s="3835" t="n"/>
      <c r="V42" s="3723" t="n"/>
      <c r="W42" s="3834" t="n"/>
      <c r="X42" s="3834" t="n"/>
      <c r="Y42" s="3835" t="n"/>
      <c r="Z42" s="3835" t="n"/>
      <c r="AA42" s="3835" t="n"/>
      <c r="AB42" s="3723" t="n"/>
      <c r="AC42" s="3834" t="n"/>
      <c r="AD42" s="3834" t="n"/>
      <c r="AE42" s="3835" t="n"/>
      <c r="AF42" s="3835" t="n"/>
      <c r="AG42" s="3835" t="n"/>
      <c r="AH42" s="3723" t="n"/>
      <c r="AI42" s="3804" t="n"/>
    </row>
    <row r="43" hidden="1" outlineLevel="1" ht="12" customHeight="1" s="3710">
      <c r="B43" s="3770" t="n"/>
      <c r="C43" s="3837" t="inlineStr">
        <is>
          <t>Interest, net</t>
        </is>
      </c>
      <c r="D43" s="3727" t="n"/>
      <c r="E43" s="3783" t="n"/>
      <c r="F43" s="3783" t="n"/>
      <c r="G43" s="3807" t="n"/>
      <c r="H43" s="3807" t="n"/>
      <c r="I43" s="3785" t="n"/>
      <c r="J43" s="3723" t="n"/>
      <c r="K43" s="3783" t="n"/>
      <c r="L43" s="3783" t="n"/>
      <c r="M43" s="3807" t="n"/>
      <c r="N43" s="3807" t="n"/>
      <c r="O43" s="3785" t="n"/>
      <c r="P43" s="3723" t="n"/>
      <c r="Q43" s="3783" t="n"/>
      <c r="R43" s="3783" t="n"/>
      <c r="S43" s="3807" t="n"/>
      <c r="T43" s="3807" t="n"/>
      <c r="U43" s="3807" t="n"/>
      <c r="V43" s="3723" t="n"/>
      <c r="W43" s="3783" t="n"/>
      <c r="X43" s="3783" t="n"/>
      <c r="Y43" s="3807" t="n"/>
      <c r="Z43" s="3807" t="n"/>
      <c r="AA43" s="3807" t="n"/>
      <c r="AB43" s="3723" t="n"/>
      <c r="AC43" s="3783" t="n"/>
      <c r="AD43" s="3783" t="n"/>
      <c r="AE43" s="3807" t="n"/>
      <c r="AF43" s="3807" t="n"/>
      <c r="AG43" s="3807" t="n"/>
      <c r="AH43" s="3723" t="n"/>
      <c r="AI43" s="3799" t="n"/>
    </row>
    <row r="44" hidden="1" outlineLevel="1" ht="12" customHeight="1" s="3710">
      <c r="B44" s="3770" t="n"/>
      <c r="C44" s="3837" t="inlineStr">
        <is>
          <t>Depreciation &amp; amortization</t>
        </is>
      </c>
      <c r="D44" s="3727" t="n"/>
      <c r="E44" s="3783" t="n"/>
      <c r="F44" s="3783" t="n"/>
      <c r="G44" s="3807" t="n"/>
      <c r="H44" s="3807" t="n"/>
      <c r="I44" s="3785" t="n"/>
      <c r="J44" s="3723" t="n"/>
      <c r="K44" s="3783" t="n"/>
      <c r="L44" s="3783" t="n"/>
      <c r="M44" s="3807" t="n"/>
      <c r="N44" s="3807" t="n"/>
      <c r="O44" s="3785" t="n"/>
      <c r="P44" s="3723" t="n"/>
      <c r="Q44" s="3783" t="n"/>
      <c r="R44" s="3783" t="n"/>
      <c r="S44" s="3807" t="n"/>
      <c r="T44" s="3807" t="n"/>
      <c r="U44" s="3807" t="n"/>
      <c r="V44" s="3723" t="n"/>
      <c r="W44" s="3783" t="n"/>
      <c r="X44" s="3783" t="n"/>
      <c r="Y44" s="3807" t="n"/>
      <c r="Z44" s="3807" t="n"/>
      <c r="AA44" s="3807" t="n"/>
      <c r="AB44" s="3723" t="n"/>
      <c r="AC44" s="3783" t="n"/>
      <c r="AD44" s="3783" t="n"/>
      <c r="AE44" s="3807" t="n"/>
      <c r="AF44" s="3807" t="n"/>
      <c r="AG44" s="3807" t="n"/>
      <c r="AH44" s="3723" t="n"/>
      <c r="AI44" s="3799" t="n"/>
    </row>
    <row r="45" hidden="1" outlineLevel="1" ht="12" customHeight="1" s="3710">
      <c r="B45" s="3770" t="n"/>
      <c r="C45" s="3837" t="inlineStr">
        <is>
          <t>Other comprehensive income</t>
        </is>
      </c>
      <c r="D45" s="3727" t="n"/>
      <c r="E45" s="3783" t="n"/>
      <c r="F45" s="3783" t="n"/>
      <c r="G45" s="3807" t="n"/>
      <c r="H45" s="3807" t="n"/>
      <c r="I45" s="3785" t="n"/>
      <c r="J45" s="3723" t="n"/>
      <c r="K45" s="3783" t="n"/>
      <c r="L45" s="3783" t="n"/>
      <c r="M45" s="3807" t="n"/>
      <c r="N45" s="3807" t="n"/>
      <c r="O45" s="3785" t="n"/>
      <c r="P45" s="3723" t="n"/>
      <c r="Q45" s="3783" t="n"/>
      <c r="R45" s="3783" t="n"/>
      <c r="S45" s="3807" t="n"/>
      <c r="T45" s="3807" t="n"/>
      <c r="U45" s="3807" t="n"/>
      <c r="V45" s="3723" t="n"/>
      <c r="W45" s="3783" t="n"/>
      <c r="X45" s="3783" t="n"/>
      <c r="Y45" s="3807" t="n"/>
      <c r="Z45" s="3807" t="n"/>
      <c r="AA45" s="3807" t="n"/>
      <c r="AB45" s="3723" t="n"/>
      <c r="AC45" s="3783" t="n"/>
      <c r="AD45" s="3783" t="n"/>
      <c r="AE45" s="3807" t="n"/>
      <c r="AF45" s="3807" t="n"/>
      <c r="AG45" s="3807" t="n"/>
      <c r="AH45" s="3723" t="n"/>
      <c r="AI45" s="3816" t="n"/>
    </row>
    <row r="46" hidden="1" outlineLevel="1" ht="12" customHeight="1" s="3710">
      <c r="B46" s="3770" t="n"/>
      <c r="C46" s="3837" t="inlineStr">
        <is>
          <t>Income taxes</t>
        </is>
      </c>
      <c r="D46" s="3727" t="n"/>
      <c r="E46" s="3783" t="n"/>
      <c r="F46" s="3783" t="n"/>
      <c r="G46" s="3807" t="n"/>
      <c r="H46" s="3807" t="n"/>
      <c r="I46" s="3785" t="n"/>
      <c r="J46" s="3723" t="n"/>
      <c r="K46" s="3783" t="n"/>
      <c r="L46" s="3783" t="n"/>
      <c r="M46" s="3807" t="n"/>
      <c r="N46" s="3807" t="n"/>
      <c r="O46" s="3785" t="n"/>
      <c r="P46" s="3723" t="n"/>
      <c r="Q46" s="3783" t="n"/>
      <c r="R46" s="3783" t="n"/>
      <c r="S46" s="3807" t="n"/>
      <c r="T46" s="3807" t="n"/>
      <c r="U46" s="3807" t="n"/>
      <c r="V46" s="3723" t="n"/>
      <c r="W46" s="3783" t="n"/>
      <c r="X46" s="3783" t="n"/>
      <c r="Y46" s="3807" t="n"/>
      <c r="Z46" s="3807" t="n"/>
      <c r="AA46" s="3807" t="n"/>
      <c r="AB46" s="3723" t="n"/>
      <c r="AC46" s="3783" t="n"/>
      <c r="AD46" s="3783" t="n"/>
      <c r="AE46" s="3807" t="n"/>
      <c r="AF46" s="3807" t="n"/>
      <c r="AG46" s="3807" t="n"/>
      <c r="AH46" s="3723" t="n"/>
      <c r="AI46" s="3799" t="n"/>
    </row>
    <row r="47" ht="12" customHeight="1" s="3710">
      <c r="B47" s="3770" t="n"/>
      <c r="C47" s="3838" t="inlineStr">
        <is>
          <t>EBITDA, reported</t>
        </is>
      </c>
      <c r="D47" s="3838" t="n"/>
      <c r="E47" s="3839" t="n"/>
      <c r="F47" s="3839" t="n"/>
      <c r="G47" s="3803" t="n"/>
      <c r="H47" s="3803" t="n"/>
      <c r="I47" s="3803" t="n"/>
      <c r="J47" s="3723" t="n"/>
      <c r="K47" s="3839" t="n"/>
      <c r="L47" s="3839" t="n"/>
      <c r="M47" s="3803" t="n"/>
      <c r="N47" s="3803" t="n"/>
      <c r="O47" s="3803" t="n"/>
      <c r="P47" s="3723" t="n"/>
      <c r="Q47" s="3839" t="n"/>
      <c r="R47" s="3839" t="n"/>
      <c r="S47" s="3803" t="n"/>
      <c r="T47" s="3803" t="n"/>
      <c r="U47" s="3803" t="n"/>
      <c r="V47" s="3723" t="n"/>
      <c r="W47" s="3839" t="n"/>
      <c r="X47" s="3839" t="n"/>
      <c r="Y47" s="3803" t="n"/>
      <c r="Z47" s="3803" t="n"/>
      <c r="AA47" s="3803" t="n"/>
      <c r="AB47" s="3723" t="n"/>
      <c r="AC47" s="3839" t="n"/>
      <c r="AD47" s="3839" t="n"/>
      <c r="AE47" s="3803" t="n"/>
      <c r="AF47" s="3803" t="n"/>
      <c r="AG47" s="3803" t="n"/>
      <c r="AH47" s="3723" t="n"/>
      <c r="AI47" s="3804" t="n"/>
    </row>
    <row r="48" hidden="1" outlineLevel="1" ht="12" customHeight="1" s="3710">
      <c r="B48" s="3770" t="n"/>
      <c r="C48" s="3729" t="inlineStr">
        <is>
          <t>Due diligence adjustments</t>
        </is>
      </c>
      <c r="D48" s="3729" t="n"/>
      <c r="E48" s="3783" t="n"/>
      <c r="F48" s="3783" t="n"/>
      <c r="G48" s="3784" t="n"/>
      <c r="H48" s="3784" t="n"/>
      <c r="I48" s="3785" t="n"/>
      <c r="J48" s="3723" t="n"/>
      <c r="K48" s="3783" t="n"/>
      <c r="L48" s="3783" t="n"/>
      <c r="M48" s="3784" t="n"/>
      <c r="N48" s="3784" t="n"/>
      <c r="O48" s="3785" t="n"/>
      <c r="P48" s="3723" t="n"/>
      <c r="Q48" s="3783" t="n"/>
      <c r="R48" s="3783" t="n"/>
      <c r="S48" s="3784" t="n"/>
      <c r="T48" s="3784" t="n"/>
      <c r="U48" s="3784" t="n"/>
      <c r="V48" s="3723" t="n"/>
      <c r="W48" s="3783" t="n"/>
      <c r="X48" s="3783" t="n"/>
      <c r="Y48" s="3784" t="n"/>
      <c r="Z48" s="3784" t="n"/>
      <c r="AA48" s="3784" t="n"/>
      <c r="AB48" s="3723" t="n"/>
      <c r="AC48" s="3783" t="n"/>
      <c r="AD48" s="3783" t="n"/>
      <c r="AE48" s="3784" t="n"/>
      <c r="AF48" s="3784" t="n"/>
      <c r="AG48" s="3784" t="n"/>
      <c r="AH48" s="3723" t="n"/>
      <c r="AI48" s="3799" t="n"/>
    </row>
    <row r="49" hidden="1" outlineLevel="1" ht="12" customHeight="1" s="3710">
      <c r="B49" s="3770" t="n"/>
      <c r="C49" s="3787" t="n"/>
      <c r="D49" s="3788" t="n">
        <v>1</v>
      </c>
      <c r="E49" s="3806" t="n"/>
      <c r="F49" s="3806" t="n"/>
      <c r="G49" s="3807" t="n"/>
      <c r="H49" s="3807" t="n"/>
      <c r="I49" s="3785" t="n"/>
      <c r="J49" s="3723" t="n"/>
      <c r="K49" s="3806" t="n"/>
      <c r="L49" s="3806" t="n"/>
      <c r="M49" s="3807" t="n"/>
      <c r="N49" s="3807" t="n"/>
      <c r="O49" s="3785" t="n"/>
      <c r="P49" s="3723" t="n"/>
      <c r="Q49" s="3806" t="n"/>
      <c r="R49" s="3806" t="n"/>
      <c r="S49" s="3807" t="n"/>
      <c r="T49" s="3807" t="n"/>
      <c r="U49" s="3807" t="n"/>
      <c r="V49" s="3723" t="n"/>
      <c r="W49" s="3806" t="n"/>
      <c r="X49" s="3806" t="n"/>
      <c r="Y49" s="3807" t="n"/>
      <c r="Z49" s="3807" t="n"/>
      <c r="AA49" s="3807" t="n"/>
      <c r="AB49" s="3723" t="n"/>
      <c r="AC49" s="3806" t="n"/>
      <c r="AD49" s="3806" t="n"/>
      <c r="AE49" s="3807" t="n"/>
      <c r="AF49" s="3807" t="n"/>
      <c r="AG49" s="3807" t="n"/>
      <c r="AH49" s="3723" t="n"/>
      <c r="AI49" s="3818" t="n"/>
    </row>
    <row r="50" hidden="1" outlineLevel="1" ht="12" customHeight="1" s="3710">
      <c r="B50" s="3770" t="n"/>
      <c r="C50" s="3787" t="inlineStr">
        <is>
          <t>Settlement interest income</t>
        </is>
      </c>
      <c r="D50" s="3782">
        <f>D49+1</f>
        <v/>
      </c>
      <c r="E50" s="3806" t="n"/>
      <c r="F50" s="3806" t="n"/>
      <c r="G50" s="3807" t="n"/>
      <c r="H50" s="3807" t="n"/>
      <c r="I50" s="3785" t="n"/>
      <c r="J50" s="3723" t="n"/>
      <c r="K50" s="3806" t="n"/>
      <c r="L50" s="3806" t="n"/>
      <c r="M50" s="3807" t="n"/>
      <c r="N50" s="3807" t="n"/>
      <c r="O50" s="3785" t="n"/>
      <c r="P50" s="3723" t="n"/>
      <c r="Q50" s="3806" t="n"/>
      <c r="R50" s="3806" t="n"/>
      <c r="S50" s="3807" t="n"/>
      <c r="T50" s="3807" t="n"/>
      <c r="U50" s="3807" t="n"/>
      <c r="V50" s="3723" t="n"/>
      <c r="W50" s="3806" t="n"/>
      <c r="X50" s="3806" t="n"/>
      <c r="Y50" s="3807" t="n"/>
      <c r="Z50" s="3807" t="n"/>
      <c r="AA50" s="3807" t="n"/>
      <c r="AB50" s="3723" t="n"/>
      <c r="AC50" s="3806" t="n"/>
      <c r="AD50" s="3806" t="n"/>
      <c r="AE50" s="3807" t="n"/>
      <c r="AF50" s="3807" t="n"/>
      <c r="AG50" s="3807" t="n"/>
      <c r="AH50" s="3723" t="n"/>
      <c r="AI50" s="3818" t="n"/>
    </row>
    <row r="51" hidden="1" outlineLevel="1" ht="12" customHeight="1" s="3710">
      <c r="B51" s="3770" t="n"/>
      <c r="C51" s="3787" t="inlineStr">
        <is>
          <t>Settlement services dispute</t>
        </is>
      </c>
      <c r="D51" s="3788">
        <f>D50+1</f>
        <v/>
      </c>
      <c r="E51" s="3806" t="n"/>
      <c r="F51" s="3806" t="n"/>
      <c r="G51" s="3807" t="n"/>
      <c r="H51" s="3807" t="n"/>
      <c r="I51" s="3785" t="n"/>
      <c r="J51" s="3723" t="n"/>
      <c r="K51" s="3806" t="n"/>
      <c r="L51" s="3806" t="n"/>
      <c r="M51" s="3807" t="n"/>
      <c r="N51" s="3807" t="n"/>
      <c r="O51" s="3785" t="n"/>
      <c r="P51" s="3723" t="n"/>
      <c r="Q51" s="3806" t="n"/>
      <c r="R51" s="3806" t="n"/>
      <c r="S51" s="3807" t="n"/>
      <c r="T51" s="3807" t="n"/>
      <c r="U51" s="3807" t="n"/>
      <c r="V51" s="3723" t="n"/>
      <c r="W51" s="3806" t="n"/>
      <c r="X51" s="3806" t="n"/>
      <c r="Y51" s="3807" t="n"/>
      <c r="Z51" s="3807" t="n"/>
      <c r="AA51" s="3807" t="n"/>
      <c r="AB51" s="3723" t="n"/>
      <c r="AC51" s="3806" t="n"/>
      <c r="AD51" s="3806" t="n"/>
      <c r="AE51" s="3807" t="n"/>
      <c r="AF51" s="3807" t="n"/>
      <c r="AG51" s="3807" t="n"/>
      <c r="AH51" s="3723" t="n"/>
      <c r="AI51" s="3818" t="n"/>
    </row>
    <row r="52" hidden="1" outlineLevel="2" ht="12" customHeight="1" s="3710">
      <c r="B52" s="3770" t="n"/>
      <c r="C52" s="3840" t="n"/>
      <c r="D52" s="3788" t="inlineStr">
        <is>
          <t>a</t>
        </is>
      </c>
      <c r="E52" s="3806" t="n"/>
      <c r="F52" s="3806" t="n"/>
      <c r="G52" s="3807" t="n"/>
      <c r="H52" s="3807" t="n"/>
      <c r="I52" s="3785" t="n"/>
      <c r="J52" s="3723" t="n"/>
      <c r="K52" s="3806" t="n"/>
      <c r="L52" s="3806" t="n"/>
      <c r="M52" s="3807" t="n"/>
      <c r="N52" s="3807" t="n"/>
      <c r="O52" s="3785" t="n"/>
      <c r="P52" s="3723" t="n"/>
      <c r="Q52" s="3806" t="n"/>
      <c r="R52" s="3806" t="n"/>
      <c r="S52" s="3807" t="n"/>
      <c r="T52" s="3807" t="n"/>
      <c r="U52" s="3807" t="n"/>
      <c r="V52" s="3723" t="n"/>
      <c r="W52" s="3806" t="n"/>
      <c r="X52" s="3806" t="n"/>
      <c r="Y52" s="3807" t="n"/>
      <c r="Z52" s="3807" t="n"/>
      <c r="AA52" s="3807" t="n"/>
      <c r="AB52" s="3723" t="n"/>
      <c r="AC52" s="3806" t="n"/>
      <c r="AD52" s="3806" t="n"/>
      <c r="AE52" s="3807" t="n"/>
      <c r="AF52" s="3807" t="n"/>
      <c r="AG52" s="3807" t="n"/>
      <c r="AH52" s="3723" t="n"/>
      <c r="AI52" s="3818" t="n"/>
    </row>
    <row r="53" hidden="1" outlineLevel="2" ht="12" customHeight="1" s="3710">
      <c r="B53" s="3770" t="n"/>
      <c r="C53" s="3814" t="n"/>
      <c r="D53" s="3788" t="inlineStr">
        <is>
          <t>b</t>
        </is>
      </c>
      <c r="E53" s="3815" t="n"/>
      <c r="F53" s="3815" t="n"/>
      <c r="G53" s="3795" t="n"/>
      <c r="H53" s="3795" t="n"/>
      <c r="I53" s="3796" t="n"/>
      <c r="J53" s="3723" t="n"/>
      <c r="K53" s="3815" t="n"/>
      <c r="L53" s="3815" t="n"/>
      <c r="M53" s="3795" t="n"/>
      <c r="N53" s="3795" t="n"/>
      <c r="O53" s="3796" t="n"/>
      <c r="P53" s="3723" t="n"/>
      <c r="Q53" s="3815" t="n"/>
      <c r="R53" s="3815" t="n"/>
      <c r="S53" s="3795" t="n"/>
      <c r="T53" s="3795" t="n"/>
      <c r="U53" s="3795" t="n"/>
      <c r="V53" s="3723" t="n"/>
      <c r="W53" s="3815" t="n"/>
      <c r="X53" s="3815" t="n"/>
      <c r="Y53" s="3795" t="n"/>
      <c r="Z53" s="3795" t="n"/>
      <c r="AA53" s="3795" t="n"/>
      <c r="AB53" s="3723" t="n"/>
      <c r="AC53" s="3815" t="n"/>
      <c r="AD53" s="3815" t="n"/>
      <c r="AE53" s="3795" t="n"/>
      <c r="AF53" s="3795" t="n"/>
      <c r="AG53" s="3795" t="n"/>
      <c r="AH53" s="3723" t="n"/>
      <c r="AI53" s="3818" t="n"/>
    </row>
    <row r="54" hidden="1" outlineLevel="1" collapsed="1" ht="11.25" customHeight="1" s="3710">
      <c r="B54" s="3770" t="n"/>
      <c r="C54" s="3781" t="inlineStr">
        <is>
          <t>Out of period entries</t>
        </is>
      </c>
      <c r="D54" s="3817">
        <f>D51+1</f>
        <v/>
      </c>
      <c r="E54" s="3806" t="n"/>
      <c r="F54" s="3806" t="n"/>
      <c r="G54" s="3807" t="n"/>
      <c r="H54" s="3807" t="n"/>
      <c r="I54" s="3785" t="n"/>
      <c r="J54" s="3723" t="n"/>
      <c r="K54" s="3806" t="n"/>
      <c r="L54" s="3806" t="n"/>
      <c r="M54" s="3807" t="n"/>
      <c r="N54" s="3807" t="n"/>
      <c r="O54" s="3785" t="n"/>
      <c r="P54" s="3723" t="n"/>
      <c r="Q54" s="3806" t="n"/>
      <c r="R54" s="3806" t="n"/>
      <c r="S54" s="3807" t="n"/>
      <c r="T54" s="3807" t="n"/>
      <c r="U54" s="3807" t="n"/>
      <c r="V54" s="3723" t="n"/>
      <c r="W54" s="3806" t="n"/>
      <c r="X54" s="3806" t="n"/>
      <c r="Y54" s="3807" t="n"/>
      <c r="Z54" s="3807" t="n"/>
      <c r="AA54" s="3807" t="n"/>
      <c r="AB54" s="3723" t="n"/>
      <c r="AC54" s="3806" t="n"/>
      <c r="AD54" s="3806" t="n"/>
      <c r="AE54" s="3807" t="n"/>
      <c r="AF54" s="3807" t="n"/>
      <c r="AG54" s="3807" t="n"/>
      <c r="AH54" s="3723" t="n"/>
    </row>
    <row r="55" hidden="1" outlineLevel="1" ht="12" customHeight="1" s="3710">
      <c r="B55" s="3770" t="n"/>
      <c r="C55" s="3781" t="n"/>
      <c r="D55" s="3788">
        <f>D54+1</f>
        <v/>
      </c>
      <c r="E55" s="3806" t="n"/>
      <c r="F55" s="3806" t="n"/>
      <c r="G55" s="3807" t="n"/>
      <c r="H55" s="3807" t="n"/>
      <c r="I55" s="3785" t="n"/>
      <c r="J55" s="3723" t="n"/>
      <c r="K55" s="3806" t="n"/>
      <c r="L55" s="3806" t="n"/>
      <c r="M55" s="3807" t="n"/>
      <c r="N55" s="3807" t="n"/>
      <c r="O55" s="3785" t="n"/>
      <c r="P55" s="3723" t="n"/>
      <c r="Q55" s="3806" t="n"/>
      <c r="R55" s="3806" t="n"/>
      <c r="S55" s="3807" t="n"/>
      <c r="T55" s="3807" t="n"/>
      <c r="U55" s="3807" t="n"/>
      <c r="V55" s="3723" t="n"/>
      <c r="W55" s="3806" t="n"/>
      <c r="X55" s="3806" t="n"/>
      <c r="Y55" s="3807" t="n"/>
      <c r="Z55" s="3807" t="n"/>
      <c r="AA55" s="3807" t="n"/>
      <c r="AB55" s="3723" t="n"/>
      <c r="AC55" s="3806" t="n"/>
      <c r="AD55" s="3806" t="n"/>
      <c r="AE55" s="3807" t="n"/>
      <c r="AF55" s="3807" t="n"/>
      <c r="AG55" s="3807" t="n"/>
      <c r="AH55" s="3723" t="n"/>
      <c r="AI55" s="3818" t="n"/>
    </row>
    <row r="56" hidden="1" outlineLevel="1" ht="12" customHeight="1" s="3710">
      <c r="B56" s="3770" t="n"/>
      <c r="C56" s="3781" t="n"/>
      <c r="D56" s="3788">
        <f>D55+1</f>
        <v/>
      </c>
      <c r="E56" s="3806" t="n"/>
      <c r="F56" s="3806" t="n"/>
      <c r="G56" s="3807" t="n"/>
      <c r="H56" s="3807" t="n"/>
      <c r="I56" s="3785" t="n"/>
      <c r="J56" s="3723" t="n"/>
      <c r="K56" s="3806" t="n"/>
      <c r="L56" s="3806" t="n"/>
      <c r="M56" s="3807" t="n"/>
      <c r="N56" s="3807" t="n"/>
      <c r="O56" s="3785" t="n"/>
      <c r="P56" s="3723" t="n"/>
      <c r="Q56" s="3806" t="n"/>
      <c r="R56" s="3806" t="n"/>
      <c r="S56" s="3807" t="n"/>
      <c r="T56" s="3807" t="n"/>
      <c r="U56" s="3807" t="n"/>
      <c r="V56" s="3723" t="n"/>
      <c r="W56" s="3806" t="n"/>
      <c r="X56" s="3806" t="n"/>
      <c r="Y56" s="3807" t="n"/>
      <c r="Z56" s="3807" t="n"/>
      <c r="AA56" s="3807" t="n"/>
      <c r="AB56" s="3723" t="n"/>
      <c r="AC56" s="3806" t="n"/>
      <c r="AD56" s="3806" t="n"/>
      <c r="AE56" s="3807" t="n"/>
      <c r="AF56" s="3807" t="n"/>
      <c r="AG56" s="3807" t="n"/>
      <c r="AH56" s="3723" t="n"/>
      <c r="AI56" s="3818" t="n"/>
    </row>
    <row r="57" hidden="1" outlineLevel="1" ht="11.25" customHeight="1" s="3710">
      <c r="B57" s="3770" t="n"/>
      <c r="C57" s="3781" t="n"/>
      <c r="D57" s="3788">
        <f>D56+1</f>
        <v/>
      </c>
      <c r="E57" s="3841" t="n"/>
      <c r="F57" s="3841" t="n"/>
      <c r="G57" s="3784" t="n"/>
      <c r="H57" s="3784" t="n"/>
      <c r="I57" s="3785" t="n"/>
      <c r="J57" s="3723" t="n"/>
      <c r="K57" s="3841" t="n"/>
      <c r="L57" s="3841" t="n"/>
      <c r="M57" s="3784" t="n"/>
      <c r="N57" s="3784" t="n"/>
      <c r="O57" s="3785" t="n"/>
      <c r="P57" s="3723" t="n"/>
      <c r="Q57" s="3841" t="n"/>
      <c r="R57" s="3841" t="n"/>
      <c r="S57" s="3784" t="n"/>
      <c r="T57" s="3784" t="n"/>
      <c r="U57" s="3784" t="n"/>
      <c r="V57" s="3723" t="n"/>
      <c r="W57" s="3841" t="n"/>
      <c r="X57" s="3841" t="n"/>
      <c r="Y57" s="3784" t="n"/>
      <c r="Z57" s="3784" t="n"/>
      <c r="AA57" s="3784" t="n"/>
      <c r="AB57" s="3723" t="n"/>
      <c r="AC57" s="3841" t="n"/>
      <c r="AD57" s="3841" t="n"/>
      <c r="AE57" s="3784" t="n"/>
      <c r="AF57" s="3784" t="n"/>
      <c r="AG57" s="3784" t="n"/>
      <c r="AH57" s="3723" t="n"/>
      <c r="AI57" s="3818" t="n"/>
    </row>
    <row r="58" hidden="1" outlineLevel="1" ht="12" customHeight="1" s="3710">
      <c r="B58" s="3770" t="n"/>
      <c r="C58" s="3787" t="n"/>
      <c r="D58" s="3788">
        <f>D57+1</f>
        <v/>
      </c>
      <c r="E58" s="3806" t="n"/>
      <c r="F58" s="3806" t="n"/>
      <c r="G58" s="3807" t="n"/>
      <c r="H58" s="3807" t="n"/>
      <c r="I58" s="3785" t="n"/>
      <c r="J58" s="3723" t="n"/>
      <c r="K58" s="3806" t="n"/>
      <c r="L58" s="3806" t="n"/>
      <c r="M58" s="3807" t="n"/>
      <c r="N58" s="3807" t="n"/>
      <c r="O58" s="3785" t="n"/>
      <c r="P58" s="3723" t="n"/>
      <c r="Q58" s="3806" t="n"/>
      <c r="R58" s="3806" t="n"/>
      <c r="S58" s="3807" t="n"/>
      <c r="T58" s="3807" t="n"/>
      <c r="U58" s="3807" t="n"/>
      <c r="V58" s="3723" t="n"/>
      <c r="W58" s="3806" t="n"/>
      <c r="X58" s="3806" t="n"/>
      <c r="Y58" s="3807" t="n"/>
      <c r="Z58" s="3807" t="n"/>
      <c r="AA58" s="3807" t="n"/>
      <c r="AB58" s="3723" t="n"/>
      <c r="AC58" s="3806" t="n"/>
      <c r="AD58" s="3806" t="n"/>
      <c r="AE58" s="3807" t="n"/>
      <c r="AF58" s="3807" t="n"/>
      <c r="AG58" s="3807" t="n"/>
      <c r="AH58" s="3723" t="n"/>
      <c r="AI58" s="3818" t="n"/>
    </row>
    <row r="59" hidden="1" outlineLevel="1" ht="12" customHeight="1" s="3710">
      <c r="B59" s="3770" t="n"/>
      <c r="C59" s="3781" t="n"/>
      <c r="D59" s="3782">
        <f>D58+1</f>
        <v/>
      </c>
      <c r="E59" s="3806" t="n"/>
      <c r="F59" s="3806" t="n"/>
      <c r="G59" s="3807" t="n"/>
      <c r="H59" s="3807" t="n"/>
      <c r="I59" s="3785" t="n"/>
      <c r="J59" s="3723" t="n"/>
      <c r="K59" s="3806" t="n"/>
      <c r="L59" s="3806" t="n"/>
      <c r="M59" s="3807" t="n"/>
      <c r="N59" s="3807" t="n"/>
      <c r="O59" s="3785" t="n"/>
      <c r="P59" s="3723" t="n"/>
      <c r="Q59" s="3806" t="n"/>
      <c r="R59" s="3806" t="n"/>
      <c r="S59" s="3807" t="n"/>
      <c r="T59" s="3807" t="n"/>
      <c r="U59" s="3807" t="n"/>
      <c r="V59" s="3723" t="n"/>
      <c r="W59" s="3806" t="n"/>
      <c r="X59" s="3806" t="n"/>
      <c r="Y59" s="3807" t="n"/>
      <c r="Z59" s="3807" t="n"/>
      <c r="AA59" s="3807" t="n"/>
      <c r="AB59" s="3723" t="n"/>
      <c r="AC59" s="3806" t="n"/>
      <c r="AD59" s="3806" t="n"/>
      <c r="AE59" s="3807" t="n"/>
      <c r="AF59" s="3807" t="n"/>
      <c r="AG59" s="3807" t="n"/>
      <c r="AH59" s="3723" t="n"/>
      <c r="AI59" s="3842" t="n"/>
    </row>
    <row r="60" hidden="1" outlineLevel="1" ht="12" customHeight="1" s="3710">
      <c r="B60" s="3770" t="n"/>
      <c r="C60" s="3781" t="n"/>
      <c r="D60" s="3782">
        <f>D59+1</f>
        <v/>
      </c>
      <c r="E60" s="3841" t="n"/>
      <c r="F60" s="3841" t="n"/>
      <c r="G60" s="3784" t="n"/>
      <c r="H60" s="3784" t="n"/>
      <c r="I60" s="3785" t="n"/>
      <c r="J60" s="3723" t="n"/>
      <c r="K60" s="3841" t="n"/>
      <c r="L60" s="3841" t="n"/>
      <c r="M60" s="3784" t="n"/>
      <c r="N60" s="3784" t="n"/>
      <c r="O60" s="3785" t="n"/>
      <c r="P60" s="3723" t="n"/>
      <c r="Q60" s="3841" t="n"/>
      <c r="R60" s="3841" t="n"/>
      <c r="S60" s="3784" t="n"/>
      <c r="T60" s="3784" t="n"/>
      <c r="U60" s="3784" t="n"/>
      <c r="V60" s="3723" t="n"/>
      <c r="W60" s="3841" t="n"/>
      <c r="X60" s="3841" t="n"/>
      <c r="Y60" s="3784" t="n"/>
      <c r="Z60" s="3784" t="n"/>
      <c r="AA60" s="3784" t="n"/>
      <c r="AB60" s="3723" t="n"/>
      <c r="AC60" s="3841" t="n"/>
      <c r="AD60" s="3841" t="n"/>
      <c r="AE60" s="3784" t="n"/>
      <c r="AF60" s="3784" t="n"/>
      <c r="AG60" s="3784" t="n"/>
      <c r="AH60" s="3723" t="n"/>
      <c r="AI60" s="3816" t="n"/>
    </row>
    <row r="61" hidden="1" outlineLevel="2" ht="12" customHeight="1" s="3710">
      <c r="B61" s="3770" t="n"/>
      <c r="C61" s="3805" t="inlineStr">
        <is>
          <t>Loss on fixed asset disposal</t>
        </is>
      </c>
      <c r="D61" s="3782" t="inlineStr">
        <is>
          <t>a</t>
        </is>
      </c>
      <c r="E61" s="3806" t="n"/>
      <c r="F61" s="3806" t="n"/>
      <c r="G61" s="3807" t="n"/>
      <c r="H61" s="3807" t="n"/>
      <c r="I61" s="3785" t="n"/>
      <c r="J61" s="3723" t="n"/>
      <c r="K61" s="3806" t="n"/>
      <c r="L61" s="3806" t="n"/>
      <c r="M61" s="3807" t="n"/>
      <c r="N61" s="3807" t="n"/>
      <c r="O61" s="3785" t="n"/>
      <c r="P61" s="3723" t="n"/>
      <c r="Q61" s="3806" t="n"/>
      <c r="R61" s="3806" t="n"/>
      <c r="S61" s="3807" t="n"/>
      <c r="T61" s="3807" t="n"/>
      <c r="U61" s="3807" t="n"/>
      <c r="V61" s="3723" t="n"/>
      <c r="W61" s="3806" t="n"/>
      <c r="X61" s="3806" t="n"/>
      <c r="Y61" s="3807" t="n"/>
      <c r="Z61" s="3807" t="n"/>
      <c r="AA61" s="3807" t="n"/>
      <c r="AB61" s="3723" t="n"/>
      <c r="AC61" s="3806" t="n"/>
      <c r="AD61" s="3806" t="n"/>
      <c r="AE61" s="3807" t="n"/>
      <c r="AF61" s="3807" t="n"/>
      <c r="AG61" s="3807" t="n"/>
      <c r="AH61" s="3723" t="n"/>
      <c r="AI61" s="3813" t="n"/>
    </row>
    <row r="62" hidden="1" outlineLevel="2" ht="12" customHeight="1" s="3710">
      <c r="B62" s="3770" t="n"/>
      <c r="C62" s="3814" t="inlineStr">
        <is>
          <t>Foreign exchange expense</t>
        </is>
      </c>
      <c r="D62" s="3782" t="inlineStr">
        <is>
          <t>b</t>
        </is>
      </c>
      <c r="E62" s="3815" t="n"/>
      <c r="F62" s="3815" t="n"/>
      <c r="G62" s="3795" t="n"/>
      <c r="H62" s="3795" t="n"/>
      <c r="I62" s="3796" t="n"/>
      <c r="J62" s="3723" t="n"/>
      <c r="K62" s="3815" t="n"/>
      <c r="L62" s="3815" t="n"/>
      <c r="M62" s="3795" t="n"/>
      <c r="N62" s="3795" t="n"/>
      <c r="O62" s="3796" t="n"/>
      <c r="P62" s="3723" t="n"/>
      <c r="Q62" s="3815" t="n"/>
      <c r="R62" s="3815" t="n"/>
      <c r="S62" s="3795" t="n"/>
      <c r="T62" s="3795" t="n"/>
      <c r="U62" s="3795" t="n"/>
      <c r="V62" s="3723" t="n"/>
      <c r="W62" s="3815" t="n"/>
      <c r="X62" s="3815" t="n"/>
      <c r="Y62" s="3795" t="n"/>
      <c r="Z62" s="3795" t="n"/>
      <c r="AA62" s="3795" t="n"/>
      <c r="AB62" s="3723" t="n"/>
      <c r="AC62" s="3815" t="n"/>
      <c r="AD62" s="3815" t="n"/>
      <c r="AE62" s="3795" t="n"/>
      <c r="AF62" s="3795" t="n"/>
      <c r="AG62" s="3795" t="n"/>
      <c r="AH62" s="3723" t="n"/>
      <c r="AI62" s="3813" t="n"/>
    </row>
    <row r="63" hidden="1" outlineLevel="1" collapsed="1" ht="12" customHeight="1" s="3710">
      <c r="B63" s="3770" t="n"/>
      <c r="C63" s="3787" t="n"/>
      <c r="D63" s="3788">
        <f>D60+1</f>
        <v/>
      </c>
      <c r="E63" s="3806" t="n"/>
      <c r="F63" s="3806" t="n"/>
      <c r="G63" s="3807" t="n"/>
      <c r="H63" s="3807" t="n"/>
      <c r="I63" s="3785" t="n"/>
      <c r="J63" s="3723" t="n"/>
      <c r="K63" s="3806" t="n"/>
      <c r="L63" s="3806" t="n"/>
      <c r="M63" s="3807" t="n"/>
      <c r="N63" s="3807" t="n"/>
      <c r="O63" s="3785" t="n"/>
      <c r="P63" s="3723" t="n"/>
      <c r="Q63" s="3806" t="n"/>
      <c r="R63" s="3806" t="n"/>
      <c r="S63" s="3807" t="n"/>
      <c r="T63" s="3807" t="n"/>
      <c r="U63" s="3807" t="n"/>
      <c r="V63" s="3723" t="n"/>
      <c r="W63" s="3806" t="n"/>
      <c r="X63" s="3806" t="n"/>
      <c r="Y63" s="3807" t="n"/>
      <c r="Z63" s="3807" t="n"/>
      <c r="AA63" s="3807" t="n"/>
      <c r="AB63" s="3723" t="n"/>
      <c r="AC63" s="3806" t="n"/>
      <c r="AD63" s="3806" t="n"/>
      <c r="AE63" s="3807" t="n"/>
      <c r="AF63" s="3807" t="n"/>
      <c r="AG63" s="3807" t="n"/>
      <c r="AH63" s="3723" t="n"/>
      <c r="AI63" s="3808" t="n"/>
    </row>
    <row r="64" hidden="1" outlineLevel="1" ht="12" customHeight="1" s="3710">
      <c r="B64" s="3770" t="n"/>
      <c r="C64" s="3781" t="n"/>
      <c r="D64" s="3782">
        <f>D63+1</f>
        <v/>
      </c>
      <c r="E64" s="3841" t="n"/>
      <c r="F64" s="3841" t="n"/>
      <c r="G64" s="3784" t="n"/>
      <c r="H64" s="3784" t="n"/>
      <c r="I64" s="3785" t="n"/>
      <c r="J64" s="3723" t="n"/>
      <c r="K64" s="3841" t="n"/>
      <c r="L64" s="3841" t="n"/>
      <c r="M64" s="3784" t="n"/>
      <c r="N64" s="3784" t="n"/>
      <c r="O64" s="3785" t="n"/>
      <c r="P64" s="3723" t="n"/>
      <c r="Q64" s="3841" t="n"/>
      <c r="R64" s="3841" t="n"/>
      <c r="S64" s="3784" t="n"/>
      <c r="T64" s="3784" t="n"/>
      <c r="U64" s="3784" t="n"/>
      <c r="V64" s="3723" t="n"/>
      <c r="W64" s="3841" t="n"/>
      <c r="X64" s="3841" t="n"/>
      <c r="Y64" s="3784" t="n"/>
      <c r="Z64" s="3784" t="n"/>
      <c r="AA64" s="3784" t="n"/>
      <c r="AB64" s="3723" t="n"/>
      <c r="AC64" s="3841" t="n"/>
      <c r="AD64" s="3841" t="n"/>
      <c r="AE64" s="3784" t="n"/>
      <c r="AF64" s="3784" t="n"/>
      <c r="AG64" s="3784" t="n"/>
      <c r="AH64" s="3723" t="n"/>
      <c r="AI64" s="3808" t="n"/>
    </row>
    <row r="65" hidden="1" outlineLevel="2" ht="12" customHeight="1" s="3710">
      <c r="B65" s="3770" t="n"/>
      <c r="C65" s="3840" t="inlineStr">
        <is>
          <t>Canada emergency wage subsidy</t>
        </is>
      </c>
      <c r="D65" s="3782" t="inlineStr">
        <is>
          <t>a</t>
        </is>
      </c>
      <c r="E65" s="3841" t="n"/>
      <c r="F65" s="3841" t="n"/>
      <c r="G65" s="3784" t="n"/>
      <c r="H65" s="3784" t="n"/>
      <c r="I65" s="3785" t="n"/>
      <c r="J65" s="3723" t="n"/>
      <c r="K65" s="3841" t="n"/>
      <c r="L65" s="3841" t="n"/>
      <c r="M65" s="3784" t="n"/>
      <c r="N65" s="3784" t="n"/>
      <c r="O65" s="3785" t="n"/>
      <c r="P65" s="3723" t="n"/>
      <c r="Q65" s="3841" t="n"/>
      <c r="R65" s="3841" t="n"/>
      <c r="S65" s="3784" t="n"/>
      <c r="T65" s="3784" t="n"/>
      <c r="U65" s="3784" t="n"/>
      <c r="V65" s="3723" t="n"/>
      <c r="W65" s="3841" t="n"/>
      <c r="X65" s="3841" t="n"/>
      <c r="Y65" s="3784" t="n"/>
      <c r="Z65" s="3784" t="n"/>
      <c r="AA65" s="3784" t="n"/>
      <c r="AB65" s="3723" t="n"/>
      <c r="AC65" s="3841" t="n"/>
      <c r="AD65" s="3841" t="n"/>
      <c r="AE65" s="3784" t="n"/>
      <c r="AF65" s="3784" t="n"/>
      <c r="AG65" s="3784" t="n"/>
      <c r="AH65" s="3723" t="n"/>
      <c r="AI65" s="3843" t="n"/>
    </row>
    <row r="66" hidden="1" outlineLevel="2" ht="12" customHeight="1" s="3710">
      <c r="B66" s="3770" t="n"/>
      <c r="C66" s="3814" t="inlineStr">
        <is>
          <t>Canada emergency rent subsidy</t>
        </is>
      </c>
      <c r="D66" s="3782" t="inlineStr">
        <is>
          <t>b</t>
        </is>
      </c>
      <c r="E66" s="3815" t="n"/>
      <c r="F66" s="3815" t="n"/>
      <c r="G66" s="3795" t="n"/>
      <c r="H66" s="3795" t="n"/>
      <c r="I66" s="3796" t="n"/>
      <c r="J66" s="3723" t="n"/>
      <c r="K66" s="3815" t="n"/>
      <c r="L66" s="3815" t="n"/>
      <c r="M66" s="3795" t="n"/>
      <c r="N66" s="3795" t="n"/>
      <c r="O66" s="3796" t="n"/>
      <c r="P66" s="3723" t="n"/>
      <c r="Q66" s="3815" t="n"/>
      <c r="R66" s="3815" t="n"/>
      <c r="S66" s="3795" t="n"/>
      <c r="T66" s="3795" t="n"/>
      <c r="U66" s="3795" t="n"/>
      <c r="V66" s="3723" t="n"/>
      <c r="W66" s="3815" t="n"/>
      <c r="X66" s="3815" t="n"/>
      <c r="Y66" s="3795" t="n"/>
      <c r="Z66" s="3795" t="n"/>
      <c r="AA66" s="3795" t="n"/>
      <c r="AB66" s="3723" t="n"/>
      <c r="AC66" s="3815" t="n"/>
      <c r="AD66" s="3815" t="n"/>
      <c r="AE66" s="3795" t="n"/>
      <c r="AF66" s="3795" t="n"/>
      <c r="AG66" s="3795" t="n"/>
      <c r="AH66" s="3723" t="n"/>
      <c r="AI66" s="3844" t="n"/>
    </row>
    <row r="67" hidden="1" outlineLevel="1" collapsed="1" ht="12" customHeight="1" s="3710">
      <c r="B67" s="3770" t="n"/>
      <c r="C67" s="3792" t="n"/>
      <c r="D67" s="3845">
        <f>D64+1</f>
        <v/>
      </c>
      <c r="E67" s="3815" t="n"/>
      <c r="F67" s="3815" t="n"/>
      <c r="G67" s="3795" t="n"/>
      <c r="H67" s="3795" t="n"/>
      <c r="I67" s="3796" t="n"/>
      <c r="J67" s="3723" t="n"/>
      <c r="K67" s="3815" t="n"/>
      <c r="L67" s="3815" t="n"/>
      <c r="M67" s="3795" t="n"/>
      <c r="N67" s="3795" t="n"/>
      <c r="O67" s="3796" t="n"/>
      <c r="P67" s="3723" t="n"/>
      <c r="Q67" s="3815" t="n"/>
      <c r="R67" s="3815" t="n"/>
      <c r="S67" s="3795" t="n"/>
      <c r="T67" s="3795" t="n"/>
      <c r="U67" s="3795" t="n"/>
      <c r="V67" s="3723" t="n"/>
      <c r="W67" s="3815" t="n"/>
      <c r="X67" s="3815" t="n"/>
      <c r="Y67" s="3795" t="n"/>
      <c r="Z67" s="3795" t="n"/>
      <c r="AA67" s="3795" t="n"/>
      <c r="AB67" s="3723" t="n"/>
      <c r="AC67" s="3815" t="n"/>
      <c r="AD67" s="3815" t="n"/>
      <c r="AE67" s="3795" t="n"/>
      <c r="AF67" s="3795" t="n"/>
      <c r="AG67" s="3795" t="n"/>
      <c r="AH67" s="3723" t="n"/>
      <c r="AI67" s="3843" t="n"/>
    </row>
    <row r="68" ht="12" customHeight="1" s="3710">
      <c r="B68" s="3770" t="n"/>
      <c r="C68" s="3846" t="inlineStr">
        <is>
          <t>Due diligence adjustments</t>
        </is>
      </c>
      <c r="D68" s="3847" t="n"/>
      <c r="E68" s="3794" t="n"/>
      <c r="F68" s="3794" t="n"/>
      <c r="G68" s="3795" t="n"/>
      <c r="H68" s="3795" t="n"/>
      <c r="I68" s="3796" t="n"/>
      <c r="J68" s="3848" t="n"/>
      <c r="K68" s="3794" t="n"/>
      <c r="L68" s="3794" t="n"/>
      <c r="M68" s="3795" t="n"/>
      <c r="N68" s="3795" t="n"/>
      <c r="O68" s="3796" t="n"/>
      <c r="P68" s="3848" t="n"/>
      <c r="Q68" s="3794" t="n"/>
      <c r="R68" s="3794" t="n"/>
      <c r="S68" s="3795" t="n"/>
      <c r="T68" s="3795" t="n"/>
      <c r="U68" s="3795" t="n"/>
      <c r="V68" s="3848" t="n"/>
      <c r="W68" s="3794" t="n"/>
      <c r="X68" s="3794" t="n"/>
      <c r="Y68" s="3795" t="n"/>
      <c r="Z68" s="3795" t="n"/>
      <c r="AA68" s="3795" t="n"/>
      <c r="AB68" s="3848" t="n"/>
      <c r="AC68" s="3794" t="n"/>
      <c r="AD68" s="3794" t="n"/>
      <c r="AE68" s="3795" t="n"/>
      <c r="AF68" s="3795" t="n"/>
      <c r="AG68" s="3795" t="n"/>
      <c r="AH68" s="3848" t="n"/>
      <c r="AI68" s="3799" t="n"/>
    </row>
    <row r="69" ht="12" customHeight="1" s="3710">
      <c r="B69" s="3770" t="n"/>
      <c r="C69" s="3849" t="inlineStr">
        <is>
          <t>EBITDA, due diligence adjusted</t>
        </is>
      </c>
      <c r="D69" s="3849" t="n"/>
      <c r="E69" s="3850" t="n"/>
      <c r="F69" s="3850" t="n"/>
      <c r="G69" s="3836" t="n"/>
      <c r="H69" s="3836" t="n"/>
      <c r="I69" s="3836" t="n"/>
      <c r="J69" s="3723" t="n"/>
      <c r="K69" s="3850" t="n"/>
      <c r="L69" s="3850" t="n"/>
      <c r="M69" s="3836" t="n"/>
      <c r="N69" s="3836" t="n"/>
      <c r="O69" s="3836" t="n"/>
      <c r="P69" s="3723" t="n"/>
      <c r="Q69" s="3850" t="n"/>
      <c r="R69" s="3850" t="n"/>
      <c r="S69" s="3836" t="n"/>
      <c r="T69" s="3836" t="n"/>
      <c r="U69" s="3836" t="n"/>
      <c r="V69" s="3723" t="n"/>
      <c r="W69" s="3850" t="n"/>
      <c r="X69" s="3850" t="n"/>
      <c r="Y69" s="3836" t="n"/>
      <c r="Z69" s="3836" t="n"/>
      <c r="AA69" s="3836" t="n"/>
      <c r="AB69" s="3723" t="n"/>
      <c r="AC69" s="3850" t="n"/>
      <c r="AD69" s="3850" t="n"/>
      <c r="AE69" s="3836" t="n"/>
      <c r="AF69" s="3836" t="n"/>
      <c r="AG69" s="3836" t="n"/>
      <c r="AH69" s="3723" t="n"/>
      <c r="AI69" s="3804" t="n"/>
    </row>
    <row r="70" hidden="1" outlineLevel="1" ht="12" customFormat="1" customHeight="1" s="3851">
      <c r="A70" s="3852" t="n"/>
      <c r="B70" s="3853" t="n"/>
      <c r="C70" s="3854" t="inlineStr">
        <is>
          <t>Pro forma adjustments</t>
        </is>
      </c>
      <c r="D70" s="3854" t="n"/>
      <c r="E70" s="3783" t="n"/>
      <c r="F70" s="3783" t="n"/>
      <c r="G70" s="3783" t="n"/>
      <c r="H70" s="3783" t="n"/>
      <c r="I70" s="3855" t="n"/>
      <c r="J70" s="3733" t="n"/>
      <c r="K70" s="3783" t="n"/>
      <c r="L70" s="3783" t="n"/>
      <c r="M70" s="3783" t="n"/>
      <c r="N70" s="3783" t="n"/>
      <c r="O70" s="3855" t="n"/>
      <c r="P70" s="3733" t="n"/>
      <c r="Q70" s="3783" t="n"/>
      <c r="R70" s="3783" t="n"/>
      <c r="S70" s="3783" t="n"/>
      <c r="T70" s="3783" t="n"/>
      <c r="U70" s="3783" t="n"/>
      <c r="V70" s="3733" t="n"/>
      <c r="W70" s="3783" t="n"/>
      <c r="X70" s="3783" t="n"/>
      <c r="Y70" s="3783" t="n"/>
      <c r="Z70" s="3783" t="n"/>
      <c r="AA70" s="3783" t="n"/>
      <c r="AB70" s="3733" t="n"/>
      <c r="AC70" s="3783" t="n"/>
      <c r="AD70" s="3783" t="n"/>
      <c r="AE70" s="3783" t="n"/>
      <c r="AF70" s="3783" t="n"/>
      <c r="AG70" s="3783" t="n"/>
      <c r="AH70" s="3733" t="n"/>
      <c r="AI70" s="3816" t="n"/>
      <c r="AJ70" s="3856" t="n"/>
    </row>
    <row r="71" hidden="1" outlineLevel="2" ht="12" customFormat="1" customHeight="1" s="3851">
      <c r="A71" s="3852" t="n"/>
      <c r="B71" s="3853" t="n"/>
      <c r="C71" s="3857" t="n"/>
      <c r="D71" s="3858" t="inlineStr">
        <is>
          <t>a</t>
        </is>
      </c>
      <c r="E71" s="3806" t="n"/>
      <c r="F71" s="3806" t="n"/>
      <c r="G71" s="3855" t="n"/>
      <c r="H71" s="3855" t="n"/>
      <c r="I71" s="3859" t="n"/>
      <c r="J71" s="3733" t="n"/>
      <c r="K71" s="3806" t="n"/>
      <c r="L71" s="3806" t="n"/>
      <c r="M71" s="3855" t="n"/>
      <c r="N71" s="3855" t="n"/>
      <c r="O71" s="3859" t="n"/>
      <c r="P71" s="3733" t="n"/>
      <c r="Q71" s="3806" t="n"/>
      <c r="R71" s="3806" t="n"/>
      <c r="S71" s="3855" t="n"/>
      <c r="T71" s="3855" t="n"/>
      <c r="U71" s="3855" t="n"/>
      <c r="V71" s="3733" t="n"/>
      <c r="W71" s="3806" t="n"/>
      <c r="X71" s="3806" t="n"/>
      <c r="Y71" s="3855" t="n"/>
      <c r="Z71" s="3855" t="n"/>
      <c r="AA71" s="3855" t="n"/>
      <c r="AB71" s="3733" t="n"/>
      <c r="AC71" s="3806" t="n"/>
      <c r="AD71" s="3806" t="n"/>
      <c r="AE71" s="3855" t="n"/>
      <c r="AF71" s="3855" t="n"/>
      <c r="AG71" s="3855" t="n"/>
      <c r="AH71" s="3733" t="n"/>
      <c r="AI71" s="3808" t="n"/>
      <c r="AJ71" s="3856" t="n"/>
    </row>
    <row r="72" hidden="1" outlineLevel="2" ht="12" customFormat="1" customHeight="1" s="3851">
      <c r="A72" s="3852" t="n"/>
      <c r="B72" s="3853" t="n"/>
      <c r="C72" s="3860" t="n"/>
      <c r="D72" s="3858" t="inlineStr">
        <is>
          <t>b</t>
        </is>
      </c>
      <c r="E72" s="3810" t="n"/>
      <c r="F72" s="3810" t="n"/>
      <c r="G72" s="3861" t="n"/>
      <c r="H72" s="3861" t="n"/>
      <c r="I72" s="3862" t="n"/>
      <c r="J72" s="3733" t="n"/>
      <c r="K72" s="3810" t="n"/>
      <c r="L72" s="3810" t="n"/>
      <c r="M72" s="3861" t="n"/>
      <c r="N72" s="3861" t="n"/>
      <c r="O72" s="3862" t="n"/>
      <c r="P72" s="3733" t="n"/>
      <c r="Q72" s="3810" t="n"/>
      <c r="R72" s="3810" t="n"/>
      <c r="S72" s="3861" t="n"/>
      <c r="T72" s="3861" t="n"/>
      <c r="U72" s="3861" t="n"/>
      <c r="V72" s="3733" t="n"/>
      <c r="W72" s="3810" t="n"/>
      <c r="X72" s="3810" t="n"/>
      <c r="Y72" s="3861" t="n"/>
      <c r="Z72" s="3861" t="n"/>
      <c r="AA72" s="3861" t="n"/>
      <c r="AB72" s="3733" t="n"/>
      <c r="AC72" s="3810" t="n"/>
      <c r="AD72" s="3810" t="n"/>
      <c r="AE72" s="3861" t="n"/>
      <c r="AF72" s="3861" t="n"/>
      <c r="AG72" s="3861" t="n"/>
      <c r="AH72" s="3733" t="n"/>
      <c r="AI72" s="3808" t="n"/>
      <c r="AJ72" s="3856" t="n"/>
    </row>
    <row r="73" hidden="1" outlineLevel="1" collapsed="1" ht="12" customFormat="1" customHeight="1" s="3851">
      <c r="A73" s="3852" t="n"/>
      <c r="B73" s="3853" t="n"/>
      <c r="C73" s="3863" t="inlineStr">
        <is>
          <t>Net new/lost customers</t>
        </is>
      </c>
      <c r="D73" s="3864">
        <f>D67+1</f>
        <v/>
      </c>
      <c r="E73" s="3806" t="n"/>
      <c r="F73" s="3806" t="n"/>
      <c r="G73" s="3855" t="n"/>
      <c r="H73" s="3855" t="n"/>
      <c r="I73" s="3859" t="n"/>
      <c r="J73" s="3733" t="n"/>
      <c r="K73" s="3806" t="n"/>
      <c r="L73" s="3806" t="n"/>
      <c r="M73" s="3855" t="n"/>
      <c r="N73" s="3855" t="n"/>
      <c r="O73" s="3859" t="n"/>
      <c r="P73" s="3733" t="n"/>
      <c r="Q73" s="3806" t="n"/>
      <c r="R73" s="3806" t="n"/>
      <c r="S73" s="3855" t="n"/>
      <c r="T73" s="3855" t="n"/>
      <c r="U73" s="3855" t="n"/>
      <c r="V73" s="3733" t="n"/>
      <c r="W73" s="3806" t="n"/>
      <c r="X73" s="3806" t="n"/>
      <c r="Y73" s="3855" t="n"/>
      <c r="Z73" s="3855" t="n"/>
      <c r="AA73" s="3855" t="n"/>
      <c r="AB73" s="3733" t="n"/>
      <c r="AC73" s="3806" t="n"/>
      <c r="AD73" s="3806" t="n"/>
      <c r="AE73" s="3855" t="n"/>
      <c r="AF73" s="3855" t="n"/>
      <c r="AG73" s="3855" t="n"/>
      <c r="AH73" s="3733" t="n"/>
      <c r="AI73" s="3808" t="n"/>
      <c r="AJ73" s="3856" t="n"/>
    </row>
    <row r="74" hidden="1" outlineLevel="2" ht="12" customFormat="1" customHeight="1" s="3851">
      <c r="A74" s="3852" t="n"/>
      <c r="B74" s="3853" t="n"/>
      <c r="C74" s="3857" t="n"/>
      <c r="D74" s="3864" t="inlineStr">
        <is>
          <t>a</t>
        </is>
      </c>
      <c r="E74" s="3806" t="n"/>
      <c r="F74" s="3806" t="n"/>
      <c r="G74" s="3855" t="n"/>
      <c r="H74" s="3855" t="n"/>
      <c r="I74" s="3859" t="n"/>
      <c r="J74" s="3733" t="n"/>
      <c r="K74" s="3806" t="n"/>
      <c r="L74" s="3806" t="n"/>
      <c r="M74" s="3855" t="n"/>
      <c r="N74" s="3855" t="n"/>
      <c r="O74" s="3859" t="n"/>
      <c r="P74" s="3733" t="n"/>
      <c r="Q74" s="3806" t="n"/>
      <c r="R74" s="3806" t="n"/>
      <c r="S74" s="3855" t="n"/>
      <c r="T74" s="3855" t="n"/>
      <c r="U74" s="3855" t="n"/>
      <c r="V74" s="3733" t="n"/>
      <c r="W74" s="3806" t="n"/>
      <c r="X74" s="3806" t="n"/>
      <c r="Y74" s="3855" t="n"/>
      <c r="Z74" s="3855" t="n"/>
      <c r="AA74" s="3855" t="n"/>
      <c r="AB74" s="3733" t="n"/>
      <c r="AC74" s="3806" t="n"/>
      <c r="AD74" s="3806" t="n"/>
      <c r="AE74" s="3855" t="n"/>
      <c r="AF74" s="3855" t="n"/>
      <c r="AG74" s="3855" t="n"/>
      <c r="AH74" s="3733" t="n"/>
      <c r="AI74" s="3808" t="n"/>
      <c r="AJ74" s="3856" t="n"/>
    </row>
    <row r="75" hidden="1" outlineLevel="2" ht="12" customFormat="1" customHeight="1" s="3851">
      <c r="A75" s="3852" t="n"/>
      <c r="B75" s="3853" t="n"/>
      <c r="C75" s="3857" t="n"/>
      <c r="D75" s="3864" t="inlineStr">
        <is>
          <t>b</t>
        </is>
      </c>
      <c r="E75" s="3806" t="n"/>
      <c r="F75" s="3806" t="n"/>
      <c r="G75" s="3855" t="n"/>
      <c r="H75" s="3855" t="n"/>
      <c r="I75" s="3859" t="n"/>
      <c r="J75" s="3733" t="n"/>
      <c r="K75" s="3806" t="n"/>
      <c r="L75" s="3806" t="n"/>
      <c r="M75" s="3855" t="n"/>
      <c r="N75" s="3855" t="n"/>
      <c r="O75" s="3859" t="n"/>
      <c r="P75" s="3733" t="n"/>
      <c r="Q75" s="3806" t="n"/>
      <c r="R75" s="3806" t="n"/>
      <c r="S75" s="3855" t="n"/>
      <c r="T75" s="3855" t="n"/>
      <c r="U75" s="3855" t="n"/>
      <c r="V75" s="3733" t="n"/>
      <c r="W75" s="3806" t="n"/>
      <c r="X75" s="3806" t="n"/>
      <c r="Y75" s="3855" t="n"/>
      <c r="Z75" s="3855" t="n"/>
      <c r="AA75" s="3855" t="n"/>
      <c r="AB75" s="3733" t="n"/>
      <c r="AC75" s="3806" t="n"/>
      <c r="AD75" s="3806" t="n"/>
      <c r="AE75" s="3855" t="n"/>
      <c r="AF75" s="3855" t="n"/>
      <c r="AG75" s="3855" t="n"/>
      <c r="AH75" s="3733" t="n"/>
      <c r="AI75" s="3808" t="n"/>
      <c r="AJ75" s="3856" t="n"/>
    </row>
    <row r="76" hidden="1" outlineLevel="2" ht="12" customFormat="1" customHeight="1" s="3851">
      <c r="A76" s="3852" t="n"/>
      <c r="B76" s="3853" t="n"/>
      <c r="C76" s="3857" t="n"/>
      <c r="D76" s="3864" t="inlineStr">
        <is>
          <t>c</t>
        </is>
      </c>
      <c r="E76" s="3806" t="n"/>
      <c r="F76" s="3806" t="n"/>
      <c r="G76" s="3855" t="n"/>
      <c r="H76" s="3855" t="n"/>
      <c r="I76" s="3859" t="n"/>
      <c r="J76" s="3733" t="n"/>
      <c r="K76" s="3806" t="n"/>
      <c r="L76" s="3806" t="n"/>
      <c r="M76" s="3855" t="n"/>
      <c r="N76" s="3855" t="n"/>
      <c r="O76" s="3859" t="n"/>
      <c r="P76" s="3733" t="n"/>
      <c r="Q76" s="3806" t="n"/>
      <c r="R76" s="3806" t="n"/>
      <c r="S76" s="3855" t="n"/>
      <c r="T76" s="3855" t="n"/>
      <c r="U76" s="3855" t="n"/>
      <c r="V76" s="3733" t="n"/>
      <c r="W76" s="3806" t="n"/>
      <c r="X76" s="3806" t="n"/>
      <c r="Y76" s="3855" t="n"/>
      <c r="Z76" s="3855" t="n"/>
      <c r="AA76" s="3855" t="n"/>
      <c r="AB76" s="3733" t="n"/>
      <c r="AC76" s="3806" t="n"/>
      <c r="AD76" s="3806" t="n"/>
      <c r="AE76" s="3855" t="n"/>
      <c r="AF76" s="3855" t="n"/>
      <c r="AG76" s="3855" t="n"/>
      <c r="AH76" s="3733" t="n"/>
      <c r="AI76" s="3808" t="n"/>
      <c r="AJ76" s="3856" t="n"/>
    </row>
    <row r="77" hidden="1" outlineLevel="2" ht="12" customFormat="1" customHeight="1" s="3851">
      <c r="A77" s="3852" t="n"/>
      <c r="B77" s="3853" t="n"/>
      <c r="C77" s="3857" t="n"/>
      <c r="D77" s="3864" t="inlineStr">
        <is>
          <t>d</t>
        </is>
      </c>
      <c r="E77" s="3806" t="n"/>
      <c r="F77" s="3806" t="n"/>
      <c r="G77" s="3855" t="n"/>
      <c r="H77" s="3855" t="n"/>
      <c r="I77" s="3859" t="n"/>
      <c r="J77" s="3733" t="n"/>
      <c r="K77" s="3806" t="n"/>
      <c r="L77" s="3806" t="n"/>
      <c r="M77" s="3855" t="n"/>
      <c r="N77" s="3855" t="n"/>
      <c r="O77" s="3859" t="n"/>
      <c r="P77" s="3733" t="n"/>
      <c r="Q77" s="3806" t="n"/>
      <c r="R77" s="3806" t="n"/>
      <c r="S77" s="3855" t="n"/>
      <c r="T77" s="3855" t="n"/>
      <c r="U77" s="3855" t="n"/>
      <c r="V77" s="3733" t="n"/>
      <c r="W77" s="3806" t="n"/>
      <c r="X77" s="3806" t="n"/>
      <c r="Y77" s="3855" t="n"/>
      <c r="Z77" s="3855" t="n"/>
      <c r="AA77" s="3855" t="n"/>
      <c r="AB77" s="3733" t="n"/>
      <c r="AC77" s="3806" t="n"/>
      <c r="AD77" s="3806" t="n"/>
      <c r="AE77" s="3855" t="n"/>
      <c r="AF77" s="3855" t="n"/>
      <c r="AG77" s="3855" t="n"/>
      <c r="AH77" s="3733" t="n"/>
      <c r="AI77" s="3808" t="n"/>
      <c r="AJ77" s="3856" t="n"/>
    </row>
    <row r="78" hidden="1" outlineLevel="2" ht="12" customFormat="1" customHeight="1" s="3851">
      <c r="A78" s="3852" t="n"/>
      <c r="B78" s="3853" t="n"/>
      <c r="C78" s="3857" t="n"/>
      <c r="D78" s="3864" t="inlineStr">
        <is>
          <t>e</t>
        </is>
      </c>
      <c r="E78" s="3806" t="n"/>
      <c r="F78" s="3806" t="n"/>
      <c r="G78" s="3855" t="n"/>
      <c r="H78" s="3855" t="n"/>
      <c r="I78" s="3859" t="n"/>
      <c r="J78" s="3733" t="n"/>
      <c r="K78" s="3806" t="n"/>
      <c r="L78" s="3806" t="n"/>
      <c r="M78" s="3855" t="n"/>
      <c r="N78" s="3855" t="n"/>
      <c r="O78" s="3859" t="n"/>
      <c r="P78" s="3733" t="n"/>
      <c r="Q78" s="3806" t="n"/>
      <c r="R78" s="3806" t="n"/>
      <c r="S78" s="3855" t="n"/>
      <c r="T78" s="3855" t="n"/>
      <c r="U78" s="3855" t="n"/>
      <c r="V78" s="3733" t="n"/>
      <c r="W78" s="3806" t="n"/>
      <c r="X78" s="3806" t="n"/>
      <c r="Y78" s="3855" t="n"/>
      <c r="Z78" s="3855" t="n"/>
      <c r="AA78" s="3855" t="n"/>
      <c r="AB78" s="3733" t="n"/>
      <c r="AC78" s="3806" t="n"/>
      <c r="AD78" s="3806" t="n"/>
      <c r="AE78" s="3855" t="n"/>
      <c r="AF78" s="3855" t="n"/>
      <c r="AG78" s="3855" t="n"/>
      <c r="AH78" s="3733" t="n"/>
      <c r="AI78" s="3865" t="n"/>
      <c r="AJ78" s="3856" t="n"/>
    </row>
    <row r="79" hidden="1" outlineLevel="2" ht="12" customFormat="1" customHeight="1" s="3851">
      <c r="A79" s="3852" t="n"/>
      <c r="B79" s="3853" t="n"/>
      <c r="C79" s="3857" t="n"/>
      <c r="D79" s="3864" t="inlineStr">
        <is>
          <t>f</t>
        </is>
      </c>
      <c r="E79" s="3841" t="n"/>
      <c r="F79" s="3841" t="n"/>
      <c r="G79" s="3783" t="n"/>
      <c r="H79" s="3783" t="n"/>
      <c r="I79" s="3859" t="n"/>
      <c r="J79" s="3733" t="n"/>
      <c r="K79" s="3841" t="n"/>
      <c r="L79" s="3841" t="n"/>
      <c r="M79" s="3783" t="n"/>
      <c r="N79" s="3783" t="n"/>
      <c r="O79" s="3859" t="n"/>
      <c r="P79" s="3733" t="n"/>
      <c r="Q79" s="3841" t="n"/>
      <c r="R79" s="3841" t="n"/>
      <c r="S79" s="3783" t="n"/>
      <c r="T79" s="3783" t="n"/>
      <c r="U79" s="3783" t="n"/>
      <c r="V79" s="3733" t="n"/>
      <c r="W79" s="3841" t="n"/>
      <c r="X79" s="3841" t="n"/>
      <c r="Y79" s="3783" t="n"/>
      <c r="Z79" s="3783" t="n"/>
      <c r="AA79" s="3783" t="n"/>
      <c r="AB79" s="3733" t="n"/>
      <c r="AC79" s="3841" t="n"/>
      <c r="AD79" s="3841" t="n"/>
      <c r="AE79" s="3783" t="n"/>
      <c r="AF79" s="3783" t="n"/>
      <c r="AG79" s="3783" t="n"/>
      <c r="AH79" s="3733" t="n"/>
      <c r="AI79" s="3808" t="n"/>
      <c r="AJ79" s="3856" t="n"/>
    </row>
    <row r="80" hidden="1" outlineLevel="2" ht="12" customFormat="1" customHeight="1" s="3851">
      <c r="A80" s="3852" t="n"/>
      <c r="B80" s="3853" t="n"/>
      <c r="C80" s="3857" t="n"/>
      <c r="D80" s="3864" t="inlineStr">
        <is>
          <t>g</t>
        </is>
      </c>
      <c r="E80" s="3806" t="n"/>
      <c r="F80" s="3806" t="n"/>
      <c r="G80" s="3855" t="n"/>
      <c r="H80" s="3855" t="n"/>
      <c r="I80" s="3859" t="n"/>
      <c r="J80" s="3733" t="n"/>
      <c r="K80" s="3806" t="n"/>
      <c r="L80" s="3806" t="n"/>
      <c r="M80" s="3855" t="n"/>
      <c r="N80" s="3855" t="n"/>
      <c r="O80" s="3859" t="n"/>
      <c r="P80" s="3733" t="n"/>
      <c r="Q80" s="3806" t="n"/>
      <c r="R80" s="3806" t="n"/>
      <c r="S80" s="3855" t="n"/>
      <c r="T80" s="3855" t="n"/>
      <c r="U80" s="3855" t="n"/>
      <c r="V80" s="3733" t="n"/>
      <c r="W80" s="3806" t="n"/>
      <c r="X80" s="3806" t="n"/>
      <c r="Y80" s="3855" t="n"/>
      <c r="Z80" s="3855" t="n"/>
      <c r="AA80" s="3855" t="n"/>
      <c r="AB80" s="3733" t="n"/>
      <c r="AC80" s="3806" t="n"/>
      <c r="AD80" s="3806" t="n"/>
      <c r="AE80" s="3855" t="n"/>
      <c r="AF80" s="3855" t="n"/>
      <c r="AG80" s="3855" t="n"/>
      <c r="AH80" s="3733" t="n"/>
      <c r="AI80" s="3808" t="n"/>
      <c r="AJ80" s="3856" t="n"/>
    </row>
    <row r="81" hidden="1" outlineLevel="2" ht="12" customFormat="1" customHeight="1" s="3851">
      <c r="A81" s="3852" t="n"/>
      <c r="B81" s="3853" t="n"/>
      <c r="C81" s="3857" t="n"/>
      <c r="D81" s="3864" t="inlineStr">
        <is>
          <t>h</t>
        </is>
      </c>
      <c r="E81" s="3806" t="n"/>
      <c r="F81" s="3806" t="n"/>
      <c r="G81" s="3855" t="n"/>
      <c r="H81" s="3855" t="n"/>
      <c r="I81" s="3859" t="n"/>
      <c r="J81" s="3733" t="n"/>
      <c r="K81" s="3806" t="n"/>
      <c r="L81" s="3806" t="n"/>
      <c r="M81" s="3855" t="n"/>
      <c r="N81" s="3855" t="n"/>
      <c r="O81" s="3859" t="n"/>
      <c r="P81" s="3733" t="n"/>
      <c r="Q81" s="3806" t="n"/>
      <c r="R81" s="3806" t="n"/>
      <c r="S81" s="3855" t="n"/>
      <c r="T81" s="3855" t="n"/>
      <c r="U81" s="3855" t="n"/>
      <c r="V81" s="3733" t="n"/>
      <c r="W81" s="3806" t="n"/>
      <c r="X81" s="3806" t="n"/>
      <c r="Y81" s="3855" t="n"/>
      <c r="Z81" s="3855" t="n"/>
      <c r="AA81" s="3855" t="n"/>
      <c r="AB81" s="3733" t="n"/>
      <c r="AC81" s="3806" t="n"/>
      <c r="AD81" s="3806" t="n"/>
      <c r="AE81" s="3855" t="n"/>
      <c r="AF81" s="3855" t="n"/>
      <c r="AG81" s="3855" t="n"/>
      <c r="AH81" s="3733" t="n"/>
      <c r="AI81" s="3865" t="n"/>
      <c r="AJ81" s="3856" t="n"/>
    </row>
    <row r="82" hidden="1" outlineLevel="2" ht="12" customFormat="1" customHeight="1" s="3851">
      <c r="A82" s="3852" t="n"/>
      <c r="B82" s="3853" t="n"/>
      <c r="C82" s="3857" t="n"/>
      <c r="D82" s="3864" t="inlineStr">
        <is>
          <t>i</t>
        </is>
      </c>
      <c r="E82" s="3806" t="n"/>
      <c r="F82" s="3806" t="n"/>
      <c r="G82" s="3855" t="n"/>
      <c r="H82" s="3855" t="n"/>
      <c r="I82" s="3859" t="n"/>
      <c r="J82" s="3733" t="n"/>
      <c r="K82" s="3806" t="n"/>
      <c r="L82" s="3806" t="n"/>
      <c r="M82" s="3855" t="n"/>
      <c r="N82" s="3855" t="n"/>
      <c r="O82" s="3859" t="n"/>
      <c r="P82" s="3733" t="n"/>
      <c r="Q82" s="3806" t="n"/>
      <c r="R82" s="3806" t="n"/>
      <c r="S82" s="3855" t="n"/>
      <c r="T82" s="3855" t="n"/>
      <c r="U82" s="3855" t="n"/>
      <c r="V82" s="3733" t="n"/>
      <c r="W82" s="3806" t="n"/>
      <c r="X82" s="3806" t="n"/>
      <c r="Y82" s="3855" t="n"/>
      <c r="Z82" s="3855" t="n"/>
      <c r="AA82" s="3855" t="n"/>
      <c r="AB82" s="3733" t="n"/>
      <c r="AC82" s="3806" t="n"/>
      <c r="AD82" s="3806" t="n"/>
      <c r="AE82" s="3855" t="n"/>
      <c r="AF82" s="3855" t="n"/>
      <c r="AG82" s="3855" t="n"/>
      <c r="AH82" s="3733" t="n"/>
      <c r="AI82" s="3865" t="n"/>
      <c r="AJ82" s="3856" t="n"/>
    </row>
    <row r="83" hidden="1" outlineLevel="2" ht="12" customFormat="1" customHeight="1" s="3851">
      <c r="A83" s="3852" t="n"/>
      <c r="B83" s="3853" t="n"/>
      <c r="C83" s="3860" t="n"/>
      <c r="D83" s="3864" t="inlineStr">
        <is>
          <t>j</t>
        </is>
      </c>
      <c r="E83" s="3810" t="n"/>
      <c r="F83" s="3810" t="n"/>
      <c r="G83" s="3861" t="n"/>
      <c r="H83" s="3861" t="n"/>
      <c r="I83" s="3862" t="n"/>
      <c r="J83" s="3733" t="n"/>
      <c r="K83" s="3810" t="n"/>
      <c r="L83" s="3810" t="n"/>
      <c r="M83" s="3861" t="n"/>
      <c r="N83" s="3861" t="n"/>
      <c r="O83" s="3862" t="n"/>
      <c r="P83" s="3733" t="n"/>
      <c r="Q83" s="3810" t="n"/>
      <c r="R83" s="3810" t="n"/>
      <c r="S83" s="3861" t="n"/>
      <c r="T83" s="3861" t="n"/>
      <c r="U83" s="3861" t="n"/>
      <c r="V83" s="3733" t="n"/>
      <c r="W83" s="3810" t="n"/>
      <c r="X83" s="3810" t="n"/>
      <c r="Y83" s="3861" t="n"/>
      <c r="Z83" s="3861" t="n"/>
      <c r="AA83" s="3861" t="n"/>
      <c r="AB83" s="3733" t="n"/>
      <c r="AC83" s="3810" t="n"/>
      <c r="AD83" s="3810" t="n"/>
      <c r="AE83" s="3861" t="n"/>
      <c r="AF83" s="3861" t="n"/>
      <c r="AG83" s="3861" t="n"/>
      <c r="AH83" s="3733" t="n"/>
      <c r="AI83" s="3865" t="n"/>
      <c r="AJ83" s="3856" t="n"/>
    </row>
    <row r="84" hidden="1" outlineLevel="1" collapsed="1" ht="12" customFormat="1" customHeight="1" s="3851">
      <c r="A84" s="3852" t="n"/>
      <c r="B84" s="3853" t="n"/>
      <c r="C84" s="3863" t="inlineStr">
        <is>
          <t>Credit union MSA</t>
        </is>
      </c>
      <c r="D84" s="3866">
        <f>+D73+1</f>
        <v/>
      </c>
      <c r="E84" s="3806" t="n"/>
      <c r="F84" s="3806" t="n"/>
      <c r="G84" s="3855" t="n"/>
      <c r="H84" s="3855" t="n"/>
      <c r="I84" s="3859" t="n"/>
      <c r="J84" s="3733" t="n"/>
      <c r="K84" s="3806" t="n"/>
      <c r="L84" s="3806" t="n"/>
      <c r="M84" s="3855" t="n"/>
      <c r="N84" s="3855" t="n"/>
      <c r="O84" s="3859" t="n"/>
      <c r="P84" s="3733" t="n"/>
      <c r="Q84" s="3806" t="n"/>
      <c r="R84" s="3806" t="n"/>
      <c r="S84" s="3855" t="n"/>
      <c r="T84" s="3855" t="n"/>
      <c r="U84" s="3855" t="n"/>
      <c r="V84" s="3733" t="n"/>
      <c r="W84" s="3806" t="n"/>
      <c r="X84" s="3806" t="n"/>
      <c r="Y84" s="3855" t="n"/>
      <c r="Z84" s="3855" t="n"/>
      <c r="AA84" s="3855" t="n"/>
      <c r="AB84" s="3733" t="n"/>
      <c r="AC84" s="3806" t="n"/>
      <c r="AD84" s="3806" t="n"/>
      <c r="AE84" s="3855" t="n"/>
      <c r="AF84" s="3855" t="n"/>
      <c r="AG84" s="3855" t="n"/>
      <c r="AH84" s="3733" t="n"/>
      <c r="AI84" s="3808" t="n"/>
      <c r="AJ84" s="3856" t="n"/>
    </row>
    <row r="85" hidden="1" outlineLevel="1" ht="12" customFormat="1" customHeight="1" s="3851">
      <c r="A85" s="3852" t="n"/>
      <c r="B85" s="3853" t="n"/>
      <c r="C85" s="3863" t="n"/>
      <c r="D85" s="3858">
        <f>+D84+1</f>
        <v/>
      </c>
      <c r="E85" s="3806" t="n"/>
      <c r="F85" s="3806" t="n"/>
      <c r="G85" s="3855" t="n"/>
      <c r="H85" s="3855" t="n"/>
      <c r="I85" s="3859" t="n"/>
      <c r="J85" s="3733" t="n"/>
      <c r="K85" s="3806" t="n"/>
      <c r="L85" s="3806" t="n"/>
      <c r="M85" s="3855" t="n"/>
      <c r="N85" s="3855" t="n"/>
      <c r="O85" s="3859" t="n"/>
      <c r="P85" s="3733" t="n"/>
      <c r="Q85" s="3806" t="n"/>
      <c r="R85" s="3806" t="n"/>
      <c r="S85" s="3855" t="n"/>
      <c r="T85" s="3855" t="n"/>
      <c r="U85" s="3855" t="n"/>
      <c r="V85" s="3733" t="n"/>
      <c r="W85" s="3806" t="n"/>
      <c r="X85" s="3806" t="n"/>
      <c r="Y85" s="3855" t="n"/>
      <c r="Z85" s="3855" t="n"/>
      <c r="AA85" s="3855" t="n"/>
      <c r="AB85" s="3733" t="n"/>
      <c r="AC85" s="3806" t="n"/>
      <c r="AD85" s="3806" t="n"/>
      <c r="AE85" s="3855" t="n"/>
      <c r="AF85" s="3855" t="n"/>
      <c r="AG85" s="3855" t="n"/>
      <c r="AH85" s="3733" t="n"/>
      <c r="AI85" s="3808" t="n"/>
      <c r="AJ85" s="3856" t="n"/>
    </row>
    <row r="86" hidden="1" outlineLevel="1" ht="12" customHeight="1" s="3710">
      <c r="B86" s="3770" t="n"/>
      <c r="C86" s="3787" t="n"/>
      <c r="D86" s="3782">
        <f>D85+1</f>
        <v/>
      </c>
      <c r="E86" s="3806" t="n"/>
      <c r="F86" s="3806" t="n"/>
      <c r="G86" s="3807" t="n"/>
      <c r="H86" s="3807" t="n"/>
      <c r="I86" s="3785" t="n"/>
      <c r="J86" s="3723" t="n"/>
      <c r="K86" s="3806" t="n"/>
      <c r="L86" s="3806" t="n"/>
      <c r="M86" s="3807" t="n"/>
      <c r="N86" s="3807" t="n"/>
      <c r="O86" s="3785" t="n"/>
      <c r="P86" s="3723" t="n"/>
      <c r="Q86" s="3806" t="n"/>
      <c r="R86" s="3806" t="n"/>
      <c r="S86" s="3807" t="n"/>
      <c r="T86" s="3807" t="n"/>
      <c r="U86" s="3807" t="n"/>
      <c r="V86" s="3723" t="n"/>
      <c r="W86" s="3806" t="n"/>
      <c r="X86" s="3806" t="n"/>
      <c r="Y86" s="3807" t="n"/>
      <c r="Z86" s="3807" t="n"/>
      <c r="AA86" s="3807" t="n"/>
      <c r="AB86" s="3723" t="n"/>
      <c r="AC86" s="3806" t="n"/>
      <c r="AD86" s="3806" t="n"/>
      <c r="AE86" s="3807" t="n"/>
      <c r="AF86" s="3807" t="n"/>
      <c r="AG86" s="3807" t="n"/>
      <c r="AH86" s="3723" t="n"/>
      <c r="AI86" s="3808" t="n"/>
    </row>
    <row r="87" hidden="1" outlineLevel="1" ht="12" customFormat="1" customHeight="1" s="3851">
      <c r="A87" s="3852" t="n"/>
      <c r="B87" s="3853" t="n"/>
      <c r="C87" s="3863" t="n"/>
      <c r="D87" s="3864">
        <f>D86+1</f>
        <v/>
      </c>
      <c r="E87" s="3806" t="n"/>
      <c r="F87" s="3806" t="n"/>
      <c r="G87" s="3855" t="n"/>
      <c r="H87" s="3855" t="n"/>
      <c r="I87" s="3859" t="n"/>
      <c r="J87" s="3733" t="n"/>
      <c r="K87" s="3806" t="n"/>
      <c r="L87" s="3806" t="n"/>
      <c r="M87" s="3855" t="n"/>
      <c r="N87" s="3855" t="n"/>
      <c r="O87" s="3859" t="n"/>
      <c r="P87" s="3733" t="n"/>
      <c r="Q87" s="3806" t="n"/>
      <c r="R87" s="3806" t="n"/>
      <c r="S87" s="3855" t="n"/>
      <c r="T87" s="3855" t="n"/>
      <c r="U87" s="3855" t="n"/>
      <c r="V87" s="3733" t="n"/>
      <c r="W87" s="3806" t="n"/>
      <c r="X87" s="3806" t="n"/>
      <c r="Y87" s="3855" t="n"/>
      <c r="Z87" s="3855" t="n"/>
      <c r="AA87" s="3855" t="n"/>
      <c r="AB87" s="3733" t="n"/>
      <c r="AC87" s="3806" t="n"/>
      <c r="AD87" s="3806" t="n"/>
      <c r="AE87" s="3855" t="n"/>
      <c r="AF87" s="3855" t="n"/>
      <c r="AG87" s="3855" t="n"/>
      <c r="AH87" s="3733" t="n"/>
      <c r="AI87" s="3818" t="n"/>
      <c r="AJ87" s="3856" t="n"/>
    </row>
    <row r="88" hidden="1" outlineLevel="1" ht="11.25" customFormat="1" customHeight="1" s="3851">
      <c r="A88" s="3852" t="n"/>
      <c r="B88" s="3853" t="n"/>
      <c r="C88" s="3863" t="n"/>
      <c r="D88" s="3864">
        <f>+D87+1</f>
        <v/>
      </c>
      <c r="E88" s="3806" t="n"/>
      <c r="F88" s="3806" t="n"/>
      <c r="G88" s="3855" t="n"/>
      <c r="H88" s="3855" t="n"/>
      <c r="I88" s="3859" t="n"/>
      <c r="J88" s="3733" t="n"/>
      <c r="K88" s="3806" t="n"/>
      <c r="L88" s="3806" t="n"/>
      <c r="M88" s="3855" t="n"/>
      <c r="N88" s="3855" t="n"/>
      <c r="O88" s="3859" t="n"/>
      <c r="P88" s="3733" t="n"/>
      <c r="Q88" s="3806" t="n"/>
      <c r="R88" s="3806" t="n"/>
      <c r="S88" s="3855" t="n"/>
      <c r="T88" s="3855" t="n"/>
      <c r="U88" s="3855" t="n"/>
      <c r="V88" s="3733" t="n"/>
      <c r="W88" s="3806" t="n"/>
      <c r="X88" s="3806" t="n"/>
      <c r="Y88" s="3855" t="n"/>
      <c r="Z88" s="3855" t="n"/>
      <c r="AA88" s="3855" t="n"/>
      <c r="AB88" s="3733" t="n"/>
      <c r="AC88" s="3806" t="n"/>
      <c r="AD88" s="3806" t="n"/>
      <c r="AE88" s="3855" t="n"/>
      <c r="AF88" s="3855" t="n"/>
      <c r="AG88" s="3855" t="n"/>
      <c r="AH88" s="3733" t="n"/>
      <c r="AI88" s="3818" t="n"/>
      <c r="AJ88" s="3856" t="n"/>
    </row>
    <row r="89" hidden="1" outlineLevel="1" ht="12" customFormat="1" customHeight="1" s="3851">
      <c r="A89" s="3852" t="n"/>
      <c r="B89" s="3853" t="n"/>
      <c r="C89" s="3863" t="inlineStr">
        <is>
          <t>New products, cards</t>
        </is>
      </c>
      <c r="D89" s="3867">
        <f>+D88+1</f>
        <v/>
      </c>
      <c r="E89" s="3806" t="n"/>
      <c r="F89" s="3806" t="n"/>
      <c r="G89" s="3855" t="n"/>
      <c r="H89" s="3855" t="n"/>
      <c r="I89" s="3859" t="n"/>
      <c r="J89" s="3733" t="n"/>
      <c r="K89" s="3806" t="n"/>
      <c r="L89" s="3806" t="n"/>
      <c r="M89" s="3855" t="n"/>
      <c r="N89" s="3855" t="n"/>
      <c r="O89" s="3859" t="n"/>
      <c r="P89" s="3733" t="n"/>
      <c r="Q89" s="3806" t="n"/>
      <c r="R89" s="3806" t="n"/>
      <c r="S89" s="3855" t="n"/>
      <c r="T89" s="3855" t="n"/>
      <c r="U89" s="3855" t="n"/>
      <c r="V89" s="3733" t="n"/>
      <c r="W89" s="3806" t="n"/>
      <c r="X89" s="3806" t="n"/>
      <c r="Y89" s="3855" t="n"/>
      <c r="Z89" s="3855" t="n"/>
      <c r="AA89" s="3855" t="n"/>
      <c r="AB89" s="3733" t="n"/>
      <c r="AC89" s="3806" t="n"/>
      <c r="AD89" s="3806" t="n"/>
      <c r="AE89" s="3855" t="n"/>
      <c r="AF89" s="3855" t="n"/>
      <c r="AG89" s="3855" t="n"/>
      <c r="AH89" s="3733" t="n"/>
      <c r="AI89" s="3818" t="n"/>
      <c r="AJ89" s="3856" t="n"/>
    </row>
    <row r="90" hidden="1" outlineLevel="1" ht="12" customFormat="1" customHeight="1" s="3851">
      <c r="A90" s="3852" t="n"/>
      <c r="B90" s="3853" t="n"/>
      <c r="C90" s="3863" t="inlineStr">
        <is>
          <t>New products, fraud management</t>
        </is>
      </c>
      <c r="D90" s="3858">
        <f>+D89+1</f>
        <v/>
      </c>
      <c r="E90" s="3806" t="n"/>
      <c r="F90" s="3806" t="n"/>
      <c r="G90" s="3855" t="n"/>
      <c r="H90" s="3855" t="n"/>
      <c r="I90" s="3859" t="n"/>
      <c r="J90" s="3733" t="n"/>
      <c r="K90" s="3806" t="n"/>
      <c r="L90" s="3806" t="n"/>
      <c r="M90" s="3855" t="n"/>
      <c r="N90" s="3855" t="n"/>
      <c r="O90" s="3859" t="n"/>
      <c r="P90" s="3733" t="n"/>
      <c r="Q90" s="3806" t="n"/>
      <c r="R90" s="3806" t="n"/>
      <c r="S90" s="3855" t="n"/>
      <c r="T90" s="3855" t="n"/>
      <c r="U90" s="3855" t="n"/>
      <c r="V90" s="3733" t="n"/>
      <c r="W90" s="3806" t="n"/>
      <c r="X90" s="3806" t="n"/>
      <c r="Y90" s="3855" t="n"/>
      <c r="Z90" s="3855" t="n"/>
      <c r="AA90" s="3855" t="n"/>
      <c r="AB90" s="3733" t="n"/>
      <c r="AC90" s="3806" t="n"/>
      <c r="AD90" s="3806" t="n"/>
      <c r="AE90" s="3855" t="n"/>
      <c r="AF90" s="3855" t="n"/>
      <c r="AG90" s="3855" t="n"/>
      <c r="AH90" s="3733" t="n"/>
      <c r="AI90" s="3818" t="n"/>
      <c r="AJ90" s="3856" t="n"/>
    </row>
    <row r="91" hidden="1" outlineLevel="1" ht="12" customFormat="1" customHeight="1" s="3851">
      <c r="A91" s="3852" t="n"/>
      <c r="B91" s="3853" t="n"/>
      <c r="C91" s="3863" t="n"/>
      <c r="D91" s="3864">
        <f>D90+1</f>
        <v/>
      </c>
      <c r="E91" s="3806" t="n"/>
      <c r="F91" s="3806" t="n"/>
      <c r="G91" s="3855" t="n"/>
      <c r="H91" s="3855" t="n"/>
      <c r="I91" s="3859" t="n"/>
      <c r="J91" s="3733" t="n"/>
      <c r="K91" s="3806" t="n"/>
      <c r="L91" s="3806" t="n"/>
      <c r="M91" s="3855" t="n"/>
      <c r="N91" s="3855" t="n"/>
      <c r="O91" s="3859" t="n"/>
      <c r="P91" s="3733" t="n"/>
      <c r="Q91" s="3806" t="n"/>
      <c r="R91" s="3806" t="n"/>
      <c r="S91" s="3855" t="n"/>
      <c r="T91" s="3855" t="n"/>
      <c r="U91" s="3855" t="n"/>
      <c r="V91" s="3733" t="n"/>
      <c r="W91" s="3806" t="n"/>
      <c r="X91" s="3806" t="n"/>
      <c r="Y91" s="3855" t="n"/>
      <c r="Z91" s="3855" t="n"/>
      <c r="AA91" s="3855" t="n"/>
      <c r="AB91" s="3733" t="n"/>
      <c r="AC91" s="3806" t="n"/>
      <c r="AD91" s="3806" t="n"/>
      <c r="AE91" s="3855" t="n"/>
      <c r="AF91" s="3855" t="n"/>
      <c r="AG91" s="3855" t="n"/>
      <c r="AH91" s="3733" t="n"/>
      <c r="AI91" s="3808" t="n"/>
      <c r="AJ91" s="3856" t="n"/>
    </row>
    <row r="92" hidden="1" outlineLevel="1" ht="12" customFormat="1" customHeight="1" s="3851">
      <c r="A92" s="3852" t="n"/>
      <c r="B92" s="3853" t="n"/>
      <c r="C92" s="3868" t="n"/>
      <c r="D92" s="3864">
        <f>D91+1</f>
        <v/>
      </c>
      <c r="E92" s="3841" t="n"/>
      <c r="F92" s="3841" t="n"/>
      <c r="G92" s="3783" t="n"/>
      <c r="H92" s="3783" t="n"/>
      <c r="I92" s="3859" t="n"/>
      <c r="J92" s="3733" t="n"/>
      <c r="K92" s="3841" t="n"/>
      <c r="L92" s="3841" t="n"/>
      <c r="M92" s="3783" t="n"/>
      <c r="N92" s="3783" t="n"/>
      <c r="O92" s="3859" t="n"/>
      <c r="P92" s="3733" t="n"/>
      <c r="Q92" s="3841" t="n"/>
      <c r="R92" s="3841" t="n"/>
      <c r="S92" s="3783" t="n"/>
      <c r="T92" s="3783" t="n"/>
      <c r="U92" s="3783" t="n"/>
      <c r="V92" s="3733" t="n"/>
      <c r="W92" s="3841" t="n"/>
      <c r="X92" s="3841" t="n"/>
      <c r="Y92" s="3783" t="n"/>
      <c r="Z92" s="3783" t="n"/>
      <c r="AA92" s="3783" t="n"/>
      <c r="AB92" s="3733" t="n"/>
      <c r="AC92" s="3841" t="n"/>
      <c r="AD92" s="3841" t="n"/>
      <c r="AE92" s="3783" t="n"/>
      <c r="AF92" s="3783" t="n"/>
      <c r="AG92" s="3783" t="n"/>
      <c r="AH92" s="3733" t="n"/>
      <c r="AI92" s="3842" t="n"/>
      <c r="AJ92" s="3856" t="n"/>
    </row>
    <row r="93" hidden="1" outlineLevel="1" ht="12" customFormat="1" customHeight="1" s="3851">
      <c r="A93" s="3852" t="n"/>
      <c r="B93" s="3853" t="n"/>
      <c r="C93" s="3869" t="n"/>
      <c r="D93" s="3870">
        <f>D92+1</f>
        <v/>
      </c>
      <c r="E93" s="3810" t="n"/>
      <c r="F93" s="3810" t="n"/>
      <c r="G93" s="3861" t="n"/>
      <c r="H93" s="3861" t="n"/>
      <c r="I93" s="3862" t="n"/>
      <c r="J93" s="3733" t="n"/>
      <c r="K93" s="3810" t="n"/>
      <c r="L93" s="3810" t="n"/>
      <c r="M93" s="3861" t="n"/>
      <c r="N93" s="3861" t="n"/>
      <c r="O93" s="3862" t="n"/>
      <c r="P93" s="3733" t="n"/>
      <c r="Q93" s="3810" t="n"/>
      <c r="R93" s="3810" t="n"/>
      <c r="S93" s="3861" t="n"/>
      <c r="T93" s="3861" t="n"/>
      <c r="U93" s="3861" t="n"/>
      <c r="V93" s="3733" t="n"/>
      <c r="W93" s="3810" t="n"/>
      <c r="X93" s="3810" t="n"/>
      <c r="Y93" s="3861" t="n"/>
      <c r="Z93" s="3861" t="n"/>
      <c r="AA93" s="3861" t="n"/>
      <c r="AB93" s="3733" t="n"/>
      <c r="AC93" s="3810" t="n"/>
      <c r="AD93" s="3810" t="n"/>
      <c r="AE93" s="3861" t="n"/>
      <c r="AF93" s="3861" t="n"/>
      <c r="AG93" s="3861" t="n"/>
      <c r="AH93" s="3733" t="n"/>
      <c r="AI93" s="3816" t="n"/>
      <c r="AJ93" s="3856" t="n"/>
    </row>
    <row r="94" ht="12" customHeight="1" s="3710">
      <c r="B94" s="3770" t="n"/>
      <c r="C94" s="3846" t="inlineStr">
        <is>
          <t>Pro forma adjustments</t>
        </is>
      </c>
      <c r="D94" s="3847" t="n"/>
      <c r="E94" s="3794" t="n"/>
      <c r="F94" s="3794" t="n"/>
      <c r="G94" s="3795" t="n"/>
      <c r="H94" s="3795" t="n"/>
      <c r="I94" s="3796" t="n"/>
      <c r="J94" s="3848" t="n"/>
      <c r="K94" s="3794" t="n"/>
      <c r="L94" s="3794" t="n"/>
      <c r="M94" s="3795" t="n"/>
      <c r="N94" s="3795" t="n"/>
      <c r="O94" s="3796" t="n"/>
      <c r="P94" s="3848" t="n"/>
      <c r="Q94" s="3794" t="n"/>
      <c r="R94" s="3794" t="n"/>
      <c r="S94" s="3795" t="n"/>
      <c r="T94" s="3795" t="n"/>
      <c r="U94" s="3795" t="n"/>
      <c r="V94" s="3848" t="n"/>
      <c r="W94" s="3794" t="n"/>
      <c r="X94" s="3794" t="n"/>
      <c r="Y94" s="3795" t="n"/>
      <c r="Z94" s="3795" t="n"/>
      <c r="AA94" s="3795" t="n"/>
      <c r="AB94" s="3848" t="n"/>
      <c r="AC94" s="3794" t="n"/>
      <c r="AD94" s="3794" t="n"/>
      <c r="AE94" s="3795" t="n"/>
      <c r="AF94" s="3795" t="n"/>
      <c r="AG94" s="3795" t="n"/>
      <c r="AH94" s="3848" t="n"/>
      <c r="AI94" s="3799" t="n"/>
    </row>
    <row r="95" ht="12" customHeight="1" s="3710">
      <c r="B95" s="3770" t="n"/>
      <c r="C95" s="3849" t="inlineStr">
        <is>
          <t>EBITDA, pro forma adjusted</t>
        </is>
      </c>
      <c r="D95" s="3849" t="n"/>
      <c r="E95" s="3850" t="n"/>
      <c r="F95" s="3850" t="n"/>
      <c r="G95" s="3836" t="n"/>
      <c r="H95" s="3836" t="n"/>
      <c r="I95" s="3836" t="n"/>
      <c r="J95" s="3871" t="n"/>
      <c r="K95" s="3850" t="n"/>
      <c r="L95" s="3850" t="n"/>
      <c r="M95" s="3836" t="n"/>
      <c r="N95" s="3836" t="n"/>
      <c r="O95" s="3836" t="n"/>
      <c r="P95" s="3871" t="n"/>
      <c r="Q95" s="3850" t="n"/>
      <c r="R95" s="3850" t="n"/>
      <c r="S95" s="3836" t="n"/>
      <c r="T95" s="3836" t="n"/>
      <c r="U95" s="3836" t="n"/>
      <c r="V95" s="3871" t="n"/>
      <c r="W95" s="3850" t="n"/>
      <c r="X95" s="3850" t="n"/>
      <c r="Y95" s="3836" t="n"/>
      <c r="Z95" s="3836" t="n"/>
      <c r="AA95" s="3836" t="n"/>
      <c r="AB95" s="3871" t="n"/>
      <c r="AC95" s="3850" t="n"/>
      <c r="AD95" s="3850" t="n"/>
      <c r="AE95" s="3836" t="n"/>
      <c r="AF95" s="3836" t="n"/>
      <c r="AG95" s="3836" t="n"/>
      <c r="AH95" s="3871" t="n"/>
      <c r="AI95" s="3804" t="n"/>
    </row>
    <row r="96" ht="12" customHeight="1" s="3710">
      <c r="B96" s="3770" t="n"/>
      <c r="C96" s="3872" t="inlineStr">
        <is>
          <t>EBITDA margin, pro forma adjusted</t>
        </is>
      </c>
      <c r="D96" s="3873" t="n"/>
      <c r="E96" s="3874" t="n"/>
      <c r="F96" s="3874" t="n"/>
      <c r="G96" s="3875" t="n"/>
      <c r="H96" s="3875" t="n"/>
      <c r="I96" s="3875" t="n"/>
      <c r="J96" s="3723" t="n"/>
      <c r="K96" s="3874" t="n"/>
      <c r="L96" s="3874" t="n"/>
      <c r="M96" s="3875" t="n"/>
      <c r="N96" s="3875" t="n"/>
      <c r="O96" s="3875" t="n"/>
      <c r="P96" s="3723" t="n"/>
      <c r="Q96" s="3874" t="n"/>
      <c r="R96" s="3874" t="n"/>
      <c r="S96" s="3875" t="n"/>
      <c r="T96" s="3875" t="n"/>
      <c r="U96" s="3875" t="n"/>
      <c r="V96" s="3723" t="n"/>
      <c r="W96" s="3874" t="n"/>
      <c r="X96" s="3874" t="n"/>
      <c r="Y96" s="3875" t="n"/>
      <c r="Z96" s="3875" t="n"/>
      <c r="AA96" s="3875" t="n"/>
      <c r="AB96" s="3723" t="n"/>
      <c r="AC96" s="3874" t="n"/>
      <c r="AD96" s="3874" t="n"/>
      <c r="AE96" s="3875" t="n"/>
      <c r="AF96" s="3875" t="n"/>
      <c r="AG96" s="3875" t="n"/>
      <c r="AH96" s="3723" t="n"/>
      <c r="AI96" s="3876" t="n"/>
    </row>
    <row r="97" ht="11.25" customHeight="1" s="3710">
      <c r="B97" s="3770" t="n"/>
      <c r="C97" s="3877" t="n"/>
      <c r="D97" s="3877" t="n"/>
      <c r="E97" s="3877" t="n"/>
      <c r="F97" s="3877" t="n"/>
      <c r="G97" s="3877" t="n"/>
      <c r="H97" s="3877" t="n"/>
      <c r="I97" s="3877" t="n"/>
      <c r="J97" s="3723" t="n"/>
      <c r="K97" s="3877" t="n"/>
      <c r="L97" s="3877" t="n"/>
      <c r="M97" s="3877" t="n"/>
      <c r="N97" s="3877" t="n"/>
      <c r="O97" s="3877" t="n"/>
      <c r="P97" s="3723" t="n"/>
      <c r="Q97" s="3877" t="n"/>
      <c r="R97" s="3877" t="n"/>
      <c r="S97" s="3877" t="n"/>
      <c r="T97" s="3877" t="n"/>
      <c r="U97" s="3877" t="n"/>
      <c r="V97" s="3723" t="n"/>
      <c r="W97" s="3877" t="n"/>
      <c r="X97" s="3877" t="n"/>
      <c r="Y97" s="3877" t="n"/>
      <c r="Z97" s="3877" t="n"/>
      <c r="AA97" s="3877" t="n"/>
      <c r="AB97" s="3723" t="n"/>
      <c r="AC97" s="3877" t="n"/>
      <c r="AD97" s="3877" t="n"/>
      <c r="AE97" s="3877" t="n"/>
      <c r="AF97" s="3877" t="n"/>
      <c r="AG97" s="3877" t="n"/>
      <c r="AH97" s="3723" t="n"/>
      <c r="AI97" s="3878" t="n"/>
    </row>
    <row r="98" ht="12" customHeight="1" s="3710">
      <c r="B98" s="3770" t="n"/>
      <c r="C98" s="3879" t="inlineStr">
        <is>
          <t>Key performance indicators</t>
        </is>
      </c>
      <c r="D98" s="3877" t="n"/>
      <c r="E98" s="3877" t="n"/>
      <c r="F98" s="3877" t="n"/>
      <c r="G98" s="3877" t="n"/>
      <c r="H98" s="3877" t="n"/>
      <c r="I98" s="3877" t="n"/>
      <c r="J98" s="3723" t="n"/>
      <c r="K98" s="3877" t="n"/>
      <c r="L98" s="3877" t="n"/>
      <c r="M98" s="3877" t="n"/>
      <c r="N98" s="3877" t="n"/>
      <c r="O98" s="3877" t="n"/>
      <c r="P98" s="3723" t="n"/>
      <c r="Q98" s="3877" t="n"/>
      <c r="R98" s="3877" t="n"/>
      <c r="S98" s="3877" t="n"/>
      <c r="T98" s="3877" t="n"/>
      <c r="U98" s="3877" t="n"/>
      <c r="V98" s="3723" t="n"/>
      <c r="W98" s="3877" t="n"/>
      <c r="X98" s="3877" t="n"/>
      <c r="Y98" s="3877" t="n"/>
      <c r="Z98" s="3877" t="n"/>
      <c r="AA98" s="3877" t="n"/>
      <c r="AB98" s="3723" t="n"/>
      <c r="AC98" s="3877" t="n"/>
      <c r="AD98" s="3877" t="n"/>
      <c r="AE98" s="3877" t="n"/>
      <c r="AF98" s="3877" t="n"/>
      <c r="AG98" s="3877" t="n"/>
      <c r="AH98" s="3723" t="n"/>
      <c r="AI98" s="3878" t="n"/>
    </row>
    <row r="99" ht="11.25" customFormat="1" customHeight="1" s="3819">
      <c r="A99" s="3820" t="n"/>
      <c r="B99" s="3880" t="n"/>
      <c r="C99" s="3881" t="inlineStr">
        <is>
          <t>EBITDA margin, due diligence adjusted</t>
        </is>
      </c>
      <c r="D99" s="3882" t="n"/>
      <c r="E99" s="3883" t="n"/>
      <c r="F99" s="3883" t="n"/>
      <c r="G99" s="3883" t="n"/>
      <c r="H99" s="3883" t="n"/>
      <c r="I99" s="3883" t="n"/>
      <c r="J99" s="3827" t="n"/>
      <c r="K99" s="3883" t="n"/>
      <c r="L99" s="3883" t="n"/>
      <c r="M99" s="3883" t="n"/>
      <c r="N99" s="3883" t="n"/>
      <c r="O99" s="3883" t="n"/>
      <c r="P99" s="3827" t="n"/>
      <c r="Q99" s="3883" t="n"/>
      <c r="R99" s="3883" t="n"/>
      <c r="S99" s="3883" t="n"/>
      <c r="T99" s="3883" t="n"/>
      <c r="U99" s="3883" t="n"/>
      <c r="V99" s="3827" t="n"/>
      <c r="W99" s="3883" t="n"/>
      <c r="X99" s="3883" t="n"/>
      <c r="Y99" s="3883" t="n"/>
      <c r="Z99" s="3883" t="n"/>
      <c r="AA99" s="3883" t="n"/>
      <c r="AB99" s="3827" t="n"/>
      <c r="AC99" s="3883" t="n"/>
      <c r="AD99" s="3883" t="n"/>
      <c r="AE99" s="3883" t="n"/>
      <c r="AF99" s="3883" t="n"/>
      <c r="AG99" s="3883" t="n"/>
      <c r="AH99" s="3827" t="n"/>
      <c r="AI99" s="3884" t="n"/>
      <c r="AJ99" s="3742" t="n"/>
    </row>
    <row r="100" ht="11.25" customHeight="1" s="3710">
      <c r="B100" s="3770" t="n"/>
      <c r="C100" s="3877" t="n"/>
      <c r="D100" s="3877" t="n"/>
      <c r="E100" s="3877" t="n"/>
      <c r="F100" s="3877" t="n"/>
      <c r="G100" s="3877" t="n"/>
      <c r="H100" s="3877" t="n"/>
      <c r="I100" s="3877" t="n"/>
      <c r="J100" s="3723" t="n"/>
      <c r="K100" s="3877" t="n"/>
      <c r="L100" s="3877" t="n"/>
      <c r="M100" s="3877" t="n"/>
      <c r="N100" s="3877" t="n"/>
      <c r="O100" s="3877" t="n"/>
      <c r="P100" s="3723" t="n"/>
      <c r="Q100" s="3877" t="n"/>
      <c r="R100" s="3877" t="n"/>
      <c r="S100" s="3877" t="n"/>
      <c r="T100" s="3877" t="n"/>
      <c r="U100" s="3877" t="n"/>
      <c r="V100" s="3723" t="n"/>
      <c r="W100" s="3877" t="n"/>
      <c r="X100" s="3877" t="n"/>
      <c r="Y100" s="3877" t="n"/>
      <c r="Z100" s="3877" t="n"/>
      <c r="AA100" s="3877" t="n"/>
      <c r="AB100" s="3723" t="n"/>
      <c r="AC100" s="3877" t="n"/>
      <c r="AD100" s="3877" t="n"/>
      <c r="AE100" s="3877" t="n"/>
      <c r="AF100" s="3877" t="n"/>
      <c r="AG100" s="3877" t="n"/>
      <c r="AH100" s="3723" t="n"/>
      <c r="AI100" s="3878" t="n"/>
    </row>
    <row r="101" hidden="1" outlineLevel="1" ht="11.25" customHeight="1" s="3710">
      <c r="B101" s="3770" t="n"/>
      <c r="C101" s="3882" t="inlineStr">
        <is>
          <t>Source-  QofE | Detail tab</t>
        </is>
      </c>
      <c r="D101" s="3877" t="n"/>
      <c r="E101" s="3885" t="n"/>
      <c r="F101" s="3885" t="n"/>
      <c r="G101" s="3885" t="n"/>
      <c r="H101" s="3885" t="n"/>
      <c r="I101" s="3885" t="n"/>
      <c r="J101" s="3723" t="n"/>
      <c r="K101" s="3885" t="n"/>
      <c r="L101" s="3885" t="n"/>
      <c r="M101" s="3885" t="n"/>
      <c r="N101" s="3885" t="n"/>
      <c r="O101" s="3885" t="n"/>
      <c r="P101" s="3723" t="n"/>
      <c r="Q101" s="3885" t="n"/>
      <c r="R101" s="3885" t="n"/>
      <c r="S101" s="3885" t="n"/>
      <c r="T101" s="3885" t="n"/>
      <c r="U101" s="3885" t="n"/>
      <c r="V101" s="3723" t="n"/>
      <c r="W101" s="3885" t="n"/>
      <c r="X101" s="3885" t="n"/>
      <c r="Y101" s="3885" t="n"/>
      <c r="Z101" s="3885" t="n"/>
      <c r="AA101" s="3885" t="n"/>
      <c r="AB101" s="3723" t="n"/>
      <c r="AC101" s="3885" t="n"/>
      <c r="AD101" s="3885" t="n"/>
      <c r="AE101" s="3885" t="n"/>
      <c r="AF101" s="3885" t="n"/>
      <c r="AG101" s="3885" t="n"/>
      <c r="AH101" s="3723" t="n"/>
      <c r="AI101" s="3878" t="n"/>
    </row>
    <row r="102" hidden="1" outlineLevel="1" ht="11.25" customHeight="1" s="3710">
      <c r="B102" s="3770" t="n"/>
      <c r="C102" s="3882" t="inlineStr">
        <is>
          <t>Check</t>
        </is>
      </c>
      <c r="D102" s="3877" t="n"/>
      <c r="E102" s="3885" t="n"/>
      <c r="F102" s="3885" t="n"/>
      <c r="G102" s="3885" t="n"/>
      <c r="H102" s="3885" t="n"/>
      <c r="I102" s="3885" t="n"/>
      <c r="J102" s="3723" t="n"/>
      <c r="K102" s="3885" t="n"/>
      <c r="L102" s="3885" t="n"/>
      <c r="M102" s="3885" t="n"/>
      <c r="N102" s="3885" t="n"/>
      <c r="O102" s="3885" t="n"/>
      <c r="P102" s="3723" t="n"/>
      <c r="Q102" s="3885" t="n"/>
      <c r="R102" s="3885" t="n"/>
      <c r="S102" s="3885" t="n"/>
      <c r="T102" s="3885" t="n"/>
      <c r="U102" s="3885" t="n"/>
      <c r="V102" s="3723" t="n"/>
      <c r="W102" s="3885" t="n"/>
      <c r="X102" s="3885" t="n"/>
      <c r="Y102" s="3885" t="n"/>
      <c r="Z102" s="3885" t="n"/>
      <c r="AA102" s="3885" t="n"/>
      <c r="AB102" s="3723" t="n"/>
      <c r="AC102" s="3885">
        <f>AC101-AC95</f>
        <v/>
      </c>
      <c r="AD102" s="3885">
        <f>AD101-AD95</f>
        <v/>
      </c>
      <c r="AE102" s="3885">
        <f>AE101-AE95</f>
        <v/>
      </c>
      <c r="AF102" s="3885">
        <f>AF101-AF95</f>
        <v/>
      </c>
      <c r="AG102" s="3885">
        <f>AG101-AG95</f>
        <v/>
      </c>
      <c r="AH102" s="3723" t="n"/>
      <c r="AI102" s="3878" t="n"/>
    </row>
    <row r="103" hidden="1" outlineLevel="1" ht="11.25" customHeight="1" s="3710">
      <c r="B103" s="3770" t="n"/>
      <c r="C103" s="3882" t="n"/>
      <c r="D103" s="3877" t="n"/>
      <c r="E103" s="3885" t="n"/>
      <c r="F103" s="3885" t="n"/>
      <c r="G103" s="3885" t="n"/>
      <c r="H103" s="3885" t="n"/>
      <c r="I103" s="3885" t="n"/>
      <c r="J103" s="3723" t="n"/>
      <c r="K103" s="3885" t="n"/>
      <c r="L103" s="3885" t="n"/>
      <c r="M103" s="3885" t="n"/>
      <c r="N103" s="3885" t="n"/>
      <c r="O103" s="3885" t="n"/>
      <c r="P103" s="3723" t="n"/>
      <c r="Q103" s="3885" t="n"/>
      <c r="R103" s="3885" t="n"/>
      <c r="S103" s="3885" t="n"/>
      <c r="T103" s="3885" t="n"/>
      <c r="U103" s="3885" t="n"/>
      <c r="V103" s="3723" t="n"/>
      <c r="W103" s="3885" t="n"/>
      <c r="X103" s="3885" t="n"/>
      <c r="Y103" s="3885" t="n"/>
      <c r="Z103" s="3885" t="n"/>
      <c r="AA103" s="3885" t="n"/>
      <c r="AB103" s="3723" t="n"/>
      <c r="AC103" s="3885" t="n"/>
      <c r="AD103" s="3885" t="n"/>
      <c r="AE103" s="3885" t="n"/>
      <c r="AF103" s="3885" t="n"/>
      <c r="AG103" s="3885" t="n"/>
      <c r="AH103" s="3723" t="n"/>
      <c r="AI103" s="3878" t="n"/>
    </row>
    <row r="104" hidden="1" outlineLevel="1" ht="11.25" customHeight="1" s="3710">
      <c r="B104" s="3770" t="n"/>
      <c r="C104" s="3882" t="inlineStr">
        <is>
          <t>Source - 21-Jul-24 databook</t>
        </is>
      </c>
      <c r="D104" s="3877" t="n"/>
      <c r="E104" s="3885" t="n"/>
      <c r="F104" s="3885" t="n"/>
      <c r="G104" s="3885" t="n"/>
      <c r="H104" s="3885" t="n"/>
      <c r="I104" s="3885" t="n"/>
      <c r="J104" s="3723" t="n"/>
      <c r="K104" s="3885" t="n"/>
      <c r="L104" s="3885" t="n"/>
      <c r="M104" s="3885" t="n"/>
      <c r="N104" s="3885" t="n"/>
      <c r="O104" s="3885" t="n"/>
      <c r="P104" s="3723" t="n"/>
      <c r="Q104" s="3885" t="n"/>
      <c r="R104" s="3885" t="n"/>
      <c r="S104" s="3885" t="n"/>
      <c r="T104" s="3885" t="n"/>
      <c r="U104" s="3885" t="n"/>
      <c r="V104" s="3723" t="n"/>
      <c r="W104" s="3885" t="n"/>
      <c r="X104" s="3885" t="n"/>
      <c r="Y104" s="3885" t="n"/>
      <c r="Z104" s="3885" t="n"/>
      <c r="AA104" s="3885" t="n"/>
      <c r="AB104" s="3723" t="n"/>
      <c r="AC104" s="3885" t="n"/>
      <c r="AD104" s="3885" t="n"/>
      <c r="AE104" s="3885" t="n"/>
      <c r="AF104" s="3885" t="n"/>
      <c r="AG104" s="3885" t="n"/>
      <c r="AH104" s="3723" t="n"/>
      <c r="AI104" s="3878" t="n"/>
    </row>
    <row r="105" hidden="1" outlineLevel="1" ht="11.25" customHeight="1" s="3710">
      <c r="B105" s="3770" t="n"/>
      <c r="C105" s="3740" t="inlineStr">
        <is>
          <t>Check</t>
        </is>
      </c>
      <c r="E105" s="3886">
        <f>E104-E95</f>
        <v/>
      </c>
      <c r="F105" s="3886">
        <f>F104-F95</f>
        <v/>
      </c>
      <c r="G105" s="3886">
        <f>G104-G95</f>
        <v/>
      </c>
      <c r="H105" s="3886">
        <f>H104-H95</f>
        <v/>
      </c>
    </row>
    <row r="106" ht="11.25" customHeight="1" s="3710">
      <c r="B106" s="3770" t="n"/>
    </row>
    <row r="107" ht="11.25" customHeight="1" s="3710">
      <c r="B107" s="3770" t="n"/>
    </row>
    <row r="108" ht="11.25" customHeight="1" s="3710">
      <c r="B108" s="3770" t="n"/>
    </row>
    <row r="109" ht="11.25" customHeight="1" s="3710">
      <c r="B109" s="3770" t="n"/>
    </row>
    <row r="110" ht="19.5" customFormat="1" customHeight="1" s="3740">
      <c r="A110" s="3739" t="n"/>
      <c r="B110" s="3754" t="n"/>
      <c r="C110" s="3755" t="inlineStr">
        <is>
          <t>Other considerations</t>
        </is>
      </c>
      <c r="D110" s="3755" t="n"/>
      <c r="E110" s="3755" t="n"/>
      <c r="F110" s="3755" t="n"/>
      <c r="G110" s="3755" t="n"/>
      <c r="H110" s="3755" t="n"/>
      <c r="I110" s="3755" t="n"/>
      <c r="J110" s="3723" t="n"/>
      <c r="K110" s="3755" t="n"/>
      <c r="L110" s="3755" t="n"/>
      <c r="M110" s="3755" t="n"/>
      <c r="N110" s="3755" t="n"/>
      <c r="O110" s="3755" t="n"/>
      <c r="P110" s="3723" t="n"/>
      <c r="Q110" s="3755" t="n"/>
      <c r="R110" s="3755" t="n"/>
      <c r="S110" s="3755" t="n"/>
      <c r="T110" s="3755" t="n"/>
      <c r="U110" s="3755" t="n"/>
      <c r="V110" s="3723" t="n"/>
      <c r="W110" s="3755" t="n"/>
      <c r="X110" s="3755" t="n"/>
      <c r="Y110" s="3755" t="n"/>
      <c r="Z110" s="3755" t="n"/>
      <c r="AA110" s="3755" t="n"/>
      <c r="AB110" s="3723" t="n"/>
      <c r="AC110" s="3755" t="n"/>
      <c r="AD110" s="3755" t="n"/>
      <c r="AE110" s="3755" t="n"/>
      <c r="AF110" s="3755" t="n"/>
      <c r="AG110" s="3755" t="n"/>
      <c r="AH110" s="3723" t="n"/>
      <c r="AI110" s="3755" t="n"/>
      <c r="AJ110" s="3742" t="n"/>
    </row>
    <row r="111" ht="12" customFormat="1" customHeight="1" s="3740">
      <c r="A111" s="3739" t="n"/>
      <c r="B111" s="3754" t="n"/>
      <c r="C111" s="3756" t="n"/>
      <c r="D111" s="3756" t="n"/>
      <c r="E111" s="3757" t="inlineStr">
        <is>
          <t>TTM Apr-24 Draft (21-Jul-24)</t>
        </is>
      </c>
      <c r="F111" s="3757" t="n"/>
      <c r="G111" s="3757" t="n"/>
      <c r="H111" s="3757" t="n"/>
      <c r="I111" s="3757" t="n"/>
      <c r="J111" s="3723" t="n"/>
      <c r="K111" s="3758" t="inlineStr">
        <is>
          <t>Variance</t>
        </is>
      </c>
      <c r="L111" s="3758" t="n"/>
      <c r="M111" s="3758" t="n"/>
      <c r="N111" s="3758" t="n"/>
      <c r="O111" s="3758" t="n"/>
      <c r="P111" s="3723" t="n"/>
      <c r="Q111" s="3757" t="inlineStr">
        <is>
          <t>TTM Jun-24 (YTD Apr-24 run-rate)</t>
        </is>
      </c>
      <c r="R111" s="3757" t="n"/>
      <c r="S111" s="3757" t="n"/>
      <c r="T111" s="3757" t="n"/>
      <c r="U111" s="3757" t="n"/>
      <c r="V111" s="3723" t="n"/>
      <c r="W111" s="3758" t="inlineStr">
        <is>
          <t>Variance</t>
        </is>
      </c>
      <c r="X111" s="3758" t="n"/>
      <c r="Y111" s="3758" t="n"/>
      <c r="Z111" s="3758" t="n"/>
      <c r="AA111" s="3758" t="n"/>
      <c r="AB111" s="3723" t="n"/>
      <c r="AC111" s="3757" t="inlineStr">
        <is>
          <t>TTM Jun-24 (YTD Jun-24 run-rate)</t>
        </is>
      </c>
      <c r="AD111" s="3757" t="n"/>
      <c r="AE111" s="3757" t="n"/>
      <c r="AF111" s="3757" t="n"/>
      <c r="AG111" s="3757" t="n"/>
      <c r="AH111" s="3723" t="n"/>
      <c r="AI111" s="3755" t="n"/>
      <c r="AJ111" s="3742" t="n"/>
    </row>
    <row r="112" ht="19.4" customHeight="1" s="3710">
      <c r="B112" s="3754" t="n"/>
      <c r="C112" s="3759" t="inlineStr">
        <is>
          <t>$'000</t>
        </is>
      </c>
      <c r="D112" s="3759" t="inlineStr">
        <is>
          <t>Ref</t>
        </is>
      </c>
      <c r="E112" s="3760" t="inlineStr">
        <is>
          <t>FY21</t>
        </is>
      </c>
      <c r="F112" s="3761" t="inlineStr">
        <is>
          <t>FY22</t>
        </is>
      </c>
      <c r="G112" s="3762" t="inlineStr">
        <is>
          <t>FY23</t>
        </is>
      </c>
      <c r="H112" s="3763" t="inlineStr">
        <is>
          <t>TTM
Apr-24</t>
        </is>
      </c>
      <c r="I112" s="3763" t="inlineStr">
        <is>
          <t>TTM
Jun-24</t>
        </is>
      </c>
      <c r="J112" s="3764" t="n"/>
      <c r="K112" s="3765" t="inlineStr">
        <is>
          <t>FY21</t>
        </is>
      </c>
      <c r="L112" s="3766" t="inlineStr">
        <is>
          <t>FY22</t>
        </is>
      </c>
      <c r="M112" s="3767" t="inlineStr">
        <is>
          <t>FY23</t>
        </is>
      </c>
      <c r="N112" s="3768" t="inlineStr">
        <is>
          <t>TTM
Apr-24</t>
        </is>
      </c>
      <c r="O112" s="3768" t="inlineStr">
        <is>
          <t>TTM
Jun-24</t>
        </is>
      </c>
      <c r="P112" s="3764" t="n"/>
      <c r="Q112" s="3760" t="inlineStr">
        <is>
          <t>FY21</t>
        </is>
      </c>
      <c r="R112" s="3761" t="inlineStr">
        <is>
          <t>FY22</t>
        </is>
      </c>
      <c r="S112" s="3762" t="inlineStr">
        <is>
          <t>FY23</t>
        </is>
      </c>
      <c r="T112" s="3763" t="inlineStr">
        <is>
          <t>TTM
Apr-24</t>
        </is>
      </c>
      <c r="U112" s="3763" t="inlineStr">
        <is>
          <t>TTM
Jun-24</t>
        </is>
      </c>
      <c r="V112" s="3764" t="n"/>
      <c r="W112" s="3765" t="inlineStr">
        <is>
          <t>FY21</t>
        </is>
      </c>
      <c r="X112" s="3766" t="inlineStr">
        <is>
          <t>FY22</t>
        </is>
      </c>
      <c r="Y112" s="3767" t="inlineStr">
        <is>
          <t>FY23</t>
        </is>
      </c>
      <c r="Z112" s="3768" t="inlineStr">
        <is>
          <t>TTM
Apr-24</t>
        </is>
      </c>
      <c r="AA112" s="3768" t="inlineStr">
        <is>
          <t>TTM
Jun-24</t>
        </is>
      </c>
      <c r="AB112" s="3764" t="n"/>
      <c r="AC112" s="3760" t="inlineStr">
        <is>
          <t>FY21</t>
        </is>
      </c>
      <c r="AD112" s="3761" t="inlineStr">
        <is>
          <t>FY22</t>
        </is>
      </c>
      <c r="AE112" s="3762" t="inlineStr">
        <is>
          <t>FY23</t>
        </is>
      </c>
      <c r="AF112" s="3763" t="inlineStr">
        <is>
          <t>TTM
Apr-24</t>
        </is>
      </c>
      <c r="AG112" s="3763" t="inlineStr">
        <is>
          <t>TTM
Jun-24</t>
        </is>
      </c>
      <c r="AH112" s="3764" t="n"/>
      <c r="AI112" s="3887" t="n"/>
    </row>
    <row r="113" hidden="1" outlineLevel="1" ht="12" customHeight="1" s="3710">
      <c r="B113" s="3770" t="n"/>
      <c r="C113" s="3787" t="n"/>
      <c r="D113" s="3788" t="inlineStr">
        <is>
          <t>i.</t>
        </is>
      </c>
      <c r="E113" s="3806" t="n"/>
      <c r="F113" s="3806" t="n"/>
      <c r="G113" s="3807" t="n"/>
      <c r="H113" s="3807" t="n"/>
      <c r="I113" s="3785" t="n"/>
      <c r="J113" s="3723" t="n"/>
      <c r="K113" s="3806" t="n"/>
      <c r="L113" s="3806" t="n"/>
      <c r="M113" s="3807" t="n"/>
      <c r="N113" s="3807" t="n"/>
      <c r="O113" s="3785" t="n"/>
      <c r="P113" s="3723" t="n"/>
      <c r="Q113" s="3806" t="n"/>
      <c r="R113" s="3806" t="n"/>
      <c r="S113" s="3807" t="n"/>
      <c r="T113" s="3807" t="n"/>
      <c r="U113" s="3807" t="n"/>
      <c r="V113" s="3723" t="n"/>
      <c r="W113" s="3806" t="n"/>
      <c r="X113" s="3806" t="n"/>
      <c r="Y113" s="3807" t="n"/>
      <c r="Z113" s="3807" t="n"/>
      <c r="AA113" s="3807" t="n"/>
      <c r="AB113" s="3723" t="n"/>
      <c r="AC113" s="3806" t="n"/>
      <c r="AD113" s="3806" t="n"/>
      <c r="AE113" s="3807" t="n"/>
      <c r="AF113" s="3807" t="n"/>
      <c r="AG113" s="3807" t="n"/>
      <c r="AH113" s="3723" t="n"/>
      <c r="AI113" s="3816" t="n"/>
    </row>
    <row r="114" hidden="1" outlineLevel="1" ht="12" customHeight="1" s="3710">
      <c r="B114" s="3770" t="n"/>
      <c r="C114" s="3888" t="n"/>
      <c r="D114" s="3845" t="inlineStr">
        <is>
          <t>ii.</t>
        </is>
      </c>
      <c r="E114" s="3810" t="n"/>
      <c r="F114" s="3810" t="n"/>
      <c r="G114" s="3811" t="n"/>
      <c r="H114" s="3811" t="n"/>
      <c r="I114" s="3796" t="n"/>
      <c r="J114" s="3723" t="n"/>
      <c r="K114" s="3810" t="n"/>
      <c r="L114" s="3810" t="n"/>
      <c r="M114" s="3811" t="n"/>
      <c r="N114" s="3811" t="n"/>
      <c r="O114" s="3796" t="n"/>
      <c r="P114" s="3723" t="n"/>
      <c r="Q114" s="3810" t="n"/>
      <c r="R114" s="3810" t="n"/>
      <c r="S114" s="3811" t="n"/>
      <c r="T114" s="3811" t="n"/>
      <c r="U114" s="3811" t="n"/>
      <c r="V114" s="3723" t="n"/>
      <c r="W114" s="3810" t="n"/>
      <c r="X114" s="3810" t="n"/>
      <c r="Y114" s="3811" t="n"/>
      <c r="Z114" s="3811" t="n"/>
      <c r="AA114" s="3811" t="n"/>
      <c r="AB114" s="3723" t="n"/>
      <c r="AC114" s="3810" t="n"/>
      <c r="AD114" s="3810" t="n"/>
      <c r="AE114" s="3811" t="n"/>
      <c r="AF114" s="3811" t="n"/>
      <c r="AG114" s="3811" t="n"/>
      <c r="AH114" s="3723" t="n"/>
      <c r="AI114" s="3786" t="n"/>
    </row>
    <row r="115" ht="12" customHeight="1" s="3710">
      <c r="B115" s="3770" t="n"/>
      <c r="C115" s="3889" t="inlineStr">
        <is>
          <t>Net cash rent expense</t>
        </is>
      </c>
      <c r="D115" s="3782" t="inlineStr">
        <is>
          <t>A</t>
        </is>
      </c>
      <c r="E115" s="3806" t="n"/>
      <c r="F115" s="3806" t="n"/>
      <c r="G115" s="3807" t="n"/>
      <c r="H115" s="3807" t="n"/>
      <c r="I115" s="3785" t="n"/>
      <c r="J115" s="3723" t="n"/>
      <c r="K115" s="3806" t="n"/>
      <c r="L115" s="3806" t="n"/>
      <c r="M115" s="3807" t="n"/>
      <c r="N115" s="3807" t="n"/>
      <c r="O115" s="3785" t="n"/>
      <c r="P115" s="3723" t="n"/>
      <c r="Q115" s="3806" t="n"/>
      <c r="R115" s="3806" t="n"/>
      <c r="S115" s="3807" t="n"/>
      <c r="T115" s="3807" t="n"/>
      <c r="U115" s="3807" t="n"/>
      <c r="V115" s="3723" t="n"/>
      <c r="W115" s="3806" t="n"/>
      <c r="X115" s="3806" t="n"/>
      <c r="Y115" s="3807" t="n"/>
      <c r="Z115" s="3807" t="n"/>
      <c r="AA115" s="3807" t="n"/>
      <c r="AB115" s="3723" t="n"/>
      <c r="AC115" s="3806" t="n"/>
      <c r="AD115" s="3806" t="n"/>
      <c r="AE115" s="3807" t="n"/>
      <c r="AF115" s="3807" t="n"/>
      <c r="AG115" s="3807" t="n"/>
      <c r="AH115" s="3723" t="n"/>
      <c r="AI115" s="3786" t="n"/>
    </row>
    <row r="116" ht="12" customHeight="1" s="3710">
      <c r="B116" s="3770" t="n"/>
      <c r="C116" s="3889" t="inlineStr">
        <is>
          <t>Issuer interchange fees</t>
        </is>
      </c>
      <c r="D116" s="3788" t="inlineStr">
        <is>
          <t>B</t>
        </is>
      </c>
      <c r="E116" s="3806" t="n"/>
      <c r="F116" s="3806" t="n"/>
      <c r="G116" s="3807" t="n"/>
      <c r="H116" s="3807" t="n"/>
      <c r="I116" s="3785" t="n"/>
      <c r="J116" s="3723" t="n"/>
      <c r="K116" s="3806" t="n"/>
      <c r="L116" s="3806" t="n"/>
      <c r="M116" s="3807" t="n"/>
      <c r="N116" s="3807" t="n"/>
      <c r="O116" s="3785" t="n"/>
      <c r="P116" s="3723" t="n"/>
      <c r="Q116" s="3806" t="n"/>
      <c r="R116" s="3806" t="n"/>
      <c r="S116" s="3807" t="n"/>
      <c r="T116" s="3807" t="n"/>
      <c r="U116" s="3807" t="n"/>
      <c r="V116" s="3723" t="n"/>
      <c r="W116" s="3806" t="n"/>
      <c r="X116" s="3806" t="n"/>
      <c r="Y116" s="3807" t="n"/>
      <c r="Z116" s="3807" t="n"/>
      <c r="AA116" s="3807" t="n"/>
      <c r="AB116" s="3723" t="n"/>
      <c r="AC116" s="3806" t="n"/>
      <c r="AD116" s="3806" t="n"/>
      <c r="AE116" s="3807" t="n"/>
      <c r="AF116" s="3807" t="n"/>
      <c r="AG116" s="3807" t="n"/>
      <c r="AH116" s="3723" t="n"/>
      <c r="AI116" s="3786" t="n"/>
    </row>
    <row r="117" ht="12" customHeight="1" s="3710">
      <c r="B117" s="3770" t="n"/>
      <c r="C117" s="3889" t="inlineStr">
        <is>
          <t>E-hub money transfer</t>
        </is>
      </c>
      <c r="D117" s="3782" t="inlineStr">
        <is>
          <t>C</t>
        </is>
      </c>
      <c r="E117" s="3806" t="n"/>
      <c r="F117" s="3806" t="n"/>
      <c r="G117" s="3807" t="n"/>
      <c r="H117" s="3807" t="n"/>
      <c r="I117" s="3785" t="n"/>
      <c r="J117" s="3723" t="n"/>
      <c r="K117" s="3806" t="n"/>
      <c r="L117" s="3806" t="n"/>
      <c r="M117" s="3807" t="n"/>
      <c r="N117" s="3807" t="n"/>
      <c r="O117" s="3785" t="n"/>
      <c r="P117" s="3723" t="n"/>
      <c r="Q117" s="3806" t="n"/>
      <c r="R117" s="3806" t="n"/>
      <c r="S117" s="3807" t="n"/>
      <c r="T117" s="3807" t="n"/>
      <c r="U117" s="3807" t="n"/>
      <c r="V117" s="3723" t="n"/>
      <c r="W117" s="3806" t="n"/>
      <c r="X117" s="3806" t="n"/>
      <c r="Y117" s="3807" t="n"/>
      <c r="Z117" s="3807" t="n"/>
      <c r="AA117" s="3807" t="n"/>
      <c r="AB117" s="3723" t="n"/>
      <c r="AC117" s="3806" t="n"/>
      <c r="AD117" s="3806" t="n"/>
      <c r="AE117" s="3807" t="n"/>
      <c r="AF117" s="3807" t="n"/>
      <c r="AG117" s="3807" t="n"/>
      <c r="AH117" s="3723" t="n"/>
      <c r="AI117" s="3786" t="n"/>
    </row>
    <row r="118" ht="12" customHeight="1" s="3710">
      <c r="B118" s="3770" t="n"/>
      <c r="C118" s="3889" t="n"/>
      <c r="D118" s="3782" t="inlineStr">
        <is>
          <t>D</t>
        </is>
      </c>
      <c r="E118" s="3806" t="n"/>
      <c r="F118" s="3806" t="n"/>
      <c r="G118" s="3807" t="n"/>
      <c r="H118" s="3807" t="n"/>
      <c r="I118" s="3785" t="n"/>
      <c r="J118" s="3723" t="n"/>
      <c r="K118" s="3806" t="n"/>
      <c r="L118" s="3806" t="n"/>
      <c r="M118" s="3807" t="n"/>
      <c r="N118" s="3807" t="n"/>
      <c r="O118" s="3785" t="n"/>
      <c r="P118" s="3723" t="n"/>
      <c r="Q118" s="3806" t="n"/>
      <c r="R118" s="3806" t="n"/>
      <c r="S118" s="3807" t="n"/>
      <c r="T118" s="3807" t="n"/>
      <c r="U118" s="3807" t="n"/>
      <c r="V118" s="3723" t="n"/>
      <c r="W118" s="3806" t="n"/>
      <c r="X118" s="3806" t="n"/>
      <c r="Y118" s="3807" t="n"/>
      <c r="Z118" s="3807" t="n"/>
      <c r="AA118" s="3807" t="n"/>
      <c r="AB118" s="3723" t="n"/>
      <c r="AC118" s="3806" t="n"/>
      <c r="AD118" s="3806" t="n"/>
      <c r="AE118" s="3807" t="n"/>
      <c r="AF118" s="3807" t="n"/>
      <c r="AG118" s="3807" t="n"/>
      <c r="AH118" s="3723" t="n"/>
      <c r="AI118" s="3786" t="n"/>
    </row>
    <row r="119" ht="12" customHeight="1" s="3710">
      <c r="B119" s="3770" t="n"/>
      <c r="C119" s="3889" t="n"/>
      <c r="D119" s="3788" t="inlineStr">
        <is>
          <t>E</t>
        </is>
      </c>
      <c r="E119" s="3806" t="n"/>
      <c r="F119" s="3806" t="n"/>
      <c r="G119" s="3807" t="n"/>
      <c r="H119" s="3807" t="n"/>
      <c r="I119" s="3785" t="n"/>
      <c r="J119" s="3723" t="n"/>
      <c r="K119" s="3806" t="n"/>
      <c r="L119" s="3806" t="n"/>
      <c r="M119" s="3807" t="n"/>
      <c r="N119" s="3807" t="n"/>
      <c r="O119" s="3785" t="n"/>
      <c r="P119" s="3723" t="n"/>
      <c r="Q119" s="3806" t="n"/>
      <c r="R119" s="3806" t="n"/>
      <c r="S119" s="3807" t="n"/>
      <c r="T119" s="3807" t="n"/>
      <c r="U119" s="3807" t="n"/>
      <c r="V119" s="3723" t="n"/>
      <c r="W119" s="3806" t="n"/>
      <c r="X119" s="3806" t="n"/>
      <c r="Y119" s="3807" t="n"/>
      <c r="Z119" s="3807" t="n"/>
      <c r="AA119" s="3807" t="n"/>
      <c r="AB119" s="3723" t="n"/>
      <c r="AC119" s="3806" t="n"/>
      <c r="AD119" s="3806" t="n"/>
      <c r="AE119" s="3807" t="n"/>
      <c r="AF119" s="3807" t="n"/>
      <c r="AG119" s="3807" t="n"/>
      <c r="AH119" s="3723" t="n"/>
      <c r="AI119" s="3842" t="n"/>
    </row>
    <row r="120" ht="12" customHeight="1" s="3710">
      <c r="B120" s="3770" t="n"/>
      <c r="C120" s="3889" t="inlineStr">
        <is>
          <t>Call center employees</t>
        </is>
      </c>
      <c r="D120" s="3782" t="inlineStr">
        <is>
          <t>F</t>
        </is>
      </c>
      <c r="E120" s="3806" t="inlineStr">
        <is>
          <t>n.q</t>
        </is>
      </c>
      <c r="F120" s="3806" t="inlineStr">
        <is>
          <t>n.q</t>
        </is>
      </c>
      <c r="G120" s="3807" t="inlineStr">
        <is>
          <t>n.q</t>
        </is>
      </c>
      <c r="H120" s="3807" t="inlineStr">
        <is>
          <t>n.q</t>
        </is>
      </c>
      <c r="I120" s="3785" t="n"/>
      <c r="J120" s="3723" t="n"/>
      <c r="K120" s="3806" t="inlineStr">
        <is>
          <t>n.q</t>
        </is>
      </c>
      <c r="L120" s="3806" t="inlineStr">
        <is>
          <t>n.q</t>
        </is>
      </c>
      <c r="M120" s="3807" t="inlineStr">
        <is>
          <t>n.q</t>
        </is>
      </c>
      <c r="N120" s="3807" t="inlineStr">
        <is>
          <t>n.q</t>
        </is>
      </c>
      <c r="O120" s="3785" t="n"/>
      <c r="P120" s="3723" t="n"/>
      <c r="Q120" s="3806" t="inlineStr">
        <is>
          <t>n.q</t>
        </is>
      </c>
      <c r="R120" s="3806" t="inlineStr">
        <is>
          <t>n.q</t>
        </is>
      </c>
      <c r="S120" s="3807" t="inlineStr">
        <is>
          <t>n.q</t>
        </is>
      </c>
      <c r="T120" s="3807" t="inlineStr">
        <is>
          <t>n.q</t>
        </is>
      </c>
      <c r="U120" s="3807" t="inlineStr">
        <is>
          <t>n.q</t>
        </is>
      </c>
      <c r="V120" s="3723" t="n"/>
      <c r="W120" s="3806" t="inlineStr">
        <is>
          <t>n.q</t>
        </is>
      </c>
      <c r="X120" s="3806" t="inlineStr">
        <is>
          <t>n.q</t>
        </is>
      </c>
      <c r="Y120" s="3807" t="inlineStr">
        <is>
          <t>n.q</t>
        </is>
      </c>
      <c r="Z120" s="3807" t="inlineStr">
        <is>
          <t>n.q</t>
        </is>
      </c>
      <c r="AA120" s="3807" t="inlineStr">
        <is>
          <t>n.q</t>
        </is>
      </c>
      <c r="AB120" s="3723" t="n"/>
      <c r="AC120" s="3806" t="n"/>
      <c r="AD120" s="3806" t="n"/>
      <c r="AE120" s="3807" t="n"/>
      <c r="AF120" s="3807" t="n"/>
      <c r="AG120" s="3807" t="n"/>
      <c r="AH120" s="3723" t="n"/>
      <c r="AI120" s="3786" t="n"/>
    </row>
    <row r="121" ht="12" customHeight="1" s="3710">
      <c r="B121" s="3770" t="n"/>
      <c r="C121" s="3889" t="n"/>
      <c r="D121" s="3788" t="inlineStr">
        <is>
          <t>G</t>
        </is>
      </c>
      <c r="E121" s="3806" t="n"/>
      <c r="F121" s="3806" t="n"/>
      <c r="G121" s="3807" t="n"/>
      <c r="H121" s="3807" t="n"/>
      <c r="I121" s="3785" t="n"/>
      <c r="J121" s="3723" t="n"/>
      <c r="K121" s="3806" t="n"/>
      <c r="L121" s="3806" t="n"/>
      <c r="M121" s="3807" t="n"/>
      <c r="N121" s="3807" t="n"/>
      <c r="O121" s="3785" t="n"/>
      <c r="P121" s="3723" t="n"/>
      <c r="Q121" s="3806" t="n"/>
      <c r="R121" s="3806" t="n"/>
      <c r="S121" s="3807" t="n"/>
      <c r="T121" s="3807" t="n"/>
      <c r="U121" s="3807" t="n"/>
      <c r="V121" s="3723" t="n"/>
      <c r="W121" s="3806" t="n"/>
      <c r="X121" s="3806" t="n"/>
      <c r="Y121" s="3807" t="n"/>
      <c r="Z121" s="3807" t="n"/>
      <c r="AA121" s="3807" t="n"/>
      <c r="AB121" s="3723" t="n"/>
      <c r="AC121" s="3806" t="n"/>
      <c r="AD121" s="3806" t="n"/>
      <c r="AE121" s="3807" t="n"/>
      <c r="AF121" s="3807" t="n"/>
      <c r="AG121" s="3807" t="n"/>
      <c r="AH121" s="3723" t="n"/>
      <c r="AI121" s="3786" t="n"/>
    </row>
    <row r="122" ht="3" customFormat="1" customHeight="1" s="3890">
      <c r="A122" s="3739" t="n"/>
      <c r="B122" s="3891" t="n"/>
      <c r="C122" s="3892" t="n"/>
      <c r="D122" s="3893" t="n"/>
      <c r="E122" s="3894" t="n"/>
      <c r="F122" s="3894" t="n"/>
      <c r="G122" s="3895" t="n"/>
      <c r="H122" s="3895" t="n"/>
      <c r="I122" s="3895" t="n"/>
      <c r="J122" s="3877" t="n"/>
      <c r="K122" s="3894" t="n"/>
      <c r="L122" s="3894" t="n"/>
      <c r="M122" s="3895" t="n"/>
      <c r="N122" s="3895" t="n"/>
      <c r="O122" s="3895" t="n"/>
      <c r="P122" s="3877" t="n"/>
      <c r="Q122" s="3894" t="n"/>
      <c r="R122" s="3894" t="n"/>
      <c r="S122" s="3895" t="n"/>
      <c r="T122" s="3895" t="n"/>
      <c r="U122" s="3895" t="n"/>
      <c r="V122" s="3877" t="n"/>
      <c r="W122" s="3894" t="n"/>
      <c r="X122" s="3894" t="n"/>
      <c r="Y122" s="3895" t="n"/>
      <c r="Z122" s="3895" t="n"/>
      <c r="AA122" s="3895" t="n"/>
      <c r="AB122" s="3877" t="n"/>
      <c r="AC122" s="3894" t="n"/>
      <c r="AD122" s="3894" t="n"/>
      <c r="AE122" s="3895" t="n"/>
      <c r="AF122" s="3895" t="n"/>
      <c r="AG122" s="3895" t="n"/>
      <c r="AH122" s="3877" t="n"/>
      <c r="AI122" s="3896" t="n"/>
      <c r="AJ122" s="3897" t="n"/>
    </row>
    <row r="123" ht="39.95" customHeight="1" s="3710">
      <c r="B123" s="3770" t="n"/>
      <c r="AI123" s="3898" t="n"/>
    </row>
    <row r="124" ht="15" customHeight="1" s="3710">
      <c r="B124" s="3770" t="n"/>
      <c r="AI124" s="3898" t="n"/>
    </row>
    <row r="125" ht="11.25" customHeight="1" s="3710">
      <c r="B125" s="3770" t="n"/>
    </row>
    <row r="126" ht="11.25" customHeight="1" s="3710">
      <c r="B126" s="3770" t="n"/>
    </row>
    <row r="127" ht="11.25" customHeight="1" s="3710">
      <c r="B127" s="3770" t="n"/>
    </row>
    <row r="128" ht="11.25" customHeight="1" s="3710">
      <c r="B128" s="3770" t="n"/>
    </row>
    <row r="129" ht="11.25" customHeight="1" s="3710">
      <c r="B129" s="3770" t="n"/>
    </row>
    <row r="130" ht="11.25" customHeight="1" s="3710">
      <c r="B130" s="3770" t="n"/>
    </row>
    <row r="131" ht="11.25" customHeight="1" s="3710">
      <c r="B131" s="3770" t="n"/>
    </row>
    <row r="132" ht="11.25" customHeight="1" s="3710">
      <c r="B132" s="3770" t="n"/>
    </row>
    <row r="133" ht="11.25" customHeight="1" s="3710">
      <c r="B133" s="3770" t="n"/>
    </row>
    <row r="134" ht="11.25" customHeight="1" s="3710">
      <c r="B134" s="3770" t="n"/>
    </row>
    <row r="135" ht="11.25" customHeight="1" s="3710">
      <c r="B135" s="3770" t="n"/>
    </row>
    <row r="136" ht="11.25" customHeight="1" s="3710">
      <c r="B136" s="3770" t="n"/>
    </row>
    <row r="137" ht="11.25" customHeight="1" s="3710">
      <c r="B137" s="3770" t="n"/>
    </row>
    <row r="138" ht="11.25" customHeight="1" s="3710">
      <c r="B138" s="3770" t="n"/>
    </row>
    <row r="139" ht="11.25" customHeight="1" s="3710">
      <c r="B139" s="3770" t="n"/>
    </row>
    <row r="140" ht="11.25" customHeight="1" s="3710">
      <c r="B140" s="3770" t="n"/>
    </row>
    <row r="141" ht="11.25" customHeight="1" s="3710">
      <c r="B141" s="3770" t="n"/>
    </row>
  </sheetData>
  <printOptions horizontalCentered="0" verticalCentered="0" headings="0" gridLines="0" gridLinesSet="1"/>
  <pageMargins left="0.7" right="0.7" top="0.75" bottom="0.75" header="0.511811023622047" footer="0.3"/>
  <pageSetup orientation="portrait" paperSize="1" scale="100" fitToHeight="1" fitToWidth="1" pageOrder="downThenOver" blackAndWhite="0" draft="0" horizontalDpi="300" verticalDpi="300" copies="1"/>
  <headerFooter differentOddEven="0" differentFirst="0">
    <oddHeader/>
    <oddFooter>&amp;C&amp;"Arial,Bold"&amp;7 Document Classification: KPMG Confidential</oddFooter>
    <evenHeader/>
    <evenFooter/>
    <firstHeader/>
    <firstFooter/>
  </headerFooter>
</worksheet>
</file>

<file path=xl/worksheets/sheet5.xml><?xml version="1.0" encoding="utf-8"?>
<worksheet xmlns="http://schemas.openxmlformats.org/spreadsheetml/2006/main">
  <sheetPr filterMode="0">
    <outlinePr summaryBelow="1" summaryRight="1"/>
    <pageSetUpPr fitToPage="0"/>
  </sheetPr>
  <dimension ref="A1:H47"/>
  <sheetViews>
    <sheetView showFormulas="0" showGridLines="0" showRowColHeaders="1" showZeros="1" rightToLeft="0" tabSelected="0" showOutlineSymbols="1" defaultGridColor="1"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baseColWidth="8" defaultColWidth="6.859375" defaultRowHeight="11.25" customHeight="0" zeroHeight="0" outlineLevelRow="1"/>
  <cols>
    <col width="3.57" customWidth="1" style="3739" min="1" max="1"/>
    <col width="1.57" customWidth="1" style="3740" min="2" max="2"/>
    <col width="24.71" customWidth="1" style="3899" min="3" max="3"/>
    <col width="6.71" customWidth="1" style="3899" min="4" max="8"/>
    <col width="6.85" customWidth="1" style="3899" min="9" max="16384"/>
  </cols>
  <sheetData>
    <row r="1" ht="22.05" customFormat="1" customHeight="1" s="3900">
      <c r="A1" s="3901" t="n"/>
      <c r="B1" s="3745" t="inlineStr">
        <is>
          <t>Project Name</t>
        </is>
      </c>
      <c r="C1" s="3743" t="n"/>
      <c r="D1" s="3902" t="n"/>
      <c r="E1" s="3902" t="n"/>
    </row>
    <row r="2" ht="11.45" customFormat="1" customHeight="1" s="3900">
      <c r="A2" s="3901" t="n"/>
      <c r="B2" s="3748">
        <f>C7</f>
        <v/>
      </c>
      <c r="C2" s="3743" t="n"/>
      <c r="D2" s="3902" t="n"/>
      <c r="E2" s="3902" t="n"/>
    </row>
    <row r="3" ht="11.25" customFormat="1" customHeight="1" s="3900">
      <c r="A3" s="3901" t="n"/>
      <c r="B3" s="3750" t="inlineStr">
        <is>
          <t>Source: TBD</t>
        </is>
      </c>
      <c r="C3" s="3743" t="n"/>
      <c r="D3" s="3902" t="n"/>
      <c r="E3" s="3902" t="n"/>
    </row>
    <row r="4" ht="11.25" customFormat="1" customHeight="1" s="3900">
      <c r="A4" s="3901" t="n"/>
      <c r="B4" s="3751" t="inlineStr">
        <is>
          <t>WORKING DRAFT</t>
        </is>
      </c>
      <c r="C4" s="3743" t="n"/>
      <c r="D4" s="3902" t="n"/>
      <c r="E4" s="3902" t="n"/>
    </row>
    <row r="5" ht="11.25" customFormat="1" customHeight="1" s="3723">
      <c r="A5" s="3739" t="n"/>
      <c r="B5" s="3753" t="n"/>
    </row>
    <row r="6" ht="11.25" customFormat="1" customHeight="1" s="3723">
      <c r="A6" s="3739" t="n"/>
      <c r="B6" s="3753" t="n"/>
    </row>
    <row r="7" ht="19.5" customFormat="1" customHeight="1" s="3723">
      <c r="A7" s="3739" t="n"/>
      <c r="B7" s="3903" t="n"/>
      <c r="C7" s="3755" t="inlineStr">
        <is>
          <t>Quality of earnings</t>
        </is>
      </c>
      <c r="D7" s="3755" t="n"/>
      <c r="E7" s="3904" t="n"/>
      <c r="F7" s="3904" t="n"/>
      <c r="G7" s="3755" t="n"/>
      <c r="H7" s="3755" t="n"/>
    </row>
    <row r="8" ht="19.4" customFormat="1" customHeight="1" s="3723">
      <c r="A8" s="3739" t="n"/>
      <c r="B8" s="3903" t="n"/>
      <c r="C8" s="3759" t="inlineStr">
        <is>
          <t>$'000</t>
        </is>
      </c>
      <c r="D8" s="3905">
        <f>'QofE | Detail'!AU8</f>
        <v/>
      </c>
      <c r="E8" s="3906">
        <f>'QofE | Detail'!AV8</f>
        <v/>
      </c>
      <c r="F8" s="3906">
        <f>'QofE | Detail'!AW8</f>
        <v/>
      </c>
      <c r="G8" s="3907">
        <f>'QofE | Detail'!AX8</f>
        <v/>
      </c>
      <c r="H8" s="3907">
        <f>'QofE | Detail'!AY8</f>
        <v/>
      </c>
    </row>
    <row r="9" ht="12" customFormat="1" customHeight="1" s="3723">
      <c r="A9" s="3739" t="n"/>
      <c r="B9" s="3891" t="n"/>
      <c r="C9" s="3908" t="inlineStr">
        <is>
          <t>Revenue, reported</t>
        </is>
      </c>
      <c r="D9" s="3773">
        <f>'QofE | Detail'!AU9</f>
        <v/>
      </c>
      <c r="E9" s="3773">
        <f>'QofE | Detail'!AV9</f>
        <v/>
      </c>
      <c r="F9" s="3773">
        <f>'QofE | Detail'!AW9</f>
        <v/>
      </c>
      <c r="G9" s="3773">
        <f>'QofE | Detail'!AX9</f>
        <v/>
      </c>
      <c r="H9" s="3773">
        <f>'QofE | Detail'!AY9</f>
        <v/>
      </c>
    </row>
    <row r="10" ht="12" customFormat="1" customHeight="1" s="3723">
      <c r="A10" s="3739" t="n"/>
      <c r="B10" s="3891" t="n"/>
      <c r="C10" s="3797" t="inlineStr">
        <is>
          <t>Due diligence adjustments</t>
        </is>
      </c>
      <c r="D10" s="3909">
        <f>'QofE | Detail'!AU14</f>
        <v/>
      </c>
      <c r="E10" s="3909" t="n"/>
      <c r="F10" s="3909" t="n"/>
      <c r="G10" s="3909" t="n"/>
      <c r="H10" s="3909" t="n"/>
    </row>
    <row r="11" ht="12" customFormat="1" customHeight="1" s="3723">
      <c r="A11" s="3739" t="n"/>
      <c r="B11" s="3891" t="n"/>
      <c r="C11" s="3797" t="inlineStr">
        <is>
          <t>Pro forma adjustments</t>
        </is>
      </c>
      <c r="D11" s="3909">
        <f>'QofE | Detail'!AU36</f>
        <v/>
      </c>
      <c r="E11" s="3909" t="n"/>
      <c r="F11" s="3909" t="n"/>
      <c r="G11" s="3909" t="n"/>
      <c r="H11" s="3909" t="n"/>
    </row>
    <row r="12" ht="12" customFormat="1" customHeight="1" s="3723">
      <c r="A12" s="3739" t="n"/>
      <c r="B12" s="3891" t="n"/>
      <c r="C12" s="3910" t="inlineStr">
        <is>
          <t>Revenue, pro forma adjusted</t>
        </is>
      </c>
      <c r="D12" s="3911">
        <f>SUM(D9:D11)</f>
        <v/>
      </c>
      <c r="E12" s="3911" t="n"/>
      <c r="F12" s="3911" t="n"/>
      <c r="G12" s="3911" t="n"/>
      <c r="H12" s="3911" t="n"/>
    </row>
    <row r="13" hidden="1" outlineLevel="1" ht="12" customFormat="1" customHeight="1" s="3827">
      <c r="A13" s="3820" t="n"/>
      <c r="B13" s="3912" t="n"/>
      <c r="C13" s="3913" t="inlineStr">
        <is>
          <t>Revenue, pro forma adjusted growth rate</t>
        </is>
      </c>
      <c r="D13" s="3914" t="n"/>
      <c r="E13" s="3915" t="n"/>
      <c r="F13" s="3915" t="n"/>
      <c r="G13" s="3915" t="n"/>
      <c r="H13" s="3915" t="n"/>
    </row>
    <row r="14" ht="5.1" customFormat="1" customHeight="1" s="3723">
      <c r="A14" s="3739" t="n"/>
      <c r="B14" s="3891" t="n"/>
      <c r="C14" s="3916" t="n"/>
      <c r="D14" s="3917" t="n"/>
      <c r="E14" s="3917" t="n"/>
      <c r="F14" s="3917" t="n"/>
      <c r="G14" s="3917" t="n"/>
      <c r="H14" s="3917" t="n"/>
    </row>
    <row r="15" hidden="1" outlineLevel="1" ht="12" customFormat="1" customHeight="1" s="3723">
      <c r="A15" s="3739" t="n"/>
      <c r="B15" s="3891" t="n"/>
      <c r="C15" s="3908" t="inlineStr">
        <is>
          <t>Net income, reported</t>
        </is>
      </c>
      <c r="D15" s="3918">
        <f>'QofE | Detail'!AU40</f>
        <v/>
      </c>
      <c r="E15" s="3918" t="n"/>
      <c r="F15" s="3918" t="n"/>
      <c r="G15" s="3918" t="n"/>
      <c r="H15" s="3918" t="n"/>
    </row>
    <row r="16" hidden="1" outlineLevel="1" ht="12" customFormat="1" customHeight="1" s="3723">
      <c r="A16" s="3739" t="n"/>
      <c r="B16" s="3891" t="n"/>
      <c r="C16" s="3729" t="inlineStr">
        <is>
          <t>Add/(deduct)</t>
        </is>
      </c>
      <c r="D16" s="3919" t="n"/>
      <c r="E16" s="3919" t="n"/>
      <c r="F16" s="3919" t="n"/>
      <c r="G16" s="3919" t="n"/>
      <c r="H16" s="3919" t="n"/>
    </row>
    <row r="17" hidden="1" outlineLevel="1" ht="12" customFormat="1" customHeight="1" s="3723">
      <c r="A17" s="3739" t="n"/>
      <c r="B17" s="3891" t="n"/>
      <c r="C17" s="3837" t="inlineStr">
        <is>
          <t>Interest, net</t>
        </is>
      </c>
      <c r="D17" s="3919">
        <f>'QofE | Detail'!AU42</f>
        <v/>
      </c>
      <c r="E17" s="3919" t="n"/>
      <c r="F17" s="3919" t="n"/>
      <c r="G17" s="3919" t="n"/>
      <c r="H17" s="3919" t="n"/>
    </row>
    <row r="18" hidden="1" outlineLevel="1" ht="12" customFormat="1" customHeight="1" s="3723">
      <c r="A18" s="3739" t="n"/>
      <c r="B18" s="3891" t="n"/>
      <c r="C18" s="3920" t="inlineStr">
        <is>
          <t>Depreciation &amp; amortization</t>
        </is>
      </c>
      <c r="D18" s="3919">
        <f>'QofE | Detail'!AU43</f>
        <v/>
      </c>
      <c r="E18" s="3919" t="n"/>
      <c r="F18" s="3919" t="n"/>
      <c r="G18" s="3919" t="n"/>
      <c r="H18" s="3919" t="n"/>
    </row>
    <row r="19" hidden="1" outlineLevel="1" ht="12" customFormat="1" customHeight="1" s="3723">
      <c r="A19" s="3739" t="n"/>
      <c r="B19" s="3891" t="n"/>
      <c r="C19" s="3920" t="inlineStr">
        <is>
          <t>Other comprehensive income</t>
        </is>
      </c>
      <c r="D19" s="3919">
        <f>'QofE | Detail'!AU44</f>
        <v/>
      </c>
      <c r="E19" s="3919" t="n"/>
      <c r="F19" s="3919" t="n"/>
      <c r="G19" s="3919" t="n"/>
      <c r="H19" s="3919" t="n"/>
    </row>
    <row r="20" hidden="1" outlineLevel="1" ht="12" customFormat="1" customHeight="1" s="3723">
      <c r="A20" s="3739" t="n"/>
      <c r="B20" s="3891" t="n"/>
      <c r="C20" s="3921" t="inlineStr">
        <is>
          <t>Income taxes</t>
        </is>
      </c>
      <c r="D20" s="3922">
        <f>'QofE | Detail'!AU45</f>
        <v/>
      </c>
      <c r="E20" s="3922" t="n"/>
      <c r="F20" s="3922" t="n"/>
      <c r="G20" s="3922" t="n"/>
      <c r="H20" s="3922" t="n"/>
    </row>
    <row r="21" ht="12" customFormat="1" customHeight="1" s="3723">
      <c r="A21" s="3739" t="n"/>
      <c r="B21" s="3891" t="n"/>
      <c r="C21" s="3923" t="inlineStr">
        <is>
          <t>EBITDA, reported</t>
        </is>
      </c>
      <c r="D21" s="3774">
        <f>SUM(D15:D20)</f>
        <v/>
      </c>
      <c r="E21" s="3774" t="n"/>
      <c r="F21" s="3774" t="n"/>
      <c r="G21" s="3774" t="n"/>
      <c r="H21" s="3774" t="n"/>
    </row>
    <row r="22" ht="12" customFormat="1" customHeight="1" s="3723">
      <c r="A22" s="3739" t="n"/>
      <c r="B22" s="3891" t="n"/>
      <c r="C22" s="3797" t="inlineStr">
        <is>
          <t>Due diligence adjustments</t>
        </is>
      </c>
      <c r="D22" s="3909">
        <f>'QofE | Detail'!AU67</f>
        <v/>
      </c>
      <c r="E22" s="3909" t="n"/>
      <c r="F22" s="3909" t="n"/>
      <c r="G22" s="3909" t="n"/>
      <c r="H22" s="3909" t="n"/>
    </row>
    <row r="23" ht="12" customFormat="1" customHeight="1" s="3723">
      <c r="A23" s="3739" t="n"/>
      <c r="B23" s="3891" t="n"/>
      <c r="C23" s="3797" t="inlineStr">
        <is>
          <t>Pro forma adjustments</t>
        </is>
      </c>
      <c r="D23" s="3909">
        <f>'QofE | Detail'!AU93</f>
        <v/>
      </c>
      <c r="E23" s="3909" t="n"/>
      <c r="F23" s="3909" t="n"/>
      <c r="G23" s="3909" t="n"/>
      <c r="H23" s="3909" t="n"/>
    </row>
    <row r="24" ht="12" customFormat="1" customHeight="1" s="3723">
      <c r="A24" s="3739" t="n"/>
      <c r="B24" s="3891" t="n"/>
      <c r="C24" s="3838" t="inlineStr">
        <is>
          <t>EBITDA, pro forma adjusted</t>
        </is>
      </c>
      <c r="D24" s="3803">
        <f>SUM(D21:D23)</f>
        <v/>
      </c>
      <c r="E24" s="3803" t="n"/>
      <c r="F24" s="3803" t="n"/>
      <c r="G24" s="3803" t="n"/>
      <c r="H24" s="3803" t="n"/>
    </row>
    <row r="25" ht="12" customFormat="1" customHeight="1" s="3723">
      <c r="A25" s="3739" t="n"/>
      <c r="B25" s="3891" t="n"/>
      <c r="C25" s="3872" t="inlineStr">
        <is>
          <t>EBITDA margin, pro forma adjusted</t>
        </is>
      </c>
      <c r="D25" s="3924">
        <f>IFERROR(D24/D12,0)</f>
        <v/>
      </c>
      <c r="E25" s="3924" t="n"/>
      <c r="F25" s="3924" t="n"/>
      <c r="G25" s="3924" t="n"/>
      <c r="H25" s="3924" t="n"/>
    </row>
    <row r="26" ht="12" customHeight="1" s="3710">
      <c r="B26" s="3891" t="n"/>
    </row>
    <row r="27" hidden="1" outlineLevel="1" ht="12" customFormat="1" customHeight="1" s="3723">
      <c r="A27" s="3739" t="n"/>
      <c r="B27" s="3891" t="n"/>
      <c r="C27" s="3827" t="inlineStr">
        <is>
          <t>Check</t>
        </is>
      </c>
      <c r="D27" s="3925">
        <f>'QofE | Detail'!AU94-D24</f>
        <v/>
      </c>
      <c r="E27" s="3925">
        <f>'QofE | Detail'!AV94-E24</f>
        <v/>
      </c>
      <c r="F27" s="3925">
        <f>'QofE | Detail'!AW94-F24</f>
        <v/>
      </c>
      <c r="G27" s="3925">
        <f>'QofE | Detail'!AX94-G24</f>
        <v/>
      </c>
      <c r="H27" s="3925">
        <f>'QofE | Detail'!AY94-H24</f>
        <v/>
      </c>
    </row>
    <row r="28" ht="12" customFormat="1" customHeight="1" s="3723">
      <c r="A28" s="3739" t="n"/>
      <c r="B28" s="3891" t="n"/>
    </row>
    <row r="29" ht="12" customFormat="1" customHeight="1" s="3723">
      <c r="A29" s="3739" t="n"/>
      <c r="B29" s="3891" t="n"/>
    </row>
    <row r="30" ht="12" customHeight="1" s="3710">
      <c r="B30" s="3891" t="n"/>
    </row>
    <row r="31" ht="12" customHeight="1" s="3710">
      <c r="B31" s="3891" t="n"/>
    </row>
    <row r="32" ht="12" customHeight="1" s="3710">
      <c r="B32" s="3891" t="n"/>
    </row>
    <row r="33" ht="12" customHeight="1" s="3710">
      <c r="B33" s="3891" t="n"/>
    </row>
    <row r="34" ht="12" customHeight="1" s="3710">
      <c r="B34" s="3891" t="n"/>
    </row>
    <row r="35" ht="12" customHeight="1" s="3710">
      <c r="B35" s="3891" t="n"/>
    </row>
    <row r="36" ht="12" customHeight="1" s="3710">
      <c r="B36" s="3891" t="n"/>
    </row>
    <row r="37" ht="11.25" customHeight="1" s="3710">
      <c r="B37" s="3891" t="n"/>
    </row>
    <row r="38" ht="11.25" customHeight="1" s="3710">
      <c r="B38" s="3891" t="n"/>
    </row>
    <row r="39" ht="11.25" customHeight="1" s="3710">
      <c r="B39" s="3891" t="n"/>
    </row>
    <row r="40" ht="11.25" customHeight="1" s="3710">
      <c r="B40" s="3891" t="n"/>
    </row>
    <row r="41" ht="11.25" customHeight="1" s="3710">
      <c r="B41" s="3891" t="n"/>
    </row>
    <row r="42" ht="11.25" customHeight="1" s="3710">
      <c r="B42" s="3891" t="n"/>
    </row>
    <row r="43" ht="11.25" customHeight="1" s="3710">
      <c r="B43" s="3891" t="n"/>
    </row>
    <row r="44" ht="11.25" customHeight="1" s="3710">
      <c r="B44" s="3891" t="n"/>
    </row>
    <row r="45" ht="11.25" customHeight="1" s="3710">
      <c r="B45" s="3891" t="n"/>
    </row>
    <row r="46" ht="11.25" customHeight="1" s="3710">
      <c r="B46" s="3891" t="n"/>
    </row>
    <row r="47" ht="11.25" customHeight="1" s="3710">
      <c r="B47" s="3891" t="n"/>
    </row>
  </sheetData>
  <printOptions horizontalCentered="0" verticalCentered="0" headings="0" gridLines="0" gridLinesSet="1"/>
  <pageMargins left="0.7" right="0.7" top="0.75" bottom="0.75" header="0.511811023622047" footer="0.3"/>
  <pageSetup orientation="portrait" paperSize="1" scale="100" fitToHeight="1" fitToWidth="1" pageOrder="downThenOver" blackAndWhite="0" draft="0" horizontalDpi="300" verticalDpi="300" copies="1"/>
  <headerFooter differentOddEven="0" differentFirst="0">
    <oddHeader/>
    <oddFooter>&amp;C&amp;"Arial,Bold"&amp;7 Document Classification: KPMG Confidential</oddFooter>
    <evenHeader/>
    <evenFooter/>
    <firstHeader/>
    <firstFooter/>
  </headerFooter>
</worksheet>
</file>

<file path=xl/worksheets/sheet6.xml><?xml version="1.0" encoding="utf-8"?>
<worksheet xmlns="http://schemas.openxmlformats.org/spreadsheetml/2006/main">
  <sheetPr filterMode="0">
    <outlinePr summaryBelow="1" summaryRight="1"/>
    <pageSetUpPr fitToPage="0"/>
  </sheetPr>
  <dimension ref="A1:GB139"/>
  <sheetViews>
    <sheetView showFormulas="0" showGridLines="0" showRowColHeaders="1" showZeros="1" rightToLeft="0" tabSelected="0" showOutlineSymbols="1" defaultGridColor="1" view="normal" topLeftCell="A1" colorId="64" zoomScale="100" zoomScaleNormal="100" zoomScalePageLayoutView="100" workbookViewId="0">
      <pane xSplit="4" ySplit="8" topLeftCell="AU9" activePane="bottomRight" state="frozen"/>
      <selection pane="topLeft" activeCell="A1" activeCellId="0" sqref="A1"/>
      <selection pane="topRight" activeCell="AU1" activeCellId="0" sqref="AU1"/>
      <selection pane="bottomLeft" activeCell="A9" activeCellId="0" sqref="A9"/>
      <selection pane="bottomRight" activeCell="A1" activeCellId="0" sqref="A1"/>
    </sheetView>
  </sheetViews>
  <sheetFormatPr baseColWidth="8" defaultColWidth="6.859375" defaultRowHeight="11.25" customHeight="0" zeroHeight="0" outlineLevelRow="2"/>
  <cols>
    <col width="3.57" customWidth="1" style="3739" min="1" max="1"/>
    <col width="1.57" customWidth="1" style="3740" min="2" max="2"/>
    <col width="36.15" customWidth="1" style="3740" min="3" max="3"/>
    <col width="3.15" customWidth="1" style="3740" min="4" max="4"/>
    <col hidden="1" outlineLevel="1" width="5.42" customWidth="1" style="3740" min="5" max="5"/>
    <col hidden="1" outlineLevel="1" width="5.57" customWidth="1" style="3740" min="6" max="6"/>
    <col hidden="1" outlineLevel="1" width="5.42" customWidth="1" style="3740" min="7" max="8"/>
    <col hidden="1" outlineLevel="1" width="5.57" customWidth="1" style="3740" min="9" max="10"/>
    <col hidden="1" outlineLevel="1" width="5" customWidth="1" style="3740" min="11" max="11"/>
    <col hidden="1" outlineLevel="1" width="5.57" customWidth="1" style="3740" min="12" max="13"/>
    <col hidden="1" outlineLevel="1" width="5.42" customWidth="1" style="3740" min="14" max="14"/>
    <col hidden="1" outlineLevel="1" width="5.57" customWidth="1" style="3740" min="15" max="16"/>
    <col hidden="1" outlineLevel="1" width="5.42" customWidth="1" style="3740" min="17" max="17"/>
    <col hidden="1" outlineLevel="1" width="5.57" customWidth="1" style="3740" min="18" max="18"/>
    <col hidden="1" outlineLevel="1" width="5.42" customWidth="1" style="3740" min="19" max="20"/>
    <col hidden="1" outlineLevel="1" width="5.57" customWidth="1" style="3740" min="21" max="22"/>
    <col hidden="1" outlineLevel="1" width="5" customWidth="1" style="3740" min="23" max="23"/>
    <col hidden="1" outlineLevel="1" width="5.57" customWidth="1" style="3740" min="24" max="25"/>
    <col hidden="1" outlineLevel="1" width="5.42" customWidth="1" style="3740" min="26" max="26"/>
    <col hidden="1" outlineLevel="1" width="5.57" customWidth="1" style="3740" min="27" max="28"/>
    <col hidden="1" outlineLevel="1" width="5.42" customWidth="1" style="3740" min="29" max="29"/>
    <col hidden="1" outlineLevel="1" width="5.57" customWidth="1" style="3740" min="30" max="30"/>
    <col hidden="1" outlineLevel="1" width="5.42" customWidth="1" style="3740" min="31" max="32"/>
    <col hidden="1" outlineLevel="1" width="5.57" customWidth="1" style="3740" min="33" max="34"/>
    <col hidden="1" outlineLevel="1" width="5.86" customWidth="1" style="3740" min="35" max="35"/>
    <col hidden="1" outlineLevel="1" width="5.57" customWidth="1" style="3740" min="36" max="37"/>
    <col hidden="1" outlineLevel="1" width="5.42" customWidth="1" style="3740" min="38" max="38"/>
    <col hidden="1" outlineLevel="1" width="5.57" customWidth="1" style="3740" min="39" max="40"/>
    <col hidden="1" outlineLevel="1" width="5.42" customWidth="1" style="3740" min="41" max="41"/>
    <col hidden="1" outlineLevel="1" width="5.57" customWidth="1" style="3740" min="42" max="42"/>
    <col hidden="1" outlineLevel="1" width="5.42" customWidth="1" style="3740" min="43" max="43"/>
    <col hidden="1" outlineLevel="1" width="5.42" customWidth="1" style="3740" min="44" max="44"/>
    <col hidden="1" outlineLevel="1" width="5.57" customWidth="1" style="3740" min="45" max="46"/>
    <col width="8.15" customWidth="1" style="3740" min="47" max="51"/>
    <col width="1.57" customWidth="1" style="3740" min="52" max="52"/>
    <col width="74.42" customWidth="1" style="3741" min="53" max="53"/>
    <col width="6.85" customWidth="1" style="3926" min="54" max="54"/>
    <col width="6.85" customWidth="1" style="3740" min="55" max="16384"/>
  </cols>
  <sheetData>
    <row r="1" ht="22.05" customFormat="1" customHeight="1" s="3743">
      <c r="A1" s="3744" t="n"/>
      <c r="B1" s="3745" t="inlineStr">
        <is>
          <t>Project Name</t>
        </is>
      </c>
      <c r="AR1" s="3743" t="n"/>
      <c r="BA1" s="3746" t="n"/>
      <c r="BB1" s="3927" t="n"/>
    </row>
    <row r="2" ht="11.45" customFormat="1" customHeight="1" s="3743">
      <c r="A2" s="3744" t="n"/>
      <c r="B2" s="3748">
        <f>C7</f>
        <v/>
      </c>
      <c r="AR2" s="3743" t="n"/>
      <c r="AW2" s="3749" t="n"/>
      <c r="BA2" s="3746" t="n"/>
      <c r="BB2" s="3927" t="n"/>
    </row>
    <row r="3" ht="11.25" customFormat="1" customHeight="1" s="3743">
      <c r="A3" s="3744" t="n"/>
      <c r="B3" s="3750" t="inlineStr">
        <is>
          <t>Source: TBD</t>
        </is>
      </c>
      <c r="AR3" s="3743" t="n"/>
      <c r="BA3" s="3746" t="n"/>
      <c r="BB3" s="3927" t="n"/>
    </row>
    <row r="4" ht="11.25" customHeight="1" s="3710">
      <c r="B4" s="3751" t="inlineStr">
        <is>
          <t>WORKING DRAFT</t>
        </is>
      </c>
      <c r="C4" s="3723" t="n"/>
      <c r="D4" s="3723" t="n"/>
      <c r="E4" s="3723" t="n"/>
      <c r="F4" s="3723" t="n"/>
      <c r="G4" s="3723" t="n"/>
      <c r="H4" s="3723" t="n"/>
      <c r="I4" s="3723" t="n"/>
      <c r="J4" s="3723" t="n"/>
      <c r="K4" s="3723" t="n"/>
      <c r="L4" s="3723" t="n"/>
      <c r="M4" s="3723" t="n"/>
      <c r="N4" s="3723" t="n"/>
      <c r="O4" s="3723" t="n"/>
      <c r="P4" s="3723" t="n"/>
      <c r="Q4" s="3723" t="n"/>
      <c r="R4" s="3723" t="n"/>
      <c r="S4" s="3723" t="n"/>
      <c r="T4" s="3723" t="n"/>
      <c r="U4" s="3723" t="n"/>
      <c r="V4" s="3723" t="n"/>
      <c r="W4" s="3723" t="n"/>
      <c r="X4" s="3723" t="n"/>
      <c r="Y4" s="3723" t="n"/>
      <c r="Z4" s="3723" t="n"/>
      <c r="AA4" s="3723" t="n"/>
      <c r="AB4" s="3723" t="n"/>
      <c r="AC4" s="3723" t="n"/>
      <c r="AD4" s="3723" t="n"/>
      <c r="AE4" s="3723" t="n"/>
      <c r="AF4" s="3723" t="n"/>
      <c r="AG4" s="3723" t="n"/>
      <c r="AH4" s="3723" t="n"/>
      <c r="AI4" s="3723" t="n"/>
      <c r="AJ4" s="3723" t="n"/>
      <c r="AK4" s="3723" t="n"/>
      <c r="AL4" s="3723" t="n"/>
      <c r="AM4" s="3723" t="n"/>
      <c r="AN4" s="3723" t="n"/>
      <c r="AO4" s="3723" t="n"/>
      <c r="AP4" s="3723" t="n"/>
      <c r="AQ4" s="3723" t="n"/>
      <c r="AR4" s="3723" t="n"/>
      <c r="AS4" s="3723" t="n"/>
      <c r="AT4" s="3723" t="n"/>
      <c r="AU4" s="3723" t="n"/>
      <c r="AV4" s="3723" t="n"/>
      <c r="AW4" s="3723" t="n"/>
      <c r="AX4" s="3723" t="n"/>
      <c r="AY4" s="3723" t="n"/>
      <c r="AZ4" s="3723" t="n"/>
      <c r="BA4" s="3752" t="n"/>
    </row>
    <row r="5" ht="11.25" customHeight="1" s="3710">
      <c r="B5" s="3753" t="n"/>
      <c r="C5" s="3723" t="n"/>
      <c r="D5" s="3723" t="n"/>
      <c r="E5" s="3723" t="n"/>
      <c r="F5" s="3723" t="n"/>
      <c r="G5" s="3723" t="n"/>
      <c r="H5" s="3723" t="n"/>
      <c r="I5" s="3723" t="n"/>
      <c r="J5" s="3723" t="n"/>
      <c r="K5" s="3723" t="n"/>
      <c r="L5" s="3723" t="n"/>
      <c r="M5" s="3723" t="n"/>
      <c r="N5" s="3723" t="n"/>
      <c r="O5" s="3723" t="n"/>
      <c r="P5" s="3723" t="n"/>
      <c r="Q5" s="3723" t="n"/>
      <c r="R5" s="3723" t="n"/>
      <c r="S5" s="3723" t="n"/>
      <c r="T5" s="3723" t="n"/>
      <c r="U5" s="3723" t="n"/>
      <c r="V5" s="3723" t="n"/>
      <c r="W5" s="3723" t="n"/>
      <c r="X5" s="3723" t="n"/>
      <c r="Y5" s="3723" t="n"/>
      <c r="Z5" s="3723" t="n"/>
      <c r="AA5" s="3723" t="n"/>
      <c r="AB5" s="3723" t="n"/>
      <c r="AC5" s="3723" t="n"/>
      <c r="AD5" s="3723" t="n"/>
      <c r="AE5" s="3723" t="n"/>
      <c r="AF5" s="3723" t="n"/>
      <c r="AG5" s="3723" t="n"/>
      <c r="AH5" s="3723" t="n"/>
      <c r="AI5" s="3723" t="n"/>
      <c r="AJ5" s="3723" t="n"/>
      <c r="AK5" s="3723" t="n"/>
      <c r="AL5" s="3723" t="n"/>
      <c r="AM5" s="3723" t="n"/>
      <c r="AN5" s="3723" t="n"/>
      <c r="AO5" s="3723" t="n"/>
      <c r="AP5" s="3723" t="n"/>
      <c r="AQ5" s="3723" t="n"/>
      <c r="AR5" s="3723" t="n"/>
      <c r="AS5" s="3723" t="n"/>
      <c r="AT5" s="3723" t="n"/>
      <c r="AU5" s="3723" t="n"/>
      <c r="AV5" s="3723" t="n"/>
      <c r="AW5" s="3723" t="n"/>
      <c r="AX5" s="3723" t="n"/>
      <c r="AY5" s="3723" t="n"/>
      <c r="AZ5" s="3723" t="n"/>
      <c r="BA5" s="3752" t="n"/>
    </row>
    <row r="6" ht="11.25" customHeight="1" s="3710">
      <c r="B6" s="3753" t="n"/>
      <c r="C6" s="3723" t="n"/>
      <c r="D6" s="3723" t="n"/>
      <c r="E6" s="3723" t="n"/>
      <c r="F6" s="3723" t="n"/>
      <c r="G6" s="3723" t="n"/>
      <c r="H6" s="3723" t="n"/>
      <c r="I6" s="3723" t="n"/>
      <c r="J6" s="3723" t="n"/>
      <c r="K6" s="3723" t="n"/>
      <c r="L6" s="3723" t="n"/>
      <c r="M6" s="3723" t="n"/>
      <c r="N6" s="3723" t="n"/>
      <c r="O6" s="3723" t="n"/>
      <c r="P6" s="3723" t="n"/>
      <c r="Q6" s="3723" t="n"/>
      <c r="R6" s="3723" t="n"/>
      <c r="S6" s="3723" t="n"/>
      <c r="T6" s="3723" t="n"/>
      <c r="U6" s="3723" t="n"/>
      <c r="V6" s="3723" t="n"/>
      <c r="W6" s="3723" t="n"/>
      <c r="X6" s="3723" t="n"/>
      <c r="Y6" s="3723" t="n"/>
      <c r="Z6" s="3723" t="n"/>
      <c r="AA6" s="3723" t="n"/>
      <c r="AB6" s="3723" t="n"/>
      <c r="AC6" s="3723" t="n"/>
      <c r="AD6" s="3723" t="n"/>
      <c r="AE6" s="3723" t="n"/>
      <c r="AF6" s="3723" t="n"/>
      <c r="AG6" s="3723" t="n"/>
      <c r="AH6" s="3723" t="n"/>
      <c r="AI6" s="3723" t="n"/>
      <c r="AJ6" s="3723" t="n"/>
      <c r="AK6" s="3723" t="n"/>
      <c r="AL6" s="3723" t="n"/>
      <c r="AM6" s="3723" t="n"/>
      <c r="AN6" s="3723" t="n"/>
      <c r="AO6" s="3723" t="n"/>
      <c r="AP6" s="3723" t="n"/>
      <c r="AQ6" s="3723" t="n"/>
      <c r="AR6" s="3723" t="n"/>
      <c r="AS6" s="3723" t="n"/>
      <c r="AT6" s="3723" t="n"/>
      <c r="AU6" s="3723" t="n"/>
      <c r="AV6" s="3723" t="n"/>
      <c r="AW6" s="3723" t="n"/>
      <c r="AX6" s="3723" t="n"/>
      <c r="AY6" s="3723" t="n"/>
      <c r="AZ6" s="3723" t="n"/>
      <c r="BA6" s="3752" t="n"/>
    </row>
    <row r="7" ht="19.5" customFormat="1" customHeight="1" s="3740">
      <c r="A7" s="3739" t="n"/>
      <c r="B7" s="3754" t="n"/>
      <c r="C7" s="3755" t="inlineStr">
        <is>
          <t>Quality of earnings</t>
        </is>
      </c>
      <c r="D7" s="3755" t="n"/>
      <c r="E7" s="3755" t="n"/>
      <c r="F7" s="3755" t="n"/>
      <c r="G7" s="3755" t="n"/>
      <c r="H7" s="3755" t="n"/>
      <c r="I7" s="3755" t="n"/>
      <c r="J7" s="3755" t="n"/>
      <c r="K7" s="3755" t="n"/>
      <c r="L7" s="3755" t="n"/>
      <c r="M7" s="3755" t="n"/>
      <c r="N7" s="3755" t="n"/>
      <c r="O7" s="3755" t="n"/>
      <c r="P7" s="3755" t="n"/>
      <c r="Q7" s="3755" t="n"/>
      <c r="R7" s="3755" t="n"/>
      <c r="S7" s="3755" t="n"/>
      <c r="T7" s="3755" t="n"/>
      <c r="U7" s="3755" t="n"/>
      <c r="V7" s="3755" t="n"/>
      <c r="W7" s="3755" t="n"/>
      <c r="X7" s="3755" t="n"/>
      <c r="Y7" s="3755" t="n"/>
      <c r="Z7" s="3755" t="n"/>
      <c r="AA7" s="3755" t="n"/>
      <c r="AB7" s="3755" t="n"/>
      <c r="AC7" s="3755" t="n"/>
      <c r="AD7" s="3755" t="n"/>
      <c r="AE7" s="3755" t="n"/>
      <c r="AF7" s="3755" t="n"/>
      <c r="AG7" s="3755" t="n"/>
      <c r="AH7" s="3755" t="n"/>
      <c r="AI7" s="3755" t="n"/>
      <c r="AJ7" s="3755" t="n"/>
      <c r="AK7" s="3755" t="n"/>
      <c r="AL7" s="3755" t="n"/>
      <c r="AM7" s="3755" t="n"/>
      <c r="AN7" s="3755" t="n"/>
      <c r="AO7" s="3755" t="n"/>
      <c r="AP7" s="3755" t="n"/>
      <c r="AQ7" s="3755" t="n"/>
      <c r="AR7" s="3755" t="n"/>
      <c r="AS7" s="3755" t="n"/>
      <c r="AT7" s="3755" t="n"/>
      <c r="AU7" s="3755" t="n"/>
      <c r="AV7" s="3755" t="n"/>
      <c r="AW7" s="3755" t="n"/>
      <c r="AX7" s="3755" t="n"/>
      <c r="AY7" s="3755" t="n"/>
      <c r="AZ7" s="3723" t="n"/>
      <c r="BA7" s="3755" t="inlineStr">
        <is>
          <t>Comments</t>
        </is>
      </c>
      <c r="BB7" s="3926" t="n"/>
    </row>
    <row r="8" ht="19.4" customFormat="1" customHeight="1" s="3740">
      <c r="A8" s="3739" t="n"/>
      <c r="B8" s="3754" t="n"/>
      <c r="C8" s="3759" t="inlineStr">
        <is>
          <t>$'000</t>
        </is>
      </c>
      <c r="D8" s="3759" t="inlineStr">
        <is>
          <t>Ref</t>
        </is>
      </c>
      <c r="E8" s="3928">
        <f>ctl_month_start</f>
        <v/>
      </c>
      <c r="F8" s="3928">
        <f>EDATE(ctl_month_start,1)</f>
        <v/>
      </c>
      <c r="G8" s="3928">
        <f>EDATE(ctl_month_start,2)</f>
        <v/>
      </c>
      <c r="H8" s="3928">
        <f>EDATE(ctl_month_start,3)</f>
        <v/>
      </c>
      <c r="I8" s="3928">
        <f>EDATE(ctl_month_start,4)</f>
        <v/>
      </c>
      <c r="J8" s="3928">
        <f>EDATE(ctl_month_start,5)</f>
        <v/>
      </c>
      <c r="K8" s="3928">
        <f>EDATE(ctl_month_start,6)</f>
        <v/>
      </c>
      <c r="L8" s="3928">
        <f>EDATE(ctl_month_start,7)</f>
        <v/>
      </c>
      <c r="M8" s="3928">
        <f>EDATE(ctl_month_start,8)</f>
        <v/>
      </c>
      <c r="N8" s="3928">
        <f>EDATE(ctl_month_start,9)</f>
        <v/>
      </c>
      <c r="O8" s="3928">
        <f>EDATE(ctl_month_start,10)</f>
        <v/>
      </c>
      <c r="P8" s="3928">
        <f>EDATE(ctl_month_start,11)</f>
        <v/>
      </c>
      <c r="Q8" s="3928">
        <f>EDATE(ctl_month_start,12)</f>
        <v/>
      </c>
      <c r="R8" s="3928">
        <f>EDATE(ctl_month_start,13)</f>
        <v/>
      </c>
      <c r="S8" s="3928">
        <f>EDATE(ctl_month_start,14)</f>
        <v/>
      </c>
      <c r="T8" s="3928">
        <f>EDATE(ctl_month_start,15)</f>
        <v/>
      </c>
      <c r="U8" s="3928">
        <f>EDATE(ctl_month_start,16)</f>
        <v/>
      </c>
      <c r="V8" s="3928">
        <f>EDATE(ctl_month_start,17)</f>
        <v/>
      </c>
      <c r="W8" s="3928">
        <f>EDATE(ctl_month_start,18)</f>
        <v/>
      </c>
      <c r="X8" s="3928">
        <f>EDATE(ctl_month_start,19)</f>
        <v/>
      </c>
      <c r="Y8" s="3928">
        <f>EDATE(ctl_month_start,20)</f>
        <v/>
      </c>
      <c r="Z8" s="3928">
        <f>EDATE(ctl_month_start,21)</f>
        <v/>
      </c>
      <c r="AA8" s="3928">
        <f>EDATE(ctl_month_start,22)</f>
        <v/>
      </c>
      <c r="AB8" s="3928">
        <f>EDATE(ctl_month_start,23)</f>
        <v/>
      </c>
      <c r="AC8" s="3928">
        <f>EDATE(ctl_month_start,24)</f>
        <v/>
      </c>
      <c r="AD8" s="3928">
        <f>EDATE(ctl_month_start,25)</f>
        <v/>
      </c>
      <c r="AE8" s="3928">
        <f>EDATE(ctl_month_start,26)</f>
        <v/>
      </c>
      <c r="AF8" s="3928">
        <f>EDATE(ctl_month_start,27)</f>
        <v/>
      </c>
      <c r="AG8" s="3928">
        <f>EDATE(ctl_month_start,28)</f>
        <v/>
      </c>
      <c r="AH8" s="3928">
        <f>EDATE(ctl_month_start,29)</f>
        <v/>
      </c>
      <c r="AI8" s="3928">
        <f>EDATE(ctl_month_start,30)</f>
        <v/>
      </c>
      <c r="AJ8" s="3928">
        <f>EDATE(ctl_month_start,31)</f>
        <v/>
      </c>
      <c r="AK8" s="3928">
        <f>EDATE(ctl_month_start,32)</f>
        <v/>
      </c>
      <c r="AL8" s="3928">
        <f>EDATE(ctl_month_start,33)</f>
        <v/>
      </c>
      <c r="AM8" s="3928">
        <f>EDATE(ctl_month_start,34)</f>
        <v/>
      </c>
      <c r="AN8" s="3928">
        <f>EDATE(ctl_month_start,35)</f>
        <v/>
      </c>
      <c r="AO8" s="3928" t="n"/>
      <c r="AP8" s="3928" t="n"/>
      <c r="AQ8" s="3928" t="n"/>
      <c r="AR8" s="3928" t="n"/>
      <c r="AS8" s="3928" t="n"/>
      <c r="AT8" s="3929" t="n"/>
      <c r="AU8" s="3905" t="n"/>
      <c r="AV8" s="3906" t="n"/>
      <c r="AW8" s="3930" t="n"/>
      <c r="AX8" s="3907" t="n"/>
      <c r="AY8" s="3907" t="n"/>
      <c r="AZ8" s="3764" t="n"/>
      <c r="BA8" s="3769" t="n"/>
      <c r="BB8" s="3926" t="n"/>
    </row>
    <row r="9" ht="12" customHeight="1" s="3710">
      <c r="B9" s="3770" t="n"/>
      <c r="C9" s="3771" t="inlineStr">
        <is>
          <t>Revenue, reported</t>
        </is>
      </c>
      <c r="D9" s="3771" t="n"/>
      <c r="E9" s="3773" t="n"/>
      <c r="F9" s="3773" t="n"/>
      <c r="G9" s="3773" t="n"/>
      <c r="H9" s="3773" t="n"/>
      <c r="I9" s="3773" t="n"/>
      <c r="J9" s="3773" t="n"/>
      <c r="K9" s="3773" t="n"/>
      <c r="L9" s="3773" t="n"/>
      <c r="M9" s="3773" t="n"/>
      <c r="N9" s="3773" t="n"/>
      <c r="O9" s="3773" t="n"/>
      <c r="P9" s="3931" t="n"/>
      <c r="Q9" s="3773" t="n"/>
      <c r="R9" s="3773" t="n"/>
      <c r="S9" s="3773" t="n"/>
      <c r="T9" s="3773" t="n"/>
      <c r="U9" s="3773" t="n"/>
      <c r="V9" s="3773" t="n"/>
      <c r="W9" s="3773" t="n"/>
      <c r="X9" s="3773" t="n"/>
      <c r="Y9" s="3773" t="n"/>
      <c r="Z9" s="3773" t="n"/>
      <c r="AA9" s="3773" t="n"/>
      <c r="AB9" s="3931" t="n"/>
      <c r="AC9" s="3773" t="n"/>
      <c r="AD9" s="3773" t="n"/>
      <c r="AE9" s="3773" t="n"/>
      <c r="AF9" s="3773" t="n"/>
      <c r="AG9" s="3773" t="n"/>
      <c r="AH9" s="3773" t="n"/>
      <c r="AI9" s="3773" t="n"/>
      <c r="AJ9" s="3773" t="n"/>
      <c r="AK9" s="3773" t="n"/>
      <c r="AL9" s="3773" t="n"/>
      <c r="AM9" s="3773" t="n"/>
      <c r="AN9" s="3931" t="n"/>
      <c r="AO9" s="3773">
        <f>'Income statement'!AP117</f>
        <v/>
      </c>
      <c r="AP9" s="3773">
        <f>'Income statement'!AQ117</f>
        <v/>
      </c>
      <c r="AQ9" s="3773">
        <f>'Income statement'!AR117</f>
        <v/>
      </c>
      <c r="AR9" s="3773">
        <f>'Income statement'!AS117</f>
        <v/>
      </c>
      <c r="AS9" s="3773">
        <f>'Income statement'!AT117</f>
        <v/>
      </c>
      <c r="AT9" s="3932">
        <f>'Income statement'!AU117</f>
        <v/>
      </c>
      <c r="AU9" s="3772">
        <f>SUM(E9:P9)</f>
        <v/>
      </c>
      <c r="AV9" s="3772">
        <f>SUM(Q9:AB9)</f>
        <v/>
      </c>
      <c r="AW9" s="3773">
        <f>SUM(AC9:AN9)</f>
        <v/>
      </c>
      <c r="AX9" s="3773">
        <f>SUM(AG9:AR9)</f>
        <v/>
      </c>
      <c r="AY9" s="3773">
        <f>SUM(AI9:AT9)</f>
        <v/>
      </c>
      <c r="AZ9" s="3723" t="n"/>
      <c r="BA9" s="3775" t="n"/>
    </row>
    <row r="10" hidden="1" outlineLevel="1" ht="12" customHeight="1" s="3710">
      <c r="B10" s="3770" t="n"/>
      <c r="C10" s="3729" t="inlineStr">
        <is>
          <t>Due diligence adjustments</t>
        </is>
      </c>
      <c r="D10" s="3776" t="n"/>
      <c r="E10" s="3778" t="n"/>
      <c r="F10" s="3778" t="n"/>
      <c r="G10" s="3778" t="n"/>
      <c r="H10" s="3778" t="n"/>
      <c r="I10" s="3778" t="n"/>
      <c r="J10" s="3778" t="n"/>
      <c r="K10" s="3778" t="n"/>
      <c r="L10" s="3778" t="n"/>
      <c r="M10" s="3778" t="n"/>
      <c r="N10" s="3778" t="n"/>
      <c r="O10" s="3778" t="n"/>
      <c r="P10" s="3933" t="n"/>
      <c r="Q10" s="3778" t="n"/>
      <c r="R10" s="3778" t="n"/>
      <c r="S10" s="3778" t="n"/>
      <c r="T10" s="3778" t="n"/>
      <c r="U10" s="3778" t="n"/>
      <c r="V10" s="3778" t="n"/>
      <c r="W10" s="3778" t="n"/>
      <c r="X10" s="3778" t="n"/>
      <c r="Y10" s="3778" t="n"/>
      <c r="Z10" s="3778" t="n"/>
      <c r="AA10" s="3778" t="n"/>
      <c r="AB10" s="3933" t="n"/>
      <c r="AC10" s="3778" t="n"/>
      <c r="AD10" s="3778" t="n"/>
      <c r="AE10" s="3778" t="n"/>
      <c r="AF10" s="3778" t="n"/>
      <c r="AG10" s="3778" t="n"/>
      <c r="AH10" s="3778" t="n"/>
      <c r="AI10" s="3778" t="n"/>
      <c r="AJ10" s="3778" t="n"/>
      <c r="AK10" s="3778" t="n"/>
      <c r="AL10" s="3778" t="n"/>
      <c r="AM10" s="3778" t="n"/>
      <c r="AN10" s="3933" t="n"/>
      <c r="AO10" s="3778" t="n"/>
      <c r="AP10" s="3778" t="n"/>
      <c r="AQ10" s="3778" t="n"/>
      <c r="AR10" s="3778" t="n"/>
      <c r="AS10" s="3778" t="n"/>
      <c r="AT10" s="3934" t="n"/>
      <c r="AU10" s="3777" t="n"/>
      <c r="AV10" s="3777" t="n"/>
      <c r="AW10" s="3778" t="n"/>
      <c r="AX10" s="3778" t="n"/>
      <c r="AY10" s="3778" t="n"/>
      <c r="AZ10" s="3723" t="n"/>
      <c r="BA10" s="3780" t="n"/>
    </row>
    <row r="11" hidden="1" outlineLevel="1" ht="12" customHeight="1" s="3710">
      <c r="B11" s="3770" t="n"/>
      <c r="C11" s="3781">
        <f>C48</f>
        <v/>
      </c>
      <c r="D11" s="3782">
        <f>D48</f>
        <v/>
      </c>
      <c r="E11" s="3784" t="n"/>
      <c r="F11" s="3784" t="n"/>
      <c r="G11" s="3784" t="n"/>
      <c r="H11" s="3784" t="n"/>
      <c r="I11" s="3784" t="n"/>
      <c r="J11" s="3784" t="n"/>
      <c r="K11" s="3784" t="n"/>
      <c r="L11" s="3784" t="n"/>
      <c r="M11" s="3784" t="n"/>
      <c r="N11" s="3784" t="n"/>
      <c r="O11" s="3784" t="n"/>
      <c r="P11" s="3935" t="n"/>
      <c r="Q11" s="3784" t="n"/>
      <c r="R11" s="3784" t="n"/>
      <c r="S11" s="3784" t="n"/>
      <c r="T11" s="3784" t="n"/>
      <c r="U11" s="3784" t="n"/>
      <c r="V11" s="3784" t="n"/>
      <c r="W11" s="3784" t="n"/>
      <c r="X11" s="3784" t="n"/>
      <c r="Y11" s="3784" t="n"/>
      <c r="Z11" s="3784" t="n"/>
      <c r="AA11" s="3784" t="n"/>
      <c r="AB11" s="3935" t="n"/>
      <c r="AC11" s="3784" t="n"/>
      <c r="AD11" s="3784" t="n"/>
      <c r="AE11" s="3784" t="n"/>
      <c r="AF11" s="3784" t="n"/>
      <c r="AG11" s="3784" t="n"/>
      <c r="AH11" s="3784" t="n"/>
      <c r="AI11" s="3784" t="n"/>
      <c r="AJ11" s="3784" t="n"/>
      <c r="AK11" s="3784" t="n"/>
      <c r="AL11" s="3784" t="n"/>
      <c r="AM11" s="3784" t="n"/>
      <c r="AN11" s="3935" t="n"/>
      <c r="AO11" s="3784">
        <f>AO48</f>
        <v/>
      </c>
      <c r="AP11" s="3784">
        <f>AP48</f>
        <v/>
      </c>
      <c r="AQ11" s="3784">
        <f>AQ48</f>
        <v/>
      </c>
      <c r="AR11" s="3784">
        <f>AR48</f>
        <v/>
      </c>
      <c r="AS11" s="3784">
        <f>AS48</f>
        <v/>
      </c>
      <c r="AT11" s="3936">
        <f>AT48</f>
        <v/>
      </c>
      <c r="AU11" s="3783">
        <f>SUM(E11:P11)</f>
        <v/>
      </c>
      <c r="AV11" s="3783">
        <f>SUM(Q11:AB11)</f>
        <v/>
      </c>
      <c r="AW11" s="3784">
        <f>SUM(AC11:AN11)</f>
        <v/>
      </c>
      <c r="AX11" s="3784">
        <f>SUM(AG11:AR11)</f>
        <v/>
      </c>
      <c r="AY11" s="3784">
        <f>SUM(AI11:AT11)</f>
        <v/>
      </c>
      <c r="AZ11" s="3723" t="n"/>
      <c r="BA11" s="3786" t="n"/>
    </row>
    <row r="12" hidden="1" outlineLevel="1" ht="12" customHeight="1" s="3710">
      <c r="B12" s="3770" t="n"/>
      <c r="C12" s="3787">
        <f>C49</f>
        <v/>
      </c>
      <c r="D12" s="3788">
        <f>D49</f>
        <v/>
      </c>
      <c r="E12" s="3790" t="n"/>
      <c r="F12" s="3790" t="n"/>
      <c r="G12" s="3790" t="n"/>
      <c r="H12" s="3790" t="n"/>
      <c r="I12" s="3790" t="n"/>
      <c r="J12" s="3790" t="n"/>
      <c r="K12" s="3790" t="n"/>
      <c r="L12" s="3790" t="n"/>
      <c r="M12" s="3790" t="n"/>
      <c r="N12" s="3790" t="n"/>
      <c r="O12" s="3790" t="n"/>
      <c r="P12" s="3937" t="n"/>
      <c r="Q12" s="3790" t="n"/>
      <c r="R12" s="3790" t="n"/>
      <c r="S12" s="3790" t="n"/>
      <c r="T12" s="3790" t="n"/>
      <c r="U12" s="3790" t="n"/>
      <c r="V12" s="3790" t="n"/>
      <c r="W12" s="3790" t="n"/>
      <c r="X12" s="3790" t="n"/>
      <c r="Y12" s="3790" t="n"/>
      <c r="Z12" s="3790" t="n"/>
      <c r="AA12" s="3790" t="n"/>
      <c r="AB12" s="3937" t="n"/>
      <c r="AC12" s="3790" t="n"/>
      <c r="AD12" s="3790" t="n"/>
      <c r="AE12" s="3790" t="n"/>
      <c r="AF12" s="3790" t="n"/>
      <c r="AG12" s="3790" t="n"/>
      <c r="AH12" s="3790" t="n"/>
      <c r="AI12" s="3790" t="n"/>
      <c r="AJ12" s="3790" t="n"/>
      <c r="AK12" s="3790" t="n"/>
      <c r="AL12" s="3790" t="n"/>
      <c r="AM12" s="3790" t="n"/>
      <c r="AN12" s="3937" t="n"/>
      <c r="AO12" s="3790" t="n"/>
      <c r="AP12" s="3790" t="n"/>
      <c r="AQ12" s="3790" t="n"/>
      <c r="AR12" s="3790" t="n"/>
      <c r="AS12" s="3790" t="n"/>
      <c r="AT12" s="3938" t="n"/>
      <c r="AU12" s="3789">
        <f>SUM(E12:P12)</f>
        <v/>
      </c>
      <c r="AV12" s="3789">
        <f>SUM(Q12:AB12)</f>
        <v/>
      </c>
      <c r="AW12" s="3790">
        <f>SUM(AC12:AN12)</f>
        <v/>
      </c>
      <c r="AX12" s="3790">
        <f>SUM(AG12:AR12)</f>
        <v/>
      </c>
      <c r="AY12" s="3790">
        <f>SUM(AI12:AT12)</f>
        <v/>
      </c>
      <c r="AZ12" s="3723" t="n"/>
      <c r="BA12" s="3786" t="n"/>
    </row>
    <row r="13" hidden="1" outlineLevel="1" ht="12" customHeight="1" s="3710">
      <c r="B13" s="3770" t="n"/>
      <c r="C13" s="3792">
        <f>C50</f>
        <v/>
      </c>
      <c r="D13" s="3793">
        <f>D50</f>
        <v/>
      </c>
      <c r="E13" s="3795" t="n"/>
      <c r="F13" s="3795" t="n"/>
      <c r="G13" s="3795" t="n"/>
      <c r="H13" s="3795" t="n"/>
      <c r="I13" s="3795" t="n"/>
      <c r="J13" s="3795" t="n"/>
      <c r="K13" s="3795" t="n"/>
      <c r="L13" s="3795" t="n"/>
      <c r="M13" s="3795" t="n"/>
      <c r="N13" s="3795" t="n"/>
      <c r="O13" s="3795" t="n"/>
      <c r="P13" s="3939" t="n"/>
      <c r="Q13" s="3795" t="n"/>
      <c r="R13" s="3795" t="n"/>
      <c r="S13" s="3795" t="n"/>
      <c r="T13" s="3795" t="n"/>
      <c r="U13" s="3795" t="n"/>
      <c r="V13" s="3795" t="n"/>
      <c r="W13" s="3795" t="n"/>
      <c r="X13" s="3795" t="n"/>
      <c r="Y13" s="3795" t="n"/>
      <c r="Z13" s="3795" t="n"/>
      <c r="AA13" s="3795" t="n"/>
      <c r="AB13" s="3939" t="n"/>
      <c r="AC13" s="3795" t="n"/>
      <c r="AD13" s="3795" t="n"/>
      <c r="AE13" s="3795" t="n"/>
      <c r="AF13" s="3795" t="n"/>
      <c r="AG13" s="3795" t="n"/>
      <c r="AH13" s="3795" t="n"/>
      <c r="AI13" s="3795" t="n"/>
      <c r="AJ13" s="3795" t="n"/>
      <c r="AK13" s="3795" t="n"/>
      <c r="AL13" s="3795" t="n"/>
      <c r="AM13" s="3795" t="n"/>
      <c r="AN13" s="3939" t="n"/>
      <c r="AO13" s="3795">
        <f>AO50</f>
        <v/>
      </c>
      <c r="AP13" s="3795">
        <f>AP50</f>
        <v/>
      </c>
      <c r="AQ13" s="3795">
        <f>AQ50</f>
        <v/>
      </c>
      <c r="AR13" s="3795">
        <f>AR50</f>
        <v/>
      </c>
      <c r="AS13" s="3795">
        <f>AS50</f>
        <v/>
      </c>
      <c r="AT13" s="3940">
        <f>AT50</f>
        <v/>
      </c>
      <c r="AU13" s="3794">
        <f>SUM(E13:P13)</f>
        <v/>
      </c>
      <c r="AV13" s="3794">
        <f>SUM(Q13:AB13)</f>
        <v/>
      </c>
      <c r="AW13" s="3795">
        <f>SUM(AC13:AN13)</f>
        <v/>
      </c>
      <c r="AX13" s="3795">
        <f>SUM(AG13:AR13)</f>
        <v/>
      </c>
      <c r="AY13" s="3795">
        <f>SUM(AI13:AT13)</f>
        <v/>
      </c>
      <c r="AZ13" s="3723" t="n"/>
      <c r="BA13" s="3786" t="n"/>
    </row>
    <row r="14" ht="12" customHeight="1" s="3710">
      <c r="B14" s="3770" t="n"/>
      <c r="C14" s="3797" t="inlineStr">
        <is>
          <t>Due diligence adjustments</t>
        </is>
      </c>
      <c r="D14" s="3798" t="n"/>
      <c r="E14" s="3790" t="n"/>
      <c r="F14" s="3790" t="n"/>
      <c r="G14" s="3790" t="n"/>
      <c r="H14" s="3790" t="n"/>
      <c r="I14" s="3790" t="n"/>
      <c r="J14" s="3790" t="n"/>
      <c r="K14" s="3790" t="n"/>
      <c r="L14" s="3790" t="n"/>
      <c r="M14" s="3790" t="n"/>
      <c r="N14" s="3790" t="n"/>
      <c r="O14" s="3790" t="n"/>
      <c r="P14" s="3937" t="n"/>
      <c r="Q14" s="3790" t="n"/>
      <c r="R14" s="3790" t="n"/>
      <c r="S14" s="3790" t="n"/>
      <c r="T14" s="3790" t="n"/>
      <c r="U14" s="3790" t="n"/>
      <c r="V14" s="3790" t="n"/>
      <c r="W14" s="3790" t="n"/>
      <c r="X14" s="3790" t="n"/>
      <c r="Y14" s="3790" t="n"/>
      <c r="Z14" s="3790" t="n"/>
      <c r="AA14" s="3790" t="n"/>
      <c r="AB14" s="3937" t="n"/>
      <c r="AC14" s="3790" t="n"/>
      <c r="AD14" s="3790" t="n"/>
      <c r="AE14" s="3790" t="n"/>
      <c r="AF14" s="3790" t="n"/>
      <c r="AG14" s="3790" t="n"/>
      <c r="AH14" s="3790" t="n"/>
      <c r="AI14" s="3790" t="n"/>
      <c r="AJ14" s="3790" t="n"/>
      <c r="AK14" s="3790" t="n"/>
      <c r="AL14" s="3790" t="n"/>
      <c r="AM14" s="3790" t="n"/>
      <c r="AN14" s="3937" t="n"/>
      <c r="AO14" s="3790">
        <f>SUM(AO11:AO13)</f>
        <v/>
      </c>
      <c r="AP14" s="3790">
        <f>SUM(AP11:AP13)</f>
        <v/>
      </c>
      <c r="AQ14" s="3790">
        <f>SUM(AQ11:AQ13)</f>
        <v/>
      </c>
      <c r="AR14" s="3790">
        <f>SUM(AR11:AR13)</f>
        <v/>
      </c>
      <c r="AS14" s="3790">
        <f>SUM(AS11:AS13)</f>
        <v/>
      </c>
      <c r="AT14" s="3938">
        <f>SUM(AT11:AT13)</f>
        <v/>
      </c>
      <c r="AU14" s="3789">
        <f>SUM(AU11:AU13)</f>
        <v/>
      </c>
      <c r="AV14" s="3789">
        <f>SUM(AV11:AV13)</f>
        <v/>
      </c>
      <c r="AW14" s="3790">
        <f>SUM(AW11:AW13)</f>
        <v/>
      </c>
      <c r="AX14" s="3790">
        <f>SUM(AX11:AX13)</f>
        <v/>
      </c>
      <c r="AY14" s="3790">
        <f>SUM(AY11:AY13)</f>
        <v/>
      </c>
      <c r="AZ14" s="3723" t="n"/>
      <c r="BA14" s="3799" t="n"/>
    </row>
    <row r="15" ht="12" customHeight="1" s="3710">
      <c r="B15" s="3770" t="n"/>
      <c r="C15" s="3800" t="inlineStr">
        <is>
          <t>Revenue, due diligence adjusted</t>
        </is>
      </c>
      <c r="D15" s="3800" t="n"/>
      <c r="E15" s="3802" t="n"/>
      <c r="F15" s="3802" t="n"/>
      <c r="G15" s="3802" t="n"/>
      <c r="H15" s="3802" t="n"/>
      <c r="I15" s="3802" t="n"/>
      <c r="J15" s="3802" t="n"/>
      <c r="K15" s="3802" t="n"/>
      <c r="L15" s="3802" t="n"/>
      <c r="M15" s="3802" t="n"/>
      <c r="N15" s="3802" t="n"/>
      <c r="O15" s="3802" t="n"/>
      <c r="P15" s="3941" t="n"/>
      <c r="Q15" s="3802" t="n"/>
      <c r="R15" s="3802" t="n"/>
      <c r="S15" s="3802" t="n"/>
      <c r="T15" s="3802" t="n"/>
      <c r="U15" s="3802" t="n"/>
      <c r="V15" s="3802" t="n"/>
      <c r="W15" s="3802" t="n"/>
      <c r="X15" s="3802" t="n"/>
      <c r="Y15" s="3802" t="n"/>
      <c r="Z15" s="3802" t="n"/>
      <c r="AA15" s="3802" t="n"/>
      <c r="AB15" s="3941" t="n"/>
      <c r="AC15" s="3802" t="n"/>
      <c r="AD15" s="3802" t="n"/>
      <c r="AE15" s="3802" t="n"/>
      <c r="AF15" s="3802" t="n"/>
      <c r="AG15" s="3802" t="n"/>
      <c r="AH15" s="3802" t="n"/>
      <c r="AI15" s="3802" t="n"/>
      <c r="AJ15" s="3802" t="n"/>
      <c r="AK15" s="3802" t="n"/>
      <c r="AL15" s="3802" t="n"/>
      <c r="AM15" s="3802" t="n"/>
      <c r="AN15" s="3941" t="n"/>
      <c r="AO15" s="3802">
        <f>SUM(AO14,AO9)</f>
        <v/>
      </c>
      <c r="AP15" s="3802">
        <f>SUM(AP14,AP9)</f>
        <v/>
      </c>
      <c r="AQ15" s="3802">
        <f>SUM(AQ14,AQ9)</f>
        <v/>
      </c>
      <c r="AR15" s="3802">
        <f>SUM(AR14,AR9)</f>
        <v/>
      </c>
      <c r="AS15" s="3802">
        <f>SUM(AS14,AS9)</f>
        <v/>
      </c>
      <c r="AT15" s="3942">
        <f>SUM(AT14,AT9)</f>
        <v/>
      </c>
      <c r="AU15" s="3801">
        <f>SUM(AU14,AU9)</f>
        <v/>
      </c>
      <c r="AV15" s="3801">
        <f>SUM(AV14,AV9)</f>
        <v/>
      </c>
      <c r="AW15" s="3802">
        <f>SUM(AW14,AW9)</f>
        <v/>
      </c>
      <c r="AX15" s="3802">
        <f>SUM(AX14,AX9)</f>
        <v/>
      </c>
      <c r="AY15" s="3802">
        <f>SUM(AY14,AY9)</f>
        <v/>
      </c>
      <c r="AZ15" s="3723" t="n"/>
      <c r="BA15" s="3804" t="n"/>
    </row>
    <row r="16" hidden="1" outlineLevel="1" ht="12" customHeight="1" s="3710">
      <c r="B16" s="3770" t="n"/>
      <c r="C16" s="3729" t="inlineStr">
        <is>
          <t>Pro forma adjustments</t>
        </is>
      </c>
      <c r="D16" s="3776" t="n"/>
      <c r="E16" s="3778" t="n"/>
      <c r="F16" s="3778" t="n"/>
      <c r="G16" s="3778" t="n"/>
      <c r="H16" s="3778" t="n"/>
      <c r="I16" s="3778" t="n"/>
      <c r="J16" s="3778" t="n"/>
      <c r="K16" s="3778" t="n"/>
      <c r="L16" s="3778" t="n"/>
      <c r="M16" s="3778" t="n"/>
      <c r="N16" s="3778" t="n"/>
      <c r="O16" s="3778" t="n"/>
      <c r="P16" s="3933" t="n"/>
      <c r="Q16" s="3778" t="n"/>
      <c r="R16" s="3778" t="n"/>
      <c r="S16" s="3778" t="n"/>
      <c r="T16" s="3778" t="n"/>
      <c r="U16" s="3778" t="n"/>
      <c r="V16" s="3778" t="n"/>
      <c r="W16" s="3778" t="n"/>
      <c r="X16" s="3778" t="n"/>
      <c r="Y16" s="3778" t="n"/>
      <c r="Z16" s="3778" t="n"/>
      <c r="AA16" s="3778" t="n"/>
      <c r="AB16" s="3933" t="n"/>
      <c r="AC16" s="3778" t="n"/>
      <c r="AD16" s="3778" t="n"/>
      <c r="AE16" s="3778" t="n"/>
      <c r="AF16" s="3778" t="n"/>
      <c r="AG16" s="3778" t="n"/>
      <c r="AH16" s="3778" t="n"/>
      <c r="AI16" s="3778" t="n"/>
      <c r="AJ16" s="3778" t="n"/>
      <c r="AK16" s="3778" t="n"/>
      <c r="AL16" s="3778" t="n"/>
      <c r="AM16" s="3778" t="n"/>
      <c r="AN16" s="3933" t="n"/>
      <c r="AO16" s="3778" t="n"/>
      <c r="AP16" s="3778" t="n"/>
      <c r="AQ16" s="3778" t="n"/>
      <c r="AR16" s="3778" t="n"/>
      <c r="AS16" s="3778" t="n"/>
      <c r="AT16" s="3934" t="n"/>
      <c r="AU16" s="3777" t="n"/>
      <c r="AV16" s="3777" t="n"/>
      <c r="AW16" s="3778" t="n"/>
      <c r="AX16" s="3778" t="n"/>
      <c r="AY16" s="3778" t="n"/>
      <c r="AZ16" s="3723" t="n"/>
      <c r="BA16" s="3780" t="n"/>
    </row>
    <row r="17" hidden="1" outlineLevel="2" ht="12" customHeight="1" s="3710">
      <c r="B17" s="3770" t="n"/>
      <c r="C17" s="3805">
        <f>C70</f>
        <v/>
      </c>
      <c r="D17" s="3782">
        <f>D70</f>
        <v/>
      </c>
      <c r="E17" s="3807" t="n"/>
      <c r="F17" s="3807" t="n"/>
      <c r="G17" s="3807" t="n"/>
      <c r="H17" s="3807" t="n"/>
      <c r="I17" s="3807" t="n"/>
      <c r="J17" s="3807" t="n"/>
      <c r="K17" s="3807" t="n"/>
      <c r="L17" s="3807" t="n"/>
      <c r="M17" s="3807" t="n"/>
      <c r="N17" s="3807" t="n"/>
      <c r="O17" s="3807" t="n"/>
      <c r="P17" s="3943" t="n"/>
      <c r="Q17" s="3807" t="n"/>
      <c r="R17" s="3807" t="n"/>
      <c r="S17" s="3807" t="n"/>
      <c r="T17" s="3807" t="n"/>
      <c r="U17" s="3807" t="n"/>
      <c r="V17" s="3807" t="n"/>
      <c r="W17" s="3807" t="n"/>
      <c r="X17" s="3807" t="n"/>
      <c r="Y17" s="3807" t="n"/>
      <c r="Z17" s="3807" t="n"/>
      <c r="AA17" s="3807" t="n"/>
      <c r="AB17" s="3943" t="n"/>
      <c r="AC17" s="3807" t="n"/>
      <c r="AD17" s="3807" t="n"/>
      <c r="AE17" s="3807" t="n"/>
      <c r="AF17" s="3807" t="n"/>
      <c r="AG17" s="3807" t="n"/>
      <c r="AH17" s="3807" t="n"/>
      <c r="AI17" s="3807" t="n"/>
      <c r="AJ17" s="3807" t="n"/>
      <c r="AK17" s="3807" t="n"/>
      <c r="AL17" s="3807" t="n"/>
      <c r="AM17" s="3807" t="n"/>
      <c r="AN17" s="3943" t="n"/>
      <c r="AO17" s="3807" t="n"/>
      <c r="AP17" s="3807" t="n"/>
      <c r="AQ17" s="3807" t="n"/>
      <c r="AR17" s="3807" t="n"/>
      <c r="AS17" s="3807" t="n"/>
      <c r="AT17" s="3944" t="n"/>
      <c r="AU17" s="3806">
        <f>SUM(E17:P17)</f>
        <v/>
      </c>
      <c r="AV17" s="3806">
        <f>SUM(Q17:AB17)</f>
        <v/>
      </c>
      <c r="AW17" s="3807">
        <f>SUM(AC17:AN17)</f>
        <v/>
      </c>
      <c r="AX17" s="3807">
        <f>SUM(AG17:AR17)</f>
        <v/>
      </c>
      <c r="AY17" s="3807">
        <f>SUM(AI17:AT17)</f>
        <v/>
      </c>
      <c r="AZ17" s="3723" t="n"/>
      <c r="BA17" s="3808" t="n"/>
    </row>
    <row r="18" hidden="1" outlineLevel="2" ht="12" customHeight="1" s="3710">
      <c r="B18" s="3770" t="n"/>
      <c r="C18" s="3809">
        <f>C71</f>
        <v/>
      </c>
      <c r="D18" s="3788">
        <f>D71</f>
        <v/>
      </c>
      <c r="E18" s="3811" t="n"/>
      <c r="F18" s="3811" t="n"/>
      <c r="G18" s="3811" t="n"/>
      <c r="H18" s="3811" t="n"/>
      <c r="I18" s="3811" t="n"/>
      <c r="J18" s="3811" t="n"/>
      <c r="K18" s="3811" t="n"/>
      <c r="L18" s="3811" t="n"/>
      <c r="M18" s="3811" t="n"/>
      <c r="N18" s="3811" t="n"/>
      <c r="O18" s="3811" t="n"/>
      <c r="P18" s="3945" t="n"/>
      <c r="Q18" s="3811" t="n"/>
      <c r="R18" s="3811" t="n"/>
      <c r="S18" s="3811" t="n"/>
      <c r="T18" s="3811" t="n"/>
      <c r="U18" s="3811" t="n"/>
      <c r="V18" s="3811" t="n"/>
      <c r="W18" s="3811" t="n"/>
      <c r="X18" s="3811" t="n"/>
      <c r="Y18" s="3811" t="n"/>
      <c r="Z18" s="3811" t="n"/>
      <c r="AA18" s="3811" t="n"/>
      <c r="AB18" s="3945" t="n"/>
      <c r="AC18" s="3811" t="n"/>
      <c r="AD18" s="3811" t="n"/>
      <c r="AE18" s="3811" t="n"/>
      <c r="AF18" s="3811" t="n"/>
      <c r="AG18" s="3811" t="n"/>
      <c r="AH18" s="3811" t="n"/>
      <c r="AI18" s="3811" t="n"/>
      <c r="AJ18" s="3811" t="n"/>
      <c r="AK18" s="3811" t="n"/>
      <c r="AL18" s="3811" t="n"/>
      <c r="AM18" s="3811" t="n"/>
      <c r="AN18" s="3945" t="n"/>
      <c r="AO18" s="3811" t="n"/>
      <c r="AP18" s="3811" t="n"/>
      <c r="AQ18" s="3811" t="n"/>
      <c r="AR18" s="3811" t="n"/>
      <c r="AS18" s="3811" t="n"/>
      <c r="AT18" s="3946" t="n"/>
      <c r="AU18" s="3810">
        <f>SUM(E18:P18)</f>
        <v/>
      </c>
      <c r="AV18" s="3810">
        <f>SUM(Q18:AB18)</f>
        <v/>
      </c>
      <c r="AW18" s="3811">
        <f>SUM(AC18:AN18)</f>
        <v/>
      </c>
      <c r="AX18" s="3811">
        <f>SUM(AG18:AR18)</f>
        <v/>
      </c>
      <c r="AY18" s="3811">
        <f>SUM(AI18:AT18)</f>
        <v/>
      </c>
      <c r="AZ18" s="3723" t="n"/>
      <c r="BA18" s="3808" t="n"/>
    </row>
    <row r="19" hidden="1" outlineLevel="1" ht="12" customHeight="1" s="3710">
      <c r="B19" s="3770" t="n"/>
      <c r="C19" s="3787">
        <f>C72</f>
        <v/>
      </c>
      <c r="D19" s="3812">
        <f>D72</f>
        <v/>
      </c>
      <c r="E19" s="3807" t="n"/>
      <c r="F19" s="3807" t="n"/>
      <c r="G19" s="3807" t="n"/>
      <c r="H19" s="3807" t="n"/>
      <c r="I19" s="3807" t="n"/>
      <c r="J19" s="3807" t="n"/>
      <c r="K19" s="3807" t="n"/>
      <c r="L19" s="3807" t="n"/>
      <c r="M19" s="3807" t="n"/>
      <c r="N19" s="3807" t="n"/>
      <c r="O19" s="3807" t="n"/>
      <c r="P19" s="3943" t="n"/>
      <c r="Q19" s="3807" t="n"/>
      <c r="R19" s="3807" t="n"/>
      <c r="S19" s="3807" t="n"/>
      <c r="T19" s="3807" t="n"/>
      <c r="U19" s="3807" t="n"/>
      <c r="V19" s="3807" t="n"/>
      <c r="W19" s="3807" t="n"/>
      <c r="X19" s="3807" t="n"/>
      <c r="Y19" s="3807" t="n"/>
      <c r="Z19" s="3807" t="n"/>
      <c r="AA19" s="3807" t="n"/>
      <c r="AB19" s="3943" t="n"/>
      <c r="AC19" s="3807" t="n"/>
      <c r="AD19" s="3807" t="n"/>
      <c r="AE19" s="3807" t="n"/>
      <c r="AF19" s="3807" t="n"/>
      <c r="AG19" s="3807" t="n"/>
      <c r="AH19" s="3807" t="n"/>
      <c r="AI19" s="3807" t="n"/>
      <c r="AJ19" s="3807" t="n"/>
      <c r="AK19" s="3807" t="n"/>
      <c r="AL19" s="3807" t="n"/>
      <c r="AM19" s="3807" t="n"/>
      <c r="AN19" s="3943" t="n"/>
      <c r="AO19" s="3807">
        <f>SUM(AO17:AO18)</f>
        <v/>
      </c>
      <c r="AP19" s="3807">
        <f>SUM(AP17:AP18)</f>
        <v/>
      </c>
      <c r="AQ19" s="3807">
        <f>SUM(AQ17:AQ18)</f>
        <v/>
      </c>
      <c r="AR19" s="3807">
        <f>SUM(AR17:AR18)</f>
        <v/>
      </c>
      <c r="AS19" s="3807">
        <f>SUM(AS17:AS18)</f>
        <v/>
      </c>
      <c r="AT19" s="3944">
        <f>SUM(AT17:AT18)</f>
        <v/>
      </c>
      <c r="AU19" s="3806">
        <f>SUM(AU17:AU18)</f>
        <v/>
      </c>
      <c r="AV19" s="3806">
        <f>SUM(AV17:AV18)</f>
        <v/>
      </c>
      <c r="AW19" s="3807">
        <f>SUM(AW17:AW18)</f>
        <v/>
      </c>
      <c r="AX19" s="3807">
        <f>SUM(AX17:AX18)</f>
        <v/>
      </c>
      <c r="AY19" s="3807">
        <f>SUM(AY17:AY18)</f>
        <v/>
      </c>
      <c r="AZ19" s="3723" t="n"/>
      <c r="BA19" s="3808" t="n"/>
    </row>
    <row r="20" hidden="1" outlineLevel="2" ht="12" customHeight="1" s="3710">
      <c r="B20" s="3770" t="n"/>
      <c r="C20" s="3805">
        <f>C73</f>
        <v/>
      </c>
      <c r="D20" s="3788">
        <f>D73</f>
        <v/>
      </c>
      <c r="E20" s="3807" t="n"/>
      <c r="F20" s="3807" t="n"/>
      <c r="G20" s="3807" t="n"/>
      <c r="H20" s="3807" t="n"/>
      <c r="I20" s="3807" t="n"/>
      <c r="J20" s="3807" t="n"/>
      <c r="K20" s="3807" t="n"/>
      <c r="L20" s="3807" t="n"/>
      <c r="M20" s="3807" t="n"/>
      <c r="N20" s="3807" t="n"/>
      <c r="O20" s="3807" t="n"/>
      <c r="P20" s="3943" t="n"/>
      <c r="Q20" s="3807" t="n"/>
      <c r="R20" s="3807" t="n"/>
      <c r="S20" s="3807" t="n"/>
      <c r="T20" s="3807" t="n"/>
      <c r="U20" s="3807" t="n"/>
      <c r="V20" s="3807" t="n"/>
      <c r="W20" s="3807" t="n"/>
      <c r="X20" s="3807" t="n"/>
      <c r="Y20" s="3807" t="n"/>
      <c r="Z20" s="3807" t="n"/>
      <c r="AA20" s="3807" t="n"/>
      <c r="AB20" s="3943" t="n"/>
      <c r="AC20" s="3807" t="n"/>
      <c r="AD20" s="3807" t="n"/>
      <c r="AE20" s="3807" t="n"/>
      <c r="AF20" s="3807" t="n"/>
      <c r="AG20" s="3807" t="n"/>
      <c r="AH20" s="3807" t="n"/>
      <c r="AI20" s="3807" t="n"/>
      <c r="AJ20" s="3807" t="n"/>
      <c r="AK20" s="3807" t="n"/>
      <c r="AL20" s="3807" t="n"/>
      <c r="AM20" s="3807" t="n"/>
      <c r="AN20" s="3943" t="n"/>
      <c r="AO20" s="3807" t="n"/>
      <c r="AP20" s="3807" t="n"/>
      <c r="AQ20" s="3807" t="n"/>
      <c r="AR20" s="3807" t="n"/>
      <c r="AS20" s="3807" t="n"/>
      <c r="AT20" s="3944" t="n"/>
      <c r="AU20" s="3806">
        <f>SUM(E20:P20)</f>
        <v/>
      </c>
      <c r="AV20" s="3806">
        <f>SUM(Q20:AB20)</f>
        <v/>
      </c>
      <c r="AW20" s="3807">
        <f>SUM(AC20:AN20)</f>
        <v/>
      </c>
      <c r="AX20" s="3807">
        <f>SUM(AG20:AR20)</f>
        <v/>
      </c>
      <c r="AY20" s="3807">
        <f>SUM(AI20:AT20)</f>
        <v/>
      </c>
      <c r="AZ20" s="3723" t="n"/>
      <c r="BA20" s="3813" t="n"/>
    </row>
    <row r="21" hidden="1" outlineLevel="2" ht="12" customHeight="1" s="3710">
      <c r="B21" s="3770" t="n"/>
      <c r="C21" s="3805">
        <f>C74</f>
        <v/>
      </c>
      <c r="D21" s="3788">
        <f>D74</f>
        <v/>
      </c>
      <c r="E21" s="3807" t="n"/>
      <c r="F21" s="3807" t="n"/>
      <c r="G21" s="3807" t="n"/>
      <c r="H21" s="3807" t="n"/>
      <c r="I21" s="3807" t="n"/>
      <c r="J21" s="3807" t="n"/>
      <c r="K21" s="3807" t="n"/>
      <c r="L21" s="3807" t="n"/>
      <c r="M21" s="3807" t="n"/>
      <c r="N21" s="3807" t="n"/>
      <c r="O21" s="3807" t="n"/>
      <c r="P21" s="3943" t="n"/>
      <c r="Q21" s="3807" t="n"/>
      <c r="R21" s="3807" t="n"/>
      <c r="S21" s="3807" t="n"/>
      <c r="T21" s="3807" t="n"/>
      <c r="U21" s="3807" t="n"/>
      <c r="V21" s="3807" t="n"/>
      <c r="W21" s="3807" t="n"/>
      <c r="X21" s="3807" t="n"/>
      <c r="Y21" s="3807" t="n"/>
      <c r="Z21" s="3807" t="n"/>
      <c r="AA21" s="3807" t="n"/>
      <c r="AB21" s="3943" t="n"/>
      <c r="AC21" s="3807" t="n"/>
      <c r="AD21" s="3807" t="n"/>
      <c r="AE21" s="3807" t="n"/>
      <c r="AF21" s="3807" t="n"/>
      <c r="AG21" s="3807" t="n"/>
      <c r="AH21" s="3807" t="n"/>
      <c r="AI21" s="3807" t="n"/>
      <c r="AJ21" s="3807" t="n"/>
      <c r="AK21" s="3807" t="n"/>
      <c r="AL21" s="3807" t="n"/>
      <c r="AM21" s="3807" t="n"/>
      <c r="AN21" s="3943" t="n"/>
      <c r="AO21" s="3807" t="n"/>
      <c r="AP21" s="3807" t="n"/>
      <c r="AQ21" s="3807" t="n"/>
      <c r="AR21" s="3807" t="n"/>
      <c r="AS21" s="3807" t="n"/>
      <c r="AT21" s="3944" t="n"/>
      <c r="AU21" s="3806">
        <f>SUM(E21:P21)</f>
        <v/>
      </c>
      <c r="AV21" s="3806">
        <f>SUM(Q21:AB21)</f>
        <v/>
      </c>
      <c r="AW21" s="3807">
        <f>SUM(AC21:AN21)</f>
        <v/>
      </c>
      <c r="AX21" s="3807">
        <f>SUM(AG21:AR21)</f>
        <v/>
      </c>
      <c r="AY21" s="3807">
        <f>SUM(AI21:AT21)</f>
        <v/>
      </c>
      <c r="AZ21" s="3723" t="n"/>
      <c r="BA21" s="3813" t="n"/>
    </row>
    <row r="22" hidden="1" outlineLevel="2" ht="12" customHeight="1" s="3710">
      <c r="B22" s="3770" t="n"/>
      <c r="C22" s="3805">
        <f>C75</f>
        <v/>
      </c>
      <c r="D22" s="3788">
        <f>D75</f>
        <v/>
      </c>
      <c r="E22" s="3807" t="n"/>
      <c r="F22" s="3807" t="n"/>
      <c r="G22" s="3807" t="n"/>
      <c r="H22" s="3807" t="n"/>
      <c r="I22" s="3807" t="n"/>
      <c r="J22" s="3807" t="n"/>
      <c r="K22" s="3807" t="n"/>
      <c r="L22" s="3807" t="n"/>
      <c r="M22" s="3807" t="n"/>
      <c r="N22" s="3807" t="n"/>
      <c r="O22" s="3807" t="n"/>
      <c r="P22" s="3943" t="n"/>
      <c r="Q22" s="3807" t="n"/>
      <c r="R22" s="3807" t="n"/>
      <c r="S22" s="3807" t="n"/>
      <c r="T22" s="3807" t="n"/>
      <c r="U22" s="3807" t="n"/>
      <c r="V22" s="3807" t="n"/>
      <c r="W22" s="3807" t="n"/>
      <c r="X22" s="3807" t="n"/>
      <c r="Y22" s="3807" t="n"/>
      <c r="Z22" s="3807" t="n"/>
      <c r="AA22" s="3807" t="n"/>
      <c r="AB22" s="3943" t="n"/>
      <c r="AC22" s="3807" t="n"/>
      <c r="AD22" s="3807" t="n"/>
      <c r="AE22" s="3807" t="n"/>
      <c r="AF22" s="3807" t="n"/>
      <c r="AG22" s="3807" t="n"/>
      <c r="AH22" s="3807" t="n"/>
      <c r="AI22" s="3807" t="n"/>
      <c r="AJ22" s="3807" t="n"/>
      <c r="AK22" s="3807" t="n"/>
      <c r="AL22" s="3807" t="n"/>
      <c r="AM22" s="3807" t="n"/>
      <c r="AN22" s="3943" t="n"/>
      <c r="AO22" s="3807" t="n"/>
      <c r="AP22" s="3807" t="n"/>
      <c r="AQ22" s="3807" t="n"/>
      <c r="AR22" s="3807" t="n"/>
      <c r="AS22" s="3807" t="n"/>
      <c r="AT22" s="3944" t="n"/>
      <c r="AU22" s="3806">
        <f>SUM(E22:P22)</f>
        <v/>
      </c>
      <c r="AV22" s="3806">
        <f>SUM(Q22:AB22)</f>
        <v/>
      </c>
      <c r="AW22" s="3807">
        <f>SUM(AC22:AN22)</f>
        <v/>
      </c>
      <c r="AX22" s="3807">
        <f>SUM(AG22:AR22)</f>
        <v/>
      </c>
      <c r="AY22" s="3807">
        <f>SUM(AI22:AT22)</f>
        <v/>
      </c>
      <c r="AZ22" s="3723" t="n"/>
      <c r="BA22" s="3813" t="n"/>
    </row>
    <row r="23" hidden="1" outlineLevel="2" ht="12" customHeight="1" s="3710">
      <c r="B23" s="3770" t="n"/>
      <c r="C23" s="3805">
        <f>C76</f>
        <v/>
      </c>
      <c r="D23" s="3788">
        <f>D76</f>
        <v/>
      </c>
      <c r="E23" s="3807" t="n"/>
      <c r="F23" s="3807" t="n"/>
      <c r="G23" s="3807" t="n"/>
      <c r="H23" s="3807" t="n"/>
      <c r="I23" s="3807" t="n"/>
      <c r="J23" s="3807" t="n"/>
      <c r="K23" s="3807" t="n"/>
      <c r="L23" s="3807" t="n"/>
      <c r="M23" s="3807" t="n"/>
      <c r="N23" s="3807" t="n"/>
      <c r="O23" s="3807" t="n"/>
      <c r="P23" s="3943" t="n"/>
      <c r="Q23" s="3807" t="n"/>
      <c r="R23" s="3807" t="n"/>
      <c r="S23" s="3807" t="n"/>
      <c r="T23" s="3807" t="n"/>
      <c r="U23" s="3807" t="n"/>
      <c r="V23" s="3807" t="n"/>
      <c r="W23" s="3807" t="n"/>
      <c r="X23" s="3807" t="n"/>
      <c r="Y23" s="3807" t="n"/>
      <c r="Z23" s="3807" t="n"/>
      <c r="AA23" s="3807" t="n"/>
      <c r="AB23" s="3943" t="n"/>
      <c r="AC23" s="3807" t="n"/>
      <c r="AD23" s="3807" t="n"/>
      <c r="AE23" s="3807" t="n"/>
      <c r="AF23" s="3807" t="n"/>
      <c r="AG23" s="3807" t="n"/>
      <c r="AH23" s="3807" t="n"/>
      <c r="AI23" s="3807" t="n"/>
      <c r="AJ23" s="3807" t="n"/>
      <c r="AK23" s="3807" t="n"/>
      <c r="AL23" s="3807" t="n"/>
      <c r="AM23" s="3807" t="n"/>
      <c r="AN23" s="3943" t="n"/>
      <c r="AO23" s="3807" t="n"/>
      <c r="AP23" s="3807" t="n"/>
      <c r="AQ23" s="3807" t="n"/>
      <c r="AR23" s="3807" t="n"/>
      <c r="AS23" s="3807" t="n"/>
      <c r="AT23" s="3944" t="n"/>
      <c r="AU23" s="3806">
        <f>SUM(E23:P23)</f>
        <v/>
      </c>
      <c r="AV23" s="3806">
        <f>SUM(Q23:AB23)</f>
        <v/>
      </c>
      <c r="AW23" s="3807">
        <f>SUM(AC23:AN23)</f>
        <v/>
      </c>
      <c r="AX23" s="3807">
        <f>SUM(AG23:AR23)</f>
        <v/>
      </c>
      <c r="AY23" s="3807">
        <f>SUM(AI23:AT23)</f>
        <v/>
      </c>
      <c r="AZ23" s="3723" t="n"/>
      <c r="BA23" s="3813" t="n"/>
    </row>
    <row r="24" hidden="1" outlineLevel="2" ht="12" customHeight="1" s="3710">
      <c r="B24" s="3770" t="n"/>
      <c r="C24" s="3805">
        <f>C77</f>
        <v/>
      </c>
      <c r="D24" s="3788">
        <f>D77</f>
        <v/>
      </c>
      <c r="E24" s="3807" t="n"/>
      <c r="F24" s="3807" t="n"/>
      <c r="G24" s="3807" t="n"/>
      <c r="H24" s="3807" t="n"/>
      <c r="I24" s="3807" t="n"/>
      <c r="J24" s="3807" t="n"/>
      <c r="K24" s="3807" t="n"/>
      <c r="L24" s="3807" t="n"/>
      <c r="M24" s="3807" t="n"/>
      <c r="N24" s="3807" t="n"/>
      <c r="O24" s="3807" t="n"/>
      <c r="P24" s="3943" t="n"/>
      <c r="Q24" s="3807" t="n"/>
      <c r="R24" s="3807" t="n"/>
      <c r="S24" s="3807" t="n"/>
      <c r="T24" s="3807" t="n"/>
      <c r="U24" s="3807" t="n"/>
      <c r="V24" s="3807" t="n"/>
      <c r="W24" s="3807" t="n"/>
      <c r="X24" s="3807" t="n"/>
      <c r="Y24" s="3807" t="n"/>
      <c r="Z24" s="3807" t="n"/>
      <c r="AA24" s="3807" t="n"/>
      <c r="AB24" s="3943" t="n"/>
      <c r="AC24" s="3807" t="n"/>
      <c r="AD24" s="3807" t="n"/>
      <c r="AE24" s="3807" t="n"/>
      <c r="AF24" s="3807" t="n"/>
      <c r="AG24" s="3807" t="n"/>
      <c r="AH24" s="3807" t="n"/>
      <c r="AI24" s="3807" t="n"/>
      <c r="AJ24" s="3807" t="n"/>
      <c r="AK24" s="3807" t="n"/>
      <c r="AL24" s="3807" t="n"/>
      <c r="AM24" s="3807" t="n"/>
      <c r="AN24" s="3943" t="n"/>
      <c r="AO24" s="3807" t="n"/>
      <c r="AP24" s="3807" t="n"/>
      <c r="AQ24" s="3807" t="n"/>
      <c r="AR24" s="3807" t="n"/>
      <c r="AS24" s="3807" t="n"/>
      <c r="AT24" s="3944" t="n"/>
      <c r="AU24" s="3806">
        <f>SUM(E24:P24)</f>
        <v/>
      </c>
      <c r="AV24" s="3806">
        <f>SUM(Q24:AB24)</f>
        <v/>
      </c>
      <c r="AW24" s="3807">
        <f>SUM(AC24:AN24)</f>
        <v/>
      </c>
      <c r="AX24" s="3807">
        <f>SUM(AG24:AR24)</f>
        <v/>
      </c>
      <c r="AY24" s="3807">
        <f>SUM(AI24:AT24)</f>
        <v/>
      </c>
      <c r="AZ24" s="3723" t="n"/>
      <c r="BA24" s="3813" t="n"/>
    </row>
    <row r="25" hidden="1" outlineLevel="2" ht="12" customHeight="1" s="3710">
      <c r="B25" s="3770" t="n"/>
      <c r="C25" s="3805">
        <f>C78</f>
        <v/>
      </c>
      <c r="D25" s="3788">
        <f>D78</f>
        <v/>
      </c>
      <c r="E25" s="3807" t="n"/>
      <c r="F25" s="3807" t="n"/>
      <c r="G25" s="3807" t="n"/>
      <c r="H25" s="3807" t="n"/>
      <c r="I25" s="3807" t="n"/>
      <c r="J25" s="3807" t="n"/>
      <c r="K25" s="3807" t="n"/>
      <c r="L25" s="3807" t="n"/>
      <c r="M25" s="3807" t="n"/>
      <c r="N25" s="3807" t="n"/>
      <c r="O25" s="3807" t="n"/>
      <c r="P25" s="3943" t="n"/>
      <c r="Q25" s="3807" t="n"/>
      <c r="R25" s="3807" t="n"/>
      <c r="S25" s="3807" t="n"/>
      <c r="T25" s="3807" t="n"/>
      <c r="U25" s="3807" t="n"/>
      <c r="V25" s="3807" t="n"/>
      <c r="W25" s="3807" t="n"/>
      <c r="X25" s="3807" t="n"/>
      <c r="Y25" s="3807" t="n"/>
      <c r="Z25" s="3807" t="n"/>
      <c r="AA25" s="3807" t="n"/>
      <c r="AB25" s="3943" t="n"/>
      <c r="AC25" s="3807" t="n"/>
      <c r="AD25" s="3807" t="n"/>
      <c r="AE25" s="3807" t="n"/>
      <c r="AF25" s="3807" t="n"/>
      <c r="AG25" s="3807" t="n"/>
      <c r="AH25" s="3807" t="n"/>
      <c r="AI25" s="3807" t="n"/>
      <c r="AJ25" s="3807" t="n"/>
      <c r="AK25" s="3807" t="n"/>
      <c r="AL25" s="3807" t="n"/>
      <c r="AM25" s="3807" t="n"/>
      <c r="AN25" s="3943" t="n"/>
      <c r="AO25" s="3807" t="n"/>
      <c r="AP25" s="3807" t="n"/>
      <c r="AQ25" s="3807" t="n"/>
      <c r="AR25" s="3807" t="n"/>
      <c r="AS25" s="3807" t="n"/>
      <c r="AT25" s="3944" t="n"/>
      <c r="AU25" s="3806">
        <f>SUM(E25:P25)</f>
        <v/>
      </c>
      <c r="AV25" s="3806">
        <f>SUM(Q25:AB25)</f>
        <v/>
      </c>
      <c r="AW25" s="3807">
        <f>SUM(AC25:AN25)</f>
        <v/>
      </c>
      <c r="AX25" s="3807">
        <f>SUM(AG25:AR25)</f>
        <v/>
      </c>
      <c r="AY25" s="3807">
        <f>SUM(AI25:AT25)</f>
        <v/>
      </c>
      <c r="AZ25" s="3723" t="n"/>
      <c r="BA25" s="3813" t="n"/>
    </row>
    <row r="26" hidden="1" outlineLevel="2" ht="12" customHeight="1" s="3710">
      <c r="B26" s="3770" t="n"/>
      <c r="C26" s="3805">
        <f>C79</f>
        <v/>
      </c>
      <c r="D26" s="3788">
        <f>D79</f>
        <v/>
      </c>
      <c r="E26" s="3807" t="n"/>
      <c r="F26" s="3807" t="n"/>
      <c r="G26" s="3807" t="n"/>
      <c r="H26" s="3807" t="n"/>
      <c r="I26" s="3807" t="n"/>
      <c r="J26" s="3807" t="n"/>
      <c r="K26" s="3807" t="n"/>
      <c r="L26" s="3807" t="n"/>
      <c r="M26" s="3807" t="n"/>
      <c r="N26" s="3807" t="n"/>
      <c r="O26" s="3807" t="n"/>
      <c r="P26" s="3943" t="n"/>
      <c r="Q26" s="3807" t="n"/>
      <c r="R26" s="3807" t="n"/>
      <c r="S26" s="3807" t="n"/>
      <c r="T26" s="3807" t="n"/>
      <c r="U26" s="3807" t="n"/>
      <c r="V26" s="3807" t="n"/>
      <c r="W26" s="3807" t="n"/>
      <c r="X26" s="3807" t="n"/>
      <c r="Y26" s="3807" t="n"/>
      <c r="Z26" s="3807" t="n"/>
      <c r="AA26" s="3807" t="n"/>
      <c r="AB26" s="3943" t="n"/>
      <c r="AC26" s="3807" t="n"/>
      <c r="AD26" s="3807" t="n"/>
      <c r="AE26" s="3807" t="n"/>
      <c r="AF26" s="3807" t="n"/>
      <c r="AG26" s="3807" t="n"/>
      <c r="AH26" s="3807" t="n"/>
      <c r="AI26" s="3807" t="n"/>
      <c r="AJ26" s="3807" t="n"/>
      <c r="AK26" s="3807" t="n"/>
      <c r="AL26" s="3807" t="n"/>
      <c r="AM26" s="3807" t="n"/>
      <c r="AN26" s="3943" t="n"/>
      <c r="AO26" s="3807" t="n"/>
      <c r="AP26" s="3807" t="n"/>
      <c r="AQ26" s="3807" t="n"/>
      <c r="AR26" s="3807" t="n"/>
      <c r="AS26" s="3807" t="n"/>
      <c r="AT26" s="3944" t="n"/>
      <c r="AU26" s="3806">
        <f>SUM(E26:P26)</f>
        <v/>
      </c>
      <c r="AV26" s="3806">
        <f>SUM(Q26:AB26)</f>
        <v/>
      </c>
      <c r="AW26" s="3807">
        <f>SUM(AC26:AN26)</f>
        <v/>
      </c>
      <c r="AX26" s="3807">
        <f>SUM(AG26:AR26)</f>
        <v/>
      </c>
      <c r="AY26" s="3807">
        <f>SUM(AI26:AT26)</f>
        <v/>
      </c>
      <c r="AZ26" s="3723" t="n"/>
      <c r="BA26" s="3813" t="n"/>
    </row>
    <row r="27" hidden="1" outlineLevel="2" ht="12" customHeight="1" s="3710">
      <c r="B27" s="3770" t="n"/>
      <c r="C27" s="3805">
        <f>C80</f>
        <v/>
      </c>
      <c r="D27" s="3788">
        <f>D80</f>
        <v/>
      </c>
      <c r="E27" s="3807" t="n"/>
      <c r="F27" s="3807" t="n"/>
      <c r="G27" s="3807" t="n"/>
      <c r="H27" s="3807" t="n"/>
      <c r="I27" s="3807" t="n"/>
      <c r="J27" s="3807" t="n"/>
      <c r="K27" s="3807" t="n"/>
      <c r="L27" s="3807" t="n"/>
      <c r="M27" s="3807" t="n"/>
      <c r="N27" s="3807" t="n"/>
      <c r="O27" s="3807" t="n"/>
      <c r="P27" s="3943" t="n"/>
      <c r="Q27" s="3807" t="n"/>
      <c r="R27" s="3807" t="n"/>
      <c r="S27" s="3807" t="n"/>
      <c r="T27" s="3807" t="n"/>
      <c r="U27" s="3807" t="n"/>
      <c r="V27" s="3807" t="n"/>
      <c r="W27" s="3807" t="n"/>
      <c r="X27" s="3807" t="n"/>
      <c r="Y27" s="3807" t="n"/>
      <c r="Z27" s="3807" t="n"/>
      <c r="AA27" s="3807" t="n"/>
      <c r="AB27" s="3943" t="n"/>
      <c r="AC27" s="3807" t="n"/>
      <c r="AD27" s="3807" t="n"/>
      <c r="AE27" s="3807" t="n"/>
      <c r="AF27" s="3807" t="n"/>
      <c r="AG27" s="3807" t="n"/>
      <c r="AH27" s="3807" t="n"/>
      <c r="AI27" s="3807" t="n"/>
      <c r="AJ27" s="3807" t="n"/>
      <c r="AK27" s="3807" t="n"/>
      <c r="AL27" s="3807" t="n"/>
      <c r="AM27" s="3807" t="n"/>
      <c r="AN27" s="3943" t="n"/>
      <c r="AO27" s="3807" t="n"/>
      <c r="AP27" s="3807" t="n"/>
      <c r="AQ27" s="3807" t="n"/>
      <c r="AR27" s="3807" t="n"/>
      <c r="AS27" s="3807" t="n"/>
      <c r="AT27" s="3944" t="n"/>
      <c r="AU27" s="3806">
        <f>SUM(E27:P27)</f>
        <v/>
      </c>
      <c r="AV27" s="3806">
        <f>SUM(Q27:AB27)</f>
        <v/>
      </c>
      <c r="AW27" s="3807">
        <f>SUM(AC27:AN27)</f>
        <v/>
      </c>
      <c r="AX27" s="3807">
        <f>SUM(AG27:AR27)</f>
        <v/>
      </c>
      <c r="AY27" s="3807">
        <f>SUM(AI27:AT27)</f>
        <v/>
      </c>
      <c r="AZ27" s="3723" t="n"/>
      <c r="BA27" s="3813" t="n"/>
    </row>
    <row r="28" hidden="1" outlineLevel="2" ht="12" customHeight="1" s="3710">
      <c r="B28" s="3770" t="n"/>
      <c r="C28" s="3805">
        <f>C81</f>
        <v/>
      </c>
      <c r="D28" s="3788">
        <f>D81</f>
        <v/>
      </c>
      <c r="E28" s="3807" t="n"/>
      <c r="F28" s="3807" t="n"/>
      <c r="G28" s="3807" t="n"/>
      <c r="H28" s="3807" t="n"/>
      <c r="I28" s="3807" t="n"/>
      <c r="J28" s="3807" t="n"/>
      <c r="K28" s="3807" t="n"/>
      <c r="L28" s="3807" t="n"/>
      <c r="M28" s="3807" t="n"/>
      <c r="N28" s="3807" t="n"/>
      <c r="O28" s="3807" t="n"/>
      <c r="P28" s="3943" t="n"/>
      <c r="Q28" s="3807" t="n"/>
      <c r="R28" s="3807" t="n"/>
      <c r="S28" s="3807" t="n"/>
      <c r="T28" s="3807" t="n"/>
      <c r="U28" s="3807" t="n"/>
      <c r="V28" s="3807" t="n"/>
      <c r="W28" s="3807" t="n"/>
      <c r="X28" s="3807" t="n"/>
      <c r="Y28" s="3807" t="n"/>
      <c r="Z28" s="3807" t="n"/>
      <c r="AA28" s="3807" t="n"/>
      <c r="AB28" s="3943" t="n"/>
      <c r="AC28" s="3807" t="n"/>
      <c r="AD28" s="3807" t="n"/>
      <c r="AE28" s="3807" t="n"/>
      <c r="AF28" s="3807" t="n"/>
      <c r="AG28" s="3807" t="n"/>
      <c r="AH28" s="3807" t="n"/>
      <c r="AI28" s="3807" t="n"/>
      <c r="AJ28" s="3807" t="n"/>
      <c r="AK28" s="3807" t="n"/>
      <c r="AL28" s="3807" t="n"/>
      <c r="AM28" s="3807" t="n"/>
      <c r="AN28" s="3943" t="n"/>
      <c r="AO28" s="3807" t="n"/>
      <c r="AP28" s="3807" t="n"/>
      <c r="AQ28" s="3807" t="n"/>
      <c r="AR28" s="3807" t="n"/>
      <c r="AS28" s="3807" t="n"/>
      <c r="AT28" s="3944" t="n"/>
      <c r="AU28" s="3806">
        <f>SUM(E28:P28)</f>
        <v/>
      </c>
      <c r="AV28" s="3806">
        <f>SUM(Q28:AB28)</f>
        <v/>
      </c>
      <c r="AW28" s="3807">
        <f>SUM(AC28:AN28)</f>
        <v/>
      </c>
      <c r="AX28" s="3807">
        <f>SUM(AG28:AR28)</f>
        <v/>
      </c>
      <c r="AY28" s="3807">
        <f>SUM(AI28:AT28)</f>
        <v/>
      </c>
      <c r="AZ28" s="3723" t="n"/>
      <c r="BA28" s="3808" t="n"/>
    </row>
    <row r="29" hidden="1" outlineLevel="2" ht="12" customHeight="1" s="3710">
      <c r="B29" s="3770" t="n"/>
      <c r="C29" s="3814">
        <f>C82</f>
        <v/>
      </c>
      <c r="D29" s="3788">
        <f>D82</f>
        <v/>
      </c>
      <c r="E29" s="3795" t="n"/>
      <c r="F29" s="3795" t="n"/>
      <c r="G29" s="3795" t="n"/>
      <c r="H29" s="3795" t="n"/>
      <c r="I29" s="3795" t="n"/>
      <c r="J29" s="3795" t="n"/>
      <c r="K29" s="3795" t="n"/>
      <c r="L29" s="3795" t="n"/>
      <c r="M29" s="3795" t="n"/>
      <c r="N29" s="3795" t="n"/>
      <c r="O29" s="3795" t="n"/>
      <c r="P29" s="3939" t="n"/>
      <c r="Q29" s="3795" t="n"/>
      <c r="R29" s="3795" t="n"/>
      <c r="S29" s="3795" t="n"/>
      <c r="T29" s="3795" t="n"/>
      <c r="U29" s="3795" t="n"/>
      <c r="V29" s="3795" t="n"/>
      <c r="W29" s="3795" t="n"/>
      <c r="X29" s="3795" t="n"/>
      <c r="Y29" s="3795" t="n"/>
      <c r="Z29" s="3795" t="n"/>
      <c r="AA29" s="3795" t="n"/>
      <c r="AB29" s="3939" t="n"/>
      <c r="AC29" s="3795" t="n"/>
      <c r="AD29" s="3795" t="n"/>
      <c r="AE29" s="3795" t="n"/>
      <c r="AF29" s="3795" t="n"/>
      <c r="AG29" s="3795" t="n"/>
      <c r="AH29" s="3795" t="n"/>
      <c r="AI29" s="3795" t="n"/>
      <c r="AJ29" s="3795" t="n"/>
      <c r="AK29" s="3795" t="n"/>
      <c r="AL29" s="3795" t="n"/>
      <c r="AM29" s="3795" t="n"/>
      <c r="AN29" s="3939" t="n"/>
      <c r="AO29" s="3795" t="n"/>
      <c r="AP29" s="3795" t="n"/>
      <c r="AQ29" s="3795" t="n"/>
      <c r="AR29" s="3795" t="n"/>
      <c r="AS29" s="3795" t="n"/>
      <c r="AT29" s="3940" t="n"/>
      <c r="AU29" s="3815">
        <f>SUM(E29:P29)</f>
        <v/>
      </c>
      <c r="AV29" s="3815">
        <f>SUM(Q29:AB29)</f>
        <v/>
      </c>
      <c r="AW29" s="3795">
        <f>SUM(AC29:AN29)</f>
        <v/>
      </c>
      <c r="AX29" s="3795">
        <f>SUM(AG29:AR29)</f>
        <v/>
      </c>
      <c r="AY29" s="3795">
        <f>SUM(AI29:AT29)</f>
        <v/>
      </c>
      <c r="AZ29" s="3723" t="n"/>
      <c r="BA29" s="3808" t="n"/>
    </row>
    <row r="30" hidden="1" outlineLevel="1" ht="12" customHeight="1" s="3710">
      <c r="B30" s="3770" t="n"/>
      <c r="C30" s="3787">
        <f>C83</f>
        <v/>
      </c>
      <c r="D30" s="3788">
        <f>D83</f>
        <v/>
      </c>
      <c r="E30" s="3807" t="n"/>
      <c r="F30" s="3807" t="n"/>
      <c r="G30" s="3807" t="n"/>
      <c r="H30" s="3807" t="n"/>
      <c r="I30" s="3807" t="n"/>
      <c r="J30" s="3807" t="n"/>
      <c r="K30" s="3807" t="n"/>
      <c r="L30" s="3807" t="n"/>
      <c r="M30" s="3807" t="n"/>
      <c r="N30" s="3807" t="n"/>
      <c r="O30" s="3807" t="n"/>
      <c r="P30" s="3943" t="n"/>
      <c r="Q30" s="3807" t="n"/>
      <c r="R30" s="3807" t="n"/>
      <c r="S30" s="3807" t="n"/>
      <c r="T30" s="3807" t="n"/>
      <c r="U30" s="3807" t="n"/>
      <c r="V30" s="3807" t="n"/>
      <c r="W30" s="3807" t="n"/>
      <c r="X30" s="3807" t="n"/>
      <c r="Y30" s="3807" t="n"/>
      <c r="Z30" s="3807" t="n"/>
      <c r="AA30" s="3807" t="n"/>
      <c r="AB30" s="3943" t="n"/>
      <c r="AC30" s="3807" t="n"/>
      <c r="AD30" s="3807" t="n"/>
      <c r="AE30" s="3807" t="n"/>
      <c r="AF30" s="3807" t="n"/>
      <c r="AG30" s="3807" t="n"/>
      <c r="AH30" s="3807" t="n"/>
      <c r="AI30" s="3807" t="n"/>
      <c r="AJ30" s="3807" t="n"/>
      <c r="AK30" s="3807" t="n"/>
      <c r="AL30" s="3807" t="n"/>
      <c r="AM30" s="3807" t="n"/>
      <c r="AN30" s="3943" t="n"/>
      <c r="AO30" s="3807">
        <f>SUM(AO20:AO29)</f>
        <v/>
      </c>
      <c r="AP30" s="3807">
        <f>SUM(AP20:AP29)</f>
        <v/>
      </c>
      <c r="AQ30" s="3807">
        <f>SUM(AQ20:AQ29)</f>
        <v/>
      </c>
      <c r="AR30" s="3807">
        <f>SUM(AR20:AR29)</f>
        <v/>
      </c>
      <c r="AS30" s="3807">
        <f>SUM(AS20:AS29)</f>
        <v/>
      </c>
      <c r="AT30" s="3944">
        <f>SUM(AT20:AT29)</f>
        <v/>
      </c>
      <c r="AU30" s="3783">
        <f>SUM(AU20:AU29)</f>
        <v/>
      </c>
      <c r="AV30" s="3783">
        <f>SUM(AV20:AV29)</f>
        <v/>
      </c>
      <c r="AW30" s="3807">
        <f>SUM(AW20:AW29)</f>
        <v/>
      </c>
      <c r="AX30" s="3807">
        <f>SUM(AX20:AX29)</f>
        <v/>
      </c>
      <c r="AY30" s="3807">
        <f>SUM(AY20:AY29)</f>
        <v/>
      </c>
      <c r="AZ30" s="3723" t="n"/>
      <c r="BA30" s="3816" t="n"/>
    </row>
    <row r="31" hidden="1" outlineLevel="1" ht="12" customHeight="1" s="3710">
      <c r="B31" s="3770" t="n"/>
      <c r="C31" s="3787">
        <f>C86</f>
        <v/>
      </c>
      <c r="D31" s="3788">
        <f>D86</f>
        <v/>
      </c>
      <c r="E31" s="3807" t="n"/>
      <c r="F31" s="3807" t="n"/>
      <c r="G31" s="3807" t="n"/>
      <c r="H31" s="3807" t="n"/>
      <c r="I31" s="3807" t="n"/>
      <c r="J31" s="3807" t="n"/>
      <c r="K31" s="3807" t="n"/>
      <c r="L31" s="3807" t="n"/>
      <c r="M31" s="3807" t="n"/>
      <c r="N31" s="3807" t="n"/>
      <c r="O31" s="3807" t="n"/>
      <c r="P31" s="3943" t="n"/>
      <c r="Q31" s="3807" t="n"/>
      <c r="R31" s="3807" t="n"/>
      <c r="S31" s="3807" t="n"/>
      <c r="T31" s="3807" t="n"/>
      <c r="U31" s="3807" t="n"/>
      <c r="V31" s="3807" t="n"/>
      <c r="W31" s="3807" t="n"/>
      <c r="X31" s="3807" t="n"/>
      <c r="Y31" s="3807" t="n"/>
      <c r="Z31" s="3807" t="n"/>
      <c r="AA31" s="3807" t="n"/>
      <c r="AB31" s="3943" t="n"/>
      <c r="AC31" s="3807" t="n"/>
      <c r="AD31" s="3807" t="n"/>
      <c r="AE31" s="3807" t="n"/>
      <c r="AF31" s="3807" t="n"/>
      <c r="AG31" s="3807" t="n"/>
      <c r="AH31" s="3807" t="n"/>
      <c r="AI31" s="3807" t="n"/>
      <c r="AJ31" s="3807" t="n"/>
      <c r="AK31" s="3807" t="n"/>
      <c r="AL31" s="3807" t="n"/>
      <c r="AM31" s="3807" t="n"/>
      <c r="AN31" s="3943" t="n"/>
      <c r="AO31" s="3807" t="n"/>
      <c r="AP31" s="3807" t="n"/>
      <c r="AQ31" s="3807" t="n"/>
      <c r="AR31" s="3807" t="n"/>
      <c r="AS31" s="3807" t="n"/>
      <c r="AT31" s="3944" t="n"/>
      <c r="AU31" s="3783">
        <f>SUM(E31:P31)</f>
        <v/>
      </c>
      <c r="AV31" s="3783">
        <f>SUM(Q31:AB31)</f>
        <v/>
      </c>
      <c r="AW31" s="3807">
        <f>SUM(AC31:AN31)</f>
        <v/>
      </c>
      <c r="AX31" s="3807">
        <f>SUM(AG31:AR31)</f>
        <v/>
      </c>
      <c r="AY31" s="3807">
        <f>SUM(AI31:AT31)</f>
        <v/>
      </c>
      <c r="AZ31" s="3723" t="n"/>
      <c r="BA31" s="3816" t="n"/>
    </row>
    <row r="32" hidden="1" outlineLevel="1" ht="12" customHeight="1" s="3710">
      <c r="B32" s="3770" t="n"/>
      <c r="C32" s="3787">
        <f>C88</f>
        <v/>
      </c>
      <c r="D32" s="3817">
        <f>D88</f>
        <v/>
      </c>
      <c r="E32" s="3807" t="n"/>
      <c r="F32" s="3807" t="n"/>
      <c r="G32" s="3807" t="n"/>
      <c r="H32" s="3807" t="n"/>
      <c r="I32" s="3807" t="n"/>
      <c r="J32" s="3807" t="n"/>
      <c r="K32" s="3807" t="n"/>
      <c r="L32" s="3807" t="n"/>
      <c r="M32" s="3807" t="n"/>
      <c r="N32" s="3807" t="n"/>
      <c r="O32" s="3807" t="n"/>
      <c r="P32" s="3943" t="n"/>
      <c r="Q32" s="3807" t="n"/>
      <c r="R32" s="3807" t="n"/>
      <c r="S32" s="3807" t="n"/>
      <c r="T32" s="3807" t="n"/>
      <c r="U32" s="3807" t="n"/>
      <c r="V32" s="3807" t="n"/>
      <c r="W32" s="3807" t="n"/>
      <c r="X32" s="3807" t="n"/>
      <c r="Y32" s="3807" t="n"/>
      <c r="Z32" s="3807" t="n"/>
      <c r="AA32" s="3807" t="n"/>
      <c r="AB32" s="3943" t="n"/>
      <c r="AC32" s="3807" t="n"/>
      <c r="AD32" s="3807" t="n"/>
      <c r="AE32" s="3807" t="n"/>
      <c r="AF32" s="3807" t="n"/>
      <c r="AG32" s="3807" t="n"/>
      <c r="AH32" s="3807" t="n"/>
      <c r="AI32" s="3807" t="n"/>
      <c r="AJ32" s="3807" t="n"/>
      <c r="AK32" s="3807" t="n"/>
      <c r="AL32" s="3807" t="n"/>
      <c r="AM32" s="3807" t="n"/>
      <c r="AN32" s="3943" t="n"/>
      <c r="AO32" s="3807" t="n"/>
      <c r="AP32" s="3807" t="n"/>
      <c r="AQ32" s="3807" t="n"/>
      <c r="AR32" s="3807" t="n"/>
      <c r="AS32" s="3807" t="n"/>
      <c r="AT32" s="3944" t="n"/>
      <c r="AU32" s="3783">
        <f>SUM(E32:P32)</f>
        <v/>
      </c>
      <c r="AV32" s="3783">
        <f>SUM(Q32:AB32)</f>
        <v/>
      </c>
      <c r="AW32" s="3807">
        <f>SUM(AC32:AN32)</f>
        <v/>
      </c>
      <c r="AX32" s="3807">
        <f>SUM(AG32:AR32)</f>
        <v/>
      </c>
      <c r="AY32" s="3807">
        <f>SUM(AI32:AT32)</f>
        <v/>
      </c>
      <c r="AZ32" s="3723" t="n"/>
      <c r="BA32" s="3816" t="n"/>
    </row>
    <row r="33" hidden="1" outlineLevel="1" ht="12" customHeight="1" s="3710">
      <c r="B33" s="3770" t="n"/>
      <c r="C33" s="3787">
        <f>C89</f>
        <v/>
      </c>
      <c r="D33" s="3812">
        <f>D89</f>
        <v/>
      </c>
      <c r="E33" s="3807" t="n"/>
      <c r="F33" s="3807" t="n"/>
      <c r="G33" s="3807" t="n"/>
      <c r="H33" s="3807" t="n"/>
      <c r="I33" s="3807" t="n"/>
      <c r="J33" s="3807" t="n"/>
      <c r="K33" s="3807" t="n"/>
      <c r="L33" s="3807" t="n"/>
      <c r="M33" s="3807" t="n"/>
      <c r="N33" s="3807" t="n"/>
      <c r="O33" s="3807" t="n"/>
      <c r="P33" s="3943" t="n"/>
      <c r="Q33" s="3807" t="n"/>
      <c r="R33" s="3807" t="n"/>
      <c r="S33" s="3807" t="n"/>
      <c r="T33" s="3807" t="n"/>
      <c r="U33" s="3807" t="n"/>
      <c r="V33" s="3807" t="n"/>
      <c r="W33" s="3807" t="n"/>
      <c r="X33" s="3807" t="n"/>
      <c r="Y33" s="3807" t="n"/>
      <c r="Z33" s="3807" t="n"/>
      <c r="AA33" s="3807" t="n"/>
      <c r="AB33" s="3943" t="n"/>
      <c r="AC33" s="3807" t="n"/>
      <c r="AD33" s="3807" t="n"/>
      <c r="AE33" s="3807" t="n"/>
      <c r="AF33" s="3807" t="n"/>
      <c r="AG33" s="3807" t="n"/>
      <c r="AH33" s="3807" t="n"/>
      <c r="AI33" s="3807" t="n"/>
      <c r="AJ33" s="3807" t="n"/>
      <c r="AK33" s="3807" t="n"/>
      <c r="AL33" s="3807" t="n"/>
      <c r="AM33" s="3807" t="n"/>
      <c r="AN33" s="3943" t="n"/>
      <c r="AO33" s="3807" t="n"/>
      <c r="AP33" s="3807" t="n"/>
      <c r="AQ33" s="3807" t="n"/>
      <c r="AR33" s="3807" t="n"/>
      <c r="AS33" s="3807" t="n"/>
      <c r="AT33" s="3944" t="n"/>
      <c r="AU33" s="3783">
        <f>SUM(E33:P33)</f>
        <v/>
      </c>
      <c r="AV33" s="3783">
        <f>SUM(Q33:AB33)</f>
        <v/>
      </c>
      <c r="AW33" s="3807">
        <f>SUM(AC33:AN33)</f>
        <v/>
      </c>
      <c r="AX33" s="3807">
        <f>SUM(AG33:AR33)</f>
        <v/>
      </c>
      <c r="AY33" s="3807">
        <f>SUM(AI33:AT33)</f>
        <v/>
      </c>
      <c r="AZ33" s="3723" t="n"/>
      <c r="BA33" s="3786" t="n"/>
    </row>
    <row r="34" hidden="1" outlineLevel="1" ht="12" customHeight="1" s="3710">
      <c r="B34" s="3770" t="n"/>
      <c r="C34" s="3787">
        <f>C90</f>
        <v/>
      </c>
      <c r="D34" s="3782">
        <f>D90</f>
        <v/>
      </c>
      <c r="E34" s="3807" t="n"/>
      <c r="F34" s="3807" t="n"/>
      <c r="G34" s="3807" t="n"/>
      <c r="H34" s="3807" t="n"/>
      <c r="I34" s="3807" t="n"/>
      <c r="J34" s="3807" t="n"/>
      <c r="K34" s="3807" t="n"/>
      <c r="L34" s="3807" t="n"/>
      <c r="M34" s="3807" t="n"/>
      <c r="N34" s="3807" t="n"/>
      <c r="O34" s="3807" t="n"/>
      <c r="P34" s="3943" t="n"/>
      <c r="Q34" s="3807" t="n"/>
      <c r="R34" s="3807" t="n"/>
      <c r="S34" s="3807" t="n"/>
      <c r="T34" s="3807" t="n"/>
      <c r="U34" s="3807" t="n"/>
      <c r="V34" s="3807" t="n"/>
      <c r="W34" s="3807" t="n"/>
      <c r="X34" s="3807" t="n"/>
      <c r="Y34" s="3807" t="n"/>
      <c r="Z34" s="3807" t="n"/>
      <c r="AA34" s="3807" t="n"/>
      <c r="AB34" s="3943" t="n"/>
      <c r="AC34" s="3807" t="n"/>
      <c r="AD34" s="3807" t="n"/>
      <c r="AE34" s="3807" t="n"/>
      <c r="AF34" s="3807" t="n"/>
      <c r="AG34" s="3807" t="n"/>
      <c r="AH34" s="3807" t="n"/>
      <c r="AI34" s="3807" t="n"/>
      <c r="AJ34" s="3807" t="n"/>
      <c r="AK34" s="3807" t="n"/>
      <c r="AL34" s="3807" t="n"/>
      <c r="AM34" s="3807" t="n"/>
      <c r="AN34" s="3943" t="n"/>
      <c r="AO34" s="3807">
        <f>AO90</f>
        <v/>
      </c>
      <c r="AP34" s="3807">
        <f>AP90</f>
        <v/>
      </c>
      <c r="AQ34" s="3807">
        <f>AQ90</f>
        <v/>
      </c>
      <c r="AR34" s="3807">
        <f>AR90</f>
        <v/>
      </c>
      <c r="AS34" s="3807">
        <f>AS90</f>
        <v/>
      </c>
      <c r="AT34" s="3944">
        <f>AT90</f>
        <v/>
      </c>
      <c r="AU34" s="3806">
        <f>SUM(E34:P34)</f>
        <v/>
      </c>
      <c r="AV34" s="3806">
        <f>SUM(Q34:AB34)</f>
        <v/>
      </c>
      <c r="AW34" s="3807">
        <f>SUM(AC34:AN34)</f>
        <v/>
      </c>
      <c r="AX34" s="3807">
        <f>SUM(AG34:AR34)</f>
        <v/>
      </c>
      <c r="AY34" s="3807">
        <f>SUM(AI34:AT34)</f>
        <v/>
      </c>
      <c r="AZ34" s="3723" t="n"/>
      <c r="BA34" s="3808" t="n"/>
    </row>
    <row r="35" hidden="1" outlineLevel="1" ht="12" customHeight="1" s="3710">
      <c r="B35" s="3770" t="n"/>
      <c r="C35" s="3792">
        <f>C91</f>
        <v/>
      </c>
      <c r="D35" s="3793">
        <f>D91</f>
        <v/>
      </c>
      <c r="E35" s="3795" t="n"/>
      <c r="F35" s="3795" t="n"/>
      <c r="G35" s="3795" t="n"/>
      <c r="H35" s="3795" t="n"/>
      <c r="I35" s="3795" t="n"/>
      <c r="J35" s="3795" t="n"/>
      <c r="K35" s="3795" t="n"/>
      <c r="L35" s="3795" t="n"/>
      <c r="M35" s="3795" t="n"/>
      <c r="N35" s="3795" t="n"/>
      <c r="O35" s="3795" t="n"/>
      <c r="P35" s="3939" t="n"/>
      <c r="Q35" s="3795" t="n"/>
      <c r="R35" s="3795" t="n"/>
      <c r="S35" s="3795" t="n"/>
      <c r="T35" s="3795" t="n"/>
      <c r="U35" s="3795" t="n"/>
      <c r="V35" s="3795" t="n"/>
      <c r="W35" s="3795" t="n"/>
      <c r="X35" s="3795" t="n"/>
      <c r="Y35" s="3795" t="n"/>
      <c r="Z35" s="3795" t="n"/>
      <c r="AA35" s="3795" t="n"/>
      <c r="AB35" s="3939" t="n"/>
      <c r="AC35" s="3795" t="n"/>
      <c r="AD35" s="3795" t="n"/>
      <c r="AE35" s="3795" t="n"/>
      <c r="AF35" s="3795" t="n"/>
      <c r="AG35" s="3795" t="n"/>
      <c r="AH35" s="3795" t="n"/>
      <c r="AI35" s="3795" t="n"/>
      <c r="AJ35" s="3795" t="n"/>
      <c r="AK35" s="3795" t="n"/>
      <c r="AL35" s="3795" t="n"/>
      <c r="AM35" s="3795" t="n"/>
      <c r="AN35" s="3939" t="n"/>
      <c r="AO35" s="3795" t="n"/>
      <c r="AP35" s="3795" t="n"/>
      <c r="AQ35" s="3795" t="n"/>
      <c r="AR35" s="3795" t="n"/>
      <c r="AS35" s="3795" t="n"/>
      <c r="AT35" s="3940" t="n"/>
      <c r="AU35" s="3794">
        <f>SUM(E35:P35)</f>
        <v/>
      </c>
      <c r="AV35" s="3794">
        <f>SUM(Q35:AB35)</f>
        <v/>
      </c>
      <c r="AW35" s="3795">
        <f>SUM(AC35:AN35)</f>
        <v/>
      </c>
      <c r="AX35" s="3795">
        <f>SUM(AG35:AR35)</f>
        <v/>
      </c>
      <c r="AY35" s="3795">
        <f>SUM(AI35:AT35)</f>
        <v/>
      </c>
      <c r="AZ35" s="3723" t="n"/>
      <c r="BA35" s="3818" t="n"/>
    </row>
    <row r="36" ht="12" customHeight="1" s="3710">
      <c r="B36" s="3770" t="n"/>
      <c r="C36" s="3797" t="inlineStr">
        <is>
          <t>Pro forma adjustments</t>
        </is>
      </c>
      <c r="D36" s="3798" t="n"/>
      <c r="E36" s="3790" t="n"/>
      <c r="F36" s="3790" t="n"/>
      <c r="G36" s="3790" t="n"/>
      <c r="H36" s="3790" t="n"/>
      <c r="I36" s="3790" t="n"/>
      <c r="J36" s="3790" t="n"/>
      <c r="K36" s="3790" t="n"/>
      <c r="L36" s="3790" t="n"/>
      <c r="M36" s="3790" t="n"/>
      <c r="N36" s="3790" t="n"/>
      <c r="O36" s="3790" t="n"/>
      <c r="P36" s="3937" t="n"/>
      <c r="Q36" s="3790" t="n"/>
      <c r="R36" s="3790" t="n"/>
      <c r="S36" s="3790" t="n"/>
      <c r="T36" s="3790" t="n"/>
      <c r="U36" s="3790" t="n"/>
      <c r="V36" s="3790" t="n"/>
      <c r="W36" s="3790" t="n"/>
      <c r="X36" s="3790" t="n"/>
      <c r="Y36" s="3790" t="n"/>
      <c r="Z36" s="3790" t="n"/>
      <c r="AA36" s="3790" t="n"/>
      <c r="AB36" s="3937" t="n"/>
      <c r="AC36" s="3790" t="n"/>
      <c r="AD36" s="3790" t="n"/>
      <c r="AE36" s="3790" t="n"/>
      <c r="AF36" s="3790" t="n"/>
      <c r="AG36" s="3790" t="n"/>
      <c r="AH36" s="3790" t="n"/>
      <c r="AI36" s="3790" t="n"/>
      <c r="AJ36" s="3790" t="n"/>
      <c r="AK36" s="3790" t="n"/>
      <c r="AL36" s="3790" t="n"/>
      <c r="AM36" s="3790" t="n"/>
      <c r="AN36" s="3937" t="n"/>
      <c r="AO36" s="3790">
        <f>SUM(AO30:AO35,AO19)</f>
        <v/>
      </c>
      <c r="AP36" s="3790">
        <f>SUM(AP30:AP35,AP19)</f>
        <v/>
      </c>
      <c r="AQ36" s="3790">
        <f>SUM(AQ30:AQ35,AQ19)</f>
        <v/>
      </c>
      <c r="AR36" s="3790">
        <f>SUM(AR30:AR35,AR19)</f>
        <v/>
      </c>
      <c r="AS36" s="3790">
        <f>SUM(AS30:AS35,AS19)</f>
        <v/>
      </c>
      <c r="AT36" s="3938">
        <f>SUM(AT30:AT35,AT19)</f>
        <v/>
      </c>
      <c r="AU36" s="3789">
        <f>SUM(AU30:AU35,AU19)</f>
        <v/>
      </c>
      <c r="AV36" s="3789">
        <f>SUM(AV30:AV35,AV19)</f>
        <v/>
      </c>
      <c r="AW36" s="3790">
        <f>SUM(AW30:AW35,AW19)</f>
        <v/>
      </c>
      <c r="AX36" s="3790">
        <f>SUM(AX30:AX35,AX19)</f>
        <v/>
      </c>
      <c r="AY36" s="3790">
        <f>SUM(AY30:AY35,AY19)</f>
        <v/>
      </c>
      <c r="AZ36" s="3723" t="n"/>
      <c r="BA36" s="3799" t="n"/>
    </row>
    <row r="37" ht="12" customHeight="1" s="3710">
      <c r="B37" s="3770" t="n"/>
      <c r="C37" s="3800" t="inlineStr">
        <is>
          <t>Revenue, pro forma adjusted</t>
        </is>
      </c>
      <c r="D37" s="3800" t="n"/>
      <c r="E37" s="3802" t="n"/>
      <c r="F37" s="3802" t="n"/>
      <c r="G37" s="3802" t="n"/>
      <c r="H37" s="3802" t="n"/>
      <c r="I37" s="3802" t="n"/>
      <c r="J37" s="3802" t="n"/>
      <c r="K37" s="3802" t="n"/>
      <c r="L37" s="3802" t="n"/>
      <c r="M37" s="3802" t="n"/>
      <c r="N37" s="3802" t="n"/>
      <c r="O37" s="3802" t="n"/>
      <c r="P37" s="3941" t="n"/>
      <c r="Q37" s="3802" t="n"/>
      <c r="R37" s="3802" t="n"/>
      <c r="S37" s="3802" t="n"/>
      <c r="T37" s="3802" t="n"/>
      <c r="U37" s="3802" t="n"/>
      <c r="V37" s="3802" t="n"/>
      <c r="W37" s="3802" t="n"/>
      <c r="X37" s="3802" t="n"/>
      <c r="Y37" s="3802" t="n"/>
      <c r="Z37" s="3802" t="n"/>
      <c r="AA37" s="3802" t="n"/>
      <c r="AB37" s="3941" t="n"/>
      <c r="AC37" s="3802" t="n"/>
      <c r="AD37" s="3802" t="n"/>
      <c r="AE37" s="3802" t="n"/>
      <c r="AF37" s="3802" t="n"/>
      <c r="AG37" s="3802" t="n"/>
      <c r="AH37" s="3802" t="n"/>
      <c r="AI37" s="3802" t="n"/>
      <c r="AJ37" s="3802" t="n"/>
      <c r="AK37" s="3802" t="n"/>
      <c r="AL37" s="3802" t="n"/>
      <c r="AM37" s="3802" t="n"/>
      <c r="AN37" s="3941" t="n"/>
      <c r="AO37" s="3802">
        <f>SUM(AO36,AO15)</f>
        <v/>
      </c>
      <c r="AP37" s="3802">
        <f>SUM(AP36,AP15)</f>
        <v/>
      </c>
      <c r="AQ37" s="3802">
        <f>SUM(AQ36,AQ15)</f>
        <v/>
      </c>
      <c r="AR37" s="3802">
        <f>SUM(AR36,AR15)</f>
        <v/>
      </c>
      <c r="AS37" s="3802">
        <f>SUM(AS36,AS15)</f>
        <v/>
      </c>
      <c r="AT37" s="3942">
        <f>SUM(AT36,AT15)</f>
        <v/>
      </c>
      <c r="AU37" s="3801">
        <f>SUM(AU36,AU15)</f>
        <v/>
      </c>
      <c r="AV37" s="3801">
        <f>SUM(AV36,AV15)</f>
        <v/>
      </c>
      <c r="AW37" s="3802">
        <f>SUM(AW36,AW15)</f>
        <v/>
      </c>
      <c r="AX37" s="3802">
        <f>SUM(AX36,AX15)</f>
        <v/>
      </c>
      <c r="AY37" s="3802">
        <f>SUM(AY36,AY15)</f>
        <v/>
      </c>
      <c r="AZ37" s="3723" t="n"/>
      <c r="BA37" s="3804" t="n"/>
    </row>
    <row r="38" hidden="1" outlineLevel="1" ht="12" customFormat="1" customHeight="1" s="3819">
      <c r="A38" s="3820" t="n"/>
      <c r="B38" s="3821" t="n"/>
      <c r="C38" s="3822" t="inlineStr">
        <is>
          <t>Revenue, pro forma adjusted growth rate</t>
        </is>
      </c>
      <c r="D38" s="3822" t="n"/>
      <c r="E38" s="3947" t="n"/>
      <c r="F38" s="3825" t="n"/>
      <c r="G38" s="3825" t="n"/>
      <c r="H38" s="3825" t="n"/>
      <c r="I38" s="3825" t="n"/>
      <c r="J38" s="3825" t="n"/>
      <c r="K38" s="3825" t="n"/>
      <c r="L38" s="3825" t="n"/>
      <c r="M38" s="3825" t="n"/>
      <c r="N38" s="3825" t="n"/>
      <c r="O38" s="3825" t="n"/>
      <c r="P38" s="3948" t="n"/>
      <c r="Q38" s="3825" t="n"/>
      <c r="R38" s="3825" t="n"/>
      <c r="S38" s="3825" t="n"/>
      <c r="T38" s="3825" t="n"/>
      <c r="U38" s="3825" t="n"/>
      <c r="V38" s="3825" t="n"/>
      <c r="W38" s="3825" t="n"/>
      <c r="X38" s="3825" t="n"/>
      <c r="Y38" s="3825" t="n"/>
      <c r="Z38" s="3825" t="n"/>
      <c r="AA38" s="3825" t="n"/>
      <c r="AB38" s="3948" t="n"/>
      <c r="AC38" s="3825" t="n"/>
      <c r="AD38" s="3825" t="n"/>
      <c r="AE38" s="3825" t="n"/>
      <c r="AF38" s="3825" t="n"/>
      <c r="AG38" s="3825" t="n"/>
      <c r="AH38" s="3825" t="n"/>
      <c r="AI38" s="3825" t="n"/>
      <c r="AJ38" s="3825" t="n"/>
      <c r="AK38" s="3825" t="n"/>
      <c r="AL38" s="3825" t="n"/>
      <c r="AM38" s="3825" t="n"/>
      <c r="AN38" s="3948" t="n"/>
      <c r="AO38" s="3825">
        <f>(AO37/AN37)-1</f>
        <v/>
      </c>
      <c r="AP38" s="3825">
        <f>(AP37/AO37)-1</f>
        <v/>
      </c>
      <c r="AQ38" s="3825">
        <f>(AQ37/AP37)-1</f>
        <v/>
      </c>
      <c r="AR38" s="3825">
        <f>(AR37/AQ37)-1</f>
        <v/>
      </c>
      <c r="AS38" s="3825">
        <f>(AS37/AR37)-1</f>
        <v/>
      </c>
      <c r="AT38" s="3949">
        <f>(AT37/AS37)-1</f>
        <v/>
      </c>
      <c r="AU38" s="3823" t="n"/>
      <c r="AV38" s="3824">
        <f>(AV37/AU37)-1</f>
        <v/>
      </c>
      <c r="AW38" s="3825">
        <f>(AW37/AV37)-1</f>
        <v/>
      </c>
      <c r="AX38" s="3825">
        <f>(AX37/AW37)-1</f>
        <v/>
      </c>
      <c r="AY38" s="3825">
        <f>(AY37/AW37)-1</f>
        <v/>
      </c>
      <c r="AZ38" s="3827" t="n"/>
      <c r="BA38" s="3829" t="n"/>
      <c r="BB38" s="3926" t="n"/>
    </row>
    <row r="39" ht="4.5" customHeight="1" s="3710">
      <c r="B39" s="3770" t="n"/>
      <c r="C39" s="3830" t="n"/>
      <c r="D39" s="3830" t="n"/>
      <c r="E39" s="3832" t="n"/>
      <c r="F39" s="3832" t="n"/>
      <c r="G39" s="3832" t="n"/>
      <c r="H39" s="3832" t="n"/>
      <c r="I39" s="3832" t="n"/>
      <c r="J39" s="3832" t="n"/>
      <c r="K39" s="3832" t="n"/>
      <c r="L39" s="3832" t="n"/>
      <c r="M39" s="3832" t="n"/>
      <c r="N39" s="3832" t="n"/>
      <c r="O39" s="3832" t="n"/>
      <c r="P39" s="3832" t="n"/>
      <c r="Q39" s="3832" t="n"/>
      <c r="R39" s="3832" t="n"/>
      <c r="S39" s="3832" t="n"/>
      <c r="T39" s="3832" t="n"/>
      <c r="U39" s="3832" t="n"/>
      <c r="V39" s="3832" t="n"/>
      <c r="W39" s="3832" t="n"/>
      <c r="X39" s="3832" t="n"/>
      <c r="Y39" s="3832" t="n"/>
      <c r="Z39" s="3832" t="n"/>
      <c r="AA39" s="3832" t="n"/>
      <c r="AB39" s="3832" t="n"/>
      <c r="AC39" s="3832" t="n"/>
      <c r="AD39" s="3832" t="n"/>
      <c r="AE39" s="3832" t="n"/>
      <c r="AF39" s="3832" t="n"/>
      <c r="AG39" s="3832" t="n"/>
      <c r="AH39" s="3832" t="n"/>
      <c r="AI39" s="3832" t="n"/>
      <c r="AJ39" s="3832" t="n"/>
      <c r="AK39" s="3832" t="n"/>
      <c r="AL39" s="3832" t="n"/>
      <c r="AM39" s="3832" t="n"/>
      <c r="AN39" s="3917" t="n"/>
      <c r="AO39" s="3832" t="n"/>
      <c r="AP39" s="3832" t="n"/>
      <c r="AQ39" s="3832" t="n"/>
      <c r="AR39" s="3832" t="n"/>
      <c r="AS39" s="3832" t="n"/>
      <c r="AT39" s="3950" t="n"/>
      <c r="AU39" s="3831" t="n"/>
      <c r="AV39" s="3831" t="n"/>
      <c r="AW39" s="3832" t="n"/>
      <c r="AX39" s="3832" t="n"/>
      <c r="AY39" s="3832" t="n"/>
      <c r="AZ39" s="3723" t="n"/>
      <c r="BA39" s="3804" t="n"/>
    </row>
    <row r="40" hidden="1" outlineLevel="1" ht="12" customHeight="1" s="3710">
      <c r="B40" s="3770" t="n"/>
      <c r="C40" s="3833" t="inlineStr">
        <is>
          <t>Net income, reported</t>
        </is>
      </c>
      <c r="D40" s="3833" t="n"/>
      <c r="E40" s="3835" t="n"/>
      <c r="F40" s="3835" t="n"/>
      <c r="G40" s="3835" t="n"/>
      <c r="H40" s="3835" t="n"/>
      <c r="I40" s="3835" t="n"/>
      <c r="J40" s="3835" t="n"/>
      <c r="K40" s="3835" t="n"/>
      <c r="L40" s="3835" t="n"/>
      <c r="M40" s="3835" t="n"/>
      <c r="N40" s="3835" t="n"/>
      <c r="O40" s="3835" t="n"/>
      <c r="P40" s="3951" t="n"/>
      <c r="Q40" s="3835" t="n"/>
      <c r="R40" s="3835" t="n"/>
      <c r="S40" s="3835" t="n"/>
      <c r="T40" s="3835" t="n"/>
      <c r="U40" s="3835" t="n"/>
      <c r="V40" s="3835" t="n"/>
      <c r="W40" s="3835" t="n"/>
      <c r="X40" s="3835" t="n"/>
      <c r="Y40" s="3835" t="n"/>
      <c r="Z40" s="3835" t="n"/>
      <c r="AA40" s="3835" t="n"/>
      <c r="AB40" s="3951" t="n"/>
      <c r="AC40" s="3835" t="n"/>
      <c r="AD40" s="3835" t="n"/>
      <c r="AE40" s="3835" t="n"/>
      <c r="AF40" s="3835" t="n"/>
      <c r="AG40" s="3835" t="n"/>
      <c r="AH40" s="3835" t="n"/>
      <c r="AI40" s="3835" t="n"/>
      <c r="AJ40" s="3835" t="n"/>
      <c r="AK40" s="3835" t="n"/>
      <c r="AL40" s="3835" t="n"/>
      <c r="AM40" s="3835" t="n"/>
      <c r="AN40" s="3951" t="n"/>
      <c r="AO40" s="3835">
        <f>'Income statement'!AP353</f>
        <v/>
      </c>
      <c r="AP40" s="3835">
        <f>'Income statement'!AQ353</f>
        <v/>
      </c>
      <c r="AQ40" s="3835">
        <f>'Income statement'!AR353</f>
        <v/>
      </c>
      <c r="AR40" s="3835">
        <f>'Income statement'!AS353</f>
        <v/>
      </c>
      <c r="AS40" s="3835">
        <f>'Income statement'!AT353</f>
        <v/>
      </c>
      <c r="AT40" s="3952">
        <f>'Income statement'!AU353</f>
        <v/>
      </c>
      <c r="AU40" s="3834">
        <f>SUM(E40:P40)</f>
        <v/>
      </c>
      <c r="AV40" s="3834">
        <f>SUM(Q40:AB40)</f>
        <v/>
      </c>
      <c r="AW40" s="3835">
        <f>SUM(AC40:AN40)</f>
        <v/>
      </c>
      <c r="AX40" s="3835">
        <f>SUM(AG40:AR40)</f>
        <v/>
      </c>
      <c r="AY40" s="3835">
        <f>SUM(AI40:AT40)</f>
        <v/>
      </c>
      <c r="AZ40" s="3723" t="n"/>
      <c r="BA40" s="3804" t="n"/>
    </row>
    <row r="41" hidden="1" outlineLevel="1" ht="12" customHeight="1" s="3710">
      <c r="B41" s="3770" t="n"/>
      <c r="C41" s="3729" t="inlineStr">
        <is>
          <t>Add/(deduct)</t>
        </is>
      </c>
      <c r="D41" s="3833" t="n"/>
      <c r="E41" s="3835" t="n"/>
      <c r="F41" s="3835" t="n"/>
      <c r="G41" s="3835" t="n"/>
      <c r="H41" s="3835" t="n"/>
      <c r="I41" s="3835" t="n"/>
      <c r="J41" s="3835" t="n"/>
      <c r="K41" s="3835" t="n"/>
      <c r="L41" s="3835" t="n"/>
      <c r="M41" s="3835" t="n"/>
      <c r="N41" s="3835" t="n"/>
      <c r="O41" s="3835" t="n"/>
      <c r="P41" s="3951" t="n"/>
      <c r="Q41" s="3835" t="n"/>
      <c r="R41" s="3835" t="n"/>
      <c r="S41" s="3835" t="n"/>
      <c r="T41" s="3835" t="n"/>
      <c r="U41" s="3835" t="n"/>
      <c r="V41" s="3835" t="n"/>
      <c r="W41" s="3835" t="n"/>
      <c r="X41" s="3835" t="n"/>
      <c r="Y41" s="3835" t="n"/>
      <c r="Z41" s="3835" t="n"/>
      <c r="AA41" s="3835" t="n"/>
      <c r="AB41" s="3951" t="n"/>
      <c r="AC41" s="3835" t="n"/>
      <c r="AD41" s="3835" t="n"/>
      <c r="AE41" s="3835" t="n"/>
      <c r="AF41" s="3835" t="n"/>
      <c r="AG41" s="3835" t="n"/>
      <c r="AH41" s="3835" t="n"/>
      <c r="AI41" s="3835" t="n"/>
      <c r="AJ41" s="3835" t="n"/>
      <c r="AK41" s="3835" t="n"/>
      <c r="AL41" s="3835" t="n"/>
      <c r="AM41" s="3835" t="n"/>
      <c r="AN41" s="3951" t="n"/>
      <c r="AO41" s="3835" t="n"/>
      <c r="AP41" s="3835" t="n"/>
      <c r="AQ41" s="3835" t="n"/>
      <c r="AR41" s="3835" t="n"/>
      <c r="AS41" s="3835" t="n"/>
      <c r="AT41" s="3952" t="n"/>
      <c r="AU41" s="3834" t="n"/>
      <c r="AV41" s="3834" t="n"/>
      <c r="AW41" s="3835" t="n"/>
      <c r="AX41" s="3835" t="n"/>
      <c r="AY41" s="3835" t="n"/>
      <c r="AZ41" s="3723" t="n"/>
      <c r="BA41" s="3804" t="n"/>
    </row>
    <row r="42" hidden="1" outlineLevel="1" ht="12" customHeight="1" s="3710">
      <c r="B42" s="3770" t="n"/>
      <c r="C42" s="3837" t="inlineStr">
        <is>
          <t>Interest, net</t>
        </is>
      </c>
      <c r="D42" s="3727" t="n"/>
      <c r="E42" s="3807" t="n"/>
      <c r="F42" s="3807" t="n"/>
      <c r="G42" s="3807" t="n"/>
      <c r="H42" s="3807" t="n"/>
      <c r="I42" s="3807" t="n"/>
      <c r="J42" s="3807" t="n"/>
      <c r="K42" s="3807" t="n"/>
      <c r="L42" s="3807" t="n"/>
      <c r="M42" s="3807" t="n"/>
      <c r="N42" s="3807" t="n"/>
      <c r="O42" s="3807" t="n"/>
      <c r="P42" s="3943" t="n"/>
      <c r="Q42" s="3807" t="n"/>
      <c r="R42" s="3807" t="n"/>
      <c r="S42" s="3807" t="n"/>
      <c r="T42" s="3807" t="n"/>
      <c r="U42" s="3807" t="n"/>
      <c r="V42" s="3807" t="n"/>
      <c r="W42" s="3807" t="n"/>
      <c r="X42" s="3807" t="n"/>
      <c r="Y42" s="3807" t="n"/>
      <c r="Z42" s="3807" t="n"/>
      <c r="AA42" s="3807" t="n"/>
      <c r="AB42" s="3943" t="n"/>
      <c r="AC42" s="3807" t="n"/>
      <c r="AD42" s="3807" t="n"/>
      <c r="AE42" s="3807" t="n"/>
      <c r="AF42" s="3807" t="n"/>
      <c r="AG42" s="3807" t="n"/>
      <c r="AH42" s="3807" t="n"/>
      <c r="AI42" s="3807" t="n"/>
      <c r="AJ42" s="3807" t="n"/>
      <c r="AK42" s="3807" t="n"/>
      <c r="AL42" s="3807" t="n"/>
      <c r="AM42" s="3807" t="n"/>
      <c r="AN42" s="3943" t="n"/>
      <c r="AO42" s="3807">
        <f>'Income statement'!AP356</f>
        <v/>
      </c>
      <c r="AP42" s="3807">
        <f>'Income statement'!AQ356</f>
        <v/>
      </c>
      <c r="AQ42" s="3807">
        <f>'Income statement'!AR356</f>
        <v/>
      </c>
      <c r="AR42" s="3807">
        <f>'Income statement'!AS356</f>
        <v/>
      </c>
      <c r="AS42" s="3807">
        <f>'Income statement'!AT356</f>
        <v/>
      </c>
      <c r="AT42" s="3944">
        <f>'Income statement'!AU356</f>
        <v/>
      </c>
      <c r="AU42" s="3783">
        <f>SUM(E42:P42)</f>
        <v/>
      </c>
      <c r="AV42" s="3783">
        <f>SUM(Q42:AB42)</f>
        <v/>
      </c>
      <c r="AW42" s="3807">
        <f>SUM(AC42:AN42)</f>
        <v/>
      </c>
      <c r="AX42" s="3807">
        <f>SUM(AG42:AR42)</f>
        <v/>
      </c>
      <c r="AY42" s="3807">
        <f>SUM(AI42:AT42)</f>
        <v/>
      </c>
      <c r="AZ42" s="3723" t="n"/>
      <c r="BA42" s="3799" t="n"/>
    </row>
    <row r="43" hidden="1" outlineLevel="1" ht="12" customHeight="1" s="3710">
      <c r="B43" s="3770" t="n"/>
      <c r="C43" s="3837" t="inlineStr">
        <is>
          <t>Depreciation &amp; amortization</t>
        </is>
      </c>
      <c r="D43" s="3727" t="n"/>
      <c r="E43" s="3807" t="n"/>
      <c r="F43" s="3807" t="n"/>
      <c r="G43" s="3807" t="n"/>
      <c r="H43" s="3807" t="n"/>
      <c r="I43" s="3807" t="n"/>
      <c r="J43" s="3807" t="n"/>
      <c r="K43" s="3807" t="n"/>
      <c r="L43" s="3807" t="n"/>
      <c r="M43" s="3807" t="n"/>
      <c r="N43" s="3807" t="n"/>
      <c r="O43" s="3807" t="n"/>
      <c r="P43" s="3943" t="n"/>
      <c r="Q43" s="3807" t="n"/>
      <c r="R43" s="3807" t="n"/>
      <c r="S43" s="3807" t="n"/>
      <c r="T43" s="3807" t="n"/>
      <c r="U43" s="3807" t="n"/>
      <c r="V43" s="3807" t="n"/>
      <c r="W43" s="3807" t="n"/>
      <c r="X43" s="3807" t="n"/>
      <c r="Y43" s="3807" t="n"/>
      <c r="Z43" s="3807" t="n"/>
      <c r="AA43" s="3807" t="n"/>
      <c r="AB43" s="3943" t="n"/>
      <c r="AC43" s="3807" t="n"/>
      <c r="AD43" s="3807" t="n"/>
      <c r="AE43" s="3807" t="n"/>
      <c r="AF43" s="3807" t="n"/>
      <c r="AG43" s="3807" t="n"/>
      <c r="AH43" s="3807" t="n"/>
      <c r="AI43" s="3807" t="n"/>
      <c r="AJ43" s="3807" t="n"/>
      <c r="AK43" s="3807" t="n"/>
      <c r="AL43" s="3807" t="n"/>
      <c r="AM43" s="3807" t="n"/>
      <c r="AN43" s="3943" t="n"/>
      <c r="AO43" s="3807">
        <f>'Income statement'!AP354</f>
        <v/>
      </c>
      <c r="AP43" s="3807">
        <f>'Income statement'!AQ354</f>
        <v/>
      </c>
      <c r="AQ43" s="3807">
        <f>'Income statement'!AR354</f>
        <v/>
      </c>
      <c r="AR43" s="3807">
        <f>'Income statement'!AS354</f>
        <v/>
      </c>
      <c r="AS43" s="3807">
        <f>'Income statement'!AT354</f>
        <v/>
      </c>
      <c r="AT43" s="3944">
        <f>'Income statement'!AU354</f>
        <v/>
      </c>
      <c r="AU43" s="3783">
        <f>SUM(E43:P43)</f>
        <v/>
      </c>
      <c r="AV43" s="3783">
        <f>SUM(Q43:AB43)</f>
        <v/>
      </c>
      <c r="AW43" s="3807">
        <f>SUM(AC43:AN43)</f>
        <v/>
      </c>
      <c r="AX43" s="3807">
        <f>SUM(AG43:AR43)</f>
        <v/>
      </c>
      <c r="AY43" s="3807">
        <f>SUM(AI43:AT43)</f>
        <v/>
      </c>
      <c r="AZ43" s="3723" t="n"/>
      <c r="BA43" s="3799" t="n"/>
    </row>
    <row r="44" hidden="1" outlineLevel="1" ht="12" customHeight="1" s="3710">
      <c r="B44" s="3770" t="n"/>
      <c r="C44" s="3837" t="inlineStr">
        <is>
          <t>Other comprehensive income</t>
        </is>
      </c>
      <c r="D44" s="3727" t="n"/>
      <c r="E44" s="3807" t="n"/>
      <c r="F44" s="3807" t="n"/>
      <c r="G44" s="3807" t="n"/>
      <c r="H44" s="3807" t="n"/>
      <c r="I44" s="3807" t="n"/>
      <c r="J44" s="3807" t="n"/>
      <c r="K44" s="3807" t="n"/>
      <c r="L44" s="3807" t="n"/>
      <c r="M44" s="3807" t="n"/>
      <c r="N44" s="3807" t="n"/>
      <c r="O44" s="3807" t="n"/>
      <c r="P44" s="3943" t="n"/>
      <c r="Q44" s="3807" t="n"/>
      <c r="R44" s="3807" t="n"/>
      <c r="S44" s="3807" t="n"/>
      <c r="T44" s="3807" t="n"/>
      <c r="U44" s="3807" t="n"/>
      <c r="V44" s="3807" t="n"/>
      <c r="W44" s="3807" t="n"/>
      <c r="X44" s="3807" t="n"/>
      <c r="Y44" s="3807" t="n"/>
      <c r="Z44" s="3807" t="n"/>
      <c r="AA44" s="3807" t="n"/>
      <c r="AB44" s="3943" t="n"/>
      <c r="AC44" s="3807" t="n"/>
      <c r="AD44" s="3807" t="n"/>
      <c r="AE44" s="3807" t="n"/>
      <c r="AF44" s="3807" t="n"/>
      <c r="AG44" s="3807" t="n"/>
      <c r="AH44" s="3807" t="n"/>
      <c r="AI44" s="3807" t="n"/>
      <c r="AJ44" s="3807" t="n"/>
      <c r="AK44" s="3807" t="n"/>
      <c r="AL44" s="3807" t="n"/>
      <c r="AM44" s="3807" t="n"/>
      <c r="AN44" s="3943" t="n"/>
      <c r="AO44" s="3807">
        <f>'Income statement'!AP357</f>
        <v/>
      </c>
      <c r="AP44" s="3807">
        <f>'Income statement'!AQ357</f>
        <v/>
      </c>
      <c r="AQ44" s="3807">
        <f>'Income statement'!AR357</f>
        <v/>
      </c>
      <c r="AR44" s="3807">
        <f>'Income statement'!AS357</f>
        <v/>
      </c>
      <c r="AS44" s="3807">
        <f>'Income statement'!AT357</f>
        <v/>
      </c>
      <c r="AT44" s="3944">
        <f>'Income statement'!AU357</f>
        <v/>
      </c>
      <c r="AU44" s="3783">
        <f>SUM(E44:P44)</f>
        <v/>
      </c>
      <c r="AV44" s="3783">
        <f>SUM(Q44:AB44)</f>
        <v/>
      </c>
      <c r="AW44" s="3807">
        <f>SUM(AC44:AN44)</f>
        <v/>
      </c>
      <c r="AX44" s="3807">
        <f>SUM(AG44:AR44)</f>
        <v/>
      </c>
      <c r="AY44" s="3807">
        <f>SUM(AI44:AT44)</f>
        <v/>
      </c>
      <c r="AZ44" s="3723" t="n"/>
      <c r="BA44" s="3816" t="n"/>
    </row>
    <row r="45" hidden="1" outlineLevel="1" ht="12" customHeight="1" s="3710">
      <c r="B45" s="3770" t="n"/>
      <c r="C45" s="3837" t="inlineStr">
        <is>
          <t>Income taxes</t>
        </is>
      </c>
      <c r="D45" s="3727" t="n"/>
      <c r="E45" s="3807" t="n"/>
      <c r="F45" s="3807" t="n"/>
      <c r="G45" s="3807" t="n"/>
      <c r="H45" s="3807" t="n"/>
      <c r="I45" s="3807" t="n"/>
      <c r="J45" s="3807" t="n"/>
      <c r="K45" s="3807" t="n"/>
      <c r="L45" s="3807" t="n"/>
      <c r="M45" s="3807" t="n"/>
      <c r="N45" s="3807" t="n"/>
      <c r="O45" s="3807" t="n"/>
      <c r="P45" s="3943" t="n"/>
      <c r="Q45" s="3807" t="n"/>
      <c r="R45" s="3807" t="n"/>
      <c r="S45" s="3807" t="n"/>
      <c r="T45" s="3807" t="n"/>
      <c r="U45" s="3807" t="n"/>
      <c r="V45" s="3807" t="n"/>
      <c r="W45" s="3807" t="n"/>
      <c r="X45" s="3807" t="n"/>
      <c r="Y45" s="3807" t="n"/>
      <c r="Z45" s="3807" t="n"/>
      <c r="AA45" s="3807" t="n"/>
      <c r="AB45" s="3943" t="n"/>
      <c r="AC45" s="3807" t="n"/>
      <c r="AD45" s="3807" t="n"/>
      <c r="AE45" s="3807" t="n"/>
      <c r="AF45" s="3807" t="n"/>
      <c r="AG45" s="3807" t="n"/>
      <c r="AH45" s="3807" t="n"/>
      <c r="AI45" s="3807" t="n"/>
      <c r="AJ45" s="3807" t="n"/>
      <c r="AK45" s="3807" t="n"/>
      <c r="AL45" s="3807" t="n"/>
      <c r="AM45" s="3807" t="n"/>
      <c r="AN45" s="3943" t="n"/>
      <c r="AO45" s="3807">
        <f>'Income statement'!AP355</f>
        <v/>
      </c>
      <c r="AP45" s="3807">
        <f>'Income statement'!AQ355</f>
        <v/>
      </c>
      <c r="AQ45" s="3807">
        <f>'Income statement'!AR355</f>
        <v/>
      </c>
      <c r="AR45" s="3807">
        <f>'Income statement'!AS355</f>
        <v/>
      </c>
      <c r="AS45" s="3807">
        <f>'Income statement'!AT355</f>
        <v/>
      </c>
      <c r="AT45" s="3944">
        <f>'Income statement'!AU355</f>
        <v/>
      </c>
      <c r="AU45" s="3783">
        <f>SUM(E45:P45)</f>
        <v/>
      </c>
      <c r="AV45" s="3783">
        <f>SUM(Q45:AB45)</f>
        <v/>
      </c>
      <c r="AW45" s="3807">
        <f>SUM(AC45:AN45)</f>
        <v/>
      </c>
      <c r="AX45" s="3807">
        <f>SUM(AG45:AR45)</f>
        <v/>
      </c>
      <c r="AY45" s="3807">
        <f>SUM(AI45:AT45)</f>
        <v/>
      </c>
      <c r="AZ45" s="3723" t="n"/>
      <c r="BA45" s="3799" t="n"/>
    </row>
    <row r="46" ht="12" customHeight="1" s="3710">
      <c r="B46" s="3770" t="n"/>
      <c r="C46" s="3838" t="inlineStr">
        <is>
          <t>EBITDA, reported</t>
        </is>
      </c>
      <c r="D46" s="3838" t="n"/>
      <c r="E46" s="3803" t="n"/>
      <c r="F46" s="3803" t="n"/>
      <c r="G46" s="3803" t="n"/>
      <c r="H46" s="3803" t="n"/>
      <c r="I46" s="3803" t="n"/>
      <c r="J46" s="3803" t="n"/>
      <c r="K46" s="3803" t="n"/>
      <c r="L46" s="3803" t="n"/>
      <c r="M46" s="3803" t="n"/>
      <c r="N46" s="3803" t="n"/>
      <c r="O46" s="3803" t="n"/>
      <c r="P46" s="3953" t="n"/>
      <c r="Q46" s="3803" t="n"/>
      <c r="R46" s="3803" t="n"/>
      <c r="S46" s="3803" t="n"/>
      <c r="T46" s="3803" t="n"/>
      <c r="U46" s="3803" t="n"/>
      <c r="V46" s="3803" t="n"/>
      <c r="W46" s="3803" t="n"/>
      <c r="X46" s="3803" t="n"/>
      <c r="Y46" s="3803" t="n"/>
      <c r="Z46" s="3803" t="n"/>
      <c r="AA46" s="3803" t="n"/>
      <c r="AB46" s="3953" t="n"/>
      <c r="AC46" s="3803" t="n"/>
      <c r="AD46" s="3803" t="n"/>
      <c r="AE46" s="3803" t="n"/>
      <c r="AF46" s="3803" t="n"/>
      <c r="AG46" s="3803" t="n"/>
      <c r="AH46" s="3803" t="n"/>
      <c r="AI46" s="3803" t="n"/>
      <c r="AJ46" s="3803" t="n"/>
      <c r="AK46" s="3803" t="n"/>
      <c r="AL46" s="3803" t="n"/>
      <c r="AM46" s="3803" t="n"/>
      <c r="AN46" s="3953" t="n"/>
      <c r="AO46" s="3803">
        <f>SUM(AO40:AO45)</f>
        <v/>
      </c>
      <c r="AP46" s="3803">
        <f>SUM(AP40:AP45)</f>
        <v/>
      </c>
      <c r="AQ46" s="3803">
        <f>SUM(AQ40:AQ45)</f>
        <v/>
      </c>
      <c r="AR46" s="3803">
        <f>SUM(AR40:AR45)</f>
        <v/>
      </c>
      <c r="AS46" s="3803">
        <f>SUM(AS40:AS45)</f>
        <v/>
      </c>
      <c r="AT46" s="3954">
        <f>SUM(AT40:AT45)</f>
        <v/>
      </c>
      <c r="AU46" s="3839">
        <f>SUM(AU40:AU45)</f>
        <v/>
      </c>
      <c r="AV46" s="3839">
        <f>SUM(AV40:AV45)</f>
        <v/>
      </c>
      <c r="AW46" s="3803">
        <f>SUM(AW40:AW45)</f>
        <v/>
      </c>
      <c r="AX46" s="3803">
        <f>SUM(AX40:AX45)</f>
        <v/>
      </c>
      <c r="AY46" s="3803">
        <f>SUM(AY40:AY45)</f>
        <v/>
      </c>
      <c r="AZ46" s="3723" t="n"/>
      <c r="BA46" s="3804" t="n"/>
    </row>
    <row r="47" hidden="1" outlineLevel="1" ht="12" customHeight="1" s="3710">
      <c r="B47" s="3770" t="n"/>
      <c r="C47" s="3729" t="inlineStr">
        <is>
          <t>Due diligence adjustments</t>
        </is>
      </c>
      <c r="D47" s="3729" t="n"/>
      <c r="E47" s="3784" t="n"/>
      <c r="F47" s="3784" t="n"/>
      <c r="G47" s="3784" t="n"/>
      <c r="H47" s="3784" t="n"/>
      <c r="I47" s="3784" t="n"/>
      <c r="J47" s="3784" t="n"/>
      <c r="K47" s="3784" t="n"/>
      <c r="L47" s="3784" t="n"/>
      <c r="M47" s="3784" t="n"/>
      <c r="N47" s="3784" t="n"/>
      <c r="O47" s="3784" t="n"/>
      <c r="P47" s="3935" t="n"/>
      <c r="Q47" s="3784" t="n"/>
      <c r="R47" s="3784" t="n"/>
      <c r="S47" s="3784" t="n"/>
      <c r="T47" s="3784" t="n"/>
      <c r="U47" s="3784" t="n"/>
      <c r="V47" s="3784" t="n"/>
      <c r="W47" s="3784" t="n"/>
      <c r="X47" s="3784" t="n"/>
      <c r="Y47" s="3784" t="n"/>
      <c r="Z47" s="3784" t="n"/>
      <c r="AA47" s="3784" t="n"/>
      <c r="AB47" s="3935" t="n"/>
      <c r="AC47" s="3784" t="n"/>
      <c r="AD47" s="3784" t="n"/>
      <c r="AE47" s="3784" t="n"/>
      <c r="AF47" s="3784" t="n"/>
      <c r="AG47" s="3784" t="n"/>
      <c r="AH47" s="3784" t="n"/>
      <c r="AI47" s="3784" t="n"/>
      <c r="AJ47" s="3784" t="n"/>
      <c r="AK47" s="3784" t="n"/>
      <c r="AL47" s="3784" t="n"/>
      <c r="AM47" s="3784" t="n"/>
      <c r="AN47" s="3935" t="n"/>
      <c r="AO47" s="3784" t="n"/>
      <c r="AP47" s="3784" t="n"/>
      <c r="AQ47" s="3784" t="n"/>
      <c r="AR47" s="3784" t="n"/>
      <c r="AS47" s="3784" t="n"/>
      <c r="AT47" s="3936" t="n"/>
      <c r="AU47" s="3783" t="n"/>
      <c r="AV47" s="3783" t="n"/>
      <c r="AW47" s="3784" t="n"/>
      <c r="AX47" s="3784" t="n"/>
      <c r="AY47" s="3784" t="n"/>
      <c r="AZ47" s="3723" t="n"/>
      <c r="BA47" s="3799" t="n"/>
    </row>
    <row r="48" hidden="1" outlineLevel="1" ht="12" customHeight="1" s="3710">
      <c r="B48" s="3770" t="n"/>
      <c r="C48" s="3787" t="n"/>
      <c r="D48" s="3788" t="n">
        <v>1</v>
      </c>
      <c r="E48" s="3807" t="n"/>
      <c r="F48" s="3807" t="n"/>
      <c r="G48" s="3807" t="n"/>
      <c r="H48" s="3807" t="n"/>
      <c r="I48" s="3807" t="n"/>
      <c r="J48" s="3807" t="n"/>
      <c r="K48" s="3807" t="n"/>
      <c r="L48" s="3807" t="n"/>
      <c r="M48" s="3807" t="n"/>
      <c r="N48" s="3807" t="n"/>
      <c r="O48" s="3807" t="n"/>
      <c r="P48" s="3943" t="n"/>
      <c r="Q48" s="3807" t="n"/>
      <c r="R48" s="3807" t="n"/>
      <c r="S48" s="3807" t="n"/>
      <c r="T48" s="3807" t="n"/>
      <c r="U48" s="3807" t="n"/>
      <c r="V48" s="3807" t="n"/>
      <c r="W48" s="3807" t="n"/>
      <c r="X48" s="3807" t="n"/>
      <c r="Y48" s="3807" t="n"/>
      <c r="Z48" s="3807" t="n"/>
      <c r="AA48" s="3807" t="n"/>
      <c r="AB48" s="3943" t="n"/>
      <c r="AC48" s="3807" t="n"/>
      <c r="AD48" s="3807" t="n"/>
      <c r="AE48" s="3807" t="n"/>
      <c r="AF48" s="3807" t="n"/>
      <c r="AG48" s="3807" t="n"/>
      <c r="AH48" s="3807" t="n"/>
      <c r="AI48" s="3807" t="n"/>
      <c r="AJ48" s="3807" t="n"/>
      <c r="AK48" s="3807" t="n"/>
      <c r="AL48" s="3807" t="n"/>
      <c r="AM48" s="3807" t="n"/>
      <c r="AN48" s="3943" t="n"/>
      <c r="AO48" s="3807" t="n"/>
      <c r="AP48" s="3807" t="n"/>
      <c r="AQ48" s="3807" t="n"/>
      <c r="AR48" s="3807" t="n"/>
      <c r="AS48" s="3807" t="n"/>
      <c r="AT48" s="3944" t="n"/>
      <c r="AU48" s="3806">
        <f>SUM(E48:P48)</f>
        <v/>
      </c>
      <c r="AV48" s="3806">
        <f>SUM(Q48:AB48)</f>
        <v/>
      </c>
      <c r="AW48" s="3807">
        <f>SUM(AC48:AN48)</f>
        <v/>
      </c>
      <c r="AX48" s="3807">
        <f>SUM(AG48:AR48)</f>
        <v/>
      </c>
      <c r="AY48" s="3807">
        <f>SUM(AI48:AT48)</f>
        <v/>
      </c>
      <c r="AZ48" s="3723" t="n"/>
      <c r="BA48" s="3818" t="n"/>
    </row>
    <row r="49" hidden="1" outlineLevel="1" ht="12" customHeight="1" s="3710">
      <c r="B49" s="3770" t="n"/>
      <c r="C49" s="3787" t="inlineStr">
        <is>
          <t>Settlement interest income</t>
        </is>
      </c>
      <c r="D49" s="3782">
        <f>D48+1</f>
        <v/>
      </c>
      <c r="E49" s="3807" t="n"/>
      <c r="F49" s="3807" t="n"/>
      <c r="G49" s="3807" t="n"/>
      <c r="H49" s="3807" t="n"/>
      <c r="I49" s="3807" t="n"/>
      <c r="J49" s="3807" t="n"/>
      <c r="K49" s="3807" t="n"/>
      <c r="L49" s="3807" t="n"/>
      <c r="M49" s="3807" t="n"/>
      <c r="N49" s="3807" t="n"/>
      <c r="O49" s="3807" t="n"/>
      <c r="P49" s="3943" t="n"/>
      <c r="Q49" s="3807" t="n"/>
      <c r="R49" s="3807" t="n"/>
      <c r="S49" s="3807" t="n"/>
      <c r="T49" s="3807" t="n"/>
      <c r="U49" s="3807" t="n"/>
      <c r="V49" s="3807" t="n"/>
      <c r="W49" s="3807" t="n"/>
      <c r="X49" s="3807" t="n"/>
      <c r="Y49" s="3807" t="n"/>
      <c r="Z49" s="3807" t="n"/>
      <c r="AA49" s="3807" t="n"/>
      <c r="AB49" s="3943" t="n"/>
      <c r="AC49" s="3807" t="n"/>
      <c r="AD49" s="3807" t="n"/>
      <c r="AE49" s="3807" t="n"/>
      <c r="AF49" s="3807" t="n"/>
      <c r="AG49" s="3807" t="n"/>
      <c r="AH49" s="3807" t="n"/>
      <c r="AI49" s="3807" t="n"/>
      <c r="AJ49" s="3807" t="n"/>
      <c r="AK49" s="3807" t="n"/>
      <c r="AL49" s="3807" t="n"/>
      <c r="AM49" s="3807" t="n"/>
      <c r="AN49" s="3943" t="n"/>
      <c r="AO49" s="3807" t="n"/>
      <c r="AP49" s="3807" t="n"/>
      <c r="AQ49" s="3807" t="n"/>
      <c r="AR49" s="3807" t="n"/>
      <c r="AS49" s="3807" t="n"/>
      <c r="AT49" s="3944" t="n"/>
      <c r="AU49" s="3806">
        <f>SUM(E49:P49)</f>
        <v/>
      </c>
      <c r="AV49" s="3806">
        <f>SUM(Q49:AB49)</f>
        <v/>
      </c>
      <c r="AW49" s="3807">
        <f>SUM(AC49:AN49)</f>
        <v/>
      </c>
      <c r="AX49" s="3807">
        <f>SUM(AG49:AR49)</f>
        <v/>
      </c>
      <c r="AY49" s="3807">
        <f>SUM(AI49:AT49)</f>
        <v/>
      </c>
      <c r="AZ49" s="3723" t="n"/>
      <c r="BA49" s="3818" t="n"/>
    </row>
    <row r="50" hidden="1" outlineLevel="1" ht="12" customHeight="1" s="3710">
      <c r="B50" s="3770" t="n"/>
      <c r="C50" s="3787" t="n"/>
      <c r="D50" s="3788">
        <f>D49+1</f>
        <v/>
      </c>
      <c r="E50" s="3807" t="n"/>
      <c r="F50" s="3807" t="n"/>
      <c r="G50" s="3807" t="n"/>
      <c r="H50" s="3807" t="n"/>
      <c r="I50" s="3807" t="n"/>
      <c r="J50" s="3807" t="n"/>
      <c r="K50" s="3807" t="n"/>
      <c r="L50" s="3807" t="n"/>
      <c r="M50" s="3807" t="n"/>
      <c r="N50" s="3807" t="n"/>
      <c r="O50" s="3807" t="n"/>
      <c r="P50" s="3943" t="n"/>
      <c r="Q50" s="3807" t="n"/>
      <c r="R50" s="3807" t="n"/>
      <c r="S50" s="3807" t="n"/>
      <c r="T50" s="3807" t="n"/>
      <c r="U50" s="3807" t="n"/>
      <c r="V50" s="3807" t="n"/>
      <c r="W50" s="3807" t="n"/>
      <c r="X50" s="3807" t="n"/>
      <c r="Y50" s="3807" t="n"/>
      <c r="Z50" s="3807" t="n"/>
      <c r="AA50" s="3807" t="n"/>
      <c r="AB50" s="3943" t="n"/>
      <c r="AC50" s="3807" t="n"/>
      <c r="AD50" s="3807" t="n"/>
      <c r="AE50" s="3807" t="n"/>
      <c r="AF50" s="3807" t="n"/>
      <c r="AG50" s="3807" t="n"/>
      <c r="AH50" s="3807" t="n"/>
      <c r="AI50" s="3807" t="n"/>
      <c r="AJ50" s="3807" t="n"/>
      <c r="AK50" s="3807" t="n"/>
      <c r="AL50" s="3807" t="n"/>
      <c r="AM50" s="3807" t="n"/>
      <c r="AN50" s="3943" t="n"/>
      <c r="AO50" s="3807" t="n"/>
      <c r="AP50" s="3807" t="n"/>
      <c r="AQ50" s="3807" t="n"/>
      <c r="AR50" s="3807" t="n"/>
      <c r="AS50" s="3807" t="n"/>
      <c r="AT50" s="3944" t="n"/>
      <c r="AU50" s="3806">
        <f>SUM(E50:P50)</f>
        <v/>
      </c>
      <c r="AV50" s="3806">
        <f>SUM(Q50:AB50)</f>
        <v/>
      </c>
      <c r="AW50" s="3807">
        <f>SUM(AC50:AN50)</f>
        <v/>
      </c>
      <c r="AX50" s="3807">
        <f>SUM(AG50:AR50)</f>
        <v/>
      </c>
      <c r="AY50" s="3807">
        <f>SUM(AI50:AT50)</f>
        <v/>
      </c>
      <c r="AZ50" s="3723" t="n"/>
      <c r="BA50" s="3818" t="n"/>
    </row>
    <row r="51" hidden="1" outlineLevel="2" ht="12" customHeight="1" s="3710">
      <c r="B51" s="3770" t="n"/>
      <c r="C51" s="3840" t="n"/>
      <c r="D51" s="3788" t="inlineStr">
        <is>
          <t>a</t>
        </is>
      </c>
      <c r="E51" s="3807" t="n"/>
      <c r="F51" s="3807" t="n"/>
      <c r="G51" s="3807" t="n"/>
      <c r="H51" s="3807" t="n"/>
      <c r="I51" s="3807" t="n"/>
      <c r="J51" s="3807" t="n"/>
      <c r="K51" s="3807" t="n"/>
      <c r="L51" s="3807" t="n"/>
      <c r="M51" s="3807" t="n"/>
      <c r="N51" s="3807" t="n"/>
      <c r="O51" s="3807" t="n"/>
      <c r="P51" s="3943" t="n"/>
      <c r="Q51" s="3807" t="n"/>
      <c r="R51" s="3807" t="n"/>
      <c r="S51" s="3807" t="n"/>
      <c r="T51" s="3807" t="n"/>
      <c r="U51" s="3807" t="n"/>
      <c r="V51" s="3807" t="n"/>
      <c r="W51" s="3807" t="n"/>
      <c r="X51" s="3807" t="n"/>
      <c r="Y51" s="3807" t="n"/>
      <c r="Z51" s="3807" t="n"/>
      <c r="AA51" s="3807" t="n"/>
      <c r="AB51" s="3943" t="n"/>
      <c r="AC51" s="3807" t="n"/>
      <c r="AD51" s="3807" t="n"/>
      <c r="AE51" s="3807" t="n"/>
      <c r="AF51" s="3807" t="n"/>
      <c r="AG51" s="3807" t="n"/>
      <c r="AH51" s="3807" t="n"/>
      <c r="AI51" s="3807" t="n"/>
      <c r="AJ51" s="3807" t="n"/>
      <c r="AK51" s="3807" t="n"/>
      <c r="AL51" s="3807" t="n"/>
      <c r="AM51" s="3807" t="n"/>
      <c r="AN51" s="3943" t="n"/>
      <c r="AO51" s="3807" t="n"/>
      <c r="AP51" s="3807" t="n"/>
      <c r="AQ51" s="3807" t="n"/>
      <c r="AR51" s="3807" t="n"/>
      <c r="AS51" s="3807" t="n"/>
      <c r="AT51" s="3944" t="n"/>
      <c r="AU51" s="3806">
        <f>SUM(E51:P51)</f>
        <v/>
      </c>
      <c r="AV51" s="3806">
        <f>SUM(Q51:AB51)</f>
        <v/>
      </c>
      <c r="AW51" s="3807">
        <f>SUM(AC51:AN51)</f>
        <v/>
      </c>
      <c r="AX51" s="3807">
        <f>SUM(AG51:AR51)</f>
        <v/>
      </c>
      <c r="AY51" s="3807">
        <f>SUM(AI51:AT51)</f>
        <v/>
      </c>
      <c r="AZ51" s="3723" t="n"/>
      <c r="BA51" s="3818" t="n"/>
    </row>
    <row r="52" hidden="1" outlineLevel="2" ht="12" customHeight="1" s="3710">
      <c r="B52" s="3770" t="n"/>
      <c r="C52" s="3814" t="n"/>
      <c r="D52" s="3788" t="inlineStr">
        <is>
          <t>b</t>
        </is>
      </c>
      <c r="E52" s="3795" t="n"/>
      <c r="F52" s="3795" t="n"/>
      <c r="G52" s="3795" t="n"/>
      <c r="H52" s="3795" t="n"/>
      <c r="I52" s="3795" t="n"/>
      <c r="J52" s="3795" t="n"/>
      <c r="K52" s="3795" t="n"/>
      <c r="L52" s="3795" t="n"/>
      <c r="M52" s="3795" t="n"/>
      <c r="N52" s="3795" t="n"/>
      <c r="O52" s="3795" t="n"/>
      <c r="P52" s="3939" t="n"/>
      <c r="Q52" s="3795" t="n"/>
      <c r="R52" s="3795" t="n"/>
      <c r="S52" s="3795" t="n"/>
      <c r="T52" s="3795" t="n"/>
      <c r="U52" s="3795" t="n"/>
      <c r="V52" s="3795" t="n"/>
      <c r="W52" s="3795" t="n"/>
      <c r="X52" s="3795" t="n"/>
      <c r="Y52" s="3795" t="n"/>
      <c r="Z52" s="3795" t="n"/>
      <c r="AA52" s="3795" t="n"/>
      <c r="AB52" s="3939" t="n"/>
      <c r="AC52" s="3795" t="n"/>
      <c r="AD52" s="3795" t="n"/>
      <c r="AE52" s="3795" t="n"/>
      <c r="AF52" s="3795" t="n"/>
      <c r="AG52" s="3795" t="n"/>
      <c r="AH52" s="3795" t="n"/>
      <c r="AI52" s="3795" t="n"/>
      <c r="AJ52" s="3795" t="n"/>
      <c r="AK52" s="3795" t="n"/>
      <c r="AL52" s="3795" t="n"/>
      <c r="AM52" s="3795" t="n"/>
      <c r="AN52" s="3939" t="n"/>
      <c r="AO52" s="3795" t="n"/>
      <c r="AP52" s="3795" t="n"/>
      <c r="AQ52" s="3795" t="n"/>
      <c r="AR52" s="3795" t="n"/>
      <c r="AS52" s="3795" t="n"/>
      <c r="AT52" s="3940" t="n"/>
      <c r="AU52" s="3815">
        <f>SUM(E52:P52)</f>
        <v/>
      </c>
      <c r="AV52" s="3815">
        <f>SUM(Q52:AB52)</f>
        <v/>
      </c>
      <c r="AW52" s="3795">
        <f>SUM(AC52:AN52)</f>
        <v/>
      </c>
      <c r="AX52" s="3795">
        <f>SUM(AG52:AR52)</f>
        <v/>
      </c>
      <c r="AY52" s="3795">
        <f>SUM(AI52:AT52)</f>
        <v/>
      </c>
      <c r="AZ52" s="3723" t="n"/>
      <c r="BA52" s="3818" t="n"/>
    </row>
    <row r="53" hidden="1" outlineLevel="1" ht="12" customHeight="1" s="3710">
      <c r="B53" s="3770" t="n"/>
      <c r="C53" s="3781" t="inlineStr">
        <is>
          <t>Out of period entries</t>
        </is>
      </c>
      <c r="D53" s="3817">
        <f>D50+1</f>
        <v/>
      </c>
      <c r="E53" s="3807" t="n"/>
      <c r="F53" s="3807" t="n"/>
      <c r="G53" s="3807" t="n"/>
      <c r="H53" s="3807" t="n"/>
      <c r="I53" s="3807" t="n"/>
      <c r="J53" s="3807" t="n"/>
      <c r="K53" s="3807" t="n"/>
      <c r="L53" s="3807" t="n"/>
      <c r="M53" s="3807" t="n"/>
      <c r="N53" s="3807" t="n"/>
      <c r="O53" s="3807" t="n"/>
      <c r="P53" s="3943" t="n"/>
      <c r="Q53" s="3807" t="n"/>
      <c r="R53" s="3807" t="n"/>
      <c r="S53" s="3807" t="n"/>
      <c r="T53" s="3807" t="n"/>
      <c r="U53" s="3807" t="n"/>
      <c r="V53" s="3807" t="n"/>
      <c r="W53" s="3807" t="n"/>
      <c r="X53" s="3807" t="n"/>
      <c r="Y53" s="3807" t="n"/>
      <c r="Z53" s="3807" t="n"/>
      <c r="AA53" s="3807" t="n"/>
      <c r="AB53" s="3943" t="n"/>
      <c r="AC53" s="3807" t="n"/>
      <c r="AD53" s="3807" t="n"/>
      <c r="AE53" s="3807" t="n"/>
      <c r="AF53" s="3807" t="n"/>
      <c r="AG53" s="3807" t="n"/>
      <c r="AH53" s="3807" t="n"/>
      <c r="AI53" s="3807" t="n"/>
      <c r="AJ53" s="3807" t="n"/>
      <c r="AK53" s="3807" t="n"/>
      <c r="AL53" s="3807" t="n"/>
      <c r="AM53" s="3807" t="n"/>
      <c r="AN53" s="3943" t="n"/>
      <c r="AO53" s="3807">
        <f>SUM(AO51:AO52)</f>
        <v/>
      </c>
      <c r="AP53" s="3807">
        <f>SUM(AP51:AP52)</f>
        <v/>
      </c>
      <c r="AQ53" s="3807">
        <f>SUM(AQ51:AQ52)</f>
        <v/>
      </c>
      <c r="AR53" s="3807">
        <f>SUM(AR51:AR52)</f>
        <v/>
      </c>
      <c r="AS53" s="3807">
        <f>SUM(AS51:AS52)</f>
        <v/>
      </c>
      <c r="AT53" s="3944">
        <f>SUM(AT51:AT52)</f>
        <v/>
      </c>
      <c r="AU53" s="3806">
        <f>SUM(AU51:AU52)</f>
        <v/>
      </c>
      <c r="AV53" s="3806">
        <f>SUM(AV51:AV52)</f>
        <v/>
      </c>
      <c r="AW53" s="3807">
        <f>SUM(AW51:AW52)</f>
        <v/>
      </c>
      <c r="AX53" s="3807">
        <f>SUM(AX51:AX52)</f>
        <v/>
      </c>
      <c r="AY53" s="3807">
        <f>SUM(AY51:AY52)</f>
        <v/>
      </c>
      <c r="AZ53" s="3723" t="n"/>
      <c r="BA53" s="3818" t="n"/>
    </row>
    <row r="54" hidden="1" outlineLevel="1" ht="12" customHeight="1" s="3710">
      <c r="B54" s="3770" t="n"/>
      <c r="C54" s="3781" t="n"/>
      <c r="D54" s="3788">
        <f>D53+1</f>
        <v/>
      </c>
      <c r="E54" s="3807" t="n"/>
      <c r="F54" s="3807" t="n"/>
      <c r="G54" s="3807" t="n"/>
      <c r="H54" s="3807" t="n"/>
      <c r="I54" s="3807" t="n"/>
      <c r="J54" s="3807" t="n"/>
      <c r="K54" s="3807" t="n"/>
      <c r="L54" s="3807" t="n"/>
      <c r="M54" s="3807" t="n"/>
      <c r="N54" s="3807" t="n"/>
      <c r="O54" s="3807" t="n"/>
      <c r="P54" s="3943" t="n"/>
      <c r="Q54" s="3807" t="n"/>
      <c r="R54" s="3807" t="n"/>
      <c r="S54" s="3807" t="n"/>
      <c r="T54" s="3807" t="n"/>
      <c r="U54" s="3807" t="n"/>
      <c r="V54" s="3807" t="n"/>
      <c r="W54" s="3807" t="n"/>
      <c r="X54" s="3807" t="n"/>
      <c r="Y54" s="3807" t="n"/>
      <c r="Z54" s="3807" t="n"/>
      <c r="AA54" s="3807" t="n"/>
      <c r="AB54" s="3943" t="n"/>
      <c r="AC54" s="3807" t="n"/>
      <c r="AD54" s="3807" t="n"/>
      <c r="AE54" s="3807" t="n"/>
      <c r="AF54" s="3807" t="n"/>
      <c r="AG54" s="3807" t="n"/>
      <c r="AH54" s="3807" t="n"/>
      <c r="AI54" s="3807" t="n"/>
      <c r="AJ54" s="3807" t="n"/>
      <c r="AK54" s="3807" t="n"/>
      <c r="AL54" s="3807" t="n"/>
      <c r="AM54" s="3807" t="n"/>
      <c r="AN54" s="3943" t="n"/>
      <c r="AO54" s="3807" t="n"/>
      <c r="AP54" s="3807" t="n"/>
      <c r="AQ54" s="3807" t="n"/>
      <c r="AR54" s="3807" t="n"/>
      <c r="AS54" s="3807" t="n"/>
      <c r="AT54" s="3944" t="n"/>
      <c r="AU54" s="3806">
        <f>SUM(E54:P54)</f>
        <v/>
      </c>
      <c r="AV54" s="3806">
        <f>SUM(Q54:AB54)</f>
        <v/>
      </c>
      <c r="AW54" s="3807">
        <f>SUM(AC54:AN54)</f>
        <v/>
      </c>
      <c r="AX54" s="3807">
        <f>SUM(AG54:AR54)</f>
        <v/>
      </c>
      <c r="AY54" s="3807">
        <f>SUM(AI54:AT54)</f>
        <v/>
      </c>
      <c r="AZ54" s="3723" t="n"/>
      <c r="BA54" s="3818" t="n"/>
    </row>
    <row r="55" hidden="1" outlineLevel="1" ht="12" customHeight="1" s="3710">
      <c r="B55" s="3770" t="n"/>
      <c r="C55" s="3781" t="n"/>
      <c r="D55" s="3788">
        <f>D54+1</f>
        <v/>
      </c>
      <c r="E55" s="3807" t="n"/>
      <c r="F55" s="3807" t="n"/>
      <c r="G55" s="3807" t="n"/>
      <c r="H55" s="3807" t="n"/>
      <c r="I55" s="3807" t="n"/>
      <c r="J55" s="3807" t="n"/>
      <c r="K55" s="3807" t="n"/>
      <c r="L55" s="3807" t="n"/>
      <c r="M55" s="3807" t="n"/>
      <c r="N55" s="3807" t="n"/>
      <c r="O55" s="3807" t="n"/>
      <c r="P55" s="3943" t="n"/>
      <c r="Q55" s="3807" t="n"/>
      <c r="R55" s="3807" t="n"/>
      <c r="S55" s="3807" t="n"/>
      <c r="T55" s="3807" t="n"/>
      <c r="U55" s="3807" t="n"/>
      <c r="V55" s="3807" t="n"/>
      <c r="W55" s="3807" t="n"/>
      <c r="X55" s="3807" t="n"/>
      <c r="Y55" s="3807" t="n"/>
      <c r="Z55" s="3807" t="n"/>
      <c r="AA55" s="3807" t="n"/>
      <c r="AB55" s="3943" t="n"/>
      <c r="AC55" s="3807" t="n"/>
      <c r="AD55" s="3807" t="n"/>
      <c r="AE55" s="3807" t="n"/>
      <c r="AF55" s="3807" t="n"/>
      <c r="AG55" s="3807" t="n"/>
      <c r="AH55" s="3807" t="n"/>
      <c r="AI55" s="3807" t="n"/>
      <c r="AJ55" s="3807" t="n"/>
      <c r="AK55" s="3807" t="n"/>
      <c r="AL55" s="3807" t="n"/>
      <c r="AM55" s="3807" t="n"/>
      <c r="AN55" s="3943" t="n"/>
      <c r="AO55" s="3807" t="n"/>
      <c r="AP55" s="3807" t="n"/>
      <c r="AQ55" s="3807" t="n"/>
      <c r="AR55" s="3807" t="n"/>
      <c r="AS55" s="3807" t="n"/>
      <c r="AT55" s="3944" t="n"/>
      <c r="AU55" s="3806">
        <f>SUM(E55:P55)</f>
        <v/>
      </c>
      <c r="AV55" s="3806">
        <f>SUM(Q55:AB55)</f>
        <v/>
      </c>
      <c r="AW55" s="3807">
        <f>SUM(AC55:AN55)</f>
        <v/>
      </c>
      <c r="AX55" s="3807">
        <f>SUM(AG55:AR55)</f>
        <v/>
      </c>
      <c r="AY55" s="3807">
        <f>SUM(AI55:AT55)</f>
        <v/>
      </c>
      <c r="AZ55" s="3723" t="n"/>
      <c r="BA55" s="3818" t="n"/>
    </row>
    <row r="56" hidden="1" outlineLevel="1" ht="12" customHeight="1" s="3710">
      <c r="B56" s="3770" t="n"/>
      <c r="C56" s="3781" t="n"/>
      <c r="D56" s="3788">
        <f>D55+1</f>
        <v/>
      </c>
      <c r="E56" s="3784" t="n"/>
      <c r="F56" s="3784" t="n"/>
      <c r="G56" s="3784" t="n"/>
      <c r="H56" s="3784" t="n"/>
      <c r="I56" s="3784" t="n"/>
      <c r="J56" s="3784" t="n"/>
      <c r="K56" s="3784" t="n"/>
      <c r="L56" s="3784" t="n"/>
      <c r="M56" s="3784" t="n"/>
      <c r="N56" s="3784" t="n"/>
      <c r="O56" s="3784" t="n"/>
      <c r="P56" s="3935" t="n"/>
      <c r="Q56" s="3784" t="n"/>
      <c r="R56" s="3784" t="n"/>
      <c r="S56" s="3784" t="n"/>
      <c r="T56" s="3784" t="n"/>
      <c r="U56" s="3784" t="n"/>
      <c r="V56" s="3784" t="n"/>
      <c r="W56" s="3784" t="n"/>
      <c r="X56" s="3784" t="n"/>
      <c r="Y56" s="3784" t="n"/>
      <c r="Z56" s="3784" t="n"/>
      <c r="AA56" s="3784" t="n"/>
      <c r="AB56" s="3935" t="n"/>
      <c r="AC56" s="3784" t="n"/>
      <c r="AD56" s="3784" t="n"/>
      <c r="AE56" s="3784" t="n"/>
      <c r="AF56" s="3784" t="n"/>
      <c r="AG56" s="3784" t="n"/>
      <c r="AH56" s="3784" t="n"/>
      <c r="AI56" s="3784" t="n"/>
      <c r="AJ56" s="3784" t="n"/>
      <c r="AK56" s="3784" t="n"/>
      <c r="AL56" s="3784" t="n"/>
      <c r="AM56" s="3784" t="n"/>
      <c r="AN56" s="3935" t="n"/>
      <c r="AO56" s="3784" t="n"/>
      <c r="AP56" s="3784" t="n"/>
      <c r="AQ56" s="3784" t="n"/>
      <c r="AR56" s="3784" t="n"/>
      <c r="AS56" s="3784" t="n"/>
      <c r="AT56" s="3936" t="n"/>
      <c r="AU56" s="3841">
        <f>SUM(E56:P56)</f>
        <v/>
      </c>
      <c r="AV56" s="3841">
        <f>SUM(Q56:AB56)</f>
        <v/>
      </c>
      <c r="AW56" s="3784">
        <f>SUM(AC56:AN56)</f>
        <v/>
      </c>
      <c r="AX56" s="3784">
        <f>SUM(AG56:AR56)</f>
        <v/>
      </c>
      <c r="AY56" s="3784">
        <f>SUM(AI56:AT56)</f>
        <v/>
      </c>
      <c r="AZ56" s="3723" t="n"/>
      <c r="BA56" s="3818" t="n"/>
    </row>
    <row r="57" hidden="1" outlineLevel="1" ht="12" customHeight="1" s="3710">
      <c r="B57" s="3770" t="n"/>
      <c r="C57" s="3787" t="n"/>
      <c r="D57" s="3788">
        <f>D56+1</f>
        <v/>
      </c>
      <c r="E57" s="3807" t="n"/>
      <c r="F57" s="3807" t="n"/>
      <c r="G57" s="3807" t="n"/>
      <c r="H57" s="3807" t="n"/>
      <c r="I57" s="3807" t="n"/>
      <c r="J57" s="3807" t="n"/>
      <c r="K57" s="3807" t="n"/>
      <c r="L57" s="3807" t="n"/>
      <c r="M57" s="3807" t="n"/>
      <c r="N57" s="3807" t="n"/>
      <c r="O57" s="3807" t="n"/>
      <c r="P57" s="3943" t="n"/>
      <c r="Q57" s="3807" t="n"/>
      <c r="R57" s="3807" t="n"/>
      <c r="S57" s="3807" t="n"/>
      <c r="T57" s="3807" t="n"/>
      <c r="U57" s="3807" t="n"/>
      <c r="V57" s="3807" t="n"/>
      <c r="W57" s="3807" t="n"/>
      <c r="X57" s="3807" t="n"/>
      <c r="Y57" s="3807" t="n"/>
      <c r="Z57" s="3807" t="n"/>
      <c r="AA57" s="3807" t="n"/>
      <c r="AB57" s="3943" t="n"/>
      <c r="AC57" s="3807" t="n"/>
      <c r="AD57" s="3807" t="n"/>
      <c r="AE57" s="3807" t="n"/>
      <c r="AF57" s="3807" t="n"/>
      <c r="AG57" s="3807" t="n"/>
      <c r="AH57" s="3807" t="n"/>
      <c r="AI57" s="3807" t="n"/>
      <c r="AJ57" s="3807" t="n"/>
      <c r="AK57" s="3807" t="n"/>
      <c r="AL57" s="3807" t="n"/>
      <c r="AM57" s="3807" t="n"/>
      <c r="AN57" s="3943" t="n"/>
      <c r="AO57" s="3807" t="n"/>
      <c r="AP57" s="3807" t="n"/>
      <c r="AQ57" s="3807" t="n"/>
      <c r="AR57" s="3807" t="n"/>
      <c r="AS57" s="3807" t="n"/>
      <c r="AT57" s="3944" t="n"/>
      <c r="AU57" s="3806">
        <f>SUM(E57:P57)</f>
        <v/>
      </c>
      <c r="AV57" s="3806">
        <f>SUM(Q57:AB57)</f>
        <v/>
      </c>
      <c r="AW57" s="3807">
        <f>SUM(AC57:AN57)</f>
        <v/>
      </c>
      <c r="AX57" s="3807">
        <f>SUM(AG57:AR57)</f>
        <v/>
      </c>
      <c r="AY57" s="3807">
        <f>SUM(AI57:AT57)</f>
        <v/>
      </c>
      <c r="AZ57" s="3723" t="n"/>
      <c r="BA57" s="3818" t="n"/>
    </row>
    <row r="58" hidden="1" outlineLevel="1" ht="12" customHeight="1" s="3710">
      <c r="B58" s="3770" t="n"/>
      <c r="C58" s="3781" t="n"/>
      <c r="D58" s="3782">
        <f>D57+1</f>
        <v/>
      </c>
      <c r="E58" s="3807" t="n"/>
      <c r="F58" s="3807" t="n"/>
      <c r="G58" s="3807" t="n"/>
      <c r="H58" s="3807" t="n"/>
      <c r="I58" s="3807" t="n"/>
      <c r="J58" s="3807" t="n"/>
      <c r="K58" s="3807" t="n"/>
      <c r="L58" s="3807" t="n"/>
      <c r="M58" s="3807" t="n"/>
      <c r="N58" s="3807" t="n"/>
      <c r="O58" s="3807" t="n"/>
      <c r="P58" s="3943" t="n"/>
      <c r="Q58" s="3807" t="n"/>
      <c r="R58" s="3807" t="n"/>
      <c r="S58" s="3807" t="n"/>
      <c r="T58" s="3807" t="n"/>
      <c r="U58" s="3807" t="n"/>
      <c r="V58" s="3807" t="n"/>
      <c r="W58" s="3807" t="n"/>
      <c r="X58" s="3807" t="n"/>
      <c r="Y58" s="3807" t="n"/>
      <c r="Z58" s="3807" t="n"/>
      <c r="AA58" s="3807" t="n"/>
      <c r="AB58" s="3943" t="n"/>
      <c r="AC58" s="3807" t="n"/>
      <c r="AD58" s="3807" t="n"/>
      <c r="AE58" s="3807" t="n"/>
      <c r="AF58" s="3807" t="n"/>
      <c r="AG58" s="3807" t="n"/>
      <c r="AH58" s="3807" t="n"/>
      <c r="AI58" s="3807" t="n"/>
      <c r="AJ58" s="3807" t="n"/>
      <c r="AK58" s="3807" t="n"/>
      <c r="AL58" s="3807" t="n"/>
      <c r="AM58" s="3807" t="n"/>
      <c r="AN58" s="3943" t="n"/>
      <c r="AO58" s="3807" t="n"/>
      <c r="AP58" s="3807" t="n"/>
      <c r="AQ58" s="3807" t="n"/>
      <c r="AR58" s="3807" t="n"/>
      <c r="AS58" s="3807" t="n"/>
      <c r="AT58" s="3944" t="n"/>
      <c r="AU58" s="3806">
        <f>SUM(E58:P58)</f>
        <v/>
      </c>
      <c r="AV58" s="3806">
        <f>SUM(Q58:AB58)</f>
        <v/>
      </c>
      <c r="AW58" s="3807">
        <f>SUM(AC58:AN58)</f>
        <v/>
      </c>
      <c r="AX58" s="3807">
        <f>SUM(AG58:AR58)</f>
        <v/>
      </c>
      <c r="AY58" s="3807">
        <f>SUM(AI58:AT58)</f>
        <v/>
      </c>
      <c r="AZ58" s="3723" t="n"/>
      <c r="BA58" s="3842" t="n"/>
    </row>
    <row r="59" hidden="1" outlineLevel="1" ht="12" customHeight="1" s="3710">
      <c r="B59" s="3770" t="n"/>
      <c r="C59" s="3781" t="n"/>
      <c r="D59" s="3782">
        <f>D58+1</f>
        <v/>
      </c>
      <c r="E59" s="3784" t="n"/>
      <c r="F59" s="3784" t="n"/>
      <c r="G59" s="3784" t="n"/>
      <c r="H59" s="3784" t="n"/>
      <c r="I59" s="3784" t="n"/>
      <c r="J59" s="3784" t="n"/>
      <c r="K59" s="3784" t="n"/>
      <c r="L59" s="3784" t="n"/>
      <c r="M59" s="3784" t="n"/>
      <c r="N59" s="3784" t="n"/>
      <c r="O59" s="3784" t="n"/>
      <c r="P59" s="3935" t="n"/>
      <c r="Q59" s="3784" t="n"/>
      <c r="R59" s="3784" t="n"/>
      <c r="S59" s="3784" t="n"/>
      <c r="T59" s="3784" t="n"/>
      <c r="U59" s="3784" t="n"/>
      <c r="V59" s="3784" t="n"/>
      <c r="W59" s="3784" t="n"/>
      <c r="X59" s="3784" t="n"/>
      <c r="Y59" s="3784" t="n"/>
      <c r="Z59" s="3784" t="n"/>
      <c r="AA59" s="3784" t="n"/>
      <c r="AB59" s="3935" t="n"/>
      <c r="AC59" s="3784" t="n"/>
      <c r="AD59" s="3784" t="n"/>
      <c r="AE59" s="3784" t="n"/>
      <c r="AF59" s="3784" t="n"/>
      <c r="AG59" s="3784" t="n"/>
      <c r="AH59" s="3784" t="n"/>
      <c r="AI59" s="3784" t="n"/>
      <c r="AJ59" s="3784" t="n"/>
      <c r="AK59" s="3784" t="n"/>
      <c r="AL59" s="3784" t="n"/>
      <c r="AM59" s="3784" t="n"/>
      <c r="AN59" s="3935" t="n"/>
      <c r="AO59" s="3784" t="n"/>
      <c r="AP59" s="3784" t="n"/>
      <c r="AQ59" s="3784" t="n"/>
      <c r="AR59" s="3784" t="n"/>
      <c r="AS59" s="3784" t="n"/>
      <c r="AT59" s="3936" t="n"/>
      <c r="AU59" s="3841">
        <f>SUM(E59:P59)</f>
        <v/>
      </c>
      <c r="AV59" s="3841">
        <f>SUM(Q59:AB59)</f>
        <v/>
      </c>
      <c r="AW59" s="3784">
        <f>SUM(AC59:AN59)</f>
        <v/>
      </c>
      <c r="AX59" s="3784">
        <f>SUM(AG59:AR59)</f>
        <v/>
      </c>
      <c r="AY59" s="3784">
        <f>SUM(AI59:AT59)</f>
        <v/>
      </c>
      <c r="AZ59" s="3723" t="n"/>
      <c r="BA59" s="3816" t="n"/>
    </row>
    <row r="60" hidden="1" outlineLevel="2" ht="12" customHeight="1" s="3710">
      <c r="B60" s="3770" t="n"/>
      <c r="C60" s="3805" t="inlineStr">
        <is>
          <t>Loss on fixed asset disposal</t>
        </is>
      </c>
      <c r="D60" s="3782" t="inlineStr">
        <is>
          <t>a</t>
        </is>
      </c>
      <c r="E60" s="3807" t="n"/>
      <c r="F60" s="3807" t="n"/>
      <c r="G60" s="3807" t="n"/>
      <c r="H60" s="3807" t="n"/>
      <c r="I60" s="3807" t="n"/>
      <c r="J60" s="3807" t="n"/>
      <c r="K60" s="3807" t="n"/>
      <c r="L60" s="3807" t="n"/>
      <c r="M60" s="3807" t="n"/>
      <c r="N60" s="3807" t="n"/>
      <c r="O60" s="3807" t="n"/>
      <c r="P60" s="3943" t="n"/>
      <c r="Q60" s="3807" t="n"/>
      <c r="R60" s="3807" t="n"/>
      <c r="S60" s="3807" t="n"/>
      <c r="T60" s="3807" t="n"/>
      <c r="U60" s="3807" t="n"/>
      <c r="V60" s="3807" t="n"/>
      <c r="W60" s="3807" t="n"/>
      <c r="X60" s="3807" t="n"/>
      <c r="Y60" s="3807" t="n"/>
      <c r="Z60" s="3807" t="n"/>
      <c r="AA60" s="3807" t="n"/>
      <c r="AB60" s="3943" t="n"/>
      <c r="AC60" s="3807" t="n"/>
      <c r="AD60" s="3807" t="n"/>
      <c r="AE60" s="3807" t="n"/>
      <c r="AF60" s="3807" t="n"/>
      <c r="AG60" s="3807" t="n"/>
      <c r="AH60" s="3807" t="n"/>
      <c r="AI60" s="3807" t="n"/>
      <c r="AJ60" s="3807" t="n"/>
      <c r="AK60" s="3807" t="n"/>
      <c r="AL60" s="3807" t="n"/>
      <c r="AM60" s="3807" t="n"/>
      <c r="AN60" s="3943" t="n"/>
      <c r="AO60" s="3807" t="n"/>
      <c r="AP60" s="3807" t="n"/>
      <c r="AQ60" s="3807" t="n"/>
      <c r="AR60" s="3807" t="n"/>
      <c r="AS60" s="3807" t="n"/>
      <c r="AT60" s="3944" t="n"/>
      <c r="AU60" s="3806">
        <f>SUM(E60:P60)</f>
        <v/>
      </c>
      <c r="AV60" s="3806">
        <f>SUM(Q60:AB60)</f>
        <v/>
      </c>
      <c r="AW60" s="3807">
        <f>SUM(AC60:AN60)</f>
        <v/>
      </c>
      <c r="AX60" s="3807">
        <f>SUM(AG60:AR60)</f>
        <v/>
      </c>
      <c r="AY60" s="3807">
        <f>SUM(AI60:AT60)</f>
        <v/>
      </c>
      <c r="AZ60" s="3723" t="n"/>
      <c r="BA60" s="3813" t="n"/>
    </row>
    <row r="61" hidden="1" outlineLevel="2" ht="12" customHeight="1" s="3710">
      <c r="B61" s="3770" t="n"/>
      <c r="C61" s="3814" t="inlineStr">
        <is>
          <t>Foreign exchange expense</t>
        </is>
      </c>
      <c r="D61" s="3782" t="inlineStr">
        <is>
          <t>b</t>
        </is>
      </c>
      <c r="E61" s="3795" t="n"/>
      <c r="F61" s="3795" t="n"/>
      <c r="G61" s="3795" t="n"/>
      <c r="H61" s="3795" t="n"/>
      <c r="I61" s="3795" t="n"/>
      <c r="J61" s="3795" t="n"/>
      <c r="K61" s="3795" t="n"/>
      <c r="L61" s="3795" t="n"/>
      <c r="M61" s="3795" t="n"/>
      <c r="N61" s="3795" t="n"/>
      <c r="O61" s="3795" t="n"/>
      <c r="P61" s="3939" t="n"/>
      <c r="Q61" s="3795" t="n"/>
      <c r="R61" s="3795" t="n"/>
      <c r="S61" s="3795" t="n"/>
      <c r="T61" s="3795" t="n"/>
      <c r="U61" s="3795" t="n"/>
      <c r="V61" s="3795" t="n"/>
      <c r="W61" s="3795" t="n"/>
      <c r="X61" s="3795" t="n"/>
      <c r="Y61" s="3795" t="n"/>
      <c r="Z61" s="3795" t="n"/>
      <c r="AA61" s="3795" t="n"/>
      <c r="AB61" s="3939" t="n"/>
      <c r="AC61" s="3795" t="n"/>
      <c r="AD61" s="3795" t="n"/>
      <c r="AE61" s="3795" t="n"/>
      <c r="AF61" s="3795" t="n"/>
      <c r="AG61" s="3795" t="n"/>
      <c r="AH61" s="3795" t="n"/>
      <c r="AI61" s="3795" t="n"/>
      <c r="AJ61" s="3795" t="n"/>
      <c r="AK61" s="3795" t="n"/>
      <c r="AL61" s="3795" t="n"/>
      <c r="AM61" s="3795" t="n"/>
      <c r="AN61" s="3939" t="n"/>
      <c r="AO61" s="3795" t="n"/>
      <c r="AP61" s="3795" t="n"/>
      <c r="AQ61" s="3795" t="n"/>
      <c r="AR61" s="3795" t="n"/>
      <c r="AS61" s="3795" t="n"/>
      <c r="AT61" s="3940" t="n"/>
      <c r="AU61" s="3815">
        <f>SUM(E61:P61)</f>
        <v/>
      </c>
      <c r="AV61" s="3815">
        <f>SUM(Q61:AB61)</f>
        <v/>
      </c>
      <c r="AW61" s="3795">
        <f>SUM(AC61:AN61)</f>
        <v/>
      </c>
      <c r="AX61" s="3795">
        <f>SUM(AG61:AR61)</f>
        <v/>
      </c>
      <c r="AY61" s="3795">
        <f>SUM(AI61:AT61)</f>
        <v/>
      </c>
      <c r="AZ61" s="3723" t="n"/>
      <c r="BA61" s="3813" t="n"/>
    </row>
    <row r="62" hidden="1" outlineLevel="1" ht="12" customHeight="1" s="3710">
      <c r="B62" s="3770" t="n"/>
      <c r="C62" s="3787" t="n"/>
      <c r="D62" s="3788">
        <f>D59+1</f>
        <v/>
      </c>
      <c r="E62" s="3807" t="n"/>
      <c r="F62" s="3807" t="n"/>
      <c r="G62" s="3807" t="n"/>
      <c r="H62" s="3807" t="n"/>
      <c r="I62" s="3807" t="n"/>
      <c r="J62" s="3807" t="n"/>
      <c r="K62" s="3807" t="n"/>
      <c r="L62" s="3807" t="n"/>
      <c r="M62" s="3807" t="n"/>
      <c r="N62" s="3807" t="n"/>
      <c r="O62" s="3807" t="n"/>
      <c r="P62" s="3943" t="n"/>
      <c r="Q62" s="3807" t="n"/>
      <c r="R62" s="3807" t="n"/>
      <c r="S62" s="3807" t="n"/>
      <c r="T62" s="3807" t="n"/>
      <c r="U62" s="3807" t="n"/>
      <c r="V62" s="3807" t="n"/>
      <c r="W62" s="3807" t="n"/>
      <c r="X62" s="3807" t="n"/>
      <c r="Y62" s="3807" t="n"/>
      <c r="Z62" s="3807" t="n"/>
      <c r="AA62" s="3807" t="n"/>
      <c r="AB62" s="3943" t="n"/>
      <c r="AC62" s="3807" t="n"/>
      <c r="AD62" s="3807" t="n"/>
      <c r="AE62" s="3807" t="n"/>
      <c r="AF62" s="3807" t="n"/>
      <c r="AG62" s="3807" t="n"/>
      <c r="AH62" s="3807" t="n"/>
      <c r="AI62" s="3807" t="n"/>
      <c r="AJ62" s="3807" t="n"/>
      <c r="AK62" s="3807" t="n"/>
      <c r="AL62" s="3807" t="n"/>
      <c r="AM62" s="3807" t="n"/>
      <c r="AN62" s="3943" t="n"/>
      <c r="AO62" s="3807">
        <f>SUM(AO60:AO61)</f>
        <v/>
      </c>
      <c r="AP62" s="3807">
        <f>SUM(AP60:AP61)</f>
        <v/>
      </c>
      <c r="AQ62" s="3807">
        <f>SUM(AQ60:AQ61)</f>
        <v/>
      </c>
      <c r="AR62" s="3807">
        <f>SUM(AR60:AR61)</f>
        <v/>
      </c>
      <c r="AS62" s="3807">
        <f>SUM(AS60:AS61)</f>
        <v/>
      </c>
      <c r="AT62" s="3944">
        <f>SUM(AT60:AT61)</f>
        <v/>
      </c>
      <c r="AU62" s="3806">
        <f>SUM(AU60:AU61)</f>
        <v/>
      </c>
      <c r="AV62" s="3806">
        <f>SUM(AV60:AV61)</f>
        <v/>
      </c>
      <c r="AW62" s="3807">
        <f>SUM(AW60:AW61)</f>
        <v/>
      </c>
      <c r="AX62" s="3807">
        <f>SUM(AX60:AX61)</f>
        <v/>
      </c>
      <c r="AY62" s="3807">
        <f>SUM(AY60:AY61)</f>
        <v/>
      </c>
      <c r="AZ62" s="3723" t="n"/>
      <c r="BA62" s="3808" t="n"/>
    </row>
    <row r="63" hidden="1" outlineLevel="1" ht="12" customHeight="1" s="3710">
      <c r="B63" s="3770" t="n"/>
      <c r="C63" s="3781" t="n"/>
      <c r="D63" s="3782">
        <f>D62+1</f>
        <v/>
      </c>
      <c r="E63" s="3784" t="n"/>
      <c r="F63" s="3784" t="n"/>
      <c r="G63" s="3784" t="n"/>
      <c r="H63" s="3784" t="n"/>
      <c r="I63" s="3784" t="n"/>
      <c r="J63" s="3784" t="n"/>
      <c r="K63" s="3784" t="n"/>
      <c r="L63" s="3784" t="n"/>
      <c r="M63" s="3784" t="n"/>
      <c r="N63" s="3784" t="n"/>
      <c r="O63" s="3784" t="n"/>
      <c r="P63" s="3935" t="n"/>
      <c r="Q63" s="3784" t="n"/>
      <c r="R63" s="3784" t="n"/>
      <c r="S63" s="3784" t="n"/>
      <c r="T63" s="3784" t="n"/>
      <c r="U63" s="3784" t="n"/>
      <c r="V63" s="3784" t="n"/>
      <c r="W63" s="3784" t="n"/>
      <c r="X63" s="3784" t="n"/>
      <c r="Y63" s="3784" t="n"/>
      <c r="Z63" s="3784" t="n"/>
      <c r="AA63" s="3784" t="n"/>
      <c r="AB63" s="3935" t="n"/>
      <c r="AC63" s="3784" t="n"/>
      <c r="AD63" s="3784" t="n"/>
      <c r="AE63" s="3784" t="n"/>
      <c r="AF63" s="3784" t="n"/>
      <c r="AG63" s="3784" t="n"/>
      <c r="AH63" s="3784" t="n"/>
      <c r="AI63" s="3784" t="n"/>
      <c r="AJ63" s="3784" t="n"/>
      <c r="AK63" s="3784" t="n"/>
      <c r="AL63" s="3784" t="n"/>
      <c r="AM63" s="3784" t="n"/>
      <c r="AN63" s="3935" t="n"/>
      <c r="AO63" s="3784" t="n"/>
      <c r="AP63" s="3784" t="n"/>
      <c r="AQ63" s="3784" t="n"/>
      <c r="AR63" s="3784" t="n"/>
      <c r="AS63" s="3784" t="n"/>
      <c r="AT63" s="3936" t="n"/>
      <c r="AU63" s="3841">
        <f>SUM(E63:P63)</f>
        <v/>
      </c>
      <c r="AV63" s="3841">
        <f>SUM(Q63:AB63)</f>
        <v/>
      </c>
      <c r="AW63" s="3784">
        <f>SUM(AC63:AN63)</f>
        <v/>
      </c>
      <c r="AX63" s="3784">
        <f>SUM(AG63:AR63)</f>
        <v/>
      </c>
      <c r="AY63" s="3784">
        <f>SUM(AI63:AT63)</f>
        <v/>
      </c>
      <c r="AZ63" s="3723" t="n"/>
      <c r="BA63" s="3808" t="n"/>
    </row>
    <row r="64" hidden="1" outlineLevel="2" ht="12" customHeight="1" s="3710">
      <c r="B64" s="3770" t="n"/>
      <c r="C64" s="3840" t="inlineStr">
        <is>
          <t>Canada emergency wage subsidy</t>
        </is>
      </c>
      <c r="D64" s="3782" t="inlineStr">
        <is>
          <t>a</t>
        </is>
      </c>
      <c r="E64" s="3784" t="n"/>
      <c r="F64" s="3784" t="n"/>
      <c r="G64" s="3784" t="n"/>
      <c r="H64" s="3784" t="n"/>
      <c r="I64" s="3784" t="n"/>
      <c r="J64" s="3784" t="n"/>
      <c r="K64" s="3784" t="n"/>
      <c r="L64" s="3784" t="n"/>
      <c r="M64" s="3784" t="n"/>
      <c r="N64" s="3784" t="n"/>
      <c r="O64" s="3784" t="n"/>
      <c r="P64" s="3935" t="n"/>
      <c r="Q64" s="3784" t="n"/>
      <c r="R64" s="3784" t="n"/>
      <c r="S64" s="3784" t="n"/>
      <c r="T64" s="3784" t="n"/>
      <c r="U64" s="3784" t="n"/>
      <c r="V64" s="3784" t="n"/>
      <c r="W64" s="3784" t="n"/>
      <c r="X64" s="3784" t="n"/>
      <c r="Y64" s="3784" t="n"/>
      <c r="Z64" s="3784" t="n"/>
      <c r="AA64" s="3784" t="n"/>
      <c r="AB64" s="3935" t="n"/>
      <c r="AC64" s="3784" t="n"/>
      <c r="AD64" s="3784" t="n"/>
      <c r="AE64" s="3784" t="n"/>
      <c r="AF64" s="3784" t="n"/>
      <c r="AG64" s="3784" t="n"/>
      <c r="AH64" s="3784" t="n"/>
      <c r="AI64" s="3784" t="n"/>
      <c r="AJ64" s="3784" t="n"/>
      <c r="AK64" s="3784" t="n"/>
      <c r="AL64" s="3784" t="n"/>
      <c r="AM64" s="3784" t="n"/>
      <c r="AN64" s="3935" t="n"/>
      <c r="AO64" s="3784" t="n"/>
      <c r="AP64" s="3784" t="n"/>
      <c r="AQ64" s="3784" t="n"/>
      <c r="AR64" s="3784" t="n"/>
      <c r="AS64" s="3784" t="n"/>
      <c r="AT64" s="3936" t="n"/>
      <c r="AU64" s="3841">
        <f>SUM(E64:P64)</f>
        <v/>
      </c>
      <c r="AV64" s="3841">
        <f>SUM(Q64:AB64)</f>
        <v/>
      </c>
      <c r="AW64" s="3784">
        <f>SUM(AC64:AN64)</f>
        <v/>
      </c>
      <c r="AX64" s="3784">
        <f>SUM(AG64:AR64)</f>
        <v/>
      </c>
      <c r="AY64" s="3784">
        <f>SUM(AI64:AT64)</f>
        <v/>
      </c>
      <c r="AZ64" s="3723" t="n"/>
      <c r="BA64" s="3843" t="n"/>
    </row>
    <row r="65" hidden="1" outlineLevel="2" ht="12" customHeight="1" s="3710">
      <c r="B65" s="3770" t="n"/>
      <c r="C65" s="3814" t="inlineStr">
        <is>
          <t>Canada emergency rent subsidy</t>
        </is>
      </c>
      <c r="D65" s="3782" t="inlineStr">
        <is>
          <t>b</t>
        </is>
      </c>
      <c r="E65" s="3795" t="n"/>
      <c r="F65" s="3795" t="n"/>
      <c r="G65" s="3795" t="n"/>
      <c r="H65" s="3795" t="n"/>
      <c r="I65" s="3795" t="n"/>
      <c r="J65" s="3795" t="n"/>
      <c r="K65" s="3795" t="n"/>
      <c r="L65" s="3795" t="n"/>
      <c r="M65" s="3795" t="n"/>
      <c r="N65" s="3795" t="n"/>
      <c r="O65" s="3795" t="n"/>
      <c r="P65" s="3939" t="n"/>
      <c r="Q65" s="3795" t="n"/>
      <c r="R65" s="3795" t="n"/>
      <c r="S65" s="3795" t="n"/>
      <c r="T65" s="3795" t="n"/>
      <c r="U65" s="3795" t="n"/>
      <c r="V65" s="3795" t="n"/>
      <c r="W65" s="3795" t="n"/>
      <c r="X65" s="3795" t="n"/>
      <c r="Y65" s="3795" t="n"/>
      <c r="Z65" s="3795" t="n"/>
      <c r="AA65" s="3795" t="n"/>
      <c r="AB65" s="3939" t="n"/>
      <c r="AC65" s="3795" t="n"/>
      <c r="AD65" s="3795" t="n"/>
      <c r="AE65" s="3795" t="n"/>
      <c r="AF65" s="3795" t="n"/>
      <c r="AG65" s="3795" t="n"/>
      <c r="AH65" s="3795" t="n"/>
      <c r="AI65" s="3795" t="n"/>
      <c r="AJ65" s="3795" t="n"/>
      <c r="AK65" s="3795" t="n"/>
      <c r="AL65" s="3795" t="n"/>
      <c r="AM65" s="3795" t="n"/>
      <c r="AN65" s="3939" t="n"/>
      <c r="AO65" s="3795" t="n"/>
      <c r="AP65" s="3795" t="n"/>
      <c r="AQ65" s="3795" t="n"/>
      <c r="AR65" s="3795" t="n"/>
      <c r="AS65" s="3795" t="n"/>
      <c r="AT65" s="3940" t="n"/>
      <c r="AU65" s="3815">
        <f>SUM(E65:P65)</f>
        <v/>
      </c>
      <c r="AV65" s="3815">
        <f>SUM(Q65:AB65)</f>
        <v/>
      </c>
      <c r="AW65" s="3795">
        <f>SUM(AC65:AN65)</f>
        <v/>
      </c>
      <c r="AX65" s="3795">
        <f>SUM(AG65:AR65)</f>
        <v/>
      </c>
      <c r="AY65" s="3795">
        <f>SUM(AI65:AT65)</f>
        <v/>
      </c>
      <c r="AZ65" s="3723" t="n"/>
      <c r="BA65" s="3844" t="n"/>
    </row>
    <row r="66" hidden="1" outlineLevel="1" ht="12" customHeight="1" s="3710">
      <c r="B66" s="3770" t="n"/>
      <c r="C66" s="3792" t="n"/>
      <c r="D66" s="3845">
        <f>D63+1</f>
        <v/>
      </c>
      <c r="E66" s="3795" t="n"/>
      <c r="F66" s="3795" t="n"/>
      <c r="G66" s="3795" t="n"/>
      <c r="H66" s="3795" t="n"/>
      <c r="I66" s="3795" t="n"/>
      <c r="J66" s="3795" t="n"/>
      <c r="K66" s="3795" t="n"/>
      <c r="L66" s="3795" t="n"/>
      <c r="M66" s="3795" t="n"/>
      <c r="N66" s="3795" t="n"/>
      <c r="O66" s="3795" t="n"/>
      <c r="P66" s="3939" t="n"/>
      <c r="Q66" s="3795" t="n"/>
      <c r="R66" s="3795" t="n"/>
      <c r="S66" s="3795" t="n"/>
      <c r="T66" s="3795" t="n"/>
      <c r="U66" s="3795" t="n"/>
      <c r="V66" s="3795" t="n"/>
      <c r="W66" s="3795" t="n"/>
      <c r="X66" s="3795" t="n"/>
      <c r="Y66" s="3795" t="n"/>
      <c r="Z66" s="3795" t="n"/>
      <c r="AA66" s="3795" t="n"/>
      <c r="AB66" s="3939" t="n"/>
      <c r="AC66" s="3795" t="n"/>
      <c r="AD66" s="3795" t="n"/>
      <c r="AE66" s="3795" t="n"/>
      <c r="AF66" s="3795" t="n"/>
      <c r="AG66" s="3795" t="n"/>
      <c r="AH66" s="3795" t="n"/>
      <c r="AI66" s="3795" t="n"/>
      <c r="AJ66" s="3795" t="n"/>
      <c r="AK66" s="3795" t="n"/>
      <c r="AL66" s="3795" t="n"/>
      <c r="AM66" s="3795" t="n"/>
      <c r="AN66" s="3939" t="n"/>
      <c r="AO66" s="3795">
        <f>SUM(AO64:AO65)</f>
        <v/>
      </c>
      <c r="AP66" s="3795">
        <f>SUM(AP64:AP65)</f>
        <v/>
      </c>
      <c r="AQ66" s="3795">
        <f>SUM(AQ64:AQ65)</f>
        <v/>
      </c>
      <c r="AR66" s="3795">
        <f>SUM(AR64:AR65)</f>
        <v/>
      </c>
      <c r="AS66" s="3795">
        <f>SUM(AS64:AS65)</f>
        <v/>
      </c>
      <c r="AT66" s="3940">
        <f>SUM(AT64:AT65)</f>
        <v/>
      </c>
      <c r="AU66" s="3815">
        <f>SUM(AU64:AU65)</f>
        <v/>
      </c>
      <c r="AV66" s="3815">
        <f>SUM(AV64:AV65)</f>
        <v/>
      </c>
      <c r="AW66" s="3795">
        <f>SUM(AW64:AW65)</f>
        <v/>
      </c>
      <c r="AX66" s="3795">
        <f>SUM(AX64:AX65)</f>
        <v/>
      </c>
      <c r="AY66" s="3795">
        <f>SUM(AY64:AY65)</f>
        <v/>
      </c>
      <c r="AZ66" s="3723" t="n"/>
      <c r="BA66" s="3843" t="n"/>
    </row>
    <row r="67" ht="12" customHeight="1" s="3710">
      <c r="B67" s="3770" t="n"/>
      <c r="C67" s="3846" t="inlineStr">
        <is>
          <t>Due diligence adjustments</t>
        </is>
      </c>
      <c r="D67" s="3847" t="n"/>
      <c r="E67" s="3795" t="n"/>
      <c r="F67" s="3795" t="n"/>
      <c r="G67" s="3795" t="n"/>
      <c r="H67" s="3795" t="n"/>
      <c r="I67" s="3795" t="n"/>
      <c r="J67" s="3795" t="n"/>
      <c r="K67" s="3795" t="n"/>
      <c r="L67" s="3795" t="n"/>
      <c r="M67" s="3795" t="n"/>
      <c r="N67" s="3795" t="n"/>
      <c r="O67" s="3795" t="n"/>
      <c r="P67" s="3939" t="n"/>
      <c r="Q67" s="3795" t="n"/>
      <c r="R67" s="3795" t="n"/>
      <c r="S67" s="3795" t="n"/>
      <c r="T67" s="3795" t="n"/>
      <c r="U67" s="3795" t="n"/>
      <c r="V67" s="3795" t="n"/>
      <c r="W67" s="3795" t="n"/>
      <c r="X67" s="3795" t="n"/>
      <c r="Y67" s="3795" t="n"/>
      <c r="Z67" s="3795" t="n"/>
      <c r="AA67" s="3795" t="n"/>
      <c r="AB67" s="3939" t="n"/>
      <c r="AC67" s="3795" t="n"/>
      <c r="AD67" s="3795" t="n"/>
      <c r="AE67" s="3795" t="n"/>
      <c r="AF67" s="3795" t="n"/>
      <c r="AG67" s="3795" t="n"/>
      <c r="AH67" s="3795" t="n"/>
      <c r="AI67" s="3795" t="n"/>
      <c r="AJ67" s="3795" t="n"/>
      <c r="AK67" s="3795" t="n"/>
      <c r="AL67" s="3795" t="n"/>
      <c r="AM67" s="3795" t="n"/>
      <c r="AN67" s="3939" t="n"/>
      <c r="AO67" s="3795">
        <f>SUM(AO66,AO62:AO63,AO53:AO59,AO48:AO50)</f>
        <v/>
      </c>
      <c r="AP67" s="3795">
        <f>SUM(AP66,AP62:AP63,AP53:AP59,AP48:AP50)</f>
        <v/>
      </c>
      <c r="AQ67" s="3795">
        <f>SUM(AQ66,AQ62:AQ63,AQ53:AQ59,AQ48:AQ50)</f>
        <v/>
      </c>
      <c r="AR67" s="3795">
        <f>SUM(AR66,AR62:AR63,AR53:AR59,AR48:AR50)</f>
        <v/>
      </c>
      <c r="AS67" s="3795">
        <f>SUM(AS66,AS62:AS63,AS53:AS59,AS48:AS50)</f>
        <v/>
      </c>
      <c r="AT67" s="3940">
        <f>SUM(AT66,AT62:AT63,AT53:AT59,AT48:AT50)</f>
        <v/>
      </c>
      <c r="AU67" s="3794">
        <f>SUM(AU66,AU62:AU63,AU53:AU59,AU48:AU50)</f>
        <v/>
      </c>
      <c r="AV67" s="3794">
        <f>SUM(AV66,AV62:AV63,AV53:AV59,AV48:AV50)</f>
        <v/>
      </c>
      <c r="AW67" s="3795">
        <f>SUM(AW66,AW62:AW63,AW53:AW59,AW48:AW50)</f>
        <v/>
      </c>
      <c r="AX67" s="3795">
        <f>SUM(AX66,AX62:AX63,AX53:AX59,AX48:AX50)</f>
        <v/>
      </c>
      <c r="AY67" s="3795">
        <f>SUM(AY66,AY62:AY63,AY53:AY59,AY48:AY50)</f>
        <v/>
      </c>
      <c r="AZ67" s="3848" t="n"/>
      <c r="BA67" s="3799" t="n"/>
    </row>
    <row r="68" ht="12" customHeight="1" s="3710">
      <c r="B68" s="3770" t="n"/>
      <c r="C68" s="3849" t="inlineStr">
        <is>
          <t>EBITDA, due diligence adjusted</t>
        </is>
      </c>
      <c r="D68" s="3849" t="n"/>
      <c r="E68" s="3955" t="n"/>
      <c r="F68" s="3836" t="n"/>
      <c r="G68" s="3836" t="n"/>
      <c r="H68" s="3955" t="n"/>
      <c r="I68" s="3836" t="n"/>
      <c r="J68" s="3836" t="n"/>
      <c r="K68" s="3836" t="n"/>
      <c r="L68" s="3836" t="n"/>
      <c r="M68" s="3836" t="n"/>
      <c r="N68" s="3836" t="n"/>
      <c r="O68" s="3836" t="n"/>
      <c r="P68" s="3956" t="n"/>
      <c r="Q68" s="3836" t="n"/>
      <c r="R68" s="3836" t="n"/>
      <c r="S68" s="3836" t="n"/>
      <c r="T68" s="3836" t="n"/>
      <c r="U68" s="3836" t="n"/>
      <c r="V68" s="3836" t="n"/>
      <c r="W68" s="3836" t="n"/>
      <c r="X68" s="3836" t="n"/>
      <c r="Y68" s="3836" t="n"/>
      <c r="Z68" s="3836" t="n"/>
      <c r="AA68" s="3836" t="n"/>
      <c r="AB68" s="3956" t="n"/>
      <c r="AC68" s="3836" t="n"/>
      <c r="AD68" s="3836" t="n"/>
      <c r="AE68" s="3836" t="n"/>
      <c r="AF68" s="3836" t="n"/>
      <c r="AG68" s="3836" t="n"/>
      <c r="AH68" s="3836" t="n"/>
      <c r="AI68" s="3836" t="n"/>
      <c r="AJ68" s="3836" t="n"/>
      <c r="AK68" s="3836" t="n"/>
      <c r="AL68" s="3836" t="n"/>
      <c r="AM68" s="3836" t="n"/>
      <c r="AN68" s="3956" t="n"/>
      <c r="AO68" s="3836">
        <f>SUM(AO67,AO46)</f>
        <v/>
      </c>
      <c r="AP68" s="3836">
        <f>SUM(AP67,AP46)</f>
        <v/>
      </c>
      <c r="AQ68" s="3836">
        <f>SUM(AQ67,AQ46)</f>
        <v/>
      </c>
      <c r="AR68" s="3836">
        <f>SUM(AR67,AR46)</f>
        <v/>
      </c>
      <c r="AS68" s="3836">
        <f>SUM(AS67,AS46)</f>
        <v/>
      </c>
      <c r="AT68" s="3957">
        <f>SUM(AT67,AT46)</f>
        <v/>
      </c>
      <c r="AU68" s="3850">
        <f>SUM(AU67,AU46)</f>
        <v/>
      </c>
      <c r="AV68" s="3850">
        <f>SUM(AV67,AV46)</f>
        <v/>
      </c>
      <c r="AW68" s="3836">
        <f>SUM(AW67,AW46)</f>
        <v/>
      </c>
      <c r="AX68" s="3836">
        <f>SUM(AX67,AX46)</f>
        <v/>
      </c>
      <c r="AY68" s="3836">
        <f>SUM(AY67,AY46)</f>
        <v/>
      </c>
      <c r="AZ68" s="3723" t="n"/>
      <c r="BA68" s="3804" t="n"/>
    </row>
    <row r="69" hidden="1" outlineLevel="1" ht="12" customFormat="1" customHeight="1" s="3851">
      <c r="A69" s="3852" t="n"/>
      <c r="B69" s="3853" t="n"/>
      <c r="C69" s="3854" t="inlineStr">
        <is>
          <t>Pro forma adjustments</t>
        </is>
      </c>
      <c r="D69" s="3854" t="n"/>
      <c r="E69" s="3783" t="n"/>
      <c r="F69" s="3783" t="n"/>
      <c r="G69" s="3783" t="n"/>
      <c r="H69" s="3783" t="n"/>
      <c r="I69" s="3783" t="n"/>
      <c r="J69" s="3783" t="n"/>
      <c r="K69" s="3783" t="n"/>
      <c r="L69" s="3783" t="n"/>
      <c r="M69" s="3783" t="n"/>
      <c r="N69" s="3783" t="n"/>
      <c r="O69" s="3783" t="n"/>
      <c r="P69" s="3958" t="n"/>
      <c r="Q69" s="3783" t="n"/>
      <c r="R69" s="3783" t="n"/>
      <c r="S69" s="3783" t="n"/>
      <c r="T69" s="3783" t="n"/>
      <c r="U69" s="3783" t="n"/>
      <c r="V69" s="3783" t="n"/>
      <c r="W69" s="3783" t="n"/>
      <c r="X69" s="3783" t="n"/>
      <c r="Y69" s="3783" t="n"/>
      <c r="Z69" s="3783" t="n"/>
      <c r="AA69" s="3783" t="n"/>
      <c r="AB69" s="3958" t="n"/>
      <c r="AC69" s="3783" t="n"/>
      <c r="AD69" s="3783" t="n"/>
      <c r="AE69" s="3783" t="n"/>
      <c r="AF69" s="3783" t="n"/>
      <c r="AG69" s="3783" t="n"/>
      <c r="AH69" s="3783" t="n"/>
      <c r="AI69" s="3783" t="n"/>
      <c r="AJ69" s="3783" t="n"/>
      <c r="AK69" s="3783" t="n"/>
      <c r="AL69" s="3783" t="n"/>
      <c r="AM69" s="3783" t="n"/>
      <c r="AN69" s="3958" t="n"/>
      <c r="AO69" s="3783" t="n"/>
      <c r="AP69" s="3783" t="n"/>
      <c r="AQ69" s="3783" t="n"/>
      <c r="AR69" s="3783" t="n"/>
      <c r="AS69" s="3783" t="n"/>
      <c r="AT69" s="3959" t="n"/>
      <c r="AU69" s="3783" t="n"/>
      <c r="AV69" s="3783" t="n"/>
      <c r="AW69" s="3783" t="n"/>
      <c r="AX69" s="3783" t="n"/>
      <c r="AY69" s="3783" t="n"/>
      <c r="AZ69" s="3733" t="n"/>
      <c r="BA69" s="3816" t="n"/>
      <c r="BB69" s="3926" t="n"/>
    </row>
    <row r="70" hidden="1" outlineLevel="2" ht="12" customFormat="1" customHeight="1" s="3851">
      <c r="A70" s="3852" t="n"/>
      <c r="B70" s="3853" t="n"/>
      <c r="C70" s="3857" t="n"/>
      <c r="D70" s="3858" t="inlineStr">
        <is>
          <t>a</t>
        </is>
      </c>
      <c r="E70" s="3855" t="n"/>
      <c r="F70" s="3855" t="n"/>
      <c r="G70" s="3855" t="n"/>
      <c r="H70" s="3855" t="n"/>
      <c r="I70" s="3855" t="n"/>
      <c r="J70" s="3855" t="n"/>
      <c r="K70" s="3855" t="n"/>
      <c r="L70" s="3855" t="n"/>
      <c r="M70" s="3855" t="n"/>
      <c r="N70" s="3855" t="n"/>
      <c r="O70" s="3855" t="n"/>
      <c r="P70" s="3960" t="n"/>
      <c r="Q70" s="3855" t="n"/>
      <c r="R70" s="3855" t="n"/>
      <c r="S70" s="3855" t="n"/>
      <c r="T70" s="3855" t="n"/>
      <c r="U70" s="3855" t="n"/>
      <c r="V70" s="3855" t="n"/>
      <c r="W70" s="3855" t="n"/>
      <c r="X70" s="3855" t="n"/>
      <c r="Y70" s="3855" t="n"/>
      <c r="Z70" s="3855" t="n"/>
      <c r="AA70" s="3855" t="n"/>
      <c r="AB70" s="3960" t="n"/>
      <c r="AC70" s="3855" t="n"/>
      <c r="AD70" s="3855" t="n"/>
      <c r="AE70" s="3855" t="n"/>
      <c r="AF70" s="3855" t="n"/>
      <c r="AG70" s="3855" t="n"/>
      <c r="AH70" s="3855" t="n"/>
      <c r="AI70" s="3855" t="n"/>
      <c r="AJ70" s="3855" t="n"/>
      <c r="AK70" s="3855" t="n"/>
      <c r="AL70" s="3855" t="n"/>
      <c r="AM70" s="3855" t="n"/>
      <c r="AN70" s="3960" t="n"/>
      <c r="AO70" s="3855" t="n"/>
      <c r="AP70" s="3855" t="n"/>
      <c r="AQ70" s="3855" t="n"/>
      <c r="AR70" s="3855" t="n"/>
      <c r="AS70" s="3855" t="n"/>
      <c r="AT70" s="3961" t="n"/>
      <c r="AU70" s="3806">
        <f>SUM(E70:P70)</f>
        <v/>
      </c>
      <c r="AV70" s="3806">
        <f>SUM(Q70:AB70)</f>
        <v/>
      </c>
      <c r="AW70" s="3855">
        <f>SUM(AC70:AN70)</f>
        <v/>
      </c>
      <c r="AX70" s="3855">
        <f>SUM(AG70:AR70)</f>
        <v/>
      </c>
      <c r="AY70" s="3855">
        <f>SUM(AI70:AT70)</f>
        <v/>
      </c>
      <c r="AZ70" s="3733" t="n"/>
      <c r="BA70" s="3808" t="n"/>
      <c r="BB70" s="3926" t="n"/>
    </row>
    <row r="71" hidden="1" outlineLevel="2" ht="12" customFormat="1" customHeight="1" s="3851">
      <c r="A71" s="3852" t="n"/>
      <c r="B71" s="3853" t="n"/>
      <c r="C71" s="3860" t="n"/>
      <c r="D71" s="3858" t="inlineStr">
        <is>
          <t>b</t>
        </is>
      </c>
      <c r="E71" s="3861" t="n"/>
      <c r="F71" s="3861" t="n"/>
      <c r="G71" s="3861" t="n"/>
      <c r="H71" s="3861" t="n"/>
      <c r="I71" s="3861" t="n"/>
      <c r="J71" s="3861" t="n"/>
      <c r="K71" s="3861" t="n"/>
      <c r="L71" s="3861" t="n"/>
      <c r="M71" s="3861" t="n"/>
      <c r="N71" s="3861" t="n"/>
      <c r="O71" s="3861" t="n"/>
      <c r="P71" s="3962" t="n"/>
      <c r="Q71" s="3861" t="n"/>
      <c r="R71" s="3861" t="n"/>
      <c r="S71" s="3861" t="n"/>
      <c r="T71" s="3861" t="n"/>
      <c r="U71" s="3861" t="n"/>
      <c r="V71" s="3861" t="n"/>
      <c r="W71" s="3861" t="n"/>
      <c r="X71" s="3861" t="n"/>
      <c r="Y71" s="3861" t="n"/>
      <c r="Z71" s="3861" t="n"/>
      <c r="AA71" s="3861" t="n"/>
      <c r="AB71" s="3962" t="n"/>
      <c r="AC71" s="3861" t="n"/>
      <c r="AD71" s="3861" t="n"/>
      <c r="AE71" s="3861" t="n"/>
      <c r="AF71" s="3861" t="n"/>
      <c r="AG71" s="3861" t="n"/>
      <c r="AH71" s="3861" t="n"/>
      <c r="AI71" s="3861" t="n"/>
      <c r="AJ71" s="3861" t="n"/>
      <c r="AK71" s="3861" t="n"/>
      <c r="AL71" s="3861" t="n"/>
      <c r="AM71" s="3861" t="n"/>
      <c r="AN71" s="3962" t="n"/>
      <c r="AO71" s="3861" t="n"/>
      <c r="AP71" s="3861" t="n"/>
      <c r="AQ71" s="3861" t="n"/>
      <c r="AR71" s="3861" t="n"/>
      <c r="AS71" s="3861" t="n"/>
      <c r="AT71" s="3963" t="n"/>
      <c r="AU71" s="3810">
        <f>SUM(E71:P71)</f>
        <v/>
      </c>
      <c r="AV71" s="3810">
        <f>SUM(Q71:AB71)</f>
        <v/>
      </c>
      <c r="AW71" s="3861">
        <f>SUM(AC71:AN71)</f>
        <v/>
      </c>
      <c r="AX71" s="3861">
        <f>SUM(AG71:AR71)</f>
        <v/>
      </c>
      <c r="AY71" s="3861">
        <f>SUM(AI71:AT71)</f>
        <v/>
      </c>
      <c r="AZ71" s="3733" t="n"/>
      <c r="BA71" s="3808" t="n"/>
      <c r="BB71" s="3926" t="n"/>
    </row>
    <row r="72" hidden="1" outlineLevel="1" ht="12" customFormat="1" customHeight="1" s="3851">
      <c r="A72" s="3852" t="n"/>
      <c r="B72" s="3853" t="n"/>
      <c r="C72" s="3863" t="inlineStr">
        <is>
          <t>Net new/lost customers</t>
        </is>
      </c>
      <c r="D72" s="3864">
        <f>D66+1</f>
        <v/>
      </c>
      <c r="E72" s="3855" t="n"/>
      <c r="F72" s="3855" t="n"/>
      <c r="G72" s="3855" t="n"/>
      <c r="H72" s="3855" t="n"/>
      <c r="I72" s="3855" t="n"/>
      <c r="J72" s="3855" t="n"/>
      <c r="K72" s="3855" t="n"/>
      <c r="L72" s="3855" t="n"/>
      <c r="M72" s="3855" t="n"/>
      <c r="N72" s="3855" t="n"/>
      <c r="O72" s="3855" t="n"/>
      <c r="P72" s="3960" t="n"/>
      <c r="Q72" s="3855" t="n"/>
      <c r="R72" s="3855" t="n"/>
      <c r="S72" s="3855" t="n"/>
      <c r="T72" s="3855" t="n"/>
      <c r="U72" s="3855" t="n"/>
      <c r="V72" s="3855" t="n"/>
      <c r="W72" s="3855" t="n"/>
      <c r="X72" s="3855" t="n"/>
      <c r="Y72" s="3855" t="n"/>
      <c r="Z72" s="3855" t="n"/>
      <c r="AA72" s="3855" t="n"/>
      <c r="AB72" s="3960" t="n"/>
      <c r="AC72" s="3855" t="n"/>
      <c r="AD72" s="3855" t="n"/>
      <c r="AE72" s="3855" t="n"/>
      <c r="AF72" s="3855" t="n"/>
      <c r="AG72" s="3855" t="n"/>
      <c r="AH72" s="3855" t="n"/>
      <c r="AI72" s="3855" t="n"/>
      <c r="AJ72" s="3855" t="n"/>
      <c r="AK72" s="3855" t="n"/>
      <c r="AL72" s="3855" t="n"/>
      <c r="AM72" s="3855" t="n"/>
      <c r="AN72" s="3960" t="n"/>
      <c r="AO72" s="3855">
        <f>SUM(AO70:AO71)</f>
        <v/>
      </c>
      <c r="AP72" s="3855">
        <f>SUM(AP70:AP71)</f>
        <v/>
      </c>
      <c r="AQ72" s="3855">
        <f>SUM(AQ70:AQ71)</f>
        <v/>
      </c>
      <c r="AR72" s="3855">
        <f>SUM(AR70:AR71)</f>
        <v/>
      </c>
      <c r="AS72" s="3855">
        <f>SUM(AS70:AS71)</f>
        <v/>
      </c>
      <c r="AT72" s="3961">
        <f>SUM(AT70:AT71)</f>
        <v/>
      </c>
      <c r="AU72" s="3806">
        <f>SUM(AU70:AU71)</f>
        <v/>
      </c>
      <c r="AV72" s="3806">
        <f>SUM(AV70:AV71)</f>
        <v/>
      </c>
      <c r="AW72" s="3855">
        <f>SUM(AW70:AW71)</f>
        <v/>
      </c>
      <c r="AX72" s="3855">
        <f>SUM(AX70:AX71)</f>
        <v/>
      </c>
      <c r="AY72" s="3855">
        <f>SUM(AY70:AY71)</f>
        <v/>
      </c>
      <c r="AZ72" s="3733" t="n"/>
      <c r="BA72" s="3808" t="n"/>
      <c r="BB72" s="3926" t="n"/>
    </row>
    <row r="73" hidden="1" outlineLevel="2" ht="12" customFormat="1" customHeight="1" s="3851">
      <c r="A73" s="3852" t="n"/>
      <c r="B73" s="3853" t="n"/>
      <c r="C73" s="3857" t="n"/>
      <c r="D73" s="3864" t="inlineStr">
        <is>
          <t>a</t>
        </is>
      </c>
      <c r="E73" s="3855" t="n"/>
      <c r="F73" s="3855" t="n"/>
      <c r="G73" s="3855" t="n"/>
      <c r="H73" s="3855" t="n"/>
      <c r="I73" s="3855" t="n"/>
      <c r="J73" s="3855" t="n"/>
      <c r="K73" s="3855" t="n"/>
      <c r="L73" s="3855" t="n"/>
      <c r="M73" s="3855" t="n"/>
      <c r="N73" s="3855" t="n"/>
      <c r="O73" s="3855" t="n"/>
      <c r="P73" s="3960" t="n"/>
      <c r="Q73" s="3855" t="n"/>
      <c r="R73" s="3855" t="n"/>
      <c r="S73" s="3855" t="n"/>
      <c r="T73" s="3855" t="n"/>
      <c r="U73" s="3855" t="n"/>
      <c r="V73" s="3855" t="n"/>
      <c r="W73" s="3855" t="n"/>
      <c r="X73" s="3855" t="n"/>
      <c r="Y73" s="3855" t="n"/>
      <c r="Z73" s="3855" t="n"/>
      <c r="AA73" s="3855" t="n"/>
      <c r="AB73" s="3960" t="n"/>
      <c r="AC73" s="3855" t="n"/>
      <c r="AD73" s="3855" t="n"/>
      <c r="AE73" s="3855" t="n"/>
      <c r="AF73" s="3855" t="n"/>
      <c r="AG73" s="3855" t="n"/>
      <c r="AH73" s="3855" t="n"/>
      <c r="AI73" s="3855" t="n"/>
      <c r="AJ73" s="3855" t="n"/>
      <c r="AK73" s="3855" t="n"/>
      <c r="AL73" s="3855" t="n"/>
      <c r="AM73" s="3855" t="n"/>
      <c r="AN73" s="3960" t="n"/>
      <c r="AO73" s="3855" t="n"/>
      <c r="AP73" s="3855" t="n"/>
      <c r="AQ73" s="3855" t="n"/>
      <c r="AR73" s="3855" t="n"/>
      <c r="AS73" s="3855" t="n"/>
      <c r="AT73" s="3961" t="n"/>
      <c r="AU73" s="3806">
        <f>SUM(E73:P73)</f>
        <v/>
      </c>
      <c r="AV73" s="3806">
        <f>SUM(Q73:AB73)</f>
        <v/>
      </c>
      <c r="AW73" s="3855">
        <f>SUM(AC73:AN73)</f>
        <v/>
      </c>
      <c r="AX73" s="3855">
        <f>SUM(AG73:AR73)</f>
        <v/>
      </c>
      <c r="AY73" s="3855">
        <f>SUM(AI73:AT73)</f>
        <v/>
      </c>
      <c r="AZ73" s="3733" t="n"/>
      <c r="BA73" s="3808" t="n"/>
      <c r="BB73" s="3926" t="n"/>
    </row>
    <row r="74" hidden="1" outlineLevel="2" ht="12" customFormat="1" customHeight="1" s="3851">
      <c r="A74" s="3852" t="n"/>
      <c r="B74" s="3853" t="n"/>
      <c r="C74" s="3857" t="n"/>
      <c r="D74" s="3864" t="inlineStr">
        <is>
          <t>b</t>
        </is>
      </c>
      <c r="E74" s="3855" t="n"/>
      <c r="F74" s="3855" t="n"/>
      <c r="G74" s="3855" t="n"/>
      <c r="H74" s="3855" t="n"/>
      <c r="I74" s="3855" t="n"/>
      <c r="J74" s="3855" t="n"/>
      <c r="K74" s="3855" t="n"/>
      <c r="L74" s="3855" t="n"/>
      <c r="M74" s="3855" t="n"/>
      <c r="N74" s="3855" t="n"/>
      <c r="O74" s="3855" t="n"/>
      <c r="P74" s="3960" t="n"/>
      <c r="Q74" s="3855" t="n"/>
      <c r="R74" s="3855" t="n"/>
      <c r="S74" s="3855" t="n"/>
      <c r="T74" s="3855" t="n"/>
      <c r="U74" s="3855" t="n"/>
      <c r="V74" s="3855" t="n"/>
      <c r="W74" s="3855" t="n"/>
      <c r="X74" s="3855" t="n"/>
      <c r="Y74" s="3855" t="n"/>
      <c r="Z74" s="3855" t="n"/>
      <c r="AA74" s="3855" t="n"/>
      <c r="AB74" s="3960" t="n"/>
      <c r="AC74" s="3855" t="n"/>
      <c r="AD74" s="3855" t="n"/>
      <c r="AE74" s="3855" t="n"/>
      <c r="AF74" s="3855" t="n"/>
      <c r="AG74" s="3855" t="n"/>
      <c r="AH74" s="3855" t="n"/>
      <c r="AI74" s="3855" t="n"/>
      <c r="AJ74" s="3855" t="n"/>
      <c r="AK74" s="3855" t="n"/>
      <c r="AL74" s="3855" t="n"/>
      <c r="AM74" s="3855" t="n"/>
      <c r="AN74" s="3960" t="n"/>
      <c r="AO74" s="3855" t="n"/>
      <c r="AP74" s="3855" t="n"/>
      <c r="AQ74" s="3855" t="n"/>
      <c r="AR74" s="3855" t="n"/>
      <c r="AS74" s="3855" t="n"/>
      <c r="AT74" s="3961" t="n"/>
      <c r="AU74" s="3806">
        <f>SUM(E74:P74)</f>
        <v/>
      </c>
      <c r="AV74" s="3806">
        <f>SUM(Q74:AB74)</f>
        <v/>
      </c>
      <c r="AW74" s="3855">
        <f>SUM(AC74:AN74)</f>
        <v/>
      </c>
      <c r="AX74" s="3855">
        <f>SUM(AG74:AR74)</f>
        <v/>
      </c>
      <c r="AY74" s="3855">
        <f>SUM(AI74:AT74)</f>
        <v/>
      </c>
      <c r="AZ74" s="3733" t="n"/>
      <c r="BA74" s="3808" t="n"/>
      <c r="BB74" s="3926" t="n"/>
    </row>
    <row r="75" hidden="1" outlineLevel="2" ht="12" customFormat="1" customHeight="1" s="3851">
      <c r="A75" s="3852" t="n"/>
      <c r="B75" s="3853" t="n"/>
      <c r="C75" s="3857" t="n"/>
      <c r="D75" s="3864" t="inlineStr">
        <is>
          <t>c</t>
        </is>
      </c>
      <c r="E75" s="3855" t="n"/>
      <c r="F75" s="3855" t="n"/>
      <c r="G75" s="3855" t="n"/>
      <c r="H75" s="3855" t="n"/>
      <c r="I75" s="3855" t="n"/>
      <c r="J75" s="3855" t="n"/>
      <c r="K75" s="3855" t="n"/>
      <c r="L75" s="3855" t="n"/>
      <c r="M75" s="3855" t="n"/>
      <c r="N75" s="3855" t="n"/>
      <c r="O75" s="3855" t="n"/>
      <c r="P75" s="3960" t="n"/>
      <c r="Q75" s="3855" t="n"/>
      <c r="R75" s="3855" t="n"/>
      <c r="S75" s="3855" t="n"/>
      <c r="T75" s="3855" t="n"/>
      <c r="U75" s="3855" t="n"/>
      <c r="V75" s="3855" t="n"/>
      <c r="W75" s="3855" t="n"/>
      <c r="X75" s="3855" t="n"/>
      <c r="Y75" s="3855" t="n"/>
      <c r="Z75" s="3855" t="n"/>
      <c r="AA75" s="3855" t="n"/>
      <c r="AB75" s="3960" t="n"/>
      <c r="AC75" s="3855" t="n"/>
      <c r="AD75" s="3855" t="n"/>
      <c r="AE75" s="3855" t="n"/>
      <c r="AF75" s="3855" t="n"/>
      <c r="AG75" s="3855" t="n"/>
      <c r="AH75" s="3855" t="n"/>
      <c r="AI75" s="3855" t="n"/>
      <c r="AJ75" s="3855" t="n"/>
      <c r="AK75" s="3855" t="n"/>
      <c r="AL75" s="3855" t="n"/>
      <c r="AM75" s="3855" t="n"/>
      <c r="AN75" s="3960" t="n"/>
      <c r="AO75" s="3855" t="n"/>
      <c r="AP75" s="3855" t="n"/>
      <c r="AQ75" s="3855" t="n"/>
      <c r="AR75" s="3855" t="n"/>
      <c r="AS75" s="3855" t="n"/>
      <c r="AT75" s="3961" t="n"/>
      <c r="AU75" s="3806">
        <f>SUM(E75:P75)</f>
        <v/>
      </c>
      <c r="AV75" s="3806">
        <f>SUM(Q75:AB75)</f>
        <v/>
      </c>
      <c r="AW75" s="3855">
        <f>SUM(AC75:AN75)</f>
        <v/>
      </c>
      <c r="AX75" s="3855">
        <f>SUM(AG75:AR75)</f>
        <v/>
      </c>
      <c r="AY75" s="3855">
        <f>SUM(AI75:AT75)</f>
        <v/>
      </c>
      <c r="AZ75" s="3733" t="n"/>
      <c r="BA75" s="3808" t="n"/>
      <c r="BB75" s="3926" t="n"/>
    </row>
    <row r="76" hidden="1" outlineLevel="2" ht="12" customFormat="1" customHeight="1" s="3851">
      <c r="A76" s="3852" t="n"/>
      <c r="B76" s="3853" t="n"/>
      <c r="C76" s="3857" t="n"/>
      <c r="D76" s="3864" t="inlineStr">
        <is>
          <t>d</t>
        </is>
      </c>
      <c r="E76" s="3855" t="n"/>
      <c r="F76" s="3855" t="n"/>
      <c r="G76" s="3855" t="n"/>
      <c r="H76" s="3855" t="n"/>
      <c r="I76" s="3855" t="n"/>
      <c r="J76" s="3855" t="n"/>
      <c r="K76" s="3855" t="n"/>
      <c r="L76" s="3855" t="n"/>
      <c r="M76" s="3855" t="n"/>
      <c r="N76" s="3855" t="n"/>
      <c r="O76" s="3855" t="n"/>
      <c r="P76" s="3960" t="n"/>
      <c r="Q76" s="3855" t="n"/>
      <c r="R76" s="3855" t="n"/>
      <c r="S76" s="3855" t="n"/>
      <c r="T76" s="3855" t="n"/>
      <c r="U76" s="3855" t="n"/>
      <c r="V76" s="3855" t="n"/>
      <c r="W76" s="3855" t="n"/>
      <c r="X76" s="3855" t="n"/>
      <c r="Y76" s="3855" t="n"/>
      <c r="Z76" s="3855" t="n"/>
      <c r="AA76" s="3855" t="n"/>
      <c r="AB76" s="3960" t="n"/>
      <c r="AC76" s="3855" t="n"/>
      <c r="AD76" s="3855" t="n"/>
      <c r="AE76" s="3855" t="n"/>
      <c r="AF76" s="3855" t="n"/>
      <c r="AG76" s="3855" t="n"/>
      <c r="AH76" s="3855" t="n"/>
      <c r="AI76" s="3855" t="n"/>
      <c r="AJ76" s="3855" t="n"/>
      <c r="AK76" s="3855" t="n"/>
      <c r="AL76" s="3855" t="n"/>
      <c r="AM76" s="3855" t="n"/>
      <c r="AN76" s="3960" t="n"/>
      <c r="AO76" s="3855" t="n"/>
      <c r="AP76" s="3855" t="n"/>
      <c r="AQ76" s="3855" t="n"/>
      <c r="AR76" s="3855" t="n"/>
      <c r="AS76" s="3855" t="n"/>
      <c r="AT76" s="3961" t="n"/>
      <c r="AU76" s="3806">
        <f>SUM(E76:P76)</f>
        <v/>
      </c>
      <c r="AV76" s="3806">
        <f>SUM(Q76:AB76)</f>
        <v/>
      </c>
      <c r="AW76" s="3855">
        <f>SUM(AC76:AN76)</f>
        <v/>
      </c>
      <c r="AX76" s="3855">
        <f>SUM(AG76:AR76)</f>
        <v/>
      </c>
      <c r="AY76" s="3855">
        <f>SUM(AI76:AT76)</f>
        <v/>
      </c>
      <c r="AZ76" s="3733" t="n"/>
      <c r="BA76" s="3808" t="n"/>
      <c r="BB76" s="3926" t="n"/>
    </row>
    <row r="77" hidden="1" outlineLevel="2" ht="12" customFormat="1" customHeight="1" s="3851">
      <c r="A77" s="3852" t="n"/>
      <c r="B77" s="3853" t="n"/>
      <c r="C77" s="3857" t="n"/>
      <c r="D77" s="3864" t="inlineStr">
        <is>
          <t>e</t>
        </is>
      </c>
      <c r="E77" s="3855" t="n"/>
      <c r="F77" s="3855" t="n"/>
      <c r="G77" s="3855" t="n"/>
      <c r="H77" s="3855" t="n"/>
      <c r="I77" s="3855" t="n"/>
      <c r="J77" s="3855" t="n"/>
      <c r="K77" s="3855" t="n"/>
      <c r="L77" s="3855" t="n"/>
      <c r="M77" s="3855" t="n"/>
      <c r="N77" s="3855" t="n"/>
      <c r="O77" s="3855" t="n"/>
      <c r="P77" s="3960" t="n"/>
      <c r="Q77" s="3855" t="n"/>
      <c r="R77" s="3855" t="n"/>
      <c r="S77" s="3855" t="n"/>
      <c r="T77" s="3855" t="n"/>
      <c r="U77" s="3855" t="n"/>
      <c r="V77" s="3855" t="n"/>
      <c r="W77" s="3855" t="n"/>
      <c r="X77" s="3855" t="n"/>
      <c r="Y77" s="3855" t="n"/>
      <c r="Z77" s="3855" t="n"/>
      <c r="AA77" s="3855" t="n"/>
      <c r="AB77" s="3960" t="n"/>
      <c r="AC77" s="3855" t="n"/>
      <c r="AD77" s="3855" t="n"/>
      <c r="AE77" s="3855" t="n"/>
      <c r="AF77" s="3855" t="n"/>
      <c r="AG77" s="3855" t="n"/>
      <c r="AH77" s="3855" t="n"/>
      <c r="AI77" s="3855" t="n"/>
      <c r="AJ77" s="3855" t="n"/>
      <c r="AK77" s="3855" t="n"/>
      <c r="AL77" s="3855" t="n"/>
      <c r="AM77" s="3855" t="n"/>
      <c r="AN77" s="3960" t="n"/>
      <c r="AO77" s="3855" t="n"/>
      <c r="AP77" s="3855" t="n"/>
      <c r="AQ77" s="3855" t="n"/>
      <c r="AR77" s="3855" t="n"/>
      <c r="AS77" s="3855" t="n"/>
      <c r="AT77" s="3961" t="n"/>
      <c r="AU77" s="3806">
        <f>SUM(E77:P77)</f>
        <v/>
      </c>
      <c r="AV77" s="3806">
        <f>SUM(Q77:AB77)</f>
        <v/>
      </c>
      <c r="AW77" s="3855">
        <f>SUM(AC77:AN77)</f>
        <v/>
      </c>
      <c r="AX77" s="3855">
        <f>SUM(AG77:AR77)</f>
        <v/>
      </c>
      <c r="AY77" s="3855">
        <f>SUM(AI77:AT77)</f>
        <v/>
      </c>
      <c r="AZ77" s="3733" t="n"/>
      <c r="BA77" s="3865" t="n"/>
      <c r="BB77" s="3926" t="n"/>
    </row>
    <row r="78" hidden="1" outlineLevel="2" ht="12" customFormat="1" customHeight="1" s="3851">
      <c r="A78" s="3852" t="n"/>
      <c r="B78" s="3853" t="n"/>
      <c r="C78" s="3857" t="n"/>
      <c r="D78" s="3864" t="inlineStr">
        <is>
          <t>f</t>
        </is>
      </c>
      <c r="E78" s="3783" t="n"/>
      <c r="F78" s="3783" t="n"/>
      <c r="G78" s="3783" t="n"/>
      <c r="H78" s="3783" t="n"/>
      <c r="I78" s="3783" t="n"/>
      <c r="J78" s="3783" t="n"/>
      <c r="K78" s="3783" t="n"/>
      <c r="L78" s="3783" t="n"/>
      <c r="M78" s="3783" t="n"/>
      <c r="N78" s="3783" t="n"/>
      <c r="O78" s="3783" t="n"/>
      <c r="P78" s="3958" t="n"/>
      <c r="Q78" s="3783" t="n"/>
      <c r="R78" s="3783" t="n"/>
      <c r="S78" s="3783" t="n"/>
      <c r="T78" s="3783" t="n"/>
      <c r="U78" s="3783" t="n"/>
      <c r="V78" s="3783" t="n"/>
      <c r="W78" s="3783" t="n"/>
      <c r="X78" s="3783" t="n"/>
      <c r="Y78" s="3783" t="n"/>
      <c r="Z78" s="3783" t="n"/>
      <c r="AA78" s="3783" t="n"/>
      <c r="AB78" s="3958" t="n"/>
      <c r="AC78" s="3783" t="n"/>
      <c r="AD78" s="3783" t="n"/>
      <c r="AE78" s="3783" t="n"/>
      <c r="AF78" s="3783" t="n"/>
      <c r="AG78" s="3783" t="n"/>
      <c r="AH78" s="3783" t="n"/>
      <c r="AI78" s="3783" t="n"/>
      <c r="AJ78" s="3783" t="n"/>
      <c r="AK78" s="3783" t="n"/>
      <c r="AL78" s="3783" t="n"/>
      <c r="AM78" s="3783" t="n"/>
      <c r="AN78" s="3958" t="n"/>
      <c r="AO78" s="3783" t="n"/>
      <c r="AP78" s="3783" t="n"/>
      <c r="AQ78" s="3783" t="n"/>
      <c r="AR78" s="3783" t="n"/>
      <c r="AS78" s="3783" t="n"/>
      <c r="AT78" s="3959" t="n"/>
      <c r="AU78" s="3841">
        <f>SUM(E78:P78)</f>
        <v/>
      </c>
      <c r="AV78" s="3841">
        <f>SUM(Q78:AB78)</f>
        <v/>
      </c>
      <c r="AW78" s="3783">
        <f>SUM(AC78:AN78)</f>
        <v/>
      </c>
      <c r="AX78" s="3783">
        <f>SUM(AG78:AR78)</f>
        <v/>
      </c>
      <c r="AY78" s="3783">
        <f>SUM(AI78:AT78)</f>
        <v/>
      </c>
      <c r="AZ78" s="3733" t="n"/>
      <c r="BA78" s="3808" t="n"/>
      <c r="BB78" s="3926" t="n"/>
    </row>
    <row r="79" hidden="1" outlineLevel="2" ht="12" customFormat="1" customHeight="1" s="3851">
      <c r="A79" s="3852" t="n"/>
      <c r="B79" s="3853" t="n"/>
      <c r="C79" s="3857" t="n"/>
      <c r="D79" s="3864" t="inlineStr">
        <is>
          <t>g</t>
        </is>
      </c>
      <c r="E79" s="3855" t="n"/>
      <c r="F79" s="3855" t="n"/>
      <c r="G79" s="3855" t="n"/>
      <c r="H79" s="3855" t="n"/>
      <c r="I79" s="3855" t="n"/>
      <c r="J79" s="3855" t="n"/>
      <c r="K79" s="3855" t="n"/>
      <c r="L79" s="3855" t="n"/>
      <c r="M79" s="3855" t="n"/>
      <c r="N79" s="3855" t="n"/>
      <c r="O79" s="3855" t="n"/>
      <c r="P79" s="3960" t="n"/>
      <c r="Q79" s="3855" t="n"/>
      <c r="R79" s="3855" t="n"/>
      <c r="S79" s="3855" t="n"/>
      <c r="T79" s="3855" t="n"/>
      <c r="U79" s="3855" t="n"/>
      <c r="V79" s="3855" t="n"/>
      <c r="W79" s="3855" t="n"/>
      <c r="X79" s="3855" t="n"/>
      <c r="Y79" s="3855" t="n"/>
      <c r="Z79" s="3855" t="n"/>
      <c r="AA79" s="3855" t="n"/>
      <c r="AB79" s="3960" t="n"/>
      <c r="AC79" s="3855" t="n"/>
      <c r="AD79" s="3855" t="n"/>
      <c r="AE79" s="3855" t="n"/>
      <c r="AF79" s="3855" t="n"/>
      <c r="AG79" s="3855" t="n"/>
      <c r="AH79" s="3855" t="n"/>
      <c r="AI79" s="3855" t="n"/>
      <c r="AJ79" s="3855" t="n"/>
      <c r="AK79" s="3855" t="n"/>
      <c r="AL79" s="3855" t="n"/>
      <c r="AM79" s="3855" t="n"/>
      <c r="AN79" s="3960" t="n"/>
      <c r="AO79" s="3855" t="n"/>
      <c r="AP79" s="3855" t="n"/>
      <c r="AQ79" s="3855" t="n"/>
      <c r="AR79" s="3855" t="n"/>
      <c r="AS79" s="3855" t="n"/>
      <c r="AT79" s="3961" t="n"/>
      <c r="AU79" s="3806">
        <f>SUM(E79:P79)</f>
        <v/>
      </c>
      <c r="AV79" s="3806">
        <f>SUM(Q79:AB79)</f>
        <v/>
      </c>
      <c r="AW79" s="3855">
        <f>SUM(AC79:AN79)</f>
        <v/>
      </c>
      <c r="AX79" s="3855">
        <f>SUM(AG79:AR79)</f>
        <v/>
      </c>
      <c r="AY79" s="3855">
        <f>SUM(AI79:AT79)</f>
        <v/>
      </c>
      <c r="AZ79" s="3733" t="n"/>
      <c r="BA79" s="3808" t="n"/>
      <c r="BB79" s="3926" t="n"/>
    </row>
    <row r="80" hidden="1" outlineLevel="2" ht="12" customFormat="1" customHeight="1" s="3851">
      <c r="A80" s="3852" t="n"/>
      <c r="B80" s="3853" t="n"/>
      <c r="C80" s="3857" t="n"/>
      <c r="D80" s="3864" t="inlineStr">
        <is>
          <t>h</t>
        </is>
      </c>
      <c r="E80" s="3855" t="n"/>
      <c r="F80" s="3855" t="n"/>
      <c r="G80" s="3855" t="n"/>
      <c r="H80" s="3855" t="n"/>
      <c r="I80" s="3855" t="n"/>
      <c r="J80" s="3855" t="n"/>
      <c r="K80" s="3855" t="n"/>
      <c r="L80" s="3855" t="n"/>
      <c r="M80" s="3855" t="n"/>
      <c r="N80" s="3855" t="n"/>
      <c r="O80" s="3855" t="n"/>
      <c r="P80" s="3960" t="n"/>
      <c r="Q80" s="3855" t="n"/>
      <c r="R80" s="3855" t="n"/>
      <c r="S80" s="3855" t="n"/>
      <c r="T80" s="3855" t="n"/>
      <c r="U80" s="3855" t="n"/>
      <c r="V80" s="3855" t="n"/>
      <c r="W80" s="3855" t="n"/>
      <c r="X80" s="3855" t="n"/>
      <c r="Y80" s="3855" t="n"/>
      <c r="Z80" s="3855" t="n"/>
      <c r="AA80" s="3855" t="n"/>
      <c r="AB80" s="3960" t="n"/>
      <c r="AC80" s="3855" t="n"/>
      <c r="AD80" s="3855" t="n"/>
      <c r="AE80" s="3855" t="n"/>
      <c r="AF80" s="3855" t="n"/>
      <c r="AG80" s="3855" t="n"/>
      <c r="AH80" s="3855" t="n"/>
      <c r="AI80" s="3855" t="n"/>
      <c r="AJ80" s="3855" t="n"/>
      <c r="AK80" s="3855" t="n"/>
      <c r="AL80" s="3855" t="n"/>
      <c r="AM80" s="3855" t="n"/>
      <c r="AN80" s="3960" t="n"/>
      <c r="AO80" s="3855" t="n"/>
      <c r="AP80" s="3855" t="n"/>
      <c r="AQ80" s="3855" t="n"/>
      <c r="AR80" s="3855" t="n"/>
      <c r="AS80" s="3855" t="n"/>
      <c r="AT80" s="3961" t="n"/>
      <c r="AU80" s="3806">
        <f>SUM(E80:P80)</f>
        <v/>
      </c>
      <c r="AV80" s="3806">
        <f>SUM(Q80:AB80)</f>
        <v/>
      </c>
      <c r="AW80" s="3855">
        <f>SUM(AC80:AN80)</f>
        <v/>
      </c>
      <c r="AX80" s="3855">
        <f>SUM(AG80:AR80)</f>
        <v/>
      </c>
      <c r="AY80" s="3855">
        <f>SUM(AI80:AT80)</f>
        <v/>
      </c>
      <c r="AZ80" s="3733" t="n"/>
      <c r="BA80" s="3865" t="n"/>
      <c r="BB80" s="3926" t="n"/>
    </row>
    <row r="81" hidden="1" outlineLevel="2" ht="12" customFormat="1" customHeight="1" s="3851">
      <c r="A81" s="3852" t="n"/>
      <c r="B81" s="3853" t="n"/>
      <c r="C81" s="3857" t="n"/>
      <c r="D81" s="3864" t="inlineStr">
        <is>
          <t>i</t>
        </is>
      </c>
      <c r="E81" s="3855" t="n"/>
      <c r="F81" s="3855" t="n"/>
      <c r="G81" s="3855" t="n"/>
      <c r="H81" s="3855" t="n"/>
      <c r="I81" s="3855" t="n"/>
      <c r="J81" s="3855" t="n"/>
      <c r="K81" s="3855" t="n"/>
      <c r="L81" s="3855" t="n"/>
      <c r="M81" s="3855" t="n"/>
      <c r="N81" s="3855" t="n"/>
      <c r="O81" s="3855" t="n"/>
      <c r="P81" s="3960" t="n"/>
      <c r="Q81" s="3855" t="n"/>
      <c r="R81" s="3855" t="n"/>
      <c r="S81" s="3855" t="n"/>
      <c r="T81" s="3855" t="n"/>
      <c r="U81" s="3855" t="n"/>
      <c r="V81" s="3855" t="n"/>
      <c r="W81" s="3855" t="n"/>
      <c r="X81" s="3855" t="n"/>
      <c r="Y81" s="3855" t="n"/>
      <c r="Z81" s="3855" t="n"/>
      <c r="AA81" s="3855" t="n"/>
      <c r="AB81" s="3960" t="n"/>
      <c r="AC81" s="3855" t="n"/>
      <c r="AD81" s="3855" t="n"/>
      <c r="AE81" s="3855" t="n"/>
      <c r="AF81" s="3855" t="n"/>
      <c r="AG81" s="3855" t="n"/>
      <c r="AH81" s="3855" t="n"/>
      <c r="AI81" s="3855" t="n"/>
      <c r="AJ81" s="3855" t="n"/>
      <c r="AK81" s="3855" t="n"/>
      <c r="AL81" s="3855" t="n"/>
      <c r="AM81" s="3855" t="n"/>
      <c r="AN81" s="3960" t="n"/>
      <c r="AO81" s="3855" t="n"/>
      <c r="AP81" s="3855" t="n"/>
      <c r="AQ81" s="3855" t="n"/>
      <c r="AR81" s="3855" t="n"/>
      <c r="AS81" s="3855" t="n"/>
      <c r="AT81" s="3961" t="n"/>
      <c r="AU81" s="3806">
        <f>SUM(E81:P81)</f>
        <v/>
      </c>
      <c r="AV81" s="3806">
        <f>SUM(Q81:AB81)</f>
        <v/>
      </c>
      <c r="AW81" s="3855">
        <f>SUM(AC81:AN81)</f>
        <v/>
      </c>
      <c r="AX81" s="3855">
        <f>SUM(AG81:AR81)</f>
        <v/>
      </c>
      <c r="AY81" s="3855">
        <f>SUM(AI81:AT81)</f>
        <v/>
      </c>
      <c r="AZ81" s="3733" t="n"/>
      <c r="BA81" s="3865" t="n"/>
      <c r="BB81" s="3926" t="n"/>
    </row>
    <row r="82" hidden="1" outlineLevel="2" ht="12" customFormat="1" customHeight="1" s="3851">
      <c r="A82" s="3852" t="n"/>
      <c r="B82" s="3853" t="n"/>
      <c r="C82" s="3860" t="n"/>
      <c r="D82" s="3864" t="inlineStr">
        <is>
          <t>j</t>
        </is>
      </c>
      <c r="E82" s="3861" t="n"/>
      <c r="F82" s="3861" t="n"/>
      <c r="G82" s="3861" t="n"/>
      <c r="H82" s="3861" t="n"/>
      <c r="I82" s="3861" t="n"/>
      <c r="J82" s="3861" t="n"/>
      <c r="K82" s="3861" t="n"/>
      <c r="L82" s="3861" t="n"/>
      <c r="M82" s="3861" t="n"/>
      <c r="N82" s="3861" t="n"/>
      <c r="O82" s="3861" t="n"/>
      <c r="P82" s="3962" t="n"/>
      <c r="Q82" s="3861" t="n"/>
      <c r="R82" s="3861" t="n"/>
      <c r="S82" s="3861" t="n"/>
      <c r="T82" s="3861" t="n"/>
      <c r="U82" s="3861" t="n"/>
      <c r="V82" s="3861" t="n"/>
      <c r="W82" s="3861" t="n"/>
      <c r="X82" s="3861" t="n"/>
      <c r="Y82" s="3861" t="n"/>
      <c r="Z82" s="3861" t="n"/>
      <c r="AA82" s="3861" t="n"/>
      <c r="AB82" s="3962" t="n"/>
      <c r="AC82" s="3861" t="n"/>
      <c r="AD82" s="3861" t="n"/>
      <c r="AE82" s="3861" t="n"/>
      <c r="AF82" s="3861" t="n"/>
      <c r="AG82" s="3861" t="n"/>
      <c r="AH82" s="3861" t="n"/>
      <c r="AI82" s="3861" t="n"/>
      <c r="AJ82" s="3861" t="n"/>
      <c r="AK82" s="3861" t="n"/>
      <c r="AL82" s="3861" t="n"/>
      <c r="AM82" s="3861" t="n"/>
      <c r="AN82" s="3962" t="n"/>
      <c r="AO82" s="3861" t="n"/>
      <c r="AP82" s="3861" t="n"/>
      <c r="AQ82" s="3861" t="n"/>
      <c r="AR82" s="3861" t="n"/>
      <c r="AS82" s="3861" t="n"/>
      <c r="AT82" s="3963" t="n"/>
      <c r="AU82" s="3810">
        <f>SUM(E82:P82)</f>
        <v/>
      </c>
      <c r="AV82" s="3810">
        <f>SUM(Q82:AB82)</f>
        <v/>
      </c>
      <c r="AW82" s="3861">
        <f>SUM(AC82:AN82)</f>
        <v/>
      </c>
      <c r="AX82" s="3861">
        <f>SUM(AG82:AR82)</f>
        <v/>
      </c>
      <c r="AY82" s="3861">
        <f>SUM(AI82:AT82)</f>
        <v/>
      </c>
      <c r="AZ82" s="3733" t="n"/>
      <c r="BA82" s="3865" t="n"/>
      <c r="BB82" s="3926" t="n"/>
    </row>
    <row r="83" hidden="1" outlineLevel="1" ht="12" customFormat="1" customHeight="1" s="3851">
      <c r="A83" s="3852" t="n"/>
      <c r="B83" s="3853" t="n"/>
      <c r="C83" s="3863" t="inlineStr">
        <is>
          <t>Credit union MSA</t>
        </is>
      </c>
      <c r="D83" s="3866">
        <f>+D72+1</f>
        <v/>
      </c>
      <c r="E83" s="3855" t="n"/>
      <c r="F83" s="3855" t="n"/>
      <c r="G83" s="3855" t="n"/>
      <c r="H83" s="3855" t="n"/>
      <c r="I83" s="3855" t="n"/>
      <c r="J83" s="3855" t="n"/>
      <c r="K83" s="3855" t="n"/>
      <c r="L83" s="3855" t="n"/>
      <c r="M83" s="3855" t="n"/>
      <c r="N83" s="3855" t="n"/>
      <c r="O83" s="3855" t="n"/>
      <c r="P83" s="3960" t="n"/>
      <c r="Q83" s="3855" t="n"/>
      <c r="R83" s="3855" t="n"/>
      <c r="S83" s="3855" t="n"/>
      <c r="T83" s="3855" t="n"/>
      <c r="U83" s="3855" t="n"/>
      <c r="V83" s="3855" t="n"/>
      <c r="W83" s="3855" t="n"/>
      <c r="X83" s="3855" t="n"/>
      <c r="Y83" s="3855" t="n"/>
      <c r="Z83" s="3855" t="n"/>
      <c r="AA83" s="3855" t="n"/>
      <c r="AB83" s="3960" t="n"/>
      <c r="AC83" s="3855" t="n"/>
      <c r="AD83" s="3855" t="n"/>
      <c r="AE83" s="3855" t="n"/>
      <c r="AF83" s="3855" t="n"/>
      <c r="AG83" s="3855" t="n"/>
      <c r="AH83" s="3855" t="n"/>
      <c r="AI83" s="3855" t="n"/>
      <c r="AJ83" s="3855" t="n"/>
      <c r="AK83" s="3855" t="n"/>
      <c r="AL83" s="3855" t="n"/>
      <c r="AM83" s="3855" t="n"/>
      <c r="AN83" s="3960" t="n"/>
      <c r="AO83" s="3855">
        <f>SUM(AO73:AO82)</f>
        <v/>
      </c>
      <c r="AP83" s="3855">
        <f>SUM(AP73:AP82)</f>
        <v/>
      </c>
      <c r="AQ83" s="3855">
        <f>SUM(AQ73:AQ82)</f>
        <v/>
      </c>
      <c r="AR83" s="3855">
        <f>SUM(AR73:AR82)</f>
        <v/>
      </c>
      <c r="AS83" s="3855">
        <f>SUM(AS73:AS82)</f>
        <v/>
      </c>
      <c r="AT83" s="3961">
        <f>SUM(AT73:AT82)</f>
        <v/>
      </c>
      <c r="AU83" s="3806">
        <f>SUM(AU73:AU82)</f>
        <v/>
      </c>
      <c r="AV83" s="3806">
        <f>SUM(AV73:AV82)</f>
        <v/>
      </c>
      <c r="AW83" s="3855">
        <f>SUM(AW73:AW82)</f>
        <v/>
      </c>
      <c r="AX83" s="3855">
        <f>SUM(AX73:AX82)</f>
        <v/>
      </c>
      <c r="AY83" s="3855">
        <f>SUM(AY73:AY82)</f>
        <v/>
      </c>
      <c r="AZ83" s="3733" t="n"/>
      <c r="BA83" s="3808" t="n"/>
      <c r="BB83" s="3926" t="n"/>
    </row>
    <row r="84" hidden="1" outlineLevel="1" ht="12" customFormat="1" customHeight="1" s="3851">
      <c r="A84" s="3852" t="n"/>
      <c r="B84" s="3853" t="n"/>
      <c r="C84" s="3863" t="n"/>
      <c r="D84" s="3858">
        <f>+D83+1</f>
        <v/>
      </c>
      <c r="E84" s="3855" t="n"/>
      <c r="F84" s="3855" t="n"/>
      <c r="G84" s="3855" t="n"/>
      <c r="H84" s="3855" t="n"/>
      <c r="I84" s="3855" t="n"/>
      <c r="J84" s="3855" t="n"/>
      <c r="K84" s="3855" t="n"/>
      <c r="L84" s="3855" t="n"/>
      <c r="M84" s="3855" t="n"/>
      <c r="N84" s="3855" t="n"/>
      <c r="O84" s="3855" t="n"/>
      <c r="P84" s="3960" t="n"/>
      <c r="Q84" s="3855" t="n"/>
      <c r="R84" s="3855" t="n"/>
      <c r="S84" s="3855" t="n"/>
      <c r="T84" s="3855" t="n"/>
      <c r="U84" s="3855" t="n"/>
      <c r="V84" s="3855" t="n"/>
      <c r="W84" s="3855" t="n"/>
      <c r="X84" s="3855" t="n"/>
      <c r="Y84" s="3855" t="n"/>
      <c r="Z84" s="3855" t="n"/>
      <c r="AA84" s="3855" t="n"/>
      <c r="AB84" s="3960" t="n"/>
      <c r="AC84" s="3855" t="n"/>
      <c r="AD84" s="3855" t="n"/>
      <c r="AE84" s="3855" t="n"/>
      <c r="AF84" s="3855" t="n"/>
      <c r="AG84" s="3855" t="n"/>
      <c r="AH84" s="3855" t="n"/>
      <c r="AI84" s="3855" t="n"/>
      <c r="AJ84" s="3855" t="n"/>
      <c r="AK84" s="3855" t="n"/>
      <c r="AL84" s="3855" t="n"/>
      <c r="AM84" s="3855" t="n"/>
      <c r="AN84" s="3960" t="n"/>
      <c r="AO84" s="3855" t="n"/>
      <c r="AP84" s="3855" t="n"/>
      <c r="AQ84" s="3855" t="n"/>
      <c r="AR84" s="3855" t="n"/>
      <c r="AS84" s="3855" t="n"/>
      <c r="AT84" s="3961" t="n"/>
      <c r="AU84" s="3806">
        <f>SUM(E84:P84)</f>
        <v/>
      </c>
      <c r="AV84" s="3806">
        <f>SUM(Q84:AB84)</f>
        <v/>
      </c>
      <c r="AW84" s="3855">
        <f>SUM(AC84:AN84)</f>
        <v/>
      </c>
      <c r="AX84" s="3855">
        <f>SUM(AG84:AR84)</f>
        <v/>
      </c>
      <c r="AY84" s="3855">
        <f>SUM(AI84:AT84)</f>
        <v/>
      </c>
      <c r="AZ84" s="3733" t="n"/>
      <c r="BA84" s="3808" t="n"/>
      <c r="BB84" s="3926" t="n"/>
    </row>
    <row r="85" hidden="1" outlineLevel="1" ht="12" customHeight="1" s="3710">
      <c r="B85" s="3770" t="n"/>
      <c r="C85" s="3787" t="n"/>
      <c r="D85" s="3782">
        <f>D84+1</f>
        <v/>
      </c>
      <c r="E85" s="3807" t="n"/>
      <c r="F85" s="3807" t="n"/>
      <c r="G85" s="3807" t="n"/>
      <c r="H85" s="3807" t="n"/>
      <c r="I85" s="3807" t="n"/>
      <c r="J85" s="3807" t="n"/>
      <c r="K85" s="3807" t="n"/>
      <c r="L85" s="3807" t="n"/>
      <c r="M85" s="3807" t="n"/>
      <c r="N85" s="3807" t="n"/>
      <c r="O85" s="3807" t="n"/>
      <c r="P85" s="3943" t="n"/>
      <c r="Q85" s="3807" t="n"/>
      <c r="R85" s="3807" t="n"/>
      <c r="S85" s="3807" t="n"/>
      <c r="T85" s="3807" t="n"/>
      <c r="U85" s="3807" t="n"/>
      <c r="V85" s="3807" t="n"/>
      <c r="W85" s="3807" t="n"/>
      <c r="X85" s="3807" t="n"/>
      <c r="Y85" s="3807" t="n"/>
      <c r="Z85" s="3807" t="n"/>
      <c r="AA85" s="3807" t="n"/>
      <c r="AB85" s="3943" t="n"/>
      <c r="AC85" s="3807" t="n"/>
      <c r="AD85" s="3807" t="n"/>
      <c r="AE85" s="3807" t="n"/>
      <c r="AF85" s="3807" t="n"/>
      <c r="AG85" s="3807" t="n"/>
      <c r="AH85" s="3807" t="n"/>
      <c r="AI85" s="3807" t="n"/>
      <c r="AJ85" s="3807" t="n"/>
      <c r="AK85" s="3807" t="n"/>
      <c r="AL85" s="3807" t="n"/>
      <c r="AM85" s="3807" t="n"/>
      <c r="AN85" s="3943" t="n"/>
      <c r="AO85" s="3807" t="n"/>
      <c r="AP85" s="3807" t="n"/>
      <c r="AQ85" s="3807" t="n"/>
      <c r="AR85" s="3807" t="n"/>
      <c r="AS85" s="3807" t="n"/>
      <c r="AT85" s="3944" t="n"/>
      <c r="AU85" s="3806">
        <f>SUM(E85:P85)</f>
        <v/>
      </c>
      <c r="AV85" s="3806">
        <f>SUM(Q85:AB85)</f>
        <v/>
      </c>
      <c r="AW85" s="3807">
        <f>SUM(AC85:AN85)</f>
        <v/>
      </c>
      <c r="AX85" s="3807">
        <f>SUM(AG85:AR85)</f>
        <v/>
      </c>
      <c r="AY85" s="3807">
        <f>SUM(AI85:AT85)</f>
        <v/>
      </c>
      <c r="AZ85" s="3723" t="n"/>
      <c r="BA85" s="3808" t="n"/>
    </row>
    <row r="86" hidden="1" outlineLevel="1" ht="12" customFormat="1" customHeight="1" s="3851">
      <c r="A86" s="3852" t="n"/>
      <c r="B86" s="3853" t="n"/>
      <c r="C86" s="3863" t="n"/>
      <c r="D86" s="3864">
        <f>D85+1</f>
        <v/>
      </c>
      <c r="E86" s="3855" t="n"/>
      <c r="F86" s="3855" t="n"/>
      <c r="G86" s="3855" t="n"/>
      <c r="H86" s="3855" t="n"/>
      <c r="I86" s="3855" t="n"/>
      <c r="J86" s="3855" t="n"/>
      <c r="K86" s="3855" t="n"/>
      <c r="L86" s="3855" t="n"/>
      <c r="M86" s="3855" t="n"/>
      <c r="N86" s="3855" t="n"/>
      <c r="O86" s="3855" t="n"/>
      <c r="P86" s="3960" t="n"/>
      <c r="Q86" s="3855" t="n"/>
      <c r="R86" s="3855" t="n"/>
      <c r="S86" s="3855" t="n"/>
      <c r="T86" s="3855" t="n"/>
      <c r="U86" s="3855" t="n"/>
      <c r="V86" s="3855" t="n"/>
      <c r="W86" s="3855" t="n"/>
      <c r="X86" s="3855" t="n"/>
      <c r="Y86" s="3855" t="n"/>
      <c r="Z86" s="3855" t="n"/>
      <c r="AA86" s="3855" t="n"/>
      <c r="AB86" s="3960" t="n"/>
      <c r="AC86" s="3855" t="n"/>
      <c r="AD86" s="3855" t="n"/>
      <c r="AE86" s="3855" t="n"/>
      <c r="AF86" s="3855" t="n"/>
      <c r="AG86" s="3855" t="n"/>
      <c r="AH86" s="3855" t="n"/>
      <c r="AI86" s="3855" t="n"/>
      <c r="AJ86" s="3855" t="n"/>
      <c r="AK86" s="3855" t="n"/>
      <c r="AL86" s="3855" t="n"/>
      <c r="AM86" s="3855" t="n"/>
      <c r="AN86" s="3960" t="n"/>
      <c r="AO86" s="3855" t="n"/>
      <c r="AP86" s="3855" t="n"/>
      <c r="AQ86" s="3855" t="n"/>
      <c r="AR86" s="3855" t="n"/>
      <c r="AS86" s="3855" t="n"/>
      <c r="AT86" s="3961" t="n"/>
      <c r="AU86" s="3806">
        <f>SUM(E86:P86)</f>
        <v/>
      </c>
      <c r="AV86" s="3806">
        <f>SUM(Q86:AB86)</f>
        <v/>
      </c>
      <c r="AW86" s="3855">
        <f>SUM(AC86:AN86)</f>
        <v/>
      </c>
      <c r="AX86" s="3855">
        <f>SUM(AG86:AR86)</f>
        <v/>
      </c>
      <c r="AY86" s="3855">
        <f>SUM(AI86:AT86)</f>
        <v/>
      </c>
      <c r="AZ86" s="3733" t="n"/>
      <c r="BA86" s="3808" t="n"/>
      <c r="BB86" s="3926" t="n"/>
    </row>
    <row r="87" hidden="1" outlineLevel="1" ht="12" customFormat="1" customHeight="1" s="3851">
      <c r="A87" s="3852" t="n"/>
      <c r="B87" s="3853" t="n"/>
      <c r="C87" s="3863" t="n"/>
      <c r="D87" s="3864">
        <f>+D86+1</f>
        <v/>
      </c>
      <c r="E87" s="3855" t="n"/>
      <c r="F87" s="3855" t="n"/>
      <c r="G87" s="3855" t="n"/>
      <c r="H87" s="3855" t="n"/>
      <c r="I87" s="3855" t="n"/>
      <c r="J87" s="3855" t="n"/>
      <c r="K87" s="3855" t="n"/>
      <c r="L87" s="3855" t="n"/>
      <c r="M87" s="3855" t="n"/>
      <c r="N87" s="3855" t="n"/>
      <c r="O87" s="3855" t="n"/>
      <c r="P87" s="3960" t="n"/>
      <c r="Q87" s="3855" t="n"/>
      <c r="R87" s="3855" t="n"/>
      <c r="S87" s="3855" t="n"/>
      <c r="T87" s="3855" t="n"/>
      <c r="U87" s="3855" t="n"/>
      <c r="V87" s="3855" t="n"/>
      <c r="W87" s="3855" t="n"/>
      <c r="X87" s="3855" t="n"/>
      <c r="Y87" s="3855" t="n"/>
      <c r="Z87" s="3855" t="n"/>
      <c r="AA87" s="3855" t="n"/>
      <c r="AB87" s="3960" t="n"/>
      <c r="AC87" s="3855" t="n"/>
      <c r="AD87" s="3855" t="n"/>
      <c r="AE87" s="3855" t="n"/>
      <c r="AF87" s="3855" t="n"/>
      <c r="AG87" s="3855" t="n"/>
      <c r="AH87" s="3855" t="n"/>
      <c r="AI87" s="3855" t="n"/>
      <c r="AJ87" s="3855" t="n"/>
      <c r="AK87" s="3855" t="n"/>
      <c r="AL87" s="3855" t="n"/>
      <c r="AM87" s="3855" t="n"/>
      <c r="AN87" s="3960" t="n"/>
      <c r="AO87" s="3855" t="n"/>
      <c r="AP87" s="3855" t="n"/>
      <c r="AQ87" s="3855" t="n"/>
      <c r="AR87" s="3855" t="n"/>
      <c r="AS87" s="3855" t="n"/>
      <c r="AT87" s="3961" t="n"/>
      <c r="AU87" s="3806">
        <f>SUM(E87:P87)</f>
        <v/>
      </c>
      <c r="AV87" s="3806">
        <f>SUM(Q87:AB87)</f>
        <v/>
      </c>
      <c r="AW87" s="3855">
        <f>SUM(AC87:AN87)</f>
        <v/>
      </c>
      <c r="AX87" s="3855">
        <f>SUM(AG87:AR87)</f>
        <v/>
      </c>
      <c r="AY87" s="3855">
        <f>SUM(AI87:AT87)</f>
        <v/>
      </c>
      <c r="AZ87" s="3733" t="n"/>
      <c r="BA87" s="3818" t="n"/>
      <c r="BB87" s="3926" t="n"/>
    </row>
    <row r="88" hidden="1" outlineLevel="1" ht="12" customFormat="1" customHeight="1" s="3851">
      <c r="A88" s="3852" t="n"/>
      <c r="B88" s="3853" t="n"/>
      <c r="C88" s="3863" t="inlineStr">
        <is>
          <t>New products, cards</t>
        </is>
      </c>
      <c r="D88" s="3867">
        <f>+D87+1</f>
        <v/>
      </c>
      <c r="E88" s="3855" t="n"/>
      <c r="F88" s="3855" t="n"/>
      <c r="G88" s="3855" t="n"/>
      <c r="H88" s="3855" t="n"/>
      <c r="I88" s="3855" t="n"/>
      <c r="J88" s="3855" t="n"/>
      <c r="K88" s="3855" t="n"/>
      <c r="L88" s="3855" t="n"/>
      <c r="M88" s="3855" t="n"/>
      <c r="N88" s="3855" t="n"/>
      <c r="O88" s="3855" t="n"/>
      <c r="P88" s="3960" t="n"/>
      <c r="Q88" s="3855" t="n"/>
      <c r="R88" s="3855" t="n"/>
      <c r="S88" s="3855" t="n"/>
      <c r="T88" s="3855" t="n"/>
      <c r="U88" s="3855" t="n"/>
      <c r="V88" s="3855" t="n"/>
      <c r="W88" s="3855" t="n"/>
      <c r="X88" s="3855" t="n"/>
      <c r="Y88" s="3855" t="n"/>
      <c r="Z88" s="3855" t="n"/>
      <c r="AA88" s="3855" t="n"/>
      <c r="AB88" s="3960" t="n"/>
      <c r="AC88" s="3855" t="n"/>
      <c r="AD88" s="3855" t="n"/>
      <c r="AE88" s="3855" t="n"/>
      <c r="AF88" s="3855" t="n"/>
      <c r="AG88" s="3855" t="n"/>
      <c r="AH88" s="3855" t="n"/>
      <c r="AI88" s="3855" t="n"/>
      <c r="AJ88" s="3855" t="n"/>
      <c r="AK88" s="3855" t="n"/>
      <c r="AL88" s="3855" t="n"/>
      <c r="AM88" s="3855" t="n"/>
      <c r="AN88" s="3960" t="n"/>
      <c r="AO88" s="3855" t="n"/>
      <c r="AP88" s="3855" t="n"/>
      <c r="AQ88" s="3855" t="n"/>
      <c r="AR88" s="3855" t="n"/>
      <c r="AS88" s="3855" t="n"/>
      <c r="AT88" s="3961" t="n"/>
      <c r="AU88" s="3806">
        <f>SUM(E88:P88)</f>
        <v/>
      </c>
      <c r="AV88" s="3806">
        <f>SUM(Q88:AB88)</f>
        <v/>
      </c>
      <c r="AW88" s="3855">
        <f>SUM(AC88:AN88)</f>
        <v/>
      </c>
      <c r="AX88" s="3855">
        <f>SUM(AG88:AR88)</f>
        <v/>
      </c>
      <c r="AY88" s="3855">
        <f>SUM(AI88:AT88)</f>
        <v/>
      </c>
      <c r="AZ88" s="3733" t="n"/>
      <c r="BA88" s="3818" t="n"/>
      <c r="BB88" s="3926" t="n"/>
    </row>
    <row r="89" hidden="1" outlineLevel="1" ht="12" customFormat="1" customHeight="1" s="3851">
      <c r="A89" s="3852" t="n"/>
      <c r="B89" s="3853" t="n"/>
      <c r="C89" s="3863" t="inlineStr">
        <is>
          <t>New products, fraud management</t>
        </is>
      </c>
      <c r="D89" s="3858">
        <f>+D88+1</f>
        <v/>
      </c>
      <c r="E89" s="3855" t="n"/>
      <c r="F89" s="3855" t="n"/>
      <c r="G89" s="3855" t="n"/>
      <c r="H89" s="3855" t="n"/>
      <c r="I89" s="3855" t="n"/>
      <c r="J89" s="3855" t="n"/>
      <c r="K89" s="3855" t="n"/>
      <c r="L89" s="3855" t="n"/>
      <c r="M89" s="3855" t="n"/>
      <c r="N89" s="3855" t="n"/>
      <c r="O89" s="3855" t="n"/>
      <c r="P89" s="3960" t="n"/>
      <c r="Q89" s="3855" t="n"/>
      <c r="R89" s="3855" t="n"/>
      <c r="S89" s="3855" t="n"/>
      <c r="T89" s="3855" t="n"/>
      <c r="U89" s="3855" t="n"/>
      <c r="V89" s="3855" t="n"/>
      <c r="W89" s="3855" t="n"/>
      <c r="X89" s="3855" t="n"/>
      <c r="Y89" s="3855" t="n"/>
      <c r="Z89" s="3855" t="n"/>
      <c r="AA89" s="3855" t="n"/>
      <c r="AB89" s="3960" t="n"/>
      <c r="AC89" s="3855" t="n"/>
      <c r="AD89" s="3855" t="n"/>
      <c r="AE89" s="3855" t="n"/>
      <c r="AF89" s="3855" t="n"/>
      <c r="AG89" s="3855" t="n"/>
      <c r="AH89" s="3855" t="n"/>
      <c r="AI89" s="3855" t="n"/>
      <c r="AJ89" s="3855" t="n"/>
      <c r="AK89" s="3855" t="n"/>
      <c r="AL89" s="3855" t="n"/>
      <c r="AM89" s="3855" t="n"/>
      <c r="AN89" s="3960" t="n"/>
      <c r="AO89" s="3855" t="n"/>
      <c r="AP89" s="3855" t="n"/>
      <c r="AQ89" s="3855" t="n"/>
      <c r="AR89" s="3855" t="n"/>
      <c r="AS89" s="3855" t="n"/>
      <c r="AT89" s="3961" t="n"/>
      <c r="AU89" s="3806">
        <f>SUM(E89:P89)</f>
        <v/>
      </c>
      <c r="AV89" s="3806">
        <f>SUM(Q89:AB89)</f>
        <v/>
      </c>
      <c r="AW89" s="3855">
        <f>SUM(AC89:AN89)</f>
        <v/>
      </c>
      <c r="AX89" s="3855">
        <f>SUM(AG89:AR89)</f>
        <v/>
      </c>
      <c r="AY89" s="3855">
        <f>SUM(AI89:AT89)</f>
        <v/>
      </c>
      <c r="AZ89" s="3733" t="n"/>
      <c r="BA89" s="3818" t="n"/>
      <c r="BB89" s="3926" t="n"/>
    </row>
    <row r="90" hidden="1" outlineLevel="1" ht="12" customFormat="1" customHeight="1" s="3851">
      <c r="A90" s="3852" t="n"/>
      <c r="B90" s="3853" t="n"/>
      <c r="C90" s="3863" t="n"/>
      <c r="D90" s="3864">
        <f>D89+1</f>
        <v/>
      </c>
      <c r="E90" s="3855" t="n"/>
      <c r="F90" s="3855" t="n"/>
      <c r="G90" s="3855" t="n"/>
      <c r="H90" s="3855" t="n"/>
      <c r="I90" s="3855" t="n"/>
      <c r="J90" s="3855" t="n"/>
      <c r="K90" s="3855" t="n"/>
      <c r="L90" s="3855" t="n"/>
      <c r="M90" s="3855" t="n"/>
      <c r="N90" s="3855" t="n"/>
      <c r="O90" s="3855" t="n"/>
      <c r="P90" s="3960" t="n"/>
      <c r="Q90" s="3855" t="n"/>
      <c r="R90" s="3855" t="n"/>
      <c r="S90" s="3855" t="n"/>
      <c r="T90" s="3855" t="n"/>
      <c r="U90" s="3855" t="n"/>
      <c r="V90" s="3855" t="n"/>
      <c r="W90" s="3855" t="n"/>
      <c r="X90" s="3855" t="n"/>
      <c r="Y90" s="3855" t="n"/>
      <c r="Z90" s="3855" t="n"/>
      <c r="AA90" s="3855" t="n"/>
      <c r="AB90" s="3960" t="n"/>
      <c r="AC90" s="3855" t="n"/>
      <c r="AD90" s="3855" t="n"/>
      <c r="AE90" s="3855" t="n"/>
      <c r="AF90" s="3855" t="n"/>
      <c r="AG90" s="3855" t="n"/>
      <c r="AH90" s="3855" t="n"/>
      <c r="AI90" s="3855" t="n"/>
      <c r="AJ90" s="3855" t="n"/>
      <c r="AK90" s="3855" t="n"/>
      <c r="AL90" s="3855" t="n"/>
      <c r="AM90" s="3855" t="n"/>
      <c r="AN90" s="3960" t="n"/>
      <c r="AO90" s="3855" t="n"/>
      <c r="AP90" s="3855" t="n"/>
      <c r="AQ90" s="3855" t="n"/>
      <c r="AR90" s="3855" t="n"/>
      <c r="AS90" s="3855" t="n"/>
      <c r="AT90" s="3961" t="n"/>
      <c r="AU90" s="3806">
        <f>SUM(E90:P90)</f>
        <v/>
      </c>
      <c r="AV90" s="3806">
        <f>SUM(Q90:AB90)</f>
        <v/>
      </c>
      <c r="AW90" s="3855">
        <f>SUM(AC90:AN90)</f>
        <v/>
      </c>
      <c r="AX90" s="3855">
        <f>SUM(AG90:AR90)</f>
        <v/>
      </c>
      <c r="AY90" s="3855">
        <f>SUM(AI90:AT90)</f>
        <v/>
      </c>
      <c r="AZ90" s="3733" t="n"/>
      <c r="BA90" s="3808" t="n"/>
      <c r="BB90" s="3926" t="n"/>
    </row>
    <row r="91" hidden="1" outlineLevel="1" ht="12" customFormat="1" customHeight="1" s="3851">
      <c r="A91" s="3852" t="n"/>
      <c r="B91" s="3853" t="n"/>
      <c r="C91" s="3868" t="n"/>
      <c r="D91" s="3864">
        <f>D90+1</f>
        <v/>
      </c>
      <c r="E91" s="3783" t="n"/>
      <c r="F91" s="3783" t="n"/>
      <c r="G91" s="3783" t="n"/>
      <c r="H91" s="3783" t="n"/>
      <c r="I91" s="3783" t="n"/>
      <c r="J91" s="3783" t="n"/>
      <c r="K91" s="3783" t="n"/>
      <c r="L91" s="3783" t="n"/>
      <c r="M91" s="3783" t="n"/>
      <c r="N91" s="3783" t="n"/>
      <c r="O91" s="3783" t="n"/>
      <c r="P91" s="3958" t="n"/>
      <c r="Q91" s="3783" t="n"/>
      <c r="R91" s="3783" t="n"/>
      <c r="S91" s="3783" t="n"/>
      <c r="T91" s="3783" t="n"/>
      <c r="U91" s="3783" t="n"/>
      <c r="V91" s="3783" t="n"/>
      <c r="W91" s="3783" t="n"/>
      <c r="X91" s="3783" t="n"/>
      <c r="Y91" s="3783" t="n"/>
      <c r="Z91" s="3783" t="n"/>
      <c r="AA91" s="3783" t="n"/>
      <c r="AB91" s="3958" t="n"/>
      <c r="AC91" s="3783" t="n"/>
      <c r="AD91" s="3783" t="n"/>
      <c r="AE91" s="3783" t="n"/>
      <c r="AF91" s="3783" t="n"/>
      <c r="AG91" s="3783" t="n"/>
      <c r="AH91" s="3783" t="n"/>
      <c r="AI91" s="3783" t="n"/>
      <c r="AJ91" s="3783" t="n"/>
      <c r="AK91" s="3783" t="n"/>
      <c r="AL91" s="3783" t="n"/>
      <c r="AM91" s="3783" t="n"/>
      <c r="AN91" s="3958" t="n"/>
      <c r="AO91" s="3783" t="n"/>
      <c r="AP91" s="3783" t="n"/>
      <c r="AQ91" s="3783" t="n"/>
      <c r="AR91" s="3783" t="n"/>
      <c r="AS91" s="3783" t="n"/>
      <c r="AT91" s="3959" t="n"/>
      <c r="AU91" s="3841">
        <f>SUM(E91:P91)</f>
        <v/>
      </c>
      <c r="AV91" s="3841">
        <f>SUM(Q91:AB91)</f>
        <v/>
      </c>
      <c r="AW91" s="3783">
        <f>SUM(AC91:AN91)</f>
        <v/>
      </c>
      <c r="AX91" s="3783">
        <f>SUM(AG91:AR91)</f>
        <v/>
      </c>
      <c r="AY91" s="3783">
        <f>SUM(AI91:AT91)</f>
        <v/>
      </c>
      <c r="AZ91" s="3733" t="n"/>
      <c r="BA91" s="3842" t="n"/>
      <c r="BB91" s="3926" t="n"/>
    </row>
    <row r="92" hidden="1" outlineLevel="1" ht="12" customFormat="1" customHeight="1" s="3851">
      <c r="A92" s="3852" t="n"/>
      <c r="B92" s="3853" t="n"/>
      <c r="C92" s="3869" t="n"/>
      <c r="D92" s="3870">
        <f>D91+1</f>
        <v/>
      </c>
      <c r="E92" s="3861" t="n"/>
      <c r="F92" s="3861" t="n"/>
      <c r="G92" s="3861" t="n"/>
      <c r="H92" s="3861" t="n"/>
      <c r="I92" s="3861" t="n"/>
      <c r="J92" s="3861" t="n"/>
      <c r="K92" s="3861" t="n"/>
      <c r="L92" s="3861" t="n"/>
      <c r="M92" s="3861" t="n"/>
      <c r="N92" s="3861" t="n"/>
      <c r="O92" s="3861" t="n"/>
      <c r="P92" s="3962" t="n"/>
      <c r="Q92" s="3861" t="n"/>
      <c r="R92" s="3861" t="n"/>
      <c r="S92" s="3861" t="n"/>
      <c r="T92" s="3861" t="n"/>
      <c r="U92" s="3861" t="n"/>
      <c r="V92" s="3861" t="n"/>
      <c r="W92" s="3861" t="n"/>
      <c r="X92" s="3861" t="n"/>
      <c r="Y92" s="3861" t="n"/>
      <c r="Z92" s="3861" t="n"/>
      <c r="AA92" s="3861" t="n"/>
      <c r="AB92" s="3962" t="n"/>
      <c r="AC92" s="3861" t="n"/>
      <c r="AD92" s="3861" t="n"/>
      <c r="AE92" s="3861" t="n"/>
      <c r="AF92" s="3861" t="n"/>
      <c r="AG92" s="3861" t="n"/>
      <c r="AH92" s="3861" t="n"/>
      <c r="AI92" s="3861" t="n"/>
      <c r="AJ92" s="3861" t="n"/>
      <c r="AK92" s="3861" t="n"/>
      <c r="AL92" s="3861" t="n"/>
      <c r="AM92" s="3861" t="n"/>
      <c r="AN92" s="3962" t="n"/>
      <c r="AO92" s="3861" t="n"/>
      <c r="AP92" s="3861" t="n"/>
      <c r="AQ92" s="3861" t="n"/>
      <c r="AR92" s="3861" t="n"/>
      <c r="AS92" s="3861" t="n"/>
      <c r="AT92" s="3963" t="n"/>
      <c r="AU92" s="3810">
        <f>SUM(E92:P92)</f>
        <v/>
      </c>
      <c r="AV92" s="3810">
        <f>SUM(Q92:AB92)</f>
        <v/>
      </c>
      <c r="AW92" s="3861">
        <f>SUM(AC92:AN92)</f>
        <v/>
      </c>
      <c r="AX92" s="3861">
        <f>SUM(AG92:AR92)</f>
        <v/>
      </c>
      <c r="AY92" s="3861">
        <f>SUM(AI92:AT92)</f>
        <v/>
      </c>
      <c r="AZ92" s="3733" t="n"/>
      <c r="BA92" s="3816" t="n"/>
      <c r="BB92" s="3926" t="n"/>
    </row>
    <row r="93" ht="12" customHeight="1" s="3710">
      <c r="B93" s="3770" t="n"/>
      <c r="C93" s="3846" t="inlineStr">
        <is>
          <t>Pro forma adjustments</t>
        </is>
      </c>
      <c r="D93" s="3847" t="n"/>
      <c r="E93" s="3795" t="n"/>
      <c r="F93" s="3795" t="n"/>
      <c r="G93" s="3795" t="n"/>
      <c r="H93" s="3795" t="n"/>
      <c r="I93" s="3795" t="n"/>
      <c r="J93" s="3795" t="n"/>
      <c r="K93" s="3795" t="n"/>
      <c r="L93" s="3795" t="n"/>
      <c r="M93" s="3795" t="n"/>
      <c r="N93" s="3795" t="n"/>
      <c r="O93" s="3795" t="n"/>
      <c r="P93" s="3939" t="n"/>
      <c r="Q93" s="3795" t="n"/>
      <c r="R93" s="3795" t="n"/>
      <c r="S93" s="3795" t="n"/>
      <c r="T93" s="3795" t="n"/>
      <c r="U93" s="3795" t="n"/>
      <c r="V93" s="3795" t="n"/>
      <c r="W93" s="3795" t="n"/>
      <c r="X93" s="3795" t="n"/>
      <c r="Y93" s="3795" t="n"/>
      <c r="Z93" s="3795" t="n"/>
      <c r="AA93" s="3795" t="n"/>
      <c r="AB93" s="3939" t="n"/>
      <c r="AC93" s="3795" t="n"/>
      <c r="AD93" s="3795" t="n"/>
      <c r="AE93" s="3795" t="n"/>
      <c r="AF93" s="3795" t="n"/>
      <c r="AG93" s="3795" t="n"/>
      <c r="AH93" s="3795" t="n"/>
      <c r="AI93" s="3795" t="n"/>
      <c r="AJ93" s="3795" t="n"/>
      <c r="AK93" s="3795" t="n"/>
      <c r="AL93" s="3795" t="n"/>
      <c r="AM93" s="3795" t="n"/>
      <c r="AN93" s="3939" t="n"/>
      <c r="AO93" s="3795">
        <f>SUM(AO83:AO92,AO72)</f>
        <v/>
      </c>
      <c r="AP93" s="3795">
        <f>SUM(AP83:AP92,AP72)</f>
        <v/>
      </c>
      <c r="AQ93" s="3795">
        <f>SUM(AQ83:AQ92,AQ72)</f>
        <v/>
      </c>
      <c r="AR93" s="3795">
        <f>SUM(AR83:AR92,AR72)</f>
        <v/>
      </c>
      <c r="AS93" s="3795">
        <f>SUM(AS83:AS92,AS72)</f>
        <v/>
      </c>
      <c r="AT93" s="3940">
        <f>SUM(AT83:AT92,AT72)</f>
        <v/>
      </c>
      <c r="AU93" s="3794">
        <f>SUM(AU83:AU92,AU72)</f>
        <v/>
      </c>
      <c r="AV93" s="3794">
        <f>SUM(AV83:AV92,AV72)</f>
        <v/>
      </c>
      <c r="AW93" s="3795">
        <f>SUM(AW83:AW92,AW72)</f>
        <v/>
      </c>
      <c r="AX93" s="3795">
        <f>SUM(AX83:AX92,AX72)</f>
        <v/>
      </c>
      <c r="AY93" s="3795">
        <f>SUM(AY83:AY92,AY72)</f>
        <v/>
      </c>
      <c r="AZ93" s="3848" t="n"/>
      <c r="BA93" s="3799" t="n"/>
    </row>
    <row r="94" ht="12" customHeight="1" s="3710">
      <c r="B94" s="3770" t="n"/>
      <c r="C94" s="3849" t="inlineStr">
        <is>
          <t>EBITDA, pro forma adjusted</t>
        </is>
      </c>
      <c r="D94" s="3849" t="n"/>
      <c r="E94" s="3955" t="n"/>
      <c r="F94" s="3836" t="n"/>
      <c r="G94" s="3836" t="n"/>
      <c r="H94" s="3955" t="n"/>
      <c r="I94" s="3836" t="n"/>
      <c r="J94" s="3836" t="n"/>
      <c r="K94" s="3836" t="n"/>
      <c r="L94" s="3836" t="n"/>
      <c r="M94" s="3836" t="n"/>
      <c r="N94" s="3836" t="n"/>
      <c r="O94" s="3836" t="n"/>
      <c r="P94" s="3956" t="n"/>
      <c r="Q94" s="3836" t="n"/>
      <c r="R94" s="3836" t="n"/>
      <c r="S94" s="3836" t="n"/>
      <c r="T94" s="3836" t="n"/>
      <c r="U94" s="3836" t="n"/>
      <c r="V94" s="3836" t="n"/>
      <c r="W94" s="3836" t="n"/>
      <c r="X94" s="3836" t="n"/>
      <c r="Y94" s="3836" t="n"/>
      <c r="Z94" s="3836" t="n"/>
      <c r="AA94" s="3836" t="n"/>
      <c r="AB94" s="3956" t="n"/>
      <c r="AC94" s="3836" t="n"/>
      <c r="AD94" s="3836" t="n"/>
      <c r="AE94" s="3836" t="n"/>
      <c r="AF94" s="3836" t="n"/>
      <c r="AG94" s="3836" t="n"/>
      <c r="AH94" s="3836" t="n"/>
      <c r="AI94" s="3836" t="n"/>
      <c r="AJ94" s="3836" t="n"/>
      <c r="AK94" s="3836" t="n"/>
      <c r="AL94" s="3836" t="n"/>
      <c r="AM94" s="3836" t="n"/>
      <c r="AN94" s="3956" t="n"/>
      <c r="AO94" s="3836">
        <f>SUM(AO93,AO68)</f>
        <v/>
      </c>
      <c r="AP94" s="3836">
        <f>SUM(AP93,AP68)</f>
        <v/>
      </c>
      <c r="AQ94" s="3836">
        <f>SUM(AQ93,AQ68)</f>
        <v/>
      </c>
      <c r="AR94" s="3836">
        <f>SUM(AR93,AR68)</f>
        <v/>
      </c>
      <c r="AS94" s="3836">
        <f>SUM(AS93,AS68)</f>
        <v/>
      </c>
      <c r="AT94" s="3957">
        <f>SUM(AT93,AT68)</f>
        <v/>
      </c>
      <c r="AU94" s="3850">
        <f>SUM(AU93,AU68)</f>
        <v/>
      </c>
      <c r="AV94" s="3850">
        <f>SUM(AV93,AV68)</f>
        <v/>
      </c>
      <c r="AW94" s="3836">
        <f>SUM(AW93,AW68)</f>
        <v/>
      </c>
      <c r="AX94" s="3836">
        <f>SUM(AX93,AX68)</f>
        <v/>
      </c>
      <c r="AY94" s="3836">
        <f>SUM(AY93,AY68)</f>
        <v/>
      </c>
      <c r="AZ94" s="3871" t="n"/>
      <c r="BA94" s="3804" t="n"/>
    </row>
    <row r="95" ht="12" customHeight="1" s="3710">
      <c r="B95" s="3770" t="n"/>
      <c r="C95" s="3872" t="inlineStr">
        <is>
          <t>EBITDA margin, pro forma adjusted</t>
        </is>
      </c>
      <c r="D95" s="3873" t="n"/>
      <c r="E95" s="3875" t="n"/>
      <c r="F95" s="3875" t="n"/>
      <c r="G95" s="3875" t="n"/>
      <c r="H95" s="3875" t="n"/>
      <c r="I95" s="3875" t="n"/>
      <c r="J95" s="3875" t="n"/>
      <c r="K95" s="3875" t="n"/>
      <c r="L95" s="3875" t="n"/>
      <c r="M95" s="3875" t="n"/>
      <c r="N95" s="3875" t="n"/>
      <c r="O95" s="3875" t="n"/>
      <c r="P95" s="3964" t="n"/>
      <c r="Q95" s="3875" t="n"/>
      <c r="R95" s="3875" t="n"/>
      <c r="S95" s="3875" t="n"/>
      <c r="T95" s="3875" t="n"/>
      <c r="U95" s="3875" t="n"/>
      <c r="V95" s="3875" t="n"/>
      <c r="W95" s="3875" t="n"/>
      <c r="X95" s="3875" t="n"/>
      <c r="Y95" s="3875" t="n"/>
      <c r="Z95" s="3875" t="n"/>
      <c r="AA95" s="3875" t="n"/>
      <c r="AB95" s="3964" t="n"/>
      <c r="AC95" s="3875" t="n"/>
      <c r="AD95" s="3875" t="n"/>
      <c r="AE95" s="3875" t="n"/>
      <c r="AF95" s="3875" t="n"/>
      <c r="AG95" s="3875" t="n"/>
      <c r="AH95" s="3875" t="n"/>
      <c r="AI95" s="3875" t="n"/>
      <c r="AJ95" s="3875" t="n"/>
      <c r="AK95" s="3875" t="n"/>
      <c r="AL95" s="3875" t="n"/>
      <c r="AM95" s="3875" t="n"/>
      <c r="AN95" s="3964" t="n"/>
      <c r="AO95" s="3875">
        <f>IFERROR(AO94/AO37,0)</f>
        <v/>
      </c>
      <c r="AP95" s="3875">
        <f>IFERROR(AP94/AP37,0)</f>
        <v/>
      </c>
      <c r="AQ95" s="3875">
        <f>IFERROR(AQ94/AQ37,0)</f>
        <v/>
      </c>
      <c r="AR95" s="3875">
        <f>IFERROR(AR94/AR37,0)</f>
        <v/>
      </c>
      <c r="AS95" s="3875">
        <f>IFERROR(AS94/AS37,0)</f>
        <v/>
      </c>
      <c r="AT95" s="3965">
        <f>IFERROR(AT94/AT37,0)</f>
        <v/>
      </c>
      <c r="AU95" s="3874">
        <f>IFERROR(AU94/AU37,0)</f>
        <v/>
      </c>
      <c r="AV95" s="3874">
        <f>IFERROR(AV94/AV37,0)</f>
        <v/>
      </c>
      <c r="AW95" s="3875">
        <f>IFERROR(AW94/AW37,0)</f>
        <v/>
      </c>
      <c r="AX95" s="3875">
        <f>IFERROR(AX94/AX37,0)</f>
        <v/>
      </c>
      <c r="AY95" s="3875">
        <f>IFERROR(AY94/AY37,0)</f>
        <v/>
      </c>
      <c r="AZ95" s="3723" t="n"/>
      <c r="BA95" s="3876" t="n"/>
    </row>
    <row r="96" ht="11.25" customHeight="1" s="3710">
      <c r="B96" s="3770" t="n"/>
      <c r="C96" s="3877" t="n"/>
      <c r="D96" s="3877" t="n"/>
      <c r="E96" s="3877" t="n"/>
      <c r="F96" s="3877" t="n"/>
      <c r="G96" s="3877" t="n"/>
      <c r="H96" s="3877" t="n"/>
      <c r="I96" s="3877" t="n"/>
      <c r="J96" s="3877" t="n"/>
      <c r="K96" s="3877" t="n"/>
      <c r="L96" s="3877" t="n"/>
      <c r="M96" s="3877" t="n"/>
      <c r="N96" s="3877" t="n"/>
      <c r="O96" s="3877" t="n"/>
      <c r="P96" s="3877" t="n"/>
      <c r="Q96" s="3877" t="n"/>
      <c r="R96" s="3877" t="n"/>
      <c r="S96" s="3877" t="n"/>
      <c r="T96" s="3877" t="n"/>
      <c r="U96" s="3877" t="n"/>
      <c r="V96" s="3877" t="n"/>
      <c r="W96" s="3877" t="n"/>
      <c r="X96" s="3877" t="n"/>
      <c r="Y96" s="3877" t="n"/>
      <c r="Z96" s="3877" t="n"/>
      <c r="AA96" s="3877" t="n"/>
      <c r="AB96" s="3877" t="n"/>
      <c r="AC96" s="3877" t="n"/>
      <c r="AD96" s="3877" t="n"/>
      <c r="AE96" s="3877" t="n"/>
      <c r="AF96" s="3877" t="n"/>
      <c r="AG96" s="3877" t="n"/>
      <c r="AH96" s="3877" t="n"/>
      <c r="AI96" s="3877" t="n"/>
      <c r="AJ96" s="3877" t="n"/>
      <c r="AK96" s="3877" t="n"/>
      <c r="AL96" s="3877" t="n"/>
      <c r="AM96" s="3877" t="n"/>
      <c r="AN96" s="3877" t="n"/>
      <c r="AO96" s="3877" t="n"/>
      <c r="AP96" s="3877" t="n"/>
      <c r="AQ96" s="3877" t="n"/>
      <c r="AR96" s="3877" t="n"/>
      <c r="AS96" s="3877" t="n"/>
      <c r="AT96" s="3877" t="n"/>
      <c r="AU96" s="3877" t="n"/>
      <c r="AV96" s="3877" t="n"/>
      <c r="AW96" s="3877" t="n"/>
      <c r="AX96" s="3877" t="n"/>
      <c r="AY96" s="3877" t="n"/>
      <c r="AZ96" s="3723" t="n"/>
      <c r="BA96" s="3878" t="n"/>
    </row>
    <row r="97" ht="11.25" customHeight="1" s="3710">
      <c r="B97" s="3770" t="n"/>
      <c r="C97" s="3966" t="inlineStr">
        <is>
          <t>Key performance indicators</t>
        </is>
      </c>
      <c r="D97" s="3877" t="n"/>
      <c r="E97" s="3877" t="n"/>
      <c r="F97" s="3877" t="n"/>
      <c r="G97" s="3877" t="n"/>
      <c r="H97" s="3877" t="n"/>
      <c r="I97" s="3877" t="n"/>
      <c r="J97" s="3877" t="n"/>
      <c r="K97" s="3877" t="n"/>
      <c r="L97" s="3877" t="n"/>
      <c r="M97" s="3877" t="n"/>
      <c r="N97" s="3877" t="n"/>
      <c r="O97" s="3877" t="n"/>
      <c r="P97" s="3877" t="n"/>
      <c r="Q97" s="3877" t="n"/>
      <c r="R97" s="3877" t="n"/>
      <c r="S97" s="3877" t="n"/>
      <c r="T97" s="3877" t="n"/>
      <c r="U97" s="3877" t="n"/>
      <c r="V97" s="3877" t="n"/>
      <c r="W97" s="3877" t="n"/>
      <c r="X97" s="3877" t="n"/>
      <c r="Y97" s="3877" t="n"/>
      <c r="Z97" s="3877" t="n"/>
      <c r="AA97" s="3877" t="n"/>
      <c r="AB97" s="3877" t="n"/>
      <c r="AC97" s="3877" t="n"/>
      <c r="AD97" s="3877" t="n"/>
      <c r="AE97" s="3877" t="n"/>
      <c r="AF97" s="3877" t="n"/>
      <c r="AG97" s="3877" t="n"/>
      <c r="AH97" s="3877" t="n"/>
      <c r="AI97" s="3877" t="n"/>
      <c r="AJ97" s="3877" t="n"/>
      <c r="AK97" s="3877" t="n"/>
      <c r="AL97" s="3877" t="n"/>
      <c r="AM97" s="3877" t="n"/>
      <c r="AN97" s="3877" t="n"/>
      <c r="AO97" s="3877" t="n"/>
      <c r="AP97" s="3877" t="n"/>
      <c r="AQ97" s="3877" t="n"/>
      <c r="AR97" s="3877" t="n"/>
      <c r="AS97" s="3877" t="n"/>
      <c r="AT97" s="3877" t="n"/>
      <c r="AU97" s="3877" t="n"/>
      <c r="AV97" s="3877" t="n"/>
      <c r="AW97" s="3877" t="n"/>
      <c r="AX97" s="3877" t="n"/>
      <c r="AY97" s="3877" t="n"/>
      <c r="AZ97" s="3723" t="n"/>
      <c r="BA97" s="3878" t="n"/>
    </row>
    <row r="98" ht="11.25" customFormat="1" customHeight="1" s="3819">
      <c r="A98" s="3820" t="n"/>
      <c r="B98" s="3880" t="n"/>
      <c r="C98" s="3881" t="inlineStr">
        <is>
          <t>EBITDA margin, due diligence adjusted</t>
        </is>
      </c>
      <c r="D98" s="3882" t="n"/>
      <c r="E98" s="3883" t="n"/>
      <c r="F98" s="3883" t="n"/>
      <c r="G98" s="3883" t="n"/>
      <c r="H98" s="3883" t="n"/>
      <c r="I98" s="3883" t="n"/>
      <c r="J98" s="3883" t="n"/>
      <c r="K98" s="3883" t="n"/>
      <c r="L98" s="3883" t="n"/>
      <c r="M98" s="3883" t="n"/>
      <c r="N98" s="3883" t="n"/>
      <c r="O98" s="3883" t="n"/>
      <c r="P98" s="3883" t="n"/>
      <c r="Q98" s="3883" t="n"/>
      <c r="R98" s="3883" t="n"/>
      <c r="S98" s="3883" t="n"/>
      <c r="T98" s="3883" t="n"/>
      <c r="U98" s="3883" t="n"/>
      <c r="V98" s="3883" t="n"/>
      <c r="W98" s="3883" t="n"/>
      <c r="X98" s="3883" t="n"/>
      <c r="Y98" s="3883" t="n"/>
      <c r="Z98" s="3883" t="n"/>
      <c r="AA98" s="3883" t="n"/>
      <c r="AB98" s="3883" t="n"/>
      <c r="AC98" s="3883" t="n"/>
      <c r="AD98" s="3883" t="n"/>
      <c r="AE98" s="3883" t="n"/>
      <c r="AF98" s="3883" t="n"/>
      <c r="AG98" s="3883" t="n"/>
      <c r="AH98" s="3883" t="n"/>
      <c r="AI98" s="3883" t="n"/>
      <c r="AJ98" s="3883" t="n"/>
      <c r="AK98" s="3883" t="n"/>
      <c r="AL98" s="3883" t="n"/>
      <c r="AM98" s="3883" t="n"/>
      <c r="AN98" s="3883" t="n"/>
      <c r="AO98" s="3883">
        <f>AO68/AO15</f>
        <v/>
      </c>
      <c r="AP98" s="3883">
        <f>AP68/AP15</f>
        <v/>
      </c>
      <c r="AQ98" s="3883">
        <f>AQ68/AQ15</f>
        <v/>
      </c>
      <c r="AR98" s="3883">
        <f>AR68/AR15</f>
        <v/>
      </c>
      <c r="AS98" s="3883">
        <f>AS68/AS15</f>
        <v/>
      </c>
      <c r="AT98" s="3883">
        <f>AT68/AT15</f>
        <v/>
      </c>
      <c r="AU98" s="3883">
        <f>AU68/AU15</f>
        <v/>
      </c>
      <c r="AV98" s="3883">
        <f>AV68/AV15</f>
        <v/>
      </c>
      <c r="AW98" s="3883">
        <f>AW68/AW15</f>
        <v/>
      </c>
      <c r="AX98" s="3883">
        <f>AX68/AX15</f>
        <v/>
      </c>
      <c r="AY98" s="3883">
        <f>AY68/AY15</f>
        <v/>
      </c>
      <c r="AZ98" s="3827" t="n"/>
      <c r="BA98" s="3884" t="n"/>
      <c r="BB98" s="3926" t="n"/>
    </row>
    <row r="99" ht="11.25" customHeight="1" s="3710">
      <c r="B99" s="3770" t="n"/>
      <c r="C99" s="3877" t="n"/>
      <c r="D99" s="3877" t="n"/>
      <c r="E99" s="3877" t="n"/>
      <c r="F99" s="3877" t="n"/>
      <c r="G99" s="3877" t="n"/>
      <c r="H99" s="3877" t="n"/>
      <c r="I99" s="3877" t="n"/>
      <c r="J99" s="3877" t="n"/>
      <c r="K99" s="3877" t="n"/>
      <c r="L99" s="3877" t="n"/>
      <c r="M99" s="3877" t="n"/>
      <c r="N99" s="3877" t="n"/>
      <c r="O99" s="3877" t="n"/>
      <c r="P99" s="3877" t="n"/>
      <c r="Q99" s="3877" t="n"/>
      <c r="R99" s="3877" t="n"/>
      <c r="S99" s="3877" t="n"/>
      <c r="T99" s="3877" t="n"/>
      <c r="U99" s="3877" t="n"/>
      <c r="V99" s="3877" t="n"/>
      <c r="W99" s="3877" t="n"/>
      <c r="X99" s="3877" t="n"/>
      <c r="Y99" s="3877" t="n"/>
      <c r="Z99" s="3877" t="n"/>
      <c r="AA99" s="3877" t="n"/>
      <c r="AB99" s="3877" t="n"/>
      <c r="AC99" s="3877" t="n"/>
      <c r="AD99" s="3877" t="n"/>
      <c r="AE99" s="3877" t="n"/>
      <c r="AF99" s="3877" t="n"/>
      <c r="AG99" s="3877" t="n"/>
      <c r="AH99" s="3877" t="n"/>
      <c r="AI99" s="3877" t="n"/>
      <c r="AJ99" s="3877" t="n"/>
      <c r="AK99" s="3877" t="n"/>
      <c r="AL99" s="3877" t="n"/>
      <c r="AM99" s="3877" t="n"/>
      <c r="AN99" s="3877" t="n"/>
      <c r="AO99" s="3877" t="n"/>
      <c r="AP99" s="3877" t="n"/>
      <c r="AQ99" s="3877" t="n"/>
      <c r="AR99" s="3877" t="n"/>
      <c r="AS99" s="3877" t="n"/>
      <c r="AT99" s="3877" t="n"/>
      <c r="AU99" s="3877" t="n"/>
      <c r="AV99" s="3877" t="n"/>
      <c r="AW99" s="3877" t="n"/>
      <c r="AX99" s="3877" t="n"/>
      <c r="AY99" s="3877" t="n"/>
      <c r="AZ99" s="3723" t="n"/>
      <c r="BA99" s="3878" t="n"/>
    </row>
    <row r="100" hidden="1" outlineLevel="1" ht="11.25" customHeight="1" s="3710">
      <c r="B100" s="3770" t="n"/>
      <c r="C100" s="3882" t="inlineStr">
        <is>
          <t>Source-  Revenue pro forma adjusted</t>
        </is>
      </c>
      <c r="D100" s="3877" t="n"/>
      <c r="E100" s="3885" t="n"/>
      <c r="F100" s="3885" t="n"/>
      <c r="G100" s="3885" t="n"/>
      <c r="H100" s="3885" t="n"/>
      <c r="I100" s="3885" t="n"/>
      <c r="J100" s="3885" t="n"/>
      <c r="K100" s="3885" t="n"/>
      <c r="L100" s="3885" t="n"/>
      <c r="M100" s="3885" t="n"/>
      <c r="N100" s="3885" t="n"/>
      <c r="O100" s="3885" t="n"/>
      <c r="P100" s="3885" t="n"/>
      <c r="Q100" s="3885" t="n"/>
      <c r="R100" s="3885" t="n"/>
      <c r="S100" s="3885" t="n"/>
      <c r="T100" s="3885" t="n"/>
      <c r="U100" s="3885" t="n"/>
      <c r="V100" s="3885" t="n"/>
      <c r="W100" s="3885" t="n"/>
      <c r="X100" s="3885" t="n"/>
      <c r="Y100" s="3885" t="n"/>
      <c r="Z100" s="3885" t="n"/>
      <c r="AA100" s="3885" t="n"/>
      <c r="AB100" s="3885" t="n"/>
      <c r="AC100" s="3885" t="n"/>
      <c r="AD100" s="3885" t="n"/>
      <c r="AE100" s="3885" t="n"/>
      <c r="AF100" s="3885" t="n"/>
      <c r="AG100" s="3885" t="n"/>
      <c r="AH100" s="3885" t="n"/>
      <c r="AI100" s="3885" t="n"/>
      <c r="AJ100" s="3885" t="n"/>
      <c r="AK100" s="3885" t="n"/>
      <c r="AL100" s="3885" t="n"/>
      <c r="AM100" s="3885" t="n"/>
      <c r="AN100" s="3885" t="n"/>
      <c r="AO100" s="3885" t="n"/>
      <c r="AP100" s="3885" t="n"/>
      <c r="AQ100" s="3885" t="n"/>
      <c r="AR100" s="3885" t="n"/>
      <c r="AS100" s="3885" t="n"/>
      <c r="AT100" s="3885" t="n"/>
      <c r="AU100" s="3885">
        <f>SUM(E100:P100)</f>
        <v/>
      </c>
      <c r="AV100" s="3885">
        <f>SUM(Q100:AB100)</f>
        <v/>
      </c>
      <c r="AW100" s="3885">
        <f>SUM(AC100:AN100)</f>
        <v/>
      </c>
      <c r="AX100" s="3885">
        <f>SUM(AG100:AR100)</f>
        <v/>
      </c>
      <c r="AY100" s="3885">
        <f>SUM(AI100:AT100)</f>
        <v/>
      </c>
      <c r="AZ100" s="3723" t="n"/>
      <c r="BA100" s="3878" t="n"/>
    </row>
    <row r="101" hidden="1" outlineLevel="1" ht="11.25" customHeight="1" s="3710">
      <c r="B101" s="3770" t="n"/>
      <c r="C101" s="3882" t="inlineStr">
        <is>
          <t>Check</t>
        </is>
      </c>
      <c r="D101" s="3877" t="n"/>
      <c r="E101" s="3885">
        <f>E100-E37</f>
        <v/>
      </c>
      <c r="F101" s="3885">
        <f>F100-F37</f>
        <v/>
      </c>
      <c r="G101" s="3885">
        <f>G100-G37</f>
        <v/>
      </c>
      <c r="H101" s="3885">
        <f>H100-H37</f>
        <v/>
      </c>
      <c r="I101" s="3885">
        <f>I100-I37</f>
        <v/>
      </c>
      <c r="J101" s="3885">
        <f>J100-J37</f>
        <v/>
      </c>
      <c r="K101" s="3885">
        <f>K100-K37</f>
        <v/>
      </c>
      <c r="L101" s="3885">
        <f>L100-L37</f>
        <v/>
      </c>
      <c r="M101" s="3885">
        <f>M100-M37</f>
        <v/>
      </c>
      <c r="N101" s="3885">
        <f>N100-N37</f>
        <v/>
      </c>
      <c r="O101" s="3885">
        <f>O100-O37</f>
        <v/>
      </c>
      <c r="P101" s="3885">
        <f>P100-P37</f>
        <v/>
      </c>
      <c r="Q101" s="3885">
        <f>Q100-Q37</f>
        <v/>
      </c>
      <c r="R101" s="3885">
        <f>R100-R37</f>
        <v/>
      </c>
      <c r="S101" s="3885">
        <f>S100-S37</f>
        <v/>
      </c>
      <c r="T101" s="3885">
        <f>T100-T37</f>
        <v/>
      </c>
      <c r="U101" s="3885">
        <f>U100-U37</f>
        <v/>
      </c>
      <c r="V101" s="3885">
        <f>V100-V37</f>
        <v/>
      </c>
      <c r="W101" s="3885">
        <f>W100-W37</f>
        <v/>
      </c>
      <c r="X101" s="3885">
        <f>X100-X37</f>
        <v/>
      </c>
      <c r="Y101" s="3885">
        <f>Y100-Y37</f>
        <v/>
      </c>
      <c r="Z101" s="3885">
        <f>Z100-Z37</f>
        <v/>
      </c>
      <c r="AA101" s="3885">
        <f>AA100-AA37</f>
        <v/>
      </c>
      <c r="AB101" s="3885">
        <f>AB100-AB37</f>
        <v/>
      </c>
      <c r="AC101" s="3885">
        <f>AC100-AC37</f>
        <v/>
      </c>
      <c r="AD101" s="3885">
        <f>AD100-AD37</f>
        <v/>
      </c>
      <c r="AE101" s="3885">
        <f>AE100-AE37</f>
        <v/>
      </c>
      <c r="AF101" s="3885">
        <f>AF100-AF37</f>
        <v/>
      </c>
      <c r="AG101" s="3885">
        <f>AG100-AG37</f>
        <v/>
      </c>
      <c r="AH101" s="3885">
        <f>AH100-AH37</f>
        <v/>
      </c>
      <c r="AI101" s="3885">
        <f>AI100-AI37</f>
        <v/>
      </c>
      <c r="AJ101" s="3885">
        <f>AJ100-AJ37</f>
        <v/>
      </c>
      <c r="AK101" s="3885">
        <f>AK100-AK37</f>
        <v/>
      </c>
      <c r="AL101" s="3885">
        <f>AL100-AL37</f>
        <v/>
      </c>
      <c r="AM101" s="3885">
        <f>AM100-AM37</f>
        <v/>
      </c>
      <c r="AN101" s="3885">
        <f>AN100-AN37</f>
        <v/>
      </c>
      <c r="AO101" s="3885">
        <f>AO100-AO37</f>
        <v/>
      </c>
      <c r="AP101" s="3885">
        <f>AP100-AP37</f>
        <v/>
      </c>
      <c r="AQ101" s="3885">
        <f>AQ100-AQ37</f>
        <v/>
      </c>
      <c r="AR101" s="3885">
        <f>AR100-AR37</f>
        <v/>
      </c>
      <c r="AS101" s="3885">
        <f>AS100-AS37</f>
        <v/>
      </c>
      <c r="AT101" s="3885">
        <f>AT100-AT37</f>
        <v/>
      </c>
      <c r="AU101" s="3885">
        <f>AU100-AU37</f>
        <v/>
      </c>
      <c r="AV101" s="3885">
        <f>AV100-AV37</f>
        <v/>
      </c>
      <c r="AW101" s="3885">
        <f>AW100-AW37</f>
        <v/>
      </c>
      <c r="AX101" s="3885">
        <f>AX100-AX37</f>
        <v/>
      </c>
      <c r="AY101" s="3885">
        <f>AY100-AY37</f>
        <v/>
      </c>
      <c r="AZ101" s="3723" t="n"/>
      <c r="BA101" s="3878" t="n"/>
    </row>
    <row r="102" hidden="1" outlineLevel="1" ht="12" customFormat="1" customHeight="1" s="3819">
      <c r="A102" s="3820" t="n"/>
      <c r="B102" s="3880" t="n"/>
      <c r="C102" s="3967" t="inlineStr">
        <is>
          <t>Source - EBITDA reported</t>
        </is>
      </c>
      <c r="D102" s="3967" t="n"/>
      <c r="E102" s="3968" t="n"/>
      <c r="F102" s="3968" t="n"/>
      <c r="G102" s="3968" t="n"/>
      <c r="H102" s="3968" t="n"/>
      <c r="I102" s="3968" t="n"/>
      <c r="J102" s="3968" t="n"/>
      <c r="K102" s="3968" t="n"/>
      <c r="L102" s="3968" t="n"/>
      <c r="M102" s="3968" t="n"/>
      <c r="N102" s="3968" t="n"/>
      <c r="O102" s="3968" t="n"/>
      <c r="P102" s="3968" t="n"/>
      <c r="Q102" s="3968" t="n"/>
      <c r="R102" s="3968" t="n"/>
      <c r="S102" s="3968" t="n"/>
      <c r="T102" s="3968" t="n"/>
      <c r="U102" s="3968" t="n"/>
      <c r="V102" s="3968" t="n"/>
      <c r="W102" s="3968" t="n"/>
      <c r="X102" s="3968" t="n"/>
      <c r="Y102" s="3968" t="n"/>
      <c r="Z102" s="3968" t="n"/>
      <c r="AA102" s="3968" t="n"/>
      <c r="AB102" s="3968" t="n"/>
      <c r="AC102" s="3968" t="n"/>
      <c r="AD102" s="3968" t="n"/>
      <c r="AE102" s="3968" t="n"/>
      <c r="AF102" s="3968" t="n"/>
      <c r="AG102" s="3968" t="n"/>
      <c r="AH102" s="3968" t="n"/>
      <c r="AI102" s="3968" t="n"/>
      <c r="AJ102" s="3968" t="n"/>
      <c r="AK102" s="3968" t="n"/>
      <c r="AL102" s="3968" t="n"/>
      <c r="AM102" s="3968" t="n"/>
      <c r="AN102" s="3968" t="n"/>
      <c r="AO102" s="3968" t="n"/>
      <c r="AP102" s="3968" t="n"/>
      <c r="AQ102" s="3968" t="n"/>
      <c r="AR102" s="3968" t="n"/>
      <c r="AS102" s="3968" t="n"/>
      <c r="AT102" s="3968" t="n"/>
      <c r="AU102" s="3968">
        <f>SUM(E102:P102)</f>
        <v/>
      </c>
      <c r="AV102" s="3968">
        <f>SUM(Q102:AB102)</f>
        <v/>
      </c>
      <c r="AW102" s="3968">
        <f>SUM(AC102:AN102)</f>
        <v/>
      </c>
      <c r="AX102" s="3968">
        <f>SUM(AG102:AR102)</f>
        <v/>
      </c>
      <c r="AY102" s="3968">
        <f>SUM(AI102:AT102)</f>
        <v/>
      </c>
      <c r="AZ102" s="3827" t="n"/>
      <c r="BA102" s="3969" t="n"/>
      <c r="BB102" s="3926" t="n"/>
    </row>
    <row r="103" hidden="1" outlineLevel="1" ht="12" customFormat="1" customHeight="1" s="3819">
      <c r="A103" s="3820" t="n"/>
      <c r="B103" s="3880" t="n"/>
      <c r="C103" s="3967" t="inlineStr">
        <is>
          <t>Check</t>
        </is>
      </c>
      <c r="D103" s="3967" t="n"/>
      <c r="E103" s="3968">
        <f>E46-E102</f>
        <v/>
      </c>
      <c r="F103" s="3968">
        <f>F46-F102</f>
        <v/>
      </c>
      <c r="G103" s="3968">
        <f>G46-G102</f>
        <v/>
      </c>
      <c r="H103" s="3968">
        <f>H46-H102</f>
        <v/>
      </c>
      <c r="I103" s="3968">
        <f>I46-I102</f>
        <v/>
      </c>
      <c r="J103" s="3968">
        <f>J46-J102</f>
        <v/>
      </c>
      <c r="K103" s="3968">
        <f>K46-K102</f>
        <v/>
      </c>
      <c r="L103" s="3968">
        <f>L46-L102</f>
        <v/>
      </c>
      <c r="M103" s="3968">
        <f>M46-M102</f>
        <v/>
      </c>
      <c r="N103" s="3968">
        <f>N46-N102</f>
        <v/>
      </c>
      <c r="O103" s="3968">
        <f>O46-O102</f>
        <v/>
      </c>
      <c r="P103" s="3968">
        <f>P46-P102</f>
        <v/>
      </c>
      <c r="Q103" s="3968">
        <f>Q46-Q102</f>
        <v/>
      </c>
      <c r="R103" s="3968">
        <f>R46-R102</f>
        <v/>
      </c>
      <c r="S103" s="3968">
        <f>S46-S102</f>
        <v/>
      </c>
      <c r="T103" s="3968">
        <f>T46-T102</f>
        <v/>
      </c>
      <c r="U103" s="3968">
        <f>U46-U102</f>
        <v/>
      </c>
      <c r="V103" s="3968">
        <f>V46-V102</f>
        <v/>
      </c>
      <c r="W103" s="3968">
        <f>W46-W102</f>
        <v/>
      </c>
      <c r="X103" s="3968">
        <f>X46-X102</f>
        <v/>
      </c>
      <c r="Y103" s="3968">
        <f>Y46-Y102</f>
        <v/>
      </c>
      <c r="Z103" s="3968">
        <f>Z46-Z102</f>
        <v/>
      </c>
      <c r="AA103" s="3968">
        <f>AA46-AA102</f>
        <v/>
      </c>
      <c r="AB103" s="3968">
        <f>AB46-AB102</f>
        <v/>
      </c>
      <c r="AC103" s="3968">
        <f>AC46-AC102</f>
        <v/>
      </c>
      <c r="AD103" s="3968">
        <f>AD46-AD102</f>
        <v/>
      </c>
      <c r="AE103" s="3968">
        <f>AE46-AE102</f>
        <v/>
      </c>
      <c r="AF103" s="3968">
        <f>AF46-AF102</f>
        <v/>
      </c>
      <c r="AG103" s="3968">
        <f>AG46-AG102</f>
        <v/>
      </c>
      <c r="AH103" s="3968">
        <f>AH46-AH102</f>
        <v/>
      </c>
      <c r="AI103" s="3968">
        <f>AI46-AI102</f>
        <v/>
      </c>
      <c r="AJ103" s="3968">
        <f>AJ46-AJ102</f>
        <v/>
      </c>
      <c r="AK103" s="3968">
        <f>AK46-AK102</f>
        <v/>
      </c>
      <c r="AL103" s="3968">
        <f>AL46-AL102</f>
        <v/>
      </c>
      <c r="AM103" s="3968">
        <f>AM46-AM102</f>
        <v/>
      </c>
      <c r="AN103" s="3968">
        <f>AN46-AN102</f>
        <v/>
      </c>
      <c r="AO103" s="3968">
        <f>AO46-AO102</f>
        <v/>
      </c>
      <c r="AP103" s="3968">
        <f>AP46-AP102</f>
        <v/>
      </c>
      <c r="AQ103" s="3968">
        <f>AQ46-AQ102</f>
        <v/>
      </c>
      <c r="AR103" s="3968">
        <f>AR46-AR102</f>
        <v/>
      </c>
      <c r="AS103" s="3968">
        <f>AS46-AS102</f>
        <v/>
      </c>
      <c r="AT103" s="3968">
        <f>AT46-AT102</f>
        <v/>
      </c>
      <c r="AU103" s="3968">
        <f>AU102-AU46</f>
        <v/>
      </c>
      <c r="AV103" s="3968">
        <f>AV102-AV46</f>
        <v/>
      </c>
      <c r="AW103" s="3968">
        <f>AW102-AW46</f>
        <v/>
      </c>
      <c r="AX103" s="3968">
        <f>AX102-AX46</f>
        <v/>
      </c>
      <c r="AY103" s="3968">
        <f>AY102-AY46</f>
        <v/>
      </c>
      <c r="AZ103" s="3827" t="n"/>
      <c r="BA103" s="3970" t="n"/>
      <c r="BB103" s="3926" t="n"/>
    </row>
    <row r="104" hidden="1" outlineLevel="1" ht="11.25" customHeight="1" s="3710">
      <c r="B104" s="3770" t="n"/>
      <c r="C104" s="3967" t="inlineStr">
        <is>
          <t>Source - EBITDA diligence adjusted</t>
        </is>
      </c>
      <c r="E104" s="3968" t="n"/>
      <c r="F104" s="3968" t="n"/>
      <c r="G104" s="3968" t="n"/>
      <c r="H104" s="3968" t="n"/>
      <c r="I104" s="3968" t="n"/>
      <c r="J104" s="3968" t="n"/>
      <c r="K104" s="3968" t="n"/>
      <c r="L104" s="3968" t="n"/>
      <c r="M104" s="3968" t="n"/>
      <c r="N104" s="3968" t="n"/>
      <c r="O104" s="3968" t="n"/>
      <c r="P104" s="3968" t="n"/>
      <c r="Q104" s="3968" t="n"/>
      <c r="R104" s="3968" t="n"/>
      <c r="S104" s="3968" t="n"/>
      <c r="T104" s="3968" t="n"/>
      <c r="U104" s="3968" t="n"/>
      <c r="V104" s="3968" t="n"/>
      <c r="W104" s="3968" t="n"/>
      <c r="X104" s="3968" t="n"/>
      <c r="Y104" s="3968" t="n"/>
      <c r="Z104" s="3968" t="n"/>
      <c r="AA104" s="3968" t="n"/>
      <c r="AB104" s="3968" t="n"/>
      <c r="AC104" s="3968" t="n"/>
      <c r="AD104" s="3968" t="n"/>
      <c r="AE104" s="3968" t="n"/>
      <c r="AF104" s="3968" t="n"/>
      <c r="AG104" s="3968" t="n"/>
      <c r="AH104" s="3968" t="n"/>
      <c r="AI104" s="3968" t="n"/>
      <c r="AJ104" s="3968" t="n"/>
      <c r="AK104" s="3968" t="n"/>
      <c r="AL104" s="3968" t="n"/>
      <c r="AM104" s="3968" t="n"/>
      <c r="AN104" s="3968" t="n"/>
      <c r="AO104" s="3968" t="n"/>
      <c r="AP104" s="3968" t="n"/>
      <c r="AQ104" s="3968" t="n"/>
      <c r="AR104" s="3968" t="n"/>
      <c r="AS104" s="3968" t="n"/>
      <c r="AT104" s="3968" t="n"/>
      <c r="AU104" s="3968">
        <f>SUM(E104:P104)</f>
        <v/>
      </c>
      <c r="AV104" s="3968">
        <f>SUM(Q104:AB104)</f>
        <v/>
      </c>
      <c r="AW104" s="3968">
        <f>SUM(AC104:AN104)</f>
        <v/>
      </c>
      <c r="AX104" s="3968">
        <f>SUM(AG104:AR104)</f>
        <v/>
      </c>
      <c r="AY104" s="3968">
        <f>SUM(AI104:AT104)</f>
        <v/>
      </c>
    </row>
    <row r="105" hidden="1" outlineLevel="1" ht="11.25" customHeight="1" s="3710">
      <c r="B105" s="3770" t="n"/>
      <c r="C105" s="3967" t="inlineStr">
        <is>
          <t>Check</t>
        </is>
      </c>
      <c r="E105" s="3968">
        <f>E104-E68</f>
        <v/>
      </c>
      <c r="F105" s="3968">
        <f>F104-F68</f>
        <v/>
      </c>
      <c r="G105" s="3968">
        <f>G104-G68</f>
        <v/>
      </c>
      <c r="H105" s="3968">
        <f>H104-H68</f>
        <v/>
      </c>
      <c r="I105" s="3968">
        <f>I104-I68</f>
        <v/>
      </c>
      <c r="J105" s="3968">
        <f>J104-J68</f>
        <v/>
      </c>
      <c r="K105" s="3968">
        <f>K104-K68</f>
        <v/>
      </c>
      <c r="L105" s="3968">
        <f>L104-L68</f>
        <v/>
      </c>
      <c r="M105" s="3968">
        <f>M104-M68</f>
        <v/>
      </c>
      <c r="N105" s="3968">
        <f>N104-N68</f>
        <v/>
      </c>
      <c r="O105" s="3968">
        <f>O104-O68</f>
        <v/>
      </c>
      <c r="P105" s="3968">
        <f>P104-P68</f>
        <v/>
      </c>
      <c r="Q105" s="3968">
        <f>Q104-Q68</f>
        <v/>
      </c>
      <c r="R105" s="3968">
        <f>R104-R68</f>
        <v/>
      </c>
      <c r="S105" s="3968">
        <f>S104-S68</f>
        <v/>
      </c>
      <c r="T105" s="3968">
        <f>T104-T68</f>
        <v/>
      </c>
      <c r="U105" s="3968">
        <f>U104-U68</f>
        <v/>
      </c>
      <c r="V105" s="3968">
        <f>V104-V68</f>
        <v/>
      </c>
      <c r="W105" s="3968">
        <f>W104-W68</f>
        <v/>
      </c>
      <c r="X105" s="3968">
        <f>X104-X68</f>
        <v/>
      </c>
      <c r="Y105" s="3968">
        <f>Y104-Y68</f>
        <v/>
      </c>
      <c r="Z105" s="3968">
        <f>Z104-Z68</f>
        <v/>
      </c>
      <c r="AA105" s="3968">
        <f>AA104-AA68</f>
        <v/>
      </c>
      <c r="AB105" s="3968">
        <f>AB104-AB68</f>
        <v/>
      </c>
      <c r="AC105" s="3968">
        <f>AC104-AC68</f>
        <v/>
      </c>
      <c r="AD105" s="3968">
        <f>AD104-AD68</f>
        <v/>
      </c>
      <c r="AE105" s="3968">
        <f>AE104-AE68</f>
        <v/>
      </c>
      <c r="AF105" s="3968">
        <f>AF104-AF68</f>
        <v/>
      </c>
      <c r="AG105" s="3968">
        <f>AG104-AG68</f>
        <v/>
      </c>
      <c r="AH105" s="3968">
        <f>AH104-AH68</f>
        <v/>
      </c>
      <c r="AI105" s="3968">
        <f>AI104-AI68</f>
        <v/>
      </c>
      <c r="AJ105" s="3968">
        <f>AJ104-AJ68</f>
        <v/>
      </c>
      <c r="AK105" s="3968">
        <f>AK104-AK68</f>
        <v/>
      </c>
      <c r="AL105" s="3968">
        <f>AL104-AL68</f>
        <v/>
      </c>
      <c r="AM105" s="3968">
        <f>AM104-AM68</f>
        <v/>
      </c>
      <c r="AN105" s="3968">
        <f>AN104-AN68</f>
        <v/>
      </c>
      <c r="AO105" s="3968">
        <f>AO104-AO68</f>
        <v/>
      </c>
      <c r="AP105" s="3968">
        <f>AP104-AP68</f>
        <v/>
      </c>
      <c r="AQ105" s="3968">
        <f>AQ104-AQ68</f>
        <v/>
      </c>
      <c r="AR105" s="3968">
        <f>AR104-AR68</f>
        <v/>
      </c>
      <c r="AS105" s="3968">
        <f>AS104-AS68</f>
        <v/>
      </c>
      <c r="AT105" s="3968">
        <f>AT104-AT68</f>
        <v/>
      </c>
      <c r="AU105" s="3968">
        <f>AU104-AU68</f>
        <v/>
      </c>
      <c r="AV105" s="3968">
        <f>AV104-AV68</f>
        <v/>
      </c>
      <c r="AW105" s="3968">
        <f>AW104-AW68</f>
        <v/>
      </c>
      <c r="AX105" s="3968">
        <f>AX104-AX68</f>
        <v/>
      </c>
      <c r="AY105" s="3968">
        <f>AY104-AY68</f>
        <v/>
      </c>
    </row>
    <row r="106" hidden="1" outlineLevel="1" ht="11.25" customHeight="1" s="3710">
      <c r="B106" s="3770" t="n"/>
      <c r="C106" s="3967" t="inlineStr">
        <is>
          <t>Source - EBITDA pro forma adjusted</t>
        </is>
      </c>
      <c r="E106" s="3968" t="n"/>
      <c r="F106" s="3968" t="n"/>
      <c r="G106" s="3968" t="n"/>
      <c r="H106" s="3968" t="n"/>
      <c r="I106" s="3968" t="n"/>
      <c r="J106" s="3968" t="n"/>
      <c r="K106" s="3968" t="n"/>
      <c r="L106" s="3968" t="n"/>
      <c r="M106" s="3968" t="n"/>
      <c r="N106" s="3968" t="n"/>
      <c r="O106" s="3968" t="n"/>
      <c r="P106" s="3968" t="n"/>
      <c r="Q106" s="3968" t="n"/>
      <c r="R106" s="3968" t="n"/>
      <c r="S106" s="3968" t="n"/>
      <c r="T106" s="3968" t="n"/>
      <c r="U106" s="3968" t="n"/>
      <c r="V106" s="3968" t="n"/>
      <c r="W106" s="3968" t="n"/>
      <c r="X106" s="3968" t="n"/>
      <c r="Y106" s="3968" t="n"/>
      <c r="Z106" s="3968" t="n"/>
      <c r="AA106" s="3968" t="n"/>
      <c r="AB106" s="3968" t="n"/>
      <c r="AC106" s="3968" t="n"/>
      <c r="AD106" s="3968" t="n"/>
      <c r="AE106" s="3968" t="n"/>
      <c r="AF106" s="3968" t="n"/>
      <c r="AG106" s="3968" t="n"/>
      <c r="AH106" s="3968" t="n"/>
      <c r="AI106" s="3968" t="n"/>
      <c r="AJ106" s="3968" t="n"/>
      <c r="AK106" s="3968" t="n"/>
      <c r="AL106" s="3968" t="n"/>
      <c r="AM106" s="3968" t="n"/>
      <c r="AN106" s="3968" t="n"/>
      <c r="AO106" s="3968" t="n"/>
      <c r="AP106" s="3968" t="n"/>
      <c r="AQ106" s="3968" t="n"/>
      <c r="AR106" s="3968" t="n"/>
      <c r="AS106" s="3968" t="n"/>
      <c r="AT106" s="3968" t="n"/>
      <c r="AU106" s="3968">
        <f>SUM(E106:P106)</f>
        <v/>
      </c>
      <c r="AV106" s="3968">
        <f>SUM(Q106:AB106)</f>
        <v/>
      </c>
      <c r="AW106" s="3968">
        <f>SUM(AC106:AN106)</f>
        <v/>
      </c>
      <c r="AX106" s="3968">
        <f>SUM(AG106:AR106)</f>
        <v/>
      </c>
      <c r="AY106" s="3968">
        <f>SUM(AI106:AT106)</f>
        <v/>
      </c>
    </row>
    <row r="107" hidden="1" outlineLevel="1" ht="11.25" customHeight="1" s="3710">
      <c r="B107" s="3770" t="n"/>
      <c r="C107" s="3967" t="inlineStr">
        <is>
          <t>Check</t>
        </is>
      </c>
      <c r="E107" s="3968">
        <f>E106-E94</f>
        <v/>
      </c>
      <c r="F107" s="3968">
        <f>F106-F94</f>
        <v/>
      </c>
      <c r="G107" s="3968">
        <f>G106-G94</f>
        <v/>
      </c>
      <c r="H107" s="3968">
        <f>H106-H94</f>
        <v/>
      </c>
      <c r="I107" s="3968">
        <f>I106-I94</f>
        <v/>
      </c>
      <c r="J107" s="3968">
        <f>J106-J94</f>
        <v/>
      </c>
      <c r="K107" s="3968">
        <f>K106-K94</f>
        <v/>
      </c>
      <c r="L107" s="3968">
        <f>L106-L94</f>
        <v/>
      </c>
      <c r="M107" s="3968">
        <f>M106-M94</f>
        <v/>
      </c>
      <c r="N107" s="3968">
        <f>N106-N94</f>
        <v/>
      </c>
      <c r="O107" s="3968">
        <f>O106-O94</f>
        <v/>
      </c>
      <c r="P107" s="3968">
        <f>P106-P94</f>
        <v/>
      </c>
      <c r="Q107" s="3968">
        <f>Q106-Q94</f>
        <v/>
      </c>
      <c r="R107" s="3968">
        <f>R106-R94</f>
        <v/>
      </c>
      <c r="S107" s="3968">
        <f>S106-S94</f>
        <v/>
      </c>
      <c r="T107" s="3968">
        <f>T106-T94</f>
        <v/>
      </c>
      <c r="U107" s="3968">
        <f>U106-U94</f>
        <v/>
      </c>
      <c r="V107" s="3968">
        <f>V106-V94</f>
        <v/>
      </c>
      <c r="W107" s="3968">
        <f>W106-W94</f>
        <v/>
      </c>
      <c r="X107" s="3968">
        <f>X106-X94</f>
        <v/>
      </c>
      <c r="Y107" s="3968">
        <f>Y106-Y94</f>
        <v/>
      </c>
      <c r="Z107" s="3968">
        <f>Z106-Z94</f>
        <v/>
      </c>
      <c r="AA107" s="3968">
        <f>AA106-AA94</f>
        <v/>
      </c>
      <c r="AB107" s="3968">
        <f>AB106-AB94</f>
        <v/>
      </c>
      <c r="AC107" s="3968">
        <f>AC106-AC94</f>
        <v/>
      </c>
      <c r="AD107" s="3968">
        <f>AD106-AD94</f>
        <v/>
      </c>
      <c r="AE107" s="3968">
        <f>AE106-AE94</f>
        <v/>
      </c>
      <c r="AF107" s="3968">
        <f>AF106-AF94</f>
        <v/>
      </c>
      <c r="AG107" s="3968">
        <f>AG106-AG94</f>
        <v/>
      </c>
      <c r="AH107" s="3968">
        <f>AH106-AH94</f>
        <v/>
      </c>
      <c r="AI107" s="3968">
        <f>AI106-AI94</f>
        <v/>
      </c>
      <c r="AJ107" s="3968">
        <f>AJ106-AJ94</f>
        <v/>
      </c>
      <c r="AK107" s="3968">
        <f>AK106-AK94</f>
        <v/>
      </c>
      <c r="AL107" s="3968">
        <f>AL106-AL94</f>
        <v/>
      </c>
      <c r="AM107" s="3968">
        <f>AM106-AM94</f>
        <v/>
      </c>
      <c r="AN107" s="3968">
        <f>AN106-AN94</f>
        <v/>
      </c>
      <c r="AO107" s="3968">
        <f>AO106-AO94</f>
        <v/>
      </c>
      <c r="AP107" s="3968">
        <f>AP106-AP94</f>
        <v/>
      </c>
      <c r="AQ107" s="3968">
        <f>AQ106-AQ94</f>
        <v/>
      </c>
      <c r="AR107" s="3968">
        <f>AR106-AR94</f>
        <v/>
      </c>
      <c r="AS107" s="3968">
        <f>AS106-AS94</f>
        <v/>
      </c>
      <c r="AT107" s="3968">
        <f>AT106-AT94</f>
        <v/>
      </c>
      <c r="AU107" s="3968">
        <f>AU106-AU94</f>
        <v/>
      </c>
      <c r="AV107" s="3968">
        <f>AV106-AV94</f>
        <v/>
      </c>
      <c r="AW107" s="3968">
        <f>AW106-AW94</f>
        <v/>
      </c>
      <c r="AX107" s="3968">
        <f>AX106-AX94</f>
        <v/>
      </c>
      <c r="AY107" s="3968">
        <f>AY106-AY94</f>
        <v/>
      </c>
    </row>
    <row r="108" ht="11.25" customHeight="1" s="3710">
      <c r="B108" s="3770" t="n"/>
    </row>
    <row r="109" ht="19.5" customFormat="1" customHeight="1" s="3740">
      <c r="A109" s="3739" t="n"/>
      <c r="B109" s="3754" t="n"/>
      <c r="C109" s="3755" t="inlineStr">
        <is>
          <t>Other considerations</t>
        </is>
      </c>
      <c r="D109" s="3755" t="n"/>
      <c r="E109" s="3755" t="n"/>
      <c r="F109" s="3755" t="n"/>
      <c r="G109" s="3755" t="n"/>
      <c r="H109" s="3755" t="n"/>
      <c r="I109" s="3755" t="n"/>
      <c r="J109" s="3755" t="n"/>
      <c r="K109" s="3755" t="n"/>
      <c r="L109" s="3755" t="n"/>
      <c r="M109" s="3755" t="n"/>
      <c r="N109" s="3755" t="n"/>
      <c r="O109" s="3755" t="n"/>
      <c r="P109" s="3755" t="n"/>
      <c r="Q109" s="3755" t="n"/>
      <c r="R109" s="3755" t="n"/>
      <c r="S109" s="3755" t="n"/>
      <c r="T109" s="3755" t="n"/>
      <c r="U109" s="3755" t="n"/>
      <c r="V109" s="3755" t="n"/>
      <c r="W109" s="3755" t="n"/>
      <c r="X109" s="3755" t="n"/>
      <c r="Y109" s="3755" t="n"/>
      <c r="Z109" s="3755" t="n"/>
      <c r="AA109" s="3755" t="n"/>
      <c r="AB109" s="3755" t="n"/>
      <c r="AC109" s="3755" t="n"/>
      <c r="AD109" s="3755" t="n"/>
      <c r="AE109" s="3755" t="n"/>
      <c r="AF109" s="3755" t="n"/>
      <c r="AG109" s="3755" t="n"/>
      <c r="AH109" s="3755" t="n"/>
      <c r="AI109" s="3755" t="n"/>
      <c r="AJ109" s="3755" t="n"/>
      <c r="AK109" s="3755" t="n"/>
      <c r="AL109" s="3755" t="n"/>
      <c r="AM109" s="3755" t="n"/>
      <c r="AN109" s="3755" t="n"/>
      <c r="AO109" s="3755" t="n"/>
      <c r="AP109" s="3755" t="n"/>
      <c r="AQ109" s="3755" t="n"/>
      <c r="AR109" s="3755" t="n"/>
      <c r="AS109" s="3755" t="n"/>
      <c r="AT109" s="3755" t="n"/>
      <c r="AU109" s="3755" t="n"/>
      <c r="AV109" s="3755" t="n"/>
      <c r="AW109" s="3755" t="n"/>
      <c r="AX109" s="3755" t="n"/>
      <c r="AY109" s="3755" t="n"/>
      <c r="AZ109" s="3723" t="n"/>
      <c r="BA109" s="3755" t="n"/>
      <c r="BB109" s="3926" t="n"/>
    </row>
    <row r="110" ht="19.4" customHeight="1" s="3710">
      <c r="B110" s="3754" t="n"/>
      <c r="C110" s="3759" t="inlineStr">
        <is>
          <t>$'000</t>
        </is>
      </c>
      <c r="D110" s="3759" t="inlineStr">
        <is>
          <t>Ref</t>
        </is>
      </c>
      <c r="E110" s="3928" t="n"/>
      <c r="F110" s="3928" t="n"/>
      <c r="G110" s="3928" t="n"/>
      <c r="H110" s="3928" t="n"/>
      <c r="I110" s="3928" t="n"/>
      <c r="J110" s="3928" t="n"/>
      <c r="K110" s="3928" t="n"/>
      <c r="L110" s="3928" t="n"/>
      <c r="M110" s="3928" t="n"/>
      <c r="N110" s="3928" t="n"/>
      <c r="O110" s="3928" t="n"/>
      <c r="P110" s="3929" t="n"/>
      <c r="Q110" s="3928" t="n"/>
      <c r="R110" s="3928" t="n"/>
      <c r="S110" s="3928" t="n"/>
      <c r="T110" s="3928" t="n"/>
      <c r="U110" s="3928" t="n"/>
      <c r="V110" s="3928" t="n"/>
      <c r="W110" s="3928" t="n"/>
      <c r="X110" s="3928" t="n"/>
      <c r="Y110" s="3928" t="n"/>
      <c r="Z110" s="3928" t="n"/>
      <c r="AA110" s="3928" t="n"/>
      <c r="AB110" s="3929" t="n"/>
      <c r="AC110" s="3928" t="n"/>
      <c r="AD110" s="3928" t="n"/>
      <c r="AE110" s="3928" t="n"/>
      <c r="AF110" s="3928" t="n"/>
      <c r="AG110" s="3928" t="n"/>
      <c r="AH110" s="3928" t="n"/>
      <c r="AI110" s="3928" t="n"/>
      <c r="AJ110" s="3928" t="n"/>
      <c r="AK110" s="3928" t="n"/>
      <c r="AL110" s="3928" t="n"/>
      <c r="AM110" s="3928" t="n"/>
      <c r="AN110" s="3929" t="n"/>
      <c r="AO110" s="3928">
        <f>EOMONTH(AN110,1)</f>
        <v/>
      </c>
      <c r="AP110" s="3928">
        <f>EOMONTH(AO110,1)</f>
        <v/>
      </c>
      <c r="AQ110" s="3928">
        <f>EOMONTH(AP110,1)</f>
        <v/>
      </c>
      <c r="AR110" s="3928">
        <f>EOMONTH(AQ110,1)</f>
        <v/>
      </c>
      <c r="AS110" s="3928">
        <f>EOMONTH(AR110,1)</f>
        <v/>
      </c>
      <c r="AT110" s="3929">
        <f>EOMONTH(AS110,1)</f>
        <v/>
      </c>
      <c r="AU110" s="3905" t="inlineStr">
        <is>
          <t>FY21</t>
        </is>
      </c>
      <c r="AV110" s="3906" t="inlineStr">
        <is>
          <t>FY22</t>
        </is>
      </c>
      <c r="AW110" s="3930" t="inlineStr">
        <is>
          <t>FY23</t>
        </is>
      </c>
      <c r="AX110" s="3907" t="inlineStr">
        <is>
          <t>TTM
Apr-24</t>
        </is>
      </c>
      <c r="AY110" s="3907" t="inlineStr">
        <is>
          <t>TTM
Jun-24</t>
        </is>
      </c>
      <c r="AZ110" s="3764" t="n"/>
      <c r="BA110" s="3887" t="n"/>
    </row>
    <row r="111" hidden="1" outlineLevel="1" ht="12" customHeight="1" s="3710">
      <c r="B111" s="3770" t="n"/>
      <c r="C111" s="3787" t="n"/>
      <c r="D111" s="3788" t="inlineStr">
        <is>
          <t>i.</t>
        </is>
      </c>
      <c r="E111" s="3807" t="n"/>
      <c r="F111" s="3807" t="n"/>
      <c r="G111" s="3807" t="n"/>
      <c r="H111" s="3807" t="n"/>
      <c r="I111" s="3807" t="n"/>
      <c r="J111" s="3807" t="n"/>
      <c r="K111" s="3807" t="n"/>
      <c r="L111" s="3807" t="n"/>
      <c r="M111" s="3807" t="n"/>
      <c r="N111" s="3807" t="n"/>
      <c r="O111" s="3807" t="n"/>
      <c r="P111" s="3943" t="n"/>
      <c r="Q111" s="3807" t="n"/>
      <c r="R111" s="3807" t="n"/>
      <c r="S111" s="3807" t="n"/>
      <c r="T111" s="3807" t="n"/>
      <c r="U111" s="3807" t="n"/>
      <c r="V111" s="3807" t="n"/>
      <c r="W111" s="3807" t="n"/>
      <c r="X111" s="3807" t="n"/>
      <c r="Y111" s="3807" t="n"/>
      <c r="Z111" s="3807" t="n"/>
      <c r="AA111" s="3807" t="n"/>
      <c r="AB111" s="3943" t="n"/>
      <c r="AC111" s="3807" t="n"/>
      <c r="AD111" s="3807" t="n"/>
      <c r="AE111" s="3807" t="n"/>
      <c r="AF111" s="3807" t="n"/>
      <c r="AG111" s="3807" t="n"/>
      <c r="AH111" s="3807" t="n"/>
      <c r="AI111" s="3807" t="n"/>
      <c r="AJ111" s="3807" t="n"/>
      <c r="AK111" s="3807" t="n"/>
      <c r="AL111" s="3807" t="n"/>
      <c r="AM111" s="3807" t="n"/>
      <c r="AN111" s="3943" t="n"/>
      <c r="AO111" s="3807" t="n"/>
      <c r="AP111" s="3807" t="n"/>
      <c r="AQ111" s="3807" t="n"/>
      <c r="AR111" s="3807" t="n"/>
      <c r="AS111" s="3807" t="n"/>
      <c r="AT111" s="3944" t="n"/>
      <c r="AU111" s="3806">
        <f>SUM(E111:P111)</f>
        <v/>
      </c>
      <c r="AV111" s="3806">
        <f>SUM(Q111:AB111)</f>
        <v/>
      </c>
      <c r="AW111" s="3807">
        <f>SUM(AC111:AN111)</f>
        <v/>
      </c>
      <c r="AX111" s="3807">
        <f>SUM(AG111:AR111)</f>
        <v/>
      </c>
      <c r="AY111" s="3807">
        <f>SUM(AI111:AT111)</f>
        <v/>
      </c>
      <c r="AZ111" s="3723" t="n"/>
      <c r="BA111" s="3816" t="n"/>
    </row>
    <row r="112" hidden="1" outlineLevel="1" ht="12" customHeight="1" s="3710">
      <c r="B112" s="3770" t="n"/>
      <c r="C112" s="3888" t="n"/>
      <c r="D112" s="3845" t="inlineStr">
        <is>
          <t>ii.</t>
        </is>
      </c>
      <c r="E112" s="3811" t="n"/>
      <c r="F112" s="3811" t="n"/>
      <c r="G112" s="3811" t="n"/>
      <c r="H112" s="3811" t="n"/>
      <c r="I112" s="3811" t="n"/>
      <c r="J112" s="3811" t="n"/>
      <c r="K112" s="3811" t="n"/>
      <c r="L112" s="3811" t="n"/>
      <c r="M112" s="3811" t="n"/>
      <c r="N112" s="3811" t="n"/>
      <c r="O112" s="3811" t="n"/>
      <c r="P112" s="3945" t="n"/>
      <c r="Q112" s="3811" t="n"/>
      <c r="R112" s="3811" t="n"/>
      <c r="S112" s="3811" t="n"/>
      <c r="T112" s="3811" t="n"/>
      <c r="U112" s="3811" t="n"/>
      <c r="V112" s="3811" t="n"/>
      <c r="W112" s="3811" t="n"/>
      <c r="X112" s="3811" t="n"/>
      <c r="Y112" s="3811" t="n"/>
      <c r="Z112" s="3811" t="n"/>
      <c r="AA112" s="3811" t="n"/>
      <c r="AB112" s="3945" t="n"/>
      <c r="AC112" s="3811" t="n"/>
      <c r="AD112" s="3811" t="n"/>
      <c r="AE112" s="3811" t="n"/>
      <c r="AF112" s="3811" t="n"/>
      <c r="AG112" s="3811" t="n"/>
      <c r="AH112" s="3811" t="n"/>
      <c r="AI112" s="3811" t="n"/>
      <c r="AJ112" s="3811" t="n"/>
      <c r="AK112" s="3811" t="n"/>
      <c r="AL112" s="3811" t="n"/>
      <c r="AM112" s="3811" t="n"/>
      <c r="AN112" s="3945" t="n"/>
      <c r="AO112" s="3811" t="n"/>
      <c r="AP112" s="3811" t="n"/>
      <c r="AQ112" s="3811" t="n"/>
      <c r="AR112" s="3795" t="n"/>
      <c r="AS112" s="3811" t="n"/>
      <c r="AT112" s="3940" t="n"/>
      <c r="AU112" s="3810">
        <f>SUM(E112:P112)</f>
        <v/>
      </c>
      <c r="AV112" s="3810">
        <f>SUM(Q112:AB112)</f>
        <v/>
      </c>
      <c r="AW112" s="3811">
        <f>SUM(AC112:AN112)</f>
        <v/>
      </c>
      <c r="AX112" s="3811">
        <f>SUM(AG112:AR112)</f>
        <v/>
      </c>
      <c r="AY112" s="3811">
        <f>SUM(AI112:AT112)</f>
        <v/>
      </c>
      <c r="AZ112" s="3723" t="n"/>
      <c r="BA112" s="3786" t="n"/>
    </row>
    <row r="113" ht="12" customHeight="1" s="3710">
      <c r="B113" s="3770" t="n"/>
      <c r="C113" s="3889" t="inlineStr">
        <is>
          <t>Net cash rent expense</t>
        </is>
      </c>
      <c r="D113" s="3782" t="inlineStr">
        <is>
          <t>A</t>
        </is>
      </c>
      <c r="E113" s="3807" t="n"/>
      <c r="F113" s="3807" t="n"/>
      <c r="G113" s="3807" t="n"/>
      <c r="H113" s="3807" t="n"/>
      <c r="I113" s="3807" t="n"/>
      <c r="J113" s="3807" t="n"/>
      <c r="K113" s="3807" t="n"/>
      <c r="L113" s="3807" t="n"/>
      <c r="M113" s="3807" t="n"/>
      <c r="N113" s="3807" t="n"/>
      <c r="O113" s="3807" t="n"/>
      <c r="P113" s="3943" t="n"/>
      <c r="Q113" s="3807" t="n"/>
      <c r="R113" s="3807" t="n"/>
      <c r="S113" s="3807" t="n"/>
      <c r="T113" s="3807" t="n"/>
      <c r="U113" s="3807" t="n"/>
      <c r="V113" s="3807" t="n"/>
      <c r="W113" s="3807" t="n"/>
      <c r="X113" s="3807" t="n"/>
      <c r="Y113" s="3807" t="n"/>
      <c r="Z113" s="3807" t="n"/>
      <c r="AA113" s="3807" t="n"/>
      <c r="AB113" s="3943" t="n"/>
      <c r="AC113" s="3807" t="n"/>
      <c r="AD113" s="3807" t="n"/>
      <c r="AE113" s="3807" t="n"/>
      <c r="AF113" s="3807" t="n"/>
      <c r="AG113" s="3807" t="n"/>
      <c r="AH113" s="3807" t="n"/>
      <c r="AI113" s="3807" t="n"/>
      <c r="AJ113" s="3807" t="n"/>
      <c r="AK113" s="3807" t="n"/>
      <c r="AL113" s="3807" t="n"/>
      <c r="AM113" s="3807" t="n"/>
      <c r="AN113" s="3943" t="n"/>
      <c r="AO113" s="3807">
        <f>SUM(AO111:AO112)</f>
        <v/>
      </c>
      <c r="AP113" s="3807">
        <f>SUM(AP111:AP112)</f>
        <v/>
      </c>
      <c r="AQ113" s="3807">
        <f>SUM(AQ111:AQ112)</f>
        <v/>
      </c>
      <c r="AR113" s="3807">
        <f>SUM(AR111:AR112)</f>
        <v/>
      </c>
      <c r="AS113" s="3807">
        <f>SUM(AS111:AS112)</f>
        <v/>
      </c>
      <c r="AT113" s="3944">
        <f>SUM(AT111:AT112)</f>
        <v/>
      </c>
      <c r="AU113" s="3806">
        <f>SUM(AU111:AU112)</f>
        <v/>
      </c>
      <c r="AV113" s="3806">
        <f>SUM(AV111:AV112)</f>
        <v/>
      </c>
      <c r="AW113" s="3807">
        <f>SUM(AW111:AW112)</f>
        <v/>
      </c>
      <c r="AX113" s="3807">
        <f>SUM(AX111:AX112)</f>
        <v/>
      </c>
      <c r="AY113" s="3807">
        <f>SUM(AY111:AY112)</f>
        <v/>
      </c>
      <c r="AZ113" s="3723" t="n"/>
      <c r="BA113" s="3786" t="n"/>
    </row>
    <row r="114" ht="12" customHeight="1" s="3710">
      <c r="B114" s="3770" t="n"/>
      <c r="C114" s="3889" t="inlineStr">
        <is>
          <t>Issuer interchange fees</t>
        </is>
      </c>
      <c r="D114" s="3788" t="inlineStr">
        <is>
          <t>B</t>
        </is>
      </c>
      <c r="E114" s="3807" t="n"/>
      <c r="F114" s="3807" t="n"/>
      <c r="G114" s="3807" t="n"/>
      <c r="H114" s="3807" t="n"/>
      <c r="I114" s="3807" t="n"/>
      <c r="J114" s="3807" t="n"/>
      <c r="K114" s="3807" t="n"/>
      <c r="L114" s="3807" t="n"/>
      <c r="M114" s="3807" t="n"/>
      <c r="N114" s="3807" t="n"/>
      <c r="O114" s="3807" t="n"/>
      <c r="P114" s="3943" t="n"/>
      <c r="Q114" s="3807" t="n"/>
      <c r="R114" s="3807" t="n"/>
      <c r="S114" s="3807" t="n"/>
      <c r="T114" s="3807" t="n"/>
      <c r="U114" s="3807" t="n"/>
      <c r="V114" s="3807" t="n"/>
      <c r="W114" s="3807" t="n"/>
      <c r="X114" s="3807" t="n"/>
      <c r="Y114" s="3807" t="n"/>
      <c r="Z114" s="3807" t="n"/>
      <c r="AA114" s="3807" t="n"/>
      <c r="AB114" s="3943" t="n"/>
      <c r="AC114" s="3807" t="n"/>
      <c r="AD114" s="3807" t="n"/>
      <c r="AE114" s="3807" t="n"/>
      <c r="AF114" s="3807" t="n"/>
      <c r="AG114" s="3807" t="n"/>
      <c r="AH114" s="3807" t="n"/>
      <c r="AI114" s="3807" t="n"/>
      <c r="AJ114" s="3807" t="n"/>
      <c r="AK114" s="3807" t="n"/>
      <c r="AL114" s="3807" t="n"/>
      <c r="AM114" s="3807" t="n"/>
      <c r="AN114" s="3943" t="n"/>
      <c r="AO114" s="3807">
        <f>+SUM('Income statement'!AP92:AP93)</f>
        <v/>
      </c>
      <c r="AP114" s="3807">
        <f>+SUM('Income statement'!AQ92:AQ93)</f>
        <v/>
      </c>
      <c r="AQ114" s="3807">
        <f>+SUM('Income statement'!AR92:AR93)</f>
        <v/>
      </c>
      <c r="AR114" s="3807">
        <f>+SUM('Income statement'!AS92:AS93)</f>
        <v/>
      </c>
      <c r="AS114" s="3807">
        <f>+SUM('Income statement'!AT92:AT93)</f>
        <v/>
      </c>
      <c r="AT114" s="3944">
        <f>+SUM('Income statement'!AU92:AU93)</f>
        <v/>
      </c>
      <c r="AU114" s="3806">
        <f>SUM(E114:P114)</f>
        <v/>
      </c>
      <c r="AV114" s="3806">
        <f>SUM(Q114:AB114)</f>
        <v/>
      </c>
      <c r="AW114" s="3807">
        <f>SUM(AC114:AN114)</f>
        <v/>
      </c>
      <c r="AX114" s="3807">
        <f>SUM(AG114:AR114)</f>
        <v/>
      </c>
      <c r="AY114" s="3807">
        <f>SUM(AI114:AT114)</f>
        <v/>
      </c>
      <c r="AZ114" s="3723" t="n"/>
      <c r="BA114" s="3786" t="n"/>
    </row>
    <row r="115" ht="12" customHeight="1" s="3710">
      <c r="B115" s="3770" t="n"/>
      <c r="C115" s="3889" t="inlineStr">
        <is>
          <t>E-hub money transfer</t>
        </is>
      </c>
      <c r="D115" s="3782" t="inlineStr">
        <is>
          <t>C</t>
        </is>
      </c>
      <c r="E115" s="3807" t="n"/>
      <c r="F115" s="3807" t="n"/>
      <c r="G115" s="3807" t="n"/>
      <c r="H115" s="3807" t="n"/>
      <c r="I115" s="3807" t="n"/>
      <c r="J115" s="3807" t="n"/>
      <c r="K115" s="3807" t="n"/>
      <c r="L115" s="3807" t="n"/>
      <c r="M115" s="3807" t="n"/>
      <c r="N115" s="3807" t="n"/>
      <c r="O115" s="3807" t="n"/>
      <c r="P115" s="3943" t="n"/>
      <c r="Q115" s="3807" t="n"/>
      <c r="R115" s="3807" t="n"/>
      <c r="S115" s="3807" t="n"/>
      <c r="T115" s="3807" t="n"/>
      <c r="U115" s="3807" t="n"/>
      <c r="V115" s="3807" t="n"/>
      <c r="W115" s="3807" t="n"/>
      <c r="X115" s="3807" t="n"/>
      <c r="Y115" s="3807" t="n"/>
      <c r="Z115" s="3807" t="n"/>
      <c r="AA115" s="3807" t="n"/>
      <c r="AB115" s="3943" t="n"/>
      <c r="AC115" s="3807" t="n"/>
      <c r="AD115" s="3807" t="n"/>
      <c r="AE115" s="3807" t="n"/>
      <c r="AF115" s="3807" t="n"/>
      <c r="AG115" s="3807" t="n"/>
      <c r="AH115" s="3807" t="n"/>
      <c r="AI115" s="3807" t="n"/>
      <c r="AJ115" s="3807" t="n"/>
      <c r="AK115" s="3807" t="n"/>
      <c r="AL115" s="3807" t="n"/>
      <c r="AM115" s="3807" t="n"/>
      <c r="AN115" s="3943" t="n"/>
      <c r="AO115" s="3807">
        <f>'Income statement'!AP21</f>
        <v/>
      </c>
      <c r="AP115" s="3807">
        <f>'Income statement'!AQ21</f>
        <v/>
      </c>
      <c r="AQ115" s="3807">
        <f>'Income statement'!AR21</f>
        <v/>
      </c>
      <c r="AR115" s="3807">
        <f>'Income statement'!AS21</f>
        <v/>
      </c>
      <c r="AS115" s="3807">
        <f>'Income statement'!AT21</f>
        <v/>
      </c>
      <c r="AT115" s="3944">
        <f>'Income statement'!AU21</f>
        <v/>
      </c>
      <c r="AU115" s="3806">
        <f>SUM(E115:P115)</f>
        <v/>
      </c>
      <c r="AV115" s="3806">
        <f>SUM(Q115:AB115)</f>
        <v/>
      </c>
      <c r="AW115" s="3807">
        <f>SUM(AC115:AN115)</f>
        <v/>
      </c>
      <c r="AX115" s="3807">
        <f>SUM(AG115:AR115)</f>
        <v/>
      </c>
      <c r="AY115" s="3807">
        <f>SUM(AI115:AT115)</f>
        <v/>
      </c>
      <c r="AZ115" s="3723" t="n"/>
      <c r="BA115" s="3786" t="n"/>
    </row>
    <row r="116" ht="12" customHeight="1" s="3710">
      <c r="B116" s="3770" t="n"/>
      <c r="C116" s="3889" t="n"/>
      <c r="D116" s="3782" t="inlineStr">
        <is>
          <t>D</t>
        </is>
      </c>
      <c r="E116" s="3807" t="n"/>
      <c r="F116" s="3807" t="n"/>
      <c r="G116" s="3807" t="n"/>
      <c r="H116" s="3807" t="n"/>
      <c r="I116" s="3807" t="n"/>
      <c r="J116" s="3807" t="n"/>
      <c r="K116" s="3807" t="n"/>
      <c r="L116" s="3807" t="n"/>
      <c r="M116" s="3807" t="n"/>
      <c r="N116" s="3807" t="n"/>
      <c r="O116" s="3807" t="n"/>
      <c r="P116" s="3943" t="n"/>
      <c r="Q116" s="3807" t="n"/>
      <c r="R116" s="3807" t="n"/>
      <c r="S116" s="3807" t="n"/>
      <c r="T116" s="3807" t="n"/>
      <c r="U116" s="3807" t="n"/>
      <c r="V116" s="3807" t="n"/>
      <c r="W116" s="3807" t="n"/>
      <c r="X116" s="3807" t="n"/>
      <c r="Y116" s="3807" t="n"/>
      <c r="Z116" s="3807" t="n"/>
      <c r="AA116" s="3807" t="n"/>
      <c r="AB116" s="3943" t="n"/>
      <c r="AC116" s="3807" t="n"/>
      <c r="AD116" s="3807" t="n"/>
      <c r="AE116" s="3807" t="n"/>
      <c r="AF116" s="3807" t="n"/>
      <c r="AG116" s="3807" t="n"/>
      <c r="AH116" s="3807" t="n"/>
      <c r="AI116" s="3807" t="n"/>
      <c r="AJ116" s="3807" t="n"/>
      <c r="AK116" s="3807" t="n"/>
      <c r="AL116" s="3807" t="n"/>
      <c r="AM116" s="3807" t="n"/>
      <c r="AN116" s="3943" t="n"/>
      <c r="AO116" s="3807" t="n"/>
      <c r="AP116" s="3807" t="n"/>
      <c r="AQ116" s="3807" t="n"/>
      <c r="AR116" s="3807" t="n"/>
      <c r="AS116" s="3807" t="n"/>
      <c r="AT116" s="3944" t="n"/>
      <c r="AU116" s="3806">
        <f>SUM(E116:P116)</f>
        <v/>
      </c>
      <c r="AV116" s="3806">
        <f>SUM(Q116:AB116)</f>
        <v/>
      </c>
      <c r="AW116" s="3807">
        <f>SUM(AC116:AN116)</f>
        <v/>
      </c>
      <c r="AX116" s="3807">
        <f>SUM(AG116:AR116)</f>
        <v/>
      </c>
      <c r="AY116" s="3807">
        <f>SUM(AI116:AT116)</f>
        <v/>
      </c>
      <c r="AZ116" s="3723" t="n"/>
      <c r="BA116" s="3786" t="n"/>
    </row>
    <row r="117" ht="12" customHeight="1" s="3710">
      <c r="B117" s="3770" t="n"/>
      <c r="C117" s="3889" t="n"/>
      <c r="D117" s="3788" t="inlineStr">
        <is>
          <t>E</t>
        </is>
      </c>
      <c r="E117" s="3807" t="n"/>
      <c r="F117" s="3807" t="n"/>
      <c r="G117" s="3807" t="n"/>
      <c r="H117" s="3807" t="n"/>
      <c r="I117" s="3807" t="n"/>
      <c r="J117" s="3807" t="n"/>
      <c r="K117" s="3807" t="n"/>
      <c r="L117" s="3807" t="n"/>
      <c r="M117" s="3807" t="n"/>
      <c r="N117" s="3807" t="n"/>
      <c r="O117" s="3807" t="n"/>
      <c r="P117" s="3943" t="n"/>
      <c r="Q117" s="3807" t="n"/>
      <c r="R117" s="3807" t="n"/>
      <c r="S117" s="3807" t="n"/>
      <c r="T117" s="3807" t="n"/>
      <c r="U117" s="3807" t="n"/>
      <c r="V117" s="3807" t="n"/>
      <c r="W117" s="3807" t="n"/>
      <c r="X117" s="3807" t="n"/>
      <c r="Y117" s="3807" t="n"/>
      <c r="Z117" s="3807" t="n"/>
      <c r="AA117" s="3807" t="n"/>
      <c r="AB117" s="3943" t="n"/>
      <c r="AC117" s="3807" t="n"/>
      <c r="AD117" s="3807" t="n"/>
      <c r="AE117" s="3807" t="n"/>
      <c r="AF117" s="3807" t="n"/>
      <c r="AG117" s="3807" t="n"/>
      <c r="AH117" s="3807" t="n"/>
      <c r="AI117" s="3807" t="n"/>
      <c r="AJ117" s="3807" t="n"/>
      <c r="AK117" s="3807" t="n"/>
      <c r="AL117" s="3807" t="n"/>
      <c r="AM117" s="3807" t="n"/>
      <c r="AN117" s="3943" t="n"/>
      <c r="AO117" s="3807" t="n"/>
      <c r="AP117" s="3807" t="n"/>
      <c r="AQ117" s="3807" t="n"/>
      <c r="AR117" s="3807" t="n"/>
      <c r="AS117" s="3807" t="n"/>
      <c r="AT117" s="3944" t="n"/>
      <c r="AU117" s="3806">
        <f>SUM(E117:P117)</f>
        <v/>
      </c>
      <c r="AV117" s="3806">
        <f>SUM(Q117:AB117)</f>
        <v/>
      </c>
      <c r="AW117" s="3807">
        <f>SUM(AC117:AN117)</f>
        <v/>
      </c>
      <c r="AX117" s="3807">
        <f>SUM(AG117:AR117)</f>
        <v/>
      </c>
      <c r="AY117" s="3807">
        <f>SUM(AI117:AT117)</f>
        <v/>
      </c>
      <c r="AZ117" s="3723" t="n"/>
      <c r="BA117" s="3842" t="n"/>
    </row>
    <row r="118" ht="12" customHeight="1" s="3710">
      <c r="B118" s="3770" t="n"/>
      <c r="C118" s="3889" t="inlineStr">
        <is>
          <t>Call center employees</t>
        </is>
      </c>
      <c r="D118" s="3782" t="inlineStr">
        <is>
          <t>F</t>
        </is>
      </c>
      <c r="E118" s="3807" t="inlineStr">
        <is>
          <t>n.q</t>
        </is>
      </c>
      <c r="F118" s="3807" t="inlineStr">
        <is>
          <t>n.q</t>
        </is>
      </c>
      <c r="G118" s="3807" t="inlineStr">
        <is>
          <t>n.q</t>
        </is>
      </c>
      <c r="H118" s="3807" t="inlineStr">
        <is>
          <t>n.q</t>
        </is>
      </c>
      <c r="I118" s="3807" t="inlineStr">
        <is>
          <t>n.q</t>
        </is>
      </c>
      <c r="J118" s="3807" t="inlineStr">
        <is>
          <t>n.q</t>
        </is>
      </c>
      <c r="K118" s="3807" t="inlineStr">
        <is>
          <t>n.q</t>
        </is>
      </c>
      <c r="L118" s="3807" t="inlineStr">
        <is>
          <t>n.q</t>
        </is>
      </c>
      <c r="M118" s="3807" t="inlineStr">
        <is>
          <t>n.q</t>
        </is>
      </c>
      <c r="N118" s="3807" t="inlineStr">
        <is>
          <t>n.q</t>
        </is>
      </c>
      <c r="O118" s="3807" t="inlineStr">
        <is>
          <t>n.q</t>
        </is>
      </c>
      <c r="P118" s="3943" t="inlineStr">
        <is>
          <t>n.q</t>
        </is>
      </c>
      <c r="Q118" s="3807" t="inlineStr">
        <is>
          <t>n.q</t>
        </is>
      </c>
      <c r="R118" s="3807" t="inlineStr">
        <is>
          <t>n.q</t>
        </is>
      </c>
      <c r="S118" s="3807" t="inlineStr">
        <is>
          <t>n.q</t>
        </is>
      </c>
      <c r="T118" s="3807" t="inlineStr">
        <is>
          <t>n.q</t>
        </is>
      </c>
      <c r="U118" s="3807" t="inlineStr">
        <is>
          <t>n.q</t>
        </is>
      </c>
      <c r="V118" s="3807" t="inlineStr">
        <is>
          <t>n.q</t>
        </is>
      </c>
      <c r="W118" s="3807" t="inlineStr">
        <is>
          <t>n.q</t>
        </is>
      </c>
      <c r="X118" s="3807" t="inlineStr">
        <is>
          <t>n.q</t>
        </is>
      </c>
      <c r="Y118" s="3807" t="inlineStr">
        <is>
          <t>n.q</t>
        </is>
      </c>
      <c r="Z118" s="3807" t="inlineStr">
        <is>
          <t>n.q</t>
        </is>
      </c>
      <c r="AA118" s="3807" t="inlineStr">
        <is>
          <t>n.q</t>
        </is>
      </c>
      <c r="AB118" s="3943" t="inlineStr">
        <is>
          <t>n.q</t>
        </is>
      </c>
      <c r="AC118" s="3807" t="inlineStr">
        <is>
          <t>n.q</t>
        </is>
      </c>
      <c r="AD118" s="3807" t="inlineStr">
        <is>
          <t>n.q</t>
        </is>
      </c>
      <c r="AE118" s="3807" t="inlineStr">
        <is>
          <t>n.q</t>
        </is>
      </c>
      <c r="AF118" s="3807" t="inlineStr">
        <is>
          <t>n.q</t>
        </is>
      </c>
      <c r="AG118" s="3807" t="inlineStr">
        <is>
          <t>n.q</t>
        </is>
      </c>
      <c r="AH118" s="3807" t="inlineStr">
        <is>
          <t>n.q</t>
        </is>
      </c>
      <c r="AI118" s="3807" t="inlineStr">
        <is>
          <t>n.q</t>
        </is>
      </c>
      <c r="AJ118" s="3807" t="inlineStr">
        <is>
          <t>n.q</t>
        </is>
      </c>
      <c r="AK118" s="3807" t="inlineStr">
        <is>
          <t>n.q</t>
        </is>
      </c>
      <c r="AL118" s="3807" t="inlineStr">
        <is>
          <t>n.q</t>
        </is>
      </c>
      <c r="AM118" s="3807" t="inlineStr">
        <is>
          <t>n.q</t>
        </is>
      </c>
      <c r="AN118" s="3943" t="inlineStr">
        <is>
          <t>n.q</t>
        </is>
      </c>
      <c r="AO118" s="3807" t="inlineStr">
        <is>
          <t>n.q</t>
        </is>
      </c>
      <c r="AP118" s="3807" t="inlineStr">
        <is>
          <t>n.q</t>
        </is>
      </c>
      <c r="AQ118" s="3807" t="inlineStr">
        <is>
          <t>n.q</t>
        </is>
      </c>
      <c r="AR118" s="3807" t="inlineStr">
        <is>
          <t>n.q</t>
        </is>
      </c>
      <c r="AS118" s="3807" t="inlineStr">
        <is>
          <t>n.q</t>
        </is>
      </c>
      <c r="AT118" s="3944" t="inlineStr">
        <is>
          <t>n.q</t>
        </is>
      </c>
      <c r="AU118" s="3806" t="inlineStr">
        <is>
          <t>n.q</t>
        </is>
      </c>
      <c r="AV118" s="3806" t="inlineStr">
        <is>
          <t>n.q</t>
        </is>
      </c>
      <c r="AW118" s="3807" t="inlineStr">
        <is>
          <t>n.q</t>
        </is>
      </c>
      <c r="AX118" s="3807" t="inlineStr">
        <is>
          <t>n.q</t>
        </is>
      </c>
      <c r="AY118" s="3807" t="inlineStr">
        <is>
          <t>n.q</t>
        </is>
      </c>
      <c r="AZ118" s="3723" t="n"/>
      <c r="BA118" s="3786" t="n"/>
    </row>
    <row r="119" ht="12" customHeight="1" s="3710">
      <c r="B119" s="3770" t="n"/>
      <c r="C119" s="3889" t="n"/>
      <c r="D119" s="3788" t="inlineStr">
        <is>
          <t>G</t>
        </is>
      </c>
      <c r="E119" s="3807" t="n"/>
      <c r="F119" s="3807" t="n"/>
      <c r="G119" s="3807" t="n"/>
      <c r="H119" s="3807" t="n"/>
      <c r="I119" s="3807" t="n"/>
      <c r="J119" s="3807" t="n"/>
      <c r="K119" s="3807" t="n"/>
      <c r="L119" s="3807" t="n"/>
      <c r="M119" s="3807" t="n"/>
      <c r="N119" s="3807" t="n"/>
      <c r="O119" s="3807" t="n"/>
      <c r="P119" s="3943" t="n"/>
      <c r="Q119" s="3807" t="n"/>
      <c r="R119" s="3807" t="n"/>
      <c r="S119" s="3807" t="n"/>
      <c r="T119" s="3807" t="n"/>
      <c r="U119" s="3807" t="n"/>
      <c r="V119" s="3807" t="n"/>
      <c r="W119" s="3807" t="n"/>
      <c r="X119" s="3807" t="n"/>
      <c r="Y119" s="3807" t="n"/>
      <c r="Z119" s="3807" t="n"/>
      <c r="AA119" s="3807" t="n"/>
      <c r="AB119" s="3943" t="n"/>
      <c r="AC119" s="3807" t="n"/>
      <c r="AD119" s="3807" t="n"/>
      <c r="AE119" s="3807" t="n"/>
      <c r="AF119" s="3807" t="n"/>
      <c r="AG119" s="3807" t="n"/>
      <c r="AH119" s="3807" t="n"/>
      <c r="AI119" s="3807" t="n"/>
      <c r="AJ119" s="3807" t="n"/>
      <c r="AK119" s="3807" t="n"/>
      <c r="AL119" s="3807" t="n"/>
      <c r="AM119" s="3807" t="n"/>
      <c r="AN119" s="3943" t="n"/>
      <c r="AO119" s="3807" t="n"/>
      <c r="AP119" s="3807" t="n"/>
      <c r="AQ119" s="3807" t="n"/>
      <c r="AR119" s="3807" t="n"/>
      <c r="AS119" s="3807" t="n"/>
      <c r="AT119" s="3944" t="n"/>
      <c r="AU119" s="3806">
        <f>SUM(E119:P119)</f>
        <v/>
      </c>
      <c r="AV119" s="3806">
        <f>SUM(Q119:AB119)</f>
        <v/>
      </c>
      <c r="AW119" s="3807">
        <f>SUM(AC119:AN119)</f>
        <v/>
      </c>
      <c r="AX119" s="3807">
        <f>SUM(AG119:AR119)</f>
        <v/>
      </c>
      <c r="AY119" s="3807">
        <f>SUM(AI119:AT119)</f>
        <v/>
      </c>
      <c r="AZ119" s="3723" t="n"/>
      <c r="BA119" s="3786" t="n"/>
    </row>
    <row r="120" ht="3" customFormat="1" customHeight="1" s="3890">
      <c r="A120" s="3739" t="n"/>
      <c r="B120" s="3770" t="n"/>
      <c r="C120" s="3892" t="n"/>
      <c r="D120" s="3893" t="n"/>
      <c r="E120" s="3895" t="n"/>
      <c r="F120" s="3895" t="n"/>
      <c r="G120" s="3895" t="n"/>
      <c r="H120" s="3895" t="n"/>
      <c r="I120" s="3895" t="n"/>
      <c r="J120" s="3895" t="n"/>
      <c r="K120" s="3895" t="n"/>
      <c r="L120" s="3895" t="n"/>
      <c r="M120" s="3895" t="n"/>
      <c r="N120" s="3895" t="n"/>
      <c r="O120" s="3895" t="n"/>
      <c r="P120" s="3971" t="n"/>
      <c r="Q120" s="3895" t="n"/>
      <c r="R120" s="3895" t="n"/>
      <c r="S120" s="3895" t="n"/>
      <c r="T120" s="3895" t="n"/>
      <c r="U120" s="3895" t="n"/>
      <c r="V120" s="3895" t="n"/>
      <c r="W120" s="3895" t="n"/>
      <c r="X120" s="3895" t="n"/>
      <c r="Y120" s="3895" t="n"/>
      <c r="Z120" s="3895" t="n"/>
      <c r="AA120" s="3895" t="n"/>
      <c r="AB120" s="3971" t="n"/>
      <c r="AC120" s="3895" t="n"/>
      <c r="AD120" s="3895" t="n"/>
      <c r="AE120" s="3895" t="n"/>
      <c r="AF120" s="3895" t="n"/>
      <c r="AG120" s="3895" t="n"/>
      <c r="AH120" s="3895" t="n"/>
      <c r="AI120" s="3895" t="n"/>
      <c r="AJ120" s="3895" t="n"/>
      <c r="AK120" s="3895" t="n"/>
      <c r="AL120" s="3895" t="n"/>
      <c r="AM120" s="3895" t="n"/>
      <c r="AN120" s="3971" t="n"/>
      <c r="AO120" s="3895" t="n"/>
      <c r="AP120" s="3895" t="n"/>
      <c r="AQ120" s="3895" t="n"/>
      <c r="AR120" s="3895" t="n"/>
      <c r="AS120" s="3895" t="n"/>
      <c r="AT120" s="3972" t="n"/>
      <c r="AU120" s="3894" t="n"/>
      <c r="AV120" s="3894" t="n"/>
      <c r="AW120" s="3895" t="n"/>
      <c r="AX120" s="3895" t="n"/>
      <c r="AY120" s="3895" t="n"/>
      <c r="AZ120" s="3877" t="n"/>
      <c r="BA120" s="3896" t="n"/>
      <c r="BB120" s="3973" t="n"/>
    </row>
    <row r="121" ht="39.95" customHeight="1" s="3710">
      <c r="B121" s="3770" t="n"/>
      <c r="BA121" s="3898" t="n"/>
    </row>
    <row r="122" ht="15" customHeight="1" s="3710">
      <c r="B122" s="3770" t="n"/>
      <c r="BA122" s="3898" t="n"/>
    </row>
    <row r="123" ht="11.25" customHeight="1" s="3710">
      <c r="B123" s="3770" t="n"/>
    </row>
    <row r="124" ht="11.25" customHeight="1" s="3710">
      <c r="B124" s="3770" t="n"/>
    </row>
    <row r="125" ht="11.25" customHeight="1" s="3710">
      <c r="B125" s="3770" t="n"/>
    </row>
    <row r="126" ht="11.25" customHeight="1" s="3710">
      <c r="B126" s="3770" t="n"/>
    </row>
    <row r="127" ht="11.25" customHeight="1" s="3710">
      <c r="B127" s="3770" t="n"/>
    </row>
    <row r="128" ht="11.25" customHeight="1" s="3710">
      <c r="B128" s="3770" t="n"/>
    </row>
    <row r="129" ht="11.25" customHeight="1" s="3710">
      <c r="B129" s="3770" t="n"/>
    </row>
    <row r="130" ht="11.25" customHeight="1" s="3710">
      <c r="B130" s="3770" t="n"/>
    </row>
    <row r="131" ht="11.25" customHeight="1" s="3710">
      <c r="B131" s="3770" t="n"/>
    </row>
    <row r="132" ht="11.25" customHeight="1" s="3710">
      <c r="B132" s="3770" t="n"/>
    </row>
    <row r="133" ht="11.25" customHeight="1" s="3710">
      <c r="B133" s="3770" t="n"/>
    </row>
    <row r="134" ht="11.25" customHeight="1" s="3710">
      <c r="B134" s="3770" t="n"/>
    </row>
    <row r="135" ht="11.25" customHeight="1" s="3710">
      <c r="B135" s="3770" t="n"/>
    </row>
    <row r="136" ht="11.25" customHeight="1" s="3710">
      <c r="B136" s="3770" t="n"/>
    </row>
    <row r="137" ht="11.25" customHeight="1" s="3710">
      <c r="B137" s="3770" t="n"/>
    </row>
    <row r="138" ht="11.25" customHeight="1" s="3710">
      <c r="B138" s="3770" t="n"/>
    </row>
    <row r="139" ht="11.25" customHeight="1" s="3710">
      <c r="B139" s="3770" t="n"/>
    </row>
  </sheetData>
  <printOptions horizontalCentered="0" verticalCentered="0" headings="0" gridLines="0" gridLinesSet="1"/>
  <pageMargins left="0.7" right="0.7" top="0.75" bottom="0.75" header="0.511811023622047" footer="0.3"/>
  <pageSetup orientation="portrait" paperSize="1" scale="100" fitToHeight="1" fitToWidth="1" pageOrder="downThenOver" blackAndWhite="0" draft="0" horizontalDpi="300" verticalDpi="300" copies="1"/>
  <headerFooter differentOddEven="0" differentFirst="0">
    <oddHeader/>
    <oddFooter>&amp;C&amp;"Arial,Bold"&amp;7 Document Classification: KPMG Confidential</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filterMode="0">
    <tabColor rgb="FF000000"/>
    <outlinePr summaryBelow="1" summaryRight="1"/>
    <pageSetUpPr fitToPage="0"/>
  </sheetPr>
  <dimension ref="A1:A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859375" defaultRowHeight="11.25" customHeight="0" zeroHeight="0" outlineLevelRow="0"/>
  <cols>
    <col width="8.859999999999999" customWidth="1" style="3974" min="1" max="16384"/>
  </cols>
  <sheetData/>
  <printOptions horizontalCentered="0" verticalCentered="0" headings="0" gridLines="0" gridLinesSet="1"/>
  <pageMargins left="0.7" right="0.7" top="0.75" bottom="0.75" header="0.511811023622047" footer="0.3"/>
  <pageSetup orientation="portrait" paperSize="1" scale="100" fitToHeight="1" fitToWidth="1" pageOrder="downThenOver" blackAndWhite="0" draft="0" horizontalDpi="300" verticalDpi="300" copies="1"/>
  <headerFooter differentOddEven="0" differentFirst="0">
    <oddHeader/>
    <oddFooter>&amp;C&amp;"Arial,Bold"&amp;7 Document Classification: KPMG Confidential</oddFooter>
    <evenHeader/>
    <evenFooter/>
    <firstHeader/>
    <firstFooter/>
  </headerFooter>
</worksheet>
</file>

<file path=xl/worksheets/sheet8.xml><?xml version="1.0" encoding="utf-8"?>
<worksheet xmlns="http://schemas.openxmlformats.org/spreadsheetml/2006/main">
  <sheetPr filterMode="0">
    <outlinePr summaryBelow="1" summaryRight="1"/>
    <pageSetUpPr fitToPage="0"/>
  </sheetPr>
  <dimension ref="A1:GB57"/>
  <sheetViews>
    <sheetView showFormulas="0" showGridLines="0" showRowColHeaders="1" showZeros="1" rightToLeft="0" tabSelected="0" showOutlineSymbols="1" defaultGridColor="1" view="normal" topLeftCell="A1" colorId="64" zoomScale="100" zoomScaleNormal="100" zoomScalePageLayoutView="100" workbookViewId="0">
      <pane xSplit="4" ySplit="9" topLeftCell="E15" activePane="bottomRight" state="frozen"/>
      <selection pane="topLeft" activeCell="A1" activeCellId="0" sqref="A1"/>
      <selection pane="topRight" activeCell="E1" activeCellId="0" sqref="E1"/>
      <selection pane="bottomLeft" activeCell="A15" activeCellId="0" sqref="A15"/>
      <selection pane="bottomRight" activeCell="A1" activeCellId="0" sqref="A1"/>
    </sheetView>
  </sheetViews>
  <sheetFormatPr baseColWidth="8" defaultColWidth="7.859375" defaultRowHeight="12" customHeight="1" zeroHeight="0" outlineLevelRow="2"/>
  <cols>
    <col width="3.57" customWidth="1" style="3739" min="1" max="1"/>
    <col width="1.57" customWidth="1" style="3740" min="2" max="2"/>
    <col width="28.14" customWidth="1" style="3975" min="3" max="3"/>
    <col width="3.15" customWidth="1" style="3975" min="4" max="4"/>
    <col width="8.710000000000001" customWidth="1" style="3975" min="5" max="7"/>
    <col hidden="1" outlineLevel="1" width="8.710000000000001" customWidth="1" style="3975" min="8" max="8"/>
    <col width="8.710000000000001" customWidth="1" style="3975" min="9" max="9"/>
    <col width="1.57" customWidth="1" style="3976" min="10" max="10"/>
    <col width="5.29" customWidth="1" style="3977" min="11" max="11"/>
    <col width="1.57" customWidth="1" style="3975" min="12" max="12"/>
    <col width="73.14" customWidth="1" style="3978" min="13" max="13"/>
    <col width="7.86" customWidth="1" style="3975" min="14" max="16384"/>
  </cols>
  <sheetData>
    <row r="1" ht="22.05" customFormat="1" customHeight="1" s="3743">
      <c r="A1" s="3744" t="n"/>
      <c r="B1" s="3745" t="inlineStr">
        <is>
          <t>Project Name</t>
        </is>
      </c>
      <c r="J1" s="3976" t="n"/>
      <c r="K1" s="3979" t="n"/>
      <c r="M1" s="3902" t="n"/>
    </row>
    <row r="2" ht="12" customFormat="1" customHeight="1" s="3743">
      <c r="A2" s="3744" t="n"/>
      <c r="B2" s="3748">
        <f>C7</f>
        <v/>
      </c>
      <c r="J2" s="3976" t="n"/>
      <c r="K2" s="3979" t="n"/>
      <c r="M2" s="3902" t="n"/>
    </row>
    <row r="3" ht="12" customFormat="1" customHeight="1" s="3743">
      <c r="A3" s="3744" t="n"/>
      <c r="B3" s="3750" t="inlineStr">
        <is>
          <t>Source: TBD</t>
        </is>
      </c>
      <c r="J3" s="3976" t="n"/>
      <c r="K3" s="3979" t="n"/>
      <c r="M3" s="3902" t="n"/>
    </row>
    <row r="4" ht="12" customFormat="1" customHeight="1" s="3740">
      <c r="A4" s="3739" t="n"/>
      <c r="B4" s="3751" t="inlineStr">
        <is>
          <t>WORKING DRAFT</t>
        </is>
      </c>
      <c r="C4" s="3723" t="n"/>
      <c r="D4" s="3723" t="n"/>
      <c r="E4" s="3723" t="n"/>
      <c r="F4" s="3723" t="n"/>
      <c r="G4" s="3723" t="n"/>
      <c r="H4" s="3723" t="n"/>
      <c r="I4" s="3723" t="n"/>
      <c r="J4" s="3976" t="n"/>
      <c r="K4" s="3980" t="n"/>
      <c r="L4" s="3723" t="n"/>
      <c r="M4" s="3981" t="n"/>
      <c r="N4" s="3723" t="n"/>
      <c r="O4" s="3723" t="n"/>
      <c r="P4" s="3723" t="n"/>
      <c r="Q4" s="3723" t="n"/>
      <c r="R4" s="3723" t="n"/>
      <c r="S4" s="3723" t="n"/>
      <c r="T4" s="3723" t="n"/>
      <c r="U4" s="3723" t="n"/>
      <c r="V4" s="3723" t="n"/>
      <c r="W4" s="3723" t="n"/>
      <c r="X4" s="3723" t="n"/>
      <c r="Y4" s="3723" t="n"/>
      <c r="Z4" s="3723" t="n"/>
      <c r="AA4" s="3723" t="n"/>
      <c r="AB4" s="3723" t="n"/>
      <c r="AC4" s="3723" t="n"/>
      <c r="AD4" s="3723" t="n"/>
      <c r="AE4" s="3723" t="n"/>
      <c r="AF4" s="3723" t="n"/>
      <c r="AG4" s="3723" t="n"/>
    </row>
    <row r="5" ht="12" customHeight="1" s="3710">
      <c r="B5" s="3753" t="n"/>
    </row>
    <row r="6" ht="12" customHeight="1" s="3710">
      <c r="B6" s="3753" t="n"/>
    </row>
    <row r="7" ht="19.5" customFormat="1" customHeight="1" s="3975">
      <c r="A7" s="3739" t="n"/>
      <c r="B7" s="3903" t="n"/>
      <c r="C7" s="3982" t="inlineStr">
        <is>
          <t xml:space="preserve">Net cash/(debt) </t>
        </is>
      </c>
      <c r="D7" s="3982" t="n"/>
      <c r="E7" s="3982" t="n"/>
      <c r="F7" s="3982" t="n"/>
      <c r="G7" s="3982" t="n"/>
      <c r="H7" s="3982" t="n"/>
      <c r="I7" s="3982" t="n"/>
      <c r="J7" s="3976" t="n"/>
      <c r="K7" s="3983" t="n"/>
      <c r="M7" s="3984" t="inlineStr">
        <is>
          <t>Comments</t>
        </is>
      </c>
    </row>
    <row r="8" ht="13.8" customHeight="1" s="3710">
      <c r="B8" s="3903" t="n"/>
      <c r="C8" s="3985" t="n"/>
      <c r="D8" s="3985" t="n"/>
      <c r="E8" s="3986" t="inlineStr">
        <is>
          <t>As at</t>
        </is>
      </c>
      <c r="F8" s="3987" t="n"/>
      <c r="G8" s="3987" t="n"/>
      <c r="H8" s="3988" t="n"/>
      <c r="I8" s="3988" t="n"/>
      <c r="K8" s="3989" t="n"/>
      <c r="M8" s="3990" t="n"/>
    </row>
    <row r="9" ht="12" customHeight="1" s="3710">
      <c r="B9" s="3891" t="n"/>
      <c r="C9" s="3991" t="inlineStr">
        <is>
          <t>$'000</t>
        </is>
      </c>
      <c r="D9" s="3991" t="inlineStr">
        <is>
          <t>Ref</t>
        </is>
      </c>
      <c r="E9" s="3992">
        <f>ctl_month_start</f>
        <v/>
      </c>
      <c r="F9" s="3992">
        <f>EDATE(ctl_month_start,1)</f>
        <v/>
      </c>
      <c r="G9" s="3992">
        <f>EDATE(ctl_month_start,2)</f>
        <v/>
      </c>
      <c r="H9" s="3992">
        <f>EDATE(ctl_month_start,3)</f>
        <v/>
      </c>
      <c r="I9" s="3992">
        <f>EDATE(ctl_month_start,4)</f>
        <v/>
      </c>
      <c r="J9" s="3992">
        <f>EDATE(ctl_month_start,5)</f>
        <v/>
      </c>
      <c r="K9" s="3992">
        <f>EDATE(ctl_month_start,6)</f>
        <v/>
      </c>
      <c r="L9" s="3992">
        <f>EDATE(ctl_month_start,7)</f>
        <v/>
      </c>
      <c r="M9" s="3992" t="n"/>
      <c r="N9" s="3992">
        <f>EDATE(ctl_month_start,9)</f>
        <v/>
      </c>
      <c r="O9" s="3992">
        <f>EDATE(ctl_month_start,10)</f>
        <v/>
      </c>
      <c r="P9" s="3992">
        <f>EDATE(ctl_month_start,11)</f>
        <v/>
      </c>
      <c r="Q9" s="3992">
        <f>EDATE(ctl_month_start,12)</f>
        <v/>
      </c>
      <c r="R9" s="3992">
        <f>EDATE(ctl_month_start,13)</f>
        <v/>
      </c>
      <c r="S9" s="3992">
        <f>EDATE(ctl_month_start,14)</f>
        <v/>
      </c>
      <c r="T9" s="3992">
        <f>EDATE(ctl_month_start,15)</f>
        <v/>
      </c>
      <c r="U9" s="3992">
        <f>EDATE(ctl_month_start,16)</f>
        <v/>
      </c>
      <c r="V9" s="3992">
        <f>EDATE(ctl_month_start,17)</f>
        <v/>
      </c>
      <c r="W9" s="3992">
        <f>EDATE(ctl_month_start,18)</f>
        <v/>
      </c>
      <c r="X9" s="3992">
        <f>EDATE(ctl_month_start,19)</f>
        <v/>
      </c>
      <c r="Y9" s="3992">
        <f>EDATE(ctl_month_start,20)</f>
        <v/>
      </c>
      <c r="Z9" s="3992">
        <f>EDATE(ctl_month_start,21)</f>
        <v/>
      </c>
      <c r="AA9" s="3992">
        <f>EDATE(ctl_month_start,22)</f>
        <v/>
      </c>
      <c r="AB9" s="3992">
        <f>EDATE(ctl_month_start,23)</f>
        <v/>
      </c>
      <c r="AC9" s="3992">
        <f>EDATE(ctl_month_start,24)</f>
        <v/>
      </c>
      <c r="AD9" s="3992">
        <f>EDATE(ctl_month_start,25)</f>
        <v/>
      </c>
      <c r="AE9" s="3992">
        <f>EDATE(ctl_month_start,26)</f>
        <v/>
      </c>
      <c r="AF9" s="3992">
        <f>EDATE(ctl_month_start,27)</f>
        <v/>
      </c>
      <c r="AG9" s="3992">
        <f>EDATE(ctl_month_start,28)</f>
        <v/>
      </c>
      <c r="AH9" s="3992">
        <f>EDATE(ctl_month_start,29)</f>
        <v/>
      </c>
      <c r="AI9" s="3992">
        <f>EDATE(ctl_month_start,30)</f>
        <v/>
      </c>
      <c r="AJ9" s="3992">
        <f>EDATE(ctl_month_start,31)</f>
        <v/>
      </c>
      <c r="AK9" s="3992">
        <f>EDATE(ctl_month_start,32)</f>
        <v/>
      </c>
      <c r="AL9" s="3992">
        <f>EDATE(ctl_month_start,33)</f>
        <v/>
      </c>
      <c r="AM9" s="3992">
        <f>EDATE(ctl_month_start,34)</f>
        <v/>
      </c>
      <c r="AN9" s="3992">
        <f>EDATE(ctl_month_start,35)</f>
        <v/>
      </c>
    </row>
    <row r="10" hidden="1" outlineLevel="2" ht="12" customHeight="1" s="3710">
      <c r="B10" s="3891" t="n"/>
      <c r="C10" s="3993" t="inlineStr">
        <is>
          <t>Cash-CAD - operating</t>
        </is>
      </c>
      <c r="D10" s="3993" t="n"/>
      <c r="E10" s="3994" t="n"/>
      <c r="F10" s="3994" t="n"/>
      <c r="G10" s="3994" t="n"/>
      <c r="H10" s="3994" t="n"/>
      <c r="I10" s="3994" t="n"/>
      <c r="K10" s="3995" t="inlineStr">
        <is>
          <t>✓</t>
        </is>
      </c>
      <c r="M10" s="3996" t="n"/>
    </row>
    <row r="11" hidden="1" outlineLevel="2" ht="12" customHeight="1" s="3710">
      <c r="B11" s="3891" t="n"/>
      <c r="C11" s="3993" t="inlineStr">
        <is>
          <t>Cash - operating CAD</t>
        </is>
      </c>
      <c r="D11" s="3993" t="n"/>
      <c r="E11" s="3994" t="n"/>
      <c r="F11" s="3994" t="n"/>
      <c r="G11" s="3994" t="n"/>
      <c r="H11" s="3994" t="n"/>
      <c r="I11" s="3994" t="n"/>
      <c r="K11" s="3995" t="inlineStr">
        <is>
          <t>✓</t>
        </is>
      </c>
      <c r="M11" s="3997" t="n"/>
    </row>
    <row r="12" hidden="1" outlineLevel="2" ht="12" customHeight="1" s="3710">
      <c r="B12" s="3891" t="n"/>
      <c r="C12" s="3993" t="inlineStr">
        <is>
          <t>Cash USD - 079</t>
        </is>
      </c>
      <c r="D12" s="3993" t="n"/>
      <c r="E12" s="3994" t="n"/>
      <c r="F12" s="3994" t="n"/>
      <c r="G12" s="3994" t="n"/>
      <c r="H12" s="3994" t="n"/>
      <c r="I12" s="3994" t="n"/>
      <c r="K12" s="3995" t="inlineStr">
        <is>
          <t>✓</t>
        </is>
      </c>
      <c r="M12" s="3997" t="n"/>
    </row>
    <row r="13" hidden="1" outlineLevel="2" ht="12" customHeight="1" s="3710">
      <c r="B13" s="3891" t="n"/>
      <c r="C13" s="3993" t="inlineStr">
        <is>
          <t>Cash USD - BMO harris 137</t>
        </is>
      </c>
      <c r="D13" s="3998" t="n"/>
      <c r="E13" s="3994" t="n"/>
      <c r="F13" s="3994" t="n"/>
      <c r="G13" s="3994" t="n"/>
      <c r="H13" s="3994" t="n"/>
      <c r="I13" s="3994" t="n"/>
      <c r="K13" s="3995" t="inlineStr">
        <is>
          <t>✓</t>
        </is>
      </c>
      <c r="M13" s="3997" t="n"/>
    </row>
    <row r="14" hidden="1" outlineLevel="2" ht="12" customHeight="1" s="3710">
      <c r="B14" s="3891" t="n"/>
      <c r="C14" s="3999" t="inlineStr">
        <is>
          <t>Cash CAD - 095</t>
        </is>
      </c>
      <c r="D14" s="4000" t="n"/>
      <c r="E14" s="4001" t="n"/>
      <c r="F14" s="4001" t="n"/>
      <c r="G14" s="4001" t="n"/>
      <c r="H14" s="4001" t="n"/>
      <c r="I14" s="4001" t="n"/>
      <c r="K14" s="4002" t="inlineStr">
        <is>
          <t>✓</t>
        </is>
      </c>
      <c r="M14" s="3997" t="n"/>
    </row>
    <row r="15" ht="12" customHeight="1" s="3710">
      <c r="B15" s="3891" t="n"/>
      <c r="C15" s="4003" t="inlineStr">
        <is>
          <t xml:space="preserve">Cash and cash equivalents </t>
        </is>
      </c>
      <c r="D15" s="4004" t="n">
        <v>1</v>
      </c>
      <c r="E15" s="4005" t="n"/>
      <c r="F15" s="4005" t="n"/>
      <c r="G15" s="4005" t="n"/>
      <c r="H15" s="4005" t="n"/>
      <c r="I15" s="4005" t="n"/>
      <c r="K15" s="4006" t="inlineStr">
        <is>
          <t>✓</t>
        </is>
      </c>
      <c r="M15" s="4007" t="n"/>
    </row>
    <row r="16" ht="12" customFormat="1" customHeight="1" s="3975">
      <c r="A16" s="3739" t="n"/>
      <c r="B16" s="3891" t="n"/>
      <c r="C16" s="4008" t="inlineStr">
        <is>
          <t>Finance lease obligations</t>
        </is>
      </c>
      <c r="D16" s="4009">
        <f>+D15+1</f>
        <v/>
      </c>
      <c r="E16" s="4010" t="n"/>
      <c r="F16" s="4010" t="n"/>
      <c r="G16" s="4010" t="n"/>
      <c r="H16" s="4010" t="n"/>
      <c r="I16" s="4010" t="n"/>
      <c r="J16" s="3976" t="n"/>
      <c r="K16" s="4011" t="inlineStr">
        <is>
          <t>✓</t>
        </is>
      </c>
      <c r="M16" s="3997" t="n"/>
    </row>
    <row r="17" hidden="1" outlineLevel="1" ht="12" customHeight="1" s="3710">
      <c r="B17" s="3891" t="n"/>
      <c r="C17" s="4012" t="inlineStr">
        <is>
          <t>Current income tax liability-federal and prov</t>
        </is>
      </c>
      <c r="D17" s="4009" t="inlineStr">
        <is>
          <t>a</t>
        </is>
      </c>
      <c r="E17" s="4010" t="n"/>
      <c r="F17" s="4010" t="n"/>
      <c r="G17" s="4010" t="n"/>
      <c r="H17" s="4010" t="n"/>
      <c r="I17" s="4010" t="n"/>
      <c r="K17" s="4011" t="inlineStr">
        <is>
          <t>✓</t>
        </is>
      </c>
      <c r="M17" s="3997" t="n"/>
    </row>
    <row r="18" hidden="1" outlineLevel="1" ht="12" customHeight="1" s="3710">
      <c r="B18" s="3891" t="n"/>
      <c r="C18" s="4013" t="inlineStr">
        <is>
          <t>Curr income tax liab IFRS adj- IFRS15</t>
        </is>
      </c>
      <c r="D18" s="4014" t="inlineStr">
        <is>
          <t>b</t>
        </is>
      </c>
      <c r="E18" s="4015" t="n"/>
      <c r="F18" s="4015" t="n"/>
      <c r="G18" s="4015" t="n"/>
      <c r="H18" s="4015" t="n"/>
      <c r="I18" s="4015" t="n"/>
      <c r="K18" s="4016" t="inlineStr">
        <is>
          <t>✓</t>
        </is>
      </c>
      <c r="M18" s="3997" t="n"/>
    </row>
    <row r="19" ht="12" customHeight="1" s="3710">
      <c r="B19" s="3891" t="n"/>
      <c r="C19" s="4017" t="inlineStr">
        <is>
          <t xml:space="preserve">Income tax payable </t>
        </is>
      </c>
      <c r="D19" s="4018">
        <f>D16+1</f>
        <v/>
      </c>
      <c r="E19" s="4010" t="n"/>
      <c r="F19" s="4010" t="n"/>
      <c r="G19" s="4010" t="n"/>
      <c r="H19" s="4010" t="n"/>
      <c r="I19" s="4010" t="n"/>
      <c r="K19" s="4011" t="inlineStr">
        <is>
          <t>✓</t>
        </is>
      </c>
      <c r="M19" s="3997" t="n"/>
    </row>
    <row r="20" ht="12" customFormat="1" customHeight="1" s="3975">
      <c r="A20" s="3739" t="n"/>
      <c r="B20" s="3891" t="n"/>
      <c r="C20" s="4008" t="inlineStr">
        <is>
          <t>Deferred compensation payable (SERP)</t>
        </is>
      </c>
      <c r="D20" s="4009">
        <f>+D19+1</f>
        <v/>
      </c>
      <c r="E20" s="4010" t="n"/>
      <c r="F20" s="4010" t="n"/>
      <c r="G20" s="4010" t="n"/>
      <c r="H20" s="4010" t="n"/>
      <c r="I20" s="4010" t="n"/>
      <c r="J20" s="3976" t="n"/>
      <c r="K20" s="4011" t="inlineStr">
        <is>
          <t>✓</t>
        </is>
      </c>
      <c r="M20" s="3997" t="n"/>
    </row>
    <row r="21" hidden="1" outlineLevel="1" ht="12" customHeight="1" s="3710">
      <c r="B21" s="3891" t="n"/>
      <c r="C21" s="4012" t="inlineStr">
        <is>
          <t>Return of cap - co-op payable</t>
        </is>
      </c>
      <c r="D21" s="4009">
        <f>+D20+1</f>
        <v/>
      </c>
      <c r="E21" s="4010" t="n"/>
      <c r="F21" s="4010" t="n"/>
      <c r="G21" s="4010" t="n"/>
      <c r="H21" s="4010" t="n"/>
      <c r="I21" s="4010" t="n"/>
      <c r="K21" s="4011" t="inlineStr">
        <is>
          <t>✓</t>
        </is>
      </c>
      <c r="M21" s="3997" t="n"/>
    </row>
    <row r="22" hidden="1" outlineLevel="1" ht="12" customHeight="1" s="3710">
      <c r="B22" s="3891" t="n"/>
      <c r="C22" s="4013" t="inlineStr">
        <is>
          <t>Return of cap payable - celero</t>
        </is>
      </c>
      <c r="D22" s="4009">
        <f>+D21+1</f>
        <v/>
      </c>
      <c r="E22" s="4015" t="n"/>
      <c r="F22" s="4015" t="n"/>
      <c r="G22" s="4015" t="n"/>
      <c r="H22" s="4015" t="n"/>
      <c r="I22" s="4015" t="n"/>
      <c r="K22" s="4016" t="inlineStr">
        <is>
          <t>✓</t>
        </is>
      </c>
      <c r="M22" s="3997" t="n"/>
    </row>
    <row r="23" ht="12" customHeight="1" s="3710">
      <c r="B23" s="3891" t="n"/>
      <c r="C23" s="4019" t="inlineStr">
        <is>
          <t xml:space="preserve">Shareholder return of capital payable </t>
        </is>
      </c>
      <c r="D23" s="4018">
        <f>+D20+1</f>
        <v/>
      </c>
      <c r="E23" s="4010" t="n"/>
      <c r="F23" s="4010" t="n"/>
      <c r="G23" s="4010" t="n"/>
      <c r="H23" s="4010" t="n"/>
      <c r="I23" s="4010" t="n"/>
      <c r="K23" s="4011" t="inlineStr">
        <is>
          <t>✓</t>
        </is>
      </c>
      <c r="M23" s="3997" t="n"/>
    </row>
    <row r="24" ht="12" customHeight="1" s="3710">
      <c r="B24" s="3891" t="n"/>
      <c r="C24" s="4020" t="inlineStr">
        <is>
          <t xml:space="preserve">Net cash/(debt), reported </t>
        </is>
      </c>
      <c r="D24" s="4020" t="n"/>
      <c r="E24" s="4021" t="n"/>
      <c r="F24" s="4021" t="n"/>
      <c r="G24" s="4021" t="n"/>
      <c r="H24" s="4021" t="n"/>
      <c r="I24" s="4021" t="n"/>
      <c r="K24" s="4022" t="n"/>
      <c r="M24" s="4023" t="n"/>
    </row>
    <row r="25" ht="12" customHeight="1" s="3710">
      <c r="B25" s="3891" t="n"/>
      <c r="C25" s="4024" t="inlineStr">
        <is>
          <t>Adjustments</t>
        </is>
      </c>
      <c r="D25" s="4024" t="n"/>
      <c r="K25" s="4025" t="n"/>
      <c r="M25" s="4026" t="n"/>
    </row>
    <row r="26" hidden="1" outlineLevel="2" ht="12" customHeight="1" s="3710">
      <c r="B26" s="3891" t="n"/>
      <c r="C26" s="4027" t="inlineStr">
        <is>
          <t>Current maturity - prop lease</t>
        </is>
      </c>
      <c r="D26" s="4009" t="inlineStr">
        <is>
          <t>i</t>
        </is>
      </c>
      <c r="E26" s="4010" t="n"/>
      <c r="F26" s="4010" t="n"/>
      <c r="G26" s="4010" t="n"/>
      <c r="H26" s="4010" t="n"/>
      <c r="I26" s="4010" t="n"/>
      <c r="K26" s="4011" t="inlineStr">
        <is>
          <t>✓</t>
        </is>
      </c>
      <c r="M26" s="3997" t="n"/>
    </row>
    <row r="27" hidden="1" outlineLevel="2" ht="12" customHeight="1" s="3710">
      <c r="B27" s="3891" t="n"/>
      <c r="C27" s="4028" t="inlineStr">
        <is>
          <t>Long term - property lease</t>
        </is>
      </c>
      <c r="D27" s="4009" t="inlineStr">
        <is>
          <t>ii</t>
        </is>
      </c>
      <c r="E27" s="4015" t="n"/>
      <c r="F27" s="4015" t="n"/>
      <c r="G27" s="4015" t="n"/>
      <c r="H27" s="4015" t="n"/>
      <c r="I27" s="4015" t="n"/>
      <c r="K27" s="4016" t="inlineStr">
        <is>
          <t>✓</t>
        </is>
      </c>
      <c r="M27" s="3997" t="n"/>
    </row>
    <row r="28" hidden="1" outlineLevel="1" collapsed="1" ht="12" customHeight="1" s="3710">
      <c r="B28" s="3891" t="n"/>
      <c r="C28" s="3993" t="inlineStr">
        <is>
          <t xml:space="preserve">Finance lease obligation - property lease </t>
        </is>
      </c>
      <c r="D28" s="4009" t="inlineStr">
        <is>
          <t>b</t>
        </is>
      </c>
      <c r="E28" s="4010" t="n"/>
      <c r="F28" s="4010" t="n"/>
      <c r="G28" s="4010" t="n"/>
      <c r="H28" s="4010" t="n"/>
      <c r="I28" s="4010" t="n"/>
      <c r="K28" s="4011" t="inlineStr">
        <is>
          <t>✓</t>
        </is>
      </c>
      <c r="M28" s="3997" t="n"/>
    </row>
    <row r="29" hidden="1" outlineLevel="2" ht="12" customHeight="1" s="3710">
      <c r="B29" s="3891" t="n"/>
      <c r="C29" s="4027" t="inlineStr">
        <is>
          <t>Current maturities - finance lease</t>
        </is>
      </c>
      <c r="D29" s="4009" t="inlineStr">
        <is>
          <t>i</t>
        </is>
      </c>
      <c r="E29" s="4010" t="n"/>
      <c r="F29" s="4010" t="n"/>
      <c r="G29" s="4010" t="n"/>
      <c r="H29" s="4010" t="n"/>
      <c r="I29" s="4010" t="n"/>
      <c r="K29" s="4011" t="inlineStr">
        <is>
          <t>✓</t>
        </is>
      </c>
      <c r="M29" s="3997" t="n"/>
    </row>
    <row r="30" hidden="1" outlineLevel="2" ht="12" customHeight="1" s="3710">
      <c r="B30" s="3891" t="n"/>
      <c r="C30" s="4028" t="inlineStr">
        <is>
          <t>Long term - finance lease obligations</t>
        </is>
      </c>
      <c r="D30" s="4009" t="inlineStr">
        <is>
          <t>ii</t>
        </is>
      </c>
      <c r="E30" s="4015" t="n"/>
      <c r="F30" s="4015" t="n"/>
      <c r="G30" s="4015" t="n"/>
      <c r="H30" s="4015" t="n"/>
      <c r="I30" s="4015" t="n"/>
      <c r="K30" s="4011" t="inlineStr">
        <is>
          <t>✓</t>
        </is>
      </c>
      <c r="M30" s="3997" t="n"/>
    </row>
    <row r="31" hidden="1" outlineLevel="1" collapsed="1" ht="12" customHeight="1" s="3710">
      <c r="B31" s="3891" t="n"/>
      <c r="C31" s="3999" t="inlineStr">
        <is>
          <t xml:space="preserve">Finance lease obligation - leased equipment </t>
        </is>
      </c>
      <c r="D31" s="4009" t="inlineStr">
        <is>
          <t>a</t>
        </is>
      </c>
      <c r="E31" s="4015" t="n"/>
      <c r="F31" s="4015" t="n"/>
      <c r="G31" s="4015" t="n"/>
      <c r="H31" s="4015" t="n"/>
      <c r="I31" s="4015" t="n"/>
      <c r="K31" s="4029" t="inlineStr">
        <is>
          <t>✓</t>
        </is>
      </c>
      <c r="M31" s="3997" t="n"/>
    </row>
    <row r="32" ht="12" customHeight="1" s="3710">
      <c r="B32" s="3891" t="n"/>
      <c r="C32" s="4019" t="inlineStr">
        <is>
          <t>Non-resident witholding tax payable</t>
        </is>
      </c>
      <c r="D32" s="4018">
        <f>D23+1</f>
        <v/>
      </c>
      <c r="E32" s="4010" t="n"/>
      <c r="F32" s="4010" t="n"/>
      <c r="G32" s="4010" t="n"/>
      <c r="H32" s="4010" t="n"/>
      <c r="I32" s="4010" t="n"/>
      <c r="K32" s="4011" t="inlineStr">
        <is>
          <t>✓</t>
        </is>
      </c>
      <c r="M32" s="3996" t="n"/>
    </row>
    <row r="33" ht="12" customHeight="1" s="3710">
      <c r="B33" s="3891" t="n"/>
      <c r="C33" s="4030" t="inlineStr">
        <is>
          <t>Adjustments</t>
        </is>
      </c>
      <c r="D33" s="4030" t="n"/>
      <c r="E33" s="4031" t="n"/>
      <c r="F33" s="4031" t="n"/>
      <c r="G33" s="4031" t="n"/>
      <c r="H33" s="4031" t="n"/>
      <c r="I33" s="4031" t="n"/>
      <c r="K33" s="4032" t="n"/>
      <c r="M33" s="4033" t="n"/>
    </row>
    <row r="34" ht="12" customHeight="1" s="3710">
      <c r="B34" s="3891" t="n"/>
      <c r="C34" s="4034" t="inlineStr">
        <is>
          <t>Net cash/(debt), adjusted</t>
        </is>
      </c>
      <c r="D34" s="4034" t="n"/>
      <c r="E34" s="4035" t="n"/>
      <c r="F34" s="4035" t="n"/>
      <c r="G34" s="4035" t="n"/>
      <c r="H34" s="4035" t="n"/>
      <c r="I34" s="4035" t="n"/>
      <c r="J34" s="4036" t="n"/>
      <c r="K34" s="4037" t="n"/>
      <c r="M34" s="4038" t="n"/>
    </row>
    <row r="35" ht="12" customHeight="1" s="3710">
      <c r="B35" s="3891" t="n"/>
      <c r="C35" s="4039" t="n"/>
      <c r="D35" s="4039" t="n"/>
      <c r="E35" s="4040" t="n"/>
      <c r="F35" s="4040" t="n"/>
      <c r="G35" s="4040" t="n"/>
      <c r="H35" s="4040" t="n"/>
      <c r="I35" s="4040" t="n"/>
      <c r="K35" s="4041" t="n"/>
      <c r="M35" s="4042" t="n"/>
    </row>
    <row r="36" hidden="1" outlineLevel="1" ht="12" customFormat="1" customHeight="1" s="4043">
      <c r="A36" s="3820" t="n"/>
      <c r="B36" s="4044" t="n"/>
      <c r="C36" s="4045" t="inlineStr">
        <is>
          <t>Check - Stratified BS</t>
        </is>
      </c>
      <c r="E36" s="4046" t="n"/>
      <c r="F36" s="4046" t="n"/>
      <c r="G36" s="4046" t="n"/>
      <c r="H36" s="4046" t="n"/>
      <c r="I36" s="4046" t="n"/>
      <c r="J36" s="3976" t="n"/>
      <c r="K36" s="4047" t="n"/>
      <c r="M36" s="4048" t="n"/>
    </row>
    <row r="37" hidden="1" outlineLevel="1" ht="12" customFormat="1" customHeight="1" s="4043">
      <c r="A37" s="3820" t="n"/>
      <c r="B37" s="4044" t="n"/>
      <c r="C37" s="4049" t="inlineStr">
        <is>
          <t>Variance</t>
        </is>
      </c>
      <c r="D37" s="4049" t="n"/>
      <c r="E37" s="4050" t="n"/>
      <c r="F37" s="4050" t="n"/>
      <c r="G37" s="4050" t="n"/>
      <c r="H37" s="4050" t="n"/>
      <c r="I37" s="4050" t="n"/>
      <c r="J37" s="3976" t="n"/>
      <c r="K37" s="4047" t="n"/>
      <c r="M37" s="4048" t="n"/>
    </row>
    <row r="38" ht="13.8" customFormat="1" customHeight="1" s="3975">
      <c r="A38" s="3739" t="n"/>
      <c r="B38" s="3891" t="n"/>
      <c r="J38" s="3976" t="n"/>
      <c r="K38" s="3977" t="n"/>
      <c r="M38" s="3978" t="n"/>
    </row>
    <row r="39" ht="13.8" customHeight="1" s="3710">
      <c r="B39" s="3891" t="n"/>
    </row>
    <row r="40" ht="13.8" customHeight="1" s="3710">
      <c r="B40" s="3891" t="n"/>
    </row>
    <row r="41" ht="13.8" customHeight="1" s="3710">
      <c r="B41" s="3891" t="n"/>
    </row>
    <row r="42" ht="13.8" customHeight="1" s="3710">
      <c r="B42" s="3891" t="n"/>
    </row>
    <row r="43" ht="13.8" customHeight="1" s="3710">
      <c r="B43" s="3891" t="n"/>
    </row>
    <row r="44" ht="12" customHeight="1" s="3710">
      <c r="B44" s="3891" t="n"/>
    </row>
    <row r="45" ht="12" customHeight="1" s="3710">
      <c r="B45" s="3891" t="n"/>
    </row>
    <row r="46" ht="12" customHeight="1" s="3710">
      <c r="B46" s="3891" t="n"/>
    </row>
    <row r="47" ht="12" customHeight="1" s="3710">
      <c r="B47" s="3891" t="n"/>
    </row>
    <row r="48" ht="12" customHeight="1" s="3710">
      <c r="B48" s="3891" t="n"/>
    </row>
    <row r="49" ht="12" customHeight="1" s="3710">
      <c r="B49" s="3891" t="n"/>
    </row>
    <row r="50" ht="12" customHeight="1" s="3710">
      <c r="B50" s="3891" t="n"/>
    </row>
    <row r="51" ht="12" customHeight="1" s="3710">
      <c r="B51" s="3891" t="n"/>
    </row>
    <row r="52" ht="12" customHeight="1" s="3710">
      <c r="B52" s="3891" t="n"/>
    </row>
    <row r="53" ht="12" customHeight="1" s="3710">
      <c r="B53" s="3891" t="n"/>
    </row>
    <row r="54" ht="12" customHeight="1" s="3710">
      <c r="B54" s="3891" t="n"/>
    </row>
    <row r="55" ht="12" customHeight="1" s="3710">
      <c r="B55" s="3891" t="n"/>
    </row>
    <row r="56" ht="12" customHeight="1" s="3710">
      <c r="B56" s="3891" t="n"/>
    </row>
    <row r="57" ht="12" customHeight="1" s="3710">
      <c r="B57" s="389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000000"/>
    <outlinePr summaryBelow="1" summaryRight="1"/>
    <pageSetUpPr fitToPage="0"/>
  </sheetPr>
  <dimension ref="A1:A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859375" defaultRowHeight="11.25" customHeight="0" zeroHeight="0" outlineLevelRow="0"/>
  <cols>
    <col width="8.859999999999999" customWidth="1" style="3974" min="1" max="16384"/>
  </cols>
  <sheetData/>
  <printOptions horizontalCentered="0" verticalCentered="0" headings="0" gridLines="0" gridLinesSet="1"/>
  <pageMargins left="0.7" right="0.7" top="0.75" bottom="0.75" header="0.511811023622047" footer="0.3"/>
  <pageSetup orientation="portrait" paperSize="1" scale="100" fitToHeight="1" fitToWidth="1" pageOrder="downThenOver" blackAndWhite="0" draft="0" horizontalDpi="300" verticalDpi="300" copies="1"/>
  <headerFooter differentOddEven="0" differentFirst="0">
    <oddHeader/>
    <oddFooter>&amp;C&amp;"Arial,Bold"&amp;7 Document Classification: KPMG Confidential</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0"/>
  </sheetPr>
  <dimension ref="A1:GC365"/>
  <sheetViews>
    <sheetView showFormulas="0" showGridLines="0" showRowColHeaders="1" showZeros="1" rightToLeft="0" tabSelected="0" showOutlineSymbols="1" defaultGridColor="1" view="normal" topLeftCell="A1" colorId="64" zoomScale="100" zoomScaleNormal="100" zoomScalePageLayoutView="100" workbookViewId="0">
      <pane xSplit="5" ySplit="9" topLeftCell="AV117" activePane="bottomRight" state="frozen"/>
      <selection pane="topLeft" activeCell="A1" activeCellId="0" sqref="A1"/>
      <selection pane="topRight" activeCell="AV1" activeCellId="0" sqref="AV1"/>
      <selection pane="bottomLeft" activeCell="A117" activeCellId="0" sqref="A117"/>
      <selection pane="bottomRight" activeCell="A1" activeCellId="0" sqref="A1"/>
    </sheetView>
  </sheetViews>
  <sheetFormatPr baseColWidth="8" defaultColWidth="8.6796875" defaultRowHeight="15" customHeight="0" zeroHeight="0" outlineLevelRow="3"/>
  <cols>
    <col width="3.15" customWidth="1" style="4051" min="1" max="1"/>
    <col width="1.42" customWidth="1" style="4052" min="2" max="2"/>
    <col width="38.14" customWidth="1" style="3976" min="3" max="3"/>
    <col hidden="1" outlineLevel="2" width="5.71" customWidth="1" style="4052" min="4" max="4"/>
    <col hidden="1" outlineLevel="2" width="40.71" customWidth="1" style="4052" min="5" max="5"/>
    <col hidden="1" outlineLevel="1" collapsed="1" width="6.29" customWidth="1" style="3976" min="6" max="6"/>
    <col hidden="1" outlineLevel="1" width="6.29" customWidth="1" style="3976" min="7" max="44"/>
    <col hidden="1" outlineLevel="1" width="6.29" customWidth="1" style="3976" min="45" max="45"/>
    <col hidden="1" outlineLevel="1" width="6.29" customWidth="1" style="3976" min="46" max="47"/>
    <col width="8.15" customWidth="1" style="3976" min="48" max="50"/>
    <col hidden="1" outlineLevel="1" width="8.15" customWidth="1" style="3976" min="51" max="51"/>
    <col width="8.15" customWidth="1" style="3976" min="52" max="52"/>
    <col width="1.42" customWidth="1" style="3976" min="53" max="53"/>
    <col hidden="1" outlineLevel="1" width="14.42" customWidth="1" style="3976" min="54" max="54"/>
    <col hidden="1" outlineLevel="1" width="6.71" customWidth="1" style="3976" min="55" max="65"/>
    <col hidden="1" outlineLevel="1" width="14.42" customWidth="1" style="3976" min="66" max="66"/>
    <col hidden="1" outlineLevel="1" width="6.71" customWidth="1" style="3976" min="67" max="77"/>
    <col hidden="1" outlineLevel="1" width="14.42" customWidth="1" style="3976" min="78" max="78"/>
    <col hidden="1" outlineLevel="1" width="6.71" customWidth="1" style="3976" min="79" max="89"/>
    <col hidden="1" outlineLevel="1" width="14.42" customWidth="1" style="3976" min="90" max="90"/>
    <col hidden="1" outlineLevel="1" width="6.71" customWidth="1" style="3976" min="91" max="92"/>
    <col hidden="1" outlineLevel="1" width="6.71" customWidth="1" style="3976" min="93" max="93"/>
    <col hidden="1" outlineLevel="1" width="6.71" customWidth="1" style="3976" min="94" max="95"/>
    <col width="8.15" customWidth="1" style="3976" min="96" max="98"/>
    <col hidden="1" outlineLevel="1" width="8.15" customWidth="1" style="3976" min="99" max="99"/>
    <col width="8.15" customWidth="1" style="3976" min="100" max="100"/>
    <col width="1.57" customWidth="1" style="3976" min="101" max="101"/>
    <col hidden="1" outlineLevel="1" width="7.15" customWidth="1" style="3976" min="102" max="102"/>
    <col width="1.57" customWidth="1" style="3976" min="103" max="103"/>
  </cols>
  <sheetData>
    <row r="1" ht="22.05" customHeight="1" s="3710">
      <c r="B1" s="4053" t="inlineStr">
        <is>
          <t>Project Name</t>
        </is>
      </c>
      <c r="F1" s="4054" t="n"/>
      <c r="G1" s="4054" t="n"/>
      <c r="H1" s="4054" t="n"/>
      <c r="I1" s="4054" t="n"/>
      <c r="J1" s="4054" t="n"/>
      <c r="K1" s="4054" t="n"/>
      <c r="L1" s="4054" t="n"/>
      <c r="M1" s="4054" t="n"/>
      <c r="N1" s="4054" t="n"/>
      <c r="O1" s="4054" t="n"/>
      <c r="P1" s="4054" t="n"/>
      <c r="Q1" s="4054" t="n"/>
    </row>
    <row r="2" ht="15" customHeight="1" s="3710">
      <c r="B2" s="4055">
        <f>C7</f>
        <v/>
      </c>
      <c r="F2" s="4054" t="n"/>
      <c r="G2" s="4054" t="n"/>
      <c r="H2" s="4054" t="n"/>
      <c r="I2" s="4054" t="n"/>
      <c r="J2" s="4054" t="n"/>
      <c r="K2" s="4054" t="n"/>
      <c r="L2" s="4054" t="n"/>
      <c r="M2" s="4054" t="n"/>
      <c r="N2" s="4054" t="n"/>
      <c r="O2" s="4054" t="n"/>
      <c r="P2" s="4054" t="n"/>
      <c r="Q2" s="4054" t="n"/>
    </row>
    <row r="3" ht="15" customHeight="1" s="3710">
      <c r="B3" s="4056" t="inlineStr">
        <is>
          <t>Source: TBD</t>
        </is>
      </c>
      <c r="F3" s="4054" t="n"/>
      <c r="G3" s="4054" t="n"/>
      <c r="H3" s="4054" t="n"/>
      <c r="I3" s="4054" t="n"/>
      <c r="J3" s="4054" t="n"/>
      <c r="K3" s="4054" t="n"/>
      <c r="L3" s="4054" t="n"/>
      <c r="M3" s="4054" t="n"/>
      <c r="N3" s="4054" t="n"/>
      <c r="O3" s="4054" t="n"/>
      <c r="P3" s="4054" t="n"/>
      <c r="Q3" s="4054" t="n"/>
    </row>
    <row r="4" ht="15" customHeight="1" s="3710">
      <c r="B4" s="4057" t="inlineStr">
        <is>
          <t>WORKING DRAFT</t>
        </is>
      </c>
      <c r="F4" s="4054" t="n"/>
      <c r="G4" s="4054" t="n"/>
      <c r="H4" s="4054" t="n"/>
      <c r="I4" s="4054" t="n"/>
      <c r="AX4" s="4058" t="n"/>
    </row>
    <row r="5" ht="15" customFormat="1" customHeight="1" s="3737">
      <c r="A5" s="4059" t="n"/>
      <c r="B5" s="4060" t="n"/>
      <c r="D5" s="4060" t="n"/>
      <c r="E5" s="4060" t="n"/>
      <c r="AS5" s="3737" t="n"/>
      <c r="BA5" s="3737" t="n"/>
      <c r="CO5" s="3737" t="n"/>
      <c r="CW5" s="3737" t="n"/>
      <c r="CX5" s="3737" t="n"/>
    </row>
    <row r="6" ht="15" customFormat="1" customHeight="1" s="3737">
      <c r="A6" s="4059" t="n"/>
      <c r="B6" s="4060" t="n"/>
      <c r="D6" s="4060" t="n"/>
      <c r="E6" s="4060" t="n"/>
      <c r="F6" s="4061" t="n"/>
      <c r="G6" s="4061" t="n"/>
      <c r="H6" s="4061" t="n"/>
      <c r="I6" s="4061" t="n"/>
      <c r="J6" s="4061" t="n"/>
      <c r="K6" s="4061" t="n"/>
      <c r="L6" s="4061" t="n"/>
      <c r="M6" s="4061" t="n"/>
      <c r="N6" s="4061" t="n"/>
      <c r="O6" s="4061" t="n"/>
      <c r="P6" s="4061" t="n"/>
      <c r="Q6" s="4061" t="n"/>
      <c r="R6" s="4061" t="n"/>
      <c r="S6" s="4061" t="n"/>
      <c r="T6" s="4061" t="n"/>
      <c r="U6" s="4061" t="n"/>
      <c r="V6" s="4061" t="n"/>
      <c r="W6" s="4061" t="n"/>
      <c r="X6" s="4061" t="n"/>
      <c r="Y6" s="4061" t="n"/>
      <c r="Z6" s="4061" t="n"/>
      <c r="AA6" s="4061" t="n"/>
      <c r="AB6" s="4061" t="n"/>
      <c r="AC6" s="4061" t="n"/>
      <c r="AD6" s="4061" t="n"/>
      <c r="AE6" s="4061" t="n"/>
      <c r="AF6" s="4061" t="n"/>
      <c r="AG6" s="4061" t="n"/>
      <c r="AH6" s="4061" t="n"/>
      <c r="AI6" s="4061" t="n"/>
      <c r="AJ6" s="4061" t="n"/>
      <c r="AK6" s="4061" t="n"/>
      <c r="AL6" s="4061" t="n"/>
      <c r="AM6" s="4061" t="n"/>
      <c r="AN6" s="4061" t="n"/>
      <c r="AO6" s="4061" t="n"/>
      <c r="AP6" s="4061" t="n"/>
      <c r="AQ6" s="4061" t="n"/>
      <c r="AR6" s="4061" t="n"/>
      <c r="AS6" s="4061" t="n"/>
      <c r="AT6" s="4061" t="n"/>
      <c r="AU6" s="4061" t="n"/>
      <c r="AV6" s="4061" t="n"/>
      <c r="AW6" s="4061" t="n"/>
      <c r="AX6" s="4061" t="n"/>
      <c r="AY6" s="4062" t="n"/>
      <c r="AZ6" s="4062" t="n"/>
      <c r="BA6" s="3737" t="n"/>
      <c r="CO6" s="3737" t="n"/>
      <c r="CW6" s="3737" t="n"/>
      <c r="CX6" s="4061" t="n"/>
    </row>
    <row r="7" ht="19.5" customFormat="1" customHeight="1" s="3737">
      <c r="A7" s="4059" t="n"/>
      <c r="B7" s="4060" t="n"/>
      <c r="C7" s="4063" t="inlineStr">
        <is>
          <t>Income statement</t>
        </is>
      </c>
      <c r="D7" s="4063" t="n"/>
      <c r="E7" s="4063" t="n"/>
      <c r="F7" s="4064" t="n"/>
      <c r="G7" s="4064" t="n"/>
      <c r="H7" s="4064" t="n"/>
      <c r="I7" s="4064" t="n"/>
      <c r="J7" s="4064" t="n"/>
      <c r="K7" s="4064" t="n"/>
      <c r="L7" s="4064" t="n"/>
      <c r="M7" s="4064" t="n"/>
      <c r="N7" s="4064" t="n"/>
      <c r="O7" s="4064" t="n"/>
      <c r="P7" s="4064" t="n"/>
      <c r="Q7" s="4064" t="n"/>
      <c r="R7" s="4064" t="n"/>
      <c r="S7" s="4064" t="n"/>
      <c r="T7" s="4064" t="n"/>
      <c r="U7" s="4064" t="n"/>
      <c r="V7" s="4064" t="n"/>
      <c r="W7" s="4064" t="n"/>
      <c r="X7" s="4064" t="n"/>
      <c r="Y7" s="4064" t="n"/>
      <c r="Z7" s="4064" t="n"/>
      <c r="AA7" s="4064" t="n"/>
      <c r="AB7" s="4064" t="n"/>
      <c r="AC7" s="4064" t="n"/>
      <c r="AD7" s="4064" t="n"/>
      <c r="AE7" s="4064" t="n"/>
      <c r="AF7" s="4064" t="n"/>
      <c r="AG7" s="4064" t="n"/>
      <c r="AH7" s="4064" t="n"/>
      <c r="AI7" s="4064" t="n"/>
      <c r="AJ7" s="4064" t="n"/>
      <c r="AK7" s="4064" t="n"/>
      <c r="AL7" s="4064" t="n"/>
      <c r="AM7" s="4064" t="n"/>
      <c r="AN7" s="4064" t="n"/>
      <c r="AO7" s="4064" t="n"/>
      <c r="AP7" s="4064" t="n"/>
      <c r="AQ7" s="4064" t="n"/>
      <c r="AR7" s="4064" t="n"/>
      <c r="AS7" s="4064" t="n"/>
      <c r="AT7" s="4064" t="n"/>
      <c r="AU7" s="4064" t="n"/>
      <c r="AV7" s="4064" t="n"/>
      <c r="AW7" s="4064" t="n"/>
      <c r="AX7" s="4064" t="n"/>
      <c r="AY7" s="4064" t="n"/>
      <c r="AZ7" s="4064" t="n"/>
      <c r="BB7" s="4064" t="n"/>
      <c r="BC7" s="4064" t="n"/>
      <c r="BD7" s="4064" t="n"/>
      <c r="BE7" s="4064" t="n"/>
      <c r="BF7" s="4064" t="n"/>
      <c r="BG7" s="4064" t="n"/>
      <c r="BH7" s="4064" t="n"/>
      <c r="BI7" s="4064" t="n"/>
      <c r="BJ7" s="4064" t="n"/>
      <c r="BK7" s="4064" t="n"/>
      <c r="BL7" s="4064" t="n"/>
      <c r="BM7" s="4064" t="n"/>
      <c r="BN7" s="4064" t="n"/>
      <c r="BO7" s="4064" t="n"/>
      <c r="BP7" s="4064" t="n"/>
      <c r="BQ7" s="4064" t="n"/>
      <c r="BR7" s="4064" t="n"/>
      <c r="BS7" s="4064" t="n"/>
      <c r="BT7" s="4064" t="n"/>
      <c r="BU7" s="4064" t="n"/>
      <c r="BV7" s="4064" t="n"/>
      <c r="BW7" s="4064" t="n"/>
      <c r="BX7" s="4064" t="n"/>
      <c r="BY7" s="4064" t="n"/>
      <c r="BZ7" s="4064" t="n"/>
      <c r="CA7" s="4064" t="n"/>
      <c r="CB7" s="4064" t="n"/>
      <c r="CC7" s="4064" t="n"/>
      <c r="CD7" s="4064" t="n"/>
      <c r="CE7" s="4064" t="n"/>
      <c r="CF7" s="4064" t="n"/>
      <c r="CG7" s="4064" t="n"/>
      <c r="CH7" s="4064" t="n"/>
      <c r="CI7" s="4064" t="n"/>
      <c r="CJ7" s="4064" t="n"/>
      <c r="CK7" s="4064" t="n"/>
      <c r="CL7" s="4064" t="n"/>
      <c r="CM7" s="4064" t="n"/>
      <c r="CN7" s="4064" t="n"/>
      <c r="CO7" s="4064" t="n"/>
      <c r="CP7" s="4064" t="n"/>
      <c r="CQ7" s="4064" t="n"/>
      <c r="CR7" s="4064" t="n"/>
      <c r="CS7" s="4064" t="n"/>
      <c r="CT7" s="4064" t="n"/>
      <c r="CU7" s="4064" t="n"/>
      <c r="CV7" s="4064" t="n"/>
      <c r="CX7" s="4064" t="n"/>
    </row>
    <row r="8" hidden="1" outlineLevel="1" ht="15" customFormat="1" customHeight="1" s="4065">
      <c r="A8" s="4066" t="n"/>
      <c r="B8" s="4067" t="n"/>
      <c r="C8" s="4068" t="n"/>
      <c r="D8" s="4068" t="n"/>
      <c r="E8" s="4068" t="n"/>
      <c r="F8" s="4069" t="n"/>
      <c r="G8" s="4069" t="n"/>
      <c r="H8" s="4069" t="n"/>
      <c r="I8" s="4069" t="n"/>
      <c r="J8" s="4069" t="n"/>
      <c r="K8" s="4069" t="n"/>
      <c r="L8" s="4069" t="n"/>
      <c r="M8" s="4069" t="n"/>
      <c r="N8" s="4069" t="n"/>
      <c r="O8" s="4069" t="n"/>
      <c r="P8" s="4069" t="n"/>
      <c r="Q8" s="4069" t="n"/>
      <c r="R8" s="4070" t="n"/>
      <c r="S8" s="4069" t="n"/>
      <c r="T8" s="4069" t="n"/>
      <c r="U8" s="4069" t="n"/>
      <c r="V8" s="4069" t="n"/>
      <c r="W8" s="4069" t="n"/>
      <c r="X8" s="4069" t="n"/>
      <c r="Y8" s="4069" t="n"/>
      <c r="Z8" s="4069" t="n"/>
      <c r="AA8" s="4069" t="n"/>
      <c r="AB8" s="4069" t="n"/>
      <c r="AC8" s="4069" t="n"/>
      <c r="AD8" s="4070" t="n"/>
      <c r="AE8" s="4069" t="n"/>
      <c r="AF8" s="4069" t="n"/>
      <c r="AG8" s="4069" t="n"/>
      <c r="AH8" s="4069" t="n"/>
      <c r="AI8" s="4069" t="n"/>
      <c r="AJ8" s="4069" t="n"/>
      <c r="AK8" s="4069" t="n"/>
      <c r="AL8" s="4069" t="n"/>
      <c r="AM8" s="4069" t="n"/>
      <c r="AN8" s="4069" t="n"/>
      <c r="AO8" s="4069" t="n"/>
      <c r="AP8" s="4070" t="n"/>
      <c r="AQ8" s="4069" t="n"/>
      <c r="AR8" s="4069" t="n"/>
      <c r="AS8" s="4069" t="n"/>
      <c r="AT8" s="4069" t="n"/>
      <c r="AU8" s="4071" t="n"/>
      <c r="AV8" s="4072" t="n"/>
      <c r="AW8" s="4072" t="n"/>
      <c r="AX8" s="4072" t="n"/>
      <c r="AY8" s="4073" t="n"/>
      <c r="AZ8" s="4073" t="n"/>
      <c r="BA8" s="4065" t="n"/>
      <c r="BB8" s="4074" t="inlineStr">
        <is>
          <t>As a % of Revenue</t>
        </is>
      </c>
      <c r="BC8" s="4074" t="n"/>
      <c r="BD8" s="4074" t="n"/>
      <c r="BE8" s="4074" t="n"/>
      <c r="BF8" s="4074" t="n"/>
      <c r="BG8" s="4074" t="n"/>
      <c r="BH8" s="4074" t="n"/>
      <c r="BI8" s="4074" t="n"/>
      <c r="BJ8" s="4074" t="n"/>
      <c r="BK8" s="4074" t="n"/>
      <c r="BL8" s="4074" t="n"/>
      <c r="BM8" s="4075" t="n"/>
      <c r="BN8" s="4074" t="inlineStr">
        <is>
          <t>As a % of Revenue</t>
        </is>
      </c>
      <c r="BO8" s="4074" t="n"/>
      <c r="BP8" s="4074" t="n"/>
      <c r="BQ8" s="4074" t="n"/>
      <c r="BR8" s="4074" t="n"/>
      <c r="BS8" s="4074" t="n"/>
      <c r="BT8" s="4074" t="n"/>
      <c r="BU8" s="4074" t="n"/>
      <c r="BV8" s="4074" t="n"/>
      <c r="BW8" s="4074" t="n"/>
      <c r="BX8" s="4074" t="n"/>
      <c r="BY8" s="4076" t="n"/>
      <c r="BZ8" s="4076" t="inlineStr">
        <is>
          <t>As a % of Revenue</t>
        </is>
      </c>
      <c r="CA8" s="4074" t="n"/>
      <c r="CB8" s="4074" t="n"/>
      <c r="CC8" s="4074" t="n"/>
      <c r="CD8" s="4074" t="n"/>
      <c r="CE8" s="4074" t="n"/>
      <c r="CF8" s="4074" t="n"/>
      <c r="CG8" s="4074" t="n"/>
      <c r="CH8" s="4074" t="n"/>
      <c r="CI8" s="4074" t="n"/>
      <c r="CJ8" s="4074" t="n"/>
      <c r="CK8" s="4074" t="n"/>
      <c r="CL8" s="4076" t="inlineStr">
        <is>
          <t>As a % of Revenue</t>
        </is>
      </c>
      <c r="CM8" s="4074" t="n"/>
      <c r="CN8" s="4074" t="n"/>
      <c r="CO8" s="4074" t="n"/>
      <c r="CP8" s="4074" t="n"/>
      <c r="CQ8" s="4074" t="n"/>
      <c r="CR8" s="4077" t="inlineStr">
        <is>
          <t>As a % of Revenue</t>
        </is>
      </c>
      <c r="CS8" s="4078" t="n"/>
      <c r="CT8" s="4078" t="n"/>
      <c r="CU8" s="4079" t="n"/>
      <c r="CV8" s="4080" t="n"/>
      <c r="CW8" s="4065" t="n"/>
      <c r="CX8" s="4069" t="n"/>
    </row>
    <row r="9" ht="19.4" customFormat="1" customHeight="1" s="4065">
      <c r="A9" s="4066" t="n"/>
      <c r="B9" s="4067" t="n"/>
      <c r="C9" s="4081" t="inlineStr">
        <is>
          <t>$'000</t>
        </is>
      </c>
      <c r="D9" s="4081" t="inlineStr">
        <is>
          <t>Code</t>
        </is>
      </c>
      <c r="E9" s="4081" t="inlineStr">
        <is>
          <t>Concatenate</t>
        </is>
      </c>
      <c r="F9" s="4082">
        <f>ctl_month_start</f>
        <v/>
      </c>
      <c r="G9" s="4082">
        <f>EDATE(ctl_month_start,1)</f>
        <v/>
      </c>
      <c r="H9" s="4082">
        <f>EDATE(ctl_month_start,2)</f>
        <v/>
      </c>
      <c r="I9" s="4082">
        <f>EDATE(ctl_month_start,3)</f>
        <v/>
      </c>
      <c r="J9" s="4082">
        <f>EDATE(ctl_month_start,4)</f>
        <v/>
      </c>
      <c r="K9" s="4082">
        <f>EDATE(ctl_month_start,5)</f>
        <v/>
      </c>
      <c r="L9" s="4082">
        <f>EDATE(ctl_month_start,6)</f>
        <v/>
      </c>
      <c r="M9" s="4082">
        <f>EDATE(ctl_month_start,7)</f>
        <v/>
      </c>
      <c r="N9" s="4082">
        <f>EDATE(ctl_month_start,8)</f>
        <v/>
      </c>
      <c r="O9" s="4082">
        <f>EDATE(ctl_month_start,9)</f>
        <v/>
      </c>
      <c r="P9" s="4082">
        <f>EDATE(ctl_month_start,10)</f>
        <v/>
      </c>
      <c r="Q9" s="4082">
        <f>EDATE(ctl_month_start,11)</f>
        <v/>
      </c>
      <c r="R9" s="4082">
        <f>EDATE(ctl_month_start,12)</f>
        <v/>
      </c>
      <c r="S9" s="4082">
        <f>EDATE(ctl_month_start,13)</f>
        <v/>
      </c>
      <c r="T9" s="4082">
        <f>EDATE(ctl_month_start,14)</f>
        <v/>
      </c>
      <c r="U9" s="4082">
        <f>EDATE(ctl_month_start,15)</f>
        <v/>
      </c>
      <c r="V9" s="4082">
        <f>EDATE(ctl_month_start,16)</f>
        <v/>
      </c>
      <c r="W9" s="4082">
        <f>EDATE(ctl_month_start,17)</f>
        <v/>
      </c>
      <c r="X9" s="4082">
        <f>EDATE(ctl_month_start,18)</f>
        <v/>
      </c>
      <c r="Y9" s="4082">
        <f>EDATE(ctl_month_start,19)</f>
        <v/>
      </c>
      <c r="Z9" s="4082">
        <f>EDATE(ctl_month_start,20)</f>
        <v/>
      </c>
      <c r="AA9" s="4082">
        <f>EDATE(ctl_month_start,21)</f>
        <v/>
      </c>
      <c r="AB9" s="4082">
        <f>EDATE(ctl_month_start,22)</f>
        <v/>
      </c>
      <c r="AC9" s="4082">
        <f>EDATE(ctl_month_start,23)</f>
        <v/>
      </c>
      <c r="AD9" s="4082">
        <f>EDATE(ctl_month_start,24)</f>
        <v/>
      </c>
      <c r="AE9" s="4082">
        <f>EDATE(ctl_month_start,25)</f>
        <v/>
      </c>
      <c r="AF9" s="4082">
        <f>EDATE(ctl_month_start,26)</f>
        <v/>
      </c>
      <c r="AG9" s="4082">
        <f>EDATE(ctl_month_start,27)</f>
        <v/>
      </c>
      <c r="AH9" s="4082">
        <f>EDATE(ctl_month_start,28)</f>
        <v/>
      </c>
      <c r="AI9" s="4082">
        <f>EDATE(ctl_month_start,29)</f>
        <v/>
      </c>
      <c r="AJ9" s="4082">
        <f>EDATE(ctl_month_start,30)</f>
        <v/>
      </c>
      <c r="AK9" s="4082">
        <f>EDATE(ctl_month_start,31)</f>
        <v/>
      </c>
      <c r="AL9" s="4082">
        <f>EDATE(ctl_month_start,32)</f>
        <v/>
      </c>
      <c r="AM9" s="4082">
        <f>EDATE(ctl_month_start,33)</f>
        <v/>
      </c>
      <c r="AN9" s="4082">
        <f>EDATE(ctl_month_start,34)</f>
        <v/>
      </c>
      <c r="AO9" s="4082">
        <f>EDATE(ctl_month_start,35)</f>
        <v/>
      </c>
      <c r="AP9" s="4082" t="n"/>
      <c r="AQ9" s="4082" t="n"/>
      <c r="AR9" s="4082" t="n"/>
      <c r="AS9" s="4082" t="n"/>
      <c r="AT9" s="4082" t="n"/>
      <c r="AU9" s="4083" t="n"/>
      <c r="AV9" s="4083" t="n"/>
      <c r="AW9" s="4084" t="n"/>
      <c r="AX9" s="4084" t="n"/>
      <c r="AY9" s="4085" t="n"/>
      <c r="AZ9" s="4085" t="n"/>
      <c r="BA9" s="4065" t="n"/>
      <c r="BB9" s="4086" t="n"/>
      <c r="BC9" s="4086" t="n"/>
      <c r="BD9" s="4086" t="n"/>
      <c r="BE9" s="4086" t="n"/>
      <c r="BF9" s="4086" t="n"/>
      <c r="BG9" s="4086" t="n"/>
      <c r="BH9" s="4086" t="n"/>
      <c r="BI9" s="4086" t="n"/>
      <c r="BJ9" s="4086" t="n"/>
      <c r="BK9" s="4086" t="n"/>
      <c r="BL9" s="4086" t="n"/>
      <c r="BM9" s="4087" t="n"/>
      <c r="BN9" s="4086" t="n"/>
      <c r="BO9" s="4086" t="n"/>
      <c r="BP9" s="4086" t="n"/>
      <c r="BQ9" s="4086" t="n"/>
      <c r="BR9" s="4086" t="n"/>
      <c r="BS9" s="4086" t="n"/>
      <c r="BT9" s="4086" t="n"/>
      <c r="BU9" s="4086" t="n"/>
      <c r="BV9" s="4086" t="n"/>
      <c r="BW9" s="4086" t="n"/>
      <c r="BX9" s="4088" t="n"/>
      <c r="BY9" s="4087" t="n"/>
      <c r="BZ9" s="4086" t="n"/>
      <c r="CA9" s="4086" t="n"/>
      <c r="CB9" s="4086" t="n"/>
      <c r="CC9" s="4086" t="n"/>
      <c r="CD9" s="4086" t="n"/>
      <c r="CE9" s="4086" t="n"/>
      <c r="CF9" s="4086" t="n"/>
      <c r="CG9" s="4086" t="n"/>
      <c r="CH9" s="4086" t="n"/>
      <c r="CI9" s="4086" t="n"/>
      <c r="CJ9" s="4086" t="n"/>
      <c r="CK9" s="4087" t="n"/>
      <c r="CL9" s="4086" t="n"/>
      <c r="CM9" s="4086" t="n"/>
      <c r="CN9" s="4086" t="n"/>
      <c r="CO9" s="4086" t="n"/>
      <c r="CP9" s="4086" t="n"/>
      <c r="CQ9" s="4087" t="n"/>
      <c r="CR9" s="4089" t="n"/>
      <c r="CS9" s="4089" t="n"/>
      <c r="CT9" s="4087" t="n"/>
      <c r="CU9" s="4090" t="n"/>
      <c r="CV9" s="4091" t="n"/>
      <c r="CW9" s="4065" t="n"/>
      <c r="CX9" s="4082" t="n"/>
    </row>
    <row r="10" hidden="1" outlineLevel="2" ht="12" customFormat="1" customHeight="1" s="3737">
      <c r="A10" s="4059" t="n"/>
      <c r="B10" s="4060" t="n"/>
      <c r="C10" s="4092" t="inlineStr">
        <is>
          <t>Mobile tsp transactions pos-</t>
        </is>
      </c>
      <c r="D10" s="4093" t="n">
        <v>411110</v>
      </c>
      <c r="E10" s="4093">
        <f>CONCATENATE(D10," - ",C10)</f>
        <v/>
      </c>
      <c r="F10" s="4094" t="n"/>
      <c r="G10" s="4094" t="n"/>
      <c r="H10" s="4094" t="n"/>
      <c r="I10" s="4094" t="n"/>
      <c r="J10" s="4094" t="n"/>
      <c r="K10" s="4094" t="n"/>
      <c r="L10" s="4094" t="n"/>
      <c r="M10" s="4094" t="n"/>
      <c r="N10" s="4094" t="n"/>
      <c r="O10" s="4094" t="n"/>
      <c r="P10" s="4094" t="n"/>
      <c r="Q10" s="4095" t="n"/>
      <c r="R10" s="4094" t="n"/>
      <c r="S10" s="4094" t="n"/>
      <c r="T10" s="4094" t="n"/>
      <c r="U10" s="4094" t="n"/>
      <c r="V10" s="4094" t="n"/>
      <c r="W10" s="4094" t="n"/>
      <c r="X10" s="4094" t="n"/>
      <c r="Y10" s="4094" t="n"/>
      <c r="Z10" s="4094" t="n"/>
      <c r="AA10" s="4094" t="n"/>
      <c r="AB10" s="4094" t="n"/>
      <c r="AC10" s="4095" t="n"/>
      <c r="AD10" s="4094" t="n"/>
      <c r="AE10" s="4094" t="n"/>
      <c r="AF10" s="4094" t="n"/>
      <c r="AG10" s="4094" t="n"/>
      <c r="AH10" s="4094" t="n"/>
      <c r="AI10" s="4094" t="n"/>
      <c r="AJ10" s="4094" t="n"/>
      <c r="AK10" s="4094" t="n"/>
      <c r="AL10" s="4094" t="n"/>
      <c r="AM10" s="4094" t="n"/>
      <c r="AN10" s="4094" t="n"/>
      <c r="AO10" s="4095" t="n"/>
      <c r="AP10" s="4094" t="n">
        <v>1180.30762</v>
      </c>
      <c r="AQ10" s="4094" t="n">
        <v>1205.40391</v>
      </c>
      <c r="AR10" s="4094" t="n">
        <v>1317.58912</v>
      </c>
      <c r="AS10" s="4094" t="n">
        <v>1379.22246</v>
      </c>
      <c r="AT10" s="4094" t="n">
        <v>1529.49296</v>
      </c>
      <c r="AU10" s="4096" t="n">
        <v>1505.72669</v>
      </c>
      <c r="AV10" s="4094">
        <f>SUM(F10:Q10)</f>
        <v/>
      </c>
      <c r="AW10" s="4094">
        <f>SUM(R10:AC10)</f>
        <v/>
      </c>
      <c r="AX10" s="4094">
        <f>SUM(AD10:AO10)</f>
        <v/>
      </c>
      <c r="AY10" s="4094">
        <f>SUM(AH10:AS10)</f>
        <v/>
      </c>
      <c r="AZ10" s="4094">
        <f>SUM(AJ10:AU10)</f>
        <v/>
      </c>
      <c r="BA10" s="3737" t="n"/>
      <c r="BB10" s="4097">
        <f>IFERROR(F10/F$117,0)</f>
        <v/>
      </c>
      <c r="BC10" s="4097">
        <f>IFERROR(G10/G$117,0)</f>
        <v/>
      </c>
      <c r="BD10" s="4097">
        <f>IFERROR(H10/H$117,0)</f>
        <v/>
      </c>
      <c r="BE10" s="4097">
        <f>IFERROR(I10/I$117,0)</f>
        <v/>
      </c>
      <c r="BF10" s="4097">
        <f>IFERROR(J10/J$117,0)</f>
        <v/>
      </c>
      <c r="BG10" s="4097">
        <f>IFERROR(K10/K$117,0)</f>
        <v/>
      </c>
      <c r="BH10" s="4097">
        <f>IFERROR(L10/L$117,0)</f>
        <v/>
      </c>
      <c r="BI10" s="4097">
        <f>IFERROR(M10/M$117,0)</f>
        <v/>
      </c>
      <c r="BJ10" s="4097">
        <f>IFERROR(N10/N$117,0)</f>
        <v/>
      </c>
      <c r="BK10" s="4097">
        <f>IFERROR(O10/O$117,0)</f>
        <v/>
      </c>
      <c r="BL10" s="4097">
        <f>IFERROR(P10/P$117,0)</f>
        <v/>
      </c>
      <c r="BM10" s="4098">
        <f>IFERROR(Q10/Q$117,0)</f>
        <v/>
      </c>
      <c r="BN10" s="4097">
        <f>IFERROR(R10/R$117,0)</f>
        <v/>
      </c>
      <c r="BO10" s="4097">
        <f>IFERROR(S10/S$117,0)</f>
        <v/>
      </c>
      <c r="BP10" s="4097">
        <f>IFERROR(T10/T$117,0)</f>
        <v/>
      </c>
      <c r="BQ10" s="4097">
        <f>IFERROR(U10/U$117,0)</f>
        <v/>
      </c>
      <c r="BR10" s="4097">
        <f>IFERROR(V10/V$117,0)</f>
        <v/>
      </c>
      <c r="BS10" s="4097">
        <f>IFERROR(W10/W$117,0)</f>
        <v/>
      </c>
      <c r="BT10" s="4097">
        <f>IFERROR(X10/X$117,0)</f>
        <v/>
      </c>
      <c r="BU10" s="4097">
        <f>IFERROR(Y10/Y$117,0)</f>
        <v/>
      </c>
      <c r="BV10" s="4097">
        <f>IFERROR(Z10/Z$117,0)</f>
        <v/>
      </c>
      <c r="BW10" s="4097">
        <f>IFERROR(AA10/AA$117,0)</f>
        <v/>
      </c>
      <c r="BX10" s="4097">
        <f>IFERROR(AB10/AB$117,0)</f>
        <v/>
      </c>
      <c r="BY10" s="4098">
        <f>IFERROR(AC10/AC$117,0)</f>
        <v/>
      </c>
      <c r="BZ10" s="4097">
        <f>IFERROR(AD10/AD$117,0)</f>
        <v/>
      </c>
      <c r="CA10" s="4097">
        <f>IFERROR(AE10/AE$117,0)</f>
        <v/>
      </c>
      <c r="CB10" s="4097">
        <f>IFERROR(AF10/AF$117,0)</f>
        <v/>
      </c>
      <c r="CC10" s="4097">
        <f>IFERROR(AG10/AG$117,0)</f>
        <v/>
      </c>
      <c r="CD10" s="4097">
        <f>IFERROR(AH10/AH$117,0)</f>
        <v/>
      </c>
      <c r="CE10" s="4097">
        <f>IFERROR(AI10/AI$117,0)</f>
        <v/>
      </c>
      <c r="CF10" s="4097">
        <f>IFERROR(AJ10/AJ$117,0)</f>
        <v/>
      </c>
      <c r="CG10" s="4097">
        <f>IFERROR(AK10/AK$117,0)</f>
        <v/>
      </c>
      <c r="CH10" s="4097">
        <f>IFERROR(AL10/AL$117,0)</f>
        <v/>
      </c>
      <c r="CI10" s="4097">
        <f>IFERROR(AM10/AM$117,0)</f>
        <v/>
      </c>
      <c r="CJ10" s="4097">
        <f>IFERROR(AN10/AN$117,0)</f>
        <v/>
      </c>
      <c r="CK10" s="4098">
        <f>IFERROR(AO10/AO$117,0)</f>
        <v/>
      </c>
      <c r="CL10" s="4097">
        <f>IFERROR(AP10/AP$117,0)</f>
        <v/>
      </c>
      <c r="CM10" s="4097">
        <f>IFERROR(AQ10/AQ$117,0)</f>
        <v/>
      </c>
      <c r="CN10" s="4097">
        <f>IFERROR(AR10/AR$117,0)</f>
        <v/>
      </c>
      <c r="CO10" s="4097">
        <f>IFERROR(AS10/AS$117,0)</f>
        <v/>
      </c>
      <c r="CP10" s="4097">
        <f>IFERROR(AT10/AT$117,0)</f>
        <v/>
      </c>
      <c r="CQ10" s="4099">
        <f>IFERROR(AU10/AU$117,0)</f>
        <v/>
      </c>
      <c r="CR10" s="4097">
        <f>IFERROR(AV10/AV$117,0)</f>
        <v/>
      </c>
      <c r="CS10" s="4097">
        <f>IFERROR(AW10/AW$117,0)</f>
        <v/>
      </c>
      <c r="CT10" s="4097">
        <f>IFERROR(AX10/AX$117,0)</f>
        <v/>
      </c>
      <c r="CU10" s="4097">
        <f>IFERROR(AY10/AY$117,0)</f>
        <v/>
      </c>
      <c r="CV10" s="4097">
        <f>IFERROR(AZ10/AZ$117,0)</f>
        <v/>
      </c>
      <c r="CW10" s="3737" t="n"/>
      <c r="CX10" s="4094" t="n">
        <v>5877.69728</v>
      </c>
    </row>
    <row r="11" hidden="1" outlineLevel="2" ht="12" customFormat="1" customHeight="1" s="3737">
      <c r="A11" s="4059" t="n"/>
      <c r="B11" s="4060" t="n"/>
      <c r="C11" s="4092" t="inlineStr">
        <is>
          <t>Png transactions revenue - pos</t>
        </is>
      </c>
      <c r="D11" s="4093" t="n">
        <v>411101</v>
      </c>
      <c r="E11" s="4093">
        <f>CONCATENATE(D11," - ",C11)</f>
        <v/>
      </c>
      <c r="F11" s="4094" t="n"/>
      <c r="G11" s="4094" t="n"/>
      <c r="H11" s="4094" t="n"/>
      <c r="I11" s="4094" t="n"/>
      <c r="J11" s="4094" t="n"/>
      <c r="K11" s="4094" t="n"/>
      <c r="L11" s="4094" t="n"/>
      <c r="M11" s="4094" t="n"/>
      <c r="N11" s="4094" t="n"/>
      <c r="O11" s="4094" t="n"/>
      <c r="P11" s="4094" t="n"/>
      <c r="Q11" s="4095" t="n"/>
      <c r="R11" s="4094" t="n"/>
      <c r="S11" s="4094" t="n"/>
      <c r="T11" s="4094" t="n"/>
      <c r="U11" s="4094" t="n"/>
      <c r="V11" s="4094" t="n"/>
      <c r="W11" s="4094" t="n"/>
      <c r="X11" s="4094" t="n"/>
      <c r="Y11" s="4094" t="n"/>
      <c r="Z11" s="4094" t="n"/>
      <c r="AA11" s="4094" t="n"/>
      <c r="AB11" s="4094" t="n"/>
      <c r="AC11" s="4095" t="n"/>
      <c r="AD11" s="4094" t="n"/>
      <c r="AE11" s="4094" t="n"/>
      <c r="AF11" s="4094" t="n"/>
      <c r="AG11" s="4094" t="n"/>
      <c r="AH11" s="4094" t="n"/>
      <c r="AI11" s="4094" t="n"/>
      <c r="AJ11" s="4094" t="n"/>
      <c r="AK11" s="4094" t="n"/>
      <c r="AL11" s="4094" t="n"/>
      <c r="AM11" s="4094" t="n"/>
      <c r="AN11" s="4094" t="n"/>
      <c r="AO11" s="4095" t="n"/>
      <c r="AP11" s="4094" t="n">
        <v>728.3316600000001</v>
      </c>
      <c r="AQ11" s="4094" t="n">
        <v>725.70095</v>
      </c>
      <c r="AR11" s="4094" t="n">
        <v>803.04041</v>
      </c>
      <c r="AS11" s="4094" t="n">
        <v>809.89996</v>
      </c>
      <c r="AT11" s="4094" t="n">
        <v>937.54038</v>
      </c>
      <c r="AU11" s="4096" t="n">
        <v>912.18298</v>
      </c>
      <c r="AV11" s="4094">
        <f>SUM(F11:Q11)</f>
        <v/>
      </c>
      <c r="AW11" s="4094">
        <f>SUM(R11:AC11)</f>
        <v/>
      </c>
      <c r="AX11" s="4094">
        <f>SUM(AD11:AO11)</f>
        <v/>
      </c>
      <c r="AY11" s="4094">
        <f>SUM(AH11:AS11)</f>
        <v/>
      </c>
      <c r="AZ11" s="4094">
        <f>SUM(AJ11:AU11)</f>
        <v/>
      </c>
      <c r="BA11" s="3737" t="n"/>
      <c r="BB11" s="4097">
        <f>IFERROR(F11/F$117,0)</f>
        <v/>
      </c>
      <c r="BC11" s="4097">
        <f>IFERROR(G11/G$117,0)</f>
        <v/>
      </c>
      <c r="BD11" s="4097">
        <f>IFERROR(H11/H$117,0)</f>
        <v/>
      </c>
      <c r="BE11" s="4097">
        <f>IFERROR(I11/I$117,0)</f>
        <v/>
      </c>
      <c r="BF11" s="4097">
        <f>IFERROR(J11/J$117,0)</f>
        <v/>
      </c>
      <c r="BG11" s="4097">
        <f>IFERROR(K11/K$117,0)</f>
        <v/>
      </c>
      <c r="BH11" s="4097">
        <f>IFERROR(L11/L$117,0)</f>
        <v/>
      </c>
      <c r="BI11" s="4097">
        <f>IFERROR(M11/M$117,0)</f>
        <v/>
      </c>
      <c r="BJ11" s="4097">
        <f>IFERROR(N11/N$117,0)</f>
        <v/>
      </c>
      <c r="BK11" s="4097">
        <f>IFERROR(O11/O$117,0)</f>
        <v/>
      </c>
      <c r="BL11" s="4097">
        <f>IFERROR(P11/P$117,0)</f>
        <v/>
      </c>
      <c r="BM11" s="4098">
        <f>IFERROR(Q11/Q$117,0)</f>
        <v/>
      </c>
      <c r="BN11" s="4097">
        <f>IFERROR(R11/R$117,0)</f>
        <v/>
      </c>
      <c r="BO11" s="4097">
        <f>IFERROR(S11/S$117,0)</f>
        <v/>
      </c>
      <c r="BP11" s="4097">
        <f>IFERROR(T11/T$117,0)</f>
        <v/>
      </c>
      <c r="BQ11" s="4097">
        <f>IFERROR(U11/U$117,0)</f>
        <v/>
      </c>
      <c r="BR11" s="4097">
        <f>IFERROR(V11/V$117,0)</f>
        <v/>
      </c>
      <c r="BS11" s="4097">
        <f>IFERROR(W11/W$117,0)</f>
        <v/>
      </c>
      <c r="BT11" s="4097">
        <f>IFERROR(X11/X$117,0)</f>
        <v/>
      </c>
      <c r="BU11" s="4097">
        <f>IFERROR(Y11/Y$117,0)</f>
        <v/>
      </c>
      <c r="BV11" s="4097">
        <f>IFERROR(Z11/Z$117,0)</f>
        <v/>
      </c>
      <c r="BW11" s="4097">
        <f>IFERROR(AA11/AA$117,0)</f>
        <v/>
      </c>
      <c r="BX11" s="4097">
        <f>IFERROR(AB11/AB$117,0)</f>
        <v/>
      </c>
      <c r="BY11" s="4098">
        <f>IFERROR(AC11/AC$117,0)</f>
        <v/>
      </c>
      <c r="BZ11" s="4097">
        <f>IFERROR(AD11/AD$117,0)</f>
        <v/>
      </c>
      <c r="CA11" s="4097">
        <f>IFERROR(AE11/AE$117,0)</f>
        <v/>
      </c>
      <c r="CB11" s="4097">
        <f>IFERROR(AF11/AF$117,0)</f>
        <v/>
      </c>
      <c r="CC11" s="4097">
        <f>IFERROR(AG11/AG$117,0)</f>
        <v/>
      </c>
      <c r="CD11" s="4097">
        <f>IFERROR(AH11/AH$117,0)</f>
        <v/>
      </c>
      <c r="CE11" s="4097">
        <f>IFERROR(AI11/AI$117,0)</f>
        <v/>
      </c>
      <c r="CF11" s="4097">
        <f>IFERROR(AJ11/AJ$117,0)</f>
        <v/>
      </c>
      <c r="CG11" s="4097">
        <f>IFERROR(AK11/AK$117,0)</f>
        <v/>
      </c>
      <c r="CH11" s="4097">
        <f>IFERROR(AL11/AL$117,0)</f>
        <v/>
      </c>
      <c r="CI11" s="4097">
        <f>IFERROR(AM11/AM$117,0)</f>
        <v/>
      </c>
      <c r="CJ11" s="4097">
        <f>IFERROR(AN11/AN$117,0)</f>
        <v/>
      </c>
      <c r="CK11" s="4098">
        <f>IFERROR(AO11/AO$117,0)</f>
        <v/>
      </c>
      <c r="CL11" s="4097">
        <f>IFERROR(AP11/AP$117,0)</f>
        <v/>
      </c>
      <c r="CM11" s="4097">
        <f>IFERROR(AQ11/AQ$117,0)</f>
        <v/>
      </c>
      <c r="CN11" s="4097">
        <f>IFERROR(AR11/AR$117,0)</f>
        <v/>
      </c>
      <c r="CO11" s="4097">
        <f>IFERROR(AS11/AS$117,0)</f>
        <v/>
      </c>
      <c r="CP11" s="4097">
        <f>IFERROR(AT11/AT$117,0)</f>
        <v/>
      </c>
      <c r="CQ11" s="4099">
        <f>IFERROR(AU11/AU$117,0)</f>
        <v/>
      </c>
      <c r="CR11" s="4097">
        <f>IFERROR(AV11/AV$117,0)</f>
        <v/>
      </c>
      <c r="CS11" s="4097">
        <f>IFERROR(AW11/AW$117,0)</f>
        <v/>
      </c>
      <c r="CT11" s="4097">
        <f>IFERROR(AX11/AX$117,0)</f>
        <v/>
      </c>
      <c r="CU11" s="4097">
        <f>IFERROR(AY11/AY$117,0)</f>
        <v/>
      </c>
      <c r="CV11" s="4097">
        <f>IFERROR(AZ11/AZ$117,0)</f>
        <v/>
      </c>
      <c r="CW11" s="3737" t="n"/>
      <c r="CX11" s="4094" t="n">
        <v>8174.70917</v>
      </c>
    </row>
    <row r="12" hidden="1" outlineLevel="2" ht="12" customFormat="1" customHeight="1" s="3737">
      <c r="A12" s="4059" t="n"/>
      <c r="B12" s="4060" t="n"/>
      <c r="C12" s="4092" t="inlineStr">
        <is>
          <t>Merchant services debit transaction revenue</t>
        </is>
      </c>
      <c r="D12" s="4093" t="n">
        <v>411103</v>
      </c>
      <c r="E12" s="4093">
        <f>CONCATENATE(D12," - ",C12)</f>
        <v/>
      </c>
      <c r="F12" s="4094" t="n"/>
      <c r="G12" s="4094" t="n"/>
      <c r="H12" s="4094" t="n"/>
      <c r="I12" s="4094" t="n"/>
      <c r="J12" s="4094" t="n"/>
      <c r="K12" s="4094" t="n"/>
      <c r="L12" s="4094" t="n"/>
      <c r="M12" s="4094" t="n"/>
      <c r="N12" s="4094" t="n"/>
      <c r="O12" s="4094" t="n"/>
      <c r="P12" s="4094" t="n"/>
      <c r="Q12" s="4095" t="n"/>
      <c r="R12" s="4094" t="n"/>
      <c r="S12" s="4094" t="n"/>
      <c r="T12" s="4094" t="n"/>
      <c r="U12" s="4094" t="n"/>
      <c r="V12" s="4094" t="n"/>
      <c r="W12" s="4094" t="n"/>
      <c r="X12" s="4094" t="n"/>
      <c r="Y12" s="4094" t="n"/>
      <c r="Z12" s="4094" t="n"/>
      <c r="AA12" s="4094" t="n"/>
      <c r="AB12" s="4094" t="n"/>
      <c r="AC12" s="4095" t="n"/>
      <c r="AD12" s="4094" t="n"/>
      <c r="AE12" s="4094" t="n"/>
      <c r="AF12" s="4094" t="n"/>
      <c r="AG12" s="4094" t="n"/>
      <c r="AH12" s="4094" t="n"/>
      <c r="AI12" s="4094" t="n"/>
      <c r="AJ12" s="4094" t="n"/>
      <c r="AK12" s="4094" t="n"/>
      <c r="AL12" s="4094" t="n"/>
      <c r="AM12" s="4094" t="n"/>
      <c r="AN12" s="4094" t="n"/>
      <c r="AO12" s="4095" t="n"/>
      <c r="AP12" s="4094" t="n">
        <v>281.37015</v>
      </c>
      <c r="AQ12" s="4094" t="n">
        <v>305.48489</v>
      </c>
      <c r="AR12" s="4094" t="n">
        <v>352.35083</v>
      </c>
      <c r="AS12" s="4094" t="n">
        <v>354.12246</v>
      </c>
      <c r="AT12" s="4094" t="n">
        <v>403.47647</v>
      </c>
      <c r="AU12" s="4096" t="n">
        <v>412.9241</v>
      </c>
      <c r="AV12" s="4094">
        <f>SUM(F12:Q12)</f>
        <v/>
      </c>
      <c r="AW12" s="4094">
        <f>SUM(R12:AC12)</f>
        <v/>
      </c>
      <c r="AX12" s="4094">
        <f>SUM(AD12:AO12)</f>
        <v/>
      </c>
      <c r="AY12" s="4094">
        <f>SUM(AH12:AS12)</f>
        <v/>
      </c>
      <c r="AZ12" s="4094">
        <f>SUM(AJ12:AU12)</f>
        <v/>
      </c>
      <c r="BA12" s="3737" t="n"/>
      <c r="BB12" s="4097">
        <f>IFERROR(F12/F$117,0)</f>
        <v/>
      </c>
      <c r="BC12" s="4097">
        <f>IFERROR(G12/G$117,0)</f>
        <v/>
      </c>
      <c r="BD12" s="4097">
        <f>IFERROR(H12/H$117,0)</f>
        <v/>
      </c>
      <c r="BE12" s="4097">
        <f>IFERROR(I12/I$117,0)</f>
        <v/>
      </c>
      <c r="BF12" s="4097">
        <f>IFERROR(J12/J$117,0)</f>
        <v/>
      </c>
      <c r="BG12" s="4097">
        <f>IFERROR(K12/K$117,0)</f>
        <v/>
      </c>
      <c r="BH12" s="4097">
        <f>IFERROR(L12/L$117,0)</f>
        <v/>
      </c>
      <c r="BI12" s="4097">
        <f>IFERROR(M12/M$117,0)</f>
        <v/>
      </c>
      <c r="BJ12" s="4097">
        <f>IFERROR(N12/N$117,0)</f>
        <v/>
      </c>
      <c r="BK12" s="4097">
        <f>IFERROR(O12/O$117,0)</f>
        <v/>
      </c>
      <c r="BL12" s="4097">
        <f>IFERROR(P12/P$117,0)</f>
        <v/>
      </c>
      <c r="BM12" s="4098">
        <f>IFERROR(Q12/Q$117,0)</f>
        <v/>
      </c>
      <c r="BN12" s="4097">
        <f>IFERROR(R12/R$117,0)</f>
        <v/>
      </c>
      <c r="BO12" s="4097">
        <f>IFERROR(S12/S$117,0)</f>
        <v/>
      </c>
      <c r="BP12" s="4097">
        <f>IFERROR(T12/T$117,0)</f>
        <v/>
      </c>
      <c r="BQ12" s="4097">
        <f>IFERROR(U12/U$117,0)</f>
        <v/>
      </c>
      <c r="BR12" s="4097">
        <f>IFERROR(V12/V$117,0)</f>
        <v/>
      </c>
      <c r="BS12" s="4097">
        <f>IFERROR(W12/W$117,0)</f>
        <v/>
      </c>
      <c r="BT12" s="4097">
        <f>IFERROR(X12/X$117,0)</f>
        <v/>
      </c>
      <c r="BU12" s="4097">
        <f>IFERROR(Y12/Y$117,0)</f>
        <v/>
      </c>
      <c r="BV12" s="4097">
        <f>IFERROR(Z12/Z$117,0)</f>
        <v/>
      </c>
      <c r="BW12" s="4097">
        <f>IFERROR(AA12/AA$117,0)</f>
        <v/>
      </c>
      <c r="BX12" s="4097">
        <f>IFERROR(AB12/AB$117,0)</f>
        <v/>
      </c>
      <c r="BY12" s="4098">
        <f>IFERROR(AC12/AC$117,0)</f>
        <v/>
      </c>
      <c r="BZ12" s="4097">
        <f>IFERROR(AD12/AD$117,0)</f>
        <v/>
      </c>
      <c r="CA12" s="4097">
        <f>IFERROR(AE12/AE$117,0)</f>
        <v/>
      </c>
      <c r="CB12" s="4097">
        <f>IFERROR(AF12/AF$117,0)</f>
        <v/>
      </c>
      <c r="CC12" s="4097">
        <f>IFERROR(AG12/AG$117,0)</f>
        <v/>
      </c>
      <c r="CD12" s="4097">
        <f>IFERROR(AH12/AH$117,0)</f>
        <v/>
      </c>
      <c r="CE12" s="4097">
        <f>IFERROR(AI12/AI$117,0)</f>
        <v/>
      </c>
      <c r="CF12" s="4097">
        <f>IFERROR(AJ12/AJ$117,0)</f>
        <v/>
      </c>
      <c r="CG12" s="4097">
        <f>IFERROR(AK12/AK$117,0)</f>
        <v/>
      </c>
      <c r="CH12" s="4097">
        <f>IFERROR(AL12/AL$117,0)</f>
        <v/>
      </c>
      <c r="CI12" s="4097">
        <f>IFERROR(AM12/AM$117,0)</f>
        <v/>
      </c>
      <c r="CJ12" s="4097">
        <f>IFERROR(AN12/AN$117,0)</f>
        <v/>
      </c>
      <c r="CK12" s="4098">
        <f>IFERROR(AO12/AO$117,0)</f>
        <v/>
      </c>
      <c r="CL12" s="4097">
        <f>IFERROR(AP12/AP$117,0)</f>
        <v/>
      </c>
      <c r="CM12" s="4097">
        <f>IFERROR(AQ12/AQ$117,0)</f>
        <v/>
      </c>
      <c r="CN12" s="4097">
        <f>IFERROR(AR12/AR$117,0)</f>
        <v/>
      </c>
      <c r="CO12" s="4097">
        <f>IFERROR(AS12/AS$117,0)</f>
        <v/>
      </c>
      <c r="CP12" s="4097">
        <f>IFERROR(AT12/AT$117,0)</f>
        <v/>
      </c>
      <c r="CQ12" s="4099">
        <f>IFERROR(AU12/AU$117,0)</f>
        <v/>
      </c>
      <c r="CR12" s="4097">
        <f>IFERROR(AV12/AV$117,0)</f>
        <v/>
      </c>
      <c r="CS12" s="4097">
        <f>IFERROR(AW12/AW$117,0)</f>
        <v/>
      </c>
      <c r="CT12" s="4097">
        <f>IFERROR(AX12/AX$117,0)</f>
        <v/>
      </c>
      <c r="CU12" s="4097">
        <f>IFERROR(AY12/AY$117,0)</f>
        <v/>
      </c>
      <c r="CV12" s="4097">
        <f>IFERROR(AZ12/AZ$117,0)</f>
        <v/>
      </c>
      <c r="CW12" s="3737" t="n"/>
      <c r="CX12" s="4094" t="n">
        <v>1201.27172</v>
      </c>
    </row>
    <row r="13" hidden="1" outlineLevel="2" ht="12" customFormat="1" customHeight="1" s="3737">
      <c r="A13" s="4059" t="n"/>
      <c r="B13" s="4060" t="n"/>
      <c r="C13" s="4092" t="inlineStr">
        <is>
          <t>Ifrs 15 adj to processing</t>
        </is>
      </c>
      <c r="D13" s="4093" t="n">
        <v>411119</v>
      </c>
      <c r="E13" s="4093">
        <f>CONCATENATE(D13," - ",C13)</f>
        <v/>
      </c>
      <c r="F13" s="4094" t="n"/>
      <c r="G13" s="4094" t="n"/>
      <c r="H13" s="4094" t="n"/>
      <c r="I13" s="4094" t="n"/>
      <c r="J13" s="4094" t="n"/>
      <c r="K13" s="4094" t="n"/>
      <c r="L13" s="4094" t="n"/>
      <c r="M13" s="4094" t="n"/>
      <c r="N13" s="4094" t="n"/>
      <c r="O13" s="4094" t="n"/>
      <c r="P13" s="4094" t="n"/>
      <c r="Q13" s="4095" t="n"/>
      <c r="R13" s="4094" t="n"/>
      <c r="S13" s="4094" t="n"/>
      <c r="T13" s="4094" t="n"/>
      <c r="U13" s="4094" t="n"/>
      <c r="V13" s="4094" t="n"/>
      <c r="W13" s="4094" t="n"/>
      <c r="X13" s="4094" t="n"/>
      <c r="Y13" s="4094" t="n"/>
      <c r="Z13" s="4094" t="n"/>
      <c r="AA13" s="4094" t="n"/>
      <c r="AB13" s="4094" t="n"/>
      <c r="AC13" s="4095" t="n"/>
      <c r="AD13" s="4094" t="n"/>
      <c r="AE13" s="4094" t="n"/>
      <c r="AF13" s="4094" t="n"/>
      <c r="AG13" s="4094" t="n"/>
      <c r="AH13" s="4094" t="n"/>
      <c r="AI13" s="4094" t="n"/>
      <c r="AJ13" s="4094" t="n"/>
      <c r="AK13" s="4094" t="n"/>
      <c r="AL13" s="4094" t="n"/>
      <c r="AM13" s="4094" t="n"/>
      <c r="AN13" s="4094" t="n"/>
      <c r="AO13" s="4095" t="n"/>
      <c r="AP13" s="4094" t="n">
        <v>154</v>
      </c>
      <c r="AQ13" s="4094" t="n">
        <v>148</v>
      </c>
      <c r="AR13" s="4094" t="n">
        <v>165</v>
      </c>
      <c r="AS13" s="4094" t="n">
        <v>-6</v>
      </c>
      <c r="AT13" s="4094" t="n">
        <v>-5</v>
      </c>
      <c r="AU13" s="4096" t="n">
        <v>-6</v>
      </c>
      <c r="AV13" s="4094">
        <f>SUM(F13:Q13)</f>
        <v/>
      </c>
      <c r="AW13" s="4094">
        <f>SUM(R13:AC13)</f>
        <v/>
      </c>
      <c r="AX13" s="4094">
        <f>SUM(AD13:AO13)</f>
        <v/>
      </c>
      <c r="AY13" s="4094">
        <f>SUM(AH13:AS13)</f>
        <v/>
      </c>
      <c r="AZ13" s="4094">
        <f>SUM(AJ13:AU13)</f>
        <v/>
      </c>
      <c r="BA13" s="3737" t="n"/>
      <c r="BB13" s="4097">
        <f>IFERROR(F13/F$117,0)</f>
        <v/>
      </c>
      <c r="BC13" s="4097">
        <f>IFERROR(G13/G$117,0)</f>
        <v/>
      </c>
      <c r="BD13" s="4097">
        <f>IFERROR(H13/H$117,0)</f>
        <v/>
      </c>
      <c r="BE13" s="4097">
        <f>IFERROR(I13/I$117,0)</f>
        <v/>
      </c>
      <c r="BF13" s="4097">
        <f>IFERROR(J13/J$117,0)</f>
        <v/>
      </c>
      <c r="BG13" s="4097">
        <f>IFERROR(K13/K$117,0)</f>
        <v/>
      </c>
      <c r="BH13" s="4097">
        <f>IFERROR(L13/L$117,0)</f>
        <v/>
      </c>
      <c r="BI13" s="4097">
        <f>IFERROR(M13/M$117,0)</f>
        <v/>
      </c>
      <c r="BJ13" s="4097">
        <f>IFERROR(N13/N$117,0)</f>
        <v/>
      </c>
      <c r="BK13" s="4097">
        <f>IFERROR(O13/O$117,0)</f>
        <v/>
      </c>
      <c r="BL13" s="4097">
        <f>IFERROR(P13/P$117,0)</f>
        <v/>
      </c>
      <c r="BM13" s="4098">
        <f>IFERROR(Q13/Q$117,0)</f>
        <v/>
      </c>
      <c r="BN13" s="4097">
        <f>IFERROR(R13/R$117,0)</f>
        <v/>
      </c>
      <c r="BO13" s="4097">
        <f>IFERROR(S13/S$117,0)</f>
        <v/>
      </c>
      <c r="BP13" s="4097">
        <f>IFERROR(T13/T$117,0)</f>
        <v/>
      </c>
      <c r="BQ13" s="4097">
        <f>IFERROR(U13/U$117,0)</f>
        <v/>
      </c>
      <c r="BR13" s="4097">
        <f>IFERROR(V13/V$117,0)</f>
        <v/>
      </c>
      <c r="BS13" s="4097">
        <f>IFERROR(W13/W$117,0)</f>
        <v/>
      </c>
      <c r="BT13" s="4097">
        <f>IFERROR(X13/X$117,0)</f>
        <v/>
      </c>
      <c r="BU13" s="4097">
        <f>IFERROR(Y13/Y$117,0)</f>
        <v/>
      </c>
      <c r="BV13" s="4097">
        <f>IFERROR(Z13/Z$117,0)</f>
        <v/>
      </c>
      <c r="BW13" s="4097">
        <f>IFERROR(AA13/AA$117,0)</f>
        <v/>
      </c>
      <c r="BX13" s="4097">
        <f>IFERROR(AB13/AB$117,0)</f>
        <v/>
      </c>
      <c r="BY13" s="4098">
        <f>IFERROR(AC13/AC$117,0)</f>
        <v/>
      </c>
      <c r="BZ13" s="4097">
        <f>IFERROR(AD13/AD$117,0)</f>
        <v/>
      </c>
      <c r="CA13" s="4097">
        <f>IFERROR(AE13/AE$117,0)</f>
        <v/>
      </c>
      <c r="CB13" s="4097">
        <f>IFERROR(AF13/AF$117,0)</f>
        <v/>
      </c>
      <c r="CC13" s="4097">
        <f>IFERROR(AG13/AG$117,0)</f>
        <v/>
      </c>
      <c r="CD13" s="4097">
        <f>IFERROR(AH13/AH$117,0)</f>
        <v/>
      </c>
      <c r="CE13" s="4097">
        <f>IFERROR(AI13/AI$117,0)</f>
        <v/>
      </c>
      <c r="CF13" s="4097">
        <f>IFERROR(AJ13/AJ$117,0)</f>
        <v/>
      </c>
      <c r="CG13" s="4097">
        <f>IFERROR(AK13/AK$117,0)</f>
        <v/>
      </c>
      <c r="CH13" s="4097">
        <f>IFERROR(AL13/AL$117,0)</f>
        <v/>
      </c>
      <c r="CI13" s="4097">
        <f>IFERROR(AM13/AM$117,0)</f>
        <v/>
      </c>
      <c r="CJ13" s="4097">
        <f>IFERROR(AN13/AN$117,0)</f>
        <v/>
      </c>
      <c r="CK13" s="4098">
        <f>IFERROR(AO13/AO$117,0)</f>
        <v/>
      </c>
      <c r="CL13" s="4097">
        <f>IFERROR(AP13/AP$117,0)</f>
        <v/>
      </c>
      <c r="CM13" s="4097">
        <f>IFERROR(AQ13/AQ$117,0)</f>
        <v/>
      </c>
      <c r="CN13" s="4097">
        <f>IFERROR(AR13/AR$117,0)</f>
        <v/>
      </c>
      <c r="CO13" s="4097">
        <f>IFERROR(AS13/AS$117,0)</f>
        <v/>
      </c>
      <c r="CP13" s="4097">
        <f>IFERROR(AT13/AT$117,0)</f>
        <v/>
      </c>
      <c r="CQ13" s="4099">
        <f>IFERROR(AU13/AU$117,0)</f>
        <v/>
      </c>
      <c r="CR13" s="4097">
        <f>IFERROR(AV13/AV$117,0)</f>
        <v/>
      </c>
      <c r="CS13" s="4097">
        <f>IFERROR(AW13/AW$117,0)</f>
        <v/>
      </c>
      <c r="CT13" s="4097">
        <f>IFERROR(AX13/AX$117,0)</f>
        <v/>
      </c>
      <c r="CU13" s="4097">
        <f>IFERROR(AY13/AY$117,0)</f>
        <v/>
      </c>
      <c r="CV13" s="4097">
        <f>IFERROR(AZ13/AZ$117,0)</f>
        <v/>
      </c>
      <c r="CW13" s="3737" t="n"/>
      <c r="CX13" s="4094" t="n">
        <v>-1165.64625</v>
      </c>
    </row>
    <row r="14" hidden="1" outlineLevel="2" ht="12" customFormat="1" customHeight="1" s="3737">
      <c r="A14" s="4059" t="n"/>
      <c r="B14" s="4060" t="n"/>
      <c r="C14" s="4092" t="inlineStr">
        <is>
          <t>Mobile provisioning &amp; lcm-transaction fees</t>
        </is>
      </c>
      <c r="D14" s="4093" t="n">
        <v>411116</v>
      </c>
      <c r="E14" s="4093">
        <f>CONCATENATE(D14," - ",C14)</f>
        <v/>
      </c>
      <c r="F14" s="4094" t="n"/>
      <c r="G14" s="4094" t="n"/>
      <c r="H14" s="4094" t="n"/>
      <c r="I14" s="4094" t="n"/>
      <c r="J14" s="4094" t="n"/>
      <c r="K14" s="4094" t="n"/>
      <c r="L14" s="4094" t="n"/>
      <c r="M14" s="4094" t="n"/>
      <c r="N14" s="4094" t="n"/>
      <c r="O14" s="4094" t="n"/>
      <c r="P14" s="4094" t="n"/>
      <c r="Q14" s="4095" t="n"/>
      <c r="R14" s="4094" t="n"/>
      <c r="S14" s="4094" t="n"/>
      <c r="T14" s="4094" t="n"/>
      <c r="U14" s="4094" t="n"/>
      <c r="V14" s="4094" t="n"/>
      <c r="W14" s="4094" t="n"/>
      <c r="X14" s="4094" t="n"/>
      <c r="Y14" s="4094" t="n"/>
      <c r="Z14" s="4094" t="n"/>
      <c r="AA14" s="4094" t="n"/>
      <c r="AB14" s="4094" t="n"/>
      <c r="AC14" s="4095" t="n"/>
      <c r="AD14" s="4094" t="n"/>
      <c r="AE14" s="4094" t="n"/>
      <c r="AF14" s="4094" t="n"/>
      <c r="AG14" s="4094" t="n"/>
      <c r="AH14" s="4094" t="n"/>
      <c r="AI14" s="4094" t="n"/>
      <c r="AJ14" s="4094" t="n"/>
      <c r="AK14" s="4094" t="n"/>
      <c r="AL14" s="4094" t="n"/>
      <c r="AM14" s="4094" t="n"/>
      <c r="AN14" s="4094" t="n"/>
      <c r="AO14" s="4095" t="n"/>
      <c r="AP14" s="4094" t="n">
        <v>115.33668</v>
      </c>
      <c r="AQ14" s="4094" t="n">
        <v>149.83268</v>
      </c>
      <c r="AR14" s="4094" t="n">
        <v>119.67113</v>
      </c>
      <c r="AS14" s="4094" t="n">
        <v>139.75918</v>
      </c>
      <c r="AT14" s="4094" t="n">
        <v>125.22612</v>
      </c>
      <c r="AU14" s="4096" t="n">
        <v>128.09291</v>
      </c>
      <c r="AV14" s="4094">
        <f>SUM(F14:Q14)</f>
        <v/>
      </c>
      <c r="AW14" s="4094">
        <f>SUM(R14:AC14)</f>
        <v/>
      </c>
      <c r="AX14" s="4094">
        <f>SUM(AD14:AO14)</f>
        <v/>
      </c>
      <c r="AY14" s="4094">
        <f>SUM(AH14:AS14)</f>
        <v/>
      </c>
      <c r="AZ14" s="4094">
        <f>SUM(AJ14:AU14)</f>
        <v/>
      </c>
      <c r="BA14" s="3737" t="n"/>
      <c r="BB14" s="4097">
        <f>IFERROR(F14/F$117,0)</f>
        <v/>
      </c>
      <c r="BC14" s="4097">
        <f>IFERROR(G14/G$117,0)</f>
        <v/>
      </c>
      <c r="BD14" s="4097">
        <f>IFERROR(H14/H$117,0)</f>
        <v/>
      </c>
      <c r="BE14" s="4097">
        <f>IFERROR(I14/I$117,0)</f>
        <v/>
      </c>
      <c r="BF14" s="4097">
        <f>IFERROR(J14/J$117,0)</f>
        <v/>
      </c>
      <c r="BG14" s="4097">
        <f>IFERROR(K14/K$117,0)</f>
        <v/>
      </c>
      <c r="BH14" s="4097">
        <f>IFERROR(L14/L$117,0)</f>
        <v/>
      </c>
      <c r="BI14" s="4097">
        <f>IFERROR(M14/M$117,0)</f>
        <v/>
      </c>
      <c r="BJ14" s="4097">
        <f>IFERROR(N14/N$117,0)</f>
        <v/>
      </c>
      <c r="BK14" s="4097">
        <f>IFERROR(O14/O$117,0)</f>
        <v/>
      </c>
      <c r="BL14" s="4097">
        <f>IFERROR(P14/P$117,0)</f>
        <v/>
      </c>
      <c r="BM14" s="4098">
        <f>IFERROR(Q14/Q$117,0)</f>
        <v/>
      </c>
      <c r="BN14" s="4097">
        <f>IFERROR(R14/R$117,0)</f>
        <v/>
      </c>
      <c r="BO14" s="4097">
        <f>IFERROR(S14/S$117,0)</f>
        <v/>
      </c>
      <c r="BP14" s="4097">
        <f>IFERROR(T14/T$117,0)</f>
        <v/>
      </c>
      <c r="BQ14" s="4097">
        <f>IFERROR(U14/U$117,0)</f>
        <v/>
      </c>
      <c r="BR14" s="4097">
        <f>IFERROR(V14/V$117,0)</f>
        <v/>
      </c>
      <c r="BS14" s="4097">
        <f>IFERROR(W14/W$117,0)</f>
        <v/>
      </c>
      <c r="BT14" s="4097">
        <f>IFERROR(X14/X$117,0)</f>
        <v/>
      </c>
      <c r="BU14" s="4097">
        <f>IFERROR(Y14/Y$117,0)</f>
        <v/>
      </c>
      <c r="BV14" s="4097">
        <f>IFERROR(Z14/Z$117,0)</f>
        <v/>
      </c>
      <c r="BW14" s="4097">
        <f>IFERROR(AA14/AA$117,0)</f>
        <v/>
      </c>
      <c r="BX14" s="4097">
        <f>IFERROR(AB14/AB$117,0)</f>
        <v/>
      </c>
      <c r="BY14" s="4098">
        <f>IFERROR(AC14/AC$117,0)</f>
        <v/>
      </c>
      <c r="BZ14" s="4097">
        <f>IFERROR(AD14/AD$117,0)</f>
        <v/>
      </c>
      <c r="CA14" s="4097">
        <f>IFERROR(AE14/AE$117,0)</f>
        <v/>
      </c>
      <c r="CB14" s="4097">
        <f>IFERROR(AF14/AF$117,0)</f>
        <v/>
      </c>
      <c r="CC14" s="4097">
        <f>IFERROR(AG14/AG$117,0)</f>
        <v/>
      </c>
      <c r="CD14" s="4097">
        <f>IFERROR(AH14/AH$117,0)</f>
        <v/>
      </c>
      <c r="CE14" s="4097">
        <f>IFERROR(AI14/AI$117,0)</f>
        <v/>
      </c>
      <c r="CF14" s="4097">
        <f>IFERROR(AJ14/AJ$117,0)</f>
        <v/>
      </c>
      <c r="CG14" s="4097">
        <f>IFERROR(AK14/AK$117,0)</f>
        <v/>
      </c>
      <c r="CH14" s="4097">
        <f>IFERROR(AL14/AL$117,0)</f>
        <v/>
      </c>
      <c r="CI14" s="4097">
        <f>IFERROR(AM14/AM$117,0)</f>
        <v/>
      </c>
      <c r="CJ14" s="4097">
        <f>IFERROR(AN14/AN$117,0)</f>
        <v/>
      </c>
      <c r="CK14" s="4098">
        <f>IFERROR(AO14/AO$117,0)</f>
        <v/>
      </c>
      <c r="CL14" s="4097">
        <f>IFERROR(AP14/AP$117,0)</f>
        <v/>
      </c>
      <c r="CM14" s="4097">
        <f>IFERROR(AQ14/AQ$117,0)</f>
        <v/>
      </c>
      <c r="CN14" s="4097">
        <f>IFERROR(AR14/AR$117,0)</f>
        <v/>
      </c>
      <c r="CO14" s="4097">
        <f>IFERROR(AS14/AS$117,0)</f>
        <v/>
      </c>
      <c r="CP14" s="4097">
        <f>IFERROR(AT14/AT$117,0)</f>
        <v/>
      </c>
      <c r="CQ14" s="4099">
        <f>IFERROR(AU14/AU$117,0)</f>
        <v/>
      </c>
      <c r="CR14" s="4097">
        <f>IFERROR(AV14/AV$117,0)</f>
        <v/>
      </c>
      <c r="CS14" s="4097">
        <f>IFERROR(AW14/AW$117,0)</f>
        <v/>
      </c>
      <c r="CT14" s="4097">
        <f>IFERROR(AX14/AX$117,0)</f>
        <v/>
      </c>
      <c r="CU14" s="4097">
        <f>IFERROR(AY14/AY$117,0)</f>
        <v/>
      </c>
      <c r="CV14" s="4097">
        <f>IFERROR(AZ14/AZ$117,0)</f>
        <v/>
      </c>
      <c r="CW14" s="3737" t="n"/>
      <c r="CX14" s="4094" t="n">
        <v>893.60288</v>
      </c>
    </row>
    <row r="15" hidden="1" outlineLevel="2" ht="12" customFormat="1" customHeight="1" s="3737">
      <c r="A15" s="4059" t="n"/>
      <c r="B15" s="4060" t="n"/>
      <c r="C15" s="4092" t="inlineStr">
        <is>
          <t>Interest income-other</t>
        </is>
      </c>
      <c r="D15" s="4093" t="inlineStr">
        <is>
          <t>ADJ</t>
        </is>
      </c>
      <c r="E15" s="4093">
        <f>CONCATENATE(D15," - ",C15)</f>
        <v/>
      </c>
      <c r="F15" s="4094" t="n"/>
      <c r="G15" s="4094" t="n"/>
      <c r="H15" s="4094" t="n"/>
      <c r="I15" s="4094" t="n"/>
      <c r="J15" s="4094" t="n"/>
      <c r="K15" s="4094" t="n"/>
      <c r="L15" s="4094" t="n"/>
      <c r="M15" s="4094" t="n"/>
      <c r="N15" s="4094" t="n"/>
      <c r="O15" s="4094" t="n"/>
      <c r="P15" s="4094" t="n"/>
      <c r="Q15" s="4095" t="n"/>
      <c r="R15" s="4094" t="n"/>
      <c r="S15" s="4094" t="n"/>
      <c r="T15" s="4094" t="n"/>
      <c r="U15" s="4094" t="n"/>
      <c r="V15" s="4094" t="n"/>
      <c r="W15" s="4094" t="n"/>
      <c r="X15" s="4094" t="n"/>
      <c r="Y15" s="4094" t="n"/>
      <c r="Z15" s="4094" t="n"/>
      <c r="AA15" s="4094" t="n"/>
      <c r="AB15" s="4094" t="n"/>
      <c r="AC15" s="4095" t="n"/>
      <c r="AD15" s="4094" t="n"/>
      <c r="AE15" s="4094" t="n"/>
      <c r="AF15" s="4094" t="n"/>
      <c r="AG15" s="4094" t="n"/>
      <c r="AH15" s="4094" t="n"/>
      <c r="AI15" s="4094" t="n"/>
      <c r="AJ15" s="4094" t="n"/>
      <c r="AK15" s="4094" t="n"/>
      <c r="AL15" s="4094" t="n"/>
      <c r="AM15" s="4094" t="n"/>
      <c r="AN15" s="4094" t="n"/>
      <c r="AO15" s="4095" t="n"/>
      <c r="AP15" s="4094" t="n">
        <v>0</v>
      </c>
      <c r="AQ15" s="4094" t="n">
        <v>0</v>
      </c>
      <c r="AR15" s="4094" t="n">
        <v>0</v>
      </c>
      <c r="AS15" s="4094" t="n">
        <v>0</v>
      </c>
      <c r="AT15" s="4094" t="n">
        <v>0</v>
      </c>
      <c r="AU15" s="4096" t="n">
        <v>0</v>
      </c>
      <c r="AV15" s="4094">
        <f>SUM(F15:Q15)</f>
        <v/>
      </c>
      <c r="AW15" s="4094">
        <f>SUM(R15:AC15)</f>
        <v/>
      </c>
      <c r="AX15" s="4094">
        <f>SUM(AD15:AO15)</f>
        <v/>
      </c>
      <c r="AY15" s="4094">
        <f>SUM(AH15:AS15)</f>
        <v/>
      </c>
      <c r="AZ15" s="4094">
        <f>SUM(AJ15:AU15)</f>
        <v/>
      </c>
      <c r="BA15" s="3737" t="n"/>
      <c r="BB15" s="4097">
        <f>IFERROR(F15/F$117,0)</f>
        <v/>
      </c>
      <c r="BC15" s="4097">
        <f>IFERROR(G15/G$117,0)</f>
        <v/>
      </c>
      <c r="BD15" s="4097">
        <f>IFERROR(H15/H$117,0)</f>
        <v/>
      </c>
      <c r="BE15" s="4097">
        <f>IFERROR(I15/I$117,0)</f>
        <v/>
      </c>
      <c r="BF15" s="4097">
        <f>IFERROR(J15/J$117,0)</f>
        <v/>
      </c>
      <c r="BG15" s="4097">
        <f>IFERROR(K15/K$117,0)</f>
        <v/>
      </c>
      <c r="BH15" s="4097">
        <f>IFERROR(L15/L$117,0)</f>
        <v/>
      </c>
      <c r="BI15" s="4097">
        <f>IFERROR(M15/M$117,0)</f>
        <v/>
      </c>
      <c r="BJ15" s="4097">
        <f>IFERROR(N15/N$117,0)</f>
        <v/>
      </c>
      <c r="BK15" s="4097">
        <f>IFERROR(O15/O$117,0)</f>
        <v/>
      </c>
      <c r="BL15" s="4097">
        <f>IFERROR(P15/P$117,0)</f>
        <v/>
      </c>
      <c r="BM15" s="4098">
        <f>IFERROR(Q15/Q$117,0)</f>
        <v/>
      </c>
      <c r="BN15" s="4097">
        <f>IFERROR(R15/R$117,0)</f>
        <v/>
      </c>
      <c r="BO15" s="4097">
        <f>IFERROR(S15/S$117,0)</f>
        <v/>
      </c>
      <c r="BP15" s="4097">
        <f>IFERROR(T15/T$117,0)</f>
        <v/>
      </c>
      <c r="BQ15" s="4097">
        <f>IFERROR(U15/U$117,0)</f>
        <v/>
      </c>
      <c r="BR15" s="4097">
        <f>IFERROR(V15/V$117,0)</f>
        <v/>
      </c>
      <c r="BS15" s="4097">
        <f>IFERROR(W15/W$117,0)</f>
        <v/>
      </c>
      <c r="BT15" s="4097">
        <f>IFERROR(X15/X$117,0)</f>
        <v/>
      </c>
      <c r="BU15" s="4097">
        <f>IFERROR(Y15/Y$117,0)</f>
        <v/>
      </c>
      <c r="BV15" s="4097">
        <f>IFERROR(Z15/Z$117,0)</f>
        <v/>
      </c>
      <c r="BW15" s="4097">
        <f>IFERROR(AA15/AA$117,0)</f>
        <v/>
      </c>
      <c r="BX15" s="4097">
        <f>IFERROR(AB15/AB$117,0)</f>
        <v/>
      </c>
      <c r="BY15" s="4098">
        <f>IFERROR(AC15/AC$117,0)</f>
        <v/>
      </c>
      <c r="BZ15" s="4097">
        <f>IFERROR(AD15/AD$117,0)</f>
        <v/>
      </c>
      <c r="CA15" s="4097">
        <f>IFERROR(AE15/AE$117,0)</f>
        <v/>
      </c>
      <c r="CB15" s="4097">
        <f>IFERROR(AF15/AF$117,0)</f>
        <v/>
      </c>
      <c r="CC15" s="4097">
        <f>IFERROR(AG15/AG$117,0)</f>
        <v/>
      </c>
      <c r="CD15" s="4097">
        <f>IFERROR(AH15/AH$117,0)</f>
        <v/>
      </c>
      <c r="CE15" s="4097">
        <f>IFERROR(AI15/AI$117,0)</f>
        <v/>
      </c>
      <c r="CF15" s="4097">
        <f>IFERROR(AJ15/AJ$117,0)</f>
        <v/>
      </c>
      <c r="CG15" s="4097">
        <f>IFERROR(AK15/AK$117,0)</f>
        <v/>
      </c>
      <c r="CH15" s="4097">
        <f>IFERROR(AL15/AL$117,0)</f>
        <v/>
      </c>
      <c r="CI15" s="4097">
        <f>IFERROR(AM15/AM$117,0)</f>
        <v/>
      </c>
      <c r="CJ15" s="4097">
        <f>IFERROR(AN15/AN$117,0)</f>
        <v/>
      </c>
      <c r="CK15" s="4098">
        <f>IFERROR(AO15/AO$117,0)</f>
        <v/>
      </c>
      <c r="CL15" s="4097">
        <f>IFERROR(AP15/AP$117,0)</f>
        <v/>
      </c>
      <c r="CM15" s="4097">
        <f>IFERROR(AQ15/AQ$117,0)</f>
        <v/>
      </c>
      <c r="CN15" s="4097">
        <f>IFERROR(AR15/AR$117,0)</f>
        <v/>
      </c>
      <c r="CO15" s="4097">
        <f>IFERROR(AS15/AS$117,0)</f>
        <v/>
      </c>
      <c r="CP15" s="4097">
        <f>IFERROR(AT15/AT$117,0)</f>
        <v/>
      </c>
      <c r="CQ15" s="4099">
        <f>IFERROR(AU15/AU$117,0)</f>
        <v/>
      </c>
      <c r="CR15" s="4097">
        <f>IFERROR(AV15/AV$117,0)</f>
        <v/>
      </c>
      <c r="CS15" s="4097">
        <f>IFERROR(AW15/AW$117,0)</f>
        <v/>
      </c>
      <c r="CT15" s="4097">
        <f>IFERROR(AX15/AX$117,0)</f>
        <v/>
      </c>
      <c r="CU15" s="4097">
        <f>IFERROR(AY15/AY$117,0)</f>
        <v/>
      </c>
      <c r="CV15" s="4097">
        <f>IFERROR(AZ15/AZ$117,0)</f>
        <v/>
      </c>
      <c r="CW15" s="3737" t="n"/>
      <c r="CX15" s="4094" t="n">
        <v>0</v>
      </c>
    </row>
    <row r="16" hidden="1" outlineLevel="2" ht="12" customFormat="1" customHeight="1" s="3737">
      <c r="A16" s="4059" t="n"/>
      <c r="B16" s="4060" t="n"/>
      <c r="C16" s="4092" t="inlineStr">
        <is>
          <t>Png transactions revenue - scd</t>
        </is>
      </c>
      <c r="D16" s="4093" t="n">
        <v>411102</v>
      </c>
      <c r="E16" s="4093">
        <f>CONCATENATE(D16," - ",C16)</f>
        <v/>
      </c>
      <c r="F16" s="4094" t="n"/>
      <c r="G16" s="4094" t="n"/>
      <c r="H16" s="4094" t="n"/>
      <c r="I16" s="4094" t="n"/>
      <c r="J16" s="4094" t="n"/>
      <c r="K16" s="4094" t="n"/>
      <c r="L16" s="4094" t="n"/>
      <c r="M16" s="4094" t="n"/>
      <c r="N16" s="4094" t="n"/>
      <c r="O16" s="4094" t="n"/>
      <c r="P16" s="4094" t="n"/>
      <c r="Q16" s="4095" t="n"/>
      <c r="R16" s="4094" t="n"/>
      <c r="S16" s="4094" t="n"/>
      <c r="T16" s="4094" t="n"/>
      <c r="U16" s="4094" t="n"/>
      <c r="V16" s="4094" t="n"/>
      <c r="W16" s="4094" t="n"/>
      <c r="X16" s="4094" t="n"/>
      <c r="Y16" s="4094" t="n"/>
      <c r="Z16" s="4094" t="n"/>
      <c r="AA16" s="4094" t="n"/>
      <c r="AB16" s="4094" t="n"/>
      <c r="AC16" s="4095" t="n"/>
      <c r="AD16" s="4094" t="n"/>
      <c r="AE16" s="4094" t="n"/>
      <c r="AF16" s="4094" t="n"/>
      <c r="AG16" s="4094" t="n"/>
      <c r="AH16" s="4094" t="n"/>
      <c r="AI16" s="4094" t="n"/>
      <c r="AJ16" s="4094" t="n"/>
      <c r="AK16" s="4094" t="n"/>
      <c r="AL16" s="4094" t="n"/>
      <c r="AM16" s="4094" t="n"/>
      <c r="AN16" s="4094" t="n"/>
      <c r="AO16" s="4095" t="n"/>
      <c r="AP16" s="4094" t="n">
        <v>88.06383</v>
      </c>
      <c r="AQ16" s="4094" t="n">
        <v>86.56468</v>
      </c>
      <c r="AR16" s="4094" t="n">
        <v>95.66202</v>
      </c>
      <c r="AS16" s="4094" t="n">
        <v>98.06959999999999</v>
      </c>
      <c r="AT16" s="4094" t="n">
        <v>106.39485</v>
      </c>
      <c r="AU16" s="4096" t="n">
        <v>102.30183</v>
      </c>
      <c r="AV16" s="4094">
        <f>SUM(F16:Q16)</f>
        <v/>
      </c>
      <c r="AW16" s="4094">
        <f>SUM(R16:AC16)</f>
        <v/>
      </c>
      <c r="AX16" s="4094">
        <f>SUM(AD16:AO16)</f>
        <v/>
      </c>
      <c r="AY16" s="4094">
        <f>SUM(AH16:AS16)</f>
        <v/>
      </c>
      <c r="AZ16" s="4094">
        <f>SUM(AJ16:AU16)</f>
        <v/>
      </c>
      <c r="BA16" s="3737" t="n"/>
      <c r="BB16" s="4097">
        <f>IFERROR(F16/F$117,0)</f>
        <v/>
      </c>
      <c r="BC16" s="4097">
        <f>IFERROR(G16/G$117,0)</f>
        <v/>
      </c>
      <c r="BD16" s="4097">
        <f>IFERROR(H16/H$117,0)</f>
        <v/>
      </c>
      <c r="BE16" s="4097">
        <f>IFERROR(I16/I$117,0)</f>
        <v/>
      </c>
      <c r="BF16" s="4097">
        <f>IFERROR(J16/J$117,0)</f>
        <v/>
      </c>
      <c r="BG16" s="4097">
        <f>IFERROR(K16/K$117,0)</f>
        <v/>
      </c>
      <c r="BH16" s="4097">
        <f>IFERROR(L16/L$117,0)</f>
        <v/>
      </c>
      <c r="BI16" s="4097">
        <f>IFERROR(M16/M$117,0)</f>
        <v/>
      </c>
      <c r="BJ16" s="4097">
        <f>IFERROR(N16/N$117,0)</f>
        <v/>
      </c>
      <c r="BK16" s="4097">
        <f>IFERROR(O16/O$117,0)</f>
        <v/>
      </c>
      <c r="BL16" s="4097">
        <f>IFERROR(P16/P$117,0)</f>
        <v/>
      </c>
      <c r="BM16" s="4098">
        <f>IFERROR(Q16/Q$117,0)</f>
        <v/>
      </c>
      <c r="BN16" s="4097">
        <f>IFERROR(R16/R$117,0)</f>
        <v/>
      </c>
      <c r="BO16" s="4097">
        <f>IFERROR(S16/S$117,0)</f>
        <v/>
      </c>
      <c r="BP16" s="4097">
        <f>IFERROR(T16/T$117,0)</f>
        <v/>
      </c>
      <c r="BQ16" s="4097">
        <f>IFERROR(U16/U$117,0)</f>
        <v/>
      </c>
      <c r="BR16" s="4097">
        <f>IFERROR(V16/V$117,0)</f>
        <v/>
      </c>
      <c r="BS16" s="4097">
        <f>IFERROR(W16/W$117,0)</f>
        <v/>
      </c>
      <c r="BT16" s="4097">
        <f>IFERROR(X16/X$117,0)</f>
        <v/>
      </c>
      <c r="BU16" s="4097">
        <f>IFERROR(Y16/Y$117,0)</f>
        <v/>
      </c>
      <c r="BV16" s="4097">
        <f>IFERROR(Z16/Z$117,0)</f>
        <v/>
      </c>
      <c r="BW16" s="4097">
        <f>IFERROR(AA16/AA$117,0)</f>
        <v/>
      </c>
      <c r="BX16" s="4097">
        <f>IFERROR(AB16/AB$117,0)</f>
        <v/>
      </c>
      <c r="BY16" s="4098">
        <f>IFERROR(AC16/AC$117,0)</f>
        <v/>
      </c>
      <c r="BZ16" s="4097">
        <f>IFERROR(AD16/AD$117,0)</f>
        <v/>
      </c>
      <c r="CA16" s="4097">
        <f>IFERROR(AE16/AE$117,0)</f>
        <v/>
      </c>
      <c r="CB16" s="4097">
        <f>IFERROR(AF16/AF$117,0)</f>
        <v/>
      </c>
      <c r="CC16" s="4097">
        <f>IFERROR(AG16/AG$117,0)</f>
        <v/>
      </c>
      <c r="CD16" s="4097">
        <f>IFERROR(AH16/AH$117,0)</f>
        <v/>
      </c>
      <c r="CE16" s="4097">
        <f>IFERROR(AI16/AI$117,0)</f>
        <v/>
      </c>
      <c r="CF16" s="4097">
        <f>IFERROR(AJ16/AJ$117,0)</f>
        <v/>
      </c>
      <c r="CG16" s="4097">
        <f>IFERROR(AK16/AK$117,0)</f>
        <v/>
      </c>
      <c r="CH16" s="4097">
        <f>IFERROR(AL16/AL$117,0)</f>
        <v/>
      </c>
      <c r="CI16" s="4097">
        <f>IFERROR(AM16/AM$117,0)</f>
        <v/>
      </c>
      <c r="CJ16" s="4097">
        <f>IFERROR(AN16/AN$117,0)</f>
        <v/>
      </c>
      <c r="CK16" s="4098">
        <f>IFERROR(AO16/AO$117,0)</f>
        <v/>
      </c>
      <c r="CL16" s="4097">
        <f>IFERROR(AP16/AP$117,0)</f>
        <v/>
      </c>
      <c r="CM16" s="4097">
        <f>IFERROR(AQ16/AQ$117,0)</f>
        <v/>
      </c>
      <c r="CN16" s="4097">
        <f>IFERROR(AR16/AR$117,0)</f>
        <v/>
      </c>
      <c r="CO16" s="4097">
        <f>IFERROR(AS16/AS$117,0)</f>
        <v/>
      </c>
      <c r="CP16" s="4097">
        <f>IFERROR(AT16/AT$117,0)</f>
        <v/>
      </c>
      <c r="CQ16" s="4099">
        <f>IFERROR(AU16/AU$117,0)</f>
        <v/>
      </c>
      <c r="CR16" s="4097">
        <f>IFERROR(AV16/AV$117,0)</f>
        <v/>
      </c>
      <c r="CS16" s="4097">
        <f>IFERROR(AW16/AW$117,0)</f>
        <v/>
      </c>
      <c r="CT16" s="4097">
        <f>IFERROR(AX16/AX$117,0)</f>
        <v/>
      </c>
      <c r="CU16" s="4097">
        <f>IFERROR(AY16/AY$117,0)</f>
        <v/>
      </c>
      <c r="CV16" s="4097">
        <f>IFERROR(AZ16/AZ$117,0)</f>
        <v/>
      </c>
      <c r="CW16" s="3737" t="n"/>
      <c r="CX16" s="4094" t="n">
        <v>1224.15931</v>
      </c>
    </row>
    <row r="17" hidden="1" outlineLevel="2" ht="12" customFormat="1" customHeight="1" s="3737">
      <c r="A17" s="4059" t="n"/>
      <c r="B17" s="4060" t="n"/>
      <c r="C17" s="4092" t="inlineStr">
        <is>
          <t>Caf revenue</t>
        </is>
      </c>
      <c r="D17" s="4093" t="n">
        <v>411106</v>
      </c>
      <c r="E17" s="4093">
        <f>CONCATENATE(D17," - ",C17)</f>
        <v/>
      </c>
      <c r="F17" s="4094" t="n"/>
      <c r="G17" s="4094" t="n"/>
      <c r="H17" s="4094" t="n"/>
      <c r="I17" s="4094" t="n"/>
      <c r="J17" s="4094" t="n"/>
      <c r="K17" s="4094" t="n"/>
      <c r="L17" s="4094" t="n"/>
      <c r="M17" s="4094" t="n"/>
      <c r="N17" s="4094" t="n"/>
      <c r="O17" s="4094" t="n"/>
      <c r="P17" s="4094" t="n"/>
      <c r="Q17" s="4095" t="n"/>
      <c r="R17" s="4094" t="n"/>
      <c r="S17" s="4094" t="n"/>
      <c r="T17" s="4094" t="n"/>
      <c r="U17" s="4094" t="n"/>
      <c r="V17" s="4094" t="n"/>
      <c r="W17" s="4094" t="n"/>
      <c r="X17" s="4094" t="n"/>
      <c r="Y17" s="4094" t="n"/>
      <c r="Z17" s="4094" t="n"/>
      <c r="AA17" s="4094" t="n"/>
      <c r="AB17" s="4094" t="n"/>
      <c r="AC17" s="4095" t="n"/>
      <c r="AD17" s="4094" t="n"/>
      <c r="AE17" s="4094" t="n"/>
      <c r="AF17" s="4094" t="n"/>
      <c r="AG17" s="4094" t="n"/>
      <c r="AH17" s="4094" t="n"/>
      <c r="AI17" s="4094" t="n"/>
      <c r="AJ17" s="4094" t="n"/>
      <c r="AK17" s="4094" t="n"/>
      <c r="AL17" s="4094" t="n"/>
      <c r="AM17" s="4094" t="n"/>
      <c r="AN17" s="4094" t="n"/>
      <c r="AO17" s="4095" t="n"/>
      <c r="AP17" s="4094" t="n">
        <v>69.43003</v>
      </c>
      <c r="AQ17" s="4094" t="n">
        <v>67.88132</v>
      </c>
      <c r="AR17" s="4094" t="n">
        <v>68.78232</v>
      </c>
      <c r="AS17" s="4094" t="n">
        <v>69.37502000000001</v>
      </c>
      <c r="AT17" s="4094" t="n">
        <v>76.40918000000001</v>
      </c>
      <c r="AU17" s="4096" t="n">
        <v>74.28574999999999</v>
      </c>
      <c r="AV17" s="4094">
        <f>SUM(F17:Q17)</f>
        <v/>
      </c>
      <c r="AW17" s="4094">
        <f>SUM(R17:AC17)</f>
        <v/>
      </c>
      <c r="AX17" s="4094">
        <f>SUM(AD17:AO17)</f>
        <v/>
      </c>
      <c r="AY17" s="4094">
        <f>SUM(AH17:AS17)</f>
        <v/>
      </c>
      <c r="AZ17" s="4094">
        <f>SUM(AJ17:AU17)</f>
        <v/>
      </c>
      <c r="BA17" s="3737" t="n"/>
      <c r="BB17" s="4097">
        <f>IFERROR(F17/F$117,0)</f>
        <v/>
      </c>
      <c r="BC17" s="4097">
        <f>IFERROR(G17/G$117,0)</f>
        <v/>
      </c>
      <c r="BD17" s="4097">
        <f>IFERROR(H17/H$117,0)</f>
        <v/>
      </c>
      <c r="BE17" s="4097">
        <f>IFERROR(I17/I$117,0)</f>
        <v/>
      </c>
      <c r="BF17" s="4097">
        <f>IFERROR(J17/J$117,0)</f>
        <v/>
      </c>
      <c r="BG17" s="4097">
        <f>IFERROR(K17/K$117,0)</f>
        <v/>
      </c>
      <c r="BH17" s="4097">
        <f>IFERROR(L17/L$117,0)</f>
        <v/>
      </c>
      <c r="BI17" s="4097">
        <f>IFERROR(M17/M$117,0)</f>
        <v/>
      </c>
      <c r="BJ17" s="4097">
        <f>IFERROR(N17/N$117,0)</f>
        <v/>
      </c>
      <c r="BK17" s="4097">
        <f>IFERROR(O17/O$117,0)</f>
        <v/>
      </c>
      <c r="BL17" s="4097">
        <f>IFERROR(P17/P$117,0)</f>
        <v/>
      </c>
      <c r="BM17" s="4098">
        <f>IFERROR(Q17/Q$117,0)</f>
        <v/>
      </c>
      <c r="BN17" s="4097">
        <f>IFERROR(R17/R$117,0)</f>
        <v/>
      </c>
      <c r="BO17" s="4097">
        <f>IFERROR(S17/S$117,0)</f>
        <v/>
      </c>
      <c r="BP17" s="4097">
        <f>IFERROR(T17/T$117,0)</f>
        <v/>
      </c>
      <c r="BQ17" s="4097">
        <f>IFERROR(U17/U$117,0)</f>
        <v/>
      </c>
      <c r="BR17" s="4097">
        <f>IFERROR(V17/V$117,0)</f>
        <v/>
      </c>
      <c r="BS17" s="4097">
        <f>IFERROR(W17/W$117,0)</f>
        <v/>
      </c>
      <c r="BT17" s="4097">
        <f>IFERROR(X17/X$117,0)</f>
        <v/>
      </c>
      <c r="BU17" s="4097">
        <f>IFERROR(Y17/Y$117,0)</f>
        <v/>
      </c>
      <c r="BV17" s="4097">
        <f>IFERROR(Z17/Z$117,0)</f>
        <v/>
      </c>
      <c r="BW17" s="4097">
        <f>IFERROR(AA17/AA$117,0)</f>
        <v/>
      </c>
      <c r="BX17" s="4097">
        <f>IFERROR(AB17/AB$117,0)</f>
        <v/>
      </c>
      <c r="BY17" s="4098">
        <f>IFERROR(AC17/AC$117,0)</f>
        <v/>
      </c>
      <c r="BZ17" s="4097">
        <f>IFERROR(AD17/AD$117,0)</f>
        <v/>
      </c>
      <c r="CA17" s="4097">
        <f>IFERROR(AE17/AE$117,0)</f>
        <v/>
      </c>
      <c r="CB17" s="4097">
        <f>IFERROR(AF17/AF$117,0)</f>
        <v/>
      </c>
      <c r="CC17" s="4097">
        <f>IFERROR(AG17/AG$117,0)</f>
        <v/>
      </c>
      <c r="CD17" s="4097">
        <f>IFERROR(AH17/AH$117,0)</f>
        <v/>
      </c>
      <c r="CE17" s="4097">
        <f>IFERROR(AI17/AI$117,0)</f>
        <v/>
      </c>
      <c r="CF17" s="4097">
        <f>IFERROR(AJ17/AJ$117,0)</f>
        <v/>
      </c>
      <c r="CG17" s="4097">
        <f>IFERROR(AK17/AK$117,0)</f>
        <v/>
      </c>
      <c r="CH17" s="4097">
        <f>IFERROR(AL17/AL$117,0)</f>
        <v/>
      </c>
      <c r="CI17" s="4097">
        <f>IFERROR(AM17/AM$117,0)</f>
        <v/>
      </c>
      <c r="CJ17" s="4097">
        <f>IFERROR(AN17/AN$117,0)</f>
        <v/>
      </c>
      <c r="CK17" s="4098">
        <f>IFERROR(AO17/AO$117,0)</f>
        <v/>
      </c>
      <c r="CL17" s="4097">
        <f>IFERROR(AP17/AP$117,0)</f>
        <v/>
      </c>
      <c r="CM17" s="4097">
        <f>IFERROR(AQ17/AQ$117,0)</f>
        <v/>
      </c>
      <c r="CN17" s="4097">
        <f>IFERROR(AR17/AR$117,0)</f>
        <v/>
      </c>
      <c r="CO17" s="4097">
        <f>IFERROR(AS17/AS$117,0)</f>
        <v/>
      </c>
      <c r="CP17" s="4097">
        <f>IFERROR(AT17/AT$117,0)</f>
        <v/>
      </c>
      <c r="CQ17" s="4099">
        <f>IFERROR(AU17/AU$117,0)</f>
        <v/>
      </c>
      <c r="CR17" s="4097">
        <f>IFERROR(AV17/AV$117,0)</f>
        <v/>
      </c>
      <c r="CS17" s="4097">
        <f>IFERROR(AW17/AW$117,0)</f>
        <v/>
      </c>
      <c r="CT17" s="4097">
        <f>IFERROR(AX17/AX$117,0)</f>
        <v/>
      </c>
      <c r="CU17" s="4097">
        <f>IFERROR(AY17/AY$117,0)</f>
        <v/>
      </c>
      <c r="CV17" s="4097">
        <f>IFERROR(AZ17/AZ$117,0)</f>
        <v/>
      </c>
      <c r="CW17" s="3737" t="n"/>
      <c r="CX17" s="4094" t="n">
        <v>755.79962</v>
      </c>
    </row>
    <row r="18" hidden="1" outlineLevel="2" ht="12" customFormat="1" customHeight="1" s="3737">
      <c r="A18" s="4059" t="n"/>
      <c r="B18" s="4060" t="n"/>
      <c r="C18" s="4092" t="inlineStr">
        <is>
          <t>Reporting &amp; other fees</t>
        </is>
      </c>
      <c r="D18" s="4093" t="n">
        <v>411107</v>
      </c>
      <c r="E18" s="4093">
        <f>CONCATENATE(D18," - ",C18)</f>
        <v/>
      </c>
      <c r="F18" s="4094" t="n"/>
      <c r="G18" s="4094" t="n"/>
      <c r="H18" s="4094" t="n"/>
      <c r="I18" s="4094" t="n"/>
      <c r="J18" s="4094" t="n"/>
      <c r="K18" s="4094" t="n"/>
      <c r="L18" s="4094" t="n"/>
      <c r="M18" s="4094" t="n"/>
      <c r="N18" s="4094" t="n"/>
      <c r="O18" s="4094" t="n"/>
      <c r="P18" s="4094" t="n"/>
      <c r="Q18" s="4095" t="n"/>
      <c r="R18" s="4094" t="n"/>
      <c r="S18" s="4094" t="n"/>
      <c r="T18" s="4094" t="n"/>
      <c r="U18" s="4094" t="n"/>
      <c r="V18" s="4094" t="n"/>
      <c r="W18" s="4094" t="n"/>
      <c r="X18" s="4094" t="n"/>
      <c r="Y18" s="4094" t="n"/>
      <c r="Z18" s="4094" t="n"/>
      <c r="AA18" s="4094" t="n"/>
      <c r="AB18" s="4094" t="n"/>
      <c r="AC18" s="4095" t="n"/>
      <c r="AD18" s="4094" t="n"/>
      <c r="AE18" s="4094" t="n"/>
      <c r="AF18" s="4094" t="n"/>
      <c r="AG18" s="4094" t="n"/>
      <c r="AH18" s="4094" t="n"/>
      <c r="AI18" s="4094" t="n"/>
      <c r="AJ18" s="4094" t="n"/>
      <c r="AK18" s="4094" t="n"/>
      <c r="AL18" s="4094" t="n"/>
      <c r="AM18" s="4094" t="n"/>
      <c r="AN18" s="4094" t="n"/>
      <c r="AO18" s="4095" t="n"/>
      <c r="AP18" s="4094" t="n">
        <v>51.54635</v>
      </c>
      <c r="AQ18" s="4094" t="n">
        <v>69.06635</v>
      </c>
      <c r="AR18" s="4094" t="n">
        <v>58.06635</v>
      </c>
      <c r="AS18" s="4094" t="n">
        <v>58.06635</v>
      </c>
      <c r="AT18" s="4094" t="n">
        <v>70.04335</v>
      </c>
      <c r="AU18" s="4096" t="n">
        <v>71.83735</v>
      </c>
      <c r="AV18" s="4094">
        <f>SUM(F18:Q18)</f>
        <v/>
      </c>
      <c r="AW18" s="4094">
        <f>SUM(R18:AC18)</f>
        <v/>
      </c>
      <c r="AX18" s="4094">
        <f>SUM(AD18:AO18)</f>
        <v/>
      </c>
      <c r="AY18" s="4094">
        <f>SUM(AH18:AS18)</f>
        <v/>
      </c>
      <c r="AZ18" s="4094">
        <f>SUM(AJ18:AU18)</f>
        <v/>
      </c>
      <c r="BA18" s="3737" t="n"/>
      <c r="BB18" s="4097">
        <f>IFERROR(F18/F$117,0)</f>
        <v/>
      </c>
      <c r="BC18" s="4097">
        <f>IFERROR(G18/G$117,0)</f>
        <v/>
      </c>
      <c r="BD18" s="4097">
        <f>IFERROR(H18/H$117,0)</f>
        <v/>
      </c>
      <c r="BE18" s="4097">
        <f>IFERROR(I18/I$117,0)</f>
        <v/>
      </c>
      <c r="BF18" s="4097">
        <f>IFERROR(J18/J$117,0)</f>
        <v/>
      </c>
      <c r="BG18" s="4097">
        <f>IFERROR(K18/K$117,0)</f>
        <v/>
      </c>
      <c r="BH18" s="4097">
        <f>IFERROR(L18/L$117,0)</f>
        <v/>
      </c>
      <c r="BI18" s="4097">
        <f>IFERROR(M18/M$117,0)</f>
        <v/>
      </c>
      <c r="BJ18" s="4097">
        <f>IFERROR(N18/N$117,0)</f>
        <v/>
      </c>
      <c r="BK18" s="4097">
        <f>IFERROR(O18/O$117,0)</f>
        <v/>
      </c>
      <c r="BL18" s="4097">
        <f>IFERROR(P18/P$117,0)</f>
        <v/>
      </c>
      <c r="BM18" s="4098">
        <f>IFERROR(Q18/Q$117,0)</f>
        <v/>
      </c>
      <c r="BN18" s="4097">
        <f>IFERROR(R18/R$117,0)</f>
        <v/>
      </c>
      <c r="BO18" s="4097">
        <f>IFERROR(S18/S$117,0)</f>
        <v/>
      </c>
      <c r="BP18" s="4097">
        <f>IFERROR(T18/T$117,0)</f>
        <v/>
      </c>
      <c r="BQ18" s="4097">
        <f>IFERROR(U18/U$117,0)</f>
        <v/>
      </c>
      <c r="BR18" s="4097">
        <f>IFERROR(V18/V$117,0)</f>
        <v/>
      </c>
      <c r="BS18" s="4097">
        <f>IFERROR(W18/W$117,0)</f>
        <v/>
      </c>
      <c r="BT18" s="4097">
        <f>IFERROR(X18/X$117,0)</f>
        <v/>
      </c>
      <c r="BU18" s="4097">
        <f>IFERROR(Y18/Y$117,0)</f>
        <v/>
      </c>
      <c r="BV18" s="4097">
        <f>IFERROR(Z18/Z$117,0)</f>
        <v/>
      </c>
      <c r="BW18" s="4097">
        <f>IFERROR(AA18/AA$117,0)</f>
        <v/>
      </c>
      <c r="BX18" s="4097">
        <f>IFERROR(AB18/AB$117,0)</f>
        <v/>
      </c>
      <c r="BY18" s="4098">
        <f>IFERROR(AC18/AC$117,0)</f>
        <v/>
      </c>
      <c r="BZ18" s="4097">
        <f>IFERROR(AD18/AD$117,0)</f>
        <v/>
      </c>
      <c r="CA18" s="4097">
        <f>IFERROR(AE18/AE$117,0)</f>
        <v/>
      </c>
      <c r="CB18" s="4097">
        <f>IFERROR(AF18/AF$117,0)</f>
        <v/>
      </c>
      <c r="CC18" s="4097">
        <f>IFERROR(AG18/AG$117,0)</f>
        <v/>
      </c>
      <c r="CD18" s="4097">
        <f>IFERROR(AH18/AH$117,0)</f>
        <v/>
      </c>
      <c r="CE18" s="4097">
        <f>IFERROR(AI18/AI$117,0)</f>
        <v/>
      </c>
      <c r="CF18" s="4097">
        <f>IFERROR(AJ18/AJ$117,0)</f>
        <v/>
      </c>
      <c r="CG18" s="4097">
        <f>IFERROR(AK18/AK$117,0)</f>
        <v/>
      </c>
      <c r="CH18" s="4097">
        <f>IFERROR(AL18/AL$117,0)</f>
        <v/>
      </c>
      <c r="CI18" s="4097">
        <f>IFERROR(AM18/AM$117,0)</f>
        <v/>
      </c>
      <c r="CJ18" s="4097">
        <f>IFERROR(AN18/AN$117,0)</f>
        <v/>
      </c>
      <c r="CK18" s="4098">
        <f>IFERROR(AO18/AO$117,0)</f>
        <v/>
      </c>
      <c r="CL18" s="4097">
        <f>IFERROR(AP18/AP$117,0)</f>
        <v/>
      </c>
      <c r="CM18" s="4097">
        <f>IFERROR(AQ18/AQ$117,0)</f>
        <v/>
      </c>
      <c r="CN18" s="4097">
        <f>IFERROR(AR18/AR$117,0)</f>
        <v/>
      </c>
      <c r="CO18" s="4097">
        <f>IFERROR(AS18/AS$117,0)</f>
        <v/>
      </c>
      <c r="CP18" s="4097">
        <f>IFERROR(AT18/AT$117,0)</f>
        <v/>
      </c>
      <c r="CQ18" s="4099">
        <f>IFERROR(AU18/AU$117,0)</f>
        <v/>
      </c>
      <c r="CR18" s="4097">
        <f>IFERROR(AV18/AV$117,0)</f>
        <v/>
      </c>
      <c r="CS18" s="4097">
        <f>IFERROR(AW18/AW$117,0)</f>
        <v/>
      </c>
      <c r="CT18" s="4097">
        <f>IFERROR(AX18/AX$117,0)</f>
        <v/>
      </c>
      <c r="CU18" s="4097">
        <f>IFERROR(AY18/AY$117,0)</f>
        <v/>
      </c>
      <c r="CV18" s="4097">
        <f>IFERROR(AZ18/AZ$117,0)</f>
        <v/>
      </c>
      <c r="CW18" s="3737" t="n"/>
      <c r="CX18" s="4094" t="n">
        <v>426.52635</v>
      </c>
    </row>
    <row r="19" hidden="1" outlineLevel="2" ht="12" customFormat="1" customHeight="1" s="3737">
      <c r="A19" s="4059" t="n"/>
      <c r="B19" s="4060" t="n"/>
      <c r="C19" s="4092" t="inlineStr">
        <is>
          <t>Host connection revenue</t>
        </is>
      </c>
      <c r="D19" s="4093" t="n">
        <v>411114</v>
      </c>
      <c r="E19" s="4093">
        <f>CONCATENATE(D19," - ",C19)</f>
        <v/>
      </c>
      <c r="F19" s="4094" t="n"/>
      <c r="G19" s="4094" t="n"/>
      <c r="H19" s="4094" t="n"/>
      <c r="I19" s="4094" t="n"/>
      <c r="J19" s="4094" t="n"/>
      <c r="K19" s="4094" t="n"/>
      <c r="L19" s="4094" t="n"/>
      <c r="M19" s="4094" t="n"/>
      <c r="N19" s="4094" t="n"/>
      <c r="O19" s="4094" t="n"/>
      <c r="P19" s="4094" t="n"/>
      <c r="Q19" s="4095" t="n"/>
      <c r="R19" s="4094" t="n"/>
      <c r="S19" s="4094" t="n"/>
      <c r="T19" s="4094" t="n"/>
      <c r="U19" s="4094" t="n"/>
      <c r="V19" s="4094" t="n"/>
      <c r="W19" s="4094" t="n"/>
      <c r="X19" s="4094" t="n"/>
      <c r="Y19" s="4094" t="n"/>
      <c r="Z19" s="4094" t="n"/>
      <c r="AA19" s="4094" t="n"/>
      <c r="AB19" s="4094" t="n"/>
      <c r="AC19" s="4095" t="n"/>
      <c r="AD19" s="4094" t="n"/>
      <c r="AE19" s="4094" t="n"/>
      <c r="AF19" s="4094" t="n"/>
      <c r="AG19" s="4094" t="n"/>
      <c r="AH19" s="4094" t="n"/>
      <c r="AI19" s="4094" t="n"/>
      <c r="AJ19" s="4094" t="n"/>
      <c r="AK19" s="4094" t="n"/>
      <c r="AL19" s="4094" t="n"/>
      <c r="AM19" s="4094" t="n"/>
      <c r="AN19" s="4094" t="n"/>
      <c r="AO19" s="4095" t="n"/>
      <c r="AP19" s="4094" t="n">
        <v>35.4445</v>
      </c>
      <c r="AQ19" s="4094" t="n">
        <v>35.4445</v>
      </c>
      <c r="AR19" s="4094" t="n">
        <v>36.3445</v>
      </c>
      <c r="AS19" s="4094" t="n">
        <v>35.4445</v>
      </c>
      <c r="AT19" s="4094" t="n">
        <v>42.8945</v>
      </c>
      <c r="AU19" s="4096" t="n">
        <v>42.8945</v>
      </c>
      <c r="AV19" s="4094">
        <f>SUM(F19:Q19)</f>
        <v/>
      </c>
      <c r="AW19" s="4094">
        <f>SUM(R19:AC19)</f>
        <v/>
      </c>
      <c r="AX19" s="4094">
        <f>SUM(AD19:AO19)</f>
        <v/>
      </c>
      <c r="AY19" s="4094">
        <f>SUM(AH19:AS19)</f>
        <v/>
      </c>
      <c r="AZ19" s="4094">
        <f>SUM(AJ19:AU19)</f>
        <v/>
      </c>
      <c r="BA19" s="3737" t="n"/>
      <c r="BB19" s="4097">
        <f>IFERROR(F19/F$117,0)</f>
        <v/>
      </c>
      <c r="BC19" s="4097">
        <f>IFERROR(G19/G$117,0)</f>
        <v/>
      </c>
      <c r="BD19" s="4097">
        <f>IFERROR(H19/H$117,0)</f>
        <v/>
      </c>
      <c r="BE19" s="4097">
        <f>IFERROR(I19/I$117,0)</f>
        <v/>
      </c>
      <c r="BF19" s="4097">
        <f>IFERROR(J19/J$117,0)</f>
        <v/>
      </c>
      <c r="BG19" s="4097">
        <f>IFERROR(K19/K$117,0)</f>
        <v/>
      </c>
      <c r="BH19" s="4097">
        <f>IFERROR(L19/L$117,0)</f>
        <v/>
      </c>
      <c r="BI19" s="4097">
        <f>IFERROR(M19/M$117,0)</f>
        <v/>
      </c>
      <c r="BJ19" s="4097">
        <f>IFERROR(N19/N$117,0)</f>
        <v/>
      </c>
      <c r="BK19" s="4097">
        <f>IFERROR(O19/O$117,0)</f>
        <v/>
      </c>
      <c r="BL19" s="4097">
        <f>IFERROR(P19/P$117,0)</f>
        <v/>
      </c>
      <c r="BM19" s="4098">
        <f>IFERROR(Q19/Q$117,0)</f>
        <v/>
      </c>
      <c r="BN19" s="4097">
        <f>IFERROR(R19/R$117,0)</f>
        <v/>
      </c>
      <c r="BO19" s="4097">
        <f>IFERROR(S19/S$117,0)</f>
        <v/>
      </c>
      <c r="BP19" s="4097">
        <f>IFERROR(T19/T$117,0)</f>
        <v/>
      </c>
      <c r="BQ19" s="4097">
        <f>IFERROR(U19/U$117,0)</f>
        <v/>
      </c>
      <c r="BR19" s="4097">
        <f>IFERROR(V19/V$117,0)</f>
        <v/>
      </c>
      <c r="BS19" s="4097">
        <f>IFERROR(W19/W$117,0)</f>
        <v/>
      </c>
      <c r="BT19" s="4097">
        <f>IFERROR(X19/X$117,0)</f>
        <v/>
      </c>
      <c r="BU19" s="4097">
        <f>IFERROR(Y19/Y$117,0)</f>
        <v/>
      </c>
      <c r="BV19" s="4097">
        <f>IFERROR(Z19/Z$117,0)</f>
        <v/>
      </c>
      <c r="BW19" s="4097">
        <f>IFERROR(AA19/AA$117,0)</f>
        <v/>
      </c>
      <c r="BX19" s="4097">
        <f>IFERROR(AB19/AB$117,0)</f>
        <v/>
      </c>
      <c r="BY19" s="4098">
        <f>IFERROR(AC19/AC$117,0)</f>
        <v/>
      </c>
      <c r="BZ19" s="4097">
        <f>IFERROR(AD19/AD$117,0)</f>
        <v/>
      </c>
      <c r="CA19" s="4097">
        <f>IFERROR(AE19/AE$117,0)</f>
        <v/>
      </c>
      <c r="CB19" s="4097">
        <f>IFERROR(AF19/AF$117,0)</f>
        <v/>
      </c>
      <c r="CC19" s="4097">
        <f>IFERROR(AG19/AG$117,0)</f>
        <v/>
      </c>
      <c r="CD19" s="4097">
        <f>IFERROR(AH19/AH$117,0)</f>
        <v/>
      </c>
      <c r="CE19" s="4097">
        <f>IFERROR(AI19/AI$117,0)</f>
        <v/>
      </c>
      <c r="CF19" s="4097">
        <f>IFERROR(AJ19/AJ$117,0)</f>
        <v/>
      </c>
      <c r="CG19" s="4097">
        <f>IFERROR(AK19/AK$117,0)</f>
        <v/>
      </c>
      <c r="CH19" s="4097">
        <f>IFERROR(AL19/AL$117,0)</f>
        <v/>
      </c>
      <c r="CI19" s="4097">
        <f>IFERROR(AM19/AM$117,0)</f>
        <v/>
      </c>
      <c r="CJ19" s="4097">
        <f>IFERROR(AN19/AN$117,0)</f>
        <v/>
      </c>
      <c r="CK19" s="4098">
        <f>IFERROR(AO19/AO$117,0)</f>
        <v/>
      </c>
      <c r="CL19" s="4097">
        <f>IFERROR(AP19/AP$117,0)</f>
        <v/>
      </c>
      <c r="CM19" s="4097">
        <f>IFERROR(AQ19/AQ$117,0)</f>
        <v/>
      </c>
      <c r="CN19" s="4097">
        <f>IFERROR(AR19/AR$117,0)</f>
        <v/>
      </c>
      <c r="CO19" s="4097">
        <f>IFERROR(AS19/AS$117,0)</f>
        <v/>
      </c>
      <c r="CP19" s="4097">
        <f>IFERROR(AT19/AT$117,0)</f>
        <v/>
      </c>
      <c r="CQ19" s="4099">
        <f>IFERROR(AU19/AU$117,0)</f>
        <v/>
      </c>
      <c r="CR19" s="4097">
        <f>IFERROR(AV19/AV$117,0)</f>
        <v/>
      </c>
      <c r="CS19" s="4097">
        <f>IFERROR(AW19/AW$117,0)</f>
        <v/>
      </c>
      <c r="CT19" s="4097">
        <f>IFERROR(AX19/AX$117,0)</f>
        <v/>
      </c>
      <c r="CU19" s="4097">
        <f>IFERROR(AY19/AY$117,0)</f>
        <v/>
      </c>
      <c r="CV19" s="4097">
        <f>IFERROR(AZ19/AZ$117,0)</f>
        <v/>
      </c>
      <c r="CW19" s="3737" t="n"/>
      <c r="CX19" s="4094" t="n">
        <v>489.934</v>
      </c>
    </row>
    <row r="20" hidden="1" outlineLevel="2" ht="12" customFormat="1" customHeight="1" s="3737">
      <c r="A20" s="4059" t="n"/>
      <c r="B20" s="4060" t="n"/>
      <c r="C20" s="4092" t="inlineStr">
        <is>
          <t>Merchant services credit transaction revenue</t>
        </is>
      </c>
      <c r="D20" s="4093" t="n">
        <v>411104</v>
      </c>
      <c r="E20" s="4093">
        <f>CONCATENATE(D20," - ",C20)</f>
        <v/>
      </c>
      <c r="F20" s="4094" t="n"/>
      <c r="G20" s="4094" t="n"/>
      <c r="H20" s="4094" t="n"/>
      <c r="I20" s="4094" t="n"/>
      <c r="J20" s="4094" t="n"/>
      <c r="K20" s="4094" t="n"/>
      <c r="L20" s="4094" t="n"/>
      <c r="M20" s="4094" t="n"/>
      <c r="N20" s="4094" t="n"/>
      <c r="O20" s="4094" t="n"/>
      <c r="P20" s="4094" t="n"/>
      <c r="Q20" s="4095" t="n"/>
      <c r="R20" s="4094" t="n"/>
      <c r="S20" s="4094" t="n"/>
      <c r="T20" s="4094" t="n"/>
      <c r="U20" s="4094" t="n"/>
      <c r="V20" s="4094" t="n"/>
      <c r="W20" s="4094" t="n"/>
      <c r="X20" s="4094" t="n"/>
      <c r="Y20" s="4094" t="n"/>
      <c r="Z20" s="4094" t="n"/>
      <c r="AA20" s="4094" t="n"/>
      <c r="AB20" s="4094" t="n"/>
      <c r="AC20" s="4095" t="n"/>
      <c r="AD20" s="4094" t="n"/>
      <c r="AE20" s="4094" t="n"/>
      <c r="AF20" s="4094" t="n"/>
      <c r="AG20" s="4094" t="n"/>
      <c r="AH20" s="4094" t="n"/>
      <c r="AI20" s="4094" t="n"/>
      <c r="AJ20" s="4094" t="n"/>
      <c r="AK20" s="4094" t="n"/>
      <c r="AL20" s="4094" t="n"/>
      <c r="AM20" s="4094" t="n"/>
      <c r="AN20" s="4094" t="n"/>
      <c r="AO20" s="4095" t="n"/>
      <c r="AP20" s="4094" t="n">
        <v>28.96289</v>
      </c>
      <c r="AQ20" s="4094" t="n">
        <v>31.63188</v>
      </c>
      <c r="AR20" s="4094" t="n">
        <v>33.07393</v>
      </c>
      <c r="AS20" s="4094" t="n">
        <v>31.66428</v>
      </c>
      <c r="AT20" s="4094" t="n">
        <v>34.05895</v>
      </c>
      <c r="AU20" s="4096" t="n">
        <v>31.34656</v>
      </c>
      <c r="AV20" s="4094">
        <f>SUM(F20:Q20)</f>
        <v/>
      </c>
      <c r="AW20" s="4094">
        <f>SUM(R20:AC20)</f>
        <v/>
      </c>
      <c r="AX20" s="4094">
        <f>SUM(AD20:AO20)</f>
        <v/>
      </c>
      <c r="AY20" s="4094">
        <f>SUM(AH20:AS20)</f>
        <v/>
      </c>
      <c r="AZ20" s="4094">
        <f>SUM(AJ20:AU20)</f>
        <v/>
      </c>
      <c r="BA20" s="3737" t="n"/>
      <c r="BB20" s="4097">
        <f>IFERROR(F20/F$117,0)</f>
        <v/>
      </c>
      <c r="BC20" s="4097">
        <f>IFERROR(G20/G$117,0)</f>
        <v/>
      </c>
      <c r="BD20" s="4097">
        <f>IFERROR(H20/H$117,0)</f>
        <v/>
      </c>
      <c r="BE20" s="4097">
        <f>IFERROR(I20/I$117,0)</f>
        <v/>
      </c>
      <c r="BF20" s="4097">
        <f>IFERROR(J20/J$117,0)</f>
        <v/>
      </c>
      <c r="BG20" s="4097">
        <f>IFERROR(K20/K$117,0)</f>
        <v/>
      </c>
      <c r="BH20" s="4097">
        <f>IFERROR(L20/L$117,0)</f>
        <v/>
      </c>
      <c r="BI20" s="4097">
        <f>IFERROR(M20/M$117,0)</f>
        <v/>
      </c>
      <c r="BJ20" s="4097">
        <f>IFERROR(N20/N$117,0)</f>
        <v/>
      </c>
      <c r="BK20" s="4097">
        <f>IFERROR(O20/O$117,0)</f>
        <v/>
      </c>
      <c r="BL20" s="4097">
        <f>IFERROR(P20/P$117,0)</f>
        <v/>
      </c>
      <c r="BM20" s="4098">
        <f>IFERROR(Q20/Q$117,0)</f>
        <v/>
      </c>
      <c r="BN20" s="4097">
        <f>IFERROR(R20/R$117,0)</f>
        <v/>
      </c>
      <c r="BO20" s="4097">
        <f>IFERROR(S20/S$117,0)</f>
        <v/>
      </c>
      <c r="BP20" s="4097">
        <f>IFERROR(T20/T$117,0)</f>
        <v/>
      </c>
      <c r="BQ20" s="4097">
        <f>IFERROR(U20/U$117,0)</f>
        <v/>
      </c>
      <c r="BR20" s="4097">
        <f>IFERROR(V20/V$117,0)</f>
        <v/>
      </c>
      <c r="BS20" s="4097">
        <f>IFERROR(W20/W$117,0)</f>
        <v/>
      </c>
      <c r="BT20" s="4097">
        <f>IFERROR(X20/X$117,0)</f>
        <v/>
      </c>
      <c r="BU20" s="4097">
        <f>IFERROR(Y20/Y$117,0)</f>
        <v/>
      </c>
      <c r="BV20" s="4097">
        <f>IFERROR(Z20/Z$117,0)</f>
        <v/>
      </c>
      <c r="BW20" s="4097">
        <f>IFERROR(AA20/AA$117,0)</f>
        <v/>
      </c>
      <c r="BX20" s="4097">
        <f>IFERROR(AB20/AB$117,0)</f>
        <v/>
      </c>
      <c r="BY20" s="4098">
        <f>IFERROR(AC20/AC$117,0)</f>
        <v/>
      </c>
      <c r="BZ20" s="4097">
        <f>IFERROR(AD20/AD$117,0)</f>
        <v/>
      </c>
      <c r="CA20" s="4097">
        <f>IFERROR(AE20/AE$117,0)</f>
        <v/>
      </c>
      <c r="CB20" s="4097">
        <f>IFERROR(AF20/AF$117,0)</f>
        <v/>
      </c>
      <c r="CC20" s="4097">
        <f>IFERROR(AG20/AG$117,0)</f>
        <v/>
      </c>
      <c r="CD20" s="4097">
        <f>IFERROR(AH20/AH$117,0)</f>
        <v/>
      </c>
      <c r="CE20" s="4097">
        <f>IFERROR(AI20/AI$117,0)</f>
        <v/>
      </c>
      <c r="CF20" s="4097">
        <f>IFERROR(AJ20/AJ$117,0)</f>
        <v/>
      </c>
      <c r="CG20" s="4097">
        <f>IFERROR(AK20/AK$117,0)</f>
        <v/>
      </c>
      <c r="CH20" s="4097">
        <f>IFERROR(AL20/AL$117,0)</f>
        <v/>
      </c>
      <c r="CI20" s="4097">
        <f>IFERROR(AM20/AM$117,0)</f>
        <v/>
      </c>
      <c r="CJ20" s="4097">
        <f>IFERROR(AN20/AN$117,0)</f>
        <v/>
      </c>
      <c r="CK20" s="4098">
        <f>IFERROR(AO20/AO$117,0)</f>
        <v/>
      </c>
      <c r="CL20" s="4097">
        <f>IFERROR(AP20/AP$117,0)</f>
        <v/>
      </c>
      <c r="CM20" s="4097">
        <f>IFERROR(AQ20/AQ$117,0)</f>
        <v/>
      </c>
      <c r="CN20" s="4097">
        <f>IFERROR(AR20/AR$117,0)</f>
        <v/>
      </c>
      <c r="CO20" s="4097">
        <f>IFERROR(AS20/AS$117,0)</f>
        <v/>
      </c>
      <c r="CP20" s="4097">
        <f>IFERROR(AT20/AT$117,0)</f>
        <v/>
      </c>
      <c r="CQ20" s="4099">
        <f>IFERROR(AU20/AU$117,0)</f>
        <v/>
      </c>
      <c r="CR20" s="4097">
        <f>IFERROR(AV20/AV$117,0)</f>
        <v/>
      </c>
      <c r="CS20" s="4097">
        <f>IFERROR(AW20/AW$117,0)</f>
        <v/>
      </c>
      <c r="CT20" s="4097">
        <f>IFERROR(AX20/AX$117,0)</f>
        <v/>
      </c>
      <c r="CU20" s="4097">
        <f>IFERROR(AY20/AY$117,0)</f>
        <v/>
      </c>
      <c r="CV20" s="4097">
        <f>IFERROR(AZ20/AZ$117,0)</f>
        <v/>
      </c>
      <c r="CW20" s="3737" t="n"/>
      <c r="CX20" s="4094" t="n">
        <v>124.66668</v>
      </c>
    </row>
    <row r="21" hidden="1" outlineLevel="2" ht="12" customFormat="1" customHeight="1" s="3737">
      <c r="A21" s="4059" t="n"/>
      <c r="B21" s="4060" t="n"/>
      <c r="C21" s="4092" t="inlineStr">
        <is>
          <t>E hub money transfer</t>
        </is>
      </c>
      <c r="D21" s="4093" t="n">
        <v>411102</v>
      </c>
      <c r="E21" s="4093">
        <f>CONCATENATE(D21," - ",C21)</f>
        <v/>
      </c>
      <c r="F21" s="4094" t="n"/>
      <c r="G21" s="4094" t="n"/>
      <c r="H21" s="4094" t="n"/>
      <c r="I21" s="4094" t="n"/>
      <c r="J21" s="4094" t="n"/>
      <c r="K21" s="4094" t="n"/>
      <c r="L21" s="4094" t="n"/>
      <c r="M21" s="4094" t="n"/>
      <c r="N21" s="4094" t="n"/>
      <c r="O21" s="4094" t="n"/>
      <c r="P21" s="4094" t="n"/>
      <c r="Q21" s="4095" t="n"/>
      <c r="R21" s="4094" t="n"/>
      <c r="S21" s="4094" t="n"/>
      <c r="T21" s="4094" t="n"/>
      <c r="U21" s="4094" t="n"/>
      <c r="V21" s="4094" t="n"/>
      <c r="W21" s="4094" t="n"/>
      <c r="X21" s="4094" t="n"/>
      <c r="Y21" s="4094" t="n"/>
      <c r="Z21" s="4094" t="n"/>
      <c r="AA21" s="4094" t="n"/>
      <c r="AB21" s="4094" t="n"/>
      <c r="AC21" s="4095" t="n"/>
      <c r="AD21" s="4094" t="n"/>
      <c r="AE21" s="4094" t="n"/>
      <c r="AF21" s="4094" t="n"/>
      <c r="AG21" s="4094" t="n"/>
      <c r="AH21" s="4094" t="n"/>
      <c r="AI21" s="4094" t="n"/>
      <c r="AJ21" s="4094" t="n"/>
      <c r="AK21" s="4094" t="n"/>
      <c r="AL21" s="4094" t="n"/>
      <c r="AM21" s="4094" t="n"/>
      <c r="AN21" s="4094" t="n"/>
      <c r="AO21" s="4095" t="n"/>
      <c r="AP21" s="4094" t="n">
        <v>51.26563</v>
      </c>
      <c r="AQ21" s="4094" t="n">
        <v>56.11116</v>
      </c>
      <c r="AR21" s="4094" t="n">
        <v>70.15837999999999</v>
      </c>
      <c r="AS21" s="4094" t="n">
        <v>53.22705</v>
      </c>
      <c r="AT21" s="4094" t="n">
        <v>102.35467</v>
      </c>
      <c r="AU21" s="4096" t="n">
        <v>93.21207</v>
      </c>
      <c r="AV21" s="4094">
        <f>SUM(F21:Q21)</f>
        <v/>
      </c>
      <c r="AW21" s="4094">
        <f>SUM(R21:AC21)</f>
        <v/>
      </c>
      <c r="AX21" s="4094">
        <f>SUM(AD21:AO21)</f>
        <v/>
      </c>
      <c r="AY21" s="4094">
        <f>SUM(AH21:AS21)</f>
        <v/>
      </c>
      <c r="AZ21" s="4094">
        <f>SUM(AJ21:AU21)</f>
        <v/>
      </c>
      <c r="BA21" s="3737" t="n"/>
      <c r="BB21" s="4097">
        <f>IFERROR(F21/F$117,0)</f>
        <v/>
      </c>
      <c r="BC21" s="4097">
        <f>IFERROR(G21/G$117,0)</f>
        <v/>
      </c>
      <c r="BD21" s="4097">
        <f>IFERROR(H21/H$117,0)</f>
        <v/>
      </c>
      <c r="BE21" s="4097">
        <f>IFERROR(I21/I$117,0)</f>
        <v/>
      </c>
      <c r="BF21" s="4097">
        <f>IFERROR(J21/J$117,0)</f>
        <v/>
      </c>
      <c r="BG21" s="4097">
        <f>IFERROR(K21/K$117,0)</f>
        <v/>
      </c>
      <c r="BH21" s="4097">
        <f>IFERROR(L21/L$117,0)</f>
        <v/>
      </c>
      <c r="BI21" s="4097">
        <f>IFERROR(M21/M$117,0)</f>
        <v/>
      </c>
      <c r="BJ21" s="4097">
        <f>IFERROR(N21/N$117,0)</f>
        <v/>
      </c>
      <c r="BK21" s="4097">
        <f>IFERROR(O21/O$117,0)</f>
        <v/>
      </c>
      <c r="BL21" s="4097">
        <f>IFERROR(P21/P$117,0)</f>
        <v/>
      </c>
      <c r="BM21" s="4098">
        <f>IFERROR(Q21/Q$117,0)</f>
        <v/>
      </c>
      <c r="BN21" s="4097">
        <f>IFERROR(R21/R$117,0)</f>
        <v/>
      </c>
      <c r="BO21" s="4097">
        <f>IFERROR(S21/S$117,0)</f>
        <v/>
      </c>
      <c r="BP21" s="4097">
        <f>IFERROR(T21/T$117,0)</f>
        <v/>
      </c>
      <c r="BQ21" s="4097">
        <f>IFERROR(U21/U$117,0)</f>
        <v/>
      </c>
      <c r="BR21" s="4097">
        <f>IFERROR(V21/V$117,0)</f>
        <v/>
      </c>
      <c r="BS21" s="4097">
        <f>IFERROR(W21/W$117,0)</f>
        <v/>
      </c>
      <c r="BT21" s="4097">
        <f>IFERROR(X21/X$117,0)</f>
        <v/>
      </c>
      <c r="BU21" s="4097">
        <f>IFERROR(Y21/Y$117,0)</f>
        <v/>
      </c>
      <c r="BV21" s="4097">
        <f>IFERROR(Z21/Z$117,0)</f>
        <v/>
      </c>
      <c r="BW21" s="4097">
        <f>IFERROR(AA21/AA$117,0)</f>
        <v/>
      </c>
      <c r="BX21" s="4097">
        <f>IFERROR(AB21/AB$117,0)</f>
        <v/>
      </c>
      <c r="BY21" s="4098">
        <f>IFERROR(AC21/AC$117,0)</f>
        <v/>
      </c>
      <c r="BZ21" s="4097">
        <f>IFERROR(AD21/AD$117,0)</f>
        <v/>
      </c>
      <c r="CA21" s="4097">
        <f>IFERROR(AE21/AE$117,0)</f>
        <v/>
      </c>
      <c r="CB21" s="4097">
        <f>IFERROR(AF21/AF$117,0)</f>
        <v/>
      </c>
      <c r="CC21" s="4097">
        <f>IFERROR(AG21/AG$117,0)</f>
        <v/>
      </c>
      <c r="CD21" s="4097">
        <f>IFERROR(AH21/AH$117,0)</f>
        <v/>
      </c>
      <c r="CE21" s="4097">
        <f>IFERROR(AI21/AI$117,0)</f>
        <v/>
      </c>
      <c r="CF21" s="4097">
        <f>IFERROR(AJ21/AJ$117,0)</f>
        <v/>
      </c>
      <c r="CG21" s="4097">
        <f>IFERROR(AK21/AK$117,0)</f>
        <v/>
      </c>
      <c r="CH21" s="4097">
        <f>IFERROR(AL21/AL$117,0)</f>
        <v/>
      </c>
      <c r="CI21" s="4097">
        <f>IFERROR(AM21/AM$117,0)</f>
        <v/>
      </c>
      <c r="CJ21" s="4097">
        <f>IFERROR(AN21/AN$117,0)</f>
        <v/>
      </c>
      <c r="CK21" s="4098">
        <f>IFERROR(AO21/AO$117,0)</f>
        <v/>
      </c>
      <c r="CL21" s="4097">
        <f>IFERROR(AP21/AP$117,0)</f>
        <v/>
      </c>
      <c r="CM21" s="4097">
        <f>IFERROR(AQ21/AQ$117,0)</f>
        <v/>
      </c>
      <c r="CN21" s="4097">
        <f>IFERROR(AR21/AR$117,0)</f>
        <v/>
      </c>
      <c r="CO21" s="4097">
        <f>IFERROR(AS21/AS$117,0)</f>
        <v/>
      </c>
      <c r="CP21" s="4097">
        <f>IFERROR(AT21/AT$117,0)</f>
        <v/>
      </c>
      <c r="CQ21" s="4099">
        <f>IFERROR(AU21/AU$117,0)</f>
        <v/>
      </c>
      <c r="CR21" s="4097">
        <f>IFERROR(AV21/AV$117,0)</f>
        <v/>
      </c>
      <c r="CS21" s="4097">
        <f>IFERROR(AW21/AW$117,0)</f>
        <v/>
      </c>
      <c r="CT21" s="4097">
        <f>IFERROR(AX21/AX$117,0)</f>
        <v/>
      </c>
      <c r="CU21" s="4097">
        <f>IFERROR(AY21/AY$117,0)</f>
        <v/>
      </c>
      <c r="CV21" s="4097">
        <f>IFERROR(AZ21/AZ$117,0)</f>
        <v/>
      </c>
      <c r="CW21" s="3737" t="n"/>
      <c r="CX21" s="4094" t="n">
        <v>0</v>
      </c>
    </row>
    <row r="22" hidden="1" outlineLevel="2" ht="12" customFormat="1" customHeight="1" s="3737">
      <c r="A22" s="4059" t="n"/>
      <c r="B22" s="4060" t="n"/>
      <c r="C22" s="4092" t="inlineStr">
        <is>
          <t>Switch fee - in-app transactions</t>
        </is>
      </c>
      <c r="D22" s="4093" t="n">
        <v>411110</v>
      </c>
      <c r="E22" s="4093">
        <f>CONCATENATE(D22," - ",C22)</f>
        <v/>
      </c>
      <c r="F22" s="4094" t="n"/>
      <c r="G22" s="4094" t="n"/>
      <c r="H22" s="4094" t="n"/>
      <c r="I22" s="4094" t="n"/>
      <c r="J22" s="4094" t="n"/>
      <c r="K22" s="4094" t="n"/>
      <c r="L22" s="4094" t="n"/>
      <c r="M22" s="4094" t="n"/>
      <c r="N22" s="4094" t="n"/>
      <c r="O22" s="4094" t="n"/>
      <c r="P22" s="4094" t="n"/>
      <c r="Q22" s="4095" t="n"/>
      <c r="R22" s="4094" t="n"/>
      <c r="S22" s="4094" t="n"/>
      <c r="T22" s="4094" t="n"/>
      <c r="U22" s="4094" t="n"/>
      <c r="V22" s="4094" t="n"/>
      <c r="W22" s="4094" t="n"/>
      <c r="X22" s="4094" t="n"/>
      <c r="Y22" s="4094" t="n"/>
      <c r="Z22" s="4094" t="n"/>
      <c r="AA22" s="4094" t="n"/>
      <c r="AB22" s="4094" t="n"/>
      <c r="AC22" s="4095" t="n"/>
      <c r="AD22" s="4094" t="n"/>
      <c r="AE22" s="4094" t="n"/>
      <c r="AF22" s="4094" t="n"/>
      <c r="AG22" s="4094" t="n"/>
      <c r="AH22" s="4094" t="n"/>
      <c r="AI22" s="4094" t="n"/>
      <c r="AJ22" s="4094" t="n"/>
      <c r="AK22" s="4094" t="n"/>
      <c r="AL22" s="4094" t="n"/>
      <c r="AM22" s="4094" t="n"/>
      <c r="AN22" s="4094" t="n"/>
      <c r="AO22" s="4095" t="n"/>
      <c r="AP22" s="4094" t="n">
        <v>10.31596</v>
      </c>
      <c r="AQ22" s="4094" t="n">
        <v>9.119</v>
      </c>
      <c r="AR22" s="4094" t="n">
        <v>9.98405</v>
      </c>
      <c r="AS22" s="4094" t="n">
        <v>9.830679999999999</v>
      </c>
      <c r="AT22" s="4094" t="n">
        <v>9.779059999999999</v>
      </c>
      <c r="AU22" s="4096" t="n">
        <v>9.806279999999999</v>
      </c>
      <c r="AV22" s="4094">
        <f>SUM(F22:Q22)</f>
        <v/>
      </c>
      <c r="AW22" s="4094">
        <f>SUM(R22:AC22)</f>
        <v/>
      </c>
      <c r="AX22" s="4094">
        <f>SUM(AD22:AO22)</f>
        <v/>
      </c>
      <c r="AY22" s="4094">
        <f>SUM(AH22:AS22)</f>
        <v/>
      </c>
      <c r="AZ22" s="4094">
        <f>SUM(AJ22:AU22)</f>
        <v/>
      </c>
      <c r="BA22" s="3737" t="n"/>
      <c r="BB22" s="4097">
        <f>IFERROR(F22/F$117,0)</f>
        <v/>
      </c>
      <c r="BC22" s="4097">
        <f>IFERROR(G22/G$117,0)</f>
        <v/>
      </c>
      <c r="BD22" s="4097">
        <f>IFERROR(H22/H$117,0)</f>
        <v/>
      </c>
      <c r="BE22" s="4097">
        <f>IFERROR(I22/I$117,0)</f>
        <v/>
      </c>
      <c r="BF22" s="4097">
        <f>IFERROR(J22/J$117,0)</f>
        <v/>
      </c>
      <c r="BG22" s="4097">
        <f>IFERROR(K22/K$117,0)</f>
        <v/>
      </c>
      <c r="BH22" s="4097">
        <f>IFERROR(L22/L$117,0)</f>
        <v/>
      </c>
      <c r="BI22" s="4097">
        <f>IFERROR(M22/M$117,0)</f>
        <v/>
      </c>
      <c r="BJ22" s="4097">
        <f>IFERROR(N22/N$117,0)</f>
        <v/>
      </c>
      <c r="BK22" s="4097">
        <f>IFERROR(O22/O$117,0)</f>
        <v/>
      </c>
      <c r="BL22" s="4097">
        <f>IFERROR(P22/P$117,0)</f>
        <v/>
      </c>
      <c r="BM22" s="4098">
        <f>IFERROR(Q22/Q$117,0)</f>
        <v/>
      </c>
      <c r="BN22" s="4097">
        <f>IFERROR(R22/R$117,0)</f>
        <v/>
      </c>
      <c r="BO22" s="4097">
        <f>IFERROR(S22/S$117,0)</f>
        <v/>
      </c>
      <c r="BP22" s="4097">
        <f>IFERROR(T22/T$117,0)</f>
        <v/>
      </c>
      <c r="BQ22" s="4097">
        <f>IFERROR(U22/U$117,0)</f>
        <v/>
      </c>
      <c r="BR22" s="4097">
        <f>IFERROR(V22/V$117,0)</f>
        <v/>
      </c>
      <c r="BS22" s="4097">
        <f>IFERROR(W22/W$117,0)</f>
        <v/>
      </c>
      <c r="BT22" s="4097">
        <f>IFERROR(X22/X$117,0)</f>
        <v/>
      </c>
      <c r="BU22" s="4097">
        <f>IFERROR(Y22/Y$117,0)</f>
        <v/>
      </c>
      <c r="BV22" s="4097">
        <f>IFERROR(Z22/Z$117,0)</f>
        <v/>
      </c>
      <c r="BW22" s="4097">
        <f>IFERROR(AA22/AA$117,0)</f>
        <v/>
      </c>
      <c r="BX22" s="4097">
        <f>IFERROR(AB22/AB$117,0)</f>
        <v/>
      </c>
      <c r="BY22" s="4098">
        <f>IFERROR(AC22/AC$117,0)</f>
        <v/>
      </c>
      <c r="BZ22" s="4097">
        <f>IFERROR(AD22/AD$117,0)</f>
        <v/>
      </c>
      <c r="CA22" s="4097">
        <f>IFERROR(AE22/AE$117,0)</f>
        <v/>
      </c>
      <c r="CB22" s="4097">
        <f>IFERROR(AF22/AF$117,0)</f>
        <v/>
      </c>
      <c r="CC22" s="4097">
        <f>IFERROR(AG22/AG$117,0)</f>
        <v/>
      </c>
      <c r="CD22" s="4097">
        <f>IFERROR(AH22/AH$117,0)</f>
        <v/>
      </c>
      <c r="CE22" s="4097">
        <f>IFERROR(AI22/AI$117,0)</f>
        <v/>
      </c>
      <c r="CF22" s="4097">
        <f>IFERROR(AJ22/AJ$117,0)</f>
        <v/>
      </c>
      <c r="CG22" s="4097">
        <f>IFERROR(AK22/AK$117,0)</f>
        <v/>
      </c>
      <c r="CH22" s="4097">
        <f>IFERROR(AL22/AL$117,0)</f>
        <v/>
      </c>
      <c r="CI22" s="4097">
        <f>IFERROR(AM22/AM$117,0)</f>
        <v/>
      </c>
      <c r="CJ22" s="4097">
        <f>IFERROR(AN22/AN$117,0)</f>
        <v/>
      </c>
      <c r="CK22" s="4098">
        <f>IFERROR(AO22/AO$117,0)</f>
        <v/>
      </c>
      <c r="CL22" s="4097">
        <f>IFERROR(AP22/AP$117,0)</f>
        <v/>
      </c>
      <c r="CM22" s="4097">
        <f>IFERROR(AQ22/AQ$117,0)</f>
        <v/>
      </c>
      <c r="CN22" s="4097">
        <f>IFERROR(AR22/AR$117,0)</f>
        <v/>
      </c>
      <c r="CO22" s="4097">
        <f>IFERROR(AS22/AS$117,0)</f>
        <v/>
      </c>
      <c r="CP22" s="4097">
        <f>IFERROR(AT22/AT$117,0)</f>
        <v/>
      </c>
      <c r="CQ22" s="4099">
        <f>IFERROR(AU22/AU$117,0)</f>
        <v/>
      </c>
      <c r="CR22" s="4097">
        <f>IFERROR(AV22/AV$117,0)</f>
        <v/>
      </c>
      <c r="CS22" s="4097">
        <f>IFERROR(AW22/AW$117,0)</f>
        <v/>
      </c>
      <c r="CT22" s="4097">
        <f>IFERROR(AX22/AX$117,0)</f>
        <v/>
      </c>
      <c r="CU22" s="4097">
        <f>IFERROR(AY22/AY$117,0)</f>
        <v/>
      </c>
      <c r="CV22" s="4097">
        <f>IFERROR(AZ22/AZ$117,0)</f>
        <v/>
      </c>
      <c r="CW22" s="3737" t="n"/>
      <c r="CX22" s="4094" t="n">
        <v>57.49521</v>
      </c>
    </row>
    <row r="23" hidden="1" outlineLevel="2" ht="12" customFormat="1" customHeight="1" s="3737">
      <c r="A23" s="4059" t="n"/>
      <c r="B23" s="4060" t="n"/>
      <c r="C23" s="4092" t="inlineStr">
        <is>
          <t>White-label atm transaction revenue (2018-)</t>
        </is>
      </c>
      <c r="D23" s="4093" t="n">
        <v>411102</v>
      </c>
      <c r="E23" s="4093">
        <f>CONCATENATE(D23," - ",C23)</f>
        <v/>
      </c>
      <c r="F23" s="4094" t="n"/>
      <c r="G23" s="4094" t="n"/>
      <c r="H23" s="4094" t="n"/>
      <c r="I23" s="4094" t="n"/>
      <c r="J23" s="4094" t="n"/>
      <c r="K23" s="4094" t="n"/>
      <c r="L23" s="4094" t="n"/>
      <c r="M23" s="4094" t="n"/>
      <c r="N23" s="4094" t="n"/>
      <c r="O23" s="4094" t="n"/>
      <c r="P23" s="4094" t="n"/>
      <c r="Q23" s="4095" t="n"/>
      <c r="R23" s="4094" t="n"/>
      <c r="S23" s="4094" t="n"/>
      <c r="T23" s="4094" t="n"/>
      <c r="U23" s="4094" t="n"/>
      <c r="V23" s="4094" t="n"/>
      <c r="W23" s="4094" t="n"/>
      <c r="X23" s="4094" t="n"/>
      <c r="Y23" s="4094" t="n"/>
      <c r="Z23" s="4094" t="n"/>
      <c r="AA23" s="4094" t="n"/>
      <c r="AB23" s="4094" t="n"/>
      <c r="AC23" s="4095" t="n"/>
      <c r="AD23" s="4094" t="n"/>
      <c r="AE23" s="4094" t="n"/>
      <c r="AF23" s="4094" t="n"/>
      <c r="AG23" s="4094" t="n"/>
      <c r="AH23" s="4094" t="n"/>
      <c r="AI23" s="4094" t="n"/>
      <c r="AJ23" s="4094" t="n"/>
      <c r="AK23" s="4094" t="n"/>
      <c r="AL23" s="4094" t="n"/>
      <c r="AM23" s="4094" t="n"/>
      <c r="AN23" s="4094" t="n"/>
      <c r="AO23" s="4095" t="n"/>
      <c r="AP23" s="4094" t="n">
        <v>3.23509</v>
      </c>
      <c r="AQ23" s="4094" t="n">
        <v>3.12583</v>
      </c>
      <c r="AR23" s="4094" t="n">
        <v>3.44118</v>
      </c>
      <c r="AS23" s="4094" t="n">
        <v>3.34088</v>
      </c>
      <c r="AT23" s="4094" t="n">
        <v>3.55673</v>
      </c>
      <c r="AU23" s="4096" t="n">
        <v>3.37948</v>
      </c>
      <c r="AV23" s="4094">
        <f>SUM(F23:Q23)</f>
        <v/>
      </c>
      <c r="AW23" s="4094">
        <f>SUM(R23:AC23)</f>
        <v/>
      </c>
      <c r="AX23" s="4094">
        <f>SUM(AD23:AO23)</f>
        <v/>
      </c>
      <c r="AY23" s="4094">
        <f>SUM(AH23:AS23)</f>
        <v/>
      </c>
      <c r="AZ23" s="4094">
        <f>SUM(AJ23:AU23)</f>
        <v/>
      </c>
      <c r="BA23" s="3737" t="n"/>
      <c r="BB23" s="4097">
        <f>IFERROR(F23/F$117,0)</f>
        <v/>
      </c>
      <c r="BC23" s="4097">
        <f>IFERROR(G23/G$117,0)</f>
        <v/>
      </c>
      <c r="BD23" s="4097">
        <f>IFERROR(H23/H$117,0)</f>
        <v/>
      </c>
      <c r="BE23" s="4097">
        <f>IFERROR(I23/I$117,0)</f>
        <v/>
      </c>
      <c r="BF23" s="4097">
        <f>IFERROR(J23/J$117,0)</f>
        <v/>
      </c>
      <c r="BG23" s="4097">
        <f>IFERROR(K23/K$117,0)</f>
        <v/>
      </c>
      <c r="BH23" s="4097">
        <f>IFERROR(L23/L$117,0)</f>
        <v/>
      </c>
      <c r="BI23" s="4097">
        <f>IFERROR(M23/M$117,0)</f>
        <v/>
      </c>
      <c r="BJ23" s="4097">
        <f>IFERROR(N23/N$117,0)</f>
        <v/>
      </c>
      <c r="BK23" s="4097">
        <f>IFERROR(O23/O$117,0)</f>
        <v/>
      </c>
      <c r="BL23" s="4097">
        <f>IFERROR(P23/P$117,0)</f>
        <v/>
      </c>
      <c r="BM23" s="4098">
        <f>IFERROR(Q23/Q$117,0)</f>
        <v/>
      </c>
      <c r="BN23" s="4097">
        <f>IFERROR(R23/R$117,0)</f>
        <v/>
      </c>
      <c r="BO23" s="4097">
        <f>IFERROR(S23/S$117,0)</f>
        <v/>
      </c>
      <c r="BP23" s="4097">
        <f>IFERROR(T23/T$117,0)</f>
        <v/>
      </c>
      <c r="BQ23" s="4097">
        <f>IFERROR(U23/U$117,0)</f>
        <v/>
      </c>
      <c r="BR23" s="4097">
        <f>IFERROR(V23/V$117,0)</f>
        <v/>
      </c>
      <c r="BS23" s="4097">
        <f>IFERROR(W23/W$117,0)</f>
        <v/>
      </c>
      <c r="BT23" s="4097">
        <f>IFERROR(X23/X$117,0)</f>
        <v/>
      </c>
      <c r="BU23" s="4097">
        <f>IFERROR(Y23/Y$117,0)</f>
        <v/>
      </c>
      <c r="BV23" s="4097">
        <f>IFERROR(Z23/Z$117,0)</f>
        <v/>
      </c>
      <c r="BW23" s="4097">
        <f>IFERROR(AA23/AA$117,0)</f>
        <v/>
      </c>
      <c r="BX23" s="4097">
        <f>IFERROR(AB23/AB$117,0)</f>
        <v/>
      </c>
      <c r="BY23" s="4098">
        <f>IFERROR(AC23/AC$117,0)</f>
        <v/>
      </c>
      <c r="BZ23" s="4097">
        <f>IFERROR(AD23/AD$117,0)</f>
        <v/>
      </c>
      <c r="CA23" s="4097">
        <f>IFERROR(AE23/AE$117,0)</f>
        <v/>
      </c>
      <c r="CB23" s="4097">
        <f>IFERROR(AF23/AF$117,0)</f>
        <v/>
      </c>
      <c r="CC23" s="4097">
        <f>IFERROR(AG23/AG$117,0)</f>
        <v/>
      </c>
      <c r="CD23" s="4097">
        <f>IFERROR(AH23/AH$117,0)</f>
        <v/>
      </c>
      <c r="CE23" s="4097">
        <f>IFERROR(AI23/AI$117,0)</f>
        <v/>
      </c>
      <c r="CF23" s="4097">
        <f>IFERROR(AJ23/AJ$117,0)</f>
        <v/>
      </c>
      <c r="CG23" s="4097">
        <f>IFERROR(AK23/AK$117,0)</f>
        <v/>
      </c>
      <c r="CH23" s="4097">
        <f>IFERROR(AL23/AL$117,0)</f>
        <v/>
      </c>
      <c r="CI23" s="4097">
        <f>IFERROR(AM23/AM$117,0)</f>
        <v/>
      </c>
      <c r="CJ23" s="4097">
        <f>IFERROR(AN23/AN$117,0)</f>
        <v/>
      </c>
      <c r="CK23" s="4098">
        <f>IFERROR(AO23/AO$117,0)</f>
        <v/>
      </c>
      <c r="CL23" s="4097">
        <f>IFERROR(AP23/AP$117,0)</f>
        <v/>
      </c>
      <c r="CM23" s="4097">
        <f>IFERROR(AQ23/AQ$117,0)</f>
        <v/>
      </c>
      <c r="CN23" s="4097">
        <f>IFERROR(AR23/AR$117,0)</f>
        <v/>
      </c>
      <c r="CO23" s="4097">
        <f>IFERROR(AS23/AS$117,0)</f>
        <v/>
      </c>
      <c r="CP23" s="4097">
        <f>IFERROR(AT23/AT$117,0)</f>
        <v/>
      </c>
      <c r="CQ23" s="4099">
        <f>IFERROR(AU23/AU$117,0)</f>
        <v/>
      </c>
      <c r="CR23" s="4097">
        <f>IFERROR(AV23/AV$117,0)</f>
        <v/>
      </c>
      <c r="CS23" s="4097">
        <f>IFERROR(AW23/AW$117,0)</f>
        <v/>
      </c>
      <c r="CT23" s="4097">
        <f>IFERROR(AX23/AX$117,0)</f>
        <v/>
      </c>
      <c r="CU23" s="4097">
        <f>IFERROR(AY23/AY$117,0)</f>
        <v/>
      </c>
      <c r="CV23" s="4097">
        <f>IFERROR(AZ23/AZ$117,0)</f>
        <v/>
      </c>
      <c r="CW23" s="3737" t="n"/>
      <c r="CX23" s="4094" t="n">
        <v>148.01661</v>
      </c>
    </row>
    <row r="24" hidden="1" outlineLevel="2" ht="12" customFormat="1" customHeight="1" s="3737">
      <c r="A24" s="4059" t="n"/>
      <c r="B24" s="4060" t="n"/>
      <c r="C24" s="4092" t="inlineStr">
        <is>
          <t>Other transaction related revenue</t>
        </is>
      </c>
      <c r="D24" s="4093" t="n">
        <v>411105</v>
      </c>
      <c r="E24" s="4093">
        <f>CONCATENATE(D24," - ",C24)</f>
        <v/>
      </c>
      <c r="F24" s="4094" t="n"/>
      <c r="G24" s="4094" t="n"/>
      <c r="H24" s="4094" t="n"/>
      <c r="I24" s="4094" t="n"/>
      <c r="J24" s="4094" t="n"/>
      <c r="K24" s="4094" t="n"/>
      <c r="L24" s="4094" t="n"/>
      <c r="M24" s="4094" t="n"/>
      <c r="N24" s="4094" t="n"/>
      <c r="O24" s="4094" t="n"/>
      <c r="P24" s="4094" t="n"/>
      <c r="Q24" s="4095" t="n"/>
      <c r="R24" s="4094" t="n"/>
      <c r="S24" s="4094" t="n"/>
      <c r="T24" s="4094" t="n"/>
      <c r="U24" s="4094" t="n"/>
      <c r="V24" s="4094" t="n"/>
      <c r="W24" s="4094" t="n"/>
      <c r="X24" s="4094" t="n"/>
      <c r="Y24" s="4094" t="n"/>
      <c r="Z24" s="4094" t="n"/>
      <c r="AA24" s="4094" t="n"/>
      <c r="AB24" s="4094" t="n"/>
      <c r="AC24" s="4095" t="n"/>
      <c r="AD24" s="4094" t="n"/>
      <c r="AE24" s="4094" t="n"/>
      <c r="AF24" s="4094" t="n"/>
      <c r="AG24" s="4094" t="n"/>
      <c r="AH24" s="4094" t="n"/>
      <c r="AI24" s="4094" t="n"/>
      <c r="AJ24" s="4094" t="n"/>
      <c r="AK24" s="4094" t="n"/>
      <c r="AL24" s="4094" t="n"/>
      <c r="AM24" s="4094" t="n"/>
      <c r="AN24" s="4094" t="n"/>
      <c r="AO24" s="4095" t="n"/>
      <c r="AP24" s="4094" t="n">
        <v>1.99202</v>
      </c>
      <c r="AQ24" s="4094" t="n">
        <v>2.75449</v>
      </c>
      <c r="AR24" s="4094" t="n">
        <v>2.73307</v>
      </c>
      <c r="AS24" s="4094" t="n">
        <v>2.06804</v>
      </c>
      <c r="AT24" s="4094" t="n">
        <v>1.12552</v>
      </c>
      <c r="AU24" s="4096" t="n">
        <v>2.11906</v>
      </c>
      <c r="AV24" s="4094">
        <f>SUM(F24:Q24)</f>
        <v/>
      </c>
      <c r="AW24" s="4094">
        <f>SUM(R24:AC24)</f>
        <v/>
      </c>
      <c r="AX24" s="4094">
        <f>SUM(AD24:AO24)</f>
        <v/>
      </c>
      <c r="AY24" s="4094">
        <f>SUM(AH24:AS24)</f>
        <v/>
      </c>
      <c r="AZ24" s="4094">
        <f>SUM(AJ24:AU24)</f>
        <v/>
      </c>
      <c r="BA24" s="3737" t="n"/>
      <c r="BB24" s="4097">
        <f>IFERROR(F24/F$117,0)</f>
        <v/>
      </c>
      <c r="BC24" s="4097">
        <f>IFERROR(G24/G$117,0)</f>
        <v/>
      </c>
      <c r="BD24" s="4097">
        <f>IFERROR(H24/H$117,0)</f>
        <v/>
      </c>
      <c r="BE24" s="4097">
        <f>IFERROR(I24/I$117,0)</f>
        <v/>
      </c>
      <c r="BF24" s="4097">
        <f>IFERROR(J24/J$117,0)</f>
        <v/>
      </c>
      <c r="BG24" s="4097">
        <f>IFERROR(K24/K$117,0)</f>
        <v/>
      </c>
      <c r="BH24" s="4097">
        <f>IFERROR(L24/L$117,0)</f>
        <v/>
      </c>
      <c r="BI24" s="4097">
        <f>IFERROR(M24/M$117,0)</f>
        <v/>
      </c>
      <c r="BJ24" s="4097">
        <f>IFERROR(N24/N$117,0)</f>
        <v/>
      </c>
      <c r="BK24" s="4097">
        <f>IFERROR(O24/O$117,0)</f>
        <v/>
      </c>
      <c r="BL24" s="4097">
        <f>IFERROR(P24/P$117,0)</f>
        <v/>
      </c>
      <c r="BM24" s="4098">
        <f>IFERROR(Q24/Q$117,0)</f>
        <v/>
      </c>
      <c r="BN24" s="4097">
        <f>IFERROR(R24/R$117,0)</f>
        <v/>
      </c>
      <c r="BO24" s="4097">
        <f>IFERROR(S24/S$117,0)</f>
        <v/>
      </c>
      <c r="BP24" s="4097">
        <f>IFERROR(T24/T$117,0)</f>
        <v/>
      </c>
      <c r="BQ24" s="4097">
        <f>IFERROR(U24/U$117,0)</f>
        <v/>
      </c>
      <c r="BR24" s="4097">
        <f>IFERROR(V24/V$117,0)</f>
        <v/>
      </c>
      <c r="BS24" s="4097">
        <f>IFERROR(W24/W$117,0)</f>
        <v/>
      </c>
      <c r="BT24" s="4097">
        <f>IFERROR(X24/X$117,0)</f>
        <v/>
      </c>
      <c r="BU24" s="4097">
        <f>IFERROR(Y24/Y$117,0)</f>
        <v/>
      </c>
      <c r="BV24" s="4097">
        <f>IFERROR(Z24/Z$117,0)</f>
        <v/>
      </c>
      <c r="BW24" s="4097">
        <f>IFERROR(AA24/AA$117,0)</f>
        <v/>
      </c>
      <c r="BX24" s="4097">
        <f>IFERROR(AB24/AB$117,0)</f>
        <v/>
      </c>
      <c r="BY24" s="4098">
        <f>IFERROR(AC24/AC$117,0)</f>
        <v/>
      </c>
      <c r="BZ24" s="4097">
        <f>IFERROR(AD24/AD$117,0)</f>
        <v/>
      </c>
      <c r="CA24" s="4097">
        <f>IFERROR(AE24/AE$117,0)</f>
        <v/>
      </c>
      <c r="CB24" s="4097">
        <f>IFERROR(AF24/AF$117,0)</f>
        <v/>
      </c>
      <c r="CC24" s="4097">
        <f>IFERROR(AG24/AG$117,0)</f>
        <v/>
      </c>
      <c r="CD24" s="4097">
        <f>IFERROR(AH24/AH$117,0)</f>
        <v/>
      </c>
      <c r="CE24" s="4097">
        <f>IFERROR(AI24/AI$117,0)</f>
        <v/>
      </c>
      <c r="CF24" s="4097">
        <f>IFERROR(AJ24/AJ$117,0)</f>
        <v/>
      </c>
      <c r="CG24" s="4097">
        <f>IFERROR(AK24/AK$117,0)</f>
        <v/>
      </c>
      <c r="CH24" s="4097">
        <f>IFERROR(AL24/AL$117,0)</f>
        <v/>
      </c>
      <c r="CI24" s="4097">
        <f>IFERROR(AM24/AM$117,0)</f>
        <v/>
      </c>
      <c r="CJ24" s="4097">
        <f>IFERROR(AN24/AN$117,0)</f>
        <v/>
      </c>
      <c r="CK24" s="4098">
        <f>IFERROR(AO24/AO$117,0)</f>
        <v/>
      </c>
      <c r="CL24" s="4097">
        <f>IFERROR(AP24/AP$117,0)</f>
        <v/>
      </c>
      <c r="CM24" s="4097">
        <f>IFERROR(AQ24/AQ$117,0)</f>
        <v/>
      </c>
      <c r="CN24" s="4097">
        <f>IFERROR(AR24/AR$117,0)</f>
        <v/>
      </c>
      <c r="CO24" s="4097">
        <f>IFERROR(AS24/AS$117,0)</f>
        <v/>
      </c>
      <c r="CP24" s="4097">
        <f>IFERROR(AT24/AT$117,0)</f>
        <v/>
      </c>
      <c r="CQ24" s="4099">
        <f>IFERROR(AU24/AU$117,0)</f>
        <v/>
      </c>
      <c r="CR24" s="4097">
        <f>IFERROR(AV24/AV$117,0)</f>
        <v/>
      </c>
      <c r="CS24" s="4097">
        <f>IFERROR(AW24/AW$117,0)</f>
        <v/>
      </c>
      <c r="CT24" s="4097">
        <f>IFERROR(AX24/AX$117,0)</f>
        <v/>
      </c>
      <c r="CU24" s="4097">
        <f>IFERROR(AY24/AY$117,0)</f>
        <v/>
      </c>
      <c r="CV24" s="4097">
        <f>IFERROR(AZ24/AZ$117,0)</f>
        <v/>
      </c>
      <c r="CW24" s="3737" t="n"/>
      <c r="CX24" s="4094" t="n">
        <v>116.4272</v>
      </c>
    </row>
    <row r="25" hidden="1" outlineLevel="2" ht="12" customFormat="1" customHeight="1" s="3737">
      <c r="A25" s="4059" t="n"/>
      <c r="B25" s="4060" t="n"/>
      <c r="C25" s="4092" t="inlineStr">
        <is>
          <t>Contractual minimum fees</t>
        </is>
      </c>
      <c r="D25" s="4093" t="n">
        <v>411109</v>
      </c>
      <c r="E25" s="4093">
        <f>CONCATENATE(D25," - ",C25)</f>
        <v/>
      </c>
      <c r="F25" s="4094" t="n"/>
      <c r="G25" s="4094" t="n"/>
      <c r="H25" s="4094" t="n"/>
      <c r="I25" s="4094" t="n"/>
      <c r="J25" s="4094" t="n"/>
      <c r="K25" s="4094" t="n"/>
      <c r="L25" s="4094" t="n"/>
      <c r="M25" s="4094" t="n"/>
      <c r="N25" s="4094" t="n"/>
      <c r="O25" s="4094" t="n"/>
      <c r="P25" s="4094" t="n"/>
      <c r="Q25" s="4095" t="n"/>
      <c r="R25" s="4094" t="n"/>
      <c r="S25" s="4094" t="n"/>
      <c r="T25" s="4094" t="n"/>
      <c r="U25" s="4094" t="n"/>
      <c r="V25" s="4094" t="n"/>
      <c r="W25" s="4094" t="n"/>
      <c r="X25" s="4094" t="n"/>
      <c r="Y25" s="4094" t="n"/>
      <c r="Z25" s="4094" t="n"/>
      <c r="AA25" s="4094" t="n"/>
      <c r="AB25" s="4094" t="n"/>
      <c r="AC25" s="4095" t="n"/>
      <c r="AD25" s="4094" t="n"/>
      <c r="AE25" s="4094" t="n"/>
      <c r="AF25" s="4094" t="n"/>
      <c r="AG25" s="4094" t="n"/>
      <c r="AH25" s="4094" t="n"/>
      <c r="AI25" s="4094" t="n"/>
      <c r="AJ25" s="4094" t="n"/>
      <c r="AK25" s="4094" t="n"/>
      <c r="AL25" s="4094" t="n"/>
      <c r="AM25" s="4094" t="n"/>
      <c r="AN25" s="4094" t="n"/>
      <c r="AO25" s="4095" t="n"/>
      <c r="AP25" s="4094" t="n">
        <v>4.41285</v>
      </c>
      <c r="AQ25" s="4094" t="n">
        <v>5.89969</v>
      </c>
      <c r="AR25" s="4094" t="n">
        <v>3.73611</v>
      </c>
      <c r="AS25" s="4094" t="n">
        <v>4.04702</v>
      </c>
      <c r="AT25" s="4094" t="n">
        <v>7.12328</v>
      </c>
      <c r="AU25" s="4096" t="n">
        <v>7.85363</v>
      </c>
      <c r="AV25" s="4094">
        <f>SUM(F25:Q25)</f>
        <v/>
      </c>
      <c r="AW25" s="4094">
        <f>SUM(R25:AC25)</f>
        <v/>
      </c>
      <c r="AX25" s="4094">
        <f>SUM(AD25:AO25)</f>
        <v/>
      </c>
      <c r="AY25" s="4094">
        <f>SUM(AH25:AS25)</f>
        <v/>
      </c>
      <c r="AZ25" s="4094">
        <f>SUM(AJ25:AU25)</f>
        <v/>
      </c>
      <c r="BA25" s="3737" t="n"/>
      <c r="BB25" s="4097">
        <f>IFERROR(F25/F$117,0)</f>
        <v/>
      </c>
      <c r="BC25" s="4097">
        <f>IFERROR(G25/G$117,0)</f>
        <v/>
      </c>
      <c r="BD25" s="4097">
        <f>IFERROR(H25/H$117,0)</f>
        <v/>
      </c>
      <c r="BE25" s="4097">
        <f>IFERROR(I25/I$117,0)</f>
        <v/>
      </c>
      <c r="BF25" s="4097">
        <f>IFERROR(J25/J$117,0)</f>
        <v/>
      </c>
      <c r="BG25" s="4097">
        <f>IFERROR(K25/K$117,0)</f>
        <v/>
      </c>
      <c r="BH25" s="4097">
        <f>IFERROR(L25/L$117,0)</f>
        <v/>
      </c>
      <c r="BI25" s="4097">
        <f>IFERROR(M25/M$117,0)</f>
        <v/>
      </c>
      <c r="BJ25" s="4097">
        <f>IFERROR(N25/N$117,0)</f>
        <v/>
      </c>
      <c r="BK25" s="4097">
        <f>IFERROR(O25/O$117,0)</f>
        <v/>
      </c>
      <c r="BL25" s="4097">
        <f>IFERROR(P25/P$117,0)</f>
        <v/>
      </c>
      <c r="BM25" s="4098">
        <f>IFERROR(Q25/Q$117,0)</f>
        <v/>
      </c>
      <c r="BN25" s="4097">
        <f>IFERROR(R25/R$117,0)</f>
        <v/>
      </c>
      <c r="BO25" s="4097">
        <f>IFERROR(S25/S$117,0)</f>
        <v/>
      </c>
      <c r="BP25" s="4097">
        <f>IFERROR(T25/T$117,0)</f>
        <v/>
      </c>
      <c r="BQ25" s="4097">
        <f>IFERROR(U25/U$117,0)</f>
        <v/>
      </c>
      <c r="BR25" s="4097">
        <f>IFERROR(V25/V$117,0)</f>
        <v/>
      </c>
      <c r="BS25" s="4097">
        <f>IFERROR(W25/W$117,0)</f>
        <v/>
      </c>
      <c r="BT25" s="4097">
        <f>IFERROR(X25/X$117,0)</f>
        <v/>
      </c>
      <c r="BU25" s="4097">
        <f>IFERROR(Y25/Y$117,0)</f>
        <v/>
      </c>
      <c r="BV25" s="4097">
        <f>IFERROR(Z25/Z$117,0)</f>
        <v/>
      </c>
      <c r="BW25" s="4097">
        <f>IFERROR(AA25/AA$117,0)</f>
        <v/>
      </c>
      <c r="BX25" s="4097">
        <f>IFERROR(AB25/AB$117,0)</f>
        <v/>
      </c>
      <c r="BY25" s="4098">
        <f>IFERROR(AC25/AC$117,0)</f>
        <v/>
      </c>
      <c r="BZ25" s="4097">
        <f>IFERROR(AD25/AD$117,0)</f>
        <v/>
      </c>
      <c r="CA25" s="4097">
        <f>IFERROR(AE25/AE$117,0)</f>
        <v/>
      </c>
      <c r="CB25" s="4097">
        <f>IFERROR(AF25/AF$117,0)</f>
        <v/>
      </c>
      <c r="CC25" s="4097">
        <f>IFERROR(AG25/AG$117,0)</f>
        <v/>
      </c>
      <c r="CD25" s="4097">
        <f>IFERROR(AH25/AH$117,0)</f>
        <v/>
      </c>
      <c r="CE25" s="4097">
        <f>IFERROR(AI25/AI$117,0)</f>
        <v/>
      </c>
      <c r="CF25" s="4097">
        <f>IFERROR(AJ25/AJ$117,0)</f>
        <v/>
      </c>
      <c r="CG25" s="4097">
        <f>IFERROR(AK25/AK$117,0)</f>
        <v/>
      </c>
      <c r="CH25" s="4097">
        <f>IFERROR(AL25/AL$117,0)</f>
        <v/>
      </c>
      <c r="CI25" s="4097">
        <f>IFERROR(AM25/AM$117,0)</f>
        <v/>
      </c>
      <c r="CJ25" s="4097">
        <f>IFERROR(AN25/AN$117,0)</f>
        <v/>
      </c>
      <c r="CK25" s="4098">
        <f>IFERROR(AO25/AO$117,0)</f>
        <v/>
      </c>
      <c r="CL25" s="4097">
        <f>IFERROR(AP25/AP$117,0)</f>
        <v/>
      </c>
      <c r="CM25" s="4097">
        <f>IFERROR(AQ25/AQ$117,0)</f>
        <v/>
      </c>
      <c r="CN25" s="4097">
        <f>IFERROR(AR25/AR$117,0)</f>
        <v/>
      </c>
      <c r="CO25" s="4097">
        <f>IFERROR(AS25/AS$117,0)</f>
        <v/>
      </c>
      <c r="CP25" s="4097">
        <f>IFERROR(AT25/AT$117,0)</f>
        <v/>
      </c>
      <c r="CQ25" s="4099">
        <f>IFERROR(AU25/AU$117,0)</f>
        <v/>
      </c>
      <c r="CR25" s="4097">
        <f>IFERROR(AV25/AV$117,0)</f>
        <v/>
      </c>
      <c r="CS25" s="4097">
        <f>IFERROR(AW25/AW$117,0)</f>
        <v/>
      </c>
      <c r="CT25" s="4097">
        <f>IFERROR(AX25/AX$117,0)</f>
        <v/>
      </c>
      <c r="CU25" s="4097">
        <f>IFERROR(AY25/AY$117,0)</f>
        <v/>
      </c>
      <c r="CV25" s="4097">
        <f>IFERROR(AZ25/AZ$117,0)</f>
        <v/>
      </c>
      <c r="CW25" s="3737" t="n"/>
      <c r="CX25" s="4094" t="n">
        <v>39.8584</v>
      </c>
    </row>
    <row r="26" hidden="1" outlineLevel="2" ht="12" customFormat="1" customHeight="1" s="3737">
      <c r="A26" s="4059" t="n"/>
      <c r="B26" s="4060" t="n"/>
      <c r="C26" s="4092" t="inlineStr">
        <is>
          <t>Merchant batch close fees</t>
        </is>
      </c>
      <c r="D26" s="4093" t="n">
        <v>411111</v>
      </c>
      <c r="E26" s="4093">
        <f>CONCATENATE(D26," - ",C26)</f>
        <v/>
      </c>
      <c r="F26" s="4094" t="n"/>
      <c r="G26" s="4094" t="n"/>
      <c r="H26" s="4094" t="n"/>
      <c r="I26" s="4094" t="n"/>
      <c r="J26" s="4094" t="n"/>
      <c r="K26" s="4094" t="n"/>
      <c r="L26" s="4094" t="n"/>
      <c r="M26" s="4094" t="n"/>
      <c r="N26" s="4094" t="n"/>
      <c r="O26" s="4094" t="n"/>
      <c r="P26" s="4094" t="n"/>
      <c r="Q26" s="4095" t="n"/>
      <c r="R26" s="4094" t="n"/>
      <c r="S26" s="4094" t="n"/>
      <c r="T26" s="4094" t="n"/>
      <c r="U26" s="4094" t="n"/>
      <c r="V26" s="4094" t="n"/>
      <c r="W26" s="4094" t="n"/>
      <c r="X26" s="4094" t="n"/>
      <c r="Y26" s="4094" t="n"/>
      <c r="Z26" s="4094" t="n"/>
      <c r="AA26" s="4094" t="n"/>
      <c r="AB26" s="4094" t="n"/>
      <c r="AC26" s="4095" t="n"/>
      <c r="AD26" s="4094" t="n"/>
      <c r="AE26" s="4094" t="n"/>
      <c r="AF26" s="4094" t="n"/>
      <c r="AG26" s="4094" t="n"/>
      <c r="AH26" s="4094" t="n"/>
      <c r="AI26" s="4094" t="n"/>
      <c r="AJ26" s="4094" t="n"/>
      <c r="AK26" s="4094" t="n"/>
      <c r="AL26" s="4094" t="n"/>
      <c r="AM26" s="4094" t="n"/>
      <c r="AN26" s="4094" t="n"/>
      <c r="AO26" s="4095" t="n"/>
      <c r="AP26" s="4094" t="n">
        <v>0.0005</v>
      </c>
      <c r="AQ26" s="4094" t="n">
        <v>-5e-05</v>
      </c>
      <c r="AR26" s="4094" t="n">
        <v>0</v>
      </c>
      <c r="AS26" s="4094" t="n">
        <v>0</v>
      </c>
      <c r="AT26" s="4094" t="n">
        <v>0</v>
      </c>
      <c r="AU26" s="4096" t="n">
        <v>0</v>
      </c>
      <c r="AV26" s="4094">
        <f>SUM(F26:Q26)</f>
        <v/>
      </c>
      <c r="AW26" s="4094">
        <f>SUM(R26:AC26)</f>
        <v/>
      </c>
      <c r="AX26" s="4094">
        <f>SUM(AD26:AO26)</f>
        <v/>
      </c>
      <c r="AY26" s="4094">
        <f>SUM(AH26:AS26)</f>
        <v/>
      </c>
      <c r="AZ26" s="4094">
        <f>SUM(AJ26:AU26)</f>
        <v/>
      </c>
      <c r="BA26" s="3737" t="n"/>
      <c r="BB26" s="4097">
        <f>IFERROR(F26/F$117,0)</f>
        <v/>
      </c>
      <c r="BC26" s="4097">
        <f>IFERROR(G26/G$117,0)</f>
        <v/>
      </c>
      <c r="BD26" s="4097">
        <f>IFERROR(H26/H$117,0)</f>
        <v/>
      </c>
      <c r="BE26" s="4097">
        <f>IFERROR(I26/I$117,0)</f>
        <v/>
      </c>
      <c r="BF26" s="4097">
        <f>IFERROR(J26/J$117,0)</f>
        <v/>
      </c>
      <c r="BG26" s="4097">
        <f>IFERROR(K26/K$117,0)</f>
        <v/>
      </c>
      <c r="BH26" s="4097">
        <f>IFERROR(L26/L$117,0)</f>
        <v/>
      </c>
      <c r="BI26" s="4097">
        <f>IFERROR(M26/M$117,0)</f>
        <v/>
      </c>
      <c r="BJ26" s="4097">
        <f>IFERROR(N26/N$117,0)</f>
        <v/>
      </c>
      <c r="BK26" s="4097">
        <f>IFERROR(O26/O$117,0)</f>
        <v/>
      </c>
      <c r="BL26" s="4097">
        <f>IFERROR(P26/P$117,0)</f>
        <v/>
      </c>
      <c r="BM26" s="4098">
        <f>IFERROR(Q26/Q$117,0)</f>
        <v/>
      </c>
      <c r="BN26" s="4097">
        <f>IFERROR(R26/R$117,0)</f>
        <v/>
      </c>
      <c r="BO26" s="4097">
        <f>IFERROR(S26/S$117,0)</f>
        <v/>
      </c>
      <c r="BP26" s="4097">
        <f>IFERROR(T26/T$117,0)</f>
        <v/>
      </c>
      <c r="BQ26" s="4097">
        <f>IFERROR(U26/U$117,0)</f>
        <v/>
      </c>
      <c r="BR26" s="4097">
        <f>IFERROR(V26/V$117,0)</f>
        <v/>
      </c>
      <c r="BS26" s="4097">
        <f>IFERROR(W26/W$117,0)</f>
        <v/>
      </c>
      <c r="BT26" s="4097">
        <f>IFERROR(X26/X$117,0)</f>
        <v/>
      </c>
      <c r="BU26" s="4097">
        <f>IFERROR(Y26/Y$117,0)</f>
        <v/>
      </c>
      <c r="BV26" s="4097">
        <f>IFERROR(Z26/Z$117,0)</f>
        <v/>
      </c>
      <c r="BW26" s="4097">
        <f>IFERROR(AA26/AA$117,0)</f>
        <v/>
      </c>
      <c r="BX26" s="4097">
        <f>IFERROR(AB26/AB$117,0)</f>
        <v/>
      </c>
      <c r="BY26" s="4098">
        <f>IFERROR(AC26/AC$117,0)</f>
        <v/>
      </c>
      <c r="BZ26" s="4097">
        <f>IFERROR(AD26/AD$117,0)</f>
        <v/>
      </c>
      <c r="CA26" s="4097">
        <f>IFERROR(AE26/AE$117,0)</f>
        <v/>
      </c>
      <c r="CB26" s="4097">
        <f>IFERROR(AF26/AF$117,0)</f>
        <v/>
      </c>
      <c r="CC26" s="4097">
        <f>IFERROR(AG26/AG$117,0)</f>
        <v/>
      </c>
      <c r="CD26" s="4097">
        <f>IFERROR(AH26/AH$117,0)</f>
        <v/>
      </c>
      <c r="CE26" s="4097">
        <f>IFERROR(AI26/AI$117,0)</f>
        <v/>
      </c>
      <c r="CF26" s="4097">
        <f>IFERROR(AJ26/AJ$117,0)</f>
        <v/>
      </c>
      <c r="CG26" s="4097">
        <f>IFERROR(AK26/AK$117,0)</f>
        <v/>
      </c>
      <c r="CH26" s="4097">
        <f>IFERROR(AL26/AL$117,0)</f>
        <v/>
      </c>
      <c r="CI26" s="4097">
        <f>IFERROR(AM26/AM$117,0)</f>
        <v/>
      </c>
      <c r="CJ26" s="4097">
        <f>IFERROR(AN26/AN$117,0)</f>
        <v/>
      </c>
      <c r="CK26" s="4098">
        <f>IFERROR(AO26/AO$117,0)</f>
        <v/>
      </c>
      <c r="CL26" s="4097">
        <f>IFERROR(AP26/AP$117,0)</f>
        <v/>
      </c>
      <c r="CM26" s="4097">
        <f>IFERROR(AQ26/AQ$117,0)</f>
        <v/>
      </c>
      <c r="CN26" s="4097">
        <f>IFERROR(AR26/AR$117,0)</f>
        <v/>
      </c>
      <c r="CO26" s="4097">
        <f>IFERROR(AS26/AS$117,0)</f>
        <v/>
      </c>
      <c r="CP26" s="4097">
        <f>IFERROR(AT26/AT$117,0)</f>
        <v/>
      </c>
      <c r="CQ26" s="4099">
        <f>IFERROR(AU26/AU$117,0)</f>
        <v/>
      </c>
      <c r="CR26" s="4097">
        <f>IFERROR(AV26/AV$117,0)</f>
        <v/>
      </c>
      <c r="CS26" s="4097">
        <f>IFERROR(AW26/AW$117,0)</f>
        <v/>
      </c>
      <c r="CT26" s="4097">
        <f>IFERROR(AX26/AX$117,0)</f>
        <v/>
      </c>
      <c r="CU26" s="4097">
        <f>IFERROR(AY26/AY$117,0)</f>
        <v/>
      </c>
      <c r="CV26" s="4097">
        <f>IFERROR(AZ26/AZ$117,0)</f>
        <v/>
      </c>
      <c r="CW26" s="3737" t="n"/>
      <c r="CX26" s="4094" t="n">
        <v>6.70943</v>
      </c>
    </row>
    <row r="27" hidden="1" outlineLevel="2" ht="12" customFormat="1" customHeight="1" s="3737">
      <c r="A27" s="4059" t="n"/>
      <c r="B27" s="4060" t="n"/>
      <c r="C27" s="4092" t="inlineStr">
        <is>
          <t>Merchant residual revenue - square</t>
        </is>
      </c>
      <c r="D27" s="4093" t="n">
        <v>411138</v>
      </c>
      <c r="E27" s="4093">
        <f>CONCATENATE(D27," - ",C27)</f>
        <v/>
      </c>
      <c r="F27" s="4094" t="n"/>
      <c r="G27" s="4094" t="n"/>
      <c r="H27" s="4094" t="n"/>
      <c r="I27" s="4094" t="n"/>
      <c r="J27" s="4094" t="n"/>
      <c r="K27" s="4094" t="n"/>
      <c r="L27" s="4094" t="n"/>
      <c r="M27" s="4094" t="n"/>
      <c r="N27" s="4094" t="n"/>
      <c r="O27" s="4094" t="n"/>
      <c r="P27" s="4094" t="n"/>
      <c r="Q27" s="4095" t="n"/>
      <c r="R27" s="4094" t="n"/>
      <c r="S27" s="4094" t="n"/>
      <c r="T27" s="4094" t="n"/>
      <c r="U27" s="4094" t="n"/>
      <c r="V27" s="4094" t="n"/>
      <c r="W27" s="4094" t="n"/>
      <c r="X27" s="4094" t="n"/>
      <c r="Y27" s="4094" t="n"/>
      <c r="Z27" s="4094" t="n"/>
      <c r="AA27" s="4094" t="n"/>
      <c r="AB27" s="4094" t="n"/>
      <c r="AC27" s="4095" t="n"/>
      <c r="AD27" s="4094" t="n"/>
      <c r="AE27" s="4094" t="n"/>
      <c r="AF27" s="4094" t="n"/>
      <c r="AG27" s="4094" t="n"/>
      <c r="AH27" s="4094" t="n"/>
      <c r="AI27" s="4094" t="n"/>
      <c r="AJ27" s="4094" t="n"/>
      <c r="AK27" s="4094" t="n"/>
      <c r="AL27" s="4094" t="n"/>
      <c r="AM27" s="4094" t="n"/>
      <c r="AN27" s="4094" t="n"/>
      <c r="AO27" s="4095" t="n"/>
      <c r="AP27" s="4094" t="n">
        <v>0</v>
      </c>
      <c r="AQ27" s="4094" t="n">
        <v>0</v>
      </c>
      <c r="AR27" s="4094" t="n">
        <v>0</v>
      </c>
      <c r="AS27" s="4094" t="n">
        <v>0</v>
      </c>
      <c r="AT27" s="4094" t="n">
        <v>0</v>
      </c>
      <c r="AU27" s="4096" t="n">
        <v>0</v>
      </c>
      <c r="AV27" s="4094">
        <f>SUM(F27:Q27)</f>
        <v/>
      </c>
      <c r="AW27" s="4094">
        <f>SUM(R27:AC27)</f>
        <v/>
      </c>
      <c r="AX27" s="4094">
        <f>SUM(AD27:AO27)</f>
        <v/>
      </c>
      <c r="AY27" s="4094">
        <f>SUM(AH27:AS27)</f>
        <v/>
      </c>
      <c r="AZ27" s="4094">
        <f>SUM(AJ27:AU27)</f>
        <v/>
      </c>
      <c r="BA27" s="3737" t="n"/>
      <c r="BB27" s="4097">
        <f>IFERROR(F27/F$117,0)</f>
        <v/>
      </c>
      <c r="BC27" s="4097">
        <f>IFERROR(G27/G$117,0)</f>
        <v/>
      </c>
      <c r="BD27" s="4097">
        <f>IFERROR(H27/H$117,0)</f>
        <v/>
      </c>
      <c r="BE27" s="4097">
        <f>IFERROR(I27/I$117,0)</f>
        <v/>
      </c>
      <c r="BF27" s="4097">
        <f>IFERROR(J27/J$117,0)</f>
        <v/>
      </c>
      <c r="BG27" s="4097">
        <f>IFERROR(K27/K$117,0)</f>
        <v/>
      </c>
      <c r="BH27" s="4097">
        <f>IFERROR(L27/L$117,0)</f>
        <v/>
      </c>
      <c r="BI27" s="4097">
        <f>IFERROR(M27/M$117,0)</f>
        <v/>
      </c>
      <c r="BJ27" s="4097">
        <f>IFERROR(N27/N$117,0)</f>
        <v/>
      </c>
      <c r="BK27" s="4097">
        <f>IFERROR(O27/O$117,0)</f>
        <v/>
      </c>
      <c r="BL27" s="4097">
        <f>IFERROR(P27/P$117,0)</f>
        <v/>
      </c>
      <c r="BM27" s="4098">
        <f>IFERROR(Q27/Q$117,0)</f>
        <v/>
      </c>
      <c r="BN27" s="4097">
        <f>IFERROR(R27/R$117,0)</f>
        <v/>
      </c>
      <c r="BO27" s="4097">
        <f>IFERROR(S27/S$117,0)</f>
        <v/>
      </c>
      <c r="BP27" s="4097">
        <f>IFERROR(T27/T$117,0)</f>
        <v/>
      </c>
      <c r="BQ27" s="4097">
        <f>IFERROR(U27/U$117,0)</f>
        <v/>
      </c>
      <c r="BR27" s="4097">
        <f>IFERROR(V27/V$117,0)</f>
        <v/>
      </c>
      <c r="BS27" s="4097">
        <f>IFERROR(W27/W$117,0)</f>
        <v/>
      </c>
      <c r="BT27" s="4097">
        <f>IFERROR(X27/X$117,0)</f>
        <v/>
      </c>
      <c r="BU27" s="4097">
        <f>IFERROR(Y27/Y$117,0)</f>
        <v/>
      </c>
      <c r="BV27" s="4097">
        <f>IFERROR(Z27/Z$117,0)</f>
        <v/>
      </c>
      <c r="BW27" s="4097">
        <f>IFERROR(AA27/AA$117,0)</f>
        <v/>
      </c>
      <c r="BX27" s="4097">
        <f>IFERROR(AB27/AB$117,0)</f>
        <v/>
      </c>
      <c r="BY27" s="4098">
        <f>IFERROR(AC27/AC$117,0)</f>
        <v/>
      </c>
      <c r="BZ27" s="4097">
        <f>IFERROR(AD27/AD$117,0)</f>
        <v/>
      </c>
      <c r="CA27" s="4097">
        <f>IFERROR(AE27/AE$117,0)</f>
        <v/>
      </c>
      <c r="CB27" s="4097">
        <f>IFERROR(AF27/AF$117,0)</f>
        <v/>
      </c>
      <c r="CC27" s="4097">
        <f>IFERROR(AG27/AG$117,0)</f>
        <v/>
      </c>
      <c r="CD27" s="4097">
        <f>IFERROR(AH27/AH$117,0)</f>
        <v/>
      </c>
      <c r="CE27" s="4097">
        <f>IFERROR(AI27/AI$117,0)</f>
        <v/>
      </c>
      <c r="CF27" s="4097">
        <f>IFERROR(AJ27/AJ$117,0)</f>
        <v/>
      </c>
      <c r="CG27" s="4097">
        <f>IFERROR(AK27/AK$117,0)</f>
        <v/>
      </c>
      <c r="CH27" s="4097">
        <f>IFERROR(AL27/AL$117,0)</f>
        <v/>
      </c>
      <c r="CI27" s="4097">
        <f>IFERROR(AM27/AM$117,0)</f>
        <v/>
      </c>
      <c r="CJ27" s="4097">
        <f>IFERROR(AN27/AN$117,0)</f>
        <v/>
      </c>
      <c r="CK27" s="4098">
        <f>IFERROR(AO27/AO$117,0)</f>
        <v/>
      </c>
      <c r="CL27" s="4097">
        <f>IFERROR(AP27/AP$117,0)</f>
        <v/>
      </c>
      <c r="CM27" s="4097">
        <f>IFERROR(AQ27/AQ$117,0)</f>
        <v/>
      </c>
      <c r="CN27" s="4097">
        <f>IFERROR(AR27/AR$117,0)</f>
        <v/>
      </c>
      <c r="CO27" s="4097">
        <f>IFERROR(AS27/AS$117,0)</f>
        <v/>
      </c>
      <c r="CP27" s="4097">
        <f>IFERROR(AT27/AT$117,0)</f>
        <v/>
      </c>
      <c r="CQ27" s="4099">
        <f>IFERROR(AU27/AU$117,0)</f>
        <v/>
      </c>
      <c r="CR27" s="4097">
        <f>IFERROR(AV27/AV$117,0)</f>
        <v/>
      </c>
      <c r="CS27" s="4097">
        <f>IFERROR(AW27/AW$117,0)</f>
        <v/>
      </c>
      <c r="CT27" s="4097">
        <f>IFERROR(AX27/AX$117,0)</f>
        <v/>
      </c>
      <c r="CU27" s="4097">
        <f>IFERROR(AY27/AY$117,0)</f>
        <v/>
      </c>
      <c r="CV27" s="4097">
        <f>IFERROR(AZ27/AZ$117,0)</f>
        <v/>
      </c>
      <c r="CW27" s="3737" t="n"/>
      <c r="CX27" s="4094" t="n">
        <v>0.77818</v>
      </c>
    </row>
    <row r="28" hidden="1" outlineLevel="2" ht="12" customFormat="1" customHeight="1" s="3737">
      <c r="A28" s="4059" t="n"/>
      <c r="B28" s="4060" t="n"/>
      <c r="C28" s="4092" t="inlineStr">
        <is>
          <t>Merchant residual revenue - chase</t>
        </is>
      </c>
      <c r="D28" s="4093" t="n">
        <v>411139</v>
      </c>
      <c r="E28" s="4093">
        <f>CONCATENATE(D28," - ",C28)</f>
        <v/>
      </c>
      <c r="F28" s="4094" t="n"/>
      <c r="G28" s="4094" t="n"/>
      <c r="H28" s="4094" t="n"/>
      <c r="I28" s="4094" t="n"/>
      <c r="J28" s="4094" t="n"/>
      <c r="K28" s="4094" t="n"/>
      <c r="L28" s="4094" t="n"/>
      <c r="M28" s="4094" t="n"/>
      <c r="N28" s="4094" t="n"/>
      <c r="O28" s="4094" t="n"/>
      <c r="P28" s="4094" t="n"/>
      <c r="Q28" s="4095" t="n"/>
      <c r="R28" s="4094" t="n"/>
      <c r="S28" s="4094" t="n"/>
      <c r="T28" s="4094" t="n"/>
      <c r="U28" s="4094" t="n"/>
      <c r="V28" s="4094" t="n"/>
      <c r="W28" s="4094" t="n"/>
      <c r="X28" s="4094" t="n"/>
      <c r="Y28" s="4094" t="n"/>
      <c r="Z28" s="4094" t="n"/>
      <c r="AA28" s="4094" t="n"/>
      <c r="AB28" s="4094" t="n"/>
      <c r="AC28" s="4095" t="n"/>
      <c r="AD28" s="4094" t="n"/>
      <c r="AE28" s="4094" t="n"/>
      <c r="AF28" s="4094" t="n"/>
      <c r="AG28" s="4094" t="n"/>
      <c r="AH28" s="4094" t="n"/>
      <c r="AI28" s="4094" t="n"/>
      <c r="AJ28" s="4094" t="n"/>
      <c r="AK28" s="4094" t="n"/>
      <c r="AL28" s="4094" t="n"/>
      <c r="AM28" s="4094" t="n"/>
      <c r="AN28" s="4094" t="n"/>
      <c r="AO28" s="4095" t="n"/>
      <c r="AP28" s="4094" t="n">
        <v>-1e-05</v>
      </c>
      <c r="AQ28" s="4094" t="n">
        <v>-0.10661</v>
      </c>
      <c r="AR28" s="4094" t="n">
        <v>-2e-05</v>
      </c>
      <c r="AS28" s="4094" t="n">
        <v>0</v>
      </c>
      <c r="AT28" s="4094" t="n">
        <v>0.80865</v>
      </c>
      <c r="AU28" s="4096" t="n">
        <v>-2e-05</v>
      </c>
      <c r="AV28" s="4094">
        <f>SUM(F28:Q28)</f>
        <v/>
      </c>
      <c r="AW28" s="4094">
        <f>SUM(R28:AC28)</f>
        <v/>
      </c>
      <c r="AX28" s="4094">
        <f>SUM(AD28:AO28)</f>
        <v/>
      </c>
      <c r="AY28" s="4094">
        <f>SUM(AH28:AS28)</f>
        <v/>
      </c>
      <c r="AZ28" s="4094">
        <f>SUM(AJ28:AU28)</f>
        <v/>
      </c>
      <c r="BA28" s="3737" t="n"/>
      <c r="BB28" s="4097">
        <f>IFERROR(F28/F$117,0)</f>
        <v/>
      </c>
      <c r="BC28" s="4097">
        <f>IFERROR(G28/G$117,0)</f>
        <v/>
      </c>
      <c r="BD28" s="4097">
        <f>IFERROR(H28/H$117,0)</f>
        <v/>
      </c>
      <c r="BE28" s="4097">
        <f>IFERROR(I28/I$117,0)</f>
        <v/>
      </c>
      <c r="BF28" s="4097">
        <f>IFERROR(J28/J$117,0)</f>
        <v/>
      </c>
      <c r="BG28" s="4097">
        <f>IFERROR(K28/K$117,0)</f>
        <v/>
      </c>
      <c r="BH28" s="4097">
        <f>IFERROR(L28/L$117,0)</f>
        <v/>
      </c>
      <c r="BI28" s="4097">
        <f>IFERROR(M28/M$117,0)</f>
        <v/>
      </c>
      <c r="BJ28" s="4097">
        <f>IFERROR(N28/N$117,0)</f>
        <v/>
      </c>
      <c r="BK28" s="4097">
        <f>IFERROR(O28/O$117,0)</f>
        <v/>
      </c>
      <c r="BL28" s="4097">
        <f>IFERROR(P28/P$117,0)</f>
        <v/>
      </c>
      <c r="BM28" s="4098">
        <f>IFERROR(Q28/Q$117,0)</f>
        <v/>
      </c>
      <c r="BN28" s="4097">
        <f>IFERROR(R28/R$117,0)</f>
        <v/>
      </c>
      <c r="BO28" s="4097">
        <f>IFERROR(S28/S$117,0)</f>
        <v/>
      </c>
      <c r="BP28" s="4097">
        <f>IFERROR(T28/T$117,0)</f>
        <v/>
      </c>
      <c r="BQ28" s="4097">
        <f>IFERROR(U28/U$117,0)</f>
        <v/>
      </c>
      <c r="BR28" s="4097">
        <f>IFERROR(V28/V$117,0)</f>
        <v/>
      </c>
      <c r="BS28" s="4097">
        <f>IFERROR(W28/W$117,0)</f>
        <v/>
      </c>
      <c r="BT28" s="4097">
        <f>IFERROR(X28/X$117,0)</f>
        <v/>
      </c>
      <c r="BU28" s="4097">
        <f>IFERROR(Y28/Y$117,0)</f>
        <v/>
      </c>
      <c r="BV28" s="4097">
        <f>IFERROR(Z28/Z$117,0)</f>
        <v/>
      </c>
      <c r="BW28" s="4097">
        <f>IFERROR(AA28/AA$117,0)</f>
        <v/>
      </c>
      <c r="BX28" s="4097">
        <f>IFERROR(AB28/AB$117,0)</f>
        <v/>
      </c>
      <c r="BY28" s="4098">
        <f>IFERROR(AC28/AC$117,0)</f>
        <v/>
      </c>
      <c r="BZ28" s="4097">
        <f>IFERROR(AD28/AD$117,0)</f>
        <v/>
      </c>
      <c r="CA28" s="4097">
        <f>IFERROR(AE28/AE$117,0)</f>
        <v/>
      </c>
      <c r="CB28" s="4097">
        <f>IFERROR(AF28/AF$117,0)</f>
        <v/>
      </c>
      <c r="CC28" s="4097">
        <f>IFERROR(AG28/AG$117,0)</f>
        <v/>
      </c>
      <c r="CD28" s="4097">
        <f>IFERROR(AH28/AH$117,0)</f>
        <v/>
      </c>
      <c r="CE28" s="4097">
        <f>IFERROR(AI28/AI$117,0)</f>
        <v/>
      </c>
      <c r="CF28" s="4097">
        <f>IFERROR(AJ28/AJ$117,0)</f>
        <v/>
      </c>
      <c r="CG28" s="4097">
        <f>IFERROR(AK28/AK$117,0)</f>
        <v/>
      </c>
      <c r="CH28" s="4097">
        <f>IFERROR(AL28/AL$117,0)</f>
        <v/>
      </c>
      <c r="CI28" s="4097">
        <f>IFERROR(AM28/AM$117,0)</f>
        <v/>
      </c>
      <c r="CJ28" s="4097">
        <f>IFERROR(AN28/AN$117,0)</f>
        <v/>
      </c>
      <c r="CK28" s="4098">
        <f>IFERROR(AO28/AO$117,0)</f>
        <v/>
      </c>
      <c r="CL28" s="4097">
        <f>IFERROR(AP28/AP$117,0)</f>
        <v/>
      </c>
      <c r="CM28" s="4097">
        <f>IFERROR(AQ28/AQ$117,0)</f>
        <v/>
      </c>
      <c r="CN28" s="4097">
        <f>IFERROR(AR28/AR$117,0)</f>
        <v/>
      </c>
      <c r="CO28" s="4097">
        <f>IFERROR(AS28/AS$117,0)</f>
        <v/>
      </c>
      <c r="CP28" s="4097">
        <f>IFERROR(AT28/AT$117,0)</f>
        <v/>
      </c>
      <c r="CQ28" s="4099">
        <f>IFERROR(AU28/AU$117,0)</f>
        <v/>
      </c>
      <c r="CR28" s="4097">
        <f>IFERROR(AV28/AV$117,0)</f>
        <v/>
      </c>
      <c r="CS28" s="4097">
        <f>IFERROR(AW28/AW$117,0)</f>
        <v/>
      </c>
      <c r="CT28" s="4097">
        <f>IFERROR(AX28/AX$117,0)</f>
        <v/>
      </c>
      <c r="CU28" s="4097">
        <f>IFERROR(AY28/AY$117,0)</f>
        <v/>
      </c>
      <c r="CV28" s="4097">
        <f>IFERROR(AZ28/AZ$117,0)</f>
        <v/>
      </c>
      <c r="CW28" s="3737" t="n"/>
      <c r="CX28" s="4094" t="n">
        <v>435.0649</v>
      </c>
    </row>
    <row r="29" hidden="1" outlineLevel="2" ht="12" customFormat="1" customHeight="1" s="3737">
      <c r="A29" s="4059" t="n"/>
      <c r="B29" s="4060" t="n"/>
      <c r="C29" s="4100" t="inlineStr">
        <is>
          <t>Settlement services</t>
        </is>
      </c>
      <c r="D29" s="4101" t="n">
        <v>411112</v>
      </c>
      <c r="E29" s="4101">
        <f>CONCATENATE(D29," - ",C29)</f>
        <v/>
      </c>
      <c r="F29" s="4102" t="n"/>
      <c r="G29" s="4102" t="n"/>
      <c r="H29" s="4102" t="n"/>
      <c r="I29" s="4102" t="n"/>
      <c r="J29" s="4102" t="n"/>
      <c r="K29" s="4102" t="n"/>
      <c r="L29" s="4102" t="n"/>
      <c r="M29" s="4102" t="n"/>
      <c r="N29" s="4102" t="n"/>
      <c r="O29" s="4102" t="n"/>
      <c r="P29" s="4102" t="n"/>
      <c r="Q29" s="4103" t="n"/>
      <c r="R29" s="4102" t="n"/>
      <c r="S29" s="4102" t="n"/>
      <c r="T29" s="4102" t="n"/>
      <c r="U29" s="4102" t="n"/>
      <c r="V29" s="4102" t="n"/>
      <c r="W29" s="4102" t="n"/>
      <c r="X29" s="4102" t="n"/>
      <c r="Y29" s="4102" t="n"/>
      <c r="Z29" s="4102" t="n"/>
      <c r="AA29" s="4102" t="n"/>
      <c r="AB29" s="4102" t="n"/>
      <c r="AC29" s="4103" t="n"/>
      <c r="AD29" s="4102" t="n"/>
      <c r="AE29" s="4102" t="n"/>
      <c r="AF29" s="4102" t="n"/>
      <c r="AG29" s="4102" t="n"/>
      <c r="AH29" s="4102" t="n"/>
      <c r="AI29" s="4102" t="n"/>
      <c r="AJ29" s="4102" t="n"/>
      <c r="AK29" s="4102" t="n"/>
      <c r="AL29" s="4102" t="n"/>
      <c r="AM29" s="4102" t="n"/>
      <c r="AN29" s="4102" t="n"/>
      <c r="AO29" s="4103" t="n"/>
      <c r="AP29" s="4102" t="n">
        <v>24.475</v>
      </c>
      <c r="AQ29" s="4102" t="n">
        <v>24.2375</v>
      </c>
      <c r="AR29" s="4102" t="n">
        <v>24.3125</v>
      </c>
      <c r="AS29" s="4102" t="n">
        <v>24.3125</v>
      </c>
      <c r="AT29" s="4102" t="n">
        <v>24.425</v>
      </c>
      <c r="AU29" s="4104" t="n">
        <v>24.6125</v>
      </c>
      <c r="AV29" s="4102">
        <f>SUM(F29:Q29)</f>
        <v/>
      </c>
      <c r="AW29" s="4102">
        <f>SUM(R29:AC29)</f>
        <v/>
      </c>
      <c r="AX29" s="4102">
        <f>SUM(AD29:AO29)</f>
        <v/>
      </c>
      <c r="AY29" s="4102">
        <f>SUM(AH29:AS29)</f>
        <v/>
      </c>
      <c r="AZ29" s="4102">
        <f>SUM(AJ29:AU29)</f>
        <v/>
      </c>
      <c r="BA29" s="3737" t="n"/>
      <c r="BB29" s="4105">
        <f>IFERROR(F29/F$117,0)</f>
        <v/>
      </c>
      <c r="BC29" s="4105">
        <f>IFERROR(G29/G$117,0)</f>
        <v/>
      </c>
      <c r="BD29" s="4105">
        <f>IFERROR(H29/H$117,0)</f>
        <v/>
      </c>
      <c r="BE29" s="4105">
        <f>IFERROR(I29/I$117,0)</f>
        <v/>
      </c>
      <c r="BF29" s="4105">
        <f>IFERROR(J29/J$117,0)</f>
        <v/>
      </c>
      <c r="BG29" s="4105">
        <f>IFERROR(K29/K$117,0)</f>
        <v/>
      </c>
      <c r="BH29" s="4105">
        <f>IFERROR(L29/L$117,0)</f>
        <v/>
      </c>
      <c r="BI29" s="4105">
        <f>IFERROR(M29/M$117,0)</f>
        <v/>
      </c>
      <c r="BJ29" s="4105">
        <f>IFERROR(N29/N$117,0)</f>
        <v/>
      </c>
      <c r="BK29" s="4105">
        <f>IFERROR(O29/O$117,0)</f>
        <v/>
      </c>
      <c r="BL29" s="4105">
        <f>IFERROR(P29/P$117,0)</f>
        <v/>
      </c>
      <c r="BM29" s="4106">
        <f>IFERROR(Q29/Q$117,0)</f>
        <v/>
      </c>
      <c r="BN29" s="4105">
        <f>IFERROR(R29/R$117,0)</f>
        <v/>
      </c>
      <c r="BO29" s="4105">
        <f>IFERROR(S29/S$117,0)</f>
        <v/>
      </c>
      <c r="BP29" s="4105">
        <f>IFERROR(T29/T$117,0)</f>
        <v/>
      </c>
      <c r="BQ29" s="4105">
        <f>IFERROR(U29/U$117,0)</f>
        <v/>
      </c>
      <c r="BR29" s="4105">
        <f>IFERROR(V29/V$117,0)</f>
        <v/>
      </c>
      <c r="BS29" s="4105">
        <f>IFERROR(W29/W$117,0)</f>
        <v/>
      </c>
      <c r="BT29" s="4105">
        <f>IFERROR(X29/X$117,0)</f>
        <v/>
      </c>
      <c r="BU29" s="4105">
        <f>IFERROR(Y29/Y$117,0)</f>
        <v/>
      </c>
      <c r="BV29" s="4105">
        <f>IFERROR(Z29/Z$117,0)</f>
        <v/>
      </c>
      <c r="BW29" s="4105">
        <f>IFERROR(AA29/AA$117,0)</f>
        <v/>
      </c>
      <c r="BX29" s="4105">
        <f>IFERROR(AB29/AB$117,0)</f>
        <v/>
      </c>
      <c r="BY29" s="4106">
        <f>IFERROR(AC29/AC$117,0)</f>
        <v/>
      </c>
      <c r="BZ29" s="4105">
        <f>IFERROR(AD29/AD$117,0)</f>
        <v/>
      </c>
      <c r="CA29" s="4105">
        <f>IFERROR(AE29/AE$117,0)</f>
        <v/>
      </c>
      <c r="CB29" s="4105">
        <f>IFERROR(AF29/AF$117,0)</f>
        <v/>
      </c>
      <c r="CC29" s="4105">
        <f>IFERROR(AG29/AG$117,0)</f>
        <v/>
      </c>
      <c r="CD29" s="4105">
        <f>IFERROR(AH29/AH$117,0)</f>
        <v/>
      </c>
      <c r="CE29" s="4105">
        <f>IFERROR(AI29/AI$117,0)</f>
        <v/>
      </c>
      <c r="CF29" s="4105">
        <f>IFERROR(AJ29/AJ$117,0)</f>
        <v/>
      </c>
      <c r="CG29" s="4105">
        <f>IFERROR(AK29/AK$117,0)</f>
        <v/>
      </c>
      <c r="CH29" s="4105">
        <f>IFERROR(AL29/AL$117,0)</f>
        <v/>
      </c>
      <c r="CI29" s="4105">
        <f>IFERROR(AM29/AM$117,0)</f>
        <v/>
      </c>
      <c r="CJ29" s="4105">
        <f>IFERROR(AN29/AN$117,0)</f>
        <v/>
      </c>
      <c r="CK29" s="4106">
        <f>IFERROR(AO29/AO$117,0)</f>
        <v/>
      </c>
      <c r="CL29" s="4105">
        <f>IFERROR(AP29/AP$117,0)</f>
        <v/>
      </c>
      <c r="CM29" s="4105">
        <f>IFERROR(AQ29/AQ$117,0)</f>
        <v/>
      </c>
      <c r="CN29" s="4105">
        <f>IFERROR(AR29/AR$117,0)</f>
        <v/>
      </c>
      <c r="CO29" s="4105">
        <f>IFERROR(AS29/AS$117,0)</f>
        <v/>
      </c>
      <c r="CP29" s="4105">
        <f>IFERROR(AT29/AT$117,0)</f>
        <v/>
      </c>
      <c r="CQ29" s="4107">
        <f>IFERROR(AU29/AU$117,0)</f>
        <v/>
      </c>
      <c r="CR29" s="4105">
        <f>IFERROR(AV29/AV$117,0)</f>
        <v/>
      </c>
      <c r="CS29" s="4105">
        <f>IFERROR(AW29/AW$117,0)</f>
        <v/>
      </c>
      <c r="CT29" s="4105">
        <f>IFERROR(AX29/AX$117,0)</f>
        <v/>
      </c>
      <c r="CU29" s="4105">
        <f>IFERROR(AY29/AY$117,0)</f>
        <v/>
      </c>
      <c r="CV29" s="4105">
        <f>IFERROR(AZ29/AZ$117,0)</f>
        <v/>
      </c>
      <c r="CW29" s="3737" t="n"/>
      <c r="CX29" s="4102" t="n">
        <v>195.76774</v>
      </c>
    </row>
    <row r="30" hidden="1" outlineLevel="1" collapsed="1" ht="12" customFormat="1" customHeight="1" s="3737">
      <c r="A30" s="4059" t="n"/>
      <c r="B30" s="4060" t="n"/>
      <c r="C30" s="4108" t="inlineStr">
        <is>
          <t>Processing services revenue</t>
        </is>
      </c>
      <c r="D30" s="4093" t="n"/>
      <c r="E30" s="4093" t="n"/>
      <c r="F30" s="4094" t="n"/>
      <c r="G30" s="4094" t="n"/>
      <c r="H30" s="4094" t="n"/>
      <c r="I30" s="4094" t="n"/>
      <c r="J30" s="4094" t="n"/>
      <c r="K30" s="4094" t="n"/>
      <c r="L30" s="4094" t="n"/>
      <c r="M30" s="4094" t="n"/>
      <c r="N30" s="4094" t="n"/>
      <c r="O30" s="4094" t="n"/>
      <c r="P30" s="4094" t="n"/>
      <c r="Q30" s="4095" t="n"/>
      <c r="R30" s="4094" t="n"/>
      <c r="S30" s="4094" t="n"/>
      <c r="T30" s="4094" t="n"/>
      <c r="U30" s="4094" t="n"/>
      <c r="V30" s="4094" t="n"/>
      <c r="W30" s="4094" t="n"/>
      <c r="X30" s="4094" t="n"/>
      <c r="Y30" s="4094" t="n"/>
      <c r="Z30" s="4094" t="n"/>
      <c r="AA30" s="4094" t="n"/>
      <c r="AB30" s="4094" t="n"/>
      <c r="AC30" s="4095" t="n"/>
      <c r="AD30" s="4094" t="n"/>
      <c r="AE30" s="4094" t="n"/>
      <c r="AF30" s="4094" t="n"/>
      <c r="AG30" s="4094" t="n"/>
      <c r="AH30" s="4094" t="n"/>
      <c r="AI30" s="4094" t="n"/>
      <c r="AJ30" s="4094" t="n"/>
      <c r="AK30" s="4094" t="n"/>
      <c r="AL30" s="4094" t="n"/>
      <c r="AM30" s="4094" t="n"/>
      <c r="AN30" s="4094" t="n"/>
      <c r="AO30" s="4095" t="n"/>
      <c r="AP30" s="4094">
        <f>SUM(AP10:AP29)</f>
        <v/>
      </c>
      <c r="AQ30" s="4094">
        <f>SUM(AQ10:AQ29)</f>
        <v/>
      </c>
      <c r="AR30" s="4094">
        <f>SUM(AR10:AR29)</f>
        <v/>
      </c>
      <c r="AS30" s="4094">
        <f>SUM(AS10:AS29)</f>
        <v/>
      </c>
      <c r="AT30" s="4094">
        <f>SUM(AT10:AT29)</f>
        <v/>
      </c>
      <c r="AU30" s="4096">
        <f>SUM(AU10:AU29)</f>
        <v/>
      </c>
      <c r="AV30" s="4094">
        <f>SUM(AV10:AV29)</f>
        <v/>
      </c>
      <c r="AW30" s="4094">
        <f>SUM(AW10:AW29)</f>
        <v/>
      </c>
      <c r="AX30" s="4094">
        <f>SUM(AX10:AX29)</f>
        <v/>
      </c>
      <c r="AY30" s="4094">
        <f>SUM(AY10:AY29)</f>
        <v/>
      </c>
      <c r="AZ30" s="4094">
        <f>SUM(AZ10:AZ29)</f>
        <v/>
      </c>
      <c r="BA30" s="3737" t="n"/>
      <c r="BB30" s="4097">
        <f>IFERROR(F30/F$117,0)</f>
        <v/>
      </c>
      <c r="BC30" s="4097">
        <f>IFERROR(G30/G$117,0)</f>
        <v/>
      </c>
      <c r="BD30" s="4097">
        <f>IFERROR(H30/H$117,0)</f>
        <v/>
      </c>
      <c r="BE30" s="4097">
        <f>IFERROR(I30/I$117,0)</f>
        <v/>
      </c>
      <c r="BF30" s="4097">
        <f>IFERROR(J30/J$117,0)</f>
        <v/>
      </c>
      <c r="BG30" s="4097">
        <f>IFERROR(K30/K$117,0)</f>
        <v/>
      </c>
      <c r="BH30" s="4097">
        <f>IFERROR(L30/L$117,0)</f>
        <v/>
      </c>
      <c r="BI30" s="4097">
        <f>IFERROR(M30/M$117,0)</f>
        <v/>
      </c>
      <c r="BJ30" s="4097">
        <f>IFERROR(N30/N$117,0)</f>
        <v/>
      </c>
      <c r="BK30" s="4097">
        <f>IFERROR(O30/O$117,0)</f>
        <v/>
      </c>
      <c r="BL30" s="4097">
        <f>IFERROR(P30/P$117,0)</f>
        <v/>
      </c>
      <c r="BM30" s="4098">
        <f>IFERROR(Q30/Q$117,0)</f>
        <v/>
      </c>
      <c r="BN30" s="4097">
        <f>IFERROR(R30/R$117,0)</f>
        <v/>
      </c>
      <c r="BO30" s="4097">
        <f>IFERROR(S30/S$117,0)</f>
        <v/>
      </c>
      <c r="BP30" s="4097">
        <f>IFERROR(T30/T$117,0)</f>
        <v/>
      </c>
      <c r="BQ30" s="4097">
        <f>IFERROR(U30/U$117,0)</f>
        <v/>
      </c>
      <c r="BR30" s="4097">
        <f>IFERROR(V30/V$117,0)</f>
        <v/>
      </c>
      <c r="BS30" s="4097">
        <f>IFERROR(W30/W$117,0)</f>
        <v/>
      </c>
      <c r="BT30" s="4097">
        <f>IFERROR(X30/X$117,0)</f>
        <v/>
      </c>
      <c r="BU30" s="4097">
        <f>IFERROR(Y30/Y$117,0)</f>
        <v/>
      </c>
      <c r="BV30" s="4097">
        <f>IFERROR(Z30/Z$117,0)</f>
        <v/>
      </c>
      <c r="BW30" s="4097">
        <f>IFERROR(AA30/AA$117,0)</f>
        <v/>
      </c>
      <c r="BX30" s="4097">
        <f>IFERROR(AB30/AB$117,0)</f>
        <v/>
      </c>
      <c r="BY30" s="4098">
        <f>IFERROR(AC30/AC$117,0)</f>
        <v/>
      </c>
      <c r="BZ30" s="4097">
        <f>IFERROR(AD30/AD$117,0)</f>
        <v/>
      </c>
      <c r="CA30" s="4097">
        <f>IFERROR(AE30/AE$117,0)</f>
        <v/>
      </c>
      <c r="CB30" s="4097">
        <f>IFERROR(AF30/AF$117,0)</f>
        <v/>
      </c>
      <c r="CC30" s="4097">
        <f>IFERROR(AG30/AG$117,0)</f>
        <v/>
      </c>
      <c r="CD30" s="4097">
        <f>IFERROR(AH30/AH$117,0)</f>
        <v/>
      </c>
      <c r="CE30" s="4097">
        <f>IFERROR(AI30/AI$117,0)</f>
        <v/>
      </c>
      <c r="CF30" s="4097">
        <f>IFERROR(AJ30/AJ$117,0)</f>
        <v/>
      </c>
      <c r="CG30" s="4097">
        <f>IFERROR(AK30/AK$117,0)</f>
        <v/>
      </c>
      <c r="CH30" s="4097">
        <f>IFERROR(AL30/AL$117,0)</f>
        <v/>
      </c>
      <c r="CI30" s="4097">
        <f>IFERROR(AM30/AM$117,0)</f>
        <v/>
      </c>
      <c r="CJ30" s="4097">
        <f>IFERROR(AN30/AN$117,0)</f>
        <v/>
      </c>
      <c r="CK30" s="4098">
        <f>IFERROR(AO30/AO$117,0)</f>
        <v/>
      </c>
      <c r="CL30" s="4097">
        <f>IFERROR(AP30/AP$117,0)</f>
        <v/>
      </c>
      <c r="CM30" s="4097">
        <f>IFERROR(AQ30/AQ$117,0)</f>
        <v/>
      </c>
      <c r="CN30" s="4097">
        <f>IFERROR(AR30/AR$117,0)</f>
        <v/>
      </c>
      <c r="CO30" s="4097">
        <f>IFERROR(AS30/AS$117,0)</f>
        <v/>
      </c>
      <c r="CP30" s="4097">
        <f>IFERROR(AT30/AT$117,0)</f>
        <v/>
      </c>
      <c r="CQ30" s="4099">
        <f>IFERROR(AU30/AU$117,0)</f>
        <v/>
      </c>
      <c r="CR30" s="4097">
        <f>IFERROR(AV30/AV$117,0)</f>
        <v/>
      </c>
      <c r="CS30" s="4097">
        <f>IFERROR(AW30/AW$117,0)</f>
        <v/>
      </c>
      <c r="CT30" s="4097">
        <f>IFERROR(AX30/AX$117,0)</f>
        <v/>
      </c>
      <c r="CU30" s="4097">
        <f>IFERROR(AY30/AY$117,0)</f>
        <v/>
      </c>
      <c r="CV30" s="4097">
        <f>IFERROR(AZ30/AZ$117,0)</f>
        <v/>
      </c>
      <c r="CW30" s="3737" t="n"/>
      <c r="CX30" s="4094">
        <f>SUM(CX10:CX29)</f>
        <v/>
      </c>
    </row>
    <row r="31" hidden="1" outlineLevel="2" ht="12" customFormat="1" customHeight="1" s="3737">
      <c r="A31" s="4059" t="n"/>
      <c r="B31" s="4060" t="n"/>
      <c r="C31" s="4109" t="inlineStr">
        <is>
          <t>Card manufacture for fi - cci</t>
        </is>
      </c>
      <c r="D31" s="4093" t="n">
        <v>411229</v>
      </c>
      <c r="E31" s="4093">
        <f>CONCATENATE(D31," - ",C31)</f>
        <v/>
      </c>
      <c r="F31" s="4094" t="n"/>
      <c r="G31" s="4094" t="n"/>
      <c r="H31" s="4094" t="n"/>
      <c r="I31" s="4094" t="n"/>
      <c r="J31" s="4094" t="n"/>
      <c r="K31" s="4094" t="n"/>
      <c r="L31" s="4094" t="n"/>
      <c r="M31" s="4094" t="n"/>
      <c r="N31" s="4094" t="n"/>
      <c r="O31" s="4094" t="n"/>
      <c r="P31" s="4094" t="n"/>
      <c r="Q31" s="4095" t="n"/>
      <c r="R31" s="4094" t="n"/>
      <c r="S31" s="4094" t="n"/>
      <c r="T31" s="4094" t="n"/>
      <c r="U31" s="4094" t="n"/>
      <c r="V31" s="4094" t="n"/>
      <c r="W31" s="4094" t="n"/>
      <c r="X31" s="4094" t="n"/>
      <c r="Y31" s="4094" t="n"/>
      <c r="Z31" s="4094" t="n"/>
      <c r="AA31" s="4094" t="n"/>
      <c r="AB31" s="4094" t="n"/>
      <c r="AC31" s="4095" t="n"/>
      <c r="AD31" s="4094" t="n"/>
      <c r="AE31" s="4094" t="n"/>
      <c r="AF31" s="4094" t="n"/>
      <c r="AG31" s="4094" t="n"/>
      <c r="AH31" s="4094" t="n"/>
      <c r="AI31" s="4094" t="n"/>
      <c r="AJ31" s="4094" t="n"/>
      <c r="AK31" s="4094" t="n"/>
      <c r="AL31" s="4094" t="n"/>
      <c r="AM31" s="4094" t="n"/>
      <c r="AN31" s="4094" t="n"/>
      <c r="AO31" s="4095" t="n"/>
      <c r="AP31" s="4094" t="n">
        <v>646.50429</v>
      </c>
      <c r="AQ31" s="4094" t="n">
        <v>1201.25491</v>
      </c>
      <c r="AR31" s="4094" t="n">
        <v>189.04252</v>
      </c>
      <c r="AS31" s="4094" t="n">
        <v>369.16721</v>
      </c>
      <c r="AT31" s="4094" t="n">
        <v>215.71517</v>
      </c>
      <c r="AU31" s="4096" t="n">
        <v>278.77138</v>
      </c>
      <c r="AV31" s="4094">
        <f>SUM(F31:Q31)</f>
        <v/>
      </c>
      <c r="AW31" s="4094">
        <f>SUM(R31:AC31)</f>
        <v/>
      </c>
      <c r="AX31" s="4094">
        <f>SUM(AD31:AO31)</f>
        <v/>
      </c>
      <c r="AY31" s="4094">
        <f>SUM(AH31:AS31)</f>
        <v/>
      </c>
      <c r="AZ31" s="4094">
        <f>SUM(AJ31:AU31)</f>
        <v/>
      </c>
      <c r="BA31" s="3737" t="n"/>
      <c r="BB31" s="4097">
        <f>IFERROR(F31/F$117,0)</f>
        <v/>
      </c>
      <c r="BC31" s="4097">
        <f>IFERROR(G31/G$117,0)</f>
        <v/>
      </c>
      <c r="BD31" s="4097">
        <f>IFERROR(H31/H$117,0)</f>
        <v/>
      </c>
      <c r="BE31" s="4097">
        <f>IFERROR(I31/I$117,0)</f>
        <v/>
      </c>
      <c r="BF31" s="4097">
        <f>IFERROR(J31/J$117,0)</f>
        <v/>
      </c>
      <c r="BG31" s="4097">
        <f>IFERROR(K31/K$117,0)</f>
        <v/>
      </c>
      <c r="BH31" s="4097">
        <f>IFERROR(L31/L$117,0)</f>
        <v/>
      </c>
      <c r="BI31" s="4097">
        <f>IFERROR(M31/M$117,0)</f>
        <v/>
      </c>
      <c r="BJ31" s="4097">
        <f>IFERROR(N31/N$117,0)</f>
        <v/>
      </c>
      <c r="BK31" s="4097">
        <f>IFERROR(O31/O$117,0)</f>
        <v/>
      </c>
      <c r="BL31" s="4097">
        <f>IFERROR(P31/P$117,0)</f>
        <v/>
      </c>
      <c r="BM31" s="4098">
        <f>IFERROR(Q31/Q$117,0)</f>
        <v/>
      </c>
      <c r="BN31" s="4097">
        <f>IFERROR(R31/R$117,0)</f>
        <v/>
      </c>
      <c r="BO31" s="4097">
        <f>IFERROR(S31/S$117,0)</f>
        <v/>
      </c>
      <c r="BP31" s="4097">
        <f>IFERROR(T31/T$117,0)</f>
        <v/>
      </c>
      <c r="BQ31" s="4097">
        <f>IFERROR(U31/U$117,0)</f>
        <v/>
      </c>
      <c r="BR31" s="4097">
        <f>IFERROR(V31/V$117,0)</f>
        <v/>
      </c>
      <c r="BS31" s="4097">
        <f>IFERROR(W31/W$117,0)</f>
        <v/>
      </c>
      <c r="BT31" s="4097">
        <f>IFERROR(X31/X$117,0)</f>
        <v/>
      </c>
      <c r="BU31" s="4097">
        <f>IFERROR(Y31/Y$117,0)</f>
        <v/>
      </c>
      <c r="BV31" s="4097">
        <f>IFERROR(Z31/Z$117,0)</f>
        <v/>
      </c>
      <c r="BW31" s="4097">
        <f>IFERROR(AA31/AA$117,0)</f>
        <v/>
      </c>
      <c r="BX31" s="4097">
        <f>IFERROR(AB31/AB$117,0)</f>
        <v/>
      </c>
      <c r="BY31" s="4098">
        <f>IFERROR(AC31/AC$117,0)</f>
        <v/>
      </c>
      <c r="BZ31" s="4097">
        <f>IFERROR(AD31/AD$117,0)</f>
        <v/>
      </c>
      <c r="CA31" s="4097">
        <f>IFERROR(AE31/AE$117,0)</f>
        <v/>
      </c>
      <c r="CB31" s="4097">
        <f>IFERROR(AF31/AF$117,0)</f>
        <v/>
      </c>
      <c r="CC31" s="4097">
        <f>IFERROR(AG31/AG$117,0)</f>
        <v/>
      </c>
      <c r="CD31" s="4097">
        <f>IFERROR(AH31/AH$117,0)</f>
        <v/>
      </c>
      <c r="CE31" s="4097">
        <f>IFERROR(AI31/AI$117,0)</f>
        <v/>
      </c>
      <c r="CF31" s="4097">
        <f>IFERROR(AJ31/AJ$117,0)</f>
        <v/>
      </c>
      <c r="CG31" s="4097">
        <f>IFERROR(AK31/AK$117,0)</f>
        <v/>
      </c>
      <c r="CH31" s="4097">
        <f>IFERROR(AL31/AL$117,0)</f>
        <v/>
      </c>
      <c r="CI31" s="4097">
        <f>IFERROR(AM31/AM$117,0)</f>
        <v/>
      </c>
      <c r="CJ31" s="4097">
        <f>IFERROR(AN31/AN$117,0)</f>
        <v/>
      </c>
      <c r="CK31" s="4098">
        <f>IFERROR(AO31/AO$117,0)</f>
        <v/>
      </c>
      <c r="CL31" s="4097">
        <f>IFERROR(AP31/AP$117,0)</f>
        <v/>
      </c>
      <c r="CM31" s="4097">
        <f>IFERROR(AQ31/AQ$117,0)</f>
        <v/>
      </c>
      <c r="CN31" s="4097">
        <f>IFERROR(AR31/AR$117,0)</f>
        <v/>
      </c>
      <c r="CO31" s="4097">
        <f>IFERROR(AS31/AS$117,0)</f>
        <v/>
      </c>
      <c r="CP31" s="4097">
        <f>IFERROR(AT31/AT$117,0)</f>
        <v/>
      </c>
      <c r="CQ31" s="4099">
        <f>IFERROR(AU31/AU$117,0)</f>
        <v/>
      </c>
      <c r="CR31" s="4097">
        <f>IFERROR(AV31/AV$117,0)</f>
        <v/>
      </c>
      <c r="CS31" s="4097">
        <f>IFERROR(AW31/AW$117,0)</f>
        <v/>
      </c>
      <c r="CT31" s="4097">
        <f>IFERROR(AX31/AX$117,0)</f>
        <v/>
      </c>
      <c r="CU31" s="4097">
        <f>IFERROR(AY31/AY$117,0)</f>
        <v/>
      </c>
      <c r="CV31" s="4097">
        <f>IFERROR(AZ31/AZ$117,0)</f>
        <v/>
      </c>
      <c r="CW31" s="3737" t="n"/>
      <c r="CX31" s="4094" t="n">
        <v>2892.76837</v>
      </c>
    </row>
    <row r="32" hidden="1" outlineLevel="2" ht="12" customFormat="1" customHeight="1" s="3737">
      <c r="A32" s="4059" t="n"/>
      <c r="B32" s="4060" t="n"/>
      <c r="C32" s="4109" t="inlineStr">
        <is>
          <t>Card personalization revenue</t>
        </is>
      </c>
      <c r="D32" s="4093" t="n">
        <v>411228</v>
      </c>
      <c r="E32" s="4093">
        <f>CONCATENATE(D32," - ",C32)</f>
        <v/>
      </c>
      <c r="F32" s="4094" t="n"/>
      <c r="G32" s="4094" t="n"/>
      <c r="H32" s="4094" t="n"/>
      <c r="I32" s="4094" t="n"/>
      <c r="J32" s="4094" t="n"/>
      <c r="K32" s="4094" t="n"/>
      <c r="L32" s="4094" t="n"/>
      <c r="M32" s="4094" t="n"/>
      <c r="N32" s="4094" t="n"/>
      <c r="O32" s="4094" t="n"/>
      <c r="P32" s="4094" t="n"/>
      <c r="Q32" s="4095" t="n"/>
      <c r="R32" s="4094" t="n"/>
      <c r="S32" s="4094" t="n"/>
      <c r="T32" s="4094" t="n"/>
      <c r="U32" s="4094" t="n"/>
      <c r="V32" s="4094" t="n"/>
      <c r="W32" s="4094" t="n"/>
      <c r="X32" s="4094" t="n"/>
      <c r="Y32" s="4094" t="n"/>
      <c r="Z32" s="4094" t="n"/>
      <c r="AA32" s="4094" t="n"/>
      <c r="AB32" s="4094" t="n"/>
      <c r="AC32" s="4095" t="n"/>
      <c r="AD32" s="4094" t="n"/>
      <c r="AE32" s="4094" t="n"/>
      <c r="AF32" s="4094" t="n"/>
      <c r="AG32" s="4094" t="n"/>
      <c r="AH32" s="4094" t="n"/>
      <c r="AI32" s="4094" t="n"/>
      <c r="AJ32" s="4094" t="n"/>
      <c r="AK32" s="4094" t="n"/>
      <c r="AL32" s="4094" t="n"/>
      <c r="AM32" s="4094" t="n"/>
      <c r="AN32" s="4094" t="n"/>
      <c r="AO32" s="4095" t="n"/>
      <c r="AP32" s="4094" t="n">
        <v>102.58528</v>
      </c>
      <c r="AQ32" s="4094" t="n">
        <v>145.02828</v>
      </c>
      <c r="AR32" s="4094" t="n">
        <v>76.33060999999999</v>
      </c>
      <c r="AS32" s="4094" t="n">
        <v>128.66676</v>
      </c>
      <c r="AT32" s="4094" t="n">
        <v>188.5095</v>
      </c>
      <c r="AU32" s="4096" t="n">
        <v>109.32997</v>
      </c>
      <c r="AV32" s="4094">
        <f>SUM(F32:Q32)</f>
        <v/>
      </c>
      <c r="AW32" s="4094">
        <f>SUM(R32:AC32)</f>
        <v/>
      </c>
      <c r="AX32" s="4094">
        <f>SUM(AD32:AO32)</f>
        <v/>
      </c>
      <c r="AY32" s="4094">
        <f>SUM(AH32:AS32)</f>
        <v/>
      </c>
      <c r="AZ32" s="4094">
        <f>SUM(AJ32:AU32)</f>
        <v/>
      </c>
      <c r="BA32" s="3737" t="n"/>
      <c r="BB32" s="4097">
        <f>IFERROR(F32/F$117,0)</f>
        <v/>
      </c>
      <c r="BC32" s="4097">
        <f>IFERROR(G32/G$117,0)</f>
        <v/>
      </c>
      <c r="BD32" s="4097">
        <f>IFERROR(H32/H$117,0)</f>
        <v/>
      </c>
      <c r="BE32" s="4097">
        <f>IFERROR(I32/I$117,0)</f>
        <v/>
      </c>
      <c r="BF32" s="4097">
        <f>IFERROR(J32/J$117,0)</f>
        <v/>
      </c>
      <c r="BG32" s="4097">
        <f>IFERROR(K32/K$117,0)</f>
        <v/>
      </c>
      <c r="BH32" s="4097">
        <f>IFERROR(L32/L$117,0)</f>
        <v/>
      </c>
      <c r="BI32" s="4097">
        <f>IFERROR(M32/M$117,0)</f>
        <v/>
      </c>
      <c r="BJ32" s="4097">
        <f>IFERROR(N32/N$117,0)</f>
        <v/>
      </c>
      <c r="BK32" s="4097">
        <f>IFERROR(O32/O$117,0)</f>
        <v/>
      </c>
      <c r="BL32" s="4097">
        <f>IFERROR(P32/P$117,0)</f>
        <v/>
      </c>
      <c r="BM32" s="4098">
        <f>IFERROR(Q32/Q$117,0)</f>
        <v/>
      </c>
      <c r="BN32" s="4097">
        <f>IFERROR(R32/R$117,0)</f>
        <v/>
      </c>
      <c r="BO32" s="4097">
        <f>IFERROR(S32/S$117,0)</f>
        <v/>
      </c>
      <c r="BP32" s="4097">
        <f>IFERROR(T32/T$117,0)</f>
        <v/>
      </c>
      <c r="BQ32" s="4097">
        <f>IFERROR(U32/U$117,0)</f>
        <v/>
      </c>
      <c r="BR32" s="4097">
        <f>IFERROR(V32/V$117,0)</f>
        <v/>
      </c>
      <c r="BS32" s="4097">
        <f>IFERROR(W32/W$117,0)</f>
        <v/>
      </c>
      <c r="BT32" s="4097">
        <f>IFERROR(X32/X$117,0)</f>
        <v/>
      </c>
      <c r="BU32" s="4097">
        <f>IFERROR(Y32/Y$117,0)</f>
        <v/>
      </c>
      <c r="BV32" s="4097">
        <f>IFERROR(Z32/Z$117,0)</f>
        <v/>
      </c>
      <c r="BW32" s="4097">
        <f>IFERROR(AA32/AA$117,0)</f>
        <v/>
      </c>
      <c r="BX32" s="4097">
        <f>IFERROR(AB32/AB$117,0)</f>
        <v/>
      </c>
      <c r="BY32" s="4098">
        <f>IFERROR(AC32/AC$117,0)</f>
        <v/>
      </c>
      <c r="BZ32" s="4097">
        <f>IFERROR(AD32/AD$117,0)</f>
        <v/>
      </c>
      <c r="CA32" s="4097">
        <f>IFERROR(AE32/AE$117,0)</f>
        <v/>
      </c>
      <c r="CB32" s="4097">
        <f>IFERROR(AF32/AF$117,0)</f>
        <v/>
      </c>
      <c r="CC32" s="4097">
        <f>IFERROR(AG32/AG$117,0)</f>
        <v/>
      </c>
      <c r="CD32" s="4097">
        <f>IFERROR(AH32/AH$117,0)</f>
        <v/>
      </c>
      <c r="CE32" s="4097">
        <f>IFERROR(AI32/AI$117,0)</f>
        <v/>
      </c>
      <c r="CF32" s="4097">
        <f>IFERROR(AJ32/AJ$117,0)</f>
        <v/>
      </c>
      <c r="CG32" s="4097">
        <f>IFERROR(AK32/AK$117,0)</f>
        <v/>
      </c>
      <c r="CH32" s="4097">
        <f>IFERROR(AL32/AL$117,0)</f>
        <v/>
      </c>
      <c r="CI32" s="4097">
        <f>IFERROR(AM32/AM$117,0)</f>
        <v/>
      </c>
      <c r="CJ32" s="4097">
        <f>IFERROR(AN32/AN$117,0)</f>
        <v/>
      </c>
      <c r="CK32" s="4098">
        <f>IFERROR(AO32/AO$117,0)</f>
        <v/>
      </c>
      <c r="CL32" s="4097">
        <f>IFERROR(AP32/AP$117,0)</f>
        <v/>
      </c>
      <c r="CM32" s="4097">
        <f>IFERROR(AQ32/AQ$117,0)</f>
        <v/>
      </c>
      <c r="CN32" s="4097">
        <f>IFERROR(AR32/AR$117,0)</f>
        <v/>
      </c>
      <c r="CO32" s="4097">
        <f>IFERROR(AS32/AS$117,0)</f>
        <v/>
      </c>
      <c r="CP32" s="4097">
        <f>IFERROR(AT32/AT$117,0)</f>
        <v/>
      </c>
      <c r="CQ32" s="4099">
        <f>IFERROR(AU32/AU$117,0)</f>
        <v/>
      </c>
      <c r="CR32" s="4097">
        <f>IFERROR(AV32/AV$117,0)</f>
        <v/>
      </c>
      <c r="CS32" s="4097">
        <f>IFERROR(AW32/AW$117,0)</f>
        <v/>
      </c>
      <c r="CT32" s="4097">
        <f>IFERROR(AX32/AX$117,0)</f>
        <v/>
      </c>
      <c r="CU32" s="4097">
        <f>IFERROR(AY32/AY$117,0)</f>
        <v/>
      </c>
      <c r="CV32" s="4097">
        <f>IFERROR(AZ32/AZ$117,0)</f>
        <v/>
      </c>
      <c r="CW32" s="3737" t="n"/>
      <c r="CX32" s="4094" t="n">
        <v>528.75455</v>
      </c>
    </row>
    <row r="33" hidden="1" outlineLevel="2" ht="12" customFormat="1" customHeight="1" s="3737">
      <c r="A33" s="4059" t="n"/>
      <c r="B33" s="4060" t="n"/>
      <c r="C33" s="4109" t="inlineStr">
        <is>
          <t>Card collateral &amp; pin mailer</t>
        </is>
      </c>
      <c r="D33" s="4093" t="n">
        <v>411227</v>
      </c>
      <c r="E33" s="4093">
        <f>CONCATENATE(D33," - ",C33)</f>
        <v/>
      </c>
      <c r="F33" s="4094" t="n"/>
      <c r="G33" s="4094" t="n"/>
      <c r="H33" s="4094" t="n"/>
      <c r="I33" s="4094" t="n"/>
      <c r="J33" s="4094" t="n"/>
      <c r="K33" s="4094" t="n"/>
      <c r="L33" s="4094" t="n"/>
      <c r="M33" s="4094" t="n"/>
      <c r="N33" s="4094" t="n"/>
      <c r="O33" s="4094" t="n"/>
      <c r="P33" s="4094" t="n"/>
      <c r="Q33" s="4095" t="n"/>
      <c r="R33" s="4094" t="n"/>
      <c r="S33" s="4094" t="n"/>
      <c r="T33" s="4094" t="n"/>
      <c r="U33" s="4094" t="n"/>
      <c r="V33" s="4094" t="n"/>
      <c r="W33" s="4094" t="n"/>
      <c r="X33" s="4094" t="n"/>
      <c r="Y33" s="4094" t="n"/>
      <c r="Z33" s="4094" t="n"/>
      <c r="AA33" s="4094" t="n"/>
      <c r="AB33" s="4094" t="n"/>
      <c r="AC33" s="4095" t="n"/>
      <c r="AD33" s="4094" t="n"/>
      <c r="AE33" s="4094" t="n"/>
      <c r="AF33" s="4094" t="n"/>
      <c r="AG33" s="4094" t="n"/>
      <c r="AH33" s="4094" t="n"/>
      <c r="AI33" s="4094" t="n"/>
      <c r="AJ33" s="4094" t="n"/>
      <c r="AK33" s="4094" t="n"/>
      <c r="AL33" s="4094" t="n"/>
      <c r="AM33" s="4094" t="n"/>
      <c r="AN33" s="4094" t="n"/>
      <c r="AO33" s="4095" t="n"/>
      <c r="AP33" s="4094" t="n">
        <v>51.5036</v>
      </c>
      <c r="AQ33" s="4094" t="n">
        <v>50.89901</v>
      </c>
      <c r="AR33" s="4094" t="n">
        <v>40.20927</v>
      </c>
      <c r="AS33" s="4094" t="n">
        <v>66.18783000000001</v>
      </c>
      <c r="AT33" s="4094" t="n">
        <v>128.89512</v>
      </c>
      <c r="AU33" s="4096" t="n">
        <v>57.44058</v>
      </c>
      <c r="AV33" s="4094">
        <f>SUM(F33:Q33)</f>
        <v/>
      </c>
      <c r="AW33" s="4094">
        <f>SUM(R33:AC33)</f>
        <v/>
      </c>
      <c r="AX33" s="4094">
        <f>SUM(AD33:AO33)</f>
        <v/>
      </c>
      <c r="AY33" s="4094">
        <f>SUM(AH33:AS33)</f>
        <v/>
      </c>
      <c r="AZ33" s="4094">
        <f>SUM(AJ33:AU33)</f>
        <v/>
      </c>
      <c r="BA33" s="3737" t="n"/>
      <c r="BB33" s="4097">
        <f>IFERROR(F33/F$117,0)</f>
        <v/>
      </c>
      <c r="BC33" s="4097">
        <f>IFERROR(G33/G$117,0)</f>
        <v/>
      </c>
      <c r="BD33" s="4097">
        <f>IFERROR(H33/H$117,0)</f>
        <v/>
      </c>
      <c r="BE33" s="4097">
        <f>IFERROR(I33/I$117,0)</f>
        <v/>
      </c>
      <c r="BF33" s="4097">
        <f>IFERROR(J33/J$117,0)</f>
        <v/>
      </c>
      <c r="BG33" s="4097">
        <f>IFERROR(K33/K$117,0)</f>
        <v/>
      </c>
      <c r="BH33" s="4097">
        <f>IFERROR(L33/L$117,0)</f>
        <v/>
      </c>
      <c r="BI33" s="4097">
        <f>IFERROR(M33/M$117,0)</f>
        <v/>
      </c>
      <c r="BJ33" s="4097">
        <f>IFERROR(N33/N$117,0)</f>
        <v/>
      </c>
      <c r="BK33" s="4097">
        <f>IFERROR(O33/O$117,0)</f>
        <v/>
      </c>
      <c r="BL33" s="4097">
        <f>IFERROR(P33/P$117,0)</f>
        <v/>
      </c>
      <c r="BM33" s="4098">
        <f>IFERROR(Q33/Q$117,0)</f>
        <v/>
      </c>
      <c r="BN33" s="4097">
        <f>IFERROR(R33/R$117,0)</f>
        <v/>
      </c>
      <c r="BO33" s="4097">
        <f>IFERROR(S33/S$117,0)</f>
        <v/>
      </c>
      <c r="BP33" s="4097">
        <f>IFERROR(T33/T$117,0)</f>
        <v/>
      </c>
      <c r="BQ33" s="4097">
        <f>IFERROR(U33/U$117,0)</f>
        <v/>
      </c>
      <c r="BR33" s="4097">
        <f>IFERROR(V33/V$117,0)</f>
        <v/>
      </c>
      <c r="BS33" s="4097">
        <f>IFERROR(W33/W$117,0)</f>
        <v/>
      </c>
      <c r="BT33" s="4097">
        <f>IFERROR(X33/X$117,0)</f>
        <v/>
      </c>
      <c r="BU33" s="4097">
        <f>IFERROR(Y33/Y$117,0)</f>
        <v/>
      </c>
      <c r="BV33" s="4097">
        <f>IFERROR(Z33/Z$117,0)</f>
        <v/>
      </c>
      <c r="BW33" s="4097">
        <f>IFERROR(AA33/AA$117,0)</f>
        <v/>
      </c>
      <c r="BX33" s="4097">
        <f>IFERROR(AB33/AB$117,0)</f>
        <v/>
      </c>
      <c r="BY33" s="4098">
        <f>IFERROR(AC33/AC$117,0)</f>
        <v/>
      </c>
      <c r="BZ33" s="4097">
        <f>IFERROR(AD33/AD$117,0)</f>
        <v/>
      </c>
      <c r="CA33" s="4097">
        <f>IFERROR(AE33/AE$117,0)</f>
        <v/>
      </c>
      <c r="CB33" s="4097">
        <f>IFERROR(AF33/AF$117,0)</f>
        <v/>
      </c>
      <c r="CC33" s="4097">
        <f>IFERROR(AG33/AG$117,0)</f>
        <v/>
      </c>
      <c r="CD33" s="4097">
        <f>IFERROR(AH33/AH$117,0)</f>
        <v/>
      </c>
      <c r="CE33" s="4097">
        <f>IFERROR(AI33/AI$117,0)</f>
        <v/>
      </c>
      <c r="CF33" s="4097">
        <f>IFERROR(AJ33/AJ$117,0)</f>
        <v/>
      </c>
      <c r="CG33" s="4097">
        <f>IFERROR(AK33/AK$117,0)</f>
        <v/>
      </c>
      <c r="CH33" s="4097">
        <f>IFERROR(AL33/AL$117,0)</f>
        <v/>
      </c>
      <c r="CI33" s="4097">
        <f>IFERROR(AM33/AM$117,0)</f>
        <v/>
      </c>
      <c r="CJ33" s="4097">
        <f>IFERROR(AN33/AN$117,0)</f>
        <v/>
      </c>
      <c r="CK33" s="4098">
        <f>IFERROR(AO33/AO$117,0)</f>
        <v/>
      </c>
      <c r="CL33" s="4097">
        <f>IFERROR(AP33/AP$117,0)</f>
        <v/>
      </c>
      <c r="CM33" s="4097">
        <f>IFERROR(AQ33/AQ$117,0)</f>
        <v/>
      </c>
      <c r="CN33" s="4097">
        <f>IFERROR(AR33/AR$117,0)</f>
        <v/>
      </c>
      <c r="CO33" s="4097">
        <f>IFERROR(AS33/AS$117,0)</f>
        <v/>
      </c>
      <c r="CP33" s="4097">
        <f>IFERROR(AT33/AT$117,0)</f>
        <v/>
      </c>
      <c r="CQ33" s="4099">
        <f>IFERROR(AU33/AU$117,0)</f>
        <v/>
      </c>
      <c r="CR33" s="4097">
        <f>IFERROR(AV33/AV$117,0)</f>
        <v/>
      </c>
      <c r="CS33" s="4097">
        <f>IFERROR(AW33/AW$117,0)</f>
        <v/>
      </c>
      <c r="CT33" s="4097">
        <f>IFERROR(AX33/AX$117,0)</f>
        <v/>
      </c>
      <c r="CU33" s="4097">
        <f>IFERROR(AY33/AY$117,0)</f>
        <v/>
      </c>
      <c r="CV33" s="4097">
        <f>IFERROR(AZ33/AZ$117,0)</f>
        <v/>
      </c>
      <c r="CW33" s="3737" t="n"/>
      <c r="CX33" s="4094" t="n">
        <v>374.82141</v>
      </c>
    </row>
    <row r="34" hidden="1" outlineLevel="2" ht="12" customFormat="1" customHeight="1" s="3737">
      <c r="A34" s="4059" t="n"/>
      <c r="B34" s="4060" t="n"/>
      <c r="C34" s="4109" t="inlineStr">
        <is>
          <t>Cards order processing &amp; report fee</t>
        </is>
      </c>
      <c r="D34" s="4093" t="n">
        <v>411226</v>
      </c>
      <c r="E34" s="4093">
        <f>CONCATENATE(D34," - ",C34)</f>
        <v/>
      </c>
      <c r="F34" s="4094" t="n"/>
      <c r="G34" s="4094" t="n"/>
      <c r="H34" s="4094" t="n"/>
      <c r="I34" s="4094" t="n"/>
      <c r="J34" s="4094" t="n"/>
      <c r="K34" s="4094" t="n"/>
      <c r="L34" s="4094" t="n"/>
      <c r="M34" s="4094" t="n"/>
      <c r="N34" s="4094" t="n"/>
      <c r="O34" s="4094" t="n"/>
      <c r="P34" s="4094" t="n"/>
      <c r="Q34" s="4095" t="n"/>
      <c r="R34" s="4094" t="n"/>
      <c r="S34" s="4094" t="n"/>
      <c r="T34" s="4094" t="n"/>
      <c r="U34" s="4094" t="n"/>
      <c r="V34" s="4094" t="n"/>
      <c r="W34" s="4094" t="n"/>
      <c r="X34" s="4094" t="n"/>
      <c r="Y34" s="4094" t="n"/>
      <c r="Z34" s="4094" t="n"/>
      <c r="AA34" s="4094" t="n"/>
      <c r="AB34" s="4094" t="n"/>
      <c r="AC34" s="4095" t="n"/>
      <c r="AD34" s="4094" t="n"/>
      <c r="AE34" s="4094" t="n"/>
      <c r="AF34" s="4094" t="n"/>
      <c r="AG34" s="4094" t="n"/>
      <c r="AH34" s="4094" t="n"/>
      <c r="AI34" s="4094" t="n"/>
      <c r="AJ34" s="4094" t="n"/>
      <c r="AK34" s="4094" t="n"/>
      <c r="AL34" s="4094" t="n"/>
      <c r="AM34" s="4094" t="n"/>
      <c r="AN34" s="4094" t="n"/>
      <c r="AO34" s="4095" t="n"/>
      <c r="AP34" s="4094" t="n">
        <v>1.29789</v>
      </c>
      <c r="AQ34" s="4094" t="n">
        <v>12.29592</v>
      </c>
      <c r="AR34" s="4094" t="n">
        <v>12.29592</v>
      </c>
      <c r="AS34" s="4094" t="n">
        <v>12.29592</v>
      </c>
      <c r="AT34" s="4094" t="n">
        <v>12.29592</v>
      </c>
      <c r="AU34" s="4096" t="n">
        <v>12.29592</v>
      </c>
      <c r="AV34" s="4094">
        <f>SUM(F34:Q34)</f>
        <v/>
      </c>
      <c r="AW34" s="4094">
        <f>SUM(R34:AC34)</f>
        <v/>
      </c>
      <c r="AX34" s="4094">
        <f>SUM(AD34:AO34)</f>
        <v/>
      </c>
      <c r="AY34" s="4094">
        <f>SUM(AH34:AS34)</f>
        <v/>
      </c>
      <c r="AZ34" s="4094">
        <f>SUM(AJ34:AU34)</f>
        <v/>
      </c>
      <c r="BA34" s="3737" t="n"/>
      <c r="BB34" s="4097">
        <f>IFERROR(F34/F$117,0)</f>
        <v/>
      </c>
      <c r="BC34" s="4097">
        <f>IFERROR(G34/G$117,0)</f>
        <v/>
      </c>
      <c r="BD34" s="4097">
        <f>IFERROR(H34/H$117,0)</f>
        <v/>
      </c>
      <c r="BE34" s="4097">
        <f>IFERROR(I34/I$117,0)</f>
        <v/>
      </c>
      <c r="BF34" s="4097">
        <f>IFERROR(J34/J$117,0)</f>
        <v/>
      </c>
      <c r="BG34" s="4097">
        <f>IFERROR(K34/K$117,0)</f>
        <v/>
      </c>
      <c r="BH34" s="4097">
        <f>IFERROR(L34/L$117,0)</f>
        <v/>
      </c>
      <c r="BI34" s="4097">
        <f>IFERROR(M34/M$117,0)</f>
        <v/>
      </c>
      <c r="BJ34" s="4097">
        <f>IFERROR(N34/N$117,0)</f>
        <v/>
      </c>
      <c r="BK34" s="4097">
        <f>IFERROR(O34/O$117,0)</f>
        <v/>
      </c>
      <c r="BL34" s="4097">
        <f>IFERROR(P34/P$117,0)</f>
        <v/>
      </c>
      <c r="BM34" s="4098">
        <f>IFERROR(Q34/Q$117,0)</f>
        <v/>
      </c>
      <c r="BN34" s="4097">
        <f>IFERROR(R34/R$117,0)</f>
        <v/>
      </c>
      <c r="BO34" s="4097">
        <f>IFERROR(S34/S$117,0)</f>
        <v/>
      </c>
      <c r="BP34" s="4097">
        <f>IFERROR(T34/T$117,0)</f>
        <v/>
      </c>
      <c r="BQ34" s="4097">
        <f>IFERROR(U34/U$117,0)</f>
        <v/>
      </c>
      <c r="BR34" s="4097">
        <f>IFERROR(V34/V$117,0)</f>
        <v/>
      </c>
      <c r="BS34" s="4097">
        <f>IFERROR(W34/W$117,0)</f>
        <v/>
      </c>
      <c r="BT34" s="4097">
        <f>IFERROR(X34/X$117,0)</f>
        <v/>
      </c>
      <c r="BU34" s="4097">
        <f>IFERROR(Y34/Y$117,0)</f>
        <v/>
      </c>
      <c r="BV34" s="4097">
        <f>IFERROR(Z34/Z$117,0)</f>
        <v/>
      </c>
      <c r="BW34" s="4097">
        <f>IFERROR(AA34/AA$117,0)</f>
        <v/>
      </c>
      <c r="BX34" s="4097">
        <f>IFERROR(AB34/AB$117,0)</f>
        <v/>
      </c>
      <c r="BY34" s="4098">
        <f>IFERROR(AC34/AC$117,0)</f>
        <v/>
      </c>
      <c r="BZ34" s="4097">
        <f>IFERROR(AD34/AD$117,0)</f>
        <v/>
      </c>
      <c r="CA34" s="4097">
        <f>IFERROR(AE34/AE$117,0)</f>
        <v/>
      </c>
      <c r="CB34" s="4097">
        <f>IFERROR(AF34/AF$117,0)</f>
        <v/>
      </c>
      <c r="CC34" s="4097">
        <f>IFERROR(AG34/AG$117,0)</f>
        <v/>
      </c>
      <c r="CD34" s="4097">
        <f>IFERROR(AH34/AH$117,0)</f>
        <v/>
      </c>
      <c r="CE34" s="4097">
        <f>IFERROR(AI34/AI$117,0)</f>
        <v/>
      </c>
      <c r="CF34" s="4097">
        <f>IFERROR(AJ34/AJ$117,0)</f>
        <v/>
      </c>
      <c r="CG34" s="4097">
        <f>IFERROR(AK34/AK$117,0)</f>
        <v/>
      </c>
      <c r="CH34" s="4097">
        <f>IFERROR(AL34/AL$117,0)</f>
        <v/>
      </c>
      <c r="CI34" s="4097">
        <f>IFERROR(AM34/AM$117,0)</f>
        <v/>
      </c>
      <c r="CJ34" s="4097">
        <f>IFERROR(AN34/AN$117,0)</f>
        <v/>
      </c>
      <c r="CK34" s="4098">
        <f>IFERROR(AO34/AO$117,0)</f>
        <v/>
      </c>
      <c r="CL34" s="4097">
        <f>IFERROR(AP34/AP$117,0)</f>
        <v/>
      </c>
      <c r="CM34" s="4097">
        <f>IFERROR(AQ34/AQ$117,0)</f>
        <v/>
      </c>
      <c r="CN34" s="4097">
        <f>IFERROR(AR34/AR$117,0)</f>
        <v/>
      </c>
      <c r="CO34" s="4097">
        <f>IFERROR(AS34/AS$117,0)</f>
        <v/>
      </c>
      <c r="CP34" s="4097">
        <f>IFERROR(AT34/AT$117,0)</f>
        <v/>
      </c>
      <c r="CQ34" s="4099">
        <f>IFERROR(AU34/AU$117,0)</f>
        <v/>
      </c>
      <c r="CR34" s="4097">
        <f>IFERROR(AV34/AV$117,0)</f>
        <v/>
      </c>
      <c r="CS34" s="4097">
        <f>IFERROR(AW34/AW$117,0)</f>
        <v/>
      </c>
      <c r="CT34" s="4097">
        <f>IFERROR(AX34/AX$117,0)</f>
        <v/>
      </c>
      <c r="CU34" s="4097">
        <f>IFERROR(AY34/AY$117,0)</f>
        <v/>
      </c>
      <c r="CV34" s="4097">
        <f>IFERROR(AZ34/AZ$117,0)</f>
        <v/>
      </c>
      <c r="CW34" s="3737" t="n"/>
      <c r="CX34" s="4094" t="n">
        <v>175.94402</v>
      </c>
    </row>
    <row r="35" hidden="1" outlineLevel="2" ht="12" customFormat="1" customHeight="1" s="3737">
      <c r="A35" s="4059" t="n"/>
      <c r="B35" s="4060" t="n"/>
      <c r="C35" s="4109" t="inlineStr">
        <is>
          <t>Cards ancillary services</t>
        </is>
      </c>
      <c r="D35" s="4093" t="n">
        <v>411224</v>
      </c>
      <c r="E35" s="4093">
        <f>CONCATENATE(D35," - ",C35)</f>
        <v/>
      </c>
      <c r="F35" s="4094" t="n"/>
      <c r="G35" s="4094" t="n"/>
      <c r="H35" s="4094" t="n"/>
      <c r="I35" s="4094" t="n"/>
      <c r="J35" s="4094" t="n"/>
      <c r="K35" s="4094" t="n"/>
      <c r="L35" s="4094" t="n"/>
      <c r="M35" s="4094" t="n"/>
      <c r="N35" s="4094" t="n"/>
      <c r="O35" s="4094" t="n"/>
      <c r="P35" s="4094" t="n"/>
      <c r="Q35" s="4095" t="n"/>
      <c r="R35" s="4094" t="n"/>
      <c r="S35" s="4094" t="n"/>
      <c r="T35" s="4094" t="n"/>
      <c r="U35" s="4094" t="n"/>
      <c r="V35" s="4094" t="n"/>
      <c r="W35" s="4094" t="n"/>
      <c r="X35" s="4094" t="n"/>
      <c r="Y35" s="4094" t="n"/>
      <c r="Z35" s="4094" t="n"/>
      <c r="AA35" s="4094" t="n"/>
      <c r="AB35" s="4094" t="n"/>
      <c r="AC35" s="4095" t="n"/>
      <c r="AD35" s="4094" t="n"/>
      <c r="AE35" s="4094" t="n"/>
      <c r="AF35" s="4094" t="n"/>
      <c r="AG35" s="4094" t="n"/>
      <c r="AH35" s="4094" t="n"/>
      <c r="AI35" s="4094" t="n"/>
      <c r="AJ35" s="4094" t="n"/>
      <c r="AK35" s="4094" t="n"/>
      <c r="AL35" s="4094" t="n"/>
      <c r="AM35" s="4094" t="n"/>
      <c r="AN35" s="4094" t="n"/>
      <c r="AO35" s="4095" t="n"/>
      <c r="AP35" s="4094" t="n">
        <v>10.03042</v>
      </c>
      <c r="AQ35" s="4094" t="n">
        <v>4.39082</v>
      </c>
      <c r="AR35" s="4094" t="n">
        <v>3.19735</v>
      </c>
      <c r="AS35" s="4094" t="n">
        <v>5.70818</v>
      </c>
      <c r="AT35" s="4094" t="n">
        <v>2.38351</v>
      </c>
      <c r="AU35" s="4096" t="n">
        <v>4.62558</v>
      </c>
      <c r="AV35" s="4094">
        <f>SUM(F35:Q35)</f>
        <v/>
      </c>
      <c r="AW35" s="4094">
        <f>SUM(R35:AC35)</f>
        <v/>
      </c>
      <c r="AX35" s="4094">
        <f>SUM(AD35:AO35)</f>
        <v/>
      </c>
      <c r="AY35" s="4094">
        <f>SUM(AH35:AS35)</f>
        <v/>
      </c>
      <c r="AZ35" s="4094">
        <f>SUM(AJ35:AU35)</f>
        <v/>
      </c>
      <c r="BA35" s="3737" t="n"/>
      <c r="BB35" s="4097">
        <f>IFERROR(F35/F$117,0)</f>
        <v/>
      </c>
      <c r="BC35" s="4097">
        <f>IFERROR(G35/G$117,0)</f>
        <v/>
      </c>
      <c r="BD35" s="4097">
        <f>IFERROR(H35/H$117,0)</f>
        <v/>
      </c>
      <c r="BE35" s="4097">
        <f>IFERROR(I35/I$117,0)</f>
        <v/>
      </c>
      <c r="BF35" s="4097">
        <f>IFERROR(J35/J$117,0)</f>
        <v/>
      </c>
      <c r="BG35" s="4097">
        <f>IFERROR(K35/K$117,0)</f>
        <v/>
      </c>
      <c r="BH35" s="4097">
        <f>IFERROR(L35/L$117,0)</f>
        <v/>
      </c>
      <c r="BI35" s="4097">
        <f>IFERROR(M35/M$117,0)</f>
        <v/>
      </c>
      <c r="BJ35" s="4097">
        <f>IFERROR(N35/N$117,0)</f>
        <v/>
      </c>
      <c r="BK35" s="4097">
        <f>IFERROR(O35/O$117,0)</f>
        <v/>
      </c>
      <c r="BL35" s="4097">
        <f>IFERROR(P35/P$117,0)</f>
        <v/>
      </c>
      <c r="BM35" s="4098">
        <f>IFERROR(Q35/Q$117,0)</f>
        <v/>
      </c>
      <c r="BN35" s="4097">
        <f>IFERROR(R35/R$117,0)</f>
        <v/>
      </c>
      <c r="BO35" s="4097">
        <f>IFERROR(S35/S$117,0)</f>
        <v/>
      </c>
      <c r="BP35" s="4097">
        <f>IFERROR(T35/T$117,0)</f>
        <v/>
      </c>
      <c r="BQ35" s="4097">
        <f>IFERROR(U35/U$117,0)</f>
        <v/>
      </c>
      <c r="BR35" s="4097">
        <f>IFERROR(V35/V$117,0)</f>
        <v/>
      </c>
      <c r="BS35" s="4097">
        <f>IFERROR(W35/W$117,0)</f>
        <v/>
      </c>
      <c r="BT35" s="4097">
        <f>IFERROR(X35/X$117,0)</f>
        <v/>
      </c>
      <c r="BU35" s="4097">
        <f>IFERROR(Y35/Y$117,0)</f>
        <v/>
      </c>
      <c r="BV35" s="4097">
        <f>IFERROR(Z35/Z$117,0)</f>
        <v/>
      </c>
      <c r="BW35" s="4097">
        <f>IFERROR(AA35/AA$117,0)</f>
        <v/>
      </c>
      <c r="BX35" s="4097">
        <f>IFERROR(AB35/AB$117,0)</f>
        <v/>
      </c>
      <c r="BY35" s="4098">
        <f>IFERROR(AC35/AC$117,0)</f>
        <v/>
      </c>
      <c r="BZ35" s="4097">
        <f>IFERROR(AD35/AD$117,0)</f>
        <v/>
      </c>
      <c r="CA35" s="4097">
        <f>IFERROR(AE35/AE$117,0)</f>
        <v/>
      </c>
      <c r="CB35" s="4097">
        <f>IFERROR(AF35/AF$117,0)</f>
        <v/>
      </c>
      <c r="CC35" s="4097">
        <f>IFERROR(AG35/AG$117,0)</f>
        <v/>
      </c>
      <c r="CD35" s="4097">
        <f>IFERROR(AH35/AH$117,0)</f>
        <v/>
      </c>
      <c r="CE35" s="4097">
        <f>IFERROR(AI35/AI$117,0)</f>
        <v/>
      </c>
      <c r="CF35" s="4097">
        <f>IFERROR(AJ35/AJ$117,0)</f>
        <v/>
      </c>
      <c r="CG35" s="4097">
        <f>IFERROR(AK35/AK$117,0)</f>
        <v/>
      </c>
      <c r="CH35" s="4097">
        <f>IFERROR(AL35/AL$117,0)</f>
        <v/>
      </c>
      <c r="CI35" s="4097">
        <f>IFERROR(AM35/AM$117,0)</f>
        <v/>
      </c>
      <c r="CJ35" s="4097">
        <f>IFERROR(AN35/AN$117,0)</f>
        <v/>
      </c>
      <c r="CK35" s="4098">
        <f>IFERROR(AO35/AO$117,0)</f>
        <v/>
      </c>
      <c r="CL35" s="4097">
        <f>IFERROR(AP35/AP$117,0)</f>
        <v/>
      </c>
      <c r="CM35" s="4097">
        <f>IFERROR(AQ35/AQ$117,0)</f>
        <v/>
      </c>
      <c r="CN35" s="4097">
        <f>IFERROR(AR35/AR$117,0)</f>
        <v/>
      </c>
      <c r="CO35" s="4097">
        <f>IFERROR(AS35/AS$117,0)</f>
        <v/>
      </c>
      <c r="CP35" s="4097">
        <f>IFERROR(AT35/AT$117,0)</f>
        <v/>
      </c>
      <c r="CQ35" s="4099">
        <f>IFERROR(AU35/AU$117,0)</f>
        <v/>
      </c>
      <c r="CR35" s="4097">
        <f>IFERROR(AV35/AV$117,0)</f>
        <v/>
      </c>
      <c r="CS35" s="4097">
        <f>IFERROR(AW35/AW$117,0)</f>
        <v/>
      </c>
      <c r="CT35" s="4097">
        <f>IFERROR(AX35/AX$117,0)</f>
        <v/>
      </c>
      <c r="CU35" s="4097">
        <f>IFERROR(AY35/AY$117,0)</f>
        <v/>
      </c>
      <c r="CV35" s="4097">
        <f>IFERROR(AZ35/AZ$117,0)</f>
        <v/>
      </c>
      <c r="CW35" s="3737" t="n"/>
      <c r="CX35" s="4094" t="n">
        <v>2.715</v>
      </c>
    </row>
    <row r="36" hidden="1" outlineLevel="2" ht="12" customFormat="1" customHeight="1" s="3737">
      <c r="A36" s="4059" t="n"/>
      <c r="B36" s="4060" t="n"/>
      <c r="C36" s="4109" t="inlineStr">
        <is>
          <t>Dma - program fee</t>
        </is>
      </c>
      <c r="D36" s="4093" t="n">
        <v>411222</v>
      </c>
      <c r="E36" s="4093">
        <f>CONCATENATE(D36," - ",C36)</f>
        <v/>
      </c>
      <c r="F36" s="4094" t="n"/>
      <c r="G36" s="4094" t="n"/>
      <c r="H36" s="4094" t="n"/>
      <c r="I36" s="4094" t="n"/>
      <c r="J36" s="4094" t="n"/>
      <c r="K36" s="4094" t="n"/>
      <c r="L36" s="4094" t="n"/>
      <c r="M36" s="4094" t="n"/>
      <c r="N36" s="4094" t="n"/>
      <c r="O36" s="4094" t="n"/>
      <c r="P36" s="4094" t="n"/>
      <c r="Q36" s="4095" t="n"/>
      <c r="R36" s="4094" t="n"/>
      <c r="S36" s="4094" t="n"/>
      <c r="T36" s="4094" t="n"/>
      <c r="U36" s="4094" t="n"/>
      <c r="V36" s="4094" t="n"/>
      <c r="W36" s="4094" t="n"/>
      <c r="X36" s="4094" t="n"/>
      <c r="Y36" s="4094" t="n"/>
      <c r="Z36" s="4094" t="n"/>
      <c r="AA36" s="4094" t="n"/>
      <c r="AB36" s="4094" t="n"/>
      <c r="AC36" s="4095" t="n"/>
      <c r="AD36" s="4094" t="n"/>
      <c r="AE36" s="4094" t="n"/>
      <c r="AF36" s="4094" t="n"/>
      <c r="AG36" s="4094" t="n"/>
      <c r="AH36" s="4094" t="n"/>
      <c r="AI36" s="4094" t="n"/>
      <c r="AJ36" s="4094" t="n"/>
      <c r="AK36" s="4094" t="n"/>
      <c r="AL36" s="4094" t="n"/>
      <c r="AM36" s="4094" t="n"/>
      <c r="AN36" s="4094" t="n"/>
      <c r="AO36" s="4095" t="n"/>
      <c r="AP36" s="4094" t="n">
        <v>31.24389</v>
      </c>
      <c r="AQ36" s="4094" t="n">
        <v>4.99909</v>
      </c>
      <c r="AR36" s="4094" t="n">
        <v>4.99983</v>
      </c>
      <c r="AS36" s="4094" t="n">
        <v>6.66465</v>
      </c>
      <c r="AT36" s="4094" t="n">
        <v>5.83225</v>
      </c>
      <c r="AU36" s="4096" t="n">
        <v>6.24882</v>
      </c>
      <c r="AV36" s="4094">
        <f>SUM(F36:Q36)</f>
        <v/>
      </c>
      <c r="AW36" s="4094">
        <f>SUM(R36:AC36)</f>
        <v/>
      </c>
      <c r="AX36" s="4094">
        <f>SUM(AD36:AO36)</f>
        <v/>
      </c>
      <c r="AY36" s="4094">
        <f>SUM(AH36:AS36)</f>
        <v/>
      </c>
      <c r="AZ36" s="4094">
        <f>SUM(AJ36:AU36)</f>
        <v/>
      </c>
      <c r="BA36" s="3737" t="n"/>
      <c r="BB36" s="4097">
        <f>IFERROR(F36/F$117,0)</f>
        <v/>
      </c>
      <c r="BC36" s="4097">
        <f>IFERROR(G36/G$117,0)</f>
        <v/>
      </c>
      <c r="BD36" s="4097">
        <f>IFERROR(H36/H$117,0)</f>
        <v/>
      </c>
      <c r="BE36" s="4097">
        <f>IFERROR(I36/I$117,0)</f>
        <v/>
      </c>
      <c r="BF36" s="4097">
        <f>IFERROR(J36/J$117,0)</f>
        <v/>
      </c>
      <c r="BG36" s="4097">
        <f>IFERROR(K36/K$117,0)</f>
        <v/>
      </c>
      <c r="BH36" s="4097">
        <f>IFERROR(L36/L$117,0)</f>
        <v/>
      </c>
      <c r="BI36" s="4097">
        <f>IFERROR(M36/M$117,0)</f>
        <v/>
      </c>
      <c r="BJ36" s="4097">
        <f>IFERROR(N36/N$117,0)</f>
        <v/>
      </c>
      <c r="BK36" s="4097">
        <f>IFERROR(O36/O$117,0)</f>
        <v/>
      </c>
      <c r="BL36" s="4097">
        <f>IFERROR(P36/P$117,0)</f>
        <v/>
      </c>
      <c r="BM36" s="4098">
        <f>IFERROR(Q36/Q$117,0)</f>
        <v/>
      </c>
      <c r="BN36" s="4097">
        <f>IFERROR(R36/R$117,0)</f>
        <v/>
      </c>
      <c r="BO36" s="4097">
        <f>IFERROR(S36/S$117,0)</f>
        <v/>
      </c>
      <c r="BP36" s="4097">
        <f>IFERROR(T36/T$117,0)</f>
        <v/>
      </c>
      <c r="BQ36" s="4097">
        <f>IFERROR(U36/U$117,0)</f>
        <v/>
      </c>
      <c r="BR36" s="4097">
        <f>IFERROR(V36/V$117,0)</f>
        <v/>
      </c>
      <c r="BS36" s="4097">
        <f>IFERROR(W36/W$117,0)</f>
        <v/>
      </c>
      <c r="BT36" s="4097">
        <f>IFERROR(X36/X$117,0)</f>
        <v/>
      </c>
      <c r="BU36" s="4097">
        <f>IFERROR(Y36/Y$117,0)</f>
        <v/>
      </c>
      <c r="BV36" s="4097">
        <f>IFERROR(Z36/Z$117,0)</f>
        <v/>
      </c>
      <c r="BW36" s="4097">
        <f>IFERROR(AA36/AA$117,0)</f>
        <v/>
      </c>
      <c r="BX36" s="4097">
        <f>IFERROR(AB36/AB$117,0)</f>
        <v/>
      </c>
      <c r="BY36" s="4098">
        <f>IFERROR(AC36/AC$117,0)</f>
        <v/>
      </c>
      <c r="BZ36" s="4097">
        <f>IFERROR(AD36/AD$117,0)</f>
        <v/>
      </c>
      <c r="CA36" s="4097">
        <f>IFERROR(AE36/AE$117,0)</f>
        <v/>
      </c>
      <c r="CB36" s="4097">
        <f>IFERROR(AF36/AF$117,0)</f>
        <v/>
      </c>
      <c r="CC36" s="4097">
        <f>IFERROR(AG36/AG$117,0)</f>
        <v/>
      </c>
      <c r="CD36" s="4097">
        <f>IFERROR(AH36/AH$117,0)</f>
        <v/>
      </c>
      <c r="CE36" s="4097">
        <f>IFERROR(AI36/AI$117,0)</f>
        <v/>
      </c>
      <c r="CF36" s="4097">
        <f>IFERROR(AJ36/AJ$117,0)</f>
        <v/>
      </c>
      <c r="CG36" s="4097">
        <f>IFERROR(AK36/AK$117,0)</f>
        <v/>
      </c>
      <c r="CH36" s="4097">
        <f>IFERROR(AL36/AL$117,0)</f>
        <v/>
      </c>
      <c r="CI36" s="4097">
        <f>IFERROR(AM36/AM$117,0)</f>
        <v/>
      </c>
      <c r="CJ36" s="4097">
        <f>IFERROR(AN36/AN$117,0)</f>
        <v/>
      </c>
      <c r="CK36" s="4098">
        <f>IFERROR(AO36/AO$117,0)</f>
        <v/>
      </c>
      <c r="CL36" s="4097">
        <f>IFERROR(AP36/AP$117,0)</f>
        <v/>
      </c>
      <c r="CM36" s="4097">
        <f>IFERROR(AQ36/AQ$117,0)</f>
        <v/>
      </c>
      <c r="CN36" s="4097">
        <f>IFERROR(AR36/AR$117,0)</f>
        <v/>
      </c>
      <c r="CO36" s="4097">
        <f>IFERROR(AS36/AS$117,0)</f>
        <v/>
      </c>
      <c r="CP36" s="4097">
        <f>IFERROR(AT36/AT$117,0)</f>
        <v/>
      </c>
      <c r="CQ36" s="4099">
        <f>IFERROR(AU36/AU$117,0)</f>
        <v/>
      </c>
      <c r="CR36" s="4097">
        <f>IFERROR(AV36/AV$117,0)</f>
        <v/>
      </c>
      <c r="CS36" s="4097">
        <f>IFERROR(AW36/AW$117,0)</f>
        <v/>
      </c>
      <c r="CT36" s="4097">
        <f>IFERROR(AX36/AX$117,0)</f>
        <v/>
      </c>
      <c r="CU36" s="4097">
        <f>IFERROR(AY36/AY$117,0)</f>
        <v/>
      </c>
      <c r="CV36" s="4097">
        <f>IFERROR(AZ36/AZ$117,0)</f>
        <v/>
      </c>
      <c r="CW36" s="3737" t="n"/>
      <c r="CX36" s="4094" t="n">
        <v>0</v>
      </c>
    </row>
    <row r="37" hidden="1" outlineLevel="2" ht="12" customFormat="1" customHeight="1" s="3737">
      <c r="A37" s="4059" t="n"/>
      <c r="B37" s="4060" t="n"/>
      <c r="C37" s="4110" t="inlineStr">
        <is>
          <t>Card services ifrs15 py adj- cards</t>
        </is>
      </c>
      <c r="D37" s="4101" t="n">
        <v>411217</v>
      </c>
      <c r="E37" s="4101">
        <f>CONCATENATE(D37," - ",C37)</f>
        <v/>
      </c>
      <c r="F37" s="4102" t="n"/>
      <c r="G37" s="4102" t="n"/>
      <c r="H37" s="4102" t="n"/>
      <c r="I37" s="4102" t="n"/>
      <c r="J37" s="4102" t="n"/>
      <c r="K37" s="4102" t="n"/>
      <c r="L37" s="4102" t="n"/>
      <c r="M37" s="4102" t="n"/>
      <c r="N37" s="4102" t="n"/>
      <c r="O37" s="4102" t="n"/>
      <c r="P37" s="4102" t="n"/>
      <c r="Q37" s="4103" t="n"/>
      <c r="R37" s="4102" t="n"/>
      <c r="S37" s="4102" t="n"/>
      <c r="T37" s="4102" t="n"/>
      <c r="U37" s="4102" t="n"/>
      <c r="V37" s="4102" t="n"/>
      <c r="W37" s="4102" t="n"/>
      <c r="X37" s="4102" t="n"/>
      <c r="Y37" s="4102" t="n"/>
      <c r="Z37" s="4102" t="n"/>
      <c r="AA37" s="4102" t="n"/>
      <c r="AB37" s="4102" t="n"/>
      <c r="AC37" s="4103" t="n"/>
      <c r="AD37" s="4102" t="n"/>
      <c r="AE37" s="4102" t="n"/>
      <c r="AF37" s="4102" t="n"/>
      <c r="AG37" s="4102" t="n"/>
      <c r="AH37" s="4102" t="n"/>
      <c r="AI37" s="4102" t="n"/>
      <c r="AJ37" s="4102" t="n"/>
      <c r="AK37" s="4102" t="n"/>
      <c r="AL37" s="4102" t="n"/>
      <c r="AM37" s="4102" t="n"/>
      <c r="AN37" s="4102" t="n"/>
      <c r="AO37" s="4103" t="n"/>
      <c r="AP37" s="4102" t="n">
        <v>0</v>
      </c>
      <c r="AQ37" s="4102" t="n">
        <v>0</v>
      </c>
      <c r="AR37" s="4102" t="n">
        <v>0</v>
      </c>
      <c r="AS37" s="4102" t="n">
        <v>0</v>
      </c>
      <c r="AT37" s="4102" t="n">
        <v>0</v>
      </c>
      <c r="AU37" s="4104" t="n">
        <v>0</v>
      </c>
      <c r="AV37" s="4102">
        <f>SUM(F37:Q37)</f>
        <v/>
      </c>
      <c r="AW37" s="4102">
        <f>SUM(R37:AC37)</f>
        <v/>
      </c>
      <c r="AX37" s="4102">
        <f>SUM(AD37:AO37)</f>
        <v/>
      </c>
      <c r="AY37" s="4102">
        <f>SUM(AH37:AS37)</f>
        <v/>
      </c>
      <c r="AZ37" s="4102">
        <f>SUM(AJ37:AU37)</f>
        <v/>
      </c>
      <c r="BA37" s="3737" t="n"/>
      <c r="BB37" s="4105">
        <f>IFERROR(F37/F$117,0)</f>
        <v/>
      </c>
      <c r="BC37" s="4105">
        <f>IFERROR(G37/G$117,0)</f>
        <v/>
      </c>
      <c r="BD37" s="4105">
        <f>IFERROR(H37/H$117,0)</f>
        <v/>
      </c>
      <c r="BE37" s="4105">
        <f>IFERROR(I37/I$117,0)</f>
        <v/>
      </c>
      <c r="BF37" s="4105">
        <f>IFERROR(J37/J$117,0)</f>
        <v/>
      </c>
      <c r="BG37" s="4105">
        <f>IFERROR(K37/K$117,0)</f>
        <v/>
      </c>
      <c r="BH37" s="4105">
        <f>IFERROR(L37/L$117,0)</f>
        <v/>
      </c>
      <c r="BI37" s="4105">
        <f>IFERROR(M37/M$117,0)</f>
        <v/>
      </c>
      <c r="BJ37" s="4105">
        <f>IFERROR(N37/N$117,0)</f>
        <v/>
      </c>
      <c r="BK37" s="4105">
        <f>IFERROR(O37/O$117,0)</f>
        <v/>
      </c>
      <c r="BL37" s="4105">
        <f>IFERROR(P37/P$117,0)</f>
        <v/>
      </c>
      <c r="BM37" s="4106">
        <f>IFERROR(Q37/Q$117,0)</f>
        <v/>
      </c>
      <c r="BN37" s="4105">
        <f>IFERROR(R37/R$117,0)</f>
        <v/>
      </c>
      <c r="BO37" s="4105">
        <f>IFERROR(S37/S$117,0)</f>
        <v/>
      </c>
      <c r="BP37" s="4105">
        <f>IFERROR(T37/T$117,0)</f>
        <v/>
      </c>
      <c r="BQ37" s="4105">
        <f>IFERROR(U37/U$117,0)</f>
        <v/>
      </c>
      <c r="BR37" s="4105">
        <f>IFERROR(V37/V$117,0)</f>
        <v/>
      </c>
      <c r="BS37" s="4105">
        <f>IFERROR(W37/W$117,0)</f>
        <v/>
      </c>
      <c r="BT37" s="4105">
        <f>IFERROR(X37/X$117,0)</f>
        <v/>
      </c>
      <c r="BU37" s="4105">
        <f>IFERROR(Y37/Y$117,0)</f>
        <v/>
      </c>
      <c r="BV37" s="4105">
        <f>IFERROR(Z37/Z$117,0)</f>
        <v/>
      </c>
      <c r="BW37" s="4105">
        <f>IFERROR(AA37/AA$117,0)</f>
        <v/>
      </c>
      <c r="BX37" s="4105">
        <f>IFERROR(AB37/AB$117,0)</f>
        <v/>
      </c>
      <c r="BY37" s="4106">
        <f>IFERROR(AC37/AC$117,0)</f>
        <v/>
      </c>
      <c r="BZ37" s="4105">
        <f>IFERROR(AD37/AD$117,0)</f>
        <v/>
      </c>
      <c r="CA37" s="4105">
        <f>IFERROR(AE37/AE$117,0)</f>
        <v/>
      </c>
      <c r="CB37" s="4105">
        <f>IFERROR(AF37/AF$117,0)</f>
        <v/>
      </c>
      <c r="CC37" s="4105">
        <f>IFERROR(AG37/AG$117,0)</f>
        <v/>
      </c>
      <c r="CD37" s="4105">
        <f>IFERROR(AH37/AH$117,0)</f>
        <v/>
      </c>
      <c r="CE37" s="4105">
        <f>IFERROR(AI37/AI$117,0)</f>
        <v/>
      </c>
      <c r="CF37" s="4105">
        <f>IFERROR(AJ37/AJ$117,0)</f>
        <v/>
      </c>
      <c r="CG37" s="4105">
        <f>IFERROR(AK37/AK$117,0)</f>
        <v/>
      </c>
      <c r="CH37" s="4105">
        <f>IFERROR(AL37/AL$117,0)</f>
        <v/>
      </c>
      <c r="CI37" s="4105">
        <f>IFERROR(AM37/AM$117,0)</f>
        <v/>
      </c>
      <c r="CJ37" s="4105">
        <f>IFERROR(AN37/AN$117,0)</f>
        <v/>
      </c>
      <c r="CK37" s="4106">
        <f>IFERROR(AO37/AO$117,0)</f>
        <v/>
      </c>
      <c r="CL37" s="4105">
        <f>IFERROR(AP37/AP$117,0)</f>
        <v/>
      </c>
      <c r="CM37" s="4105">
        <f>IFERROR(AQ37/AQ$117,0)</f>
        <v/>
      </c>
      <c r="CN37" s="4105">
        <f>IFERROR(AR37/AR$117,0)</f>
        <v/>
      </c>
      <c r="CO37" s="4105">
        <f>IFERROR(AS37/AS$117,0)</f>
        <v/>
      </c>
      <c r="CP37" s="4105">
        <f>IFERROR(AT37/AT$117,0)</f>
        <v/>
      </c>
      <c r="CQ37" s="4107">
        <f>IFERROR(AU37/AU$117,0)</f>
        <v/>
      </c>
      <c r="CR37" s="4105">
        <f>IFERROR(AV37/AV$117,0)</f>
        <v/>
      </c>
      <c r="CS37" s="4105">
        <f>IFERROR(AW37/AW$117,0)</f>
        <v/>
      </c>
      <c r="CT37" s="4105">
        <f>IFERROR(AX37/AX$117,0)</f>
        <v/>
      </c>
      <c r="CU37" s="4105">
        <f>IFERROR(AY37/AY$117,0)</f>
        <v/>
      </c>
      <c r="CV37" s="4105">
        <f>IFERROR(AZ37/AZ$117,0)</f>
        <v/>
      </c>
      <c r="CW37" s="3737" t="n"/>
      <c r="CX37" s="4102" t="n">
        <v>30.54996</v>
      </c>
    </row>
    <row r="38" hidden="1" outlineLevel="1" collapsed="1" ht="12" customFormat="1" customHeight="1" s="3737">
      <c r="A38" s="4059" t="n"/>
      <c r="B38" s="4060" t="n"/>
      <c r="C38" s="4111" t="inlineStr">
        <is>
          <t>Card issuance revenue - cards</t>
        </is>
      </c>
      <c r="D38" s="4093" t="n"/>
      <c r="E38" s="4093" t="n"/>
      <c r="F38" s="4094" t="n"/>
      <c r="G38" s="4094" t="n"/>
      <c r="H38" s="4094" t="n"/>
      <c r="I38" s="4094" t="n"/>
      <c r="J38" s="4094" t="n"/>
      <c r="K38" s="4094" t="n"/>
      <c r="L38" s="4094" t="n"/>
      <c r="M38" s="4094" t="n"/>
      <c r="N38" s="4094" t="n"/>
      <c r="O38" s="4094" t="n"/>
      <c r="P38" s="4094" t="n"/>
      <c r="Q38" s="4095" t="n"/>
      <c r="R38" s="4094" t="n"/>
      <c r="S38" s="4094" t="n"/>
      <c r="T38" s="4094" t="n"/>
      <c r="U38" s="4094" t="n"/>
      <c r="V38" s="4094" t="n"/>
      <c r="W38" s="4094" t="n"/>
      <c r="X38" s="4094" t="n"/>
      <c r="Y38" s="4094" t="n"/>
      <c r="Z38" s="4094" t="n"/>
      <c r="AA38" s="4094" t="n"/>
      <c r="AB38" s="4094" t="n"/>
      <c r="AC38" s="4095" t="n"/>
      <c r="AD38" s="4094" t="n"/>
      <c r="AE38" s="4094" t="n"/>
      <c r="AF38" s="4094" t="n"/>
      <c r="AG38" s="4094" t="n"/>
      <c r="AH38" s="4094" t="n"/>
      <c r="AI38" s="4094" t="n"/>
      <c r="AJ38" s="4094" t="n"/>
      <c r="AK38" s="4094" t="n"/>
      <c r="AL38" s="4094" t="n"/>
      <c r="AM38" s="4094" t="n"/>
      <c r="AN38" s="4094" t="n"/>
      <c r="AO38" s="4095" t="n"/>
      <c r="AP38" s="4094">
        <f>SUM(AP31:AP37)</f>
        <v/>
      </c>
      <c r="AQ38" s="4094">
        <f>SUM(AQ31:AQ37)</f>
        <v/>
      </c>
      <c r="AR38" s="4094">
        <f>SUM(AR31:AR37)</f>
        <v/>
      </c>
      <c r="AS38" s="4094">
        <f>SUM(AS31:AS37)</f>
        <v/>
      </c>
      <c r="AT38" s="4094">
        <f>SUM(AT31:AT37)</f>
        <v/>
      </c>
      <c r="AU38" s="4096">
        <f>SUM(AU31:AU37)</f>
        <v/>
      </c>
      <c r="AV38" s="4094">
        <f>SUM(AV31:AV37)</f>
        <v/>
      </c>
      <c r="AW38" s="4094">
        <f>SUM(AW31:AW37)</f>
        <v/>
      </c>
      <c r="AX38" s="4094">
        <f>SUM(AX31:AX37)</f>
        <v/>
      </c>
      <c r="AY38" s="4094">
        <f>SUM(AY31:AY37)</f>
        <v/>
      </c>
      <c r="AZ38" s="4094">
        <f>SUM(AZ31:AZ37)</f>
        <v/>
      </c>
      <c r="BA38" s="3737" t="n"/>
      <c r="BB38" s="4097">
        <f>IFERROR(F38/F$117,0)</f>
        <v/>
      </c>
      <c r="BC38" s="4097">
        <f>IFERROR(G38/G$117,0)</f>
        <v/>
      </c>
      <c r="BD38" s="4097">
        <f>IFERROR(H38/H$117,0)</f>
        <v/>
      </c>
      <c r="BE38" s="4097">
        <f>IFERROR(I38/I$117,0)</f>
        <v/>
      </c>
      <c r="BF38" s="4097">
        <f>IFERROR(J38/J$117,0)</f>
        <v/>
      </c>
      <c r="BG38" s="4097">
        <f>IFERROR(K38/K$117,0)</f>
        <v/>
      </c>
      <c r="BH38" s="4097">
        <f>IFERROR(L38/L$117,0)</f>
        <v/>
      </c>
      <c r="BI38" s="4097">
        <f>IFERROR(M38/M$117,0)</f>
        <v/>
      </c>
      <c r="BJ38" s="4097">
        <f>IFERROR(N38/N$117,0)</f>
        <v/>
      </c>
      <c r="BK38" s="4097">
        <f>IFERROR(O38/O$117,0)</f>
        <v/>
      </c>
      <c r="BL38" s="4097">
        <f>IFERROR(P38/P$117,0)</f>
        <v/>
      </c>
      <c r="BM38" s="4098">
        <f>IFERROR(Q38/Q$117,0)</f>
        <v/>
      </c>
      <c r="BN38" s="4097">
        <f>IFERROR(R38/R$117,0)</f>
        <v/>
      </c>
      <c r="BO38" s="4097">
        <f>IFERROR(S38/S$117,0)</f>
        <v/>
      </c>
      <c r="BP38" s="4097">
        <f>IFERROR(T38/T$117,0)</f>
        <v/>
      </c>
      <c r="BQ38" s="4097">
        <f>IFERROR(U38/U$117,0)</f>
        <v/>
      </c>
      <c r="BR38" s="4097">
        <f>IFERROR(V38/V$117,0)</f>
        <v/>
      </c>
      <c r="BS38" s="4097">
        <f>IFERROR(W38/W$117,0)</f>
        <v/>
      </c>
      <c r="BT38" s="4097">
        <f>IFERROR(X38/X$117,0)</f>
        <v/>
      </c>
      <c r="BU38" s="4097">
        <f>IFERROR(Y38/Y$117,0)</f>
        <v/>
      </c>
      <c r="BV38" s="4097">
        <f>IFERROR(Z38/Z$117,0)</f>
        <v/>
      </c>
      <c r="BW38" s="4097">
        <f>IFERROR(AA38/AA$117,0)</f>
        <v/>
      </c>
      <c r="BX38" s="4097">
        <f>IFERROR(AB38/AB$117,0)</f>
        <v/>
      </c>
      <c r="BY38" s="4098">
        <f>IFERROR(AC38/AC$117,0)</f>
        <v/>
      </c>
      <c r="BZ38" s="4097">
        <f>IFERROR(AD38/AD$117,0)</f>
        <v/>
      </c>
      <c r="CA38" s="4097">
        <f>IFERROR(AE38/AE$117,0)</f>
        <v/>
      </c>
      <c r="CB38" s="4097">
        <f>IFERROR(AF38/AF$117,0)</f>
        <v/>
      </c>
      <c r="CC38" s="4097">
        <f>IFERROR(AG38/AG$117,0)</f>
        <v/>
      </c>
      <c r="CD38" s="4097">
        <f>IFERROR(AH38/AH$117,0)</f>
        <v/>
      </c>
      <c r="CE38" s="4097">
        <f>IFERROR(AI38/AI$117,0)</f>
        <v/>
      </c>
      <c r="CF38" s="4097">
        <f>IFERROR(AJ38/AJ$117,0)</f>
        <v/>
      </c>
      <c r="CG38" s="4097">
        <f>IFERROR(AK38/AK$117,0)</f>
        <v/>
      </c>
      <c r="CH38" s="4097">
        <f>IFERROR(AL38/AL$117,0)</f>
        <v/>
      </c>
      <c r="CI38" s="4097">
        <f>IFERROR(AM38/AM$117,0)</f>
        <v/>
      </c>
      <c r="CJ38" s="4097">
        <f>IFERROR(AN38/AN$117,0)</f>
        <v/>
      </c>
      <c r="CK38" s="4098">
        <f>IFERROR(AO38/AO$117,0)</f>
        <v/>
      </c>
      <c r="CL38" s="4097">
        <f>IFERROR(AP38/AP$117,0)</f>
        <v/>
      </c>
      <c r="CM38" s="4097">
        <f>IFERROR(AQ38/AQ$117,0)</f>
        <v/>
      </c>
      <c r="CN38" s="4097">
        <f>IFERROR(AR38/AR$117,0)</f>
        <v/>
      </c>
      <c r="CO38" s="4097">
        <f>IFERROR(AS38/AS$117,0)</f>
        <v/>
      </c>
      <c r="CP38" s="4097">
        <f>IFERROR(AT38/AT$117,0)</f>
        <v/>
      </c>
      <c r="CQ38" s="4099">
        <f>IFERROR(AU38/AU$117,0)</f>
        <v/>
      </c>
      <c r="CR38" s="4097">
        <f>IFERROR(AV38/AV$117,0)</f>
        <v/>
      </c>
      <c r="CS38" s="4097">
        <f>IFERROR(AW38/AW$117,0)</f>
        <v/>
      </c>
      <c r="CT38" s="4097">
        <f>IFERROR(AX38/AX$117,0)</f>
        <v/>
      </c>
      <c r="CU38" s="4097">
        <f>IFERROR(AY38/AY$117,0)</f>
        <v/>
      </c>
      <c r="CV38" s="4097">
        <f>IFERROR(AZ38/AZ$117,0)</f>
        <v/>
      </c>
      <c r="CW38" s="3737" t="n"/>
      <c r="CX38" s="4094">
        <f>SUM(CX31:CX37)</f>
        <v/>
      </c>
    </row>
    <row r="39" hidden="1" outlineLevel="2" ht="12" customFormat="1" customHeight="1" s="3737">
      <c r="A39" s="4059" t="n"/>
      <c r="B39" s="4060" t="n"/>
      <c r="C39" s="4109" t="inlineStr">
        <is>
          <t>Dma - mastercard network interchange &amp; switch fees</t>
        </is>
      </c>
      <c r="D39" s="4093" t="n">
        <v>483122</v>
      </c>
      <c r="E39" s="4093">
        <f>CONCATENATE(D39," - ",C39)</f>
        <v/>
      </c>
      <c r="F39" s="4094" t="n"/>
      <c r="G39" s="4094" t="n"/>
      <c r="H39" s="4094" t="n"/>
      <c r="I39" s="4094" t="n"/>
      <c r="J39" s="4094" t="n"/>
      <c r="K39" s="4094" t="n"/>
      <c r="L39" s="4094" t="n"/>
      <c r="M39" s="4094" t="n"/>
      <c r="N39" s="4094" t="n"/>
      <c r="O39" s="4094" t="n"/>
      <c r="P39" s="4094" t="n"/>
      <c r="Q39" s="4095" t="n"/>
      <c r="R39" s="4094" t="n"/>
      <c r="S39" s="4094" t="n"/>
      <c r="T39" s="4094" t="n"/>
      <c r="U39" s="4094" t="n"/>
      <c r="V39" s="4094" t="n"/>
      <c r="W39" s="4094" t="n"/>
      <c r="X39" s="4094" t="n"/>
      <c r="Y39" s="4094" t="n"/>
      <c r="Z39" s="4094" t="n"/>
      <c r="AA39" s="4094" t="n"/>
      <c r="AB39" s="4094" t="n"/>
      <c r="AC39" s="4095" t="n"/>
      <c r="AD39" s="4094" t="n"/>
      <c r="AE39" s="4094" t="n"/>
      <c r="AF39" s="4094" t="n"/>
      <c r="AG39" s="4094" t="n"/>
      <c r="AH39" s="4094" t="n"/>
      <c r="AI39" s="4094" t="n"/>
      <c r="AJ39" s="4094" t="n"/>
      <c r="AK39" s="4094" t="n"/>
      <c r="AL39" s="4094" t="n"/>
      <c r="AM39" s="4094" t="n"/>
      <c r="AN39" s="4094" t="n"/>
      <c r="AO39" s="4095" t="n"/>
      <c r="AP39" s="4094" t="n">
        <v>194.23424</v>
      </c>
      <c r="AQ39" s="4094" t="n">
        <v>285.20116</v>
      </c>
      <c r="AR39" s="4094" t="n">
        <v>147.54237</v>
      </c>
      <c r="AS39" s="4094" t="n">
        <v>154.83058</v>
      </c>
      <c r="AT39" s="4094" t="n">
        <v>147.54907</v>
      </c>
      <c r="AU39" s="4096" t="n">
        <v>175.47059</v>
      </c>
      <c r="AV39" s="4094">
        <f>SUM(F39:Q39)</f>
        <v/>
      </c>
      <c r="AW39" s="4094">
        <f>SUM(R39:AC39)</f>
        <v/>
      </c>
      <c r="AX39" s="4094">
        <f>SUM(AD39:AO39)</f>
        <v/>
      </c>
      <c r="AY39" s="4094">
        <f>SUM(AH39:AS39)</f>
        <v/>
      </c>
      <c r="AZ39" s="4094">
        <f>SUM(AJ39:AU39)</f>
        <v/>
      </c>
      <c r="BA39" s="3737" t="n"/>
      <c r="BB39" s="4097">
        <f>IFERROR(F39/F$117,0)</f>
        <v/>
      </c>
      <c r="BC39" s="4097">
        <f>IFERROR(G39/G$117,0)</f>
        <v/>
      </c>
      <c r="BD39" s="4097">
        <f>IFERROR(H39/H$117,0)</f>
        <v/>
      </c>
      <c r="BE39" s="4097">
        <f>IFERROR(I39/I$117,0)</f>
        <v/>
      </c>
      <c r="BF39" s="4097">
        <f>IFERROR(J39/J$117,0)</f>
        <v/>
      </c>
      <c r="BG39" s="4097">
        <f>IFERROR(K39/K$117,0)</f>
        <v/>
      </c>
      <c r="BH39" s="4097">
        <f>IFERROR(L39/L$117,0)</f>
        <v/>
      </c>
      <c r="BI39" s="4097">
        <f>IFERROR(M39/M$117,0)</f>
        <v/>
      </c>
      <c r="BJ39" s="4097">
        <f>IFERROR(N39/N$117,0)</f>
        <v/>
      </c>
      <c r="BK39" s="4097">
        <f>IFERROR(O39/O$117,0)</f>
        <v/>
      </c>
      <c r="BL39" s="4097">
        <f>IFERROR(P39/P$117,0)</f>
        <v/>
      </c>
      <c r="BM39" s="4098">
        <f>IFERROR(Q39/Q$117,0)</f>
        <v/>
      </c>
      <c r="BN39" s="4097">
        <f>IFERROR(R39/R$117,0)</f>
        <v/>
      </c>
      <c r="BO39" s="4097">
        <f>IFERROR(S39/S$117,0)</f>
        <v/>
      </c>
      <c r="BP39" s="4097">
        <f>IFERROR(T39/T$117,0)</f>
        <v/>
      </c>
      <c r="BQ39" s="4097">
        <f>IFERROR(U39/U$117,0)</f>
        <v/>
      </c>
      <c r="BR39" s="4097">
        <f>IFERROR(V39/V$117,0)</f>
        <v/>
      </c>
      <c r="BS39" s="4097">
        <f>IFERROR(W39/W$117,0)</f>
        <v/>
      </c>
      <c r="BT39" s="4097">
        <f>IFERROR(X39/X$117,0)</f>
        <v/>
      </c>
      <c r="BU39" s="4097">
        <f>IFERROR(Y39/Y$117,0)</f>
        <v/>
      </c>
      <c r="BV39" s="4097">
        <f>IFERROR(Z39/Z$117,0)</f>
        <v/>
      </c>
      <c r="BW39" s="4097">
        <f>IFERROR(AA39/AA$117,0)</f>
        <v/>
      </c>
      <c r="BX39" s="4097">
        <f>IFERROR(AB39/AB$117,0)</f>
        <v/>
      </c>
      <c r="BY39" s="4098">
        <f>IFERROR(AC39/AC$117,0)</f>
        <v/>
      </c>
      <c r="BZ39" s="4097">
        <f>IFERROR(AD39/AD$117,0)</f>
        <v/>
      </c>
      <c r="CA39" s="4097">
        <f>IFERROR(AE39/AE$117,0)</f>
        <v/>
      </c>
      <c r="CB39" s="4097">
        <f>IFERROR(AF39/AF$117,0)</f>
        <v/>
      </c>
      <c r="CC39" s="4097">
        <f>IFERROR(AG39/AG$117,0)</f>
        <v/>
      </c>
      <c r="CD39" s="4097">
        <f>IFERROR(AH39/AH$117,0)</f>
        <v/>
      </c>
      <c r="CE39" s="4097">
        <f>IFERROR(AI39/AI$117,0)</f>
        <v/>
      </c>
      <c r="CF39" s="4097">
        <f>IFERROR(AJ39/AJ$117,0)</f>
        <v/>
      </c>
      <c r="CG39" s="4097">
        <f>IFERROR(AK39/AK$117,0)</f>
        <v/>
      </c>
      <c r="CH39" s="4097">
        <f>IFERROR(AL39/AL$117,0)</f>
        <v/>
      </c>
      <c r="CI39" s="4097">
        <f>IFERROR(AM39/AM$117,0)</f>
        <v/>
      </c>
      <c r="CJ39" s="4097">
        <f>IFERROR(AN39/AN$117,0)</f>
        <v/>
      </c>
      <c r="CK39" s="4098">
        <f>IFERROR(AO39/AO$117,0)</f>
        <v/>
      </c>
      <c r="CL39" s="4097">
        <f>IFERROR(AP39/AP$117,0)</f>
        <v/>
      </c>
      <c r="CM39" s="4097">
        <f>IFERROR(AQ39/AQ$117,0)</f>
        <v/>
      </c>
      <c r="CN39" s="4097">
        <f>IFERROR(AR39/AR$117,0)</f>
        <v/>
      </c>
      <c r="CO39" s="4097">
        <f>IFERROR(AS39/AS$117,0)</f>
        <v/>
      </c>
      <c r="CP39" s="4097">
        <f>IFERROR(AT39/AT$117,0)</f>
        <v/>
      </c>
      <c r="CQ39" s="4099">
        <f>IFERROR(AU39/AU$117,0)</f>
        <v/>
      </c>
      <c r="CR39" s="4097">
        <f>IFERROR(AV39/AV$117,0)</f>
        <v/>
      </c>
      <c r="CS39" s="4097">
        <f>IFERROR(AW39/AW$117,0)</f>
        <v/>
      </c>
      <c r="CT39" s="4097">
        <f>IFERROR(AX39/AX$117,0)</f>
        <v/>
      </c>
      <c r="CU39" s="4097">
        <f>IFERROR(AY39/AY$117,0)</f>
        <v/>
      </c>
      <c r="CV39" s="4097">
        <f>IFERROR(AZ39/AZ$117,0)</f>
        <v/>
      </c>
      <c r="CW39" s="3737" t="n"/>
      <c r="CX39" s="4094" t="n">
        <v>0</v>
      </c>
    </row>
    <row r="40" hidden="1" outlineLevel="2" ht="12" customFormat="1" customHeight="1" s="3737">
      <c r="A40" s="4059" t="n"/>
      <c r="B40" s="4060" t="n"/>
      <c r="C40" s="4109" t="inlineStr">
        <is>
          <t>Reimbursed exp - mastercard interchg &amp; switch fees</t>
        </is>
      </c>
      <c r="D40" s="4093" t="n">
        <v>483106</v>
      </c>
      <c r="E40" s="4093">
        <f>CONCATENATE(D40," - ",C40)</f>
        <v/>
      </c>
      <c r="F40" s="4094" t="n"/>
      <c r="G40" s="4094" t="n"/>
      <c r="H40" s="4094" t="n"/>
      <c r="I40" s="4094" t="n"/>
      <c r="J40" s="4094" t="n"/>
      <c r="K40" s="4094" t="n"/>
      <c r="L40" s="4094" t="n"/>
      <c r="M40" s="4094" t="n"/>
      <c r="N40" s="4094" t="n"/>
      <c r="O40" s="4094" t="n"/>
      <c r="P40" s="4094" t="n"/>
      <c r="Q40" s="4095" t="n"/>
      <c r="R40" s="4094" t="n"/>
      <c r="S40" s="4094" t="n"/>
      <c r="T40" s="4094" t="n"/>
      <c r="U40" s="4094" t="n"/>
      <c r="V40" s="4094" t="n"/>
      <c r="W40" s="4094" t="n"/>
      <c r="X40" s="4094" t="n"/>
      <c r="Y40" s="4094" t="n"/>
      <c r="Z40" s="4094" t="n"/>
      <c r="AA40" s="4094" t="n"/>
      <c r="AB40" s="4094" t="n"/>
      <c r="AC40" s="4095" t="n"/>
      <c r="AD40" s="4094" t="n"/>
      <c r="AE40" s="4094" t="n"/>
      <c r="AF40" s="4094" t="n"/>
      <c r="AG40" s="4094" t="n"/>
      <c r="AH40" s="4094" t="n"/>
      <c r="AI40" s="4094" t="n"/>
      <c r="AJ40" s="4094" t="n"/>
      <c r="AK40" s="4094" t="n"/>
      <c r="AL40" s="4094" t="n"/>
      <c r="AM40" s="4094" t="n"/>
      <c r="AN40" s="4094" t="n"/>
      <c r="AO40" s="4095" t="n"/>
      <c r="AP40" s="4094" t="n">
        <v>103.22214</v>
      </c>
      <c r="AQ40" s="4094" t="n">
        <v>111.2833</v>
      </c>
      <c r="AR40" s="4094" t="n">
        <v>108.69878</v>
      </c>
      <c r="AS40" s="4094" t="n">
        <v>86.98942</v>
      </c>
      <c r="AT40" s="4094" t="n">
        <v>80.81704000000001</v>
      </c>
      <c r="AU40" s="4096" t="n">
        <v>73.01640999999999</v>
      </c>
      <c r="AV40" s="4094">
        <f>SUM(F40:Q40)</f>
        <v/>
      </c>
      <c r="AW40" s="4094">
        <f>SUM(R40:AC40)</f>
        <v/>
      </c>
      <c r="AX40" s="4094">
        <f>SUM(AD40:AO40)</f>
        <v/>
      </c>
      <c r="AY40" s="4094">
        <f>SUM(AH40:AS40)</f>
        <v/>
      </c>
      <c r="AZ40" s="4094">
        <f>SUM(AJ40:AU40)</f>
        <v/>
      </c>
      <c r="BA40" s="3737" t="n"/>
      <c r="BB40" s="4097">
        <f>IFERROR(F40/F$117,0)</f>
        <v/>
      </c>
      <c r="BC40" s="4097">
        <f>IFERROR(G40/G$117,0)</f>
        <v/>
      </c>
      <c r="BD40" s="4097">
        <f>IFERROR(H40/H$117,0)</f>
        <v/>
      </c>
      <c r="BE40" s="4097">
        <f>IFERROR(I40/I$117,0)</f>
        <v/>
      </c>
      <c r="BF40" s="4097">
        <f>IFERROR(J40/J$117,0)</f>
        <v/>
      </c>
      <c r="BG40" s="4097">
        <f>IFERROR(K40/K$117,0)</f>
        <v/>
      </c>
      <c r="BH40" s="4097">
        <f>IFERROR(L40/L$117,0)</f>
        <v/>
      </c>
      <c r="BI40" s="4097">
        <f>IFERROR(M40/M$117,0)</f>
        <v/>
      </c>
      <c r="BJ40" s="4097">
        <f>IFERROR(N40/N$117,0)</f>
        <v/>
      </c>
      <c r="BK40" s="4097">
        <f>IFERROR(O40/O$117,0)</f>
        <v/>
      </c>
      <c r="BL40" s="4097">
        <f>IFERROR(P40/P$117,0)</f>
        <v/>
      </c>
      <c r="BM40" s="4098">
        <f>IFERROR(Q40/Q$117,0)</f>
        <v/>
      </c>
      <c r="BN40" s="4097">
        <f>IFERROR(R40/R$117,0)</f>
        <v/>
      </c>
      <c r="BO40" s="4097">
        <f>IFERROR(S40/S$117,0)</f>
        <v/>
      </c>
      <c r="BP40" s="4097">
        <f>IFERROR(T40/T$117,0)</f>
        <v/>
      </c>
      <c r="BQ40" s="4097">
        <f>IFERROR(U40/U$117,0)</f>
        <v/>
      </c>
      <c r="BR40" s="4097">
        <f>IFERROR(V40/V$117,0)</f>
        <v/>
      </c>
      <c r="BS40" s="4097">
        <f>IFERROR(W40/W$117,0)</f>
        <v/>
      </c>
      <c r="BT40" s="4097">
        <f>IFERROR(X40/X$117,0)</f>
        <v/>
      </c>
      <c r="BU40" s="4097">
        <f>IFERROR(Y40/Y$117,0)</f>
        <v/>
      </c>
      <c r="BV40" s="4097">
        <f>IFERROR(Z40/Z$117,0)</f>
        <v/>
      </c>
      <c r="BW40" s="4097">
        <f>IFERROR(AA40/AA$117,0)</f>
        <v/>
      </c>
      <c r="BX40" s="4097">
        <f>IFERROR(AB40/AB$117,0)</f>
        <v/>
      </c>
      <c r="BY40" s="4098">
        <f>IFERROR(AC40/AC$117,0)</f>
        <v/>
      </c>
      <c r="BZ40" s="4097">
        <f>IFERROR(AD40/AD$117,0)</f>
        <v/>
      </c>
      <c r="CA40" s="4097">
        <f>IFERROR(AE40/AE$117,0)</f>
        <v/>
      </c>
      <c r="CB40" s="4097">
        <f>IFERROR(AF40/AF$117,0)</f>
        <v/>
      </c>
      <c r="CC40" s="4097">
        <f>IFERROR(AG40/AG$117,0)</f>
        <v/>
      </c>
      <c r="CD40" s="4097">
        <f>IFERROR(AH40/AH$117,0)</f>
        <v/>
      </c>
      <c r="CE40" s="4097">
        <f>IFERROR(AI40/AI$117,0)</f>
        <v/>
      </c>
      <c r="CF40" s="4097">
        <f>IFERROR(AJ40/AJ$117,0)</f>
        <v/>
      </c>
      <c r="CG40" s="4097">
        <f>IFERROR(AK40/AK$117,0)</f>
        <v/>
      </c>
      <c r="CH40" s="4097">
        <f>IFERROR(AL40/AL$117,0)</f>
        <v/>
      </c>
      <c r="CI40" s="4097">
        <f>IFERROR(AM40/AM$117,0)</f>
        <v/>
      </c>
      <c r="CJ40" s="4097">
        <f>IFERROR(AN40/AN$117,0)</f>
        <v/>
      </c>
      <c r="CK40" s="4098">
        <f>IFERROR(AO40/AO$117,0)</f>
        <v/>
      </c>
      <c r="CL40" s="4097">
        <f>IFERROR(AP40/AP$117,0)</f>
        <v/>
      </c>
      <c r="CM40" s="4097">
        <f>IFERROR(AQ40/AQ$117,0)</f>
        <v/>
      </c>
      <c r="CN40" s="4097">
        <f>IFERROR(AR40/AR$117,0)</f>
        <v/>
      </c>
      <c r="CO40" s="4097">
        <f>IFERROR(AS40/AS$117,0)</f>
        <v/>
      </c>
      <c r="CP40" s="4097">
        <f>IFERROR(AT40/AT$117,0)</f>
        <v/>
      </c>
      <c r="CQ40" s="4099">
        <f>IFERROR(AU40/AU$117,0)</f>
        <v/>
      </c>
      <c r="CR40" s="4097">
        <f>IFERROR(AV40/AV$117,0)</f>
        <v/>
      </c>
      <c r="CS40" s="4097">
        <f>IFERROR(AW40/AW$117,0)</f>
        <v/>
      </c>
      <c r="CT40" s="4097">
        <f>IFERROR(AX40/AX$117,0)</f>
        <v/>
      </c>
      <c r="CU40" s="4097">
        <f>IFERROR(AY40/AY$117,0)</f>
        <v/>
      </c>
      <c r="CV40" s="4097">
        <f>IFERROR(AZ40/AZ$117,0)</f>
        <v/>
      </c>
      <c r="CW40" s="3737" t="n"/>
      <c r="CX40" s="4094" t="n">
        <v>717.68944</v>
      </c>
    </row>
    <row r="41" hidden="1" outlineLevel="2" ht="12" customFormat="1" customHeight="1" s="3737">
      <c r="A41" s="4059" t="n"/>
      <c r="B41" s="4060" t="n"/>
      <c r="C41" s="4109" t="inlineStr">
        <is>
          <t>Reimbursed expenses - postage</t>
        </is>
      </c>
      <c r="D41" s="4093" t="n">
        <v>483102</v>
      </c>
      <c r="E41" s="4093">
        <f>CONCATENATE(D41," - ",C41)</f>
        <v/>
      </c>
      <c r="F41" s="4094" t="n"/>
      <c r="G41" s="4094" t="n"/>
      <c r="H41" s="4094" t="n"/>
      <c r="I41" s="4094" t="n"/>
      <c r="J41" s="4094" t="n"/>
      <c r="K41" s="4094" t="n"/>
      <c r="L41" s="4094" t="n"/>
      <c r="M41" s="4094" t="n"/>
      <c r="N41" s="4094" t="n"/>
      <c r="O41" s="4094" t="n"/>
      <c r="P41" s="4094" t="n"/>
      <c r="Q41" s="4095" t="n"/>
      <c r="R41" s="4094" t="n"/>
      <c r="S41" s="4094" t="n"/>
      <c r="T41" s="4094" t="n"/>
      <c r="U41" s="4094" t="n"/>
      <c r="V41" s="4094" t="n"/>
      <c r="W41" s="4094" t="n"/>
      <c r="X41" s="4094" t="n"/>
      <c r="Y41" s="4094" t="n"/>
      <c r="Z41" s="4094" t="n"/>
      <c r="AA41" s="4094" t="n"/>
      <c r="AB41" s="4094" t="n"/>
      <c r="AC41" s="4095" t="n"/>
      <c r="AD41" s="4094" t="n"/>
      <c r="AE41" s="4094" t="n"/>
      <c r="AF41" s="4094" t="n"/>
      <c r="AG41" s="4094" t="n"/>
      <c r="AH41" s="4094" t="n"/>
      <c r="AI41" s="4094" t="n"/>
      <c r="AJ41" s="4094" t="n"/>
      <c r="AK41" s="4094" t="n"/>
      <c r="AL41" s="4094" t="n"/>
      <c r="AM41" s="4094" t="n"/>
      <c r="AN41" s="4094" t="n"/>
      <c r="AO41" s="4095" t="n"/>
      <c r="AP41" s="4094" t="n">
        <v>62.19036</v>
      </c>
      <c r="AQ41" s="4094" t="n">
        <v>41.49228</v>
      </c>
      <c r="AR41" s="4094" t="n">
        <v>42.53087</v>
      </c>
      <c r="AS41" s="4094" t="n">
        <v>53.98862</v>
      </c>
      <c r="AT41" s="4094" t="n">
        <v>49.99818</v>
      </c>
      <c r="AU41" s="4096" t="n">
        <v>66.60064</v>
      </c>
      <c r="AV41" s="4094">
        <f>SUM(F41:Q41)</f>
        <v/>
      </c>
      <c r="AW41" s="4094">
        <f>SUM(R41:AC41)</f>
        <v/>
      </c>
      <c r="AX41" s="4094">
        <f>SUM(AD41:AO41)</f>
        <v/>
      </c>
      <c r="AY41" s="4094">
        <f>SUM(AH41:AS41)</f>
        <v/>
      </c>
      <c r="AZ41" s="4094">
        <f>SUM(AJ41:AU41)</f>
        <v/>
      </c>
      <c r="BA41" s="3737" t="n"/>
      <c r="BB41" s="4097">
        <f>IFERROR(F41/F$117,0)</f>
        <v/>
      </c>
      <c r="BC41" s="4097">
        <f>IFERROR(G41/G$117,0)</f>
        <v/>
      </c>
      <c r="BD41" s="4097">
        <f>IFERROR(H41/H$117,0)</f>
        <v/>
      </c>
      <c r="BE41" s="4097">
        <f>IFERROR(I41/I$117,0)</f>
        <v/>
      </c>
      <c r="BF41" s="4097">
        <f>IFERROR(J41/J$117,0)</f>
        <v/>
      </c>
      <c r="BG41" s="4097">
        <f>IFERROR(K41/K$117,0)</f>
        <v/>
      </c>
      <c r="BH41" s="4097">
        <f>IFERROR(L41/L$117,0)</f>
        <v/>
      </c>
      <c r="BI41" s="4097">
        <f>IFERROR(M41/M$117,0)</f>
        <v/>
      </c>
      <c r="BJ41" s="4097">
        <f>IFERROR(N41/N$117,0)</f>
        <v/>
      </c>
      <c r="BK41" s="4097">
        <f>IFERROR(O41/O$117,0)</f>
        <v/>
      </c>
      <c r="BL41" s="4097">
        <f>IFERROR(P41/P$117,0)</f>
        <v/>
      </c>
      <c r="BM41" s="4098">
        <f>IFERROR(Q41/Q$117,0)</f>
        <v/>
      </c>
      <c r="BN41" s="4097">
        <f>IFERROR(R41/R$117,0)</f>
        <v/>
      </c>
      <c r="BO41" s="4097">
        <f>IFERROR(S41/S$117,0)</f>
        <v/>
      </c>
      <c r="BP41" s="4097">
        <f>IFERROR(T41/T$117,0)</f>
        <v/>
      </c>
      <c r="BQ41" s="4097">
        <f>IFERROR(U41/U$117,0)</f>
        <v/>
      </c>
      <c r="BR41" s="4097">
        <f>IFERROR(V41/V$117,0)</f>
        <v/>
      </c>
      <c r="BS41" s="4097">
        <f>IFERROR(W41/W$117,0)</f>
        <v/>
      </c>
      <c r="BT41" s="4097">
        <f>IFERROR(X41/X$117,0)</f>
        <v/>
      </c>
      <c r="BU41" s="4097">
        <f>IFERROR(Y41/Y$117,0)</f>
        <v/>
      </c>
      <c r="BV41" s="4097">
        <f>IFERROR(Z41/Z$117,0)</f>
        <v/>
      </c>
      <c r="BW41" s="4097">
        <f>IFERROR(AA41/AA$117,0)</f>
        <v/>
      </c>
      <c r="BX41" s="4097">
        <f>IFERROR(AB41/AB$117,0)</f>
        <v/>
      </c>
      <c r="BY41" s="4098">
        <f>IFERROR(AC41/AC$117,0)</f>
        <v/>
      </c>
      <c r="BZ41" s="4097">
        <f>IFERROR(AD41/AD$117,0)</f>
        <v/>
      </c>
      <c r="CA41" s="4097">
        <f>IFERROR(AE41/AE$117,0)</f>
        <v/>
      </c>
      <c r="CB41" s="4097">
        <f>IFERROR(AF41/AF$117,0)</f>
        <v/>
      </c>
      <c r="CC41" s="4097">
        <f>IFERROR(AG41/AG$117,0)</f>
        <v/>
      </c>
      <c r="CD41" s="4097">
        <f>IFERROR(AH41/AH$117,0)</f>
        <v/>
      </c>
      <c r="CE41" s="4097">
        <f>IFERROR(AI41/AI$117,0)</f>
        <v/>
      </c>
      <c r="CF41" s="4097">
        <f>IFERROR(AJ41/AJ$117,0)</f>
        <v/>
      </c>
      <c r="CG41" s="4097">
        <f>IFERROR(AK41/AK$117,0)</f>
        <v/>
      </c>
      <c r="CH41" s="4097">
        <f>IFERROR(AL41/AL$117,0)</f>
        <v/>
      </c>
      <c r="CI41" s="4097">
        <f>IFERROR(AM41/AM$117,0)</f>
        <v/>
      </c>
      <c r="CJ41" s="4097">
        <f>IFERROR(AN41/AN$117,0)</f>
        <v/>
      </c>
      <c r="CK41" s="4098">
        <f>IFERROR(AO41/AO$117,0)</f>
        <v/>
      </c>
      <c r="CL41" s="4097">
        <f>IFERROR(AP41/AP$117,0)</f>
        <v/>
      </c>
      <c r="CM41" s="4097">
        <f>IFERROR(AQ41/AQ$117,0)</f>
        <v/>
      </c>
      <c r="CN41" s="4097">
        <f>IFERROR(AR41/AR$117,0)</f>
        <v/>
      </c>
      <c r="CO41" s="4097">
        <f>IFERROR(AS41/AS$117,0)</f>
        <v/>
      </c>
      <c r="CP41" s="4097">
        <f>IFERROR(AT41/AT$117,0)</f>
        <v/>
      </c>
      <c r="CQ41" s="4099">
        <f>IFERROR(AU41/AU$117,0)</f>
        <v/>
      </c>
      <c r="CR41" s="4097">
        <f>IFERROR(AV41/AV$117,0)</f>
        <v/>
      </c>
      <c r="CS41" s="4097">
        <f>IFERROR(AW41/AW$117,0)</f>
        <v/>
      </c>
      <c r="CT41" s="4097">
        <f>IFERROR(AX41/AX$117,0)</f>
        <v/>
      </c>
      <c r="CU41" s="4097">
        <f>IFERROR(AY41/AY$117,0)</f>
        <v/>
      </c>
      <c r="CV41" s="4097">
        <f>IFERROR(AZ41/AZ$117,0)</f>
        <v/>
      </c>
      <c r="CW41" s="3737" t="n"/>
      <c r="CX41" s="4094" t="n">
        <v>403.81841</v>
      </c>
    </row>
    <row r="42" hidden="1" outlineLevel="2" ht="12" customFormat="1" customHeight="1" s="3737">
      <c r="A42" s="4059" t="n"/>
      <c r="B42" s="4060" t="n"/>
      <c r="C42" s="4109" t="inlineStr">
        <is>
          <t>Reimbursed expenses - freight</t>
        </is>
      </c>
      <c r="D42" s="4093" t="n">
        <v>483103</v>
      </c>
      <c r="E42" s="4093">
        <f>CONCATENATE(D42," - ",C42)</f>
        <v/>
      </c>
      <c r="F42" s="4094" t="n"/>
      <c r="G42" s="4094" t="n"/>
      <c r="H42" s="4094" t="n"/>
      <c r="I42" s="4094" t="n"/>
      <c r="J42" s="4094" t="n"/>
      <c r="K42" s="4094" t="n"/>
      <c r="L42" s="4094" t="n"/>
      <c r="M42" s="4094" t="n"/>
      <c r="N42" s="4094" t="n"/>
      <c r="O42" s="4094" t="n"/>
      <c r="P42" s="4094" t="n"/>
      <c r="Q42" s="4095" t="n"/>
      <c r="R42" s="4094" t="n"/>
      <c r="S42" s="4094" t="n"/>
      <c r="T42" s="4094" t="n"/>
      <c r="U42" s="4094" t="n"/>
      <c r="V42" s="4094" t="n"/>
      <c r="W42" s="4094" t="n"/>
      <c r="X42" s="4094" t="n"/>
      <c r="Y42" s="4094" t="n"/>
      <c r="Z42" s="4094" t="n"/>
      <c r="AA42" s="4094" t="n"/>
      <c r="AB42" s="4094" t="n"/>
      <c r="AC42" s="4095" t="n"/>
      <c r="AD42" s="4094" t="n"/>
      <c r="AE42" s="4094" t="n"/>
      <c r="AF42" s="4094" t="n"/>
      <c r="AG42" s="4094" t="n"/>
      <c r="AH42" s="4094" t="n"/>
      <c r="AI42" s="4094" t="n"/>
      <c r="AJ42" s="4094" t="n"/>
      <c r="AK42" s="4094" t="n"/>
      <c r="AL42" s="4094" t="n"/>
      <c r="AM42" s="4094" t="n"/>
      <c r="AN42" s="4094" t="n"/>
      <c r="AO42" s="4095" t="n"/>
      <c r="AP42" s="4094" t="n">
        <v>51.96329</v>
      </c>
      <c r="AQ42" s="4094" t="n">
        <v>39.69755</v>
      </c>
      <c r="AR42" s="4094" t="n">
        <v>63.51417</v>
      </c>
      <c r="AS42" s="4094" t="n">
        <v>42.43311</v>
      </c>
      <c r="AT42" s="4094" t="n">
        <v>43.62154</v>
      </c>
      <c r="AU42" s="4096" t="n">
        <v>41.46473</v>
      </c>
      <c r="AV42" s="4094">
        <f>SUM(F42:Q42)</f>
        <v/>
      </c>
      <c r="AW42" s="4094">
        <f>SUM(R42:AC42)</f>
        <v/>
      </c>
      <c r="AX42" s="4094">
        <f>SUM(AD42:AO42)</f>
        <v/>
      </c>
      <c r="AY42" s="4094">
        <f>SUM(AH42:AS42)</f>
        <v/>
      </c>
      <c r="AZ42" s="4094">
        <f>SUM(AJ42:AU42)</f>
        <v/>
      </c>
      <c r="BA42" s="3737" t="n"/>
      <c r="BB42" s="4097">
        <f>IFERROR(F42/F$117,0)</f>
        <v/>
      </c>
      <c r="BC42" s="4097">
        <f>IFERROR(G42/G$117,0)</f>
        <v/>
      </c>
      <c r="BD42" s="4097">
        <f>IFERROR(H42/H$117,0)</f>
        <v/>
      </c>
      <c r="BE42" s="4097">
        <f>IFERROR(I42/I$117,0)</f>
        <v/>
      </c>
      <c r="BF42" s="4097">
        <f>IFERROR(J42/J$117,0)</f>
        <v/>
      </c>
      <c r="BG42" s="4097">
        <f>IFERROR(K42/K$117,0)</f>
        <v/>
      </c>
      <c r="BH42" s="4097">
        <f>IFERROR(L42/L$117,0)</f>
        <v/>
      </c>
      <c r="BI42" s="4097">
        <f>IFERROR(M42/M$117,0)</f>
        <v/>
      </c>
      <c r="BJ42" s="4097">
        <f>IFERROR(N42/N$117,0)</f>
        <v/>
      </c>
      <c r="BK42" s="4097">
        <f>IFERROR(O42/O$117,0)</f>
        <v/>
      </c>
      <c r="BL42" s="4097">
        <f>IFERROR(P42/P$117,0)</f>
        <v/>
      </c>
      <c r="BM42" s="4098">
        <f>IFERROR(Q42/Q$117,0)</f>
        <v/>
      </c>
      <c r="BN42" s="4097">
        <f>IFERROR(R42/R$117,0)</f>
        <v/>
      </c>
      <c r="BO42" s="4097">
        <f>IFERROR(S42/S$117,0)</f>
        <v/>
      </c>
      <c r="BP42" s="4097">
        <f>IFERROR(T42/T$117,0)</f>
        <v/>
      </c>
      <c r="BQ42" s="4097">
        <f>IFERROR(U42/U$117,0)</f>
        <v/>
      </c>
      <c r="BR42" s="4097">
        <f>IFERROR(V42/V$117,0)</f>
        <v/>
      </c>
      <c r="BS42" s="4097">
        <f>IFERROR(W42/W$117,0)</f>
        <v/>
      </c>
      <c r="BT42" s="4097">
        <f>IFERROR(X42/X$117,0)</f>
        <v/>
      </c>
      <c r="BU42" s="4097">
        <f>IFERROR(Y42/Y$117,0)</f>
        <v/>
      </c>
      <c r="BV42" s="4097">
        <f>IFERROR(Z42/Z$117,0)</f>
        <v/>
      </c>
      <c r="BW42" s="4097">
        <f>IFERROR(AA42/AA$117,0)</f>
        <v/>
      </c>
      <c r="BX42" s="4097">
        <f>IFERROR(AB42/AB$117,0)</f>
        <v/>
      </c>
      <c r="BY42" s="4098">
        <f>IFERROR(AC42/AC$117,0)</f>
        <v/>
      </c>
      <c r="BZ42" s="4097">
        <f>IFERROR(AD42/AD$117,0)</f>
        <v/>
      </c>
      <c r="CA42" s="4097">
        <f>IFERROR(AE42/AE$117,0)</f>
        <v/>
      </c>
      <c r="CB42" s="4097">
        <f>IFERROR(AF42/AF$117,0)</f>
        <v/>
      </c>
      <c r="CC42" s="4097">
        <f>IFERROR(AG42/AG$117,0)</f>
        <v/>
      </c>
      <c r="CD42" s="4097">
        <f>IFERROR(AH42/AH$117,0)</f>
        <v/>
      </c>
      <c r="CE42" s="4097">
        <f>IFERROR(AI42/AI$117,0)</f>
        <v/>
      </c>
      <c r="CF42" s="4097">
        <f>IFERROR(AJ42/AJ$117,0)</f>
        <v/>
      </c>
      <c r="CG42" s="4097">
        <f>IFERROR(AK42/AK$117,0)</f>
        <v/>
      </c>
      <c r="CH42" s="4097">
        <f>IFERROR(AL42/AL$117,0)</f>
        <v/>
      </c>
      <c r="CI42" s="4097">
        <f>IFERROR(AM42/AM$117,0)</f>
        <v/>
      </c>
      <c r="CJ42" s="4097">
        <f>IFERROR(AN42/AN$117,0)</f>
        <v/>
      </c>
      <c r="CK42" s="4098">
        <f>IFERROR(AO42/AO$117,0)</f>
        <v/>
      </c>
      <c r="CL42" s="4097">
        <f>IFERROR(AP42/AP$117,0)</f>
        <v/>
      </c>
      <c r="CM42" s="4097">
        <f>IFERROR(AQ42/AQ$117,0)</f>
        <v/>
      </c>
      <c r="CN42" s="4097">
        <f>IFERROR(AR42/AR$117,0)</f>
        <v/>
      </c>
      <c r="CO42" s="4097">
        <f>IFERROR(AS42/AS$117,0)</f>
        <v/>
      </c>
      <c r="CP42" s="4097">
        <f>IFERROR(AT42/AT$117,0)</f>
        <v/>
      </c>
      <c r="CQ42" s="4099">
        <f>IFERROR(AU42/AU$117,0)</f>
        <v/>
      </c>
      <c r="CR42" s="4097">
        <f>IFERROR(AV42/AV$117,0)</f>
        <v/>
      </c>
      <c r="CS42" s="4097">
        <f>IFERROR(AW42/AW$117,0)</f>
        <v/>
      </c>
      <c r="CT42" s="4097">
        <f>IFERROR(AX42/AX$117,0)</f>
        <v/>
      </c>
      <c r="CU42" s="4097">
        <f>IFERROR(AY42/AY$117,0)</f>
        <v/>
      </c>
      <c r="CV42" s="4097">
        <f>IFERROR(AZ42/AZ$117,0)</f>
        <v/>
      </c>
      <c r="CW42" s="3737" t="n"/>
      <c r="CX42" s="4094" t="n">
        <v>254.74278</v>
      </c>
    </row>
    <row r="43" hidden="1" outlineLevel="2" ht="12" customFormat="1" customHeight="1" s="3737">
      <c r="A43" s="4059" t="n"/>
      <c r="B43" s="4060" t="n"/>
      <c r="C43" s="4109" t="inlineStr">
        <is>
          <t>Reimbursed exp - network interchg &amp; swich fees</t>
        </is>
      </c>
      <c r="D43" s="4112" t="n">
        <v>483106</v>
      </c>
      <c r="E43" s="4093">
        <f>CONCATENATE(D43," - ",C43)</f>
        <v/>
      </c>
      <c r="F43" s="4094" t="n"/>
      <c r="G43" s="4094" t="n"/>
      <c r="H43" s="4094" t="n"/>
      <c r="I43" s="4094" t="n"/>
      <c r="J43" s="4094" t="n"/>
      <c r="K43" s="4094" t="n"/>
      <c r="L43" s="4094" t="n"/>
      <c r="M43" s="4094" t="n"/>
      <c r="N43" s="4094" t="n"/>
      <c r="O43" s="4094" t="n"/>
      <c r="P43" s="4094" t="n"/>
      <c r="Q43" s="4095" t="n"/>
      <c r="R43" s="4094" t="n"/>
      <c r="S43" s="4094" t="n"/>
      <c r="T43" s="4094" t="n"/>
      <c r="U43" s="4094" t="n"/>
      <c r="V43" s="4094" t="n"/>
      <c r="W43" s="4094" t="n"/>
      <c r="X43" s="4094" t="n"/>
      <c r="Y43" s="4094" t="n"/>
      <c r="Z43" s="4094" t="n"/>
      <c r="AA43" s="4094" t="n"/>
      <c r="AB43" s="4094" t="n"/>
      <c r="AC43" s="4095" t="n"/>
      <c r="AD43" s="4094" t="n"/>
      <c r="AE43" s="4094" t="n"/>
      <c r="AF43" s="4094" t="n"/>
      <c r="AG43" s="4094" t="n"/>
      <c r="AH43" s="4094" t="n"/>
      <c r="AI43" s="4094" t="n"/>
      <c r="AJ43" s="4094" t="n"/>
      <c r="AK43" s="4094" t="n"/>
      <c r="AL43" s="4094" t="n"/>
      <c r="AM43" s="4094" t="n"/>
      <c r="AN43" s="4094" t="n"/>
      <c r="AO43" s="4095" t="n"/>
      <c r="AP43" s="4094" t="n">
        <v>68.69943000000001</v>
      </c>
      <c r="AQ43" s="4094" t="n">
        <v>67.85021</v>
      </c>
      <c r="AR43" s="4094" t="n">
        <v>81.48068000000001</v>
      </c>
      <c r="AS43" s="4094" t="n">
        <v>84.52141</v>
      </c>
      <c r="AT43" s="4094" t="n">
        <v>123.10139</v>
      </c>
      <c r="AU43" s="4096" t="n">
        <v>121.53339</v>
      </c>
      <c r="AV43" s="4094">
        <f>SUM(F43:Q43)</f>
        <v/>
      </c>
      <c r="AW43" s="4094">
        <f>SUM(R43:AC43)</f>
        <v/>
      </c>
      <c r="AX43" s="4094">
        <f>SUM(AD43:AO43)</f>
        <v/>
      </c>
      <c r="AY43" s="4094">
        <f>SUM(AH43:AS43)</f>
        <v/>
      </c>
      <c r="AZ43" s="4094">
        <f>SUM(AJ43:AU43)</f>
        <v/>
      </c>
      <c r="BA43" s="3737" t="n"/>
      <c r="BB43" s="4097">
        <f>IFERROR(F43/F$117,0)</f>
        <v/>
      </c>
      <c r="BC43" s="4097">
        <f>IFERROR(G43/G$117,0)</f>
        <v/>
      </c>
      <c r="BD43" s="4097">
        <f>IFERROR(H43/H$117,0)</f>
        <v/>
      </c>
      <c r="BE43" s="4097">
        <f>IFERROR(I43/I$117,0)</f>
        <v/>
      </c>
      <c r="BF43" s="4097">
        <f>IFERROR(J43/J$117,0)</f>
        <v/>
      </c>
      <c r="BG43" s="4097">
        <f>IFERROR(K43/K$117,0)</f>
        <v/>
      </c>
      <c r="BH43" s="4097">
        <f>IFERROR(L43/L$117,0)</f>
        <v/>
      </c>
      <c r="BI43" s="4097">
        <f>IFERROR(M43/M$117,0)</f>
        <v/>
      </c>
      <c r="BJ43" s="4097">
        <f>IFERROR(N43/N$117,0)</f>
        <v/>
      </c>
      <c r="BK43" s="4097">
        <f>IFERROR(O43/O$117,0)</f>
        <v/>
      </c>
      <c r="BL43" s="4097">
        <f>IFERROR(P43/P$117,0)</f>
        <v/>
      </c>
      <c r="BM43" s="4098">
        <f>IFERROR(Q43/Q$117,0)</f>
        <v/>
      </c>
      <c r="BN43" s="4097">
        <f>IFERROR(R43/R$117,0)</f>
        <v/>
      </c>
      <c r="BO43" s="4097">
        <f>IFERROR(S43/S$117,0)</f>
        <v/>
      </c>
      <c r="BP43" s="4097">
        <f>IFERROR(T43/T$117,0)</f>
        <v/>
      </c>
      <c r="BQ43" s="4097">
        <f>IFERROR(U43/U$117,0)</f>
        <v/>
      </c>
      <c r="BR43" s="4097">
        <f>IFERROR(V43/V$117,0)</f>
        <v/>
      </c>
      <c r="BS43" s="4097">
        <f>IFERROR(W43/W$117,0)</f>
        <v/>
      </c>
      <c r="BT43" s="4097">
        <f>IFERROR(X43/X$117,0)</f>
        <v/>
      </c>
      <c r="BU43" s="4097">
        <f>IFERROR(Y43/Y$117,0)</f>
        <v/>
      </c>
      <c r="BV43" s="4097">
        <f>IFERROR(Z43/Z$117,0)</f>
        <v/>
      </c>
      <c r="BW43" s="4097">
        <f>IFERROR(AA43/AA$117,0)</f>
        <v/>
      </c>
      <c r="BX43" s="4097">
        <f>IFERROR(AB43/AB$117,0)</f>
        <v/>
      </c>
      <c r="BY43" s="4098">
        <f>IFERROR(AC43/AC$117,0)</f>
        <v/>
      </c>
      <c r="BZ43" s="4097">
        <f>IFERROR(AD43/AD$117,0)</f>
        <v/>
      </c>
      <c r="CA43" s="4097">
        <f>IFERROR(AE43/AE$117,0)</f>
        <v/>
      </c>
      <c r="CB43" s="4097">
        <f>IFERROR(AF43/AF$117,0)</f>
        <v/>
      </c>
      <c r="CC43" s="4097">
        <f>IFERROR(AG43/AG$117,0)</f>
        <v/>
      </c>
      <c r="CD43" s="4097">
        <f>IFERROR(AH43/AH$117,0)</f>
        <v/>
      </c>
      <c r="CE43" s="4097">
        <f>IFERROR(AI43/AI$117,0)</f>
        <v/>
      </c>
      <c r="CF43" s="4097">
        <f>IFERROR(AJ43/AJ$117,0)</f>
        <v/>
      </c>
      <c r="CG43" s="4097">
        <f>IFERROR(AK43/AK$117,0)</f>
        <v/>
      </c>
      <c r="CH43" s="4097">
        <f>IFERROR(AL43/AL$117,0)</f>
        <v/>
      </c>
      <c r="CI43" s="4097">
        <f>IFERROR(AM43/AM$117,0)</f>
        <v/>
      </c>
      <c r="CJ43" s="4097">
        <f>IFERROR(AN43/AN$117,0)</f>
        <v/>
      </c>
      <c r="CK43" s="4098">
        <f>IFERROR(AO43/AO$117,0)</f>
        <v/>
      </c>
      <c r="CL43" s="4097">
        <f>IFERROR(AP43/AP$117,0)</f>
        <v/>
      </c>
      <c r="CM43" s="4097">
        <f>IFERROR(AQ43/AQ$117,0)</f>
        <v/>
      </c>
      <c r="CN43" s="4097">
        <f>IFERROR(AR43/AR$117,0)</f>
        <v/>
      </c>
      <c r="CO43" s="4097">
        <f>IFERROR(AS43/AS$117,0)</f>
        <v/>
      </c>
      <c r="CP43" s="4097">
        <f>IFERROR(AT43/AT$117,0)</f>
        <v/>
      </c>
      <c r="CQ43" s="4099">
        <f>IFERROR(AU43/AU$117,0)</f>
        <v/>
      </c>
      <c r="CR43" s="4097">
        <f>IFERROR(AV43/AV$117,0)</f>
        <v/>
      </c>
      <c r="CS43" s="4097">
        <f>IFERROR(AW43/AW$117,0)</f>
        <v/>
      </c>
      <c r="CT43" s="4097">
        <f>IFERROR(AX43/AX$117,0)</f>
        <v/>
      </c>
      <c r="CU43" s="4097">
        <f>IFERROR(AY43/AY$117,0)</f>
        <v/>
      </c>
      <c r="CV43" s="4097">
        <f>IFERROR(AZ43/AZ$117,0)</f>
        <v/>
      </c>
      <c r="CW43" s="3737" t="n"/>
      <c r="CX43" s="4094" t="n">
        <v>90.31485000000001</v>
      </c>
    </row>
    <row r="44" hidden="1" outlineLevel="2" ht="12" customFormat="1" customHeight="1" s="3737">
      <c r="A44" s="4059" t="n"/>
      <c r="B44" s="4060" t="n"/>
      <c r="C44" s="4109" t="inlineStr">
        <is>
          <t>Dma - admin fees for reimbursed exp</t>
        </is>
      </c>
      <c r="D44" s="4112" t="n">
        <v>483120</v>
      </c>
      <c r="E44" s="4093">
        <f>CONCATENATE(D44," - ",C44)</f>
        <v/>
      </c>
      <c r="F44" s="4094" t="n"/>
      <c r="G44" s="4094" t="n"/>
      <c r="H44" s="4094" t="n"/>
      <c r="I44" s="4094" t="n"/>
      <c r="J44" s="4094" t="n"/>
      <c r="K44" s="4094" t="n"/>
      <c r="L44" s="4094" t="n"/>
      <c r="M44" s="4094" t="n"/>
      <c r="N44" s="4094" t="n"/>
      <c r="O44" s="4094" t="n"/>
      <c r="P44" s="4094" t="n"/>
      <c r="Q44" s="4095" t="n"/>
      <c r="R44" s="4094" t="n"/>
      <c r="S44" s="4094" t="n"/>
      <c r="T44" s="4094" t="n"/>
      <c r="U44" s="4094" t="n"/>
      <c r="V44" s="4094" t="n"/>
      <c r="W44" s="4094" t="n"/>
      <c r="X44" s="4094" t="n"/>
      <c r="Y44" s="4094" t="n"/>
      <c r="Z44" s="4094" t="n"/>
      <c r="AA44" s="4094" t="n"/>
      <c r="AB44" s="4094" t="n"/>
      <c r="AC44" s="4095" t="n"/>
      <c r="AD44" s="4094" t="n"/>
      <c r="AE44" s="4094" t="n"/>
      <c r="AF44" s="4094" t="n"/>
      <c r="AG44" s="4094" t="n"/>
      <c r="AH44" s="4094" t="n"/>
      <c r="AI44" s="4094" t="n"/>
      <c r="AJ44" s="4094" t="n"/>
      <c r="AK44" s="4094" t="n"/>
      <c r="AL44" s="4094" t="n"/>
      <c r="AM44" s="4094" t="n"/>
      <c r="AN44" s="4094" t="n"/>
      <c r="AO44" s="4095" t="n"/>
      <c r="AP44" s="4094" t="n">
        <v>51.58747</v>
      </c>
      <c r="AQ44" s="4094" t="n">
        <v>75.19483</v>
      </c>
      <c r="AR44" s="4094" t="n">
        <v>40.75415</v>
      </c>
      <c r="AS44" s="4094" t="n">
        <v>42.01718</v>
      </c>
      <c r="AT44" s="4094" t="n">
        <v>39.80821</v>
      </c>
      <c r="AU44" s="4096" t="n">
        <v>52.27275</v>
      </c>
      <c r="AV44" s="4094">
        <f>SUM(F44:Q44)</f>
        <v/>
      </c>
      <c r="AW44" s="4094">
        <f>SUM(R44:AC44)</f>
        <v/>
      </c>
      <c r="AX44" s="4094">
        <f>SUM(AD44:AO44)</f>
        <v/>
      </c>
      <c r="AY44" s="4094">
        <f>SUM(AH44:AS44)</f>
        <v/>
      </c>
      <c r="AZ44" s="4094">
        <f>SUM(AJ44:AU44)</f>
        <v/>
      </c>
      <c r="BA44" s="3737" t="n"/>
      <c r="BB44" s="4097">
        <f>IFERROR(F44/F$117,0)</f>
        <v/>
      </c>
      <c r="BC44" s="4097">
        <f>IFERROR(G44/G$117,0)</f>
        <v/>
      </c>
      <c r="BD44" s="4097">
        <f>IFERROR(H44/H$117,0)</f>
        <v/>
      </c>
      <c r="BE44" s="4097">
        <f>IFERROR(I44/I$117,0)</f>
        <v/>
      </c>
      <c r="BF44" s="4097">
        <f>IFERROR(J44/J$117,0)</f>
        <v/>
      </c>
      <c r="BG44" s="4097">
        <f>IFERROR(K44/K$117,0)</f>
        <v/>
      </c>
      <c r="BH44" s="4097">
        <f>IFERROR(L44/L$117,0)</f>
        <v/>
      </c>
      <c r="BI44" s="4097">
        <f>IFERROR(M44/M$117,0)</f>
        <v/>
      </c>
      <c r="BJ44" s="4097">
        <f>IFERROR(N44/N$117,0)</f>
        <v/>
      </c>
      <c r="BK44" s="4097">
        <f>IFERROR(O44/O$117,0)</f>
        <v/>
      </c>
      <c r="BL44" s="4097">
        <f>IFERROR(P44/P$117,0)</f>
        <v/>
      </c>
      <c r="BM44" s="4098">
        <f>IFERROR(Q44/Q$117,0)</f>
        <v/>
      </c>
      <c r="BN44" s="4097">
        <f>IFERROR(R44/R$117,0)</f>
        <v/>
      </c>
      <c r="BO44" s="4097">
        <f>IFERROR(S44/S$117,0)</f>
        <v/>
      </c>
      <c r="BP44" s="4097">
        <f>IFERROR(T44/T$117,0)</f>
        <v/>
      </c>
      <c r="BQ44" s="4097">
        <f>IFERROR(U44/U$117,0)</f>
        <v/>
      </c>
      <c r="BR44" s="4097">
        <f>IFERROR(V44/V$117,0)</f>
        <v/>
      </c>
      <c r="BS44" s="4097">
        <f>IFERROR(W44/W$117,0)</f>
        <v/>
      </c>
      <c r="BT44" s="4097">
        <f>IFERROR(X44/X$117,0)</f>
        <v/>
      </c>
      <c r="BU44" s="4097">
        <f>IFERROR(Y44/Y$117,0)</f>
        <v/>
      </c>
      <c r="BV44" s="4097">
        <f>IFERROR(Z44/Z$117,0)</f>
        <v/>
      </c>
      <c r="BW44" s="4097">
        <f>IFERROR(AA44/AA$117,0)</f>
        <v/>
      </c>
      <c r="BX44" s="4097">
        <f>IFERROR(AB44/AB$117,0)</f>
        <v/>
      </c>
      <c r="BY44" s="4098">
        <f>IFERROR(AC44/AC$117,0)</f>
        <v/>
      </c>
      <c r="BZ44" s="4097">
        <f>IFERROR(AD44/AD$117,0)</f>
        <v/>
      </c>
      <c r="CA44" s="4097">
        <f>IFERROR(AE44/AE$117,0)</f>
        <v/>
      </c>
      <c r="CB44" s="4097">
        <f>IFERROR(AF44/AF$117,0)</f>
        <v/>
      </c>
      <c r="CC44" s="4097">
        <f>IFERROR(AG44/AG$117,0)</f>
        <v/>
      </c>
      <c r="CD44" s="4097">
        <f>IFERROR(AH44/AH$117,0)</f>
        <v/>
      </c>
      <c r="CE44" s="4097">
        <f>IFERROR(AI44/AI$117,0)</f>
        <v/>
      </c>
      <c r="CF44" s="4097">
        <f>IFERROR(AJ44/AJ$117,0)</f>
        <v/>
      </c>
      <c r="CG44" s="4097">
        <f>IFERROR(AK44/AK$117,0)</f>
        <v/>
      </c>
      <c r="CH44" s="4097">
        <f>IFERROR(AL44/AL$117,0)</f>
        <v/>
      </c>
      <c r="CI44" s="4097">
        <f>IFERROR(AM44/AM$117,0)</f>
        <v/>
      </c>
      <c r="CJ44" s="4097">
        <f>IFERROR(AN44/AN$117,0)</f>
        <v/>
      </c>
      <c r="CK44" s="4098">
        <f>IFERROR(AO44/AO$117,0)</f>
        <v/>
      </c>
      <c r="CL44" s="4097">
        <f>IFERROR(AP44/AP$117,0)</f>
        <v/>
      </c>
      <c r="CM44" s="4097">
        <f>IFERROR(AQ44/AQ$117,0)</f>
        <v/>
      </c>
      <c r="CN44" s="4097">
        <f>IFERROR(AR44/AR$117,0)</f>
        <v/>
      </c>
      <c r="CO44" s="4097">
        <f>IFERROR(AS44/AS$117,0)</f>
        <v/>
      </c>
      <c r="CP44" s="4097">
        <f>IFERROR(AT44/AT$117,0)</f>
        <v/>
      </c>
      <c r="CQ44" s="4099">
        <f>IFERROR(AU44/AU$117,0)</f>
        <v/>
      </c>
      <c r="CR44" s="4097">
        <f>IFERROR(AV44/AV$117,0)</f>
        <v/>
      </c>
      <c r="CS44" s="4097">
        <f>IFERROR(AW44/AW$117,0)</f>
        <v/>
      </c>
      <c r="CT44" s="4097">
        <f>IFERROR(AX44/AX$117,0)</f>
        <v/>
      </c>
      <c r="CU44" s="4097">
        <f>IFERROR(AY44/AY$117,0)</f>
        <v/>
      </c>
      <c r="CV44" s="4097">
        <f>IFERROR(AZ44/AZ$117,0)</f>
        <v/>
      </c>
      <c r="CW44" s="3737" t="n"/>
      <c r="CX44" s="4094" t="n">
        <v>0</v>
      </c>
    </row>
    <row r="45" hidden="1" outlineLevel="2" ht="12" customFormat="1" customHeight="1" s="3737">
      <c r="A45" s="4059" t="n"/>
      <c r="B45" s="4060" t="n"/>
      <c r="C45" s="4109" t="inlineStr">
        <is>
          <t>Admin fees for reimbursed exp</t>
        </is>
      </c>
      <c r="D45" s="4112" t="n">
        <v>483109</v>
      </c>
      <c r="E45" s="4093">
        <f>CONCATENATE(D45," - ",C45)</f>
        <v/>
      </c>
      <c r="F45" s="4094" t="n"/>
      <c r="G45" s="4094" t="n"/>
      <c r="H45" s="4094" t="n"/>
      <c r="I45" s="4094" t="n"/>
      <c r="J45" s="4094" t="n"/>
      <c r="K45" s="4094" t="n"/>
      <c r="L45" s="4094" t="n"/>
      <c r="M45" s="4094" t="n"/>
      <c r="N45" s="4094" t="n"/>
      <c r="O45" s="4094" t="n"/>
      <c r="P45" s="4094" t="n"/>
      <c r="Q45" s="4095" t="n"/>
      <c r="R45" s="4094" t="n"/>
      <c r="S45" s="4094" t="n"/>
      <c r="T45" s="4094" t="n"/>
      <c r="U45" s="4094" t="n"/>
      <c r="V45" s="4094" t="n"/>
      <c r="W45" s="4094" t="n"/>
      <c r="X45" s="4094" t="n"/>
      <c r="Y45" s="4094" t="n"/>
      <c r="Z45" s="4094" t="n"/>
      <c r="AA45" s="4094" t="n"/>
      <c r="AB45" s="4094" t="n"/>
      <c r="AC45" s="4095" t="n"/>
      <c r="AD45" s="4094" t="n"/>
      <c r="AE45" s="4094" t="n"/>
      <c r="AF45" s="4094" t="n"/>
      <c r="AG45" s="4094" t="n"/>
      <c r="AH45" s="4094" t="n"/>
      <c r="AI45" s="4094" t="n"/>
      <c r="AJ45" s="4094" t="n"/>
      <c r="AK45" s="4094" t="n"/>
      <c r="AL45" s="4094" t="n"/>
      <c r="AM45" s="4094" t="n"/>
      <c r="AN45" s="4094" t="n"/>
      <c r="AO45" s="4095" t="n"/>
      <c r="AP45" s="4094" t="n">
        <v>28.18649</v>
      </c>
      <c r="AQ45" s="4094" t="n">
        <v>29.96856</v>
      </c>
      <c r="AR45" s="4094" t="n">
        <v>30.72195</v>
      </c>
      <c r="AS45" s="4094" t="n">
        <v>24.66541</v>
      </c>
      <c r="AT45" s="4094" t="n">
        <v>23.15324</v>
      </c>
      <c r="AU45" s="4096" t="n">
        <v>22.57789</v>
      </c>
      <c r="AV45" s="4094">
        <f>SUM(F45:Q45)</f>
        <v/>
      </c>
      <c r="AW45" s="4094">
        <f>SUM(R45:AC45)</f>
        <v/>
      </c>
      <c r="AX45" s="4094">
        <f>SUM(AD45:AO45)</f>
        <v/>
      </c>
      <c r="AY45" s="4094">
        <f>SUM(AH45:AS45)</f>
        <v/>
      </c>
      <c r="AZ45" s="4094">
        <f>SUM(AJ45:AU45)</f>
        <v/>
      </c>
      <c r="BA45" s="3737" t="n"/>
      <c r="BB45" s="4097">
        <f>IFERROR(F45/F$117,0)</f>
        <v/>
      </c>
      <c r="BC45" s="4097">
        <f>IFERROR(G45/G$117,0)</f>
        <v/>
      </c>
      <c r="BD45" s="4097">
        <f>IFERROR(H45/H$117,0)</f>
        <v/>
      </c>
      <c r="BE45" s="4097">
        <f>IFERROR(I45/I$117,0)</f>
        <v/>
      </c>
      <c r="BF45" s="4097">
        <f>IFERROR(J45/J$117,0)</f>
        <v/>
      </c>
      <c r="BG45" s="4097">
        <f>IFERROR(K45/K$117,0)</f>
        <v/>
      </c>
      <c r="BH45" s="4097">
        <f>IFERROR(L45/L$117,0)</f>
        <v/>
      </c>
      <c r="BI45" s="4097">
        <f>IFERROR(M45/M$117,0)</f>
        <v/>
      </c>
      <c r="BJ45" s="4097">
        <f>IFERROR(N45/N$117,0)</f>
        <v/>
      </c>
      <c r="BK45" s="4097">
        <f>IFERROR(O45/O$117,0)</f>
        <v/>
      </c>
      <c r="BL45" s="4097">
        <f>IFERROR(P45/P$117,0)</f>
        <v/>
      </c>
      <c r="BM45" s="4098">
        <f>IFERROR(Q45/Q$117,0)</f>
        <v/>
      </c>
      <c r="BN45" s="4097">
        <f>IFERROR(R45/R$117,0)</f>
        <v/>
      </c>
      <c r="BO45" s="4097">
        <f>IFERROR(S45/S$117,0)</f>
        <v/>
      </c>
      <c r="BP45" s="4097">
        <f>IFERROR(T45/T$117,0)</f>
        <v/>
      </c>
      <c r="BQ45" s="4097">
        <f>IFERROR(U45/U$117,0)</f>
        <v/>
      </c>
      <c r="BR45" s="4097">
        <f>IFERROR(V45/V$117,0)</f>
        <v/>
      </c>
      <c r="BS45" s="4097">
        <f>IFERROR(W45/W$117,0)</f>
        <v/>
      </c>
      <c r="BT45" s="4097">
        <f>IFERROR(X45/X$117,0)</f>
        <v/>
      </c>
      <c r="BU45" s="4097">
        <f>IFERROR(Y45/Y$117,0)</f>
        <v/>
      </c>
      <c r="BV45" s="4097">
        <f>IFERROR(Z45/Z$117,0)</f>
        <v/>
      </c>
      <c r="BW45" s="4097">
        <f>IFERROR(AA45/AA$117,0)</f>
        <v/>
      </c>
      <c r="BX45" s="4097">
        <f>IFERROR(AB45/AB$117,0)</f>
        <v/>
      </c>
      <c r="BY45" s="4098">
        <f>IFERROR(AC45/AC$117,0)</f>
        <v/>
      </c>
      <c r="BZ45" s="4097">
        <f>IFERROR(AD45/AD$117,0)</f>
        <v/>
      </c>
      <c r="CA45" s="4097">
        <f>IFERROR(AE45/AE$117,0)</f>
        <v/>
      </c>
      <c r="CB45" s="4097">
        <f>IFERROR(AF45/AF$117,0)</f>
        <v/>
      </c>
      <c r="CC45" s="4097">
        <f>IFERROR(AG45/AG$117,0)</f>
        <v/>
      </c>
      <c r="CD45" s="4097">
        <f>IFERROR(AH45/AH$117,0)</f>
        <v/>
      </c>
      <c r="CE45" s="4097">
        <f>IFERROR(AI45/AI$117,0)</f>
        <v/>
      </c>
      <c r="CF45" s="4097">
        <f>IFERROR(AJ45/AJ$117,0)</f>
        <v/>
      </c>
      <c r="CG45" s="4097">
        <f>IFERROR(AK45/AK$117,0)</f>
        <v/>
      </c>
      <c r="CH45" s="4097">
        <f>IFERROR(AL45/AL$117,0)</f>
        <v/>
      </c>
      <c r="CI45" s="4097">
        <f>IFERROR(AM45/AM$117,0)</f>
        <v/>
      </c>
      <c r="CJ45" s="4097">
        <f>IFERROR(AN45/AN$117,0)</f>
        <v/>
      </c>
      <c r="CK45" s="4098">
        <f>IFERROR(AO45/AO$117,0)</f>
        <v/>
      </c>
      <c r="CL45" s="4097">
        <f>IFERROR(AP45/AP$117,0)</f>
        <v/>
      </c>
      <c r="CM45" s="4097">
        <f>IFERROR(AQ45/AQ$117,0)</f>
        <v/>
      </c>
      <c r="CN45" s="4097">
        <f>IFERROR(AR45/AR$117,0)</f>
        <v/>
      </c>
      <c r="CO45" s="4097">
        <f>IFERROR(AS45/AS$117,0)</f>
        <v/>
      </c>
      <c r="CP45" s="4097">
        <f>IFERROR(AT45/AT$117,0)</f>
        <v/>
      </c>
      <c r="CQ45" s="4099">
        <f>IFERROR(AU45/AU$117,0)</f>
        <v/>
      </c>
      <c r="CR45" s="4097">
        <f>IFERROR(AV45/AV$117,0)</f>
        <v/>
      </c>
      <c r="CS45" s="4097">
        <f>IFERROR(AW45/AW$117,0)</f>
        <v/>
      </c>
      <c r="CT45" s="4097">
        <f>IFERROR(AX45/AX$117,0)</f>
        <v/>
      </c>
      <c r="CU45" s="4097">
        <f>IFERROR(AY45/AY$117,0)</f>
        <v/>
      </c>
      <c r="CV45" s="4097">
        <f>IFERROR(AZ45/AZ$117,0)</f>
        <v/>
      </c>
      <c r="CW45" s="3737" t="n"/>
      <c r="CX45" s="4094" t="n">
        <v>212.47777</v>
      </c>
    </row>
    <row r="46" hidden="1" outlineLevel="2" ht="12" customFormat="1" customHeight="1" s="3737">
      <c r="A46" s="4059" t="n"/>
      <c r="B46" s="4060" t="n"/>
      <c r="C46" s="4109" t="inlineStr">
        <is>
          <t>Reimbursed expenses - mc membership fees</t>
        </is>
      </c>
      <c r="D46" s="4112" t="n">
        <v>483112</v>
      </c>
      <c r="E46" s="4093">
        <f>CONCATENATE(D46," - ",C46)</f>
        <v/>
      </c>
      <c r="F46" s="4094" t="n"/>
      <c r="G46" s="4094" t="n"/>
      <c r="H46" s="4094" t="n"/>
      <c r="I46" s="4094" t="n"/>
      <c r="J46" s="4094" t="n"/>
      <c r="K46" s="4094" t="n"/>
      <c r="L46" s="4094" t="n"/>
      <c r="M46" s="4094" t="n"/>
      <c r="N46" s="4094" t="n"/>
      <c r="O46" s="4094" t="n"/>
      <c r="P46" s="4094" t="n"/>
      <c r="Q46" s="4095" t="n"/>
      <c r="R46" s="4094" t="n"/>
      <c r="S46" s="4094" t="n"/>
      <c r="T46" s="4094" t="n"/>
      <c r="U46" s="4094" t="n"/>
      <c r="V46" s="4094" t="n"/>
      <c r="W46" s="4094" t="n"/>
      <c r="X46" s="4094" t="n"/>
      <c r="Y46" s="4094" t="n"/>
      <c r="Z46" s="4094" t="n"/>
      <c r="AA46" s="4094" t="n"/>
      <c r="AB46" s="4094" t="n"/>
      <c r="AC46" s="4095" t="n"/>
      <c r="AD46" s="4094" t="n"/>
      <c r="AE46" s="4094" t="n"/>
      <c r="AF46" s="4094" t="n"/>
      <c r="AG46" s="4094" t="n"/>
      <c r="AH46" s="4094" t="n"/>
      <c r="AI46" s="4094" t="n"/>
      <c r="AJ46" s="4094" t="n"/>
      <c r="AK46" s="4094" t="n"/>
      <c r="AL46" s="4094" t="n"/>
      <c r="AM46" s="4094" t="n"/>
      <c r="AN46" s="4094" t="n"/>
      <c r="AO46" s="4095" t="n"/>
      <c r="AP46" s="4094" t="n">
        <v>18.47521</v>
      </c>
      <c r="AQ46" s="4094" t="n">
        <v>18.6752</v>
      </c>
      <c r="AR46" s="4094" t="n">
        <v>18.71882</v>
      </c>
      <c r="AS46" s="4094" t="n">
        <v>18.84242</v>
      </c>
      <c r="AT46" s="4094" t="n">
        <v>18.85223</v>
      </c>
      <c r="AU46" s="4096" t="n">
        <v>27.52974</v>
      </c>
      <c r="AV46" s="4094">
        <f>SUM(F46:Q46)</f>
        <v/>
      </c>
      <c r="AW46" s="4094">
        <f>SUM(R46:AC46)</f>
        <v/>
      </c>
      <c r="AX46" s="4094">
        <f>SUM(AD46:AO46)</f>
        <v/>
      </c>
      <c r="AY46" s="4094">
        <f>SUM(AH46:AS46)</f>
        <v/>
      </c>
      <c r="AZ46" s="4094">
        <f>SUM(AJ46:AU46)</f>
        <v/>
      </c>
      <c r="BA46" s="3737" t="n"/>
      <c r="BB46" s="4097">
        <f>IFERROR(F46/F$117,0)</f>
        <v/>
      </c>
      <c r="BC46" s="4097">
        <f>IFERROR(G46/G$117,0)</f>
        <v/>
      </c>
      <c r="BD46" s="4097">
        <f>IFERROR(H46/H$117,0)</f>
        <v/>
      </c>
      <c r="BE46" s="4097">
        <f>IFERROR(I46/I$117,0)</f>
        <v/>
      </c>
      <c r="BF46" s="4097">
        <f>IFERROR(J46/J$117,0)</f>
        <v/>
      </c>
      <c r="BG46" s="4097">
        <f>IFERROR(K46/K$117,0)</f>
        <v/>
      </c>
      <c r="BH46" s="4097">
        <f>IFERROR(L46/L$117,0)</f>
        <v/>
      </c>
      <c r="BI46" s="4097">
        <f>IFERROR(M46/M$117,0)</f>
        <v/>
      </c>
      <c r="BJ46" s="4097">
        <f>IFERROR(N46/N$117,0)</f>
        <v/>
      </c>
      <c r="BK46" s="4097">
        <f>IFERROR(O46/O$117,0)</f>
        <v/>
      </c>
      <c r="BL46" s="4097">
        <f>IFERROR(P46/P$117,0)</f>
        <v/>
      </c>
      <c r="BM46" s="4098">
        <f>IFERROR(Q46/Q$117,0)</f>
        <v/>
      </c>
      <c r="BN46" s="4097">
        <f>IFERROR(R46/R$117,0)</f>
        <v/>
      </c>
      <c r="BO46" s="4097">
        <f>IFERROR(S46/S$117,0)</f>
        <v/>
      </c>
      <c r="BP46" s="4097">
        <f>IFERROR(T46/T$117,0)</f>
        <v/>
      </c>
      <c r="BQ46" s="4097">
        <f>IFERROR(U46/U$117,0)</f>
        <v/>
      </c>
      <c r="BR46" s="4097">
        <f>IFERROR(V46/V$117,0)</f>
        <v/>
      </c>
      <c r="BS46" s="4097">
        <f>IFERROR(W46/W$117,0)</f>
        <v/>
      </c>
      <c r="BT46" s="4097">
        <f>IFERROR(X46/X$117,0)</f>
        <v/>
      </c>
      <c r="BU46" s="4097">
        <f>IFERROR(Y46/Y$117,0)</f>
        <v/>
      </c>
      <c r="BV46" s="4097">
        <f>IFERROR(Z46/Z$117,0)</f>
        <v/>
      </c>
      <c r="BW46" s="4097">
        <f>IFERROR(AA46/AA$117,0)</f>
        <v/>
      </c>
      <c r="BX46" s="4097">
        <f>IFERROR(AB46/AB$117,0)</f>
        <v/>
      </c>
      <c r="BY46" s="4098">
        <f>IFERROR(AC46/AC$117,0)</f>
        <v/>
      </c>
      <c r="BZ46" s="4097">
        <f>IFERROR(AD46/AD$117,0)</f>
        <v/>
      </c>
      <c r="CA46" s="4097">
        <f>IFERROR(AE46/AE$117,0)</f>
        <v/>
      </c>
      <c r="CB46" s="4097">
        <f>IFERROR(AF46/AF$117,0)</f>
        <v/>
      </c>
      <c r="CC46" s="4097">
        <f>IFERROR(AG46/AG$117,0)</f>
        <v/>
      </c>
      <c r="CD46" s="4097">
        <f>IFERROR(AH46/AH$117,0)</f>
        <v/>
      </c>
      <c r="CE46" s="4097">
        <f>IFERROR(AI46/AI$117,0)</f>
        <v/>
      </c>
      <c r="CF46" s="4097">
        <f>IFERROR(AJ46/AJ$117,0)</f>
        <v/>
      </c>
      <c r="CG46" s="4097">
        <f>IFERROR(AK46/AK$117,0)</f>
        <v/>
      </c>
      <c r="CH46" s="4097">
        <f>IFERROR(AL46/AL$117,0)</f>
        <v/>
      </c>
      <c r="CI46" s="4097">
        <f>IFERROR(AM46/AM$117,0)</f>
        <v/>
      </c>
      <c r="CJ46" s="4097">
        <f>IFERROR(AN46/AN$117,0)</f>
        <v/>
      </c>
      <c r="CK46" s="4098">
        <f>IFERROR(AO46/AO$117,0)</f>
        <v/>
      </c>
      <c r="CL46" s="4097">
        <f>IFERROR(AP46/AP$117,0)</f>
        <v/>
      </c>
      <c r="CM46" s="4097">
        <f>IFERROR(AQ46/AQ$117,0)</f>
        <v/>
      </c>
      <c r="CN46" s="4097">
        <f>IFERROR(AR46/AR$117,0)</f>
        <v/>
      </c>
      <c r="CO46" s="4097">
        <f>IFERROR(AS46/AS$117,0)</f>
        <v/>
      </c>
      <c r="CP46" s="4097">
        <f>IFERROR(AT46/AT$117,0)</f>
        <v/>
      </c>
      <c r="CQ46" s="4099">
        <f>IFERROR(AU46/AU$117,0)</f>
        <v/>
      </c>
      <c r="CR46" s="4097">
        <f>IFERROR(AV46/AV$117,0)</f>
        <v/>
      </c>
      <c r="CS46" s="4097">
        <f>IFERROR(AW46/AW$117,0)</f>
        <v/>
      </c>
      <c r="CT46" s="4097">
        <f>IFERROR(AX46/AX$117,0)</f>
        <v/>
      </c>
      <c r="CU46" s="4097">
        <f>IFERROR(AY46/AY$117,0)</f>
        <v/>
      </c>
      <c r="CV46" s="4097">
        <f>IFERROR(AZ46/AZ$117,0)</f>
        <v/>
      </c>
      <c r="CW46" s="3737" t="n"/>
      <c r="CX46" s="4094" t="n">
        <v>240.56873</v>
      </c>
    </row>
    <row r="47" hidden="1" outlineLevel="2" ht="12" customFormat="1" customHeight="1" s="3737">
      <c r="A47" s="4059" t="n"/>
      <c r="B47" s="4060" t="n"/>
      <c r="C47" s="4109" t="inlineStr">
        <is>
          <t>Reimbured exp - csp fees exch- ficanex</t>
        </is>
      </c>
      <c r="D47" s="4112" t="n">
        <v>483105</v>
      </c>
      <c r="E47" s="4093">
        <f>CONCATENATE(D47," - ",C47)</f>
        <v/>
      </c>
      <c r="F47" s="4094" t="n"/>
      <c r="G47" s="4094" t="n"/>
      <c r="H47" s="4094" t="n"/>
      <c r="I47" s="4094" t="n"/>
      <c r="J47" s="4094" t="n"/>
      <c r="K47" s="4094" t="n"/>
      <c r="L47" s="4094" t="n"/>
      <c r="M47" s="4094" t="n"/>
      <c r="N47" s="4094" t="n"/>
      <c r="O47" s="4094" t="n"/>
      <c r="P47" s="4094" t="n"/>
      <c r="Q47" s="4095" t="n"/>
      <c r="R47" s="4094" t="n"/>
      <c r="S47" s="4094" t="n"/>
      <c r="T47" s="4094" t="n"/>
      <c r="U47" s="4094" t="n"/>
      <c r="V47" s="4094" t="n"/>
      <c r="W47" s="4094" t="n"/>
      <c r="X47" s="4094" t="n"/>
      <c r="Y47" s="4094" t="n"/>
      <c r="Z47" s="4094" t="n"/>
      <c r="AA47" s="4094" t="n"/>
      <c r="AB47" s="4094" t="n"/>
      <c r="AC47" s="4095" t="n"/>
      <c r="AD47" s="4094" t="n"/>
      <c r="AE47" s="4094" t="n"/>
      <c r="AF47" s="4094" t="n"/>
      <c r="AG47" s="4094" t="n"/>
      <c r="AH47" s="4094" t="n"/>
      <c r="AI47" s="4094" t="n"/>
      <c r="AJ47" s="4094" t="n"/>
      <c r="AK47" s="4094" t="n"/>
      <c r="AL47" s="4094" t="n"/>
      <c r="AM47" s="4094" t="n"/>
      <c r="AN47" s="4094" t="n"/>
      <c r="AO47" s="4095" t="n"/>
      <c r="AP47" s="4094" t="n">
        <v>16.20229</v>
      </c>
      <c r="AQ47" s="4094" t="n">
        <v>16.30745</v>
      </c>
      <c r="AR47" s="4094" t="n">
        <v>17.90153</v>
      </c>
      <c r="AS47" s="4094" t="n">
        <v>18.01065</v>
      </c>
      <c r="AT47" s="4094" t="n">
        <v>19.11838</v>
      </c>
      <c r="AU47" s="4096" t="n">
        <v>18.50089</v>
      </c>
      <c r="AV47" s="4094">
        <f>SUM(F47:Q47)</f>
        <v/>
      </c>
      <c r="AW47" s="4094">
        <f>SUM(R47:AC47)</f>
        <v/>
      </c>
      <c r="AX47" s="4094">
        <f>SUM(AD47:AO47)</f>
        <v/>
      </c>
      <c r="AY47" s="4094">
        <f>SUM(AH47:AS47)</f>
        <v/>
      </c>
      <c r="AZ47" s="4094">
        <f>SUM(AJ47:AU47)</f>
        <v/>
      </c>
      <c r="BA47" s="3737" t="n"/>
      <c r="BB47" s="4097">
        <f>IFERROR(F47/F$117,0)</f>
        <v/>
      </c>
      <c r="BC47" s="4097">
        <f>IFERROR(G47/G$117,0)</f>
        <v/>
      </c>
      <c r="BD47" s="4097">
        <f>IFERROR(H47/H$117,0)</f>
        <v/>
      </c>
      <c r="BE47" s="4097">
        <f>IFERROR(I47/I$117,0)</f>
        <v/>
      </c>
      <c r="BF47" s="4097">
        <f>IFERROR(J47/J$117,0)</f>
        <v/>
      </c>
      <c r="BG47" s="4097">
        <f>IFERROR(K47/K$117,0)</f>
        <v/>
      </c>
      <c r="BH47" s="4097">
        <f>IFERROR(L47/L$117,0)</f>
        <v/>
      </c>
      <c r="BI47" s="4097">
        <f>IFERROR(M47/M$117,0)</f>
        <v/>
      </c>
      <c r="BJ47" s="4097">
        <f>IFERROR(N47/N$117,0)</f>
        <v/>
      </c>
      <c r="BK47" s="4097">
        <f>IFERROR(O47/O$117,0)</f>
        <v/>
      </c>
      <c r="BL47" s="4097">
        <f>IFERROR(P47/P$117,0)</f>
        <v/>
      </c>
      <c r="BM47" s="4098">
        <f>IFERROR(Q47/Q$117,0)</f>
        <v/>
      </c>
      <c r="BN47" s="4097">
        <f>IFERROR(R47/R$117,0)</f>
        <v/>
      </c>
      <c r="BO47" s="4097">
        <f>IFERROR(S47/S$117,0)</f>
        <v/>
      </c>
      <c r="BP47" s="4097">
        <f>IFERROR(T47/T$117,0)</f>
        <v/>
      </c>
      <c r="BQ47" s="4097">
        <f>IFERROR(U47/U$117,0)</f>
        <v/>
      </c>
      <c r="BR47" s="4097">
        <f>IFERROR(V47/V$117,0)</f>
        <v/>
      </c>
      <c r="BS47" s="4097">
        <f>IFERROR(W47/W$117,0)</f>
        <v/>
      </c>
      <c r="BT47" s="4097">
        <f>IFERROR(X47/X$117,0)</f>
        <v/>
      </c>
      <c r="BU47" s="4097">
        <f>IFERROR(Y47/Y$117,0)</f>
        <v/>
      </c>
      <c r="BV47" s="4097">
        <f>IFERROR(Z47/Z$117,0)</f>
        <v/>
      </c>
      <c r="BW47" s="4097">
        <f>IFERROR(AA47/AA$117,0)</f>
        <v/>
      </c>
      <c r="BX47" s="4097">
        <f>IFERROR(AB47/AB$117,0)</f>
        <v/>
      </c>
      <c r="BY47" s="4098">
        <f>IFERROR(AC47/AC$117,0)</f>
        <v/>
      </c>
      <c r="BZ47" s="4097">
        <f>IFERROR(AD47/AD$117,0)</f>
        <v/>
      </c>
      <c r="CA47" s="4097">
        <f>IFERROR(AE47/AE$117,0)</f>
        <v/>
      </c>
      <c r="CB47" s="4097">
        <f>IFERROR(AF47/AF$117,0)</f>
        <v/>
      </c>
      <c r="CC47" s="4097">
        <f>IFERROR(AG47/AG$117,0)</f>
        <v/>
      </c>
      <c r="CD47" s="4097">
        <f>IFERROR(AH47/AH$117,0)</f>
        <v/>
      </c>
      <c r="CE47" s="4097">
        <f>IFERROR(AI47/AI$117,0)</f>
        <v/>
      </c>
      <c r="CF47" s="4097">
        <f>IFERROR(AJ47/AJ$117,0)</f>
        <v/>
      </c>
      <c r="CG47" s="4097">
        <f>IFERROR(AK47/AK$117,0)</f>
        <v/>
      </c>
      <c r="CH47" s="4097">
        <f>IFERROR(AL47/AL$117,0)</f>
        <v/>
      </c>
      <c r="CI47" s="4097">
        <f>IFERROR(AM47/AM$117,0)</f>
        <v/>
      </c>
      <c r="CJ47" s="4097">
        <f>IFERROR(AN47/AN$117,0)</f>
        <v/>
      </c>
      <c r="CK47" s="4098">
        <f>IFERROR(AO47/AO$117,0)</f>
        <v/>
      </c>
      <c r="CL47" s="4097">
        <f>IFERROR(AP47/AP$117,0)</f>
        <v/>
      </c>
      <c r="CM47" s="4097">
        <f>IFERROR(AQ47/AQ$117,0)</f>
        <v/>
      </c>
      <c r="CN47" s="4097">
        <f>IFERROR(AR47/AR$117,0)</f>
        <v/>
      </c>
      <c r="CO47" s="4097">
        <f>IFERROR(AS47/AS$117,0)</f>
        <v/>
      </c>
      <c r="CP47" s="4097">
        <f>IFERROR(AT47/AT$117,0)</f>
        <v/>
      </c>
      <c r="CQ47" s="4099">
        <f>IFERROR(AU47/AU$117,0)</f>
        <v/>
      </c>
      <c r="CR47" s="4097">
        <f>IFERROR(AV47/AV$117,0)</f>
        <v/>
      </c>
      <c r="CS47" s="4097">
        <f>IFERROR(AW47/AW$117,0)</f>
        <v/>
      </c>
      <c r="CT47" s="4097">
        <f>IFERROR(AX47/AX$117,0)</f>
        <v/>
      </c>
      <c r="CU47" s="4097">
        <f>IFERROR(AY47/AY$117,0)</f>
        <v/>
      </c>
      <c r="CV47" s="4097">
        <f>IFERROR(AZ47/AZ$117,0)</f>
        <v/>
      </c>
      <c r="CW47" s="3737" t="n"/>
      <c r="CX47" s="4094" t="n">
        <v>255.43595</v>
      </c>
    </row>
    <row r="48" hidden="1" outlineLevel="2" ht="12" customFormat="1" customHeight="1" s="3737">
      <c r="A48" s="4059" t="n"/>
      <c r="B48" s="4060" t="n"/>
      <c r="C48" s="4109" t="inlineStr">
        <is>
          <t>Vda - program onboardingi fee icici</t>
        </is>
      </c>
      <c r="D48" s="4112" t="n">
        <v>483132</v>
      </c>
      <c r="E48" s="4093">
        <f>CONCATENATE(D48," - ",C48)</f>
        <v/>
      </c>
      <c r="F48" s="4094" t="n"/>
      <c r="G48" s="4094" t="n"/>
      <c r="H48" s="4094" t="n"/>
      <c r="I48" s="4094" t="n"/>
      <c r="J48" s="4094" t="n"/>
      <c r="K48" s="4094" t="n"/>
      <c r="L48" s="4094" t="n"/>
      <c r="M48" s="4094" t="n"/>
      <c r="N48" s="4094" t="n"/>
      <c r="O48" s="4094" t="n"/>
      <c r="P48" s="4094" t="n"/>
      <c r="Q48" s="4095" t="n"/>
      <c r="R48" s="4094" t="n"/>
      <c r="S48" s="4094" t="n"/>
      <c r="T48" s="4094" t="n"/>
      <c r="U48" s="4094" t="n"/>
      <c r="V48" s="4094" t="n"/>
      <c r="W48" s="4094" t="n"/>
      <c r="X48" s="4094" t="n"/>
      <c r="Y48" s="4094" t="n"/>
      <c r="Z48" s="4094" t="n"/>
      <c r="AA48" s="4094" t="n"/>
      <c r="AB48" s="4094" t="n"/>
      <c r="AC48" s="4095" t="n"/>
      <c r="AD48" s="4094" t="n"/>
      <c r="AE48" s="4094" t="n"/>
      <c r="AF48" s="4094" t="n"/>
      <c r="AG48" s="4094" t="n"/>
      <c r="AH48" s="4094" t="n"/>
      <c r="AI48" s="4094" t="n"/>
      <c r="AJ48" s="4094" t="n"/>
      <c r="AK48" s="4094" t="n"/>
      <c r="AL48" s="4094" t="n"/>
      <c r="AM48" s="4094" t="n"/>
      <c r="AN48" s="4094" t="n"/>
      <c r="AO48" s="4095" t="n"/>
      <c r="AP48" s="4094" t="n">
        <v>29.86524</v>
      </c>
      <c r="AQ48" s="4094" t="n">
        <v>22.58642</v>
      </c>
      <c r="AR48" s="4094" t="n">
        <v>28.48113</v>
      </c>
      <c r="AS48" s="4094" t="n">
        <v>14.13374</v>
      </c>
      <c r="AT48" s="4094" t="n">
        <v>28.00443</v>
      </c>
      <c r="AU48" s="4096" t="n">
        <v>23.46979</v>
      </c>
      <c r="AV48" s="4094">
        <f>SUM(F48:Q48)</f>
        <v/>
      </c>
      <c r="AW48" s="4094">
        <f>SUM(R48:AC48)</f>
        <v/>
      </c>
      <c r="AX48" s="4094">
        <f>SUM(AD48:AO48)</f>
        <v/>
      </c>
      <c r="AY48" s="4094">
        <f>SUM(AH48:AS48)</f>
        <v/>
      </c>
      <c r="AZ48" s="4094">
        <f>SUM(AJ48:AU48)</f>
        <v/>
      </c>
      <c r="BA48" s="3737" t="n"/>
      <c r="BB48" s="4097">
        <f>IFERROR(F48/F$117,0)</f>
        <v/>
      </c>
      <c r="BC48" s="4097">
        <f>IFERROR(G48/G$117,0)</f>
        <v/>
      </c>
      <c r="BD48" s="4097">
        <f>IFERROR(H48/H$117,0)</f>
        <v/>
      </c>
      <c r="BE48" s="4097">
        <f>IFERROR(I48/I$117,0)</f>
        <v/>
      </c>
      <c r="BF48" s="4097">
        <f>IFERROR(J48/J$117,0)</f>
        <v/>
      </c>
      <c r="BG48" s="4097">
        <f>IFERROR(K48/K$117,0)</f>
        <v/>
      </c>
      <c r="BH48" s="4097">
        <f>IFERROR(L48/L$117,0)</f>
        <v/>
      </c>
      <c r="BI48" s="4097">
        <f>IFERROR(M48/M$117,0)</f>
        <v/>
      </c>
      <c r="BJ48" s="4097">
        <f>IFERROR(N48/N$117,0)</f>
        <v/>
      </c>
      <c r="BK48" s="4097">
        <f>IFERROR(O48/O$117,0)</f>
        <v/>
      </c>
      <c r="BL48" s="4097">
        <f>IFERROR(P48/P$117,0)</f>
        <v/>
      </c>
      <c r="BM48" s="4098">
        <f>IFERROR(Q48/Q$117,0)</f>
        <v/>
      </c>
      <c r="BN48" s="4097">
        <f>IFERROR(R48/R$117,0)</f>
        <v/>
      </c>
      <c r="BO48" s="4097">
        <f>IFERROR(S48/S$117,0)</f>
        <v/>
      </c>
      <c r="BP48" s="4097">
        <f>IFERROR(T48/T$117,0)</f>
        <v/>
      </c>
      <c r="BQ48" s="4097">
        <f>IFERROR(U48/U$117,0)</f>
        <v/>
      </c>
      <c r="BR48" s="4097">
        <f>IFERROR(V48/V$117,0)</f>
        <v/>
      </c>
      <c r="BS48" s="4097">
        <f>IFERROR(W48/W$117,0)</f>
        <v/>
      </c>
      <c r="BT48" s="4097">
        <f>IFERROR(X48/X$117,0)</f>
        <v/>
      </c>
      <c r="BU48" s="4097">
        <f>IFERROR(Y48/Y$117,0)</f>
        <v/>
      </c>
      <c r="BV48" s="4097">
        <f>IFERROR(Z48/Z$117,0)</f>
        <v/>
      </c>
      <c r="BW48" s="4097">
        <f>IFERROR(AA48/AA$117,0)</f>
        <v/>
      </c>
      <c r="BX48" s="4097">
        <f>IFERROR(AB48/AB$117,0)</f>
        <v/>
      </c>
      <c r="BY48" s="4098">
        <f>IFERROR(AC48/AC$117,0)</f>
        <v/>
      </c>
      <c r="BZ48" s="4097">
        <f>IFERROR(AD48/AD$117,0)</f>
        <v/>
      </c>
      <c r="CA48" s="4097">
        <f>IFERROR(AE48/AE$117,0)</f>
        <v/>
      </c>
      <c r="CB48" s="4097">
        <f>IFERROR(AF48/AF$117,0)</f>
        <v/>
      </c>
      <c r="CC48" s="4097">
        <f>IFERROR(AG48/AG$117,0)</f>
        <v/>
      </c>
      <c r="CD48" s="4097">
        <f>IFERROR(AH48/AH$117,0)</f>
        <v/>
      </c>
      <c r="CE48" s="4097">
        <f>IFERROR(AI48/AI$117,0)</f>
        <v/>
      </c>
      <c r="CF48" s="4097">
        <f>IFERROR(AJ48/AJ$117,0)</f>
        <v/>
      </c>
      <c r="CG48" s="4097">
        <f>IFERROR(AK48/AK$117,0)</f>
        <v/>
      </c>
      <c r="CH48" s="4097">
        <f>IFERROR(AL48/AL$117,0)</f>
        <v/>
      </c>
      <c r="CI48" s="4097">
        <f>IFERROR(AM48/AM$117,0)</f>
        <v/>
      </c>
      <c r="CJ48" s="4097">
        <f>IFERROR(AN48/AN$117,0)</f>
        <v/>
      </c>
      <c r="CK48" s="4098">
        <f>IFERROR(AO48/AO$117,0)</f>
        <v/>
      </c>
      <c r="CL48" s="4097">
        <f>IFERROR(AP48/AP$117,0)</f>
        <v/>
      </c>
      <c r="CM48" s="4097">
        <f>IFERROR(AQ48/AQ$117,0)</f>
        <v/>
      </c>
      <c r="CN48" s="4097">
        <f>IFERROR(AR48/AR$117,0)</f>
        <v/>
      </c>
      <c r="CO48" s="4097">
        <f>IFERROR(AS48/AS$117,0)</f>
        <v/>
      </c>
      <c r="CP48" s="4097">
        <f>IFERROR(AT48/AT$117,0)</f>
        <v/>
      </c>
      <c r="CQ48" s="4099">
        <f>IFERROR(AU48/AU$117,0)</f>
        <v/>
      </c>
      <c r="CR48" s="4097">
        <f>IFERROR(AV48/AV$117,0)</f>
        <v/>
      </c>
      <c r="CS48" s="4097">
        <f>IFERROR(AW48/AW$117,0)</f>
        <v/>
      </c>
      <c r="CT48" s="4097">
        <f>IFERROR(AX48/AX$117,0)</f>
        <v/>
      </c>
      <c r="CU48" s="4097">
        <f>IFERROR(AY48/AY$117,0)</f>
        <v/>
      </c>
      <c r="CV48" s="4097">
        <f>IFERROR(AZ48/AZ$117,0)</f>
        <v/>
      </c>
      <c r="CW48" s="3737" t="n"/>
      <c r="CX48" s="4094" t="n">
        <v>0</v>
      </c>
    </row>
    <row r="49" hidden="1" outlineLevel="2" ht="12" customFormat="1" customHeight="1" s="3737">
      <c r="A49" s="4059" t="n"/>
      <c r="B49" s="4060" t="n"/>
      <c r="C49" s="4109" t="inlineStr">
        <is>
          <t>Reimbursed expenses - others</t>
        </is>
      </c>
      <c r="D49" s="4112" t="n">
        <v>483113</v>
      </c>
      <c r="E49" s="4093">
        <f>CONCATENATE(D49," - ",C49)</f>
        <v/>
      </c>
      <c r="F49" s="4094" t="n"/>
      <c r="G49" s="4094" t="n"/>
      <c r="H49" s="4094" t="n"/>
      <c r="I49" s="4094" t="n"/>
      <c r="J49" s="4094" t="n"/>
      <c r="K49" s="4094" t="n"/>
      <c r="L49" s="4094" t="n"/>
      <c r="M49" s="4094" t="n"/>
      <c r="N49" s="4094" t="n"/>
      <c r="O49" s="4094" t="n"/>
      <c r="P49" s="4094" t="n"/>
      <c r="Q49" s="4095" t="n"/>
      <c r="R49" s="4094" t="n"/>
      <c r="S49" s="4094" t="n"/>
      <c r="T49" s="4094" t="n"/>
      <c r="U49" s="4094" t="n"/>
      <c r="V49" s="4094" t="n"/>
      <c r="W49" s="4094" t="n"/>
      <c r="X49" s="4094" t="n"/>
      <c r="Y49" s="4094" t="n"/>
      <c r="Z49" s="4094" t="n"/>
      <c r="AA49" s="4094" t="n"/>
      <c r="AB49" s="4094" t="n"/>
      <c r="AC49" s="4095" t="n"/>
      <c r="AD49" s="4094" t="n"/>
      <c r="AE49" s="4094" t="n"/>
      <c r="AF49" s="4094" t="n"/>
      <c r="AG49" s="4094" t="n"/>
      <c r="AH49" s="4094" t="n"/>
      <c r="AI49" s="4094" t="n"/>
      <c r="AJ49" s="4094" t="n"/>
      <c r="AK49" s="4094" t="n"/>
      <c r="AL49" s="4094" t="n"/>
      <c r="AM49" s="4094" t="n"/>
      <c r="AN49" s="4094" t="n"/>
      <c r="AO49" s="4095" t="n"/>
      <c r="AP49" s="4094" t="n">
        <v>0.66454</v>
      </c>
      <c r="AQ49" s="4094" t="n">
        <v>0.6683</v>
      </c>
      <c r="AR49" s="4094" t="n">
        <v>0.67023</v>
      </c>
      <c r="AS49" s="4094" t="n">
        <v>22.85901</v>
      </c>
      <c r="AT49" s="4094" t="n">
        <v>5.67667</v>
      </c>
      <c r="AU49" s="4096" t="n">
        <v>2.1785</v>
      </c>
      <c r="AV49" s="4094">
        <f>SUM(F49:Q49)</f>
        <v/>
      </c>
      <c r="AW49" s="4094">
        <f>SUM(R49:AC49)</f>
        <v/>
      </c>
      <c r="AX49" s="4094">
        <f>SUM(AD49:AO49)</f>
        <v/>
      </c>
      <c r="AY49" s="4094">
        <f>SUM(AH49:AS49)</f>
        <v/>
      </c>
      <c r="AZ49" s="4094">
        <f>SUM(AJ49:AU49)</f>
        <v/>
      </c>
      <c r="BA49" s="3737" t="n"/>
      <c r="BB49" s="4097">
        <f>IFERROR(F49/F$117,0)</f>
        <v/>
      </c>
      <c r="BC49" s="4097">
        <f>IFERROR(G49/G$117,0)</f>
        <v/>
      </c>
      <c r="BD49" s="4097">
        <f>IFERROR(H49/H$117,0)</f>
        <v/>
      </c>
      <c r="BE49" s="4097">
        <f>IFERROR(I49/I$117,0)</f>
        <v/>
      </c>
      <c r="BF49" s="4097">
        <f>IFERROR(J49/J$117,0)</f>
        <v/>
      </c>
      <c r="BG49" s="4097">
        <f>IFERROR(K49/K$117,0)</f>
        <v/>
      </c>
      <c r="BH49" s="4097">
        <f>IFERROR(L49/L$117,0)</f>
        <v/>
      </c>
      <c r="BI49" s="4097">
        <f>IFERROR(M49/M$117,0)</f>
        <v/>
      </c>
      <c r="BJ49" s="4097">
        <f>IFERROR(N49/N$117,0)</f>
        <v/>
      </c>
      <c r="BK49" s="4097">
        <f>IFERROR(O49/O$117,0)</f>
        <v/>
      </c>
      <c r="BL49" s="4097">
        <f>IFERROR(P49/P$117,0)</f>
        <v/>
      </c>
      <c r="BM49" s="4098">
        <f>IFERROR(Q49/Q$117,0)</f>
        <v/>
      </c>
      <c r="BN49" s="4097">
        <f>IFERROR(R49/R$117,0)</f>
        <v/>
      </c>
      <c r="BO49" s="4097">
        <f>IFERROR(S49/S$117,0)</f>
        <v/>
      </c>
      <c r="BP49" s="4097">
        <f>IFERROR(T49/T$117,0)</f>
        <v/>
      </c>
      <c r="BQ49" s="4097">
        <f>IFERROR(U49/U$117,0)</f>
        <v/>
      </c>
      <c r="BR49" s="4097">
        <f>IFERROR(V49/V$117,0)</f>
        <v/>
      </c>
      <c r="BS49" s="4097">
        <f>IFERROR(W49/W$117,0)</f>
        <v/>
      </c>
      <c r="BT49" s="4097">
        <f>IFERROR(X49/X$117,0)</f>
        <v/>
      </c>
      <c r="BU49" s="4097">
        <f>IFERROR(Y49/Y$117,0)</f>
        <v/>
      </c>
      <c r="BV49" s="4097">
        <f>IFERROR(Z49/Z$117,0)</f>
        <v/>
      </c>
      <c r="BW49" s="4097">
        <f>IFERROR(AA49/AA$117,0)</f>
        <v/>
      </c>
      <c r="BX49" s="4097">
        <f>IFERROR(AB49/AB$117,0)</f>
        <v/>
      </c>
      <c r="BY49" s="4098">
        <f>IFERROR(AC49/AC$117,0)</f>
        <v/>
      </c>
      <c r="BZ49" s="4097">
        <f>IFERROR(AD49/AD$117,0)</f>
        <v/>
      </c>
      <c r="CA49" s="4097">
        <f>IFERROR(AE49/AE$117,0)</f>
        <v/>
      </c>
      <c r="CB49" s="4097">
        <f>IFERROR(AF49/AF$117,0)</f>
        <v/>
      </c>
      <c r="CC49" s="4097">
        <f>IFERROR(AG49/AG$117,0)</f>
        <v/>
      </c>
      <c r="CD49" s="4097">
        <f>IFERROR(AH49/AH$117,0)</f>
        <v/>
      </c>
      <c r="CE49" s="4097">
        <f>IFERROR(AI49/AI$117,0)</f>
        <v/>
      </c>
      <c r="CF49" s="4097">
        <f>IFERROR(AJ49/AJ$117,0)</f>
        <v/>
      </c>
      <c r="CG49" s="4097">
        <f>IFERROR(AK49/AK$117,0)</f>
        <v/>
      </c>
      <c r="CH49" s="4097">
        <f>IFERROR(AL49/AL$117,0)</f>
        <v/>
      </c>
      <c r="CI49" s="4097">
        <f>IFERROR(AM49/AM$117,0)</f>
        <v/>
      </c>
      <c r="CJ49" s="4097">
        <f>IFERROR(AN49/AN$117,0)</f>
        <v/>
      </c>
      <c r="CK49" s="4098">
        <f>IFERROR(AO49/AO$117,0)</f>
        <v/>
      </c>
      <c r="CL49" s="4097">
        <f>IFERROR(AP49/AP$117,0)</f>
        <v/>
      </c>
      <c r="CM49" s="4097">
        <f>IFERROR(AQ49/AQ$117,0)</f>
        <v/>
      </c>
      <c r="CN49" s="4097">
        <f>IFERROR(AR49/AR$117,0)</f>
        <v/>
      </c>
      <c r="CO49" s="4097">
        <f>IFERROR(AS49/AS$117,0)</f>
        <v/>
      </c>
      <c r="CP49" s="4097">
        <f>IFERROR(AT49/AT$117,0)</f>
        <v/>
      </c>
      <c r="CQ49" s="4099">
        <f>IFERROR(AU49/AU$117,0)</f>
        <v/>
      </c>
      <c r="CR49" s="4097">
        <f>IFERROR(AV49/AV$117,0)</f>
        <v/>
      </c>
      <c r="CS49" s="4097">
        <f>IFERROR(AW49/AW$117,0)</f>
        <v/>
      </c>
      <c r="CT49" s="4097">
        <f>IFERROR(AX49/AX$117,0)</f>
        <v/>
      </c>
      <c r="CU49" s="4097">
        <f>IFERROR(AY49/AY$117,0)</f>
        <v/>
      </c>
      <c r="CV49" s="4097">
        <f>IFERROR(AZ49/AZ$117,0)</f>
        <v/>
      </c>
      <c r="CW49" s="3737" t="n"/>
      <c r="CX49" s="4094" t="n">
        <v>83.43153</v>
      </c>
    </row>
    <row r="50" hidden="1" outlineLevel="2" ht="12" customFormat="1" customHeight="1" s="3737">
      <c r="A50" s="4059" t="n"/>
      <c r="B50" s="4060" t="n"/>
      <c r="C50" s="4109" t="inlineStr">
        <is>
          <t>Dma - membership fee</t>
        </is>
      </c>
      <c r="D50" s="4112" t="n">
        <v>483124</v>
      </c>
      <c r="E50" s="4093">
        <f>CONCATENATE(D50," - ",C50)</f>
        <v/>
      </c>
      <c r="F50" s="4094" t="n"/>
      <c r="G50" s="4094" t="n"/>
      <c r="H50" s="4094" t="n"/>
      <c r="I50" s="4094" t="n"/>
      <c r="J50" s="4094" t="n"/>
      <c r="K50" s="4094" t="n"/>
      <c r="L50" s="4094" t="n"/>
      <c r="M50" s="4094" t="n"/>
      <c r="N50" s="4094" t="n"/>
      <c r="O50" s="4094" t="n"/>
      <c r="P50" s="4094" t="n"/>
      <c r="Q50" s="4095" t="n"/>
      <c r="R50" s="4094" t="n"/>
      <c r="S50" s="4094" t="n"/>
      <c r="T50" s="4094" t="n"/>
      <c r="U50" s="4094" t="n"/>
      <c r="V50" s="4094" t="n"/>
      <c r="W50" s="4094" t="n"/>
      <c r="X50" s="4094" t="n"/>
      <c r="Y50" s="4094" t="n"/>
      <c r="Z50" s="4094" t="n"/>
      <c r="AA50" s="4094" t="n"/>
      <c r="AB50" s="4094" t="n"/>
      <c r="AC50" s="4095" t="n"/>
      <c r="AD50" s="4094" t="n"/>
      <c r="AE50" s="4094" t="n"/>
      <c r="AF50" s="4094" t="n"/>
      <c r="AG50" s="4094" t="n"/>
      <c r="AH50" s="4094" t="n"/>
      <c r="AI50" s="4094" t="n"/>
      <c r="AJ50" s="4094" t="n"/>
      <c r="AK50" s="4094" t="n"/>
      <c r="AL50" s="4094" t="n"/>
      <c r="AM50" s="4094" t="n"/>
      <c r="AN50" s="4094" t="n"/>
      <c r="AO50" s="4095" t="n"/>
      <c r="AP50" s="4094" t="n">
        <v>0</v>
      </c>
      <c r="AQ50" s="4094" t="n">
        <v>81.5</v>
      </c>
      <c r="AR50" s="4094" t="n">
        <v>12.54167</v>
      </c>
      <c r="AS50" s="4094" t="n">
        <v>0</v>
      </c>
      <c r="AT50" s="4094" t="n">
        <v>0</v>
      </c>
      <c r="AU50" s="4096" t="n">
        <v>0</v>
      </c>
      <c r="AV50" s="4094">
        <f>SUM(F50:Q50)</f>
        <v/>
      </c>
      <c r="AW50" s="4094">
        <f>SUM(R50:AC50)</f>
        <v/>
      </c>
      <c r="AX50" s="4094">
        <f>SUM(AD50:AO50)</f>
        <v/>
      </c>
      <c r="AY50" s="4094">
        <f>SUM(AH50:AS50)</f>
        <v/>
      </c>
      <c r="AZ50" s="4094">
        <f>SUM(AJ50:AU50)</f>
        <v/>
      </c>
      <c r="BA50" s="3737" t="n"/>
      <c r="BB50" s="4097">
        <f>IFERROR(F50/F$117,0)</f>
        <v/>
      </c>
      <c r="BC50" s="4097">
        <f>IFERROR(G50/G$117,0)</f>
        <v/>
      </c>
      <c r="BD50" s="4097">
        <f>IFERROR(H50/H$117,0)</f>
        <v/>
      </c>
      <c r="BE50" s="4097">
        <f>IFERROR(I50/I$117,0)</f>
        <v/>
      </c>
      <c r="BF50" s="4097">
        <f>IFERROR(J50/J$117,0)</f>
        <v/>
      </c>
      <c r="BG50" s="4097">
        <f>IFERROR(K50/K$117,0)</f>
        <v/>
      </c>
      <c r="BH50" s="4097">
        <f>IFERROR(L50/L$117,0)</f>
        <v/>
      </c>
      <c r="BI50" s="4097">
        <f>IFERROR(M50/M$117,0)</f>
        <v/>
      </c>
      <c r="BJ50" s="4097">
        <f>IFERROR(N50/N$117,0)</f>
        <v/>
      </c>
      <c r="BK50" s="4097">
        <f>IFERROR(O50/O$117,0)</f>
        <v/>
      </c>
      <c r="BL50" s="4097">
        <f>IFERROR(P50/P$117,0)</f>
        <v/>
      </c>
      <c r="BM50" s="4098">
        <f>IFERROR(Q50/Q$117,0)</f>
        <v/>
      </c>
      <c r="BN50" s="4097">
        <f>IFERROR(R50/R$117,0)</f>
        <v/>
      </c>
      <c r="BO50" s="4097">
        <f>IFERROR(S50/S$117,0)</f>
        <v/>
      </c>
      <c r="BP50" s="4097">
        <f>IFERROR(T50/T$117,0)</f>
        <v/>
      </c>
      <c r="BQ50" s="4097">
        <f>IFERROR(U50/U$117,0)</f>
        <v/>
      </c>
      <c r="BR50" s="4097">
        <f>IFERROR(V50/V$117,0)</f>
        <v/>
      </c>
      <c r="BS50" s="4097">
        <f>IFERROR(W50/W$117,0)</f>
        <v/>
      </c>
      <c r="BT50" s="4097">
        <f>IFERROR(X50/X$117,0)</f>
        <v/>
      </c>
      <c r="BU50" s="4097">
        <f>IFERROR(Y50/Y$117,0)</f>
        <v/>
      </c>
      <c r="BV50" s="4097">
        <f>IFERROR(Z50/Z$117,0)</f>
        <v/>
      </c>
      <c r="BW50" s="4097">
        <f>IFERROR(AA50/AA$117,0)</f>
        <v/>
      </c>
      <c r="BX50" s="4097">
        <f>IFERROR(AB50/AB$117,0)</f>
        <v/>
      </c>
      <c r="BY50" s="4098">
        <f>IFERROR(AC50/AC$117,0)</f>
        <v/>
      </c>
      <c r="BZ50" s="4097">
        <f>IFERROR(AD50/AD$117,0)</f>
        <v/>
      </c>
      <c r="CA50" s="4097">
        <f>IFERROR(AE50/AE$117,0)</f>
        <v/>
      </c>
      <c r="CB50" s="4097">
        <f>IFERROR(AF50/AF$117,0)</f>
        <v/>
      </c>
      <c r="CC50" s="4097">
        <f>IFERROR(AG50/AG$117,0)</f>
        <v/>
      </c>
      <c r="CD50" s="4097">
        <f>IFERROR(AH50/AH$117,0)</f>
        <v/>
      </c>
      <c r="CE50" s="4097">
        <f>IFERROR(AI50/AI$117,0)</f>
        <v/>
      </c>
      <c r="CF50" s="4097">
        <f>IFERROR(AJ50/AJ$117,0)</f>
        <v/>
      </c>
      <c r="CG50" s="4097">
        <f>IFERROR(AK50/AK$117,0)</f>
        <v/>
      </c>
      <c r="CH50" s="4097">
        <f>IFERROR(AL50/AL$117,0)</f>
        <v/>
      </c>
      <c r="CI50" s="4097">
        <f>IFERROR(AM50/AM$117,0)</f>
        <v/>
      </c>
      <c r="CJ50" s="4097">
        <f>IFERROR(AN50/AN$117,0)</f>
        <v/>
      </c>
      <c r="CK50" s="4098">
        <f>IFERROR(AO50/AO$117,0)</f>
        <v/>
      </c>
      <c r="CL50" s="4097">
        <f>IFERROR(AP50/AP$117,0)</f>
        <v/>
      </c>
      <c r="CM50" s="4097">
        <f>IFERROR(AQ50/AQ$117,0)</f>
        <v/>
      </c>
      <c r="CN50" s="4097">
        <f>IFERROR(AR50/AR$117,0)</f>
        <v/>
      </c>
      <c r="CO50" s="4097">
        <f>IFERROR(AS50/AS$117,0)</f>
        <v/>
      </c>
      <c r="CP50" s="4097">
        <f>IFERROR(AT50/AT$117,0)</f>
        <v/>
      </c>
      <c r="CQ50" s="4099">
        <f>IFERROR(AU50/AU$117,0)</f>
        <v/>
      </c>
      <c r="CR50" s="4097">
        <f>IFERROR(AV50/AV$117,0)</f>
        <v/>
      </c>
      <c r="CS50" s="4097">
        <f>IFERROR(AW50/AW$117,0)</f>
        <v/>
      </c>
      <c r="CT50" s="4097">
        <f>IFERROR(AX50/AX$117,0)</f>
        <v/>
      </c>
      <c r="CU50" s="4097">
        <f>IFERROR(AY50/AY$117,0)</f>
        <v/>
      </c>
      <c r="CV50" s="4097">
        <f>IFERROR(AZ50/AZ$117,0)</f>
        <v/>
      </c>
      <c r="CW50" s="3737" t="n"/>
      <c r="CX50" s="4094" t="n">
        <v>0</v>
      </c>
    </row>
    <row r="51" hidden="1" outlineLevel="2" ht="12" customFormat="1" customHeight="1" s="3737">
      <c r="A51" s="4059" t="n"/>
      <c r="B51" s="4060" t="n"/>
      <c r="C51" s="4109" t="inlineStr">
        <is>
          <t>Visa and plus int'l acquirer service fee (iasf)</t>
        </is>
      </c>
      <c r="D51" s="4112" t="n">
        <v>483101</v>
      </c>
      <c r="E51" s="4093">
        <f>CONCATENATE(D51," - ",C51)</f>
        <v/>
      </c>
      <c r="F51" s="4094" t="n"/>
      <c r="G51" s="4094" t="n"/>
      <c r="H51" s="4094" t="n"/>
      <c r="I51" s="4094" t="n"/>
      <c r="J51" s="4094" t="n"/>
      <c r="K51" s="4094" t="n"/>
      <c r="L51" s="4094" t="n"/>
      <c r="M51" s="4094" t="n"/>
      <c r="N51" s="4094" t="n"/>
      <c r="O51" s="4094" t="n"/>
      <c r="P51" s="4094" t="n"/>
      <c r="Q51" s="4095" t="n"/>
      <c r="R51" s="4094" t="n"/>
      <c r="S51" s="4094" t="n"/>
      <c r="T51" s="4094" t="n"/>
      <c r="U51" s="4094" t="n"/>
      <c r="V51" s="4094" t="n"/>
      <c r="W51" s="4094" t="n"/>
      <c r="X51" s="4094" t="n"/>
      <c r="Y51" s="4094" t="n"/>
      <c r="Z51" s="4094" t="n"/>
      <c r="AA51" s="4094" t="n"/>
      <c r="AB51" s="4094" t="n"/>
      <c r="AC51" s="4095" t="n"/>
      <c r="AD51" s="4094" t="n"/>
      <c r="AE51" s="4094" t="n"/>
      <c r="AF51" s="4094" t="n"/>
      <c r="AG51" s="4094" t="n"/>
      <c r="AH51" s="4094" t="n"/>
      <c r="AI51" s="4094" t="n"/>
      <c r="AJ51" s="4094" t="n"/>
      <c r="AK51" s="4094" t="n"/>
      <c r="AL51" s="4094" t="n"/>
      <c r="AM51" s="4094" t="n"/>
      <c r="AN51" s="4094" t="n"/>
      <c r="AO51" s="4095" t="n"/>
      <c r="AP51" s="4094" t="n">
        <v>7.46313</v>
      </c>
      <c r="AQ51" s="4094" t="n">
        <v>6.08711</v>
      </c>
      <c r="AR51" s="4094" t="n">
        <v>6.07263</v>
      </c>
      <c r="AS51" s="4094" t="n">
        <v>6.90997</v>
      </c>
      <c r="AT51" s="4094" t="n">
        <v>7.95495</v>
      </c>
      <c r="AU51" s="4096" t="n">
        <v>8.031779999999999</v>
      </c>
      <c r="AV51" s="4094">
        <f>SUM(F51:Q51)</f>
        <v/>
      </c>
      <c r="AW51" s="4094">
        <f>SUM(R51:AC51)</f>
        <v/>
      </c>
      <c r="AX51" s="4094">
        <f>SUM(AD51:AO51)</f>
        <v/>
      </c>
      <c r="AY51" s="4094">
        <f>SUM(AH51:AS51)</f>
        <v/>
      </c>
      <c r="AZ51" s="4094">
        <f>SUM(AJ51:AU51)</f>
        <v/>
      </c>
      <c r="BA51" s="3737" t="n"/>
      <c r="BB51" s="4097">
        <f>IFERROR(F51/F$117,0)</f>
        <v/>
      </c>
      <c r="BC51" s="4097">
        <f>IFERROR(G51/G$117,0)</f>
        <v/>
      </c>
      <c r="BD51" s="4097">
        <f>IFERROR(H51/H$117,0)</f>
        <v/>
      </c>
      <c r="BE51" s="4097">
        <f>IFERROR(I51/I$117,0)</f>
        <v/>
      </c>
      <c r="BF51" s="4097">
        <f>IFERROR(J51/J$117,0)</f>
        <v/>
      </c>
      <c r="BG51" s="4097">
        <f>IFERROR(K51/K$117,0)</f>
        <v/>
      </c>
      <c r="BH51" s="4097">
        <f>IFERROR(L51/L$117,0)</f>
        <v/>
      </c>
      <c r="BI51" s="4097">
        <f>IFERROR(M51/M$117,0)</f>
        <v/>
      </c>
      <c r="BJ51" s="4097">
        <f>IFERROR(N51/N$117,0)</f>
        <v/>
      </c>
      <c r="BK51" s="4097">
        <f>IFERROR(O51/O$117,0)</f>
        <v/>
      </c>
      <c r="BL51" s="4097">
        <f>IFERROR(P51/P$117,0)</f>
        <v/>
      </c>
      <c r="BM51" s="4098">
        <f>IFERROR(Q51/Q$117,0)</f>
        <v/>
      </c>
      <c r="BN51" s="4097">
        <f>IFERROR(R51/R$117,0)</f>
        <v/>
      </c>
      <c r="BO51" s="4097">
        <f>IFERROR(S51/S$117,0)</f>
        <v/>
      </c>
      <c r="BP51" s="4097">
        <f>IFERROR(T51/T$117,0)</f>
        <v/>
      </c>
      <c r="BQ51" s="4097">
        <f>IFERROR(U51/U$117,0)</f>
        <v/>
      </c>
      <c r="BR51" s="4097">
        <f>IFERROR(V51/V$117,0)</f>
        <v/>
      </c>
      <c r="BS51" s="4097">
        <f>IFERROR(W51/W$117,0)</f>
        <v/>
      </c>
      <c r="BT51" s="4097">
        <f>IFERROR(X51/X$117,0)</f>
        <v/>
      </c>
      <c r="BU51" s="4097">
        <f>IFERROR(Y51/Y$117,0)</f>
        <v/>
      </c>
      <c r="BV51" s="4097">
        <f>IFERROR(Z51/Z$117,0)</f>
        <v/>
      </c>
      <c r="BW51" s="4097">
        <f>IFERROR(AA51/AA$117,0)</f>
        <v/>
      </c>
      <c r="BX51" s="4097">
        <f>IFERROR(AB51/AB$117,0)</f>
        <v/>
      </c>
      <c r="BY51" s="4098">
        <f>IFERROR(AC51/AC$117,0)</f>
        <v/>
      </c>
      <c r="BZ51" s="4097">
        <f>IFERROR(AD51/AD$117,0)</f>
        <v/>
      </c>
      <c r="CA51" s="4097">
        <f>IFERROR(AE51/AE$117,0)</f>
        <v/>
      </c>
      <c r="CB51" s="4097">
        <f>IFERROR(AF51/AF$117,0)</f>
        <v/>
      </c>
      <c r="CC51" s="4097">
        <f>IFERROR(AG51/AG$117,0)</f>
        <v/>
      </c>
      <c r="CD51" s="4097">
        <f>IFERROR(AH51/AH$117,0)</f>
        <v/>
      </c>
      <c r="CE51" s="4097">
        <f>IFERROR(AI51/AI$117,0)</f>
        <v/>
      </c>
      <c r="CF51" s="4097">
        <f>IFERROR(AJ51/AJ$117,0)</f>
        <v/>
      </c>
      <c r="CG51" s="4097">
        <f>IFERROR(AK51/AK$117,0)</f>
        <v/>
      </c>
      <c r="CH51" s="4097">
        <f>IFERROR(AL51/AL$117,0)</f>
        <v/>
      </c>
      <c r="CI51" s="4097">
        <f>IFERROR(AM51/AM$117,0)</f>
        <v/>
      </c>
      <c r="CJ51" s="4097">
        <f>IFERROR(AN51/AN$117,0)</f>
        <v/>
      </c>
      <c r="CK51" s="4098">
        <f>IFERROR(AO51/AO$117,0)</f>
        <v/>
      </c>
      <c r="CL51" s="4097">
        <f>IFERROR(AP51/AP$117,0)</f>
        <v/>
      </c>
      <c r="CM51" s="4097">
        <f>IFERROR(AQ51/AQ$117,0)</f>
        <v/>
      </c>
      <c r="CN51" s="4097">
        <f>IFERROR(AR51/AR$117,0)</f>
        <v/>
      </c>
      <c r="CO51" s="4097">
        <f>IFERROR(AS51/AS$117,0)</f>
        <v/>
      </c>
      <c r="CP51" s="4097">
        <f>IFERROR(AT51/AT$117,0)</f>
        <v/>
      </c>
      <c r="CQ51" s="4099">
        <f>IFERROR(AU51/AU$117,0)</f>
        <v/>
      </c>
      <c r="CR51" s="4097">
        <f>IFERROR(AV51/AV$117,0)</f>
        <v/>
      </c>
      <c r="CS51" s="4097">
        <f>IFERROR(AW51/AW$117,0)</f>
        <v/>
      </c>
      <c r="CT51" s="4097">
        <f>IFERROR(AX51/AX$117,0)</f>
        <v/>
      </c>
      <c r="CU51" s="4097">
        <f>IFERROR(AY51/AY$117,0)</f>
        <v/>
      </c>
      <c r="CV51" s="4097">
        <f>IFERROR(AZ51/AZ$117,0)</f>
        <v/>
      </c>
      <c r="CW51" s="3737" t="n"/>
      <c r="CX51" s="4094" t="n">
        <v>41.47343</v>
      </c>
    </row>
    <row r="52" hidden="1" outlineLevel="2" ht="12" customFormat="1" customHeight="1" s="3737">
      <c r="A52" s="4059" t="n"/>
      <c r="B52" s="4060" t="n"/>
      <c r="C52" s="4109" t="inlineStr">
        <is>
          <t>Dma - fixed fee pass through</t>
        </is>
      </c>
      <c r="D52" s="4112" t="n">
        <v>483126</v>
      </c>
      <c r="E52" s="4093">
        <f>CONCATENATE(D52," - ",C52)</f>
        <v/>
      </c>
      <c r="F52" s="4094" t="n"/>
      <c r="G52" s="4094" t="n"/>
      <c r="H52" s="4094" t="n"/>
      <c r="I52" s="4094" t="n"/>
      <c r="J52" s="4094" t="n"/>
      <c r="K52" s="4094" t="n"/>
      <c r="L52" s="4094" t="n"/>
      <c r="M52" s="4094" t="n"/>
      <c r="N52" s="4094" t="n"/>
      <c r="O52" s="4094" t="n"/>
      <c r="P52" s="4094" t="n"/>
      <c r="Q52" s="4095" t="n"/>
      <c r="R52" s="4094" t="n"/>
      <c r="S52" s="4094" t="n"/>
      <c r="T52" s="4094" t="n"/>
      <c r="U52" s="4094" t="n"/>
      <c r="V52" s="4094" t="n"/>
      <c r="W52" s="4094" t="n"/>
      <c r="X52" s="4094" t="n"/>
      <c r="Y52" s="4094" t="n"/>
      <c r="Z52" s="4094" t="n"/>
      <c r="AA52" s="4094" t="n"/>
      <c r="AB52" s="4094" t="n"/>
      <c r="AC52" s="4095" t="n"/>
      <c r="AD52" s="4094" t="n"/>
      <c r="AE52" s="4094" t="n"/>
      <c r="AF52" s="4094" t="n"/>
      <c r="AG52" s="4094" t="n"/>
      <c r="AH52" s="4094" t="n"/>
      <c r="AI52" s="4094" t="n"/>
      <c r="AJ52" s="4094" t="n"/>
      <c r="AK52" s="4094" t="n"/>
      <c r="AL52" s="4094" t="n"/>
      <c r="AM52" s="4094" t="n"/>
      <c r="AN52" s="4094" t="n"/>
      <c r="AO52" s="4095" t="n"/>
      <c r="AP52" s="4094" t="n">
        <v>5.76565</v>
      </c>
      <c r="AQ52" s="4094" t="n">
        <v>7.02817</v>
      </c>
      <c r="AR52" s="4094" t="n">
        <v>5.72417</v>
      </c>
      <c r="AS52" s="4094" t="n">
        <v>5.08809</v>
      </c>
      <c r="AT52" s="4094" t="n">
        <v>6.73369</v>
      </c>
      <c r="AU52" s="4096" t="n">
        <v>21.47039</v>
      </c>
      <c r="AV52" s="4094">
        <f>SUM(F52:Q52)</f>
        <v/>
      </c>
      <c r="AW52" s="4094">
        <f>SUM(R52:AC52)</f>
        <v/>
      </c>
      <c r="AX52" s="4094">
        <f>SUM(AD52:AO52)</f>
        <v/>
      </c>
      <c r="AY52" s="4094">
        <f>SUM(AH52:AS52)</f>
        <v/>
      </c>
      <c r="AZ52" s="4094">
        <f>SUM(AJ52:AU52)</f>
        <v/>
      </c>
      <c r="BA52" s="3737" t="n"/>
      <c r="BB52" s="4097">
        <f>IFERROR(F52/F$117,0)</f>
        <v/>
      </c>
      <c r="BC52" s="4097">
        <f>IFERROR(G52/G$117,0)</f>
        <v/>
      </c>
      <c r="BD52" s="4097">
        <f>IFERROR(H52/H$117,0)</f>
        <v/>
      </c>
      <c r="BE52" s="4097">
        <f>IFERROR(I52/I$117,0)</f>
        <v/>
      </c>
      <c r="BF52" s="4097">
        <f>IFERROR(J52/J$117,0)</f>
        <v/>
      </c>
      <c r="BG52" s="4097">
        <f>IFERROR(K52/K$117,0)</f>
        <v/>
      </c>
      <c r="BH52" s="4097">
        <f>IFERROR(L52/L$117,0)</f>
        <v/>
      </c>
      <c r="BI52" s="4097">
        <f>IFERROR(M52/M$117,0)</f>
        <v/>
      </c>
      <c r="BJ52" s="4097">
        <f>IFERROR(N52/N$117,0)</f>
        <v/>
      </c>
      <c r="BK52" s="4097">
        <f>IFERROR(O52/O$117,0)</f>
        <v/>
      </c>
      <c r="BL52" s="4097">
        <f>IFERROR(P52/P$117,0)</f>
        <v/>
      </c>
      <c r="BM52" s="4098">
        <f>IFERROR(Q52/Q$117,0)</f>
        <v/>
      </c>
      <c r="BN52" s="4097">
        <f>IFERROR(R52/R$117,0)</f>
        <v/>
      </c>
      <c r="BO52" s="4097">
        <f>IFERROR(S52/S$117,0)</f>
        <v/>
      </c>
      <c r="BP52" s="4097">
        <f>IFERROR(T52/T$117,0)</f>
        <v/>
      </c>
      <c r="BQ52" s="4097">
        <f>IFERROR(U52/U$117,0)</f>
        <v/>
      </c>
      <c r="BR52" s="4097">
        <f>IFERROR(V52/V$117,0)</f>
        <v/>
      </c>
      <c r="BS52" s="4097">
        <f>IFERROR(W52/W$117,0)</f>
        <v/>
      </c>
      <c r="BT52" s="4097">
        <f>IFERROR(X52/X$117,0)</f>
        <v/>
      </c>
      <c r="BU52" s="4097">
        <f>IFERROR(Y52/Y$117,0)</f>
        <v/>
      </c>
      <c r="BV52" s="4097">
        <f>IFERROR(Z52/Z$117,0)</f>
        <v/>
      </c>
      <c r="BW52" s="4097">
        <f>IFERROR(AA52/AA$117,0)</f>
        <v/>
      </c>
      <c r="BX52" s="4097">
        <f>IFERROR(AB52/AB$117,0)</f>
        <v/>
      </c>
      <c r="BY52" s="4098">
        <f>IFERROR(AC52/AC$117,0)</f>
        <v/>
      </c>
      <c r="BZ52" s="4097">
        <f>IFERROR(AD52/AD$117,0)</f>
        <v/>
      </c>
      <c r="CA52" s="4097">
        <f>IFERROR(AE52/AE$117,0)</f>
        <v/>
      </c>
      <c r="CB52" s="4097">
        <f>IFERROR(AF52/AF$117,0)</f>
        <v/>
      </c>
      <c r="CC52" s="4097">
        <f>IFERROR(AG52/AG$117,0)</f>
        <v/>
      </c>
      <c r="CD52" s="4097">
        <f>IFERROR(AH52/AH$117,0)</f>
        <v/>
      </c>
      <c r="CE52" s="4097">
        <f>IFERROR(AI52/AI$117,0)</f>
        <v/>
      </c>
      <c r="CF52" s="4097">
        <f>IFERROR(AJ52/AJ$117,0)</f>
        <v/>
      </c>
      <c r="CG52" s="4097">
        <f>IFERROR(AK52/AK$117,0)</f>
        <v/>
      </c>
      <c r="CH52" s="4097">
        <f>IFERROR(AL52/AL$117,0)</f>
        <v/>
      </c>
      <c r="CI52" s="4097">
        <f>IFERROR(AM52/AM$117,0)</f>
        <v/>
      </c>
      <c r="CJ52" s="4097">
        <f>IFERROR(AN52/AN$117,0)</f>
        <v/>
      </c>
      <c r="CK52" s="4098">
        <f>IFERROR(AO52/AO$117,0)</f>
        <v/>
      </c>
      <c r="CL52" s="4097">
        <f>IFERROR(AP52/AP$117,0)</f>
        <v/>
      </c>
      <c r="CM52" s="4097">
        <f>IFERROR(AQ52/AQ$117,0)</f>
        <v/>
      </c>
      <c r="CN52" s="4097">
        <f>IFERROR(AR52/AR$117,0)</f>
        <v/>
      </c>
      <c r="CO52" s="4097">
        <f>IFERROR(AS52/AS$117,0)</f>
        <v/>
      </c>
      <c r="CP52" s="4097">
        <f>IFERROR(AT52/AT$117,0)</f>
        <v/>
      </c>
      <c r="CQ52" s="4099">
        <f>IFERROR(AU52/AU$117,0)</f>
        <v/>
      </c>
      <c r="CR52" s="4097">
        <f>IFERROR(AV52/AV$117,0)</f>
        <v/>
      </c>
      <c r="CS52" s="4097">
        <f>IFERROR(AW52/AW$117,0)</f>
        <v/>
      </c>
      <c r="CT52" s="4097">
        <f>IFERROR(AX52/AX$117,0)</f>
        <v/>
      </c>
      <c r="CU52" s="4097">
        <f>IFERROR(AY52/AY$117,0)</f>
        <v/>
      </c>
      <c r="CV52" s="4097">
        <f>IFERROR(AZ52/AZ$117,0)</f>
        <v/>
      </c>
      <c r="CW52" s="3737" t="n"/>
      <c r="CX52" s="4094" t="n">
        <v>0</v>
      </c>
    </row>
    <row r="53" hidden="1" outlineLevel="2" ht="12" customFormat="1" customHeight="1" s="3737">
      <c r="A53" s="4059" t="n"/>
      <c r="B53" s="4060" t="n"/>
      <c r="C53" s="4109" t="inlineStr">
        <is>
          <t>Reimbursed exp - exchange network interchg&amp;switch</t>
        </is>
      </c>
      <c r="D53" s="4112" t="n">
        <v>483110</v>
      </c>
      <c r="E53" s="4093">
        <f>CONCATENATE(D53," - ",C53)</f>
        <v/>
      </c>
      <c r="F53" s="4094" t="n"/>
      <c r="G53" s="4094" t="n"/>
      <c r="H53" s="4094" t="n"/>
      <c r="I53" s="4094" t="n"/>
      <c r="J53" s="4094" t="n"/>
      <c r="K53" s="4094" t="n"/>
      <c r="L53" s="4094" t="n"/>
      <c r="M53" s="4094" t="n"/>
      <c r="N53" s="4094" t="n"/>
      <c r="O53" s="4094" t="n"/>
      <c r="P53" s="4094" t="n"/>
      <c r="Q53" s="4095" t="n"/>
      <c r="R53" s="4094" t="n"/>
      <c r="S53" s="4094" t="n"/>
      <c r="T53" s="4094" t="n"/>
      <c r="U53" s="4094" t="n"/>
      <c r="V53" s="4094" t="n"/>
      <c r="W53" s="4094" t="n"/>
      <c r="X53" s="4094" t="n"/>
      <c r="Y53" s="4094" t="n"/>
      <c r="Z53" s="4094" t="n"/>
      <c r="AA53" s="4094" t="n"/>
      <c r="AB53" s="4094" t="n"/>
      <c r="AC53" s="4095" t="n"/>
      <c r="AD53" s="4094" t="n"/>
      <c r="AE53" s="4094" t="n"/>
      <c r="AF53" s="4094" t="n"/>
      <c r="AG53" s="4094" t="n"/>
      <c r="AH53" s="4094" t="n"/>
      <c r="AI53" s="4094" t="n"/>
      <c r="AJ53" s="4094" t="n"/>
      <c r="AK53" s="4094" t="n"/>
      <c r="AL53" s="4094" t="n"/>
      <c r="AM53" s="4094" t="n"/>
      <c r="AN53" s="4094" t="n"/>
      <c r="AO53" s="4095" t="n"/>
      <c r="AP53" s="4094" t="n">
        <v>4.23378</v>
      </c>
      <c r="AQ53" s="4094" t="n">
        <v>5.14593</v>
      </c>
      <c r="AR53" s="4094" t="n">
        <v>5.96875</v>
      </c>
      <c r="AS53" s="4094" t="n">
        <v>4.48527</v>
      </c>
      <c r="AT53" s="4094" t="n">
        <v>3.71984</v>
      </c>
      <c r="AU53" s="4096" t="n">
        <v>3.18583</v>
      </c>
      <c r="AV53" s="4094">
        <f>SUM(F53:Q53)</f>
        <v/>
      </c>
      <c r="AW53" s="4094">
        <f>SUM(R53:AC53)</f>
        <v/>
      </c>
      <c r="AX53" s="4094">
        <f>SUM(AD53:AO53)</f>
        <v/>
      </c>
      <c r="AY53" s="4094">
        <f>SUM(AH53:AS53)</f>
        <v/>
      </c>
      <c r="AZ53" s="4094">
        <f>SUM(AJ53:AU53)</f>
        <v/>
      </c>
      <c r="BA53" s="3737" t="n"/>
      <c r="BB53" s="4097">
        <f>IFERROR(F53/F$117,0)</f>
        <v/>
      </c>
      <c r="BC53" s="4097">
        <f>IFERROR(G53/G$117,0)</f>
        <v/>
      </c>
      <c r="BD53" s="4097">
        <f>IFERROR(H53/H$117,0)</f>
        <v/>
      </c>
      <c r="BE53" s="4097">
        <f>IFERROR(I53/I$117,0)</f>
        <v/>
      </c>
      <c r="BF53" s="4097">
        <f>IFERROR(J53/J$117,0)</f>
        <v/>
      </c>
      <c r="BG53" s="4097">
        <f>IFERROR(K53/K$117,0)</f>
        <v/>
      </c>
      <c r="BH53" s="4097">
        <f>IFERROR(L53/L$117,0)</f>
        <v/>
      </c>
      <c r="BI53" s="4097">
        <f>IFERROR(M53/M$117,0)</f>
        <v/>
      </c>
      <c r="BJ53" s="4097">
        <f>IFERROR(N53/N$117,0)</f>
        <v/>
      </c>
      <c r="BK53" s="4097">
        <f>IFERROR(O53/O$117,0)</f>
        <v/>
      </c>
      <c r="BL53" s="4097">
        <f>IFERROR(P53/P$117,0)</f>
        <v/>
      </c>
      <c r="BM53" s="4098">
        <f>IFERROR(Q53/Q$117,0)</f>
        <v/>
      </c>
      <c r="BN53" s="4097">
        <f>IFERROR(R53/R$117,0)</f>
        <v/>
      </c>
      <c r="BO53" s="4097">
        <f>IFERROR(S53/S$117,0)</f>
        <v/>
      </c>
      <c r="BP53" s="4097">
        <f>IFERROR(T53/T$117,0)</f>
        <v/>
      </c>
      <c r="BQ53" s="4097">
        <f>IFERROR(U53/U$117,0)</f>
        <v/>
      </c>
      <c r="BR53" s="4097">
        <f>IFERROR(V53/V$117,0)</f>
        <v/>
      </c>
      <c r="BS53" s="4097">
        <f>IFERROR(W53/W$117,0)</f>
        <v/>
      </c>
      <c r="BT53" s="4097">
        <f>IFERROR(X53/X$117,0)</f>
        <v/>
      </c>
      <c r="BU53" s="4097">
        <f>IFERROR(Y53/Y$117,0)</f>
        <v/>
      </c>
      <c r="BV53" s="4097">
        <f>IFERROR(Z53/Z$117,0)</f>
        <v/>
      </c>
      <c r="BW53" s="4097">
        <f>IFERROR(AA53/AA$117,0)</f>
        <v/>
      </c>
      <c r="BX53" s="4097">
        <f>IFERROR(AB53/AB$117,0)</f>
        <v/>
      </c>
      <c r="BY53" s="4098">
        <f>IFERROR(AC53/AC$117,0)</f>
        <v/>
      </c>
      <c r="BZ53" s="4097">
        <f>IFERROR(AD53/AD$117,0)</f>
        <v/>
      </c>
      <c r="CA53" s="4097">
        <f>IFERROR(AE53/AE$117,0)</f>
        <v/>
      </c>
      <c r="CB53" s="4097">
        <f>IFERROR(AF53/AF$117,0)</f>
        <v/>
      </c>
      <c r="CC53" s="4097">
        <f>IFERROR(AG53/AG$117,0)</f>
        <v/>
      </c>
      <c r="CD53" s="4097">
        <f>IFERROR(AH53/AH$117,0)</f>
        <v/>
      </c>
      <c r="CE53" s="4097">
        <f>IFERROR(AI53/AI$117,0)</f>
        <v/>
      </c>
      <c r="CF53" s="4097">
        <f>IFERROR(AJ53/AJ$117,0)</f>
        <v/>
      </c>
      <c r="CG53" s="4097">
        <f>IFERROR(AK53/AK$117,0)</f>
        <v/>
      </c>
      <c r="CH53" s="4097">
        <f>IFERROR(AL53/AL$117,0)</f>
        <v/>
      </c>
      <c r="CI53" s="4097">
        <f>IFERROR(AM53/AM$117,0)</f>
        <v/>
      </c>
      <c r="CJ53" s="4097">
        <f>IFERROR(AN53/AN$117,0)</f>
        <v/>
      </c>
      <c r="CK53" s="4098">
        <f>IFERROR(AO53/AO$117,0)</f>
        <v/>
      </c>
      <c r="CL53" s="4097">
        <f>IFERROR(AP53/AP$117,0)</f>
        <v/>
      </c>
      <c r="CM53" s="4097">
        <f>IFERROR(AQ53/AQ$117,0)</f>
        <v/>
      </c>
      <c r="CN53" s="4097">
        <f>IFERROR(AR53/AR$117,0)</f>
        <v/>
      </c>
      <c r="CO53" s="4097">
        <f>IFERROR(AS53/AS$117,0)</f>
        <v/>
      </c>
      <c r="CP53" s="4097">
        <f>IFERROR(AT53/AT$117,0)</f>
        <v/>
      </c>
      <c r="CQ53" s="4099">
        <f>IFERROR(AU53/AU$117,0)</f>
        <v/>
      </c>
      <c r="CR53" s="4097">
        <f>IFERROR(AV53/AV$117,0)</f>
        <v/>
      </c>
      <c r="CS53" s="4097">
        <f>IFERROR(AW53/AW$117,0)</f>
        <v/>
      </c>
      <c r="CT53" s="4097">
        <f>IFERROR(AX53/AX$117,0)</f>
        <v/>
      </c>
      <c r="CU53" s="4097">
        <f>IFERROR(AY53/AY$117,0)</f>
        <v/>
      </c>
      <c r="CV53" s="4097">
        <f>IFERROR(AZ53/AZ$117,0)</f>
        <v/>
      </c>
      <c r="CW53" s="3737" t="n"/>
      <c r="CX53" s="4094" t="n">
        <v>27.91247</v>
      </c>
    </row>
    <row r="54" hidden="1" outlineLevel="2" ht="12" customFormat="1" customHeight="1" s="3737">
      <c r="A54" s="4059" t="n"/>
      <c r="B54" s="4060" t="n"/>
      <c r="C54" s="4109" t="inlineStr">
        <is>
          <t>Vda - admin fees</t>
        </is>
      </c>
      <c r="D54" s="4112" t="n">
        <v>483134</v>
      </c>
      <c r="E54" s="4093">
        <f>CONCATENATE(D54," - ",C54)</f>
        <v/>
      </c>
      <c r="F54" s="4094" t="n"/>
      <c r="G54" s="4094" t="n"/>
      <c r="H54" s="4094" t="n"/>
      <c r="I54" s="4094" t="n"/>
      <c r="J54" s="4094" t="n"/>
      <c r="K54" s="4094" t="n"/>
      <c r="L54" s="4094" t="n"/>
      <c r="M54" s="4094" t="n"/>
      <c r="N54" s="4094" t="n"/>
      <c r="O54" s="4094" t="n"/>
      <c r="P54" s="4094" t="n"/>
      <c r="Q54" s="4095" t="n"/>
      <c r="R54" s="4094" t="n"/>
      <c r="S54" s="4094" t="n"/>
      <c r="T54" s="4094" t="n"/>
      <c r="U54" s="4094" t="n"/>
      <c r="V54" s="4094" t="n"/>
      <c r="W54" s="4094" t="n"/>
      <c r="X54" s="4094" t="n"/>
      <c r="Y54" s="4094" t="n"/>
      <c r="Z54" s="4094" t="n"/>
      <c r="AA54" s="4094" t="n"/>
      <c r="AB54" s="4094" t="n"/>
      <c r="AC54" s="4095" t="n"/>
      <c r="AD54" s="4094" t="n"/>
      <c r="AE54" s="4094" t="n"/>
      <c r="AF54" s="4094" t="n"/>
      <c r="AG54" s="4094" t="n"/>
      <c r="AH54" s="4094" t="n"/>
      <c r="AI54" s="4094" t="n"/>
      <c r="AJ54" s="4094" t="n"/>
      <c r="AK54" s="4094" t="n"/>
      <c r="AL54" s="4094" t="n"/>
      <c r="AM54" s="4094" t="n"/>
      <c r="AN54" s="4094" t="n"/>
      <c r="AO54" s="4095" t="n"/>
      <c r="AP54" s="4094" t="n">
        <v>4.26672</v>
      </c>
      <c r="AQ54" s="4094" t="n">
        <v>5.4861</v>
      </c>
      <c r="AR54" s="4094" t="n">
        <v>4.54127</v>
      </c>
      <c r="AS54" s="4094" t="n">
        <v>4.57008</v>
      </c>
      <c r="AT54" s="4094" t="n">
        <v>4.91848</v>
      </c>
      <c r="AU54" s="4096" t="n">
        <v>4.56245</v>
      </c>
      <c r="AV54" s="4094">
        <f>SUM(F54:Q54)</f>
        <v/>
      </c>
      <c r="AW54" s="4094">
        <f>SUM(R54:AC54)</f>
        <v/>
      </c>
      <c r="AX54" s="4094">
        <f>SUM(AD54:AO54)</f>
        <v/>
      </c>
      <c r="AY54" s="4094">
        <f>SUM(AH54:AS54)</f>
        <v/>
      </c>
      <c r="AZ54" s="4094">
        <f>SUM(AJ54:AU54)</f>
        <v/>
      </c>
      <c r="BA54" s="3737" t="n"/>
      <c r="BB54" s="4097">
        <f>IFERROR(F54/F$117,0)</f>
        <v/>
      </c>
      <c r="BC54" s="4097">
        <f>IFERROR(G54/G$117,0)</f>
        <v/>
      </c>
      <c r="BD54" s="4097">
        <f>IFERROR(H54/H$117,0)</f>
        <v/>
      </c>
      <c r="BE54" s="4097">
        <f>IFERROR(I54/I$117,0)</f>
        <v/>
      </c>
      <c r="BF54" s="4097">
        <f>IFERROR(J54/J$117,0)</f>
        <v/>
      </c>
      <c r="BG54" s="4097">
        <f>IFERROR(K54/K$117,0)</f>
        <v/>
      </c>
      <c r="BH54" s="4097">
        <f>IFERROR(L54/L$117,0)</f>
        <v/>
      </c>
      <c r="BI54" s="4097">
        <f>IFERROR(M54/M$117,0)</f>
        <v/>
      </c>
      <c r="BJ54" s="4097">
        <f>IFERROR(N54/N$117,0)</f>
        <v/>
      </c>
      <c r="BK54" s="4097">
        <f>IFERROR(O54/O$117,0)</f>
        <v/>
      </c>
      <c r="BL54" s="4097">
        <f>IFERROR(P54/P$117,0)</f>
        <v/>
      </c>
      <c r="BM54" s="4098">
        <f>IFERROR(Q54/Q$117,0)</f>
        <v/>
      </c>
      <c r="BN54" s="4097">
        <f>IFERROR(R54/R$117,0)</f>
        <v/>
      </c>
      <c r="BO54" s="4097">
        <f>IFERROR(S54/S$117,0)</f>
        <v/>
      </c>
      <c r="BP54" s="4097">
        <f>IFERROR(T54/T$117,0)</f>
        <v/>
      </c>
      <c r="BQ54" s="4097">
        <f>IFERROR(U54/U$117,0)</f>
        <v/>
      </c>
      <c r="BR54" s="4097">
        <f>IFERROR(V54/V$117,0)</f>
        <v/>
      </c>
      <c r="BS54" s="4097">
        <f>IFERROR(W54/W$117,0)</f>
        <v/>
      </c>
      <c r="BT54" s="4097">
        <f>IFERROR(X54/X$117,0)</f>
        <v/>
      </c>
      <c r="BU54" s="4097">
        <f>IFERROR(Y54/Y$117,0)</f>
        <v/>
      </c>
      <c r="BV54" s="4097">
        <f>IFERROR(Z54/Z$117,0)</f>
        <v/>
      </c>
      <c r="BW54" s="4097">
        <f>IFERROR(AA54/AA$117,0)</f>
        <v/>
      </c>
      <c r="BX54" s="4097">
        <f>IFERROR(AB54/AB$117,0)</f>
        <v/>
      </c>
      <c r="BY54" s="4098">
        <f>IFERROR(AC54/AC$117,0)</f>
        <v/>
      </c>
      <c r="BZ54" s="4097">
        <f>IFERROR(AD54/AD$117,0)</f>
        <v/>
      </c>
      <c r="CA54" s="4097">
        <f>IFERROR(AE54/AE$117,0)</f>
        <v/>
      </c>
      <c r="CB54" s="4097">
        <f>IFERROR(AF54/AF$117,0)</f>
        <v/>
      </c>
      <c r="CC54" s="4097">
        <f>IFERROR(AG54/AG$117,0)</f>
        <v/>
      </c>
      <c r="CD54" s="4097">
        <f>IFERROR(AH54/AH$117,0)</f>
        <v/>
      </c>
      <c r="CE54" s="4097">
        <f>IFERROR(AI54/AI$117,0)</f>
        <v/>
      </c>
      <c r="CF54" s="4097">
        <f>IFERROR(AJ54/AJ$117,0)</f>
        <v/>
      </c>
      <c r="CG54" s="4097">
        <f>IFERROR(AK54/AK$117,0)</f>
        <v/>
      </c>
      <c r="CH54" s="4097">
        <f>IFERROR(AL54/AL$117,0)</f>
        <v/>
      </c>
      <c r="CI54" s="4097">
        <f>IFERROR(AM54/AM$117,0)</f>
        <v/>
      </c>
      <c r="CJ54" s="4097">
        <f>IFERROR(AN54/AN$117,0)</f>
        <v/>
      </c>
      <c r="CK54" s="4098">
        <f>IFERROR(AO54/AO$117,0)</f>
        <v/>
      </c>
      <c r="CL54" s="4097">
        <f>IFERROR(AP54/AP$117,0)</f>
        <v/>
      </c>
      <c r="CM54" s="4097">
        <f>IFERROR(AQ54/AQ$117,0)</f>
        <v/>
      </c>
      <c r="CN54" s="4097">
        <f>IFERROR(AR54/AR$117,0)</f>
        <v/>
      </c>
      <c r="CO54" s="4097">
        <f>IFERROR(AS54/AS$117,0)</f>
        <v/>
      </c>
      <c r="CP54" s="4097">
        <f>IFERROR(AT54/AT$117,0)</f>
        <v/>
      </c>
      <c r="CQ54" s="4099">
        <f>IFERROR(AU54/AU$117,0)</f>
        <v/>
      </c>
      <c r="CR54" s="4097">
        <f>IFERROR(AV54/AV$117,0)</f>
        <v/>
      </c>
      <c r="CS54" s="4097">
        <f>IFERROR(AW54/AW$117,0)</f>
        <v/>
      </c>
      <c r="CT54" s="4097">
        <f>IFERROR(AX54/AX$117,0)</f>
        <v/>
      </c>
      <c r="CU54" s="4097">
        <f>IFERROR(AY54/AY$117,0)</f>
        <v/>
      </c>
      <c r="CV54" s="4097">
        <f>IFERROR(AZ54/AZ$117,0)</f>
        <v/>
      </c>
      <c r="CW54" s="3737" t="n"/>
      <c r="CX54" s="4094" t="n">
        <v>0</v>
      </c>
    </row>
    <row r="55" hidden="1" outlineLevel="2" ht="12" customFormat="1" customHeight="1" s="3737">
      <c r="A55" s="4059" t="n"/>
      <c r="B55" s="4060" t="n"/>
      <c r="C55" s="4109" t="inlineStr">
        <is>
          <t>Visa and plus atm acquiring transactions</t>
        </is>
      </c>
      <c r="D55" s="4112" t="n">
        <v>483111</v>
      </c>
      <c r="E55" s="4093">
        <f>CONCATENATE(D55," - ",C55)</f>
        <v/>
      </c>
      <c r="F55" s="4094" t="n"/>
      <c r="G55" s="4094" t="n"/>
      <c r="H55" s="4094" t="n"/>
      <c r="I55" s="4094" t="n"/>
      <c r="J55" s="4094" t="n"/>
      <c r="K55" s="4094" t="n"/>
      <c r="L55" s="4094" t="n"/>
      <c r="M55" s="4094" t="n"/>
      <c r="N55" s="4094" t="n"/>
      <c r="O55" s="4094" t="n"/>
      <c r="P55" s="4094" t="n"/>
      <c r="Q55" s="4095" t="n"/>
      <c r="R55" s="4094" t="n"/>
      <c r="S55" s="4094" t="n"/>
      <c r="T55" s="4094" t="n"/>
      <c r="U55" s="4094" t="n"/>
      <c r="V55" s="4094" t="n"/>
      <c r="W55" s="4094" t="n"/>
      <c r="X55" s="4094" t="n"/>
      <c r="Y55" s="4094" t="n"/>
      <c r="Z55" s="4094" t="n"/>
      <c r="AA55" s="4094" t="n"/>
      <c r="AB55" s="4094" t="n"/>
      <c r="AC55" s="4095" t="n"/>
      <c r="AD55" s="4094" t="n"/>
      <c r="AE55" s="4094" t="n"/>
      <c r="AF55" s="4094" t="n"/>
      <c r="AG55" s="4094" t="n"/>
      <c r="AH55" s="4094" t="n"/>
      <c r="AI55" s="4094" t="n"/>
      <c r="AJ55" s="4094" t="n"/>
      <c r="AK55" s="4094" t="n"/>
      <c r="AL55" s="4094" t="n"/>
      <c r="AM55" s="4094" t="n"/>
      <c r="AN55" s="4094" t="n"/>
      <c r="AO55" s="4095" t="n"/>
      <c r="AP55" s="4094" t="n">
        <v>2.58662</v>
      </c>
      <c r="AQ55" s="4094" t="n">
        <v>2.424</v>
      </c>
      <c r="AR55" s="4094" t="n">
        <v>2.48995</v>
      </c>
      <c r="AS55" s="4094" t="n">
        <v>2.68175</v>
      </c>
      <c r="AT55" s="4094" t="n">
        <v>3.19521</v>
      </c>
      <c r="AU55" s="4096" t="n">
        <v>3.41798</v>
      </c>
      <c r="AV55" s="4094">
        <f>SUM(F55:Q55)</f>
        <v/>
      </c>
      <c r="AW55" s="4094">
        <f>SUM(R55:AC55)</f>
        <v/>
      </c>
      <c r="AX55" s="4094">
        <f>SUM(AD55:AO55)</f>
        <v/>
      </c>
      <c r="AY55" s="4094">
        <f>SUM(AH55:AS55)</f>
        <v/>
      </c>
      <c r="AZ55" s="4094">
        <f>SUM(AJ55:AU55)</f>
        <v/>
      </c>
      <c r="BA55" s="3737" t="n"/>
      <c r="BB55" s="4097">
        <f>IFERROR(F55/F$117,0)</f>
        <v/>
      </c>
      <c r="BC55" s="4097">
        <f>IFERROR(G55/G$117,0)</f>
        <v/>
      </c>
      <c r="BD55" s="4097">
        <f>IFERROR(H55/H$117,0)</f>
        <v/>
      </c>
      <c r="BE55" s="4097">
        <f>IFERROR(I55/I$117,0)</f>
        <v/>
      </c>
      <c r="BF55" s="4097">
        <f>IFERROR(J55/J$117,0)</f>
        <v/>
      </c>
      <c r="BG55" s="4097">
        <f>IFERROR(K55/K$117,0)</f>
        <v/>
      </c>
      <c r="BH55" s="4097">
        <f>IFERROR(L55/L$117,0)</f>
        <v/>
      </c>
      <c r="BI55" s="4097">
        <f>IFERROR(M55/M$117,0)</f>
        <v/>
      </c>
      <c r="BJ55" s="4097">
        <f>IFERROR(N55/N$117,0)</f>
        <v/>
      </c>
      <c r="BK55" s="4097">
        <f>IFERROR(O55/O$117,0)</f>
        <v/>
      </c>
      <c r="BL55" s="4097">
        <f>IFERROR(P55/P$117,0)</f>
        <v/>
      </c>
      <c r="BM55" s="4098">
        <f>IFERROR(Q55/Q$117,0)</f>
        <v/>
      </c>
      <c r="BN55" s="4097">
        <f>IFERROR(R55/R$117,0)</f>
        <v/>
      </c>
      <c r="BO55" s="4097">
        <f>IFERROR(S55/S$117,0)</f>
        <v/>
      </c>
      <c r="BP55" s="4097">
        <f>IFERROR(T55/T$117,0)</f>
        <v/>
      </c>
      <c r="BQ55" s="4097">
        <f>IFERROR(U55/U$117,0)</f>
        <v/>
      </c>
      <c r="BR55" s="4097">
        <f>IFERROR(V55/V$117,0)</f>
        <v/>
      </c>
      <c r="BS55" s="4097">
        <f>IFERROR(W55/W$117,0)</f>
        <v/>
      </c>
      <c r="BT55" s="4097">
        <f>IFERROR(X55/X$117,0)</f>
        <v/>
      </c>
      <c r="BU55" s="4097">
        <f>IFERROR(Y55/Y$117,0)</f>
        <v/>
      </c>
      <c r="BV55" s="4097">
        <f>IFERROR(Z55/Z$117,0)</f>
        <v/>
      </c>
      <c r="BW55" s="4097">
        <f>IFERROR(AA55/AA$117,0)</f>
        <v/>
      </c>
      <c r="BX55" s="4097">
        <f>IFERROR(AB55/AB$117,0)</f>
        <v/>
      </c>
      <c r="BY55" s="4098">
        <f>IFERROR(AC55/AC$117,0)</f>
        <v/>
      </c>
      <c r="BZ55" s="4097">
        <f>IFERROR(AD55/AD$117,0)</f>
        <v/>
      </c>
      <c r="CA55" s="4097">
        <f>IFERROR(AE55/AE$117,0)</f>
        <v/>
      </c>
      <c r="CB55" s="4097">
        <f>IFERROR(AF55/AF$117,0)</f>
        <v/>
      </c>
      <c r="CC55" s="4097">
        <f>IFERROR(AG55/AG$117,0)</f>
        <v/>
      </c>
      <c r="CD55" s="4097">
        <f>IFERROR(AH55/AH$117,0)</f>
        <v/>
      </c>
      <c r="CE55" s="4097">
        <f>IFERROR(AI55/AI$117,0)</f>
        <v/>
      </c>
      <c r="CF55" s="4097">
        <f>IFERROR(AJ55/AJ$117,0)</f>
        <v/>
      </c>
      <c r="CG55" s="4097">
        <f>IFERROR(AK55/AK$117,0)</f>
        <v/>
      </c>
      <c r="CH55" s="4097">
        <f>IFERROR(AL55/AL$117,0)</f>
        <v/>
      </c>
      <c r="CI55" s="4097">
        <f>IFERROR(AM55/AM$117,0)</f>
        <v/>
      </c>
      <c r="CJ55" s="4097">
        <f>IFERROR(AN55/AN$117,0)</f>
        <v/>
      </c>
      <c r="CK55" s="4098">
        <f>IFERROR(AO55/AO$117,0)</f>
        <v/>
      </c>
      <c r="CL55" s="4097">
        <f>IFERROR(AP55/AP$117,0)</f>
        <v/>
      </c>
      <c r="CM55" s="4097">
        <f>IFERROR(AQ55/AQ$117,0)</f>
        <v/>
      </c>
      <c r="CN55" s="4097">
        <f>IFERROR(AR55/AR$117,0)</f>
        <v/>
      </c>
      <c r="CO55" s="4097">
        <f>IFERROR(AS55/AS$117,0)</f>
        <v/>
      </c>
      <c r="CP55" s="4097">
        <f>IFERROR(AT55/AT$117,0)</f>
        <v/>
      </c>
      <c r="CQ55" s="4099">
        <f>IFERROR(AU55/AU$117,0)</f>
        <v/>
      </c>
      <c r="CR55" s="4097">
        <f>IFERROR(AV55/AV$117,0)</f>
        <v/>
      </c>
      <c r="CS55" s="4097">
        <f>IFERROR(AW55/AW$117,0)</f>
        <v/>
      </c>
      <c r="CT55" s="4097">
        <f>IFERROR(AX55/AX$117,0)</f>
        <v/>
      </c>
      <c r="CU55" s="4097">
        <f>IFERROR(AY55/AY$117,0)</f>
        <v/>
      </c>
      <c r="CV55" s="4097">
        <f>IFERROR(AZ55/AZ$117,0)</f>
        <v/>
      </c>
      <c r="CW55" s="3737" t="n"/>
      <c r="CX55" s="4094" t="n">
        <v>19.05931</v>
      </c>
    </row>
    <row r="56" hidden="1" outlineLevel="2" ht="12" customFormat="1" customHeight="1" s="3737">
      <c r="A56" s="4059" t="n"/>
      <c r="B56" s="4060" t="n"/>
      <c r="C56" s="4109" t="inlineStr">
        <is>
          <t>Reimbursed exp - pulse interchg &amp; switch fees</t>
        </is>
      </c>
      <c r="D56" s="4112" t="n">
        <v>483114</v>
      </c>
      <c r="E56" s="4093">
        <f>CONCATENATE(D56," - ",C56)</f>
        <v/>
      </c>
      <c r="F56" s="4094" t="n"/>
      <c r="G56" s="4094" t="n"/>
      <c r="H56" s="4094" t="n"/>
      <c r="I56" s="4094" t="n"/>
      <c r="J56" s="4094" t="n"/>
      <c r="K56" s="4094" t="n"/>
      <c r="L56" s="4094" t="n"/>
      <c r="M56" s="4094" t="n"/>
      <c r="N56" s="4094" t="n"/>
      <c r="O56" s="4094" t="n"/>
      <c r="P56" s="4094" t="n"/>
      <c r="Q56" s="4095" t="n"/>
      <c r="R56" s="4094" t="n"/>
      <c r="S56" s="4094" t="n"/>
      <c r="T56" s="4094" t="n"/>
      <c r="U56" s="4094" t="n"/>
      <c r="V56" s="4094" t="n"/>
      <c r="W56" s="4094" t="n"/>
      <c r="X56" s="4094" t="n"/>
      <c r="Y56" s="4094" t="n"/>
      <c r="Z56" s="4094" t="n"/>
      <c r="AA56" s="4094" t="n"/>
      <c r="AB56" s="4094" t="n"/>
      <c r="AC56" s="4095" t="n"/>
      <c r="AD56" s="4094" t="n"/>
      <c r="AE56" s="4094" t="n"/>
      <c r="AF56" s="4094" t="n"/>
      <c r="AG56" s="4094" t="n"/>
      <c r="AH56" s="4094" t="n"/>
      <c r="AI56" s="4094" t="n"/>
      <c r="AJ56" s="4094" t="n"/>
      <c r="AK56" s="4094" t="n"/>
      <c r="AL56" s="4094" t="n"/>
      <c r="AM56" s="4094" t="n"/>
      <c r="AN56" s="4094" t="n"/>
      <c r="AO56" s="4095" t="n"/>
      <c r="AP56" s="4094" t="n">
        <v>1.85025</v>
      </c>
      <c r="AQ56" s="4094" t="n">
        <v>1.87725</v>
      </c>
      <c r="AR56" s="4094" t="n">
        <v>2.22375</v>
      </c>
      <c r="AS56" s="4094" t="n">
        <v>2.16375</v>
      </c>
      <c r="AT56" s="4094" t="n">
        <v>2.6385</v>
      </c>
      <c r="AU56" s="4096" t="n">
        <v>3.16575</v>
      </c>
      <c r="AV56" s="4094">
        <f>SUM(F56:Q56)</f>
        <v/>
      </c>
      <c r="AW56" s="4094">
        <f>SUM(R56:AC56)</f>
        <v/>
      </c>
      <c r="AX56" s="4094">
        <f>SUM(AD56:AO56)</f>
        <v/>
      </c>
      <c r="AY56" s="4094">
        <f>SUM(AH56:AS56)</f>
        <v/>
      </c>
      <c r="AZ56" s="4094">
        <f>SUM(AJ56:AU56)</f>
        <v/>
      </c>
      <c r="BA56" s="3737" t="n"/>
      <c r="BB56" s="4097">
        <f>IFERROR(F56/F$117,0)</f>
        <v/>
      </c>
      <c r="BC56" s="4097">
        <f>IFERROR(G56/G$117,0)</f>
        <v/>
      </c>
      <c r="BD56" s="4097">
        <f>IFERROR(H56/H$117,0)</f>
        <v/>
      </c>
      <c r="BE56" s="4097">
        <f>IFERROR(I56/I$117,0)</f>
        <v/>
      </c>
      <c r="BF56" s="4097">
        <f>IFERROR(J56/J$117,0)</f>
        <v/>
      </c>
      <c r="BG56" s="4097">
        <f>IFERROR(K56/K$117,0)</f>
        <v/>
      </c>
      <c r="BH56" s="4097">
        <f>IFERROR(L56/L$117,0)</f>
        <v/>
      </c>
      <c r="BI56" s="4097">
        <f>IFERROR(M56/M$117,0)</f>
        <v/>
      </c>
      <c r="BJ56" s="4097">
        <f>IFERROR(N56/N$117,0)</f>
        <v/>
      </c>
      <c r="BK56" s="4097">
        <f>IFERROR(O56/O$117,0)</f>
        <v/>
      </c>
      <c r="BL56" s="4097">
        <f>IFERROR(P56/P$117,0)</f>
        <v/>
      </c>
      <c r="BM56" s="4098">
        <f>IFERROR(Q56/Q$117,0)</f>
        <v/>
      </c>
      <c r="BN56" s="4097">
        <f>IFERROR(R56/R$117,0)</f>
        <v/>
      </c>
      <c r="BO56" s="4097">
        <f>IFERROR(S56/S$117,0)</f>
        <v/>
      </c>
      <c r="BP56" s="4097">
        <f>IFERROR(T56/T$117,0)</f>
        <v/>
      </c>
      <c r="BQ56" s="4097">
        <f>IFERROR(U56/U$117,0)</f>
        <v/>
      </c>
      <c r="BR56" s="4097">
        <f>IFERROR(V56/V$117,0)</f>
        <v/>
      </c>
      <c r="BS56" s="4097">
        <f>IFERROR(W56/W$117,0)</f>
        <v/>
      </c>
      <c r="BT56" s="4097">
        <f>IFERROR(X56/X$117,0)</f>
        <v/>
      </c>
      <c r="BU56" s="4097">
        <f>IFERROR(Y56/Y$117,0)</f>
        <v/>
      </c>
      <c r="BV56" s="4097">
        <f>IFERROR(Z56/Z$117,0)</f>
        <v/>
      </c>
      <c r="BW56" s="4097">
        <f>IFERROR(AA56/AA$117,0)</f>
        <v/>
      </c>
      <c r="BX56" s="4097">
        <f>IFERROR(AB56/AB$117,0)</f>
        <v/>
      </c>
      <c r="BY56" s="4098">
        <f>IFERROR(AC56/AC$117,0)</f>
        <v/>
      </c>
      <c r="BZ56" s="4097">
        <f>IFERROR(AD56/AD$117,0)</f>
        <v/>
      </c>
      <c r="CA56" s="4097">
        <f>IFERROR(AE56/AE$117,0)</f>
        <v/>
      </c>
      <c r="CB56" s="4097">
        <f>IFERROR(AF56/AF$117,0)</f>
        <v/>
      </c>
      <c r="CC56" s="4097">
        <f>IFERROR(AG56/AG$117,0)</f>
        <v/>
      </c>
      <c r="CD56" s="4097">
        <f>IFERROR(AH56/AH$117,0)</f>
        <v/>
      </c>
      <c r="CE56" s="4097">
        <f>IFERROR(AI56/AI$117,0)</f>
        <v/>
      </c>
      <c r="CF56" s="4097">
        <f>IFERROR(AJ56/AJ$117,0)</f>
        <v/>
      </c>
      <c r="CG56" s="4097">
        <f>IFERROR(AK56/AK$117,0)</f>
        <v/>
      </c>
      <c r="CH56" s="4097">
        <f>IFERROR(AL56/AL$117,0)</f>
        <v/>
      </c>
      <c r="CI56" s="4097">
        <f>IFERROR(AM56/AM$117,0)</f>
        <v/>
      </c>
      <c r="CJ56" s="4097">
        <f>IFERROR(AN56/AN$117,0)</f>
        <v/>
      </c>
      <c r="CK56" s="4098">
        <f>IFERROR(AO56/AO$117,0)</f>
        <v/>
      </c>
      <c r="CL56" s="4097">
        <f>IFERROR(AP56/AP$117,0)</f>
        <v/>
      </c>
      <c r="CM56" s="4097">
        <f>IFERROR(AQ56/AQ$117,0)</f>
        <v/>
      </c>
      <c r="CN56" s="4097">
        <f>IFERROR(AR56/AR$117,0)</f>
        <v/>
      </c>
      <c r="CO56" s="4097">
        <f>IFERROR(AS56/AS$117,0)</f>
        <v/>
      </c>
      <c r="CP56" s="4097">
        <f>IFERROR(AT56/AT$117,0)</f>
        <v/>
      </c>
      <c r="CQ56" s="4099">
        <f>IFERROR(AU56/AU$117,0)</f>
        <v/>
      </c>
      <c r="CR56" s="4097">
        <f>IFERROR(AV56/AV$117,0)</f>
        <v/>
      </c>
      <c r="CS56" s="4097">
        <f>IFERROR(AW56/AW$117,0)</f>
        <v/>
      </c>
      <c r="CT56" s="4097">
        <f>IFERROR(AX56/AX$117,0)</f>
        <v/>
      </c>
      <c r="CU56" s="4097">
        <f>IFERROR(AY56/AY$117,0)</f>
        <v/>
      </c>
      <c r="CV56" s="4097">
        <f>IFERROR(AZ56/AZ$117,0)</f>
        <v/>
      </c>
      <c r="CW56" s="3737" t="n"/>
      <c r="CX56" s="4094" t="n">
        <v>16.64775</v>
      </c>
    </row>
    <row r="57" hidden="1" outlineLevel="2" ht="12" customFormat="1" customHeight="1" s="3737">
      <c r="A57" s="4059" t="n"/>
      <c r="B57" s="4060" t="n"/>
      <c r="C57" s="4109" t="inlineStr">
        <is>
          <t>Reimbursed exp - dma-abu subscription fee</t>
        </is>
      </c>
      <c r="D57" s="4112" t="n">
        <v>483123</v>
      </c>
      <c r="E57" s="4093">
        <f>CONCATENATE(D57," - ",C57)</f>
        <v/>
      </c>
      <c r="F57" s="4094" t="n"/>
      <c r="G57" s="4094" t="n"/>
      <c r="H57" s="4094" t="n"/>
      <c r="I57" s="4094" t="n"/>
      <c r="J57" s="4094" t="n"/>
      <c r="K57" s="4094" t="n"/>
      <c r="L57" s="4094" t="n"/>
      <c r="M57" s="4094" t="n"/>
      <c r="N57" s="4094" t="n"/>
      <c r="O57" s="4094" t="n"/>
      <c r="P57" s="4094" t="n"/>
      <c r="Q57" s="4095" t="n"/>
      <c r="R57" s="4094" t="n"/>
      <c r="S57" s="4094" t="n"/>
      <c r="T57" s="4094" t="n"/>
      <c r="U57" s="4094" t="n"/>
      <c r="V57" s="4094" t="n"/>
      <c r="W57" s="4094" t="n"/>
      <c r="X57" s="4094" t="n"/>
      <c r="Y57" s="4094" t="n"/>
      <c r="Z57" s="4094" t="n"/>
      <c r="AA57" s="4094" t="n"/>
      <c r="AB57" s="4094" t="n"/>
      <c r="AC57" s="4095" t="n"/>
      <c r="AD57" s="4094" t="n"/>
      <c r="AE57" s="4094" t="n"/>
      <c r="AF57" s="4094" t="n"/>
      <c r="AG57" s="4094" t="n"/>
      <c r="AH57" s="4094" t="n"/>
      <c r="AI57" s="4094" t="n"/>
      <c r="AJ57" s="4094" t="n"/>
      <c r="AK57" s="4094" t="n"/>
      <c r="AL57" s="4094" t="n"/>
      <c r="AM57" s="4094" t="n"/>
      <c r="AN57" s="4094" t="n"/>
      <c r="AO57" s="4095" t="n"/>
      <c r="AP57" s="4094" t="n">
        <v>1.95</v>
      </c>
      <c r="AQ57" s="4094" t="n">
        <v>1.95</v>
      </c>
      <c r="AR57" s="4094" t="n">
        <v>1.95</v>
      </c>
      <c r="AS57" s="4094" t="n">
        <v>1.95</v>
      </c>
      <c r="AT57" s="4094" t="n">
        <v>1.95</v>
      </c>
      <c r="AU57" s="4096" t="n">
        <v>1.95</v>
      </c>
      <c r="AV57" s="4094">
        <f>SUM(F57:Q57)</f>
        <v/>
      </c>
      <c r="AW57" s="4094">
        <f>SUM(R57:AC57)</f>
        <v/>
      </c>
      <c r="AX57" s="4094">
        <f>SUM(AD57:AO57)</f>
        <v/>
      </c>
      <c r="AY57" s="4094">
        <f>SUM(AH57:AS57)</f>
        <v/>
      </c>
      <c r="AZ57" s="4094">
        <f>SUM(AJ57:AU57)</f>
        <v/>
      </c>
      <c r="BA57" s="3737" t="n"/>
      <c r="BB57" s="4097">
        <f>IFERROR(F57/F$117,0)</f>
        <v/>
      </c>
      <c r="BC57" s="4097">
        <f>IFERROR(G57/G$117,0)</f>
        <v/>
      </c>
      <c r="BD57" s="4097">
        <f>IFERROR(H57/H$117,0)</f>
        <v/>
      </c>
      <c r="BE57" s="4097">
        <f>IFERROR(I57/I$117,0)</f>
        <v/>
      </c>
      <c r="BF57" s="4097">
        <f>IFERROR(J57/J$117,0)</f>
        <v/>
      </c>
      <c r="BG57" s="4097">
        <f>IFERROR(K57/K$117,0)</f>
        <v/>
      </c>
      <c r="BH57" s="4097">
        <f>IFERROR(L57/L$117,0)</f>
        <v/>
      </c>
      <c r="BI57" s="4097">
        <f>IFERROR(M57/M$117,0)</f>
        <v/>
      </c>
      <c r="BJ57" s="4097">
        <f>IFERROR(N57/N$117,0)</f>
        <v/>
      </c>
      <c r="BK57" s="4097">
        <f>IFERROR(O57/O$117,0)</f>
        <v/>
      </c>
      <c r="BL57" s="4097">
        <f>IFERROR(P57/P$117,0)</f>
        <v/>
      </c>
      <c r="BM57" s="4098">
        <f>IFERROR(Q57/Q$117,0)</f>
        <v/>
      </c>
      <c r="BN57" s="4097">
        <f>IFERROR(R57/R$117,0)</f>
        <v/>
      </c>
      <c r="BO57" s="4097">
        <f>IFERROR(S57/S$117,0)</f>
        <v/>
      </c>
      <c r="BP57" s="4097">
        <f>IFERROR(T57/T$117,0)</f>
        <v/>
      </c>
      <c r="BQ57" s="4097">
        <f>IFERROR(U57/U$117,0)</f>
        <v/>
      </c>
      <c r="BR57" s="4097">
        <f>IFERROR(V57/V$117,0)</f>
        <v/>
      </c>
      <c r="BS57" s="4097">
        <f>IFERROR(W57/W$117,0)</f>
        <v/>
      </c>
      <c r="BT57" s="4097">
        <f>IFERROR(X57/X$117,0)</f>
        <v/>
      </c>
      <c r="BU57" s="4097">
        <f>IFERROR(Y57/Y$117,0)</f>
        <v/>
      </c>
      <c r="BV57" s="4097">
        <f>IFERROR(Z57/Z$117,0)</f>
        <v/>
      </c>
      <c r="BW57" s="4097">
        <f>IFERROR(AA57/AA$117,0)</f>
        <v/>
      </c>
      <c r="BX57" s="4097">
        <f>IFERROR(AB57/AB$117,0)</f>
        <v/>
      </c>
      <c r="BY57" s="4098">
        <f>IFERROR(AC57/AC$117,0)</f>
        <v/>
      </c>
      <c r="BZ57" s="4097">
        <f>IFERROR(AD57/AD$117,0)</f>
        <v/>
      </c>
      <c r="CA57" s="4097">
        <f>IFERROR(AE57/AE$117,0)</f>
        <v/>
      </c>
      <c r="CB57" s="4097">
        <f>IFERROR(AF57/AF$117,0)</f>
        <v/>
      </c>
      <c r="CC57" s="4097">
        <f>IFERROR(AG57/AG$117,0)</f>
        <v/>
      </c>
      <c r="CD57" s="4097">
        <f>IFERROR(AH57/AH$117,0)</f>
        <v/>
      </c>
      <c r="CE57" s="4097">
        <f>IFERROR(AI57/AI$117,0)</f>
        <v/>
      </c>
      <c r="CF57" s="4097">
        <f>IFERROR(AJ57/AJ$117,0)</f>
        <v/>
      </c>
      <c r="CG57" s="4097">
        <f>IFERROR(AK57/AK$117,0)</f>
        <v/>
      </c>
      <c r="CH57" s="4097">
        <f>IFERROR(AL57/AL$117,0)</f>
        <v/>
      </c>
      <c r="CI57" s="4097">
        <f>IFERROR(AM57/AM$117,0)</f>
        <v/>
      </c>
      <c r="CJ57" s="4097">
        <f>IFERROR(AN57/AN$117,0)</f>
        <v/>
      </c>
      <c r="CK57" s="4098">
        <f>IFERROR(AO57/AO$117,0)</f>
        <v/>
      </c>
      <c r="CL57" s="4097">
        <f>IFERROR(AP57/AP$117,0)</f>
        <v/>
      </c>
      <c r="CM57" s="4097">
        <f>IFERROR(AQ57/AQ$117,0)</f>
        <v/>
      </c>
      <c r="CN57" s="4097">
        <f>IFERROR(AR57/AR$117,0)</f>
        <v/>
      </c>
      <c r="CO57" s="4097">
        <f>IFERROR(AS57/AS$117,0)</f>
        <v/>
      </c>
      <c r="CP57" s="4097">
        <f>IFERROR(AT57/AT$117,0)</f>
        <v/>
      </c>
      <c r="CQ57" s="4099">
        <f>IFERROR(AU57/AU$117,0)</f>
        <v/>
      </c>
      <c r="CR57" s="4097">
        <f>IFERROR(AV57/AV$117,0)</f>
        <v/>
      </c>
      <c r="CS57" s="4097">
        <f>IFERROR(AW57/AW$117,0)</f>
        <v/>
      </c>
      <c r="CT57" s="4097">
        <f>IFERROR(AX57/AX$117,0)</f>
        <v/>
      </c>
      <c r="CU57" s="4097">
        <f>IFERROR(AY57/AY$117,0)</f>
        <v/>
      </c>
      <c r="CV57" s="4097">
        <f>IFERROR(AZ57/AZ$117,0)</f>
        <v/>
      </c>
      <c r="CW57" s="3737" t="n"/>
      <c r="CX57" s="4094" t="n">
        <v>0</v>
      </c>
    </row>
    <row r="58" hidden="1" outlineLevel="2" ht="12" customFormat="1" customHeight="1" s="3737">
      <c r="A58" s="4059" t="n"/>
      <c r="B58" s="4060" t="n"/>
      <c r="C58" s="4109" t="inlineStr">
        <is>
          <t>Visa and plus admin fee</t>
        </is>
      </c>
      <c r="D58" s="4112" t="n">
        <v>483108</v>
      </c>
      <c r="E58" s="4093">
        <f>CONCATENATE(D58," - ",C58)</f>
        <v/>
      </c>
      <c r="F58" s="4094" t="n"/>
      <c r="G58" s="4094" t="n"/>
      <c r="H58" s="4094" t="n"/>
      <c r="I58" s="4094" t="n"/>
      <c r="J58" s="4094" t="n"/>
      <c r="K58" s="4094" t="n"/>
      <c r="L58" s="4094" t="n"/>
      <c r="M58" s="4094" t="n"/>
      <c r="N58" s="4094" t="n"/>
      <c r="O58" s="4094" t="n"/>
      <c r="P58" s="4094" t="n"/>
      <c r="Q58" s="4095" t="n"/>
      <c r="R58" s="4094" t="n"/>
      <c r="S58" s="4094" t="n"/>
      <c r="T58" s="4094" t="n"/>
      <c r="U58" s="4094" t="n"/>
      <c r="V58" s="4094" t="n"/>
      <c r="W58" s="4094" t="n"/>
      <c r="X58" s="4094" t="n"/>
      <c r="Y58" s="4094" t="n"/>
      <c r="Z58" s="4094" t="n"/>
      <c r="AA58" s="4094" t="n"/>
      <c r="AB58" s="4094" t="n"/>
      <c r="AC58" s="4095" t="n"/>
      <c r="AD58" s="4094" t="n"/>
      <c r="AE58" s="4094" t="n"/>
      <c r="AF58" s="4094" t="n"/>
      <c r="AG58" s="4094" t="n"/>
      <c r="AH58" s="4094" t="n"/>
      <c r="AI58" s="4094" t="n"/>
      <c r="AJ58" s="4094" t="n"/>
      <c r="AK58" s="4094" t="n"/>
      <c r="AL58" s="4094" t="n"/>
      <c r="AM58" s="4094" t="n"/>
      <c r="AN58" s="4094" t="n"/>
      <c r="AO58" s="4095" t="n"/>
      <c r="AP58" s="4094" t="n">
        <v>0.48255</v>
      </c>
      <c r="AQ58" s="4094" t="n">
        <v>0.42497</v>
      </c>
      <c r="AR58" s="4094" t="n">
        <v>0.43115</v>
      </c>
      <c r="AS58" s="4094" t="n">
        <v>0.47544</v>
      </c>
      <c r="AT58" s="4094" t="n">
        <v>0.55819</v>
      </c>
      <c r="AU58" s="4096" t="n">
        <v>0.58272</v>
      </c>
      <c r="AV58" s="4094">
        <f>SUM(F58:Q58)</f>
        <v/>
      </c>
      <c r="AW58" s="4094">
        <f>SUM(R58:AC58)</f>
        <v/>
      </c>
      <c r="AX58" s="4094">
        <f>SUM(AD58:AO58)</f>
        <v/>
      </c>
      <c r="AY58" s="4094">
        <f>SUM(AH58:AS58)</f>
        <v/>
      </c>
      <c r="AZ58" s="4094">
        <f>SUM(AJ58:AU58)</f>
        <v/>
      </c>
      <c r="BA58" s="3737" t="n"/>
      <c r="BB58" s="4097">
        <f>IFERROR(F58/F$117,0)</f>
        <v/>
      </c>
      <c r="BC58" s="4097">
        <f>IFERROR(G58/G$117,0)</f>
        <v/>
      </c>
      <c r="BD58" s="4097">
        <f>IFERROR(H58/H$117,0)</f>
        <v/>
      </c>
      <c r="BE58" s="4097">
        <f>IFERROR(I58/I$117,0)</f>
        <v/>
      </c>
      <c r="BF58" s="4097">
        <f>IFERROR(J58/J$117,0)</f>
        <v/>
      </c>
      <c r="BG58" s="4097">
        <f>IFERROR(K58/K$117,0)</f>
        <v/>
      </c>
      <c r="BH58" s="4097">
        <f>IFERROR(L58/L$117,0)</f>
        <v/>
      </c>
      <c r="BI58" s="4097">
        <f>IFERROR(M58/M$117,0)</f>
        <v/>
      </c>
      <c r="BJ58" s="4097">
        <f>IFERROR(N58/N$117,0)</f>
        <v/>
      </c>
      <c r="BK58" s="4097">
        <f>IFERROR(O58/O$117,0)</f>
        <v/>
      </c>
      <c r="BL58" s="4097">
        <f>IFERROR(P58/P$117,0)</f>
        <v/>
      </c>
      <c r="BM58" s="4098">
        <f>IFERROR(Q58/Q$117,0)</f>
        <v/>
      </c>
      <c r="BN58" s="4097">
        <f>IFERROR(R58/R$117,0)</f>
        <v/>
      </c>
      <c r="BO58" s="4097">
        <f>IFERROR(S58/S$117,0)</f>
        <v/>
      </c>
      <c r="BP58" s="4097">
        <f>IFERROR(T58/T$117,0)</f>
        <v/>
      </c>
      <c r="BQ58" s="4097">
        <f>IFERROR(U58/U$117,0)</f>
        <v/>
      </c>
      <c r="BR58" s="4097">
        <f>IFERROR(V58/V$117,0)</f>
        <v/>
      </c>
      <c r="BS58" s="4097">
        <f>IFERROR(W58/W$117,0)</f>
        <v/>
      </c>
      <c r="BT58" s="4097">
        <f>IFERROR(X58/X$117,0)</f>
        <v/>
      </c>
      <c r="BU58" s="4097">
        <f>IFERROR(Y58/Y$117,0)</f>
        <v/>
      </c>
      <c r="BV58" s="4097">
        <f>IFERROR(Z58/Z$117,0)</f>
        <v/>
      </c>
      <c r="BW58" s="4097">
        <f>IFERROR(AA58/AA$117,0)</f>
        <v/>
      </c>
      <c r="BX58" s="4097">
        <f>IFERROR(AB58/AB$117,0)</f>
        <v/>
      </c>
      <c r="BY58" s="4098">
        <f>IFERROR(AC58/AC$117,0)</f>
        <v/>
      </c>
      <c r="BZ58" s="4097">
        <f>IFERROR(AD58/AD$117,0)</f>
        <v/>
      </c>
      <c r="CA58" s="4097">
        <f>IFERROR(AE58/AE$117,0)</f>
        <v/>
      </c>
      <c r="CB58" s="4097">
        <f>IFERROR(AF58/AF$117,0)</f>
        <v/>
      </c>
      <c r="CC58" s="4097">
        <f>IFERROR(AG58/AG$117,0)</f>
        <v/>
      </c>
      <c r="CD58" s="4097">
        <f>IFERROR(AH58/AH$117,0)</f>
        <v/>
      </c>
      <c r="CE58" s="4097">
        <f>IFERROR(AI58/AI$117,0)</f>
        <v/>
      </c>
      <c r="CF58" s="4097">
        <f>IFERROR(AJ58/AJ$117,0)</f>
        <v/>
      </c>
      <c r="CG58" s="4097">
        <f>IFERROR(AK58/AK$117,0)</f>
        <v/>
      </c>
      <c r="CH58" s="4097">
        <f>IFERROR(AL58/AL$117,0)</f>
        <v/>
      </c>
      <c r="CI58" s="4097">
        <f>IFERROR(AM58/AM$117,0)</f>
        <v/>
      </c>
      <c r="CJ58" s="4097">
        <f>IFERROR(AN58/AN$117,0)</f>
        <v/>
      </c>
      <c r="CK58" s="4098">
        <f>IFERROR(AO58/AO$117,0)</f>
        <v/>
      </c>
      <c r="CL58" s="4097">
        <f>IFERROR(AP58/AP$117,0)</f>
        <v/>
      </c>
      <c r="CM58" s="4097">
        <f>IFERROR(AQ58/AQ$117,0)</f>
        <v/>
      </c>
      <c r="CN58" s="4097">
        <f>IFERROR(AR58/AR$117,0)</f>
        <v/>
      </c>
      <c r="CO58" s="4097">
        <f>IFERROR(AS58/AS$117,0)</f>
        <v/>
      </c>
      <c r="CP58" s="4097">
        <f>IFERROR(AT58/AT$117,0)</f>
        <v/>
      </c>
      <c r="CQ58" s="4099">
        <f>IFERROR(AU58/AU$117,0)</f>
        <v/>
      </c>
      <c r="CR58" s="4097">
        <f>IFERROR(AV58/AV$117,0)</f>
        <v/>
      </c>
      <c r="CS58" s="4097">
        <f>IFERROR(AW58/AW$117,0)</f>
        <v/>
      </c>
      <c r="CT58" s="4097">
        <f>IFERROR(AX58/AX$117,0)</f>
        <v/>
      </c>
      <c r="CU58" s="4097">
        <f>IFERROR(AY58/AY$117,0)</f>
        <v/>
      </c>
      <c r="CV58" s="4097">
        <f>IFERROR(AZ58/AZ$117,0)</f>
        <v/>
      </c>
      <c r="CW58" s="3737" t="n"/>
      <c r="CX58" s="4094" t="n">
        <v>3.15005</v>
      </c>
    </row>
    <row r="59" hidden="1" outlineLevel="2" ht="12" customFormat="1" customHeight="1" s="3737">
      <c r="A59" s="4059" t="n"/>
      <c r="B59" s="4060" t="n"/>
      <c r="C59" s="4109" t="inlineStr">
        <is>
          <t>Reimbursed exp - switch fees</t>
        </is>
      </c>
      <c r="D59" s="4093" t="n">
        <v>483106</v>
      </c>
      <c r="E59" s="4093">
        <f>CONCATENATE(D59," - ",C59)</f>
        <v/>
      </c>
      <c r="F59" s="4094" t="n"/>
      <c r="G59" s="4094" t="n"/>
      <c r="H59" s="4094" t="n"/>
      <c r="I59" s="4094" t="n"/>
      <c r="J59" s="4094" t="n"/>
      <c r="K59" s="4094" t="n"/>
      <c r="L59" s="4094" t="n"/>
      <c r="M59" s="4094" t="n"/>
      <c r="N59" s="4094" t="n"/>
      <c r="O59" s="4094" t="n"/>
      <c r="P59" s="4094" t="n"/>
      <c r="Q59" s="4095" t="n"/>
      <c r="R59" s="4094" t="n"/>
      <c r="S59" s="4094" t="n"/>
      <c r="T59" s="4094" t="n"/>
      <c r="U59" s="4094" t="n"/>
      <c r="V59" s="4094" t="n"/>
      <c r="W59" s="4094" t="n"/>
      <c r="X59" s="4094" t="n"/>
      <c r="Y59" s="4094" t="n"/>
      <c r="Z59" s="4094" t="n"/>
      <c r="AA59" s="4094" t="n"/>
      <c r="AB59" s="4094" t="n"/>
      <c r="AC59" s="4095" t="n"/>
      <c r="AD59" s="4094" t="n"/>
      <c r="AE59" s="4094" t="n"/>
      <c r="AF59" s="4094" t="n"/>
      <c r="AG59" s="4094" t="n"/>
      <c r="AH59" s="4094" t="n"/>
      <c r="AI59" s="4094" t="n"/>
      <c r="AJ59" s="4094" t="n"/>
      <c r="AK59" s="4094" t="n"/>
      <c r="AL59" s="4094" t="n"/>
      <c r="AM59" s="4094" t="n"/>
      <c r="AN59" s="4094" t="n"/>
      <c r="AO59" s="4095" t="n"/>
      <c r="AP59" s="4094" t="n">
        <v>0.20674</v>
      </c>
      <c r="AQ59" s="4094" t="n">
        <v>0.16734</v>
      </c>
      <c r="AR59" s="4094" t="n">
        <v>0.21529</v>
      </c>
      <c r="AS59" s="4094" t="n">
        <v>0.1552</v>
      </c>
      <c r="AT59" s="4094" t="n">
        <v>0.09755999999999999</v>
      </c>
      <c r="AU59" s="4096" t="n">
        <v>0.10316</v>
      </c>
      <c r="AV59" s="4094">
        <f>SUM(F59:Q59)</f>
        <v/>
      </c>
      <c r="AW59" s="4094">
        <f>SUM(R59:AC59)</f>
        <v/>
      </c>
      <c r="AX59" s="4094">
        <f>SUM(AD59:AO59)</f>
        <v/>
      </c>
      <c r="AY59" s="4094">
        <f>SUM(AH59:AS59)</f>
        <v/>
      </c>
      <c r="AZ59" s="4094">
        <f>SUM(AJ59:AU59)</f>
        <v/>
      </c>
      <c r="BA59" s="3737" t="n"/>
      <c r="BB59" s="4097">
        <f>IFERROR(F59/F$117,0)</f>
        <v/>
      </c>
      <c r="BC59" s="4097">
        <f>IFERROR(G59/G$117,0)</f>
        <v/>
      </c>
      <c r="BD59" s="4097">
        <f>IFERROR(H59/H$117,0)</f>
        <v/>
      </c>
      <c r="BE59" s="4097">
        <f>IFERROR(I59/I$117,0)</f>
        <v/>
      </c>
      <c r="BF59" s="4097">
        <f>IFERROR(J59/J$117,0)</f>
        <v/>
      </c>
      <c r="BG59" s="4097">
        <f>IFERROR(K59/K$117,0)</f>
        <v/>
      </c>
      <c r="BH59" s="4097">
        <f>IFERROR(L59/L$117,0)</f>
        <v/>
      </c>
      <c r="BI59" s="4097">
        <f>IFERROR(M59/M$117,0)</f>
        <v/>
      </c>
      <c r="BJ59" s="4097">
        <f>IFERROR(N59/N$117,0)</f>
        <v/>
      </c>
      <c r="BK59" s="4097">
        <f>IFERROR(O59/O$117,0)</f>
        <v/>
      </c>
      <c r="BL59" s="4097">
        <f>IFERROR(P59/P$117,0)</f>
        <v/>
      </c>
      <c r="BM59" s="4098">
        <f>IFERROR(Q59/Q$117,0)</f>
        <v/>
      </c>
      <c r="BN59" s="4097">
        <f>IFERROR(R59/R$117,0)</f>
        <v/>
      </c>
      <c r="BO59" s="4097">
        <f>IFERROR(S59/S$117,0)</f>
        <v/>
      </c>
      <c r="BP59" s="4097">
        <f>IFERROR(T59/T$117,0)</f>
        <v/>
      </c>
      <c r="BQ59" s="4097">
        <f>IFERROR(U59/U$117,0)</f>
        <v/>
      </c>
      <c r="BR59" s="4097">
        <f>IFERROR(V59/V$117,0)</f>
        <v/>
      </c>
      <c r="BS59" s="4097">
        <f>IFERROR(W59/W$117,0)</f>
        <v/>
      </c>
      <c r="BT59" s="4097">
        <f>IFERROR(X59/X$117,0)</f>
        <v/>
      </c>
      <c r="BU59" s="4097">
        <f>IFERROR(Y59/Y$117,0)</f>
        <v/>
      </c>
      <c r="BV59" s="4097">
        <f>IFERROR(Z59/Z$117,0)</f>
        <v/>
      </c>
      <c r="BW59" s="4097">
        <f>IFERROR(AA59/AA$117,0)</f>
        <v/>
      </c>
      <c r="BX59" s="4097">
        <f>IFERROR(AB59/AB$117,0)</f>
        <v/>
      </c>
      <c r="BY59" s="4098">
        <f>IFERROR(AC59/AC$117,0)</f>
        <v/>
      </c>
      <c r="BZ59" s="4097">
        <f>IFERROR(AD59/AD$117,0)</f>
        <v/>
      </c>
      <c r="CA59" s="4097">
        <f>IFERROR(AE59/AE$117,0)</f>
        <v/>
      </c>
      <c r="CB59" s="4097">
        <f>IFERROR(AF59/AF$117,0)</f>
        <v/>
      </c>
      <c r="CC59" s="4097">
        <f>IFERROR(AG59/AG$117,0)</f>
        <v/>
      </c>
      <c r="CD59" s="4097">
        <f>IFERROR(AH59/AH$117,0)</f>
        <v/>
      </c>
      <c r="CE59" s="4097">
        <f>IFERROR(AI59/AI$117,0)</f>
        <v/>
      </c>
      <c r="CF59" s="4097">
        <f>IFERROR(AJ59/AJ$117,0)</f>
        <v/>
      </c>
      <c r="CG59" s="4097">
        <f>IFERROR(AK59/AK$117,0)</f>
        <v/>
      </c>
      <c r="CH59" s="4097">
        <f>IFERROR(AL59/AL$117,0)</f>
        <v/>
      </c>
      <c r="CI59" s="4097">
        <f>IFERROR(AM59/AM$117,0)</f>
        <v/>
      </c>
      <c r="CJ59" s="4097">
        <f>IFERROR(AN59/AN$117,0)</f>
        <v/>
      </c>
      <c r="CK59" s="4098">
        <f>IFERROR(AO59/AO$117,0)</f>
        <v/>
      </c>
      <c r="CL59" s="4097">
        <f>IFERROR(AP59/AP$117,0)</f>
        <v/>
      </c>
      <c r="CM59" s="4097">
        <f>IFERROR(AQ59/AQ$117,0)</f>
        <v/>
      </c>
      <c r="CN59" s="4097">
        <f>IFERROR(AR59/AR$117,0)</f>
        <v/>
      </c>
      <c r="CO59" s="4097">
        <f>IFERROR(AS59/AS$117,0)</f>
        <v/>
      </c>
      <c r="CP59" s="4097">
        <f>IFERROR(AT59/AT$117,0)</f>
        <v/>
      </c>
      <c r="CQ59" s="4099">
        <f>IFERROR(AU59/AU$117,0)</f>
        <v/>
      </c>
      <c r="CR59" s="4097">
        <f>IFERROR(AV59/AV$117,0)</f>
        <v/>
      </c>
      <c r="CS59" s="4097">
        <f>IFERROR(AW59/AW$117,0)</f>
        <v/>
      </c>
      <c r="CT59" s="4097">
        <f>IFERROR(AX59/AX$117,0)</f>
        <v/>
      </c>
      <c r="CU59" s="4097">
        <f>IFERROR(AY59/AY$117,0)</f>
        <v/>
      </c>
      <c r="CV59" s="4097">
        <f>IFERROR(AZ59/AZ$117,0)</f>
        <v/>
      </c>
      <c r="CW59" s="3737" t="n"/>
      <c r="CX59" s="4094" t="n">
        <v>16.72383</v>
      </c>
    </row>
    <row r="60" hidden="1" outlineLevel="2" ht="12" customFormat="1" customHeight="1" s="3737">
      <c r="A60" s="4059" t="n"/>
      <c r="B60" s="4060" t="n"/>
      <c r="C60" s="4109" t="inlineStr">
        <is>
          <t>Reimbursed exp - vda-abu subscription fee</t>
        </is>
      </c>
      <c r="D60" s="4093" t="n">
        <v>483133</v>
      </c>
      <c r="E60" s="4093">
        <f>CONCATENATE(D60," - ",C60)</f>
        <v/>
      </c>
      <c r="F60" s="4094" t="n"/>
      <c r="G60" s="4094" t="n"/>
      <c r="H60" s="4094" t="n"/>
      <c r="I60" s="4094" t="n"/>
      <c r="J60" s="4094" t="n"/>
      <c r="K60" s="4094" t="n"/>
      <c r="L60" s="4094" t="n"/>
      <c r="M60" s="4094" t="n"/>
      <c r="N60" s="4094" t="n"/>
      <c r="O60" s="4094" t="n"/>
      <c r="P60" s="4094" t="n"/>
      <c r="Q60" s="4095" t="n"/>
      <c r="R60" s="4094" t="n"/>
      <c r="S60" s="4094" t="n"/>
      <c r="T60" s="4094" t="n"/>
      <c r="U60" s="4094" t="n"/>
      <c r="V60" s="4094" t="n"/>
      <c r="W60" s="4094" t="n"/>
      <c r="X60" s="4094" t="n"/>
      <c r="Y60" s="4094" t="n"/>
      <c r="Z60" s="4094" t="n"/>
      <c r="AA60" s="4094" t="n"/>
      <c r="AB60" s="4094" t="n"/>
      <c r="AC60" s="4095" t="n"/>
      <c r="AD60" s="4094" t="n"/>
      <c r="AE60" s="4094" t="n"/>
      <c r="AF60" s="4094" t="n"/>
      <c r="AG60" s="4094" t="n"/>
      <c r="AH60" s="4094" t="n"/>
      <c r="AI60" s="4094" t="n"/>
      <c r="AJ60" s="4094" t="n"/>
      <c r="AK60" s="4094" t="n"/>
      <c r="AL60" s="4094" t="n"/>
      <c r="AM60" s="4094" t="n"/>
      <c r="AN60" s="4094" t="n"/>
      <c r="AO60" s="4095" t="n"/>
      <c r="AP60" s="4094" t="n">
        <v>0.05</v>
      </c>
      <c r="AQ60" s="4094" t="n">
        <v>0.05</v>
      </c>
      <c r="AR60" s="4094" t="n">
        <v>0.05</v>
      </c>
      <c r="AS60" s="4094" t="n">
        <v>0.1</v>
      </c>
      <c r="AT60" s="4094" t="n">
        <v>0.1</v>
      </c>
      <c r="AU60" s="4096" t="n">
        <v>0.1</v>
      </c>
      <c r="AV60" s="4094">
        <f>SUM(F60:Q60)</f>
        <v/>
      </c>
      <c r="AW60" s="4094">
        <f>SUM(R60:AC60)</f>
        <v/>
      </c>
      <c r="AX60" s="4094">
        <f>SUM(AD60:AO60)</f>
        <v/>
      </c>
      <c r="AY60" s="4094">
        <f>SUM(AH60:AS60)</f>
        <v/>
      </c>
      <c r="AZ60" s="4094">
        <f>SUM(AJ60:AU60)</f>
        <v/>
      </c>
      <c r="BA60" s="3737" t="n"/>
      <c r="BB60" s="4097">
        <f>IFERROR(F60/F$117,0)</f>
        <v/>
      </c>
      <c r="BC60" s="4097">
        <f>IFERROR(G60/G$117,0)</f>
        <v/>
      </c>
      <c r="BD60" s="4097">
        <f>IFERROR(H60/H$117,0)</f>
        <v/>
      </c>
      <c r="BE60" s="4097">
        <f>IFERROR(I60/I$117,0)</f>
        <v/>
      </c>
      <c r="BF60" s="4097">
        <f>IFERROR(J60/J$117,0)</f>
        <v/>
      </c>
      <c r="BG60" s="4097">
        <f>IFERROR(K60/K$117,0)</f>
        <v/>
      </c>
      <c r="BH60" s="4097">
        <f>IFERROR(L60/L$117,0)</f>
        <v/>
      </c>
      <c r="BI60" s="4097">
        <f>IFERROR(M60/M$117,0)</f>
        <v/>
      </c>
      <c r="BJ60" s="4097">
        <f>IFERROR(N60/N$117,0)</f>
        <v/>
      </c>
      <c r="BK60" s="4097">
        <f>IFERROR(O60/O$117,0)</f>
        <v/>
      </c>
      <c r="BL60" s="4097">
        <f>IFERROR(P60/P$117,0)</f>
        <v/>
      </c>
      <c r="BM60" s="4098">
        <f>IFERROR(Q60/Q$117,0)</f>
        <v/>
      </c>
      <c r="BN60" s="4097">
        <f>IFERROR(R60/R$117,0)</f>
        <v/>
      </c>
      <c r="BO60" s="4097">
        <f>IFERROR(S60/S$117,0)</f>
        <v/>
      </c>
      <c r="BP60" s="4097">
        <f>IFERROR(T60/T$117,0)</f>
        <v/>
      </c>
      <c r="BQ60" s="4097">
        <f>IFERROR(U60/U$117,0)</f>
        <v/>
      </c>
      <c r="BR60" s="4097">
        <f>IFERROR(V60/V$117,0)</f>
        <v/>
      </c>
      <c r="BS60" s="4097">
        <f>IFERROR(W60/W$117,0)</f>
        <v/>
      </c>
      <c r="BT60" s="4097">
        <f>IFERROR(X60/X$117,0)</f>
        <v/>
      </c>
      <c r="BU60" s="4097">
        <f>IFERROR(Y60/Y$117,0)</f>
        <v/>
      </c>
      <c r="BV60" s="4097">
        <f>IFERROR(Z60/Z$117,0)</f>
        <v/>
      </c>
      <c r="BW60" s="4097">
        <f>IFERROR(AA60/AA$117,0)</f>
        <v/>
      </c>
      <c r="BX60" s="4097">
        <f>IFERROR(AB60/AB$117,0)</f>
        <v/>
      </c>
      <c r="BY60" s="4098">
        <f>IFERROR(AC60/AC$117,0)</f>
        <v/>
      </c>
      <c r="BZ60" s="4097">
        <f>IFERROR(AD60/AD$117,0)</f>
        <v/>
      </c>
      <c r="CA60" s="4097">
        <f>IFERROR(AE60/AE$117,0)</f>
        <v/>
      </c>
      <c r="CB60" s="4097">
        <f>IFERROR(AF60/AF$117,0)</f>
        <v/>
      </c>
      <c r="CC60" s="4097">
        <f>IFERROR(AG60/AG$117,0)</f>
        <v/>
      </c>
      <c r="CD60" s="4097">
        <f>IFERROR(AH60/AH$117,0)</f>
        <v/>
      </c>
      <c r="CE60" s="4097">
        <f>IFERROR(AI60/AI$117,0)</f>
        <v/>
      </c>
      <c r="CF60" s="4097">
        <f>IFERROR(AJ60/AJ$117,0)</f>
        <v/>
      </c>
      <c r="CG60" s="4097">
        <f>IFERROR(AK60/AK$117,0)</f>
        <v/>
      </c>
      <c r="CH60" s="4097">
        <f>IFERROR(AL60/AL$117,0)</f>
        <v/>
      </c>
      <c r="CI60" s="4097">
        <f>IFERROR(AM60/AM$117,0)</f>
        <v/>
      </c>
      <c r="CJ60" s="4097">
        <f>IFERROR(AN60/AN$117,0)</f>
        <v/>
      </c>
      <c r="CK60" s="4098">
        <f>IFERROR(AO60/AO$117,0)</f>
        <v/>
      </c>
      <c r="CL60" s="4097">
        <f>IFERROR(AP60/AP$117,0)</f>
        <v/>
      </c>
      <c r="CM60" s="4097">
        <f>IFERROR(AQ60/AQ$117,0)</f>
        <v/>
      </c>
      <c r="CN60" s="4097">
        <f>IFERROR(AR60/AR$117,0)</f>
        <v/>
      </c>
      <c r="CO60" s="4097">
        <f>IFERROR(AS60/AS$117,0)</f>
        <v/>
      </c>
      <c r="CP60" s="4097">
        <f>IFERROR(AT60/AT$117,0)</f>
        <v/>
      </c>
      <c r="CQ60" s="4099">
        <f>IFERROR(AU60/AU$117,0)</f>
        <v/>
      </c>
      <c r="CR60" s="4097">
        <f>IFERROR(AV60/AV$117,0)</f>
        <v/>
      </c>
      <c r="CS60" s="4097">
        <f>IFERROR(AW60/AW$117,0)</f>
        <v/>
      </c>
      <c r="CT60" s="4097">
        <f>IFERROR(AX60/AX$117,0)</f>
        <v/>
      </c>
      <c r="CU60" s="4097">
        <f>IFERROR(AY60/AY$117,0)</f>
        <v/>
      </c>
      <c r="CV60" s="4097">
        <f>IFERROR(AZ60/AZ$117,0)</f>
        <v/>
      </c>
      <c r="CW60" s="3737" t="n"/>
      <c r="CX60" s="4094" t="n">
        <v>0</v>
      </c>
    </row>
    <row r="61" hidden="1" outlineLevel="2" ht="12" customFormat="1" customHeight="1" s="3737">
      <c r="A61" s="4059" t="n"/>
      <c r="B61" s="4060" t="n"/>
      <c r="C61" s="4109" t="inlineStr">
        <is>
          <t>Vda - program onboarding fee visa</t>
        </is>
      </c>
      <c r="D61" s="4093" t="n">
        <v>483130</v>
      </c>
      <c r="E61" s="4093">
        <f>CONCATENATE(D61," - ",C61)</f>
        <v/>
      </c>
      <c r="F61" s="4094" t="n"/>
      <c r="G61" s="4094" t="n"/>
      <c r="H61" s="4094" t="n"/>
      <c r="I61" s="4094" t="n"/>
      <c r="J61" s="4094" t="n"/>
      <c r="K61" s="4094" t="n"/>
      <c r="L61" s="4094" t="n"/>
      <c r="M61" s="4094" t="n"/>
      <c r="N61" s="4094" t="n"/>
      <c r="O61" s="4094" t="n"/>
      <c r="P61" s="4094" t="n"/>
      <c r="Q61" s="4095" t="n"/>
      <c r="R61" s="4094" t="n"/>
      <c r="S61" s="4094" t="n"/>
      <c r="T61" s="4094" t="n"/>
      <c r="U61" s="4094" t="n"/>
      <c r="V61" s="4094" t="n"/>
      <c r="W61" s="4094" t="n"/>
      <c r="X61" s="4094" t="n"/>
      <c r="Y61" s="4094" t="n"/>
      <c r="Z61" s="4094" t="n"/>
      <c r="AA61" s="4094" t="n"/>
      <c r="AB61" s="4094" t="n"/>
      <c r="AC61" s="4095" t="n"/>
      <c r="AD61" s="4094" t="n"/>
      <c r="AE61" s="4094" t="n"/>
      <c r="AF61" s="4094" t="n"/>
      <c r="AG61" s="4094" t="n"/>
      <c r="AH61" s="4094" t="n"/>
      <c r="AI61" s="4094" t="n"/>
      <c r="AJ61" s="4094" t="n"/>
      <c r="AK61" s="4094" t="n"/>
      <c r="AL61" s="4094" t="n"/>
      <c r="AM61" s="4094" t="n"/>
      <c r="AN61" s="4094" t="n"/>
      <c r="AO61" s="4095" t="n"/>
      <c r="AP61" s="4094" t="n">
        <v>0</v>
      </c>
      <c r="AQ61" s="4094" t="n">
        <v>0</v>
      </c>
      <c r="AR61" s="4094" t="n">
        <v>0</v>
      </c>
      <c r="AS61" s="4094" t="n">
        <v>0</v>
      </c>
      <c r="AT61" s="4094" t="n">
        <v>0</v>
      </c>
      <c r="AU61" s="4096" t="n">
        <v>0</v>
      </c>
      <c r="AV61" s="4094">
        <f>SUM(F61:Q61)</f>
        <v/>
      </c>
      <c r="AW61" s="4094">
        <f>SUM(R61:AC61)</f>
        <v/>
      </c>
      <c r="AX61" s="4094">
        <f>SUM(AD61:AO61)</f>
        <v/>
      </c>
      <c r="AY61" s="4094">
        <f>SUM(AH61:AS61)</f>
        <v/>
      </c>
      <c r="AZ61" s="4094">
        <f>SUM(AJ61:AU61)</f>
        <v/>
      </c>
      <c r="BA61" s="3737" t="n"/>
      <c r="BB61" s="4097">
        <f>IFERROR(F61/F$117,0)</f>
        <v/>
      </c>
      <c r="BC61" s="4097">
        <f>IFERROR(G61/G$117,0)</f>
        <v/>
      </c>
      <c r="BD61" s="4097">
        <f>IFERROR(H61/H$117,0)</f>
        <v/>
      </c>
      <c r="BE61" s="4097">
        <f>IFERROR(I61/I$117,0)</f>
        <v/>
      </c>
      <c r="BF61" s="4097">
        <f>IFERROR(J61/J$117,0)</f>
        <v/>
      </c>
      <c r="BG61" s="4097">
        <f>IFERROR(K61/K$117,0)</f>
        <v/>
      </c>
      <c r="BH61" s="4097">
        <f>IFERROR(L61/L$117,0)</f>
        <v/>
      </c>
      <c r="BI61" s="4097">
        <f>IFERROR(M61/M$117,0)</f>
        <v/>
      </c>
      <c r="BJ61" s="4097">
        <f>IFERROR(N61/N$117,0)</f>
        <v/>
      </c>
      <c r="BK61" s="4097">
        <f>IFERROR(O61/O$117,0)</f>
        <v/>
      </c>
      <c r="BL61" s="4097">
        <f>IFERROR(P61/P$117,0)</f>
        <v/>
      </c>
      <c r="BM61" s="4098">
        <f>IFERROR(Q61/Q$117,0)</f>
        <v/>
      </c>
      <c r="BN61" s="4097">
        <f>IFERROR(R61/R$117,0)</f>
        <v/>
      </c>
      <c r="BO61" s="4097">
        <f>IFERROR(S61/S$117,0)</f>
        <v/>
      </c>
      <c r="BP61" s="4097">
        <f>IFERROR(T61/T$117,0)</f>
        <v/>
      </c>
      <c r="BQ61" s="4097">
        <f>IFERROR(U61/U$117,0)</f>
        <v/>
      </c>
      <c r="BR61" s="4097">
        <f>IFERROR(V61/V$117,0)</f>
        <v/>
      </c>
      <c r="BS61" s="4097">
        <f>IFERROR(W61/W$117,0)</f>
        <v/>
      </c>
      <c r="BT61" s="4097">
        <f>IFERROR(X61/X$117,0)</f>
        <v/>
      </c>
      <c r="BU61" s="4097">
        <f>IFERROR(Y61/Y$117,0)</f>
        <v/>
      </c>
      <c r="BV61" s="4097">
        <f>IFERROR(Z61/Z$117,0)</f>
        <v/>
      </c>
      <c r="BW61" s="4097">
        <f>IFERROR(AA61/AA$117,0)</f>
        <v/>
      </c>
      <c r="BX61" s="4097">
        <f>IFERROR(AB61/AB$117,0)</f>
        <v/>
      </c>
      <c r="BY61" s="4098">
        <f>IFERROR(AC61/AC$117,0)</f>
        <v/>
      </c>
      <c r="BZ61" s="4097">
        <f>IFERROR(AD61/AD$117,0)</f>
        <v/>
      </c>
      <c r="CA61" s="4097">
        <f>IFERROR(AE61/AE$117,0)</f>
        <v/>
      </c>
      <c r="CB61" s="4097">
        <f>IFERROR(AF61/AF$117,0)</f>
        <v/>
      </c>
      <c r="CC61" s="4097">
        <f>IFERROR(AG61/AG$117,0)</f>
        <v/>
      </c>
      <c r="CD61" s="4097">
        <f>IFERROR(AH61/AH$117,0)</f>
        <v/>
      </c>
      <c r="CE61" s="4097">
        <f>IFERROR(AI61/AI$117,0)</f>
        <v/>
      </c>
      <c r="CF61" s="4097">
        <f>IFERROR(AJ61/AJ$117,0)</f>
        <v/>
      </c>
      <c r="CG61" s="4097">
        <f>IFERROR(AK61/AK$117,0)</f>
        <v/>
      </c>
      <c r="CH61" s="4097">
        <f>IFERROR(AL61/AL$117,0)</f>
        <v/>
      </c>
      <c r="CI61" s="4097">
        <f>IFERROR(AM61/AM$117,0)</f>
        <v/>
      </c>
      <c r="CJ61" s="4097">
        <f>IFERROR(AN61/AN$117,0)</f>
        <v/>
      </c>
      <c r="CK61" s="4098">
        <f>IFERROR(AO61/AO$117,0)</f>
        <v/>
      </c>
      <c r="CL61" s="4097">
        <f>IFERROR(AP61/AP$117,0)</f>
        <v/>
      </c>
      <c r="CM61" s="4097">
        <f>IFERROR(AQ61/AQ$117,0)</f>
        <v/>
      </c>
      <c r="CN61" s="4097">
        <f>IFERROR(AR61/AR$117,0)</f>
        <v/>
      </c>
      <c r="CO61" s="4097">
        <f>IFERROR(AS61/AS$117,0)</f>
        <v/>
      </c>
      <c r="CP61" s="4097">
        <f>IFERROR(AT61/AT$117,0)</f>
        <v/>
      </c>
      <c r="CQ61" s="4099">
        <f>IFERROR(AU61/AU$117,0)</f>
        <v/>
      </c>
      <c r="CR61" s="4097">
        <f>IFERROR(AV61/AV$117,0)</f>
        <v/>
      </c>
      <c r="CS61" s="4097">
        <f>IFERROR(AW61/AW$117,0)</f>
        <v/>
      </c>
      <c r="CT61" s="4097">
        <f>IFERROR(AX61/AX$117,0)</f>
        <v/>
      </c>
      <c r="CU61" s="4097">
        <f>IFERROR(AY61/AY$117,0)</f>
        <v/>
      </c>
      <c r="CV61" s="4097">
        <f>IFERROR(AZ61/AZ$117,0)</f>
        <v/>
      </c>
      <c r="CW61" s="3737" t="n"/>
      <c r="CX61" s="4094" t="n">
        <v>0</v>
      </c>
    </row>
    <row r="62" hidden="1" outlineLevel="2" ht="12" customFormat="1" customHeight="1" s="3737">
      <c r="A62" s="4059" t="n"/>
      <c r="B62" s="4060" t="n"/>
      <c r="C62" s="4110" t="inlineStr">
        <is>
          <t>Flash interchange tier fee</t>
        </is>
      </c>
      <c r="D62" s="4101" t="n">
        <v>483104</v>
      </c>
      <c r="E62" s="4101">
        <f>CONCATENATE(D62," - ",C62)</f>
        <v/>
      </c>
      <c r="F62" s="4102" t="n"/>
      <c r="G62" s="4102" t="n"/>
      <c r="H62" s="4102" t="n"/>
      <c r="I62" s="4102" t="n"/>
      <c r="J62" s="4102" t="n"/>
      <c r="K62" s="4102" t="n"/>
      <c r="L62" s="4102" t="n"/>
      <c r="M62" s="4102" t="n"/>
      <c r="N62" s="4102" t="n"/>
      <c r="O62" s="4102" t="n"/>
      <c r="P62" s="4102" t="n"/>
      <c r="Q62" s="4103" t="n"/>
      <c r="R62" s="4102" t="n"/>
      <c r="S62" s="4102" t="n"/>
      <c r="T62" s="4102" t="n"/>
      <c r="U62" s="4102" t="n"/>
      <c r="V62" s="4102" t="n"/>
      <c r="W62" s="4102" t="n"/>
      <c r="X62" s="4102" t="n"/>
      <c r="Y62" s="4102" t="n"/>
      <c r="Z62" s="4102" t="n"/>
      <c r="AA62" s="4102" t="n"/>
      <c r="AB62" s="4102" t="n"/>
      <c r="AC62" s="4103" t="n"/>
      <c r="AD62" s="4102" t="n"/>
      <c r="AE62" s="4102" t="n"/>
      <c r="AF62" s="4102" t="n"/>
      <c r="AG62" s="4102" t="n"/>
      <c r="AH62" s="4102" t="n"/>
      <c r="AI62" s="4102" t="n"/>
      <c r="AJ62" s="4102" t="n"/>
      <c r="AK62" s="4102" t="n"/>
      <c r="AL62" s="4102" t="n"/>
      <c r="AM62" s="4102" t="n"/>
      <c r="AN62" s="4102" t="n"/>
      <c r="AO62" s="4103" t="n"/>
      <c r="AP62" s="4102" t="n">
        <v>0.00105</v>
      </c>
      <c r="AQ62" s="4102" t="n">
        <v>0.00259</v>
      </c>
      <c r="AR62" s="4102" t="n">
        <v>0.02482</v>
      </c>
      <c r="AS62" s="4102" t="n">
        <v>0.08097</v>
      </c>
      <c r="AT62" s="4102" t="n">
        <v>0.04396</v>
      </c>
      <c r="AU62" s="4104" t="n">
        <v>0.05261</v>
      </c>
      <c r="AV62" s="4102">
        <f>SUM(F62:Q62)</f>
        <v/>
      </c>
      <c r="AW62" s="4102">
        <f>SUM(R62:AC62)</f>
        <v/>
      </c>
      <c r="AX62" s="4102">
        <f>SUM(AD62:AO62)</f>
        <v/>
      </c>
      <c r="AY62" s="4102">
        <f>SUM(AH62:AS62)</f>
        <v/>
      </c>
      <c r="AZ62" s="4102">
        <f>SUM(AJ62:AU62)</f>
        <v/>
      </c>
      <c r="BA62" s="3737" t="n"/>
      <c r="BB62" s="4105">
        <f>IFERROR(F62/F$117,0)</f>
        <v/>
      </c>
      <c r="BC62" s="4105">
        <f>IFERROR(G62/G$117,0)</f>
        <v/>
      </c>
      <c r="BD62" s="4105">
        <f>IFERROR(H62/H$117,0)</f>
        <v/>
      </c>
      <c r="BE62" s="4105">
        <f>IFERROR(I62/I$117,0)</f>
        <v/>
      </c>
      <c r="BF62" s="4105">
        <f>IFERROR(J62/J$117,0)</f>
        <v/>
      </c>
      <c r="BG62" s="4105">
        <f>IFERROR(K62/K$117,0)</f>
        <v/>
      </c>
      <c r="BH62" s="4105">
        <f>IFERROR(L62/L$117,0)</f>
        <v/>
      </c>
      <c r="BI62" s="4105">
        <f>IFERROR(M62/M$117,0)</f>
        <v/>
      </c>
      <c r="BJ62" s="4105">
        <f>IFERROR(N62/N$117,0)</f>
        <v/>
      </c>
      <c r="BK62" s="4105">
        <f>IFERROR(O62/O$117,0)</f>
        <v/>
      </c>
      <c r="BL62" s="4105">
        <f>IFERROR(P62/P$117,0)</f>
        <v/>
      </c>
      <c r="BM62" s="4106">
        <f>IFERROR(Q62/Q$117,0)</f>
        <v/>
      </c>
      <c r="BN62" s="4105">
        <f>IFERROR(R62/R$117,0)</f>
        <v/>
      </c>
      <c r="BO62" s="4105">
        <f>IFERROR(S62/S$117,0)</f>
        <v/>
      </c>
      <c r="BP62" s="4105">
        <f>IFERROR(T62/T$117,0)</f>
        <v/>
      </c>
      <c r="BQ62" s="4105">
        <f>IFERROR(U62/U$117,0)</f>
        <v/>
      </c>
      <c r="BR62" s="4105">
        <f>IFERROR(V62/V$117,0)</f>
        <v/>
      </c>
      <c r="BS62" s="4105">
        <f>IFERROR(W62/W$117,0)</f>
        <v/>
      </c>
      <c r="BT62" s="4105">
        <f>IFERROR(X62/X$117,0)</f>
        <v/>
      </c>
      <c r="BU62" s="4105">
        <f>IFERROR(Y62/Y$117,0)</f>
        <v/>
      </c>
      <c r="BV62" s="4105">
        <f>IFERROR(Z62/Z$117,0)</f>
        <v/>
      </c>
      <c r="BW62" s="4105">
        <f>IFERROR(AA62/AA$117,0)</f>
        <v/>
      </c>
      <c r="BX62" s="4105">
        <f>IFERROR(AB62/AB$117,0)</f>
        <v/>
      </c>
      <c r="BY62" s="4106">
        <f>IFERROR(AC62/AC$117,0)</f>
        <v/>
      </c>
      <c r="BZ62" s="4105">
        <f>IFERROR(AD62/AD$117,0)</f>
        <v/>
      </c>
      <c r="CA62" s="4105">
        <f>IFERROR(AE62/AE$117,0)</f>
        <v/>
      </c>
      <c r="CB62" s="4105">
        <f>IFERROR(AF62/AF$117,0)</f>
        <v/>
      </c>
      <c r="CC62" s="4105">
        <f>IFERROR(AG62/AG$117,0)</f>
        <v/>
      </c>
      <c r="CD62" s="4105">
        <f>IFERROR(AH62/AH$117,0)</f>
        <v/>
      </c>
      <c r="CE62" s="4105">
        <f>IFERROR(AI62/AI$117,0)</f>
        <v/>
      </c>
      <c r="CF62" s="4105">
        <f>IFERROR(AJ62/AJ$117,0)</f>
        <v/>
      </c>
      <c r="CG62" s="4105">
        <f>IFERROR(AK62/AK$117,0)</f>
        <v/>
      </c>
      <c r="CH62" s="4105">
        <f>IFERROR(AL62/AL$117,0)</f>
        <v/>
      </c>
      <c r="CI62" s="4105">
        <f>IFERROR(AM62/AM$117,0)</f>
        <v/>
      </c>
      <c r="CJ62" s="4105">
        <f>IFERROR(AN62/AN$117,0)</f>
        <v/>
      </c>
      <c r="CK62" s="4106">
        <f>IFERROR(AO62/AO$117,0)</f>
        <v/>
      </c>
      <c r="CL62" s="4105">
        <f>IFERROR(AP62/AP$117,0)</f>
        <v/>
      </c>
      <c r="CM62" s="4105">
        <f>IFERROR(AQ62/AQ$117,0)</f>
        <v/>
      </c>
      <c r="CN62" s="4105">
        <f>IFERROR(AR62/AR$117,0)</f>
        <v/>
      </c>
      <c r="CO62" s="4105">
        <f>IFERROR(AS62/AS$117,0)</f>
        <v/>
      </c>
      <c r="CP62" s="4105">
        <f>IFERROR(AT62/AT$117,0)</f>
        <v/>
      </c>
      <c r="CQ62" s="4107">
        <f>IFERROR(AU62/AU$117,0)</f>
        <v/>
      </c>
      <c r="CR62" s="4105">
        <f>IFERROR(AV62/AV$117,0)</f>
        <v/>
      </c>
      <c r="CS62" s="4105">
        <f>IFERROR(AW62/AW$117,0)</f>
        <v/>
      </c>
      <c r="CT62" s="4105">
        <f>IFERROR(AX62/AX$117,0)</f>
        <v/>
      </c>
      <c r="CU62" s="4105">
        <f>IFERROR(AY62/AY$117,0)</f>
        <v/>
      </c>
      <c r="CV62" s="4105">
        <f>IFERROR(AZ62/AZ$117,0)</f>
        <v/>
      </c>
      <c r="CW62" s="3737" t="n"/>
      <c r="CX62" s="4102" t="n">
        <v>-5.86233</v>
      </c>
    </row>
    <row r="63" hidden="1" outlineLevel="1" collapsed="1" ht="12" customFormat="1" customHeight="1" s="3737">
      <c r="A63" s="4059" t="n"/>
      <c r="B63" s="4060" t="n"/>
      <c r="C63" s="4111" t="inlineStr">
        <is>
          <t>Pass thru revenue</t>
        </is>
      </c>
      <c r="D63" s="4093" t="n"/>
      <c r="E63" s="4093" t="n"/>
      <c r="F63" s="4094" t="n"/>
      <c r="G63" s="4094" t="n"/>
      <c r="H63" s="4094" t="n"/>
      <c r="I63" s="4094" t="n"/>
      <c r="J63" s="4094" t="n"/>
      <c r="K63" s="4094" t="n"/>
      <c r="L63" s="4094" t="n"/>
      <c r="M63" s="4094" t="n"/>
      <c r="N63" s="4094" t="n"/>
      <c r="O63" s="4094" t="n"/>
      <c r="P63" s="4094" t="n"/>
      <c r="Q63" s="4095" t="n"/>
      <c r="R63" s="4094" t="n"/>
      <c r="S63" s="4094" t="n"/>
      <c r="T63" s="4094" t="n"/>
      <c r="U63" s="4094" t="n"/>
      <c r="V63" s="4094" t="n"/>
      <c r="W63" s="4094" t="n"/>
      <c r="X63" s="4094" t="n"/>
      <c r="Y63" s="4094" t="n"/>
      <c r="Z63" s="4094" t="n"/>
      <c r="AA63" s="4094" t="n"/>
      <c r="AB63" s="4094" t="n"/>
      <c r="AC63" s="4095" t="n"/>
      <c r="AD63" s="4094" t="n"/>
      <c r="AE63" s="4094" t="n"/>
      <c r="AF63" s="4094" t="n"/>
      <c r="AG63" s="4094" t="n"/>
      <c r="AH63" s="4094" t="n"/>
      <c r="AI63" s="4094" t="n"/>
      <c r="AJ63" s="4094" t="n"/>
      <c r="AK63" s="4094" t="n"/>
      <c r="AL63" s="4094" t="n"/>
      <c r="AM63" s="4094" t="n"/>
      <c r="AN63" s="4094" t="n"/>
      <c r="AO63" s="4095" t="n"/>
      <c r="AP63" s="4094">
        <f>SUM(AP39:AP62)</f>
        <v/>
      </c>
      <c r="AQ63" s="4094">
        <f>SUM(AQ39:AQ62)</f>
        <v/>
      </c>
      <c r="AR63" s="4094">
        <f>SUM(AR39:AR62)</f>
        <v/>
      </c>
      <c r="AS63" s="4094">
        <f>SUM(AS39:AS62)</f>
        <v/>
      </c>
      <c r="AT63" s="4094">
        <f>SUM(AT39:AT62)</f>
        <v/>
      </c>
      <c r="AU63" s="4096">
        <f>SUM(AU39:AU62)</f>
        <v/>
      </c>
      <c r="AV63" s="4094">
        <f>SUM(AV39:AV62)</f>
        <v/>
      </c>
      <c r="AW63" s="4094">
        <f>SUM(AW39:AW62)</f>
        <v/>
      </c>
      <c r="AX63" s="4094">
        <f>SUM(AX39:AX62)</f>
        <v/>
      </c>
      <c r="AY63" s="4094">
        <f>SUM(AY39:AY62)</f>
        <v/>
      </c>
      <c r="AZ63" s="4094">
        <f>SUM(AZ39:AZ62)</f>
        <v/>
      </c>
      <c r="BA63" s="3737" t="n"/>
      <c r="BB63" s="4097">
        <f>IFERROR(F63/F$117,0)</f>
        <v/>
      </c>
      <c r="BC63" s="4097">
        <f>IFERROR(G63/G$117,0)</f>
        <v/>
      </c>
      <c r="BD63" s="4097">
        <f>IFERROR(H63/H$117,0)</f>
        <v/>
      </c>
      <c r="BE63" s="4097">
        <f>IFERROR(I63/I$117,0)</f>
        <v/>
      </c>
      <c r="BF63" s="4097">
        <f>IFERROR(J63/J$117,0)</f>
        <v/>
      </c>
      <c r="BG63" s="4097">
        <f>IFERROR(K63/K$117,0)</f>
        <v/>
      </c>
      <c r="BH63" s="4097">
        <f>IFERROR(L63/L$117,0)</f>
        <v/>
      </c>
      <c r="BI63" s="4097">
        <f>IFERROR(M63/M$117,0)</f>
        <v/>
      </c>
      <c r="BJ63" s="4097">
        <f>IFERROR(N63/N$117,0)</f>
        <v/>
      </c>
      <c r="BK63" s="4097">
        <f>IFERROR(O63/O$117,0)</f>
        <v/>
      </c>
      <c r="BL63" s="4097">
        <f>IFERROR(P63/P$117,0)</f>
        <v/>
      </c>
      <c r="BM63" s="4098">
        <f>IFERROR(Q63/Q$117,0)</f>
        <v/>
      </c>
      <c r="BN63" s="4097">
        <f>IFERROR(R63/R$117,0)</f>
        <v/>
      </c>
      <c r="BO63" s="4097">
        <f>IFERROR(S63/S$117,0)</f>
        <v/>
      </c>
      <c r="BP63" s="4097">
        <f>IFERROR(T63/T$117,0)</f>
        <v/>
      </c>
      <c r="BQ63" s="4097">
        <f>IFERROR(U63/U$117,0)</f>
        <v/>
      </c>
      <c r="BR63" s="4097">
        <f>IFERROR(V63/V$117,0)</f>
        <v/>
      </c>
      <c r="BS63" s="4097">
        <f>IFERROR(W63/W$117,0)</f>
        <v/>
      </c>
      <c r="BT63" s="4097">
        <f>IFERROR(X63/X$117,0)</f>
        <v/>
      </c>
      <c r="BU63" s="4097">
        <f>IFERROR(Y63/Y$117,0)</f>
        <v/>
      </c>
      <c r="BV63" s="4097">
        <f>IFERROR(Z63/Z$117,0)</f>
        <v/>
      </c>
      <c r="BW63" s="4097">
        <f>IFERROR(AA63/AA$117,0)</f>
        <v/>
      </c>
      <c r="BX63" s="4097">
        <f>IFERROR(AB63/AB$117,0)</f>
        <v/>
      </c>
      <c r="BY63" s="4098">
        <f>IFERROR(AC63/AC$117,0)</f>
        <v/>
      </c>
      <c r="BZ63" s="4097">
        <f>IFERROR(AD63/AD$117,0)</f>
        <v/>
      </c>
      <c r="CA63" s="4097">
        <f>IFERROR(AE63/AE$117,0)</f>
        <v/>
      </c>
      <c r="CB63" s="4097">
        <f>IFERROR(AF63/AF$117,0)</f>
        <v/>
      </c>
      <c r="CC63" s="4097">
        <f>IFERROR(AG63/AG$117,0)</f>
        <v/>
      </c>
      <c r="CD63" s="4097">
        <f>IFERROR(AH63/AH$117,0)</f>
        <v/>
      </c>
      <c r="CE63" s="4097">
        <f>IFERROR(AI63/AI$117,0)</f>
        <v/>
      </c>
      <c r="CF63" s="4097">
        <f>IFERROR(AJ63/AJ$117,0)</f>
        <v/>
      </c>
      <c r="CG63" s="4097">
        <f>IFERROR(AK63/AK$117,0)</f>
        <v/>
      </c>
      <c r="CH63" s="4097">
        <f>IFERROR(AL63/AL$117,0)</f>
        <v/>
      </c>
      <c r="CI63" s="4097">
        <f>IFERROR(AM63/AM$117,0)</f>
        <v/>
      </c>
      <c r="CJ63" s="4097">
        <f>IFERROR(AN63/AN$117,0)</f>
        <v/>
      </c>
      <c r="CK63" s="4098">
        <f>IFERROR(AO63/AO$117,0)</f>
        <v/>
      </c>
      <c r="CL63" s="4097">
        <f>IFERROR(AP63/AP$117,0)</f>
        <v/>
      </c>
      <c r="CM63" s="4097">
        <f>IFERROR(AQ63/AQ$117,0)</f>
        <v/>
      </c>
      <c r="CN63" s="4097">
        <f>IFERROR(AR63/AR$117,0)</f>
        <v/>
      </c>
      <c r="CO63" s="4097">
        <f>IFERROR(AS63/AS$117,0)</f>
        <v/>
      </c>
      <c r="CP63" s="4097">
        <f>IFERROR(AT63/AT$117,0)</f>
        <v/>
      </c>
      <c r="CQ63" s="4099">
        <f>IFERROR(AU63/AU$117,0)</f>
        <v/>
      </c>
      <c r="CR63" s="4097">
        <f>IFERROR(AV63/AV$117,0)</f>
        <v/>
      </c>
      <c r="CS63" s="4097">
        <f>IFERROR(AW63/AW$117,0)</f>
        <v/>
      </c>
      <c r="CT63" s="4097">
        <f>IFERROR(AX63/AX$117,0)</f>
        <v/>
      </c>
      <c r="CU63" s="4097">
        <f>IFERROR(AY63/AY$117,0)</f>
        <v/>
      </c>
      <c r="CV63" s="4097">
        <f>IFERROR(AZ63/AZ$117,0)</f>
        <v/>
      </c>
      <c r="CW63" s="3737" t="n"/>
      <c r="CX63" s="4094">
        <f>SUM(CX39:CX62)</f>
        <v/>
      </c>
    </row>
    <row r="64" hidden="1" outlineLevel="2" ht="12" customFormat="1" customHeight="1" s="3737">
      <c r="A64" s="4059" t="n"/>
      <c r="B64" s="4060" t="n"/>
      <c r="C64" s="4109" t="inlineStr">
        <is>
          <t>Professional service fees revenue</t>
        </is>
      </c>
      <c r="D64" s="4093" t="n">
        <v>425101</v>
      </c>
      <c r="E64" s="4093">
        <f>CONCATENATE(D64," - ",C64)</f>
        <v/>
      </c>
      <c r="F64" s="4094" t="n"/>
      <c r="G64" s="4094" t="n"/>
      <c r="H64" s="4094" t="n"/>
      <c r="I64" s="4094" t="n"/>
      <c r="J64" s="4094" t="n"/>
      <c r="K64" s="4094" t="n"/>
      <c r="L64" s="4094" t="n"/>
      <c r="M64" s="4094" t="n"/>
      <c r="N64" s="4094" t="n"/>
      <c r="O64" s="4094" t="n"/>
      <c r="P64" s="4094" t="n"/>
      <c r="Q64" s="4095" t="n"/>
      <c r="R64" s="4094" t="n"/>
      <c r="S64" s="4094" t="n"/>
      <c r="T64" s="4094" t="n"/>
      <c r="U64" s="4094" t="n"/>
      <c r="V64" s="4094" t="n"/>
      <c r="W64" s="4094" t="n"/>
      <c r="X64" s="4094" t="n"/>
      <c r="Y64" s="4094" t="n"/>
      <c r="Z64" s="4094" t="n"/>
      <c r="AA64" s="4094" t="n"/>
      <c r="AB64" s="4094" t="n"/>
      <c r="AC64" s="4095" t="n"/>
      <c r="AD64" s="4094" t="n"/>
      <c r="AE64" s="4094" t="n"/>
      <c r="AF64" s="4094" t="n"/>
      <c r="AG64" s="4094" t="n"/>
      <c r="AH64" s="4094" t="n"/>
      <c r="AI64" s="4094" t="n"/>
      <c r="AJ64" s="4094" t="n"/>
      <c r="AK64" s="4094" t="n"/>
      <c r="AL64" s="4094" t="n"/>
      <c r="AM64" s="4094" t="n"/>
      <c r="AN64" s="4094" t="n"/>
      <c r="AO64" s="4095" t="n"/>
      <c r="AP64" s="4094" t="n">
        <v>116.54162</v>
      </c>
      <c r="AQ64" s="4094" t="n">
        <v>182.58973</v>
      </c>
      <c r="AR64" s="4094" t="n">
        <v>355.73413</v>
      </c>
      <c r="AS64" s="4094" t="n">
        <v>284.14774</v>
      </c>
      <c r="AT64" s="4094" t="n">
        <v>193.82576</v>
      </c>
      <c r="AU64" s="4096" t="n">
        <v>259.26189</v>
      </c>
      <c r="AV64" s="4094">
        <f>SUM(F64:Q64)</f>
        <v/>
      </c>
      <c r="AW64" s="4094">
        <f>SUM(R64:AC64)</f>
        <v/>
      </c>
      <c r="AX64" s="4094">
        <f>SUM(AD64:AO64)</f>
        <v/>
      </c>
      <c r="AY64" s="4094">
        <f>SUM(AH64:AS64)</f>
        <v/>
      </c>
      <c r="AZ64" s="4094">
        <f>SUM(AJ64:AU64)</f>
        <v/>
      </c>
      <c r="BA64" s="3737" t="n"/>
      <c r="BB64" s="4097">
        <f>IFERROR(F64/F$117,0)</f>
        <v/>
      </c>
      <c r="BC64" s="4097">
        <f>IFERROR(G64/G$117,0)</f>
        <v/>
      </c>
      <c r="BD64" s="4097">
        <f>IFERROR(H64/H$117,0)</f>
        <v/>
      </c>
      <c r="BE64" s="4097">
        <f>IFERROR(I64/I$117,0)</f>
        <v/>
      </c>
      <c r="BF64" s="4097">
        <f>IFERROR(J64/J$117,0)</f>
        <v/>
      </c>
      <c r="BG64" s="4097">
        <f>IFERROR(K64/K$117,0)</f>
        <v/>
      </c>
      <c r="BH64" s="4097">
        <f>IFERROR(L64/L$117,0)</f>
        <v/>
      </c>
      <c r="BI64" s="4097">
        <f>IFERROR(M64/M$117,0)</f>
        <v/>
      </c>
      <c r="BJ64" s="4097">
        <f>IFERROR(N64/N$117,0)</f>
        <v/>
      </c>
      <c r="BK64" s="4097">
        <f>IFERROR(O64/O$117,0)</f>
        <v/>
      </c>
      <c r="BL64" s="4097">
        <f>IFERROR(P64/P$117,0)</f>
        <v/>
      </c>
      <c r="BM64" s="4098">
        <f>IFERROR(Q64/Q$117,0)</f>
        <v/>
      </c>
      <c r="BN64" s="4097">
        <f>IFERROR(R64/R$117,0)</f>
        <v/>
      </c>
      <c r="BO64" s="4097">
        <f>IFERROR(S64/S$117,0)</f>
        <v/>
      </c>
      <c r="BP64" s="4097">
        <f>IFERROR(T64/T$117,0)</f>
        <v/>
      </c>
      <c r="BQ64" s="4097">
        <f>IFERROR(U64/U$117,0)</f>
        <v/>
      </c>
      <c r="BR64" s="4097">
        <f>IFERROR(V64/V$117,0)</f>
        <v/>
      </c>
      <c r="BS64" s="4097">
        <f>IFERROR(W64/W$117,0)</f>
        <v/>
      </c>
      <c r="BT64" s="4097">
        <f>IFERROR(X64/X$117,0)</f>
        <v/>
      </c>
      <c r="BU64" s="4097">
        <f>IFERROR(Y64/Y$117,0)</f>
        <v/>
      </c>
      <c r="BV64" s="4097">
        <f>IFERROR(Z64/Z$117,0)</f>
        <v/>
      </c>
      <c r="BW64" s="4097">
        <f>IFERROR(AA64/AA$117,0)</f>
        <v/>
      </c>
      <c r="BX64" s="4097">
        <f>IFERROR(AB64/AB$117,0)</f>
        <v/>
      </c>
      <c r="BY64" s="4098">
        <f>IFERROR(AC64/AC$117,0)</f>
        <v/>
      </c>
      <c r="BZ64" s="4097">
        <f>IFERROR(AD64/AD$117,0)</f>
        <v/>
      </c>
      <c r="CA64" s="4097">
        <f>IFERROR(AE64/AE$117,0)</f>
        <v/>
      </c>
      <c r="CB64" s="4097">
        <f>IFERROR(AF64/AF$117,0)</f>
        <v/>
      </c>
      <c r="CC64" s="4097">
        <f>IFERROR(AG64/AG$117,0)</f>
        <v/>
      </c>
      <c r="CD64" s="4097">
        <f>IFERROR(AH64/AH$117,0)</f>
        <v/>
      </c>
      <c r="CE64" s="4097">
        <f>IFERROR(AI64/AI$117,0)</f>
        <v/>
      </c>
      <c r="CF64" s="4097">
        <f>IFERROR(AJ64/AJ$117,0)</f>
        <v/>
      </c>
      <c r="CG64" s="4097">
        <f>IFERROR(AK64/AK$117,0)</f>
        <v/>
      </c>
      <c r="CH64" s="4097">
        <f>IFERROR(AL64/AL$117,0)</f>
        <v/>
      </c>
      <c r="CI64" s="4097">
        <f>IFERROR(AM64/AM$117,0)</f>
        <v/>
      </c>
      <c r="CJ64" s="4097">
        <f>IFERROR(AN64/AN$117,0)</f>
        <v/>
      </c>
      <c r="CK64" s="4098">
        <f>IFERROR(AO64/AO$117,0)</f>
        <v/>
      </c>
      <c r="CL64" s="4097">
        <f>IFERROR(AP64/AP$117,0)</f>
        <v/>
      </c>
      <c r="CM64" s="4097">
        <f>IFERROR(AQ64/AQ$117,0)</f>
        <v/>
      </c>
      <c r="CN64" s="4097">
        <f>IFERROR(AR64/AR$117,0)</f>
        <v/>
      </c>
      <c r="CO64" s="4097">
        <f>IFERROR(AS64/AS$117,0)</f>
        <v/>
      </c>
      <c r="CP64" s="4097">
        <f>IFERROR(AT64/AT$117,0)</f>
        <v/>
      </c>
      <c r="CQ64" s="4099">
        <f>IFERROR(AU64/AU$117,0)</f>
        <v/>
      </c>
      <c r="CR64" s="4097">
        <f>IFERROR(AV64/AV$117,0)</f>
        <v/>
      </c>
      <c r="CS64" s="4097">
        <f>IFERROR(AW64/AW$117,0)</f>
        <v/>
      </c>
      <c r="CT64" s="4097">
        <f>IFERROR(AX64/AX$117,0)</f>
        <v/>
      </c>
      <c r="CU64" s="4097">
        <f>IFERROR(AY64/AY$117,0)</f>
        <v/>
      </c>
      <c r="CV64" s="4097">
        <f>IFERROR(AZ64/AZ$117,0)</f>
        <v/>
      </c>
      <c r="CW64" s="3737" t="n"/>
      <c r="CX64" s="4094" t="n">
        <v>2377.77292</v>
      </c>
    </row>
    <row r="65" hidden="1" outlineLevel="2" ht="12" customFormat="1" customHeight="1" s="3737">
      <c r="A65" s="4059" t="n"/>
      <c r="B65" s="4060" t="n"/>
      <c r="C65" s="4109" t="inlineStr">
        <is>
          <t>Professional service fees - major projects</t>
        </is>
      </c>
      <c r="D65" s="4093" t="n">
        <v>425103</v>
      </c>
      <c r="E65" s="4093">
        <f>CONCATENATE(D65," - ",C65)</f>
        <v/>
      </c>
      <c r="F65" s="4094" t="n"/>
      <c r="G65" s="4094" t="n"/>
      <c r="H65" s="4094" t="n"/>
      <c r="I65" s="4094" t="n"/>
      <c r="J65" s="4094" t="n"/>
      <c r="K65" s="4094" t="n"/>
      <c r="L65" s="4094" t="n"/>
      <c r="M65" s="4094" t="n"/>
      <c r="N65" s="4094" t="n"/>
      <c r="O65" s="4094" t="n"/>
      <c r="P65" s="4094" t="n"/>
      <c r="Q65" s="4095" t="n"/>
      <c r="R65" s="4094" t="n"/>
      <c r="S65" s="4094" t="n"/>
      <c r="T65" s="4094" t="n"/>
      <c r="U65" s="4094" t="n"/>
      <c r="V65" s="4094" t="n"/>
      <c r="W65" s="4094" t="n"/>
      <c r="X65" s="4094" t="n"/>
      <c r="Y65" s="4094" t="n"/>
      <c r="Z65" s="4094" t="n"/>
      <c r="AA65" s="4094" t="n"/>
      <c r="AB65" s="4094" t="n"/>
      <c r="AC65" s="4095" t="n"/>
      <c r="AD65" s="4094" t="n"/>
      <c r="AE65" s="4094" t="n"/>
      <c r="AF65" s="4094" t="n"/>
      <c r="AG65" s="4094" t="n"/>
      <c r="AH65" s="4094" t="n"/>
      <c r="AI65" s="4094" t="n"/>
      <c r="AJ65" s="4094" t="n"/>
      <c r="AK65" s="4094" t="n"/>
      <c r="AL65" s="4094" t="n"/>
      <c r="AM65" s="4094" t="n"/>
      <c r="AN65" s="4094" t="n"/>
      <c r="AO65" s="4095" t="n"/>
      <c r="AP65" s="4094" t="n">
        <v>42.69456</v>
      </c>
      <c r="AQ65" s="4094" t="n">
        <v>51.54425</v>
      </c>
      <c r="AR65" s="4094" t="n">
        <v>56.43038</v>
      </c>
      <c r="AS65" s="4094" t="n">
        <v>75.85172</v>
      </c>
      <c r="AT65" s="4094" t="n">
        <v>84.11632</v>
      </c>
      <c r="AU65" s="4096" t="n">
        <v>27.30781</v>
      </c>
      <c r="AV65" s="4094">
        <f>SUM(F65:Q65)</f>
        <v/>
      </c>
      <c r="AW65" s="4094">
        <f>SUM(R65:AC65)</f>
        <v/>
      </c>
      <c r="AX65" s="4094">
        <f>SUM(AD65:AO65)</f>
        <v/>
      </c>
      <c r="AY65" s="4094">
        <f>SUM(AH65:AS65)</f>
        <v/>
      </c>
      <c r="AZ65" s="4094">
        <f>SUM(AJ65:AU65)</f>
        <v/>
      </c>
      <c r="BA65" s="3737" t="n"/>
      <c r="BB65" s="4097">
        <f>IFERROR(F65/F$117,0)</f>
        <v/>
      </c>
      <c r="BC65" s="4097">
        <f>IFERROR(G65/G$117,0)</f>
        <v/>
      </c>
      <c r="BD65" s="4097">
        <f>IFERROR(H65/H$117,0)</f>
        <v/>
      </c>
      <c r="BE65" s="4097">
        <f>IFERROR(I65/I$117,0)</f>
        <v/>
      </c>
      <c r="BF65" s="4097">
        <f>IFERROR(J65/J$117,0)</f>
        <v/>
      </c>
      <c r="BG65" s="4097">
        <f>IFERROR(K65/K$117,0)</f>
        <v/>
      </c>
      <c r="BH65" s="4097">
        <f>IFERROR(L65/L$117,0)</f>
        <v/>
      </c>
      <c r="BI65" s="4097">
        <f>IFERROR(M65/M$117,0)</f>
        <v/>
      </c>
      <c r="BJ65" s="4097">
        <f>IFERROR(N65/N$117,0)</f>
        <v/>
      </c>
      <c r="BK65" s="4097">
        <f>IFERROR(O65/O$117,0)</f>
        <v/>
      </c>
      <c r="BL65" s="4097">
        <f>IFERROR(P65/P$117,0)</f>
        <v/>
      </c>
      <c r="BM65" s="4098">
        <f>IFERROR(Q65/Q$117,0)</f>
        <v/>
      </c>
      <c r="BN65" s="4097">
        <f>IFERROR(R65/R$117,0)</f>
        <v/>
      </c>
      <c r="BO65" s="4097">
        <f>IFERROR(S65/S$117,0)</f>
        <v/>
      </c>
      <c r="BP65" s="4097">
        <f>IFERROR(T65/T$117,0)</f>
        <v/>
      </c>
      <c r="BQ65" s="4097">
        <f>IFERROR(U65/U$117,0)</f>
        <v/>
      </c>
      <c r="BR65" s="4097">
        <f>IFERROR(V65/V$117,0)</f>
        <v/>
      </c>
      <c r="BS65" s="4097">
        <f>IFERROR(W65/W$117,0)</f>
        <v/>
      </c>
      <c r="BT65" s="4097">
        <f>IFERROR(X65/X$117,0)</f>
        <v/>
      </c>
      <c r="BU65" s="4097">
        <f>IFERROR(Y65/Y$117,0)</f>
        <v/>
      </c>
      <c r="BV65" s="4097">
        <f>IFERROR(Z65/Z$117,0)</f>
        <v/>
      </c>
      <c r="BW65" s="4097">
        <f>IFERROR(AA65/AA$117,0)</f>
        <v/>
      </c>
      <c r="BX65" s="4097">
        <f>IFERROR(AB65/AB$117,0)</f>
        <v/>
      </c>
      <c r="BY65" s="4098">
        <f>IFERROR(AC65/AC$117,0)</f>
        <v/>
      </c>
      <c r="BZ65" s="4097">
        <f>IFERROR(AD65/AD$117,0)</f>
        <v/>
      </c>
      <c r="CA65" s="4097">
        <f>IFERROR(AE65/AE$117,0)</f>
        <v/>
      </c>
      <c r="CB65" s="4097">
        <f>IFERROR(AF65/AF$117,0)</f>
        <v/>
      </c>
      <c r="CC65" s="4097">
        <f>IFERROR(AG65/AG$117,0)</f>
        <v/>
      </c>
      <c r="CD65" s="4097">
        <f>IFERROR(AH65/AH$117,0)</f>
        <v/>
      </c>
      <c r="CE65" s="4097">
        <f>IFERROR(AI65/AI$117,0)</f>
        <v/>
      </c>
      <c r="CF65" s="4097">
        <f>IFERROR(AJ65/AJ$117,0)</f>
        <v/>
      </c>
      <c r="CG65" s="4097">
        <f>IFERROR(AK65/AK$117,0)</f>
        <v/>
      </c>
      <c r="CH65" s="4097">
        <f>IFERROR(AL65/AL$117,0)</f>
        <v/>
      </c>
      <c r="CI65" s="4097">
        <f>IFERROR(AM65/AM$117,0)</f>
        <v/>
      </c>
      <c r="CJ65" s="4097">
        <f>IFERROR(AN65/AN$117,0)</f>
        <v/>
      </c>
      <c r="CK65" s="4098">
        <f>IFERROR(AO65/AO$117,0)</f>
        <v/>
      </c>
      <c r="CL65" s="4097">
        <f>IFERROR(AP65/AP$117,0)</f>
        <v/>
      </c>
      <c r="CM65" s="4097">
        <f>IFERROR(AQ65/AQ$117,0)</f>
        <v/>
      </c>
      <c r="CN65" s="4097">
        <f>IFERROR(AR65/AR$117,0)</f>
        <v/>
      </c>
      <c r="CO65" s="4097">
        <f>IFERROR(AS65/AS$117,0)</f>
        <v/>
      </c>
      <c r="CP65" s="4097">
        <f>IFERROR(AT65/AT$117,0)</f>
        <v/>
      </c>
      <c r="CQ65" s="4099">
        <f>IFERROR(AU65/AU$117,0)</f>
        <v/>
      </c>
      <c r="CR65" s="4097">
        <f>IFERROR(AV65/AV$117,0)</f>
        <v/>
      </c>
      <c r="CS65" s="4097">
        <f>IFERROR(AW65/AW$117,0)</f>
        <v/>
      </c>
      <c r="CT65" s="4097">
        <f>IFERROR(AX65/AX$117,0)</f>
        <v/>
      </c>
      <c r="CU65" s="4097">
        <f>IFERROR(AY65/AY$117,0)</f>
        <v/>
      </c>
      <c r="CV65" s="4097">
        <f>IFERROR(AZ65/AZ$117,0)</f>
        <v/>
      </c>
      <c r="CW65" s="3737" t="n"/>
      <c r="CX65" s="4094" t="n">
        <v>531.64608</v>
      </c>
    </row>
    <row r="66" hidden="1" outlineLevel="2" ht="12" customFormat="1" customHeight="1" s="3737">
      <c r="A66" s="4059" t="n"/>
      <c r="B66" s="4060" t="n"/>
      <c r="C66" s="4109" t="inlineStr">
        <is>
          <t>Dma - program onboarding fee</t>
        </is>
      </c>
      <c r="D66" s="4093" t="n">
        <v>425110</v>
      </c>
      <c r="E66" s="4093">
        <f>CONCATENATE(D66," - ",C66)</f>
        <v/>
      </c>
      <c r="F66" s="4094" t="n"/>
      <c r="G66" s="4094" t="n"/>
      <c r="H66" s="4094" t="n"/>
      <c r="I66" s="4094" t="n"/>
      <c r="J66" s="4094" t="n"/>
      <c r="K66" s="4094" t="n"/>
      <c r="L66" s="4094" t="n"/>
      <c r="M66" s="4094" t="n"/>
      <c r="N66" s="4094" t="n"/>
      <c r="O66" s="4094" t="n"/>
      <c r="P66" s="4094" t="n"/>
      <c r="Q66" s="4095" t="n"/>
      <c r="R66" s="4094" t="n"/>
      <c r="S66" s="4094" t="n"/>
      <c r="T66" s="4094" t="n"/>
      <c r="U66" s="4094" t="n"/>
      <c r="V66" s="4094" t="n"/>
      <c r="W66" s="4094" t="n"/>
      <c r="X66" s="4094" t="n"/>
      <c r="Y66" s="4094" t="n"/>
      <c r="Z66" s="4094" t="n"/>
      <c r="AA66" s="4094" t="n"/>
      <c r="AB66" s="4094" t="n"/>
      <c r="AC66" s="4095" t="n"/>
      <c r="AD66" s="4094" t="n"/>
      <c r="AE66" s="4094" t="n"/>
      <c r="AF66" s="4094" t="n"/>
      <c r="AG66" s="4094" t="n"/>
      <c r="AH66" s="4094" t="n"/>
      <c r="AI66" s="4094" t="n"/>
      <c r="AJ66" s="4094" t="n"/>
      <c r="AK66" s="4094" t="n"/>
      <c r="AL66" s="4094" t="n"/>
      <c r="AM66" s="4094" t="n"/>
      <c r="AN66" s="4094" t="n"/>
      <c r="AO66" s="4095" t="n"/>
      <c r="AP66" s="4094" t="n">
        <v>0</v>
      </c>
      <c r="AQ66" s="4094" t="n">
        <v>0</v>
      </c>
      <c r="AR66" s="4094" t="n">
        <v>0</v>
      </c>
      <c r="AS66" s="4094" t="n">
        <v>0</v>
      </c>
      <c r="AT66" s="4094" t="n">
        <v>0</v>
      </c>
      <c r="AU66" s="4096" t="n">
        <v>0</v>
      </c>
      <c r="AV66" s="4094">
        <f>SUM(F66:Q66)</f>
        <v/>
      </c>
      <c r="AW66" s="4094">
        <f>SUM(R66:AC66)</f>
        <v/>
      </c>
      <c r="AX66" s="4094">
        <f>SUM(AD66:AO66)</f>
        <v/>
      </c>
      <c r="AY66" s="4094">
        <f>SUM(AH66:AS66)</f>
        <v/>
      </c>
      <c r="AZ66" s="4094">
        <f>SUM(AJ66:AU66)</f>
        <v/>
      </c>
      <c r="BA66" s="3737" t="n"/>
      <c r="BB66" s="4097">
        <f>IFERROR(F66/F$117,0)</f>
        <v/>
      </c>
      <c r="BC66" s="4097">
        <f>IFERROR(G66/G$117,0)</f>
        <v/>
      </c>
      <c r="BD66" s="4097">
        <f>IFERROR(H66/H$117,0)</f>
        <v/>
      </c>
      <c r="BE66" s="4097">
        <f>IFERROR(I66/I$117,0)</f>
        <v/>
      </c>
      <c r="BF66" s="4097">
        <f>IFERROR(J66/J$117,0)</f>
        <v/>
      </c>
      <c r="BG66" s="4097">
        <f>IFERROR(K66/K$117,0)</f>
        <v/>
      </c>
      <c r="BH66" s="4097">
        <f>IFERROR(L66/L$117,0)</f>
        <v/>
      </c>
      <c r="BI66" s="4097">
        <f>IFERROR(M66/M$117,0)</f>
        <v/>
      </c>
      <c r="BJ66" s="4097">
        <f>IFERROR(N66/N$117,0)</f>
        <v/>
      </c>
      <c r="BK66" s="4097">
        <f>IFERROR(O66/O$117,0)</f>
        <v/>
      </c>
      <c r="BL66" s="4097">
        <f>IFERROR(P66/P$117,0)</f>
        <v/>
      </c>
      <c r="BM66" s="4098">
        <f>IFERROR(Q66/Q$117,0)</f>
        <v/>
      </c>
      <c r="BN66" s="4097">
        <f>IFERROR(R66/R$117,0)</f>
        <v/>
      </c>
      <c r="BO66" s="4097">
        <f>IFERROR(S66/S$117,0)</f>
        <v/>
      </c>
      <c r="BP66" s="4097">
        <f>IFERROR(T66/T$117,0)</f>
        <v/>
      </c>
      <c r="BQ66" s="4097">
        <f>IFERROR(U66/U$117,0)</f>
        <v/>
      </c>
      <c r="BR66" s="4097">
        <f>IFERROR(V66/V$117,0)</f>
        <v/>
      </c>
      <c r="BS66" s="4097">
        <f>IFERROR(W66/W$117,0)</f>
        <v/>
      </c>
      <c r="BT66" s="4097">
        <f>IFERROR(X66/X$117,0)</f>
        <v/>
      </c>
      <c r="BU66" s="4097">
        <f>IFERROR(Y66/Y$117,0)</f>
        <v/>
      </c>
      <c r="BV66" s="4097">
        <f>IFERROR(Z66/Z$117,0)</f>
        <v/>
      </c>
      <c r="BW66" s="4097">
        <f>IFERROR(AA66/AA$117,0)</f>
        <v/>
      </c>
      <c r="BX66" s="4097">
        <f>IFERROR(AB66/AB$117,0)</f>
        <v/>
      </c>
      <c r="BY66" s="4098">
        <f>IFERROR(AC66/AC$117,0)</f>
        <v/>
      </c>
      <c r="BZ66" s="4097">
        <f>IFERROR(AD66/AD$117,0)</f>
        <v/>
      </c>
      <c r="CA66" s="4097">
        <f>IFERROR(AE66/AE$117,0)</f>
        <v/>
      </c>
      <c r="CB66" s="4097">
        <f>IFERROR(AF66/AF$117,0)</f>
        <v/>
      </c>
      <c r="CC66" s="4097">
        <f>IFERROR(AG66/AG$117,0)</f>
        <v/>
      </c>
      <c r="CD66" s="4097">
        <f>IFERROR(AH66/AH$117,0)</f>
        <v/>
      </c>
      <c r="CE66" s="4097">
        <f>IFERROR(AI66/AI$117,0)</f>
        <v/>
      </c>
      <c r="CF66" s="4097">
        <f>IFERROR(AJ66/AJ$117,0)</f>
        <v/>
      </c>
      <c r="CG66" s="4097">
        <f>IFERROR(AK66/AK$117,0)</f>
        <v/>
      </c>
      <c r="CH66" s="4097">
        <f>IFERROR(AL66/AL$117,0)</f>
        <v/>
      </c>
      <c r="CI66" s="4097">
        <f>IFERROR(AM66/AM$117,0)</f>
        <v/>
      </c>
      <c r="CJ66" s="4097">
        <f>IFERROR(AN66/AN$117,0)</f>
        <v/>
      </c>
      <c r="CK66" s="4098">
        <f>IFERROR(AO66/AO$117,0)</f>
        <v/>
      </c>
      <c r="CL66" s="4097">
        <f>IFERROR(AP66/AP$117,0)</f>
        <v/>
      </c>
      <c r="CM66" s="4097">
        <f>IFERROR(AQ66/AQ$117,0)</f>
        <v/>
      </c>
      <c r="CN66" s="4097">
        <f>IFERROR(AR66/AR$117,0)</f>
        <v/>
      </c>
      <c r="CO66" s="4097">
        <f>IFERROR(AS66/AS$117,0)</f>
        <v/>
      </c>
      <c r="CP66" s="4097">
        <f>IFERROR(AT66/AT$117,0)</f>
        <v/>
      </c>
      <c r="CQ66" s="4099">
        <f>IFERROR(AU66/AU$117,0)</f>
        <v/>
      </c>
      <c r="CR66" s="4097">
        <f>IFERROR(AV66/AV$117,0)</f>
        <v/>
      </c>
      <c r="CS66" s="4097">
        <f>IFERROR(AW66/AW$117,0)</f>
        <v/>
      </c>
      <c r="CT66" s="4097">
        <f>IFERROR(AX66/AX$117,0)</f>
        <v/>
      </c>
      <c r="CU66" s="4097">
        <f>IFERROR(AY66/AY$117,0)</f>
        <v/>
      </c>
      <c r="CV66" s="4097">
        <f>IFERROR(AZ66/AZ$117,0)</f>
        <v/>
      </c>
      <c r="CW66" s="3737" t="n"/>
      <c r="CX66" s="4094" t="n">
        <v>25</v>
      </c>
    </row>
    <row r="67" hidden="1" outlineLevel="2" ht="12" customFormat="1" customHeight="1" s="3737">
      <c r="A67" s="4059" t="n"/>
      <c r="B67" s="4060" t="n"/>
      <c r="C67" s="4110" t="inlineStr">
        <is>
          <t>Visa debit affiliate - implementation fee</t>
        </is>
      </c>
      <c r="D67" s="4101" t="n">
        <v>425112</v>
      </c>
      <c r="E67" s="4101">
        <f>CONCATENATE(D67," - ",C67)</f>
        <v/>
      </c>
      <c r="F67" s="4102" t="n"/>
      <c r="G67" s="4102" t="n"/>
      <c r="H67" s="4102" t="n"/>
      <c r="I67" s="4102" t="n"/>
      <c r="J67" s="4102" t="n"/>
      <c r="K67" s="4102" t="n"/>
      <c r="L67" s="4102" t="n"/>
      <c r="M67" s="4102" t="n"/>
      <c r="N67" s="4102" t="n"/>
      <c r="O67" s="4102" t="n"/>
      <c r="P67" s="4102" t="n"/>
      <c r="Q67" s="4103" t="n"/>
      <c r="R67" s="4102" t="n"/>
      <c r="S67" s="4102" t="n"/>
      <c r="T67" s="4102" t="n"/>
      <c r="U67" s="4102" t="n"/>
      <c r="V67" s="4102" t="n"/>
      <c r="W67" s="4102" t="n"/>
      <c r="X67" s="4102" t="n"/>
      <c r="Y67" s="4102" t="n"/>
      <c r="Z67" s="4102" t="n"/>
      <c r="AA67" s="4102" t="n"/>
      <c r="AB67" s="4102" t="n"/>
      <c r="AC67" s="4103" t="n"/>
      <c r="AD67" s="4102" t="n"/>
      <c r="AE67" s="4102" t="n"/>
      <c r="AF67" s="4102" t="n"/>
      <c r="AG67" s="4102" t="n"/>
      <c r="AH67" s="4102" t="n"/>
      <c r="AI67" s="4102" t="n"/>
      <c r="AJ67" s="4102" t="n"/>
      <c r="AK67" s="4102" t="n"/>
      <c r="AL67" s="4102" t="n"/>
      <c r="AM67" s="4102" t="n"/>
      <c r="AN67" s="4102" t="n"/>
      <c r="AO67" s="4103" t="n"/>
      <c r="AP67" s="4102" t="n">
        <v>0</v>
      </c>
      <c r="AQ67" s="4102" t="n">
        <v>0</v>
      </c>
      <c r="AR67" s="4102" t="n">
        <v>0</v>
      </c>
      <c r="AS67" s="4102" t="n">
        <v>0</v>
      </c>
      <c r="AT67" s="4102" t="n">
        <v>0</v>
      </c>
      <c r="AU67" s="4104" t="n">
        <v>0</v>
      </c>
      <c r="AV67" s="4102">
        <f>SUM(F67:Q67)</f>
        <v/>
      </c>
      <c r="AW67" s="4102">
        <f>SUM(R67:AC67)</f>
        <v/>
      </c>
      <c r="AX67" s="4102">
        <f>SUM(AD67:AO67)</f>
        <v/>
      </c>
      <c r="AY67" s="4102">
        <f>SUM(AH67:AS67)</f>
        <v/>
      </c>
      <c r="AZ67" s="4102">
        <f>SUM(AJ67:AU67)</f>
        <v/>
      </c>
      <c r="BA67" s="3737" t="n"/>
      <c r="BB67" s="4105">
        <f>IFERROR(F67/F$117,0)</f>
        <v/>
      </c>
      <c r="BC67" s="4105">
        <f>IFERROR(G67/G$117,0)</f>
        <v/>
      </c>
      <c r="BD67" s="4105">
        <f>IFERROR(H67/H$117,0)</f>
        <v/>
      </c>
      <c r="BE67" s="4105">
        <f>IFERROR(I67/I$117,0)</f>
        <v/>
      </c>
      <c r="BF67" s="4105">
        <f>IFERROR(J67/J$117,0)</f>
        <v/>
      </c>
      <c r="BG67" s="4105">
        <f>IFERROR(K67/K$117,0)</f>
        <v/>
      </c>
      <c r="BH67" s="4105">
        <f>IFERROR(L67/L$117,0)</f>
        <v/>
      </c>
      <c r="BI67" s="4105">
        <f>IFERROR(M67/M$117,0)</f>
        <v/>
      </c>
      <c r="BJ67" s="4105">
        <f>IFERROR(N67/N$117,0)</f>
        <v/>
      </c>
      <c r="BK67" s="4105">
        <f>IFERROR(O67/O$117,0)</f>
        <v/>
      </c>
      <c r="BL67" s="4105">
        <f>IFERROR(P67/P$117,0)</f>
        <v/>
      </c>
      <c r="BM67" s="4106">
        <f>IFERROR(Q67/Q$117,0)</f>
        <v/>
      </c>
      <c r="BN67" s="4105">
        <f>IFERROR(R67/R$117,0)</f>
        <v/>
      </c>
      <c r="BO67" s="4105">
        <f>IFERROR(S67/S$117,0)</f>
        <v/>
      </c>
      <c r="BP67" s="4105">
        <f>IFERROR(T67/T$117,0)</f>
        <v/>
      </c>
      <c r="BQ67" s="4105">
        <f>IFERROR(U67/U$117,0)</f>
        <v/>
      </c>
      <c r="BR67" s="4105">
        <f>IFERROR(V67/V$117,0)</f>
        <v/>
      </c>
      <c r="BS67" s="4105">
        <f>IFERROR(W67/W$117,0)</f>
        <v/>
      </c>
      <c r="BT67" s="4105">
        <f>IFERROR(X67/X$117,0)</f>
        <v/>
      </c>
      <c r="BU67" s="4105">
        <f>IFERROR(Y67/Y$117,0)</f>
        <v/>
      </c>
      <c r="BV67" s="4105">
        <f>IFERROR(Z67/Z$117,0)</f>
        <v/>
      </c>
      <c r="BW67" s="4105">
        <f>IFERROR(AA67/AA$117,0)</f>
        <v/>
      </c>
      <c r="BX67" s="4105">
        <f>IFERROR(AB67/AB$117,0)</f>
        <v/>
      </c>
      <c r="BY67" s="4106">
        <f>IFERROR(AC67/AC$117,0)</f>
        <v/>
      </c>
      <c r="BZ67" s="4105">
        <f>IFERROR(AD67/AD$117,0)</f>
        <v/>
      </c>
      <c r="CA67" s="4105">
        <f>IFERROR(AE67/AE$117,0)</f>
        <v/>
      </c>
      <c r="CB67" s="4105">
        <f>IFERROR(AF67/AF$117,0)</f>
        <v/>
      </c>
      <c r="CC67" s="4105">
        <f>IFERROR(AG67/AG$117,0)</f>
        <v/>
      </c>
      <c r="CD67" s="4105">
        <f>IFERROR(AH67/AH$117,0)</f>
        <v/>
      </c>
      <c r="CE67" s="4105">
        <f>IFERROR(AI67/AI$117,0)</f>
        <v/>
      </c>
      <c r="CF67" s="4105">
        <f>IFERROR(AJ67/AJ$117,0)</f>
        <v/>
      </c>
      <c r="CG67" s="4105">
        <f>IFERROR(AK67/AK$117,0)</f>
        <v/>
      </c>
      <c r="CH67" s="4105">
        <f>IFERROR(AL67/AL$117,0)</f>
        <v/>
      </c>
      <c r="CI67" s="4105">
        <f>IFERROR(AM67/AM$117,0)</f>
        <v/>
      </c>
      <c r="CJ67" s="4105">
        <f>IFERROR(AN67/AN$117,0)</f>
        <v/>
      </c>
      <c r="CK67" s="4106">
        <f>IFERROR(AO67/AO$117,0)</f>
        <v/>
      </c>
      <c r="CL67" s="4105">
        <f>IFERROR(AP67/AP$117,0)</f>
        <v/>
      </c>
      <c r="CM67" s="4105">
        <f>IFERROR(AQ67/AQ$117,0)</f>
        <v/>
      </c>
      <c r="CN67" s="4105">
        <f>IFERROR(AR67/AR$117,0)</f>
        <v/>
      </c>
      <c r="CO67" s="4105">
        <f>IFERROR(AS67/AS$117,0)</f>
        <v/>
      </c>
      <c r="CP67" s="4105">
        <f>IFERROR(AT67/AT$117,0)</f>
        <v/>
      </c>
      <c r="CQ67" s="4107">
        <f>IFERROR(AU67/AU$117,0)</f>
        <v/>
      </c>
      <c r="CR67" s="4105">
        <f>IFERROR(AV67/AV$117,0)</f>
        <v/>
      </c>
      <c r="CS67" s="4105">
        <f>IFERROR(AW67/AW$117,0)</f>
        <v/>
      </c>
      <c r="CT67" s="4105">
        <f>IFERROR(AX67/AX$117,0)</f>
        <v/>
      </c>
      <c r="CU67" s="4105">
        <f>IFERROR(AY67/AY$117,0)</f>
        <v/>
      </c>
      <c r="CV67" s="4105">
        <f>IFERROR(AZ67/AZ$117,0)</f>
        <v/>
      </c>
      <c r="CW67" s="3737" t="n"/>
      <c r="CX67" s="4102" t="n">
        <v>0</v>
      </c>
    </row>
    <row r="68" hidden="1" outlineLevel="1" collapsed="1" ht="12" customFormat="1" customHeight="1" s="3737">
      <c r="A68" s="4059" t="n"/>
      <c r="B68" s="4060" t="n"/>
      <c r="C68" s="4111" t="inlineStr">
        <is>
          <t>Professional services revenue</t>
        </is>
      </c>
      <c r="D68" s="4093" t="n"/>
      <c r="E68" s="4093" t="n"/>
      <c r="F68" s="4094" t="n"/>
      <c r="G68" s="4094" t="n"/>
      <c r="H68" s="4094" t="n"/>
      <c r="I68" s="4094" t="n"/>
      <c r="J68" s="4094" t="n"/>
      <c r="K68" s="4094" t="n"/>
      <c r="L68" s="4094" t="n"/>
      <c r="M68" s="4094" t="n"/>
      <c r="N68" s="4094" t="n"/>
      <c r="O68" s="4094" t="n"/>
      <c r="P68" s="4094" t="n"/>
      <c r="Q68" s="4095" t="n"/>
      <c r="R68" s="4094" t="n"/>
      <c r="S68" s="4094" t="n"/>
      <c r="T68" s="4094" t="n"/>
      <c r="U68" s="4094" t="n"/>
      <c r="V68" s="4094" t="n"/>
      <c r="W68" s="4094" t="n"/>
      <c r="X68" s="4094" t="n"/>
      <c r="Y68" s="4094" t="n"/>
      <c r="Z68" s="4094" t="n"/>
      <c r="AA68" s="4094" t="n"/>
      <c r="AB68" s="4094" t="n"/>
      <c r="AC68" s="4095" t="n"/>
      <c r="AD68" s="4094" t="n"/>
      <c r="AE68" s="4094" t="n"/>
      <c r="AF68" s="4094" t="n"/>
      <c r="AG68" s="4094" t="n"/>
      <c r="AH68" s="4094" t="n"/>
      <c r="AI68" s="4094" t="n"/>
      <c r="AJ68" s="4094" t="n"/>
      <c r="AK68" s="4094" t="n"/>
      <c r="AL68" s="4094" t="n"/>
      <c r="AM68" s="4094" t="n"/>
      <c r="AN68" s="4094" t="n"/>
      <c r="AO68" s="4095" t="n"/>
      <c r="AP68" s="4094">
        <f>SUM(AP64:AP67)</f>
        <v/>
      </c>
      <c r="AQ68" s="4094">
        <f>SUM(AQ64:AQ67)</f>
        <v/>
      </c>
      <c r="AR68" s="4094">
        <f>SUM(AR64:AR67)</f>
        <v/>
      </c>
      <c r="AS68" s="4094">
        <f>SUM(AS64:AS67)</f>
        <v/>
      </c>
      <c r="AT68" s="4094">
        <f>SUM(AT64:AT67)</f>
        <v/>
      </c>
      <c r="AU68" s="4096">
        <f>SUM(AU64:AU67)</f>
        <v/>
      </c>
      <c r="AV68" s="4094">
        <f>SUM(AV64:AV67)</f>
        <v/>
      </c>
      <c r="AW68" s="4094">
        <f>SUM(AW64:AW67)</f>
        <v/>
      </c>
      <c r="AX68" s="4094">
        <f>SUM(AX64:AX67)</f>
        <v/>
      </c>
      <c r="AY68" s="4094">
        <f>SUM(AY64:AY67)</f>
        <v/>
      </c>
      <c r="AZ68" s="4094">
        <f>SUM(AZ64:AZ67)</f>
        <v/>
      </c>
      <c r="BA68" s="3737" t="n"/>
      <c r="BB68" s="4097">
        <f>IFERROR(F68/F$117,0)</f>
        <v/>
      </c>
      <c r="BC68" s="4097">
        <f>IFERROR(G68/G$117,0)</f>
        <v/>
      </c>
      <c r="BD68" s="4097">
        <f>IFERROR(H68/H$117,0)</f>
        <v/>
      </c>
      <c r="BE68" s="4097">
        <f>IFERROR(I68/I$117,0)</f>
        <v/>
      </c>
      <c r="BF68" s="4097">
        <f>IFERROR(J68/J$117,0)</f>
        <v/>
      </c>
      <c r="BG68" s="4097">
        <f>IFERROR(K68/K$117,0)</f>
        <v/>
      </c>
      <c r="BH68" s="4097">
        <f>IFERROR(L68/L$117,0)</f>
        <v/>
      </c>
      <c r="BI68" s="4097">
        <f>IFERROR(M68/M$117,0)</f>
        <v/>
      </c>
      <c r="BJ68" s="4097">
        <f>IFERROR(N68/N$117,0)</f>
        <v/>
      </c>
      <c r="BK68" s="4097">
        <f>IFERROR(O68/O$117,0)</f>
        <v/>
      </c>
      <c r="BL68" s="4097">
        <f>IFERROR(P68/P$117,0)</f>
        <v/>
      </c>
      <c r="BM68" s="4098">
        <f>IFERROR(Q68/Q$117,0)</f>
        <v/>
      </c>
      <c r="BN68" s="4097">
        <f>IFERROR(R68/R$117,0)</f>
        <v/>
      </c>
      <c r="BO68" s="4097">
        <f>IFERROR(S68/S$117,0)</f>
        <v/>
      </c>
      <c r="BP68" s="4097">
        <f>IFERROR(T68/T$117,0)</f>
        <v/>
      </c>
      <c r="BQ68" s="4097">
        <f>IFERROR(U68/U$117,0)</f>
        <v/>
      </c>
      <c r="BR68" s="4097">
        <f>IFERROR(V68/V$117,0)</f>
        <v/>
      </c>
      <c r="BS68" s="4097">
        <f>IFERROR(W68/W$117,0)</f>
        <v/>
      </c>
      <c r="BT68" s="4097">
        <f>IFERROR(X68/X$117,0)</f>
        <v/>
      </c>
      <c r="BU68" s="4097">
        <f>IFERROR(Y68/Y$117,0)</f>
        <v/>
      </c>
      <c r="BV68" s="4097">
        <f>IFERROR(Z68/Z$117,0)</f>
        <v/>
      </c>
      <c r="BW68" s="4097">
        <f>IFERROR(AA68/AA$117,0)</f>
        <v/>
      </c>
      <c r="BX68" s="4097">
        <f>IFERROR(AB68/AB$117,0)</f>
        <v/>
      </c>
      <c r="BY68" s="4098">
        <f>IFERROR(AC68/AC$117,0)</f>
        <v/>
      </c>
      <c r="BZ68" s="4097">
        <f>IFERROR(AD68/AD$117,0)</f>
        <v/>
      </c>
      <c r="CA68" s="4097">
        <f>IFERROR(AE68/AE$117,0)</f>
        <v/>
      </c>
      <c r="CB68" s="4097">
        <f>IFERROR(AF68/AF$117,0)</f>
        <v/>
      </c>
      <c r="CC68" s="4097">
        <f>IFERROR(AG68/AG$117,0)</f>
        <v/>
      </c>
      <c r="CD68" s="4097">
        <f>IFERROR(AH68/AH$117,0)</f>
        <v/>
      </c>
      <c r="CE68" s="4097">
        <f>IFERROR(AI68/AI$117,0)</f>
        <v/>
      </c>
      <c r="CF68" s="4097">
        <f>IFERROR(AJ68/AJ$117,0)</f>
        <v/>
      </c>
      <c r="CG68" s="4097">
        <f>IFERROR(AK68/AK$117,0)</f>
        <v/>
      </c>
      <c r="CH68" s="4097">
        <f>IFERROR(AL68/AL$117,0)</f>
        <v/>
      </c>
      <c r="CI68" s="4097">
        <f>IFERROR(AM68/AM$117,0)</f>
        <v/>
      </c>
      <c r="CJ68" s="4097">
        <f>IFERROR(AN68/AN$117,0)</f>
        <v/>
      </c>
      <c r="CK68" s="4098">
        <f>IFERROR(AO68/AO$117,0)</f>
        <v/>
      </c>
      <c r="CL68" s="4097">
        <f>IFERROR(AP68/AP$117,0)</f>
        <v/>
      </c>
      <c r="CM68" s="4097">
        <f>IFERROR(AQ68/AQ$117,0)</f>
        <v/>
      </c>
      <c r="CN68" s="4097">
        <f>IFERROR(AR68/AR$117,0)</f>
        <v/>
      </c>
      <c r="CO68" s="4097">
        <f>IFERROR(AS68/AS$117,0)</f>
        <v/>
      </c>
      <c r="CP68" s="4097">
        <f>IFERROR(AT68/AT$117,0)</f>
        <v/>
      </c>
      <c r="CQ68" s="4099">
        <f>IFERROR(AU68/AU$117,0)</f>
        <v/>
      </c>
      <c r="CR68" s="4097">
        <f>IFERROR(AV68/AV$117,0)</f>
        <v/>
      </c>
      <c r="CS68" s="4097">
        <f>IFERROR(AW68/AW$117,0)</f>
        <v/>
      </c>
      <c r="CT68" s="4097">
        <f>IFERROR(AX68/AX$117,0)</f>
        <v/>
      </c>
      <c r="CU68" s="4097">
        <f>IFERROR(AY68/AY$117,0)</f>
        <v/>
      </c>
      <c r="CV68" s="4097">
        <f>IFERROR(AZ68/AZ$117,0)</f>
        <v/>
      </c>
      <c r="CW68" s="3737" t="n"/>
      <c r="CX68" s="4094">
        <f>SUM(CX64:CX67)</f>
        <v/>
      </c>
    </row>
    <row r="69" hidden="1" outlineLevel="2" ht="12" customFormat="1" customHeight="1" s="3737">
      <c r="A69" s="4059" t="n"/>
      <c r="B69" s="4060" t="n"/>
      <c r="C69" s="4109" t="inlineStr">
        <is>
          <t>Atm express</t>
        </is>
      </c>
      <c r="D69" s="4093" t="n">
        <v>414106</v>
      </c>
      <c r="E69" s="4093">
        <f>CONCATENATE(D69," - ",C69)</f>
        <v/>
      </c>
      <c r="F69" s="4094" t="n"/>
      <c r="G69" s="4094" t="n"/>
      <c r="H69" s="4094" t="n"/>
      <c r="I69" s="4094" t="n"/>
      <c r="J69" s="4094" t="n"/>
      <c r="K69" s="4094" t="n"/>
      <c r="L69" s="4094" t="n"/>
      <c r="M69" s="4094" t="n"/>
      <c r="N69" s="4094" t="n"/>
      <c r="O69" s="4094" t="n"/>
      <c r="P69" s="4094" t="n"/>
      <c r="Q69" s="4095" t="n"/>
      <c r="R69" s="4094" t="n"/>
      <c r="S69" s="4094" t="n"/>
      <c r="T69" s="4094" t="n"/>
      <c r="U69" s="4094" t="n"/>
      <c r="V69" s="4094" t="n"/>
      <c r="W69" s="4094" t="n"/>
      <c r="X69" s="4094" t="n"/>
      <c r="Y69" s="4094" t="n"/>
      <c r="Z69" s="4094" t="n"/>
      <c r="AA69" s="4094" t="n"/>
      <c r="AB69" s="4094" t="n"/>
      <c r="AC69" s="4095" t="n"/>
      <c r="AD69" s="4094" t="n"/>
      <c r="AE69" s="4094" t="n"/>
      <c r="AF69" s="4094" t="n"/>
      <c r="AG69" s="4094" t="n"/>
      <c r="AH69" s="4094" t="n"/>
      <c r="AI69" s="4094" t="n"/>
      <c r="AJ69" s="4094" t="n"/>
      <c r="AK69" s="4094" t="n"/>
      <c r="AL69" s="4094" t="n"/>
      <c r="AM69" s="4094" t="n"/>
      <c r="AN69" s="4094" t="n"/>
      <c r="AO69" s="4095" t="n"/>
      <c r="AP69" s="4094" t="n">
        <v>119.21931</v>
      </c>
      <c r="AQ69" s="4094" t="n">
        <v>121.00431</v>
      </c>
      <c r="AR69" s="4094" t="n">
        <v>119.81431</v>
      </c>
      <c r="AS69" s="4094" t="n">
        <v>205.32763</v>
      </c>
      <c r="AT69" s="4094" t="n">
        <v>129.2438</v>
      </c>
      <c r="AU69" s="4096" t="n">
        <v>136.92603</v>
      </c>
      <c r="AV69" s="4094">
        <f>SUM(F69:Q69)</f>
        <v/>
      </c>
      <c r="AW69" s="4094">
        <f>SUM(R69:AC69)</f>
        <v/>
      </c>
      <c r="AX69" s="4094">
        <f>SUM(AD69:AO69)</f>
        <v/>
      </c>
      <c r="AY69" s="4094">
        <f>SUM(AH69:AS69)</f>
        <v/>
      </c>
      <c r="AZ69" s="4094">
        <f>SUM(AJ69:AU69)</f>
        <v/>
      </c>
      <c r="BA69" s="3737" t="n"/>
      <c r="BB69" s="4097">
        <f>IFERROR(F69/F$117,0)</f>
        <v/>
      </c>
      <c r="BC69" s="4097">
        <f>IFERROR(G69/G$117,0)</f>
        <v/>
      </c>
      <c r="BD69" s="4097">
        <f>IFERROR(H69/H$117,0)</f>
        <v/>
      </c>
      <c r="BE69" s="4097">
        <f>IFERROR(I69/I$117,0)</f>
        <v/>
      </c>
      <c r="BF69" s="4097">
        <f>IFERROR(J69/J$117,0)</f>
        <v/>
      </c>
      <c r="BG69" s="4097">
        <f>IFERROR(K69/K$117,0)</f>
        <v/>
      </c>
      <c r="BH69" s="4097">
        <f>IFERROR(L69/L$117,0)</f>
        <v/>
      </c>
      <c r="BI69" s="4097">
        <f>IFERROR(M69/M$117,0)</f>
        <v/>
      </c>
      <c r="BJ69" s="4097">
        <f>IFERROR(N69/N$117,0)</f>
        <v/>
      </c>
      <c r="BK69" s="4097">
        <f>IFERROR(O69/O$117,0)</f>
        <v/>
      </c>
      <c r="BL69" s="4097">
        <f>IFERROR(P69/P$117,0)</f>
        <v/>
      </c>
      <c r="BM69" s="4098">
        <f>IFERROR(Q69/Q$117,0)</f>
        <v/>
      </c>
      <c r="BN69" s="4097">
        <f>IFERROR(R69/R$117,0)</f>
        <v/>
      </c>
      <c r="BO69" s="4097">
        <f>IFERROR(S69/S$117,0)</f>
        <v/>
      </c>
      <c r="BP69" s="4097">
        <f>IFERROR(T69/T$117,0)</f>
        <v/>
      </c>
      <c r="BQ69" s="4097">
        <f>IFERROR(U69/U$117,0)</f>
        <v/>
      </c>
      <c r="BR69" s="4097">
        <f>IFERROR(V69/V$117,0)</f>
        <v/>
      </c>
      <c r="BS69" s="4097">
        <f>IFERROR(W69/W$117,0)</f>
        <v/>
      </c>
      <c r="BT69" s="4097">
        <f>IFERROR(X69/X$117,0)</f>
        <v/>
      </c>
      <c r="BU69" s="4097">
        <f>IFERROR(Y69/Y$117,0)</f>
        <v/>
      </c>
      <c r="BV69" s="4097">
        <f>IFERROR(Z69/Z$117,0)</f>
        <v/>
      </c>
      <c r="BW69" s="4097">
        <f>IFERROR(AA69/AA$117,0)</f>
        <v/>
      </c>
      <c r="BX69" s="4097">
        <f>IFERROR(AB69/AB$117,0)</f>
        <v/>
      </c>
      <c r="BY69" s="4098">
        <f>IFERROR(AC69/AC$117,0)</f>
        <v/>
      </c>
      <c r="BZ69" s="4097">
        <f>IFERROR(AD69/AD$117,0)</f>
        <v/>
      </c>
      <c r="CA69" s="4097">
        <f>IFERROR(AE69/AE$117,0)</f>
        <v/>
      </c>
      <c r="CB69" s="4097">
        <f>IFERROR(AF69/AF$117,0)</f>
        <v/>
      </c>
      <c r="CC69" s="4097">
        <f>IFERROR(AG69/AG$117,0)</f>
        <v/>
      </c>
      <c r="CD69" s="4097">
        <f>IFERROR(AH69/AH$117,0)</f>
        <v/>
      </c>
      <c r="CE69" s="4097">
        <f>IFERROR(AI69/AI$117,0)</f>
        <v/>
      </c>
      <c r="CF69" s="4097">
        <f>IFERROR(AJ69/AJ$117,0)</f>
        <v/>
      </c>
      <c r="CG69" s="4097">
        <f>IFERROR(AK69/AK$117,0)</f>
        <v/>
      </c>
      <c r="CH69" s="4097">
        <f>IFERROR(AL69/AL$117,0)</f>
        <v/>
      </c>
      <c r="CI69" s="4097">
        <f>IFERROR(AM69/AM$117,0)</f>
        <v/>
      </c>
      <c r="CJ69" s="4097">
        <f>IFERROR(AN69/AN$117,0)</f>
        <v/>
      </c>
      <c r="CK69" s="4098">
        <f>IFERROR(AO69/AO$117,0)</f>
        <v/>
      </c>
      <c r="CL69" s="4097">
        <f>IFERROR(AP69/AP$117,0)</f>
        <v/>
      </c>
      <c r="CM69" s="4097">
        <f>IFERROR(AQ69/AQ$117,0)</f>
        <v/>
      </c>
      <c r="CN69" s="4097">
        <f>IFERROR(AR69/AR$117,0)</f>
        <v/>
      </c>
      <c r="CO69" s="4097">
        <f>IFERROR(AS69/AS$117,0)</f>
        <v/>
      </c>
      <c r="CP69" s="4097">
        <f>IFERROR(AT69/AT$117,0)</f>
        <v/>
      </c>
      <c r="CQ69" s="4099">
        <f>IFERROR(AU69/AU$117,0)</f>
        <v/>
      </c>
      <c r="CR69" s="4097">
        <f>IFERROR(AV69/AV$117,0)</f>
        <v/>
      </c>
      <c r="CS69" s="4097">
        <f>IFERROR(AW69/AW$117,0)</f>
        <v/>
      </c>
      <c r="CT69" s="4097">
        <f>IFERROR(AX69/AX$117,0)</f>
        <v/>
      </c>
      <c r="CU69" s="4097">
        <f>IFERROR(AY69/AY$117,0)</f>
        <v/>
      </c>
      <c r="CV69" s="4097">
        <f>IFERROR(AZ69/AZ$117,0)</f>
        <v/>
      </c>
      <c r="CW69" s="3737" t="n"/>
      <c r="CX69" s="4094" t="n">
        <v>275.71101</v>
      </c>
    </row>
    <row r="70" hidden="1" outlineLevel="2" ht="12" customFormat="1" customHeight="1" s="3737">
      <c r="A70" s="4059" t="n"/>
      <c r="B70" s="4060" t="n"/>
      <c r="C70" s="4109" t="inlineStr">
        <is>
          <t>Atm incident management (im)</t>
        </is>
      </c>
      <c r="D70" s="4093" t="n">
        <v>414104</v>
      </c>
      <c r="E70" s="4093">
        <f>CONCATENATE(D70," - ",C70)</f>
        <v/>
      </c>
      <c r="F70" s="4094" t="n"/>
      <c r="G70" s="4094" t="n"/>
      <c r="H70" s="4094" t="n"/>
      <c r="I70" s="4094" t="n"/>
      <c r="J70" s="4094" t="n"/>
      <c r="K70" s="4094" t="n"/>
      <c r="L70" s="4094" t="n"/>
      <c r="M70" s="4094" t="n"/>
      <c r="N70" s="4094" t="n"/>
      <c r="O70" s="4094" t="n"/>
      <c r="P70" s="4094" t="n"/>
      <c r="Q70" s="4095" t="n"/>
      <c r="R70" s="4094" t="n"/>
      <c r="S70" s="4094" t="n"/>
      <c r="T70" s="4094" t="n"/>
      <c r="U70" s="4094" t="n"/>
      <c r="V70" s="4094" t="n"/>
      <c r="W70" s="4094" t="n"/>
      <c r="X70" s="4094" t="n"/>
      <c r="Y70" s="4094" t="n"/>
      <c r="Z70" s="4094" t="n"/>
      <c r="AA70" s="4094" t="n"/>
      <c r="AB70" s="4094" t="n"/>
      <c r="AC70" s="4095" t="n"/>
      <c r="AD70" s="4094" t="n"/>
      <c r="AE70" s="4094" t="n"/>
      <c r="AF70" s="4094" t="n"/>
      <c r="AG70" s="4094" t="n"/>
      <c r="AH70" s="4094" t="n"/>
      <c r="AI70" s="4094" t="n"/>
      <c r="AJ70" s="4094" t="n"/>
      <c r="AK70" s="4094" t="n"/>
      <c r="AL70" s="4094" t="n"/>
      <c r="AM70" s="4094" t="n"/>
      <c r="AN70" s="4094" t="n"/>
      <c r="AO70" s="4095" t="n"/>
      <c r="AP70" s="4094" t="n">
        <v>78.82532</v>
      </c>
      <c r="AQ70" s="4094" t="n">
        <v>78.83249000000001</v>
      </c>
      <c r="AR70" s="4094" t="n">
        <v>78.89695</v>
      </c>
      <c r="AS70" s="4094" t="n">
        <v>78.43867</v>
      </c>
      <c r="AT70" s="4094" t="n">
        <v>86.56950000000001</v>
      </c>
      <c r="AU70" s="4096" t="n">
        <v>86.51625</v>
      </c>
      <c r="AV70" s="4094">
        <f>SUM(F70:Q70)</f>
        <v/>
      </c>
      <c r="AW70" s="4094">
        <f>SUM(R70:AC70)</f>
        <v/>
      </c>
      <c r="AX70" s="4094">
        <f>SUM(AD70:AO70)</f>
        <v/>
      </c>
      <c r="AY70" s="4094">
        <f>SUM(AH70:AS70)</f>
        <v/>
      </c>
      <c r="AZ70" s="4094">
        <f>SUM(AJ70:AU70)</f>
        <v/>
      </c>
      <c r="BA70" s="3737" t="n"/>
      <c r="BB70" s="4097">
        <f>IFERROR(F70/F$117,0)</f>
        <v/>
      </c>
      <c r="BC70" s="4097">
        <f>IFERROR(G70/G$117,0)</f>
        <v/>
      </c>
      <c r="BD70" s="4097">
        <f>IFERROR(H70/H$117,0)</f>
        <v/>
      </c>
      <c r="BE70" s="4097">
        <f>IFERROR(I70/I$117,0)</f>
        <v/>
      </c>
      <c r="BF70" s="4097">
        <f>IFERROR(J70/J$117,0)</f>
        <v/>
      </c>
      <c r="BG70" s="4097">
        <f>IFERROR(K70/K$117,0)</f>
        <v/>
      </c>
      <c r="BH70" s="4097">
        <f>IFERROR(L70/L$117,0)</f>
        <v/>
      </c>
      <c r="BI70" s="4097">
        <f>IFERROR(M70/M$117,0)</f>
        <v/>
      </c>
      <c r="BJ70" s="4097">
        <f>IFERROR(N70/N$117,0)</f>
        <v/>
      </c>
      <c r="BK70" s="4097">
        <f>IFERROR(O70/O$117,0)</f>
        <v/>
      </c>
      <c r="BL70" s="4097">
        <f>IFERROR(P70/P$117,0)</f>
        <v/>
      </c>
      <c r="BM70" s="4098">
        <f>IFERROR(Q70/Q$117,0)</f>
        <v/>
      </c>
      <c r="BN70" s="4097">
        <f>IFERROR(R70/R$117,0)</f>
        <v/>
      </c>
      <c r="BO70" s="4097">
        <f>IFERROR(S70/S$117,0)</f>
        <v/>
      </c>
      <c r="BP70" s="4097">
        <f>IFERROR(T70/T$117,0)</f>
        <v/>
      </c>
      <c r="BQ70" s="4097">
        <f>IFERROR(U70/U$117,0)</f>
        <v/>
      </c>
      <c r="BR70" s="4097">
        <f>IFERROR(V70/V$117,0)</f>
        <v/>
      </c>
      <c r="BS70" s="4097">
        <f>IFERROR(W70/W$117,0)</f>
        <v/>
      </c>
      <c r="BT70" s="4097">
        <f>IFERROR(X70/X$117,0)</f>
        <v/>
      </c>
      <c r="BU70" s="4097">
        <f>IFERROR(Y70/Y$117,0)</f>
        <v/>
      </c>
      <c r="BV70" s="4097">
        <f>IFERROR(Z70/Z$117,0)</f>
        <v/>
      </c>
      <c r="BW70" s="4097">
        <f>IFERROR(AA70/AA$117,0)</f>
        <v/>
      </c>
      <c r="BX70" s="4097">
        <f>IFERROR(AB70/AB$117,0)</f>
        <v/>
      </c>
      <c r="BY70" s="4098">
        <f>IFERROR(AC70/AC$117,0)</f>
        <v/>
      </c>
      <c r="BZ70" s="4097">
        <f>IFERROR(AD70/AD$117,0)</f>
        <v/>
      </c>
      <c r="CA70" s="4097">
        <f>IFERROR(AE70/AE$117,0)</f>
        <v/>
      </c>
      <c r="CB70" s="4097">
        <f>IFERROR(AF70/AF$117,0)</f>
        <v/>
      </c>
      <c r="CC70" s="4097">
        <f>IFERROR(AG70/AG$117,0)</f>
        <v/>
      </c>
      <c r="CD70" s="4097">
        <f>IFERROR(AH70/AH$117,0)</f>
        <v/>
      </c>
      <c r="CE70" s="4097">
        <f>IFERROR(AI70/AI$117,0)</f>
        <v/>
      </c>
      <c r="CF70" s="4097">
        <f>IFERROR(AJ70/AJ$117,0)</f>
        <v/>
      </c>
      <c r="CG70" s="4097">
        <f>IFERROR(AK70/AK$117,0)</f>
        <v/>
      </c>
      <c r="CH70" s="4097">
        <f>IFERROR(AL70/AL$117,0)</f>
        <v/>
      </c>
      <c r="CI70" s="4097">
        <f>IFERROR(AM70/AM$117,0)</f>
        <v/>
      </c>
      <c r="CJ70" s="4097">
        <f>IFERROR(AN70/AN$117,0)</f>
        <v/>
      </c>
      <c r="CK70" s="4098">
        <f>IFERROR(AO70/AO$117,0)</f>
        <v/>
      </c>
      <c r="CL70" s="4097">
        <f>IFERROR(AP70/AP$117,0)</f>
        <v/>
      </c>
      <c r="CM70" s="4097">
        <f>IFERROR(AQ70/AQ$117,0)</f>
        <v/>
      </c>
      <c r="CN70" s="4097">
        <f>IFERROR(AR70/AR$117,0)</f>
        <v/>
      </c>
      <c r="CO70" s="4097">
        <f>IFERROR(AS70/AS$117,0)</f>
        <v/>
      </c>
      <c r="CP70" s="4097">
        <f>IFERROR(AT70/AT$117,0)</f>
        <v/>
      </c>
      <c r="CQ70" s="4099">
        <f>IFERROR(AU70/AU$117,0)</f>
        <v/>
      </c>
      <c r="CR70" s="4097">
        <f>IFERROR(AV70/AV$117,0)</f>
        <v/>
      </c>
      <c r="CS70" s="4097">
        <f>IFERROR(AW70/AW$117,0)</f>
        <v/>
      </c>
      <c r="CT70" s="4097">
        <f>IFERROR(AX70/AX$117,0)</f>
        <v/>
      </c>
      <c r="CU70" s="4097">
        <f>IFERROR(AY70/AY$117,0)</f>
        <v/>
      </c>
      <c r="CV70" s="4097">
        <f>IFERROR(AZ70/AZ$117,0)</f>
        <v/>
      </c>
      <c r="CW70" s="3737" t="n"/>
      <c r="CX70" s="4094" t="n">
        <v>893.2462</v>
      </c>
    </row>
    <row r="71" hidden="1" outlineLevel="2" ht="12" customFormat="1" customHeight="1" s="3737">
      <c r="A71" s="4059" t="n"/>
      <c r="B71" s="4060" t="n"/>
      <c r="C71" s="4109" t="inlineStr">
        <is>
          <t>Atm monitoring</t>
        </is>
      </c>
      <c r="D71" s="4093" t="n">
        <v>414105</v>
      </c>
      <c r="E71" s="4093">
        <f>CONCATENATE(D71," - ",C71)</f>
        <v/>
      </c>
      <c r="F71" s="4094" t="n"/>
      <c r="G71" s="4094" t="n"/>
      <c r="H71" s="4094" t="n"/>
      <c r="I71" s="4094" t="n"/>
      <c r="J71" s="4094" t="n"/>
      <c r="K71" s="4094" t="n"/>
      <c r="L71" s="4094" t="n"/>
      <c r="M71" s="4094" t="n"/>
      <c r="N71" s="4094" t="n"/>
      <c r="O71" s="4094" t="n"/>
      <c r="P71" s="4094" t="n"/>
      <c r="Q71" s="4095" t="n"/>
      <c r="R71" s="4094" t="n"/>
      <c r="S71" s="4094" t="n"/>
      <c r="T71" s="4094" t="n"/>
      <c r="U71" s="4094" t="n"/>
      <c r="V71" s="4094" t="n"/>
      <c r="W71" s="4094" t="n"/>
      <c r="X71" s="4094" t="n"/>
      <c r="Y71" s="4094" t="n"/>
      <c r="Z71" s="4094" t="n"/>
      <c r="AA71" s="4094" t="n"/>
      <c r="AB71" s="4094" t="n"/>
      <c r="AC71" s="4095" t="n"/>
      <c r="AD71" s="4094" t="n"/>
      <c r="AE71" s="4094" t="n"/>
      <c r="AF71" s="4094" t="n"/>
      <c r="AG71" s="4094" t="n"/>
      <c r="AH71" s="4094" t="n"/>
      <c r="AI71" s="4094" t="n"/>
      <c r="AJ71" s="4094" t="n"/>
      <c r="AK71" s="4094" t="n"/>
      <c r="AL71" s="4094" t="n"/>
      <c r="AM71" s="4094" t="n"/>
      <c r="AN71" s="4094" t="n"/>
      <c r="AO71" s="4095" t="n"/>
      <c r="AP71" s="4094" t="n">
        <v>59.867</v>
      </c>
      <c r="AQ71" s="4094" t="n">
        <v>59.867</v>
      </c>
      <c r="AR71" s="4094" t="n">
        <v>59.46475</v>
      </c>
      <c r="AS71" s="4094" t="n">
        <v>59.66475</v>
      </c>
      <c r="AT71" s="4094" t="n">
        <v>75.929</v>
      </c>
      <c r="AU71" s="4096" t="n">
        <v>50.7465</v>
      </c>
      <c r="AV71" s="4094">
        <f>SUM(F71:Q71)</f>
        <v/>
      </c>
      <c r="AW71" s="4094">
        <f>SUM(R71:AC71)</f>
        <v/>
      </c>
      <c r="AX71" s="4094">
        <f>SUM(AD71:AO71)</f>
        <v/>
      </c>
      <c r="AY71" s="4094">
        <f>SUM(AH71:AS71)</f>
        <v/>
      </c>
      <c r="AZ71" s="4094">
        <f>SUM(AJ71:AU71)</f>
        <v/>
      </c>
      <c r="BA71" s="3737" t="n"/>
      <c r="BB71" s="4097">
        <f>IFERROR(F71/F$117,0)</f>
        <v/>
      </c>
      <c r="BC71" s="4097">
        <f>IFERROR(G71/G$117,0)</f>
        <v/>
      </c>
      <c r="BD71" s="4097">
        <f>IFERROR(H71/H$117,0)</f>
        <v/>
      </c>
      <c r="BE71" s="4097">
        <f>IFERROR(I71/I$117,0)</f>
        <v/>
      </c>
      <c r="BF71" s="4097">
        <f>IFERROR(J71/J$117,0)</f>
        <v/>
      </c>
      <c r="BG71" s="4097">
        <f>IFERROR(K71/K$117,0)</f>
        <v/>
      </c>
      <c r="BH71" s="4097">
        <f>IFERROR(L71/L$117,0)</f>
        <v/>
      </c>
      <c r="BI71" s="4097">
        <f>IFERROR(M71/M$117,0)</f>
        <v/>
      </c>
      <c r="BJ71" s="4097">
        <f>IFERROR(N71/N$117,0)</f>
        <v/>
      </c>
      <c r="BK71" s="4097">
        <f>IFERROR(O71/O$117,0)</f>
        <v/>
      </c>
      <c r="BL71" s="4097">
        <f>IFERROR(P71/P$117,0)</f>
        <v/>
      </c>
      <c r="BM71" s="4098">
        <f>IFERROR(Q71/Q$117,0)</f>
        <v/>
      </c>
      <c r="BN71" s="4097">
        <f>IFERROR(R71/R$117,0)</f>
        <v/>
      </c>
      <c r="BO71" s="4097">
        <f>IFERROR(S71/S$117,0)</f>
        <v/>
      </c>
      <c r="BP71" s="4097">
        <f>IFERROR(T71/T$117,0)</f>
        <v/>
      </c>
      <c r="BQ71" s="4097">
        <f>IFERROR(U71/U$117,0)</f>
        <v/>
      </c>
      <c r="BR71" s="4097">
        <f>IFERROR(V71/V$117,0)</f>
        <v/>
      </c>
      <c r="BS71" s="4097">
        <f>IFERROR(W71/W$117,0)</f>
        <v/>
      </c>
      <c r="BT71" s="4097">
        <f>IFERROR(X71/X$117,0)</f>
        <v/>
      </c>
      <c r="BU71" s="4097">
        <f>IFERROR(Y71/Y$117,0)</f>
        <v/>
      </c>
      <c r="BV71" s="4097">
        <f>IFERROR(Z71/Z$117,0)</f>
        <v/>
      </c>
      <c r="BW71" s="4097">
        <f>IFERROR(AA71/AA$117,0)</f>
        <v/>
      </c>
      <c r="BX71" s="4097">
        <f>IFERROR(AB71/AB$117,0)</f>
        <v/>
      </c>
      <c r="BY71" s="4098">
        <f>IFERROR(AC71/AC$117,0)</f>
        <v/>
      </c>
      <c r="BZ71" s="4097">
        <f>IFERROR(AD71/AD$117,0)</f>
        <v/>
      </c>
      <c r="CA71" s="4097">
        <f>IFERROR(AE71/AE$117,0)</f>
        <v/>
      </c>
      <c r="CB71" s="4097">
        <f>IFERROR(AF71/AF$117,0)</f>
        <v/>
      </c>
      <c r="CC71" s="4097">
        <f>IFERROR(AG71/AG$117,0)</f>
        <v/>
      </c>
      <c r="CD71" s="4097">
        <f>IFERROR(AH71/AH$117,0)</f>
        <v/>
      </c>
      <c r="CE71" s="4097">
        <f>IFERROR(AI71/AI$117,0)</f>
        <v/>
      </c>
      <c r="CF71" s="4097">
        <f>IFERROR(AJ71/AJ$117,0)</f>
        <v/>
      </c>
      <c r="CG71" s="4097">
        <f>IFERROR(AK71/AK$117,0)</f>
        <v/>
      </c>
      <c r="CH71" s="4097">
        <f>IFERROR(AL71/AL$117,0)</f>
        <v/>
      </c>
      <c r="CI71" s="4097">
        <f>IFERROR(AM71/AM$117,0)</f>
        <v/>
      </c>
      <c r="CJ71" s="4097">
        <f>IFERROR(AN71/AN$117,0)</f>
        <v/>
      </c>
      <c r="CK71" s="4098">
        <f>IFERROR(AO71/AO$117,0)</f>
        <v/>
      </c>
      <c r="CL71" s="4097">
        <f>IFERROR(AP71/AP$117,0)</f>
        <v/>
      </c>
      <c r="CM71" s="4097">
        <f>IFERROR(AQ71/AQ$117,0)</f>
        <v/>
      </c>
      <c r="CN71" s="4097">
        <f>IFERROR(AR71/AR$117,0)</f>
        <v/>
      </c>
      <c r="CO71" s="4097">
        <f>IFERROR(AS71/AS$117,0)</f>
        <v/>
      </c>
      <c r="CP71" s="4097">
        <f>IFERROR(AT71/AT$117,0)</f>
        <v/>
      </c>
      <c r="CQ71" s="4099">
        <f>IFERROR(AU71/AU$117,0)</f>
        <v/>
      </c>
      <c r="CR71" s="4097">
        <f>IFERROR(AV71/AV$117,0)</f>
        <v/>
      </c>
      <c r="CS71" s="4097">
        <f>IFERROR(AW71/AW$117,0)</f>
        <v/>
      </c>
      <c r="CT71" s="4097">
        <f>IFERROR(AX71/AX$117,0)</f>
        <v/>
      </c>
      <c r="CU71" s="4097">
        <f>IFERROR(AY71/AY$117,0)</f>
        <v/>
      </c>
      <c r="CV71" s="4097">
        <f>IFERROR(AZ71/AZ$117,0)</f>
        <v/>
      </c>
      <c r="CW71" s="3737" t="n"/>
      <c r="CX71" s="4094" t="n">
        <v>780.71925</v>
      </c>
    </row>
    <row r="72" hidden="1" outlineLevel="2" ht="12" customFormat="1" customHeight="1" s="3737">
      <c r="A72" s="4059" t="n"/>
      <c r="B72" s="4060" t="n"/>
      <c r="C72" s="4109" t="inlineStr">
        <is>
          <t>Atm electronic journal</t>
        </is>
      </c>
      <c r="D72" s="4093" t="n">
        <v>414102</v>
      </c>
      <c r="E72" s="4093">
        <f>CONCATENATE(D72," - ",C72)</f>
        <v/>
      </c>
      <c r="F72" s="4094" t="n"/>
      <c r="G72" s="4094" t="n"/>
      <c r="H72" s="4094" t="n"/>
      <c r="I72" s="4094" t="n"/>
      <c r="J72" s="4094" t="n"/>
      <c r="K72" s="4094" t="n"/>
      <c r="L72" s="4094" t="n"/>
      <c r="M72" s="4094" t="n"/>
      <c r="N72" s="4094" t="n"/>
      <c r="O72" s="4094" t="n"/>
      <c r="P72" s="4094" t="n"/>
      <c r="Q72" s="4095" t="n"/>
      <c r="R72" s="4094" t="n"/>
      <c r="S72" s="4094" t="n"/>
      <c r="T72" s="4094" t="n"/>
      <c r="U72" s="4094" t="n"/>
      <c r="V72" s="4094" t="n"/>
      <c r="W72" s="4094" t="n"/>
      <c r="X72" s="4094" t="n"/>
      <c r="Y72" s="4094" t="n"/>
      <c r="Z72" s="4094" t="n"/>
      <c r="AA72" s="4094" t="n"/>
      <c r="AB72" s="4094" t="n"/>
      <c r="AC72" s="4095" t="n"/>
      <c r="AD72" s="4094" t="n"/>
      <c r="AE72" s="4094" t="n"/>
      <c r="AF72" s="4094" t="n"/>
      <c r="AG72" s="4094" t="n"/>
      <c r="AH72" s="4094" t="n"/>
      <c r="AI72" s="4094" t="n"/>
      <c r="AJ72" s="4094" t="n"/>
      <c r="AK72" s="4094" t="n"/>
      <c r="AL72" s="4094" t="n"/>
      <c r="AM72" s="4094" t="n"/>
      <c r="AN72" s="4094" t="n"/>
      <c r="AO72" s="4095" t="n"/>
      <c r="AP72" s="4094" t="n">
        <v>23.24895</v>
      </c>
      <c r="AQ72" s="4094" t="n">
        <v>23.46855</v>
      </c>
      <c r="AR72" s="4094" t="n">
        <v>23.32635</v>
      </c>
      <c r="AS72" s="4094" t="n">
        <v>23.08605</v>
      </c>
      <c r="AT72" s="4094" t="n">
        <v>27.6519</v>
      </c>
      <c r="AU72" s="4096" t="n">
        <v>23.6123</v>
      </c>
      <c r="AV72" s="4094">
        <f>SUM(F72:Q72)</f>
        <v/>
      </c>
      <c r="AW72" s="4094">
        <f>SUM(R72:AC72)</f>
        <v/>
      </c>
      <c r="AX72" s="4094">
        <f>SUM(AD72:AO72)</f>
        <v/>
      </c>
      <c r="AY72" s="4094">
        <f>SUM(AH72:AS72)</f>
        <v/>
      </c>
      <c r="AZ72" s="4094">
        <f>SUM(AJ72:AU72)</f>
        <v/>
      </c>
      <c r="BA72" s="3737" t="n"/>
      <c r="BB72" s="4097">
        <f>IFERROR(F72/F$117,0)</f>
        <v/>
      </c>
      <c r="BC72" s="4097">
        <f>IFERROR(G72/G$117,0)</f>
        <v/>
      </c>
      <c r="BD72" s="4097">
        <f>IFERROR(H72/H$117,0)</f>
        <v/>
      </c>
      <c r="BE72" s="4097">
        <f>IFERROR(I72/I$117,0)</f>
        <v/>
      </c>
      <c r="BF72" s="4097">
        <f>IFERROR(J72/J$117,0)</f>
        <v/>
      </c>
      <c r="BG72" s="4097">
        <f>IFERROR(K72/K$117,0)</f>
        <v/>
      </c>
      <c r="BH72" s="4097">
        <f>IFERROR(L72/L$117,0)</f>
        <v/>
      </c>
      <c r="BI72" s="4097">
        <f>IFERROR(M72/M$117,0)</f>
        <v/>
      </c>
      <c r="BJ72" s="4097">
        <f>IFERROR(N72/N$117,0)</f>
        <v/>
      </c>
      <c r="BK72" s="4097">
        <f>IFERROR(O72/O$117,0)</f>
        <v/>
      </c>
      <c r="BL72" s="4097">
        <f>IFERROR(P72/P$117,0)</f>
        <v/>
      </c>
      <c r="BM72" s="4098">
        <f>IFERROR(Q72/Q$117,0)</f>
        <v/>
      </c>
      <c r="BN72" s="4097">
        <f>IFERROR(R72/R$117,0)</f>
        <v/>
      </c>
      <c r="BO72" s="4097">
        <f>IFERROR(S72/S$117,0)</f>
        <v/>
      </c>
      <c r="BP72" s="4097">
        <f>IFERROR(T72/T$117,0)</f>
        <v/>
      </c>
      <c r="BQ72" s="4097">
        <f>IFERROR(U72/U$117,0)</f>
        <v/>
      </c>
      <c r="BR72" s="4097">
        <f>IFERROR(V72/V$117,0)</f>
        <v/>
      </c>
      <c r="BS72" s="4097">
        <f>IFERROR(W72/W$117,0)</f>
        <v/>
      </c>
      <c r="BT72" s="4097">
        <f>IFERROR(X72/X$117,0)</f>
        <v/>
      </c>
      <c r="BU72" s="4097">
        <f>IFERROR(Y72/Y$117,0)</f>
        <v/>
      </c>
      <c r="BV72" s="4097">
        <f>IFERROR(Z72/Z$117,0)</f>
        <v/>
      </c>
      <c r="BW72" s="4097">
        <f>IFERROR(AA72/AA$117,0)</f>
        <v/>
      </c>
      <c r="BX72" s="4097">
        <f>IFERROR(AB72/AB$117,0)</f>
        <v/>
      </c>
      <c r="BY72" s="4098">
        <f>IFERROR(AC72/AC$117,0)</f>
        <v/>
      </c>
      <c r="BZ72" s="4097">
        <f>IFERROR(AD72/AD$117,0)</f>
        <v/>
      </c>
      <c r="CA72" s="4097">
        <f>IFERROR(AE72/AE$117,0)</f>
        <v/>
      </c>
      <c r="CB72" s="4097">
        <f>IFERROR(AF72/AF$117,0)</f>
        <v/>
      </c>
      <c r="CC72" s="4097">
        <f>IFERROR(AG72/AG$117,0)</f>
        <v/>
      </c>
      <c r="CD72" s="4097">
        <f>IFERROR(AH72/AH$117,0)</f>
        <v/>
      </c>
      <c r="CE72" s="4097">
        <f>IFERROR(AI72/AI$117,0)</f>
        <v/>
      </c>
      <c r="CF72" s="4097">
        <f>IFERROR(AJ72/AJ$117,0)</f>
        <v/>
      </c>
      <c r="CG72" s="4097">
        <f>IFERROR(AK72/AK$117,0)</f>
        <v/>
      </c>
      <c r="CH72" s="4097">
        <f>IFERROR(AL72/AL$117,0)</f>
        <v/>
      </c>
      <c r="CI72" s="4097">
        <f>IFERROR(AM72/AM$117,0)</f>
        <v/>
      </c>
      <c r="CJ72" s="4097">
        <f>IFERROR(AN72/AN$117,0)</f>
        <v/>
      </c>
      <c r="CK72" s="4098">
        <f>IFERROR(AO72/AO$117,0)</f>
        <v/>
      </c>
      <c r="CL72" s="4097">
        <f>IFERROR(AP72/AP$117,0)</f>
        <v/>
      </c>
      <c r="CM72" s="4097">
        <f>IFERROR(AQ72/AQ$117,0)</f>
        <v/>
      </c>
      <c r="CN72" s="4097">
        <f>IFERROR(AR72/AR$117,0)</f>
        <v/>
      </c>
      <c r="CO72" s="4097">
        <f>IFERROR(AS72/AS$117,0)</f>
        <v/>
      </c>
      <c r="CP72" s="4097">
        <f>IFERROR(AT72/AT$117,0)</f>
        <v/>
      </c>
      <c r="CQ72" s="4099">
        <f>IFERROR(AU72/AU$117,0)</f>
        <v/>
      </c>
      <c r="CR72" s="4097">
        <f>IFERROR(AV72/AV$117,0)</f>
        <v/>
      </c>
      <c r="CS72" s="4097">
        <f>IFERROR(AW72/AW$117,0)</f>
        <v/>
      </c>
      <c r="CT72" s="4097">
        <f>IFERROR(AX72/AX$117,0)</f>
        <v/>
      </c>
      <c r="CU72" s="4097">
        <f>IFERROR(AY72/AY$117,0)</f>
        <v/>
      </c>
      <c r="CV72" s="4097">
        <f>IFERROR(AZ72/AZ$117,0)</f>
        <v/>
      </c>
      <c r="CW72" s="3737" t="n"/>
      <c r="CX72" s="4094" t="n">
        <v>224.9143</v>
      </c>
    </row>
    <row r="73" hidden="1" outlineLevel="2" ht="12" customFormat="1" customHeight="1" s="3737">
      <c r="A73" s="4059" t="n"/>
      <c r="B73" s="4060" t="n"/>
      <c r="C73" s="4109" t="inlineStr">
        <is>
          <t>Visa vap - atm monthly fee</t>
        </is>
      </c>
      <c r="D73" s="4093" t="n">
        <v>414107</v>
      </c>
      <c r="E73" s="4093">
        <f>CONCATENATE(D73," - ",C73)</f>
        <v/>
      </c>
      <c r="F73" s="4094" t="n"/>
      <c r="G73" s="4094" t="n"/>
      <c r="H73" s="4094" t="n"/>
      <c r="I73" s="4094" t="n"/>
      <c r="J73" s="4094" t="n"/>
      <c r="K73" s="4094" t="n"/>
      <c r="L73" s="4094" t="n"/>
      <c r="M73" s="4094" t="n"/>
      <c r="N73" s="4094" t="n"/>
      <c r="O73" s="4094" t="n"/>
      <c r="P73" s="4094" t="n"/>
      <c r="Q73" s="4095" t="n"/>
      <c r="R73" s="4094" t="n"/>
      <c r="S73" s="4094" t="n"/>
      <c r="T73" s="4094" t="n"/>
      <c r="U73" s="4094" t="n"/>
      <c r="V73" s="4094" t="n"/>
      <c r="W73" s="4094" t="n"/>
      <c r="X73" s="4094" t="n"/>
      <c r="Y73" s="4094" t="n"/>
      <c r="Z73" s="4094" t="n"/>
      <c r="AA73" s="4094" t="n"/>
      <c r="AB73" s="4094" t="n"/>
      <c r="AC73" s="4095" t="n"/>
      <c r="AD73" s="4094" t="n"/>
      <c r="AE73" s="4094" t="n"/>
      <c r="AF73" s="4094" t="n"/>
      <c r="AG73" s="4094" t="n"/>
      <c r="AH73" s="4094" t="n"/>
      <c r="AI73" s="4094" t="n"/>
      <c r="AJ73" s="4094" t="n"/>
      <c r="AK73" s="4094" t="n"/>
      <c r="AL73" s="4094" t="n"/>
      <c r="AM73" s="4094" t="n"/>
      <c r="AN73" s="4094" t="n"/>
      <c r="AO73" s="4095" t="n"/>
      <c r="AP73" s="4094" t="n">
        <v>22.709</v>
      </c>
      <c r="AQ73" s="4094" t="n">
        <v>22.192</v>
      </c>
      <c r="AR73" s="4094" t="n">
        <v>22.25</v>
      </c>
      <c r="AS73" s="4094" t="n">
        <v>22.072</v>
      </c>
      <c r="AT73" s="4094" t="n">
        <v>21.987</v>
      </c>
      <c r="AU73" s="4096" t="n">
        <v>22.005</v>
      </c>
      <c r="AV73" s="4094">
        <f>SUM(F73:Q73)</f>
        <v/>
      </c>
      <c r="AW73" s="4094">
        <f>SUM(R73:AC73)</f>
        <v/>
      </c>
      <c r="AX73" s="4094">
        <f>SUM(AD73:AO73)</f>
        <v/>
      </c>
      <c r="AY73" s="4094">
        <f>SUM(AH73:AS73)</f>
        <v/>
      </c>
      <c r="AZ73" s="4094">
        <f>SUM(AJ73:AU73)</f>
        <v/>
      </c>
      <c r="BA73" s="3737" t="n"/>
      <c r="BB73" s="4097">
        <f>IFERROR(F73/F$117,0)</f>
        <v/>
      </c>
      <c r="BC73" s="4097">
        <f>IFERROR(G73/G$117,0)</f>
        <v/>
      </c>
      <c r="BD73" s="4097">
        <f>IFERROR(H73/H$117,0)</f>
        <v/>
      </c>
      <c r="BE73" s="4097">
        <f>IFERROR(I73/I$117,0)</f>
        <v/>
      </c>
      <c r="BF73" s="4097">
        <f>IFERROR(J73/J$117,0)</f>
        <v/>
      </c>
      <c r="BG73" s="4097">
        <f>IFERROR(K73/K$117,0)</f>
        <v/>
      </c>
      <c r="BH73" s="4097">
        <f>IFERROR(L73/L$117,0)</f>
        <v/>
      </c>
      <c r="BI73" s="4097">
        <f>IFERROR(M73/M$117,0)</f>
        <v/>
      </c>
      <c r="BJ73" s="4097">
        <f>IFERROR(N73/N$117,0)</f>
        <v/>
      </c>
      <c r="BK73" s="4097">
        <f>IFERROR(O73/O$117,0)</f>
        <v/>
      </c>
      <c r="BL73" s="4097">
        <f>IFERROR(P73/P$117,0)</f>
        <v/>
      </c>
      <c r="BM73" s="4098">
        <f>IFERROR(Q73/Q$117,0)</f>
        <v/>
      </c>
      <c r="BN73" s="4097">
        <f>IFERROR(R73/R$117,0)</f>
        <v/>
      </c>
      <c r="BO73" s="4097">
        <f>IFERROR(S73/S$117,0)</f>
        <v/>
      </c>
      <c r="BP73" s="4097">
        <f>IFERROR(T73/T$117,0)</f>
        <v/>
      </c>
      <c r="BQ73" s="4097">
        <f>IFERROR(U73/U$117,0)</f>
        <v/>
      </c>
      <c r="BR73" s="4097">
        <f>IFERROR(V73/V$117,0)</f>
        <v/>
      </c>
      <c r="BS73" s="4097">
        <f>IFERROR(W73/W$117,0)</f>
        <v/>
      </c>
      <c r="BT73" s="4097">
        <f>IFERROR(X73/X$117,0)</f>
        <v/>
      </c>
      <c r="BU73" s="4097">
        <f>IFERROR(Y73/Y$117,0)</f>
        <v/>
      </c>
      <c r="BV73" s="4097">
        <f>IFERROR(Z73/Z$117,0)</f>
        <v/>
      </c>
      <c r="BW73" s="4097">
        <f>IFERROR(AA73/AA$117,0)</f>
        <v/>
      </c>
      <c r="BX73" s="4097">
        <f>IFERROR(AB73/AB$117,0)</f>
        <v/>
      </c>
      <c r="BY73" s="4098">
        <f>IFERROR(AC73/AC$117,0)</f>
        <v/>
      </c>
      <c r="BZ73" s="4097">
        <f>IFERROR(AD73/AD$117,0)</f>
        <v/>
      </c>
      <c r="CA73" s="4097">
        <f>IFERROR(AE73/AE$117,0)</f>
        <v/>
      </c>
      <c r="CB73" s="4097">
        <f>IFERROR(AF73/AF$117,0)</f>
        <v/>
      </c>
      <c r="CC73" s="4097">
        <f>IFERROR(AG73/AG$117,0)</f>
        <v/>
      </c>
      <c r="CD73" s="4097">
        <f>IFERROR(AH73/AH$117,0)</f>
        <v/>
      </c>
      <c r="CE73" s="4097">
        <f>IFERROR(AI73/AI$117,0)</f>
        <v/>
      </c>
      <c r="CF73" s="4097">
        <f>IFERROR(AJ73/AJ$117,0)</f>
        <v/>
      </c>
      <c r="CG73" s="4097">
        <f>IFERROR(AK73/AK$117,0)</f>
        <v/>
      </c>
      <c r="CH73" s="4097">
        <f>IFERROR(AL73/AL$117,0)</f>
        <v/>
      </c>
      <c r="CI73" s="4097">
        <f>IFERROR(AM73/AM$117,0)</f>
        <v/>
      </c>
      <c r="CJ73" s="4097">
        <f>IFERROR(AN73/AN$117,0)</f>
        <v/>
      </c>
      <c r="CK73" s="4098">
        <f>IFERROR(AO73/AO$117,0)</f>
        <v/>
      </c>
      <c r="CL73" s="4097">
        <f>IFERROR(AP73/AP$117,0)</f>
        <v/>
      </c>
      <c r="CM73" s="4097">
        <f>IFERROR(AQ73/AQ$117,0)</f>
        <v/>
      </c>
      <c r="CN73" s="4097">
        <f>IFERROR(AR73/AR$117,0)</f>
        <v/>
      </c>
      <c r="CO73" s="4097">
        <f>IFERROR(AS73/AS$117,0)</f>
        <v/>
      </c>
      <c r="CP73" s="4097">
        <f>IFERROR(AT73/AT$117,0)</f>
        <v/>
      </c>
      <c r="CQ73" s="4099">
        <f>IFERROR(AU73/AU$117,0)</f>
        <v/>
      </c>
      <c r="CR73" s="4097">
        <f>IFERROR(AV73/AV$117,0)</f>
        <v/>
      </c>
      <c r="CS73" s="4097">
        <f>IFERROR(AW73/AW$117,0)</f>
        <v/>
      </c>
      <c r="CT73" s="4097">
        <f>IFERROR(AX73/AX$117,0)</f>
        <v/>
      </c>
      <c r="CU73" s="4097">
        <f>IFERROR(AY73/AY$117,0)</f>
        <v/>
      </c>
      <c r="CV73" s="4097">
        <f>IFERROR(AZ73/AZ$117,0)</f>
        <v/>
      </c>
      <c r="CW73" s="3737" t="n"/>
      <c r="CX73" s="4094" t="n">
        <v>280.569</v>
      </c>
    </row>
    <row r="74" hidden="1" outlineLevel="2" ht="12" customFormat="1" customHeight="1" s="3737">
      <c r="A74" s="4059" t="n"/>
      <c r="B74" s="4060" t="n"/>
      <c r="C74" s="4109" t="inlineStr">
        <is>
          <t>Atm driving</t>
        </is>
      </c>
      <c r="D74" s="4093" t="n">
        <v>414103</v>
      </c>
      <c r="E74" s="4093">
        <f>CONCATENATE(D74," - ",C74)</f>
        <v/>
      </c>
      <c r="F74" s="4094" t="n"/>
      <c r="G74" s="4094" t="n"/>
      <c r="H74" s="4094" t="n"/>
      <c r="I74" s="4094" t="n"/>
      <c r="J74" s="4094" t="n"/>
      <c r="K74" s="4094" t="n"/>
      <c r="L74" s="4094" t="n"/>
      <c r="M74" s="4094" t="n"/>
      <c r="N74" s="4094" t="n"/>
      <c r="O74" s="4094" t="n"/>
      <c r="P74" s="4094" t="n"/>
      <c r="Q74" s="4095" t="n"/>
      <c r="R74" s="4094" t="n"/>
      <c r="S74" s="4094" t="n"/>
      <c r="T74" s="4094" t="n"/>
      <c r="U74" s="4094" t="n"/>
      <c r="V74" s="4094" t="n"/>
      <c r="W74" s="4094" t="n"/>
      <c r="X74" s="4094" t="n"/>
      <c r="Y74" s="4094" t="n"/>
      <c r="Z74" s="4094" t="n"/>
      <c r="AA74" s="4094" t="n"/>
      <c r="AB74" s="4094" t="n"/>
      <c r="AC74" s="4095" t="n"/>
      <c r="AD74" s="4094" t="n"/>
      <c r="AE74" s="4094" t="n"/>
      <c r="AF74" s="4094" t="n"/>
      <c r="AG74" s="4094" t="n"/>
      <c r="AH74" s="4094" t="n"/>
      <c r="AI74" s="4094" t="n"/>
      <c r="AJ74" s="4094" t="n"/>
      <c r="AK74" s="4094" t="n"/>
      <c r="AL74" s="4094" t="n"/>
      <c r="AM74" s="4094" t="n"/>
      <c r="AN74" s="4094" t="n"/>
      <c r="AO74" s="4095" t="n"/>
      <c r="AP74" s="4094" t="n">
        <v>19.47375</v>
      </c>
      <c r="AQ74" s="4094" t="n">
        <v>19.47375</v>
      </c>
      <c r="AR74" s="4094" t="n">
        <v>19.438</v>
      </c>
      <c r="AS74" s="4094" t="n">
        <v>19.358</v>
      </c>
      <c r="AT74" s="4094" t="n">
        <v>21.05375</v>
      </c>
      <c r="AU74" s="4096" t="n">
        <v>21.02075</v>
      </c>
      <c r="AV74" s="4094">
        <f>SUM(F74:Q74)</f>
        <v/>
      </c>
      <c r="AW74" s="4094">
        <f>SUM(R74:AC74)</f>
        <v/>
      </c>
      <c r="AX74" s="4094">
        <f>SUM(AD74:AO74)</f>
        <v/>
      </c>
      <c r="AY74" s="4094">
        <f>SUM(AH74:AS74)</f>
        <v/>
      </c>
      <c r="AZ74" s="4094">
        <f>SUM(AJ74:AU74)</f>
        <v/>
      </c>
      <c r="BA74" s="3737" t="n"/>
      <c r="BB74" s="4097">
        <f>IFERROR(F74/F$117,0)</f>
        <v/>
      </c>
      <c r="BC74" s="4097">
        <f>IFERROR(G74/G$117,0)</f>
        <v/>
      </c>
      <c r="BD74" s="4097">
        <f>IFERROR(H74/H$117,0)</f>
        <v/>
      </c>
      <c r="BE74" s="4097">
        <f>IFERROR(I74/I$117,0)</f>
        <v/>
      </c>
      <c r="BF74" s="4097">
        <f>IFERROR(J74/J$117,0)</f>
        <v/>
      </c>
      <c r="BG74" s="4097">
        <f>IFERROR(K74/K$117,0)</f>
        <v/>
      </c>
      <c r="BH74" s="4097">
        <f>IFERROR(L74/L$117,0)</f>
        <v/>
      </c>
      <c r="BI74" s="4097">
        <f>IFERROR(M74/M$117,0)</f>
        <v/>
      </c>
      <c r="BJ74" s="4097">
        <f>IFERROR(N74/N$117,0)</f>
        <v/>
      </c>
      <c r="BK74" s="4097">
        <f>IFERROR(O74/O$117,0)</f>
        <v/>
      </c>
      <c r="BL74" s="4097">
        <f>IFERROR(P74/P$117,0)</f>
        <v/>
      </c>
      <c r="BM74" s="4098">
        <f>IFERROR(Q74/Q$117,0)</f>
        <v/>
      </c>
      <c r="BN74" s="4097">
        <f>IFERROR(R74/R$117,0)</f>
        <v/>
      </c>
      <c r="BO74" s="4097">
        <f>IFERROR(S74/S$117,0)</f>
        <v/>
      </c>
      <c r="BP74" s="4097">
        <f>IFERROR(T74/T$117,0)</f>
        <v/>
      </c>
      <c r="BQ74" s="4097">
        <f>IFERROR(U74/U$117,0)</f>
        <v/>
      </c>
      <c r="BR74" s="4097">
        <f>IFERROR(V74/V$117,0)</f>
        <v/>
      </c>
      <c r="BS74" s="4097">
        <f>IFERROR(W74/W$117,0)</f>
        <v/>
      </c>
      <c r="BT74" s="4097">
        <f>IFERROR(X74/X$117,0)</f>
        <v/>
      </c>
      <c r="BU74" s="4097">
        <f>IFERROR(Y74/Y$117,0)</f>
        <v/>
      </c>
      <c r="BV74" s="4097">
        <f>IFERROR(Z74/Z$117,0)</f>
        <v/>
      </c>
      <c r="BW74" s="4097">
        <f>IFERROR(AA74/AA$117,0)</f>
        <v/>
      </c>
      <c r="BX74" s="4097">
        <f>IFERROR(AB74/AB$117,0)</f>
        <v/>
      </c>
      <c r="BY74" s="4098">
        <f>IFERROR(AC74/AC$117,0)</f>
        <v/>
      </c>
      <c r="BZ74" s="4097">
        <f>IFERROR(AD74/AD$117,0)</f>
        <v/>
      </c>
      <c r="CA74" s="4097">
        <f>IFERROR(AE74/AE$117,0)</f>
        <v/>
      </c>
      <c r="CB74" s="4097">
        <f>IFERROR(AF74/AF$117,0)</f>
        <v/>
      </c>
      <c r="CC74" s="4097">
        <f>IFERROR(AG74/AG$117,0)</f>
        <v/>
      </c>
      <c r="CD74" s="4097">
        <f>IFERROR(AH74/AH$117,0)</f>
        <v/>
      </c>
      <c r="CE74" s="4097">
        <f>IFERROR(AI74/AI$117,0)</f>
        <v/>
      </c>
      <c r="CF74" s="4097">
        <f>IFERROR(AJ74/AJ$117,0)</f>
        <v/>
      </c>
      <c r="CG74" s="4097">
        <f>IFERROR(AK74/AK$117,0)</f>
        <v/>
      </c>
      <c r="CH74" s="4097">
        <f>IFERROR(AL74/AL$117,0)</f>
        <v/>
      </c>
      <c r="CI74" s="4097">
        <f>IFERROR(AM74/AM$117,0)</f>
        <v/>
      </c>
      <c r="CJ74" s="4097">
        <f>IFERROR(AN74/AN$117,0)</f>
        <v/>
      </c>
      <c r="CK74" s="4098">
        <f>IFERROR(AO74/AO$117,0)</f>
        <v/>
      </c>
      <c r="CL74" s="4097">
        <f>IFERROR(AP74/AP$117,0)</f>
        <v/>
      </c>
      <c r="CM74" s="4097">
        <f>IFERROR(AQ74/AQ$117,0)</f>
        <v/>
      </c>
      <c r="CN74" s="4097">
        <f>IFERROR(AR74/AR$117,0)</f>
        <v/>
      </c>
      <c r="CO74" s="4097">
        <f>IFERROR(AS74/AS$117,0)</f>
        <v/>
      </c>
      <c r="CP74" s="4097">
        <f>IFERROR(AT74/AT$117,0)</f>
        <v/>
      </c>
      <c r="CQ74" s="4099">
        <f>IFERROR(AU74/AU$117,0)</f>
        <v/>
      </c>
      <c r="CR74" s="4097">
        <f>IFERROR(AV74/AV$117,0)</f>
        <v/>
      </c>
      <c r="CS74" s="4097">
        <f>IFERROR(AW74/AW$117,0)</f>
        <v/>
      </c>
      <c r="CT74" s="4097">
        <f>IFERROR(AX74/AX$117,0)</f>
        <v/>
      </c>
      <c r="CU74" s="4097">
        <f>IFERROR(AY74/AY$117,0)</f>
        <v/>
      </c>
      <c r="CV74" s="4097">
        <f>IFERROR(AZ74/AZ$117,0)</f>
        <v/>
      </c>
      <c r="CW74" s="3737" t="n"/>
      <c r="CX74" s="4094" t="n">
        <v>231.83675</v>
      </c>
    </row>
    <row r="75" hidden="1" outlineLevel="2" ht="12" customFormat="1" customHeight="1" s="3737">
      <c r="A75" s="4059" t="n"/>
      <c r="B75" s="4060" t="n"/>
      <c r="C75" s="4109" t="inlineStr">
        <is>
          <t>Atm - cdrs fees</t>
        </is>
      </c>
      <c r="D75" s="4093" t="n">
        <v>414112</v>
      </c>
      <c r="E75" s="4093">
        <f>CONCATENATE(D75," - ",C75)</f>
        <v/>
      </c>
      <c r="F75" s="4094" t="n"/>
      <c r="G75" s="4094" t="n"/>
      <c r="H75" s="4094" t="n"/>
      <c r="I75" s="4094" t="n"/>
      <c r="J75" s="4094" t="n"/>
      <c r="K75" s="4094" t="n"/>
      <c r="L75" s="4094" t="n"/>
      <c r="M75" s="4094" t="n"/>
      <c r="N75" s="4094" t="n"/>
      <c r="O75" s="4094" t="n"/>
      <c r="P75" s="4094" t="n"/>
      <c r="Q75" s="4095" t="n"/>
      <c r="R75" s="4094" t="n"/>
      <c r="S75" s="4094" t="n"/>
      <c r="T75" s="4094" t="n"/>
      <c r="U75" s="4094" t="n"/>
      <c r="V75" s="4094" t="n"/>
      <c r="W75" s="4094" t="n"/>
      <c r="X75" s="4094" t="n"/>
      <c r="Y75" s="4094" t="n"/>
      <c r="Z75" s="4094" t="n"/>
      <c r="AA75" s="4094" t="n"/>
      <c r="AB75" s="4094" t="n"/>
      <c r="AC75" s="4095" t="n"/>
      <c r="AD75" s="4094" t="n"/>
      <c r="AE75" s="4094" t="n"/>
      <c r="AF75" s="4094" t="n"/>
      <c r="AG75" s="4094" t="n"/>
      <c r="AH75" s="4094" t="n"/>
      <c r="AI75" s="4094" t="n"/>
      <c r="AJ75" s="4094" t="n"/>
      <c r="AK75" s="4094" t="n"/>
      <c r="AL75" s="4094" t="n"/>
      <c r="AM75" s="4094" t="n"/>
      <c r="AN75" s="4094" t="n"/>
      <c r="AO75" s="4095" t="n"/>
      <c r="AP75" s="4094" t="n">
        <v>5.02084</v>
      </c>
      <c r="AQ75" s="4094" t="n">
        <v>5.02084</v>
      </c>
      <c r="AR75" s="4094" t="n">
        <v>5.02084</v>
      </c>
      <c r="AS75" s="4094" t="n">
        <v>5.02084</v>
      </c>
      <c r="AT75" s="4094" t="n">
        <v>5.02084</v>
      </c>
      <c r="AU75" s="4096" t="n">
        <v>5.02084</v>
      </c>
      <c r="AV75" s="4094">
        <f>SUM(F75:Q75)</f>
        <v/>
      </c>
      <c r="AW75" s="4094">
        <f>SUM(R75:AC75)</f>
        <v/>
      </c>
      <c r="AX75" s="4094">
        <f>SUM(AD75:AO75)</f>
        <v/>
      </c>
      <c r="AY75" s="4094">
        <f>SUM(AH75:AS75)</f>
        <v/>
      </c>
      <c r="AZ75" s="4094">
        <f>SUM(AJ75:AU75)</f>
        <v/>
      </c>
      <c r="BA75" s="3737" t="n"/>
      <c r="BB75" s="4097">
        <f>IFERROR(F75/F$117,0)</f>
        <v/>
      </c>
      <c r="BC75" s="4097">
        <f>IFERROR(G75/G$117,0)</f>
        <v/>
      </c>
      <c r="BD75" s="4097">
        <f>IFERROR(H75/H$117,0)</f>
        <v/>
      </c>
      <c r="BE75" s="4097">
        <f>IFERROR(I75/I$117,0)</f>
        <v/>
      </c>
      <c r="BF75" s="4097">
        <f>IFERROR(J75/J$117,0)</f>
        <v/>
      </c>
      <c r="BG75" s="4097">
        <f>IFERROR(K75/K$117,0)</f>
        <v/>
      </c>
      <c r="BH75" s="4097">
        <f>IFERROR(L75/L$117,0)</f>
        <v/>
      </c>
      <c r="BI75" s="4097">
        <f>IFERROR(M75/M$117,0)</f>
        <v/>
      </c>
      <c r="BJ75" s="4097">
        <f>IFERROR(N75/N$117,0)</f>
        <v/>
      </c>
      <c r="BK75" s="4097">
        <f>IFERROR(O75/O$117,0)</f>
        <v/>
      </c>
      <c r="BL75" s="4097">
        <f>IFERROR(P75/P$117,0)</f>
        <v/>
      </c>
      <c r="BM75" s="4098">
        <f>IFERROR(Q75/Q$117,0)</f>
        <v/>
      </c>
      <c r="BN75" s="4097">
        <f>IFERROR(R75/R$117,0)</f>
        <v/>
      </c>
      <c r="BO75" s="4097">
        <f>IFERROR(S75/S$117,0)</f>
        <v/>
      </c>
      <c r="BP75" s="4097">
        <f>IFERROR(T75/T$117,0)</f>
        <v/>
      </c>
      <c r="BQ75" s="4097">
        <f>IFERROR(U75/U$117,0)</f>
        <v/>
      </c>
      <c r="BR75" s="4097">
        <f>IFERROR(V75/V$117,0)</f>
        <v/>
      </c>
      <c r="BS75" s="4097">
        <f>IFERROR(W75/W$117,0)</f>
        <v/>
      </c>
      <c r="BT75" s="4097">
        <f>IFERROR(X75/X$117,0)</f>
        <v/>
      </c>
      <c r="BU75" s="4097">
        <f>IFERROR(Y75/Y$117,0)</f>
        <v/>
      </c>
      <c r="BV75" s="4097">
        <f>IFERROR(Z75/Z$117,0)</f>
        <v/>
      </c>
      <c r="BW75" s="4097">
        <f>IFERROR(AA75/AA$117,0)</f>
        <v/>
      </c>
      <c r="BX75" s="4097">
        <f>IFERROR(AB75/AB$117,0)</f>
        <v/>
      </c>
      <c r="BY75" s="4098">
        <f>IFERROR(AC75/AC$117,0)</f>
        <v/>
      </c>
      <c r="BZ75" s="4097">
        <f>IFERROR(AD75/AD$117,0)</f>
        <v/>
      </c>
      <c r="CA75" s="4097">
        <f>IFERROR(AE75/AE$117,0)</f>
        <v/>
      </c>
      <c r="CB75" s="4097">
        <f>IFERROR(AF75/AF$117,0)</f>
        <v/>
      </c>
      <c r="CC75" s="4097">
        <f>IFERROR(AG75/AG$117,0)</f>
        <v/>
      </c>
      <c r="CD75" s="4097">
        <f>IFERROR(AH75/AH$117,0)</f>
        <v/>
      </c>
      <c r="CE75" s="4097">
        <f>IFERROR(AI75/AI$117,0)</f>
        <v/>
      </c>
      <c r="CF75" s="4097">
        <f>IFERROR(AJ75/AJ$117,0)</f>
        <v/>
      </c>
      <c r="CG75" s="4097">
        <f>IFERROR(AK75/AK$117,0)</f>
        <v/>
      </c>
      <c r="CH75" s="4097">
        <f>IFERROR(AL75/AL$117,0)</f>
        <v/>
      </c>
      <c r="CI75" s="4097">
        <f>IFERROR(AM75/AM$117,0)</f>
        <v/>
      </c>
      <c r="CJ75" s="4097">
        <f>IFERROR(AN75/AN$117,0)</f>
        <v/>
      </c>
      <c r="CK75" s="4098">
        <f>IFERROR(AO75/AO$117,0)</f>
        <v/>
      </c>
      <c r="CL75" s="4097">
        <f>IFERROR(AP75/AP$117,0)</f>
        <v/>
      </c>
      <c r="CM75" s="4097">
        <f>IFERROR(AQ75/AQ$117,0)</f>
        <v/>
      </c>
      <c r="CN75" s="4097">
        <f>IFERROR(AR75/AR$117,0)</f>
        <v/>
      </c>
      <c r="CO75" s="4097">
        <f>IFERROR(AS75/AS$117,0)</f>
        <v/>
      </c>
      <c r="CP75" s="4097">
        <f>IFERROR(AT75/AT$117,0)</f>
        <v/>
      </c>
      <c r="CQ75" s="4099">
        <f>IFERROR(AU75/AU$117,0)</f>
        <v/>
      </c>
      <c r="CR75" s="4097">
        <f>IFERROR(AV75/AV$117,0)</f>
        <v/>
      </c>
      <c r="CS75" s="4097">
        <f>IFERROR(AW75/AW$117,0)</f>
        <v/>
      </c>
      <c r="CT75" s="4097">
        <f>IFERROR(AX75/AX$117,0)</f>
        <v/>
      </c>
      <c r="CU75" s="4097">
        <f>IFERROR(AY75/AY$117,0)</f>
        <v/>
      </c>
      <c r="CV75" s="4097">
        <f>IFERROR(AZ75/AZ$117,0)</f>
        <v/>
      </c>
      <c r="CW75" s="3737" t="n"/>
      <c r="CX75" s="4094" t="n">
        <v>0</v>
      </c>
    </row>
    <row r="76" hidden="1" outlineLevel="2" ht="12" customFormat="1" customHeight="1" s="3737">
      <c r="A76" s="4059" t="n"/>
      <c r="B76" s="4060" t="n"/>
      <c r="C76" s="4109" t="inlineStr">
        <is>
          <t>Atm rkl</t>
        </is>
      </c>
      <c r="D76" s="4093" t="n">
        <v>414101</v>
      </c>
      <c r="E76" s="4093">
        <f>CONCATENATE(D76," - ",C76)</f>
        <v/>
      </c>
      <c r="F76" s="4094" t="n"/>
      <c r="G76" s="4094" t="n"/>
      <c r="H76" s="4094" t="n"/>
      <c r="I76" s="4094" t="n"/>
      <c r="J76" s="4094" t="n"/>
      <c r="K76" s="4094" t="n"/>
      <c r="L76" s="4094" t="n"/>
      <c r="M76" s="4094" t="n"/>
      <c r="N76" s="4094" t="n"/>
      <c r="O76" s="4094" t="n"/>
      <c r="P76" s="4094" t="n"/>
      <c r="Q76" s="4095" t="n"/>
      <c r="R76" s="4094" t="n"/>
      <c r="S76" s="4094" t="n"/>
      <c r="T76" s="4094" t="n"/>
      <c r="U76" s="4094" t="n"/>
      <c r="V76" s="4094" t="n"/>
      <c r="W76" s="4094" t="n"/>
      <c r="X76" s="4094" t="n"/>
      <c r="Y76" s="4094" t="n"/>
      <c r="Z76" s="4094" t="n"/>
      <c r="AA76" s="4094" t="n"/>
      <c r="AB76" s="4094" t="n"/>
      <c r="AC76" s="4095" t="n"/>
      <c r="AD76" s="4094" t="n"/>
      <c r="AE76" s="4094" t="n"/>
      <c r="AF76" s="4094" t="n"/>
      <c r="AG76" s="4094" t="n"/>
      <c r="AH76" s="4094" t="n"/>
      <c r="AI76" s="4094" t="n"/>
      <c r="AJ76" s="4094" t="n"/>
      <c r="AK76" s="4094" t="n"/>
      <c r="AL76" s="4094" t="n"/>
      <c r="AM76" s="4094" t="n"/>
      <c r="AN76" s="4094" t="n"/>
      <c r="AO76" s="4095" t="n"/>
      <c r="AP76" s="4094" t="n">
        <v>4.318</v>
      </c>
      <c r="AQ76" s="4094" t="n">
        <v>3.8855</v>
      </c>
      <c r="AR76" s="4094" t="n">
        <v>3.914</v>
      </c>
      <c r="AS76" s="4094" t="n">
        <v>7.248</v>
      </c>
      <c r="AT76" s="4094" t="n">
        <v>7.1815</v>
      </c>
      <c r="AU76" s="4096" t="n">
        <v>4.3795</v>
      </c>
      <c r="AV76" s="4094">
        <f>SUM(F76:Q76)</f>
        <v/>
      </c>
      <c r="AW76" s="4094">
        <f>SUM(R76:AC76)</f>
        <v/>
      </c>
      <c r="AX76" s="4094">
        <f>SUM(AD76:AO76)</f>
        <v/>
      </c>
      <c r="AY76" s="4094">
        <f>SUM(AH76:AS76)</f>
        <v/>
      </c>
      <c r="AZ76" s="4094">
        <f>SUM(AJ76:AU76)</f>
        <v/>
      </c>
      <c r="BA76" s="3737" t="n"/>
      <c r="BB76" s="4097">
        <f>IFERROR(F76/F$117,0)</f>
        <v/>
      </c>
      <c r="BC76" s="4097">
        <f>IFERROR(G76/G$117,0)</f>
        <v/>
      </c>
      <c r="BD76" s="4097">
        <f>IFERROR(H76/H$117,0)</f>
        <v/>
      </c>
      <c r="BE76" s="4097">
        <f>IFERROR(I76/I$117,0)</f>
        <v/>
      </c>
      <c r="BF76" s="4097">
        <f>IFERROR(J76/J$117,0)</f>
        <v/>
      </c>
      <c r="BG76" s="4097">
        <f>IFERROR(K76/K$117,0)</f>
        <v/>
      </c>
      <c r="BH76" s="4097">
        <f>IFERROR(L76/L$117,0)</f>
        <v/>
      </c>
      <c r="BI76" s="4097">
        <f>IFERROR(M76/M$117,0)</f>
        <v/>
      </c>
      <c r="BJ76" s="4097">
        <f>IFERROR(N76/N$117,0)</f>
        <v/>
      </c>
      <c r="BK76" s="4097">
        <f>IFERROR(O76/O$117,0)</f>
        <v/>
      </c>
      <c r="BL76" s="4097">
        <f>IFERROR(P76/P$117,0)</f>
        <v/>
      </c>
      <c r="BM76" s="4098">
        <f>IFERROR(Q76/Q$117,0)</f>
        <v/>
      </c>
      <c r="BN76" s="4097">
        <f>IFERROR(R76/R$117,0)</f>
        <v/>
      </c>
      <c r="BO76" s="4097">
        <f>IFERROR(S76/S$117,0)</f>
        <v/>
      </c>
      <c r="BP76" s="4097">
        <f>IFERROR(T76/T$117,0)</f>
        <v/>
      </c>
      <c r="BQ76" s="4097">
        <f>IFERROR(U76/U$117,0)</f>
        <v/>
      </c>
      <c r="BR76" s="4097">
        <f>IFERROR(V76/V$117,0)</f>
        <v/>
      </c>
      <c r="BS76" s="4097">
        <f>IFERROR(W76/W$117,0)</f>
        <v/>
      </c>
      <c r="BT76" s="4097">
        <f>IFERROR(X76/X$117,0)</f>
        <v/>
      </c>
      <c r="BU76" s="4097">
        <f>IFERROR(Y76/Y$117,0)</f>
        <v/>
      </c>
      <c r="BV76" s="4097">
        <f>IFERROR(Z76/Z$117,0)</f>
        <v/>
      </c>
      <c r="BW76" s="4097">
        <f>IFERROR(AA76/AA$117,0)</f>
        <v/>
      </c>
      <c r="BX76" s="4097">
        <f>IFERROR(AB76/AB$117,0)</f>
        <v/>
      </c>
      <c r="BY76" s="4098">
        <f>IFERROR(AC76/AC$117,0)</f>
        <v/>
      </c>
      <c r="BZ76" s="4097">
        <f>IFERROR(AD76/AD$117,0)</f>
        <v/>
      </c>
      <c r="CA76" s="4097">
        <f>IFERROR(AE76/AE$117,0)</f>
        <v/>
      </c>
      <c r="CB76" s="4097">
        <f>IFERROR(AF76/AF$117,0)</f>
        <v/>
      </c>
      <c r="CC76" s="4097">
        <f>IFERROR(AG76/AG$117,0)</f>
        <v/>
      </c>
      <c r="CD76" s="4097">
        <f>IFERROR(AH76/AH$117,0)</f>
        <v/>
      </c>
      <c r="CE76" s="4097">
        <f>IFERROR(AI76/AI$117,0)</f>
        <v/>
      </c>
      <c r="CF76" s="4097">
        <f>IFERROR(AJ76/AJ$117,0)</f>
        <v/>
      </c>
      <c r="CG76" s="4097">
        <f>IFERROR(AK76/AK$117,0)</f>
        <v/>
      </c>
      <c r="CH76" s="4097">
        <f>IFERROR(AL76/AL$117,0)</f>
        <v/>
      </c>
      <c r="CI76" s="4097">
        <f>IFERROR(AM76/AM$117,0)</f>
        <v/>
      </c>
      <c r="CJ76" s="4097">
        <f>IFERROR(AN76/AN$117,0)</f>
        <v/>
      </c>
      <c r="CK76" s="4098">
        <f>IFERROR(AO76/AO$117,0)</f>
        <v/>
      </c>
      <c r="CL76" s="4097">
        <f>IFERROR(AP76/AP$117,0)</f>
        <v/>
      </c>
      <c r="CM76" s="4097">
        <f>IFERROR(AQ76/AQ$117,0)</f>
        <v/>
      </c>
      <c r="CN76" s="4097">
        <f>IFERROR(AR76/AR$117,0)</f>
        <v/>
      </c>
      <c r="CO76" s="4097">
        <f>IFERROR(AS76/AS$117,0)</f>
        <v/>
      </c>
      <c r="CP76" s="4097">
        <f>IFERROR(AT76/AT$117,0)</f>
        <v/>
      </c>
      <c r="CQ76" s="4099">
        <f>IFERROR(AU76/AU$117,0)</f>
        <v/>
      </c>
      <c r="CR76" s="4097">
        <f>IFERROR(AV76/AV$117,0)</f>
        <v/>
      </c>
      <c r="CS76" s="4097">
        <f>IFERROR(AW76/AW$117,0)</f>
        <v/>
      </c>
      <c r="CT76" s="4097">
        <f>IFERROR(AX76/AX$117,0)</f>
        <v/>
      </c>
      <c r="CU76" s="4097">
        <f>IFERROR(AY76/AY$117,0)</f>
        <v/>
      </c>
      <c r="CV76" s="4097">
        <f>IFERROR(AZ76/AZ$117,0)</f>
        <v/>
      </c>
      <c r="CW76" s="3737" t="n"/>
      <c r="CX76" s="4094" t="n">
        <v>42.727</v>
      </c>
    </row>
    <row r="77" hidden="1" outlineLevel="2" ht="12" customFormat="1" customHeight="1" s="3737">
      <c r="A77" s="4059" t="n"/>
      <c r="B77" s="4060" t="n"/>
      <c r="C77" s="4109" t="inlineStr">
        <is>
          <t>Atm other</t>
        </is>
      </c>
      <c r="D77" s="4093" t="n">
        <v>414120</v>
      </c>
      <c r="E77" s="4093">
        <f>CONCATENATE(D77," - ",C77)</f>
        <v/>
      </c>
      <c r="F77" s="4094" t="n"/>
      <c r="G77" s="4094" t="n"/>
      <c r="H77" s="4094" t="n"/>
      <c r="I77" s="4094" t="n"/>
      <c r="J77" s="4094" t="n"/>
      <c r="K77" s="4094" t="n"/>
      <c r="L77" s="4094" t="n"/>
      <c r="M77" s="4094" t="n"/>
      <c r="N77" s="4094" t="n"/>
      <c r="O77" s="4094" t="n"/>
      <c r="P77" s="4094" t="n"/>
      <c r="Q77" s="4095" t="n"/>
      <c r="R77" s="4094" t="n"/>
      <c r="S77" s="4094" t="n"/>
      <c r="T77" s="4094" t="n"/>
      <c r="U77" s="4094" t="n"/>
      <c r="V77" s="4094" t="n"/>
      <c r="W77" s="4094" t="n"/>
      <c r="X77" s="4094" t="n"/>
      <c r="Y77" s="4094" t="n"/>
      <c r="Z77" s="4094" t="n"/>
      <c r="AA77" s="4094" t="n"/>
      <c r="AB77" s="4094" t="n"/>
      <c r="AC77" s="4095" t="n"/>
      <c r="AD77" s="4094" t="n"/>
      <c r="AE77" s="4094" t="n"/>
      <c r="AF77" s="4094" t="n"/>
      <c r="AG77" s="4094" t="n"/>
      <c r="AH77" s="4094" t="n"/>
      <c r="AI77" s="4094" t="n"/>
      <c r="AJ77" s="4094" t="n"/>
      <c r="AK77" s="4094" t="n"/>
      <c r="AL77" s="4094" t="n"/>
      <c r="AM77" s="4094" t="n"/>
      <c r="AN77" s="4094" t="n"/>
      <c r="AO77" s="4095" t="n"/>
      <c r="AP77" s="4094" t="n">
        <v>2.364</v>
      </c>
      <c r="AQ77" s="4094" t="n">
        <v>2.664</v>
      </c>
      <c r="AR77" s="4094" t="n">
        <v>2.664</v>
      </c>
      <c r="AS77" s="4094" t="n">
        <v>2.664</v>
      </c>
      <c r="AT77" s="4094" t="n">
        <v>2.664</v>
      </c>
      <c r="AU77" s="4096" t="n">
        <v>2.664</v>
      </c>
      <c r="AV77" s="4094">
        <f>SUM(F77:Q77)</f>
        <v/>
      </c>
      <c r="AW77" s="4094">
        <f>SUM(R77:AC77)</f>
        <v/>
      </c>
      <c r="AX77" s="4094">
        <f>SUM(AD77:AO77)</f>
        <v/>
      </c>
      <c r="AY77" s="4094">
        <f>SUM(AH77:AS77)</f>
        <v/>
      </c>
      <c r="AZ77" s="4094">
        <f>SUM(AJ77:AU77)</f>
        <v/>
      </c>
      <c r="BA77" s="3737" t="n"/>
      <c r="BB77" s="4097">
        <f>IFERROR(F77/F$117,0)</f>
        <v/>
      </c>
      <c r="BC77" s="4097">
        <f>IFERROR(G77/G$117,0)</f>
        <v/>
      </c>
      <c r="BD77" s="4097">
        <f>IFERROR(H77/H$117,0)</f>
        <v/>
      </c>
      <c r="BE77" s="4097">
        <f>IFERROR(I77/I$117,0)</f>
        <v/>
      </c>
      <c r="BF77" s="4097">
        <f>IFERROR(J77/J$117,0)</f>
        <v/>
      </c>
      <c r="BG77" s="4097">
        <f>IFERROR(K77/K$117,0)</f>
        <v/>
      </c>
      <c r="BH77" s="4097">
        <f>IFERROR(L77/L$117,0)</f>
        <v/>
      </c>
      <c r="BI77" s="4097">
        <f>IFERROR(M77/M$117,0)</f>
        <v/>
      </c>
      <c r="BJ77" s="4097">
        <f>IFERROR(N77/N$117,0)</f>
        <v/>
      </c>
      <c r="BK77" s="4097">
        <f>IFERROR(O77/O$117,0)</f>
        <v/>
      </c>
      <c r="BL77" s="4097">
        <f>IFERROR(P77/P$117,0)</f>
        <v/>
      </c>
      <c r="BM77" s="4098">
        <f>IFERROR(Q77/Q$117,0)</f>
        <v/>
      </c>
      <c r="BN77" s="4097">
        <f>IFERROR(R77/R$117,0)</f>
        <v/>
      </c>
      <c r="BO77" s="4097">
        <f>IFERROR(S77/S$117,0)</f>
        <v/>
      </c>
      <c r="BP77" s="4097">
        <f>IFERROR(T77/T$117,0)</f>
        <v/>
      </c>
      <c r="BQ77" s="4097">
        <f>IFERROR(U77/U$117,0)</f>
        <v/>
      </c>
      <c r="BR77" s="4097">
        <f>IFERROR(V77/V$117,0)</f>
        <v/>
      </c>
      <c r="BS77" s="4097">
        <f>IFERROR(W77/W$117,0)</f>
        <v/>
      </c>
      <c r="BT77" s="4097">
        <f>IFERROR(X77/X$117,0)</f>
        <v/>
      </c>
      <c r="BU77" s="4097">
        <f>IFERROR(Y77/Y$117,0)</f>
        <v/>
      </c>
      <c r="BV77" s="4097">
        <f>IFERROR(Z77/Z$117,0)</f>
        <v/>
      </c>
      <c r="BW77" s="4097">
        <f>IFERROR(AA77/AA$117,0)</f>
        <v/>
      </c>
      <c r="BX77" s="4097">
        <f>IFERROR(AB77/AB$117,0)</f>
        <v/>
      </c>
      <c r="BY77" s="4098">
        <f>IFERROR(AC77/AC$117,0)</f>
        <v/>
      </c>
      <c r="BZ77" s="4097">
        <f>IFERROR(AD77/AD$117,0)</f>
        <v/>
      </c>
      <c r="CA77" s="4097">
        <f>IFERROR(AE77/AE$117,0)</f>
        <v/>
      </c>
      <c r="CB77" s="4097">
        <f>IFERROR(AF77/AF$117,0)</f>
        <v/>
      </c>
      <c r="CC77" s="4097">
        <f>IFERROR(AG77/AG$117,0)</f>
        <v/>
      </c>
      <c r="CD77" s="4097">
        <f>IFERROR(AH77/AH$117,0)</f>
        <v/>
      </c>
      <c r="CE77" s="4097">
        <f>IFERROR(AI77/AI$117,0)</f>
        <v/>
      </c>
      <c r="CF77" s="4097">
        <f>IFERROR(AJ77/AJ$117,0)</f>
        <v/>
      </c>
      <c r="CG77" s="4097">
        <f>IFERROR(AK77/AK$117,0)</f>
        <v/>
      </c>
      <c r="CH77" s="4097">
        <f>IFERROR(AL77/AL$117,0)</f>
        <v/>
      </c>
      <c r="CI77" s="4097">
        <f>IFERROR(AM77/AM$117,0)</f>
        <v/>
      </c>
      <c r="CJ77" s="4097">
        <f>IFERROR(AN77/AN$117,0)</f>
        <v/>
      </c>
      <c r="CK77" s="4098">
        <f>IFERROR(AO77/AO$117,0)</f>
        <v/>
      </c>
      <c r="CL77" s="4097">
        <f>IFERROR(AP77/AP$117,0)</f>
        <v/>
      </c>
      <c r="CM77" s="4097">
        <f>IFERROR(AQ77/AQ$117,0)</f>
        <v/>
      </c>
      <c r="CN77" s="4097">
        <f>IFERROR(AR77/AR$117,0)</f>
        <v/>
      </c>
      <c r="CO77" s="4097">
        <f>IFERROR(AS77/AS$117,0)</f>
        <v/>
      </c>
      <c r="CP77" s="4097">
        <f>IFERROR(AT77/AT$117,0)</f>
        <v/>
      </c>
      <c r="CQ77" s="4099">
        <f>IFERROR(AU77/AU$117,0)</f>
        <v/>
      </c>
      <c r="CR77" s="4097">
        <f>IFERROR(AV77/AV$117,0)</f>
        <v/>
      </c>
      <c r="CS77" s="4097">
        <f>IFERROR(AW77/AW$117,0)</f>
        <v/>
      </c>
      <c r="CT77" s="4097">
        <f>IFERROR(AX77/AX$117,0)</f>
        <v/>
      </c>
      <c r="CU77" s="4097">
        <f>IFERROR(AY77/AY$117,0)</f>
        <v/>
      </c>
      <c r="CV77" s="4097">
        <f>IFERROR(AZ77/AZ$117,0)</f>
        <v/>
      </c>
      <c r="CW77" s="3737" t="n"/>
      <c r="CX77" s="4094" t="n">
        <v>36.21</v>
      </c>
    </row>
    <row r="78" hidden="1" outlineLevel="2" ht="12" customFormat="1" customHeight="1" s="3737">
      <c r="A78" s="4059" t="n"/>
      <c r="B78" s="4060" t="n"/>
      <c r="C78" s="4110" t="inlineStr">
        <is>
          <t>Vynamic view user fees</t>
        </is>
      </c>
      <c r="D78" s="4101" t="n">
        <v>414111</v>
      </c>
      <c r="E78" s="4101">
        <f>CONCATENATE(D78," - ",C78)</f>
        <v/>
      </c>
      <c r="F78" s="4102" t="n"/>
      <c r="G78" s="4102" t="n"/>
      <c r="H78" s="4102" t="n"/>
      <c r="I78" s="4102" t="n"/>
      <c r="J78" s="4102" t="n"/>
      <c r="K78" s="4102" t="n"/>
      <c r="L78" s="4102" t="n"/>
      <c r="M78" s="4102" t="n"/>
      <c r="N78" s="4102" t="n"/>
      <c r="O78" s="4102" t="n"/>
      <c r="P78" s="4102" t="n"/>
      <c r="Q78" s="4103" t="n"/>
      <c r="R78" s="4102" t="n"/>
      <c r="S78" s="4102" t="n"/>
      <c r="T78" s="4102" t="n"/>
      <c r="U78" s="4102" t="n"/>
      <c r="V78" s="4102" t="n"/>
      <c r="W78" s="4102" t="n"/>
      <c r="X78" s="4102" t="n"/>
      <c r="Y78" s="4102" t="n"/>
      <c r="Z78" s="4102" t="n"/>
      <c r="AA78" s="4102" t="n"/>
      <c r="AB78" s="4102" t="n"/>
      <c r="AC78" s="4103" t="n"/>
      <c r="AD78" s="4102" t="n"/>
      <c r="AE78" s="4102" t="n"/>
      <c r="AF78" s="4102" t="n"/>
      <c r="AG78" s="4102" t="n"/>
      <c r="AH78" s="4102" t="n"/>
      <c r="AI78" s="4102" t="n"/>
      <c r="AJ78" s="4102" t="n"/>
      <c r="AK78" s="4102" t="n"/>
      <c r="AL78" s="4102" t="n"/>
      <c r="AM78" s="4102" t="n"/>
      <c r="AN78" s="4102" t="n"/>
      <c r="AO78" s="4103" t="n"/>
      <c r="AP78" s="4102" t="n">
        <v>0.1725</v>
      </c>
      <c r="AQ78" s="4102" t="n">
        <v>0.1725</v>
      </c>
      <c r="AR78" s="4102" t="n">
        <v>0.1725</v>
      </c>
      <c r="AS78" s="4102" t="n">
        <v>0.1725</v>
      </c>
      <c r="AT78" s="4102" t="n">
        <v>0.1725</v>
      </c>
      <c r="AU78" s="4104" t="n">
        <v>0.1725</v>
      </c>
      <c r="AV78" s="4102">
        <f>SUM(F78:Q78)</f>
        <v/>
      </c>
      <c r="AW78" s="4102">
        <f>SUM(R78:AC78)</f>
        <v/>
      </c>
      <c r="AX78" s="4102">
        <f>SUM(AD78:AO78)</f>
        <v/>
      </c>
      <c r="AY78" s="4102">
        <f>SUM(AH78:AS78)</f>
        <v/>
      </c>
      <c r="AZ78" s="4102">
        <f>SUM(AJ78:AU78)</f>
        <v/>
      </c>
      <c r="BA78" s="3737" t="n"/>
      <c r="BB78" s="4105">
        <f>IFERROR(F78/F$117,0)</f>
        <v/>
      </c>
      <c r="BC78" s="4105">
        <f>IFERROR(G78/G$117,0)</f>
        <v/>
      </c>
      <c r="BD78" s="4105">
        <f>IFERROR(H78/H$117,0)</f>
        <v/>
      </c>
      <c r="BE78" s="4105">
        <f>IFERROR(I78/I$117,0)</f>
        <v/>
      </c>
      <c r="BF78" s="4105">
        <f>IFERROR(J78/J$117,0)</f>
        <v/>
      </c>
      <c r="BG78" s="4105">
        <f>IFERROR(K78/K$117,0)</f>
        <v/>
      </c>
      <c r="BH78" s="4105">
        <f>IFERROR(L78/L$117,0)</f>
        <v/>
      </c>
      <c r="BI78" s="4105">
        <f>IFERROR(M78/M$117,0)</f>
        <v/>
      </c>
      <c r="BJ78" s="4105">
        <f>IFERROR(N78/N$117,0)</f>
        <v/>
      </c>
      <c r="BK78" s="4105">
        <f>IFERROR(O78/O$117,0)</f>
        <v/>
      </c>
      <c r="BL78" s="4105">
        <f>IFERROR(P78/P$117,0)</f>
        <v/>
      </c>
      <c r="BM78" s="4106">
        <f>IFERROR(Q78/Q$117,0)</f>
        <v/>
      </c>
      <c r="BN78" s="4105">
        <f>IFERROR(R78/R$117,0)</f>
        <v/>
      </c>
      <c r="BO78" s="4105">
        <f>IFERROR(S78/S$117,0)</f>
        <v/>
      </c>
      <c r="BP78" s="4105">
        <f>IFERROR(T78/T$117,0)</f>
        <v/>
      </c>
      <c r="BQ78" s="4105">
        <f>IFERROR(U78/U$117,0)</f>
        <v/>
      </c>
      <c r="BR78" s="4105">
        <f>IFERROR(V78/V$117,0)</f>
        <v/>
      </c>
      <c r="BS78" s="4105">
        <f>IFERROR(W78/W$117,0)</f>
        <v/>
      </c>
      <c r="BT78" s="4105">
        <f>IFERROR(X78/X$117,0)</f>
        <v/>
      </c>
      <c r="BU78" s="4105">
        <f>IFERROR(Y78/Y$117,0)</f>
        <v/>
      </c>
      <c r="BV78" s="4105">
        <f>IFERROR(Z78/Z$117,0)</f>
        <v/>
      </c>
      <c r="BW78" s="4105">
        <f>IFERROR(AA78/AA$117,0)</f>
        <v/>
      </c>
      <c r="BX78" s="4105">
        <f>IFERROR(AB78/AB$117,0)</f>
        <v/>
      </c>
      <c r="BY78" s="4106">
        <f>IFERROR(AC78/AC$117,0)</f>
        <v/>
      </c>
      <c r="BZ78" s="4105">
        <f>IFERROR(AD78/AD$117,0)</f>
        <v/>
      </c>
      <c r="CA78" s="4105">
        <f>IFERROR(AE78/AE$117,0)</f>
        <v/>
      </c>
      <c r="CB78" s="4105">
        <f>IFERROR(AF78/AF$117,0)</f>
        <v/>
      </c>
      <c r="CC78" s="4105">
        <f>IFERROR(AG78/AG$117,0)</f>
        <v/>
      </c>
      <c r="CD78" s="4105">
        <f>IFERROR(AH78/AH$117,0)</f>
        <v/>
      </c>
      <c r="CE78" s="4105">
        <f>IFERROR(AI78/AI$117,0)</f>
        <v/>
      </c>
      <c r="CF78" s="4105">
        <f>IFERROR(AJ78/AJ$117,0)</f>
        <v/>
      </c>
      <c r="CG78" s="4105">
        <f>IFERROR(AK78/AK$117,0)</f>
        <v/>
      </c>
      <c r="CH78" s="4105">
        <f>IFERROR(AL78/AL$117,0)</f>
        <v/>
      </c>
      <c r="CI78" s="4105">
        <f>IFERROR(AM78/AM$117,0)</f>
        <v/>
      </c>
      <c r="CJ78" s="4105">
        <f>IFERROR(AN78/AN$117,0)</f>
        <v/>
      </c>
      <c r="CK78" s="4106">
        <f>IFERROR(AO78/AO$117,0)</f>
        <v/>
      </c>
      <c r="CL78" s="4105">
        <f>IFERROR(AP78/AP$117,0)</f>
        <v/>
      </c>
      <c r="CM78" s="4105">
        <f>IFERROR(AQ78/AQ$117,0)</f>
        <v/>
      </c>
      <c r="CN78" s="4105">
        <f>IFERROR(AR78/AR$117,0)</f>
        <v/>
      </c>
      <c r="CO78" s="4105">
        <f>IFERROR(AS78/AS$117,0)</f>
        <v/>
      </c>
      <c r="CP78" s="4105">
        <f>IFERROR(AT78/AT$117,0)</f>
        <v/>
      </c>
      <c r="CQ78" s="4107">
        <f>IFERROR(AU78/AU$117,0)</f>
        <v/>
      </c>
      <c r="CR78" s="4105">
        <f>IFERROR(AV78/AV$117,0)</f>
        <v/>
      </c>
      <c r="CS78" s="4105">
        <f>IFERROR(AW78/AW$117,0)</f>
        <v/>
      </c>
      <c r="CT78" s="4105">
        <f>IFERROR(AX78/AX$117,0)</f>
        <v/>
      </c>
      <c r="CU78" s="4105">
        <f>IFERROR(AY78/AY$117,0)</f>
        <v/>
      </c>
      <c r="CV78" s="4105">
        <f>IFERROR(AZ78/AZ$117,0)</f>
        <v/>
      </c>
      <c r="CW78" s="3737" t="n"/>
      <c r="CX78" s="4102" t="n">
        <v>2.461</v>
      </c>
    </row>
    <row r="79" hidden="1" outlineLevel="1" collapsed="1" ht="12" customFormat="1" customHeight="1" s="3737">
      <c r="A79" s="4059" t="n"/>
      <c r="B79" s="4060" t="n"/>
      <c r="C79" s="4111" t="inlineStr">
        <is>
          <t>Atm managed services revenue</t>
        </is>
      </c>
      <c r="D79" s="4093" t="n"/>
      <c r="E79" s="4093" t="n"/>
      <c r="F79" s="4094" t="n"/>
      <c r="G79" s="4094" t="n"/>
      <c r="H79" s="4094" t="n"/>
      <c r="I79" s="4094" t="n"/>
      <c r="J79" s="4094" t="n"/>
      <c r="K79" s="4094" t="n"/>
      <c r="L79" s="4094" t="n"/>
      <c r="M79" s="4094" t="n"/>
      <c r="N79" s="4094" t="n"/>
      <c r="O79" s="4094" t="n"/>
      <c r="P79" s="4094" t="n"/>
      <c r="Q79" s="4095" t="n"/>
      <c r="R79" s="4094" t="n"/>
      <c r="S79" s="4094" t="n"/>
      <c r="T79" s="4094" t="n"/>
      <c r="U79" s="4094" t="n"/>
      <c r="V79" s="4094" t="n"/>
      <c r="W79" s="4094" t="n"/>
      <c r="X79" s="4094" t="n"/>
      <c r="Y79" s="4094" t="n"/>
      <c r="Z79" s="4094" t="n"/>
      <c r="AA79" s="4094" t="n"/>
      <c r="AB79" s="4094" t="n"/>
      <c r="AC79" s="4095" t="n"/>
      <c r="AD79" s="4094" t="n"/>
      <c r="AE79" s="4094" t="n"/>
      <c r="AF79" s="4094" t="n"/>
      <c r="AG79" s="4094" t="n"/>
      <c r="AH79" s="4094" t="n"/>
      <c r="AI79" s="4094" t="n"/>
      <c r="AJ79" s="4094" t="n"/>
      <c r="AK79" s="4094" t="n"/>
      <c r="AL79" s="4094" t="n"/>
      <c r="AM79" s="4094" t="n"/>
      <c r="AN79" s="4094" t="n"/>
      <c r="AO79" s="4095" t="n"/>
      <c r="AP79" s="4094">
        <f>SUM(AP69:AP78)</f>
        <v/>
      </c>
      <c r="AQ79" s="4094">
        <f>SUM(AQ69:AQ78)</f>
        <v/>
      </c>
      <c r="AR79" s="4094">
        <f>SUM(AR69:AR78)</f>
        <v/>
      </c>
      <c r="AS79" s="4094">
        <f>SUM(AS69:AS78)</f>
        <v/>
      </c>
      <c r="AT79" s="4094">
        <f>SUM(AT69:AT78)</f>
        <v/>
      </c>
      <c r="AU79" s="4096">
        <f>SUM(AU69:AU78)</f>
        <v/>
      </c>
      <c r="AV79" s="4094">
        <f>SUM(AV69:AV78)</f>
        <v/>
      </c>
      <c r="AW79" s="4094">
        <f>SUM(AW69:AW78)</f>
        <v/>
      </c>
      <c r="AX79" s="4094">
        <f>SUM(AX69:AX78)</f>
        <v/>
      </c>
      <c r="AY79" s="4094">
        <f>SUM(AY69:AY78)</f>
        <v/>
      </c>
      <c r="AZ79" s="4094">
        <f>SUM(AZ69:AZ78)</f>
        <v/>
      </c>
      <c r="BA79" s="3737" t="n"/>
      <c r="BB79" s="4097">
        <f>IFERROR(F79/F$117,0)</f>
        <v/>
      </c>
      <c r="BC79" s="4097">
        <f>IFERROR(G79/G$117,0)</f>
        <v/>
      </c>
      <c r="BD79" s="4097">
        <f>IFERROR(H79/H$117,0)</f>
        <v/>
      </c>
      <c r="BE79" s="4097">
        <f>IFERROR(I79/I$117,0)</f>
        <v/>
      </c>
      <c r="BF79" s="4097">
        <f>IFERROR(J79/J$117,0)</f>
        <v/>
      </c>
      <c r="BG79" s="4097">
        <f>IFERROR(K79/K$117,0)</f>
        <v/>
      </c>
      <c r="BH79" s="4097">
        <f>IFERROR(L79/L$117,0)</f>
        <v/>
      </c>
      <c r="BI79" s="4097">
        <f>IFERROR(M79/M$117,0)</f>
        <v/>
      </c>
      <c r="BJ79" s="4097">
        <f>IFERROR(N79/N$117,0)</f>
        <v/>
      </c>
      <c r="BK79" s="4097">
        <f>IFERROR(O79/O$117,0)</f>
        <v/>
      </c>
      <c r="BL79" s="4097">
        <f>IFERROR(P79/P$117,0)</f>
        <v/>
      </c>
      <c r="BM79" s="4098">
        <f>IFERROR(Q79/Q$117,0)</f>
        <v/>
      </c>
      <c r="BN79" s="4097">
        <f>IFERROR(R79/R$117,0)</f>
        <v/>
      </c>
      <c r="BO79" s="4097">
        <f>IFERROR(S79/S$117,0)</f>
        <v/>
      </c>
      <c r="BP79" s="4097">
        <f>IFERROR(T79/T$117,0)</f>
        <v/>
      </c>
      <c r="BQ79" s="4097">
        <f>IFERROR(U79/U$117,0)</f>
        <v/>
      </c>
      <c r="BR79" s="4097">
        <f>IFERROR(V79/V$117,0)</f>
        <v/>
      </c>
      <c r="BS79" s="4097">
        <f>IFERROR(W79/W$117,0)</f>
        <v/>
      </c>
      <c r="BT79" s="4097">
        <f>IFERROR(X79/X$117,0)</f>
        <v/>
      </c>
      <c r="BU79" s="4097">
        <f>IFERROR(Y79/Y$117,0)</f>
        <v/>
      </c>
      <c r="BV79" s="4097">
        <f>IFERROR(Z79/Z$117,0)</f>
        <v/>
      </c>
      <c r="BW79" s="4097">
        <f>IFERROR(AA79/AA$117,0)</f>
        <v/>
      </c>
      <c r="BX79" s="4097">
        <f>IFERROR(AB79/AB$117,0)</f>
        <v/>
      </c>
      <c r="BY79" s="4098">
        <f>IFERROR(AC79/AC$117,0)</f>
        <v/>
      </c>
      <c r="BZ79" s="4097">
        <f>IFERROR(AD79/AD$117,0)</f>
        <v/>
      </c>
      <c r="CA79" s="4097">
        <f>IFERROR(AE79/AE$117,0)</f>
        <v/>
      </c>
      <c r="CB79" s="4097">
        <f>IFERROR(AF79/AF$117,0)</f>
        <v/>
      </c>
      <c r="CC79" s="4097">
        <f>IFERROR(AG79/AG$117,0)</f>
        <v/>
      </c>
      <c r="CD79" s="4097">
        <f>IFERROR(AH79/AH$117,0)</f>
        <v/>
      </c>
      <c r="CE79" s="4097">
        <f>IFERROR(AI79/AI$117,0)</f>
        <v/>
      </c>
      <c r="CF79" s="4097">
        <f>IFERROR(AJ79/AJ$117,0)</f>
        <v/>
      </c>
      <c r="CG79" s="4097">
        <f>IFERROR(AK79/AK$117,0)</f>
        <v/>
      </c>
      <c r="CH79" s="4097">
        <f>IFERROR(AL79/AL$117,0)</f>
        <v/>
      </c>
      <c r="CI79" s="4097">
        <f>IFERROR(AM79/AM$117,0)</f>
        <v/>
      </c>
      <c r="CJ79" s="4097">
        <f>IFERROR(AN79/AN$117,0)</f>
        <v/>
      </c>
      <c r="CK79" s="4098">
        <f>IFERROR(AO79/AO$117,0)</f>
        <v/>
      </c>
      <c r="CL79" s="4097">
        <f>IFERROR(AP79/AP$117,0)</f>
        <v/>
      </c>
      <c r="CM79" s="4097">
        <f>IFERROR(AQ79/AQ$117,0)</f>
        <v/>
      </c>
      <c r="CN79" s="4097">
        <f>IFERROR(AR79/AR$117,0)</f>
        <v/>
      </c>
      <c r="CO79" s="4097">
        <f>IFERROR(AS79/AS$117,0)</f>
        <v/>
      </c>
      <c r="CP79" s="4097">
        <f>IFERROR(AT79/AT$117,0)</f>
        <v/>
      </c>
      <c r="CQ79" s="4099">
        <f>IFERROR(AU79/AU$117,0)</f>
        <v/>
      </c>
      <c r="CR79" s="4097">
        <f>IFERROR(AV79/AV$117,0)</f>
        <v/>
      </c>
      <c r="CS79" s="4097">
        <f>IFERROR(AW79/AW$117,0)</f>
        <v/>
      </c>
      <c r="CT79" s="4097">
        <f>IFERROR(AX79/AX$117,0)</f>
        <v/>
      </c>
      <c r="CU79" s="4097">
        <f>IFERROR(AY79/AY$117,0)</f>
        <v/>
      </c>
      <c r="CV79" s="4097">
        <f>IFERROR(AZ79/AZ$117,0)</f>
        <v/>
      </c>
      <c r="CW79" s="3737" t="n"/>
      <c r="CX79" s="4094">
        <f>SUM(CX69:CX78)</f>
        <v/>
      </c>
    </row>
    <row r="80" hidden="1" outlineLevel="2" ht="12" customFormat="1" customHeight="1" s="3737">
      <c r="A80" s="4059" t="n"/>
      <c r="B80" s="4060" t="n"/>
      <c r="C80" s="4109" t="inlineStr">
        <is>
          <t>Fraud services revenue - aci prm revenue</t>
        </is>
      </c>
      <c r="D80" s="4093" t="n">
        <v>411325</v>
      </c>
      <c r="E80" s="4093">
        <f>CONCATENATE(D80," - ",C80)</f>
        <v/>
      </c>
      <c r="F80" s="4094" t="n"/>
      <c r="G80" s="4094" t="n"/>
      <c r="H80" s="4094" t="n"/>
      <c r="I80" s="4094" t="n"/>
      <c r="J80" s="4094" t="n"/>
      <c r="K80" s="4094" t="n"/>
      <c r="L80" s="4094" t="n"/>
      <c r="M80" s="4094" t="n"/>
      <c r="N80" s="4094" t="n"/>
      <c r="O80" s="4094" t="n"/>
      <c r="P80" s="4094" t="n"/>
      <c r="Q80" s="4095" t="n"/>
      <c r="R80" s="4094" t="n"/>
      <c r="S80" s="4094" t="n"/>
      <c r="T80" s="4094" t="n"/>
      <c r="U80" s="4094" t="n"/>
      <c r="V80" s="4094" t="n"/>
      <c r="W80" s="4094" t="n"/>
      <c r="X80" s="4094" t="n"/>
      <c r="Y80" s="4094" t="n"/>
      <c r="Z80" s="4094" t="n"/>
      <c r="AA80" s="4094" t="n"/>
      <c r="AB80" s="4094" t="n"/>
      <c r="AC80" s="4095" t="n"/>
      <c r="AD80" s="4094" t="n"/>
      <c r="AE80" s="4094" t="n"/>
      <c r="AF80" s="4094" t="n"/>
      <c r="AG80" s="4094" t="n"/>
      <c r="AH80" s="4094" t="n"/>
      <c r="AI80" s="4094" t="n"/>
      <c r="AJ80" s="4094" t="n"/>
      <c r="AK80" s="4094" t="n"/>
      <c r="AL80" s="4094" t="n"/>
      <c r="AM80" s="4094" t="n"/>
      <c r="AN80" s="4094" t="n"/>
      <c r="AO80" s="4095" t="n"/>
      <c r="AP80" s="4094" t="n">
        <v>176.98753</v>
      </c>
      <c r="AQ80" s="4094" t="n">
        <v>174.42525</v>
      </c>
      <c r="AR80" s="4094" t="n">
        <v>175.37224</v>
      </c>
      <c r="AS80" s="4094" t="n">
        <v>175.67638</v>
      </c>
      <c r="AT80" s="4094" t="n">
        <v>178.68712</v>
      </c>
      <c r="AU80" s="4096" t="n">
        <v>177.18716</v>
      </c>
      <c r="AV80" s="4094">
        <f>SUM(F80:Q80)</f>
        <v/>
      </c>
      <c r="AW80" s="4094">
        <f>SUM(R80:AC80)</f>
        <v/>
      </c>
      <c r="AX80" s="4094">
        <f>SUM(AD80:AO80)</f>
        <v/>
      </c>
      <c r="AY80" s="4094">
        <f>SUM(AH80:AS80)</f>
        <v/>
      </c>
      <c r="AZ80" s="4094">
        <f>SUM(AJ80:AU80)</f>
        <v/>
      </c>
      <c r="BA80" s="3737" t="n"/>
      <c r="BB80" s="4097">
        <f>IFERROR(F80/F$117,0)</f>
        <v/>
      </c>
      <c r="BC80" s="4097">
        <f>IFERROR(G80/G$117,0)</f>
        <v/>
      </c>
      <c r="BD80" s="4097">
        <f>IFERROR(H80/H$117,0)</f>
        <v/>
      </c>
      <c r="BE80" s="4097">
        <f>IFERROR(I80/I$117,0)</f>
        <v/>
      </c>
      <c r="BF80" s="4097">
        <f>IFERROR(J80/J$117,0)</f>
        <v/>
      </c>
      <c r="BG80" s="4097">
        <f>IFERROR(K80/K$117,0)</f>
        <v/>
      </c>
      <c r="BH80" s="4097">
        <f>IFERROR(L80/L$117,0)</f>
        <v/>
      </c>
      <c r="BI80" s="4097">
        <f>IFERROR(M80/M$117,0)</f>
        <v/>
      </c>
      <c r="BJ80" s="4097">
        <f>IFERROR(N80/N$117,0)</f>
        <v/>
      </c>
      <c r="BK80" s="4097">
        <f>IFERROR(O80/O$117,0)</f>
        <v/>
      </c>
      <c r="BL80" s="4097">
        <f>IFERROR(P80/P$117,0)</f>
        <v/>
      </c>
      <c r="BM80" s="4098">
        <f>IFERROR(Q80/Q$117,0)</f>
        <v/>
      </c>
      <c r="BN80" s="4097">
        <f>IFERROR(R80/R$117,0)</f>
        <v/>
      </c>
      <c r="BO80" s="4097">
        <f>IFERROR(S80/S$117,0)</f>
        <v/>
      </c>
      <c r="BP80" s="4097">
        <f>IFERROR(T80/T$117,0)</f>
        <v/>
      </c>
      <c r="BQ80" s="4097">
        <f>IFERROR(U80/U$117,0)</f>
        <v/>
      </c>
      <c r="BR80" s="4097">
        <f>IFERROR(V80/V$117,0)</f>
        <v/>
      </c>
      <c r="BS80" s="4097">
        <f>IFERROR(W80/W$117,0)</f>
        <v/>
      </c>
      <c r="BT80" s="4097">
        <f>IFERROR(X80/X$117,0)</f>
        <v/>
      </c>
      <c r="BU80" s="4097">
        <f>IFERROR(Y80/Y$117,0)</f>
        <v/>
      </c>
      <c r="BV80" s="4097">
        <f>IFERROR(Z80/Z$117,0)</f>
        <v/>
      </c>
      <c r="BW80" s="4097">
        <f>IFERROR(AA80/AA$117,0)</f>
        <v/>
      </c>
      <c r="BX80" s="4097">
        <f>IFERROR(AB80/AB$117,0)</f>
        <v/>
      </c>
      <c r="BY80" s="4098">
        <f>IFERROR(AC80/AC$117,0)</f>
        <v/>
      </c>
      <c r="BZ80" s="4097">
        <f>IFERROR(AD80/AD$117,0)</f>
        <v/>
      </c>
      <c r="CA80" s="4097">
        <f>IFERROR(AE80/AE$117,0)</f>
        <v/>
      </c>
      <c r="CB80" s="4097">
        <f>IFERROR(AF80/AF$117,0)</f>
        <v/>
      </c>
      <c r="CC80" s="4097">
        <f>IFERROR(AG80/AG$117,0)</f>
        <v/>
      </c>
      <c r="CD80" s="4097">
        <f>IFERROR(AH80/AH$117,0)</f>
        <v/>
      </c>
      <c r="CE80" s="4097">
        <f>IFERROR(AI80/AI$117,0)</f>
        <v/>
      </c>
      <c r="CF80" s="4097">
        <f>IFERROR(AJ80/AJ$117,0)</f>
        <v/>
      </c>
      <c r="CG80" s="4097">
        <f>IFERROR(AK80/AK$117,0)</f>
        <v/>
      </c>
      <c r="CH80" s="4097">
        <f>IFERROR(AL80/AL$117,0)</f>
        <v/>
      </c>
      <c r="CI80" s="4097">
        <f>IFERROR(AM80/AM$117,0)</f>
        <v/>
      </c>
      <c r="CJ80" s="4097">
        <f>IFERROR(AN80/AN$117,0)</f>
        <v/>
      </c>
      <c r="CK80" s="4098">
        <f>IFERROR(AO80/AO$117,0)</f>
        <v/>
      </c>
      <c r="CL80" s="4097">
        <f>IFERROR(AP80/AP$117,0)</f>
        <v/>
      </c>
      <c r="CM80" s="4097">
        <f>IFERROR(AQ80/AQ$117,0)</f>
        <v/>
      </c>
      <c r="CN80" s="4097">
        <f>IFERROR(AR80/AR$117,0)</f>
        <v/>
      </c>
      <c r="CO80" s="4097">
        <f>IFERROR(AS80/AS$117,0)</f>
        <v/>
      </c>
      <c r="CP80" s="4097">
        <f>IFERROR(AT80/AT$117,0)</f>
        <v/>
      </c>
      <c r="CQ80" s="4099">
        <f>IFERROR(AU80/AU$117,0)</f>
        <v/>
      </c>
      <c r="CR80" s="4097">
        <f>IFERROR(AV80/AV$117,0)</f>
        <v/>
      </c>
      <c r="CS80" s="4097">
        <f>IFERROR(AW80/AW$117,0)</f>
        <v/>
      </c>
      <c r="CT80" s="4097">
        <f>IFERROR(AX80/AX$117,0)</f>
        <v/>
      </c>
      <c r="CU80" s="4097">
        <f>IFERROR(AY80/AY$117,0)</f>
        <v/>
      </c>
      <c r="CV80" s="4097">
        <f>IFERROR(AZ80/AZ$117,0)</f>
        <v/>
      </c>
      <c r="CW80" s="3737" t="n"/>
      <c r="CX80" s="4094" t="n">
        <v>1477.72</v>
      </c>
    </row>
    <row r="81" hidden="1" outlineLevel="2" ht="12" customFormat="1" customHeight="1" s="3737">
      <c r="A81" s="4059" t="n"/>
      <c r="B81" s="4060" t="n"/>
      <c r="C81" s="4109" t="inlineStr">
        <is>
          <t>Fraud services revenue -online scoring</t>
        </is>
      </c>
      <c r="D81" s="4093" t="n">
        <v>411326</v>
      </c>
      <c r="E81" s="4093">
        <f>CONCATENATE(D81," - ",C81)</f>
        <v/>
      </c>
      <c r="F81" s="4094" t="n"/>
      <c r="G81" s="4094" t="n"/>
      <c r="H81" s="4094" t="n"/>
      <c r="I81" s="4094" t="n"/>
      <c r="J81" s="4094" t="n"/>
      <c r="K81" s="4094" t="n"/>
      <c r="L81" s="4094" t="n"/>
      <c r="M81" s="4094" t="n"/>
      <c r="N81" s="4094" t="n"/>
      <c r="O81" s="4094" t="n"/>
      <c r="P81" s="4094" t="n"/>
      <c r="Q81" s="4095" t="n"/>
      <c r="R81" s="4094" t="n"/>
      <c r="S81" s="4094" t="n"/>
      <c r="T81" s="4094" t="n"/>
      <c r="U81" s="4094" t="n"/>
      <c r="V81" s="4094" t="n"/>
      <c r="W81" s="4094" t="n"/>
      <c r="X81" s="4094" t="n"/>
      <c r="Y81" s="4094" t="n"/>
      <c r="Z81" s="4094" t="n"/>
      <c r="AA81" s="4094" t="n"/>
      <c r="AB81" s="4094" t="n"/>
      <c r="AC81" s="4095" t="n"/>
      <c r="AD81" s="4094" t="n"/>
      <c r="AE81" s="4094" t="n"/>
      <c r="AF81" s="4094" t="n"/>
      <c r="AG81" s="4094" t="n"/>
      <c r="AH81" s="4094" t="n"/>
      <c r="AI81" s="4094" t="n"/>
      <c r="AJ81" s="4094" t="n"/>
      <c r="AK81" s="4094" t="n"/>
      <c r="AL81" s="4094" t="n"/>
      <c r="AM81" s="4094" t="n"/>
      <c r="AN81" s="4094" t="n"/>
      <c r="AO81" s="4095" t="n"/>
      <c r="AP81" s="4094" t="n">
        <v>31</v>
      </c>
      <c r="AQ81" s="4094" t="n">
        <v>31</v>
      </c>
      <c r="AR81" s="4094" t="n">
        <v>32.25</v>
      </c>
      <c r="AS81" s="4094" t="n">
        <v>34.75</v>
      </c>
      <c r="AT81" s="4094" t="n">
        <v>34.75</v>
      </c>
      <c r="AU81" s="4096" t="n">
        <v>33.5</v>
      </c>
      <c r="AV81" s="4094">
        <f>SUM(F81:Q81)</f>
        <v/>
      </c>
      <c r="AW81" s="4094">
        <f>SUM(R81:AC81)</f>
        <v/>
      </c>
      <c r="AX81" s="4094">
        <f>SUM(AD81:AO81)</f>
        <v/>
      </c>
      <c r="AY81" s="4094">
        <f>SUM(AH81:AS81)</f>
        <v/>
      </c>
      <c r="AZ81" s="4094">
        <f>SUM(AJ81:AU81)</f>
        <v/>
      </c>
      <c r="BA81" s="3737" t="n"/>
      <c r="BB81" s="4097">
        <f>IFERROR(F81/F$117,0)</f>
        <v/>
      </c>
      <c r="BC81" s="4097">
        <f>IFERROR(G81/G$117,0)</f>
        <v/>
      </c>
      <c r="BD81" s="4097">
        <f>IFERROR(H81/H$117,0)</f>
        <v/>
      </c>
      <c r="BE81" s="4097">
        <f>IFERROR(I81/I$117,0)</f>
        <v/>
      </c>
      <c r="BF81" s="4097">
        <f>IFERROR(J81/J$117,0)</f>
        <v/>
      </c>
      <c r="BG81" s="4097">
        <f>IFERROR(K81/K$117,0)</f>
        <v/>
      </c>
      <c r="BH81" s="4097">
        <f>IFERROR(L81/L$117,0)</f>
        <v/>
      </c>
      <c r="BI81" s="4097">
        <f>IFERROR(M81/M$117,0)</f>
        <v/>
      </c>
      <c r="BJ81" s="4097">
        <f>IFERROR(N81/N$117,0)</f>
        <v/>
      </c>
      <c r="BK81" s="4097">
        <f>IFERROR(O81/O$117,0)</f>
        <v/>
      </c>
      <c r="BL81" s="4097">
        <f>IFERROR(P81/P$117,0)</f>
        <v/>
      </c>
      <c r="BM81" s="4098">
        <f>IFERROR(Q81/Q$117,0)</f>
        <v/>
      </c>
      <c r="BN81" s="4097">
        <f>IFERROR(R81/R$117,0)</f>
        <v/>
      </c>
      <c r="BO81" s="4097">
        <f>IFERROR(S81/S$117,0)</f>
        <v/>
      </c>
      <c r="BP81" s="4097">
        <f>IFERROR(T81/T$117,0)</f>
        <v/>
      </c>
      <c r="BQ81" s="4097">
        <f>IFERROR(U81/U$117,0)</f>
        <v/>
      </c>
      <c r="BR81" s="4097">
        <f>IFERROR(V81/V$117,0)</f>
        <v/>
      </c>
      <c r="BS81" s="4097">
        <f>IFERROR(W81/W$117,0)</f>
        <v/>
      </c>
      <c r="BT81" s="4097">
        <f>IFERROR(X81/X$117,0)</f>
        <v/>
      </c>
      <c r="BU81" s="4097">
        <f>IFERROR(Y81/Y$117,0)</f>
        <v/>
      </c>
      <c r="BV81" s="4097">
        <f>IFERROR(Z81/Z$117,0)</f>
        <v/>
      </c>
      <c r="BW81" s="4097">
        <f>IFERROR(AA81/AA$117,0)</f>
        <v/>
      </c>
      <c r="BX81" s="4097">
        <f>IFERROR(AB81/AB$117,0)</f>
        <v/>
      </c>
      <c r="BY81" s="4098">
        <f>IFERROR(AC81/AC$117,0)</f>
        <v/>
      </c>
      <c r="BZ81" s="4097">
        <f>IFERROR(AD81/AD$117,0)</f>
        <v/>
      </c>
      <c r="CA81" s="4097">
        <f>IFERROR(AE81/AE$117,0)</f>
        <v/>
      </c>
      <c r="CB81" s="4097">
        <f>IFERROR(AF81/AF$117,0)</f>
        <v/>
      </c>
      <c r="CC81" s="4097">
        <f>IFERROR(AG81/AG$117,0)</f>
        <v/>
      </c>
      <c r="CD81" s="4097">
        <f>IFERROR(AH81/AH$117,0)</f>
        <v/>
      </c>
      <c r="CE81" s="4097">
        <f>IFERROR(AI81/AI$117,0)</f>
        <v/>
      </c>
      <c r="CF81" s="4097">
        <f>IFERROR(AJ81/AJ$117,0)</f>
        <v/>
      </c>
      <c r="CG81" s="4097">
        <f>IFERROR(AK81/AK$117,0)</f>
        <v/>
      </c>
      <c r="CH81" s="4097">
        <f>IFERROR(AL81/AL$117,0)</f>
        <v/>
      </c>
      <c r="CI81" s="4097">
        <f>IFERROR(AM81/AM$117,0)</f>
        <v/>
      </c>
      <c r="CJ81" s="4097">
        <f>IFERROR(AN81/AN$117,0)</f>
        <v/>
      </c>
      <c r="CK81" s="4098">
        <f>IFERROR(AO81/AO$117,0)</f>
        <v/>
      </c>
      <c r="CL81" s="4097">
        <f>IFERROR(AP81/AP$117,0)</f>
        <v/>
      </c>
      <c r="CM81" s="4097">
        <f>IFERROR(AQ81/AQ$117,0)</f>
        <v/>
      </c>
      <c r="CN81" s="4097">
        <f>IFERROR(AR81/AR$117,0)</f>
        <v/>
      </c>
      <c r="CO81" s="4097">
        <f>IFERROR(AS81/AS$117,0)</f>
        <v/>
      </c>
      <c r="CP81" s="4097">
        <f>IFERROR(AT81/AT$117,0)</f>
        <v/>
      </c>
      <c r="CQ81" s="4099">
        <f>IFERROR(AU81/AU$117,0)</f>
        <v/>
      </c>
      <c r="CR81" s="4097">
        <f>IFERROR(AV81/AV$117,0)</f>
        <v/>
      </c>
      <c r="CS81" s="4097">
        <f>IFERROR(AW81/AW$117,0)</f>
        <v/>
      </c>
      <c r="CT81" s="4097">
        <f>IFERROR(AX81/AX$117,0)</f>
        <v/>
      </c>
      <c r="CU81" s="4097">
        <f>IFERROR(AY81/AY$117,0)</f>
        <v/>
      </c>
      <c r="CV81" s="4097">
        <f>IFERROR(AZ81/AZ$117,0)</f>
        <v/>
      </c>
      <c r="CW81" s="3737" t="n"/>
      <c r="CX81" s="4094" t="n">
        <v>60</v>
      </c>
    </row>
    <row r="82" hidden="1" outlineLevel="2" ht="12" customFormat="1" customHeight="1" s="3737">
      <c r="A82" s="4059" t="n"/>
      <c r="B82" s="4060" t="n"/>
      <c r="C82" s="4109" t="inlineStr">
        <is>
          <t>Fraud services revenue - hot card</t>
        </is>
      </c>
      <c r="D82" s="4093" t="n">
        <v>411337</v>
      </c>
      <c r="E82" s="4093">
        <f>CONCATENATE(D82," - ",C82)</f>
        <v/>
      </c>
      <c r="F82" s="4094" t="n"/>
      <c r="G82" s="4094" t="n"/>
      <c r="H82" s="4094" t="n"/>
      <c r="I82" s="4094" t="n"/>
      <c r="J82" s="4094" t="n"/>
      <c r="K82" s="4094" t="n"/>
      <c r="L82" s="4094" t="n"/>
      <c r="M82" s="4094" t="n"/>
      <c r="N82" s="4094" t="n"/>
      <c r="O82" s="4094" t="n"/>
      <c r="P82" s="4094" t="n"/>
      <c r="Q82" s="4095" t="n"/>
      <c r="R82" s="4094" t="n"/>
      <c r="S82" s="4094" t="n"/>
      <c r="T82" s="4094" t="n"/>
      <c r="U82" s="4094" t="n"/>
      <c r="V82" s="4094" t="n"/>
      <c r="W82" s="4094" t="n"/>
      <c r="X82" s="4094" t="n"/>
      <c r="Y82" s="4094" t="n"/>
      <c r="Z82" s="4094" t="n"/>
      <c r="AA82" s="4094" t="n"/>
      <c r="AB82" s="4094" t="n"/>
      <c r="AC82" s="4095" t="n"/>
      <c r="AD82" s="4094" t="n"/>
      <c r="AE82" s="4094" t="n"/>
      <c r="AF82" s="4094" t="n"/>
      <c r="AG82" s="4094" t="n"/>
      <c r="AH82" s="4094" t="n"/>
      <c r="AI82" s="4094" t="n"/>
      <c r="AJ82" s="4094" t="n"/>
      <c r="AK82" s="4094" t="n"/>
      <c r="AL82" s="4094" t="n"/>
      <c r="AM82" s="4094" t="n"/>
      <c r="AN82" s="4094" t="n"/>
      <c r="AO82" s="4095" t="n"/>
      <c r="AP82" s="4094" t="n">
        <v>23.5486</v>
      </c>
      <c r="AQ82" s="4094" t="n">
        <v>24.05695</v>
      </c>
      <c r="AR82" s="4094" t="n">
        <v>22.3344</v>
      </c>
      <c r="AS82" s="4094" t="n">
        <v>26.4708</v>
      </c>
      <c r="AT82" s="4094" t="n">
        <v>30.1025</v>
      </c>
      <c r="AU82" s="4096" t="n">
        <v>32.15305</v>
      </c>
      <c r="AV82" s="4094">
        <f>SUM(F82:Q82)</f>
        <v/>
      </c>
      <c r="AW82" s="4094">
        <f>SUM(R82:AC82)</f>
        <v/>
      </c>
      <c r="AX82" s="4094">
        <f>SUM(AD82:AO82)</f>
        <v/>
      </c>
      <c r="AY82" s="4094">
        <f>SUM(AH82:AS82)</f>
        <v/>
      </c>
      <c r="AZ82" s="4094">
        <f>SUM(AJ82:AU82)</f>
        <v/>
      </c>
      <c r="BA82" s="3737" t="n"/>
      <c r="BB82" s="4097">
        <f>IFERROR(F82/F$117,0)</f>
        <v/>
      </c>
      <c r="BC82" s="4097">
        <f>IFERROR(G82/G$117,0)</f>
        <v/>
      </c>
      <c r="BD82" s="4097">
        <f>IFERROR(H82/H$117,0)</f>
        <v/>
      </c>
      <c r="BE82" s="4097">
        <f>IFERROR(I82/I$117,0)</f>
        <v/>
      </c>
      <c r="BF82" s="4097">
        <f>IFERROR(J82/J$117,0)</f>
        <v/>
      </c>
      <c r="BG82" s="4097">
        <f>IFERROR(K82/K$117,0)</f>
        <v/>
      </c>
      <c r="BH82" s="4097">
        <f>IFERROR(L82/L$117,0)</f>
        <v/>
      </c>
      <c r="BI82" s="4097">
        <f>IFERROR(M82/M$117,0)</f>
        <v/>
      </c>
      <c r="BJ82" s="4097">
        <f>IFERROR(N82/N$117,0)</f>
        <v/>
      </c>
      <c r="BK82" s="4097">
        <f>IFERROR(O82/O$117,0)</f>
        <v/>
      </c>
      <c r="BL82" s="4097">
        <f>IFERROR(P82/P$117,0)</f>
        <v/>
      </c>
      <c r="BM82" s="4098">
        <f>IFERROR(Q82/Q$117,0)</f>
        <v/>
      </c>
      <c r="BN82" s="4097">
        <f>IFERROR(R82/R$117,0)</f>
        <v/>
      </c>
      <c r="BO82" s="4097">
        <f>IFERROR(S82/S$117,0)</f>
        <v/>
      </c>
      <c r="BP82" s="4097">
        <f>IFERROR(T82/T$117,0)</f>
        <v/>
      </c>
      <c r="BQ82" s="4097">
        <f>IFERROR(U82/U$117,0)</f>
        <v/>
      </c>
      <c r="BR82" s="4097">
        <f>IFERROR(V82/V$117,0)</f>
        <v/>
      </c>
      <c r="BS82" s="4097">
        <f>IFERROR(W82/W$117,0)</f>
        <v/>
      </c>
      <c r="BT82" s="4097">
        <f>IFERROR(X82/X$117,0)</f>
        <v/>
      </c>
      <c r="BU82" s="4097">
        <f>IFERROR(Y82/Y$117,0)</f>
        <v/>
      </c>
      <c r="BV82" s="4097">
        <f>IFERROR(Z82/Z$117,0)</f>
        <v/>
      </c>
      <c r="BW82" s="4097">
        <f>IFERROR(AA82/AA$117,0)</f>
        <v/>
      </c>
      <c r="BX82" s="4097">
        <f>IFERROR(AB82/AB$117,0)</f>
        <v/>
      </c>
      <c r="BY82" s="4098">
        <f>IFERROR(AC82/AC$117,0)</f>
        <v/>
      </c>
      <c r="BZ82" s="4097">
        <f>IFERROR(AD82/AD$117,0)</f>
        <v/>
      </c>
      <c r="CA82" s="4097">
        <f>IFERROR(AE82/AE$117,0)</f>
        <v/>
      </c>
      <c r="CB82" s="4097">
        <f>IFERROR(AF82/AF$117,0)</f>
        <v/>
      </c>
      <c r="CC82" s="4097">
        <f>IFERROR(AG82/AG$117,0)</f>
        <v/>
      </c>
      <c r="CD82" s="4097">
        <f>IFERROR(AH82/AH$117,0)</f>
        <v/>
      </c>
      <c r="CE82" s="4097">
        <f>IFERROR(AI82/AI$117,0)</f>
        <v/>
      </c>
      <c r="CF82" s="4097">
        <f>IFERROR(AJ82/AJ$117,0)</f>
        <v/>
      </c>
      <c r="CG82" s="4097">
        <f>IFERROR(AK82/AK$117,0)</f>
        <v/>
      </c>
      <c r="CH82" s="4097">
        <f>IFERROR(AL82/AL$117,0)</f>
        <v/>
      </c>
      <c r="CI82" s="4097">
        <f>IFERROR(AM82/AM$117,0)</f>
        <v/>
      </c>
      <c r="CJ82" s="4097">
        <f>IFERROR(AN82/AN$117,0)</f>
        <v/>
      </c>
      <c r="CK82" s="4098">
        <f>IFERROR(AO82/AO$117,0)</f>
        <v/>
      </c>
      <c r="CL82" s="4097">
        <f>IFERROR(AP82/AP$117,0)</f>
        <v/>
      </c>
      <c r="CM82" s="4097">
        <f>IFERROR(AQ82/AQ$117,0)</f>
        <v/>
      </c>
      <c r="CN82" s="4097">
        <f>IFERROR(AR82/AR$117,0)</f>
        <v/>
      </c>
      <c r="CO82" s="4097">
        <f>IFERROR(AS82/AS$117,0)</f>
        <v/>
      </c>
      <c r="CP82" s="4097">
        <f>IFERROR(AT82/AT$117,0)</f>
        <v/>
      </c>
      <c r="CQ82" s="4099">
        <f>IFERROR(AU82/AU$117,0)</f>
        <v/>
      </c>
      <c r="CR82" s="4097">
        <f>IFERROR(AV82/AV$117,0)</f>
        <v/>
      </c>
      <c r="CS82" s="4097">
        <f>IFERROR(AW82/AW$117,0)</f>
        <v/>
      </c>
      <c r="CT82" s="4097">
        <f>IFERROR(AX82/AX$117,0)</f>
        <v/>
      </c>
      <c r="CU82" s="4097">
        <f>IFERROR(AY82/AY$117,0)</f>
        <v/>
      </c>
      <c r="CV82" s="4097">
        <f>IFERROR(AZ82/AZ$117,0)</f>
        <v/>
      </c>
      <c r="CW82" s="3737" t="n"/>
      <c r="CX82" s="4094" t="n">
        <v>281.3816</v>
      </c>
    </row>
    <row r="83" hidden="1" outlineLevel="2" ht="12" customFormat="1" customHeight="1" s="3737">
      <c r="A83" s="4059" t="n"/>
      <c r="B83" s="4060" t="n"/>
      <c r="C83" s="4109" t="inlineStr">
        <is>
          <t>Fraud services revenue - lock n block</t>
        </is>
      </c>
      <c r="D83" s="4093" t="n">
        <v>411335</v>
      </c>
      <c r="E83" s="4093">
        <f>CONCATENATE(D83," - ",C83)</f>
        <v/>
      </c>
      <c r="F83" s="4094" t="n"/>
      <c r="G83" s="4094" t="n"/>
      <c r="H83" s="4094" t="n"/>
      <c r="I83" s="4094" t="n"/>
      <c r="J83" s="4094" t="n"/>
      <c r="K83" s="4094" t="n"/>
      <c r="L83" s="4094" t="n"/>
      <c r="M83" s="4094" t="n"/>
      <c r="N83" s="4094" t="n"/>
      <c r="O83" s="4094" t="n"/>
      <c r="P83" s="4094" t="n"/>
      <c r="Q83" s="4095" t="n"/>
      <c r="R83" s="4094" t="n"/>
      <c r="S83" s="4094" t="n"/>
      <c r="T83" s="4094" t="n"/>
      <c r="U83" s="4094" t="n"/>
      <c r="V83" s="4094" t="n"/>
      <c r="W83" s="4094" t="n"/>
      <c r="X83" s="4094" t="n"/>
      <c r="Y83" s="4094" t="n"/>
      <c r="Z83" s="4094" t="n"/>
      <c r="AA83" s="4094" t="n"/>
      <c r="AB83" s="4094" t="n"/>
      <c r="AC83" s="4095" t="n"/>
      <c r="AD83" s="4094" t="n"/>
      <c r="AE83" s="4094" t="n"/>
      <c r="AF83" s="4094" t="n"/>
      <c r="AG83" s="4094" t="n"/>
      <c r="AH83" s="4094" t="n"/>
      <c r="AI83" s="4094" t="n"/>
      <c r="AJ83" s="4094" t="n"/>
      <c r="AK83" s="4094" t="n"/>
      <c r="AL83" s="4094" t="n"/>
      <c r="AM83" s="4094" t="n"/>
      <c r="AN83" s="4094" t="n"/>
      <c r="AO83" s="4095" t="n"/>
      <c r="AP83" s="4094" t="n">
        <v>17.95</v>
      </c>
      <c r="AQ83" s="4094" t="n">
        <v>17.95</v>
      </c>
      <c r="AR83" s="4094" t="n">
        <v>17.95</v>
      </c>
      <c r="AS83" s="4094" t="n">
        <v>17.95</v>
      </c>
      <c r="AT83" s="4094" t="n">
        <v>35.95</v>
      </c>
      <c r="AU83" s="4096" t="n">
        <v>19.95</v>
      </c>
      <c r="AV83" s="4094">
        <f>SUM(F83:Q83)</f>
        <v/>
      </c>
      <c r="AW83" s="4094">
        <f>SUM(R83:AC83)</f>
        <v/>
      </c>
      <c r="AX83" s="4094">
        <f>SUM(AD83:AO83)</f>
        <v/>
      </c>
      <c r="AY83" s="4094">
        <f>SUM(AH83:AS83)</f>
        <v/>
      </c>
      <c r="AZ83" s="4094">
        <f>SUM(AJ83:AU83)</f>
        <v/>
      </c>
      <c r="BA83" s="3737" t="n"/>
      <c r="BB83" s="4097">
        <f>IFERROR(F83/F$117,0)</f>
        <v/>
      </c>
      <c r="BC83" s="4097">
        <f>IFERROR(G83/G$117,0)</f>
        <v/>
      </c>
      <c r="BD83" s="4097">
        <f>IFERROR(H83/H$117,0)</f>
        <v/>
      </c>
      <c r="BE83" s="4097">
        <f>IFERROR(I83/I$117,0)</f>
        <v/>
      </c>
      <c r="BF83" s="4097">
        <f>IFERROR(J83/J$117,0)</f>
        <v/>
      </c>
      <c r="BG83" s="4097">
        <f>IFERROR(K83/K$117,0)</f>
        <v/>
      </c>
      <c r="BH83" s="4097">
        <f>IFERROR(L83/L$117,0)</f>
        <v/>
      </c>
      <c r="BI83" s="4097">
        <f>IFERROR(M83/M$117,0)</f>
        <v/>
      </c>
      <c r="BJ83" s="4097">
        <f>IFERROR(N83/N$117,0)</f>
        <v/>
      </c>
      <c r="BK83" s="4097">
        <f>IFERROR(O83/O$117,0)</f>
        <v/>
      </c>
      <c r="BL83" s="4097">
        <f>IFERROR(P83/P$117,0)</f>
        <v/>
      </c>
      <c r="BM83" s="4098">
        <f>IFERROR(Q83/Q$117,0)</f>
        <v/>
      </c>
      <c r="BN83" s="4097">
        <f>IFERROR(R83/R$117,0)</f>
        <v/>
      </c>
      <c r="BO83" s="4097">
        <f>IFERROR(S83/S$117,0)</f>
        <v/>
      </c>
      <c r="BP83" s="4097">
        <f>IFERROR(T83/T$117,0)</f>
        <v/>
      </c>
      <c r="BQ83" s="4097">
        <f>IFERROR(U83/U$117,0)</f>
        <v/>
      </c>
      <c r="BR83" s="4097">
        <f>IFERROR(V83/V$117,0)</f>
        <v/>
      </c>
      <c r="BS83" s="4097">
        <f>IFERROR(W83/W$117,0)</f>
        <v/>
      </c>
      <c r="BT83" s="4097">
        <f>IFERROR(X83/X$117,0)</f>
        <v/>
      </c>
      <c r="BU83" s="4097">
        <f>IFERROR(Y83/Y$117,0)</f>
        <v/>
      </c>
      <c r="BV83" s="4097">
        <f>IFERROR(Z83/Z$117,0)</f>
        <v/>
      </c>
      <c r="BW83" s="4097">
        <f>IFERROR(AA83/AA$117,0)</f>
        <v/>
      </c>
      <c r="BX83" s="4097">
        <f>IFERROR(AB83/AB$117,0)</f>
        <v/>
      </c>
      <c r="BY83" s="4098">
        <f>IFERROR(AC83/AC$117,0)</f>
        <v/>
      </c>
      <c r="BZ83" s="4097">
        <f>IFERROR(AD83/AD$117,0)</f>
        <v/>
      </c>
      <c r="CA83" s="4097">
        <f>IFERROR(AE83/AE$117,0)</f>
        <v/>
      </c>
      <c r="CB83" s="4097">
        <f>IFERROR(AF83/AF$117,0)</f>
        <v/>
      </c>
      <c r="CC83" s="4097">
        <f>IFERROR(AG83/AG$117,0)</f>
        <v/>
      </c>
      <c r="CD83" s="4097">
        <f>IFERROR(AH83/AH$117,0)</f>
        <v/>
      </c>
      <c r="CE83" s="4097">
        <f>IFERROR(AI83/AI$117,0)</f>
        <v/>
      </c>
      <c r="CF83" s="4097">
        <f>IFERROR(AJ83/AJ$117,0)</f>
        <v/>
      </c>
      <c r="CG83" s="4097">
        <f>IFERROR(AK83/AK$117,0)</f>
        <v/>
      </c>
      <c r="CH83" s="4097">
        <f>IFERROR(AL83/AL$117,0)</f>
        <v/>
      </c>
      <c r="CI83" s="4097">
        <f>IFERROR(AM83/AM$117,0)</f>
        <v/>
      </c>
      <c r="CJ83" s="4097">
        <f>IFERROR(AN83/AN$117,0)</f>
        <v/>
      </c>
      <c r="CK83" s="4098">
        <f>IFERROR(AO83/AO$117,0)</f>
        <v/>
      </c>
      <c r="CL83" s="4097">
        <f>IFERROR(AP83/AP$117,0)</f>
        <v/>
      </c>
      <c r="CM83" s="4097">
        <f>IFERROR(AQ83/AQ$117,0)</f>
        <v/>
      </c>
      <c r="CN83" s="4097">
        <f>IFERROR(AR83/AR$117,0)</f>
        <v/>
      </c>
      <c r="CO83" s="4097">
        <f>IFERROR(AS83/AS$117,0)</f>
        <v/>
      </c>
      <c r="CP83" s="4097">
        <f>IFERROR(AT83/AT$117,0)</f>
        <v/>
      </c>
      <c r="CQ83" s="4099">
        <f>IFERROR(AU83/AU$117,0)</f>
        <v/>
      </c>
      <c r="CR83" s="4097">
        <f>IFERROR(AV83/AV$117,0)</f>
        <v/>
      </c>
      <c r="CS83" s="4097">
        <f>IFERROR(AW83/AW$117,0)</f>
        <v/>
      </c>
      <c r="CT83" s="4097">
        <f>IFERROR(AX83/AX$117,0)</f>
        <v/>
      </c>
      <c r="CU83" s="4097">
        <f>IFERROR(AY83/AY$117,0)</f>
        <v/>
      </c>
      <c r="CV83" s="4097">
        <f>IFERROR(AZ83/AZ$117,0)</f>
        <v/>
      </c>
      <c r="CW83" s="3737" t="n"/>
      <c r="CX83" s="4094" t="n">
        <v>226.99992</v>
      </c>
    </row>
    <row r="84" hidden="1" outlineLevel="2" ht="12" customFormat="1" customHeight="1" s="3737">
      <c r="A84" s="4059" t="n"/>
      <c r="B84" s="4060" t="n"/>
      <c r="C84" s="4109" t="inlineStr">
        <is>
          <t>Fraud services revenue - country block</t>
        </is>
      </c>
      <c r="D84" s="4093" t="n">
        <v>411338</v>
      </c>
      <c r="E84" s="4093">
        <f>CONCATENATE(D84," - ",C84)</f>
        <v/>
      </c>
      <c r="F84" s="4094" t="n"/>
      <c r="G84" s="4094" t="n"/>
      <c r="H84" s="4094" t="n"/>
      <c r="I84" s="4094" t="n"/>
      <c r="J84" s="4094" t="n"/>
      <c r="K84" s="4094" t="n"/>
      <c r="L84" s="4094" t="n"/>
      <c r="M84" s="4094" t="n"/>
      <c r="N84" s="4094" t="n"/>
      <c r="O84" s="4094" t="n"/>
      <c r="P84" s="4094" t="n"/>
      <c r="Q84" s="4095" t="n"/>
      <c r="R84" s="4094" t="n"/>
      <c r="S84" s="4094" t="n"/>
      <c r="T84" s="4094" t="n"/>
      <c r="U84" s="4094" t="n"/>
      <c r="V84" s="4094" t="n"/>
      <c r="W84" s="4094" t="n"/>
      <c r="X84" s="4094" t="n"/>
      <c r="Y84" s="4094" t="n"/>
      <c r="Z84" s="4094" t="n"/>
      <c r="AA84" s="4094" t="n"/>
      <c r="AB84" s="4094" t="n"/>
      <c r="AC84" s="4095" t="n"/>
      <c r="AD84" s="4094" t="n"/>
      <c r="AE84" s="4094" t="n"/>
      <c r="AF84" s="4094" t="n"/>
      <c r="AG84" s="4094" t="n"/>
      <c r="AH84" s="4094" t="n"/>
      <c r="AI84" s="4094" t="n"/>
      <c r="AJ84" s="4094" t="n"/>
      <c r="AK84" s="4094" t="n"/>
      <c r="AL84" s="4094" t="n"/>
      <c r="AM84" s="4094" t="n"/>
      <c r="AN84" s="4094" t="n"/>
      <c r="AO84" s="4095" t="n"/>
      <c r="AP84" s="4094" t="n">
        <v>9.476599999999999</v>
      </c>
      <c r="AQ84" s="4094" t="n">
        <v>9.5501</v>
      </c>
      <c r="AR84" s="4094" t="n">
        <v>9.496370000000001</v>
      </c>
      <c r="AS84" s="4094" t="n">
        <v>9.4047</v>
      </c>
      <c r="AT84" s="4094" t="n">
        <v>9.415710000000001</v>
      </c>
      <c r="AU84" s="4096" t="n">
        <v>8.967790000000001</v>
      </c>
      <c r="AV84" s="4094">
        <f>SUM(F84:Q84)</f>
        <v/>
      </c>
      <c r="AW84" s="4094">
        <f>SUM(R84:AC84)</f>
        <v/>
      </c>
      <c r="AX84" s="4094">
        <f>SUM(AD84:AO84)</f>
        <v/>
      </c>
      <c r="AY84" s="4094">
        <f>SUM(AH84:AS84)</f>
        <v/>
      </c>
      <c r="AZ84" s="4094">
        <f>SUM(AJ84:AU84)</f>
        <v/>
      </c>
      <c r="BA84" s="3737" t="n"/>
      <c r="BB84" s="4097">
        <f>IFERROR(F84/F$117,0)</f>
        <v/>
      </c>
      <c r="BC84" s="4097">
        <f>IFERROR(G84/G$117,0)</f>
        <v/>
      </c>
      <c r="BD84" s="4097">
        <f>IFERROR(H84/H$117,0)</f>
        <v/>
      </c>
      <c r="BE84" s="4097">
        <f>IFERROR(I84/I$117,0)</f>
        <v/>
      </c>
      <c r="BF84" s="4097">
        <f>IFERROR(J84/J$117,0)</f>
        <v/>
      </c>
      <c r="BG84" s="4097">
        <f>IFERROR(K84/K$117,0)</f>
        <v/>
      </c>
      <c r="BH84" s="4097">
        <f>IFERROR(L84/L$117,0)</f>
        <v/>
      </c>
      <c r="BI84" s="4097">
        <f>IFERROR(M84/M$117,0)</f>
        <v/>
      </c>
      <c r="BJ84" s="4097">
        <f>IFERROR(N84/N$117,0)</f>
        <v/>
      </c>
      <c r="BK84" s="4097">
        <f>IFERROR(O84/O$117,0)</f>
        <v/>
      </c>
      <c r="BL84" s="4097">
        <f>IFERROR(P84/P$117,0)</f>
        <v/>
      </c>
      <c r="BM84" s="4098">
        <f>IFERROR(Q84/Q$117,0)</f>
        <v/>
      </c>
      <c r="BN84" s="4097">
        <f>IFERROR(R84/R$117,0)</f>
        <v/>
      </c>
      <c r="BO84" s="4097">
        <f>IFERROR(S84/S$117,0)</f>
        <v/>
      </c>
      <c r="BP84" s="4097">
        <f>IFERROR(T84/T$117,0)</f>
        <v/>
      </c>
      <c r="BQ84" s="4097">
        <f>IFERROR(U84/U$117,0)</f>
        <v/>
      </c>
      <c r="BR84" s="4097">
        <f>IFERROR(V84/V$117,0)</f>
        <v/>
      </c>
      <c r="BS84" s="4097">
        <f>IFERROR(W84/W$117,0)</f>
        <v/>
      </c>
      <c r="BT84" s="4097">
        <f>IFERROR(X84/X$117,0)</f>
        <v/>
      </c>
      <c r="BU84" s="4097">
        <f>IFERROR(Y84/Y$117,0)</f>
        <v/>
      </c>
      <c r="BV84" s="4097">
        <f>IFERROR(Z84/Z$117,0)</f>
        <v/>
      </c>
      <c r="BW84" s="4097">
        <f>IFERROR(AA84/AA$117,0)</f>
        <v/>
      </c>
      <c r="BX84" s="4097">
        <f>IFERROR(AB84/AB$117,0)</f>
        <v/>
      </c>
      <c r="BY84" s="4098">
        <f>IFERROR(AC84/AC$117,0)</f>
        <v/>
      </c>
      <c r="BZ84" s="4097">
        <f>IFERROR(AD84/AD$117,0)</f>
        <v/>
      </c>
      <c r="CA84" s="4097">
        <f>IFERROR(AE84/AE$117,0)</f>
        <v/>
      </c>
      <c r="CB84" s="4097">
        <f>IFERROR(AF84/AF$117,0)</f>
        <v/>
      </c>
      <c r="CC84" s="4097">
        <f>IFERROR(AG84/AG$117,0)</f>
        <v/>
      </c>
      <c r="CD84" s="4097">
        <f>IFERROR(AH84/AH$117,0)</f>
        <v/>
      </c>
      <c r="CE84" s="4097">
        <f>IFERROR(AI84/AI$117,0)</f>
        <v/>
      </c>
      <c r="CF84" s="4097">
        <f>IFERROR(AJ84/AJ$117,0)</f>
        <v/>
      </c>
      <c r="CG84" s="4097">
        <f>IFERROR(AK84/AK$117,0)</f>
        <v/>
      </c>
      <c r="CH84" s="4097">
        <f>IFERROR(AL84/AL$117,0)</f>
        <v/>
      </c>
      <c r="CI84" s="4097">
        <f>IFERROR(AM84/AM$117,0)</f>
        <v/>
      </c>
      <c r="CJ84" s="4097">
        <f>IFERROR(AN84/AN$117,0)</f>
        <v/>
      </c>
      <c r="CK84" s="4098">
        <f>IFERROR(AO84/AO$117,0)</f>
        <v/>
      </c>
      <c r="CL84" s="4097">
        <f>IFERROR(AP84/AP$117,0)</f>
        <v/>
      </c>
      <c r="CM84" s="4097">
        <f>IFERROR(AQ84/AQ$117,0)</f>
        <v/>
      </c>
      <c r="CN84" s="4097">
        <f>IFERROR(AR84/AR$117,0)</f>
        <v/>
      </c>
      <c r="CO84" s="4097">
        <f>IFERROR(AS84/AS$117,0)</f>
        <v/>
      </c>
      <c r="CP84" s="4097">
        <f>IFERROR(AT84/AT$117,0)</f>
        <v/>
      </c>
      <c r="CQ84" s="4099">
        <f>IFERROR(AU84/AU$117,0)</f>
        <v/>
      </c>
      <c r="CR84" s="4097">
        <f>IFERROR(AV84/AV$117,0)</f>
        <v/>
      </c>
      <c r="CS84" s="4097">
        <f>IFERROR(AW84/AW$117,0)</f>
        <v/>
      </c>
      <c r="CT84" s="4097">
        <f>IFERROR(AX84/AX$117,0)</f>
        <v/>
      </c>
      <c r="CU84" s="4097">
        <f>IFERROR(AY84/AY$117,0)</f>
        <v/>
      </c>
      <c r="CV84" s="4097">
        <f>IFERROR(AZ84/AZ$117,0)</f>
        <v/>
      </c>
      <c r="CW84" s="3737" t="n"/>
      <c r="CX84" s="4094" t="n">
        <v>111.36885</v>
      </c>
    </row>
    <row r="85" hidden="1" outlineLevel="2" ht="12" customFormat="1" customHeight="1" s="3737">
      <c r="A85" s="4059" t="n"/>
      <c r="B85" s="4060" t="n"/>
      <c r="C85" s="4109" t="inlineStr">
        <is>
          <t>Fraud services revenue - coop vcas</t>
        </is>
      </c>
      <c r="D85" s="4093" t="n">
        <v>411320</v>
      </c>
      <c r="E85" s="4093">
        <f>CONCATENATE(D85," - ",C85)</f>
        <v/>
      </c>
      <c r="F85" s="4094" t="n"/>
      <c r="G85" s="4094" t="n"/>
      <c r="H85" s="4094" t="n"/>
      <c r="I85" s="4094" t="n"/>
      <c r="J85" s="4094" t="n"/>
      <c r="K85" s="4094" t="n"/>
      <c r="L85" s="4094" t="n"/>
      <c r="M85" s="4094" t="n"/>
      <c r="N85" s="4094" t="n"/>
      <c r="O85" s="4094" t="n"/>
      <c r="P85" s="4094" t="n"/>
      <c r="Q85" s="4095" t="n"/>
      <c r="R85" s="4094" t="n"/>
      <c r="S85" s="4094" t="n"/>
      <c r="T85" s="4094" t="n"/>
      <c r="U85" s="4094" t="n"/>
      <c r="V85" s="4094" t="n"/>
      <c r="W85" s="4094" t="n"/>
      <c r="X85" s="4094" t="n"/>
      <c r="Y85" s="4094" t="n"/>
      <c r="Z85" s="4094" t="n"/>
      <c r="AA85" s="4094" t="n"/>
      <c r="AB85" s="4094" t="n"/>
      <c r="AC85" s="4095" t="n"/>
      <c r="AD85" s="4094" t="n"/>
      <c r="AE85" s="4094" t="n"/>
      <c r="AF85" s="4094" t="n"/>
      <c r="AG85" s="4094" t="n"/>
      <c r="AH85" s="4094" t="n"/>
      <c r="AI85" s="4094" t="n"/>
      <c r="AJ85" s="4094" t="n"/>
      <c r="AK85" s="4094" t="n"/>
      <c r="AL85" s="4094" t="n"/>
      <c r="AM85" s="4094" t="n"/>
      <c r="AN85" s="4094" t="n"/>
      <c r="AO85" s="4095" t="n"/>
      <c r="AP85" s="4094" t="n">
        <v>10.58342</v>
      </c>
      <c r="AQ85" s="4094" t="n">
        <v>9.165050000000001</v>
      </c>
      <c r="AR85" s="4094" t="n">
        <v>10.11568</v>
      </c>
      <c r="AS85" s="4094" t="n">
        <v>11.43121</v>
      </c>
      <c r="AT85" s="4094" t="n">
        <v>12.31679</v>
      </c>
      <c r="AU85" s="4096" t="n">
        <v>10.96875</v>
      </c>
      <c r="AV85" s="4094">
        <f>SUM(F85:Q85)</f>
        <v/>
      </c>
      <c r="AW85" s="4094">
        <f>SUM(R85:AC85)</f>
        <v/>
      </c>
      <c r="AX85" s="4094">
        <f>SUM(AD85:AO85)</f>
        <v/>
      </c>
      <c r="AY85" s="4094">
        <f>SUM(AH85:AS85)</f>
        <v/>
      </c>
      <c r="AZ85" s="4094">
        <f>SUM(AJ85:AU85)</f>
        <v/>
      </c>
      <c r="BA85" s="3737" t="n"/>
      <c r="BB85" s="4097">
        <f>IFERROR(F85/F$117,0)</f>
        <v/>
      </c>
      <c r="BC85" s="4097">
        <f>IFERROR(G85/G$117,0)</f>
        <v/>
      </c>
      <c r="BD85" s="4097">
        <f>IFERROR(H85/H$117,0)</f>
        <v/>
      </c>
      <c r="BE85" s="4097">
        <f>IFERROR(I85/I$117,0)</f>
        <v/>
      </c>
      <c r="BF85" s="4097">
        <f>IFERROR(J85/J$117,0)</f>
        <v/>
      </c>
      <c r="BG85" s="4097">
        <f>IFERROR(K85/K$117,0)</f>
        <v/>
      </c>
      <c r="BH85" s="4097">
        <f>IFERROR(L85/L$117,0)</f>
        <v/>
      </c>
      <c r="BI85" s="4097">
        <f>IFERROR(M85/M$117,0)</f>
        <v/>
      </c>
      <c r="BJ85" s="4097">
        <f>IFERROR(N85/N$117,0)</f>
        <v/>
      </c>
      <c r="BK85" s="4097">
        <f>IFERROR(O85/O$117,0)</f>
        <v/>
      </c>
      <c r="BL85" s="4097">
        <f>IFERROR(P85/P$117,0)</f>
        <v/>
      </c>
      <c r="BM85" s="4098">
        <f>IFERROR(Q85/Q$117,0)</f>
        <v/>
      </c>
      <c r="BN85" s="4097">
        <f>IFERROR(R85/R$117,0)</f>
        <v/>
      </c>
      <c r="BO85" s="4097">
        <f>IFERROR(S85/S$117,0)</f>
        <v/>
      </c>
      <c r="BP85" s="4097">
        <f>IFERROR(T85/T$117,0)</f>
        <v/>
      </c>
      <c r="BQ85" s="4097">
        <f>IFERROR(U85/U$117,0)</f>
        <v/>
      </c>
      <c r="BR85" s="4097">
        <f>IFERROR(V85/V$117,0)</f>
        <v/>
      </c>
      <c r="BS85" s="4097">
        <f>IFERROR(W85/W$117,0)</f>
        <v/>
      </c>
      <c r="BT85" s="4097">
        <f>IFERROR(X85/X$117,0)</f>
        <v/>
      </c>
      <c r="BU85" s="4097">
        <f>IFERROR(Y85/Y$117,0)</f>
        <v/>
      </c>
      <c r="BV85" s="4097">
        <f>IFERROR(Z85/Z$117,0)</f>
        <v/>
      </c>
      <c r="BW85" s="4097">
        <f>IFERROR(AA85/AA$117,0)</f>
        <v/>
      </c>
      <c r="BX85" s="4097">
        <f>IFERROR(AB85/AB$117,0)</f>
        <v/>
      </c>
      <c r="BY85" s="4098">
        <f>IFERROR(AC85/AC$117,0)</f>
        <v/>
      </c>
      <c r="BZ85" s="4097">
        <f>IFERROR(AD85/AD$117,0)</f>
        <v/>
      </c>
      <c r="CA85" s="4097">
        <f>IFERROR(AE85/AE$117,0)</f>
        <v/>
      </c>
      <c r="CB85" s="4097">
        <f>IFERROR(AF85/AF$117,0)</f>
        <v/>
      </c>
      <c r="CC85" s="4097">
        <f>IFERROR(AG85/AG$117,0)</f>
        <v/>
      </c>
      <c r="CD85" s="4097">
        <f>IFERROR(AH85/AH$117,0)</f>
        <v/>
      </c>
      <c r="CE85" s="4097">
        <f>IFERROR(AI85/AI$117,0)</f>
        <v/>
      </c>
      <c r="CF85" s="4097">
        <f>IFERROR(AJ85/AJ$117,0)</f>
        <v/>
      </c>
      <c r="CG85" s="4097">
        <f>IFERROR(AK85/AK$117,0)</f>
        <v/>
      </c>
      <c r="CH85" s="4097">
        <f>IFERROR(AL85/AL$117,0)</f>
        <v/>
      </c>
      <c r="CI85" s="4097">
        <f>IFERROR(AM85/AM$117,0)</f>
        <v/>
      </c>
      <c r="CJ85" s="4097">
        <f>IFERROR(AN85/AN$117,0)</f>
        <v/>
      </c>
      <c r="CK85" s="4098">
        <f>IFERROR(AO85/AO$117,0)</f>
        <v/>
      </c>
      <c r="CL85" s="4097">
        <f>IFERROR(AP85/AP$117,0)</f>
        <v/>
      </c>
      <c r="CM85" s="4097">
        <f>IFERROR(AQ85/AQ$117,0)</f>
        <v/>
      </c>
      <c r="CN85" s="4097">
        <f>IFERROR(AR85/AR$117,0)</f>
        <v/>
      </c>
      <c r="CO85" s="4097">
        <f>IFERROR(AS85/AS$117,0)</f>
        <v/>
      </c>
      <c r="CP85" s="4097">
        <f>IFERROR(AT85/AT$117,0)</f>
        <v/>
      </c>
      <c r="CQ85" s="4099">
        <f>IFERROR(AU85/AU$117,0)</f>
        <v/>
      </c>
      <c r="CR85" s="4097">
        <f>IFERROR(AV85/AV$117,0)</f>
        <v/>
      </c>
      <c r="CS85" s="4097">
        <f>IFERROR(AW85/AW$117,0)</f>
        <v/>
      </c>
      <c r="CT85" s="4097">
        <f>IFERROR(AX85/AX$117,0)</f>
        <v/>
      </c>
      <c r="CU85" s="4097">
        <f>IFERROR(AY85/AY$117,0)</f>
        <v/>
      </c>
      <c r="CV85" s="4097">
        <f>IFERROR(AZ85/AZ$117,0)</f>
        <v/>
      </c>
      <c r="CW85" s="3737" t="n"/>
      <c r="CX85" s="4094" t="n">
        <v>0</v>
      </c>
    </row>
    <row r="86" hidden="1" outlineLevel="2" ht="12" customFormat="1" customHeight="1" s="3737">
      <c r="A86" s="4059" t="n"/>
      <c r="B86" s="4060" t="n"/>
      <c r="C86" s="4109" t="inlineStr">
        <is>
          <t>Fraud services revenue - others</t>
        </is>
      </c>
      <c r="D86" s="4093" t="n">
        <v>411339</v>
      </c>
      <c r="E86" s="4093">
        <f>CONCATENATE(D86," - ",C86)</f>
        <v/>
      </c>
      <c r="F86" s="4094" t="n"/>
      <c r="G86" s="4094" t="n"/>
      <c r="H86" s="4094" t="n"/>
      <c r="I86" s="4094" t="n"/>
      <c r="J86" s="4094" t="n"/>
      <c r="K86" s="4094" t="n"/>
      <c r="L86" s="4094" t="n"/>
      <c r="M86" s="4094" t="n"/>
      <c r="N86" s="4094" t="n"/>
      <c r="O86" s="4094" t="n"/>
      <c r="P86" s="4094" t="n"/>
      <c r="Q86" s="4095" t="n"/>
      <c r="R86" s="4094" t="n"/>
      <c r="S86" s="4094" t="n"/>
      <c r="T86" s="4094" t="n"/>
      <c r="U86" s="4094" t="n"/>
      <c r="V86" s="4094" t="n"/>
      <c r="W86" s="4094" t="n"/>
      <c r="X86" s="4094" t="n"/>
      <c r="Y86" s="4094" t="n"/>
      <c r="Z86" s="4094" t="n"/>
      <c r="AA86" s="4094" t="n"/>
      <c r="AB86" s="4094" t="n"/>
      <c r="AC86" s="4095" t="n"/>
      <c r="AD86" s="4094" t="n"/>
      <c r="AE86" s="4094" t="n"/>
      <c r="AF86" s="4094" t="n"/>
      <c r="AG86" s="4094" t="n"/>
      <c r="AH86" s="4094" t="n"/>
      <c r="AI86" s="4094" t="n"/>
      <c r="AJ86" s="4094" t="n"/>
      <c r="AK86" s="4094" t="n"/>
      <c r="AL86" s="4094" t="n"/>
      <c r="AM86" s="4094" t="n"/>
      <c r="AN86" s="4094" t="n"/>
      <c r="AO86" s="4095" t="n"/>
      <c r="AP86" s="4094" t="n">
        <v>7.75</v>
      </c>
      <c r="AQ86" s="4094" t="n">
        <v>7.545</v>
      </c>
      <c r="AR86" s="4094" t="n">
        <v>7.62</v>
      </c>
      <c r="AS86" s="4094" t="n">
        <v>7.95</v>
      </c>
      <c r="AT86" s="4094" t="n">
        <v>7.95</v>
      </c>
      <c r="AU86" s="4096" t="n">
        <v>7.92</v>
      </c>
      <c r="AV86" s="4094">
        <f>SUM(F86:Q86)</f>
        <v/>
      </c>
      <c r="AW86" s="4094">
        <f>SUM(R86:AC86)</f>
        <v/>
      </c>
      <c r="AX86" s="4094">
        <f>SUM(AD86:AO86)</f>
        <v/>
      </c>
      <c r="AY86" s="4094">
        <f>SUM(AH86:AS86)</f>
        <v/>
      </c>
      <c r="AZ86" s="4094">
        <f>SUM(AJ86:AU86)</f>
        <v/>
      </c>
      <c r="BA86" s="3737" t="n"/>
      <c r="BB86" s="4097">
        <f>IFERROR(F86/F$117,0)</f>
        <v/>
      </c>
      <c r="BC86" s="4097">
        <f>IFERROR(G86/G$117,0)</f>
        <v/>
      </c>
      <c r="BD86" s="4097">
        <f>IFERROR(H86/H$117,0)</f>
        <v/>
      </c>
      <c r="BE86" s="4097">
        <f>IFERROR(I86/I$117,0)</f>
        <v/>
      </c>
      <c r="BF86" s="4097">
        <f>IFERROR(J86/J$117,0)</f>
        <v/>
      </c>
      <c r="BG86" s="4097">
        <f>IFERROR(K86/K$117,0)</f>
        <v/>
      </c>
      <c r="BH86" s="4097">
        <f>IFERROR(L86/L$117,0)</f>
        <v/>
      </c>
      <c r="BI86" s="4097">
        <f>IFERROR(M86/M$117,0)</f>
        <v/>
      </c>
      <c r="BJ86" s="4097">
        <f>IFERROR(N86/N$117,0)</f>
        <v/>
      </c>
      <c r="BK86" s="4097">
        <f>IFERROR(O86/O$117,0)</f>
        <v/>
      </c>
      <c r="BL86" s="4097">
        <f>IFERROR(P86/P$117,0)</f>
        <v/>
      </c>
      <c r="BM86" s="4098">
        <f>IFERROR(Q86/Q$117,0)</f>
        <v/>
      </c>
      <c r="BN86" s="4097">
        <f>IFERROR(R86/R$117,0)</f>
        <v/>
      </c>
      <c r="BO86" s="4097">
        <f>IFERROR(S86/S$117,0)</f>
        <v/>
      </c>
      <c r="BP86" s="4097">
        <f>IFERROR(T86/T$117,0)</f>
        <v/>
      </c>
      <c r="BQ86" s="4097">
        <f>IFERROR(U86/U$117,0)</f>
        <v/>
      </c>
      <c r="BR86" s="4097">
        <f>IFERROR(V86/V$117,0)</f>
        <v/>
      </c>
      <c r="BS86" s="4097">
        <f>IFERROR(W86/W$117,0)</f>
        <v/>
      </c>
      <c r="BT86" s="4097">
        <f>IFERROR(X86/X$117,0)</f>
        <v/>
      </c>
      <c r="BU86" s="4097">
        <f>IFERROR(Y86/Y$117,0)</f>
        <v/>
      </c>
      <c r="BV86" s="4097">
        <f>IFERROR(Z86/Z$117,0)</f>
        <v/>
      </c>
      <c r="BW86" s="4097">
        <f>IFERROR(AA86/AA$117,0)</f>
        <v/>
      </c>
      <c r="BX86" s="4097">
        <f>IFERROR(AB86/AB$117,0)</f>
        <v/>
      </c>
      <c r="BY86" s="4098">
        <f>IFERROR(AC86/AC$117,0)</f>
        <v/>
      </c>
      <c r="BZ86" s="4097">
        <f>IFERROR(AD86/AD$117,0)</f>
        <v/>
      </c>
      <c r="CA86" s="4097">
        <f>IFERROR(AE86/AE$117,0)</f>
        <v/>
      </c>
      <c r="CB86" s="4097">
        <f>IFERROR(AF86/AF$117,0)</f>
        <v/>
      </c>
      <c r="CC86" s="4097">
        <f>IFERROR(AG86/AG$117,0)</f>
        <v/>
      </c>
      <c r="CD86" s="4097">
        <f>IFERROR(AH86/AH$117,0)</f>
        <v/>
      </c>
      <c r="CE86" s="4097">
        <f>IFERROR(AI86/AI$117,0)</f>
        <v/>
      </c>
      <c r="CF86" s="4097">
        <f>IFERROR(AJ86/AJ$117,0)</f>
        <v/>
      </c>
      <c r="CG86" s="4097">
        <f>IFERROR(AK86/AK$117,0)</f>
        <v/>
      </c>
      <c r="CH86" s="4097">
        <f>IFERROR(AL86/AL$117,0)</f>
        <v/>
      </c>
      <c r="CI86" s="4097">
        <f>IFERROR(AM86/AM$117,0)</f>
        <v/>
      </c>
      <c r="CJ86" s="4097">
        <f>IFERROR(AN86/AN$117,0)</f>
        <v/>
      </c>
      <c r="CK86" s="4098">
        <f>IFERROR(AO86/AO$117,0)</f>
        <v/>
      </c>
      <c r="CL86" s="4097">
        <f>IFERROR(AP86/AP$117,0)</f>
        <v/>
      </c>
      <c r="CM86" s="4097">
        <f>IFERROR(AQ86/AQ$117,0)</f>
        <v/>
      </c>
      <c r="CN86" s="4097">
        <f>IFERROR(AR86/AR$117,0)</f>
        <v/>
      </c>
      <c r="CO86" s="4097">
        <f>IFERROR(AS86/AS$117,0)</f>
        <v/>
      </c>
      <c r="CP86" s="4097">
        <f>IFERROR(AT86/AT$117,0)</f>
        <v/>
      </c>
      <c r="CQ86" s="4099">
        <f>IFERROR(AU86/AU$117,0)</f>
        <v/>
      </c>
      <c r="CR86" s="4097">
        <f>IFERROR(AV86/AV$117,0)</f>
        <v/>
      </c>
      <c r="CS86" s="4097">
        <f>IFERROR(AW86/AW$117,0)</f>
        <v/>
      </c>
      <c r="CT86" s="4097">
        <f>IFERROR(AX86/AX$117,0)</f>
        <v/>
      </c>
      <c r="CU86" s="4097">
        <f>IFERROR(AY86/AY$117,0)</f>
        <v/>
      </c>
      <c r="CV86" s="4097">
        <f>IFERROR(AZ86/AZ$117,0)</f>
        <v/>
      </c>
      <c r="CW86" s="3737" t="n"/>
      <c r="CX86" s="4094" t="n">
        <v>98.03776000000001</v>
      </c>
    </row>
    <row r="87" hidden="1" outlineLevel="2" ht="12" customFormat="1" customHeight="1" s="3737">
      <c r="A87" s="4059" t="n"/>
      <c r="B87" s="4060" t="n"/>
      <c r="C87" s="4109" t="inlineStr">
        <is>
          <t>Fraud services revenue -mobile alerts</t>
        </is>
      </c>
      <c r="D87" s="4093" t="n">
        <v>411327</v>
      </c>
      <c r="E87" s="4093">
        <f>CONCATENATE(D87," - ",C87)</f>
        <v/>
      </c>
      <c r="F87" s="4094" t="n"/>
      <c r="G87" s="4094" t="n"/>
      <c r="H87" s="4094" t="n"/>
      <c r="I87" s="4094" t="n"/>
      <c r="J87" s="4094" t="n"/>
      <c r="K87" s="4094" t="n"/>
      <c r="L87" s="4094" t="n"/>
      <c r="M87" s="4094" t="n"/>
      <c r="N87" s="4094" t="n"/>
      <c r="O87" s="4094" t="n"/>
      <c r="P87" s="4094" t="n"/>
      <c r="Q87" s="4095" t="n"/>
      <c r="R87" s="4094" t="n"/>
      <c r="S87" s="4094" t="n"/>
      <c r="T87" s="4094" t="n"/>
      <c r="U87" s="4094" t="n"/>
      <c r="V87" s="4094" t="n"/>
      <c r="W87" s="4094" t="n"/>
      <c r="X87" s="4094" t="n"/>
      <c r="Y87" s="4094" t="n"/>
      <c r="Z87" s="4094" t="n"/>
      <c r="AA87" s="4094" t="n"/>
      <c r="AB87" s="4094" t="n"/>
      <c r="AC87" s="4095" t="n"/>
      <c r="AD87" s="4094" t="n"/>
      <c r="AE87" s="4094" t="n"/>
      <c r="AF87" s="4094" t="n"/>
      <c r="AG87" s="4094" t="n"/>
      <c r="AH87" s="4094" t="n"/>
      <c r="AI87" s="4094" t="n"/>
      <c r="AJ87" s="4094" t="n"/>
      <c r="AK87" s="4094" t="n"/>
      <c r="AL87" s="4094" t="n"/>
      <c r="AM87" s="4094" t="n"/>
      <c r="AN87" s="4094" t="n"/>
      <c r="AO87" s="4095" t="n"/>
      <c r="AP87" s="4094" t="n">
        <v>3.56965</v>
      </c>
      <c r="AQ87" s="4094" t="n">
        <v>4.9195</v>
      </c>
      <c r="AR87" s="4094" t="n">
        <v>4.2304</v>
      </c>
      <c r="AS87" s="4094" t="n">
        <v>4.2795</v>
      </c>
      <c r="AT87" s="4094" t="n">
        <v>4.5085</v>
      </c>
      <c r="AU87" s="4096" t="n">
        <v>4.4695</v>
      </c>
      <c r="AV87" s="4094">
        <f>SUM(F87:Q87)</f>
        <v/>
      </c>
      <c r="AW87" s="4094">
        <f>SUM(R87:AC87)</f>
        <v/>
      </c>
      <c r="AX87" s="4094">
        <f>SUM(AD87:AO87)</f>
        <v/>
      </c>
      <c r="AY87" s="4094">
        <f>SUM(AH87:AS87)</f>
        <v/>
      </c>
      <c r="AZ87" s="4094">
        <f>SUM(AJ87:AU87)</f>
        <v/>
      </c>
      <c r="BA87" s="3737" t="n"/>
      <c r="BB87" s="4097">
        <f>IFERROR(F87/F$117,0)</f>
        <v/>
      </c>
      <c r="BC87" s="4097">
        <f>IFERROR(G87/G$117,0)</f>
        <v/>
      </c>
      <c r="BD87" s="4097">
        <f>IFERROR(H87/H$117,0)</f>
        <v/>
      </c>
      <c r="BE87" s="4097">
        <f>IFERROR(I87/I$117,0)</f>
        <v/>
      </c>
      <c r="BF87" s="4097">
        <f>IFERROR(J87/J$117,0)</f>
        <v/>
      </c>
      <c r="BG87" s="4097">
        <f>IFERROR(K87/K$117,0)</f>
        <v/>
      </c>
      <c r="BH87" s="4097">
        <f>IFERROR(L87/L$117,0)</f>
        <v/>
      </c>
      <c r="BI87" s="4097">
        <f>IFERROR(M87/M$117,0)</f>
        <v/>
      </c>
      <c r="BJ87" s="4097">
        <f>IFERROR(N87/N$117,0)</f>
        <v/>
      </c>
      <c r="BK87" s="4097">
        <f>IFERROR(O87/O$117,0)</f>
        <v/>
      </c>
      <c r="BL87" s="4097">
        <f>IFERROR(P87/P$117,0)</f>
        <v/>
      </c>
      <c r="BM87" s="4098">
        <f>IFERROR(Q87/Q$117,0)</f>
        <v/>
      </c>
      <c r="BN87" s="4097">
        <f>IFERROR(R87/R$117,0)</f>
        <v/>
      </c>
      <c r="BO87" s="4097">
        <f>IFERROR(S87/S$117,0)</f>
        <v/>
      </c>
      <c r="BP87" s="4097">
        <f>IFERROR(T87/T$117,0)</f>
        <v/>
      </c>
      <c r="BQ87" s="4097">
        <f>IFERROR(U87/U$117,0)</f>
        <v/>
      </c>
      <c r="BR87" s="4097">
        <f>IFERROR(V87/V$117,0)</f>
        <v/>
      </c>
      <c r="BS87" s="4097">
        <f>IFERROR(W87/W$117,0)</f>
        <v/>
      </c>
      <c r="BT87" s="4097">
        <f>IFERROR(X87/X$117,0)</f>
        <v/>
      </c>
      <c r="BU87" s="4097">
        <f>IFERROR(Y87/Y$117,0)</f>
        <v/>
      </c>
      <c r="BV87" s="4097">
        <f>IFERROR(Z87/Z$117,0)</f>
        <v/>
      </c>
      <c r="BW87" s="4097">
        <f>IFERROR(AA87/AA$117,0)</f>
        <v/>
      </c>
      <c r="BX87" s="4097">
        <f>IFERROR(AB87/AB$117,0)</f>
        <v/>
      </c>
      <c r="BY87" s="4098">
        <f>IFERROR(AC87/AC$117,0)</f>
        <v/>
      </c>
      <c r="BZ87" s="4097">
        <f>IFERROR(AD87/AD$117,0)</f>
        <v/>
      </c>
      <c r="CA87" s="4097">
        <f>IFERROR(AE87/AE$117,0)</f>
        <v/>
      </c>
      <c r="CB87" s="4097">
        <f>IFERROR(AF87/AF$117,0)</f>
        <v/>
      </c>
      <c r="CC87" s="4097">
        <f>IFERROR(AG87/AG$117,0)</f>
        <v/>
      </c>
      <c r="CD87" s="4097">
        <f>IFERROR(AH87/AH$117,0)</f>
        <v/>
      </c>
      <c r="CE87" s="4097">
        <f>IFERROR(AI87/AI$117,0)</f>
        <v/>
      </c>
      <c r="CF87" s="4097">
        <f>IFERROR(AJ87/AJ$117,0)</f>
        <v/>
      </c>
      <c r="CG87" s="4097">
        <f>IFERROR(AK87/AK$117,0)</f>
        <v/>
      </c>
      <c r="CH87" s="4097">
        <f>IFERROR(AL87/AL$117,0)</f>
        <v/>
      </c>
      <c r="CI87" s="4097">
        <f>IFERROR(AM87/AM$117,0)</f>
        <v/>
      </c>
      <c r="CJ87" s="4097">
        <f>IFERROR(AN87/AN$117,0)</f>
        <v/>
      </c>
      <c r="CK87" s="4098">
        <f>IFERROR(AO87/AO$117,0)</f>
        <v/>
      </c>
      <c r="CL87" s="4097">
        <f>IFERROR(AP87/AP$117,0)</f>
        <v/>
      </c>
      <c r="CM87" s="4097">
        <f>IFERROR(AQ87/AQ$117,0)</f>
        <v/>
      </c>
      <c r="CN87" s="4097">
        <f>IFERROR(AR87/AR$117,0)</f>
        <v/>
      </c>
      <c r="CO87" s="4097">
        <f>IFERROR(AS87/AS$117,0)</f>
        <v/>
      </c>
      <c r="CP87" s="4097">
        <f>IFERROR(AT87/AT$117,0)</f>
        <v/>
      </c>
      <c r="CQ87" s="4099">
        <f>IFERROR(AU87/AU$117,0)</f>
        <v/>
      </c>
      <c r="CR87" s="4097">
        <f>IFERROR(AV87/AV$117,0)</f>
        <v/>
      </c>
      <c r="CS87" s="4097">
        <f>IFERROR(AW87/AW$117,0)</f>
        <v/>
      </c>
      <c r="CT87" s="4097">
        <f>IFERROR(AX87/AX$117,0)</f>
        <v/>
      </c>
      <c r="CU87" s="4097">
        <f>IFERROR(AY87/AY$117,0)</f>
        <v/>
      </c>
      <c r="CV87" s="4097">
        <f>IFERROR(AZ87/AZ$117,0)</f>
        <v/>
      </c>
      <c r="CW87" s="3737" t="n"/>
      <c r="CX87" s="4094" t="n">
        <v>0.20888</v>
      </c>
    </row>
    <row r="88" hidden="1" outlineLevel="2" ht="12" customFormat="1" customHeight="1" s="3737">
      <c r="A88" s="4059" t="n"/>
      <c r="B88" s="4060" t="n"/>
      <c r="C88" s="4113" t="inlineStr">
        <is>
          <t>Fraud Services Enterprise Monitoring</t>
        </is>
      </c>
      <c r="D88" s="4114" t="n">
        <v>411323</v>
      </c>
      <c r="E88" s="4114">
        <f>CONCATENATE(D88," - ",C88)</f>
        <v/>
      </c>
      <c r="F88" s="4094" t="n"/>
      <c r="G88" s="4094" t="n"/>
      <c r="H88" s="4094" t="n"/>
      <c r="I88" s="4094" t="n"/>
      <c r="J88" s="4094" t="n"/>
      <c r="K88" s="4094" t="n"/>
      <c r="L88" s="4094" t="n"/>
      <c r="M88" s="4094" t="n"/>
      <c r="N88" s="4094" t="n"/>
      <c r="O88" s="4094" t="n"/>
      <c r="P88" s="4094" t="n"/>
      <c r="Q88" s="4095" t="n"/>
      <c r="R88" s="4094" t="n"/>
      <c r="S88" s="4094" t="n"/>
      <c r="T88" s="4094" t="n"/>
      <c r="U88" s="4094" t="n"/>
      <c r="V88" s="4094" t="n"/>
      <c r="W88" s="4094" t="n"/>
      <c r="X88" s="4094" t="n"/>
      <c r="Y88" s="4094" t="n"/>
      <c r="Z88" s="4094" t="n"/>
      <c r="AA88" s="4094" t="n"/>
      <c r="AB88" s="4094" t="n"/>
      <c r="AC88" s="4095" t="n"/>
      <c r="AD88" s="4094" t="n"/>
      <c r="AE88" s="4094" t="n"/>
      <c r="AF88" s="4094" t="n"/>
      <c r="AG88" s="4094" t="n"/>
      <c r="AH88" s="4094" t="n"/>
      <c r="AI88" s="4094" t="n"/>
      <c r="AJ88" s="4094" t="n"/>
      <c r="AK88" s="4094" t="n"/>
      <c r="AL88" s="4094" t="n"/>
      <c r="AM88" s="4094" t="n"/>
      <c r="AN88" s="4094" t="n"/>
      <c r="AO88" s="4095" t="n"/>
      <c r="AP88" s="4094" t="n">
        <v>0</v>
      </c>
      <c r="AQ88" s="4094" t="n">
        <v>0</v>
      </c>
      <c r="AR88" s="4094" t="n">
        <v>0</v>
      </c>
      <c r="AS88" s="4094" t="n">
        <v>0</v>
      </c>
      <c r="AT88" s="4094" t="n">
        <v>0</v>
      </c>
      <c r="AU88" s="4096" t="n">
        <v>2.57928</v>
      </c>
      <c r="AV88" s="4094">
        <f>SUM(F88:Q88)</f>
        <v/>
      </c>
      <c r="AW88" s="4094">
        <f>SUM(R88:AC88)</f>
        <v/>
      </c>
      <c r="AX88" s="4094">
        <f>SUM(AD88:AO88)</f>
        <v/>
      </c>
      <c r="AY88" s="4094">
        <f>SUM(AH88:AS88)</f>
        <v/>
      </c>
      <c r="AZ88" s="4094">
        <f>SUM(AJ88:AU88)</f>
        <v/>
      </c>
      <c r="BA88" s="3737" t="n"/>
      <c r="BB88" s="4097">
        <f>IFERROR(F88/F$117,0)</f>
        <v/>
      </c>
      <c r="BC88" s="4097">
        <f>IFERROR(G88/G$117,0)</f>
        <v/>
      </c>
      <c r="BD88" s="4097">
        <f>IFERROR(H88/H$117,0)</f>
        <v/>
      </c>
      <c r="BE88" s="4097">
        <f>IFERROR(I88/I$117,0)</f>
        <v/>
      </c>
      <c r="BF88" s="4097">
        <f>IFERROR(J88/J$117,0)</f>
        <v/>
      </c>
      <c r="BG88" s="4097">
        <f>IFERROR(K88/K$117,0)</f>
        <v/>
      </c>
      <c r="BH88" s="4097">
        <f>IFERROR(L88/L$117,0)</f>
        <v/>
      </c>
      <c r="BI88" s="4097">
        <f>IFERROR(M88/M$117,0)</f>
        <v/>
      </c>
      <c r="BJ88" s="4097">
        <f>IFERROR(N88/N$117,0)</f>
        <v/>
      </c>
      <c r="BK88" s="4097">
        <f>IFERROR(O88/O$117,0)</f>
        <v/>
      </c>
      <c r="BL88" s="4097">
        <f>IFERROR(P88/P$117,0)</f>
        <v/>
      </c>
      <c r="BM88" s="4098">
        <f>IFERROR(Q88/Q$117,0)</f>
        <v/>
      </c>
      <c r="BN88" s="4097">
        <f>IFERROR(R88/R$117,0)</f>
        <v/>
      </c>
      <c r="BO88" s="4097">
        <f>IFERROR(S88/S$117,0)</f>
        <v/>
      </c>
      <c r="BP88" s="4097">
        <f>IFERROR(T88/T$117,0)</f>
        <v/>
      </c>
      <c r="BQ88" s="4097">
        <f>IFERROR(U88/U$117,0)</f>
        <v/>
      </c>
      <c r="BR88" s="4097">
        <f>IFERROR(V88/V$117,0)</f>
        <v/>
      </c>
      <c r="BS88" s="4097">
        <f>IFERROR(W88/W$117,0)</f>
        <v/>
      </c>
      <c r="BT88" s="4097">
        <f>IFERROR(X88/X$117,0)</f>
        <v/>
      </c>
      <c r="BU88" s="4097">
        <f>IFERROR(Y88/Y$117,0)</f>
        <v/>
      </c>
      <c r="BV88" s="4097">
        <f>IFERROR(Z88/Z$117,0)</f>
        <v/>
      </c>
      <c r="BW88" s="4097">
        <f>IFERROR(AA88/AA$117,0)</f>
        <v/>
      </c>
      <c r="BX88" s="4097">
        <f>IFERROR(AB88/AB$117,0)</f>
        <v/>
      </c>
      <c r="BY88" s="4098">
        <f>IFERROR(AC88/AC$117,0)</f>
        <v/>
      </c>
      <c r="BZ88" s="4097">
        <f>IFERROR(AD88/AD$117,0)</f>
        <v/>
      </c>
      <c r="CA88" s="4097">
        <f>IFERROR(AE88/AE$117,0)</f>
        <v/>
      </c>
      <c r="CB88" s="4097">
        <f>IFERROR(AF88/AF$117,0)</f>
        <v/>
      </c>
      <c r="CC88" s="4097">
        <f>IFERROR(AG88/AG$117,0)</f>
        <v/>
      </c>
      <c r="CD88" s="4097">
        <f>IFERROR(AH88/AH$117,0)</f>
        <v/>
      </c>
      <c r="CE88" s="4097">
        <f>IFERROR(AI88/AI$117,0)</f>
        <v/>
      </c>
      <c r="CF88" s="4097">
        <f>IFERROR(AJ88/AJ$117,0)</f>
        <v/>
      </c>
      <c r="CG88" s="4097">
        <f>IFERROR(AK88/AK$117,0)</f>
        <v/>
      </c>
      <c r="CH88" s="4097">
        <f>IFERROR(AL88/AL$117,0)</f>
        <v/>
      </c>
      <c r="CI88" s="4097">
        <f>IFERROR(AM88/AM$117,0)</f>
        <v/>
      </c>
      <c r="CJ88" s="4097">
        <f>IFERROR(AN88/AN$117,0)</f>
        <v/>
      </c>
      <c r="CK88" s="4098">
        <f>IFERROR(AO88/AO$117,0)</f>
        <v/>
      </c>
      <c r="CL88" s="4097">
        <f>IFERROR(AP88/AP$117,0)</f>
        <v/>
      </c>
      <c r="CM88" s="4097">
        <f>IFERROR(AQ88/AQ$117,0)</f>
        <v/>
      </c>
      <c r="CN88" s="4097">
        <f>IFERROR(AR88/AR$117,0)</f>
        <v/>
      </c>
      <c r="CO88" s="4097">
        <f>IFERROR(AS88/AS$117,0)</f>
        <v/>
      </c>
      <c r="CP88" s="4097">
        <f>IFERROR(AT88/AT$117,0)</f>
        <v/>
      </c>
      <c r="CQ88" s="4099">
        <f>IFERROR(AU88/AU$117,0)</f>
        <v/>
      </c>
      <c r="CR88" s="4097">
        <f>IFERROR(AV88/AV$117,0)</f>
        <v/>
      </c>
      <c r="CS88" s="4097">
        <f>IFERROR(AW88/AW$117,0)</f>
        <v/>
      </c>
      <c r="CT88" s="4097">
        <f>IFERROR(AX88/AX$117,0)</f>
        <v/>
      </c>
      <c r="CU88" s="4097">
        <f>IFERROR(AY88/AY$117,0)</f>
        <v/>
      </c>
      <c r="CV88" s="4097">
        <f>IFERROR(AZ88/AZ$117,0)</f>
        <v/>
      </c>
      <c r="CW88" s="3737" t="n"/>
      <c r="CX88" s="4094" t="n">
        <v>0</v>
      </c>
    </row>
    <row r="89" hidden="1" outlineLevel="2" ht="12" customFormat="1" customHeight="1" s="3737">
      <c r="A89" s="4059" t="n"/>
      <c r="B89" s="4060" t="n"/>
      <c r="C89" s="4110" t="inlineStr">
        <is>
          <t>Fraud services -lnb sms alerts messages</t>
        </is>
      </c>
      <c r="D89" s="4101" t="n">
        <v>411336</v>
      </c>
      <c r="E89" s="4101">
        <f>CONCATENATE(D89," - ",C89)</f>
        <v/>
      </c>
      <c r="F89" s="4102" t="n"/>
      <c r="G89" s="4102" t="n"/>
      <c r="H89" s="4102" t="n"/>
      <c r="I89" s="4102" t="n"/>
      <c r="J89" s="4102" t="n"/>
      <c r="K89" s="4102" t="n"/>
      <c r="L89" s="4102" t="n"/>
      <c r="M89" s="4102" t="n"/>
      <c r="N89" s="4102" t="n"/>
      <c r="O89" s="4102" t="n"/>
      <c r="P89" s="4102" t="n"/>
      <c r="Q89" s="4103" t="n"/>
      <c r="R89" s="4102" t="n"/>
      <c r="S89" s="4102" t="n"/>
      <c r="T89" s="4102" t="n"/>
      <c r="U89" s="4102" t="n"/>
      <c r="V89" s="4102" t="n"/>
      <c r="W89" s="4102" t="n"/>
      <c r="X89" s="4102" t="n"/>
      <c r="Y89" s="4102" t="n"/>
      <c r="Z89" s="4102" t="n"/>
      <c r="AA89" s="4102" t="n"/>
      <c r="AB89" s="4102" t="n"/>
      <c r="AC89" s="4103" t="n"/>
      <c r="AD89" s="4102" t="n"/>
      <c r="AE89" s="4102" t="n"/>
      <c r="AF89" s="4102" t="n"/>
      <c r="AG89" s="4102" t="n"/>
      <c r="AH89" s="4102" t="n"/>
      <c r="AI89" s="4102" t="n"/>
      <c r="AJ89" s="4102" t="n"/>
      <c r="AK89" s="4102" t="n"/>
      <c r="AL89" s="4102" t="n"/>
      <c r="AM89" s="4102" t="n"/>
      <c r="AN89" s="4102" t="n"/>
      <c r="AO89" s="4103" t="n"/>
      <c r="AP89" s="4102" t="n">
        <v>0.01475</v>
      </c>
      <c r="AQ89" s="4102" t="n">
        <v>0.0157</v>
      </c>
      <c r="AR89" s="4102" t="n">
        <v>0.0177</v>
      </c>
      <c r="AS89" s="4102" t="n">
        <v>0.0226</v>
      </c>
      <c r="AT89" s="4102" t="n">
        <v>0.02955</v>
      </c>
      <c r="AU89" s="4104" t="n">
        <v>0.03</v>
      </c>
      <c r="AV89" s="4102">
        <f>SUM(F89:Q89)</f>
        <v/>
      </c>
      <c r="AW89" s="4102">
        <f>SUM(R89:AC89)</f>
        <v/>
      </c>
      <c r="AX89" s="4102">
        <f>SUM(AD89:AO89)</f>
        <v/>
      </c>
      <c r="AY89" s="4102">
        <f>SUM(AH89:AS89)</f>
        <v/>
      </c>
      <c r="AZ89" s="4102">
        <f>SUM(AJ89:AU89)</f>
        <v/>
      </c>
      <c r="BA89" s="3737" t="n"/>
      <c r="BB89" s="4105">
        <f>IFERROR(F89/F$117,0)</f>
        <v/>
      </c>
      <c r="BC89" s="4105">
        <f>IFERROR(G89/G$117,0)</f>
        <v/>
      </c>
      <c r="BD89" s="4105">
        <f>IFERROR(H89/H$117,0)</f>
        <v/>
      </c>
      <c r="BE89" s="4105">
        <f>IFERROR(I89/I$117,0)</f>
        <v/>
      </c>
      <c r="BF89" s="4105">
        <f>IFERROR(J89/J$117,0)</f>
        <v/>
      </c>
      <c r="BG89" s="4105">
        <f>IFERROR(K89/K$117,0)</f>
        <v/>
      </c>
      <c r="BH89" s="4105">
        <f>IFERROR(L89/L$117,0)</f>
        <v/>
      </c>
      <c r="BI89" s="4105">
        <f>IFERROR(M89/M$117,0)</f>
        <v/>
      </c>
      <c r="BJ89" s="4105">
        <f>IFERROR(N89/N$117,0)</f>
        <v/>
      </c>
      <c r="BK89" s="4105">
        <f>IFERROR(O89/O$117,0)</f>
        <v/>
      </c>
      <c r="BL89" s="4105">
        <f>IFERROR(P89/P$117,0)</f>
        <v/>
      </c>
      <c r="BM89" s="4106">
        <f>IFERROR(Q89/Q$117,0)</f>
        <v/>
      </c>
      <c r="BN89" s="4105">
        <f>IFERROR(R89/R$117,0)</f>
        <v/>
      </c>
      <c r="BO89" s="4105">
        <f>IFERROR(S89/S$117,0)</f>
        <v/>
      </c>
      <c r="BP89" s="4105">
        <f>IFERROR(T89/T$117,0)</f>
        <v/>
      </c>
      <c r="BQ89" s="4105">
        <f>IFERROR(U89/U$117,0)</f>
        <v/>
      </c>
      <c r="BR89" s="4105">
        <f>IFERROR(V89/V$117,0)</f>
        <v/>
      </c>
      <c r="BS89" s="4105">
        <f>IFERROR(W89/W$117,0)</f>
        <v/>
      </c>
      <c r="BT89" s="4105">
        <f>IFERROR(X89/X$117,0)</f>
        <v/>
      </c>
      <c r="BU89" s="4105">
        <f>IFERROR(Y89/Y$117,0)</f>
        <v/>
      </c>
      <c r="BV89" s="4105">
        <f>IFERROR(Z89/Z$117,0)</f>
        <v/>
      </c>
      <c r="BW89" s="4105">
        <f>IFERROR(AA89/AA$117,0)</f>
        <v/>
      </c>
      <c r="BX89" s="4105">
        <f>IFERROR(AB89/AB$117,0)</f>
        <v/>
      </c>
      <c r="BY89" s="4106">
        <f>IFERROR(AC89/AC$117,0)</f>
        <v/>
      </c>
      <c r="BZ89" s="4105">
        <f>IFERROR(AD89/AD$117,0)</f>
        <v/>
      </c>
      <c r="CA89" s="4105">
        <f>IFERROR(AE89/AE$117,0)</f>
        <v/>
      </c>
      <c r="CB89" s="4105">
        <f>IFERROR(AF89/AF$117,0)</f>
        <v/>
      </c>
      <c r="CC89" s="4105">
        <f>IFERROR(AG89/AG$117,0)</f>
        <v/>
      </c>
      <c r="CD89" s="4105">
        <f>IFERROR(AH89/AH$117,0)</f>
        <v/>
      </c>
      <c r="CE89" s="4105">
        <f>IFERROR(AI89/AI$117,0)</f>
        <v/>
      </c>
      <c r="CF89" s="4105">
        <f>IFERROR(AJ89/AJ$117,0)</f>
        <v/>
      </c>
      <c r="CG89" s="4105">
        <f>IFERROR(AK89/AK$117,0)</f>
        <v/>
      </c>
      <c r="CH89" s="4105">
        <f>IFERROR(AL89/AL$117,0)</f>
        <v/>
      </c>
      <c r="CI89" s="4105">
        <f>IFERROR(AM89/AM$117,0)</f>
        <v/>
      </c>
      <c r="CJ89" s="4105">
        <f>IFERROR(AN89/AN$117,0)</f>
        <v/>
      </c>
      <c r="CK89" s="4106">
        <f>IFERROR(AO89/AO$117,0)</f>
        <v/>
      </c>
      <c r="CL89" s="4105">
        <f>IFERROR(AP89/AP$117,0)</f>
        <v/>
      </c>
      <c r="CM89" s="4105">
        <f>IFERROR(AQ89/AQ$117,0)</f>
        <v/>
      </c>
      <c r="CN89" s="4105">
        <f>IFERROR(AR89/AR$117,0)</f>
        <v/>
      </c>
      <c r="CO89" s="4105">
        <f>IFERROR(AS89/AS$117,0)</f>
        <v/>
      </c>
      <c r="CP89" s="4105">
        <f>IFERROR(AT89/AT$117,0)</f>
        <v/>
      </c>
      <c r="CQ89" s="4107">
        <f>IFERROR(AU89/AU$117,0)</f>
        <v/>
      </c>
      <c r="CR89" s="4105">
        <f>IFERROR(AV89/AV$117,0)</f>
        <v/>
      </c>
      <c r="CS89" s="4105">
        <f>IFERROR(AW89/AW$117,0)</f>
        <v/>
      </c>
      <c r="CT89" s="4105">
        <f>IFERROR(AX89/AX$117,0)</f>
        <v/>
      </c>
      <c r="CU89" s="4105">
        <f>IFERROR(AY89/AY$117,0)</f>
        <v/>
      </c>
      <c r="CV89" s="4105">
        <f>IFERROR(AZ89/AZ$117,0)</f>
        <v/>
      </c>
      <c r="CW89" s="3737" t="n"/>
      <c r="CX89" s="4102" t="n">
        <v>0</v>
      </c>
    </row>
    <row r="90" hidden="1" outlineLevel="1" collapsed="1" ht="12" customFormat="1" customHeight="1" s="3737">
      <c r="A90" s="4059" t="n"/>
      <c r="B90" s="4060" t="n"/>
      <c r="C90" s="4111" t="inlineStr">
        <is>
          <t>Fraud management revenue</t>
        </is>
      </c>
      <c r="D90" s="4093" t="n"/>
      <c r="E90" s="4093" t="n"/>
      <c r="F90" s="4094" t="n"/>
      <c r="G90" s="4094" t="n"/>
      <c r="H90" s="4094" t="n"/>
      <c r="I90" s="4094" t="n"/>
      <c r="J90" s="4094" t="n"/>
      <c r="K90" s="4094" t="n"/>
      <c r="L90" s="4094" t="n"/>
      <c r="M90" s="4094" t="n"/>
      <c r="N90" s="4094" t="n"/>
      <c r="O90" s="4094" t="n"/>
      <c r="P90" s="4094" t="n"/>
      <c r="Q90" s="4095" t="n"/>
      <c r="R90" s="4094" t="n"/>
      <c r="S90" s="4094" t="n"/>
      <c r="T90" s="4094" t="n"/>
      <c r="U90" s="4094" t="n"/>
      <c r="V90" s="4094" t="n"/>
      <c r="W90" s="4094" t="n"/>
      <c r="X90" s="4094" t="n"/>
      <c r="Y90" s="4094" t="n"/>
      <c r="Z90" s="4094" t="n"/>
      <c r="AA90" s="4094" t="n"/>
      <c r="AB90" s="4094" t="n"/>
      <c r="AC90" s="4095" t="n"/>
      <c r="AD90" s="4094" t="n"/>
      <c r="AE90" s="4094" t="n"/>
      <c r="AF90" s="4094" t="n"/>
      <c r="AG90" s="4094" t="n"/>
      <c r="AH90" s="4094" t="n"/>
      <c r="AI90" s="4094" t="n"/>
      <c r="AJ90" s="4094" t="n"/>
      <c r="AK90" s="4094" t="n"/>
      <c r="AL90" s="4094" t="n"/>
      <c r="AM90" s="4094" t="n"/>
      <c r="AN90" s="4094" t="n"/>
      <c r="AO90" s="4095" t="n"/>
      <c r="AP90" s="4094">
        <f>SUM(AP80:AP89)</f>
        <v/>
      </c>
      <c r="AQ90" s="4094">
        <f>SUM(AQ80:AQ89)</f>
        <v/>
      </c>
      <c r="AR90" s="4094">
        <f>SUM(AR80:AR89)</f>
        <v/>
      </c>
      <c r="AS90" s="4094">
        <f>SUM(AS80:AS89)</f>
        <v/>
      </c>
      <c r="AT90" s="4094">
        <f>SUM(AT80:AT89)</f>
        <v/>
      </c>
      <c r="AU90" s="4096">
        <f>SUM(AU80:AU89)</f>
        <v/>
      </c>
      <c r="AV90" s="4094">
        <f>SUM(AV80:AV89)</f>
        <v/>
      </c>
      <c r="AW90" s="4094">
        <f>SUM(AW80:AW89)</f>
        <v/>
      </c>
      <c r="AX90" s="4094">
        <f>SUM(AX80:AX89)</f>
        <v/>
      </c>
      <c r="AY90" s="4094">
        <f>SUM(AY80:AY89)</f>
        <v/>
      </c>
      <c r="AZ90" s="4094">
        <f>SUM(AZ80:AZ89)</f>
        <v/>
      </c>
      <c r="BA90" s="3737" t="n"/>
      <c r="BB90" s="4097">
        <f>IFERROR(F90/F$117,0)</f>
        <v/>
      </c>
      <c r="BC90" s="4097">
        <f>IFERROR(G90/G$117,0)</f>
        <v/>
      </c>
      <c r="BD90" s="4097">
        <f>IFERROR(H90/H$117,0)</f>
        <v/>
      </c>
      <c r="BE90" s="4097">
        <f>IFERROR(I90/I$117,0)</f>
        <v/>
      </c>
      <c r="BF90" s="4097">
        <f>IFERROR(J90/J$117,0)</f>
        <v/>
      </c>
      <c r="BG90" s="4097">
        <f>IFERROR(K90/K$117,0)</f>
        <v/>
      </c>
      <c r="BH90" s="4097">
        <f>IFERROR(L90/L$117,0)</f>
        <v/>
      </c>
      <c r="BI90" s="4097">
        <f>IFERROR(M90/M$117,0)</f>
        <v/>
      </c>
      <c r="BJ90" s="4097">
        <f>IFERROR(N90/N$117,0)</f>
        <v/>
      </c>
      <c r="BK90" s="4097">
        <f>IFERROR(O90/O$117,0)</f>
        <v/>
      </c>
      <c r="BL90" s="4097">
        <f>IFERROR(P90/P$117,0)</f>
        <v/>
      </c>
      <c r="BM90" s="4098">
        <f>IFERROR(Q90/Q$117,0)</f>
        <v/>
      </c>
      <c r="BN90" s="4097">
        <f>IFERROR(R90/R$117,0)</f>
        <v/>
      </c>
      <c r="BO90" s="4097">
        <f>IFERROR(S90/S$117,0)</f>
        <v/>
      </c>
      <c r="BP90" s="4097">
        <f>IFERROR(T90/T$117,0)</f>
        <v/>
      </c>
      <c r="BQ90" s="4097">
        <f>IFERROR(U90/U$117,0)</f>
        <v/>
      </c>
      <c r="BR90" s="4097">
        <f>IFERROR(V90/V$117,0)</f>
        <v/>
      </c>
      <c r="BS90" s="4097">
        <f>IFERROR(W90/W$117,0)</f>
        <v/>
      </c>
      <c r="BT90" s="4097">
        <f>IFERROR(X90/X$117,0)</f>
        <v/>
      </c>
      <c r="BU90" s="4097">
        <f>IFERROR(Y90/Y$117,0)</f>
        <v/>
      </c>
      <c r="BV90" s="4097">
        <f>IFERROR(Z90/Z$117,0)</f>
        <v/>
      </c>
      <c r="BW90" s="4097">
        <f>IFERROR(AA90/AA$117,0)</f>
        <v/>
      </c>
      <c r="BX90" s="4097">
        <f>IFERROR(AB90/AB$117,0)</f>
        <v/>
      </c>
      <c r="BY90" s="4098">
        <f>IFERROR(AC90/AC$117,0)</f>
        <v/>
      </c>
      <c r="BZ90" s="4097">
        <f>IFERROR(AD90/AD$117,0)</f>
        <v/>
      </c>
      <c r="CA90" s="4097">
        <f>IFERROR(AE90/AE$117,0)</f>
        <v/>
      </c>
      <c r="CB90" s="4097">
        <f>IFERROR(AF90/AF$117,0)</f>
        <v/>
      </c>
      <c r="CC90" s="4097">
        <f>IFERROR(AG90/AG$117,0)</f>
        <v/>
      </c>
      <c r="CD90" s="4097">
        <f>IFERROR(AH90/AH$117,0)</f>
        <v/>
      </c>
      <c r="CE90" s="4097">
        <f>IFERROR(AI90/AI$117,0)</f>
        <v/>
      </c>
      <c r="CF90" s="4097">
        <f>IFERROR(AJ90/AJ$117,0)</f>
        <v/>
      </c>
      <c r="CG90" s="4097">
        <f>IFERROR(AK90/AK$117,0)</f>
        <v/>
      </c>
      <c r="CH90" s="4097">
        <f>IFERROR(AL90/AL$117,0)</f>
        <v/>
      </c>
      <c r="CI90" s="4097">
        <f>IFERROR(AM90/AM$117,0)</f>
        <v/>
      </c>
      <c r="CJ90" s="4097">
        <f>IFERROR(AN90/AN$117,0)</f>
        <v/>
      </c>
      <c r="CK90" s="4098">
        <f>IFERROR(AO90/AO$117,0)</f>
        <v/>
      </c>
      <c r="CL90" s="4097">
        <f>IFERROR(AP90/AP$117,0)</f>
        <v/>
      </c>
      <c r="CM90" s="4097">
        <f>IFERROR(AQ90/AQ$117,0)</f>
        <v/>
      </c>
      <c r="CN90" s="4097">
        <f>IFERROR(AR90/AR$117,0)</f>
        <v/>
      </c>
      <c r="CO90" s="4097">
        <f>IFERROR(AS90/AS$117,0)</f>
        <v/>
      </c>
      <c r="CP90" s="4097">
        <f>IFERROR(AT90/AT$117,0)</f>
        <v/>
      </c>
      <c r="CQ90" s="4099">
        <f>IFERROR(AU90/AU$117,0)</f>
        <v/>
      </c>
      <c r="CR90" s="4097">
        <f>IFERROR(AV90/AV$117,0)</f>
        <v/>
      </c>
      <c r="CS90" s="4097">
        <f>IFERROR(AW90/AW$117,0)</f>
        <v/>
      </c>
      <c r="CT90" s="4097">
        <f>IFERROR(AX90/AX$117,0)</f>
        <v/>
      </c>
      <c r="CU90" s="4097">
        <f>IFERROR(AY90/AY$117,0)</f>
        <v/>
      </c>
      <c r="CV90" s="4097">
        <f>IFERROR(AZ90/AZ$117,0)</f>
        <v/>
      </c>
      <c r="CW90" s="3737" t="n"/>
      <c r="CX90" s="4094">
        <f>SUM(CX80:CX89)</f>
        <v/>
      </c>
    </row>
    <row r="91" hidden="1" outlineLevel="2" ht="12" customFormat="1" customHeight="1" s="3737">
      <c r="A91" s="4059" t="n"/>
      <c r="B91" s="4060" t="n"/>
      <c r="C91" s="4109" t="inlineStr">
        <is>
          <t>Optional issuer fee revenue - cirrus &amp; plus</t>
        </is>
      </c>
      <c r="D91" s="4093" t="n">
        <v>411140</v>
      </c>
      <c r="E91" s="4093">
        <f>CONCATENATE(D91," - ",C91)</f>
        <v/>
      </c>
      <c r="F91" s="4094" t="n"/>
      <c r="G91" s="4094" t="n"/>
      <c r="H91" s="4094" t="n"/>
      <c r="I91" s="4094" t="n"/>
      <c r="J91" s="4094" t="n"/>
      <c r="K91" s="4094" t="n"/>
      <c r="L91" s="4094" t="n"/>
      <c r="M91" s="4094" t="n"/>
      <c r="N91" s="4094" t="n"/>
      <c r="O91" s="4094" t="n"/>
      <c r="P91" s="4094" t="n"/>
      <c r="Q91" s="4095" t="n"/>
      <c r="R91" s="4094" t="n"/>
      <c r="S91" s="4094" t="n"/>
      <c r="T91" s="4094" t="n"/>
      <c r="U91" s="4094" t="n"/>
      <c r="V91" s="4094" t="n"/>
      <c r="W91" s="4094" t="n"/>
      <c r="X91" s="4094" t="n"/>
      <c r="Y91" s="4094" t="n"/>
      <c r="Z91" s="4094" t="n"/>
      <c r="AA91" s="4094" t="n"/>
      <c r="AB91" s="4094" t="n"/>
      <c r="AC91" s="4095" t="n"/>
      <c r="AD91" s="4094" t="n"/>
      <c r="AE91" s="4094" t="n"/>
      <c r="AF91" s="4094" t="n"/>
      <c r="AG91" s="4094" t="n"/>
      <c r="AH91" s="4094" t="n"/>
      <c r="AI91" s="4094" t="n"/>
      <c r="AJ91" s="4094" t="n"/>
      <c r="AK91" s="4094" t="n"/>
      <c r="AL91" s="4094" t="n"/>
      <c r="AM91" s="4094" t="n"/>
      <c r="AN91" s="4094" t="n"/>
      <c r="AO91" s="4095" t="n"/>
      <c r="AP91" s="4094" t="n">
        <v>94.75906999999999</v>
      </c>
      <c r="AQ91" s="4094" t="n">
        <v>102.80226</v>
      </c>
      <c r="AR91" s="4094" t="n">
        <v>92.65000000000001</v>
      </c>
      <c r="AS91" s="4094" t="n">
        <v>61.56849</v>
      </c>
      <c r="AT91" s="4094" t="n">
        <v>45.97223</v>
      </c>
      <c r="AU91" s="4096" t="n">
        <v>39.06553</v>
      </c>
      <c r="AV91" s="4094">
        <f>SUM(F91:Q91)</f>
        <v/>
      </c>
      <c r="AW91" s="4094">
        <f>SUM(R91:AC91)</f>
        <v/>
      </c>
      <c r="AX91" s="4094">
        <f>SUM(AD91:AO91)</f>
        <v/>
      </c>
      <c r="AY91" s="4094">
        <f>SUM(AH91:AS91)</f>
        <v/>
      </c>
      <c r="AZ91" s="4094">
        <f>SUM(AJ91:AU91)</f>
        <v/>
      </c>
      <c r="BA91" s="3737" t="n"/>
      <c r="BB91" s="4097">
        <f>IFERROR(F91/F$117,0)</f>
        <v/>
      </c>
      <c r="BC91" s="4097">
        <f>IFERROR(G91/G$117,0)</f>
        <v/>
      </c>
      <c r="BD91" s="4097">
        <f>IFERROR(H91/H$117,0)</f>
        <v/>
      </c>
      <c r="BE91" s="4097">
        <f>IFERROR(I91/I$117,0)</f>
        <v/>
      </c>
      <c r="BF91" s="4097">
        <f>IFERROR(J91/J$117,0)</f>
        <v/>
      </c>
      <c r="BG91" s="4097">
        <f>IFERROR(K91/K$117,0)</f>
        <v/>
      </c>
      <c r="BH91" s="4097">
        <f>IFERROR(L91/L$117,0)</f>
        <v/>
      </c>
      <c r="BI91" s="4097">
        <f>IFERROR(M91/M$117,0)</f>
        <v/>
      </c>
      <c r="BJ91" s="4097">
        <f>IFERROR(N91/N$117,0)</f>
        <v/>
      </c>
      <c r="BK91" s="4097">
        <f>IFERROR(O91/O$117,0)</f>
        <v/>
      </c>
      <c r="BL91" s="4097">
        <f>IFERROR(P91/P$117,0)</f>
        <v/>
      </c>
      <c r="BM91" s="4098">
        <f>IFERROR(Q91/Q$117,0)</f>
        <v/>
      </c>
      <c r="BN91" s="4097">
        <f>IFERROR(R91/R$117,0)</f>
        <v/>
      </c>
      <c r="BO91" s="4097">
        <f>IFERROR(S91/S$117,0)</f>
        <v/>
      </c>
      <c r="BP91" s="4097">
        <f>IFERROR(T91/T$117,0)</f>
        <v/>
      </c>
      <c r="BQ91" s="4097">
        <f>IFERROR(U91/U$117,0)</f>
        <v/>
      </c>
      <c r="BR91" s="4097">
        <f>IFERROR(V91/V$117,0)</f>
        <v/>
      </c>
      <c r="BS91" s="4097">
        <f>IFERROR(W91/W$117,0)</f>
        <v/>
      </c>
      <c r="BT91" s="4097">
        <f>IFERROR(X91/X$117,0)</f>
        <v/>
      </c>
      <c r="BU91" s="4097">
        <f>IFERROR(Y91/Y$117,0)</f>
        <v/>
      </c>
      <c r="BV91" s="4097">
        <f>IFERROR(Z91/Z$117,0)</f>
        <v/>
      </c>
      <c r="BW91" s="4097">
        <f>IFERROR(AA91/AA$117,0)</f>
        <v/>
      </c>
      <c r="BX91" s="4097">
        <f>IFERROR(AB91/AB$117,0)</f>
        <v/>
      </c>
      <c r="BY91" s="4098">
        <f>IFERROR(AC91/AC$117,0)</f>
        <v/>
      </c>
      <c r="BZ91" s="4097">
        <f>IFERROR(AD91/AD$117,0)</f>
        <v/>
      </c>
      <c r="CA91" s="4097">
        <f>IFERROR(AE91/AE$117,0)</f>
        <v/>
      </c>
      <c r="CB91" s="4097">
        <f>IFERROR(AF91/AF$117,0)</f>
        <v/>
      </c>
      <c r="CC91" s="4097">
        <f>IFERROR(AG91/AG$117,0)</f>
        <v/>
      </c>
      <c r="CD91" s="4097">
        <f>IFERROR(AH91/AH$117,0)</f>
        <v/>
      </c>
      <c r="CE91" s="4097">
        <f>IFERROR(AI91/AI$117,0)</f>
        <v/>
      </c>
      <c r="CF91" s="4097">
        <f>IFERROR(AJ91/AJ$117,0)</f>
        <v/>
      </c>
      <c r="CG91" s="4097">
        <f>IFERROR(AK91/AK$117,0)</f>
        <v/>
      </c>
      <c r="CH91" s="4097">
        <f>IFERROR(AL91/AL$117,0)</f>
        <v/>
      </c>
      <c r="CI91" s="4097">
        <f>IFERROR(AM91/AM$117,0)</f>
        <v/>
      </c>
      <c r="CJ91" s="4097">
        <f>IFERROR(AN91/AN$117,0)</f>
        <v/>
      </c>
      <c r="CK91" s="4098">
        <f>IFERROR(AO91/AO$117,0)</f>
        <v/>
      </c>
      <c r="CL91" s="4097">
        <f>IFERROR(AP91/AP$117,0)</f>
        <v/>
      </c>
      <c r="CM91" s="4097">
        <f>IFERROR(AQ91/AQ$117,0)</f>
        <v/>
      </c>
      <c r="CN91" s="4097">
        <f>IFERROR(AR91/AR$117,0)</f>
        <v/>
      </c>
      <c r="CO91" s="4097">
        <f>IFERROR(AS91/AS$117,0)</f>
        <v/>
      </c>
      <c r="CP91" s="4097">
        <f>IFERROR(AT91/AT$117,0)</f>
        <v/>
      </c>
      <c r="CQ91" s="4099">
        <f>IFERROR(AU91/AU$117,0)</f>
        <v/>
      </c>
      <c r="CR91" s="4097">
        <f>IFERROR(AV91/AV$117,0)</f>
        <v/>
      </c>
      <c r="CS91" s="4097">
        <f>IFERROR(AW91/AW$117,0)</f>
        <v/>
      </c>
      <c r="CT91" s="4097">
        <f>IFERROR(AX91/AX$117,0)</f>
        <v/>
      </c>
      <c r="CU91" s="4097">
        <f>IFERROR(AY91/AY$117,0)</f>
        <v/>
      </c>
      <c r="CV91" s="4097">
        <f>IFERROR(AZ91/AZ$117,0)</f>
        <v/>
      </c>
      <c r="CW91" s="3737" t="n"/>
      <c r="CX91" s="4094" t="n">
        <v>629.47136</v>
      </c>
    </row>
    <row r="92" hidden="1" outlineLevel="2" ht="12" customFormat="1" customHeight="1" s="3737">
      <c r="A92" s="4059" t="n"/>
      <c r="B92" s="4060" t="n"/>
      <c r="C92" s="4109" t="inlineStr">
        <is>
          <t>Issuer interchange - co-badged- debit mc</t>
        </is>
      </c>
      <c r="D92" s="4093" t="n">
        <v>411148</v>
      </c>
      <c r="E92" s="4093">
        <f>CONCATENATE(D92," - ",C92)</f>
        <v/>
      </c>
      <c r="F92" s="4094" t="n"/>
      <c r="G92" s="4094" t="n"/>
      <c r="H92" s="4094" t="n"/>
      <c r="I92" s="4094" t="n"/>
      <c r="J92" s="4094" t="n"/>
      <c r="K92" s="4094" t="n"/>
      <c r="L92" s="4094" t="n"/>
      <c r="M92" s="4094" t="n"/>
      <c r="N92" s="4094" t="n"/>
      <c r="O92" s="4094" t="n"/>
      <c r="P92" s="4094" t="n"/>
      <c r="Q92" s="4095" t="n"/>
      <c r="R92" s="4094" t="n"/>
      <c r="S92" s="4094" t="n"/>
      <c r="T92" s="4094" t="n"/>
      <c r="U92" s="4094" t="n"/>
      <c r="V92" s="4094" t="n"/>
      <c r="W92" s="4094" t="n"/>
      <c r="X92" s="4094" t="n"/>
      <c r="Y92" s="4094" t="n"/>
      <c r="Z92" s="4094" t="n"/>
      <c r="AA92" s="4094" t="n"/>
      <c r="AB92" s="4094" t="n"/>
      <c r="AC92" s="4095" t="n"/>
      <c r="AD92" s="4094" t="n"/>
      <c r="AE92" s="4094" t="n"/>
      <c r="AF92" s="4094" t="n"/>
      <c r="AG92" s="4094" t="n"/>
      <c r="AH92" s="4094" t="n"/>
      <c r="AI92" s="4094" t="n"/>
      <c r="AJ92" s="4094" t="n"/>
      <c r="AK92" s="4094" t="n"/>
      <c r="AL92" s="4094" t="n"/>
      <c r="AM92" s="4094" t="n"/>
      <c r="AN92" s="4094" t="n"/>
      <c r="AO92" s="4095" t="n"/>
      <c r="AP92" s="4094" t="n">
        <v>35.99257</v>
      </c>
      <c r="AQ92" s="4094" t="n">
        <v>17.1001</v>
      </c>
      <c r="AR92" s="4094" t="n">
        <v>32.46535</v>
      </c>
      <c r="AS92" s="4094" t="n">
        <v>31.685</v>
      </c>
      <c r="AT92" s="4094" t="n">
        <v>44.7716</v>
      </c>
      <c r="AU92" s="4096" t="n">
        <v>26.62719</v>
      </c>
      <c r="AV92" s="4094">
        <f>SUM(F92:Q92)</f>
        <v/>
      </c>
      <c r="AW92" s="4094">
        <f>SUM(R92:AC92)</f>
        <v/>
      </c>
      <c r="AX92" s="4094">
        <f>SUM(AD92:AO92)</f>
        <v/>
      </c>
      <c r="AY92" s="4094">
        <f>SUM(AH92:AS92)</f>
        <v/>
      </c>
      <c r="AZ92" s="4094">
        <f>SUM(AJ92:AU92)</f>
        <v/>
      </c>
      <c r="BA92" s="3737" t="n"/>
      <c r="BB92" s="4097">
        <f>IFERROR(F92/F$117,0)</f>
        <v/>
      </c>
      <c r="BC92" s="4097">
        <f>IFERROR(G92/G$117,0)</f>
        <v/>
      </c>
      <c r="BD92" s="4097">
        <f>IFERROR(H92/H$117,0)</f>
        <v/>
      </c>
      <c r="BE92" s="4097">
        <f>IFERROR(I92/I$117,0)</f>
        <v/>
      </c>
      <c r="BF92" s="4097">
        <f>IFERROR(J92/J$117,0)</f>
        <v/>
      </c>
      <c r="BG92" s="4097">
        <f>IFERROR(K92/K$117,0)</f>
        <v/>
      </c>
      <c r="BH92" s="4097">
        <f>IFERROR(L92/L$117,0)</f>
        <v/>
      </c>
      <c r="BI92" s="4097">
        <f>IFERROR(M92/M$117,0)</f>
        <v/>
      </c>
      <c r="BJ92" s="4097">
        <f>IFERROR(N92/N$117,0)</f>
        <v/>
      </c>
      <c r="BK92" s="4097">
        <f>IFERROR(O92/O$117,0)</f>
        <v/>
      </c>
      <c r="BL92" s="4097">
        <f>IFERROR(P92/P$117,0)</f>
        <v/>
      </c>
      <c r="BM92" s="4098">
        <f>IFERROR(Q92/Q$117,0)</f>
        <v/>
      </c>
      <c r="BN92" s="4097">
        <f>IFERROR(R92/R$117,0)</f>
        <v/>
      </c>
      <c r="BO92" s="4097">
        <f>IFERROR(S92/S$117,0)</f>
        <v/>
      </c>
      <c r="BP92" s="4097">
        <f>IFERROR(T92/T$117,0)</f>
        <v/>
      </c>
      <c r="BQ92" s="4097">
        <f>IFERROR(U92/U$117,0)</f>
        <v/>
      </c>
      <c r="BR92" s="4097">
        <f>IFERROR(V92/V$117,0)</f>
        <v/>
      </c>
      <c r="BS92" s="4097">
        <f>IFERROR(W92/W$117,0)</f>
        <v/>
      </c>
      <c r="BT92" s="4097">
        <f>IFERROR(X92/X$117,0)</f>
        <v/>
      </c>
      <c r="BU92" s="4097">
        <f>IFERROR(Y92/Y$117,0)</f>
        <v/>
      </c>
      <c r="BV92" s="4097">
        <f>IFERROR(Z92/Z$117,0)</f>
        <v/>
      </c>
      <c r="BW92" s="4097">
        <f>IFERROR(AA92/AA$117,0)</f>
        <v/>
      </c>
      <c r="BX92" s="4097">
        <f>IFERROR(AB92/AB$117,0)</f>
        <v/>
      </c>
      <c r="BY92" s="4098">
        <f>IFERROR(AC92/AC$117,0)</f>
        <v/>
      </c>
      <c r="BZ92" s="4097">
        <f>IFERROR(AD92/AD$117,0)</f>
        <v/>
      </c>
      <c r="CA92" s="4097">
        <f>IFERROR(AE92/AE$117,0)</f>
        <v/>
      </c>
      <c r="CB92" s="4097">
        <f>IFERROR(AF92/AF$117,0)</f>
        <v/>
      </c>
      <c r="CC92" s="4097">
        <f>IFERROR(AG92/AG$117,0)</f>
        <v/>
      </c>
      <c r="CD92" s="4097">
        <f>IFERROR(AH92/AH$117,0)</f>
        <v/>
      </c>
      <c r="CE92" s="4097">
        <f>IFERROR(AI92/AI$117,0)</f>
        <v/>
      </c>
      <c r="CF92" s="4097">
        <f>IFERROR(AJ92/AJ$117,0)</f>
        <v/>
      </c>
      <c r="CG92" s="4097">
        <f>IFERROR(AK92/AK$117,0)</f>
        <v/>
      </c>
      <c r="CH92" s="4097">
        <f>IFERROR(AL92/AL$117,0)</f>
        <v/>
      </c>
      <c r="CI92" s="4097">
        <f>IFERROR(AM92/AM$117,0)</f>
        <v/>
      </c>
      <c r="CJ92" s="4097">
        <f>IFERROR(AN92/AN$117,0)</f>
        <v/>
      </c>
      <c r="CK92" s="4098">
        <f>IFERROR(AO92/AO$117,0)</f>
        <v/>
      </c>
      <c r="CL92" s="4097">
        <f>IFERROR(AP92/AP$117,0)</f>
        <v/>
      </c>
      <c r="CM92" s="4097">
        <f>IFERROR(AQ92/AQ$117,0)</f>
        <v/>
      </c>
      <c r="CN92" s="4097">
        <f>IFERROR(AR92/AR$117,0)</f>
        <v/>
      </c>
      <c r="CO92" s="4097">
        <f>IFERROR(AS92/AS$117,0)</f>
        <v/>
      </c>
      <c r="CP92" s="4097">
        <f>IFERROR(AT92/AT$117,0)</f>
        <v/>
      </c>
      <c r="CQ92" s="4099">
        <f>IFERROR(AU92/AU$117,0)</f>
        <v/>
      </c>
      <c r="CR92" s="4097">
        <f>IFERROR(AV92/AV$117,0)</f>
        <v/>
      </c>
      <c r="CS92" s="4097">
        <f>IFERROR(AW92/AW$117,0)</f>
        <v/>
      </c>
      <c r="CT92" s="4097">
        <f>IFERROR(AX92/AX$117,0)</f>
        <v/>
      </c>
      <c r="CU92" s="4097">
        <f>IFERROR(AY92/AY$117,0)</f>
        <v/>
      </c>
      <c r="CV92" s="4097">
        <f>IFERROR(AZ92/AZ$117,0)</f>
        <v/>
      </c>
      <c r="CW92" s="3737" t="n"/>
      <c r="CX92" s="4094" t="n">
        <v>0</v>
      </c>
    </row>
    <row r="93" hidden="1" outlineLevel="2" ht="12" customFormat="1" customHeight="1" s="3737">
      <c r="A93" s="4059" t="n"/>
      <c r="B93" s="4060" t="n"/>
      <c r="C93" s="4109" t="inlineStr">
        <is>
          <t>Issuer interchange - co-badged- visa debit</t>
        </is>
      </c>
      <c r="D93" s="4093" t="n">
        <v>411144</v>
      </c>
      <c r="E93" s="4093">
        <f>CONCATENATE(D93," - ",C93)</f>
        <v/>
      </c>
      <c r="F93" s="4094" t="n"/>
      <c r="G93" s="4094" t="n"/>
      <c r="H93" s="4094" t="n"/>
      <c r="I93" s="4094" t="n"/>
      <c r="J93" s="4094" t="n"/>
      <c r="K93" s="4094" t="n"/>
      <c r="L93" s="4094" t="n"/>
      <c r="M93" s="4094" t="n"/>
      <c r="N93" s="4094" t="n"/>
      <c r="O93" s="4094" t="n"/>
      <c r="P93" s="4094" t="n"/>
      <c r="Q93" s="4095" t="n"/>
      <c r="R93" s="4094" t="n"/>
      <c r="S93" s="4094" t="n"/>
      <c r="T93" s="4094" t="n"/>
      <c r="U93" s="4094" t="n"/>
      <c r="V93" s="4094" t="n"/>
      <c r="W93" s="4094" t="n"/>
      <c r="X93" s="4094" t="n"/>
      <c r="Y93" s="4094" t="n"/>
      <c r="Z93" s="4094" t="n"/>
      <c r="AA93" s="4094" t="n"/>
      <c r="AB93" s="4094" t="n"/>
      <c r="AC93" s="4095" t="n"/>
      <c r="AD93" s="4094" t="n"/>
      <c r="AE93" s="4094" t="n"/>
      <c r="AF93" s="4094" t="n"/>
      <c r="AG93" s="4094" t="n"/>
      <c r="AH93" s="4094" t="n"/>
      <c r="AI93" s="4094" t="n"/>
      <c r="AJ93" s="4094" t="n"/>
      <c r="AK93" s="4094" t="n"/>
      <c r="AL93" s="4094" t="n"/>
      <c r="AM93" s="4094" t="n"/>
      <c r="AN93" s="4094" t="n"/>
      <c r="AO93" s="4095" t="n"/>
      <c r="AP93" s="4094" t="n">
        <v>16.02343</v>
      </c>
      <c r="AQ93" s="4094" t="n">
        <v>26.12078</v>
      </c>
      <c r="AR93" s="4094" t="n">
        <v>19.61633</v>
      </c>
      <c r="AS93" s="4094" t="n">
        <v>19.702</v>
      </c>
      <c r="AT93" s="4094" t="n">
        <v>20.55433</v>
      </c>
      <c r="AU93" s="4096" t="n">
        <v>19.6097</v>
      </c>
      <c r="AV93" s="4094">
        <f>SUM(F93:Q93)</f>
        <v/>
      </c>
      <c r="AW93" s="4094">
        <f>SUM(R93:AC93)</f>
        <v/>
      </c>
      <c r="AX93" s="4094">
        <f>SUM(AD93:AO93)</f>
        <v/>
      </c>
      <c r="AY93" s="4094">
        <f>SUM(AH93:AS93)</f>
        <v/>
      </c>
      <c r="AZ93" s="4094">
        <f>SUM(AJ93:AU93)</f>
        <v/>
      </c>
      <c r="BA93" s="3737" t="n"/>
      <c r="BB93" s="4097">
        <f>IFERROR(F93/F$117,0)</f>
        <v/>
      </c>
      <c r="BC93" s="4097">
        <f>IFERROR(G93/G$117,0)</f>
        <v/>
      </c>
      <c r="BD93" s="4097">
        <f>IFERROR(H93/H$117,0)</f>
        <v/>
      </c>
      <c r="BE93" s="4097">
        <f>IFERROR(I93/I$117,0)</f>
        <v/>
      </c>
      <c r="BF93" s="4097">
        <f>IFERROR(J93/J$117,0)</f>
        <v/>
      </c>
      <c r="BG93" s="4097">
        <f>IFERROR(K93/K$117,0)</f>
        <v/>
      </c>
      <c r="BH93" s="4097">
        <f>IFERROR(L93/L$117,0)</f>
        <v/>
      </c>
      <c r="BI93" s="4097">
        <f>IFERROR(M93/M$117,0)</f>
        <v/>
      </c>
      <c r="BJ93" s="4097">
        <f>IFERROR(N93/N$117,0)</f>
        <v/>
      </c>
      <c r="BK93" s="4097">
        <f>IFERROR(O93/O$117,0)</f>
        <v/>
      </c>
      <c r="BL93" s="4097">
        <f>IFERROR(P93/P$117,0)</f>
        <v/>
      </c>
      <c r="BM93" s="4098">
        <f>IFERROR(Q93/Q$117,0)</f>
        <v/>
      </c>
      <c r="BN93" s="4097">
        <f>IFERROR(R93/R$117,0)</f>
        <v/>
      </c>
      <c r="BO93" s="4097">
        <f>IFERROR(S93/S$117,0)</f>
        <v/>
      </c>
      <c r="BP93" s="4097">
        <f>IFERROR(T93/T$117,0)</f>
        <v/>
      </c>
      <c r="BQ93" s="4097">
        <f>IFERROR(U93/U$117,0)</f>
        <v/>
      </c>
      <c r="BR93" s="4097">
        <f>IFERROR(V93/V$117,0)</f>
        <v/>
      </c>
      <c r="BS93" s="4097">
        <f>IFERROR(W93/W$117,0)</f>
        <v/>
      </c>
      <c r="BT93" s="4097">
        <f>IFERROR(X93/X$117,0)</f>
        <v/>
      </c>
      <c r="BU93" s="4097">
        <f>IFERROR(Y93/Y$117,0)</f>
        <v/>
      </c>
      <c r="BV93" s="4097">
        <f>IFERROR(Z93/Z$117,0)</f>
        <v/>
      </c>
      <c r="BW93" s="4097">
        <f>IFERROR(AA93/AA$117,0)</f>
        <v/>
      </c>
      <c r="BX93" s="4097">
        <f>IFERROR(AB93/AB$117,0)</f>
        <v/>
      </c>
      <c r="BY93" s="4098">
        <f>IFERROR(AC93/AC$117,0)</f>
        <v/>
      </c>
      <c r="BZ93" s="4097">
        <f>IFERROR(AD93/AD$117,0)</f>
        <v/>
      </c>
      <c r="CA93" s="4097">
        <f>IFERROR(AE93/AE$117,0)</f>
        <v/>
      </c>
      <c r="CB93" s="4097">
        <f>IFERROR(AF93/AF$117,0)</f>
        <v/>
      </c>
      <c r="CC93" s="4097">
        <f>IFERROR(AG93/AG$117,0)</f>
        <v/>
      </c>
      <c r="CD93" s="4097">
        <f>IFERROR(AH93/AH$117,0)</f>
        <v/>
      </c>
      <c r="CE93" s="4097">
        <f>IFERROR(AI93/AI$117,0)</f>
        <v/>
      </c>
      <c r="CF93" s="4097">
        <f>IFERROR(AJ93/AJ$117,0)</f>
        <v/>
      </c>
      <c r="CG93" s="4097">
        <f>IFERROR(AK93/AK$117,0)</f>
        <v/>
      </c>
      <c r="CH93" s="4097">
        <f>IFERROR(AL93/AL$117,0)</f>
        <v/>
      </c>
      <c r="CI93" s="4097">
        <f>IFERROR(AM93/AM$117,0)</f>
        <v/>
      </c>
      <c r="CJ93" s="4097">
        <f>IFERROR(AN93/AN$117,0)</f>
        <v/>
      </c>
      <c r="CK93" s="4098">
        <f>IFERROR(AO93/AO$117,0)</f>
        <v/>
      </c>
      <c r="CL93" s="4097">
        <f>IFERROR(AP93/AP$117,0)</f>
        <v/>
      </c>
      <c r="CM93" s="4097">
        <f>IFERROR(AQ93/AQ$117,0)</f>
        <v/>
      </c>
      <c r="CN93" s="4097">
        <f>IFERROR(AR93/AR$117,0)</f>
        <v/>
      </c>
      <c r="CO93" s="4097">
        <f>IFERROR(AS93/AS$117,0)</f>
        <v/>
      </c>
      <c r="CP93" s="4097">
        <f>IFERROR(AT93/AT$117,0)</f>
        <v/>
      </c>
      <c r="CQ93" s="4099">
        <f>IFERROR(AU93/AU$117,0)</f>
        <v/>
      </c>
      <c r="CR93" s="4097">
        <f>IFERROR(AV93/AV$117,0)</f>
        <v/>
      </c>
      <c r="CS93" s="4097">
        <f>IFERROR(AW93/AW$117,0)</f>
        <v/>
      </c>
      <c r="CT93" s="4097">
        <f>IFERROR(AX93/AX$117,0)</f>
        <v/>
      </c>
      <c r="CU93" s="4097">
        <f>IFERROR(AY93/AY$117,0)</f>
        <v/>
      </c>
      <c r="CV93" s="4097">
        <f>IFERROR(AZ93/AZ$117,0)</f>
        <v/>
      </c>
      <c r="CW93" s="3737" t="n"/>
      <c r="CX93" s="4094" t="n">
        <v>0</v>
      </c>
    </row>
    <row r="94" hidden="1" outlineLevel="2" ht="12" customFormat="1" customHeight="1" s="3737">
      <c r="A94" s="4059" t="n"/>
      <c r="B94" s="4060" t="n"/>
      <c r="C94" s="4109" t="inlineStr">
        <is>
          <t>Optional issuer fee revenue - dma</t>
        </is>
      </c>
      <c r="D94" s="4093" t="n">
        <v>411149</v>
      </c>
      <c r="E94" s="4093">
        <f>CONCATENATE(D94," - ",C94)</f>
        <v/>
      </c>
      <c r="F94" s="4094" t="n"/>
      <c r="G94" s="4094" t="n"/>
      <c r="H94" s="4094" t="n"/>
      <c r="I94" s="4094" t="n"/>
      <c r="J94" s="4094" t="n"/>
      <c r="K94" s="4094" t="n"/>
      <c r="L94" s="4094" t="n"/>
      <c r="M94" s="4094" t="n"/>
      <c r="N94" s="4094" t="n"/>
      <c r="O94" s="4094" t="n"/>
      <c r="P94" s="4094" t="n"/>
      <c r="Q94" s="4095" t="n"/>
      <c r="R94" s="4094" t="n"/>
      <c r="S94" s="4094" t="n"/>
      <c r="T94" s="4094" t="n"/>
      <c r="U94" s="4094" t="n"/>
      <c r="V94" s="4094" t="n"/>
      <c r="W94" s="4094" t="n"/>
      <c r="X94" s="4094" t="n"/>
      <c r="Y94" s="4094" t="n"/>
      <c r="Z94" s="4094" t="n"/>
      <c r="AA94" s="4094" t="n"/>
      <c r="AB94" s="4094" t="n"/>
      <c r="AC94" s="4095" t="n"/>
      <c r="AD94" s="4094" t="n"/>
      <c r="AE94" s="4094" t="n"/>
      <c r="AF94" s="4094" t="n"/>
      <c r="AG94" s="4094" t="n"/>
      <c r="AH94" s="4094" t="n"/>
      <c r="AI94" s="4094" t="n"/>
      <c r="AJ94" s="4094" t="n"/>
      <c r="AK94" s="4094" t="n"/>
      <c r="AL94" s="4094" t="n"/>
      <c r="AM94" s="4094" t="n"/>
      <c r="AN94" s="4094" t="n"/>
      <c r="AO94" s="4095" t="n"/>
      <c r="AP94" s="4094" t="n">
        <v>19.78337</v>
      </c>
      <c r="AQ94" s="4094" t="n">
        <v>20.35154</v>
      </c>
      <c r="AR94" s="4094" t="n">
        <v>20.35154</v>
      </c>
      <c r="AS94" s="4094" t="n">
        <v>7.28538</v>
      </c>
      <c r="AT94" s="4094" t="n">
        <v>41.58015</v>
      </c>
      <c r="AU94" s="4096" t="n">
        <v>18.57777</v>
      </c>
      <c r="AV94" s="4094">
        <f>SUM(F94:Q94)</f>
        <v/>
      </c>
      <c r="AW94" s="4094">
        <f>SUM(R94:AC94)</f>
        <v/>
      </c>
      <c r="AX94" s="4094">
        <f>SUM(AD94:AO94)</f>
        <v/>
      </c>
      <c r="AY94" s="4094">
        <f>SUM(AH94:AS94)</f>
        <v/>
      </c>
      <c r="AZ94" s="4094">
        <f>SUM(AJ94:AU94)</f>
        <v/>
      </c>
      <c r="BA94" s="3737" t="n"/>
      <c r="BB94" s="4097">
        <f>IFERROR(F94/F$117,0)</f>
        <v/>
      </c>
      <c r="BC94" s="4097">
        <f>IFERROR(G94/G$117,0)</f>
        <v/>
      </c>
      <c r="BD94" s="4097">
        <f>IFERROR(H94/H$117,0)</f>
        <v/>
      </c>
      <c r="BE94" s="4097">
        <f>IFERROR(I94/I$117,0)</f>
        <v/>
      </c>
      <c r="BF94" s="4097">
        <f>IFERROR(J94/J$117,0)</f>
        <v/>
      </c>
      <c r="BG94" s="4097">
        <f>IFERROR(K94/K$117,0)</f>
        <v/>
      </c>
      <c r="BH94" s="4097">
        <f>IFERROR(L94/L$117,0)</f>
        <v/>
      </c>
      <c r="BI94" s="4097">
        <f>IFERROR(M94/M$117,0)</f>
        <v/>
      </c>
      <c r="BJ94" s="4097">
        <f>IFERROR(N94/N$117,0)</f>
        <v/>
      </c>
      <c r="BK94" s="4097">
        <f>IFERROR(O94/O$117,0)</f>
        <v/>
      </c>
      <c r="BL94" s="4097">
        <f>IFERROR(P94/P$117,0)</f>
        <v/>
      </c>
      <c r="BM94" s="4098">
        <f>IFERROR(Q94/Q$117,0)</f>
        <v/>
      </c>
      <c r="BN94" s="4097">
        <f>IFERROR(R94/R$117,0)</f>
        <v/>
      </c>
      <c r="BO94" s="4097">
        <f>IFERROR(S94/S$117,0)</f>
        <v/>
      </c>
      <c r="BP94" s="4097">
        <f>IFERROR(T94/T$117,0)</f>
        <v/>
      </c>
      <c r="BQ94" s="4097">
        <f>IFERROR(U94/U$117,0)</f>
        <v/>
      </c>
      <c r="BR94" s="4097">
        <f>IFERROR(V94/V$117,0)</f>
        <v/>
      </c>
      <c r="BS94" s="4097">
        <f>IFERROR(W94/W$117,0)</f>
        <v/>
      </c>
      <c r="BT94" s="4097">
        <f>IFERROR(X94/X$117,0)</f>
        <v/>
      </c>
      <c r="BU94" s="4097">
        <f>IFERROR(Y94/Y$117,0)</f>
        <v/>
      </c>
      <c r="BV94" s="4097">
        <f>IFERROR(Z94/Z$117,0)</f>
        <v/>
      </c>
      <c r="BW94" s="4097">
        <f>IFERROR(AA94/AA$117,0)</f>
        <v/>
      </c>
      <c r="BX94" s="4097">
        <f>IFERROR(AB94/AB$117,0)</f>
        <v/>
      </c>
      <c r="BY94" s="4098">
        <f>IFERROR(AC94/AC$117,0)</f>
        <v/>
      </c>
      <c r="BZ94" s="4097">
        <f>IFERROR(AD94/AD$117,0)</f>
        <v/>
      </c>
      <c r="CA94" s="4097">
        <f>IFERROR(AE94/AE$117,0)</f>
        <v/>
      </c>
      <c r="CB94" s="4097">
        <f>IFERROR(AF94/AF$117,0)</f>
        <v/>
      </c>
      <c r="CC94" s="4097">
        <f>IFERROR(AG94/AG$117,0)</f>
        <v/>
      </c>
      <c r="CD94" s="4097">
        <f>IFERROR(AH94/AH$117,0)</f>
        <v/>
      </c>
      <c r="CE94" s="4097">
        <f>IFERROR(AI94/AI$117,0)</f>
        <v/>
      </c>
      <c r="CF94" s="4097">
        <f>IFERROR(AJ94/AJ$117,0)</f>
        <v/>
      </c>
      <c r="CG94" s="4097">
        <f>IFERROR(AK94/AK$117,0)</f>
        <v/>
      </c>
      <c r="CH94" s="4097">
        <f>IFERROR(AL94/AL$117,0)</f>
        <v/>
      </c>
      <c r="CI94" s="4097">
        <f>IFERROR(AM94/AM$117,0)</f>
        <v/>
      </c>
      <c r="CJ94" s="4097">
        <f>IFERROR(AN94/AN$117,0)</f>
        <v/>
      </c>
      <c r="CK94" s="4098">
        <f>IFERROR(AO94/AO$117,0)</f>
        <v/>
      </c>
      <c r="CL94" s="4097">
        <f>IFERROR(AP94/AP$117,0)</f>
        <v/>
      </c>
      <c r="CM94" s="4097">
        <f>IFERROR(AQ94/AQ$117,0)</f>
        <v/>
      </c>
      <c r="CN94" s="4097">
        <f>IFERROR(AR94/AR$117,0)</f>
        <v/>
      </c>
      <c r="CO94" s="4097">
        <f>IFERROR(AS94/AS$117,0)</f>
        <v/>
      </c>
      <c r="CP94" s="4097">
        <f>IFERROR(AT94/AT$117,0)</f>
        <v/>
      </c>
      <c r="CQ94" s="4099">
        <f>IFERROR(AU94/AU$117,0)</f>
        <v/>
      </c>
      <c r="CR94" s="4097">
        <f>IFERROR(AV94/AV$117,0)</f>
        <v/>
      </c>
      <c r="CS94" s="4097">
        <f>IFERROR(AW94/AW$117,0)</f>
        <v/>
      </c>
      <c r="CT94" s="4097">
        <f>IFERROR(AX94/AX$117,0)</f>
        <v/>
      </c>
      <c r="CU94" s="4097">
        <f>IFERROR(AY94/AY$117,0)</f>
        <v/>
      </c>
      <c r="CV94" s="4097">
        <f>IFERROR(AZ94/AZ$117,0)</f>
        <v/>
      </c>
      <c r="CW94" s="3737" t="n"/>
      <c r="CX94" s="4094" t="n">
        <v>0</v>
      </c>
    </row>
    <row r="95" hidden="1" outlineLevel="2" ht="12" customFormat="1" customHeight="1" s="3737">
      <c r="A95" s="4059" t="n"/>
      <c r="B95" s="4060" t="n"/>
      <c r="C95" s="4109" t="inlineStr">
        <is>
          <t>Optional issuer fee revenue - maestro</t>
        </is>
      </c>
      <c r="D95" s="4093" t="n">
        <v>411141</v>
      </c>
      <c r="E95" s="4093">
        <f>CONCATENATE(D95," - ",C95)</f>
        <v/>
      </c>
      <c r="F95" s="4094" t="n"/>
      <c r="G95" s="4094" t="n"/>
      <c r="H95" s="4094" t="n"/>
      <c r="I95" s="4094" t="n"/>
      <c r="J95" s="4094" t="n"/>
      <c r="K95" s="4094" t="n"/>
      <c r="L95" s="4094" t="n"/>
      <c r="M95" s="4094" t="n"/>
      <c r="N95" s="4094" t="n"/>
      <c r="O95" s="4094" t="n"/>
      <c r="P95" s="4094" t="n"/>
      <c r="Q95" s="4095" t="n"/>
      <c r="R95" s="4094" t="n"/>
      <c r="S95" s="4094" t="n"/>
      <c r="T95" s="4094" t="n"/>
      <c r="U95" s="4094" t="n"/>
      <c r="V95" s="4094" t="n"/>
      <c r="W95" s="4094" t="n"/>
      <c r="X95" s="4094" t="n"/>
      <c r="Y95" s="4094" t="n"/>
      <c r="Z95" s="4094" t="n"/>
      <c r="AA95" s="4094" t="n"/>
      <c r="AB95" s="4094" t="n"/>
      <c r="AC95" s="4095" t="n"/>
      <c r="AD95" s="4094" t="n"/>
      <c r="AE95" s="4094" t="n"/>
      <c r="AF95" s="4094" t="n"/>
      <c r="AG95" s="4094" t="n"/>
      <c r="AH95" s="4094" t="n"/>
      <c r="AI95" s="4094" t="n"/>
      <c r="AJ95" s="4094" t="n"/>
      <c r="AK95" s="4094" t="n"/>
      <c r="AL95" s="4094" t="n"/>
      <c r="AM95" s="4094" t="n"/>
      <c r="AN95" s="4094" t="n"/>
      <c r="AO95" s="4095" t="n"/>
      <c r="AP95" s="4094" t="n">
        <v>9.465070000000001</v>
      </c>
      <c r="AQ95" s="4094" t="n">
        <v>10.6718</v>
      </c>
      <c r="AR95" s="4094" t="n">
        <v>12.131</v>
      </c>
      <c r="AS95" s="4094" t="n">
        <v>11.02484</v>
      </c>
      <c r="AT95" s="4094" t="n">
        <v>9.52895</v>
      </c>
      <c r="AU95" s="4096" t="n">
        <v>8.184480000000001</v>
      </c>
      <c r="AV95" s="4094">
        <f>SUM(F95:Q95)</f>
        <v/>
      </c>
      <c r="AW95" s="4094">
        <f>SUM(R95:AC95)</f>
        <v/>
      </c>
      <c r="AX95" s="4094">
        <f>SUM(AD95:AO95)</f>
        <v/>
      </c>
      <c r="AY95" s="4094">
        <f>SUM(AH95:AS95)</f>
        <v/>
      </c>
      <c r="AZ95" s="4094">
        <f>SUM(AJ95:AU95)</f>
        <v/>
      </c>
      <c r="BA95" s="3737" t="n"/>
      <c r="BB95" s="4097">
        <f>IFERROR(F95/F$117,0)</f>
        <v/>
      </c>
      <c r="BC95" s="4097">
        <f>IFERROR(G95/G$117,0)</f>
        <v/>
      </c>
      <c r="BD95" s="4097">
        <f>IFERROR(H95/H$117,0)</f>
        <v/>
      </c>
      <c r="BE95" s="4097">
        <f>IFERROR(I95/I$117,0)</f>
        <v/>
      </c>
      <c r="BF95" s="4097">
        <f>IFERROR(J95/J$117,0)</f>
        <v/>
      </c>
      <c r="BG95" s="4097">
        <f>IFERROR(K95/K$117,0)</f>
        <v/>
      </c>
      <c r="BH95" s="4097">
        <f>IFERROR(L95/L$117,0)</f>
        <v/>
      </c>
      <c r="BI95" s="4097">
        <f>IFERROR(M95/M$117,0)</f>
        <v/>
      </c>
      <c r="BJ95" s="4097">
        <f>IFERROR(N95/N$117,0)</f>
        <v/>
      </c>
      <c r="BK95" s="4097">
        <f>IFERROR(O95/O$117,0)</f>
        <v/>
      </c>
      <c r="BL95" s="4097">
        <f>IFERROR(P95/P$117,0)</f>
        <v/>
      </c>
      <c r="BM95" s="4098">
        <f>IFERROR(Q95/Q$117,0)</f>
        <v/>
      </c>
      <c r="BN95" s="4097">
        <f>IFERROR(R95/R$117,0)</f>
        <v/>
      </c>
      <c r="BO95" s="4097">
        <f>IFERROR(S95/S$117,0)</f>
        <v/>
      </c>
      <c r="BP95" s="4097">
        <f>IFERROR(T95/T$117,0)</f>
        <v/>
      </c>
      <c r="BQ95" s="4097">
        <f>IFERROR(U95/U$117,0)</f>
        <v/>
      </c>
      <c r="BR95" s="4097">
        <f>IFERROR(V95/V$117,0)</f>
        <v/>
      </c>
      <c r="BS95" s="4097">
        <f>IFERROR(W95/W$117,0)</f>
        <v/>
      </c>
      <c r="BT95" s="4097">
        <f>IFERROR(X95/X$117,0)</f>
        <v/>
      </c>
      <c r="BU95" s="4097">
        <f>IFERROR(Y95/Y$117,0)</f>
        <v/>
      </c>
      <c r="BV95" s="4097">
        <f>IFERROR(Z95/Z$117,0)</f>
        <v/>
      </c>
      <c r="BW95" s="4097">
        <f>IFERROR(AA95/AA$117,0)</f>
        <v/>
      </c>
      <c r="BX95" s="4097">
        <f>IFERROR(AB95/AB$117,0)</f>
        <v/>
      </c>
      <c r="BY95" s="4098">
        <f>IFERROR(AC95/AC$117,0)</f>
        <v/>
      </c>
      <c r="BZ95" s="4097">
        <f>IFERROR(AD95/AD$117,0)</f>
        <v/>
      </c>
      <c r="CA95" s="4097">
        <f>IFERROR(AE95/AE$117,0)</f>
        <v/>
      </c>
      <c r="CB95" s="4097">
        <f>IFERROR(AF95/AF$117,0)</f>
        <v/>
      </c>
      <c r="CC95" s="4097">
        <f>IFERROR(AG95/AG$117,0)</f>
        <v/>
      </c>
      <c r="CD95" s="4097">
        <f>IFERROR(AH95/AH$117,0)</f>
        <v/>
      </c>
      <c r="CE95" s="4097">
        <f>IFERROR(AI95/AI$117,0)</f>
        <v/>
      </c>
      <c r="CF95" s="4097">
        <f>IFERROR(AJ95/AJ$117,0)</f>
        <v/>
      </c>
      <c r="CG95" s="4097">
        <f>IFERROR(AK95/AK$117,0)</f>
        <v/>
      </c>
      <c r="CH95" s="4097">
        <f>IFERROR(AL95/AL$117,0)</f>
        <v/>
      </c>
      <c r="CI95" s="4097">
        <f>IFERROR(AM95/AM$117,0)</f>
        <v/>
      </c>
      <c r="CJ95" s="4097">
        <f>IFERROR(AN95/AN$117,0)</f>
        <v/>
      </c>
      <c r="CK95" s="4098">
        <f>IFERROR(AO95/AO$117,0)</f>
        <v/>
      </c>
      <c r="CL95" s="4097">
        <f>IFERROR(AP95/AP$117,0)</f>
        <v/>
      </c>
      <c r="CM95" s="4097">
        <f>IFERROR(AQ95/AQ$117,0)</f>
        <v/>
      </c>
      <c r="CN95" s="4097">
        <f>IFERROR(AR95/AR$117,0)</f>
        <v/>
      </c>
      <c r="CO95" s="4097">
        <f>IFERROR(AS95/AS$117,0)</f>
        <v/>
      </c>
      <c r="CP95" s="4097">
        <f>IFERROR(AT95/AT$117,0)</f>
        <v/>
      </c>
      <c r="CQ95" s="4099">
        <f>IFERROR(AU95/AU$117,0)</f>
        <v/>
      </c>
      <c r="CR95" s="4097">
        <f>IFERROR(AV95/AV$117,0)</f>
        <v/>
      </c>
      <c r="CS95" s="4097">
        <f>IFERROR(AW95/AW$117,0)</f>
        <v/>
      </c>
      <c r="CT95" s="4097">
        <f>IFERROR(AX95/AX$117,0)</f>
        <v/>
      </c>
      <c r="CU95" s="4097">
        <f>IFERROR(AY95/AY$117,0)</f>
        <v/>
      </c>
      <c r="CV95" s="4097">
        <f>IFERROR(AZ95/AZ$117,0)</f>
        <v/>
      </c>
      <c r="CW95" s="3737" t="n"/>
      <c r="CX95" s="4094" t="n">
        <v>47.44071</v>
      </c>
    </row>
    <row r="96" hidden="1" outlineLevel="2" ht="12" customFormat="1" customHeight="1" s="3737">
      <c r="A96" s="4059" t="n"/>
      <c r="B96" s="4060" t="n"/>
      <c r="C96" s="4109" t="inlineStr">
        <is>
          <t>Optional issuer fee revenue - dmc</t>
        </is>
      </c>
      <c r="D96" s="4093" t="n">
        <v>411142</v>
      </c>
      <c r="E96" s="4093">
        <f>CONCATENATE(D96," - ",C96)</f>
        <v/>
      </c>
      <c r="F96" s="4094" t="n"/>
      <c r="G96" s="4094" t="n"/>
      <c r="H96" s="4094" t="n"/>
      <c r="I96" s="4094" t="n"/>
      <c r="J96" s="4094" t="n"/>
      <c r="K96" s="4094" t="n"/>
      <c r="L96" s="4094" t="n"/>
      <c r="M96" s="4094" t="n"/>
      <c r="N96" s="4094" t="n"/>
      <c r="O96" s="4094" t="n"/>
      <c r="P96" s="4094" t="n"/>
      <c r="Q96" s="4095" t="n"/>
      <c r="R96" s="4094" t="n"/>
      <c r="S96" s="4094" t="n"/>
      <c r="T96" s="4094" t="n"/>
      <c r="U96" s="4094" t="n"/>
      <c r="V96" s="4094" t="n"/>
      <c r="W96" s="4094" t="n"/>
      <c r="X96" s="4094" t="n"/>
      <c r="Y96" s="4094" t="n"/>
      <c r="Z96" s="4094" t="n"/>
      <c r="AA96" s="4094" t="n"/>
      <c r="AB96" s="4094" t="n"/>
      <c r="AC96" s="4095" t="n"/>
      <c r="AD96" s="4094" t="n"/>
      <c r="AE96" s="4094" t="n"/>
      <c r="AF96" s="4094" t="n"/>
      <c r="AG96" s="4094" t="n"/>
      <c r="AH96" s="4094" t="n"/>
      <c r="AI96" s="4094" t="n"/>
      <c r="AJ96" s="4094" t="n"/>
      <c r="AK96" s="4094" t="n"/>
      <c r="AL96" s="4094" t="n"/>
      <c r="AM96" s="4094" t="n"/>
      <c r="AN96" s="4094" t="n"/>
      <c r="AO96" s="4095" t="n"/>
      <c r="AP96" s="4094" t="n">
        <v>10.70728</v>
      </c>
      <c r="AQ96" s="4094" t="n">
        <v>12.60981</v>
      </c>
      <c r="AR96" s="4094" t="n">
        <v>11.625</v>
      </c>
      <c r="AS96" s="4094" t="n">
        <v>28.62018</v>
      </c>
      <c r="AT96" s="4094" t="n">
        <v>-14.16543</v>
      </c>
      <c r="AU96" s="4096" t="n">
        <v>4.95508</v>
      </c>
      <c r="AV96" s="4094">
        <f>SUM(F96:Q96)</f>
        <v/>
      </c>
      <c r="AW96" s="4094">
        <f>SUM(R96:AC96)</f>
        <v/>
      </c>
      <c r="AX96" s="4094">
        <f>SUM(AD96:AO96)</f>
        <v/>
      </c>
      <c r="AY96" s="4094">
        <f>SUM(AH96:AS96)</f>
        <v/>
      </c>
      <c r="AZ96" s="4094">
        <f>SUM(AJ96:AU96)</f>
        <v/>
      </c>
      <c r="BA96" s="3737" t="n"/>
      <c r="BB96" s="4097">
        <f>IFERROR(F96/F$117,0)</f>
        <v/>
      </c>
      <c r="BC96" s="4097">
        <f>IFERROR(G96/G$117,0)</f>
        <v/>
      </c>
      <c r="BD96" s="4097">
        <f>IFERROR(H96/H$117,0)</f>
        <v/>
      </c>
      <c r="BE96" s="4097">
        <f>IFERROR(I96/I$117,0)</f>
        <v/>
      </c>
      <c r="BF96" s="4097">
        <f>IFERROR(J96/J$117,0)</f>
        <v/>
      </c>
      <c r="BG96" s="4097">
        <f>IFERROR(K96/K$117,0)</f>
        <v/>
      </c>
      <c r="BH96" s="4097">
        <f>IFERROR(L96/L$117,0)</f>
        <v/>
      </c>
      <c r="BI96" s="4097">
        <f>IFERROR(M96/M$117,0)</f>
        <v/>
      </c>
      <c r="BJ96" s="4097">
        <f>IFERROR(N96/N$117,0)</f>
        <v/>
      </c>
      <c r="BK96" s="4097">
        <f>IFERROR(O96/O$117,0)</f>
        <v/>
      </c>
      <c r="BL96" s="4097">
        <f>IFERROR(P96/P$117,0)</f>
        <v/>
      </c>
      <c r="BM96" s="4098">
        <f>IFERROR(Q96/Q$117,0)</f>
        <v/>
      </c>
      <c r="BN96" s="4097">
        <f>IFERROR(R96/R$117,0)</f>
        <v/>
      </c>
      <c r="BO96" s="4097">
        <f>IFERROR(S96/S$117,0)</f>
        <v/>
      </c>
      <c r="BP96" s="4097">
        <f>IFERROR(T96/T$117,0)</f>
        <v/>
      </c>
      <c r="BQ96" s="4097">
        <f>IFERROR(U96/U$117,0)</f>
        <v/>
      </c>
      <c r="BR96" s="4097">
        <f>IFERROR(V96/V$117,0)</f>
        <v/>
      </c>
      <c r="BS96" s="4097">
        <f>IFERROR(W96/W$117,0)</f>
        <v/>
      </c>
      <c r="BT96" s="4097">
        <f>IFERROR(X96/X$117,0)</f>
        <v/>
      </c>
      <c r="BU96" s="4097">
        <f>IFERROR(Y96/Y$117,0)</f>
        <v/>
      </c>
      <c r="BV96" s="4097">
        <f>IFERROR(Z96/Z$117,0)</f>
        <v/>
      </c>
      <c r="BW96" s="4097">
        <f>IFERROR(AA96/AA$117,0)</f>
        <v/>
      </c>
      <c r="BX96" s="4097">
        <f>IFERROR(AB96/AB$117,0)</f>
        <v/>
      </c>
      <c r="BY96" s="4098">
        <f>IFERROR(AC96/AC$117,0)</f>
        <v/>
      </c>
      <c r="BZ96" s="4097">
        <f>IFERROR(AD96/AD$117,0)</f>
        <v/>
      </c>
      <c r="CA96" s="4097">
        <f>IFERROR(AE96/AE$117,0)</f>
        <v/>
      </c>
      <c r="CB96" s="4097">
        <f>IFERROR(AF96/AF$117,0)</f>
        <v/>
      </c>
      <c r="CC96" s="4097">
        <f>IFERROR(AG96/AG$117,0)</f>
        <v/>
      </c>
      <c r="CD96" s="4097">
        <f>IFERROR(AH96/AH$117,0)</f>
        <v/>
      </c>
      <c r="CE96" s="4097">
        <f>IFERROR(AI96/AI$117,0)</f>
        <v/>
      </c>
      <c r="CF96" s="4097">
        <f>IFERROR(AJ96/AJ$117,0)</f>
        <v/>
      </c>
      <c r="CG96" s="4097">
        <f>IFERROR(AK96/AK$117,0)</f>
        <v/>
      </c>
      <c r="CH96" s="4097">
        <f>IFERROR(AL96/AL$117,0)</f>
        <v/>
      </c>
      <c r="CI96" s="4097">
        <f>IFERROR(AM96/AM$117,0)</f>
        <v/>
      </c>
      <c r="CJ96" s="4097">
        <f>IFERROR(AN96/AN$117,0)</f>
        <v/>
      </c>
      <c r="CK96" s="4098">
        <f>IFERROR(AO96/AO$117,0)</f>
        <v/>
      </c>
      <c r="CL96" s="4097">
        <f>IFERROR(AP96/AP$117,0)</f>
        <v/>
      </c>
      <c r="CM96" s="4097">
        <f>IFERROR(AQ96/AQ$117,0)</f>
        <v/>
      </c>
      <c r="CN96" s="4097">
        <f>IFERROR(AR96/AR$117,0)</f>
        <v/>
      </c>
      <c r="CO96" s="4097">
        <f>IFERROR(AS96/AS$117,0)</f>
        <v/>
      </c>
      <c r="CP96" s="4097">
        <f>IFERROR(AT96/AT$117,0)</f>
        <v/>
      </c>
      <c r="CQ96" s="4099">
        <f>IFERROR(AU96/AU$117,0)</f>
        <v/>
      </c>
      <c r="CR96" s="4097">
        <f>IFERROR(AV96/AV$117,0)</f>
        <v/>
      </c>
      <c r="CS96" s="4097">
        <f>IFERROR(AW96/AW$117,0)</f>
        <v/>
      </c>
      <c r="CT96" s="4097">
        <f>IFERROR(AX96/AX$117,0)</f>
        <v/>
      </c>
      <c r="CU96" s="4097">
        <f>IFERROR(AY96/AY$117,0)</f>
        <v/>
      </c>
      <c r="CV96" s="4097">
        <f>IFERROR(AZ96/AZ$117,0)</f>
        <v/>
      </c>
      <c r="CW96" s="3737" t="n"/>
      <c r="CX96" s="4094" t="n">
        <v>38.41831</v>
      </c>
    </row>
    <row r="97" hidden="1" outlineLevel="2" ht="12" customFormat="1" customHeight="1" s="3737">
      <c r="A97" s="4059" t="n"/>
      <c r="B97" s="4060" t="n"/>
      <c r="C97" s="4109" t="inlineStr">
        <is>
          <t>Atm cirrus surcharge sharing</t>
        </is>
      </c>
      <c r="D97" s="4093" t="n">
        <v>411145</v>
      </c>
      <c r="E97" s="4093">
        <f>CONCATENATE(D97," - ",C97)</f>
        <v/>
      </c>
      <c r="F97" s="4094" t="n"/>
      <c r="G97" s="4094" t="n"/>
      <c r="H97" s="4094" t="n"/>
      <c r="I97" s="4094" t="n"/>
      <c r="J97" s="4094" t="n"/>
      <c r="K97" s="4094" t="n"/>
      <c r="L97" s="4094" t="n"/>
      <c r="M97" s="4094" t="n"/>
      <c r="N97" s="4094" t="n"/>
      <c r="O97" s="4094" t="n"/>
      <c r="P97" s="4094" t="n"/>
      <c r="Q97" s="4095" t="n"/>
      <c r="R97" s="4094" t="n"/>
      <c r="S97" s="4094" t="n"/>
      <c r="T97" s="4094" t="n"/>
      <c r="U97" s="4094" t="n"/>
      <c r="V97" s="4094" t="n"/>
      <c r="W97" s="4094" t="n"/>
      <c r="X97" s="4094" t="n"/>
      <c r="Y97" s="4094" t="n"/>
      <c r="Z97" s="4094" t="n"/>
      <c r="AA97" s="4094" t="n"/>
      <c r="AB97" s="4094" t="n"/>
      <c r="AC97" s="4095" t="n"/>
      <c r="AD97" s="4094" t="n"/>
      <c r="AE97" s="4094" t="n"/>
      <c r="AF97" s="4094" t="n"/>
      <c r="AG97" s="4094" t="n"/>
      <c r="AH97" s="4094" t="n"/>
      <c r="AI97" s="4094" t="n"/>
      <c r="AJ97" s="4094" t="n"/>
      <c r="AK97" s="4094" t="n"/>
      <c r="AL97" s="4094" t="n"/>
      <c r="AM97" s="4094" t="n"/>
      <c r="AN97" s="4094" t="n"/>
      <c r="AO97" s="4095" t="n"/>
      <c r="AP97" s="4094" t="n">
        <v>6.6137</v>
      </c>
      <c r="AQ97" s="4094" t="n">
        <v>7.30368</v>
      </c>
      <c r="AR97" s="4094" t="n">
        <v>8.53708</v>
      </c>
      <c r="AS97" s="4094" t="n">
        <v>8.3932</v>
      </c>
      <c r="AT97" s="4094" t="n">
        <v>9.09324</v>
      </c>
      <c r="AU97" s="4096" t="n">
        <v>9.34497</v>
      </c>
      <c r="AV97" s="4094">
        <f>SUM(F97:Q97)</f>
        <v/>
      </c>
      <c r="AW97" s="4094">
        <f>SUM(R97:AC97)</f>
        <v/>
      </c>
      <c r="AX97" s="4094">
        <f>SUM(AD97:AO97)</f>
        <v/>
      </c>
      <c r="AY97" s="4094">
        <f>SUM(AH97:AS97)</f>
        <v/>
      </c>
      <c r="AZ97" s="4094">
        <f>SUM(AJ97:AU97)</f>
        <v/>
      </c>
      <c r="BA97" s="3737" t="n"/>
      <c r="BB97" s="4097">
        <f>IFERROR(F97/F$117,0)</f>
        <v/>
      </c>
      <c r="BC97" s="4097">
        <f>IFERROR(G97/G$117,0)</f>
        <v/>
      </c>
      <c r="BD97" s="4097">
        <f>IFERROR(H97/H$117,0)</f>
        <v/>
      </c>
      <c r="BE97" s="4097">
        <f>IFERROR(I97/I$117,0)</f>
        <v/>
      </c>
      <c r="BF97" s="4097">
        <f>IFERROR(J97/J$117,0)</f>
        <v/>
      </c>
      <c r="BG97" s="4097">
        <f>IFERROR(K97/K$117,0)</f>
        <v/>
      </c>
      <c r="BH97" s="4097">
        <f>IFERROR(L97/L$117,0)</f>
        <v/>
      </c>
      <c r="BI97" s="4097">
        <f>IFERROR(M97/M$117,0)</f>
        <v/>
      </c>
      <c r="BJ97" s="4097">
        <f>IFERROR(N97/N$117,0)</f>
        <v/>
      </c>
      <c r="BK97" s="4097">
        <f>IFERROR(O97/O$117,0)</f>
        <v/>
      </c>
      <c r="BL97" s="4097">
        <f>IFERROR(P97/P$117,0)</f>
        <v/>
      </c>
      <c r="BM97" s="4098">
        <f>IFERROR(Q97/Q$117,0)</f>
        <v/>
      </c>
      <c r="BN97" s="4097">
        <f>IFERROR(R97/R$117,0)</f>
        <v/>
      </c>
      <c r="BO97" s="4097">
        <f>IFERROR(S97/S$117,0)</f>
        <v/>
      </c>
      <c r="BP97" s="4097">
        <f>IFERROR(T97/T$117,0)</f>
        <v/>
      </c>
      <c r="BQ97" s="4097">
        <f>IFERROR(U97/U$117,0)</f>
        <v/>
      </c>
      <c r="BR97" s="4097">
        <f>IFERROR(V97/V$117,0)</f>
        <v/>
      </c>
      <c r="BS97" s="4097">
        <f>IFERROR(W97/W$117,0)</f>
        <v/>
      </c>
      <c r="BT97" s="4097">
        <f>IFERROR(X97/X$117,0)</f>
        <v/>
      </c>
      <c r="BU97" s="4097">
        <f>IFERROR(Y97/Y$117,0)</f>
        <v/>
      </c>
      <c r="BV97" s="4097">
        <f>IFERROR(Z97/Z$117,0)</f>
        <v/>
      </c>
      <c r="BW97" s="4097">
        <f>IFERROR(AA97/AA$117,0)</f>
        <v/>
      </c>
      <c r="BX97" s="4097">
        <f>IFERROR(AB97/AB$117,0)</f>
        <v/>
      </c>
      <c r="BY97" s="4098">
        <f>IFERROR(AC97/AC$117,0)</f>
        <v/>
      </c>
      <c r="BZ97" s="4097">
        <f>IFERROR(AD97/AD$117,0)</f>
        <v/>
      </c>
      <c r="CA97" s="4097">
        <f>IFERROR(AE97/AE$117,0)</f>
        <v/>
      </c>
      <c r="CB97" s="4097">
        <f>IFERROR(AF97/AF$117,0)</f>
        <v/>
      </c>
      <c r="CC97" s="4097">
        <f>IFERROR(AG97/AG$117,0)</f>
        <v/>
      </c>
      <c r="CD97" s="4097">
        <f>IFERROR(AH97/AH$117,0)</f>
        <v/>
      </c>
      <c r="CE97" s="4097">
        <f>IFERROR(AI97/AI$117,0)</f>
        <v/>
      </c>
      <c r="CF97" s="4097">
        <f>IFERROR(AJ97/AJ$117,0)</f>
        <v/>
      </c>
      <c r="CG97" s="4097">
        <f>IFERROR(AK97/AK$117,0)</f>
        <v/>
      </c>
      <c r="CH97" s="4097">
        <f>IFERROR(AL97/AL$117,0)</f>
        <v/>
      </c>
      <c r="CI97" s="4097">
        <f>IFERROR(AM97/AM$117,0)</f>
        <v/>
      </c>
      <c r="CJ97" s="4097">
        <f>IFERROR(AN97/AN$117,0)</f>
        <v/>
      </c>
      <c r="CK97" s="4098">
        <f>IFERROR(AO97/AO$117,0)</f>
        <v/>
      </c>
      <c r="CL97" s="4097">
        <f>IFERROR(AP97/AP$117,0)</f>
        <v/>
      </c>
      <c r="CM97" s="4097">
        <f>IFERROR(AQ97/AQ$117,0)</f>
        <v/>
      </c>
      <c r="CN97" s="4097">
        <f>IFERROR(AR97/AR$117,0)</f>
        <v/>
      </c>
      <c r="CO97" s="4097">
        <f>IFERROR(AS97/AS$117,0)</f>
        <v/>
      </c>
      <c r="CP97" s="4097">
        <f>IFERROR(AT97/AT$117,0)</f>
        <v/>
      </c>
      <c r="CQ97" s="4099">
        <f>IFERROR(AU97/AU$117,0)</f>
        <v/>
      </c>
      <c r="CR97" s="4097">
        <f>IFERROR(AV97/AV$117,0)</f>
        <v/>
      </c>
      <c r="CS97" s="4097">
        <f>IFERROR(AW97/AW$117,0)</f>
        <v/>
      </c>
      <c r="CT97" s="4097">
        <f>IFERROR(AX97/AX$117,0)</f>
        <v/>
      </c>
      <c r="CU97" s="4097">
        <f>IFERROR(AY97/AY$117,0)</f>
        <v/>
      </c>
      <c r="CV97" s="4097">
        <f>IFERROR(AZ97/AZ$117,0)</f>
        <v/>
      </c>
      <c r="CW97" s="3737" t="n"/>
      <c r="CX97" s="4094" t="n">
        <v>63.80503</v>
      </c>
    </row>
    <row r="98" hidden="1" outlineLevel="2" ht="12" customFormat="1" customHeight="1" s="3737">
      <c r="A98" s="4059" t="n"/>
      <c r="B98" s="4060" t="n"/>
      <c r="C98" s="4109" t="inlineStr">
        <is>
          <t>Optional issuer fee revenue - visa</t>
        </is>
      </c>
      <c r="D98" s="4093" t="n">
        <v>411147</v>
      </c>
      <c r="E98" s="4093">
        <f>CONCATENATE(D98," - ",C98)</f>
        <v/>
      </c>
      <c r="F98" s="4094" t="n"/>
      <c r="G98" s="4094" t="n"/>
      <c r="H98" s="4094" t="n"/>
      <c r="I98" s="4094" t="n"/>
      <c r="J98" s="4094" t="n"/>
      <c r="K98" s="4094" t="n"/>
      <c r="L98" s="4094" t="n"/>
      <c r="M98" s="4094" t="n"/>
      <c r="N98" s="4094" t="n"/>
      <c r="O98" s="4094" t="n"/>
      <c r="P98" s="4094" t="n"/>
      <c r="Q98" s="4095" t="n"/>
      <c r="R98" s="4094" t="n"/>
      <c r="S98" s="4094" t="n"/>
      <c r="T98" s="4094" t="n"/>
      <c r="U98" s="4094" t="n"/>
      <c r="V98" s="4094" t="n"/>
      <c r="W98" s="4094" t="n"/>
      <c r="X98" s="4094" t="n"/>
      <c r="Y98" s="4094" t="n"/>
      <c r="Z98" s="4094" t="n"/>
      <c r="AA98" s="4094" t="n"/>
      <c r="AB98" s="4094" t="n"/>
      <c r="AC98" s="4095" t="n"/>
      <c r="AD98" s="4094" t="n"/>
      <c r="AE98" s="4094" t="n"/>
      <c r="AF98" s="4094" t="n"/>
      <c r="AG98" s="4094" t="n"/>
      <c r="AH98" s="4094" t="n"/>
      <c r="AI98" s="4094" t="n"/>
      <c r="AJ98" s="4094" t="n"/>
      <c r="AK98" s="4094" t="n"/>
      <c r="AL98" s="4094" t="n"/>
      <c r="AM98" s="4094" t="n"/>
      <c r="AN98" s="4094" t="n"/>
      <c r="AO98" s="4095" t="n"/>
      <c r="AP98" s="4094" t="n">
        <v>3.55581</v>
      </c>
      <c r="AQ98" s="4094" t="n">
        <v>3.22513</v>
      </c>
      <c r="AR98" s="4094" t="n">
        <v>2.665</v>
      </c>
      <c r="AS98" s="4094" t="n">
        <v>8.718859999999999</v>
      </c>
      <c r="AT98" s="4094" t="n">
        <v>5.85425</v>
      </c>
      <c r="AU98" s="4096" t="n">
        <v>5.02346</v>
      </c>
      <c r="AV98" s="4094">
        <f>SUM(F98:Q98)</f>
        <v/>
      </c>
      <c r="AW98" s="4094">
        <f>SUM(R98:AC98)</f>
        <v/>
      </c>
      <c r="AX98" s="4094">
        <f>SUM(AD98:AO98)</f>
        <v/>
      </c>
      <c r="AY98" s="4094">
        <f>SUM(AH98:AS98)</f>
        <v/>
      </c>
      <c r="AZ98" s="4094">
        <f>SUM(AJ98:AU98)</f>
        <v/>
      </c>
      <c r="BA98" s="3737" t="n"/>
      <c r="BB98" s="4097">
        <f>IFERROR(F98/F$117,0)</f>
        <v/>
      </c>
      <c r="BC98" s="4097">
        <f>IFERROR(G98/G$117,0)</f>
        <v/>
      </c>
      <c r="BD98" s="4097">
        <f>IFERROR(H98/H$117,0)</f>
        <v/>
      </c>
      <c r="BE98" s="4097">
        <f>IFERROR(I98/I$117,0)</f>
        <v/>
      </c>
      <c r="BF98" s="4097">
        <f>IFERROR(J98/J$117,0)</f>
        <v/>
      </c>
      <c r="BG98" s="4097">
        <f>IFERROR(K98/K$117,0)</f>
        <v/>
      </c>
      <c r="BH98" s="4097">
        <f>IFERROR(L98/L$117,0)</f>
        <v/>
      </c>
      <c r="BI98" s="4097">
        <f>IFERROR(M98/M$117,0)</f>
        <v/>
      </c>
      <c r="BJ98" s="4097">
        <f>IFERROR(N98/N$117,0)</f>
        <v/>
      </c>
      <c r="BK98" s="4097">
        <f>IFERROR(O98/O$117,0)</f>
        <v/>
      </c>
      <c r="BL98" s="4097">
        <f>IFERROR(P98/P$117,0)</f>
        <v/>
      </c>
      <c r="BM98" s="4098">
        <f>IFERROR(Q98/Q$117,0)</f>
        <v/>
      </c>
      <c r="BN98" s="4097">
        <f>IFERROR(R98/R$117,0)</f>
        <v/>
      </c>
      <c r="BO98" s="4097">
        <f>IFERROR(S98/S$117,0)</f>
        <v/>
      </c>
      <c r="BP98" s="4097">
        <f>IFERROR(T98/T$117,0)</f>
        <v/>
      </c>
      <c r="BQ98" s="4097">
        <f>IFERROR(U98/U$117,0)</f>
        <v/>
      </c>
      <c r="BR98" s="4097">
        <f>IFERROR(V98/V$117,0)</f>
        <v/>
      </c>
      <c r="BS98" s="4097">
        <f>IFERROR(W98/W$117,0)</f>
        <v/>
      </c>
      <c r="BT98" s="4097">
        <f>IFERROR(X98/X$117,0)</f>
        <v/>
      </c>
      <c r="BU98" s="4097">
        <f>IFERROR(Y98/Y$117,0)</f>
        <v/>
      </c>
      <c r="BV98" s="4097">
        <f>IFERROR(Z98/Z$117,0)</f>
        <v/>
      </c>
      <c r="BW98" s="4097">
        <f>IFERROR(AA98/AA$117,0)</f>
        <v/>
      </c>
      <c r="BX98" s="4097">
        <f>IFERROR(AB98/AB$117,0)</f>
        <v/>
      </c>
      <c r="BY98" s="4098">
        <f>IFERROR(AC98/AC$117,0)</f>
        <v/>
      </c>
      <c r="BZ98" s="4097">
        <f>IFERROR(AD98/AD$117,0)</f>
        <v/>
      </c>
      <c r="CA98" s="4097">
        <f>IFERROR(AE98/AE$117,0)</f>
        <v/>
      </c>
      <c r="CB98" s="4097">
        <f>IFERROR(AF98/AF$117,0)</f>
        <v/>
      </c>
      <c r="CC98" s="4097">
        <f>IFERROR(AG98/AG$117,0)</f>
        <v/>
      </c>
      <c r="CD98" s="4097">
        <f>IFERROR(AH98/AH$117,0)</f>
        <v/>
      </c>
      <c r="CE98" s="4097">
        <f>IFERROR(AI98/AI$117,0)</f>
        <v/>
      </c>
      <c r="CF98" s="4097">
        <f>IFERROR(AJ98/AJ$117,0)</f>
        <v/>
      </c>
      <c r="CG98" s="4097">
        <f>IFERROR(AK98/AK$117,0)</f>
        <v/>
      </c>
      <c r="CH98" s="4097">
        <f>IFERROR(AL98/AL$117,0)</f>
        <v/>
      </c>
      <c r="CI98" s="4097">
        <f>IFERROR(AM98/AM$117,0)</f>
        <v/>
      </c>
      <c r="CJ98" s="4097">
        <f>IFERROR(AN98/AN$117,0)</f>
        <v/>
      </c>
      <c r="CK98" s="4098">
        <f>IFERROR(AO98/AO$117,0)</f>
        <v/>
      </c>
      <c r="CL98" s="4097">
        <f>IFERROR(AP98/AP$117,0)</f>
        <v/>
      </c>
      <c r="CM98" s="4097">
        <f>IFERROR(AQ98/AQ$117,0)</f>
        <v/>
      </c>
      <c r="CN98" s="4097">
        <f>IFERROR(AR98/AR$117,0)</f>
        <v/>
      </c>
      <c r="CO98" s="4097">
        <f>IFERROR(AS98/AS$117,0)</f>
        <v/>
      </c>
      <c r="CP98" s="4097">
        <f>IFERROR(AT98/AT$117,0)</f>
        <v/>
      </c>
      <c r="CQ98" s="4099">
        <f>IFERROR(AU98/AU$117,0)</f>
        <v/>
      </c>
      <c r="CR98" s="4097">
        <f>IFERROR(AV98/AV$117,0)</f>
        <v/>
      </c>
      <c r="CS98" s="4097">
        <f>IFERROR(AW98/AW$117,0)</f>
        <v/>
      </c>
      <c r="CT98" s="4097">
        <f>IFERROR(AX98/AX$117,0)</f>
        <v/>
      </c>
      <c r="CU98" s="4097">
        <f>IFERROR(AY98/AY$117,0)</f>
        <v/>
      </c>
      <c r="CV98" s="4097">
        <f>IFERROR(AZ98/AZ$117,0)</f>
        <v/>
      </c>
      <c r="CW98" s="3737" t="n"/>
      <c r="CX98" s="4094" t="n">
        <v>0</v>
      </c>
    </row>
    <row r="99" hidden="1" outlineLevel="2" ht="12" customFormat="1" customHeight="1" s="3737">
      <c r="A99" s="4059" t="n"/>
      <c r="B99" s="4060" t="n"/>
      <c r="C99" s="4109" t="inlineStr">
        <is>
          <t>Atm visa plus surcharge</t>
        </is>
      </c>
      <c r="D99" s="4093" t="n">
        <v>411146</v>
      </c>
      <c r="E99" s="4093">
        <f>CONCATENATE(D99," - ",C99)</f>
        <v/>
      </c>
      <c r="F99" s="4094" t="n"/>
      <c r="G99" s="4094" t="n"/>
      <c r="H99" s="4094" t="n"/>
      <c r="I99" s="4094" t="n"/>
      <c r="J99" s="4094" t="n"/>
      <c r="K99" s="4094" t="n"/>
      <c r="L99" s="4094" t="n"/>
      <c r="M99" s="4094" t="n"/>
      <c r="N99" s="4094" t="n"/>
      <c r="O99" s="4094" t="n"/>
      <c r="P99" s="4094" t="n"/>
      <c r="Q99" s="4095" t="n"/>
      <c r="R99" s="4094" t="n"/>
      <c r="S99" s="4094" t="n"/>
      <c r="T99" s="4094" t="n"/>
      <c r="U99" s="4094" t="n"/>
      <c r="V99" s="4094" t="n"/>
      <c r="W99" s="4094" t="n"/>
      <c r="X99" s="4094" t="n"/>
      <c r="Y99" s="4094" t="n"/>
      <c r="Z99" s="4094" t="n"/>
      <c r="AA99" s="4094" t="n"/>
      <c r="AB99" s="4094" t="n"/>
      <c r="AC99" s="4095" t="n"/>
      <c r="AD99" s="4094" t="n"/>
      <c r="AE99" s="4094" t="n"/>
      <c r="AF99" s="4094" t="n"/>
      <c r="AG99" s="4094" t="n"/>
      <c r="AH99" s="4094" t="n"/>
      <c r="AI99" s="4094" t="n"/>
      <c r="AJ99" s="4094" t="n"/>
      <c r="AK99" s="4094" t="n"/>
      <c r="AL99" s="4094" t="n"/>
      <c r="AM99" s="4094" t="n"/>
      <c r="AN99" s="4094" t="n"/>
      <c r="AO99" s="4095" t="n"/>
      <c r="AP99" s="4094" t="n">
        <v>1.40079</v>
      </c>
      <c r="AQ99" s="4094" t="n">
        <v>1.45329</v>
      </c>
      <c r="AR99" s="4094" t="n">
        <v>1.81767</v>
      </c>
      <c r="AS99" s="4094" t="n">
        <v>1.6731</v>
      </c>
      <c r="AT99" s="4094" t="n">
        <v>2.19365</v>
      </c>
      <c r="AU99" s="4096" t="n">
        <v>2.42636</v>
      </c>
      <c r="AV99" s="4094">
        <f>SUM(F99:Q99)</f>
        <v/>
      </c>
      <c r="AW99" s="4094">
        <f>SUM(R99:AC99)</f>
        <v/>
      </c>
      <c r="AX99" s="4094">
        <f>SUM(AD99:AO99)</f>
        <v/>
      </c>
      <c r="AY99" s="4094">
        <f>SUM(AH99:AS99)</f>
        <v/>
      </c>
      <c r="AZ99" s="4094">
        <f>SUM(AJ99:AU99)</f>
        <v/>
      </c>
      <c r="BA99" s="3737" t="n"/>
      <c r="BB99" s="4097">
        <f>IFERROR(F99/F$117,0)</f>
        <v/>
      </c>
      <c r="BC99" s="4097">
        <f>IFERROR(G99/G$117,0)</f>
        <v/>
      </c>
      <c r="BD99" s="4097">
        <f>IFERROR(H99/H$117,0)</f>
        <v/>
      </c>
      <c r="BE99" s="4097">
        <f>IFERROR(I99/I$117,0)</f>
        <v/>
      </c>
      <c r="BF99" s="4097">
        <f>IFERROR(J99/J$117,0)</f>
        <v/>
      </c>
      <c r="BG99" s="4097">
        <f>IFERROR(K99/K$117,0)</f>
        <v/>
      </c>
      <c r="BH99" s="4097">
        <f>IFERROR(L99/L$117,0)</f>
        <v/>
      </c>
      <c r="BI99" s="4097">
        <f>IFERROR(M99/M$117,0)</f>
        <v/>
      </c>
      <c r="BJ99" s="4097">
        <f>IFERROR(N99/N$117,0)</f>
        <v/>
      </c>
      <c r="BK99" s="4097">
        <f>IFERROR(O99/O$117,0)</f>
        <v/>
      </c>
      <c r="BL99" s="4097">
        <f>IFERROR(P99/P$117,0)</f>
        <v/>
      </c>
      <c r="BM99" s="4098">
        <f>IFERROR(Q99/Q$117,0)</f>
        <v/>
      </c>
      <c r="BN99" s="4097">
        <f>IFERROR(R99/R$117,0)</f>
        <v/>
      </c>
      <c r="BO99" s="4097">
        <f>IFERROR(S99/S$117,0)</f>
        <v/>
      </c>
      <c r="BP99" s="4097">
        <f>IFERROR(T99/T$117,0)</f>
        <v/>
      </c>
      <c r="BQ99" s="4097">
        <f>IFERROR(U99/U$117,0)</f>
        <v/>
      </c>
      <c r="BR99" s="4097">
        <f>IFERROR(V99/V$117,0)</f>
        <v/>
      </c>
      <c r="BS99" s="4097">
        <f>IFERROR(W99/W$117,0)</f>
        <v/>
      </c>
      <c r="BT99" s="4097">
        <f>IFERROR(X99/X$117,0)</f>
        <v/>
      </c>
      <c r="BU99" s="4097">
        <f>IFERROR(Y99/Y$117,0)</f>
        <v/>
      </c>
      <c r="BV99" s="4097">
        <f>IFERROR(Z99/Z$117,0)</f>
        <v/>
      </c>
      <c r="BW99" s="4097">
        <f>IFERROR(AA99/AA$117,0)</f>
        <v/>
      </c>
      <c r="BX99" s="4097">
        <f>IFERROR(AB99/AB$117,0)</f>
        <v/>
      </c>
      <c r="BY99" s="4098">
        <f>IFERROR(AC99/AC$117,0)</f>
        <v/>
      </c>
      <c r="BZ99" s="4097">
        <f>IFERROR(AD99/AD$117,0)</f>
        <v/>
      </c>
      <c r="CA99" s="4097">
        <f>IFERROR(AE99/AE$117,0)</f>
        <v/>
      </c>
      <c r="CB99" s="4097">
        <f>IFERROR(AF99/AF$117,0)</f>
        <v/>
      </c>
      <c r="CC99" s="4097">
        <f>IFERROR(AG99/AG$117,0)</f>
        <v/>
      </c>
      <c r="CD99" s="4097">
        <f>IFERROR(AH99/AH$117,0)</f>
        <v/>
      </c>
      <c r="CE99" s="4097">
        <f>IFERROR(AI99/AI$117,0)</f>
        <v/>
      </c>
      <c r="CF99" s="4097">
        <f>IFERROR(AJ99/AJ$117,0)</f>
        <v/>
      </c>
      <c r="CG99" s="4097">
        <f>IFERROR(AK99/AK$117,0)</f>
        <v/>
      </c>
      <c r="CH99" s="4097">
        <f>IFERROR(AL99/AL$117,0)</f>
        <v/>
      </c>
      <c r="CI99" s="4097">
        <f>IFERROR(AM99/AM$117,0)</f>
        <v/>
      </c>
      <c r="CJ99" s="4097">
        <f>IFERROR(AN99/AN$117,0)</f>
        <v/>
      </c>
      <c r="CK99" s="4098">
        <f>IFERROR(AO99/AO$117,0)</f>
        <v/>
      </c>
      <c r="CL99" s="4097">
        <f>IFERROR(AP99/AP$117,0)</f>
        <v/>
      </c>
      <c r="CM99" s="4097">
        <f>IFERROR(AQ99/AQ$117,0)</f>
        <v/>
      </c>
      <c r="CN99" s="4097">
        <f>IFERROR(AR99/AR$117,0)</f>
        <v/>
      </c>
      <c r="CO99" s="4097">
        <f>IFERROR(AS99/AS$117,0)</f>
        <v/>
      </c>
      <c r="CP99" s="4097">
        <f>IFERROR(AT99/AT$117,0)</f>
        <v/>
      </c>
      <c r="CQ99" s="4099">
        <f>IFERROR(AU99/AU$117,0)</f>
        <v/>
      </c>
      <c r="CR99" s="4097">
        <f>IFERROR(AV99/AV$117,0)</f>
        <v/>
      </c>
      <c r="CS99" s="4097">
        <f>IFERROR(AW99/AW$117,0)</f>
        <v/>
      </c>
      <c r="CT99" s="4097">
        <f>IFERROR(AX99/AX$117,0)</f>
        <v/>
      </c>
      <c r="CU99" s="4097">
        <f>IFERROR(AY99/AY$117,0)</f>
        <v/>
      </c>
      <c r="CV99" s="4097">
        <f>IFERROR(AZ99/AZ$117,0)</f>
        <v/>
      </c>
      <c r="CW99" s="3737" t="n"/>
      <c r="CX99" s="4094" t="n">
        <v>11.91539</v>
      </c>
    </row>
    <row r="100" hidden="1" outlineLevel="2" ht="12" customFormat="1" customHeight="1" s="3737">
      <c r="A100" s="4059" t="n"/>
      <c r="B100" s="4060" t="n"/>
      <c r="C100" s="4110" t="inlineStr">
        <is>
          <t>Dynamic currency conversion-atm</t>
        </is>
      </c>
      <c r="D100" s="4101" t="n">
        <v>411143</v>
      </c>
      <c r="E100" s="4101">
        <f>CONCATENATE(D100," - ",C100)</f>
        <v/>
      </c>
      <c r="F100" s="4102" t="n"/>
      <c r="G100" s="4102" t="n"/>
      <c r="H100" s="4102" t="n"/>
      <c r="I100" s="4102" t="n"/>
      <c r="J100" s="4102" t="n"/>
      <c r="K100" s="4102" t="n"/>
      <c r="L100" s="4102" t="n"/>
      <c r="M100" s="4102" t="n"/>
      <c r="N100" s="4102" t="n"/>
      <c r="O100" s="4102" t="n"/>
      <c r="P100" s="4102" t="n"/>
      <c r="Q100" s="4103" t="n"/>
      <c r="R100" s="4102" t="n"/>
      <c r="S100" s="4102" t="n"/>
      <c r="T100" s="4102" t="n"/>
      <c r="U100" s="4102" t="n"/>
      <c r="V100" s="4102" t="n"/>
      <c r="W100" s="4102" t="n"/>
      <c r="X100" s="4102" t="n"/>
      <c r="Y100" s="4102" t="n"/>
      <c r="Z100" s="4102" t="n"/>
      <c r="AA100" s="4102" t="n"/>
      <c r="AB100" s="4102" t="n"/>
      <c r="AC100" s="4103" t="n"/>
      <c r="AD100" s="4102" t="n"/>
      <c r="AE100" s="4102" t="n"/>
      <c r="AF100" s="4102" t="n"/>
      <c r="AG100" s="4102" t="n"/>
      <c r="AH100" s="4102" t="n"/>
      <c r="AI100" s="4102" t="n"/>
      <c r="AJ100" s="4102" t="n"/>
      <c r="AK100" s="4102" t="n"/>
      <c r="AL100" s="4102" t="n"/>
      <c r="AM100" s="4102" t="n"/>
      <c r="AN100" s="4102" t="n"/>
      <c r="AO100" s="4103" t="n"/>
      <c r="AP100" s="4102" t="n">
        <v>1.07787</v>
      </c>
      <c r="AQ100" s="4102" t="n">
        <v>0.80396</v>
      </c>
      <c r="AR100" s="4102" t="n">
        <v>0.99701</v>
      </c>
      <c r="AS100" s="4102" t="n">
        <v>1.0797</v>
      </c>
      <c r="AT100" s="4102" t="n">
        <v>1.29763</v>
      </c>
      <c r="AU100" s="4104" t="n">
        <v>1.15478</v>
      </c>
      <c r="AV100" s="4102">
        <f>SUM(F100:Q100)</f>
        <v/>
      </c>
      <c r="AW100" s="4102">
        <f>SUM(R100:AC100)</f>
        <v/>
      </c>
      <c r="AX100" s="4102">
        <f>SUM(AD100:AO100)</f>
        <v/>
      </c>
      <c r="AY100" s="4102">
        <f>SUM(AH100:AS100)</f>
        <v/>
      </c>
      <c r="AZ100" s="4102">
        <f>SUM(AJ100:AU100)</f>
        <v/>
      </c>
      <c r="BA100" s="3737" t="n"/>
      <c r="BB100" s="4105">
        <f>IFERROR(F100/F$117,0)</f>
        <v/>
      </c>
      <c r="BC100" s="4105">
        <f>IFERROR(G100/G$117,0)</f>
        <v/>
      </c>
      <c r="BD100" s="4105">
        <f>IFERROR(H100/H$117,0)</f>
        <v/>
      </c>
      <c r="BE100" s="4105">
        <f>IFERROR(I100/I$117,0)</f>
        <v/>
      </c>
      <c r="BF100" s="4105">
        <f>IFERROR(J100/J$117,0)</f>
        <v/>
      </c>
      <c r="BG100" s="4105">
        <f>IFERROR(K100/K$117,0)</f>
        <v/>
      </c>
      <c r="BH100" s="4105">
        <f>IFERROR(L100/L$117,0)</f>
        <v/>
      </c>
      <c r="BI100" s="4105">
        <f>IFERROR(M100/M$117,0)</f>
        <v/>
      </c>
      <c r="BJ100" s="4105">
        <f>IFERROR(N100/N$117,0)</f>
        <v/>
      </c>
      <c r="BK100" s="4105">
        <f>IFERROR(O100/O$117,0)</f>
        <v/>
      </c>
      <c r="BL100" s="4105">
        <f>IFERROR(P100/P$117,0)</f>
        <v/>
      </c>
      <c r="BM100" s="4106">
        <f>IFERROR(Q100/Q$117,0)</f>
        <v/>
      </c>
      <c r="BN100" s="4105">
        <f>IFERROR(R100/R$117,0)</f>
        <v/>
      </c>
      <c r="BO100" s="4105">
        <f>IFERROR(S100/S$117,0)</f>
        <v/>
      </c>
      <c r="BP100" s="4105">
        <f>IFERROR(T100/T$117,0)</f>
        <v/>
      </c>
      <c r="BQ100" s="4105">
        <f>IFERROR(U100/U$117,0)</f>
        <v/>
      </c>
      <c r="BR100" s="4105">
        <f>IFERROR(V100/V$117,0)</f>
        <v/>
      </c>
      <c r="BS100" s="4105">
        <f>IFERROR(W100/W$117,0)</f>
        <v/>
      </c>
      <c r="BT100" s="4105">
        <f>IFERROR(X100/X$117,0)</f>
        <v/>
      </c>
      <c r="BU100" s="4105">
        <f>IFERROR(Y100/Y$117,0)</f>
        <v/>
      </c>
      <c r="BV100" s="4105">
        <f>IFERROR(Z100/Z$117,0)</f>
        <v/>
      </c>
      <c r="BW100" s="4105">
        <f>IFERROR(AA100/AA$117,0)</f>
        <v/>
      </c>
      <c r="BX100" s="4105">
        <f>IFERROR(AB100/AB$117,0)</f>
        <v/>
      </c>
      <c r="BY100" s="4106">
        <f>IFERROR(AC100/AC$117,0)</f>
        <v/>
      </c>
      <c r="BZ100" s="4105">
        <f>IFERROR(AD100/AD$117,0)</f>
        <v/>
      </c>
      <c r="CA100" s="4105">
        <f>IFERROR(AE100/AE$117,0)</f>
        <v/>
      </c>
      <c r="CB100" s="4105">
        <f>IFERROR(AF100/AF$117,0)</f>
        <v/>
      </c>
      <c r="CC100" s="4105">
        <f>IFERROR(AG100/AG$117,0)</f>
        <v/>
      </c>
      <c r="CD100" s="4105">
        <f>IFERROR(AH100/AH$117,0)</f>
        <v/>
      </c>
      <c r="CE100" s="4105">
        <f>IFERROR(AI100/AI$117,0)</f>
        <v/>
      </c>
      <c r="CF100" s="4105">
        <f>IFERROR(AJ100/AJ$117,0)</f>
        <v/>
      </c>
      <c r="CG100" s="4105">
        <f>IFERROR(AK100/AK$117,0)</f>
        <v/>
      </c>
      <c r="CH100" s="4105">
        <f>IFERROR(AL100/AL$117,0)</f>
        <v/>
      </c>
      <c r="CI100" s="4105">
        <f>IFERROR(AM100/AM$117,0)</f>
        <v/>
      </c>
      <c r="CJ100" s="4105">
        <f>IFERROR(AN100/AN$117,0)</f>
        <v/>
      </c>
      <c r="CK100" s="4106">
        <f>IFERROR(AO100/AO$117,0)</f>
        <v/>
      </c>
      <c r="CL100" s="4105">
        <f>IFERROR(AP100/AP$117,0)</f>
        <v/>
      </c>
      <c r="CM100" s="4105">
        <f>IFERROR(AQ100/AQ$117,0)</f>
        <v/>
      </c>
      <c r="CN100" s="4105">
        <f>IFERROR(AR100/AR$117,0)</f>
        <v/>
      </c>
      <c r="CO100" s="4105">
        <f>IFERROR(AS100/AS$117,0)</f>
        <v/>
      </c>
      <c r="CP100" s="4105">
        <f>IFERROR(AT100/AT$117,0)</f>
        <v/>
      </c>
      <c r="CQ100" s="4107">
        <f>IFERROR(AU100/AU$117,0)</f>
        <v/>
      </c>
      <c r="CR100" s="4105">
        <f>IFERROR(AV100/AV$117,0)</f>
        <v/>
      </c>
      <c r="CS100" s="4105">
        <f>IFERROR(AW100/AW$117,0)</f>
        <v/>
      </c>
      <c r="CT100" s="4105">
        <f>IFERROR(AX100/AX$117,0)</f>
        <v/>
      </c>
      <c r="CU100" s="4105">
        <f>IFERROR(AY100/AY$117,0)</f>
        <v/>
      </c>
      <c r="CV100" s="4105">
        <f>IFERROR(AZ100/AZ$117,0)</f>
        <v/>
      </c>
      <c r="CW100" s="3737" t="n"/>
      <c r="CX100" s="4102" t="n">
        <v>16.06594</v>
      </c>
    </row>
    <row r="101" hidden="1" outlineLevel="1" collapsed="1" ht="12" customFormat="1" customHeight="1" s="3737">
      <c r="A101" s="4059" t="n"/>
      <c r="B101" s="4060" t="n"/>
      <c r="C101" s="4111" t="inlineStr">
        <is>
          <t>Optional issuer fee , dcc &amp; surcharge</t>
        </is>
      </c>
      <c r="D101" s="4093" t="n"/>
      <c r="E101" s="4093" t="n"/>
      <c r="F101" s="4094" t="n"/>
      <c r="G101" s="4094" t="n"/>
      <c r="H101" s="4094" t="n"/>
      <c r="I101" s="4094" t="n"/>
      <c r="J101" s="4094" t="n"/>
      <c r="K101" s="4094" t="n"/>
      <c r="L101" s="4094" t="n"/>
      <c r="M101" s="4094" t="n"/>
      <c r="N101" s="4094" t="n"/>
      <c r="O101" s="4094" t="n"/>
      <c r="P101" s="4094" t="n"/>
      <c r="Q101" s="4095" t="n"/>
      <c r="R101" s="4094" t="n"/>
      <c r="S101" s="4094" t="n"/>
      <c r="T101" s="4094" t="n"/>
      <c r="U101" s="4094" t="n"/>
      <c r="V101" s="4094" t="n"/>
      <c r="W101" s="4094" t="n"/>
      <c r="X101" s="4094" t="n"/>
      <c r="Y101" s="4094" t="n"/>
      <c r="Z101" s="4094" t="n"/>
      <c r="AA101" s="4094" t="n"/>
      <c r="AB101" s="4094" t="n"/>
      <c r="AC101" s="4095" t="n"/>
      <c r="AD101" s="4094" t="n"/>
      <c r="AE101" s="4094" t="n"/>
      <c r="AF101" s="4094" t="n"/>
      <c r="AG101" s="4094" t="n"/>
      <c r="AH101" s="4094" t="n"/>
      <c r="AI101" s="4094" t="n"/>
      <c r="AJ101" s="4094" t="n"/>
      <c r="AK101" s="4094" t="n"/>
      <c r="AL101" s="4094" t="n"/>
      <c r="AM101" s="4094" t="n"/>
      <c r="AN101" s="4094" t="n"/>
      <c r="AO101" s="4095" t="n"/>
      <c r="AP101" s="4094">
        <f>SUM(AP91:AP100)</f>
        <v/>
      </c>
      <c r="AQ101" s="4094">
        <f>SUM(AQ91:AQ100)</f>
        <v/>
      </c>
      <c r="AR101" s="4094">
        <f>SUM(AR91:AR100)</f>
        <v/>
      </c>
      <c r="AS101" s="4094">
        <f>SUM(AS91:AS100)</f>
        <v/>
      </c>
      <c r="AT101" s="4094">
        <f>SUM(AT91:AT100)</f>
        <v/>
      </c>
      <c r="AU101" s="4096">
        <f>SUM(AU91:AU100)</f>
        <v/>
      </c>
      <c r="AV101" s="4094">
        <f>SUM(AV91:AV100)</f>
        <v/>
      </c>
      <c r="AW101" s="4094">
        <f>SUM(AW91:AW100)</f>
        <v/>
      </c>
      <c r="AX101" s="4094">
        <f>SUM(AX91:AX100)</f>
        <v/>
      </c>
      <c r="AY101" s="4094">
        <f>SUM(AY91:AY100)</f>
        <v/>
      </c>
      <c r="AZ101" s="4094">
        <f>SUM(AZ91:AZ100)</f>
        <v/>
      </c>
      <c r="BA101" s="3737" t="n"/>
      <c r="BB101" s="4097">
        <f>IFERROR(F101/F$117,0)</f>
        <v/>
      </c>
      <c r="BC101" s="4097">
        <f>IFERROR(G101/G$117,0)</f>
        <v/>
      </c>
      <c r="BD101" s="4097">
        <f>IFERROR(H101/H$117,0)</f>
        <v/>
      </c>
      <c r="BE101" s="4097">
        <f>IFERROR(I101/I$117,0)</f>
        <v/>
      </c>
      <c r="BF101" s="4097">
        <f>IFERROR(J101/J$117,0)</f>
        <v/>
      </c>
      <c r="BG101" s="4097">
        <f>IFERROR(K101/K$117,0)</f>
        <v/>
      </c>
      <c r="BH101" s="4097">
        <f>IFERROR(L101/L$117,0)</f>
        <v/>
      </c>
      <c r="BI101" s="4097">
        <f>IFERROR(M101/M$117,0)</f>
        <v/>
      </c>
      <c r="BJ101" s="4097">
        <f>IFERROR(N101/N$117,0)</f>
        <v/>
      </c>
      <c r="BK101" s="4097">
        <f>IFERROR(O101/O$117,0)</f>
        <v/>
      </c>
      <c r="BL101" s="4097">
        <f>IFERROR(P101/P$117,0)</f>
        <v/>
      </c>
      <c r="BM101" s="4098">
        <f>IFERROR(Q101/Q$117,0)</f>
        <v/>
      </c>
      <c r="BN101" s="4097">
        <f>IFERROR(R101/R$117,0)</f>
        <v/>
      </c>
      <c r="BO101" s="4097">
        <f>IFERROR(S101/S$117,0)</f>
        <v/>
      </c>
      <c r="BP101" s="4097">
        <f>IFERROR(T101/T$117,0)</f>
        <v/>
      </c>
      <c r="BQ101" s="4097">
        <f>IFERROR(U101/U$117,0)</f>
        <v/>
      </c>
      <c r="BR101" s="4097">
        <f>IFERROR(V101/V$117,0)</f>
        <v/>
      </c>
      <c r="BS101" s="4097">
        <f>IFERROR(W101/W$117,0)</f>
        <v/>
      </c>
      <c r="BT101" s="4097">
        <f>IFERROR(X101/X$117,0)</f>
        <v/>
      </c>
      <c r="BU101" s="4097">
        <f>IFERROR(Y101/Y$117,0)</f>
        <v/>
      </c>
      <c r="BV101" s="4097">
        <f>IFERROR(Z101/Z$117,0)</f>
        <v/>
      </c>
      <c r="BW101" s="4097">
        <f>IFERROR(AA101/AA$117,0)</f>
        <v/>
      </c>
      <c r="BX101" s="4097">
        <f>IFERROR(AB101/AB$117,0)</f>
        <v/>
      </c>
      <c r="BY101" s="4098">
        <f>IFERROR(AC101/AC$117,0)</f>
        <v/>
      </c>
      <c r="BZ101" s="4097">
        <f>IFERROR(AD101/AD$117,0)</f>
        <v/>
      </c>
      <c r="CA101" s="4097">
        <f>IFERROR(AE101/AE$117,0)</f>
        <v/>
      </c>
      <c r="CB101" s="4097">
        <f>IFERROR(AF101/AF$117,0)</f>
        <v/>
      </c>
      <c r="CC101" s="4097">
        <f>IFERROR(AG101/AG$117,0)</f>
        <v/>
      </c>
      <c r="CD101" s="4097">
        <f>IFERROR(AH101/AH$117,0)</f>
        <v/>
      </c>
      <c r="CE101" s="4097">
        <f>IFERROR(AI101/AI$117,0)</f>
        <v/>
      </c>
      <c r="CF101" s="4097">
        <f>IFERROR(AJ101/AJ$117,0)</f>
        <v/>
      </c>
      <c r="CG101" s="4097">
        <f>IFERROR(AK101/AK$117,0)</f>
        <v/>
      </c>
      <c r="CH101" s="4097">
        <f>IFERROR(AL101/AL$117,0)</f>
        <v/>
      </c>
      <c r="CI101" s="4097">
        <f>IFERROR(AM101/AM$117,0)</f>
        <v/>
      </c>
      <c r="CJ101" s="4097">
        <f>IFERROR(AN101/AN$117,0)</f>
        <v/>
      </c>
      <c r="CK101" s="4098">
        <f>IFERROR(AO101/AO$117,0)</f>
        <v/>
      </c>
      <c r="CL101" s="4097">
        <f>IFERROR(AP101/AP$117,0)</f>
        <v/>
      </c>
      <c r="CM101" s="4097">
        <f>IFERROR(AQ101/AQ$117,0)</f>
        <v/>
      </c>
      <c r="CN101" s="4097">
        <f>IFERROR(AR101/AR$117,0)</f>
        <v/>
      </c>
      <c r="CO101" s="4097">
        <f>IFERROR(AS101/AS$117,0)</f>
        <v/>
      </c>
      <c r="CP101" s="4097">
        <f>IFERROR(AT101/AT$117,0)</f>
        <v/>
      </c>
      <c r="CQ101" s="4099">
        <f>IFERROR(AU101/AU$117,0)</f>
        <v/>
      </c>
      <c r="CR101" s="4097">
        <f>IFERROR(AV101/AV$117,0)</f>
        <v/>
      </c>
      <c r="CS101" s="4097">
        <f>IFERROR(AW101/AW$117,0)</f>
        <v/>
      </c>
      <c r="CT101" s="4097">
        <f>IFERROR(AX101/AX$117,0)</f>
        <v/>
      </c>
      <c r="CU101" s="4097">
        <f>IFERROR(AY101/AY$117,0)</f>
        <v/>
      </c>
      <c r="CV101" s="4097">
        <f>IFERROR(AZ101/AZ$117,0)</f>
        <v/>
      </c>
      <c r="CW101" s="3737" t="n"/>
      <c r="CX101" s="4094">
        <f>SUM(CX91:CX100)</f>
        <v/>
      </c>
    </row>
    <row r="102" hidden="1" outlineLevel="2" ht="12" customFormat="1" customHeight="1" s="3737">
      <c r="A102" s="4059" t="n"/>
      <c r="B102" s="4060" t="n"/>
      <c r="C102" s="4109" t="inlineStr">
        <is>
          <t>Telecom customer revenue</t>
        </is>
      </c>
      <c r="D102" s="4093" t="n">
        <v>411350</v>
      </c>
      <c r="E102" s="4093">
        <f>CONCATENATE(D102," - ",C102)</f>
        <v/>
      </c>
      <c r="F102" s="4094" t="n"/>
      <c r="G102" s="4094" t="n"/>
      <c r="H102" s="4094" t="n"/>
      <c r="I102" s="4094" t="n"/>
      <c r="J102" s="4094" t="n"/>
      <c r="K102" s="4094" t="n"/>
      <c r="L102" s="4094" t="n"/>
      <c r="M102" s="4094" t="n"/>
      <c r="N102" s="4094" t="n"/>
      <c r="O102" s="4094" t="n"/>
      <c r="P102" s="4094" t="n"/>
      <c r="Q102" s="4095" t="n"/>
      <c r="R102" s="4094" t="n"/>
      <c r="S102" s="4094" t="n"/>
      <c r="T102" s="4094" t="n"/>
      <c r="U102" s="4094" t="n"/>
      <c r="V102" s="4094" t="n"/>
      <c r="W102" s="4094" t="n"/>
      <c r="X102" s="4094" t="n"/>
      <c r="Y102" s="4094" t="n"/>
      <c r="Z102" s="4094" t="n"/>
      <c r="AA102" s="4094" t="n"/>
      <c r="AB102" s="4094" t="n"/>
      <c r="AC102" s="4095" t="n"/>
      <c r="AD102" s="4094" t="n"/>
      <c r="AE102" s="4094" t="n"/>
      <c r="AF102" s="4094" t="n"/>
      <c r="AG102" s="4094" t="n"/>
      <c r="AH102" s="4094" t="n"/>
      <c r="AI102" s="4094" t="n"/>
      <c r="AJ102" s="4094" t="n"/>
      <c r="AK102" s="4094" t="n"/>
      <c r="AL102" s="4094" t="n"/>
      <c r="AM102" s="4094" t="n"/>
      <c r="AN102" s="4094" t="n"/>
      <c r="AO102" s="4095" t="n"/>
      <c r="AP102" s="4094" t="n">
        <v>94.65123</v>
      </c>
      <c r="AQ102" s="4094" t="n">
        <v>101.34443</v>
      </c>
      <c r="AR102" s="4094" t="n">
        <v>94.60339999999999</v>
      </c>
      <c r="AS102" s="4094" t="n">
        <v>114.03621</v>
      </c>
      <c r="AT102" s="4094" t="n">
        <v>101.53025</v>
      </c>
      <c r="AU102" s="4096" t="n">
        <v>103.03193</v>
      </c>
      <c r="AV102" s="4094">
        <f>SUM(F102:Q102)</f>
        <v/>
      </c>
      <c r="AW102" s="4094">
        <f>SUM(R102:AC102)</f>
        <v/>
      </c>
      <c r="AX102" s="4094">
        <f>SUM(AD102:AO102)</f>
        <v/>
      </c>
      <c r="AY102" s="4094">
        <f>SUM(AH102:AS102)</f>
        <v/>
      </c>
      <c r="AZ102" s="4094">
        <f>SUM(AJ102:AU102)</f>
        <v/>
      </c>
      <c r="BA102" s="3737" t="n"/>
      <c r="BB102" s="4097">
        <f>IFERROR(F102/F$117,0)</f>
        <v/>
      </c>
      <c r="BC102" s="4097">
        <f>IFERROR(G102/G$117,0)</f>
        <v/>
      </c>
      <c r="BD102" s="4097">
        <f>IFERROR(H102/H$117,0)</f>
        <v/>
      </c>
      <c r="BE102" s="4097">
        <f>IFERROR(I102/I$117,0)</f>
        <v/>
      </c>
      <c r="BF102" s="4097">
        <f>IFERROR(J102/J$117,0)</f>
        <v/>
      </c>
      <c r="BG102" s="4097">
        <f>IFERROR(K102/K$117,0)</f>
        <v/>
      </c>
      <c r="BH102" s="4097">
        <f>IFERROR(L102/L$117,0)</f>
        <v/>
      </c>
      <c r="BI102" s="4097">
        <f>IFERROR(M102/M$117,0)</f>
        <v/>
      </c>
      <c r="BJ102" s="4097">
        <f>IFERROR(N102/N$117,0)</f>
        <v/>
      </c>
      <c r="BK102" s="4097">
        <f>IFERROR(O102/O$117,0)</f>
        <v/>
      </c>
      <c r="BL102" s="4097">
        <f>IFERROR(P102/P$117,0)</f>
        <v/>
      </c>
      <c r="BM102" s="4098">
        <f>IFERROR(Q102/Q$117,0)</f>
        <v/>
      </c>
      <c r="BN102" s="4097">
        <f>IFERROR(R102/R$117,0)</f>
        <v/>
      </c>
      <c r="BO102" s="4097">
        <f>IFERROR(S102/S$117,0)</f>
        <v/>
      </c>
      <c r="BP102" s="4097">
        <f>IFERROR(T102/T$117,0)</f>
        <v/>
      </c>
      <c r="BQ102" s="4097">
        <f>IFERROR(U102/U$117,0)</f>
        <v/>
      </c>
      <c r="BR102" s="4097">
        <f>IFERROR(V102/V$117,0)</f>
        <v/>
      </c>
      <c r="BS102" s="4097">
        <f>IFERROR(W102/W$117,0)</f>
        <v/>
      </c>
      <c r="BT102" s="4097">
        <f>IFERROR(X102/X$117,0)</f>
        <v/>
      </c>
      <c r="BU102" s="4097">
        <f>IFERROR(Y102/Y$117,0)</f>
        <v/>
      </c>
      <c r="BV102" s="4097">
        <f>IFERROR(Z102/Z$117,0)</f>
        <v/>
      </c>
      <c r="BW102" s="4097">
        <f>IFERROR(AA102/AA$117,0)</f>
        <v/>
      </c>
      <c r="BX102" s="4097">
        <f>IFERROR(AB102/AB$117,0)</f>
        <v/>
      </c>
      <c r="BY102" s="4098">
        <f>IFERROR(AC102/AC$117,0)</f>
        <v/>
      </c>
      <c r="BZ102" s="4097">
        <f>IFERROR(AD102/AD$117,0)</f>
        <v/>
      </c>
      <c r="CA102" s="4097">
        <f>IFERROR(AE102/AE$117,0)</f>
        <v/>
      </c>
      <c r="CB102" s="4097">
        <f>IFERROR(AF102/AF$117,0)</f>
        <v/>
      </c>
      <c r="CC102" s="4097">
        <f>IFERROR(AG102/AG$117,0)</f>
        <v/>
      </c>
      <c r="CD102" s="4097">
        <f>IFERROR(AH102/AH$117,0)</f>
        <v/>
      </c>
      <c r="CE102" s="4097">
        <f>IFERROR(AI102/AI$117,0)</f>
        <v/>
      </c>
      <c r="CF102" s="4097">
        <f>IFERROR(AJ102/AJ$117,0)</f>
        <v/>
      </c>
      <c r="CG102" s="4097">
        <f>IFERROR(AK102/AK$117,0)</f>
        <v/>
      </c>
      <c r="CH102" s="4097">
        <f>IFERROR(AL102/AL$117,0)</f>
        <v/>
      </c>
      <c r="CI102" s="4097">
        <f>IFERROR(AM102/AM$117,0)</f>
        <v/>
      </c>
      <c r="CJ102" s="4097">
        <f>IFERROR(AN102/AN$117,0)</f>
        <v/>
      </c>
      <c r="CK102" s="4098">
        <f>IFERROR(AO102/AO$117,0)</f>
        <v/>
      </c>
      <c r="CL102" s="4097">
        <f>IFERROR(AP102/AP$117,0)</f>
        <v/>
      </c>
      <c r="CM102" s="4097">
        <f>IFERROR(AQ102/AQ$117,0)</f>
        <v/>
      </c>
      <c r="CN102" s="4097">
        <f>IFERROR(AR102/AR$117,0)</f>
        <v/>
      </c>
      <c r="CO102" s="4097">
        <f>IFERROR(AS102/AS$117,0)</f>
        <v/>
      </c>
      <c r="CP102" s="4097">
        <f>IFERROR(AT102/AT$117,0)</f>
        <v/>
      </c>
      <c r="CQ102" s="4099">
        <f>IFERROR(AU102/AU$117,0)</f>
        <v/>
      </c>
      <c r="CR102" s="4097">
        <f>IFERROR(AV102/AV$117,0)</f>
        <v/>
      </c>
      <c r="CS102" s="4097">
        <f>IFERROR(AW102/AW$117,0)</f>
        <v/>
      </c>
      <c r="CT102" s="4097">
        <f>IFERROR(AX102/AX$117,0)</f>
        <v/>
      </c>
      <c r="CU102" s="4097">
        <f>IFERROR(AY102/AY$117,0)</f>
        <v/>
      </c>
      <c r="CV102" s="4097">
        <f>IFERROR(AZ102/AZ$117,0)</f>
        <v/>
      </c>
      <c r="CW102" s="3737" t="n"/>
      <c r="CX102" s="4094" t="n">
        <v>1167.9813</v>
      </c>
    </row>
    <row r="103" hidden="1" outlineLevel="2" ht="12" customFormat="1" customHeight="1" s="3737">
      <c r="A103" s="4059" t="n"/>
      <c r="B103" s="4060" t="n"/>
      <c r="C103" s="4110" t="inlineStr">
        <is>
          <t>Telecom shared recovery revenue</t>
        </is>
      </c>
      <c r="D103" s="4101" t="n">
        <v>411351</v>
      </c>
      <c r="E103" s="4101">
        <f>CONCATENATE(D103," - ",C103)</f>
        <v/>
      </c>
      <c r="F103" s="4102" t="n"/>
      <c r="G103" s="4102" t="n"/>
      <c r="H103" s="4102" t="n"/>
      <c r="I103" s="4102" t="n"/>
      <c r="J103" s="4102" t="n"/>
      <c r="K103" s="4102" t="n"/>
      <c r="L103" s="4102" t="n"/>
      <c r="M103" s="4102" t="n"/>
      <c r="N103" s="4102" t="n"/>
      <c r="O103" s="4102" t="n"/>
      <c r="P103" s="4102" t="n"/>
      <c r="Q103" s="4103" t="n"/>
      <c r="R103" s="4102" t="n"/>
      <c r="S103" s="4102" t="n"/>
      <c r="T103" s="4102" t="n"/>
      <c r="U103" s="4102" t="n"/>
      <c r="V103" s="4102" t="n"/>
      <c r="W103" s="4102" t="n"/>
      <c r="X103" s="4102" t="n"/>
      <c r="Y103" s="4102" t="n"/>
      <c r="Z103" s="4102" t="n"/>
      <c r="AA103" s="4102" t="n"/>
      <c r="AB103" s="4102" t="n"/>
      <c r="AC103" s="4103" t="n"/>
      <c r="AD103" s="4102" t="n"/>
      <c r="AE103" s="4102" t="n"/>
      <c r="AF103" s="4102" t="n"/>
      <c r="AG103" s="4102" t="n"/>
      <c r="AH103" s="4102" t="n"/>
      <c r="AI103" s="4102" t="n"/>
      <c r="AJ103" s="4102" t="n"/>
      <c r="AK103" s="4102" t="n"/>
      <c r="AL103" s="4102" t="n"/>
      <c r="AM103" s="4102" t="n"/>
      <c r="AN103" s="4102" t="n"/>
      <c r="AO103" s="4103" t="n"/>
      <c r="AP103" s="4102" t="n">
        <v>28.75</v>
      </c>
      <c r="AQ103" s="4102" t="n">
        <v>28.74999</v>
      </c>
      <c r="AR103" s="4102" t="n">
        <v>28.75003</v>
      </c>
      <c r="AS103" s="4102" t="n">
        <v>28.75001</v>
      </c>
      <c r="AT103" s="4102" t="n">
        <v>28.75001</v>
      </c>
      <c r="AU103" s="4104" t="n">
        <v>28.75003</v>
      </c>
      <c r="AV103" s="4102">
        <f>SUM(F103:Q103)</f>
        <v/>
      </c>
      <c r="AW103" s="4102">
        <f>SUM(R103:AC103)</f>
        <v/>
      </c>
      <c r="AX103" s="4102">
        <f>SUM(AD103:AO103)</f>
        <v/>
      </c>
      <c r="AY103" s="4102">
        <f>SUM(AH103:AS103)</f>
        <v/>
      </c>
      <c r="AZ103" s="4102">
        <f>SUM(AJ103:AU103)</f>
        <v/>
      </c>
      <c r="BA103" s="3737" t="n"/>
      <c r="BB103" s="4105">
        <f>IFERROR(F103/F$117,0)</f>
        <v/>
      </c>
      <c r="BC103" s="4105">
        <f>IFERROR(G103/G$117,0)</f>
        <v/>
      </c>
      <c r="BD103" s="4105">
        <f>IFERROR(H103/H$117,0)</f>
        <v/>
      </c>
      <c r="BE103" s="4105">
        <f>IFERROR(I103/I$117,0)</f>
        <v/>
      </c>
      <c r="BF103" s="4105">
        <f>IFERROR(J103/J$117,0)</f>
        <v/>
      </c>
      <c r="BG103" s="4105">
        <f>IFERROR(K103/K$117,0)</f>
        <v/>
      </c>
      <c r="BH103" s="4105">
        <f>IFERROR(L103/L$117,0)</f>
        <v/>
      </c>
      <c r="BI103" s="4105">
        <f>IFERROR(M103/M$117,0)</f>
        <v/>
      </c>
      <c r="BJ103" s="4105">
        <f>IFERROR(N103/N$117,0)</f>
        <v/>
      </c>
      <c r="BK103" s="4105">
        <f>IFERROR(O103/O$117,0)</f>
        <v/>
      </c>
      <c r="BL103" s="4105">
        <f>IFERROR(P103/P$117,0)</f>
        <v/>
      </c>
      <c r="BM103" s="4106">
        <f>IFERROR(Q103/Q$117,0)</f>
        <v/>
      </c>
      <c r="BN103" s="4105">
        <f>IFERROR(R103/R$117,0)</f>
        <v/>
      </c>
      <c r="BO103" s="4105">
        <f>IFERROR(S103/S$117,0)</f>
        <v/>
      </c>
      <c r="BP103" s="4105">
        <f>IFERROR(T103/T$117,0)</f>
        <v/>
      </c>
      <c r="BQ103" s="4105">
        <f>IFERROR(U103/U$117,0)</f>
        <v/>
      </c>
      <c r="BR103" s="4105">
        <f>IFERROR(V103/V$117,0)</f>
        <v/>
      </c>
      <c r="BS103" s="4105">
        <f>IFERROR(W103/W$117,0)</f>
        <v/>
      </c>
      <c r="BT103" s="4105">
        <f>IFERROR(X103/X$117,0)</f>
        <v/>
      </c>
      <c r="BU103" s="4105">
        <f>IFERROR(Y103/Y$117,0)</f>
        <v/>
      </c>
      <c r="BV103" s="4105">
        <f>IFERROR(Z103/Z$117,0)</f>
        <v/>
      </c>
      <c r="BW103" s="4105">
        <f>IFERROR(AA103/AA$117,0)</f>
        <v/>
      </c>
      <c r="BX103" s="4105">
        <f>IFERROR(AB103/AB$117,0)</f>
        <v/>
      </c>
      <c r="BY103" s="4106">
        <f>IFERROR(AC103/AC$117,0)</f>
        <v/>
      </c>
      <c r="BZ103" s="4105">
        <f>IFERROR(AD103/AD$117,0)</f>
        <v/>
      </c>
      <c r="CA103" s="4105">
        <f>IFERROR(AE103/AE$117,0)</f>
        <v/>
      </c>
      <c r="CB103" s="4105">
        <f>IFERROR(AF103/AF$117,0)</f>
        <v/>
      </c>
      <c r="CC103" s="4105">
        <f>IFERROR(AG103/AG$117,0)</f>
        <v/>
      </c>
      <c r="CD103" s="4105">
        <f>IFERROR(AH103/AH$117,0)</f>
        <v/>
      </c>
      <c r="CE103" s="4105">
        <f>IFERROR(AI103/AI$117,0)</f>
        <v/>
      </c>
      <c r="CF103" s="4105">
        <f>IFERROR(AJ103/AJ$117,0)</f>
        <v/>
      </c>
      <c r="CG103" s="4105">
        <f>IFERROR(AK103/AK$117,0)</f>
        <v/>
      </c>
      <c r="CH103" s="4105">
        <f>IFERROR(AL103/AL$117,0)</f>
        <v/>
      </c>
      <c r="CI103" s="4105">
        <f>IFERROR(AM103/AM$117,0)</f>
        <v/>
      </c>
      <c r="CJ103" s="4105">
        <f>IFERROR(AN103/AN$117,0)</f>
        <v/>
      </c>
      <c r="CK103" s="4106">
        <f>IFERROR(AO103/AO$117,0)</f>
        <v/>
      </c>
      <c r="CL103" s="4105">
        <f>IFERROR(AP103/AP$117,0)</f>
        <v/>
      </c>
      <c r="CM103" s="4105">
        <f>IFERROR(AQ103/AQ$117,0)</f>
        <v/>
      </c>
      <c r="CN103" s="4105">
        <f>IFERROR(AR103/AR$117,0)</f>
        <v/>
      </c>
      <c r="CO103" s="4105">
        <f>IFERROR(AS103/AS$117,0)</f>
        <v/>
      </c>
      <c r="CP103" s="4105">
        <f>IFERROR(AT103/AT$117,0)</f>
        <v/>
      </c>
      <c r="CQ103" s="4107">
        <f>IFERROR(AU103/AU$117,0)</f>
        <v/>
      </c>
      <c r="CR103" s="4105">
        <f>IFERROR(AV103/AV$117,0)</f>
        <v/>
      </c>
      <c r="CS103" s="4105">
        <f>IFERROR(AW103/AW$117,0)</f>
        <v/>
      </c>
      <c r="CT103" s="4105">
        <f>IFERROR(AX103/AX$117,0)</f>
        <v/>
      </c>
      <c r="CU103" s="4105">
        <f>IFERROR(AY103/AY$117,0)</f>
        <v/>
      </c>
      <c r="CV103" s="4105">
        <f>IFERROR(AZ103/AZ$117,0)</f>
        <v/>
      </c>
      <c r="CW103" s="3737" t="n"/>
      <c r="CX103" s="4102" t="n">
        <v>345.00001</v>
      </c>
    </row>
    <row r="104" hidden="1" outlineLevel="1" collapsed="1" ht="12" customFormat="1" customHeight="1" s="3737">
      <c r="A104" s="4059" t="n"/>
      <c r="B104" s="4060" t="n"/>
      <c r="C104" s="4111" t="inlineStr">
        <is>
          <t>Telecomm recovery</t>
        </is>
      </c>
      <c r="D104" s="4093" t="n"/>
      <c r="E104" s="4093" t="n"/>
      <c r="F104" s="4094" t="n"/>
      <c r="G104" s="4094" t="n"/>
      <c r="H104" s="4094" t="n"/>
      <c r="I104" s="4094" t="n"/>
      <c r="J104" s="4094" t="n"/>
      <c r="K104" s="4094" t="n"/>
      <c r="L104" s="4094" t="n"/>
      <c r="M104" s="4094" t="n"/>
      <c r="N104" s="4094" t="n"/>
      <c r="O104" s="4094" t="n"/>
      <c r="P104" s="4094" t="n"/>
      <c r="Q104" s="4095" t="n"/>
      <c r="R104" s="4094" t="n"/>
      <c r="S104" s="4094" t="n"/>
      <c r="T104" s="4094" t="n"/>
      <c r="U104" s="4094" t="n"/>
      <c r="V104" s="4094" t="n"/>
      <c r="W104" s="4094" t="n"/>
      <c r="X104" s="4094" t="n"/>
      <c r="Y104" s="4094" t="n"/>
      <c r="Z104" s="4094" t="n"/>
      <c r="AA104" s="4094" t="n"/>
      <c r="AB104" s="4094" t="n"/>
      <c r="AC104" s="4095" t="n"/>
      <c r="AD104" s="4094" t="n"/>
      <c r="AE104" s="4094" t="n"/>
      <c r="AF104" s="4094" t="n"/>
      <c r="AG104" s="4094" t="n"/>
      <c r="AH104" s="4094" t="n"/>
      <c r="AI104" s="4094" t="n"/>
      <c r="AJ104" s="4094" t="n"/>
      <c r="AK104" s="4094" t="n"/>
      <c r="AL104" s="4094" t="n"/>
      <c r="AM104" s="4094" t="n"/>
      <c r="AN104" s="4094" t="n"/>
      <c r="AO104" s="4095" t="n"/>
      <c r="AP104" s="4094">
        <f>SUM(AP102:AP103)</f>
        <v/>
      </c>
      <c r="AQ104" s="4094">
        <f>SUM(AQ102:AQ103)</f>
        <v/>
      </c>
      <c r="AR104" s="4094">
        <f>SUM(AR102:AR103)</f>
        <v/>
      </c>
      <c r="AS104" s="4094">
        <f>SUM(AS102:AS103)</f>
        <v/>
      </c>
      <c r="AT104" s="4094">
        <f>SUM(AT102:AT103)</f>
        <v/>
      </c>
      <c r="AU104" s="4096">
        <f>SUM(AU102:AU103)</f>
        <v/>
      </c>
      <c r="AV104" s="4094">
        <f>SUM(AV102:AV103)</f>
        <v/>
      </c>
      <c r="AW104" s="4094">
        <f>SUM(AW102:AW103)</f>
        <v/>
      </c>
      <c r="AX104" s="4094">
        <f>SUM(AX102:AX103)</f>
        <v/>
      </c>
      <c r="AY104" s="4094">
        <f>SUM(AY102:AY103)</f>
        <v/>
      </c>
      <c r="AZ104" s="4094">
        <f>SUM(AZ102:AZ103)</f>
        <v/>
      </c>
      <c r="BA104" s="3737" t="n"/>
      <c r="BB104" s="4097">
        <f>IFERROR(F104/F$117,0)</f>
        <v/>
      </c>
      <c r="BC104" s="4097">
        <f>IFERROR(G104/G$117,0)</f>
        <v/>
      </c>
      <c r="BD104" s="4097">
        <f>IFERROR(H104/H$117,0)</f>
        <v/>
      </c>
      <c r="BE104" s="4097">
        <f>IFERROR(I104/I$117,0)</f>
        <v/>
      </c>
      <c r="BF104" s="4097">
        <f>IFERROR(J104/J$117,0)</f>
        <v/>
      </c>
      <c r="BG104" s="4097">
        <f>IFERROR(K104/K$117,0)</f>
        <v/>
      </c>
      <c r="BH104" s="4097">
        <f>IFERROR(L104/L$117,0)</f>
        <v/>
      </c>
      <c r="BI104" s="4097">
        <f>IFERROR(M104/M$117,0)</f>
        <v/>
      </c>
      <c r="BJ104" s="4097">
        <f>IFERROR(N104/N$117,0)</f>
        <v/>
      </c>
      <c r="BK104" s="4097">
        <f>IFERROR(O104/O$117,0)</f>
        <v/>
      </c>
      <c r="BL104" s="4097">
        <f>IFERROR(P104/P$117,0)</f>
        <v/>
      </c>
      <c r="BM104" s="4098">
        <f>IFERROR(Q104/Q$117,0)</f>
        <v/>
      </c>
      <c r="BN104" s="4097">
        <f>IFERROR(R104/R$117,0)</f>
        <v/>
      </c>
      <c r="BO104" s="4097">
        <f>IFERROR(S104/S$117,0)</f>
        <v/>
      </c>
      <c r="BP104" s="4097">
        <f>IFERROR(T104/T$117,0)</f>
        <v/>
      </c>
      <c r="BQ104" s="4097">
        <f>IFERROR(U104/U$117,0)</f>
        <v/>
      </c>
      <c r="BR104" s="4097">
        <f>IFERROR(V104/V$117,0)</f>
        <v/>
      </c>
      <c r="BS104" s="4097">
        <f>IFERROR(W104/W$117,0)</f>
        <v/>
      </c>
      <c r="BT104" s="4097">
        <f>IFERROR(X104/X$117,0)</f>
        <v/>
      </c>
      <c r="BU104" s="4097">
        <f>IFERROR(Y104/Y$117,0)</f>
        <v/>
      </c>
      <c r="BV104" s="4097">
        <f>IFERROR(Z104/Z$117,0)</f>
        <v/>
      </c>
      <c r="BW104" s="4097">
        <f>IFERROR(AA104/AA$117,0)</f>
        <v/>
      </c>
      <c r="BX104" s="4097">
        <f>IFERROR(AB104/AB$117,0)</f>
        <v/>
      </c>
      <c r="BY104" s="4098">
        <f>IFERROR(AC104/AC$117,0)</f>
        <v/>
      </c>
      <c r="BZ104" s="4097">
        <f>IFERROR(AD104/AD$117,0)</f>
        <v/>
      </c>
      <c r="CA104" s="4097">
        <f>IFERROR(AE104/AE$117,0)</f>
        <v/>
      </c>
      <c r="CB104" s="4097">
        <f>IFERROR(AF104/AF$117,0)</f>
        <v/>
      </c>
      <c r="CC104" s="4097">
        <f>IFERROR(AG104/AG$117,0)</f>
        <v/>
      </c>
      <c r="CD104" s="4097">
        <f>IFERROR(AH104/AH$117,0)</f>
        <v/>
      </c>
      <c r="CE104" s="4097">
        <f>IFERROR(AI104/AI$117,0)</f>
        <v/>
      </c>
      <c r="CF104" s="4097">
        <f>IFERROR(AJ104/AJ$117,0)</f>
        <v/>
      </c>
      <c r="CG104" s="4097">
        <f>IFERROR(AK104/AK$117,0)</f>
        <v/>
      </c>
      <c r="CH104" s="4097">
        <f>IFERROR(AL104/AL$117,0)</f>
        <v/>
      </c>
      <c r="CI104" s="4097">
        <f>IFERROR(AM104/AM$117,0)</f>
        <v/>
      </c>
      <c r="CJ104" s="4097">
        <f>IFERROR(AN104/AN$117,0)</f>
        <v/>
      </c>
      <c r="CK104" s="4098">
        <f>IFERROR(AO104/AO$117,0)</f>
        <v/>
      </c>
      <c r="CL104" s="4097">
        <f>IFERROR(AP104/AP$117,0)</f>
        <v/>
      </c>
      <c r="CM104" s="4097">
        <f>IFERROR(AQ104/AQ$117,0)</f>
        <v/>
      </c>
      <c r="CN104" s="4097">
        <f>IFERROR(AR104/AR$117,0)</f>
        <v/>
      </c>
      <c r="CO104" s="4097">
        <f>IFERROR(AS104/AS$117,0)</f>
        <v/>
      </c>
      <c r="CP104" s="4097">
        <f>IFERROR(AT104/AT$117,0)</f>
        <v/>
      </c>
      <c r="CQ104" s="4099">
        <f>IFERROR(AU104/AU$117,0)</f>
        <v/>
      </c>
      <c r="CR104" s="4097">
        <f>IFERROR(AV104/AV$117,0)</f>
        <v/>
      </c>
      <c r="CS104" s="4097">
        <f>IFERROR(AW104/AW$117,0)</f>
        <v/>
      </c>
      <c r="CT104" s="4097">
        <f>IFERROR(AX104/AX$117,0)</f>
        <v/>
      </c>
      <c r="CU104" s="4097">
        <f>IFERROR(AY104/AY$117,0)</f>
        <v/>
      </c>
      <c r="CV104" s="4097">
        <f>IFERROR(AZ104/AZ$117,0)</f>
        <v/>
      </c>
      <c r="CW104" s="3737" t="n"/>
      <c r="CX104" s="4094">
        <f>SUM(CX102:CX103)</f>
        <v/>
      </c>
    </row>
    <row r="105" hidden="1" outlineLevel="2" ht="12" customFormat="1" customHeight="1" s="3737">
      <c r="A105" s="4059" t="n"/>
      <c r="B105" s="4060" t="n"/>
      <c r="C105" s="4109" t="inlineStr">
        <is>
          <t>Equipment maintenance revenue</t>
        </is>
      </c>
      <c r="D105" s="4093" t="n">
        <v>435801</v>
      </c>
      <c r="E105" s="4093">
        <f>CONCATENATE(D105," - ",C105)</f>
        <v/>
      </c>
      <c r="F105" s="4094" t="n"/>
      <c r="G105" s="4094" t="n"/>
      <c r="H105" s="4094" t="n"/>
      <c r="I105" s="4094" t="n"/>
      <c r="J105" s="4094" t="n"/>
      <c r="K105" s="4094" t="n"/>
      <c r="L105" s="4094" t="n"/>
      <c r="M105" s="4094" t="n"/>
      <c r="N105" s="4094" t="n"/>
      <c r="O105" s="4094" t="n"/>
      <c r="P105" s="4094" t="n"/>
      <c r="Q105" s="4095" t="n"/>
      <c r="R105" s="4094" t="n"/>
      <c r="S105" s="4094" t="n"/>
      <c r="T105" s="4094" t="n"/>
      <c r="U105" s="4094" t="n"/>
      <c r="V105" s="4094" t="n"/>
      <c r="W105" s="4094" t="n"/>
      <c r="X105" s="4094" t="n"/>
      <c r="Y105" s="4094" t="n"/>
      <c r="Z105" s="4094" t="n"/>
      <c r="AA105" s="4094" t="n"/>
      <c r="AB105" s="4094" t="n"/>
      <c r="AC105" s="4095" t="n"/>
      <c r="AD105" s="4094" t="n"/>
      <c r="AE105" s="4094" t="n"/>
      <c r="AF105" s="4094" t="n"/>
      <c r="AG105" s="4094" t="n"/>
      <c r="AH105" s="4094" t="n"/>
      <c r="AI105" s="4094" t="n"/>
      <c r="AJ105" s="4094" t="n"/>
      <c r="AK105" s="4094" t="n"/>
      <c r="AL105" s="4094" t="n"/>
      <c r="AM105" s="4094" t="n"/>
      <c r="AN105" s="4094" t="n"/>
      <c r="AO105" s="4095" t="n"/>
      <c r="AP105" s="4094" t="n">
        <v>11</v>
      </c>
      <c r="AQ105" s="4094" t="n">
        <v>11.94037</v>
      </c>
      <c r="AR105" s="4094" t="n">
        <v>11.47019</v>
      </c>
      <c r="AS105" s="4094" t="n">
        <v>11.86205</v>
      </c>
      <c r="AT105" s="4094" t="n">
        <v>11.47019</v>
      </c>
      <c r="AU105" s="4096" t="n">
        <v>11.47019</v>
      </c>
      <c r="AV105" s="4094">
        <f>SUM(F105:Q105)</f>
        <v/>
      </c>
      <c r="AW105" s="4094">
        <f>SUM(R105:AC105)</f>
        <v/>
      </c>
      <c r="AX105" s="4094">
        <f>SUM(AD105:AO105)</f>
        <v/>
      </c>
      <c r="AY105" s="4094">
        <f>SUM(AH105:AS105)</f>
        <v/>
      </c>
      <c r="AZ105" s="4094">
        <f>SUM(AJ105:AU105)</f>
        <v/>
      </c>
      <c r="BA105" s="3737" t="n"/>
      <c r="BB105" s="4097">
        <f>IFERROR(F105/F$117,0)</f>
        <v/>
      </c>
      <c r="BC105" s="4097">
        <f>IFERROR(G105/G$117,0)</f>
        <v/>
      </c>
      <c r="BD105" s="4097">
        <f>IFERROR(H105/H$117,0)</f>
        <v/>
      </c>
      <c r="BE105" s="4097">
        <f>IFERROR(I105/I$117,0)</f>
        <v/>
      </c>
      <c r="BF105" s="4097">
        <f>IFERROR(J105/J$117,0)</f>
        <v/>
      </c>
      <c r="BG105" s="4097">
        <f>IFERROR(K105/K$117,0)</f>
        <v/>
      </c>
      <c r="BH105" s="4097">
        <f>IFERROR(L105/L$117,0)</f>
        <v/>
      </c>
      <c r="BI105" s="4097">
        <f>IFERROR(M105/M$117,0)</f>
        <v/>
      </c>
      <c r="BJ105" s="4097">
        <f>IFERROR(N105/N$117,0)</f>
        <v/>
      </c>
      <c r="BK105" s="4097">
        <f>IFERROR(O105/O$117,0)</f>
        <v/>
      </c>
      <c r="BL105" s="4097">
        <f>IFERROR(P105/P$117,0)</f>
        <v/>
      </c>
      <c r="BM105" s="4098">
        <f>IFERROR(Q105/Q$117,0)</f>
        <v/>
      </c>
      <c r="BN105" s="4097">
        <f>IFERROR(R105/R$117,0)</f>
        <v/>
      </c>
      <c r="BO105" s="4097">
        <f>IFERROR(S105/S$117,0)</f>
        <v/>
      </c>
      <c r="BP105" s="4097">
        <f>IFERROR(T105/T$117,0)</f>
        <v/>
      </c>
      <c r="BQ105" s="4097">
        <f>IFERROR(U105/U$117,0)</f>
        <v/>
      </c>
      <c r="BR105" s="4097">
        <f>IFERROR(V105/V$117,0)</f>
        <v/>
      </c>
      <c r="BS105" s="4097">
        <f>IFERROR(W105/W$117,0)</f>
        <v/>
      </c>
      <c r="BT105" s="4097">
        <f>IFERROR(X105/X$117,0)</f>
        <v/>
      </c>
      <c r="BU105" s="4097">
        <f>IFERROR(Y105/Y$117,0)</f>
        <v/>
      </c>
      <c r="BV105" s="4097">
        <f>IFERROR(Z105/Z$117,0)</f>
        <v/>
      </c>
      <c r="BW105" s="4097">
        <f>IFERROR(AA105/AA$117,0)</f>
        <v/>
      </c>
      <c r="BX105" s="4097">
        <f>IFERROR(AB105/AB$117,0)</f>
        <v/>
      </c>
      <c r="BY105" s="4098">
        <f>IFERROR(AC105/AC$117,0)</f>
        <v/>
      </c>
      <c r="BZ105" s="4097">
        <f>IFERROR(AD105/AD$117,0)</f>
        <v/>
      </c>
      <c r="CA105" s="4097">
        <f>IFERROR(AE105/AE$117,0)</f>
        <v/>
      </c>
      <c r="CB105" s="4097">
        <f>IFERROR(AF105/AF$117,0)</f>
        <v/>
      </c>
      <c r="CC105" s="4097">
        <f>IFERROR(AG105/AG$117,0)</f>
        <v/>
      </c>
      <c r="CD105" s="4097">
        <f>IFERROR(AH105/AH$117,0)</f>
        <v/>
      </c>
      <c r="CE105" s="4097">
        <f>IFERROR(AI105/AI$117,0)</f>
        <v/>
      </c>
      <c r="CF105" s="4097">
        <f>IFERROR(AJ105/AJ$117,0)</f>
        <v/>
      </c>
      <c r="CG105" s="4097">
        <f>IFERROR(AK105/AK$117,0)</f>
        <v/>
      </c>
      <c r="CH105" s="4097">
        <f>IFERROR(AL105/AL$117,0)</f>
        <v/>
      </c>
      <c r="CI105" s="4097">
        <f>IFERROR(AM105/AM$117,0)</f>
        <v/>
      </c>
      <c r="CJ105" s="4097">
        <f>IFERROR(AN105/AN$117,0)</f>
        <v/>
      </c>
      <c r="CK105" s="4098">
        <f>IFERROR(AO105/AO$117,0)</f>
        <v/>
      </c>
      <c r="CL105" s="4097">
        <f>IFERROR(AP105/AP$117,0)</f>
        <v/>
      </c>
      <c r="CM105" s="4097">
        <f>IFERROR(AQ105/AQ$117,0)</f>
        <v/>
      </c>
      <c r="CN105" s="4097">
        <f>IFERROR(AR105/AR$117,0)</f>
        <v/>
      </c>
      <c r="CO105" s="4097">
        <f>IFERROR(AS105/AS$117,0)</f>
        <v/>
      </c>
      <c r="CP105" s="4097">
        <f>IFERROR(AT105/AT$117,0)</f>
        <v/>
      </c>
      <c r="CQ105" s="4099">
        <f>IFERROR(AU105/AU$117,0)</f>
        <v/>
      </c>
      <c r="CR105" s="4097">
        <f>IFERROR(AV105/AV$117,0)</f>
        <v/>
      </c>
      <c r="CS105" s="4097">
        <f>IFERROR(AW105/AW$117,0)</f>
        <v/>
      </c>
      <c r="CT105" s="4097">
        <f>IFERROR(AX105/AX$117,0)</f>
        <v/>
      </c>
      <c r="CU105" s="4097">
        <f>IFERROR(AY105/AY$117,0)</f>
        <v/>
      </c>
      <c r="CV105" s="4097">
        <f>IFERROR(AZ105/AZ$117,0)</f>
        <v/>
      </c>
      <c r="CW105" s="3737" t="n"/>
      <c r="CX105" s="4094" t="n">
        <v>142.95464</v>
      </c>
    </row>
    <row r="106" hidden="1" outlineLevel="2" ht="12" customFormat="1" customHeight="1" s="3737">
      <c r="A106" s="4059" t="n"/>
      <c r="B106" s="4060" t="n"/>
      <c r="C106" s="4109" t="inlineStr">
        <is>
          <t>Printer driving</t>
        </is>
      </c>
      <c r="D106" s="4093" t="n">
        <v>435802</v>
      </c>
      <c r="E106" s="4093">
        <f>CONCATENATE(D106," - ",C106)</f>
        <v/>
      </c>
      <c r="F106" s="4094" t="n"/>
      <c r="G106" s="4094" t="n"/>
      <c r="H106" s="4094" t="n"/>
      <c r="I106" s="4094" t="n"/>
      <c r="J106" s="4094" t="n"/>
      <c r="K106" s="4094" t="n"/>
      <c r="L106" s="4094" t="n"/>
      <c r="M106" s="4094" t="n"/>
      <c r="N106" s="4094" t="n"/>
      <c r="O106" s="4094" t="n"/>
      <c r="P106" s="4094" t="n"/>
      <c r="Q106" s="4095" t="n"/>
      <c r="R106" s="4094" t="n"/>
      <c r="S106" s="4094" t="n"/>
      <c r="T106" s="4094" t="n"/>
      <c r="U106" s="4094" t="n"/>
      <c r="V106" s="4094" t="n"/>
      <c r="W106" s="4094" t="n"/>
      <c r="X106" s="4094" t="n"/>
      <c r="Y106" s="4094" t="n"/>
      <c r="Z106" s="4094" t="n"/>
      <c r="AA106" s="4094" t="n"/>
      <c r="AB106" s="4094" t="n"/>
      <c r="AC106" s="4095" t="n"/>
      <c r="AD106" s="4094" t="n"/>
      <c r="AE106" s="4094" t="n"/>
      <c r="AF106" s="4094" t="n"/>
      <c r="AG106" s="4094" t="n"/>
      <c r="AH106" s="4094" t="n"/>
      <c r="AI106" s="4094" t="n"/>
      <c r="AJ106" s="4094" t="n"/>
      <c r="AK106" s="4094" t="n"/>
      <c r="AL106" s="4094" t="n"/>
      <c r="AM106" s="4094" t="n"/>
      <c r="AN106" s="4094" t="n"/>
      <c r="AO106" s="4095" t="n"/>
      <c r="AP106" s="4094" t="n">
        <v>0</v>
      </c>
      <c r="AQ106" s="4094" t="n">
        <v>0</v>
      </c>
      <c r="AR106" s="4094" t="n">
        <v>0</v>
      </c>
      <c r="AS106" s="4094" t="n">
        <v>0</v>
      </c>
      <c r="AT106" s="4094" t="n">
        <v>0</v>
      </c>
      <c r="AU106" s="4096" t="n">
        <v>0</v>
      </c>
      <c r="AV106" s="4094">
        <f>SUM(F106:Q106)</f>
        <v/>
      </c>
      <c r="AW106" s="4094">
        <f>SUM(R106:AC106)</f>
        <v/>
      </c>
      <c r="AX106" s="4094">
        <f>SUM(AD106:AO106)</f>
        <v/>
      </c>
      <c r="AY106" s="4094">
        <f>SUM(AH106:AS106)</f>
        <v/>
      </c>
      <c r="AZ106" s="4094">
        <f>SUM(AJ106:AU106)</f>
        <v/>
      </c>
      <c r="BA106" s="3737" t="n"/>
      <c r="BB106" s="4097">
        <f>IFERROR(F106/F$117,0)</f>
        <v/>
      </c>
      <c r="BC106" s="4097">
        <f>IFERROR(G106/G$117,0)</f>
        <v/>
      </c>
      <c r="BD106" s="4097">
        <f>IFERROR(H106/H$117,0)</f>
        <v/>
      </c>
      <c r="BE106" s="4097">
        <f>IFERROR(I106/I$117,0)</f>
        <v/>
      </c>
      <c r="BF106" s="4097">
        <f>IFERROR(J106/J$117,0)</f>
        <v/>
      </c>
      <c r="BG106" s="4097">
        <f>IFERROR(K106/K$117,0)</f>
        <v/>
      </c>
      <c r="BH106" s="4097">
        <f>IFERROR(L106/L$117,0)</f>
        <v/>
      </c>
      <c r="BI106" s="4097">
        <f>IFERROR(M106/M$117,0)</f>
        <v/>
      </c>
      <c r="BJ106" s="4097">
        <f>IFERROR(N106/N$117,0)</f>
        <v/>
      </c>
      <c r="BK106" s="4097">
        <f>IFERROR(O106/O$117,0)</f>
        <v/>
      </c>
      <c r="BL106" s="4097">
        <f>IFERROR(P106/P$117,0)</f>
        <v/>
      </c>
      <c r="BM106" s="4098">
        <f>IFERROR(Q106/Q$117,0)</f>
        <v/>
      </c>
      <c r="BN106" s="4097">
        <f>IFERROR(R106/R$117,0)</f>
        <v/>
      </c>
      <c r="BO106" s="4097">
        <f>IFERROR(S106/S$117,0)</f>
        <v/>
      </c>
      <c r="BP106" s="4097">
        <f>IFERROR(T106/T$117,0)</f>
        <v/>
      </c>
      <c r="BQ106" s="4097">
        <f>IFERROR(U106/U$117,0)</f>
        <v/>
      </c>
      <c r="BR106" s="4097">
        <f>IFERROR(V106/V$117,0)</f>
        <v/>
      </c>
      <c r="BS106" s="4097">
        <f>IFERROR(W106/W$117,0)</f>
        <v/>
      </c>
      <c r="BT106" s="4097">
        <f>IFERROR(X106/X$117,0)</f>
        <v/>
      </c>
      <c r="BU106" s="4097">
        <f>IFERROR(Y106/Y$117,0)</f>
        <v/>
      </c>
      <c r="BV106" s="4097">
        <f>IFERROR(Z106/Z$117,0)</f>
        <v/>
      </c>
      <c r="BW106" s="4097">
        <f>IFERROR(AA106/AA$117,0)</f>
        <v/>
      </c>
      <c r="BX106" s="4097">
        <f>IFERROR(AB106/AB$117,0)</f>
        <v/>
      </c>
      <c r="BY106" s="4098">
        <f>IFERROR(AC106/AC$117,0)</f>
        <v/>
      </c>
      <c r="BZ106" s="4097">
        <f>IFERROR(AD106/AD$117,0)</f>
        <v/>
      </c>
      <c r="CA106" s="4097">
        <f>IFERROR(AE106/AE$117,0)</f>
        <v/>
      </c>
      <c r="CB106" s="4097">
        <f>IFERROR(AF106/AF$117,0)</f>
        <v/>
      </c>
      <c r="CC106" s="4097">
        <f>IFERROR(AG106/AG$117,0)</f>
        <v/>
      </c>
      <c r="CD106" s="4097">
        <f>IFERROR(AH106/AH$117,0)</f>
        <v/>
      </c>
      <c r="CE106" s="4097">
        <f>IFERROR(AI106/AI$117,0)</f>
        <v/>
      </c>
      <c r="CF106" s="4097">
        <f>IFERROR(AJ106/AJ$117,0)</f>
        <v/>
      </c>
      <c r="CG106" s="4097">
        <f>IFERROR(AK106/AK$117,0)</f>
        <v/>
      </c>
      <c r="CH106" s="4097">
        <f>IFERROR(AL106/AL$117,0)</f>
        <v/>
      </c>
      <c r="CI106" s="4097">
        <f>IFERROR(AM106/AM$117,0)</f>
        <v/>
      </c>
      <c r="CJ106" s="4097">
        <f>IFERROR(AN106/AN$117,0)</f>
        <v/>
      </c>
      <c r="CK106" s="4098">
        <f>IFERROR(AO106/AO$117,0)</f>
        <v/>
      </c>
      <c r="CL106" s="4097">
        <f>IFERROR(AP106/AP$117,0)</f>
        <v/>
      </c>
      <c r="CM106" s="4097">
        <f>IFERROR(AQ106/AQ$117,0)</f>
        <v/>
      </c>
      <c r="CN106" s="4097">
        <f>IFERROR(AR106/AR$117,0)</f>
        <v/>
      </c>
      <c r="CO106" s="4097">
        <f>IFERROR(AS106/AS$117,0)</f>
        <v/>
      </c>
      <c r="CP106" s="4097">
        <f>IFERROR(AT106/AT$117,0)</f>
        <v/>
      </c>
      <c r="CQ106" s="4099">
        <f>IFERROR(AU106/AU$117,0)</f>
        <v/>
      </c>
      <c r="CR106" s="4097">
        <f>IFERROR(AV106/AV$117,0)</f>
        <v/>
      </c>
      <c r="CS106" s="4097">
        <f>IFERROR(AW106/AW$117,0)</f>
        <v/>
      </c>
      <c r="CT106" s="4097">
        <f>IFERROR(AX106/AX$117,0)</f>
        <v/>
      </c>
      <c r="CU106" s="4097">
        <f>IFERROR(AY106/AY$117,0)</f>
        <v/>
      </c>
      <c r="CV106" s="4097">
        <f>IFERROR(AZ106/AZ$117,0)</f>
        <v/>
      </c>
      <c r="CW106" s="3737" t="n"/>
      <c r="CX106" s="4094" t="n">
        <v>58.4</v>
      </c>
    </row>
    <row r="107" hidden="1" outlineLevel="2" ht="12" customFormat="1" customHeight="1" s="3737">
      <c r="A107" s="4059" t="n"/>
      <c r="B107" s="4060" t="n"/>
      <c r="C107" s="4109" t="inlineStr">
        <is>
          <t>Pin station - driving</t>
        </is>
      </c>
      <c r="D107" s="4093" t="n">
        <v>435803</v>
      </c>
      <c r="E107" s="4093">
        <f>CONCATENATE(D107," - ",C107)</f>
        <v/>
      </c>
      <c r="F107" s="4094" t="n"/>
      <c r="G107" s="4094" t="n"/>
      <c r="H107" s="4094" t="n"/>
      <c r="I107" s="4094" t="n"/>
      <c r="J107" s="4094" t="n"/>
      <c r="K107" s="4094" t="n"/>
      <c r="L107" s="4094" t="n"/>
      <c r="M107" s="4094" t="n"/>
      <c r="N107" s="4094" t="n"/>
      <c r="O107" s="4094" t="n"/>
      <c r="P107" s="4094" t="n"/>
      <c r="Q107" s="4095" t="n"/>
      <c r="R107" s="4094" t="n"/>
      <c r="S107" s="4094" t="n"/>
      <c r="T107" s="4094" t="n"/>
      <c r="U107" s="4094" t="n"/>
      <c r="V107" s="4094" t="n"/>
      <c r="W107" s="4094" t="n"/>
      <c r="X107" s="4094" t="n"/>
      <c r="Y107" s="4094" t="n"/>
      <c r="Z107" s="4094" t="n"/>
      <c r="AA107" s="4094" t="n"/>
      <c r="AB107" s="4094" t="n"/>
      <c r="AC107" s="4095" t="n"/>
      <c r="AD107" s="4094" t="n"/>
      <c r="AE107" s="4094" t="n"/>
      <c r="AF107" s="4094" t="n"/>
      <c r="AG107" s="4094" t="n"/>
      <c r="AH107" s="4094" t="n"/>
      <c r="AI107" s="4094" t="n"/>
      <c r="AJ107" s="4094" t="n"/>
      <c r="AK107" s="4094" t="n"/>
      <c r="AL107" s="4094" t="n"/>
      <c r="AM107" s="4094" t="n"/>
      <c r="AN107" s="4094" t="n"/>
      <c r="AO107" s="4095" t="n"/>
      <c r="AP107" s="4094" t="n">
        <v>15.94</v>
      </c>
      <c r="AQ107" s="4094" t="n">
        <v>13.835</v>
      </c>
      <c r="AR107" s="4094" t="n">
        <v>13.79</v>
      </c>
      <c r="AS107" s="4094" t="n">
        <v>13.835</v>
      </c>
      <c r="AT107" s="4094" t="n">
        <v>13.835</v>
      </c>
      <c r="AU107" s="4096" t="n">
        <v>13.805</v>
      </c>
      <c r="AV107" s="4094">
        <f>SUM(F107:Q107)</f>
        <v/>
      </c>
      <c r="AW107" s="4094">
        <f>SUM(R107:AC107)</f>
        <v/>
      </c>
      <c r="AX107" s="4094">
        <f>SUM(AD107:AO107)</f>
        <v/>
      </c>
      <c r="AY107" s="4094">
        <f>SUM(AH107:AS107)</f>
        <v/>
      </c>
      <c r="AZ107" s="4094">
        <f>SUM(AJ107:AU107)</f>
        <v/>
      </c>
      <c r="BA107" s="3737" t="n"/>
      <c r="BB107" s="4097">
        <f>IFERROR(F107/F$117,0)</f>
        <v/>
      </c>
      <c r="BC107" s="4097">
        <f>IFERROR(G107/G$117,0)</f>
        <v/>
      </c>
      <c r="BD107" s="4097">
        <f>IFERROR(H107/H$117,0)</f>
        <v/>
      </c>
      <c r="BE107" s="4097">
        <f>IFERROR(I107/I$117,0)</f>
        <v/>
      </c>
      <c r="BF107" s="4097">
        <f>IFERROR(J107/J$117,0)</f>
        <v/>
      </c>
      <c r="BG107" s="4097">
        <f>IFERROR(K107/K$117,0)</f>
        <v/>
      </c>
      <c r="BH107" s="4097">
        <f>IFERROR(L107/L$117,0)</f>
        <v/>
      </c>
      <c r="BI107" s="4097">
        <f>IFERROR(M107/M$117,0)</f>
        <v/>
      </c>
      <c r="BJ107" s="4097">
        <f>IFERROR(N107/N$117,0)</f>
        <v/>
      </c>
      <c r="BK107" s="4097">
        <f>IFERROR(O107/O$117,0)</f>
        <v/>
      </c>
      <c r="BL107" s="4097">
        <f>IFERROR(P107/P$117,0)</f>
        <v/>
      </c>
      <c r="BM107" s="4098">
        <f>IFERROR(Q107/Q$117,0)</f>
        <v/>
      </c>
      <c r="BN107" s="4097">
        <f>IFERROR(R107/R$117,0)</f>
        <v/>
      </c>
      <c r="BO107" s="4097">
        <f>IFERROR(S107/S$117,0)</f>
        <v/>
      </c>
      <c r="BP107" s="4097">
        <f>IFERROR(T107/T$117,0)</f>
        <v/>
      </c>
      <c r="BQ107" s="4097">
        <f>IFERROR(U107/U$117,0)</f>
        <v/>
      </c>
      <c r="BR107" s="4097">
        <f>IFERROR(V107/V$117,0)</f>
        <v/>
      </c>
      <c r="BS107" s="4097">
        <f>IFERROR(W107/W$117,0)</f>
        <v/>
      </c>
      <c r="BT107" s="4097">
        <f>IFERROR(X107/X$117,0)</f>
        <v/>
      </c>
      <c r="BU107" s="4097">
        <f>IFERROR(Y107/Y$117,0)</f>
        <v/>
      </c>
      <c r="BV107" s="4097">
        <f>IFERROR(Z107/Z$117,0)</f>
        <v/>
      </c>
      <c r="BW107" s="4097">
        <f>IFERROR(AA107/AA$117,0)</f>
        <v/>
      </c>
      <c r="BX107" s="4097">
        <f>IFERROR(AB107/AB$117,0)</f>
        <v/>
      </c>
      <c r="BY107" s="4098">
        <f>IFERROR(AC107/AC$117,0)</f>
        <v/>
      </c>
      <c r="BZ107" s="4097">
        <f>IFERROR(AD107/AD$117,0)</f>
        <v/>
      </c>
      <c r="CA107" s="4097">
        <f>IFERROR(AE107/AE$117,0)</f>
        <v/>
      </c>
      <c r="CB107" s="4097">
        <f>IFERROR(AF107/AF$117,0)</f>
        <v/>
      </c>
      <c r="CC107" s="4097">
        <f>IFERROR(AG107/AG$117,0)</f>
        <v/>
      </c>
      <c r="CD107" s="4097">
        <f>IFERROR(AH107/AH$117,0)</f>
        <v/>
      </c>
      <c r="CE107" s="4097">
        <f>IFERROR(AI107/AI$117,0)</f>
        <v/>
      </c>
      <c r="CF107" s="4097">
        <f>IFERROR(AJ107/AJ$117,0)</f>
        <v/>
      </c>
      <c r="CG107" s="4097">
        <f>IFERROR(AK107/AK$117,0)</f>
        <v/>
      </c>
      <c r="CH107" s="4097">
        <f>IFERROR(AL107/AL$117,0)</f>
        <v/>
      </c>
      <c r="CI107" s="4097">
        <f>IFERROR(AM107/AM$117,0)</f>
        <v/>
      </c>
      <c r="CJ107" s="4097">
        <f>IFERROR(AN107/AN$117,0)</f>
        <v/>
      </c>
      <c r="CK107" s="4098">
        <f>IFERROR(AO107/AO$117,0)</f>
        <v/>
      </c>
      <c r="CL107" s="4097">
        <f>IFERROR(AP107/AP$117,0)</f>
        <v/>
      </c>
      <c r="CM107" s="4097">
        <f>IFERROR(AQ107/AQ$117,0)</f>
        <v/>
      </c>
      <c r="CN107" s="4097">
        <f>IFERROR(AR107/AR$117,0)</f>
        <v/>
      </c>
      <c r="CO107" s="4097">
        <f>IFERROR(AS107/AS$117,0)</f>
        <v/>
      </c>
      <c r="CP107" s="4097">
        <f>IFERROR(AT107/AT$117,0)</f>
        <v/>
      </c>
      <c r="CQ107" s="4099">
        <f>IFERROR(AU107/AU$117,0)</f>
        <v/>
      </c>
      <c r="CR107" s="4097">
        <f>IFERROR(AV107/AV$117,0)</f>
        <v/>
      </c>
      <c r="CS107" s="4097">
        <f>IFERROR(AW107/AW$117,0)</f>
        <v/>
      </c>
      <c r="CT107" s="4097">
        <f>IFERROR(AX107/AX$117,0)</f>
        <v/>
      </c>
      <c r="CU107" s="4097">
        <f>IFERROR(AY107/AY$117,0)</f>
        <v/>
      </c>
      <c r="CV107" s="4097">
        <f>IFERROR(AZ107/AZ$117,0)</f>
        <v/>
      </c>
      <c r="CW107" s="3737" t="n"/>
      <c r="CX107" s="4094" t="n">
        <v>171.41</v>
      </c>
    </row>
    <row r="108" hidden="1" outlineLevel="2" ht="12" customFormat="1" customHeight="1" s="3737">
      <c r="A108" s="4059" t="n"/>
      <c r="B108" s="4060" t="n"/>
      <c r="C108" s="4110" t="inlineStr">
        <is>
          <t>Pin station - rental</t>
        </is>
      </c>
      <c r="D108" s="4101" t="n">
        <v>435805</v>
      </c>
      <c r="E108" s="4101">
        <f>CONCATENATE(D108," - ",C108)</f>
        <v/>
      </c>
      <c r="F108" s="4102" t="n"/>
      <c r="G108" s="4102" t="n"/>
      <c r="H108" s="4102" t="n"/>
      <c r="I108" s="4102" t="n"/>
      <c r="J108" s="4102" t="n"/>
      <c r="K108" s="4102" t="n"/>
      <c r="L108" s="4102" t="n"/>
      <c r="M108" s="4102" t="n"/>
      <c r="N108" s="4102" t="n"/>
      <c r="O108" s="4102" t="n"/>
      <c r="P108" s="4102" t="n"/>
      <c r="Q108" s="4103" t="n"/>
      <c r="R108" s="4102" t="n"/>
      <c r="S108" s="4102" t="n"/>
      <c r="T108" s="4102" t="n"/>
      <c r="U108" s="4102" t="n"/>
      <c r="V108" s="4102" t="n"/>
      <c r="W108" s="4102" t="n"/>
      <c r="X108" s="4102" t="n"/>
      <c r="Y108" s="4102" t="n"/>
      <c r="Z108" s="4102" t="n"/>
      <c r="AA108" s="4102" t="n"/>
      <c r="AB108" s="4102" t="n"/>
      <c r="AC108" s="4103" t="n"/>
      <c r="AD108" s="4102" t="n"/>
      <c r="AE108" s="4102" t="n"/>
      <c r="AF108" s="4102" t="n"/>
      <c r="AG108" s="4102" t="n"/>
      <c r="AH108" s="4102" t="n"/>
      <c r="AI108" s="4102" t="n"/>
      <c r="AJ108" s="4102" t="n"/>
      <c r="AK108" s="4102" t="n"/>
      <c r="AL108" s="4102" t="n"/>
      <c r="AM108" s="4102" t="n"/>
      <c r="AN108" s="4102" t="n"/>
      <c r="AO108" s="4103" t="n"/>
      <c r="AP108" s="4102" t="n">
        <v>53.29</v>
      </c>
      <c r="AQ108" s="4102" t="n">
        <v>51.15</v>
      </c>
      <c r="AR108" s="4102" t="n">
        <v>51.82</v>
      </c>
      <c r="AS108" s="4102" t="n">
        <v>52.83</v>
      </c>
      <c r="AT108" s="4102" t="n">
        <v>52.01</v>
      </c>
      <c r="AU108" s="4104" t="n">
        <v>52.601</v>
      </c>
      <c r="AV108" s="4102">
        <f>SUM(F108:Q108)</f>
        <v/>
      </c>
      <c r="AW108" s="4102">
        <f>SUM(R108:AC108)</f>
        <v/>
      </c>
      <c r="AX108" s="4102">
        <f>SUM(AD108:AO108)</f>
        <v/>
      </c>
      <c r="AY108" s="4102">
        <f>SUM(AH108:AS108)</f>
        <v/>
      </c>
      <c r="AZ108" s="4102">
        <f>SUM(AJ108:AU108)</f>
        <v/>
      </c>
      <c r="BA108" s="3737" t="n"/>
      <c r="BB108" s="4105">
        <f>IFERROR(F108/F$117,0)</f>
        <v/>
      </c>
      <c r="BC108" s="4105">
        <f>IFERROR(G108/G$117,0)</f>
        <v/>
      </c>
      <c r="BD108" s="4105">
        <f>IFERROR(H108/H$117,0)</f>
        <v/>
      </c>
      <c r="BE108" s="4105">
        <f>IFERROR(I108/I$117,0)</f>
        <v/>
      </c>
      <c r="BF108" s="4105">
        <f>IFERROR(J108/J$117,0)</f>
        <v/>
      </c>
      <c r="BG108" s="4105">
        <f>IFERROR(K108/K$117,0)</f>
        <v/>
      </c>
      <c r="BH108" s="4105">
        <f>IFERROR(L108/L$117,0)</f>
        <v/>
      </c>
      <c r="BI108" s="4105">
        <f>IFERROR(M108/M$117,0)</f>
        <v/>
      </c>
      <c r="BJ108" s="4105">
        <f>IFERROR(N108/N$117,0)</f>
        <v/>
      </c>
      <c r="BK108" s="4105">
        <f>IFERROR(O108/O$117,0)</f>
        <v/>
      </c>
      <c r="BL108" s="4105">
        <f>IFERROR(P108/P$117,0)</f>
        <v/>
      </c>
      <c r="BM108" s="4106">
        <f>IFERROR(Q108/Q$117,0)</f>
        <v/>
      </c>
      <c r="BN108" s="4105">
        <f>IFERROR(R108/R$117,0)</f>
        <v/>
      </c>
      <c r="BO108" s="4105">
        <f>IFERROR(S108/S$117,0)</f>
        <v/>
      </c>
      <c r="BP108" s="4105">
        <f>IFERROR(T108/T$117,0)</f>
        <v/>
      </c>
      <c r="BQ108" s="4105">
        <f>IFERROR(U108/U$117,0)</f>
        <v/>
      </c>
      <c r="BR108" s="4105">
        <f>IFERROR(V108/V$117,0)</f>
        <v/>
      </c>
      <c r="BS108" s="4105">
        <f>IFERROR(W108/W$117,0)</f>
        <v/>
      </c>
      <c r="BT108" s="4105">
        <f>IFERROR(X108/X$117,0)</f>
        <v/>
      </c>
      <c r="BU108" s="4105">
        <f>IFERROR(Y108/Y$117,0)</f>
        <v/>
      </c>
      <c r="BV108" s="4105">
        <f>IFERROR(Z108/Z$117,0)</f>
        <v/>
      </c>
      <c r="BW108" s="4105">
        <f>IFERROR(AA108/AA$117,0)</f>
        <v/>
      </c>
      <c r="BX108" s="4105">
        <f>IFERROR(AB108/AB$117,0)</f>
        <v/>
      </c>
      <c r="BY108" s="4106">
        <f>IFERROR(AC108/AC$117,0)</f>
        <v/>
      </c>
      <c r="BZ108" s="4105">
        <f>IFERROR(AD108/AD$117,0)</f>
        <v/>
      </c>
      <c r="CA108" s="4105">
        <f>IFERROR(AE108/AE$117,0)</f>
        <v/>
      </c>
      <c r="CB108" s="4105">
        <f>IFERROR(AF108/AF$117,0)</f>
        <v/>
      </c>
      <c r="CC108" s="4105">
        <f>IFERROR(AG108/AG$117,0)</f>
        <v/>
      </c>
      <c r="CD108" s="4105">
        <f>IFERROR(AH108/AH$117,0)</f>
        <v/>
      </c>
      <c r="CE108" s="4105">
        <f>IFERROR(AI108/AI$117,0)</f>
        <v/>
      </c>
      <c r="CF108" s="4105">
        <f>IFERROR(AJ108/AJ$117,0)</f>
        <v/>
      </c>
      <c r="CG108" s="4105">
        <f>IFERROR(AK108/AK$117,0)</f>
        <v/>
      </c>
      <c r="CH108" s="4105">
        <f>IFERROR(AL108/AL$117,0)</f>
        <v/>
      </c>
      <c r="CI108" s="4105">
        <f>IFERROR(AM108/AM$117,0)</f>
        <v/>
      </c>
      <c r="CJ108" s="4105">
        <f>IFERROR(AN108/AN$117,0)</f>
        <v/>
      </c>
      <c r="CK108" s="4106">
        <f>IFERROR(AO108/AO$117,0)</f>
        <v/>
      </c>
      <c r="CL108" s="4105">
        <f>IFERROR(AP108/AP$117,0)</f>
        <v/>
      </c>
      <c r="CM108" s="4105">
        <f>IFERROR(AQ108/AQ$117,0)</f>
        <v/>
      </c>
      <c r="CN108" s="4105">
        <f>IFERROR(AR108/AR$117,0)</f>
        <v/>
      </c>
      <c r="CO108" s="4105">
        <f>IFERROR(AS108/AS$117,0)</f>
        <v/>
      </c>
      <c r="CP108" s="4105">
        <f>IFERROR(AT108/AT$117,0)</f>
        <v/>
      </c>
      <c r="CQ108" s="4107">
        <f>IFERROR(AU108/AU$117,0)</f>
        <v/>
      </c>
      <c r="CR108" s="4105">
        <f>IFERROR(AV108/AV$117,0)</f>
        <v/>
      </c>
      <c r="CS108" s="4105">
        <f>IFERROR(AW108/AW$117,0)</f>
        <v/>
      </c>
      <c r="CT108" s="4105">
        <f>IFERROR(AX108/AX$117,0)</f>
        <v/>
      </c>
      <c r="CU108" s="4105">
        <f>IFERROR(AY108/AY$117,0)</f>
        <v/>
      </c>
      <c r="CV108" s="4105">
        <f>IFERROR(AZ108/AZ$117,0)</f>
        <v/>
      </c>
      <c r="CW108" s="3737" t="n"/>
      <c r="CX108" s="4102" t="n">
        <v>580.9450000000001</v>
      </c>
    </row>
    <row r="109" hidden="1" outlineLevel="1" collapsed="1" ht="12" customFormat="1" customHeight="1" s="3737">
      <c r="A109" s="4059" t="n"/>
      <c r="B109" s="4060" t="n"/>
      <c r="C109" s="4111" t="inlineStr">
        <is>
          <t>Equipment revenue - recurring</t>
        </is>
      </c>
      <c r="D109" s="4093" t="n"/>
      <c r="E109" s="4093" t="n"/>
      <c r="F109" s="4094" t="n"/>
      <c r="G109" s="4094" t="n"/>
      <c r="H109" s="4094" t="n"/>
      <c r="I109" s="4094" t="n"/>
      <c r="J109" s="4094" t="n"/>
      <c r="K109" s="4094" t="n"/>
      <c r="L109" s="4094" t="n"/>
      <c r="M109" s="4094" t="n"/>
      <c r="N109" s="4094" t="n"/>
      <c r="O109" s="4094" t="n"/>
      <c r="P109" s="4094" t="n"/>
      <c r="Q109" s="4095" t="n"/>
      <c r="R109" s="4094" t="n"/>
      <c r="S109" s="4094" t="n"/>
      <c r="T109" s="4094" t="n"/>
      <c r="U109" s="4094" t="n"/>
      <c r="V109" s="4094" t="n"/>
      <c r="W109" s="4094" t="n"/>
      <c r="X109" s="4094" t="n"/>
      <c r="Y109" s="4094" t="n"/>
      <c r="Z109" s="4094" t="n"/>
      <c r="AA109" s="4094" t="n"/>
      <c r="AB109" s="4094" t="n"/>
      <c r="AC109" s="4095" t="n"/>
      <c r="AD109" s="4094" t="n"/>
      <c r="AE109" s="4094" t="n"/>
      <c r="AF109" s="4094" t="n"/>
      <c r="AG109" s="4094" t="n"/>
      <c r="AH109" s="4094" t="n"/>
      <c r="AI109" s="4094" t="n"/>
      <c r="AJ109" s="4094" t="n"/>
      <c r="AK109" s="4094" t="n"/>
      <c r="AL109" s="4094" t="n"/>
      <c r="AM109" s="4094" t="n"/>
      <c r="AN109" s="4094" t="n"/>
      <c r="AO109" s="4095" t="n"/>
      <c r="AP109" s="4094">
        <f>SUM(AP105:AP108)</f>
        <v/>
      </c>
      <c r="AQ109" s="4094">
        <f>SUM(AQ105:AQ108)</f>
        <v/>
      </c>
      <c r="AR109" s="4094">
        <f>SUM(AR105:AR108)</f>
        <v/>
      </c>
      <c r="AS109" s="4094">
        <f>SUM(AS105:AS108)</f>
        <v/>
      </c>
      <c r="AT109" s="4094">
        <f>SUM(AT105:AT108)</f>
        <v/>
      </c>
      <c r="AU109" s="4096">
        <f>SUM(AU105:AU108)</f>
        <v/>
      </c>
      <c r="AV109" s="4094">
        <f>SUM(AV105:AV108)</f>
        <v/>
      </c>
      <c r="AW109" s="4094">
        <f>SUM(AW105:AW108)</f>
        <v/>
      </c>
      <c r="AX109" s="4094">
        <f>SUM(AX105:AX108)</f>
        <v/>
      </c>
      <c r="AY109" s="4094">
        <f>SUM(AY105:AY108)</f>
        <v/>
      </c>
      <c r="AZ109" s="4094">
        <f>SUM(AZ105:AZ108)</f>
        <v/>
      </c>
      <c r="BA109" s="3737" t="n"/>
      <c r="BB109" s="4097">
        <f>IFERROR(F109/F$117,0)</f>
        <v/>
      </c>
      <c r="BC109" s="4097">
        <f>IFERROR(G109/G$117,0)</f>
        <v/>
      </c>
      <c r="BD109" s="4097">
        <f>IFERROR(H109/H$117,0)</f>
        <v/>
      </c>
      <c r="BE109" s="4097">
        <f>IFERROR(I109/I$117,0)</f>
        <v/>
      </c>
      <c r="BF109" s="4097">
        <f>IFERROR(J109/J$117,0)</f>
        <v/>
      </c>
      <c r="BG109" s="4097">
        <f>IFERROR(K109/K$117,0)</f>
        <v/>
      </c>
      <c r="BH109" s="4097">
        <f>IFERROR(L109/L$117,0)</f>
        <v/>
      </c>
      <c r="BI109" s="4097">
        <f>IFERROR(M109/M$117,0)</f>
        <v/>
      </c>
      <c r="BJ109" s="4097">
        <f>IFERROR(N109/N$117,0)</f>
        <v/>
      </c>
      <c r="BK109" s="4097">
        <f>IFERROR(O109/O$117,0)</f>
        <v/>
      </c>
      <c r="BL109" s="4097">
        <f>IFERROR(P109/P$117,0)</f>
        <v/>
      </c>
      <c r="BM109" s="4098">
        <f>IFERROR(Q109/Q$117,0)</f>
        <v/>
      </c>
      <c r="BN109" s="4097">
        <f>IFERROR(R109/R$117,0)</f>
        <v/>
      </c>
      <c r="BO109" s="4097">
        <f>IFERROR(S109/S$117,0)</f>
        <v/>
      </c>
      <c r="BP109" s="4097">
        <f>IFERROR(T109/T$117,0)</f>
        <v/>
      </c>
      <c r="BQ109" s="4097">
        <f>IFERROR(U109/U$117,0)</f>
        <v/>
      </c>
      <c r="BR109" s="4097">
        <f>IFERROR(V109/V$117,0)</f>
        <v/>
      </c>
      <c r="BS109" s="4097">
        <f>IFERROR(W109/W$117,0)</f>
        <v/>
      </c>
      <c r="BT109" s="4097">
        <f>IFERROR(X109/X$117,0)</f>
        <v/>
      </c>
      <c r="BU109" s="4097">
        <f>IFERROR(Y109/Y$117,0)</f>
        <v/>
      </c>
      <c r="BV109" s="4097">
        <f>IFERROR(Z109/Z$117,0)</f>
        <v/>
      </c>
      <c r="BW109" s="4097">
        <f>IFERROR(AA109/AA$117,0)</f>
        <v/>
      </c>
      <c r="BX109" s="4097">
        <f>IFERROR(AB109/AB$117,0)</f>
        <v/>
      </c>
      <c r="BY109" s="4098">
        <f>IFERROR(AC109/AC$117,0)</f>
        <v/>
      </c>
      <c r="BZ109" s="4097">
        <f>IFERROR(AD109/AD$117,0)</f>
        <v/>
      </c>
      <c r="CA109" s="4097">
        <f>IFERROR(AE109/AE$117,0)</f>
        <v/>
      </c>
      <c r="CB109" s="4097">
        <f>IFERROR(AF109/AF$117,0)</f>
        <v/>
      </c>
      <c r="CC109" s="4097">
        <f>IFERROR(AG109/AG$117,0)</f>
        <v/>
      </c>
      <c r="CD109" s="4097">
        <f>IFERROR(AH109/AH$117,0)</f>
        <v/>
      </c>
      <c r="CE109" s="4097">
        <f>IFERROR(AI109/AI$117,0)</f>
        <v/>
      </c>
      <c r="CF109" s="4097">
        <f>IFERROR(AJ109/AJ$117,0)</f>
        <v/>
      </c>
      <c r="CG109" s="4097">
        <f>IFERROR(AK109/AK$117,0)</f>
        <v/>
      </c>
      <c r="CH109" s="4097">
        <f>IFERROR(AL109/AL$117,0)</f>
        <v/>
      </c>
      <c r="CI109" s="4097">
        <f>IFERROR(AM109/AM$117,0)</f>
        <v/>
      </c>
      <c r="CJ109" s="4097">
        <f>IFERROR(AN109/AN$117,0)</f>
        <v/>
      </c>
      <c r="CK109" s="4098">
        <f>IFERROR(AO109/AO$117,0)</f>
        <v/>
      </c>
      <c r="CL109" s="4097">
        <f>IFERROR(AP109/AP$117,0)</f>
        <v/>
      </c>
      <c r="CM109" s="4097">
        <f>IFERROR(AQ109/AQ$117,0)</f>
        <v/>
      </c>
      <c r="CN109" s="4097">
        <f>IFERROR(AR109/AR$117,0)</f>
        <v/>
      </c>
      <c r="CO109" s="4097">
        <f>IFERROR(AS109/AS$117,0)</f>
        <v/>
      </c>
      <c r="CP109" s="4097">
        <f>IFERROR(AT109/AT$117,0)</f>
        <v/>
      </c>
      <c r="CQ109" s="4099">
        <f>IFERROR(AU109/AU$117,0)</f>
        <v/>
      </c>
      <c r="CR109" s="4097">
        <f>IFERROR(AV109/AV$117,0)</f>
        <v/>
      </c>
      <c r="CS109" s="4097">
        <f>IFERROR(AW109/AW$117,0)</f>
        <v/>
      </c>
      <c r="CT109" s="4097">
        <f>IFERROR(AX109/AX$117,0)</f>
        <v/>
      </c>
      <c r="CU109" s="4097">
        <f>IFERROR(AY109/AY$117,0)</f>
        <v/>
      </c>
      <c r="CV109" s="4097">
        <f>IFERROR(AZ109/AZ$117,0)</f>
        <v/>
      </c>
      <c r="CW109" s="3737" t="n"/>
      <c r="CX109" s="4094">
        <f>SUM(CX105:CX108)</f>
        <v/>
      </c>
    </row>
    <row r="110" hidden="1" outlineLevel="2" ht="12" customFormat="1" customHeight="1" s="3737">
      <c r="A110" s="4059" t="n"/>
      <c r="B110" s="4060" t="n"/>
      <c r="C110" s="4109" t="inlineStr">
        <is>
          <t>Equipment sales - pos &amp; pin stations</t>
        </is>
      </c>
      <c r="D110" s="4093" t="n">
        <v>435101</v>
      </c>
      <c r="E110" s="4093">
        <f>CONCATENATE(D110," - ",C110)</f>
        <v/>
      </c>
      <c r="F110" s="4094" t="n"/>
      <c r="G110" s="4094" t="n"/>
      <c r="H110" s="4094" t="n"/>
      <c r="I110" s="4094" t="n"/>
      <c r="J110" s="4094" t="n"/>
      <c r="K110" s="4094" t="n"/>
      <c r="L110" s="4094" t="n"/>
      <c r="M110" s="4094" t="n"/>
      <c r="N110" s="4094" t="n"/>
      <c r="O110" s="4094" t="n"/>
      <c r="P110" s="4094" t="n"/>
      <c r="Q110" s="4095" t="n"/>
      <c r="R110" s="4094" t="n"/>
      <c r="S110" s="4094" t="n"/>
      <c r="T110" s="4094" t="n"/>
      <c r="U110" s="4094" t="n"/>
      <c r="V110" s="4094" t="n"/>
      <c r="W110" s="4094" t="n"/>
      <c r="X110" s="4094" t="n"/>
      <c r="Y110" s="4094" t="n"/>
      <c r="Z110" s="4094" t="n"/>
      <c r="AA110" s="4094" t="n"/>
      <c r="AB110" s="4094" t="n"/>
      <c r="AC110" s="4095" t="n"/>
      <c r="AD110" s="4094" t="n"/>
      <c r="AE110" s="4094" t="n"/>
      <c r="AF110" s="4094" t="n"/>
      <c r="AG110" s="4094" t="n"/>
      <c r="AH110" s="4094" t="n"/>
      <c r="AI110" s="4094" t="n"/>
      <c r="AJ110" s="4094" t="n"/>
      <c r="AK110" s="4094" t="n"/>
      <c r="AL110" s="4094" t="n"/>
      <c r="AM110" s="4094" t="n"/>
      <c r="AN110" s="4094" t="n"/>
      <c r="AO110" s="4095" t="n"/>
      <c r="AP110" s="4094" t="n">
        <v>5.41525</v>
      </c>
      <c r="AQ110" s="4094" t="n">
        <v>1.17525</v>
      </c>
      <c r="AR110" s="4094" t="n">
        <v>8.39025</v>
      </c>
      <c r="AS110" s="4094" t="n">
        <v>1.23</v>
      </c>
      <c r="AT110" s="4094" t="n">
        <v>1.04025</v>
      </c>
      <c r="AU110" s="4096" t="n">
        <v>65.045</v>
      </c>
      <c r="AV110" s="4094">
        <f>SUM(F110:Q110)</f>
        <v/>
      </c>
      <c r="AW110" s="4094">
        <f>SUM(R110:AC110)</f>
        <v/>
      </c>
      <c r="AX110" s="4094">
        <f>SUM(AD110:AO110)</f>
        <v/>
      </c>
      <c r="AY110" s="4094">
        <f>SUM(AH110:AS110)</f>
        <v/>
      </c>
      <c r="AZ110" s="4094">
        <f>SUM(AJ110:AU110)</f>
        <v/>
      </c>
      <c r="BA110" s="3737" t="n"/>
      <c r="BB110" s="4097">
        <f>IFERROR(F110/F$117,0)</f>
        <v/>
      </c>
      <c r="BC110" s="4097">
        <f>IFERROR(G110/G$117,0)</f>
        <v/>
      </c>
      <c r="BD110" s="4097">
        <f>IFERROR(H110/H$117,0)</f>
        <v/>
      </c>
      <c r="BE110" s="4097">
        <f>IFERROR(I110/I$117,0)</f>
        <v/>
      </c>
      <c r="BF110" s="4097">
        <f>IFERROR(J110/J$117,0)</f>
        <v/>
      </c>
      <c r="BG110" s="4097">
        <f>IFERROR(K110/K$117,0)</f>
        <v/>
      </c>
      <c r="BH110" s="4097">
        <f>IFERROR(L110/L$117,0)</f>
        <v/>
      </c>
      <c r="BI110" s="4097">
        <f>IFERROR(M110/M$117,0)</f>
        <v/>
      </c>
      <c r="BJ110" s="4097">
        <f>IFERROR(N110/N$117,0)</f>
        <v/>
      </c>
      <c r="BK110" s="4097">
        <f>IFERROR(O110/O$117,0)</f>
        <v/>
      </c>
      <c r="BL110" s="4097">
        <f>IFERROR(P110/P$117,0)</f>
        <v/>
      </c>
      <c r="BM110" s="4098">
        <f>IFERROR(Q110/Q$117,0)</f>
        <v/>
      </c>
      <c r="BN110" s="4097">
        <f>IFERROR(R110/R$117,0)</f>
        <v/>
      </c>
      <c r="BO110" s="4097">
        <f>IFERROR(S110/S$117,0)</f>
        <v/>
      </c>
      <c r="BP110" s="4097">
        <f>IFERROR(T110/T$117,0)</f>
        <v/>
      </c>
      <c r="BQ110" s="4097">
        <f>IFERROR(U110/U$117,0)</f>
        <v/>
      </c>
      <c r="BR110" s="4097">
        <f>IFERROR(V110/V$117,0)</f>
        <v/>
      </c>
      <c r="BS110" s="4097">
        <f>IFERROR(W110/W$117,0)</f>
        <v/>
      </c>
      <c r="BT110" s="4097">
        <f>IFERROR(X110/X$117,0)</f>
        <v/>
      </c>
      <c r="BU110" s="4097">
        <f>IFERROR(Y110/Y$117,0)</f>
        <v/>
      </c>
      <c r="BV110" s="4097">
        <f>IFERROR(Z110/Z$117,0)</f>
        <v/>
      </c>
      <c r="BW110" s="4097">
        <f>IFERROR(AA110/AA$117,0)</f>
        <v/>
      </c>
      <c r="BX110" s="4097">
        <f>IFERROR(AB110/AB$117,0)</f>
        <v/>
      </c>
      <c r="BY110" s="4098">
        <f>IFERROR(AC110/AC$117,0)</f>
        <v/>
      </c>
      <c r="BZ110" s="4097">
        <f>IFERROR(AD110/AD$117,0)</f>
        <v/>
      </c>
      <c r="CA110" s="4097">
        <f>IFERROR(AE110/AE$117,0)</f>
        <v/>
      </c>
      <c r="CB110" s="4097">
        <f>IFERROR(AF110/AF$117,0)</f>
        <v/>
      </c>
      <c r="CC110" s="4097">
        <f>IFERROR(AG110/AG$117,0)</f>
        <v/>
      </c>
      <c r="CD110" s="4097">
        <f>IFERROR(AH110/AH$117,0)</f>
        <v/>
      </c>
      <c r="CE110" s="4097">
        <f>IFERROR(AI110/AI$117,0)</f>
        <v/>
      </c>
      <c r="CF110" s="4097">
        <f>IFERROR(AJ110/AJ$117,0)</f>
        <v/>
      </c>
      <c r="CG110" s="4097">
        <f>IFERROR(AK110/AK$117,0)</f>
        <v/>
      </c>
      <c r="CH110" s="4097">
        <f>IFERROR(AL110/AL$117,0)</f>
        <v/>
      </c>
      <c r="CI110" s="4097">
        <f>IFERROR(AM110/AM$117,0)</f>
        <v/>
      </c>
      <c r="CJ110" s="4097">
        <f>IFERROR(AN110/AN$117,0)</f>
        <v/>
      </c>
      <c r="CK110" s="4098">
        <f>IFERROR(AO110/AO$117,0)</f>
        <v/>
      </c>
      <c r="CL110" s="4097">
        <f>IFERROR(AP110/AP$117,0)</f>
        <v/>
      </c>
      <c r="CM110" s="4097">
        <f>IFERROR(AQ110/AQ$117,0)</f>
        <v/>
      </c>
      <c r="CN110" s="4097">
        <f>IFERROR(AR110/AR$117,0)</f>
        <v/>
      </c>
      <c r="CO110" s="4097">
        <f>IFERROR(AS110/AS$117,0)</f>
        <v/>
      </c>
      <c r="CP110" s="4097">
        <f>IFERROR(AT110/AT$117,0)</f>
        <v/>
      </c>
      <c r="CQ110" s="4099">
        <f>IFERROR(AU110/AU$117,0)</f>
        <v/>
      </c>
      <c r="CR110" s="4097">
        <f>IFERROR(AV110/AV$117,0)</f>
        <v/>
      </c>
      <c r="CS110" s="4097">
        <f>IFERROR(AW110/AW$117,0)</f>
        <v/>
      </c>
      <c r="CT110" s="4097">
        <f>IFERROR(AX110/AX$117,0)</f>
        <v/>
      </c>
      <c r="CU110" s="4097">
        <f>IFERROR(AY110/AY$117,0)</f>
        <v/>
      </c>
      <c r="CV110" s="4097">
        <f>IFERROR(AZ110/AZ$117,0)</f>
        <v/>
      </c>
      <c r="CW110" s="3737" t="n"/>
      <c r="CX110" s="4094" t="n">
        <v>83.35525</v>
      </c>
    </row>
    <row r="111" hidden="1" outlineLevel="2" ht="12" customFormat="1" customHeight="1" s="3737">
      <c r="A111" s="4059" t="n"/>
      <c r="B111" s="4060" t="n"/>
      <c r="C111" s="4110" t="inlineStr">
        <is>
          <t>Atm express hardware</t>
        </is>
      </c>
      <c r="D111" s="4101" t="n">
        <v>435116</v>
      </c>
      <c r="E111" s="4101">
        <f>CONCATENATE(D111," - ",C111)</f>
        <v/>
      </c>
      <c r="F111" s="4102" t="n"/>
      <c r="G111" s="4102" t="n"/>
      <c r="H111" s="4102" t="n"/>
      <c r="I111" s="4102" t="n"/>
      <c r="J111" s="4102" t="n"/>
      <c r="K111" s="4102" t="n"/>
      <c r="L111" s="4102" t="n"/>
      <c r="M111" s="4102" t="n"/>
      <c r="N111" s="4102" t="n"/>
      <c r="O111" s="4102" t="n"/>
      <c r="P111" s="4102" t="n"/>
      <c r="Q111" s="4103" t="n"/>
      <c r="R111" s="4102" t="n"/>
      <c r="S111" s="4102" t="n"/>
      <c r="T111" s="4102" t="n"/>
      <c r="U111" s="4102" t="n"/>
      <c r="V111" s="4102" t="n"/>
      <c r="W111" s="4102" t="n"/>
      <c r="X111" s="4102" t="n"/>
      <c r="Y111" s="4102" t="n"/>
      <c r="Z111" s="4102" t="n"/>
      <c r="AA111" s="4102" t="n"/>
      <c r="AB111" s="4102" t="n"/>
      <c r="AC111" s="4103" t="n"/>
      <c r="AD111" s="4102" t="n"/>
      <c r="AE111" s="4102" t="n"/>
      <c r="AF111" s="4102" t="n"/>
      <c r="AG111" s="4102" t="n"/>
      <c r="AH111" s="4102" t="n"/>
      <c r="AI111" s="4102" t="n"/>
      <c r="AJ111" s="4102" t="n"/>
      <c r="AK111" s="4102" t="n"/>
      <c r="AL111" s="4102" t="n"/>
      <c r="AM111" s="4102" t="n"/>
      <c r="AN111" s="4102" t="n"/>
      <c r="AO111" s="4103" t="n"/>
      <c r="AP111" s="4102" t="n">
        <v>0</v>
      </c>
      <c r="AQ111" s="4102" t="n">
        <v>85.60715999999999</v>
      </c>
      <c r="AR111" s="4102" t="n">
        <v>0</v>
      </c>
      <c r="AS111" s="4102" t="n">
        <v>0</v>
      </c>
      <c r="AT111" s="4102" t="n">
        <v>89.52</v>
      </c>
      <c r="AU111" s="4104" t="n">
        <v>0</v>
      </c>
      <c r="AV111" s="4102">
        <f>SUM(F111:Q111)</f>
        <v/>
      </c>
      <c r="AW111" s="4102">
        <f>SUM(R111:AC111)</f>
        <v/>
      </c>
      <c r="AX111" s="4102">
        <f>SUM(AD111:AO111)</f>
        <v/>
      </c>
      <c r="AY111" s="4102">
        <f>SUM(AH111:AS111)</f>
        <v/>
      </c>
      <c r="AZ111" s="4102">
        <f>SUM(AJ111:AU111)</f>
        <v/>
      </c>
      <c r="BA111" s="3737" t="n"/>
      <c r="BB111" s="4105">
        <f>IFERROR(F111/F$117,0)</f>
        <v/>
      </c>
      <c r="BC111" s="4105">
        <f>IFERROR(G111/G$117,0)</f>
        <v/>
      </c>
      <c r="BD111" s="4105">
        <f>IFERROR(H111/H$117,0)</f>
        <v/>
      </c>
      <c r="BE111" s="4105">
        <f>IFERROR(I111/I$117,0)</f>
        <v/>
      </c>
      <c r="BF111" s="4105">
        <f>IFERROR(J111/J$117,0)</f>
        <v/>
      </c>
      <c r="BG111" s="4105">
        <f>IFERROR(K111/K$117,0)</f>
        <v/>
      </c>
      <c r="BH111" s="4105">
        <f>IFERROR(L111/L$117,0)</f>
        <v/>
      </c>
      <c r="BI111" s="4105">
        <f>IFERROR(M111/M$117,0)</f>
        <v/>
      </c>
      <c r="BJ111" s="4105">
        <f>IFERROR(N111/N$117,0)</f>
        <v/>
      </c>
      <c r="BK111" s="4105">
        <f>IFERROR(O111/O$117,0)</f>
        <v/>
      </c>
      <c r="BL111" s="4105">
        <f>IFERROR(P111/P$117,0)</f>
        <v/>
      </c>
      <c r="BM111" s="4106">
        <f>IFERROR(Q111/Q$117,0)</f>
        <v/>
      </c>
      <c r="BN111" s="4105">
        <f>IFERROR(R111/R$117,0)</f>
        <v/>
      </c>
      <c r="BO111" s="4105">
        <f>IFERROR(S111/S$117,0)</f>
        <v/>
      </c>
      <c r="BP111" s="4105">
        <f>IFERROR(T111/T$117,0)</f>
        <v/>
      </c>
      <c r="BQ111" s="4105">
        <f>IFERROR(U111/U$117,0)</f>
        <v/>
      </c>
      <c r="BR111" s="4105">
        <f>IFERROR(V111/V$117,0)</f>
        <v/>
      </c>
      <c r="BS111" s="4105">
        <f>IFERROR(W111/W$117,0)</f>
        <v/>
      </c>
      <c r="BT111" s="4105">
        <f>IFERROR(X111/X$117,0)</f>
        <v/>
      </c>
      <c r="BU111" s="4105">
        <f>IFERROR(Y111/Y$117,0)</f>
        <v/>
      </c>
      <c r="BV111" s="4105">
        <f>IFERROR(Z111/Z$117,0)</f>
        <v/>
      </c>
      <c r="BW111" s="4105">
        <f>IFERROR(AA111/AA$117,0)</f>
        <v/>
      </c>
      <c r="BX111" s="4105">
        <f>IFERROR(AB111/AB$117,0)</f>
        <v/>
      </c>
      <c r="BY111" s="4106">
        <f>IFERROR(AC111/AC$117,0)</f>
        <v/>
      </c>
      <c r="BZ111" s="4105">
        <f>IFERROR(AD111/AD$117,0)</f>
        <v/>
      </c>
      <c r="CA111" s="4105">
        <f>IFERROR(AE111/AE$117,0)</f>
        <v/>
      </c>
      <c r="CB111" s="4105">
        <f>IFERROR(AF111/AF$117,0)</f>
        <v/>
      </c>
      <c r="CC111" s="4105">
        <f>IFERROR(AG111/AG$117,0)</f>
        <v/>
      </c>
      <c r="CD111" s="4105">
        <f>IFERROR(AH111/AH$117,0)</f>
        <v/>
      </c>
      <c r="CE111" s="4105">
        <f>IFERROR(AI111/AI$117,0)</f>
        <v/>
      </c>
      <c r="CF111" s="4105">
        <f>IFERROR(AJ111/AJ$117,0)</f>
        <v/>
      </c>
      <c r="CG111" s="4105">
        <f>IFERROR(AK111/AK$117,0)</f>
        <v/>
      </c>
      <c r="CH111" s="4105">
        <f>IFERROR(AL111/AL$117,0)</f>
        <v/>
      </c>
      <c r="CI111" s="4105">
        <f>IFERROR(AM111/AM$117,0)</f>
        <v/>
      </c>
      <c r="CJ111" s="4105">
        <f>IFERROR(AN111/AN$117,0)</f>
        <v/>
      </c>
      <c r="CK111" s="4106">
        <f>IFERROR(AO111/AO$117,0)</f>
        <v/>
      </c>
      <c r="CL111" s="4105">
        <f>IFERROR(AP111/AP$117,0)</f>
        <v/>
      </c>
      <c r="CM111" s="4105">
        <f>IFERROR(AQ111/AQ$117,0)</f>
        <v/>
      </c>
      <c r="CN111" s="4105">
        <f>IFERROR(AR111/AR$117,0)</f>
        <v/>
      </c>
      <c r="CO111" s="4105">
        <f>IFERROR(AS111/AS$117,0)</f>
        <v/>
      </c>
      <c r="CP111" s="4105">
        <f>IFERROR(AT111/AT$117,0)</f>
        <v/>
      </c>
      <c r="CQ111" s="4107">
        <f>IFERROR(AU111/AU$117,0)</f>
        <v/>
      </c>
      <c r="CR111" s="4105">
        <f>IFERROR(AV111/AV$117,0)</f>
        <v/>
      </c>
      <c r="CS111" s="4105">
        <f>IFERROR(AW111/AW$117,0)</f>
        <v/>
      </c>
      <c r="CT111" s="4105">
        <f>IFERROR(AX111/AX$117,0)</f>
        <v/>
      </c>
      <c r="CU111" s="4105">
        <f>IFERROR(AY111/AY$117,0)</f>
        <v/>
      </c>
      <c r="CV111" s="4105">
        <f>IFERROR(AZ111/AZ$117,0)</f>
        <v/>
      </c>
      <c r="CW111" s="3737" t="n"/>
      <c r="CX111" s="4102" t="n">
        <v>234.34037</v>
      </c>
    </row>
    <row r="112" hidden="1" outlineLevel="1" collapsed="1" ht="12" customFormat="1" customHeight="1" s="3737">
      <c r="A112" s="4059" t="n"/>
      <c r="B112" s="4060" t="n"/>
      <c r="C112" s="4111" t="inlineStr">
        <is>
          <t>Equipment revenue - re-sale</t>
        </is>
      </c>
      <c r="D112" s="4093" t="n"/>
      <c r="E112" s="4093" t="n"/>
      <c r="F112" s="4094" t="n"/>
      <c r="G112" s="4094" t="n"/>
      <c r="H112" s="4094" t="n"/>
      <c r="I112" s="4094" t="n"/>
      <c r="J112" s="4094" t="n"/>
      <c r="K112" s="4094" t="n"/>
      <c r="L112" s="4094" t="n"/>
      <c r="M112" s="4094" t="n"/>
      <c r="N112" s="4094" t="n"/>
      <c r="O112" s="4094" t="n"/>
      <c r="P112" s="4094" t="n"/>
      <c r="Q112" s="4095" t="n"/>
      <c r="R112" s="4094" t="n"/>
      <c r="S112" s="4094" t="n"/>
      <c r="T112" s="4094" t="n"/>
      <c r="U112" s="4094" t="n"/>
      <c r="V112" s="4094" t="n"/>
      <c r="W112" s="4094" t="n"/>
      <c r="X112" s="4094" t="n"/>
      <c r="Y112" s="4094" t="n"/>
      <c r="Z112" s="4094" t="n"/>
      <c r="AA112" s="4094" t="n"/>
      <c r="AB112" s="4094" t="n"/>
      <c r="AC112" s="4095" t="n"/>
      <c r="AD112" s="4094" t="n"/>
      <c r="AE112" s="4094" t="n"/>
      <c r="AF112" s="4094" t="n"/>
      <c r="AG112" s="4094" t="n"/>
      <c r="AH112" s="4094" t="n"/>
      <c r="AI112" s="4094" t="n"/>
      <c r="AJ112" s="4094" t="n"/>
      <c r="AK112" s="4094" t="n"/>
      <c r="AL112" s="4094" t="n"/>
      <c r="AM112" s="4094" t="n"/>
      <c r="AN112" s="4094" t="n"/>
      <c r="AO112" s="4095" t="n"/>
      <c r="AP112" s="4094">
        <f>SUM(AP110:AP111)</f>
        <v/>
      </c>
      <c r="AQ112" s="4094">
        <f>SUM(AQ110:AQ111)</f>
        <v/>
      </c>
      <c r="AR112" s="4094">
        <f>SUM(AR110:AR111)</f>
        <v/>
      </c>
      <c r="AS112" s="4094">
        <f>SUM(AS110:AS111)</f>
        <v/>
      </c>
      <c r="AT112" s="4094">
        <f>SUM(AT110:AT111)</f>
        <v/>
      </c>
      <c r="AU112" s="4096">
        <f>SUM(AU110:AU111)</f>
        <v/>
      </c>
      <c r="AV112" s="4094">
        <f>SUM(AV110:AV111)</f>
        <v/>
      </c>
      <c r="AW112" s="4094">
        <f>SUM(AW110:AW111)</f>
        <v/>
      </c>
      <c r="AX112" s="4094">
        <f>SUM(AX110:AX111)</f>
        <v/>
      </c>
      <c r="AY112" s="4094">
        <f>SUM(AY110:AY111)</f>
        <v/>
      </c>
      <c r="AZ112" s="4094">
        <f>SUM(AZ110:AZ111)</f>
        <v/>
      </c>
      <c r="BA112" s="3737" t="n"/>
      <c r="BB112" s="4097">
        <f>IFERROR(F112/F$117,0)</f>
        <v/>
      </c>
      <c r="BC112" s="4097">
        <f>IFERROR(G112/G$117,0)</f>
        <v/>
      </c>
      <c r="BD112" s="4097">
        <f>IFERROR(H112/H$117,0)</f>
        <v/>
      </c>
      <c r="BE112" s="4097">
        <f>IFERROR(I112/I$117,0)</f>
        <v/>
      </c>
      <c r="BF112" s="4097">
        <f>IFERROR(J112/J$117,0)</f>
        <v/>
      </c>
      <c r="BG112" s="4097">
        <f>IFERROR(K112/K$117,0)</f>
        <v/>
      </c>
      <c r="BH112" s="4097">
        <f>IFERROR(L112/L$117,0)</f>
        <v/>
      </c>
      <c r="BI112" s="4097">
        <f>IFERROR(M112/M$117,0)</f>
        <v/>
      </c>
      <c r="BJ112" s="4097">
        <f>IFERROR(N112/N$117,0)</f>
        <v/>
      </c>
      <c r="BK112" s="4097">
        <f>IFERROR(O112/O$117,0)</f>
        <v/>
      </c>
      <c r="BL112" s="4097">
        <f>IFERROR(P112/P$117,0)</f>
        <v/>
      </c>
      <c r="BM112" s="4098">
        <f>IFERROR(Q112/Q$117,0)</f>
        <v/>
      </c>
      <c r="BN112" s="4097">
        <f>IFERROR(R112/R$117,0)</f>
        <v/>
      </c>
      <c r="BO112" s="4097">
        <f>IFERROR(S112/S$117,0)</f>
        <v/>
      </c>
      <c r="BP112" s="4097">
        <f>IFERROR(T112/T$117,0)</f>
        <v/>
      </c>
      <c r="BQ112" s="4097">
        <f>IFERROR(U112/U$117,0)</f>
        <v/>
      </c>
      <c r="BR112" s="4097">
        <f>IFERROR(V112/V$117,0)</f>
        <v/>
      </c>
      <c r="BS112" s="4097">
        <f>IFERROR(W112/W$117,0)</f>
        <v/>
      </c>
      <c r="BT112" s="4097">
        <f>IFERROR(X112/X$117,0)</f>
        <v/>
      </c>
      <c r="BU112" s="4097">
        <f>IFERROR(Y112/Y$117,0)</f>
        <v/>
      </c>
      <c r="BV112" s="4097">
        <f>IFERROR(Z112/Z$117,0)</f>
        <v/>
      </c>
      <c r="BW112" s="4097">
        <f>IFERROR(AA112/AA$117,0)</f>
        <v/>
      </c>
      <c r="BX112" s="4097">
        <f>IFERROR(AB112/AB$117,0)</f>
        <v/>
      </c>
      <c r="BY112" s="4098">
        <f>IFERROR(AC112/AC$117,0)</f>
        <v/>
      </c>
      <c r="BZ112" s="4097">
        <f>IFERROR(AD112/AD$117,0)</f>
        <v/>
      </c>
      <c r="CA112" s="4097">
        <f>IFERROR(AE112/AE$117,0)</f>
        <v/>
      </c>
      <c r="CB112" s="4097">
        <f>IFERROR(AF112/AF$117,0)</f>
        <v/>
      </c>
      <c r="CC112" s="4097">
        <f>IFERROR(AG112/AG$117,0)</f>
        <v/>
      </c>
      <c r="CD112" s="4097">
        <f>IFERROR(AH112/AH$117,0)</f>
        <v/>
      </c>
      <c r="CE112" s="4097">
        <f>IFERROR(AI112/AI$117,0)</f>
        <v/>
      </c>
      <c r="CF112" s="4097">
        <f>IFERROR(AJ112/AJ$117,0)</f>
        <v/>
      </c>
      <c r="CG112" s="4097">
        <f>IFERROR(AK112/AK$117,0)</f>
        <v/>
      </c>
      <c r="CH112" s="4097">
        <f>IFERROR(AL112/AL$117,0)</f>
        <v/>
      </c>
      <c r="CI112" s="4097">
        <f>IFERROR(AM112/AM$117,0)</f>
        <v/>
      </c>
      <c r="CJ112" s="4097">
        <f>IFERROR(AN112/AN$117,0)</f>
        <v/>
      </c>
      <c r="CK112" s="4098">
        <f>IFERROR(AO112/AO$117,0)</f>
        <v/>
      </c>
      <c r="CL112" s="4097">
        <f>IFERROR(AP112/AP$117,0)</f>
        <v/>
      </c>
      <c r="CM112" s="4097">
        <f>IFERROR(AQ112/AQ$117,0)</f>
        <v/>
      </c>
      <c r="CN112" s="4097">
        <f>IFERROR(AR112/AR$117,0)</f>
        <v/>
      </c>
      <c r="CO112" s="4097">
        <f>IFERROR(AS112/AS$117,0)</f>
        <v/>
      </c>
      <c r="CP112" s="4097">
        <f>IFERROR(AT112/AT$117,0)</f>
        <v/>
      </c>
      <c r="CQ112" s="4099">
        <f>IFERROR(AU112/AU$117,0)</f>
        <v/>
      </c>
      <c r="CR112" s="4097">
        <f>IFERROR(AV112/AV$117,0)</f>
        <v/>
      </c>
      <c r="CS112" s="4097">
        <f>IFERROR(AW112/AW$117,0)</f>
        <v/>
      </c>
      <c r="CT112" s="4097">
        <f>IFERROR(AX112/AX$117,0)</f>
        <v/>
      </c>
      <c r="CU112" s="4097">
        <f>IFERROR(AY112/AY$117,0)</f>
        <v/>
      </c>
      <c r="CV112" s="4097">
        <f>IFERROR(AZ112/AZ$117,0)</f>
        <v/>
      </c>
      <c r="CW112" s="3737" t="n"/>
      <c r="CX112" s="4094">
        <f>SUM(CX110:CX111)</f>
        <v/>
      </c>
    </row>
    <row r="113" hidden="1" outlineLevel="2" ht="12" customFormat="1" customHeight="1" s="3737">
      <c r="A113" s="4059" t="n"/>
      <c r="B113" s="4060" t="n"/>
      <c r="C113" s="4109" t="inlineStr">
        <is>
          <t>Prof services ifrs 15 adjust</t>
        </is>
      </c>
      <c r="D113" s="4093" t="n">
        <v>425115</v>
      </c>
      <c r="E113" s="4093">
        <f>CONCATENATE(D113," - ",C113)</f>
        <v/>
      </c>
      <c r="F113" s="4094" t="n"/>
      <c r="G113" s="4094" t="n"/>
      <c r="H113" s="4094" t="n"/>
      <c r="I113" s="4094" t="n"/>
      <c r="J113" s="4094" t="n"/>
      <c r="K113" s="4094" t="n"/>
      <c r="L113" s="4094" t="n"/>
      <c r="M113" s="4094" t="n"/>
      <c r="N113" s="4094" t="n"/>
      <c r="O113" s="4094" t="n"/>
      <c r="P113" s="4094" t="n"/>
      <c r="Q113" s="4095" t="n"/>
      <c r="R113" s="4094" t="n"/>
      <c r="S113" s="4094" t="n"/>
      <c r="T113" s="4094" t="n"/>
      <c r="U113" s="4094" t="n"/>
      <c r="V113" s="4094" t="n"/>
      <c r="W113" s="4094" t="n"/>
      <c r="X113" s="4094" t="n"/>
      <c r="Y113" s="4094" t="n"/>
      <c r="Z113" s="4094" t="n"/>
      <c r="AA113" s="4094" t="n"/>
      <c r="AB113" s="4094" t="n"/>
      <c r="AC113" s="4095" t="n"/>
      <c r="AD113" s="4094" t="n"/>
      <c r="AE113" s="4094" t="n"/>
      <c r="AF113" s="4094" t="n"/>
      <c r="AG113" s="4094" t="n"/>
      <c r="AH113" s="4094" t="n"/>
      <c r="AI113" s="4094" t="n"/>
      <c r="AJ113" s="4094" t="n"/>
      <c r="AK113" s="4094" t="n"/>
      <c r="AL113" s="4094" t="n"/>
      <c r="AM113" s="4094" t="n"/>
      <c r="AN113" s="4094" t="n"/>
      <c r="AO113" s="4095" t="n"/>
      <c r="AP113" s="4094" t="n">
        <v>-70</v>
      </c>
      <c r="AQ113" s="4094" t="n">
        <v>-196.3405</v>
      </c>
      <c r="AR113" s="4094" t="n">
        <v>-315.0012</v>
      </c>
      <c r="AS113" s="4094" t="n">
        <v>-304.49325</v>
      </c>
      <c r="AT113" s="4094" t="n">
        <v>-144.39538</v>
      </c>
      <c r="AU113" s="4096" t="n">
        <v>7.34998</v>
      </c>
      <c r="AV113" s="4094">
        <f>SUM(F113:Q113)</f>
        <v/>
      </c>
      <c r="AW113" s="4094">
        <f>SUM(R113:AC113)</f>
        <v/>
      </c>
      <c r="AX113" s="4094">
        <f>SUM(AD113:AO113)</f>
        <v/>
      </c>
      <c r="AY113" s="4094">
        <f>SUM(AH113:AS113)</f>
        <v/>
      </c>
      <c r="AZ113" s="4094">
        <f>SUM(AJ113:AU113)</f>
        <v/>
      </c>
      <c r="BA113" s="3737" t="n"/>
      <c r="BB113" s="4097">
        <f>IFERROR(F113/F$117,0)</f>
        <v/>
      </c>
      <c r="BC113" s="4097">
        <f>IFERROR(G113/G$117,0)</f>
        <v/>
      </c>
      <c r="BD113" s="4097">
        <f>IFERROR(H113/H$117,0)</f>
        <v/>
      </c>
      <c r="BE113" s="4097">
        <f>IFERROR(I113/I$117,0)</f>
        <v/>
      </c>
      <c r="BF113" s="4097">
        <f>IFERROR(J113/J$117,0)</f>
        <v/>
      </c>
      <c r="BG113" s="4097">
        <f>IFERROR(K113/K$117,0)</f>
        <v/>
      </c>
      <c r="BH113" s="4097">
        <f>IFERROR(L113/L$117,0)</f>
        <v/>
      </c>
      <c r="BI113" s="4097">
        <f>IFERROR(M113/M$117,0)</f>
        <v/>
      </c>
      <c r="BJ113" s="4097">
        <f>IFERROR(N113/N$117,0)</f>
        <v/>
      </c>
      <c r="BK113" s="4097">
        <f>IFERROR(O113/O$117,0)</f>
        <v/>
      </c>
      <c r="BL113" s="4097">
        <f>IFERROR(P113/P$117,0)</f>
        <v/>
      </c>
      <c r="BM113" s="4098">
        <f>IFERROR(Q113/Q$117,0)</f>
        <v/>
      </c>
      <c r="BN113" s="4097">
        <f>IFERROR(R113/R$117,0)</f>
        <v/>
      </c>
      <c r="BO113" s="4097">
        <f>IFERROR(S113/S$117,0)</f>
        <v/>
      </c>
      <c r="BP113" s="4097">
        <f>IFERROR(T113/T$117,0)</f>
        <v/>
      </c>
      <c r="BQ113" s="4097">
        <f>IFERROR(U113/U$117,0)</f>
        <v/>
      </c>
      <c r="BR113" s="4097">
        <f>IFERROR(V113/V$117,0)</f>
        <v/>
      </c>
      <c r="BS113" s="4097">
        <f>IFERROR(W113/W$117,0)</f>
        <v/>
      </c>
      <c r="BT113" s="4097">
        <f>IFERROR(X113/X$117,0)</f>
        <v/>
      </c>
      <c r="BU113" s="4097">
        <f>IFERROR(Y113/Y$117,0)</f>
        <v/>
      </c>
      <c r="BV113" s="4097">
        <f>IFERROR(Z113/Z$117,0)</f>
        <v/>
      </c>
      <c r="BW113" s="4097">
        <f>IFERROR(AA113/AA$117,0)</f>
        <v/>
      </c>
      <c r="BX113" s="4097">
        <f>IFERROR(AB113/AB$117,0)</f>
        <v/>
      </c>
      <c r="BY113" s="4098">
        <f>IFERROR(AC113/AC$117,0)</f>
        <v/>
      </c>
      <c r="BZ113" s="4097">
        <f>IFERROR(AD113/AD$117,0)</f>
        <v/>
      </c>
      <c r="CA113" s="4097">
        <f>IFERROR(AE113/AE$117,0)</f>
        <v/>
      </c>
      <c r="CB113" s="4097">
        <f>IFERROR(AF113/AF$117,0)</f>
        <v/>
      </c>
      <c r="CC113" s="4097">
        <f>IFERROR(AG113/AG$117,0)</f>
        <v/>
      </c>
      <c r="CD113" s="4097">
        <f>IFERROR(AH113/AH$117,0)</f>
        <v/>
      </c>
      <c r="CE113" s="4097">
        <f>IFERROR(AI113/AI$117,0)</f>
        <v/>
      </c>
      <c r="CF113" s="4097">
        <f>IFERROR(AJ113/AJ$117,0)</f>
        <v/>
      </c>
      <c r="CG113" s="4097">
        <f>IFERROR(AK113/AK$117,0)</f>
        <v/>
      </c>
      <c r="CH113" s="4097">
        <f>IFERROR(AL113/AL$117,0)</f>
        <v/>
      </c>
      <c r="CI113" s="4097">
        <f>IFERROR(AM113/AM$117,0)</f>
        <v/>
      </c>
      <c r="CJ113" s="4097">
        <f>IFERROR(AN113/AN$117,0)</f>
        <v/>
      </c>
      <c r="CK113" s="4098">
        <f>IFERROR(AO113/AO$117,0)</f>
        <v/>
      </c>
      <c r="CL113" s="4097">
        <f>IFERROR(AP113/AP$117,0)</f>
        <v/>
      </c>
      <c r="CM113" s="4097">
        <f>IFERROR(AQ113/AQ$117,0)</f>
        <v/>
      </c>
      <c r="CN113" s="4097">
        <f>IFERROR(AR113/AR$117,0)</f>
        <v/>
      </c>
      <c r="CO113" s="4097">
        <f>IFERROR(AS113/AS$117,0)</f>
        <v/>
      </c>
      <c r="CP113" s="4097">
        <f>IFERROR(AT113/AT$117,0)</f>
        <v/>
      </c>
      <c r="CQ113" s="4099">
        <f>IFERROR(AU113/AU$117,0)</f>
        <v/>
      </c>
      <c r="CR113" s="4097">
        <f>IFERROR(AV113/AV$117,0)</f>
        <v/>
      </c>
      <c r="CS113" s="4097">
        <f>IFERROR(AW113/AW$117,0)</f>
        <v/>
      </c>
      <c r="CT113" s="4097">
        <f>IFERROR(AX113/AX$117,0)</f>
        <v/>
      </c>
      <c r="CU113" s="4097">
        <f>IFERROR(AY113/AY$117,0)</f>
        <v/>
      </c>
      <c r="CV113" s="4097">
        <f>IFERROR(AZ113/AZ$117,0)</f>
        <v/>
      </c>
      <c r="CW113" s="3737" t="n"/>
      <c r="CX113" s="4094" t="n">
        <v>-1434.34559</v>
      </c>
    </row>
    <row r="114" hidden="1" outlineLevel="2" ht="12" customFormat="1" customHeight="1" s="3737">
      <c r="A114" s="4059" t="n"/>
      <c r="B114" s="4060" t="n"/>
      <c r="C114" s="4109" t="inlineStr">
        <is>
          <t>Prof serv ifrs15 cy amort</t>
        </is>
      </c>
      <c r="D114" s="4093" t="n">
        <v>426115</v>
      </c>
      <c r="E114" s="4093">
        <f>CONCATENATE(D114," - ",C114)</f>
        <v/>
      </c>
      <c r="F114" s="4094" t="n"/>
      <c r="G114" s="4094" t="n"/>
      <c r="H114" s="4094" t="n"/>
      <c r="I114" s="4094" t="n"/>
      <c r="J114" s="4094" t="n"/>
      <c r="K114" s="4094" t="n"/>
      <c r="L114" s="4094" t="n"/>
      <c r="M114" s="4094" t="n"/>
      <c r="N114" s="4094" t="n"/>
      <c r="O114" s="4094" t="n"/>
      <c r="P114" s="4094" t="n"/>
      <c r="Q114" s="4095" t="n"/>
      <c r="R114" s="4094" t="n"/>
      <c r="S114" s="4094" t="n"/>
      <c r="T114" s="4094" t="n"/>
      <c r="U114" s="4094" t="n"/>
      <c r="V114" s="4094" t="n"/>
      <c r="W114" s="4094" t="n"/>
      <c r="X114" s="4094" t="n"/>
      <c r="Y114" s="4094" t="n"/>
      <c r="Z114" s="4094" t="n"/>
      <c r="AA114" s="4094" t="n"/>
      <c r="AB114" s="4094" t="n"/>
      <c r="AC114" s="4095" t="n"/>
      <c r="AD114" s="4094" t="n"/>
      <c r="AE114" s="4094" t="n"/>
      <c r="AF114" s="4094" t="n"/>
      <c r="AG114" s="4094" t="n"/>
      <c r="AH114" s="4094" t="n"/>
      <c r="AI114" s="4094" t="n"/>
      <c r="AJ114" s="4094" t="n"/>
      <c r="AK114" s="4094" t="n"/>
      <c r="AL114" s="4094" t="n"/>
      <c r="AM114" s="4094" t="n"/>
      <c r="AN114" s="4094" t="n"/>
      <c r="AO114" s="4095" t="n"/>
      <c r="AP114" s="4094" t="n">
        <v>2</v>
      </c>
      <c r="AQ114" s="4094" t="n">
        <v>-0.6008599999999999</v>
      </c>
      <c r="AR114" s="4094" t="n">
        <v>8.130190000000001</v>
      </c>
      <c r="AS114" s="4094" t="n">
        <v>6.92217</v>
      </c>
      <c r="AT114" s="4094" t="n">
        <v>6.92217</v>
      </c>
      <c r="AU114" s="4096" t="n">
        <v>15.42685</v>
      </c>
      <c r="AV114" s="4094">
        <f>SUM(F114:Q114)</f>
        <v/>
      </c>
      <c r="AW114" s="4094">
        <f>SUM(R114:AC114)</f>
        <v/>
      </c>
      <c r="AX114" s="4094">
        <f>SUM(AD114:AO114)</f>
        <v/>
      </c>
      <c r="AY114" s="4094">
        <f>SUM(AH114:AS114)</f>
        <v/>
      </c>
      <c r="AZ114" s="4094">
        <f>SUM(AJ114:AU114)</f>
        <v/>
      </c>
      <c r="BA114" s="3737" t="n"/>
      <c r="BB114" s="4097">
        <f>IFERROR(F114/F$117,0)</f>
        <v/>
      </c>
      <c r="BC114" s="4097">
        <f>IFERROR(G114/G$117,0)</f>
        <v/>
      </c>
      <c r="BD114" s="4097">
        <f>IFERROR(H114/H$117,0)</f>
        <v/>
      </c>
      <c r="BE114" s="4097">
        <f>IFERROR(I114/I$117,0)</f>
        <v/>
      </c>
      <c r="BF114" s="4097">
        <f>IFERROR(J114/J$117,0)</f>
        <v/>
      </c>
      <c r="BG114" s="4097">
        <f>IFERROR(K114/K$117,0)</f>
        <v/>
      </c>
      <c r="BH114" s="4097">
        <f>IFERROR(L114/L$117,0)</f>
        <v/>
      </c>
      <c r="BI114" s="4097">
        <f>IFERROR(M114/M$117,0)</f>
        <v/>
      </c>
      <c r="BJ114" s="4097">
        <f>IFERROR(N114/N$117,0)</f>
        <v/>
      </c>
      <c r="BK114" s="4097">
        <f>IFERROR(O114/O$117,0)</f>
        <v/>
      </c>
      <c r="BL114" s="4097">
        <f>IFERROR(P114/P$117,0)</f>
        <v/>
      </c>
      <c r="BM114" s="4098">
        <f>IFERROR(Q114/Q$117,0)</f>
        <v/>
      </c>
      <c r="BN114" s="4097">
        <f>IFERROR(R114/R$117,0)</f>
        <v/>
      </c>
      <c r="BO114" s="4097">
        <f>IFERROR(S114/S$117,0)</f>
        <v/>
      </c>
      <c r="BP114" s="4097">
        <f>IFERROR(T114/T$117,0)</f>
        <v/>
      </c>
      <c r="BQ114" s="4097">
        <f>IFERROR(U114/U$117,0)</f>
        <v/>
      </c>
      <c r="BR114" s="4097">
        <f>IFERROR(V114/V$117,0)</f>
        <v/>
      </c>
      <c r="BS114" s="4097">
        <f>IFERROR(W114/W$117,0)</f>
        <v/>
      </c>
      <c r="BT114" s="4097">
        <f>IFERROR(X114/X$117,0)</f>
        <v/>
      </c>
      <c r="BU114" s="4097">
        <f>IFERROR(Y114/Y$117,0)</f>
        <v/>
      </c>
      <c r="BV114" s="4097">
        <f>IFERROR(Z114/Z$117,0)</f>
        <v/>
      </c>
      <c r="BW114" s="4097">
        <f>IFERROR(AA114/AA$117,0)</f>
        <v/>
      </c>
      <c r="BX114" s="4097">
        <f>IFERROR(AB114/AB$117,0)</f>
        <v/>
      </c>
      <c r="BY114" s="4098">
        <f>IFERROR(AC114/AC$117,0)</f>
        <v/>
      </c>
      <c r="BZ114" s="4097">
        <f>IFERROR(AD114/AD$117,0)</f>
        <v/>
      </c>
      <c r="CA114" s="4097">
        <f>IFERROR(AE114/AE$117,0)</f>
        <v/>
      </c>
      <c r="CB114" s="4097">
        <f>IFERROR(AF114/AF$117,0)</f>
        <v/>
      </c>
      <c r="CC114" s="4097">
        <f>IFERROR(AG114/AG$117,0)</f>
        <v/>
      </c>
      <c r="CD114" s="4097">
        <f>IFERROR(AH114/AH$117,0)</f>
        <v/>
      </c>
      <c r="CE114" s="4097">
        <f>IFERROR(AI114/AI$117,0)</f>
        <v/>
      </c>
      <c r="CF114" s="4097">
        <f>IFERROR(AJ114/AJ$117,0)</f>
        <v/>
      </c>
      <c r="CG114" s="4097">
        <f>IFERROR(AK114/AK$117,0)</f>
        <v/>
      </c>
      <c r="CH114" s="4097">
        <f>IFERROR(AL114/AL$117,0)</f>
        <v/>
      </c>
      <c r="CI114" s="4097">
        <f>IFERROR(AM114/AM$117,0)</f>
        <v/>
      </c>
      <c r="CJ114" s="4097">
        <f>IFERROR(AN114/AN$117,0)</f>
        <v/>
      </c>
      <c r="CK114" s="4098">
        <f>IFERROR(AO114/AO$117,0)</f>
        <v/>
      </c>
      <c r="CL114" s="4097">
        <f>IFERROR(AP114/AP$117,0)</f>
        <v/>
      </c>
      <c r="CM114" s="4097">
        <f>IFERROR(AQ114/AQ$117,0)</f>
        <v/>
      </c>
      <c r="CN114" s="4097">
        <f>IFERROR(AR114/AR$117,0)</f>
        <v/>
      </c>
      <c r="CO114" s="4097">
        <f>IFERROR(AS114/AS$117,0)</f>
        <v/>
      </c>
      <c r="CP114" s="4097">
        <f>IFERROR(AT114/AT$117,0)</f>
        <v/>
      </c>
      <c r="CQ114" s="4099">
        <f>IFERROR(AU114/AU$117,0)</f>
        <v/>
      </c>
      <c r="CR114" s="4097">
        <f>IFERROR(AV114/AV$117,0)</f>
        <v/>
      </c>
      <c r="CS114" s="4097">
        <f>IFERROR(AW114/AW$117,0)</f>
        <v/>
      </c>
      <c r="CT114" s="4097">
        <f>IFERROR(AX114/AX$117,0)</f>
        <v/>
      </c>
      <c r="CU114" s="4097">
        <f>IFERROR(AY114/AY$117,0)</f>
        <v/>
      </c>
      <c r="CV114" s="4097">
        <f>IFERROR(AZ114/AZ$117,0)</f>
        <v/>
      </c>
      <c r="CW114" s="3737" t="n"/>
      <c r="CX114" s="4094" t="n">
        <v>0</v>
      </c>
    </row>
    <row r="115" hidden="1" outlineLevel="2" ht="12" customFormat="1" customHeight="1" s="3737">
      <c r="A115" s="4059" t="n"/>
      <c r="B115" s="4060" t="n"/>
      <c r="C115" s="4110" t="inlineStr">
        <is>
          <t>Prof services prior years ifrs</t>
        </is>
      </c>
      <c r="D115" s="4101" t="n">
        <v>427115</v>
      </c>
      <c r="E115" s="4101">
        <f>CONCATENATE(D115," - ",C115)</f>
        <v/>
      </c>
      <c r="F115" s="4102" t="n"/>
      <c r="G115" s="4102" t="n"/>
      <c r="H115" s="4102" t="n"/>
      <c r="I115" s="4102" t="n"/>
      <c r="J115" s="4102" t="n"/>
      <c r="K115" s="4102" t="n"/>
      <c r="L115" s="4102" t="n"/>
      <c r="M115" s="4102" t="n"/>
      <c r="N115" s="4102" t="n"/>
      <c r="O115" s="4102" t="n"/>
      <c r="P115" s="4102" t="n"/>
      <c r="Q115" s="4103" t="n"/>
      <c r="R115" s="4102" t="n"/>
      <c r="S115" s="4102" t="n"/>
      <c r="T115" s="4102" t="n"/>
      <c r="U115" s="4102" t="n"/>
      <c r="V115" s="4102" t="n"/>
      <c r="W115" s="4102" t="n"/>
      <c r="X115" s="4102" t="n"/>
      <c r="Y115" s="4102" t="n"/>
      <c r="Z115" s="4102" t="n"/>
      <c r="AA115" s="4102" t="n"/>
      <c r="AB115" s="4102" t="n"/>
      <c r="AC115" s="4103" t="n"/>
      <c r="AD115" s="4102" t="n"/>
      <c r="AE115" s="4102" t="n"/>
      <c r="AF115" s="4102" t="n"/>
      <c r="AG115" s="4102" t="n"/>
      <c r="AH115" s="4102" t="n"/>
      <c r="AI115" s="4102" t="n"/>
      <c r="AJ115" s="4102" t="n"/>
      <c r="AK115" s="4102" t="n"/>
      <c r="AL115" s="4102" t="n"/>
      <c r="AM115" s="4102" t="n"/>
      <c r="AN115" s="4102" t="n"/>
      <c r="AO115" s="4103" t="n"/>
      <c r="AP115" s="4102" t="n">
        <v>169.72657</v>
      </c>
      <c r="AQ115" s="4102" t="n">
        <v>258.22657</v>
      </c>
      <c r="AR115" s="4102" t="n">
        <v>194.51733</v>
      </c>
      <c r="AS115" s="4102" t="n">
        <v>207.48984</v>
      </c>
      <c r="AT115" s="4102" t="n">
        <v>129.61494</v>
      </c>
      <c r="AU115" s="4104" t="n">
        <v>85.57915</v>
      </c>
      <c r="AV115" s="4102">
        <f>SUM(F115:Q115)</f>
        <v/>
      </c>
      <c r="AW115" s="4102">
        <f>SUM(R115:AC115)</f>
        <v/>
      </c>
      <c r="AX115" s="4102">
        <f>SUM(AD115:AO115)</f>
        <v/>
      </c>
      <c r="AY115" s="4102">
        <f>SUM(AH115:AS115)</f>
        <v/>
      </c>
      <c r="AZ115" s="4102">
        <f>SUM(AJ115:AU115)</f>
        <v/>
      </c>
      <c r="BA115" s="3737" t="n"/>
      <c r="BB115" s="4105">
        <f>IFERROR(F115/F$117,0)</f>
        <v/>
      </c>
      <c r="BC115" s="4105">
        <f>IFERROR(G115/G$117,0)</f>
        <v/>
      </c>
      <c r="BD115" s="4105">
        <f>IFERROR(H115/H$117,0)</f>
        <v/>
      </c>
      <c r="BE115" s="4105">
        <f>IFERROR(I115/I$117,0)</f>
        <v/>
      </c>
      <c r="BF115" s="4105">
        <f>IFERROR(J115/J$117,0)</f>
        <v/>
      </c>
      <c r="BG115" s="4105">
        <f>IFERROR(K115/K$117,0)</f>
        <v/>
      </c>
      <c r="BH115" s="4105">
        <f>IFERROR(L115/L$117,0)</f>
        <v/>
      </c>
      <c r="BI115" s="4105">
        <f>IFERROR(M115/M$117,0)</f>
        <v/>
      </c>
      <c r="BJ115" s="4105">
        <f>IFERROR(N115/N$117,0)</f>
        <v/>
      </c>
      <c r="BK115" s="4105">
        <f>IFERROR(O115/O$117,0)</f>
        <v/>
      </c>
      <c r="BL115" s="4105">
        <f>IFERROR(P115/P$117,0)</f>
        <v/>
      </c>
      <c r="BM115" s="4106">
        <f>IFERROR(Q115/Q$117,0)</f>
        <v/>
      </c>
      <c r="BN115" s="4105">
        <f>IFERROR(R115/R$117,0)</f>
        <v/>
      </c>
      <c r="BO115" s="4105">
        <f>IFERROR(S115/S$117,0)</f>
        <v/>
      </c>
      <c r="BP115" s="4105">
        <f>IFERROR(T115/T$117,0)</f>
        <v/>
      </c>
      <c r="BQ115" s="4105">
        <f>IFERROR(U115/U$117,0)</f>
        <v/>
      </c>
      <c r="BR115" s="4105">
        <f>IFERROR(V115/V$117,0)</f>
        <v/>
      </c>
      <c r="BS115" s="4105">
        <f>IFERROR(W115/W$117,0)</f>
        <v/>
      </c>
      <c r="BT115" s="4105">
        <f>IFERROR(X115/X$117,0)</f>
        <v/>
      </c>
      <c r="BU115" s="4105">
        <f>IFERROR(Y115/Y$117,0)</f>
        <v/>
      </c>
      <c r="BV115" s="4105">
        <f>IFERROR(Z115/Z$117,0)</f>
        <v/>
      </c>
      <c r="BW115" s="4105">
        <f>IFERROR(AA115/AA$117,0)</f>
        <v/>
      </c>
      <c r="BX115" s="4105">
        <f>IFERROR(AB115/AB$117,0)</f>
        <v/>
      </c>
      <c r="BY115" s="4106">
        <f>IFERROR(AC115/AC$117,0)</f>
        <v/>
      </c>
      <c r="BZ115" s="4105">
        <f>IFERROR(AD115/AD$117,0)</f>
        <v/>
      </c>
      <c r="CA115" s="4105">
        <f>IFERROR(AE115/AE$117,0)</f>
        <v/>
      </c>
      <c r="CB115" s="4105">
        <f>IFERROR(AF115/AF$117,0)</f>
        <v/>
      </c>
      <c r="CC115" s="4105">
        <f>IFERROR(AG115/AG$117,0)</f>
        <v/>
      </c>
      <c r="CD115" s="4105">
        <f>IFERROR(AH115/AH$117,0)</f>
        <v/>
      </c>
      <c r="CE115" s="4105">
        <f>IFERROR(AI115/AI$117,0)</f>
        <v/>
      </c>
      <c r="CF115" s="4105">
        <f>IFERROR(AJ115/AJ$117,0)</f>
        <v/>
      </c>
      <c r="CG115" s="4105">
        <f>IFERROR(AK115/AK$117,0)</f>
        <v/>
      </c>
      <c r="CH115" s="4105">
        <f>IFERROR(AL115/AL$117,0)</f>
        <v/>
      </c>
      <c r="CI115" s="4105">
        <f>IFERROR(AM115/AM$117,0)</f>
        <v/>
      </c>
      <c r="CJ115" s="4105">
        <f>IFERROR(AN115/AN$117,0)</f>
        <v/>
      </c>
      <c r="CK115" s="4106">
        <f>IFERROR(AO115/AO$117,0)</f>
        <v/>
      </c>
      <c r="CL115" s="4105">
        <f>IFERROR(AP115/AP$117,0)</f>
        <v/>
      </c>
      <c r="CM115" s="4105">
        <f>IFERROR(AQ115/AQ$117,0)</f>
        <v/>
      </c>
      <c r="CN115" s="4105">
        <f>IFERROR(AR115/AR$117,0)</f>
        <v/>
      </c>
      <c r="CO115" s="4105">
        <f>IFERROR(AS115/AS$117,0)</f>
        <v/>
      </c>
      <c r="CP115" s="4105">
        <f>IFERROR(AT115/AT$117,0)</f>
        <v/>
      </c>
      <c r="CQ115" s="4107">
        <f>IFERROR(AU115/AU$117,0)</f>
        <v/>
      </c>
      <c r="CR115" s="4105">
        <f>IFERROR(AV115/AV$117,0)</f>
        <v/>
      </c>
      <c r="CS115" s="4105">
        <f>IFERROR(AW115/AW$117,0)</f>
        <v/>
      </c>
      <c r="CT115" s="4105">
        <f>IFERROR(AX115/AX$117,0)</f>
        <v/>
      </c>
      <c r="CU115" s="4105">
        <f>IFERROR(AY115/AY$117,0)</f>
        <v/>
      </c>
      <c r="CV115" s="4105">
        <f>IFERROR(AZ115/AZ$117,0)</f>
        <v/>
      </c>
      <c r="CW115" s="3737" t="n"/>
      <c r="CX115" s="4102" t="n">
        <v>1728.9794</v>
      </c>
    </row>
    <row r="116" hidden="1" outlineLevel="1" collapsed="1" ht="12" customFormat="1" customHeight="1" s="3737">
      <c r="A116" s="4059" t="n"/>
      <c r="B116" s="4060" t="n"/>
      <c r="C116" s="4115" t="inlineStr">
        <is>
          <t>Prof services revenue - ifrs15</t>
        </is>
      </c>
      <c r="D116" s="4101" t="n"/>
      <c r="E116" s="4101" t="n"/>
      <c r="F116" s="4102" t="n"/>
      <c r="G116" s="4102" t="n"/>
      <c r="H116" s="4102" t="n"/>
      <c r="I116" s="4102" t="n"/>
      <c r="J116" s="4102" t="n"/>
      <c r="K116" s="4102" t="n"/>
      <c r="L116" s="4102" t="n"/>
      <c r="M116" s="4102" t="n"/>
      <c r="N116" s="4102" t="n"/>
      <c r="O116" s="4102" t="n"/>
      <c r="P116" s="4102" t="n"/>
      <c r="Q116" s="4103" t="n"/>
      <c r="R116" s="4102" t="n"/>
      <c r="S116" s="4102" t="n"/>
      <c r="T116" s="4102" t="n"/>
      <c r="U116" s="4102" t="n"/>
      <c r="V116" s="4102" t="n"/>
      <c r="W116" s="4102" t="n"/>
      <c r="X116" s="4102" t="n"/>
      <c r="Y116" s="4102" t="n"/>
      <c r="Z116" s="4102" t="n"/>
      <c r="AA116" s="4102" t="n"/>
      <c r="AB116" s="4102" t="n"/>
      <c r="AC116" s="4103" t="n"/>
      <c r="AD116" s="4102" t="n"/>
      <c r="AE116" s="4102" t="n"/>
      <c r="AF116" s="4102" t="n"/>
      <c r="AG116" s="4102" t="n"/>
      <c r="AH116" s="4102" t="n"/>
      <c r="AI116" s="4102" t="n"/>
      <c r="AJ116" s="4102" t="n"/>
      <c r="AK116" s="4102" t="n"/>
      <c r="AL116" s="4102" t="n"/>
      <c r="AM116" s="4102" t="n"/>
      <c r="AN116" s="4102" t="n"/>
      <c r="AO116" s="4103" t="n"/>
      <c r="AP116" s="4102">
        <f>SUM(AP113:AP115)</f>
        <v/>
      </c>
      <c r="AQ116" s="4102">
        <f>SUM(AQ113:AQ115)</f>
        <v/>
      </c>
      <c r="AR116" s="4102">
        <f>SUM(AR113:AR115)</f>
        <v/>
      </c>
      <c r="AS116" s="4102">
        <f>SUM(AS113:AS115)</f>
        <v/>
      </c>
      <c r="AT116" s="4102">
        <f>SUM(AT113:AT115)</f>
        <v/>
      </c>
      <c r="AU116" s="4104">
        <f>SUM(AU113:AU115)</f>
        <v/>
      </c>
      <c r="AV116" s="4102">
        <f>SUM(AV113:AV115)</f>
        <v/>
      </c>
      <c r="AW116" s="4102">
        <f>SUM(AW113:AW115)</f>
        <v/>
      </c>
      <c r="AX116" s="4102">
        <f>SUM(AX113:AX115)</f>
        <v/>
      </c>
      <c r="AY116" s="4102">
        <f>SUM(AY113:AY115)</f>
        <v/>
      </c>
      <c r="AZ116" s="4102">
        <f>SUM(AZ113:AZ115)</f>
        <v/>
      </c>
      <c r="BA116" s="3737" t="n"/>
      <c r="BB116" s="4105">
        <f>IFERROR(F116/F$117,0)</f>
        <v/>
      </c>
      <c r="BC116" s="4105">
        <f>IFERROR(G116/G$117,0)</f>
        <v/>
      </c>
      <c r="BD116" s="4105">
        <f>IFERROR(H116/H$117,0)</f>
        <v/>
      </c>
      <c r="BE116" s="4105">
        <f>IFERROR(I116/I$117,0)</f>
        <v/>
      </c>
      <c r="BF116" s="4105">
        <f>IFERROR(J116/J$117,0)</f>
        <v/>
      </c>
      <c r="BG116" s="4105">
        <f>IFERROR(K116/K$117,0)</f>
        <v/>
      </c>
      <c r="BH116" s="4105">
        <f>IFERROR(L116/L$117,0)</f>
        <v/>
      </c>
      <c r="BI116" s="4105">
        <f>IFERROR(M116/M$117,0)</f>
        <v/>
      </c>
      <c r="BJ116" s="4105">
        <f>IFERROR(N116/N$117,0)</f>
        <v/>
      </c>
      <c r="BK116" s="4105">
        <f>IFERROR(O116/O$117,0)</f>
        <v/>
      </c>
      <c r="BL116" s="4105">
        <f>IFERROR(P116/P$117,0)</f>
        <v/>
      </c>
      <c r="BM116" s="4106">
        <f>IFERROR(Q116/Q$117,0)</f>
        <v/>
      </c>
      <c r="BN116" s="4105">
        <f>IFERROR(R116/R$117,0)</f>
        <v/>
      </c>
      <c r="BO116" s="4105">
        <f>IFERROR(S116/S$117,0)</f>
        <v/>
      </c>
      <c r="BP116" s="4105">
        <f>IFERROR(T116/T$117,0)</f>
        <v/>
      </c>
      <c r="BQ116" s="4105">
        <f>IFERROR(U116/U$117,0)</f>
        <v/>
      </c>
      <c r="BR116" s="4105">
        <f>IFERROR(V116/V$117,0)</f>
        <v/>
      </c>
      <c r="BS116" s="4105">
        <f>IFERROR(W116/W$117,0)</f>
        <v/>
      </c>
      <c r="BT116" s="4105">
        <f>IFERROR(X116/X$117,0)</f>
        <v/>
      </c>
      <c r="BU116" s="4105">
        <f>IFERROR(Y116/Y$117,0)</f>
        <v/>
      </c>
      <c r="BV116" s="4105">
        <f>IFERROR(Z116/Z$117,0)</f>
        <v/>
      </c>
      <c r="BW116" s="4105">
        <f>IFERROR(AA116/AA$117,0)</f>
        <v/>
      </c>
      <c r="BX116" s="4105">
        <f>IFERROR(AB116/AB$117,0)</f>
        <v/>
      </c>
      <c r="BY116" s="4106">
        <f>IFERROR(AC116/AC$117,0)</f>
        <v/>
      </c>
      <c r="BZ116" s="4105">
        <f>IFERROR(AD116/AD$117,0)</f>
        <v/>
      </c>
      <c r="CA116" s="4105">
        <f>IFERROR(AE116/AE$117,0)</f>
        <v/>
      </c>
      <c r="CB116" s="4105">
        <f>IFERROR(AF116/AF$117,0)</f>
        <v/>
      </c>
      <c r="CC116" s="4105">
        <f>IFERROR(AG116/AG$117,0)</f>
        <v/>
      </c>
      <c r="CD116" s="4105">
        <f>IFERROR(AH116/AH$117,0)</f>
        <v/>
      </c>
      <c r="CE116" s="4105">
        <f>IFERROR(AI116/AI$117,0)</f>
        <v/>
      </c>
      <c r="CF116" s="4105">
        <f>IFERROR(AJ116/AJ$117,0)</f>
        <v/>
      </c>
      <c r="CG116" s="4105">
        <f>IFERROR(AK116/AK$117,0)</f>
        <v/>
      </c>
      <c r="CH116" s="4105">
        <f>IFERROR(AL116/AL$117,0)</f>
        <v/>
      </c>
      <c r="CI116" s="4105">
        <f>IFERROR(AM116/AM$117,0)</f>
        <v/>
      </c>
      <c r="CJ116" s="4105">
        <f>IFERROR(AN116/AN$117,0)</f>
        <v/>
      </c>
      <c r="CK116" s="4106">
        <f>IFERROR(AO116/AO$117,0)</f>
        <v/>
      </c>
      <c r="CL116" s="4105">
        <f>IFERROR(AP116/AP$117,0)</f>
        <v/>
      </c>
      <c r="CM116" s="4105">
        <f>IFERROR(AQ116/AQ$117,0)</f>
        <v/>
      </c>
      <c r="CN116" s="4105">
        <f>IFERROR(AR116/AR$117,0)</f>
        <v/>
      </c>
      <c r="CO116" s="4105">
        <f>IFERROR(AS116/AS$117,0)</f>
        <v/>
      </c>
      <c r="CP116" s="4105">
        <f>IFERROR(AT116/AT$117,0)</f>
        <v/>
      </c>
      <c r="CQ116" s="4107">
        <f>IFERROR(AU116/AU$117,0)</f>
        <v/>
      </c>
      <c r="CR116" s="4105">
        <f>IFERROR(AV116/AV$117,0)</f>
        <v/>
      </c>
      <c r="CS116" s="4105">
        <f>IFERROR(AW116/AW$117,0)</f>
        <v/>
      </c>
      <c r="CT116" s="4105">
        <f>IFERROR(AX116/AX$117,0)</f>
        <v/>
      </c>
      <c r="CU116" s="4105">
        <f>IFERROR(AY116/AY$117,0)</f>
        <v/>
      </c>
      <c r="CV116" s="4105">
        <f>IFERROR(AZ116/AZ$117,0)</f>
        <v/>
      </c>
      <c r="CW116" s="3737" t="n"/>
      <c r="CX116" s="4102">
        <f>SUM(CX113:CX115)</f>
        <v/>
      </c>
    </row>
    <row r="117" ht="12" customFormat="1" customHeight="1" s="3737">
      <c r="A117" s="4059" t="n"/>
      <c r="B117" s="4060" t="n"/>
      <c r="C117" s="4112" t="inlineStr">
        <is>
          <t>Revenue</t>
        </is>
      </c>
      <c r="D117" s="4093" t="n"/>
      <c r="E117" s="4093" t="n"/>
      <c r="F117" s="4094" t="n"/>
      <c r="G117" s="4094" t="n"/>
      <c r="H117" s="4094" t="n"/>
      <c r="I117" s="4094" t="n"/>
      <c r="J117" s="4094" t="n"/>
      <c r="K117" s="4094" t="n"/>
      <c r="L117" s="4094" t="n"/>
      <c r="M117" s="4094" t="n"/>
      <c r="N117" s="4094" t="n"/>
      <c r="O117" s="4094" t="n"/>
      <c r="P117" s="4094" t="n"/>
      <c r="Q117" s="4095" t="n"/>
      <c r="R117" s="4094" t="n"/>
      <c r="S117" s="4094" t="n"/>
      <c r="T117" s="4094" t="n"/>
      <c r="U117" s="4094" t="n"/>
      <c r="V117" s="4094" t="n"/>
      <c r="W117" s="4094" t="n"/>
      <c r="X117" s="4094" t="n"/>
      <c r="Y117" s="4094" t="n"/>
      <c r="Z117" s="4094" t="n"/>
      <c r="AA117" s="4094" t="n"/>
      <c r="AB117" s="4094" t="n"/>
      <c r="AC117" s="4095" t="n"/>
      <c r="AD117" s="4094" t="n"/>
      <c r="AE117" s="4094" t="n"/>
      <c r="AF117" s="4094" t="n"/>
      <c r="AG117" s="4094" t="n"/>
      <c r="AH117" s="4094" t="n"/>
      <c r="AI117" s="4094" t="n"/>
      <c r="AJ117" s="4094" t="n"/>
      <c r="AK117" s="4094" t="n"/>
      <c r="AL117" s="4094" t="n"/>
      <c r="AM117" s="4094" t="n"/>
      <c r="AN117" s="4094" t="n"/>
      <c r="AO117" s="4095" t="n"/>
      <c r="AP117" s="4094">
        <f>SUM(AP116,AP112,AP109,AP104,AP101,AP90,AP79,AP68,AP63,AP38,AP30)</f>
        <v/>
      </c>
      <c r="AQ117" s="4094">
        <f>SUM(AQ116,AQ112,AQ109,AQ104,AQ101,AQ90,AQ79,AQ68,AQ63,AQ38,AQ30)</f>
        <v/>
      </c>
      <c r="AR117" s="4094">
        <f>SUM(AR116,AR112,AR109,AR104,AR101,AR90,AR79,AR68,AR63,AR38,AR30)</f>
        <v/>
      </c>
      <c r="AS117" s="4094">
        <f>SUM(AS116,AS112,AS109,AS104,AS101,AS90,AS79,AS68,AS63,AS38,AS30)</f>
        <v/>
      </c>
      <c r="AT117" s="4094">
        <f>SUM(AT116,AT112,AT109,AT104,AT101,AT90,AT79,AT68,AT63,AT38,AT30)</f>
        <v/>
      </c>
      <c r="AU117" s="4096">
        <f>SUM(AU116,AU112,AU109,AU104,AU101,AU90,AU79,AU68,AU63,AU38,AU30)</f>
        <v/>
      </c>
      <c r="AV117" s="4094">
        <f>SUM(AV116,AV112,AV109,AV104,AV101,AV90,AV79,AV68,AV63,AV38,AV30)</f>
        <v/>
      </c>
      <c r="AW117" s="4094">
        <f>SUM(AW116,AW112,AW109,AW104,AW101,AW90,AW79,AW68,AW63,AW38,AW30)</f>
        <v/>
      </c>
      <c r="AX117" s="4094">
        <f>SUM(AX116,AX112,AX109,AX104,AX101,AX90,AX79,AX68,AX63,AX38,AX30)</f>
        <v/>
      </c>
      <c r="AY117" s="4094">
        <f>SUM(AY116,AY112,AY109,AY104,AY101,AY90,AY79,AY68,AY63,AY38,AY30)</f>
        <v/>
      </c>
      <c r="AZ117" s="4094">
        <f>SUM(AZ116,AZ112,AZ109,AZ104,AZ101,AZ90,AZ79,AZ68,AZ63,AZ38,AZ30)</f>
        <v/>
      </c>
      <c r="BA117" s="3737" t="n"/>
      <c r="BB117" s="4097">
        <f>IFERROR(F117/F$117,0)</f>
        <v/>
      </c>
      <c r="BC117" s="4097">
        <f>IFERROR(G117/G$117,0)</f>
        <v/>
      </c>
      <c r="BD117" s="4097">
        <f>IFERROR(H117/H$117,0)</f>
        <v/>
      </c>
      <c r="BE117" s="4097">
        <f>IFERROR(I117/I$117,0)</f>
        <v/>
      </c>
      <c r="BF117" s="4097">
        <f>IFERROR(J117/J$117,0)</f>
        <v/>
      </c>
      <c r="BG117" s="4097">
        <f>IFERROR(K117/K$117,0)</f>
        <v/>
      </c>
      <c r="BH117" s="4097">
        <f>IFERROR(L117/L$117,0)</f>
        <v/>
      </c>
      <c r="BI117" s="4097">
        <f>IFERROR(M117/M$117,0)</f>
        <v/>
      </c>
      <c r="BJ117" s="4097">
        <f>IFERROR(N117/N$117,0)</f>
        <v/>
      </c>
      <c r="BK117" s="4097">
        <f>IFERROR(O117/O$117,0)</f>
        <v/>
      </c>
      <c r="BL117" s="4097">
        <f>IFERROR(P117/P$117,0)</f>
        <v/>
      </c>
      <c r="BM117" s="4098">
        <f>IFERROR(Q117/Q$117,0)</f>
        <v/>
      </c>
      <c r="BN117" s="4097">
        <f>IFERROR(R117/R$117,0)</f>
        <v/>
      </c>
      <c r="BO117" s="4097">
        <f>IFERROR(S117/S$117,0)</f>
        <v/>
      </c>
      <c r="BP117" s="4097">
        <f>IFERROR(T117/T$117,0)</f>
        <v/>
      </c>
      <c r="BQ117" s="4097">
        <f>IFERROR(U117/U$117,0)</f>
        <v/>
      </c>
      <c r="BR117" s="4097">
        <f>IFERROR(V117/V$117,0)</f>
        <v/>
      </c>
      <c r="BS117" s="4097">
        <f>IFERROR(W117/W$117,0)</f>
        <v/>
      </c>
      <c r="BT117" s="4097">
        <f>IFERROR(X117/X$117,0)</f>
        <v/>
      </c>
      <c r="BU117" s="4097">
        <f>IFERROR(Y117/Y$117,0)</f>
        <v/>
      </c>
      <c r="BV117" s="4097">
        <f>IFERROR(Z117/Z$117,0)</f>
        <v/>
      </c>
      <c r="BW117" s="4097">
        <f>IFERROR(AA117/AA$117,0)</f>
        <v/>
      </c>
      <c r="BX117" s="4097">
        <f>IFERROR(AB117/AB$117,0)</f>
        <v/>
      </c>
      <c r="BY117" s="4098">
        <f>IFERROR(AC117/AC$117,0)</f>
        <v/>
      </c>
      <c r="BZ117" s="4097">
        <f>IFERROR(AD117/AD$117,0)</f>
        <v/>
      </c>
      <c r="CA117" s="4097">
        <f>IFERROR(AE117/AE$117,0)</f>
        <v/>
      </c>
      <c r="CB117" s="4097">
        <f>IFERROR(AF117/AF$117,0)</f>
        <v/>
      </c>
      <c r="CC117" s="4097">
        <f>IFERROR(AG117/AG$117,0)</f>
        <v/>
      </c>
      <c r="CD117" s="4097">
        <f>IFERROR(AH117/AH$117,0)</f>
        <v/>
      </c>
      <c r="CE117" s="4097">
        <f>IFERROR(AI117/AI$117,0)</f>
        <v/>
      </c>
      <c r="CF117" s="4097">
        <f>IFERROR(AJ117/AJ$117,0)</f>
        <v/>
      </c>
      <c r="CG117" s="4097">
        <f>IFERROR(AK117/AK$117,0)</f>
        <v/>
      </c>
      <c r="CH117" s="4097">
        <f>IFERROR(AL117/AL$117,0)</f>
        <v/>
      </c>
      <c r="CI117" s="4097">
        <f>IFERROR(AM117/AM$117,0)</f>
        <v/>
      </c>
      <c r="CJ117" s="4097">
        <f>IFERROR(AN117/AN$117,0)</f>
        <v/>
      </c>
      <c r="CK117" s="4098">
        <f>IFERROR(AO117/AO$117,0)</f>
        <v/>
      </c>
      <c r="CL117" s="4097">
        <f>IFERROR(AP117/AP$117,0)</f>
        <v/>
      </c>
      <c r="CM117" s="4097">
        <f>IFERROR(AQ117/AQ$117,0)</f>
        <v/>
      </c>
      <c r="CN117" s="4097">
        <f>IFERROR(AR117/AR$117,0)</f>
        <v/>
      </c>
      <c r="CO117" s="4097">
        <f>IFERROR(AS117/AS$117,0)</f>
        <v/>
      </c>
      <c r="CP117" s="4097">
        <f>IFERROR(AT117/AT$117,0)</f>
        <v/>
      </c>
      <c r="CQ117" s="4099">
        <f>IFERROR(AU117/AU$117,0)</f>
        <v/>
      </c>
      <c r="CR117" s="4097">
        <f>IFERROR(AV117/AV$117,0)</f>
        <v/>
      </c>
      <c r="CS117" s="4097">
        <f>IFERROR(AW117/AW$117,0)</f>
        <v/>
      </c>
      <c r="CT117" s="4097">
        <f>IFERROR(AX117/AX$117,0)</f>
        <v/>
      </c>
      <c r="CU117" s="4097">
        <f>IFERROR(AY117/AY$117,0)</f>
        <v/>
      </c>
      <c r="CV117" s="4097">
        <f>IFERROR(AZ117/AZ$117,0)</f>
        <v/>
      </c>
      <c r="CW117" s="3737" t="n"/>
      <c r="CX117" s="4094">
        <f>SUM(CX116,CX112,CX109,CX104,CX101,CX90,CX79,CX68,CX63,CX38,CX30)</f>
        <v/>
      </c>
    </row>
    <row r="118" hidden="1" outlineLevel="2" ht="12" customFormat="1" customHeight="1" s="3737">
      <c r="A118" s="4059" t="n"/>
      <c r="B118" s="4060" t="n"/>
      <c r="C118" s="4092" t="inlineStr">
        <is>
          <t>Cogs - cci cards</t>
        </is>
      </c>
      <c r="D118" s="4093" t="n">
        <v>501452</v>
      </c>
      <c r="E118" s="4093">
        <f>CONCATENATE(D118," - ",C118)</f>
        <v/>
      </c>
      <c r="F118" s="4094" t="n"/>
      <c r="G118" s="4094" t="n"/>
      <c r="H118" s="4094" t="n"/>
      <c r="I118" s="4094" t="n"/>
      <c r="J118" s="4094" t="n"/>
      <c r="K118" s="4094" t="n"/>
      <c r="L118" s="4094" t="n"/>
      <c r="M118" s="4094" t="n"/>
      <c r="N118" s="4094" t="n"/>
      <c r="O118" s="4094" t="n"/>
      <c r="P118" s="4094" t="n"/>
      <c r="Q118" s="4095" t="n"/>
      <c r="R118" s="4094" t="n"/>
      <c r="S118" s="4094" t="n"/>
      <c r="T118" s="4094" t="n"/>
      <c r="U118" s="4094" t="n"/>
      <c r="V118" s="4094" t="n"/>
      <c r="W118" s="4094" t="n"/>
      <c r="X118" s="4094" t="n"/>
      <c r="Y118" s="4094" t="n"/>
      <c r="Z118" s="4094" t="n"/>
      <c r="AA118" s="4094" t="n"/>
      <c r="AB118" s="4094" t="n"/>
      <c r="AC118" s="4095" t="n"/>
      <c r="AD118" s="4094" t="n"/>
      <c r="AE118" s="4094" t="n"/>
      <c r="AF118" s="4094" t="n"/>
      <c r="AG118" s="4094" t="n"/>
      <c r="AH118" s="4094" t="n"/>
      <c r="AI118" s="4094" t="n"/>
      <c r="AJ118" s="4094" t="n"/>
      <c r="AK118" s="4094" t="n"/>
      <c r="AL118" s="4094" t="n"/>
      <c r="AM118" s="4094" t="n"/>
      <c r="AN118" s="4094" t="n"/>
      <c r="AO118" s="4095" t="n"/>
      <c r="AP118" s="4094" t="n">
        <v>-392.27783</v>
      </c>
      <c r="AQ118" s="4094" t="n">
        <v>-757.56101</v>
      </c>
      <c r="AR118" s="4094" t="n">
        <v>-107.9494</v>
      </c>
      <c r="AS118" s="4094" t="n">
        <v>-228.24212</v>
      </c>
      <c r="AT118" s="4094" t="n">
        <v>-126.17615</v>
      </c>
      <c r="AU118" s="4096" t="n">
        <v>-167.42265</v>
      </c>
      <c r="AV118" s="4094">
        <f>SUM(F118:Q118)</f>
        <v/>
      </c>
      <c r="AW118" s="4094">
        <f>SUM(R118:AC118)</f>
        <v/>
      </c>
      <c r="AX118" s="4094">
        <f>SUM(AD118:AO118)</f>
        <v/>
      </c>
      <c r="AY118" s="4094">
        <f>SUM(AH118:AS118)</f>
        <v/>
      </c>
      <c r="AZ118" s="4094">
        <f>SUM(AJ118:AU118)</f>
        <v/>
      </c>
      <c r="BA118" s="3737" t="n"/>
      <c r="BB118" s="4097">
        <f>IFERROR(F118/F$117,0)</f>
        <v/>
      </c>
      <c r="BC118" s="4097">
        <f>IFERROR(G118/G$117,0)</f>
        <v/>
      </c>
      <c r="BD118" s="4097">
        <f>IFERROR(H118/H$117,0)</f>
        <v/>
      </c>
      <c r="BE118" s="4097">
        <f>IFERROR(I118/I$117,0)</f>
        <v/>
      </c>
      <c r="BF118" s="4097">
        <f>IFERROR(J118/J$117,0)</f>
        <v/>
      </c>
      <c r="BG118" s="4097">
        <f>IFERROR(K118/K$117,0)</f>
        <v/>
      </c>
      <c r="BH118" s="4097">
        <f>IFERROR(L118/L$117,0)</f>
        <v/>
      </c>
      <c r="BI118" s="4097">
        <f>IFERROR(M118/M$117,0)</f>
        <v/>
      </c>
      <c r="BJ118" s="4097">
        <f>IFERROR(N118/N$117,0)</f>
        <v/>
      </c>
      <c r="BK118" s="4097">
        <f>IFERROR(O118/O$117,0)</f>
        <v/>
      </c>
      <c r="BL118" s="4097">
        <f>IFERROR(P118/P$117,0)</f>
        <v/>
      </c>
      <c r="BM118" s="4098">
        <f>IFERROR(Q118/Q$117,0)</f>
        <v/>
      </c>
      <c r="BN118" s="4097">
        <f>IFERROR(R118/R$117,0)</f>
        <v/>
      </c>
      <c r="BO118" s="4097">
        <f>IFERROR(S118/S$117,0)</f>
        <v/>
      </c>
      <c r="BP118" s="4097">
        <f>IFERROR(T118/T$117,0)</f>
        <v/>
      </c>
      <c r="BQ118" s="4097">
        <f>IFERROR(U118/U$117,0)</f>
        <v/>
      </c>
      <c r="BR118" s="4097">
        <f>IFERROR(V118/V$117,0)</f>
        <v/>
      </c>
      <c r="BS118" s="4097">
        <f>IFERROR(W118/W$117,0)</f>
        <v/>
      </c>
      <c r="BT118" s="4097">
        <f>IFERROR(X118/X$117,0)</f>
        <v/>
      </c>
      <c r="BU118" s="4097">
        <f>IFERROR(Y118/Y$117,0)</f>
        <v/>
      </c>
      <c r="BV118" s="4097">
        <f>IFERROR(Z118/Z$117,0)</f>
        <v/>
      </c>
      <c r="BW118" s="4097">
        <f>IFERROR(AA118/AA$117,0)</f>
        <v/>
      </c>
      <c r="BX118" s="4097">
        <f>IFERROR(AB118/AB$117,0)</f>
        <v/>
      </c>
      <c r="BY118" s="4098">
        <f>IFERROR(AC118/AC$117,0)</f>
        <v/>
      </c>
      <c r="BZ118" s="4097">
        <f>IFERROR(AD118/AD$117,0)</f>
        <v/>
      </c>
      <c r="CA118" s="4097">
        <f>IFERROR(AE118/AE$117,0)</f>
        <v/>
      </c>
      <c r="CB118" s="4097">
        <f>IFERROR(AF118/AF$117,0)</f>
        <v/>
      </c>
      <c r="CC118" s="4097">
        <f>IFERROR(AG118/AG$117,0)</f>
        <v/>
      </c>
      <c r="CD118" s="4097">
        <f>IFERROR(AH118/AH$117,0)</f>
        <v/>
      </c>
      <c r="CE118" s="4097">
        <f>IFERROR(AI118/AI$117,0)</f>
        <v/>
      </c>
      <c r="CF118" s="4097">
        <f>IFERROR(AJ118/AJ$117,0)</f>
        <v/>
      </c>
      <c r="CG118" s="4097">
        <f>IFERROR(AK118/AK$117,0)</f>
        <v/>
      </c>
      <c r="CH118" s="4097">
        <f>IFERROR(AL118/AL$117,0)</f>
        <v/>
      </c>
      <c r="CI118" s="4097">
        <f>IFERROR(AM118/AM$117,0)</f>
        <v/>
      </c>
      <c r="CJ118" s="4097">
        <f>IFERROR(AN118/AN$117,0)</f>
        <v/>
      </c>
      <c r="CK118" s="4098">
        <f>IFERROR(AO118/AO$117,0)</f>
        <v/>
      </c>
      <c r="CL118" s="4097">
        <f>IFERROR(AP118/AP$117,0)</f>
        <v/>
      </c>
      <c r="CM118" s="4097">
        <f>IFERROR(AQ118/AQ$117,0)</f>
        <v/>
      </c>
      <c r="CN118" s="4097">
        <f>IFERROR(AR118/AR$117,0)</f>
        <v/>
      </c>
      <c r="CO118" s="4097">
        <f>IFERROR(AS118/AS$117,0)</f>
        <v/>
      </c>
      <c r="CP118" s="4097">
        <f>IFERROR(AT118/AT$117,0)</f>
        <v/>
      </c>
      <c r="CQ118" s="4099">
        <f>IFERROR(AU118/AU$117,0)</f>
        <v/>
      </c>
      <c r="CR118" s="4097">
        <f>IFERROR(AV118/AV$117,0)</f>
        <v/>
      </c>
      <c r="CS118" s="4097">
        <f>IFERROR(AW118/AW$117,0)</f>
        <v/>
      </c>
      <c r="CT118" s="4097">
        <f>IFERROR(AX118/AX$117,0)</f>
        <v/>
      </c>
      <c r="CU118" s="4097">
        <f>IFERROR(AY118/AY$117,0)</f>
        <v/>
      </c>
      <c r="CV118" s="4097">
        <f>IFERROR(AZ118/AZ$117,0)</f>
        <v/>
      </c>
      <c r="CW118" s="3737" t="n"/>
      <c r="CX118" s="4094" t="n">
        <v>-1502.19263</v>
      </c>
    </row>
    <row r="119" hidden="1" outlineLevel="2" ht="12" customFormat="1" customHeight="1" s="3737">
      <c r="A119" s="4059" t="n"/>
      <c r="B119" s="4060" t="n"/>
      <c r="C119" s="4109" t="inlineStr">
        <is>
          <t>Cogs - card personalization</t>
        </is>
      </c>
      <c r="D119" s="4093" t="n">
        <v>501454</v>
      </c>
      <c r="E119" s="4093">
        <f>CONCATENATE(D119," - ",C119)</f>
        <v/>
      </c>
      <c r="F119" s="4094" t="n"/>
      <c r="G119" s="4094" t="n"/>
      <c r="H119" s="4094" t="n"/>
      <c r="I119" s="4094" t="n"/>
      <c r="J119" s="4094" t="n"/>
      <c r="K119" s="4094" t="n"/>
      <c r="L119" s="4094" t="n"/>
      <c r="M119" s="4094" t="n"/>
      <c r="N119" s="4094" t="n"/>
      <c r="O119" s="4094" t="n"/>
      <c r="P119" s="4094" t="n"/>
      <c r="Q119" s="4095" t="n"/>
      <c r="R119" s="4094" t="n"/>
      <c r="S119" s="4094" t="n"/>
      <c r="T119" s="4094" t="n"/>
      <c r="U119" s="4094" t="n"/>
      <c r="V119" s="4094" t="n"/>
      <c r="W119" s="4094" t="n"/>
      <c r="X119" s="4094" t="n"/>
      <c r="Y119" s="4094" t="n"/>
      <c r="Z119" s="4094" t="n"/>
      <c r="AA119" s="4094" t="n"/>
      <c r="AB119" s="4094" t="n"/>
      <c r="AC119" s="4095" t="n"/>
      <c r="AD119" s="4094" t="n"/>
      <c r="AE119" s="4094" t="n"/>
      <c r="AF119" s="4094" t="n"/>
      <c r="AG119" s="4094" t="n"/>
      <c r="AH119" s="4094" t="n"/>
      <c r="AI119" s="4094" t="n"/>
      <c r="AJ119" s="4094" t="n"/>
      <c r="AK119" s="4094" t="n"/>
      <c r="AL119" s="4094" t="n"/>
      <c r="AM119" s="4094" t="n"/>
      <c r="AN119" s="4094" t="n"/>
      <c r="AO119" s="4095" t="n"/>
      <c r="AP119" s="4094" t="n">
        <v>-92.02667</v>
      </c>
      <c r="AQ119" s="4094" t="n">
        <v>-85.06007</v>
      </c>
      <c r="AR119" s="4094" t="n">
        <v>-71.72966</v>
      </c>
      <c r="AS119" s="4094" t="n">
        <v>-105.99934</v>
      </c>
      <c r="AT119" s="4094" t="n">
        <v>-86.51555999999999</v>
      </c>
      <c r="AU119" s="4096" t="n">
        <v>-99.40983</v>
      </c>
      <c r="AV119" s="4094">
        <f>SUM(F119:Q119)</f>
        <v/>
      </c>
      <c r="AW119" s="4094">
        <f>SUM(R119:AC119)</f>
        <v/>
      </c>
      <c r="AX119" s="4094">
        <f>SUM(AD119:AO119)</f>
        <v/>
      </c>
      <c r="AY119" s="4094">
        <f>SUM(AH119:AS119)</f>
        <v/>
      </c>
      <c r="AZ119" s="4094">
        <f>SUM(AJ119:AU119)</f>
        <v/>
      </c>
      <c r="BA119" s="3737" t="n"/>
      <c r="BB119" s="4097">
        <f>IFERROR(F119/F$117,0)</f>
        <v/>
      </c>
      <c r="BC119" s="4097">
        <f>IFERROR(G119/G$117,0)</f>
        <v/>
      </c>
      <c r="BD119" s="4097">
        <f>IFERROR(H119/H$117,0)</f>
        <v/>
      </c>
      <c r="BE119" s="4097">
        <f>IFERROR(I119/I$117,0)</f>
        <v/>
      </c>
      <c r="BF119" s="4097">
        <f>IFERROR(J119/J$117,0)</f>
        <v/>
      </c>
      <c r="BG119" s="4097">
        <f>IFERROR(K119/K$117,0)</f>
        <v/>
      </c>
      <c r="BH119" s="4097">
        <f>IFERROR(L119/L$117,0)</f>
        <v/>
      </c>
      <c r="BI119" s="4097">
        <f>IFERROR(M119/M$117,0)</f>
        <v/>
      </c>
      <c r="BJ119" s="4097">
        <f>IFERROR(N119/N$117,0)</f>
        <v/>
      </c>
      <c r="BK119" s="4097">
        <f>IFERROR(O119/O$117,0)</f>
        <v/>
      </c>
      <c r="BL119" s="4097">
        <f>IFERROR(P119/P$117,0)</f>
        <v/>
      </c>
      <c r="BM119" s="4098">
        <f>IFERROR(Q119/Q$117,0)</f>
        <v/>
      </c>
      <c r="BN119" s="4097">
        <f>IFERROR(R119/R$117,0)</f>
        <v/>
      </c>
      <c r="BO119" s="4097">
        <f>IFERROR(S119/S$117,0)</f>
        <v/>
      </c>
      <c r="BP119" s="4097">
        <f>IFERROR(T119/T$117,0)</f>
        <v/>
      </c>
      <c r="BQ119" s="4097">
        <f>IFERROR(U119/U$117,0)</f>
        <v/>
      </c>
      <c r="BR119" s="4097">
        <f>IFERROR(V119/V$117,0)</f>
        <v/>
      </c>
      <c r="BS119" s="4097">
        <f>IFERROR(W119/W$117,0)</f>
        <v/>
      </c>
      <c r="BT119" s="4097">
        <f>IFERROR(X119/X$117,0)</f>
        <v/>
      </c>
      <c r="BU119" s="4097">
        <f>IFERROR(Y119/Y$117,0)</f>
        <v/>
      </c>
      <c r="BV119" s="4097">
        <f>IFERROR(Z119/Z$117,0)</f>
        <v/>
      </c>
      <c r="BW119" s="4097">
        <f>IFERROR(AA119/AA$117,0)</f>
        <v/>
      </c>
      <c r="BX119" s="4097">
        <f>IFERROR(AB119/AB$117,0)</f>
        <v/>
      </c>
      <c r="BY119" s="4098">
        <f>IFERROR(AC119/AC$117,0)</f>
        <v/>
      </c>
      <c r="BZ119" s="4097">
        <f>IFERROR(AD119/AD$117,0)</f>
        <v/>
      </c>
      <c r="CA119" s="4097">
        <f>IFERROR(AE119/AE$117,0)</f>
        <v/>
      </c>
      <c r="CB119" s="4097">
        <f>IFERROR(AF119/AF$117,0)</f>
        <v/>
      </c>
      <c r="CC119" s="4097">
        <f>IFERROR(AG119/AG$117,0)</f>
        <v/>
      </c>
      <c r="CD119" s="4097">
        <f>IFERROR(AH119/AH$117,0)</f>
        <v/>
      </c>
      <c r="CE119" s="4097">
        <f>IFERROR(AI119/AI$117,0)</f>
        <v/>
      </c>
      <c r="CF119" s="4097">
        <f>IFERROR(AJ119/AJ$117,0)</f>
        <v/>
      </c>
      <c r="CG119" s="4097">
        <f>IFERROR(AK119/AK$117,0)</f>
        <v/>
      </c>
      <c r="CH119" s="4097">
        <f>IFERROR(AL119/AL$117,0)</f>
        <v/>
      </c>
      <c r="CI119" s="4097">
        <f>IFERROR(AM119/AM$117,0)</f>
        <v/>
      </c>
      <c r="CJ119" s="4097">
        <f>IFERROR(AN119/AN$117,0)</f>
        <v/>
      </c>
      <c r="CK119" s="4098">
        <f>IFERROR(AO119/AO$117,0)</f>
        <v/>
      </c>
      <c r="CL119" s="4097">
        <f>IFERROR(AP119/AP$117,0)</f>
        <v/>
      </c>
      <c r="CM119" s="4097">
        <f>IFERROR(AQ119/AQ$117,0)</f>
        <v/>
      </c>
      <c r="CN119" s="4097">
        <f>IFERROR(AR119/AR$117,0)</f>
        <v/>
      </c>
      <c r="CO119" s="4097">
        <f>IFERROR(AS119/AS$117,0)</f>
        <v/>
      </c>
      <c r="CP119" s="4097">
        <f>IFERROR(AT119/AT$117,0)</f>
        <v/>
      </c>
      <c r="CQ119" s="4099">
        <f>IFERROR(AU119/AU$117,0)</f>
        <v/>
      </c>
      <c r="CR119" s="4097">
        <f>IFERROR(AV119/AV$117,0)</f>
        <v/>
      </c>
      <c r="CS119" s="4097">
        <f>IFERROR(AW119/AW$117,0)</f>
        <v/>
      </c>
      <c r="CT119" s="4097">
        <f>IFERROR(AX119/AX$117,0)</f>
        <v/>
      </c>
      <c r="CU119" s="4097">
        <f>IFERROR(AY119/AY$117,0)</f>
        <v/>
      </c>
      <c r="CV119" s="4097">
        <f>IFERROR(AZ119/AZ$117,0)</f>
        <v/>
      </c>
      <c r="CW119" s="3737" t="n"/>
      <c r="CX119" s="4094" t="n">
        <v>-733.1895</v>
      </c>
    </row>
    <row r="120" hidden="1" outlineLevel="2" ht="12" customFormat="1" customHeight="1" s="3737">
      <c r="A120" s="4059" t="n"/>
      <c r="B120" s="4060" t="n"/>
      <c r="C120" s="4109" t="inlineStr">
        <is>
          <t>Cogs - atm managed services</t>
        </is>
      </c>
      <c r="D120" s="4093" t="n">
        <v>501105</v>
      </c>
      <c r="E120" s="4093">
        <f>CONCATENATE(D120," - ",C120)</f>
        <v/>
      </c>
      <c r="F120" s="4094" t="n"/>
      <c r="G120" s="4094" t="n"/>
      <c r="H120" s="4094" t="n"/>
      <c r="I120" s="4094" t="n"/>
      <c r="J120" s="4094" t="n"/>
      <c r="K120" s="4094" t="n"/>
      <c r="L120" s="4094" t="n"/>
      <c r="M120" s="4094" t="n"/>
      <c r="N120" s="4094" t="n"/>
      <c r="O120" s="4094" t="n"/>
      <c r="P120" s="4094" t="n"/>
      <c r="Q120" s="4095" t="n"/>
      <c r="R120" s="4094" t="n"/>
      <c r="S120" s="4094" t="n"/>
      <c r="T120" s="4094" t="n"/>
      <c r="U120" s="4094" t="n"/>
      <c r="V120" s="4094" t="n"/>
      <c r="W120" s="4094" t="n"/>
      <c r="X120" s="4094" t="n"/>
      <c r="Y120" s="4094" t="n"/>
      <c r="Z120" s="4094" t="n"/>
      <c r="AA120" s="4094" t="n"/>
      <c r="AB120" s="4094" t="n"/>
      <c r="AC120" s="4095" t="n"/>
      <c r="AD120" s="4094" t="n"/>
      <c r="AE120" s="4094" t="n"/>
      <c r="AF120" s="4094" t="n"/>
      <c r="AG120" s="4094" t="n"/>
      <c r="AH120" s="4094" t="n"/>
      <c r="AI120" s="4094" t="n"/>
      <c r="AJ120" s="4094" t="n"/>
      <c r="AK120" s="4094" t="n"/>
      <c r="AL120" s="4094" t="n"/>
      <c r="AM120" s="4094" t="n"/>
      <c r="AN120" s="4094" t="n"/>
      <c r="AO120" s="4095" t="n"/>
      <c r="AP120" s="4094" t="n">
        <v>-98.04998000000001</v>
      </c>
      <c r="AQ120" s="4094" t="n">
        <v>-101.0822</v>
      </c>
      <c r="AR120" s="4094" t="n">
        <v>-100.81103</v>
      </c>
      <c r="AS120" s="4094" t="n">
        <v>-206.82952</v>
      </c>
      <c r="AT120" s="4094" t="n">
        <v>-128.47005</v>
      </c>
      <c r="AU120" s="4096" t="n">
        <v>-178.05012</v>
      </c>
      <c r="AV120" s="4094">
        <f>SUM(F120:Q120)</f>
        <v/>
      </c>
      <c r="AW120" s="4094">
        <f>SUM(R120:AC120)</f>
        <v/>
      </c>
      <c r="AX120" s="4094">
        <f>SUM(AD120:AO120)</f>
        <v/>
      </c>
      <c r="AY120" s="4094">
        <f>SUM(AH120:AS120)</f>
        <v/>
      </c>
      <c r="AZ120" s="4094">
        <f>SUM(AJ120:AU120)</f>
        <v/>
      </c>
      <c r="BA120" s="3737" t="n"/>
      <c r="BB120" s="4097">
        <f>IFERROR(F120/F$117,0)</f>
        <v/>
      </c>
      <c r="BC120" s="4097">
        <f>IFERROR(G120/G$117,0)</f>
        <v/>
      </c>
      <c r="BD120" s="4097">
        <f>IFERROR(H120/H$117,0)</f>
        <v/>
      </c>
      <c r="BE120" s="4097">
        <f>IFERROR(I120/I$117,0)</f>
        <v/>
      </c>
      <c r="BF120" s="4097">
        <f>IFERROR(J120/J$117,0)</f>
        <v/>
      </c>
      <c r="BG120" s="4097">
        <f>IFERROR(K120/K$117,0)</f>
        <v/>
      </c>
      <c r="BH120" s="4097">
        <f>IFERROR(L120/L$117,0)</f>
        <v/>
      </c>
      <c r="BI120" s="4097">
        <f>IFERROR(M120/M$117,0)</f>
        <v/>
      </c>
      <c r="BJ120" s="4097">
        <f>IFERROR(N120/N$117,0)</f>
        <v/>
      </c>
      <c r="BK120" s="4097">
        <f>IFERROR(O120/O$117,0)</f>
        <v/>
      </c>
      <c r="BL120" s="4097">
        <f>IFERROR(P120/P$117,0)</f>
        <v/>
      </c>
      <c r="BM120" s="4098">
        <f>IFERROR(Q120/Q$117,0)</f>
        <v/>
      </c>
      <c r="BN120" s="4097">
        <f>IFERROR(R120/R$117,0)</f>
        <v/>
      </c>
      <c r="BO120" s="4097">
        <f>IFERROR(S120/S$117,0)</f>
        <v/>
      </c>
      <c r="BP120" s="4097">
        <f>IFERROR(T120/T$117,0)</f>
        <v/>
      </c>
      <c r="BQ120" s="4097">
        <f>IFERROR(U120/U$117,0)</f>
        <v/>
      </c>
      <c r="BR120" s="4097">
        <f>IFERROR(V120/V$117,0)</f>
        <v/>
      </c>
      <c r="BS120" s="4097">
        <f>IFERROR(W120/W$117,0)</f>
        <v/>
      </c>
      <c r="BT120" s="4097">
        <f>IFERROR(X120/X$117,0)</f>
        <v/>
      </c>
      <c r="BU120" s="4097">
        <f>IFERROR(Y120/Y$117,0)</f>
        <v/>
      </c>
      <c r="BV120" s="4097">
        <f>IFERROR(Z120/Z$117,0)</f>
        <v/>
      </c>
      <c r="BW120" s="4097">
        <f>IFERROR(AA120/AA$117,0)</f>
        <v/>
      </c>
      <c r="BX120" s="4097">
        <f>IFERROR(AB120/AB$117,0)</f>
        <v/>
      </c>
      <c r="BY120" s="4098">
        <f>IFERROR(AC120/AC$117,0)</f>
        <v/>
      </c>
      <c r="BZ120" s="4097">
        <f>IFERROR(AD120/AD$117,0)</f>
        <v/>
      </c>
      <c r="CA120" s="4097">
        <f>IFERROR(AE120/AE$117,0)</f>
        <v/>
      </c>
      <c r="CB120" s="4097">
        <f>IFERROR(AF120/AF$117,0)</f>
        <v/>
      </c>
      <c r="CC120" s="4097">
        <f>IFERROR(AG120/AG$117,0)</f>
        <v/>
      </c>
      <c r="CD120" s="4097">
        <f>IFERROR(AH120/AH$117,0)</f>
        <v/>
      </c>
      <c r="CE120" s="4097">
        <f>IFERROR(AI120/AI$117,0)</f>
        <v/>
      </c>
      <c r="CF120" s="4097">
        <f>IFERROR(AJ120/AJ$117,0)</f>
        <v/>
      </c>
      <c r="CG120" s="4097">
        <f>IFERROR(AK120/AK$117,0)</f>
        <v/>
      </c>
      <c r="CH120" s="4097">
        <f>IFERROR(AL120/AL$117,0)</f>
        <v/>
      </c>
      <c r="CI120" s="4097">
        <f>IFERROR(AM120/AM$117,0)</f>
        <v/>
      </c>
      <c r="CJ120" s="4097">
        <f>IFERROR(AN120/AN$117,0)</f>
        <v/>
      </c>
      <c r="CK120" s="4098">
        <f>IFERROR(AO120/AO$117,0)</f>
        <v/>
      </c>
      <c r="CL120" s="4097">
        <f>IFERROR(AP120/AP$117,0)</f>
        <v/>
      </c>
      <c r="CM120" s="4097">
        <f>IFERROR(AQ120/AQ$117,0)</f>
        <v/>
      </c>
      <c r="CN120" s="4097">
        <f>IFERROR(AR120/AR$117,0)</f>
        <v/>
      </c>
      <c r="CO120" s="4097">
        <f>IFERROR(AS120/AS$117,0)</f>
        <v/>
      </c>
      <c r="CP120" s="4097">
        <f>IFERROR(AT120/AT$117,0)</f>
        <v/>
      </c>
      <c r="CQ120" s="4099">
        <f>IFERROR(AU120/AU$117,0)</f>
        <v/>
      </c>
      <c r="CR120" s="4097">
        <f>IFERROR(AV120/AV$117,0)</f>
        <v/>
      </c>
      <c r="CS120" s="4097">
        <f>IFERROR(AW120/AW$117,0)</f>
        <v/>
      </c>
      <c r="CT120" s="4097">
        <f>IFERROR(AX120/AX$117,0)</f>
        <v/>
      </c>
      <c r="CU120" s="4097">
        <f>IFERROR(AY120/AY$117,0)</f>
        <v/>
      </c>
      <c r="CV120" s="4097">
        <f>IFERROR(AZ120/AZ$117,0)</f>
        <v/>
      </c>
      <c r="CW120" s="3737" t="n"/>
      <c r="CX120" s="4094" t="n">
        <v>-205.26879</v>
      </c>
    </row>
    <row r="121" hidden="1" outlineLevel="2" ht="12" customFormat="1" customHeight="1" s="3737">
      <c r="A121" s="4059" t="n"/>
      <c r="B121" s="4060" t="n"/>
      <c r="C121" s="4109" t="inlineStr">
        <is>
          <t>Cogs - telecom payment network gateway</t>
        </is>
      </c>
      <c r="D121" s="4093" t="n">
        <v>501134</v>
      </c>
      <c r="E121" s="4093">
        <f>CONCATENATE(D121," - ",C121)</f>
        <v/>
      </c>
      <c r="F121" s="4094" t="n"/>
      <c r="G121" s="4094" t="n"/>
      <c r="H121" s="4094" t="n"/>
      <c r="I121" s="4094" t="n"/>
      <c r="J121" s="4094" t="n"/>
      <c r="K121" s="4094" t="n"/>
      <c r="L121" s="4094" t="n"/>
      <c r="M121" s="4094" t="n"/>
      <c r="N121" s="4094" t="n"/>
      <c r="O121" s="4094" t="n"/>
      <c r="P121" s="4094" t="n"/>
      <c r="Q121" s="4095" t="n"/>
      <c r="R121" s="4094" t="n"/>
      <c r="S121" s="4094" t="n"/>
      <c r="T121" s="4094" t="n"/>
      <c r="U121" s="4094" t="n"/>
      <c r="V121" s="4094" t="n"/>
      <c r="W121" s="4094" t="n"/>
      <c r="X121" s="4094" t="n"/>
      <c r="Y121" s="4094" t="n"/>
      <c r="Z121" s="4094" t="n"/>
      <c r="AA121" s="4094" t="n"/>
      <c r="AB121" s="4094" t="n"/>
      <c r="AC121" s="4095" t="n"/>
      <c r="AD121" s="4094" t="n"/>
      <c r="AE121" s="4094" t="n"/>
      <c r="AF121" s="4094" t="n"/>
      <c r="AG121" s="4094" t="n"/>
      <c r="AH121" s="4094" t="n"/>
      <c r="AI121" s="4094" t="n"/>
      <c r="AJ121" s="4094" t="n"/>
      <c r="AK121" s="4094" t="n"/>
      <c r="AL121" s="4094" t="n"/>
      <c r="AM121" s="4094" t="n"/>
      <c r="AN121" s="4094" t="n"/>
      <c r="AO121" s="4095" t="n"/>
      <c r="AP121" s="4094" t="n">
        <v>-69.78121</v>
      </c>
      <c r="AQ121" s="4094" t="n">
        <v>-76.52854000000001</v>
      </c>
      <c r="AR121" s="4094" t="n">
        <v>-72.26727</v>
      </c>
      <c r="AS121" s="4094" t="n">
        <v>-75.42668999999999</v>
      </c>
      <c r="AT121" s="4094" t="n">
        <v>-75.30649</v>
      </c>
      <c r="AU121" s="4096" t="n">
        <v>-75.96133</v>
      </c>
      <c r="AV121" s="4094">
        <f>SUM(F121:Q121)</f>
        <v/>
      </c>
      <c r="AW121" s="4094">
        <f>SUM(R121:AC121)</f>
        <v/>
      </c>
      <c r="AX121" s="4094">
        <f>SUM(AD121:AO121)</f>
        <v/>
      </c>
      <c r="AY121" s="4094">
        <f>SUM(AH121:AS121)</f>
        <v/>
      </c>
      <c r="AZ121" s="4094">
        <f>SUM(AJ121:AU121)</f>
        <v/>
      </c>
      <c r="BA121" s="3737" t="n"/>
      <c r="BB121" s="4097">
        <f>IFERROR(F121/F$117,0)</f>
        <v/>
      </c>
      <c r="BC121" s="4097">
        <f>IFERROR(G121/G$117,0)</f>
        <v/>
      </c>
      <c r="BD121" s="4097">
        <f>IFERROR(H121/H$117,0)</f>
        <v/>
      </c>
      <c r="BE121" s="4097">
        <f>IFERROR(I121/I$117,0)</f>
        <v/>
      </c>
      <c r="BF121" s="4097">
        <f>IFERROR(J121/J$117,0)</f>
        <v/>
      </c>
      <c r="BG121" s="4097">
        <f>IFERROR(K121/K$117,0)</f>
        <v/>
      </c>
      <c r="BH121" s="4097">
        <f>IFERROR(L121/L$117,0)</f>
        <v/>
      </c>
      <c r="BI121" s="4097">
        <f>IFERROR(M121/M$117,0)</f>
        <v/>
      </c>
      <c r="BJ121" s="4097">
        <f>IFERROR(N121/N$117,0)</f>
        <v/>
      </c>
      <c r="BK121" s="4097">
        <f>IFERROR(O121/O$117,0)</f>
        <v/>
      </c>
      <c r="BL121" s="4097">
        <f>IFERROR(P121/P$117,0)</f>
        <v/>
      </c>
      <c r="BM121" s="4098">
        <f>IFERROR(Q121/Q$117,0)</f>
        <v/>
      </c>
      <c r="BN121" s="4097">
        <f>IFERROR(R121/R$117,0)</f>
        <v/>
      </c>
      <c r="BO121" s="4097">
        <f>IFERROR(S121/S$117,0)</f>
        <v/>
      </c>
      <c r="BP121" s="4097">
        <f>IFERROR(T121/T$117,0)</f>
        <v/>
      </c>
      <c r="BQ121" s="4097">
        <f>IFERROR(U121/U$117,0)</f>
        <v/>
      </c>
      <c r="BR121" s="4097">
        <f>IFERROR(V121/V$117,0)</f>
        <v/>
      </c>
      <c r="BS121" s="4097">
        <f>IFERROR(W121/W$117,0)</f>
        <v/>
      </c>
      <c r="BT121" s="4097">
        <f>IFERROR(X121/X$117,0)</f>
        <v/>
      </c>
      <c r="BU121" s="4097">
        <f>IFERROR(Y121/Y$117,0)</f>
        <v/>
      </c>
      <c r="BV121" s="4097">
        <f>IFERROR(Z121/Z$117,0)</f>
        <v/>
      </c>
      <c r="BW121" s="4097">
        <f>IFERROR(AA121/AA$117,0)</f>
        <v/>
      </c>
      <c r="BX121" s="4097">
        <f>IFERROR(AB121/AB$117,0)</f>
        <v/>
      </c>
      <c r="BY121" s="4098">
        <f>IFERROR(AC121/AC$117,0)</f>
        <v/>
      </c>
      <c r="BZ121" s="4097">
        <f>IFERROR(AD121/AD$117,0)</f>
        <v/>
      </c>
      <c r="CA121" s="4097">
        <f>IFERROR(AE121/AE$117,0)</f>
        <v/>
      </c>
      <c r="CB121" s="4097">
        <f>IFERROR(AF121/AF$117,0)</f>
        <v/>
      </c>
      <c r="CC121" s="4097">
        <f>IFERROR(AG121/AG$117,0)</f>
        <v/>
      </c>
      <c r="CD121" s="4097">
        <f>IFERROR(AH121/AH$117,0)</f>
        <v/>
      </c>
      <c r="CE121" s="4097">
        <f>IFERROR(AI121/AI$117,0)</f>
        <v/>
      </c>
      <c r="CF121" s="4097">
        <f>IFERROR(AJ121/AJ$117,0)</f>
        <v/>
      </c>
      <c r="CG121" s="4097">
        <f>IFERROR(AK121/AK$117,0)</f>
        <v/>
      </c>
      <c r="CH121" s="4097">
        <f>IFERROR(AL121/AL$117,0)</f>
        <v/>
      </c>
      <c r="CI121" s="4097">
        <f>IFERROR(AM121/AM$117,0)</f>
        <v/>
      </c>
      <c r="CJ121" s="4097">
        <f>IFERROR(AN121/AN$117,0)</f>
        <v/>
      </c>
      <c r="CK121" s="4098">
        <f>IFERROR(AO121/AO$117,0)</f>
        <v/>
      </c>
      <c r="CL121" s="4097">
        <f>IFERROR(AP121/AP$117,0)</f>
        <v/>
      </c>
      <c r="CM121" s="4097">
        <f>IFERROR(AQ121/AQ$117,0)</f>
        <v/>
      </c>
      <c r="CN121" s="4097">
        <f>IFERROR(AR121/AR$117,0)</f>
        <v/>
      </c>
      <c r="CO121" s="4097">
        <f>IFERROR(AS121/AS$117,0)</f>
        <v/>
      </c>
      <c r="CP121" s="4097">
        <f>IFERROR(AT121/AT$117,0)</f>
        <v/>
      </c>
      <c r="CQ121" s="4099">
        <f>IFERROR(AU121/AU$117,0)</f>
        <v/>
      </c>
      <c r="CR121" s="4097">
        <f>IFERROR(AV121/AV$117,0)</f>
        <v/>
      </c>
      <c r="CS121" s="4097">
        <f>IFERROR(AW121/AW$117,0)</f>
        <v/>
      </c>
      <c r="CT121" s="4097">
        <f>IFERROR(AX121/AX$117,0)</f>
        <v/>
      </c>
      <c r="CU121" s="4097">
        <f>IFERROR(AY121/AY$117,0)</f>
        <v/>
      </c>
      <c r="CV121" s="4097">
        <f>IFERROR(AZ121/AZ$117,0)</f>
        <v/>
      </c>
      <c r="CW121" s="3737" t="n"/>
      <c r="CX121" s="4094" t="n">
        <v>-871.4986</v>
      </c>
    </row>
    <row r="122" hidden="1" outlineLevel="2" ht="12" customFormat="1" customHeight="1" s="3737">
      <c r="A122" s="4059" t="n"/>
      <c r="B122" s="4060" t="n"/>
      <c r="C122" s="4109" t="inlineStr">
        <is>
          <t>Cogs - visa vap system access fee</t>
        </is>
      </c>
      <c r="D122" s="4093" t="n">
        <v>501468</v>
      </c>
      <c r="E122" s="4093">
        <f>CONCATENATE(D122," - ",C122)</f>
        <v/>
      </c>
      <c r="F122" s="4094" t="n"/>
      <c r="G122" s="4094" t="n"/>
      <c r="H122" s="4094" t="n"/>
      <c r="I122" s="4094" t="n"/>
      <c r="J122" s="4094" t="n"/>
      <c r="K122" s="4094" t="n"/>
      <c r="L122" s="4094" t="n"/>
      <c r="M122" s="4094" t="n"/>
      <c r="N122" s="4094" t="n"/>
      <c r="O122" s="4094" t="n"/>
      <c r="P122" s="4094" t="n"/>
      <c r="Q122" s="4095" t="n"/>
      <c r="R122" s="4094" t="n"/>
      <c r="S122" s="4094" t="n"/>
      <c r="T122" s="4094" t="n"/>
      <c r="U122" s="4094" t="n"/>
      <c r="V122" s="4094" t="n"/>
      <c r="W122" s="4094" t="n"/>
      <c r="X122" s="4094" t="n"/>
      <c r="Y122" s="4094" t="n"/>
      <c r="Z122" s="4094" t="n"/>
      <c r="AA122" s="4094" t="n"/>
      <c r="AB122" s="4094" t="n"/>
      <c r="AC122" s="4095" t="n"/>
      <c r="AD122" s="4094" t="n"/>
      <c r="AE122" s="4094" t="n"/>
      <c r="AF122" s="4094" t="n"/>
      <c r="AG122" s="4094" t="n"/>
      <c r="AH122" s="4094" t="n"/>
      <c r="AI122" s="4094" t="n"/>
      <c r="AJ122" s="4094" t="n"/>
      <c r="AK122" s="4094" t="n"/>
      <c r="AL122" s="4094" t="n"/>
      <c r="AM122" s="4094" t="n"/>
      <c r="AN122" s="4094" t="n"/>
      <c r="AO122" s="4095" t="n"/>
      <c r="AP122" s="4094" t="n">
        <v>-41.40272</v>
      </c>
      <c r="AQ122" s="4094" t="n">
        <v>-41.70866</v>
      </c>
      <c r="AR122" s="4094" t="n">
        <v>-41.73648</v>
      </c>
      <c r="AS122" s="4094" t="n">
        <v>-42.20674</v>
      </c>
      <c r="AT122" s="4094" t="n">
        <v>-43.55303</v>
      </c>
      <c r="AU122" s="4096" t="n">
        <v>-38.36853</v>
      </c>
      <c r="AV122" s="4094">
        <f>SUM(F122:Q122)</f>
        <v/>
      </c>
      <c r="AW122" s="4094">
        <f>SUM(R122:AC122)</f>
        <v/>
      </c>
      <c r="AX122" s="4094">
        <f>SUM(AD122:AO122)</f>
        <v/>
      </c>
      <c r="AY122" s="4094">
        <f>SUM(AH122:AS122)</f>
        <v/>
      </c>
      <c r="AZ122" s="4094">
        <f>SUM(AJ122:AU122)</f>
        <v/>
      </c>
      <c r="BA122" s="3737" t="n"/>
      <c r="BB122" s="4097">
        <f>IFERROR(F122/F$117,0)</f>
        <v/>
      </c>
      <c r="BC122" s="4097">
        <f>IFERROR(G122/G$117,0)</f>
        <v/>
      </c>
      <c r="BD122" s="4097">
        <f>IFERROR(H122/H$117,0)</f>
        <v/>
      </c>
      <c r="BE122" s="4097">
        <f>IFERROR(I122/I$117,0)</f>
        <v/>
      </c>
      <c r="BF122" s="4097">
        <f>IFERROR(J122/J$117,0)</f>
        <v/>
      </c>
      <c r="BG122" s="4097">
        <f>IFERROR(K122/K$117,0)</f>
        <v/>
      </c>
      <c r="BH122" s="4097">
        <f>IFERROR(L122/L$117,0)</f>
        <v/>
      </c>
      <c r="BI122" s="4097">
        <f>IFERROR(M122/M$117,0)</f>
        <v/>
      </c>
      <c r="BJ122" s="4097">
        <f>IFERROR(N122/N$117,0)</f>
        <v/>
      </c>
      <c r="BK122" s="4097">
        <f>IFERROR(O122/O$117,0)</f>
        <v/>
      </c>
      <c r="BL122" s="4097">
        <f>IFERROR(P122/P$117,0)</f>
        <v/>
      </c>
      <c r="BM122" s="4098">
        <f>IFERROR(Q122/Q$117,0)</f>
        <v/>
      </c>
      <c r="BN122" s="4097">
        <f>IFERROR(R122/R$117,0)</f>
        <v/>
      </c>
      <c r="BO122" s="4097">
        <f>IFERROR(S122/S$117,0)</f>
        <v/>
      </c>
      <c r="BP122" s="4097">
        <f>IFERROR(T122/T$117,0)</f>
        <v/>
      </c>
      <c r="BQ122" s="4097">
        <f>IFERROR(U122/U$117,0)</f>
        <v/>
      </c>
      <c r="BR122" s="4097">
        <f>IFERROR(V122/V$117,0)</f>
        <v/>
      </c>
      <c r="BS122" s="4097">
        <f>IFERROR(W122/W$117,0)</f>
        <v/>
      </c>
      <c r="BT122" s="4097">
        <f>IFERROR(X122/X$117,0)</f>
        <v/>
      </c>
      <c r="BU122" s="4097">
        <f>IFERROR(Y122/Y$117,0)</f>
        <v/>
      </c>
      <c r="BV122" s="4097">
        <f>IFERROR(Z122/Z$117,0)</f>
        <v/>
      </c>
      <c r="BW122" s="4097">
        <f>IFERROR(AA122/AA$117,0)</f>
        <v/>
      </c>
      <c r="BX122" s="4097">
        <f>IFERROR(AB122/AB$117,0)</f>
        <v/>
      </c>
      <c r="BY122" s="4098">
        <f>IFERROR(AC122/AC$117,0)</f>
        <v/>
      </c>
      <c r="BZ122" s="4097">
        <f>IFERROR(AD122/AD$117,0)</f>
        <v/>
      </c>
      <c r="CA122" s="4097">
        <f>IFERROR(AE122/AE$117,0)</f>
        <v/>
      </c>
      <c r="CB122" s="4097">
        <f>IFERROR(AF122/AF$117,0)</f>
        <v/>
      </c>
      <c r="CC122" s="4097">
        <f>IFERROR(AG122/AG$117,0)</f>
        <v/>
      </c>
      <c r="CD122" s="4097">
        <f>IFERROR(AH122/AH$117,0)</f>
        <v/>
      </c>
      <c r="CE122" s="4097">
        <f>IFERROR(AI122/AI$117,0)</f>
        <v/>
      </c>
      <c r="CF122" s="4097">
        <f>IFERROR(AJ122/AJ$117,0)</f>
        <v/>
      </c>
      <c r="CG122" s="4097">
        <f>IFERROR(AK122/AK$117,0)</f>
        <v/>
      </c>
      <c r="CH122" s="4097">
        <f>IFERROR(AL122/AL$117,0)</f>
        <v/>
      </c>
      <c r="CI122" s="4097">
        <f>IFERROR(AM122/AM$117,0)</f>
        <v/>
      </c>
      <c r="CJ122" s="4097">
        <f>IFERROR(AN122/AN$117,0)</f>
        <v/>
      </c>
      <c r="CK122" s="4098">
        <f>IFERROR(AO122/AO$117,0)</f>
        <v/>
      </c>
      <c r="CL122" s="4097">
        <f>IFERROR(AP122/AP$117,0)</f>
        <v/>
      </c>
      <c r="CM122" s="4097">
        <f>IFERROR(AQ122/AQ$117,0)</f>
        <v/>
      </c>
      <c r="CN122" s="4097">
        <f>IFERROR(AR122/AR$117,0)</f>
        <v/>
      </c>
      <c r="CO122" s="4097">
        <f>IFERROR(AS122/AS$117,0)</f>
        <v/>
      </c>
      <c r="CP122" s="4097">
        <f>IFERROR(AT122/AT$117,0)</f>
        <v/>
      </c>
      <c r="CQ122" s="4099">
        <f>IFERROR(AU122/AU$117,0)</f>
        <v/>
      </c>
      <c r="CR122" s="4097">
        <f>IFERROR(AV122/AV$117,0)</f>
        <v/>
      </c>
      <c r="CS122" s="4097">
        <f>IFERROR(AW122/AW$117,0)</f>
        <v/>
      </c>
      <c r="CT122" s="4097">
        <f>IFERROR(AX122/AX$117,0)</f>
        <v/>
      </c>
      <c r="CU122" s="4097">
        <f>IFERROR(AY122/AY$117,0)</f>
        <v/>
      </c>
      <c r="CV122" s="4097">
        <f>IFERROR(AZ122/AZ$117,0)</f>
        <v/>
      </c>
      <c r="CW122" s="3737" t="n"/>
      <c r="CX122" s="4094" t="n">
        <v>-375.47057</v>
      </c>
    </row>
    <row r="123" hidden="1" outlineLevel="2" ht="12" customFormat="1" customHeight="1" s="3737">
      <c r="A123" s="4059" t="n"/>
      <c r="B123" s="4060" t="n"/>
      <c r="C123" s="4109" t="inlineStr">
        <is>
          <t>Cogs - transaction related fees</t>
        </is>
      </c>
      <c r="D123" s="4093" t="n">
        <v>501462</v>
      </c>
      <c r="E123" s="4093">
        <f>CONCATENATE(D123," - ",C123)</f>
        <v/>
      </c>
      <c r="F123" s="4094" t="n"/>
      <c r="G123" s="4094" t="n"/>
      <c r="H123" s="4094" t="n"/>
      <c r="I123" s="4094" t="n"/>
      <c r="J123" s="4094" t="n"/>
      <c r="K123" s="4094" t="n"/>
      <c r="L123" s="4094" t="n"/>
      <c r="M123" s="4094" t="n"/>
      <c r="N123" s="4094" t="n"/>
      <c r="O123" s="4094" t="n"/>
      <c r="P123" s="4094" t="n"/>
      <c r="Q123" s="4095" t="n"/>
      <c r="R123" s="4094" t="n"/>
      <c r="S123" s="4094" t="n"/>
      <c r="T123" s="4094" t="n"/>
      <c r="U123" s="4094" t="n"/>
      <c r="V123" s="4094" t="n"/>
      <c r="W123" s="4094" t="n"/>
      <c r="X123" s="4094" t="n"/>
      <c r="Y123" s="4094" t="n"/>
      <c r="Z123" s="4094" t="n"/>
      <c r="AA123" s="4094" t="n"/>
      <c r="AB123" s="4094" t="n"/>
      <c r="AC123" s="4095" t="n"/>
      <c r="AD123" s="4094" t="n"/>
      <c r="AE123" s="4094" t="n"/>
      <c r="AF123" s="4094" t="n"/>
      <c r="AG123" s="4094" t="n"/>
      <c r="AH123" s="4094" t="n"/>
      <c r="AI123" s="4094" t="n"/>
      <c r="AJ123" s="4094" t="n"/>
      <c r="AK123" s="4094" t="n"/>
      <c r="AL123" s="4094" t="n"/>
      <c r="AM123" s="4094" t="n"/>
      <c r="AN123" s="4094" t="n"/>
      <c r="AO123" s="4095" t="n"/>
      <c r="AP123" s="4094" t="n">
        <v>-41.9049</v>
      </c>
      <c r="AQ123" s="4094" t="n">
        <v>-41.79099</v>
      </c>
      <c r="AR123" s="4094" t="n">
        <v>-38.63227</v>
      </c>
      <c r="AS123" s="4094" t="n">
        <v>-59.16628</v>
      </c>
      <c r="AT123" s="4094" t="n">
        <v>-41.98947</v>
      </c>
      <c r="AU123" s="4096" t="n">
        <v>-59.74737</v>
      </c>
      <c r="AV123" s="4094">
        <f>SUM(F123:Q123)</f>
        <v/>
      </c>
      <c r="AW123" s="4094">
        <f>SUM(R123:AC123)</f>
        <v/>
      </c>
      <c r="AX123" s="4094">
        <f>SUM(AD123:AO123)</f>
        <v/>
      </c>
      <c r="AY123" s="4094">
        <f>SUM(AH123:AS123)</f>
        <v/>
      </c>
      <c r="AZ123" s="4094">
        <f>SUM(AJ123:AU123)</f>
        <v/>
      </c>
      <c r="BA123" s="3737" t="n"/>
      <c r="BB123" s="4097">
        <f>IFERROR(F123/F$117,0)</f>
        <v/>
      </c>
      <c r="BC123" s="4097">
        <f>IFERROR(G123/G$117,0)</f>
        <v/>
      </c>
      <c r="BD123" s="4097">
        <f>IFERROR(H123/H$117,0)</f>
        <v/>
      </c>
      <c r="BE123" s="4097">
        <f>IFERROR(I123/I$117,0)</f>
        <v/>
      </c>
      <c r="BF123" s="4097">
        <f>IFERROR(J123/J$117,0)</f>
        <v/>
      </c>
      <c r="BG123" s="4097">
        <f>IFERROR(K123/K$117,0)</f>
        <v/>
      </c>
      <c r="BH123" s="4097">
        <f>IFERROR(L123/L$117,0)</f>
        <v/>
      </c>
      <c r="BI123" s="4097">
        <f>IFERROR(M123/M$117,0)</f>
        <v/>
      </c>
      <c r="BJ123" s="4097">
        <f>IFERROR(N123/N$117,0)</f>
        <v/>
      </c>
      <c r="BK123" s="4097">
        <f>IFERROR(O123/O$117,0)</f>
        <v/>
      </c>
      <c r="BL123" s="4097">
        <f>IFERROR(P123/P$117,0)</f>
        <v/>
      </c>
      <c r="BM123" s="4098">
        <f>IFERROR(Q123/Q$117,0)</f>
        <v/>
      </c>
      <c r="BN123" s="4097">
        <f>IFERROR(R123/R$117,0)</f>
        <v/>
      </c>
      <c r="BO123" s="4097">
        <f>IFERROR(S123/S$117,0)</f>
        <v/>
      </c>
      <c r="BP123" s="4097">
        <f>IFERROR(T123/T$117,0)</f>
        <v/>
      </c>
      <c r="BQ123" s="4097">
        <f>IFERROR(U123/U$117,0)</f>
        <v/>
      </c>
      <c r="BR123" s="4097">
        <f>IFERROR(V123/V$117,0)</f>
        <v/>
      </c>
      <c r="BS123" s="4097">
        <f>IFERROR(W123/W$117,0)</f>
        <v/>
      </c>
      <c r="BT123" s="4097">
        <f>IFERROR(X123/X$117,0)</f>
        <v/>
      </c>
      <c r="BU123" s="4097">
        <f>IFERROR(Y123/Y$117,0)</f>
        <v/>
      </c>
      <c r="BV123" s="4097">
        <f>IFERROR(Z123/Z$117,0)</f>
        <v/>
      </c>
      <c r="BW123" s="4097">
        <f>IFERROR(AA123/AA$117,0)</f>
        <v/>
      </c>
      <c r="BX123" s="4097">
        <f>IFERROR(AB123/AB$117,0)</f>
        <v/>
      </c>
      <c r="BY123" s="4098">
        <f>IFERROR(AC123/AC$117,0)</f>
        <v/>
      </c>
      <c r="BZ123" s="4097">
        <f>IFERROR(AD123/AD$117,0)</f>
        <v/>
      </c>
      <c r="CA123" s="4097">
        <f>IFERROR(AE123/AE$117,0)</f>
        <v/>
      </c>
      <c r="CB123" s="4097">
        <f>IFERROR(AF123/AF$117,0)</f>
        <v/>
      </c>
      <c r="CC123" s="4097">
        <f>IFERROR(AG123/AG$117,0)</f>
        <v/>
      </c>
      <c r="CD123" s="4097">
        <f>IFERROR(AH123/AH$117,0)</f>
        <v/>
      </c>
      <c r="CE123" s="4097">
        <f>IFERROR(AI123/AI$117,0)</f>
        <v/>
      </c>
      <c r="CF123" s="4097">
        <f>IFERROR(AJ123/AJ$117,0)</f>
        <v/>
      </c>
      <c r="CG123" s="4097">
        <f>IFERROR(AK123/AK$117,0)</f>
        <v/>
      </c>
      <c r="CH123" s="4097">
        <f>IFERROR(AL123/AL$117,0)</f>
        <v/>
      </c>
      <c r="CI123" s="4097">
        <f>IFERROR(AM123/AM$117,0)</f>
        <v/>
      </c>
      <c r="CJ123" s="4097">
        <f>IFERROR(AN123/AN$117,0)</f>
        <v/>
      </c>
      <c r="CK123" s="4098">
        <f>IFERROR(AO123/AO$117,0)</f>
        <v/>
      </c>
      <c r="CL123" s="4097">
        <f>IFERROR(AP123/AP$117,0)</f>
        <v/>
      </c>
      <c r="CM123" s="4097">
        <f>IFERROR(AQ123/AQ$117,0)</f>
        <v/>
      </c>
      <c r="CN123" s="4097">
        <f>IFERROR(AR123/AR$117,0)</f>
        <v/>
      </c>
      <c r="CO123" s="4097">
        <f>IFERROR(AS123/AS$117,0)</f>
        <v/>
      </c>
      <c r="CP123" s="4097">
        <f>IFERROR(AT123/AT$117,0)</f>
        <v/>
      </c>
      <c r="CQ123" s="4099">
        <f>IFERROR(AU123/AU$117,0)</f>
        <v/>
      </c>
      <c r="CR123" s="4097">
        <f>IFERROR(AV123/AV$117,0)</f>
        <v/>
      </c>
      <c r="CS123" s="4097">
        <f>IFERROR(AW123/AW$117,0)</f>
        <v/>
      </c>
      <c r="CT123" s="4097">
        <f>IFERROR(AX123/AX$117,0)</f>
        <v/>
      </c>
      <c r="CU123" s="4097">
        <f>IFERROR(AY123/AY$117,0)</f>
        <v/>
      </c>
      <c r="CV123" s="4097">
        <f>IFERROR(AZ123/AZ$117,0)</f>
        <v/>
      </c>
      <c r="CW123" s="3737" t="n"/>
      <c r="CX123" s="4094" t="n">
        <v>-141.03583</v>
      </c>
    </row>
    <row r="124" hidden="1" outlineLevel="2" ht="12" customFormat="1" customHeight="1" s="3737">
      <c r="A124" s="4059" t="n"/>
      <c r="B124" s="4060" t="n"/>
      <c r="C124" s="4109" t="inlineStr">
        <is>
          <t>Cogs - dma program onboarding fee</t>
        </is>
      </c>
      <c r="D124" s="4093" t="n">
        <v>501482</v>
      </c>
      <c r="E124" s="4093">
        <f>CONCATENATE(D124," - ",C124)</f>
        <v/>
      </c>
      <c r="F124" s="4094" t="n"/>
      <c r="G124" s="4094" t="n"/>
      <c r="H124" s="4094" t="n"/>
      <c r="I124" s="4094" t="n"/>
      <c r="J124" s="4094" t="n"/>
      <c r="K124" s="4094" t="n"/>
      <c r="L124" s="4094" t="n"/>
      <c r="M124" s="4094" t="n"/>
      <c r="N124" s="4094" t="n"/>
      <c r="O124" s="4094" t="n"/>
      <c r="P124" s="4094" t="n"/>
      <c r="Q124" s="4095" t="n"/>
      <c r="R124" s="4094" t="n"/>
      <c r="S124" s="4094" t="n"/>
      <c r="T124" s="4094" t="n"/>
      <c r="U124" s="4094" t="n"/>
      <c r="V124" s="4094" t="n"/>
      <c r="W124" s="4094" t="n"/>
      <c r="X124" s="4094" t="n"/>
      <c r="Y124" s="4094" t="n"/>
      <c r="Z124" s="4094" t="n"/>
      <c r="AA124" s="4094" t="n"/>
      <c r="AB124" s="4094" t="n"/>
      <c r="AC124" s="4095" t="n"/>
      <c r="AD124" s="4094" t="n"/>
      <c r="AE124" s="4094" t="n"/>
      <c r="AF124" s="4094" t="n"/>
      <c r="AG124" s="4094" t="n"/>
      <c r="AH124" s="4094" t="n"/>
      <c r="AI124" s="4094" t="n"/>
      <c r="AJ124" s="4094" t="n"/>
      <c r="AK124" s="4094" t="n"/>
      <c r="AL124" s="4094" t="n"/>
      <c r="AM124" s="4094" t="n"/>
      <c r="AN124" s="4094" t="n"/>
      <c r="AO124" s="4095" t="n"/>
      <c r="AP124" s="4094" t="n">
        <v>-7.5</v>
      </c>
      <c r="AQ124" s="4094" t="n">
        <v>-5.625</v>
      </c>
      <c r="AR124" s="4094" t="n">
        <v>-46.875</v>
      </c>
      <c r="AS124" s="4094" t="n">
        <v>-28.125</v>
      </c>
      <c r="AT124" s="4094" t="n">
        <v>-7.125</v>
      </c>
      <c r="AU124" s="4096" t="n">
        <v>-9.75</v>
      </c>
      <c r="AV124" s="4094">
        <f>SUM(F124:Q124)</f>
        <v/>
      </c>
      <c r="AW124" s="4094">
        <f>SUM(R124:AC124)</f>
        <v/>
      </c>
      <c r="AX124" s="4094">
        <f>SUM(AD124:AO124)</f>
        <v/>
      </c>
      <c r="AY124" s="4094">
        <f>SUM(AH124:AS124)</f>
        <v/>
      </c>
      <c r="AZ124" s="4094">
        <f>SUM(AJ124:AU124)</f>
        <v/>
      </c>
      <c r="BA124" s="3737" t="n"/>
      <c r="BB124" s="4097">
        <f>IFERROR(F124/F$117,0)</f>
        <v/>
      </c>
      <c r="BC124" s="4097">
        <f>IFERROR(G124/G$117,0)</f>
        <v/>
      </c>
      <c r="BD124" s="4097">
        <f>IFERROR(H124/H$117,0)</f>
        <v/>
      </c>
      <c r="BE124" s="4097">
        <f>IFERROR(I124/I$117,0)</f>
        <v/>
      </c>
      <c r="BF124" s="4097">
        <f>IFERROR(J124/J$117,0)</f>
        <v/>
      </c>
      <c r="BG124" s="4097">
        <f>IFERROR(K124/K$117,0)</f>
        <v/>
      </c>
      <c r="BH124" s="4097">
        <f>IFERROR(L124/L$117,0)</f>
        <v/>
      </c>
      <c r="BI124" s="4097">
        <f>IFERROR(M124/M$117,0)</f>
        <v/>
      </c>
      <c r="BJ124" s="4097">
        <f>IFERROR(N124/N$117,0)</f>
        <v/>
      </c>
      <c r="BK124" s="4097">
        <f>IFERROR(O124/O$117,0)</f>
        <v/>
      </c>
      <c r="BL124" s="4097">
        <f>IFERROR(P124/P$117,0)</f>
        <v/>
      </c>
      <c r="BM124" s="4098">
        <f>IFERROR(Q124/Q$117,0)</f>
        <v/>
      </c>
      <c r="BN124" s="4097">
        <f>IFERROR(R124/R$117,0)</f>
        <v/>
      </c>
      <c r="BO124" s="4097">
        <f>IFERROR(S124/S$117,0)</f>
        <v/>
      </c>
      <c r="BP124" s="4097">
        <f>IFERROR(T124/T$117,0)</f>
        <v/>
      </c>
      <c r="BQ124" s="4097">
        <f>IFERROR(U124/U$117,0)</f>
        <v/>
      </c>
      <c r="BR124" s="4097">
        <f>IFERROR(V124/V$117,0)</f>
        <v/>
      </c>
      <c r="BS124" s="4097">
        <f>IFERROR(W124/W$117,0)</f>
        <v/>
      </c>
      <c r="BT124" s="4097">
        <f>IFERROR(X124/X$117,0)</f>
        <v/>
      </c>
      <c r="BU124" s="4097">
        <f>IFERROR(Y124/Y$117,0)</f>
        <v/>
      </c>
      <c r="BV124" s="4097">
        <f>IFERROR(Z124/Z$117,0)</f>
        <v/>
      </c>
      <c r="BW124" s="4097">
        <f>IFERROR(AA124/AA$117,0)</f>
        <v/>
      </c>
      <c r="BX124" s="4097">
        <f>IFERROR(AB124/AB$117,0)</f>
        <v/>
      </c>
      <c r="BY124" s="4098">
        <f>IFERROR(AC124/AC$117,0)</f>
        <v/>
      </c>
      <c r="BZ124" s="4097">
        <f>IFERROR(AD124/AD$117,0)</f>
        <v/>
      </c>
      <c r="CA124" s="4097">
        <f>IFERROR(AE124/AE$117,0)</f>
        <v/>
      </c>
      <c r="CB124" s="4097">
        <f>IFERROR(AF124/AF$117,0)</f>
        <v/>
      </c>
      <c r="CC124" s="4097">
        <f>IFERROR(AG124/AG$117,0)</f>
        <v/>
      </c>
      <c r="CD124" s="4097">
        <f>IFERROR(AH124/AH$117,0)</f>
        <v/>
      </c>
      <c r="CE124" s="4097">
        <f>IFERROR(AI124/AI$117,0)</f>
        <v/>
      </c>
      <c r="CF124" s="4097">
        <f>IFERROR(AJ124/AJ$117,0)</f>
        <v/>
      </c>
      <c r="CG124" s="4097">
        <f>IFERROR(AK124/AK$117,0)</f>
        <v/>
      </c>
      <c r="CH124" s="4097">
        <f>IFERROR(AL124/AL$117,0)</f>
        <v/>
      </c>
      <c r="CI124" s="4097">
        <f>IFERROR(AM124/AM$117,0)</f>
        <v/>
      </c>
      <c r="CJ124" s="4097">
        <f>IFERROR(AN124/AN$117,0)</f>
        <v/>
      </c>
      <c r="CK124" s="4098">
        <f>IFERROR(AO124/AO$117,0)</f>
        <v/>
      </c>
      <c r="CL124" s="4097">
        <f>IFERROR(AP124/AP$117,0)</f>
        <v/>
      </c>
      <c r="CM124" s="4097">
        <f>IFERROR(AQ124/AQ$117,0)</f>
        <v/>
      </c>
      <c r="CN124" s="4097">
        <f>IFERROR(AR124/AR$117,0)</f>
        <v/>
      </c>
      <c r="CO124" s="4097">
        <f>IFERROR(AS124/AS$117,0)</f>
        <v/>
      </c>
      <c r="CP124" s="4097">
        <f>IFERROR(AT124/AT$117,0)</f>
        <v/>
      </c>
      <c r="CQ124" s="4099">
        <f>IFERROR(AU124/AU$117,0)</f>
        <v/>
      </c>
      <c r="CR124" s="4097">
        <f>IFERROR(AV124/AV$117,0)</f>
        <v/>
      </c>
      <c r="CS124" s="4097">
        <f>IFERROR(AW124/AW$117,0)</f>
        <v/>
      </c>
      <c r="CT124" s="4097">
        <f>IFERROR(AX124/AX$117,0)</f>
        <v/>
      </c>
      <c r="CU124" s="4097">
        <f>IFERROR(AY124/AY$117,0)</f>
        <v/>
      </c>
      <c r="CV124" s="4097">
        <f>IFERROR(AZ124/AZ$117,0)</f>
        <v/>
      </c>
      <c r="CW124" s="3737" t="n"/>
      <c r="CX124" s="4094" t="n">
        <v>0</v>
      </c>
    </row>
    <row r="125" hidden="1" outlineLevel="2" ht="12" customFormat="1" customHeight="1" s="3737">
      <c r="A125" s="4059" t="n"/>
      <c r="B125" s="4060" t="n"/>
      <c r="C125" s="4109" t="inlineStr">
        <is>
          <t>Cogs - card development</t>
        </is>
      </c>
      <c r="D125" s="4093" t="n">
        <v>501455</v>
      </c>
      <c r="E125" s="4093">
        <f>CONCATENATE(D125," - ",C125)</f>
        <v/>
      </c>
      <c r="F125" s="4094" t="n"/>
      <c r="G125" s="4094" t="n"/>
      <c r="H125" s="4094" t="n"/>
      <c r="I125" s="4094" t="n"/>
      <c r="J125" s="4094" t="n"/>
      <c r="K125" s="4094" t="n"/>
      <c r="L125" s="4094" t="n"/>
      <c r="M125" s="4094" t="n"/>
      <c r="N125" s="4094" t="n"/>
      <c r="O125" s="4094" t="n"/>
      <c r="P125" s="4094" t="n"/>
      <c r="Q125" s="4095" t="n"/>
      <c r="R125" s="4094" t="n"/>
      <c r="S125" s="4094" t="n"/>
      <c r="T125" s="4094" t="n"/>
      <c r="U125" s="4094" t="n"/>
      <c r="V125" s="4094" t="n"/>
      <c r="W125" s="4094" t="n"/>
      <c r="X125" s="4094" t="n"/>
      <c r="Y125" s="4094" t="n"/>
      <c r="Z125" s="4094" t="n"/>
      <c r="AA125" s="4094" t="n"/>
      <c r="AB125" s="4094" t="n"/>
      <c r="AC125" s="4095" t="n"/>
      <c r="AD125" s="4094" t="n"/>
      <c r="AE125" s="4094" t="n"/>
      <c r="AF125" s="4094" t="n"/>
      <c r="AG125" s="4094" t="n"/>
      <c r="AH125" s="4094" t="n"/>
      <c r="AI125" s="4094" t="n"/>
      <c r="AJ125" s="4094" t="n"/>
      <c r="AK125" s="4094" t="n"/>
      <c r="AL125" s="4094" t="n"/>
      <c r="AM125" s="4094" t="n"/>
      <c r="AN125" s="4094" t="n"/>
      <c r="AO125" s="4095" t="n"/>
      <c r="AP125" s="4094" t="n">
        <v>-21.88836</v>
      </c>
      <c r="AQ125" s="4094" t="n">
        <v>-21.88812</v>
      </c>
      <c r="AR125" s="4094" t="n">
        <v>-19.59502</v>
      </c>
      <c r="AS125" s="4094" t="n">
        <v>-19.45502</v>
      </c>
      <c r="AT125" s="4094" t="n">
        <v>-20.31459</v>
      </c>
      <c r="AU125" s="4096" t="n">
        <v>-19.4185</v>
      </c>
      <c r="AV125" s="4094">
        <f>SUM(F125:Q125)</f>
        <v/>
      </c>
      <c r="AW125" s="4094">
        <f>SUM(R125:AC125)</f>
        <v/>
      </c>
      <c r="AX125" s="4094">
        <f>SUM(AD125:AO125)</f>
        <v/>
      </c>
      <c r="AY125" s="4094">
        <f>SUM(AH125:AS125)</f>
        <v/>
      </c>
      <c r="AZ125" s="4094">
        <f>SUM(AJ125:AU125)</f>
        <v/>
      </c>
      <c r="BA125" s="3737" t="n"/>
      <c r="BB125" s="4097">
        <f>IFERROR(F125/F$117,0)</f>
        <v/>
      </c>
      <c r="BC125" s="4097">
        <f>IFERROR(G125/G$117,0)</f>
        <v/>
      </c>
      <c r="BD125" s="4097">
        <f>IFERROR(H125/H$117,0)</f>
        <v/>
      </c>
      <c r="BE125" s="4097">
        <f>IFERROR(I125/I$117,0)</f>
        <v/>
      </c>
      <c r="BF125" s="4097">
        <f>IFERROR(J125/J$117,0)</f>
        <v/>
      </c>
      <c r="BG125" s="4097">
        <f>IFERROR(K125/K$117,0)</f>
        <v/>
      </c>
      <c r="BH125" s="4097">
        <f>IFERROR(L125/L$117,0)</f>
        <v/>
      </c>
      <c r="BI125" s="4097">
        <f>IFERROR(M125/M$117,0)</f>
        <v/>
      </c>
      <c r="BJ125" s="4097">
        <f>IFERROR(N125/N$117,0)</f>
        <v/>
      </c>
      <c r="BK125" s="4097">
        <f>IFERROR(O125/O$117,0)</f>
        <v/>
      </c>
      <c r="BL125" s="4097">
        <f>IFERROR(P125/P$117,0)</f>
        <v/>
      </c>
      <c r="BM125" s="4098">
        <f>IFERROR(Q125/Q$117,0)</f>
        <v/>
      </c>
      <c r="BN125" s="4097">
        <f>IFERROR(R125/R$117,0)</f>
        <v/>
      </c>
      <c r="BO125" s="4097">
        <f>IFERROR(S125/S$117,0)</f>
        <v/>
      </c>
      <c r="BP125" s="4097">
        <f>IFERROR(T125/T$117,0)</f>
        <v/>
      </c>
      <c r="BQ125" s="4097">
        <f>IFERROR(U125/U$117,0)</f>
        <v/>
      </c>
      <c r="BR125" s="4097">
        <f>IFERROR(V125/V$117,0)</f>
        <v/>
      </c>
      <c r="BS125" s="4097">
        <f>IFERROR(W125/W$117,0)</f>
        <v/>
      </c>
      <c r="BT125" s="4097">
        <f>IFERROR(X125/X$117,0)</f>
        <v/>
      </c>
      <c r="BU125" s="4097">
        <f>IFERROR(Y125/Y$117,0)</f>
        <v/>
      </c>
      <c r="BV125" s="4097">
        <f>IFERROR(Z125/Z$117,0)</f>
        <v/>
      </c>
      <c r="BW125" s="4097">
        <f>IFERROR(AA125/AA$117,0)</f>
        <v/>
      </c>
      <c r="BX125" s="4097">
        <f>IFERROR(AB125/AB$117,0)</f>
        <v/>
      </c>
      <c r="BY125" s="4098">
        <f>IFERROR(AC125/AC$117,0)</f>
        <v/>
      </c>
      <c r="BZ125" s="4097">
        <f>IFERROR(AD125/AD$117,0)</f>
        <v/>
      </c>
      <c r="CA125" s="4097">
        <f>IFERROR(AE125/AE$117,0)</f>
        <v/>
      </c>
      <c r="CB125" s="4097">
        <f>IFERROR(AF125/AF$117,0)</f>
        <v/>
      </c>
      <c r="CC125" s="4097">
        <f>IFERROR(AG125/AG$117,0)</f>
        <v/>
      </c>
      <c r="CD125" s="4097">
        <f>IFERROR(AH125/AH$117,0)</f>
        <v/>
      </c>
      <c r="CE125" s="4097">
        <f>IFERROR(AI125/AI$117,0)</f>
        <v/>
      </c>
      <c r="CF125" s="4097">
        <f>IFERROR(AJ125/AJ$117,0)</f>
        <v/>
      </c>
      <c r="CG125" s="4097">
        <f>IFERROR(AK125/AK$117,0)</f>
        <v/>
      </c>
      <c r="CH125" s="4097">
        <f>IFERROR(AL125/AL$117,0)</f>
        <v/>
      </c>
      <c r="CI125" s="4097">
        <f>IFERROR(AM125/AM$117,0)</f>
        <v/>
      </c>
      <c r="CJ125" s="4097">
        <f>IFERROR(AN125/AN$117,0)</f>
        <v/>
      </c>
      <c r="CK125" s="4098">
        <f>IFERROR(AO125/AO$117,0)</f>
        <v/>
      </c>
      <c r="CL125" s="4097">
        <f>IFERROR(AP125/AP$117,0)</f>
        <v/>
      </c>
      <c r="CM125" s="4097">
        <f>IFERROR(AQ125/AQ$117,0)</f>
        <v/>
      </c>
      <c r="CN125" s="4097">
        <f>IFERROR(AR125/AR$117,0)</f>
        <v/>
      </c>
      <c r="CO125" s="4097">
        <f>IFERROR(AS125/AS$117,0)</f>
        <v/>
      </c>
      <c r="CP125" s="4097">
        <f>IFERROR(AT125/AT$117,0)</f>
        <v/>
      </c>
      <c r="CQ125" s="4099">
        <f>IFERROR(AU125/AU$117,0)</f>
        <v/>
      </c>
      <c r="CR125" s="4097">
        <f>IFERROR(AV125/AV$117,0)</f>
        <v/>
      </c>
      <c r="CS125" s="4097">
        <f>IFERROR(AW125/AW$117,0)</f>
        <v/>
      </c>
      <c r="CT125" s="4097">
        <f>IFERROR(AX125/AX$117,0)</f>
        <v/>
      </c>
      <c r="CU125" s="4097">
        <f>IFERROR(AY125/AY$117,0)</f>
        <v/>
      </c>
      <c r="CV125" s="4097">
        <f>IFERROR(AZ125/AZ$117,0)</f>
        <v/>
      </c>
      <c r="CW125" s="3737" t="n"/>
      <c r="CX125" s="4094" t="n">
        <v>-154.42234</v>
      </c>
    </row>
    <row r="126" hidden="1" outlineLevel="2" ht="12" customFormat="1" customHeight="1" s="3737">
      <c r="A126" s="4059" t="n"/>
      <c r="B126" s="4060" t="n"/>
      <c r="C126" s="4109" t="inlineStr">
        <is>
          <t>Cogs - card collateral materials &amp; pin</t>
        </is>
      </c>
      <c r="D126" s="4093" t="n">
        <v>501453</v>
      </c>
      <c r="E126" s="4093">
        <f>CONCATENATE(D126," - ",C126)</f>
        <v/>
      </c>
      <c r="F126" s="4094" t="n"/>
      <c r="G126" s="4094" t="n"/>
      <c r="H126" s="4094" t="n"/>
      <c r="I126" s="4094" t="n"/>
      <c r="J126" s="4094" t="n"/>
      <c r="K126" s="4094" t="n"/>
      <c r="L126" s="4094" t="n"/>
      <c r="M126" s="4094" t="n"/>
      <c r="N126" s="4094" t="n"/>
      <c r="O126" s="4094" t="n"/>
      <c r="P126" s="4094" t="n"/>
      <c r="Q126" s="4095" t="n"/>
      <c r="R126" s="4094" t="n"/>
      <c r="S126" s="4094" t="n"/>
      <c r="T126" s="4094" t="n"/>
      <c r="U126" s="4094" t="n"/>
      <c r="V126" s="4094" t="n"/>
      <c r="W126" s="4094" t="n"/>
      <c r="X126" s="4094" t="n"/>
      <c r="Y126" s="4094" t="n"/>
      <c r="Z126" s="4094" t="n"/>
      <c r="AA126" s="4094" t="n"/>
      <c r="AB126" s="4094" t="n"/>
      <c r="AC126" s="4095" t="n"/>
      <c r="AD126" s="4094" t="n"/>
      <c r="AE126" s="4094" t="n"/>
      <c r="AF126" s="4094" t="n"/>
      <c r="AG126" s="4094" t="n"/>
      <c r="AH126" s="4094" t="n"/>
      <c r="AI126" s="4094" t="n"/>
      <c r="AJ126" s="4094" t="n"/>
      <c r="AK126" s="4094" t="n"/>
      <c r="AL126" s="4094" t="n"/>
      <c r="AM126" s="4094" t="n"/>
      <c r="AN126" s="4094" t="n"/>
      <c r="AO126" s="4095" t="n"/>
      <c r="AP126" s="4094" t="n">
        <v>-6.86179</v>
      </c>
      <c r="AQ126" s="4094" t="n">
        <v>-19.3956</v>
      </c>
      <c r="AR126" s="4094" t="n">
        <v>-1.01063</v>
      </c>
      <c r="AS126" s="4094" t="n">
        <v>-30.53903</v>
      </c>
      <c r="AT126" s="4094" t="n">
        <v>-11.62961</v>
      </c>
      <c r="AU126" s="4096" t="n">
        <v>-11.23105</v>
      </c>
      <c r="AV126" s="4094">
        <f>SUM(F126:Q126)</f>
        <v/>
      </c>
      <c r="AW126" s="4094">
        <f>SUM(R126:AC126)</f>
        <v/>
      </c>
      <c r="AX126" s="4094">
        <f>SUM(AD126:AO126)</f>
        <v/>
      </c>
      <c r="AY126" s="4094">
        <f>SUM(AH126:AS126)</f>
        <v/>
      </c>
      <c r="AZ126" s="4094">
        <f>SUM(AJ126:AU126)</f>
        <v/>
      </c>
      <c r="BA126" s="3737" t="n"/>
      <c r="BB126" s="4097">
        <f>IFERROR(F126/F$117,0)</f>
        <v/>
      </c>
      <c r="BC126" s="4097">
        <f>IFERROR(G126/G$117,0)</f>
        <v/>
      </c>
      <c r="BD126" s="4097">
        <f>IFERROR(H126/H$117,0)</f>
        <v/>
      </c>
      <c r="BE126" s="4097">
        <f>IFERROR(I126/I$117,0)</f>
        <v/>
      </c>
      <c r="BF126" s="4097">
        <f>IFERROR(J126/J$117,0)</f>
        <v/>
      </c>
      <c r="BG126" s="4097">
        <f>IFERROR(K126/K$117,0)</f>
        <v/>
      </c>
      <c r="BH126" s="4097">
        <f>IFERROR(L126/L$117,0)</f>
        <v/>
      </c>
      <c r="BI126" s="4097">
        <f>IFERROR(M126/M$117,0)</f>
        <v/>
      </c>
      <c r="BJ126" s="4097">
        <f>IFERROR(N126/N$117,0)</f>
        <v/>
      </c>
      <c r="BK126" s="4097">
        <f>IFERROR(O126/O$117,0)</f>
        <v/>
      </c>
      <c r="BL126" s="4097">
        <f>IFERROR(P126/P$117,0)</f>
        <v/>
      </c>
      <c r="BM126" s="4098">
        <f>IFERROR(Q126/Q$117,0)</f>
        <v/>
      </c>
      <c r="BN126" s="4097">
        <f>IFERROR(R126/R$117,0)</f>
        <v/>
      </c>
      <c r="BO126" s="4097">
        <f>IFERROR(S126/S$117,0)</f>
        <v/>
      </c>
      <c r="BP126" s="4097">
        <f>IFERROR(T126/T$117,0)</f>
        <v/>
      </c>
      <c r="BQ126" s="4097">
        <f>IFERROR(U126/U$117,0)</f>
        <v/>
      </c>
      <c r="BR126" s="4097">
        <f>IFERROR(V126/V$117,0)</f>
        <v/>
      </c>
      <c r="BS126" s="4097">
        <f>IFERROR(W126/W$117,0)</f>
        <v/>
      </c>
      <c r="BT126" s="4097">
        <f>IFERROR(X126/X$117,0)</f>
        <v/>
      </c>
      <c r="BU126" s="4097">
        <f>IFERROR(Y126/Y$117,0)</f>
        <v/>
      </c>
      <c r="BV126" s="4097">
        <f>IFERROR(Z126/Z$117,0)</f>
        <v/>
      </c>
      <c r="BW126" s="4097">
        <f>IFERROR(AA126/AA$117,0)</f>
        <v/>
      </c>
      <c r="BX126" s="4097">
        <f>IFERROR(AB126/AB$117,0)</f>
        <v/>
      </c>
      <c r="BY126" s="4098">
        <f>IFERROR(AC126/AC$117,0)</f>
        <v/>
      </c>
      <c r="BZ126" s="4097">
        <f>IFERROR(AD126/AD$117,0)</f>
        <v/>
      </c>
      <c r="CA126" s="4097">
        <f>IFERROR(AE126/AE$117,0)</f>
        <v/>
      </c>
      <c r="CB126" s="4097">
        <f>IFERROR(AF126/AF$117,0)</f>
        <v/>
      </c>
      <c r="CC126" s="4097">
        <f>IFERROR(AG126/AG$117,0)</f>
        <v/>
      </c>
      <c r="CD126" s="4097">
        <f>IFERROR(AH126/AH$117,0)</f>
        <v/>
      </c>
      <c r="CE126" s="4097">
        <f>IFERROR(AI126/AI$117,0)</f>
        <v/>
      </c>
      <c r="CF126" s="4097">
        <f>IFERROR(AJ126/AJ$117,0)</f>
        <v/>
      </c>
      <c r="CG126" s="4097">
        <f>IFERROR(AK126/AK$117,0)</f>
        <v/>
      </c>
      <c r="CH126" s="4097">
        <f>IFERROR(AL126/AL$117,0)</f>
        <v/>
      </c>
      <c r="CI126" s="4097">
        <f>IFERROR(AM126/AM$117,0)</f>
        <v/>
      </c>
      <c r="CJ126" s="4097">
        <f>IFERROR(AN126/AN$117,0)</f>
        <v/>
      </c>
      <c r="CK126" s="4098">
        <f>IFERROR(AO126/AO$117,0)</f>
        <v/>
      </c>
      <c r="CL126" s="4097">
        <f>IFERROR(AP126/AP$117,0)</f>
        <v/>
      </c>
      <c r="CM126" s="4097">
        <f>IFERROR(AQ126/AQ$117,0)</f>
        <v/>
      </c>
      <c r="CN126" s="4097">
        <f>IFERROR(AR126/AR$117,0)</f>
        <v/>
      </c>
      <c r="CO126" s="4097">
        <f>IFERROR(AS126/AS$117,0)</f>
        <v/>
      </c>
      <c r="CP126" s="4097">
        <f>IFERROR(AT126/AT$117,0)</f>
        <v/>
      </c>
      <c r="CQ126" s="4099">
        <f>IFERROR(AU126/AU$117,0)</f>
        <v/>
      </c>
      <c r="CR126" s="4097">
        <f>IFERROR(AV126/AV$117,0)</f>
        <v/>
      </c>
      <c r="CS126" s="4097">
        <f>IFERROR(AW126/AW$117,0)</f>
        <v/>
      </c>
      <c r="CT126" s="4097">
        <f>IFERROR(AX126/AX$117,0)</f>
        <v/>
      </c>
      <c r="CU126" s="4097">
        <f>IFERROR(AY126/AY$117,0)</f>
        <v/>
      </c>
      <c r="CV126" s="4097">
        <f>IFERROR(AZ126/AZ$117,0)</f>
        <v/>
      </c>
      <c r="CW126" s="3737" t="n"/>
      <c r="CX126" s="4094" t="n">
        <v>-64.63217</v>
      </c>
    </row>
    <row r="127" hidden="1" outlineLevel="2" ht="12" customFormat="1" customHeight="1" s="3737">
      <c r="A127" s="4059" t="n"/>
      <c r="B127" s="4060" t="n"/>
      <c r="C127" s="4109" t="inlineStr">
        <is>
          <t>Cogs - atm hardware</t>
        </is>
      </c>
      <c r="D127" s="4093" t="n">
        <v>501102</v>
      </c>
      <c r="E127" s="4093">
        <f>CONCATENATE(D127," - ",C127)</f>
        <v/>
      </c>
      <c r="F127" s="4094" t="n"/>
      <c r="G127" s="4094" t="n"/>
      <c r="H127" s="4094" t="n"/>
      <c r="I127" s="4094" t="n"/>
      <c r="J127" s="4094" t="n"/>
      <c r="K127" s="4094" t="n"/>
      <c r="L127" s="4094" t="n"/>
      <c r="M127" s="4094" t="n"/>
      <c r="N127" s="4094" t="n"/>
      <c r="O127" s="4094" t="n"/>
      <c r="P127" s="4094" t="n"/>
      <c r="Q127" s="4095" t="n"/>
      <c r="R127" s="4094" t="n"/>
      <c r="S127" s="4094" t="n"/>
      <c r="T127" s="4094" t="n"/>
      <c r="U127" s="4094" t="n"/>
      <c r="V127" s="4094" t="n"/>
      <c r="W127" s="4094" t="n"/>
      <c r="X127" s="4094" t="n"/>
      <c r="Y127" s="4094" t="n"/>
      <c r="Z127" s="4094" t="n"/>
      <c r="AA127" s="4094" t="n"/>
      <c r="AB127" s="4094" t="n"/>
      <c r="AC127" s="4095" t="n"/>
      <c r="AD127" s="4094" t="n"/>
      <c r="AE127" s="4094" t="n"/>
      <c r="AF127" s="4094" t="n"/>
      <c r="AG127" s="4094" t="n"/>
      <c r="AH127" s="4094" t="n"/>
      <c r="AI127" s="4094" t="n"/>
      <c r="AJ127" s="4094" t="n"/>
      <c r="AK127" s="4094" t="n"/>
      <c r="AL127" s="4094" t="n"/>
      <c r="AM127" s="4094" t="n"/>
      <c r="AN127" s="4094" t="n"/>
      <c r="AO127" s="4095" t="n"/>
      <c r="AP127" s="4094" t="n">
        <v>0</v>
      </c>
      <c r="AQ127" s="4094" t="n">
        <v>-68.31159</v>
      </c>
      <c r="AR127" s="4094" t="n">
        <v>0</v>
      </c>
      <c r="AS127" s="4094" t="n">
        <v>0</v>
      </c>
      <c r="AT127" s="4094" t="n">
        <v>-72.2178</v>
      </c>
      <c r="AU127" s="4096" t="n">
        <v>0</v>
      </c>
      <c r="AV127" s="4094">
        <f>SUM(F127:Q127)</f>
        <v/>
      </c>
      <c r="AW127" s="4094">
        <f>SUM(R127:AC127)</f>
        <v/>
      </c>
      <c r="AX127" s="4094">
        <f>SUM(AD127:AO127)</f>
        <v/>
      </c>
      <c r="AY127" s="4094">
        <f>SUM(AH127:AS127)</f>
        <v/>
      </c>
      <c r="AZ127" s="4094">
        <f>SUM(AJ127:AU127)</f>
        <v/>
      </c>
      <c r="BA127" s="3737" t="n"/>
      <c r="BB127" s="4097">
        <f>IFERROR(F127/F$117,0)</f>
        <v/>
      </c>
      <c r="BC127" s="4097">
        <f>IFERROR(G127/G$117,0)</f>
        <v/>
      </c>
      <c r="BD127" s="4097">
        <f>IFERROR(H127/H$117,0)</f>
        <v/>
      </c>
      <c r="BE127" s="4097">
        <f>IFERROR(I127/I$117,0)</f>
        <v/>
      </c>
      <c r="BF127" s="4097">
        <f>IFERROR(J127/J$117,0)</f>
        <v/>
      </c>
      <c r="BG127" s="4097">
        <f>IFERROR(K127/K$117,0)</f>
        <v/>
      </c>
      <c r="BH127" s="4097">
        <f>IFERROR(L127/L$117,0)</f>
        <v/>
      </c>
      <c r="BI127" s="4097">
        <f>IFERROR(M127/M$117,0)</f>
        <v/>
      </c>
      <c r="BJ127" s="4097">
        <f>IFERROR(N127/N$117,0)</f>
        <v/>
      </c>
      <c r="BK127" s="4097">
        <f>IFERROR(O127/O$117,0)</f>
        <v/>
      </c>
      <c r="BL127" s="4097">
        <f>IFERROR(P127/P$117,0)</f>
        <v/>
      </c>
      <c r="BM127" s="4098">
        <f>IFERROR(Q127/Q$117,0)</f>
        <v/>
      </c>
      <c r="BN127" s="4097">
        <f>IFERROR(R127/R$117,0)</f>
        <v/>
      </c>
      <c r="BO127" s="4097">
        <f>IFERROR(S127/S$117,0)</f>
        <v/>
      </c>
      <c r="BP127" s="4097">
        <f>IFERROR(T127/T$117,0)</f>
        <v/>
      </c>
      <c r="BQ127" s="4097">
        <f>IFERROR(U127/U$117,0)</f>
        <v/>
      </c>
      <c r="BR127" s="4097">
        <f>IFERROR(V127/V$117,0)</f>
        <v/>
      </c>
      <c r="BS127" s="4097">
        <f>IFERROR(W127/W$117,0)</f>
        <v/>
      </c>
      <c r="BT127" s="4097">
        <f>IFERROR(X127/X$117,0)</f>
        <v/>
      </c>
      <c r="BU127" s="4097">
        <f>IFERROR(Y127/Y$117,0)</f>
        <v/>
      </c>
      <c r="BV127" s="4097">
        <f>IFERROR(Z127/Z$117,0)</f>
        <v/>
      </c>
      <c r="BW127" s="4097">
        <f>IFERROR(AA127/AA$117,0)</f>
        <v/>
      </c>
      <c r="BX127" s="4097">
        <f>IFERROR(AB127/AB$117,0)</f>
        <v/>
      </c>
      <c r="BY127" s="4098">
        <f>IFERROR(AC127/AC$117,0)</f>
        <v/>
      </c>
      <c r="BZ127" s="4097">
        <f>IFERROR(AD127/AD$117,0)</f>
        <v/>
      </c>
      <c r="CA127" s="4097">
        <f>IFERROR(AE127/AE$117,0)</f>
        <v/>
      </c>
      <c r="CB127" s="4097">
        <f>IFERROR(AF127/AF$117,0)</f>
        <v/>
      </c>
      <c r="CC127" s="4097">
        <f>IFERROR(AG127/AG$117,0)</f>
        <v/>
      </c>
      <c r="CD127" s="4097">
        <f>IFERROR(AH127/AH$117,0)</f>
        <v/>
      </c>
      <c r="CE127" s="4097">
        <f>IFERROR(AI127/AI$117,0)</f>
        <v/>
      </c>
      <c r="CF127" s="4097">
        <f>IFERROR(AJ127/AJ$117,0)</f>
        <v/>
      </c>
      <c r="CG127" s="4097">
        <f>IFERROR(AK127/AK$117,0)</f>
        <v/>
      </c>
      <c r="CH127" s="4097">
        <f>IFERROR(AL127/AL$117,0)</f>
        <v/>
      </c>
      <c r="CI127" s="4097">
        <f>IFERROR(AM127/AM$117,0)</f>
        <v/>
      </c>
      <c r="CJ127" s="4097">
        <f>IFERROR(AN127/AN$117,0)</f>
        <v/>
      </c>
      <c r="CK127" s="4098">
        <f>IFERROR(AO127/AO$117,0)</f>
        <v/>
      </c>
      <c r="CL127" s="4097">
        <f>IFERROR(AP127/AP$117,0)</f>
        <v/>
      </c>
      <c r="CM127" s="4097">
        <f>IFERROR(AQ127/AQ$117,0)</f>
        <v/>
      </c>
      <c r="CN127" s="4097">
        <f>IFERROR(AR127/AR$117,0)</f>
        <v/>
      </c>
      <c r="CO127" s="4097">
        <f>IFERROR(AS127/AS$117,0)</f>
        <v/>
      </c>
      <c r="CP127" s="4097">
        <f>IFERROR(AT127/AT$117,0)</f>
        <v/>
      </c>
      <c r="CQ127" s="4099">
        <f>IFERROR(AU127/AU$117,0)</f>
        <v/>
      </c>
      <c r="CR127" s="4097">
        <f>IFERROR(AV127/AV$117,0)</f>
        <v/>
      </c>
      <c r="CS127" s="4097">
        <f>IFERROR(AW127/AW$117,0)</f>
        <v/>
      </c>
      <c r="CT127" s="4097">
        <f>IFERROR(AX127/AX$117,0)</f>
        <v/>
      </c>
      <c r="CU127" s="4097">
        <f>IFERROR(AY127/AY$117,0)</f>
        <v/>
      </c>
      <c r="CV127" s="4097">
        <f>IFERROR(AZ127/AZ$117,0)</f>
        <v/>
      </c>
      <c r="CW127" s="3737" t="n"/>
      <c r="CX127" s="4094" t="n">
        <v>-201.63872</v>
      </c>
    </row>
    <row r="128" hidden="1" outlineLevel="2" ht="12" customFormat="1" customHeight="1" s="3737">
      <c r="A128" s="4059" t="n"/>
      <c r="B128" s="4060" t="n"/>
      <c r="C128" s="4109" t="inlineStr">
        <is>
          <t>Cogs - rental units</t>
        </is>
      </c>
      <c r="D128" s="4093" t="n">
        <v>501119</v>
      </c>
      <c r="E128" s="4093">
        <f>CONCATENATE(D128," - ",C128)</f>
        <v/>
      </c>
      <c r="F128" s="4094" t="n"/>
      <c r="G128" s="4094" t="n"/>
      <c r="H128" s="4094" t="n"/>
      <c r="I128" s="4094" t="n"/>
      <c r="J128" s="4094" t="n"/>
      <c r="K128" s="4094" t="n"/>
      <c r="L128" s="4094" t="n"/>
      <c r="M128" s="4094" t="n"/>
      <c r="N128" s="4094" t="n"/>
      <c r="O128" s="4094" t="n"/>
      <c r="P128" s="4094" t="n"/>
      <c r="Q128" s="4095" t="n"/>
      <c r="R128" s="4094" t="n"/>
      <c r="S128" s="4094" t="n"/>
      <c r="T128" s="4094" t="n"/>
      <c r="U128" s="4094" t="n"/>
      <c r="V128" s="4094" t="n"/>
      <c r="W128" s="4094" t="n"/>
      <c r="X128" s="4094" t="n"/>
      <c r="Y128" s="4094" t="n"/>
      <c r="Z128" s="4094" t="n"/>
      <c r="AA128" s="4094" t="n"/>
      <c r="AB128" s="4094" t="n"/>
      <c r="AC128" s="4095" t="n"/>
      <c r="AD128" s="4094" t="n"/>
      <c r="AE128" s="4094" t="n"/>
      <c r="AF128" s="4094" t="n"/>
      <c r="AG128" s="4094" t="n"/>
      <c r="AH128" s="4094" t="n"/>
      <c r="AI128" s="4094" t="n"/>
      <c r="AJ128" s="4094" t="n"/>
      <c r="AK128" s="4094" t="n"/>
      <c r="AL128" s="4094" t="n"/>
      <c r="AM128" s="4094" t="n"/>
      <c r="AN128" s="4094" t="n"/>
      <c r="AO128" s="4095" t="n"/>
      <c r="AP128" s="4094" t="n">
        <v>-10</v>
      </c>
      <c r="AQ128" s="4094" t="n">
        <v>-10</v>
      </c>
      <c r="AR128" s="4094" t="n">
        <v>-10</v>
      </c>
      <c r="AS128" s="4094" t="n">
        <v>-10</v>
      </c>
      <c r="AT128" s="4094" t="n">
        <v>-10</v>
      </c>
      <c r="AU128" s="4096" t="n">
        <v>-10</v>
      </c>
      <c r="AV128" s="4094">
        <f>SUM(F128:Q128)</f>
        <v/>
      </c>
      <c r="AW128" s="4094">
        <f>SUM(R128:AC128)</f>
        <v/>
      </c>
      <c r="AX128" s="4094">
        <f>SUM(AD128:AO128)</f>
        <v/>
      </c>
      <c r="AY128" s="4094">
        <f>SUM(AH128:AS128)</f>
        <v/>
      </c>
      <c r="AZ128" s="4094">
        <f>SUM(AJ128:AU128)</f>
        <v/>
      </c>
      <c r="BA128" s="3737" t="n"/>
      <c r="BB128" s="4097">
        <f>IFERROR(F128/F$117,0)</f>
        <v/>
      </c>
      <c r="BC128" s="4097">
        <f>IFERROR(G128/G$117,0)</f>
        <v/>
      </c>
      <c r="BD128" s="4097">
        <f>IFERROR(H128/H$117,0)</f>
        <v/>
      </c>
      <c r="BE128" s="4097">
        <f>IFERROR(I128/I$117,0)</f>
        <v/>
      </c>
      <c r="BF128" s="4097">
        <f>IFERROR(J128/J$117,0)</f>
        <v/>
      </c>
      <c r="BG128" s="4097">
        <f>IFERROR(K128/K$117,0)</f>
        <v/>
      </c>
      <c r="BH128" s="4097">
        <f>IFERROR(L128/L$117,0)</f>
        <v/>
      </c>
      <c r="BI128" s="4097">
        <f>IFERROR(M128/M$117,0)</f>
        <v/>
      </c>
      <c r="BJ128" s="4097">
        <f>IFERROR(N128/N$117,0)</f>
        <v/>
      </c>
      <c r="BK128" s="4097">
        <f>IFERROR(O128/O$117,0)</f>
        <v/>
      </c>
      <c r="BL128" s="4097">
        <f>IFERROR(P128/P$117,0)</f>
        <v/>
      </c>
      <c r="BM128" s="4098">
        <f>IFERROR(Q128/Q$117,0)</f>
        <v/>
      </c>
      <c r="BN128" s="4097">
        <f>IFERROR(R128/R$117,0)</f>
        <v/>
      </c>
      <c r="BO128" s="4097">
        <f>IFERROR(S128/S$117,0)</f>
        <v/>
      </c>
      <c r="BP128" s="4097">
        <f>IFERROR(T128/T$117,0)</f>
        <v/>
      </c>
      <c r="BQ128" s="4097">
        <f>IFERROR(U128/U$117,0)</f>
        <v/>
      </c>
      <c r="BR128" s="4097">
        <f>IFERROR(V128/V$117,0)</f>
        <v/>
      </c>
      <c r="BS128" s="4097">
        <f>IFERROR(W128/W$117,0)</f>
        <v/>
      </c>
      <c r="BT128" s="4097">
        <f>IFERROR(X128/X$117,0)</f>
        <v/>
      </c>
      <c r="BU128" s="4097">
        <f>IFERROR(Y128/Y$117,0)</f>
        <v/>
      </c>
      <c r="BV128" s="4097">
        <f>IFERROR(Z128/Z$117,0)</f>
        <v/>
      </c>
      <c r="BW128" s="4097">
        <f>IFERROR(AA128/AA$117,0)</f>
        <v/>
      </c>
      <c r="BX128" s="4097">
        <f>IFERROR(AB128/AB$117,0)</f>
        <v/>
      </c>
      <c r="BY128" s="4098">
        <f>IFERROR(AC128/AC$117,0)</f>
        <v/>
      </c>
      <c r="BZ128" s="4097">
        <f>IFERROR(AD128/AD$117,0)</f>
        <v/>
      </c>
      <c r="CA128" s="4097">
        <f>IFERROR(AE128/AE$117,0)</f>
        <v/>
      </c>
      <c r="CB128" s="4097">
        <f>IFERROR(AF128/AF$117,0)</f>
        <v/>
      </c>
      <c r="CC128" s="4097">
        <f>IFERROR(AG128/AG$117,0)</f>
        <v/>
      </c>
      <c r="CD128" s="4097">
        <f>IFERROR(AH128/AH$117,0)</f>
        <v/>
      </c>
      <c r="CE128" s="4097">
        <f>IFERROR(AI128/AI$117,0)</f>
        <v/>
      </c>
      <c r="CF128" s="4097">
        <f>IFERROR(AJ128/AJ$117,0)</f>
        <v/>
      </c>
      <c r="CG128" s="4097">
        <f>IFERROR(AK128/AK$117,0)</f>
        <v/>
      </c>
      <c r="CH128" s="4097">
        <f>IFERROR(AL128/AL$117,0)</f>
        <v/>
      </c>
      <c r="CI128" s="4097">
        <f>IFERROR(AM128/AM$117,0)</f>
        <v/>
      </c>
      <c r="CJ128" s="4097">
        <f>IFERROR(AN128/AN$117,0)</f>
        <v/>
      </c>
      <c r="CK128" s="4098">
        <f>IFERROR(AO128/AO$117,0)</f>
        <v/>
      </c>
      <c r="CL128" s="4097">
        <f>IFERROR(AP128/AP$117,0)</f>
        <v/>
      </c>
      <c r="CM128" s="4097">
        <f>IFERROR(AQ128/AQ$117,0)</f>
        <v/>
      </c>
      <c r="CN128" s="4097">
        <f>IFERROR(AR128/AR$117,0)</f>
        <v/>
      </c>
      <c r="CO128" s="4097">
        <f>IFERROR(AS128/AS$117,0)</f>
        <v/>
      </c>
      <c r="CP128" s="4097">
        <f>IFERROR(AT128/AT$117,0)</f>
        <v/>
      </c>
      <c r="CQ128" s="4099">
        <f>IFERROR(AU128/AU$117,0)</f>
        <v/>
      </c>
      <c r="CR128" s="4097">
        <f>IFERROR(AV128/AV$117,0)</f>
        <v/>
      </c>
      <c r="CS128" s="4097">
        <f>IFERROR(AW128/AW$117,0)</f>
        <v/>
      </c>
      <c r="CT128" s="4097">
        <f>IFERROR(AX128/AX$117,0)</f>
        <v/>
      </c>
      <c r="CU128" s="4097">
        <f>IFERROR(AY128/AY$117,0)</f>
        <v/>
      </c>
      <c r="CV128" s="4097">
        <f>IFERROR(AZ128/AZ$117,0)</f>
        <v/>
      </c>
      <c r="CW128" s="3737" t="n"/>
      <c r="CX128" s="4094" t="n">
        <v>-93.17667</v>
      </c>
    </row>
    <row r="129" hidden="1" outlineLevel="2" ht="12" customFormat="1" customHeight="1" s="3737">
      <c r="A129" s="4059" t="n"/>
      <c r="B129" s="4060" t="n"/>
      <c r="C129" s="4109" t="inlineStr">
        <is>
          <t>Visa vap system access fee card lob</t>
        </is>
      </c>
      <c r="D129" s="4093" t="n">
        <v>501468</v>
      </c>
      <c r="E129" s="4093">
        <f>CONCATENATE(D129," - ",C129)</f>
        <v/>
      </c>
      <c r="F129" s="4094" t="n"/>
      <c r="G129" s="4094" t="n"/>
      <c r="H129" s="4094" t="n"/>
      <c r="I129" s="4094" t="n"/>
      <c r="J129" s="4094" t="n"/>
      <c r="K129" s="4094" t="n"/>
      <c r="L129" s="4094" t="n"/>
      <c r="M129" s="4094" t="n"/>
      <c r="N129" s="4094" t="n"/>
      <c r="O129" s="4094" t="n"/>
      <c r="P129" s="4094" t="n"/>
      <c r="Q129" s="4095" t="n"/>
      <c r="R129" s="4094" t="n"/>
      <c r="S129" s="4094" t="n"/>
      <c r="T129" s="4094" t="n"/>
      <c r="U129" s="4094" t="n"/>
      <c r="V129" s="4094" t="n"/>
      <c r="W129" s="4094" t="n"/>
      <c r="X129" s="4094" t="n"/>
      <c r="Y129" s="4094" t="n"/>
      <c r="Z129" s="4094" t="n"/>
      <c r="AA129" s="4094" t="n"/>
      <c r="AB129" s="4094" t="n"/>
      <c r="AC129" s="4095" t="n"/>
      <c r="AD129" s="4094" t="n"/>
      <c r="AE129" s="4094" t="n"/>
      <c r="AF129" s="4094" t="n"/>
      <c r="AG129" s="4094" t="n"/>
      <c r="AH129" s="4094" t="n"/>
      <c r="AI129" s="4094" t="n"/>
      <c r="AJ129" s="4094" t="n"/>
      <c r="AK129" s="4094" t="n"/>
      <c r="AL129" s="4094" t="n"/>
      <c r="AM129" s="4094" t="n"/>
      <c r="AN129" s="4094" t="n"/>
      <c r="AO129" s="4095" t="n"/>
      <c r="AP129" s="4094" t="n">
        <v>-29.6019</v>
      </c>
      <c r="AQ129" s="4094" t="n">
        <v>-25.80567</v>
      </c>
      <c r="AR129" s="4094" t="n">
        <v>-27.82432</v>
      </c>
      <c r="AS129" s="4094" t="n">
        <v>-28.13561</v>
      </c>
      <c r="AT129" s="4094" t="n">
        <v>-29.03535</v>
      </c>
      <c r="AU129" s="4096" t="n">
        <v>-25.57901</v>
      </c>
      <c r="AV129" s="4094">
        <f>SUM(F129:Q129)</f>
        <v/>
      </c>
      <c r="AW129" s="4094">
        <f>SUM(R129:AC129)</f>
        <v/>
      </c>
      <c r="AX129" s="4094">
        <f>SUM(AD129:AO129)</f>
        <v/>
      </c>
      <c r="AY129" s="4094">
        <f>SUM(AH129:AS129)</f>
        <v/>
      </c>
      <c r="AZ129" s="4094">
        <f>SUM(AJ129:AU129)</f>
        <v/>
      </c>
      <c r="BA129" s="3737" t="n"/>
      <c r="BB129" s="4097">
        <f>IFERROR(F129/F$117,0)</f>
        <v/>
      </c>
      <c r="BC129" s="4097">
        <f>IFERROR(G129/G$117,0)</f>
        <v/>
      </c>
      <c r="BD129" s="4097">
        <f>IFERROR(H129/H$117,0)</f>
        <v/>
      </c>
      <c r="BE129" s="4097">
        <f>IFERROR(I129/I$117,0)</f>
        <v/>
      </c>
      <c r="BF129" s="4097">
        <f>IFERROR(J129/J$117,0)</f>
        <v/>
      </c>
      <c r="BG129" s="4097">
        <f>IFERROR(K129/K$117,0)</f>
        <v/>
      </c>
      <c r="BH129" s="4097">
        <f>IFERROR(L129/L$117,0)</f>
        <v/>
      </c>
      <c r="BI129" s="4097">
        <f>IFERROR(M129/M$117,0)</f>
        <v/>
      </c>
      <c r="BJ129" s="4097">
        <f>IFERROR(N129/N$117,0)</f>
        <v/>
      </c>
      <c r="BK129" s="4097">
        <f>IFERROR(O129/O$117,0)</f>
        <v/>
      </c>
      <c r="BL129" s="4097">
        <f>IFERROR(P129/P$117,0)</f>
        <v/>
      </c>
      <c r="BM129" s="4098">
        <f>IFERROR(Q129/Q$117,0)</f>
        <v/>
      </c>
      <c r="BN129" s="4097">
        <f>IFERROR(R129/R$117,0)</f>
        <v/>
      </c>
      <c r="BO129" s="4097">
        <f>IFERROR(S129/S$117,0)</f>
        <v/>
      </c>
      <c r="BP129" s="4097">
        <f>IFERROR(T129/T$117,0)</f>
        <v/>
      </c>
      <c r="BQ129" s="4097">
        <f>IFERROR(U129/U$117,0)</f>
        <v/>
      </c>
      <c r="BR129" s="4097">
        <f>IFERROR(V129/V$117,0)</f>
        <v/>
      </c>
      <c r="BS129" s="4097">
        <f>IFERROR(W129/W$117,0)</f>
        <v/>
      </c>
      <c r="BT129" s="4097">
        <f>IFERROR(X129/X$117,0)</f>
        <v/>
      </c>
      <c r="BU129" s="4097">
        <f>IFERROR(Y129/Y$117,0)</f>
        <v/>
      </c>
      <c r="BV129" s="4097">
        <f>IFERROR(Z129/Z$117,0)</f>
        <v/>
      </c>
      <c r="BW129" s="4097">
        <f>IFERROR(AA129/AA$117,0)</f>
        <v/>
      </c>
      <c r="BX129" s="4097">
        <f>IFERROR(AB129/AB$117,0)</f>
        <v/>
      </c>
      <c r="BY129" s="4098">
        <f>IFERROR(AC129/AC$117,0)</f>
        <v/>
      </c>
      <c r="BZ129" s="4097">
        <f>IFERROR(AD129/AD$117,0)</f>
        <v/>
      </c>
      <c r="CA129" s="4097">
        <f>IFERROR(AE129/AE$117,0)</f>
        <v/>
      </c>
      <c r="CB129" s="4097">
        <f>IFERROR(AF129/AF$117,0)</f>
        <v/>
      </c>
      <c r="CC129" s="4097">
        <f>IFERROR(AG129/AG$117,0)</f>
        <v/>
      </c>
      <c r="CD129" s="4097">
        <f>IFERROR(AH129/AH$117,0)</f>
        <v/>
      </c>
      <c r="CE129" s="4097">
        <f>IFERROR(AI129/AI$117,0)</f>
        <v/>
      </c>
      <c r="CF129" s="4097">
        <f>IFERROR(AJ129/AJ$117,0)</f>
        <v/>
      </c>
      <c r="CG129" s="4097">
        <f>IFERROR(AK129/AK$117,0)</f>
        <v/>
      </c>
      <c r="CH129" s="4097">
        <f>IFERROR(AL129/AL$117,0)</f>
        <v/>
      </c>
      <c r="CI129" s="4097">
        <f>IFERROR(AM129/AM$117,0)</f>
        <v/>
      </c>
      <c r="CJ129" s="4097">
        <f>IFERROR(AN129/AN$117,0)</f>
        <v/>
      </c>
      <c r="CK129" s="4098">
        <f>IFERROR(AO129/AO$117,0)</f>
        <v/>
      </c>
      <c r="CL129" s="4097">
        <f>IFERROR(AP129/AP$117,0)</f>
        <v/>
      </c>
      <c r="CM129" s="4097">
        <f>IFERROR(AQ129/AQ$117,0)</f>
        <v/>
      </c>
      <c r="CN129" s="4097">
        <f>IFERROR(AR129/AR$117,0)</f>
        <v/>
      </c>
      <c r="CO129" s="4097">
        <f>IFERROR(AS129/AS$117,0)</f>
        <v/>
      </c>
      <c r="CP129" s="4097">
        <f>IFERROR(AT129/AT$117,0)</f>
        <v/>
      </c>
      <c r="CQ129" s="4099">
        <f>IFERROR(AU129/AU$117,0)</f>
        <v/>
      </c>
      <c r="CR129" s="4097">
        <f>IFERROR(AV129/AV$117,0)</f>
        <v/>
      </c>
      <c r="CS129" s="4097">
        <f>IFERROR(AW129/AW$117,0)</f>
        <v/>
      </c>
      <c r="CT129" s="4097">
        <f>IFERROR(AX129/AX$117,0)</f>
        <v/>
      </c>
      <c r="CU129" s="4097">
        <f>IFERROR(AY129/AY$117,0)</f>
        <v/>
      </c>
      <c r="CV129" s="4097">
        <f>IFERROR(AZ129/AZ$117,0)</f>
        <v/>
      </c>
      <c r="CW129" s="3737" t="n"/>
      <c r="CX129" s="4094" t="n">
        <v>0</v>
      </c>
    </row>
    <row r="130" hidden="1" outlineLevel="2" ht="12" customFormat="1" customHeight="1" s="3737">
      <c r="A130" s="4059" t="n"/>
      <c r="B130" s="4060" t="n"/>
      <c r="C130" s="4109" t="inlineStr">
        <is>
          <t>Cogs - dma admin fee</t>
        </is>
      </c>
      <c r="D130" s="4093" t="n">
        <v>501480</v>
      </c>
      <c r="E130" s="4093">
        <f>CONCATENATE(D130," - ",C130)</f>
        <v/>
      </c>
      <c r="F130" s="4094" t="n"/>
      <c r="G130" s="4094" t="n"/>
      <c r="H130" s="4094" t="n"/>
      <c r="I130" s="4094" t="n"/>
      <c r="J130" s="4094" t="n"/>
      <c r="K130" s="4094" t="n"/>
      <c r="L130" s="4094" t="n"/>
      <c r="M130" s="4094" t="n"/>
      <c r="N130" s="4094" t="n"/>
      <c r="O130" s="4094" t="n"/>
      <c r="P130" s="4094" t="n"/>
      <c r="Q130" s="4095" t="n"/>
      <c r="R130" s="4094" t="n"/>
      <c r="S130" s="4094" t="n"/>
      <c r="T130" s="4094" t="n"/>
      <c r="U130" s="4094" t="n"/>
      <c r="V130" s="4094" t="n"/>
      <c r="W130" s="4094" t="n"/>
      <c r="X130" s="4094" t="n"/>
      <c r="Y130" s="4094" t="n"/>
      <c r="Z130" s="4094" t="n"/>
      <c r="AA130" s="4094" t="n"/>
      <c r="AB130" s="4094" t="n"/>
      <c r="AC130" s="4095" t="n"/>
      <c r="AD130" s="4094" t="n"/>
      <c r="AE130" s="4094" t="n"/>
      <c r="AF130" s="4094" t="n"/>
      <c r="AG130" s="4094" t="n"/>
      <c r="AH130" s="4094" t="n"/>
      <c r="AI130" s="4094" t="n"/>
      <c r="AJ130" s="4094" t="n"/>
      <c r="AK130" s="4094" t="n"/>
      <c r="AL130" s="4094" t="n"/>
      <c r="AM130" s="4094" t="n"/>
      <c r="AN130" s="4094" t="n"/>
      <c r="AO130" s="4095" t="n"/>
      <c r="AP130" s="4094" t="n">
        <v>0</v>
      </c>
      <c r="AQ130" s="4094" t="n">
        <v>-35.0556</v>
      </c>
      <c r="AR130" s="4094" t="n">
        <v>-9.70336</v>
      </c>
      <c r="AS130" s="4094" t="n">
        <v>-13.12418</v>
      </c>
      <c r="AT130" s="4094" t="n">
        <v>-33.4355</v>
      </c>
      <c r="AU130" s="4096" t="n">
        <v>-11.04781</v>
      </c>
      <c r="AV130" s="4094">
        <f>SUM(F130:Q130)</f>
        <v/>
      </c>
      <c r="AW130" s="4094">
        <f>SUM(R130:AC130)</f>
        <v/>
      </c>
      <c r="AX130" s="4094">
        <f>SUM(AD130:AO130)</f>
        <v/>
      </c>
      <c r="AY130" s="4094">
        <f>SUM(AH130:AS130)</f>
        <v/>
      </c>
      <c r="AZ130" s="4094">
        <f>SUM(AJ130:AU130)</f>
        <v/>
      </c>
      <c r="BA130" s="3737" t="n"/>
      <c r="BB130" s="4097">
        <f>IFERROR(F130/F$117,0)</f>
        <v/>
      </c>
      <c r="BC130" s="4097">
        <f>IFERROR(G130/G$117,0)</f>
        <v/>
      </c>
      <c r="BD130" s="4097">
        <f>IFERROR(H130/H$117,0)</f>
        <v/>
      </c>
      <c r="BE130" s="4097">
        <f>IFERROR(I130/I$117,0)</f>
        <v/>
      </c>
      <c r="BF130" s="4097">
        <f>IFERROR(J130/J$117,0)</f>
        <v/>
      </c>
      <c r="BG130" s="4097">
        <f>IFERROR(K130/K$117,0)</f>
        <v/>
      </c>
      <c r="BH130" s="4097">
        <f>IFERROR(L130/L$117,0)</f>
        <v/>
      </c>
      <c r="BI130" s="4097">
        <f>IFERROR(M130/M$117,0)</f>
        <v/>
      </c>
      <c r="BJ130" s="4097">
        <f>IFERROR(N130/N$117,0)</f>
        <v/>
      </c>
      <c r="BK130" s="4097">
        <f>IFERROR(O130/O$117,0)</f>
        <v/>
      </c>
      <c r="BL130" s="4097">
        <f>IFERROR(P130/P$117,0)</f>
        <v/>
      </c>
      <c r="BM130" s="4098">
        <f>IFERROR(Q130/Q$117,0)</f>
        <v/>
      </c>
      <c r="BN130" s="4097">
        <f>IFERROR(R130/R$117,0)</f>
        <v/>
      </c>
      <c r="BO130" s="4097">
        <f>IFERROR(S130/S$117,0)</f>
        <v/>
      </c>
      <c r="BP130" s="4097">
        <f>IFERROR(T130/T$117,0)</f>
        <v/>
      </c>
      <c r="BQ130" s="4097">
        <f>IFERROR(U130/U$117,0)</f>
        <v/>
      </c>
      <c r="BR130" s="4097">
        <f>IFERROR(V130/V$117,0)</f>
        <v/>
      </c>
      <c r="BS130" s="4097">
        <f>IFERROR(W130/W$117,0)</f>
        <v/>
      </c>
      <c r="BT130" s="4097">
        <f>IFERROR(X130/X$117,0)</f>
        <v/>
      </c>
      <c r="BU130" s="4097">
        <f>IFERROR(Y130/Y$117,0)</f>
        <v/>
      </c>
      <c r="BV130" s="4097">
        <f>IFERROR(Z130/Z$117,0)</f>
        <v/>
      </c>
      <c r="BW130" s="4097">
        <f>IFERROR(AA130/AA$117,0)</f>
        <v/>
      </c>
      <c r="BX130" s="4097">
        <f>IFERROR(AB130/AB$117,0)</f>
        <v/>
      </c>
      <c r="BY130" s="4098">
        <f>IFERROR(AC130/AC$117,0)</f>
        <v/>
      </c>
      <c r="BZ130" s="4097">
        <f>IFERROR(AD130/AD$117,0)</f>
        <v/>
      </c>
      <c r="CA130" s="4097">
        <f>IFERROR(AE130/AE$117,0)</f>
        <v/>
      </c>
      <c r="CB130" s="4097">
        <f>IFERROR(AF130/AF$117,0)</f>
        <v/>
      </c>
      <c r="CC130" s="4097">
        <f>IFERROR(AG130/AG$117,0)</f>
        <v/>
      </c>
      <c r="CD130" s="4097">
        <f>IFERROR(AH130/AH$117,0)</f>
        <v/>
      </c>
      <c r="CE130" s="4097">
        <f>IFERROR(AI130/AI$117,0)</f>
        <v/>
      </c>
      <c r="CF130" s="4097">
        <f>IFERROR(AJ130/AJ$117,0)</f>
        <v/>
      </c>
      <c r="CG130" s="4097">
        <f>IFERROR(AK130/AK$117,0)</f>
        <v/>
      </c>
      <c r="CH130" s="4097">
        <f>IFERROR(AL130/AL$117,0)</f>
        <v/>
      </c>
      <c r="CI130" s="4097">
        <f>IFERROR(AM130/AM$117,0)</f>
        <v/>
      </c>
      <c r="CJ130" s="4097">
        <f>IFERROR(AN130/AN$117,0)</f>
        <v/>
      </c>
      <c r="CK130" s="4098">
        <f>IFERROR(AO130/AO$117,0)</f>
        <v/>
      </c>
      <c r="CL130" s="4097">
        <f>IFERROR(AP130/AP$117,0)</f>
        <v/>
      </c>
      <c r="CM130" s="4097">
        <f>IFERROR(AQ130/AQ$117,0)</f>
        <v/>
      </c>
      <c r="CN130" s="4097">
        <f>IFERROR(AR130/AR$117,0)</f>
        <v/>
      </c>
      <c r="CO130" s="4097">
        <f>IFERROR(AS130/AS$117,0)</f>
        <v/>
      </c>
      <c r="CP130" s="4097">
        <f>IFERROR(AT130/AT$117,0)</f>
        <v/>
      </c>
      <c r="CQ130" s="4099">
        <f>IFERROR(AU130/AU$117,0)</f>
        <v/>
      </c>
      <c r="CR130" s="4097">
        <f>IFERROR(AV130/AV$117,0)</f>
        <v/>
      </c>
      <c r="CS130" s="4097">
        <f>IFERROR(AW130/AW$117,0)</f>
        <v/>
      </c>
      <c r="CT130" s="4097">
        <f>IFERROR(AX130/AX$117,0)</f>
        <v/>
      </c>
      <c r="CU130" s="4097">
        <f>IFERROR(AY130/AY$117,0)</f>
        <v/>
      </c>
      <c r="CV130" s="4097">
        <f>IFERROR(AZ130/AZ$117,0)</f>
        <v/>
      </c>
      <c r="CW130" s="3737" t="n"/>
      <c r="CX130" s="4094" t="n">
        <v>0</v>
      </c>
    </row>
    <row r="131" hidden="1" outlineLevel="2" ht="12" customFormat="1" customHeight="1" s="3737">
      <c r="A131" s="4059" t="n"/>
      <c r="B131" s="4060" t="n"/>
      <c r="C131" s="4109" t="inlineStr">
        <is>
          <t>Cogs - other</t>
        </is>
      </c>
      <c r="D131" s="4093" t="n">
        <v>501141</v>
      </c>
      <c r="E131" s="4093">
        <f>CONCATENATE(D131," - ",C131)</f>
        <v/>
      </c>
      <c r="F131" s="4094" t="n"/>
      <c r="G131" s="4094" t="n"/>
      <c r="H131" s="4094" t="n"/>
      <c r="I131" s="4094" t="n"/>
      <c r="J131" s="4094" t="n"/>
      <c r="K131" s="4094" t="n"/>
      <c r="L131" s="4094" t="n"/>
      <c r="M131" s="4094" t="n"/>
      <c r="N131" s="4094" t="n"/>
      <c r="O131" s="4094" t="n"/>
      <c r="P131" s="4094" t="n"/>
      <c r="Q131" s="4095" t="n"/>
      <c r="R131" s="4094" t="n"/>
      <c r="S131" s="4094" t="n"/>
      <c r="T131" s="4094" t="n"/>
      <c r="U131" s="4094" t="n"/>
      <c r="V131" s="4094" t="n"/>
      <c r="W131" s="4094" t="n"/>
      <c r="X131" s="4094" t="n"/>
      <c r="Y131" s="4094" t="n"/>
      <c r="Z131" s="4094" t="n"/>
      <c r="AA131" s="4094" t="n"/>
      <c r="AB131" s="4094" t="n"/>
      <c r="AC131" s="4095" t="n"/>
      <c r="AD131" s="4094" t="n"/>
      <c r="AE131" s="4094" t="n"/>
      <c r="AF131" s="4094" t="n"/>
      <c r="AG131" s="4094" t="n"/>
      <c r="AH131" s="4094" t="n"/>
      <c r="AI131" s="4094" t="n"/>
      <c r="AJ131" s="4094" t="n"/>
      <c r="AK131" s="4094" t="n"/>
      <c r="AL131" s="4094" t="n"/>
      <c r="AM131" s="4094" t="n"/>
      <c r="AN131" s="4094" t="n"/>
      <c r="AO131" s="4095" t="n"/>
      <c r="AP131" s="4094" t="n">
        <v>-5.24</v>
      </c>
      <c r="AQ131" s="4094" t="n">
        <v>-5.26</v>
      </c>
      <c r="AR131" s="4094" t="n">
        <v>-5.23</v>
      </c>
      <c r="AS131" s="4094" t="n">
        <v>-5.22</v>
      </c>
      <c r="AT131" s="4094" t="n">
        <v>-5.32</v>
      </c>
      <c r="AU131" s="4096" t="n">
        <v>-5.38</v>
      </c>
      <c r="AV131" s="4094">
        <f>SUM(F131:Q131)</f>
        <v/>
      </c>
      <c r="AW131" s="4094">
        <f>SUM(R131:AC131)</f>
        <v/>
      </c>
      <c r="AX131" s="4094">
        <f>SUM(AD131:AO131)</f>
        <v/>
      </c>
      <c r="AY131" s="4094">
        <f>SUM(AH131:AS131)</f>
        <v/>
      </c>
      <c r="AZ131" s="4094">
        <f>SUM(AJ131:AU131)</f>
        <v/>
      </c>
      <c r="BA131" s="3737" t="n"/>
      <c r="BB131" s="4097">
        <f>IFERROR(F131/F$117,0)</f>
        <v/>
      </c>
      <c r="BC131" s="4097">
        <f>IFERROR(G131/G$117,0)</f>
        <v/>
      </c>
      <c r="BD131" s="4097">
        <f>IFERROR(H131/H$117,0)</f>
        <v/>
      </c>
      <c r="BE131" s="4097">
        <f>IFERROR(I131/I$117,0)</f>
        <v/>
      </c>
      <c r="BF131" s="4097">
        <f>IFERROR(J131/J$117,0)</f>
        <v/>
      </c>
      <c r="BG131" s="4097">
        <f>IFERROR(K131/K$117,0)</f>
        <v/>
      </c>
      <c r="BH131" s="4097">
        <f>IFERROR(L131/L$117,0)</f>
        <v/>
      </c>
      <c r="BI131" s="4097">
        <f>IFERROR(M131/M$117,0)</f>
        <v/>
      </c>
      <c r="BJ131" s="4097">
        <f>IFERROR(N131/N$117,0)</f>
        <v/>
      </c>
      <c r="BK131" s="4097">
        <f>IFERROR(O131/O$117,0)</f>
        <v/>
      </c>
      <c r="BL131" s="4097">
        <f>IFERROR(P131/P$117,0)</f>
        <v/>
      </c>
      <c r="BM131" s="4098">
        <f>IFERROR(Q131/Q$117,0)</f>
        <v/>
      </c>
      <c r="BN131" s="4097">
        <f>IFERROR(R131/R$117,0)</f>
        <v/>
      </c>
      <c r="BO131" s="4097">
        <f>IFERROR(S131/S$117,0)</f>
        <v/>
      </c>
      <c r="BP131" s="4097">
        <f>IFERROR(T131/T$117,0)</f>
        <v/>
      </c>
      <c r="BQ131" s="4097">
        <f>IFERROR(U131/U$117,0)</f>
        <v/>
      </c>
      <c r="BR131" s="4097">
        <f>IFERROR(V131/V$117,0)</f>
        <v/>
      </c>
      <c r="BS131" s="4097">
        <f>IFERROR(W131/W$117,0)</f>
        <v/>
      </c>
      <c r="BT131" s="4097">
        <f>IFERROR(X131/X$117,0)</f>
        <v/>
      </c>
      <c r="BU131" s="4097">
        <f>IFERROR(Y131/Y$117,0)</f>
        <v/>
      </c>
      <c r="BV131" s="4097">
        <f>IFERROR(Z131/Z$117,0)</f>
        <v/>
      </c>
      <c r="BW131" s="4097">
        <f>IFERROR(AA131/AA$117,0)</f>
        <v/>
      </c>
      <c r="BX131" s="4097">
        <f>IFERROR(AB131/AB$117,0)</f>
        <v/>
      </c>
      <c r="BY131" s="4098">
        <f>IFERROR(AC131/AC$117,0)</f>
        <v/>
      </c>
      <c r="BZ131" s="4097">
        <f>IFERROR(AD131/AD$117,0)</f>
        <v/>
      </c>
      <c r="CA131" s="4097">
        <f>IFERROR(AE131/AE$117,0)</f>
        <v/>
      </c>
      <c r="CB131" s="4097">
        <f>IFERROR(AF131/AF$117,0)</f>
        <v/>
      </c>
      <c r="CC131" s="4097">
        <f>IFERROR(AG131/AG$117,0)</f>
        <v/>
      </c>
      <c r="CD131" s="4097">
        <f>IFERROR(AH131/AH$117,0)</f>
        <v/>
      </c>
      <c r="CE131" s="4097">
        <f>IFERROR(AI131/AI$117,0)</f>
        <v/>
      </c>
      <c r="CF131" s="4097">
        <f>IFERROR(AJ131/AJ$117,0)</f>
        <v/>
      </c>
      <c r="CG131" s="4097">
        <f>IFERROR(AK131/AK$117,0)</f>
        <v/>
      </c>
      <c r="CH131" s="4097">
        <f>IFERROR(AL131/AL$117,0)</f>
        <v/>
      </c>
      <c r="CI131" s="4097">
        <f>IFERROR(AM131/AM$117,0)</f>
        <v/>
      </c>
      <c r="CJ131" s="4097">
        <f>IFERROR(AN131/AN$117,0)</f>
        <v/>
      </c>
      <c r="CK131" s="4098">
        <f>IFERROR(AO131/AO$117,0)</f>
        <v/>
      </c>
      <c r="CL131" s="4097">
        <f>IFERROR(AP131/AP$117,0)</f>
        <v/>
      </c>
      <c r="CM131" s="4097">
        <f>IFERROR(AQ131/AQ$117,0)</f>
        <v/>
      </c>
      <c r="CN131" s="4097">
        <f>IFERROR(AR131/AR$117,0)</f>
        <v/>
      </c>
      <c r="CO131" s="4097">
        <f>IFERROR(AS131/AS$117,0)</f>
        <v/>
      </c>
      <c r="CP131" s="4097">
        <f>IFERROR(AT131/AT$117,0)</f>
        <v/>
      </c>
      <c r="CQ131" s="4099">
        <f>IFERROR(AU131/AU$117,0)</f>
        <v/>
      </c>
      <c r="CR131" s="4097">
        <f>IFERROR(AV131/AV$117,0)</f>
        <v/>
      </c>
      <c r="CS131" s="4097">
        <f>IFERROR(AW131/AW$117,0)</f>
        <v/>
      </c>
      <c r="CT131" s="4097">
        <f>IFERROR(AX131/AX$117,0)</f>
        <v/>
      </c>
      <c r="CU131" s="4097">
        <f>IFERROR(AY131/AY$117,0)</f>
        <v/>
      </c>
      <c r="CV131" s="4097">
        <f>IFERROR(AZ131/AZ$117,0)</f>
        <v/>
      </c>
      <c r="CW131" s="3737" t="n"/>
      <c r="CX131" s="4094" t="n">
        <v>-112.16608</v>
      </c>
    </row>
    <row r="132" hidden="1" outlineLevel="2" ht="12" customFormat="1" customHeight="1" s="3737">
      <c r="A132" s="4059" t="n"/>
      <c r="B132" s="4060" t="n"/>
      <c r="C132" s="4109" t="inlineStr">
        <is>
          <t>Cogs - card others</t>
        </is>
      </c>
      <c r="D132" s="4093" t="n">
        <v>501456</v>
      </c>
      <c r="E132" s="4093">
        <f>CONCATENATE(D132," - ",C132)</f>
        <v/>
      </c>
      <c r="F132" s="4094" t="n"/>
      <c r="G132" s="4094" t="n"/>
      <c r="H132" s="4094" t="n"/>
      <c r="I132" s="4094" t="n"/>
      <c r="J132" s="4094" t="n"/>
      <c r="K132" s="4094" t="n"/>
      <c r="L132" s="4094" t="n"/>
      <c r="M132" s="4094" t="n"/>
      <c r="N132" s="4094" t="n"/>
      <c r="O132" s="4094" t="n"/>
      <c r="P132" s="4094" t="n"/>
      <c r="Q132" s="4095" t="n"/>
      <c r="R132" s="4094" t="n"/>
      <c r="S132" s="4094" t="n"/>
      <c r="T132" s="4094" t="n"/>
      <c r="U132" s="4094" t="n"/>
      <c r="V132" s="4094" t="n"/>
      <c r="W132" s="4094" t="n"/>
      <c r="X132" s="4094" t="n"/>
      <c r="Y132" s="4094" t="n"/>
      <c r="Z132" s="4094" t="n"/>
      <c r="AA132" s="4094" t="n"/>
      <c r="AB132" s="4094" t="n"/>
      <c r="AC132" s="4095" t="n"/>
      <c r="AD132" s="4094" t="n"/>
      <c r="AE132" s="4094" t="n"/>
      <c r="AF132" s="4094" t="n"/>
      <c r="AG132" s="4094" t="n"/>
      <c r="AH132" s="4094" t="n"/>
      <c r="AI132" s="4094" t="n"/>
      <c r="AJ132" s="4094" t="n"/>
      <c r="AK132" s="4094" t="n"/>
      <c r="AL132" s="4094" t="n"/>
      <c r="AM132" s="4094" t="n"/>
      <c r="AN132" s="4094" t="n"/>
      <c r="AO132" s="4095" t="n"/>
      <c r="AP132" s="4094" t="n">
        <v>-1.23384</v>
      </c>
      <c r="AQ132" s="4094" t="n">
        <v>-1.2684</v>
      </c>
      <c r="AR132" s="4094" t="n">
        <v>-15.49167</v>
      </c>
      <c r="AS132" s="4094" t="n">
        <v>-1.23</v>
      </c>
      <c r="AT132" s="4094" t="n">
        <v>-1.23</v>
      </c>
      <c r="AU132" s="4096" t="n">
        <v>-1.23</v>
      </c>
      <c r="AV132" s="4094">
        <f>SUM(F132:Q132)</f>
        <v/>
      </c>
      <c r="AW132" s="4094">
        <f>SUM(R132:AC132)</f>
        <v/>
      </c>
      <c r="AX132" s="4094">
        <f>SUM(AD132:AO132)</f>
        <v/>
      </c>
      <c r="AY132" s="4094">
        <f>SUM(AH132:AS132)</f>
        <v/>
      </c>
      <c r="AZ132" s="4094">
        <f>SUM(AJ132:AU132)</f>
        <v/>
      </c>
      <c r="BA132" s="3737" t="n"/>
      <c r="BB132" s="4097">
        <f>IFERROR(F132/F$117,0)</f>
        <v/>
      </c>
      <c r="BC132" s="4097">
        <f>IFERROR(G132/G$117,0)</f>
        <v/>
      </c>
      <c r="BD132" s="4097">
        <f>IFERROR(H132/H$117,0)</f>
        <v/>
      </c>
      <c r="BE132" s="4097">
        <f>IFERROR(I132/I$117,0)</f>
        <v/>
      </c>
      <c r="BF132" s="4097">
        <f>IFERROR(J132/J$117,0)</f>
        <v/>
      </c>
      <c r="BG132" s="4097">
        <f>IFERROR(K132/K$117,0)</f>
        <v/>
      </c>
      <c r="BH132" s="4097">
        <f>IFERROR(L132/L$117,0)</f>
        <v/>
      </c>
      <c r="BI132" s="4097">
        <f>IFERROR(M132/M$117,0)</f>
        <v/>
      </c>
      <c r="BJ132" s="4097">
        <f>IFERROR(N132/N$117,0)</f>
        <v/>
      </c>
      <c r="BK132" s="4097">
        <f>IFERROR(O132/O$117,0)</f>
        <v/>
      </c>
      <c r="BL132" s="4097">
        <f>IFERROR(P132/P$117,0)</f>
        <v/>
      </c>
      <c r="BM132" s="4098">
        <f>IFERROR(Q132/Q$117,0)</f>
        <v/>
      </c>
      <c r="BN132" s="4097">
        <f>IFERROR(R132/R$117,0)</f>
        <v/>
      </c>
      <c r="BO132" s="4097">
        <f>IFERROR(S132/S$117,0)</f>
        <v/>
      </c>
      <c r="BP132" s="4097">
        <f>IFERROR(T132/T$117,0)</f>
        <v/>
      </c>
      <c r="BQ132" s="4097">
        <f>IFERROR(U132/U$117,0)</f>
        <v/>
      </c>
      <c r="BR132" s="4097">
        <f>IFERROR(V132/V$117,0)</f>
        <v/>
      </c>
      <c r="BS132" s="4097">
        <f>IFERROR(W132/W$117,0)</f>
        <v/>
      </c>
      <c r="BT132" s="4097">
        <f>IFERROR(X132/X$117,0)</f>
        <v/>
      </c>
      <c r="BU132" s="4097">
        <f>IFERROR(Y132/Y$117,0)</f>
        <v/>
      </c>
      <c r="BV132" s="4097">
        <f>IFERROR(Z132/Z$117,0)</f>
        <v/>
      </c>
      <c r="BW132" s="4097">
        <f>IFERROR(AA132/AA$117,0)</f>
        <v/>
      </c>
      <c r="BX132" s="4097">
        <f>IFERROR(AB132/AB$117,0)</f>
        <v/>
      </c>
      <c r="BY132" s="4098">
        <f>IFERROR(AC132/AC$117,0)</f>
        <v/>
      </c>
      <c r="BZ132" s="4097">
        <f>IFERROR(AD132/AD$117,0)</f>
        <v/>
      </c>
      <c r="CA132" s="4097">
        <f>IFERROR(AE132/AE$117,0)</f>
        <v/>
      </c>
      <c r="CB132" s="4097">
        <f>IFERROR(AF132/AF$117,0)</f>
        <v/>
      </c>
      <c r="CC132" s="4097">
        <f>IFERROR(AG132/AG$117,0)</f>
        <v/>
      </c>
      <c r="CD132" s="4097">
        <f>IFERROR(AH132/AH$117,0)</f>
        <v/>
      </c>
      <c r="CE132" s="4097">
        <f>IFERROR(AI132/AI$117,0)</f>
        <v/>
      </c>
      <c r="CF132" s="4097">
        <f>IFERROR(AJ132/AJ$117,0)</f>
        <v/>
      </c>
      <c r="CG132" s="4097">
        <f>IFERROR(AK132/AK$117,0)</f>
        <v/>
      </c>
      <c r="CH132" s="4097">
        <f>IFERROR(AL132/AL$117,0)</f>
        <v/>
      </c>
      <c r="CI132" s="4097">
        <f>IFERROR(AM132/AM$117,0)</f>
        <v/>
      </c>
      <c r="CJ132" s="4097">
        <f>IFERROR(AN132/AN$117,0)</f>
        <v/>
      </c>
      <c r="CK132" s="4098">
        <f>IFERROR(AO132/AO$117,0)</f>
        <v/>
      </c>
      <c r="CL132" s="4097">
        <f>IFERROR(AP132/AP$117,0)</f>
        <v/>
      </c>
      <c r="CM132" s="4097">
        <f>IFERROR(AQ132/AQ$117,0)</f>
        <v/>
      </c>
      <c r="CN132" s="4097">
        <f>IFERROR(AR132/AR$117,0)</f>
        <v/>
      </c>
      <c r="CO132" s="4097">
        <f>IFERROR(AS132/AS$117,0)</f>
        <v/>
      </c>
      <c r="CP132" s="4097">
        <f>IFERROR(AT132/AT$117,0)</f>
        <v/>
      </c>
      <c r="CQ132" s="4099">
        <f>IFERROR(AU132/AU$117,0)</f>
        <v/>
      </c>
      <c r="CR132" s="4097">
        <f>IFERROR(AV132/AV$117,0)</f>
        <v/>
      </c>
      <c r="CS132" s="4097">
        <f>IFERROR(AW132/AW$117,0)</f>
        <v/>
      </c>
      <c r="CT132" s="4097">
        <f>IFERROR(AX132/AX$117,0)</f>
        <v/>
      </c>
      <c r="CU132" s="4097">
        <f>IFERROR(AY132/AY$117,0)</f>
        <v/>
      </c>
      <c r="CV132" s="4097">
        <f>IFERROR(AZ132/AZ$117,0)</f>
        <v/>
      </c>
      <c r="CW132" s="3737" t="n"/>
      <c r="CX132" s="4094" t="n">
        <v>-49.35437</v>
      </c>
    </row>
    <row r="133" hidden="1" outlineLevel="2" ht="12" customFormat="1" customHeight="1" s="3737">
      <c r="A133" s="4059" t="n"/>
      <c r="B133" s="4060" t="n"/>
      <c r="C133" s="4109" t="inlineStr">
        <is>
          <t>Cogs - oif</t>
        </is>
      </c>
      <c r="D133" s="4093" t="n">
        <v>501457</v>
      </c>
      <c r="E133" s="4093">
        <f>CONCATENATE(D133," - ",C133)</f>
        <v/>
      </c>
      <c r="F133" s="4094" t="n"/>
      <c r="G133" s="4094" t="n"/>
      <c r="H133" s="4094" t="n"/>
      <c r="I133" s="4094" t="n"/>
      <c r="J133" s="4094" t="n"/>
      <c r="K133" s="4094" t="n"/>
      <c r="L133" s="4094" t="n"/>
      <c r="M133" s="4094" t="n"/>
      <c r="N133" s="4094" t="n"/>
      <c r="O133" s="4094" t="n"/>
      <c r="P133" s="4094" t="n"/>
      <c r="Q133" s="4095" t="n"/>
      <c r="R133" s="4094" t="n"/>
      <c r="S133" s="4094" t="n"/>
      <c r="T133" s="4094" t="n"/>
      <c r="U133" s="4094" t="n"/>
      <c r="V133" s="4094" t="n"/>
      <c r="W133" s="4094" t="n"/>
      <c r="X133" s="4094" t="n"/>
      <c r="Y133" s="4094" t="n"/>
      <c r="Z133" s="4094" t="n"/>
      <c r="AA133" s="4094" t="n"/>
      <c r="AB133" s="4094" t="n"/>
      <c r="AC133" s="4095" t="n"/>
      <c r="AD133" s="4094" t="n"/>
      <c r="AE133" s="4094" t="n"/>
      <c r="AF133" s="4094" t="n"/>
      <c r="AG133" s="4094" t="n"/>
      <c r="AH133" s="4094" t="n"/>
      <c r="AI133" s="4094" t="n"/>
      <c r="AJ133" s="4094" t="n"/>
      <c r="AK133" s="4094" t="n"/>
      <c r="AL133" s="4094" t="n"/>
      <c r="AM133" s="4094" t="n"/>
      <c r="AN133" s="4094" t="n"/>
      <c r="AO133" s="4095" t="n"/>
      <c r="AP133" s="4094" t="n">
        <v>-4.2143</v>
      </c>
      <c r="AQ133" s="4094" t="n">
        <v>-4.56927</v>
      </c>
      <c r="AR133" s="4094" t="n">
        <v>-4.17623</v>
      </c>
      <c r="AS133" s="4094" t="n">
        <v>-3.79752</v>
      </c>
      <c r="AT133" s="4094" t="n">
        <v>-3.03175</v>
      </c>
      <c r="AU133" s="4096" t="n">
        <v>-2.68134</v>
      </c>
      <c r="AV133" s="4094">
        <f>SUM(F133:Q133)</f>
        <v/>
      </c>
      <c r="AW133" s="4094">
        <f>SUM(R133:AC133)</f>
        <v/>
      </c>
      <c r="AX133" s="4094">
        <f>SUM(AD133:AO133)</f>
        <v/>
      </c>
      <c r="AY133" s="4094">
        <f>SUM(AH133:AS133)</f>
        <v/>
      </c>
      <c r="AZ133" s="4094">
        <f>SUM(AJ133:AU133)</f>
        <v/>
      </c>
      <c r="BA133" s="3737" t="n"/>
      <c r="BB133" s="4097">
        <f>IFERROR(F133/F$117,0)</f>
        <v/>
      </c>
      <c r="BC133" s="4097">
        <f>IFERROR(G133/G$117,0)</f>
        <v/>
      </c>
      <c r="BD133" s="4097">
        <f>IFERROR(H133/H$117,0)</f>
        <v/>
      </c>
      <c r="BE133" s="4097">
        <f>IFERROR(I133/I$117,0)</f>
        <v/>
      </c>
      <c r="BF133" s="4097">
        <f>IFERROR(J133/J$117,0)</f>
        <v/>
      </c>
      <c r="BG133" s="4097">
        <f>IFERROR(K133/K$117,0)</f>
        <v/>
      </c>
      <c r="BH133" s="4097">
        <f>IFERROR(L133/L$117,0)</f>
        <v/>
      </c>
      <c r="BI133" s="4097">
        <f>IFERROR(M133/M$117,0)</f>
        <v/>
      </c>
      <c r="BJ133" s="4097">
        <f>IFERROR(N133/N$117,0)</f>
        <v/>
      </c>
      <c r="BK133" s="4097">
        <f>IFERROR(O133/O$117,0)</f>
        <v/>
      </c>
      <c r="BL133" s="4097">
        <f>IFERROR(P133/P$117,0)</f>
        <v/>
      </c>
      <c r="BM133" s="4098">
        <f>IFERROR(Q133/Q$117,0)</f>
        <v/>
      </c>
      <c r="BN133" s="4097">
        <f>IFERROR(R133/R$117,0)</f>
        <v/>
      </c>
      <c r="BO133" s="4097">
        <f>IFERROR(S133/S$117,0)</f>
        <v/>
      </c>
      <c r="BP133" s="4097">
        <f>IFERROR(T133/T$117,0)</f>
        <v/>
      </c>
      <c r="BQ133" s="4097">
        <f>IFERROR(U133/U$117,0)</f>
        <v/>
      </c>
      <c r="BR133" s="4097">
        <f>IFERROR(V133/V$117,0)</f>
        <v/>
      </c>
      <c r="BS133" s="4097">
        <f>IFERROR(W133/W$117,0)</f>
        <v/>
      </c>
      <c r="BT133" s="4097">
        <f>IFERROR(X133/X$117,0)</f>
        <v/>
      </c>
      <c r="BU133" s="4097">
        <f>IFERROR(Y133/Y$117,0)</f>
        <v/>
      </c>
      <c r="BV133" s="4097">
        <f>IFERROR(Z133/Z$117,0)</f>
        <v/>
      </c>
      <c r="BW133" s="4097">
        <f>IFERROR(AA133/AA$117,0)</f>
        <v/>
      </c>
      <c r="BX133" s="4097">
        <f>IFERROR(AB133/AB$117,0)</f>
        <v/>
      </c>
      <c r="BY133" s="4098">
        <f>IFERROR(AC133/AC$117,0)</f>
        <v/>
      </c>
      <c r="BZ133" s="4097">
        <f>IFERROR(AD133/AD$117,0)</f>
        <v/>
      </c>
      <c r="CA133" s="4097">
        <f>IFERROR(AE133/AE$117,0)</f>
        <v/>
      </c>
      <c r="CB133" s="4097">
        <f>IFERROR(AF133/AF$117,0)</f>
        <v/>
      </c>
      <c r="CC133" s="4097">
        <f>IFERROR(AG133/AG$117,0)</f>
        <v/>
      </c>
      <c r="CD133" s="4097">
        <f>IFERROR(AH133/AH$117,0)</f>
        <v/>
      </c>
      <c r="CE133" s="4097">
        <f>IFERROR(AI133/AI$117,0)</f>
        <v/>
      </c>
      <c r="CF133" s="4097">
        <f>IFERROR(AJ133/AJ$117,0)</f>
        <v/>
      </c>
      <c r="CG133" s="4097">
        <f>IFERROR(AK133/AK$117,0)</f>
        <v/>
      </c>
      <c r="CH133" s="4097">
        <f>IFERROR(AL133/AL$117,0)</f>
        <v/>
      </c>
      <c r="CI133" s="4097">
        <f>IFERROR(AM133/AM$117,0)</f>
        <v/>
      </c>
      <c r="CJ133" s="4097">
        <f>IFERROR(AN133/AN$117,0)</f>
        <v/>
      </c>
      <c r="CK133" s="4098">
        <f>IFERROR(AO133/AO$117,0)</f>
        <v/>
      </c>
      <c r="CL133" s="4097">
        <f>IFERROR(AP133/AP$117,0)</f>
        <v/>
      </c>
      <c r="CM133" s="4097">
        <f>IFERROR(AQ133/AQ$117,0)</f>
        <v/>
      </c>
      <c r="CN133" s="4097">
        <f>IFERROR(AR133/AR$117,0)</f>
        <v/>
      </c>
      <c r="CO133" s="4097">
        <f>IFERROR(AS133/AS$117,0)</f>
        <v/>
      </c>
      <c r="CP133" s="4097">
        <f>IFERROR(AT133/AT$117,0)</f>
        <v/>
      </c>
      <c r="CQ133" s="4099">
        <f>IFERROR(AU133/AU$117,0)</f>
        <v/>
      </c>
      <c r="CR133" s="4097">
        <f>IFERROR(AV133/AV$117,0)</f>
        <v/>
      </c>
      <c r="CS133" s="4097">
        <f>IFERROR(AW133/AW$117,0)</f>
        <v/>
      </c>
      <c r="CT133" s="4097">
        <f>IFERROR(AX133/AX$117,0)</f>
        <v/>
      </c>
      <c r="CU133" s="4097">
        <f>IFERROR(AY133/AY$117,0)</f>
        <v/>
      </c>
      <c r="CV133" s="4097">
        <f>IFERROR(AZ133/AZ$117,0)</f>
        <v/>
      </c>
      <c r="CW133" s="3737" t="n"/>
      <c r="CX133" s="4094" t="n">
        <v>-43.56846</v>
      </c>
    </row>
    <row r="134" hidden="1" outlineLevel="2" ht="12" customFormat="1" customHeight="1" s="3737">
      <c r="A134" s="4059" t="n"/>
      <c r="B134" s="4060" t="n"/>
      <c r="C134" s="4109" t="inlineStr">
        <is>
          <t>Cogs - telecom sme</t>
        </is>
      </c>
      <c r="D134" s="4093" t="n">
        <v>501134</v>
      </c>
      <c r="E134" s="4093">
        <f>CONCATENATE(D134," - ",C134)</f>
        <v/>
      </c>
      <c r="F134" s="4094" t="n"/>
      <c r="G134" s="4094" t="n"/>
      <c r="H134" s="4094" t="n"/>
      <c r="I134" s="4094" t="n"/>
      <c r="J134" s="4094" t="n"/>
      <c r="K134" s="4094" t="n"/>
      <c r="L134" s="4094" t="n"/>
      <c r="M134" s="4094" t="n"/>
      <c r="N134" s="4094" t="n"/>
      <c r="O134" s="4094" t="n"/>
      <c r="P134" s="4094" t="n"/>
      <c r="Q134" s="4095" t="n"/>
      <c r="R134" s="4094" t="n"/>
      <c r="S134" s="4094" t="n"/>
      <c r="T134" s="4094" t="n"/>
      <c r="U134" s="4094" t="n"/>
      <c r="V134" s="4094" t="n"/>
      <c r="W134" s="4094" t="n"/>
      <c r="X134" s="4094" t="n"/>
      <c r="Y134" s="4094" t="n"/>
      <c r="Z134" s="4094" t="n"/>
      <c r="AA134" s="4094" t="n"/>
      <c r="AB134" s="4094" t="n"/>
      <c r="AC134" s="4095" t="n"/>
      <c r="AD134" s="4094" t="n"/>
      <c r="AE134" s="4094" t="n"/>
      <c r="AF134" s="4094" t="n"/>
      <c r="AG134" s="4094" t="n"/>
      <c r="AH134" s="4094" t="n"/>
      <c r="AI134" s="4094" t="n"/>
      <c r="AJ134" s="4094" t="n"/>
      <c r="AK134" s="4094" t="n"/>
      <c r="AL134" s="4094" t="n"/>
      <c r="AM134" s="4094" t="n"/>
      <c r="AN134" s="4094" t="n"/>
      <c r="AO134" s="4095" t="n"/>
      <c r="AP134" s="4094" t="n">
        <v>-1.80923</v>
      </c>
      <c r="AQ134" s="4094" t="n">
        <v>-6.70995</v>
      </c>
      <c r="AR134" s="4094" t="n">
        <v>-7.70866</v>
      </c>
      <c r="AS134" s="4094" t="n">
        <v>-9.702629999999999</v>
      </c>
      <c r="AT134" s="4094" t="n">
        <v>-5.59823</v>
      </c>
      <c r="AU134" s="4096" t="n">
        <v>-5.634</v>
      </c>
      <c r="AV134" s="4094">
        <f>SUM(F134:Q134)</f>
        <v/>
      </c>
      <c r="AW134" s="4094">
        <f>SUM(R134:AC134)</f>
        <v/>
      </c>
      <c r="AX134" s="4094">
        <f>SUM(AD134:AO134)</f>
        <v/>
      </c>
      <c r="AY134" s="4094">
        <f>SUM(AH134:AS134)</f>
        <v/>
      </c>
      <c r="AZ134" s="4094">
        <f>SUM(AJ134:AU134)</f>
        <v/>
      </c>
      <c r="BA134" s="3737" t="n"/>
      <c r="BB134" s="4097">
        <f>IFERROR(F134/F$117,0)</f>
        <v/>
      </c>
      <c r="BC134" s="4097">
        <f>IFERROR(G134/G$117,0)</f>
        <v/>
      </c>
      <c r="BD134" s="4097">
        <f>IFERROR(H134/H$117,0)</f>
        <v/>
      </c>
      <c r="BE134" s="4097">
        <f>IFERROR(I134/I$117,0)</f>
        <v/>
      </c>
      <c r="BF134" s="4097">
        <f>IFERROR(J134/J$117,0)</f>
        <v/>
      </c>
      <c r="BG134" s="4097">
        <f>IFERROR(K134/K$117,0)</f>
        <v/>
      </c>
      <c r="BH134" s="4097">
        <f>IFERROR(L134/L$117,0)</f>
        <v/>
      </c>
      <c r="BI134" s="4097">
        <f>IFERROR(M134/M$117,0)</f>
        <v/>
      </c>
      <c r="BJ134" s="4097">
        <f>IFERROR(N134/N$117,0)</f>
        <v/>
      </c>
      <c r="BK134" s="4097">
        <f>IFERROR(O134/O$117,0)</f>
        <v/>
      </c>
      <c r="BL134" s="4097">
        <f>IFERROR(P134/P$117,0)</f>
        <v/>
      </c>
      <c r="BM134" s="4098">
        <f>IFERROR(Q134/Q$117,0)</f>
        <v/>
      </c>
      <c r="BN134" s="4097">
        <f>IFERROR(R134/R$117,0)</f>
        <v/>
      </c>
      <c r="BO134" s="4097">
        <f>IFERROR(S134/S$117,0)</f>
        <v/>
      </c>
      <c r="BP134" s="4097">
        <f>IFERROR(T134/T$117,0)</f>
        <v/>
      </c>
      <c r="BQ134" s="4097">
        <f>IFERROR(U134/U$117,0)</f>
        <v/>
      </c>
      <c r="BR134" s="4097">
        <f>IFERROR(V134/V$117,0)</f>
        <v/>
      </c>
      <c r="BS134" s="4097">
        <f>IFERROR(W134/W$117,0)</f>
        <v/>
      </c>
      <c r="BT134" s="4097">
        <f>IFERROR(X134/X$117,0)</f>
        <v/>
      </c>
      <c r="BU134" s="4097">
        <f>IFERROR(Y134/Y$117,0)</f>
        <v/>
      </c>
      <c r="BV134" s="4097">
        <f>IFERROR(Z134/Z$117,0)</f>
        <v/>
      </c>
      <c r="BW134" s="4097">
        <f>IFERROR(AA134/AA$117,0)</f>
        <v/>
      </c>
      <c r="BX134" s="4097">
        <f>IFERROR(AB134/AB$117,0)</f>
        <v/>
      </c>
      <c r="BY134" s="4098">
        <f>IFERROR(AC134/AC$117,0)</f>
        <v/>
      </c>
      <c r="BZ134" s="4097">
        <f>IFERROR(AD134/AD$117,0)</f>
        <v/>
      </c>
      <c r="CA134" s="4097">
        <f>IFERROR(AE134/AE$117,0)</f>
        <v/>
      </c>
      <c r="CB134" s="4097">
        <f>IFERROR(AF134/AF$117,0)</f>
        <v/>
      </c>
      <c r="CC134" s="4097">
        <f>IFERROR(AG134/AG$117,0)</f>
        <v/>
      </c>
      <c r="CD134" s="4097">
        <f>IFERROR(AH134/AH$117,0)</f>
        <v/>
      </c>
      <c r="CE134" s="4097">
        <f>IFERROR(AI134/AI$117,0)</f>
        <v/>
      </c>
      <c r="CF134" s="4097">
        <f>IFERROR(AJ134/AJ$117,0)</f>
        <v/>
      </c>
      <c r="CG134" s="4097">
        <f>IFERROR(AK134/AK$117,0)</f>
        <v/>
      </c>
      <c r="CH134" s="4097">
        <f>IFERROR(AL134/AL$117,0)</f>
        <v/>
      </c>
      <c r="CI134" s="4097">
        <f>IFERROR(AM134/AM$117,0)</f>
        <v/>
      </c>
      <c r="CJ134" s="4097">
        <f>IFERROR(AN134/AN$117,0)</f>
        <v/>
      </c>
      <c r="CK134" s="4098">
        <f>IFERROR(AO134/AO$117,0)</f>
        <v/>
      </c>
      <c r="CL134" s="4097">
        <f>IFERROR(AP134/AP$117,0)</f>
        <v/>
      </c>
      <c r="CM134" s="4097">
        <f>IFERROR(AQ134/AQ$117,0)</f>
        <v/>
      </c>
      <c r="CN134" s="4097">
        <f>IFERROR(AR134/AR$117,0)</f>
        <v/>
      </c>
      <c r="CO134" s="4097">
        <f>IFERROR(AS134/AS$117,0)</f>
        <v/>
      </c>
      <c r="CP134" s="4097">
        <f>IFERROR(AT134/AT$117,0)</f>
        <v/>
      </c>
      <c r="CQ134" s="4099">
        <f>IFERROR(AU134/AU$117,0)</f>
        <v/>
      </c>
      <c r="CR134" s="4097">
        <f>IFERROR(AV134/AV$117,0)</f>
        <v/>
      </c>
      <c r="CS134" s="4097">
        <f>IFERROR(AW134/AW$117,0)</f>
        <v/>
      </c>
      <c r="CT134" s="4097">
        <f>IFERROR(AX134/AX$117,0)</f>
        <v/>
      </c>
      <c r="CU134" s="4097">
        <f>IFERROR(AY134/AY$117,0)</f>
        <v/>
      </c>
      <c r="CV134" s="4097">
        <f>IFERROR(AZ134/AZ$117,0)</f>
        <v/>
      </c>
      <c r="CW134" s="3737" t="n"/>
      <c r="CX134" s="4094" t="n">
        <v>-39.72338</v>
      </c>
    </row>
    <row r="135" hidden="1" outlineLevel="2" ht="12" customFormat="1" customHeight="1" s="3737">
      <c r="A135" s="4059" t="n"/>
      <c r="B135" s="4060" t="n"/>
      <c r="C135" s="4109" t="inlineStr">
        <is>
          <t>Cogs - pos &amp; pin station</t>
        </is>
      </c>
      <c r="D135" s="4093" t="n">
        <v>501118</v>
      </c>
      <c r="E135" s="4093">
        <f>CONCATENATE(D135," - ",C135)</f>
        <v/>
      </c>
      <c r="F135" s="4094" t="n"/>
      <c r="G135" s="4094" t="n"/>
      <c r="H135" s="4094" t="n"/>
      <c r="I135" s="4094" t="n"/>
      <c r="J135" s="4094" t="n"/>
      <c r="K135" s="4094" t="n"/>
      <c r="L135" s="4094" t="n"/>
      <c r="M135" s="4094" t="n"/>
      <c r="N135" s="4094" t="n"/>
      <c r="O135" s="4094" t="n"/>
      <c r="P135" s="4094" t="n"/>
      <c r="Q135" s="4095" t="n"/>
      <c r="R135" s="4094" t="n"/>
      <c r="S135" s="4094" t="n"/>
      <c r="T135" s="4094" t="n"/>
      <c r="U135" s="4094" t="n"/>
      <c r="V135" s="4094" t="n"/>
      <c r="W135" s="4094" t="n"/>
      <c r="X135" s="4094" t="n"/>
      <c r="Y135" s="4094" t="n"/>
      <c r="Z135" s="4094" t="n"/>
      <c r="AA135" s="4094" t="n"/>
      <c r="AB135" s="4094" t="n"/>
      <c r="AC135" s="4095" t="n"/>
      <c r="AD135" s="4094" t="n"/>
      <c r="AE135" s="4094" t="n"/>
      <c r="AF135" s="4094" t="n"/>
      <c r="AG135" s="4094" t="n"/>
      <c r="AH135" s="4094" t="n"/>
      <c r="AI135" s="4094" t="n"/>
      <c r="AJ135" s="4094" t="n"/>
      <c r="AK135" s="4094" t="n"/>
      <c r="AL135" s="4094" t="n"/>
      <c r="AM135" s="4094" t="n"/>
      <c r="AN135" s="4094" t="n"/>
      <c r="AO135" s="4095" t="n"/>
      <c r="AP135" s="4094" t="n">
        <v>0</v>
      </c>
      <c r="AQ135" s="4094" t="n">
        <v>0</v>
      </c>
      <c r="AR135" s="4094" t="n">
        <v>0</v>
      </c>
      <c r="AS135" s="4094" t="n">
        <v>-0.68515</v>
      </c>
      <c r="AT135" s="4094" t="n">
        <v>-1.40905</v>
      </c>
      <c r="AU135" s="4096" t="n">
        <v>-16.26874</v>
      </c>
      <c r="AV135" s="4094">
        <f>SUM(F135:Q135)</f>
        <v/>
      </c>
      <c r="AW135" s="4094">
        <f>SUM(R135:AC135)</f>
        <v/>
      </c>
      <c r="AX135" s="4094">
        <f>SUM(AD135:AO135)</f>
        <v/>
      </c>
      <c r="AY135" s="4094">
        <f>SUM(AH135:AS135)</f>
        <v/>
      </c>
      <c r="AZ135" s="4094">
        <f>SUM(AJ135:AU135)</f>
        <v/>
      </c>
      <c r="BA135" s="3737" t="n"/>
      <c r="BB135" s="4097">
        <f>IFERROR(F135/F$117,0)</f>
        <v/>
      </c>
      <c r="BC135" s="4097">
        <f>IFERROR(G135/G$117,0)</f>
        <v/>
      </c>
      <c r="BD135" s="4097">
        <f>IFERROR(H135/H$117,0)</f>
        <v/>
      </c>
      <c r="BE135" s="4097">
        <f>IFERROR(I135/I$117,0)</f>
        <v/>
      </c>
      <c r="BF135" s="4097">
        <f>IFERROR(J135/J$117,0)</f>
        <v/>
      </c>
      <c r="BG135" s="4097">
        <f>IFERROR(K135/K$117,0)</f>
        <v/>
      </c>
      <c r="BH135" s="4097">
        <f>IFERROR(L135/L$117,0)</f>
        <v/>
      </c>
      <c r="BI135" s="4097">
        <f>IFERROR(M135/M$117,0)</f>
        <v/>
      </c>
      <c r="BJ135" s="4097">
        <f>IFERROR(N135/N$117,0)</f>
        <v/>
      </c>
      <c r="BK135" s="4097">
        <f>IFERROR(O135/O$117,0)</f>
        <v/>
      </c>
      <c r="BL135" s="4097">
        <f>IFERROR(P135/P$117,0)</f>
        <v/>
      </c>
      <c r="BM135" s="4098">
        <f>IFERROR(Q135/Q$117,0)</f>
        <v/>
      </c>
      <c r="BN135" s="4097">
        <f>IFERROR(R135/R$117,0)</f>
        <v/>
      </c>
      <c r="BO135" s="4097">
        <f>IFERROR(S135/S$117,0)</f>
        <v/>
      </c>
      <c r="BP135" s="4097">
        <f>IFERROR(T135/T$117,0)</f>
        <v/>
      </c>
      <c r="BQ135" s="4097">
        <f>IFERROR(U135/U$117,0)</f>
        <v/>
      </c>
      <c r="BR135" s="4097">
        <f>IFERROR(V135/V$117,0)</f>
        <v/>
      </c>
      <c r="BS135" s="4097">
        <f>IFERROR(W135/W$117,0)</f>
        <v/>
      </c>
      <c r="BT135" s="4097">
        <f>IFERROR(X135/X$117,0)</f>
        <v/>
      </c>
      <c r="BU135" s="4097">
        <f>IFERROR(Y135/Y$117,0)</f>
        <v/>
      </c>
      <c r="BV135" s="4097">
        <f>IFERROR(Z135/Z$117,0)</f>
        <v/>
      </c>
      <c r="BW135" s="4097">
        <f>IFERROR(AA135/AA$117,0)</f>
        <v/>
      </c>
      <c r="BX135" s="4097">
        <f>IFERROR(AB135/AB$117,0)</f>
        <v/>
      </c>
      <c r="BY135" s="4098">
        <f>IFERROR(AC135/AC$117,0)</f>
        <v/>
      </c>
      <c r="BZ135" s="4097">
        <f>IFERROR(AD135/AD$117,0)</f>
        <v/>
      </c>
      <c r="CA135" s="4097">
        <f>IFERROR(AE135/AE$117,0)</f>
        <v/>
      </c>
      <c r="CB135" s="4097">
        <f>IFERROR(AF135/AF$117,0)</f>
        <v/>
      </c>
      <c r="CC135" s="4097">
        <f>IFERROR(AG135/AG$117,0)</f>
        <v/>
      </c>
      <c r="CD135" s="4097">
        <f>IFERROR(AH135/AH$117,0)</f>
        <v/>
      </c>
      <c r="CE135" s="4097">
        <f>IFERROR(AI135/AI$117,0)</f>
        <v/>
      </c>
      <c r="CF135" s="4097">
        <f>IFERROR(AJ135/AJ$117,0)</f>
        <v/>
      </c>
      <c r="CG135" s="4097">
        <f>IFERROR(AK135/AK$117,0)</f>
        <v/>
      </c>
      <c r="CH135" s="4097">
        <f>IFERROR(AL135/AL$117,0)</f>
        <v/>
      </c>
      <c r="CI135" s="4097">
        <f>IFERROR(AM135/AM$117,0)</f>
        <v/>
      </c>
      <c r="CJ135" s="4097">
        <f>IFERROR(AN135/AN$117,0)</f>
        <v/>
      </c>
      <c r="CK135" s="4098">
        <f>IFERROR(AO135/AO$117,0)</f>
        <v/>
      </c>
      <c r="CL135" s="4097">
        <f>IFERROR(AP135/AP$117,0)</f>
        <v/>
      </c>
      <c r="CM135" s="4097">
        <f>IFERROR(AQ135/AQ$117,0)</f>
        <v/>
      </c>
      <c r="CN135" s="4097">
        <f>IFERROR(AR135/AR$117,0)</f>
        <v/>
      </c>
      <c r="CO135" s="4097">
        <f>IFERROR(AS135/AS$117,0)</f>
        <v/>
      </c>
      <c r="CP135" s="4097">
        <f>IFERROR(AT135/AT$117,0)</f>
        <v/>
      </c>
      <c r="CQ135" s="4099">
        <f>IFERROR(AU135/AU$117,0)</f>
        <v/>
      </c>
      <c r="CR135" s="4097">
        <f>IFERROR(AV135/AV$117,0)</f>
        <v/>
      </c>
      <c r="CS135" s="4097">
        <f>IFERROR(AW135/AW$117,0)</f>
        <v/>
      </c>
      <c r="CT135" s="4097">
        <f>IFERROR(AX135/AX$117,0)</f>
        <v/>
      </c>
      <c r="CU135" s="4097">
        <f>IFERROR(AY135/AY$117,0)</f>
        <v/>
      </c>
      <c r="CV135" s="4097">
        <f>IFERROR(AZ135/AZ$117,0)</f>
        <v/>
      </c>
      <c r="CW135" s="3737" t="n"/>
      <c r="CX135" s="4094" t="n">
        <v>-35.1391</v>
      </c>
    </row>
    <row r="136" hidden="1" outlineLevel="2" ht="12" customFormat="1" customHeight="1" s="3737">
      <c r="A136" s="4059" t="n"/>
      <c r="B136" s="4060" t="n"/>
      <c r="C136" s="4109" t="inlineStr">
        <is>
          <t>Cogs - other 3rd party costs</t>
        </is>
      </c>
      <c r="D136" s="4093" t="n">
        <v>501104</v>
      </c>
      <c r="E136" s="4093">
        <f>CONCATENATE(D136," - ",C136)</f>
        <v/>
      </c>
      <c r="F136" s="4094" t="n"/>
      <c r="G136" s="4094" t="n"/>
      <c r="H136" s="4094" t="n"/>
      <c r="I136" s="4094" t="n"/>
      <c r="J136" s="4094" t="n"/>
      <c r="K136" s="4094" t="n"/>
      <c r="L136" s="4094" t="n"/>
      <c r="M136" s="4094" t="n"/>
      <c r="N136" s="4094" t="n"/>
      <c r="O136" s="4094" t="n"/>
      <c r="P136" s="4094" t="n"/>
      <c r="Q136" s="4095" t="n"/>
      <c r="R136" s="4094" t="n"/>
      <c r="S136" s="4094" t="n"/>
      <c r="T136" s="4094" t="n"/>
      <c r="U136" s="4094" t="n"/>
      <c r="V136" s="4094" t="n"/>
      <c r="W136" s="4094" t="n"/>
      <c r="X136" s="4094" t="n"/>
      <c r="Y136" s="4094" t="n"/>
      <c r="Z136" s="4094" t="n"/>
      <c r="AA136" s="4094" t="n"/>
      <c r="AB136" s="4094" t="n"/>
      <c r="AC136" s="4095" t="n"/>
      <c r="AD136" s="4094" t="n"/>
      <c r="AE136" s="4094" t="n"/>
      <c r="AF136" s="4094" t="n"/>
      <c r="AG136" s="4094" t="n"/>
      <c r="AH136" s="4094" t="n"/>
      <c r="AI136" s="4094" t="n"/>
      <c r="AJ136" s="4094" t="n"/>
      <c r="AK136" s="4094" t="n"/>
      <c r="AL136" s="4094" t="n"/>
      <c r="AM136" s="4094" t="n"/>
      <c r="AN136" s="4094" t="n"/>
      <c r="AO136" s="4095" t="n"/>
      <c r="AP136" s="4094" t="n">
        <v>-2.17748</v>
      </c>
      <c r="AQ136" s="4094" t="n">
        <v>-1</v>
      </c>
      <c r="AR136" s="4094" t="n">
        <v>-1.67199</v>
      </c>
      <c r="AS136" s="4094" t="n">
        <v>-1.46708</v>
      </c>
      <c r="AT136" s="4094" t="n">
        <v>-1.95703</v>
      </c>
      <c r="AU136" s="4096" t="n">
        <v>-1.77456</v>
      </c>
      <c r="AV136" s="4094">
        <f>SUM(F136:Q136)</f>
        <v/>
      </c>
      <c r="AW136" s="4094">
        <f>SUM(R136:AC136)</f>
        <v/>
      </c>
      <c r="AX136" s="4094">
        <f>SUM(AD136:AO136)</f>
        <v/>
      </c>
      <c r="AY136" s="4094">
        <f>SUM(AH136:AS136)</f>
        <v/>
      </c>
      <c r="AZ136" s="4094">
        <f>SUM(AJ136:AU136)</f>
        <v/>
      </c>
      <c r="BA136" s="3737" t="n"/>
      <c r="BB136" s="4097">
        <f>IFERROR(F136/F$117,0)</f>
        <v/>
      </c>
      <c r="BC136" s="4097">
        <f>IFERROR(G136/G$117,0)</f>
        <v/>
      </c>
      <c r="BD136" s="4097">
        <f>IFERROR(H136/H$117,0)</f>
        <v/>
      </c>
      <c r="BE136" s="4097">
        <f>IFERROR(I136/I$117,0)</f>
        <v/>
      </c>
      <c r="BF136" s="4097">
        <f>IFERROR(J136/J$117,0)</f>
        <v/>
      </c>
      <c r="BG136" s="4097">
        <f>IFERROR(K136/K$117,0)</f>
        <v/>
      </c>
      <c r="BH136" s="4097">
        <f>IFERROR(L136/L$117,0)</f>
        <v/>
      </c>
      <c r="BI136" s="4097">
        <f>IFERROR(M136/M$117,0)</f>
        <v/>
      </c>
      <c r="BJ136" s="4097">
        <f>IFERROR(N136/N$117,0)</f>
        <v/>
      </c>
      <c r="BK136" s="4097">
        <f>IFERROR(O136/O$117,0)</f>
        <v/>
      </c>
      <c r="BL136" s="4097">
        <f>IFERROR(P136/P$117,0)</f>
        <v/>
      </c>
      <c r="BM136" s="4098">
        <f>IFERROR(Q136/Q$117,0)</f>
        <v/>
      </c>
      <c r="BN136" s="4097">
        <f>IFERROR(R136/R$117,0)</f>
        <v/>
      </c>
      <c r="BO136" s="4097">
        <f>IFERROR(S136/S$117,0)</f>
        <v/>
      </c>
      <c r="BP136" s="4097">
        <f>IFERROR(T136/T$117,0)</f>
        <v/>
      </c>
      <c r="BQ136" s="4097">
        <f>IFERROR(U136/U$117,0)</f>
        <v/>
      </c>
      <c r="BR136" s="4097">
        <f>IFERROR(V136/V$117,0)</f>
        <v/>
      </c>
      <c r="BS136" s="4097">
        <f>IFERROR(W136/W$117,0)</f>
        <v/>
      </c>
      <c r="BT136" s="4097">
        <f>IFERROR(X136/X$117,0)</f>
        <v/>
      </c>
      <c r="BU136" s="4097">
        <f>IFERROR(Y136/Y$117,0)</f>
        <v/>
      </c>
      <c r="BV136" s="4097">
        <f>IFERROR(Z136/Z$117,0)</f>
        <v/>
      </c>
      <c r="BW136" s="4097">
        <f>IFERROR(AA136/AA$117,0)</f>
        <v/>
      </c>
      <c r="BX136" s="4097">
        <f>IFERROR(AB136/AB$117,0)</f>
        <v/>
      </c>
      <c r="BY136" s="4098">
        <f>IFERROR(AC136/AC$117,0)</f>
        <v/>
      </c>
      <c r="BZ136" s="4097">
        <f>IFERROR(AD136/AD$117,0)</f>
        <v/>
      </c>
      <c r="CA136" s="4097">
        <f>IFERROR(AE136/AE$117,0)</f>
        <v/>
      </c>
      <c r="CB136" s="4097">
        <f>IFERROR(AF136/AF$117,0)</f>
        <v/>
      </c>
      <c r="CC136" s="4097">
        <f>IFERROR(AG136/AG$117,0)</f>
        <v/>
      </c>
      <c r="CD136" s="4097">
        <f>IFERROR(AH136/AH$117,0)</f>
        <v/>
      </c>
      <c r="CE136" s="4097">
        <f>IFERROR(AI136/AI$117,0)</f>
        <v/>
      </c>
      <c r="CF136" s="4097">
        <f>IFERROR(AJ136/AJ$117,0)</f>
        <v/>
      </c>
      <c r="CG136" s="4097">
        <f>IFERROR(AK136/AK$117,0)</f>
        <v/>
      </c>
      <c r="CH136" s="4097">
        <f>IFERROR(AL136/AL$117,0)</f>
        <v/>
      </c>
      <c r="CI136" s="4097">
        <f>IFERROR(AM136/AM$117,0)</f>
        <v/>
      </c>
      <c r="CJ136" s="4097">
        <f>IFERROR(AN136/AN$117,0)</f>
        <v/>
      </c>
      <c r="CK136" s="4098">
        <f>IFERROR(AO136/AO$117,0)</f>
        <v/>
      </c>
      <c r="CL136" s="4097">
        <f>IFERROR(AP136/AP$117,0)</f>
        <v/>
      </c>
      <c r="CM136" s="4097">
        <f>IFERROR(AQ136/AQ$117,0)</f>
        <v/>
      </c>
      <c r="CN136" s="4097">
        <f>IFERROR(AR136/AR$117,0)</f>
        <v/>
      </c>
      <c r="CO136" s="4097">
        <f>IFERROR(AS136/AS$117,0)</f>
        <v/>
      </c>
      <c r="CP136" s="4097">
        <f>IFERROR(AT136/AT$117,0)</f>
        <v/>
      </c>
      <c r="CQ136" s="4099">
        <f>IFERROR(AU136/AU$117,0)</f>
        <v/>
      </c>
      <c r="CR136" s="4097">
        <f>IFERROR(AV136/AV$117,0)</f>
        <v/>
      </c>
      <c r="CS136" s="4097">
        <f>IFERROR(AW136/AW$117,0)</f>
        <v/>
      </c>
      <c r="CT136" s="4097">
        <f>IFERROR(AX136/AX$117,0)</f>
        <v/>
      </c>
      <c r="CU136" s="4097">
        <f>IFERROR(AY136/AY$117,0)</f>
        <v/>
      </c>
      <c r="CV136" s="4097">
        <f>IFERROR(AZ136/AZ$117,0)</f>
        <v/>
      </c>
      <c r="CW136" s="3737" t="n"/>
      <c r="CX136" s="4094" t="n">
        <v>-9.038550000000001</v>
      </c>
    </row>
    <row r="137" hidden="1" outlineLevel="2" ht="12" customFormat="1" customHeight="1" s="3737">
      <c r="A137" s="4059" t="n"/>
      <c r="B137" s="4060" t="n"/>
      <c r="C137" s="4109" t="inlineStr">
        <is>
          <t>Cogs - vda program/project fee (visa)</t>
        </is>
      </c>
      <c r="D137" s="4093" t="n">
        <v>501486</v>
      </c>
      <c r="E137" s="4093">
        <f>CONCATENATE(D137," - ",C137)</f>
        <v/>
      </c>
      <c r="F137" s="4094" t="n"/>
      <c r="G137" s="4094" t="n"/>
      <c r="H137" s="4094" t="n"/>
      <c r="I137" s="4094" t="n"/>
      <c r="J137" s="4094" t="n"/>
      <c r="K137" s="4094" t="n"/>
      <c r="L137" s="4094" t="n"/>
      <c r="M137" s="4094" t="n"/>
      <c r="N137" s="4094" t="n"/>
      <c r="O137" s="4094" t="n"/>
      <c r="P137" s="4094" t="n"/>
      <c r="Q137" s="4095" t="n"/>
      <c r="R137" s="4094" t="n"/>
      <c r="S137" s="4094" t="n"/>
      <c r="T137" s="4094" t="n"/>
      <c r="U137" s="4094" t="n"/>
      <c r="V137" s="4094" t="n"/>
      <c r="W137" s="4094" t="n"/>
      <c r="X137" s="4094" t="n"/>
      <c r="Y137" s="4094" t="n"/>
      <c r="Z137" s="4094" t="n"/>
      <c r="AA137" s="4094" t="n"/>
      <c r="AB137" s="4094" t="n"/>
      <c r="AC137" s="4095" t="n"/>
      <c r="AD137" s="4094" t="n"/>
      <c r="AE137" s="4094" t="n"/>
      <c r="AF137" s="4094" t="n"/>
      <c r="AG137" s="4094" t="n"/>
      <c r="AH137" s="4094" t="n"/>
      <c r="AI137" s="4094" t="n"/>
      <c r="AJ137" s="4094" t="n"/>
      <c r="AK137" s="4094" t="n"/>
      <c r="AL137" s="4094" t="n"/>
      <c r="AM137" s="4094" t="n"/>
      <c r="AN137" s="4094" t="n"/>
      <c r="AO137" s="4095" t="n"/>
      <c r="AP137" s="4094" t="n">
        <v>-1.1</v>
      </c>
      <c r="AQ137" s="4094" t="n">
        <v>-1.1</v>
      </c>
      <c r="AR137" s="4094" t="n">
        <v>-0.97678</v>
      </c>
      <c r="AS137" s="4094" t="n">
        <v>-1.04104</v>
      </c>
      <c r="AT137" s="4094" t="n">
        <v>-0.0746</v>
      </c>
      <c r="AU137" s="4096" t="n">
        <v>-1.14487</v>
      </c>
      <c r="AV137" s="4094">
        <f>SUM(F137:Q137)</f>
        <v/>
      </c>
      <c r="AW137" s="4094">
        <f>SUM(R137:AC137)</f>
        <v/>
      </c>
      <c r="AX137" s="4094">
        <f>SUM(AD137:AO137)</f>
        <v/>
      </c>
      <c r="AY137" s="4094">
        <f>SUM(AH137:AS137)</f>
        <v/>
      </c>
      <c r="AZ137" s="4094">
        <f>SUM(AJ137:AU137)</f>
        <v/>
      </c>
      <c r="BA137" s="3737" t="n"/>
      <c r="BB137" s="4097">
        <f>IFERROR(F137/F$117,0)</f>
        <v/>
      </c>
      <c r="BC137" s="4097">
        <f>IFERROR(G137/G$117,0)</f>
        <v/>
      </c>
      <c r="BD137" s="4097">
        <f>IFERROR(H137/H$117,0)</f>
        <v/>
      </c>
      <c r="BE137" s="4097">
        <f>IFERROR(I137/I$117,0)</f>
        <v/>
      </c>
      <c r="BF137" s="4097">
        <f>IFERROR(J137/J$117,0)</f>
        <v/>
      </c>
      <c r="BG137" s="4097">
        <f>IFERROR(K137/K$117,0)</f>
        <v/>
      </c>
      <c r="BH137" s="4097">
        <f>IFERROR(L137/L$117,0)</f>
        <v/>
      </c>
      <c r="BI137" s="4097">
        <f>IFERROR(M137/M$117,0)</f>
        <v/>
      </c>
      <c r="BJ137" s="4097">
        <f>IFERROR(N137/N$117,0)</f>
        <v/>
      </c>
      <c r="BK137" s="4097">
        <f>IFERROR(O137/O$117,0)</f>
        <v/>
      </c>
      <c r="BL137" s="4097">
        <f>IFERROR(P137/P$117,0)</f>
        <v/>
      </c>
      <c r="BM137" s="4098">
        <f>IFERROR(Q137/Q$117,0)</f>
        <v/>
      </c>
      <c r="BN137" s="4097">
        <f>IFERROR(R137/R$117,0)</f>
        <v/>
      </c>
      <c r="BO137" s="4097">
        <f>IFERROR(S137/S$117,0)</f>
        <v/>
      </c>
      <c r="BP137" s="4097">
        <f>IFERROR(T137/T$117,0)</f>
        <v/>
      </c>
      <c r="BQ137" s="4097">
        <f>IFERROR(U137/U$117,0)</f>
        <v/>
      </c>
      <c r="BR137" s="4097">
        <f>IFERROR(V137/V$117,0)</f>
        <v/>
      </c>
      <c r="BS137" s="4097">
        <f>IFERROR(W137/W$117,0)</f>
        <v/>
      </c>
      <c r="BT137" s="4097">
        <f>IFERROR(X137/X$117,0)</f>
        <v/>
      </c>
      <c r="BU137" s="4097">
        <f>IFERROR(Y137/Y$117,0)</f>
        <v/>
      </c>
      <c r="BV137" s="4097">
        <f>IFERROR(Z137/Z$117,0)</f>
        <v/>
      </c>
      <c r="BW137" s="4097">
        <f>IFERROR(AA137/AA$117,0)</f>
        <v/>
      </c>
      <c r="BX137" s="4097">
        <f>IFERROR(AB137/AB$117,0)</f>
        <v/>
      </c>
      <c r="BY137" s="4098">
        <f>IFERROR(AC137/AC$117,0)</f>
        <v/>
      </c>
      <c r="BZ137" s="4097">
        <f>IFERROR(AD137/AD$117,0)</f>
        <v/>
      </c>
      <c r="CA137" s="4097">
        <f>IFERROR(AE137/AE$117,0)</f>
        <v/>
      </c>
      <c r="CB137" s="4097">
        <f>IFERROR(AF137/AF$117,0)</f>
        <v/>
      </c>
      <c r="CC137" s="4097">
        <f>IFERROR(AG137/AG$117,0)</f>
        <v/>
      </c>
      <c r="CD137" s="4097">
        <f>IFERROR(AH137/AH$117,0)</f>
        <v/>
      </c>
      <c r="CE137" s="4097">
        <f>IFERROR(AI137/AI$117,0)</f>
        <v/>
      </c>
      <c r="CF137" s="4097">
        <f>IFERROR(AJ137/AJ$117,0)</f>
        <v/>
      </c>
      <c r="CG137" s="4097">
        <f>IFERROR(AK137/AK$117,0)</f>
        <v/>
      </c>
      <c r="CH137" s="4097">
        <f>IFERROR(AL137/AL$117,0)</f>
        <v/>
      </c>
      <c r="CI137" s="4097">
        <f>IFERROR(AM137/AM$117,0)</f>
        <v/>
      </c>
      <c r="CJ137" s="4097">
        <f>IFERROR(AN137/AN$117,0)</f>
        <v/>
      </c>
      <c r="CK137" s="4098">
        <f>IFERROR(AO137/AO$117,0)</f>
        <v/>
      </c>
      <c r="CL137" s="4097">
        <f>IFERROR(AP137/AP$117,0)</f>
        <v/>
      </c>
      <c r="CM137" s="4097">
        <f>IFERROR(AQ137/AQ$117,0)</f>
        <v/>
      </c>
      <c r="CN137" s="4097">
        <f>IFERROR(AR137/AR$117,0)</f>
        <v/>
      </c>
      <c r="CO137" s="4097">
        <f>IFERROR(AS137/AS$117,0)</f>
        <v/>
      </c>
      <c r="CP137" s="4097">
        <f>IFERROR(AT137/AT$117,0)</f>
        <v/>
      </c>
      <c r="CQ137" s="4099">
        <f>IFERROR(AU137/AU$117,0)</f>
        <v/>
      </c>
      <c r="CR137" s="4097">
        <f>IFERROR(AV137/AV$117,0)</f>
        <v/>
      </c>
      <c r="CS137" s="4097">
        <f>IFERROR(AW137/AW$117,0)</f>
        <v/>
      </c>
      <c r="CT137" s="4097">
        <f>IFERROR(AX137/AX$117,0)</f>
        <v/>
      </c>
      <c r="CU137" s="4097">
        <f>IFERROR(AY137/AY$117,0)</f>
        <v/>
      </c>
      <c r="CV137" s="4097">
        <f>IFERROR(AZ137/AZ$117,0)</f>
        <v/>
      </c>
      <c r="CW137" s="3737" t="n"/>
      <c r="CX137" s="4094" t="n">
        <v>0</v>
      </c>
    </row>
    <row r="138" hidden="1" outlineLevel="2" ht="12" customFormat="1" customHeight="1" s="3737">
      <c r="A138" s="4059" t="n"/>
      <c r="B138" s="4060" t="n"/>
      <c r="C138" s="4109" t="inlineStr">
        <is>
          <t>Cogs - dma fixed fee ( share)</t>
        </is>
      </c>
      <c r="D138" s="4093" t="n">
        <v>501484</v>
      </c>
      <c r="E138" s="4093">
        <f>CONCATENATE(D138," - ",C138)</f>
        <v/>
      </c>
      <c r="F138" s="4094" t="n"/>
      <c r="G138" s="4094" t="n"/>
      <c r="H138" s="4094" t="n"/>
      <c r="I138" s="4094" t="n"/>
      <c r="J138" s="4094" t="n"/>
      <c r="K138" s="4094" t="n"/>
      <c r="L138" s="4094" t="n"/>
      <c r="M138" s="4094" t="n"/>
      <c r="N138" s="4094" t="n"/>
      <c r="O138" s="4094" t="n"/>
      <c r="P138" s="4094" t="n"/>
      <c r="Q138" s="4095" t="n"/>
      <c r="R138" s="4094" t="n"/>
      <c r="S138" s="4094" t="n"/>
      <c r="T138" s="4094" t="n"/>
      <c r="U138" s="4094" t="n"/>
      <c r="V138" s="4094" t="n"/>
      <c r="W138" s="4094" t="n"/>
      <c r="X138" s="4094" t="n"/>
      <c r="Y138" s="4094" t="n"/>
      <c r="Z138" s="4094" t="n"/>
      <c r="AA138" s="4094" t="n"/>
      <c r="AB138" s="4094" t="n"/>
      <c r="AC138" s="4095" t="n"/>
      <c r="AD138" s="4094" t="n"/>
      <c r="AE138" s="4094" t="n"/>
      <c r="AF138" s="4094" t="n"/>
      <c r="AG138" s="4094" t="n"/>
      <c r="AH138" s="4094" t="n"/>
      <c r="AI138" s="4094" t="n"/>
      <c r="AJ138" s="4094" t="n"/>
      <c r="AK138" s="4094" t="n"/>
      <c r="AL138" s="4094" t="n"/>
      <c r="AM138" s="4094" t="n"/>
      <c r="AN138" s="4094" t="n"/>
      <c r="AO138" s="4095" t="n"/>
      <c r="AP138" s="4094" t="n">
        <v>-0.25418</v>
      </c>
      <c r="AQ138" s="4094" t="n">
        <v>-0.17</v>
      </c>
      <c r="AR138" s="4094" t="n">
        <v>-0.12072</v>
      </c>
      <c r="AS138" s="4094" t="n">
        <v>-0.11699</v>
      </c>
      <c r="AT138" s="4094" t="n">
        <v>-0.07049999999999999</v>
      </c>
      <c r="AU138" s="4096" t="n">
        <v>-0.14319</v>
      </c>
      <c r="AV138" s="4094">
        <f>SUM(F138:Q138)</f>
        <v/>
      </c>
      <c r="AW138" s="4094">
        <f>SUM(R138:AC138)</f>
        <v/>
      </c>
      <c r="AX138" s="4094">
        <f>SUM(AD138:AO138)</f>
        <v/>
      </c>
      <c r="AY138" s="4094">
        <f>SUM(AH138:AS138)</f>
        <v/>
      </c>
      <c r="AZ138" s="4094">
        <f>SUM(AJ138:AU138)</f>
        <v/>
      </c>
      <c r="BA138" s="3737" t="n"/>
      <c r="BB138" s="4097">
        <f>IFERROR(F138/F$117,0)</f>
        <v/>
      </c>
      <c r="BC138" s="4097">
        <f>IFERROR(G138/G$117,0)</f>
        <v/>
      </c>
      <c r="BD138" s="4097">
        <f>IFERROR(H138/H$117,0)</f>
        <v/>
      </c>
      <c r="BE138" s="4097">
        <f>IFERROR(I138/I$117,0)</f>
        <v/>
      </c>
      <c r="BF138" s="4097">
        <f>IFERROR(J138/J$117,0)</f>
        <v/>
      </c>
      <c r="BG138" s="4097">
        <f>IFERROR(K138/K$117,0)</f>
        <v/>
      </c>
      <c r="BH138" s="4097">
        <f>IFERROR(L138/L$117,0)</f>
        <v/>
      </c>
      <c r="BI138" s="4097">
        <f>IFERROR(M138/M$117,0)</f>
        <v/>
      </c>
      <c r="BJ138" s="4097">
        <f>IFERROR(N138/N$117,0)</f>
        <v/>
      </c>
      <c r="BK138" s="4097">
        <f>IFERROR(O138/O$117,0)</f>
        <v/>
      </c>
      <c r="BL138" s="4097">
        <f>IFERROR(P138/P$117,0)</f>
        <v/>
      </c>
      <c r="BM138" s="4098">
        <f>IFERROR(Q138/Q$117,0)</f>
        <v/>
      </c>
      <c r="BN138" s="4097">
        <f>IFERROR(R138/R$117,0)</f>
        <v/>
      </c>
      <c r="BO138" s="4097">
        <f>IFERROR(S138/S$117,0)</f>
        <v/>
      </c>
      <c r="BP138" s="4097">
        <f>IFERROR(T138/T$117,0)</f>
        <v/>
      </c>
      <c r="BQ138" s="4097">
        <f>IFERROR(U138/U$117,0)</f>
        <v/>
      </c>
      <c r="BR138" s="4097">
        <f>IFERROR(V138/V$117,0)</f>
        <v/>
      </c>
      <c r="BS138" s="4097">
        <f>IFERROR(W138/W$117,0)</f>
        <v/>
      </c>
      <c r="BT138" s="4097">
        <f>IFERROR(X138/X$117,0)</f>
        <v/>
      </c>
      <c r="BU138" s="4097">
        <f>IFERROR(Y138/Y$117,0)</f>
        <v/>
      </c>
      <c r="BV138" s="4097">
        <f>IFERROR(Z138/Z$117,0)</f>
        <v/>
      </c>
      <c r="BW138" s="4097">
        <f>IFERROR(AA138/AA$117,0)</f>
        <v/>
      </c>
      <c r="BX138" s="4097">
        <f>IFERROR(AB138/AB$117,0)</f>
        <v/>
      </c>
      <c r="BY138" s="4098">
        <f>IFERROR(AC138/AC$117,0)</f>
        <v/>
      </c>
      <c r="BZ138" s="4097">
        <f>IFERROR(AD138/AD$117,0)</f>
        <v/>
      </c>
      <c r="CA138" s="4097">
        <f>IFERROR(AE138/AE$117,0)</f>
        <v/>
      </c>
      <c r="CB138" s="4097">
        <f>IFERROR(AF138/AF$117,0)</f>
        <v/>
      </c>
      <c r="CC138" s="4097">
        <f>IFERROR(AG138/AG$117,0)</f>
        <v/>
      </c>
      <c r="CD138" s="4097">
        <f>IFERROR(AH138/AH$117,0)</f>
        <v/>
      </c>
      <c r="CE138" s="4097">
        <f>IFERROR(AI138/AI$117,0)</f>
        <v/>
      </c>
      <c r="CF138" s="4097">
        <f>IFERROR(AJ138/AJ$117,0)</f>
        <v/>
      </c>
      <c r="CG138" s="4097">
        <f>IFERROR(AK138/AK$117,0)</f>
        <v/>
      </c>
      <c r="CH138" s="4097">
        <f>IFERROR(AL138/AL$117,0)</f>
        <v/>
      </c>
      <c r="CI138" s="4097">
        <f>IFERROR(AM138/AM$117,0)</f>
        <v/>
      </c>
      <c r="CJ138" s="4097">
        <f>IFERROR(AN138/AN$117,0)</f>
        <v/>
      </c>
      <c r="CK138" s="4098">
        <f>IFERROR(AO138/AO$117,0)</f>
        <v/>
      </c>
      <c r="CL138" s="4097">
        <f>IFERROR(AP138/AP$117,0)</f>
        <v/>
      </c>
      <c r="CM138" s="4097">
        <f>IFERROR(AQ138/AQ$117,0)</f>
        <v/>
      </c>
      <c r="CN138" s="4097">
        <f>IFERROR(AR138/AR$117,0)</f>
        <v/>
      </c>
      <c r="CO138" s="4097">
        <f>IFERROR(AS138/AS$117,0)</f>
        <v/>
      </c>
      <c r="CP138" s="4097">
        <f>IFERROR(AT138/AT$117,0)</f>
        <v/>
      </c>
      <c r="CQ138" s="4099">
        <f>IFERROR(AU138/AU$117,0)</f>
        <v/>
      </c>
      <c r="CR138" s="4097">
        <f>IFERROR(AV138/AV$117,0)</f>
        <v/>
      </c>
      <c r="CS138" s="4097">
        <f>IFERROR(AW138/AW$117,0)</f>
        <v/>
      </c>
      <c r="CT138" s="4097">
        <f>IFERROR(AX138/AX$117,0)</f>
        <v/>
      </c>
      <c r="CU138" s="4097">
        <f>IFERROR(AY138/AY$117,0)</f>
        <v/>
      </c>
      <c r="CV138" s="4097">
        <f>IFERROR(AZ138/AZ$117,0)</f>
        <v/>
      </c>
      <c r="CW138" s="3737" t="n"/>
      <c r="CX138" s="4094" t="n">
        <v>0</v>
      </c>
    </row>
    <row r="139" hidden="1" outlineLevel="2" ht="12" customFormat="1" customHeight="1" s="3737">
      <c r="A139" s="4059" t="n"/>
      <c r="B139" s="4060" t="n"/>
      <c r="C139" s="4109" t="inlineStr">
        <is>
          <t>Cogs - visa vap one-time fee</t>
        </is>
      </c>
      <c r="D139" s="4093" t="n">
        <v>501467</v>
      </c>
      <c r="E139" s="4093">
        <f>CONCATENATE(D139," - ",C139)</f>
        <v/>
      </c>
      <c r="F139" s="4094" t="n"/>
      <c r="G139" s="4094" t="n"/>
      <c r="H139" s="4094" t="n"/>
      <c r="I139" s="4094" t="n"/>
      <c r="J139" s="4094" t="n"/>
      <c r="K139" s="4094" t="n"/>
      <c r="L139" s="4094" t="n"/>
      <c r="M139" s="4094" t="n"/>
      <c r="N139" s="4094" t="n"/>
      <c r="O139" s="4094" t="n"/>
      <c r="P139" s="4094" t="n"/>
      <c r="Q139" s="4095" t="n"/>
      <c r="R139" s="4094" t="n"/>
      <c r="S139" s="4094" t="n"/>
      <c r="T139" s="4094" t="n"/>
      <c r="U139" s="4094" t="n"/>
      <c r="V139" s="4094" t="n"/>
      <c r="W139" s="4094" t="n"/>
      <c r="X139" s="4094" t="n"/>
      <c r="Y139" s="4094" t="n"/>
      <c r="Z139" s="4094" t="n"/>
      <c r="AA139" s="4094" t="n"/>
      <c r="AB139" s="4094" t="n"/>
      <c r="AC139" s="4095" t="n"/>
      <c r="AD139" s="4094" t="n"/>
      <c r="AE139" s="4094" t="n"/>
      <c r="AF139" s="4094" t="n"/>
      <c r="AG139" s="4094" t="n"/>
      <c r="AH139" s="4094" t="n"/>
      <c r="AI139" s="4094" t="n"/>
      <c r="AJ139" s="4094" t="n"/>
      <c r="AK139" s="4094" t="n"/>
      <c r="AL139" s="4094" t="n"/>
      <c r="AM139" s="4094" t="n"/>
      <c r="AN139" s="4094" t="n"/>
      <c r="AO139" s="4095" t="n"/>
      <c r="AP139" s="4094" t="n">
        <v>-1.17362</v>
      </c>
      <c r="AQ139" s="4094" t="n">
        <v>0</v>
      </c>
      <c r="AR139" s="4094" t="n">
        <v>0</v>
      </c>
      <c r="AS139" s="4094" t="n">
        <v>0</v>
      </c>
      <c r="AT139" s="4094" t="n">
        <v>0</v>
      </c>
      <c r="AU139" s="4096" t="n">
        <v>0</v>
      </c>
      <c r="AV139" s="4094">
        <f>SUM(F139:Q139)</f>
        <v/>
      </c>
      <c r="AW139" s="4094">
        <f>SUM(R139:AC139)</f>
        <v/>
      </c>
      <c r="AX139" s="4094">
        <f>SUM(AD139:AO139)</f>
        <v/>
      </c>
      <c r="AY139" s="4094">
        <f>SUM(AH139:AS139)</f>
        <v/>
      </c>
      <c r="AZ139" s="4094">
        <f>SUM(AJ139:AU139)</f>
        <v/>
      </c>
      <c r="BA139" s="3737" t="n"/>
      <c r="BB139" s="4097">
        <f>IFERROR(F139/F$117,0)</f>
        <v/>
      </c>
      <c r="BC139" s="4097">
        <f>IFERROR(G139/G$117,0)</f>
        <v/>
      </c>
      <c r="BD139" s="4097">
        <f>IFERROR(H139/H$117,0)</f>
        <v/>
      </c>
      <c r="BE139" s="4097">
        <f>IFERROR(I139/I$117,0)</f>
        <v/>
      </c>
      <c r="BF139" s="4097">
        <f>IFERROR(J139/J$117,0)</f>
        <v/>
      </c>
      <c r="BG139" s="4097">
        <f>IFERROR(K139/K$117,0)</f>
        <v/>
      </c>
      <c r="BH139" s="4097">
        <f>IFERROR(L139/L$117,0)</f>
        <v/>
      </c>
      <c r="BI139" s="4097">
        <f>IFERROR(M139/M$117,0)</f>
        <v/>
      </c>
      <c r="BJ139" s="4097">
        <f>IFERROR(N139/N$117,0)</f>
        <v/>
      </c>
      <c r="BK139" s="4097">
        <f>IFERROR(O139/O$117,0)</f>
        <v/>
      </c>
      <c r="BL139" s="4097">
        <f>IFERROR(P139/P$117,0)</f>
        <v/>
      </c>
      <c r="BM139" s="4098">
        <f>IFERROR(Q139/Q$117,0)</f>
        <v/>
      </c>
      <c r="BN139" s="4097">
        <f>IFERROR(R139/R$117,0)</f>
        <v/>
      </c>
      <c r="BO139" s="4097">
        <f>IFERROR(S139/S$117,0)</f>
        <v/>
      </c>
      <c r="BP139" s="4097">
        <f>IFERROR(T139/T$117,0)</f>
        <v/>
      </c>
      <c r="BQ139" s="4097">
        <f>IFERROR(U139/U$117,0)</f>
        <v/>
      </c>
      <c r="BR139" s="4097">
        <f>IFERROR(V139/V$117,0)</f>
        <v/>
      </c>
      <c r="BS139" s="4097">
        <f>IFERROR(W139/W$117,0)</f>
        <v/>
      </c>
      <c r="BT139" s="4097">
        <f>IFERROR(X139/X$117,0)</f>
        <v/>
      </c>
      <c r="BU139" s="4097">
        <f>IFERROR(Y139/Y$117,0)</f>
        <v/>
      </c>
      <c r="BV139" s="4097">
        <f>IFERROR(Z139/Z$117,0)</f>
        <v/>
      </c>
      <c r="BW139" s="4097">
        <f>IFERROR(AA139/AA$117,0)</f>
        <v/>
      </c>
      <c r="BX139" s="4097">
        <f>IFERROR(AB139/AB$117,0)</f>
        <v/>
      </c>
      <c r="BY139" s="4098">
        <f>IFERROR(AC139/AC$117,0)</f>
        <v/>
      </c>
      <c r="BZ139" s="4097">
        <f>IFERROR(AD139/AD$117,0)</f>
        <v/>
      </c>
      <c r="CA139" s="4097">
        <f>IFERROR(AE139/AE$117,0)</f>
        <v/>
      </c>
      <c r="CB139" s="4097">
        <f>IFERROR(AF139/AF$117,0)</f>
        <v/>
      </c>
      <c r="CC139" s="4097">
        <f>IFERROR(AG139/AG$117,0)</f>
        <v/>
      </c>
      <c r="CD139" s="4097">
        <f>IFERROR(AH139/AH$117,0)</f>
        <v/>
      </c>
      <c r="CE139" s="4097">
        <f>IFERROR(AI139/AI$117,0)</f>
        <v/>
      </c>
      <c r="CF139" s="4097">
        <f>IFERROR(AJ139/AJ$117,0)</f>
        <v/>
      </c>
      <c r="CG139" s="4097">
        <f>IFERROR(AK139/AK$117,0)</f>
        <v/>
      </c>
      <c r="CH139" s="4097">
        <f>IFERROR(AL139/AL$117,0)</f>
        <v/>
      </c>
      <c r="CI139" s="4097">
        <f>IFERROR(AM139/AM$117,0)</f>
        <v/>
      </c>
      <c r="CJ139" s="4097">
        <f>IFERROR(AN139/AN$117,0)</f>
        <v/>
      </c>
      <c r="CK139" s="4098">
        <f>IFERROR(AO139/AO$117,0)</f>
        <v/>
      </c>
      <c r="CL139" s="4097">
        <f>IFERROR(AP139/AP$117,0)</f>
        <v/>
      </c>
      <c r="CM139" s="4097">
        <f>IFERROR(AQ139/AQ$117,0)</f>
        <v/>
      </c>
      <c r="CN139" s="4097">
        <f>IFERROR(AR139/AR$117,0)</f>
        <v/>
      </c>
      <c r="CO139" s="4097">
        <f>IFERROR(AS139/AS$117,0)</f>
        <v/>
      </c>
      <c r="CP139" s="4097">
        <f>IFERROR(AT139/AT$117,0)</f>
        <v/>
      </c>
      <c r="CQ139" s="4099">
        <f>IFERROR(AU139/AU$117,0)</f>
        <v/>
      </c>
      <c r="CR139" s="4097">
        <f>IFERROR(AV139/AV$117,0)</f>
        <v/>
      </c>
      <c r="CS139" s="4097">
        <f>IFERROR(AW139/AW$117,0)</f>
        <v/>
      </c>
      <c r="CT139" s="4097">
        <f>IFERROR(AX139/AX$117,0)</f>
        <v/>
      </c>
      <c r="CU139" s="4097">
        <f>IFERROR(AY139/AY$117,0)</f>
        <v/>
      </c>
      <c r="CV139" s="4097">
        <f>IFERROR(AZ139/AZ$117,0)</f>
        <v/>
      </c>
      <c r="CW139" s="3737" t="n"/>
      <c r="CX139" s="4094" t="n">
        <v>-16.86873</v>
      </c>
    </row>
    <row r="140" hidden="1" outlineLevel="2" ht="12" customFormat="1" customHeight="1" s="3737">
      <c r="A140" s="4059" t="n"/>
      <c r="B140" s="4060" t="n"/>
      <c r="C140" s="4109" t="inlineStr">
        <is>
          <t>Cogs - atm others</t>
        </is>
      </c>
      <c r="D140" s="4093" t="n">
        <v>501456</v>
      </c>
      <c r="E140" s="4093">
        <f>CONCATENATE(D140," - ",C140)</f>
        <v/>
      </c>
      <c r="F140" s="4094" t="n"/>
      <c r="G140" s="4094" t="n"/>
      <c r="H140" s="4094" t="n"/>
      <c r="I140" s="4094" t="n"/>
      <c r="J140" s="4094" t="n"/>
      <c r="K140" s="4094" t="n"/>
      <c r="L140" s="4094" t="n"/>
      <c r="M140" s="4094" t="n"/>
      <c r="N140" s="4094" t="n"/>
      <c r="O140" s="4094" t="n"/>
      <c r="P140" s="4094" t="n"/>
      <c r="Q140" s="4095" t="n"/>
      <c r="R140" s="4094" t="n"/>
      <c r="S140" s="4094" t="n"/>
      <c r="T140" s="4094" t="n"/>
      <c r="U140" s="4094" t="n"/>
      <c r="V140" s="4094" t="n"/>
      <c r="W140" s="4094" t="n"/>
      <c r="X140" s="4094" t="n"/>
      <c r="Y140" s="4094" t="n"/>
      <c r="Z140" s="4094" t="n"/>
      <c r="AA140" s="4094" t="n"/>
      <c r="AB140" s="4094" t="n"/>
      <c r="AC140" s="4095" t="n"/>
      <c r="AD140" s="4094" t="n"/>
      <c r="AE140" s="4094" t="n"/>
      <c r="AF140" s="4094" t="n"/>
      <c r="AG140" s="4094" t="n"/>
      <c r="AH140" s="4094" t="n"/>
      <c r="AI140" s="4094" t="n"/>
      <c r="AJ140" s="4094" t="n"/>
      <c r="AK140" s="4094" t="n"/>
      <c r="AL140" s="4094" t="n"/>
      <c r="AM140" s="4094" t="n"/>
      <c r="AN140" s="4094" t="n"/>
      <c r="AO140" s="4095" t="n"/>
      <c r="AP140" s="4094" t="n">
        <v>0</v>
      </c>
      <c r="AQ140" s="4094" t="n">
        <v>0</v>
      </c>
      <c r="AR140" s="4094" t="n">
        <v>0</v>
      </c>
      <c r="AS140" s="4094" t="n">
        <v>0</v>
      </c>
      <c r="AT140" s="4094" t="n">
        <v>0</v>
      </c>
      <c r="AU140" s="4096" t="n">
        <v>0</v>
      </c>
      <c r="AV140" s="4094">
        <f>SUM(F140:Q140)</f>
        <v/>
      </c>
      <c r="AW140" s="4094">
        <f>SUM(R140:AC140)</f>
        <v/>
      </c>
      <c r="AX140" s="4094">
        <f>SUM(AD140:AO140)</f>
        <v/>
      </c>
      <c r="AY140" s="4094">
        <f>SUM(AH140:AS140)</f>
        <v/>
      </c>
      <c r="AZ140" s="4094">
        <f>SUM(AJ140:AU140)</f>
        <v/>
      </c>
      <c r="BA140" s="3737" t="n"/>
      <c r="BB140" s="4097">
        <f>IFERROR(F140/F$117,0)</f>
        <v/>
      </c>
      <c r="BC140" s="4097">
        <f>IFERROR(G140/G$117,0)</f>
        <v/>
      </c>
      <c r="BD140" s="4097">
        <f>IFERROR(H140/H$117,0)</f>
        <v/>
      </c>
      <c r="BE140" s="4097">
        <f>IFERROR(I140/I$117,0)</f>
        <v/>
      </c>
      <c r="BF140" s="4097">
        <f>IFERROR(J140/J$117,0)</f>
        <v/>
      </c>
      <c r="BG140" s="4097">
        <f>IFERROR(K140/K$117,0)</f>
        <v/>
      </c>
      <c r="BH140" s="4097">
        <f>IFERROR(L140/L$117,0)</f>
        <v/>
      </c>
      <c r="BI140" s="4097">
        <f>IFERROR(M140/M$117,0)</f>
        <v/>
      </c>
      <c r="BJ140" s="4097">
        <f>IFERROR(N140/N$117,0)</f>
        <v/>
      </c>
      <c r="BK140" s="4097">
        <f>IFERROR(O140/O$117,0)</f>
        <v/>
      </c>
      <c r="BL140" s="4097">
        <f>IFERROR(P140/P$117,0)</f>
        <v/>
      </c>
      <c r="BM140" s="4098">
        <f>IFERROR(Q140/Q$117,0)</f>
        <v/>
      </c>
      <c r="BN140" s="4097">
        <f>IFERROR(R140/R$117,0)</f>
        <v/>
      </c>
      <c r="BO140" s="4097">
        <f>IFERROR(S140/S$117,0)</f>
        <v/>
      </c>
      <c r="BP140" s="4097">
        <f>IFERROR(T140/T$117,0)</f>
        <v/>
      </c>
      <c r="BQ140" s="4097">
        <f>IFERROR(U140/U$117,0)</f>
        <v/>
      </c>
      <c r="BR140" s="4097">
        <f>IFERROR(V140/V$117,0)</f>
        <v/>
      </c>
      <c r="BS140" s="4097">
        <f>IFERROR(W140/W$117,0)</f>
        <v/>
      </c>
      <c r="BT140" s="4097">
        <f>IFERROR(X140/X$117,0)</f>
        <v/>
      </c>
      <c r="BU140" s="4097">
        <f>IFERROR(Y140/Y$117,0)</f>
        <v/>
      </c>
      <c r="BV140" s="4097">
        <f>IFERROR(Z140/Z$117,0)</f>
        <v/>
      </c>
      <c r="BW140" s="4097">
        <f>IFERROR(AA140/AA$117,0)</f>
        <v/>
      </c>
      <c r="BX140" s="4097">
        <f>IFERROR(AB140/AB$117,0)</f>
        <v/>
      </c>
      <c r="BY140" s="4098">
        <f>IFERROR(AC140/AC$117,0)</f>
        <v/>
      </c>
      <c r="BZ140" s="4097">
        <f>IFERROR(AD140/AD$117,0)</f>
        <v/>
      </c>
      <c r="CA140" s="4097">
        <f>IFERROR(AE140/AE$117,0)</f>
        <v/>
      </c>
      <c r="CB140" s="4097">
        <f>IFERROR(AF140/AF$117,0)</f>
        <v/>
      </c>
      <c r="CC140" s="4097">
        <f>IFERROR(AG140/AG$117,0)</f>
        <v/>
      </c>
      <c r="CD140" s="4097">
        <f>IFERROR(AH140/AH$117,0)</f>
        <v/>
      </c>
      <c r="CE140" s="4097">
        <f>IFERROR(AI140/AI$117,0)</f>
        <v/>
      </c>
      <c r="CF140" s="4097">
        <f>IFERROR(AJ140/AJ$117,0)</f>
        <v/>
      </c>
      <c r="CG140" s="4097">
        <f>IFERROR(AK140/AK$117,0)</f>
        <v/>
      </c>
      <c r="CH140" s="4097">
        <f>IFERROR(AL140/AL$117,0)</f>
        <v/>
      </c>
      <c r="CI140" s="4097">
        <f>IFERROR(AM140/AM$117,0)</f>
        <v/>
      </c>
      <c r="CJ140" s="4097">
        <f>IFERROR(AN140/AN$117,0)</f>
        <v/>
      </c>
      <c r="CK140" s="4098">
        <f>IFERROR(AO140/AO$117,0)</f>
        <v/>
      </c>
      <c r="CL140" s="4097">
        <f>IFERROR(AP140/AP$117,0)</f>
        <v/>
      </c>
      <c r="CM140" s="4097">
        <f>IFERROR(AQ140/AQ$117,0)</f>
        <v/>
      </c>
      <c r="CN140" s="4097">
        <f>IFERROR(AR140/AR$117,0)</f>
        <v/>
      </c>
      <c r="CO140" s="4097">
        <f>IFERROR(AS140/AS$117,0)</f>
        <v/>
      </c>
      <c r="CP140" s="4097">
        <f>IFERROR(AT140/AT$117,0)</f>
        <v/>
      </c>
      <c r="CQ140" s="4099">
        <f>IFERROR(AU140/AU$117,0)</f>
        <v/>
      </c>
      <c r="CR140" s="4097">
        <f>IFERROR(AV140/AV$117,0)</f>
        <v/>
      </c>
      <c r="CS140" s="4097">
        <f>IFERROR(AW140/AW$117,0)</f>
        <v/>
      </c>
      <c r="CT140" s="4097">
        <f>IFERROR(AX140/AX$117,0)</f>
        <v/>
      </c>
      <c r="CU140" s="4097">
        <f>IFERROR(AY140/AY$117,0)</f>
        <v/>
      </c>
      <c r="CV140" s="4097">
        <f>IFERROR(AZ140/AZ$117,0)</f>
        <v/>
      </c>
      <c r="CW140" s="3737" t="n"/>
      <c r="CX140" s="4094" t="n">
        <v>0</v>
      </c>
    </row>
    <row r="141" hidden="1" outlineLevel="2" ht="12" customFormat="1" customHeight="1" s="3737">
      <c r="A141" s="4059" t="n"/>
      <c r="B141" s="4060" t="n"/>
      <c r="C141" s="4109" t="inlineStr">
        <is>
          <t>Cogs - shipping</t>
        </is>
      </c>
      <c r="D141" s="4093" t="n">
        <v>501121</v>
      </c>
      <c r="E141" s="4093">
        <f>CONCATENATE(D141," - ",C141)</f>
        <v/>
      </c>
      <c r="F141" s="4094" t="n"/>
      <c r="G141" s="4094" t="n"/>
      <c r="H141" s="4094" t="n"/>
      <c r="I141" s="4094" t="n"/>
      <c r="J141" s="4094" t="n"/>
      <c r="K141" s="4094" t="n"/>
      <c r="L141" s="4094" t="n"/>
      <c r="M141" s="4094" t="n"/>
      <c r="N141" s="4094" t="n"/>
      <c r="O141" s="4094" t="n"/>
      <c r="P141" s="4094" t="n"/>
      <c r="Q141" s="4095" t="n"/>
      <c r="R141" s="4094" t="n"/>
      <c r="S141" s="4094" t="n"/>
      <c r="T141" s="4094" t="n"/>
      <c r="U141" s="4094" t="n"/>
      <c r="V141" s="4094" t="n"/>
      <c r="W141" s="4094" t="n"/>
      <c r="X141" s="4094" t="n"/>
      <c r="Y141" s="4094" t="n"/>
      <c r="Z141" s="4094" t="n"/>
      <c r="AA141" s="4094" t="n"/>
      <c r="AB141" s="4094" t="n"/>
      <c r="AC141" s="4095" t="n"/>
      <c r="AD141" s="4094" t="n"/>
      <c r="AE141" s="4094" t="n"/>
      <c r="AF141" s="4094" t="n"/>
      <c r="AG141" s="4094" t="n"/>
      <c r="AH141" s="4094" t="n"/>
      <c r="AI141" s="4094" t="n"/>
      <c r="AJ141" s="4094" t="n"/>
      <c r="AK141" s="4094" t="n"/>
      <c r="AL141" s="4094" t="n"/>
      <c r="AM141" s="4094" t="n"/>
      <c r="AN141" s="4094" t="n"/>
      <c r="AO141" s="4095" t="n"/>
      <c r="AP141" s="4094" t="n">
        <v>0</v>
      </c>
      <c r="AQ141" s="4094" t="n">
        <v>0</v>
      </c>
      <c r="AR141" s="4094" t="n">
        <v>-0.17421</v>
      </c>
      <c r="AS141" s="4094" t="n">
        <v>0</v>
      </c>
      <c r="AT141" s="4094" t="n">
        <v>0</v>
      </c>
      <c r="AU141" s="4096" t="n">
        <v>-0.07614</v>
      </c>
      <c r="AV141" s="4094">
        <f>SUM(F141:Q141)</f>
        <v/>
      </c>
      <c r="AW141" s="4094">
        <f>SUM(R141:AC141)</f>
        <v/>
      </c>
      <c r="AX141" s="4094">
        <f>SUM(AD141:AO141)</f>
        <v/>
      </c>
      <c r="AY141" s="4094">
        <f>SUM(AH141:AS141)</f>
        <v/>
      </c>
      <c r="AZ141" s="4094">
        <f>SUM(AJ141:AU141)</f>
        <v/>
      </c>
      <c r="BA141" s="3737" t="n"/>
      <c r="BB141" s="4097">
        <f>IFERROR(F141/F$117,0)</f>
        <v/>
      </c>
      <c r="BC141" s="4097">
        <f>IFERROR(G141/G$117,0)</f>
        <v/>
      </c>
      <c r="BD141" s="4097">
        <f>IFERROR(H141/H$117,0)</f>
        <v/>
      </c>
      <c r="BE141" s="4097">
        <f>IFERROR(I141/I$117,0)</f>
        <v/>
      </c>
      <c r="BF141" s="4097">
        <f>IFERROR(J141/J$117,0)</f>
        <v/>
      </c>
      <c r="BG141" s="4097">
        <f>IFERROR(K141/K$117,0)</f>
        <v/>
      </c>
      <c r="BH141" s="4097">
        <f>IFERROR(L141/L$117,0)</f>
        <v/>
      </c>
      <c r="BI141" s="4097">
        <f>IFERROR(M141/M$117,0)</f>
        <v/>
      </c>
      <c r="BJ141" s="4097">
        <f>IFERROR(N141/N$117,0)</f>
        <v/>
      </c>
      <c r="BK141" s="4097">
        <f>IFERROR(O141/O$117,0)</f>
        <v/>
      </c>
      <c r="BL141" s="4097">
        <f>IFERROR(P141/P$117,0)</f>
        <v/>
      </c>
      <c r="BM141" s="4098">
        <f>IFERROR(Q141/Q$117,0)</f>
        <v/>
      </c>
      <c r="BN141" s="4097">
        <f>IFERROR(R141/R$117,0)</f>
        <v/>
      </c>
      <c r="BO141" s="4097">
        <f>IFERROR(S141/S$117,0)</f>
        <v/>
      </c>
      <c r="BP141" s="4097">
        <f>IFERROR(T141/T$117,0)</f>
        <v/>
      </c>
      <c r="BQ141" s="4097">
        <f>IFERROR(U141/U$117,0)</f>
        <v/>
      </c>
      <c r="BR141" s="4097">
        <f>IFERROR(V141/V$117,0)</f>
        <v/>
      </c>
      <c r="BS141" s="4097">
        <f>IFERROR(W141/W$117,0)</f>
        <v/>
      </c>
      <c r="BT141" s="4097">
        <f>IFERROR(X141/X$117,0)</f>
        <v/>
      </c>
      <c r="BU141" s="4097">
        <f>IFERROR(Y141/Y$117,0)</f>
        <v/>
      </c>
      <c r="BV141" s="4097">
        <f>IFERROR(Z141/Z$117,0)</f>
        <v/>
      </c>
      <c r="BW141" s="4097">
        <f>IFERROR(AA141/AA$117,0)</f>
        <v/>
      </c>
      <c r="BX141" s="4097">
        <f>IFERROR(AB141/AB$117,0)</f>
        <v/>
      </c>
      <c r="BY141" s="4098">
        <f>IFERROR(AC141/AC$117,0)</f>
        <v/>
      </c>
      <c r="BZ141" s="4097">
        <f>IFERROR(AD141/AD$117,0)</f>
        <v/>
      </c>
      <c r="CA141" s="4097">
        <f>IFERROR(AE141/AE$117,0)</f>
        <v/>
      </c>
      <c r="CB141" s="4097">
        <f>IFERROR(AF141/AF$117,0)</f>
        <v/>
      </c>
      <c r="CC141" s="4097">
        <f>IFERROR(AG141/AG$117,0)</f>
        <v/>
      </c>
      <c r="CD141" s="4097">
        <f>IFERROR(AH141/AH$117,0)</f>
        <v/>
      </c>
      <c r="CE141" s="4097">
        <f>IFERROR(AI141/AI$117,0)</f>
        <v/>
      </c>
      <c r="CF141" s="4097">
        <f>IFERROR(AJ141/AJ$117,0)</f>
        <v/>
      </c>
      <c r="CG141" s="4097">
        <f>IFERROR(AK141/AK$117,0)</f>
        <v/>
      </c>
      <c r="CH141" s="4097">
        <f>IFERROR(AL141/AL$117,0)</f>
        <v/>
      </c>
      <c r="CI141" s="4097">
        <f>IFERROR(AM141/AM$117,0)</f>
        <v/>
      </c>
      <c r="CJ141" s="4097">
        <f>IFERROR(AN141/AN$117,0)</f>
        <v/>
      </c>
      <c r="CK141" s="4098">
        <f>IFERROR(AO141/AO$117,0)</f>
        <v/>
      </c>
      <c r="CL141" s="4097">
        <f>IFERROR(AP141/AP$117,0)</f>
        <v/>
      </c>
      <c r="CM141" s="4097">
        <f>IFERROR(AQ141/AQ$117,0)</f>
        <v/>
      </c>
      <c r="CN141" s="4097">
        <f>IFERROR(AR141/AR$117,0)</f>
        <v/>
      </c>
      <c r="CO141" s="4097">
        <f>IFERROR(AS141/AS$117,0)</f>
        <v/>
      </c>
      <c r="CP141" s="4097">
        <f>IFERROR(AT141/AT$117,0)</f>
        <v/>
      </c>
      <c r="CQ141" s="4099">
        <f>IFERROR(AU141/AU$117,0)</f>
        <v/>
      </c>
      <c r="CR141" s="4097">
        <f>IFERROR(AV141/AV$117,0)</f>
        <v/>
      </c>
      <c r="CS141" s="4097">
        <f>IFERROR(AW141/AW$117,0)</f>
        <v/>
      </c>
      <c r="CT141" s="4097">
        <f>IFERROR(AX141/AX$117,0)</f>
        <v/>
      </c>
      <c r="CU141" s="4097">
        <f>IFERROR(AY141/AY$117,0)</f>
        <v/>
      </c>
      <c r="CV141" s="4097">
        <f>IFERROR(AZ141/AZ$117,0)</f>
        <v/>
      </c>
      <c r="CW141" s="3737" t="n"/>
      <c r="CX141" s="4094" t="n">
        <v>-8.62543</v>
      </c>
    </row>
    <row r="142" hidden="1" outlineLevel="2" ht="12" customFormat="1" customHeight="1" s="3737">
      <c r="A142" s="4059" t="n"/>
      <c r="B142" s="4060" t="n"/>
      <c r="C142" s="4109" t="inlineStr">
        <is>
          <t>Cogs - visa vts-vip license fee</t>
        </is>
      </c>
      <c r="D142" s="4093" t="n">
        <v>501469</v>
      </c>
      <c r="E142" s="4093">
        <f>CONCATENATE(D142," - ",C142)</f>
        <v/>
      </c>
      <c r="F142" s="4094" t="n"/>
      <c r="G142" s="4094" t="n"/>
      <c r="H142" s="4094" t="n"/>
      <c r="I142" s="4094" t="n"/>
      <c r="J142" s="4094" t="n"/>
      <c r="K142" s="4094" t="n"/>
      <c r="L142" s="4094" t="n"/>
      <c r="M142" s="4094" t="n"/>
      <c r="N142" s="4094" t="n"/>
      <c r="O142" s="4094" t="n"/>
      <c r="P142" s="4094" t="n"/>
      <c r="Q142" s="4095" t="n"/>
      <c r="R142" s="4094" t="n"/>
      <c r="S142" s="4094" t="n"/>
      <c r="T142" s="4094" t="n"/>
      <c r="U142" s="4094" t="n"/>
      <c r="V142" s="4094" t="n"/>
      <c r="W142" s="4094" t="n"/>
      <c r="X142" s="4094" t="n"/>
      <c r="Y142" s="4094" t="n"/>
      <c r="Z142" s="4094" t="n"/>
      <c r="AA142" s="4094" t="n"/>
      <c r="AB142" s="4094" t="n"/>
      <c r="AC142" s="4095" t="n"/>
      <c r="AD142" s="4094" t="n"/>
      <c r="AE142" s="4094" t="n"/>
      <c r="AF142" s="4094" t="n"/>
      <c r="AG142" s="4094" t="n"/>
      <c r="AH142" s="4094" t="n"/>
      <c r="AI142" s="4094" t="n"/>
      <c r="AJ142" s="4094" t="n"/>
      <c r="AK142" s="4094" t="n"/>
      <c r="AL142" s="4094" t="n"/>
      <c r="AM142" s="4094" t="n"/>
      <c r="AN142" s="4094" t="n"/>
      <c r="AO142" s="4095" t="n"/>
      <c r="AP142" s="4094" t="n">
        <v>0</v>
      </c>
      <c r="AQ142" s="4094" t="n">
        <v>0</v>
      </c>
      <c r="AR142" s="4094" t="n">
        <v>0</v>
      </c>
      <c r="AS142" s="4094" t="n">
        <v>0</v>
      </c>
      <c r="AT142" s="4094" t="n">
        <v>0</v>
      </c>
      <c r="AU142" s="4096" t="n">
        <v>0</v>
      </c>
      <c r="AV142" s="4094">
        <f>SUM(F142:Q142)</f>
        <v/>
      </c>
      <c r="AW142" s="4094">
        <f>SUM(R142:AC142)</f>
        <v/>
      </c>
      <c r="AX142" s="4094">
        <f>SUM(AD142:AO142)</f>
        <v/>
      </c>
      <c r="AY142" s="4094">
        <f>SUM(AH142:AS142)</f>
        <v/>
      </c>
      <c r="AZ142" s="4094">
        <f>SUM(AJ142:AU142)</f>
        <v/>
      </c>
      <c r="BA142" s="3737" t="n"/>
      <c r="BB142" s="4097">
        <f>IFERROR(F142/F$117,0)</f>
        <v/>
      </c>
      <c r="BC142" s="4097">
        <f>IFERROR(G142/G$117,0)</f>
        <v/>
      </c>
      <c r="BD142" s="4097">
        <f>IFERROR(H142/H$117,0)</f>
        <v/>
      </c>
      <c r="BE142" s="4097">
        <f>IFERROR(I142/I$117,0)</f>
        <v/>
      </c>
      <c r="BF142" s="4097">
        <f>IFERROR(J142/J$117,0)</f>
        <v/>
      </c>
      <c r="BG142" s="4097">
        <f>IFERROR(K142/K$117,0)</f>
        <v/>
      </c>
      <c r="BH142" s="4097">
        <f>IFERROR(L142/L$117,0)</f>
        <v/>
      </c>
      <c r="BI142" s="4097">
        <f>IFERROR(M142/M$117,0)</f>
        <v/>
      </c>
      <c r="BJ142" s="4097">
        <f>IFERROR(N142/N$117,0)</f>
        <v/>
      </c>
      <c r="BK142" s="4097">
        <f>IFERROR(O142/O$117,0)</f>
        <v/>
      </c>
      <c r="BL142" s="4097">
        <f>IFERROR(P142/P$117,0)</f>
        <v/>
      </c>
      <c r="BM142" s="4098">
        <f>IFERROR(Q142/Q$117,0)</f>
        <v/>
      </c>
      <c r="BN142" s="4097">
        <f>IFERROR(R142/R$117,0)</f>
        <v/>
      </c>
      <c r="BO142" s="4097">
        <f>IFERROR(S142/S$117,0)</f>
        <v/>
      </c>
      <c r="BP142" s="4097">
        <f>IFERROR(T142/T$117,0)</f>
        <v/>
      </c>
      <c r="BQ142" s="4097">
        <f>IFERROR(U142/U$117,0)</f>
        <v/>
      </c>
      <c r="BR142" s="4097">
        <f>IFERROR(V142/V$117,0)</f>
        <v/>
      </c>
      <c r="BS142" s="4097">
        <f>IFERROR(W142/W$117,0)</f>
        <v/>
      </c>
      <c r="BT142" s="4097">
        <f>IFERROR(X142/X$117,0)</f>
        <v/>
      </c>
      <c r="BU142" s="4097">
        <f>IFERROR(Y142/Y$117,0)</f>
        <v/>
      </c>
      <c r="BV142" s="4097">
        <f>IFERROR(Z142/Z$117,0)</f>
        <v/>
      </c>
      <c r="BW142" s="4097">
        <f>IFERROR(AA142/AA$117,0)</f>
        <v/>
      </c>
      <c r="BX142" s="4097">
        <f>IFERROR(AB142/AB$117,0)</f>
        <v/>
      </c>
      <c r="BY142" s="4098">
        <f>IFERROR(AC142/AC$117,0)</f>
        <v/>
      </c>
      <c r="BZ142" s="4097">
        <f>IFERROR(AD142/AD$117,0)</f>
        <v/>
      </c>
      <c r="CA142" s="4097">
        <f>IFERROR(AE142/AE$117,0)</f>
        <v/>
      </c>
      <c r="CB142" s="4097">
        <f>IFERROR(AF142/AF$117,0)</f>
        <v/>
      </c>
      <c r="CC142" s="4097">
        <f>IFERROR(AG142/AG$117,0)</f>
        <v/>
      </c>
      <c r="CD142" s="4097">
        <f>IFERROR(AH142/AH$117,0)</f>
        <v/>
      </c>
      <c r="CE142" s="4097">
        <f>IFERROR(AI142/AI$117,0)</f>
        <v/>
      </c>
      <c r="CF142" s="4097">
        <f>IFERROR(AJ142/AJ$117,0)</f>
        <v/>
      </c>
      <c r="CG142" s="4097">
        <f>IFERROR(AK142/AK$117,0)</f>
        <v/>
      </c>
      <c r="CH142" s="4097">
        <f>IFERROR(AL142/AL$117,0)</f>
        <v/>
      </c>
      <c r="CI142" s="4097">
        <f>IFERROR(AM142/AM$117,0)</f>
        <v/>
      </c>
      <c r="CJ142" s="4097">
        <f>IFERROR(AN142/AN$117,0)</f>
        <v/>
      </c>
      <c r="CK142" s="4098">
        <f>IFERROR(AO142/AO$117,0)</f>
        <v/>
      </c>
      <c r="CL142" s="4097">
        <f>IFERROR(AP142/AP$117,0)</f>
        <v/>
      </c>
      <c r="CM142" s="4097">
        <f>IFERROR(AQ142/AQ$117,0)</f>
        <v/>
      </c>
      <c r="CN142" s="4097">
        <f>IFERROR(AR142/AR$117,0)</f>
        <v/>
      </c>
      <c r="CO142" s="4097">
        <f>IFERROR(AS142/AS$117,0)</f>
        <v/>
      </c>
      <c r="CP142" s="4097">
        <f>IFERROR(AT142/AT$117,0)</f>
        <v/>
      </c>
      <c r="CQ142" s="4099">
        <f>IFERROR(AU142/AU$117,0)</f>
        <v/>
      </c>
      <c r="CR142" s="4097">
        <f>IFERROR(AV142/AV$117,0)</f>
        <v/>
      </c>
      <c r="CS142" s="4097">
        <f>IFERROR(AW142/AW$117,0)</f>
        <v/>
      </c>
      <c r="CT142" s="4097">
        <f>IFERROR(AX142/AX$117,0)</f>
        <v/>
      </c>
      <c r="CU142" s="4097">
        <f>IFERROR(AY142/AY$117,0)</f>
        <v/>
      </c>
      <c r="CV142" s="4097">
        <f>IFERROR(AZ142/AZ$117,0)</f>
        <v/>
      </c>
      <c r="CW142" s="3737" t="n"/>
      <c r="CX142" s="4094" t="n">
        <v>-3.3841</v>
      </c>
    </row>
    <row r="143" hidden="1" outlineLevel="2" ht="12" customFormat="1" customHeight="1" s="3737">
      <c r="A143" s="4059" t="n"/>
      <c r="B143" s="4060" t="n"/>
      <c r="C143" s="4109" t="inlineStr">
        <is>
          <t>Cogs - iso h2h others</t>
        </is>
      </c>
      <c r="D143" s="4093" t="n">
        <v>501456</v>
      </c>
      <c r="E143" s="4093">
        <f>CONCATENATE(D143," - ",C143)</f>
        <v/>
      </c>
      <c r="F143" s="4094" t="n"/>
      <c r="G143" s="4094" t="n"/>
      <c r="H143" s="4094" t="n"/>
      <c r="I143" s="4094" t="n"/>
      <c r="J143" s="4094" t="n"/>
      <c r="K143" s="4094" t="n"/>
      <c r="L143" s="4094" t="n"/>
      <c r="M143" s="4094" t="n"/>
      <c r="N143" s="4094" t="n"/>
      <c r="O143" s="4094" t="n"/>
      <c r="P143" s="4094" t="n"/>
      <c r="Q143" s="4095" t="n"/>
      <c r="R143" s="4094" t="n"/>
      <c r="S143" s="4094" t="n"/>
      <c r="T143" s="4094" t="n"/>
      <c r="U143" s="4094" t="n"/>
      <c r="V143" s="4094" t="n"/>
      <c r="W143" s="4094" t="n"/>
      <c r="X143" s="4094" t="n"/>
      <c r="Y143" s="4094" t="n"/>
      <c r="Z143" s="4094" t="n"/>
      <c r="AA143" s="4094" t="n"/>
      <c r="AB143" s="4094" t="n"/>
      <c r="AC143" s="4095" t="n"/>
      <c r="AD143" s="4094" t="n"/>
      <c r="AE143" s="4094" t="n"/>
      <c r="AF143" s="4094" t="n"/>
      <c r="AG143" s="4094" t="n"/>
      <c r="AH143" s="4094" t="n"/>
      <c r="AI143" s="4094" t="n"/>
      <c r="AJ143" s="4094" t="n"/>
      <c r="AK143" s="4094" t="n"/>
      <c r="AL143" s="4094" t="n"/>
      <c r="AM143" s="4094" t="n"/>
      <c r="AN143" s="4094" t="n"/>
      <c r="AO143" s="4095" t="n"/>
      <c r="AP143" s="4094" t="n">
        <v>0</v>
      </c>
      <c r="AQ143" s="4094" t="n">
        <v>0</v>
      </c>
      <c r="AR143" s="4094" t="n">
        <v>0</v>
      </c>
      <c r="AS143" s="4094" t="n">
        <v>0</v>
      </c>
      <c r="AT143" s="4094" t="n">
        <v>0</v>
      </c>
      <c r="AU143" s="4096" t="n">
        <v>0</v>
      </c>
      <c r="AV143" s="4094">
        <f>SUM(F143:Q143)</f>
        <v/>
      </c>
      <c r="AW143" s="4094">
        <f>SUM(R143:AC143)</f>
        <v/>
      </c>
      <c r="AX143" s="4094">
        <f>SUM(AD143:AO143)</f>
        <v/>
      </c>
      <c r="AY143" s="4094">
        <f>SUM(AH143:AS143)</f>
        <v/>
      </c>
      <c r="AZ143" s="4094">
        <f>SUM(AJ143:AU143)</f>
        <v/>
      </c>
      <c r="BA143" s="3737" t="n"/>
      <c r="BB143" s="4097">
        <f>IFERROR(F143/F$117,0)</f>
        <v/>
      </c>
      <c r="BC143" s="4097">
        <f>IFERROR(G143/G$117,0)</f>
        <v/>
      </c>
      <c r="BD143" s="4097">
        <f>IFERROR(H143/H$117,0)</f>
        <v/>
      </c>
      <c r="BE143" s="4097">
        <f>IFERROR(I143/I$117,0)</f>
        <v/>
      </c>
      <c r="BF143" s="4097">
        <f>IFERROR(J143/J$117,0)</f>
        <v/>
      </c>
      <c r="BG143" s="4097">
        <f>IFERROR(K143/K$117,0)</f>
        <v/>
      </c>
      <c r="BH143" s="4097">
        <f>IFERROR(L143/L$117,0)</f>
        <v/>
      </c>
      <c r="BI143" s="4097">
        <f>IFERROR(M143/M$117,0)</f>
        <v/>
      </c>
      <c r="BJ143" s="4097">
        <f>IFERROR(N143/N$117,0)</f>
        <v/>
      </c>
      <c r="BK143" s="4097">
        <f>IFERROR(O143/O$117,0)</f>
        <v/>
      </c>
      <c r="BL143" s="4097">
        <f>IFERROR(P143/P$117,0)</f>
        <v/>
      </c>
      <c r="BM143" s="4098">
        <f>IFERROR(Q143/Q$117,0)</f>
        <v/>
      </c>
      <c r="BN143" s="4097">
        <f>IFERROR(R143/R$117,0)</f>
        <v/>
      </c>
      <c r="BO143" s="4097">
        <f>IFERROR(S143/S$117,0)</f>
        <v/>
      </c>
      <c r="BP143" s="4097">
        <f>IFERROR(T143/T$117,0)</f>
        <v/>
      </c>
      <c r="BQ143" s="4097">
        <f>IFERROR(U143/U$117,0)</f>
        <v/>
      </c>
      <c r="BR143" s="4097">
        <f>IFERROR(V143/V$117,0)</f>
        <v/>
      </c>
      <c r="BS143" s="4097">
        <f>IFERROR(W143/W$117,0)</f>
        <v/>
      </c>
      <c r="BT143" s="4097">
        <f>IFERROR(X143/X$117,0)</f>
        <v/>
      </c>
      <c r="BU143" s="4097">
        <f>IFERROR(Y143/Y$117,0)</f>
        <v/>
      </c>
      <c r="BV143" s="4097">
        <f>IFERROR(Z143/Z$117,0)</f>
        <v/>
      </c>
      <c r="BW143" s="4097">
        <f>IFERROR(AA143/AA$117,0)</f>
        <v/>
      </c>
      <c r="BX143" s="4097">
        <f>IFERROR(AB143/AB$117,0)</f>
        <v/>
      </c>
      <c r="BY143" s="4098">
        <f>IFERROR(AC143/AC$117,0)</f>
        <v/>
      </c>
      <c r="BZ143" s="4097">
        <f>IFERROR(AD143/AD$117,0)</f>
        <v/>
      </c>
      <c r="CA143" s="4097">
        <f>IFERROR(AE143/AE$117,0)</f>
        <v/>
      </c>
      <c r="CB143" s="4097">
        <f>IFERROR(AF143/AF$117,0)</f>
        <v/>
      </c>
      <c r="CC143" s="4097">
        <f>IFERROR(AG143/AG$117,0)</f>
        <v/>
      </c>
      <c r="CD143" s="4097">
        <f>IFERROR(AH143/AH$117,0)</f>
        <v/>
      </c>
      <c r="CE143" s="4097">
        <f>IFERROR(AI143/AI$117,0)</f>
        <v/>
      </c>
      <c r="CF143" s="4097">
        <f>IFERROR(AJ143/AJ$117,0)</f>
        <v/>
      </c>
      <c r="CG143" s="4097">
        <f>IFERROR(AK143/AK$117,0)</f>
        <v/>
      </c>
      <c r="CH143" s="4097">
        <f>IFERROR(AL143/AL$117,0)</f>
        <v/>
      </c>
      <c r="CI143" s="4097">
        <f>IFERROR(AM143/AM$117,0)</f>
        <v/>
      </c>
      <c r="CJ143" s="4097">
        <f>IFERROR(AN143/AN$117,0)</f>
        <v/>
      </c>
      <c r="CK143" s="4098">
        <f>IFERROR(AO143/AO$117,0)</f>
        <v/>
      </c>
      <c r="CL143" s="4097">
        <f>IFERROR(AP143/AP$117,0)</f>
        <v/>
      </c>
      <c r="CM143" s="4097">
        <f>IFERROR(AQ143/AQ$117,0)</f>
        <v/>
      </c>
      <c r="CN143" s="4097">
        <f>IFERROR(AR143/AR$117,0)</f>
        <v/>
      </c>
      <c r="CO143" s="4097">
        <f>IFERROR(AS143/AS$117,0)</f>
        <v/>
      </c>
      <c r="CP143" s="4097">
        <f>IFERROR(AT143/AT$117,0)</f>
        <v/>
      </c>
      <c r="CQ143" s="4099">
        <f>IFERROR(AU143/AU$117,0)</f>
        <v/>
      </c>
      <c r="CR143" s="4097">
        <f>IFERROR(AV143/AV$117,0)</f>
        <v/>
      </c>
      <c r="CS143" s="4097">
        <f>IFERROR(AW143/AW$117,0)</f>
        <v/>
      </c>
      <c r="CT143" s="4097">
        <f>IFERROR(AX143/AX$117,0)</f>
        <v/>
      </c>
      <c r="CU143" s="4097">
        <f>IFERROR(AY143/AY$117,0)</f>
        <v/>
      </c>
      <c r="CV143" s="4097">
        <f>IFERROR(AZ143/AZ$117,0)</f>
        <v/>
      </c>
      <c r="CW143" s="3737" t="n"/>
      <c r="CX143" s="4094" t="n">
        <v>0</v>
      </c>
    </row>
    <row r="144" hidden="1" outlineLevel="2" ht="12" customFormat="1" customHeight="1" s="3737">
      <c r="A144" s="4059" t="n"/>
      <c r="B144" s="4060" t="n"/>
      <c r="C144" s="4109" t="inlineStr">
        <is>
          <t>Cogs - printer maintenance</t>
        </is>
      </c>
      <c r="D144" s="4093" t="n">
        <v>501111</v>
      </c>
      <c r="E144" s="4093">
        <f>CONCATENATE(D144," - ",C144)</f>
        <v/>
      </c>
      <c r="F144" s="4094" t="n"/>
      <c r="G144" s="4094" t="n"/>
      <c r="H144" s="4094" t="n"/>
      <c r="I144" s="4094" t="n"/>
      <c r="J144" s="4094" t="n"/>
      <c r="K144" s="4094" t="n"/>
      <c r="L144" s="4094" t="n"/>
      <c r="M144" s="4094" t="n"/>
      <c r="N144" s="4094" t="n"/>
      <c r="O144" s="4094" t="n"/>
      <c r="P144" s="4094" t="n"/>
      <c r="Q144" s="4095" t="n"/>
      <c r="R144" s="4094" t="n"/>
      <c r="S144" s="4094" t="n"/>
      <c r="T144" s="4094" t="n"/>
      <c r="U144" s="4094" t="n"/>
      <c r="V144" s="4094" t="n"/>
      <c r="W144" s="4094" t="n"/>
      <c r="X144" s="4094" t="n"/>
      <c r="Y144" s="4094" t="n"/>
      <c r="Z144" s="4094" t="n"/>
      <c r="AA144" s="4094" t="n"/>
      <c r="AB144" s="4094" t="n"/>
      <c r="AC144" s="4095" t="n"/>
      <c r="AD144" s="4094" t="n"/>
      <c r="AE144" s="4094" t="n"/>
      <c r="AF144" s="4094" t="n"/>
      <c r="AG144" s="4094" t="n"/>
      <c r="AH144" s="4094" t="n"/>
      <c r="AI144" s="4094" t="n"/>
      <c r="AJ144" s="4094" t="n"/>
      <c r="AK144" s="4094" t="n"/>
      <c r="AL144" s="4094" t="n"/>
      <c r="AM144" s="4094" t="n"/>
      <c r="AN144" s="4094" t="n"/>
      <c r="AO144" s="4095" t="n"/>
      <c r="AP144" s="4094" t="n">
        <v>0</v>
      </c>
      <c r="AQ144" s="4094" t="n">
        <v>0</v>
      </c>
      <c r="AR144" s="4094" t="n">
        <v>0</v>
      </c>
      <c r="AS144" s="4094" t="n">
        <v>0</v>
      </c>
      <c r="AT144" s="4094" t="n">
        <v>0</v>
      </c>
      <c r="AU144" s="4096" t="n">
        <v>0</v>
      </c>
      <c r="AV144" s="4094">
        <f>SUM(F144:Q144)</f>
        <v/>
      </c>
      <c r="AW144" s="4094">
        <f>SUM(R144:AC144)</f>
        <v/>
      </c>
      <c r="AX144" s="4094">
        <f>SUM(AD144:AO144)</f>
        <v/>
      </c>
      <c r="AY144" s="4094">
        <f>SUM(AH144:AS144)</f>
        <v/>
      </c>
      <c r="AZ144" s="4094">
        <f>SUM(AJ144:AU144)</f>
        <v/>
      </c>
      <c r="BA144" s="3737" t="n"/>
      <c r="BB144" s="4097">
        <f>IFERROR(F144/F$117,0)</f>
        <v/>
      </c>
      <c r="BC144" s="4097">
        <f>IFERROR(G144/G$117,0)</f>
        <v/>
      </c>
      <c r="BD144" s="4097">
        <f>IFERROR(H144/H$117,0)</f>
        <v/>
      </c>
      <c r="BE144" s="4097">
        <f>IFERROR(I144/I$117,0)</f>
        <v/>
      </c>
      <c r="BF144" s="4097">
        <f>IFERROR(J144/J$117,0)</f>
        <v/>
      </c>
      <c r="BG144" s="4097">
        <f>IFERROR(K144/K$117,0)</f>
        <v/>
      </c>
      <c r="BH144" s="4097">
        <f>IFERROR(L144/L$117,0)</f>
        <v/>
      </c>
      <c r="BI144" s="4097">
        <f>IFERROR(M144/M$117,0)</f>
        <v/>
      </c>
      <c r="BJ144" s="4097">
        <f>IFERROR(N144/N$117,0)</f>
        <v/>
      </c>
      <c r="BK144" s="4097">
        <f>IFERROR(O144/O$117,0)</f>
        <v/>
      </c>
      <c r="BL144" s="4097">
        <f>IFERROR(P144/P$117,0)</f>
        <v/>
      </c>
      <c r="BM144" s="4098">
        <f>IFERROR(Q144/Q$117,0)</f>
        <v/>
      </c>
      <c r="BN144" s="4097">
        <f>IFERROR(R144/R$117,0)</f>
        <v/>
      </c>
      <c r="BO144" s="4097">
        <f>IFERROR(S144/S$117,0)</f>
        <v/>
      </c>
      <c r="BP144" s="4097">
        <f>IFERROR(T144/T$117,0)</f>
        <v/>
      </c>
      <c r="BQ144" s="4097">
        <f>IFERROR(U144/U$117,0)</f>
        <v/>
      </c>
      <c r="BR144" s="4097">
        <f>IFERROR(V144/V$117,0)</f>
        <v/>
      </c>
      <c r="BS144" s="4097">
        <f>IFERROR(W144/W$117,0)</f>
        <v/>
      </c>
      <c r="BT144" s="4097">
        <f>IFERROR(X144/X$117,0)</f>
        <v/>
      </c>
      <c r="BU144" s="4097">
        <f>IFERROR(Y144/Y$117,0)</f>
        <v/>
      </c>
      <c r="BV144" s="4097">
        <f>IFERROR(Z144/Z$117,0)</f>
        <v/>
      </c>
      <c r="BW144" s="4097">
        <f>IFERROR(AA144/AA$117,0)</f>
        <v/>
      </c>
      <c r="BX144" s="4097">
        <f>IFERROR(AB144/AB$117,0)</f>
        <v/>
      </c>
      <c r="BY144" s="4098">
        <f>IFERROR(AC144/AC$117,0)</f>
        <v/>
      </c>
      <c r="BZ144" s="4097">
        <f>IFERROR(AD144/AD$117,0)</f>
        <v/>
      </c>
      <c r="CA144" s="4097">
        <f>IFERROR(AE144/AE$117,0)</f>
        <v/>
      </c>
      <c r="CB144" s="4097">
        <f>IFERROR(AF144/AF$117,0)</f>
        <v/>
      </c>
      <c r="CC144" s="4097">
        <f>IFERROR(AG144/AG$117,0)</f>
        <v/>
      </c>
      <c r="CD144" s="4097">
        <f>IFERROR(AH144/AH$117,0)</f>
        <v/>
      </c>
      <c r="CE144" s="4097">
        <f>IFERROR(AI144/AI$117,0)</f>
        <v/>
      </c>
      <c r="CF144" s="4097">
        <f>IFERROR(AJ144/AJ$117,0)</f>
        <v/>
      </c>
      <c r="CG144" s="4097">
        <f>IFERROR(AK144/AK$117,0)</f>
        <v/>
      </c>
      <c r="CH144" s="4097">
        <f>IFERROR(AL144/AL$117,0)</f>
        <v/>
      </c>
      <c r="CI144" s="4097">
        <f>IFERROR(AM144/AM$117,0)</f>
        <v/>
      </c>
      <c r="CJ144" s="4097">
        <f>IFERROR(AN144/AN$117,0)</f>
        <v/>
      </c>
      <c r="CK144" s="4098">
        <f>IFERROR(AO144/AO$117,0)</f>
        <v/>
      </c>
      <c r="CL144" s="4097">
        <f>IFERROR(AP144/AP$117,0)</f>
        <v/>
      </c>
      <c r="CM144" s="4097">
        <f>IFERROR(AQ144/AQ$117,0)</f>
        <v/>
      </c>
      <c r="CN144" s="4097">
        <f>IFERROR(AR144/AR$117,0)</f>
        <v/>
      </c>
      <c r="CO144" s="4097">
        <f>IFERROR(AS144/AS$117,0)</f>
        <v/>
      </c>
      <c r="CP144" s="4097">
        <f>IFERROR(AT144/AT$117,0)</f>
        <v/>
      </c>
      <c r="CQ144" s="4099">
        <f>IFERROR(AU144/AU$117,0)</f>
        <v/>
      </c>
      <c r="CR144" s="4097">
        <f>IFERROR(AV144/AV$117,0)</f>
        <v/>
      </c>
      <c r="CS144" s="4097">
        <f>IFERROR(AW144/AW$117,0)</f>
        <v/>
      </c>
      <c r="CT144" s="4097">
        <f>IFERROR(AX144/AX$117,0)</f>
        <v/>
      </c>
      <c r="CU144" s="4097">
        <f>IFERROR(AY144/AY$117,0)</f>
        <v/>
      </c>
      <c r="CV144" s="4097">
        <f>IFERROR(AZ144/AZ$117,0)</f>
        <v/>
      </c>
      <c r="CW144" s="3737" t="n"/>
      <c r="CX144" s="4094" t="n">
        <v>-40.176</v>
      </c>
    </row>
    <row r="145" hidden="1" outlineLevel="2" ht="12" customFormat="1" customHeight="1" s="3737">
      <c r="A145" s="4059" t="n"/>
      <c r="B145" s="4060" t="n"/>
      <c r="C145" s="4109" t="inlineStr">
        <is>
          <t>Cogs - fraud monitoring services</t>
        </is>
      </c>
      <c r="D145" s="4093" t="n">
        <v>501515</v>
      </c>
      <c r="E145" s="4093">
        <f>CONCATENATE(D145," - ",C145)</f>
        <v/>
      </c>
      <c r="F145" s="4094" t="n"/>
      <c r="G145" s="4094" t="n"/>
      <c r="H145" s="4094" t="n"/>
      <c r="I145" s="4094" t="n"/>
      <c r="J145" s="4094" t="n"/>
      <c r="K145" s="4094" t="n"/>
      <c r="L145" s="4094" t="n"/>
      <c r="M145" s="4094" t="n"/>
      <c r="N145" s="4094" t="n"/>
      <c r="O145" s="4094" t="n"/>
      <c r="P145" s="4094" t="n"/>
      <c r="Q145" s="4095" t="n"/>
      <c r="R145" s="4094" t="n"/>
      <c r="S145" s="4094" t="n"/>
      <c r="T145" s="4094" t="n"/>
      <c r="U145" s="4094" t="n"/>
      <c r="V145" s="4094" t="n"/>
      <c r="W145" s="4094" t="n"/>
      <c r="X145" s="4094" t="n"/>
      <c r="Y145" s="4094" t="n"/>
      <c r="Z145" s="4094" t="n"/>
      <c r="AA145" s="4094" t="n"/>
      <c r="AB145" s="4094" t="n"/>
      <c r="AC145" s="4095" t="n"/>
      <c r="AD145" s="4094" t="n"/>
      <c r="AE145" s="4094" t="n"/>
      <c r="AF145" s="4094" t="n"/>
      <c r="AG145" s="4094" t="n"/>
      <c r="AH145" s="4094" t="n"/>
      <c r="AI145" s="4094" t="n"/>
      <c r="AJ145" s="4094" t="n"/>
      <c r="AK145" s="4094" t="n"/>
      <c r="AL145" s="4094" t="n"/>
      <c r="AM145" s="4094" t="n"/>
      <c r="AN145" s="4094" t="n"/>
      <c r="AO145" s="4095" t="n"/>
      <c r="AP145" s="4094" t="n">
        <v>0</v>
      </c>
      <c r="AQ145" s="4094" t="n">
        <v>0</v>
      </c>
      <c r="AR145" s="4094" t="n">
        <v>0</v>
      </c>
      <c r="AS145" s="4094" t="n">
        <v>0</v>
      </c>
      <c r="AT145" s="4094" t="n">
        <v>0</v>
      </c>
      <c r="AU145" s="4096" t="n">
        <v>0</v>
      </c>
      <c r="AV145" s="4094">
        <f>SUM(F145:Q145)</f>
        <v/>
      </c>
      <c r="AW145" s="4094">
        <f>SUM(R145:AC145)</f>
        <v/>
      </c>
      <c r="AX145" s="4094">
        <f>SUM(AD145:AO145)</f>
        <v/>
      </c>
      <c r="AY145" s="4094">
        <f>SUM(AH145:AS145)</f>
        <v/>
      </c>
      <c r="AZ145" s="4094">
        <f>SUM(AJ145:AU145)</f>
        <v/>
      </c>
      <c r="BA145" s="3737" t="n"/>
      <c r="BB145" s="4097">
        <f>IFERROR(F145/F$117,0)</f>
        <v/>
      </c>
      <c r="BC145" s="4097">
        <f>IFERROR(G145/G$117,0)</f>
        <v/>
      </c>
      <c r="BD145" s="4097">
        <f>IFERROR(H145/H$117,0)</f>
        <v/>
      </c>
      <c r="BE145" s="4097">
        <f>IFERROR(I145/I$117,0)</f>
        <v/>
      </c>
      <c r="BF145" s="4097">
        <f>IFERROR(J145/J$117,0)</f>
        <v/>
      </c>
      <c r="BG145" s="4097">
        <f>IFERROR(K145/K$117,0)</f>
        <v/>
      </c>
      <c r="BH145" s="4097">
        <f>IFERROR(L145/L$117,0)</f>
        <v/>
      </c>
      <c r="BI145" s="4097">
        <f>IFERROR(M145/M$117,0)</f>
        <v/>
      </c>
      <c r="BJ145" s="4097">
        <f>IFERROR(N145/N$117,0)</f>
        <v/>
      </c>
      <c r="BK145" s="4097">
        <f>IFERROR(O145/O$117,0)</f>
        <v/>
      </c>
      <c r="BL145" s="4097">
        <f>IFERROR(P145/P$117,0)</f>
        <v/>
      </c>
      <c r="BM145" s="4098">
        <f>IFERROR(Q145/Q$117,0)</f>
        <v/>
      </c>
      <c r="BN145" s="4097">
        <f>IFERROR(R145/R$117,0)</f>
        <v/>
      </c>
      <c r="BO145" s="4097">
        <f>IFERROR(S145/S$117,0)</f>
        <v/>
      </c>
      <c r="BP145" s="4097">
        <f>IFERROR(T145/T$117,0)</f>
        <v/>
      </c>
      <c r="BQ145" s="4097">
        <f>IFERROR(U145/U$117,0)</f>
        <v/>
      </c>
      <c r="BR145" s="4097">
        <f>IFERROR(V145/V$117,0)</f>
        <v/>
      </c>
      <c r="BS145" s="4097">
        <f>IFERROR(W145/W$117,0)</f>
        <v/>
      </c>
      <c r="BT145" s="4097">
        <f>IFERROR(X145/X$117,0)</f>
        <v/>
      </c>
      <c r="BU145" s="4097">
        <f>IFERROR(Y145/Y$117,0)</f>
        <v/>
      </c>
      <c r="BV145" s="4097">
        <f>IFERROR(Z145/Z$117,0)</f>
        <v/>
      </c>
      <c r="BW145" s="4097">
        <f>IFERROR(AA145/AA$117,0)</f>
        <v/>
      </c>
      <c r="BX145" s="4097">
        <f>IFERROR(AB145/AB$117,0)</f>
        <v/>
      </c>
      <c r="BY145" s="4098">
        <f>IFERROR(AC145/AC$117,0)</f>
        <v/>
      </c>
      <c r="BZ145" s="4097">
        <f>IFERROR(AD145/AD$117,0)</f>
        <v/>
      </c>
      <c r="CA145" s="4097">
        <f>IFERROR(AE145/AE$117,0)</f>
        <v/>
      </c>
      <c r="CB145" s="4097">
        <f>IFERROR(AF145/AF$117,0)</f>
        <v/>
      </c>
      <c r="CC145" s="4097">
        <f>IFERROR(AG145/AG$117,0)</f>
        <v/>
      </c>
      <c r="CD145" s="4097">
        <f>IFERROR(AH145/AH$117,0)</f>
        <v/>
      </c>
      <c r="CE145" s="4097">
        <f>IFERROR(AI145/AI$117,0)</f>
        <v/>
      </c>
      <c r="CF145" s="4097">
        <f>IFERROR(AJ145/AJ$117,0)</f>
        <v/>
      </c>
      <c r="CG145" s="4097">
        <f>IFERROR(AK145/AK$117,0)</f>
        <v/>
      </c>
      <c r="CH145" s="4097">
        <f>IFERROR(AL145/AL$117,0)</f>
        <v/>
      </c>
      <c r="CI145" s="4097">
        <f>IFERROR(AM145/AM$117,0)</f>
        <v/>
      </c>
      <c r="CJ145" s="4097">
        <f>IFERROR(AN145/AN$117,0)</f>
        <v/>
      </c>
      <c r="CK145" s="4098">
        <f>IFERROR(AO145/AO$117,0)</f>
        <v/>
      </c>
      <c r="CL145" s="4097">
        <f>IFERROR(AP145/AP$117,0)</f>
        <v/>
      </c>
      <c r="CM145" s="4097">
        <f>IFERROR(AQ145/AQ$117,0)</f>
        <v/>
      </c>
      <c r="CN145" s="4097">
        <f>IFERROR(AR145/AR$117,0)</f>
        <v/>
      </c>
      <c r="CO145" s="4097">
        <f>IFERROR(AS145/AS$117,0)</f>
        <v/>
      </c>
      <c r="CP145" s="4097">
        <f>IFERROR(AT145/AT$117,0)</f>
        <v/>
      </c>
      <c r="CQ145" s="4099">
        <f>IFERROR(AU145/AU$117,0)</f>
        <v/>
      </c>
      <c r="CR145" s="4097">
        <f>IFERROR(AV145/AV$117,0)</f>
        <v/>
      </c>
      <c r="CS145" s="4097">
        <f>IFERROR(AW145/AW$117,0)</f>
        <v/>
      </c>
      <c r="CT145" s="4097">
        <f>IFERROR(AX145/AX$117,0)</f>
        <v/>
      </c>
      <c r="CU145" s="4097">
        <f>IFERROR(AY145/AY$117,0)</f>
        <v/>
      </c>
      <c r="CV145" s="4097">
        <f>IFERROR(AZ145/AZ$117,0)</f>
        <v/>
      </c>
      <c r="CW145" s="3737" t="n"/>
      <c r="CX145" s="4094" t="n">
        <v>-7.0524</v>
      </c>
    </row>
    <row r="146" hidden="1" outlineLevel="2" ht="12" customFormat="1" customHeight="1" s="3737">
      <c r="A146" s="4059" t="n"/>
      <c r="B146" s="4060" t="n"/>
      <c r="C146" s="4109" t="inlineStr">
        <is>
          <t>Cogs - card development ifrs15 adjust</t>
        </is>
      </c>
      <c r="D146" s="4093" t="n">
        <v>505015</v>
      </c>
      <c r="E146" s="4093">
        <f>CONCATENATE(D146," - ",C146)</f>
        <v/>
      </c>
      <c r="F146" s="4094" t="n"/>
      <c r="G146" s="4094" t="n"/>
      <c r="H146" s="4094" t="n"/>
      <c r="I146" s="4094" t="n"/>
      <c r="J146" s="4094" t="n"/>
      <c r="K146" s="4094" t="n"/>
      <c r="L146" s="4094" t="n"/>
      <c r="M146" s="4094" t="n"/>
      <c r="N146" s="4094" t="n"/>
      <c r="O146" s="4094" t="n"/>
      <c r="P146" s="4094" t="n"/>
      <c r="Q146" s="4095" t="n"/>
      <c r="R146" s="4094" t="n"/>
      <c r="S146" s="4094" t="n"/>
      <c r="T146" s="4094" t="n"/>
      <c r="U146" s="4094" t="n"/>
      <c r="V146" s="4094" t="n"/>
      <c r="W146" s="4094" t="n"/>
      <c r="X146" s="4094" t="n"/>
      <c r="Y146" s="4094" t="n"/>
      <c r="Z146" s="4094" t="n"/>
      <c r="AA146" s="4094" t="n"/>
      <c r="AB146" s="4094" t="n"/>
      <c r="AC146" s="4095" t="n"/>
      <c r="AD146" s="4094" t="n"/>
      <c r="AE146" s="4094" t="n"/>
      <c r="AF146" s="4094" t="n"/>
      <c r="AG146" s="4094" t="n"/>
      <c r="AH146" s="4094" t="n"/>
      <c r="AI146" s="4094" t="n"/>
      <c r="AJ146" s="4094" t="n"/>
      <c r="AK146" s="4094" t="n"/>
      <c r="AL146" s="4094" t="n"/>
      <c r="AM146" s="4094" t="n"/>
      <c r="AN146" s="4094" t="n"/>
      <c r="AO146" s="4095" t="n"/>
      <c r="AP146" s="4094" t="n">
        <v>0</v>
      </c>
      <c r="AQ146" s="4094" t="n">
        <v>0</v>
      </c>
      <c r="AR146" s="4094" t="n">
        <v>0</v>
      </c>
      <c r="AS146" s="4094" t="n">
        <v>0</v>
      </c>
      <c r="AT146" s="4094" t="n">
        <v>0</v>
      </c>
      <c r="AU146" s="4096" t="n">
        <v>0</v>
      </c>
      <c r="AV146" s="4094">
        <f>SUM(F146:Q146)</f>
        <v/>
      </c>
      <c r="AW146" s="4094">
        <f>SUM(R146:AC146)</f>
        <v/>
      </c>
      <c r="AX146" s="4094">
        <f>SUM(AD146:AO146)</f>
        <v/>
      </c>
      <c r="AY146" s="4094">
        <f>SUM(AH146:AS146)</f>
        <v/>
      </c>
      <c r="AZ146" s="4094">
        <f>SUM(AJ146:AU146)</f>
        <v/>
      </c>
      <c r="BA146" s="3737" t="n"/>
      <c r="BB146" s="4097">
        <f>IFERROR(F146/F$117,0)</f>
        <v/>
      </c>
      <c r="BC146" s="4097">
        <f>IFERROR(G146/G$117,0)</f>
        <v/>
      </c>
      <c r="BD146" s="4097">
        <f>IFERROR(H146/H$117,0)</f>
        <v/>
      </c>
      <c r="BE146" s="4097">
        <f>IFERROR(I146/I$117,0)</f>
        <v/>
      </c>
      <c r="BF146" s="4097">
        <f>IFERROR(J146/J$117,0)</f>
        <v/>
      </c>
      <c r="BG146" s="4097">
        <f>IFERROR(K146/K$117,0)</f>
        <v/>
      </c>
      <c r="BH146" s="4097">
        <f>IFERROR(L146/L$117,0)</f>
        <v/>
      </c>
      <c r="BI146" s="4097">
        <f>IFERROR(M146/M$117,0)</f>
        <v/>
      </c>
      <c r="BJ146" s="4097">
        <f>IFERROR(N146/N$117,0)</f>
        <v/>
      </c>
      <c r="BK146" s="4097">
        <f>IFERROR(O146/O$117,0)</f>
        <v/>
      </c>
      <c r="BL146" s="4097">
        <f>IFERROR(P146/P$117,0)</f>
        <v/>
      </c>
      <c r="BM146" s="4098">
        <f>IFERROR(Q146/Q$117,0)</f>
        <v/>
      </c>
      <c r="BN146" s="4097">
        <f>IFERROR(R146/R$117,0)</f>
        <v/>
      </c>
      <c r="BO146" s="4097">
        <f>IFERROR(S146/S$117,0)</f>
        <v/>
      </c>
      <c r="BP146" s="4097">
        <f>IFERROR(T146/T$117,0)</f>
        <v/>
      </c>
      <c r="BQ146" s="4097">
        <f>IFERROR(U146/U$117,0)</f>
        <v/>
      </c>
      <c r="BR146" s="4097">
        <f>IFERROR(V146/V$117,0)</f>
        <v/>
      </c>
      <c r="BS146" s="4097">
        <f>IFERROR(W146/W$117,0)</f>
        <v/>
      </c>
      <c r="BT146" s="4097">
        <f>IFERROR(X146/X$117,0)</f>
        <v/>
      </c>
      <c r="BU146" s="4097">
        <f>IFERROR(Y146/Y$117,0)</f>
        <v/>
      </c>
      <c r="BV146" s="4097">
        <f>IFERROR(Z146/Z$117,0)</f>
        <v/>
      </c>
      <c r="BW146" s="4097">
        <f>IFERROR(AA146/AA$117,0)</f>
        <v/>
      </c>
      <c r="BX146" s="4097">
        <f>IFERROR(AB146/AB$117,0)</f>
        <v/>
      </c>
      <c r="BY146" s="4098">
        <f>IFERROR(AC146/AC$117,0)</f>
        <v/>
      </c>
      <c r="BZ146" s="4097">
        <f>IFERROR(AD146/AD$117,0)</f>
        <v/>
      </c>
      <c r="CA146" s="4097">
        <f>IFERROR(AE146/AE$117,0)</f>
        <v/>
      </c>
      <c r="CB146" s="4097">
        <f>IFERROR(AF146/AF$117,0)</f>
        <v/>
      </c>
      <c r="CC146" s="4097">
        <f>IFERROR(AG146/AG$117,0)</f>
        <v/>
      </c>
      <c r="CD146" s="4097">
        <f>IFERROR(AH146/AH$117,0)</f>
        <v/>
      </c>
      <c r="CE146" s="4097">
        <f>IFERROR(AI146/AI$117,0)</f>
        <v/>
      </c>
      <c r="CF146" s="4097">
        <f>IFERROR(AJ146/AJ$117,0)</f>
        <v/>
      </c>
      <c r="CG146" s="4097">
        <f>IFERROR(AK146/AK$117,0)</f>
        <v/>
      </c>
      <c r="CH146" s="4097">
        <f>IFERROR(AL146/AL$117,0)</f>
        <v/>
      </c>
      <c r="CI146" s="4097">
        <f>IFERROR(AM146/AM$117,0)</f>
        <v/>
      </c>
      <c r="CJ146" s="4097">
        <f>IFERROR(AN146/AN$117,0)</f>
        <v/>
      </c>
      <c r="CK146" s="4098">
        <f>IFERROR(AO146/AO$117,0)</f>
        <v/>
      </c>
      <c r="CL146" s="4097">
        <f>IFERROR(AP146/AP$117,0)</f>
        <v/>
      </c>
      <c r="CM146" s="4097">
        <f>IFERROR(AQ146/AQ$117,0)</f>
        <v/>
      </c>
      <c r="CN146" s="4097">
        <f>IFERROR(AR146/AR$117,0)</f>
        <v/>
      </c>
      <c r="CO146" s="4097">
        <f>IFERROR(AS146/AS$117,0)</f>
        <v/>
      </c>
      <c r="CP146" s="4097">
        <f>IFERROR(AT146/AT$117,0)</f>
        <v/>
      </c>
      <c r="CQ146" s="4099">
        <f>IFERROR(AU146/AU$117,0)</f>
        <v/>
      </c>
      <c r="CR146" s="4097">
        <f>IFERROR(AV146/AV$117,0)</f>
        <v/>
      </c>
      <c r="CS146" s="4097">
        <f>IFERROR(AW146/AW$117,0)</f>
        <v/>
      </c>
      <c r="CT146" s="4097">
        <f>IFERROR(AX146/AX$117,0)</f>
        <v/>
      </c>
      <c r="CU146" s="4097">
        <f>IFERROR(AY146/AY$117,0)</f>
        <v/>
      </c>
      <c r="CV146" s="4097">
        <f>IFERROR(AZ146/AZ$117,0)</f>
        <v/>
      </c>
      <c r="CW146" s="3737" t="n"/>
      <c r="CX146" s="4094" t="n">
        <v>-33.59427</v>
      </c>
    </row>
    <row r="147" hidden="1" outlineLevel="2" ht="12" customFormat="1" customHeight="1" s="3737">
      <c r="A147" s="4059" t="n"/>
      <c r="B147" s="4060" t="n"/>
      <c r="C147" s="4110" t="inlineStr">
        <is>
          <t>Cogs - png others</t>
        </is>
      </c>
      <c r="D147" s="4101" t="n">
        <v>501456</v>
      </c>
      <c r="E147" s="4101">
        <f>CONCATENATE(D147," - ",C147)</f>
        <v/>
      </c>
      <c r="F147" s="4102" t="n"/>
      <c r="G147" s="4102" t="n"/>
      <c r="H147" s="4102" t="n"/>
      <c r="I147" s="4102" t="n"/>
      <c r="J147" s="4102" t="n"/>
      <c r="K147" s="4102" t="n"/>
      <c r="L147" s="4102" t="n"/>
      <c r="M147" s="4102" t="n"/>
      <c r="N147" s="4102" t="n"/>
      <c r="O147" s="4102" t="n"/>
      <c r="P147" s="4102" t="n"/>
      <c r="Q147" s="4103" t="n"/>
      <c r="R147" s="4102" t="n"/>
      <c r="S147" s="4102" t="n"/>
      <c r="T147" s="4102" t="n"/>
      <c r="U147" s="4102" t="n"/>
      <c r="V147" s="4102" t="n"/>
      <c r="W147" s="4102" t="n"/>
      <c r="X147" s="4102" t="n"/>
      <c r="Y147" s="4102" t="n"/>
      <c r="Z147" s="4102" t="n"/>
      <c r="AA147" s="4102" t="n"/>
      <c r="AB147" s="4102" t="n"/>
      <c r="AC147" s="4103" t="n"/>
      <c r="AD147" s="4102" t="n"/>
      <c r="AE147" s="4102" t="n"/>
      <c r="AF147" s="4102" t="n"/>
      <c r="AG147" s="4102" t="n"/>
      <c r="AH147" s="4102" t="n"/>
      <c r="AI147" s="4102" t="n"/>
      <c r="AJ147" s="4102" t="n"/>
      <c r="AK147" s="4102" t="n"/>
      <c r="AL147" s="4102" t="n"/>
      <c r="AM147" s="4102" t="n"/>
      <c r="AN147" s="4102" t="n"/>
      <c r="AO147" s="4103" t="n"/>
      <c r="AP147" s="4102" t="n">
        <v>-0.17251</v>
      </c>
      <c r="AQ147" s="4102" t="n">
        <v>-0.12553</v>
      </c>
      <c r="AR147" s="4102" t="n">
        <v>-0.12553</v>
      </c>
      <c r="AS147" s="4102" t="n">
        <v>-0.12553</v>
      </c>
      <c r="AT147" s="4102" t="n">
        <v>-0.12553</v>
      </c>
      <c r="AU147" s="4104" t="n">
        <v>-0.12553</v>
      </c>
      <c r="AV147" s="4102">
        <f>SUM(F147:Q147)</f>
        <v/>
      </c>
      <c r="AW147" s="4102">
        <f>SUM(R147:AC147)</f>
        <v/>
      </c>
      <c r="AX147" s="4102">
        <f>SUM(AD147:AO147)</f>
        <v/>
      </c>
      <c r="AY147" s="4102">
        <f>SUM(AH147:AS147)</f>
        <v/>
      </c>
      <c r="AZ147" s="4102">
        <f>SUM(AJ147:AU147)</f>
        <v/>
      </c>
      <c r="BA147" s="3737" t="n"/>
      <c r="BB147" s="4105">
        <f>IFERROR(F147/F$117,0)</f>
        <v/>
      </c>
      <c r="BC147" s="4105">
        <f>IFERROR(G147/G$117,0)</f>
        <v/>
      </c>
      <c r="BD147" s="4105">
        <f>IFERROR(H147/H$117,0)</f>
        <v/>
      </c>
      <c r="BE147" s="4105">
        <f>IFERROR(I147/I$117,0)</f>
        <v/>
      </c>
      <c r="BF147" s="4105">
        <f>IFERROR(J147/J$117,0)</f>
        <v/>
      </c>
      <c r="BG147" s="4105">
        <f>IFERROR(K147/K$117,0)</f>
        <v/>
      </c>
      <c r="BH147" s="4105">
        <f>IFERROR(L147/L$117,0)</f>
        <v/>
      </c>
      <c r="BI147" s="4105">
        <f>IFERROR(M147/M$117,0)</f>
        <v/>
      </c>
      <c r="BJ147" s="4105">
        <f>IFERROR(N147/N$117,0)</f>
        <v/>
      </c>
      <c r="BK147" s="4105">
        <f>IFERROR(O147/O$117,0)</f>
        <v/>
      </c>
      <c r="BL147" s="4105">
        <f>IFERROR(P147/P$117,0)</f>
        <v/>
      </c>
      <c r="BM147" s="4106">
        <f>IFERROR(Q147/Q$117,0)</f>
        <v/>
      </c>
      <c r="BN147" s="4105">
        <f>IFERROR(R147/R$117,0)</f>
        <v/>
      </c>
      <c r="BO147" s="4105">
        <f>IFERROR(S147/S$117,0)</f>
        <v/>
      </c>
      <c r="BP147" s="4105">
        <f>IFERROR(T147/T$117,0)</f>
        <v/>
      </c>
      <c r="BQ147" s="4105">
        <f>IFERROR(U147/U$117,0)</f>
        <v/>
      </c>
      <c r="BR147" s="4105">
        <f>IFERROR(V147/V$117,0)</f>
        <v/>
      </c>
      <c r="BS147" s="4105">
        <f>IFERROR(W147/W$117,0)</f>
        <v/>
      </c>
      <c r="BT147" s="4105">
        <f>IFERROR(X147/X$117,0)</f>
        <v/>
      </c>
      <c r="BU147" s="4105">
        <f>IFERROR(Y147/Y$117,0)</f>
        <v/>
      </c>
      <c r="BV147" s="4105">
        <f>IFERROR(Z147/Z$117,0)</f>
        <v/>
      </c>
      <c r="BW147" s="4105">
        <f>IFERROR(AA147/AA$117,0)</f>
        <v/>
      </c>
      <c r="BX147" s="4105">
        <f>IFERROR(AB147/AB$117,0)</f>
        <v/>
      </c>
      <c r="BY147" s="4106">
        <f>IFERROR(AC147/AC$117,0)</f>
        <v/>
      </c>
      <c r="BZ147" s="4105">
        <f>IFERROR(AD147/AD$117,0)</f>
        <v/>
      </c>
      <c r="CA147" s="4105">
        <f>IFERROR(AE147/AE$117,0)</f>
        <v/>
      </c>
      <c r="CB147" s="4105">
        <f>IFERROR(AF147/AF$117,0)</f>
        <v/>
      </c>
      <c r="CC147" s="4105">
        <f>IFERROR(AG147/AG$117,0)</f>
        <v/>
      </c>
      <c r="CD147" s="4105">
        <f>IFERROR(AH147/AH$117,0)</f>
        <v/>
      </c>
      <c r="CE147" s="4105">
        <f>IFERROR(AI147/AI$117,0)</f>
        <v/>
      </c>
      <c r="CF147" s="4105">
        <f>IFERROR(AJ147/AJ$117,0)</f>
        <v/>
      </c>
      <c r="CG147" s="4105">
        <f>IFERROR(AK147/AK$117,0)</f>
        <v/>
      </c>
      <c r="CH147" s="4105">
        <f>IFERROR(AL147/AL$117,0)</f>
        <v/>
      </c>
      <c r="CI147" s="4105">
        <f>IFERROR(AM147/AM$117,0)</f>
        <v/>
      </c>
      <c r="CJ147" s="4105">
        <f>IFERROR(AN147/AN$117,0)</f>
        <v/>
      </c>
      <c r="CK147" s="4106">
        <f>IFERROR(AO147/AO$117,0)</f>
        <v/>
      </c>
      <c r="CL147" s="4105">
        <f>IFERROR(AP147/AP$117,0)</f>
        <v/>
      </c>
      <c r="CM147" s="4105">
        <f>IFERROR(AQ147/AQ$117,0)</f>
        <v/>
      </c>
      <c r="CN147" s="4105">
        <f>IFERROR(AR147/AR$117,0)</f>
        <v/>
      </c>
      <c r="CO147" s="4105">
        <f>IFERROR(AS147/AS$117,0)</f>
        <v/>
      </c>
      <c r="CP147" s="4105">
        <f>IFERROR(AT147/AT$117,0)</f>
        <v/>
      </c>
      <c r="CQ147" s="4107">
        <f>IFERROR(AU147/AU$117,0)</f>
        <v/>
      </c>
      <c r="CR147" s="4105">
        <f>IFERROR(AV147/AV$117,0)</f>
        <v/>
      </c>
      <c r="CS147" s="4105">
        <f>IFERROR(AW147/AW$117,0)</f>
        <v/>
      </c>
      <c r="CT147" s="4105">
        <f>IFERROR(AX147/AX$117,0)</f>
        <v/>
      </c>
      <c r="CU147" s="4105">
        <f>IFERROR(AY147/AY$117,0)</f>
        <v/>
      </c>
      <c r="CV147" s="4105">
        <f>IFERROR(AZ147/AZ$117,0)</f>
        <v/>
      </c>
      <c r="CW147" s="3737" t="n"/>
      <c r="CX147" s="4102" t="n">
        <v>0</v>
      </c>
    </row>
    <row r="148" hidden="1" outlineLevel="1" collapsed="1" ht="12" customFormat="1" customHeight="1" s="3737">
      <c r="A148" s="4059" t="n"/>
      <c r="B148" s="4060" t="n"/>
      <c r="C148" s="4111" t="inlineStr">
        <is>
          <t>Cost of goods sold</t>
        </is>
      </c>
      <c r="D148" s="4093" t="n"/>
      <c r="E148" s="4093" t="n"/>
      <c r="F148" s="4094" t="n"/>
      <c r="G148" s="4094" t="n"/>
      <c r="H148" s="4094" t="n"/>
      <c r="I148" s="4094" t="n"/>
      <c r="J148" s="4094" t="n"/>
      <c r="K148" s="4094" t="n"/>
      <c r="L148" s="4094" t="n"/>
      <c r="M148" s="4094" t="n"/>
      <c r="N148" s="4094" t="n"/>
      <c r="O148" s="4094" t="n"/>
      <c r="P148" s="4094" t="n"/>
      <c r="Q148" s="4095" t="n"/>
      <c r="R148" s="4094" t="n"/>
      <c r="S148" s="4094" t="n"/>
      <c r="T148" s="4094" t="n"/>
      <c r="U148" s="4094" t="n"/>
      <c r="V148" s="4094" t="n"/>
      <c r="W148" s="4094" t="n"/>
      <c r="X148" s="4094" t="n"/>
      <c r="Y148" s="4094" t="n"/>
      <c r="Z148" s="4094" t="n"/>
      <c r="AA148" s="4094" t="n"/>
      <c r="AB148" s="4094" t="n"/>
      <c r="AC148" s="4095" t="n"/>
      <c r="AD148" s="4094" t="n"/>
      <c r="AE148" s="4094" t="n"/>
      <c r="AF148" s="4094" t="n"/>
      <c r="AG148" s="4094" t="n"/>
      <c r="AH148" s="4094" t="n"/>
      <c r="AI148" s="4094" t="n"/>
      <c r="AJ148" s="4094" t="n"/>
      <c r="AK148" s="4094" t="n"/>
      <c r="AL148" s="4094" t="n"/>
      <c r="AM148" s="4094" t="n"/>
      <c r="AN148" s="4094" t="n"/>
      <c r="AO148" s="4095" t="n"/>
      <c r="AP148" s="4094">
        <f>SUM(AP118:AP147)</f>
        <v/>
      </c>
      <c r="AQ148" s="4094">
        <f>SUM(AQ118:AQ147)</f>
        <v/>
      </c>
      <c r="AR148" s="4094">
        <f>SUM(AR118:AR147)</f>
        <v/>
      </c>
      <c r="AS148" s="4094">
        <f>SUM(AS118:AS147)</f>
        <v/>
      </c>
      <c r="AT148" s="4094">
        <f>SUM(AT118:AT147)</f>
        <v/>
      </c>
      <c r="AU148" s="4096">
        <f>SUM(AU118:AU147)</f>
        <v/>
      </c>
      <c r="AV148" s="4094">
        <f>SUM(AV118:AV147)</f>
        <v/>
      </c>
      <c r="AW148" s="4094">
        <f>SUM(AW118:AW147)</f>
        <v/>
      </c>
      <c r="AX148" s="4094">
        <f>SUM(AX118:AX147)</f>
        <v/>
      </c>
      <c r="AY148" s="4094">
        <f>SUM(AY118:AY147)</f>
        <v/>
      </c>
      <c r="AZ148" s="4094">
        <f>SUM(AZ118:AZ147)</f>
        <v/>
      </c>
      <c r="BA148" s="3737" t="n"/>
      <c r="BB148" s="4097">
        <f>IFERROR(F148/F$117,0)</f>
        <v/>
      </c>
      <c r="BC148" s="4097">
        <f>IFERROR(G148/G$117,0)</f>
        <v/>
      </c>
      <c r="BD148" s="4097">
        <f>IFERROR(H148/H$117,0)</f>
        <v/>
      </c>
      <c r="BE148" s="4097">
        <f>IFERROR(I148/I$117,0)</f>
        <v/>
      </c>
      <c r="BF148" s="4097">
        <f>IFERROR(J148/J$117,0)</f>
        <v/>
      </c>
      <c r="BG148" s="4097">
        <f>IFERROR(K148/K$117,0)</f>
        <v/>
      </c>
      <c r="BH148" s="4097">
        <f>IFERROR(L148/L$117,0)</f>
        <v/>
      </c>
      <c r="BI148" s="4097">
        <f>IFERROR(M148/M$117,0)</f>
        <v/>
      </c>
      <c r="BJ148" s="4097">
        <f>IFERROR(N148/N$117,0)</f>
        <v/>
      </c>
      <c r="BK148" s="4097">
        <f>IFERROR(O148/O$117,0)</f>
        <v/>
      </c>
      <c r="BL148" s="4097">
        <f>IFERROR(P148/P$117,0)</f>
        <v/>
      </c>
      <c r="BM148" s="4098">
        <f>IFERROR(Q148/Q$117,0)</f>
        <v/>
      </c>
      <c r="BN148" s="4097">
        <f>IFERROR(R148/R$117,0)</f>
        <v/>
      </c>
      <c r="BO148" s="4097">
        <f>IFERROR(S148/S$117,0)</f>
        <v/>
      </c>
      <c r="BP148" s="4097">
        <f>IFERROR(T148/T$117,0)</f>
        <v/>
      </c>
      <c r="BQ148" s="4097">
        <f>IFERROR(U148/U$117,0)</f>
        <v/>
      </c>
      <c r="BR148" s="4097">
        <f>IFERROR(V148/V$117,0)</f>
        <v/>
      </c>
      <c r="BS148" s="4097">
        <f>IFERROR(W148/W$117,0)</f>
        <v/>
      </c>
      <c r="BT148" s="4097">
        <f>IFERROR(X148/X$117,0)</f>
        <v/>
      </c>
      <c r="BU148" s="4097">
        <f>IFERROR(Y148/Y$117,0)</f>
        <v/>
      </c>
      <c r="BV148" s="4097">
        <f>IFERROR(Z148/Z$117,0)</f>
        <v/>
      </c>
      <c r="BW148" s="4097">
        <f>IFERROR(AA148/AA$117,0)</f>
        <v/>
      </c>
      <c r="BX148" s="4097">
        <f>IFERROR(AB148/AB$117,0)</f>
        <v/>
      </c>
      <c r="BY148" s="4098">
        <f>IFERROR(AC148/AC$117,0)</f>
        <v/>
      </c>
      <c r="BZ148" s="4097">
        <f>IFERROR(AD148/AD$117,0)</f>
        <v/>
      </c>
      <c r="CA148" s="4097">
        <f>IFERROR(AE148/AE$117,0)</f>
        <v/>
      </c>
      <c r="CB148" s="4097">
        <f>IFERROR(AF148/AF$117,0)</f>
        <v/>
      </c>
      <c r="CC148" s="4097">
        <f>IFERROR(AG148/AG$117,0)</f>
        <v/>
      </c>
      <c r="CD148" s="4097">
        <f>IFERROR(AH148/AH$117,0)</f>
        <v/>
      </c>
      <c r="CE148" s="4097">
        <f>IFERROR(AI148/AI$117,0)</f>
        <v/>
      </c>
      <c r="CF148" s="4097">
        <f>IFERROR(AJ148/AJ$117,0)</f>
        <v/>
      </c>
      <c r="CG148" s="4097">
        <f>IFERROR(AK148/AK$117,0)</f>
        <v/>
      </c>
      <c r="CH148" s="4097">
        <f>IFERROR(AL148/AL$117,0)</f>
        <v/>
      </c>
      <c r="CI148" s="4097">
        <f>IFERROR(AM148/AM$117,0)</f>
        <v/>
      </c>
      <c r="CJ148" s="4097">
        <f>IFERROR(AN148/AN$117,0)</f>
        <v/>
      </c>
      <c r="CK148" s="4098">
        <f>IFERROR(AO148/AO$117,0)</f>
        <v/>
      </c>
      <c r="CL148" s="4097">
        <f>IFERROR(AP148/AP$117,0)</f>
        <v/>
      </c>
      <c r="CM148" s="4097">
        <f>IFERROR(AQ148/AQ$117,0)</f>
        <v/>
      </c>
      <c r="CN148" s="4097">
        <f>IFERROR(AR148/AR$117,0)</f>
        <v/>
      </c>
      <c r="CO148" s="4097">
        <f>IFERROR(AS148/AS$117,0)</f>
        <v/>
      </c>
      <c r="CP148" s="4097">
        <f>IFERROR(AT148/AT$117,0)</f>
        <v/>
      </c>
      <c r="CQ148" s="4099">
        <f>IFERROR(AU148/AU$117,0)</f>
        <v/>
      </c>
      <c r="CR148" s="4097">
        <f>IFERROR(AV148/AV$117,0)</f>
        <v/>
      </c>
      <c r="CS148" s="4097">
        <f>IFERROR(AW148/AW$117,0)</f>
        <v/>
      </c>
      <c r="CT148" s="4097">
        <f>IFERROR(AX148/AX$117,0)</f>
        <v/>
      </c>
      <c r="CU148" s="4097">
        <f>IFERROR(AY148/AY$117,0)</f>
        <v/>
      </c>
      <c r="CV148" s="4097">
        <f>IFERROR(AZ148/AZ$117,0)</f>
        <v/>
      </c>
      <c r="CW148" s="3737" t="n"/>
      <c r="CX148" s="4094">
        <f>SUM(CX118:CX147)</f>
        <v/>
      </c>
    </row>
    <row r="149" hidden="1" outlineLevel="2" ht="12" customFormat="1" customHeight="1" s="3737">
      <c r="A149" s="4059" t="n"/>
      <c r="B149" s="4060" t="n"/>
      <c r="C149" s="4109" t="inlineStr">
        <is>
          <t>Reimbursed exp - dma network interchg&amp;switch fees</t>
        </is>
      </c>
      <c r="D149" s="4093" t="n">
        <v>601122</v>
      </c>
      <c r="E149" s="4093">
        <f>CONCATENATE(D149," - ",C149)</f>
        <v/>
      </c>
      <c r="F149" s="4094" t="n"/>
      <c r="G149" s="4094" t="n"/>
      <c r="H149" s="4094" t="n"/>
      <c r="I149" s="4094" t="n"/>
      <c r="J149" s="4094" t="n"/>
      <c r="K149" s="4094" t="n"/>
      <c r="L149" s="4094" t="n"/>
      <c r="M149" s="4094" t="n"/>
      <c r="N149" s="4094" t="n"/>
      <c r="O149" s="4094" t="n"/>
      <c r="P149" s="4094" t="n"/>
      <c r="Q149" s="4095" t="n"/>
      <c r="R149" s="4094" t="n"/>
      <c r="S149" s="4094" t="n"/>
      <c r="T149" s="4094" t="n"/>
      <c r="U149" s="4094" t="n"/>
      <c r="V149" s="4094" t="n"/>
      <c r="W149" s="4094" t="n"/>
      <c r="X149" s="4094" t="n"/>
      <c r="Y149" s="4094" t="n"/>
      <c r="Z149" s="4094" t="n"/>
      <c r="AA149" s="4094" t="n"/>
      <c r="AB149" s="4094" t="n"/>
      <c r="AC149" s="4095" t="n"/>
      <c r="AD149" s="4094" t="n"/>
      <c r="AE149" s="4094" t="n"/>
      <c r="AF149" s="4094" t="n"/>
      <c r="AG149" s="4094" t="n"/>
      <c r="AH149" s="4094" t="n"/>
      <c r="AI149" s="4094" t="n"/>
      <c r="AJ149" s="4094" t="n"/>
      <c r="AK149" s="4094" t="n"/>
      <c r="AL149" s="4094" t="n"/>
      <c r="AM149" s="4094" t="n"/>
      <c r="AN149" s="4094" t="n"/>
      <c r="AO149" s="4095" t="n"/>
      <c r="AP149" s="4094" t="n">
        <v>-171.84532</v>
      </c>
      <c r="AQ149" s="4094" t="n">
        <v>-308.37659</v>
      </c>
      <c r="AR149" s="4094" t="n">
        <v>-146.35696</v>
      </c>
      <c r="AS149" s="4094" t="n">
        <v>-154.90765</v>
      </c>
      <c r="AT149" s="4094" t="n">
        <v>-149.96756</v>
      </c>
      <c r="AU149" s="4096" t="n">
        <v>-176.88421</v>
      </c>
      <c r="AV149" s="4094">
        <f>SUM(F149:Q149)</f>
        <v/>
      </c>
      <c r="AW149" s="4094">
        <f>SUM(R149:AC149)</f>
        <v/>
      </c>
      <c r="AX149" s="4094">
        <f>SUM(AD149:AO149)</f>
        <v/>
      </c>
      <c r="AY149" s="4094">
        <f>SUM(AH149:AS149)</f>
        <v/>
      </c>
      <c r="AZ149" s="4094">
        <f>SUM(AJ149:AU149)</f>
        <v/>
      </c>
      <c r="BA149" s="3737" t="n"/>
      <c r="BB149" s="4097">
        <f>IFERROR(F149/F$117,0)</f>
        <v/>
      </c>
      <c r="BC149" s="4097">
        <f>IFERROR(G149/G$117,0)</f>
        <v/>
      </c>
      <c r="BD149" s="4097">
        <f>IFERROR(H149/H$117,0)</f>
        <v/>
      </c>
      <c r="BE149" s="4097">
        <f>IFERROR(I149/I$117,0)</f>
        <v/>
      </c>
      <c r="BF149" s="4097">
        <f>IFERROR(J149/J$117,0)</f>
        <v/>
      </c>
      <c r="BG149" s="4097">
        <f>IFERROR(K149/K$117,0)</f>
        <v/>
      </c>
      <c r="BH149" s="4097">
        <f>IFERROR(L149/L$117,0)</f>
        <v/>
      </c>
      <c r="BI149" s="4097">
        <f>IFERROR(M149/M$117,0)</f>
        <v/>
      </c>
      <c r="BJ149" s="4097">
        <f>IFERROR(N149/N$117,0)</f>
        <v/>
      </c>
      <c r="BK149" s="4097">
        <f>IFERROR(O149/O$117,0)</f>
        <v/>
      </c>
      <c r="BL149" s="4097">
        <f>IFERROR(P149/P$117,0)</f>
        <v/>
      </c>
      <c r="BM149" s="4098">
        <f>IFERROR(Q149/Q$117,0)</f>
        <v/>
      </c>
      <c r="BN149" s="4097">
        <f>IFERROR(R149/R$117,0)</f>
        <v/>
      </c>
      <c r="BO149" s="4097">
        <f>IFERROR(S149/S$117,0)</f>
        <v/>
      </c>
      <c r="BP149" s="4097">
        <f>IFERROR(T149/T$117,0)</f>
        <v/>
      </c>
      <c r="BQ149" s="4097">
        <f>IFERROR(U149/U$117,0)</f>
        <v/>
      </c>
      <c r="BR149" s="4097">
        <f>IFERROR(V149/V$117,0)</f>
        <v/>
      </c>
      <c r="BS149" s="4097">
        <f>IFERROR(W149/W$117,0)</f>
        <v/>
      </c>
      <c r="BT149" s="4097">
        <f>IFERROR(X149/X$117,0)</f>
        <v/>
      </c>
      <c r="BU149" s="4097">
        <f>IFERROR(Y149/Y$117,0)</f>
        <v/>
      </c>
      <c r="BV149" s="4097">
        <f>IFERROR(Z149/Z$117,0)</f>
        <v/>
      </c>
      <c r="BW149" s="4097">
        <f>IFERROR(AA149/AA$117,0)</f>
        <v/>
      </c>
      <c r="BX149" s="4097">
        <f>IFERROR(AB149/AB$117,0)</f>
        <v/>
      </c>
      <c r="BY149" s="4098">
        <f>IFERROR(AC149/AC$117,0)</f>
        <v/>
      </c>
      <c r="BZ149" s="4097">
        <f>IFERROR(AD149/AD$117,0)</f>
        <v/>
      </c>
      <c r="CA149" s="4097">
        <f>IFERROR(AE149/AE$117,0)</f>
        <v/>
      </c>
      <c r="CB149" s="4097">
        <f>IFERROR(AF149/AF$117,0)</f>
        <v/>
      </c>
      <c r="CC149" s="4097">
        <f>IFERROR(AG149/AG$117,0)</f>
        <v/>
      </c>
      <c r="CD149" s="4097">
        <f>IFERROR(AH149/AH$117,0)</f>
        <v/>
      </c>
      <c r="CE149" s="4097">
        <f>IFERROR(AI149/AI$117,0)</f>
        <v/>
      </c>
      <c r="CF149" s="4097">
        <f>IFERROR(AJ149/AJ$117,0)</f>
        <v/>
      </c>
      <c r="CG149" s="4097">
        <f>IFERROR(AK149/AK$117,0)</f>
        <v/>
      </c>
      <c r="CH149" s="4097">
        <f>IFERROR(AL149/AL$117,0)</f>
        <v/>
      </c>
      <c r="CI149" s="4097">
        <f>IFERROR(AM149/AM$117,0)</f>
        <v/>
      </c>
      <c r="CJ149" s="4097">
        <f>IFERROR(AN149/AN$117,0)</f>
        <v/>
      </c>
      <c r="CK149" s="4098">
        <f>IFERROR(AO149/AO$117,0)</f>
        <v/>
      </c>
      <c r="CL149" s="4097">
        <f>IFERROR(AP149/AP$117,0)</f>
        <v/>
      </c>
      <c r="CM149" s="4097">
        <f>IFERROR(AQ149/AQ$117,0)</f>
        <v/>
      </c>
      <c r="CN149" s="4097">
        <f>IFERROR(AR149/AR$117,0)</f>
        <v/>
      </c>
      <c r="CO149" s="4097">
        <f>IFERROR(AS149/AS$117,0)</f>
        <v/>
      </c>
      <c r="CP149" s="4097">
        <f>IFERROR(AT149/AT$117,0)</f>
        <v/>
      </c>
      <c r="CQ149" s="4099">
        <f>IFERROR(AU149/AU$117,0)</f>
        <v/>
      </c>
      <c r="CR149" s="4097">
        <f>IFERROR(AV149/AV$117,0)</f>
        <v/>
      </c>
      <c r="CS149" s="4097">
        <f>IFERROR(AW149/AW$117,0)</f>
        <v/>
      </c>
      <c r="CT149" s="4097">
        <f>IFERROR(AX149/AX$117,0)</f>
        <v/>
      </c>
      <c r="CU149" s="4097">
        <f>IFERROR(AY149/AY$117,0)</f>
        <v/>
      </c>
      <c r="CV149" s="4097">
        <f>IFERROR(AZ149/AZ$117,0)</f>
        <v/>
      </c>
      <c r="CW149" s="3737" t="n"/>
      <c r="CX149" s="4094" t="n">
        <v>0</v>
      </c>
    </row>
    <row r="150" hidden="1" outlineLevel="2" ht="12" customFormat="1" customHeight="1" s="3737">
      <c r="A150" s="4059" t="n"/>
      <c r="B150" s="4060" t="n"/>
      <c r="C150" s="4109" t="inlineStr">
        <is>
          <t>Reimbursable expenses - postage</t>
        </is>
      </c>
      <c r="D150" s="4093" t="n">
        <v>601102</v>
      </c>
      <c r="E150" s="4093">
        <f>CONCATENATE(D150," - ",C150)</f>
        <v/>
      </c>
      <c r="F150" s="4094" t="n"/>
      <c r="G150" s="4094" t="n"/>
      <c r="H150" s="4094" t="n"/>
      <c r="I150" s="4094" t="n"/>
      <c r="J150" s="4094" t="n"/>
      <c r="K150" s="4094" t="n"/>
      <c r="L150" s="4094" t="n"/>
      <c r="M150" s="4094" t="n"/>
      <c r="N150" s="4094" t="n"/>
      <c r="O150" s="4094" t="n"/>
      <c r="P150" s="4094" t="n"/>
      <c r="Q150" s="4095" t="n"/>
      <c r="R150" s="4094" t="n"/>
      <c r="S150" s="4094" t="n"/>
      <c r="T150" s="4094" t="n"/>
      <c r="U150" s="4094" t="n"/>
      <c r="V150" s="4094" t="n"/>
      <c r="W150" s="4094" t="n"/>
      <c r="X150" s="4094" t="n"/>
      <c r="Y150" s="4094" t="n"/>
      <c r="Z150" s="4094" t="n"/>
      <c r="AA150" s="4094" t="n"/>
      <c r="AB150" s="4094" t="n"/>
      <c r="AC150" s="4095" t="n"/>
      <c r="AD150" s="4094" t="n"/>
      <c r="AE150" s="4094" t="n"/>
      <c r="AF150" s="4094" t="n"/>
      <c r="AG150" s="4094" t="n"/>
      <c r="AH150" s="4094" t="n"/>
      <c r="AI150" s="4094" t="n"/>
      <c r="AJ150" s="4094" t="n"/>
      <c r="AK150" s="4094" t="n"/>
      <c r="AL150" s="4094" t="n"/>
      <c r="AM150" s="4094" t="n"/>
      <c r="AN150" s="4094" t="n"/>
      <c r="AO150" s="4095" t="n"/>
      <c r="AP150" s="4094" t="n">
        <v>-62.64146</v>
      </c>
      <c r="AQ150" s="4094" t="n">
        <v>-41.46869</v>
      </c>
      <c r="AR150" s="4094" t="n">
        <v>-42.9431</v>
      </c>
      <c r="AS150" s="4094" t="n">
        <v>-54.20234</v>
      </c>
      <c r="AT150" s="4094" t="n">
        <v>-53.91721</v>
      </c>
      <c r="AU150" s="4096" t="n">
        <v>-66.93471</v>
      </c>
      <c r="AV150" s="4094">
        <f>SUM(F150:Q150)</f>
        <v/>
      </c>
      <c r="AW150" s="4094">
        <f>SUM(R150:AC150)</f>
        <v/>
      </c>
      <c r="AX150" s="4094">
        <f>SUM(AD150:AO150)</f>
        <v/>
      </c>
      <c r="AY150" s="4094">
        <f>SUM(AH150:AS150)</f>
        <v/>
      </c>
      <c r="AZ150" s="4094">
        <f>SUM(AJ150:AU150)</f>
        <v/>
      </c>
      <c r="BA150" s="3737" t="n"/>
      <c r="BB150" s="4097">
        <f>IFERROR(F150/F$117,0)</f>
        <v/>
      </c>
      <c r="BC150" s="4097">
        <f>IFERROR(G150/G$117,0)</f>
        <v/>
      </c>
      <c r="BD150" s="4097">
        <f>IFERROR(H150/H$117,0)</f>
        <v/>
      </c>
      <c r="BE150" s="4097">
        <f>IFERROR(I150/I$117,0)</f>
        <v/>
      </c>
      <c r="BF150" s="4097">
        <f>IFERROR(J150/J$117,0)</f>
        <v/>
      </c>
      <c r="BG150" s="4097">
        <f>IFERROR(K150/K$117,0)</f>
        <v/>
      </c>
      <c r="BH150" s="4097">
        <f>IFERROR(L150/L$117,0)</f>
        <v/>
      </c>
      <c r="BI150" s="4097">
        <f>IFERROR(M150/M$117,0)</f>
        <v/>
      </c>
      <c r="BJ150" s="4097">
        <f>IFERROR(N150/N$117,0)</f>
        <v/>
      </c>
      <c r="BK150" s="4097">
        <f>IFERROR(O150/O$117,0)</f>
        <v/>
      </c>
      <c r="BL150" s="4097">
        <f>IFERROR(P150/P$117,0)</f>
        <v/>
      </c>
      <c r="BM150" s="4098">
        <f>IFERROR(Q150/Q$117,0)</f>
        <v/>
      </c>
      <c r="BN150" s="4097">
        <f>IFERROR(R150/R$117,0)</f>
        <v/>
      </c>
      <c r="BO150" s="4097">
        <f>IFERROR(S150/S$117,0)</f>
        <v/>
      </c>
      <c r="BP150" s="4097">
        <f>IFERROR(T150/T$117,0)</f>
        <v/>
      </c>
      <c r="BQ150" s="4097">
        <f>IFERROR(U150/U$117,0)</f>
        <v/>
      </c>
      <c r="BR150" s="4097">
        <f>IFERROR(V150/V$117,0)</f>
        <v/>
      </c>
      <c r="BS150" s="4097">
        <f>IFERROR(W150/W$117,0)</f>
        <v/>
      </c>
      <c r="BT150" s="4097">
        <f>IFERROR(X150/X$117,0)</f>
        <v/>
      </c>
      <c r="BU150" s="4097">
        <f>IFERROR(Y150/Y$117,0)</f>
        <v/>
      </c>
      <c r="BV150" s="4097">
        <f>IFERROR(Z150/Z$117,0)</f>
        <v/>
      </c>
      <c r="BW150" s="4097">
        <f>IFERROR(AA150/AA$117,0)</f>
        <v/>
      </c>
      <c r="BX150" s="4097">
        <f>IFERROR(AB150/AB$117,0)</f>
        <v/>
      </c>
      <c r="BY150" s="4098">
        <f>IFERROR(AC150/AC$117,0)</f>
        <v/>
      </c>
      <c r="BZ150" s="4097">
        <f>IFERROR(AD150/AD$117,0)</f>
        <v/>
      </c>
      <c r="CA150" s="4097">
        <f>IFERROR(AE150/AE$117,0)</f>
        <v/>
      </c>
      <c r="CB150" s="4097">
        <f>IFERROR(AF150/AF$117,0)</f>
        <v/>
      </c>
      <c r="CC150" s="4097">
        <f>IFERROR(AG150/AG$117,0)</f>
        <v/>
      </c>
      <c r="CD150" s="4097">
        <f>IFERROR(AH150/AH$117,0)</f>
        <v/>
      </c>
      <c r="CE150" s="4097">
        <f>IFERROR(AI150/AI$117,0)</f>
        <v/>
      </c>
      <c r="CF150" s="4097">
        <f>IFERROR(AJ150/AJ$117,0)</f>
        <v/>
      </c>
      <c r="CG150" s="4097">
        <f>IFERROR(AK150/AK$117,0)</f>
        <v/>
      </c>
      <c r="CH150" s="4097">
        <f>IFERROR(AL150/AL$117,0)</f>
        <v/>
      </c>
      <c r="CI150" s="4097">
        <f>IFERROR(AM150/AM$117,0)</f>
        <v/>
      </c>
      <c r="CJ150" s="4097">
        <f>IFERROR(AN150/AN$117,0)</f>
        <v/>
      </c>
      <c r="CK150" s="4098">
        <f>IFERROR(AO150/AO$117,0)</f>
        <v/>
      </c>
      <c r="CL150" s="4097">
        <f>IFERROR(AP150/AP$117,0)</f>
        <v/>
      </c>
      <c r="CM150" s="4097">
        <f>IFERROR(AQ150/AQ$117,0)</f>
        <v/>
      </c>
      <c r="CN150" s="4097">
        <f>IFERROR(AR150/AR$117,0)</f>
        <v/>
      </c>
      <c r="CO150" s="4097">
        <f>IFERROR(AS150/AS$117,0)</f>
        <v/>
      </c>
      <c r="CP150" s="4097">
        <f>IFERROR(AT150/AT$117,0)</f>
        <v/>
      </c>
      <c r="CQ150" s="4099">
        <f>IFERROR(AU150/AU$117,0)</f>
        <v/>
      </c>
      <c r="CR150" s="4097">
        <f>IFERROR(AV150/AV$117,0)</f>
        <v/>
      </c>
      <c r="CS150" s="4097">
        <f>IFERROR(AW150/AW$117,0)</f>
        <v/>
      </c>
      <c r="CT150" s="4097">
        <f>IFERROR(AX150/AX$117,0)</f>
        <v/>
      </c>
      <c r="CU150" s="4097">
        <f>IFERROR(AY150/AY$117,0)</f>
        <v/>
      </c>
      <c r="CV150" s="4097">
        <f>IFERROR(AZ150/AZ$117,0)</f>
        <v/>
      </c>
      <c r="CW150" s="3737" t="n"/>
      <c r="CX150" s="4094" t="n">
        <v>-375.5262</v>
      </c>
    </row>
    <row r="151" hidden="1" outlineLevel="2" ht="12" customFormat="1" customHeight="1" s="3737">
      <c r="A151" s="4059" t="n"/>
      <c r="B151" s="4060" t="n"/>
      <c r="C151" s="4109" t="inlineStr">
        <is>
          <t>Reimbursable exp - mc interchg &amp; switch fees</t>
        </is>
      </c>
      <c r="D151" s="4093" t="n">
        <v>601105</v>
      </c>
      <c r="E151" s="4093">
        <f>CONCATENATE(D151," - ",C151)</f>
        <v/>
      </c>
      <c r="F151" s="4094" t="n"/>
      <c r="G151" s="4094" t="n"/>
      <c r="H151" s="4094" t="n"/>
      <c r="I151" s="4094" t="n"/>
      <c r="J151" s="4094" t="n"/>
      <c r="K151" s="4094" t="n"/>
      <c r="L151" s="4094" t="n"/>
      <c r="M151" s="4094" t="n"/>
      <c r="N151" s="4094" t="n"/>
      <c r="O151" s="4094" t="n"/>
      <c r="P151" s="4094" t="n"/>
      <c r="Q151" s="4095" t="n"/>
      <c r="R151" s="4094" t="n"/>
      <c r="S151" s="4094" t="n"/>
      <c r="T151" s="4094" t="n"/>
      <c r="U151" s="4094" t="n"/>
      <c r="V151" s="4094" t="n"/>
      <c r="W151" s="4094" t="n"/>
      <c r="X151" s="4094" t="n"/>
      <c r="Y151" s="4094" t="n"/>
      <c r="Z151" s="4094" t="n"/>
      <c r="AA151" s="4094" t="n"/>
      <c r="AB151" s="4094" t="n"/>
      <c r="AC151" s="4095" t="n"/>
      <c r="AD151" s="4094" t="n"/>
      <c r="AE151" s="4094" t="n"/>
      <c r="AF151" s="4094" t="n"/>
      <c r="AG151" s="4094" t="n"/>
      <c r="AH151" s="4094" t="n"/>
      <c r="AI151" s="4094" t="n"/>
      <c r="AJ151" s="4094" t="n"/>
      <c r="AK151" s="4094" t="n"/>
      <c r="AL151" s="4094" t="n"/>
      <c r="AM151" s="4094" t="n"/>
      <c r="AN151" s="4094" t="n"/>
      <c r="AO151" s="4095" t="n"/>
      <c r="AP151" s="4094" t="n">
        <v>-84.59028000000001</v>
      </c>
      <c r="AQ151" s="4094" t="n">
        <v>-103.21405</v>
      </c>
      <c r="AR151" s="4094" t="n">
        <v>-97.001</v>
      </c>
      <c r="AS151" s="4094" t="n">
        <v>-102.21305</v>
      </c>
      <c r="AT151" s="4094" t="n">
        <v>-110.69646</v>
      </c>
      <c r="AU151" s="4096" t="n">
        <v>-42.87525</v>
      </c>
      <c r="AV151" s="4094">
        <f>SUM(F151:Q151)</f>
        <v/>
      </c>
      <c r="AW151" s="4094">
        <f>SUM(R151:AC151)</f>
        <v/>
      </c>
      <c r="AX151" s="4094">
        <f>SUM(AD151:AO151)</f>
        <v/>
      </c>
      <c r="AY151" s="4094">
        <f>SUM(AH151:AS151)</f>
        <v/>
      </c>
      <c r="AZ151" s="4094">
        <f>SUM(AJ151:AU151)</f>
        <v/>
      </c>
      <c r="BA151" s="3737" t="n"/>
      <c r="BB151" s="4097">
        <f>IFERROR(F151/F$117,0)</f>
        <v/>
      </c>
      <c r="BC151" s="4097">
        <f>IFERROR(G151/G$117,0)</f>
        <v/>
      </c>
      <c r="BD151" s="4097">
        <f>IFERROR(H151/H$117,0)</f>
        <v/>
      </c>
      <c r="BE151" s="4097">
        <f>IFERROR(I151/I$117,0)</f>
        <v/>
      </c>
      <c r="BF151" s="4097">
        <f>IFERROR(J151/J$117,0)</f>
        <v/>
      </c>
      <c r="BG151" s="4097">
        <f>IFERROR(K151/K$117,0)</f>
        <v/>
      </c>
      <c r="BH151" s="4097">
        <f>IFERROR(L151/L$117,0)</f>
        <v/>
      </c>
      <c r="BI151" s="4097">
        <f>IFERROR(M151/M$117,0)</f>
        <v/>
      </c>
      <c r="BJ151" s="4097">
        <f>IFERROR(N151/N$117,0)</f>
        <v/>
      </c>
      <c r="BK151" s="4097">
        <f>IFERROR(O151/O$117,0)</f>
        <v/>
      </c>
      <c r="BL151" s="4097">
        <f>IFERROR(P151/P$117,0)</f>
        <v/>
      </c>
      <c r="BM151" s="4098">
        <f>IFERROR(Q151/Q$117,0)</f>
        <v/>
      </c>
      <c r="BN151" s="4097">
        <f>IFERROR(R151/R$117,0)</f>
        <v/>
      </c>
      <c r="BO151" s="4097">
        <f>IFERROR(S151/S$117,0)</f>
        <v/>
      </c>
      <c r="BP151" s="4097">
        <f>IFERROR(T151/T$117,0)</f>
        <v/>
      </c>
      <c r="BQ151" s="4097">
        <f>IFERROR(U151/U$117,0)</f>
        <v/>
      </c>
      <c r="BR151" s="4097">
        <f>IFERROR(V151/V$117,0)</f>
        <v/>
      </c>
      <c r="BS151" s="4097">
        <f>IFERROR(W151/W$117,0)</f>
        <v/>
      </c>
      <c r="BT151" s="4097">
        <f>IFERROR(X151/X$117,0)</f>
        <v/>
      </c>
      <c r="BU151" s="4097">
        <f>IFERROR(Y151/Y$117,0)</f>
        <v/>
      </c>
      <c r="BV151" s="4097">
        <f>IFERROR(Z151/Z$117,0)</f>
        <v/>
      </c>
      <c r="BW151" s="4097">
        <f>IFERROR(AA151/AA$117,0)</f>
        <v/>
      </c>
      <c r="BX151" s="4097">
        <f>IFERROR(AB151/AB$117,0)</f>
        <v/>
      </c>
      <c r="BY151" s="4098">
        <f>IFERROR(AC151/AC$117,0)</f>
        <v/>
      </c>
      <c r="BZ151" s="4097">
        <f>IFERROR(AD151/AD$117,0)</f>
        <v/>
      </c>
      <c r="CA151" s="4097">
        <f>IFERROR(AE151/AE$117,0)</f>
        <v/>
      </c>
      <c r="CB151" s="4097">
        <f>IFERROR(AF151/AF$117,0)</f>
        <v/>
      </c>
      <c r="CC151" s="4097">
        <f>IFERROR(AG151/AG$117,0)</f>
        <v/>
      </c>
      <c r="CD151" s="4097">
        <f>IFERROR(AH151/AH$117,0)</f>
        <v/>
      </c>
      <c r="CE151" s="4097">
        <f>IFERROR(AI151/AI$117,0)</f>
        <v/>
      </c>
      <c r="CF151" s="4097">
        <f>IFERROR(AJ151/AJ$117,0)</f>
        <v/>
      </c>
      <c r="CG151" s="4097">
        <f>IFERROR(AK151/AK$117,0)</f>
        <v/>
      </c>
      <c r="CH151" s="4097">
        <f>IFERROR(AL151/AL$117,0)</f>
        <v/>
      </c>
      <c r="CI151" s="4097">
        <f>IFERROR(AM151/AM$117,0)</f>
        <v/>
      </c>
      <c r="CJ151" s="4097">
        <f>IFERROR(AN151/AN$117,0)</f>
        <v/>
      </c>
      <c r="CK151" s="4098">
        <f>IFERROR(AO151/AO$117,0)</f>
        <v/>
      </c>
      <c r="CL151" s="4097">
        <f>IFERROR(AP151/AP$117,0)</f>
        <v/>
      </c>
      <c r="CM151" s="4097">
        <f>IFERROR(AQ151/AQ$117,0)</f>
        <v/>
      </c>
      <c r="CN151" s="4097">
        <f>IFERROR(AR151/AR$117,0)</f>
        <v/>
      </c>
      <c r="CO151" s="4097">
        <f>IFERROR(AS151/AS$117,0)</f>
        <v/>
      </c>
      <c r="CP151" s="4097">
        <f>IFERROR(AT151/AT$117,0)</f>
        <v/>
      </c>
      <c r="CQ151" s="4099">
        <f>IFERROR(AU151/AU$117,0)</f>
        <v/>
      </c>
      <c r="CR151" s="4097">
        <f>IFERROR(AV151/AV$117,0)</f>
        <v/>
      </c>
      <c r="CS151" s="4097">
        <f>IFERROR(AW151/AW$117,0)</f>
        <v/>
      </c>
      <c r="CT151" s="4097">
        <f>IFERROR(AX151/AX$117,0)</f>
        <v/>
      </c>
      <c r="CU151" s="4097">
        <f>IFERROR(AY151/AY$117,0)</f>
        <v/>
      </c>
      <c r="CV151" s="4097">
        <f>IFERROR(AZ151/AZ$117,0)</f>
        <v/>
      </c>
      <c r="CW151" s="3737" t="n"/>
      <c r="CX151" s="4094" t="n">
        <v>-694.95458</v>
      </c>
    </row>
    <row r="152" hidden="1" outlineLevel="2" ht="12" customFormat="1" customHeight="1" s="3737">
      <c r="A152" s="4059" t="n"/>
      <c r="B152" s="4060" t="n"/>
      <c r="C152" s="4109" t="inlineStr">
        <is>
          <t>Reimbursable expenses - courier</t>
        </is>
      </c>
      <c r="D152" s="4093" t="n">
        <v>601103</v>
      </c>
      <c r="E152" s="4093">
        <f>CONCATENATE(D152," - ",C152)</f>
        <v/>
      </c>
      <c r="F152" s="4094" t="n"/>
      <c r="G152" s="4094" t="n"/>
      <c r="H152" s="4094" t="n"/>
      <c r="I152" s="4094" t="n"/>
      <c r="J152" s="4094" t="n"/>
      <c r="K152" s="4094" t="n"/>
      <c r="L152" s="4094" t="n"/>
      <c r="M152" s="4094" t="n"/>
      <c r="N152" s="4094" t="n"/>
      <c r="O152" s="4094" t="n"/>
      <c r="P152" s="4094" t="n"/>
      <c r="Q152" s="4095" t="n"/>
      <c r="R152" s="4094" t="n"/>
      <c r="S152" s="4094" t="n"/>
      <c r="T152" s="4094" t="n"/>
      <c r="U152" s="4094" t="n"/>
      <c r="V152" s="4094" t="n"/>
      <c r="W152" s="4094" t="n"/>
      <c r="X152" s="4094" t="n"/>
      <c r="Y152" s="4094" t="n"/>
      <c r="Z152" s="4094" t="n"/>
      <c r="AA152" s="4094" t="n"/>
      <c r="AB152" s="4094" t="n"/>
      <c r="AC152" s="4095" t="n"/>
      <c r="AD152" s="4094" t="n"/>
      <c r="AE152" s="4094" t="n"/>
      <c r="AF152" s="4094" t="n"/>
      <c r="AG152" s="4094" t="n"/>
      <c r="AH152" s="4094" t="n"/>
      <c r="AI152" s="4094" t="n"/>
      <c r="AJ152" s="4094" t="n"/>
      <c r="AK152" s="4094" t="n"/>
      <c r="AL152" s="4094" t="n"/>
      <c r="AM152" s="4094" t="n"/>
      <c r="AN152" s="4094" t="n"/>
      <c r="AO152" s="4095" t="n"/>
      <c r="AP152" s="4094" t="n">
        <v>-36.51412</v>
      </c>
      <c r="AQ152" s="4094" t="n">
        <v>-38.65599</v>
      </c>
      <c r="AR152" s="4094" t="n">
        <v>-50.70105</v>
      </c>
      <c r="AS152" s="4094" t="n">
        <v>-40.20804</v>
      </c>
      <c r="AT152" s="4094" t="n">
        <v>-44.10712</v>
      </c>
      <c r="AU152" s="4096" t="n">
        <v>-39.84751</v>
      </c>
      <c r="AV152" s="4094">
        <f>SUM(F152:Q152)</f>
        <v/>
      </c>
      <c r="AW152" s="4094">
        <f>SUM(R152:AC152)</f>
        <v/>
      </c>
      <c r="AX152" s="4094">
        <f>SUM(AD152:AO152)</f>
        <v/>
      </c>
      <c r="AY152" s="4094">
        <f>SUM(AH152:AS152)</f>
        <v/>
      </c>
      <c r="AZ152" s="4094">
        <f>SUM(AJ152:AU152)</f>
        <v/>
      </c>
      <c r="BA152" s="3737" t="n"/>
      <c r="BB152" s="4097">
        <f>IFERROR(F152/F$117,0)</f>
        <v/>
      </c>
      <c r="BC152" s="4097">
        <f>IFERROR(G152/G$117,0)</f>
        <v/>
      </c>
      <c r="BD152" s="4097">
        <f>IFERROR(H152/H$117,0)</f>
        <v/>
      </c>
      <c r="BE152" s="4097">
        <f>IFERROR(I152/I$117,0)</f>
        <v/>
      </c>
      <c r="BF152" s="4097">
        <f>IFERROR(J152/J$117,0)</f>
        <v/>
      </c>
      <c r="BG152" s="4097">
        <f>IFERROR(K152/K$117,0)</f>
        <v/>
      </c>
      <c r="BH152" s="4097">
        <f>IFERROR(L152/L$117,0)</f>
        <v/>
      </c>
      <c r="BI152" s="4097">
        <f>IFERROR(M152/M$117,0)</f>
        <v/>
      </c>
      <c r="BJ152" s="4097">
        <f>IFERROR(N152/N$117,0)</f>
        <v/>
      </c>
      <c r="BK152" s="4097">
        <f>IFERROR(O152/O$117,0)</f>
        <v/>
      </c>
      <c r="BL152" s="4097">
        <f>IFERROR(P152/P$117,0)</f>
        <v/>
      </c>
      <c r="BM152" s="4098">
        <f>IFERROR(Q152/Q$117,0)</f>
        <v/>
      </c>
      <c r="BN152" s="4097">
        <f>IFERROR(R152/R$117,0)</f>
        <v/>
      </c>
      <c r="BO152" s="4097">
        <f>IFERROR(S152/S$117,0)</f>
        <v/>
      </c>
      <c r="BP152" s="4097">
        <f>IFERROR(T152/T$117,0)</f>
        <v/>
      </c>
      <c r="BQ152" s="4097">
        <f>IFERROR(U152/U$117,0)</f>
        <v/>
      </c>
      <c r="BR152" s="4097">
        <f>IFERROR(V152/V$117,0)</f>
        <v/>
      </c>
      <c r="BS152" s="4097">
        <f>IFERROR(W152/W$117,0)</f>
        <v/>
      </c>
      <c r="BT152" s="4097">
        <f>IFERROR(X152/X$117,0)</f>
        <v/>
      </c>
      <c r="BU152" s="4097">
        <f>IFERROR(Y152/Y$117,0)</f>
        <v/>
      </c>
      <c r="BV152" s="4097">
        <f>IFERROR(Z152/Z$117,0)</f>
        <v/>
      </c>
      <c r="BW152" s="4097">
        <f>IFERROR(AA152/AA$117,0)</f>
        <v/>
      </c>
      <c r="BX152" s="4097">
        <f>IFERROR(AB152/AB$117,0)</f>
        <v/>
      </c>
      <c r="BY152" s="4098">
        <f>IFERROR(AC152/AC$117,0)</f>
        <v/>
      </c>
      <c r="BZ152" s="4097">
        <f>IFERROR(AD152/AD$117,0)</f>
        <v/>
      </c>
      <c r="CA152" s="4097">
        <f>IFERROR(AE152/AE$117,0)</f>
        <v/>
      </c>
      <c r="CB152" s="4097">
        <f>IFERROR(AF152/AF$117,0)</f>
        <v/>
      </c>
      <c r="CC152" s="4097">
        <f>IFERROR(AG152/AG$117,0)</f>
        <v/>
      </c>
      <c r="CD152" s="4097">
        <f>IFERROR(AH152/AH$117,0)</f>
        <v/>
      </c>
      <c r="CE152" s="4097">
        <f>IFERROR(AI152/AI$117,0)</f>
        <v/>
      </c>
      <c r="CF152" s="4097">
        <f>IFERROR(AJ152/AJ$117,0)</f>
        <v/>
      </c>
      <c r="CG152" s="4097">
        <f>IFERROR(AK152/AK$117,0)</f>
        <v/>
      </c>
      <c r="CH152" s="4097">
        <f>IFERROR(AL152/AL$117,0)</f>
        <v/>
      </c>
      <c r="CI152" s="4097">
        <f>IFERROR(AM152/AM$117,0)</f>
        <v/>
      </c>
      <c r="CJ152" s="4097">
        <f>IFERROR(AN152/AN$117,0)</f>
        <v/>
      </c>
      <c r="CK152" s="4098">
        <f>IFERROR(AO152/AO$117,0)</f>
        <v/>
      </c>
      <c r="CL152" s="4097">
        <f>IFERROR(AP152/AP$117,0)</f>
        <v/>
      </c>
      <c r="CM152" s="4097">
        <f>IFERROR(AQ152/AQ$117,0)</f>
        <v/>
      </c>
      <c r="CN152" s="4097">
        <f>IFERROR(AR152/AR$117,0)</f>
        <v/>
      </c>
      <c r="CO152" s="4097">
        <f>IFERROR(AS152/AS$117,0)</f>
        <v/>
      </c>
      <c r="CP152" s="4097">
        <f>IFERROR(AT152/AT$117,0)</f>
        <v/>
      </c>
      <c r="CQ152" s="4099">
        <f>IFERROR(AU152/AU$117,0)</f>
        <v/>
      </c>
      <c r="CR152" s="4097">
        <f>IFERROR(AV152/AV$117,0)</f>
        <v/>
      </c>
      <c r="CS152" s="4097">
        <f>IFERROR(AW152/AW$117,0)</f>
        <v/>
      </c>
      <c r="CT152" s="4097">
        <f>IFERROR(AX152/AX$117,0)</f>
        <v/>
      </c>
      <c r="CU152" s="4097">
        <f>IFERROR(AY152/AY$117,0)</f>
        <v/>
      </c>
      <c r="CV152" s="4097">
        <f>IFERROR(AZ152/AZ$117,0)</f>
        <v/>
      </c>
      <c r="CW152" s="3737" t="n"/>
      <c r="CX152" s="4094" t="n">
        <v>-229.71106</v>
      </c>
    </row>
    <row r="153" hidden="1" outlineLevel="2" ht="12" customFormat="1" customHeight="1" s="3737">
      <c r="A153" s="4059" t="n"/>
      <c r="B153" s="4060" t="n"/>
      <c r="C153" s="4109" t="inlineStr">
        <is>
          <t>Reimbursable exp - network interchg &amp; switch fees</t>
        </is>
      </c>
      <c r="D153" s="4093" t="n">
        <v>601105</v>
      </c>
      <c r="E153" s="4093">
        <f>CONCATENATE(D153," - ",C153)</f>
        <v/>
      </c>
      <c r="F153" s="4094" t="n"/>
      <c r="G153" s="4094" t="n"/>
      <c r="H153" s="4094" t="n"/>
      <c r="I153" s="4094" t="n"/>
      <c r="J153" s="4094" t="n"/>
      <c r="K153" s="4094" t="n"/>
      <c r="L153" s="4094" t="n"/>
      <c r="M153" s="4094" t="n"/>
      <c r="N153" s="4094" t="n"/>
      <c r="O153" s="4094" t="n"/>
      <c r="P153" s="4094" t="n"/>
      <c r="Q153" s="4095" t="n"/>
      <c r="R153" s="4094" t="n"/>
      <c r="S153" s="4094" t="n"/>
      <c r="T153" s="4094" t="n"/>
      <c r="U153" s="4094" t="n"/>
      <c r="V153" s="4094" t="n"/>
      <c r="W153" s="4094" t="n"/>
      <c r="X153" s="4094" t="n"/>
      <c r="Y153" s="4094" t="n"/>
      <c r="Z153" s="4094" t="n"/>
      <c r="AA153" s="4094" t="n"/>
      <c r="AB153" s="4094" t="n"/>
      <c r="AC153" s="4095" t="n"/>
      <c r="AD153" s="4094" t="n"/>
      <c r="AE153" s="4094" t="n"/>
      <c r="AF153" s="4094" t="n"/>
      <c r="AG153" s="4094" t="n"/>
      <c r="AH153" s="4094" t="n"/>
      <c r="AI153" s="4094" t="n"/>
      <c r="AJ153" s="4094" t="n"/>
      <c r="AK153" s="4094" t="n"/>
      <c r="AL153" s="4094" t="n"/>
      <c r="AM153" s="4094" t="n"/>
      <c r="AN153" s="4094" t="n"/>
      <c r="AO153" s="4095" t="n"/>
      <c r="AP153" s="4094" t="n">
        <v>-46.014</v>
      </c>
      <c r="AQ153" s="4094" t="n">
        <v>-41.75296</v>
      </c>
      <c r="AR153" s="4094" t="n">
        <v>-62.23114</v>
      </c>
      <c r="AS153" s="4094" t="n">
        <v>-58.5143</v>
      </c>
      <c r="AT153" s="4094" t="n">
        <v>-96.15056</v>
      </c>
      <c r="AU153" s="4096" t="n">
        <v>-85.99059</v>
      </c>
      <c r="AV153" s="4094">
        <f>SUM(F153:Q153)</f>
        <v/>
      </c>
      <c r="AW153" s="4094">
        <f>SUM(R153:AC153)</f>
        <v/>
      </c>
      <c r="AX153" s="4094">
        <f>SUM(AD153:AO153)</f>
        <v/>
      </c>
      <c r="AY153" s="4094">
        <f>SUM(AH153:AS153)</f>
        <v/>
      </c>
      <c r="AZ153" s="4094">
        <f>SUM(AJ153:AU153)</f>
        <v/>
      </c>
      <c r="BA153" s="3737" t="n"/>
      <c r="BB153" s="4097">
        <f>IFERROR(F153/F$117,0)</f>
        <v/>
      </c>
      <c r="BC153" s="4097">
        <f>IFERROR(G153/G$117,0)</f>
        <v/>
      </c>
      <c r="BD153" s="4097">
        <f>IFERROR(H153/H$117,0)</f>
        <v/>
      </c>
      <c r="BE153" s="4097">
        <f>IFERROR(I153/I$117,0)</f>
        <v/>
      </c>
      <c r="BF153" s="4097">
        <f>IFERROR(J153/J$117,0)</f>
        <v/>
      </c>
      <c r="BG153" s="4097">
        <f>IFERROR(K153/K$117,0)</f>
        <v/>
      </c>
      <c r="BH153" s="4097">
        <f>IFERROR(L153/L$117,0)</f>
        <v/>
      </c>
      <c r="BI153" s="4097">
        <f>IFERROR(M153/M$117,0)</f>
        <v/>
      </c>
      <c r="BJ153" s="4097">
        <f>IFERROR(N153/N$117,0)</f>
        <v/>
      </c>
      <c r="BK153" s="4097">
        <f>IFERROR(O153/O$117,0)</f>
        <v/>
      </c>
      <c r="BL153" s="4097">
        <f>IFERROR(P153/P$117,0)</f>
        <v/>
      </c>
      <c r="BM153" s="4098">
        <f>IFERROR(Q153/Q$117,0)</f>
        <v/>
      </c>
      <c r="BN153" s="4097">
        <f>IFERROR(R153/R$117,0)</f>
        <v/>
      </c>
      <c r="BO153" s="4097">
        <f>IFERROR(S153/S$117,0)</f>
        <v/>
      </c>
      <c r="BP153" s="4097">
        <f>IFERROR(T153/T$117,0)</f>
        <v/>
      </c>
      <c r="BQ153" s="4097">
        <f>IFERROR(U153/U$117,0)</f>
        <v/>
      </c>
      <c r="BR153" s="4097">
        <f>IFERROR(V153/V$117,0)</f>
        <v/>
      </c>
      <c r="BS153" s="4097">
        <f>IFERROR(W153/W$117,0)</f>
        <v/>
      </c>
      <c r="BT153" s="4097">
        <f>IFERROR(X153/X$117,0)</f>
        <v/>
      </c>
      <c r="BU153" s="4097">
        <f>IFERROR(Y153/Y$117,0)</f>
        <v/>
      </c>
      <c r="BV153" s="4097">
        <f>IFERROR(Z153/Z$117,0)</f>
        <v/>
      </c>
      <c r="BW153" s="4097">
        <f>IFERROR(AA153/AA$117,0)</f>
        <v/>
      </c>
      <c r="BX153" s="4097">
        <f>IFERROR(AB153/AB$117,0)</f>
        <v/>
      </c>
      <c r="BY153" s="4098">
        <f>IFERROR(AC153/AC$117,0)</f>
        <v/>
      </c>
      <c r="BZ153" s="4097">
        <f>IFERROR(AD153/AD$117,0)</f>
        <v/>
      </c>
      <c r="CA153" s="4097">
        <f>IFERROR(AE153/AE$117,0)</f>
        <v/>
      </c>
      <c r="CB153" s="4097">
        <f>IFERROR(AF153/AF$117,0)</f>
        <v/>
      </c>
      <c r="CC153" s="4097">
        <f>IFERROR(AG153/AG$117,0)</f>
        <v/>
      </c>
      <c r="CD153" s="4097">
        <f>IFERROR(AH153/AH$117,0)</f>
        <v/>
      </c>
      <c r="CE153" s="4097">
        <f>IFERROR(AI153/AI$117,0)</f>
        <v/>
      </c>
      <c r="CF153" s="4097">
        <f>IFERROR(AJ153/AJ$117,0)</f>
        <v/>
      </c>
      <c r="CG153" s="4097">
        <f>IFERROR(AK153/AK$117,0)</f>
        <v/>
      </c>
      <c r="CH153" s="4097">
        <f>IFERROR(AL153/AL$117,0)</f>
        <v/>
      </c>
      <c r="CI153" s="4097">
        <f>IFERROR(AM153/AM$117,0)</f>
        <v/>
      </c>
      <c r="CJ153" s="4097">
        <f>IFERROR(AN153/AN$117,0)</f>
        <v/>
      </c>
      <c r="CK153" s="4098">
        <f>IFERROR(AO153/AO$117,0)</f>
        <v/>
      </c>
      <c r="CL153" s="4097">
        <f>IFERROR(AP153/AP$117,0)</f>
        <v/>
      </c>
      <c r="CM153" s="4097">
        <f>IFERROR(AQ153/AQ$117,0)</f>
        <v/>
      </c>
      <c r="CN153" s="4097">
        <f>IFERROR(AR153/AR$117,0)</f>
        <v/>
      </c>
      <c r="CO153" s="4097">
        <f>IFERROR(AS153/AS$117,0)</f>
        <v/>
      </c>
      <c r="CP153" s="4097">
        <f>IFERROR(AT153/AT$117,0)</f>
        <v/>
      </c>
      <c r="CQ153" s="4099">
        <f>IFERROR(AU153/AU$117,0)</f>
        <v/>
      </c>
      <c r="CR153" s="4097">
        <f>IFERROR(AV153/AV$117,0)</f>
        <v/>
      </c>
      <c r="CS153" s="4097">
        <f>IFERROR(AW153/AW$117,0)</f>
        <v/>
      </c>
      <c r="CT153" s="4097">
        <f>IFERROR(AX153/AX$117,0)</f>
        <v/>
      </c>
      <c r="CU153" s="4097">
        <f>IFERROR(AY153/AY$117,0)</f>
        <v/>
      </c>
      <c r="CV153" s="4097">
        <f>IFERROR(AZ153/AZ$117,0)</f>
        <v/>
      </c>
      <c r="CW153" s="3737" t="n"/>
      <c r="CX153" s="4094" t="n">
        <v>-90.23272</v>
      </c>
    </row>
    <row r="154" hidden="1" outlineLevel="2" ht="12" customFormat="1" customHeight="1" s="3737">
      <c r="A154" s="4059" t="n"/>
      <c r="B154" s="4060" t="n"/>
      <c r="C154" s="4109" t="inlineStr">
        <is>
          <t>Reimbursable exp - exchange interchg &amp; switch fees</t>
        </is>
      </c>
      <c r="D154" s="4093" t="n">
        <v>601106</v>
      </c>
      <c r="E154" s="4093">
        <f>CONCATENATE(D154," - ",C154)</f>
        <v/>
      </c>
      <c r="F154" s="4094" t="n"/>
      <c r="G154" s="4094" t="n"/>
      <c r="H154" s="4094" t="n"/>
      <c r="I154" s="4094" t="n"/>
      <c r="J154" s="4094" t="n"/>
      <c r="K154" s="4094" t="n"/>
      <c r="L154" s="4094" t="n"/>
      <c r="M154" s="4094" t="n"/>
      <c r="N154" s="4094" t="n"/>
      <c r="O154" s="4094" t="n"/>
      <c r="P154" s="4094" t="n"/>
      <c r="Q154" s="4095" t="n"/>
      <c r="R154" s="4094" t="n"/>
      <c r="S154" s="4094" t="n"/>
      <c r="T154" s="4094" t="n"/>
      <c r="U154" s="4094" t="n"/>
      <c r="V154" s="4094" t="n"/>
      <c r="W154" s="4094" t="n"/>
      <c r="X154" s="4094" t="n"/>
      <c r="Y154" s="4094" t="n"/>
      <c r="Z154" s="4094" t="n"/>
      <c r="AA154" s="4094" t="n"/>
      <c r="AB154" s="4094" t="n"/>
      <c r="AC154" s="4095" t="n"/>
      <c r="AD154" s="4094" t="n"/>
      <c r="AE154" s="4094" t="n"/>
      <c r="AF154" s="4094" t="n"/>
      <c r="AG154" s="4094" t="n"/>
      <c r="AH154" s="4094" t="n"/>
      <c r="AI154" s="4094" t="n"/>
      <c r="AJ154" s="4094" t="n"/>
      <c r="AK154" s="4094" t="n"/>
      <c r="AL154" s="4094" t="n"/>
      <c r="AM154" s="4094" t="n"/>
      <c r="AN154" s="4094" t="n"/>
      <c r="AO154" s="4095" t="n"/>
      <c r="AP154" s="4094" t="n">
        <v>-22.58355</v>
      </c>
      <c r="AQ154" s="4094" t="n">
        <v>-20.78615</v>
      </c>
      <c r="AR154" s="4094" t="n">
        <v>-23.14691</v>
      </c>
      <c r="AS154" s="4094" t="n">
        <v>-21.90595</v>
      </c>
      <c r="AT154" s="4094" t="n">
        <v>-22.5407</v>
      </c>
      <c r="AU154" s="4096" t="n">
        <v>-21.53803</v>
      </c>
      <c r="AV154" s="4094">
        <f>SUM(F154:Q154)</f>
        <v/>
      </c>
      <c r="AW154" s="4094">
        <f>SUM(R154:AC154)</f>
        <v/>
      </c>
      <c r="AX154" s="4094">
        <f>SUM(AD154:AO154)</f>
        <v/>
      </c>
      <c r="AY154" s="4094">
        <f>SUM(AH154:AS154)</f>
        <v/>
      </c>
      <c r="AZ154" s="4094">
        <f>SUM(AJ154:AU154)</f>
        <v/>
      </c>
      <c r="BA154" s="3737" t="n"/>
      <c r="BB154" s="4097">
        <f>IFERROR(F154/F$117,0)</f>
        <v/>
      </c>
      <c r="BC154" s="4097">
        <f>IFERROR(G154/G$117,0)</f>
        <v/>
      </c>
      <c r="BD154" s="4097">
        <f>IFERROR(H154/H$117,0)</f>
        <v/>
      </c>
      <c r="BE154" s="4097">
        <f>IFERROR(I154/I$117,0)</f>
        <v/>
      </c>
      <c r="BF154" s="4097">
        <f>IFERROR(J154/J$117,0)</f>
        <v/>
      </c>
      <c r="BG154" s="4097">
        <f>IFERROR(K154/K$117,0)</f>
        <v/>
      </c>
      <c r="BH154" s="4097">
        <f>IFERROR(L154/L$117,0)</f>
        <v/>
      </c>
      <c r="BI154" s="4097">
        <f>IFERROR(M154/M$117,0)</f>
        <v/>
      </c>
      <c r="BJ154" s="4097">
        <f>IFERROR(N154/N$117,0)</f>
        <v/>
      </c>
      <c r="BK154" s="4097">
        <f>IFERROR(O154/O$117,0)</f>
        <v/>
      </c>
      <c r="BL154" s="4097">
        <f>IFERROR(P154/P$117,0)</f>
        <v/>
      </c>
      <c r="BM154" s="4098">
        <f>IFERROR(Q154/Q$117,0)</f>
        <v/>
      </c>
      <c r="BN154" s="4097">
        <f>IFERROR(R154/R$117,0)</f>
        <v/>
      </c>
      <c r="BO154" s="4097">
        <f>IFERROR(S154/S$117,0)</f>
        <v/>
      </c>
      <c r="BP154" s="4097">
        <f>IFERROR(T154/T$117,0)</f>
        <v/>
      </c>
      <c r="BQ154" s="4097">
        <f>IFERROR(U154/U$117,0)</f>
        <v/>
      </c>
      <c r="BR154" s="4097">
        <f>IFERROR(V154/V$117,0)</f>
        <v/>
      </c>
      <c r="BS154" s="4097">
        <f>IFERROR(W154/W$117,0)</f>
        <v/>
      </c>
      <c r="BT154" s="4097">
        <f>IFERROR(X154/X$117,0)</f>
        <v/>
      </c>
      <c r="BU154" s="4097">
        <f>IFERROR(Y154/Y$117,0)</f>
        <v/>
      </c>
      <c r="BV154" s="4097">
        <f>IFERROR(Z154/Z$117,0)</f>
        <v/>
      </c>
      <c r="BW154" s="4097">
        <f>IFERROR(AA154/AA$117,0)</f>
        <v/>
      </c>
      <c r="BX154" s="4097">
        <f>IFERROR(AB154/AB$117,0)</f>
        <v/>
      </c>
      <c r="BY154" s="4098">
        <f>IFERROR(AC154/AC$117,0)</f>
        <v/>
      </c>
      <c r="BZ154" s="4097">
        <f>IFERROR(AD154/AD$117,0)</f>
        <v/>
      </c>
      <c r="CA154" s="4097">
        <f>IFERROR(AE154/AE$117,0)</f>
        <v/>
      </c>
      <c r="CB154" s="4097">
        <f>IFERROR(AF154/AF$117,0)</f>
        <v/>
      </c>
      <c r="CC154" s="4097">
        <f>IFERROR(AG154/AG$117,0)</f>
        <v/>
      </c>
      <c r="CD154" s="4097">
        <f>IFERROR(AH154/AH$117,0)</f>
        <v/>
      </c>
      <c r="CE154" s="4097">
        <f>IFERROR(AI154/AI$117,0)</f>
        <v/>
      </c>
      <c r="CF154" s="4097">
        <f>IFERROR(AJ154/AJ$117,0)</f>
        <v/>
      </c>
      <c r="CG154" s="4097">
        <f>IFERROR(AK154/AK$117,0)</f>
        <v/>
      </c>
      <c r="CH154" s="4097">
        <f>IFERROR(AL154/AL$117,0)</f>
        <v/>
      </c>
      <c r="CI154" s="4097">
        <f>IFERROR(AM154/AM$117,0)</f>
        <v/>
      </c>
      <c r="CJ154" s="4097">
        <f>IFERROR(AN154/AN$117,0)</f>
        <v/>
      </c>
      <c r="CK154" s="4098">
        <f>IFERROR(AO154/AO$117,0)</f>
        <v/>
      </c>
      <c r="CL154" s="4097">
        <f>IFERROR(AP154/AP$117,0)</f>
        <v/>
      </c>
      <c r="CM154" s="4097">
        <f>IFERROR(AQ154/AQ$117,0)</f>
        <v/>
      </c>
      <c r="CN154" s="4097">
        <f>IFERROR(AR154/AR$117,0)</f>
        <v/>
      </c>
      <c r="CO154" s="4097">
        <f>IFERROR(AS154/AS$117,0)</f>
        <v/>
      </c>
      <c r="CP154" s="4097">
        <f>IFERROR(AT154/AT$117,0)</f>
        <v/>
      </c>
      <c r="CQ154" s="4099">
        <f>IFERROR(AU154/AU$117,0)</f>
        <v/>
      </c>
      <c r="CR154" s="4097">
        <f>IFERROR(AV154/AV$117,0)</f>
        <v/>
      </c>
      <c r="CS154" s="4097">
        <f>IFERROR(AW154/AW$117,0)</f>
        <v/>
      </c>
      <c r="CT154" s="4097">
        <f>IFERROR(AX154/AX$117,0)</f>
        <v/>
      </c>
      <c r="CU154" s="4097">
        <f>IFERROR(AY154/AY$117,0)</f>
        <v/>
      </c>
      <c r="CV154" s="4097">
        <f>IFERROR(AZ154/AZ$117,0)</f>
        <v/>
      </c>
      <c r="CW154" s="3737" t="n"/>
      <c r="CX154" s="4094" t="n">
        <v>-272.08627</v>
      </c>
    </row>
    <row r="155" hidden="1" outlineLevel="2" ht="12" customFormat="1" customHeight="1" s="3737">
      <c r="A155" s="4059" t="n"/>
      <c r="B155" s="4060" t="n"/>
      <c r="C155" s="4109" t="inlineStr">
        <is>
          <t>Reimbursed exp - vda program fee visa</t>
        </is>
      </c>
      <c r="D155" s="4093" t="n">
        <v>601130</v>
      </c>
      <c r="E155" s="4093">
        <f>CONCATENATE(D155," - ",C155)</f>
        <v/>
      </c>
      <c r="F155" s="4094" t="n"/>
      <c r="G155" s="4094" t="n"/>
      <c r="H155" s="4094" t="n"/>
      <c r="I155" s="4094" t="n"/>
      <c r="J155" s="4094" t="n"/>
      <c r="K155" s="4094" t="n"/>
      <c r="L155" s="4094" t="n"/>
      <c r="M155" s="4094" t="n"/>
      <c r="N155" s="4094" t="n"/>
      <c r="O155" s="4094" t="n"/>
      <c r="P155" s="4094" t="n"/>
      <c r="Q155" s="4095" t="n"/>
      <c r="R155" s="4094" t="n"/>
      <c r="S155" s="4094" t="n"/>
      <c r="T155" s="4094" t="n"/>
      <c r="U155" s="4094" t="n"/>
      <c r="V155" s="4094" t="n"/>
      <c r="W155" s="4094" t="n"/>
      <c r="X155" s="4094" t="n"/>
      <c r="Y155" s="4094" t="n"/>
      <c r="Z155" s="4094" t="n"/>
      <c r="AA155" s="4094" t="n"/>
      <c r="AB155" s="4094" t="n"/>
      <c r="AC155" s="4095" t="n"/>
      <c r="AD155" s="4094" t="n"/>
      <c r="AE155" s="4094" t="n"/>
      <c r="AF155" s="4094" t="n"/>
      <c r="AG155" s="4094" t="n"/>
      <c r="AH155" s="4094" t="n"/>
      <c r="AI155" s="4094" t="n"/>
      <c r="AJ155" s="4094" t="n"/>
      <c r="AK155" s="4094" t="n"/>
      <c r="AL155" s="4094" t="n"/>
      <c r="AM155" s="4094" t="n"/>
      <c r="AN155" s="4094" t="n"/>
      <c r="AO155" s="4095" t="n"/>
      <c r="AP155" s="4094" t="n">
        <v>-44.15461</v>
      </c>
      <c r="AQ155" s="4094" t="n">
        <v>-26.79086</v>
      </c>
      <c r="AR155" s="4094" t="n">
        <v>-27.45004</v>
      </c>
      <c r="AS155" s="4094" t="n">
        <v>-30.99899</v>
      </c>
      <c r="AT155" s="4094" t="n">
        <v>-32.26229</v>
      </c>
      <c r="AU155" s="4096" t="n">
        <v>-29.29142</v>
      </c>
      <c r="AV155" s="4094">
        <f>SUM(F155:Q155)</f>
        <v/>
      </c>
      <c r="AW155" s="4094">
        <f>SUM(R155:AC155)</f>
        <v/>
      </c>
      <c r="AX155" s="4094">
        <f>SUM(AD155:AO155)</f>
        <v/>
      </c>
      <c r="AY155" s="4094">
        <f>SUM(AH155:AS155)</f>
        <v/>
      </c>
      <c r="AZ155" s="4094">
        <f>SUM(AJ155:AU155)</f>
        <v/>
      </c>
      <c r="BA155" s="3737" t="n"/>
      <c r="BB155" s="4097">
        <f>IFERROR(F155/F$117,0)</f>
        <v/>
      </c>
      <c r="BC155" s="4097">
        <f>IFERROR(G155/G$117,0)</f>
        <v/>
      </c>
      <c r="BD155" s="4097">
        <f>IFERROR(H155/H$117,0)</f>
        <v/>
      </c>
      <c r="BE155" s="4097">
        <f>IFERROR(I155/I$117,0)</f>
        <v/>
      </c>
      <c r="BF155" s="4097">
        <f>IFERROR(J155/J$117,0)</f>
        <v/>
      </c>
      <c r="BG155" s="4097">
        <f>IFERROR(K155/K$117,0)</f>
        <v/>
      </c>
      <c r="BH155" s="4097">
        <f>IFERROR(L155/L$117,0)</f>
        <v/>
      </c>
      <c r="BI155" s="4097">
        <f>IFERROR(M155/M$117,0)</f>
        <v/>
      </c>
      <c r="BJ155" s="4097">
        <f>IFERROR(N155/N$117,0)</f>
        <v/>
      </c>
      <c r="BK155" s="4097">
        <f>IFERROR(O155/O$117,0)</f>
        <v/>
      </c>
      <c r="BL155" s="4097">
        <f>IFERROR(P155/P$117,0)</f>
        <v/>
      </c>
      <c r="BM155" s="4098">
        <f>IFERROR(Q155/Q$117,0)</f>
        <v/>
      </c>
      <c r="BN155" s="4097">
        <f>IFERROR(R155/R$117,0)</f>
        <v/>
      </c>
      <c r="BO155" s="4097">
        <f>IFERROR(S155/S$117,0)</f>
        <v/>
      </c>
      <c r="BP155" s="4097">
        <f>IFERROR(T155/T$117,0)</f>
        <v/>
      </c>
      <c r="BQ155" s="4097">
        <f>IFERROR(U155/U$117,0)</f>
        <v/>
      </c>
      <c r="BR155" s="4097">
        <f>IFERROR(V155/V$117,0)</f>
        <v/>
      </c>
      <c r="BS155" s="4097">
        <f>IFERROR(W155/W$117,0)</f>
        <v/>
      </c>
      <c r="BT155" s="4097">
        <f>IFERROR(X155/X$117,0)</f>
        <v/>
      </c>
      <c r="BU155" s="4097">
        <f>IFERROR(Y155/Y$117,0)</f>
        <v/>
      </c>
      <c r="BV155" s="4097">
        <f>IFERROR(Z155/Z$117,0)</f>
        <v/>
      </c>
      <c r="BW155" s="4097">
        <f>IFERROR(AA155/AA$117,0)</f>
        <v/>
      </c>
      <c r="BX155" s="4097">
        <f>IFERROR(AB155/AB$117,0)</f>
        <v/>
      </c>
      <c r="BY155" s="4098">
        <f>IFERROR(AC155/AC$117,0)</f>
        <v/>
      </c>
      <c r="BZ155" s="4097">
        <f>IFERROR(AD155/AD$117,0)</f>
        <v/>
      </c>
      <c r="CA155" s="4097">
        <f>IFERROR(AE155/AE$117,0)</f>
        <v/>
      </c>
      <c r="CB155" s="4097">
        <f>IFERROR(AF155/AF$117,0)</f>
        <v/>
      </c>
      <c r="CC155" s="4097">
        <f>IFERROR(AG155/AG$117,0)</f>
        <v/>
      </c>
      <c r="CD155" s="4097">
        <f>IFERROR(AH155/AH$117,0)</f>
        <v/>
      </c>
      <c r="CE155" s="4097">
        <f>IFERROR(AI155/AI$117,0)</f>
        <v/>
      </c>
      <c r="CF155" s="4097">
        <f>IFERROR(AJ155/AJ$117,0)</f>
        <v/>
      </c>
      <c r="CG155" s="4097">
        <f>IFERROR(AK155/AK$117,0)</f>
        <v/>
      </c>
      <c r="CH155" s="4097">
        <f>IFERROR(AL155/AL$117,0)</f>
        <v/>
      </c>
      <c r="CI155" s="4097">
        <f>IFERROR(AM155/AM$117,0)</f>
        <v/>
      </c>
      <c r="CJ155" s="4097">
        <f>IFERROR(AN155/AN$117,0)</f>
        <v/>
      </c>
      <c r="CK155" s="4098">
        <f>IFERROR(AO155/AO$117,0)</f>
        <v/>
      </c>
      <c r="CL155" s="4097">
        <f>IFERROR(AP155/AP$117,0)</f>
        <v/>
      </c>
      <c r="CM155" s="4097">
        <f>IFERROR(AQ155/AQ$117,0)</f>
        <v/>
      </c>
      <c r="CN155" s="4097">
        <f>IFERROR(AR155/AR$117,0)</f>
        <v/>
      </c>
      <c r="CO155" s="4097">
        <f>IFERROR(AS155/AS$117,0)</f>
        <v/>
      </c>
      <c r="CP155" s="4097">
        <f>IFERROR(AT155/AT$117,0)</f>
        <v/>
      </c>
      <c r="CQ155" s="4099">
        <f>IFERROR(AU155/AU$117,0)</f>
        <v/>
      </c>
      <c r="CR155" s="4097">
        <f>IFERROR(AV155/AV$117,0)</f>
        <v/>
      </c>
      <c r="CS155" s="4097">
        <f>IFERROR(AW155/AW$117,0)</f>
        <v/>
      </c>
      <c r="CT155" s="4097">
        <f>IFERROR(AX155/AX$117,0)</f>
        <v/>
      </c>
      <c r="CU155" s="4097">
        <f>IFERROR(AY155/AY$117,0)</f>
        <v/>
      </c>
      <c r="CV155" s="4097">
        <f>IFERROR(AZ155/AZ$117,0)</f>
        <v/>
      </c>
      <c r="CW155" s="3737" t="n"/>
      <c r="CX155" s="4094" t="n">
        <v>0</v>
      </c>
    </row>
    <row r="156" hidden="1" outlineLevel="2" ht="12" customFormat="1" customHeight="1" s="3737">
      <c r="A156" s="4059" t="n"/>
      <c r="B156" s="4060" t="n"/>
      <c r="C156" s="4109" t="inlineStr">
        <is>
          <t>Reimbursed expenses - mc membership fees</t>
        </is>
      </c>
      <c r="D156" s="4093" t="n">
        <v>601107</v>
      </c>
      <c r="E156" s="4093">
        <f>CONCATENATE(D156," - ",C156)</f>
        <v/>
      </c>
      <c r="F156" s="4094" t="n"/>
      <c r="G156" s="4094" t="n"/>
      <c r="H156" s="4094" t="n"/>
      <c r="I156" s="4094" t="n"/>
      <c r="J156" s="4094" t="n"/>
      <c r="K156" s="4094" t="n"/>
      <c r="L156" s="4094" t="n"/>
      <c r="M156" s="4094" t="n"/>
      <c r="N156" s="4094" t="n"/>
      <c r="O156" s="4094" t="n"/>
      <c r="P156" s="4094" t="n"/>
      <c r="Q156" s="4095" t="n"/>
      <c r="R156" s="4094" t="n"/>
      <c r="S156" s="4094" t="n"/>
      <c r="T156" s="4094" t="n"/>
      <c r="U156" s="4094" t="n"/>
      <c r="V156" s="4094" t="n"/>
      <c r="W156" s="4094" t="n"/>
      <c r="X156" s="4094" t="n"/>
      <c r="Y156" s="4094" t="n"/>
      <c r="Z156" s="4094" t="n"/>
      <c r="AA156" s="4094" t="n"/>
      <c r="AB156" s="4094" t="n"/>
      <c r="AC156" s="4095" t="n"/>
      <c r="AD156" s="4094" t="n"/>
      <c r="AE156" s="4094" t="n"/>
      <c r="AF156" s="4094" t="n"/>
      <c r="AG156" s="4094" t="n"/>
      <c r="AH156" s="4094" t="n"/>
      <c r="AI156" s="4094" t="n"/>
      <c r="AJ156" s="4094" t="n"/>
      <c r="AK156" s="4094" t="n"/>
      <c r="AL156" s="4094" t="n"/>
      <c r="AM156" s="4094" t="n"/>
      <c r="AN156" s="4094" t="n"/>
      <c r="AO156" s="4095" t="n"/>
      <c r="AP156" s="4094" t="n">
        <v>-15.59352</v>
      </c>
      <c r="AQ156" s="4094" t="n">
        <v>-18.51377</v>
      </c>
      <c r="AR156" s="4094" t="n">
        <v>0</v>
      </c>
      <c r="AS156" s="4094" t="n">
        <v>-37.01784</v>
      </c>
      <c r="AT156" s="4094" t="n">
        <v>-18.59528</v>
      </c>
      <c r="AU156" s="4096" t="n">
        <v>-13.54</v>
      </c>
      <c r="AV156" s="4094">
        <f>SUM(F156:Q156)</f>
        <v/>
      </c>
      <c r="AW156" s="4094">
        <f>SUM(R156:AC156)</f>
        <v/>
      </c>
      <c r="AX156" s="4094">
        <f>SUM(AD156:AO156)</f>
        <v/>
      </c>
      <c r="AY156" s="4094">
        <f>SUM(AH156:AS156)</f>
        <v/>
      </c>
      <c r="AZ156" s="4094">
        <f>SUM(AJ156:AU156)</f>
        <v/>
      </c>
      <c r="BA156" s="3737" t="n"/>
      <c r="BB156" s="4097">
        <f>IFERROR(F156/F$117,0)</f>
        <v/>
      </c>
      <c r="BC156" s="4097">
        <f>IFERROR(G156/G$117,0)</f>
        <v/>
      </c>
      <c r="BD156" s="4097">
        <f>IFERROR(H156/H$117,0)</f>
        <v/>
      </c>
      <c r="BE156" s="4097">
        <f>IFERROR(I156/I$117,0)</f>
        <v/>
      </c>
      <c r="BF156" s="4097">
        <f>IFERROR(J156/J$117,0)</f>
        <v/>
      </c>
      <c r="BG156" s="4097">
        <f>IFERROR(K156/K$117,0)</f>
        <v/>
      </c>
      <c r="BH156" s="4097">
        <f>IFERROR(L156/L$117,0)</f>
        <v/>
      </c>
      <c r="BI156" s="4097">
        <f>IFERROR(M156/M$117,0)</f>
        <v/>
      </c>
      <c r="BJ156" s="4097">
        <f>IFERROR(N156/N$117,0)</f>
        <v/>
      </c>
      <c r="BK156" s="4097">
        <f>IFERROR(O156/O$117,0)</f>
        <v/>
      </c>
      <c r="BL156" s="4097">
        <f>IFERROR(P156/P$117,0)</f>
        <v/>
      </c>
      <c r="BM156" s="4098">
        <f>IFERROR(Q156/Q$117,0)</f>
        <v/>
      </c>
      <c r="BN156" s="4097">
        <f>IFERROR(R156/R$117,0)</f>
        <v/>
      </c>
      <c r="BO156" s="4097">
        <f>IFERROR(S156/S$117,0)</f>
        <v/>
      </c>
      <c r="BP156" s="4097">
        <f>IFERROR(T156/T$117,0)</f>
        <v/>
      </c>
      <c r="BQ156" s="4097">
        <f>IFERROR(U156/U$117,0)</f>
        <v/>
      </c>
      <c r="BR156" s="4097">
        <f>IFERROR(V156/V$117,0)</f>
        <v/>
      </c>
      <c r="BS156" s="4097">
        <f>IFERROR(W156/W$117,0)</f>
        <v/>
      </c>
      <c r="BT156" s="4097">
        <f>IFERROR(X156/X$117,0)</f>
        <v/>
      </c>
      <c r="BU156" s="4097">
        <f>IFERROR(Y156/Y$117,0)</f>
        <v/>
      </c>
      <c r="BV156" s="4097">
        <f>IFERROR(Z156/Z$117,0)</f>
        <v/>
      </c>
      <c r="BW156" s="4097">
        <f>IFERROR(AA156/AA$117,0)</f>
        <v/>
      </c>
      <c r="BX156" s="4097">
        <f>IFERROR(AB156/AB$117,0)</f>
        <v/>
      </c>
      <c r="BY156" s="4098">
        <f>IFERROR(AC156/AC$117,0)</f>
        <v/>
      </c>
      <c r="BZ156" s="4097">
        <f>IFERROR(AD156/AD$117,0)</f>
        <v/>
      </c>
      <c r="CA156" s="4097">
        <f>IFERROR(AE156/AE$117,0)</f>
        <v/>
      </c>
      <c r="CB156" s="4097">
        <f>IFERROR(AF156/AF$117,0)</f>
        <v/>
      </c>
      <c r="CC156" s="4097">
        <f>IFERROR(AG156/AG$117,0)</f>
        <v/>
      </c>
      <c r="CD156" s="4097">
        <f>IFERROR(AH156/AH$117,0)</f>
        <v/>
      </c>
      <c r="CE156" s="4097">
        <f>IFERROR(AI156/AI$117,0)</f>
        <v/>
      </c>
      <c r="CF156" s="4097">
        <f>IFERROR(AJ156/AJ$117,0)</f>
        <v/>
      </c>
      <c r="CG156" s="4097">
        <f>IFERROR(AK156/AK$117,0)</f>
        <v/>
      </c>
      <c r="CH156" s="4097">
        <f>IFERROR(AL156/AL$117,0)</f>
        <v/>
      </c>
      <c r="CI156" s="4097">
        <f>IFERROR(AM156/AM$117,0)</f>
        <v/>
      </c>
      <c r="CJ156" s="4097">
        <f>IFERROR(AN156/AN$117,0)</f>
        <v/>
      </c>
      <c r="CK156" s="4098">
        <f>IFERROR(AO156/AO$117,0)</f>
        <v/>
      </c>
      <c r="CL156" s="4097">
        <f>IFERROR(AP156/AP$117,0)</f>
        <v/>
      </c>
      <c r="CM156" s="4097">
        <f>IFERROR(AQ156/AQ$117,0)</f>
        <v/>
      </c>
      <c r="CN156" s="4097">
        <f>IFERROR(AR156/AR$117,0)</f>
        <v/>
      </c>
      <c r="CO156" s="4097">
        <f>IFERROR(AS156/AS$117,0)</f>
        <v/>
      </c>
      <c r="CP156" s="4097">
        <f>IFERROR(AT156/AT$117,0)</f>
        <v/>
      </c>
      <c r="CQ156" s="4099">
        <f>IFERROR(AU156/AU$117,0)</f>
        <v/>
      </c>
      <c r="CR156" s="4097">
        <f>IFERROR(AV156/AV$117,0)</f>
        <v/>
      </c>
      <c r="CS156" s="4097">
        <f>IFERROR(AW156/AW$117,0)</f>
        <v/>
      </c>
      <c r="CT156" s="4097">
        <f>IFERROR(AX156/AX$117,0)</f>
        <v/>
      </c>
      <c r="CU156" s="4097">
        <f>IFERROR(AY156/AY$117,0)</f>
        <v/>
      </c>
      <c r="CV156" s="4097">
        <f>IFERROR(AZ156/AZ$117,0)</f>
        <v/>
      </c>
      <c r="CW156" s="3737" t="n"/>
      <c r="CX156" s="4094" t="n">
        <v>-255.70761</v>
      </c>
    </row>
    <row r="157" hidden="1" outlineLevel="2" ht="12" customFormat="1" customHeight="1" s="3737">
      <c r="A157" s="4059" t="n"/>
      <c r="B157" s="4060" t="n"/>
      <c r="C157" s="4109" t="inlineStr">
        <is>
          <t>Reimbursable expenses - visa &amp; plus int'l acq fee</t>
        </is>
      </c>
      <c r="D157" s="4093" t="n">
        <v>601101</v>
      </c>
      <c r="E157" s="4093">
        <f>CONCATENATE(D157," - ",C157)</f>
        <v/>
      </c>
      <c r="F157" s="4094" t="n"/>
      <c r="G157" s="4094" t="n"/>
      <c r="H157" s="4094" t="n"/>
      <c r="I157" s="4094" t="n"/>
      <c r="J157" s="4094" t="n"/>
      <c r="K157" s="4094" t="n"/>
      <c r="L157" s="4094" t="n"/>
      <c r="M157" s="4094" t="n"/>
      <c r="N157" s="4094" t="n"/>
      <c r="O157" s="4094" t="n"/>
      <c r="P157" s="4094" t="n"/>
      <c r="Q157" s="4095" t="n"/>
      <c r="R157" s="4094" t="n"/>
      <c r="S157" s="4094" t="n"/>
      <c r="T157" s="4094" t="n"/>
      <c r="U157" s="4094" t="n"/>
      <c r="V157" s="4094" t="n"/>
      <c r="W157" s="4094" t="n"/>
      <c r="X157" s="4094" t="n"/>
      <c r="Y157" s="4094" t="n"/>
      <c r="Z157" s="4094" t="n"/>
      <c r="AA157" s="4094" t="n"/>
      <c r="AB157" s="4094" t="n"/>
      <c r="AC157" s="4095" t="n"/>
      <c r="AD157" s="4094" t="n"/>
      <c r="AE157" s="4094" t="n"/>
      <c r="AF157" s="4094" t="n"/>
      <c r="AG157" s="4094" t="n"/>
      <c r="AH157" s="4094" t="n"/>
      <c r="AI157" s="4094" t="n"/>
      <c r="AJ157" s="4094" t="n"/>
      <c r="AK157" s="4094" t="n"/>
      <c r="AL157" s="4094" t="n"/>
      <c r="AM157" s="4094" t="n"/>
      <c r="AN157" s="4094" t="n"/>
      <c r="AO157" s="4095" t="n"/>
      <c r="AP157" s="4094" t="n">
        <v>-10.73529</v>
      </c>
      <c r="AQ157" s="4094" t="n">
        <v>-10.63542</v>
      </c>
      <c r="AR157" s="4094" t="n">
        <v>-9.370509999999999</v>
      </c>
      <c r="AS157" s="4094" t="n">
        <v>-9.35975</v>
      </c>
      <c r="AT157" s="4094" t="n">
        <v>-9.840479999999999</v>
      </c>
      <c r="AU157" s="4096" t="n">
        <v>-11.39315</v>
      </c>
      <c r="AV157" s="4094">
        <f>SUM(F157:Q157)</f>
        <v/>
      </c>
      <c r="AW157" s="4094">
        <f>SUM(R157:AC157)</f>
        <v/>
      </c>
      <c r="AX157" s="4094">
        <f>SUM(AD157:AO157)</f>
        <v/>
      </c>
      <c r="AY157" s="4094">
        <f>SUM(AH157:AS157)</f>
        <v/>
      </c>
      <c r="AZ157" s="4094">
        <f>SUM(AJ157:AU157)</f>
        <v/>
      </c>
      <c r="BA157" s="3737" t="n"/>
      <c r="BB157" s="4097">
        <f>IFERROR(F157/F$117,0)</f>
        <v/>
      </c>
      <c r="BC157" s="4097">
        <f>IFERROR(G157/G$117,0)</f>
        <v/>
      </c>
      <c r="BD157" s="4097">
        <f>IFERROR(H157/H$117,0)</f>
        <v/>
      </c>
      <c r="BE157" s="4097">
        <f>IFERROR(I157/I$117,0)</f>
        <v/>
      </c>
      <c r="BF157" s="4097">
        <f>IFERROR(J157/J$117,0)</f>
        <v/>
      </c>
      <c r="BG157" s="4097">
        <f>IFERROR(K157/K$117,0)</f>
        <v/>
      </c>
      <c r="BH157" s="4097">
        <f>IFERROR(L157/L$117,0)</f>
        <v/>
      </c>
      <c r="BI157" s="4097">
        <f>IFERROR(M157/M$117,0)</f>
        <v/>
      </c>
      <c r="BJ157" s="4097">
        <f>IFERROR(N157/N$117,0)</f>
        <v/>
      </c>
      <c r="BK157" s="4097">
        <f>IFERROR(O157/O$117,0)</f>
        <v/>
      </c>
      <c r="BL157" s="4097">
        <f>IFERROR(P157/P$117,0)</f>
        <v/>
      </c>
      <c r="BM157" s="4098">
        <f>IFERROR(Q157/Q$117,0)</f>
        <v/>
      </c>
      <c r="BN157" s="4097">
        <f>IFERROR(R157/R$117,0)</f>
        <v/>
      </c>
      <c r="BO157" s="4097">
        <f>IFERROR(S157/S$117,0)</f>
        <v/>
      </c>
      <c r="BP157" s="4097">
        <f>IFERROR(T157/T$117,0)</f>
        <v/>
      </c>
      <c r="BQ157" s="4097">
        <f>IFERROR(U157/U$117,0)</f>
        <v/>
      </c>
      <c r="BR157" s="4097">
        <f>IFERROR(V157/V$117,0)</f>
        <v/>
      </c>
      <c r="BS157" s="4097">
        <f>IFERROR(W157/W$117,0)</f>
        <v/>
      </c>
      <c r="BT157" s="4097">
        <f>IFERROR(X157/X$117,0)</f>
        <v/>
      </c>
      <c r="BU157" s="4097">
        <f>IFERROR(Y157/Y$117,0)</f>
        <v/>
      </c>
      <c r="BV157" s="4097">
        <f>IFERROR(Z157/Z$117,0)</f>
        <v/>
      </c>
      <c r="BW157" s="4097">
        <f>IFERROR(AA157/AA$117,0)</f>
        <v/>
      </c>
      <c r="BX157" s="4097">
        <f>IFERROR(AB157/AB$117,0)</f>
        <v/>
      </c>
      <c r="BY157" s="4098">
        <f>IFERROR(AC157/AC$117,0)</f>
        <v/>
      </c>
      <c r="BZ157" s="4097">
        <f>IFERROR(AD157/AD$117,0)</f>
        <v/>
      </c>
      <c r="CA157" s="4097">
        <f>IFERROR(AE157/AE$117,0)</f>
        <v/>
      </c>
      <c r="CB157" s="4097">
        <f>IFERROR(AF157/AF$117,0)</f>
        <v/>
      </c>
      <c r="CC157" s="4097">
        <f>IFERROR(AG157/AG$117,0)</f>
        <v/>
      </c>
      <c r="CD157" s="4097">
        <f>IFERROR(AH157/AH$117,0)</f>
        <v/>
      </c>
      <c r="CE157" s="4097">
        <f>IFERROR(AI157/AI$117,0)</f>
        <v/>
      </c>
      <c r="CF157" s="4097">
        <f>IFERROR(AJ157/AJ$117,0)</f>
        <v/>
      </c>
      <c r="CG157" s="4097">
        <f>IFERROR(AK157/AK$117,0)</f>
        <v/>
      </c>
      <c r="CH157" s="4097">
        <f>IFERROR(AL157/AL$117,0)</f>
        <v/>
      </c>
      <c r="CI157" s="4097">
        <f>IFERROR(AM157/AM$117,0)</f>
        <v/>
      </c>
      <c r="CJ157" s="4097">
        <f>IFERROR(AN157/AN$117,0)</f>
        <v/>
      </c>
      <c r="CK157" s="4098">
        <f>IFERROR(AO157/AO$117,0)</f>
        <v/>
      </c>
      <c r="CL157" s="4097">
        <f>IFERROR(AP157/AP$117,0)</f>
        <v/>
      </c>
      <c r="CM157" s="4097">
        <f>IFERROR(AQ157/AQ$117,0)</f>
        <v/>
      </c>
      <c r="CN157" s="4097">
        <f>IFERROR(AR157/AR$117,0)</f>
        <v/>
      </c>
      <c r="CO157" s="4097">
        <f>IFERROR(AS157/AS$117,0)</f>
        <v/>
      </c>
      <c r="CP157" s="4097">
        <f>IFERROR(AT157/AT$117,0)</f>
        <v/>
      </c>
      <c r="CQ157" s="4099">
        <f>IFERROR(AU157/AU$117,0)</f>
        <v/>
      </c>
      <c r="CR157" s="4097">
        <f>IFERROR(AV157/AV$117,0)</f>
        <v/>
      </c>
      <c r="CS157" s="4097">
        <f>IFERROR(AW157/AW$117,0)</f>
        <v/>
      </c>
      <c r="CT157" s="4097">
        <f>IFERROR(AX157/AX$117,0)</f>
        <v/>
      </c>
      <c r="CU157" s="4097">
        <f>IFERROR(AY157/AY$117,0)</f>
        <v/>
      </c>
      <c r="CV157" s="4097">
        <f>IFERROR(AZ157/AZ$117,0)</f>
        <v/>
      </c>
      <c r="CW157" s="3737" t="n"/>
      <c r="CX157" s="4094" t="n">
        <v>-54.79186</v>
      </c>
    </row>
    <row r="158" hidden="1" outlineLevel="2" ht="12" customFormat="1" customHeight="1" s="3737">
      <c r="A158" s="4059" t="n"/>
      <c r="B158" s="4060" t="n"/>
      <c r="C158" s="4109" t="inlineStr">
        <is>
          <t>Reimbursed exp - others</t>
        </is>
      </c>
      <c r="D158" s="4093" t="n">
        <v>601110</v>
      </c>
      <c r="E158" s="4093">
        <f>CONCATENATE(D158," - ",C158)</f>
        <v/>
      </c>
      <c r="F158" s="4094" t="n"/>
      <c r="G158" s="4094" t="n"/>
      <c r="H158" s="4094" t="n"/>
      <c r="I158" s="4094" t="n"/>
      <c r="J158" s="4094" t="n"/>
      <c r="K158" s="4094" t="n"/>
      <c r="L158" s="4094" t="n"/>
      <c r="M158" s="4094" t="n"/>
      <c r="N158" s="4094" t="n"/>
      <c r="O158" s="4094" t="n"/>
      <c r="P158" s="4094" t="n"/>
      <c r="Q158" s="4095" t="n"/>
      <c r="R158" s="4094" t="n"/>
      <c r="S158" s="4094" t="n"/>
      <c r="T158" s="4094" t="n"/>
      <c r="U158" s="4094" t="n"/>
      <c r="V158" s="4094" t="n"/>
      <c r="W158" s="4094" t="n"/>
      <c r="X158" s="4094" t="n"/>
      <c r="Y158" s="4094" t="n"/>
      <c r="Z158" s="4094" t="n"/>
      <c r="AA158" s="4094" t="n"/>
      <c r="AB158" s="4094" t="n"/>
      <c r="AC158" s="4095" t="n"/>
      <c r="AD158" s="4094" t="n"/>
      <c r="AE158" s="4094" t="n"/>
      <c r="AF158" s="4094" t="n"/>
      <c r="AG158" s="4094" t="n"/>
      <c r="AH158" s="4094" t="n"/>
      <c r="AI158" s="4094" t="n"/>
      <c r="AJ158" s="4094" t="n"/>
      <c r="AK158" s="4094" t="n"/>
      <c r="AL158" s="4094" t="n"/>
      <c r="AM158" s="4094" t="n"/>
      <c r="AN158" s="4094" t="n"/>
      <c r="AO158" s="4095" t="n"/>
      <c r="AP158" s="4094" t="n">
        <v>-0.3</v>
      </c>
      <c r="AQ158" s="4094" t="n">
        <v>-0.76738</v>
      </c>
      <c r="AR158" s="4094" t="n">
        <v>-0.11533</v>
      </c>
      <c r="AS158" s="4094" t="n">
        <v>-0.15524</v>
      </c>
      <c r="AT158" s="4094" t="n">
        <v>-4.09763</v>
      </c>
      <c r="AU158" s="4096" t="n">
        <v>-36.94314</v>
      </c>
      <c r="AV158" s="4094">
        <f>SUM(F158:Q158)</f>
        <v/>
      </c>
      <c r="AW158" s="4094">
        <f>SUM(R158:AC158)</f>
        <v/>
      </c>
      <c r="AX158" s="4094">
        <f>SUM(AD158:AO158)</f>
        <v/>
      </c>
      <c r="AY158" s="4094">
        <f>SUM(AH158:AS158)</f>
        <v/>
      </c>
      <c r="AZ158" s="4094">
        <f>SUM(AJ158:AU158)</f>
        <v/>
      </c>
      <c r="BA158" s="3737" t="n"/>
      <c r="BB158" s="4097">
        <f>IFERROR(F158/F$117,0)</f>
        <v/>
      </c>
      <c r="BC158" s="4097">
        <f>IFERROR(G158/G$117,0)</f>
        <v/>
      </c>
      <c r="BD158" s="4097">
        <f>IFERROR(H158/H$117,0)</f>
        <v/>
      </c>
      <c r="BE158" s="4097">
        <f>IFERROR(I158/I$117,0)</f>
        <v/>
      </c>
      <c r="BF158" s="4097">
        <f>IFERROR(J158/J$117,0)</f>
        <v/>
      </c>
      <c r="BG158" s="4097">
        <f>IFERROR(K158/K$117,0)</f>
        <v/>
      </c>
      <c r="BH158" s="4097">
        <f>IFERROR(L158/L$117,0)</f>
        <v/>
      </c>
      <c r="BI158" s="4097">
        <f>IFERROR(M158/M$117,0)</f>
        <v/>
      </c>
      <c r="BJ158" s="4097">
        <f>IFERROR(N158/N$117,0)</f>
        <v/>
      </c>
      <c r="BK158" s="4097">
        <f>IFERROR(O158/O$117,0)</f>
        <v/>
      </c>
      <c r="BL158" s="4097">
        <f>IFERROR(P158/P$117,0)</f>
        <v/>
      </c>
      <c r="BM158" s="4098">
        <f>IFERROR(Q158/Q$117,0)</f>
        <v/>
      </c>
      <c r="BN158" s="4097">
        <f>IFERROR(R158/R$117,0)</f>
        <v/>
      </c>
      <c r="BO158" s="4097">
        <f>IFERROR(S158/S$117,0)</f>
        <v/>
      </c>
      <c r="BP158" s="4097">
        <f>IFERROR(T158/T$117,0)</f>
        <v/>
      </c>
      <c r="BQ158" s="4097">
        <f>IFERROR(U158/U$117,0)</f>
        <v/>
      </c>
      <c r="BR158" s="4097">
        <f>IFERROR(V158/V$117,0)</f>
        <v/>
      </c>
      <c r="BS158" s="4097">
        <f>IFERROR(W158/W$117,0)</f>
        <v/>
      </c>
      <c r="BT158" s="4097">
        <f>IFERROR(X158/X$117,0)</f>
        <v/>
      </c>
      <c r="BU158" s="4097">
        <f>IFERROR(Y158/Y$117,0)</f>
        <v/>
      </c>
      <c r="BV158" s="4097">
        <f>IFERROR(Z158/Z$117,0)</f>
        <v/>
      </c>
      <c r="BW158" s="4097">
        <f>IFERROR(AA158/AA$117,0)</f>
        <v/>
      </c>
      <c r="BX158" s="4097">
        <f>IFERROR(AB158/AB$117,0)</f>
        <v/>
      </c>
      <c r="BY158" s="4098">
        <f>IFERROR(AC158/AC$117,0)</f>
        <v/>
      </c>
      <c r="BZ158" s="4097">
        <f>IFERROR(AD158/AD$117,0)</f>
        <v/>
      </c>
      <c r="CA158" s="4097">
        <f>IFERROR(AE158/AE$117,0)</f>
        <v/>
      </c>
      <c r="CB158" s="4097">
        <f>IFERROR(AF158/AF$117,0)</f>
        <v/>
      </c>
      <c r="CC158" s="4097">
        <f>IFERROR(AG158/AG$117,0)</f>
        <v/>
      </c>
      <c r="CD158" s="4097">
        <f>IFERROR(AH158/AH$117,0)</f>
        <v/>
      </c>
      <c r="CE158" s="4097">
        <f>IFERROR(AI158/AI$117,0)</f>
        <v/>
      </c>
      <c r="CF158" s="4097">
        <f>IFERROR(AJ158/AJ$117,0)</f>
        <v/>
      </c>
      <c r="CG158" s="4097">
        <f>IFERROR(AK158/AK$117,0)</f>
        <v/>
      </c>
      <c r="CH158" s="4097">
        <f>IFERROR(AL158/AL$117,0)</f>
        <v/>
      </c>
      <c r="CI158" s="4097">
        <f>IFERROR(AM158/AM$117,0)</f>
        <v/>
      </c>
      <c r="CJ158" s="4097">
        <f>IFERROR(AN158/AN$117,0)</f>
        <v/>
      </c>
      <c r="CK158" s="4098">
        <f>IFERROR(AO158/AO$117,0)</f>
        <v/>
      </c>
      <c r="CL158" s="4097">
        <f>IFERROR(AP158/AP$117,0)</f>
        <v/>
      </c>
      <c r="CM158" s="4097">
        <f>IFERROR(AQ158/AQ$117,0)</f>
        <v/>
      </c>
      <c r="CN158" s="4097">
        <f>IFERROR(AR158/AR$117,0)</f>
        <v/>
      </c>
      <c r="CO158" s="4097">
        <f>IFERROR(AS158/AS$117,0)</f>
        <v/>
      </c>
      <c r="CP158" s="4097">
        <f>IFERROR(AT158/AT$117,0)</f>
        <v/>
      </c>
      <c r="CQ158" s="4099">
        <f>IFERROR(AU158/AU$117,0)</f>
        <v/>
      </c>
      <c r="CR158" s="4097">
        <f>IFERROR(AV158/AV$117,0)</f>
        <v/>
      </c>
      <c r="CS158" s="4097">
        <f>IFERROR(AW158/AW$117,0)</f>
        <v/>
      </c>
      <c r="CT158" s="4097">
        <f>IFERROR(AX158/AX$117,0)</f>
        <v/>
      </c>
      <c r="CU158" s="4097">
        <f>IFERROR(AY158/AY$117,0)</f>
        <v/>
      </c>
      <c r="CV158" s="4097">
        <f>IFERROR(AZ158/AZ$117,0)</f>
        <v/>
      </c>
      <c r="CW158" s="3737" t="n"/>
      <c r="CX158" s="4094" t="n">
        <v>-115.23984</v>
      </c>
    </row>
    <row r="159" hidden="1" outlineLevel="2" ht="12" customFormat="1" customHeight="1" s="3737">
      <c r="A159" s="4059" t="n"/>
      <c r="B159" s="4060" t="n"/>
      <c r="C159" s="4109" t="inlineStr">
        <is>
          <t>Reimbursed exp - dma membership fee</t>
        </is>
      </c>
      <c r="D159" s="4093" t="n">
        <v>601124</v>
      </c>
      <c r="E159" s="4093">
        <f>CONCATENATE(D159," - ",C159)</f>
        <v/>
      </c>
      <c r="F159" s="4094" t="n"/>
      <c r="G159" s="4094" t="n"/>
      <c r="H159" s="4094" t="n"/>
      <c r="I159" s="4094" t="n"/>
      <c r="J159" s="4094" t="n"/>
      <c r="K159" s="4094" t="n"/>
      <c r="L159" s="4094" t="n"/>
      <c r="M159" s="4094" t="n"/>
      <c r="N159" s="4094" t="n"/>
      <c r="O159" s="4094" t="n"/>
      <c r="P159" s="4094" t="n"/>
      <c r="Q159" s="4095" t="n"/>
      <c r="R159" s="4094" t="n"/>
      <c r="S159" s="4094" t="n"/>
      <c r="T159" s="4094" t="n"/>
      <c r="U159" s="4094" t="n"/>
      <c r="V159" s="4094" t="n"/>
      <c r="W159" s="4094" t="n"/>
      <c r="X159" s="4094" t="n"/>
      <c r="Y159" s="4094" t="n"/>
      <c r="Z159" s="4094" t="n"/>
      <c r="AA159" s="4094" t="n"/>
      <c r="AB159" s="4094" t="n"/>
      <c r="AC159" s="4095" t="n"/>
      <c r="AD159" s="4094" t="n"/>
      <c r="AE159" s="4094" t="n"/>
      <c r="AF159" s="4094" t="n"/>
      <c r="AG159" s="4094" t="n"/>
      <c r="AH159" s="4094" t="n"/>
      <c r="AI159" s="4094" t="n"/>
      <c r="AJ159" s="4094" t="n"/>
      <c r="AK159" s="4094" t="n"/>
      <c r="AL159" s="4094" t="n"/>
      <c r="AM159" s="4094" t="n"/>
      <c r="AN159" s="4094" t="n"/>
      <c r="AO159" s="4095" t="n"/>
      <c r="AP159" s="4094" t="n">
        <v>0</v>
      </c>
      <c r="AQ159" s="4094" t="n">
        <v>-81.5</v>
      </c>
      <c r="AR159" s="4094" t="n">
        <v>-12.54167</v>
      </c>
      <c r="AS159" s="4094" t="n">
        <v>0</v>
      </c>
      <c r="AT159" s="4094" t="n">
        <v>0</v>
      </c>
      <c r="AU159" s="4096" t="n">
        <v>0</v>
      </c>
      <c r="AV159" s="4094">
        <f>SUM(F159:Q159)</f>
        <v/>
      </c>
      <c r="AW159" s="4094">
        <f>SUM(R159:AC159)</f>
        <v/>
      </c>
      <c r="AX159" s="4094">
        <f>SUM(AD159:AO159)</f>
        <v/>
      </c>
      <c r="AY159" s="4094">
        <f>SUM(AH159:AS159)</f>
        <v/>
      </c>
      <c r="AZ159" s="4094">
        <f>SUM(AJ159:AU159)</f>
        <v/>
      </c>
      <c r="BA159" s="3737" t="n"/>
      <c r="BB159" s="4097">
        <f>IFERROR(F159/F$117,0)</f>
        <v/>
      </c>
      <c r="BC159" s="4097">
        <f>IFERROR(G159/G$117,0)</f>
        <v/>
      </c>
      <c r="BD159" s="4097">
        <f>IFERROR(H159/H$117,0)</f>
        <v/>
      </c>
      <c r="BE159" s="4097">
        <f>IFERROR(I159/I$117,0)</f>
        <v/>
      </c>
      <c r="BF159" s="4097">
        <f>IFERROR(J159/J$117,0)</f>
        <v/>
      </c>
      <c r="BG159" s="4097">
        <f>IFERROR(K159/K$117,0)</f>
        <v/>
      </c>
      <c r="BH159" s="4097">
        <f>IFERROR(L159/L$117,0)</f>
        <v/>
      </c>
      <c r="BI159" s="4097">
        <f>IFERROR(M159/M$117,0)</f>
        <v/>
      </c>
      <c r="BJ159" s="4097">
        <f>IFERROR(N159/N$117,0)</f>
        <v/>
      </c>
      <c r="BK159" s="4097">
        <f>IFERROR(O159/O$117,0)</f>
        <v/>
      </c>
      <c r="BL159" s="4097">
        <f>IFERROR(P159/P$117,0)</f>
        <v/>
      </c>
      <c r="BM159" s="4098">
        <f>IFERROR(Q159/Q$117,0)</f>
        <v/>
      </c>
      <c r="BN159" s="4097">
        <f>IFERROR(R159/R$117,0)</f>
        <v/>
      </c>
      <c r="BO159" s="4097">
        <f>IFERROR(S159/S$117,0)</f>
        <v/>
      </c>
      <c r="BP159" s="4097">
        <f>IFERROR(T159/T$117,0)</f>
        <v/>
      </c>
      <c r="BQ159" s="4097">
        <f>IFERROR(U159/U$117,0)</f>
        <v/>
      </c>
      <c r="BR159" s="4097">
        <f>IFERROR(V159/V$117,0)</f>
        <v/>
      </c>
      <c r="BS159" s="4097">
        <f>IFERROR(W159/W$117,0)</f>
        <v/>
      </c>
      <c r="BT159" s="4097">
        <f>IFERROR(X159/X$117,0)</f>
        <v/>
      </c>
      <c r="BU159" s="4097">
        <f>IFERROR(Y159/Y$117,0)</f>
        <v/>
      </c>
      <c r="BV159" s="4097">
        <f>IFERROR(Z159/Z$117,0)</f>
        <v/>
      </c>
      <c r="BW159" s="4097">
        <f>IFERROR(AA159/AA$117,0)</f>
        <v/>
      </c>
      <c r="BX159" s="4097">
        <f>IFERROR(AB159/AB$117,0)</f>
        <v/>
      </c>
      <c r="BY159" s="4098">
        <f>IFERROR(AC159/AC$117,0)</f>
        <v/>
      </c>
      <c r="BZ159" s="4097">
        <f>IFERROR(AD159/AD$117,0)</f>
        <v/>
      </c>
      <c r="CA159" s="4097">
        <f>IFERROR(AE159/AE$117,0)</f>
        <v/>
      </c>
      <c r="CB159" s="4097">
        <f>IFERROR(AF159/AF$117,0)</f>
        <v/>
      </c>
      <c r="CC159" s="4097">
        <f>IFERROR(AG159/AG$117,0)</f>
        <v/>
      </c>
      <c r="CD159" s="4097">
        <f>IFERROR(AH159/AH$117,0)</f>
        <v/>
      </c>
      <c r="CE159" s="4097">
        <f>IFERROR(AI159/AI$117,0)</f>
        <v/>
      </c>
      <c r="CF159" s="4097">
        <f>IFERROR(AJ159/AJ$117,0)</f>
        <v/>
      </c>
      <c r="CG159" s="4097">
        <f>IFERROR(AK159/AK$117,0)</f>
        <v/>
      </c>
      <c r="CH159" s="4097">
        <f>IFERROR(AL159/AL$117,0)</f>
        <v/>
      </c>
      <c r="CI159" s="4097">
        <f>IFERROR(AM159/AM$117,0)</f>
        <v/>
      </c>
      <c r="CJ159" s="4097">
        <f>IFERROR(AN159/AN$117,0)</f>
        <v/>
      </c>
      <c r="CK159" s="4098">
        <f>IFERROR(AO159/AO$117,0)</f>
        <v/>
      </c>
      <c r="CL159" s="4097">
        <f>IFERROR(AP159/AP$117,0)</f>
        <v/>
      </c>
      <c r="CM159" s="4097">
        <f>IFERROR(AQ159/AQ$117,0)</f>
        <v/>
      </c>
      <c r="CN159" s="4097">
        <f>IFERROR(AR159/AR$117,0)</f>
        <v/>
      </c>
      <c r="CO159" s="4097">
        <f>IFERROR(AS159/AS$117,0)</f>
        <v/>
      </c>
      <c r="CP159" s="4097">
        <f>IFERROR(AT159/AT$117,0)</f>
        <v/>
      </c>
      <c r="CQ159" s="4099">
        <f>IFERROR(AU159/AU$117,0)</f>
        <v/>
      </c>
      <c r="CR159" s="4097">
        <f>IFERROR(AV159/AV$117,0)</f>
        <v/>
      </c>
      <c r="CS159" s="4097">
        <f>IFERROR(AW159/AW$117,0)</f>
        <v/>
      </c>
      <c r="CT159" s="4097">
        <f>IFERROR(AX159/AX$117,0)</f>
        <v/>
      </c>
      <c r="CU159" s="4097">
        <f>IFERROR(AY159/AY$117,0)</f>
        <v/>
      </c>
      <c r="CV159" s="4097">
        <f>IFERROR(AZ159/AZ$117,0)</f>
        <v/>
      </c>
      <c r="CW159" s="3737" t="n"/>
      <c r="CX159" s="4094" t="n">
        <v>0</v>
      </c>
    </row>
    <row r="160" hidden="1" outlineLevel="2" ht="12" customFormat="1" customHeight="1" s="3737">
      <c r="A160" s="4059" t="n"/>
      <c r="B160" s="4060" t="n"/>
      <c r="C160" s="4109" t="inlineStr">
        <is>
          <t>Reimbursed exp - dma fixed fee pass through</t>
        </is>
      </c>
      <c r="D160" s="4093" t="n">
        <v>601126</v>
      </c>
      <c r="E160" s="4093">
        <f>CONCATENATE(D160," - ",C160)</f>
        <v/>
      </c>
      <c r="F160" s="4094" t="n"/>
      <c r="G160" s="4094" t="n"/>
      <c r="H160" s="4094" t="n"/>
      <c r="I160" s="4094" t="n"/>
      <c r="J160" s="4094" t="n"/>
      <c r="K160" s="4094" t="n"/>
      <c r="L160" s="4094" t="n"/>
      <c r="M160" s="4094" t="n"/>
      <c r="N160" s="4094" t="n"/>
      <c r="O160" s="4094" t="n"/>
      <c r="P160" s="4094" t="n"/>
      <c r="Q160" s="4095" t="n"/>
      <c r="R160" s="4094" t="n"/>
      <c r="S160" s="4094" t="n"/>
      <c r="T160" s="4094" t="n"/>
      <c r="U160" s="4094" t="n"/>
      <c r="V160" s="4094" t="n"/>
      <c r="W160" s="4094" t="n"/>
      <c r="X160" s="4094" t="n"/>
      <c r="Y160" s="4094" t="n"/>
      <c r="Z160" s="4094" t="n"/>
      <c r="AA160" s="4094" t="n"/>
      <c r="AB160" s="4094" t="n"/>
      <c r="AC160" s="4095" t="n"/>
      <c r="AD160" s="4094" t="n"/>
      <c r="AE160" s="4094" t="n"/>
      <c r="AF160" s="4094" t="n"/>
      <c r="AG160" s="4094" t="n"/>
      <c r="AH160" s="4094" t="n"/>
      <c r="AI160" s="4094" t="n"/>
      <c r="AJ160" s="4094" t="n"/>
      <c r="AK160" s="4094" t="n"/>
      <c r="AL160" s="4094" t="n"/>
      <c r="AM160" s="4094" t="n"/>
      <c r="AN160" s="4094" t="n"/>
      <c r="AO160" s="4095" t="n"/>
      <c r="AP160" s="4094" t="n">
        <v>-3.88095</v>
      </c>
      <c r="AQ160" s="4094" t="n">
        <v>-8.949859999999999</v>
      </c>
      <c r="AR160" s="4094" t="n">
        <v>-5.7174</v>
      </c>
      <c r="AS160" s="4094" t="n">
        <v>-5.08677</v>
      </c>
      <c r="AT160" s="4094" t="n">
        <v>-6.73406</v>
      </c>
      <c r="AU160" s="4096" t="n">
        <v>-21.47338</v>
      </c>
      <c r="AV160" s="4094">
        <f>SUM(F160:Q160)</f>
        <v/>
      </c>
      <c r="AW160" s="4094">
        <f>SUM(R160:AC160)</f>
        <v/>
      </c>
      <c r="AX160" s="4094">
        <f>SUM(AD160:AO160)</f>
        <v/>
      </c>
      <c r="AY160" s="4094">
        <f>SUM(AH160:AS160)</f>
        <v/>
      </c>
      <c r="AZ160" s="4094">
        <f>SUM(AJ160:AU160)</f>
        <v/>
      </c>
      <c r="BA160" s="3737" t="n"/>
      <c r="BB160" s="4097">
        <f>IFERROR(F160/F$117,0)</f>
        <v/>
      </c>
      <c r="BC160" s="4097">
        <f>IFERROR(G160/G$117,0)</f>
        <v/>
      </c>
      <c r="BD160" s="4097">
        <f>IFERROR(H160/H$117,0)</f>
        <v/>
      </c>
      <c r="BE160" s="4097">
        <f>IFERROR(I160/I$117,0)</f>
        <v/>
      </c>
      <c r="BF160" s="4097">
        <f>IFERROR(J160/J$117,0)</f>
        <v/>
      </c>
      <c r="BG160" s="4097">
        <f>IFERROR(K160/K$117,0)</f>
        <v/>
      </c>
      <c r="BH160" s="4097">
        <f>IFERROR(L160/L$117,0)</f>
        <v/>
      </c>
      <c r="BI160" s="4097">
        <f>IFERROR(M160/M$117,0)</f>
        <v/>
      </c>
      <c r="BJ160" s="4097">
        <f>IFERROR(N160/N$117,0)</f>
        <v/>
      </c>
      <c r="BK160" s="4097">
        <f>IFERROR(O160/O$117,0)</f>
        <v/>
      </c>
      <c r="BL160" s="4097">
        <f>IFERROR(P160/P$117,0)</f>
        <v/>
      </c>
      <c r="BM160" s="4098">
        <f>IFERROR(Q160/Q$117,0)</f>
        <v/>
      </c>
      <c r="BN160" s="4097">
        <f>IFERROR(R160/R$117,0)</f>
        <v/>
      </c>
      <c r="BO160" s="4097">
        <f>IFERROR(S160/S$117,0)</f>
        <v/>
      </c>
      <c r="BP160" s="4097">
        <f>IFERROR(T160/T$117,0)</f>
        <v/>
      </c>
      <c r="BQ160" s="4097">
        <f>IFERROR(U160/U$117,0)</f>
        <v/>
      </c>
      <c r="BR160" s="4097">
        <f>IFERROR(V160/V$117,0)</f>
        <v/>
      </c>
      <c r="BS160" s="4097">
        <f>IFERROR(W160/W$117,0)</f>
        <v/>
      </c>
      <c r="BT160" s="4097">
        <f>IFERROR(X160/X$117,0)</f>
        <v/>
      </c>
      <c r="BU160" s="4097">
        <f>IFERROR(Y160/Y$117,0)</f>
        <v/>
      </c>
      <c r="BV160" s="4097">
        <f>IFERROR(Z160/Z$117,0)</f>
        <v/>
      </c>
      <c r="BW160" s="4097">
        <f>IFERROR(AA160/AA$117,0)</f>
        <v/>
      </c>
      <c r="BX160" s="4097">
        <f>IFERROR(AB160/AB$117,0)</f>
        <v/>
      </c>
      <c r="BY160" s="4098">
        <f>IFERROR(AC160/AC$117,0)</f>
        <v/>
      </c>
      <c r="BZ160" s="4097">
        <f>IFERROR(AD160/AD$117,0)</f>
        <v/>
      </c>
      <c r="CA160" s="4097">
        <f>IFERROR(AE160/AE$117,0)</f>
        <v/>
      </c>
      <c r="CB160" s="4097">
        <f>IFERROR(AF160/AF$117,0)</f>
        <v/>
      </c>
      <c r="CC160" s="4097">
        <f>IFERROR(AG160/AG$117,0)</f>
        <v/>
      </c>
      <c r="CD160" s="4097">
        <f>IFERROR(AH160/AH$117,0)</f>
        <v/>
      </c>
      <c r="CE160" s="4097">
        <f>IFERROR(AI160/AI$117,0)</f>
        <v/>
      </c>
      <c r="CF160" s="4097">
        <f>IFERROR(AJ160/AJ$117,0)</f>
        <v/>
      </c>
      <c r="CG160" s="4097">
        <f>IFERROR(AK160/AK$117,0)</f>
        <v/>
      </c>
      <c r="CH160" s="4097">
        <f>IFERROR(AL160/AL$117,0)</f>
        <v/>
      </c>
      <c r="CI160" s="4097">
        <f>IFERROR(AM160/AM$117,0)</f>
        <v/>
      </c>
      <c r="CJ160" s="4097">
        <f>IFERROR(AN160/AN$117,0)</f>
        <v/>
      </c>
      <c r="CK160" s="4098">
        <f>IFERROR(AO160/AO$117,0)</f>
        <v/>
      </c>
      <c r="CL160" s="4097">
        <f>IFERROR(AP160/AP$117,0)</f>
        <v/>
      </c>
      <c r="CM160" s="4097">
        <f>IFERROR(AQ160/AQ$117,0)</f>
        <v/>
      </c>
      <c r="CN160" s="4097">
        <f>IFERROR(AR160/AR$117,0)</f>
        <v/>
      </c>
      <c r="CO160" s="4097">
        <f>IFERROR(AS160/AS$117,0)</f>
        <v/>
      </c>
      <c r="CP160" s="4097">
        <f>IFERROR(AT160/AT$117,0)</f>
        <v/>
      </c>
      <c r="CQ160" s="4099">
        <f>IFERROR(AU160/AU$117,0)</f>
        <v/>
      </c>
      <c r="CR160" s="4097">
        <f>IFERROR(AV160/AV$117,0)</f>
        <v/>
      </c>
      <c r="CS160" s="4097">
        <f>IFERROR(AW160/AW$117,0)</f>
        <v/>
      </c>
      <c r="CT160" s="4097">
        <f>IFERROR(AX160/AX$117,0)</f>
        <v/>
      </c>
      <c r="CU160" s="4097">
        <f>IFERROR(AY160/AY$117,0)</f>
        <v/>
      </c>
      <c r="CV160" s="4097">
        <f>IFERROR(AZ160/AZ$117,0)</f>
        <v/>
      </c>
      <c r="CW160" s="3737" t="n"/>
      <c r="CX160" s="4094" t="n">
        <v>0</v>
      </c>
    </row>
    <row r="161" hidden="1" outlineLevel="2" ht="12" customFormat="1" customHeight="1" s="3737">
      <c r="A161" s="4059" t="n"/>
      <c r="B161" s="4060" t="n"/>
      <c r="C161" s="4109" t="inlineStr">
        <is>
          <t>Reimbursable exp - pulse interchg &amp; switch fees</t>
        </is>
      </c>
      <c r="D161" s="4093" t="n">
        <v>601104</v>
      </c>
      <c r="E161" s="4093">
        <f>CONCATENATE(D161," - ",C161)</f>
        <v/>
      </c>
      <c r="F161" s="4094" t="n"/>
      <c r="G161" s="4094" t="n"/>
      <c r="H161" s="4094" t="n"/>
      <c r="I161" s="4094" t="n"/>
      <c r="J161" s="4094" t="n"/>
      <c r="K161" s="4094" t="n"/>
      <c r="L161" s="4094" t="n"/>
      <c r="M161" s="4094" t="n"/>
      <c r="N161" s="4094" t="n"/>
      <c r="O161" s="4094" t="n"/>
      <c r="P161" s="4094" t="n"/>
      <c r="Q161" s="4095" t="n"/>
      <c r="R161" s="4094" t="n"/>
      <c r="S161" s="4094" t="n"/>
      <c r="T161" s="4094" t="n"/>
      <c r="U161" s="4094" t="n"/>
      <c r="V161" s="4094" t="n"/>
      <c r="W161" s="4094" t="n"/>
      <c r="X161" s="4094" t="n"/>
      <c r="Y161" s="4094" t="n"/>
      <c r="Z161" s="4094" t="n"/>
      <c r="AA161" s="4094" t="n"/>
      <c r="AB161" s="4094" t="n"/>
      <c r="AC161" s="4095" t="n"/>
      <c r="AD161" s="4094" t="n"/>
      <c r="AE161" s="4094" t="n"/>
      <c r="AF161" s="4094" t="n"/>
      <c r="AG161" s="4094" t="n"/>
      <c r="AH161" s="4094" t="n"/>
      <c r="AI161" s="4094" t="n"/>
      <c r="AJ161" s="4094" t="n"/>
      <c r="AK161" s="4094" t="n"/>
      <c r="AL161" s="4094" t="n"/>
      <c r="AM161" s="4094" t="n"/>
      <c r="AN161" s="4094" t="n"/>
      <c r="AO161" s="4095" t="n"/>
      <c r="AP161" s="4094" t="n">
        <v>-1.85025</v>
      </c>
      <c r="AQ161" s="4094" t="n">
        <v>-1.88725</v>
      </c>
      <c r="AR161" s="4094" t="n">
        <v>-2.21375</v>
      </c>
      <c r="AS161" s="4094" t="n">
        <v>-2.16375</v>
      </c>
      <c r="AT161" s="4094" t="n">
        <v>-2.6385</v>
      </c>
      <c r="AU161" s="4096" t="n">
        <v>-3.16575</v>
      </c>
      <c r="AV161" s="4094">
        <f>SUM(F161:Q161)</f>
        <v/>
      </c>
      <c r="AW161" s="4094">
        <f>SUM(R161:AC161)</f>
        <v/>
      </c>
      <c r="AX161" s="4094">
        <f>SUM(AD161:AO161)</f>
        <v/>
      </c>
      <c r="AY161" s="4094">
        <f>SUM(AH161:AS161)</f>
        <v/>
      </c>
      <c r="AZ161" s="4094">
        <f>SUM(AJ161:AU161)</f>
        <v/>
      </c>
      <c r="BA161" s="3737" t="n"/>
      <c r="BB161" s="4097">
        <f>IFERROR(F161/F$117,0)</f>
        <v/>
      </c>
      <c r="BC161" s="4097">
        <f>IFERROR(G161/G$117,0)</f>
        <v/>
      </c>
      <c r="BD161" s="4097">
        <f>IFERROR(H161/H$117,0)</f>
        <v/>
      </c>
      <c r="BE161" s="4097">
        <f>IFERROR(I161/I$117,0)</f>
        <v/>
      </c>
      <c r="BF161" s="4097">
        <f>IFERROR(J161/J$117,0)</f>
        <v/>
      </c>
      <c r="BG161" s="4097">
        <f>IFERROR(K161/K$117,0)</f>
        <v/>
      </c>
      <c r="BH161" s="4097">
        <f>IFERROR(L161/L$117,0)</f>
        <v/>
      </c>
      <c r="BI161" s="4097">
        <f>IFERROR(M161/M$117,0)</f>
        <v/>
      </c>
      <c r="BJ161" s="4097">
        <f>IFERROR(N161/N$117,0)</f>
        <v/>
      </c>
      <c r="BK161" s="4097">
        <f>IFERROR(O161/O$117,0)</f>
        <v/>
      </c>
      <c r="BL161" s="4097">
        <f>IFERROR(P161/P$117,0)</f>
        <v/>
      </c>
      <c r="BM161" s="4098">
        <f>IFERROR(Q161/Q$117,0)</f>
        <v/>
      </c>
      <c r="BN161" s="4097">
        <f>IFERROR(R161/R$117,0)</f>
        <v/>
      </c>
      <c r="BO161" s="4097">
        <f>IFERROR(S161/S$117,0)</f>
        <v/>
      </c>
      <c r="BP161" s="4097">
        <f>IFERROR(T161/T$117,0)</f>
        <v/>
      </c>
      <c r="BQ161" s="4097">
        <f>IFERROR(U161/U$117,0)</f>
        <v/>
      </c>
      <c r="BR161" s="4097">
        <f>IFERROR(V161/V$117,0)</f>
        <v/>
      </c>
      <c r="BS161" s="4097">
        <f>IFERROR(W161/W$117,0)</f>
        <v/>
      </c>
      <c r="BT161" s="4097">
        <f>IFERROR(X161/X$117,0)</f>
        <v/>
      </c>
      <c r="BU161" s="4097">
        <f>IFERROR(Y161/Y$117,0)</f>
        <v/>
      </c>
      <c r="BV161" s="4097">
        <f>IFERROR(Z161/Z$117,0)</f>
        <v/>
      </c>
      <c r="BW161" s="4097">
        <f>IFERROR(AA161/AA$117,0)</f>
        <v/>
      </c>
      <c r="BX161" s="4097">
        <f>IFERROR(AB161/AB$117,0)</f>
        <v/>
      </c>
      <c r="BY161" s="4098">
        <f>IFERROR(AC161/AC$117,0)</f>
        <v/>
      </c>
      <c r="BZ161" s="4097">
        <f>IFERROR(AD161/AD$117,0)</f>
        <v/>
      </c>
      <c r="CA161" s="4097">
        <f>IFERROR(AE161/AE$117,0)</f>
        <v/>
      </c>
      <c r="CB161" s="4097">
        <f>IFERROR(AF161/AF$117,0)</f>
        <v/>
      </c>
      <c r="CC161" s="4097">
        <f>IFERROR(AG161/AG$117,0)</f>
        <v/>
      </c>
      <c r="CD161" s="4097">
        <f>IFERROR(AH161/AH$117,0)</f>
        <v/>
      </c>
      <c r="CE161" s="4097">
        <f>IFERROR(AI161/AI$117,0)</f>
        <v/>
      </c>
      <c r="CF161" s="4097">
        <f>IFERROR(AJ161/AJ$117,0)</f>
        <v/>
      </c>
      <c r="CG161" s="4097">
        <f>IFERROR(AK161/AK$117,0)</f>
        <v/>
      </c>
      <c r="CH161" s="4097">
        <f>IFERROR(AL161/AL$117,0)</f>
        <v/>
      </c>
      <c r="CI161" s="4097">
        <f>IFERROR(AM161/AM$117,0)</f>
        <v/>
      </c>
      <c r="CJ161" s="4097">
        <f>IFERROR(AN161/AN$117,0)</f>
        <v/>
      </c>
      <c r="CK161" s="4098">
        <f>IFERROR(AO161/AO$117,0)</f>
        <v/>
      </c>
      <c r="CL161" s="4097">
        <f>IFERROR(AP161/AP$117,0)</f>
        <v/>
      </c>
      <c r="CM161" s="4097">
        <f>IFERROR(AQ161/AQ$117,0)</f>
        <v/>
      </c>
      <c r="CN161" s="4097">
        <f>IFERROR(AR161/AR$117,0)</f>
        <v/>
      </c>
      <c r="CO161" s="4097">
        <f>IFERROR(AS161/AS$117,0)</f>
        <v/>
      </c>
      <c r="CP161" s="4097">
        <f>IFERROR(AT161/AT$117,0)</f>
        <v/>
      </c>
      <c r="CQ161" s="4099">
        <f>IFERROR(AU161/AU$117,0)</f>
        <v/>
      </c>
      <c r="CR161" s="4097">
        <f>IFERROR(AV161/AV$117,0)</f>
        <v/>
      </c>
      <c r="CS161" s="4097">
        <f>IFERROR(AW161/AW$117,0)</f>
        <v/>
      </c>
      <c r="CT161" s="4097">
        <f>IFERROR(AX161/AX$117,0)</f>
        <v/>
      </c>
      <c r="CU161" s="4097">
        <f>IFERROR(AY161/AY$117,0)</f>
        <v/>
      </c>
      <c r="CV161" s="4097">
        <f>IFERROR(AZ161/AZ$117,0)</f>
        <v/>
      </c>
      <c r="CW161" s="3737" t="n"/>
      <c r="CX161" s="4094" t="n">
        <v>-16.64799</v>
      </c>
    </row>
    <row r="162" hidden="1" outlineLevel="2" ht="12" customFormat="1" customHeight="1" s="3737">
      <c r="A162" s="4059" t="n"/>
      <c r="B162" s="4060" t="n"/>
      <c r="C162" s="4109" t="inlineStr">
        <is>
          <t>Reimbursed exp - dma network interchg &amp; switch fee</t>
        </is>
      </c>
      <c r="D162" s="4093" t="n">
        <v>601120</v>
      </c>
      <c r="E162" s="4093">
        <f>CONCATENATE(D162," - ",C162)</f>
        <v/>
      </c>
      <c r="F162" s="4094" t="n"/>
      <c r="G162" s="4094" t="n"/>
      <c r="H162" s="4094" t="n"/>
      <c r="I162" s="4094" t="n"/>
      <c r="J162" s="4094" t="n"/>
      <c r="K162" s="4094" t="n"/>
      <c r="L162" s="4094" t="n"/>
      <c r="M162" s="4094" t="n"/>
      <c r="N162" s="4094" t="n"/>
      <c r="O162" s="4094" t="n"/>
      <c r="P162" s="4094" t="n"/>
      <c r="Q162" s="4095" t="n"/>
      <c r="R162" s="4094" t="n"/>
      <c r="S162" s="4094" t="n"/>
      <c r="T162" s="4094" t="n"/>
      <c r="U162" s="4094" t="n"/>
      <c r="V162" s="4094" t="n"/>
      <c r="W162" s="4094" t="n"/>
      <c r="X162" s="4094" t="n"/>
      <c r="Y162" s="4094" t="n"/>
      <c r="Z162" s="4094" t="n"/>
      <c r="AA162" s="4094" t="n"/>
      <c r="AB162" s="4094" t="n"/>
      <c r="AC162" s="4095" t="n"/>
      <c r="AD162" s="4094" t="n"/>
      <c r="AE162" s="4094" t="n"/>
      <c r="AF162" s="4094" t="n"/>
      <c r="AG162" s="4094" t="n"/>
      <c r="AH162" s="4094" t="n"/>
      <c r="AI162" s="4094" t="n"/>
      <c r="AJ162" s="4094" t="n"/>
      <c r="AK162" s="4094" t="n"/>
      <c r="AL162" s="4094" t="n"/>
      <c r="AM162" s="4094" t="n"/>
      <c r="AN162" s="4094" t="n"/>
      <c r="AO162" s="4095" t="n"/>
      <c r="AP162" s="4094" t="n">
        <v>0</v>
      </c>
      <c r="AQ162" s="4094" t="n">
        <v>0</v>
      </c>
      <c r="AR162" s="4094" t="n">
        <v>0</v>
      </c>
      <c r="AS162" s="4094" t="n">
        <v>0</v>
      </c>
      <c r="AT162" s="4094" t="n">
        <v>0</v>
      </c>
      <c r="AU162" s="4096" t="n">
        <v>0</v>
      </c>
      <c r="AV162" s="4094">
        <f>SUM(F162:Q162)</f>
        <v/>
      </c>
      <c r="AW162" s="4094">
        <f>SUM(R162:AC162)</f>
        <v/>
      </c>
      <c r="AX162" s="4094">
        <f>SUM(AD162:AO162)</f>
        <v/>
      </c>
      <c r="AY162" s="4094">
        <f>SUM(AH162:AS162)</f>
        <v/>
      </c>
      <c r="AZ162" s="4094">
        <f>SUM(AJ162:AU162)</f>
        <v/>
      </c>
      <c r="BA162" s="3737" t="n"/>
      <c r="BB162" s="4097">
        <f>IFERROR(F162/F$117,0)</f>
        <v/>
      </c>
      <c r="BC162" s="4097">
        <f>IFERROR(G162/G$117,0)</f>
        <v/>
      </c>
      <c r="BD162" s="4097">
        <f>IFERROR(H162/H$117,0)</f>
        <v/>
      </c>
      <c r="BE162" s="4097">
        <f>IFERROR(I162/I$117,0)</f>
        <v/>
      </c>
      <c r="BF162" s="4097">
        <f>IFERROR(J162/J$117,0)</f>
        <v/>
      </c>
      <c r="BG162" s="4097">
        <f>IFERROR(K162/K$117,0)</f>
        <v/>
      </c>
      <c r="BH162" s="4097">
        <f>IFERROR(L162/L$117,0)</f>
        <v/>
      </c>
      <c r="BI162" s="4097">
        <f>IFERROR(M162/M$117,0)</f>
        <v/>
      </c>
      <c r="BJ162" s="4097">
        <f>IFERROR(N162/N$117,0)</f>
        <v/>
      </c>
      <c r="BK162" s="4097">
        <f>IFERROR(O162/O$117,0)</f>
        <v/>
      </c>
      <c r="BL162" s="4097">
        <f>IFERROR(P162/P$117,0)</f>
        <v/>
      </c>
      <c r="BM162" s="4098">
        <f>IFERROR(Q162/Q$117,0)</f>
        <v/>
      </c>
      <c r="BN162" s="4097">
        <f>IFERROR(R162/R$117,0)</f>
        <v/>
      </c>
      <c r="BO162" s="4097">
        <f>IFERROR(S162/S$117,0)</f>
        <v/>
      </c>
      <c r="BP162" s="4097">
        <f>IFERROR(T162/T$117,0)</f>
        <v/>
      </c>
      <c r="BQ162" s="4097">
        <f>IFERROR(U162/U$117,0)</f>
        <v/>
      </c>
      <c r="BR162" s="4097">
        <f>IFERROR(V162/V$117,0)</f>
        <v/>
      </c>
      <c r="BS162" s="4097">
        <f>IFERROR(W162/W$117,0)</f>
        <v/>
      </c>
      <c r="BT162" s="4097">
        <f>IFERROR(X162/X$117,0)</f>
        <v/>
      </c>
      <c r="BU162" s="4097">
        <f>IFERROR(Y162/Y$117,0)</f>
        <v/>
      </c>
      <c r="BV162" s="4097">
        <f>IFERROR(Z162/Z$117,0)</f>
        <v/>
      </c>
      <c r="BW162" s="4097">
        <f>IFERROR(AA162/AA$117,0)</f>
        <v/>
      </c>
      <c r="BX162" s="4097">
        <f>IFERROR(AB162/AB$117,0)</f>
        <v/>
      </c>
      <c r="BY162" s="4098">
        <f>IFERROR(AC162/AC$117,0)</f>
        <v/>
      </c>
      <c r="BZ162" s="4097">
        <f>IFERROR(AD162/AD$117,0)</f>
        <v/>
      </c>
      <c r="CA162" s="4097">
        <f>IFERROR(AE162/AE$117,0)</f>
        <v/>
      </c>
      <c r="CB162" s="4097">
        <f>IFERROR(AF162/AF$117,0)</f>
        <v/>
      </c>
      <c r="CC162" s="4097">
        <f>IFERROR(AG162/AG$117,0)</f>
        <v/>
      </c>
      <c r="CD162" s="4097">
        <f>IFERROR(AH162/AH$117,0)</f>
        <v/>
      </c>
      <c r="CE162" s="4097">
        <f>IFERROR(AI162/AI$117,0)</f>
        <v/>
      </c>
      <c r="CF162" s="4097">
        <f>IFERROR(AJ162/AJ$117,0)</f>
        <v/>
      </c>
      <c r="CG162" s="4097">
        <f>IFERROR(AK162/AK$117,0)</f>
        <v/>
      </c>
      <c r="CH162" s="4097">
        <f>IFERROR(AL162/AL$117,0)</f>
        <v/>
      </c>
      <c r="CI162" s="4097">
        <f>IFERROR(AM162/AM$117,0)</f>
        <v/>
      </c>
      <c r="CJ162" s="4097">
        <f>IFERROR(AN162/AN$117,0)</f>
        <v/>
      </c>
      <c r="CK162" s="4098">
        <f>IFERROR(AO162/AO$117,0)</f>
        <v/>
      </c>
      <c r="CL162" s="4097">
        <f>IFERROR(AP162/AP$117,0)</f>
        <v/>
      </c>
      <c r="CM162" s="4097">
        <f>IFERROR(AQ162/AQ$117,0)</f>
        <v/>
      </c>
      <c r="CN162" s="4097">
        <f>IFERROR(AR162/AR$117,0)</f>
        <v/>
      </c>
      <c r="CO162" s="4097">
        <f>IFERROR(AS162/AS$117,0)</f>
        <v/>
      </c>
      <c r="CP162" s="4097">
        <f>IFERROR(AT162/AT$117,0)</f>
        <v/>
      </c>
      <c r="CQ162" s="4099">
        <f>IFERROR(AU162/AU$117,0)</f>
        <v/>
      </c>
      <c r="CR162" s="4097">
        <f>IFERROR(AV162/AV$117,0)</f>
        <v/>
      </c>
      <c r="CS162" s="4097">
        <f>IFERROR(AW162/AW$117,0)</f>
        <v/>
      </c>
      <c r="CT162" s="4097">
        <f>IFERROR(AX162/AX$117,0)</f>
        <v/>
      </c>
      <c r="CU162" s="4097">
        <f>IFERROR(AY162/AY$117,0)</f>
        <v/>
      </c>
      <c r="CV162" s="4097">
        <f>IFERROR(AZ162/AZ$117,0)</f>
        <v/>
      </c>
      <c r="CW162" s="3737" t="n"/>
      <c r="CX162" s="4094" t="n">
        <v>0</v>
      </c>
    </row>
    <row r="163" hidden="1" outlineLevel="2" ht="12" customFormat="1" customHeight="1" s="3737">
      <c r="A163" s="4059" t="n"/>
      <c r="B163" s="4060" t="n"/>
      <c r="C163" s="4109" t="inlineStr">
        <is>
          <t>Reimbursed exp - dma fixed fee (servus share)</t>
        </is>
      </c>
      <c r="D163" s="4093" t="n">
        <v>601128</v>
      </c>
      <c r="E163" s="4093">
        <f>CONCATENATE(D163," - ",C163)</f>
        <v/>
      </c>
      <c r="F163" s="4094" t="n"/>
      <c r="G163" s="4094" t="n"/>
      <c r="H163" s="4094" t="n"/>
      <c r="I163" s="4094" t="n"/>
      <c r="J163" s="4094" t="n"/>
      <c r="K163" s="4094" t="n"/>
      <c r="L163" s="4094" t="n"/>
      <c r="M163" s="4094" t="n"/>
      <c r="N163" s="4094" t="n"/>
      <c r="O163" s="4094" t="n"/>
      <c r="P163" s="4094" t="n"/>
      <c r="Q163" s="4095" t="n"/>
      <c r="R163" s="4094" t="n"/>
      <c r="S163" s="4094" t="n"/>
      <c r="T163" s="4094" t="n"/>
      <c r="U163" s="4094" t="n"/>
      <c r="V163" s="4094" t="n"/>
      <c r="W163" s="4094" t="n"/>
      <c r="X163" s="4094" t="n"/>
      <c r="Y163" s="4094" t="n"/>
      <c r="Z163" s="4094" t="n"/>
      <c r="AA163" s="4094" t="n"/>
      <c r="AB163" s="4094" t="n"/>
      <c r="AC163" s="4095" t="n"/>
      <c r="AD163" s="4094" t="n"/>
      <c r="AE163" s="4094" t="n"/>
      <c r="AF163" s="4094" t="n"/>
      <c r="AG163" s="4094" t="n"/>
      <c r="AH163" s="4094" t="n"/>
      <c r="AI163" s="4094" t="n"/>
      <c r="AJ163" s="4094" t="n"/>
      <c r="AK163" s="4094" t="n"/>
      <c r="AL163" s="4094" t="n"/>
      <c r="AM163" s="4094" t="n"/>
      <c r="AN163" s="4094" t="n"/>
      <c r="AO163" s="4095" t="n"/>
      <c r="AP163" s="4094" t="n">
        <v>0</v>
      </c>
      <c r="AQ163" s="4094" t="n">
        <v>0</v>
      </c>
      <c r="AR163" s="4094" t="n">
        <v>0</v>
      </c>
      <c r="AS163" s="4094" t="n">
        <v>0</v>
      </c>
      <c r="AT163" s="4094" t="n">
        <v>0</v>
      </c>
      <c r="AU163" s="4096" t="n">
        <v>0</v>
      </c>
      <c r="AV163" s="4094">
        <f>SUM(F163:Q163)</f>
        <v/>
      </c>
      <c r="AW163" s="4094">
        <f>SUM(R163:AC163)</f>
        <v/>
      </c>
      <c r="AX163" s="4094">
        <f>SUM(AD163:AO163)</f>
        <v/>
      </c>
      <c r="AY163" s="4094">
        <f>SUM(AH163:AS163)</f>
        <v/>
      </c>
      <c r="AZ163" s="4094">
        <f>SUM(AJ163:AU163)</f>
        <v/>
      </c>
      <c r="BA163" s="3737" t="n"/>
      <c r="BB163" s="4097">
        <f>IFERROR(F163/F$117,0)</f>
        <v/>
      </c>
      <c r="BC163" s="4097">
        <f>IFERROR(G163/G$117,0)</f>
        <v/>
      </c>
      <c r="BD163" s="4097">
        <f>IFERROR(H163/H$117,0)</f>
        <v/>
      </c>
      <c r="BE163" s="4097">
        <f>IFERROR(I163/I$117,0)</f>
        <v/>
      </c>
      <c r="BF163" s="4097">
        <f>IFERROR(J163/J$117,0)</f>
        <v/>
      </c>
      <c r="BG163" s="4097">
        <f>IFERROR(K163/K$117,0)</f>
        <v/>
      </c>
      <c r="BH163" s="4097">
        <f>IFERROR(L163/L$117,0)</f>
        <v/>
      </c>
      <c r="BI163" s="4097">
        <f>IFERROR(M163/M$117,0)</f>
        <v/>
      </c>
      <c r="BJ163" s="4097">
        <f>IFERROR(N163/N$117,0)</f>
        <v/>
      </c>
      <c r="BK163" s="4097">
        <f>IFERROR(O163/O$117,0)</f>
        <v/>
      </c>
      <c r="BL163" s="4097">
        <f>IFERROR(P163/P$117,0)</f>
        <v/>
      </c>
      <c r="BM163" s="4098">
        <f>IFERROR(Q163/Q$117,0)</f>
        <v/>
      </c>
      <c r="BN163" s="4097">
        <f>IFERROR(R163/R$117,0)</f>
        <v/>
      </c>
      <c r="BO163" s="4097">
        <f>IFERROR(S163/S$117,0)</f>
        <v/>
      </c>
      <c r="BP163" s="4097">
        <f>IFERROR(T163/T$117,0)</f>
        <v/>
      </c>
      <c r="BQ163" s="4097">
        <f>IFERROR(U163/U$117,0)</f>
        <v/>
      </c>
      <c r="BR163" s="4097">
        <f>IFERROR(V163/V$117,0)</f>
        <v/>
      </c>
      <c r="BS163" s="4097">
        <f>IFERROR(W163/W$117,0)</f>
        <v/>
      </c>
      <c r="BT163" s="4097">
        <f>IFERROR(X163/X$117,0)</f>
        <v/>
      </c>
      <c r="BU163" s="4097">
        <f>IFERROR(Y163/Y$117,0)</f>
        <v/>
      </c>
      <c r="BV163" s="4097">
        <f>IFERROR(Z163/Z$117,0)</f>
        <v/>
      </c>
      <c r="BW163" s="4097">
        <f>IFERROR(AA163/AA$117,0)</f>
        <v/>
      </c>
      <c r="BX163" s="4097">
        <f>IFERROR(AB163/AB$117,0)</f>
        <v/>
      </c>
      <c r="BY163" s="4098">
        <f>IFERROR(AC163/AC$117,0)</f>
        <v/>
      </c>
      <c r="BZ163" s="4097">
        <f>IFERROR(AD163/AD$117,0)</f>
        <v/>
      </c>
      <c r="CA163" s="4097">
        <f>IFERROR(AE163/AE$117,0)</f>
        <v/>
      </c>
      <c r="CB163" s="4097">
        <f>IFERROR(AF163/AF$117,0)</f>
        <v/>
      </c>
      <c r="CC163" s="4097">
        <f>IFERROR(AG163/AG$117,0)</f>
        <v/>
      </c>
      <c r="CD163" s="4097">
        <f>IFERROR(AH163/AH$117,0)</f>
        <v/>
      </c>
      <c r="CE163" s="4097">
        <f>IFERROR(AI163/AI$117,0)</f>
        <v/>
      </c>
      <c r="CF163" s="4097">
        <f>IFERROR(AJ163/AJ$117,0)</f>
        <v/>
      </c>
      <c r="CG163" s="4097">
        <f>IFERROR(AK163/AK$117,0)</f>
        <v/>
      </c>
      <c r="CH163" s="4097">
        <f>IFERROR(AL163/AL$117,0)</f>
        <v/>
      </c>
      <c r="CI163" s="4097">
        <f>IFERROR(AM163/AM$117,0)</f>
        <v/>
      </c>
      <c r="CJ163" s="4097">
        <f>IFERROR(AN163/AN$117,0)</f>
        <v/>
      </c>
      <c r="CK163" s="4098">
        <f>IFERROR(AO163/AO$117,0)</f>
        <v/>
      </c>
      <c r="CL163" s="4097">
        <f>IFERROR(AP163/AP$117,0)</f>
        <v/>
      </c>
      <c r="CM163" s="4097">
        <f>IFERROR(AQ163/AQ$117,0)</f>
        <v/>
      </c>
      <c r="CN163" s="4097">
        <f>IFERROR(AR163/AR$117,0)</f>
        <v/>
      </c>
      <c r="CO163" s="4097">
        <f>IFERROR(AS163/AS$117,0)</f>
        <v/>
      </c>
      <c r="CP163" s="4097">
        <f>IFERROR(AT163/AT$117,0)</f>
        <v/>
      </c>
      <c r="CQ163" s="4099">
        <f>IFERROR(AU163/AU$117,0)</f>
        <v/>
      </c>
      <c r="CR163" s="4097">
        <f>IFERROR(AV163/AV$117,0)</f>
        <v/>
      </c>
      <c r="CS163" s="4097">
        <f>IFERROR(AW163/AW$117,0)</f>
        <v/>
      </c>
      <c r="CT163" s="4097">
        <f>IFERROR(AX163/AX$117,0)</f>
        <v/>
      </c>
      <c r="CU163" s="4097">
        <f>IFERROR(AY163/AY$117,0)</f>
        <v/>
      </c>
      <c r="CV163" s="4097">
        <f>IFERROR(AZ163/AZ$117,0)</f>
        <v/>
      </c>
      <c r="CW163" s="3737" t="n"/>
      <c r="CX163" s="4094" t="n">
        <v>0</v>
      </c>
    </row>
    <row r="164" hidden="1" outlineLevel="2" ht="12" customFormat="1" customHeight="1" s="3737">
      <c r="A164" s="4059" t="n"/>
      <c r="B164" s="4060" t="n"/>
      <c r="C164" s="4110" t="inlineStr">
        <is>
          <t>Reimbursed exp-payment brand registration</t>
        </is>
      </c>
      <c r="D164" s="4101" t="n">
        <v>601109</v>
      </c>
      <c r="E164" s="4101">
        <f>CONCATENATE(D164," - ",C164)</f>
        <v/>
      </c>
      <c r="F164" s="4102" t="n"/>
      <c r="G164" s="4102" t="n"/>
      <c r="H164" s="4102" t="n"/>
      <c r="I164" s="4102" t="n"/>
      <c r="J164" s="4102" t="n"/>
      <c r="K164" s="4102" t="n"/>
      <c r="L164" s="4102" t="n"/>
      <c r="M164" s="4102" t="n"/>
      <c r="N164" s="4102" t="n"/>
      <c r="O164" s="4102" t="n"/>
      <c r="P164" s="4102" t="n"/>
      <c r="Q164" s="4103" t="n"/>
      <c r="R164" s="4102" t="n"/>
      <c r="S164" s="4102" t="n"/>
      <c r="T164" s="4102" t="n"/>
      <c r="U164" s="4102" t="n"/>
      <c r="V164" s="4102" t="n"/>
      <c r="W164" s="4102" t="n"/>
      <c r="X164" s="4102" t="n"/>
      <c r="Y164" s="4102" t="n"/>
      <c r="Z164" s="4102" t="n"/>
      <c r="AA164" s="4102" t="n"/>
      <c r="AB164" s="4102" t="n"/>
      <c r="AC164" s="4103" t="n"/>
      <c r="AD164" s="4102" t="n"/>
      <c r="AE164" s="4102" t="n"/>
      <c r="AF164" s="4102" t="n"/>
      <c r="AG164" s="4102" t="n"/>
      <c r="AH164" s="4102" t="n"/>
      <c r="AI164" s="4102" t="n"/>
      <c r="AJ164" s="4102" t="n"/>
      <c r="AK164" s="4102" t="n"/>
      <c r="AL164" s="4102" t="n"/>
      <c r="AM164" s="4102" t="n"/>
      <c r="AN164" s="4102" t="n"/>
      <c r="AO164" s="4103" t="n"/>
      <c r="AP164" s="4102" t="n">
        <v>0</v>
      </c>
      <c r="AQ164" s="4102" t="n">
        <v>0</v>
      </c>
      <c r="AR164" s="4102" t="n">
        <v>0</v>
      </c>
      <c r="AS164" s="4102" t="n">
        <v>0</v>
      </c>
      <c r="AT164" s="4102" t="n">
        <v>0</v>
      </c>
      <c r="AU164" s="4104" t="n">
        <v>0</v>
      </c>
      <c r="AV164" s="4102">
        <f>SUM(F164:Q164)</f>
        <v/>
      </c>
      <c r="AW164" s="4102">
        <f>SUM(R164:AC164)</f>
        <v/>
      </c>
      <c r="AX164" s="4102">
        <f>SUM(AD164:AO164)</f>
        <v/>
      </c>
      <c r="AY164" s="4102">
        <f>SUM(AH164:AS164)</f>
        <v/>
      </c>
      <c r="AZ164" s="4102">
        <f>SUM(AJ164:AU164)</f>
        <v/>
      </c>
      <c r="BA164" s="3737" t="n"/>
      <c r="BB164" s="4105">
        <f>IFERROR(F164/F$117,0)</f>
        <v/>
      </c>
      <c r="BC164" s="4105">
        <f>IFERROR(G164/G$117,0)</f>
        <v/>
      </c>
      <c r="BD164" s="4105">
        <f>IFERROR(H164/H$117,0)</f>
        <v/>
      </c>
      <c r="BE164" s="4105">
        <f>IFERROR(I164/I$117,0)</f>
        <v/>
      </c>
      <c r="BF164" s="4105">
        <f>IFERROR(J164/J$117,0)</f>
        <v/>
      </c>
      <c r="BG164" s="4105">
        <f>IFERROR(K164/K$117,0)</f>
        <v/>
      </c>
      <c r="BH164" s="4105">
        <f>IFERROR(L164/L$117,0)</f>
        <v/>
      </c>
      <c r="BI164" s="4105">
        <f>IFERROR(M164/M$117,0)</f>
        <v/>
      </c>
      <c r="BJ164" s="4105">
        <f>IFERROR(N164/N$117,0)</f>
        <v/>
      </c>
      <c r="BK164" s="4105">
        <f>IFERROR(O164/O$117,0)</f>
        <v/>
      </c>
      <c r="BL164" s="4105">
        <f>IFERROR(P164/P$117,0)</f>
        <v/>
      </c>
      <c r="BM164" s="4106">
        <f>IFERROR(Q164/Q$117,0)</f>
        <v/>
      </c>
      <c r="BN164" s="4105">
        <f>IFERROR(R164/R$117,0)</f>
        <v/>
      </c>
      <c r="BO164" s="4105">
        <f>IFERROR(S164/S$117,0)</f>
        <v/>
      </c>
      <c r="BP164" s="4105">
        <f>IFERROR(T164/T$117,0)</f>
        <v/>
      </c>
      <c r="BQ164" s="4105">
        <f>IFERROR(U164/U$117,0)</f>
        <v/>
      </c>
      <c r="BR164" s="4105">
        <f>IFERROR(V164/V$117,0)</f>
        <v/>
      </c>
      <c r="BS164" s="4105">
        <f>IFERROR(W164/W$117,0)</f>
        <v/>
      </c>
      <c r="BT164" s="4105">
        <f>IFERROR(X164/X$117,0)</f>
        <v/>
      </c>
      <c r="BU164" s="4105">
        <f>IFERROR(Y164/Y$117,0)</f>
        <v/>
      </c>
      <c r="BV164" s="4105">
        <f>IFERROR(Z164/Z$117,0)</f>
        <v/>
      </c>
      <c r="BW164" s="4105">
        <f>IFERROR(AA164/AA$117,0)</f>
        <v/>
      </c>
      <c r="BX164" s="4105">
        <f>IFERROR(AB164/AB$117,0)</f>
        <v/>
      </c>
      <c r="BY164" s="4106">
        <f>IFERROR(AC164/AC$117,0)</f>
        <v/>
      </c>
      <c r="BZ164" s="4105">
        <f>IFERROR(AD164/AD$117,0)</f>
        <v/>
      </c>
      <c r="CA164" s="4105">
        <f>IFERROR(AE164/AE$117,0)</f>
        <v/>
      </c>
      <c r="CB164" s="4105">
        <f>IFERROR(AF164/AF$117,0)</f>
        <v/>
      </c>
      <c r="CC164" s="4105">
        <f>IFERROR(AG164/AG$117,0)</f>
        <v/>
      </c>
      <c r="CD164" s="4105">
        <f>IFERROR(AH164/AH$117,0)</f>
        <v/>
      </c>
      <c r="CE164" s="4105">
        <f>IFERROR(AI164/AI$117,0)</f>
        <v/>
      </c>
      <c r="CF164" s="4105">
        <f>IFERROR(AJ164/AJ$117,0)</f>
        <v/>
      </c>
      <c r="CG164" s="4105">
        <f>IFERROR(AK164/AK$117,0)</f>
        <v/>
      </c>
      <c r="CH164" s="4105">
        <f>IFERROR(AL164/AL$117,0)</f>
        <v/>
      </c>
      <c r="CI164" s="4105">
        <f>IFERROR(AM164/AM$117,0)</f>
        <v/>
      </c>
      <c r="CJ164" s="4105">
        <f>IFERROR(AN164/AN$117,0)</f>
        <v/>
      </c>
      <c r="CK164" s="4106">
        <f>IFERROR(AO164/AO$117,0)</f>
        <v/>
      </c>
      <c r="CL164" s="4105">
        <f>IFERROR(AP164/AP$117,0)</f>
        <v/>
      </c>
      <c r="CM164" s="4105">
        <f>IFERROR(AQ164/AQ$117,0)</f>
        <v/>
      </c>
      <c r="CN164" s="4105">
        <f>IFERROR(AR164/AR$117,0)</f>
        <v/>
      </c>
      <c r="CO164" s="4105">
        <f>IFERROR(AS164/AS$117,0)</f>
        <v/>
      </c>
      <c r="CP164" s="4105">
        <f>IFERROR(AT164/AT$117,0)</f>
        <v/>
      </c>
      <c r="CQ164" s="4107">
        <f>IFERROR(AU164/AU$117,0)</f>
        <v/>
      </c>
      <c r="CR164" s="4105">
        <f>IFERROR(AV164/AV$117,0)</f>
        <v/>
      </c>
      <c r="CS164" s="4105">
        <f>IFERROR(AW164/AW$117,0)</f>
        <v/>
      </c>
      <c r="CT164" s="4105">
        <f>IFERROR(AX164/AX$117,0)</f>
        <v/>
      </c>
      <c r="CU164" s="4105">
        <f>IFERROR(AY164/AY$117,0)</f>
        <v/>
      </c>
      <c r="CV164" s="4105">
        <f>IFERROR(AZ164/AZ$117,0)</f>
        <v/>
      </c>
      <c r="CW164" s="3737" t="n"/>
      <c r="CX164" s="4102" t="n">
        <v>0</v>
      </c>
    </row>
    <row r="165" hidden="1" outlineLevel="1" collapsed="1" ht="12" customFormat="1" customHeight="1" s="3737">
      <c r="A165" s="4059" t="n"/>
      <c r="B165" s="4060" t="n"/>
      <c r="C165" s="4111" t="inlineStr">
        <is>
          <t>Pass-thru expense - networks, freight</t>
        </is>
      </c>
      <c r="D165" s="4093" t="n"/>
      <c r="E165" s="4093" t="n"/>
      <c r="F165" s="4094" t="n"/>
      <c r="G165" s="4094" t="n"/>
      <c r="H165" s="4094" t="n"/>
      <c r="I165" s="4094" t="n"/>
      <c r="J165" s="4094" t="n"/>
      <c r="K165" s="4094" t="n"/>
      <c r="L165" s="4094" t="n"/>
      <c r="M165" s="4094" t="n"/>
      <c r="N165" s="4094" t="n"/>
      <c r="O165" s="4094" t="n"/>
      <c r="P165" s="4094" t="n"/>
      <c r="Q165" s="4095" t="n"/>
      <c r="R165" s="4094" t="n"/>
      <c r="S165" s="4094" t="n"/>
      <c r="T165" s="4094" t="n"/>
      <c r="U165" s="4094" t="n"/>
      <c r="V165" s="4094" t="n"/>
      <c r="W165" s="4094" t="n"/>
      <c r="X165" s="4094" t="n"/>
      <c r="Y165" s="4094" t="n"/>
      <c r="Z165" s="4094" t="n"/>
      <c r="AA165" s="4094" t="n"/>
      <c r="AB165" s="4094" t="n"/>
      <c r="AC165" s="4095" t="n"/>
      <c r="AD165" s="4094" t="n"/>
      <c r="AE165" s="4094" t="n"/>
      <c r="AF165" s="4094" t="n"/>
      <c r="AG165" s="4094" t="n"/>
      <c r="AH165" s="4094" t="n"/>
      <c r="AI165" s="4094" t="n"/>
      <c r="AJ165" s="4094" t="n"/>
      <c r="AK165" s="4094" t="n"/>
      <c r="AL165" s="4094" t="n"/>
      <c r="AM165" s="4094" t="n"/>
      <c r="AN165" s="4094" t="n"/>
      <c r="AO165" s="4095" t="n"/>
      <c r="AP165" s="4094">
        <f>SUM(AP149:AP164)</f>
        <v/>
      </c>
      <c r="AQ165" s="4094">
        <f>SUM(AQ149:AQ164)</f>
        <v/>
      </c>
      <c r="AR165" s="4094">
        <f>SUM(AR149:AR164)</f>
        <v/>
      </c>
      <c r="AS165" s="4094">
        <f>SUM(AS149:AS164)</f>
        <v/>
      </c>
      <c r="AT165" s="4094">
        <f>SUM(AT149:AT164)</f>
        <v/>
      </c>
      <c r="AU165" s="4096">
        <f>SUM(AU149:AU164)</f>
        <v/>
      </c>
      <c r="AV165" s="4094">
        <f>SUM(AV149:AV164)</f>
        <v/>
      </c>
      <c r="AW165" s="4094">
        <f>SUM(AW149:AW164)</f>
        <v/>
      </c>
      <c r="AX165" s="4094">
        <f>SUM(AX149:AX164)</f>
        <v/>
      </c>
      <c r="AY165" s="4094">
        <f>SUM(AY149:AY164)</f>
        <v/>
      </c>
      <c r="AZ165" s="4094">
        <f>SUM(AZ149:AZ164)</f>
        <v/>
      </c>
      <c r="BA165" s="3737" t="n"/>
      <c r="BB165" s="4097">
        <f>IFERROR(F165/F$117,0)</f>
        <v/>
      </c>
      <c r="BC165" s="4097">
        <f>IFERROR(G165/G$117,0)</f>
        <v/>
      </c>
      <c r="BD165" s="4097">
        <f>IFERROR(H165/H$117,0)</f>
        <v/>
      </c>
      <c r="BE165" s="4097">
        <f>IFERROR(I165/I$117,0)</f>
        <v/>
      </c>
      <c r="BF165" s="4097">
        <f>IFERROR(J165/J$117,0)</f>
        <v/>
      </c>
      <c r="BG165" s="4097">
        <f>IFERROR(K165/K$117,0)</f>
        <v/>
      </c>
      <c r="BH165" s="4097">
        <f>IFERROR(L165/L$117,0)</f>
        <v/>
      </c>
      <c r="BI165" s="4097">
        <f>IFERROR(M165/M$117,0)</f>
        <v/>
      </c>
      <c r="BJ165" s="4097">
        <f>IFERROR(N165/N$117,0)</f>
        <v/>
      </c>
      <c r="BK165" s="4097">
        <f>IFERROR(O165/O$117,0)</f>
        <v/>
      </c>
      <c r="BL165" s="4097">
        <f>IFERROR(P165/P$117,0)</f>
        <v/>
      </c>
      <c r="BM165" s="4098">
        <f>IFERROR(Q165/Q$117,0)</f>
        <v/>
      </c>
      <c r="BN165" s="4097">
        <f>IFERROR(R165/R$117,0)</f>
        <v/>
      </c>
      <c r="BO165" s="4097">
        <f>IFERROR(S165/S$117,0)</f>
        <v/>
      </c>
      <c r="BP165" s="4097">
        <f>IFERROR(T165/T$117,0)</f>
        <v/>
      </c>
      <c r="BQ165" s="4097">
        <f>IFERROR(U165/U$117,0)</f>
        <v/>
      </c>
      <c r="BR165" s="4097">
        <f>IFERROR(V165/V$117,0)</f>
        <v/>
      </c>
      <c r="BS165" s="4097">
        <f>IFERROR(W165/W$117,0)</f>
        <v/>
      </c>
      <c r="BT165" s="4097">
        <f>IFERROR(X165/X$117,0)</f>
        <v/>
      </c>
      <c r="BU165" s="4097">
        <f>IFERROR(Y165/Y$117,0)</f>
        <v/>
      </c>
      <c r="BV165" s="4097">
        <f>IFERROR(Z165/Z$117,0)</f>
        <v/>
      </c>
      <c r="BW165" s="4097">
        <f>IFERROR(AA165/AA$117,0)</f>
        <v/>
      </c>
      <c r="BX165" s="4097">
        <f>IFERROR(AB165/AB$117,0)</f>
        <v/>
      </c>
      <c r="BY165" s="4098">
        <f>IFERROR(AC165/AC$117,0)</f>
        <v/>
      </c>
      <c r="BZ165" s="4097">
        <f>IFERROR(AD165/AD$117,0)</f>
        <v/>
      </c>
      <c r="CA165" s="4097">
        <f>IFERROR(AE165/AE$117,0)</f>
        <v/>
      </c>
      <c r="CB165" s="4097">
        <f>IFERROR(AF165/AF$117,0)</f>
        <v/>
      </c>
      <c r="CC165" s="4097">
        <f>IFERROR(AG165/AG$117,0)</f>
        <v/>
      </c>
      <c r="CD165" s="4097">
        <f>IFERROR(AH165/AH$117,0)</f>
        <v/>
      </c>
      <c r="CE165" s="4097">
        <f>IFERROR(AI165/AI$117,0)</f>
        <v/>
      </c>
      <c r="CF165" s="4097">
        <f>IFERROR(AJ165/AJ$117,0)</f>
        <v/>
      </c>
      <c r="CG165" s="4097">
        <f>IFERROR(AK165/AK$117,0)</f>
        <v/>
      </c>
      <c r="CH165" s="4097">
        <f>IFERROR(AL165/AL$117,0)</f>
        <v/>
      </c>
      <c r="CI165" s="4097">
        <f>IFERROR(AM165/AM$117,0)</f>
        <v/>
      </c>
      <c r="CJ165" s="4097">
        <f>IFERROR(AN165/AN$117,0)</f>
        <v/>
      </c>
      <c r="CK165" s="4098">
        <f>IFERROR(AO165/AO$117,0)</f>
        <v/>
      </c>
      <c r="CL165" s="4097">
        <f>IFERROR(AP165/AP$117,0)</f>
        <v/>
      </c>
      <c r="CM165" s="4097">
        <f>IFERROR(AQ165/AQ$117,0)</f>
        <v/>
      </c>
      <c r="CN165" s="4097">
        <f>IFERROR(AR165/AR$117,0)</f>
        <v/>
      </c>
      <c r="CO165" s="4097">
        <f>IFERROR(AS165/AS$117,0)</f>
        <v/>
      </c>
      <c r="CP165" s="4097">
        <f>IFERROR(AT165/AT$117,0)</f>
        <v/>
      </c>
      <c r="CQ165" s="4099">
        <f>IFERROR(AU165/AU$117,0)</f>
        <v/>
      </c>
      <c r="CR165" s="4097">
        <f>IFERROR(AV165/AV$117,0)</f>
        <v/>
      </c>
      <c r="CS165" s="4097">
        <f>IFERROR(AW165/AW$117,0)</f>
        <v/>
      </c>
      <c r="CT165" s="4097">
        <f>IFERROR(AX165/AX$117,0)</f>
        <v/>
      </c>
      <c r="CU165" s="4097">
        <f>IFERROR(AY165/AY$117,0)</f>
        <v/>
      </c>
      <c r="CV165" s="4097">
        <f>IFERROR(AZ165/AZ$117,0)</f>
        <v/>
      </c>
      <c r="CW165" s="3737" t="n"/>
      <c r="CX165" s="4094">
        <f>SUM(CX149:CX164)</f>
        <v/>
      </c>
    </row>
    <row r="166" hidden="1" outlineLevel="2" ht="12" customFormat="1" customHeight="1" s="3737">
      <c r="A166" s="4059" t="n"/>
      <c r="B166" s="4060" t="n"/>
      <c r="C166" s="4110" t="inlineStr">
        <is>
          <t>Cogs - intercompany co-op vcas</t>
        </is>
      </c>
      <c r="D166" s="4101" t="n">
        <v>509010</v>
      </c>
      <c r="E166" s="4101">
        <f>CONCATENATE(D166," - ",C166)</f>
        <v/>
      </c>
      <c r="F166" s="4102" t="n"/>
      <c r="G166" s="4102" t="n"/>
      <c r="H166" s="4102" t="n"/>
      <c r="I166" s="4102" t="n"/>
      <c r="J166" s="4102" t="n"/>
      <c r="K166" s="4102" t="n"/>
      <c r="L166" s="4102" t="n"/>
      <c r="M166" s="4102" t="n"/>
      <c r="N166" s="4102" t="n"/>
      <c r="O166" s="4102" t="n"/>
      <c r="P166" s="4102" t="n"/>
      <c r="Q166" s="4103" t="n"/>
      <c r="R166" s="4102" t="n"/>
      <c r="S166" s="4102" t="n"/>
      <c r="T166" s="4102" t="n"/>
      <c r="U166" s="4102" t="n"/>
      <c r="V166" s="4102" t="n"/>
      <c r="W166" s="4102" t="n"/>
      <c r="X166" s="4102" t="n"/>
      <c r="Y166" s="4102" t="n"/>
      <c r="Z166" s="4102" t="n"/>
      <c r="AA166" s="4102" t="n"/>
      <c r="AB166" s="4102" t="n"/>
      <c r="AC166" s="4103" t="n"/>
      <c r="AD166" s="4102" t="n"/>
      <c r="AE166" s="4102" t="n"/>
      <c r="AF166" s="4102" t="n"/>
      <c r="AG166" s="4102" t="n"/>
      <c r="AH166" s="4102" t="n"/>
      <c r="AI166" s="4102" t="n"/>
      <c r="AJ166" s="4102" t="n"/>
      <c r="AK166" s="4102" t="n"/>
      <c r="AL166" s="4102" t="n"/>
      <c r="AM166" s="4102" t="n"/>
      <c r="AN166" s="4102" t="n"/>
      <c r="AO166" s="4103" t="n"/>
      <c r="AP166" s="4102" t="n">
        <v>-12.25165</v>
      </c>
      <c r="AQ166" s="4102" t="n">
        <v>-16.26612</v>
      </c>
      <c r="AR166" s="4102" t="n">
        <v>-24.32639</v>
      </c>
      <c r="AS166" s="4102" t="n">
        <v>-14.53418</v>
      </c>
      <c r="AT166" s="4102" t="n">
        <v>-12.54672</v>
      </c>
      <c r="AU166" s="4104" t="n">
        <v>-12.36359</v>
      </c>
      <c r="AV166" s="4102">
        <f>SUM(F166:Q166)</f>
        <v/>
      </c>
      <c r="AW166" s="4102">
        <f>SUM(R166:AC166)</f>
        <v/>
      </c>
      <c r="AX166" s="4102">
        <f>SUM(AD166:AO166)</f>
        <v/>
      </c>
      <c r="AY166" s="4102">
        <f>SUM(AH166:AS166)</f>
        <v/>
      </c>
      <c r="AZ166" s="4102">
        <f>SUM(AJ166:AU166)</f>
        <v/>
      </c>
      <c r="BA166" s="3737" t="n"/>
      <c r="BB166" s="4105">
        <f>IFERROR(F166/F$117,0)</f>
        <v/>
      </c>
      <c r="BC166" s="4105">
        <f>IFERROR(G166/G$117,0)</f>
        <v/>
      </c>
      <c r="BD166" s="4105">
        <f>IFERROR(H166/H$117,0)</f>
        <v/>
      </c>
      <c r="BE166" s="4105">
        <f>IFERROR(I166/I$117,0)</f>
        <v/>
      </c>
      <c r="BF166" s="4105">
        <f>IFERROR(J166/J$117,0)</f>
        <v/>
      </c>
      <c r="BG166" s="4105">
        <f>IFERROR(K166/K$117,0)</f>
        <v/>
      </c>
      <c r="BH166" s="4105">
        <f>IFERROR(L166/L$117,0)</f>
        <v/>
      </c>
      <c r="BI166" s="4105">
        <f>IFERROR(M166/M$117,0)</f>
        <v/>
      </c>
      <c r="BJ166" s="4105">
        <f>IFERROR(N166/N$117,0)</f>
        <v/>
      </c>
      <c r="BK166" s="4105">
        <f>IFERROR(O166/O$117,0)</f>
        <v/>
      </c>
      <c r="BL166" s="4105">
        <f>IFERROR(P166/P$117,0)</f>
        <v/>
      </c>
      <c r="BM166" s="4106">
        <f>IFERROR(Q166/Q$117,0)</f>
        <v/>
      </c>
      <c r="BN166" s="4105">
        <f>IFERROR(R166/R$117,0)</f>
        <v/>
      </c>
      <c r="BO166" s="4105">
        <f>IFERROR(S166/S$117,0)</f>
        <v/>
      </c>
      <c r="BP166" s="4105">
        <f>IFERROR(T166/T$117,0)</f>
        <v/>
      </c>
      <c r="BQ166" s="4105">
        <f>IFERROR(U166/U$117,0)</f>
        <v/>
      </c>
      <c r="BR166" s="4105">
        <f>IFERROR(V166/V$117,0)</f>
        <v/>
      </c>
      <c r="BS166" s="4105">
        <f>IFERROR(W166/W$117,0)</f>
        <v/>
      </c>
      <c r="BT166" s="4105">
        <f>IFERROR(X166/X$117,0)</f>
        <v/>
      </c>
      <c r="BU166" s="4105">
        <f>IFERROR(Y166/Y$117,0)</f>
        <v/>
      </c>
      <c r="BV166" s="4105">
        <f>IFERROR(Z166/Z$117,0)</f>
        <v/>
      </c>
      <c r="BW166" s="4105">
        <f>IFERROR(AA166/AA$117,0)</f>
        <v/>
      </c>
      <c r="BX166" s="4105">
        <f>IFERROR(AB166/AB$117,0)</f>
        <v/>
      </c>
      <c r="BY166" s="4106">
        <f>IFERROR(AC166/AC$117,0)</f>
        <v/>
      </c>
      <c r="BZ166" s="4105">
        <f>IFERROR(AD166/AD$117,0)</f>
        <v/>
      </c>
      <c r="CA166" s="4105">
        <f>IFERROR(AE166/AE$117,0)</f>
        <v/>
      </c>
      <c r="CB166" s="4105">
        <f>IFERROR(AF166/AF$117,0)</f>
        <v/>
      </c>
      <c r="CC166" s="4105">
        <f>IFERROR(AG166/AG$117,0)</f>
        <v/>
      </c>
      <c r="CD166" s="4105">
        <f>IFERROR(AH166/AH$117,0)</f>
        <v/>
      </c>
      <c r="CE166" s="4105">
        <f>IFERROR(AI166/AI$117,0)</f>
        <v/>
      </c>
      <c r="CF166" s="4105">
        <f>IFERROR(AJ166/AJ$117,0)</f>
        <v/>
      </c>
      <c r="CG166" s="4105">
        <f>IFERROR(AK166/AK$117,0)</f>
        <v/>
      </c>
      <c r="CH166" s="4105">
        <f>IFERROR(AL166/AL$117,0)</f>
        <v/>
      </c>
      <c r="CI166" s="4105">
        <f>IFERROR(AM166/AM$117,0)</f>
        <v/>
      </c>
      <c r="CJ166" s="4105">
        <f>IFERROR(AN166/AN$117,0)</f>
        <v/>
      </c>
      <c r="CK166" s="4106">
        <f>IFERROR(AO166/AO$117,0)</f>
        <v/>
      </c>
      <c r="CL166" s="4105">
        <f>IFERROR(AP166/AP$117,0)</f>
        <v/>
      </c>
      <c r="CM166" s="4105">
        <f>IFERROR(AQ166/AQ$117,0)</f>
        <v/>
      </c>
      <c r="CN166" s="4105">
        <f>IFERROR(AR166/AR$117,0)</f>
        <v/>
      </c>
      <c r="CO166" s="4105">
        <f>IFERROR(AS166/AS$117,0)</f>
        <v/>
      </c>
      <c r="CP166" s="4105">
        <f>IFERROR(AT166/AT$117,0)</f>
        <v/>
      </c>
      <c r="CQ166" s="4107">
        <f>IFERROR(AU166/AU$117,0)</f>
        <v/>
      </c>
      <c r="CR166" s="4105">
        <f>IFERROR(AV166/AV$117,0)</f>
        <v/>
      </c>
      <c r="CS166" s="4105">
        <f>IFERROR(AW166/AW$117,0)</f>
        <v/>
      </c>
      <c r="CT166" s="4105">
        <f>IFERROR(AX166/AX$117,0)</f>
        <v/>
      </c>
      <c r="CU166" s="4105">
        <f>IFERROR(AY166/AY$117,0)</f>
        <v/>
      </c>
      <c r="CV166" s="4105">
        <f>IFERROR(AZ166/AZ$117,0)</f>
        <v/>
      </c>
      <c r="CW166" s="3737" t="n"/>
      <c r="CX166" s="4102" t="n">
        <v>0</v>
      </c>
    </row>
    <row r="167" hidden="1" outlineLevel="1" collapsed="1" ht="12" customFormat="1" customHeight="1" s="3737">
      <c r="A167" s="4059" t="n"/>
      <c r="B167" s="4060" t="n"/>
      <c r="C167" s="4111" t="inlineStr">
        <is>
          <t>Co-op financial variable - vcas</t>
        </is>
      </c>
      <c r="D167" s="4093" t="n"/>
      <c r="E167" s="4093" t="n"/>
      <c r="F167" s="4094" t="n"/>
      <c r="G167" s="4094" t="n"/>
      <c r="H167" s="4094" t="n"/>
      <c r="I167" s="4094" t="n"/>
      <c r="J167" s="4094" t="n"/>
      <c r="K167" s="4094" t="n"/>
      <c r="L167" s="4094" t="n"/>
      <c r="M167" s="4094" t="n"/>
      <c r="N167" s="4094" t="n"/>
      <c r="O167" s="4094" t="n"/>
      <c r="P167" s="4094" t="n"/>
      <c r="Q167" s="4095" t="n"/>
      <c r="R167" s="4094" t="n"/>
      <c r="S167" s="4094" t="n"/>
      <c r="T167" s="4094" t="n"/>
      <c r="U167" s="4094" t="n"/>
      <c r="V167" s="4094" t="n"/>
      <c r="W167" s="4094" t="n"/>
      <c r="X167" s="4094" t="n"/>
      <c r="Y167" s="4094" t="n"/>
      <c r="Z167" s="4094" t="n"/>
      <c r="AA167" s="4094" t="n"/>
      <c r="AB167" s="4094" t="n"/>
      <c r="AC167" s="4095" t="n"/>
      <c r="AD167" s="4094" t="n"/>
      <c r="AE167" s="4094" t="n"/>
      <c r="AF167" s="4094" t="n"/>
      <c r="AG167" s="4094" t="n"/>
      <c r="AH167" s="4094" t="n"/>
      <c r="AI167" s="4094" t="n"/>
      <c r="AJ167" s="4094" t="n"/>
      <c r="AK167" s="4094" t="n"/>
      <c r="AL167" s="4094" t="n"/>
      <c r="AM167" s="4094" t="n"/>
      <c r="AN167" s="4094" t="n"/>
      <c r="AO167" s="4095" t="n"/>
      <c r="AP167" s="4094">
        <f>SUM(AP166)</f>
        <v/>
      </c>
      <c r="AQ167" s="4094">
        <f>SUM(AQ166)</f>
        <v/>
      </c>
      <c r="AR167" s="4094">
        <f>SUM(AR166)</f>
        <v/>
      </c>
      <c r="AS167" s="4094">
        <f>SUM(AS166)</f>
        <v/>
      </c>
      <c r="AT167" s="4094">
        <f>SUM(AT166)</f>
        <v/>
      </c>
      <c r="AU167" s="4096">
        <f>SUM(AU166)</f>
        <v/>
      </c>
      <c r="AV167" s="4094">
        <f>SUM(AV166)</f>
        <v/>
      </c>
      <c r="AW167" s="4094">
        <f>SUM(AW166)</f>
        <v/>
      </c>
      <c r="AX167" s="4094">
        <f>SUM(AX166)</f>
        <v/>
      </c>
      <c r="AY167" s="4094">
        <f>SUM(AY166)</f>
        <v/>
      </c>
      <c r="AZ167" s="4094">
        <f>SUM(AZ166)</f>
        <v/>
      </c>
      <c r="BA167" s="3737" t="n"/>
      <c r="BB167" s="4097">
        <f>IFERROR(F167/F$117,0)</f>
        <v/>
      </c>
      <c r="BC167" s="4097">
        <f>IFERROR(G167/G$117,0)</f>
        <v/>
      </c>
      <c r="BD167" s="4097">
        <f>IFERROR(H167/H$117,0)</f>
        <v/>
      </c>
      <c r="BE167" s="4097">
        <f>IFERROR(I167/I$117,0)</f>
        <v/>
      </c>
      <c r="BF167" s="4097">
        <f>IFERROR(J167/J$117,0)</f>
        <v/>
      </c>
      <c r="BG167" s="4097">
        <f>IFERROR(K167/K$117,0)</f>
        <v/>
      </c>
      <c r="BH167" s="4097">
        <f>IFERROR(L167/L$117,0)</f>
        <v/>
      </c>
      <c r="BI167" s="4097">
        <f>IFERROR(M167/M$117,0)</f>
        <v/>
      </c>
      <c r="BJ167" s="4097">
        <f>IFERROR(N167/N$117,0)</f>
        <v/>
      </c>
      <c r="BK167" s="4097">
        <f>IFERROR(O167/O$117,0)</f>
        <v/>
      </c>
      <c r="BL167" s="4097">
        <f>IFERROR(P167/P$117,0)</f>
        <v/>
      </c>
      <c r="BM167" s="4098">
        <f>IFERROR(Q167/Q$117,0)</f>
        <v/>
      </c>
      <c r="BN167" s="4097">
        <f>IFERROR(R167/R$117,0)</f>
        <v/>
      </c>
      <c r="BO167" s="4097">
        <f>IFERROR(S167/S$117,0)</f>
        <v/>
      </c>
      <c r="BP167" s="4097">
        <f>IFERROR(T167/T$117,0)</f>
        <v/>
      </c>
      <c r="BQ167" s="4097">
        <f>IFERROR(U167/U$117,0)</f>
        <v/>
      </c>
      <c r="BR167" s="4097">
        <f>IFERROR(V167/V$117,0)</f>
        <v/>
      </c>
      <c r="BS167" s="4097">
        <f>IFERROR(W167/W$117,0)</f>
        <v/>
      </c>
      <c r="BT167" s="4097">
        <f>IFERROR(X167/X$117,0)</f>
        <v/>
      </c>
      <c r="BU167" s="4097">
        <f>IFERROR(Y167/Y$117,0)</f>
        <v/>
      </c>
      <c r="BV167" s="4097">
        <f>IFERROR(Z167/Z$117,0)</f>
        <v/>
      </c>
      <c r="BW167" s="4097">
        <f>IFERROR(AA167/AA$117,0)</f>
        <v/>
      </c>
      <c r="BX167" s="4097">
        <f>IFERROR(AB167/AB$117,0)</f>
        <v/>
      </c>
      <c r="BY167" s="4098">
        <f>IFERROR(AC167/AC$117,0)</f>
        <v/>
      </c>
      <c r="BZ167" s="4097">
        <f>IFERROR(AD167/AD$117,0)</f>
        <v/>
      </c>
      <c r="CA167" s="4097">
        <f>IFERROR(AE167/AE$117,0)</f>
        <v/>
      </c>
      <c r="CB167" s="4097">
        <f>IFERROR(AF167/AF$117,0)</f>
        <v/>
      </c>
      <c r="CC167" s="4097">
        <f>IFERROR(AG167/AG$117,0)</f>
        <v/>
      </c>
      <c r="CD167" s="4097">
        <f>IFERROR(AH167/AH$117,0)</f>
        <v/>
      </c>
      <c r="CE167" s="4097">
        <f>IFERROR(AI167/AI$117,0)</f>
        <v/>
      </c>
      <c r="CF167" s="4097">
        <f>IFERROR(AJ167/AJ$117,0)</f>
        <v/>
      </c>
      <c r="CG167" s="4097">
        <f>IFERROR(AK167/AK$117,0)</f>
        <v/>
      </c>
      <c r="CH167" s="4097">
        <f>IFERROR(AL167/AL$117,0)</f>
        <v/>
      </c>
      <c r="CI167" s="4097">
        <f>IFERROR(AM167/AM$117,0)</f>
        <v/>
      </c>
      <c r="CJ167" s="4097">
        <f>IFERROR(AN167/AN$117,0)</f>
        <v/>
      </c>
      <c r="CK167" s="4098">
        <f>IFERROR(AO167/AO$117,0)</f>
        <v/>
      </c>
      <c r="CL167" s="4097">
        <f>IFERROR(AP167/AP$117,0)</f>
        <v/>
      </c>
      <c r="CM167" s="4097">
        <f>IFERROR(AQ167/AQ$117,0)</f>
        <v/>
      </c>
      <c r="CN167" s="4097">
        <f>IFERROR(AR167/AR$117,0)</f>
        <v/>
      </c>
      <c r="CO167" s="4097">
        <f>IFERROR(AS167/AS$117,0)</f>
        <v/>
      </c>
      <c r="CP167" s="4097">
        <f>IFERROR(AT167/AT$117,0)</f>
        <v/>
      </c>
      <c r="CQ167" s="4099">
        <f>IFERROR(AU167/AU$117,0)</f>
        <v/>
      </c>
      <c r="CR167" s="4097">
        <f>IFERROR(AV167/AV$117,0)</f>
        <v/>
      </c>
      <c r="CS167" s="4097">
        <f>IFERROR(AW167/AW$117,0)</f>
        <v/>
      </c>
      <c r="CT167" s="4097">
        <f>IFERROR(AX167/AX$117,0)</f>
        <v/>
      </c>
      <c r="CU167" s="4097">
        <f>IFERROR(AY167/AY$117,0)</f>
        <v/>
      </c>
      <c r="CV167" s="4097">
        <f>IFERROR(AZ167/AZ$117,0)</f>
        <v/>
      </c>
      <c r="CW167" s="3737" t="n"/>
      <c r="CX167" s="4094">
        <f>SUM(CX166)</f>
        <v/>
      </c>
    </row>
    <row r="168" hidden="1" outlineLevel="2" ht="12" customFormat="1" customHeight="1" s="3737">
      <c r="A168" s="4059" t="n"/>
      <c r="B168" s="4060" t="n"/>
      <c r="C168" s="4110" t="inlineStr">
        <is>
          <t>Cogs - atm monitoring gasper fees</t>
        </is>
      </c>
      <c r="D168" s="4101" t="n">
        <v>501465</v>
      </c>
      <c r="E168" s="4101">
        <f>CONCATENATE(D168," - ",C168)</f>
        <v/>
      </c>
      <c r="F168" s="4102" t="n"/>
      <c r="G168" s="4102" t="n"/>
      <c r="H168" s="4102" t="n"/>
      <c r="I168" s="4102" t="n"/>
      <c r="J168" s="4102" t="n"/>
      <c r="K168" s="4102" t="n"/>
      <c r="L168" s="4102" t="n"/>
      <c r="M168" s="4102" t="n"/>
      <c r="N168" s="4102" t="n"/>
      <c r="O168" s="4102" t="n"/>
      <c r="P168" s="4102" t="n"/>
      <c r="Q168" s="4103" t="n"/>
      <c r="R168" s="4102" t="n"/>
      <c r="S168" s="4102" t="n"/>
      <c r="T168" s="4102" t="n"/>
      <c r="U168" s="4102" t="n"/>
      <c r="V168" s="4102" t="n"/>
      <c r="W168" s="4102" t="n"/>
      <c r="X168" s="4102" t="n"/>
      <c r="Y168" s="4102" t="n"/>
      <c r="Z168" s="4102" t="n"/>
      <c r="AA168" s="4102" t="n"/>
      <c r="AB168" s="4102" t="n"/>
      <c r="AC168" s="4103" t="n"/>
      <c r="AD168" s="4102" t="n"/>
      <c r="AE168" s="4102" t="n"/>
      <c r="AF168" s="4102" t="n"/>
      <c r="AG168" s="4102" t="n"/>
      <c r="AH168" s="4102" t="n"/>
      <c r="AI168" s="4102" t="n"/>
      <c r="AJ168" s="4102" t="n"/>
      <c r="AK168" s="4102" t="n"/>
      <c r="AL168" s="4102" t="n"/>
      <c r="AM168" s="4102" t="n"/>
      <c r="AN168" s="4102" t="n"/>
      <c r="AO168" s="4103" t="n"/>
      <c r="AP168" s="4102" t="n">
        <v>0</v>
      </c>
      <c r="AQ168" s="4102" t="n">
        <v>0</v>
      </c>
      <c r="AR168" s="4102" t="n">
        <v>0</v>
      </c>
      <c r="AS168" s="4102" t="n">
        <v>0</v>
      </c>
      <c r="AT168" s="4102" t="n">
        <v>0</v>
      </c>
      <c r="AU168" s="4104" t="n">
        <v>0</v>
      </c>
      <c r="AV168" s="4102">
        <f>SUM(F168:Q168)</f>
        <v/>
      </c>
      <c r="AW168" s="4102">
        <f>SUM(R168:AC168)</f>
        <v/>
      </c>
      <c r="AX168" s="4102">
        <f>SUM(AD168:AO168)</f>
        <v/>
      </c>
      <c r="AY168" s="4102">
        <f>SUM(AH168:AS168)</f>
        <v/>
      </c>
      <c r="AZ168" s="4102">
        <f>SUM(AJ168:AU168)</f>
        <v/>
      </c>
      <c r="BA168" s="3737" t="n"/>
      <c r="BB168" s="4105">
        <f>IFERROR(F168/F$117,0)</f>
        <v/>
      </c>
      <c r="BC168" s="4105">
        <f>IFERROR(G168/G$117,0)</f>
        <v/>
      </c>
      <c r="BD168" s="4105">
        <f>IFERROR(H168/H$117,0)</f>
        <v/>
      </c>
      <c r="BE168" s="4105">
        <f>IFERROR(I168/I$117,0)</f>
        <v/>
      </c>
      <c r="BF168" s="4105">
        <f>IFERROR(J168/J$117,0)</f>
        <v/>
      </c>
      <c r="BG168" s="4105">
        <f>IFERROR(K168/K$117,0)</f>
        <v/>
      </c>
      <c r="BH168" s="4105">
        <f>IFERROR(L168/L$117,0)</f>
        <v/>
      </c>
      <c r="BI168" s="4105">
        <f>IFERROR(M168/M$117,0)</f>
        <v/>
      </c>
      <c r="BJ168" s="4105">
        <f>IFERROR(N168/N$117,0)</f>
        <v/>
      </c>
      <c r="BK168" s="4105">
        <f>IFERROR(O168/O$117,0)</f>
        <v/>
      </c>
      <c r="BL168" s="4105">
        <f>IFERROR(P168/P$117,0)</f>
        <v/>
      </c>
      <c r="BM168" s="4106">
        <f>IFERROR(Q168/Q$117,0)</f>
        <v/>
      </c>
      <c r="BN168" s="4105">
        <f>IFERROR(R168/R$117,0)</f>
        <v/>
      </c>
      <c r="BO168" s="4105">
        <f>IFERROR(S168/S$117,0)</f>
        <v/>
      </c>
      <c r="BP168" s="4105">
        <f>IFERROR(T168/T$117,0)</f>
        <v/>
      </c>
      <c r="BQ168" s="4105">
        <f>IFERROR(U168/U$117,0)</f>
        <v/>
      </c>
      <c r="BR168" s="4105">
        <f>IFERROR(V168/V$117,0)</f>
        <v/>
      </c>
      <c r="BS168" s="4105">
        <f>IFERROR(W168/W$117,0)</f>
        <v/>
      </c>
      <c r="BT168" s="4105">
        <f>IFERROR(X168/X$117,0)</f>
        <v/>
      </c>
      <c r="BU168" s="4105">
        <f>IFERROR(Y168/Y$117,0)</f>
        <v/>
      </c>
      <c r="BV168" s="4105">
        <f>IFERROR(Z168/Z$117,0)</f>
        <v/>
      </c>
      <c r="BW168" s="4105">
        <f>IFERROR(AA168/AA$117,0)</f>
        <v/>
      </c>
      <c r="BX168" s="4105">
        <f>IFERROR(AB168/AB$117,0)</f>
        <v/>
      </c>
      <c r="BY168" s="4106">
        <f>IFERROR(AC168/AC$117,0)</f>
        <v/>
      </c>
      <c r="BZ168" s="4105">
        <f>IFERROR(AD168/AD$117,0)</f>
        <v/>
      </c>
      <c r="CA168" s="4105">
        <f>IFERROR(AE168/AE$117,0)</f>
        <v/>
      </c>
      <c r="CB168" s="4105">
        <f>IFERROR(AF168/AF$117,0)</f>
        <v/>
      </c>
      <c r="CC168" s="4105">
        <f>IFERROR(AG168/AG$117,0)</f>
        <v/>
      </c>
      <c r="CD168" s="4105">
        <f>IFERROR(AH168/AH$117,0)</f>
        <v/>
      </c>
      <c r="CE168" s="4105">
        <f>IFERROR(AI168/AI$117,0)</f>
        <v/>
      </c>
      <c r="CF168" s="4105">
        <f>IFERROR(AJ168/AJ$117,0)</f>
        <v/>
      </c>
      <c r="CG168" s="4105">
        <f>IFERROR(AK168/AK$117,0)</f>
        <v/>
      </c>
      <c r="CH168" s="4105">
        <f>IFERROR(AL168/AL$117,0)</f>
        <v/>
      </c>
      <c r="CI168" s="4105">
        <f>IFERROR(AM168/AM$117,0)</f>
        <v/>
      </c>
      <c r="CJ168" s="4105">
        <f>IFERROR(AN168/AN$117,0)</f>
        <v/>
      </c>
      <c r="CK168" s="4106">
        <f>IFERROR(AO168/AO$117,0)</f>
        <v/>
      </c>
      <c r="CL168" s="4105">
        <f>IFERROR(AP168/AP$117,0)</f>
        <v/>
      </c>
      <c r="CM168" s="4105">
        <f>IFERROR(AQ168/AQ$117,0)</f>
        <v/>
      </c>
      <c r="CN168" s="4105">
        <f>IFERROR(AR168/AR$117,0)</f>
        <v/>
      </c>
      <c r="CO168" s="4105">
        <f>IFERROR(AS168/AS$117,0)</f>
        <v/>
      </c>
      <c r="CP168" s="4105">
        <f>IFERROR(AT168/AT$117,0)</f>
        <v/>
      </c>
      <c r="CQ168" s="4107">
        <f>IFERROR(AU168/AU$117,0)</f>
        <v/>
      </c>
      <c r="CR168" s="4105">
        <f>IFERROR(AV168/AV$117,0)</f>
        <v/>
      </c>
      <c r="CS168" s="4105">
        <f>IFERROR(AW168/AW$117,0)</f>
        <v/>
      </c>
      <c r="CT168" s="4105">
        <f>IFERROR(AX168/AX$117,0)</f>
        <v/>
      </c>
      <c r="CU168" s="4105">
        <f>IFERROR(AY168/AY$117,0)</f>
        <v/>
      </c>
      <c r="CV168" s="4105">
        <f>IFERROR(AZ168/AZ$117,0)</f>
        <v/>
      </c>
      <c r="CW168" s="3737" t="n"/>
      <c r="CX168" s="4102" t="n">
        <v>-229.80461</v>
      </c>
    </row>
    <row r="169" hidden="1" outlineLevel="1" collapsed="1" ht="12" customFormat="1" customHeight="1" s="3737">
      <c r="A169" s="4059" t="n"/>
      <c r="B169" s="4060" t="n"/>
      <c r="C169" s="4115" t="inlineStr">
        <is>
          <t>Fis variable costs -fraud , ams</t>
        </is>
      </c>
      <c r="D169" s="4101" t="n"/>
      <c r="E169" s="4101" t="n"/>
      <c r="F169" s="4102" t="n"/>
      <c r="G169" s="4102" t="n"/>
      <c r="H169" s="4102" t="n"/>
      <c r="I169" s="4102" t="n"/>
      <c r="J169" s="4102" t="n"/>
      <c r="K169" s="4102" t="n"/>
      <c r="L169" s="4102" t="n"/>
      <c r="M169" s="4102" t="n"/>
      <c r="N169" s="4102" t="n"/>
      <c r="O169" s="4102" t="n"/>
      <c r="P169" s="4102" t="n"/>
      <c r="Q169" s="4103" t="n"/>
      <c r="R169" s="4102" t="n"/>
      <c r="S169" s="4102" t="n"/>
      <c r="T169" s="4102" t="n"/>
      <c r="U169" s="4102" t="n"/>
      <c r="V169" s="4102" t="n"/>
      <c r="W169" s="4102" t="n"/>
      <c r="X169" s="4102" t="n"/>
      <c r="Y169" s="4102" t="n"/>
      <c r="Z169" s="4102" t="n"/>
      <c r="AA169" s="4102" t="n"/>
      <c r="AB169" s="4102" t="n"/>
      <c r="AC169" s="4103" t="n"/>
      <c r="AD169" s="4102" t="n"/>
      <c r="AE169" s="4102" t="n"/>
      <c r="AF169" s="4102" t="n"/>
      <c r="AG169" s="4102" t="n"/>
      <c r="AH169" s="4102" t="n"/>
      <c r="AI169" s="4102" t="n"/>
      <c r="AJ169" s="4102" t="n"/>
      <c r="AK169" s="4102" t="n"/>
      <c r="AL169" s="4102" t="n"/>
      <c r="AM169" s="4102" t="n"/>
      <c r="AN169" s="4102" t="n"/>
      <c r="AO169" s="4103" t="n"/>
      <c r="AP169" s="4102">
        <f>SUM(AP168)</f>
        <v/>
      </c>
      <c r="AQ169" s="4102">
        <f>SUM(AQ168)</f>
        <v/>
      </c>
      <c r="AR169" s="4102">
        <f>SUM(AR168)</f>
        <v/>
      </c>
      <c r="AS169" s="4102">
        <f>SUM(AS168)</f>
        <v/>
      </c>
      <c r="AT169" s="4102">
        <f>SUM(AT168)</f>
        <v/>
      </c>
      <c r="AU169" s="4104">
        <f>SUM(AU168)</f>
        <v/>
      </c>
      <c r="AV169" s="4102">
        <f>SUM(AV168)</f>
        <v/>
      </c>
      <c r="AW169" s="4102">
        <f>SUM(AW168)</f>
        <v/>
      </c>
      <c r="AX169" s="4102">
        <f>SUM(AX168)</f>
        <v/>
      </c>
      <c r="AY169" s="4102">
        <f>SUM(AY168)</f>
        <v/>
      </c>
      <c r="AZ169" s="4102">
        <f>SUM(AZ168)</f>
        <v/>
      </c>
      <c r="BA169" s="3737" t="n"/>
      <c r="BB169" s="4105">
        <f>IFERROR(F169/F$117,0)</f>
        <v/>
      </c>
      <c r="BC169" s="4105">
        <f>IFERROR(G169/G$117,0)</f>
        <v/>
      </c>
      <c r="BD169" s="4105">
        <f>IFERROR(H169/H$117,0)</f>
        <v/>
      </c>
      <c r="BE169" s="4105">
        <f>IFERROR(I169/I$117,0)</f>
        <v/>
      </c>
      <c r="BF169" s="4105">
        <f>IFERROR(J169/J$117,0)</f>
        <v/>
      </c>
      <c r="BG169" s="4105">
        <f>IFERROR(K169/K$117,0)</f>
        <v/>
      </c>
      <c r="BH169" s="4105">
        <f>IFERROR(L169/L$117,0)</f>
        <v/>
      </c>
      <c r="BI169" s="4105">
        <f>IFERROR(M169/M$117,0)</f>
        <v/>
      </c>
      <c r="BJ169" s="4105">
        <f>IFERROR(N169/N$117,0)</f>
        <v/>
      </c>
      <c r="BK169" s="4105">
        <f>IFERROR(O169/O$117,0)</f>
        <v/>
      </c>
      <c r="BL169" s="4105">
        <f>IFERROR(P169/P$117,0)</f>
        <v/>
      </c>
      <c r="BM169" s="4106">
        <f>IFERROR(Q169/Q$117,0)</f>
        <v/>
      </c>
      <c r="BN169" s="4105">
        <f>IFERROR(R169/R$117,0)</f>
        <v/>
      </c>
      <c r="BO169" s="4105">
        <f>IFERROR(S169/S$117,0)</f>
        <v/>
      </c>
      <c r="BP169" s="4105">
        <f>IFERROR(T169/T$117,0)</f>
        <v/>
      </c>
      <c r="BQ169" s="4105">
        <f>IFERROR(U169/U$117,0)</f>
        <v/>
      </c>
      <c r="BR169" s="4105">
        <f>IFERROR(V169/V$117,0)</f>
        <v/>
      </c>
      <c r="BS169" s="4105">
        <f>IFERROR(W169/W$117,0)</f>
        <v/>
      </c>
      <c r="BT169" s="4105">
        <f>IFERROR(X169/X$117,0)</f>
        <v/>
      </c>
      <c r="BU169" s="4105">
        <f>IFERROR(Y169/Y$117,0)</f>
        <v/>
      </c>
      <c r="BV169" s="4105">
        <f>IFERROR(Z169/Z$117,0)</f>
        <v/>
      </c>
      <c r="BW169" s="4105">
        <f>IFERROR(AA169/AA$117,0)</f>
        <v/>
      </c>
      <c r="BX169" s="4105">
        <f>IFERROR(AB169/AB$117,0)</f>
        <v/>
      </c>
      <c r="BY169" s="4106">
        <f>IFERROR(AC169/AC$117,0)</f>
        <v/>
      </c>
      <c r="BZ169" s="4105">
        <f>IFERROR(AD169/AD$117,0)</f>
        <v/>
      </c>
      <c r="CA169" s="4105">
        <f>IFERROR(AE169/AE$117,0)</f>
        <v/>
      </c>
      <c r="CB169" s="4105">
        <f>IFERROR(AF169/AF$117,0)</f>
        <v/>
      </c>
      <c r="CC169" s="4105">
        <f>IFERROR(AG169/AG$117,0)</f>
        <v/>
      </c>
      <c r="CD169" s="4105">
        <f>IFERROR(AH169/AH$117,0)</f>
        <v/>
      </c>
      <c r="CE169" s="4105">
        <f>IFERROR(AI169/AI$117,0)</f>
        <v/>
      </c>
      <c r="CF169" s="4105">
        <f>IFERROR(AJ169/AJ$117,0)</f>
        <v/>
      </c>
      <c r="CG169" s="4105">
        <f>IFERROR(AK169/AK$117,0)</f>
        <v/>
      </c>
      <c r="CH169" s="4105">
        <f>IFERROR(AL169/AL$117,0)</f>
        <v/>
      </c>
      <c r="CI169" s="4105">
        <f>IFERROR(AM169/AM$117,0)</f>
        <v/>
      </c>
      <c r="CJ169" s="4105">
        <f>IFERROR(AN169/AN$117,0)</f>
        <v/>
      </c>
      <c r="CK169" s="4106">
        <f>IFERROR(AO169/AO$117,0)</f>
        <v/>
      </c>
      <c r="CL169" s="4105">
        <f>IFERROR(AP169/AP$117,0)</f>
        <v/>
      </c>
      <c r="CM169" s="4105">
        <f>IFERROR(AQ169/AQ$117,0)</f>
        <v/>
      </c>
      <c r="CN169" s="4105">
        <f>IFERROR(AR169/AR$117,0)</f>
        <v/>
      </c>
      <c r="CO169" s="4105">
        <f>IFERROR(AS169/AS$117,0)</f>
        <v/>
      </c>
      <c r="CP169" s="4105">
        <f>IFERROR(AT169/AT$117,0)</f>
        <v/>
      </c>
      <c r="CQ169" s="4107">
        <f>IFERROR(AU169/AU$117,0)</f>
        <v/>
      </c>
      <c r="CR169" s="4105">
        <f>IFERROR(AV169/AV$117,0)</f>
        <v/>
      </c>
      <c r="CS169" s="4105">
        <f>IFERROR(AW169/AW$117,0)</f>
        <v/>
      </c>
      <c r="CT169" s="4105">
        <f>IFERROR(AX169/AX$117,0)</f>
        <v/>
      </c>
      <c r="CU169" s="4105">
        <f>IFERROR(AY169/AY$117,0)</f>
        <v/>
      </c>
      <c r="CV169" s="4105">
        <f>IFERROR(AZ169/AZ$117,0)</f>
        <v/>
      </c>
      <c r="CW169" s="3737" t="n"/>
      <c r="CX169" s="4102">
        <f>SUM(CX168)</f>
        <v/>
      </c>
    </row>
    <row r="170" ht="12" customFormat="1" customHeight="1" s="3737">
      <c r="A170" s="4059" t="n"/>
      <c r="B170" s="4060" t="n"/>
      <c r="C170" s="4116" t="inlineStr">
        <is>
          <t>Variable expense</t>
        </is>
      </c>
      <c r="D170" s="4101" t="n"/>
      <c r="E170" s="4101" t="n"/>
      <c r="F170" s="4102" t="n"/>
      <c r="G170" s="4102" t="n"/>
      <c r="H170" s="4102" t="n"/>
      <c r="I170" s="4102" t="n"/>
      <c r="J170" s="4102" t="n"/>
      <c r="K170" s="4102" t="n"/>
      <c r="L170" s="4102" t="n"/>
      <c r="M170" s="4102" t="n"/>
      <c r="N170" s="4102" t="n"/>
      <c r="O170" s="4102" t="n"/>
      <c r="P170" s="4102" t="n"/>
      <c r="Q170" s="4103" t="n"/>
      <c r="R170" s="4102" t="n"/>
      <c r="S170" s="4102" t="n"/>
      <c r="T170" s="4102" t="n"/>
      <c r="U170" s="4102" t="n"/>
      <c r="V170" s="4102" t="n"/>
      <c r="W170" s="4102" t="n"/>
      <c r="X170" s="4102" t="n"/>
      <c r="Y170" s="4102" t="n"/>
      <c r="Z170" s="4102" t="n"/>
      <c r="AA170" s="4102" t="n"/>
      <c r="AB170" s="4102" t="n"/>
      <c r="AC170" s="4103" t="n"/>
      <c r="AD170" s="4102" t="n"/>
      <c r="AE170" s="4102" t="n"/>
      <c r="AF170" s="4102" t="n"/>
      <c r="AG170" s="4102" t="n"/>
      <c r="AH170" s="4102" t="n"/>
      <c r="AI170" s="4102" t="n"/>
      <c r="AJ170" s="4102" t="n"/>
      <c r="AK170" s="4102" t="n"/>
      <c r="AL170" s="4102" t="n"/>
      <c r="AM170" s="4102" t="n"/>
      <c r="AN170" s="4102" t="n"/>
      <c r="AO170" s="4103" t="n"/>
      <c r="AP170" s="4102">
        <f>SUM(AP165,AP169,AP167,AP148)</f>
        <v/>
      </c>
      <c r="AQ170" s="4102">
        <f>SUM(AQ165,AQ169,AQ167,AQ148)</f>
        <v/>
      </c>
      <c r="AR170" s="4102">
        <f>SUM(AR165,AR169,AR167,AR148)</f>
        <v/>
      </c>
      <c r="AS170" s="4102">
        <f>SUM(AS165,AS169,AS167,AS148)</f>
        <v/>
      </c>
      <c r="AT170" s="4102">
        <f>SUM(AT165,AT169,AT167,AT148)</f>
        <v/>
      </c>
      <c r="AU170" s="4104">
        <f>SUM(AU165,AU169,AU167,AU148)</f>
        <v/>
      </c>
      <c r="AV170" s="4102">
        <f>SUM(AV165,AV169,AV167,AV148)</f>
        <v/>
      </c>
      <c r="AW170" s="4102">
        <f>SUM(AW165,AW169,AW167,AW148)</f>
        <v/>
      </c>
      <c r="AX170" s="4102">
        <f>SUM(AX165,AX169,AX167,AX148)</f>
        <v/>
      </c>
      <c r="AY170" s="4102">
        <f>SUM(AY165,AY169,AY167,AY148)</f>
        <v/>
      </c>
      <c r="AZ170" s="4102">
        <f>SUM(AZ165,AZ169,AZ167,AZ148)</f>
        <v/>
      </c>
      <c r="BA170" s="3737" t="n"/>
      <c r="BB170" s="4105">
        <f>IFERROR(F170/F$117,0)</f>
        <v/>
      </c>
      <c r="BC170" s="4105">
        <f>IFERROR(G170/G$117,0)</f>
        <v/>
      </c>
      <c r="BD170" s="4105">
        <f>IFERROR(H170/H$117,0)</f>
        <v/>
      </c>
      <c r="BE170" s="4105">
        <f>IFERROR(I170/I$117,0)</f>
        <v/>
      </c>
      <c r="BF170" s="4105">
        <f>IFERROR(J170/J$117,0)</f>
        <v/>
      </c>
      <c r="BG170" s="4105">
        <f>IFERROR(K170/K$117,0)</f>
        <v/>
      </c>
      <c r="BH170" s="4105">
        <f>IFERROR(L170/L$117,0)</f>
        <v/>
      </c>
      <c r="BI170" s="4105">
        <f>IFERROR(M170/M$117,0)</f>
        <v/>
      </c>
      <c r="BJ170" s="4105">
        <f>IFERROR(N170/N$117,0)</f>
        <v/>
      </c>
      <c r="BK170" s="4105">
        <f>IFERROR(O170/O$117,0)</f>
        <v/>
      </c>
      <c r="BL170" s="4105">
        <f>IFERROR(P170/P$117,0)</f>
        <v/>
      </c>
      <c r="BM170" s="4106">
        <f>IFERROR(Q170/Q$117,0)</f>
        <v/>
      </c>
      <c r="BN170" s="4105">
        <f>IFERROR(R170/R$117,0)</f>
        <v/>
      </c>
      <c r="BO170" s="4105">
        <f>IFERROR(S170/S$117,0)</f>
        <v/>
      </c>
      <c r="BP170" s="4105">
        <f>IFERROR(T170/T$117,0)</f>
        <v/>
      </c>
      <c r="BQ170" s="4105">
        <f>IFERROR(U170/U$117,0)</f>
        <v/>
      </c>
      <c r="BR170" s="4105">
        <f>IFERROR(V170/V$117,0)</f>
        <v/>
      </c>
      <c r="BS170" s="4105">
        <f>IFERROR(W170/W$117,0)</f>
        <v/>
      </c>
      <c r="BT170" s="4105">
        <f>IFERROR(X170/X$117,0)</f>
        <v/>
      </c>
      <c r="BU170" s="4105">
        <f>IFERROR(Y170/Y$117,0)</f>
        <v/>
      </c>
      <c r="BV170" s="4105">
        <f>IFERROR(Z170/Z$117,0)</f>
        <v/>
      </c>
      <c r="BW170" s="4105">
        <f>IFERROR(AA170/AA$117,0)</f>
        <v/>
      </c>
      <c r="BX170" s="4105">
        <f>IFERROR(AB170/AB$117,0)</f>
        <v/>
      </c>
      <c r="BY170" s="4106">
        <f>IFERROR(AC170/AC$117,0)</f>
        <v/>
      </c>
      <c r="BZ170" s="4105">
        <f>IFERROR(AD170/AD$117,0)</f>
        <v/>
      </c>
      <c r="CA170" s="4105">
        <f>IFERROR(AE170/AE$117,0)</f>
        <v/>
      </c>
      <c r="CB170" s="4105">
        <f>IFERROR(AF170/AF$117,0)</f>
        <v/>
      </c>
      <c r="CC170" s="4105">
        <f>IFERROR(AG170/AG$117,0)</f>
        <v/>
      </c>
      <c r="CD170" s="4105">
        <f>IFERROR(AH170/AH$117,0)</f>
        <v/>
      </c>
      <c r="CE170" s="4105">
        <f>IFERROR(AI170/AI$117,0)</f>
        <v/>
      </c>
      <c r="CF170" s="4105">
        <f>IFERROR(AJ170/AJ$117,0)</f>
        <v/>
      </c>
      <c r="CG170" s="4105">
        <f>IFERROR(AK170/AK$117,0)</f>
        <v/>
      </c>
      <c r="CH170" s="4105">
        <f>IFERROR(AL170/AL$117,0)</f>
        <v/>
      </c>
      <c r="CI170" s="4105">
        <f>IFERROR(AM170/AM$117,0)</f>
        <v/>
      </c>
      <c r="CJ170" s="4105">
        <f>IFERROR(AN170/AN$117,0)</f>
        <v/>
      </c>
      <c r="CK170" s="4106">
        <f>IFERROR(AO170/AO$117,0)</f>
        <v/>
      </c>
      <c r="CL170" s="4105">
        <f>IFERROR(AP170/AP$117,0)</f>
        <v/>
      </c>
      <c r="CM170" s="4105">
        <f>IFERROR(AQ170/AQ$117,0)</f>
        <v/>
      </c>
      <c r="CN170" s="4105">
        <f>IFERROR(AR170/AR$117,0)</f>
        <v/>
      </c>
      <c r="CO170" s="4105">
        <f>IFERROR(AS170/AS$117,0)</f>
        <v/>
      </c>
      <c r="CP170" s="4105">
        <f>IFERROR(AT170/AT$117,0)</f>
        <v/>
      </c>
      <c r="CQ170" s="4107">
        <f>IFERROR(AU170/AU$117,0)</f>
        <v/>
      </c>
      <c r="CR170" s="4105">
        <f>IFERROR(AV170/AV$117,0)</f>
        <v/>
      </c>
      <c r="CS170" s="4105">
        <f>IFERROR(AW170/AW$117,0)</f>
        <v/>
      </c>
      <c r="CT170" s="4105">
        <f>IFERROR(AX170/AX$117,0)</f>
        <v/>
      </c>
      <c r="CU170" s="4105">
        <f>IFERROR(AY170/AY$117,0)</f>
        <v/>
      </c>
      <c r="CV170" s="4105">
        <f>IFERROR(AZ170/AZ$117,0)</f>
        <v/>
      </c>
      <c r="CW170" s="3737" t="n"/>
      <c r="CX170" s="4102">
        <f>SUM(CX165,CX169,CX167,CX148)</f>
        <v/>
      </c>
    </row>
    <row r="171" ht="12" customFormat="1" customHeight="1" s="4117">
      <c r="A171" s="4118" t="n"/>
      <c r="B171" s="4119" t="n"/>
      <c r="C171" s="4120" t="inlineStr">
        <is>
          <t>Gross profit</t>
        </is>
      </c>
      <c r="D171" s="4120" t="n"/>
      <c r="E171" s="4120" t="n"/>
      <c r="F171" s="4121" t="n"/>
      <c r="G171" s="4121" t="n"/>
      <c r="H171" s="4121" t="n"/>
      <c r="I171" s="4121" t="n"/>
      <c r="J171" s="4121" t="n"/>
      <c r="K171" s="4121" t="n"/>
      <c r="L171" s="4121" t="n"/>
      <c r="M171" s="4121" t="n"/>
      <c r="N171" s="4121" t="n"/>
      <c r="O171" s="4121" t="n"/>
      <c r="P171" s="4121" t="n"/>
      <c r="Q171" s="4122" t="n"/>
      <c r="R171" s="4121" t="n"/>
      <c r="S171" s="4121" t="n"/>
      <c r="T171" s="4121" t="n"/>
      <c r="U171" s="4121" t="n"/>
      <c r="V171" s="4121" t="n"/>
      <c r="W171" s="4121" t="n"/>
      <c r="X171" s="4121" t="n"/>
      <c r="Y171" s="4121" t="n"/>
      <c r="Z171" s="4121" t="n"/>
      <c r="AA171" s="4121" t="n"/>
      <c r="AB171" s="4121" t="n"/>
      <c r="AC171" s="4122" t="n"/>
      <c r="AD171" s="4121" t="n"/>
      <c r="AE171" s="4121" t="n"/>
      <c r="AF171" s="4121" t="n"/>
      <c r="AG171" s="4121" t="n"/>
      <c r="AH171" s="4121" t="n"/>
      <c r="AI171" s="4121" t="n"/>
      <c r="AJ171" s="4121" t="n"/>
      <c r="AK171" s="4121" t="n"/>
      <c r="AL171" s="4121" t="n"/>
      <c r="AM171" s="4121" t="n"/>
      <c r="AN171" s="4121" t="n"/>
      <c r="AO171" s="4122" t="n"/>
      <c r="AP171" s="4121">
        <f>SUM(AP170,AP117)</f>
        <v/>
      </c>
      <c r="AQ171" s="4121">
        <f>SUM(AQ170,AQ117)</f>
        <v/>
      </c>
      <c r="AR171" s="4121">
        <f>SUM(AR170,AR117)</f>
        <v/>
      </c>
      <c r="AS171" s="4121">
        <f>SUM(AS170,AS117)</f>
        <v/>
      </c>
      <c r="AT171" s="4121">
        <f>SUM(AT170,AT117)</f>
        <v/>
      </c>
      <c r="AU171" s="4123">
        <f>SUM(AU170,AU117)</f>
        <v/>
      </c>
      <c r="AV171" s="4121">
        <f>SUM(AV170,AV117)</f>
        <v/>
      </c>
      <c r="AW171" s="4121">
        <f>SUM(AW170,AW117)</f>
        <v/>
      </c>
      <c r="AX171" s="4121">
        <f>SUM(AX170,AX117)</f>
        <v/>
      </c>
      <c r="AY171" s="4121">
        <f>SUM(AY170,AY117)</f>
        <v/>
      </c>
      <c r="AZ171" s="4121">
        <f>SUM(AZ170,AZ117)</f>
        <v/>
      </c>
      <c r="BA171" s="4117" t="n"/>
      <c r="BB171" s="4124">
        <f>IFERROR(F171/F$117,0)</f>
        <v/>
      </c>
      <c r="BC171" s="4124">
        <f>IFERROR(G171/G$117,0)</f>
        <v/>
      </c>
      <c r="BD171" s="4124">
        <f>IFERROR(H171/H$117,0)</f>
        <v/>
      </c>
      <c r="BE171" s="4124">
        <f>IFERROR(I171/I$117,0)</f>
        <v/>
      </c>
      <c r="BF171" s="4124">
        <f>IFERROR(J171/J$117,0)</f>
        <v/>
      </c>
      <c r="BG171" s="4124">
        <f>IFERROR(K171/K$117,0)</f>
        <v/>
      </c>
      <c r="BH171" s="4124">
        <f>IFERROR(L171/L$117,0)</f>
        <v/>
      </c>
      <c r="BI171" s="4124">
        <f>IFERROR(M171/M$117,0)</f>
        <v/>
      </c>
      <c r="BJ171" s="4124">
        <f>IFERROR(N171/N$117,0)</f>
        <v/>
      </c>
      <c r="BK171" s="4124">
        <f>IFERROR(O171/O$117,0)</f>
        <v/>
      </c>
      <c r="BL171" s="4124">
        <f>IFERROR(P171/P$117,0)</f>
        <v/>
      </c>
      <c r="BM171" s="4125">
        <f>IFERROR(Q171/Q$117,0)</f>
        <v/>
      </c>
      <c r="BN171" s="4124">
        <f>IFERROR(R171/R$117,0)</f>
        <v/>
      </c>
      <c r="BO171" s="4124">
        <f>IFERROR(S171/S$117,0)</f>
        <v/>
      </c>
      <c r="BP171" s="4124">
        <f>IFERROR(T171/T$117,0)</f>
        <v/>
      </c>
      <c r="BQ171" s="4124">
        <f>IFERROR(U171/U$117,0)</f>
        <v/>
      </c>
      <c r="BR171" s="4124">
        <f>IFERROR(V171/V$117,0)</f>
        <v/>
      </c>
      <c r="BS171" s="4124">
        <f>IFERROR(W171/W$117,0)</f>
        <v/>
      </c>
      <c r="BT171" s="4124">
        <f>IFERROR(X171/X$117,0)</f>
        <v/>
      </c>
      <c r="BU171" s="4124">
        <f>IFERROR(Y171/Y$117,0)</f>
        <v/>
      </c>
      <c r="BV171" s="4124">
        <f>IFERROR(Z171/Z$117,0)</f>
        <v/>
      </c>
      <c r="BW171" s="4124">
        <f>IFERROR(AA171/AA$117,0)</f>
        <v/>
      </c>
      <c r="BX171" s="4124">
        <f>IFERROR(AB171/AB$117,0)</f>
        <v/>
      </c>
      <c r="BY171" s="4125">
        <f>IFERROR(AC171/AC$117,0)</f>
        <v/>
      </c>
      <c r="BZ171" s="4124">
        <f>IFERROR(AD171/AD$117,0)</f>
        <v/>
      </c>
      <c r="CA171" s="4124">
        <f>IFERROR(AE171/AE$117,0)</f>
        <v/>
      </c>
      <c r="CB171" s="4124">
        <f>IFERROR(AF171/AF$117,0)</f>
        <v/>
      </c>
      <c r="CC171" s="4124">
        <f>IFERROR(AG171/AG$117,0)</f>
        <v/>
      </c>
      <c r="CD171" s="4124">
        <f>IFERROR(AH171/AH$117,0)</f>
        <v/>
      </c>
      <c r="CE171" s="4124">
        <f>IFERROR(AI171/AI$117,0)</f>
        <v/>
      </c>
      <c r="CF171" s="4124">
        <f>IFERROR(AJ171/AJ$117,0)</f>
        <v/>
      </c>
      <c r="CG171" s="4124">
        <f>IFERROR(AK171/AK$117,0)</f>
        <v/>
      </c>
      <c r="CH171" s="4124">
        <f>IFERROR(AL171/AL$117,0)</f>
        <v/>
      </c>
      <c r="CI171" s="4124">
        <f>IFERROR(AM171/AM$117,0)</f>
        <v/>
      </c>
      <c r="CJ171" s="4124">
        <f>IFERROR(AN171/AN$117,0)</f>
        <v/>
      </c>
      <c r="CK171" s="4125">
        <f>IFERROR(AO171/AO$117,0)</f>
        <v/>
      </c>
      <c r="CL171" s="4124">
        <f>IFERROR(AP171/AP$117,0)</f>
        <v/>
      </c>
      <c r="CM171" s="4124">
        <f>IFERROR(AQ171/AQ$117,0)</f>
        <v/>
      </c>
      <c r="CN171" s="4124">
        <f>IFERROR(AR171/AR$117,0)</f>
        <v/>
      </c>
      <c r="CO171" s="4124">
        <f>IFERROR(AS171/AS$117,0)</f>
        <v/>
      </c>
      <c r="CP171" s="4124">
        <f>IFERROR(AT171/AT$117,0)</f>
        <v/>
      </c>
      <c r="CQ171" s="4126">
        <f>IFERROR(AU171/AU$117,0)</f>
        <v/>
      </c>
      <c r="CR171" s="4124">
        <f>IFERROR(AV171/AV$117,0)</f>
        <v/>
      </c>
      <c r="CS171" s="4124">
        <f>IFERROR(AW171/AW$117,0)</f>
        <v/>
      </c>
      <c r="CT171" s="4124">
        <f>IFERROR(AX171/AX$117,0)</f>
        <v/>
      </c>
      <c r="CU171" s="4124">
        <f>IFERROR(AY171/AY$117,0)</f>
        <v/>
      </c>
      <c r="CV171" s="4124">
        <f>IFERROR(AZ171/AZ$117,0)</f>
        <v/>
      </c>
      <c r="CW171" s="4117" t="n"/>
      <c r="CX171" s="4121">
        <f>SUM(CX170,CX117)</f>
        <v/>
      </c>
    </row>
    <row r="172" hidden="1" outlineLevel="2" ht="12" customFormat="1" customHeight="1" s="3737">
      <c r="A172" s="4059" t="n"/>
      <c r="B172" s="4060" t="n"/>
      <c r="C172" s="4127" t="inlineStr">
        <is>
          <t>Salaries - general</t>
        </is>
      </c>
      <c r="D172" s="4093" t="n">
        <v>531101</v>
      </c>
      <c r="E172" s="4093">
        <f>CONCATENATE(D172," - ",C172)</f>
        <v/>
      </c>
      <c r="F172" s="4094" t="n"/>
      <c r="G172" s="4094" t="n"/>
      <c r="H172" s="4094" t="n"/>
      <c r="I172" s="4094" t="n"/>
      <c r="J172" s="4094" t="n"/>
      <c r="K172" s="4094" t="n"/>
      <c r="L172" s="4094" t="n"/>
      <c r="M172" s="4094" t="n"/>
      <c r="N172" s="4094" t="n"/>
      <c r="O172" s="4094" t="n"/>
      <c r="P172" s="4094" t="n"/>
      <c r="Q172" s="4095" t="n"/>
      <c r="R172" s="4094" t="n"/>
      <c r="S172" s="4094" t="n"/>
      <c r="T172" s="4094" t="n"/>
      <c r="U172" s="4094" t="n"/>
      <c r="V172" s="4094" t="n"/>
      <c r="W172" s="4094" t="n"/>
      <c r="X172" s="4094" t="n"/>
      <c r="Y172" s="4094" t="n"/>
      <c r="Z172" s="4094" t="n"/>
      <c r="AA172" s="4094" t="n"/>
      <c r="AB172" s="4094" t="n"/>
      <c r="AC172" s="4095" t="n"/>
      <c r="AD172" s="4094" t="n"/>
      <c r="AE172" s="4094" t="n"/>
      <c r="AF172" s="4094" t="n"/>
      <c r="AG172" s="4094" t="n"/>
      <c r="AH172" s="4094" t="n"/>
      <c r="AI172" s="4094" t="n"/>
      <c r="AJ172" s="4094" t="n"/>
      <c r="AK172" s="4094" t="n"/>
      <c r="AL172" s="4094" t="n"/>
      <c r="AM172" s="4094" t="n"/>
      <c r="AN172" s="4094" t="n"/>
      <c r="AO172" s="4095" t="n"/>
      <c r="AP172" s="4094" t="n">
        <v>-990.35071</v>
      </c>
      <c r="AQ172" s="4094" t="n">
        <v>-866.60327</v>
      </c>
      <c r="AR172" s="4094" t="n">
        <v>-897.47983</v>
      </c>
      <c r="AS172" s="4094" t="n">
        <v>-941.3428</v>
      </c>
      <c r="AT172" s="4094" t="n">
        <v>-1012.49086</v>
      </c>
      <c r="AU172" s="4096" t="n">
        <v>-907.51756</v>
      </c>
      <c r="AV172" s="4094">
        <f>SUM(F172:Q172)</f>
        <v/>
      </c>
      <c r="AW172" s="4094">
        <f>SUM(R172:AC172)</f>
        <v/>
      </c>
      <c r="AX172" s="4094">
        <f>SUM(AD172:AO172)</f>
        <v/>
      </c>
      <c r="AY172" s="4094">
        <f>SUM(AH172:AS172)</f>
        <v/>
      </c>
      <c r="AZ172" s="4094">
        <f>SUM(AJ172:AU172)</f>
        <v/>
      </c>
      <c r="BA172" s="3737" t="n"/>
      <c r="BB172" s="4097">
        <f>IFERROR(F172/F$117,0)</f>
        <v/>
      </c>
      <c r="BC172" s="4097">
        <f>IFERROR(G172/G$117,0)</f>
        <v/>
      </c>
      <c r="BD172" s="4097">
        <f>IFERROR(H172/H$117,0)</f>
        <v/>
      </c>
      <c r="BE172" s="4097">
        <f>IFERROR(I172/I$117,0)</f>
        <v/>
      </c>
      <c r="BF172" s="4097">
        <f>IFERROR(J172/J$117,0)</f>
        <v/>
      </c>
      <c r="BG172" s="4097">
        <f>IFERROR(K172/K$117,0)</f>
        <v/>
      </c>
      <c r="BH172" s="4097">
        <f>IFERROR(L172/L$117,0)</f>
        <v/>
      </c>
      <c r="BI172" s="4097">
        <f>IFERROR(M172/M$117,0)</f>
        <v/>
      </c>
      <c r="BJ172" s="4097">
        <f>IFERROR(N172/N$117,0)</f>
        <v/>
      </c>
      <c r="BK172" s="4097">
        <f>IFERROR(O172/O$117,0)</f>
        <v/>
      </c>
      <c r="BL172" s="4097">
        <f>IFERROR(P172/P$117,0)</f>
        <v/>
      </c>
      <c r="BM172" s="4098">
        <f>IFERROR(Q172/Q$117,0)</f>
        <v/>
      </c>
      <c r="BN172" s="4097">
        <f>IFERROR(R172/R$117,0)</f>
        <v/>
      </c>
      <c r="BO172" s="4097">
        <f>IFERROR(S172/S$117,0)</f>
        <v/>
      </c>
      <c r="BP172" s="4097">
        <f>IFERROR(T172/T$117,0)</f>
        <v/>
      </c>
      <c r="BQ172" s="4097">
        <f>IFERROR(U172/U$117,0)</f>
        <v/>
      </c>
      <c r="BR172" s="4097">
        <f>IFERROR(V172/V$117,0)</f>
        <v/>
      </c>
      <c r="BS172" s="4097">
        <f>IFERROR(W172/W$117,0)</f>
        <v/>
      </c>
      <c r="BT172" s="4097">
        <f>IFERROR(X172/X$117,0)</f>
        <v/>
      </c>
      <c r="BU172" s="4097">
        <f>IFERROR(Y172/Y$117,0)</f>
        <v/>
      </c>
      <c r="BV172" s="4097">
        <f>IFERROR(Z172/Z$117,0)</f>
        <v/>
      </c>
      <c r="BW172" s="4097">
        <f>IFERROR(AA172/AA$117,0)</f>
        <v/>
      </c>
      <c r="BX172" s="4097">
        <f>IFERROR(AB172/AB$117,0)</f>
        <v/>
      </c>
      <c r="BY172" s="4098">
        <f>IFERROR(AC172/AC$117,0)</f>
        <v/>
      </c>
      <c r="BZ172" s="4097">
        <f>IFERROR(AD172/AD$117,0)</f>
        <v/>
      </c>
      <c r="CA172" s="4097">
        <f>IFERROR(AE172/AE$117,0)</f>
        <v/>
      </c>
      <c r="CB172" s="4097">
        <f>IFERROR(AF172/AF$117,0)</f>
        <v/>
      </c>
      <c r="CC172" s="4097">
        <f>IFERROR(AG172/AG$117,0)</f>
        <v/>
      </c>
      <c r="CD172" s="4097">
        <f>IFERROR(AH172/AH$117,0)</f>
        <v/>
      </c>
      <c r="CE172" s="4097">
        <f>IFERROR(AI172/AI$117,0)</f>
        <v/>
      </c>
      <c r="CF172" s="4097">
        <f>IFERROR(AJ172/AJ$117,0)</f>
        <v/>
      </c>
      <c r="CG172" s="4097">
        <f>IFERROR(AK172/AK$117,0)</f>
        <v/>
      </c>
      <c r="CH172" s="4097">
        <f>IFERROR(AL172/AL$117,0)</f>
        <v/>
      </c>
      <c r="CI172" s="4097">
        <f>IFERROR(AM172/AM$117,0)</f>
        <v/>
      </c>
      <c r="CJ172" s="4097">
        <f>IFERROR(AN172/AN$117,0)</f>
        <v/>
      </c>
      <c r="CK172" s="4098">
        <f>IFERROR(AO172/AO$117,0)</f>
        <v/>
      </c>
      <c r="CL172" s="4097">
        <f>IFERROR(AP172/AP$117,0)</f>
        <v/>
      </c>
      <c r="CM172" s="4097">
        <f>IFERROR(AQ172/AQ$117,0)</f>
        <v/>
      </c>
      <c r="CN172" s="4097">
        <f>IFERROR(AR172/AR$117,0)</f>
        <v/>
      </c>
      <c r="CO172" s="4097">
        <f>IFERROR(AS172/AS$117,0)</f>
        <v/>
      </c>
      <c r="CP172" s="4097">
        <f>IFERROR(AT172/AT$117,0)</f>
        <v/>
      </c>
      <c r="CQ172" s="4099">
        <f>IFERROR(AU172/AU$117,0)</f>
        <v/>
      </c>
      <c r="CR172" s="4097">
        <f>IFERROR(AV172/AV$117,0)</f>
        <v/>
      </c>
      <c r="CS172" s="4097">
        <f>IFERROR(AW172/AW$117,0)</f>
        <v/>
      </c>
      <c r="CT172" s="4097">
        <f>IFERROR(AX172/AX$117,0)</f>
        <v/>
      </c>
      <c r="CU172" s="4097">
        <f>IFERROR(AY172/AY$117,0)</f>
        <v/>
      </c>
      <c r="CV172" s="4097">
        <f>IFERROR(AZ172/AZ$117,0)</f>
        <v/>
      </c>
      <c r="CW172" s="3737" t="n"/>
      <c r="CX172" s="4094" t="n">
        <v>-8901.146070000001</v>
      </c>
    </row>
    <row r="173" hidden="1" outlineLevel="2" ht="12" customFormat="1" customHeight="1" s="3737">
      <c r="A173" s="4059" t="n"/>
      <c r="B173" s="4060" t="n"/>
      <c r="C173" s="4127" t="inlineStr">
        <is>
          <t>Salaries - ncsc</t>
        </is>
      </c>
      <c r="D173" s="4093" t="n">
        <v>531101</v>
      </c>
      <c r="E173" s="4093">
        <f>CONCATENATE(D173," - ",C173)</f>
        <v/>
      </c>
      <c r="F173" s="4094" t="n"/>
      <c r="G173" s="4094" t="n"/>
      <c r="H173" s="4094" t="n"/>
      <c r="I173" s="4094" t="n"/>
      <c r="J173" s="4094" t="n"/>
      <c r="K173" s="4094" t="n"/>
      <c r="L173" s="4094" t="n"/>
      <c r="M173" s="4094" t="n"/>
      <c r="N173" s="4094" t="n"/>
      <c r="O173" s="4094" t="n"/>
      <c r="P173" s="4094" t="n"/>
      <c r="Q173" s="4095" t="n"/>
      <c r="R173" s="4094" t="n"/>
      <c r="S173" s="4094" t="n"/>
      <c r="T173" s="4094" t="n"/>
      <c r="U173" s="4094" t="n"/>
      <c r="V173" s="4094" t="n"/>
      <c r="W173" s="4094" t="n"/>
      <c r="X173" s="4094" t="n"/>
      <c r="Y173" s="4094" t="n"/>
      <c r="Z173" s="4094" t="n"/>
      <c r="AA173" s="4094" t="n"/>
      <c r="AB173" s="4094" t="n"/>
      <c r="AC173" s="4095" t="n"/>
      <c r="AD173" s="4094" t="n"/>
      <c r="AE173" s="4094" t="n"/>
      <c r="AF173" s="4094" t="n"/>
      <c r="AG173" s="4094" t="n"/>
      <c r="AH173" s="4094" t="n"/>
      <c r="AI173" s="4094" t="n"/>
      <c r="AJ173" s="4094" t="n"/>
      <c r="AK173" s="4094" t="n"/>
      <c r="AL173" s="4094" t="n"/>
      <c r="AM173" s="4094" t="n"/>
      <c r="AN173" s="4094" t="n"/>
      <c r="AO173" s="4095" t="n"/>
      <c r="AP173" s="4094" t="n">
        <v>-77.03643</v>
      </c>
      <c r="AQ173" s="4094" t="n">
        <v>-74.03932</v>
      </c>
      <c r="AR173" s="4094" t="n">
        <v>-65.3758</v>
      </c>
      <c r="AS173" s="4094" t="n">
        <v>-75.42779</v>
      </c>
      <c r="AT173" s="4094" t="n">
        <v>-81.22987000000001</v>
      </c>
      <c r="AU173" s="4096" t="n">
        <v>-74.35269</v>
      </c>
      <c r="AV173" s="4094">
        <f>SUM(F173:Q173)</f>
        <v/>
      </c>
      <c r="AW173" s="4094">
        <f>SUM(R173:AC173)</f>
        <v/>
      </c>
      <c r="AX173" s="4094">
        <f>SUM(AD173:AO173)</f>
        <v/>
      </c>
      <c r="AY173" s="4094">
        <f>SUM(AH173:AS173)</f>
        <v/>
      </c>
      <c r="AZ173" s="4094">
        <f>SUM(AJ173:AU173)</f>
        <v/>
      </c>
      <c r="BA173" s="3737" t="n"/>
      <c r="BB173" s="4097">
        <f>IFERROR(F173/F$117,0)</f>
        <v/>
      </c>
      <c r="BC173" s="4097">
        <f>IFERROR(G173/G$117,0)</f>
        <v/>
      </c>
      <c r="BD173" s="4097">
        <f>IFERROR(H173/H$117,0)</f>
        <v/>
      </c>
      <c r="BE173" s="4097">
        <f>IFERROR(I173/I$117,0)</f>
        <v/>
      </c>
      <c r="BF173" s="4097">
        <f>IFERROR(J173/J$117,0)</f>
        <v/>
      </c>
      <c r="BG173" s="4097">
        <f>IFERROR(K173/K$117,0)</f>
        <v/>
      </c>
      <c r="BH173" s="4097">
        <f>IFERROR(L173/L$117,0)</f>
        <v/>
      </c>
      <c r="BI173" s="4097">
        <f>IFERROR(M173/M$117,0)</f>
        <v/>
      </c>
      <c r="BJ173" s="4097">
        <f>IFERROR(N173/N$117,0)</f>
        <v/>
      </c>
      <c r="BK173" s="4097">
        <f>IFERROR(O173/O$117,0)</f>
        <v/>
      </c>
      <c r="BL173" s="4097">
        <f>IFERROR(P173/P$117,0)</f>
        <v/>
      </c>
      <c r="BM173" s="4098">
        <f>IFERROR(Q173/Q$117,0)</f>
        <v/>
      </c>
      <c r="BN173" s="4097">
        <f>IFERROR(R173/R$117,0)</f>
        <v/>
      </c>
      <c r="BO173" s="4097">
        <f>IFERROR(S173/S$117,0)</f>
        <v/>
      </c>
      <c r="BP173" s="4097">
        <f>IFERROR(T173/T$117,0)</f>
        <v/>
      </c>
      <c r="BQ173" s="4097">
        <f>IFERROR(U173/U$117,0)</f>
        <v/>
      </c>
      <c r="BR173" s="4097">
        <f>IFERROR(V173/V$117,0)</f>
        <v/>
      </c>
      <c r="BS173" s="4097">
        <f>IFERROR(W173/W$117,0)</f>
        <v/>
      </c>
      <c r="BT173" s="4097">
        <f>IFERROR(X173/X$117,0)</f>
        <v/>
      </c>
      <c r="BU173" s="4097">
        <f>IFERROR(Y173/Y$117,0)</f>
        <v/>
      </c>
      <c r="BV173" s="4097">
        <f>IFERROR(Z173/Z$117,0)</f>
        <v/>
      </c>
      <c r="BW173" s="4097">
        <f>IFERROR(AA173/AA$117,0)</f>
        <v/>
      </c>
      <c r="BX173" s="4097">
        <f>IFERROR(AB173/AB$117,0)</f>
        <v/>
      </c>
      <c r="BY173" s="4098">
        <f>IFERROR(AC173/AC$117,0)</f>
        <v/>
      </c>
      <c r="BZ173" s="4097">
        <f>IFERROR(AD173/AD$117,0)</f>
        <v/>
      </c>
      <c r="CA173" s="4097">
        <f>IFERROR(AE173/AE$117,0)</f>
        <v/>
      </c>
      <c r="CB173" s="4097">
        <f>IFERROR(AF173/AF$117,0)</f>
        <v/>
      </c>
      <c r="CC173" s="4097">
        <f>IFERROR(AG173/AG$117,0)</f>
        <v/>
      </c>
      <c r="CD173" s="4097">
        <f>IFERROR(AH173/AH$117,0)</f>
        <v/>
      </c>
      <c r="CE173" s="4097">
        <f>IFERROR(AI173/AI$117,0)</f>
        <v/>
      </c>
      <c r="CF173" s="4097">
        <f>IFERROR(AJ173/AJ$117,0)</f>
        <v/>
      </c>
      <c r="CG173" s="4097">
        <f>IFERROR(AK173/AK$117,0)</f>
        <v/>
      </c>
      <c r="CH173" s="4097">
        <f>IFERROR(AL173/AL$117,0)</f>
        <v/>
      </c>
      <c r="CI173" s="4097">
        <f>IFERROR(AM173/AM$117,0)</f>
        <v/>
      </c>
      <c r="CJ173" s="4097">
        <f>IFERROR(AN173/AN$117,0)</f>
        <v/>
      </c>
      <c r="CK173" s="4098">
        <f>IFERROR(AO173/AO$117,0)</f>
        <v/>
      </c>
      <c r="CL173" s="4097">
        <f>IFERROR(AP173/AP$117,0)</f>
        <v/>
      </c>
      <c r="CM173" s="4097">
        <f>IFERROR(AQ173/AQ$117,0)</f>
        <v/>
      </c>
      <c r="CN173" s="4097">
        <f>IFERROR(AR173/AR$117,0)</f>
        <v/>
      </c>
      <c r="CO173" s="4097">
        <f>IFERROR(AS173/AS$117,0)</f>
        <v/>
      </c>
      <c r="CP173" s="4097">
        <f>IFERROR(AT173/AT$117,0)</f>
        <v/>
      </c>
      <c r="CQ173" s="4099">
        <f>IFERROR(AU173/AU$117,0)</f>
        <v/>
      </c>
      <c r="CR173" s="4097">
        <f>IFERROR(AV173/AV$117,0)</f>
        <v/>
      </c>
      <c r="CS173" s="4097">
        <f>IFERROR(AW173/AW$117,0)</f>
        <v/>
      </c>
      <c r="CT173" s="4097">
        <f>IFERROR(AX173/AX$117,0)</f>
        <v/>
      </c>
      <c r="CU173" s="4097">
        <f>IFERROR(AY173/AY$117,0)</f>
        <v/>
      </c>
      <c r="CV173" s="4097">
        <f>IFERROR(AZ173/AZ$117,0)</f>
        <v/>
      </c>
      <c r="CW173" s="3737" t="n"/>
      <c r="CX173" s="4094" t="n">
        <v>-775.22218</v>
      </c>
    </row>
    <row r="174" hidden="1" outlineLevel="2" ht="12" customFormat="1" customHeight="1" s="3737">
      <c r="A174" s="4059" t="n"/>
      <c r="B174" s="4060" t="n"/>
      <c r="C174" s="4127" t="inlineStr">
        <is>
          <t>Salaries - overtime &amp; on-call</t>
        </is>
      </c>
      <c r="D174" s="4093" t="n">
        <v>531102</v>
      </c>
      <c r="E174" s="4093">
        <f>CONCATENATE(D174," - ",C174)</f>
        <v/>
      </c>
      <c r="F174" s="4094" t="n"/>
      <c r="G174" s="4094" t="n"/>
      <c r="H174" s="4094" t="n"/>
      <c r="I174" s="4094" t="n"/>
      <c r="J174" s="4094" t="n"/>
      <c r="K174" s="4094" t="n"/>
      <c r="L174" s="4094" t="n"/>
      <c r="M174" s="4094" t="n"/>
      <c r="N174" s="4094" t="n"/>
      <c r="O174" s="4094" t="n"/>
      <c r="P174" s="4094" t="n"/>
      <c r="Q174" s="4095" t="n"/>
      <c r="R174" s="4094" t="n"/>
      <c r="S174" s="4094" t="n"/>
      <c r="T174" s="4094" t="n"/>
      <c r="U174" s="4094" t="n"/>
      <c r="V174" s="4094" t="n"/>
      <c r="W174" s="4094" t="n"/>
      <c r="X174" s="4094" t="n"/>
      <c r="Y174" s="4094" t="n"/>
      <c r="Z174" s="4094" t="n"/>
      <c r="AA174" s="4094" t="n"/>
      <c r="AB174" s="4094" t="n"/>
      <c r="AC174" s="4095" t="n"/>
      <c r="AD174" s="4094" t="n"/>
      <c r="AE174" s="4094" t="n"/>
      <c r="AF174" s="4094" t="n"/>
      <c r="AG174" s="4094" t="n"/>
      <c r="AH174" s="4094" t="n"/>
      <c r="AI174" s="4094" t="n"/>
      <c r="AJ174" s="4094" t="n"/>
      <c r="AK174" s="4094" t="n"/>
      <c r="AL174" s="4094" t="n"/>
      <c r="AM174" s="4094" t="n"/>
      <c r="AN174" s="4094" t="n"/>
      <c r="AO174" s="4095" t="n"/>
      <c r="AP174" s="4094" t="n">
        <v>-28.02893</v>
      </c>
      <c r="AQ174" s="4094" t="n">
        <v>-19.70714</v>
      </c>
      <c r="AR174" s="4094" t="n">
        <v>-37.69575</v>
      </c>
      <c r="AS174" s="4094" t="n">
        <v>-25.96611</v>
      </c>
      <c r="AT174" s="4094" t="n">
        <v>-27.51759</v>
      </c>
      <c r="AU174" s="4096" t="n">
        <v>-24.2489</v>
      </c>
      <c r="AV174" s="4094">
        <f>SUM(F174:Q174)</f>
        <v/>
      </c>
      <c r="AW174" s="4094">
        <f>SUM(R174:AC174)</f>
        <v/>
      </c>
      <c r="AX174" s="4094">
        <f>SUM(AD174:AO174)</f>
        <v/>
      </c>
      <c r="AY174" s="4094">
        <f>SUM(AH174:AS174)</f>
        <v/>
      </c>
      <c r="AZ174" s="4094">
        <f>SUM(AJ174:AU174)</f>
        <v/>
      </c>
      <c r="BA174" s="3737" t="n"/>
      <c r="BB174" s="4097">
        <f>IFERROR(F174/F$117,0)</f>
        <v/>
      </c>
      <c r="BC174" s="4097">
        <f>IFERROR(G174/G$117,0)</f>
        <v/>
      </c>
      <c r="BD174" s="4097">
        <f>IFERROR(H174/H$117,0)</f>
        <v/>
      </c>
      <c r="BE174" s="4097">
        <f>IFERROR(I174/I$117,0)</f>
        <v/>
      </c>
      <c r="BF174" s="4097">
        <f>IFERROR(J174/J$117,0)</f>
        <v/>
      </c>
      <c r="BG174" s="4097">
        <f>IFERROR(K174/K$117,0)</f>
        <v/>
      </c>
      <c r="BH174" s="4097">
        <f>IFERROR(L174/L$117,0)</f>
        <v/>
      </c>
      <c r="BI174" s="4097">
        <f>IFERROR(M174/M$117,0)</f>
        <v/>
      </c>
      <c r="BJ174" s="4097">
        <f>IFERROR(N174/N$117,0)</f>
        <v/>
      </c>
      <c r="BK174" s="4097">
        <f>IFERROR(O174/O$117,0)</f>
        <v/>
      </c>
      <c r="BL174" s="4097">
        <f>IFERROR(P174/P$117,0)</f>
        <v/>
      </c>
      <c r="BM174" s="4098">
        <f>IFERROR(Q174/Q$117,0)</f>
        <v/>
      </c>
      <c r="BN174" s="4097">
        <f>IFERROR(R174/R$117,0)</f>
        <v/>
      </c>
      <c r="BO174" s="4097">
        <f>IFERROR(S174/S$117,0)</f>
        <v/>
      </c>
      <c r="BP174" s="4097">
        <f>IFERROR(T174/T$117,0)</f>
        <v/>
      </c>
      <c r="BQ174" s="4097">
        <f>IFERROR(U174/U$117,0)</f>
        <v/>
      </c>
      <c r="BR174" s="4097">
        <f>IFERROR(V174/V$117,0)</f>
        <v/>
      </c>
      <c r="BS174" s="4097">
        <f>IFERROR(W174/W$117,0)</f>
        <v/>
      </c>
      <c r="BT174" s="4097">
        <f>IFERROR(X174/X$117,0)</f>
        <v/>
      </c>
      <c r="BU174" s="4097">
        <f>IFERROR(Y174/Y$117,0)</f>
        <v/>
      </c>
      <c r="BV174" s="4097">
        <f>IFERROR(Z174/Z$117,0)</f>
        <v/>
      </c>
      <c r="BW174" s="4097">
        <f>IFERROR(AA174/AA$117,0)</f>
        <v/>
      </c>
      <c r="BX174" s="4097">
        <f>IFERROR(AB174/AB$117,0)</f>
        <v/>
      </c>
      <c r="BY174" s="4098">
        <f>IFERROR(AC174/AC$117,0)</f>
        <v/>
      </c>
      <c r="BZ174" s="4097">
        <f>IFERROR(AD174/AD$117,0)</f>
        <v/>
      </c>
      <c r="CA174" s="4097">
        <f>IFERROR(AE174/AE$117,0)</f>
        <v/>
      </c>
      <c r="CB174" s="4097">
        <f>IFERROR(AF174/AF$117,0)</f>
        <v/>
      </c>
      <c r="CC174" s="4097">
        <f>IFERROR(AG174/AG$117,0)</f>
        <v/>
      </c>
      <c r="CD174" s="4097">
        <f>IFERROR(AH174/AH$117,0)</f>
        <v/>
      </c>
      <c r="CE174" s="4097">
        <f>IFERROR(AI174/AI$117,0)</f>
        <v/>
      </c>
      <c r="CF174" s="4097">
        <f>IFERROR(AJ174/AJ$117,0)</f>
        <v/>
      </c>
      <c r="CG174" s="4097">
        <f>IFERROR(AK174/AK$117,0)</f>
        <v/>
      </c>
      <c r="CH174" s="4097">
        <f>IFERROR(AL174/AL$117,0)</f>
        <v/>
      </c>
      <c r="CI174" s="4097">
        <f>IFERROR(AM174/AM$117,0)</f>
        <v/>
      </c>
      <c r="CJ174" s="4097">
        <f>IFERROR(AN174/AN$117,0)</f>
        <v/>
      </c>
      <c r="CK174" s="4098">
        <f>IFERROR(AO174/AO$117,0)</f>
        <v/>
      </c>
      <c r="CL174" s="4097">
        <f>IFERROR(AP174/AP$117,0)</f>
        <v/>
      </c>
      <c r="CM174" s="4097">
        <f>IFERROR(AQ174/AQ$117,0)</f>
        <v/>
      </c>
      <c r="CN174" s="4097">
        <f>IFERROR(AR174/AR$117,0)</f>
        <v/>
      </c>
      <c r="CO174" s="4097">
        <f>IFERROR(AS174/AS$117,0)</f>
        <v/>
      </c>
      <c r="CP174" s="4097">
        <f>IFERROR(AT174/AT$117,0)</f>
        <v/>
      </c>
      <c r="CQ174" s="4099">
        <f>IFERROR(AU174/AU$117,0)</f>
        <v/>
      </c>
      <c r="CR174" s="4097">
        <f>IFERROR(AV174/AV$117,0)</f>
        <v/>
      </c>
      <c r="CS174" s="4097">
        <f>IFERROR(AW174/AW$117,0)</f>
        <v/>
      </c>
      <c r="CT174" s="4097">
        <f>IFERROR(AX174/AX$117,0)</f>
        <v/>
      </c>
      <c r="CU174" s="4097">
        <f>IFERROR(AY174/AY$117,0)</f>
        <v/>
      </c>
      <c r="CV174" s="4097">
        <f>IFERROR(AZ174/AZ$117,0)</f>
        <v/>
      </c>
      <c r="CW174" s="3737" t="n"/>
      <c r="CX174" s="4094" t="n">
        <v>-294.81613</v>
      </c>
    </row>
    <row r="175" hidden="1" outlineLevel="2" ht="12" customFormat="1" customHeight="1" s="3737">
      <c r="A175" s="4059" t="n"/>
      <c r="B175" s="4060" t="n"/>
      <c r="C175" s="4128" t="inlineStr">
        <is>
          <t>Vacation pay</t>
        </is>
      </c>
      <c r="D175" s="4101" t="n">
        <v>531104</v>
      </c>
      <c r="E175" s="4101">
        <f>CONCATENATE(D175," - ",C175)</f>
        <v/>
      </c>
      <c r="F175" s="4102" t="n"/>
      <c r="G175" s="4102" t="n"/>
      <c r="H175" s="4102" t="n"/>
      <c r="I175" s="4102" t="n"/>
      <c r="J175" s="4102" t="n"/>
      <c r="K175" s="4102" t="n"/>
      <c r="L175" s="4102" t="n"/>
      <c r="M175" s="4102" t="n"/>
      <c r="N175" s="4102" t="n"/>
      <c r="O175" s="4102" t="n"/>
      <c r="P175" s="4102" t="n"/>
      <c r="Q175" s="4103" t="n"/>
      <c r="R175" s="4102" t="n"/>
      <c r="S175" s="4102" t="n"/>
      <c r="T175" s="4102" t="n"/>
      <c r="U175" s="4102" t="n"/>
      <c r="V175" s="4102" t="n"/>
      <c r="W175" s="4102" t="n"/>
      <c r="X175" s="4102" t="n"/>
      <c r="Y175" s="4102" t="n"/>
      <c r="Z175" s="4102" t="n"/>
      <c r="AA175" s="4102" t="n"/>
      <c r="AB175" s="4102" t="n"/>
      <c r="AC175" s="4103" t="n"/>
      <c r="AD175" s="4102" t="n"/>
      <c r="AE175" s="4102" t="n"/>
      <c r="AF175" s="4102" t="n"/>
      <c r="AG175" s="4102" t="n"/>
      <c r="AH175" s="4102" t="n"/>
      <c r="AI175" s="4102" t="n"/>
      <c r="AJ175" s="4102" t="n"/>
      <c r="AK175" s="4102" t="n"/>
      <c r="AL175" s="4102" t="n"/>
      <c r="AM175" s="4102" t="n"/>
      <c r="AN175" s="4102" t="n"/>
      <c r="AO175" s="4103" t="n"/>
      <c r="AP175" s="4102" t="n">
        <v>-3.01743</v>
      </c>
      <c r="AQ175" s="4102" t="n">
        <v>-4.5872</v>
      </c>
      <c r="AR175" s="4102" t="n">
        <v>-5.45129</v>
      </c>
      <c r="AS175" s="4102" t="n">
        <v>-9.167070000000001</v>
      </c>
      <c r="AT175" s="4102" t="n">
        <v>-4.15366</v>
      </c>
      <c r="AU175" s="4104" t="n">
        <v>-9.04786</v>
      </c>
      <c r="AV175" s="4102">
        <f>SUM(F175:Q175)</f>
        <v/>
      </c>
      <c r="AW175" s="4102">
        <f>SUM(R175:AC175)</f>
        <v/>
      </c>
      <c r="AX175" s="4102">
        <f>SUM(AD175:AO175)</f>
        <v/>
      </c>
      <c r="AY175" s="4102">
        <f>SUM(AH175:AS175)</f>
        <v/>
      </c>
      <c r="AZ175" s="4102">
        <f>SUM(AJ175:AU175)</f>
        <v/>
      </c>
      <c r="BA175" s="3737" t="n"/>
      <c r="BB175" s="4105">
        <f>IFERROR(F175/F$117,0)</f>
        <v/>
      </c>
      <c r="BC175" s="4105">
        <f>IFERROR(G175/G$117,0)</f>
        <v/>
      </c>
      <c r="BD175" s="4105">
        <f>IFERROR(H175/H$117,0)</f>
        <v/>
      </c>
      <c r="BE175" s="4105">
        <f>IFERROR(I175/I$117,0)</f>
        <v/>
      </c>
      <c r="BF175" s="4105">
        <f>IFERROR(J175/J$117,0)</f>
        <v/>
      </c>
      <c r="BG175" s="4105">
        <f>IFERROR(K175/K$117,0)</f>
        <v/>
      </c>
      <c r="BH175" s="4105">
        <f>IFERROR(L175/L$117,0)</f>
        <v/>
      </c>
      <c r="BI175" s="4105">
        <f>IFERROR(M175/M$117,0)</f>
        <v/>
      </c>
      <c r="BJ175" s="4105">
        <f>IFERROR(N175/N$117,0)</f>
        <v/>
      </c>
      <c r="BK175" s="4105">
        <f>IFERROR(O175/O$117,0)</f>
        <v/>
      </c>
      <c r="BL175" s="4105">
        <f>IFERROR(P175/P$117,0)</f>
        <v/>
      </c>
      <c r="BM175" s="4106">
        <f>IFERROR(Q175/Q$117,0)</f>
        <v/>
      </c>
      <c r="BN175" s="4105">
        <f>IFERROR(R175/R$117,0)</f>
        <v/>
      </c>
      <c r="BO175" s="4105">
        <f>IFERROR(S175/S$117,0)</f>
        <v/>
      </c>
      <c r="BP175" s="4105">
        <f>IFERROR(T175/T$117,0)</f>
        <v/>
      </c>
      <c r="BQ175" s="4105">
        <f>IFERROR(U175/U$117,0)</f>
        <v/>
      </c>
      <c r="BR175" s="4105">
        <f>IFERROR(V175/V$117,0)</f>
        <v/>
      </c>
      <c r="BS175" s="4105">
        <f>IFERROR(W175/W$117,0)</f>
        <v/>
      </c>
      <c r="BT175" s="4105">
        <f>IFERROR(X175/X$117,0)</f>
        <v/>
      </c>
      <c r="BU175" s="4105">
        <f>IFERROR(Y175/Y$117,0)</f>
        <v/>
      </c>
      <c r="BV175" s="4105">
        <f>IFERROR(Z175/Z$117,0)</f>
        <v/>
      </c>
      <c r="BW175" s="4105">
        <f>IFERROR(AA175/AA$117,0)</f>
        <v/>
      </c>
      <c r="BX175" s="4105">
        <f>IFERROR(AB175/AB$117,0)</f>
        <v/>
      </c>
      <c r="BY175" s="4106">
        <f>IFERROR(AC175/AC$117,0)</f>
        <v/>
      </c>
      <c r="BZ175" s="4105">
        <f>IFERROR(AD175/AD$117,0)</f>
        <v/>
      </c>
      <c r="CA175" s="4105">
        <f>IFERROR(AE175/AE$117,0)</f>
        <v/>
      </c>
      <c r="CB175" s="4105">
        <f>IFERROR(AF175/AF$117,0)</f>
        <v/>
      </c>
      <c r="CC175" s="4105">
        <f>IFERROR(AG175/AG$117,0)</f>
        <v/>
      </c>
      <c r="CD175" s="4105">
        <f>IFERROR(AH175/AH$117,0)</f>
        <v/>
      </c>
      <c r="CE175" s="4105">
        <f>IFERROR(AI175/AI$117,0)</f>
        <v/>
      </c>
      <c r="CF175" s="4105">
        <f>IFERROR(AJ175/AJ$117,0)</f>
        <v/>
      </c>
      <c r="CG175" s="4105">
        <f>IFERROR(AK175/AK$117,0)</f>
        <v/>
      </c>
      <c r="CH175" s="4105">
        <f>IFERROR(AL175/AL$117,0)</f>
        <v/>
      </c>
      <c r="CI175" s="4105">
        <f>IFERROR(AM175/AM$117,0)</f>
        <v/>
      </c>
      <c r="CJ175" s="4105">
        <f>IFERROR(AN175/AN$117,0)</f>
        <v/>
      </c>
      <c r="CK175" s="4106">
        <f>IFERROR(AO175/AO$117,0)</f>
        <v/>
      </c>
      <c r="CL175" s="4105">
        <f>IFERROR(AP175/AP$117,0)</f>
        <v/>
      </c>
      <c r="CM175" s="4105">
        <f>IFERROR(AQ175/AQ$117,0)</f>
        <v/>
      </c>
      <c r="CN175" s="4105">
        <f>IFERROR(AR175/AR$117,0)</f>
        <v/>
      </c>
      <c r="CO175" s="4105">
        <f>IFERROR(AS175/AS$117,0)</f>
        <v/>
      </c>
      <c r="CP175" s="4105">
        <f>IFERROR(AT175/AT$117,0)</f>
        <v/>
      </c>
      <c r="CQ175" s="4107">
        <f>IFERROR(AU175/AU$117,0)</f>
        <v/>
      </c>
      <c r="CR175" s="4105">
        <f>IFERROR(AV175/AV$117,0)</f>
        <v/>
      </c>
      <c r="CS175" s="4105">
        <f>IFERROR(AW175/AW$117,0)</f>
        <v/>
      </c>
      <c r="CT175" s="4105">
        <f>IFERROR(AX175/AX$117,0)</f>
        <v/>
      </c>
      <c r="CU175" s="4105">
        <f>IFERROR(AY175/AY$117,0)</f>
        <v/>
      </c>
      <c r="CV175" s="4105">
        <f>IFERROR(AZ175/AZ$117,0)</f>
        <v/>
      </c>
      <c r="CW175" s="3737" t="n"/>
      <c r="CX175" s="4102" t="n">
        <v>-115.07863</v>
      </c>
    </row>
    <row r="176" hidden="1" outlineLevel="1" collapsed="1" ht="12" customFormat="1" customHeight="1" s="3737">
      <c r="A176" s="4059" t="n"/>
      <c r="B176" s="4060" t="n"/>
      <c r="C176" s="4092" t="inlineStr">
        <is>
          <t>Salary compensation</t>
        </is>
      </c>
      <c r="D176" s="4093" t="n"/>
      <c r="E176" s="4093" t="n"/>
      <c r="F176" s="4094" t="n"/>
      <c r="G176" s="4094" t="n"/>
      <c r="H176" s="4094" t="n"/>
      <c r="I176" s="4094" t="n"/>
      <c r="J176" s="4094" t="n"/>
      <c r="K176" s="4094" t="n"/>
      <c r="L176" s="4094" t="n"/>
      <c r="M176" s="4094" t="n"/>
      <c r="N176" s="4094" t="n"/>
      <c r="O176" s="4094" t="n"/>
      <c r="P176" s="4094" t="n"/>
      <c r="Q176" s="4095" t="n"/>
      <c r="R176" s="4094" t="n"/>
      <c r="S176" s="4094" t="n"/>
      <c r="T176" s="4094" t="n"/>
      <c r="U176" s="4094" t="n"/>
      <c r="V176" s="4094" t="n"/>
      <c r="W176" s="4094" t="n"/>
      <c r="X176" s="4094" t="n"/>
      <c r="Y176" s="4094" t="n"/>
      <c r="Z176" s="4094" t="n"/>
      <c r="AA176" s="4094" t="n"/>
      <c r="AB176" s="4094" t="n"/>
      <c r="AC176" s="4095" t="n"/>
      <c r="AD176" s="4094" t="n"/>
      <c r="AE176" s="4094" t="n"/>
      <c r="AF176" s="4094" t="n"/>
      <c r="AG176" s="4094" t="n"/>
      <c r="AH176" s="4094" t="n"/>
      <c r="AI176" s="4094" t="n"/>
      <c r="AJ176" s="4094" t="n"/>
      <c r="AK176" s="4094" t="n"/>
      <c r="AL176" s="4094" t="n"/>
      <c r="AM176" s="4094" t="n"/>
      <c r="AN176" s="4094" t="n"/>
      <c r="AO176" s="4095" t="n"/>
      <c r="AP176" s="4094">
        <f>SUM(AP172:AP175)</f>
        <v/>
      </c>
      <c r="AQ176" s="4094">
        <f>SUM(AQ172:AQ175)</f>
        <v/>
      </c>
      <c r="AR176" s="4094">
        <f>SUM(AR172:AR175)</f>
        <v/>
      </c>
      <c r="AS176" s="4094">
        <f>SUM(AS172:AS175)</f>
        <v/>
      </c>
      <c r="AT176" s="4094">
        <f>SUM(AT172:AT175)</f>
        <v/>
      </c>
      <c r="AU176" s="4096">
        <f>SUM(AU172:AU175)</f>
        <v/>
      </c>
      <c r="AV176" s="4094">
        <f>SUM(AV172:AV175)</f>
        <v/>
      </c>
      <c r="AW176" s="4094">
        <f>SUM(AW172:AW175)</f>
        <v/>
      </c>
      <c r="AX176" s="4094">
        <f>SUM(AX172:AX175)</f>
        <v/>
      </c>
      <c r="AY176" s="4094">
        <f>SUM(AY172:AY175)</f>
        <v/>
      </c>
      <c r="AZ176" s="4094">
        <f>SUM(AZ172:AZ175)</f>
        <v/>
      </c>
      <c r="BA176" s="3737" t="n"/>
      <c r="BB176" s="4097">
        <f>IFERROR(F176/F$117,0)</f>
        <v/>
      </c>
      <c r="BC176" s="4097">
        <f>IFERROR(G176/G$117,0)</f>
        <v/>
      </c>
      <c r="BD176" s="4097">
        <f>IFERROR(H176/H$117,0)</f>
        <v/>
      </c>
      <c r="BE176" s="4097">
        <f>IFERROR(I176/I$117,0)</f>
        <v/>
      </c>
      <c r="BF176" s="4097">
        <f>IFERROR(J176/J$117,0)</f>
        <v/>
      </c>
      <c r="BG176" s="4097">
        <f>IFERROR(K176/K$117,0)</f>
        <v/>
      </c>
      <c r="BH176" s="4097">
        <f>IFERROR(L176/L$117,0)</f>
        <v/>
      </c>
      <c r="BI176" s="4097">
        <f>IFERROR(M176/M$117,0)</f>
        <v/>
      </c>
      <c r="BJ176" s="4097">
        <f>IFERROR(N176/N$117,0)</f>
        <v/>
      </c>
      <c r="BK176" s="4097">
        <f>IFERROR(O176/O$117,0)</f>
        <v/>
      </c>
      <c r="BL176" s="4097">
        <f>IFERROR(P176/P$117,0)</f>
        <v/>
      </c>
      <c r="BM176" s="4098">
        <f>IFERROR(Q176/Q$117,0)</f>
        <v/>
      </c>
      <c r="BN176" s="4097">
        <f>IFERROR(R176/R$117,0)</f>
        <v/>
      </c>
      <c r="BO176" s="4097">
        <f>IFERROR(S176/S$117,0)</f>
        <v/>
      </c>
      <c r="BP176" s="4097">
        <f>IFERROR(T176/T$117,0)</f>
        <v/>
      </c>
      <c r="BQ176" s="4097">
        <f>IFERROR(U176/U$117,0)</f>
        <v/>
      </c>
      <c r="BR176" s="4097">
        <f>IFERROR(V176/V$117,0)</f>
        <v/>
      </c>
      <c r="BS176" s="4097">
        <f>IFERROR(W176/W$117,0)</f>
        <v/>
      </c>
      <c r="BT176" s="4097">
        <f>IFERROR(X176/X$117,0)</f>
        <v/>
      </c>
      <c r="BU176" s="4097">
        <f>IFERROR(Y176/Y$117,0)</f>
        <v/>
      </c>
      <c r="BV176" s="4097">
        <f>IFERROR(Z176/Z$117,0)</f>
        <v/>
      </c>
      <c r="BW176" s="4097">
        <f>IFERROR(AA176/AA$117,0)</f>
        <v/>
      </c>
      <c r="BX176" s="4097">
        <f>IFERROR(AB176/AB$117,0)</f>
        <v/>
      </c>
      <c r="BY176" s="4098">
        <f>IFERROR(AC176/AC$117,0)</f>
        <v/>
      </c>
      <c r="BZ176" s="4097">
        <f>IFERROR(AD176/AD$117,0)</f>
        <v/>
      </c>
      <c r="CA176" s="4097">
        <f>IFERROR(AE176/AE$117,0)</f>
        <v/>
      </c>
      <c r="CB176" s="4097">
        <f>IFERROR(AF176/AF$117,0)</f>
        <v/>
      </c>
      <c r="CC176" s="4097">
        <f>IFERROR(AG176/AG$117,0)</f>
        <v/>
      </c>
      <c r="CD176" s="4097">
        <f>IFERROR(AH176/AH$117,0)</f>
        <v/>
      </c>
      <c r="CE176" s="4097">
        <f>IFERROR(AI176/AI$117,0)</f>
        <v/>
      </c>
      <c r="CF176" s="4097">
        <f>IFERROR(AJ176/AJ$117,0)</f>
        <v/>
      </c>
      <c r="CG176" s="4097">
        <f>IFERROR(AK176/AK$117,0)</f>
        <v/>
      </c>
      <c r="CH176" s="4097">
        <f>IFERROR(AL176/AL$117,0)</f>
        <v/>
      </c>
      <c r="CI176" s="4097">
        <f>IFERROR(AM176/AM$117,0)</f>
        <v/>
      </c>
      <c r="CJ176" s="4097">
        <f>IFERROR(AN176/AN$117,0)</f>
        <v/>
      </c>
      <c r="CK176" s="4098">
        <f>IFERROR(AO176/AO$117,0)</f>
        <v/>
      </c>
      <c r="CL176" s="4097">
        <f>IFERROR(AP176/AP$117,0)</f>
        <v/>
      </c>
      <c r="CM176" s="4097">
        <f>IFERROR(AQ176/AQ$117,0)</f>
        <v/>
      </c>
      <c r="CN176" s="4097">
        <f>IFERROR(AR176/AR$117,0)</f>
        <v/>
      </c>
      <c r="CO176" s="4097">
        <f>IFERROR(AS176/AS$117,0)</f>
        <v/>
      </c>
      <c r="CP176" s="4097">
        <f>IFERROR(AT176/AT$117,0)</f>
        <v/>
      </c>
      <c r="CQ176" s="4099">
        <f>IFERROR(AU176/AU$117,0)</f>
        <v/>
      </c>
      <c r="CR176" s="4097">
        <f>IFERROR(AV176/AV$117,0)</f>
        <v/>
      </c>
      <c r="CS176" s="4097">
        <f>IFERROR(AW176/AW$117,0)</f>
        <v/>
      </c>
      <c r="CT176" s="4097">
        <f>IFERROR(AX176/AX$117,0)</f>
        <v/>
      </c>
      <c r="CU176" s="4097">
        <f>IFERROR(AY176/AY$117,0)</f>
        <v/>
      </c>
      <c r="CV176" s="4097">
        <f>IFERROR(AZ176/AZ$117,0)</f>
        <v/>
      </c>
      <c r="CW176" s="3737" t="n"/>
      <c r="CX176" s="4094">
        <f>SUM(CX172:CX175)</f>
        <v/>
      </c>
    </row>
    <row r="177" hidden="1" outlineLevel="2" ht="12" customFormat="1" customHeight="1" s="3737">
      <c r="A177" s="4059" t="n"/>
      <c r="B177" s="4060" t="n"/>
      <c r="C177" s="4127" t="inlineStr">
        <is>
          <t>Bonus - short term</t>
        </is>
      </c>
      <c r="D177" s="4093" t="n">
        <v>531204</v>
      </c>
      <c r="E177" s="4093">
        <f>CONCATENATE(D177," - ",C177)</f>
        <v/>
      </c>
      <c r="F177" s="4094" t="n"/>
      <c r="G177" s="4094" t="n"/>
      <c r="H177" s="4094" t="n"/>
      <c r="I177" s="4094" t="n"/>
      <c r="J177" s="4094" t="n"/>
      <c r="K177" s="4094" t="n"/>
      <c r="L177" s="4094" t="n"/>
      <c r="M177" s="4094" t="n"/>
      <c r="N177" s="4094" t="n"/>
      <c r="O177" s="4094" t="n"/>
      <c r="P177" s="4094" t="n"/>
      <c r="Q177" s="4095" t="n"/>
      <c r="R177" s="4094" t="n"/>
      <c r="S177" s="4094" t="n"/>
      <c r="T177" s="4094" t="n"/>
      <c r="U177" s="4094" t="n"/>
      <c r="V177" s="4094" t="n"/>
      <c r="W177" s="4094" t="n"/>
      <c r="X177" s="4094" t="n"/>
      <c r="Y177" s="4094" t="n"/>
      <c r="Z177" s="4094" t="n"/>
      <c r="AA177" s="4094" t="n"/>
      <c r="AB177" s="4094" t="n"/>
      <c r="AC177" s="4095" t="n"/>
      <c r="AD177" s="4094" t="n"/>
      <c r="AE177" s="4094" t="n"/>
      <c r="AF177" s="4094" t="n"/>
      <c r="AG177" s="4094" t="n"/>
      <c r="AH177" s="4094" t="n"/>
      <c r="AI177" s="4094" t="n"/>
      <c r="AJ177" s="4094" t="n"/>
      <c r="AK177" s="4094" t="n"/>
      <c r="AL177" s="4094" t="n"/>
      <c r="AM177" s="4094" t="n"/>
      <c r="AN177" s="4094" t="n"/>
      <c r="AO177" s="4095" t="n"/>
      <c r="AP177" s="4094" t="n">
        <v>-101.337</v>
      </c>
      <c r="AQ177" s="4094" t="n">
        <v>-84.453</v>
      </c>
      <c r="AR177" s="4094" t="n">
        <v>-118.231</v>
      </c>
      <c r="AS177" s="4094" t="n">
        <v>-135.12</v>
      </c>
      <c r="AT177" s="4094" t="n">
        <v>-135.12</v>
      </c>
      <c r="AU177" s="4096" t="n">
        <v>-142.69602</v>
      </c>
      <c r="AV177" s="4094">
        <f>SUM(F177:Q177)</f>
        <v/>
      </c>
      <c r="AW177" s="4094">
        <f>SUM(R177:AC177)</f>
        <v/>
      </c>
      <c r="AX177" s="4094">
        <f>SUM(AD177:AO177)</f>
        <v/>
      </c>
      <c r="AY177" s="4094">
        <f>SUM(AH177:AS177)</f>
        <v/>
      </c>
      <c r="AZ177" s="4094">
        <f>SUM(AJ177:AU177)</f>
        <v/>
      </c>
      <c r="BA177" s="3737" t="n"/>
      <c r="BB177" s="4097">
        <f>IFERROR(F177/F$117,0)</f>
        <v/>
      </c>
      <c r="BC177" s="4097">
        <f>IFERROR(G177/G$117,0)</f>
        <v/>
      </c>
      <c r="BD177" s="4097">
        <f>IFERROR(H177/H$117,0)</f>
        <v/>
      </c>
      <c r="BE177" s="4097">
        <f>IFERROR(I177/I$117,0)</f>
        <v/>
      </c>
      <c r="BF177" s="4097">
        <f>IFERROR(J177/J$117,0)</f>
        <v/>
      </c>
      <c r="BG177" s="4097">
        <f>IFERROR(K177/K$117,0)</f>
        <v/>
      </c>
      <c r="BH177" s="4097">
        <f>IFERROR(L177/L$117,0)</f>
        <v/>
      </c>
      <c r="BI177" s="4097">
        <f>IFERROR(M177/M$117,0)</f>
        <v/>
      </c>
      <c r="BJ177" s="4097">
        <f>IFERROR(N177/N$117,0)</f>
        <v/>
      </c>
      <c r="BK177" s="4097">
        <f>IFERROR(O177/O$117,0)</f>
        <v/>
      </c>
      <c r="BL177" s="4097">
        <f>IFERROR(P177/P$117,0)</f>
        <v/>
      </c>
      <c r="BM177" s="4098">
        <f>IFERROR(Q177/Q$117,0)</f>
        <v/>
      </c>
      <c r="BN177" s="4097">
        <f>IFERROR(R177/R$117,0)</f>
        <v/>
      </c>
      <c r="BO177" s="4097">
        <f>IFERROR(S177/S$117,0)</f>
        <v/>
      </c>
      <c r="BP177" s="4097">
        <f>IFERROR(T177/T$117,0)</f>
        <v/>
      </c>
      <c r="BQ177" s="4097">
        <f>IFERROR(U177/U$117,0)</f>
        <v/>
      </c>
      <c r="BR177" s="4097">
        <f>IFERROR(V177/V$117,0)</f>
        <v/>
      </c>
      <c r="BS177" s="4097">
        <f>IFERROR(W177/W$117,0)</f>
        <v/>
      </c>
      <c r="BT177" s="4097">
        <f>IFERROR(X177/X$117,0)</f>
        <v/>
      </c>
      <c r="BU177" s="4097">
        <f>IFERROR(Y177/Y$117,0)</f>
        <v/>
      </c>
      <c r="BV177" s="4097">
        <f>IFERROR(Z177/Z$117,0)</f>
        <v/>
      </c>
      <c r="BW177" s="4097">
        <f>IFERROR(AA177/AA$117,0)</f>
        <v/>
      </c>
      <c r="BX177" s="4097">
        <f>IFERROR(AB177/AB$117,0)</f>
        <v/>
      </c>
      <c r="BY177" s="4098">
        <f>IFERROR(AC177/AC$117,0)</f>
        <v/>
      </c>
      <c r="BZ177" s="4097">
        <f>IFERROR(AD177/AD$117,0)</f>
        <v/>
      </c>
      <c r="CA177" s="4097">
        <f>IFERROR(AE177/AE$117,0)</f>
        <v/>
      </c>
      <c r="CB177" s="4097">
        <f>IFERROR(AF177/AF$117,0)</f>
        <v/>
      </c>
      <c r="CC177" s="4097">
        <f>IFERROR(AG177/AG$117,0)</f>
        <v/>
      </c>
      <c r="CD177" s="4097">
        <f>IFERROR(AH177/AH$117,0)</f>
        <v/>
      </c>
      <c r="CE177" s="4097">
        <f>IFERROR(AI177/AI$117,0)</f>
        <v/>
      </c>
      <c r="CF177" s="4097">
        <f>IFERROR(AJ177/AJ$117,0)</f>
        <v/>
      </c>
      <c r="CG177" s="4097">
        <f>IFERROR(AK177/AK$117,0)</f>
        <v/>
      </c>
      <c r="CH177" s="4097">
        <f>IFERROR(AL177/AL$117,0)</f>
        <v/>
      </c>
      <c r="CI177" s="4097">
        <f>IFERROR(AM177/AM$117,0)</f>
        <v/>
      </c>
      <c r="CJ177" s="4097">
        <f>IFERROR(AN177/AN$117,0)</f>
        <v/>
      </c>
      <c r="CK177" s="4098">
        <f>IFERROR(AO177/AO$117,0)</f>
        <v/>
      </c>
      <c r="CL177" s="4097">
        <f>IFERROR(AP177/AP$117,0)</f>
        <v/>
      </c>
      <c r="CM177" s="4097">
        <f>IFERROR(AQ177/AQ$117,0)</f>
        <v/>
      </c>
      <c r="CN177" s="4097">
        <f>IFERROR(AR177/AR$117,0)</f>
        <v/>
      </c>
      <c r="CO177" s="4097">
        <f>IFERROR(AS177/AS$117,0)</f>
        <v/>
      </c>
      <c r="CP177" s="4097">
        <f>IFERROR(AT177/AT$117,0)</f>
        <v/>
      </c>
      <c r="CQ177" s="4099">
        <f>IFERROR(AU177/AU$117,0)</f>
        <v/>
      </c>
      <c r="CR177" s="4097">
        <f>IFERROR(AV177/AV$117,0)</f>
        <v/>
      </c>
      <c r="CS177" s="4097">
        <f>IFERROR(AW177/AW$117,0)</f>
        <v/>
      </c>
      <c r="CT177" s="4097">
        <f>IFERROR(AX177/AX$117,0)</f>
        <v/>
      </c>
      <c r="CU177" s="4097">
        <f>IFERROR(AY177/AY$117,0)</f>
        <v/>
      </c>
      <c r="CV177" s="4097">
        <f>IFERROR(AZ177/AZ$117,0)</f>
        <v/>
      </c>
      <c r="CW177" s="3737" t="n"/>
      <c r="CX177" s="4094" t="n">
        <v>-1096.535</v>
      </c>
    </row>
    <row r="178" hidden="1" outlineLevel="2" ht="12" customFormat="1" customHeight="1" s="3737">
      <c r="A178" s="4059" t="n"/>
      <c r="B178" s="4060" t="n"/>
      <c r="C178" s="4128" t="inlineStr">
        <is>
          <t>Bonus - long term incentive- corp</t>
        </is>
      </c>
      <c r="D178" s="4101" t="n">
        <v>531209</v>
      </c>
      <c r="E178" s="4101">
        <f>CONCATENATE(D178," - ",C178)</f>
        <v/>
      </c>
      <c r="F178" s="4102" t="n"/>
      <c r="G178" s="4102" t="n"/>
      <c r="H178" s="4102" t="n"/>
      <c r="I178" s="4102" t="n"/>
      <c r="J178" s="4102" t="n"/>
      <c r="K178" s="4102" t="n"/>
      <c r="L178" s="4102" t="n"/>
      <c r="M178" s="4102" t="n"/>
      <c r="N178" s="4102" t="n"/>
      <c r="O178" s="4102" t="n"/>
      <c r="P178" s="4102" t="n"/>
      <c r="Q178" s="4103" t="n"/>
      <c r="R178" s="4102" t="n"/>
      <c r="S178" s="4102" t="n"/>
      <c r="T178" s="4102" t="n"/>
      <c r="U178" s="4102" t="n"/>
      <c r="V178" s="4102" t="n"/>
      <c r="W178" s="4102" t="n"/>
      <c r="X178" s="4102" t="n"/>
      <c r="Y178" s="4102" t="n"/>
      <c r="Z178" s="4102" t="n"/>
      <c r="AA178" s="4102" t="n"/>
      <c r="AB178" s="4102" t="n"/>
      <c r="AC178" s="4103" t="n"/>
      <c r="AD178" s="4102" t="n"/>
      <c r="AE178" s="4102" t="n"/>
      <c r="AF178" s="4102" t="n"/>
      <c r="AG178" s="4102" t="n"/>
      <c r="AH178" s="4102" t="n"/>
      <c r="AI178" s="4102" t="n"/>
      <c r="AJ178" s="4102" t="n"/>
      <c r="AK178" s="4102" t="n"/>
      <c r="AL178" s="4102" t="n"/>
      <c r="AM178" s="4102" t="n"/>
      <c r="AN178" s="4102" t="n"/>
      <c r="AO178" s="4103" t="n"/>
      <c r="AP178" s="4102" t="n">
        <v>-34.09</v>
      </c>
      <c r="AQ178" s="4102" t="n">
        <v>-34.09</v>
      </c>
      <c r="AR178" s="4102" t="n">
        <v>-38.96</v>
      </c>
      <c r="AS178" s="4102" t="n">
        <v>-36</v>
      </c>
      <c r="AT178" s="4102" t="n">
        <v>-32</v>
      </c>
      <c r="AU178" s="4104" t="n">
        <v>-41</v>
      </c>
      <c r="AV178" s="4102">
        <f>SUM(F178:Q178)</f>
        <v/>
      </c>
      <c r="AW178" s="4102">
        <f>SUM(R178:AC178)</f>
        <v/>
      </c>
      <c r="AX178" s="4102">
        <f>SUM(AD178:AO178)</f>
        <v/>
      </c>
      <c r="AY178" s="4102">
        <f>SUM(AH178:AS178)</f>
        <v/>
      </c>
      <c r="AZ178" s="4102">
        <f>SUM(AJ178:AU178)</f>
        <v/>
      </c>
      <c r="BA178" s="3737" t="n"/>
      <c r="BB178" s="4105">
        <f>IFERROR(F178/F$117,0)</f>
        <v/>
      </c>
      <c r="BC178" s="4105">
        <f>IFERROR(G178/G$117,0)</f>
        <v/>
      </c>
      <c r="BD178" s="4105">
        <f>IFERROR(H178/H$117,0)</f>
        <v/>
      </c>
      <c r="BE178" s="4105">
        <f>IFERROR(I178/I$117,0)</f>
        <v/>
      </c>
      <c r="BF178" s="4105">
        <f>IFERROR(J178/J$117,0)</f>
        <v/>
      </c>
      <c r="BG178" s="4105">
        <f>IFERROR(K178/K$117,0)</f>
        <v/>
      </c>
      <c r="BH178" s="4105">
        <f>IFERROR(L178/L$117,0)</f>
        <v/>
      </c>
      <c r="BI178" s="4105">
        <f>IFERROR(M178/M$117,0)</f>
        <v/>
      </c>
      <c r="BJ178" s="4105">
        <f>IFERROR(N178/N$117,0)</f>
        <v/>
      </c>
      <c r="BK178" s="4105">
        <f>IFERROR(O178/O$117,0)</f>
        <v/>
      </c>
      <c r="BL178" s="4105">
        <f>IFERROR(P178/P$117,0)</f>
        <v/>
      </c>
      <c r="BM178" s="4106">
        <f>IFERROR(Q178/Q$117,0)</f>
        <v/>
      </c>
      <c r="BN178" s="4105">
        <f>IFERROR(R178/R$117,0)</f>
        <v/>
      </c>
      <c r="BO178" s="4105">
        <f>IFERROR(S178/S$117,0)</f>
        <v/>
      </c>
      <c r="BP178" s="4105">
        <f>IFERROR(T178/T$117,0)</f>
        <v/>
      </c>
      <c r="BQ178" s="4105">
        <f>IFERROR(U178/U$117,0)</f>
        <v/>
      </c>
      <c r="BR178" s="4105">
        <f>IFERROR(V178/V$117,0)</f>
        <v/>
      </c>
      <c r="BS178" s="4105">
        <f>IFERROR(W178/W$117,0)</f>
        <v/>
      </c>
      <c r="BT178" s="4105">
        <f>IFERROR(X178/X$117,0)</f>
        <v/>
      </c>
      <c r="BU178" s="4105">
        <f>IFERROR(Y178/Y$117,0)</f>
        <v/>
      </c>
      <c r="BV178" s="4105">
        <f>IFERROR(Z178/Z$117,0)</f>
        <v/>
      </c>
      <c r="BW178" s="4105">
        <f>IFERROR(AA178/AA$117,0)</f>
        <v/>
      </c>
      <c r="BX178" s="4105">
        <f>IFERROR(AB178/AB$117,0)</f>
        <v/>
      </c>
      <c r="BY178" s="4106">
        <f>IFERROR(AC178/AC$117,0)</f>
        <v/>
      </c>
      <c r="BZ178" s="4105">
        <f>IFERROR(AD178/AD$117,0)</f>
        <v/>
      </c>
      <c r="CA178" s="4105">
        <f>IFERROR(AE178/AE$117,0)</f>
        <v/>
      </c>
      <c r="CB178" s="4105">
        <f>IFERROR(AF178/AF$117,0)</f>
        <v/>
      </c>
      <c r="CC178" s="4105">
        <f>IFERROR(AG178/AG$117,0)</f>
        <v/>
      </c>
      <c r="CD178" s="4105">
        <f>IFERROR(AH178/AH$117,0)</f>
        <v/>
      </c>
      <c r="CE178" s="4105">
        <f>IFERROR(AI178/AI$117,0)</f>
        <v/>
      </c>
      <c r="CF178" s="4105">
        <f>IFERROR(AJ178/AJ$117,0)</f>
        <v/>
      </c>
      <c r="CG178" s="4105">
        <f>IFERROR(AK178/AK$117,0)</f>
        <v/>
      </c>
      <c r="CH178" s="4105">
        <f>IFERROR(AL178/AL$117,0)</f>
        <v/>
      </c>
      <c r="CI178" s="4105">
        <f>IFERROR(AM178/AM$117,0)</f>
        <v/>
      </c>
      <c r="CJ178" s="4105">
        <f>IFERROR(AN178/AN$117,0)</f>
        <v/>
      </c>
      <c r="CK178" s="4106">
        <f>IFERROR(AO178/AO$117,0)</f>
        <v/>
      </c>
      <c r="CL178" s="4105">
        <f>IFERROR(AP178/AP$117,0)</f>
        <v/>
      </c>
      <c r="CM178" s="4105">
        <f>IFERROR(AQ178/AQ$117,0)</f>
        <v/>
      </c>
      <c r="CN178" s="4105">
        <f>IFERROR(AR178/AR$117,0)</f>
        <v/>
      </c>
      <c r="CO178" s="4105">
        <f>IFERROR(AS178/AS$117,0)</f>
        <v/>
      </c>
      <c r="CP178" s="4105">
        <f>IFERROR(AT178/AT$117,0)</f>
        <v/>
      </c>
      <c r="CQ178" s="4107">
        <f>IFERROR(AU178/AU$117,0)</f>
        <v/>
      </c>
      <c r="CR178" s="4105">
        <f>IFERROR(AV178/AV$117,0)</f>
        <v/>
      </c>
      <c r="CS178" s="4105">
        <f>IFERROR(AW178/AW$117,0)</f>
        <v/>
      </c>
      <c r="CT178" s="4105">
        <f>IFERROR(AX178/AX$117,0)</f>
        <v/>
      </c>
      <c r="CU178" s="4105">
        <f>IFERROR(AY178/AY$117,0)</f>
        <v/>
      </c>
      <c r="CV178" s="4105">
        <f>IFERROR(AZ178/AZ$117,0)</f>
        <v/>
      </c>
      <c r="CW178" s="3737" t="n"/>
      <c r="CX178" s="4102" t="n">
        <v>-169</v>
      </c>
    </row>
    <row r="179" hidden="1" outlineLevel="1" collapsed="1" ht="12" customFormat="1" customHeight="1" s="3737">
      <c r="A179" s="4059" t="n"/>
      <c r="B179" s="4060" t="n"/>
      <c r="C179" s="4092" t="inlineStr">
        <is>
          <t>Bonus compensation</t>
        </is>
      </c>
      <c r="D179" s="4093" t="n"/>
      <c r="E179" s="4093" t="n"/>
      <c r="F179" s="4094" t="n"/>
      <c r="G179" s="4094" t="n"/>
      <c r="H179" s="4094" t="n"/>
      <c r="I179" s="4094" t="n"/>
      <c r="J179" s="4094" t="n"/>
      <c r="K179" s="4094" t="n"/>
      <c r="L179" s="4094" t="n"/>
      <c r="M179" s="4094" t="n"/>
      <c r="N179" s="4094" t="n"/>
      <c r="O179" s="4094" t="n"/>
      <c r="P179" s="4094" t="n"/>
      <c r="Q179" s="4095" t="n"/>
      <c r="R179" s="4094" t="n"/>
      <c r="S179" s="4094" t="n"/>
      <c r="T179" s="4094" t="n"/>
      <c r="U179" s="4094" t="n"/>
      <c r="V179" s="4094" t="n"/>
      <c r="W179" s="4094" t="n"/>
      <c r="X179" s="4094" t="n"/>
      <c r="Y179" s="4094" t="n"/>
      <c r="Z179" s="4094" t="n"/>
      <c r="AA179" s="4094" t="n"/>
      <c r="AB179" s="4094" t="n"/>
      <c r="AC179" s="4095" t="n"/>
      <c r="AD179" s="4094" t="n"/>
      <c r="AE179" s="4094" t="n"/>
      <c r="AF179" s="4094" t="n"/>
      <c r="AG179" s="4094" t="n"/>
      <c r="AH179" s="4094" t="n"/>
      <c r="AI179" s="4094" t="n"/>
      <c r="AJ179" s="4094" t="n"/>
      <c r="AK179" s="4094" t="n"/>
      <c r="AL179" s="4094" t="n"/>
      <c r="AM179" s="4094" t="n"/>
      <c r="AN179" s="4094" t="n"/>
      <c r="AO179" s="4095" t="n"/>
      <c r="AP179" s="4094">
        <f>SUM(AP177:AP178)</f>
        <v/>
      </c>
      <c r="AQ179" s="4094">
        <f>SUM(AQ177:AQ178)</f>
        <v/>
      </c>
      <c r="AR179" s="4094">
        <f>SUM(AR177:AR178)</f>
        <v/>
      </c>
      <c r="AS179" s="4094">
        <f>SUM(AS177:AS178)</f>
        <v/>
      </c>
      <c r="AT179" s="4094">
        <f>SUM(AT177:AT178)</f>
        <v/>
      </c>
      <c r="AU179" s="4096">
        <f>SUM(AU177:AU178)</f>
        <v/>
      </c>
      <c r="AV179" s="4094">
        <f>SUM(AV177:AV178)</f>
        <v/>
      </c>
      <c r="AW179" s="4094">
        <f>SUM(AW177:AW178)</f>
        <v/>
      </c>
      <c r="AX179" s="4094">
        <f>SUM(AX177:AX178)</f>
        <v/>
      </c>
      <c r="AY179" s="4094">
        <f>SUM(AY177:AY178)</f>
        <v/>
      </c>
      <c r="AZ179" s="4094">
        <f>SUM(AZ177:AZ178)</f>
        <v/>
      </c>
      <c r="BA179" s="3737" t="n"/>
      <c r="BB179" s="4097">
        <f>IFERROR(F179/F$117,0)</f>
        <v/>
      </c>
      <c r="BC179" s="4097">
        <f>IFERROR(G179/G$117,0)</f>
        <v/>
      </c>
      <c r="BD179" s="4097">
        <f>IFERROR(H179/H$117,0)</f>
        <v/>
      </c>
      <c r="BE179" s="4097">
        <f>IFERROR(I179/I$117,0)</f>
        <v/>
      </c>
      <c r="BF179" s="4097">
        <f>IFERROR(J179/J$117,0)</f>
        <v/>
      </c>
      <c r="BG179" s="4097">
        <f>IFERROR(K179/K$117,0)</f>
        <v/>
      </c>
      <c r="BH179" s="4097">
        <f>IFERROR(L179/L$117,0)</f>
        <v/>
      </c>
      <c r="BI179" s="4097">
        <f>IFERROR(M179/M$117,0)</f>
        <v/>
      </c>
      <c r="BJ179" s="4097">
        <f>IFERROR(N179/N$117,0)</f>
        <v/>
      </c>
      <c r="BK179" s="4097">
        <f>IFERROR(O179/O$117,0)</f>
        <v/>
      </c>
      <c r="BL179" s="4097">
        <f>IFERROR(P179/P$117,0)</f>
        <v/>
      </c>
      <c r="BM179" s="4098">
        <f>IFERROR(Q179/Q$117,0)</f>
        <v/>
      </c>
      <c r="BN179" s="4097">
        <f>IFERROR(R179/R$117,0)</f>
        <v/>
      </c>
      <c r="BO179" s="4097">
        <f>IFERROR(S179/S$117,0)</f>
        <v/>
      </c>
      <c r="BP179" s="4097">
        <f>IFERROR(T179/T$117,0)</f>
        <v/>
      </c>
      <c r="BQ179" s="4097">
        <f>IFERROR(U179/U$117,0)</f>
        <v/>
      </c>
      <c r="BR179" s="4097">
        <f>IFERROR(V179/V$117,0)</f>
        <v/>
      </c>
      <c r="BS179" s="4097">
        <f>IFERROR(W179/W$117,0)</f>
        <v/>
      </c>
      <c r="BT179" s="4097">
        <f>IFERROR(X179/X$117,0)</f>
        <v/>
      </c>
      <c r="BU179" s="4097">
        <f>IFERROR(Y179/Y$117,0)</f>
        <v/>
      </c>
      <c r="BV179" s="4097">
        <f>IFERROR(Z179/Z$117,0)</f>
        <v/>
      </c>
      <c r="BW179" s="4097">
        <f>IFERROR(AA179/AA$117,0)</f>
        <v/>
      </c>
      <c r="BX179" s="4097">
        <f>IFERROR(AB179/AB$117,0)</f>
        <v/>
      </c>
      <c r="BY179" s="4098">
        <f>IFERROR(AC179/AC$117,0)</f>
        <v/>
      </c>
      <c r="BZ179" s="4097">
        <f>IFERROR(AD179/AD$117,0)</f>
        <v/>
      </c>
      <c r="CA179" s="4097">
        <f>IFERROR(AE179/AE$117,0)</f>
        <v/>
      </c>
      <c r="CB179" s="4097">
        <f>IFERROR(AF179/AF$117,0)</f>
        <v/>
      </c>
      <c r="CC179" s="4097">
        <f>IFERROR(AG179/AG$117,0)</f>
        <v/>
      </c>
      <c r="CD179" s="4097">
        <f>IFERROR(AH179/AH$117,0)</f>
        <v/>
      </c>
      <c r="CE179" s="4097">
        <f>IFERROR(AI179/AI$117,0)</f>
        <v/>
      </c>
      <c r="CF179" s="4097">
        <f>IFERROR(AJ179/AJ$117,0)</f>
        <v/>
      </c>
      <c r="CG179" s="4097">
        <f>IFERROR(AK179/AK$117,0)</f>
        <v/>
      </c>
      <c r="CH179" s="4097">
        <f>IFERROR(AL179/AL$117,0)</f>
        <v/>
      </c>
      <c r="CI179" s="4097">
        <f>IFERROR(AM179/AM$117,0)</f>
        <v/>
      </c>
      <c r="CJ179" s="4097">
        <f>IFERROR(AN179/AN$117,0)</f>
        <v/>
      </c>
      <c r="CK179" s="4098">
        <f>IFERROR(AO179/AO$117,0)</f>
        <v/>
      </c>
      <c r="CL179" s="4097">
        <f>IFERROR(AP179/AP$117,0)</f>
        <v/>
      </c>
      <c r="CM179" s="4097">
        <f>IFERROR(AQ179/AQ$117,0)</f>
        <v/>
      </c>
      <c r="CN179" s="4097">
        <f>IFERROR(AR179/AR$117,0)</f>
        <v/>
      </c>
      <c r="CO179" s="4097">
        <f>IFERROR(AS179/AS$117,0)</f>
        <v/>
      </c>
      <c r="CP179" s="4097">
        <f>IFERROR(AT179/AT$117,0)</f>
        <v/>
      </c>
      <c r="CQ179" s="4099">
        <f>IFERROR(AU179/AU$117,0)</f>
        <v/>
      </c>
      <c r="CR179" s="4097">
        <f>IFERROR(AV179/AV$117,0)</f>
        <v/>
      </c>
      <c r="CS179" s="4097">
        <f>IFERROR(AW179/AW$117,0)</f>
        <v/>
      </c>
      <c r="CT179" s="4097">
        <f>IFERROR(AX179/AX$117,0)</f>
        <v/>
      </c>
      <c r="CU179" s="4097">
        <f>IFERROR(AY179/AY$117,0)</f>
        <v/>
      </c>
      <c r="CV179" s="4097">
        <f>IFERROR(AZ179/AZ$117,0)</f>
        <v/>
      </c>
      <c r="CW179" s="3737" t="n"/>
      <c r="CX179" s="4094">
        <f>SUM(CX177:CX178)</f>
        <v/>
      </c>
    </row>
    <row r="180" hidden="1" outlineLevel="2" ht="12" customFormat="1" customHeight="1" s="3737">
      <c r="A180" s="4059" t="n"/>
      <c r="B180" s="4060" t="n"/>
      <c r="C180" s="4127" t="inlineStr">
        <is>
          <t>Canada pension plan(cpp)expe</t>
        </is>
      </c>
      <c r="D180" s="4093" t="n">
        <v>533203</v>
      </c>
      <c r="E180" s="4093">
        <f>CONCATENATE(D180," - ",C180)</f>
        <v/>
      </c>
      <c r="F180" s="4094" t="n"/>
      <c r="G180" s="4094" t="n"/>
      <c r="H180" s="4094" t="n"/>
      <c r="I180" s="4094" t="n"/>
      <c r="J180" s="4094" t="n"/>
      <c r="K180" s="4094" t="n"/>
      <c r="L180" s="4094" t="n"/>
      <c r="M180" s="4094" t="n"/>
      <c r="N180" s="4094" t="n"/>
      <c r="O180" s="4094" t="n"/>
      <c r="P180" s="4094" t="n"/>
      <c r="Q180" s="4095" t="n"/>
      <c r="R180" s="4094" t="n"/>
      <c r="S180" s="4094" t="n"/>
      <c r="T180" s="4094" t="n"/>
      <c r="U180" s="4094" t="n"/>
      <c r="V180" s="4094" t="n"/>
      <c r="W180" s="4094" t="n"/>
      <c r="X180" s="4094" t="n"/>
      <c r="Y180" s="4094" t="n"/>
      <c r="Z180" s="4094" t="n"/>
      <c r="AA180" s="4094" t="n"/>
      <c r="AB180" s="4094" t="n"/>
      <c r="AC180" s="4095" t="n"/>
      <c r="AD180" s="4094" t="n"/>
      <c r="AE180" s="4094" t="n"/>
      <c r="AF180" s="4094" t="n"/>
      <c r="AG180" s="4094" t="n"/>
      <c r="AH180" s="4094" t="n"/>
      <c r="AI180" s="4094" t="n"/>
      <c r="AJ180" s="4094" t="n"/>
      <c r="AK180" s="4094" t="n"/>
      <c r="AL180" s="4094" t="n"/>
      <c r="AM180" s="4094" t="n"/>
      <c r="AN180" s="4094" t="n"/>
      <c r="AO180" s="4095" t="n"/>
      <c r="AP180" s="4094" t="n">
        <v>-53.20517</v>
      </c>
      <c r="AQ180" s="4094" t="n">
        <v>-129.12565</v>
      </c>
      <c r="AR180" s="4094" t="n">
        <v>-43.84274</v>
      </c>
      <c r="AS180" s="4094" t="n">
        <v>-41.88624</v>
      </c>
      <c r="AT180" s="4094" t="n">
        <v>-58.1101</v>
      </c>
      <c r="AU180" s="4096" t="n">
        <v>-34.34194</v>
      </c>
      <c r="AV180" s="4094">
        <f>SUM(F180:Q180)</f>
        <v/>
      </c>
      <c r="AW180" s="4094">
        <f>SUM(R180:AC180)</f>
        <v/>
      </c>
      <c r="AX180" s="4094">
        <f>SUM(AD180:AO180)</f>
        <v/>
      </c>
      <c r="AY180" s="4094">
        <f>SUM(AH180:AS180)</f>
        <v/>
      </c>
      <c r="AZ180" s="4094">
        <f>SUM(AJ180:AU180)</f>
        <v/>
      </c>
      <c r="BA180" s="3737" t="n"/>
      <c r="BB180" s="4097">
        <f>IFERROR(F180/F$117,0)</f>
        <v/>
      </c>
      <c r="BC180" s="4097">
        <f>IFERROR(G180/G$117,0)</f>
        <v/>
      </c>
      <c r="BD180" s="4097">
        <f>IFERROR(H180/H$117,0)</f>
        <v/>
      </c>
      <c r="BE180" s="4097">
        <f>IFERROR(I180/I$117,0)</f>
        <v/>
      </c>
      <c r="BF180" s="4097">
        <f>IFERROR(J180/J$117,0)</f>
        <v/>
      </c>
      <c r="BG180" s="4097">
        <f>IFERROR(K180/K$117,0)</f>
        <v/>
      </c>
      <c r="BH180" s="4097">
        <f>IFERROR(L180/L$117,0)</f>
        <v/>
      </c>
      <c r="BI180" s="4097">
        <f>IFERROR(M180/M$117,0)</f>
        <v/>
      </c>
      <c r="BJ180" s="4097">
        <f>IFERROR(N180/N$117,0)</f>
        <v/>
      </c>
      <c r="BK180" s="4097">
        <f>IFERROR(O180/O$117,0)</f>
        <v/>
      </c>
      <c r="BL180" s="4097">
        <f>IFERROR(P180/P$117,0)</f>
        <v/>
      </c>
      <c r="BM180" s="4098">
        <f>IFERROR(Q180/Q$117,0)</f>
        <v/>
      </c>
      <c r="BN180" s="4097">
        <f>IFERROR(R180/R$117,0)</f>
        <v/>
      </c>
      <c r="BO180" s="4097">
        <f>IFERROR(S180/S$117,0)</f>
        <v/>
      </c>
      <c r="BP180" s="4097">
        <f>IFERROR(T180/T$117,0)</f>
        <v/>
      </c>
      <c r="BQ180" s="4097">
        <f>IFERROR(U180/U$117,0)</f>
        <v/>
      </c>
      <c r="BR180" s="4097">
        <f>IFERROR(V180/V$117,0)</f>
        <v/>
      </c>
      <c r="BS180" s="4097">
        <f>IFERROR(W180/W$117,0)</f>
        <v/>
      </c>
      <c r="BT180" s="4097">
        <f>IFERROR(X180/X$117,0)</f>
        <v/>
      </c>
      <c r="BU180" s="4097">
        <f>IFERROR(Y180/Y$117,0)</f>
        <v/>
      </c>
      <c r="BV180" s="4097">
        <f>IFERROR(Z180/Z$117,0)</f>
        <v/>
      </c>
      <c r="BW180" s="4097">
        <f>IFERROR(AA180/AA$117,0)</f>
        <v/>
      </c>
      <c r="BX180" s="4097">
        <f>IFERROR(AB180/AB$117,0)</f>
        <v/>
      </c>
      <c r="BY180" s="4098">
        <f>IFERROR(AC180/AC$117,0)</f>
        <v/>
      </c>
      <c r="BZ180" s="4097">
        <f>IFERROR(AD180/AD$117,0)</f>
        <v/>
      </c>
      <c r="CA180" s="4097">
        <f>IFERROR(AE180/AE$117,0)</f>
        <v/>
      </c>
      <c r="CB180" s="4097">
        <f>IFERROR(AF180/AF$117,0)</f>
        <v/>
      </c>
      <c r="CC180" s="4097">
        <f>IFERROR(AG180/AG$117,0)</f>
        <v/>
      </c>
      <c r="CD180" s="4097">
        <f>IFERROR(AH180/AH$117,0)</f>
        <v/>
      </c>
      <c r="CE180" s="4097">
        <f>IFERROR(AI180/AI$117,0)</f>
        <v/>
      </c>
      <c r="CF180" s="4097">
        <f>IFERROR(AJ180/AJ$117,0)</f>
        <v/>
      </c>
      <c r="CG180" s="4097">
        <f>IFERROR(AK180/AK$117,0)</f>
        <v/>
      </c>
      <c r="CH180" s="4097">
        <f>IFERROR(AL180/AL$117,0)</f>
        <v/>
      </c>
      <c r="CI180" s="4097">
        <f>IFERROR(AM180/AM$117,0)</f>
        <v/>
      </c>
      <c r="CJ180" s="4097">
        <f>IFERROR(AN180/AN$117,0)</f>
        <v/>
      </c>
      <c r="CK180" s="4098">
        <f>IFERROR(AO180/AO$117,0)</f>
        <v/>
      </c>
      <c r="CL180" s="4097">
        <f>IFERROR(AP180/AP$117,0)</f>
        <v/>
      </c>
      <c r="CM180" s="4097">
        <f>IFERROR(AQ180/AQ$117,0)</f>
        <v/>
      </c>
      <c r="CN180" s="4097">
        <f>IFERROR(AR180/AR$117,0)</f>
        <v/>
      </c>
      <c r="CO180" s="4097">
        <f>IFERROR(AS180/AS$117,0)</f>
        <v/>
      </c>
      <c r="CP180" s="4097">
        <f>IFERROR(AT180/AT$117,0)</f>
        <v/>
      </c>
      <c r="CQ180" s="4099">
        <f>IFERROR(AU180/AU$117,0)</f>
        <v/>
      </c>
      <c r="CR180" s="4097">
        <f>IFERROR(AV180/AV$117,0)</f>
        <v/>
      </c>
      <c r="CS180" s="4097">
        <f>IFERROR(AW180/AW$117,0)</f>
        <v/>
      </c>
      <c r="CT180" s="4097">
        <f>IFERROR(AX180/AX$117,0)</f>
        <v/>
      </c>
      <c r="CU180" s="4097">
        <f>IFERROR(AY180/AY$117,0)</f>
        <v/>
      </c>
      <c r="CV180" s="4097">
        <f>IFERROR(AZ180/AZ$117,0)</f>
        <v/>
      </c>
      <c r="CW180" s="3737" t="n"/>
      <c r="CX180" s="4094" t="n">
        <v>-301.53309</v>
      </c>
    </row>
    <row r="181" hidden="1" outlineLevel="2" ht="12" customFormat="1" customHeight="1" s="3737">
      <c r="A181" s="4059" t="n"/>
      <c r="B181" s="4060" t="n"/>
      <c r="C181" s="4127" t="inlineStr">
        <is>
          <t>Canadian employment ins (ei)</t>
        </is>
      </c>
      <c r="D181" s="4093" t="n">
        <v>533204</v>
      </c>
      <c r="E181" s="4093">
        <f>CONCATENATE(D181," - ",C181)</f>
        <v/>
      </c>
      <c r="F181" s="4094" t="n"/>
      <c r="G181" s="4094" t="n"/>
      <c r="H181" s="4094" t="n"/>
      <c r="I181" s="4094" t="n"/>
      <c r="J181" s="4094" t="n"/>
      <c r="K181" s="4094" t="n"/>
      <c r="L181" s="4094" t="n"/>
      <c r="M181" s="4094" t="n"/>
      <c r="N181" s="4094" t="n"/>
      <c r="O181" s="4094" t="n"/>
      <c r="P181" s="4094" t="n"/>
      <c r="Q181" s="4095" t="n"/>
      <c r="R181" s="4094" t="n"/>
      <c r="S181" s="4094" t="n"/>
      <c r="T181" s="4094" t="n"/>
      <c r="U181" s="4094" t="n"/>
      <c r="V181" s="4094" t="n"/>
      <c r="W181" s="4094" t="n"/>
      <c r="X181" s="4094" t="n"/>
      <c r="Y181" s="4094" t="n"/>
      <c r="Z181" s="4094" t="n"/>
      <c r="AA181" s="4094" t="n"/>
      <c r="AB181" s="4094" t="n"/>
      <c r="AC181" s="4095" t="n"/>
      <c r="AD181" s="4094" t="n"/>
      <c r="AE181" s="4094" t="n"/>
      <c r="AF181" s="4094" t="n"/>
      <c r="AG181" s="4094" t="n"/>
      <c r="AH181" s="4094" t="n"/>
      <c r="AI181" s="4094" t="n"/>
      <c r="AJ181" s="4094" t="n"/>
      <c r="AK181" s="4094" t="n"/>
      <c r="AL181" s="4094" t="n"/>
      <c r="AM181" s="4094" t="n"/>
      <c r="AN181" s="4094" t="n"/>
      <c r="AO181" s="4095" t="n"/>
      <c r="AP181" s="4094" t="n">
        <v>-21.40203</v>
      </c>
      <c r="AQ181" s="4094" t="n">
        <v>-50.70853</v>
      </c>
      <c r="AR181" s="4094" t="n">
        <v>-17.34362</v>
      </c>
      <c r="AS181" s="4094" t="n">
        <v>-16.31901</v>
      </c>
      <c r="AT181" s="4094" t="n">
        <v>-21.82664</v>
      </c>
      <c r="AU181" s="4096" t="n">
        <v>-12.24068</v>
      </c>
      <c r="AV181" s="4094">
        <f>SUM(F181:Q181)</f>
        <v/>
      </c>
      <c r="AW181" s="4094">
        <f>SUM(R181:AC181)</f>
        <v/>
      </c>
      <c r="AX181" s="4094">
        <f>SUM(AD181:AO181)</f>
        <v/>
      </c>
      <c r="AY181" s="4094">
        <f>SUM(AH181:AS181)</f>
        <v/>
      </c>
      <c r="AZ181" s="4094">
        <f>SUM(AJ181:AU181)</f>
        <v/>
      </c>
      <c r="BA181" s="3737" t="n"/>
      <c r="BB181" s="4097">
        <f>IFERROR(F181/F$117,0)</f>
        <v/>
      </c>
      <c r="BC181" s="4097">
        <f>IFERROR(G181/G$117,0)</f>
        <v/>
      </c>
      <c r="BD181" s="4097">
        <f>IFERROR(H181/H$117,0)</f>
        <v/>
      </c>
      <c r="BE181" s="4097">
        <f>IFERROR(I181/I$117,0)</f>
        <v/>
      </c>
      <c r="BF181" s="4097">
        <f>IFERROR(J181/J$117,0)</f>
        <v/>
      </c>
      <c r="BG181" s="4097">
        <f>IFERROR(K181/K$117,0)</f>
        <v/>
      </c>
      <c r="BH181" s="4097">
        <f>IFERROR(L181/L$117,0)</f>
        <v/>
      </c>
      <c r="BI181" s="4097">
        <f>IFERROR(M181/M$117,0)</f>
        <v/>
      </c>
      <c r="BJ181" s="4097">
        <f>IFERROR(N181/N$117,0)</f>
        <v/>
      </c>
      <c r="BK181" s="4097">
        <f>IFERROR(O181/O$117,0)</f>
        <v/>
      </c>
      <c r="BL181" s="4097">
        <f>IFERROR(P181/P$117,0)</f>
        <v/>
      </c>
      <c r="BM181" s="4098">
        <f>IFERROR(Q181/Q$117,0)</f>
        <v/>
      </c>
      <c r="BN181" s="4097">
        <f>IFERROR(R181/R$117,0)</f>
        <v/>
      </c>
      <c r="BO181" s="4097">
        <f>IFERROR(S181/S$117,0)</f>
        <v/>
      </c>
      <c r="BP181" s="4097">
        <f>IFERROR(T181/T$117,0)</f>
        <v/>
      </c>
      <c r="BQ181" s="4097">
        <f>IFERROR(U181/U$117,0)</f>
        <v/>
      </c>
      <c r="BR181" s="4097">
        <f>IFERROR(V181/V$117,0)</f>
        <v/>
      </c>
      <c r="BS181" s="4097">
        <f>IFERROR(W181/W$117,0)</f>
        <v/>
      </c>
      <c r="BT181" s="4097">
        <f>IFERROR(X181/X$117,0)</f>
        <v/>
      </c>
      <c r="BU181" s="4097">
        <f>IFERROR(Y181/Y$117,0)</f>
        <v/>
      </c>
      <c r="BV181" s="4097">
        <f>IFERROR(Z181/Z$117,0)</f>
        <v/>
      </c>
      <c r="BW181" s="4097">
        <f>IFERROR(AA181/AA$117,0)</f>
        <v/>
      </c>
      <c r="BX181" s="4097">
        <f>IFERROR(AB181/AB$117,0)</f>
        <v/>
      </c>
      <c r="BY181" s="4098">
        <f>IFERROR(AC181/AC$117,0)</f>
        <v/>
      </c>
      <c r="BZ181" s="4097">
        <f>IFERROR(AD181/AD$117,0)</f>
        <v/>
      </c>
      <c r="CA181" s="4097">
        <f>IFERROR(AE181/AE$117,0)</f>
        <v/>
      </c>
      <c r="CB181" s="4097">
        <f>IFERROR(AF181/AF$117,0)</f>
        <v/>
      </c>
      <c r="CC181" s="4097">
        <f>IFERROR(AG181/AG$117,0)</f>
        <v/>
      </c>
      <c r="CD181" s="4097">
        <f>IFERROR(AH181/AH$117,0)</f>
        <v/>
      </c>
      <c r="CE181" s="4097">
        <f>IFERROR(AI181/AI$117,0)</f>
        <v/>
      </c>
      <c r="CF181" s="4097">
        <f>IFERROR(AJ181/AJ$117,0)</f>
        <v/>
      </c>
      <c r="CG181" s="4097">
        <f>IFERROR(AK181/AK$117,0)</f>
        <v/>
      </c>
      <c r="CH181" s="4097">
        <f>IFERROR(AL181/AL$117,0)</f>
        <v/>
      </c>
      <c r="CI181" s="4097">
        <f>IFERROR(AM181/AM$117,0)</f>
        <v/>
      </c>
      <c r="CJ181" s="4097">
        <f>IFERROR(AN181/AN$117,0)</f>
        <v/>
      </c>
      <c r="CK181" s="4098">
        <f>IFERROR(AO181/AO$117,0)</f>
        <v/>
      </c>
      <c r="CL181" s="4097">
        <f>IFERROR(AP181/AP$117,0)</f>
        <v/>
      </c>
      <c r="CM181" s="4097">
        <f>IFERROR(AQ181/AQ$117,0)</f>
        <v/>
      </c>
      <c r="CN181" s="4097">
        <f>IFERROR(AR181/AR$117,0)</f>
        <v/>
      </c>
      <c r="CO181" s="4097">
        <f>IFERROR(AS181/AS$117,0)</f>
        <v/>
      </c>
      <c r="CP181" s="4097">
        <f>IFERROR(AT181/AT$117,0)</f>
        <v/>
      </c>
      <c r="CQ181" s="4099">
        <f>IFERROR(AU181/AU$117,0)</f>
        <v/>
      </c>
      <c r="CR181" s="4097">
        <f>IFERROR(AV181/AV$117,0)</f>
        <v/>
      </c>
      <c r="CS181" s="4097">
        <f>IFERROR(AW181/AW$117,0)</f>
        <v/>
      </c>
      <c r="CT181" s="4097">
        <f>IFERROR(AX181/AX$117,0)</f>
        <v/>
      </c>
      <c r="CU181" s="4097">
        <f>IFERROR(AY181/AY$117,0)</f>
        <v/>
      </c>
      <c r="CV181" s="4097">
        <f>IFERROR(AZ181/AZ$117,0)</f>
        <v/>
      </c>
      <c r="CW181" s="3737" t="n"/>
      <c r="CX181" s="4094" t="n">
        <v>-125.9586</v>
      </c>
    </row>
    <row r="182" hidden="1" outlineLevel="2" ht="12" customFormat="1" customHeight="1" s="3737">
      <c r="A182" s="4059" t="n"/>
      <c r="B182" s="4060" t="n"/>
      <c r="C182" s="4127" t="inlineStr">
        <is>
          <t>Canadian employer health tax</t>
        </is>
      </c>
      <c r="D182" s="4093" t="n">
        <v>533205</v>
      </c>
      <c r="E182" s="4093">
        <f>CONCATENATE(D182," - ",C182)</f>
        <v/>
      </c>
      <c r="F182" s="4094" t="n"/>
      <c r="G182" s="4094" t="n"/>
      <c r="H182" s="4094" t="n"/>
      <c r="I182" s="4094" t="n"/>
      <c r="J182" s="4094" t="n"/>
      <c r="K182" s="4094" t="n"/>
      <c r="L182" s="4094" t="n"/>
      <c r="M182" s="4094" t="n"/>
      <c r="N182" s="4094" t="n"/>
      <c r="O182" s="4094" t="n"/>
      <c r="P182" s="4094" t="n"/>
      <c r="Q182" s="4095" t="n"/>
      <c r="R182" s="4094" t="n"/>
      <c r="S182" s="4094" t="n"/>
      <c r="T182" s="4094" t="n"/>
      <c r="U182" s="4094" t="n"/>
      <c r="V182" s="4094" t="n"/>
      <c r="W182" s="4094" t="n"/>
      <c r="X182" s="4094" t="n"/>
      <c r="Y182" s="4094" t="n"/>
      <c r="Z182" s="4094" t="n"/>
      <c r="AA182" s="4094" t="n"/>
      <c r="AB182" s="4094" t="n"/>
      <c r="AC182" s="4095" t="n"/>
      <c r="AD182" s="4094" t="n"/>
      <c r="AE182" s="4094" t="n"/>
      <c r="AF182" s="4094" t="n"/>
      <c r="AG182" s="4094" t="n"/>
      <c r="AH182" s="4094" t="n"/>
      <c r="AI182" s="4094" t="n"/>
      <c r="AJ182" s="4094" t="n"/>
      <c r="AK182" s="4094" t="n"/>
      <c r="AL182" s="4094" t="n"/>
      <c r="AM182" s="4094" t="n"/>
      <c r="AN182" s="4094" t="n"/>
      <c r="AO182" s="4095" t="n"/>
      <c r="AP182" s="4094" t="n">
        <v>-18.36022</v>
      </c>
      <c r="AQ182" s="4094" t="n">
        <v>-52.67777</v>
      </c>
      <c r="AR182" s="4094" t="n">
        <v>-23.33984</v>
      </c>
      <c r="AS182" s="4094" t="n">
        <v>-18.83826</v>
      </c>
      <c r="AT182" s="4094" t="n">
        <v>-28.69213</v>
      </c>
      <c r="AU182" s="4096" t="n">
        <v>-19.87848</v>
      </c>
      <c r="AV182" s="4094">
        <f>SUM(F182:Q182)</f>
        <v/>
      </c>
      <c r="AW182" s="4094">
        <f>SUM(R182:AC182)</f>
        <v/>
      </c>
      <c r="AX182" s="4094">
        <f>SUM(AD182:AO182)</f>
        <v/>
      </c>
      <c r="AY182" s="4094">
        <f>SUM(AH182:AS182)</f>
        <v/>
      </c>
      <c r="AZ182" s="4094">
        <f>SUM(AJ182:AU182)</f>
        <v/>
      </c>
      <c r="BA182" s="3737" t="n"/>
      <c r="BB182" s="4097">
        <f>IFERROR(F182/F$117,0)</f>
        <v/>
      </c>
      <c r="BC182" s="4097">
        <f>IFERROR(G182/G$117,0)</f>
        <v/>
      </c>
      <c r="BD182" s="4097">
        <f>IFERROR(H182/H$117,0)</f>
        <v/>
      </c>
      <c r="BE182" s="4097">
        <f>IFERROR(I182/I$117,0)</f>
        <v/>
      </c>
      <c r="BF182" s="4097">
        <f>IFERROR(J182/J$117,0)</f>
        <v/>
      </c>
      <c r="BG182" s="4097">
        <f>IFERROR(K182/K$117,0)</f>
        <v/>
      </c>
      <c r="BH182" s="4097">
        <f>IFERROR(L182/L$117,0)</f>
        <v/>
      </c>
      <c r="BI182" s="4097">
        <f>IFERROR(M182/M$117,0)</f>
        <v/>
      </c>
      <c r="BJ182" s="4097">
        <f>IFERROR(N182/N$117,0)</f>
        <v/>
      </c>
      <c r="BK182" s="4097">
        <f>IFERROR(O182/O$117,0)</f>
        <v/>
      </c>
      <c r="BL182" s="4097">
        <f>IFERROR(P182/P$117,0)</f>
        <v/>
      </c>
      <c r="BM182" s="4098">
        <f>IFERROR(Q182/Q$117,0)</f>
        <v/>
      </c>
      <c r="BN182" s="4097">
        <f>IFERROR(R182/R$117,0)</f>
        <v/>
      </c>
      <c r="BO182" s="4097">
        <f>IFERROR(S182/S$117,0)</f>
        <v/>
      </c>
      <c r="BP182" s="4097">
        <f>IFERROR(T182/T$117,0)</f>
        <v/>
      </c>
      <c r="BQ182" s="4097">
        <f>IFERROR(U182/U$117,0)</f>
        <v/>
      </c>
      <c r="BR182" s="4097">
        <f>IFERROR(V182/V$117,0)</f>
        <v/>
      </c>
      <c r="BS182" s="4097">
        <f>IFERROR(W182/W$117,0)</f>
        <v/>
      </c>
      <c r="BT182" s="4097">
        <f>IFERROR(X182/X$117,0)</f>
        <v/>
      </c>
      <c r="BU182" s="4097">
        <f>IFERROR(Y182/Y$117,0)</f>
        <v/>
      </c>
      <c r="BV182" s="4097">
        <f>IFERROR(Z182/Z$117,0)</f>
        <v/>
      </c>
      <c r="BW182" s="4097">
        <f>IFERROR(AA182/AA$117,0)</f>
        <v/>
      </c>
      <c r="BX182" s="4097">
        <f>IFERROR(AB182/AB$117,0)</f>
        <v/>
      </c>
      <c r="BY182" s="4098">
        <f>IFERROR(AC182/AC$117,0)</f>
        <v/>
      </c>
      <c r="BZ182" s="4097">
        <f>IFERROR(AD182/AD$117,0)</f>
        <v/>
      </c>
      <c r="CA182" s="4097">
        <f>IFERROR(AE182/AE$117,0)</f>
        <v/>
      </c>
      <c r="CB182" s="4097">
        <f>IFERROR(AF182/AF$117,0)</f>
        <v/>
      </c>
      <c r="CC182" s="4097">
        <f>IFERROR(AG182/AG$117,0)</f>
        <v/>
      </c>
      <c r="CD182" s="4097">
        <f>IFERROR(AH182/AH$117,0)</f>
        <v/>
      </c>
      <c r="CE182" s="4097">
        <f>IFERROR(AI182/AI$117,0)</f>
        <v/>
      </c>
      <c r="CF182" s="4097">
        <f>IFERROR(AJ182/AJ$117,0)</f>
        <v/>
      </c>
      <c r="CG182" s="4097">
        <f>IFERROR(AK182/AK$117,0)</f>
        <v/>
      </c>
      <c r="CH182" s="4097">
        <f>IFERROR(AL182/AL$117,0)</f>
        <v/>
      </c>
      <c r="CI182" s="4097">
        <f>IFERROR(AM182/AM$117,0)</f>
        <v/>
      </c>
      <c r="CJ182" s="4097">
        <f>IFERROR(AN182/AN$117,0)</f>
        <v/>
      </c>
      <c r="CK182" s="4098">
        <f>IFERROR(AO182/AO$117,0)</f>
        <v/>
      </c>
      <c r="CL182" s="4097">
        <f>IFERROR(AP182/AP$117,0)</f>
        <v/>
      </c>
      <c r="CM182" s="4097">
        <f>IFERROR(AQ182/AQ$117,0)</f>
        <v/>
      </c>
      <c r="CN182" s="4097">
        <f>IFERROR(AR182/AR$117,0)</f>
        <v/>
      </c>
      <c r="CO182" s="4097">
        <f>IFERROR(AS182/AS$117,0)</f>
        <v/>
      </c>
      <c r="CP182" s="4097">
        <f>IFERROR(AT182/AT$117,0)</f>
        <v/>
      </c>
      <c r="CQ182" s="4099">
        <f>IFERROR(AU182/AU$117,0)</f>
        <v/>
      </c>
      <c r="CR182" s="4097">
        <f>IFERROR(AV182/AV$117,0)</f>
        <v/>
      </c>
      <c r="CS182" s="4097">
        <f>IFERROR(AW182/AW$117,0)</f>
        <v/>
      </c>
      <c r="CT182" s="4097">
        <f>IFERROR(AX182/AX$117,0)</f>
        <v/>
      </c>
      <c r="CU182" s="4097">
        <f>IFERROR(AY182/AY$117,0)</f>
        <v/>
      </c>
      <c r="CV182" s="4097">
        <f>IFERROR(AZ182/AZ$117,0)</f>
        <v/>
      </c>
      <c r="CW182" s="3737" t="n"/>
      <c r="CX182" s="4094" t="n">
        <v>-225.47165</v>
      </c>
    </row>
    <row r="183" hidden="1" outlineLevel="2" ht="12" customFormat="1" customHeight="1" s="3737">
      <c r="A183" s="4059" t="n"/>
      <c r="B183" s="4060" t="n"/>
      <c r="C183" s="4128" t="inlineStr">
        <is>
          <t>Worker's compensation</t>
        </is>
      </c>
      <c r="D183" s="4101" t="n">
        <v>533401</v>
      </c>
      <c r="E183" s="4101">
        <f>CONCATENATE(D183," - ",C183)</f>
        <v/>
      </c>
      <c r="F183" s="4102" t="n"/>
      <c r="G183" s="4102" t="n"/>
      <c r="H183" s="4102" t="n"/>
      <c r="I183" s="4102" t="n"/>
      <c r="J183" s="4102" t="n"/>
      <c r="K183" s="4102" t="n"/>
      <c r="L183" s="4102" t="n"/>
      <c r="M183" s="4102" t="n"/>
      <c r="N183" s="4102" t="n"/>
      <c r="O183" s="4102" t="n"/>
      <c r="P183" s="4102" t="n"/>
      <c r="Q183" s="4103" t="n"/>
      <c r="R183" s="4102" t="n"/>
      <c r="S183" s="4102" t="n"/>
      <c r="T183" s="4102" t="n"/>
      <c r="U183" s="4102" t="n"/>
      <c r="V183" s="4102" t="n"/>
      <c r="W183" s="4102" t="n"/>
      <c r="X183" s="4102" t="n"/>
      <c r="Y183" s="4102" t="n"/>
      <c r="Z183" s="4102" t="n"/>
      <c r="AA183" s="4102" t="n"/>
      <c r="AB183" s="4102" t="n"/>
      <c r="AC183" s="4103" t="n"/>
      <c r="AD183" s="4102" t="n"/>
      <c r="AE183" s="4102" t="n"/>
      <c r="AF183" s="4102" t="n"/>
      <c r="AG183" s="4102" t="n"/>
      <c r="AH183" s="4102" t="n"/>
      <c r="AI183" s="4102" t="n"/>
      <c r="AJ183" s="4102" t="n"/>
      <c r="AK183" s="4102" t="n"/>
      <c r="AL183" s="4102" t="n"/>
      <c r="AM183" s="4102" t="n"/>
      <c r="AN183" s="4102" t="n"/>
      <c r="AO183" s="4103" t="n"/>
      <c r="AP183" s="4102" t="n">
        <v>0</v>
      </c>
      <c r="AQ183" s="4102" t="n">
        <v>0</v>
      </c>
      <c r="AR183" s="4102" t="n">
        <v>-0.12239</v>
      </c>
      <c r="AS183" s="4102" t="n">
        <v>0</v>
      </c>
      <c r="AT183" s="4102" t="n">
        <v>0</v>
      </c>
      <c r="AU183" s="4104" t="n">
        <v>0</v>
      </c>
      <c r="AV183" s="4102">
        <f>SUM(F183:Q183)</f>
        <v/>
      </c>
      <c r="AW183" s="4102">
        <f>SUM(R183:AC183)</f>
        <v/>
      </c>
      <c r="AX183" s="4102">
        <f>SUM(AD183:AO183)</f>
        <v/>
      </c>
      <c r="AY183" s="4102">
        <f>SUM(AH183:AS183)</f>
        <v/>
      </c>
      <c r="AZ183" s="4102">
        <f>SUM(AJ183:AU183)</f>
        <v/>
      </c>
      <c r="BA183" s="3737" t="n"/>
      <c r="BB183" s="4105">
        <f>IFERROR(F183/F$117,0)</f>
        <v/>
      </c>
      <c r="BC183" s="4105">
        <f>IFERROR(G183/G$117,0)</f>
        <v/>
      </c>
      <c r="BD183" s="4105">
        <f>IFERROR(H183/H$117,0)</f>
        <v/>
      </c>
      <c r="BE183" s="4105">
        <f>IFERROR(I183/I$117,0)</f>
        <v/>
      </c>
      <c r="BF183" s="4105">
        <f>IFERROR(J183/J$117,0)</f>
        <v/>
      </c>
      <c r="BG183" s="4105">
        <f>IFERROR(K183/K$117,0)</f>
        <v/>
      </c>
      <c r="BH183" s="4105">
        <f>IFERROR(L183/L$117,0)</f>
        <v/>
      </c>
      <c r="BI183" s="4105">
        <f>IFERROR(M183/M$117,0)</f>
        <v/>
      </c>
      <c r="BJ183" s="4105">
        <f>IFERROR(N183/N$117,0)</f>
        <v/>
      </c>
      <c r="BK183" s="4105">
        <f>IFERROR(O183/O$117,0)</f>
        <v/>
      </c>
      <c r="BL183" s="4105">
        <f>IFERROR(P183/P$117,0)</f>
        <v/>
      </c>
      <c r="BM183" s="4106">
        <f>IFERROR(Q183/Q$117,0)</f>
        <v/>
      </c>
      <c r="BN183" s="4105">
        <f>IFERROR(R183/R$117,0)</f>
        <v/>
      </c>
      <c r="BO183" s="4105">
        <f>IFERROR(S183/S$117,0)</f>
        <v/>
      </c>
      <c r="BP183" s="4105">
        <f>IFERROR(T183/T$117,0)</f>
        <v/>
      </c>
      <c r="BQ183" s="4105">
        <f>IFERROR(U183/U$117,0)</f>
        <v/>
      </c>
      <c r="BR183" s="4105">
        <f>IFERROR(V183/V$117,0)</f>
        <v/>
      </c>
      <c r="BS183" s="4105">
        <f>IFERROR(W183/W$117,0)</f>
        <v/>
      </c>
      <c r="BT183" s="4105">
        <f>IFERROR(X183/X$117,0)</f>
        <v/>
      </c>
      <c r="BU183" s="4105">
        <f>IFERROR(Y183/Y$117,0)</f>
        <v/>
      </c>
      <c r="BV183" s="4105">
        <f>IFERROR(Z183/Z$117,0)</f>
        <v/>
      </c>
      <c r="BW183" s="4105">
        <f>IFERROR(AA183/AA$117,0)</f>
        <v/>
      </c>
      <c r="BX183" s="4105">
        <f>IFERROR(AB183/AB$117,0)</f>
        <v/>
      </c>
      <c r="BY183" s="4106">
        <f>IFERROR(AC183/AC$117,0)</f>
        <v/>
      </c>
      <c r="BZ183" s="4105">
        <f>IFERROR(AD183/AD$117,0)</f>
        <v/>
      </c>
      <c r="CA183" s="4105">
        <f>IFERROR(AE183/AE$117,0)</f>
        <v/>
      </c>
      <c r="CB183" s="4105">
        <f>IFERROR(AF183/AF$117,0)</f>
        <v/>
      </c>
      <c r="CC183" s="4105">
        <f>IFERROR(AG183/AG$117,0)</f>
        <v/>
      </c>
      <c r="CD183" s="4105">
        <f>IFERROR(AH183/AH$117,0)</f>
        <v/>
      </c>
      <c r="CE183" s="4105">
        <f>IFERROR(AI183/AI$117,0)</f>
        <v/>
      </c>
      <c r="CF183" s="4105">
        <f>IFERROR(AJ183/AJ$117,0)</f>
        <v/>
      </c>
      <c r="CG183" s="4105">
        <f>IFERROR(AK183/AK$117,0)</f>
        <v/>
      </c>
      <c r="CH183" s="4105">
        <f>IFERROR(AL183/AL$117,0)</f>
        <v/>
      </c>
      <c r="CI183" s="4105">
        <f>IFERROR(AM183/AM$117,0)</f>
        <v/>
      </c>
      <c r="CJ183" s="4105">
        <f>IFERROR(AN183/AN$117,0)</f>
        <v/>
      </c>
      <c r="CK183" s="4106">
        <f>IFERROR(AO183/AO$117,0)</f>
        <v/>
      </c>
      <c r="CL183" s="4105">
        <f>IFERROR(AP183/AP$117,0)</f>
        <v/>
      </c>
      <c r="CM183" s="4105">
        <f>IFERROR(AQ183/AQ$117,0)</f>
        <v/>
      </c>
      <c r="CN183" s="4105">
        <f>IFERROR(AR183/AR$117,0)</f>
        <v/>
      </c>
      <c r="CO183" s="4105">
        <f>IFERROR(AS183/AS$117,0)</f>
        <v/>
      </c>
      <c r="CP183" s="4105">
        <f>IFERROR(AT183/AT$117,0)</f>
        <v/>
      </c>
      <c r="CQ183" s="4107">
        <f>IFERROR(AU183/AU$117,0)</f>
        <v/>
      </c>
      <c r="CR183" s="4105">
        <f>IFERROR(AV183/AV$117,0)</f>
        <v/>
      </c>
      <c r="CS183" s="4105">
        <f>IFERROR(AW183/AW$117,0)</f>
        <v/>
      </c>
      <c r="CT183" s="4105">
        <f>IFERROR(AX183/AX$117,0)</f>
        <v/>
      </c>
      <c r="CU183" s="4105">
        <f>IFERROR(AY183/AY$117,0)</f>
        <v/>
      </c>
      <c r="CV183" s="4105">
        <f>IFERROR(AZ183/AZ$117,0)</f>
        <v/>
      </c>
      <c r="CW183" s="3737" t="n"/>
      <c r="CX183" s="4102" t="n">
        <v>-0.27579</v>
      </c>
    </row>
    <row r="184" hidden="1" outlineLevel="1" collapsed="1" ht="12" customFormat="1" customHeight="1" s="3737">
      <c r="A184" s="4059" t="n"/>
      <c r="B184" s="4060" t="n"/>
      <c r="C184" s="4092" t="inlineStr">
        <is>
          <t>Employer taxes</t>
        </is>
      </c>
      <c r="D184" s="4093" t="n"/>
      <c r="E184" s="4093" t="n"/>
      <c r="F184" s="4094" t="n"/>
      <c r="G184" s="4094" t="n"/>
      <c r="H184" s="4094" t="n"/>
      <c r="I184" s="4094" t="n"/>
      <c r="J184" s="4094" t="n"/>
      <c r="K184" s="4094" t="n"/>
      <c r="L184" s="4094" t="n"/>
      <c r="M184" s="4094" t="n"/>
      <c r="N184" s="4094" t="n"/>
      <c r="O184" s="4094" t="n"/>
      <c r="P184" s="4094" t="n"/>
      <c r="Q184" s="4095" t="n"/>
      <c r="R184" s="4094" t="n"/>
      <c r="S184" s="4094" t="n"/>
      <c r="T184" s="4094" t="n"/>
      <c r="U184" s="4094" t="n"/>
      <c r="V184" s="4094" t="n"/>
      <c r="W184" s="4094" t="n"/>
      <c r="X184" s="4094" t="n"/>
      <c r="Y184" s="4094" t="n"/>
      <c r="Z184" s="4094" t="n"/>
      <c r="AA184" s="4094" t="n"/>
      <c r="AB184" s="4094" t="n"/>
      <c r="AC184" s="4095" t="n"/>
      <c r="AD184" s="4094" t="n"/>
      <c r="AE184" s="4094" t="n"/>
      <c r="AF184" s="4094" t="n"/>
      <c r="AG184" s="4094" t="n"/>
      <c r="AH184" s="4094" t="n"/>
      <c r="AI184" s="4094" t="n"/>
      <c r="AJ184" s="4094" t="n"/>
      <c r="AK184" s="4094" t="n"/>
      <c r="AL184" s="4094" t="n"/>
      <c r="AM184" s="4094" t="n"/>
      <c r="AN184" s="4094" t="n"/>
      <c r="AO184" s="4095" t="n"/>
      <c r="AP184" s="4094">
        <f>SUM(AP180:AP183)</f>
        <v/>
      </c>
      <c r="AQ184" s="4094">
        <f>SUM(AQ180:AQ183)</f>
        <v/>
      </c>
      <c r="AR184" s="4094">
        <f>SUM(AR180:AR183)</f>
        <v/>
      </c>
      <c r="AS184" s="4094">
        <f>SUM(AS180:AS183)</f>
        <v/>
      </c>
      <c r="AT184" s="4094">
        <f>SUM(AT180:AT183)</f>
        <v/>
      </c>
      <c r="AU184" s="4096">
        <f>SUM(AU180:AU183)</f>
        <v/>
      </c>
      <c r="AV184" s="4094">
        <f>SUM(AV180:AV183)</f>
        <v/>
      </c>
      <c r="AW184" s="4094">
        <f>SUM(AW180:AW183)</f>
        <v/>
      </c>
      <c r="AX184" s="4094">
        <f>SUM(AX180:AX183)</f>
        <v/>
      </c>
      <c r="AY184" s="4094">
        <f>SUM(AY180:AY183)</f>
        <v/>
      </c>
      <c r="AZ184" s="4094">
        <f>SUM(AZ180:AZ183)</f>
        <v/>
      </c>
      <c r="BA184" s="3737" t="n"/>
      <c r="BB184" s="4097">
        <f>IFERROR(F184/F$117,0)</f>
        <v/>
      </c>
      <c r="BC184" s="4097">
        <f>IFERROR(G184/G$117,0)</f>
        <v/>
      </c>
      <c r="BD184" s="4097">
        <f>IFERROR(H184/H$117,0)</f>
        <v/>
      </c>
      <c r="BE184" s="4097">
        <f>IFERROR(I184/I$117,0)</f>
        <v/>
      </c>
      <c r="BF184" s="4097">
        <f>IFERROR(J184/J$117,0)</f>
        <v/>
      </c>
      <c r="BG184" s="4097">
        <f>IFERROR(K184/K$117,0)</f>
        <v/>
      </c>
      <c r="BH184" s="4097">
        <f>IFERROR(L184/L$117,0)</f>
        <v/>
      </c>
      <c r="BI184" s="4097">
        <f>IFERROR(M184/M$117,0)</f>
        <v/>
      </c>
      <c r="BJ184" s="4097">
        <f>IFERROR(N184/N$117,0)</f>
        <v/>
      </c>
      <c r="BK184" s="4097">
        <f>IFERROR(O184/O$117,0)</f>
        <v/>
      </c>
      <c r="BL184" s="4097">
        <f>IFERROR(P184/P$117,0)</f>
        <v/>
      </c>
      <c r="BM184" s="4098">
        <f>IFERROR(Q184/Q$117,0)</f>
        <v/>
      </c>
      <c r="BN184" s="4097">
        <f>IFERROR(R184/R$117,0)</f>
        <v/>
      </c>
      <c r="BO184" s="4097">
        <f>IFERROR(S184/S$117,0)</f>
        <v/>
      </c>
      <c r="BP184" s="4097">
        <f>IFERROR(T184/T$117,0)</f>
        <v/>
      </c>
      <c r="BQ184" s="4097">
        <f>IFERROR(U184/U$117,0)</f>
        <v/>
      </c>
      <c r="BR184" s="4097">
        <f>IFERROR(V184/V$117,0)</f>
        <v/>
      </c>
      <c r="BS184" s="4097">
        <f>IFERROR(W184/W$117,0)</f>
        <v/>
      </c>
      <c r="BT184" s="4097">
        <f>IFERROR(X184/X$117,0)</f>
        <v/>
      </c>
      <c r="BU184" s="4097">
        <f>IFERROR(Y184/Y$117,0)</f>
        <v/>
      </c>
      <c r="BV184" s="4097">
        <f>IFERROR(Z184/Z$117,0)</f>
        <v/>
      </c>
      <c r="BW184" s="4097">
        <f>IFERROR(AA184/AA$117,0)</f>
        <v/>
      </c>
      <c r="BX184" s="4097">
        <f>IFERROR(AB184/AB$117,0)</f>
        <v/>
      </c>
      <c r="BY184" s="4098">
        <f>IFERROR(AC184/AC$117,0)</f>
        <v/>
      </c>
      <c r="BZ184" s="4097">
        <f>IFERROR(AD184/AD$117,0)</f>
        <v/>
      </c>
      <c r="CA184" s="4097">
        <f>IFERROR(AE184/AE$117,0)</f>
        <v/>
      </c>
      <c r="CB184" s="4097">
        <f>IFERROR(AF184/AF$117,0)</f>
        <v/>
      </c>
      <c r="CC184" s="4097">
        <f>IFERROR(AG184/AG$117,0)</f>
        <v/>
      </c>
      <c r="CD184" s="4097">
        <f>IFERROR(AH184/AH$117,0)</f>
        <v/>
      </c>
      <c r="CE184" s="4097">
        <f>IFERROR(AI184/AI$117,0)</f>
        <v/>
      </c>
      <c r="CF184" s="4097">
        <f>IFERROR(AJ184/AJ$117,0)</f>
        <v/>
      </c>
      <c r="CG184" s="4097">
        <f>IFERROR(AK184/AK$117,0)</f>
        <v/>
      </c>
      <c r="CH184" s="4097">
        <f>IFERROR(AL184/AL$117,0)</f>
        <v/>
      </c>
      <c r="CI184" s="4097">
        <f>IFERROR(AM184/AM$117,0)</f>
        <v/>
      </c>
      <c r="CJ184" s="4097">
        <f>IFERROR(AN184/AN$117,0)</f>
        <v/>
      </c>
      <c r="CK184" s="4098">
        <f>IFERROR(AO184/AO$117,0)</f>
        <v/>
      </c>
      <c r="CL184" s="4097">
        <f>IFERROR(AP184/AP$117,0)</f>
        <v/>
      </c>
      <c r="CM184" s="4097">
        <f>IFERROR(AQ184/AQ$117,0)</f>
        <v/>
      </c>
      <c r="CN184" s="4097">
        <f>IFERROR(AR184/AR$117,0)</f>
        <v/>
      </c>
      <c r="CO184" s="4097">
        <f>IFERROR(AS184/AS$117,0)</f>
        <v/>
      </c>
      <c r="CP184" s="4097">
        <f>IFERROR(AT184/AT$117,0)</f>
        <v/>
      </c>
      <c r="CQ184" s="4099">
        <f>IFERROR(AU184/AU$117,0)</f>
        <v/>
      </c>
      <c r="CR184" s="4097">
        <f>IFERROR(AV184/AV$117,0)</f>
        <v/>
      </c>
      <c r="CS184" s="4097">
        <f>IFERROR(AW184/AW$117,0)</f>
        <v/>
      </c>
      <c r="CT184" s="4097">
        <f>IFERROR(AX184/AX$117,0)</f>
        <v/>
      </c>
      <c r="CU184" s="4097">
        <f>IFERROR(AY184/AY$117,0)</f>
        <v/>
      </c>
      <c r="CV184" s="4097">
        <f>IFERROR(AZ184/AZ$117,0)</f>
        <v/>
      </c>
      <c r="CW184" s="3737" t="n"/>
      <c r="CX184" s="4094">
        <f>SUM(CX180:CX183)</f>
        <v/>
      </c>
    </row>
    <row r="185" hidden="1" outlineLevel="2" ht="12" customFormat="1" customHeight="1" s="3737">
      <c r="A185" s="4059" t="n"/>
      <c r="B185" s="4060" t="n"/>
      <c r="C185" s="4127" t="inlineStr">
        <is>
          <t>Cooperative employee css pension</t>
        </is>
      </c>
      <c r="D185" s="4093" t="n">
        <v>532303</v>
      </c>
      <c r="E185" s="4093">
        <f>CONCATENATE(D185," - ",C185)</f>
        <v/>
      </c>
      <c r="F185" s="4094" t="n"/>
      <c r="G185" s="4094" t="n"/>
      <c r="H185" s="4094" t="n"/>
      <c r="I185" s="4094" t="n"/>
      <c r="J185" s="4094" t="n"/>
      <c r="K185" s="4094" t="n"/>
      <c r="L185" s="4094" t="n"/>
      <c r="M185" s="4094" t="n"/>
      <c r="N185" s="4094" t="n"/>
      <c r="O185" s="4094" t="n"/>
      <c r="P185" s="4094" t="n"/>
      <c r="Q185" s="4095" t="n"/>
      <c r="R185" s="4094" t="n"/>
      <c r="S185" s="4094" t="n"/>
      <c r="T185" s="4094" t="n"/>
      <c r="U185" s="4094" t="n"/>
      <c r="V185" s="4094" t="n"/>
      <c r="W185" s="4094" t="n"/>
      <c r="X185" s="4094" t="n"/>
      <c r="Y185" s="4094" t="n"/>
      <c r="Z185" s="4094" t="n"/>
      <c r="AA185" s="4094" t="n"/>
      <c r="AB185" s="4094" t="n"/>
      <c r="AC185" s="4095" t="n"/>
      <c r="AD185" s="4094" t="n"/>
      <c r="AE185" s="4094" t="n"/>
      <c r="AF185" s="4094" t="n"/>
      <c r="AG185" s="4094" t="n"/>
      <c r="AH185" s="4094" t="n"/>
      <c r="AI185" s="4094" t="n"/>
      <c r="AJ185" s="4094" t="n"/>
      <c r="AK185" s="4094" t="n"/>
      <c r="AL185" s="4094" t="n"/>
      <c r="AM185" s="4094" t="n"/>
      <c r="AN185" s="4094" t="n"/>
      <c r="AO185" s="4095" t="n"/>
      <c r="AP185" s="4094" t="n">
        <v>-25.56883</v>
      </c>
      <c r="AQ185" s="4094" t="n">
        <v>-27.40717</v>
      </c>
      <c r="AR185" s="4094" t="n">
        <v>-26.47103</v>
      </c>
      <c r="AS185" s="4094" t="n">
        <v>-26.69098</v>
      </c>
      <c r="AT185" s="4094" t="n">
        <v>-40.75757</v>
      </c>
      <c r="AU185" s="4096" t="n">
        <v>-27.60388</v>
      </c>
      <c r="AV185" s="4094">
        <f>SUM(F185:Q185)</f>
        <v/>
      </c>
      <c r="AW185" s="4094">
        <f>SUM(R185:AC185)</f>
        <v/>
      </c>
      <c r="AX185" s="4094">
        <f>SUM(AD185:AO185)</f>
        <v/>
      </c>
      <c r="AY185" s="4094">
        <f>SUM(AH185:AS185)</f>
        <v/>
      </c>
      <c r="AZ185" s="4094">
        <f>SUM(AJ185:AU185)</f>
        <v/>
      </c>
      <c r="BA185" s="3737" t="n"/>
      <c r="BB185" s="4097">
        <f>IFERROR(F185/F$117,0)</f>
        <v/>
      </c>
      <c r="BC185" s="4097">
        <f>IFERROR(G185/G$117,0)</f>
        <v/>
      </c>
      <c r="BD185" s="4097">
        <f>IFERROR(H185/H$117,0)</f>
        <v/>
      </c>
      <c r="BE185" s="4097">
        <f>IFERROR(I185/I$117,0)</f>
        <v/>
      </c>
      <c r="BF185" s="4097">
        <f>IFERROR(J185/J$117,0)</f>
        <v/>
      </c>
      <c r="BG185" s="4097">
        <f>IFERROR(K185/K$117,0)</f>
        <v/>
      </c>
      <c r="BH185" s="4097">
        <f>IFERROR(L185/L$117,0)</f>
        <v/>
      </c>
      <c r="BI185" s="4097">
        <f>IFERROR(M185/M$117,0)</f>
        <v/>
      </c>
      <c r="BJ185" s="4097">
        <f>IFERROR(N185/N$117,0)</f>
        <v/>
      </c>
      <c r="BK185" s="4097">
        <f>IFERROR(O185/O$117,0)</f>
        <v/>
      </c>
      <c r="BL185" s="4097">
        <f>IFERROR(P185/P$117,0)</f>
        <v/>
      </c>
      <c r="BM185" s="4098">
        <f>IFERROR(Q185/Q$117,0)</f>
        <v/>
      </c>
      <c r="BN185" s="4097">
        <f>IFERROR(R185/R$117,0)</f>
        <v/>
      </c>
      <c r="BO185" s="4097">
        <f>IFERROR(S185/S$117,0)</f>
        <v/>
      </c>
      <c r="BP185" s="4097">
        <f>IFERROR(T185/T$117,0)</f>
        <v/>
      </c>
      <c r="BQ185" s="4097">
        <f>IFERROR(U185/U$117,0)</f>
        <v/>
      </c>
      <c r="BR185" s="4097">
        <f>IFERROR(V185/V$117,0)</f>
        <v/>
      </c>
      <c r="BS185" s="4097">
        <f>IFERROR(W185/W$117,0)</f>
        <v/>
      </c>
      <c r="BT185" s="4097">
        <f>IFERROR(X185/X$117,0)</f>
        <v/>
      </c>
      <c r="BU185" s="4097">
        <f>IFERROR(Y185/Y$117,0)</f>
        <v/>
      </c>
      <c r="BV185" s="4097">
        <f>IFERROR(Z185/Z$117,0)</f>
        <v/>
      </c>
      <c r="BW185" s="4097">
        <f>IFERROR(AA185/AA$117,0)</f>
        <v/>
      </c>
      <c r="BX185" s="4097">
        <f>IFERROR(AB185/AB$117,0)</f>
        <v/>
      </c>
      <c r="BY185" s="4098">
        <f>IFERROR(AC185/AC$117,0)</f>
        <v/>
      </c>
      <c r="BZ185" s="4097">
        <f>IFERROR(AD185/AD$117,0)</f>
        <v/>
      </c>
      <c r="CA185" s="4097">
        <f>IFERROR(AE185/AE$117,0)</f>
        <v/>
      </c>
      <c r="CB185" s="4097">
        <f>IFERROR(AF185/AF$117,0)</f>
        <v/>
      </c>
      <c r="CC185" s="4097">
        <f>IFERROR(AG185/AG$117,0)</f>
        <v/>
      </c>
      <c r="CD185" s="4097">
        <f>IFERROR(AH185/AH$117,0)</f>
        <v/>
      </c>
      <c r="CE185" s="4097">
        <f>IFERROR(AI185/AI$117,0)</f>
        <v/>
      </c>
      <c r="CF185" s="4097">
        <f>IFERROR(AJ185/AJ$117,0)</f>
        <v/>
      </c>
      <c r="CG185" s="4097">
        <f>IFERROR(AK185/AK$117,0)</f>
        <v/>
      </c>
      <c r="CH185" s="4097">
        <f>IFERROR(AL185/AL$117,0)</f>
        <v/>
      </c>
      <c r="CI185" s="4097">
        <f>IFERROR(AM185/AM$117,0)</f>
        <v/>
      </c>
      <c r="CJ185" s="4097">
        <f>IFERROR(AN185/AN$117,0)</f>
        <v/>
      </c>
      <c r="CK185" s="4098">
        <f>IFERROR(AO185/AO$117,0)</f>
        <v/>
      </c>
      <c r="CL185" s="4097">
        <f>IFERROR(AP185/AP$117,0)</f>
        <v/>
      </c>
      <c r="CM185" s="4097">
        <f>IFERROR(AQ185/AQ$117,0)</f>
        <v/>
      </c>
      <c r="CN185" s="4097">
        <f>IFERROR(AR185/AR$117,0)</f>
        <v/>
      </c>
      <c r="CO185" s="4097">
        <f>IFERROR(AS185/AS$117,0)</f>
        <v/>
      </c>
      <c r="CP185" s="4097">
        <f>IFERROR(AT185/AT$117,0)</f>
        <v/>
      </c>
      <c r="CQ185" s="4099">
        <f>IFERROR(AU185/AU$117,0)</f>
        <v/>
      </c>
      <c r="CR185" s="4097">
        <f>IFERROR(AV185/AV$117,0)</f>
        <v/>
      </c>
      <c r="CS185" s="4097">
        <f>IFERROR(AW185/AW$117,0)</f>
        <v/>
      </c>
      <c r="CT185" s="4097">
        <f>IFERROR(AX185/AX$117,0)</f>
        <v/>
      </c>
      <c r="CU185" s="4097">
        <f>IFERROR(AY185/AY$117,0)</f>
        <v/>
      </c>
      <c r="CV185" s="4097">
        <f>IFERROR(AZ185/AZ$117,0)</f>
        <v/>
      </c>
      <c r="CW185" s="3737" t="n"/>
      <c r="CX185" s="4094" t="n">
        <v>-308.28066</v>
      </c>
    </row>
    <row r="186" hidden="1" outlineLevel="2" ht="12" customFormat="1" customHeight="1" s="3737">
      <c r="A186" s="4059" t="n"/>
      <c r="B186" s="4060" t="n"/>
      <c r="C186" s="4127" t="inlineStr">
        <is>
          <t>Medical insurance</t>
        </is>
      </c>
      <c r="D186" s="4093" t="n">
        <v>532101</v>
      </c>
      <c r="E186" s="4093">
        <f>CONCATENATE(D186," - ",C186)</f>
        <v/>
      </c>
      <c r="F186" s="4094" t="n"/>
      <c r="G186" s="4094" t="n"/>
      <c r="H186" s="4094" t="n"/>
      <c r="I186" s="4094" t="n"/>
      <c r="J186" s="4094" t="n"/>
      <c r="K186" s="4094" t="n"/>
      <c r="L186" s="4094" t="n"/>
      <c r="M186" s="4094" t="n"/>
      <c r="N186" s="4094" t="n"/>
      <c r="O186" s="4094" t="n"/>
      <c r="P186" s="4094" t="n"/>
      <c r="Q186" s="4095" t="n"/>
      <c r="R186" s="4094" t="n"/>
      <c r="S186" s="4094" t="n"/>
      <c r="T186" s="4094" t="n"/>
      <c r="U186" s="4094" t="n"/>
      <c r="V186" s="4094" t="n"/>
      <c r="W186" s="4094" t="n"/>
      <c r="X186" s="4094" t="n"/>
      <c r="Y186" s="4094" t="n"/>
      <c r="Z186" s="4094" t="n"/>
      <c r="AA186" s="4094" t="n"/>
      <c r="AB186" s="4094" t="n"/>
      <c r="AC186" s="4095" t="n"/>
      <c r="AD186" s="4094" t="n"/>
      <c r="AE186" s="4094" t="n"/>
      <c r="AF186" s="4094" t="n"/>
      <c r="AG186" s="4094" t="n"/>
      <c r="AH186" s="4094" t="n"/>
      <c r="AI186" s="4094" t="n"/>
      <c r="AJ186" s="4094" t="n"/>
      <c r="AK186" s="4094" t="n"/>
      <c r="AL186" s="4094" t="n"/>
      <c r="AM186" s="4094" t="n"/>
      <c r="AN186" s="4094" t="n"/>
      <c r="AO186" s="4095" t="n"/>
      <c r="AP186" s="4094" t="n">
        <v>-14.37059</v>
      </c>
      <c r="AQ186" s="4094" t="n">
        <v>-14.33492</v>
      </c>
      <c r="AR186" s="4094" t="n">
        <v>-14.14549</v>
      </c>
      <c r="AS186" s="4094" t="n">
        <v>-14.21045</v>
      </c>
      <c r="AT186" s="4094" t="n">
        <v>-14.48286</v>
      </c>
      <c r="AU186" s="4096" t="n">
        <v>-14.77581</v>
      </c>
      <c r="AV186" s="4094">
        <f>SUM(F186:Q186)</f>
        <v/>
      </c>
      <c r="AW186" s="4094">
        <f>SUM(R186:AC186)</f>
        <v/>
      </c>
      <c r="AX186" s="4094">
        <f>SUM(AD186:AO186)</f>
        <v/>
      </c>
      <c r="AY186" s="4094">
        <f>SUM(AH186:AS186)</f>
        <v/>
      </c>
      <c r="AZ186" s="4094">
        <f>SUM(AJ186:AU186)</f>
        <v/>
      </c>
      <c r="BA186" s="3737" t="n"/>
      <c r="BB186" s="4097">
        <f>IFERROR(F186/F$117,0)</f>
        <v/>
      </c>
      <c r="BC186" s="4097">
        <f>IFERROR(G186/G$117,0)</f>
        <v/>
      </c>
      <c r="BD186" s="4097">
        <f>IFERROR(H186/H$117,0)</f>
        <v/>
      </c>
      <c r="BE186" s="4097">
        <f>IFERROR(I186/I$117,0)</f>
        <v/>
      </c>
      <c r="BF186" s="4097">
        <f>IFERROR(J186/J$117,0)</f>
        <v/>
      </c>
      <c r="BG186" s="4097">
        <f>IFERROR(K186/K$117,0)</f>
        <v/>
      </c>
      <c r="BH186" s="4097">
        <f>IFERROR(L186/L$117,0)</f>
        <v/>
      </c>
      <c r="BI186" s="4097">
        <f>IFERROR(M186/M$117,0)</f>
        <v/>
      </c>
      <c r="BJ186" s="4097">
        <f>IFERROR(N186/N$117,0)</f>
        <v/>
      </c>
      <c r="BK186" s="4097">
        <f>IFERROR(O186/O$117,0)</f>
        <v/>
      </c>
      <c r="BL186" s="4097">
        <f>IFERROR(P186/P$117,0)</f>
        <v/>
      </c>
      <c r="BM186" s="4098">
        <f>IFERROR(Q186/Q$117,0)</f>
        <v/>
      </c>
      <c r="BN186" s="4097">
        <f>IFERROR(R186/R$117,0)</f>
        <v/>
      </c>
      <c r="BO186" s="4097">
        <f>IFERROR(S186/S$117,0)</f>
        <v/>
      </c>
      <c r="BP186" s="4097">
        <f>IFERROR(T186/T$117,0)</f>
        <v/>
      </c>
      <c r="BQ186" s="4097">
        <f>IFERROR(U186/U$117,0)</f>
        <v/>
      </c>
      <c r="BR186" s="4097">
        <f>IFERROR(V186/V$117,0)</f>
        <v/>
      </c>
      <c r="BS186" s="4097">
        <f>IFERROR(W186/W$117,0)</f>
        <v/>
      </c>
      <c r="BT186" s="4097">
        <f>IFERROR(X186/X$117,0)</f>
        <v/>
      </c>
      <c r="BU186" s="4097">
        <f>IFERROR(Y186/Y$117,0)</f>
        <v/>
      </c>
      <c r="BV186" s="4097">
        <f>IFERROR(Z186/Z$117,0)</f>
        <v/>
      </c>
      <c r="BW186" s="4097">
        <f>IFERROR(AA186/AA$117,0)</f>
        <v/>
      </c>
      <c r="BX186" s="4097">
        <f>IFERROR(AB186/AB$117,0)</f>
        <v/>
      </c>
      <c r="BY186" s="4098">
        <f>IFERROR(AC186/AC$117,0)</f>
        <v/>
      </c>
      <c r="BZ186" s="4097">
        <f>IFERROR(AD186/AD$117,0)</f>
        <v/>
      </c>
      <c r="CA186" s="4097">
        <f>IFERROR(AE186/AE$117,0)</f>
        <v/>
      </c>
      <c r="CB186" s="4097">
        <f>IFERROR(AF186/AF$117,0)</f>
        <v/>
      </c>
      <c r="CC186" s="4097">
        <f>IFERROR(AG186/AG$117,0)</f>
        <v/>
      </c>
      <c r="CD186" s="4097">
        <f>IFERROR(AH186/AH$117,0)</f>
        <v/>
      </c>
      <c r="CE186" s="4097">
        <f>IFERROR(AI186/AI$117,0)</f>
        <v/>
      </c>
      <c r="CF186" s="4097">
        <f>IFERROR(AJ186/AJ$117,0)</f>
        <v/>
      </c>
      <c r="CG186" s="4097">
        <f>IFERROR(AK186/AK$117,0)</f>
        <v/>
      </c>
      <c r="CH186" s="4097">
        <f>IFERROR(AL186/AL$117,0)</f>
        <v/>
      </c>
      <c r="CI186" s="4097">
        <f>IFERROR(AM186/AM$117,0)</f>
        <v/>
      </c>
      <c r="CJ186" s="4097">
        <f>IFERROR(AN186/AN$117,0)</f>
        <v/>
      </c>
      <c r="CK186" s="4098">
        <f>IFERROR(AO186/AO$117,0)</f>
        <v/>
      </c>
      <c r="CL186" s="4097">
        <f>IFERROR(AP186/AP$117,0)</f>
        <v/>
      </c>
      <c r="CM186" s="4097">
        <f>IFERROR(AQ186/AQ$117,0)</f>
        <v/>
      </c>
      <c r="CN186" s="4097">
        <f>IFERROR(AR186/AR$117,0)</f>
        <v/>
      </c>
      <c r="CO186" s="4097">
        <f>IFERROR(AS186/AS$117,0)</f>
        <v/>
      </c>
      <c r="CP186" s="4097">
        <f>IFERROR(AT186/AT$117,0)</f>
        <v/>
      </c>
      <c r="CQ186" s="4099">
        <f>IFERROR(AU186/AU$117,0)</f>
        <v/>
      </c>
      <c r="CR186" s="4097">
        <f>IFERROR(AV186/AV$117,0)</f>
        <v/>
      </c>
      <c r="CS186" s="4097">
        <f>IFERROR(AW186/AW$117,0)</f>
        <v/>
      </c>
      <c r="CT186" s="4097">
        <f>IFERROR(AX186/AX$117,0)</f>
        <v/>
      </c>
      <c r="CU186" s="4097">
        <f>IFERROR(AY186/AY$117,0)</f>
        <v/>
      </c>
      <c r="CV186" s="4097">
        <f>IFERROR(AZ186/AZ$117,0)</f>
        <v/>
      </c>
      <c r="CW186" s="3737" t="n"/>
      <c r="CX186" s="4094" t="n">
        <v>-112.35204</v>
      </c>
    </row>
    <row r="187" hidden="1" outlineLevel="2" ht="12" customFormat="1" customHeight="1" s="3737">
      <c r="A187" s="4059" t="n"/>
      <c r="B187" s="4060" t="n"/>
      <c r="C187" s="4127" t="inlineStr">
        <is>
          <t>Dental insurance</t>
        </is>
      </c>
      <c r="D187" s="4093" t="n">
        <v>532102</v>
      </c>
      <c r="E187" s="4093">
        <f>CONCATENATE(D187," - ",C187)</f>
        <v/>
      </c>
      <c r="F187" s="4094" t="n"/>
      <c r="G187" s="4094" t="n"/>
      <c r="H187" s="4094" t="n"/>
      <c r="I187" s="4094" t="n"/>
      <c r="J187" s="4094" t="n"/>
      <c r="K187" s="4094" t="n"/>
      <c r="L187" s="4094" t="n"/>
      <c r="M187" s="4094" t="n"/>
      <c r="N187" s="4094" t="n"/>
      <c r="O187" s="4094" t="n"/>
      <c r="P187" s="4094" t="n"/>
      <c r="Q187" s="4095" t="n"/>
      <c r="R187" s="4094" t="n"/>
      <c r="S187" s="4094" t="n"/>
      <c r="T187" s="4094" t="n"/>
      <c r="U187" s="4094" t="n"/>
      <c r="V187" s="4094" t="n"/>
      <c r="W187" s="4094" t="n"/>
      <c r="X187" s="4094" t="n"/>
      <c r="Y187" s="4094" t="n"/>
      <c r="Z187" s="4094" t="n"/>
      <c r="AA187" s="4094" t="n"/>
      <c r="AB187" s="4094" t="n"/>
      <c r="AC187" s="4095" t="n"/>
      <c r="AD187" s="4094" t="n"/>
      <c r="AE187" s="4094" t="n"/>
      <c r="AF187" s="4094" t="n"/>
      <c r="AG187" s="4094" t="n"/>
      <c r="AH187" s="4094" t="n"/>
      <c r="AI187" s="4094" t="n"/>
      <c r="AJ187" s="4094" t="n"/>
      <c r="AK187" s="4094" t="n"/>
      <c r="AL187" s="4094" t="n"/>
      <c r="AM187" s="4094" t="n"/>
      <c r="AN187" s="4094" t="n"/>
      <c r="AO187" s="4095" t="n"/>
      <c r="AP187" s="4094" t="n">
        <v>-11.56507</v>
      </c>
      <c r="AQ187" s="4094" t="n">
        <v>-11.53608</v>
      </c>
      <c r="AR187" s="4094" t="n">
        <v>-11.38734</v>
      </c>
      <c r="AS187" s="4094" t="n">
        <v>-11.42491</v>
      </c>
      <c r="AT187" s="4094" t="n">
        <v>-11.61414</v>
      </c>
      <c r="AU187" s="4096" t="n">
        <v>-11.84602</v>
      </c>
      <c r="AV187" s="4094">
        <f>SUM(F187:Q187)</f>
        <v/>
      </c>
      <c r="AW187" s="4094">
        <f>SUM(R187:AC187)</f>
        <v/>
      </c>
      <c r="AX187" s="4094">
        <f>SUM(AD187:AO187)</f>
        <v/>
      </c>
      <c r="AY187" s="4094">
        <f>SUM(AH187:AS187)</f>
        <v/>
      </c>
      <c r="AZ187" s="4094">
        <f>SUM(AJ187:AU187)</f>
        <v/>
      </c>
      <c r="BA187" s="3737" t="n"/>
      <c r="BB187" s="4097">
        <f>IFERROR(F187/F$117,0)</f>
        <v/>
      </c>
      <c r="BC187" s="4097">
        <f>IFERROR(G187/G$117,0)</f>
        <v/>
      </c>
      <c r="BD187" s="4097">
        <f>IFERROR(H187/H$117,0)</f>
        <v/>
      </c>
      <c r="BE187" s="4097">
        <f>IFERROR(I187/I$117,0)</f>
        <v/>
      </c>
      <c r="BF187" s="4097">
        <f>IFERROR(J187/J$117,0)</f>
        <v/>
      </c>
      <c r="BG187" s="4097">
        <f>IFERROR(K187/K$117,0)</f>
        <v/>
      </c>
      <c r="BH187" s="4097">
        <f>IFERROR(L187/L$117,0)</f>
        <v/>
      </c>
      <c r="BI187" s="4097">
        <f>IFERROR(M187/M$117,0)</f>
        <v/>
      </c>
      <c r="BJ187" s="4097">
        <f>IFERROR(N187/N$117,0)</f>
        <v/>
      </c>
      <c r="BK187" s="4097">
        <f>IFERROR(O187/O$117,0)</f>
        <v/>
      </c>
      <c r="BL187" s="4097">
        <f>IFERROR(P187/P$117,0)</f>
        <v/>
      </c>
      <c r="BM187" s="4098">
        <f>IFERROR(Q187/Q$117,0)</f>
        <v/>
      </c>
      <c r="BN187" s="4097">
        <f>IFERROR(R187/R$117,0)</f>
        <v/>
      </c>
      <c r="BO187" s="4097">
        <f>IFERROR(S187/S$117,0)</f>
        <v/>
      </c>
      <c r="BP187" s="4097">
        <f>IFERROR(T187/T$117,0)</f>
        <v/>
      </c>
      <c r="BQ187" s="4097">
        <f>IFERROR(U187/U$117,0)</f>
        <v/>
      </c>
      <c r="BR187" s="4097">
        <f>IFERROR(V187/V$117,0)</f>
        <v/>
      </c>
      <c r="BS187" s="4097">
        <f>IFERROR(W187/W$117,0)</f>
        <v/>
      </c>
      <c r="BT187" s="4097">
        <f>IFERROR(X187/X$117,0)</f>
        <v/>
      </c>
      <c r="BU187" s="4097">
        <f>IFERROR(Y187/Y$117,0)</f>
        <v/>
      </c>
      <c r="BV187" s="4097">
        <f>IFERROR(Z187/Z$117,0)</f>
        <v/>
      </c>
      <c r="BW187" s="4097">
        <f>IFERROR(AA187/AA$117,0)</f>
        <v/>
      </c>
      <c r="BX187" s="4097">
        <f>IFERROR(AB187/AB$117,0)</f>
        <v/>
      </c>
      <c r="BY187" s="4098">
        <f>IFERROR(AC187/AC$117,0)</f>
        <v/>
      </c>
      <c r="BZ187" s="4097">
        <f>IFERROR(AD187/AD$117,0)</f>
        <v/>
      </c>
      <c r="CA187" s="4097">
        <f>IFERROR(AE187/AE$117,0)</f>
        <v/>
      </c>
      <c r="CB187" s="4097">
        <f>IFERROR(AF187/AF$117,0)</f>
        <v/>
      </c>
      <c r="CC187" s="4097">
        <f>IFERROR(AG187/AG$117,0)</f>
        <v/>
      </c>
      <c r="CD187" s="4097">
        <f>IFERROR(AH187/AH$117,0)</f>
        <v/>
      </c>
      <c r="CE187" s="4097">
        <f>IFERROR(AI187/AI$117,0)</f>
        <v/>
      </c>
      <c r="CF187" s="4097">
        <f>IFERROR(AJ187/AJ$117,0)</f>
        <v/>
      </c>
      <c r="CG187" s="4097">
        <f>IFERROR(AK187/AK$117,0)</f>
        <v/>
      </c>
      <c r="CH187" s="4097">
        <f>IFERROR(AL187/AL$117,0)</f>
        <v/>
      </c>
      <c r="CI187" s="4097">
        <f>IFERROR(AM187/AM$117,0)</f>
        <v/>
      </c>
      <c r="CJ187" s="4097">
        <f>IFERROR(AN187/AN$117,0)</f>
        <v/>
      </c>
      <c r="CK187" s="4098">
        <f>IFERROR(AO187/AO$117,0)</f>
        <v/>
      </c>
      <c r="CL187" s="4097">
        <f>IFERROR(AP187/AP$117,0)</f>
        <v/>
      </c>
      <c r="CM187" s="4097">
        <f>IFERROR(AQ187/AQ$117,0)</f>
        <v/>
      </c>
      <c r="CN187" s="4097">
        <f>IFERROR(AR187/AR$117,0)</f>
        <v/>
      </c>
      <c r="CO187" s="4097">
        <f>IFERROR(AS187/AS$117,0)</f>
        <v/>
      </c>
      <c r="CP187" s="4097">
        <f>IFERROR(AT187/AT$117,0)</f>
        <v/>
      </c>
      <c r="CQ187" s="4099">
        <f>IFERROR(AU187/AU$117,0)</f>
        <v/>
      </c>
      <c r="CR187" s="4097">
        <f>IFERROR(AV187/AV$117,0)</f>
        <v/>
      </c>
      <c r="CS187" s="4097">
        <f>IFERROR(AW187/AW$117,0)</f>
        <v/>
      </c>
      <c r="CT187" s="4097">
        <f>IFERROR(AX187/AX$117,0)</f>
        <v/>
      </c>
      <c r="CU187" s="4097">
        <f>IFERROR(AY187/AY$117,0)</f>
        <v/>
      </c>
      <c r="CV187" s="4097">
        <f>IFERROR(AZ187/AZ$117,0)</f>
        <v/>
      </c>
      <c r="CW187" s="3737" t="n"/>
      <c r="CX187" s="4094" t="n">
        <v>-89.03162</v>
      </c>
    </row>
    <row r="188" hidden="1" outlineLevel="2" ht="12" customFormat="1" customHeight="1" s="3737">
      <c r="A188" s="4059" t="n"/>
      <c r="B188" s="4060" t="n"/>
      <c r="C188" s="4127" t="inlineStr">
        <is>
          <t>Health spending account</t>
        </is>
      </c>
      <c r="D188" s="4093" t="n">
        <v>532103</v>
      </c>
      <c r="E188" s="4093">
        <f>CONCATENATE(D188," - ",C188)</f>
        <v/>
      </c>
      <c r="F188" s="4094" t="n"/>
      <c r="G188" s="4094" t="n"/>
      <c r="H188" s="4094" t="n"/>
      <c r="I188" s="4094" t="n"/>
      <c r="J188" s="4094" t="n"/>
      <c r="K188" s="4094" t="n"/>
      <c r="L188" s="4094" t="n"/>
      <c r="M188" s="4094" t="n"/>
      <c r="N188" s="4094" t="n"/>
      <c r="O188" s="4094" t="n"/>
      <c r="P188" s="4094" t="n"/>
      <c r="Q188" s="4095" t="n"/>
      <c r="R188" s="4094" t="n"/>
      <c r="S188" s="4094" t="n"/>
      <c r="T188" s="4094" t="n"/>
      <c r="U188" s="4094" t="n"/>
      <c r="V188" s="4094" t="n"/>
      <c r="W188" s="4094" t="n"/>
      <c r="X188" s="4094" t="n"/>
      <c r="Y188" s="4094" t="n"/>
      <c r="Z188" s="4094" t="n"/>
      <c r="AA188" s="4094" t="n"/>
      <c r="AB188" s="4094" t="n"/>
      <c r="AC188" s="4095" t="n"/>
      <c r="AD188" s="4094" t="n"/>
      <c r="AE188" s="4094" t="n"/>
      <c r="AF188" s="4094" t="n"/>
      <c r="AG188" s="4094" t="n"/>
      <c r="AH188" s="4094" t="n"/>
      <c r="AI188" s="4094" t="n"/>
      <c r="AJ188" s="4094" t="n"/>
      <c r="AK188" s="4094" t="n"/>
      <c r="AL188" s="4094" t="n"/>
      <c r="AM188" s="4094" t="n"/>
      <c r="AN188" s="4094" t="n"/>
      <c r="AO188" s="4095" t="n"/>
      <c r="AP188" s="4094" t="n">
        <v>-10.50922</v>
      </c>
      <c r="AQ188" s="4094" t="n">
        <v>-12.49756</v>
      </c>
      <c r="AR188" s="4094" t="n">
        <v>-12.68306</v>
      </c>
      <c r="AS188" s="4094" t="n">
        <v>-19.6442</v>
      </c>
      <c r="AT188" s="4094" t="n">
        <v>-12.04616</v>
      </c>
      <c r="AU188" s="4096" t="n">
        <v>-13.33442</v>
      </c>
      <c r="AV188" s="4094">
        <f>SUM(F188:Q188)</f>
        <v/>
      </c>
      <c r="AW188" s="4094">
        <f>SUM(R188:AC188)</f>
        <v/>
      </c>
      <c r="AX188" s="4094">
        <f>SUM(AD188:AO188)</f>
        <v/>
      </c>
      <c r="AY188" s="4094">
        <f>SUM(AH188:AS188)</f>
        <v/>
      </c>
      <c r="AZ188" s="4094">
        <f>SUM(AJ188:AU188)</f>
        <v/>
      </c>
      <c r="BA188" s="3737" t="n"/>
      <c r="BB188" s="4097">
        <f>IFERROR(F188/F$117,0)</f>
        <v/>
      </c>
      <c r="BC188" s="4097">
        <f>IFERROR(G188/G$117,0)</f>
        <v/>
      </c>
      <c r="BD188" s="4097">
        <f>IFERROR(H188/H$117,0)</f>
        <v/>
      </c>
      <c r="BE188" s="4097">
        <f>IFERROR(I188/I$117,0)</f>
        <v/>
      </c>
      <c r="BF188" s="4097">
        <f>IFERROR(J188/J$117,0)</f>
        <v/>
      </c>
      <c r="BG188" s="4097">
        <f>IFERROR(K188/K$117,0)</f>
        <v/>
      </c>
      <c r="BH188" s="4097">
        <f>IFERROR(L188/L$117,0)</f>
        <v/>
      </c>
      <c r="BI188" s="4097">
        <f>IFERROR(M188/M$117,0)</f>
        <v/>
      </c>
      <c r="BJ188" s="4097">
        <f>IFERROR(N188/N$117,0)</f>
        <v/>
      </c>
      <c r="BK188" s="4097">
        <f>IFERROR(O188/O$117,0)</f>
        <v/>
      </c>
      <c r="BL188" s="4097">
        <f>IFERROR(P188/P$117,0)</f>
        <v/>
      </c>
      <c r="BM188" s="4098">
        <f>IFERROR(Q188/Q$117,0)</f>
        <v/>
      </c>
      <c r="BN188" s="4097">
        <f>IFERROR(R188/R$117,0)</f>
        <v/>
      </c>
      <c r="BO188" s="4097">
        <f>IFERROR(S188/S$117,0)</f>
        <v/>
      </c>
      <c r="BP188" s="4097">
        <f>IFERROR(T188/T$117,0)</f>
        <v/>
      </c>
      <c r="BQ188" s="4097">
        <f>IFERROR(U188/U$117,0)</f>
        <v/>
      </c>
      <c r="BR188" s="4097">
        <f>IFERROR(V188/V$117,0)</f>
        <v/>
      </c>
      <c r="BS188" s="4097">
        <f>IFERROR(W188/W$117,0)</f>
        <v/>
      </c>
      <c r="BT188" s="4097">
        <f>IFERROR(X188/X$117,0)</f>
        <v/>
      </c>
      <c r="BU188" s="4097">
        <f>IFERROR(Y188/Y$117,0)</f>
        <v/>
      </c>
      <c r="BV188" s="4097">
        <f>IFERROR(Z188/Z$117,0)</f>
        <v/>
      </c>
      <c r="BW188" s="4097">
        <f>IFERROR(AA188/AA$117,0)</f>
        <v/>
      </c>
      <c r="BX188" s="4097">
        <f>IFERROR(AB188/AB$117,0)</f>
        <v/>
      </c>
      <c r="BY188" s="4098">
        <f>IFERROR(AC188/AC$117,0)</f>
        <v/>
      </c>
      <c r="BZ188" s="4097">
        <f>IFERROR(AD188/AD$117,0)</f>
        <v/>
      </c>
      <c r="CA188" s="4097">
        <f>IFERROR(AE188/AE$117,0)</f>
        <v/>
      </c>
      <c r="CB188" s="4097">
        <f>IFERROR(AF188/AF$117,0)</f>
        <v/>
      </c>
      <c r="CC188" s="4097">
        <f>IFERROR(AG188/AG$117,0)</f>
        <v/>
      </c>
      <c r="CD188" s="4097">
        <f>IFERROR(AH188/AH$117,0)</f>
        <v/>
      </c>
      <c r="CE188" s="4097">
        <f>IFERROR(AI188/AI$117,0)</f>
        <v/>
      </c>
      <c r="CF188" s="4097">
        <f>IFERROR(AJ188/AJ$117,0)</f>
        <v/>
      </c>
      <c r="CG188" s="4097">
        <f>IFERROR(AK188/AK$117,0)</f>
        <v/>
      </c>
      <c r="CH188" s="4097">
        <f>IFERROR(AL188/AL$117,0)</f>
        <v/>
      </c>
      <c r="CI188" s="4097">
        <f>IFERROR(AM188/AM$117,0)</f>
        <v/>
      </c>
      <c r="CJ188" s="4097">
        <f>IFERROR(AN188/AN$117,0)</f>
        <v/>
      </c>
      <c r="CK188" s="4098">
        <f>IFERROR(AO188/AO$117,0)</f>
        <v/>
      </c>
      <c r="CL188" s="4097">
        <f>IFERROR(AP188/AP$117,0)</f>
        <v/>
      </c>
      <c r="CM188" s="4097">
        <f>IFERROR(AQ188/AQ$117,0)</f>
        <v/>
      </c>
      <c r="CN188" s="4097">
        <f>IFERROR(AR188/AR$117,0)</f>
        <v/>
      </c>
      <c r="CO188" s="4097">
        <f>IFERROR(AS188/AS$117,0)</f>
        <v/>
      </c>
      <c r="CP188" s="4097">
        <f>IFERROR(AT188/AT$117,0)</f>
        <v/>
      </c>
      <c r="CQ188" s="4099">
        <f>IFERROR(AU188/AU$117,0)</f>
        <v/>
      </c>
      <c r="CR188" s="4097">
        <f>IFERROR(AV188/AV$117,0)</f>
        <v/>
      </c>
      <c r="CS188" s="4097">
        <f>IFERROR(AW188/AW$117,0)</f>
        <v/>
      </c>
      <c r="CT188" s="4097">
        <f>IFERROR(AX188/AX$117,0)</f>
        <v/>
      </c>
      <c r="CU188" s="4097">
        <f>IFERROR(AY188/AY$117,0)</f>
        <v/>
      </c>
      <c r="CV188" s="4097">
        <f>IFERROR(AZ188/AZ$117,0)</f>
        <v/>
      </c>
      <c r="CW188" s="3737" t="n"/>
      <c r="CX188" s="4094" t="n">
        <v>-108.05419</v>
      </c>
    </row>
    <row r="189" hidden="1" outlineLevel="2" ht="12" customFormat="1" customHeight="1" s="3737">
      <c r="A189" s="4059" t="n"/>
      <c r="B189" s="4060" t="n"/>
      <c r="C189" s="4127" t="inlineStr">
        <is>
          <t>Disability and life insurance</t>
        </is>
      </c>
      <c r="D189" s="4093" t="n">
        <v>532104</v>
      </c>
      <c r="E189" s="4093">
        <f>CONCATENATE(D189," - ",C189)</f>
        <v/>
      </c>
      <c r="F189" s="4094" t="n"/>
      <c r="G189" s="4094" t="n"/>
      <c r="H189" s="4094" t="n"/>
      <c r="I189" s="4094" t="n"/>
      <c r="J189" s="4094" t="n"/>
      <c r="K189" s="4094" t="n"/>
      <c r="L189" s="4094" t="n"/>
      <c r="M189" s="4094" t="n"/>
      <c r="N189" s="4094" t="n"/>
      <c r="O189" s="4094" t="n"/>
      <c r="P189" s="4094" t="n"/>
      <c r="Q189" s="4095" t="n"/>
      <c r="R189" s="4094" t="n"/>
      <c r="S189" s="4094" t="n"/>
      <c r="T189" s="4094" t="n"/>
      <c r="U189" s="4094" t="n"/>
      <c r="V189" s="4094" t="n"/>
      <c r="W189" s="4094" t="n"/>
      <c r="X189" s="4094" t="n"/>
      <c r="Y189" s="4094" t="n"/>
      <c r="Z189" s="4094" t="n"/>
      <c r="AA189" s="4094" t="n"/>
      <c r="AB189" s="4094" t="n"/>
      <c r="AC189" s="4095" t="n"/>
      <c r="AD189" s="4094" t="n"/>
      <c r="AE189" s="4094" t="n"/>
      <c r="AF189" s="4094" t="n"/>
      <c r="AG189" s="4094" t="n"/>
      <c r="AH189" s="4094" t="n"/>
      <c r="AI189" s="4094" t="n"/>
      <c r="AJ189" s="4094" t="n"/>
      <c r="AK189" s="4094" t="n"/>
      <c r="AL189" s="4094" t="n"/>
      <c r="AM189" s="4094" t="n"/>
      <c r="AN189" s="4094" t="n"/>
      <c r="AO189" s="4095" t="n"/>
      <c r="AP189" s="4094" t="n">
        <v>-7.77458</v>
      </c>
      <c r="AQ189" s="4094" t="n">
        <v>-8.58928</v>
      </c>
      <c r="AR189" s="4094" t="n">
        <v>-7.871</v>
      </c>
      <c r="AS189" s="4094" t="n">
        <v>-7.73862</v>
      </c>
      <c r="AT189" s="4094" t="n">
        <v>-8.1471</v>
      </c>
      <c r="AU189" s="4096" t="n">
        <v>-8.01956</v>
      </c>
      <c r="AV189" s="4094">
        <f>SUM(F189:Q189)</f>
        <v/>
      </c>
      <c r="AW189" s="4094">
        <f>SUM(R189:AC189)</f>
        <v/>
      </c>
      <c r="AX189" s="4094">
        <f>SUM(AD189:AO189)</f>
        <v/>
      </c>
      <c r="AY189" s="4094">
        <f>SUM(AH189:AS189)</f>
        <v/>
      </c>
      <c r="AZ189" s="4094">
        <f>SUM(AJ189:AU189)</f>
        <v/>
      </c>
      <c r="BA189" s="3737" t="n"/>
      <c r="BB189" s="4097">
        <f>IFERROR(F189/F$117,0)</f>
        <v/>
      </c>
      <c r="BC189" s="4097">
        <f>IFERROR(G189/G$117,0)</f>
        <v/>
      </c>
      <c r="BD189" s="4097">
        <f>IFERROR(H189/H$117,0)</f>
        <v/>
      </c>
      <c r="BE189" s="4097">
        <f>IFERROR(I189/I$117,0)</f>
        <v/>
      </c>
      <c r="BF189" s="4097">
        <f>IFERROR(J189/J$117,0)</f>
        <v/>
      </c>
      <c r="BG189" s="4097">
        <f>IFERROR(K189/K$117,0)</f>
        <v/>
      </c>
      <c r="BH189" s="4097">
        <f>IFERROR(L189/L$117,0)</f>
        <v/>
      </c>
      <c r="BI189" s="4097">
        <f>IFERROR(M189/M$117,0)</f>
        <v/>
      </c>
      <c r="BJ189" s="4097">
        <f>IFERROR(N189/N$117,0)</f>
        <v/>
      </c>
      <c r="BK189" s="4097">
        <f>IFERROR(O189/O$117,0)</f>
        <v/>
      </c>
      <c r="BL189" s="4097">
        <f>IFERROR(P189/P$117,0)</f>
        <v/>
      </c>
      <c r="BM189" s="4098">
        <f>IFERROR(Q189/Q$117,0)</f>
        <v/>
      </c>
      <c r="BN189" s="4097">
        <f>IFERROR(R189/R$117,0)</f>
        <v/>
      </c>
      <c r="BO189" s="4097">
        <f>IFERROR(S189/S$117,0)</f>
        <v/>
      </c>
      <c r="BP189" s="4097">
        <f>IFERROR(T189/T$117,0)</f>
        <v/>
      </c>
      <c r="BQ189" s="4097">
        <f>IFERROR(U189/U$117,0)</f>
        <v/>
      </c>
      <c r="BR189" s="4097">
        <f>IFERROR(V189/V$117,0)</f>
        <v/>
      </c>
      <c r="BS189" s="4097">
        <f>IFERROR(W189/W$117,0)</f>
        <v/>
      </c>
      <c r="BT189" s="4097">
        <f>IFERROR(X189/X$117,0)</f>
        <v/>
      </c>
      <c r="BU189" s="4097">
        <f>IFERROR(Y189/Y$117,0)</f>
        <v/>
      </c>
      <c r="BV189" s="4097">
        <f>IFERROR(Z189/Z$117,0)</f>
        <v/>
      </c>
      <c r="BW189" s="4097">
        <f>IFERROR(AA189/AA$117,0)</f>
        <v/>
      </c>
      <c r="BX189" s="4097">
        <f>IFERROR(AB189/AB$117,0)</f>
        <v/>
      </c>
      <c r="BY189" s="4098">
        <f>IFERROR(AC189/AC$117,0)</f>
        <v/>
      </c>
      <c r="BZ189" s="4097">
        <f>IFERROR(AD189/AD$117,0)</f>
        <v/>
      </c>
      <c r="CA189" s="4097">
        <f>IFERROR(AE189/AE$117,0)</f>
        <v/>
      </c>
      <c r="CB189" s="4097">
        <f>IFERROR(AF189/AF$117,0)</f>
        <v/>
      </c>
      <c r="CC189" s="4097">
        <f>IFERROR(AG189/AG$117,0)</f>
        <v/>
      </c>
      <c r="CD189" s="4097">
        <f>IFERROR(AH189/AH$117,0)</f>
        <v/>
      </c>
      <c r="CE189" s="4097">
        <f>IFERROR(AI189/AI$117,0)</f>
        <v/>
      </c>
      <c r="CF189" s="4097">
        <f>IFERROR(AJ189/AJ$117,0)</f>
        <v/>
      </c>
      <c r="CG189" s="4097">
        <f>IFERROR(AK189/AK$117,0)</f>
        <v/>
      </c>
      <c r="CH189" s="4097">
        <f>IFERROR(AL189/AL$117,0)</f>
        <v/>
      </c>
      <c r="CI189" s="4097">
        <f>IFERROR(AM189/AM$117,0)</f>
        <v/>
      </c>
      <c r="CJ189" s="4097">
        <f>IFERROR(AN189/AN$117,0)</f>
        <v/>
      </c>
      <c r="CK189" s="4098">
        <f>IFERROR(AO189/AO$117,0)</f>
        <v/>
      </c>
      <c r="CL189" s="4097">
        <f>IFERROR(AP189/AP$117,0)</f>
        <v/>
      </c>
      <c r="CM189" s="4097">
        <f>IFERROR(AQ189/AQ$117,0)</f>
        <v/>
      </c>
      <c r="CN189" s="4097">
        <f>IFERROR(AR189/AR$117,0)</f>
        <v/>
      </c>
      <c r="CO189" s="4097">
        <f>IFERROR(AS189/AS$117,0)</f>
        <v/>
      </c>
      <c r="CP189" s="4097">
        <f>IFERROR(AT189/AT$117,0)</f>
        <v/>
      </c>
      <c r="CQ189" s="4099">
        <f>IFERROR(AU189/AU$117,0)</f>
        <v/>
      </c>
      <c r="CR189" s="4097">
        <f>IFERROR(AV189/AV$117,0)</f>
        <v/>
      </c>
      <c r="CS189" s="4097">
        <f>IFERROR(AW189/AW$117,0)</f>
        <v/>
      </c>
      <c r="CT189" s="4097">
        <f>IFERROR(AX189/AX$117,0)</f>
        <v/>
      </c>
      <c r="CU189" s="4097">
        <f>IFERROR(AY189/AY$117,0)</f>
        <v/>
      </c>
      <c r="CV189" s="4097">
        <f>IFERROR(AZ189/AZ$117,0)</f>
        <v/>
      </c>
      <c r="CW189" s="3737" t="n"/>
      <c r="CX189" s="4094" t="n">
        <v>-79.20741</v>
      </c>
    </row>
    <row r="190" hidden="1" outlineLevel="2" ht="12" customFormat="1" customHeight="1" s="3737">
      <c r="A190" s="4059" t="n"/>
      <c r="B190" s="4060" t="n"/>
      <c r="C190" s="4127" t="inlineStr">
        <is>
          <t>Supplement exec retire plan- exec office</t>
        </is>
      </c>
      <c r="D190" s="4093" t="n">
        <v>532304</v>
      </c>
      <c r="E190" s="4093">
        <f>CONCATENATE(D190," - ",C190)</f>
        <v/>
      </c>
      <c r="F190" s="4094" t="n"/>
      <c r="G190" s="4094" t="n"/>
      <c r="H190" s="4094" t="n"/>
      <c r="I190" s="4094" t="n"/>
      <c r="J190" s="4094" t="n"/>
      <c r="K190" s="4094" t="n"/>
      <c r="L190" s="4094" t="n"/>
      <c r="M190" s="4094" t="n"/>
      <c r="N190" s="4094" t="n"/>
      <c r="O190" s="4094" t="n"/>
      <c r="P190" s="4094" t="n"/>
      <c r="Q190" s="4095" t="n"/>
      <c r="R190" s="4094" t="n"/>
      <c r="S190" s="4094" t="n"/>
      <c r="T190" s="4094" t="n"/>
      <c r="U190" s="4094" t="n"/>
      <c r="V190" s="4094" t="n"/>
      <c r="W190" s="4094" t="n"/>
      <c r="X190" s="4094" t="n"/>
      <c r="Y190" s="4094" t="n"/>
      <c r="Z190" s="4094" t="n"/>
      <c r="AA190" s="4094" t="n"/>
      <c r="AB190" s="4094" t="n"/>
      <c r="AC190" s="4095" t="n"/>
      <c r="AD190" s="4094" t="n"/>
      <c r="AE190" s="4094" t="n"/>
      <c r="AF190" s="4094" t="n"/>
      <c r="AG190" s="4094" t="n"/>
      <c r="AH190" s="4094" t="n"/>
      <c r="AI190" s="4094" t="n"/>
      <c r="AJ190" s="4094" t="n"/>
      <c r="AK190" s="4094" t="n"/>
      <c r="AL190" s="4094" t="n"/>
      <c r="AM190" s="4094" t="n"/>
      <c r="AN190" s="4094" t="n"/>
      <c r="AO190" s="4095" t="n"/>
      <c r="AP190" s="4094" t="n">
        <v>-1.869</v>
      </c>
      <c r="AQ190" s="4094" t="n">
        <v>-1.869</v>
      </c>
      <c r="AR190" s="4094" t="n">
        <v>-1.869</v>
      </c>
      <c r="AS190" s="4094" t="n">
        <v>-1.869</v>
      </c>
      <c r="AT190" s="4094" t="n">
        <v>-1.869</v>
      </c>
      <c r="AU190" s="4096" t="n">
        <v>-1.869</v>
      </c>
      <c r="AV190" s="4094">
        <f>SUM(F190:Q190)</f>
        <v/>
      </c>
      <c r="AW190" s="4094">
        <f>SUM(R190:AC190)</f>
        <v/>
      </c>
      <c r="AX190" s="4094">
        <f>SUM(AD190:AO190)</f>
        <v/>
      </c>
      <c r="AY190" s="4094">
        <f>SUM(AH190:AS190)</f>
        <v/>
      </c>
      <c r="AZ190" s="4094">
        <f>SUM(AJ190:AU190)</f>
        <v/>
      </c>
      <c r="BA190" s="3737" t="n"/>
      <c r="BB190" s="4097">
        <f>IFERROR(F190/F$117,0)</f>
        <v/>
      </c>
      <c r="BC190" s="4097">
        <f>IFERROR(G190/G$117,0)</f>
        <v/>
      </c>
      <c r="BD190" s="4097">
        <f>IFERROR(H190/H$117,0)</f>
        <v/>
      </c>
      <c r="BE190" s="4097">
        <f>IFERROR(I190/I$117,0)</f>
        <v/>
      </c>
      <c r="BF190" s="4097">
        <f>IFERROR(J190/J$117,0)</f>
        <v/>
      </c>
      <c r="BG190" s="4097">
        <f>IFERROR(K190/K$117,0)</f>
        <v/>
      </c>
      <c r="BH190" s="4097">
        <f>IFERROR(L190/L$117,0)</f>
        <v/>
      </c>
      <c r="BI190" s="4097">
        <f>IFERROR(M190/M$117,0)</f>
        <v/>
      </c>
      <c r="BJ190" s="4097">
        <f>IFERROR(N190/N$117,0)</f>
        <v/>
      </c>
      <c r="BK190" s="4097">
        <f>IFERROR(O190/O$117,0)</f>
        <v/>
      </c>
      <c r="BL190" s="4097">
        <f>IFERROR(P190/P$117,0)</f>
        <v/>
      </c>
      <c r="BM190" s="4098">
        <f>IFERROR(Q190/Q$117,0)</f>
        <v/>
      </c>
      <c r="BN190" s="4097">
        <f>IFERROR(R190/R$117,0)</f>
        <v/>
      </c>
      <c r="BO190" s="4097">
        <f>IFERROR(S190/S$117,0)</f>
        <v/>
      </c>
      <c r="BP190" s="4097">
        <f>IFERROR(T190/T$117,0)</f>
        <v/>
      </c>
      <c r="BQ190" s="4097">
        <f>IFERROR(U190/U$117,0)</f>
        <v/>
      </c>
      <c r="BR190" s="4097">
        <f>IFERROR(V190/V$117,0)</f>
        <v/>
      </c>
      <c r="BS190" s="4097">
        <f>IFERROR(W190/W$117,0)</f>
        <v/>
      </c>
      <c r="BT190" s="4097">
        <f>IFERROR(X190/X$117,0)</f>
        <v/>
      </c>
      <c r="BU190" s="4097">
        <f>IFERROR(Y190/Y$117,0)</f>
        <v/>
      </c>
      <c r="BV190" s="4097">
        <f>IFERROR(Z190/Z$117,0)</f>
        <v/>
      </c>
      <c r="BW190" s="4097">
        <f>IFERROR(AA190/AA$117,0)</f>
        <v/>
      </c>
      <c r="BX190" s="4097">
        <f>IFERROR(AB190/AB$117,0)</f>
        <v/>
      </c>
      <c r="BY190" s="4098">
        <f>IFERROR(AC190/AC$117,0)</f>
        <v/>
      </c>
      <c r="BZ190" s="4097">
        <f>IFERROR(AD190/AD$117,0)</f>
        <v/>
      </c>
      <c r="CA190" s="4097">
        <f>IFERROR(AE190/AE$117,0)</f>
        <v/>
      </c>
      <c r="CB190" s="4097">
        <f>IFERROR(AF190/AF$117,0)</f>
        <v/>
      </c>
      <c r="CC190" s="4097">
        <f>IFERROR(AG190/AG$117,0)</f>
        <v/>
      </c>
      <c r="CD190" s="4097">
        <f>IFERROR(AH190/AH$117,0)</f>
        <v/>
      </c>
      <c r="CE190" s="4097">
        <f>IFERROR(AI190/AI$117,0)</f>
        <v/>
      </c>
      <c r="CF190" s="4097">
        <f>IFERROR(AJ190/AJ$117,0)</f>
        <v/>
      </c>
      <c r="CG190" s="4097">
        <f>IFERROR(AK190/AK$117,0)</f>
        <v/>
      </c>
      <c r="CH190" s="4097">
        <f>IFERROR(AL190/AL$117,0)</f>
        <v/>
      </c>
      <c r="CI190" s="4097">
        <f>IFERROR(AM190/AM$117,0)</f>
        <v/>
      </c>
      <c r="CJ190" s="4097">
        <f>IFERROR(AN190/AN$117,0)</f>
        <v/>
      </c>
      <c r="CK190" s="4098">
        <f>IFERROR(AO190/AO$117,0)</f>
        <v/>
      </c>
      <c r="CL190" s="4097">
        <f>IFERROR(AP190/AP$117,0)</f>
        <v/>
      </c>
      <c r="CM190" s="4097">
        <f>IFERROR(AQ190/AQ$117,0)</f>
        <v/>
      </c>
      <c r="CN190" s="4097">
        <f>IFERROR(AR190/AR$117,0)</f>
        <v/>
      </c>
      <c r="CO190" s="4097">
        <f>IFERROR(AS190/AS$117,0)</f>
        <v/>
      </c>
      <c r="CP190" s="4097">
        <f>IFERROR(AT190/AT$117,0)</f>
        <v/>
      </c>
      <c r="CQ190" s="4099">
        <f>IFERROR(AU190/AU$117,0)</f>
        <v/>
      </c>
      <c r="CR190" s="4097">
        <f>IFERROR(AV190/AV$117,0)</f>
        <v/>
      </c>
      <c r="CS190" s="4097">
        <f>IFERROR(AW190/AW$117,0)</f>
        <v/>
      </c>
      <c r="CT190" s="4097">
        <f>IFERROR(AX190/AX$117,0)</f>
        <v/>
      </c>
      <c r="CU190" s="4097">
        <f>IFERROR(AY190/AY$117,0)</f>
        <v/>
      </c>
      <c r="CV190" s="4097">
        <f>IFERROR(AZ190/AZ$117,0)</f>
        <v/>
      </c>
      <c r="CW190" s="3737" t="n"/>
      <c r="CX190" s="4094" t="n">
        <v>-14.14</v>
      </c>
    </row>
    <row r="191" hidden="1" outlineLevel="2" ht="12" customFormat="1" customHeight="1" s="3737">
      <c r="A191" s="4059" t="n"/>
      <c r="B191" s="4060" t="n"/>
      <c r="C191" s="4127" t="inlineStr">
        <is>
          <t>Employee miscellaneous incentives</t>
        </is>
      </c>
      <c r="D191" s="4093" t="n">
        <v>532306</v>
      </c>
      <c r="E191" s="4093">
        <f>CONCATENATE(D191," - ",C191)</f>
        <v/>
      </c>
      <c r="F191" s="4094" t="n"/>
      <c r="G191" s="4094" t="n"/>
      <c r="H191" s="4094" t="n"/>
      <c r="I191" s="4094" t="n"/>
      <c r="J191" s="4094" t="n"/>
      <c r="K191" s="4094" t="n"/>
      <c r="L191" s="4094" t="n"/>
      <c r="M191" s="4094" t="n"/>
      <c r="N191" s="4094" t="n"/>
      <c r="O191" s="4094" t="n"/>
      <c r="P191" s="4094" t="n"/>
      <c r="Q191" s="4095" t="n"/>
      <c r="R191" s="4094" t="n"/>
      <c r="S191" s="4094" t="n"/>
      <c r="T191" s="4094" t="n"/>
      <c r="U191" s="4094" t="n"/>
      <c r="V191" s="4094" t="n"/>
      <c r="W191" s="4094" t="n"/>
      <c r="X191" s="4094" t="n"/>
      <c r="Y191" s="4094" t="n"/>
      <c r="Z191" s="4094" t="n"/>
      <c r="AA191" s="4094" t="n"/>
      <c r="AB191" s="4094" t="n"/>
      <c r="AC191" s="4095" t="n"/>
      <c r="AD191" s="4094" t="n"/>
      <c r="AE191" s="4094" t="n"/>
      <c r="AF191" s="4094" t="n"/>
      <c r="AG191" s="4094" t="n"/>
      <c r="AH191" s="4094" t="n"/>
      <c r="AI191" s="4094" t="n"/>
      <c r="AJ191" s="4094" t="n"/>
      <c r="AK191" s="4094" t="n"/>
      <c r="AL191" s="4094" t="n"/>
      <c r="AM191" s="4094" t="n"/>
      <c r="AN191" s="4094" t="n"/>
      <c r="AO191" s="4095" t="n"/>
      <c r="AP191" s="4094" t="n">
        <v>-1.18429</v>
      </c>
      <c r="AQ191" s="4094" t="n">
        <v>-1.18968</v>
      </c>
      <c r="AR191" s="4094" t="n">
        <v>-1.1695</v>
      </c>
      <c r="AS191" s="4094" t="n">
        <v>-1.18567</v>
      </c>
      <c r="AT191" s="4094" t="n">
        <v>-1.22338</v>
      </c>
      <c r="AU191" s="4096" t="n">
        <v>-1.24496</v>
      </c>
      <c r="AV191" s="4094">
        <f>SUM(F191:Q191)</f>
        <v/>
      </c>
      <c r="AW191" s="4094">
        <f>SUM(R191:AC191)</f>
        <v/>
      </c>
      <c r="AX191" s="4094">
        <f>SUM(AD191:AO191)</f>
        <v/>
      </c>
      <c r="AY191" s="4094">
        <f>SUM(AH191:AS191)</f>
        <v/>
      </c>
      <c r="AZ191" s="4094">
        <f>SUM(AJ191:AU191)</f>
        <v/>
      </c>
      <c r="BA191" s="3737" t="n"/>
      <c r="BB191" s="4097">
        <f>IFERROR(F191/F$117,0)</f>
        <v/>
      </c>
      <c r="BC191" s="4097">
        <f>IFERROR(G191/G$117,0)</f>
        <v/>
      </c>
      <c r="BD191" s="4097">
        <f>IFERROR(H191/H$117,0)</f>
        <v/>
      </c>
      <c r="BE191" s="4097">
        <f>IFERROR(I191/I$117,0)</f>
        <v/>
      </c>
      <c r="BF191" s="4097">
        <f>IFERROR(J191/J$117,0)</f>
        <v/>
      </c>
      <c r="BG191" s="4097">
        <f>IFERROR(K191/K$117,0)</f>
        <v/>
      </c>
      <c r="BH191" s="4097">
        <f>IFERROR(L191/L$117,0)</f>
        <v/>
      </c>
      <c r="BI191" s="4097">
        <f>IFERROR(M191/M$117,0)</f>
        <v/>
      </c>
      <c r="BJ191" s="4097">
        <f>IFERROR(N191/N$117,0)</f>
        <v/>
      </c>
      <c r="BK191" s="4097">
        <f>IFERROR(O191/O$117,0)</f>
        <v/>
      </c>
      <c r="BL191" s="4097">
        <f>IFERROR(P191/P$117,0)</f>
        <v/>
      </c>
      <c r="BM191" s="4098">
        <f>IFERROR(Q191/Q$117,0)</f>
        <v/>
      </c>
      <c r="BN191" s="4097">
        <f>IFERROR(R191/R$117,0)</f>
        <v/>
      </c>
      <c r="BO191" s="4097">
        <f>IFERROR(S191/S$117,0)</f>
        <v/>
      </c>
      <c r="BP191" s="4097">
        <f>IFERROR(T191/T$117,0)</f>
        <v/>
      </c>
      <c r="BQ191" s="4097">
        <f>IFERROR(U191/U$117,0)</f>
        <v/>
      </c>
      <c r="BR191" s="4097">
        <f>IFERROR(V191/V$117,0)</f>
        <v/>
      </c>
      <c r="BS191" s="4097">
        <f>IFERROR(W191/W$117,0)</f>
        <v/>
      </c>
      <c r="BT191" s="4097">
        <f>IFERROR(X191/X$117,0)</f>
        <v/>
      </c>
      <c r="BU191" s="4097">
        <f>IFERROR(Y191/Y$117,0)</f>
        <v/>
      </c>
      <c r="BV191" s="4097">
        <f>IFERROR(Z191/Z$117,0)</f>
        <v/>
      </c>
      <c r="BW191" s="4097">
        <f>IFERROR(AA191/AA$117,0)</f>
        <v/>
      </c>
      <c r="BX191" s="4097">
        <f>IFERROR(AB191/AB$117,0)</f>
        <v/>
      </c>
      <c r="BY191" s="4098">
        <f>IFERROR(AC191/AC$117,0)</f>
        <v/>
      </c>
      <c r="BZ191" s="4097">
        <f>IFERROR(AD191/AD$117,0)</f>
        <v/>
      </c>
      <c r="CA191" s="4097">
        <f>IFERROR(AE191/AE$117,0)</f>
        <v/>
      </c>
      <c r="CB191" s="4097">
        <f>IFERROR(AF191/AF$117,0)</f>
        <v/>
      </c>
      <c r="CC191" s="4097">
        <f>IFERROR(AG191/AG$117,0)</f>
        <v/>
      </c>
      <c r="CD191" s="4097">
        <f>IFERROR(AH191/AH$117,0)</f>
        <v/>
      </c>
      <c r="CE191" s="4097">
        <f>IFERROR(AI191/AI$117,0)</f>
        <v/>
      </c>
      <c r="CF191" s="4097">
        <f>IFERROR(AJ191/AJ$117,0)</f>
        <v/>
      </c>
      <c r="CG191" s="4097">
        <f>IFERROR(AK191/AK$117,0)</f>
        <v/>
      </c>
      <c r="CH191" s="4097">
        <f>IFERROR(AL191/AL$117,0)</f>
        <v/>
      </c>
      <c r="CI191" s="4097">
        <f>IFERROR(AM191/AM$117,0)</f>
        <v/>
      </c>
      <c r="CJ191" s="4097">
        <f>IFERROR(AN191/AN$117,0)</f>
        <v/>
      </c>
      <c r="CK191" s="4098">
        <f>IFERROR(AO191/AO$117,0)</f>
        <v/>
      </c>
      <c r="CL191" s="4097">
        <f>IFERROR(AP191/AP$117,0)</f>
        <v/>
      </c>
      <c r="CM191" s="4097">
        <f>IFERROR(AQ191/AQ$117,0)</f>
        <v/>
      </c>
      <c r="CN191" s="4097">
        <f>IFERROR(AR191/AR$117,0)</f>
        <v/>
      </c>
      <c r="CO191" s="4097">
        <f>IFERROR(AS191/AS$117,0)</f>
        <v/>
      </c>
      <c r="CP191" s="4097">
        <f>IFERROR(AT191/AT$117,0)</f>
        <v/>
      </c>
      <c r="CQ191" s="4099">
        <f>IFERROR(AU191/AU$117,0)</f>
        <v/>
      </c>
      <c r="CR191" s="4097">
        <f>IFERROR(AV191/AV$117,0)</f>
        <v/>
      </c>
      <c r="CS191" s="4097">
        <f>IFERROR(AW191/AW$117,0)</f>
        <v/>
      </c>
      <c r="CT191" s="4097">
        <f>IFERROR(AX191/AX$117,0)</f>
        <v/>
      </c>
      <c r="CU191" s="4097">
        <f>IFERROR(AY191/AY$117,0)</f>
        <v/>
      </c>
      <c r="CV191" s="4097">
        <f>IFERROR(AZ191/AZ$117,0)</f>
        <v/>
      </c>
      <c r="CW191" s="3737" t="n"/>
      <c r="CX191" s="4094" t="n">
        <v>-8.18084</v>
      </c>
    </row>
    <row r="192" hidden="1" outlineLevel="2" ht="12" customFormat="1" customHeight="1" s="3737">
      <c r="A192" s="4059" t="n"/>
      <c r="B192" s="4060" t="n"/>
      <c r="C192" s="4127" t="inlineStr">
        <is>
          <t>Employee benefits - gas allowances</t>
        </is>
      </c>
      <c r="D192" s="4093" t="n">
        <v>532308</v>
      </c>
      <c r="E192" s="4093">
        <f>CONCATENATE(D192," - ",C192)</f>
        <v/>
      </c>
      <c r="F192" s="4094" t="n"/>
      <c r="G192" s="4094" t="n"/>
      <c r="H192" s="4094" t="n"/>
      <c r="I192" s="4094" t="n"/>
      <c r="J192" s="4094" t="n"/>
      <c r="K192" s="4094" t="n"/>
      <c r="L192" s="4094" t="n"/>
      <c r="M192" s="4094" t="n"/>
      <c r="N192" s="4094" t="n"/>
      <c r="O192" s="4094" t="n"/>
      <c r="P192" s="4094" t="n"/>
      <c r="Q192" s="4095" t="n"/>
      <c r="R192" s="4094" t="n"/>
      <c r="S192" s="4094" t="n"/>
      <c r="T192" s="4094" t="n"/>
      <c r="U192" s="4094" t="n"/>
      <c r="V192" s="4094" t="n"/>
      <c r="W192" s="4094" t="n"/>
      <c r="X192" s="4094" t="n"/>
      <c r="Y192" s="4094" t="n"/>
      <c r="Z192" s="4094" t="n"/>
      <c r="AA192" s="4094" t="n"/>
      <c r="AB192" s="4094" t="n"/>
      <c r="AC192" s="4095" t="n"/>
      <c r="AD192" s="4094" t="n"/>
      <c r="AE192" s="4094" t="n"/>
      <c r="AF192" s="4094" t="n"/>
      <c r="AG192" s="4094" t="n"/>
      <c r="AH192" s="4094" t="n"/>
      <c r="AI192" s="4094" t="n"/>
      <c r="AJ192" s="4094" t="n"/>
      <c r="AK192" s="4094" t="n"/>
      <c r="AL192" s="4094" t="n"/>
      <c r="AM192" s="4094" t="n"/>
      <c r="AN192" s="4094" t="n"/>
      <c r="AO192" s="4095" t="n"/>
      <c r="AP192" s="4094" t="n">
        <v>-0.92308</v>
      </c>
      <c r="AQ192" s="4094" t="n">
        <v>-0.92308</v>
      </c>
      <c r="AR192" s="4094" t="n">
        <v>-0.92308</v>
      </c>
      <c r="AS192" s="4094" t="n">
        <v>-0.92308</v>
      </c>
      <c r="AT192" s="4094" t="n">
        <v>-1.38462</v>
      </c>
      <c r="AU192" s="4096" t="n">
        <v>-0.92308</v>
      </c>
      <c r="AV192" s="4094">
        <f>SUM(F192:Q192)</f>
        <v/>
      </c>
      <c r="AW192" s="4094">
        <f>SUM(R192:AC192)</f>
        <v/>
      </c>
      <c r="AX192" s="4094">
        <f>SUM(AD192:AO192)</f>
        <v/>
      </c>
      <c r="AY192" s="4094">
        <f>SUM(AH192:AS192)</f>
        <v/>
      </c>
      <c r="AZ192" s="4094">
        <f>SUM(AJ192:AU192)</f>
        <v/>
      </c>
      <c r="BA192" s="3737" t="n"/>
      <c r="BB192" s="4097">
        <f>IFERROR(F192/F$117,0)</f>
        <v/>
      </c>
      <c r="BC192" s="4097">
        <f>IFERROR(G192/G$117,0)</f>
        <v/>
      </c>
      <c r="BD192" s="4097">
        <f>IFERROR(H192/H$117,0)</f>
        <v/>
      </c>
      <c r="BE192" s="4097">
        <f>IFERROR(I192/I$117,0)</f>
        <v/>
      </c>
      <c r="BF192" s="4097">
        <f>IFERROR(J192/J$117,0)</f>
        <v/>
      </c>
      <c r="BG192" s="4097">
        <f>IFERROR(K192/K$117,0)</f>
        <v/>
      </c>
      <c r="BH192" s="4097">
        <f>IFERROR(L192/L$117,0)</f>
        <v/>
      </c>
      <c r="BI192" s="4097">
        <f>IFERROR(M192/M$117,0)</f>
        <v/>
      </c>
      <c r="BJ192" s="4097">
        <f>IFERROR(N192/N$117,0)</f>
        <v/>
      </c>
      <c r="BK192" s="4097">
        <f>IFERROR(O192/O$117,0)</f>
        <v/>
      </c>
      <c r="BL192" s="4097">
        <f>IFERROR(P192/P$117,0)</f>
        <v/>
      </c>
      <c r="BM192" s="4098">
        <f>IFERROR(Q192/Q$117,0)</f>
        <v/>
      </c>
      <c r="BN192" s="4097">
        <f>IFERROR(R192/R$117,0)</f>
        <v/>
      </c>
      <c r="BO192" s="4097">
        <f>IFERROR(S192/S$117,0)</f>
        <v/>
      </c>
      <c r="BP192" s="4097">
        <f>IFERROR(T192/T$117,0)</f>
        <v/>
      </c>
      <c r="BQ192" s="4097">
        <f>IFERROR(U192/U$117,0)</f>
        <v/>
      </c>
      <c r="BR192" s="4097">
        <f>IFERROR(V192/V$117,0)</f>
        <v/>
      </c>
      <c r="BS192" s="4097">
        <f>IFERROR(W192/W$117,0)</f>
        <v/>
      </c>
      <c r="BT192" s="4097">
        <f>IFERROR(X192/X$117,0)</f>
        <v/>
      </c>
      <c r="BU192" s="4097">
        <f>IFERROR(Y192/Y$117,0)</f>
        <v/>
      </c>
      <c r="BV192" s="4097">
        <f>IFERROR(Z192/Z$117,0)</f>
        <v/>
      </c>
      <c r="BW192" s="4097">
        <f>IFERROR(AA192/AA$117,0)</f>
        <v/>
      </c>
      <c r="BX192" s="4097">
        <f>IFERROR(AB192/AB$117,0)</f>
        <v/>
      </c>
      <c r="BY192" s="4098">
        <f>IFERROR(AC192/AC$117,0)</f>
        <v/>
      </c>
      <c r="BZ192" s="4097">
        <f>IFERROR(AD192/AD$117,0)</f>
        <v/>
      </c>
      <c r="CA192" s="4097">
        <f>IFERROR(AE192/AE$117,0)</f>
        <v/>
      </c>
      <c r="CB192" s="4097">
        <f>IFERROR(AF192/AF$117,0)</f>
        <v/>
      </c>
      <c r="CC192" s="4097">
        <f>IFERROR(AG192/AG$117,0)</f>
        <v/>
      </c>
      <c r="CD192" s="4097">
        <f>IFERROR(AH192/AH$117,0)</f>
        <v/>
      </c>
      <c r="CE192" s="4097">
        <f>IFERROR(AI192/AI$117,0)</f>
        <v/>
      </c>
      <c r="CF192" s="4097">
        <f>IFERROR(AJ192/AJ$117,0)</f>
        <v/>
      </c>
      <c r="CG192" s="4097">
        <f>IFERROR(AK192/AK$117,0)</f>
        <v/>
      </c>
      <c r="CH192" s="4097">
        <f>IFERROR(AL192/AL$117,0)</f>
        <v/>
      </c>
      <c r="CI192" s="4097">
        <f>IFERROR(AM192/AM$117,0)</f>
        <v/>
      </c>
      <c r="CJ192" s="4097">
        <f>IFERROR(AN192/AN$117,0)</f>
        <v/>
      </c>
      <c r="CK192" s="4098">
        <f>IFERROR(AO192/AO$117,0)</f>
        <v/>
      </c>
      <c r="CL192" s="4097">
        <f>IFERROR(AP192/AP$117,0)</f>
        <v/>
      </c>
      <c r="CM192" s="4097">
        <f>IFERROR(AQ192/AQ$117,0)</f>
        <v/>
      </c>
      <c r="CN192" s="4097">
        <f>IFERROR(AR192/AR$117,0)</f>
        <v/>
      </c>
      <c r="CO192" s="4097">
        <f>IFERROR(AS192/AS$117,0)</f>
        <v/>
      </c>
      <c r="CP192" s="4097">
        <f>IFERROR(AT192/AT$117,0)</f>
        <v/>
      </c>
      <c r="CQ192" s="4099">
        <f>IFERROR(AU192/AU$117,0)</f>
        <v/>
      </c>
      <c r="CR192" s="4097">
        <f>IFERROR(AV192/AV$117,0)</f>
        <v/>
      </c>
      <c r="CS192" s="4097">
        <f>IFERROR(AW192/AW$117,0)</f>
        <v/>
      </c>
      <c r="CT192" s="4097">
        <f>IFERROR(AX192/AX$117,0)</f>
        <v/>
      </c>
      <c r="CU192" s="4097">
        <f>IFERROR(AY192/AY$117,0)</f>
        <v/>
      </c>
      <c r="CV192" s="4097">
        <f>IFERROR(AZ192/AZ$117,0)</f>
        <v/>
      </c>
      <c r="CW192" s="3737" t="n"/>
      <c r="CX192" s="4094" t="n">
        <v>-12.46158</v>
      </c>
    </row>
    <row r="193" hidden="1" outlineLevel="2" ht="12" customFormat="1" customHeight="1" s="3737">
      <c r="A193" s="4059" t="n"/>
      <c r="B193" s="4060" t="n"/>
      <c r="C193" s="4128" t="inlineStr">
        <is>
          <t>Employee - other compensation</t>
        </is>
      </c>
      <c r="D193" s="4101" t="n">
        <v>532309</v>
      </c>
      <c r="E193" s="4101">
        <f>CONCATENATE(D193," - ",C193)</f>
        <v/>
      </c>
      <c r="F193" s="4102" t="n"/>
      <c r="G193" s="4102" t="n"/>
      <c r="H193" s="4102" t="n"/>
      <c r="I193" s="4102" t="n"/>
      <c r="J193" s="4102" t="n"/>
      <c r="K193" s="4102" t="n"/>
      <c r="L193" s="4102" t="n"/>
      <c r="M193" s="4102" t="n"/>
      <c r="N193" s="4102" t="n"/>
      <c r="O193" s="4102" t="n"/>
      <c r="P193" s="4102" t="n"/>
      <c r="Q193" s="4103" t="n"/>
      <c r="R193" s="4102" t="n"/>
      <c r="S193" s="4102" t="n"/>
      <c r="T193" s="4102" t="n"/>
      <c r="U193" s="4102" t="n"/>
      <c r="V193" s="4102" t="n"/>
      <c r="W193" s="4102" t="n"/>
      <c r="X193" s="4102" t="n"/>
      <c r="Y193" s="4102" t="n"/>
      <c r="Z193" s="4102" t="n"/>
      <c r="AA193" s="4102" t="n"/>
      <c r="AB193" s="4102" t="n"/>
      <c r="AC193" s="4103" t="n"/>
      <c r="AD193" s="4102" t="n"/>
      <c r="AE193" s="4102" t="n"/>
      <c r="AF193" s="4102" t="n"/>
      <c r="AG193" s="4102" t="n"/>
      <c r="AH193" s="4102" t="n"/>
      <c r="AI193" s="4102" t="n"/>
      <c r="AJ193" s="4102" t="n"/>
      <c r="AK193" s="4102" t="n"/>
      <c r="AL193" s="4102" t="n"/>
      <c r="AM193" s="4102" t="n"/>
      <c r="AN193" s="4102" t="n"/>
      <c r="AO193" s="4103" t="n"/>
      <c r="AP193" s="4102" t="n">
        <v>-0.4</v>
      </c>
      <c r="AQ193" s="4102" t="n">
        <v>-1.4</v>
      </c>
      <c r="AR193" s="4102" t="n">
        <v>-0.4</v>
      </c>
      <c r="AS193" s="4102" t="n">
        <v>-0.4</v>
      </c>
      <c r="AT193" s="4102" t="n">
        <v>-0.4</v>
      </c>
      <c r="AU193" s="4104" t="n">
        <v>-0.4</v>
      </c>
      <c r="AV193" s="4102">
        <f>SUM(F193:Q193)</f>
        <v/>
      </c>
      <c r="AW193" s="4102">
        <f>SUM(R193:AC193)</f>
        <v/>
      </c>
      <c r="AX193" s="4102">
        <f>SUM(AD193:AO193)</f>
        <v/>
      </c>
      <c r="AY193" s="4102">
        <f>SUM(AH193:AS193)</f>
        <v/>
      </c>
      <c r="AZ193" s="4102">
        <f>SUM(AJ193:AU193)</f>
        <v/>
      </c>
      <c r="BA193" s="3737" t="n"/>
      <c r="BB193" s="4105">
        <f>IFERROR(F193/F$117,0)</f>
        <v/>
      </c>
      <c r="BC193" s="4105">
        <f>IFERROR(G193/G$117,0)</f>
        <v/>
      </c>
      <c r="BD193" s="4105">
        <f>IFERROR(H193/H$117,0)</f>
        <v/>
      </c>
      <c r="BE193" s="4105">
        <f>IFERROR(I193/I$117,0)</f>
        <v/>
      </c>
      <c r="BF193" s="4105">
        <f>IFERROR(J193/J$117,0)</f>
        <v/>
      </c>
      <c r="BG193" s="4105">
        <f>IFERROR(K193/K$117,0)</f>
        <v/>
      </c>
      <c r="BH193" s="4105">
        <f>IFERROR(L193/L$117,0)</f>
        <v/>
      </c>
      <c r="BI193" s="4105">
        <f>IFERROR(M193/M$117,0)</f>
        <v/>
      </c>
      <c r="BJ193" s="4105">
        <f>IFERROR(N193/N$117,0)</f>
        <v/>
      </c>
      <c r="BK193" s="4105">
        <f>IFERROR(O193/O$117,0)</f>
        <v/>
      </c>
      <c r="BL193" s="4105">
        <f>IFERROR(P193/P$117,0)</f>
        <v/>
      </c>
      <c r="BM193" s="4106">
        <f>IFERROR(Q193/Q$117,0)</f>
        <v/>
      </c>
      <c r="BN193" s="4105">
        <f>IFERROR(R193/R$117,0)</f>
        <v/>
      </c>
      <c r="BO193" s="4105">
        <f>IFERROR(S193/S$117,0)</f>
        <v/>
      </c>
      <c r="BP193" s="4105">
        <f>IFERROR(T193/T$117,0)</f>
        <v/>
      </c>
      <c r="BQ193" s="4105">
        <f>IFERROR(U193/U$117,0)</f>
        <v/>
      </c>
      <c r="BR193" s="4105">
        <f>IFERROR(V193/V$117,0)</f>
        <v/>
      </c>
      <c r="BS193" s="4105">
        <f>IFERROR(W193/W$117,0)</f>
        <v/>
      </c>
      <c r="BT193" s="4105">
        <f>IFERROR(X193/X$117,0)</f>
        <v/>
      </c>
      <c r="BU193" s="4105">
        <f>IFERROR(Y193/Y$117,0)</f>
        <v/>
      </c>
      <c r="BV193" s="4105">
        <f>IFERROR(Z193/Z$117,0)</f>
        <v/>
      </c>
      <c r="BW193" s="4105">
        <f>IFERROR(AA193/AA$117,0)</f>
        <v/>
      </c>
      <c r="BX193" s="4105">
        <f>IFERROR(AB193/AB$117,0)</f>
        <v/>
      </c>
      <c r="BY193" s="4106">
        <f>IFERROR(AC193/AC$117,0)</f>
        <v/>
      </c>
      <c r="BZ193" s="4105">
        <f>IFERROR(AD193/AD$117,0)</f>
        <v/>
      </c>
      <c r="CA193" s="4105">
        <f>IFERROR(AE193/AE$117,0)</f>
        <v/>
      </c>
      <c r="CB193" s="4105">
        <f>IFERROR(AF193/AF$117,0)</f>
        <v/>
      </c>
      <c r="CC193" s="4105">
        <f>IFERROR(AG193/AG$117,0)</f>
        <v/>
      </c>
      <c r="CD193" s="4105">
        <f>IFERROR(AH193/AH$117,0)</f>
        <v/>
      </c>
      <c r="CE193" s="4105">
        <f>IFERROR(AI193/AI$117,0)</f>
        <v/>
      </c>
      <c r="CF193" s="4105">
        <f>IFERROR(AJ193/AJ$117,0)</f>
        <v/>
      </c>
      <c r="CG193" s="4105">
        <f>IFERROR(AK193/AK$117,0)</f>
        <v/>
      </c>
      <c r="CH193" s="4105">
        <f>IFERROR(AL193/AL$117,0)</f>
        <v/>
      </c>
      <c r="CI193" s="4105">
        <f>IFERROR(AM193/AM$117,0)</f>
        <v/>
      </c>
      <c r="CJ193" s="4105">
        <f>IFERROR(AN193/AN$117,0)</f>
        <v/>
      </c>
      <c r="CK193" s="4106">
        <f>IFERROR(AO193/AO$117,0)</f>
        <v/>
      </c>
      <c r="CL193" s="4105">
        <f>IFERROR(AP193/AP$117,0)</f>
        <v/>
      </c>
      <c r="CM193" s="4105">
        <f>IFERROR(AQ193/AQ$117,0)</f>
        <v/>
      </c>
      <c r="CN193" s="4105">
        <f>IFERROR(AR193/AR$117,0)</f>
        <v/>
      </c>
      <c r="CO193" s="4105">
        <f>IFERROR(AS193/AS$117,0)</f>
        <v/>
      </c>
      <c r="CP193" s="4105">
        <f>IFERROR(AT193/AT$117,0)</f>
        <v/>
      </c>
      <c r="CQ193" s="4107">
        <f>IFERROR(AU193/AU$117,0)</f>
        <v/>
      </c>
      <c r="CR193" s="4105">
        <f>IFERROR(AV193/AV$117,0)</f>
        <v/>
      </c>
      <c r="CS193" s="4105">
        <f>IFERROR(AW193/AW$117,0)</f>
        <v/>
      </c>
      <c r="CT193" s="4105">
        <f>IFERROR(AX193/AX$117,0)</f>
        <v/>
      </c>
      <c r="CU193" s="4105">
        <f>IFERROR(AY193/AY$117,0)</f>
        <v/>
      </c>
      <c r="CV193" s="4105">
        <f>IFERROR(AZ193/AZ$117,0)</f>
        <v/>
      </c>
      <c r="CW193" s="3737" t="n"/>
      <c r="CX193" s="4102" t="n">
        <v>-9.800000000000001</v>
      </c>
    </row>
    <row r="194" hidden="1" outlineLevel="1" collapsed="1" ht="12" customFormat="1" customHeight="1" s="3737">
      <c r="A194" s="4059" t="n"/>
      <c r="B194" s="4060" t="n"/>
      <c r="C194" s="4092" t="inlineStr">
        <is>
          <t>Benefits</t>
        </is>
      </c>
      <c r="D194" s="4093" t="n"/>
      <c r="E194" s="4093" t="n"/>
      <c r="F194" s="4094" t="n"/>
      <c r="G194" s="4094" t="n"/>
      <c r="H194" s="4094" t="n"/>
      <c r="I194" s="4094" t="n"/>
      <c r="J194" s="4094" t="n"/>
      <c r="K194" s="4094" t="n"/>
      <c r="L194" s="4094" t="n"/>
      <c r="M194" s="4094" t="n"/>
      <c r="N194" s="4094" t="n"/>
      <c r="O194" s="4094" t="n"/>
      <c r="P194" s="4094" t="n"/>
      <c r="Q194" s="4095" t="n"/>
      <c r="R194" s="4094" t="n"/>
      <c r="S194" s="4094" t="n"/>
      <c r="T194" s="4094" t="n"/>
      <c r="U194" s="4094" t="n"/>
      <c r="V194" s="4094" t="n"/>
      <c r="W194" s="4094" t="n"/>
      <c r="X194" s="4094" t="n"/>
      <c r="Y194" s="4094" t="n"/>
      <c r="Z194" s="4094" t="n"/>
      <c r="AA194" s="4094" t="n"/>
      <c r="AB194" s="4094" t="n"/>
      <c r="AC194" s="4095" t="n"/>
      <c r="AD194" s="4094" t="n"/>
      <c r="AE194" s="4094" t="n"/>
      <c r="AF194" s="4094" t="n"/>
      <c r="AG194" s="4094" t="n"/>
      <c r="AH194" s="4094" t="n"/>
      <c r="AI194" s="4094" t="n"/>
      <c r="AJ194" s="4094" t="n"/>
      <c r="AK194" s="4094" t="n"/>
      <c r="AL194" s="4094" t="n"/>
      <c r="AM194" s="4094" t="n"/>
      <c r="AN194" s="4094" t="n"/>
      <c r="AO194" s="4095" t="n"/>
      <c r="AP194" s="4094">
        <f>SUM(AP185:AP193)</f>
        <v/>
      </c>
      <c r="AQ194" s="4094">
        <f>SUM(AQ185:AQ193)</f>
        <v/>
      </c>
      <c r="AR194" s="4094">
        <f>SUM(AR185:AR193)</f>
        <v/>
      </c>
      <c r="AS194" s="4094">
        <f>SUM(AS185:AS193)</f>
        <v/>
      </c>
      <c r="AT194" s="4094">
        <f>SUM(AT185:AT193)</f>
        <v/>
      </c>
      <c r="AU194" s="4096">
        <f>SUM(AU185:AU193)</f>
        <v/>
      </c>
      <c r="AV194" s="4094">
        <f>SUM(AV185:AV193)</f>
        <v/>
      </c>
      <c r="AW194" s="4094">
        <f>SUM(AW185:AW193)</f>
        <v/>
      </c>
      <c r="AX194" s="4094">
        <f>SUM(AX185:AX193)</f>
        <v/>
      </c>
      <c r="AY194" s="4094">
        <f>SUM(AY185:AY193)</f>
        <v/>
      </c>
      <c r="AZ194" s="4094">
        <f>SUM(AZ185:AZ193)</f>
        <v/>
      </c>
      <c r="BA194" s="3737" t="n"/>
      <c r="BB194" s="4097">
        <f>IFERROR(F194/F$117,0)</f>
        <v/>
      </c>
      <c r="BC194" s="4097">
        <f>IFERROR(G194/G$117,0)</f>
        <v/>
      </c>
      <c r="BD194" s="4097">
        <f>IFERROR(H194/H$117,0)</f>
        <v/>
      </c>
      <c r="BE194" s="4097">
        <f>IFERROR(I194/I$117,0)</f>
        <v/>
      </c>
      <c r="BF194" s="4097">
        <f>IFERROR(J194/J$117,0)</f>
        <v/>
      </c>
      <c r="BG194" s="4097">
        <f>IFERROR(K194/K$117,0)</f>
        <v/>
      </c>
      <c r="BH194" s="4097">
        <f>IFERROR(L194/L$117,0)</f>
        <v/>
      </c>
      <c r="BI194" s="4097">
        <f>IFERROR(M194/M$117,0)</f>
        <v/>
      </c>
      <c r="BJ194" s="4097">
        <f>IFERROR(N194/N$117,0)</f>
        <v/>
      </c>
      <c r="BK194" s="4097">
        <f>IFERROR(O194/O$117,0)</f>
        <v/>
      </c>
      <c r="BL194" s="4097">
        <f>IFERROR(P194/P$117,0)</f>
        <v/>
      </c>
      <c r="BM194" s="4098">
        <f>IFERROR(Q194/Q$117,0)</f>
        <v/>
      </c>
      <c r="BN194" s="4097">
        <f>IFERROR(R194/R$117,0)</f>
        <v/>
      </c>
      <c r="BO194" s="4097">
        <f>IFERROR(S194/S$117,0)</f>
        <v/>
      </c>
      <c r="BP194" s="4097">
        <f>IFERROR(T194/T$117,0)</f>
        <v/>
      </c>
      <c r="BQ194" s="4097">
        <f>IFERROR(U194/U$117,0)</f>
        <v/>
      </c>
      <c r="BR194" s="4097">
        <f>IFERROR(V194/V$117,0)</f>
        <v/>
      </c>
      <c r="BS194" s="4097">
        <f>IFERROR(W194/W$117,0)</f>
        <v/>
      </c>
      <c r="BT194" s="4097">
        <f>IFERROR(X194/X$117,0)</f>
        <v/>
      </c>
      <c r="BU194" s="4097">
        <f>IFERROR(Y194/Y$117,0)</f>
        <v/>
      </c>
      <c r="BV194" s="4097">
        <f>IFERROR(Z194/Z$117,0)</f>
        <v/>
      </c>
      <c r="BW194" s="4097">
        <f>IFERROR(AA194/AA$117,0)</f>
        <v/>
      </c>
      <c r="BX194" s="4097">
        <f>IFERROR(AB194/AB$117,0)</f>
        <v/>
      </c>
      <c r="BY194" s="4098">
        <f>IFERROR(AC194/AC$117,0)</f>
        <v/>
      </c>
      <c r="BZ194" s="4097">
        <f>IFERROR(AD194/AD$117,0)</f>
        <v/>
      </c>
      <c r="CA194" s="4097">
        <f>IFERROR(AE194/AE$117,0)</f>
        <v/>
      </c>
      <c r="CB194" s="4097">
        <f>IFERROR(AF194/AF$117,0)</f>
        <v/>
      </c>
      <c r="CC194" s="4097">
        <f>IFERROR(AG194/AG$117,0)</f>
        <v/>
      </c>
      <c r="CD194" s="4097">
        <f>IFERROR(AH194/AH$117,0)</f>
        <v/>
      </c>
      <c r="CE194" s="4097">
        <f>IFERROR(AI194/AI$117,0)</f>
        <v/>
      </c>
      <c r="CF194" s="4097">
        <f>IFERROR(AJ194/AJ$117,0)</f>
        <v/>
      </c>
      <c r="CG194" s="4097">
        <f>IFERROR(AK194/AK$117,0)</f>
        <v/>
      </c>
      <c r="CH194" s="4097">
        <f>IFERROR(AL194/AL$117,0)</f>
        <v/>
      </c>
      <c r="CI194" s="4097">
        <f>IFERROR(AM194/AM$117,0)</f>
        <v/>
      </c>
      <c r="CJ194" s="4097">
        <f>IFERROR(AN194/AN$117,0)</f>
        <v/>
      </c>
      <c r="CK194" s="4098">
        <f>IFERROR(AO194/AO$117,0)</f>
        <v/>
      </c>
      <c r="CL194" s="4097">
        <f>IFERROR(AP194/AP$117,0)</f>
        <v/>
      </c>
      <c r="CM194" s="4097">
        <f>IFERROR(AQ194/AQ$117,0)</f>
        <v/>
      </c>
      <c r="CN194" s="4097">
        <f>IFERROR(AR194/AR$117,0)</f>
        <v/>
      </c>
      <c r="CO194" s="4097">
        <f>IFERROR(AS194/AS$117,0)</f>
        <v/>
      </c>
      <c r="CP194" s="4097">
        <f>IFERROR(AT194/AT$117,0)</f>
        <v/>
      </c>
      <c r="CQ194" s="4099">
        <f>IFERROR(AU194/AU$117,0)</f>
        <v/>
      </c>
      <c r="CR194" s="4097">
        <f>IFERROR(AV194/AV$117,0)</f>
        <v/>
      </c>
      <c r="CS194" s="4097">
        <f>IFERROR(AW194/AW$117,0)</f>
        <v/>
      </c>
      <c r="CT194" s="4097">
        <f>IFERROR(AX194/AX$117,0)</f>
        <v/>
      </c>
      <c r="CU194" s="4097">
        <f>IFERROR(AY194/AY$117,0)</f>
        <v/>
      </c>
      <c r="CV194" s="4097">
        <f>IFERROR(AZ194/AZ$117,0)</f>
        <v/>
      </c>
      <c r="CW194" s="3737" t="n"/>
      <c r="CX194" s="4094">
        <f>SUM(CX185:CX193)</f>
        <v/>
      </c>
    </row>
    <row r="195" hidden="1" outlineLevel="2" ht="12" customFormat="1" customHeight="1" s="3737">
      <c r="A195" s="4059" t="n"/>
      <c r="B195" s="4060" t="n"/>
      <c r="C195" s="4127" t="inlineStr">
        <is>
          <t>Amortize labor - rev contracts</t>
        </is>
      </c>
      <c r="D195" s="4093" t="n">
        <v>534015</v>
      </c>
      <c r="E195" s="4093">
        <f>CONCATENATE(D195," - ",C195)</f>
        <v/>
      </c>
      <c r="F195" s="4094" t="n"/>
      <c r="G195" s="4094" t="n"/>
      <c r="H195" s="4094" t="n"/>
      <c r="I195" s="4094" t="n"/>
      <c r="J195" s="4094" t="n"/>
      <c r="K195" s="4094" t="n"/>
      <c r="L195" s="4094" t="n"/>
      <c r="M195" s="4094" t="n"/>
      <c r="N195" s="4094" t="n"/>
      <c r="O195" s="4094" t="n"/>
      <c r="P195" s="4094" t="n"/>
      <c r="Q195" s="4095" t="n"/>
      <c r="R195" s="4094" t="n"/>
      <c r="S195" s="4094" t="n"/>
      <c r="T195" s="4094" t="n"/>
      <c r="U195" s="4094" t="n"/>
      <c r="V195" s="4094" t="n"/>
      <c r="W195" s="4094" t="n"/>
      <c r="X195" s="4094" t="n"/>
      <c r="Y195" s="4094" t="n"/>
      <c r="Z195" s="4094" t="n"/>
      <c r="AA195" s="4094" t="n"/>
      <c r="AB195" s="4094" t="n"/>
      <c r="AC195" s="4095" t="n"/>
      <c r="AD195" s="4094" t="n"/>
      <c r="AE195" s="4094" t="n"/>
      <c r="AF195" s="4094" t="n"/>
      <c r="AG195" s="4094" t="n"/>
      <c r="AH195" s="4094" t="n"/>
      <c r="AI195" s="4094" t="n"/>
      <c r="AJ195" s="4094" t="n"/>
      <c r="AK195" s="4094" t="n"/>
      <c r="AL195" s="4094" t="n"/>
      <c r="AM195" s="4094" t="n"/>
      <c r="AN195" s="4094" t="n"/>
      <c r="AO195" s="4095" t="n"/>
      <c r="AP195" s="4094" t="n">
        <v>-96.64783</v>
      </c>
      <c r="AQ195" s="4094" t="n">
        <v>-54.05138</v>
      </c>
      <c r="AR195" s="4094" t="n">
        <v>-18.84655</v>
      </c>
      <c r="AS195" s="4094" t="n">
        <v>-54.78258</v>
      </c>
      <c r="AT195" s="4094" t="n">
        <v>-49.48617</v>
      </c>
      <c r="AU195" s="4096" t="n">
        <v>-41.78798</v>
      </c>
      <c r="AV195" s="4094">
        <f>SUM(F195:Q195)</f>
        <v/>
      </c>
      <c r="AW195" s="4094">
        <f>SUM(R195:AC195)</f>
        <v/>
      </c>
      <c r="AX195" s="4094">
        <f>SUM(AD195:AO195)</f>
        <v/>
      </c>
      <c r="AY195" s="4094">
        <f>SUM(AH195:AS195)</f>
        <v/>
      </c>
      <c r="AZ195" s="4094">
        <f>SUM(AJ195:AU195)</f>
        <v/>
      </c>
      <c r="BA195" s="3737" t="n"/>
      <c r="BB195" s="4097">
        <f>IFERROR(F195/F$117,0)</f>
        <v/>
      </c>
      <c r="BC195" s="4097">
        <f>IFERROR(G195/G$117,0)</f>
        <v/>
      </c>
      <c r="BD195" s="4097">
        <f>IFERROR(H195/H$117,0)</f>
        <v/>
      </c>
      <c r="BE195" s="4097">
        <f>IFERROR(I195/I$117,0)</f>
        <v/>
      </c>
      <c r="BF195" s="4097">
        <f>IFERROR(J195/J$117,0)</f>
        <v/>
      </c>
      <c r="BG195" s="4097">
        <f>IFERROR(K195/K$117,0)</f>
        <v/>
      </c>
      <c r="BH195" s="4097">
        <f>IFERROR(L195/L$117,0)</f>
        <v/>
      </c>
      <c r="BI195" s="4097">
        <f>IFERROR(M195/M$117,0)</f>
        <v/>
      </c>
      <c r="BJ195" s="4097">
        <f>IFERROR(N195/N$117,0)</f>
        <v/>
      </c>
      <c r="BK195" s="4097">
        <f>IFERROR(O195/O$117,0)</f>
        <v/>
      </c>
      <c r="BL195" s="4097">
        <f>IFERROR(P195/P$117,0)</f>
        <v/>
      </c>
      <c r="BM195" s="4098">
        <f>IFERROR(Q195/Q$117,0)</f>
        <v/>
      </c>
      <c r="BN195" s="4097">
        <f>IFERROR(R195/R$117,0)</f>
        <v/>
      </c>
      <c r="BO195" s="4097">
        <f>IFERROR(S195/S$117,0)</f>
        <v/>
      </c>
      <c r="BP195" s="4097">
        <f>IFERROR(T195/T$117,0)</f>
        <v/>
      </c>
      <c r="BQ195" s="4097">
        <f>IFERROR(U195/U$117,0)</f>
        <v/>
      </c>
      <c r="BR195" s="4097">
        <f>IFERROR(V195/V$117,0)</f>
        <v/>
      </c>
      <c r="BS195" s="4097">
        <f>IFERROR(W195/W$117,0)</f>
        <v/>
      </c>
      <c r="BT195" s="4097">
        <f>IFERROR(X195/X$117,0)</f>
        <v/>
      </c>
      <c r="BU195" s="4097">
        <f>IFERROR(Y195/Y$117,0)</f>
        <v/>
      </c>
      <c r="BV195" s="4097">
        <f>IFERROR(Z195/Z$117,0)</f>
        <v/>
      </c>
      <c r="BW195" s="4097">
        <f>IFERROR(AA195/AA$117,0)</f>
        <v/>
      </c>
      <c r="BX195" s="4097">
        <f>IFERROR(AB195/AB$117,0)</f>
        <v/>
      </c>
      <c r="BY195" s="4098">
        <f>IFERROR(AC195/AC$117,0)</f>
        <v/>
      </c>
      <c r="BZ195" s="4097">
        <f>IFERROR(AD195/AD$117,0)</f>
        <v/>
      </c>
      <c r="CA195" s="4097">
        <f>IFERROR(AE195/AE$117,0)</f>
        <v/>
      </c>
      <c r="CB195" s="4097">
        <f>IFERROR(AF195/AF$117,0)</f>
        <v/>
      </c>
      <c r="CC195" s="4097">
        <f>IFERROR(AG195/AG$117,0)</f>
        <v/>
      </c>
      <c r="CD195" s="4097">
        <f>IFERROR(AH195/AH$117,0)</f>
        <v/>
      </c>
      <c r="CE195" s="4097">
        <f>IFERROR(AI195/AI$117,0)</f>
        <v/>
      </c>
      <c r="CF195" s="4097">
        <f>IFERROR(AJ195/AJ$117,0)</f>
        <v/>
      </c>
      <c r="CG195" s="4097">
        <f>IFERROR(AK195/AK$117,0)</f>
        <v/>
      </c>
      <c r="CH195" s="4097">
        <f>IFERROR(AL195/AL$117,0)</f>
        <v/>
      </c>
      <c r="CI195" s="4097">
        <f>IFERROR(AM195/AM$117,0)</f>
        <v/>
      </c>
      <c r="CJ195" s="4097">
        <f>IFERROR(AN195/AN$117,0)</f>
        <v/>
      </c>
      <c r="CK195" s="4098">
        <f>IFERROR(AO195/AO$117,0)</f>
        <v/>
      </c>
      <c r="CL195" s="4097">
        <f>IFERROR(AP195/AP$117,0)</f>
        <v/>
      </c>
      <c r="CM195" s="4097">
        <f>IFERROR(AQ195/AQ$117,0)</f>
        <v/>
      </c>
      <c r="CN195" s="4097">
        <f>IFERROR(AR195/AR$117,0)</f>
        <v/>
      </c>
      <c r="CO195" s="4097">
        <f>IFERROR(AS195/AS$117,0)</f>
        <v/>
      </c>
      <c r="CP195" s="4097">
        <f>IFERROR(AT195/AT$117,0)</f>
        <v/>
      </c>
      <c r="CQ195" s="4099">
        <f>IFERROR(AU195/AU$117,0)</f>
        <v/>
      </c>
      <c r="CR195" s="4097">
        <f>IFERROR(AV195/AV$117,0)</f>
        <v/>
      </c>
      <c r="CS195" s="4097">
        <f>IFERROR(AW195/AW$117,0)</f>
        <v/>
      </c>
      <c r="CT195" s="4097">
        <f>IFERROR(AX195/AX$117,0)</f>
        <v/>
      </c>
      <c r="CU195" s="4097">
        <f>IFERROR(AY195/AY$117,0)</f>
        <v/>
      </c>
      <c r="CV195" s="4097">
        <f>IFERROR(AZ195/AZ$117,0)</f>
        <v/>
      </c>
      <c r="CW195" s="3737" t="n"/>
      <c r="CX195" s="4094" t="n">
        <v>-960.5191</v>
      </c>
    </row>
    <row r="196" hidden="1" outlineLevel="2" ht="12" customFormat="1" customHeight="1" s="3737">
      <c r="A196" s="4059" t="n"/>
      <c r="B196" s="4060" t="n"/>
      <c r="C196" s="4127" t="inlineStr">
        <is>
          <t>Amortize labor - cy rev contracts</t>
        </is>
      </c>
      <c r="D196" s="4093" t="n">
        <v>534025</v>
      </c>
      <c r="E196" s="4093">
        <f>CONCATENATE(D196," - ",C196)</f>
        <v/>
      </c>
      <c r="F196" s="4094" t="n"/>
      <c r="G196" s="4094" t="n"/>
      <c r="H196" s="4094" t="n"/>
      <c r="I196" s="4094" t="n"/>
      <c r="J196" s="4094" t="n"/>
      <c r="K196" s="4094" t="n"/>
      <c r="L196" s="4094" t="n"/>
      <c r="M196" s="4094" t="n"/>
      <c r="N196" s="4094" t="n"/>
      <c r="O196" s="4094" t="n"/>
      <c r="P196" s="4094" t="n"/>
      <c r="Q196" s="4095" t="n"/>
      <c r="R196" s="4094" t="n"/>
      <c r="S196" s="4094" t="n"/>
      <c r="T196" s="4094" t="n"/>
      <c r="U196" s="4094" t="n"/>
      <c r="V196" s="4094" t="n"/>
      <c r="W196" s="4094" t="n"/>
      <c r="X196" s="4094" t="n"/>
      <c r="Y196" s="4094" t="n"/>
      <c r="Z196" s="4094" t="n"/>
      <c r="AA196" s="4094" t="n"/>
      <c r="AB196" s="4094" t="n"/>
      <c r="AC196" s="4095" t="n"/>
      <c r="AD196" s="4094" t="n"/>
      <c r="AE196" s="4094" t="n"/>
      <c r="AF196" s="4094" t="n"/>
      <c r="AG196" s="4094" t="n"/>
      <c r="AH196" s="4094" t="n"/>
      <c r="AI196" s="4094" t="n"/>
      <c r="AJ196" s="4094" t="n"/>
      <c r="AK196" s="4094" t="n"/>
      <c r="AL196" s="4094" t="n"/>
      <c r="AM196" s="4094" t="n"/>
      <c r="AN196" s="4094" t="n"/>
      <c r="AO196" s="4095" t="n"/>
      <c r="AP196" s="4094" t="n">
        <v>0</v>
      </c>
      <c r="AQ196" s="4094" t="n">
        <v>0</v>
      </c>
      <c r="AR196" s="4094" t="n">
        <v>0</v>
      </c>
      <c r="AS196" s="4094" t="n">
        <v>0</v>
      </c>
      <c r="AT196" s="4094" t="n">
        <v>0</v>
      </c>
      <c r="AU196" s="4096" t="n">
        <v>0</v>
      </c>
      <c r="AV196" s="4094">
        <f>SUM(F196:Q196)</f>
        <v/>
      </c>
      <c r="AW196" s="4094">
        <f>SUM(R196:AC196)</f>
        <v/>
      </c>
      <c r="AX196" s="4094">
        <f>SUM(AD196:AO196)</f>
        <v/>
      </c>
      <c r="AY196" s="4094">
        <f>SUM(AH196:AS196)</f>
        <v/>
      </c>
      <c r="AZ196" s="4094">
        <f>SUM(AJ196:AU196)</f>
        <v/>
      </c>
      <c r="BA196" s="3737" t="n"/>
      <c r="BB196" s="4097">
        <f>IFERROR(F196/F$117,0)</f>
        <v/>
      </c>
      <c r="BC196" s="4097">
        <f>IFERROR(G196/G$117,0)</f>
        <v/>
      </c>
      <c r="BD196" s="4097">
        <f>IFERROR(H196/H$117,0)</f>
        <v/>
      </c>
      <c r="BE196" s="4097">
        <f>IFERROR(I196/I$117,0)</f>
        <v/>
      </c>
      <c r="BF196" s="4097">
        <f>IFERROR(J196/J$117,0)</f>
        <v/>
      </c>
      <c r="BG196" s="4097">
        <f>IFERROR(K196/K$117,0)</f>
        <v/>
      </c>
      <c r="BH196" s="4097">
        <f>IFERROR(L196/L$117,0)</f>
        <v/>
      </c>
      <c r="BI196" s="4097">
        <f>IFERROR(M196/M$117,0)</f>
        <v/>
      </c>
      <c r="BJ196" s="4097">
        <f>IFERROR(N196/N$117,0)</f>
        <v/>
      </c>
      <c r="BK196" s="4097">
        <f>IFERROR(O196/O$117,0)</f>
        <v/>
      </c>
      <c r="BL196" s="4097">
        <f>IFERROR(P196/P$117,0)</f>
        <v/>
      </c>
      <c r="BM196" s="4098">
        <f>IFERROR(Q196/Q$117,0)</f>
        <v/>
      </c>
      <c r="BN196" s="4097">
        <f>IFERROR(R196/R$117,0)</f>
        <v/>
      </c>
      <c r="BO196" s="4097">
        <f>IFERROR(S196/S$117,0)</f>
        <v/>
      </c>
      <c r="BP196" s="4097">
        <f>IFERROR(T196/T$117,0)</f>
        <v/>
      </c>
      <c r="BQ196" s="4097">
        <f>IFERROR(U196/U$117,0)</f>
        <v/>
      </c>
      <c r="BR196" s="4097">
        <f>IFERROR(V196/V$117,0)</f>
        <v/>
      </c>
      <c r="BS196" s="4097">
        <f>IFERROR(W196/W$117,0)</f>
        <v/>
      </c>
      <c r="BT196" s="4097">
        <f>IFERROR(X196/X$117,0)</f>
        <v/>
      </c>
      <c r="BU196" s="4097">
        <f>IFERROR(Y196/Y$117,0)</f>
        <v/>
      </c>
      <c r="BV196" s="4097">
        <f>IFERROR(Z196/Z$117,0)</f>
        <v/>
      </c>
      <c r="BW196" s="4097">
        <f>IFERROR(AA196/AA$117,0)</f>
        <v/>
      </c>
      <c r="BX196" s="4097">
        <f>IFERROR(AB196/AB$117,0)</f>
        <v/>
      </c>
      <c r="BY196" s="4098">
        <f>IFERROR(AC196/AC$117,0)</f>
        <v/>
      </c>
      <c r="BZ196" s="4097">
        <f>IFERROR(AD196/AD$117,0)</f>
        <v/>
      </c>
      <c r="CA196" s="4097">
        <f>IFERROR(AE196/AE$117,0)</f>
        <v/>
      </c>
      <c r="CB196" s="4097">
        <f>IFERROR(AF196/AF$117,0)</f>
        <v/>
      </c>
      <c r="CC196" s="4097">
        <f>IFERROR(AG196/AG$117,0)</f>
        <v/>
      </c>
      <c r="CD196" s="4097">
        <f>IFERROR(AH196/AH$117,0)</f>
        <v/>
      </c>
      <c r="CE196" s="4097">
        <f>IFERROR(AI196/AI$117,0)</f>
        <v/>
      </c>
      <c r="CF196" s="4097">
        <f>IFERROR(AJ196/AJ$117,0)</f>
        <v/>
      </c>
      <c r="CG196" s="4097">
        <f>IFERROR(AK196/AK$117,0)</f>
        <v/>
      </c>
      <c r="CH196" s="4097">
        <f>IFERROR(AL196/AL$117,0)</f>
        <v/>
      </c>
      <c r="CI196" s="4097">
        <f>IFERROR(AM196/AM$117,0)</f>
        <v/>
      </c>
      <c r="CJ196" s="4097">
        <f>IFERROR(AN196/AN$117,0)</f>
        <v/>
      </c>
      <c r="CK196" s="4098">
        <f>IFERROR(AO196/AO$117,0)</f>
        <v/>
      </c>
      <c r="CL196" s="4097">
        <f>IFERROR(AP196/AP$117,0)</f>
        <v/>
      </c>
      <c r="CM196" s="4097">
        <f>IFERROR(AQ196/AQ$117,0)</f>
        <v/>
      </c>
      <c r="CN196" s="4097">
        <f>IFERROR(AR196/AR$117,0)</f>
        <v/>
      </c>
      <c r="CO196" s="4097">
        <f>IFERROR(AS196/AS$117,0)</f>
        <v/>
      </c>
      <c r="CP196" s="4097">
        <f>IFERROR(AT196/AT$117,0)</f>
        <v/>
      </c>
      <c r="CQ196" s="4099">
        <f>IFERROR(AU196/AU$117,0)</f>
        <v/>
      </c>
      <c r="CR196" s="4097">
        <f>IFERROR(AV196/AV$117,0)</f>
        <v/>
      </c>
      <c r="CS196" s="4097">
        <f>IFERROR(AW196/AW$117,0)</f>
        <v/>
      </c>
      <c r="CT196" s="4097">
        <f>IFERROR(AX196/AX$117,0)</f>
        <v/>
      </c>
      <c r="CU196" s="4097">
        <f>IFERROR(AY196/AY$117,0)</f>
        <v/>
      </c>
      <c r="CV196" s="4097">
        <f>IFERROR(AZ196/AZ$117,0)</f>
        <v/>
      </c>
      <c r="CW196" s="3737" t="n"/>
      <c r="CX196" s="4094" t="n">
        <v>0</v>
      </c>
    </row>
    <row r="197" hidden="1" outlineLevel="2" ht="12" customFormat="1" customHeight="1" s="3737">
      <c r="A197" s="4059" t="n"/>
      <c r="B197" s="4060" t="n"/>
      <c r="C197" s="4127" t="inlineStr">
        <is>
          <t>Cap labour - revenue contracts</t>
        </is>
      </c>
      <c r="D197" s="4093" t="n">
        <v>691515</v>
      </c>
      <c r="E197" s="4093">
        <f>CONCATENATE(D197," - ",C197)</f>
        <v/>
      </c>
      <c r="F197" s="4094" t="n"/>
      <c r="G197" s="4094" t="n"/>
      <c r="H197" s="4094" t="n"/>
      <c r="I197" s="4094" t="n"/>
      <c r="J197" s="4094" t="n"/>
      <c r="K197" s="4094" t="n"/>
      <c r="L197" s="4094" t="n"/>
      <c r="M197" s="4094" t="n"/>
      <c r="N197" s="4094" t="n"/>
      <c r="O197" s="4094" t="n"/>
      <c r="P197" s="4094" t="n"/>
      <c r="Q197" s="4095" t="n"/>
      <c r="R197" s="4094" t="n"/>
      <c r="S197" s="4094" t="n"/>
      <c r="T197" s="4094" t="n"/>
      <c r="U197" s="4094" t="n"/>
      <c r="V197" s="4094" t="n"/>
      <c r="W197" s="4094" t="n"/>
      <c r="X197" s="4094" t="n"/>
      <c r="Y197" s="4094" t="n"/>
      <c r="Z197" s="4094" t="n"/>
      <c r="AA197" s="4094" t="n"/>
      <c r="AB197" s="4094" t="n"/>
      <c r="AC197" s="4095" t="n"/>
      <c r="AD197" s="4094" t="n"/>
      <c r="AE197" s="4094" t="n"/>
      <c r="AF197" s="4094" t="n"/>
      <c r="AG197" s="4094" t="n"/>
      <c r="AH197" s="4094" t="n"/>
      <c r="AI197" s="4094" t="n"/>
      <c r="AJ197" s="4094" t="n"/>
      <c r="AK197" s="4094" t="n"/>
      <c r="AL197" s="4094" t="n"/>
      <c r="AM197" s="4094" t="n"/>
      <c r="AN197" s="4094" t="n"/>
      <c r="AO197" s="4095" t="n"/>
      <c r="AP197" s="4094" t="n">
        <v>45</v>
      </c>
      <c r="AQ197" s="4094" t="n">
        <v>73</v>
      </c>
      <c r="AR197" s="4094" t="n">
        <v>69.75</v>
      </c>
      <c r="AS197" s="4094" t="n">
        <v>69.75</v>
      </c>
      <c r="AT197" s="4094" t="n">
        <v>66.25</v>
      </c>
      <c r="AU197" s="4096" t="n">
        <v>14.35</v>
      </c>
      <c r="AV197" s="4094">
        <f>SUM(F197:Q197)</f>
        <v/>
      </c>
      <c r="AW197" s="4094">
        <f>SUM(R197:AC197)</f>
        <v/>
      </c>
      <c r="AX197" s="4094">
        <f>SUM(AD197:AO197)</f>
        <v/>
      </c>
      <c r="AY197" s="4094">
        <f>SUM(AH197:AS197)</f>
        <v/>
      </c>
      <c r="AZ197" s="4094">
        <f>SUM(AJ197:AU197)</f>
        <v/>
      </c>
      <c r="BA197" s="3737" t="n"/>
      <c r="BB197" s="4097">
        <f>IFERROR(F197/F$117,0)</f>
        <v/>
      </c>
      <c r="BC197" s="4097">
        <f>IFERROR(G197/G$117,0)</f>
        <v/>
      </c>
      <c r="BD197" s="4097">
        <f>IFERROR(H197/H$117,0)</f>
        <v/>
      </c>
      <c r="BE197" s="4097">
        <f>IFERROR(I197/I$117,0)</f>
        <v/>
      </c>
      <c r="BF197" s="4097">
        <f>IFERROR(J197/J$117,0)</f>
        <v/>
      </c>
      <c r="BG197" s="4097">
        <f>IFERROR(K197/K$117,0)</f>
        <v/>
      </c>
      <c r="BH197" s="4097">
        <f>IFERROR(L197/L$117,0)</f>
        <v/>
      </c>
      <c r="BI197" s="4097">
        <f>IFERROR(M197/M$117,0)</f>
        <v/>
      </c>
      <c r="BJ197" s="4097">
        <f>IFERROR(N197/N$117,0)</f>
        <v/>
      </c>
      <c r="BK197" s="4097">
        <f>IFERROR(O197/O$117,0)</f>
        <v/>
      </c>
      <c r="BL197" s="4097">
        <f>IFERROR(P197/P$117,0)</f>
        <v/>
      </c>
      <c r="BM197" s="4098">
        <f>IFERROR(Q197/Q$117,0)</f>
        <v/>
      </c>
      <c r="BN197" s="4097">
        <f>IFERROR(R197/R$117,0)</f>
        <v/>
      </c>
      <c r="BO197" s="4097">
        <f>IFERROR(S197/S$117,0)</f>
        <v/>
      </c>
      <c r="BP197" s="4097">
        <f>IFERROR(T197/T$117,0)</f>
        <v/>
      </c>
      <c r="BQ197" s="4097">
        <f>IFERROR(U197/U$117,0)</f>
        <v/>
      </c>
      <c r="BR197" s="4097">
        <f>IFERROR(V197/V$117,0)</f>
        <v/>
      </c>
      <c r="BS197" s="4097">
        <f>IFERROR(W197/W$117,0)</f>
        <v/>
      </c>
      <c r="BT197" s="4097">
        <f>IFERROR(X197/X$117,0)</f>
        <v/>
      </c>
      <c r="BU197" s="4097">
        <f>IFERROR(Y197/Y$117,0)</f>
        <v/>
      </c>
      <c r="BV197" s="4097">
        <f>IFERROR(Z197/Z$117,0)</f>
        <v/>
      </c>
      <c r="BW197" s="4097">
        <f>IFERROR(AA197/AA$117,0)</f>
        <v/>
      </c>
      <c r="BX197" s="4097">
        <f>IFERROR(AB197/AB$117,0)</f>
        <v/>
      </c>
      <c r="BY197" s="4098">
        <f>IFERROR(AC197/AC$117,0)</f>
        <v/>
      </c>
      <c r="BZ197" s="4097">
        <f>IFERROR(AD197/AD$117,0)</f>
        <v/>
      </c>
      <c r="CA197" s="4097">
        <f>IFERROR(AE197/AE$117,0)</f>
        <v/>
      </c>
      <c r="CB197" s="4097">
        <f>IFERROR(AF197/AF$117,0)</f>
        <v/>
      </c>
      <c r="CC197" s="4097">
        <f>IFERROR(AG197/AG$117,0)</f>
        <v/>
      </c>
      <c r="CD197" s="4097">
        <f>IFERROR(AH197/AH$117,0)</f>
        <v/>
      </c>
      <c r="CE197" s="4097">
        <f>IFERROR(AI197/AI$117,0)</f>
        <v/>
      </c>
      <c r="CF197" s="4097">
        <f>IFERROR(AJ197/AJ$117,0)</f>
        <v/>
      </c>
      <c r="CG197" s="4097">
        <f>IFERROR(AK197/AK$117,0)</f>
        <v/>
      </c>
      <c r="CH197" s="4097">
        <f>IFERROR(AL197/AL$117,0)</f>
        <v/>
      </c>
      <c r="CI197" s="4097">
        <f>IFERROR(AM197/AM$117,0)</f>
        <v/>
      </c>
      <c r="CJ197" s="4097">
        <f>IFERROR(AN197/AN$117,0)</f>
        <v/>
      </c>
      <c r="CK197" s="4098">
        <f>IFERROR(AO197/AO$117,0)</f>
        <v/>
      </c>
      <c r="CL197" s="4097">
        <f>IFERROR(AP197/AP$117,0)</f>
        <v/>
      </c>
      <c r="CM197" s="4097">
        <f>IFERROR(AQ197/AQ$117,0)</f>
        <v/>
      </c>
      <c r="CN197" s="4097">
        <f>IFERROR(AR197/AR$117,0)</f>
        <v/>
      </c>
      <c r="CO197" s="4097">
        <f>IFERROR(AS197/AS$117,0)</f>
        <v/>
      </c>
      <c r="CP197" s="4097">
        <f>IFERROR(AT197/AT$117,0)</f>
        <v/>
      </c>
      <c r="CQ197" s="4099">
        <f>IFERROR(AU197/AU$117,0)</f>
        <v/>
      </c>
      <c r="CR197" s="4097">
        <f>IFERROR(AV197/AV$117,0)</f>
        <v/>
      </c>
      <c r="CS197" s="4097">
        <f>IFERROR(AW197/AW$117,0)</f>
        <v/>
      </c>
      <c r="CT197" s="4097">
        <f>IFERROR(AX197/AX$117,0)</f>
        <v/>
      </c>
      <c r="CU197" s="4097">
        <f>IFERROR(AY197/AY$117,0)</f>
        <v/>
      </c>
      <c r="CV197" s="4097">
        <f>IFERROR(AZ197/AZ$117,0)</f>
        <v/>
      </c>
      <c r="CW197" s="3737" t="n"/>
      <c r="CX197" s="4094" t="n">
        <v>823.17239</v>
      </c>
    </row>
    <row r="198" hidden="1" outlineLevel="2" ht="12" customFormat="1" customHeight="1" s="3737">
      <c r="A198" s="4059" t="n"/>
      <c r="B198" s="4060" t="n"/>
      <c r="C198" s="4128" t="inlineStr">
        <is>
          <t>Cap labour - revenue contracts-c2c conversions</t>
        </is>
      </c>
      <c r="D198" s="4101" t="n">
        <v>691515</v>
      </c>
      <c r="E198" s="4101">
        <f>CONCATENATE(D198," - ",C198)</f>
        <v/>
      </c>
      <c r="F198" s="4102" t="n"/>
      <c r="G198" s="4102" t="n"/>
      <c r="H198" s="4102" t="n"/>
      <c r="I198" s="4102" t="n"/>
      <c r="J198" s="4102" t="n"/>
      <c r="K198" s="4102" t="n"/>
      <c r="L198" s="4102" t="n"/>
      <c r="M198" s="4102" t="n"/>
      <c r="N198" s="4102" t="n"/>
      <c r="O198" s="4102" t="n"/>
      <c r="P198" s="4102" t="n"/>
      <c r="Q198" s="4103" t="n"/>
      <c r="R198" s="4102" t="n"/>
      <c r="S198" s="4102" t="n"/>
      <c r="T198" s="4102" t="n"/>
      <c r="U198" s="4102" t="n"/>
      <c r="V198" s="4102" t="n"/>
      <c r="W198" s="4102" t="n"/>
      <c r="X198" s="4102" t="n"/>
      <c r="Y198" s="4102" t="n"/>
      <c r="Z198" s="4102" t="n"/>
      <c r="AA198" s="4102" t="n"/>
      <c r="AB198" s="4102" t="n"/>
      <c r="AC198" s="4103" t="n"/>
      <c r="AD198" s="4102" t="n"/>
      <c r="AE198" s="4102" t="n"/>
      <c r="AF198" s="4102" t="n"/>
      <c r="AG198" s="4102" t="n"/>
      <c r="AH198" s="4102" t="n"/>
      <c r="AI198" s="4102" t="n"/>
      <c r="AJ198" s="4102" t="n"/>
      <c r="AK198" s="4102" t="n"/>
      <c r="AL198" s="4102" t="n"/>
      <c r="AM198" s="4102" t="n"/>
      <c r="AN198" s="4102" t="n"/>
      <c r="AO198" s="4103" t="n"/>
      <c r="AP198" s="4102" t="n">
        <v>0</v>
      </c>
      <c r="AQ198" s="4102" t="n">
        <v>1.5</v>
      </c>
      <c r="AR198" s="4102" t="n">
        <v>1</v>
      </c>
      <c r="AS198" s="4102" t="n">
        <v>1.5</v>
      </c>
      <c r="AT198" s="4102" t="n">
        <v>1.5</v>
      </c>
      <c r="AU198" s="4104" t="n">
        <v>0.5</v>
      </c>
      <c r="AV198" s="4102">
        <f>SUM(F198:Q198)</f>
        <v/>
      </c>
      <c r="AW198" s="4102">
        <f>SUM(R198:AC198)</f>
        <v/>
      </c>
      <c r="AX198" s="4102">
        <f>SUM(AD198:AO198)</f>
        <v/>
      </c>
      <c r="AY198" s="4102">
        <f>SUM(AH198:AS198)</f>
        <v/>
      </c>
      <c r="AZ198" s="4102">
        <f>SUM(AJ198:AU198)</f>
        <v/>
      </c>
      <c r="BA198" s="3737" t="n"/>
      <c r="BB198" s="4105">
        <f>IFERROR(F198/F$117,0)</f>
        <v/>
      </c>
      <c r="BC198" s="4105">
        <f>IFERROR(G198/G$117,0)</f>
        <v/>
      </c>
      <c r="BD198" s="4105">
        <f>IFERROR(H198/H$117,0)</f>
        <v/>
      </c>
      <c r="BE198" s="4105">
        <f>IFERROR(I198/I$117,0)</f>
        <v/>
      </c>
      <c r="BF198" s="4105">
        <f>IFERROR(J198/J$117,0)</f>
        <v/>
      </c>
      <c r="BG198" s="4105">
        <f>IFERROR(K198/K$117,0)</f>
        <v/>
      </c>
      <c r="BH198" s="4105">
        <f>IFERROR(L198/L$117,0)</f>
        <v/>
      </c>
      <c r="BI198" s="4105">
        <f>IFERROR(M198/M$117,0)</f>
        <v/>
      </c>
      <c r="BJ198" s="4105">
        <f>IFERROR(N198/N$117,0)</f>
        <v/>
      </c>
      <c r="BK198" s="4105">
        <f>IFERROR(O198/O$117,0)</f>
        <v/>
      </c>
      <c r="BL198" s="4105">
        <f>IFERROR(P198/P$117,0)</f>
        <v/>
      </c>
      <c r="BM198" s="4106">
        <f>IFERROR(Q198/Q$117,0)</f>
        <v/>
      </c>
      <c r="BN198" s="4105">
        <f>IFERROR(R198/R$117,0)</f>
        <v/>
      </c>
      <c r="BO198" s="4105">
        <f>IFERROR(S198/S$117,0)</f>
        <v/>
      </c>
      <c r="BP198" s="4105">
        <f>IFERROR(T198/T$117,0)</f>
        <v/>
      </c>
      <c r="BQ198" s="4105">
        <f>IFERROR(U198/U$117,0)</f>
        <v/>
      </c>
      <c r="BR198" s="4105">
        <f>IFERROR(V198/V$117,0)</f>
        <v/>
      </c>
      <c r="BS198" s="4105">
        <f>IFERROR(W198/W$117,0)</f>
        <v/>
      </c>
      <c r="BT198" s="4105">
        <f>IFERROR(X198/X$117,0)</f>
        <v/>
      </c>
      <c r="BU198" s="4105">
        <f>IFERROR(Y198/Y$117,0)</f>
        <v/>
      </c>
      <c r="BV198" s="4105">
        <f>IFERROR(Z198/Z$117,0)</f>
        <v/>
      </c>
      <c r="BW198" s="4105">
        <f>IFERROR(AA198/AA$117,0)</f>
        <v/>
      </c>
      <c r="BX198" s="4105">
        <f>IFERROR(AB198/AB$117,0)</f>
        <v/>
      </c>
      <c r="BY198" s="4106">
        <f>IFERROR(AC198/AC$117,0)</f>
        <v/>
      </c>
      <c r="BZ198" s="4105">
        <f>IFERROR(AD198/AD$117,0)</f>
        <v/>
      </c>
      <c r="CA198" s="4105">
        <f>IFERROR(AE198/AE$117,0)</f>
        <v/>
      </c>
      <c r="CB198" s="4105">
        <f>IFERROR(AF198/AF$117,0)</f>
        <v/>
      </c>
      <c r="CC198" s="4105">
        <f>IFERROR(AG198/AG$117,0)</f>
        <v/>
      </c>
      <c r="CD198" s="4105">
        <f>IFERROR(AH198/AH$117,0)</f>
        <v/>
      </c>
      <c r="CE198" s="4105">
        <f>IFERROR(AI198/AI$117,0)</f>
        <v/>
      </c>
      <c r="CF198" s="4105">
        <f>IFERROR(AJ198/AJ$117,0)</f>
        <v/>
      </c>
      <c r="CG198" s="4105">
        <f>IFERROR(AK198/AK$117,0)</f>
        <v/>
      </c>
      <c r="CH198" s="4105">
        <f>IFERROR(AL198/AL$117,0)</f>
        <v/>
      </c>
      <c r="CI198" s="4105">
        <f>IFERROR(AM198/AM$117,0)</f>
        <v/>
      </c>
      <c r="CJ198" s="4105">
        <f>IFERROR(AN198/AN$117,0)</f>
        <v/>
      </c>
      <c r="CK198" s="4106">
        <f>IFERROR(AO198/AO$117,0)</f>
        <v/>
      </c>
      <c r="CL198" s="4105">
        <f>IFERROR(AP198/AP$117,0)</f>
        <v/>
      </c>
      <c r="CM198" s="4105">
        <f>IFERROR(AQ198/AQ$117,0)</f>
        <v/>
      </c>
      <c r="CN198" s="4105">
        <f>IFERROR(AR198/AR$117,0)</f>
        <v/>
      </c>
      <c r="CO198" s="4105">
        <f>IFERROR(AS198/AS$117,0)</f>
        <v/>
      </c>
      <c r="CP198" s="4105">
        <f>IFERROR(AT198/AT$117,0)</f>
        <v/>
      </c>
      <c r="CQ198" s="4107">
        <f>IFERROR(AU198/AU$117,0)</f>
        <v/>
      </c>
      <c r="CR198" s="4105">
        <f>IFERROR(AV198/AV$117,0)</f>
        <v/>
      </c>
      <c r="CS198" s="4105">
        <f>IFERROR(AW198/AW$117,0)</f>
        <v/>
      </c>
      <c r="CT198" s="4105">
        <f>IFERROR(AX198/AX$117,0)</f>
        <v/>
      </c>
      <c r="CU198" s="4105">
        <f>IFERROR(AY198/AY$117,0)</f>
        <v/>
      </c>
      <c r="CV198" s="4105">
        <f>IFERROR(AZ198/AZ$117,0)</f>
        <v/>
      </c>
      <c r="CW198" s="3737" t="n"/>
      <c r="CX198" s="4102" t="n">
        <v>0</v>
      </c>
    </row>
    <row r="199" hidden="1" outlineLevel="1" collapsed="1" ht="12" customFormat="1" customHeight="1" s="3737">
      <c r="A199" s="4059" t="n"/>
      <c r="B199" s="4060" t="n"/>
      <c r="C199" s="4092" t="inlineStr">
        <is>
          <t>Fte labour costs</t>
        </is>
      </c>
      <c r="D199" s="4093" t="n"/>
      <c r="E199" s="4093" t="n"/>
      <c r="F199" s="4094" t="n"/>
      <c r="G199" s="4094" t="n"/>
      <c r="H199" s="4094" t="n"/>
      <c r="I199" s="4094" t="n"/>
      <c r="J199" s="4094" t="n"/>
      <c r="K199" s="4094" t="n"/>
      <c r="L199" s="4094" t="n"/>
      <c r="M199" s="4094" t="n"/>
      <c r="N199" s="4094" t="n"/>
      <c r="O199" s="4094" t="n"/>
      <c r="P199" s="4094" t="n"/>
      <c r="Q199" s="4095" t="n"/>
      <c r="R199" s="4094" t="n"/>
      <c r="S199" s="4094" t="n"/>
      <c r="T199" s="4094" t="n"/>
      <c r="U199" s="4094" t="n"/>
      <c r="V199" s="4094" t="n"/>
      <c r="W199" s="4094" t="n"/>
      <c r="X199" s="4094" t="n"/>
      <c r="Y199" s="4094" t="n"/>
      <c r="Z199" s="4094" t="n"/>
      <c r="AA199" s="4094" t="n"/>
      <c r="AB199" s="4094" t="n"/>
      <c r="AC199" s="4095" t="n"/>
      <c r="AD199" s="4094" t="n"/>
      <c r="AE199" s="4094" t="n"/>
      <c r="AF199" s="4094" t="n"/>
      <c r="AG199" s="4094" t="n"/>
      <c r="AH199" s="4094" t="n"/>
      <c r="AI199" s="4094" t="n"/>
      <c r="AJ199" s="4094" t="n"/>
      <c r="AK199" s="4094" t="n"/>
      <c r="AL199" s="4094" t="n"/>
      <c r="AM199" s="4094" t="n"/>
      <c r="AN199" s="4094" t="n"/>
      <c r="AO199" s="4095" t="n"/>
      <c r="AP199" s="4094">
        <f>SUM(AP195:AP198)</f>
        <v/>
      </c>
      <c r="AQ199" s="4094">
        <f>SUM(AQ195:AQ198)</f>
        <v/>
      </c>
      <c r="AR199" s="4094">
        <f>SUM(AR195:AR198)</f>
        <v/>
      </c>
      <c r="AS199" s="4094">
        <f>SUM(AS195:AS198)</f>
        <v/>
      </c>
      <c r="AT199" s="4094">
        <f>SUM(AT195:AT198)</f>
        <v/>
      </c>
      <c r="AU199" s="4096">
        <f>SUM(AU195:AU198)</f>
        <v/>
      </c>
      <c r="AV199" s="4094">
        <f>SUM(AV195:AV198)</f>
        <v/>
      </c>
      <c r="AW199" s="4094">
        <f>SUM(AW195:AW198)</f>
        <v/>
      </c>
      <c r="AX199" s="4094">
        <f>SUM(AX195:AX198)</f>
        <v/>
      </c>
      <c r="AY199" s="4094">
        <f>SUM(AY195:AY198)</f>
        <v/>
      </c>
      <c r="AZ199" s="4094">
        <f>SUM(AZ195:AZ198)</f>
        <v/>
      </c>
      <c r="BA199" s="3737" t="n"/>
      <c r="BB199" s="4097">
        <f>IFERROR(F199/F$117,0)</f>
        <v/>
      </c>
      <c r="BC199" s="4097">
        <f>IFERROR(G199/G$117,0)</f>
        <v/>
      </c>
      <c r="BD199" s="4097">
        <f>IFERROR(H199/H$117,0)</f>
        <v/>
      </c>
      <c r="BE199" s="4097">
        <f>IFERROR(I199/I$117,0)</f>
        <v/>
      </c>
      <c r="BF199" s="4097">
        <f>IFERROR(J199/J$117,0)</f>
        <v/>
      </c>
      <c r="BG199" s="4097">
        <f>IFERROR(K199/K$117,0)</f>
        <v/>
      </c>
      <c r="BH199" s="4097">
        <f>IFERROR(L199/L$117,0)</f>
        <v/>
      </c>
      <c r="BI199" s="4097">
        <f>IFERROR(M199/M$117,0)</f>
        <v/>
      </c>
      <c r="BJ199" s="4097">
        <f>IFERROR(N199/N$117,0)</f>
        <v/>
      </c>
      <c r="BK199" s="4097">
        <f>IFERROR(O199/O$117,0)</f>
        <v/>
      </c>
      <c r="BL199" s="4097">
        <f>IFERROR(P199/P$117,0)</f>
        <v/>
      </c>
      <c r="BM199" s="4098">
        <f>IFERROR(Q199/Q$117,0)</f>
        <v/>
      </c>
      <c r="BN199" s="4097">
        <f>IFERROR(R199/R$117,0)</f>
        <v/>
      </c>
      <c r="BO199" s="4097">
        <f>IFERROR(S199/S$117,0)</f>
        <v/>
      </c>
      <c r="BP199" s="4097">
        <f>IFERROR(T199/T$117,0)</f>
        <v/>
      </c>
      <c r="BQ199" s="4097">
        <f>IFERROR(U199/U$117,0)</f>
        <v/>
      </c>
      <c r="BR199" s="4097">
        <f>IFERROR(V199/V$117,0)</f>
        <v/>
      </c>
      <c r="BS199" s="4097">
        <f>IFERROR(W199/W$117,0)</f>
        <v/>
      </c>
      <c r="BT199" s="4097">
        <f>IFERROR(X199/X$117,0)</f>
        <v/>
      </c>
      <c r="BU199" s="4097">
        <f>IFERROR(Y199/Y$117,0)</f>
        <v/>
      </c>
      <c r="BV199" s="4097">
        <f>IFERROR(Z199/Z$117,0)</f>
        <v/>
      </c>
      <c r="BW199" s="4097">
        <f>IFERROR(AA199/AA$117,0)</f>
        <v/>
      </c>
      <c r="BX199" s="4097">
        <f>IFERROR(AB199/AB$117,0)</f>
        <v/>
      </c>
      <c r="BY199" s="4098">
        <f>IFERROR(AC199/AC$117,0)</f>
        <v/>
      </c>
      <c r="BZ199" s="4097">
        <f>IFERROR(AD199/AD$117,0)</f>
        <v/>
      </c>
      <c r="CA199" s="4097">
        <f>IFERROR(AE199/AE$117,0)</f>
        <v/>
      </c>
      <c r="CB199" s="4097">
        <f>IFERROR(AF199/AF$117,0)</f>
        <v/>
      </c>
      <c r="CC199" s="4097">
        <f>IFERROR(AG199/AG$117,0)</f>
        <v/>
      </c>
      <c r="CD199" s="4097">
        <f>IFERROR(AH199/AH$117,0)</f>
        <v/>
      </c>
      <c r="CE199" s="4097">
        <f>IFERROR(AI199/AI$117,0)</f>
        <v/>
      </c>
      <c r="CF199" s="4097">
        <f>IFERROR(AJ199/AJ$117,0)</f>
        <v/>
      </c>
      <c r="CG199" s="4097">
        <f>IFERROR(AK199/AK$117,0)</f>
        <v/>
      </c>
      <c r="CH199" s="4097">
        <f>IFERROR(AL199/AL$117,0)</f>
        <v/>
      </c>
      <c r="CI199" s="4097">
        <f>IFERROR(AM199/AM$117,0)</f>
        <v/>
      </c>
      <c r="CJ199" s="4097">
        <f>IFERROR(AN199/AN$117,0)</f>
        <v/>
      </c>
      <c r="CK199" s="4098">
        <f>IFERROR(AO199/AO$117,0)</f>
        <v/>
      </c>
      <c r="CL199" s="4097">
        <f>IFERROR(AP199/AP$117,0)</f>
        <v/>
      </c>
      <c r="CM199" s="4097">
        <f>IFERROR(AQ199/AQ$117,0)</f>
        <v/>
      </c>
      <c r="CN199" s="4097">
        <f>IFERROR(AR199/AR$117,0)</f>
        <v/>
      </c>
      <c r="CO199" s="4097">
        <f>IFERROR(AS199/AS$117,0)</f>
        <v/>
      </c>
      <c r="CP199" s="4097">
        <f>IFERROR(AT199/AT$117,0)</f>
        <v/>
      </c>
      <c r="CQ199" s="4099">
        <f>IFERROR(AU199/AU$117,0)</f>
        <v/>
      </c>
      <c r="CR199" s="4097">
        <f>IFERROR(AV199/AV$117,0)</f>
        <v/>
      </c>
      <c r="CS199" s="4097">
        <f>IFERROR(AW199/AW$117,0)</f>
        <v/>
      </c>
      <c r="CT199" s="4097">
        <f>IFERROR(AX199/AX$117,0)</f>
        <v/>
      </c>
      <c r="CU199" s="4097">
        <f>IFERROR(AY199/AY$117,0)</f>
        <v/>
      </c>
      <c r="CV199" s="4097">
        <f>IFERROR(AZ199/AZ$117,0)</f>
        <v/>
      </c>
      <c r="CW199" s="3737" t="n"/>
      <c r="CX199" s="4094">
        <f>SUM(CX195:CX198)</f>
        <v/>
      </c>
    </row>
    <row r="200" hidden="1" outlineLevel="2" ht="12" customFormat="1" customHeight="1" s="3737">
      <c r="A200" s="4059" t="n"/>
      <c r="B200" s="4060" t="n"/>
      <c r="C200" s="4128" t="inlineStr">
        <is>
          <t>Salaries - severance</t>
        </is>
      </c>
      <c r="D200" s="4101" t="n">
        <v>531105</v>
      </c>
      <c r="E200" s="4101">
        <f>CONCATENATE(D200," - ",C200)</f>
        <v/>
      </c>
      <c r="F200" s="4102" t="n"/>
      <c r="G200" s="4102" t="n"/>
      <c r="H200" s="4102" t="n"/>
      <c r="I200" s="4102" t="n"/>
      <c r="J200" s="4102" t="n"/>
      <c r="K200" s="4102" t="n"/>
      <c r="L200" s="4102" t="n"/>
      <c r="M200" s="4102" t="n"/>
      <c r="N200" s="4102" t="n"/>
      <c r="O200" s="4102" t="n"/>
      <c r="P200" s="4102" t="n"/>
      <c r="Q200" s="4103" t="n"/>
      <c r="R200" s="4102" t="n"/>
      <c r="S200" s="4102" t="n"/>
      <c r="T200" s="4102" t="n"/>
      <c r="U200" s="4102" t="n"/>
      <c r="V200" s="4102" t="n"/>
      <c r="W200" s="4102" t="n"/>
      <c r="X200" s="4102" t="n"/>
      <c r="Y200" s="4102" t="n"/>
      <c r="Z200" s="4102" t="n"/>
      <c r="AA200" s="4102" t="n"/>
      <c r="AB200" s="4102" t="n"/>
      <c r="AC200" s="4103" t="n"/>
      <c r="AD200" s="4102" t="n"/>
      <c r="AE200" s="4102" t="n"/>
      <c r="AF200" s="4102" t="n"/>
      <c r="AG200" s="4102" t="n"/>
      <c r="AH200" s="4102" t="n"/>
      <c r="AI200" s="4102" t="n"/>
      <c r="AJ200" s="4102" t="n"/>
      <c r="AK200" s="4102" t="n"/>
      <c r="AL200" s="4102" t="n"/>
      <c r="AM200" s="4102" t="n"/>
      <c r="AN200" s="4102" t="n"/>
      <c r="AO200" s="4103" t="n"/>
      <c r="AP200" s="4102" t="n">
        <v>0</v>
      </c>
      <c r="AQ200" s="4102" t="n">
        <v>-131.51343</v>
      </c>
      <c r="AR200" s="4102" t="n">
        <v>0</v>
      </c>
      <c r="AS200" s="4102" t="n">
        <v>0</v>
      </c>
      <c r="AT200" s="4102" t="n">
        <v>0</v>
      </c>
      <c r="AU200" s="4104" t="n">
        <v>-5.65779</v>
      </c>
      <c r="AV200" s="4102">
        <f>SUM(F200:Q200)</f>
        <v/>
      </c>
      <c r="AW200" s="4102">
        <f>SUM(R200:AC200)</f>
        <v/>
      </c>
      <c r="AX200" s="4102">
        <f>SUM(AD200:AO200)</f>
        <v/>
      </c>
      <c r="AY200" s="4102">
        <f>SUM(AH200:AS200)</f>
        <v/>
      </c>
      <c r="AZ200" s="4102">
        <f>SUM(AJ200:AU200)</f>
        <v/>
      </c>
      <c r="BA200" s="3737" t="n"/>
      <c r="BB200" s="4105">
        <f>IFERROR(F200/F$117,0)</f>
        <v/>
      </c>
      <c r="BC200" s="4105">
        <f>IFERROR(G200/G$117,0)</f>
        <v/>
      </c>
      <c r="BD200" s="4105">
        <f>IFERROR(H200/H$117,0)</f>
        <v/>
      </c>
      <c r="BE200" s="4105">
        <f>IFERROR(I200/I$117,0)</f>
        <v/>
      </c>
      <c r="BF200" s="4105">
        <f>IFERROR(J200/J$117,0)</f>
        <v/>
      </c>
      <c r="BG200" s="4105">
        <f>IFERROR(K200/K$117,0)</f>
        <v/>
      </c>
      <c r="BH200" s="4105">
        <f>IFERROR(L200/L$117,0)</f>
        <v/>
      </c>
      <c r="BI200" s="4105">
        <f>IFERROR(M200/M$117,0)</f>
        <v/>
      </c>
      <c r="BJ200" s="4105">
        <f>IFERROR(N200/N$117,0)</f>
        <v/>
      </c>
      <c r="BK200" s="4105">
        <f>IFERROR(O200/O$117,0)</f>
        <v/>
      </c>
      <c r="BL200" s="4105">
        <f>IFERROR(P200/P$117,0)</f>
        <v/>
      </c>
      <c r="BM200" s="4106">
        <f>IFERROR(Q200/Q$117,0)</f>
        <v/>
      </c>
      <c r="BN200" s="4105">
        <f>IFERROR(R200/R$117,0)</f>
        <v/>
      </c>
      <c r="BO200" s="4105">
        <f>IFERROR(S200/S$117,0)</f>
        <v/>
      </c>
      <c r="BP200" s="4105">
        <f>IFERROR(T200/T$117,0)</f>
        <v/>
      </c>
      <c r="BQ200" s="4105">
        <f>IFERROR(U200/U$117,0)</f>
        <v/>
      </c>
      <c r="BR200" s="4105">
        <f>IFERROR(V200/V$117,0)</f>
        <v/>
      </c>
      <c r="BS200" s="4105">
        <f>IFERROR(W200/W$117,0)</f>
        <v/>
      </c>
      <c r="BT200" s="4105">
        <f>IFERROR(X200/X$117,0)</f>
        <v/>
      </c>
      <c r="BU200" s="4105">
        <f>IFERROR(Y200/Y$117,0)</f>
        <v/>
      </c>
      <c r="BV200" s="4105">
        <f>IFERROR(Z200/Z$117,0)</f>
        <v/>
      </c>
      <c r="BW200" s="4105">
        <f>IFERROR(AA200/AA$117,0)</f>
        <v/>
      </c>
      <c r="BX200" s="4105">
        <f>IFERROR(AB200/AB$117,0)</f>
        <v/>
      </c>
      <c r="BY200" s="4106">
        <f>IFERROR(AC200/AC$117,0)</f>
        <v/>
      </c>
      <c r="BZ200" s="4105">
        <f>IFERROR(AD200/AD$117,0)</f>
        <v/>
      </c>
      <c r="CA200" s="4105">
        <f>IFERROR(AE200/AE$117,0)</f>
        <v/>
      </c>
      <c r="CB200" s="4105">
        <f>IFERROR(AF200/AF$117,0)</f>
        <v/>
      </c>
      <c r="CC200" s="4105">
        <f>IFERROR(AG200/AG$117,0)</f>
        <v/>
      </c>
      <c r="CD200" s="4105">
        <f>IFERROR(AH200/AH$117,0)</f>
        <v/>
      </c>
      <c r="CE200" s="4105">
        <f>IFERROR(AI200/AI$117,0)</f>
        <v/>
      </c>
      <c r="CF200" s="4105">
        <f>IFERROR(AJ200/AJ$117,0)</f>
        <v/>
      </c>
      <c r="CG200" s="4105">
        <f>IFERROR(AK200/AK$117,0)</f>
        <v/>
      </c>
      <c r="CH200" s="4105">
        <f>IFERROR(AL200/AL$117,0)</f>
        <v/>
      </c>
      <c r="CI200" s="4105">
        <f>IFERROR(AM200/AM$117,0)</f>
        <v/>
      </c>
      <c r="CJ200" s="4105">
        <f>IFERROR(AN200/AN$117,0)</f>
        <v/>
      </c>
      <c r="CK200" s="4106">
        <f>IFERROR(AO200/AO$117,0)</f>
        <v/>
      </c>
      <c r="CL200" s="4105">
        <f>IFERROR(AP200/AP$117,0)</f>
        <v/>
      </c>
      <c r="CM200" s="4105">
        <f>IFERROR(AQ200/AQ$117,0)</f>
        <v/>
      </c>
      <c r="CN200" s="4105">
        <f>IFERROR(AR200/AR$117,0)</f>
        <v/>
      </c>
      <c r="CO200" s="4105">
        <f>IFERROR(AS200/AS$117,0)</f>
        <v/>
      </c>
      <c r="CP200" s="4105">
        <f>IFERROR(AT200/AT$117,0)</f>
        <v/>
      </c>
      <c r="CQ200" s="4107">
        <f>IFERROR(AU200/AU$117,0)</f>
        <v/>
      </c>
      <c r="CR200" s="4105">
        <f>IFERROR(AV200/AV$117,0)</f>
        <v/>
      </c>
      <c r="CS200" s="4105">
        <f>IFERROR(AW200/AW$117,0)</f>
        <v/>
      </c>
      <c r="CT200" s="4105">
        <f>IFERROR(AX200/AX$117,0)</f>
        <v/>
      </c>
      <c r="CU200" s="4105">
        <f>IFERROR(AY200/AY$117,0)</f>
        <v/>
      </c>
      <c r="CV200" s="4105">
        <f>IFERROR(AZ200/AZ$117,0)</f>
        <v/>
      </c>
      <c r="CW200" s="3737" t="n"/>
      <c r="CX200" s="4102" t="n">
        <v>6.61055</v>
      </c>
    </row>
    <row r="201" hidden="1" outlineLevel="1" collapsed="1" ht="12" customFormat="1" customHeight="1" s="3737">
      <c r="A201" s="4059" t="n"/>
      <c r="B201" s="4060" t="n"/>
      <c r="C201" s="4092" t="inlineStr">
        <is>
          <t>Severance &amp; related costs</t>
        </is>
      </c>
      <c r="D201" s="4093" t="n"/>
      <c r="E201" s="4093" t="n"/>
      <c r="F201" s="4094" t="n"/>
      <c r="G201" s="4094" t="n"/>
      <c r="H201" s="4094" t="n"/>
      <c r="I201" s="4094" t="n"/>
      <c r="J201" s="4094" t="n"/>
      <c r="K201" s="4094" t="n"/>
      <c r="L201" s="4094" t="n"/>
      <c r="M201" s="4094" t="n"/>
      <c r="N201" s="4094" t="n"/>
      <c r="O201" s="4094" t="n"/>
      <c r="P201" s="4094" t="n"/>
      <c r="Q201" s="4095" t="n"/>
      <c r="R201" s="4094" t="n"/>
      <c r="S201" s="4094" t="n"/>
      <c r="T201" s="4094" t="n"/>
      <c r="U201" s="4094" t="n"/>
      <c r="V201" s="4094" t="n"/>
      <c r="W201" s="4094" t="n"/>
      <c r="X201" s="4094" t="n"/>
      <c r="Y201" s="4094" t="n"/>
      <c r="Z201" s="4094" t="n"/>
      <c r="AA201" s="4094" t="n"/>
      <c r="AB201" s="4094" t="n"/>
      <c r="AC201" s="4095" t="n"/>
      <c r="AD201" s="4094" t="n"/>
      <c r="AE201" s="4094" t="n"/>
      <c r="AF201" s="4094" t="n"/>
      <c r="AG201" s="4094" t="n"/>
      <c r="AH201" s="4094" t="n"/>
      <c r="AI201" s="4094" t="n"/>
      <c r="AJ201" s="4094" t="n"/>
      <c r="AK201" s="4094" t="n"/>
      <c r="AL201" s="4094" t="n"/>
      <c r="AM201" s="4094" t="n"/>
      <c r="AN201" s="4094" t="n"/>
      <c r="AO201" s="4095" t="n"/>
      <c r="AP201" s="4094">
        <f>SUM(AP200)</f>
        <v/>
      </c>
      <c r="AQ201" s="4094">
        <f>SUM(AQ200)</f>
        <v/>
      </c>
      <c r="AR201" s="4094">
        <f>SUM(AR200)</f>
        <v/>
      </c>
      <c r="AS201" s="4094">
        <f>SUM(AS200)</f>
        <v/>
      </c>
      <c r="AT201" s="4094">
        <f>SUM(AT200)</f>
        <v/>
      </c>
      <c r="AU201" s="4096">
        <f>SUM(AU200)</f>
        <v/>
      </c>
      <c r="AV201" s="4094">
        <f>SUM(AV200)</f>
        <v/>
      </c>
      <c r="AW201" s="4094">
        <f>SUM(AW200)</f>
        <v/>
      </c>
      <c r="AX201" s="4094">
        <f>SUM(AX200)</f>
        <v/>
      </c>
      <c r="AY201" s="4094">
        <f>SUM(AY200)</f>
        <v/>
      </c>
      <c r="AZ201" s="4094">
        <f>SUM(AZ200)</f>
        <v/>
      </c>
      <c r="BA201" s="3737" t="n"/>
      <c r="BB201" s="4097">
        <f>IFERROR(F201/F$117,0)</f>
        <v/>
      </c>
      <c r="BC201" s="4097">
        <f>IFERROR(G201/G$117,0)</f>
        <v/>
      </c>
      <c r="BD201" s="4097">
        <f>IFERROR(H201/H$117,0)</f>
        <v/>
      </c>
      <c r="BE201" s="4097">
        <f>IFERROR(I201/I$117,0)</f>
        <v/>
      </c>
      <c r="BF201" s="4097">
        <f>IFERROR(J201/J$117,0)</f>
        <v/>
      </c>
      <c r="BG201" s="4097">
        <f>IFERROR(K201/K$117,0)</f>
        <v/>
      </c>
      <c r="BH201" s="4097">
        <f>IFERROR(L201/L$117,0)</f>
        <v/>
      </c>
      <c r="BI201" s="4097">
        <f>IFERROR(M201/M$117,0)</f>
        <v/>
      </c>
      <c r="BJ201" s="4097">
        <f>IFERROR(N201/N$117,0)</f>
        <v/>
      </c>
      <c r="BK201" s="4097">
        <f>IFERROR(O201/O$117,0)</f>
        <v/>
      </c>
      <c r="BL201" s="4097">
        <f>IFERROR(P201/P$117,0)</f>
        <v/>
      </c>
      <c r="BM201" s="4098">
        <f>IFERROR(Q201/Q$117,0)</f>
        <v/>
      </c>
      <c r="BN201" s="4097">
        <f>IFERROR(R201/R$117,0)</f>
        <v/>
      </c>
      <c r="BO201" s="4097">
        <f>IFERROR(S201/S$117,0)</f>
        <v/>
      </c>
      <c r="BP201" s="4097">
        <f>IFERROR(T201/T$117,0)</f>
        <v/>
      </c>
      <c r="BQ201" s="4097">
        <f>IFERROR(U201/U$117,0)</f>
        <v/>
      </c>
      <c r="BR201" s="4097">
        <f>IFERROR(V201/V$117,0)</f>
        <v/>
      </c>
      <c r="BS201" s="4097">
        <f>IFERROR(W201/W$117,0)</f>
        <v/>
      </c>
      <c r="BT201" s="4097">
        <f>IFERROR(X201/X$117,0)</f>
        <v/>
      </c>
      <c r="BU201" s="4097">
        <f>IFERROR(Y201/Y$117,0)</f>
        <v/>
      </c>
      <c r="BV201" s="4097">
        <f>IFERROR(Z201/Z$117,0)</f>
        <v/>
      </c>
      <c r="BW201" s="4097">
        <f>IFERROR(AA201/AA$117,0)</f>
        <v/>
      </c>
      <c r="BX201" s="4097">
        <f>IFERROR(AB201/AB$117,0)</f>
        <v/>
      </c>
      <c r="BY201" s="4098">
        <f>IFERROR(AC201/AC$117,0)</f>
        <v/>
      </c>
      <c r="BZ201" s="4097">
        <f>IFERROR(AD201/AD$117,0)</f>
        <v/>
      </c>
      <c r="CA201" s="4097">
        <f>IFERROR(AE201/AE$117,0)</f>
        <v/>
      </c>
      <c r="CB201" s="4097">
        <f>IFERROR(AF201/AF$117,0)</f>
        <v/>
      </c>
      <c r="CC201" s="4097">
        <f>IFERROR(AG201/AG$117,0)</f>
        <v/>
      </c>
      <c r="CD201" s="4097">
        <f>IFERROR(AH201/AH$117,0)</f>
        <v/>
      </c>
      <c r="CE201" s="4097">
        <f>IFERROR(AI201/AI$117,0)</f>
        <v/>
      </c>
      <c r="CF201" s="4097">
        <f>IFERROR(AJ201/AJ$117,0)</f>
        <v/>
      </c>
      <c r="CG201" s="4097">
        <f>IFERROR(AK201/AK$117,0)</f>
        <v/>
      </c>
      <c r="CH201" s="4097">
        <f>IFERROR(AL201/AL$117,0)</f>
        <v/>
      </c>
      <c r="CI201" s="4097">
        <f>IFERROR(AM201/AM$117,0)</f>
        <v/>
      </c>
      <c r="CJ201" s="4097">
        <f>IFERROR(AN201/AN$117,0)</f>
        <v/>
      </c>
      <c r="CK201" s="4098">
        <f>IFERROR(AO201/AO$117,0)</f>
        <v/>
      </c>
      <c r="CL201" s="4097">
        <f>IFERROR(AP201/AP$117,0)</f>
        <v/>
      </c>
      <c r="CM201" s="4097">
        <f>IFERROR(AQ201/AQ$117,0)</f>
        <v/>
      </c>
      <c r="CN201" s="4097">
        <f>IFERROR(AR201/AR$117,0)</f>
        <v/>
      </c>
      <c r="CO201" s="4097">
        <f>IFERROR(AS201/AS$117,0)</f>
        <v/>
      </c>
      <c r="CP201" s="4097">
        <f>IFERROR(AT201/AT$117,0)</f>
        <v/>
      </c>
      <c r="CQ201" s="4099">
        <f>IFERROR(AU201/AU$117,0)</f>
        <v/>
      </c>
      <c r="CR201" s="4097">
        <f>IFERROR(AV201/AV$117,0)</f>
        <v/>
      </c>
      <c r="CS201" s="4097">
        <f>IFERROR(AW201/AW$117,0)</f>
        <v/>
      </c>
      <c r="CT201" s="4097">
        <f>IFERROR(AX201/AX$117,0)</f>
        <v/>
      </c>
      <c r="CU201" s="4097">
        <f>IFERROR(AY201/AY$117,0)</f>
        <v/>
      </c>
      <c r="CV201" s="4097">
        <f>IFERROR(AZ201/AZ$117,0)</f>
        <v/>
      </c>
      <c r="CW201" s="3737" t="n"/>
      <c r="CX201" s="4094">
        <f>SUM(CX200)</f>
        <v/>
      </c>
    </row>
    <row r="202" hidden="1" outlineLevel="2" ht="12" customFormat="1" customHeight="1" s="3737">
      <c r="A202" s="4059" t="n"/>
      <c r="B202" s="4060" t="n"/>
      <c r="C202" s="4128" t="inlineStr">
        <is>
          <t>Other payroll tax</t>
        </is>
      </c>
      <c r="D202" s="4101" t="n">
        <v>533501</v>
      </c>
      <c r="E202" s="4101">
        <f>CONCATENATE(D202," - ",C202)</f>
        <v/>
      </c>
      <c r="F202" s="4102" t="n"/>
      <c r="G202" s="4102" t="n"/>
      <c r="H202" s="4102" t="n"/>
      <c r="I202" s="4102" t="n"/>
      <c r="J202" s="4102" t="n"/>
      <c r="K202" s="4102" t="n"/>
      <c r="L202" s="4102" t="n"/>
      <c r="M202" s="4102" t="n"/>
      <c r="N202" s="4102" t="n"/>
      <c r="O202" s="4102" t="n"/>
      <c r="P202" s="4102" t="n"/>
      <c r="Q202" s="4103" t="n"/>
      <c r="R202" s="4102" t="n"/>
      <c r="S202" s="4102" t="n"/>
      <c r="T202" s="4102" t="n"/>
      <c r="U202" s="4102" t="n"/>
      <c r="V202" s="4102" t="n"/>
      <c r="W202" s="4102" t="n"/>
      <c r="X202" s="4102" t="n"/>
      <c r="Y202" s="4102" t="n"/>
      <c r="Z202" s="4102" t="n"/>
      <c r="AA202" s="4102" t="n"/>
      <c r="AB202" s="4102" t="n"/>
      <c r="AC202" s="4103" t="n"/>
      <c r="AD202" s="4102" t="n"/>
      <c r="AE202" s="4102" t="n"/>
      <c r="AF202" s="4102" t="n"/>
      <c r="AG202" s="4102" t="n"/>
      <c r="AH202" s="4102" t="n"/>
      <c r="AI202" s="4102" t="n"/>
      <c r="AJ202" s="4102" t="n"/>
      <c r="AK202" s="4102" t="n"/>
      <c r="AL202" s="4102" t="n"/>
      <c r="AM202" s="4102" t="n"/>
      <c r="AN202" s="4102" t="n"/>
      <c r="AO202" s="4103" t="n"/>
      <c r="AP202" s="4102" t="n">
        <v>0</v>
      </c>
      <c r="AQ202" s="4102" t="n">
        <v>0</v>
      </c>
      <c r="AR202" s="4102" t="n">
        <v>0</v>
      </c>
      <c r="AS202" s="4102" t="n">
        <v>0</v>
      </c>
      <c r="AT202" s="4102" t="n">
        <v>0</v>
      </c>
      <c r="AU202" s="4104" t="n">
        <v>0</v>
      </c>
      <c r="AV202" s="4102">
        <f>SUM(F202:Q202)</f>
        <v/>
      </c>
      <c r="AW202" s="4102">
        <f>SUM(R202:AC202)</f>
        <v/>
      </c>
      <c r="AX202" s="4102">
        <f>SUM(AD202:AO202)</f>
        <v/>
      </c>
      <c r="AY202" s="4102">
        <f>SUM(AH202:AS202)</f>
        <v/>
      </c>
      <c r="AZ202" s="4102">
        <f>SUM(AJ202:AU202)</f>
        <v/>
      </c>
      <c r="BA202" s="3737" t="n"/>
      <c r="BB202" s="4105">
        <f>IFERROR(F202/F$117,0)</f>
        <v/>
      </c>
      <c r="BC202" s="4105">
        <f>IFERROR(G202/G$117,0)</f>
        <v/>
      </c>
      <c r="BD202" s="4105">
        <f>IFERROR(H202/H$117,0)</f>
        <v/>
      </c>
      <c r="BE202" s="4105">
        <f>IFERROR(I202/I$117,0)</f>
        <v/>
      </c>
      <c r="BF202" s="4105">
        <f>IFERROR(J202/J$117,0)</f>
        <v/>
      </c>
      <c r="BG202" s="4105">
        <f>IFERROR(K202/K$117,0)</f>
        <v/>
      </c>
      <c r="BH202" s="4105">
        <f>IFERROR(L202/L$117,0)</f>
        <v/>
      </c>
      <c r="BI202" s="4105">
        <f>IFERROR(M202/M$117,0)</f>
        <v/>
      </c>
      <c r="BJ202" s="4105">
        <f>IFERROR(N202/N$117,0)</f>
        <v/>
      </c>
      <c r="BK202" s="4105">
        <f>IFERROR(O202/O$117,0)</f>
        <v/>
      </c>
      <c r="BL202" s="4105">
        <f>IFERROR(P202/P$117,0)</f>
        <v/>
      </c>
      <c r="BM202" s="4106">
        <f>IFERROR(Q202/Q$117,0)</f>
        <v/>
      </c>
      <c r="BN202" s="4105">
        <f>IFERROR(R202/R$117,0)</f>
        <v/>
      </c>
      <c r="BO202" s="4105">
        <f>IFERROR(S202/S$117,0)</f>
        <v/>
      </c>
      <c r="BP202" s="4105">
        <f>IFERROR(T202/T$117,0)</f>
        <v/>
      </c>
      <c r="BQ202" s="4105">
        <f>IFERROR(U202/U$117,0)</f>
        <v/>
      </c>
      <c r="BR202" s="4105">
        <f>IFERROR(V202/V$117,0)</f>
        <v/>
      </c>
      <c r="BS202" s="4105">
        <f>IFERROR(W202/W$117,0)</f>
        <v/>
      </c>
      <c r="BT202" s="4105">
        <f>IFERROR(X202/X$117,0)</f>
        <v/>
      </c>
      <c r="BU202" s="4105">
        <f>IFERROR(Y202/Y$117,0)</f>
        <v/>
      </c>
      <c r="BV202" s="4105">
        <f>IFERROR(Z202/Z$117,0)</f>
        <v/>
      </c>
      <c r="BW202" s="4105">
        <f>IFERROR(AA202/AA$117,0)</f>
        <v/>
      </c>
      <c r="BX202" s="4105">
        <f>IFERROR(AB202/AB$117,0)</f>
        <v/>
      </c>
      <c r="BY202" s="4106">
        <f>IFERROR(AC202/AC$117,0)</f>
        <v/>
      </c>
      <c r="BZ202" s="4105">
        <f>IFERROR(AD202/AD$117,0)</f>
        <v/>
      </c>
      <c r="CA202" s="4105">
        <f>IFERROR(AE202/AE$117,0)</f>
        <v/>
      </c>
      <c r="CB202" s="4105">
        <f>IFERROR(AF202/AF$117,0)</f>
        <v/>
      </c>
      <c r="CC202" s="4105">
        <f>IFERROR(AG202/AG$117,0)</f>
        <v/>
      </c>
      <c r="CD202" s="4105">
        <f>IFERROR(AH202/AH$117,0)</f>
        <v/>
      </c>
      <c r="CE202" s="4105">
        <f>IFERROR(AI202/AI$117,0)</f>
        <v/>
      </c>
      <c r="CF202" s="4105">
        <f>IFERROR(AJ202/AJ$117,0)</f>
        <v/>
      </c>
      <c r="CG202" s="4105">
        <f>IFERROR(AK202/AK$117,0)</f>
        <v/>
      </c>
      <c r="CH202" s="4105">
        <f>IFERROR(AL202/AL$117,0)</f>
        <v/>
      </c>
      <c r="CI202" s="4105">
        <f>IFERROR(AM202/AM$117,0)</f>
        <v/>
      </c>
      <c r="CJ202" s="4105">
        <f>IFERROR(AN202/AN$117,0)</f>
        <v/>
      </c>
      <c r="CK202" s="4106">
        <f>IFERROR(AO202/AO$117,0)</f>
        <v/>
      </c>
      <c r="CL202" s="4105">
        <f>IFERROR(AP202/AP$117,0)</f>
        <v/>
      </c>
      <c r="CM202" s="4105">
        <f>IFERROR(AQ202/AQ$117,0)</f>
        <v/>
      </c>
      <c r="CN202" s="4105">
        <f>IFERROR(AR202/AR$117,0)</f>
        <v/>
      </c>
      <c r="CO202" s="4105">
        <f>IFERROR(AS202/AS$117,0)</f>
        <v/>
      </c>
      <c r="CP202" s="4105">
        <f>IFERROR(AT202/AT$117,0)</f>
        <v/>
      </c>
      <c r="CQ202" s="4107">
        <f>IFERROR(AU202/AU$117,0)</f>
        <v/>
      </c>
      <c r="CR202" s="4105">
        <f>IFERROR(AV202/AV$117,0)</f>
        <v/>
      </c>
      <c r="CS202" s="4105">
        <f>IFERROR(AW202/AW$117,0)</f>
        <v/>
      </c>
      <c r="CT202" s="4105">
        <f>IFERROR(AX202/AX$117,0)</f>
        <v/>
      </c>
      <c r="CU202" s="4105">
        <f>IFERROR(AY202/AY$117,0)</f>
        <v/>
      </c>
      <c r="CV202" s="4105">
        <f>IFERROR(AZ202/AZ$117,0)</f>
        <v/>
      </c>
      <c r="CW202" s="3737" t="n"/>
      <c r="CX202" s="4102" t="n">
        <v>892.95767</v>
      </c>
    </row>
    <row r="203" hidden="1" outlineLevel="1" collapsed="1" ht="12" customFormat="1" customHeight="1" s="3737">
      <c r="A203" s="4059" t="n"/>
      <c r="B203" s="4060" t="n"/>
      <c r="C203" s="4100" t="inlineStr">
        <is>
          <t>Canada emergency wage subsidy</t>
        </is>
      </c>
      <c r="D203" s="4101" t="n"/>
      <c r="E203" s="4101" t="n"/>
      <c r="F203" s="4102" t="n"/>
      <c r="G203" s="4102" t="n"/>
      <c r="H203" s="4102" t="n"/>
      <c r="I203" s="4102" t="n"/>
      <c r="J203" s="4102" t="n"/>
      <c r="K203" s="4102" t="n"/>
      <c r="L203" s="4102" t="n"/>
      <c r="M203" s="4102" t="n"/>
      <c r="N203" s="4102" t="n"/>
      <c r="O203" s="4102" t="n"/>
      <c r="P203" s="4102" t="n"/>
      <c r="Q203" s="4103" t="n"/>
      <c r="R203" s="4102" t="n"/>
      <c r="S203" s="4102" t="n"/>
      <c r="T203" s="4102" t="n"/>
      <c r="U203" s="4102" t="n"/>
      <c r="V203" s="4102" t="n"/>
      <c r="W203" s="4102" t="n"/>
      <c r="X203" s="4102" t="n"/>
      <c r="Y203" s="4102" t="n"/>
      <c r="Z203" s="4102" t="n"/>
      <c r="AA203" s="4102" t="n"/>
      <c r="AB203" s="4102" t="n"/>
      <c r="AC203" s="4103" t="n"/>
      <c r="AD203" s="4102" t="n"/>
      <c r="AE203" s="4102" t="n"/>
      <c r="AF203" s="4102" t="n"/>
      <c r="AG203" s="4102" t="n"/>
      <c r="AH203" s="4102" t="n"/>
      <c r="AI203" s="4102" t="n"/>
      <c r="AJ203" s="4102" t="n"/>
      <c r="AK203" s="4102" t="n"/>
      <c r="AL203" s="4102" t="n"/>
      <c r="AM203" s="4102" t="n"/>
      <c r="AN203" s="4102" t="n"/>
      <c r="AO203" s="4103" t="n"/>
      <c r="AP203" s="4102">
        <f>SUM(AP202)</f>
        <v/>
      </c>
      <c r="AQ203" s="4102">
        <f>SUM(AQ202)</f>
        <v/>
      </c>
      <c r="AR203" s="4102">
        <f>SUM(AR202)</f>
        <v/>
      </c>
      <c r="AS203" s="4102">
        <f>SUM(AS202)</f>
        <v/>
      </c>
      <c r="AT203" s="4102">
        <f>SUM(AT202)</f>
        <v/>
      </c>
      <c r="AU203" s="4104">
        <f>SUM(AU202)</f>
        <v/>
      </c>
      <c r="AV203" s="4102">
        <f>SUM(AV202)</f>
        <v/>
      </c>
      <c r="AW203" s="4102">
        <f>SUM(AW202)</f>
        <v/>
      </c>
      <c r="AX203" s="4102">
        <f>SUM(AX202)</f>
        <v/>
      </c>
      <c r="AY203" s="4102">
        <f>SUM(AY202)</f>
        <v/>
      </c>
      <c r="AZ203" s="4102">
        <f>SUM(AZ202)</f>
        <v/>
      </c>
      <c r="BA203" s="3737" t="n"/>
      <c r="BB203" s="4105">
        <f>IFERROR(F203/F$117,0)</f>
        <v/>
      </c>
      <c r="BC203" s="4105">
        <f>IFERROR(G203/G$117,0)</f>
        <v/>
      </c>
      <c r="BD203" s="4105">
        <f>IFERROR(H203/H$117,0)</f>
        <v/>
      </c>
      <c r="BE203" s="4105">
        <f>IFERROR(I203/I$117,0)</f>
        <v/>
      </c>
      <c r="BF203" s="4105">
        <f>IFERROR(J203/J$117,0)</f>
        <v/>
      </c>
      <c r="BG203" s="4105">
        <f>IFERROR(K203/K$117,0)</f>
        <v/>
      </c>
      <c r="BH203" s="4105">
        <f>IFERROR(L203/L$117,0)</f>
        <v/>
      </c>
      <c r="BI203" s="4105">
        <f>IFERROR(M203/M$117,0)</f>
        <v/>
      </c>
      <c r="BJ203" s="4105">
        <f>IFERROR(N203/N$117,0)</f>
        <v/>
      </c>
      <c r="BK203" s="4105">
        <f>IFERROR(O203/O$117,0)</f>
        <v/>
      </c>
      <c r="BL203" s="4105">
        <f>IFERROR(P203/P$117,0)</f>
        <v/>
      </c>
      <c r="BM203" s="4106">
        <f>IFERROR(Q203/Q$117,0)</f>
        <v/>
      </c>
      <c r="BN203" s="4105">
        <f>IFERROR(R203/R$117,0)</f>
        <v/>
      </c>
      <c r="BO203" s="4105">
        <f>IFERROR(S203/S$117,0)</f>
        <v/>
      </c>
      <c r="BP203" s="4105">
        <f>IFERROR(T203/T$117,0)</f>
        <v/>
      </c>
      <c r="BQ203" s="4105">
        <f>IFERROR(U203/U$117,0)</f>
        <v/>
      </c>
      <c r="BR203" s="4105">
        <f>IFERROR(V203/V$117,0)</f>
        <v/>
      </c>
      <c r="BS203" s="4105">
        <f>IFERROR(W203/W$117,0)</f>
        <v/>
      </c>
      <c r="BT203" s="4105">
        <f>IFERROR(X203/X$117,0)</f>
        <v/>
      </c>
      <c r="BU203" s="4105">
        <f>IFERROR(Y203/Y$117,0)</f>
        <v/>
      </c>
      <c r="BV203" s="4105">
        <f>IFERROR(Z203/Z$117,0)</f>
        <v/>
      </c>
      <c r="BW203" s="4105">
        <f>IFERROR(AA203/AA$117,0)</f>
        <v/>
      </c>
      <c r="BX203" s="4105">
        <f>IFERROR(AB203/AB$117,0)</f>
        <v/>
      </c>
      <c r="BY203" s="4106">
        <f>IFERROR(AC203/AC$117,0)</f>
        <v/>
      </c>
      <c r="BZ203" s="4105">
        <f>IFERROR(AD203/AD$117,0)</f>
        <v/>
      </c>
      <c r="CA203" s="4105">
        <f>IFERROR(AE203/AE$117,0)</f>
        <v/>
      </c>
      <c r="CB203" s="4105">
        <f>IFERROR(AF203/AF$117,0)</f>
        <v/>
      </c>
      <c r="CC203" s="4105">
        <f>IFERROR(AG203/AG$117,0)</f>
        <v/>
      </c>
      <c r="CD203" s="4105">
        <f>IFERROR(AH203/AH$117,0)</f>
        <v/>
      </c>
      <c r="CE203" s="4105">
        <f>IFERROR(AI203/AI$117,0)</f>
        <v/>
      </c>
      <c r="CF203" s="4105">
        <f>IFERROR(AJ203/AJ$117,0)</f>
        <v/>
      </c>
      <c r="CG203" s="4105">
        <f>IFERROR(AK203/AK$117,0)</f>
        <v/>
      </c>
      <c r="CH203" s="4105">
        <f>IFERROR(AL203/AL$117,0)</f>
        <v/>
      </c>
      <c r="CI203" s="4105">
        <f>IFERROR(AM203/AM$117,0)</f>
        <v/>
      </c>
      <c r="CJ203" s="4105">
        <f>IFERROR(AN203/AN$117,0)</f>
        <v/>
      </c>
      <c r="CK203" s="4106">
        <f>IFERROR(AO203/AO$117,0)</f>
        <v/>
      </c>
      <c r="CL203" s="4105">
        <f>IFERROR(AP203/AP$117,0)</f>
        <v/>
      </c>
      <c r="CM203" s="4105">
        <f>IFERROR(AQ203/AQ$117,0)</f>
        <v/>
      </c>
      <c r="CN203" s="4105">
        <f>IFERROR(AR203/AR$117,0)</f>
        <v/>
      </c>
      <c r="CO203" s="4105">
        <f>IFERROR(AS203/AS$117,0)</f>
        <v/>
      </c>
      <c r="CP203" s="4105">
        <f>IFERROR(AT203/AT$117,0)</f>
        <v/>
      </c>
      <c r="CQ203" s="4107">
        <f>IFERROR(AU203/AU$117,0)</f>
        <v/>
      </c>
      <c r="CR203" s="4105">
        <f>IFERROR(AV203/AV$117,0)</f>
        <v/>
      </c>
      <c r="CS203" s="4105">
        <f>IFERROR(AW203/AW$117,0)</f>
        <v/>
      </c>
      <c r="CT203" s="4105">
        <f>IFERROR(AX203/AX$117,0)</f>
        <v/>
      </c>
      <c r="CU203" s="4105">
        <f>IFERROR(AY203/AY$117,0)</f>
        <v/>
      </c>
      <c r="CV203" s="4105">
        <f>IFERROR(AZ203/AZ$117,0)</f>
        <v/>
      </c>
      <c r="CW203" s="3737" t="n"/>
      <c r="CX203" s="4102">
        <f>SUM(CX202)</f>
        <v/>
      </c>
    </row>
    <row r="204" ht="12" customFormat="1" customHeight="1" s="3737">
      <c r="A204" s="4059" t="n"/>
      <c r="B204" s="4060" t="n"/>
      <c r="C204" s="4108" t="inlineStr">
        <is>
          <t>Compensation</t>
        </is>
      </c>
      <c r="D204" s="4093" t="n"/>
      <c r="E204" s="4093" t="n"/>
      <c r="F204" s="4094" t="n"/>
      <c r="G204" s="4094" t="n"/>
      <c r="H204" s="4094" t="n"/>
      <c r="I204" s="4094" t="n"/>
      <c r="J204" s="4094" t="n"/>
      <c r="K204" s="4094" t="n"/>
      <c r="L204" s="4094" t="n"/>
      <c r="M204" s="4094" t="n"/>
      <c r="N204" s="4094" t="n"/>
      <c r="O204" s="4094" t="n"/>
      <c r="P204" s="4094" t="n"/>
      <c r="Q204" s="4095" t="n"/>
      <c r="R204" s="4094" t="n"/>
      <c r="S204" s="4094" t="n"/>
      <c r="T204" s="4094" t="n"/>
      <c r="U204" s="4094" t="n"/>
      <c r="V204" s="4094" t="n"/>
      <c r="W204" s="4094" t="n"/>
      <c r="X204" s="4094" t="n"/>
      <c r="Y204" s="4094" t="n"/>
      <c r="Z204" s="4094" t="n"/>
      <c r="AA204" s="4094" t="n"/>
      <c r="AB204" s="4094" t="n"/>
      <c r="AC204" s="4095" t="n"/>
      <c r="AD204" s="4094" t="n"/>
      <c r="AE204" s="4094" t="n"/>
      <c r="AF204" s="4094" t="n"/>
      <c r="AG204" s="4094" t="n"/>
      <c r="AH204" s="4094" t="n"/>
      <c r="AI204" s="4094" t="n"/>
      <c r="AJ204" s="4094" t="n"/>
      <c r="AK204" s="4094" t="n"/>
      <c r="AL204" s="4094" t="n"/>
      <c r="AM204" s="4094" t="n"/>
      <c r="AN204" s="4094" t="n"/>
      <c r="AO204" s="4095" t="n"/>
      <c r="AP204" s="4094">
        <f>SUM(AP201,AP179,AP203,AP199,AP184,AP194,AP176)</f>
        <v/>
      </c>
      <c r="AQ204" s="4094">
        <f>SUM(AQ201,AQ179,AQ203,AQ199,AQ184,AQ194,AQ176)</f>
        <v/>
      </c>
      <c r="AR204" s="4094">
        <f>SUM(AR201,AR179,AR203,AR199,AR184,AR194,AR176)</f>
        <v/>
      </c>
      <c r="AS204" s="4094">
        <f>SUM(AS201,AS179,AS203,AS199,AS184,AS194,AS176)</f>
        <v/>
      </c>
      <c r="AT204" s="4094">
        <f>SUM(AT201,AT179,AT203,AT199,AT184,AT194,AT176)</f>
        <v/>
      </c>
      <c r="AU204" s="4096">
        <f>SUM(AU201,AU179,AU203,AU199,AU184,AU194,AU176)</f>
        <v/>
      </c>
      <c r="AV204" s="4094">
        <f>SUM(AV201,AV179,AV203,AV199,AV184,AV194,AV176)</f>
        <v/>
      </c>
      <c r="AW204" s="4094">
        <f>SUM(AW201,AW179,AW203,AW199,AW184,AW194,AW176)</f>
        <v/>
      </c>
      <c r="AX204" s="4094">
        <f>SUM(AX201,AX179,AX203,AX199,AX184,AX194,AX176)</f>
        <v/>
      </c>
      <c r="AY204" s="4094">
        <f>SUM(AY201,AY179,AY203,AY199,AY184,AY194,AY176)</f>
        <v/>
      </c>
      <c r="AZ204" s="4094">
        <f>SUM(AZ201,AZ179,AZ203,AZ199,AZ184,AZ194,AZ176)</f>
        <v/>
      </c>
      <c r="BA204" s="3737" t="n"/>
      <c r="BB204" s="4097">
        <f>IFERROR(F204/F$117,0)</f>
        <v/>
      </c>
      <c r="BC204" s="4097">
        <f>IFERROR(G204/G$117,0)</f>
        <v/>
      </c>
      <c r="BD204" s="4097">
        <f>IFERROR(H204/H$117,0)</f>
        <v/>
      </c>
      <c r="BE204" s="4097">
        <f>IFERROR(I204/I$117,0)</f>
        <v/>
      </c>
      <c r="BF204" s="4097">
        <f>IFERROR(J204/J$117,0)</f>
        <v/>
      </c>
      <c r="BG204" s="4097">
        <f>IFERROR(K204/K$117,0)</f>
        <v/>
      </c>
      <c r="BH204" s="4097">
        <f>IFERROR(L204/L$117,0)</f>
        <v/>
      </c>
      <c r="BI204" s="4097">
        <f>IFERROR(M204/M$117,0)</f>
        <v/>
      </c>
      <c r="BJ204" s="4097">
        <f>IFERROR(N204/N$117,0)</f>
        <v/>
      </c>
      <c r="BK204" s="4097">
        <f>IFERROR(O204/O$117,0)</f>
        <v/>
      </c>
      <c r="BL204" s="4097">
        <f>IFERROR(P204/P$117,0)</f>
        <v/>
      </c>
      <c r="BM204" s="4098">
        <f>IFERROR(Q204/Q$117,0)</f>
        <v/>
      </c>
      <c r="BN204" s="4097">
        <f>IFERROR(R204/R$117,0)</f>
        <v/>
      </c>
      <c r="BO204" s="4097">
        <f>IFERROR(S204/S$117,0)</f>
        <v/>
      </c>
      <c r="BP204" s="4097">
        <f>IFERROR(T204/T$117,0)</f>
        <v/>
      </c>
      <c r="BQ204" s="4097">
        <f>IFERROR(U204/U$117,0)</f>
        <v/>
      </c>
      <c r="BR204" s="4097">
        <f>IFERROR(V204/V$117,0)</f>
        <v/>
      </c>
      <c r="BS204" s="4097">
        <f>IFERROR(W204/W$117,0)</f>
        <v/>
      </c>
      <c r="BT204" s="4097">
        <f>IFERROR(X204/X$117,0)</f>
        <v/>
      </c>
      <c r="BU204" s="4097">
        <f>IFERROR(Y204/Y$117,0)</f>
        <v/>
      </c>
      <c r="BV204" s="4097">
        <f>IFERROR(Z204/Z$117,0)</f>
        <v/>
      </c>
      <c r="BW204" s="4097">
        <f>IFERROR(AA204/AA$117,0)</f>
        <v/>
      </c>
      <c r="BX204" s="4097">
        <f>IFERROR(AB204/AB$117,0)</f>
        <v/>
      </c>
      <c r="BY204" s="4098">
        <f>IFERROR(AC204/AC$117,0)</f>
        <v/>
      </c>
      <c r="BZ204" s="4097">
        <f>IFERROR(AD204/AD$117,0)</f>
        <v/>
      </c>
      <c r="CA204" s="4097">
        <f>IFERROR(AE204/AE$117,0)</f>
        <v/>
      </c>
      <c r="CB204" s="4097">
        <f>IFERROR(AF204/AF$117,0)</f>
        <v/>
      </c>
      <c r="CC204" s="4097">
        <f>IFERROR(AG204/AG$117,0)</f>
        <v/>
      </c>
      <c r="CD204" s="4097">
        <f>IFERROR(AH204/AH$117,0)</f>
        <v/>
      </c>
      <c r="CE204" s="4097">
        <f>IFERROR(AI204/AI$117,0)</f>
        <v/>
      </c>
      <c r="CF204" s="4097">
        <f>IFERROR(AJ204/AJ$117,0)</f>
        <v/>
      </c>
      <c r="CG204" s="4097">
        <f>IFERROR(AK204/AK$117,0)</f>
        <v/>
      </c>
      <c r="CH204" s="4097">
        <f>IFERROR(AL204/AL$117,0)</f>
        <v/>
      </c>
      <c r="CI204" s="4097">
        <f>IFERROR(AM204/AM$117,0)</f>
        <v/>
      </c>
      <c r="CJ204" s="4097">
        <f>IFERROR(AN204/AN$117,0)</f>
        <v/>
      </c>
      <c r="CK204" s="4098">
        <f>IFERROR(AO204/AO$117,0)</f>
        <v/>
      </c>
      <c r="CL204" s="4097">
        <f>IFERROR(AP204/AP$117,0)</f>
        <v/>
      </c>
      <c r="CM204" s="4097">
        <f>IFERROR(AQ204/AQ$117,0)</f>
        <v/>
      </c>
      <c r="CN204" s="4097">
        <f>IFERROR(AR204/AR$117,0)</f>
        <v/>
      </c>
      <c r="CO204" s="4097">
        <f>IFERROR(AS204/AS$117,0)</f>
        <v/>
      </c>
      <c r="CP204" s="4097">
        <f>IFERROR(AT204/AT$117,0)</f>
        <v/>
      </c>
      <c r="CQ204" s="4099">
        <f>IFERROR(AU204/AU$117,0)</f>
        <v/>
      </c>
      <c r="CR204" s="4097">
        <f>IFERROR(AV204/AV$117,0)</f>
        <v/>
      </c>
      <c r="CS204" s="4097">
        <f>IFERROR(AW204/AW$117,0)</f>
        <v/>
      </c>
      <c r="CT204" s="4097">
        <f>IFERROR(AX204/AX$117,0)</f>
        <v/>
      </c>
      <c r="CU204" s="4097">
        <f>IFERROR(AY204/AY$117,0)</f>
        <v/>
      </c>
      <c r="CV204" s="4097">
        <f>IFERROR(AZ204/AZ$117,0)</f>
        <v/>
      </c>
      <c r="CW204" s="3737" t="n"/>
      <c r="CX204" s="4094">
        <f>SUM(CX201,CX179,CX203,CX199,CX184,CX194,CX176)</f>
        <v/>
      </c>
    </row>
    <row r="205" hidden="1" outlineLevel="2" ht="12" customFormat="1" customHeight="1" s="3737">
      <c r="A205" s="4059" t="n"/>
      <c r="B205" s="4060" t="n"/>
      <c r="C205" s="4127" t="inlineStr">
        <is>
          <t>Software - aci usage</t>
        </is>
      </c>
      <c r="D205" s="4093" t="n">
        <v>561805</v>
      </c>
      <c r="E205" s="4093">
        <f>CONCATENATE(D205," - ",C205)</f>
        <v/>
      </c>
      <c r="F205" s="4094" t="n"/>
      <c r="G205" s="4094" t="n"/>
      <c r="H205" s="4094" t="n"/>
      <c r="I205" s="4094" t="n"/>
      <c r="J205" s="4094" t="n"/>
      <c r="K205" s="4094" t="n"/>
      <c r="L205" s="4094" t="n"/>
      <c r="M205" s="4094" t="n"/>
      <c r="N205" s="4094" t="n"/>
      <c r="O205" s="4094" t="n"/>
      <c r="P205" s="4094" t="n"/>
      <c r="Q205" s="4095" t="n"/>
      <c r="R205" s="4094" t="n"/>
      <c r="S205" s="4094" t="n"/>
      <c r="T205" s="4094" t="n"/>
      <c r="U205" s="4094" t="n"/>
      <c r="V205" s="4094" t="n"/>
      <c r="W205" s="4094" t="n"/>
      <c r="X205" s="4094" t="n"/>
      <c r="Y205" s="4094" t="n"/>
      <c r="Z205" s="4094" t="n"/>
      <c r="AA205" s="4094" t="n"/>
      <c r="AB205" s="4094" t="n"/>
      <c r="AC205" s="4095" t="n"/>
      <c r="AD205" s="4094" t="n"/>
      <c r="AE205" s="4094" t="n"/>
      <c r="AF205" s="4094" t="n"/>
      <c r="AG205" s="4094" t="n"/>
      <c r="AH205" s="4094" t="n"/>
      <c r="AI205" s="4094" t="n"/>
      <c r="AJ205" s="4094" t="n"/>
      <c r="AK205" s="4094" t="n"/>
      <c r="AL205" s="4094" t="n"/>
      <c r="AM205" s="4094" t="n"/>
      <c r="AN205" s="4094" t="n"/>
      <c r="AO205" s="4095" t="n"/>
      <c r="AP205" s="4094" t="n">
        <v>-183.38342</v>
      </c>
      <c r="AQ205" s="4094" t="n">
        <v>-185.98459</v>
      </c>
      <c r="AR205" s="4094" t="n">
        <v>-203.71327</v>
      </c>
      <c r="AS205" s="4094" t="n">
        <v>-210.57778</v>
      </c>
      <c r="AT205" s="4094" t="n">
        <v>-232.04354</v>
      </c>
      <c r="AU205" s="4096" t="n">
        <v>-228.90917</v>
      </c>
      <c r="AV205" s="4094">
        <f>SUM(F205:Q205)</f>
        <v/>
      </c>
      <c r="AW205" s="4094">
        <f>SUM(R205:AC205)</f>
        <v/>
      </c>
      <c r="AX205" s="4094">
        <f>SUM(AD205:AO205)</f>
        <v/>
      </c>
      <c r="AY205" s="4094">
        <f>SUM(AH205:AS205)</f>
        <v/>
      </c>
      <c r="AZ205" s="4094">
        <f>SUM(AJ205:AU205)</f>
        <v/>
      </c>
      <c r="BA205" s="3737" t="n"/>
      <c r="BB205" s="4097">
        <f>IFERROR(F205/F$117,0)</f>
        <v/>
      </c>
      <c r="BC205" s="4097">
        <f>IFERROR(G205/G$117,0)</f>
        <v/>
      </c>
      <c r="BD205" s="4097">
        <f>IFERROR(H205/H$117,0)</f>
        <v/>
      </c>
      <c r="BE205" s="4097">
        <f>IFERROR(I205/I$117,0)</f>
        <v/>
      </c>
      <c r="BF205" s="4097">
        <f>IFERROR(J205/J$117,0)</f>
        <v/>
      </c>
      <c r="BG205" s="4097">
        <f>IFERROR(K205/K$117,0)</f>
        <v/>
      </c>
      <c r="BH205" s="4097">
        <f>IFERROR(L205/L$117,0)</f>
        <v/>
      </c>
      <c r="BI205" s="4097">
        <f>IFERROR(M205/M$117,0)</f>
        <v/>
      </c>
      <c r="BJ205" s="4097">
        <f>IFERROR(N205/N$117,0)</f>
        <v/>
      </c>
      <c r="BK205" s="4097">
        <f>IFERROR(O205/O$117,0)</f>
        <v/>
      </c>
      <c r="BL205" s="4097">
        <f>IFERROR(P205/P$117,0)</f>
        <v/>
      </c>
      <c r="BM205" s="4098">
        <f>IFERROR(Q205/Q$117,0)</f>
        <v/>
      </c>
      <c r="BN205" s="4097">
        <f>IFERROR(R205/R$117,0)</f>
        <v/>
      </c>
      <c r="BO205" s="4097">
        <f>IFERROR(S205/S$117,0)</f>
        <v/>
      </c>
      <c r="BP205" s="4097">
        <f>IFERROR(T205/T$117,0)</f>
        <v/>
      </c>
      <c r="BQ205" s="4097">
        <f>IFERROR(U205/U$117,0)</f>
        <v/>
      </c>
      <c r="BR205" s="4097">
        <f>IFERROR(V205/V$117,0)</f>
        <v/>
      </c>
      <c r="BS205" s="4097">
        <f>IFERROR(W205/W$117,0)</f>
        <v/>
      </c>
      <c r="BT205" s="4097">
        <f>IFERROR(X205/X$117,0)</f>
        <v/>
      </c>
      <c r="BU205" s="4097">
        <f>IFERROR(Y205/Y$117,0)</f>
        <v/>
      </c>
      <c r="BV205" s="4097">
        <f>IFERROR(Z205/Z$117,0)</f>
        <v/>
      </c>
      <c r="BW205" s="4097">
        <f>IFERROR(AA205/AA$117,0)</f>
        <v/>
      </c>
      <c r="BX205" s="4097">
        <f>IFERROR(AB205/AB$117,0)</f>
        <v/>
      </c>
      <c r="BY205" s="4098">
        <f>IFERROR(AC205/AC$117,0)</f>
        <v/>
      </c>
      <c r="BZ205" s="4097">
        <f>IFERROR(AD205/AD$117,0)</f>
        <v/>
      </c>
      <c r="CA205" s="4097">
        <f>IFERROR(AE205/AE$117,0)</f>
        <v/>
      </c>
      <c r="CB205" s="4097">
        <f>IFERROR(AF205/AF$117,0)</f>
        <v/>
      </c>
      <c r="CC205" s="4097">
        <f>IFERROR(AG205/AG$117,0)</f>
        <v/>
      </c>
      <c r="CD205" s="4097">
        <f>IFERROR(AH205/AH$117,0)</f>
        <v/>
      </c>
      <c r="CE205" s="4097">
        <f>IFERROR(AI205/AI$117,0)</f>
        <v/>
      </c>
      <c r="CF205" s="4097">
        <f>IFERROR(AJ205/AJ$117,0)</f>
        <v/>
      </c>
      <c r="CG205" s="4097">
        <f>IFERROR(AK205/AK$117,0)</f>
        <v/>
      </c>
      <c r="CH205" s="4097">
        <f>IFERROR(AL205/AL$117,0)</f>
        <v/>
      </c>
      <c r="CI205" s="4097">
        <f>IFERROR(AM205/AM$117,0)</f>
        <v/>
      </c>
      <c r="CJ205" s="4097">
        <f>IFERROR(AN205/AN$117,0)</f>
        <v/>
      </c>
      <c r="CK205" s="4098">
        <f>IFERROR(AO205/AO$117,0)</f>
        <v/>
      </c>
      <c r="CL205" s="4097">
        <f>IFERROR(AP205/AP$117,0)</f>
        <v/>
      </c>
      <c r="CM205" s="4097">
        <f>IFERROR(AQ205/AQ$117,0)</f>
        <v/>
      </c>
      <c r="CN205" s="4097">
        <f>IFERROR(AR205/AR$117,0)</f>
        <v/>
      </c>
      <c r="CO205" s="4097">
        <f>IFERROR(AS205/AS$117,0)</f>
        <v/>
      </c>
      <c r="CP205" s="4097">
        <f>IFERROR(AT205/AT$117,0)</f>
        <v/>
      </c>
      <c r="CQ205" s="4099">
        <f>IFERROR(AU205/AU$117,0)</f>
        <v/>
      </c>
      <c r="CR205" s="4097">
        <f>IFERROR(AV205/AV$117,0)</f>
        <v/>
      </c>
      <c r="CS205" s="4097">
        <f>IFERROR(AW205/AW$117,0)</f>
        <v/>
      </c>
      <c r="CT205" s="4097">
        <f>IFERROR(AX205/AX$117,0)</f>
        <v/>
      </c>
      <c r="CU205" s="4097">
        <f>IFERROR(AY205/AY$117,0)</f>
        <v/>
      </c>
      <c r="CV205" s="4097">
        <f>IFERROR(AZ205/AZ$117,0)</f>
        <v/>
      </c>
      <c r="CW205" s="3737" t="n"/>
      <c r="CX205" s="4094" t="n">
        <v>-1110.14169</v>
      </c>
    </row>
    <row r="206" hidden="1" outlineLevel="2" ht="12" customFormat="1" customHeight="1" s="3737">
      <c r="A206" s="4059" t="n"/>
      <c r="B206" s="4060" t="n"/>
      <c r="C206" s="4127" t="inlineStr">
        <is>
          <t>Software licenses &amp; subscriptions</t>
        </is>
      </c>
      <c r="D206" s="4093" t="n">
        <v>561804</v>
      </c>
      <c r="E206" s="4093">
        <f>CONCATENATE(D206," - ",C206)</f>
        <v/>
      </c>
      <c r="F206" s="4094" t="n"/>
      <c r="G206" s="4094" t="n"/>
      <c r="H206" s="4094" t="n"/>
      <c r="I206" s="4094" t="n"/>
      <c r="J206" s="4094" t="n"/>
      <c r="K206" s="4094" t="n"/>
      <c r="L206" s="4094" t="n"/>
      <c r="M206" s="4094" t="n"/>
      <c r="N206" s="4094" t="n"/>
      <c r="O206" s="4094" t="n"/>
      <c r="P206" s="4094" t="n"/>
      <c r="Q206" s="4095" t="n"/>
      <c r="R206" s="4094" t="n"/>
      <c r="S206" s="4094" t="n"/>
      <c r="T206" s="4094" t="n"/>
      <c r="U206" s="4094" t="n"/>
      <c r="V206" s="4094" t="n"/>
      <c r="W206" s="4094" t="n"/>
      <c r="X206" s="4094" t="n"/>
      <c r="Y206" s="4094" t="n"/>
      <c r="Z206" s="4094" t="n"/>
      <c r="AA206" s="4094" t="n"/>
      <c r="AB206" s="4094" t="n"/>
      <c r="AC206" s="4095" t="n"/>
      <c r="AD206" s="4094" t="n"/>
      <c r="AE206" s="4094" t="n"/>
      <c r="AF206" s="4094" t="n"/>
      <c r="AG206" s="4094" t="n"/>
      <c r="AH206" s="4094" t="n"/>
      <c r="AI206" s="4094" t="n"/>
      <c r="AJ206" s="4094" t="n"/>
      <c r="AK206" s="4094" t="n"/>
      <c r="AL206" s="4094" t="n"/>
      <c r="AM206" s="4094" t="n"/>
      <c r="AN206" s="4094" t="n"/>
      <c r="AO206" s="4095" t="n"/>
      <c r="AP206" s="4094" t="n">
        <v>-96.80121</v>
      </c>
      <c r="AQ206" s="4094" t="n">
        <v>-100.09336</v>
      </c>
      <c r="AR206" s="4094" t="n">
        <v>-101.55747</v>
      </c>
      <c r="AS206" s="4094" t="n">
        <v>-104.23033</v>
      </c>
      <c r="AT206" s="4094" t="n">
        <v>-105.24515</v>
      </c>
      <c r="AU206" s="4096" t="n">
        <v>-101.0815</v>
      </c>
      <c r="AV206" s="4094">
        <f>SUM(F206:Q206)</f>
        <v/>
      </c>
      <c r="AW206" s="4094">
        <f>SUM(R206:AC206)</f>
        <v/>
      </c>
      <c r="AX206" s="4094">
        <f>SUM(AD206:AO206)</f>
        <v/>
      </c>
      <c r="AY206" s="4094">
        <f>SUM(AH206:AS206)</f>
        <v/>
      </c>
      <c r="AZ206" s="4094">
        <f>SUM(AJ206:AU206)</f>
        <v/>
      </c>
      <c r="BA206" s="3737" t="n"/>
      <c r="BB206" s="4097">
        <f>IFERROR(F206/F$117,0)</f>
        <v/>
      </c>
      <c r="BC206" s="4097">
        <f>IFERROR(G206/G$117,0)</f>
        <v/>
      </c>
      <c r="BD206" s="4097">
        <f>IFERROR(H206/H$117,0)</f>
        <v/>
      </c>
      <c r="BE206" s="4097">
        <f>IFERROR(I206/I$117,0)</f>
        <v/>
      </c>
      <c r="BF206" s="4097">
        <f>IFERROR(J206/J$117,0)</f>
        <v/>
      </c>
      <c r="BG206" s="4097">
        <f>IFERROR(K206/K$117,0)</f>
        <v/>
      </c>
      <c r="BH206" s="4097">
        <f>IFERROR(L206/L$117,0)</f>
        <v/>
      </c>
      <c r="BI206" s="4097">
        <f>IFERROR(M206/M$117,0)</f>
        <v/>
      </c>
      <c r="BJ206" s="4097">
        <f>IFERROR(N206/N$117,0)</f>
        <v/>
      </c>
      <c r="BK206" s="4097">
        <f>IFERROR(O206/O$117,0)</f>
        <v/>
      </c>
      <c r="BL206" s="4097">
        <f>IFERROR(P206/P$117,0)</f>
        <v/>
      </c>
      <c r="BM206" s="4098">
        <f>IFERROR(Q206/Q$117,0)</f>
        <v/>
      </c>
      <c r="BN206" s="4097">
        <f>IFERROR(R206/R$117,0)</f>
        <v/>
      </c>
      <c r="BO206" s="4097">
        <f>IFERROR(S206/S$117,0)</f>
        <v/>
      </c>
      <c r="BP206" s="4097">
        <f>IFERROR(T206/T$117,0)</f>
        <v/>
      </c>
      <c r="BQ206" s="4097">
        <f>IFERROR(U206/U$117,0)</f>
        <v/>
      </c>
      <c r="BR206" s="4097">
        <f>IFERROR(V206/V$117,0)</f>
        <v/>
      </c>
      <c r="BS206" s="4097">
        <f>IFERROR(W206/W$117,0)</f>
        <v/>
      </c>
      <c r="BT206" s="4097">
        <f>IFERROR(X206/X$117,0)</f>
        <v/>
      </c>
      <c r="BU206" s="4097">
        <f>IFERROR(Y206/Y$117,0)</f>
        <v/>
      </c>
      <c r="BV206" s="4097">
        <f>IFERROR(Z206/Z$117,0)</f>
        <v/>
      </c>
      <c r="BW206" s="4097">
        <f>IFERROR(AA206/AA$117,0)</f>
        <v/>
      </c>
      <c r="BX206" s="4097">
        <f>IFERROR(AB206/AB$117,0)</f>
        <v/>
      </c>
      <c r="BY206" s="4098">
        <f>IFERROR(AC206/AC$117,0)</f>
        <v/>
      </c>
      <c r="BZ206" s="4097">
        <f>IFERROR(AD206/AD$117,0)</f>
        <v/>
      </c>
      <c r="CA206" s="4097">
        <f>IFERROR(AE206/AE$117,0)</f>
        <v/>
      </c>
      <c r="CB206" s="4097">
        <f>IFERROR(AF206/AF$117,0)</f>
        <v/>
      </c>
      <c r="CC206" s="4097">
        <f>IFERROR(AG206/AG$117,0)</f>
        <v/>
      </c>
      <c r="CD206" s="4097">
        <f>IFERROR(AH206/AH$117,0)</f>
        <v/>
      </c>
      <c r="CE206" s="4097">
        <f>IFERROR(AI206/AI$117,0)</f>
        <v/>
      </c>
      <c r="CF206" s="4097">
        <f>IFERROR(AJ206/AJ$117,0)</f>
        <v/>
      </c>
      <c r="CG206" s="4097">
        <f>IFERROR(AK206/AK$117,0)</f>
        <v/>
      </c>
      <c r="CH206" s="4097">
        <f>IFERROR(AL206/AL$117,0)</f>
        <v/>
      </c>
      <c r="CI206" s="4097">
        <f>IFERROR(AM206/AM$117,0)</f>
        <v/>
      </c>
      <c r="CJ206" s="4097">
        <f>IFERROR(AN206/AN$117,0)</f>
        <v/>
      </c>
      <c r="CK206" s="4098">
        <f>IFERROR(AO206/AO$117,0)</f>
        <v/>
      </c>
      <c r="CL206" s="4097">
        <f>IFERROR(AP206/AP$117,0)</f>
        <v/>
      </c>
      <c r="CM206" s="4097">
        <f>IFERROR(AQ206/AQ$117,0)</f>
        <v/>
      </c>
      <c r="CN206" s="4097">
        <f>IFERROR(AR206/AR$117,0)</f>
        <v/>
      </c>
      <c r="CO206" s="4097">
        <f>IFERROR(AS206/AS$117,0)</f>
        <v/>
      </c>
      <c r="CP206" s="4097">
        <f>IFERROR(AT206/AT$117,0)</f>
        <v/>
      </c>
      <c r="CQ206" s="4099">
        <f>IFERROR(AU206/AU$117,0)</f>
        <v/>
      </c>
      <c r="CR206" s="4097">
        <f>IFERROR(AV206/AV$117,0)</f>
        <v/>
      </c>
      <c r="CS206" s="4097">
        <f>IFERROR(AW206/AW$117,0)</f>
        <v/>
      </c>
      <c r="CT206" s="4097">
        <f>IFERROR(AX206/AX$117,0)</f>
        <v/>
      </c>
      <c r="CU206" s="4097">
        <f>IFERROR(AY206/AY$117,0)</f>
        <v/>
      </c>
      <c r="CV206" s="4097">
        <f>IFERROR(AZ206/AZ$117,0)</f>
        <v/>
      </c>
      <c r="CW206" s="3737" t="n"/>
      <c r="CX206" s="4094" t="n">
        <v>-449.24444</v>
      </c>
    </row>
    <row r="207" hidden="1" outlineLevel="2" ht="12" customFormat="1" customHeight="1" s="3737">
      <c r="A207" s="4059" t="n"/>
      <c r="B207" s="4060" t="n"/>
      <c r="C207" s="4127" t="inlineStr">
        <is>
          <t>Software maintenance</t>
        </is>
      </c>
      <c r="D207" s="4093" t="n">
        <v>561801</v>
      </c>
      <c r="E207" s="4093">
        <f>CONCATENATE(D207," - ",C207)</f>
        <v/>
      </c>
      <c r="F207" s="4094" t="n"/>
      <c r="G207" s="4094" t="n"/>
      <c r="H207" s="4094" t="n"/>
      <c r="I207" s="4094" t="n"/>
      <c r="J207" s="4094" t="n"/>
      <c r="K207" s="4094" t="n"/>
      <c r="L207" s="4094" t="n"/>
      <c r="M207" s="4094" t="n"/>
      <c r="N207" s="4094" t="n"/>
      <c r="O207" s="4094" t="n"/>
      <c r="P207" s="4094" t="n"/>
      <c r="Q207" s="4095" t="n"/>
      <c r="R207" s="4094" t="n"/>
      <c r="S207" s="4094" t="n"/>
      <c r="T207" s="4094" t="n"/>
      <c r="U207" s="4094" t="n"/>
      <c r="V207" s="4094" t="n"/>
      <c r="W207" s="4094" t="n"/>
      <c r="X207" s="4094" t="n"/>
      <c r="Y207" s="4094" t="n"/>
      <c r="Z207" s="4094" t="n"/>
      <c r="AA207" s="4094" t="n"/>
      <c r="AB207" s="4094" t="n"/>
      <c r="AC207" s="4095" t="n"/>
      <c r="AD207" s="4094" t="n"/>
      <c r="AE207" s="4094" t="n"/>
      <c r="AF207" s="4094" t="n"/>
      <c r="AG207" s="4094" t="n"/>
      <c r="AH207" s="4094" t="n"/>
      <c r="AI207" s="4094" t="n"/>
      <c r="AJ207" s="4094" t="n"/>
      <c r="AK207" s="4094" t="n"/>
      <c r="AL207" s="4094" t="n"/>
      <c r="AM207" s="4094" t="n"/>
      <c r="AN207" s="4094" t="n"/>
      <c r="AO207" s="4095" t="n"/>
      <c r="AP207" s="4094" t="n">
        <v>-85.1764</v>
      </c>
      <c r="AQ207" s="4094" t="n">
        <v>-87.54574</v>
      </c>
      <c r="AR207" s="4094" t="n">
        <v>-80.55012000000001</v>
      </c>
      <c r="AS207" s="4094" t="n">
        <v>-82.34777</v>
      </c>
      <c r="AT207" s="4094" t="n">
        <v>-83.38758</v>
      </c>
      <c r="AU207" s="4096" t="n">
        <v>-85.16322</v>
      </c>
      <c r="AV207" s="4094">
        <f>SUM(F207:Q207)</f>
        <v/>
      </c>
      <c r="AW207" s="4094">
        <f>SUM(R207:AC207)</f>
        <v/>
      </c>
      <c r="AX207" s="4094">
        <f>SUM(AD207:AO207)</f>
        <v/>
      </c>
      <c r="AY207" s="4094">
        <f>SUM(AH207:AS207)</f>
        <v/>
      </c>
      <c r="AZ207" s="4094">
        <f>SUM(AJ207:AU207)</f>
        <v/>
      </c>
      <c r="BA207" s="3737" t="n"/>
      <c r="BB207" s="4097">
        <f>IFERROR(F207/F$117,0)</f>
        <v/>
      </c>
      <c r="BC207" s="4097">
        <f>IFERROR(G207/G$117,0)</f>
        <v/>
      </c>
      <c r="BD207" s="4097">
        <f>IFERROR(H207/H$117,0)</f>
        <v/>
      </c>
      <c r="BE207" s="4097">
        <f>IFERROR(I207/I$117,0)</f>
        <v/>
      </c>
      <c r="BF207" s="4097">
        <f>IFERROR(J207/J$117,0)</f>
        <v/>
      </c>
      <c r="BG207" s="4097">
        <f>IFERROR(K207/K$117,0)</f>
        <v/>
      </c>
      <c r="BH207" s="4097">
        <f>IFERROR(L207/L$117,0)</f>
        <v/>
      </c>
      <c r="BI207" s="4097">
        <f>IFERROR(M207/M$117,0)</f>
        <v/>
      </c>
      <c r="BJ207" s="4097">
        <f>IFERROR(N207/N$117,0)</f>
        <v/>
      </c>
      <c r="BK207" s="4097">
        <f>IFERROR(O207/O$117,0)</f>
        <v/>
      </c>
      <c r="BL207" s="4097">
        <f>IFERROR(P207/P$117,0)</f>
        <v/>
      </c>
      <c r="BM207" s="4098">
        <f>IFERROR(Q207/Q$117,0)</f>
        <v/>
      </c>
      <c r="BN207" s="4097">
        <f>IFERROR(R207/R$117,0)</f>
        <v/>
      </c>
      <c r="BO207" s="4097">
        <f>IFERROR(S207/S$117,0)</f>
        <v/>
      </c>
      <c r="BP207" s="4097">
        <f>IFERROR(T207/T$117,0)</f>
        <v/>
      </c>
      <c r="BQ207" s="4097">
        <f>IFERROR(U207/U$117,0)</f>
        <v/>
      </c>
      <c r="BR207" s="4097">
        <f>IFERROR(V207/V$117,0)</f>
        <v/>
      </c>
      <c r="BS207" s="4097">
        <f>IFERROR(W207/W$117,0)</f>
        <v/>
      </c>
      <c r="BT207" s="4097">
        <f>IFERROR(X207/X$117,0)</f>
        <v/>
      </c>
      <c r="BU207" s="4097">
        <f>IFERROR(Y207/Y$117,0)</f>
        <v/>
      </c>
      <c r="BV207" s="4097">
        <f>IFERROR(Z207/Z$117,0)</f>
        <v/>
      </c>
      <c r="BW207" s="4097">
        <f>IFERROR(AA207/AA$117,0)</f>
        <v/>
      </c>
      <c r="BX207" s="4097">
        <f>IFERROR(AB207/AB$117,0)</f>
        <v/>
      </c>
      <c r="BY207" s="4098">
        <f>IFERROR(AC207/AC$117,0)</f>
        <v/>
      </c>
      <c r="BZ207" s="4097">
        <f>IFERROR(AD207/AD$117,0)</f>
        <v/>
      </c>
      <c r="CA207" s="4097">
        <f>IFERROR(AE207/AE$117,0)</f>
        <v/>
      </c>
      <c r="CB207" s="4097">
        <f>IFERROR(AF207/AF$117,0)</f>
        <v/>
      </c>
      <c r="CC207" s="4097">
        <f>IFERROR(AG207/AG$117,0)</f>
        <v/>
      </c>
      <c r="CD207" s="4097">
        <f>IFERROR(AH207/AH$117,0)</f>
        <v/>
      </c>
      <c r="CE207" s="4097">
        <f>IFERROR(AI207/AI$117,0)</f>
        <v/>
      </c>
      <c r="CF207" s="4097">
        <f>IFERROR(AJ207/AJ$117,0)</f>
        <v/>
      </c>
      <c r="CG207" s="4097">
        <f>IFERROR(AK207/AK$117,0)</f>
        <v/>
      </c>
      <c r="CH207" s="4097">
        <f>IFERROR(AL207/AL$117,0)</f>
        <v/>
      </c>
      <c r="CI207" s="4097">
        <f>IFERROR(AM207/AM$117,0)</f>
        <v/>
      </c>
      <c r="CJ207" s="4097">
        <f>IFERROR(AN207/AN$117,0)</f>
        <v/>
      </c>
      <c r="CK207" s="4098">
        <f>IFERROR(AO207/AO$117,0)</f>
        <v/>
      </c>
      <c r="CL207" s="4097">
        <f>IFERROR(AP207/AP$117,0)</f>
        <v/>
      </c>
      <c r="CM207" s="4097">
        <f>IFERROR(AQ207/AQ$117,0)</f>
        <v/>
      </c>
      <c r="CN207" s="4097">
        <f>IFERROR(AR207/AR$117,0)</f>
        <v/>
      </c>
      <c r="CO207" s="4097">
        <f>IFERROR(AS207/AS$117,0)</f>
        <v/>
      </c>
      <c r="CP207" s="4097">
        <f>IFERROR(AT207/AT$117,0)</f>
        <v/>
      </c>
      <c r="CQ207" s="4099">
        <f>IFERROR(AU207/AU$117,0)</f>
        <v/>
      </c>
      <c r="CR207" s="4097">
        <f>IFERROR(AV207/AV$117,0)</f>
        <v/>
      </c>
      <c r="CS207" s="4097">
        <f>IFERROR(AW207/AW$117,0)</f>
        <v/>
      </c>
      <c r="CT207" s="4097">
        <f>IFERROR(AX207/AX$117,0)</f>
        <v/>
      </c>
      <c r="CU207" s="4097">
        <f>IFERROR(AY207/AY$117,0)</f>
        <v/>
      </c>
      <c r="CV207" s="4097">
        <f>IFERROR(AZ207/AZ$117,0)</f>
        <v/>
      </c>
      <c r="CW207" s="3737" t="n"/>
      <c r="CX207" s="4094" t="n">
        <v>-855.41628</v>
      </c>
    </row>
    <row r="208" hidden="1" outlineLevel="2" ht="12" customFormat="1" customHeight="1" s="3737">
      <c r="A208" s="4059" t="n"/>
      <c r="B208" s="4060" t="n"/>
      <c r="C208" s="4127" t="inlineStr">
        <is>
          <t>Telecom - infrastructure</t>
        </is>
      </c>
      <c r="D208" s="4093" t="n">
        <v>561201</v>
      </c>
      <c r="E208" s="4093">
        <f>CONCATENATE(D208," - ",C208)</f>
        <v/>
      </c>
      <c r="F208" s="4094" t="n"/>
      <c r="G208" s="4094" t="n"/>
      <c r="H208" s="4094" t="n"/>
      <c r="I208" s="4094" t="n"/>
      <c r="J208" s="4094" t="n"/>
      <c r="K208" s="4094" t="n"/>
      <c r="L208" s="4094" t="n"/>
      <c r="M208" s="4094" t="n"/>
      <c r="N208" s="4094" t="n"/>
      <c r="O208" s="4094" t="n"/>
      <c r="P208" s="4094" t="n"/>
      <c r="Q208" s="4095" t="n"/>
      <c r="R208" s="4094" t="n"/>
      <c r="S208" s="4094" t="n"/>
      <c r="T208" s="4094" t="n"/>
      <c r="U208" s="4094" t="n"/>
      <c r="V208" s="4094" t="n"/>
      <c r="W208" s="4094" t="n"/>
      <c r="X208" s="4094" t="n"/>
      <c r="Y208" s="4094" t="n"/>
      <c r="Z208" s="4094" t="n"/>
      <c r="AA208" s="4094" t="n"/>
      <c r="AB208" s="4094" t="n"/>
      <c r="AC208" s="4095" t="n"/>
      <c r="AD208" s="4094" t="n"/>
      <c r="AE208" s="4094" t="n"/>
      <c r="AF208" s="4094" t="n"/>
      <c r="AG208" s="4094" t="n"/>
      <c r="AH208" s="4094" t="n"/>
      <c r="AI208" s="4094" t="n"/>
      <c r="AJ208" s="4094" t="n"/>
      <c r="AK208" s="4094" t="n"/>
      <c r="AL208" s="4094" t="n"/>
      <c r="AM208" s="4094" t="n"/>
      <c r="AN208" s="4094" t="n"/>
      <c r="AO208" s="4095" t="n"/>
      <c r="AP208" s="4094" t="n">
        <v>-46.87375</v>
      </c>
      <c r="AQ208" s="4094" t="n">
        <v>-40.57209</v>
      </c>
      <c r="AR208" s="4094" t="n">
        <v>-31.99983</v>
      </c>
      <c r="AS208" s="4094" t="n">
        <v>-41.68992</v>
      </c>
      <c r="AT208" s="4094" t="n">
        <v>-40.56802</v>
      </c>
      <c r="AU208" s="4096" t="n">
        <v>-40.76917</v>
      </c>
      <c r="AV208" s="4094">
        <f>SUM(F208:Q208)</f>
        <v/>
      </c>
      <c r="AW208" s="4094">
        <f>SUM(R208:AC208)</f>
        <v/>
      </c>
      <c r="AX208" s="4094">
        <f>SUM(AD208:AO208)</f>
        <v/>
      </c>
      <c r="AY208" s="4094">
        <f>SUM(AH208:AS208)</f>
        <v/>
      </c>
      <c r="AZ208" s="4094">
        <f>SUM(AJ208:AU208)</f>
        <v/>
      </c>
      <c r="BA208" s="3737" t="n"/>
      <c r="BB208" s="4097">
        <f>IFERROR(F208/F$117,0)</f>
        <v/>
      </c>
      <c r="BC208" s="4097">
        <f>IFERROR(G208/G$117,0)</f>
        <v/>
      </c>
      <c r="BD208" s="4097">
        <f>IFERROR(H208/H$117,0)</f>
        <v/>
      </c>
      <c r="BE208" s="4097">
        <f>IFERROR(I208/I$117,0)</f>
        <v/>
      </c>
      <c r="BF208" s="4097">
        <f>IFERROR(J208/J$117,0)</f>
        <v/>
      </c>
      <c r="BG208" s="4097">
        <f>IFERROR(K208/K$117,0)</f>
        <v/>
      </c>
      <c r="BH208" s="4097">
        <f>IFERROR(L208/L$117,0)</f>
        <v/>
      </c>
      <c r="BI208" s="4097">
        <f>IFERROR(M208/M$117,0)</f>
        <v/>
      </c>
      <c r="BJ208" s="4097">
        <f>IFERROR(N208/N$117,0)</f>
        <v/>
      </c>
      <c r="BK208" s="4097">
        <f>IFERROR(O208/O$117,0)</f>
        <v/>
      </c>
      <c r="BL208" s="4097">
        <f>IFERROR(P208/P$117,0)</f>
        <v/>
      </c>
      <c r="BM208" s="4098">
        <f>IFERROR(Q208/Q$117,0)</f>
        <v/>
      </c>
      <c r="BN208" s="4097">
        <f>IFERROR(R208/R$117,0)</f>
        <v/>
      </c>
      <c r="BO208" s="4097">
        <f>IFERROR(S208/S$117,0)</f>
        <v/>
      </c>
      <c r="BP208" s="4097">
        <f>IFERROR(T208/T$117,0)</f>
        <v/>
      </c>
      <c r="BQ208" s="4097">
        <f>IFERROR(U208/U$117,0)</f>
        <v/>
      </c>
      <c r="BR208" s="4097">
        <f>IFERROR(V208/V$117,0)</f>
        <v/>
      </c>
      <c r="BS208" s="4097">
        <f>IFERROR(W208/W$117,0)</f>
        <v/>
      </c>
      <c r="BT208" s="4097">
        <f>IFERROR(X208/X$117,0)</f>
        <v/>
      </c>
      <c r="BU208" s="4097">
        <f>IFERROR(Y208/Y$117,0)</f>
        <v/>
      </c>
      <c r="BV208" s="4097">
        <f>IFERROR(Z208/Z$117,0)</f>
        <v/>
      </c>
      <c r="BW208" s="4097">
        <f>IFERROR(AA208/AA$117,0)</f>
        <v/>
      </c>
      <c r="BX208" s="4097">
        <f>IFERROR(AB208/AB$117,0)</f>
        <v/>
      </c>
      <c r="BY208" s="4098">
        <f>IFERROR(AC208/AC$117,0)</f>
        <v/>
      </c>
      <c r="BZ208" s="4097">
        <f>IFERROR(AD208/AD$117,0)</f>
        <v/>
      </c>
      <c r="CA208" s="4097">
        <f>IFERROR(AE208/AE$117,0)</f>
        <v/>
      </c>
      <c r="CB208" s="4097">
        <f>IFERROR(AF208/AF$117,0)</f>
        <v/>
      </c>
      <c r="CC208" s="4097">
        <f>IFERROR(AG208/AG$117,0)</f>
        <v/>
      </c>
      <c r="CD208" s="4097">
        <f>IFERROR(AH208/AH$117,0)</f>
        <v/>
      </c>
      <c r="CE208" s="4097">
        <f>IFERROR(AI208/AI$117,0)</f>
        <v/>
      </c>
      <c r="CF208" s="4097">
        <f>IFERROR(AJ208/AJ$117,0)</f>
        <v/>
      </c>
      <c r="CG208" s="4097">
        <f>IFERROR(AK208/AK$117,0)</f>
        <v/>
      </c>
      <c r="CH208" s="4097">
        <f>IFERROR(AL208/AL$117,0)</f>
        <v/>
      </c>
      <c r="CI208" s="4097">
        <f>IFERROR(AM208/AM$117,0)</f>
        <v/>
      </c>
      <c r="CJ208" s="4097">
        <f>IFERROR(AN208/AN$117,0)</f>
        <v/>
      </c>
      <c r="CK208" s="4098">
        <f>IFERROR(AO208/AO$117,0)</f>
        <v/>
      </c>
      <c r="CL208" s="4097">
        <f>IFERROR(AP208/AP$117,0)</f>
        <v/>
      </c>
      <c r="CM208" s="4097">
        <f>IFERROR(AQ208/AQ$117,0)</f>
        <v/>
      </c>
      <c r="CN208" s="4097">
        <f>IFERROR(AR208/AR$117,0)</f>
        <v/>
      </c>
      <c r="CO208" s="4097">
        <f>IFERROR(AS208/AS$117,0)</f>
        <v/>
      </c>
      <c r="CP208" s="4097">
        <f>IFERROR(AT208/AT$117,0)</f>
        <v/>
      </c>
      <c r="CQ208" s="4099">
        <f>IFERROR(AU208/AU$117,0)</f>
        <v/>
      </c>
      <c r="CR208" s="4097">
        <f>IFERROR(AV208/AV$117,0)</f>
        <v/>
      </c>
      <c r="CS208" s="4097">
        <f>IFERROR(AW208/AW$117,0)</f>
        <v/>
      </c>
      <c r="CT208" s="4097">
        <f>IFERROR(AX208/AX$117,0)</f>
        <v/>
      </c>
      <c r="CU208" s="4097">
        <f>IFERROR(AY208/AY$117,0)</f>
        <v/>
      </c>
      <c r="CV208" s="4097">
        <f>IFERROR(AZ208/AZ$117,0)</f>
        <v/>
      </c>
      <c r="CW208" s="3737" t="n"/>
      <c r="CX208" s="4094" t="n">
        <v>-369.32731</v>
      </c>
    </row>
    <row r="209" hidden="1" outlineLevel="2" ht="12" customFormat="1" customHeight="1" s="3737">
      <c r="A209" s="4059" t="n"/>
      <c r="B209" s="4060" t="n"/>
      <c r="C209" s="4127" t="inlineStr">
        <is>
          <t>Hardware maintenance</t>
        </is>
      </c>
      <c r="D209" s="4093" t="n">
        <v>561601</v>
      </c>
      <c r="E209" s="4093">
        <f>CONCATENATE(D209," - ",C209)</f>
        <v/>
      </c>
      <c r="F209" s="4094" t="n"/>
      <c r="G209" s="4094" t="n"/>
      <c r="H209" s="4094" t="n"/>
      <c r="I209" s="4094" t="n"/>
      <c r="J209" s="4094" t="n"/>
      <c r="K209" s="4094" t="n"/>
      <c r="L209" s="4094" t="n"/>
      <c r="M209" s="4094" t="n"/>
      <c r="N209" s="4094" t="n"/>
      <c r="O209" s="4094" t="n"/>
      <c r="P209" s="4094" t="n"/>
      <c r="Q209" s="4095" t="n"/>
      <c r="R209" s="4094" t="n"/>
      <c r="S209" s="4094" t="n"/>
      <c r="T209" s="4094" t="n"/>
      <c r="U209" s="4094" t="n"/>
      <c r="V209" s="4094" t="n"/>
      <c r="W209" s="4094" t="n"/>
      <c r="X209" s="4094" t="n"/>
      <c r="Y209" s="4094" t="n"/>
      <c r="Z209" s="4094" t="n"/>
      <c r="AA209" s="4094" t="n"/>
      <c r="AB209" s="4094" t="n"/>
      <c r="AC209" s="4095" t="n"/>
      <c r="AD209" s="4094" t="n"/>
      <c r="AE209" s="4094" t="n"/>
      <c r="AF209" s="4094" t="n"/>
      <c r="AG209" s="4094" t="n"/>
      <c r="AH209" s="4094" t="n"/>
      <c r="AI209" s="4094" t="n"/>
      <c r="AJ209" s="4094" t="n"/>
      <c r="AK209" s="4094" t="n"/>
      <c r="AL209" s="4094" t="n"/>
      <c r="AM209" s="4094" t="n"/>
      <c r="AN209" s="4094" t="n"/>
      <c r="AO209" s="4095" t="n"/>
      <c r="AP209" s="4094" t="n">
        <v>-25.39326</v>
      </c>
      <c r="AQ209" s="4094" t="n">
        <v>-25.40769</v>
      </c>
      <c r="AR209" s="4094" t="n">
        <v>-25.36599</v>
      </c>
      <c r="AS209" s="4094" t="n">
        <v>-25.66542</v>
      </c>
      <c r="AT209" s="4094" t="n">
        <v>-25.50666</v>
      </c>
      <c r="AU209" s="4096" t="n">
        <v>-25.22313</v>
      </c>
      <c r="AV209" s="4094">
        <f>SUM(F209:Q209)</f>
        <v/>
      </c>
      <c r="AW209" s="4094">
        <f>SUM(R209:AC209)</f>
        <v/>
      </c>
      <c r="AX209" s="4094">
        <f>SUM(AD209:AO209)</f>
        <v/>
      </c>
      <c r="AY209" s="4094">
        <f>SUM(AH209:AS209)</f>
        <v/>
      </c>
      <c r="AZ209" s="4094">
        <f>SUM(AJ209:AU209)</f>
        <v/>
      </c>
      <c r="BA209" s="3737" t="n"/>
      <c r="BB209" s="4097">
        <f>IFERROR(F209/F$117,0)</f>
        <v/>
      </c>
      <c r="BC209" s="4097">
        <f>IFERROR(G209/G$117,0)</f>
        <v/>
      </c>
      <c r="BD209" s="4097">
        <f>IFERROR(H209/H$117,0)</f>
        <v/>
      </c>
      <c r="BE209" s="4097">
        <f>IFERROR(I209/I$117,0)</f>
        <v/>
      </c>
      <c r="BF209" s="4097">
        <f>IFERROR(J209/J$117,0)</f>
        <v/>
      </c>
      <c r="BG209" s="4097">
        <f>IFERROR(K209/K$117,0)</f>
        <v/>
      </c>
      <c r="BH209" s="4097">
        <f>IFERROR(L209/L$117,0)</f>
        <v/>
      </c>
      <c r="BI209" s="4097">
        <f>IFERROR(M209/M$117,0)</f>
        <v/>
      </c>
      <c r="BJ209" s="4097">
        <f>IFERROR(N209/N$117,0)</f>
        <v/>
      </c>
      <c r="BK209" s="4097">
        <f>IFERROR(O209/O$117,0)</f>
        <v/>
      </c>
      <c r="BL209" s="4097">
        <f>IFERROR(P209/P$117,0)</f>
        <v/>
      </c>
      <c r="BM209" s="4098">
        <f>IFERROR(Q209/Q$117,0)</f>
        <v/>
      </c>
      <c r="BN209" s="4097">
        <f>IFERROR(R209/R$117,0)</f>
        <v/>
      </c>
      <c r="BO209" s="4097">
        <f>IFERROR(S209/S$117,0)</f>
        <v/>
      </c>
      <c r="BP209" s="4097">
        <f>IFERROR(T209/T$117,0)</f>
        <v/>
      </c>
      <c r="BQ209" s="4097">
        <f>IFERROR(U209/U$117,0)</f>
        <v/>
      </c>
      <c r="BR209" s="4097">
        <f>IFERROR(V209/V$117,0)</f>
        <v/>
      </c>
      <c r="BS209" s="4097">
        <f>IFERROR(W209/W$117,0)</f>
        <v/>
      </c>
      <c r="BT209" s="4097">
        <f>IFERROR(X209/X$117,0)</f>
        <v/>
      </c>
      <c r="BU209" s="4097">
        <f>IFERROR(Y209/Y$117,0)</f>
        <v/>
      </c>
      <c r="BV209" s="4097">
        <f>IFERROR(Z209/Z$117,0)</f>
        <v/>
      </c>
      <c r="BW209" s="4097">
        <f>IFERROR(AA209/AA$117,0)</f>
        <v/>
      </c>
      <c r="BX209" s="4097">
        <f>IFERROR(AB209/AB$117,0)</f>
        <v/>
      </c>
      <c r="BY209" s="4098">
        <f>IFERROR(AC209/AC$117,0)</f>
        <v/>
      </c>
      <c r="BZ209" s="4097">
        <f>IFERROR(AD209/AD$117,0)</f>
        <v/>
      </c>
      <c r="CA209" s="4097">
        <f>IFERROR(AE209/AE$117,0)</f>
        <v/>
      </c>
      <c r="CB209" s="4097">
        <f>IFERROR(AF209/AF$117,0)</f>
        <v/>
      </c>
      <c r="CC209" s="4097">
        <f>IFERROR(AG209/AG$117,0)</f>
        <v/>
      </c>
      <c r="CD209" s="4097">
        <f>IFERROR(AH209/AH$117,0)</f>
        <v/>
      </c>
      <c r="CE209" s="4097">
        <f>IFERROR(AI209/AI$117,0)</f>
        <v/>
      </c>
      <c r="CF209" s="4097">
        <f>IFERROR(AJ209/AJ$117,0)</f>
        <v/>
      </c>
      <c r="CG209" s="4097">
        <f>IFERROR(AK209/AK$117,0)</f>
        <v/>
      </c>
      <c r="CH209" s="4097">
        <f>IFERROR(AL209/AL$117,0)</f>
        <v/>
      </c>
      <c r="CI209" s="4097">
        <f>IFERROR(AM209/AM$117,0)</f>
        <v/>
      </c>
      <c r="CJ209" s="4097">
        <f>IFERROR(AN209/AN$117,0)</f>
        <v/>
      </c>
      <c r="CK209" s="4098">
        <f>IFERROR(AO209/AO$117,0)</f>
        <v/>
      </c>
      <c r="CL209" s="4097">
        <f>IFERROR(AP209/AP$117,0)</f>
        <v/>
      </c>
      <c r="CM209" s="4097">
        <f>IFERROR(AQ209/AQ$117,0)</f>
        <v/>
      </c>
      <c r="CN209" s="4097">
        <f>IFERROR(AR209/AR$117,0)</f>
        <v/>
      </c>
      <c r="CO209" s="4097">
        <f>IFERROR(AS209/AS$117,0)</f>
        <v/>
      </c>
      <c r="CP209" s="4097">
        <f>IFERROR(AT209/AT$117,0)</f>
        <v/>
      </c>
      <c r="CQ209" s="4099">
        <f>IFERROR(AU209/AU$117,0)</f>
        <v/>
      </c>
      <c r="CR209" s="4097">
        <f>IFERROR(AV209/AV$117,0)</f>
        <v/>
      </c>
      <c r="CS209" s="4097">
        <f>IFERROR(AW209/AW$117,0)</f>
        <v/>
      </c>
      <c r="CT209" s="4097">
        <f>IFERROR(AX209/AX$117,0)</f>
        <v/>
      </c>
      <c r="CU209" s="4097">
        <f>IFERROR(AY209/AY$117,0)</f>
        <v/>
      </c>
      <c r="CV209" s="4097">
        <f>IFERROR(AZ209/AZ$117,0)</f>
        <v/>
      </c>
      <c r="CW209" s="3737" t="n"/>
      <c r="CX209" s="4094" t="n">
        <v>-352.86491</v>
      </c>
    </row>
    <row r="210" hidden="1" outlineLevel="2" ht="12" customFormat="1" customHeight="1" s="3737">
      <c r="A210" s="4059" t="n"/>
      <c r="B210" s="4060" t="n"/>
      <c r="C210" s="4127" t="inlineStr">
        <is>
          <t>Hp leased maintenance-hw and sw</t>
        </is>
      </c>
      <c r="D210" s="4093" t="n">
        <v>561802</v>
      </c>
      <c r="E210" s="4093">
        <f>CONCATENATE(D210," - ",C210)</f>
        <v/>
      </c>
      <c r="F210" s="4094" t="n"/>
      <c r="G210" s="4094" t="n"/>
      <c r="H210" s="4094" t="n"/>
      <c r="I210" s="4094" t="n"/>
      <c r="J210" s="4094" t="n"/>
      <c r="K210" s="4094" t="n"/>
      <c r="L210" s="4094" t="n"/>
      <c r="M210" s="4094" t="n"/>
      <c r="N210" s="4094" t="n"/>
      <c r="O210" s="4094" t="n"/>
      <c r="P210" s="4094" t="n"/>
      <c r="Q210" s="4095" t="n"/>
      <c r="R210" s="4094" t="n"/>
      <c r="S210" s="4094" t="n"/>
      <c r="T210" s="4094" t="n"/>
      <c r="U210" s="4094" t="n"/>
      <c r="V210" s="4094" t="n"/>
      <c r="W210" s="4094" t="n"/>
      <c r="X210" s="4094" t="n"/>
      <c r="Y210" s="4094" t="n"/>
      <c r="Z210" s="4094" t="n"/>
      <c r="AA210" s="4094" t="n"/>
      <c r="AB210" s="4094" t="n"/>
      <c r="AC210" s="4095" t="n"/>
      <c r="AD210" s="4094" t="n"/>
      <c r="AE210" s="4094" t="n"/>
      <c r="AF210" s="4094" t="n"/>
      <c r="AG210" s="4094" t="n"/>
      <c r="AH210" s="4094" t="n"/>
      <c r="AI210" s="4094" t="n"/>
      <c r="AJ210" s="4094" t="n"/>
      <c r="AK210" s="4094" t="n"/>
      <c r="AL210" s="4094" t="n"/>
      <c r="AM210" s="4094" t="n"/>
      <c r="AN210" s="4094" t="n"/>
      <c r="AO210" s="4095" t="n"/>
      <c r="AP210" s="4094" t="n">
        <v>-21.33838</v>
      </c>
      <c r="AQ210" s="4094" t="n">
        <v>-21.33838</v>
      </c>
      <c r="AR210" s="4094" t="n">
        <v>-21.33838</v>
      </c>
      <c r="AS210" s="4094" t="n">
        <v>-21.33838</v>
      </c>
      <c r="AT210" s="4094" t="n">
        <v>-21.33838</v>
      </c>
      <c r="AU210" s="4096" t="n">
        <v>-21.33838</v>
      </c>
      <c r="AV210" s="4094">
        <f>SUM(F210:Q210)</f>
        <v/>
      </c>
      <c r="AW210" s="4094">
        <f>SUM(R210:AC210)</f>
        <v/>
      </c>
      <c r="AX210" s="4094">
        <f>SUM(AD210:AO210)</f>
        <v/>
      </c>
      <c r="AY210" s="4094">
        <f>SUM(AH210:AS210)</f>
        <v/>
      </c>
      <c r="AZ210" s="4094">
        <f>SUM(AJ210:AU210)</f>
        <v/>
      </c>
      <c r="BA210" s="3737" t="n"/>
      <c r="BB210" s="4097">
        <f>IFERROR(F210/F$117,0)</f>
        <v/>
      </c>
      <c r="BC210" s="4097">
        <f>IFERROR(G210/G$117,0)</f>
        <v/>
      </c>
      <c r="BD210" s="4097">
        <f>IFERROR(H210/H$117,0)</f>
        <v/>
      </c>
      <c r="BE210" s="4097">
        <f>IFERROR(I210/I$117,0)</f>
        <v/>
      </c>
      <c r="BF210" s="4097">
        <f>IFERROR(J210/J$117,0)</f>
        <v/>
      </c>
      <c r="BG210" s="4097">
        <f>IFERROR(K210/K$117,0)</f>
        <v/>
      </c>
      <c r="BH210" s="4097">
        <f>IFERROR(L210/L$117,0)</f>
        <v/>
      </c>
      <c r="BI210" s="4097">
        <f>IFERROR(M210/M$117,0)</f>
        <v/>
      </c>
      <c r="BJ210" s="4097">
        <f>IFERROR(N210/N$117,0)</f>
        <v/>
      </c>
      <c r="BK210" s="4097">
        <f>IFERROR(O210/O$117,0)</f>
        <v/>
      </c>
      <c r="BL210" s="4097">
        <f>IFERROR(P210/P$117,0)</f>
        <v/>
      </c>
      <c r="BM210" s="4098">
        <f>IFERROR(Q210/Q$117,0)</f>
        <v/>
      </c>
      <c r="BN210" s="4097">
        <f>IFERROR(R210/R$117,0)</f>
        <v/>
      </c>
      <c r="BO210" s="4097">
        <f>IFERROR(S210/S$117,0)</f>
        <v/>
      </c>
      <c r="BP210" s="4097">
        <f>IFERROR(T210/T$117,0)</f>
        <v/>
      </c>
      <c r="BQ210" s="4097">
        <f>IFERROR(U210/U$117,0)</f>
        <v/>
      </c>
      <c r="BR210" s="4097">
        <f>IFERROR(V210/V$117,0)</f>
        <v/>
      </c>
      <c r="BS210" s="4097">
        <f>IFERROR(W210/W$117,0)</f>
        <v/>
      </c>
      <c r="BT210" s="4097">
        <f>IFERROR(X210/X$117,0)</f>
        <v/>
      </c>
      <c r="BU210" s="4097">
        <f>IFERROR(Y210/Y$117,0)</f>
        <v/>
      </c>
      <c r="BV210" s="4097">
        <f>IFERROR(Z210/Z$117,0)</f>
        <v/>
      </c>
      <c r="BW210" s="4097">
        <f>IFERROR(AA210/AA$117,0)</f>
        <v/>
      </c>
      <c r="BX210" s="4097">
        <f>IFERROR(AB210/AB$117,0)</f>
        <v/>
      </c>
      <c r="BY210" s="4098">
        <f>IFERROR(AC210/AC$117,0)</f>
        <v/>
      </c>
      <c r="BZ210" s="4097">
        <f>IFERROR(AD210/AD$117,0)</f>
        <v/>
      </c>
      <c r="CA210" s="4097">
        <f>IFERROR(AE210/AE$117,0)</f>
        <v/>
      </c>
      <c r="CB210" s="4097">
        <f>IFERROR(AF210/AF$117,0)</f>
        <v/>
      </c>
      <c r="CC210" s="4097">
        <f>IFERROR(AG210/AG$117,0)</f>
        <v/>
      </c>
      <c r="CD210" s="4097">
        <f>IFERROR(AH210/AH$117,0)</f>
        <v/>
      </c>
      <c r="CE210" s="4097">
        <f>IFERROR(AI210/AI$117,0)</f>
        <v/>
      </c>
      <c r="CF210" s="4097">
        <f>IFERROR(AJ210/AJ$117,0)</f>
        <v/>
      </c>
      <c r="CG210" s="4097">
        <f>IFERROR(AK210/AK$117,0)</f>
        <v/>
      </c>
      <c r="CH210" s="4097">
        <f>IFERROR(AL210/AL$117,0)</f>
        <v/>
      </c>
      <c r="CI210" s="4097">
        <f>IFERROR(AM210/AM$117,0)</f>
        <v/>
      </c>
      <c r="CJ210" s="4097">
        <f>IFERROR(AN210/AN$117,0)</f>
        <v/>
      </c>
      <c r="CK210" s="4098">
        <f>IFERROR(AO210/AO$117,0)</f>
        <v/>
      </c>
      <c r="CL210" s="4097">
        <f>IFERROR(AP210/AP$117,0)</f>
        <v/>
      </c>
      <c r="CM210" s="4097">
        <f>IFERROR(AQ210/AQ$117,0)</f>
        <v/>
      </c>
      <c r="CN210" s="4097">
        <f>IFERROR(AR210/AR$117,0)</f>
        <v/>
      </c>
      <c r="CO210" s="4097">
        <f>IFERROR(AS210/AS$117,0)</f>
        <v/>
      </c>
      <c r="CP210" s="4097">
        <f>IFERROR(AT210/AT$117,0)</f>
        <v/>
      </c>
      <c r="CQ210" s="4099">
        <f>IFERROR(AU210/AU$117,0)</f>
        <v/>
      </c>
      <c r="CR210" s="4097">
        <f>IFERROR(AV210/AV$117,0)</f>
        <v/>
      </c>
      <c r="CS210" s="4097">
        <f>IFERROR(AW210/AW$117,0)</f>
        <v/>
      </c>
      <c r="CT210" s="4097">
        <f>IFERROR(AX210/AX$117,0)</f>
        <v/>
      </c>
      <c r="CU210" s="4097">
        <f>IFERROR(AY210/AY$117,0)</f>
        <v/>
      </c>
      <c r="CV210" s="4097">
        <f>IFERROR(AZ210/AZ$117,0)</f>
        <v/>
      </c>
      <c r="CW210" s="3737" t="n"/>
      <c r="CX210" s="4094" t="n">
        <v>0</v>
      </c>
    </row>
    <row r="211" hidden="1" outlineLevel="2" ht="12" customFormat="1" customHeight="1" s="3737">
      <c r="A211" s="4059" t="n"/>
      <c r="B211" s="4060" t="n"/>
      <c r="C211" s="4127" t="inlineStr">
        <is>
          <t>Internal application systems</t>
        </is>
      </c>
      <c r="D211" s="4093" t="n">
        <v>561501</v>
      </c>
      <c r="E211" s="4093">
        <f>CONCATENATE(D211," - ",C211)</f>
        <v/>
      </c>
      <c r="F211" s="4094" t="n"/>
      <c r="G211" s="4094" t="n"/>
      <c r="H211" s="4094" t="n"/>
      <c r="I211" s="4094" t="n"/>
      <c r="J211" s="4094" t="n"/>
      <c r="K211" s="4094" t="n"/>
      <c r="L211" s="4094" t="n"/>
      <c r="M211" s="4094" t="n"/>
      <c r="N211" s="4094" t="n"/>
      <c r="O211" s="4094" t="n"/>
      <c r="P211" s="4094" t="n"/>
      <c r="Q211" s="4095" t="n"/>
      <c r="R211" s="4094" t="n"/>
      <c r="S211" s="4094" t="n"/>
      <c r="T211" s="4094" t="n"/>
      <c r="U211" s="4094" t="n"/>
      <c r="V211" s="4094" t="n"/>
      <c r="W211" s="4094" t="n"/>
      <c r="X211" s="4094" t="n"/>
      <c r="Y211" s="4094" t="n"/>
      <c r="Z211" s="4094" t="n"/>
      <c r="AA211" s="4094" t="n"/>
      <c r="AB211" s="4094" t="n"/>
      <c r="AC211" s="4095" t="n"/>
      <c r="AD211" s="4094" t="n"/>
      <c r="AE211" s="4094" t="n"/>
      <c r="AF211" s="4094" t="n"/>
      <c r="AG211" s="4094" t="n"/>
      <c r="AH211" s="4094" t="n"/>
      <c r="AI211" s="4094" t="n"/>
      <c r="AJ211" s="4094" t="n"/>
      <c r="AK211" s="4094" t="n"/>
      <c r="AL211" s="4094" t="n"/>
      <c r="AM211" s="4094" t="n"/>
      <c r="AN211" s="4094" t="n"/>
      <c r="AO211" s="4095" t="n"/>
      <c r="AP211" s="4094" t="n">
        <v>-14.3416</v>
      </c>
      <c r="AQ211" s="4094" t="n">
        <v>-14.64037</v>
      </c>
      <c r="AR211" s="4094" t="n">
        <v>-14.29108</v>
      </c>
      <c r="AS211" s="4094" t="n">
        <v>-14.48144</v>
      </c>
      <c r="AT211" s="4094" t="n">
        <v>-14.01473</v>
      </c>
      <c r="AU211" s="4096" t="n">
        <v>-20.3435</v>
      </c>
      <c r="AV211" s="4094">
        <f>SUM(F211:Q211)</f>
        <v/>
      </c>
      <c r="AW211" s="4094">
        <f>SUM(R211:AC211)</f>
        <v/>
      </c>
      <c r="AX211" s="4094">
        <f>SUM(AD211:AO211)</f>
        <v/>
      </c>
      <c r="AY211" s="4094">
        <f>SUM(AH211:AS211)</f>
        <v/>
      </c>
      <c r="AZ211" s="4094">
        <f>SUM(AJ211:AU211)</f>
        <v/>
      </c>
      <c r="BA211" s="3737" t="n"/>
      <c r="BB211" s="4097">
        <f>IFERROR(F211/F$117,0)</f>
        <v/>
      </c>
      <c r="BC211" s="4097">
        <f>IFERROR(G211/G$117,0)</f>
        <v/>
      </c>
      <c r="BD211" s="4097">
        <f>IFERROR(H211/H$117,0)</f>
        <v/>
      </c>
      <c r="BE211" s="4097">
        <f>IFERROR(I211/I$117,0)</f>
        <v/>
      </c>
      <c r="BF211" s="4097">
        <f>IFERROR(J211/J$117,0)</f>
        <v/>
      </c>
      <c r="BG211" s="4097">
        <f>IFERROR(K211/K$117,0)</f>
        <v/>
      </c>
      <c r="BH211" s="4097">
        <f>IFERROR(L211/L$117,0)</f>
        <v/>
      </c>
      <c r="BI211" s="4097">
        <f>IFERROR(M211/M$117,0)</f>
        <v/>
      </c>
      <c r="BJ211" s="4097">
        <f>IFERROR(N211/N$117,0)</f>
        <v/>
      </c>
      <c r="BK211" s="4097">
        <f>IFERROR(O211/O$117,0)</f>
        <v/>
      </c>
      <c r="BL211" s="4097">
        <f>IFERROR(P211/P$117,0)</f>
        <v/>
      </c>
      <c r="BM211" s="4098">
        <f>IFERROR(Q211/Q$117,0)</f>
        <v/>
      </c>
      <c r="BN211" s="4097">
        <f>IFERROR(R211/R$117,0)</f>
        <v/>
      </c>
      <c r="BO211" s="4097">
        <f>IFERROR(S211/S$117,0)</f>
        <v/>
      </c>
      <c r="BP211" s="4097">
        <f>IFERROR(T211/T$117,0)</f>
        <v/>
      </c>
      <c r="BQ211" s="4097">
        <f>IFERROR(U211/U$117,0)</f>
        <v/>
      </c>
      <c r="BR211" s="4097">
        <f>IFERROR(V211/V$117,0)</f>
        <v/>
      </c>
      <c r="BS211" s="4097">
        <f>IFERROR(W211/W$117,0)</f>
        <v/>
      </c>
      <c r="BT211" s="4097">
        <f>IFERROR(X211/X$117,0)</f>
        <v/>
      </c>
      <c r="BU211" s="4097">
        <f>IFERROR(Y211/Y$117,0)</f>
        <v/>
      </c>
      <c r="BV211" s="4097">
        <f>IFERROR(Z211/Z$117,0)</f>
        <v/>
      </c>
      <c r="BW211" s="4097">
        <f>IFERROR(AA211/AA$117,0)</f>
        <v/>
      </c>
      <c r="BX211" s="4097">
        <f>IFERROR(AB211/AB$117,0)</f>
        <v/>
      </c>
      <c r="BY211" s="4098">
        <f>IFERROR(AC211/AC$117,0)</f>
        <v/>
      </c>
      <c r="BZ211" s="4097">
        <f>IFERROR(AD211/AD$117,0)</f>
        <v/>
      </c>
      <c r="CA211" s="4097">
        <f>IFERROR(AE211/AE$117,0)</f>
        <v/>
      </c>
      <c r="CB211" s="4097">
        <f>IFERROR(AF211/AF$117,0)</f>
        <v/>
      </c>
      <c r="CC211" s="4097">
        <f>IFERROR(AG211/AG$117,0)</f>
        <v/>
      </c>
      <c r="CD211" s="4097">
        <f>IFERROR(AH211/AH$117,0)</f>
        <v/>
      </c>
      <c r="CE211" s="4097">
        <f>IFERROR(AI211/AI$117,0)</f>
        <v/>
      </c>
      <c r="CF211" s="4097">
        <f>IFERROR(AJ211/AJ$117,0)</f>
        <v/>
      </c>
      <c r="CG211" s="4097">
        <f>IFERROR(AK211/AK$117,0)</f>
        <v/>
      </c>
      <c r="CH211" s="4097">
        <f>IFERROR(AL211/AL$117,0)</f>
        <v/>
      </c>
      <c r="CI211" s="4097">
        <f>IFERROR(AM211/AM$117,0)</f>
        <v/>
      </c>
      <c r="CJ211" s="4097">
        <f>IFERROR(AN211/AN$117,0)</f>
        <v/>
      </c>
      <c r="CK211" s="4098">
        <f>IFERROR(AO211/AO$117,0)</f>
        <v/>
      </c>
      <c r="CL211" s="4097">
        <f>IFERROR(AP211/AP$117,0)</f>
        <v/>
      </c>
      <c r="CM211" s="4097">
        <f>IFERROR(AQ211/AQ$117,0)</f>
        <v/>
      </c>
      <c r="CN211" s="4097">
        <f>IFERROR(AR211/AR$117,0)</f>
        <v/>
      </c>
      <c r="CO211" s="4097">
        <f>IFERROR(AS211/AS$117,0)</f>
        <v/>
      </c>
      <c r="CP211" s="4097">
        <f>IFERROR(AT211/AT$117,0)</f>
        <v/>
      </c>
      <c r="CQ211" s="4099">
        <f>IFERROR(AU211/AU$117,0)</f>
        <v/>
      </c>
      <c r="CR211" s="4097">
        <f>IFERROR(AV211/AV$117,0)</f>
        <v/>
      </c>
      <c r="CS211" s="4097">
        <f>IFERROR(AW211/AW$117,0)</f>
        <v/>
      </c>
      <c r="CT211" s="4097">
        <f>IFERROR(AX211/AX$117,0)</f>
        <v/>
      </c>
      <c r="CU211" s="4097">
        <f>IFERROR(AY211/AY$117,0)</f>
        <v/>
      </c>
      <c r="CV211" s="4097">
        <f>IFERROR(AZ211/AZ$117,0)</f>
        <v/>
      </c>
      <c r="CW211" s="3737" t="n"/>
      <c r="CX211" s="4094" t="n">
        <v>-156.34971</v>
      </c>
    </row>
    <row r="212" hidden="1" outlineLevel="2" ht="12" customFormat="1" customHeight="1" s="3737">
      <c r="A212" s="4059" t="n"/>
      <c r="B212" s="4060" t="n"/>
      <c r="C212" s="4127" t="inlineStr">
        <is>
          <t>Pc &amp; application software</t>
        </is>
      </c>
      <c r="D212" s="4093" t="n">
        <v>561401</v>
      </c>
      <c r="E212" s="4093">
        <f>CONCATENATE(D212," - ",C212)</f>
        <v/>
      </c>
      <c r="F212" s="4094" t="n"/>
      <c r="G212" s="4094" t="n"/>
      <c r="H212" s="4094" t="n"/>
      <c r="I212" s="4094" t="n"/>
      <c r="J212" s="4094" t="n"/>
      <c r="K212" s="4094" t="n"/>
      <c r="L212" s="4094" t="n"/>
      <c r="M212" s="4094" t="n"/>
      <c r="N212" s="4094" t="n"/>
      <c r="O212" s="4094" t="n"/>
      <c r="P212" s="4094" t="n"/>
      <c r="Q212" s="4095" t="n"/>
      <c r="R212" s="4094" t="n"/>
      <c r="S212" s="4094" t="n"/>
      <c r="T212" s="4094" t="n"/>
      <c r="U212" s="4094" t="n"/>
      <c r="V212" s="4094" t="n"/>
      <c r="W212" s="4094" t="n"/>
      <c r="X212" s="4094" t="n"/>
      <c r="Y212" s="4094" t="n"/>
      <c r="Z212" s="4094" t="n"/>
      <c r="AA212" s="4094" t="n"/>
      <c r="AB212" s="4094" t="n"/>
      <c r="AC212" s="4095" t="n"/>
      <c r="AD212" s="4094" t="n"/>
      <c r="AE212" s="4094" t="n"/>
      <c r="AF212" s="4094" t="n"/>
      <c r="AG212" s="4094" t="n"/>
      <c r="AH212" s="4094" t="n"/>
      <c r="AI212" s="4094" t="n"/>
      <c r="AJ212" s="4094" t="n"/>
      <c r="AK212" s="4094" t="n"/>
      <c r="AL212" s="4094" t="n"/>
      <c r="AM212" s="4094" t="n"/>
      <c r="AN212" s="4094" t="n"/>
      <c r="AO212" s="4095" t="n"/>
      <c r="AP212" s="4094" t="n">
        <v>-2.76545</v>
      </c>
      <c r="AQ212" s="4094" t="n">
        <v>-2.82544</v>
      </c>
      <c r="AR212" s="4094" t="n">
        <v>-3.34258</v>
      </c>
      <c r="AS212" s="4094" t="n">
        <v>-2.85062</v>
      </c>
      <c r="AT212" s="4094" t="n">
        <v>-1.9671</v>
      </c>
      <c r="AU212" s="4096" t="n">
        <v>-3.51317</v>
      </c>
      <c r="AV212" s="4094">
        <f>SUM(F212:Q212)</f>
        <v/>
      </c>
      <c r="AW212" s="4094">
        <f>SUM(R212:AC212)</f>
        <v/>
      </c>
      <c r="AX212" s="4094">
        <f>SUM(AD212:AO212)</f>
        <v/>
      </c>
      <c r="AY212" s="4094">
        <f>SUM(AH212:AS212)</f>
        <v/>
      </c>
      <c r="AZ212" s="4094">
        <f>SUM(AJ212:AU212)</f>
        <v/>
      </c>
      <c r="BA212" s="3737" t="n"/>
      <c r="BB212" s="4097">
        <f>IFERROR(F212/F$117,0)</f>
        <v/>
      </c>
      <c r="BC212" s="4097">
        <f>IFERROR(G212/G$117,0)</f>
        <v/>
      </c>
      <c r="BD212" s="4097">
        <f>IFERROR(H212/H$117,0)</f>
        <v/>
      </c>
      <c r="BE212" s="4097">
        <f>IFERROR(I212/I$117,0)</f>
        <v/>
      </c>
      <c r="BF212" s="4097">
        <f>IFERROR(J212/J$117,0)</f>
        <v/>
      </c>
      <c r="BG212" s="4097">
        <f>IFERROR(K212/K$117,0)</f>
        <v/>
      </c>
      <c r="BH212" s="4097">
        <f>IFERROR(L212/L$117,0)</f>
        <v/>
      </c>
      <c r="BI212" s="4097">
        <f>IFERROR(M212/M$117,0)</f>
        <v/>
      </c>
      <c r="BJ212" s="4097">
        <f>IFERROR(N212/N$117,0)</f>
        <v/>
      </c>
      <c r="BK212" s="4097">
        <f>IFERROR(O212/O$117,0)</f>
        <v/>
      </c>
      <c r="BL212" s="4097">
        <f>IFERROR(P212/P$117,0)</f>
        <v/>
      </c>
      <c r="BM212" s="4098">
        <f>IFERROR(Q212/Q$117,0)</f>
        <v/>
      </c>
      <c r="BN212" s="4097">
        <f>IFERROR(R212/R$117,0)</f>
        <v/>
      </c>
      <c r="BO212" s="4097">
        <f>IFERROR(S212/S$117,0)</f>
        <v/>
      </c>
      <c r="BP212" s="4097">
        <f>IFERROR(T212/T$117,0)</f>
        <v/>
      </c>
      <c r="BQ212" s="4097">
        <f>IFERROR(U212/U$117,0)</f>
        <v/>
      </c>
      <c r="BR212" s="4097">
        <f>IFERROR(V212/V$117,0)</f>
        <v/>
      </c>
      <c r="BS212" s="4097">
        <f>IFERROR(W212/W$117,0)</f>
        <v/>
      </c>
      <c r="BT212" s="4097">
        <f>IFERROR(X212/X$117,0)</f>
        <v/>
      </c>
      <c r="BU212" s="4097">
        <f>IFERROR(Y212/Y$117,0)</f>
        <v/>
      </c>
      <c r="BV212" s="4097">
        <f>IFERROR(Z212/Z$117,0)</f>
        <v/>
      </c>
      <c r="BW212" s="4097">
        <f>IFERROR(AA212/AA$117,0)</f>
        <v/>
      </c>
      <c r="BX212" s="4097">
        <f>IFERROR(AB212/AB$117,0)</f>
        <v/>
      </c>
      <c r="BY212" s="4098">
        <f>IFERROR(AC212/AC$117,0)</f>
        <v/>
      </c>
      <c r="BZ212" s="4097">
        <f>IFERROR(AD212/AD$117,0)</f>
        <v/>
      </c>
      <c r="CA212" s="4097">
        <f>IFERROR(AE212/AE$117,0)</f>
        <v/>
      </c>
      <c r="CB212" s="4097">
        <f>IFERROR(AF212/AF$117,0)</f>
        <v/>
      </c>
      <c r="CC212" s="4097">
        <f>IFERROR(AG212/AG$117,0)</f>
        <v/>
      </c>
      <c r="CD212" s="4097">
        <f>IFERROR(AH212/AH$117,0)</f>
        <v/>
      </c>
      <c r="CE212" s="4097">
        <f>IFERROR(AI212/AI$117,0)</f>
        <v/>
      </c>
      <c r="CF212" s="4097">
        <f>IFERROR(AJ212/AJ$117,0)</f>
        <v/>
      </c>
      <c r="CG212" s="4097">
        <f>IFERROR(AK212/AK$117,0)</f>
        <v/>
      </c>
      <c r="CH212" s="4097">
        <f>IFERROR(AL212/AL$117,0)</f>
        <v/>
      </c>
      <c r="CI212" s="4097">
        <f>IFERROR(AM212/AM$117,0)</f>
        <v/>
      </c>
      <c r="CJ212" s="4097">
        <f>IFERROR(AN212/AN$117,0)</f>
        <v/>
      </c>
      <c r="CK212" s="4098">
        <f>IFERROR(AO212/AO$117,0)</f>
        <v/>
      </c>
      <c r="CL212" s="4097">
        <f>IFERROR(AP212/AP$117,0)</f>
        <v/>
      </c>
      <c r="CM212" s="4097">
        <f>IFERROR(AQ212/AQ$117,0)</f>
        <v/>
      </c>
      <c r="CN212" s="4097">
        <f>IFERROR(AR212/AR$117,0)</f>
        <v/>
      </c>
      <c r="CO212" s="4097">
        <f>IFERROR(AS212/AS$117,0)</f>
        <v/>
      </c>
      <c r="CP212" s="4097">
        <f>IFERROR(AT212/AT$117,0)</f>
        <v/>
      </c>
      <c r="CQ212" s="4099">
        <f>IFERROR(AU212/AU$117,0)</f>
        <v/>
      </c>
      <c r="CR212" s="4097">
        <f>IFERROR(AV212/AV$117,0)</f>
        <v/>
      </c>
      <c r="CS212" s="4097">
        <f>IFERROR(AW212/AW$117,0)</f>
        <v/>
      </c>
      <c r="CT212" s="4097">
        <f>IFERROR(AX212/AX$117,0)</f>
        <v/>
      </c>
      <c r="CU212" s="4097">
        <f>IFERROR(AY212/AY$117,0)</f>
        <v/>
      </c>
      <c r="CV212" s="4097">
        <f>IFERROR(AZ212/AZ$117,0)</f>
        <v/>
      </c>
      <c r="CW212" s="3737" t="n"/>
      <c r="CX212" s="4094" t="n">
        <v>-5.43842</v>
      </c>
    </row>
    <row r="213" hidden="1" outlineLevel="2" ht="12" customFormat="1" customHeight="1" s="3737">
      <c r="A213" s="4059" t="n"/>
      <c r="B213" s="4060" t="n"/>
      <c r="C213" s="4127" t="inlineStr">
        <is>
          <t>Pc supplies</t>
        </is>
      </c>
      <c r="D213" s="4093" t="n">
        <v>561306</v>
      </c>
      <c r="E213" s="4093">
        <f>CONCATENATE(D213," - ",C213)</f>
        <v/>
      </c>
      <c r="F213" s="4094" t="n"/>
      <c r="G213" s="4094" t="n"/>
      <c r="H213" s="4094" t="n"/>
      <c r="I213" s="4094" t="n"/>
      <c r="J213" s="4094" t="n"/>
      <c r="K213" s="4094" t="n"/>
      <c r="L213" s="4094" t="n"/>
      <c r="M213" s="4094" t="n"/>
      <c r="N213" s="4094" t="n"/>
      <c r="O213" s="4094" t="n"/>
      <c r="P213" s="4094" t="n"/>
      <c r="Q213" s="4095" t="n"/>
      <c r="R213" s="4094" t="n"/>
      <c r="S213" s="4094" t="n"/>
      <c r="T213" s="4094" t="n"/>
      <c r="U213" s="4094" t="n"/>
      <c r="V213" s="4094" t="n"/>
      <c r="W213" s="4094" t="n"/>
      <c r="X213" s="4094" t="n"/>
      <c r="Y213" s="4094" t="n"/>
      <c r="Z213" s="4094" t="n"/>
      <c r="AA213" s="4094" t="n"/>
      <c r="AB213" s="4094" t="n"/>
      <c r="AC213" s="4095" t="n"/>
      <c r="AD213" s="4094" t="n"/>
      <c r="AE213" s="4094" t="n"/>
      <c r="AF213" s="4094" t="n"/>
      <c r="AG213" s="4094" t="n"/>
      <c r="AH213" s="4094" t="n"/>
      <c r="AI213" s="4094" t="n"/>
      <c r="AJ213" s="4094" t="n"/>
      <c r="AK213" s="4094" t="n"/>
      <c r="AL213" s="4094" t="n"/>
      <c r="AM213" s="4094" t="n"/>
      <c r="AN213" s="4094" t="n"/>
      <c r="AO213" s="4095" t="n"/>
      <c r="AP213" s="4094" t="n">
        <v>-0.42715</v>
      </c>
      <c r="AQ213" s="4094" t="n">
        <v>0.09535</v>
      </c>
      <c r="AR213" s="4094" t="n">
        <v>-0.03601</v>
      </c>
      <c r="AS213" s="4094" t="n">
        <v>-0.52419</v>
      </c>
      <c r="AT213" s="4094" t="n">
        <v>-0.11819</v>
      </c>
      <c r="AU213" s="4096" t="n">
        <v>-0.38345</v>
      </c>
      <c r="AV213" s="4094">
        <f>SUM(F213:Q213)</f>
        <v/>
      </c>
      <c r="AW213" s="4094">
        <f>SUM(R213:AC213)</f>
        <v/>
      </c>
      <c r="AX213" s="4094">
        <f>SUM(AD213:AO213)</f>
        <v/>
      </c>
      <c r="AY213" s="4094">
        <f>SUM(AH213:AS213)</f>
        <v/>
      </c>
      <c r="AZ213" s="4094">
        <f>SUM(AJ213:AU213)</f>
        <v/>
      </c>
      <c r="BA213" s="3737" t="n"/>
      <c r="BB213" s="4097">
        <f>IFERROR(F213/F$117,0)</f>
        <v/>
      </c>
      <c r="BC213" s="4097">
        <f>IFERROR(G213/G$117,0)</f>
        <v/>
      </c>
      <c r="BD213" s="4097">
        <f>IFERROR(H213/H$117,0)</f>
        <v/>
      </c>
      <c r="BE213" s="4097">
        <f>IFERROR(I213/I$117,0)</f>
        <v/>
      </c>
      <c r="BF213" s="4097">
        <f>IFERROR(J213/J$117,0)</f>
        <v/>
      </c>
      <c r="BG213" s="4097">
        <f>IFERROR(K213/K$117,0)</f>
        <v/>
      </c>
      <c r="BH213" s="4097">
        <f>IFERROR(L213/L$117,0)</f>
        <v/>
      </c>
      <c r="BI213" s="4097">
        <f>IFERROR(M213/M$117,0)</f>
        <v/>
      </c>
      <c r="BJ213" s="4097">
        <f>IFERROR(N213/N$117,0)</f>
        <v/>
      </c>
      <c r="BK213" s="4097">
        <f>IFERROR(O213/O$117,0)</f>
        <v/>
      </c>
      <c r="BL213" s="4097">
        <f>IFERROR(P213/P$117,0)</f>
        <v/>
      </c>
      <c r="BM213" s="4098">
        <f>IFERROR(Q213/Q$117,0)</f>
        <v/>
      </c>
      <c r="BN213" s="4097">
        <f>IFERROR(R213/R$117,0)</f>
        <v/>
      </c>
      <c r="BO213" s="4097">
        <f>IFERROR(S213/S$117,0)</f>
        <v/>
      </c>
      <c r="BP213" s="4097">
        <f>IFERROR(T213/T$117,0)</f>
        <v/>
      </c>
      <c r="BQ213" s="4097">
        <f>IFERROR(U213/U$117,0)</f>
        <v/>
      </c>
      <c r="BR213" s="4097">
        <f>IFERROR(V213/V$117,0)</f>
        <v/>
      </c>
      <c r="BS213" s="4097">
        <f>IFERROR(W213/W$117,0)</f>
        <v/>
      </c>
      <c r="BT213" s="4097">
        <f>IFERROR(X213/X$117,0)</f>
        <v/>
      </c>
      <c r="BU213" s="4097">
        <f>IFERROR(Y213/Y$117,0)</f>
        <v/>
      </c>
      <c r="BV213" s="4097">
        <f>IFERROR(Z213/Z$117,0)</f>
        <v/>
      </c>
      <c r="BW213" s="4097">
        <f>IFERROR(AA213/AA$117,0)</f>
        <v/>
      </c>
      <c r="BX213" s="4097">
        <f>IFERROR(AB213/AB$117,0)</f>
        <v/>
      </c>
      <c r="BY213" s="4098">
        <f>IFERROR(AC213/AC$117,0)</f>
        <v/>
      </c>
      <c r="BZ213" s="4097">
        <f>IFERROR(AD213/AD$117,0)</f>
        <v/>
      </c>
      <c r="CA213" s="4097">
        <f>IFERROR(AE213/AE$117,0)</f>
        <v/>
      </c>
      <c r="CB213" s="4097">
        <f>IFERROR(AF213/AF$117,0)</f>
        <v/>
      </c>
      <c r="CC213" s="4097">
        <f>IFERROR(AG213/AG$117,0)</f>
        <v/>
      </c>
      <c r="CD213" s="4097">
        <f>IFERROR(AH213/AH$117,0)</f>
        <v/>
      </c>
      <c r="CE213" s="4097">
        <f>IFERROR(AI213/AI$117,0)</f>
        <v/>
      </c>
      <c r="CF213" s="4097">
        <f>IFERROR(AJ213/AJ$117,0)</f>
        <v/>
      </c>
      <c r="CG213" s="4097">
        <f>IFERROR(AK213/AK$117,0)</f>
        <v/>
      </c>
      <c r="CH213" s="4097">
        <f>IFERROR(AL213/AL$117,0)</f>
        <v/>
      </c>
      <c r="CI213" s="4097">
        <f>IFERROR(AM213/AM$117,0)</f>
        <v/>
      </c>
      <c r="CJ213" s="4097">
        <f>IFERROR(AN213/AN$117,0)</f>
        <v/>
      </c>
      <c r="CK213" s="4098">
        <f>IFERROR(AO213/AO$117,0)</f>
        <v/>
      </c>
      <c r="CL213" s="4097">
        <f>IFERROR(AP213/AP$117,0)</f>
        <v/>
      </c>
      <c r="CM213" s="4097">
        <f>IFERROR(AQ213/AQ$117,0)</f>
        <v/>
      </c>
      <c r="CN213" s="4097">
        <f>IFERROR(AR213/AR$117,0)</f>
        <v/>
      </c>
      <c r="CO213" s="4097">
        <f>IFERROR(AS213/AS$117,0)</f>
        <v/>
      </c>
      <c r="CP213" s="4097">
        <f>IFERROR(AT213/AT$117,0)</f>
        <v/>
      </c>
      <c r="CQ213" s="4099">
        <f>IFERROR(AU213/AU$117,0)</f>
        <v/>
      </c>
      <c r="CR213" s="4097">
        <f>IFERROR(AV213/AV$117,0)</f>
        <v/>
      </c>
      <c r="CS213" s="4097">
        <f>IFERROR(AW213/AW$117,0)</f>
        <v/>
      </c>
      <c r="CT213" s="4097">
        <f>IFERROR(AX213/AX$117,0)</f>
        <v/>
      </c>
      <c r="CU213" s="4097">
        <f>IFERROR(AY213/AY$117,0)</f>
        <v/>
      </c>
      <c r="CV213" s="4097">
        <f>IFERROR(AZ213/AZ$117,0)</f>
        <v/>
      </c>
      <c r="CW213" s="3737" t="n"/>
      <c r="CX213" s="4094" t="n">
        <v>-4.25145</v>
      </c>
    </row>
    <row r="214" hidden="1" outlineLevel="2" ht="12" customFormat="1" customHeight="1" s="3737">
      <c r="A214" s="4059" t="n"/>
      <c r="B214" s="4060" t="n"/>
      <c r="C214" s="4127" t="inlineStr">
        <is>
          <t>Office equipment lease</t>
        </is>
      </c>
      <c r="D214" s="4093" t="n">
        <v>561105</v>
      </c>
      <c r="E214" s="4093">
        <f>CONCATENATE(D214," - ",C214)</f>
        <v/>
      </c>
      <c r="F214" s="4094" t="n"/>
      <c r="G214" s="4094" t="n"/>
      <c r="H214" s="4094" t="n"/>
      <c r="I214" s="4094" t="n"/>
      <c r="J214" s="4094" t="n"/>
      <c r="K214" s="4094" t="n"/>
      <c r="L214" s="4094" t="n"/>
      <c r="M214" s="4094" t="n"/>
      <c r="N214" s="4094" t="n"/>
      <c r="O214" s="4094" t="n"/>
      <c r="P214" s="4094" t="n"/>
      <c r="Q214" s="4095" t="n"/>
      <c r="R214" s="4094" t="n"/>
      <c r="S214" s="4094" t="n"/>
      <c r="T214" s="4094" t="n"/>
      <c r="U214" s="4094" t="n"/>
      <c r="V214" s="4094" t="n"/>
      <c r="W214" s="4094" t="n"/>
      <c r="X214" s="4094" t="n"/>
      <c r="Y214" s="4094" t="n"/>
      <c r="Z214" s="4094" t="n"/>
      <c r="AA214" s="4094" t="n"/>
      <c r="AB214" s="4094" t="n"/>
      <c r="AC214" s="4095" t="n"/>
      <c r="AD214" s="4094" t="n"/>
      <c r="AE214" s="4094" t="n"/>
      <c r="AF214" s="4094" t="n"/>
      <c r="AG214" s="4094" t="n"/>
      <c r="AH214" s="4094" t="n"/>
      <c r="AI214" s="4094" t="n"/>
      <c r="AJ214" s="4094" t="n"/>
      <c r="AK214" s="4094" t="n"/>
      <c r="AL214" s="4094" t="n"/>
      <c r="AM214" s="4094" t="n"/>
      <c r="AN214" s="4094" t="n"/>
      <c r="AO214" s="4095" t="n"/>
      <c r="AP214" s="4094" t="n">
        <v>0</v>
      </c>
      <c r="AQ214" s="4094" t="n">
        <v>0</v>
      </c>
      <c r="AR214" s="4094" t="n">
        <v>0</v>
      </c>
      <c r="AS214" s="4094" t="n">
        <v>0</v>
      </c>
      <c r="AT214" s="4094" t="n">
        <v>0</v>
      </c>
      <c r="AU214" s="4096" t="n">
        <v>0</v>
      </c>
      <c r="AV214" s="4094">
        <f>SUM(F214:Q214)</f>
        <v/>
      </c>
      <c r="AW214" s="4094">
        <f>SUM(R214:AC214)</f>
        <v/>
      </c>
      <c r="AX214" s="4094">
        <f>SUM(AD214:AO214)</f>
        <v/>
      </c>
      <c r="AY214" s="4094">
        <f>SUM(AH214:AS214)</f>
        <v/>
      </c>
      <c r="AZ214" s="4094">
        <f>SUM(AJ214:AU214)</f>
        <v/>
      </c>
      <c r="BA214" s="3737" t="n"/>
      <c r="BB214" s="4097">
        <f>IFERROR(F214/F$117,0)</f>
        <v/>
      </c>
      <c r="BC214" s="4097">
        <f>IFERROR(G214/G$117,0)</f>
        <v/>
      </c>
      <c r="BD214" s="4097">
        <f>IFERROR(H214/H$117,0)</f>
        <v/>
      </c>
      <c r="BE214" s="4097">
        <f>IFERROR(I214/I$117,0)</f>
        <v/>
      </c>
      <c r="BF214" s="4097">
        <f>IFERROR(J214/J$117,0)</f>
        <v/>
      </c>
      <c r="BG214" s="4097">
        <f>IFERROR(K214/K$117,0)</f>
        <v/>
      </c>
      <c r="BH214" s="4097">
        <f>IFERROR(L214/L$117,0)</f>
        <v/>
      </c>
      <c r="BI214" s="4097">
        <f>IFERROR(M214/M$117,0)</f>
        <v/>
      </c>
      <c r="BJ214" s="4097">
        <f>IFERROR(N214/N$117,0)</f>
        <v/>
      </c>
      <c r="BK214" s="4097">
        <f>IFERROR(O214/O$117,0)</f>
        <v/>
      </c>
      <c r="BL214" s="4097">
        <f>IFERROR(P214/P$117,0)</f>
        <v/>
      </c>
      <c r="BM214" s="4098">
        <f>IFERROR(Q214/Q$117,0)</f>
        <v/>
      </c>
      <c r="BN214" s="4097">
        <f>IFERROR(R214/R$117,0)</f>
        <v/>
      </c>
      <c r="BO214" s="4097">
        <f>IFERROR(S214/S$117,0)</f>
        <v/>
      </c>
      <c r="BP214" s="4097">
        <f>IFERROR(T214/T$117,0)</f>
        <v/>
      </c>
      <c r="BQ214" s="4097">
        <f>IFERROR(U214/U$117,0)</f>
        <v/>
      </c>
      <c r="BR214" s="4097">
        <f>IFERROR(V214/V$117,0)</f>
        <v/>
      </c>
      <c r="BS214" s="4097">
        <f>IFERROR(W214/W$117,0)</f>
        <v/>
      </c>
      <c r="BT214" s="4097">
        <f>IFERROR(X214/X$117,0)</f>
        <v/>
      </c>
      <c r="BU214" s="4097">
        <f>IFERROR(Y214/Y$117,0)</f>
        <v/>
      </c>
      <c r="BV214" s="4097">
        <f>IFERROR(Z214/Z$117,0)</f>
        <v/>
      </c>
      <c r="BW214" s="4097">
        <f>IFERROR(AA214/AA$117,0)</f>
        <v/>
      </c>
      <c r="BX214" s="4097">
        <f>IFERROR(AB214/AB$117,0)</f>
        <v/>
      </c>
      <c r="BY214" s="4098">
        <f>IFERROR(AC214/AC$117,0)</f>
        <v/>
      </c>
      <c r="BZ214" s="4097">
        <f>IFERROR(AD214/AD$117,0)</f>
        <v/>
      </c>
      <c r="CA214" s="4097">
        <f>IFERROR(AE214/AE$117,0)</f>
        <v/>
      </c>
      <c r="CB214" s="4097">
        <f>IFERROR(AF214/AF$117,0)</f>
        <v/>
      </c>
      <c r="CC214" s="4097">
        <f>IFERROR(AG214/AG$117,0)</f>
        <v/>
      </c>
      <c r="CD214" s="4097">
        <f>IFERROR(AH214/AH$117,0)</f>
        <v/>
      </c>
      <c r="CE214" s="4097">
        <f>IFERROR(AI214/AI$117,0)</f>
        <v/>
      </c>
      <c r="CF214" s="4097">
        <f>IFERROR(AJ214/AJ$117,0)</f>
        <v/>
      </c>
      <c r="CG214" s="4097">
        <f>IFERROR(AK214/AK$117,0)</f>
        <v/>
      </c>
      <c r="CH214" s="4097">
        <f>IFERROR(AL214/AL$117,0)</f>
        <v/>
      </c>
      <c r="CI214" s="4097">
        <f>IFERROR(AM214/AM$117,0)</f>
        <v/>
      </c>
      <c r="CJ214" s="4097">
        <f>IFERROR(AN214/AN$117,0)</f>
        <v/>
      </c>
      <c r="CK214" s="4098">
        <f>IFERROR(AO214/AO$117,0)</f>
        <v/>
      </c>
      <c r="CL214" s="4097">
        <f>IFERROR(AP214/AP$117,0)</f>
        <v/>
      </c>
      <c r="CM214" s="4097">
        <f>IFERROR(AQ214/AQ$117,0)</f>
        <v/>
      </c>
      <c r="CN214" s="4097">
        <f>IFERROR(AR214/AR$117,0)</f>
        <v/>
      </c>
      <c r="CO214" s="4097">
        <f>IFERROR(AS214/AS$117,0)</f>
        <v/>
      </c>
      <c r="CP214" s="4097">
        <f>IFERROR(AT214/AT$117,0)</f>
        <v/>
      </c>
      <c r="CQ214" s="4099">
        <f>IFERROR(AU214/AU$117,0)</f>
        <v/>
      </c>
      <c r="CR214" s="4097">
        <f>IFERROR(AV214/AV$117,0)</f>
        <v/>
      </c>
      <c r="CS214" s="4097">
        <f>IFERROR(AW214/AW$117,0)</f>
        <v/>
      </c>
      <c r="CT214" s="4097">
        <f>IFERROR(AX214/AX$117,0)</f>
        <v/>
      </c>
      <c r="CU214" s="4097">
        <f>IFERROR(AY214/AY$117,0)</f>
        <v/>
      </c>
      <c r="CV214" s="4097">
        <f>IFERROR(AZ214/AZ$117,0)</f>
        <v/>
      </c>
      <c r="CW214" s="3737" t="n"/>
      <c r="CX214" s="4094" t="n">
        <v>0</v>
      </c>
    </row>
    <row r="215" hidden="1" outlineLevel="2" ht="12" customFormat="1" customHeight="1" s="3737">
      <c r="A215" s="4059" t="n"/>
      <c r="B215" s="4060" t="n"/>
      <c r="C215" s="4128" t="inlineStr">
        <is>
          <t>Pc hardware</t>
        </is>
      </c>
      <c r="D215" s="4101" t="n">
        <v>561301</v>
      </c>
      <c r="E215" s="4101">
        <f>CONCATENATE(D215," - ",C215)</f>
        <v/>
      </c>
      <c r="F215" s="4102" t="n"/>
      <c r="G215" s="4102" t="n"/>
      <c r="H215" s="4102" t="n"/>
      <c r="I215" s="4102" t="n"/>
      <c r="J215" s="4102" t="n"/>
      <c r="K215" s="4102" t="n"/>
      <c r="L215" s="4102" t="n"/>
      <c r="M215" s="4102" t="n"/>
      <c r="N215" s="4102" t="n"/>
      <c r="O215" s="4102" t="n"/>
      <c r="P215" s="4102" t="n"/>
      <c r="Q215" s="4103" t="n"/>
      <c r="R215" s="4102" t="n"/>
      <c r="S215" s="4102" t="n"/>
      <c r="T215" s="4102" t="n"/>
      <c r="U215" s="4102" t="n"/>
      <c r="V215" s="4102" t="n"/>
      <c r="W215" s="4102" t="n"/>
      <c r="X215" s="4102" t="n"/>
      <c r="Y215" s="4102" t="n"/>
      <c r="Z215" s="4102" t="n"/>
      <c r="AA215" s="4102" t="n"/>
      <c r="AB215" s="4102" t="n"/>
      <c r="AC215" s="4103" t="n"/>
      <c r="AD215" s="4102" t="n"/>
      <c r="AE215" s="4102" t="n"/>
      <c r="AF215" s="4102" t="n"/>
      <c r="AG215" s="4102" t="n"/>
      <c r="AH215" s="4102" t="n"/>
      <c r="AI215" s="4102" t="n"/>
      <c r="AJ215" s="4102" t="n"/>
      <c r="AK215" s="4102" t="n"/>
      <c r="AL215" s="4102" t="n"/>
      <c r="AM215" s="4102" t="n"/>
      <c r="AN215" s="4102" t="n"/>
      <c r="AO215" s="4103" t="n"/>
      <c r="AP215" s="4102" t="n">
        <v>-1.11447</v>
      </c>
      <c r="AQ215" s="4102" t="n">
        <v>-0.23486</v>
      </c>
      <c r="AR215" s="4102" t="n">
        <v>0</v>
      </c>
      <c r="AS215" s="4102" t="n">
        <v>0</v>
      </c>
      <c r="AT215" s="4102" t="n">
        <v>-0.13999</v>
      </c>
      <c r="AU215" s="4104" t="n">
        <v>-1.19172</v>
      </c>
      <c r="AV215" s="4102">
        <f>SUM(F215:Q215)</f>
        <v/>
      </c>
      <c r="AW215" s="4102">
        <f>SUM(R215:AC215)</f>
        <v/>
      </c>
      <c r="AX215" s="4102">
        <f>SUM(AD215:AO215)</f>
        <v/>
      </c>
      <c r="AY215" s="4102">
        <f>SUM(AH215:AS215)</f>
        <v/>
      </c>
      <c r="AZ215" s="4102">
        <f>SUM(AJ215:AU215)</f>
        <v/>
      </c>
      <c r="BA215" s="3737" t="n"/>
      <c r="BB215" s="4105">
        <f>IFERROR(F215/F$117,0)</f>
        <v/>
      </c>
      <c r="BC215" s="4105">
        <f>IFERROR(G215/G$117,0)</f>
        <v/>
      </c>
      <c r="BD215" s="4105">
        <f>IFERROR(H215/H$117,0)</f>
        <v/>
      </c>
      <c r="BE215" s="4105">
        <f>IFERROR(I215/I$117,0)</f>
        <v/>
      </c>
      <c r="BF215" s="4105">
        <f>IFERROR(J215/J$117,0)</f>
        <v/>
      </c>
      <c r="BG215" s="4105">
        <f>IFERROR(K215/K$117,0)</f>
        <v/>
      </c>
      <c r="BH215" s="4105">
        <f>IFERROR(L215/L$117,0)</f>
        <v/>
      </c>
      <c r="BI215" s="4105">
        <f>IFERROR(M215/M$117,0)</f>
        <v/>
      </c>
      <c r="BJ215" s="4105">
        <f>IFERROR(N215/N$117,0)</f>
        <v/>
      </c>
      <c r="BK215" s="4105">
        <f>IFERROR(O215/O$117,0)</f>
        <v/>
      </c>
      <c r="BL215" s="4105">
        <f>IFERROR(P215/P$117,0)</f>
        <v/>
      </c>
      <c r="BM215" s="4106">
        <f>IFERROR(Q215/Q$117,0)</f>
        <v/>
      </c>
      <c r="BN215" s="4105">
        <f>IFERROR(R215/R$117,0)</f>
        <v/>
      </c>
      <c r="BO215" s="4105">
        <f>IFERROR(S215/S$117,0)</f>
        <v/>
      </c>
      <c r="BP215" s="4105">
        <f>IFERROR(T215/T$117,0)</f>
        <v/>
      </c>
      <c r="BQ215" s="4105">
        <f>IFERROR(U215/U$117,0)</f>
        <v/>
      </c>
      <c r="BR215" s="4105">
        <f>IFERROR(V215/V$117,0)</f>
        <v/>
      </c>
      <c r="BS215" s="4105">
        <f>IFERROR(W215/W$117,0)</f>
        <v/>
      </c>
      <c r="BT215" s="4105">
        <f>IFERROR(X215/X$117,0)</f>
        <v/>
      </c>
      <c r="BU215" s="4105">
        <f>IFERROR(Y215/Y$117,0)</f>
        <v/>
      </c>
      <c r="BV215" s="4105">
        <f>IFERROR(Z215/Z$117,0)</f>
        <v/>
      </c>
      <c r="BW215" s="4105">
        <f>IFERROR(AA215/AA$117,0)</f>
        <v/>
      </c>
      <c r="BX215" s="4105">
        <f>IFERROR(AB215/AB$117,0)</f>
        <v/>
      </c>
      <c r="BY215" s="4106">
        <f>IFERROR(AC215/AC$117,0)</f>
        <v/>
      </c>
      <c r="BZ215" s="4105">
        <f>IFERROR(AD215/AD$117,0)</f>
        <v/>
      </c>
      <c r="CA215" s="4105">
        <f>IFERROR(AE215/AE$117,0)</f>
        <v/>
      </c>
      <c r="CB215" s="4105">
        <f>IFERROR(AF215/AF$117,0)</f>
        <v/>
      </c>
      <c r="CC215" s="4105">
        <f>IFERROR(AG215/AG$117,0)</f>
        <v/>
      </c>
      <c r="CD215" s="4105">
        <f>IFERROR(AH215/AH$117,0)</f>
        <v/>
      </c>
      <c r="CE215" s="4105">
        <f>IFERROR(AI215/AI$117,0)</f>
        <v/>
      </c>
      <c r="CF215" s="4105">
        <f>IFERROR(AJ215/AJ$117,0)</f>
        <v/>
      </c>
      <c r="CG215" s="4105">
        <f>IFERROR(AK215/AK$117,0)</f>
        <v/>
      </c>
      <c r="CH215" s="4105">
        <f>IFERROR(AL215/AL$117,0)</f>
        <v/>
      </c>
      <c r="CI215" s="4105">
        <f>IFERROR(AM215/AM$117,0)</f>
        <v/>
      </c>
      <c r="CJ215" s="4105">
        <f>IFERROR(AN215/AN$117,0)</f>
        <v/>
      </c>
      <c r="CK215" s="4106">
        <f>IFERROR(AO215/AO$117,0)</f>
        <v/>
      </c>
      <c r="CL215" s="4105">
        <f>IFERROR(AP215/AP$117,0)</f>
        <v/>
      </c>
      <c r="CM215" s="4105">
        <f>IFERROR(AQ215/AQ$117,0)</f>
        <v/>
      </c>
      <c r="CN215" s="4105">
        <f>IFERROR(AR215/AR$117,0)</f>
        <v/>
      </c>
      <c r="CO215" s="4105">
        <f>IFERROR(AS215/AS$117,0)</f>
        <v/>
      </c>
      <c r="CP215" s="4105">
        <f>IFERROR(AT215/AT$117,0)</f>
        <v/>
      </c>
      <c r="CQ215" s="4107">
        <f>IFERROR(AU215/AU$117,0)</f>
        <v/>
      </c>
      <c r="CR215" s="4105">
        <f>IFERROR(AV215/AV$117,0)</f>
        <v/>
      </c>
      <c r="CS215" s="4105">
        <f>IFERROR(AW215/AW$117,0)</f>
        <v/>
      </c>
      <c r="CT215" s="4105">
        <f>IFERROR(AX215/AX$117,0)</f>
        <v/>
      </c>
      <c r="CU215" s="4105">
        <f>IFERROR(AY215/AY$117,0)</f>
        <v/>
      </c>
      <c r="CV215" s="4105">
        <f>IFERROR(AZ215/AZ$117,0)</f>
        <v/>
      </c>
      <c r="CW215" s="3737" t="n"/>
      <c r="CX215" s="4102" t="n">
        <v>-1.19769</v>
      </c>
    </row>
    <row r="216" hidden="1" outlineLevel="1" collapsed="1" ht="12" customFormat="1" customHeight="1" s="3737">
      <c r="A216" s="4059" t="n"/>
      <c r="B216" s="4060" t="n"/>
      <c r="C216" s="4092" t="inlineStr">
        <is>
          <t>Equipment &amp; software expense</t>
        </is>
      </c>
      <c r="D216" s="4093" t="n"/>
      <c r="E216" s="4093" t="n"/>
      <c r="F216" s="4094" t="n"/>
      <c r="G216" s="4094" t="n"/>
      <c r="H216" s="4094" t="n"/>
      <c r="I216" s="4094" t="n"/>
      <c r="J216" s="4094" t="n"/>
      <c r="K216" s="4094" t="n"/>
      <c r="L216" s="4094" t="n"/>
      <c r="M216" s="4094" t="n"/>
      <c r="N216" s="4094" t="n"/>
      <c r="O216" s="4094" t="n"/>
      <c r="P216" s="4094" t="n"/>
      <c r="Q216" s="4095" t="n"/>
      <c r="R216" s="4094" t="n"/>
      <c r="S216" s="4094" t="n"/>
      <c r="T216" s="4094" t="n"/>
      <c r="U216" s="4094" t="n"/>
      <c r="V216" s="4094" t="n"/>
      <c r="W216" s="4094" t="n"/>
      <c r="X216" s="4094" t="n"/>
      <c r="Y216" s="4094" t="n"/>
      <c r="Z216" s="4094" t="n"/>
      <c r="AA216" s="4094" t="n"/>
      <c r="AB216" s="4094" t="n"/>
      <c r="AC216" s="4095" t="n"/>
      <c r="AD216" s="4094" t="n"/>
      <c r="AE216" s="4094" t="n"/>
      <c r="AF216" s="4094" t="n"/>
      <c r="AG216" s="4094" t="n"/>
      <c r="AH216" s="4094" t="n"/>
      <c r="AI216" s="4094" t="n"/>
      <c r="AJ216" s="4094" t="n"/>
      <c r="AK216" s="4094" t="n"/>
      <c r="AL216" s="4094" t="n"/>
      <c r="AM216" s="4094" t="n"/>
      <c r="AN216" s="4094" t="n"/>
      <c r="AO216" s="4095" t="n"/>
      <c r="AP216" s="4094">
        <f>SUM(AP205:AP215)</f>
        <v/>
      </c>
      <c r="AQ216" s="4094">
        <f>SUM(AQ205:AQ215)</f>
        <v/>
      </c>
      <c r="AR216" s="4094">
        <f>SUM(AR205:AR215)</f>
        <v/>
      </c>
      <c r="AS216" s="4094">
        <f>SUM(AS205:AS215)</f>
        <v/>
      </c>
      <c r="AT216" s="4094">
        <f>SUM(AT205:AT215)</f>
        <v/>
      </c>
      <c r="AU216" s="4096">
        <f>SUM(AU205:AU215)</f>
        <v/>
      </c>
      <c r="AV216" s="4094">
        <f>SUM(AV205:AV215)</f>
        <v/>
      </c>
      <c r="AW216" s="4094">
        <f>SUM(AW205:AW215)</f>
        <v/>
      </c>
      <c r="AX216" s="4094">
        <f>SUM(AX205:AX215)</f>
        <v/>
      </c>
      <c r="AY216" s="4094">
        <f>SUM(AY205:AY215)</f>
        <v/>
      </c>
      <c r="AZ216" s="4094">
        <f>SUM(AZ205:AZ215)</f>
        <v/>
      </c>
      <c r="BA216" s="3737" t="n"/>
      <c r="BB216" s="4097">
        <f>IFERROR(F216/F$117,0)</f>
        <v/>
      </c>
      <c r="BC216" s="4097">
        <f>IFERROR(G216/G$117,0)</f>
        <v/>
      </c>
      <c r="BD216" s="4097">
        <f>IFERROR(H216/H$117,0)</f>
        <v/>
      </c>
      <c r="BE216" s="4097">
        <f>IFERROR(I216/I$117,0)</f>
        <v/>
      </c>
      <c r="BF216" s="4097">
        <f>IFERROR(J216/J$117,0)</f>
        <v/>
      </c>
      <c r="BG216" s="4097">
        <f>IFERROR(K216/K$117,0)</f>
        <v/>
      </c>
      <c r="BH216" s="4097">
        <f>IFERROR(L216/L$117,0)</f>
        <v/>
      </c>
      <c r="BI216" s="4097">
        <f>IFERROR(M216/M$117,0)</f>
        <v/>
      </c>
      <c r="BJ216" s="4097">
        <f>IFERROR(N216/N$117,0)</f>
        <v/>
      </c>
      <c r="BK216" s="4097">
        <f>IFERROR(O216/O$117,0)</f>
        <v/>
      </c>
      <c r="BL216" s="4097">
        <f>IFERROR(P216/P$117,0)</f>
        <v/>
      </c>
      <c r="BM216" s="4098">
        <f>IFERROR(Q216/Q$117,0)</f>
        <v/>
      </c>
      <c r="BN216" s="4097">
        <f>IFERROR(R216/R$117,0)</f>
        <v/>
      </c>
      <c r="BO216" s="4097">
        <f>IFERROR(S216/S$117,0)</f>
        <v/>
      </c>
      <c r="BP216" s="4097">
        <f>IFERROR(T216/T$117,0)</f>
        <v/>
      </c>
      <c r="BQ216" s="4097">
        <f>IFERROR(U216/U$117,0)</f>
        <v/>
      </c>
      <c r="BR216" s="4097">
        <f>IFERROR(V216/V$117,0)</f>
        <v/>
      </c>
      <c r="BS216" s="4097">
        <f>IFERROR(W216/W$117,0)</f>
        <v/>
      </c>
      <c r="BT216" s="4097">
        <f>IFERROR(X216/X$117,0)</f>
        <v/>
      </c>
      <c r="BU216" s="4097">
        <f>IFERROR(Y216/Y$117,0)</f>
        <v/>
      </c>
      <c r="BV216" s="4097">
        <f>IFERROR(Z216/Z$117,0)</f>
        <v/>
      </c>
      <c r="BW216" s="4097">
        <f>IFERROR(AA216/AA$117,0)</f>
        <v/>
      </c>
      <c r="BX216" s="4097">
        <f>IFERROR(AB216/AB$117,0)</f>
        <v/>
      </c>
      <c r="BY216" s="4098">
        <f>IFERROR(AC216/AC$117,0)</f>
        <v/>
      </c>
      <c r="BZ216" s="4097">
        <f>IFERROR(AD216/AD$117,0)</f>
        <v/>
      </c>
      <c r="CA216" s="4097">
        <f>IFERROR(AE216/AE$117,0)</f>
        <v/>
      </c>
      <c r="CB216" s="4097">
        <f>IFERROR(AF216/AF$117,0)</f>
        <v/>
      </c>
      <c r="CC216" s="4097">
        <f>IFERROR(AG216/AG$117,0)</f>
        <v/>
      </c>
      <c r="CD216" s="4097">
        <f>IFERROR(AH216/AH$117,0)</f>
        <v/>
      </c>
      <c r="CE216" s="4097">
        <f>IFERROR(AI216/AI$117,0)</f>
        <v/>
      </c>
      <c r="CF216" s="4097">
        <f>IFERROR(AJ216/AJ$117,0)</f>
        <v/>
      </c>
      <c r="CG216" s="4097">
        <f>IFERROR(AK216/AK$117,0)</f>
        <v/>
      </c>
      <c r="CH216" s="4097">
        <f>IFERROR(AL216/AL$117,0)</f>
        <v/>
      </c>
      <c r="CI216" s="4097">
        <f>IFERROR(AM216/AM$117,0)</f>
        <v/>
      </c>
      <c r="CJ216" s="4097">
        <f>IFERROR(AN216/AN$117,0)</f>
        <v/>
      </c>
      <c r="CK216" s="4098">
        <f>IFERROR(AO216/AO$117,0)</f>
        <v/>
      </c>
      <c r="CL216" s="4097">
        <f>IFERROR(AP216/AP$117,0)</f>
        <v/>
      </c>
      <c r="CM216" s="4097">
        <f>IFERROR(AQ216/AQ$117,0)</f>
        <v/>
      </c>
      <c r="CN216" s="4097">
        <f>IFERROR(AR216/AR$117,0)</f>
        <v/>
      </c>
      <c r="CO216" s="4097">
        <f>IFERROR(AS216/AS$117,0)</f>
        <v/>
      </c>
      <c r="CP216" s="4097">
        <f>IFERROR(AT216/AT$117,0)</f>
        <v/>
      </c>
      <c r="CQ216" s="4099">
        <f>IFERROR(AU216/AU$117,0)</f>
        <v/>
      </c>
      <c r="CR216" s="4097">
        <f>IFERROR(AV216/AV$117,0)</f>
        <v/>
      </c>
      <c r="CS216" s="4097">
        <f>IFERROR(AW216/AW$117,0)</f>
        <v/>
      </c>
      <c r="CT216" s="4097">
        <f>IFERROR(AX216/AX$117,0)</f>
        <v/>
      </c>
      <c r="CU216" s="4097">
        <f>IFERROR(AY216/AY$117,0)</f>
        <v/>
      </c>
      <c r="CV216" s="4097">
        <f>IFERROR(AZ216/AZ$117,0)</f>
        <v/>
      </c>
      <c r="CW216" s="3737" t="n"/>
      <c r="CX216" s="4094">
        <f>SUM(CX205:CX215)</f>
        <v/>
      </c>
    </row>
    <row r="217" hidden="1" outlineLevel="2" ht="12" customFormat="1" customHeight="1" s="3737">
      <c r="A217" s="4059" t="n"/>
      <c r="B217" s="4060" t="n"/>
      <c r="C217" s="4127" t="inlineStr">
        <is>
          <t>Data processing facility expense</t>
        </is>
      </c>
      <c r="D217" s="4093" t="n">
        <v>571114</v>
      </c>
      <c r="E217" s="4093">
        <f>CONCATENATE(D217," - ",C217)</f>
        <v/>
      </c>
      <c r="F217" s="4094" t="n"/>
      <c r="G217" s="4094" t="n"/>
      <c r="H217" s="4094" t="n"/>
      <c r="I217" s="4094" t="n"/>
      <c r="J217" s="4094" t="n"/>
      <c r="K217" s="4094" t="n"/>
      <c r="L217" s="4094" t="n"/>
      <c r="M217" s="4094" t="n"/>
      <c r="N217" s="4094" t="n"/>
      <c r="O217" s="4094" t="n"/>
      <c r="P217" s="4094" t="n"/>
      <c r="Q217" s="4095" t="n"/>
      <c r="R217" s="4094" t="n"/>
      <c r="S217" s="4094" t="n"/>
      <c r="T217" s="4094" t="n"/>
      <c r="U217" s="4094" t="n"/>
      <c r="V217" s="4094" t="n"/>
      <c r="W217" s="4094" t="n"/>
      <c r="X217" s="4094" t="n"/>
      <c r="Y217" s="4094" t="n"/>
      <c r="Z217" s="4094" t="n"/>
      <c r="AA217" s="4094" t="n"/>
      <c r="AB217" s="4094" t="n"/>
      <c r="AC217" s="4095" t="n"/>
      <c r="AD217" s="4094" t="n"/>
      <c r="AE217" s="4094" t="n"/>
      <c r="AF217" s="4094" t="n"/>
      <c r="AG217" s="4094" t="n"/>
      <c r="AH217" s="4094" t="n"/>
      <c r="AI217" s="4094" t="n"/>
      <c r="AJ217" s="4094" t="n"/>
      <c r="AK217" s="4094" t="n"/>
      <c r="AL217" s="4094" t="n"/>
      <c r="AM217" s="4094" t="n"/>
      <c r="AN217" s="4094" t="n"/>
      <c r="AO217" s="4095" t="n"/>
      <c r="AP217" s="4094" t="n">
        <v>-207.88236</v>
      </c>
      <c r="AQ217" s="4094" t="n">
        <v>-228.99279</v>
      </c>
      <c r="AR217" s="4094" t="n">
        <v>-217.42712</v>
      </c>
      <c r="AS217" s="4094" t="n">
        <v>-219.82944</v>
      </c>
      <c r="AT217" s="4094" t="n">
        <v>-212.66366</v>
      </c>
      <c r="AU217" s="4096" t="n">
        <v>-272.75921</v>
      </c>
      <c r="AV217" s="4094">
        <f>SUM(F217:Q217)</f>
        <v/>
      </c>
      <c r="AW217" s="4094">
        <f>SUM(R217:AC217)</f>
        <v/>
      </c>
      <c r="AX217" s="4094">
        <f>SUM(AD217:AO217)</f>
        <v/>
      </c>
      <c r="AY217" s="4094">
        <f>SUM(AH217:AS217)</f>
        <v/>
      </c>
      <c r="AZ217" s="4094">
        <f>SUM(AJ217:AU217)</f>
        <v/>
      </c>
      <c r="BA217" s="3737" t="n"/>
      <c r="BB217" s="4097">
        <f>IFERROR(F217/F$117,0)</f>
        <v/>
      </c>
      <c r="BC217" s="4097">
        <f>IFERROR(G217/G$117,0)</f>
        <v/>
      </c>
      <c r="BD217" s="4097">
        <f>IFERROR(H217/H$117,0)</f>
        <v/>
      </c>
      <c r="BE217" s="4097">
        <f>IFERROR(I217/I$117,0)</f>
        <v/>
      </c>
      <c r="BF217" s="4097">
        <f>IFERROR(J217/J$117,0)</f>
        <v/>
      </c>
      <c r="BG217" s="4097">
        <f>IFERROR(K217/K$117,0)</f>
        <v/>
      </c>
      <c r="BH217" s="4097">
        <f>IFERROR(L217/L$117,0)</f>
        <v/>
      </c>
      <c r="BI217" s="4097">
        <f>IFERROR(M217/M$117,0)</f>
        <v/>
      </c>
      <c r="BJ217" s="4097">
        <f>IFERROR(N217/N$117,0)</f>
        <v/>
      </c>
      <c r="BK217" s="4097">
        <f>IFERROR(O217/O$117,0)</f>
        <v/>
      </c>
      <c r="BL217" s="4097">
        <f>IFERROR(P217/P$117,0)</f>
        <v/>
      </c>
      <c r="BM217" s="4098">
        <f>IFERROR(Q217/Q$117,0)</f>
        <v/>
      </c>
      <c r="BN217" s="4097">
        <f>IFERROR(R217/R$117,0)</f>
        <v/>
      </c>
      <c r="BO217" s="4097">
        <f>IFERROR(S217/S$117,0)</f>
        <v/>
      </c>
      <c r="BP217" s="4097">
        <f>IFERROR(T217/T$117,0)</f>
        <v/>
      </c>
      <c r="BQ217" s="4097">
        <f>IFERROR(U217/U$117,0)</f>
        <v/>
      </c>
      <c r="BR217" s="4097">
        <f>IFERROR(V217/V$117,0)</f>
        <v/>
      </c>
      <c r="BS217" s="4097">
        <f>IFERROR(W217/W$117,0)</f>
        <v/>
      </c>
      <c r="BT217" s="4097">
        <f>IFERROR(X217/X$117,0)</f>
        <v/>
      </c>
      <c r="BU217" s="4097">
        <f>IFERROR(Y217/Y$117,0)</f>
        <v/>
      </c>
      <c r="BV217" s="4097">
        <f>IFERROR(Z217/Z$117,0)</f>
        <v/>
      </c>
      <c r="BW217" s="4097">
        <f>IFERROR(AA217/AA$117,0)</f>
        <v/>
      </c>
      <c r="BX217" s="4097">
        <f>IFERROR(AB217/AB$117,0)</f>
        <v/>
      </c>
      <c r="BY217" s="4098">
        <f>IFERROR(AC217/AC$117,0)</f>
        <v/>
      </c>
      <c r="BZ217" s="4097">
        <f>IFERROR(AD217/AD$117,0)</f>
        <v/>
      </c>
      <c r="CA217" s="4097">
        <f>IFERROR(AE217/AE$117,0)</f>
        <v/>
      </c>
      <c r="CB217" s="4097">
        <f>IFERROR(AF217/AF$117,0)</f>
        <v/>
      </c>
      <c r="CC217" s="4097">
        <f>IFERROR(AG217/AG$117,0)</f>
        <v/>
      </c>
      <c r="CD217" s="4097">
        <f>IFERROR(AH217/AH$117,0)</f>
        <v/>
      </c>
      <c r="CE217" s="4097">
        <f>IFERROR(AI217/AI$117,0)</f>
        <v/>
      </c>
      <c r="CF217" s="4097">
        <f>IFERROR(AJ217/AJ$117,0)</f>
        <v/>
      </c>
      <c r="CG217" s="4097">
        <f>IFERROR(AK217/AK$117,0)</f>
        <v/>
      </c>
      <c r="CH217" s="4097">
        <f>IFERROR(AL217/AL$117,0)</f>
        <v/>
      </c>
      <c r="CI217" s="4097">
        <f>IFERROR(AM217/AM$117,0)</f>
        <v/>
      </c>
      <c r="CJ217" s="4097">
        <f>IFERROR(AN217/AN$117,0)</f>
        <v/>
      </c>
      <c r="CK217" s="4098">
        <f>IFERROR(AO217/AO$117,0)</f>
        <v/>
      </c>
      <c r="CL217" s="4097">
        <f>IFERROR(AP217/AP$117,0)</f>
        <v/>
      </c>
      <c r="CM217" s="4097">
        <f>IFERROR(AQ217/AQ$117,0)</f>
        <v/>
      </c>
      <c r="CN217" s="4097">
        <f>IFERROR(AR217/AR$117,0)</f>
        <v/>
      </c>
      <c r="CO217" s="4097">
        <f>IFERROR(AS217/AS$117,0)</f>
        <v/>
      </c>
      <c r="CP217" s="4097">
        <f>IFERROR(AT217/AT$117,0)</f>
        <v/>
      </c>
      <c r="CQ217" s="4099">
        <f>IFERROR(AU217/AU$117,0)</f>
        <v/>
      </c>
      <c r="CR217" s="4097">
        <f>IFERROR(AV217/AV$117,0)</f>
        <v/>
      </c>
      <c r="CS217" s="4097">
        <f>IFERROR(AW217/AW$117,0)</f>
        <v/>
      </c>
      <c r="CT217" s="4097">
        <f>IFERROR(AX217/AX$117,0)</f>
        <v/>
      </c>
      <c r="CU217" s="4097">
        <f>IFERROR(AY217/AY$117,0)</f>
        <v/>
      </c>
      <c r="CV217" s="4097">
        <f>IFERROR(AZ217/AZ$117,0)</f>
        <v/>
      </c>
      <c r="CW217" s="3737" t="n"/>
      <c r="CX217" s="4094" t="n">
        <v>-1426.95184</v>
      </c>
    </row>
    <row r="218" hidden="1" outlineLevel="2" ht="12" customFormat="1" customHeight="1" s="3737">
      <c r="A218" s="4059" t="n"/>
      <c r="B218" s="4060" t="n"/>
      <c r="C218" s="4128" t="inlineStr">
        <is>
          <t>Data center relocation</t>
        </is>
      </c>
      <c r="D218" s="4101" t="n">
        <v>571120</v>
      </c>
      <c r="E218" s="4101">
        <f>CONCATENATE(D218," - ",C218)</f>
        <v/>
      </c>
      <c r="F218" s="4102" t="n"/>
      <c r="G218" s="4102" t="n"/>
      <c r="H218" s="4102" t="n"/>
      <c r="I218" s="4102" t="n"/>
      <c r="J218" s="4102" t="n"/>
      <c r="K218" s="4102" t="n"/>
      <c r="L218" s="4102" t="n"/>
      <c r="M218" s="4102" t="n"/>
      <c r="N218" s="4102" t="n"/>
      <c r="O218" s="4102" t="n"/>
      <c r="P218" s="4102" t="n"/>
      <c r="Q218" s="4103" t="n"/>
      <c r="R218" s="4102" t="n"/>
      <c r="S218" s="4102" t="n"/>
      <c r="T218" s="4102" t="n"/>
      <c r="U218" s="4102" t="n"/>
      <c r="V218" s="4102" t="n"/>
      <c r="W218" s="4102" t="n"/>
      <c r="X218" s="4102" t="n"/>
      <c r="Y218" s="4102" t="n"/>
      <c r="Z218" s="4102" t="n"/>
      <c r="AA218" s="4102" t="n"/>
      <c r="AB218" s="4102" t="n"/>
      <c r="AC218" s="4103" t="n"/>
      <c r="AD218" s="4102" t="n"/>
      <c r="AE218" s="4102" t="n"/>
      <c r="AF218" s="4102" t="n"/>
      <c r="AG218" s="4102" t="n"/>
      <c r="AH218" s="4102" t="n"/>
      <c r="AI218" s="4102" t="n"/>
      <c r="AJ218" s="4102" t="n"/>
      <c r="AK218" s="4102" t="n"/>
      <c r="AL218" s="4102" t="n"/>
      <c r="AM218" s="4102" t="n"/>
      <c r="AN218" s="4102" t="n"/>
      <c r="AO218" s="4103" t="n"/>
      <c r="AP218" s="4102" t="n">
        <v>-0.41087</v>
      </c>
      <c r="AQ218" s="4102" t="n">
        <v>0</v>
      </c>
      <c r="AR218" s="4102" t="n">
        <v>0</v>
      </c>
      <c r="AS218" s="4102" t="n">
        <v>0</v>
      </c>
      <c r="AT218" s="4102" t="n">
        <v>0</v>
      </c>
      <c r="AU218" s="4104" t="n">
        <v>0</v>
      </c>
      <c r="AV218" s="4102">
        <f>SUM(F218:Q218)</f>
        <v/>
      </c>
      <c r="AW218" s="4102">
        <f>SUM(R218:AC218)</f>
        <v/>
      </c>
      <c r="AX218" s="4102">
        <f>SUM(AD218:AO218)</f>
        <v/>
      </c>
      <c r="AY218" s="4102">
        <f>SUM(AH218:AS218)</f>
        <v/>
      </c>
      <c r="AZ218" s="4102">
        <f>SUM(AJ218:AU218)</f>
        <v/>
      </c>
      <c r="BA218" s="3737" t="n"/>
      <c r="BB218" s="4105">
        <f>IFERROR(F218/F$117,0)</f>
        <v/>
      </c>
      <c r="BC218" s="4105">
        <f>IFERROR(G218/G$117,0)</f>
        <v/>
      </c>
      <c r="BD218" s="4105">
        <f>IFERROR(H218/H$117,0)</f>
        <v/>
      </c>
      <c r="BE218" s="4105">
        <f>IFERROR(I218/I$117,0)</f>
        <v/>
      </c>
      <c r="BF218" s="4105">
        <f>IFERROR(J218/J$117,0)</f>
        <v/>
      </c>
      <c r="BG218" s="4105">
        <f>IFERROR(K218/K$117,0)</f>
        <v/>
      </c>
      <c r="BH218" s="4105">
        <f>IFERROR(L218/L$117,0)</f>
        <v/>
      </c>
      <c r="BI218" s="4105">
        <f>IFERROR(M218/M$117,0)</f>
        <v/>
      </c>
      <c r="BJ218" s="4105">
        <f>IFERROR(N218/N$117,0)</f>
        <v/>
      </c>
      <c r="BK218" s="4105">
        <f>IFERROR(O218/O$117,0)</f>
        <v/>
      </c>
      <c r="BL218" s="4105">
        <f>IFERROR(P218/P$117,0)</f>
        <v/>
      </c>
      <c r="BM218" s="4106">
        <f>IFERROR(Q218/Q$117,0)</f>
        <v/>
      </c>
      <c r="BN218" s="4105">
        <f>IFERROR(R218/R$117,0)</f>
        <v/>
      </c>
      <c r="BO218" s="4105">
        <f>IFERROR(S218/S$117,0)</f>
        <v/>
      </c>
      <c r="BP218" s="4105">
        <f>IFERROR(T218/T$117,0)</f>
        <v/>
      </c>
      <c r="BQ218" s="4105">
        <f>IFERROR(U218/U$117,0)</f>
        <v/>
      </c>
      <c r="BR218" s="4105">
        <f>IFERROR(V218/V$117,0)</f>
        <v/>
      </c>
      <c r="BS218" s="4105">
        <f>IFERROR(W218/W$117,0)</f>
        <v/>
      </c>
      <c r="BT218" s="4105">
        <f>IFERROR(X218/X$117,0)</f>
        <v/>
      </c>
      <c r="BU218" s="4105">
        <f>IFERROR(Y218/Y$117,0)</f>
        <v/>
      </c>
      <c r="BV218" s="4105">
        <f>IFERROR(Z218/Z$117,0)</f>
        <v/>
      </c>
      <c r="BW218" s="4105">
        <f>IFERROR(AA218/AA$117,0)</f>
        <v/>
      </c>
      <c r="BX218" s="4105">
        <f>IFERROR(AB218/AB$117,0)</f>
        <v/>
      </c>
      <c r="BY218" s="4106">
        <f>IFERROR(AC218/AC$117,0)</f>
        <v/>
      </c>
      <c r="BZ218" s="4105">
        <f>IFERROR(AD218/AD$117,0)</f>
        <v/>
      </c>
      <c r="CA218" s="4105">
        <f>IFERROR(AE218/AE$117,0)</f>
        <v/>
      </c>
      <c r="CB218" s="4105">
        <f>IFERROR(AF218/AF$117,0)</f>
        <v/>
      </c>
      <c r="CC218" s="4105">
        <f>IFERROR(AG218/AG$117,0)</f>
        <v/>
      </c>
      <c r="CD218" s="4105">
        <f>IFERROR(AH218/AH$117,0)</f>
        <v/>
      </c>
      <c r="CE218" s="4105">
        <f>IFERROR(AI218/AI$117,0)</f>
        <v/>
      </c>
      <c r="CF218" s="4105">
        <f>IFERROR(AJ218/AJ$117,0)</f>
        <v/>
      </c>
      <c r="CG218" s="4105">
        <f>IFERROR(AK218/AK$117,0)</f>
        <v/>
      </c>
      <c r="CH218" s="4105">
        <f>IFERROR(AL218/AL$117,0)</f>
        <v/>
      </c>
      <c r="CI218" s="4105">
        <f>IFERROR(AM218/AM$117,0)</f>
        <v/>
      </c>
      <c r="CJ218" s="4105">
        <f>IFERROR(AN218/AN$117,0)</f>
        <v/>
      </c>
      <c r="CK218" s="4106">
        <f>IFERROR(AO218/AO$117,0)</f>
        <v/>
      </c>
      <c r="CL218" s="4105">
        <f>IFERROR(AP218/AP$117,0)</f>
        <v/>
      </c>
      <c r="CM218" s="4105">
        <f>IFERROR(AQ218/AQ$117,0)</f>
        <v/>
      </c>
      <c r="CN218" s="4105">
        <f>IFERROR(AR218/AR$117,0)</f>
        <v/>
      </c>
      <c r="CO218" s="4105">
        <f>IFERROR(AS218/AS$117,0)</f>
        <v/>
      </c>
      <c r="CP218" s="4105">
        <f>IFERROR(AT218/AT$117,0)</f>
        <v/>
      </c>
      <c r="CQ218" s="4107">
        <f>IFERROR(AU218/AU$117,0)</f>
        <v/>
      </c>
      <c r="CR218" s="4105">
        <f>IFERROR(AV218/AV$117,0)</f>
        <v/>
      </c>
      <c r="CS218" s="4105">
        <f>IFERROR(AW218/AW$117,0)</f>
        <v/>
      </c>
      <c r="CT218" s="4105">
        <f>IFERROR(AX218/AX$117,0)</f>
        <v/>
      </c>
      <c r="CU218" s="4105">
        <f>IFERROR(AY218/AY$117,0)</f>
        <v/>
      </c>
      <c r="CV218" s="4105">
        <f>IFERROR(AZ218/AZ$117,0)</f>
        <v/>
      </c>
      <c r="CW218" s="3737" t="n"/>
      <c r="CX218" s="4102" t="n">
        <v>0</v>
      </c>
    </row>
    <row r="219" hidden="1" outlineLevel="1" collapsed="1" ht="12" customFormat="1" customHeight="1" s="3737">
      <c r="A219" s="4059" t="n"/>
      <c r="B219" s="4060" t="n"/>
      <c r="C219" s="4092" t="inlineStr">
        <is>
          <t>Data processing facility expense</t>
        </is>
      </c>
      <c r="D219" s="4093" t="n"/>
      <c r="E219" s="4093" t="n"/>
      <c r="F219" s="4094" t="n"/>
      <c r="G219" s="4094" t="n"/>
      <c r="H219" s="4094" t="n"/>
      <c r="I219" s="4094" t="n"/>
      <c r="J219" s="4094" t="n"/>
      <c r="K219" s="4094" t="n"/>
      <c r="L219" s="4094" t="n"/>
      <c r="M219" s="4094" t="n"/>
      <c r="N219" s="4094" t="n"/>
      <c r="O219" s="4094" t="n"/>
      <c r="P219" s="4094" t="n"/>
      <c r="Q219" s="4095" t="n"/>
      <c r="R219" s="4094" t="n"/>
      <c r="S219" s="4094" t="n"/>
      <c r="T219" s="4094" t="n"/>
      <c r="U219" s="4094" t="n"/>
      <c r="V219" s="4094" t="n"/>
      <c r="W219" s="4094" t="n"/>
      <c r="X219" s="4094" t="n"/>
      <c r="Y219" s="4094" t="n"/>
      <c r="Z219" s="4094" t="n"/>
      <c r="AA219" s="4094" t="n"/>
      <c r="AB219" s="4094" t="n"/>
      <c r="AC219" s="4095" t="n"/>
      <c r="AD219" s="4094" t="n"/>
      <c r="AE219" s="4094" t="n"/>
      <c r="AF219" s="4094" t="n"/>
      <c r="AG219" s="4094" t="n"/>
      <c r="AH219" s="4094" t="n"/>
      <c r="AI219" s="4094" t="n"/>
      <c r="AJ219" s="4094" t="n"/>
      <c r="AK219" s="4094" t="n"/>
      <c r="AL219" s="4094" t="n"/>
      <c r="AM219" s="4094" t="n"/>
      <c r="AN219" s="4094" t="n"/>
      <c r="AO219" s="4095" t="n"/>
      <c r="AP219" s="4094">
        <f>SUM(AP217:AP218)</f>
        <v/>
      </c>
      <c r="AQ219" s="4094">
        <f>SUM(AQ217:AQ218)</f>
        <v/>
      </c>
      <c r="AR219" s="4094">
        <f>SUM(AR217:AR218)</f>
        <v/>
      </c>
      <c r="AS219" s="4094">
        <f>SUM(AS217:AS218)</f>
        <v/>
      </c>
      <c r="AT219" s="4094">
        <f>SUM(AT217:AT218)</f>
        <v/>
      </c>
      <c r="AU219" s="4096">
        <f>SUM(AU217:AU218)</f>
        <v/>
      </c>
      <c r="AV219" s="4094">
        <f>SUM(AV217:AV218)</f>
        <v/>
      </c>
      <c r="AW219" s="4094">
        <f>SUM(AW217:AW218)</f>
        <v/>
      </c>
      <c r="AX219" s="4094">
        <f>SUM(AX217:AX218)</f>
        <v/>
      </c>
      <c r="AY219" s="4094">
        <f>SUM(AY217:AY218)</f>
        <v/>
      </c>
      <c r="AZ219" s="4094">
        <f>SUM(AZ217:AZ218)</f>
        <v/>
      </c>
      <c r="BA219" s="3737" t="n"/>
      <c r="BB219" s="4097">
        <f>IFERROR(F219/F$117,0)</f>
        <v/>
      </c>
      <c r="BC219" s="4097">
        <f>IFERROR(G219/G$117,0)</f>
        <v/>
      </c>
      <c r="BD219" s="4097">
        <f>IFERROR(H219/H$117,0)</f>
        <v/>
      </c>
      <c r="BE219" s="4097">
        <f>IFERROR(I219/I$117,0)</f>
        <v/>
      </c>
      <c r="BF219" s="4097">
        <f>IFERROR(J219/J$117,0)</f>
        <v/>
      </c>
      <c r="BG219" s="4097">
        <f>IFERROR(K219/K$117,0)</f>
        <v/>
      </c>
      <c r="BH219" s="4097">
        <f>IFERROR(L219/L$117,0)</f>
        <v/>
      </c>
      <c r="BI219" s="4097">
        <f>IFERROR(M219/M$117,0)</f>
        <v/>
      </c>
      <c r="BJ219" s="4097">
        <f>IFERROR(N219/N$117,0)</f>
        <v/>
      </c>
      <c r="BK219" s="4097">
        <f>IFERROR(O219/O$117,0)</f>
        <v/>
      </c>
      <c r="BL219" s="4097">
        <f>IFERROR(P219/P$117,0)</f>
        <v/>
      </c>
      <c r="BM219" s="4098">
        <f>IFERROR(Q219/Q$117,0)</f>
        <v/>
      </c>
      <c r="BN219" s="4097">
        <f>IFERROR(R219/R$117,0)</f>
        <v/>
      </c>
      <c r="BO219" s="4097">
        <f>IFERROR(S219/S$117,0)</f>
        <v/>
      </c>
      <c r="BP219" s="4097">
        <f>IFERROR(T219/T$117,0)</f>
        <v/>
      </c>
      <c r="BQ219" s="4097">
        <f>IFERROR(U219/U$117,0)</f>
        <v/>
      </c>
      <c r="BR219" s="4097">
        <f>IFERROR(V219/V$117,0)</f>
        <v/>
      </c>
      <c r="BS219" s="4097">
        <f>IFERROR(W219/W$117,0)</f>
        <v/>
      </c>
      <c r="BT219" s="4097">
        <f>IFERROR(X219/X$117,0)</f>
        <v/>
      </c>
      <c r="BU219" s="4097">
        <f>IFERROR(Y219/Y$117,0)</f>
        <v/>
      </c>
      <c r="BV219" s="4097">
        <f>IFERROR(Z219/Z$117,0)</f>
        <v/>
      </c>
      <c r="BW219" s="4097">
        <f>IFERROR(AA219/AA$117,0)</f>
        <v/>
      </c>
      <c r="BX219" s="4097">
        <f>IFERROR(AB219/AB$117,0)</f>
        <v/>
      </c>
      <c r="BY219" s="4098">
        <f>IFERROR(AC219/AC$117,0)</f>
        <v/>
      </c>
      <c r="BZ219" s="4097">
        <f>IFERROR(AD219/AD$117,0)</f>
        <v/>
      </c>
      <c r="CA219" s="4097">
        <f>IFERROR(AE219/AE$117,0)</f>
        <v/>
      </c>
      <c r="CB219" s="4097">
        <f>IFERROR(AF219/AF$117,0)</f>
        <v/>
      </c>
      <c r="CC219" s="4097">
        <f>IFERROR(AG219/AG$117,0)</f>
        <v/>
      </c>
      <c r="CD219" s="4097">
        <f>IFERROR(AH219/AH$117,0)</f>
        <v/>
      </c>
      <c r="CE219" s="4097">
        <f>IFERROR(AI219/AI$117,0)</f>
        <v/>
      </c>
      <c r="CF219" s="4097">
        <f>IFERROR(AJ219/AJ$117,0)</f>
        <v/>
      </c>
      <c r="CG219" s="4097">
        <f>IFERROR(AK219/AK$117,0)</f>
        <v/>
      </c>
      <c r="CH219" s="4097">
        <f>IFERROR(AL219/AL$117,0)</f>
        <v/>
      </c>
      <c r="CI219" s="4097">
        <f>IFERROR(AM219/AM$117,0)</f>
        <v/>
      </c>
      <c r="CJ219" s="4097">
        <f>IFERROR(AN219/AN$117,0)</f>
        <v/>
      </c>
      <c r="CK219" s="4098">
        <f>IFERROR(AO219/AO$117,0)</f>
        <v/>
      </c>
      <c r="CL219" s="4097">
        <f>IFERROR(AP219/AP$117,0)</f>
        <v/>
      </c>
      <c r="CM219" s="4097">
        <f>IFERROR(AQ219/AQ$117,0)</f>
        <v/>
      </c>
      <c r="CN219" s="4097">
        <f>IFERROR(AR219/AR$117,0)</f>
        <v/>
      </c>
      <c r="CO219" s="4097">
        <f>IFERROR(AS219/AS$117,0)</f>
        <v/>
      </c>
      <c r="CP219" s="4097">
        <f>IFERROR(AT219/AT$117,0)</f>
        <v/>
      </c>
      <c r="CQ219" s="4099">
        <f>IFERROR(AU219/AU$117,0)</f>
        <v/>
      </c>
      <c r="CR219" s="4097">
        <f>IFERROR(AV219/AV$117,0)</f>
        <v/>
      </c>
      <c r="CS219" s="4097">
        <f>IFERROR(AW219/AW$117,0)</f>
        <v/>
      </c>
      <c r="CT219" s="4097">
        <f>IFERROR(AX219/AX$117,0)</f>
        <v/>
      </c>
      <c r="CU219" s="4097">
        <f>IFERROR(AY219/AY$117,0)</f>
        <v/>
      </c>
      <c r="CV219" s="4097">
        <f>IFERROR(AZ219/AZ$117,0)</f>
        <v/>
      </c>
      <c r="CW219" s="3737" t="n"/>
      <c r="CX219" s="4094">
        <f>SUM(CX217:CX218)</f>
        <v/>
      </c>
    </row>
    <row r="220" hidden="1" outlineLevel="2" ht="12" customFormat="1" customHeight="1" s="3737">
      <c r="A220" s="4059" t="n"/>
      <c r="B220" s="4060" t="n"/>
      <c r="C220" s="4128" t="inlineStr">
        <is>
          <t>Disaster recovery services</t>
        </is>
      </c>
      <c r="D220" s="4101" t="n">
        <v>571202</v>
      </c>
      <c r="E220" s="4101">
        <f>CONCATENATE(D220," - ",C220)</f>
        <v/>
      </c>
      <c r="F220" s="4102" t="n"/>
      <c r="G220" s="4102" t="n"/>
      <c r="H220" s="4102" t="n"/>
      <c r="I220" s="4102" t="n"/>
      <c r="J220" s="4102" t="n"/>
      <c r="K220" s="4102" t="n"/>
      <c r="L220" s="4102" t="n"/>
      <c r="M220" s="4102" t="n"/>
      <c r="N220" s="4102" t="n"/>
      <c r="O220" s="4102" t="n"/>
      <c r="P220" s="4102" t="n"/>
      <c r="Q220" s="4103" t="n"/>
      <c r="R220" s="4102" t="n"/>
      <c r="S220" s="4102" t="n"/>
      <c r="T220" s="4102" t="n"/>
      <c r="U220" s="4102" t="n"/>
      <c r="V220" s="4102" t="n"/>
      <c r="W220" s="4102" t="n"/>
      <c r="X220" s="4102" t="n"/>
      <c r="Y220" s="4102" t="n"/>
      <c r="Z220" s="4102" t="n"/>
      <c r="AA220" s="4102" t="n"/>
      <c r="AB220" s="4102" t="n"/>
      <c r="AC220" s="4103" t="n"/>
      <c r="AD220" s="4102" t="n"/>
      <c r="AE220" s="4102" t="n"/>
      <c r="AF220" s="4102" t="n"/>
      <c r="AG220" s="4102" t="n"/>
      <c r="AH220" s="4102" t="n"/>
      <c r="AI220" s="4102" t="n"/>
      <c r="AJ220" s="4102" t="n"/>
      <c r="AK220" s="4102" t="n"/>
      <c r="AL220" s="4102" t="n"/>
      <c r="AM220" s="4102" t="n"/>
      <c r="AN220" s="4102" t="n"/>
      <c r="AO220" s="4103" t="n"/>
      <c r="AP220" s="4102" t="n">
        <v>-22.38288</v>
      </c>
      <c r="AQ220" s="4102" t="n">
        <v>-26.92915</v>
      </c>
      <c r="AR220" s="4102" t="n">
        <v>-23.80669</v>
      </c>
      <c r="AS220" s="4102" t="n">
        <v>-23.58405</v>
      </c>
      <c r="AT220" s="4102" t="n">
        <v>-21.80479</v>
      </c>
      <c r="AU220" s="4104" t="n">
        <v>-20.37168</v>
      </c>
      <c r="AV220" s="4102">
        <f>SUM(F220:Q220)</f>
        <v/>
      </c>
      <c r="AW220" s="4102">
        <f>SUM(R220:AC220)</f>
        <v/>
      </c>
      <c r="AX220" s="4102">
        <f>SUM(AD220:AO220)</f>
        <v/>
      </c>
      <c r="AY220" s="4102">
        <f>SUM(AH220:AS220)</f>
        <v/>
      </c>
      <c r="AZ220" s="4102">
        <f>SUM(AJ220:AU220)</f>
        <v/>
      </c>
      <c r="BA220" s="3737" t="n"/>
      <c r="BB220" s="4105">
        <f>IFERROR(F220/F$117,0)</f>
        <v/>
      </c>
      <c r="BC220" s="4105">
        <f>IFERROR(G220/G$117,0)</f>
        <v/>
      </c>
      <c r="BD220" s="4105">
        <f>IFERROR(H220/H$117,0)</f>
        <v/>
      </c>
      <c r="BE220" s="4105">
        <f>IFERROR(I220/I$117,0)</f>
        <v/>
      </c>
      <c r="BF220" s="4105">
        <f>IFERROR(J220/J$117,0)</f>
        <v/>
      </c>
      <c r="BG220" s="4105">
        <f>IFERROR(K220/K$117,0)</f>
        <v/>
      </c>
      <c r="BH220" s="4105">
        <f>IFERROR(L220/L$117,0)</f>
        <v/>
      </c>
      <c r="BI220" s="4105">
        <f>IFERROR(M220/M$117,0)</f>
        <v/>
      </c>
      <c r="BJ220" s="4105">
        <f>IFERROR(N220/N$117,0)</f>
        <v/>
      </c>
      <c r="BK220" s="4105">
        <f>IFERROR(O220/O$117,0)</f>
        <v/>
      </c>
      <c r="BL220" s="4105">
        <f>IFERROR(P220/P$117,0)</f>
        <v/>
      </c>
      <c r="BM220" s="4106">
        <f>IFERROR(Q220/Q$117,0)</f>
        <v/>
      </c>
      <c r="BN220" s="4105">
        <f>IFERROR(R220/R$117,0)</f>
        <v/>
      </c>
      <c r="BO220" s="4105">
        <f>IFERROR(S220/S$117,0)</f>
        <v/>
      </c>
      <c r="BP220" s="4105">
        <f>IFERROR(T220/T$117,0)</f>
        <v/>
      </c>
      <c r="BQ220" s="4105">
        <f>IFERROR(U220/U$117,0)</f>
        <v/>
      </c>
      <c r="BR220" s="4105">
        <f>IFERROR(V220/V$117,0)</f>
        <v/>
      </c>
      <c r="BS220" s="4105">
        <f>IFERROR(W220/W$117,0)</f>
        <v/>
      </c>
      <c r="BT220" s="4105">
        <f>IFERROR(X220/X$117,0)</f>
        <v/>
      </c>
      <c r="BU220" s="4105">
        <f>IFERROR(Y220/Y$117,0)</f>
        <v/>
      </c>
      <c r="BV220" s="4105">
        <f>IFERROR(Z220/Z$117,0)</f>
        <v/>
      </c>
      <c r="BW220" s="4105">
        <f>IFERROR(AA220/AA$117,0)</f>
        <v/>
      </c>
      <c r="BX220" s="4105">
        <f>IFERROR(AB220/AB$117,0)</f>
        <v/>
      </c>
      <c r="BY220" s="4106">
        <f>IFERROR(AC220/AC$117,0)</f>
        <v/>
      </c>
      <c r="BZ220" s="4105">
        <f>IFERROR(AD220/AD$117,0)</f>
        <v/>
      </c>
      <c r="CA220" s="4105">
        <f>IFERROR(AE220/AE$117,0)</f>
        <v/>
      </c>
      <c r="CB220" s="4105">
        <f>IFERROR(AF220/AF$117,0)</f>
        <v/>
      </c>
      <c r="CC220" s="4105">
        <f>IFERROR(AG220/AG$117,0)</f>
        <v/>
      </c>
      <c r="CD220" s="4105">
        <f>IFERROR(AH220/AH$117,0)</f>
        <v/>
      </c>
      <c r="CE220" s="4105">
        <f>IFERROR(AI220/AI$117,0)</f>
        <v/>
      </c>
      <c r="CF220" s="4105">
        <f>IFERROR(AJ220/AJ$117,0)</f>
        <v/>
      </c>
      <c r="CG220" s="4105">
        <f>IFERROR(AK220/AK$117,0)</f>
        <v/>
      </c>
      <c r="CH220" s="4105">
        <f>IFERROR(AL220/AL$117,0)</f>
        <v/>
      </c>
      <c r="CI220" s="4105">
        <f>IFERROR(AM220/AM$117,0)</f>
        <v/>
      </c>
      <c r="CJ220" s="4105">
        <f>IFERROR(AN220/AN$117,0)</f>
        <v/>
      </c>
      <c r="CK220" s="4106">
        <f>IFERROR(AO220/AO$117,0)</f>
        <v/>
      </c>
      <c r="CL220" s="4105">
        <f>IFERROR(AP220/AP$117,0)</f>
        <v/>
      </c>
      <c r="CM220" s="4105">
        <f>IFERROR(AQ220/AQ$117,0)</f>
        <v/>
      </c>
      <c r="CN220" s="4105">
        <f>IFERROR(AR220/AR$117,0)</f>
        <v/>
      </c>
      <c r="CO220" s="4105">
        <f>IFERROR(AS220/AS$117,0)</f>
        <v/>
      </c>
      <c r="CP220" s="4105">
        <f>IFERROR(AT220/AT$117,0)</f>
        <v/>
      </c>
      <c r="CQ220" s="4107">
        <f>IFERROR(AU220/AU$117,0)</f>
        <v/>
      </c>
      <c r="CR220" s="4105">
        <f>IFERROR(AV220/AV$117,0)</f>
        <v/>
      </c>
      <c r="CS220" s="4105">
        <f>IFERROR(AW220/AW$117,0)</f>
        <v/>
      </c>
      <c r="CT220" s="4105">
        <f>IFERROR(AX220/AX$117,0)</f>
        <v/>
      </c>
      <c r="CU220" s="4105">
        <f>IFERROR(AY220/AY$117,0)</f>
        <v/>
      </c>
      <c r="CV220" s="4105">
        <f>IFERROR(AZ220/AZ$117,0)</f>
        <v/>
      </c>
      <c r="CW220" s="3737" t="n"/>
      <c r="CX220" s="4102" t="n">
        <v>-92.53521000000001</v>
      </c>
    </row>
    <row r="221" hidden="1" outlineLevel="1" collapsed="1" ht="12" customFormat="1" customHeight="1" s="3737">
      <c r="A221" s="4059" t="n"/>
      <c r="B221" s="4060" t="n"/>
      <c r="C221" s="4100" t="inlineStr">
        <is>
          <t>Dr-site services</t>
        </is>
      </c>
      <c r="D221" s="4101" t="n"/>
      <c r="E221" s="4101" t="n"/>
      <c r="F221" s="4102" t="n"/>
      <c r="G221" s="4102" t="n"/>
      <c r="H221" s="4102" t="n"/>
      <c r="I221" s="4102" t="n"/>
      <c r="J221" s="4102" t="n"/>
      <c r="K221" s="4102" t="n"/>
      <c r="L221" s="4102" t="n"/>
      <c r="M221" s="4102" t="n"/>
      <c r="N221" s="4102" t="n"/>
      <c r="O221" s="4102" t="n"/>
      <c r="P221" s="4102" t="n"/>
      <c r="Q221" s="4103" t="n"/>
      <c r="R221" s="4102" t="n"/>
      <c r="S221" s="4102" t="n"/>
      <c r="T221" s="4102" t="n"/>
      <c r="U221" s="4102" t="n"/>
      <c r="V221" s="4102" t="n"/>
      <c r="W221" s="4102" t="n"/>
      <c r="X221" s="4102" t="n"/>
      <c r="Y221" s="4102" t="n"/>
      <c r="Z221" s="4102" t="n"/>
      <c r="AA221" s="4102" t="n"/>
      <c r="AB221" s="4102" t="n"/>
      <c r="AC221" s="4103" t="n"/>
      <c r="AD221" s="4102" t="n"/>
      <c r="AE221" s="4102" t="n"/>
      <c r="AF221" s="4102" t="n"/>
      <c r="AG221" s="4102" t="n"/>
      <c r="AH221" s="4102" t="n"/>
      <c r="AI221" s="4102" t="n"/>
      <c r="AJ221" s="4102" t="n"/>
      <c r="AK221" s="4102" t="n"/>
      <c r="AL221" s="4102" t="n"/>
      <c r="AM221" s="4102" t="n"/>
      <c r="AN221" s="4102" t="n"/>
      <c r="AO221" s="4103" t="n"/>
      <c r="AP221" s="4102">
        <f>SUM(AP220)</f>
        <v/>
      </c>
      <c r="AQ221" s="4102">
        <f>SUM(AQ220)</f>
        <v/>
      </c>
      <c r="AR221" s="4102">
        <f>SUM(AR220)</f>
        <v/>
      </c>
      <c r="AS221" s="4102">
        <f>SUM(AS220)</f>
        <v/>
      </c>
      <c r="AT221" s="4102">
        <f>SUM(AT220)</f>
        <v/>
      </c>
      <c r="AU221" s="4104">
        <f>SUM(AU220)</f>
        <v/>
      </c>
      <c r="AV221" s="4102">
        <f>SUM(AV220)</f>
        <v/>
      </c>
      <c r="AW221" s="4102">
        <f>SUM(AW220)</f>
        <v/>
      </c>
      <c r="AX221" s="4102">
        <f>SUM(AX220)</f>
        <v/>
      </c>
      <c r="AY221" s="4102">
        <f>SUM(AY220)</f>
        <v/>
      </c>
      <c r="AZ221" s="4102">
        <f>SUM(AZ220)</f>
        <v/>
      </c>
      <c r="BA221" s="3737" t="n"/>
      <c r="BB221" s="4105">
        <f>IFERROR(F221/F$117,0)</f>
        <v/>
      </c>
      <c r="BC221" s="4105">
        <f>IFERROR(G221/G$117,0)</f>
        <v/>
      </c>
      <c r="BD221" s="4105">
        <f>IFERROR(H221/H$117,0)</f>
        <v/>
      </c>
      <c r="BE221" s="4105">
        <f>IFERROR(I221/I$117,0)</f>
        <v/>
      </c>
      <c r="BF221" s="4105">
        <f>IFERROR(J221/J$117,0)</f>
        <v/>
      </c>
      <c r="BG221" s="4105">
        <f>IFERROR(K221/K$117,0)</f>
        <v/>
      </c>
      <c r="BH221" s="4105">
        <f>IFERROR(L221/L$117,0)</f>
        <v/>
      </c>
      <c r="BI221" s="4105">
        <f>IFERROR(M221/M$117,0)</f>
        <v/>
      </c>
      <c r="BJ221" s="4105">
        <f>IFERROR(N221/N$117,0)</f>
        <v/>
      </c>
      <c r="BK221" s="4105">
        <f>IFERROR(O221/O$117,0)</f>
        <v/>
      </c>
      <c r="BL221" s="4105">
        <f>IFERROR(P221/P$117,0)</f>
        <v/>
      </c>
      <c r="BM221" s="4106">
        <f>IFERROR(Q221/Q$117,0)</f>
        <v/>
      </c>
      <c r="BN221" s="4105">
        <f>IFERROR(R221/R$117,0)</f>
        <v/>
      </c>
      <c r="BO221" s="4105">
        <f>IFERROR(S221/S$117,0)</f>
        <v/>
      </c>
      <c r="BP221" s="4105">
        <f>IFERROR(T221/T$117,0)</f>
        <v/>
      </c>
      <c r="BQ221" s="4105">
        <f>IFERROR(U221/U$117,0)</f>
        <v/>
      </c>
      <c r="BR221" s="4105">
        <f>IFERROR(V221/V$117,0)</f>
        <v/>
      </c>
      <c r="BS221" s="4105">
        <f>IFERROR(W221/W$117,0)</f>
        <v/>
      </c>
      <c r="BT221" s="4105">
        <f>IFERROR(X221/X$117,0)</f>
        <v/>
      </c>
      <c r="BU221" s="4105">
        <f>IFERROR(Y221/Y$117,0)</f>
        <v/>
      </c>
      <c r="BV221" s="4105">
        <f>IFERROR(Z221/Z$117,0)</f>
        <v/>
      </c>
      <c r="BW221" s="4105">
        <f>IFERROR(AA221/AA$117,0)</f>
        <v/>
      </c>
      <c r="BX221" s="4105">
        <f>IFERROR(AB221/AB$117,0)</f>
        <v/>
      </c>
      <c r="BY221" s="4106">
        <f>IFERROR(AC221/AC$117,0)</f>
        <v/>
      </c>
      <c r="BZ221" s="4105">
        <f>IFERROR(AD221/AD$117,0)</f>
        <v/>
      </c>
      <c r="CA221" s="4105">
        <f>IFERROR(AE221/AE$117,0)</f>
        <v/>
      </c>
      <c r="CB221" s="4105">
        <f>IFERROR(AF221/AF$117,0)</f>
        <v/>
      </c>
      <c r="CC221" s="4105">
        <f>IFERROR(AG221/AG$117,0)</f>
        <v/>
      </c>
      <c r="CD221" s="4105">
        <f>IFERROR(AH221/AH$117,0)</f>
        <v/>
      </c>
      <c r="CE221" s="4105">
        <f>IFERROR(AI221/AI$117,0)</f>
        <v/>
      </c>
      <c r="CF221" s="4105">
        <f>IFERROR(AJ221/AJ$117,0)</f>
        <v/>
      </c>
      <c r="CG221" s="4105">
        <f>IFERROR(AK221/AK$117,0)</f>
        <v/>
      </c>
      <c r="CH221" s="4105">
        <f>IFERROR(AL221/AL$117,0)</f>
        <v/>
      </c>
      <c r="CI221" s="4105">
        <f>IFERROR(AM221/AM$117,0)</f>
        <v/>
      </c>
      <c r="CJ221" s="4105">
        <f>IFERROR(AN221/AN$117,0)</f>
        <v/>
      </c>
      <c r="CK221" s="4106">
        <f>IFERROR(AO221/AO$117,0)</f>
        <v/>
      </c>
      <c r="CL221" s="4105">
        <f>IFERROR(AP221/AP$117,0)</f>
        <v/>
      </c>
      <c r="CM221" s="4105">
        <f>IFERROR(AQ221/AQ$117,0)</f>
        <v/>
      </c>
      <c r="CN221" s="4105">
        <f>IFERROR(AR221/AR$117,0)</f>
        <v/>
      </c>
      <c r="CO221" s="4105">
        <f>IFERROR(AS221/AS$117,0)</f>
        <v/>
      </c>
      <c r="CP221" s="4105">
        <f>IFERROR(AT221/AT$117,0)</f>
        <v/>
      </c>
      <c r="CQ221" s="4107">
        <f>IFERROR(AU221/AU$117,0)</f>
        <v/>
      </c>
      <c r="CR221" s="4105">
        <f>IFERROR(AV221/AV$117,0)</f>
        <v/>
      </c>
      <c r="CS221" s="4105">
        <f>IFERROR(AW221/AW$117,0)</f>
        <v/>
      </c>
      <c r="CT221" s="4105">
        <f>IFERROR(AX221/AX$117,0)</f>
        <v/>
      </c>
      <c r="CU221" s="4105">
        <f>IFERROR(AY221/AY$117,0)</f>
        <v/>
      </c>
      <c r="CV221" s="4105">
        <f>IFERROR(AZ221/AZ$117,0)</f>
        <v/>
      </c>
      <c r="CW221" s="3737" t="n"/>
      <c r="CX221" s="4102">
        <f>SUM(CX220)</f>
        <v/>
      </c>
    </row>
    <row r="222" ht="12" customFormat="1" customHeight="1" s="3737">
      <c r="A222" s="4059" t="n"/>
      <c r="B222" s="4060" t="n"/>
      <c r="C222" s="4108" t="inlineStr">
        <is>
          <t>Equipment, data processing, infrastructure expense</t>
        </is>
      </c>
      <c r="D222" s="4093" t="n"/>
      <c r="E222" s="4093" t="n"/>
      <c r="F222" s="4094" t="n"/>
      <c r="G222" s="4094" t="n"/>
      <c r="H222" s="4094" t="n"/>
      <c r="I222" s="4094" t="n"/>
      <c r="J222" s="4094" t="n"/>
      <c r="K222" s="4094" t="n"/>
      <c r="L222" s="4094" t="n"/>
      <c r="M222" s="4094" t="n"/>
      <c r="N222" s="4094" t="n"/>
      <c r="O222" s="4094" t="n"/>
      <c r="P222" s="4094" t="n"/>
      <c r="Q222" s="4095" t="n"/>
      <c r="R222" s="4094" t="n"/>
      <c r="S222" s="4094" t="n"/>
      <c r="T222" s="4094" t="n"/>
      <c r="U222" s="4094" t="n"/>
      <c r="V222" s="4094" t="n"/>
      <c r="W222" s="4094" t="n"/>
      <c r="X222" s="4094" t="n"/>
      <c r="Y222" s="4094" t="n"/>
      <c r="Z222" s="4094" t="n"/>
      <c r="AA222" s="4094" t="n"/>
      <c r="AB222" s="4094" t="n"/>
      <c r="AC222" s="4095" t="n"/>
      <c r="AD222" s="4094" t="n"/>
      <c r="AE222" s="4094" t="n"/>
      <c r="AF222" s="4094" t="n"/>
      <c r="AG222" s="4094" t="n"/>
      <c r="AH222" s="4094" t="n"/>
      <c r="AI222" s="4094" t="n"/>
      <c r="AJ222" s="4094" t="n"/>
      <c r="AK222" s="4094" t="n"/>
      <c r="AL222" s="4094" t="n"/>
      <c r="AM222" s="4094" t="n"/>
      <c r="AN222" s="4094" t="n"/>
      <c r="AO222" s="4095" t="n"/>
      <c r="AP222" s="4094">
        <f>SUM(AP221,AP216,AP219)</f>
        <v/>
      </c>
      <c r="AQ222" s="4094">
        <f>SUM(AQ221,AQ216,AQ219)</f>
        <v/>
      </c>
      <c r="AR222" s="4094">
        <f>SUM(AR221,AR216,AR219)</f>
        <v/>
      </c>
      <c r="AS222" s="4094">
        <f>SUM(AS221,AS216,AS219)</f>
        <v/>
      </c>
      <c r="AT222" s="4094">
        <f>SUM(AT221,AT216,AT219)</f>
        <v/>
      </c>
      <c r="AU222" s="4096">
        <f>SUM(AU221,AU216,AU219)</f>
        <v/>
      </c>
      <c r="AV222" s="4094">
        <f>SUM(AV221,AV216,AV219)</f>
        <v/>
      </c>
      <c r="AW222" s="4094">
        <f>SUM(AW221,AW216,AW219)</f>
        <v/>
      </c>
      <c r="AX222" s="4094">
        <f>SUM(AX221,AX216,AX219)</f>
        <v/>
      </c>
      <c r="AY222" s="4094">
        <f>SUM(AY221,AY216,AY219)</f>
        <v/>
      </c>
      <c r="AZ222" s="4094">
        <f>SUM(AZ221,AZ216,AZ219)</f>
        <v/>
      </c>
      <c r="BA222" s="3737" t="n"/>
      <c r="BB222" s="4097">
        <f>IFERROR(F222/F$117,0)</f>
        <v/>
      </c>
      <c r="BC222" s="4097">
        <f>IFERROR(G222/G$117,0)</f>
        <v/>
      </c>
      <c r="BD222" s="4097">
        <f>IFERROR(H222/H$117,0)</f>
        <v/>
      </c>
      <c r="BE222" s="4097">
        <f>IFERROR(I222/I$117,0)</f>
        <v/>
      </c>
      <c r="BF222" s="4097">
        <f>IFERROR(J222/J$117,0)</f>
        <v/>
      </c>
      <c r="BG222" s="4097">
        <f>IFERROR(K222/K$117,0)</f>
        <v/>
      </c>
      <c r="BH222" s="4097">
        <f>IFERROR(L222/L$117,0)</f>
        <v/>
      </c>
      <c r="BI222" s="4097">
        <f>IFERROR(M222/M$117,0)</f>
        <v/>
      </c>
      <c r="BJ222" s="4097">
        <f>IFERROR(N222/N$117,0)</f>
        <v/>
      </c>
      <c r="BK222" s="4097">
        <f>IFERROR(O222/O$117,0)</f>
        <v/>
      </c>
      <c r="BL222" s="4097">
        <f>IFERROR(P222/P$117,0)</f>
        <v/>
      </c>
      <c r="BM222" s="4098">
        <f>IFERROR(Q222/Q$117,0)</f>
        <v/>
      </c>
      <c r="BN222" s="4097">
        <f>IFERROR(R222/R$117,0)</f>
        <v/>
      </c>
      <c r="BO222" s="4097">
        <f>IFERROR(S222/S$117,0)</f>
        <v/>
      </c>
      <c r="BP222" s="4097">
        <f>IFERROR(T222/T$117,0)</f>
        <v/>
      </c>
      <c r="BQ222" s="4097">
        <f>IFERROR(U222/U$117,0)</f>
        <v/>
      </c>
      <c r="BR222" s="4097">
        <f>IFERROR(V222/V$117,0)</f>
        <v/>
      </c>
      <c r="BS222" s="4097">
        <f>IFERROR(W222/W$117,0)</f>
        <v/>
      </c>
      <c r="BT222" s="4097">
        <f>IFERROR(X222/X$117,0)</f>
        <v/>
      </c>
      <c r="BU222" s="4097">
        <f>IFERROR(Y222/Y$117,0)</f>
        <v/>
      </c>
      <c r="BV222" s="4097">
        <f>IFERROR(Z222/Z$117,0)</f>
        <v/>
      </c>
      <c r="BW222" s="4097">
        <f>IFERROR(AA222/AA$117,0)</f>
        <v/>
      </c>
      <c r="BX222" s="4097">
        <f>IFERROR(AB222/AB$117,0)</f>
        <v/>
      </c>
      <c r="BY222" s="4098">
        <f>IFERROR(AC222/AC$117,0)</f>
        <v/>
      </c>
      <c r="BZ222" s="4097">
        <f>IFERROR(AD222/AD$117,0)</f>
        <v/>
      </c>
      <c r="CA222" s="4097">
        <f>IFERROR(AE222/AE$117,0)</f>
        <v/>
      </c>
      <c r="CB222" s="4097">
        <f>IFERROR(AF222/AF$117,0)</f>
        <v/>
      </c>
      <c r="CC222" s="4097">
        <f>IFERROR(AG222/AG$117,0)</f>
        <v/>
      </c>
      <c r="CD222" s="4097">
        <f>IFERROR(AH222/AH$117,0)</f>
        <v/>
      </c>
      <c r="CE222" s="4097">
        <f>IFERROR(AI222/AI$117,0)</f>
        <v/>
      </c>
      <c r="CF222" s="4097">
        <f>IFERROR(AJ222/AJ$117,0)</f>
        <v/>
      </c>
      <c r="CG222" s="4097">
        <f>IFERROR(AK222/AK$117,0)</f>
        <v/>
      </c>
      <c r="CH222" s="4097">
        <f>IFERROR(AL222/AL$117,0)</f>
        <v/>
      </c>
      <c r="CI222" s="4097">
        <f>IFERROR(AM222/AM$117,0)</f>
        <v/>
      </c>
      <c r="CJ222" s="4097">
        <f>IFERROR(AN222/AN$117,0)</f>
        <v/>
      </c>
      <c r="CK222" s="4098">
        <f>IFERROR(AO222/AO$117,0)</f>
        <v/>
      </c>
      <c r="CL222" s="4097">
        <f>IFERROR(AP222/AP$117,0)</f>
        <v/>
      </c>
      <c r="CM222" s="4097">
        <f>IFERROR(AQ222/AQ$117,0)</f>
        <v/>
      </c>
      <c r="CN222" s="4097">
        <f>IFERROR(AR222/AR$117,0)</f>
        <v/>
      </c>
      <c r="CO222" s="4097">
        <f>IFERROR(AS222/AS$117,0)</f>
        <v/>
      </c>
      <c r="CP222" s="4097">
        <f>IFERROR(AT222/AT$117,0)</f>
        <v/>
      </c>
      <c r="CQ222" s="4099">
        <f>IFERROR(AU222/AU$117,0)</f>
        <v/>
      </c>
      <c r="CR222" s="4097">
        <f>IFERROR(AV222/AV$117,0)</f>
        <v/>
      </c>
      <c r="CS222" s="4097">
        <f>IFERROR(AW222/AW$117,0)</f>
        <v/>
      </c>
      <c r="CT222" s="4097">
        <f>IFERROR(AX222/AX$117,0)</f>
        <v/>
      </c>
      <c r="CU222" s="4097">
        <f>IFERROR(AY222/AY$117,0)</f>
        <v/>
      </c>
      <c r="CV222" s="4097">
        <f>IFERROR(AZ222/AZ$117,0)</f>
        <v/>
      </c>
      <c r="CW222" s="3737" t="n"/>
      <c r="CX222" s="4094">
        <f>SUM(CX221,CX216,CX219)</f>
        <v/>
      </c>
      <c r="CY222" s="4061" t="n"/>
    </row>
    <row r="223" hidden="1" outlineLevel="2" ht="12" customFormat="1" customHeight="1" s="3737">
      <c r="A223" s="4059" t="n"/>
      <c r="B223" s="4060" t="n"/>
      <c r="C223" s="4127" t="inlineStr">
        <is>
          <t>Contract labour expense</t>
        </is>
      </c>
      <c r="D223" s="4093" t="n">
        <v>536101</v>
      </c>
      <c r="E223" s="4093">
        <f>CONCATENATE(D223," - ",C223)</f>
        <v/>
      </c>
      <c r="F223" s="4094" t="n"/>
      <c r="G223" s="4094" t="n"/>
      <c r="H223" s="4094" t="n"/>
      <c r="I223" s="4094" t="n"/>
      <c r="J223" s="4094" t="n"/>
      <c r="K223" s="4094" t="n"/>
      <c r="L223" s="4094" t="n"/>
      <c r="M223" s="4094" t="n"/>
      <c r="N223" s="4094" t="n"/>
      <c r="O223" s="4094" t="n"/>
      <c r="P223" s="4094" t="n"/>
      <c r="Q223" s="4095" t="n"/>
      <c r="R223" s="4094" t="n"/>
      <c r="S223" s="4094" t="n"/>
      <c r="T223" s="4094" t="n"/>
      <c r="U223" s="4094" t="n"/>
      <c r="V223" s="4094" t="n"/>
      <c r="W223" s="4094" t="n"/>
      <c r="X223" s="4094" t="n"/>
      <c r="Y223" s="4094" t="n"/>
      <c r="Z223" s="4094" t="n"/>
      <c r="AA223" s="4094" t="n"/>
      <c r="AB223" s="4094" t="n"/>
      <c r="AC223" s="4095" t="n"/>
      <c r="AD223" s="4094" t="n"/>
      <c r="AE223" s="4094" t="n"/>
      <c r="AF223" s="4094" t="n"/>
      <c r="AG223" s="4094" t="n"/>
      <c r="AH223" s="4094" t="n"/>
      <c r="AI223" s="4094" t="n"/>
      <c r="AJ223" s="4094" t="n"/>
      <c r="AK223" s="4094" t="n"/>
      <c r="AL223" s="4094" t="n"/>
      <c r="AM223" s="4094" t="n"/>
      <c r="AN223" s="4094" t="n"/>
      <c r="AO223" s="4095" t="n"/>
      <c r="AP223" s="4094" t="n">
        <v>-136.45466</v>
      </c>
      <c r="AQ223" s="4094" t="n">
        <v>-145.5978</v>
      </c>
      <c r="AR223" s="4094" t="n">
        <v>-153.02589</v>
      </c>
      <c r="AS223" s="4094" t="n">
        <v>-159.33715</v>
      </c>
      <c r="AT223" s="4094" t="n">
        <v>-151.52522</v>
      </c>
      <c r="AU223" s="4096" t="n">
        <v>-131.8946</v>
      </c>
      <c r="AV223" s="4094">
        <f>SUM(F223:Q223)</f>
        <v/>
      </c>
      <c r="AW223" s="4094">
        <f>SUM(R223:AC223)</f>
        <v/>
      </c>
      <c r="AX223" s="4094">
        <f>SUM(AD223:AO223)</f>
        <v/>
      </c>
      <c r="AY223" s="4094">
        <f>SUM(AH223:AS223)</f>
        <v/>
      </c>
      <c r="AZ223" s="4094">
        <f>SUM(AJ223:AU223)</f>
        <v/>
      </c>
      <c r="BA223" s="3737" t="n"/>
      <c r="BB223" s="4097">
        <f>IFERROR(F223/F$117,0)</f>
        <v/>
      </c>
      <c r="BC223" s="4097">
        <f>IFERROR(G223/G$117,0)</f>
        <v/>
      </c>
      <c r="BD223" s="4097">
        <f>IFERROR(H223/H$117,0)</f>
        <v/>
      </c>
      <c r="BE223" s="4097">
        <f>IFERROR(I223/I$117,0)</f>
        <v/>
      </c>
      <c r="BF223" s="4097">
        <f>IFERROR(J223/J$117,0)</f>
        <v/>
      </c>
      <c r="BG223" s="4097">
        <f>IFERROR(K223/K$117,0)</f>
        <v/>
      </c>
      <c r="BH223" s="4097">
        <f>IFERROR(L223/L$117,0)</f>
        <v/>
      </c>
      <c r="BI223" s="4097">
        <f>IFERROR(M223/M$117,0)</f>
        <v/>
      </c>
      <c r="BJ223" s="4097">
        <f>IFERROR(N223/N$117,0)</f>
        <v/>
      </c>
      <c r="BK223" s="4097">
        <f>IFERROR(O223/O$117,0)</f>
        <v/>
      </c>
      <c r="BL223" s="4097">
        <f>IFERROR(P223/P$117,0)</f>
        <v/>
      </c>
      <c r="BM223" s="4098">
        <f>IFERROR(Q223/Q$117,0)</f>
        <v/>
      </c>
      <c r="BN223" s="4097">
        <f>IFERROR(R223/R$117,0)</f>
        <v/>
      </c>
      <c r="BO223" s="4097">
        <f>IFERROR(S223/S$117,0)</f>
        <v/>
      </c>
      <c r="BP223" s="4097">
        <f>IFERROR(T223/T$117,0)</f>
        <v/>
      </c>
      <c r="BQ223" s="4097">
        <f>IFERROR(U223/U$117,0)</f>
        <v/>
      </c>
      <c r="BR223" s="4097">
        <f>IFERROR(V223/V$117,0)</f>
        <v/>
      </c>
      <c r="BS223" s="4097">
        <f>IFERROR(W223/W$117,0)</f>
        <v/>
      </c>
      <c r="BT223" s="4097">
        <f>IFERROR(X223/X$117,0)</f>
        <v/>
      </c>
      <c r="BU223" s="4097">
        <f>IFERROR(Y223/Y$117,0)</f>
        <v/>
      </c>
      <c r="BV223" s="4097">
        <f>IFERROR(Z223/Z$117,0)</f>
        <v/>
      </c>
      <c r="BW223" s="4097">
        <f>IFERROR(AA223/AA$117,0)</f>
        <v/>
      </c>
      <c r="BX223" s="4097">
        <f>IFERROR(AB223/AB$117,0)</f>
        <v/>
      </c>
      <c r="BY223" s="4098">
        <f>IFERROR(AC223/AC$117,0)</f>
        <v/>
      </c>
      <c r="BZ223" s="4097">
        <f>IFERROR(AD223/AD$117,0)</f>
        <v/>
      </c>
      <c r="CA223" s="4097">
        <f>IFERROR(AE223/AE$117,0)</f>
        <v/>
      </c>
      <c r="CB223" s="4097">
        <f>IFERROR(AF223/AF$117,0)</f>
        <v/>
      </c>
      <c r="CC223" s="4097">
        <f>IFERROR(AG223/AG$117,0)</f>
        <v/>
      </c>
      <c r="CD223" s="4097">
        <f>IFERROR(AH223/AH$117,0)</f>
        <v/>
      </c>
      <c r="CE223" s="4097">
        <f>IFERROR(AI223/AI$117,0)</f>
        <v/>
      </c>
      <c r="CF223" s="4097">
        <f>IFERROR(AJ223/AJ$117,0)</f>
        <v/>
      </c>
      <c r="CG223" s="4097">
        <f>IFERROR(AK223/AK$117,0)</f>
        <v/>
      </c>
      <c r="CH223" s="4097">
        <f>IFERROR(AL223/AL$117,0)</f>
        <v/>
      </c>
      <c r="CI223" s="4097">
        <f>IFERROR(AM223/AM$117,0)</f>
        <v/>
      </c>
      <c r="CJ223" s="4097">
        <f>IFERROR(AN223/AN$117,0)</f>
        <v/>
      </c>
      <c r="CK223" s="4098">
        <f>IFERROR(AO223/AO$117,0)</f>
        <v/>
      </c>
      <c r="CL223" s="4097">
        <f>IFERROR(AP223/AP$117,0)</f>
        <v/>
      </c>
      <c r="CM223" s="4097">
        <f>IFERROR(AQ223/AQ$117,0)</f>
        <v/>
      </c>
      <c r="CN223" s="4097">
        <f>IFERROR(AR223/AR$117,0)</f>
        <v/>
      </c>
      <c r="CO223" s="4097">
        <f>IFERROR(AS223/AS$117,0)</f>
        <v/>
      </c>
      <c r="CP223" s="4097">
        <f>IFERROR(AT223/AT$117,0)</f>
        <v/>
      </c>
      <c r="CQ223" s="4099">
        <f>IFERROR(AU223/AU$117,0)</f>
        <v/>
      </c>
      <c r="CR223" s="4097">
        <f>IFERROR(AV223/AV$117,0)</f>
        <v/>
      </c>
      <c r="CS223" s="4097">
        <f>IFERROR(AW223/AW$117,0)</f>
        <v/>
      </c>
      <c r="CT223" s="4097">
        <f>IFERROR(AX223/AX$117,0)</f>
        <v/>
      </c>
      <c r="CU223" s="4097">
        <f>IFERROR(AY223/AY$117,0)</f>
        <v/>
      </c>
      <c r="CV223" s="4097">
        <f>IFERROR(AZ223/AZ$117,0)</f>
        <v/>
      </c>
      <c r="CW223" s="3737" t="n"/>
      <c r="CX223" s="4094" t="n">
        <v>-918.677</v>
      </c>
    </row>
    <row r="224" hidden="1" outlineLevel="2" ht="12" customFormat="1" customHeight="1" s="3737">
      <c r="A224" s="4059" t="n"/>
      <c r="B224" s="4060" t="n"/>
      <c r="C224" s="4127" t="inlineStr">
        <is>
          <t>Contract services - usa</t>
        </is>
      </c>
      <c r="D224" s="4093" t="n">
        <v>536102</v>
      </c>
      <c r="E224" s="4093">
        <f>CONCATENATE(D224," - ",C224)</f>
        <v/>
      </c>
      <c r="F224" s="4094" t="n"/>
      <c r="G224" s="4094" t="n"/>
      <c r="H224" s="4094" t="n"/>
      <c r="I224" s="4094" t="n"/>
      <c r="J224" s="4094" t="n"/>
      <c r="K224" s="4094" t="n"/>
      <c r="L224" s="4094" t="n"/>
      <c r="M224" s="4094" t="n"/>
      <c r="N224" s="4094" t="n"/>
      <c r="O224" s="4094" t="n"/>
      <c r="P224" s="4094" t="n"/>
      <c r="Q224" s="4095" t="n"/>
      <c r="R224" s="4094" t="n"/>
      <c r="S224" s="4094" t="n"/>
      <c r="T224" s="4094" t="n"/>
      <c r="U224" s="4094" t="n"/>
      <c r="V224" s="4094" t="n"/>
      <c r="W224" s="4094" t="n"/>
      <c r="X224" s="4094" t="n"/>
      <c r="Y224" s="4094" t="n"/>
      <c r="Z224" s="4094" t="n"/>
      <c r="AA224" s="4094" t="n"/>
      <c r="AB224" s="4094" t="n"/>
      <c r="AC224" s="4095" t="n"/>
      <c r="AD224" s="4094" t="n"/>
      <c r="AE224" s="4094" t="n"/>
      <c r="AF224" s="4094" t="n"/>
      <c r="AG224" s="4094" t="n"/>
      <c r="AH224" s="4094" t="n"/>
      <c r="AI224" s="4094" t="n"/>
      <c r="AJ224" s="4094" t="n"/>
      <c r="AK224" s="4094" t="n"/>
      <c r="AL224" s="4094" t="n"/>
      <c r="AM224" s="4094" t="n"/>
      <c r="AN224" s="4094" t="n"/>
      <c r="AO224" s="4095" t="n"/>
      <c r="AP224" s="4094" t="n">
        <v>-142.93244</v>
      </c>
      <c r="AQ224" s="4094" t="n">
        <v>-145.53004</v>
      </c>
      <c r="AR224" s="4094" t="n">
        <v>-177.51499</v>
      </c>
      <c r="AS224" s="4094" t="n">
        <v>-181.51543</v>
      </c>
      <c r="AT224" s="4094" t="n">
        <v>-191.6359</v>
      </c>
      <c r="AU224" s="4096" t="n">
        <v>-185.42593</v>
      </c>
      <c r="AV224" s="4094">
        <f>SUM(F224:Q224)</f>
        <v/>
      </c>
      <c r="AW224" s="4094">
        <f>SUM(R224:AC224)</f>
        <v/>
      </c>
      <c r="AX224" s="4094">
        <f>SUM(AD224:AO224)</f>
        <v/>
      </c>
      <c r="AY224" s="4094">
        <f>SUM(AH224:AS224)</f>
        <v/>
      </c>
      <c r="AZ224" s="4094">
        <f>SUM(AJ224:AU224)</f>
        <v/>
      </c>
      <c r="BA224" s="3737" t="n"/>
      <c r="BB224" s="4097">
        <f>IFERROR(F224/F$117,0)</f>
        <v/>
      </c>
      <c r="BC224" s="4097">
        <f>IFERROR(G224/G$117,0)</f>
        <v/>
      </c>
      <c r="BD224" s="4097">
        <f>IFERROR(H224/H$117,0)</f>
        <v/>
      </c>
      <c r="BE224" s="4097">
        <f>IFERROR(I224/I$117,0)</f>
        <v/>
      </c>
      <c r="BF224" s="4097">
        <f>IFERROR(J224/J$117,0)</f>
        <v/>
      </c>
      <c r="BG224" s="4097">
        <f>IFERROR(K224/K$117,0)</f>
        <v/>
      </c>
      <c r="BH224" s="4097">
        <f>IFERROR(L224/L$117,0)</f>
        <v/>
      </c>
      <c r="BI224" s="4097">
        <f>IFERROR(M224/M$117,0)</f>
        <v/>
      </c>
      <c r="BJ224" s="4097">
        <f>IFERROR(N224/N$117,0)</f>
        <v/>
      </c>
      <c r="BK224" s="4097">
        <f>IFERROR(O224/O$117,0)</f>
        <v/>
      </c>
      <c r="BL224" s="4097">
        <f>IFERROR(P224/P$117,0)</f>
        <v/>
      </c>
      <c r="BM224" s="4098">
        <f>IFERROR(Q224/Q$117,0)</f>
        <v/>
      </c>
      <c r="BN224" s="4097">
        <f>IFERROR(R224/R$117,0)</f>
        <v/>
      </c>
      <c r="BO224" s="4097">
        <f>IFERROR(S224/S$117,0)</f>
        <v/>
      </c>
      <c r="BP224" s="4097">
        <f>IFERROR(T224/T$117,0)</f>
        <v/>
      </c>
      <c r="BQ224" s="4097">
        <f>IFERROR(U224/U$117,0)</f>
        <v/>
      </c>
      <c r="BR224" s="4097">
        <f>IFERROR(V224/V$117,0)</f>
        <v/>
      </c>
      <c r="BS224" s="4097">
        <f>IFERROR(W224/W$117,0)</f>
        <v/>
      </c>
      <c r="BT224" s="4097">
        <f>IFERROR(X224/X$117,0)</f>
        <v/>
      </c>
      <c r="BU224" s="4097">
        <f>IFERROR(Y224/Y$117,0)</f>
        <v/>
      </c>
      <c r="BV224" s="4097">
        <f>IFERROR(Z224/Z$117,0)</f>
        <v/>
      </c>
      <c r="BW224" s="4097">
        <f>IFERROR(AA224/AA$117,0)</f>
        <v/>
      </c>
      <c r="BX224" s="4097">
        <f>IFERROR(AB224/AB$117,0)</f>
        <v/>
      </c>
      <c r="BY224" s="4098">
        <f>IFERROR(AC224/AC$117,0)</f>
        <v/>
      </c>
      <c r="BZ224" s="4097">
        <f>IFERROR(AD224/AD$117,0)</f>
        <v/>
      </c>
      <c r="CA224" s="4097">
        <f>IFERROR(AE224/AE$117,0)</f>
        <v/>
      </c>
      <c r="CB224" s="4097">
        <f>IFERROR(AF224/AF$117,0)</f>
        <v/>
      </c>
      <c r="CC224" s="4097">
        <f>IFERROR(AG224/AG$117,0)</f>
        <v/>
      </c>
      <c r="CD224" s="4097">
        <f>IFERROR(AH224/AH$117,0)</f>
        <v/>
      </c>
      <c r="CE224" s="4097">
        <f>IFERROR(AI224/AI$117,0)</f>
        <v/>
      </c>
      <c r="CF224" s="4097">
        <f>IFERROR(AJ224/AJ$117,0)</f>
        <v/>
      </c>
      <c r="CG224" s="4097">
        <f>IFERROR(AK224/AK$117,0)</f>
        <v/>
      </c>
      <c r="CH224" s="4097">
        <f>IFERROR(AL224/AL$117,0)</f>
        <v/>
      </c>
      <c r="CI224" s="4097">
        <f>IFERROR(AM224/AM$117,0)</f>
        <v/>
      </c>
      <c r="CJ224" s="4097">
        <f>IFERROR(AN224/AN$117,0)</f>
        <v/>
      </c>
      <c r="CK224" s="4098">
        <f>IFERROR(AO224/AO$117,0)</f>
        <v/>
      </c>
      <c r="CL224" s="4097">
        <f>IFERROR(AP224/AP$117,0)</f>
        <v/>
      </c>
      <c r="CM224" s="4097">
        <f>IFERROR(AQ224/AQ$117,0)</f>
        <v/>
      </c>
      <c r="CN224" s="4097">
        <f>IFERROR(AR224/AR$117,0)</f>
        <v/>
      </c>
      <c r="CO224" s="4097">
        <f>IFERROR(AS224/AS$117,0)</f>
        <v/>
      </c>
      <c r="CP224" s="4097">
        <f>IFERROR(AT224/AT$117,0)</f>
        <v/>
      </c>
      <c r="CQ224" s="4099">
        <f>IFERROR(AU224/AU$117,0)</f>
        <v/>
      </c>
      <c r="CR224" s="4097">
        <f>IFERROR(AV224/AV$117,0)</f>
        <v/>
      </c>
      <c r="CS224" s="4097">
        <f>IFERROR(AW224/AW$117,0)</f>
        <v/>
      </c>
      <c r="CT224" s="4097">
        <f>IFERROR(AX224/AX$117,0)</f>
        <v/>
      </c>
      <c r="CU224" s="4097">
        <f>IFERROR(AY224/AY$117,0)</f>
        <v/>
      </c>
      <c r="CV224" s="4097">
        <f>IFERROR(AZ224/AZ$117,0)</f>
        <v/>
      </c>
      <c r="CW224" s="3737" t="n"/>
      <c r="CX224" s="4094" t="n">
        <v>-213.35982</v>
      </c>
    </row>
    <row r="225" hidden="1" outlineLevel="2" ht="12" customFormat="1" customHeight="1" s="3737">
      <c r="A225" s="4059" t="n"/>
      <c r="B225" s="4060" t="n"/>
      <c r="C225" s="4128" t="inlineStr">
        <is>
          <t>Temporary labour services</t>
        </is>
      </c>
      <c r="D225" s="4101" t="n">
        <v>536105</v>
      </c>
      <c r="E225" s="4101">
        <f>CONCATENATE(D225," - ",C225)</f>
        <v/>
      </c>
      <c r="F225" s="4102" t="n"/>
      <c r="G225" s="4102" t="n"/>
      <c r="H225" s="4102" t="n"/>
      <c r="I225" s="4102" t="n"/>
      <c r="J225" s="4102" t="n"/>
      <c r="K225" s="4102" t="n"/>
      <c r="L225" s="4102" t="n"/>
      <c r="M225" s="4102" t="n"/>
      <c r="N225" s="4102" t="n"/>
      <c r="O225" s="4102" t="n"/>
      <c r="P225" s="4102" t="n"/>
      <c r="Q225" s="4103" t="n"/>
      <c r="R225" s="4102" t="n"/>
      <c r="S225" s="4102" t="n"/>
      <c r="T225" s="4102" t="n"/>
      <c r="U225" s="4102" t="n"/>
      <c r="V225" s="4102" t="n"/>
      <c r="W225" s="4102" t="n"/>
      <c r="X225" s="4102" t="n"/>
      <c r="Y225" s="4102" t="n"/>
      <c r="Z225" s="4102" t="n"/>
      <c r="AA225" s="4102" t="n"/>
      <c r="AB225" s="4102" t="n"/>
      <c r="AC225" s="4103" t="n"/>
      <c r="AD225" s="4102" t="n"/>
      <c r="AE225" s="4102" t="n"/>
      <c r="AF225" s="4102" t="n"/>
      <c r="AG225" s="4102" t="n"/>
      <c r="AH225" s="4102" t="n"/>
      <c r="AI225" s="4102" t="n"/>
      <c r="AJ225" s="4102" t="n"/>
      <c r="AK225" s="4102" t="n"/>
      <c r="AL225" s="4102" t="n"/>
      <c r="AM225" s="4102" t="n"/>
      <c r="AN225" s="4102" t="n"/>
      <c r="AO225" s="4103" t="n"/>
      <c r="AP225" s="4102" t="n">
        <v>-40.60303</v>
      </c>
      <c r="AQ225" s="4102" t="n">
        <v>-39.43498</v>
      </c>
      <c r="AR225" s="4102" t="n">
        <v>-36.7878</v>
      </c>
      <c r="AS225" s="4102" t="n">
        <v>-24.97901</v>
      </c>
      <c r="AT225" s="4102" t="n">
        <v>-36.5898</v>
      </c>
      <c r="AU225" s="4104" t="n">
        <v>-38.30152</v>
      </c>
      <c r="AV225" s="4102">
        <f>SUM(F225:Q225)</f>
        <v/>
      </c>
      <c r="AW225" s="4102">
        <f>SUM(R225:AC225)</f>
        <v/>
      </c>
      <c r="AX225" s="4102">
        <f>SUM(AD225:AO225)</f>
        <v/>
      </c>
      <c r="AY225" s="4102">
        <f>SUM(AH225:AS225)</f>
        <v/>
      </c>
      <c r="AZ225" s="4102">
        <f>SUM(AJ225:AU225)</f>
        <v/>
      </c>
      <c r="BA225" s="3737" t="n"/>
      <c r="BB225" s="4105">
        <f>IFERROR(F225/F$117,0)</f>
        <v/>
      </c>
      <c r="BC225" s="4105">
        <f>IFERROR(G225/G$117,0)</f>
        <v/>
      </c>
      <c r="BD225" s="4105">
        <f>IFERROR(H225/H$117,0)</f>
        <v/>
      </c>
      <c r="BE225" s="4105">
        <f>IFERROR(I225/I$117,0)</f>
        <v/>
      </c>
      <c r="BF225" s="4105">
        <f>IFERROR(J225/J$117,0)</f>
        <v/>
      </c>
      <c r="BG225" s="4105">
        <f>IFERROR(K225/K$117,0)</f>
        <v/>
      </c>
      <c r="BH225" s="4105">
        <f>IFERROR(L225/L$117,0)</f>
        <v/>
      </c>
      <c r="BI225" s="4105">
        <f>IFERROR(M225/M$117,0)</f>
        <v/>
      </c>
      <c r="BJ225" s="4105">
        <f>IFERROR(N225/N$117,0)</f>
        <v/>
      </c>
      <c r="BK225" s="4105">
        <f>IFERROR(O225/O$117,0)</f>
        <v/>
      </c>
      <c r="BL225" s="4105">
        <f>IFERROR(P225/P$117,0)</f>
        <v/>
      </c>
      <c r="BM225" s="4106">
        <f>IFERROR(Q225/Q$117,0)</f>
        <v/>
      </c>
      <c r="BN225" s="4105">
        <f>IFERROR(R225/R$117,0)</f>
        <v/>
      </c>
      <c r="BO225" s="4105">
        <f>IFERROR(S225/S$117,0)</f>
        <v/>
      </c>
      <c r="BP225" s="4105">
        <f>IFERROR(T225/T$117,0)</f>
        <v/>
      </c>
      <c r="BQ225" s="4105">
        <f>IFERROR(U225/U$117,0)</f>
        <v/>
      </c>
      <c r="BR225" s="4105">
        <f>IFERROR(V225/V$117,0)</f>
        <v/>
      </c>
      <c r="BS225" s="4105">
        <f>IFERROR(W225/W$117,0)</f>
        <v/>
      </c>
      <c r="BT225" s="4105">
        <f>IFERROR(X225/X$117,0)</f>
        <v/>
      </c>
      <c r="BU225" s="4105">
        <f>IFERROR(Y225/Y$117,0)</f>
        <v/>
      </c>
      <c r="BV225" s="4105">
        <f>IFERROR(Z225/Z$117,0)</f>
        <v/>
      </c>
      <c r="BW225" s="4105">
        <f>IFERROR(AA225/AA$117,0)</f>
        <v/>
      </c>
      <c r="BX225" s="4105">
        <f>IFERROR(AB225/AB$117,0)</f>
        <v/>
      </c>
      <c r="BY225" s="4106">
        <f>IFERROR(AC225/AC$117,0)</f>
        <v/>
      </c>
      <c r="BZ225" s="4105">
        <f>IFERROR(AD225/AD$117,0)</f>
        <v/>
      </c>
      <c r="CA225" s="4105">
        <f>IFERROR(AE225/AE$117,0)</f>
        <v/>
      </c>
      <c r="CB225" s="4105">
        <f>IFERROR(AF225/AF$117,0)</f>
        <v/>
      </c>
      <c r="CC225" s="4105">
        <f>IFERROR(AG225/AG$117,0)</f>
        <v/>
      </c>
      <c r="CD225" s="4105">
        <f>IFERROR(AH225/AH$117,0)</f>
        <v/>
      </c>
      <c r="CE225" s="4105">
        <f>IFERROR(AI225/AI$117,0)</f>
        <v/>
      </c>
      <c r="CF225" s="4105">
        <f>IFERROR(AJ225/AJ$117,0)</f>
        <v/>
      </c>
      <c r="CG225" s="4105">
        <f>IFERROR(AK225/AK$117,0)</f>
        <v/>
      </c>
      <c r="CH225" s="4105">
        <f>IFERROR(AL225/AL$117,0)</f>
        <v/>
      </c>
      <c r="CI225" s="4105">
        <f>IFERROR(AM225/AM$117,0)</f>
        <v/>
      </c>
      <c r="CJ225" s="4105">
        <f>IFERROR(AN225/AN$117,0)</f>
        <v/>
      </c>
      <c r="CK225" s="4106">
        <f>IFERROR(AO225/AO$117,0)</f>
        <v/>
      </c>
      <c r="CL225" s="4105">
        <f>IFERROR(AP225/AP$117,0)</f>
        <v/>
      </c>
      <c r="CM225" s="4105">
        <f>IFERROR(AQ225/AQ$117,0)</f>
        <v/>
      </c>
      <c r="CN225" s="4105">
        <f>IFERROR(AR225/AR$117,0)</f>
        <v/>
      </c>
      <c r="CO225" s="4105">
        <f>IFERROR(AS225/AS$117,0)</f>
        <v/>
      </c>
      <c r="CP225" s="4105">
        <f>IFERROR(AT225/AT$117,0)</f>
        <v/>
      </c>
      <c r="CQ225" s="4107">
        <f>IFERROR(AU225/AU$117,0)</f>
        <v/>
      </c>
      <c r="CR225" s="4105">
        <f>IFERROR(AV225/AV$117,0)</f>
        <v/>
      </c>
      <c r="CS225" s="4105">
        <f>IFERROR(AW225/AW$117,0)</f>
        <v/>
      </c>
      <c r="CT225" s="4105">
        <f>IFERROR(AX225/AX$117,0)</f>
        <v/>
      </c>
      <c r="CU225" s="4105">
        <f>IFERROR(AY225/AY$117,0)</f>
        <v/>
      </c>
      <c r="CV225" s="4105">
        <f>IFERROR(AZ225/AZ$117,0)</f>
        <v/>
      </c>
      <c r="CW225" s="3737" t="n"/>
      <c r="CX225" s="4102" t="n">
        <v>-46.95472</v>
      </c>
    </row>
    <row r="226" hidden="1" outlineLevel="1" collapsed="1" ht="12" customFormat="1" customHeight="1" s="3737">
      <c r="A226" s="4059" t="n"/>
      <c r="B226" s="4060" t="n"/>
      <c r="C226" s="4092" t="inlineStr">
        <is>
          <t>Contract staffing</t>
        </is>
      </c>
      <c r="D226" s="4093" t="n"/>
      <c r="E226" s="4093" t="n"/>
      <c r="F226" s="4094" t="n"/>
      <c r="G226" s="4094" t="n"/>
      <c r="H226" s="4094" t="n"/>
      <c r="I226" s="4094" t="n"/>
      <c r="J226" s="4094" t="n"/>
      <c r="K226" s="4094" t="n"/>
      <c r="L226" s="4094" t="n"/>
      <c r="M226" s="4094" t="n"/>
      <c r="N226" s="4094" t="n"/>
      <c r="O226" s="4094" t="n"/>
      <c r="P226" s="4094" t="n"/>
      <c r="Q226" s="4095" t="n"/>
      <c r="R226" s="4094" t="n"/>
      <c r="S226" s="4094" t="n"/>
      <c r="T226" s="4094" t="n"/>
      <c r="U226" s="4094" t="n"/>
      <c r="V226" s="4094" t="n"/>
      <c r="W226" s="4094" t="n"/>
      <c r="X226" s="4094" t="n"/>
      <c r="Y226" s="4094" t="n"/>
      <c r="Z226" s="4094" t="n"/>
      <c r="AA226" s="4094" t="n"/>
      <c r="AB226" s="4094" t="n"/>
      <c r="AC226" s="4095" t="n"/>
      <c r="AD226" s="4094" t="n"/>
      <c r="AE226" s="4094" t="n"/>
      <c r="AF226" s="4094" t="n"/>
      <c r="AG226" s="4094" t="n"/>
      <c r="AH226" s="4094" t="n"/>
      <c r="AI226" s="4094" t="n"/>
      <c r="AJ226" s="4094" t="n"/>
      <c r="AK226" s="4094" t="n"/>
      <c r="AL226" s="4094" t="n"/>
      <c r="AM226" s="4094" t="n"/>
      <c r="AN226" s="4094" t="n"/>
      <c r="AO226" s="4095" t="n"/>
      <c r="AP226" s="4094">
        <f>SUM(AP223:AP225)</f>
        <v/>
      </c>
      <c r="AQ226" s="4094">
        <f>SUM(AQ223:AQ225)</f>
        <v/>
      </c>
      <c r="AR226" s="4094">
        <f>SUM(AR223:AR225)</f>
        <v/>
      </c>
      <c r="AS226" s="4094">
        <f>SUM(AS223:AS225)</f>
        <v/>
      </c>
      <c r="AT226" s="4094">
        <f>SUM(AT223:AT225)</f>
        <v/>
      </c>
      <c r="AU226" s="4096">
        <f>SUM(AU223:AU225)</f>
        <v/>
      </c>
      <c r="AV226" s="4094">
        <f>SUM(AV223:AV225)</f>
        <v/>
      </c>
      <c r="AW226" s="4094">
        <f>SUM(AW223:AW225)</f>
        <v/>
      </c>
      <c r="AX226" s="4094">
        <f>SUM(AX223:AX225)</f>
        <v/>
      </c>
      <c r="AY226" s="4094">
        <f>SUM(AY223:AY225)</f>
        <v/>
      </c>
      <c r="AZ226" s="4094">
        <f>SUM(AZ223:AZ225)</f>
        <v/>
      </c>
      <c r="BA226" s="3737" t="n"/>
      <c r="BB226" s="4097">
        <f>IFERROR(F226/F$117,0)</f>
        <v/>
      </c>
      <c r="BC226" s="4097">
        <f>IFERROR(G226/G$117,0)</f>
        <v/>
      </c>
      <c r="BD226" s="4097">
        <f>IFERROR(H226/H$117,0)</f>
        <v/>
      </c>
      <c r="BE226" s="4097">
        <f>IFERROR(I226/I$117,0)</f>
        <v/>
      </c>
      <c r="BF226" s="4097">
        <f>IFERROR(J226/J$117,0)</f>
        <v/>
      </c>
      <c r="BG226" s="4097">
        <f>IFERROR(K226/K$117,0)</f>
        <v/>
      </c>
      <c r="BH226" s="4097">
        <f>IFERROR(L226/L$117,0)</f>
        <v/>
      </c>
      <c r="BI226" s="4097">
        <f>IFERROR(M226/M$117,0)</f>
        <v/>
      </c>
      <c r="BJ226" s="4097">
        <f>IFERROR(N226/N$117,0)</f>
        <v/>
      </c>
      <c r="BK226" s="4097">
        <f>IFERROR(O226/O$117,0)</f>
        <v/>
      </c>
      <c r="BL226" s="4097">
        <f>IFERROR(P226/P$117,0)</f>
        <v/>
      </c>
      <c r="BM226" s="4098">
        <f>IFERROR(Q226/Q$117,0)</f>
        <v/>
      </c>
      <c r="BN226" s="4097">
        <f>IFERROR(R226/R$117,0)</f>
        <v/>
      </c>
      <c r="BO226" s="4097">
        <f>IFERROR(S226/S$117,0)</f>
        <v/>
      </c>
      <c r="BP226" s="4097">
        <f>IFERROR(T226/T$117,0)</f>
        <v/>
      </c>
      <c r="BQ226" s="4097">
        <f>IFERROR(U226/U$117,0)</f>
        <v/>
      </c>
      <c r="BR226" s="4097">
        <f>IFERROR(V226/V$117,0)</f>
        <v/>
      </c>
      <c r="BS226" s="4097">
        <f>IFERROR(W226/W$117,0)</f>
        <v/>
      </c>
      <c r="BT226" s="4097">
        <f>IFERROR(X226/X$117,0)</f>
        <v/>
      </c>
      <c r="BU226" s="4097">
        <f>IFERROR(Y226/Y$117,0)</f>
        <v/>
      </c>
      <c r="BV226" s="4097">
        <f>IFERROR(Z226/Z$117,0)</f>
        <v/>
      </c>
      <c r="BW226" s="4097">
        <f>IFERROR(AA226/AA$117,0)</f>
        <v/>
      </c>
      <c r="BX226" s="4097">
        <f>IFERROR(AB226/AB$117,0)</f>
        <v/>
      </c>
      <c r="BY226" s="4098">
        <f>IFERROR(AC226/AC$117,0)</f>
        <v/>
      </c>
      <c r="BZ226" s="4097">
        <f>IFERROR(AD226/AD$117,0)</f>
        <v/>
      </c>
      <c r="CA226" s="4097">
        <f>IFERROR(AE226/AE$117,0)</f>
        <v/>
      </c>
      <c r="CB226" s="4097">
        <f>IFERROR(AF226/AF$117,0)</f>
        <v/>
      </c>
      <c r="CC226" s="4097">
        <f>IFERROR(AG226/AG$117,0)</f>
        <v/>
      </c>
      <c r="CD226" s="4097">
        <f>IFERROR(AH226/AH$117,0)</f>
        <v/>
      </c>
      <c r="CE226" s="4097">
        <f>IFERROR(AI226/AI$117,0)</f>
        <v/>
      </c>
      <c r="CF226" s="4097">
        <f>IFERROR(AJ226/AJ$117,0)</f>
        <v/>
      </c>
      <c r="CG226" s="4097">
        <f>IFERROR(AK226/AK$117,0)</f>
        <v/>
      </c>
      <c r="CH226" s="4097">
        <f>IFERROR(AL226/AL$117,0)</f>
        <v/>
      </c>
      <c r="CI226" s="4097">
        <f>IFERROR(AM226/AM$117,0)</f>
        <v/>
      </c>
      <c r="CJ226" s="4097">
        <f>IFERROR(AN226/AN$117,0)</f>
        <v/>
      </c>
      <c r="CK226" s="4098">
        <f>IFERROR(AO226/AO$117,0)</f>
        <v/>
      </c>
      <c r="CL226" s="4097">
        <f>IFERROR(AP226/AP$117,0)</f>
        <v/>
      </c>
      <c r="CM226" s="4097">
        <f>IFERROR(AQ226/AQ$117,0)</f>
        <v/>
      </c>
      <c r="CN226" s="4097">
        <f>IFERROR(AR226/AR$117,0)</f>
        <v/>
      </c>
      <c r="CO226" s="4097">
        <f>IFERROR(AS226/AS$117,0)</f>
        <v/>
      </c>
      <c r="CP226" s="4097">
        <f>IFERROR(AT226/AT$117,0)</f>
        <v/>
      </c>
      <c r="CQ226" s="4099">
        <f>IFERROR(AU226/AU$117,0)</f>
        <v/>
      </c>
      <c r="CR226" s="4097">
        <f>IFERROR(AV226/AV$117,0)</f>
        <v/>
      </c>
      <c r="CS226" s="4097">
        <f>IFERROR(AW226/AW$117,0)</f>
        <v/>
      </c>
      <c r="CT226" s="4097">
        <f>IFERROR(AX226/AX$117,0)</f>
        <v/>
      </c>
      <c r="CU226" s="4097">
        <f>IFERROR(AY226/AY$117,0)</f>
        <v/>
      </c>
      <c r="CV226" s="4097">
        <f>IFERROR(AZ226/AZ$117,0)</f>
        <v/>
      </c>
      <c r="CW226" s="3737" t="n"/>
      <c r="CX226" s="4094">
        <f>SUM(CX223:CX225)</f>
        <v/>
      </c>
    </row>
    <row r="227" hidden="1" outlineLevel="2" ht="12" customFormat="1" customHeight="1" s="3737">
      <c r="A227" s="4059" t="n"/>
      <c r="B227" s="4060" t="n"/>
      <c r="C227" s="4127" t="inlineStr">
        <is>
          <t>Accounting and audit fees</t>
        </is>
      </c>
      <c r="D227" s="4093" t="n">
        <v>631101</v>
      </c>
      <c r="E227" s="4093">
        <f>CONCATENATE(D227," - ",C227)</f>
        <v/>
      </c>
      <c r="F227" s="4094" t="n"/>
      <c r="G227" s="4094" t="n"/>
      <c r="H227" s="4094" t="n"/>
      <c r="I227" s="4094" t="n"/>
      <c r="J227" s="4094" t="n"/>
      <c r="K227" s="4094" t="n"/>
      <c r="L227" s="4094" t="n"/>
      <c r="M227" s="4094" t="n"/>
      <c r="N227" s="4094" t="n"/>
      <c r="O227" s="4094" t="n"/>
      <c r="P227" s="4094" t="n"/>
      <c r="Q227" s="4095" t="n"/>
      <c r="R227" s="4094" t="n"/>
      <c r="S227" s="4094" t="n"/>
      <c r="T227" s="4094" t="n"/>
      <c r="U227" s="4094" t="n"/>
      <c r="V227" s="4094" t="n"/>
      <c r="W227" s="4094" t="n"/>
      <c r="X227" s="4094" t="n"/>
      <c r="Y227" s="4094" t="n"/>
      <c r="Z227" s="4094" t="n"/>
      <c r="AA227" s="4094" t="n"/>
      <c r="AB227" s="4094" t="n"/>
      <c r="AC227" s="4095" t="n"/>
      <c r="AD227" s="4094" t="n"/>
      <c r="AE227" s="4094" t="n"/>
      <c r="AF227" s="4094" t="n"/>
      <c r="AG227" s="4094" t="n"/>
      <c r="AH227" s="4094" t="n"/>
      <c r="AI227" s="4094" t="n"/>
      <c r="AJ227" s="4094" t="n"/>
      <c r="AK227" s="4094" t="n"/>
      <c r="AL227" s="4094" t="n"/>
      <c r="AM227" s="4094" t="n"/>
      <c r="AN227" s="4094" t="n"/>
      <c r="AO227" s="4095" t="n"/>
      <c r="AP227" s="4094" t="n">
        <v>-31.75</v>
      </c>
      <c r="AQ227" s="4094" t="n">
        <v>-31.75</v>
      </c>
      <c r="AR227" s="4094" t="n">
        <v>-36.75</v>
      </c>
      <c r="AS227" s="4094" t="n">
        <v>-36.75</v>
      </c>
      <c r="AT227" s="4094" t="n">
        <v>-36.75</v>
      </c>
      <c r="AU227" s="4096" t="n">
        <v>-36.75</v>
      </c>
      <c r="AV227" s="4094">
        <f>SUM(F227:Q227)</f>
        <v/>
      </c>
      <c r="AW227" s="4094">
        <f>SUM(R227:AC227)</f>
        <v/>
      </c>
      <c r="AX227" s="4094">
        <f>SUM(AD227:AO227)</f>
        <v/>
      </c>
      <c r="AY227" s="4094">
        <f>SUM(AH227:AS227)</f>
        <v/>
      </c>
      <c r="AZ227" s="4094">
        <f>SUM(AJ227:AU227)</f>
        <v/>
      </c>
      <c r="BA227" s="3737" t="n"/>
      <c r="BB227" s="4097">
        <f>IFERROR(F227/F$117,0)</f>
        <v/>
      </c>
      <c r="BC227" s="4097">
        <f>IFERROR(G227/G$117,0)</f>
        <v/>
      </c>
      <c r="BD227" s="4097">
        <f>IFERROR(H227/H$117,0)</f>
        <v/>
      </c>
      <c r="BE227" s="4097">
        <f>IFERROR(I227/I$117,0)</f>
        <v/>
      </c>
      <c r="BF227" s="4097">
        <f>IFERROR(J227/J$117,0)</f>
        <v/>
      </c>
      <c r="BG227" s="4097">
        <f>IFERROR(K227/K$117,0)</f>
        <v/>
      </c>
      <c r="BH227" s="4097">
        <f>IFERROR(L227/L$117,0)</f>
        <v/>
      </c>
      <c r="BI227" s="4097">
        <f>IFERROR(M227/M$117,0)</f>
        <v/>
      </c>
      <c r="BJ227" s="4097">
        <f>IFERROR(N227/N$117,0)</f>
        <v/>
      </c>
      <c r="BK227" s="4097">
        <f>IFERROR(O227/O$117,0)</f>
        <v/>
      </c>
      <c r="BL227" s="4097">
        <f>IFERROR(P227/P$117,0)</f>
        <v/>
      </c>
      <c r="BM227" s="4098">
        <f>IFERROR(Q227/Q$117,0)</f>
        <v/>
      </c>
      <c r="BN227" s="4097">
        <f>IFERROR(R227/R$117,0)</f>
        <v/>
      </c>
      <c r="BO227" s="4097">
        <f>IFERROR(S227/S$117,0)</f>
        <v/>
      </c>
      <c r="BP227" s="4097">
        <f>IFERROR(T227/T$117,0)</f>
        <v/>
      </c>
      <c r="BQ227" s="4097">
        <f>IFERROR(U227/U$117,0)</f>
        <v/>
      </c>
      <c r="BR227" s="4097">
        <f>IFERROR(V227/V$117,0)</f>
        <v/>
      </c>
      <c r="BS227" s="4097">
        <f>IFERROR(W227/W$117,0)</f>
        <v/>
      </c>
      <c r="BT227" s="4097">
        <f>IFERROR(X227/X$117,0)</f>
        <v/>
      </c>
      <c r="BU227" s="4097">
        <f>IFERROR(Y227/Y$117,0)</f>
        <v/>
      </c>
      <c r="BV227" s="4097">
        <f>IFERROR(Z227/Z$117,0)</f>
        <v/>
      </c>
      <c r="BW227" s="4097">
        <f>IFERROR(AA227/AA$117,0)</f>
        <v/>
      </c>
      <c r="BX227" s="4097">
        <f>IFERROR(AB227/AB$117,0)</f>
        <v/>
      </c>
      <c r="BY227" s="4098">
        <f>IFERROR(AC227/AC$117,0)</f>
        <v/>
      </c>
      <c r="BZ227" s="4097">
        <f>IFERROR(AD227/AD$117,0)</f>
        <v/>
      </c>
      <c r="CA227" s="4097">
        <f>IFERROR(AE227/AE$117,0)</f>
        <v/>
      </c>
      <c r="CB227" s="4097">
        <f>IFERROR(AF227/AF$117,0)</f>
        <v/>
      </c>
      <c r="CC227" s="4097">
        <f>IFERROR(AG227/AG$117,0)</f>
        <v/>
      </c>
      <c r="CD227" s="4097">
        <f>IFERROR(AH227/AH$117,0)</f>
        <v/>
      </c>
      <c r="CE227" s="4097">
        <f>IFERROR(AI227/AI$117,0)</f>
        <v/>
      </c>
      <c r="CF227" s="4097">
        <f>IFERROR(AJ227/AJ$117,0)</f>
        <v/>
      </c>
      <c r="CG227" s="4097">
        <f>IFERROR(AK227/AK$117,0)</f>
        <v/>
      </c>
      <c r="CH227" s="4097">
        <f>IFERROR(AL227/AL$117,0)</f>
        <v/>
      </c>
      <c r="CI227" s="4097">
        <f>IFERROR(AM227/AM$117,0)</f>
        <v/>
      </c>
      <c r="CJ227" s="4097">
        <f>IFERROR(AN227/AN$117,0)</f>
        <v/>
      </c>
      <c r="CK227" s="4098">
        <f>IFERROR(AO227/AO$117,0)</f>
        <v/>
      </c>
      <c r="CL227" s="4097">
        <f>IFERROR(AP227/AP$117,0)</f>
        <v/>
      </c>
      <c r="CM227" s="4097">
        <f>IFERROR(AQ227/AQ$117,0)</f>
        <v/>
      </c>
      <c r="CN227" s="4097">
        <f>IFERROR(AR227/AR$117,0)</f>
        <v/>
      </c>
      <c r="CO227" s="4097">
        <f>IFERROR(AS227/AS$117,0)</f>
        <v/>
      </c>
      <c r="CP227" s="4097">
        <f>IFERROR(AT227/AT$117,0)</f>
        <v/>
      </c>
      <c r="CQ227" s="4099">
        <f>IFERROR(AU227/AU$117,0)</f>
        <v/>
      </c>
      <c r="CR227" s="4097">
        <f>IFERROR(AV227/AV$117,0)</f>
        <v/>
      </c>
      <c r="CS227" s="4097">
        <f>IFERROR(AW227/AW$117,0)</f>
        <v/>
      </c>
      <c r="CT227" s="4097">
        <f>IFERROR(AX227/AX$117,0)</f>
        <v/>
      </c>
      <c r="CU227" s="4097">
        <f>IFERROR(AY227/AY$117,0)</f>
        <v/>
      </c>
      <c r="CV227" s="4097">
        <f>IFERROR(AZ227/AZ$117,0)</f>
        <v/>
      </c>
      <c r="CW227" s="3737" t="n"/>
      <c r="CX227" s="4094" t="n">
        <v>-380.59628</v>
      </c>
    </row>
    <row r="228" hidden="1" outlineLevel="2" ht="12" customFormat="1" customHeight="1" s="3737">
      <c r="A228" s="4059" t="n"/>
      <c r="B228" s="4060" t="n"/>
      <c r="C228" s="4127" t="inlineStr">
        <is>
          <t>Legal fees</t>
        </is>
      </c>
      <c r="D228" s="4093" t="n">
        <v>631211</v>
      </c>
      <c r="E228" s="4093">
        <f>CONCATENATE(D228," - ",C228)</f>
        <v/>
      </c>
      <c r="F228" s="4094" t="n"/>
      <c r="G228" s="4094" t="n"/>
      <c r="H228" s="4094" t="n"/>
      <c r="I228" s="4094" t="n"/>
      <c r="J228" s="4094" t="n"/>
      <c r="K228" s="4094" t="n"/>
      <c r="L228" s="4094" t="n"/>
      <c r="M228" s="4094" t="n"/>
      <c r="N228" s="4094" t="n"/>
      <c r="O228" s="4094" t="n"/>
      <c r="P228" s="4094" t="n"/>
      <c r="Q228" s="4095" t="n"/>
      <c r="R228" s="4094" t="n"/>
      <c r="S228" s="4094" t="n"/>
      <c r="T228" s="4094" t="n"/>
      <c r="U228" s="4094" t="n"/>
      <c r="V228" s="4094" t="n"/>
      <c r="W228" s="4094" t="n"/>
      <c r="X228" s="4094" t="n"/>
      <c r="Y228" s="4094" t="n"/>
      <c r="Z228" s="4094" t="n"/>
      <c r="AA228" s="4094" t="n"/>
      <c r="AB228" s="4094" t="n"/>
      <c r="AC228" s="4095" t="n"/>
      <c r="AD228" s="4094" t="n"/>
      <c r="AE228" s="4094" t="n"/>
      <c r="AF228" s="4094" t="n"/>
      <c r="AG228" s="4094" t="n"/>
      <c r="AH228" s="4094" t="n"/>
      <c r="AI228" s="4094" t="n"/>
      <c r="AJ228" s="4094" t="n"/>
      <c r="AK228" s="4094" t="n"/>
      <c r="AL228" s="4094" t="n"/>
      <c r="AM228" s="4094" t="n"/>
      <c r="AN228" s="4094" t="n"/>
      <c r="AO228" s="4095" t="n"/>
      <c r="AP228" s="4094" t="n">
        <v>-5</v>
      </c>
      <c r="AQ228" s="4094" t="n">
        <v>-4.5</v>
      </c>
      <c r="AR228" s="4094" t="n">
        <v>-4.09138</v>
      </c>
      <c r="AS228" s="4094" t="n">
        <v>-8.960000000000001</v>
      </c>
      <c r="AT228" s="4094" t="n">
        <v>-14.27095</v>
      </c>
      <c r="AU228" s="4096" t="n">
        <v>-9.789</v>
      </c>
      <c r="AV228" s="4094">
        <f>SUM(F228:Q228)</f>
        <v/>
      </c>
      <c r="AW228" s="4094">
        <f>SUM(R228:AC228)</f>
        <v/>
      </c>
      <c r="AX228" s="4094">
        <f>SUM(AD228:AO228)</f>
        <v/>
      </c>
      <c r="AY228" s="4094">
        <f>SUM(AH228:AS228)</f>
        <v/>
      </c>
      <c r="AZ228" s="4094">
        <f>SUM(AJ228:AU228)</f>
        <v/>
      </c>
      <c r="BA228" s="3737" t="n"/>
      <c r="BB228" s="4097">
        <f>IFERROR(F228/F$117,0)</f>
        <v/>
      </c>
      <c r="BC228" s="4097">
        <f>IFERROR(G228/G$117,0)</f>
        <v/>
      </c>
      <c r="BD228" s="4097">
        <f>IFERROR(H228/H$117,0)</f>
        <v/>
      </c>
      <c r="BE228" s="4097">
        <f>IFERROR(I228/I$117,0)</f>
        <v/>
      </c>
      <c r="BF228" s="4097">
        <f>IFERROR(J228/J$117,0)</f>
        <v/>
      </c>
      <c r="BG228" s="4097">
        <f>IFERROR(K228/K$117,0)</f>
        <v/>
      </c>
      <c r="BH228" s="4097">
        <f>IFERROR(L228/L$117,0)</f>
        <v/>
      </c>
      <c r="BI228" s="4097">
        <f>IFERROR(M228/M$117,0)</f>
        <v/>
      </c>
      <c r="BJ228" s="4097">
        <f>IFERROR(N228/N$117,0)</f>
        <v/>
      </c>
      <c r="BK228" s="4097">
        <f>IFERROR(O228/O$117,0)</f>
        <v/>
      </c>
      <c r="BL228" s="4097">
        <f>IFERROR(P228/P$117,0)</f>
        <v/>
      </c>
      <c r="BM228" s="4098">
        <f>IFERROR(Q228/Q$117,0)</f>
        <v/>
      </c>
      <c r="BN228" s="4097">
        <f>IFERROR(R228/R$117,0)</f>
        <v/>
      </c>
      <c r="BO228" s="4097">
        <f>IFERROR(S228/S$117,0)</f>
        <v/>
      </c>
      <c r="BP228" s="4097">
        <f>IFERROR(T228/T$117,0)</f>
        <v/>
      </c>
      <c r="BQ228" s="4097">
        <f>IFERROR(U228/U$117,0)</f>
        <v/>
      </c>
      <c r="BR228" s="4097">
        <f>IFERROR(V228/V$117,0)</f>
        <v/>
      </c>
      <c r="BS228" s="4097">
        <f>IFERROR(W228/W$117,0)</f>
        <v/>
      </c>
      <c r="BT228" s="4097">
        <f>IFERROR(X228/X$117,0)</f>
        <v/>
      </c>
      <c r="BU228" s="4097">
        <f>IFERROR(Y228/Y$117,0)</f>
        <v/>
      </c>
      <c r="BV228" s="4097">
        <f>IFERROR(Z228/Z$117,0)</f>
        <v/>
      </c>
      <c r="BW228" s="4097">
        <f>IFERROR(AA228/AA$117,0)</f>
        <v/>
      </c>
      <c r="BX228" s="4097">
        <f>IFERROR(AB228/AB$117,0)</f>
        <v/>
      </c>
      <c r="BY228" s="4098">
        <f>IFERROR(AC228/AC$117,0)</f>
        <v/>
      </c>
      <c r="BZ228" s="4097">
        <f>IFERROR(AD228/AD$117,0)</f>
        <v/>
      </c>
      <c r="CA228" s="4097">
        <f>IFERROR(AE228/AE$117,0)</f>
        <v/>
      </c>
      <c r="CB228" s="4097">
        <f>IFERROR(AF228/AF$117,0)</f>
        <v/>
      </c>
      <c r="CC228" s="4097">
        <f>IFERROR(AG228/AG$117,0)</f>
        <v/>
      </c>
      <c r="CD228" s="4097">
        <f>IFERROR(AH228/AH$117,0)</f>
        <v/>
      </c>
      <c r="CE228" s="4097">
        <f>IFERROR(AI228/AI$117,0)</f>
        <v/>
      </c>
      <c r="CF228" s="4097">
        <f>IFERROR(AJ228/AJ$117,0)</f>
        <v/>
      </c>
      <c r="CG228" s="4097">
        <f>IFERROR(AK228/AK$117,0)</f>
        <v/>
      </c>
      <c r="CH228" s="4097">
        <f>IFERROR(AL228/AL$117,0)</f>
        <v/>
      </c>
      <c r="CI228" s="4097">
        <f>IFERROR(AM228/AM$117,0)</f>
        <v/>
      </c>
      <c r="CJ228" s="4097">
        <f>IFERROR(AN228/AN$117,0)</f>
        <v/>
      </c>
      <c r="CK228" s="4098">
        <f>IFERROR(AO228/AO$117,0)</f>
        <v/>
      </c>
      <c r="CL228" s="4097">
        <f>IFERROR(AP228/AP$117,0)</f>
        <v/>
      </c>
      <c r="CM228" s="4097">
        <f>IFERROR(AQ228/AQ$117,0)</f>
        <v/>
      </c>
      <c r="CN228" s="4097">
        <f>IFERROR(AR228/AR$117,0)</f>
        <v/>
      </c>
      <c r="CO228" s="4097">
        <f>IFERROR(AS228/AS$117,0)</f>
        <v/>
      </c>
      <c r="CP228" s="4097">
        <f>IFERROR(AT228/AT$117,0)</f>
        <v/>
      </c>
      <c r="CQ228" s="4099">
        <f>IFERROR(AU228/AU$117,0)</f>
        <v/>
      </c>
      <c r="CR228" s="4097">
        <f>IFERROR(AV228/AV$117,0)</f>
        <v/>
      </c>
      <c r="CS228" s="4097">
        <f>IFERROR(AW228/AW$117,0)</f>
        <v/>
      </c>
      <c r="CT228" s="4097">
        <f>IFERROR(AX228/AX$117,0)</f>
        <v/>
      </c>
      <c r="CU228" s="4097">
        <f>IFERROR(AY228/AY$117,0)</f>
        <v/>
      </c>
      <c r="CV228" s="4097">
        <f>IFERROR(AZ228/AZ$117,0)</f>
        <v/>
      </c>
      <c r="CW228" s="3737" t="n"/>
      <c r="CX228" s="4094" t="n">
        <v>-112.18004</v>
      </c>
    </row>
    <row r="229" hidden="1" outlineLevel="2" ht="12" customFormat="1" customHeight="1" s="3737">
      <c r="A229" s="4059" t="n"/>
      <c r="B229" s="4060" t="n"/>
      <c r="C229" s="4127" t="inlineStr">
        <is>
          <t>Contracted administration services</t>
        </is>
      </c>
      <c r="D229" s="4093" t="n">
        <v>631401</v>
      </c>
      <c r="E229" s="4093">
        <f>CONCATENATE(D229," - ",C229)</f>
        <v/>
      </c>
      <c r="F229" s="4094" t="n"/>
      <c r="G229" s="4094" t="n"/>
      <c r="H229" s="4094" t="n"/>
      <c r="I229" s="4094" t="n"/>
      <c r="J229" s="4094" t="n"/>
      <c r="K229" s="4094" t="n"/>
      <c r="L229" s="4094" t="n"/>
      <c r="M229" s="4094" t="n"/>
      <c r="N229" s="4094" t="n"/>
      <c r="O229" s="4094" t="n"/>
      <c r="P229" s="4094" t="n"/>
      <c r="Q229" s="4095" t="n"/>
      <c r="R229" s="4094" t="n"/>
      <c r="S229" s="4094" t="n"/>
      <c r="T229" s="4094" t="n"/>
      <c r="U229" s="4094" t="n"/>
      <c r="V229" s="4094" t="n"/>
      <c r="W229" s="4094" t="n"/>
      <c r="X229" s="4094" t="n"/>
      <c r="Y229" s="4094" t="n"/>
      <c r="Z229" s="4094" t="n"/>
      <c r="AA229" s="4094" t="n"/>
      <c r="AB229" s="4094" t="n"/>
      <c r="AC229" s="4095" t="n"/>
      <c r="AD229" s="4094" t="n"/>
      <c r="AE229" s="4094" t="n"/>
      <c r="AF229" s="4094" t="n"/>
      <c r="AG229" s="4094" t="n"/>
      <c r="AH229" s="4094" t="n"/>
      <c r="AI229" s="4094" t="n"/>
      <c r="AJ229" s="4094" t="n"/>
      <c r="AK229" s="4094" t="n"/>
      <c r="AL229" s="4094" t="n"/>
      <c r="AM229" s="4094" t="n"/>
      <c r="AN229" s="4094" t="n"/>
      <c r="AO229" s="4095" t="n"/>
      <c r="AP229" s="4094" t="n">
        <v>-15.50343</v>
      </c>
      <c r="AQ229" s="4094" t="n">
        <v>-15.91636</v>
      </c>
      <c r="AR229" s="4094" t="n">
        <v>-23.15061</v>
      </c>
      <c r="AS229" s="4094" t="n">
        <v>-19.19064</v>
      </c>
      <c r="AT229" s="4094" t="n">
        <v>-16.59707</v>
      </c>
      <c r="AU229" s="4096" t="n">
        <v>-15.97642</v>
      </c>
      <c r="AV229" s="4094">
        <f>SUM(F229:Q229)</f>
        <v/>
      </c>
      <c r="AW229" s="4094">
        <f>SUM(R229:AC229)</f>
        <v/>
      </c>
      <c r="AX229" s="4094">
        <f>SUM(AD229:AO229)</f>
        <v/>
      </c>
      <c r="AY229" s="4094">
        <f>SUM(AH229:AS229)</f>
        <v/>
      </c>
      <c r="AZ229" s="4094">
        <f>SUM(AJ229:AU229)</f>
        <v/>
      </c>
      <c r="BA229" s="3737" t="n"/>
      <c r="BB229" s="4097">
        <f>IFERROR(F229/F$117,0)</f>
        <v/>
      </c>
      <c r="BC229" s="4097">
        <f>IFERROR(G229/G$117,0)</f>
        <v/>
      </c>
      <c r="BD229" s="4097">
        <f>IFERROR(H229/H$117,0)</f>
        <v/>
      </c>
      <c r="BE229" s="4097">
        <f>IFERROR(I229/I$117,0)</f>
        <v/>
      </c>
      <c r="BF229" s="4097">
        <f>IFERROR(J229/J$117,0)</f>
        <v/>
      </c>
      <c r="BG229" s="4097">
        <f>IFERROR(K229/K$117,0)</f>
        <v/>
      </c>
      <c r="BH229" s="4097">
        <f>IFERROR(L229/L$117,0)</f>
        <v/>
      </c>
      <c r="BI229" s="4097">
        <f>IFERROR(M229/M$117,0)</f>
        <v/>
      </c>
      <c r="BJ229" s="4097">
        <f>IFERROR(N229/N$117,0)</f>
        <v/>
      </c>
      <c r="BK229" s="4097">
        <f>IFERROR(O229/O$117,0)</f>
        <v/>
      </c>
      <c r="BL229" s="4097">
        <f>IFERROR(P229/P$117,0)</f>
        <v/>
      </c>
      <c r="BM229" s="4098">
        <f>IFERROR(Q229/Q$117,0)</f>
        <v/>
      </c>
      <c r="BN229" s="4097">
        <f>IFERROR(R229/R$117,0)</f>
        <v/>
      </c>
      <c r="BO229" s="4097">
        <f>IFERROR(S229/S$117,0)</f>
        <v/>
      </c>
      <c r="BP229" s="4097">
        <f>IFERROR(T229/T$117,0)</f>
        <v/>
      </c>
      <c r="BQ229" s="4097">
        <f>IFERROR(U229/U$117,0)</f>
        <v/>
      </c>
      <c r="BR229" s="4097">
        <f>IFERROR(V229/V$117,0)</f>
        <v/>
      </c>
      <c r="BS229" s="4097">
        <f>IFERROR(W229/W$117,0)</f>
        <v/>
      </c>
      <c r="BT229" s="4097">
        <f>IFERROR(X229/X$117,0)</f>
        <v/>
      </c>
      <c r="BU229" s="4097">
        <f>IFERROR(Y229/Y$117,0)</f>
        <v/>
      </c>
      <c r="BV229" s="4097">
        <f>IFERROR(Z229/Z$117,0)</f>
        <v/>
      </c>
      <c r="BW229" s="4097">
        <f>IFERROR(AA229/AA$117,0)</f>
        <v/>
      </c>
      <c r="BX229" s="4097">
        <f>IFERROR(AB229/AB$117,0)</f>
        <v/>
      </c>
      <c r="BY229" s="4098">
        <f>IFERROR(AC229/AC$117,0)</f>
        <v/>
      </c>
      <c r="BZ229" s="4097">
        <f>IFERROR(AD229/AD$117,0)</f>
        <v/>
      </c>
      <c r="CA229" s="4097">
        <f>IFERROR(AE229/AE$117,0)</f>
        <v/>
      </c>
      <c r="CB229" s="4097">
        <f>IFERROR(AF229/AF$117,0)</f>
        <v/>
      </c>
      <c r="CC229" s="4097">
        <f>IFERROR(AG229/AG$117,0)</f>
        <v/>
      </c>
      <c r="CD229" s="4097">
        <f>IFERROR(AH229/AH$117,0)</f>
        <v/>
      </c>
      <c r="CE229" s="4097">
        <f>IFERROR(AI229/AI$117,0)</f>
        <v/>
      </c>
      <c r="CF229" s="4097">
        <f>IFERROR(AJ229/AJ$117,0)</f>
        <v/>
      </c>
      <c r="CG229" s="4097">
        <f>IFERROR(AK229/AK$117,0)</f>
        <v/>
      </c>
      <c r="CH229" s="4097">
        <f>IFERROR(AL229/AL$117,0)</f>
        <v/>
      </c>
      <c r="CI229" s="4097">
        <f>IFERROR(AM229/AM$117,0)</f>
        <v/>
      </c>
      <c r="CJ229" s="4097">
        <f>IFERROR(AN229/AN$117,0)</f>
        <v/>
      </c>
      <c r="CK229" s="4098">
        <f>IFERROR(AO229/AO$117,0)</f>
        <v/>
      </c>
      <c r="CL229" s="4097">
        <f>IFERROR(AP229/AP$117,0)</f>
        <v/>
      </c>
      <c r="CM229" s="4097">
        <f>IFERROR(AQ229/AQ$117,0)</f>
        <v/>
      </c>
      <c r="CN229" s="4097">
        <f>IFERROR(AR229/AR$117,0)</f>
        <v/>
      </c>
      <c r="CO229" s="4097">
        <f>IFERROR(AS229/AS$117,0)</f>
        <v/>
      </c>
      <c r="CP229" s="4097">
        <f>IFERROR(AT229/AT$117,0)</f>
        <v/>
      </c>
      <c r="CQ229" s="4099">
        <f>IFERROR(AU229/AU$117,0)</f>
        <v/>
      </c>
      <c r="CR229" s="4097">
        <f>IFERROR(AV229/AV$117,0)</f>
        <v/>
      </c>
      <c r="CS229" s="4097">
        <f>IFERROR(AW229/AW$117,0)</f>
        <v/>
      </c>
      <c r="CT229" s="4097">
        <f>IFERROR(AX229/AX$117,0)</f>
        <v/>
      </c>
      <c r="CU229" s="4097">
        <f>IFERROR(AY229/AY$117,0)</f>
        <v/>
      </c>
      <c r="CV229" s="4097">
        <f>IFERROR(AZ229/AZ$117,0)</f>
        <v/>
      </c>
      <c r="CW229" s="3737" t="n"/>
      <c r="CX229" s="4094" t="n">
        <v>-398.55149</v>
      </c>
    </row>
    <row r="230" hidden="1" outlineLevel="2" ht="12" customFormat="1" customHeight="1" s="3737">
      <c r="A230" s="4059" t="n"/>
      <c r="B230" s="4060" t="n"/>
      <c r="C230" s="4127" t="inlineStr">
        <is>
          <t>Contracted technical services</t>
        </is>
      </c>
      <c r="D230" s="4093" t="n">
        <v>631402</v>
      </c>
      <c r="E230" s="4093">
        <f>CONCATENATE(D230," - ",C230)</f>
        <v/>
      </c>
      <c r="F230" s="4094" t="n"/>
      <c r="G230" s="4094" t="n"/>
      <c r="H230" s="4094" t="n"/>
      <c r="I230" s="4094" t="n"/>
      <c r="J230" s="4094" t="n"/>
      <c r="K230" s="4094" t="n"/>
      <c r="L230" s="4094" t="n"/>
      <c r="M230" s="4094" t="n"/>
      <c r="N230" s="4094" t="n"/>
      <c r="O230" s="4094" t="n"/>
      <c r="P230" s="4094" t="n"/>
      <c r="Q230" s="4095" t="n"/>
      <c r="R230" s="4094" t="n"/>
      <c r="S230" s="4094" t="n"/>
      <c r="T230" s="4094" t="n"/>
      <c r="U230" s="4094" t="n"/>
      <c r="V230" s="4094" t="n"/>
      <c r="W230" s="4094" t="n"/>
      <c r="X230" s="4094" t="n"/>
      <c r="Y230" s="4094" t="n"/>
      <c r="Z230" s="4094" t="n"/>
      <c r="AA230" s="4094" t="n"/>
      <c r="AB230" s="4094" t="n"/>
      <c r="AC230" s="4095" t="n"/>
      <c r="AD230" s="4094" t="n"/>
      <c r="AE230" s="4094" t="n"/>
      <c r="AF230" s="4094" t="n"/>
      <c r="AG230" s="4094" t="n"/>
      <c r="AH230" s="4094" t="n"/>
      <c r="AI230" s="4094" t="n"/>
      <c r="AJ230" s="4094" t="n"/>
      <c r="AK230" s="4094" t="n"/>
      <c r="AL230" s="4094" t="n"/>
      <c r="AM230" s="4094" t="n"/>
      <c r="AN230" s="4094" t="n"/>
      <c r="AO230" s="4095" t="n"/>
      <c r="AP230" s="4094" t="n">
        <v>0</v>
      </c>
      <c r="AQ230" s="4094" t="n">
        <v>0</v>
      </c>
      <c r="AR230" s="4094" t="n">
        <v>-2.628</v>
      </c>
      <c r="AS230" s="4094" t="n">
        <v>0</v>
      </c>
      <c r="AT230" s="4094" t="n">
        <v>0</v>
      </c>
      <c r="AU230" s="4096" t="n">
        <v>0</v>
      </c>
      <c r="AV230" s="4094">
        <f>SUM(F230:Q230)</f>
        <v/>
      </c>
      <c r="AW230" s="4094">
        <f>SUM(R230:AC230)</f>
        <v/>
      </c>
      <c r="AX230" s="4094">
        <f>SUM(AD230:AO230)</f>
        <v/>
      </c>
      <c r="AY230" s="4094">
        <f>SUM(AH230:AS230)</f>
        <v/>
      </c>
      <c r="AZ230" s="4094">
        <f>SUM(AJ230:AU230)</f>
        <v/>
      </c>
      <c r="BA230" s="3737" t="n"/>
      <c r="BB230" s="4097">
        <f>IFERROR(F230/F$117,0)</f>
        <v/>
      </c>
      <c r="BC230" s="4097">
        <f>IFERROR(G230/G$117,0)</f>
        <v/>
      </c>
      <c r="BD230" s="4097">
        <f>IFERROR(H230/H$117,0)</f>
        <v/>
      </c>
      <c r="BE230" s="4097">
        <f>IFERROR(I230/I$117,0)</f>
        <v/>
      </c>
      <c r="BF230" s="4097">
        <f>IFERROR(J230/J$117,0)</f>
        <v/>
      </c>
      <c r="BG230" s="4097">
        <f>IFERROR(K230/K$117,0)</f>
        <v/>
      </c>
      <c r="BH230" s="4097">
        <f>IFERROR(L230/L$117,0)</f>
        <v/>
      </c>
      <c r="BI230" s="4097">
        <f>IFERROR(M230/M$117,0)</f>
        <v/>
      </c>
      <c r="BJ230" s="4097">
        <f>IFERROR(N230/N$117,0)</f>
        <v/>
      </c>
      <c r="BK230" s="4097">
        <f>IFERROR(O230/O$117,0)</f>
        <v/>
      </c>
      <c r="BL230" s="4097">
        <f>IFERROR(P230/P$117,0)</f>
        <v/>
      </c>
      <c r="BM230" s="4098">
        <f>IFERROR(Q230/Q$117,0)</f>
        <v/>
      </c>
      <c r="BN230" s="4097">
        <f>IFERROR(R230/R$117,0)</f>
        <v/>
      </c>
      <c r="BO230" s="4097">
        <f>IFERROR(S230/S$117,0)</f>
        <v/>
      </c>
      <c r="BP230" s="4097">
        <f>IFERROR(T230/T$117,0)</f>
        <v/>
      </c>
      <c r="BQ230" s="4097">
        <f>IFERROR(U230/U$117,0)</f>
        <v/>
      </c>
      <c r="BR230" s="4097">
        <f>IFERROR(V230/V$117,0)</f>
        <v/>
      </c>
      <c r="BS230" s="4097">
        <f>IFERROR(W230/W$117,0)</f>
        <v/>
      </c>
      <c r="BT230" s="4097">
        <f>IFERROR(X230/X$117,0)</f>
        <v/>
      </c>
      <c r="BU230" s="4097">
        <f>IFERROR(Y230/Y$117,0)</f>
        <v/>
      </c>
      <c r="BV230" s="4097">
        <f>IFERROR(Z230/Z$117,0)</f>
        <v/>
      </c>
      <c r="BW230" s="4097">
        <f>IFERROR(AA230/AA$117,0)</f>
        <v/>
      </c>
      <c r="BX230" s="4097">
        <f>IFERROR(AB230/AB$117,0)</f>
        <v/>
      </c>
      <c r="BY230" s="4098">
        <f>IFERROR(AC230/AC$117,0)</f>
        <v/>
      </c>
      <c r="BZ230" s="4097">
        <f>IFERROR(AD230/AD$117,0)</f>
        <v/>
      </c>
      <c r="CA230" s="4097">
        <f>IFERROR(AE230/AE$117,0)</f>
        <v/>
      </c>
      <c r="CB230" s="4097">
        <f>IFERROR(AF230/AF$117,0)</f>
        <v/>
      </c>
      <c r="CC230" s="4097">
        <f>IFERROR(AG230/AG$117,0)</f>
        <v/>
      </c>
      <c r="CD230" s="4097">
        <f>IFERROR(AH230/AH$117,0)</f>
        <v/>
      </c>
      <c r="CE230" s="4097">
        <f>IFERROR(AI230/AI$117,0)</f>
        <v/>
      </c>
      <c r="CF230" s="4097">
        <f>IFERROR(AJ230/AJ$117,0)</f>
        <v/>
      </c>
      <c r="CG230" s="4097">
        <f>IFERROR(AK230/AK$117,0)</f>
        <v/>
      </c>
      <c r="CH230" s="4097">
        <f>IFERROR(AL230/AL$117,0)</f>
        <v/>
      </c>
      <c r="CI230" s="4097">
        <f>IFERROR(AM230/AM$117,0)</f>
        <v/>
      </c>
      <c r="CJ230" s="4097">
        <f>IFERROR(AN230/AN$117,0)</f>
        <v/>
      </c>
      <c r="CK230" s="4098">
        <f>IFERROR(AO230/AO$117,0)</f>
        <v/>
      </c>
      <c r="CL230" s="4097">
        <f>IFERROR(AP230/AP$117,0)</f>
        <v/>
      </c>
      <c r="CM230" s="4097">
        <f>IFERROR(AQ230/AQ$117,0)</f>
        <v/>
      </c>
      <c r="CN230" s="4097">
        <f>IFERROR(AR230/AR$117,0)</f>
        <v/>
      </c>
      <c r="CO230" s="4097">
        <f>IFERROR(AS230/AS$117,0)</f>
        <v/>
      </c>
      <c r="CP230" s="4097">
        <f>IFERROR(AT230/AT$117,0)</f>
        <v/>
      </c>
      <c r="CQ230" s="4099">
        <f>IFERROR(AU230/AU$117,0)</f>
        <v/>
      </c>
      <c r="CR230" s="4097">
        <f>IFERROR(AV230/AV$117,0)</f>
        <v/>
      </c>
      <c r="CS230" s="4097">
        <f>IFERROR(AW230/AW$117,0)</f>
        <v/>
      </c>
      <c r="CT230" s="4097">
        <f>IFERROR(AX230/AX$117,0)</f>
        <v/>
      </c>
      <c r="CU230" s="4097">
        <f>IFERROR(AY230/AY$117,0)</f>
        <v/>
      </c>
      <c r="CV230" s="4097">
        <f>IFERROR(AZ230/AZ$117,0)</f>
        <v/>
      </c>
      <c r="CW230" s="3737" t="n"/>
      <c r="CX230" s="4094" t="n">
        <v>-25.73275</v>
      </c>
    </row>
    <row r="231" hidden="1" outlineLevel="2" ht="12" customFormat="1" customHeight="1" s="3737">
      <c r="A231" s="4059" t="n"/>
      <c r="B231" s="4060" t="n"/>
      <c r="C231" s="4129" t="inlineStr">
        <is>
          <t>Contracted Conversion Study</t>
        </is>
      </c>
      <c r="D231" s="4112" t="n">
        <v>631415</v>
      </c>
      <c r="E231" s="4112">
        <f>CONCATENATE(D231," - ",C231)</f>
        <v/>
      </c>
      <c r="F231" s="4094" t="n"/>
      <c r="G231" s="4094" t="n"/>
      <c r="H231" s="4094" t="n"/>
      <c r="I231" s="4094" t="n"/>
      <c r="J231" s="4094" t="n"/>
      <c r="K231" s="4094" t="n"/>
      <c r="L231" s="4094" t="n"/>
      <c r="M231" s="4094" t="n"/>
      <c r="N231" s="4094" t="n"/>
      <c r="O231" s="4094" t="n"/>
      <c r="P231" s="4094" t="n"/>
      <c r="Q231" s="4095" t="n"/>
      <c r="R231" s="4094" t="n"/>
      <c r="S231" s="4094" t="n"/>
      <c r="T231" s="4094" t="n"/>
      <c r="U231" s="4094" t="n"/>
      <c r="V231" s="4094" t="n"/>
      <c r="W231" s="4094" t="n"/>
      <c r="X231" s="4094" t="n"/>
      <c r="Y231" s="4094" t="n"/>
      <c r="Z231" s="4094" t="n"/>
      <c r="AA231" s="4094" t="n"/>
      <c r="AB231" s="4094" t="n"/>
      <c r="AC231" s="4095" t="n"/>
      <c r="AD231" s="4094" t="n"/>
      <c r="AE231" s="4094" t="n"/>
      <c r="AF231" s="4094" t="n"/>
      <c r="AG231" s="4094" t="n"/>
      <c r="AH231" s="4094" t="n"/>
      <c r="AI231" s="4094" t="n"/>
      <c r="AJ231" s="4094" t="n"/>
      <c r="AK231" s="4094" t="n"/>
      <c r="AL231" s="4094" t="n"/>
      <c r="AM231" s="4094" t="n"/>
      <c r="AN231" s="4094" t="n"/>
      <c r="AO231" s="4095" t="n"/>
      <c r="AP231" s="4094" t="n">
        <v>0</v>
      </c>
      <c r="AQ231" s="4094" t="n">
        <v>0</v>
      </c>
      <c r="AR231" s="4094" t="n">
        <v>0</v>
      </c>
      <c r="AS231" s="4094" t="n">
        <v>0</v>
      </c>
      <c r="AT231" s="4094" t="n">
        <v>0</v>
      </c>
      <c r="AU231" s="4096" t="n">
        <v>-150</v>
      </c>
      <c r="AV231" s="4094">
        <f>SUM(F231:Q231)</f>
        <v/>
      </c>
      <c r="AW231" s="4094">
        <f>SUM(R231:AC231)</f>
        <v/>
      </c>
      <c r="AX231" s="4094">
        <f>SUM(AD231:AO231)</f>
        <v/>
      </c>
      <c r="AY231" s="4094">
        <f>SUM(AH231:AS231)</f>
        <v/>
      </c>
      <c r="AZ231" s="4094">
        <f>SUM(AJ231:AU231)</f>
        <v/>
      </c>
      <c r="BA231" s="3737" t="n"/>
      <c r="BB231" s="4097">
        <f>IFERROR(F231/F$117,0)</f>
        <v/>
      </c>
      <c r="BC231" s="4097">
        <f>IFERROR(G231/G$117,0)</f>
        <v/>
      </c>
      <c r="BD231" s="4097">
        <f>IFERROR(H231/H$117,0)</f>
        <v/>
      </c>
      <c r="BE231" s="4097">
        <f>IFERROR(I231/I$117,0)</f>
        <v/>
      </c>
      <c r="BF231" s="4097">
        <f>IFERROR(J231/J$117,0)</f>
        <v/>
      </c>
      <c r="BG231" s="4097">
        <f>IFERROR(K231/K$117,0)</f>
        <v/>
      </c>
      <c r="BH231" s="4097">
        <f>IFERROR(L231/L$117,0)</f>
        <v/>
      </c>
      <c r="BI231" s="4097">
        <f>IFERROR(M231/M$117,0)</f>
        <v/>
      </c>
      <c r="BJ231" s="4097">
        <f>IFERROR(N231/N$117,0)</f>
        <v/>
      </c>
      <c r="BK231" s="4097">
        <f>IFERROR(O231/O$117,0)</f>
        <v/>
      </c>
      <c r="BL231" s="4097">
        <f>IFERROR(P231/P$117,0)</f>
        <v/>
      </c>
      <c r="BM231" s="4098">
        <f>IFERROR(Q231/Q$117,0)</f>
        <v/>
      </c>
      <c r="BN231" s="4097">
        <f>IFERROR(R231/R$117,0)</f>
        <v/>
      </c>
      <c r="BO231" s="4097">
        <f>IFERROR(S231/S$117,0)</f>
        <v/>
      </c>
      <c r="BP231" s="4097">
        <f>IFERROR(T231/T$117,0)</f>
        <v/>
      </c>
      <c r="BQ231" s="4097">
        <f>IFERROR(U231/U$117,0)</f>
        <v/>
      </c>
      <c r="BR231" s="4097">
        <f>IFERROR(V231/V$117,0)</f>
        <v/>
      </c>
      <c r="BS231" s="4097">
        <f>IFERROR(W231/W$117,0)</f>
        <v/>
      </c>
      <c r="BT231" s="4097">
        <f>IFERROR(X231/X$117,0)</f>
        <v/>
      </c>
      <c r="BU231" s="4097">
        <f>IFERROR(Y231/Y$117,0)</f>
        <v/>
      </c>
      <c r="BV231" s="4097">
        <f>IFERROR(Z231/Z$117,0)</f>
        <v/>
      </c>
      <c r="BW231" s="4097">
        <f>IFERROR(AA231/AA$117,0)</f>
        <v/>
      </c>
      <c r="BX231" s="4097">
        <f>IFERROR(AB231/AB$117,0)</f>
        <v/>
      </c>
      <c r="BY231" s="4098">
        <f>IFERROR(AC231/AC$117,0)</f>
        <v/>
      </c>
      <c r="BZ231" s="4097">
        <f>IFERROR(AD231/AD$117,0)</f>
        <v/>
      </c>
      <c r="CA231" s="4097">
        <f>IFERROR(AE231/AE$117,0)</f>
        <v/>
      </c>
      <c r="CB231" s="4097">
        <f>IFERROR(AF231/AF$117,0)</f>
        <v/>
      </c>
      <c r="CC231" s="4097">
        <f>IFERROR(AG231/AG$117,0)</f>
        <v/>
      </c>
      <c r="CD231" s="4097">
        <f>IFERROR(AH231/AH$117,0)</f>
        <v/>
      </c>
      <c r="CE231" s="4097">
        <f>IFERROR(AI231/AI$117,0)</f>
        <v/>
      </c>
      <c r="CF231" s="4097">
        <f>IFERROR(AJ231/AJ$117,0)</f>
        <v/>
      </c>
      <c r="CG231" s="4097">
        <f>IFERROR(AK231/AK$117,0)</f>
        <v/>
      </c>
      <c r="CH231" s="4097">
        <f>IFERROR(AL231/AL$117,0)</f>
        <v/>
      </c>
      <c r="CI231" s="4097">
        <f>IFERROR(AM231/AM$117,0)</f>
        <v/>
      </c>
      <c r="CJ231" s="4097">
        <f>IFERROR(AN231/AN$117,0)</f>
        <v/>
      </c>
      <c r="CK231" s="4098">
        <f>IFERROR(AO231/AO$117,0)</f>
        <v/>
      </c>
      <c r="CL231" s="4097">
        <f>IFERROR(AP231/AP$117,0)</f>
        <v/>
      </c>
      <c r="CM231" s="4097">
        <f>IFERROR(AQ231/AQ$117,0)</f>
        <v/>
      </c>
      <c r="CN231" s="4097">
        <f>IFERROR(AR231/AR$117,0)</f>
        <v/>
      </c>
      <c r="CO231" s="4097">
        <f>IFERROR(AS231/AS$117,0)</f>
        <v/>
      </c>
      <c r="CP231" s="4097">
        <f>IFERROR(AT231/AT$117,0)</f>
        <v/>
      </c>
      <c r="CQ231" s="4099">
        <f>IFERROR(AU231/AU$117,0)</f>
        <v/>
      </c>
      <c r="CR231" s="4097">
        <f>IFERROR(AV231/AV$117,0)</f>
        <v/>
      </c>
      <c r="CS231" s="4097">
        <f>IFERROR(AW231/AW$117,0)</f>
        <v/>
      </c>
      <c r="CT231" s="4097">
        <f>IFERROR(AX231/AX$117,0)</f>
        <v/>
      </c>
      <c r="CU231" s="4097">
        <f>IFERROR(AY231/AY$117,0)</f>
        <v/>
      </c>
      <c r="CV231" s="4097">
        <f>IFERROR(AZ231/AZ$117,0)</f>
        <v/>
      </c>
      <c r="CW231" s="3737" t="n"/>
      <c r="CX231" s="4094" t="n">
        <v>0</v>
      </c>
    </row>
    <row r="232" hidden="1" outlineLevel="2" ht="12" customFormat="1" customHeight="1" s="3737">
      <c r="A232" s="4059" t="n"/>
      <c r="B232" s="4060" t="n"/>
      <c r="C232" s="4128" t="inlineStr">
        <is>
          <t>Banking fees</t>
        </is>
      </c>
      <c r="D232" s="4101" t="n">
        <v>631501</v>
      </c>
      <c r="E232" s="4101">
        <f>CONCATENATE(D232," - ",C232)</f>
        <v/>
      </c>
      <c r="F232" s="4102" t="n"/>
      <c r="G232" s="4102" t="n"/>
      <c r="H232" s="4102" t="n"/>
      <c r="I232" s="4102" t="n"/>
      <c r="J232" s="4102" t="n"/>
      <c r="K232" s="4102" t="n"/>
      <c r="L232" s="4102" t="n"/>
      <c r="M232" s="4102" t="n"/>
      <c r="N232" s="4102" t="n"/>
      <c r="O232" s="4102" t="n"/>
      <c r="P232" s="4102" t="n"/>
      <c r="Q232" s="4103" t="n"/>
      <c r="R232" s="4102" t="n"/>
      <c r="S232" s="4102" t="n"/>
      <c r="T232" s="4102" t="n"/>
      <c r="U232" s="4102" t="n"/>
      <c r="V232" s="4102" t="n"/>
      <c r="W232" s="4102" t="n"/>
      <c r="X232" s="4102" t="n"/>
      <c r="Y232" s="4102" t="n"/>
      <c r="Z232" s="4102" t="n"/>
      <c r="AA232" s="4102" t="n"/>
      <c r="AB232" s="4102" t="n"/>
      <c r="AC232" s="4103" t="n"/>
      <c r="AD232" s="4102" t="n"/>
      <c r="AE232" s="4102" t="n"/>
      <c r="AF232" s="4102" t="n"/>
      <c r="AG232" s="4102" t="n"/>
      <c r="AH232" s="4102" t="n"/>
      <c r="AI232" s="4102" t="n"/>
      <c r="AJ232" s="4102" t="n"/>
      <c r="AK232" s="4102" t="n"/>
      <c r="AL232" s="4102" t="n"/>
      <c r="AM232" s="4102" t="n"/>
      <c r="AN232" s="4102" t="n"/>
      <c r="AO232" s="4103" t="n"/>
      <c r="AP232" s="4102" t="n">
        <v>-5.47547</v>
      </c>
      <c r="AQ232" s="4102" t="n">
        <v>-5.42631</v>
      </c>
      <c r="AR232" s="4102" t="n">
        <v>-5.56919</v>
      </c>
      <c r="AS232" s="4102" t="n">
        <v>-5.33691</v>
      </c>
      <c r="AT232" s="4102" t="n">
        <v>-5.64816</v>
      </c>
      <c r="AU232" s="4104" t="n">
        <v>-5.66361</v>
      </c>
      <c r="AV232" s="4102">
        <f>SUM(F232:Q232)</f>
        <v/>
      </c>
      <c r="AW232" s="4102">
        <f>SUM(R232:AC232)</f>
        <v/>
      </c>
      <c r="AX232" s="4102">
        <f>SUM(AD232:AO232)</f>
        <v/>
      </c>
      <c r="AY232" s="4102">
        <f>SUM(AH232:AS232)</f>
        <v/>
      </c>
      <c r="AZ232" s="4102">
        <f>SUM(AJ232:AU232)</f>
        <v/>
      </c>
      <c r="BA232" s="3737" t="n"/>
      <c r="BB232" s="4105">
        <f>IFERROR(F232/F$117,0)</f>
        <v/>
      </c>
      <c r="BC232" s="4105">
        <f>IFERROR(G232/G$117,0)</f>
        <v/>
      </c>
      <c r="BD232" s="4105">
        <f>IFERROR(H232/H$117,0)</f>
        <v/>
      </c>
      <c r="BE232" s="4105">
        <f>IFERROR(I232/I$117,0)</f>
        <v/>
      </c>
      <c r="BF232" s="4105">
        <f>IFERROR(J232/J$117,0)</f>
        <v/>
      </c>
      <c r="BG232" s="4105">
        <f>IFERROR(K232/K$117,0)</f>
        <v/>
      </c>
      <c r="BH232" s="4105">
        <f>IFERROR(L232/L$117,0)</f>
        <v/>
      </c>
      <c r="BI232" s="4105">
        <f>IFERROR(M232/M$117,0)</f>
        <v/>
      </c>
      <c r="BJ232" s="4105">
        <f>IFERROR(N232/N$117,0)</f>
        <v/>
      </c>
      <c r="BK232" s="4105">
        <f>IFERROR(O232/O$117,0)</f>
        <v/>
      </c>
      <c r="BL232" s="4105">
        <f>IFERROR(P232/P$117,0)</f>
        <v/>
      </c>
      <c r="BM232" s="4106">
        <f>IFERROR(Q232/Q$117,0)</f>
        <v/>
      </c>
      <c r="BN232" s="4105">
        <f>IFERROR(R232/R$117,0)</f>
        <v/>
      </c>
      <c r="BO232" s="4105">
        <f>IFERROR(S232/S$117,0)</f>
        <v/>
      </c>
      <c r="BP232" s="4105">
        <f>IFERROR(T232/T$117,0)</f>
        <v/>
      </c>
      <c r="BQ232" s="4105">
        <f>IFERROR(U232/U$117,0)</f>
        <v/>
      </c>
      <c r="BR232" s="4105">
        <f>IFERROR(V232/V$117,0)</f>
        <v/>
      </c>
      <c r="BS232" s="4105">
        <f>IFERROR(W232/W$117,0)</f>
        <v/>
      </c>
      <c r="BT232" s="4105">
        <f>IFERROR(X232/X$117,0)</f>
        <v/>
      </c>
      <c r="BU232" s="4105">
        <f>IFERROR(Y232/Y$117,0)</f>
        <v/>
      </c>
      <c r="BV232" s="4105">
        <f>IFERROR(Z232/Z$117,0)</f>
        <v/>
      </c>
      <c r="BW232" s="4105">
        <f>IFERROR(AA232/AA$117,0)</f>
        <v/>
      </c>
      <c r="BX232" s="4105">
        <f>IFERROR(AB232/AB$117,0)</f>
        <v/>
      </c>
      <c r="BY232" s="4106">
        <f>IFERROR(AC232/AC$117,0)</f>
        <v/>
      </c>
      <c r="BZ232" s="4105">
        <f>IFERROR(AD232/AD$117,0)</f>
        <v/>
      </c>
      <c r="CA232" s="4105">
        <f>IFERROR(AE232/AE$117,0)</f>
        <v/>
      </c>
      <c r="CB232" s="4105">
        <f>IFERROR(AF232/AF$117,0)</f>
        <v/>
      </c>
      <c r="CC232" s="4105">
        <f>IFERROR(AG232/AG$117,0)</f>
        <v/>
      </c>
      <c r="CD232" s="4105">
        <f>IFERROR(AH232/AH$117,0)</f>
        <v/>
      </c>
      <c r="CE232" s="4105">
        <f>IFERROR(AI232/AI$117,0)</f>
        <v/>
      </c>
      <c r="CF232" s="4105">
        <f>IFERROR(AJ232/AJ$117,0)</f>
        <v/>
      </c>
      <c r="CG232" s="4105">
        <f>IFERROR(AK232/AK$117,0)</f>
        <v/>
      </c>
      <c r="CH232" s="4105">
        <f>IFERROR(AL232/AL$117,0)</f>
        <v/>
      </c>
      <c r="CI232" s="4105">
        <f>IFERROR(AM232/AM$117,0)</f>
        <v/>
      </c>
      <c r="CJ232" s="4105">
        <f>IFERROR(AN232/AN$117,0)</f>
        <v/>
      </c>
      <c r="CK232" s="4106">
        <f>IFERROR(AO232/AO$117,0)</f>
        <v/>
      </c>
      <c r="CL232" s="4105">
        <f>IFERROR(AP232/AP$117,0)</f>
        <v/>
      </c>
      <c r="CM232" s="4105">
        <f>IFERROR(AQ232/AQ$117,0)</f>
        <v/>
      </c>
      <c r="CN232" s="4105">
        <f>IFERROR(AR232/AR$117,0)</f>
        <v/>
      </c>
      <c r="CO232" s="4105">
        <f>IFERROR(AS232/AS$117,0)</f>
        <v/>
      </c>
      <c r="CP232" s="4105">
        <f>IFERROR(AT232/AT$117,0)</f>
        <v/>
      </c>
      <c r="CQ232" s="4107">
        <f>IFERROR(AU232/AU$117,0)</f>
        <v/>
      </c>
      <c r="CR232" s="4105">
        <f>IFERROR(AV232/AV$117,0)</f>
        <v/>
      </c>
      <c r="CS232" s="4105">
        <f>IFERROR(AW232/AW$117,0)</f>
        <v/>
      </c>
      <c r="CT232" s="4105">
        <f>IFERROR(AX232/AX$117,0)</f>
        <v/>
      </c>
      <c r="CU232" s="4105">
        <f>IFERROR(AY232/AY$117,0)</f>
        <v/>
      </c>
      <c r="CV232" s="4105">
        <f>IFERROR(AZ232/AZ$117,0)</f>
        <v/>
      </c>
      <c r="CW232" s="3737" t="n"/>
      <c r="CX232" s="4102" t="n">
        <v>-64.58059</v>
      </c>
    </row>
    <row r="233" hidden="1" outlineLevel="1" collapsed="1" ht="12" customFormat="1" customHeight="1" s="3737">
      <c r="A233" s="4059" t="n"/>
      <c r="B233" s="4060" t="n"/>
      <c r="C233" s="4092" t="inlineStr">
        <is>
          <t>Contracted services</t>
        </is>
      </c>
      <c r="D233" s="4093" t="n"/>
      <c r="E233" s="4093" t="n"/>
      <c r="F233" s="4094" t="n"/>
      <c r="G233" s="4094" t="n"/>
      <c r="H233" s="4094" t="n"/>
      <c r="I233" s="4094" t="n"/>
      <c r="J233" s="4094" t="n"/>
      <c r="K233" s="4094" t="n"/>
      <c r="L233" s="4094" t="n"/>
      <c r="M233" s="4094" t="n"/>
      <c r="N233" s="4094" t="n"/>
      <c r="O233" s="4094" t="n"/>
      <c r="P233" s="4094" t="n"/>
      <c r="Q233" s="4095" t="n"/>
      <c r="R233" s="4094" t="n"/>
      <c r="S233" s="4094" t="n"/>
      <c r="T233" s="4094" t="n"/>
      <c r="U233" s="4094" t="n"/>
      <c r="V233" s="4094" t="n"/>
      <c r="W233" s="4094" t="n"/>
      <c r="X233" s="4094" t="n"/>
      <c r="Y233" s="4094" t="n"/>
      <c r="Z233" s="4094" t="n"/>
      <c r="AA233" s="4094" t="n"/>
      <c r="AB233" s="4094" t="n"/>
      <c r="AC233" s="4095" t="n"/>
      <c r="AD233" s="4094" t="n"/>
      <c r="AE233" s="4094" t="n"/>
      <c r="AF233" s="4094" t="n"/>
      <c r="AG233" s="4094" t="n"/>
      <c r="AH233" s="4094" t="n"/>
      <c r="AI233" s="4094" t="n"/>
      <c r="AJ233" s="4094" t="n"/>
      <c r="AK233" s="4094" t="n"/>
      <c r="AL233" s="4094" t="n"/>
      <c r="AM233" s="4094" t="n"/>
      <c r="AN233" s="4094" t="n"/>
      <c r="AO233" s="4095" t="n"/>
      <c r="AP233" s="4094">
        <f>SUM(AP227:AP232)</f>
        <v/>
      </c>
      <c r="AQ233" s="4094">
        <f>SUM(AQ227:AQ232)</f>
        <v/>
      </c>
      <c r="AR233" s="4094">
        <f>SUM(AR227:AR232)</f>
        <v/>
      </c>
      <c r="AS233" s="4094">
        <f>SUM(AS227:AS232)</f>
        <v/>
      </c>
      <c r="AT233" s="4094">
        <f>SUM(AT227:AT232)</f>
        <v/>
      </c>
      <c r="AU233" s="4096">
        <f>SUM(AU227:AU232)</f>
        <v/>
      </c>
      <c r="AV233" s="4094">
        <f>SUM(AV227:AV232)</f>
        <v/>
      </c>
      <c r="AW233" s="4094">
        <f>SUM(AW227:AW232)</f>
        <v/>
      </c>
      <c r="AX233" s="4094">
        <f>SUM(AX227:AX232)</f>
        <v/>
      </c>
      <c r="AY233" s="4094">
        <f>SUM(AY227:AY232)</f>
        <v/>
      </c>
      <c r="AZ233" s="4094">
        <f>SUM(AZ227:AZ232)</f>
        <v/>
      </c>
      <c r="BA233" s="3737" t="n"/>
      <c r="BB233" s="4097">
        <f>IFERROR(F233/F$117,0)</f>
        <v/>
      </c>
      <c r="BC233" s="4097">
        <f>IFERROR(G233/G$117,0)</f>
        <v/>
      </c>
      <c r="BD233" s="4097">
        <f>IFERROR(H233/H$117,0)</f>
        <v/>
      </c>
      <c r="BE233" s="4097">
        <f>IFERROR(I233/I$117,0)</f>
        <v/>
      </c>
      <c r="BF233" s="4097">
        <f>IFERROR(J233/J$117,0)</f>
        <v/>
      </c>
      <c r="BG233" s="4097">
        <f>IFERROR(K233/K$117,0)</f>
        <v/>
      </c>
      <c r="BH233" s="4097">
        <f>IFERROR(L233/L$117,0)</f>
        <v/>
      </c>
      <c r="BI233" s="4097">
        <f>IFERROR(M233/M$117,0)</f>
        <v/>
      </c>
      <c r="BJ233" s="4097">
        <f>IFERROR(N233/N$117,0)</f>
        <v/>
      </c>
      <c r="BK233" s="4097">
        <f>IFERROR(O233/O$117,0)</f>
        <v/>
      </c>
      <c r="BL233" s="4097">
        <f>IFERROR(P233/P$117,0)</f>
        <v/>
      </c>
      <c r="BM233" s="4098">
        <f>IFERROR(Q233/Q$117,0)</f>
        <v/>
      </c>
      <c r="BN233" s="4097">
        <f>IFERROR(R233/R$117,0)</f>
        <v/>
      </c>
      <c r="BO233" s="4097">
        <f>IFERROR(S233/S$117,0)</f>
        <v/>
      </c>
      <c r="BP233" s="4097">
        <f>IFERROR(T233/T$117,0)</f>
        <v/>
      </c>
      <c r="BQ233" s="4097">
        <f>IFERROR(U233/U$117,0)</f>
        <v/>
      </c>
      <c r="BR233" s="4097">
        <f>IFERROR(V233/V$117,0)</f>
        <v/>
      </c>
      <c r="BS233" s="4097">
        <f>IFERROR(W233/W$117,0)</f>
        <v/>
      </c>
      <c r="BT233" s="4097">
        <f>IFERROR(X233/X$117,0)</f>
        <v/>
      </c>
      <c r="BU233" s="4097">
        <f>IFERROR(Y233/Y$117,0)</f>
        <v/>
      </c>
      <c r="BV233" s="4097">
        <f>IFERROR(Z233/Z$117,0)</f>
        <v/>
      </c>
      <c r="BW233" s="4097">
        <f>IFERROR(AA233/AA$117,0)</f>
        <v/>
      </c>
      <c r="BX233" s="4097">
        <f>IFERROR(AB233/AB$117,0)</f>
        <v/>
      </c>
      <c r="BY233" s="4098">
        <f>IFERROR(AC233/AC$117,0)</f>
        <v/>
      </c>
      <c r="BZ233" s="4097">
        <f>IFERROR(AD233/AD$117,0)</f>
        <v/>
      </c>
      <c r="CA233" s="4097">
        <f>IFERROR(AE233/AE$117,0)</f>
        <v/>
      </c>
      <c r="CB233" s="4097">
        <f>IFERROR(AF233/AF$117,0)</f>
        <v/>
      </c>
      <c r="CC233" s="4097">
        <f>IFERROR(AG233/AG$117,0)</f>
        <v/>
      </c>
      <c r="CD233" s="4097">
        <f>IFERROR(AH233/AH$117,0)</f>
        <v/>
      </c>
      <c r="CE233" s="4097">
        <f>IFERROR(AI233/AI$117,0)</f>
        <v/>
      </c>
      <c r="CF233" s="4097">
        <f>IFERROR(AJ233/AJ$117,0)</f>
        <v/>
      </c>
      <c r="CG233" s="4097">
        <f>IFERROR(AK233/AK$117,0)</f>
        <v/>
      </c>
      <c r="CH233" s="4097">
        <f>IFERROR(AL233/AL$117,0)</f>
        <v/>
      </c>
      <c r="CI233" s="4097">
        <f>IFERROR(AM233/AM$117,0)</f>
        <v/>
      </c>
      <c r="CJ233" s="4097">
        <f>IFERROR(AN233/AN$117,0)</f>
        <v/>
      </c>
      <c r="CK233" s="4098">
        <f>IFERROR(AO233/AO$117,0)</f>
        <v/>
      </c>
      <c r="CL233" s="4097">
        <f>IFERROR(AP233/AP$117,0)</f>
        <v/>
      </c>
      <c r="CM233" s="4097">
        <f>IFERROR(AQ233/AQ$117,0)</f>
        <v/>
      </c>
      <c r="CN233" s="4097">
        <f>IFERROR(AR233/AR$117,0)</f>
        <v/>
      </c>
      <c r="CO233" s="4097">
        <f>IFERROR(AS233/AS$117,0)</f>
        <v/>
      </c>
      <c r="CP233" s="4097">
        <f>IFERROR(AT233/AT$117,0)</f>
        <v/>
      </c>
      <c r="CQ233" s="4099">
        <f>IFERROR(AU233/AU$117,0)</f>
        <v/>
      </c>
      <c r="CR233" s="4097">
        <f>IFERROR(AV233/AV$117,0)</f>
        <v/>
      </c>
      <c r="CS233" s="4097">
        <f>IFERROR(AW233/AW$117,0)</f>
        <v/>
      </c>
      <c r="CT233" s="4097">
        <f>IFERROR(AX233/AX$117,0)</f>
        <v/>
      </c>
      <c r="CU233" s="4097">
        <f>IFERROR(AY233/AY$117,0)</f>
        <v/>
      </c>
      <c r="CV233" s="4097">
        <f>IFERROR(AZ233/AZ$117,0)</f>
        <v/>
      </c>
      <c r="CW233" s="3737" t="n"/>
      <c r="CX233" s="4094">
        <f>SUM(CX227:CX232)</f>
        <v/>
      </c>
    </row>
    <row r="234" hidden="1" outlineLevel="2" ht="12" customFormat="1" customHeight="1" s="3737">
      <c r="A234" s="4059" t="n"/>
      <c r="B234" s="4060" t="n"/>
      <c r="C234" s="4127" t="inlineStr">
        <is>
          <t>Amortize contractor revcontrct</t>
        </is>
      </c>
      <c r="D234" s="4093" t="n">
        <v>536215</v>
      </c>
      <c r="E234" s="4093">
        <f>CONCATENATE(D234," - ",C234)</f>
        <v/>
      </c>
      <c r="F234" s="4094" t="n"/>
      <c r="G234" s="4094" t="n"/>
      <c r="H234" s="4094" t="n"/>
      <c r="I234" s="4094" t="n"/>
      <c r="J234" s="4094" t="n"/>
      <c r="K234" s="4094" t="n"/>
      <c r="L234" s="4094" t="n"/>
      <c r="M234" s="4094" t="n"/>
      <c r="N234" s="4094" t="n"/>
      <c r="O234" s="4094" t="n"/>
      <c r="P234" s="4094" t="n"/>
      <c r="Q234" s="4095" t="n"/>
      <c r="R234" s="4094" t="n"/>
      <c r="S234" s="4094" t="n"/>
      <c r="T234" s="4094" t="n"/>
      <c r="U234" s="4094" t="n"/>
      <c r="V234" s="4094" t="n"/>
      <c r="W234" s="4094" t="n"/>
      <c r="X234" s="4094" t="n"/>
      <c r="Y234" s="4094" t="n"/>
      <c r="Z234" s="4094" t="n"/>
      <c r="AA234" s="4094" t="n"/>
      <c r="AB234" s="4094" t="n"/>
      <c r="AC234" s="4095" t="n"/>
      <c r="AD234" s="4094" t="n"/>
      <c r="AE234" s="4094" t="n"/>
      <c r="AF234" s="4094" t="n"/>
      <c r="AG234" s="4094" t="n"/>
      <c r="AH234" s="4094" t="n"/>
      <c r="AI234" s="4094" t="n"/>
      <c r="AJ234" s="4094" t="n"/>
      <c r="AK234" s="4094" t="n"/>
      <c r="AL234" s="4094" t="n"/>
      <c r="AM234" s="4094" t="n"/>
      <c r="AN234" s="4094" t="n"/>
      <c r="AO234" s="4095" t="n"/>
      <c r="AP234" s="4094" t="n">
        <v>0</v>
      </c>
      <c r="AQ234" s="4094" t="n">
        <v>-20.918</v>
      </c>
      <c r="AR234" s="4094" t="n">
        <v>-40.27105</v>
      </c>
      <c r="AS234" s="4094" t="n">
        <v>-13.42367</v>
      </c>
      <c r="AT234" s="4094" t="n">
        <v>-11.56921</v>
      </c>
      <c r="AU234" s="4096" t="n">
        <v>-11.56918</v>
      </c>
      <c r="AV234" s="4094">
        <f>SUM(F234:Q234)</f>
        <v/>
      </c>
      <c r="AW234" s="4094">
        <f>SUM(R234:AC234)</f>
        <v/>
      </c>
      <c r="AX234" s="4094">
        <f>SUM(AD234:AO234)</f>
        <v/>
      </c>
      <c r="AY234" s="4094">
        <f>SUM(AH234:AS234)</f>
        <v/>
      </c>
      <c r="AZ234" s="4094">
        <f>SUM(AJ234:AU234)</f>
        <v/>
      </c>
      <c r="BA234" s="3737" t="n"/>
      <c r="BB234" s="4097">
        <f>IFERROR(F234/F$117,0)</f>
        <v/>
      </c>
      <c r="BC234" s="4097">
        <f>IFERROR(G234/G$117,0)</f>
        <v/>
      </c>
      <c r="BD234" s="4097">
        <f>IFERROR(H234/H$117,0)</f>
        <v/>
      </c>
      <c r="BE234" s="4097">
        <f>IFERROR(I234/I$117,0)</f>
        <v/>
      </c>
      <c r="BF234" s="4097">
        <f>IFERROR(J234/J$117,0)</f>
        <v/>
      </c>
      <c r="BG234" s="4097">
        <f>IFERROR(K234/K$117,0)</f>
        <v/>
      </c>
      <c r="BH234" s="4097">
        <f>IFERROR(L234/L$117,0)</f>
        <v/>
      </c>
      <c r="BI234" s="4097">
        <f>IFERROR(M234/M$117,0)</f>
        <v/>
      </c>
      <c r="BJ234" s="4097">
        <f>IFERROR(N234/N$117,0)</f>
        <v/>
      </c>
      <c r="BK234" s="4097">
        <f>IFERROR(O234/O$117,0)</f>
        <v/>
      </c>
      <c r="BL234" s="4097">
        <f>IFERROR(P234/P$117,0)</f>
        <v/>
      </c>
      <c r="BM234" s="4098">
        <f>IFERROR(Q234/Q$117,0)</f>
        <v/>
      </c>
      <c r="BN234" s="4097">
        <f>IFERROR(R234/R$117,0)</f>
        <v/>
      </c>
      <c r="BO234" s="4097">
        <f>IFERROR(S234/S$117,0)</f>
        <v/>
      </c>
      <c r="BP234" s="4097">
        <f>IFERROR(T234/T$117,0)</f>
        <v/>
      </c>
      <c r="BQ234" s="4097">
        <f>IFERROR(U234/U$117,0)</f>
        <v/>
      </c>
      <c r="BR234" s="4097">
        <f>IFERROR(V234/V$117,0)</f>
        <v/>
      </c>
      <c r="BS234" s="4097">
        <f>IFERROR(W234/W$117,0)</f>
        <v/>
      </c>
      <c r="BT234" s="4097">
        <f>IFERROR(X234/X$117,0)</f>
        <v/>
      </c>
      <c r="BU234" s="4097">
        <f>IFERROR(Y234/Y$117,0)</f>
        <v/>
      </c>
      <c r="BV234" s="4097">
        <f>IFERROR(Z234/Z$117,0)</f>
        <v/>
      </c>
      <c r="BW234" s="4097">
        <f>IFERROR(AA234/AA$117,0)</f>
        <v/>
      </c>
      <c r="BX234" s="4097">
        <f>IFERROR(AB234/AB$117,0)</f>
        <v/>
      </c>
      <c r="BY234" s="4098">
        <f>IFERROR(AC234/AC$117,0)</f>
        <v/>
      </c>
      <c r="BZ234" s="4097">
        <f>IFERROR(AD234/AD$117,0)</f>
        <v/>
      </c>
      <c r="CA234" s="4097">
        <f>IFERROR(AE234/AE$117,0)</f>
        <v/>
      </c>
      <c r="CB234" s="4097">
        <f>IFERROR(AF234/AF$117,0)</f>
        <v/>
      </c>
      <c r="CC234" s="4097">
        <f>IFERROR(AG234/AG$117,0)</f>
        <v/>
      </c>
      <c r="CD234" s="4097">
        <f>IFERROR(AH234/AH$117,0)</f>
        <v/>
      </c>
      <c r="CE234" s="4097">
        <f>IFERROR(AI234/AI$117,0)</f>
        <v/>
      </c>
      <c r="CF234" s="4097">
        <f>IFERROR(AJ234/AJ$117,0)</f>
        <v/>
      </c>
      <c r="CG234" s="4097">
        <f>IFERROR(AK234/AK$117,0)</f>
        <v/>
      </c>
      <c r="CH234" s="4097">
        <f>IFERROR(AL234/AL$117,0)</f>
        <v/>
      </c>
      <c r="CI234" s="4097">
        <f>IFERROR(AM234/AM$117,0)</f>
        <v/>
      </c>
      <c r="CJ234" s="4097">
        <f>IFERROR(AN234/AN$117,0)</f>
        <v/>
      </c>
      <c r="CK234" s="4098">
        <f>IFERROR(AO234/AO$117,0)</f>
        <v/>
      </c>
      <c r="CL234" s="4097">
        <f>IFERROR(AP234/AP$117,0)</f>
        <v/>
      </c>
      <c r="CM234" s="4097">
        <f>IFERROR(AQ234/AQ$117,0)</f>
        <v/>
      </c>
      <c r="CN234" s="4097">
        <f>IFERROR(AR234/AR$117,0)</f>
        <v/>
      </c>
      <c r="CO234" s="4097">
        <f>IFERROR(AS234/AS$117,0)</f>
        <v/>
      </c>
      <c r="CP234" s="4097">
        <f>IFERROR(AT234/AT$117,0)</f>
        <v/>
      </c>
      <c r="CQ234" s="4099">
        <f>IFERROR(AU234/AU$117,0)</f>
        <v/>
      </c>
      <c r="CR234" s="4097">
        <f>IFERROR(AV234/AV$117,0)</f>
        <v/>
      </c>
      <c r="CS234" s="4097">
        <f>IFERROR(AW234/AW$117,0)</f>
        <v/>
      </c>
      <c r="CT234" s="4097">
        <f>IFERROR(AX234/AX$117,0)</f>
        <v/>
      </c>
      <c r="CU234" s="4097">
        <f>IFERROR(AY234/AY$117,0)</f>
        <v/>
      </c>
      <c r="CV234" s="4097">
        <f>IFERROR(AZ234/AZ$117,0)</f>
        <v/>
      </c>
      <c r="CX234" s="4094" t="n">
        <v>-127.95318</v>
      </c>
    </row>
    <row r="235" hidden="1" outlineLevel="2" ht="12" customFormat="1" customHeight="1" s="3737">
      <c r="A235" s="4059" t="n"/>
      <c r="B235" s="4060" t="n"/>
      <c r="C235" s="4127" t="inlineStr">
        <is>
          <t>Amortize contractor curyear- rev contract</t>
        </is>
      </c>
      <c r="D235" s="4093" t="n">
        <v>536225</v>
      </c>
      <c r="E235" s="4093">
        <f>CONCATENATE(D235," - ",C235)</f>
        <v/>
      </c>
      <c r="F235" s="4094" t="n"/>
      <c r="G235" s="4094" t="n"/>
      <c r="H235" s="4094" t="n"/>
      <c r="I235" s="4094" t="n"/>
      <c r="J235" s="4094" t="n"/>
      <c r="K235" s="4094" t="n"/>
      <c r="L235" s="4094" t="n"/>
      <c r="M235" s="4094" t="n"/>
      <c r="N235" s="4094" t="n"/>
      <c r="O235" s="4094" t="n"/>
      <c r="P235" s="4094" t="n"/>
      <c r="Q235" s="4095" t="n"/>
      <c r="R235" s="4094" t="n"/>
      <c r="S235" s="4094" t="n"/>
      <c r="T235" s="4094" t="n"/>
      <c r="U235" s="4094" t="n"/>
      <c r="V235" s="4094" t="n"/>
      <c r="W235" s="4094" t="n"/>
      <c r="X235" s="4094" t="n"/>
      <c r="Y235" s="4094" t="n"/>
      <c r="Z235" s="4094" t="n"/>
      <c r="AA235" s="4094" t="n"/>
      <c r="AB235" s="4094" t="n"/>
      <c r="AC235" s="4095" t="n"/>
      <c r="AD235" s="4094" t="n"/>
      <c r="AE235" s="4094" t="n"/>
      <c r="AF235" s="4094" t="n"/>
      <c r="AG235" s="4094" t="n"/>
      <c r="AH235" s="4094" t="n"/>
      <c r="AI235" s="4094" t="n"/>
      <c r="AJ235" s="4094" t="n"/>
      <c r="AK235" s="4094" t="n"/>
      <c r="AL235" s="4094" t="n"/>
      <c r="AM235" s="4094" t="n"/>
      <c r="AN235" s="4094" t="n"/>
      <c r="AO235" s="4095" t="n"/>
      <c r="AP235" s="4094" t="n">
        <v>0</v>
      </c>
      <c r="AQ235" s="4094" t="n">
        <v>-3.5</v>
      </c>
      <c r="AR235" s="4094" t="n">
        <v>-3</v>
      </c>
      <c r="AS235" s="4094" t="n">
        <v>-5.75</v>
      </c>
      <c r="AT235" s="4094" t="n">
        <v>-4.5</v>
      </c>
      <c r="AU235" s="4096" t="n">
        <v>-4.5</v>
      </c>
      <c r="AV235" s="4094">
        <f>SUM(F235:Q235)</f>
        <v/>
      </c>
      <c r="AW235" s="4094">
        <f>SUM(R235:AC235)</f>
        <v/>
      </c>
      <c r="AX235" s="4094">
        <f>SUM(AD235:AO235)</f>
        <v/>
      </c>
      <c r="AY235" s="4094">
        <f>SUM(AH235:AS235)</f>
        <v/>
      </c>
      <c r="AZ235" s="4094">
        <f>SUM(AJ235:AU235)</f>
        <v/>
      </c>
      <c r="BA235" s="3737" t="n"/>
      <c r="BB235" s="4097">
        <f>IFERROR(F235/F$117,0)</f>
        <v/>
      </c>
      <c r="BC235" s="4097">
        <f>IFERROR(G235/G$117,0)</f>
        <v/>
      </c>
      <c r="BD235" s="4097">
        <f>IFERROR(H235/H$117,0)</f>
        <v/>
      </c>
      <c r="BE235" s="4097">
        <f>IFERROR(I235/I$117,0)</f>
        <v/>
      </c>
      <c r="BF235" s="4097">
        <f>IFERROR(J235/J$117,0)</f>
        <v/>
      </c>
      <c r="BG235" s="4097">
        <f>IFERROR(K235/K$117,0)</f>
        <v/>
      </c>
      <c r="BH235" s="4097">
        <f>IFERROR(L235/L$117,0)</f>
        <v/>
      </c>
      <c r="BI235" s="4097">
        <f>IFERROR(M235/M$117,0)</f>
        <v/>
      </c>
      <c r="BJ235" s="4097">
        <f>IFERROR(N235/N$117,0)</f>
        <v/>
      </c>
      <c r="BK235" s="4097">
        <f>IFERROR(O235/O$117,0)</f>
        <v/>
      </c>
      <c r="BL235" s="4097">
        <f>IFERROR(P235/P$117,0)</f>
        <v/>
      </c>
      <c r="BM235" s="4098">
        <f>IFERROR(Q235/Q$117,0)</f>
        <v/>
      </c>
      <c r="BN235" s="4097">
        <f>IFERROR(R235/R$117,0)</f>
        <v/>
      </c>
      <c r="BO235" s="4097">
        <f>IFERROR(S235/S$117,0)</f>
        <v/>
      </c>
      <c r="BP235" s="4097">
        <f>IFERROR(T235/T$117,0)</f>
        <v/>
      </c>
      <c r="BQ235" s="4097">
        <f>IFERROR(U235/U$117,0)</f>
        <v/>
      </c>
      <c r="BR235" s="4097">
        <f>IFERROR(V235/V$117,0)</f>
        <v/>
      </c>
      <c r="BS235" s="4097">
        <f>IFERROR(W235/W$117,0)</f>
        <v/>
      </c>
      <c r="BT235" s="4097">
        <f>IFERROR(X235/X$117,0)</f>
        <v/>
      </c>
      <c r="BU235" s="4097">
        <f>IFERROR(Y235/Y$117,0)</f>
        <v/>
      </c>
      <c r="BV235" s="4097">
        <f>IFERROR(Z235/Z$117,0)</f>
        <v/>
      </c>
      <c r="BW235" s="4097">
        <f>IFERROR(AA235/AA$117,0)</f>
        <v/>
      </c>
      <c r="BX235" s="4097">
        <f>IFERROR(AB235/AB$117,0)</f>
        <v/>
      </c>
      <c r="BY235" s="4098">
        <f>IFERROR(AC235/AC$117,0)</f>
        <v/>
      </c>
      <c r="BZ235" s="4097">
        <f>IFERROR(AD235/AD$117,0)</f>
        <v/>
      </c>
      <c r="CA235" s="4097">
        <f>IFERROR(AE235/AE$117,0)</f>
        <v/>
      </c>
      <c r="CB235" s="4097">
        <f>IFERROR(AF235/AF$117,0)</f>
        <v/>
      </c>
      <c r="CC235" s="4097">
        <f>IFERROR(AG235/AG$117,0)</f>
        <v/>
      </c>
      <c r="CD235" s="4097">
        <f>IFERROR(AH235/AH$117,0)</f>
        <v/>
      </c>
      <c r="CE235" s="4097">
        <f>IFERROR(AI235/AI$117,0)</f>
        <v/>
      </c>
      <c r="CF235" s="4097">
        <f>IFERROR(AJ235/AJ$117,0)</f>
        <v/>
      </c>
      <c r="CG235" s="4097">
        <f>IFERROR(AK235/AK$117,0)</f>
        <v/>
      </c>
      <c r="CH235" s="4097">
        <f>IFERROR(AL235/AL$117,0)</f>
        <v/>
      </c>
      <c r="CI235" s="4097">
        <f>IFERROR(AM235/AM$117,0)</f>
        <v/>
      </c>
      <c r="CJ235" s="4097">
        <f>IFERROR(AN235/AN$117,0)</f>
        <v/>
      </c>
      <c r="CK235" s="4098">
        <f>IFERROR(AO235/AO$117,0)</f>
        <v/>
      </c>
      <c r="CL235" s="4097">
        <f>IFERROR(AP235/AP$117,0)</f>
        <v/>
      </c>
      <c r="CM235" s="4097">
        <f>IFERROR(AQ235/AQ$117,0)</f>
        <v/>
      </c>
      <c r="CN235" s="4097">
        <f>IFERROR(AR235/AR$117,0)</f>
        <v/>
      </c>
      <c r="CO235" s="4097">
        <f>IFERROR(AS235/AS$117,0)</f>
        <v/>
      </c>
      <c r="CP235" s="4097">
        <f>IFERROR(AT235/AT$117,0)</f>
        <v/>
      </c>
      <c r="CQ235" s="4099">
        <f>IFERROR(AU235/AU$117,0)</f>
        <v/>
      </c>
      <c r="CR235" s="4097">
        <f>IFERROR(AV235/AV$117,0)</f>
        <v/>
      </c>
      <c r="CS235" s="4097">
        <f>IFERROR(AW235/AW$117,0)</f>
        <v/>
      </c>
      <c r="CT235" s="4097">
        <f>IFERROR(AX235/AX$117,0)</f>
        <v/>
      </c>
      <c r="CU235" s="4097">
        <f>IFERROR(AY235/AY$117,0)</f>
        <v/>
      </c>
      <c r="CV235" s="4097">
        <f>IFERROR(AZ235/AZ$117,0)</f>
        <v/>
      </c>
      <c r="CW235" s="3737" t="n"/>
      <c r="CX235" s="4094" t="n">
        <v>0</v>
      </c>
    </row>
    <row r="236" hidden="1" outlineLevel="2" ht="12" customFormat="1" customHeight="1" s="3737">
      <c r="A236" s="4059" t="n"/>
      <c r="B236" s="4060" t="n"/>
      <c r="C236" s="4128" t="inlineStr">
        <is>
          <t>Cap contractor - rev contracts</t>
        </is>
      </c>
      <c r="D236" s="4101" t="n">
        <v>693515</v>
      </c>
      <c r="E236" s="4101">
        <f>CONCATENATE(D236," - ",C236)</f>
        <v/>
      </c>
      <c r="F236" s="4102" t="n"/>
      <c r="G236" s="4102" t="n"/>
      <c r="H236" s="4102" t="n"/>
      <c r="I236" s="4102" t="n"/>
      <c r="J236" s="4102" t="n"/>
      <c r="K236" s="4102" t="n"/>
      <c r="L236" s="4102" t="n"/>
      <c r="M236" s="4102" t="n"/>
      <c r="N236" s="4102" t="n"/>
      <c r="O236" s="4102" t="n"/>
      <c r="P236" s="4102" t="n"/>
      <c r="Q236" s="4103" t="n"/>
      <c r="R236" s="4102" t="n"/>
      <c r="S236" s="4102" t="n"/>
      <c r="T236" s="4102" t="n"/>
      <c r="U236" s="4102" t="n"/>
      <c r="V236" s="4102" t="n"/>
      <c r="W236" s="4102" t="n"/>
      <c r="X236" s="4102" t="n"/>
      <c r="Y236" s="4102" t="n"/>
      <c r="Z236" s="4102" t="n"/>
      <c r="AA236" s="4102" t="n"/>
      <c r="AB236" s="4102" t="n"/>
      <c r="AC236" s="4103" t="n"/>
      <c r="AD236" s="4102" t="n"/>
      <c r="AE236" s="4102" t="n"/>
      <c r="AF236" s="4102" t="n"/>
      <c r="AG236" s="4102" t="n"/>
      <c r="AH236" s="4102" t="n"/>
      <c r="AI236" s="4102" t="n"/>
      <c r="AJ236" s="4102" t="n"/>
      <c r="AK236" s="4102" t="n"/>
      <c r="AL236" s="4102" t="n"/>
      <c r="AM236" s="4102" t="n"/>
      <c r="AN236" s="4102" t="n"/>
      <c r="AO236" s="4103" t="n"/>
      <c r="AP236" s="4102" t="n">
        <v>0</v>
      </c>
      <c r="AQ236" s="4102" t="n">
        <v>0</v>
      </c>
      <c r="AR236" s="4102" t="n">
        <v>0</v>
      </c>
      <c r="AS236" s="4102" t="n">
        <v>0</v>
      </c>
      <c r="AT236" s="4102" t="n">
        <v>0</v>
      </c>
      <c r="AU236" s="4104" t="n">
        <v>0</v>
      </c>
      <c r="AV236" s="4102">
        <f>SUM(F236:Q236)</f>
        <v/>
      </c>
      <c r="AW236" s="4102">
        <f>SUM(R236:AC236)</f>
        <v/>
      </c>
      <c r="AX236" s="4102">
        <f>SUM(AD236:AO236)</f>
        <v/>
      </c>
      <c r="AY236" s="4102">
        <f>SUM(AH236:AS236)</f>
        <v/>
      </c>
      <c r="AZ236" s="4102">
        <f>SUM(AJ236:AU236)</f>
        <v/>
      </c>
      <c r="BA236" s="3737" t="n"/>
      <c r="BB236" s="4105">
        <f>IFERROR(F236/F$117,0)</f>
        <v/>
      </c>
      <c r="BC236" s="4105">
        <f>IFERROR(G236/G$117,0)</f>
        <v/>
      </c>
      <c r="BD236" s="4105">
        <f>IFERROR(H236/H$117,0)</f>
        <v/>
      </c>
      <c r="BE236" s="4105">
        <f>IFERROR(I236/I$117,0)</f>
        <v/>
      </c>
      <c r="BF236" s="4105">
        <f>IFERROR(J236/J$117,0)</f>
        <v/>
      </c>
      <c r="BG236" s="4105">
        <f>IFERROR(K236/K$117,0)</f>
        <v/>
      </c>
      <c r="BH236" s="4105">
        <f>IFERROR(L236/L$117,0)</f>
        <v/>
      </c>
      <c r="BI236" s="4105">
        <f>IFERROR(M236/M$117,0)</f>
        <v/>
      </c>
      <c r="BJ236" s="4105">
        <f>IFERROR(N236/N$117,0)</f>
        <v/>
      </c>
      <c r="BK236" s="4105">
        <f>IFERROR(O236/O$117,0)</f>
        <v/>
      </c>
      <c r="BL236" s="4105">
        <f>IFERROR(P236/P$117,0)</f>
        <v/>
      </c>
      <c r="BM236" s="4106">
        <f>IFERROR(Q236/Q$117,0)</f>
        <v/>
      </c>
      <c r="BN236" s="4105">
        <f>IFERROR(R236/R$117,0)</f>
        <v/>
      </c>
      <c r="BO236" s="4105">
        <f>IFERROR(S236/S$117,0)</f>
        <v/>
      </c>
      <c r="BP236" s="4105">
        <f>IFERROR(T236/T$117,0)</f>
        <v/>
      </c>
      <c r="BQ236" s="4105">
        <f>IFERROR(U236/U$117,0)</f>
        <v/>
      </c>
      <c r="BR236" s="4105">
        <f>IFERROR(V236/V$117,0)</f>
        <v/>
      </c>
      <c r="BS236" s="4105">
        <f>IFERROR(W236/W$117,0)</f>
        <v/>
      </c>
      <c r="BT236" s="4105">
        <f>IFERROR(X236/X$117,0)</f>
        <v/>
      </c>
      <c r="BU236" s="4105">
        <f>IFERROR(Y236/Y$117,0)</f>
        <v/>
      </c>
      <c r="BV236" s="4105">
        <f>IFERROR(Z236/Z$117,0)</f>
        <v/>
      </c>
      <c r="BW236" s="4105">
        <f>IFERROR(AA236/AA$117,0)</f>
        <v/>
      </c>
      <c r="BX236" s="4105">
        <f>IFERROR(AB236/AB$117,0)</f>
        <v/>
      </c>
      <c r="BY236" s="4106">
        <f>IFERROR(AC236/AC$117,0)</f>
        <v/>
      </c>
      <c r="BZ236" s="4105">
        <f>IFERROR(AD236/AD$117,0)</f>
        <v/>
      </c>
      <c r="CA236" s="4105">
        <f>IFERROR(AE236/AE$117,0)</f>
        <v/>
      </c>
      <c r="CB236" s="4105">
        <f>IFERROR(AF236/AF$117,0)</f>
        <v/>
      </c>
      <c r="CC236" s="4105">
        <f>IFERROR(AG236/AG$117,0)</f>
        <v/>
      </c>
      <c r="CD236" s="4105">
        <f>IFERROR(AH236/AH$117,0)</f>
        <v/>
      </c>
      <c r="CE236" s="4105">
        <f>IFERROR(AI236/AI$117,0)</f>
        <v/>
      </c>
      <c r="CF236" s="4105">
        <f>IFERROR(AJ236/AJ$117,0)</f>
        <v/>
      </c>
      <c r="CG236" s="4105">
        <f>IFERROR(AK236/AK$117,0)</f>
        <v/>
      </c>
      <c r="CH236" s="4105">
        <f>IFERROR(AL236/AL$117,0)</f>
        <v/>
      </c>
      <c r="CI236" s="4105">
        <f>IFERROR(AM236/AM$117,0)</f>
        <v/>
      </c>
      <c r="CJ236" s="4105">
        <f>IFERROR(AN236/AN$117,0)</f>
        <v/>
      </c>
      <c r="CK236" s="4106">
        <f>IFERROR(AO236/AO$117,0)</f>
        <v/>
      </c>
      <c r="CL236" s="4105">
        <f>IFERROR(AP236/AP$117,0)</f>
        <v/>
      </c>
      <c r="CM236" s="4105">
        <f>IFERROR(AQ236/AQ$117,0)</f>
        <v/>
      </c>
      <c r="CN236" s="4105">
        <f>IFERROR(AR236/AR$117,0)</f>
        <v/>
      </c>
      <c r="CO236" s="4105">
        <f>IFERROR(AS236/AS$117,0)</f>
        <v/>
      </c>
      <c r="CP236" s="4105">
        <f>IFERROR(AT236/AT$117,0)</f>
        <v/>
      </c>
      <c r="CQ236" s="4107">
        <f>IFERROR(AU236/AU$117,0)</f>
        <v/>
      </c>
      <c r="CR236" s="4105">
        <f>IFERROR(AV236/AV$117,0)</f>
        <v/>
      </c>
      <c r="CS236" s="4105">
        <f>IFERROR(AW236/AW$117,0)</f>
        <v/>
      </c>
      <c r="CT236" s="4105">
        <f>IFERROR(AX236/AX$117,0)</f>
        <v/>
      </c>
      <c r="CU236" s="4105">
        <f>IFERROR(AY236/AY$117,0)</f>
        <v/>
      </c>
      <c r="CV236" s="4105">
        <f>IFERROR(AZ236/AZ$117,0)</f>
        <v/>
      </c>
      <c r="CW236" s="3737" t="n"/>
      <c r="CX236" s="4102" t="n">
        <v>0</v>
      </c>
    </row>
    <row r="237" hidden="1" outlineLevel="1" collapsed="1" ht="12" customFormat="1" customHeight="1" s="3737">
      <c r="A237" s="4059" t="n"/>
      <c r="B237" s="4060" t="n"/>
      <c r="C237" s="4100" t="inlineStr">
        <is>
          <t>Contract staff costs</t>
        </is>
      </c>
      <c r="D237" s="4101" t="n"/>
      <c r="E237" s="4101" t="n"/>
      <c r="F237" s="4130" t="n"/>
      <c r="G237" s="4130" t="n"/>
      <c r="H237" s="4130" t="n"/>
      <c r="I237" s="4130" t="n"/>
      <c r="J237" s="4130" t="n"/>
      <c r="K237" s="4130" t="n"/>
      <c r="L237" s="4130" t="n"/>
      <c r="M237" s="4130" t="n"/>
      <c r="N237" s="4130" t="n"/>
      <c r="O237" s="4130" t="n"/>
      <c r="P237" s="4130" t="n"/>
      <c r="Q237" s="4131" t="n"/>
      <c r="R237" s="4130" t="n"/>
      <c r="S237" s="4130" t="n"/>
      <c r="T237" s="4130" t="n"/>
      <c r="U237" s="4130" t="n"/>
      <c r="V237" s="4130" t="n"/>
      <c r="W237" s="4130" t="n"/>
      <c r="X237" s="4130" t="n"/>
      <c r="Y237" s="4130" t="n"/>
      <c r="Z237" s="4130" t="n"/>
      <c r="AA237" s="4130" t="n"/>
      <c r="AB237" s="4130" t="n"/>
      <c r="AC237" s="4131" t="n"/>
      <c r="AD237" s="4130" t="n"/>
      <c r="AE237" s="4130" t="n"/>
      <c r="AF237" s="4130" t="n"/>
      <c r="AG237" s="4130" t="n"/>
      <c r="AH237" s="4130" t="n"/>
      <c r="AI237" s="4130" t="n"/>
      <c r="AJ237" s="4130" t="n"/>
      <c r="AK237" s="4130" t="n"/>
      <c r="AL237" s="4130" t="n"/>
      <c r="AM237" s="4130" t="n"/>
      <c r="AN237" s="4130" t="n"/>
      <c r="AO237" s="4131" t="n"/>
      <c r="AP237" s="4130">
        <f>SUM(AP234:AP236)</f>
        <v/>
      </c>
      <c r="AQ237" s="4130">
        <f>SUM(AQ234:AQ236)</f>
        <v/>
      </c>
      <c r="AR237" s="4130">
        <f>SUM(AR234:AR236)</f>
        <v/>
      </c>
      <c r="AS237" s="4130">
        <f>SUM(AS234:AS236)</f>
        <v/>
      </c>
      <c r="AT237" s="4130">
        <f>SUM(AT234:AT236)</f>
        <v/>
      </c>
      <c r="AU237" s="4132">
        <f>SUM(AU234:AU236)</f>
        <v/>
      </c>
      <c r="AV237" s="4130">
        <f>SUM(AV234:AV236)</f>
        <v/>
      </c>
      <c r="AW237" s="4130">
        <f>SUM(AW234:AW236)</f>
        <v/>
      </c>
      <c r="AX237" s="4130">
        <f>SUM(AX234:AX236)</f>
        <v/>
      </c>
      <c r="AY237" s="4130">
        <f>SUM(AY234:AY236)</f>
        <v/>
      </c>
      <c r="AZ237" s="4130">
        <f>SUM(AZ234:AZ236)</f>
        <v/>
      </c>
      <c r="BA237" s="4133" t="n"/>
      <c r="BB237" s="4134">
        <f>IFERROR(F237/F$117,0)</f>
        <v/>
      </c>
      <c r="BC237" s="4134">
        <f>IFERROR(G237/G$117,0)</f>
        <v/>
      </c>
      <c r="BD237" s="4134">
        <f>IFERROR(H237/H$117,0)</f>
        <v/>
      </c>
      <c r="BE237" s="4134">
        <f>IFERROR(I237/I$117,0)</f>
        <v/>
      </c>
      <c r="BF237" s="4134">
        <f>IFERROR(J237/J$117,0)</f>
        <v/>
      </c>
      <c r="BG237" s="4134">
        <f>IFERROR(K237/K$117,0)</f>
        <v/>
      </c>
      <c r="BH237" s="4134">
        <f>IFERROR(L237/L$117,0)</f>
        <v/>
      </c>
      <c r="BI237" s="4134">
        <f>IFERROR(M237/M$117,0)</f>
        <v/>
      </c>
      <c r="BJ237" s="4134">
        <f>IFERROR(N237/N$117,0)</f>
        <v/>
      </c>
      <c r="BK237" s="4134">
        <f>IFERROR(O237/O$117,0)</f>
        <v/>
      </c>
      <c r="BL237" s="4134">
        <f>IFERROR(P237/P$117,0)</f>
        <v/>
      </c>
      <c r="BM237" s="4135">
        <f>IFERROR(Q237/Q$117,0)</f>
        <v/>
      </c>
      <c r="BN237" s="4134">
        <f>IFERROR(R237/R$117,0)</f>
        <v/>
      </c>
      <c r="BO237" s="4134">
        <f>IFERROR(S237/S$117,0)</f>
        <v/>
      </c>
      <c r="BP237" s="4134">
        <f>IFERROR(T237/T$117,0)</f>
        <v/>
      </c>
      <c r="BQ237" s="4134">
        <f>IFERROR(U237/U$117,0)</f>
        <v/>
      </c>
      <c r="BR237" s="4134">
        <f>IFERROR(V237/V$117,0)</f>
        <v/>
      </c>
      <c r="BS237" s="4134">
        <f>IFERROR(W237/W$117,0)</f>
        <v/>
      </c>
      <c r="BT237" s="4134">
        <f>IFERROR(X237/X$117,0)</f>
        <v/>
      </c>
      <c r="BU237" s="4134">
        <f>IFERROR(Y237/Y$117,0)</f>
        <v/>
      </c>
      <c r="BV237" s="4134">
        <f>IFERROR(Z237/Z$117,0)</f>
        <v/>
      </c>
      <c r="BW237" s="4134">
        <f>IFERROR(AA237/AA$117,0)</f>
        <v/>
      </c>
      <c r="BX237" s="4134">
        <f>IFERROR(AB237/AB$117,0)</f>
        <v/>
      </c>
      <c r="BY237" s="4135">
        <f>IFERROR(AC237/AC$117,0)</f>
        <v/>
      </c>
      <c r="BZ237" s="4134">
        <f>IFERROR(AD237/AD$117,0)</f>
        <v/>
      </c>
      <c r="CA237" s="4134">
        <f>IFERROR(AE237/AE$117,0)</f>
        <v/>
      </c>
      <c r="CB237" s="4134">
        <f>IFERROR(AF237/AF$117,0)</f>
        <v/>
      </c>
      <c r="CC237" s="4134">
        <f>IFERROR(AG237/AG$117,0)</f>
        <v/>
      </c>
      <c r="CD237" s="4134">
        <f>IFERROR(AH237/AH$117,0)</f>
        <v/>
      </c>
      <c r="CE237" s="4134">
        <f>IFERROR(AI237/AI$117,0)</f>
        <v/>
      </c>
      <c r="CF237" s="4134">
        <f>IFERROR(AJ237/AJ$117,0)</f>
        <v/>
      </c>
      <c r="CG237" s="4134">
        <f>IFERROR(AK237/AK$117,0)</f>
        <v/>
      </c>
      <c r="CH237" s="4134">
        <f>IFERROR(AL237/AL$117,0)</f>
        <v/>
      </c>
      <c r="CI237" s="4134">
        <f>IFERROR(AM237/AM$117,0)</f>
        <v/>
      </c>
      <c r="CJ237" s="4134">
        <f>IFERROR(AN237/AN$117,0)</f>
        <v/>
      </c>
      <c r="CK237" s="4135">
        <f>IFERROR(AO237/AO$117,0)</f>
        <v/>
      </c>
      <c r="CL237" s="4134">
        <f>IFERROR(AP237/AP$117,0)</f>
        <v/>
      </c>
      <c r="CM237" s="4134">
        <f>IFERROR(AQ237/AQ$117,0)</f>
        <v/>
      </c>
      <c r="CN237" s="4134">
        <f>IFERROR(AR237/AR$117,0)</f>
        <v/>
      </c>
      <c r="CO237" s="4134">
        <f>IFERROR(AS237/AS$117,0)</f>
        <v/>
      </c>
      <c r="CP237" s="4134">
        <f>IFERROR(AT237/AT$117,0)</f>
        <v/>
      </c>
      <c r="CQ237" s="4136">
        <f>IFERROR(AU237/AU$117,0)</f>
        <v/>
      </c>
      <c r="CR237" s="4134">
        <f>IFERROR(AV237/AV$117,0)</f>
        <v/>
      </c>
      <c r="CS237" s="4134">
        <f>IFERROR(AW237/AW$117,0)</f>
        <v/>
      </c>
      <c r="CT237" s="4134">
        <f>IFERROR(AX237/AX$117,0)</f>
        <v/>
      </c>
      <c r="CU237" s="4134">
        <f>IFERROR(AY237/AY$117,0)</f>
        <v/>
      </c>
      <c r="CV237" s="4134">
        <f>IFERROR(AZ237/AZ$117,0)</f>
        <v/>
      </c>
      <c r="CW237" s="3737" t="n"/>
      <c r="CX237" s="4094">
        <f>SUM(CX234:CX236)</f>
        <v/>
      </c>
    </row>
    <row r="238" ht="12" customFormat="1" customHeight="1" s="3737">
      <c r="A238" s="4059" t="n"/>
      <c r="B238" s="4060" t="n"/>
      <c r="C238" s="4108" t="inlineStr">
        <is>
          <t>Contract services</t>
        </is>
      </c>
      <c r="D238" s="4093" t="n"/>
      <c r="E238" s="4093" t="n"/>
      <c r="F238" s="4094" t="n"/>
      <c r="G238" s="4094" t="n"/>
      <c r="H238" s="4094" t="n"/>
      <c r="I238" s="4094" t="n"/>
      <c r="J238" s="4094" t="n"/>
      <c r="K238" s="4094" t="n"/>
      <c r="L238" s="4094" t="n"/>
      <c r="M238" s="4094" t="n"/>
      <c r="N238" s="4094" t="n"/>
      <c r="O238" s="4094" t="n"/>
      <c r="P238" s="4094" t="n"/>
      <c r="Q238" s="4095" t="n"/>
      <c r="R238" s="4094" t="n"/>
      <c r="S238" s="4094" t="n"/>
      <c r="T238" s="4094" t="n"/>
      <c r="U238" s="4094" t="n"/>
      <c r="V238" s="4094" t="n"/>
      <c r="W238" s="4094" t="n"/>
      <c r="X238" s="4094" t="n"/>
      <c r="Y238" s="4094" t="n"/>
      <c r="Z238" s="4094" t="n"/>
      <c r="AA238" s="4094" t="n"/>
      <c r="AB238" s="4094" t="n"/>
      <c r="AC238" s="4095" t="n"/>
      <c r="AD238" s="4094" t="n"/>
      <c r="AE238" s="4094" t="n"/>
      <c r="AF238" s="4094" t="n"/>
      <c r="AG238" s="4094" t="n"/>
      <c r="AH238" s="4094" t="n"/>
      <c r="AI238" s="4094" t="n"/>
      <c r="AJ238" s="4094" t="n"/>
      <c r="AK238" s="4094" t="n"/>
      <c r="AL238" s="4094" t="n"/>
      <c r="AM238" s="4094" t="n"/>
      <c r="AN238" s="4094" t="n"/>
      <c r="AO238" s="4095" t="n"/>
      <c r="AP238" s="4094">
        <f>SUM(AP233,AP226,AP237)</f>
        <v/>
      </c>
      <c r="AQ238" s="4094">
        <f>SUM(AQ233,AQ226,AQ237)</f>
        <v/>
      </c>
      <c r="AR238" s="4094">
        <f>SUM(AR233,AR226,AR237)</f>
        <v/>
      </c>
      <c r="AS238" s="4094">
        <f>SUM(AS233,AS226,AS237)</f>
        <v/>
      </c>
      <c r="AT238" s="4094">
        <f>SUM(AT233,AT226,AT237)</f>
        <v/>
      </c>
      <c r="AU238" s="4096">
        <f>SUM(AU233,AU226,AU237)</f>
        <v/>
      </c>
      <c r="AV238" s="4094">
        <f>SUM(AV233,AV226,AV237)</f>
        <v/>
      </c>
      <c r="AW238" s="4094">
        <f>SUM(AW233,AW226,AW237)</f>
        <v/>
      </c>
      <c r="AX238" s="4094">
        <f>SUM(AX233,AX226,AX237)</f>
        <v/>
      </c>
      <c r="AY238" s="4094">
        <f>SUM(AY233,AY226,AY237)</f>
        <v/>
      </c>
      <c r="AZ238" s="4094">
        <f>SUM(AZ233,AZ226,AZ237)</f>
        <v/>
      </c>
      <c r="BA238" s="3737" t="n"/>
      <c r="BB238" s="4097">
        <f>IFERROR(F238/F$117,0)</f>
        <v/>
      </c>
      <c r="BC238" s="4097">
        <f>IFERROR(G238/G$117,0)</f>
        <v/>
      </c>
      <c r="BD238" s="4097">
        <f>IFERROR(H238/H$117,0)</f>
        <v/>
      </c>
      <c r="BE238" s="4097">
        <f>IFERROR(I238/I$117,0)</f>
        <v/>
      </c>
      <c r="BF238" s="4097">
        <f>IFERROR(J238/J$117,0)</f>
        <v/>
      </c>
      <c r="BG238" s="4097">
        <f>IFERROR(K238/K$117,0)</f>
        <v/>
      </c>
      <c r="BH238" s="4097">
        <f>IFERROR(L238/L$117,0)</f>
        <v/>
      </c>
      <c r="BI238" s="4097">
        <f>IFERROR(M238/M$117,0)</f>
        <v/>
      </c>
      <c r="BJ238" s="4097">
        <f>IFERROR(N238/N$117,0)</f>
        <v/>
      </c>
      <c r="BK238" s="4097">
        <f>IFERROR(O238/O$117,0)</f>
        <v/>
      </c>
      <c r="BL238" s="4097">
        <f>IFERROR(P238/P$117,0)</f>
        <v/>
      </c>
      <c r="BM238" s="4098">
        <f>IFERROR(Q238/Q$117,0)</f>
        <v/>
      </c>
      <c r="BN238" s="4097">
        <f>IFERROR(R238/R$117,0)</f>
        <v/>
      </c>
      <c r="BO238" s="4097">
        <f>IFERROR(S238/S$117,0)</f>
        <v/>
      </c>
      <c r="BP238" s="4097">
        <f>IFERROR(T238/T$117,0)</f>
        <v/>
      </c>
      <c r="BQ238" s="4097">
        <f>IFERROR(U238/U$117,0)</f>
        <v/>
      </c>
      <c r="BR238" s="4097">
        <f>IFERROR(V238/V$117,0)</f>
        <v/>
      </c>
      <c r="BS238" s="4097">
        <f>IFERROR(W238/W$117,0)</f>
        <v/>
      </c>
      <c r="BT238" s="4097">
        <f>IFERROR(X238/X$117,0)</f>
        <v/>
      </c>
      <c r="BU238" s="4097">
        <f>IFERROR(Y238/Y$117,0)</f>
        <v/>
      </c>
      <c r="BV238" s="4097">
        <f>IFERROR(Z238/Z$117,0)</f>
        <v/>
      </c>
      <c r="BW238" s="4097">
        <f>IFERROR(AA238/AA$117,0)</f>
        <v/>
      </c>
      <c r="BX238" s="4097">
        <f>IFERROR(AB238/AB$117,0)</f>
        <v/>
      </c>
      <c r="BY238" s="4098">
        <f>IFERROR(AC238/AC$117,0)</f>
        <v/>
      </c>
      <c r="BZ238" s="4097">
        <f>IFERROR(AD238/AD$117,0)</f>
        <v/>
      </c>
      <c r="CA238" s="4097">
        <f>IFERROR(AE238/AE$117,0)</f>
        <v/>
      </c>
      <c r="CB238" s="4097">
        <f>IFERROR(AF238/AF$117,0)</f>
        <v/>
      </c>
      <c r="CC238" s="4097">
        <f>IFERROR(AG238/AG$117,0)</f>
        <v/>
      </c>
      <c r="CD238" s="4097">
        <f>IFERROR(AH238/AH$117,0)</f>
        <v/>
      </c>
      <c r="CE238" s="4097">
        <f>IFERROR(AI238/AI$117,0)</f>
        <v/>
      </c>
      <c r="CF238" s="4097">
        <f>IFERROR(AJ238/AJ$117,0)</f>
        <v/>
      </c>
      <c r="CG238" s="4097">
        <f>IFERROR(AK238/AK$117,0)</f>
        <v/>
      </c>
      <c r="CH238" s="4097">
        <f>IFERROR(AL238/AL$117,0)</f>
        <v/>
      </c>
      <c r="CI238" s="4097">
        <f>IFERROR(AM238/AM$117,0)</f>
        <v/>
      </c>
      <c r="CJ238" s="4097">
        <f>IFERROR(AN238/AN$117,0)</f>
        <v/>
      </c>
      <c r="CK238" s="4098">
        <f>IFERROR(AO238/AO$117,0)</f>
        <v/>
      </c>
      <c r="CL238" s="4097">
        <f>IFERROR(AP238/AP$117,0)</f>
        <v/>
      </c>
      <c r="CM238" s="4097">
        <f>IFERROR(AQ238/AQ$117,0)</f>
        <v/>
      </c>
      <c r="CN238" s="4097">
        <f>IFERROR(AR238/AR$117,0)</f>
        <v/>
      </c>
      <c r="CO238" s="4097">
        <f>IFERROR(AS238/AS$117,0)</f>
        <v/>
      </c>
      <c r="CP238" s="4097">
        <f>IFERROR(AT238/AT$117,0)</f>
        <v/>
      </c>
      <c r="CQ238" s="4099">
        <f>IFERROR(AU238/AU$117,0)</f>
        <v/>
      </c>
      <c r="CR238" s="4097">
        <f>IFERROR(AV238/AV$117,0)</f>
        <v/>
      </c>
      <c r="CS238" s="4097">
        <f>IFERROR(AW238/AW$117,0)</f>
        <v/>
      </c>
      <c r="CT238" s="4097">
        <f>IFERROR(AX238/AX$117,0)</f>
        <v/>
      </c>
      <c r="CU238" s="4097">
        <f>IFERROR(AY238/AY$117,0)</f>
        <v/>
      </c>
      <c r="CV238" s="4097">
        <f>IFERROR(AZ238/AZ$117,0)</f>
        <v/>
      </c>
      <c r="CW238" s="3737" t="n"/>
      <c r="CX238" s="4137">
        <f>SUM(CX233,CX226,CX237)</f>
        <v/>
      </c>
    </row>
    <row r="239" hidden="1" outlineLevel="2" ht="12" customFormat="1" customHeight="1" s="3737">
      <c r="A239" s="4059" t="n"/>
      <c r="B239" s="4060" t="n"/>
      <c r="C239" s="4127" t="inlineStr">
        <is>
          <t>Depreciation - software</t>
        </is>
      </c>
      <c r="D239" s="4093" t="n">
        <v>707101</v>
      </c>
      <c r="E239" s="4093">
        <f>CONCATENATE(D239," - ",C239)</f>
        <v/>
      </c>
      <c r="F239" s="4094" t="n"/>
      <c r="G239" s="4094" t="n"/>
      <c r="H239" s="4094" t="n"/>
      <c r="I239" s="4094" t="n"/>
      <c r="J239" s="4094" t="n"/>
      <c r="K239" s="4094" t="n"/>
      <c r="L239" s="4094" t="n"/>
      <c r="M239" s="4094" t="n"/>
      <c r="N239" s="4094" t="n"/>
      <c r="O239" s="4094" t="n"/>
      <c r="P239" s="4094" t="n"/>
      <c r="Q239" s="4095" t="n"/>
      <c r="R239" s="4094" t="n"/>
      <c r="S239" s="4094" t="n"/>
      <c r="T239" s="4094" t="n"/>
      <c r="U239" s="4094" t="n"/>
      <c r="V239" s="4094" t="n"/>
      <c r="W239" s="4094" t="n"/>
      <c r="X239" s="4094" t="n"/>
      <c r="Y239" s="4094" t="n"/>
      <c r="Z239" s="4094" t="n"/>
      <c r="AA239" s="4094" t="n"/>
      <c r="AB239" s="4094" t="n"/>
      <c r="AC239" s="4095" t="n"/>
      <c r="AD239" s="4094" t="n"/>
      <c r="AE239" s="4094" t="n"/>
      <c r="AF239" s="4094" t="n"/>
      <c r="AG239" s="4094" t="n"/>
      <c r="AH239" s="4094" t="n"/>
      <c r="AI239" s="4094" t="n"/>
      <c r="AJ239" s="4094" t="n"/>
      <c r="AK239" s="4094" t="n"/>
      <c r="AL239" s="4094" t="n"/>
      <c r="AM239" s="4094" t="n"/>
      <c r="AN239" s="4094" t="n"/>
      <c r="AO239" s="4095" t="n"/>
      <c r="AP239" s="4094" t="n">
        <v>-90.52581000000001</v>
      </c>
      <c r="AQ239" s="4094" t="n">
        <v>-95.08692000000001</v>
      </c>
      <c r="AR239" s="4094" t="n">
        <v>-95.08692000000001</v>
      </c>
      <c r="AS239" s="4094" t="n">
        <v>-95.0869</v>
      </c>
      <c r="AT239" s="4094" t="n">
        <v>-94.91919</v>
      </c>
      <c r="AU239" s="4096" t="n">
        <v>-95.23348</v>
      </c>
      <c r="AV239" s="4094">
        <f>SUM(F239:Q239)</f>
        <v/>
      </c>
      <c r="AW239" s="4094">
        <f>SUM(R239:AC239)</f>
        <v/>
      </c>
      <c r="AX239" s="4094">
        <f>SUM(AD239:AO239)</f>
        <v/>
      </c>
      <c r="AY239" s="4094">
        <f>SUM(AH239:AS239)</f>
        <v/>
      </c>
      <c r="AZ239" s="4094">
        <f>SUM(AJ239:AU239)</f>
        <v/>
      </c>
      <c r="BA239" s="3737" t="n"/>
      <c r="BB239" s="4097">
        <f>IFERROR(F239/F$117,0)</f>
        <v/>
      </c>
      <c r="BC239" s="4097">
        <f>IFERROR(G239/G$117,0)</f>
        <v/>
      </c>
      <c r="BD239" s="4097">
        <f>IFERROR(H239/H$117,0)</f>
        <v/>
      </c>
      <c r="BE239" s="4097">
        <f>IFERROR(I239/I$117,0)</f>
        <v/>
      </c>
      <c r="BF239" s="4097">
        <f>IFERROR(J239/J$117,0)</f>
        <v/>
      </c>
      <c r="BG239" s="4097">
        <f>IFERROR(K239/K$117,0)</f>
        <v/>
      </c>
      <c r="BH239" s="4097">
        <f>IFERROR(L239/L$117,0)</f>
        <v/>
      </c>
      <c r="BI239" s="4097">
        <f>IFERROR(M239/M$117,0)</f>
        <v/>
      </c>
      <c r="BJ239" s="4097">
        <f>IFERROR(N239/N$117,0)</f>
        <v/>
      </c>
      <c r="BK239" s="4097">
        <f>IFERROR(O239/O$117,0)</f>
        <v/>
      </c>
      <c r="BL239" s="4097">
        <f>IFERROR(P239/P$117,0)</f>
        <v/>
      </c>
      <c r="BM239" s="4098">
        <f>IFERROR(Q239/Q$117,0)</f>
        <v/>
      </c>
      <c r="BN239" s="4097">
        <f>IFERROR(R239/R$117,0)</f>
        <v/>
      </c>
      <c r="BO239" s="4097">
        <f>IFERROR(S239/S$117,0)</f>
        <v/>
      </c>
      <c r="BP239" s="4097">
        <f>IFERROR(T239/T$117,0)</f>
        <v/>
      </c>
      <c r="BQ239" s="4097">
        <f>IFERROR(U239/U$117,0)</f>
        <v/>
      </c>
      <c r="BR239" s="4097">
        <f>IFERROR(V239/V$117,0)</f>
        <v/>
      </c>
      <c r="BS239" s="4097">
        <f>IFERROR(W239/W$117,0)</f>
        <v/>
      </c>
      <c r="BT239" s="4097">
        <f>IFERROR(X239/X$117,0)</f>
        <v/>
      </c>
      <c r="BU239" s="4097">
        <f>IFERROR(Y239/Y$117,0)</f>
        <v/>
      </c>
      <c r="BV239" s="4097">
        <f>IFERROR(Z239/Z$117,0)</f>
        <v/>
      </c>
      <c r="BW239" s="4097">
        <f>IFERROR(AA239/AA$117,0)</f>
        <v/>
      </c>
      <c r="BX239" s="4097">
        <f>IFERROR(AB239/AB$117,0)</f>
        <v/>
      </c>
      <c r="BY239" s="4098">
        <f>IFERROR(AC239/AC$117,0)</f>
        <v/>
      </c>
      <c r="BZ239" s="4097">
        <f>IFERROR(AD239/AD$117,0)</f>
        <v/>
      </c>
      <c r="CA239" s="4097">
        <f>IFERROR(AE239/AE$117,0)</f>
        <v/>
      </c>
      <c r="CB239" s="4097">
        <f>IFERROR(AF239/AF$117,0)</f>
        <v/>
      </c>
      <c r="CC239" s="4097">
        <f>IFERROR(AG239/AG$117,0)</f>
        <v/>
      </c>
      <c r="CD239" s="4097">
        <f>IFERROR(AH239/AH$117,0)</f>
        <v/>
      </c>
      <c r="CE239" s="4097">
        <f>IFERROR(AI239/AI$117,0)</f>
        <v/>
      </c>
      <c r="CF239" s="4097">
        <f>IFERROR(AJ239/AJ$117,0)</f>
        <v/>
      </c>
      <c r="CG239" s="4097">
        <f>IFERROR(AK239/AK$117,0)</f>
        <v/>
      </c>
      <c r="CH239" s="4097">
        <f>IFERROR(AL239/AL$117,0)</f>
        <v/>
      </c>
      <c r="CI239" s="4097">
        <f>IFERROR(AM239/AM$117,0)</f>
        <v/>
      </c>
      <c r="CJ239" s="4097">
        <f>IFERROR(AN239/AN$117,0)</f>
        <v/>
      </c>
      <c r="CK239" s="4098">
        <f>IFERROR(AO239/AO$117,0)</f>
        <v/>
      </c>
      <c r="CL239" s="4097">
        <f>IFERROR(AP239/AP$117,0)</f>
        <v/>
      </c>
      <c r="CM239" s="4097">
        <f>IFERROR(AQ239/AQ$117,0)</f>
        <v/>
      </c>
      <c r="CN239" s="4097">
        <f>IFERROR(AR239/AR$117,0)</f>
        <v/>
      </c>
      <c r="CO239" s="4097">
        <f>IFERROR(AS239/AS$117,0)</f>
        <v/>
      </c>
      <c r="CP239" s="4097">
        <f>IFERROR(AT239/AT$117,0)</f>
        <v/>
      </c>
      <c r="CQ239" s="4099">
        <f>IFERROR(AU239/AU$117,0)</f>
        <v/>
      </c>
      <c r="CR239" s="4097">
        <f>IFERROR(AV239/AV$117,0)</f>
        <v/>
      </c>
      <c r="CS239" s="4097">
        <f>IFERROR(AW239/AW$117,0)</f>
        <v/>
      </c>
      <c r="CT239" s="4097">
        <f>IFERROR(AX239/AX$117,0)</f>
        <v/>
      </c>
      <c r="CU239" s="4097">
        <f>IFERROR(AY239/AY$117,0)</f>
        <v/>
      </c>
      <c r="CV239" s="4097">
        <f>IFERROR(AZ239/AZ$117,0)</f>
        <v/>
      </c>
      <c r="CW239" s="3737" t="n"/>
      <c r="CX239" s="4094" t="n">
        <v>-1091.06294</v>
      </c>
    </row>
    <row r="240" hidden="1" outlineLevel="2" ht="12" customFormat="1" customHeight="1" s="3737">
      <c r="A240" s="4059" t="n"/>
      <c r="B240" s="4060" t="n"/>
      <c r="C240" s="4128" t="inlineStr">
        <is>
          <t>Depreciation - system software- infrastructure</t>
        </is>
      </c>
      <c r="D240" s="4101" t="n">
        <v>707121</v>
      </c>
      <c r="E240" s="4101">
        <f>CONCATENATE(D240," - ",C240)</f>
        <v/>
      </c>
      <c r="F240" s="4102" t="n"/>
      <c r="G240" s="4102" t="n"/>
      <c r="H240" s="4102" t="n"/>
      <c r="I240" s="4102" t="n"/>
      <c r="J240" s="4102" t="n"/>
      <c r="K240" s="4102" t="n"/>
      <c r="L240" s="4102" t="n"/>
      <c r="M240" s="4102" t="n"/>
      <c r="N240" s="4102" t="n"/>
      <c r="O240" s="4102" t="n"/>
      <c r="P240" s="4102" t="n"/>
      <c r="Q240" s="4103" t="n"/>
      <c r="R240" s="4102" t="n"/>
      <c r="S240" s="4102" t="n"/>
      <c r="T240" s="4102" t="n"/>
      <c r="U240" s="4102" t="n"/>
      <c r="V240" s="4102" t="n"/>
      <c r="W240" s="4102" t="n"/>
      <c r="X240" s="4102" t="n"/>
      <c r="Y240" s="4102" t="n"/>
      <c r="Z240" s="4102" t="n"/>
      <c r="AA240" s="4102" t="n"/>
      <c r="AB240" s="4102" t="n"/>
      <c r="AC240" s="4103" t="n"/>
      <c r="AD240" s="4102" t="n"/>
      <c r="AE240" s="4102" t="n"/>
      <c r="AF240" s="4102" t="n"/>
      <c r="AG240" s="4102" t="n"/>
      <c r="AH240" s="4102" t="n"/>
      <c r="AI240" s="4102" t="n"/>
      <c r="AJ240" s="4102" t="n"/>
      <c r="AK240" s="4102" t="n"/>
      <c r="AL240" s="4102" t="n"/>
      <c r="AM240" s="4102" t="n"/>
      <c r="AN240" s="4102" t="n"/>
      <c r="AO240" s="4103" t="n"/>
      <c r="AP240" s="4102" t="n">
        <v>-10.88481</v>
      </c>
      <c r="AQ240" s="4102" t="n">
        <v>-10.88481</v>
      </c>
      <c r="AR240" s="4102" t="n">
        <v>-10.88481</v>
      </c>
      <c r="AS240" s="4102" t="n">
        <v>-10.88481</v>
      </c>
      <c r="AT240" s="4102" t="n">
        <v>-10.88481</v>
      </c>
      <c r="AU240" s="4104" t="n">
        <v>-10.88481</v>
      </c>
      <c r="AV240" s="4102">
        <f>SUM(F240:Q240)</f>
        <v/>
      </c>
      <c r="AW240" s="4102">
        <f>SUM(R240:AC240)</f>
        <v/>
      </c>
      <c r="AX240" s="4102">
        <f>SUM(AD240:AO240)</f>
        <v/>
      </c>
      <c r="AY240" s="4102">
        <f>SUM(AH240:AS240)</f>
        <v/>
      </c>
      <c r="AZ240" s="4102">
        <f>SUM(AJ240:AU240)</f>
        <v/>
      </c>
      <c r="BA240" s="3737" t="n"/>
      <c r="BB240" s="4105">
        <f>IFERROR(F240/F$117,0)</f>
        <v/>
      </c>
      <c r="BC240" s="4105">
        <f>IFERROR(G240/G$117,0)</f>
        <v/>
      </c>
      <c r="BD240" s="4105">
        <f>IFERROR(H240/H$117,0)</f>
        <v/>
      </c>
      <c r="BE240" s="4105">
        <f>IFERROR(I240/I$117,0)</f>
        <v/>
      </c>
      <c r="BF240" s="4105">
        <f>IFERROR(J240/J$117,0)</f>
        <v/>
      </c>
      <c r="BG240" s="4105">
        <f>IFERROR(K240/K$117,0)</f>
        <v/>
      </c>
      <c r="BH240" s="4105">
        <f>IFERROR(L240/L$117,0)</f>
        <v/>
      </c>
      <c r="BI240" s="4105">
        <f>IFERROR(M240/M$117,0)</f>
        <v/>
      </c>
      <c r="BJ240" s="4105">
        <f>IFERROR(N240/N$117,0)</f>
        <v/>
      </c>
      <c r="BK240" s="4105">
        <f>IFERROR(O240/O$117,0)</f>
        <v/>
      </c>
      <c r="BL240" s="4105">
        <f>IFERROR(P240/P$117,0)</f>
        <v/>
      </c>
      <c r="BM240" s="4106">
        <f>IFERROR(Q240/Q$117,0)</f>
        <v/>
      </c>
      <c r="BN240" s="4105">
        <f>IFERROR(R240/R$117,0)</f>
        <v/>
      </c>
      <c r="BO240" s="4105">
        <f>IFERROR(S240/S$117,0)</f>
        <v/>
      </c>
      <c r="BP240" s="4105">
        <f>IFERROR(T240/T$117,0)</f>
        <v/>
      </c>
      <c r="BQ240" s="4105">
        <f>IFERROR(U240/U$117,0)</f>
        <v/>
      </c>
      <c r="BR240" s="4105">
        <f>IFERROR(V240/V$117,0)</f>
        <v/>
      </c>
      <c r="BS240" s="4105">
        <f>IFERROR(W240/W$117,0)</f>
        <v/>
      </c>
      <c r="BT240" s="4105">
        <f>IFERROR(X240/X$117,0)</f>
        <v/>
      </c>
      <c r="BU240" s="4105">
        <f>IFERROR(Y240/Y$117,0)</f>
        <v/>
      </c>
      <c r="BV240" s="4105">
        <f>IFERROR(Z240/Z$117,0)</f>
        <v/>
      </c>
      <c r="BW240" s="4105">
        <f>IFERROR(AA240/AA$117,0)</f>
        <v/>
      </c>
      <c r="BX240" s="4105">
        <f>IFERROR(AB240/AB$117,0)</f>
        <v/>
      </c>
      <c r="BY240" s="4106">
        <f>IFERROR(AC240/AC$117,0)</f>
        <v/>
      </c>
      <c r="BZ240" s="4105">
        <f>IFERROR(AD240/AD$117,0)</f>
        <v/>
      </c>
      <c r="CA240" s="4105">
        <f>IFERROR(AE240/AE$117,0)</f>
        <v/>
      </c>
      <c r="CB240" s="4105">
        <f>IFERROR(AF240/AF$117,0)</f>
        <v/>
      </c>
      <c r="CC240" s="4105">
        <f>IFERROR(AG240/AG$117,0)</f>
        <v/>
      </c>
      <c r="CD240" s="4105">
        <f>IFERROR(AH240/AH$117,0)</f>
        <v/>
      </c>
      <c r="CE240" s="4105">
        <f>IFERROR(AI240/AI$117,0)</f>
        <v/>
      </c>
      <c r="CF240" s="4105">
        <f>IFERROR(AJ240/AJ$117,0)</f>
        <v/>
      </c>
      <c r="CG240" s="4105">
        <f>IFERROR(AK240/AK$117,0)</f>
        <v/>
      </c>
      <c r="CH240" s="4105">
        <f>IFERROR(AL240/AL$117,0)</f>
        <v/>
      </c>
      <c r="CI240" s="4105">
        <f>IFERROR(AM240/AM$117,0)</f>
        <v/>
      </c>
      <c r="CJ240" s="4105">
        <f>IFERROR(AN240/AN$117,0)</f>
        <v/>
      </c>
      <c r="CK240" s="4106">
        <f>IFERROR(AO240/AO$117,0)</f>
        <v/>
      </c>
      <c r="CL240" s="4105">
        <f>IFERROR(AP240/AP$117,0)</f>
        <v/>
      </c>
      <c r="CM240" s="4105">
        <f>IFERROR(AQ240/AQ$117,0)</f>
        <v/>
      </c>
      <c r="CN240" s="4105">
        <f>IFERROR(AR240/AR$117,0)</f>
        <v/>
      </c>
      <c r="CO240" s="4105">
        <f>IFERROR(AS240/AS$117,0)</f>
        <v/>
      </c>
      <c r="CP240" s="4105">
        <f>IFERROR(AT240/AT$117,0)</f>
        <v/>
      </c>
      <c r="CQ240" s="4107">
        <f>IFERROR(AU240/AU$117,0)</f>
        <v/>
      </c>
      <c r="CR240" s="4105">
        <f>IFERROR(AV240/AV$117,0)</f>
        <v/>
      </c>
      <c r="CS240" s="4105">
        <f>IFERROR(AW240/AW$117,0)</f>
        <v/>
      </c>
      <c r="CT240" s="4105">
        <f>IFERROR(AX240/AX$117,0)</f>
        <v/>
      </c>
      <c r="CU240" s="4105">
        <f>IFERROR(AY240/AY$117,0)</f>
        <v/>
      </c>
      <c r="CV240" s="4105">
        <f>IFERROR(AZ240/AZ$117,0)</f>
        <v/>
      </c>
      <c r="CW240" s="3737" t="n"/>
      <c r="CX240" s="4102" t="n">
        <v>-357.05964</v>
      </c>
    </row>
    <row r="241" hidden="1" outlineLevel="1" collapsed="1" ht="12" customFormat="1" customHeight="1" s="3737">
      <c r="A241" s="4059" t="n"/>
      <c r="B241" s="4060" t="n"/>
      <c r="C241" s="4092" t="inlineStr">
        <is>
          <t>Amortization expense-software</t>
        </is>
      </c>
      <c r="D241" s="4093" t="n"/>
      <c r="E241" s="4093" t="n"/>
      <c r="F241" s="4094" t="n"/>
      <c r="G241" s="4094" t="n"/>
      <c r="H241" s="4094" t="n"/>
      <c r="I241" s="4094" t="n"/>
      <c r="J241" s="4094" t="n"/>
      <c r="K241" s="4094" t="n"/>
      <c r="L241" s="4094" t="n"/>
      <c r="M241" s="4094" t="n"/>
      <c r="N241" s="4094" t="n"/>
      <c r="O241" s="4094" t="n"/>
      <c r="P241" s="4094" t="n"/>
      <c r="Q241" s="4095" t="n"/>
      <c r="R241" s="4094" t="n"/>
      <c r="S241" s="4094" t="n"/>
      <c r="T241" s="4094" t="n"/>
      <c r="U241" s="4094" t="n"/>
      <c r="V241" s="4094" t="n"/>
      <c r="W241" s="4094" t="n"/>
      <c r="X241" s="4094" t="n"/>
      <c r="Y241" s="4094" t="n"/>
      <c r="Z241" s="4094" t="n"/>
      <c r="AA241" s="4094" t="n"/>
      <c r="AB241" s="4094" t="n"/>
      <c r="AC241" s="4095" t="n"/>
      <c r="AD241" s="4094" t="n"/>
      <c r="AE241" s="4094" t="n"/>
      <c r="AF241" s="4094" t="n"/>
      <c r="AG241" s="4094" t="n"/>
      <c r="AH241" s="4094" t="n"/>
      <c r="AI241" s="4094" t="n"/>
      <c r="AJ241" s="4094" t="n"/>
      <c r="AK241" s="4094" t="n"/>
      <c r="AL241" s="4094" t="n"/>
      <c r="AM241" s="4094" t="n"/>
      <c r="AN241" s="4094" t="n"/>
      <c r="AO241" s="4095" t="n"/>
      <c r="AP241" s="4094">
        <f>SUM(AP239:AP240)</f>
        <v/>
      </c>
      <c r="AQ241" s="4094">
        <f>SUM(AQ239:AQ240)</f>
        <v/>
      </c>
      <c r="AR241" s="4094">
        <f>SUM(AR239:AR240)</f>
        <v/>
      </c>
      <c r="AS241" s="4094">
        <f>SUM(AS239:AS240)</f>
        <v/>
      </c>
      <c r="AT241" s="4094">
        <f>SUM(AT239:AT240)</f>
        <v/>
      </c>
      <c r="AU241" s="4096">
        <f>SUM(AU239:AU240)</f>
        <v/>
      </c>
      <c r="AV241" s="4094">
        <f>SUM(AV239:AV240)</f>
        <v/>
      </c>
      <c r="AW241" s="4094">
        <f>SUM(AW239:AW240)</f>
        <v/>
      </c>
      <c r="AX241" s="4094">
        <f>SUM(AX239:AX240)</f>
        <v/>
      </c>
      <c r="AY241" s="4094">
        <f>SUM(AY239:AY240)</f>
        <v/>
      </c>
      <c r="AZ241" s="4094">
        <f>SUM(AZ239:AZ240)</f>
        <v/>
      </c>
      <c r="BA241" s="3737" t="n"/>
      <c r="BB241" s="4097">
        <f>IFERROR(F241/F$117,0)</f>
        <v/>
      </c>
      <c r="BC241" s="4097">
        <f>IFERROR(G241/G$117,0)</f>
        <v/>
      </c>
      <c r="BD241" s="4097">
        <f>IFERROR(H241/H$117,0)</f>
        <v/>
      </c>
      <c r="BE241" s="4097">
        <f>IFERROR(I241/I$117,0)</f>
        <v/>
      </c>
      <c r="BF241" s="4097">
        <f>IFERROR(J241/J$117,0)</f>
        <v/>
      </c>
      <c r="BG241" s="4097">
        <f>IFERROR(K241/K$117,0)</f>
        <v/>
      </c>
      <c r="BH241" s="4097">
        <f>IFERROR(L241/L$117,0)</f>
        <v/>
      </c>
      <c r="BI241" s="4097">
        <f>IFERROR(M241/M$117,0)</f>
        <v/>
      </c>
      <c r="BJ241" s="4097">
        <f>IFERROR(N241/N$117,0)</f>
        <v/>
      </c>
      <c r="BK241" s="4097">
        <f>IFERROR(O241/O$117,0)</f>
        <v/>
      </c>
      <c r="BL241" s="4097">
        <f>IFERROR(P241/P$117,0)</f>
        <v/>
      </c>
      <c r="BM241" s="4098">
        <f>IFERROR(Q241/Q$117,0)</f>
        <v/>
      </c>
      <c r="BN241" s="4097">
        <f>IFERROR(R241/R$117,0)</f>
        <v/>
      </c>
      <c r="BO241" s="4097">
        <f>IFERROR(S241/S$117,0)</f>
        <v/>
      </c>
      <c r="BP241" s="4097">
        <f>IFERROR(T241/T$117,0)</f>
        <v/>
      </c>
      <c r="BQ241" s="4097">
        <f>IFERROR(U241/U$117,0)</f>
        <v/>
      </c>
      <c r="BR241" s="4097">
        <f>IFERROR(V241/V$117,0)</f>
        <v/>
      </c>
      <c r="BS241" s="4097">
        <f>IFERROR(W241/W$117,0)</f>
        <v/>
      </c>
      <c r="BT241" s="4097">
        <f>IFERROR(X241/X$117,0)</f>
        <v/>
      </c>
      <c r="BU241" s="4097">
        <f>IFERROR(Y241/Y$117,0)</f>
        <v/>
      </c>
      <c r="BV241" s="4097">
        <f>IFERROR(Z241/Z$117,0)</f>
        <v/>
      </c>
      <c r="BW241" s="4097">
        <f>IFERROR(AA241/AA$117,0)</f>
        <v/>
      </c>
      <c r="BX241" s="4097">
        <f>IFERROR(AB241/AB$117,0)</f>
        <v/>
      </c>
      <c r="BY241" s="4098">
        <f>IFERROR(AC241/AC$117,0)</f>
        <v/>
      </c>
      <c r="BZ241" s="4097">
        <f>IFERROR(AD241/AD$117,0)</f>
        <v/>
      </c>
      <c r="CA241" s="4097">
        <f>IFERROR(AE241/AE$117,0)</f>
        <v/>
      </c>
      <c r="CB241" s="4097">
        <f>IFERROR(AF241/AF$117,0)</f>
        <v/>
      </c>
      <c r="CC241" s="4097">
        <f>IFERROR(AG241/AG$117,0)</f>
        <v/>
      </c>
      <c r="CD241" s="4097">
        <f>IFERROR(AH241/AH$117,0)</f>
        <v/>
      </c>
      <c r="CE241" s="4097">
        <f>IFERROR(AI241/AI$117,0)</f>
        <v/>
      </c>
      <c r="CF241" s="4097">
        <f>IFERROR(AJ241/AJ$117,0)</f>
        <v/>
      </c>
      <c r="CG241" s="4097">
        <f>IFERROR(AK241/AK$117,0)</f>
        <v/>
      </c>
      <c r="CH241" s="4097">
        <f>IFERROR(AL241/AL$117,0)</f>
        <v/>
      </c>
      <c r="CI241" s="4097">
        <f>IFERROR(AM241/AM$117,0)</f>
        <v/>
      </c>
      <c r="CJ241" s="4097">
        <f>IFERROR(AN241/AN$117,0)</f>
        <v/>
      </c>
      <c r="CK241" s="4098">
        <f>IFERROR(AO241/AO$117,0)</f>
        <v/>
      </c>
      <c r="CL241" s="4097">
        <f>IFERROR(AP241/AP$117,0)</f>
        <v/>
      </c>
      <c r="CM241" s="4097">
        <f>IFERROR(AQ241/AQ$117,0)</f>
        <v/>
      </c>
      <c r="CN241" s="4097">
        <f>IFERROR(AR241/AR$117,0)</f>
        <v/>
      </c>
      <c r="CO241" s="4097">
        <f>IFERROR(AS241/AS$117,0)</f>
        <v/>
      </c>
      <c r="CP241" s="4097">
        <f>IFERROR(AT241/AT$117,0)</f>
        <v/>
      </c>
      <c r="CQ241" s="4099">
        <f>IFERROR(AU241/AU$117,0)</f>
        <v/>
      </c>
      <c r="CR241" s="4097">
        <f>IFERROR(AV241/AV$117,0)</f>
        <v/>
      </c>
      <c r="CS241" s="4097">
        <f>IFERROR(AW241/AW$117,0)</f>
        <v/>
      </c>
      <c r="CT241" s="4097">
        <f>IFERROR(AX241/AX$117,0)</f>
        <v/>
      </c>
      <c r="CU241" s="4097">
        <f>IFERROR(AY241/AY$117,0)</f>
        <v/>
      </c>
      <c r="CV241" s="4097">
        <f>IFERROR(AZ241/AZ$117,0)</f>
        <v/>
      </c>
      <c r="CW241" s="3737" t="n"/>
      <c r="CX241" s="4094">
        <f>SUM(CX239:CX240)</f>
        <v/>
      </c>
    </row>
    <row r="242" hidden="1" outlineLevel="2" ht="12" customFormat="1" customHeight="1" s="3737">
      <c r="A242" s="4059" t="n"/>
      <c r="B242" s="4060" t="n"/>
      <c r="C242" s="4128" t="inlineStr">
        <is>
          <t>Amortization expense - idsw</t>
        </is>
      </c>
      <c r="D242" s="4101" t="n">
        <v>708201</v>
      </c>
      <c r="E242" s="4101">
        <f>CONCATENATE(D242," - ",C242)</f>
        <v/>
      </c>
      <c r="F242" s="4102" t="n"/>
      <c r="G242" s="4102" t="n"/>
      <c r="H242" s="4102" t="n"/>
      <c r="I242" s="4102" t="n"/>
      <c r="J242" s="4102" t="n"/>
      <c r="K242" s="4102" t="n"/>
      <c r="L242" s="4102" t="n"/>
      <c r="M242" s="4102" t="n"/>
      <c r="N242" s="4102" t="n"/>
      <c r="O242" s="4102" t="n"/>
      <c r="P242" s="4102" t="n"/>
      <c r="Q242" s="4103" t="n"/>
      <c r="R242" s="4102" t="n"/>
      <c r="S242" s="4102" t="n"/>
      <c r="T242" s="4102" t="n"/>
      <c r="U242" s="4102" t="n"/>
      <c r="V242" s="4102" t="n"/>
      <c r="W242" s="4102" t="n"/>
      <c r="X242" s="4102" t="n"/>
      <c r="Y242" s="4102" t="n"/>
      <c r="Z242" s="4102" t="n"/>
      <c r="AA242" s="4102" t="n"/>
      <c r="AB242" s="4102" t="n"/>
      <c r="AC242" s="4103" t="n"/>
      <c r="AD242" s="4102" t="n"/>
      <c r="AE242" s="4102" t="n"/>
      <c r="AF242" s="4102" t="n"/>
      <c r="AG242" s="4102" t="n"/>
      <c r="AH242" s="4102" t="n"/>
      <c r="AI242" s="4102" t="n"/>
      <c r="AJ242" s="4102" t="n"/>
      <c r="AK242" s="4102" t="n"/>
      <c r="AL242" s="4102" t="n"/>
      <c r="AM242" s="4102" t="n"/>
      <c r="AN242" s="4102" t="n"/>
      <c r="AO242" s="4103" t="n"/>
      <c r="AP242" s="4102" t="n">
        <v>-66.76433</v>
      </c>
      <c r="AQ242" s="4102" t="n">
        <v>-68.7508</v>
      </c>
      <c r="AR242" s="4102" t="n">
        <v>-68.7508</v>
      </c>
      <c r="AS242" s="4102" t="n">
        <v>-68.7508</v>
      </c>
      <c r="AT242" s="4102" t="n">
        <v>-68.7508</v>
      </c>
      <c r="AU242" s="4104" t="n">
        <v>-35.49811</v>
      </c>
      <c r="AV242" s="4102">
        <f>SUM(F242:Q242)</f>
        <v/>
      </c>
      <c r="AW242" s="4102">
        <f>SUM(R242:AC242)</f>
        <v/>
      </c>
      <c r="AX242" s="4102">
        <f>SUM(AD242:AO242)</f>
        <v/>
      </c>
      <c r="AY242" s="4102">
        <f>SUM(AH242:AS242)</f>
        <v/>
      </c>
      <c r="AZ242" s="4102">
        <f>SUM(AJ242:AU242)</f>
        <v/>
      </c>
      <c r="BA242" s="3737" t="n"/>
      <c r="BB242" s="4105">
        <f>IFERROR(F242/F$117,0)</f>
        <v/>
      </c>
      <c r="BC242" s="4105">
        <f>IFERROR(G242/G$117,0)</f>
        <v/>
      </c>
      <c r="BD242" s="4105">
        <f>IFERROR(H242/H$117,0)</f>
        <v/>
      </c>
      <c r="BE242" s="4105">
        <f>IFERROR(I242/I$117,0)</f>
        <v/>
      </c>
      <c r="BF242" s="4105">
        <f>IFERROR(J242/J$117,0)</f>
        <v/>
      </c>
      <c r="BG242" s="4105">
        <f>IFERROR(K242/K$117,0)</f>
        <v/>
      </c>
      <c r="BH242" s="4105">
        <f>IFERROR(L242/L$117,0)</f>
        <v/>
      </c>
      <c r="BI242" s="4105">
        <f>IFERROR(M242/M$117,0)</f>
        <v/>
      </c>
      <c r="BJ242" s="4105">
        <f>IFERROR(N242/N$117,0)</f>
        <v/>
      </c>
      <c r="BK242" s="4105">
        <f>IFERROR(O242/O$117,0)</f>
        <v/>
      </c>
      <c r="BL242" s="4105">
        <f>IFERROR(P242/P$117,0)</f>
        <v/>
      </c>
      <c r="BM242" s="4106">
        <f>IFERROR(Q242/Q$117,0)</f>
        <v/>
      </c>
      <c r="BN242" s="4105">
        <f>IFERROR(R242/R$117,0)</f>
        <v/>
      </c>
      <c r="BO242" s="4105">
        <f>IFERROR(S242/S$117,0)</f>
        <v/>
      </c>
      <c r="BP242" s="4105">
        <f>IFERROR(T242/T$117,0)</f>
        <v/>
      </c>
      <c r="BQ242" s="4105">
        <f>IFERROR(U242/U$117,0)</f>
        <v/>
      </c>
      <c r="BR242" s="4105">
        <f>IFERROR(V242/V$117,0)</f>
        <v/>
      </c>
      <c r="BS242" s="4105">
        <f>IFERROR(W242/W$117,0)</f>
        <v/>
      </c>
      <c r="BT242" s="4105">
        <f>IFERROR(X242/X$117,0)</f>
        <v/>
      </c>
      <c r="BU242" s="4105">
        <f>IFERROR(Y242/Y$117,0)</f>
        <v/>
      </c>
      <c r="BV242" s="4105">
        <f>IFERROR(Z242/Z$117,0)</f>
        <v/>
      </c>
      <c r="BW242" s="4105">
        <f>IFERROR(AA242/AA$117,0)</f>
        <v/>
      </c>
      <c r="BX242" s="4105">
        <f>IFERROR(AB242/AB$117,0)</f>
        <v/>
      </c>
      <c r="BY242" s="4106">
        <f>IFERROR(AC242/AC$117,0)</f>
        <v/>
      </c>
      <c r="BZ242" s="4105">
        <f>IFERROR(AD242/AD$117,0)</f>
        <v/>
      </c>
      <c r="CA242" s="4105">
        <f>IFERROR(AE242/AE$117,0)</f>
        <v/>
      </c>
      <c r="CB242" s="4105">
        <f>IFERROR(AF242/AF$117,0)</f>
        <v/>
      </c>
      <c r="CC242" s="4105">
        <f>IFERROR(AG242/AG$117,0)</f>
        <v/>
      </c>
      <c r="CD242" s="4105">
        <f>IFERROR(AH242/AH$117,0)</f>
        <v/>
      </c>
      <c r="CE242" s="4105">
        <f>IFERROR(AI242/AI$117,0)</f>
        <v/>
      </c>
      <c r="CF242" s="4105">
        <f>IFERROR(AJ242/AJ$117,0)</f>
        <v/>
      </c>
      <c r="CG242" s="4105">
        <f>IFERROR(AK242/AK$117,0)</f>
        <v/>
      </c>
      <c r="CH242" s="4105">
        <f>IFERROR(AL242/AL$117,0)</f>
        <v/>
      </c>
      <c r="CI242" s="4105">
        <f>IFERROR(AM242/AM$117,0)</f>
        <v/>
      </c>
      <c r="CJ242" s="4105">
        <f>IFERROR(AN242/AN$117,0)</f>
        <v/>
      </c>
      <c r="CK242" s="4106">
        <f>IFERROR(AO242/AO$117,0)</f>
        <v/>
      </c>
      <c r="CL242" s="4105">
        <f>IFERROR(AP242/AP$117,0)</f>
        <v/>
      </c>
      <c r="CM242" s="4105">
        <f>IFERROR(AQ242/AQ$117,0)</f>
        <v/>
      </c>
      <c r="CN242" s="4105">
        <f>IFERROR(AR242/AR$117,0)</f>
        <v/>
      </c>
      <c r="CO242" s="4105">
        <f>IFERROR(AS242/AS$117,0)</f>
        <v/>
      </c>
      <c r="CP242" s="4105">
        <f>IFERROR(AT242/AT$117,0)</f>
        <v/>
      </c>
      <c r="CQ242" s="4107">
        <f>IFERROR(AU242/AU$117,0)</f>
        <v/>
      </c>
      <c r="CR242" s="4105">
        <f>IFERROR(AV242/AV$117,0)</f>
        <v/>
      </c>
      <c r="CS242" s="4105">
        <f>IFERROR(AW242/AW$117,0)</f>
        <v/>
      </c>
      <c r="CT242" s="4105">
        <f>IFERROR(AX242/AX$117,0)</f>
        <v/>
      </c>
      <c r="CU242" s="4105">
        <f>IFERROR(AY242/AY$117,0)</f>
        <v/>
      </c>
      <c r="CV242" s="4105">
        <f>IFERROR(AZ242/AZ$117,0)</f>
        <v/>
      </c>
      <c r="CW242" s="3737" t="n"/>
      <c r="CX242" s="4102" t="n">
        <v>-508.96458</v>
      </c>
    </row>
    <row r="243" hidden="1" outlineLevel="1" collapsed="1" ht="12" customFormat="1" customHeight="1" s="3737">
      <c r="A243" s="4059" t="n"/>
      <c r="B243" s="4060" t="n"/>
      <c r="C243" s="4092" t="inlineStr">
        <is>
          <t>Amortization expense - internal development</t>
        </is>
      </c>
      <c r="D243" s="4093" t="n"/>
      <c r="E243" s="4093" t="n"/>
      <c r="F243" s="4094" t="n"/>
      <c r="G243" s="4094" t="n"/>
      <c r="H243" s="4094" t="n"/>
      <c r="I243" s="4094" t="n"/>
      <c r="J243" s="4094" t="n"/>
      <c r="K243" s="4094" t="n"/>
      <c r="L243" s="4094" t="n"/>
      <c r="M243" s="4094" t="n"/>
      <c r="N243" s="4094" t="n"/>
      <c r="O243" s="4094" t="n"/>
      <c r="P243" s="4094" t="n"/>
      <c r="Q243" s="4095" t="n"/>
      <c r="R243" s="4094" t="n"/>
      <c r="S243" s="4094" t="n"/>
      <c r="T243" s="4094" t="n"/>
      <c r="U243" s="4094" t="n"/>
      <c r="V243" s="4094" t="n"/>
      <c r="W243" s="4094" t="n"/>
      <c r="X243" s="4094" t="n"/>
      <c r="Y243" s="4094" t="n"/>
      <c r="Z243" s="4094" t="n"/>
      <c r="AA243" s="4094" t="n"/>
      <c r="AB243" s="4094" t="n"/>
      <c r="AC243" s="4095" t="n"/>
      <c r="AD243" s="4094" t="n"/>
      <c r="AE243" s="4094" t="n"/>
      <c r="AF243" s="4094" t="n"/>
      <c r="AG243" s="4094" t="n"/>
      <c r="AH243" s="4094" t="n"/>
      <c r="AI243" s="4094" t="n"/>
      <c r="AJ243" s="4094" t="n"/>
      <c r="AK243" s="4094" t="n"/>
      <c r="AL243" s="4094" t="n"/>
      <c r="AM243" s="4094" t="n"/>
      <c r="AN243" s="4094" t="n"/>
      <c r="AO243" s="4095" t="n"/>
      <c r="AP243" s="4094">
        <f>SUM(AP242)</f>
        <v/>
      </c>
      <c r="AQ243" s="4094">
        <f>SUM(AQ242)</f>
        <v/>
      </c>
      <c r="AR243" s="4094">
        <f>SUM(AR242)</f>
        <v/>
      </c>
      <c r="AS243" s="4094">
        <f>SUM(AS242)</f>
        <v/>
      </c>
      <c r="AT243" s="4094">
        <f>SUM(AT242)</f>
        <v/>
      </c>
      <c r="AU243" s="4096">
        <f>SUM(AU242)</f>
        <v/>
      </c>
      <c r="AV243" s="4094">
        <f>SUM(AV242)</f>
        <v/>
      </c>
      <c r="AW243" s="4094">
        <f>SUM(AW242)</f>
        <v/>
      </c>
      <c r="AX243" s="4094">
        <f>SUM(AX242)</f>
        <v/>
      </c>
      <c r="AY243" s="4094">
        <f>SUM(AY242)</f>
        <v/>
      </c>
      <c r="AZ243" s="4094">
        <f>SUM(AZ242)</f>
        <v/>
      </c>
      <c r="BA243" s="3737" t="n"/>
      <c r="BB243" s="4097">
        <f>IFERROR(F243/F$117,0)</f>
        <v/>
      </c>
      <c r="BC243" s="4097">
        <f>IFERROR(G243/G$117,0)</f>
        <v/>
      </c>
      <c r="BD243" s="4097">
        <f>IFERROR(H243/H$117,0)</f>
        <v/>
      </c>
      <c r="BE243" s="4097">
        <f>IFERROR(I243/I$117,0)</f>
        <v/>
      </c>
      <c r="BF243" s="4097">
        <f>IFERROR(J243/J$117,0)</f>
        <v/>
      </c>
      <c r="BG243" s="4097">
        <f>IFERROR(K243/K$117,0)</f>
        <v/>
      </c>
      <c r="BH243" s="4097">
        <f>IFERROR(L243/L$117,0)</f>
        <v/>
      </c>
      <c r="BI243" s="4097">
        <f>IFERROR(M243/M$117,0)</f>
        <v/>
      </c>
      <c r="BJ243" s="4097">
        <f>IFERROR(N243/N$117,0)</f>
        <v/>
      </c>
      <c r="BK243" s="4097">
        <f>IFERROR(O243/O$117,0)</f>
        <v/>
      </c>
      <c r="BL243" s="4097">
        <f>IFERROR(P243/P$117,0)</f>
        <v/>
      </c>
      <c r="BM243" s="4098">
        <f>IFERROR(Q243/Q$117,0)</f>
        <v/>
      </c>
      <c r="BN243" s="4097">
        <f>IFERROR(R243/R$117,0)</f>
        <v/>
      </c>
      <c r="BO243" s="4097">
        <f>IFERROR(S243/S$117,0)</f>
        <v/>
      </c>
      <c r="BP243" s="4097">
        <f>IFERROR(T243/T$117,0)</f>
        <v/>
      </c>
      <c r="BQ243" s="4097">
        <f>IFERROR(U243/U$117,0)</f>
        <v/>
      </c>
      <c r="BR243" s="4097">
        <f>IFERROR(V243/V$117,0)</f>
        <v/>
      </c>
      <c r="BS243" s="4097">
        <f>IFERROR(W243/W$117,0)</f>
        <v/>
      </c>
      <c r="BT243" s="4097">
        <f>IFERROR(X243/X$117,0)</f>
        <v/>
      </c>
      <c r="BU243" s="4097">
        <f>IFERROR(Y243/Y$117,0)</f>
        <v/>
      </c>
      <c r="BV243" s="4097">
        <f>IFERROR(Z243/Z$117,0)</f>
        <v/>
      </c>
      <c r="BW243" s="4097">
        <f>IFERROR(AA243/AA$117,0)</f>
        <v/>
      </c>
      <c r="BX243" s="4097">
        <f>IFERROR(AB243/AB$117,0)</f>
        <v/>
      </c>
      <c r="BY243" s="4098">
        <f>IFERROR(AC243/AC$117,0)</f>
        <v/>
      </c>
      <c r="BZ243" s="4097">
        <f>IFERROR(AD243/AD$117,0)</f>
        <v/>
      </c>
      <c r="CA243" s="4097">
        <f>IFERROR(AE243/AE$117,0)</f>
        <v/>
      </c>
      <c r="CB243" s="4097">
        <f>IFERROR(AF243/AF$117,0)</f>
        <v/>
      </c>
      <c r="CC243" s="4097">
        <f>IFERROR(AG243/AG$117,0)</f>
        <v/>
      </c>
      <c r="CD243" s="4097">
        <f>IFERROR(AH243/AH$117,0)</f>
        <v/>
      </c>
      <c r="CE243" s="4097">
        <f>IFERROR(AI243/AI$117,0)</f>
        <v/>
      </c>
      <c r="CF243" s="4097">
        <f>IFERROR(AJ243/AJ$117,0)</f>
        <v/>
      </c>
      <c r="CG243" s="4097">
        <f>IFERROR(AK243/AK$117,0)</f>
        <v/>
      </c>
      <c r="CH243" s="4097">
        <f>IFERROR(AL243/AL$117,0)</f>
        <v/>
      </c>
      <c r="CI243" s="4097">
        <f>IFERROR(AM243/AM$117,0)</f>
        <v/>
      </c>
      <c r="CJ243" s="4097">
        <f>IFERROR(AN243/AN$117,0)</f>
        <v/>
      </c>
      <c r="CK243" s="4098">
        <f>IFERROR(AO243/AO$117,0)</f>
        <v/>
      </c>
      <c r="CL243" s="4097">
        <f>IFERROR(AP243/AP$117,0)</f>
        <v/>
      </c>
      <c r="CM243" s="4097">
        <f>IFERROR(AQ243/AQ$117,0)</f>
        <v/>
      </c>
      <c r="CN243" s="4097">
        <f>IFERROR(AR243/AR$117,0)</f>
        <v/>
      </c>
      <c r="CO243" s="4097">
        <f>IFERROR(AS243/AS$117,0)</f>
        <v/>
      </c>
      <c r="CP243" s="4097">
        <f>IFERROR(AT243/AT$117,0)</f>
        <v/>
      </c>
      <c r="CQ243" s="4099">
        <f>IFERROR(AU243/AU$117,0)</f>
        <v/>
      </c>
      <c r="CR243" s="4097">
        <f>IFERROR(AV243/AV$117,0)</f>
        <v/>
      </c>
      <c r="CS243" s="4097">
        <f>IFERROR(AW243/AW$117,0)</f>
        <v/>
      </c>
      <c r="CT243" s="4097">
        <f>IFERROR(AX243/AX$117,0)</f>
        <v/>
      </c>
      <c r="CU243" s="4097">
        <f>IFERROR(AY243/AY$117,0)</f>
        <v/>
      </c>
      <c r="CV243" s="4097">
        <f>IFERROR(AZ243/AZ$117,0)</f>
        <v/>
      </c>
      <c r="CW243" s="3737" t="n"/>
      <c r="CX243" s="4094">
        <f>SUM(CX242)</f>
        <v/>
      </c>
    </row>
    <row r="244" hidden="1" outlineLevel="2" ht="12" customFormat="1" customHeight="1" s="3737">
      <c r="A244" s="4059" t="n"/>
      <c r="B244" s="4060" t="n"/>
      <c r="C244" s="4127" t="inlineStr">
        <is>
          <t>Depreciation - leasehold imp</t>
        </is>
      </c>
      <c r="D244" s="4093" t="n">
        <v>705401</v>
      </c>
      <c r="E244" s="4093">
        <f>CONCATENATE(D244," - ",C244)</f>
        <v/>
      </c>
      <c r="F244" s="4094" t="n"/>
      <c r="G244" s="4094" t="n"/>
      <c r="H244" s="4094" t="n"/>
      <c r="I244" s="4094" t="n"/>
      <c r="J244" s="4094" t="n"/>
      <c r="K244" s="4094" t="n"/>
      <c r="L244" s="4094" t="n"/>
      <c r="M244" s="4094" t="n"/>
      <c r="N244" s="4094" t="n"/>
      <c r="O244" s="4094" t="n"/>
      <c r="P244" s="4094" t="n"/>
      <c r="Q244" s="4095" t="n"/>
      <c r="R244" s="4094" t="n"/>
      <c r="S244" s="4094" t="n"/>
      <c r="T244" s="4094" t="n"/>
      <c r="U244" s="4094" t="n"/>
      <c r="V244" s="4094" t="n"/>
      <c r="W244" s="4094" t="n"/>
      <c r="X244" s="4094" t="n"/>
      <c r="Y244" s="4094" t="n"/>
      <c r="Z244" s="4094" t="n"/>
      <c r="AA244" s="4094" t="n"/>
      <c r="AB244" s="4094" t="n"/>
      <c r="AC244" s="4095" t="n"/>
      <c r="AD244" s="4094" t="n"/>
      <c r="AE244" s="4094" t="n"/>
      <c r="AF244" s="4094" t="n"/>
      <c r="AG244" s="4094" t="n"/>
      <c r="AH244" s="4094" t="n"/>
      <c r="AI244" s="4094" t="n"/>
      <c r="AJ244" s="4094" t="n"/>
      <c r="AK244" s="4094" t="n"/>
      <c r="AL244" s="4094" t="n"/>
      <c r="AM244" s="4094" t="n"/>
      <c r="AN244" s="4094" t="n"/>
      <c r="AO244" s="4095" t="n"/>
      <c r="AP244" s="4094" t="n">
        <v>-8.31452</v>
      </c>
      <c r="AQ244" s="4094" t="n">
        <v>-8.31452</v>
      </c>
      <c r="AR244" s="4094" t="n">
        <v>-8.31452</v>
      </c>
      <c r="AS244" s="4094" t="n">
        <v>-8.31452</v>
      </c>
      <c r="AT244" s="4094" t="n">
        <v>-8.31452</v>
      </c>
      <c r="AU244" s="4096" t="n">
        <v>-8.31452</v>
      </c>
      <c r="AV244" s="4094">
        <f>SUM(F244:Q244)</f>
        <v/>
      </c>
      <c r="AW244" s="4094">
        <f>SUM(R244:AC244)</f>
        <v/>
      </c>
      <c r="AX244" s="4094">
        <f>SUM(AD244:AO244)</f>
        <v/>
      </c>
      <c r="AY244" s="4094">
        <f>SUM(AH244:AS244)</f>
        <v/>
      </c>
      <c r="AZ244" s="4094">
        <f>SUM(AJ244:AU244)</f>
        <v/>
      </c>
      <c r="BA244" s="3737" t="n"/>
      <c r="BB244" s="4097">
        <f>IFERROR(F244/F$117,0)</f>
        <v/>
      </c>
      <c r="BC244" s="4097">
        <f>IFERROR(G244/G$117,0)</f>
        <v/>
      </c>
      <c r="BD244" s="4097">
        <f>IFERROR(H244/H$117,0)</f>
        <v/>
      </c>
      <c r="BE244" s="4097">
        <f>IFERROR(I244/I$117,0)</f>
        <v/>
      </c>
      <c r="BF244" s="4097">
        <f>IFERROR(J244/J$117,0)</f>
        <v/>
      </c>
      <c r="BG244" s="4097">
        <f>IFERROR(K244/K$117,0)</f>
        <v/>
      </c>
      <c r="BH244" s="4097">
        <f>IFERROR(L244/L$117,0)</f>
        <v/>
      </c>
      <c r="BI244" s="4097">
        <f>IFERROR(M244/M$117,0)</f>
        <v/>
      </c>
      <c r="BJ244" s="4097">
        <f>IFERROR(N244/N$117,0)</f>
        <v/>
      </c>
      <c r="BK244" s="4097">
        <f>IFERROR(O244/O$117,0)</f>
        <v/>
      </c>
      <c r="BL244" s="4097">
        <f>IFERROR(P244/P$117,0)</f>
        <v/>
      </c>
      <c r="BM244" s="4098">
        <f>IFERROR(Q244/Q$117,0)</f>
        <v/>
      </c>
      <c r="BN244" s="4097">
        <f>IFERROR(R244/R$117,0)</f>
        <v/>
      </c>
      <c r="BO244" s="4097">
        <f>IFERROR(S244/S$117,0)</f>
        <v/>
      </c>
      <c r="BP244" s="4097">
        <f>IFERROR(T244/T$117,0)</f>
        <v/>
      </c>
      <c r="BQ244" s="4097">
        <f>IFERROR(U244/U$117,0)</f>
        <v/>
      </c>
      <c r="BR244" s="4097">
        <f>IFERROR(V244/V$117,0)</f>
        <v/>
      </c>
      <c r="BS244" s="4097">
        <f>IFERROR(W244/W$117,0)</f>
        <v/>
      </c>
      <c r="BT244" s="4097">
        <f>IFERROR(X244/X$117,0)</f>
        <v/>
      </c>
      <c r="BU244" s="4097">
        <f>IFERROR(Y244/Y$117,0)</f>
        <v/>
      </c>
      <c r="BV244" s="4097">
        <f>IFERROR(Z244/Z$117,0)</f>
        <v/>
      </c>
      <c r="BW244" s="4097">
        <f>IFERROR(AA244/AA$117,0)</f>
        <v/>
      </c>
      <c r="BX244" s="4097">
        <f>IFERROR(AB244/AB$117,0)</f>
        <v/>
      </c>
      <c r="BY244" s="4098">
        <f>IFERROR(AC244/AC$117,0)</f>
        <v/>
      </c>
      <c r="BZ244" s="4097">
        <f>IFERROR(AD244/AD$117,0)</f>
        <v/>
      </c>
      <c r="CA244" s="4097">
        <f>IFERROR(AE244/AE$117,0)</f>
        <v/>
      </c>
      <c r="CB244" s="4097">
        <f>IFERROR(AF244/AF$117,0)</f>
        <v/>
      </c>
      <c r="CC244" s="4097">
        <f>IFERROR(AG244/AG$117,0)</f>
        <v/>
      </c>
      <c r="CD244" s="4097">
        <f>IFERROR(AH244/AH$117,0)</f>
        <v/>
      </c>
      <c r="CE244" s="4097">
        <f>IFERROR(AI244/AI$117,0)</f>
        <v/>
      </c>
      <c r="CF244" s="4097">
        <f>IFERROR(AJ244/AJ$117,0)</f>
        <v/>
      </c>
      <c r="CG244" s="4097">
        <f>IFERROR(AK244/AK$117,0)</f>
        <v/>
      </c>
      <c r="CH244" s="4097">
        <f>IFERROR(AL244/AL$117,0)</f>
        <v/>
      </c>
      <c r="CI244" s="4097">
        <f>IFERROR(AM244/AM$117,0)</f>
        <v/>
      </c>
      <c r="CJ244" s="4097">
        <f>IFERROR(AN244/AN$117,0)</f>
        <v/>
      </c>
      <c r="CK244" s="4098">
        <f>IFERROR(AO244/AO$117,0)</f>
        <v/>
      </c>
      <c r="CL244" s="4097">
        <f>IFERROR(AP244/AP$117,0)</f>
        <v/>
      </c>
      <c r="CM244" s="4097">
        <f>IFERROR(AQ244/AQ$117,0)</f>
        <v/>
      </c>
      <c r="CN244" s="4097">
        <f>IFERROR(AR244/AR$117,0)</f>
        <v/>
      </c>
      <c r="CO244" s="4097">
        <f>IFERROR(AS244/AS$117,0)</f>
        <v/>
      </c>
      <c r="CP244" s="4097">
        <f>IFERROR(AT244/AT$117,0)</f>
        <v/>
      </c>
      <c r="CQ244" s="4099">
        <f>IFERROR(AU244/AU$117,0)</f>
        <v/>
      </c>
      <c r="CR244" s="4097">
        <f>IFERROR(AV244/AV$117,0)</f>
        <v/>
      </c>
      <c r="CS244" s="4097">
        <f>IFERROR(AW244/AW$117,0)</f>
        <v/>
      </c>
      <c r="CT244" s="4097">
        <f>IFERROR(AX244/AX$117,0)</f>
        <v/>
      </c>
      <c r="CU244" s="4097">
        <f>IFERROR(AY244/AY$117,0)</f>
        <v/>
      </c>
      <c r="CV244" s="4097">
        <f>IFERROR(AZ244/AZ$117,0)</f>
        <v/>
      </c>
      <c r="CW244" s="3737" t="n"/>
      <c r="CX244" s="4094" t="n">
        <v>-102.05815</v>
      </c>
    </row>
    <row r="245" hidden="1" outlineLevel="2" ht="12" customFormat="1" customHeight="1" s="3737">
      <c r="A245" s="4059" t="n"/>
      <c r="B245" s="4060" t="n"/>
      <c r="C245" s="4127" t="inlineStr">
        <is>
          <t>Depreciation - furniture and fixtures</t>
        </is>
      </c>
      <c r="D245" s="4093" t="n">
        <v>705501</v>
      </c>
      <c r="E245" s="4093">
        <f>CONCATENATE(D245," - ",C245)</f>
        <v/>
      </c>
      <c r="F245" s="4094" t="n"/>
      <c r="G245" s="4094" t="n"/>
      <c r="H245" s="4094" t="n"/>
      <c r="I245" s="4094" t="n"/>
      <c r="J245" s="4094" t="n"/>
      <c r="K245" s="4094" t="n"/>
      <c r="L245" s="4094" t="n"/>
      <c r="M245" s="4094" t="n"/>
      <c r="N245" s="4094" t="n"/>
      <c r="O245" s="4094" t="n"/>
      <c r="P245" s="4094" t="n"/>
      <c r="Q245" s="4095" t="n"/>
      <c r="R245" s="4094" t="n"/>
      <c r="S245" s="4094" t="n"/>
      <c r="T245" s="4094" t="n"/>
      <c r="U245" s="4094" t="n"/>
      <c r="V245" s="4094" t="n"/>
      <c r="W245" s="4094" t="n"/>
      <c r="X245" s="4094" t="n"/>
      <c r="Y245" s="4094" t="n"/>
      <c r="Z245" s="4094" t="n"/>
      <c r="AA245" s="4094" t="n"/>
      <c r="AB245" s="4094" t="n"/>
      <c r="AC245" s="4095" t="n"/>
      <c r="AD245" s="4094" t="n"/>
      <c r="AE245" s="4094" t="n"/>
      <c r="AF245" s="4094" t="n"/>
      <c r="AG245" s="4094" t="n"/>
      <c r="AH245" s="4094" t="n"/>
      <c r="AI245" s="4094" t="n"/>
      <c r="AJ245" s="4094" t="n"/>
      <c r="AK245" s="4094" t="n"/>
      <c r="AL245" s="4094" t="n"/>
      <c r="AM245" s="4094" t="n"/>
      <c r="AN245" s="4094" t="n"/>
      <c r="AO245" s="4095" t="n"/>
      <c r="AP245" s="4094" t="n">
        <v>-0.11165</v>
      </c>
      <c r="AQ245" s="4094" t="n">
        <v>-0.11165</v>
      </c>
      <c r="AR245" s="4094" t="n">
        <v>-0.11165</v>
      </c>
      <c r="AS245" s="4094" t="n">
        <v>-0.11164</v>
      </c>
      <c r="AT245" s="4094" t="n">
        <v>-0.06332</v>
      </c>
      <c r="AU245" s="4096" t="n">
        <v>-0.06332</v>
      </c>
      <c r="AV245" s="4094">
        <f>SUM(F245:Q245)</f>
        <v/>
      </c>
      <c r="AW245" s="4094">
        <f>SUM(R245:AC245)</f>
        <v/>
      </c>
      <c r="AX245" s="4094">
        <f>SUM(AD245:AO245)</f>
        <v/>
      </c>
      <c r="AY245" s="4094">
        <f>SUM(AH245:AS245)</f>
        <v/>
      </c>
      <c r="AZ245" s="4094">
        <f>SUM(AJ245:AU245)</f>
        <v/>
      </c>
      <c r="BA245" s="3737" t="n"/>
      <c r="BB245" s="4097">
        <f>IFERROR(F245/F$117,0)</f>
        <v/>
      </c>
      <c r="BC245" s="4097">
        <f>IFERROR(G245/G$117,0)</f>
        <v/>
      </c>
      <c r="BD245" s="4097">
        <f>IFERROR(H245/H$117,0)</f>
        <v/>
      </c>
      <c r="BE245" s="4097">
        <f>IFERROR(I245/I$117,0)</f>
        <v/>
      </c>
      <c r="BF245" s="4097">
        <f>IFERROR(J245/J$117,0)</f>
        <v/>
      </c>
      <c r="BG245" s="4097">
        <f>IFERROR(K245/K$117,0)</f>
        <v/>
      </c>
      <c r="BH245" s="4097">
        <f>IFERROR(L245/L$117,0)</f>
        <v/>
      </c>
      <c r="BI245" s="4097">
        <f>IFERROR(M245/M$117,0)</f>
        <v/>
      </c>
      <c r="BJ245" s="4097">
        <f>IFERROR(N245/N$117,0)</f>
        <v/>
      </c>
      <c r="BK245" s="4097">
        <f>IFERROR(O245/O$117,0)</f>
        <v/>
      </c>
      <c r="BL245" s="4097">
        <f>IFERROR(P245/P$117,0)</f>
        <v/>
      </c>
      <c r="BM245" s="4098">
        <f>IFERROR(Q245/Q$117,0)</f>
        <v/>
      </c>
      <c r="BN245" s="4097">
        <f>IFERROR(R245/R$117,0)</f>
        <v/>
      </c>
      <c r="BO245" s="4097">
        <f>IFERROR(S245/S$117,0)</f>
        <v/>
      </c>
      <c r="BP245" s="4097">
        <f>IFERROR(T245/T$117,0)</f>
        <v/>
      </c>
      <c r="BQ245" s="4097">
        <f>IFERROR(U245/U$117,0)</f>
        <v/>
      </c>
      <c r="BR245" s="4097">
        <f>IFERROR(V245/V$117,0)</f>
        <v/>
      </c>
      <c r="BS245" s="4097">
        <f>IFERROR(W245/W$117,0)</f>
        <v/>
      </c>
      <c r="BT245" s="4097">
        <f>IFERROR(X245/X$117,0)</f>
        <v/>
      </c>
      <c r="BU245" s="4097">
        <f>IFERROR(Y245/Y$117,0)</f>
        <v/>
      </c>
      <c r="BV245" s="4097">
        <f>IFERROR(Z245/Z$117,0)</f>
        <v/>
      </c>
      <c r="BW245" s="4097">
        <f>IFERROR(AA245/AA$117,0)</f>
        <v/>
      </c>
      <c r="BX245" s="4097">
        <f>IFERROR(AB245/AB$117,0)</f>
        <v/>
      </c>
      <c r="BY245" s="4098">
        <f>IFERROR(AC245/AC$117,0)</f>
        <v/>
      </c>
      <c r="BZ245" s="4097">
        <f>IFERROR(AD245/AD$117,0)</f>
        <v/>
      </c>
      <c r="CA245" s="4097">
        <f>IFERROR(AE245/AE$117,0)</f>
        <v/>
      </c>
      <c r="CB245" s="4097">
        <f>IFERROR(AF245/AF$117,0)</f>
        <v/>
      </c>
      <c r="CC245" s="4097">
        <f>IFERROR(AG245/AG$117,0)</f>
        <v/>
      </c>
      <c r="CD245" s="4097">
        <f>IFERROR(AH245/AH$117,0)</f>
        <v/>
      </c>
      <c r="CE245" s="4097">
        <f>IFERROR(AI245/AI$117,0)</f>
        <v/>
      </c>
      <c r="CF245" s="4097">
        <f>IFERROR(AJ245/AJ$117,0)</f>
        <v/>
      </c>
      <c r="CG245" s="4097">
        <f>IFERROR(AK245/AK$117,0)</f>
        <v/>
      </c>
      <c r="CH245" s="4097">
        <f>IFERROR(AL245/AL$117,0)</f>
        <v/>
      </c>
      <c r="CI245" s="4097">
        <f>IFERROR(AM245/AM$117,0)</f>
        <v/>
      </c>
      <c r="CJ245" s="4097">
        <f>IFERROR(AN245/AN$117,0)</f>
        <v/>
      </c>
      <c r="CK245" s="4098">
        <f>IFERROR(AO245/AO$117,0)</f>
        <v/>
      </c>
      <c r="CL245" s="4097">
        <f>IFERROR(AP245/AP$117,0)</f>
        <v/>
      </c>
      <c r="CM245" s="4097">
        <f>IFERROR(AQ245/AQ$117,0)</f>
        <v/>
      </c>
      <c r="CN245" s="4097">
        <f>IFERROR(AR245/AR$117,0)</f>
        <v/>
      </c>
      <c r="CO245" s="4097">
        <f>IFERROR(AS245/AS$117,0)</f>
        <v/>
      </c>
      <c r="CP245" s="4097">
        <f>IFERROR(AT245/AT$117,0)</f>
        <v/>
      </c>
      <c r="CQ245" s="4099">
        <f>IFERROR(AU245/AU$117,0)</f>
        <v/>
      </c>
      <c r="CR245" s="4097">
        <f>IFERROR(AV245/AV$117,0)</f>
        <v/>
      </c>
      <c r="CS245" s="4097">
        <f>IFERROR(AW245/AW$117,0)</f>
        <v/>
      </c>
      <c r="CT245" s="4097">
        <f>IFERROR(AX245/AX$117,0)</f>
        <v/>
      </c>
      <c r="CU245" s="4097">
        <f>IFERROR(AY245/AY$117,0)</f>
        <v/>
      </c>
      <c r="CV245" s="4097">
        <f>IFERROR(AZ245/AZ$117,0)</f>
        <v/>
      </c>
      <c r="CW245" s="3737" t="n"/>
      <c r="CX245" s="4094" t="n">
        <v>-27.93027</v>
      </c>
    </row>
    <row r="246" hidden="1" outlineLevel="2" ht="12" customFormat="1" customHeight="1" s="3737">
      <c r="A246" s="4059" t="n"/>
      <c r="B246" s="4060" t="n"/>
      <c r="C246" s="4127" t="inlineStr">
        <is>
          <t>Depreciation - office equipment</t>
        </is>
      </c>
      <c r="D246" s="4093" t="n">
        <v>705601</v>
      </c>
      <c r="E246" s="4093">
        <f>CONCATENATE(D246," - ",C246)</f>
        <v/>
      </c>
      <c r="F246" s="4094" t="n"/>
      <c r="G246" s="4094" t="n"/>
      <c r="H246" s="4094" t="n"/>
      <c r="I246" s="4094" t="n"/>
      <c r="J246" s="4094" t="n"/>
      <c r="K246" s="4094" t="n"/>
      <c r="L246" s="4094" t="n"/>
      <c r="M246" s="4094" t="n"/>
      <c r="N246" s="4094" t="n"/>
      <c r="O246" s="4094" t="n"/>
      <c r="P246" s="4094" t="n"/>
      <c r="Q246" s="4095" t="n"/>
      <c r="R246" s="4094" t="n"/>
      <c r="S246" s="4094" t="n"/>
      <c r="T246" s="4094" t="n"/>
      <c r="U246" s="4094" t="n"/>
      <c r="V246" s="4094" t="n"/>
      <c r="W246" s="4094" t="n"/>
      <c r="X246" s="4094" t="n"/>
      <c r="Y246" s="4094" t="n"/>
      <c r="Z246" s="4094" t="n"/>
      <c r="AA246" s="4094" t="n"/>
      <c r="AB246" s="4094" t="n"/>
      <c r="AC246" s="4095" t="n"/>
      <c r="AD246" s="4094" t="n"/>
      <c r="AE246" s="4094" t="n"/>
      <c r="AF246" s="4094" t="n"/>
      <c r="AG246" s="4094" t="n"/>
      <c r="AH246" s="4094" t="n"/>
      <c r="AI246" s="4094" t="n"/>
      <c r="AJ246" s="4094" t="n"/>
      <c r="AK246" s="4094" t="n"/>
      <c r="AL246" s="4094" t="n"/>
      <c r="AM246" s="4094" t="n"/>
      <c r="AN246" s="4094" t="n"/>
      <c r="AO246" s="4095" t="n"/>
      <c r="AP246" s="4094" t="n">
        <v>-0.09735000000000001</v>
      </c>
      <c r="AQ246" s="4094" t="n">
        <v>-0.07291</v>
      </c>
      <c r="AR246" s="4094" t="n">
        <v>-0.07291</v>
      </c>
      <c r="AS246" s="4094" t="n">
        <v>-0.05208</v>
      </c>
      <c r="AT246" s="4094" t="n">
        <v>-0.05208</v>
      </c>
      <c r="AU246" s="4096" t="n">
        <v>-0.05208</v>
      </c>
      <c r="AV246" s="4094">
        <f>SUM(F246:Q246)</f>
        <v/>
      </c>
      <c r="AW246" s="4094">
        <f>SUM(R246:AC246)</f>
        <v/>
      </c>
      <c r="AX246" s="4094">
        <f>SUM(AD246:AO246)</f>
        <v/>
      </c>
      <c r="AY246" s="4094">
        <f>SUM(AH246:AS246)</f>
        <v/>
      </c>
      <c r="AZ246" s="4094">
        <f>SUM(AJ246:AU246)</f>
        <v/>
      </c>
      <c r="BA246" s="3737" t="n"/>
      <c r="BB246" s="4097">
        <f>IFERROR(F246/F$117,0)</f>
        <v/>
      </c>
      <c r="BC246" s="4097">
        <f>IFERROR(G246/G$117,0)</f>
        <v/>
      </c>
      <c r="BD246" s="4097">
        <f>IFERROR(H246/H$117,0)</f>
        <v/>
      </c>
      <c r="BE246" s="4097">
        <f>IFERROR(I246/I$117,0)</f>
        <v/>
      </c>
      <c r="BF246" s="4097">
        <f>IFERROR(J246/J$117,0)</f>
        <v/>
      </c>
      <c r="BG246" s="4097">
        <f>IFERROR(K246/K$117,0)</f>
        <v/>
      </c>
      <c r="BH246" s="4097">
        <f>IFERROR(L246/L$117,0)</f>
        <v/>
      </c>
      <c r="BI246" s="4097">
        <f>IFERROR(M246/M$117,0)</f>
        <v/>
      </c>
      <c r="BJ246" s="4097">
        <f>IFERROR(N246/N$117,0)</f>
        <v/>
      </c>
      <c r="BK246" s="4097">
        <f>IFERROR(O246/O$117,0)</f>
        <v/>
      </c>
      <c r="BL246" s="4097">
        <f>IFERROR(P246/P$117,0)</f>
        <v/>
      </c>
      <c r="BM246" s="4098">
        <f>IFERROR(Q246/Q$117,0)</f>
        <v/>
      </c>
      <c r="BN246" s="4097">
        <f>IFERROR(R246/R$117,0)</f>
        <v/>
      </c>
      <c r="BO246" s="4097">
        <f>IFERROR(S246/S$117,0)</f>
        <v/>
      </c>
      <c r="BP246" s="4097">
        <f>IFERROR(T246/T$117,0)</f>
        <v/>
      </c>
      <c r="BQ246" s="4097">
        <f>IFERROR(U246/U$117,0)</f>
        <v/>
      </c>
      <c r="BR246" s="4097">
        <f>IFERROR(V246/V$117,0)</f>
        <v/>
      </c>
      <c r="BS246" s="4097">
        <f>IFERROR(W246/W$117,0)</f>
        <v/>
      </c>
      <c r="BT246" s="4097">
        <f>IFERROR(X246/X$117,0)</f>
        <v/>
      </c>
      <c r="BU246" s="4097">
        <f>IFERROR(Y246/Y$117,0)</f>
        <v/>
      </c>
      <c r="BV246" s="4097">
        <f>IFERROR(Z246/Z$117,0)</f>
        <v/>
      </c>
      <c r="BW246" s="4097">
        <f>IFERROR(AA246/AA$117,0)</f>
        <v/>
      </c>
      <c r="BX246" s="4097">
        <f>IFERROR(AB246/AB$117,0)</f>
        <v/>
      </c>
      <c r="BY246" s="4098">
        <f>IFERROR(AC246/AC$117,0)</f>
        <v/>
      </c>
      <c r="BZ246" s="4097">
        <f>IFERROR(AD246/AD$117,0)</f>
        <v/>
      </c>
      <c r="CA246" s="4097">
        <f>IFERROR(AE246/AE$117,0)</f>
        <v/>
      </c>
      <c r="CB246" s="4097">
        <f>IFERROR(AF246/AF$117,0)</f>
        <v/>
      </c>
      <c r="CC246" s="4097">
        <f>IFERROR(AG246/AG$117,0)</f>
        <v/>
      </c>
      <c r="CD246" s="4097">
        <f>IFERROR(AH246/AH$117,0)</f>
        <v/>
      </c>
      <c r="CE246" s="4097">
        <f>IFERROR(AI246/AI$117,0)</f>
        <v/>
      </c>
      <c r="CF246" s="4097">
        <f>IFERROR(AJ246/AJ$117,0)</f>
        <v/>
      </c>
      <c r="CG246" s="4097">
        <f>IFERROR(AK246/AK$117,0)</f>
        <v/>
      </c>
      <c r="CH246" s="4097">
        <f>IFERROR(AL246/AL$117,0)</f>
        <v/>
      </c>
      <c r="CI246" s="4097">
        <f>IFERROR(AM246/AM$117,0)</f>
        <v/>
      </c>
      <c r="CJ246" s="4097">
        <f>IFERROR(AN246/AN$117,0)</f>
        <v/>
      </c>
      <c r="CK246" s="4098">
        <f>IFERROR(AO246/AO$117,0)</f>
        <v/>
      </c>
      <c r="CL246" s="4097">
        <f>IFERROR(AP246/AP$117,0)</f>
        <v/>
      </c>
      <c r="CM246" s="4097">
        <f>IFERROR(AQ246/AQ$117,0)</f>
        <v/>
      </c>
      <c r="CN246" s="4097">
        <f>IFERROR(AR246/AR$117,0)</f>
        <v/>
      </c>
      <c r="CO246" s="4097">
        <f>IFERROR(AS246/AS$117,0)</f>
        <v/>
      </c>
      <c r="CP246" s="4097">
        <f>IFERROR(AT246/AT$117,0)</f>
        <v/>
      </c>
      <c r="CQ246" s="4099">
        <f>IFERROR(AU246/AU$117,0)</f>
        <v/>
      </c>
      <c r="CR246" s="4097">
        <f>IFERROR(AV246/AV$117,0)</f>
        <v/>
      </c>
      <c r="CS246" s="4097">
        <f>IFERROR(AW246/AW$117,0)</f>
        <v/>
      </c>
      <c r="CT246" s="4097">
        <f>IFERROR(AX246/AX$117,0)</f>
        <v/>
      </c>
      <c r="CU246" s="4097">
        <f>IFERROR(AY246/AY$117,0)</f>
        <v/>
      </c>
      <c r="CV246" s="4097">
        <f>IFERROR(AZ246/AZ$117,0)</f>
        <v/>
      </c>
      <c r="CW246" s="3737" t="n"/>
      <c r="CX246" s="4094" t="n">
        <v>-5.69037</v>
      </c>
    </row>
    <row r="247" hidden="1" outlineLevel="2" ht="12" customFormat="1" customHeight="1" s="3737">
      <c r="A247" s="4059" t="n"/>
      <c r="B247" s="4060" t="n"/>
      <c r="C247" s="4127" t="inlineStr">
        <is>
          <t>Depreciation - data processing equipment</t>
        </is>
      </c>
      <c r="D247" s="4093" t="n">
        <v>705701</v>
      </c>
      <c r="E247" s="4093">
        <f>CONCATENATE(D247," - ",C247)</f>
        <v/>
      </c>
      <c r="F247" s="4094" t="n"/>
      <c r="G247" s="4094" t="n"/>
      <c r="H247" s="4094" t="n"/>
      <c r="I247" s="4094" t="n"/>
      <c r="J247" s="4094" t="n"/>
      <c r="K247" s="4094" t="n"/>
      <c r="L247" s="4094" t="n"/>
      <c r="M247" s="4094" t="n"/>
      <c r="N247" s="4094" t="n"/>
      <c r="O247" s="4094" t="n"/>
      <c r="P247" s="4094" t="n"/>
      <c r="Q247" s="4095" t="n"/>
      <c r="R247" s="4094" t="n"/>
      <c r="S247" s="4094" t="n"/>
      <c r="T247" s="4094" t="n"/>
      <c r="U247" s="4094" t="n"/>
      <c r="V247" s="4094" t="n"/>
      <c r="W247" s="4094" t="n"/>
      <c r="X247" s="4094" t="n"/>
      <c r="Y247" s="4094" t="n"/>
      <c r="Z247" s="4094" t="n"/>
      <c r="AA247" s="4094" t="n"/>
      <c r="AB247" s="4094" t="n"/>
      <c r="AC247" s="4095" t="n"/>
      <c r="AD247" s="4094" t="n"/>
      <c r="AE247" s="4094" t="n"/>
      <c r="AF247" s="4094" t="n"/>
      <c r="AG247" s="4094" t="n"/>
      <c r="AH247" s="4094" t="n"/>
      <c r="AI247" s="4094" t="n"/>
      <c r="AJ247" s="4094" t="n"/>
      <c r="AK247" s="4094" t="n"/>
      <c r="AL247" s="4094" t="n"/>
      <c r="AM247" s="4094" t="n"/>
      <c r="AN247" s="4094" t="n"/>
      <c r="AO247" s="4095" t="n"/>
      <c r="AP247" s="4094" t="n">
        <v>-10.85964</v>
      </c>
      <c r="AQ247" s="4094" t="n">
        <v>-10.92068</v>
      </c>
      <c r="AR247" s="4094" t="n">
        <v>-11.1469</v>
      </c>
      <c r="AS247" s="4094" t="n">
        <v>-10.92722</v>
      </c>
      <c r="AT247" s="4094" t="n">
        <v>-12.15114</v>
      </c>
      <c r="AU247" s="4096" t="n">
        <v>-11.12578</v>
      </c>
      <c r="AV247" s="4094">
        <f>SUM(F247:Q247)</f>
        <v/>
      </c>
      <c r="AW247" s="4094">
        <f>SUM(R247:AC247)</f>
        <v/>
      </c>
      <c r="AX247" s="4094">
        <f>SUM(AD247:AO247)</f>
        <v/>
      </c>
      <c r="AY247" s="4094">
        <f>SUM(AH247:AS247)</f>
        <v/>
      </c>
      <c r="AZ247" s="4094">
        <f>SUM(AJ247:AU247)</f>
        <v/>
      </c>
      <c r="BA247" s="3737" t="n"/>
      <c r="BB247" s="4097">
        <f>IFERROR(F247/F$117,0)</f>
        <v/>
      </c>
      <c r="BC247" s="4097">
        <f>IFERROR(G247/G$117,0)</f>
        <v/>
      </c>
      <c r="BD247" s="4097">
        <f>IFERROR(H247/H$117,0)</f>
        <v/>
      </c>
      <c r="BE247" s="4097">
        <f>IFERROR(I247/I$117,0)</f>
        <v/>
      </c>
      <c r="BF247" s="4097">
        <f>IFERROR(J247/J$117,0)</f>
        <v/>
      </c>
      <c r="BG247" s="4097">
        <f>IFERROR(K247/K$117,0)</f>
        <v/>
      </c>
      <c r="BH247" s="4097">
        <f>IFERROR(L247/L$117,0)</f>
        <v/>
      </c>
      <c r="BI247" s="4097">
        <f>IFERROR(M247/M$117,0)</f>
        <v/>
      </c>
      <c r="BJ247" s="4097">
        <f>IFERROR(N247/N$117,0)</f>
        <v/>
      </c>
      <c r="BK247" s="4097">
        <f>IFERROR(O247/O$117,0)</f>
        <v/>
      </c>
      <c r="BL247" s="4097">
        <f>IFERROR(P247/P$117,0)</f>
        <v/>
      </c>
      <c r="BM247" s="4098">
        <f>IFERROR(Q247/Q$117,0)</f>
        <v/>
      </c>
      <c r="BN247" s="4097">
        <f>IFERROR(R247/R$117,0)</f>
        <v/>
      </c>
      <c r="BO247" s="4097">
        <f>IFERROR(S247/S$117,0)</f>
        <v/>
      </c>
      <c r="BP247" s="4097">
        <f>IFERROR(T247/T$117,0)</f>
        <v/>
      </c>
      <c r="BQ247" s="4097">
        <f>IFERROR(U247/U$117,0)</f>
        <v/>
      </c>
      <c r="BR247" s="4097">
        <f>IFERROR(V247/V$117,0)</f>
        <v/>
      </c>
      <c r="BS247" s="4097">
        <f>IFERROR(W247/W$117,0)</f>
        <v/>
      </c>
      <c r="BT247" s="4097">
        <f>IFERROR(X247/X$117,0)</f>
        <v/>
      </c>
      <c r="BU247" s="4097">
        <f>IFERROR(Y247/Y$117,0)</f>
        <v/>
      </c>
      <c r="BV247" s="4097">
        <f>IFERROR(Z247/Z$117,0)</f>
        <v/>
      </c>
      <c r="BW247" s="4097">
        <f>IFERROR(AA247/AA$117,0)</f>
        <v/>
      </c>
      <c r="BX247" s="4097">
        <f>IFERROR(AB247/AB$117,0)</f>
        <v/>
      </c>
      <c r="BY247" s="4098">
        <f>IFERROR(AC247/AC$117,0)</f>
        <v/>
      </c>
      <c r="BZ247" s="4097">
        <f>IFERROR(AD247/AD$117,0)</f>
        <v/>
      </c>
      <c r="CA247" s="4097">
        <f>IFERROR(AE247/AE$117,0)</f>
        <v/>
      </c>
      <c r="CB247" s="4097">
        <f>IFERROR(AF247/AF$117,0)</f>
        <v/>
      </c>
      <c r="CC247" s="4097">
        <f>IFERROR(AG247/AG$117,0)</f>
        <v/>
      </c>
      <c r="CD247" s="4097">
        <f>IFERROR(AH247/AH$117,0)</f>
        <v/>
      </c>
      <c r="CE247" s="4097">
        <f>IFERROR(AI247/AI$117,0)</f>
        <v/>
      </c>
      <c r="CF247" s="4097">
        <f>IFERROR(AJ247/AJ$117,0)</f>
        <v/>
      </c>
      <c r="CG247" s="4097">
        <f>IFERROR(AK247/AK$117,0)</f>
        <v/>
      </c>
      <c r="CH247" s="4097">
        <f>IFERROR(AL247/AL$117,0)</f>
        <v/>
      </c>
      <c r="CI247" s="4097">
        <f>IFERROR(AM247/AM$117,0)</f>
        <v/>
      </c>
      <c r="CJ247" s="4097">
        <f>IFERROR(AN247/AN$117,0)</f>
        <v/>
      </c>
      <c r="CK247" s="4098">
        <f>IFERROR(AO247/AO$117,0)</f>
        <v/>
      </c>
      <c r="CL247" s="4097">
        <f>IFERROR(AP247/AP$117,0)</f>
        <v/>
      </c>
      <c r="CM247" s="4097">
        <f>IFERROR(AQ247/AQ$117,0)</f>
        <v/>
      </c>
      <c r="CN247" s="4097">
        <f>IFERROR(AR247/AR$117,0)</f>
        <v/>
      </c>
      <c r="CO247" s="4097">
        <f>IFERROR(AS247/AS$117,0)</f>
        <v/>
      </c>
      <c r="CP247" s="4097">
        <f>IFERROR(AT247/AT$117,0)</f>
        <v/>
      </c>
      <c r="CQ247" s="4099">
        <f>IFERROR(AU247/AU$117,0)</f>
        <v/>
      </c>
      <c r="CR247" s="4097">
        <f>IFERROR(AV247/AV$117,0)</f>
        <v/>
      </c>
      <c r="CS247" s="4097">
        <f>IFERROR(AW247/AW$117,0)</f>
        <v/>
      </c>
      <c r="CT247" s="4097">
        <f>IFERROR(AX247/AX$117,0)</f>
        <v/>
      </c>
      <c r="CU247" s="4097">
        <f>IFERROR(AY247/AY$117,0)</f>
        <v/>
      </c>
      <c r="CV247" s="4097">
        <f>IFERROR(AZ247/AZ$117,0)</f>
        <v/>
      </c>
      <c r="CW247" s="3737" t="n"/>
      <c r="CX247" s="4094" t="n">
        <v>-588.85828</v>
      </c>
    </row>
    <row r="248" hidden="1" outlineLevel="2" ht="12" customFormat="1" customHeight="1" s="3737">
      <c r="A248" s="4059" t="n"/>
      <c r="B248" s="4060" t="n"/>
      <c r="C248" s="4127" t="inlineStr">
        <is>
          <t>Depreciation - network equipment</t>
        </is>
      </c>
      <c r="D248" s="4093" t="n">
        <v>705820</v>
      </c>
      <c r="E248" s="4093">
        <f>CONCATENATE(D248," - ",C248)</f>
        <v/>
      </c>
      <c r="F248" s="4094" t="n"/>
      <c r="G248" s="4094" t="n"/>
      <c r="H248" s="4094" t="n"/>
      <c r="I248" s="4094" t="n"/>
      <c r="J248" s="4094" t="n"/>
      <c r="K248" s="4094" t="n"/>
      <c r="L248" s="4094" t="n"/>
      <c r="M248" s="4094" t="n"/>
      <c r="N248" s="4094" t="n"/>
      <c r="O248" s="4094" t="n"/>
      <c r="P248" s="4094" t="n"/>
      <c r="Q248" s="4095" t="n"/>
      <c r="R248" s="4094" t="n"/>
      <c r="S248" s="4094" t="n"/>
      <c r="T248" s="4094" t="n"/>
      <c r="U248" s="4094" t="n"/>
      <c r="V248" s="4094" t="n"/>
      <c r="W248" s="4094" t="n"/>
      <c r="X248" s="4094" t="n"/>
      <c r="Y248" s="4094" t="n"/>
      <c r="Z248" s="4094" t="n"/>
      <c r="AA248" s="4094" t="n"/>
      <c r="AB248" s="4094" t="n"/>
      <c r="AC248" s="4095" t="n"/>
      <c r="AD248" s="4094" t="n"/>
      <c r="AE248" s="4094" t="n"/>
      <c r="AF248" s="4094" t="n"/>
      <c r="AG248" s="4094" t="n"/>
      <c r="AH248" s="4094" t="n"/>
      <c r="AI248" s="4094" t="n"/>
      <c r="AJ248" s="4094" t="n"/>
      <c r="AK248" s="4094" t="n"/>
      <c r="AL248" s="4094" t="n"/>
      <c r="AM248" s="4094" t="n"/>
      <c r="AN248" s="4094" t="n"/>
      <c r="AO248" s="4095" t="n"/>
      <c r="AP248" s="4094" t="n">
        <v>-5.67954</v>
      </c>
      <c r="AQ248" s="4094" t="n">
        <v>-5.67954</v>
      </c>
      <c r="AR248" s="4094" t="n">
        <v>-5.7329</v>
      </c>
      <c r="AS248" s="4094" t="n">
        <v>-6.01149</v>
      </c>
      <c r="AT248" s="4094" t="n">
        <v>-6.01149</v>
      </c>
      <c r="AU248" s="4096" t="n">
        <v>-6.01149</v>
      </c>
      <c r="AV248" s="4094">
        <f>SUM(F248:Q248)</f>
        <v/>
      </c>
      <c r="AW248" s="4094">
        <f>SUM(R248:AC248)</f>
        <v/>
      </c>
      <c r="AX248" s="4094">
        <f>SUM(AD248:AO248)</f>
        <v/>
      </c>
      <c r="AY248" s="4094">
        <f>SUM(AH248:AS248)</f>
        <v/>
      </c>
      <c r="AZ248" s="4094">
        <f>SUM(AJ248:AU248)</f>
        <v/>
      </c>
      <c r="BA248" s="3737" t="n"/>
      <c r="BB248" s="4097">
        <f>IFERROR(F248/F$117,0)</f>
        <v/>
      </c>
      <c r="BC248" s="4097">
        <f>IFERROR(G248/G$117,0)</f>
        <v/>
      </c>
      <c r="BD248" s="4097">
        <f>IFERROR(H248/H$117,0)</f>
        <v/>
      </c>
      <c r="BE248" s="4097">
        <f>IFERROR(I248/I$117,0)</f>
        <v/>
      </c>
      <c r="BF248" s="4097">
        <f>IFERROR(J248/J$117,0)</f>
        <v/>
      </c>
      <c r="BG248" s="4097">
        <f>IFERROR(K248/K$117,0)</f>
        <v/>
      </c>
      <c r="BH248" s="4097">
        <f>IFERROR(L248/L$117,0)</f>
        <v/>
      </c>
      <c r="BI248" s="4097">
        <f>IFERROR(M248/M$117,0)</f>
        <v/>
      </c>
      <c r="BJ248" s="4097">
        <f>IFERROR(N248/N$117,0)</f>
        <v/>
      </c>
      <c r="BK248" s="4097">
        <f>IFERROR(O248/O$117,0)</f>
        <v/>
      </c>
      <c r="BL248" s="4097">
        <f>IFERROR(P248/P$117,0)</f>
        <v/>
      </c>
      <c r="BM248" s="4098">
        <f>IFERROR(Q248/Q$117,0)</f>
        <v/>
      </c>
      <c r="BN248" s="4097">
        <f>IFERROR(R248/R$117,0)</f>
        <v/>
      </c>
      <c r="BO248" s="4097">
        <f>IFERROR(S248/S$117,0)</f>
        <v/>
      </c>
      <c r="BP248" s="4097">
        <f>IFERROR(T248/T$117,0)</f>
        <v/>
      </c>
      <c r="BQ248" s="4097">
        <f>IFERROR(U248/U$117,0)</f>
        <v/>
      </c>
      <c r="BR248" s="4097">
        <f>IFERROR(V248/V$117,0)</f>
        <v/>
      </c>
      <c r="BS248" s="4097">
        <f>IFERROR(W248/W$117,0)</f>
        <v/>
      </c>
      <c r="BT248" s="4097">
        <f>IFERROR(X248/X$117,0)</f>
        <v/>
      </c>
      <c r="BU248" s="4097">
        <f>IFERROR(Y248/Y$117,0)</f>
        <v/>
      </c>
      <c r="BV248" s="4097">
        <f>IFERROR(Z248/Z$117,0)</f>
        <v/>
      </c>
      <c r="BW248" s="4097">
        <f>IFERROR(AA248/AA$117,0)</f>
        <v/>
      </c>
      <c r="BX248" s="4097">
        <f>IFERROR(AB248/AB$117,0)</f>
        <v/>
      </c>
      <c r="BY248" s="4098">
        <f>IFERROR(AC248/AC$117,0)</f>
        <v/>
      </c>
      <c r="BZ248" s="4097">
        <f>IFERROR(AD248/AD$117,0)</f>
        <v/>
      </c>
      <c r="CA248" s="4097">
        <f>IFERROR(AE248/AE$117,0)</f>
        <v/>
      </c>
      <c r="CB248" s="4097">
        <f>IFERROR(AF248/AF$117,0)</f>
        <v/>
      </c>
      <c r="CC248" s="4097">
        <f>IFERROR(AG248/AG$117,0)</f>
        <v/>
      </c>
      <c r="CD248" s="4097">
        <f>IFERROR(AH248/AH$117,0)</f>
        <v/>
      </c>
      <c r="CE248" s="4097">
        <f>IFERROR(AI248/AI$117,0)</f>
        <v/>
      </c>
      <c r="CF248" s="4097">
        <f>IFERROR(AJ248/AJ$117,0)</f>
        <v/>
      </c>
      <c r="CG248" s="4097">
        <f>IFERROR(AK248/AK$117,0)</f>
        <v/>
      </c>
      <c r="CH248" s="4097">
        <f>IFERROR(AL248/AL$117,0)</f>
        <v/>
      </c>
      <c r="CI248" s="4097">
        <f>IFERROR(AM248/AM$117,0)</f>
        <v/>
      </c>
      <c r="CJ248" s="4097">
        <f>IFERROR(AN248/AN$117,0)</f>
        <v/>
      </c>
      <c r="CK248" s="4098">
        <f>IFERROR(AO248/AO$117,0)</f>
        <v/>
      </c>
      <c r="CL248" s="4097">
        <f>IFERROR(AP248/AP$117,0)</f>
        <v/>
      </c>
      <c r="CM248" s="4097">
        <f>IFERROR(AQ248/AQ$117,0)</f>
        <v/>
      </c>
      <c r="CN248" s="4097">
        <f>IFERROR(AR248/AR$117,0)</f>
        <v/>
      </c>
      <c r="CO248" s="4097">
        <f>IFERROR(AS248/AS$117,0)</f>
        <v/>
      </c>
      <c r="CP248" s="4097">
        <f>IFERROR(AT248/AT$117,0)</f>
        <v/>
      </c>
      <c r="CQ248" s="4099">
        <f>IFERROR(AU248/AU$117,0)</f>
        <v/>
      </c>
      <c r="CR248" s="4097">
        <f>IFERROR(AV248/AV$117,0)</f>
        <v/>
      </c>
      <c r="CS248" s="4097">
        <f>IFERROR(AW248/AW$117,0)</f>
        <v/>
      </c>
      <c r="CT248" s="4097">
        <f>IFERROR(AX248/AX$117,0)</f>
        <v/>
      </c>
      <c r="CU248" s="4097">
        <f>IFERROR(AY248/AY$117,0)</f>
        <v/>
      </c>
      <c r="CV248" s="4097">
        <f>IFERROR(AZ248/AZ$117,0)</f>
        <v/>
      </c>
      <c r="CW248" s="3737" t="n"/>
      <c r="CX248" s="4094" t="n">
        <v>0</v>
      </c>
    </row>
    <row r="249" hidden="1" outlineLevel="2" ht="12" customFormat="1" customHeight="1" s="3737">
      <c r="A249" s="4059" t="n"/>
      <c r="B249" s="4060" t="n"/>
      <c r="C249" s="4127" t="inlineStr">
        <is>
          <t>Depreciation - capitalized hw implementation</t>
        </is>
      </c>
      <c r="D249" s="4093" t="n">
        <v>705901</v>
      </c>
      <c r="E249" s="4093">
        <f>CONCATENATE(D249," - ",C249)</f>
        <v/>
      </c>
      <c r="F249" s="4094" t="n"/>
      <c r="G249" s="4094" t="n"/>
      <c r="H249" s="4094" t="n"/>
      <c r="I249" s="4094" t="n"/>
      <c r="J249" s="4094" t="n"/>
      <c r="K249" s="4094" t="n"/>
      <c r="L249" s="4094" t="n"/>
      <c r="M249" s="4094" t="n"/>
      <c r="N249" s="4094" t="n"/>
      <c r="O249" s="4094" t="n"/>
      <c r="P249" s="4094" t="n"/>
      <c r="Q249" s="4095" t="n"/>
      <c r="R249" s="4094" t="n"/>
      <c r="S249" s="4094" t="n"/>
      <c r="T249" s="4094" t="n"/>
      <c r="U249" s="4094" t="n"/>
      <c r="V249" s="4094" t="n"/>
      <c r="W249" s="4094" t="n"/>
      <c r="X249" s="4094" t="n"/>
      <c r="Y249" s="4094" t="n"/>
      <c r="Z249" s="4094" t="n"/>
      <c r="AA249" s="4094" t="n"/>
      <c r="AB249" s="4094" t="n"/>
      <c r="AC249" s="4095" t="n"/>
      <c r="AD249" s="4094" t="n"/>
      <c r="AE249" s="4094" t="n"/>
      <c r="AF249" s="4094" t="n"/>
      <c r="AG249" s="4094" t="n"/>
      <c r="AH249" s="4094" t="n"/>
      <c r="AI249" s="4094" t="n"/>
      <c r="AJ249" s="4094" t="n"/>
      <c r="AK249" s="4094" t="n"/>
      <c r="AL249" s="4094" t="n"/>
      <c r="AM249" s="4094" t="n"/>
      <c r="AN249" s="4094" t="n"/>
      <c r="AO249" s="4095" t="n"/>
      <c r="AP249" s="4094" t="n">
        <v>-16.27829</v>
      </c>
      <c r="AQ249" s="4094" t="n">
        <v>-16.27829</v>
      </c>
      <c r="AR249" s="4094" t="n">
        <v>-16.27829</v>
      </c>
      <c r="AS249" s="4094" t="n">
        <v>-16.27829</v>
      </c>
      <c r="AT249" s="4094" t="n">
        <v>-16.27829</v>
      </c>
      <c r="AU249" s="4096" t="n">
        <v>-16.27829</v>
      </c>
      <c r="AV249" s="4094">
        <f>SUM(F249:Q249)</f>
        <v/>
      </c>
      <c r="AW249" s="4094">
        <f>SUM(R249:AC249)</f>
        <v/>
      </c>
      <c r="AX249" s="4094">
        <f>SUM(AD249:AO249)</f>
        <v/>
      </c>
      <c r="AY249" s="4094">
        <f>SUM(AH249:AS249)</f>
        <v/>
      </c>
      <c r="AZ249" s="4094">
        <f>SUM(AJ249:AU249)</f>
        <v/>
      </c>
      <c r="BA249" s="3737" t="n"/>
      <c r="BB249" s="4097">
        <f>IFERROR(F249/F$117,0)</f>
        <v/>
      </c>
      <c r="BC249" s="4097">
        <f>IFERROR(G249/G$117,0)</f>
        <v/>
      </c>
      <c r="BD249" s="4097">
        <f>IFERROR(H249/H$117,0)</f>
        <v/>
      </c>
      <c r="BE249" s="4097">
        <f>IFERROR(I249/I$117,0)</f>
        <v/>
      </c>
      <c r="BF249" s="4097">
        <f>IFERROR(J249/J$117,0)</f>
        <v/>
      </c>
      <c r="BG249" s="4097">
        <f>IFERROR(K249/K$117,0)</f>
        <v/>
      </c>
      <c r="BH249" s="4097">
        <f>IFERROR(L249/L$117,0)</f>
        <v/>
      </c>
      <c r="BI249" s="4097">
        <f>IFERROR(M249/M$117,0)</f>
        <v/>
      </c>
      <c r="BJ249" s="4097">
        <f>IFERROR(N249/N$117,0)</f>
        <v/>
      </c>
      <c r="BK249" s="4097">
        <f>IFERROR(O249/O$117,0)</f>
        <v/>
      </c>
      <c r="BL249" s="4097">
        <f>IFERROR(P249/P$117,0)</f>
        <v/>
      </c>
      <c r="BM249" s="4098">
        <f>IFERROR(Q249/Q$117,0)</f>
        <v/>
      </c>
      <c r="BN249" s="4097">
        <f>IFERROR(R249/R$117,0)</f>
        <v/>
      </c>
      <c r="BO249" s="4097">
        <f>IFERROR(S249/S$117,0)</f>
        <v/>
      </c>
      <c r="BP249" s="4097">
        <f>IFERROR(T249/T$117,0)</f>
        <v/>
      </c>
      <c r="BQ249" s="4097">
        <f>IFERROR(U249/U$117,0)</f>
        <v/>
      </c>
      <c r="BR249" s="4097">
        <f>IFERROR(V249/V$117,0)</f>
        <v/>
      </c>
      <c r="BS249" s="4097">
        <f>IFERROR(W249/W$117,0)</f>
        <v/>
      </c>
      <c r="BT249" s="4097">
        <f>IFERROR(X249/X$117,0)</f>
        <v/>
      </c>
      <c r="BU249" s="4097">
        <f>IFERROR(Y249/Y$117,0)</f>
        <v/>
      </c>
      <c r="BV249" s="4097">
        <f>IFERROR(Z249/Z$117,0)</f>
        <v/>
      </c>
      <c r="BW249" s="4097">
        <f>IFERROR(AA249/AA$117,0)</f>
        <v/>
      </c>
      <c r="BX249" s="4097">
        <f>IFERROR(AB249/AB$117,0)</f>
        <v/>
      </c>
      <c r="BY249" s="4098">
        <f>IFERROR(AC249/AC$117,0)</f>
        <v/>
      </c>
      <c r="BZ249" s="4097">
        <f>IFERROR(AD249/AD$117,0)</f>
        <v/>
      </c>
      <c r="CA249" s="4097">
        <f>IFERROR(AE249/AE$117,0)</f>
        <v/>
      </c>
      <c r="CB249" s="4097">
        <f>IFERROR(AF249/AF$117,0)</f>
        <v/>
      </c>
      <c r="CC249" s="4097">
        <f>IFERROR(AG249/AG$117,0)</f>
        <v/>
      </c>
      <c r="CD249" s="4097">
        <f>IFERROR(AH249/AH$117,0)</f>
        <v/>
      </c>
      <c r="CE249" s="4097">
        <f>IFERROR(AI249/AI$117,0)</f>
        <v/>
      </c>
      <c r="CF249" s="4097">
        <f>IFERROR(AJ249/AJ$117,0)</f>
        <v/>
      </c>
      <c r="CG249" s="4097">
        <f>IFERROR(AK249/AK$117,0)</f>
        <v/>
      </c>
      <c r="CH249" s="4097">
        <f>IFERROR(AL249/AL$117,0)</f>
        <v/>
      </c>
      <c r="CI249" s="4097">
        <f>IFERROR(AM249/AM$117,0)</f>
        <v/>
      </c>
      <c r="CJ249" s="4097">
        <f>IFERROR(AN249/AN$117,0)</f>
        <v/>
      </c>
      <c r="CK249" s="4098">
        <f>IFERROR(AO249/AO$117,0)</f>
        <v/>
      </c>
      <c r="CL249" s="4097">
        <f>IFERROR(AP249/AP$117,0)</f>
        <v/>
      </c>
      <c r="CM249" s="4097">
        <f>IFERROR(AQ249/AQ$117,0)</f>
        <v/>
      </c>
      <c r="CN249" s="4097">
        <f>IFERROR(AR249/AR$117,0)</f>
        <v/>
      </c>
      <c r="CO249" s="4097">
        <f>IFERROR(AS249/AS$117,0)</f>
        <v/>
      </c>
      <c r="CP249" s="4097">
        <f>IFERROR(AT249/AT$117,0)</f>
        <v/>
      </c>
      <c r="CQ249" s="4099">
        <f>IFERROR(AU249/AU$117,0)</f>
        <v/>
      </c>
      <c r="CR249" s="4097">
        <f>IFERROR(AV249/AV$117,0)</f>
        <v/>
      </c>
      <c r="CS249" s="4097">
        <f>IFERROR(AW249/AW$117,0)</f>
        <v/>
      </c>
      <c r="CT249" s="4097">
        <f>IFERROR(AX249/AX$117,0)</f>
        <v/>
      </c>
      <c r="CU249" s="4097">
        <f>IFERROR(AY249/AY$117,0)</f>
        <v/>
      </c>
      <c r="CV249" s="4097">
        <f>IFERROR(AZ249/AZ$117,0)</f>
        <v/>
      </c>
      <c r="CW249" s="3737" t="n"/>
      <c r="CX249" s="4094" t="n">
        <v>0</v>
      </c>
    </row>
    <row r="250" hidden="1" outlineLevel="2" ht="12" customFormat="1" customHeight="1" s="3737">
      <c r="A250" s="4059" t="n"/>
      <c r="B250" s="4060" t="n"/>
      <c r="C250" s="4128" t="inlineStr">
        <is>
          <t>Depreciation - leased asset</t>
        </is>
      </c>
      <c r="D250" s="4101" t="n">
        <v>705920</v>
      </c>
      <c r="E250" s="4101">
        <f>CONCATENATE(D250," - ",C250)</f>
        <v/>
      </c>
      <c r="F250" s="4102" t="n"/>
      <c r="G250" s="4102" t="n"/>
      <c r="H250" s="4102" t="n"/>
      <c r="I250" s="4102" t="n"/>
      <c r="J250" s="4102" t="n"/>
      <c r="K250" s="4102" t="n"/>
      <c r="L250" s="4102" t="n"/>
      <c r="M250" s="4102" t="n"/>
      <c r="N250" s="4102" t="n"/>
      <c r="O250" s="4102" t="n"/>
      <c r="P250" s="4102" t="n"/>
      <c r="Q250" s="4103" t="n"/>
      <c r="R250" s="4102" t="n"/>
      <c r="S250" s="4102" t="n"/>
      <c r="T250" s="4102" t="n"/>
      <c r="U250" s="4102" t="n"/>
      <c r="V250" s="4102" t="n"/>
      <c r="W250" s="4102" t="n"/>
      <c r="X250" s="4102" t="n"/>
      <c r="Y250" s="4102" t="n"/>
      <c r="Z250" s="4102" t="n"/>
      <c r="AA250" s="4102" t="n"/>
      <c r="AB250" s="4102" t="n"/>
      <c r="AC250" s="4103" t="n"/>
      <c r="AD250" s="4102" t="n"/>
      <c r="AE250" s="4102" t="n"/>
      <c r="AF250" s="4102" t="n"/>
      <c r="AG250" s="4102" t="n"/>
      <c r="AH250" s="4102" t="n"/>
      <c r="AI250" s="4102" t="n"/>
      <c r="AJ250" s="4102" t="n"/>
      <c r="AK250" s="4102" t="n"/>
      <c r="AL250" s="4102" t="n"/>
      <c r="AM250" s="4102" t="n"/>
      <c r="AN250" s="4102" t="n"/>
      <c r="AO250" s="4103" t="n"/>
      <c r="AP250" s="4102" t="n">
        <v>-25.9762</v>
      </c>
      <c r="AQ250" s="4102" t="n">
        <v>-25.9762</v>
      </c>
      <c r="AR250" s="4102" t="n">
        <v>-25.9762</v>
      </c>
      <c r="AS250" s="4102" t="n">
        <v>-25.9762</v>
      </c>
      <c r="AT250" s="4102" t="n">
        <v>-25.9762</v>
      </c>
      <c r="AU250" s="4104" t="n">
        <v>-25.9762</v>
      </c>
      <c r="AV250" s="4102">
        <f>SUM(F250:Q250)</f>
        <v/>
      </c>
      <c r="AW250" s="4102">
        <f>SUM(R250:AC250)</f>
        <v/>
      </c>
      <c r="AX250" s="4102">
        <f>SUM(AD250:AO250)</f>
        <v/>
      </c>
      <c r="AY250" s="4102">
        <f>SUM(AH250:AS250)</f>
        <v/>
      </c>
      <c r="AZ250" s="4102">
        <f>SUM(AJ250:AU250)</f>
        <v/>
      </c>
      <c r="BA250" s="3737" t="n"/>
      <c r="BB250" s="4105">
        <f>IFERROR(F250/F$117,0)</f>
        <v/>
      </c>
      <c r="BC250" s="4105">
        <f>IFERROR(G250/G$117,0)</f>
        <v/>
      </c>
      <c r="BD250" s="4105">
        <f>IFERROR(H250/H$117,0)</f>
        <v/>
      </c>
      <c r="BE250" s="4105">
        <f>IFERROR(I250/I$117,0)</f>
        <v/>
      </c>
      <c r="BF250" s="4105">
        <f>IFERROR(J250/J$117,0)</f>
        <v/>
      </c>
      <c r="BG250" s="4105">
        <f>IFERROR(K250/K$117,0)</f>
        <v/>
      </c>
      <c r="BH250" s="4105">
        <f>IFERROR(L250/L$117,0)</f>
        <v/>
      </c>
      <c r="BI250" s="4105">
        <f>IFERROR(M250/M$117,0)</f>
        <v/>
      </c>
      <c r="BJ250" s="4105">
        <f>IFERROR(N250/N$117,0)</f>
        <v/>
      </c>
      <c r="BK250" s="4105">
        <f>IFERROR(O250/O$117,0)</f>
        <v/>
      </c>
      <c r="BL250" s="4105">
        <f>IFERROR(P250/P$117,0)</f>
        <v/>
      </c>
      <c r="BM250" s="4106">
        <f>IFERROR(Q250/Q$117,0)</f>
        <v/>
      </c>
      <c r="BN250" s="4105">
        <f>IFERROR(R250/R$117,0)</f>
        <v/>
      </c>
      <c r="BO250" s="4105">
        <f>IFERROR(S250/S$117,0)</f>
        <v/>
      </c>
      <c r="BP250" s="4105">
        <f>IFERROR(T250/T$117,0)</f>
        <v/>
      </c>
      <c r="BQ250" s="4105">
        <f>IFERROR(U250/U$117,0)</f>
        <v/>
      </c>
      <c r="BR250" s="4105">
        <f>IFERROR(V250/V$117,0)</f>
        <v/>
      </c>
      <c r="BS250" s="4105">
        <f>IFERROR(W250/W$117,0)</f>
        <v/>
      </c>
      <c r="BT250" s="4105">
        <f>IFERROR(X250/X$117,0)</f>
        <v/>
      </c>
      <c r="BU250" s="4105">
        <f>IFERROR(Y250/Y$117,0)</f>
        <v/>
      </c>
      <c r="BV250" s="4105">
        <f>IFERROR(Z250/Z$117,0)</f>
        <v/>
      </c>
      <c r="BW250" s="4105">
        <f>IFERROR(AA250/AA$117,0)</f>
        <v/>
      </c>
      <c r="BX250" s="4105">
        <f>IFERROR(AB250/AB$117,0)</f>
        <v/>
      </c>
      <c r="BY250" s="4106">
        <f>IFERROR(AC250/AC$117,0)</f>
        <v/>
      </c>
      <c r="BZ250" s="4105">
        <f>IFERROR(AD250/AD$117,0)</f>
        <v/>
      </c>
      <c r="CA250" s="4105">
        <f>IFERROR(AE250/AE$117,0)</f>
        <v/>
      </c>
      <c r="CB250" s="4105">
        <f>IFERROR(AF250/AF$117,0)</f>
        <v/>
      </c>
      <c r="CC250" s="4105">
        <f>IFERROR(AG250/AG$117,0)</f>
        <v/>
      </c>
      <c r="CD250" s="4105">
        <f>IFERROR(AH250/AH$117,0)</f>
        <v/>
      </c>
      <c r="CE250" s="4105">
        <f>IFERROR(AI250/AI$117,0)</f>
        <v/>
      </c>
      <c r="CF250" s="4105">
        <f>IFERROR(AJ250/AJ$117,0)</f>
        <v/>
      </c>
      <c r="CG250" s="4105">
        <f>IFERROR(AK250/AK$117,0)</f>
        <v/>
      </c>
      <c r="CH250" s="4105">
        <f>IFERROR(AL250/AL$117,0)</f>
        <v/>
      </c>
      <c r="CI250" s="4105">
        <f>IFERROR(AM250/AM$117,0)</f>
        <v/>
      </c>
      <c r="CJ250" s="4105">
        <f>IFERROR(AN250/AN$117,0)</f>
        <v/>
      </c>
      <c r="CK250" s="4106">
        <f>IFERROR(AO250/AO$117,0)</f>
        <v/>
      </c>
      <c r="CL250" s="4105">
        <f>IFERROR(AP250/AP$117,0)</f>
        <v/>
      </c>
      <c r="CM250" s="4105">
        <f>IFERROR(AQ250/AQ$117,0)</f>
        <v/>
      </c>
      <c r="CN250" s="4105">
        <f>IFERROR(AR250/AR$117,0)</f>
        <v/>
      </c>
      <c r="CO250" s="4105">
        <f>IFERROR(AS250/AS$117,0)</f>
        <v/>
      </c>
      <c r="CP250" s="4105">
        <f>IFERROR(AT250/AT$117,0)</f>
        <v/>
      </c>
      <c r="CQ250" s="4107">
        <f>IFERROR(AU250/AU$117,0)</f>
        <v/>
      </c>
      <c r="CR250" s="4105">
        <f>IFERROR(AV250/AV$117,0)</f>
        <v/>
      </c>
      <c r="CS250" s="4105">
        <f>IFERROR(AW250/AW$117,0)</f>
        <v/>
      </c>
      <c r="CT250" s="4105">
        <f>IFERROR(AX250/AX$117,0)</f>
        <v/>
      </c>
      <c r="CU250" s="4105">
        <f>IFERROR(AY250/AY$117,0)</f>
        <v/>
      </c>
      <c r="CV250" s="4105">
        <f>IFERROR(AZ250/AZ$117,0)</f>
        <v/>
      </c>
      <c r="CW250" s="3737" t="n"/>
      <c r="CX250" s="4102" t="n">
        <v>0</v>
      </c>
    </row>
    <row r="251" hidden="1" outlineLevel="1" collapsed="1" ht="12" customFormat="1" customHeight="1" s="3737">
      <c r="A251" s="4059" t="n"/>
      <c r="B251" s="4060" t="n"/>
      <c r="C251" s="4092" t="inlineStr">
        <is>
          <t>Depreciation expense</t>
        </is>
      </c>
      <c r="D251" s="4093" t="n"/>
      <c r="E251" s="4093" t="n"/>
      <c r="F251" s="4094" t="n"/>
      <c r="G251" s="4094" t="n"/>
      <c r="H251" s="4094" t="n"/>
      <c r="I251" s="4094" t="n"/>
      <c r="J251" s="4094" t="n"/>
      <c r="K251" s="4094" t="n"/>
      <c r="L251" s="4094" t="n"/>
      <c r="M251" s="4094" t="n"/>
      <c r="N251" s="4094" t="n"/>
      <c r="O251" s="4094" t="n"/>
      <c r="P251" s="4094" t="n"/>
      <c r="Q251" s="4095" t="n"/>
      <c r="R251" s="4094" t="n"/>
      <c r="S251" s="4094" t="n"/>
      <c r="T251" s="4094" t="n"/>
      <c r="U251" s="4094" t="n"/>
      <c r="V251" s="4094" t="n"/>
      <c r="W251" s="4094" t="n"/>
      <c r="X251" s="4094" t="n"/>
      <c r="Y251" s="4094" t="n"/>
      <c r="Z251" s="4094" t="n"/>
      <c r="AA251" s="4094" t="n"/>
      <c r="AB251" s="4094" t="n"/>
      <c r="AC251" s="4095" t="n"/>
      <c r="AD251" s="4094" t="n"/>
      <c r="AE251" s="4094" t="n"/>
      <c r="AF251" s="4094" t="n"/>
      <c r="AG251" s="4094" t="n"/>
      <c r="AH251" s="4094" t="n"/>
      <c r="AI251" s="4094" t="n"/>
      <c r="AJ251" s="4094" t="n"/>
      <c r="AK251" s="4094" t="n"/>
      <c r="AL251" s="4094" t="n"/>
      <c r="AM251" s="4094" t="n"/>
      <c r="AN251" s="4094" t="n"/>
      <c r="AO251" s="4095" t="n"/>
      <c r="AP251" s="4094">
        <f>SUM(AP244:AP250)</f>
        <v/>
      </c>
      <c r="AQ251" s="4094">
        <f>SUM(AQ244:AQ250)</f>
        <v/>
      </c>
      <c r="AR251" s="4094">
        <f>SUM(AR244:AR250)</f>
        <v/>
      </c>
      <c r="AS251" s="4094">
        <f>SUM(AS244:AS250)</f>
        <v/>
      </c>
      <c r="AT251" s="4094">
        <f>SUM(AT244:AT250)</f>
        <v/>
      </c>
      <c r="AU251" s="4096">
        <f>SUM(AU244:AU250)</f>
        <v/>
      </c>
      <c r="AV251" s="4094">
        <f>SUM(AV244:AV250)</f>
        <v/>
      </c>
      <c r="AW251" s="4094">
        <f>SUM(AW244:AW250)</f>
        <v/>
      </c>
      <c r="AX251" s="4094">
        <f>SUM(AX244:AX250)</f>
        <v/>
      </c>
      <c r="AY251" s="4094">
        <f>SUM(AY244:AY250)</f>
        <v/>
      </c>
      <c r="AZ251" s="4094">
        <f>SUM(AZ244:AZ250)</f>
        <v/>
      </c>
      <c r="BA251" s="3737" t="n"/>
      <c r="BB251" s="4097">
        <f>IFERROR(F251/F$117,0)</f>
        <v/>
      </c>
      <c r="BC251" s="4097">
        <f>IFERROR(G251/G$117,0)</f>
        <v/>
      </c>
      <c r="BD251" s="4097">
        <f>IFERROR(H251/H$117,0)</f>
        <v/>
      </c>
      <c r="BE251" s="4097">
        <f>IFERROR(I251/I$117,0)</f>
        <v/>
      </c>
      <c r="BF251" s="4097">
        <f>IFERROR(J251/J$117,0)</f>
        <v/>
      </c>
      <c r="BG251" s="4097">
        <f>IFERROR(K251/K$117,0)</f>
        <v/>
      </c>
      <c r="BH251" s="4097">
        <f>IFERROR(L251/L$117,0)</f>
        <v/>
      </c>
      <c r="BI251" s="4097">
        <f>IFERROR(M251/M$117,0)</f>
        <v/>
      </c>
      <c r="BJ251" s="4097">
        <f>IFERROR(N251/N$117,0)</f>
        <v/>
      </c>
      <c r="BK251" s="4097">
        <f>IFERROR(O251/O$117,0)</f>
        <v/>
      </c>
      <c r="BL251" s="4097">
        <f>IFERROR(P251/P$117,0)</f>
        <v/>
      </c>
      <c r="BM251" s="4098">
        <f>IFERROR(Q251/Q$117,0)</f>
        <v/>
      </c>
      <c r="BN251" s="4097">
        <f>IFERROR(R251/R$117,0)</f>
        <v/>
      </c>
      <c r="BO251" s="4097">
        <f>IFERROR(S251/S$117,0)</f>
        <v/>
      </c>
      <c r="BP251" s="4097">
        <f>IFERROR(T251/T$117,0)</f>
        <v/>
      </c>
      <c r="BQ251" s="4097">
        <f>IFERROR(U251/U$117,0)</f>
        <v/>
      </c>
      <c r="BR251" s="4097">
        <f>IFERROR(V251/V$117,0)</f>
        <v/>
      </c>
      <c r="BS251" s="4097">
        <f>IFERROR(W251/W$117,0)</f>
        <v/>
      </c>
      <c r="BT251" s="4097">
        <f>IFERROR(X251/X$117,0)</f>
        <v/>
      </c>
      <c r="BU251" s="4097">
        <f>IFERROR(Y251/Y$117,0)</f>
        <v/>
      </c>
      <c r="BV251" s="4097">
        <f>IFERROR(Z251/Z$117,0)</f>
        <v/>
      </c>
      <c r="BW251" s="4097">
        <f>IFERROR(AA251/AA$117,0)</f>
        <v/>
      </c>
      <c r="BX251" s="4097">
        <f>IFERROR(AB251/AB$117,0)</f>
        <v/>
      </c>
      <c r="BY251" s="4098">
        <f>IFERROR(AC251/AC$117,0)</f>
        <v/>
      </c>
      <c r="BZ251" s="4097">
        <f>IFERROR(AD251/AD$117,0)</f>
        <v/>
      </c>
      <c r="CA251" s="4097">
        <f>IFERROR(AE251/AE$117,0)</f>
        <v/>
      </c>
      <c r="CB251" s="4097">
        <f>IFERROR(AF251/AF$117,0)</f>
        <v/>
      </c>
      <c r="CC251" s="4097">
        <f>IFERROR(AG251/AG$117,0)</f>
        <v/>
      </c>
      <c r="CD251" s="4097">
        <f>IFERROR(AH251/AH$117,0)</f>
        <v/>
      </c>
      <c r="CE251" s="4097">
        <f>IFERROR(AI251/AI$117,0)</f>
        <v/>
      </c>
      <c r="CF251" s="4097">
        <f>IFERROR(AJ251/AJ$117,0)</f>
        <v/>
      </c>
      <c r="CG251" s="4097">
        <f>IFERROR(AK251/AK$117,0)</f>
        <v/>
      </c>
      <c r="CH251" s="4097">
        <f>IFERROR(AL251/AL$117,0)</f>
        <v/>
      </c>
      <c r="CI251" s="4097">
        <f>IFERROR(AM251/AM$117,0)</f>
        <v/>
      </c>
      <c r="CJ251" s="4097">
        <f>IFERROR(AN251/AN$117,0)</f>
        <v/>
      </c>
      <c r="CK251" s="4098">
        <f>IFERROR(AO251/AO$117,0)</f>
        <v/>
      </c>
      <c r="CL251" s="4097">
        <f>IFERROR(AP251/AP$117,0)</f>
        <v/>
      </c>
      <c r="CM251" s="4097">
        <f>IFERROR(AQ251/AQ$117,0)</f>
        <v/>
      </c>
      <c r="CN251" s="4097">
        <f>IFERROR(AR251/AR$117,0)</f>
        <v/>
      </c>
      <c r="CO251" s="4097">
        <f>IFERROR(AS251/AS$117,0)</f>
        <v/>
      </c>
      <c r="CP251" s="4097">
        <f>IFERROR(AT251/AT$117,0)</f>
        <v/>
      </c>
      <c r="CQ251" s="4099">
        <f>IFERROR(AU251/AU$117,0)</f>
        <v/>
      </c>
      <c r="CR251" s="4097">
        <f>IFERROR(AV251/AV$117,0)</f>
        <v/>
      </c>
      <c r="CS251" s="4097">
        <f>IFERROR(AW251/AW$117,0)</f>
        <v/>
      </c>
      <c r="CT251" s="4097">
        <f>IFERROR(AX251/AX$117,0)</f>
        <v/>
      </c>
      <c r="CU251" s="4097">
        <f>IFERROR(AY251/AY$117,0)</f>
        <v/>
      </c>
      <c r="CV251" s="4097">
        <f>IFERROR(AZ251/AZ$117,0)</f>
        <v/>
      </c>
      <c r="CW251" s="3737" t="n"/>
      <c r="CX251" s="4094">
        <f>SUM(CX244:CX250)</f>
        <v/>
      </c>
    </row>
    <row r="252" hidden="1" outlineLevel="2" ht="12" customFormat="1" customHeight="1" s="3737">
      <c r="A252" s="4059" t="n"/>
      <c r="B252" s="4060" t="n"/>
      <c r="C252" s="4128" t="inlineStr">
        <is>
          <t>Depreciation - building rou asset</t>
        </is>
      </c>
      <c r="D252" s="4101" t="n">
        <v>705301</v>
      </c>
      <c r="E252" s="4101">
        <f>CONCATENATE(D252," - ",C252)</f>
        <v/>
      </c>
      <c r="F252" s="4102" t="n"/>
      <c r="G252" s="4102" t="n"/>
      <c r="H252" s="4102" t="n"/>
      <c r="I252" s="4102" t="n"/>
      <c r="J252" s="4102" t="n"/>
      <c r="K252" s="4102" t="n"/>
      <c r="L252" s="4102" t="n"/>
      <c r="M252" s="4102" t="n"/>
      <c r="N252" s="4102" t="n"/>
      <c r="O252" s="4102" t="n"/>
      <c r="P252" s="4102" t="n"/>
      <c r="Q252" s="4103" t="n"/>
      <c r="R252" s="4102" t="n"/>
      <c r="S252" s="4102" t="n"/>
      <c r="T252" s="4102" t="n"/>
      <c r="U252" s="4102" t="n"/>
      <c r="V252" s="4102" t="n"/>
      <c r="W252" s="4102" t="n"/>
      <c r="X252" s="4102" t="n"/>
      <c r="Y252" s="4102" t="n"/>
      <c r="Z252" s="4102" t="n"/>
      <c r="AA252" s="4102" t="n"/>
      <c r="AB252" s="4102" t="n"/>
      <c r="AC252" s="4103" t="n"/>
      <c r="AD252" s="4102" t="n"/>
      <c r="AE252" s="4102" t="n"/>
      <c r="AF252" s="4102" t="n"/>
      <c r="AG252" s="4102" t="n"/>
      <c r="AH252" s="4102" t="n"/>
      <c r="AI252" s="4102" t="n"/>
      <c r="AJ252" s="4102" t="n"/>
      <c r="AK252" s="4102" t="n"/>
      <c r="AL252" s="4102" t="n"/>
      <c r="AM252" s="4102" t="n"/>
      <c r="AN252" s="4102" t="n"/>
      <c r="AO252" s="4103" t="n"/>
      <c r="AP252" s="4102" t="n">
        <v>-18.59551</v>
      </c>
      <c r="AQ252" s="4102" t="n">
        <v>-18.59551</v>
      </c>
      <c r="AR252" s="4102" t="n">
        <v>-18.59551</v>
      </c>
      <c r="AS252" s="4102" t="n">
        <v>-18.59551</v>
      </c>
      <c r="AT252" s="4102" t="n">
        <v>-18.59551</v>
      </c>
      <c r="AU252" s="4104" t="n">
        <v>-18.59551</v>
      </c>
      <c r="AV252" s="4102">
        <f>SUM(F252:Q252)</f>
        <v/>
      </c>
      <c r="AW252" s="4102">
        <f>SUM(R252:AC252)</f>
        <v/>
      </c>
      <c r="AX252" s="4102">
        <f>SUM(AD252:AO252)</f>
        <v/>
      </c>
      <c r="AY252" s="4102">
        <f>SUM(AH252:AS252)</f>
        <v/>
      </c>
      <c r="AZ252" s="4102">
        <f>SUM(AJ252:AU252)</f>
        <v/>
      </c>
      <c r="BA252" s="3737" t="n"/>
      <c r="BB252" s="4105">
        <f>IFERROR(F252/F$117,0)</f>
        <v/>
      </c>
      <c r="BC252" s="4105">
        <f>IFERROR(G252/G$117,0)</f>
        <v/>
      </c>
      <c r="BD252" s="4105">
        <f>IFERROR(H252/H$117,0)</f>
        <v/>
      </c>
      <c r="BE252" s="4105">
        <f>IFERROR(I252/I$117,0)</f>
        <v/>
      </c>
      <c r="BF252" s="4105">
        <f>IFERROR(J252/J$117,0)</f>
        <v/>
      </c>
      <c r="BG252" s="4105">
        <f>IFERROR(K252/K$117,0)</f>
        <v/>
      </c>
      <c r="BH252" s="4105">
        <f>IFERROR(L252/L$117,0)</f>
        <v/>
      </c>
      <c r="BI252" s="4105">
        <f>IFERROR(M252/M$117,0)</f>
        <v/>
      </c>
      <c r="BJ252" s="4105">
        <f>IFERROR(N252/N$117,0)</f>
        <v/>
      </c>
      <c r="BK252" s="4105">
        <f>IFERROR(O252/O$117,0)</f>
        <v/>
      </c>
      <c r="BL252" s="4105">
        <f>IFERROR(P252/P$117,0)</f>
        <v/>
      </c>
      <c r="BM252" s="4106">
        <f>IFERROR(Q252/Q$117,0)</f>
        <v/>
      </c>
      <c r="BN252" s="4105">
        <f>IFERROR(R252/R$117,0)</f>
        <v/>
      </c>
      <c r="BO252" s="4105">
        <f>IFERROR(S252/S$117,0)</f>
        <v/>
      </c>
      <c r="BP252" s="4105">
        <f>IFERROR(T252/T$117,0)</f>
        <v/>
      </c>
      <c r="BQ252" s="4105">
        <f>IFERROR(U252/U$117,0)</f>
        <v/>
      </c>
      <c r="BR252" s="4105">
        <f>IFERROR(V252/V$117,0)</f>
        <v/>
      </c>
      <c r="BS252" s="4105">
        <f>IFERROR(W252/W$117,0)</f>
        <v/>
      </c>
      <c r="BT252" s="4105">
        <f>IFERROR(X252/X$117,0)</f>
        <v/>
      </c>
      <c r="BU252" s="4105">
        <f>IFERROR(Y252/Y$117,0)</f>
        <v/>
      </c>
      <c r="BV252" s="4105">
        <f>IFERROR(Z252/Z$117,0)</f>
        <v/>
      </c>
      <c r="BW252" s="4105">
        <f>IFERROR(AA252/AA$117,0)</f>
        <v/>
      </c>
      <c r="BX252" s="4105">
        <f>IFERROR(AB252/AB$117,0)</f>
        <v/>
      </c>
      <c r="BY252" s="4106">
        <f>IFERROR(AC252/AC$117,0)</f>
        <v/>
      </c>
      <c r="BZ252" s="4105">
        <f>IFERROR(AD252/AD$117,0)</f>
        <v/>
      </c>
      <c r="CA252" s="4105">
        <f>IFERROR(AE252/AE$117,0)</f>
        <v/>
      </c>
      <c r="CB252" s="4105">
        <f>IFERROR(AF252/AF$117,0)</f>
        <v/>
      </c>
      <c r="CC252" s="4105">
        <f>IFERROR(AG252/AG$117,0)</f>
        <v/>
      </c>
      <c r="CD252" s="4105">
        <f>IFERROR(AH252/AH$117,0)</f>
        <v/>
      </c>
      <c r="CE252" s="4105">
        <f>IFERROR(AI252/AI$117,0)</f>
        <v/>
      </c>
      <c r="CF252" s="4105">
        <f>IFERROR(AJ252/AJ$117,0)</f>
        <v/>
      </c>
      <c r="CG252" s="4105">
        <f>IFERROR(AK252/AK$117,0)</f>
        <v/>
      </c>
      <c r="CH252" s="4105">
        <f>IFERROR(AL252/AL$117,0)</f>
        <v/>
      </c>
      <c r="CI252" s="4105">
        <f>IFERROR(AM252/AM$117,0)</f>
        <v/>
      </c>
      <c r="CJ252" s="4105">
        <f>IFERROR(AN252/AN$117,0)</f>
        <v/>
      </c>
      <c r="CK252" s="4106">
        <f>IFERROR(AO252/AO$117,0)</f>
        <v/>
      </c>
      <c r="CL252" s="4105">
        <f>IFERROR(AP252/AP$117,0)</f>
        <v/>
      </c>
      <c r="CM252" s="4105">
        <f>IFERROR(AQ252/AQ$117,0)</f>
        <v/>
      </c>
      <c r="CN252" s="4105">
        <f>IFERROR(AR252/AR$117,0)</f>
        <v/>
      </c>
      <c r="CO252" s="4105">
        <f>IFERROR(AS252/AS$117,0)</f>
        <v/>
      </c>
      <c r="CP252" s="4105">
        <f>IFERROR(AT252/AT$117,0)</f>
        <v/>
      </c>
      <c r="CQ252" s="4107">
        <f>IFERROR(AU252/AU$117,0)</f>
        <v/>
      </c>
      <c r="CR252" s="4105">
        <f>IFERROR(AV252/AV$117,0)</f>
        <v/>
      </c>
      <c r="CS252" s="4105">
        <f>IFERROR(AW252/AW$117,0)</f>
        <v/>
      </c>
      <c r="CT252" s="4105">
        <f>IFERROR(AX252/AX$117,0)</f>
        <v/>
      </c>
      <c r="CU252" s="4105">
        <f>IFERROR(AY252/AY$117,0)</f>
        <v/>
      </c>
      <c r="CV252" s="4105">
        <f>IFERROR(AZ252/AZ$117,0)</f>
        <v/>
      </c>
      <c r="CW252" s="3737" t="n"/>
      <c r="CX252" s="4102" t="n">
        <v>-203.20635</v>
      </c>
    </row>
    <row r="253" hidden="1" outlineLevel="1" collapsed="1" ht="12" customFormat="1" customHeight="1" s="3737">
      <c r="A253" s="4059" t="n"/>
      <c r="B253" s="4060" t="n"/>
      <c r="C253" s="4100" t="inlineStr">
        <is>
          <t>Depreciation expense - property right of use</t>
        </is>
      </c>
      <c r="D253" s="4101" t="n"/>
      <c r="E253" s="4101" t="n"/>
      <c r="F253" s="4102" t="n"/>
      <c r="G253" s="4102" t="n"/>
      <c r="H253" s="4102" t="n"/>
      <c r="I253" s="4102" t="n"/>
      <c r="J253" s="4102" t="n"/>
      <c r="K253" s="4102" t="n"/>
      <c r="L253" s="4102" t="n"/>
      <c r="M253" s="4102" t="n"/>
      <c r="N253" s="4102" t="n"/>
      <c r="O253" s="4102" t="n"/>
      <c r="P253" s="4102" t="n"/>
      <c r="Q253" s="4103" t="n"/>
      <c r="R253" s="4102" t="n"/>
      <c r="S253" s="4102" t="n"/>
      <c r="T253" s="4102" t="n"/>
      <c r="U253" s="4102" t="n"/>
      <c r="V253" s="4102" t="n"/>
      <c r="W253" s="4102" t="n"/>
      <c r="X253" s="4102" t="n"/>
      <c r="Y253" s="4102" t="n"/>
      <c r="Z253" s="4102" t="n"/>
      <c r="AA253" s="4102" t="n"/>
      <c r="AB253" s="4102" t="n"/>
      <c r="AC253" s="4103" t="n"/>
      <c r="AD253" s="4102" t="n"/>
      <c r="AE253" s="4102" t="n"/>
      <c r="AF253" s="4102" t="n"/>
      <c r="AG253" s="4102" t="n"/>
      <c r="AH253" s="4102" t="n"/>
      <c r="AI253" s="4102" t="n"/>
      <c r="AJ253" s="4102" t="n"/>
      <c r="AK253" s="4102" t="n"/>
      <c r="AL253" s="4102" t="n"/>
      <c r="AM253" s="4102" t="n"/>
      <c r="AN253" s="4102" t="n"/>
      <c r="AO253" s="4103" t="n"/>
      <c r="AP253" s="4102">
        <f>SUM(AP252)</f>
        <v/>
      </c>
      <c r="AQ253" s="4102">
        <f>SUM(AQ252)</f>
        <v/>
      </c>
      <c r="AR253" s="4102">
        <f>SUM(AR252)</f>
        <v/>
      </c>
      <c r="AS253" s="4102">
        <f>SUM(AS252)</f>
        <v/>
      </c>
      <c r="AT253" s="4102">
        <f>SUM(AT252)</f>
        <v/>
      </c>
      <c r="AU253" s="4104">
        <f>SUM(AU252)</f>
        <v/>
      </c>
      <c r="AV253" s="4102">
        <f>SUM(AV252)</f>
        <v/>
      </c>
      <c r="AW253" s="4102">
        <f>SUM(AW252)</f>
        <v/>
      </c>
      <c r="AX253" s="4102">
        <f>SUM(AX252)</f>
        <v/>
      </c>
      <c r="AY253" s="4102">
        <f>SUM(AY252)</f>
        <v/>
      </c>
      <c r="AZ253" s="4102">
        <f>SUM(AZ252)</f>
        <v/>
      </c>
      <c r="BA253" s="3737" t="n"/>
      <c r="BB253" s="4105">
        <f>IFERROR(F253/F$117,0)</f>
        <v/>
      </c>
      <c r="BC253" s="4105">
        <f>IFERROR(G253/G$117,0)</f>
        <v/>
      </c>
      <c r="BD253" s="4105">
        <f>IFERROR(H253/H$117,0)</f>
        <v/>
      </c>
      <c r="BE253" s="4105">
        <f>IFERROR(I253/I$117,0)</f>
        <v/>
      </c>
      <c r="BF253" s="4105">
        <f>IFERROR(J253/J$117,0)</f>
        <v/>
      </c>
      <c r="BG253" s="4105">
        <f>IFERROR(K253/K$117,0)</f>
        <v/>
      </c>
      <c r="BH253" s="4105">
        <f>IFERROR(L253/L$117,0)</f>
        <v/>
      </c>
      <c r="BI253" s="4105">
        <f>IFERROR(M253/M$117,0)</f>
        <v/>
      </c>
      <c r="BJ253" s="4105">
        <f>IFERROR(N253/N$117,0)</f>
        <v/>
      </c>
      <c r="BK253" s="4105">
        <f>IFERROR(O253/O$117,0)</f>
        <v/>
      </c>
      <c r="BL253" s="4105">
        <f>IFERROR(P253/P$117,0)</f>
        <v/>
      </c>
      <c r="BM253" s="4106">
        <f>IFERROR(Q253/Q$117,0)</f>
        <v/>
      </c>
      <c r="BN253" s="4105">
        <f>IFERROR(R253/R$117,0)</f>
        <v/>
      </c>
      <c r="BO253" s="4105">
        <f>IFERROR(S253/S$117,0)</f>
        <v/>
      </c>
      <c r="BP253" s="4105">
        <f>IFERROR(T253/T$117,0)</f>
        <v/>
      </c>
      <c r="BQ253" s="4105">
        <f>IFERROR(U253/U$117,0)</f>
        <v/>
      </c>
      <c r="BR253" s="4105">
        <f>IFERROR(V253/V$117,0)</f>
        <v/>
      </c>
      <c r="BS253" s="4105">
        <f>IFERROR(W253/W$117,0)</f>
        <v/>
      </c>
      <c r="BT253" s="4105">
        <f>IFERROR(X253/X$117,0)</f>
        <v/>
      </c>
      <c r="BU253" s="4105">
        <f>IFERROR(Y253/Y$117,0)</f>
        <v/>
      </c>
      <c r="BV253" s="4105">
        <f>IFERROR(Z253/Z$117,0)</f>
        <v/>
      </c>
      <c r="BW253" s="4105">
        <f>IFERROR(AA253/AA$117,0)</f>
        <v/>
      </c>
      <c r="BX253" s="4105">
        <f>IFERROR(AB253/AB$117,0)</f>
        <v/>
      </c>
      <c r="BY253" s="4106">
        <f>IFERROR(AC253/AC$117,0)</f>
        <v/>
      </c>
      <c r="BZ253" s="4105">
        <f>IFERROR(AD253/AD$117,0)</f>
        <v/>
      </c>
      <c r="CA253" s="4105">
        <f>IFERROR(AE253/AE$117,0)</f>
        <v/>
      </c>
      <c r="CB253" s="4105">
        <f>IFERROR(AF253/AF$117,0)</f>
        <v/>
      </c>
      <c r="CC253" s="4105">
        <f>IFERROR(AG253/AG$117,0)</f>
        <v/>
      </c>
      <c r="CD253" s="4105">
        <f>IFERROR(AH253/AH$117,0)</f>
        <v/>
      </c>
      <c r="CE253" s="4105">
        <f>IFERROR(AI253/AI$117,0)</f>
        <v/>
      </c>
      <c r="CF253" s="4105">
        <f>IFERROR(AJ253/AJ$117,0)</f>
        <v/>
      </c>
      <c r="CG253" s="4105">
        <f>IFERROR(AK253/AK$117,0)</f>
        <v/>
      </c>
      <c r="CH253" s="4105">
        <f>IFERROR(AL253/AL$117,0)</f>
        <v/>
      </c>
      <c r="CI253" s="4105">
        <f>IFERROR(AM253/AM$117,0)</f>
        <v/>
      </c>
      <c r="CJ253" s="4105">
        <f>IFERROR(AN253/AN$117,0)</f>
        <v/>
      </c>
      <c r="CK253" s="4106">
        <f>IFERROR(AO253/AO$117,0)</f>
        <v/>
      </c>
      <c r="CL253" s="4105">
        <f>IFERROR(AP253/AP$117,0)</f>
        <v/>
      </c>
      <c r="CM253" s="4105">
        <f>IFERROR(AQ253/AQ$117,0)</f>
        <v/>
      </c>
      <c r="CN253" s="4105">
        <f>IFERROR(AR253/AR$117,0)</f>
        <v/>
      </c>
      <c r="CO253" s="4105">
        <f>IFERROR(AS253/AS$117,0)</f>
        <v/>
      </c>
      <c r="CP253" s="4105">
        <f>IFERROR(AT253/AT$117,0)</f>
        <v/>
      </c>
      <c r="CQ253" s="4107">
        <f>IFERROR(AU253/AU$117,0)</f>
        <v/>
      </c>
      <c r="CR253" s="4105">
        <f>IFERROR(AV253/AV$117,0)</f>
        <v/>
      </c>
      <c r="CS253" s="4105">
        <f>IFERROR(AW253/AW$117,0)</f>
        <v/>
      </c>
      <c r="CT253" s="4105">
        <f>IFERROR(AX253/AX$117,0)</f>
        <v/>
      </c>
      <c r="CU253" s="4105">
        <f>IFERROR(AY253/AY$117,0)</f>
        <v/>
      </c>
      <c r="CV253" s="4105">
        <f>IFERROR(AZ253/AZ$117,0)</f>
        <v/>
      </c>
      <c r="CW253" s="3737" t="n"/>
      <c r="CX253" s="4102">
        <f>SUM(CX252)</f>
        <v/>
      </c>
    </row>
    <row r="254" ht="12" customFormat="1" customHeight="1" s="3737">
      <c r="A254" s="4059" t="n"/>
      <c r="B254" s="4060" t="n"/>
      <c r="C254" s="4108" t="inlineStr">
        <is>
          <t>Depreciation and amortization expense</t>
        </is>
      </c>
      <c r="D254" s="4093" t="n"/>
      <c r="E254" s="4093" t="n"/>
      <c r="F254" s="4094" t="n"/>
      <c r="G254" s="4094" t="n"/>
      <c r="H254" s="4094" t="n"/>
      <c r="I254" s="4094" t="n"/>
      <c r="J254" s="4094" t="n"/>
      <c r="K254" s="4094" t="n"/>
      <c r="L254" s="4094" t="n"/>
      <c r="M254" s="4094" t="n"/>
      <c r="N254" s="4094" t="n"/>
      <c r="O254" s="4094" t="n"/>
      <c r="P254" s="4094" t="n"/>
      <c r="Q254" s="4095" t="n"/>
      <c r="R254" s="4094" t="n"/>
      <c r="S254" s="4094" t="n"/>
      <c r="T254" s="4094" t="n"/>
      <c r="U254" s="4094" t="n"/>
      <c r="V254" s="4094" t="n"/>
      <c r="W254" s="4094" t="n"/>
      <c r="X254" s="4094" t="n"/>
      <c r="Y254" s="4094" t="n"/>
      <c r="Z254" s="4094" t="n"/>
      <c r="AA254" s="4094" t="n"/>
      <c r="AB254" s="4094" t="n"/>
      <c r="AC254" s="4095" t="n"/>
      <c r="AD254" s="4094" t="n"/>
      <c r="AE254" s="4094" t="n"/>
      <c r="AF254" s="4094" t="n"/>
      <c r="AG254" s="4094" t="n"/>
      <c r="AH254" s="4094" t="n"/>
      <c r="AI254" s="4094" t="n"/>
      <c r="AJ254" s="4094" t="n"/>
      <c r="AK254" s="4094" t="n"/>
      <c r="AL254" s="4094" t="n"/>
      <c r="AM254" s="4094" t="n"/>
      <c r="AN254" s="4094" t="n"/>
      <c r="AO254" s="4095" t="n"/>
      <c r="AP254" s="4094">
        <f>SUM(AP243,AP241,AP253,AP251)</f>
        <v/>
      </c>
      <c r="AQ254" s="4094">
        <f>SUM(AQ243,AQ241,AQ253,AQ251)</f>
        <v/>
      </c>
      <c r="AR254" s="4094">
        <f>SUM(AR243,AR241,AR253,AR251)</f>
        <v/>
      </c>
      <c r="AS254" s="4094">
        <f>SUM(AS243,AS241,AS253,AS251)</f>
        <v/>
      </c>
      <c r="AT254" s="4094">
        <f>SUM(AT243,AT241,AT253,AT251)</f>
        <v/>
      </c>
      <c r="AU254" s="4096">
        <f>SUM(AU243,AU241,AU253,AU251)</f>
        <v/>
      </c>
      <c r="AV254" s="4094">
        <f>SUM(AV243,AV241,AV253,AV251)</f>
        <v/>
      </c>
      <c r="AW254" s="4094">
        <f>SUM(AW243,AW241,AW253,AW251)</f>
        <v/>
      </c>
      <c r="AX254" s="4094">
        <f>SUM(AX243,AX241,AX253,AX251)</f>
        <v/>
      </c>
      <c r="AY254" s="4094">
        <f>SUM(AY243,AY241,AY253,AY251)</f>
        <v/>
      </c>
      <c r="AZ254" s="4094">
        <f>SUM(AZ243,AZ241,AZ253,AZ251)</f>
        <v/>
      </c>
      <c r="BA254" s="3737" t="n"/>
      <c r="BB254" s="4097">
        <f>IFERROR(F254/F$117,0)</f>
        <v/>
      </c>
      <c r="BC254" s="4097">
        <f>IFERROR(G254/G$117,0)</f>
        <v/>
      </c>
      <c r="BD254" s="4097">
        <f>IFERROR(H254/H$117,0)</f>
        <v/>
      </c>
      <c r="BE254" s="4097">
        <f>IFERROR(I254/I$117,0)</f>
        <v/>
      </c>
      <c r="BF254" s="4097">
        <f>IFERROR(J254/J$117,0)</f>
        <v/>
      </c>
      <c r="BG254" s="4097">
        <f>IFERROR(K254/K$117,0)</f>
        <v/>
      </c>
      <c r="BH254" s="4097">
        <f>IFERROR(L254/L$117,0)</f>
        <v/>
      </c>
      <c r="BI254" s="4097">
        <f>IFERROR(M254/M$117,0)</f>
        <v/>
      </c>
      <c r="BJ254" s="4097">
        <f>IFERROR(N254/N$117,0)</f>
        <v/>
      </c>
      <c r="BK254" s="4097">
        <f>IFERROR(O254/O$117,0)</f>
        <v/>
      </c>
      <c r="BL254" s="4097">
        <f>IFERROR(P254/P$117,0)</f>
        <v/>
      </c>
      <c r="BM254" s="4098">
        <f>IFERROR(Q254/Q$117,0)</f>
        <v/>
      </c>
      <c r="BN254" s="4097">
        <f>IFERROR(R254/R$117,0)</f>
        <v/>
      </c>
      <c r="BO254" s="4097">
        <f>IFERROR(S254/S$117,0)</f>
        <v/>
      </c>
      <c r="BP254" s="4097">
        <f>IFERROR(T254/T$117,0)</f>
        <v/>
      </c>
      <c r="BQ254" s="4097">
        <f>IFERROR(U254/U$117,0)</f>
        <v/>
      </c>
      <c r="BR254" s="4097">
        <f>IFERROR(V254/V$117,0)</f>
        <v/>
      </c>
      <c r="BS254" s="4097">
        <f>IFERROR(W254/W$117,0)</f>
        <v/>
      </c>
      <c r="BT254" s="4097">
        <f>IFERROR(X254/X$117,0)</f>
        <v/>
      </c>
      <c r="BU254" s="4097">
        <f>IFERROR(Y254/Y$117,0)</f>
        <v/>
      </c>
      <c r="BV254" s="4097">
        <f>IFERROR(Z254/Z$117,0)</f>
        <v/>
      </c>
      <c r="BW254" s="4097">
        <f>IFERROR(AA254/AA$117,0)</f>
        <v/>
      </c>
      <c r="BX254" s="4097">
        <f>IFERROR(AB254/AB$117,0)</f>
        <v/>
      </c>
      <c r="BY254" s="4098">
        <f>IFERROR(AC254/AC$117,0)</f>
        <v/>
      </c>
      <c r="BZ254" s="4097">
        <f>IFERROR(AD254/AD$117,0)</f>
        <v/>
      </c>
      <c r="CA254" s="4097">
        <f>IFERROR(AE254/AE$117,0)</f>
        <v/>
      </c>
      <c r="CB254" s="4097">
        <f>IFERROR(AF254/AF$117,0)</f>
        <v/>
      </c>
      <c r="CC254" s="4097">
        <f>IFERROR(AG254/AG$117,0)</f>
        <v/>
      </c>
      <c r="CD254" s="4097">
        <f>IFERROR(AH254/AH$117,0)</f>
        <v/>
      </c>
      <c r="CE254" s="4097">
        <f>IFERROR(AI254/AI$117,0)</f>
        <v/>
      </c>
      <c r="CF254" s="4097">
        <f>IFERROR(AJ254/AJ$117,0)</f>
        <v/>
      </c>
      <c r="CG254" s="4097">
        <f>IFERROR(AK254/AK$117,0)</f>
        <v/>
      </c>
      <c r="CH254" s="4097">
        <f>IFERROR(AL254/AL$117,0)</f>
        <v/>
      </c>
      <c r="CI254" s="4097">
        <f>IFERROR(AM254/AM$117,0)</f>
        <v/>
      </c>
      <c r="CJ254" s="4097">
        <f>IFERROR(AN254/AN$117,0)</f>
        <v/>
      </c>
      <c r="CK254" s="4098">
        <f>IFERROR(AO254/AO$117,0)</f>
        <v/>
      </c>
      <c r="CL254" s="4097">
        <f>IFERROR(AP254/AP$117,0)</f>
        <v/>
      </c>
      <c r="CM254" s="4097">
        <f>IFERROR(AQ254/AQ$117,0)</f>
        <v/>
      </c>
      <c r="CN254" s="4097">
        <f>IFERROR(AR254/AR$117,0)</f>
        <v/>
      </c>
      <c r="CO254" s="4097">
        <f>IFERROR(AS254/AS$117,0)</f>
        <v/>
      </c>
      <c r="CP254" s="4097">
        <f>IFERROR(AT254/AT$117,0)</f>
        <v/>
      </c>
      <c r="CQ254" s="4099">
        <f>IFERROR(AU254/AU$117,0)</f>
        <v/>
      </c>
      <c r="CR254" s="4097">
        <f>IFERROR(AV254/AV$117,0)</f>
        <v/>
      </c>
      <c r="CS254" s="4097">
        <f>IFERROR(AW254/AW$117,0)</f>
        <v/>
      </c>
      <c r="CT254" s="4097">
        <f>IFERROR(AX254/AX$117,0)</f>
        <v/>
      </c>
      <c r="CU254" s="4097">
        <f>IFERROR(AY254/AY$117,0)</f>
        <v/>
      </c>
      <c r="CV254" s="4097">
        <f>IFERROR(AZ254/AZ$117,0)</f>
        <v/>
      </c>
      <c r="CW254" s="3737" t="n"/>
      <c r="CX254" s="4094">
        <f>SUM(CX243,CX241,CX253,CX251)</f>
        <v/>
      </c>
    </row>
    <row r="255" hidden="1" outlineLevel="2" ht="12" customFormat="1" customHeight="1" s="3737">
      <c r="A255" s="4059" t="n"/>
      <c r="B255" s="4060" t="n"/>
      <c r="C255" s="4127" t="inlineStr">
        <is>
          <t>Offsite storage</t>
        </is>
      </c>
      <c r="D255" s="4093" t="n">
        <v>551101</v>
      </c>
      <c r="E255" s="4093">
        <f>CONCATENATE(D255," - ",C255)</f>
        <v/>
      </c>
      <c r="F255" s="4094" t="n"/>
      <c r="G255" s="4094" t="n"/>
      <c r="H255" s="4094" t="n"/>
      <c r="I255" s="4094" t="n"/>
      <c r="J255" s="4094" t="n"/>
      <c r="K255" s="4094" t="n"/>
      <c r="L255" s="4094" t="n"/>
      <c r="M255" s="4094" t="n"/>
      <c r="N255" s="4094" t="n"/>
      <c r="O255" s="4094" t="n"/>
      <c r="P255" s="4094" t="n"/>
      <c r="Q255" s="4095" t="n"/>
      <c r="R255" s="4094" t="n"/>
      <c r="S255" s="4094" t="n"/>
      <c r="T255" s="4094" t="n"/>
      <c r="U255" s="4094" t="n"/>
      <c r="V255" s="4094" t="n"/>
      <c r="W255" s="4094" t="n"/>
      <c r="X255" s="4094" t="n"/>
      <c r="Y255" s="4094" t="n"/>
      <c r="Z255" s="4094" t="n"/>
      <c r="AA255" s="4094" t="n"/>
      <c r="AB255" s="4094" t="n"/>
      <c r="AC255" s="4095" t="n"/>
      <c r="AD255" s="4094" t="n"/>
      <c r="AE255" s="4094" t="n"/>
      <c r="AF255" s="4094" t="n"/>
      <c r="AG255" s="4094" t="n"/>
      <c r="AH255" s="4094" t="n"/>
      <c r="AI255" s="4094" t="n"/>
      <c r="AJ255" s="4094" t="n"/>
      <c r="AK255" s="4094" t="n"/>
      <c r="AL255" s="4094" t="n"/>
      <c r="AM255" s="4094" t="n"/>
      <c r="AN255" s="4094" t="n"/>
      <c r="AO255" s="4095" t="n"/>
      <c r="AP255" s="4094" t="n">
        <v>-1.06747</v>
      </c>
      <c r="AQ255" s="4094" t="n">
        <v>-1.06747</v>
      </c>
      <c r="AR255" s="4094" t="n">
        <v>-1.06747</v>
      </c>
      <c r="AS255" s="4094" t="n">
        <v>-1.06747</v>
      </c>
      <c r="AT255" s="4094" t="n">
        <v>-1.06747</v>
      </c>
      <c r="AU255" s="4096" t="n">
        <v>-1.49073</v>
      </c>
      <c r="AV255" s="4094">
        <f>SUM(F255:Q255)</f>
        <v/>
      </c>
      <c r="AW255" s="4094">
        <f>SUM(R255:AC255)</f>
        <v/>
      </c>
      <c r="AX255" s="4094">
        <f>SUM(AD255:AO255)</f>
        <v/>
      </c>
      <c r="AY255" s="4094">
        <f>SUM(AH255:AS255)</f>
        <v/>
      </c>
      <c r="AZ255" s="4094">
        <f>SUM(AJ255:AU255)</f>
        <v/>
      </c>
      <c r="BA255" s="3737" t="n"/>
      <c r="BB255" s="4097">
        <f>IFERROR(F255/F$117,0)</f>
        <v/>
      </c>
      <c r="BC255" s="4097">
        <f>IFERROR(G255/G$117,0)</f>
        <v/>
      </c>
      <c r="BD255" s="4097">
        <f>IFERROR(H255/H$117,0)</f>
        <v/>
      </c>
      <c r="BE255" s="4097">
        <f>IFERROR(I255/I$117,0)</f>
        <v/>
      </c>
      <c r="BF255" s="4097">
        <f>IFERROR(J255/J$117,0)</f>
        <v/>
      </c>
      <c r="BG255" s="4097">
        <f>IFERROR(K255/K$117,0)</f>
        <v/>
      </c>
      <c r="BH255" s="4097">
        <f>IFERROR(L255/L$117,0)</f>
        <v/>
      </c>
      <c r="BI255" s="4097">
        <f>IFERROR(M255/M$117,0)</f>
        <v/>
      </c>
      <c r="BJ255" s="4097">
        <f>IFERROR(N255/N$117,0)</f>
        <v/>
      </c>
      <c r="BK255" s="4097">
        <f>IFERROR(O255/O$117,0)</f>
        <v/>
      </c>
      <c r="BL255" s="4097">
        <f>IFERROR(P255/P$117,0)</f>
        <v/>
      </c>
      <c r="BM255" s="4098">
        <f>IFERROR(Q255/Q$117,0)</f>
        <v/>
      </c>
      <c r="BN255" s="4097">
        <f>IFERROR(R255/R$117,0)</f>
        <v/>
      </c>
      <c r="BO255" s="4097">
        <f>IFERROR(S255/S$117,0)</f>
        <v/>
      </c>
      <c r="BP255" s="4097">
        <f>IFERROR(T255/T$117,0)</f>
        <v/>
      </c>
      <c r="BQ255" s="4097">
        <f>IFERROR(U255/U$117,0)</f>
        <v/>
      </c>
      <c r="BR255" s="4097">
        <f>IFERROR(V255/V$117,0)</f>
        <v/>
      </c>
      <c r="BS255" s="4097">
        <f>IFERROR(W255/W$117,0)</f>
        <v/>
      </c>
      <c r="BT255" s="4097">
        <f>IFERROR(X255/X$117,0)</f>
        <v/>
      </c>
      <c r="BU255" s="4097">
        <f>IFERROR(Y255/Y$117,0)</f>
        <v/>
      </c>
      <c r="BV255" s="4097">
        <f>IFERROR(Z255/Z$117,0)</f>
        <v/>
      </c>
      <c r="BW255" s="4097">
        <f>IFERROR(AA255/AA$117,0)</f>
        <v/>
      </c>
      <c r="BX255" s="4097">
        <f>IFERROR(AB255/AB$117,0)</f>
        <v/>
      </c>
      <c r="BY255" s="4098">
        <f>IFERROR(AC255/AC$117,0)</f>
        <v/>
      </c>
      <c r="BZ255" s="4097">
        <f>IFERROR(AD255/AD$117,0)</f>
        <v/>
      </c>
      <c r="CA255" s="4097">
        <f>IFERROR(AE255/AE$117,0)</f>
        <v/>
      </c>
      <c r="CB255" s="4097">
        <f>IFERROR(AF255/AF$117,0)</f>
        <v/>
      </c>
      <c r="CC255" s="4097">
        <f>IFERROR(AG255/AG$117,0)</f>
        <v/>
      </c>
      <c r="CD255" s="4097">
        <f>IFERROR(AH255/AH$117,0)</f>
        <v/>
      </c>
      <c r="CE255" s="4097">
        <f>IFERROR(AI255/AI$117,0)</f>
        <v/>
      </c>
      <c r="CF255" s="4097">
        <f>IFERROR(AJ255/AJ$117,0)</f>
        <v/>
      </c>
      <c r="CG255" s="4097">
        <f>IFERROR(AK255/AK$117,0)</f>
        <v/>
      </c>
      <c r="CH255" s="4097">
        <f>IFERROR(AL255/AL$117,0)</f>
        <v/>
      </c>
      <c r="CI255" s="4097">
        <f>IFERROR(AM255/AM$117,0)</f>
        <v/>
      </c>
      <c r="CJ255" s="4097">
        <f>IFERROR(AN255/AN$117,0)</f>
        <v/>
      </c>
      <c r="CK255" s="4098">
        <f>IFERROR(AO255/AO$117,0)</f>
        <v/>
      </c>
      <c r="CL255" s="4097">
        <f>IFERROR(AP255/AP$117,0)</f>
        <v/>
      </c>
      <c r="CM255" s="4097">
        <f>IFERROR(AQ255/AQ$117,0)</f>
        <v/>
      </c>
      <c r="CN255" s="4097">
        <f>IFERROR(AR255/AR$117,0)</f>
        <v/>
      </c>
      <c r="CO255" s="4097">
        <f>IFERROR(AS255/AS$117,0)</f>
        <v/>
      </c>
      <c r="CP255" s="4097">
        <f>IFERROR(AT255/AT$117,0)</f>
        <v/>
      </c>
      <c r="CQ255" s="4099">
        <f>IFERROR(AU255/AU$117,0)</f>
        <v/>
      </c>
      <c r="CR255" s="4097">
        <f>IFERROR(AV255/AV$117,0)</f>
        <v/>
      </c>
      <c r="CS255" s="4097">
        <f>IFERROR(AW255/AW$117,0)</f>
        <v/>
      </c>
      <c r="CT255" s="4097">
        <f>IFERROR(AX255/AX$117,0)</f>
        <v/>
      </c>
      <c r="CU255" s="4097">
        <f>IFERROR(AY255/AY$117,0)</f>
        <v/>
      </c>
      <c r="CV255" s="4097">
        <f>IFERROR(AZ255/AZ$117,0)</f>
        <v/>
      </c>
      <c r="CX255" s="4094" t="n">
        <v>-5.58146</v>
      </c>
    </row>
    <row r="256" hidden="1" outlineLevel="2" ht="12" customFormat="1" customHeight="1" s="3737">
      <c r="A256" s="4059" t="n"/>
      <c r="B256" s="4060" t="n"/>
      <c r="C256" s="4127" t="inlineStr">
        <is>
          <t>Office copier and mail machine- corp</t>
        </is>
      </c>
      <c r="D256" s="4093" t="n">
        <v>551102</v>
      </c>
      <c r="E256" s="4093">
        <f>CONCATENATE(D256," - ",C256)</f>
        <v/>
      </c>
      <c r="F256" s="4094" t="n"/>
      <c r="G256" s="4094" t="n"/>
      <c r="H256" s="4094" t="n"/>
      <c r="I256" s="4094" t="n"/>
      <c r="J256" s="4094" t="n"/>
      <c r="K256" s="4094" t="n"/>
      <c r="L256" s="4094" t="n"/>
      <c r="M256" s="4094" t="n"/>
      <c r="N256" s="4094" t="n"/>
      <c r="O256" s="4094" t="n"/>
      <c r="P256" s="4094" t="n"/>
      <c r="Q256" s="4095" t="n"/>
      <c r="R256" s="4094" t="n"/>
      <c r="S256" s="4094" t="n"/>
      <c r="T256" s="4094" t="n"/>
      <c r="U256" s="4094" t="n"/>
      <c r="V256" s="4094" t="n"/>
      <c r="W256" s="4094" t="n"/>
      <c r="X256" s="4094" t="n"/>
      <c r="Y256" s="4094" t="n"/>
      <c r="Z256" s="4094" t="n"/>
      <c r="AA256" s="4094" t="n"/>
      <c r="AB256" s="4094" t="n"/>
      <c r="AC256" s="4095" t="n"/>
      <c r="AD256" s="4094" t="n"/>
      <c r="AE256" s="4094" t="n"/>
      <c r="AF256" s="4094" t="n"/>
      <c r="AG256" s="4094" t="n"/>
      <c r="AH256" s="4094" t="n"/>
      <c r="AI256" s="4094" t="n"/>
      <c r="AJ256" s="4094" t="n"/>
      <c r="AK256" s="4094" t="n"/>
      <c r="AL256" s="4094" t="n"/>
      <c r="AM256" s="4094" t="n"/>
      <c r="AN256" s="4094" t="n"/>
      <c r="AO256" s="4095" t="n"/>
      <c r="AP256" s="4094" t="n">
        <v>-0.02759</v>
      </c>
      <c r="AQ256" s="4094" t="n">
        <v>-0.02759</v>
      </c>
      <c r="AR256" s="4094" t="n">
        <v>-0.02758</v>
      </c>
      <c r="AS256" s="4094" t="n">
        <v>-0.02759</v>
      </c>
      <c r="AT256" s="4094" t="n">
        <v>-0.02759</v>
      </c>
      <c r="AU256" s="4096" t="n">
        <v>-0.02758</v>
      </c>
      <c r="AV256" s="4094">
        <f>SUM(F256:Q256)</f>
        <v/>
      </c>
      <c r="AW256" s="4094">
        <f>SUM(R256:AC256)</f>
        <v/>
      </c>
      <c r="AX256" s="4094">
        <f>SUM(AD256:AO256)</f>
        <v/>
      </c>
      <c r="AY256" s="4094">
        <f>SUM(AH256:AS256)</f>
        <v/>
      </c>
      <c r="AZ256" s="4094">
        <f>SUM(AJ256:AU256)</f>
        <v/>
      </c>
      <c r="BA256" s="3737" t="n"/>
      <c r="BB256" s="4097">
        <f>IFERROR(F256/F$117,0)</f>
        <v/>
      </c>
      <c r="BC256" s="4097">
        <f>IFERROR(G256/G$117,0)</f>
        <v/>
      </c>
      <c r="BD256" s="4097">
        <f>IFERROR(H256/H$117,0)</f>
        <v/>
      </c>
      <c r="BE256" s="4097">
        <f>IFERROR(I256/I$117,0)</f>
        <v/>
      </c>
      <c r="BF256" s="4097">
        <f>IFERROR(J256/J$117,0)</f>
        <v/>
      </c>
      <c r="BG256" s="4097">
        <f>IFERROR(K256/K$117,0)</f>
        <v/>
      </c>
      <c r="BH256" s="4097">
        <f>IFERROR(L256/L$117,0)</f>
        <v/>
      </c>
      <c r="BI256" s="4097">
        <f>IFERROR(M256/M$117,0)</f>
        <v/>
      </c>
      <c r="BJ256" s="4097">
        <f>IFERROR(N256/N$117,0)</f>
        <v/>
      </c>
      <c r="BK256" s="4097">
        <f>IFERROR(O256/O$117,0)</f>
        <v/>
      </c>
      <c r="BL256" s="4097">
        <f>IFERROR(P256/P$117,0)</f>
        <v/>
      </c>
      <c r="BM256" s="4098">
        <f>IFERROR(Q256/Q$117,0)</f>
        <v/>
      </c>
      <c r="BN256" s="4097">
        <f>IFERROR(R256/R$117,0)</f>
        <v/>
      </c>
      <c r="BO256" s="4097">
        <f>IFERROR(S256/S$117,0)</f>
        <v/>
      </c>
      <c r="BP256" s="4097">
        <f>IFERROR(T256/T$117,0)</f>
        <v/>
      </c>
      <c r="BQ256" s="4097">
        <f>IFERROR(U256/U$117,0)</f>
        <v/>
      </c>
      <c r="BR256" s="4097">
        <f>IFERROR(V256/V$117,0)</f>
        <v/>
      </c>
      <c r="BS256" s="4097">
        <f>IFERROR(W256/W$117,0)</f>
        <v/>
      </c>
      <c r="BT256" s="4097">
        <f>IFERROR(X256/X$117,0)</f>
        <v/>
      </c>
      <c r="BU256" s="4097">
        <f>IFERROR(Y256/Y$117,0)</f>
        <v/>
      </c>
      <c r="BV256" s="4097">
        <f>IFERROR(Z256/Z$117,0)</f>
        <v/>
      </c>
      <c r="BW256" s="4097">
        <f>IFERROR(AA256/AA$117,0)</f>
        <v/>
      </c>
      <c r="BX256" s="4097">
        <f>IFERROR(AB256/AB$117,0)</f>
        <v/>
      </c>
      <c r="BY256" s="4098">
        <f>IFERROR(AC256/AC$117,0)</f>
        <v/>
      </c>
      <c r="BZ256" s="4097">
        <f>IFERROR(AD256/AD$117,0)</f>
        <v/>
      </c>
      <c r="CA256" s="4097">
        <f>IFERROR(AE256/AE$117,0)</f>
        <v/>
      </c>
      <c r="CB256" s="4097">
        <f>IFERROR(AF256/AF$117,0)</f>
        <v/>
      </c>
      <c r="CC256" s="4097">
        <f>IFERROR(AG256/AG$117,0)</f>
        <v/>
      </c>
      <c r="CD256" s="4097">
        <f>IFERROR(AH256/AH$117,0)</f>
        <v/>
      </c>
      <c r="CE256" s="4097">
        <f>IFERROR(AI256/AI$117,0)</f>
        <v/>
      </c>
      <c r="CF256" s="4097">
        <f>IFERROR(AJ256/AJ$117,0)</f>
        <v/>
      </c>
      <c r="CG256" s="4097">
        <f>IFERROR(AK256/AK$117,0)</f>
        <v/>
      </c>
      <c r="CH256" s="4097">
        <f>IFERROR(AL256/AL$117,0)</f>
        <v/>
      </c>
      <c r="CI256" s="4097">
        <f>IFERROR(AM256/AM$117,0)</f>
        <v/>
      </c>
      <c r="CJ256" s="4097">
        <f>IFERROR(AN256/AN$117,0)</f>
        <v/>
      </c>
      <c r="CK256" s="4098">
        <f>IFERROR(AO256/AO$117,0)</f>
        <v/>
      </c>
      <c r="CL256" s="4097">
        <f>IFERROR(AP256/AP$117,0)</f>
        <v/>
      </c>
      <c r="CM256" s="4097">
        <f>IFERROR(AQ256/AQ$117,0)</f>
        <v/>
      </c>
      <c r="CN256" s="4097">
        <f>IFERROR(AR256/AR$117,0)</f>
        <v/>
      </c>
      <c r="CO256" s="4097">
        <f>IFERROR(AS256/AS$117,0)</f>
        <v/>
      </c>
      <c r="CP256" s="4097">
        <f>IFERROR(AT256/AT$117,0)</f>
        <v/>
      </c>
      <c r="CQ256" s="4099">
        <f>IFERROR(AU256/AU$117,0)</f>
        <v/>
      </c>
      <c r="CR256" s="4097">
        <f>IFERROR(AV256/AV$117,0)</f>
        <v/>
      </c>
      <c r="CS256" s="4097">
        <f>IFERROR(AW256/AW$117,0)</f>
        <v/>
      </c>
      <c r="CT256" s="4097">
        <f>IFERROR(AX256/AX$117,0)</f>
        <v/>
      </c>
      <c r="CU256" s="4097">
        <f>IFERROR(AY256/AY$117,0)</f>
        <v/>
      </c>
      <c r="CV256" s="4097">
        <f>IFERROR(AZ256/AZ$117,0)</f>
        <v/>
      </c>
      <c r="CW256" s="3737" t="n"/>
      <c r="CX256" s="4094" t="n">
        <v>-3.57474</v>
      </c>
    </row>
    <row r="257" hidden="1" outlineLevel="2" ht="12" customFormat="1" customHeight="1" s="3737">
      <c r="A257" s="4059" t="n"/>
      <c r="B257" s="4060" t="n"/>
      <c r="C257" s="4127" t="inlineStr">
        <is>
          <t>Break/lunch room supplies</t>
        </is>
      </c>
      <c r="D257" s="4093" t="n">
        <v>551103</v>
      </c>
      <c r="E257" s="4093">
        <f>CONCATENATE(D257," - ",C257)</f>
        <v/>
      </c>
      <c r="F257" s="4094" t="n"/>
      <c r="G257" s="4094" t="n"/>
      <c r="H257" s="4094" t="n"/>
      <c r="I257" s="4094" t="n"/>
      <c r="J257" s="4094" t="n"/>
      <c r="K257" s="4094" t="n"/>
      <c r="L257" s="4094" t="n"/>
      <c r="M257" s="4094" t="n"/>
      <c r="N257" s="4094" t="n"/>
      <c r="O257" s="4094" t="n"/>
      <c r="P257" s="4094" t="n"/>
      <c r="Q257" s="4095" t="n"/>
      <c r="R257" s="4094" t="n"/>
      <c r="S257" s="4094" t="n"/>
      <c r="T257" s="4094" t="n"/>
      <c r="U257" s="4094" t="n"/>
      <c r="V257" s="4094" t="n"/>
      <c r="W257" s="4094" t="n"/>
      <c r="X257" s="4094" t="n"/>
      <c r="Y257" s="4094" t="n"/>
      <c r="Z257" s="4094" t="n"/>
      <c r="AA257" s="4094" t="n"/>
      <c r="AB257" s="4094" t="n"/>
      <c r="AC257" s="4095" t="n"/>
      <c r="AD257" s="4094" t="n"/>
      <c r="AE257" s="4094" t="n"/>
      <c r="AF257" s="4094" t="n"/>
      <c r="AG257" s="4094" t="n"/>
      <c r="AH257" s="4094" t="n"/>
      <c r="AI257" s="4094" t="n"/>
      <c r="AJ257" s="4094" t="n"/>
      <c r="AK257" s="4094" t="n"/>
      <c r="AL257" s="4094" t="n"/>
      <c r="AM257" s="4094" t="n"/>
      <c r="AN257" s="4094" t="n"/>
      <c r="AO257" s="4095" t="n"/>
      <c r="AP257" s="4094" t="n">
        <v>-0.83853</v>
      </c>
      <c r="AQ257" s="4094" t="n">
        <v>-0.00692</v>
      </c>
      <c r="AR257" s="4094" t="n">
        <v>-0.31779</v>
      </c>
      <c r="AS257" s="4094" t="n">
        <v>-0.05875</v>
      </c>
      <c r="AT257" s="4094" t="n">
        <v>-0.3974</v>
      </c>
      <c r="AU257" s="4096" t="n">
        <v>-0.15</v>
      </c>
      <c r="AV257" s="4094">
        <f>SUM(F257:Q257)</f>
        <v/>
      </c>
      <c r="AW257" s="4094">
        <f>SUM(R257:AC257)</f>
        <v/>
      </c>
      <c r="AX257" s="4094">
        <f>SUM(AD257:AO257)</f>
        <v/>
      </c>
      <c r="AY257" s="4094">
        <f>SUM(AH257:AS257)</f>
        <v/>
      </c>
      <c r="AZ257" s="4094">
        <f>SUM(AJ257:AU257)</f>
        <v/>
      </c>
      <c r="BA257" s="3737" t="n"/>
      <c r="BB257" s="4097">
        <f>IFERROR(F257/F$117,0)</f>
        <v/>
      </c>
      <c r="BC257" s="4097">
        <f>IFERROR(G257/G$117,0)</f>
        <v/>
      </c>
      <c r="BD257" s="4097">
        <f>IFERROR(H257/H$117,0)</f>
        <v/>
      </c>
      <c r="BE257" s="4097">
        <f>IFERROR(I257/I$117,0)</f>
        <v/>
      </c>
      <c r="BF257" s="4097">
        <f>IFERROR(J257/J$117,0)</f>
        <v/>
      </c>
      <c r="BG257" s="4097">
        <f>IFERROR(K257/K$117,0)</f>
        <v/>
      </c>
      <c r="BH257" s="4097">
        <f>IFERROR(L257/L$117,0)</f>
        <v/>
      </c>
      <c r="BI257" s="4097">
        <f>IFERROR(M257/M$117,0)</f>
        <v/>
      </c>
      <c r="BJ257" s="4097">
        <f>IFERROR(N257/N$117,0)</f>
        <v/>
      </c>
      <c r="BK257" s="4097">
        <f>IFERROR(O257/O$117,0)</f>
        <v/>
      </c>
      <c r="BL257" s="4097">
        <f>IFERROR(P257/P$117,0)</f>
        <v/>
      </c>
      <c r="BM257" s="4098">
        <f>IFERROR(Q257/Q$117,0)</f>
        <v/>
      </c>
      <c r="BN257" s="4097">
        <f>IFERROR(R257/R$117,0)</f>
        <v/>
      </c>
      <c r="BO257" s="4097">
        <f>IFERROR(S257/S$117,0)</f>
        <v/>
      </c>
      <c r="BP257" s="4097">
        <f>IFERROR(T257/T$117,0)</f>
        <v/>
      </c>
      <c r="BQ257" s="4097">
        <f>IFERROR(U257/U$117,0)</f>
        <v/>
      </c>
      <c r="BR257" s="4097">
        <f>IFERROR(V257/V$117,0)</f>
        <v/>
      </c>
      <c r="BS257" s="4097">
        <f>IFERROR(W257/W$117,0)</f>
        <v/>
      </c>
      <c r="BT257" s="4097">
        <f>IFERROR(X257/X$117,0)</f>
        <v/>
      </c>
      <c r="BU257" s="4097">
        <f>IFERROR(Y257/Y$117,0)</f>
        <v/>
      </c>
      <c r="BV257" s="4097">
        <f>IFERROR(Z257/Z$117,0)</f>
        <v/>
      </c>
      <c r="BW257" s="4097">
        <f>IFERROR(AA257/AA$117,0)</f>
        <v/>
      </c>
      <c r="BX257" s="4097">
        <f>IFERROR(AB257/AB$117,0)</f>
        <v/>
      </c>
      <c r="BY257" s="4098">
        <f>IFERROR(AC257/AC$117,0)</f>
        <v/>
      </c>
      <c r="BZ257" s="4097">
        <f>IFERROR(AD257/AD$117,0)</f>
        <v/>
      </c>
      <c r="CA257" s="4097">
        <f>IFERROR(AE257/AE$117,0)</f>
        <v/>
      </c>
      <c r="CB257" s="4097">
        <f>IFERROR(AF257/AF$117,0)</f>
        <v/>
      </c>
      <c r="CC257" s="4097">
        <f>IFERROR(AG257/AG$117,0)</f>
        <v/>
      </c>
      <c r="CD257" s="4097">
        <f>IFERROR(AH257/AH$117,0)</f>
        <v/>
      </c>
      <c r="CE257" s="4097">
        <f>IFERROR(AI257/AI$117,0)</f>
        <v/>
      </c>
      <c r="CF257" s="4097">
        <f>IFERROR(AJ257/AJ$117,0)</f>
        <v/>
      </c>
      <c r="CG257" s="4097">
        <f>IFERROR(AK257/AK$117,0)</f>
        <v/>
      </c>
      <c r="CH257" s="4097">
        <f>IFERROR(AL257/AL$117,0)</f>
        <v/>
      </c>
      <c r="CI257" s="4097">
        <f>IFERROR(AM257/AM$117,0)</f>
        <v/>
      </c>
      <c r="CJ257" s="4097">
        <f>IFERROR(AN257/AN$117,0)</f>
        <v/>
      </c>
      <c r="CK257" s="4098">
        <f>IFERROR(AO257/AO$117,0)</f>
        <v/>
      </c>
      <c r="CL257" s="4097">
        <f>IFERROR(AP257/AP$117,0)</f>
        <v/>
      </c>
      <c r="CM257" s="4097">
        <f>IFERROR(AQ257/AQ$117,0)</f>
        <v/>
      </c>
      <c r="CN257" s="4097">
        <f>IFERROR(AR257/AR$117,0)</f>
        <v/>
      </c>
      <c r="CO257" s="4097">
        <f>IFERROR(AS257/AS$117,0)</f>
        <v/>
      </c>
      <c r="CP257" s="4097">
        <f>IFERROR(AT257/AT$117,0)</f>
        <v/>
      </c>
      <c r="CQ257" s="4099">
        <f>IFERROR(AU257/AU$117,0)</f>
        <v/>
      </c>
      <c r="CR257" s="4097">
        <f>IFERROR(AV257/AV$117,0)</f>
        <v/>
      </c>
      <c r="CS257" s="4097">
        <f>IFERROR(AW257/AW$117,0)</f>
        <v/>
      </c>
      <c r="CT257" s="4097">
        <f>IFERROR(AX257/AX$117,0)</f>
        <v/>
      </c>
      <c r="CU257" s="4097">
        <f>IFERROR(AY257/AY$117,0)</f>
        <v/>
      </c>
      <c r="CV257" s="4097">
        <f>IFERROR(AZ257/AZ$117,0)</f>
        <v/>
      </c>
      <c r="CW257" s="3737" t="n"/>
      <c r="CX257" s="4094" t="n">
        <v>-5.41734</v>
      </c>
    </row>
    <row r="258" hidden="1" outlineLevel="2" ht="12" customFormat="1" customHeight="1" s="3737">
      <c r="A258" s="4059" t="n"/>
      <c r="B258" s="4060" t="n"/>
      <c r="C258" s="4127" t="inlineStr">
        <is>
          <t>Repairs and maintenance - building</t>
        </is>
      </c>
      <c r="D258" s="4093" t="n">
        <v>551104</v>
      </c>
      <c r="E258" s="4093">
        <f>CONCATENATE(D258," - ",C258)</f>
        <v/>
      </c>
      <c r="F258" s="4094" t="n"/>
      <c r="G258" s="4094" t="n"/>
      <c r="H258" s="4094" t="n"/>
      <c r="I258" s="4094" t="n"/>
      <c r="J258" s="4094" t="n"/>
      <c r="K258" s="4094" t="n"/>
      <c r="L258" s="4094" t="n"/>
      <c r="M258" s="4094" t="n"/>
      <c r="N258" s="4094" t="n"/>
      <c r="O258" s="4094" t="n"/>
      <c r="P258" s="4094" t="n"/>
      <c r="Q258" s="4095" t="n"/>
      <c r="R258" s="4094" t="n"/>
      <c r="S258" s="4094" t="n"/>
      <c r="T258" s="4094" t="n"/>
      <c r="U258" s="4094" t="n"/>
      <c r="V258" s="4094" t="n"/>
      <c r="W258" s="4094" t="n"/>
      <c r="X258" s="4094" t="n"/>
      <c r="Y258" s="4094" t="n"/>
      <c r="Z258" s="4094" t="n"/>
      <c r="AA258" s="4094" t="n"/>
      <c r="AB258" s="4094" t="n"/>
      <c r="AC258" s="4095" t="n"/>
      <c r="AD258" s="4094" t="n"/>
      <c r="AE258" s="4094" t="n"/>
      <c r="AF258" s="4094" t="n"/>
      <c r="AG258" s="4094" t="n"/>
      <c r="AH258" s="4094" t="n"/>
      <c r="AI258" s="4094" t="n"/>
      <c r="AJ258" s="4094" t="n"/>
      <c r="AK258" s="4094" t="n"/>
      <c r="AL258" s="4094" t="n"/>
      <c r="AM258" s="4094" t="n"/>
      <c r="AN258" s="4094" t="n"/>
      <c r="AO258" s="4095" t="n"/>
      <c r="AP258" s="4094" t="n">
        <v>-1.36417</v>
      </c>
      <c r="AQ258" s="4094" t="n">
        <v>-2.65917</v>
      </c>
      <c r="AR258" s="4094" t="n">
        <v>-0.36413</v>
      </c>
      <c r="AS258" s="4094" t="n">
        <v>-0.67891</v>
      </c>
      <c r="AT258" s="4094" t="n">
        <v>-0.3825</v>
      </c>
      <c r="AU258" s="4096" t="n">
        <v>-0.3825</v>
      </c>
      <c r="AV258" s="4094">
        <f>SUM(F258:Q258)</f>
        <v/>
      </c>
      <c r="AW258" s="4094">
        <f>SUM(R258:AC258)</f>
        <v/>
      </c>
      <c r="AX258" s="4094">
        <f>SUM(AD258:AO258)</f>
        <v/>
      </c>
      <c r="AY258" s="4094">
        <f>SUM(AH258:AS258)</f>
        <v/>
      </c>
      <c r="AZ258" s="4094">
        <f>SUM(AJ258:AU258)</f>
        <v/>
      </c>
      <c r="BA258" s="3737" t="n"/>
      <c r="BB258" s="4097">
        <f>IFERROR(F258/F$117,0)</f>
        <v/>
      </c>
      <c r="BC258" s="4097">
        <f>IFERROR(G258/G$117,0)</f>
        <v/>
      </c>
      <c r="BD258" s="4097">
        <f>IFERROR(H258/H$117,0)</f>
        <v/>
      </c>
      <c r="BE258" s="4097">
        <f>IFERROR(I258/I$117,0)</f>
        <v/>
      </c>
      <c r="BF258" s="4097">
        <f>IFERROR(J258/J$117,0)</f>
        <v/>
      </c>
      <c r="BG258" s="4097">
        <f>IFERROR(K258/K$117,0)</f>
        <v/>
      </c>
      <c r="BH258" s="4097">
        <f>IFERROR(L258/L$117,0)</f>
        <v/>
      </c>
      <c r="BI258" s="4097">
        <f>IFERROR(M258/M$117,0)</f>
        <v/>
      </c>
      <c r="BJ258" s="4097">
        <f>IFERROR(N258/N$117,0)</f>
        <v/>
      </c>
      <c r="BK258" s="4097">
        <f>IFERROR(O258/O$117,0)</f>
        <v/>
      </c>
      <c r="BL258" s="4097">
        <f>IFERROR(P258/P$117,0)</f>
        <v/>
      </c>
      <c r="BM258" s="4098">
        <f>IFERROR(Q258/Q$117,0)</f>
        <v/>
      </c>
      <c r="BN258" s="4097">
        <f>IFERROR(R258/R$117,0)</f>
        <v/>
      </c>
      <c r="BO258" s="4097">
        <f>IFERROR(S258/S$117,0)</f>
        <v/>
      </c>
      <c r="BP258" s="4097">
        <f>IFERROR(T258/T$117,0)</f>
        <v/>
      </c>
      <c r="BQ258" s="4097">
        <f>IFERROR(U258/U$117,0)</f>
        <v/>
      </c>
      <c r="BR258" s="4097">
        <f>IFERROR(V258/V$117,0)</f>
        <v/>
      </c>
      <c r="BS258" s="4097">
        <f>IFERROR(W258/W$117,0)</f>
        <v/>
      </c>
      <c r="BT258" s="4097">
        <f>IFERROR(X258/X$117,0)</f>
        <v/>
      </c>
      <c r="BU258" s="4097">
        <f>IFERROR(Y258/Y$117,0)</f>
        <v/>
      </c>
      <c r="BV258" s="4097">
        <f>IFERROR(Z258/Z$117,0)</f>
        <v/>
      </c>
      <c r="BW258" s="4097">
        <f>IFERROR(AA258/AA$117,0)</f>
        <v/>
      </c>
      <c r="BX258" s="4097">
        <f>IFERROR(AB258/AB$117,0)</f>
        <v/>
      </c>
      <c r="BY258" s="4098">
        <f>IFERROR(AC258/AC$117,0)</f>
        <v/>
      </c>
      <c r="BZ258" s="4097">
        <f>IFERROR(AD258/AD$117,0)</f>
        <v/>
      </c>
      <c r="CA258" s="4097">
        <f>IFERROR(AE258/AE$117,0)</f>
        <v/>
      </c>
      <c r="CB258" s="4097">
        <f>IFERROR(AF258/AF$117,0)</f>
        <v/>
      </c>
      <c r="CC258" s="4097">
        <f>IFERROR(AG258/AG$117,0)</f>
        <v/>
      </c>
      <c r="CD258" s="4097">
        <f>IFERROR(AH258/AH$117,0)</f>
        <v/>
      </c>
      <c r="CE258" s="4097">
        <f>IFERROR(AI258/AI$117,0)</f>
        <v/>
      </c>
      <c r="CF258" s="4097">
        <f>IFERROR(AJ258/AJ$117,0)</f>
        <v/>
      </c>
      <c r="CG258" s="4097">
        <f>IFERROR(AK258/AK$117,0)</f>
        <v/>
      </c>
      <c r="CH258" s="4097">
        <f>IFERROR(AL258/AL$117,0)</f>
        <v/>
      </c>
      <c r="CI258" s="4097">
        <f>IFERROR(AM258/AM$117,0)</f>
        <v/>
      </c>
      <c r="CJ258" s="4097">
        <f>IFERROR(AN258/AN$117,0)</f>
        <v/>
      </c>
      <c r="CK258" s="4098">
        <f>IFERROR(AO258/AO$117,0)</f>
        <v/>
      </c>
      <c r="CL258" s="4097">
        <f>IFERROR(AP258/AP$117,0)</f>
        <v/>
      </c>
      <c r="CM258" s="4097">
        <f>IFERROR(AQ258/AQ$117,0)</f>
        <v/>
      </c>
      <c r="CN258" s="4097">
        <f>IFERROR(AR258/AR$117,0)</f>
        <v/>
      </c>
      <c r="CO258" s="4097">
        <f>IFERROR(AS258/AS$117,0)</f>
        <v/>
      </c>
      <c r="CP258" s="4097">
        <f>IFERROR(AT258/AT$117,0)</f>
        <v/>
      </c>
      <c r="CQ258" s="4099">
        <f>IFERROR(AU258/AU$117,0)</f>
        <v/>
      </c>
      <c r="CR258" s="4097">
        <f>IFERROR(AV258/AV$117,0)</f>
        <v/>
      </c>
      <c r="CS258" s="4097">
        <f>IFERROR(AW258/AW$117,0)</f>
        <v/>
      </c>
      <c r="CT258" s="4097">
        <f>IFERROR(AX258/AX$117,0)</f>
        <v/>
      </c>
      <c r="CU258" s="4097">
        <f>IFERROR(AY258/AY$117,0)</f>
        <v/>
      </c>
      <c r="CV258" s="4097">
        <f>IFERROR(AZ258/AZ$117,0)</f>
        <v/>
      </c>
      <c r="CW258" s="3737" t="n"/>
      <c r="CX258" s="4094" t="n">
        <v>-6.90754</v>
      </c>
    </row>
    <row r="259" hidden="1" outlineLevel="2" ht="12" customFormat="1" customHeight="1" s="3737">
      <c r="A259" s="4059" t="n"/>
      <c r="B259" s="4060" t="n"/>
      <c r="C259" s="4127" t="inlineStr">
        <is>
          <t>Office services</t>
        </is>
      </c>
      <c r="D259" s="4093" t="n">
        <v>551106</v>
      </c>
      <c r="E259" s="4093">
        <f>CONCATENATE(D259," - ",C259)</f>
        <v/>
      </c>
      <c r="F259" s="4094" t="n"/>
      <c r="G259" s="4094" t="n"/>
      <c r="H259" s="4094" t="n"/>
      <c r="I259" s="4094" t="n"/>
      <c r="J259" s="4094" t="n"/>
      <c r="K259" s="4094" t="n"/>
      <c r="L259" s="4094" t="n"/>
      <c r="M259" s="4094" t="n"/>
      <c r="N259" s="4094" t="n"/>
      <c r="O259" s="4094" t="n"/>
      <c r="P259" s="4094" t="n"/>
      <c r="Q259" s="4095" t="n"/>
      <c r="R259" s="4094" t="n"/>
      <c r="S259" s="4094" t="n"/>
      <c r="T259" s="4094" t="n"/>
      <c r="U259" s="4094" t="n"/>
      <c r="V259" s="4094" t="n"/>
      <c r="W259" s="4094" t="n"/>
      <c r="X259" s="4094" t="n"/>
      <c r="Y259" s="4094" t="n"/>
      <c r="Z259" s="4094" t="n"/>
      <c r="AA259" s="4094" t="n"/>
      <c r="AB259" s="4094" t="n"/>
      <c r="AC259" s="4095" t="n"/>
      <c r="AD259" s="4094" t="n"/>
      <c r="AE259" s="4094" t="n"/>
      <c r="AF259" s="4094" t="n"/>
      <c r="AG259" s="4094" t="n"/>
      <c r="AH259" s="4094" t="n"/>
      <c r="AI259" s="4094" t="n"/>
      <c r="AJ259" s="4094" t="n"/>
      <c r="AK259" s="4094" t="n"/>
      <c r="AL259" s="4094" t="n"/>
      <c r="AM259" s="4094" t="n"/>
      <c r="AN259" s="4094" t="n"/>
      <c r="AO259" s="4095" t="n"/>
      <c r="AP259" s="4094" t="n">
        <v>-0.6188900000000001</v>
      </c>
      <c r="AQ259" s="4094" t="n">
        <v>-0.48889</v>
      </c>
      <c r="AR259" s="4094" t="n">
        <v>-0.41155</v>
      </c>
      <c r="AS259" s="4094" t="n">
        <v>-0.5038899999999999</v>
      </c>
      <c r="AT259" s="4094" t="n">
        <v>-0.51818</v>
      </c>
      <c r="AU259" s="4096" t="n">
        <v>-0.5038899999999999</v>
      </c>
      <c r="AV259" s="4094">
        <f>SUM(F259:Q259)</f>
        <v/>
      </c>
      <c r="AW259" s="4094">
        <f>SUM(R259:AC259)</f>
        <v/>
      </c>
      <c r="AX259" s="4094">
        <f>SUM(AD259:AO259)</f>
        <v/>
      </c>
      <c r="AY259" s="4094">
        <f>SUM(AH259:AS259)</f>
        <v/>
      </c>
      <c r="AZ259" s="4094">
        <f>SUM(AJ259:AU259)</f>
        <v/>
      </c>
      <c r="BA259" s="3737" t="n"/>
      <c r="BB259" s="4097">
        <f>IFERROR(F259/F$117,0)</f>
        <v/>
      </c>
      <c r="BC259" s="4097">
        <f>IFERROR(G259/G$117,0)</f>
        <v/>
      </c>
      <c r="BD259" s="4097">
        <f>IFERROR(H259/H$117,0)</f>
        <v/>
      </c>
      <c r="BE259" s="4097">
        <f>IFERROR(I259/I$117,0)</f>
        <v/>
      </c>
      <c r="BF259" s="4097">
        <f>IFERROR(J259/J$117,0)</f>
        <v/>
      </c>
      <c r="BG259" s="4097">
        <f>IFERROR(K259/K$117,0)</f>
        <v/>
      </c>
      <c r="BH259" s="4097">
        <f>IFERROR(L259/L$117,0)</f>
        <v/>
      </c>
      <c r="BI259" s="4097">
        <f>IFERROR(M259/M$117,0)</f>
        <v/>
      </c>
      <c r="BJ259" s="4097">
        <f>IFERROR(N259/N$117,0)</f>
        <v/>
      </c>
      <c r="BK259" s="4097">
        <f>IFERROR(O259/O$117,0)</f>
        <v/>
      </c>
      <c r="BL259" s="4097">
        <f>IFERROR(P259/P$117,0)</f>
        <v/>
      </c>
      <c r="BM259" s="4098">
        <f>IFERROR(Q259/Q$117,0)</f>
        <v/>
      </c>
      <c r="BN259" s="4097">
        <f>IFERROR(R259/R$117,0)</f>
        <v/>
      </c>
      <c r="BO259" s="4097">
        <f>IFERROR(S259/S$117,0)</f>
        <v/>
      </c>
      <c r="BP259" s="4097">
        <f>IFERROR(T259/T$117,0)</f>
        <v/>
      </c>
      <c r="BQ259" s="4097">
        <f>IFERROR(U259/U$117,0)</f>
        <v/>
      </c>
      <c r="BR259" s="4097">
        <f>IFERROR(V259/V$117,0)</f>
        <v/>
      </c>
      <c r="BS259" s="4097">
        <f>IFERROR(W259/W$117,0)</f>
        <v/>
      </c>
      <c r="BT259" s="4097">
        <f>IFERROR(X259/X$117,0)</f>
        <v/>
      </c>
      <c r="BU259" s="4097">
        <f>IFERROR(Y259/Y$117,0)</f>
        <v/>
      </c>
      <c r="BV259" s="4097">
        <f>IFERROR(Z259/Z$117,0)</f>
        <v/>
      </c>
      <c r="BW259" s="4097">
        <f>IFERROR(AA259/AA$117,0)</f>
        <v/>
      </c>
      <c r="BX259" s="4097">
        <f>IFERROR(AB259/AB$117,0)</f>
        <v/>
      </c>
      <c r="BY259" s="4098">
        <f>IFERROR(AC259/AC$117,0)</f>
        <v/>
      </c>
      <c r="BZ259" s="4097">
        <f>IFERROR(AD259/AD$117,0)</f>
        <v/>
      </c>
      <c r="CA259" s="4097">
        <f>IFERROR(AE259/AE$117,0)</f>
        <v/>
      </c>
      <c r="CB259" s="4097">
        <f>IFERROR(AF259/AF$117,0)</f>
        <v/>
      </c>
      <c r="CC259" s="4097">
        <f>IFERROR(AG259/AG$117,0)</f>
        <v/>
      </c>
      <c r="CD259" s="4097">
        <f>IFERROR(AH259/AH$117,0)</f>
        <v/>
      </c>
      <c r="CE259" s="4097">
        <f>IFERROR(AI259/AI$117,0)</f>
        <v/>
      </c>
      <c r="CF259" s="4097">
        <f>IFERROR(AJ259/AJ$117,0)</f>
        <v/>
      </c>
      <c r="CG259" s="4097">
        <f>IFERROR(AK259/AK$117,0)</f>
        <v/>
      </c>
      <c r="CH259" s="4097">
        <f>IFERROR(AL259/AL$117,0)</f>
        <v/>
      </c>
      <c r="CI259" s="4097">
        <f>IFERROR(AM259/AM$117,0)</f>
        <v/>
      </c>
      <c r="CJ259" s="4097">
        <f>IFERROR(AN259/AN$117,0)</f>
        <v/>
      </c>
      <c r="CK259" s="4098">
        <f>IFERROR(AO259/AO$117,0)</f>
        <v/>
      </c>
      <c r="CL259" s="4097">
        <f>IFERROR(AP259/AP$117,0)</f>
        <v/>
      </c>
      <c r="CM259" s="4097">
        <f>IFERROR(AQ259/AQ$117,0)</f>
        <v/>
      </c>
      <c r="CN259" s="4097">
        <f>IFERROR(AR259/AR$117,0)</f>
        <v/>
      </c>
      <c r="CO259" s="4097">
        <f>IFERROR(AS259/AS$117,0)</f>
        <v/>
      </c>
      <c r="CP259" s="4097">
        <f>IFERROR(AT259/AT$117,0)</f>
        <v/>
      </c>
      <c r="CQ259" s="4099">
        <f>IFERROR(AU259/AU$117,0)</f>
        <v/>
      </c>
      <c r="CR259" s="4097">
        <f>IFERROR(AV259/AV$117,0)</f>
        <v/>
      </c>
      <c r="CS259" s="4097">
        <f>IFERROR(AW259/AW$117,0)</f>
        <v/>
      </c>
      <c r="CT259" s="4097">
        <f>IFERROR(AX259/AX$117,0)</f>
        <v/>
      </c>
      <c r="CU259" s="4097">
        <f>IFERROR(AY259/AY$117,0)</f>
        <v/>
      </c>
      <c r="CV259" s="4097">
        <f>IFERROR(AZ259/AZ$117,0)</f>
        <v/>
      </c>
      <c r="CW259" s="3737" t="n"/>
      <c r="CX259" s="4094" t="n">
        <v>-7.77155</v>
      </c>
    </row>
    <row r="260" hidden="1" outlineLevel="2" ht="15" customFormat="1" customHeight="1" s="3737">
      <c r="A260" s="4059" t="n"/>
      <c r="B260" s="4060" t="n"/>
      <c r="C260" s="4129" t="inlineStr">
        <is>
          <t>Basic rent charges</t>
        </is>
      </c>
      <c r="D260" s="4093" t="n">
        <v>551201</v>
      </c>
      <c r="E260" s="4093">
        <f>CONCATENATE(D260," - ",C260)</f>
        <v/>
      </c>
      <c r="F260" s="4094" t="n"/>
      <c r="G260" s="4094" t="n"/>
      <c r="H260" s="4094" t="n"/>
      <c r="I260" s="4094" t="n"/>
      <c r="J260" s="4094" t="n"/>
      <c r="K260" s="4094" t="n"/>
      <c r="L260" s="4094" t="n"/>
      <c r="M260" s="4094" t="n"/>
      <c r="N260" s="4094" t="n"/>
      <c r="O260" s="4094" t="n"/>
      <c r="P260" s="4094" t="n"/>
      <c r="Q260" s="4095" t="n"/>
      <c r="R260" s="4094" t="n"/>
      <c r="S260" s="4094" t="n"/>
      <c r="T260" s="4094" t="n"/>
      <c r="U260" s="4094" t="n"/>
      <c r="V260" s="4094" t="n"/>
      <c r="W260" s="4094" t="n"/>
      <c r="X260" s="4094" t="n"/>
      <c r="Y260" s="4094" t="n"/>
      <c r="Z260" s="4094" t="n"/>
      <c r="AA260" s="4094" t="n"/>
      <c r="AB260" s="4094" t="n"/>
      <c r="AC260" s="4095" t="n"/>
      <c r="AD260" s="4094" t="n"/>
      <c r="AE260" s="4094" t="n"/>
      <c r="AF260" s="4094" t="n"/>
      <c r="AG260" s="4094" t="n"/>
      <c r="AH260" s="4094" t="n"/>
      <c r="AI260" s="4094" t="n"/>
      <c r="AJ260" s="4094" t="n"/>
      <c r="AK260" s="4094" t="n"/>
      <c r="AL260" s="4094" t="n"/>
      <c r="AM260" s="4094" t="n"/>
      <c r="AN260" s="4094" t="n"/>
      <c r="AO260" s="4095" t="n"/>
      <c r="AP260" s="4094" t="n">
        <v>-23.37643</v>
      </c>
      <c r="AQ260" s="4094" t="n">
        <v>-23.37641</v>
      </c>
      <c r="AR260" s="4094" t="n">
        <v>-23.37643</v>
      </c>
      <c r="AS260" s="4094" t="n">
        <v>-23.37641</v>
      </c>
      <c r="AT260" s="4094" t="n">
        <v>-23.37642</v>
      </c>
      <c r="AU260" s="4096" t="n">
        <v>-21.64057</v>
      </c>
      <c r="AV260" s="4094">
        <f>SUM(F260:Q260)</f>
        <v/>
      </c>
      <c r="AW260" s="4094">
        <f>SUM(R260:AC260)</f>
        <v/>
      </c>
      <c r="AX260" s="4094">
        <f>SUM(AD260:AO260)</f>
        <v/>
      </c>
      <c r="AY260" s="4094">
        <f>SUM(AH260:AS260)</f>
        <v/>
      </c>
      <c r="AZ260" s="4094">
        <f>SUM(AJ260:AU260)</f>
        <v/>
      </c>
      <c r="BA260" s="3737" t="n"/>
      <c r="BB260" s="4097">
        <f>IFERROR(F260/F$117,0)</f>
        <v/>
      </c>
      <c r="BC260" s="4097">
        <f>IFERROR(G260/G$117,0)</f>
        <v/>
      </c>
      <c r="BD260" s="4097">
        <f>IFERROR(H260/H$117,0)</f>
        <v/>
      </c>
      <c r="BE260" s="4097">
        <f>IFERROR(I260/I$117,0)</f>
        <v/>
      </c>
      <c r="BF260" s="4097">
        <f>IFERROR(J260/J$117,0)</f>
        <v/>
      </c>
      <c r="BG260" s="4097">
        <f>IFERROR(K260/K$117,0)</f>
        <v/>
      </c>
      <c r="BH260" s="4097">
        <f>IFERROR(L260/L$117,0)</f>
        <v/>
      </c>
      <c r="BI260" s="4097">
        <f>IFERROR(M260/M$117,0)</f>
        <v/>
      </c>
      <c r="BJ260" s="4097">
        <f>IFERROR(N260/N$117,0)</f>
        <v/>
      </c>
      <c r="BK260" s="4097">
        <f>IFERROR(O260/O$117,0)</f>
        <v/>
      </c>
      <c r="BL260" s="4097">
        <f>IFERROR(P260/P$117,0)</f>
        <v/>
      </c>
      <c r="BM260" s="4098">
        <f>IFERROR(Q260/Q$117,0)</f>
        <v/>
      </c>
      <c r="BN260" s="4097">
        <f>IFERROR(R260/R$117,0)</f>
        <v/>
      </c>
      <c r="BO260" s="4097">
        <f>IFERROR(S260/S$117,0)</f>
        <v/>
      </c>
      <c r="BP260" s="4097">
        <f>IFERROR(T260/T$117,0)</f>
        <v/>
      </c>
      <c r="BQ260" s="4097">
        <f>IFERROR(U260/U$117,0)</f>
        <v/>
      </c>
      <c r="BR260" s="4097">
        <f>IFERROR(V260/V$117,0)</f>
        <v/>
      </c>
      <c r="BS260" s="4097">
        <f>IFERROR(W260/W$117,0)</f>
        <v/>
      </c>
      <c r="BT260" s="4097">
        <f>IFERROR(X260/X$117,0)</f>
        <v/>
      </c>
      <c r="BU260" s="4097">
        <f>IFERROR(Y260/Y$117,0)</f>
        <v/>
      </c>
      <c r="BV260" s="4097">
        <f>IFERROR(Z260/Z$117,0)</f>
        <v/>
      </c>
      <c r="BW260" s="4097">
        <f>IFERROR(AA260/AA$117,0)</f>
        <v/>
      </c>
      <c r="BX260" s="4097">
        <f>IFERROR(AB260/AB$117,0)</f>
        <v/>
      </c>
      <c r="BY260" s="4098">
        <f>IFERROR(AC260/AC$117,0)</f>
        <v/>
      </c>
      <c r="BZ260" s="4097">
        <f>IFERROR(AD260/AD$117,0)</f>
        <v/>
      </c>
      <c r="CA260" s="4097">
        <f>IFERROR(AE260/AE$117,0)</f>
        <v/>
      </c>
      <c r="CB260" s="4097">
        <f>IFERROR(AF260/AF$117,0)</f>
        <v/>
      </c>
      <c r="CC260" s="4097">
        <f>IFERROR(AG260/AG$117,0)</f>
        <v/>
      </c>
      <c r="CD260" s="4097">
        <f>IFERROR(AH260/AH$117,0)</f>
        <v/>
      </c>
      <c r="CE260" s="4097">
        <f>IFERROR(AI260/AI$117,0)</f>
        <v/>
      </c>
      <c r="CF260" s="4097">
        <f>IFERROR(AJ260/AJ$117,0)</f>
        <v/>
      </c>
      <c r="CG260" s="4097">
        <f>IFERROR(AK260/AK$117,0)</f>
        <v/>
      </c>
      <c r="CH260" s="4097">
        <f>IFERROR(AL260/AL$117,0)</f>
        <v/>
      </c>
      <c r="CI260" s="4097">
        <f>IFERROR(AM260/AM$117,0)</f>
        <v/>
      </c>
      <c r="CJ260" s="4097">
        <f>IFERROR(AN260/AN$117,0)</f>
        <v/>
      </c>
      <c r="CK260" s="4098">
        <f>IFERROR(AO260/AO$117,0)</f>
        <v/>
      </c>
      <c r="CL260" s="4097">
        <f>IFERROR(AP260/AP$117,0)</f>
        <v/>
      </c>
      <c r="CM260" s="4097">
        <f>IFERROR(AQ260/AQ$117,0)</f>
        <v/>
      </c>
      <c r="CN260" s="4097">
        <f>IFERROR(AR260/AR$117,0)</f>
        <v/>
      </c>
      <c r="CO260" s="4097">
        <f>IFERROR(AS260/AS$117,0)</f>
        <v/>
      </c>
      <c r="CP260" s="4097">
        <f>IFERROR(AT260/AT$117,0)</f>
        <v/>
      </c>
      <c r="CQ260" s="4099">
        <f>IFERROR(AU260/AU$117,0)</f>
        <v/>
      </c>
      <c r="CR260" s="4097">
        <f>IFERROR(AV260/AV$117,0)</f>
        <v/>
      </c>
      <c r="CS260" s="4097">
        <f>IFERROR(AW260/AW$117,0)</f>
        <v/>
      </c>
      <c r="CT260" s="4097">
        <f>IFERROR(AX260/AX$117,0)</f>
        <v/>
      </c>
      <c r="CU260" s="4097">
        <f>IFERROR(AY260/AY$117,0)</f>
        <v/>
      </c>
      <c r="CV260" s="4097">
        <f>IFERROR(AZ260/AZ$117,0)</f>
        <v/>
      </c>
      <c r="CW260" s="3737" t="n"/>
      <c r="CX260" s="4094" t="n">
        <v>-261.77804</v>
      </c>
    </row>
    <row r="261" hidden="1" outlineLevel="2" ht="12" customFormat="1" customHeight="1" s="3737">
      <c r="A261" s="4059" t="n"/>
      <c r="B261" s="4060" t="n"/>
      <c r="C261" s="4129" t="inlineStr">
        <is>
          <t>Utilities - corporate</t>
        </is>
      </c>
      <c r="D261" s="4093" t="n">
        <v>551401</v>
      </c>
      <c r="E261" s="4093">
        <f>CONCATENATE(D261," - ",C261)</f>
        <v/>
      </c>
      <c r="F261" s="4094" t="n"/>
      <c r="G261" s="4094" t="n"/>
      <c r="H261" s="4094" t="n"/>
      <c r="I261" s="4094" t="n"/>
      <c r="J261" s="4094" t="n"/>
      <c r="K261" s="4094" t="n"/>
      <c r="L261" s="4094" t="n"/>
      <c r="M261" s="4094" t="n"/>
      <c r="N261" s="4094" t="n"/>
      <c r="O261" s="4094" t="n"/>
      <c r="P261" s="4094" t="n"/>
      <c r="Q261" s="4095" t="n"/>
      <c r="R261" s="4094" t="n"/>
      <c r="S261" s="4094" t="n"/>
      <c r="T261" s="4094" t="n"/>
      <c r="U261" s="4094" t="n"/>
      <c r="V261" s="4094" t="n"/>
      <c r="W261" s="4094" t="n"/>
      <c r="X261" s="4094" t="n"/>
      <c r="Y261" s="4094" t="n"/>
      <c r="Z261" s="4094" t="n"/>
      <c r="AA261" s="4094" t="n"/>
      <c r="AB261" s="4094" t="n"/>
      <c r="AC261" s="4095" t="n"/>
      <c r="AD261" s="4094" t="n"/>
      <c r="AE261" s="4094" t="n"/>
      <c r="AF261" s="4094" t="n"/>
      <c r="AG261" s="4094" t="n"/>
      <c r="AH261" s="4094" t="n"/>
      <c r="AI261" s="4094" t="n"/>
      <c r="AJ261" s="4094" t="n"/>
      <c r="AK261" s="4094" t="n"/>
      <c r="AL261" s="4094" t="n"/>
      <c r="AM261" s="4094" t="n"/>
      <c r="AN261" s="4094" t="n"/>
      <c r="AO261" s="4095" t="n"/>
      <c r="AP261" s="4094" t="n">
        <v>-0.4</v>
      </c>
      <c r="AQ261" s="4094" t="n">
        <v>-0.4</v>
      </c>
      <c r="AR261" s="4094" t="n">
        <v>-0.4</v>
      </c>
      <c r="AS261" s="4094" t="n">
        <v>-0.4</v>
      </c>
      <c r="AT261" s="4094" t="n">
        <v>-0.4</v>
      </c>
      <c r="AU261" s="4096" t="n">
        <v>-0.4</v>
      </c>
      <c r="AV261" s="4094">
        <f>SUM(F261:Q261)</f>
        <v/>
      </c>
      <c r="AW261" s="4094">
        <f>SUM(R261:AC261)</f>
        <v/>
      </c>
      <c r="AX261" s="4094">
        <f>SUM(AD261:AO261)</f>
        <v/>
      </c>
      <c r="AY261" s="4094">
        <f>SUM(AH261:AS261)</f>
        <v/>
      </c>
      <c r="AZ261" s="4094">
        <f>SUM(AJ261:AU261)</f>
        <v/>
      </c>
      <c r="BA261" s="3737" t="n"/>
      <c r="BB261" s="4097">
        <f>IFERROR(F261/F$117,0)</f>
        <v/>
      </c>
      <c r="BC261" s="4097">
        <f>IFERROR(G261/G$117,0)</f>
        <v/>
      </c>
      <c r="BD261" s="4097">
        <f>IFERROR(H261/H$117,0)</f>
        <v/>
      </c>
      <c r="BE261" s="4097">
        <f>IFERROR(I261/I$117,0)</f>
        <v/>
      </c>
      <c r="BF261" s="4097">
        <f>IFERROR(J261/J$117,0)</f>
        <v/>
      </c>
      <c r="BG261" s="4097">
        <f>IFERROR(K261/K$117,0)</f>
        <v/>
      </c>
      <c r="BH261" s="4097">
        <f>IFERROR(L261/L$117,0)</f>
        <v/>
      </c>
      <c r="BI261" s="4097">
        <f>IFERROR(M261/M$117,0)</f>
        <v/>
      </c>
      <c r="BJ261" s="4097">
        <f>IFERROR(N261/N$117,0)</f>
        <v/>
      </c>
      <c r="BK261" s="4097">
        <f>IFERROR(O261/O$117,0)</f>
        <v/>
      </c>
      <c r="BL261" s="4097">
        <f>IFERROR(P261/P$117,0)</f>
        <v/>
      </c>
      <c r="BM261" s="4098">
        <f>IFERROR(Q261/Q$117,0)</f>
        <v/>
      </c>
      <c r="BN261" s="4097">
        <f>IFERROR(R261/R$117,0)</f>
        <v/>
      </c>
      <c r="BO261" s="4097">
        <f>IFERROR(S261/S$117,0)</f>
        <v/>
      </c>
      <c r="BP261" s="4097">
        <f>IFERROR(T261/T$117,0)</f>
        <v/>
      </c>
      <c r="BQ261" s="4097">
        <f>IFERROR(U261/U$117,0)</f>
        <v/>
      </c>
      <c r="BR261" s="4097">
        <f>IFERROR(V261/V$117,0)</f>
        <v/>
      </c>
      <c r="BS261" s="4097">
        <f>IFERROR(W261/W$117,0)</f>
        <v/>
      </c>
      <c r="BT261" s="4097">
        <f>IFERROR(X261/X$117,0)</f>
        <v/>
      </c>
      <c r="BU261" s="4097">
        <f>IFERROR(Y261/Y$117,0)</f>
        <v/>
      </c>
      <c r="BV261" s="4097">
        <f>IFERROR(Z261/Z$117,0)</f>
        <v/>
      </c>
      <c r="BW261" s="4097">
        <f>IFERROR(AA261/AA$117,0)</f>
        <v/>
      </c>
      <c r="BX261" s="4097">
        <f>IFERROR(AB261/AB$117,0)</f>
        <v/>
      </c>
      <c r="BY261" s="4098">
        <f>IFERROR(AC261/AC$117,0)</f>
        <v/>
      </c>
      <c r="BZ261" s="4097">
        <f>IFERROR(AD261/AD$117,0)</f>
        <v/>
      </c>
      <c r="CA261" s="4097">
        <f>IFERROR(AE261/AE$117,0)</f>
        <v/>
      </c>
      <c r="CB261" s="4097">
        <f>IFERROR(AF261/AF$117,0)</f>
        <v/>
      </c>
      <c r="CC261" s="4097">
        <f>IFERROR(AG261/AG$117,0)</f>
        <v/>
      </c>
      <c r="CD261" s="4097">
        <f>IFERROR(AH261/AH$117,0)</f>
        <v/>
      </c>
      <c r="CE261" s="4097">
        <f>IFERROR(AI261/AI$117,0)</f>
        <v/>
      </c>
      <c r="CF261" s="4097">
        <f>IFERROR(AJ261/AJ$117,0)</f>
        <v/>
      </c>
      <c r="CG261" s="4097">
        <f>IFERROR(AK261/AK$117,0)</f>
        <v/>
      </c>
      <c r="CH261" s="4097">
        <f>IFERROR(AL261/AL$117,0)</f>
        <v/>
      </c>
      <c r="CI261" s="4097">
        <f>IFERROR(AM261/AM$117,0)</f>
        <v/>
      </c>
      <c r="CJ261" s="4097">
        <f>IFERROR(AN261/AN$117,0)</f>
        <v/>
      </c>
      <c r="CK261" s="4098">
        <f>IFERROR(AO261/AO$117,0)</f>
        <v/>
      </c>
      <c r="CL261" s="4097">
        <f>IFERROR(AP261/AP$117,0)</f>
        <v/>
      </c>
      <c r="CM261" s="4097">
        <f>IFERROR(AQ261/AQ$117,0)</f>
        <v/>
      </c>
      <c r="CN261" s="4097">
        <f>IFERROR(AR261/AR$117,0)</f>
        <v/>
      </c>
      <c r="CO261" s="4097">
        <f>IFERROR(AS261/AS$117,0)</f>
        <v/>
      </c>
      <c r="CP261" s="4097">
        <f>IFERROR(AT261/AT$117,0)</f>
        <v/>
      </c>
      <c r="CQ261" s="4099">
        <f>IFERROR(AU261/AU$117,0)</f>
        <v/>
      </c>
      <c r="CR261" s="4097">
        <f>IFERROR(AV261/AV$117,0)</f>
        <v/>
      </c>
      <c r="CS261" s="4097">
        <f>IFERROR(AW261/AW$117,0)</f>
        <v/>
      </c>
      <c r="CT261" s="4097">
        <f>IFERROR(AX261/AX$117,0)</f>
        <v/>
      </c>
      <c r="CU261" s="4097">
        <f>IFERROR(AY261/AY$117,0)</f>
        <v/>
      </c>
      <c r="CV261" s="4097">
        <f>IFERROR(AZ261/AZ$117,0)</f>
        <v/>
      </c>
      <c r="CW261" s="3737" t="n"/>
      <c r="CX261" s="4094" t="n">
        <v>3</v>
      </c>
    </row>
    <row r="262" hidden="1" outlineLevel="2" ht="12" customFormat="1" customHeight="1" s="3737">
      <c r="A262" s="4059" t="n"/>
      <c r="B262" s="4060" t="n"/>
      <c r="C262" s="4129" t="inlineStr">
        <is>
          <t>Cra canada rent subsidy-</t>
        </is>
      </c>
      <c r="D262" s="4093" t="n">
        <v>551402</v>
      </c>
      <c r="E262" s="4093">
        <f>CONCATENATE(D262," - ",C262)</f>
        <v/>
      </c>
      <c r="F262" s="4094" t="n"/>
      <c r="G262" s="4094" t="n"/>
      <c r="H262" s="4094" t="n"/>
      <c r="I262" s="4094" t="n"/>
      <c r="J262" s="4094" t="n"/>
      <c r="K262" s="4094" t="n"/>
      <c r="L262" s="4094" t="n"/>
      <c r="M262" s="4094" t="n"/>
      <c r="N262" s="4094" t="n"/>
      <c r="O262" s="4094" t="n"/>
      <c r="P262" s="4094" t="n"/>
      <c r="Q262" s="4095" t="n"/>
      <c r="R262" s="4094" t="n"/>
      <c r="S262" s="4094" t="n"/>
      <c r="T262" s="4094" t="n"/>
      <c r="U262" s="4094" t="n"/>
      <c r="V262" s="4094" t="n"/>
      <c r="W262" s="4094" t="n"/>
      <c r="X262" s="4094" t="n"/>
      <c r="Y262" s="4094" t="n"/>
      <c r="Z262" s="4094" t="n"/>
      <c r="AA262" s="4094" t="n"/>
      <c r="AB262" s="4094" t="n"/>
      <c r="AC262" s="4095" t="n"/>
      <c r="AD262" s="4094" t="n"/>
      <c r="AE262" s="4094" t="n"/>
      <c r="AF262" s="4094" t="n"/>
      <c r="AG262" s="4094" t="n"/>
      <c r="AH262" s="4094" t="n"/>
      <c r="AI262" s="4094" t="n"/>
      <c r="AJ262" s="4094" t="n"/>
      <c r="AK262" s="4094" t="n"/>
      <c r="AL262" s="4094" t="n"/>
      <c r="AM262" s="4094" t="n"/>
      <c r="AN262" s="4094" t="n"/>
      <c r="AO262" s="4095" t="n"/>
      <c r="AP262" s="4094" t="n">
        <v>0</v>
      </c>
      <c r="AQ262" s="4094" t="n">
        <v>0</v>
      </c>
      <c r="AR262" s="4094" t="n">
        <v>0</v>
      </c>
      <c r="AS262" s="4094" t="n">
        <v>0</v>
      </c>
      <c r="AT262" s="4094" t="n">
        <v>0</v>
      </c>
      <c r="AU262" s="4096" t="n">
        <v>0</v>
      </c>
      <c r="AV262" s="4094">
        <f>SUM(F262:Q262)</f>
        <v/>
      </c>
      <c r="AW262" s="4094">
        <f>SUM(R262:AC262)</f>
        <v/>
      </c>
      <c r="AX262" s="4094">
        <f>SUM(AD262:AO262)</f>
        <v/>
      </c>
      <c r="AY262" s="4094">
        <f>SUM(AH262:AS262)</f>
        <v/>
      </c>
      <c r="AZ262" s="4094">
        <f>SUM(AJ262:AU262)</f>
        <v/>
      </c>
      <c r="BA262" s="3737" t="n"/>
      <c r="BB262" s="4097">
        <f>IFERROR(F262/F$117,0)</f>
        <v/>
      </c>
      <c r="BC262" s="4097">
        <f>IFERROR(G262/G$117,0)</f>
        <v/>
      </c>
      <c r="BD262" s="4097">
        <f>IFERROR(H262/H$117,0)</f>
        <v/>
      </c>
      <c r="BE262" s="4097">
        <f>IFERROR(I262/I$117,0)</f>
        <v/>
      </c>
      <c r="BF262" s="4097">
        <f>IFERROR(J262/J$117,0)</f>
        <v/>
      </c>
      <c r="BG262" s="4097">
        <f>IFERROR(K262/K$117,0)</f>
        <v/>
      </c>
      <c r="BH262" s="4097">
        <f>IFERROR(L262/L$117,0)</f>
        <v/>
      </c>
      <c r="BI262" s="4097">
        <f>IFERROR(M262/M$117,0)</f>
        <v/>
      </c>
      <c r="BJ262" s="4097">
        <f>IFERROR(N262/N$117,0)</f>
        <v/>
      </c>
      <c r="BK262" s="4097">
        <f>IFERROR(O262/O$117,0)</f>
        <v/>
      </c>
      <c r="BL262" s="4097">
        <f>IFERROR(P262/P$117,0)</f>
        <v/>
      </c>
      <c r="BM262" s="4098">
        <f>IFERROR(Q262/Q$117,0)</f>
        <v/>
      </c>
      <c r="BN262" s="4097">
        <f>IFERROR(R262/R$117,0)</f>
        <v/>
      </c>
      <c r="BO262" s="4097">
        <f>IFERROR(S262/S$117,0)</f>
        <v/>
      </c>
      <c r="BP262" s="4097">
        <f>IFERROR(T262/T$117,0)</f>
        <v/>
      </c>
      <c r="BQ262" s="4097">
        <f>IFERROR(U262/U$117,0)</f>
        <v/>
      </c>
      <c r="BR262" s="4097">
        <f>IFERROR(V262/V$117,0)</f>
        <v/>
      </c>
      <c r="BS262" s="4097">
        <f>IFERROR(W262/W$117,0)</f>
        <v/>
      </c>
      <c r="BT262" s="4097">
        <f>IFERROR(X262/X$117,0)</f>
        <v/>
      </c>
      <c r="BU262" s="4097">
        <f>IFERROR(Y262/Y$117,0)</f>
        <v/>
      </c>
      <c r="BV262" s="4097">
        <f>IFERROR(Z262/Z$117,0)</f>
        <v/>
      </c>
      <c r="BW262" s="4097">
        <f>IFERROR(AA262/AA$117,0)</f>
        <v/>
      </c>
      <c r="BX262" s="4097">
        <f>IFERROR(AB262/AB$117,0)</f>
        <v/>
      </c>
      <c r="BY262" s="4098">
        <f>IFERROR(AC262/AC$117,0)</f>
        <v/>
      </c>
      <c r="BZ262" s="4097">
        <f>IFERROR(AD262/AD$117,0)</f>
        <v/>
      </c>
      <c r="CA262" s="4097">
        <f>IFERROR(AE262/AE$117,0)</f>
        <v/>
      </c>
      <c r="CB262" s="4097">
        <f>IFERROR(AF262/AF$117,0)</f>
        <v/>
      </c>
      <c r="CC262" s="4097">
        <f>IFERROR(AG262/AG$117,0)</f>
        <v/>
      </c>
      <c r="CD262" s="4097">
        <f>IFERROR(AH262/AH$117,0)</f>
        <v/>
      </c>
      <c r="CE262" s="4097">
        <f>IFERROR(AI262/AI$117,0)</f>
        <v/>
      </c>
      <c r="CF262" s="4097">
        <f>IFERROR(AJ262/AJ$117,0)</f>
        <v/>
      </c>
      <c r="CG262" s="4097">
        <f>IFERROR(AK262/AK$117,0)</f>
        <v/>
      </c>
      <c r="CH262" s="4097">
        <f>IFERROR(AL262/AL$117,0)</f>
        <v/>
      </c>
      <c r="CI262" s="4097">
        <f>IFERROR(AM262/AM$117,0)</f>
        <v/>
      </c>
      <c r="CJ262" s="4097">
        <f>IFERROR(AN262/AN$117,0)</f>
        <v/>
      </c>
      <c r="CK262" s="4098">
        <f>IFERROR(AO262/AO$117,0)</f>
        <v/>
      </c>
      <c r="CL262" s="4097">
        <f>IFERROR(AP262/AP$117,0)</f>
        <v/>
      </c>
      <c r="CM262" s="4097">
        <f>IFERROR(AQ262/AQ$117,0)</f>
        <v/>
      </c>
      <c r="CN262" s="4097">
        <f>IFERROR(AR262/AR$117,0)</f>
        <v/>
      </c>
      <c r="CO262" s="4097">
        <f>IFERROR(AS262/AS$117,0)</f>
        <v/>
      </c>
      <c r="CP262" s="4097">
        <f>IFERROR(AT262/AT$117,0)</f>
        <v/>
      </c>
      <c r="CQ262" s="4099">
        <f>IFERROR(AU262/AU$117,0)</f>
        <v/>
      </c>
      <c r="CR262" s="4097">
        <f>IFERROR(AV262/AV$117,0)</f>
        <v/>
      </c>
      <c r="CS262" s="4097">
        <f>IFERROR(AW262/AW$117,0)</f>
        <v/>
      </c>
      <c r="CT262" s="4097">
        <f>IFERROR(AX262/AX$117,0)</f>
        <v/>
      </c>
      <c r="CU262" s="4097">
        <f>IFERROR(AY262/AY$117,0)</f>
        <v/>
      </c>
      <c r="CV262" s="4097">
        <f>IFERROR(AZ262/AZ$117,0)</f>
        <v/>
      </c>
      <c r="CW262" s="3737" t="n"/>
      <c r="CX262" s="4094" t="n">
        <v>11.28175</v>
      </c>
    </row>
    <row r="263" hidden="1" outlineLevel="2" ht="12" customFormat="1" customHeight="1" s="3737">
      <c r="A263" s="4059" t="n"/>
      <c r="B263" s="4060" t="n"/>
      <c r="C263" s="4138" t="inlineStr">
        <is>
          <t>Rent occupancy operating costs</t>
        </is>
      </c>
      <c r="D263" s="4101" t="n">
        <v>551403</v>
      </c>
      <c r="E263" s="4101">
        <f>CONCATENATE(D263," - ",C263)</f>
        <v/>
      </c>
      <c r="F263" s="4102" t="n"/>
      <c r="G263" s="4102" t="n"/>
      <c r="H263" s="4102" t="n"/>
      <c r="I263" s="4102" t="n"/>
      <c r="J263" s="4102" t="n"/>
      <c r="K263" s="4102" t="n"/>
      <c r="L263" s="4102" t="n"/>
      <c r="M263" s="4102" t="n"/>
      <c r="N263" s="4102" t="n"/>
      <c r="O263" s="4102" t="n"/>
      <c r="P263" s="4102" t="n"/>
      <c r="Q263" s="4103" t="n"/>
      <c r="R263" s="4102" t="n"/>
      <c r="S263" s="4102" t="n"/>
      <c r="T263" s="4102" t="n"/>
      <c r="U263" s="4102" t="n"/>
      <c r="V263" s="4102" t="n"/>
      <c r="W263" s="4102" t="n"/>
      <c r="X263" s="4102" t="n"/>
      <c r="Y263" s="4102" t="n"/>
      <c r="Z263" s="4102" t="n"/>
      <c r="AA263" s="4102" t="n"/>
      <c r="AB263" s="4102" t="n"/>
      <c r="AC263" s="4103" t="n"/>
      <c r="AD263" s="4102" t="n"/>
      <c r="AE263" s="4102" t="n"/>
      <c r="AF263" s="4102" t="n"/>
      <c r="AG263" s="4102" t="n"/>
      <c r="AH263" s="4102" t="n"/>
      <c r="AI263" s="4102" t="n"/>
      <c r="AJ263" s="4102" t="n"/>
      <c r="AK263" s="4102" t="n"/>
      <c r="AL263" s="4102" t="n"/>
      <c r="AM263" s="4102" t="n"/>
      <c r="AN263" s="4102" t="n"/>
      <c r="AO263" s="4103" t="n"/>
      <c r="AP263" s="4102" t="n">
        <v>-27.84996</v>
      </c>
      <c r="AQ263" s="4102" t="n">
        <v>-27.84998</v>
      </c>
      <c r="AR263" s="4102" t="n">
        <v>-27.84996</v>
      </c>
      <c r="AS263" s="4102" t="n">
        <v>-27.84998</v>
      </c>
      <c r="AT263" s="4102" t="n">
        <v>-27.84997</v>
      </c>
      <c r="AU263" s="4104" t="n">
        <v>-22.15992</v>
      </c>
      <c r="AV263" s="4102">
        <f>SUM(F263:Q263)</f>
        <v/>
      </c>
      <c r="AW263" s="4102">
        <f>SUM(R263:AC263)</f>
        <v/>
      </c>
      <c r="AX263" s="4102">
        <f>SUM(AD263:AO263)</f>
        <v/>
      </c>
      <c r="AY263" s="4102">
        <f>SUM(AH263:AS263)</f>
        <v/>
      </c>
      <c r="AZ263" s="4102">
        <f>SUM(AJ263:AU263)</f>
        <v/>
      </c>
      <c r="BA263" s="3737" t="n"/>
      <c r="BB263" s="4105">
        <f>IFERROR(F263/F$117,0)</f>
        <v/>
      </c>
      <c r="BC263" s="4105">
        <f>IFERROR(G263/G$117,0)</f>
        <v/>
      </c>
      <c r="BD263" s="4105">
        <f>IFERROR(H263/H$117,0)</f>
        <v/>
      </c>
      <c r="BE263" s="4105">
        <f>IFERROR(I263/I$117,0)</f>
        <v/>
      </c>
      <c r="BF263" s="4105">
        <f>IFERROR(J263/J$117,0)</f>
        <v/>
      </c>
      <c r="BG263" s="4105">
        <f>IFERROR(K263/K$117,0)</f>
        <v/>
      </c>
      <c r="BH263" s="4105">
        <f>IFERROR(L263/L$117,0)</f>
        <v/>
      </c>
      <c r="BI263" s="4105">
        <f>IFERROR(M263/M$117,0)</f>
        <v/>
      </c>
      <c r="BJ263" s="4105">
        <f>IFERROR(N263/N$117,0)</f>
        <v/>
      </c>
      <c r="BK263" s="4105">
        <f>IFERROR(O263/O$117,0)</f>
        <v/>
      </c>
      <c r="BL263" s="4105">
        <f>IFERROR(P263/P$117,0)</f>
        <v/>
      </c>
      <c r="BM263" s="4106">
        <f>IFERROR(Q263/Q$117,0)</f>
        <v/>
      </c>
      <c r="BN263" s="4105">
        <f>IFERROR(R263/R$117,0)</f>
        <v/>
      </c>
      <c r="BO263" s="4105">
        <f>IFERROR(S263/S$117,0)</f>
        <v/>
      </c>
      <c r="BP263" s="4105">
        <f>IFERROR(T263/T$117,0)</f>
        <v/>
      </c>
      <c r="BQ263" s="4105">
        <f>IFERROR(U263/U$117,0)</f>
        <v/>
      </c>
      <c r="BR263" s="4105">
        <f>IFERROR(V263/V$117,0)</f>
        <v/>
      </c>
      <c r="BS263" s="4105">
        <f>IFERROR(W263/W$117,0)</f>
        <v/>
      </c>
      <c r="BT263" s="4105">
        <f>IFERROR(X263/X$117,0)</f>
        <v/>
      </c>
      <c r="BU263" s="4105">
        <f>IFERROR(Y263/Y$117,0)</f>
        <v/>
      </c>
      <c r="BV263" s="4105">
        <f>IFERROR(Z263/Z$117,0)</f>
        <v/>
      </c>
      <c r="BW263" s="4105">
        <f>IFERROR(AA263/AA$117,0)</f>
        <v/>
      </c>
      <c r="BX263" s="4105">
        <f>IFERROR(AB263/AB$117,0)</f>
        <v/>
      </c>
      <c r="BY263" s="4106">
        <f>IFERROR(AC263/AC$117,0)</f>
        <v/>
      </c>
      <c r="BZ263" s="4105">
        <f>IFERROR(AD263/AD$117,0)</f>
        <v/>
      </c>
      <c r="CA263" s="4105">
        <f>IFERROR(AE263/AE$117,0)</f>
        <v/>
      </c>
      <c r="CB263" s="4105">
        <f>IFERROR(AF263/AF$117,0)</f>
        <v/>
      </c>
      <c r="CC263" s="4105">
        <f>IFERROR(AG263/AG$117,0)</f>
        <v/>
      </c>
      <c r="CD263" s="4105">
        <f>IFERROR(AH263/AH$117,0)</f>
        <v/>
      </c>
      <c r="CE263" s="4105">
        <f>IFERROR(AI263/AI$117,0)</f>
        <v/>
      </c>
      <c r="CF263" s="4105">
        <f>IFERROR(AJ263/AJ$117,0)</f>
        <v/>
      </c>
      <c r="CG263" s="4105">
        <f>IFERROR(AK263/AK$117,0)</f>
        <v/>
      </c>
      <c r="CH263" s="4105">
        <f>IFERROR(AL263/AL$117,0)</f>
        <v/>
      </c>
      <c r="CI263" s="4105">
        <f>IFERROR(AM263/AM$117,0)</f>
        <v/>
      </c>
      <c r="CJ263" s="4105">
        <f>IFERROR(AN263/AN$117,0)</f>
        <v/>
      </c>
      <c r="CK263" s="4106">
        <f>IFERROR(AO263/AO$117,0)</f>
        <v/>
      </c>
      <c r="CL263" s="4105">
        <f>IFERROR(AP263/AP$117,0)</f>
        <v/>
      </c>
      <c r="CM263" s="4105">
        <f>IFERROR(AQ263/AQ$117,0)</f>
        <v/>
      </c>
      <c r="CN263" s="4105">
        <f>IFERROR(AR263/AR$117,0)</f>
        <v/>
      </c>
      <c r="CO263" s="4105">
        <f>IFERROR(AS263/AS$117,0)</f>
        <v/>
      </c>
      <c r="CP263" s="4105">
        <f>IFERROR(AT263/AT$117,0)</f>
        <v/>
      </c>
      <c r="CQ263" s="4107">
        <f>IFERROR(AU263/AU$117,0)</f>
        <v/>
      </c>
      <c r="CR263" s="4105">
        <f>IFERROR(AV263/AV$117,0)</f>
        <v/>
      </c>
      <c r="CS263" s="4105">
        <f>IFERROR(AW263/AW$117,0)</f>
        <v/>
      </c>
      <c r="CT263" s="4105">
        <f>IFERROR(AX263/AX$117,0)</f>
        <v/>
      </c>
      <c r="CU263" s="4105">
        <f>IFERROR(AY263/AY$117,0)</f>
        <v/>
      </c>
      <c r="CV263" s="4105">
        <f>IFERROR(AZ263/AZ$117,0)</f>
        <v/>
      </c>
      <c r="CW263" s="3737" t="n"/>
      <c r="CX263" s="4102" t="n">
        <v>-288.89031</v>
      </c>
    </row>
    <row r="264" hidden="1" outlineLevel="1" collapsed="1" ht="12" customFormat="1" customHeight="1" s="3737">
      <c r="A264" s="4059" t="n"/>
      <c r="B264" s="4060" t="n"/>
      <c r="C264" s="4109" t="inlineStr">
        <is>
          <t>Occupancy expense</t>
        </is>
      </c>
      <c r="D264" s="4093" t="n"/>
      <c r="E264" s="4093" t="n"/>
      <c r="F264" s="4094" t="n"/>
      <c r="G264" s="4094" t="n"/>
      <c r="H264" s="4094" t="n"/>
      <c r="I264" s="4094" t="n"/>
      <c r="J264" s="4094" t="n"/>
      <c r="K264" s="4094" t="n"/>
      <c r="L264" s="4094" t="n"/>
      <c r="M264" s="4094" t="n"/>
      <c r="N264" s="4094" t="n"/>
      <c r="O264" s="4094" t="n"/>
      <c r="P264" s="4094" t="n"/>
      <c r="Q264" s="4095" t="n"/>
      <c r="R264" s="4094" t="n"/>
      <c r="S264" s="4094" t="n"/>
      <c r="T264" s="4094" t="n"/>
      <c r="U264" s="4094" t="n"/>
      <c r="V264" s="4094" t="n"/>
      <c r="W264" s="4094" t="n"/>
      <c r="X264" s="4094" t="n"/>
      <c r="Y264" s="4094" t="n"/>
      <c r="Z264" s="4094" t="n"/>
      <c r="AA264" s="4094" t="n"/>
      <c r="AB264" s="4094" t="n"/>
      <c r="AC264" s="4095" t="n"/>
      <c r="AD264" s="4094" t="n"/>
      <c r="AE264" s="4094" t="n"/>
      <c r="AF264" s="4094" t="n"/>
      <c r="AG264" s="4094" t="n"/>
      <c r="AH264" s="4094" t="n"/>
      <c r="AI264" s="4094" t="n"/>
      <c r="AJ264" s="4094" t="n"/>
      <c r="AK264" s="4094" t="n"/>
      <c r="AL264" s="4094" t="n"/>
      <c r="AM264" s="4094" t="n"/>
      <c r="AN264" s="4094" t="n"/>
      <c r="AO264" s="4095" t="n"/>
      <c r="AP264" s="4094">
        <f>SUM(AP255:AP263)</f>
        <v/>
      </c>
      <c r="AQ264" s="4094">
        <f>SUM(AQ255:AQ263)</f>
        <v/>
      </c>
      <c r="AR264" s="4094">
        <f>SUM(AR255:AR263)</f>
        <v/>
      </c>
      <c r="AS264" s="4094">
        <f>SUM(AS255:AS263)</f>
        <v/>
      </c>
      <c r="AT264" s="4094">
        <f>SUM(AT255:AT263)</f>
        <v/>
      </c>
      <c r="AU264" s="4096">
        <f>SUM(AU255:AU263)</f>
        <v/>
      </c>
      <c r="AV264" s="4094">
        <f>SUM(AV255:AV263)</f>
        <v/>
      </c>
      <c r="AW264" s="4094">
        <f>SUM(AW255:AW263)</f>
        <v/>
      </c>
      <c r="AX264" s="4094">
        <f>SUM(AX255:AX263)</f>
        <v/>
      </c>
      <c r="AY264" s="4094">
        <f>SUM(AY255:AY263)</f>
        <v/>
      </c>
      <c r="AZ264" s="4094">
        <f>SUM(AZ255:AZ263)</f>
        <v/>
      </c>
      <c r="BA264" s="3737" t="n"/>
      <c r="BB264" s="4097">
        <f>IFERROR(F264/F$117,0)</f>
        <v/>
      </c>
      <c r="BC264" s="4097">
        <f>IFERROR(G264/G$117,0)</f>
        <v/>
      </c>
      <c r="BD264" s="4097">
        <f>IFERROR(H264/H$117,0)</f>
        <v/>
      </c>
      <c r="BE264" s="4097">
        <f>IFERROR(I264/I$117,0)</f>
        <v/>
      </c>
      <c r="BF264" s="4097">
        <f>IFERROR(J264/J$117,0)</f>
        <v/>
      </c>
      <c r="BG264" s="4097">
        <f>IFERROR(K264/K$117,0)</f>
        <v/>
      </c>
      <c r="BH264" s="4097">
        <f>IFERROR(L264/L$117,0)</f>
        <v/>
      </c>
      <c r="BI264" s="4097">
        <f>IFERROR(M264/M$117,0)</f>
        <v/>
      </c>
      <c r="BJ264" s="4097">
        <f>IFERROR(N264/N$117,0)</f>
        <v/>
      </c>
      <c r="BK264" s="4097">
        <f>IFERROR(O264/O$117,0)</f>
        <v/>
      </c>
      <c r="BL264" s="4097">
        <f>IFERROR(P264/P$117,0)</f>
        <v/>
      </c>
      <c r="BM264" s="4098">
        <f>IFERROR(Q264/Q$117,0)</f>
        <v/>
      </c>
      <c r="BN264" s="4097">
        <f>IFERROR(R264/R$117,0)</f>
        <v/>
      </c>
      <c r="BO264" s="4097">
        <f>IFERROR(S264/S$117,0)</f>
        <v/>
      </c>
      <c r="BP264" s="4097">
        <f>IFERROR(T264/T$117,0)</f>
        <v/>
      </c>
      <c r="BQ264" s="4097">
        <f>IFERROR(U264/U$117,0)</f>
        <v/>
      </c>
      <c r="BR264" s="4097">
        <f>IFERROR(V264/V$117,0)</f>
        <v/>
      </c>
      <c r="BS264" s="4097">
        <f>IFERROR(W264/W$117,0)</f>
        <v/>
      </c>
      <c r="BT264" s="4097">
        <f>IFERROR(X264/X$117,0)</f>
        <v/>
      </c>
      <c r="BU264" s="4097">
        <f>IFERROR(Y264/Y$117,0)</f>
        <v/>
      </c>
      <c r="BV264" s="4097">
        <f>IFERROR(Z264/Z$117,0)</f>
        <v/>
      </c>
      <c r="BW264" s="4097">
        <f>IFERROR(AA264/AA$117,0)</f>
        <v/>
      </c>
      <c r="BX264" s="4097">
        <f>IFERROR(AB264/AB$117,0)</f>
        <v/>
      </c>
      <c r="BY264" s="4098">
        <f>IFERROR(AC264/AC$117,0)</f>
        <v/>
      </c>
      <c r="BZ264" s="4097">
        <f>IFERROR(AD264/AD$117,0)</f>
        <v/>
      </c>
      <c r="CA264" s="4097">
        <f>IFERROR(AE264/AE$117,0)</f>
        <v/>
      </c>
      <c r="CB264" s="4097">
        <f>IFERROR(AF264/AF$117,0)</f>
        <v/>
      </c>
      <c r="CC264" s="4097">
        <f>IFERROR(AG264/AG$117,0)</f>
        <v/>
      </c>
      <c r="CD264" s="4097">
        <f>IFERROR(AH264/AH$117,0)</f>
        <v/>
      </c>
      <c r="CE264" s="4097">
        <f>IFERROR(AI264/AI$117,0)</f>
        <v/>
      </c>
      <c r="CF264" s="4097">
        <f>IFERROR(AJ264/AJ$117,0)</f>
        <v/>
      </c>
      <c r="CG264" s="4097">
        <f>IFERROR(AK264/AK$117,0)</f>
        <v/>
      </c>
      <c r="CH264" s="4097">
        <f>IFERROR(AL264/AL$117,0)</f>
        <v/>
      </c>
      <c r="CI264" s="4097">
        <f>IFERROR(AM264/AM$117,0)</f>
        <v/>
      </c>
      <c r="CJ264" s="4097">
        <f>IFERROR(AN264/AN$117,0)</f>
        <v/>
      </c>
      <c r="CK264" s="4098">
        <f>IFERROR(AO264/AO$117,0)</f>
        <v/>
      </c>
      <c r="CL264" s="4097">
        <f>IFERROR(AP264/AP$117,0)</f>
        <v/>
      </c>
      <c r="CM264" s="4097">
        <f>IFERROR(AQ264/AQ$117,0)</f>
        <v/>
      </c>
      <c r="CN264" s="4097">
        <f>IFERROR(AR264/AR$117,0)</f>
        <v/>
      </c>
      <c r="CO264" s="4097">
        <f>IFERROR(AS264/AS$117,0)</f>
        <v/>
      </c>
      <c r="CP264" s="4097">
        <f>IFERROR(AT264/AT$117,0)</f>
        <v/>
      </c>
      <c r="CQ264" s="4099">
        <f>IFERROR(AU264/AU$117,0)</f>
        <v/>
      </c>
      <c r="CR264" s="4097">
        <f>IFERROR(AV264/AV$117,0)</f>
        <v/>
      </c>
      <c r="CS264" s="4097">
        <f>IFERROR(AW264/AW$117,0)</f>
        <v/>
      </c>
      <c r="CT264" s="4097">
        <f>IFERROR(AX264/AX$117,0)</f>
        <v/>
      </c>
      <c r="CU264" s="4097">
        <f>IFERROR(AY264/AY$117,0)</f>
        <v/>
      </c>
      <c r="CV264" s="4097">
        <f>IFERROR(AZ264/AZ$117,0)</f>
        <v/>
      </c>
      <c r="CW264" s="3737" t="n"/>
      <c r="CX264" s="4094">
        <f>SUM(CX255:CX263)</f>
        <v/>
      </c>
    </row>
    <row r="265" hidden="1" outlineLevel="2" ht="12" customFormat="1" customHeight="1" s="3737">
      <c r="A265" s="4059" t="n"/>
      <c r="B265" s="4060" t="n"/>
      <c r="C265" s="4129" t="inlineStr">
        <is>
          <t>Internal telecom - markham office</t>
        </is>
      </c>
      <c r="D265" s="4093" t="n">
        <v>551301</v>
      </c>
      <c r="E265" s="4093">
        <f>CONCATENATE(D265," - ",C265)</f>
        <v/>
      </c>
      <c r="F265" s="4094" t="n"/>
      <c r="G265" s="4094" t="n"/>
      <c r="H265" s="4094" t="n"/>
      <c r="I265" s="4094" t="n"/>
      <c r="J265" s="4094" t="n"/>
      <c r="K265" s="4094" t="n"/>
      <c r="L265" s="4094" t="n"/>
      <c r="M265" s="4094" t="n"/>
      <c r="N265" s="4094" t="n"/>
      <c r="O265" s="4094" t="n"/>
      <c r="P265" s="4094" t="n"/>
      <c r="Q265" s="4095" t="n"/>
      <c r="R265" s="4094" t="n"/>
      <c r="S265" s="4094" t="n"/>
      <c r="T265" s="4094" t="n"/>
      <c r="U265" s="4094" t="n"/>
      <c r="V265" s="4094" t="n"/>
      <c r="W265" s="4094" t="n"/>
      <c r="X265" s="4094" t="n"/>
      <c r="Y265" s="4094" t="n"/>
      <c r="Z265" s="4094" t="n"/>
      <c r="AA265" s="4094" t="n"/>
      <c r="AB265" s="4094" t="n"/>
      <c r="AC265" s="4095" t="n"/>
      <c r="AD265" s="4094" t="n"/>
      <c r="AE265" s="4094" t="n"/>
      <c r="AF265" s="4094" t="n"/>
      <c r="AG265" s="4094" t="n"/>
      <c r="AH265" s="4094" t="n"/>
      <c r="AI265" s="4094" t="n"/>
      <c r="AJ265" s="4094" t="n"/>
      <c r="AK265" s="4094" t="n"/>
      <c r="AL265" s="4094" t="n"/>
      <c r="AM265" s="4094" t="n"/>
      <c r="AN265" s="4094" t="n"/>
      <c r="AO265" s="4095" t="n"/>
      <c r="AP265" s="4094" t="n">
        <v>0</v>
      </c>
      <c r="AQ265" s="4094" t="n">
        <v>0</v>
      </c>
      <c r="AR265" s="4094" t="n">
        <v>-1.23858</v>
      </c>
      <c r="AS265" s="4094" t="n">
        <v>-0.045</v>
      </c>
      <c r="AT265" s="4094" t="n">
        <v>-0.045</v>
      </c>
      <c r="AU265" s="4096" t="n">
        <v>-0.045</v>
      </c>
      <c r="AV265" s="4094">
        <f>SUM(F265:Q265)</f>
        <v/>
      </c>
      <c r="AW265" s="4094">
        <f>SUM(R265:AC265)</f>
        <v/>
      </c>
      <c r="AX265" s="4094">
        <f>SUM(AD265:AO265)</f>
        <v/>
      </c>
      <c r="AY265" s="4094">
        <f>SUM(AH265:AS265)</f>
        <v/>
      </c>
      <c r="AZ265" s="4094">
        <f>SUM(AJ265:AU265)</f>
        <v/>
      </c>
      <c r="BA265" s="3737" t="n"/>
      <c r="BB265" s="4097">
        <f>IFERROR(F265/F$117,0)</f>
        <v/>
      </c>
      <c r="BC265" s="4097">
        <f>IFERROR(G265/G$117,0)</f>
        <v/>
      </c>
      <c r="BD265" s="4097">
        <f>IFERROR(H265/H$117,0)</f>
        <v/>
      </c>
      <c r="BE265" s="4097">
        <f>IFERROR(I265/I$117,0)</f>
        <v/>
      </c>
      <c r="BF265" s="4097">
        <f>IFERROR(J265/J$117,0)</f>
        <v/>
      </c>
      <c r="BG265" s="4097">
        <f>IFERROR(K265/K$117,0)</f>
        <v/>
      </c>
      <c r="BH265" s="4097">
        <f>IFERROR(L265/L$117,0)</f>
        <v/>
      </c>
      <c r="BI265" s="4097">
        <f>IFERROR(M265/M$117,0)</f>
        <v/>
      </c>
      <c r="BJ265" s="4097">
        <f>IFERROR(N265/N$117,0)</f>
        <v/>
      </c>
      <c r="BK265" s="4097">
        <f>IFERROR(O265/O$117,0)</f>
        <v/>
      </c>
      <c r="BL265" s="4097">
        <f>IFERROR(P265/P$117,0)</f>
        <v/>
      </c>
      <c r="BM265" s="4098">
        <f>IFERROR(Q265/Q$117,0)</f>
        <v/>
      </c>
      <c r="BN265" s="4097">
        <f>IFERROR(R265/R$117,0)</f>
        <v/>
      </c>
      <c r="BO265" s="4097">
        <f>IFERROR(S265/S$117,0)</f>
        <v/>
      </c>
      <c r="BP265" s="4097">
        <f>IFERROR(T265/T$117,0)</f>
        <v/>
      </c>
      <c r="BQ265" s="4097">
        <f>IFERROR(U265/U$117,0)</f>
        <v/>
      </c>
      <c r="BR265" s="4097">
        <f>IFERROR(V265/V$117,0)</f>
        <v/>
      </c>
      <c r="BS265" s="4097">
        <f>IFERROR(W265/W$117,0)</f>
        <v/>
      </c>
      <c r="BT265" s="4097">
        <f>IFERROR(X265/X$117,0)</f>
        <v/>
      </c>
      <c r="BU265" s="4097">
        <f>IFERROR(Y265/Y$117,0)</f>
        <v/>
      </c>
      <c r="BV265" s="4097">
        <f>IFERROR(Z265/Z$117,0)</f>
        <v/>
      </c>
      <c r="BW265" s="4097">
        <f>IFERROR(AA265/AA$117,0)</f>
        <v/>
      </c>
      <c r="BX265" s="4097">
        <f>IFERROR(AB265/AB$117,0)</f>
        <v/>
      </c>
      <c r="BY265" s="4098">
        <f>IFERROR(AC265/AC$117,0)</f>
        <v/>
      </c>
      <c r="BZ265" s="4097">
        <f>IFERROR(AD265/AD$117,0)</f>
        <v/>
      </c>
      <c r="CA265" s="4097">
        <f>IFERROR(AE265/AE$117,0)</f>
        <v/>
      </c>
      <c r="CB265" s="4097">
        <f>IFERROR(AF265/AF$117,0)</f>
        <v/>
      </c>
      <c r="CC265" s="4097">
        <f>IFERROR(AG265/AG$117,0)</f>
        <v/>
      </c>
      <c r="CD265" s="4097">
        <f>IFERROR(AH265/AH$117,0)</f>
        <v/>
      </c>
      <c r="CE265" s="4097">
        <f>IFERROR(AI265/AI$117,0)</f>
        <v/>
      </c>
      <c r="CF265" s="4097">
        <f>IFERROR(AJ265/AJ$117,0)</f>
        <v/>
      </c>
      <c r="CG265" s="4097">
        <f>IFERROR(AK265/AK$117,0)</f>
        <v/>
      </c>
      <c r="CH265" s="4097">
        <f>IFERROR(AL265/AL$117,0)</f>
        <v/>
      </c>
      <c r="CI265" s="4097">
        <f>IFERROR(AM265/AM$117,0)</f>
        <v/>
      </c>
      <c r="CJ265" s="4097">
        <f>IFERROR(AN265/AN$117,0)</f>
        <v/>
      </c>
      <c r="CK265" s="4098">
        <f>IFERROR(AO265/AO$117,0)</f>
        <v/>
      </c>
      <c r="CL265" s="4097">
        <f>IFERROR(AP265/AP$117,0)</f>
        <v/>
      </c>
      <c r="CM265" s="4097">
        <f>IFERROR(AQ265/AQ$117,0)</f>
        <v/>
      </c>
      <c r="CN265" s="4097">
        <f>IFERROR(AR265/AR$117,0)</f>
        <v/>
      </c>
      <c r="CO265" s="4097">
        <f>IFERROR(AS265/AS$117,0)</f>
        <v/>
      </c>
      <c r="CP265" s="4097">
        <f>IFERROR(AT265/AT$117,0)</f>
        <v/>
      </c>
      <c r="CQ265" s="4099">
        <f>IFERROR(AU265/AU$117,0)</f>
        <v/>
      </c>
      <c r="CR265" s="4097">
        <f>IFERROR(AV265/AV$117,0)</f>
        <v/>
      </c>
      <c r="CS265" s="4097">
        <f>IFERROR(AW265/AW$117,0)</f>
        <v/>
      </c>
      <c r="CT265" s="4097">
        <f>IFERROR(AX265/AX$117,0)</f>
        <v/>
      </c>
      <c r="CU265" s="4097">
        <f>IFERROR(AY265/AY$117,0)</f>
        <v/>
      </c>
      <c r="CV265" s="4097">
        <f>IFERROR(AZ265/AZ$117,0)</f>
        <v/>
      </c>
      <c r="CW265" s="3737" t="n"/>
      <c r="CX265" s="4094" t="n">
        <v>0</v>
      </c>
    </row>
    <row r="266" hidden="1" outlineLevel="2" ht="12" customFormat="1" customHeight="1" s="3737">
      <c r="A266" s="4059" t="n"/>
      <c r="B266" s="4060" t="n"/>
      <c r="C266" s="4129" t="inlineStr">
        <is>
          <t>Internal telecomm</t>
        </is>
      </c>
      <c r="D266" s="4093" t="n">
        <v>551301</v>
      </c>
      <c r="E266" s="4093">
        <f>CONCATENATE(D266," - ",C266)</f>
        <v/>
      </c>
      <c r="F266" s="4094" t="n"/>
      <c r="G266" s="4094" t="n"/>
      <c r="H266" s="4094" t="n"/>
      <c r="I266" s="4094" t="n"/>
      <c r="J266" s="4094" t="n"/>
      <c r="K266" s="4094" t="n"/>
      <c r="L266" s="4094" t="n"/>
      <c r="M266" s="4094" t="n"/>
      <c r="N266" s="4094" t="n"/>
      <c r="O266" s="4094" t="n"/>
      <c r="P266" s="4094" t="n"/>
      <c r="Q266" s="4095" t="n"/>
      <c r="R266" s="4094" t="n"/>
      <c r="S266" s="4094" t="n"/>
      <c r="T266" s="4094" t="n"/>
      <c r="U266" s="4094" t="n"/>
      <c r="V266" s="4094" t="n"/>
      <c r="W266" s="4094" t="n"/>
      <c r="X266" s="4094" t="n"/>
      <c r="Y266" s="4094" t="n"/>
      <c r="Z266" s="4094" t="n"/>
      <c r="AA266" s="4094" t="n"/>
      <c r="AB266" s="4094" t="n"/>
      <c r="AC266" s="4095" t="n"/>
      <c r="AD266" s="4094" t="n"/>
      <c r="AE266" s="4094" t="n"/>
      <c r="AF266" s="4094" t="n"/>
      <c r="AG266" s="4094" t="n"/>
      <c r="AH266" s="4094" t="n"/>
      <c r="AI266" s="4094" t="n"/>
      <c r="AJ266" s="4094" t="n"/>
      <c r="AK266" s="4094" t="n"/>
      <c r="AL266" s="4094" t="n"/>
      <c r="AM266" s="4094" t="n"/>
      <c r="AN266" s="4094" t="n"/>
      <c r="AO266" s="4095" t="n"/>
      <c r="AP266" s="4094" t="n">
        <v>0</v>
      </c>
      <c r="AQ266" s="4094" t="n">
        <v>0</v>
      </c>
      <c r="AR266" s="4094" t="n">
        <v>0</v>
      </c>
      <c r="AS266" s="4094" t="n">
        <v>0</v>
      </c>
      <c r="AT266" s="4094" t="n">
        <v>0</v>
      </c>
      <c r="AU266" s="4096" t="n">
        <v>0</v>
      </c>
      <c r="AV266" s="4094">
        <f>SUM(F266:Q266)</f>
        <v/>
      </c>
      <c r="AW266" s="4094">
        <f>SUM(R266:AC266)</f>
        <v/>
      </c>
      <c r="AX266" s="4094">
        <f>SUM(AD266:AO266)</f>
        <v/>
      </c>
      <c r="AY266" s="4094">
        <f>SUM(AH266:AS266)</f>
        <v/>
      </c>
      <c r="AZ266" s="4094">
        <f>SUM(AJ266:AU266)</f>
        <v/>
      </c>
      <c r="BA266" s="3737" t="n"/>
      <c r="BB266" s="4097">
        <f>IFERROR(F266/F$117,0)</f>
        <v/>
      </c>
      <c r="BC266" s="4097">
        <f>IFERROR(G266/G$117,0)</f>
        <v/>
      </c>
      <c r="BD266" s="4097">
        <f>IFERROR(H266/H$117,0)</f>
        <v/>
      </c>
      <c r="BE266" s="4097">
        <f>IFERROR(I266/I$117,0)</f>
        <v/>
      </c>
      <c r="BF266" s="4097">
        <f>IFERROR(J266/J$117,0)</f>
        <v/>
      </c>
      <c r="BG266" s="4097">
        <f>IFERROR(K266/K$117,0)</f>
        <v/>
      </c>
      <c r="BH266" s="4097">
        <f>IFERROR(L266/L$117,0)</f>
        <v/>
      </c>
      <c r="BI266" s="4097">
        <f>IFERROR(M266/M$117,0)</f>
        <v/>
      </c>
      <c r="BJ266" s="4097">
        <f>IFERROR(N266/N$117,0)</f>
        <v/>
      </c>
      <c r="BK266" s="4097">
        <f>IFERROR(O266/O$117,0)</f>
        <v/>
      </c>
      <c r="BL266" s="4097">
        <f>IFERROR(P266/P$117,0)</f>
        <v/>
      </c>
      <c r="BM266" s="4098">
        <f>IFERROR(Q266/Q$117,0)</f>
        <v/>
      </c>
      <c r="BN266" s="4097">
        <f>IFERROR(R266/R$117,0)</f>
        <v/>
      </c>
      <c r="BO266" s="4097">
        <f>IFERROR(S266/S$117,0)</f>
        <v/>
      </c>
      <c r="BP266" s="4097">
        <f>IFERROR(T266/T$117,0)</f>
        <v/>
      </c>
      <c r="BQ266" s="4097">
        <f>IFERROR(U266/U$117,0)</f>
        <v/>
      </c>
      <c r="BR266" s="4097">
        <f>IFERROR(V266/V$117,0)</f>
        <v/>
      </c>
      <c r="BS266" s="4097">
        <f>IFERROR(W266/W$117,0)</f>
        <v/>
      </c>
      <c r="BT266" s="4097">
        <f>IFERROR(X266/X$117,0)</f>
        <v/>
      </c>
      <c r="BU266" s="4097">
        <f>IFERROR(Y266/Y$117,0)</f>
        <v/>
      </c>
      <c r="BV266" s="4097">
        <f>IFERROR(Z266/Z$117,0)</f>
        <v/>
      </c>
      <c r="BW266" s="4097">
        <f>IFERROR(AA266/AA$117,0)</f>
        <v/>
      </c>
      <c r="BX266" s="4097">
        <f>IFERROR(AB266/AB$117,0)</f>
        <v/>
      </c>
      <c r="BY266" s="4098">
        <f>IFERROR(AC266/AC$117,0)</f>
        <v/>
      </c>
      <c r="BZ266" s="4097">
        <f>IFERROR(AD266/AD$117,0)</f>
        <v/>
      </c>
      <c r="CA266" s="4097">
        <f>IFERROR(AE266/AE$117,0)</f>
        <v/>
      </c>
      <c r="CB266" s="4097">
        <f>IFERROR(AF266/AF$117,0)</f>
        <v/>
      </c>
      <c r="CC266" s="4097">
        <f>IFERROR(AG266/AG$117,0)</f>
        <v/>
      </c>
      <c r="CD266" s="4097">
        <f>IFERROR(AH266/AH$117,0)</f>
        <v/>
      </c>
      <c r="CE266" s="4097">
        <f>IFERROR(AI266/AI$117,0)</f>
        <v/>
      </c>
      <c r="CF266" s="4097">
        <f>IFERROR(AJ266/AJ$117,0)</f>
        <v/>
      </c>
      <c r="CG266" s="4097">
        <f>IFERROR(AK266/AK$117,0)</f>
        <v/>
      </c>
      <c r="CH266" s="4097">
        <f>IFERROR(AL266/AL$117,0)</f>
        <v/>
      </c>
      <c r="CI266" s="4097">
        <f>IFERROR(AM266/AM$117,0)</f>
        <v/>
      </c>
      <c r="CJ266" s="4097">
        <f>IFERROR(AN266/AN$117,0)</f>
        <v/>
      </c>
      <c r="CK266" s="4098">
        <f>IFERROR(AO266/AO$117,0)</f>
        <v/>
      </c>
      <c r="CL266" s="4097">
        <f>IFERROR(AP266/AP$117,0)</f>
        <v/>
      </c>
      <c r="CM266" s="4097">
        <f>IFERROR(AQ266/AQ$117,0)</f>
        <v/>
      </c>
      <c r="CN266" s="4097">
        <f>IFERROR(AR266/AR$117,0)</f>
        <v/>
      </c>
      <c r="CO266" s="4097">
        <f>IFERROR(AS266/AS$117,0)</f>
        <v/>
      </c>
      <c r="CP266" s="4097">
        <f>IFERROR(AT266/AT$117,0)</f>
        <v/>
      </c>
      <c r="CQ266" s="4099">
        <f>IFERROR(AU266/AU$117,0)</f>
        <v/>
      </c>
      <c r="CR266" s="4097">
        <f>IFERROR(AV266/AV$117,0)</f>
        <v/>
      </c>
      <c r="CS266" s="4097">
        <f>IFERROR(AW266/AW$117,0)</f>
        <v/>
      </c>
      <c r="CT266" s="4097">
        <f>IFERROR(AX266/AX$117,0)</f>
        <v/>
      </c>
      <c r="CU266" s="4097">
        <f>IFERROR(AY266/AY$117,0)</f>
        <v/>
      </c>
      <c r="CV266" s="4097">
        <f>IFERROR(AZ266/AZ$117,0)</f>
        <v/>
      </c>
      <c r="CW266" s="3737" t="n"/>
      <c r="CX266" s="4094" t="n">
        <v>-4.64524</v>
      </c>
    </row>
    <row r="267" hidden="1" outlineLevel="2" ht="12" customFormat="1" customHeight="1" s="3737">
      <c r="A267" s="4059" t="n"/>
      <c r="B267" s="4060" t="n"/>
      <c r="C267" s="4129" t="inlineStr">
        <is>
          <t>Telephone</t>
        </is>
      </c>
      <c r="D267" s="4093" t="n">
        <v>551306</v>
      </c>
      <c r="E267" s="4093">
        <f>CONCATENATE(D267," - ",C267)</f>
        <v/>
      </c>
      <c r="F267" s="4094" t="n"/>
      <c r="G267" s="4094" t="n"/>
      <c r="H267" s="4094" t="n"/>
      <c r="I267" s="4094" t="n"/>
      <c r="J267" s="4094" t="n"/>
      <c r="K267" s="4094" t="n"/>
      <c r="L267" s="4094" t="n"/>
      <c r="M267" s="4094" t="n"/>
      <c r="N267" s="4094" t="n"/>
      <c r="O267" s="4094" t="n"/>
      <c r="P267" s="4094" t="n"/>
      <c r="Q267" s="4095" t="n"/>
      <c r="R267" s="4094" t="n"/>
      <c r="S267" s="4094" t="n"/>
      <c r="T267" s="4094" t="n"/>
      <c r="U267" s="4094" t="n"/>
      <c r="V267" s="4094" t="n"/>
      <c r="W267" s="4094" t="n"/>
      <c r="X267" s="4094" t="n"/>
      <c r="Y267" s="4094" t="n"/>
      <c r="Z267" s="4094" t="n"/>
      <c r="AA267" s="4094" t="n"/>
      <c r="AB267" s="4094" t="n"/>
      <c r="AC267" s="4095" t="n"/>
      <c r="AD267" s="4094" t="n"/>
      <c r="AE267" s="4094" t="n"/>
      <c r="AF267" s="4094" t="n"/>
      <c r="AG267" s="4094" t="n"/>
      <c r="AH267" s="4094" t="n"/>
      <c r="AI267" s="4094" t="n"/>
      <c r="AJ267" s="4094" t="n"/>
      <c r="AK267" s="4094" t="n"/>
      <c r="AL267" s="4094" t="n"/>
      <c r="AM267" s="4094" t="n"/>
      <c r="AN267" s="4094" t="n"/>
      <c r="AO267" s="4095" t="n"/>
      <c r="AP267" s="4094" t="n">
        <v>-7.75537</v>
      </c>
      <c r="AQ267" s="4094" t="n">
        <v>-8.45378</v>
      </c>
      <c r="AR267" s="4094" t="n">
        <v>-8.557689999999999</v>
      </c>
      <c r="AS267" s="4094" t="n">
        <v>-8.48278</v>
      </c>
      <c r="AT267" s="4094" t="n">
        <v>0.498849999999999</v>
      </c>
      <c r="AU267" s="4096" t="n">
        <v>-5.21872</v>
      </c>
      <c r="AV267" s="4094">
        <f>SUM(F267:Q267)</f>
        <v/>
      </c>
      <c r="AW267" s="4094">
        <f>SUM(R267:AC267)</f>
        <v/>
      </c>
      <c r="AX267" s="4094">
        <f>SUM(AD267:AO267)</f>
        <v/>
      </c>
      <c r="AY267" s="4094">
        <f>SUM(AH267:AS267)</f>
        <v/>
      </c>
      <c r="AZ267" s="4094">
        <f>SUM(AJ267:AU267)</f>
        <v/>
      </c>
      <c r="BA267" s="3737" t="n"/>
      <c r="BB267" s="4097">
        <f>IFERROR(F267/F$117,0)</f>
        <v/>
      </c>
      <c r="BC267" s="4097">
        <f>IFERROR(G267/G$117,0)</f>
        <v/>
      </c>
      <c r="BD267" s="4097">
        <f>IFERROR(H267/H$117,0)</f>
        <v/>
      </c>
      <c r="BE267" s="4097">
        <f>IFERROR(I267/I$117,0)</f>
        <v/>
      </c>
      <c r="BF267" s="4097">
        <f>IFERROR(J267/J$117,0)</f>
        <v/>
      </c>
      <c r="BG267" s="4097">
        <f>IFERROR(K267/K$117,0)</f>
        <v/>
      </c>
      <c r="BH267" s="4097">
        <f>IFERROR(L267/L$117,0)</f>
        <v/>
      </c>
      <c r="BI267" s="4097">
        <f>IFERROR(M267/M$117,0)</f>
        <v/>
      </c>
      <c r="BJ267" s="4097">
        <f>IFERROR(N267/N$117,0)</f>
        <v/>
      </c>
      <c r="BK267" s="4097">
        <f>IFERROR(O267/O$117,0)</f>
        <v/>
      </c>
      <c r="BL267" s="4097">
        <f>IFERROR(P267/P$117,0)</f>
        <v/>
      </c>
      <c r="BM267" s="4098">
        <f>IFERROR(Q267/Q$117,0)</f>
        <v/>
      </c>
      <c r="BN267" s="4097">
        <f>IFERROR(R267/R$117,0)</f>
        <v/>
      </c>
      <c r="BO267" s="4097">
        <f>IFERROR(S267/S$117,0)</f>
        <v/>
      </c>
      <c r="BP267" s="4097">
        <f>IFERROR(T267/T$117,0)</f>
        <v/>
      </c>
      <c r="BQ267" s="4097">
        <f>IFERROR(U267/U$117,0)</f>
        <v/>
      </c>
      <c r="BR267" s="4097">
        <f>IFERROR(V267/V$117,0)</f>
        <v/>
      </c>
      <c r="BS267" s="4097">
        <f>IFERROR(W267/W$117,0)</f>
        <v/>
      </c>
      <c r="BT267" s="4097">
        <f>IFERROR(X267/X$117,0)</f>
        <v/>
      </c>
      <c r="BU267" s="4097">
        <f>IFERROR(Y267/Y$117,0)</f>
        <v/>
      </c>
      <c r="BV267" s="4097">
        <f>IFERROR(Z267/Z$117,0)</f>
        <v/>
      </c>
      <c r="BW267" s="4097">
        <f>IFERROR(AA267/AA$117,0)</f>
        <v/>
      </c>
      <c r="BX267" s="4097">
        <f>IFERROR(AB267/AB$117,0)</f>
        <v/>
      </c>
      <c r="BY267" s="4098">
        <f>IFERROR(AC267/AC$117,0)</f>
        <v/>
      </c>
      <c r="BZ267" s="4097">
        <f>IFERROR(AD267/AD$117,0)</f>
        <v/>
      </c>
      <c r="CA267" s="4097">
        <f>IFERROR(AE267/AE$117,0)</f>
        <v/>
      </c>
      <c r="CB267" s="4097">
        <f>IFERROR(AF267/AF$117,0)</f>
        <v/>
      </c>
      <c r="CC267" s="4097">
        <f>IFERROR(AG267/AG$117,0)</f>
        <v/>
      </c>
      <c r="CD267" s="4097">
        <f>IFERROR(AH267/AH$117,0)</f>
        <v/>
      </c>
      <c r="CE267" s="4097">
        <f>IFERROR(AI267/AI$117,0)</f>
        <v/>
      </c>
      <c r="CF267" s="4097">
        <f>IFERROR(AJ267/AJ$117,0)</f>
        <v/>
      </c>
      <c r="CG267" s="4097">
        <f>IFERROR(AK267/AK$117,0)</f>
        <v/>
      </c>
      <c r="CH267" s="4097">
        <f>IFERROR(AL267/AL$117,0)</f>
        <v/>
      </c>
      <c r="CI267" s="4097">
        <f>IFERROR(AM267/AM$117,0)</f>
        <v/>
      </c>
      <c r="CJ267" s="4097">
        <f>IFERROR(AN267/AN$117,0)</f>
        <v/>
      </c>
      <c r="CK267" s="4098">
        <f>IFERROR(AO267/AO$117,0)</f>
        <v/>
      </c>
      <c r="CL267" s="4097">
        <f>IFERROR(AP267/AP$117,0)</f>
        <v/>
      </c>
      <c r="CM267" s="4097">
        <f>IFERROR(AQ267/AQ$117,0)</f>
        <v/>
      </c>
      <c r="CN267" s="4097">
        <f>IFERROR(AR267/AR$117,0)</f>
        <v/>
      </c>
      <c r="CO267" s="4097">
        <f>IFERROR(AS267/AS$117,0)</f>
        <v/>
      </c>
      <c r="CP267" s="4097">
        <f>IFERROR(AT267/AT$117,0)</f>
        <v/>
      </c>
      <c r="CQ267" s="4099">
        <f>IFERROR(AU267/AU$117,0)</f>
        <v/>
      </c>
      <c r="CR267" s="4097">
        <f>IFERROR(AV267/AV$117,0)</f>
        <v/>
      </c>
      <c r="CS267" s="4097">
        <f>IFERROR(AW267/AW$117,0)</f>
        <v/>
      </c>
      <c r="CT267" s="4097">
        <f>IFERROR(AX267/AX$117,0)</f>
        <v/>
      </c>
      <c r="CU267" s="4097">
        <f>IFERROR(AY267/AY$117,0)</f>
        <v/>
      </c>
      <c r="CV267" s="4097">
        <f>IFERROR(AZ267/AZ$117,0)</f>
        <v/>
      </c>
      <c r="CW267" s="3737" t="n"/>
      <c r="CX267" s="4094" t="n">
        <v>-71.17277</v>
      </c>
    </row>
    <row r="268" hidden="1" outlineLevel="2" ht="12" customFormat="1" customHeight="1" s="3737">
      <c r="A268" s="4059" t="n"/>
      <c r="B268" s="4060" t="n"/>
      <c r="C268" s="4129" t="inlineStr">
        <is>
          <t>Internet/email service expense</t>
        </is>
      </c>
      <c r="D268" s="4093" t="n">
        <v>551307</v>
      </c>
      <c r="E268" s="4093">
        <f>CONCATENATE(D268," - ",C268)</f>
        <v/>
      </c>
      <c r="F268" s="4094" t="n"/>
      <c r="G268" s="4094" t="n"/>
      <c r="H268" s="4094" t="n"/>
      <c r="I268" s="4094" t="n"/>
      <c r="J268" s="4094" t="n"/>
      <c r="K268" s="4094" t="n"/>
      <c r="L268" s="4094" t="n"/>
      <c r="M268" s="4094" t="n"/>
      <c r="N268" s="4094" t="n"/>
      <c r="O268" s="4094" t="n"/>
      <c r="P268" s="4094" t="n"/>
      <c r="Q268" s="4095" t="n"/>
      <c r="R268" s="4094" t="n"/>
      <c r="S268" s="4094" t="n"/>
      <c r="T268" s="4094" t="n"/>
      <c r="U268" s="4094" t="n"/>
      <c r="V268" s="4094" t="n"/>
      <c r="W268" s="4094" t="n"/>
      <c r="X268" s="4094" t="n"/>
      <c r="Y268" s="4094" t="n"/>
      <c r="Z268" s="4094" t="n"/>
      <c r="AA268" s="4094" t="n"/>
      <c r="AB268" s="4094" t="n"/>
      <c r="AC268" s="4095" t="n"/>
      <c r="AD268" s="4094" t="n"/>
      <c r="AE268" s="4094" t="n"/>
      <c r="AF268" s="4094" t="n"/>
      <c r="AG268" s="4094" t="n"/>
      <c r="AH268" s="4094" t="n"/>
      <c r="AI268" s="4094" t="n"/>
      <c r="AJ268" s="4094" t="n"/>
      <c r="AK268" s="4094" t="n"/>
      <c r="AL268" s="4094" t="n"/>
      <c r="AM268" s="4094" t="n"/>
      <c r="AN268" s="4094" t="n"/>
      <c r="AO268" s="4095" t="n"/>
      <c r="AP268" s="4094" t="n">
        <v>-9.35125</v>
      </c>
      <c r="AQ268" s="4094" t="n">
        <v>-9.54058</v>
      </c>
      <c r="AR268" s="4094" t="n">
        <v>-9.78073</v>
      </c>
      <c r="AS268" s="4094" t="n">
        <v>-10.02116</v>
      </c>
      <c r="AT268" s="4094" t="n">
        <v>-9.905279999999999</v>
      </c>
      <c r="AU268" s="4096" t="n">
        <v>-10.26787</v>
      </c>
      <c r="AV268" s="4094">
        <f>SUM(F268:Q268)</f>
        <v/>
      </c>
      <c r="AW268" s="4094">
        <f>SUM(R268:AC268)</f>
        <v/>
      </c>
      <c r="AX268" s="4094">
        <f>SUM(AD268:AO268)</f>
        <v/>
      </c>
      <c r="AY268" s="4094">
        <f>SUM(AH268:AS268)</f>
        <v/>
      </c>
      <c r="AZ268" s="4094">
        <f>SUM(AJ268:AU268)</f>
        <v/>
      </c>
      <c r="BA268" s="3737" t="n"/>
      <c r="BB268" s="4097">
        <f>IFERROR(F268/F$117,0)</f>
        <v/>
      </c>
      <c r="BC268" s="4097">
        <f>IFERROR(G268/G$117,0)</f>
        <v/>
      </c>
      <c r="BD268" s="4097">
        <f>IFERROR(H268/H$117,0)</f>
        <v/>
      </c>
      <c r="BE268" s="4097">
        <f>IFERROR(I268/I$117,0)</f>
        <v/>
      </c>
      <c r="BF268" s="4097">
        <f>IFERROR(J268/J$117,0)</f>
        <v/>
      </c>
      <c r="BG268" s="4097">
        <f>IFERROR(K268/K$117,0)</f>
        <v/>
      </c>
      <c r="BH268" s="4097">
        <f>IFERROR(L268/L$117,0)</f>
        <v/>
      </c>
      <c r="BI268" s="4097">
        <f>IFERROR(M268/M$117,0)</f>
        <v/>
      </c>
      <c r="BJ268" s="4097">
        <f>IFERROR(N268/N$117,0)</f>
        <v/>
      </c>
      <c r="BK268" s="4097">
        <f>IFERROR(O268/O$117,0)</f>
        <v/>
      </c>
      <c r="BL268" s="4097">
        <f>IFERROR(P268/P$117,0)</f>
        <v/>
      </c>
      <c r="BM268" s="4098">
        <f>IFERROR(Q268/Q$117,0)</f>
        <v/>
      </c>
      <c r="BN268" s="4097">
        <f>IFERROR(R268/R$117,0)</f>
        <v/>
      </c>
      <c r="BO268" s="4097">
        <f>IFERROR(S268/S$117,0)</f>
        <v/>
      </c>
      <c r="BP268" s="4097">
        <f>IFERROR(T268/T$117,0)</f>
        <v/>
      </c>
      <c r="BQ268" s="4097">
        <f>IFERROR(U268/U$117,0)</f>
        <v/>
      </c>
      <c r="BR268" s="4097">
        <f>IFERROR(V268/V$117,0)</f>
        <v/>
      </c>
      <c r="BS268" s="4097">
        <f>IFERROR(W268/W$117,0)</f>
        <v/>
      </c>
      <c r="BT268" s="4097">
        <f>IFERROR(X268/X$117,0)</f>
        <v/>
      </c>
      <c r="BU268" s="4097">
        <f>IFERROR(Y268/Y$117,0)</f>
        <v/>
      </c>
      <c r="BV268" s="4097">
        <f>IFERROR(Z268/Z$117,0)</f>
        <v/>
      </c>
      <c r="BW268" s="4097">
        <f>IFERROR(AA268/AA$117,0)</f>
        <v/>
      </c>
      <c r="BX268" s="4097">
        <f>IFERROR(AB268/AB$117,0)</f>
        <v/>
      </c>
      <c r="BY268" s="4098">
        <f>IFERROR(AC268/AC$117,0)</f>
        <v/>
      </c>
      <c r="BZ268" s="4097">
        <f>IFERROR(AD268/AD$117,0)</f>
        <v/>
      </c>
      <c r="CA268" s="4097">
        <f>IFERROR(AE268/AE$117,0)</f>
        <v/>
      </c>
      <c r="CB268" s="4097">
        <f>IFERROR(AF268/AF$117,0)</f>
        <v/>
      </c>
      <c r="CC268" s="4097">
        <f>IFERROR(AG268/AG$117,0)</f>
        <v/>
      </c>
      <c r="CD268" s="4097">
        <f>IFERROR(AH268/AH$117,0)</f>
        <v/>
      </c>
      <c r="CE268" s="4097">
        <f>IFERROR(AI268/AI$117,0)</f>
        <v/>
      </c>
      <c r="CF268" s="4097">
        <f>IFERROR(AJ268/AJ$117,0)</f>
        <v/>
      </c>
      <c r="CG268" s="4097">
        <f>IFERROR(AK268/AK$117,0)</f>
        <v/>
      </c>
      <c r="CH268" s="4097">
        <f>IFERROR(AL268/AL$117,0)</f>
        <v/>
      </c>
      <c r="CI268" s="4097">
        <f>IFERROR(AM268/AM$117,0)</f>
        <v/>
      </c>
      <c r="CJ268" s="4097">
        <f>IFERROR(AN268/AN$117,0)</f>
        <v/>
      </c>
      <c r="CK268" s="4098">
        <f>IFERROR(AO268/AO$117,0)</f>
        <v/>
      </c>
      <c r="CL268" s="4097">
        <f>IFERROR(AP268/AP$117,0)</f>
        <v/>
      </c>
      <c r="CM268" s="4097">
        <f>IFERROR(AQ268/AQ$117,0)</f>
        <v/>
      </c>
      <c r="CN268" s="4097">
        <f>IFERROR(AR268/AR$117,0)</f>
        <v/>
      </c>
      <c r="CO268" s="4097">
        <f>IFERROR(AS268/AS$117,0)</f>
        <v/>
      </c>
      <c r="CP268" s="4097">
        <f>IFERROR(AT268/AT$117,0)</f>
        <v/>
      </c>
      <c r="CQ268" s="4099">
        <f>IFERROR(AU268/AU$117,0)</f>
        <v/>
      </c>
      <c r="CR268" s="4097">
        <f>IFERROR(AV268/AV$117,0)</f>
        <v/>
      </c>
      <c r="CS268" s="4097">
        <f>IFERROR(AW268/AW$117,0)</f>
        <v/>
      </c>
      <c r="CT268" s="4097">
        <f>IFERROR(AX268/AX$117,0)</f>
        <v/>
      </c>
      <c r="CU268" s="4097">
        <f>IFERROR(AY268/AY$117,0)</f>
        <v/>
      </c>
      <c r="CV268" s="4097">
        <f>IFERROR(AZ268/AZ$117,0)</f>
        <v/>
      </c>
      <c r="CW268" s="3737" t="n"/>
      <c r="CX268" s="4094" t="n">
        <v>-225.54396</v>
      </c>
    </row>
    <row r="269" hidden="1" outlineLevel="2" ht="12" customFormat="1" customHeight="1" s="3737">
      <c r="A269" s="4059" t="n"/>
      <c r="B269" s="4060" t="n"/>
      <c r="C269" s="4129" t="inlineStr">
        <is>
          <t>Cell phone expense</t>
        </is>
      </c>
      <c r="D269" s="4093" t="n">
        <v>551308</v>
      </c>
      <c r="E269" s="4093">
        <f>CONCATENATE(D269," - ",C269)</f>
        <v/>
      </c>
      <c r="F269" s="4094" t="n"/>
      <c r="G269" s="4094" t="n"/>
      <c r="H269" s="4094" t="n"/>
      <c r="I269" s="4094" t="n"/>
      <c r="J269" s="4094" t="n"/>
      <c r="K269" s="4094" t="n"/>
      <c r="L269" s="4094" t="n"/>
      <c r="M269" s="4094" t="n"/>
      <c r="N269" s="4094" t="n"/>
      <c r="O269" s="4094" t="n"/>
      <c r="P269" s="4094" t="n"/>
      <c r="Q269" s="4095" t="n"/>
      <c r="R269" s="4094" t="n"/>
      <c r="S269" s="4094" t="n"/>
      <c r="T269" s="4094" t="n"/>
      <c r="U269" s="4094" t="n"/>
      <c r="V269" s="4094" t="n"/>
      <c r="W269" s="4094" t="n"/>
      <c r="X269" s="4094" t="n"/>
      <c r="Y269" s="4094" t="n"/>
      <c r="Z269" s="4094" t="n"/>
      <c r="AA269" s="4094" t="n"/>
      <c r="AB269" s="4094" t="n"/>
      <c r="AC269" s="4095" t="n"/>
      <c r="AD269" s="4094" t="n"/>
      <c r="AE269" s="4094" t="n"/>
      <c r="AF269" s="4094" t="n"/>
      <c r="AG269" s="4094" t="n"/>
      <c r="AH269" s="4094" t="n"/>
      <c r="AI269" s="4094" t="n"/>
      <c r="AJ269" s="4094" t="n"/>
      <c r="AK269" s="4094" t="n"/>
      <c r="AL269" s="4094" t="n"/>
      <c r="AM269" s="4094" t="n"/>
      <c r="AN269" s="4094" t="n"/>
      <c r="AO269" s="4095" t="n"/>
      <c r="AP269" s="4094" t="n">
        <v>-4.74489</v>
      </c>
      <c r="AQ269" s="4094" t="n">
        <v>-3.16883</v>
      </c>
      <c r="AR269" s="4094" t="n">
        <v>-2.67127</v>
      </c>
      <c r="AS269" s="4094" t="n">
        <v>-3.26036</v>
      </c>
      <c r="AT269" s="4094" t="n">
        <v>-3.98006</v>
      </c>
      <c r="AU269" s="4096" t="n">
        <v>-4.06063</v>
      </c>
      <c r="AV269" s="4094">
        <f>SUM(F269:Q269)</f>
        <v/>
      </c>
      <c r="AW269" s="4094">
        <f>SUM(R269:AC269)</f>
        <v/>
      </c>
      <c r="AX269" s="4094">
        <f>SUM(AD269:AO269)</f>
        <v/>
      </c>
      <c r="AY269" s="4094">
        <f>SUM(AH269:AS269)</f>
        <v/>
      </c>
      <c r="AZ269" s="4094">
        <f>SUM(AJ269:AU269)</f>
        <v/>
      </c>
      <c r="BA269" s="3737" t="n"/>
      <c r="BB269" s="4097">
        <f>IFERROR(F269/F$117,0)</f>
        <v/>
      </c>
      <c r="BC269" s="4097">
        <f>IFERROR(G269/G$117,0)</f>
        <v/>
      </c>
      <c r="BD269" s="4097">
        <f>IFERROR(H269/H$117,0)</f>
        <v/>
      </c>
      <c r="BE269" s="4097">
        <f>IFERROR(I269/I$117,0)</f>
        <v/>
      </c>
      <c r="BF269" s="4097">
        <f>IFERROR(J269/J$117,0)</f>
        <v/>
      </c>
      <c r="BG269" s="4097">
        <f>IFERROR(K269/K$117,0)</f>
        <v/>
      </c>
      <c r="BH269" s="4097">
        <f>IFERROR(L269/L$117,0)</f>
        <v/>
      </c>
      <c r="BI269" s="4097">
        <f>IFERROR(M269/M$117,0)</f>
        <v/>
      </c>
      <c r="BJ269" s="4097">
        <f>IFERROR(N269/N$117,0)</f>
        <v/>
      </c>
      <c r="BK269" s="4097">
        <f>IFERROR(O269/O$117,0)</f>
        <v/>
      </c>
      <c r="BL269" s="4097">
        <f>IFERROR(P269/P$117,0)</f>
        <v/>
      </c>
      <c r="BM269" s="4098">
        <f>IFERROR(Q269/Q$117,0)</f>
        <v/>
      </c>
      <c r="BN269" s="4097">
        <f>IFERROR(R269/R$117,0)</f>
        <v/>
      </c>
      <c r="BO269" s="4097">
        <f>IFERROR(S269/S$117,0)</f>
        <v/>
      </c>
      <c r="BP269" s="4097">
        <f>IFERROR(T269/T$117,0)</f>
        <v/>
      </c>
      <c r="BQ269" s="4097">
        <f>IFERROR(U269/U$117,0)</f>
        <v/>
      </c>
      <c r="BR269" s="4097">
        <f>IFERROR(V269/V$117,0)</f>
        <v/>
      </c>
      <c r="BS269" s="4097">
        <f>IFERROR(W269/W$117,0)</f>
        <v/>
      </c>
      <c r="BT269" s="4097">
        <f>IFERROR(X269/X$117,0)</f>
        <v/>
      </c>
      <c r="BU269" s="4097">
        <f>IFERROR(Y269/Y$117,0)</f>
        <v/>
      </c>
      <c r="BV269" s="4097">
        <f>IFERROR(Z269/Z$117,0)</f>
        <v/>
      </c>
      <c r="BW269" s="4097">
        <f>IFERROR(AA269/AA$117,0)</f>
        <v/>
      </c>
      <c r="BX269" s="4097">
        <f>IFERROR(AB269/AB$117,0)</f>
        <v/>
      </c>
      <c r="BY269" s="4098">
        <f>IFERROR(AC269/AC$117,0)</f>
        <v/>
      </c>
      <c r="BZ269" s="4097">
        <f>IFERROR(AD269/AD$117,0)</f>
        <v/>
      </c>
      <c r="CA269" s="4097">
        <f>IFERROR(AE269/AE$117,0)</f>
        <v/>
      </c>
      <c r="CB269" s="4097">
        <f>IFERROR(AF269/AF$117,0)</f>
        <v/>
      </c>
      <c r="CC269" s="4097">
        <f>IFERROR(AG269/AG$117,0)</f>
        <v/>
      </c>
      <c r="CD269" s="4097">
        <f>IFERROR(AH269/AH$117,0)</f>
        <v/>
      </c>
      <c r="CE269" s="4097">
        <f>IFERROR(AI269/AI$117,0)</f>
        <v/>
      </c>
      <c r="CF269" s="4097">
        <f>IFERROR(AJ269/AJ$117,0)</f>
        <v/>
      </c>
      <c r="CG269" s="4097">
        <f>IFERROR(AK269/AK$117,0)</f>
        <v/>
      </c>
      <c r="CH269" s="4097">
        <f>IFERROR(AL269/AL$117,0)</f>
        <v/>
      </c>
      <c r="CI269" s="4097">
        <f>IFERROR(AM269/AM$117,0)</f>
        <v/>
      </c>
      <c r="CJ269" s="4097">
        <f>IFERROR(AN269/AN$117,0)</f>
        <v/>
      </c>
      <c r="CK269" s="4098">
        <f>IFERROR(AO269/AO$117,0)</f>
        <v/>
      </c>
      <c r="CL269" s="4097">
        <f>IFERROR(AP269/AP$117,0)</f>
        <v/>
      </c>
      <c r="CM269" s="4097">
        <f>IFERROR(AQ269/AQ$117,0)</f>
        <v/>
      </c>
      <c r="CN269" s="4097">
        <f>IFERROR(AR269/AR$117,0)</f>
        <v/>
      </c>
      <c r="CO269" s="4097">
        <f>IFERROR(AS269/AS$117,0)</f>
        <v/>
      </c>
      <c r="CP269" s="4097">
        <f>IFERROR(AT269/AT$117,0)</f>
        <v/>
      </c>
      <c r="CQ269" s="4099">
        <f>IFERROR(AU269/AU$117,0)</f>
        <v/>
      </c>
      <c r="CR269" s="4097">
        <f>IFERROR(AV269/AV$117,0)</f>
        <v/>
      </c>
      <c r="CS269" s="4097">
        <f>IFERROR(AW269/AW$117,0)</f>
        <v/>
      </c>
      <c r="CT269" s="4097">
        <f>IFERROR(AX269/AX$117,0)</f>
        <v/>
      </c>
      <c r="CU269" s="4097">
        <f>IFERROR(AY269/AY$117,0)</f>
        <v/>
      </c>
      <c r="CV269" s="4097">
        <f>IFERROR(AZ269/AZ$117,0)</f>
        <v/>
      </c>
      <c r="CW269" s="3737" t="n"/>
      <c r="CX269" s="4094" t="n">
        <v>-39.89731</v>
      </c>
    </row>
    <row r="270" hidden="1" outlineLevel="2" ht="12" customFormat="1" customHeight="1" s="3737">
      <c r="A270" s="4059" t="n"/>
      <c r="B270" s="4060" t="n"/>
      <c r="C270" s="4138" t="inlineStr">
        <is>
          <t>Teleconferencing charges</t>
        </is>
      </c>
      <c r="D270" s="4101" t="n">
        <v>551311</v>
      </c>
      <c r="E270" s="4101">
        <f>CONCATENATE(D270," - ",C270)</f>
        <v/>
      </c>
      <c r="F270" s="4102" t="n"/>
      <c r="G270" s="4102" t="n"/>
      <c r="H270" s="4102" t="n"/>
      <c r="I270" s="4102" t="n"/>
      <c r="J270" s="4102" t="n"/>
      <c r="K270" s="4102" t="n"/>
      <c r="L270" s="4102" t="n"/>
      <c r="M270" s="4102" t="n"/>
      <c r="N270" s="4102" t="n"/>
      <c r="O270" s="4102" t="n"/>
      <c r="P270" s="4102" t="n"/>
      <c r="Q270" s="4103" t="n"/>
      <c r="R270" s="4102" t="n"/>
      <c r="S270" s="4102" t="n"/>
      <c r="T270" s="4102" t="n"/>
      <c r="U270" s="4102" t="n"/>
      <c r="V270" s="4102" t="n"/>
      <c r="W270" s="4102" t="n"/>
      <c r="X270" s="4102" t="n"/>
      <c r="Y270" s="4102" t="n"/>
      <c r="Z270" s="4102" t="n"/>
      <c r="AA270" s="4102" t="n"/>
      <c r="AB270" s="4102" t="n"/>
      <c r="AC270" s="4103" t="n"/>
      <c r="AD270" s="4102" t="n"/>
      <c r="AE270" s="4102" t="n"/>
      <c r="AF270" s="4102" t="n"/>
      <c r="AG270" s="4102" t="n"/>
      <c r="AH270" s="4102" t="n"/>
      <c r="AI270" s="4102" t="n"/>
      <c r="AJ270" s="4102" t="n"/>
      <c r="AK270" s="4102" t="n"/>
      <c r="AL270" s="4102" t="n"/>
      <c r="AM270" s="4102" t="n"/>
      <c r="AN270" s="4102" t="n"/>
      <c r="AO270" s="4103" t="n"/>
      <c r="AP270" s="4102" t="n">
        <v>-0.72141</v>
      </c>
      <c r="AQ270" s="4102" t="n">
        <v>-0.62824</v>
      </c>
      <c r="AR270" s="4102" t="n">
        <v>-0.81706</v>
      </c>
      <c r="AS270" s="4102" t="n">
        <v>-0.7226399999999999</v>
      </c>
      <c r="AT270" s="4102" t="n">
        <v>-0.6600200000000001</v>
      </c>
      <c r="AU270" s="4104" t="n">
        <v>-0.66001</v>
      </c>
      <c r="AV270" s="4102">
        <f>SUM(F270:Q270)</f>
        <v/>
      </c>
      <c r="AW270" s="4102">
        <f>SUM(R270:AC270)</f>
        <v/>
      </c>
      <c r="AX270" s="4102">
        <f>SUM(AD270:AO270)</f>
        <v/>
      </c>
      <c r="AY270" s="4102">
        <f>SUM(AH270:AS270)</f>
        <v/>
      </c>
      <c r="AZ270" s="4102">
        <f>SUM(AJ270:AU270)</f>
        <v/>
      </c>
      <c r="BA270" s="3737" t="n"/>
      <c r="BB270" s="4105">
        <f>IFERROR(F270/F$117,0)</f>
        <v/>
      </c>
      <c r="BC270" s="4105">
        <f>IFERROR(G270/G$117,0)</f>
        <v/>
      </c>
      <c r="BD270" s="4105">
        <f>IFERROR(H270/H$117,0)</f>
        <v/>
      </c>
      <c r="BE270" s="4105">
        <f>IFERROR(I270/I$117,0)</f>
        <v/>
      </c>
      <c r="BF270" s="4105">
        <f>IFERROR(J270/J$117,0)</f>
        <v/>
      </c>
      <c r="BG270" s="4105">
        <f>IFERROR(K270/K$117,0)</f>
        <v/>
      </c>
      <c r="BH270" s="4105">
        <f>IFERROR(L270/L$117,0)</f>
        <v/>
      </c>
      <c r="BI270" s="4105">
        <f>IFERROR(M270/M$117,0)</f>
        <v/>
      </c>
      <c r="BJ270" s="4105">
        <f>IFERROR(N270/N$117,0)</f>
        <v/>
      </c>
      <c r="BK270" s="4105">
        <f>IFERROR(O270/O$117,0)</f>
        <v/>
      </c>
      <c r="BL270" s="4105">
        <f>IFERROR(P270/P$117,0)</f>
        <v/>
      </c>
      <c r="BM270" s="4106">
        <f>IFERROR(Q270/Q$117,0)</f>
        <v/>
      </c>
      <c r="BN270" s="4105">
        <f>IFERROR(R270/R$117,0)</f>
        <v/>
      </c>
      <c r="BO270" s="4105">
        <f>IFERROR(S270/S$117,0)</f>
        <v/>
      </c>
      <c r="BP270" s="4105">
        <f>IFERROR(T270/T$117,0)</f>
        <v/>
      </c>
      <c r="BQ270" s="4105">
        <f>IFERROR(U270/U$117,0)</f>
        <v/>
      </c>
      <c r="BR270" s="4105">
        <f>IFERROR(V270/V$117,0)</f>
        <v/>
      </c>
      <c r="BS270" s="4105">
        <f>IFERROR(W270/W$117,0)</f>
        <v/>
      </c>
      <c r="BT270" s="4105">
        <f>IFERROR(X270/X$117,0)</f>
        <v/>
      </c>
      <c r="BU270" s="4105">
        <f>IFERROR(Y270/Y$117,0)</f>
        <v/>
      </c>
      <c r="BV270" s="4105">
        <f>IFERROR(Z270/Z$117,0)</f>
        <v/>
      </c>
      <c r="BW270" s="4105">
        <f>IFERROR(AA270/AA$117,0)</f>
        <v/>
      </c>
      <c r="BX270" s="4105">
        <f>IFERROR(AB270/AB$117,0)</f>
        <v/>
      </c>
      <c r="BY270" s="4106">
        <f>IFERROR(AC270/AC$117,0)</f>
        <v/>
      </c>
      <c r="BZ270" s="4105">
        <f>IFERROR(AD270/AD$117,0)</f>
        <v/>
      </c>
      <c r="CA270" s="4105">
        <f>IFERROR(AE270/AE$117,0)</f>
        <v/>
      </c>
      <c r="CB270" s="4105">
        <f>IFERROR(AF270/AF$117,0)</f>
        <v/>
      </c>
      <c r="CC270" s="4105">
        <f>IFERROR(AG270/AG$117,0)</f>
        <v/>
      </c>
      <c r="CD270" s="4105">
        <f>IFERROR(AH270/AH$117,0)</f>
        <v/>
      </c>
      <c r="CE270" s="4105">
        <f>IFERROR(AI270/AI$117,0)</f>
        <v/>
      </c>
      <c r="CF270" s="4105">
        <f>IFERROR(AJ270/AJ$117,0)</f>
        <v/>
      </c>
      <c r="CG270" s="4105">
        <f>IFERROR(AK270/AK$117,0)</f>
        <v/>
      </c>
      <c r="CH270" s="4105">
        <f>IFERROR(AL270/AL$117,0)</f>
        <v/>
      </c>
      <c r="CI270" s="4105">
        <f>IFERROR(AM270/AM$117,0)</f>
        <v/>
      </c>
      <c r="CJ270" s="4105">
        <f>IFERROR(AN270/AN$117,0)</f>
        <v/>
      </c>
      <c r="CK270" s="4106">
        <f>IFERROR(AO270/AO$117,0)</f>
        <v/>
      </c>
      <c r="CL270" s="4105">
        <f>IFERROR(AP270/AP$117,0)</f>
        <v/>
      </c>
      <c r="CM270" s="4105">
        <f>IFERROR(AQ270/AQ$117,0)</f>
        <v/>
      </c>
      <c r="CN270" s="4105">
        <f>IFERROR(AR270/AR$117,0)</f>
        <v/>
      </c>
      <c r="CO270" s="4105">
        <f>IFERROR(AS270/AS$117,0)</f>
        <v/>
      </c>
      <c r="CP270" s="4105">
        <f>IFERROR(AT270/AT$117,0)</f>
        <v/>
      </c>
      <c r="CQ270" s="4107">
        <f>IFERROR(AU270/AU$117,0)</f>
        <v/>
      </c>
      <c r="CR270" s="4105">
        <f>IFERROR(AV270/AV$117,0)</f>
        <v/>
      </c>
      <c r="CS270" s="4105">
        <f>IFERROR(AW270/AW$117,0)</f>
        <v/>
      </c>
      <c r="CT270" s="4105">
        <f>IFERROR(AX270/AX$117,0)</f>
        <v/>
      </c>
      <c r="CU270" s="4105">
        <f>IFERROR(AY270/AY$117,0)</f>
        <v/>
      </c>
      <c r="CV270" s="4105">
        <f>IFERROR(AZ270/AZ$117,0)</f>
        <v/>
      </c>
      <c r="CW270" s="3737" t="n"/>
      <c r="CX270" s="4102" t="n">
        <v>-25.14038</v>
      </c>
    </row>
    <row r="271" hidden="1" outlineLevel="1" collapsed="1" ht="12" customFormat="1" customHeight="1" s="3737">
      <c r="A271" s="4059" t="n"/>
      <c r="B271" s="4060" t="n"/>
      <c r="C271" s="4109" t="inlineStr">
        <is>
          <t>Office telecomm, cellular &amp; email</t>
        </is>
      </c>
      <c r="D271" s="4093" t="n"/>
      <c r="E271" s="4093" t="n"/>
      <c r="F271" s="4094" t="n"/>
      <c r="G271" s="4094" t="n"/>
      <c r="H271" s="4094" t="n"/>
      <c r="I271" s="4094" t="n"/>
      <c r="J271" s="4094" t="n"/>
      <c r="K271" s="4094" t="n"/>
      <c r="L271" s="4094" t="n"/>
      <c r="M271" s="4094" t="n"/>
      <c r="N271" s="4094" t="n"/>
      <c r="O271" s="4094" t="n"/>
      <c r="P271" s="4094" t="n"/>
      <c r="Q271" s="4095" t="n"/>
      <c r="R271" s="4094" t="n"/>
      <c r="S271" s="4094" t="n"/>
      <c r="T271" s="4094" t="n"/>
      <c r="U271" s="4094" t="n"/>
      <c r="V271" s="4094" t="n"/>
      <c r="W271" s="4094" t="n"/>
      <c r="X271" s="4094" t="n"/>
      <c r="Y271" s="4094" t="n"/>
      <c r="Z271" s="4094" t="n"/>
      <c r="AA271" s="4094" t="n"/>
      <c r="AB271" s="4094" t="n"/>
      <c r="AC271" s="4095" t="n"/>
      <c r="AD271" s="4094" t="n"/>
      <c r="AE271" s="4094" t="n"/>
      <c r="AF271" s="4094" t="n"/>
      <c r="AG271" s="4094" t="n"/>
      <c r="AH271" s="4094" t="n"/>
      <c r="AI271" s="4094" t="n"/>
      <c r="AJ271" s="4094" t="n"/>
      <c r="AK271" s="4094" t="n"/>
      <c r="AL271" s="4094" t="n"/>
      <c r="AM271" s="4094" t="n"/>
      <c r="AN271" s="4094" t="n"/>
      <c r="AO271" s="4095" t="n"/>
      <c r="AP271" s="4094">
        <f>SUM(AP265:AP270)</f>
        <v/>
      </c>
      <c r="AQ271" s="4094">
        <f>SUM(AQ265:AQ270)</f>
        <v/>
      </c>
      <c r="AR271" s="4094">
        <f>SUM(AR265:AR270)</f>
        <v/>
      </c>
      <c r="AS271" s="4094">
        <f>SUM(AS265:AS270)</f>
        <v/>
      </c>
      <c r="AT271" s="4094">
        <f>SUM(AT265:AT270)</f>
        <v/>
      </c>
      <c r="AU271" s="4096">
        <f>SUM(AU265:AU270)</f>
        <v/>
      </c>
      <c r="AV271" s="4094">
        <f>SUM(AV265:AV270)</f>
        <v/>
      </c>
      <c r="AW271" s="4094">
        <f>SUM(AW265:AW270)</f>
        <v/>
      </c>
      <c r="AX271" s="4094">
        <f>SUM(AX265:AX270)</f>
        <v/>
      </c>
      <c r="AY271" s="4094">
        <f>SUM(AY265:AY270)</f>
        <v/>
      </c>
      <c r="AZ271" s="4094">
        <f>SUM(AZ265:AZ270)</f>
        <v/>
      </c>
      <c r="BA271" s="3737" t="n"/>
      <c r="BB271" s="4097">
        <f>IFERROR(F271/F$117,0)</f>
        <v/>
      </c>
      <c r="BC271" s="4097">
        <f>IFERROR(G271/G$117,0)</f>
        <v/>
      </c>
      <c r="BD271" s="4097">
        <f>IFERROR(H271/H$117,0)</f>
        <v/>
      </c>
      <c r="BE271" s="4097">
        <f>IFERROR(I271/I$117,0)</f>
        <v/>
      </c>
      <c r="BF271" s="4097">
        <f>IFERROR(J271/J$117,0)</f>
        <v/>
      </c>
      <c r="BG271" s="4097">
        <f>IFERROR(K271/K$117,0)</f>
        <v/>
      </c>
      <c r="BH271" s="4097">
        <f>IFERROR(L271/L$117,0)</f>
        <v/>
      </c>
      <c r="BI271" s="4097">
        <f>IFERROR(M271/M$117,0)</f>
        <v/>
      </c>
      <c r="BJ271" s="4097">
        <f>IFERROR(N271/N$117,0)</f>
        <v/>
      </c>
      <c r="BK271" s="4097">
        <f>IFERROR(O271/O$117,0)</f>
        <v/>
      </c>
      <c r="BL271" s="4097">
        <f>IFERROR(P271/P$117,0)</f>
        <v/>
      </c>
      <c r="BM271" s="4098">
        <f>IFERROR(Q271/Q$117,0)</f>
        <v/>
      </c>
      <c r="BN271" s="4097">
        <f>IFERROR(R271/R$117,0)</f>
        <v/>
      </c>
      <c r="BO271" s="4097">
        <f>IFERROR(S271/S$117,0)</f>
        <v/>
      </c>
      <c r="BP271" s="4097">
        <f>IFERROR(T271/T$117,0)</f>
        <v/>
      </c>
      <c r="BQ271" s="4097">
        <f>IFERROR(U271/U$117,0)</f>
        <v/>
      </c>
      <c r="BR271" s="4097">
        <f>IFERROR(V271/V$117,0)</f>
        <v/>
      </c>
      <c r="BS271" s="4097">
        <f>IFERROR(W271/W$117,0)</f>
        <v/>
      </c>
      <c r="BT271" s="4097">
        <f>IFERROR(X271/X$117,0)</f>
        <v/>
      </c>
      <c r="BU271" s="4097">
        <f>IFERROR(Y271/Y$117,0)</f>
        <v/>
      </c>
      <c r="BV271" s="4097">
        <f>IFERROR(Z271/Z$117,0)</f>
        <v/>
      </c>
      <c r="BW271" s="4097">
        <f>IFERROR(AA271/AA$117,0)</f>
        <v/>
      </c>
      <c r="BX271" s="4097">
        <f>IFERROR(AB271/AB$117,0)</f>
        <v/>
      </c>
      <c r="BY271" s="4098">
        <f>IFERROR(AC271/AC$117,0)</f>
        <v/>
      </c>
      <c r="BZ271" s="4097">
        <f>IFERROR(AD271/AD$117,0)</f>
        <v/>
      </c>
      <c r="CA271" s="4097">
        <f>IFERROR(AE271/AE$117,0)</f>
        <v/>
      </c>
      <c r="CB271" s="4097">
        <f>IFERROR(AF271/AF$117,0)</f>
        <v/>
      </c>
      <c r="CC271" s="4097">
        <f>IFERROR(AG271/AG$117,0)</f>
        <v/>
      </c>
      <c r="CD271" s="4097">
        <f>IFERROR(AH271/AH$117,0)</f>
        <v/>
      </c>
      <c r="CE271" s="4097">
        <f>IFERROR(AI271/AI$117,0)</f>
        <v/>
      </c>
      <c r="CF271" s="4097">
        <f>IFERROR(AJ271/AJ$117,0)</f>
        <v/>
      </c>
      <c r="CG271" s="4097">
        <f>IFERROR(AK271/AK$117,0)</f>
        <v/>
      </c>
      <c r="CH271" s="4097">
        <f>IFERROR(AL271/AL$117,0)</f>
        <v/>
      </c>
      <c r="CI271" s="4097">
        <f>IFERROR(AM271/AM$117,0)</f>
        <v/>
      </c>
      <c r="CJ271" s="4097">
        <f>IFERROR(AN271/AN$117,0)</f>
        <v/>
      </c>
      <c r="CK271" s="4098">
        <f>IFERROR(AO271/AO$117,0)</f>
        <v/>
      </c>
      <c r="CL271" s="4097">
        <f>IFERROR(AP271/AP$117,0)</f>
        <v/>
      </c>
      <c r="CM271" s="4097">
        <f>IFERROR(AQ271/AQ$117,0)</f>
        <v/>
      </c>
      <c r="CN271" s="4097">
        <f>IFERROR(AR271/AR$117,0)</f>
        <v/>
      </c>
      <c r="CO271" s="4097">
        <f>IFERROR(AS271/AS$117,0)</f>
        <v/>
      </c>
      <c r="CP271" s="4097">
        <f>IFERROR(AT271/AT$117,0)</f>
        <v/>
      </c>
      <c r="CQ271" s="4099">
        <f>IFERROR(AU271/AU$117,0)</f>
        <v/>
      </c>
      <c r="CR271" s="4097">
        <f>IFERROR(AV271/AV$117,0)</f>
        <v/>
      </c>
      <c r="CS271" s="4097">
        <f>IFERROR(AW271/AW$117,0)</f>
        <v/>
      </c>
      <c r="CT271" s="4097">
        <f>IFERROR(AX271/AX$117,0)</f>
        <v/>
      </c>
      <c r="CU271" s="4097">
        <f>IFERROR(AY271/AY$117,0)</f>
        <v/>
      </c>
      <c r="CV271" s="4097">
        <f>IFERROR(AZ271/AZ$117,0)</f>
        <v/>
      </c>
      <c r="CW271" s="3737" t="n"/>
      <c r="CX271" s="4094">
        <f>SUM(CX265:CX270)</f>
        <v/>
      </c>
    </row>
    <row r="272" hidden="1" outlineLevel="2" ht="12" customFormat="1" customHeight="1" s="3737">
      <c r="A272" s="4059" t="n"/>
      <c r="B272" s="4060" t="n"/>
      <c r="C272" s="4138" t="inlineStr">
        <is>
          <t>Ifrs16 rent expense adjustment</t>
        </is>
      </c>
      <c r="D272" s="4101" t="n">
        <v>551216</v>
      </c>
      <c r="E272" s="4101">
        <f>CONCATENATE(D272," - ",C272)</f>
        <v/>
      </c>
      <c r="F272" s="4102" t="n"/>
      <c r="G272" s="4102" t="n"/>
      <c r="H272" s="4102" t="n"/>
      <c r="I272" s="4102" t="n"/>
      <c r="J272" s="4102" t="n"/>
      <c r="K272" s="4102" t="n"/>
      <c r="L272" s="4102" t="n"/>
      <c r="M272" s="4102" t="n"/>
      <c r="N272" s="4102" t="n"/>
      <c r="O272" s="4102" t="n"/>
      <c r="P272" s="4102" t="n"/>
      <c r="Q272" s="4103" t="n"/>
      <c r="R272" s="4102" t="n"/>
      <c r="S272" s="4102" t="n"/>
      <c r="T272" s="4102" t="n"/>
      <c r="U272" s="4102" t="n"/>
      <c r="V272" s="4102" t="n"/>
      <c r="W272" s="4102" t="n"/>
      <c r="X272" s="4102" t="n"/>
      <c r="Y272" s="4102" t="n"/>
      <c r="Z272" s="4102" t="n"/>
      <c r="AA272" s="4102" t="n"/>
      <c r="AB272" s="4102" t="n"/>
      <c r="AC272" s="4103" t="n"/>
      <c r="AD272" s="4102" t="n"/>
      <c r="AE272" s="4102" t="n"/>
      <c r="AF272" s="4102" t="n"/>
      <c r="AG272" s="4102" t="n"/>
      <c r="AH272" s="4102" t="n"/>
      <c r="AI272" s="4102" t="n"/>
      <c r="AJ272" s="4102" t="n"/>
      <c r="AK272" s="4102" t="n"/>
      <c r="AL272" s="4102" t="n"/>
      <c r="AM272" s="4102" t="n"/>
      <c r="AN272" s="4102" t="n"/>
      <c r="AO272" s="4103" t="n"/>
      <c r="AP272" s="4102" t="n">
        <v>23.37641</v>
      </c>
      <c r="AQ272" s="4102" t="n">
        <v>23.37641</v>
      </c>
      <c r="AR272" s="4102" t="n">
        <v>23.37641</v>
      </c>
      <c r="AS272" s="4102" t="n">
        <v>23.37641</v>
      </c>
      <c r="AT272" s="4102" t="n">
        <v>23.37641</v>
      </c>
      <c r="AU272" s="4104" t="n">
        <v>23.37641</v>
      </c>
      <c r="AV272" s="4102">
        <f>SUM(F272:Q272)</f>
        <v/>
      </c>
      <c r="AW272" s="4102">
        <f>SUM(R272:AC272)</f>
        <v/>
      </c>
      <c r="AX272" s="4102">
        <f>SUM(AD272:AO272)</f>
        <v/>
      </c>
      <c r="AY272" s="4102">
        <f>SUM(AH272:AS272)</f>
        <v/>
      </c>
      <c r="AZ272" s="4102">
        <f>SUM(AJ272:AU272)</f>
        <v/>
      </c>
      <c r="BA272" s="3737" t="n"/>
      <c r="BB272" s="4105">
        <f>IFERROR(F272/F$117,0)</f>
        <v/>
      </c>
      <c r="BC272" s="4105">
        <f>IFERROR(G272/G$117,0)</f>
        <v/>
      </c>
      <c r="BD272" s="4105">
        <f>IFERROR(H272/H$117,0)</f>
        <v/>
      </c>
      <c r="BE272" s="4105">
        <f>IFERROR(I272/I$117,0)</f>
        <v/>
      </c>
      <c r="BF272" s="4105">
        <f>IFERROR(J272/J$117,0)</f>
        <v/>
      </c>
      <c r="BG272" s="4105">
        <f>IFERROR(K272/K$117,0)</f>
        <v/>
      </c>
      <c r="BH272" s="4105">
        <f>IFERROR(L272/L$117,0)</f>
        <v/>
      </c>
      <c r="BI272" s="4105">
        <f>IFERROR(M272/M$117,0)</f>
        <v/>
      </c>
      <c r="BJ272" s="4105">
        <f>IFERROR(N272/N$117,0)</f>
        <v/>
      </c>
      <c r="BK272" s="4105">
        <f>IFERROR(O272/O$117,0)</f>
        <v/>
      </c>
      <c r="BL272" s="4105">
        <f>IFERROR(P272/P$117,0)</f>
        <v/>
      </c>
      <c r="BM272" s="4106">
        <f>IFERROR(Q272/Q$117,0)</f>
        <v/>
      </c>
      <c r="BN272" s="4105">
        <f>IFERROR(R272/R$117,0)</f>
        <v/>
      </c>
      <c r="BO272" s="4105">
        <f>IFERROR(S272/S$117,0)</f>
        <v/>
      </c>
      <c r="BP272" s="4105">
        <f>IFERROR(T272/T$117,0)</f>
        <v/>
      </c>
      <c r="BQ272" s="4105">
        <f>IFERROR(U272/U$117,0)</f>
        <v/>
      </c>
      <c r="BR272" s="4105">
        <f>IFERROR(V272/V$117,0)</f>
        <v/>
      </c>
      <c r="BS272" s="4105">
        <f>IFERROR(W272/W$117,0)</f>
        <v/>
      </c>
      <c r="BT272" s="4105">
        <f>IFERROR(X272/X$117,0)</f>
        <v/>
      </c>
      <c r="BU272" s="4105">
        <f>IFERROR(Y272/Y$117,0)</f>
        <v/>
      </c>
      <c r="BV272" s="4105">
        <f>IFERROR(Z272/Z$117,0)</f>
        <v/>
      </c>
      <c r="BW272" s="4105">
        <f>IFERROR(AA272/AA$117,0)</f>
        <v/>
      </c>
      <c r="BX272" s="4105">
        <f>IFERROR(AB272/AB$117,0)</f>
        <v/>
      </c>
      <c r="BY272" s="4106">
        <f>IFERROR(AC272/AC$117,0)</f>
        <v/>
      </c>
      <c r="BZ272" s="4105">
        <f>IFERROR(AD272/AD$117,0)</f>
        <v/>
      </c>
      <c r="CA272" s="4105">
        <f>IFERROR(AE272/AE$117,0)</f>
        <v/>
      </c>
      <c r="CB272" s="4105">
        <f>IFERROR(AF272/AF$117,0)</f>
        <v/>
      </c>
      <c r="CC272" s="4105">
        <f>IFERROR(AG272/AG$117,0)</f>
        <v/>
      </c>
      <c r="CD272" s="4105">
        <f>IFERROR(AH272/AH$117,0)</f>
        <v/>
      </c>
      <c r="CE272" s="4105">
        <f>IFERROR(AI272/AI$117,0)</f>
        <v/>
      </c>
      <c r="CF272" s="4105">
        <f>IFERROR(AJ272/AJ$117,0)</f>
        <v/>
      </c>
      <c r="CG272" s="4105">
        <f>IFERROR(AK272/AK$117,0)</f>
        <v/>
      </c>
      <c r="CH272" s="4105">
        <f>IFERROR(AL272/AL$117,0)</f>
        <v/>
      </c>
      <c r="CI272" s="4105">
        <f>IFERROR(AM272/AM$117,0)</f>
        <v/>
      </c>
      <c r="CJ272" s="4105">
        <f>IFERROR(AN272/AN$117,0)</f>
        <v/>
      </c>
      <c r="CK272" s="4106">
        <f>IFERROR(AO272/AO$117,0)</f>
        <v/>
      </c>
      <c r="CL272" s="4105">
        <f>IFERROR(AP272/AP$117,0)</f>
        <v/>
      </c>
      <c r="CM272" s="4105">
        <f>IFERROR(AQ272/AQ$117,0)</f>
        <v/>
      </c>
      <c r="CN272" s="4105">
        <f>IFERROR(AR272/AR$117,0)</f>
        <v/>
      </c>
      <c r="CO272" s="4105">
        <f>IFERROR(AS272/AS$117,0)</f>
        <v/>
      </c>
      <c r="CP272" s="4105">
        <f>IFERROR(AT272/AT$117,0)</f>
        <v/>
      </c>
      <c r="CQ272" s="4107">
        <f>IFERROR(AU272/AU$117,0)</f>
        <v/>
      </c>
      <c r="CR272" s="4105">
        <f>IFERROR(AV272/AV$117,0)</f>
        <v/>
      </c>
      <c r="CS272" s="4105">
        <f>IFERROR(AW272/AW$117,0)</f>
        <v/>
      </c>
      <c r="CT272" s="4105">
        <f>IFERROR(AX272/AX$117,0)</f>
        <v/>
      </c>
      <c r="CU272" s="4105">
        <f>IFERROR(AY272/AY$117,0)</f>
        <v/>
      </c>
      <c r="CV272" s="4105">
        <f>IFERROR(AZ272/AZ$117,0)</f>
        <v/>
      </c>
      <c r="CW272" s="3737" t="n"/>
      <c r="CX272" s="4102" t="n">
        <v>248.5269</v>
      </c>
    </row>
    <row r="273" hidden="1" outlineLevel="1" collapsed="1" ht="12" customFormat="1" customHeight="1" s="3737">
      <c r="A273" s="4059" t="n"/>
      <c r="B273" s="4060" t="n"/>
      <c r="C273" s="4092" t="inlineStr">
        <is>
          <t>Ifrs16 rent expense adjustment</t>
        </is>
      </c>
      <c r="D273" s="4093" t="n"/>
      <c r="E273" s="4093" t="n"/>
      <c r="F273" s="4094" t="n"/>
      <c r="G273" s="4094" t="n"/>
      <c r="H273" s="4094" t="n"/>
      <c r="I273" s="4094" t="n"/>
      <c r="J273" s="4094" t="n"/>
      <c r="K273" s="4094" t="n"/>
      <c r="L273" s="4094" t="n"/>
      <c r="M273" s="4094" t="n"/>
      <c r="N273" s="4094" t="n"/>
      <c r="O273" s="4094" t="n"/>
      <c r="P273" s="4094" t="n"/>
      <c r="Q273" s="4095" t="n"/>
      <c r="R273" s="4094" t="n"/>
      <c r="S273" s="4094" t="n"/>
      <c r="T273" s="4094" t="n"/>
      <c r="U273" s="4094" t="n"/>
      <c r="V273" s="4094" t="n"/>
      <c r="W273" s="4094" t="n"/>
      <c r="X273" s="4094" t="n"/>
      <c r="Y273" s="4094" t="n"/>
      <c r="Z273" s="4094" t="n"/>
      <c r="AA273" s="4094" t="n"/>
      <c r="AB273" s="4094" t="n"/>
      <c r="AC273" s="4095" t="n"/>
      <c r="AD273" s="4094" t="n"/>
      <c r="AE273" s="4094" t="n"/>
      <c r="AF273" s="4094" t="n"/>
      <c r="AG273" s="4094" t="n"/>
      <c r="AH273" s="4094" t="n"/>
      <c r="AI273" s="4094" t="n"/>
      <c r="AJ273" s="4094" t="n"/>
      <c r="AK273" s="4094" t="n"/>
      <c r="AL273" s="4094" t="n"/>
      <c r="AM273" s="4094" t="n"/>
      <c r="AN273" s="4094" t="n"/>
      <c r="AO273" s="4095" t="n"/>
      <c r="AP273" s="4094">
        <f>SUM(AP272)</f>
        <v/>
      </c>
      <c r="AQ273" s="4094">
        <f>SUM(AQ272)</f>
        <v/>
      </c>
      <c r="AR273" s="4094">
        <f>SUM(AR272)</f>
        <v/>
      </c>
      <c r="AS273" s="4094">
        <f>SUM(AS272)</f>
        <v/>
      </c>
      <c r="AT273" s="4094">
        <f>SUM(AT272)</f>
        <v/>
      </c>
      <c r="AU273" s="4096">
        <f>SUM(AU272)</f>
        <v/>
      </c>
      <c r="AV273" s="4094">
        <f>SUM(AV272)</f>
        <v/>
      </c>
      <c r="AW273" s="4094">
        <f>SUM(AW272)</f>
        <v/>
      </c>
      <c r="AX273" s="4094">
        <f>SUM(AX272)</f>
        <v/>
      </c>
      <c r="AY273" s="4094">
        <f>SUM(AY272)</f>
        <v/>
      </c>
      <c r="AZ273" s="4094">
        <f>SUM(AZ272)</f>
        <v/>
      </c>
      <c r="BA273" s="3737" t="n"/>
      <c r="BB273" s="4097">
        <f>IFERROR(F273/F$117,0)</f>
        <v/>
      </c>
      <c r="BC273" s="4097">
        <f>IFERROR(G273/G$117,0)</f>
        <v/>
      </c>
      <c r="BD273" s="4097">
        <f>IFERROR(H273/H$117,0)</f>
        <v/>
      </c>
      <c r="BE273" s="4097">
        <f>IFERROR(I273/I$117,0)</f>
        <v/>
      </c>
      <c r="BF273" s="4097">
        <f>IFERROR(J273/J$117,0)</f>
        <v/>
      </c>
      <c r="BG273" s="4097">
        <f>IFERROR(K273/K$117,0)</f>
        <v/>
      </c>
      <c r="BH273" s="4097">
        <f>IFERROR(L273/L$117,0)</f>
        <v/>
      </c>
      <c r="BI273" s="4097">
        <f>IFERROR(M273/M$117,0)</f>
        <v/>
      </c>
      <c r="BJ273" s="4097">
        <f>IFERROR(N273/N$117,0)</f>
        <v/>
      </c>
      <c r="BK273" s="4097">
        <f>IFERROR(O273/O$117,0)</f>
        <v/>
      </c>
      <c r="BL273" s="4097">
        <f>IFERROR(P273/P$117,0)</f>
        <v/>
      </c>
      <c r="BM273" s="4098">
        <f>IFERROR(Q273/Q$117,0)</f>
        <v/>
      </c>
      <c r="BN273" s="4097">
        <f>IFERROR(R273/R$117,0)</f>
        <v/>
      </c>
      <c r="BO273" s="4097">
        <f>IFERROR(S273/S$117,0)</f>
        <v/>
      </c>
      <c r="BP273" s="4097">
        <f>IFERROR(T273/T$117,0)</f>
        <v/>
      </c>
      <c r="BQ273" s="4097">
        <f>IFERROR(U273/U$117,0)</f>
        <v/>
      </c>
      <c r="BR273" s="4097">
        <f>IFERROR(V273/V$117,0)</f>
        <v/>
      </c>
      <c r="BS273" s="4097">
        <f>IFERROR(W273/W$117,0)</f>
        <v/>
      </c>
      <c r="BT273" s="4097">
        <f>IFERROR(X273/X$117,0)</f>
        <v/>
      </c>
      <c r="BU273" s="4097">
        <f>IFERROR(Y273/Y$117,0)</f>
        <v/>
      </c>
      <c r="BV273" s="4097">
        <f>IFERROR(Z273/Z$117,0)</f>
        <v/>
      </c>
      <c r="BW273" s="4097">
        <f>IFERROR(AA273/AA$117,0)</f>
        <v/>
      </c>
      <c r="BX273" s="4097">
        <f>IFERROR(AB273/AB$117,0)</f>
        <v/>
      </c>
      <c r="BY273" s="4098">
        <f>IFERROR(AC273/AC$117,0)</f>
        <v/>
      </c>
      <c r="BZ273" s="4097">
        <f>IFERROR(AD273/AD$117,0)</f>
        <v/>
      </c>
      <c r="CA273" s="4097">
        <f>IFERROR(AE273/AE$117,0)</f>
        <v/>
      </c>
      <c r="CB273" s="4097">
        <f>IFERROR(AF273/AF$117,0)</f>
        <v/>
      </c>
      <c r="CC273" s="4097">
        <f>IFERROR(AG273/AG$117,0)</f>
        <v/>
      </c>
      <c r="CD273" s="4097">
        <f>IFERROR(AH273/AH$117,0)</f>
        <v/>
      </c>
      <c r="CE273" s="4097">
        <f>IFERROR(AI273/AI$117,0)</f>
        <v/>
      </c>
      <c r="CF273" s="4097">
        <f>IFERROR(AJ273/AJ$117,0)</f>
        <v/>
      </c>
      <c r="CG273" s="4097">
        <f>IFERROR(AK273/AK$117,0)</f>
        <v/>
      </c>
      <c r="CH273" s="4097">
        <f>IFERROR(AL273/AL$117,0)</f>
        <v/>
      </c>
      <c r="CI273" s="4097">
        <f>IFERROR(AM273/AM$117,0)</f>
        <v/>
      </c>
      <c r="CJ273" s="4097">
        <f>IFERROR(AN273/AN$117,0)</f>
        <v/>
      </c>
      <c r="CK273" s="4098">
        <f>IFERROR(AO273/AO$117,0)</f>
        <v/>
      </c>
      <c r="CL273" s="4097">
        <f>IFERROR(AP273/AP$117,0)</f>
        <v/>
      </c>
      <c r="CM273" s="4097">
        <f>IFERROR(AQ273/AQ$117,0)</f>
        <v/>
      </c>
      <c r="CN273" s="4097">
        <f>IFERROR(AR273/AR$117,0)</f>
        <v/>
      </c>
      <c r="CO273" s="4097">
        <f>IFERROR(AS273/AS$117,0)</f>
        <v/>
      </c>
      <c r="CP273" s="4097">
        <f>IFERROR(AT273/AT$117,0)</f>
        <v/>
      </c>
      <c r="CQ273" s="4099">
        <f>IFERROR(AU273/AU$117,0)</f>
        <v/>
      </c>
      <c r="CR273" s="4097">
        <f>IFERROR(AV273/AV$117,0)</f>
        <v/>
      </c>
      <c r="CS273" s="4097">
        <f>IFERROR(AW273/AW$117,0)</f>
        <v/>
      </c>
      <c r="CT273" s="4097">
        <f>IFERROR(AX273/AX$117,0)</f>
        <v/>
      </c>
      <c r="CU273" s="4097">
        <f>IFERROR(AY273/AY$117,0)</f>
        <v/>
      </c>
      <c r="CV273" s="4097">
        <f>IFERROR(AZ273/AZ$117,0)</f>
        <v/>
      </c>
      <c r="CW273" s="3737" t="n"/>
      <c r="CX273" s="4094">
        <f>SUM(CX272)</f>
        <v/>
      </c>
    </row>
    <row r="274" hidden="1" outlineLevel="2" ht="12" customFormat="1" customHeight="1" s="3737">
      <c r="A274" s="4059" t="n"/>
      <c r="B274" s="4060" t="n"/>
      <c r="C274" s="4127" t="inlineStr">
        <is>
          <t>Postage - corp</t>
        </is>
      </c>
      <c r="D274" s="4093" t="n">
        <v>581103</v>
      </c>
      <c r="E274" s="4093">
        <f>CONCATENATE(D274," - ",C274)</f>
        <v/>
      </c>
      <c r="F274" s="4094" t="n"/>
      <c r="G274" s="4094" t="n"/>
      <c r="H274" s="4094" t="n"/>
      <c r="I274" s="4094" t="n"/>
      <c r="J274" s="4094" t="n"/>
      <c r="K274" s="4094" t="n"/>
      <c r="L274" s="4094" t="n"/>
      <c r="M274" s="4094" t="n"/>
      <c r="N274" s="4094" t="n"/>
      <c r="O274" s="4094" t="n"/>
      <c r="P274" s="4094" t="n"/>
      <c r="Q274" s="4095" t="n"/>
      <c r="R274" s="4094" t="n"/>
      <c r="S274" s="4094" t="n"/>
      <c r="T274" s="4094" t="n"/>
      <c r="U274" s="4094" t="n"/>
      <c r="V274" s="4094" t="n"/>
      <c r="W274" s="4094" t="n"/>
      <c r="X274" s="4094" t="n"/>
      <c r="Y274" s="4094" t="n"/>
      <c r="Z274" s="4094" t="n"/>
      <c r="AA274" s="4094" t="n"/>
      <c r="AB274" s="4094" t="n"/>
      <c r="AC274" s="4095" t="n"/>
      <c r="AD274" s="4094" t="n"/>
      <c r="AE274" s="4094" t="n"/>
      <c r="AF274" s="4094" t="n"/>
      <c r="AG274" s="4094" t="n"/>
      <c r="AH274" s="4094" t="n"/>
      <c r="AI274" s="4094" t="n"/>
      <c r="AJ274" s="4094" t="n"/>
      <c r="AK274" s="4094" t="n"/>
      <c r="AL274" s="4094" t="n"/>
      <c r="AM274" s="4094" t="n"/>
      <c r="AN274" s="4094" t="n"/>
      <c r="AO274" s="4095" t="n"/>
      <c r="AP274" s="4094" t="n">
        <v>-0.1</v>
      </c>
      <c r="AQ274" s="4094" t="n">
        <v>0</v>
      </c>
      <c r="AR274" s="4094" t="n">
        <v>0</v>
      </c>
      <c r="AS274" s="4094" t="n">
        <v>0</v>
      </c>
      <c r="AT274" s="4094" t="n">
        <v>0</v>
      </c>
      <c r="AU274" s="4096" t="n">
        <v>0</v>
      </c>
      <c r="AV274" s="4094">
        <f>SUM(F274:Q274)</f>
        <v/>
      </c>
      <c r="AW274" s="4094">
        <f>SUM(R274:AC274)</f>
        <v/>
      </c>
      <c r="AX274" s="4094">
        <f>SUM(AD274:AO274)</f>
        <v/>
      </c>
      <c r="AY274" s="4094">
        <f>SUM(AH274:AS274)</f>
        <v/>
      </c>
      <c r="AZ274" s="4094">
        <f>SUM(AJ274:AU274)</f>
        <v/>
      </c>
      <c r="BA274" s="3737" t="n"/>
      <c r="BB274" s="4097">
        <f>IFERROR(F274/F$117,0)</f>
        <v/>
      </c>
      <c r="BC274" s="4097">
        <f>IFERROR(G274/G$117,0)</f>
        <v/>
      </c>
      <c r="BD274" s="4097">
        <f>IFERROR(H274/H$117,0)</f>
        <v/>
      </c>
      <c r="BE274" s="4097">
        <f>IFERROR(I274/I$117,0)</f>
        <v/>
      </c>
      <c r="BF274" s="4097">
        <f>IFERROR(J274/J$117,0)</f>
        <v/>
      </c>
      <c r="BG274" s="4097">
        <f>IFERROR(K274/K$117,0)</f>
        <v/>
      </c>
      <c r="BH274" s="4097">
        <f>IFERROR(L274/L$117,0)</f>
        <v/>
      </c>
      <c r="BI274" s="4097">
        <f>IFERROR(M274/M$117,0)</f>
        <v/>
      </c>
      <c r="BJ274" s="4097">
        <f>IFERROR(N274/N$117,0)</f>
        <v/>
      </c>
      <c r="BK274" s="4097">
        <f>IFERROR(O274/O$117,0)</f>
        <v/>
      </c>
      <c r="BL274" s="4097">
        <f>IFERROR(P274/P$117,0)</f>
        <v/>
      </c>
      <c r="BM274" s="4098">
        <f>IFERROR(Q274/Q$117,0)</f>
        <v/>
      </c>
      <c r="BN274" s="4097">
        <f>IFERROR(R274/R$117,0)</f>
        <v/>
      </c>
      <c r="BO274" s="4097">
        <f>IFERROR(S274/S$117,0)</f>
        <v/>
      </c>
      <c r="BP274" s="4097">
        <f>IFERROR(T274/T$117,0)</f>
        <v/>
      </c>
      <c r="BQ274" s="4097">
        <f>IFERROR(U274/U$117,0)</f>
        <v/>
      </c>
      <c r="BR274" s="4097">
        <f>IFERROR(V274/V$117,0)</f>
        <v/>
      </c>
      <c r="BS274" s="4097">
        <f>IFERROR(W274/W$117,0)</f>
        <v/>
      </c>
      <c r="BT274" s="4097">
        <f>IFERROR(X274/X$117,0)</f>
        <v/>
      </c>
      <c r="BU274" s="4097">
        <f>IFERROR(Y274/Y$117,0)</f>
        <v/>
      </c>
      <c r="BV274" s="4097">
        <f>IFERROR(Z274/Z$117,0)</f>
        <v/>
      </c>
      <c r="BW274" s="4097">
        <f>IFERROR(AA274/AA$117,0)</f>
        <v/>
      </c>
      <c r="BX274" s="4097">
        <f>IFERROR(AB274/AB$117,0)</f>
        <v/>
      </c>
      <c r="BY274" s="4098">
        <f>IFERROR(AC274/AC$117,0)</f>
        <v/>
      </c>
      <c r="BZ274" s="4097">
        <f>IFERROR(AD274/AD$117,0)</f>
        <v/>
      </c>
      <c r="CA274" s="4097">
        <f>IFERROR(AE274/AE$117,0)</f>
        <v/>
      </c>
      <c r="CB274" s="4097">
        <f>IFERROR(AF274/AF$117,0)</f>
        <v/>
      </c>
      <c r="CC274" s="4097">
        <f>IFERROR(AG274/AG$117,0)</f>
        <v/>
      </c>
      <c r="CD274" s="4097">
        <f>IFERROR(AH274/AH$117,0)</f>
        <v/>
      </c>
      <c r="CE274" s="4097">
        <f>IFERROR(AI274/AI$117,0)</f>
        <v/>
      </c>
      <c r="CF274" s="4097">
        <f>IFERROR(AJ274/AJ$117,0)</f>
        <v/>
      </c>
      <c r="CG274" s="4097">
        <f>IFERROR(AK274/AK$117,0)</f>
        <v/>
      </c>
      <c r="CH274" s="4097">
        <f>IFERROR(AL274/AL$117,0)</f>
        <v/>
      </c>
      <c r="CI274" s="4097">
        <f>IFERROR(AM274/AM$117,0)</f>
        <v/>
      </c>
      <c r="CJ274" s="4097">
        <f>IFERROR(AN274/AN$117,0)</f>
        <v/>
      </c>
      <c r="CK274" s="4098">
        <f>IFERROR(AO274/AO$117,0)</f>
        <v/>
      </c>
      <c r="CL274" s="4097">
        <f>IFERROR(AP274/AP$117,0)</f>
        <v/>
      </c>
      <c r="CM274" s="4097">
        <f>IFERROR(AQ274/AQ$117,0)</f>
        <v/>
      </c>
      <c r="CN274" s="4097">
        <f>IFERROR(AR274/AR$117,0)</f>
        <v/>
      </c>
      <c r="CO274" s="4097">
        <f>IFERROR(AS274/AS$117,0)</f>
        <v/>
      </c>
      <c r="CP274" s="4097">
        <f>IFERROR(AT274/AT$117,0)</f>
        <v/>
      </c>
      <c r="CQ274" s="4099">
        <f>IFERROR(AU274/AU$117,0)</f>
        <v/>
      </c>
      <c r="CR274" s="4097">
        <f>IFERROR(AV274/AV$117,0)</f>
        <v/>
      </c>
      <c r="CS274" s="4097">
        <f>IFERROR(AW274/AW$117,0)</f>
        <v/>
      </c>
      <c r="CT274" s="4097">
        <f>IFERROR(AX274/AX$117,0)</f>
        <v/>
      </c>
      <c r="CU274" s="4097">
        <f>IFERROR(AY274/AY$117,0)</f>
        <v/>
      </c>
      <c r="CV274" s="4097">
        <f>IFERROR(AZ274/AZ$117,0)</f>
        <v/>
      </c>
      <c r="CW274" s="3737" t="n"/>
      <c r="CX274" s="4094" t="n">
        <v>-1.21266</v>
      </c>
    </row>
    <row r="275" hidden="1" outlineLevel="2" ht="12" customFormat="1" customHeight="1" s="3737">
      <c r="A275" s="4059" t="n"/>
      <c r="B275" s="4060" t="n"/>
      <c r="C275" s="4127" t="inlineStr">
        <is>
          <t>Courier &amp; freight - non billable</t>
        </is>
      </c>
      <c r="D275" s="4093" t="n">
        <v>581104</v>
      </c>
      <c r="E275" s="4093">
        <f>CONCATENATE(D275," - ",C275)</f>
        <v/>
      </c>
      <c r="F275" s="4094" t="n"/>
      <c r="G275" s="4094" t="n"/>
      <c r="H275" s="4094" t="n"/>
      <c r="I275" s="4094" t="n"/>
      <c r="J275" s="4094" t="n"/>
      <c r="K275" s="4094" t="n"/>
      <c r="L275" s="4094" t="n"/>
      <c r="M275" s="4094" t="n"/>
      <c r="N275" s="4094" t="n"/>
      <c r="O275" s="4094" t="n"/>
      <c r="P275" s="4094" t="n"/>
      <c r="Q275" s="4095" t="n"/>
      <c r="R275" s="4094" t="n"/>
      <c r="S275" s="4094" t="n"/>
      <c r="T275" s="4094" t="n"/>
      <c r="U275" s="4094" t="n"/>
      <c r="V275" s="4094" t="n"/>
      <c r="W275" s="4094" t="n"/>
      <c r="X275" s="4094" t="n"/>
      <c r="Y275" s="4094" t="n"/>
      <c r="Z275" s="4094" t="n"/>
      <c r="AA275" s="4094" t="n"/>
      <c r="AB275" s="4094" t="n"/>
      <c r="AC275" s="4095" t="n"/>
      <c r="AD275" s="4094" t="n"/>
      <c r="AE275" s="4094" t="n"/>
      <c r="AF275" s="4094" t="n"/>
      <c r="AG275" s="4094" t="n"/>
      <c r="AH275" s="4094" t="n"/>
      <c r="AI275" s="4094" t="n"/>
      <c r="AJ275" s="4094" t="n"/>
      <c r="AK275" s="4094" t="n"/>
      <c r="AL275" s="4094" t="n"/>
      <c r="AM275" s="4094" t="n"/>
      <c r="AN275" s="4094" t="n"/>
      <c r="AO275" s="4095" t="n"/>
      <c r="AP275" s="4094" t="n">
        <v>-0.16952</v>
      </c>
      <c r="AQ275" s="4094" t="n">
        <v>-0.65944</v>
      </c>
      <c r="AR275" s="4094" t="n">
        <v>-0.10998</v>
      </c>
      <c r="AS275" s="4094" t="n">
        <v>-0.11721</v>
      </c>
      <c r="AT275" s="4094" t="n">
        <v>0</v>
      </c>
      <c r="AU275" s="4096" t="n">
        <v>0</v>
      </c>
      <c r="AV275" s="4094">
        <f>SUM(F275:Q275)</f>
        <v/>
      </c>
      <c r="AW275" s="4094">
        <f>SUM(R275:AC275)</f>
        <v/>
      </c>
      <c r="AX275" s="4094">
        <f>SUM(AD275:AO275)</f>
        <v/>
      </c>
      <c r="AY275" s="4094">
        <f>SUM(AH275:AS275)</f>
        <v/>
      </c>
      <c r="AZ275" s="4094">
        <f>SUM(AJ275:AU275)</f>
        <v/>
      </c>
      <c r="BA275" s="3737" t="n"/>
      <c r="BB275" s="4097">
        <f>IFERROR(F275/F$117,0)</f>
        <v/>
      </c>
      <c r="BC275" s="4097">
        <f>IFERROR(G275/G$117,0)</f>
        <v/>
      </c>
      <c r="BD275" s="4097">
        <f>IFERROR(H275/H$117,0)</f>
        <v/>
      </c>
      <c r="BE275" s="4097">
        <f>IFERROR(I275/I$117,0)</f>
        <v/>
      </c>
      <c r="BF275" s="4097">
        <f>IFERROR(J275/J$117,0)</f>
        <v/>
      </c>
      <c r="BG275" s="4097">
        <f>IFERROR(K275/K$117,0)</f>
        <v/>
      </c>
      <c r="BH275" s="4097">
        <f>IFERROR(L275/L$117,0)</f>
        <v/>
      </c>
      <c r="BI275" s="4097">
        <f>IFERROR(M275/M$117,0)</f>
        <v/>
      </c>
      <c r="BJ275" s="4097">
        <f>IFERROR(N275/N$117,0)</f>
        <v/>
      </c>
      <c r="BK275" s="4097">
        <f>IFERROR(O275/O$117,0)</f>
        <v/>
      </c>
      <c r="BL275" s="4097">
        <f>IFERROR(P275/P$117,0)</f>
        <v/>
      </c>
      <c r="BM275" s="4098">
        <f>IFERROR(Q275/Q$117,0)</f>
        <v/>
      </c>
      <c r="BN275" s="4097">
        <f>IFERROR(R275/R$117,0)</f>
        <v/>
      </c>
      <c r="BO275" s="4097">
        <f>IFERROR(S275/S$117,0)</f>
        <v/>
      </c>
      <c r="BP275" s="4097">
        <f>IFERROR(T275/T$117,0)</f>
        <v/>
      </c>
      <c r="BQ275" s="4097">
        <f>IFERROR(U275/U$117,0)</f>
        <v/>
      </c>
      <c r="BR275" s="4097">
        <f>IFERROR(V275/V$117,0)</f>
        <v/>
      </c>
      <c r="BS275" s="4097">
        <f>IFERROR(W275/W$117,0)</f>
        <v/>
      </c>
      <c r="BT275" s="4097">
        <f>IFERROR(X275/X$117,0)</f>
        <v/>
      </c>
      <c r="BU275" s="4097">
        <f>IFERROR(Y275/Y$117,0)</f>
        <v/>
      </c>
      <c r="BV275" s="4097">
        <f>IFERROR(Z275/Z$117,0)</f>
        <v/>
      </c>
      <c r="BW275" s="4097">
        <f>IFERROR(AA275/AA$117,0)</f>
        <v/>
      </c>
      <c r="BX275" s="4097">
        <f>IFERROR(AB275/AB$117,0)</f>
        <v/>
      </c>
      <c r="BY275" s="4098">
        <f>IFERROR(AC275/AC$117,0)</f>
        <v/>
      </c>
      <c r="BZ275" s="4097">
        <f>IFERROR(AD275/AD$117,0)</f>
        <v/>
      </c>
      <c r="CA275" s="4097">
        <f>IFERROR(AE275/AE$117,0)</f>
        <v/>
      </c>
      <c r="CB275" s="4097">
        <f>IFERROR(AF275/AF$117,0)</f>
        <v/>
      </c>
      <c r="CC275" s="4097">
        <f>IFERROR(AG275/AG$117,0)</f>
        <v/>
      </c>
      <c r="CD275" s="4097">
        <f>IFERROR(AH275/AH$117,0)</f>
        <v/>
      </c>
      <c r="CE275" s="4097">
        <f>IFERROR(AI275/AI$117,0)</f>
        <v/>
      </c>
      <c r="CF275" s="4097">
        <f>IFERROR(AJ275/AJ$117,0)</f>
        <v/>
      </c>
      <c r="CG275" s="4097">
        <f>IFERROR(AK275/AK$117,0)</f>
        <v/>
      </c>
      <c r="CH275" s="4097">
        <f>IFERROR(AL275/AL$117,0)</f>
        <v/>
      </c>
      <c r="CI275" s="4097">
        <f>IFERROR(AM275/AM$117,0)</f>
        <v/>
      </c>
      <c r="CJ275" s="4097">
        <f>IFERROR(AN275/AN$117,0)</f>
        <v/>
      </c>
      <c r="CK275" s="4098">
        <f>IFERROR(AO275/AO$117,0)</f>
        <v/>
      </c>
      <c r="CL275" s="4097">
        <f>IFERROR(AP275/AP$117,0)</f>
        <v/>
      </c>
      <c r="CM275" s="4097">
        <f>IFERROR(AQ275/AQ$117,0)</f>
        <v/>
      </c>
      <c r="CN275" s="4097">
        <f>IFERROR(AR275/AR$117,0)</f>
        <v/>
      </c>
      <c r="CO275" s="4097">
        <f>IFERROR(AS275/AS$117,0)</f>
        <v/>
      </c>
      <c r="CP275" s="4097">
        <f>IFERROR(AT275/AT$117,0)</f>
        <v/>
      </c>
      <c r="CQ275" s="4099">
        <f>IFERROR(AU275/AU$117,0)</f>
        <v/>
      </c>
      <c r="CR275" s="4097">
        <f>IFERROR(AV275/AV$117,0)</f>
        <v/>
      </c>
      <c r="CS275" s="4097">
        <f>IFERROR(AW275/AW$117,0)</f>
        <v/>
      </c>
      <c r="CT275" s="4097">
        <f>IFERROR(AX275/AX$117,0)</f>
        <v/>
      </c>
      <c r="CU275" s="4097">
        <f>IFERROR(AY275/AY$117,0)</f>
        <v/>
      </c>
      <c r="CV275" s="4097">
        <f>IFERROR(AZ275/AZ$117,0)</f>
        <v/>
      </c>
      <c r="CW275" s="3737" t="n"/>
      <c r="CX275" s="4094" t="n">
        <v>-3.68095</v>
      </c>
    </row>
    <row r="276" hidden="1" outlineLevel="2" ht="12" customFormat="1" customHeight="1" s="3737">
      <c r="A276" s="4059" t="n"/>
      <c r="B276" s="4060" t="n"/>
      <c r="C276" s="4127" t="inlineStr">
        <is>
          <t>Office stationery and supplies</t>
        </is>
      </c>
      <c r="D276" s="4093" t="n">
        <v>581201</v>
      </c>
      <c r="E276" s="4093">
        <f>CONCATENATE(D276," - ",C276)</f>
        <v/>
      </c>
      <c r="F276" s="4094" t="n"/>
      <c r="G276" s="4094" t="n"/>
      <c r="H276" s="4094" t="n"/>
      <c r="I276" s="4094" t="n"/>
      <c r="J276" s="4094" t="n"/>
      <c r="K276" s="4094" t="n"/>
      <c r="L276" s="4094" t="n"/>
      <c r="M276" s="4094" t="n"/>
      <c r="N276" s="4094" t="n"/>
      <c r="O276" s="4094" t="n"/>
      <c r="P276" s="4094" t="n"/>
      <c r="Q276" s="4095" t="n"/>
      <c r="R276" s="4094" t="n"/>
      <c r="S276" s="4094" t="n"/>
      <c r="T276" s="4094" t="n"/>
      <c r="U276" s="4094" t="n"/>
      <c r="V276" s="4094" t="n"/>
      <c r="W276" s="4094" t="n"/>
      <c r="X276" s="4094" t="n"/>
      <c r="Y276" s="4094" t="n"/>
      <c r="Z276" s="4094" t="n"/>
      <c r="AA276" s="4094" t="n"/>
      <c r="AB276" s="4094" t="n"/>
      <c r="AC276" s="4095" t="n"/>
      <c r="AD276" s="4094" t="n"/>
      <c r="AE276" s="4094" t="n"/>
      <c r="AF276" s="4094" t="n"/>
      <c r="AG276" s="4094" t="n"/>
      <c r="AH276" s="4094" t="n"/>
      <c r="AI276" s="4094" t="n"/>
      <c r="AJ276" s="4094" t="n"/>
      <c r="AK276" s="4094" t="n"/>
      <c r="AL276" s="4094" t="n"/>
      <c r="AM276" s="4094" t="n"/>
      <c r="AN276" s="4094" t="n"/>
      <c r="AO276" s="4095" t="n"/>
      <c r="AP276" s="4094" t="n">
        <v>-0.05</v>
      </c>
      <c r="AQ276" s="4094" t="n">
        <v>-0.50354</v>
      </c>
      <c r="AR276" s="4094" t="n">
        <v>-0.12146</v>
      </c>
      <c r="AS276" s="4094" t="n">
        <v>0.03013</v>
      </c>
      <c r="AT276" s="4094" t="n">
        <v>-0.92672</v>
      </c>
      <c r="AU276" s="4096" t="n">
        <v>-0.1</v>
      </c>
      <c r="AV276" s="4094">
        <f>SUM(F276:Q276)</f>
        <v/>
      </c>
      <c r="AW276" s="4094">
        <f>SUM(R276:AC276)</f>
        <v/>
      </c>
      <c r="AX276" s="4094">
        <f>SUM(AD276:AO276)</f>
        <v/>
      </c>
      <c r="AY276" s="4094">
        <f>SUM(AH276:AS276)</f>
        <v/>
      </c>
      <c r="AZ276" s="4094">
        <f>SUM(AJ276:AU276)</f>
        <v/>
      </c>
      <c r="BA276" s="3737" t="n"/>
      <c r="BB276" s="4097">
        <f>IFERROR(F276/F$117,0)</f>
        <v/>
      </c>
      <c r="BC276" s="4097">
        <f>IFERROR(G276/G$117,0)</f>
        <v/>
      </c>
      <c r="BD276" s="4097">
        <f>IFERROR(H276/H$117,0)</f>
        <v/>
      </c>
      <c r="BE276" s="4097">
        <f>IFERROR(I276/I$117,0)</f>
        <v/>
      </c>
      <c r="BF276" s="4097">
        <f>IFERROR(J276/J$117,0)</f>
        <v/>
      </c>
      <c r="BG276" s="4097">
        <f>IFERROR(K276/K$117,0)</f>
        <v/>
      </c>
      <c r="BH276" s="4097">
        <f>IFERROR(L276/L$117,0)</f>
        <v/>
      </c>
      <c r="BI276" s="4097">
        <f>IFERROR(M276/M$117,0)</f>
        <v/>
      </c>
      <c r="BJ276" s="4097">
        <f>IFERROR(N276/N$117,0)</f>
        <v/>
      </c>
      <c r="BK276" s="4097">
        <f>IFERROR(O276/O$117,0)</f>
        <v/>
      </c>
      <c r="BL276" s="4097">
        <f>IFERROR(P276/P$117,0)</f>
        <v/>
      </c>
      <c r="BM276" s="4098">
        <f>IFERROR(Q276/Q$117,0)</f>
        <v/>
      </c>
      <c r="BN276" s="4097">
        <f>IFERROR(R276/R$117,0)</f>
        <v/>
      </c>
      <c r="BO276" s="4097">
        <f>IFERROR(S276/S$117,0)</f>
        <v/>
      </c>
      <c r="BP276" s="4097">
        <f>IFERROR(T276/T$117,0)</f>
        <v/>
      </c>
      <c r="BQ276" s="4097">
        <f>IFERROR(U276/U$117,0)</f>
        <v/>
      </c>
      <c r="BR276" s="4097">
        <f>IFERROR(V276/V$117,0)</f>
        <v/>
      </c>
      <c r="BS276" s="4097">
        <f>IFERROR(W276/W$117,0)</f>
        <v/>
      </c>
      <c r="BT276" s="4097">
        <f>IFERROR(X276/X$117,0)</f>
        <v/>
      </c>
      <c r="BU276" s="4097">
        <f>IFERROR(Y276/Y$117,0)</f>
        <v/>
      </c>
      <c r="BV276" s="4097">
        <f>IFERROR(Z276/Z$117,0)</f>
        <v/>
      </c>
      <c r="BW276" s="4097">
        <f>IFERROR(AA276/AA$117,0)</f>
        <v/>
      </c>
      <c r="BX276" s="4097">
        <f>IFERROR(AB276/AB$117,0)</f>
        <v/>
      </c>
      <c r="BY276" s="4098">
        <f>IFERROR(AC276/AC$117,0)</f>
        <v/>
      </c>
      <c r="BZ276" s="4097">
        <f>IFERROR(AD276/AD$117,0)</f>
        <v/>
      </c>
      <c r="CA276" s="4097">
        <f>IFERROR(AE276/AE$117,0)</f>
        <v/>
      </c>
      <c r="CB276" s="4097">
        <f>IFERROR(AF276/AF$117,0)</f>
        <v/>
      </c>
      <c r="CC276" s="4097">
        <f>IFERROR(AG276/AG$117,0)</f>
        <v/>
      </c>
      <c r="CD276" s="4097">
        <f>IFERROR(AH276/AH$117,0)</f>
        <v/>
      </c>
      <c r="CE276" s="4097">
        <f>IFERROR(AI276/AI$117,0)</f>
        <v/>
      </c>
      <c r="CF276" s="4097">
        <f>IFERROR(AJ276/AJ$117,0)</f>
        <v/>
      </c>
      <c r="CG276" s="4097">
        <f>IFERROR(AK276/AK$117,0)</f>
        <v/>
      </c>
      <c r="CH276" s="4097">
        <f>IFERROR(AL276/AL$117,0)</f>
        <v/>
      </c>
      <c r="CI276" s="4097">
        <f>IFERROR(AM276/AM$117,0)</f>
        <v/>
      </c>
      <c r="CJ276" s="4097">
        <f>IFERROR(AN276/AN$117,0)</f>
        <v/>
      </c>
      <c r="CK276" s="4098">
        <f>IFERROR(AO276/AO$117,0)</f>
        <v/>
      </c>
      <c r="CL276" s="4097">
        <f>IFERROR(AP276/AP$117,0)</f>
        <v/>
      </c>
      <c r="CM276" s="4097">
        <f>IFERROR(AQ276/AQ$117,0)</f>
        <v/>
      </c>
      <c r="CN276" s="4097">
        <f>IFERROR(AR276/AR$117,0)</f>
        <v/>
      </c>
      <c r="CO276" s="4097">
        <f>IFERROR(AS276/AS$117,0)</f>
        <v/>
      </c>
      <c r="CP276" s="4097">
        <f>IFERROR(AT276/AT$117,0)</f>
        <v/>
      </c>
      <c r="CQ276" s="4099">
        <f>IFERROR(AU276/AU$117,0)</f>
        <v/>
      </c>
      <c r="CR276" s="4097">
        <f>IFERROR(AV276/AV$117,0)</f>
        <v/>
      </c>
      <c r="CS276" s="4097">
        <f>IFERROR(AW276/AW$117,0)</f>
        <v/>
      </c>
      <c r="CT276" s="4097">
        <f>IFERROR(AX276/AX$117,0)</f>
        <v/>
      </c>
      <c r="CU276" s="4097">
        <f>IFERROR(AY276/AY$117,0)</f>
        <v/>
      </c>
      <c r="CV276" s="4097">
        <f>IFERROR(AZ276/AZ$117,0)</f>
        <v/>
      </c>
      <c r="CW276" s="3737" t="n"/>
      <c r="CX276" s="4094" t="n">
        <v>-6.65653</v>
      </c>
    </row>
    <row r="277" hidden="1" outlineLevel="2" ht="12" customFormat="1" customHeight="1" s="3737">
      <c r="A277" s="4059" t="n"/>
      <c r="B277" s="4060" t="n"/>
      <c r="C277" s="4128" t="inlineStr">
        <is>
          <t>Books &amp; periodicals</t>
        </is>
      </c>
      <c r="D277" s="4101" t="n">
        <v>581401</v>
      </c>
      <c r="E277" s="4101">
        <f>CONCATENATE(D277," - ",C277)</f>
        <v/>
      </c>
      <c r="F277" s="4102" t="n"/>
      <c r="G277" s="4102" t="n"/>
      <c r="H277" s="4102" t="n"/>
      <c r="I277" s="4102" t="n"/>
      <c r="J277" s="4102" t="n"/>
      <c r="K277" s="4102" t="n"/>
      <c r="L277" s="4102" t="n"/>
      <c r="M277" s="4102" t="n"/>
      <c r="N277" s="4102" t="n"/>
      <c r="O277" s="4102" t="n"/>
      <c r="P277" s="4102" t="n"/>
      <c r="Q277" s="4103" t="n"/>
      <c r="R277" s="4102" t="n"/>
      <c r="S277" s="4102" t="n"/>
      <c r="T277" s="4102" t="n"/>
      <c r="U277" s="4102" t="n"/>
      <c r="V277" s="4102" t="n"/>
      <c r="W277" s="4102" t="n"/>
      <c r="X277" s="4102" t="n"/>
      <c r="Y277" s="4102" t="n"/>
      <c r="Z277" s="4102" t="n"/>
      <c r="AA277" s="4102" t="n"/>
      <c r="AB277" s="4102" t="n"/>
      <c r="AC277" s="4103" t="n"/>
      <c r="AD277" s="4102" t="n"/>
      <c r="AE277" s="4102" t="n"/>
      <c r="AF277" s="4102" t="n"/>
      <c r="AG277" s="4102" t="n"/>
      <c r="AH277" s="4102" t="n"/>
      <c r="AI277" s="4102" t="n"/>
      <c r="AJ277" s="4102" t="n"/>
      <c r="AK277" s="4102" t="n"/>
      <c r="AL277" s="4102" t="n"/>
      <c r="AM277" s="4102" t="n"/>
      <c r="AN277" s="4102" t="n"/>
      <c r="AO277" s="4103" t="n"/>
      <c r="AP277" s="4102" t="n">
        <v>0</v>
      </c>
      <c r="AQ277" s="4102" t="n">
        <v>0</v>
      </c>
      <c r="AR277" s="4102" t="n">
        <v>0</v>
      </c>
      <c r="AS277" s="4102" t="n">
        <v>0</v>
      </c>
      <c r="AT277" s="4102" t="n">
        <v>0</v>
      </c>
      <c r="AU277" s="4104" t="n">
        <v>0</v>
      </c>
      <c r="AV277" s="4102">
        <f>SUM(F277:Q277)</f>
        <v/>
      </c>
      <c r="AW277" s="4102">
        <f>SUM(R277:AC277)</f>
        <v/>
      </c>
      <c r="AX277" s="4102">
        <f>SUM(AD277:AO277)</f>
        <v/>
      </c>
      <c r="AY277" s="4102">
        <f>SUM(AH277:AS277)</f>
        <v/>
      </c>
      <c r="AZ277" s="4102">
        <f>SUM(AJ277:AU277)</f>
        <v/>
      </c>
      <c r="BA277" s="3737" t="n"/>
      <c r="BB277" s="4105">
        <f>IFERROR(F277/F$117,0)</f>
        <v/>
      </c>
      <c r="BC277" s="4105">
        <f>IFERROR(G277/G$117,0)</f>
        <v/>
      </c>
      <c r="BD277" s="4105">
        <f>IFERROR(H277/H$117,0)</f>
        <v/>
      </c>
      <c r="BE277" s="4105">
        <f>IFERROR(I277/I$117,0)</f>
        <v/>
      </c>
      <c r="BF277" s="4105">
        <f>IFERROR(J277/J$117,0)</f>
        <v/>
      </c>
      <c r="BG277" s="4105">
        <f>IFERROR(K277/K$117,0)</f>
        <v/>
      </c>
      <c r="BH277" s="4105">
        <f>IFERROR(L277/L$117,0)</f>
        <v/>
      </c>
      <c r="BI277" s="4105">
        <f>IFERROR(M277/M$117,0)</f>
        <v/>
      </c>
      <c r="BJ277" s="4105">
        <f>IFERROR(N277/N$117,0)</f>
        <v/>
      </c>
      <c r="BK277" s="4105">
        <f>IFERROR(O277/O$117,0)</f>
        <v/>
      </c>
      <c r="BL277" s="4105">
        <f>IFERROR(P277/P$117,0)</f>
        <v/>
      </c>
      <c r="BM277" s="4106">
        <f>IFERROR(Q277/Q$117,0)</f>
        <v/>
      </c>
      <c r="BN277" s="4105">
        <f>IFERROR(R277/R$117,0)</f>
        <v/>
      </c>
      <c r="BO277" s="4105">
        <f>IFERROR(S277/S$117,0)</f>
        <v/>
      </c>
      <c r="BP277" s="4105">
        <f>IFERROR(T277/T$117,0)</f>
        <v/>
      </c>
      <c r="BQ277" s="4105">
        <f>IFERROR(U277/U$117,0)</f>
        <v/>
      </c>
      <c r="BR277" s="4105">
        <f>IFERROR(V277/V$117,0)</f>
        <v/>
      </c>
      <c r="BS277" s="4105">
        <f>IFERROR(W277/W$117,0)</f>
        <v/>
      </c>
      <c r="BT277" s="4105">
        <f>IFERROR(X277/X$117,0)</f>
        <v/>
      </c>
      <c r="BU277" s="4105">
        <f>IFERROR(Y277/Y$117,0)</f>
        <v/>
      </c>
      <c r="BV277" s="4105">
        <f>IFERROR(Z277/Z$117,0)</f>
        <v/>
      </c>
      <c r="BW277" s="4105">
        <f>IFERROR(AA277/AA$117,0)</f>
        <v/>
      </c>
      <c r="BX277" s="4105">
        <f>IFERROR(AB277/AB$117,0)</f>
        <v/>
      </c>
      <c r="BY277" s="4106">
        <f>IFERROR(AC277/AC$117,0)</f>
        <v/>
      </c>
      <c r="BZ277" s="4105">
        <f>IFERROR(AD277/AD$117,0)</f>
        <v/>
      </c>
      <c r="CA277" s="4105">
        <f>IFERROR(AE277/AE$117,0)</f>
        <v/>
      </c>
      <c r="CB277" s="4105">
        <f>IFERROR(AF277/AF$117,0)</f>
        <v/>
      </c>
      <c r="CC277" s="4105">
        <f>IFERROR(AG277/AG$117,0)</f>
        <v/>
      </c>
      <c r="CD277" s="4105">
        <f>IFERROR(AH277/AH$117,0)</f>
        <v/>
      </c>
      <c r="CE277" s="4105">
        <f>IFERROR(AI277/AI$117,0)</f>
        <v/>
      </c>
      <c r="CF277" s="4105">
        <f>IFERROR(AJ277/AJ$117,0)</f>
        <v/>
      </c>
      <c r="CG277" s="4105">
        <f>IFERROR(AK277/AK$117,0)</f>
        <v/>
      </c>
      <c r="CH277" s="4105">
        <f>IFERROR(AL277/AL$117,0)</f>
        <v/>
      </c>
      <c r="CI277" s="4105">
        <f>IFERROR(AM277/AM$117,0)</f>
        <v/>
      </c>
      <c r="CJ277" s="4105">
        <f>IFERROR(AN277/AN$117,0)</f>
        <v/>
      </c>
      <c r="CK277" s="4106">
        <f>IFERROR(AO277/AO$117,0)</f>
        <v/>
      </c>
      <c r="CL277" s="4105">
        <f>IFERROR(AP277/AP$117,0)</f>
        <v/>
      </c>
      <c r="CM277" s="4105">
        <f>IFERROR(AQ277/AQ$117,0)</f>
        <v/>
      </c>
      <c r="CN277" s="4105">
        <f>IFERROR(AR277/AR$117,0)</f>
        <v/>
      </c>
      <c r="CO277" s="4105">
        <f>IFERROR(AS277/AS$117,0)</f>
        <v/>
      </c>
      <c r="CP277" s="4105">
        <f>IFERROR(AT277/AT$117,0)</f>
        <v/>
      </c>
      <c r="CQ277" s="4107">
        <f>IFERROR(AU277/AU$117,0)</f>
        <v/>
      </c>
      <c r="CR277" s="4105">
        <f>IFERROR(AV277/AV$117,0)</f>
        <v/>
      </c>
      <c r="CS277" s="4105">
        <f>IFERROR(AW277/AW$117,0)</f>
        <v/>
      </c>
      <c r="CT277" s="4105">
        <f>IFERROR(AX277/AX$117,0)</f>
        <v/>
      </c>
      <c r="CU277" s="4105">
        <f>IFERROR(AY277/AY$117,0)</f>
        <v/>
      </c>
      <c r="CV277" s="4105">
        <f>IFERROR(AZ277/AZ$117,0)</f>
        <v/>
      </c>
      <c r="CW277" s="3737" t="n"/>
      <c r="CX277" s="4102" t="n">
        <v>-0.51476</v>
      </c>
    </row>
    <row r="278" hidden="1" outlineLevel="1" collapsed="1" ht="12" customFormat="1" customHeight="1" s="3737">
      <c r="A278" s="4059" t="n"/>
      <c r="B278" s="4060" t="n"/>
      <c r="C278" s="4100" t="inlineStr">
        <is>
          <t>Office expense</t>
        </is>
      </c>
      <c r="D278" s="4101" t="n"/>
      <c r="E278" s="4101" t="n"/>
      <c r="F278" s="4102" t="n"/>
      <c r="G278" s="4102" t="n"/>
      <c r="H278" s="4102" t="n"/>
      <c r="I278" s="4102" t="n"/>
      <c r="J278" s="4102" t="n"/>
      <c r="K278" s="4102" t="n"/>
      <c r="L278" s="4102" t="n"/>
      <c r="M278" s="4102" t="n"/>
      <c r="N278" s="4102" t="n"/>
      <c r="O278" s="4102" t="n"/>
      <c r="P278" s="4102" t="n"/>
      <c r="Q278" s="4103" t="n"/>
      <c r="R278" s="4102" t="n"/>
      <c r="S278" s="4102" t="n"/>
      <c r="T278" s="4102" t="n"/>
      <c r="U278" s="4102" t="n"/>
      <c r="V278" s="4102" t="n"/>
      <c r="W278" s="4102" t="n"/>
      <c r="X278" s="4102" t="n"/>
      <c r="Y278" s="4102" t="n"/>
      <c r="Z278" s="4102" t="n"/>
      <c r="AA278" s="4102" t="n"/>
      <c r="AB278" s="4102" t="n"/>
      <c r="AC278" s="4103" t="n"/>
      <c r="AD278" s="4102" t="n"/>
      <c r="AE278" s="4102" t="n"/>
      <c r="AF278" s="4102" t="n"/>
      <c r="AG278" s="4102" t="n"/>
      <c r="AH278" s="4102" t="n"/>
      <c r="AI278" s="4102" t="n"/>
      <c r="AJ278" s="4102" t="n"/>
      <c r="AK278" s="4102" t="n"/>
      <c r="AL278" s="4102" t="n"/>
      <c r="AM278" s="4102" t="n"/>
      <c r="AN278" s="4102" t="n"/>
      <c r="AO278" s="4103" t="n"/>
      <c r="AP278" s="4102">
        <f>SUM(AP274:AP277)</f>
        <v/>
      </c>
      <c r="AQ278" s="4102">
        <f>SUM(AQ274:AQ277)</f>
        <v/>
      </c>
      <c r="AR278" s="4102">
        <f>SUM(AR274:AR277)</f>
        <v/>
      </c>
      <c r="AS278" s="4102">
        <f>SUM(AS274:AS277)</f>
        <v/>
      </c>
      <c r="AT278" s="4102">
        <f>SUM(AT274:AT277)</f>
        <v/>
      </c>
      <c r="AU278" s="4104">
        <f>SUM(AU274:AU277)</f>
        <v/>
      </c>
      <c r="AV278" s="4102">
        <f>SUM(AV274:AV277)</f>
        <v/>
      </c>
      <c r="AW278" s="4102">
        <f>SUM(AW274:AW277)</f>
        <v/>
      </c>
      <c r="AX278" s="4102">
        <f>SUM(AX274:AX277)</f>
        <v/>
      </c>
      <c r="AY278" s="4102">
        <f>SUM(AY274:AY277)</f>
        <v/>
      </c>
      <c r="AZ278" s="4102">
        <f>SUM(AZ274:AZ277)</f>
        <v/>
      </c>
      <c r="BA278" s="3737" t="n"/>
      <c r="BB278" s="4105">
        <f>IFERROR(F278/F$117,0)</f>
        <v/>
      </c>
      <c r="BC278" s="4105">
        <f>IFERROR(G278/G$117,0)</f>
        <v/>
      </c>
      <c r="BD278" s="4105">
        <f>IFERROR(H278/H$117,0)</f>
        <v/>
      </c>
      <c r="BE278" s="4105">
        <f>IFERROR(I278/I$117,0)</f>
        <v/>
      </c>
      <c r="BF278" s="4105">
        <f>IFERROR(J278/J$117,0)</f>
        <v/>
      </c>
      <c r="BG278" s="4105">
        <f>IFERROR(K278/K$117,0)</f>
        <v/>
      </c>
      <c r="BH278" s="4105">
        <f>IFERROR(L278/L$117,0)</f>
        <v/>
      </c>
      <c r="BI278" s="4105">
        <f>IFERROR(M278/M$117,0)</f>
        <v/>
      </c>
      <c r="BJ278" s="4105">
        <f>IFERROR(N278/N$117,0)</f>
        <v/>
      </c>
      <c r="BK278" s="4105">
        <f>IFERROR(O278/O$117,0)</f>
        <v/>
      </c>
      <c r="BL278" s="4105">
        <f>IFERROR(P278/P$117,0)</f>
        <v/>
      </c>
      <c r="BM278" s="4106">
        <f>IFERROR(Q278/Q$117,0)</f>
        <v/>
      </c>
      <c r="BN278" s="4105">
        <f>IFERROR(R278/R$117,0)</f>
        <v/>
      </c>
      <c r="BO278" s="4105">
        <f>IFERROR(S278/S$117,0)</f>
        <v/>
      </c>
      <c r="BP278" s="4105">
        <f>IFERROR(T278/T$117,0)</f>
        <v/>
      </c>
      <c r="BQ278" s="4105">
        <f>IFERROR(U278/U$117,0)</f>
        <v/>
      </c>
      <c r="BR278" s="4105">
        <f>IFERROR(V278/V$117,0)</f>
        <v/>
      </c>
      <c r="BS278" s="4105">
        <f>IFERROR(W278/W$117,0)</f>
        <v/>
      </c>
      <c r="BT278" s="4105">
        <f>IFERROR(X278/X$117,0)</f>
        <v/>
      </c>
      <c r="BU278" s="4105">
        <f>IFERROR(Y278/Y$117,0)</f>
        <v/>
      </c>
      <c r="BV278" s="4105">
        <f>IFERROR(Z278/Z$117,0)</f>
        <v/>
      </c>
      <c r="BW278" s="4105">
        <f>IFERROR(AA278/AA$117,0)</f>
        <v/>
      </c>
      <c r="BX278" s="4105">
        <f>IFERROR(AB278/AB$117,0)</f>
        <v/>
      </c>
      <c r="BY278" s="4106">
        <f>IFERROR(AC278/AC$117,0)</f>
        <v/>
      </c>
      <c r="BZ278" s="4105">
        <f>IFERROR(AD278/AD$117,0)</f>
        <v/>
      </c>
      <c r="CA278" s="4105">
        <f>IFERROR(AE278/AE$117,0)</f>
        <v/>
      </c>
      <c r="CB278" s="4105">
        <f>IFERROR(AF278/AF$117,0)</f>
        <v/>
      </c>
      <c r="CC278" s="4105">
        <f>IFERROR(AG278/AG$117,0)</f>
        <v/>
      </c>
      <c r="CD278" s="4105">
        <f>IFERROR(AH278/AH$117,0)</f>
        <v/>
      </c>
      <c r="CE278" s="4105">
        <f>IFERROR(AI278/AI$117,0)</f>
        <v/>
      </c>
      <c r="CF278" s="4105">
        <f>IFERROR(AJ278/AJ$117,0)</f>
        <v/>
      </c>
      <c r="CG278" s="4105">
        <f>IFERROR(AK278/AK$117,0)</f>
        <v/>
      </c>
      <c r="CH278" s="4105">
        <f>IFERROR(AL278/AL$117,0)</f>
        <v/>
      </c>
      <c r="CI278" s="4105">
        <f>IFERROR(AM278/AM$117,0)</f>
        <v/>
      </c>
      <c r="CJ278" s="4105">
        <f>IFERROR(AN278/AN$117,0)</f>
        <v/>
      </c>
      <c r="CK278" s="4106">
        <f>IFERROR(AO278/AO$117,0)</f>
        <v/>
      </c>
      <c r="CL278" s="4105">
        <f>IFERROR(AP278/AP$117,0)</f>
        <v/>
      </c>
      <c r="CM278" s="4105">
        <f>IFERROR(AQ278/AQ$117,0)</f>
        <v/>
      </c>
      <c r="CN278" s="4105">
        <f>IFERROR(AR278/AR$117,0)</f>
        <v/>
      </c>
      <c r="CO278" s="4105">
        <f>IFERROR(AS278/AS$117,0)</f>
        <v/>
      </c>
      <c r="CP278" s="4105">
        <f>IFERROR(AT278/AT$117,0)</f>
        <v/>
      </c>
      <c r="CQ278" s="4107">
        <f>IFERROR(AU278/AU$117,0)</f>
        <v/>
      </c>
      <c r="CR278" s="4105">
        <f>IFERROR(AV278/AV$117,0)</f>
        <v/>
      </c>
      <c r="CS278" s="4105">
        <f>IFERROR(AW278/AW$117,0)</f>
        <v/>
      </c>
      <c r="CT278" s="4105">
        <f>IFERROR(AX278/AX$117,0)</f>
        <v/>
      </c>
      <c r="CU278" s="4105">
        <f>IFERROR(AY278/AY$117,0)</f>
        <v/>
      </c>
      <c r="CV278" s="4105">
        <f>IFERROR(AZ278/AZ$117,0)</f>
        <v/>
      </c>
      <c r="CW278" s="3737" t="n"/>
      <c r="CX278" s="4102">
        <f>SUM(CX274:CX277)</f>
        <v/>
      </c>
    </row>
    <row r="279" ht="12" customFormat="1" customHeight="1" s="3737">
      <c r="A279" s="4059" t="n"/>
      <c r="B279" s="4060" t="n"/>
      <c r="C279" s="4108" t="inlineStr">
        <is>
          <t>Occupancy and office expense</t>
        </is>
      </c>
      <c r="D279" s="4093" t="n"/>
      <c r="E279" s="4093" t="n"/>
      <c r="F279" s="4094" t="n"/>
      <c r="G279" s="4094" t="n"/>
      <c r="H279" s="4094" t="n"/>
      <c r="I279" s="4094" t="n"/>
      <c r="J279" s="4094" t="n"/>
      <c r="K279" s="4094" t="n"/>
      <c r="L279" s="4094" t="n"/>
      <c r="M279" s="4094" t="n"/>
      <c r="N279" s="4094" t="n"/>
      <c r="O279" s="4094" t="n"/>
      <c r="P279" s="4094" t="n"/>
      <c r="Q279" s="4095" t="n"/>
      <c r="R279" s="4094" t="n"/>
      <c r="S279" s="4094" t="n"/>
      <c r="T279" s="4094" t="n"/>
      <c r="U279" s="4094" t="n"/>
      <c r="V279" s="4094" t="n"/>
      <c r="W279" s="4094" t="n"/>
      <c r="X279" s="4094" t="n"/>
      <c r="Y279" s="4094" t="n"/>
      <c r="Z279" s="4094" t="n"/>
      <c r="AA279" s="4094" t="n"/>
      <c r="AB279" s="4094" t="n"/>
      <c r="AC279" s="4095" t="n"/>
      <c r="AD279" s="4094" t="n"/>
      <c r="AE279" s="4094" t="n"/>
      <c r="AF279" s="4094" t="n"/>
      <c r="AG279" s="4094" t="n"/>
      <c r="AH279" s="4094" t="n"/>
      <c r="AI279" s="4094" t="n"/>
      <c r="AJ279" s="4094" t="n"/>
      <c r="AK279" s="4094" t="n"/>
      <c r="AL279" s="4094" t="n"/>
      <c r="AM279" s="4094" t="n"/>
      <c r="AN279" s="4094" t="n"/>
      <c r="AO279" s="4095" t="n"/>
      <c r="AP279" s="4094">
        <f>SUM(AP278,AP273,AP271,AP264)</f>
        <v/>
      </c>
      <c r="AQ279" s="4094">
        <f>SUM(AQ278,AQ273,AQ271,AQ264)</f>
        <v/>
      </c>
      <c r="AR279" s="4094">
        <f>SUM(AR278,AR273,AR271,AR264)</f>
        <v/>
      </c>
      <c r="AS279" s="4094">
        <f>SUM(AS278,AS273,AS271,AS264)</f>
        <v/>
      </c>
      <c r="AT279" s="4094">
        <f>SUM(AT278,AT273,AT271,AT264)</f>
        <v/>
      </c>
      <c r="AU279" s="4096">
        <f>SUM(AU278,AU273,AU271,AU264)</f>
        <v/>
      </c>
      <c r="AV279" s="4094">
        <f>SUM(AV278,AV273,AV271,AV264)</f>
        <v/>
      </c>
      <c r="AW279" s="4094">
        <f>SUM(AW278,AW273,AW271,AW264)</f>
        <v/>
      </c>
      <c r="AX279" s="4094">
        <f>SUM(AX278,AX273,AX271,AX264)</f>
        <v/>
      </c>
      <c r="AY279" s="4094">
        <f>SUM(AY278,AY273,AY271,AY264)</f>
        <v/>
      </c>
      <c r="AZ279" s="4094">
        <f>SUM(AZ278,AZ273,AZ271,AZ264)</f>
        <v/>
      </c>
      <c r="BA279" s="3737" t="n"/>
      <c r="BB279" s="4097">
        <f>IFERROR(F279/F$117,0)</f>
        <v/>
      </c>
      <c r="BC279" s="4097">
        <f>IFERROR(G279/G$117,0)</f>
        <v/>
      </c>
      <c r="BD279" s="4097">
        <f>IFERROR(H279/H$117,0)</f>
        <v/>
      </c>
      <c r="BE279" s="4097">
        <f>IFERROR(I279/I$117,0)</f>
        <v/>
      </c>
      <c r="BF279" s="4097">
        <f>IFERROR(J279/J$117,0)</f>
        <v/>
      </c>
      <c r="BG279" s="4097">
        <f>IFERROR(K279/K$117,0)</f>
        <v/>
      </c>
      <c r="BH279" s="4097">
        <f>IFERROR(L279/L$117,0)</f>
        <v/>
      </c>
      <c r="BI279" s="4097">
        <f>IFERROR(M279/M$117,0)</f>
        <v/>
      </c>
      <c r="BJ279" s="4097">
        <f>IFERROR(N279/N$117,0)</f>
        <v/>
      </c>
      <c r="BK279" s="4097">
        <f>IFERROR(O279/O$117,0)</f>
        <v/>
      </c>
      <c r="BL279" s="4097">
        <f>IFERROR(P279/P$117,0)</f>
        <v/>
      </c>
      <c r="BM279" s="4098">
        <f>IFERROR(Q279/Q$117,0)</f>
        <v/>
      </c>
      <c r="BN279" s="4097">
        <f>IFERROR(R279/R$117,0)</f>
        <v/>
      </c>
      <c r="BO279" s="4097">
        <f>IFERROR(S279/S$117,0)</f>
        <v/>
      </c>
      <c r="BP279" s="4097">
        <f>IFERROR(T279/T$117,0)</f>
        <v/>
      </c>
      <c r="BQ279" s="4097">
        <f>IFERROR(U279/U$117,0)</f>
        <v/>
      </c>
      <c r="BR279" s="4097">
        <f>IFERROR(V279/V$117,0)</f>
        <v/>
      </c>
      <c r="BS279" s="4097">
        <f>IFERROR(W279/W$117,0)</f>
        <v/>
      </c>
      <c r="BT279" s="4097">
        <f>IFERROR(X279/X$117,0)</f>
        <v/>
      </c>
      <c r="BU279" s="4097">
        <f>IFERROR(Y279/Y$117,0)</f>
        <v/>
      </c>
      <c r="BV279" s="4097">
        <f>IFERROR(Z279/Z$117,0)</f>
        <v/>
      </c>
      <c r="BW279" s="4097">
        <f>IFERROR(AA279/AA$117,0)</f>
        <v/>
      </c>
      <c r="BX279" s="4097">
        <f>IFERROR(AB279/AB$117,0)</f>
        <v/>
      </c>
      <c r="BY279" s="4098">
        <f>IFERROR(AC279/AC$117,0)</f>
        <v/>
      </c>
      <c r="BZ279" s="4097">
        <f>IFERROR(AD279/AD$117,0)</f>
        <v/>
      </c>
      <c r="CA279" s="4097">
        <f>IFERROR(AE279/AE$117,0)</f>
        <v/>
      </c>
      <c r="CB279" s="4097">
        <f>IFERROR(AF279/AF$117,0)</f>
        <v/>
      </c>
      <c r="CC279" s="4097">
        <f>IFERROR(AG279/AG$117,0)</f>
        <v/>
      </c>
      <c r="CD279" s="4097">
        <f>IFERROR(AH279/AH$117,0)</f>
        <v/>
      </c>
      <c r="CE279" s="4097">
        <f>IFERROR(AI279/AI$117,0)</f>
        <v/>
      </c>
      <c r="CF279" s="4097">
        <f>IFERROR(AJ279/AJ$117,0)</f>
        <v/>
      </c>
      <c r="CG279" s="4097">
        <f>IFERROR(AK279/AK$117,0)</f>
        <v/>
      </c>
      <c r="CH279" s="4097">
        <f>IFERROR(AL279/AL$117,0)</f>
        <v/>
      </c>
      <c r="CI279" s="4097">
        <f>IFERROR(AM279/AM$117,0)</f>
        <v/>
      </c>
      <c r="CJ279" s="4097">
        <f>IFERROR(AN279/AN$117,0)</f>
        <v/>
      </c>
      <c r="CK279" s="4098">
        <f>IFERROR(AO279/AO$117,0)</f>
        <v/>
      </c>
      <c r="CL279" s="4097">
        <f>IFERROR(AP279/AP$117,0)</f>
        <v/>
      </c>
      <c r="CM279" s="4097">
        <f>IFERROR(AQ279/AQ$117,0)</f>
        <v/>
      </c>
      <c r="CN279" s="4097">
        <f>IFERROR(AR279/AR$117,0)</f>
        <v/>
      </c>
      <c r="CO279" s="4097">
        <f>IFERROR(AS279/AS$117,0)</f>
        <v/>
      </c>
      <c r="CP279" s="4097">
        <f>IFERROR(AT279/AT$117,0)</f>
        <v/>
      </c>
      <c r="CQ279" s="4099">
        <f>IFERROR(AU279/AU$117,0)</f>
        <v/>
      </c>
      <c r="CR279" s="4097">
        <f>IFERROR(AV279/AV$117,0)</f>
        <v/>
      </c>
      <c r="CS279" s="4097">
        <f>IFERROR(AW279/AW$117,0)</f>
        <v/>
      </c>
      <c r="CT279" s="4097">
        <f>IFERROR(AX279/AX$117,0)</f>
        <v/>
      </c>
      <c r="CU279" s="4097">
        <f>IFERROR(AY279/AY$117,0)</f>
        <v/>
      </c>
      <c r="CV279" s="4097">
        <f>IFERROR(AZ279/AZ$117,0)</f>
        <v/>
      </c>
      <c r="CW279" s="3737" t="n"/>
      <c r="CX279" s="4094">
        <f>SUM(CX278,CX273,CX271,CX264)</f>
        <v/>
      </c>
    </row>
    <row r="280" hidden="1" outlineLevel="3" ht="12" customFormat="1" customHeight="1" s="3737">
      <c r="A280" s="4059" t="n"/>
      <c r="B280" s="4060" t="n"/>
      <c r="C280" s="4139" t="inlineStr">
        <is>
          <t>Insurance expense - corporate</t>
        </is>
      </c>
      <c r="D280" s="4101" t="n">
        <v>621101</v>
      </c>
      <c r="E280" s="4101">
        <f>CONCATENATE(D280," - ",C280)</f>
        <v/>
      </c>
      <c r="F280" s="4102" t="n"/>
      <c r="G280" s="4102" t="n"/>
      <c r="H280" s="4102" t="n"/>
      <c r="I280" s="4102" t="n"/>
      <c r="J280" s="4102" t="n"/>
      <c r="K280" s="4102" t="n"/>
      <c r="L280" s="4102" t="n"/>
      <c r="M280" s="4102" t="n"/>
      <c r="N280" s="4102" t="n"/>
      <c r="O280" s="4102" t="n"/>
      <c r="P280" s="4102" t="n"/>
      <c r="Q280" s="4103" t="n"/>
      <c r="R280" s="4102" t="n"/>
      <c r="S280" s="4102" t="n"/>
      <c r="T280" s="4102" t="n"/>
      <c r="U280" s="4102" t="n"/>
      <c r="V280" s="4102" t="n"/>
      <c r="W280" s="4102" t="n"/>
      <c r="X280" s="4102" t="n"/>
      <c r="Y280" s="4102" t="n"/>
      <c r="Z280" s="4102" t="n"/>
      <c r="AA280" s="4102" t="n"/>
      <c r="AB280" s="4102" t="n"/>
      <c r="AC280" s="4103" t="n"/>
      <c r="AD280" s="4102" t="n"/>
      <c r="AE280" s="4102" t="n"/>
      <c r="AF280" s="4102" t="n"/>
      <c r="AG280" s="4102" t="n"/>
      <c r="AH280" s="4102" t="n"/>
      <c r="AI280" s="4102" t="n"/>
      <c r="AJ280" s="4102" t="n"/>
      <c r="AK280" s="4102" t="n"/>
      <c r="AL280" s="4102" t="n"/>
      <c r="AM280" s="4102" t="n"/>
      <c r="AN280" s="4102" t="n"/>
      <c r="AO280" s="4103" t="n"/>
      <c r="AP280" s="4102" t="n">
        <v>-64.60478999999999</v>
      </c>
      <c r="AQ280" s="4102" t="n">
        <v>-64.60478999999999</v>
      </c>
      <c r="AR280" s="4102" t="n">
        <v>-64.60478999999999</v>
      </c>
      <c r="AS280" s="4102" t="n">
        <v>-64.60478999999999</v>
      </c>
      <c r="AT280" s="4102" t="n">
        <v>-64.60478999999999</v>
      </c>
      <c r="AU280" s="4104" t="n">
        <v>-63.75265</v>
      </c>
      <c r="AV280" s="4102">
        <f>SUM(F280:Q280)</f>
        <v/>
      </c>
      <c r="AW280" s="4102">
        <f>SUM(R280:AC280)</f>
        <v/>
      </c>
      <c r="AX280" s="4102">
        <f>SUM(AD280:AO280)</f>
        <v/>
      </c>
      <c r="AY280" s="4102">
        <f>SUM(AH280:AS280)</f>
        <v/>
      </c>
      <c r="AZ280" s="4102">
        <f>SUM(AJ280:AU280)</f>
        <v/>
      </c>
      <c r="BA280" s="3737" t="n"/>
      <c r="BB280" s="4105">
        <f>IFERROR(F280/F$117,0)</f>
        <v/>
      </c>
      <c r="BC280" s="4105">
        <f>IFERROR(G280/G$117,0)</f>
        <v/>
      </c>
      <c r="BD280" s="4105">
        <f>IFERROR(H280/H$117,0)</f>
        <v/>
      </c>
      <c r="BE280" s="4105">
        <f>IFERROR(I280/I$117,0)</f>
        <v/>
      </c>
      <c r="BF280" s="4105">
        <f>IFERROR(J280/J$117,0)</f>
        <v/>
      </c>
      <c r="BG280" s="4105">
        <f>IFERROR(K280/K$117,0)</f>
        <v/>
      </c>
      <c r="BH280" s="4105">
        <f>IFERROR(L280/L$117,0)</f>
        <v/>
      </c>
      <c r="BI280" s="4105">
        <f>IFERROR(M280/M$117,0)</f>
        <v/>
      </c>
      <c r="BJ280" s="4105">
        <f>IFERROR(N280/N$117,0)</f>
        <v/>
      </c>
      <c r="BK280" s="4105">
        <f>IFERROR(O280/O$117,0)</f>
        <v/>
      </c>
      <c r="BL280" s="4105">
        <f>IFERROR(P280/P$117,0)</f>
        <v/>
      </c>
      <c r="BM280" s="4106">
        <f>IFERROR(Q280/Q$117,0)</f>
        <v/>
      </c>
      <c r="BN280" s="4105">
        <f>IFERROR(R280/R$117,0)</f>
        <v/>
      </c>
      <c r="BO280" s="4105">
        <f>IFERROR(S280/S$117,0)</f>
        <v/>
      </c>
      <c r="BP280" s="4105">
        <f>IFERROR(T280/T$117,0)</f>
        <v/>
      </c>
      <c r="BQ280" s="4105">
        <f>IFERROR(U280/U$117,0)</f>
        <v/>
      </c>
      <c r="BR280" s="4105">
        <f>IFERROR(V280/V$117,0)</f>
        <v/>
      </c>
      <c r="BS280" s="4105">
        <f>IFERROR(W280/W$117,0)</f>
        <v/>
      </c>
      <c r="BT280" s="4105">
        <f>IFERROR(X280/X$117,0)</f>
        <v/>
      </c>
      <c r="BU280" s="4105">
        <f>IFERROR(Y280/Y$117,0)</f>
        <v/>
      </c>
      <c r="BV280" s="4105">
        <f>IFERROR(Z280/Z$117,0)</f>
        <v/>
      </c>
      <c r="BW280" s="4105">
        <f>IFERROR(AA280/AA$117,0)</f>
        <v/>
      </c>
      <c r="BX280" s="4105">
        <f>IFERROR(AB280/AB$117,0)</f>
        <v/>
      </c>
      <c r="BY280" s="4106">
        <f>IFERROR(AC280/AC$117,0)</f>
        <v/>
      </c>
      <c r="BZ280" s="4105">
        <f>IFERROR(AD280/AD$117,0)</f>
        <v/>
      </c>
      <c r="CA280" s="4105">
        <f>IFERROR(AE280/AE$117,0)</f>
        <v/>
      </c>
      <c r="CB280" s="4105">
        <f>IFERROR(AF280/AF$117,0)</f>
        <v/>
      </c>
      <c r="CC280" s="4105">
        <f>IFERROR(AG280/AG$117,0)</f>
        <v/>
      </c>
      <c r="CD280" s="4105">
        <f>IFERROR(AH280/AH$117,0)</f>
        <v/>
      </c>
      <c r="CE280" s="4105">
        <f>IFERROR(AI280/AI$117,0)</f>
        <v/>
      </c>
      <c r="CF280" s="4105">
        <f>IFERROR(AJ280/AJ$117,0)</f>
        <v/>
      </c>
      <c r="CG280" s="4105">
        <f>IFERROR(AK280/AK$117,0)</f>
        <v/>
      </c>
      <c r="CH280" s="4105">
        <f>IFERROR(AL280/AL$117,0)</f>
        <v/>
      </c>
      <c r="CI280" s="4105">
        <f>IFERROR(AM280/AM$117,0)</f>
        <v/>
      </c>
      <c r="CJ280" s="4105">
        <f>IFERROR(AN280/AN$117,0)</f>
        <v/>
      </c>
      <c r="CK280" s="4106">
        <f>IFERROR(AO280/AO$117,0)</f>
        <v/>
      </c>
      <c r="CL280" s="4105">
        <f>IFERROR(AP280/AP$117,0)</f>
        <v/>
      </c>
      <c r="CM280" s="4105">
        <f>IFERROR(AQ280/AQ$117,0)</f>
        <v/>
      </c>
      <c r="CN280" s="4105">
        <f>IFERROR(AR280/AR$117,0)</f>
        <v/>
      </c>
      <c r="CO280" s="4105">
        <f>IFERROR(AS280/AS$117,0)</f>
        <v/>
      </c>
      <c r="CP280" s="4105">
        <f>IFERROR(AT280/AT$117,0)</f>
        <v/>
      </c>
      <c r="CQ280" s="4107">
        <f>IFERROR(AU280/AU$117,0)</f>
        <v/>
      </c>
      <c r="CR280" s="4105">
        <f>IFERROR(AV280/AV$117,0)</f>
        <v/>
      </c>
      <c r="CS280" s="4105">
        <f>IFERROR(AW280/AW$117,0)</f>
        <v/>
      </c>
      <c r="CT280" s="4105">
        <f>IFERROR(AX280/AX$117,0)</f>
        <v/>
      </c>
      <c r="CU280" s="4105">
        <f>IFERROR(AY280/AY$117,0)</f>
        <v/>
      </c>
      <c r="CV280" s="4105">
        <f>IFERROR(AZ280/AZ$117,0)</f>
        <v/>
      </c>
      <c r="CX280" s="4102" t="n">
        <v>-216.21583</v>
      </c>
    </row>
    <row r="281" hidden="1" outlineLevel="2" collapsed="1" ht="12" customFormat="1" customHeight="1" s="3737">
      <c r="A281" s="4059" t="n"/>
      <c r="B281" s="4060" t="n"/>
      <c r="C281" s="4127" t="inlineStr">
        <is>
          <t>Insurance expense</t>
        </is>
      </c>
      <c r="D281" s="4093" t="n"/>
      <c r="E281" s="4093" t="n"/>
      <c r="F281" s="4094" t="n"/>
      <c r="G281" s="4094" t="n"/>
      <c r="H281" s="4094" t="n"/>
      <c r="I281" s="4094" t="n"/>
      <c r="J281" s="4094" t="n"/>
      <c r="K281" s="4094" t="n"/>
      <c r="L281" s="4094" t="n"/>
      <c r="M281" s="4094" t="n"/>
      <c r="N281" s="4094" t="n"/>
      <c r="O281" s="4094" t="n"/>
      <c r="P281" s="4094" t="n"/>
      <c r="Q281" s="4095" t="n"/>
      <c r="R281" s="4094" t="n"/>
      <c r="S281" s="4094" t="n"/>
      <c r="T281" s="4094" t="n"/>
      <c r="U281" s="4094" t="n"/>
      <c r="V281" s="4094" t="n"/>
      <c r="W281" s="4094" t="n"/>
      <c r="X281" s="4094" t="n"/>
      <c r="Y281" s="4094" t="n"/>
      <c r="Z281" s="4094" t="n"/>
      <c r="AA281" s="4094" t="n"/>
      <c r="AB281" s="4094" t="n"/>
      <c r="AC281" s="4095" t="n"/>
      <c r="AD281" s="4094" t="n"/>
      <c r="AE281" s="4094" t="n"/>
      <c r="AF281" s="4094" t="n"/>
      <c r="AG281" s="4094" t="n"/>
      <c r="AH281" s="4094" t="n"/>
      <c r="AI281" s="4094" t="n"/>
      <c r="AJ281" s="4094" t="n"/>
      <c r="AK281" s="4094" t="n"/>
      <c r="AL281" s="4094" t="n"/>
      <c r="AM281" s="4094" t="n"/>
      <c r="AN281" s="4094" t="n"/>
      <c r="AO281" s="4095" t="n"/>
      <c r="AP281" s="4094">
        <f>SUM(AP280)</f>
        <v/>
      </c>
      <c r="AQ281" s="4094">
        <f>SUM(AQ280)</f>
        <v/>
      </c>
      <c r="AR281" s="4094">
        <f>SUM(AR280)</f>
        <v/>
      </c>
      <c r="AS281" s="4094">
        <f>SUM(AS280)</f>
        <v/>
      </c>
      <c r="AT281" s="4094">
        <f>SUM(AT280)</f>
        <v/>
      </c>
      <c r="AU281" s="4096">
        <f>SUM(AU280)</f>
        <v/>
      </c>
      <c r="AV281" s="4094">
        <f>SUM(AV280)</f>
        <v/>
      </c>
      <c r="AW281" s="4094">
        <f>SUM(AW280)</f>
        <v/>
      </c>
      <c r="AX281" s="4094">
        <f>SUM(AX280)</f>
        <v/>
      </c>
      <c r="AY281" s="4094">
        <f>SUM(AY280)</f>
        <v/>
      </c>
      <c r="AZ281" s="4094">
        <f>SUM(AZ280)</f>
        <v/>
      </c>
      <c r="BA281" s="3737" t="n"/>
      <c r="BB281" s="4097">
        <f>IFERROR(F281/F$117,0)</f>
        <v/>
      </c>
      <c r="BC281" s="4097">
        <f>IFERROR(G281/G$117,0)</f>
        <v/>
      </c>
      <c r="BD281" s="4097">
        <f>IFERROR(H281/H$117,0)</f>
        <v/>
      </c>
      <c r="BE281" s="4097">
        <f>IFERROR(I281/I$117,0)</f>
        <v/>
      </c>
      <c r="BF281" s="4097">
        <f>IFERROR(J281/J$117,0)</f>
        <v/>
      </c>
      <c r="BG281" s="4097">
        <f>IFERROR(K281/K$117,0)</f>
        <v/>
      </c>
      <c r="BH281" s="4097">
        <f>IFERROR(L281/L$117,0)</f>
        <v/>
      </c>
      <c r="BI281" s="4097">
        <f>IFERROR(M281/M$117,0)</f>
        <v/>
      </c>
      <c r="BJ281" s="4097">
        <f>IFERROR(N281/N$117,0)</f>
        <v/>
      </c>
      <c r="BK281" s="4097">
        <f>IFERROR(O281/O$117,0)</f>
        <v/>
      </c>
      <c r="BL281" s="4097">
        <f>IFERROR(P281/P$117,0)</f>
        <v/>
      </c>
      <c r="BM281" s="4098">
        <f>IFERROR(Q281/Q$117,0)</f>
        <v/>
      </c>
      <c r="BN281" s="4097">
        <f>IFERROR(R281/R$117,0)</f>
        <v/>
      </c>
      <c r="BO281" s="4097">
        <f>IFERROR(S281/S$117,0)</f>
        <v/>
      </c>
      <c r="BP281" s="4097">
        <f>IFERROR(T281/T$117,0)</f>
        <v/>
      </c>
      <c r="BQ281" s="4097">
        <f>IFERROR(U281/U$117,0)</f>
        <v/>
      </c>
      <c r="BR281" s="4097">
        <f>IFERROR(V281/V$117,0)</f>
        <v/>
      </c>
      <c r="BS281" s="4097">
        <f>IFERROR(W281/W$117,0)</f>
        <v/>
      </c>
      <c r="BT281" s="4097">
        <f>IFERROR(X281/X$117,0)</f>
        <v/>
      </c>
      <c r="BU281" s="4097">
        <f>IFERROR(Y281/Y$117,0)</f>
        <v/>
      </c>
      <c r="BV281" s="4097">
        <f>IFERROR(Z281/Z$117,0)</f>
        <v/>
      </c>
      <c r="BW281" s="4097">
        <f>IFERROR(AA281/AA$117,0)</f>
        <v/>
      </c>
      <c r="BX281" s="4097">
        <f>IFERROR(AB281/AB$117,0)</f>
        <v/>
      </c>
      <c r="BY281" s="4098">
        <f>IFERROR(AC281/AC$117,0)</f>
        <v/>
      </c>
      <c r="BZ281" s="4097">
        <f>IFERROR(AD281/AD$117,0)</f>
        <v/>
      </c>
      <c r="CA281" s="4097">
        <f>IFERROR(AE281/AE$117,0)</f>
        <v/>
      </c>
      <c r="CB281" s="4097">
        <f>IFERROR(AF281/AF$117,0)</f>
        <v/>
      </c>
      <c r="CC281" s="4097">
        <f>IFERROR(AG281/AG$117,0)</f>
        <v/>
      </c>
      <c r="CD281" s="4097">
        <f>IFERROR(AH281/AH$117,0)</f>
        <v/>
      </c>
      <c r="CE281" s="4097">
        <f>IFERROR(AI281/AI$117,0)</f>
        <v/>
      </c>
      <c r="CF281" s="4097">
        <f>IFERROR(AJ281/AJ$117,0)</f>
        <v/>
      </c>
      <c r="CG281" s="4097">
        <f>IFERROR(AK281/AK$117,0)</f>
        <v/>
      </c>
      <c r="CH281" s="4097">
        <f>IFERROR(AL281/AL$117,0)</f>
        <v/>
      </c>
      <c r="CI281" s="4097">
        <f>IFERROR(AM281/AM$117,0)</f>
        <v/>
      </c>
      <c r="CJ281" s="4097">
        <f>IFERROR(AN281/AN$117,0)</f>
        <v/>
      </c>
      <c r="CK281" s="4098">
        <f>IFERROR(AO281/AO$117,0)</f>
        <v/>
      </c>
      <c r="CL281" s="4097">
        <f>IFERROR(AP281/AP$117,0)</f>
        <v/>
      </c>
      <c r="CM281" s="4097">
        <f>IFERROR(AQ281/AQ$117,0)</f>
        <v/>
      </c>
      <c r="CN281" s="4097">
        <f>IFERROR(AR281/AR$117,0)</f>
        <v/>
      </c>
      <c r="CO281" s="4097">
        <f>IFERROR(AS281/AS$117,0)</f>
        <v/>
      </c>
      <c r="CP281" s="4097">
        <f>IFERROR(AT281/AT$117,0)</f>
        <v/>
      </c>
      <c r="CQ281" s="4099">
        <f>IFERROR(AU281/AU$117,0)</f>
        <v/>
      </c>
      <c r="CR281" s="4097">
        <f>IFERROR(AV281/AV$117,0)</f>
        <v/>
      </c>
      <c r="CS281" s="4097">
        <f>IFERROR(AW281/AW$117,0)</f>
        <v/>
      </c>
      <c r="CT281" s="4097">
        <f>IFERROR(AX281/AX$117,0)</f>
        <v/>
      </c>
      <c r="CU281" s="4097">
        <f>IFERROR(AY281/AY$117,0)</f>
        <v/>
      </c>
      <c r="CV281" s="4097">
        <f>IFERROR(AZ281/AZ$117,0)</f>
        <v/>
      </c>
      <c r="CW281" s="3737" t="n"/>
      <c r="CX281" s="4094">
        <f>SUM(CX280)</f>
        <v/>
      </c>
    </row>
    <row r="282" hidden="1" outlineLevel="3" ht="12" customFormat="1" customHeight="1" s="3737">
      <c r="A282" s="4059" t="n"/>
      <c r="B282" s="4060" t="n"/>
      <c r="C282" s="4140" t="inlineStr">
        <is>
          <t>Canadian hst,gst limit on itcs-corp</t>
        </is>
      </c>
      <c r="D282" s="4093" t="n">
        <v>651215</v>
      </c>
      <c r="E282" s="4093">
        <f>CONCATENATE(D282," - ",C282)</f>
        <v/>
      </c>
      <c r="F282" s="4094" t="n"/>
      <c r="G282" s="4094" t="n"/>
      <c r="H282" s="4094" t="n"/>
      <c r="I282" s="4094" t="n"/>
      <c r="J282" s="4094" t="n"/>
      <c r="K282" s="4094" t="n"/>
      <c r="L282" s="4094" t="n"/>
      <c r="M282" s="4094" t="n"/>
      <c r="N282" s="4094" t="n"/>
      <c r="O282" s="4094" t="n"/>
      <c r="P282" s="4094" t="n"/>
      <c r="Q282" s="4095" t="n"/>
      <c r="R282" s="4094" t="n"/>
      <c r="S282" s="4094" t="n"/>
      <c r="T282" s="4094" t="n"/>
      <c r="U282" s="4094" t="n"/>
      <c r="V282" s="4094" t="n"/>
      <c r="W282" s="4094" t="n"/>
      <c r="X282" s="4094" t="n"/>
      <c r="Y282" s="4094" t="n"/>
      <c r="Z282" s="4094" t="n"/>
      <c r="AA282" s="4094" t="n"/>
      <c r="AB282" s="4094" t="n"/>
      <c r="AC282" s="4095" t="n"/>
      <c r="AD282" s="4094" t="n"/>
      <c r="AE282" s="4094" t="n"/>
      <c r="AF282" s="4094" t="n"/>
      <c r="AG282" s="4094" t="n"/>
      <c r="AH282" s="4094" t="n"/>
      <c r="AI282" s="4094" t="n"/>
      <c r="AJ282" s="4094" t="n"/>
      <c r="AK282" s="4094" t="n"/>
      <c r="AL282" s="4094" t="n"/>
      <c r="AM282" s="4094" t="n"/>
      <c r="AN282" s="4094" t="n"/>
      <c r="AO282" s="4095" t="n"/>
      <c r="AP282" s="4094" t="n">
        <v>-12.48478</v>
      </c>
      <c r="AQ282" s="4094" t="n">
        <v>-30.23381</v>
      </c>
      <c r="AR282" s="4094" t="n">
        <v>-20.9142</v>
      </c>
      <c r="AS282" s="4094" t="n">
        <v>-13.00078</v>
      </c>
      <c r="AT282" s="4094" t="n">
        <v>-20.38593</v>
      </c>
      <c r="AU282" s="4096" t="n">
        <v>-18.08546</v>
      </c>
      <c r="AV282" s="4094">
        <f>SUM(F282:Q282)</f>
        <v/>
      </c>
      <c r="AW282" s="4094">
        <f>SUM(R282:AC282)</f>
        <v/>
      </c>
      <c r="AX282" s="4094">
        <f>SUM(AD282:AO282)</f>
        <v/>
      </c>
      <c r="AY282" s="4094">
        <f>SUM(AH282:AS282)</f>
        <v/>
      </c>
      <c r="AZ282" s="4094">
        <f>SUM(AJ282:AU282)</f>
        <v/>
      </c>
      <c r="BA282" s="3737" t="n"/>
      <c r="BB282" s="4097">
        <f>IFERROR(F282/F$117,0)</f>
        <v/>
      </c>
      <c r="BC282" s="4097">
        <f>IFERROR(G282/G$117,0)</f>
        <v/>
      </c>
      <c r="BD282" s="4097">
        <f>IFERROR(H282/H$117,0)</f>
        <v/>
      </c>
      <c r="BE282" s="4097">
        <f>IFERROR(I282/I$117,0)</f>
        <v/>
      </c>
      <c r="BF282" s="4097">
        <f>IFERROR(J282/J$117,0)</f>
        <v/>
      </c>
      <c r="BG282" s="4097">
        <f>IFERROR(K282/K$117,0)</f>
        <v/>
      </c>
      <c r="BH282" s="4097">
        <f>IFERROR(L282/L$117,0)</f>
        <v/>
      </c>
      <c r="BI282" s="4097">
        <f>IFERROR(M282/M$117,0)</f>
        <v/>
      </c>
      <c r="BJ282" s="4097">
        <f>IFERROR(N282/N$117,0)</f>
        <v/>
      </c>
      <c r="BK282" s="4097">
        <f>IFERROR(O282/O$117,0)</f>
        <v/>
      </c>
      <c r="BL282" s="4097">
        <f>IFERROR(P282/P$117,0)</f>
        <v/>
      </c>
      <c r="BM282" s="4098">
        <f>IFERROR(Q282/Q$117,0)</f>
        <v/>
      </c>
      <c r="BN282" s="4097">
        <f>IFERROR(R282/R$117,0)</f>
        <v/>
      </c>
      <c r="BO282" s="4097">
        <f>IFERROR(S282/S$117,0)</f>
        <v/>
      </c>
      <c r="BP282" s="4097">
        <f>IFERROR(T282/T$117,0)</f>
        <v/>
      </c>
      <c r="BQ282" s="4097">
        <f>IFERROR(U282/U$117,0)</f>
        <v/>
      </c>
      <c r="BR282" s="4097">
        <f>IFERROR(V282/V$117,0)</f>
        <v/>
      </c>
      <c r="BS282" s="4097">
        <f>IFERROR(W282/W$117,0)</f>
        <v/>
      </c>
      <c r="BT282" s="4097">
        <f>IFERROR(X282/X$117,0)</f>
        <v/>
      </c>
      <c r="BU282" s="4097">
        <f>IFERROR(Y282/Y$117,0)</f>
        <v/>
      </c>
      <c r="BV282" s="4097">
        <f>IFERROR(Z282/Z$117,0)</f>
        <v/>
      </c>
      <c r="BW282" s="4097">
        <f>IFERROR(AA282/AA$117,0)</f>
        <v/>
      </c>
      <c r="BX282" s="4097">
        <f>IFERROR(AB282/AB$117,0)</f>
        <v/>
      </c>
      <c r="BY282" s="4098">
        <f>IFERROR(AC282/AC$117,0)</f>
        <v/>
      </c>
      <c r="BZ282" s="4097">
        <f>IFERROR(AD282/AD$117,0)</f>
        <v/>
      </c>
      <c r="CA282" s="4097">
        <f>IFERROR(AE282/AE$117,0)</f>
        <v/>
      </c>
      <c r="CB282" s="4097">
        <f>IFERROR(AF282/AF$117,0)</f>
        <v/>
      </c>
      <c r="CC282" s="4097">
        <f>IFERROR(AG282/AG$117,0)</f>
        <v/>
      </c>
      <c r="CD282" s="4097">
        <f>IFERROR(AH282/AH$117,0)</f>
        <v/>
      </c>
      <c r="CE282" s="4097">
        <f>IFERROR(AI282/AI$117,0)</f>
        <v/>
      </c>
      <c r="CF282" s="4097">
        <f>IFERROR(AJ282/AJ$117,0)</f>
        <v/>
      </c>
      <c r="CG282" s="4097">
        <f>IFERROR(AK282/AK$117,0)</f>
        <v/>
      </c>
      <c r="CH282" s="4097">
        <f>IFERROR(AL282/AL$117,0)</f>
        <v/>
      </c>
      <c r="CI282" s="4097">
        <f>IFERROR(AM282/AM$117,0)</f>
        <v/>
      </c>
      <c r="CJ282" s="4097">
        <f>IFERROR(AN282/AN$117,0)</f>
        <v/>
      </c>
      <c r="CK282" s="4098">
        <f>IFERROR(AO282/AO$117,0)</f>
        <v/>
      </c>
      <c r="CL282" s="4097">
        <f>IFERROR(AP282/AP$117,0)</f>
        <v/>
      </c>
      <c r="CM282" s="4097">
        <f>IFERROR(AQ282/AQ$117,0)</f>
        <v/>
      </c>
      <c r="CN282" s="4097">
        <f>IFERROR(AR282/AR$117,0)</f>
        <v/>
      </c>
      <c r="CO282" s="4097">
        <f>IFERROR(AS282/AS$117,0)</f>
        <v/>
      </c>
      <c r="CP282" s="4097">
        <f>IFERROR(AT282/AT$117,0)</f>
        <v/>
      </c>
      <c r="CQ282" s="4099">
        <f>IFERROR(AU282/AU$117,0)</f>
        <v/>
      </c>
      <c r="CR282" s="4097">
        <f>IFERROR(AV282/AV$117,0)</f>
        <v/>
      </c>
      <c r="CS282" s="4097">
        <f>IFERROR(AW282/AW$117,0)</f>
        <v/>
      </c>
      <c r="CT282" s="4097">
        <f>IFERROR(AX282/AX$117,0)</f>
        <v/>
      </c>
      <c r="CU282" s="4097">
        <f>IFERROR(AY282/AY$117,0)</f>
        <v/>
      </c>
      <c r="CV282" s="4097">
        <f>IFERROR(AZ282/AZ$117,0)</f>
        <v/>
      </c>
      <c r="CW282" s="3737" t="n"/>
      <c r="CX282" s="4094" t="n">
        <v>-69.5</v>
      </c>
    </row>
    <row r="283" hidden="1" outlineLevel="3" ht="12" customFormat="1" customHeight="1" s="3737">
      <c r="A283" s="4059" t="n"/>
      <c r="B283" s="4060" t="n"/>
      <c r="C283" s="4139" t="inlineStr">
        <is>
          <t>Canadian hst,gst limit on itcs- sme</t>
        </is>
      </c>
      <c r="D283" s="4101" t="n">
        <v>651215</v>
      </c>
      <c r="E283" s="4101">
        <f>CONCATENATE(D283," - ",C283)</f>
        <v/>
      </c>
      <c r="F283" s="4102" t="n"/>
      <c r="G283" s="4102" t="n"/>
      <c r="H283" s="4102" t="n"/>
      <c r="I283" s="4102" t="n"/>
      <c r="J283" s="4102" t="n"/>
      <c r="K283" s="4102" t="n"/>
      <c r="L283" s="4102" t="n"/>
      <c r="M283" s="4102" t="n"/>
      <c r="N283" s="4102" t="n"/>
      <c r="O283" s="4102" t="n"/>
      <c r="P283" s="4102" t="n"/>
      <c r="Q283" s="4103" t="n"/>
      <c r="R283" s="4102" t="n"/>
      <c r="S283" s="4102" t="n"/>
      <c r="T283" s="4102" t="n"/>
      <c r="U283" s="4102" t="n"/>
      <c r="V283" s="4102" t="n"/>
      <c r="W283" s="4102" t="n"/>
      <c r="X283" s="4102" t="n"/>
      <c r="Y283" s="4102" t="n"/>
      <c r="Z283" s="4102" t="n"/>
      <c r="AA283" s="4102" t="n"/>
      <c r="AB283" s="4102" t="n"/>
      <c r="AC283" s="4103" t="n"/>
      <c r="AD283" s="4102" t="n"/>
      <c r="AE283" s="4102" t="n"/>
      <c r="AF283" s="4102" t="n"/>
      <c r="AG283" s="4102" t="n"/>
      <c r="AH283" s="4102" t="n"/>
      <c r="AI283" s="4102" t="n"/>
      <c r="AJ283" s="4102" t="n"/>
      <c r="AK283" s="4102" t="n"/>
      <c r="AL283" s="4102" t="n"/>
      <c r="AM283" s="4102" t="n"/>
      <c r="AN283" s="4102" t="n"/>
      <c r="AO283" s="4103" t="n"/>
      <c r="AP283" s="4102" t="n">
        <v>-0.009310000000000001</v>
      </c>
      <c r="AQ283" s="4102" t="n">
        <v>0</v>
      </c>
      <c r="AR283" s="4102" t="n">
        <v>0.01386</v>
      </c>
      <c r="AS283" s="4102" t="n">
        <v>0</v>
      </c>
      <c r="AT283" s="4102" t="n">
        <v>0</v>
      </c>
      <c r="AU283" s="4104" t="n">
        <v>-0.10512</v>
      </c>
      <c r="AV283" s="4102">
        <f>SUM(F283:Q283)</f>
        <v/>
      </c>
      <c r="AW283" s="4102">
        <f>SUM(R283:AC283)</f>
        <v/>
      </c>
      <c r="AX283" s="4102">
        <f>SUM(AD283:AO283)</f>
        <v/>
      </c>
      <c r="AY283" s="4102">
        <f>SUM(AH283:AS283)</f>
        <v/>
      </c>
      <c r="AZ283" s="4102">
        <f>SUM(AJ283:AU283)</f>
        <v/>
      </c>
      <c r="BA283" s="3737" t="n"/>
      <c r="BB283" s="4105">
        <f>IFERROR(F283/F$117,0)</f>
        <v/>
      </c>
      <c r="BC283" s="4105">
        <f>IFERROR(G283/G$117,0)</f>
        <v/>
      </c>
      <c r="BD283" s="4105">
        <f>IFERROR(H283/H$117,0)</f>
        <v/>
      </c>
      <c r="BE283" s="4105">
        <f>IFERROR(I283/I$117,0)</f>
        <v/>
      </c>
      <c r="BF283" s="4105">
        <f>IFERROR(J283/J$117,0)</f>
        <v/>
      </c>
      <c r="BG283" s="4105">
        <f>IFERROR(K283/K$117,0)</f>
        <v/>
      </c>
      <c r="BH283" s="4105">
        <f>IFERROR(L283/L$117,0)</f>
        <v/>
      </c>
      <c r="BI283" s="4105">
        <f>IFERROR(M283/M$117,0)</f>
        <v/>
      </c>
      <c r="BJ283" s="4105">
        <f>IFERROR(N283/N$117,0)</f>
        <v/>
      </c>
      <c r="BK283" s="4105">
        <f>IFERROR(O283/O$117,0)</f>
        <v/>
      </c>
      <c r="BL283" s="4105">
        <f>IFERROR(P283/P$117,0)</f>
        <v/>
      </c>
      <c r="BM283" s="4106">
        <f>IFERROR(Q283/Q$117,0)</f>
        <v/>
      </c>
      <c r="BN283" s="4105">
        <f>IFERROR(R283/R$117,0)</f>
        <v/>
      </c>
      <c r="BO283" s="4105">
        <f>IFERROR(S283/S$117,0)</f>
        <v/>
      </c>
      <c r="BP283" s="4105">
        <f>IFERROR(T283/T$117,0)</f>
        <v/>
      </c>
      <c r="BQ283" s="4105">
        <f>IFERROR(U283/U$117,0)</f>
        <v/>
      </c>
      <c r="BR283" s="4105">
        <f>IFERROR(V283/V$117,0)</f>
        <v/>
      </c>
      <c r="BS283" s="4105">
        <f>IFERROR(W283/W$117,0)</f>
        <v/>
      </c>
      <c r="BT283" s="4105">
        <f>IFERROR(X283/X$117,0)</f>
        <v/>
      </c>
      <c r="BU283" s="4105">
        <f>IFERROR(Y283/Y$117,0)</f>
        <v/>
      </c>
      <c r="BV283" s="4105">
        <f>IFERROR(Z283/Z$117,0)</f>
        <v/>
      </c>
      <c r="BW283" s="4105">
        <f>IFERROR(AA283/AA$117,0)</f>
        <v/>
      </c>
      <c r="BX283" s="4105">
        <f>IFERROR(AB283/AB$117,0)</f>
        <v/>
      </c>
      <c r="BY283" s="4106">
        <f>IFERROR(AC283/AC$117,0)</f>
        <v/>
      </c>
      <c r="BZ283" s="4105">
        <f>IFERROR(AD283/AD$117,0)</f>
        <v/>
      </c>
      <c r="CA283" s="4105">
        <f>IFERROR(AE283/AE$117,0)</f>
        <v/>
      </c>
      <c r="CB283" s="4105">
        <f>IFERROR(AF283/AF$117,0)</f>
        <v/>
      </c>
      <c r="CC283" s="4105">
        <f>IFERROR(AG283/AG$117,0)</f>
        <v/>
      </c>
      <c r="CD283" s="4105">
        <f>IFERROR(AH283/AH$117,0)</f>
        <v/>
      </c>
      <c r="CE283" s="4105">
        <f>IFERROR(AI283/AI$117,0)</f>
        <v/>
      </c>
      <c r="CF283" s="4105">
        <f>IFERROR(AJ283/AJ$117,0)</f>
        <v/>
      </c>
      <c r="CG283" s="4105">
        <f>IFERROR(AK283/AK$117,0)</f>
        <v/>
      </c>
      <c r="CH283" s="4105">
        <f>IFERROR(AL283/AL$117,0)</f>
        <v/>
      </c>
      <c r="CI283" s="4105">
        <f>IFERROR(AM283/AM$117,0)</f>
        <v/>
      </c>
      <c r="CJ283" s="4105">
        <f>IFERROR(AN283/AN$117,0)</f>
        <v/>
      </c>
      <c r="CK283" s="4106">
        <f>IFERROR(AO283/AO$117,0)</f>
        <v/>
      </c>
      <c r="CL283" s="4105">
        <f>IFERROR(AP283/AP$117,0)</f>
        <v/>
      </c>
      <c r="CM283" s="4105">
        <f>IFERROR(AQ283/AQ$117,0)</f>
        <v/>
      </c>
      <c r="CN283" s="4105">
        <f>IFERROR(AR283/AR$117,0)</f>
        <v/>
      </c>
      <c r="CO283" s="4105">
        <f>IFERROR(AS283/AS$117,0)</f>
        <v/>
      </c>
      <c r="CP283" s="4105">
        <f>IFERROR(AT283/AT$117,0)</f>
        <v/>
      </c>
      <c r="CQ283" s="4107">
        <f>IFERROR(AU283/AU$117,0)</f>
        <v/>
      </c>
      <c r="CR283" s="4105">
        <f>IFERROR(AV283/AV$117,0)</f>
        <v/>
      </c>
      <c r="CS283" s="4105">
        <f>IFERROR(AW283/AW$117,0)</f>
        <v/>
      </c>
      <c r="CT283" s="4105">
        <f>IFERROR(AX283/AX$117,0)</f>
        <v/>
      </c>
      <c r="CU283" s="4105">
        <f>IFERROR(AY283/AY$117,0)</f>
        <v/>
      </c>
      <c r="CV283" s="4105">
        <f>IFERROR(AZ283/AZ$117,0)</f>
        <v/>
      </c>
      <c r="CW283" s="3737" t="n"/>
      <c r="CX283" s="4102" t="n">
        <v>-59.17</v>
      </c>
    </row>
    <row r="284" hidden="1" outlineLevel="2" collapsed="1" ht="12" customFormat="1" customHeight="1" s="3737">
      <c r="A284" s="4059" t="n"/>
      <c r="B284" s="4060" t="n"/>
      <c r="C284" s="4127" t="inlineStr">
        <is>
          <t>Gst hst limitation</t>
        </is>
      </c>
      <c r="D284" s="4093" t="n"/>
      <c r="E284" s="4093" t="n"/>
      <c r="F284" s="4094" t="n"/>
      <c r="G284" s="4094" t="n"/>
      <c r="H284" s="4094" t="n"/>
      <c r="I284" s="4094" t="n"/>
      <c r="J284" s="4094" t="n"/>
      <c r="K284" s="4094" t="n"/>
      <c r="L284" s="4094" t="n"/>
      <c r="M284" s="4094" t="n"/>
      <c r="N284" s="4094" t="n"/>
      <c r="O284" s="4094" t="n"/>
      <c r="P284" s="4094" t="n"/>
      <c r="Q284" s="4095" t="n"/>
      <c r="R284" s="4094" t="n"/>
      <c r="S284" s="4094" t="n"/>
      <c r="T284" s="4094" t="n"/>
      <c r="U284" s="4094" t="n"/>
      <c r="V284" s="4094" t="n"/>
      <c r="W284" s="4094" t="n"/>
      <c r="X284" s="4094" t="n"/>
      <c r="Y284" s="4094" t="n"/>
      <c r="Z284" s="4094" t="n"/>
      <c r="AA284" s="4094" t="n"/>
      <c r="AB284" s="4094" t="n"/>
      <c r="AC284" s="4095" t="n"/>
      <c r="AD284" s="4094" t="n"/>
      <c r="AE284" s="4094" t="n"/>
      <c r="AF284" s="4094" t="n"/>
      <c r="AG284" s="4094" t="n"/>
      <c r="AH284" s="4094" t="n"/>
      <c r="AI284" s="4094" t="n"/>
      <c r="AJ284" s="4094" t="n"/>
      <c r="AK284" s="4094" t="n"/>
      <c r="AL284" s="4094" t="n"/>
      <c r="AM284" s="4094" t="n"/>
      <c r="AN284" s="4094" t="n"/>
      <c r="AO284" s="4095" t="n"/>
      <c r="AP284" s="4094">
        <f>SUM(AP282:AP283)</f>
        <v/>
      </c>
      <c r="AQ284" s="4094">
        <f>SUM(AQ282:AQ283)</f>
        <v/>
      </c>
      <c r="AR284" s="4094">
        <f>SUM(AR282:AR283)</f>
        <v/>
      </c>
      <c r="AS284" s="4094">
        <f>SUM(AS282:AS283)</f>
        <v/>
      </c>
      <c r="AT284" s="4094">
        <f>SUM(AT282:AT283)</f>
        <v/>
      </c>
      <c r="AU284" s="4096">
        <f>SUM(AU282:AU283)</f>
        <v/>
      </c>
      <c r="AV284" s="4094">
        <f>SUM(AV282:AV283)</f>
        <v/>
      </c>
      <c r="AW284" s="4094">
        <f>SUM(AW282:AW283)</f>
        <v/>
      </c>
      <c r="AX284" s="4094">
        <f>SUM(AX282:AX283)</f>
        <v/>
      </c>
      <c r="AY284" s="4094">
        <f>SUM(AY282:AY283)</f>
        <v/>
      </c>
      <c r="AZ284" s="4094">
        <f>SUM(AZ282:AZ283)</f>
        <v/>
      </c>
      <c r="BA284" s="3737" t="n"/>
      <c r="BB284" s="4097">
        <f>IFERROR(F284/F$117,0)</f>
        <v/>
      </c>
      <c r="BC284" s="4097">
        <f>IFERROR(G284/G$117,0)</f>
        <v/>
      </c>
      <c r="BD284" s="4097">
        <f>IFERROR(H284/H$117,0)</f>
        <v/>
      </c>
      <c r="BE284" s="4097">
        <f>IFERROR(I284/I$117,0)</f>
        <v/>
      </c>
      <c r="BF284" s="4097">
        <f>IFERROR(J284/J$117,0)</f>
        <v/>
      </c>
      <c r="BG284" s="4097">
        <f>IFERROR(K284/K$117,0)</f>
        <v/>
      </c>
      <c r="BH284" s="4097">
        <f>IFERROR(L284/L$117,0)</f>
        <v/>
      </c>
      <c r="BI284" s="4097">
        <f>IFERROR(M284/M$117,0)</f>
        <v/>
      </c>
      <c r="BJ284" s="4097">
        <f>IFERROR(N284/N$117,0)</f>
        <v/>
      </c>
      <c r="BK284" s="4097">
        <f>IFERROR(O284/O$117,0)</f>
        <v/>
      </c>
      <c r="BL284" s="4097">
        <f>IFERROR(P284/P$117,0)</f>
        <v/>
      </c>
      <c r="BM284" s="4098">
        <f>IFERROR(Q284/Q$117,0)</f>
        <v/>
      </c>
      <c r="BN284" s="4097">
        <f>IFERROR(R284/R$117,0)</f>
        <v/>
      </c>
      <c r="BO284" s="4097">
        <f>IFERROR(S284/S$117,0)</f>
        <v/>
      </c>
      <c r="BP284" s="4097">
        <f>IFERROR(T284/T$117,0)</f>
        <v/>
      </c>
      <c r="BQ284" s="4097">
        <f>IFERROR(U284/U$117,0)</f>
        <v/>
      </c>
      <c r="BR284" s="4097">
        <f>IFERROR(V284/V$117,0)</f>
        <v/>
      </c>
      <c r="BS284" s="4097">
        <f>IFERROR(W284/W$117,0)</f>
        <v/>
      </c>
      <c r="BT284" s="4097">
        <f>IFERROR(X284/X$117,0)</f>
        <v/>
      </c>
      <c r="BU284" s="4097">
        <f>IFERROR(Y284/Y$117,0)</f>
        <v/>
      </c>
      <c r="BV284" s="4097">
        <f>IFERROR(Z284/Z$117,0)</f>
        <v/>
      </c>
      <c r="BW284" s="4097">
        <f>IFERROR(AA284/AA$117,0)</f>
        <v/>
      </c>
      <c r="BX284" s="4097">
        <f>IFERROR(AB284/AB$117,0)</f>
        <v/>
      </c>
      <c r="BY284" s="4098">
        <f>IFERROR(AC284/AC$117,0)</f>
        <v/>
      </c>
      <c r="BZ284" s="4097">
        <f>IFERROR(AD284/AD$117,0)</f>
        <v/>
      </c>
      <c r="CA284" s="4097">
        <f>IFERROR(AE284/AE$117,0)</f>
        <v/>
      </c>
      <c r="CB284" s="4097">
        <f>IFERROR(AF284/AF$117,0)</f>
        <v/>
      </c>
      <c r="CC284" s="4097">
        <f>IFERROR(AG284/AG$117,0)</f>
        <v/>
      </c>
      <c r="CD284" s="4097">
        <f>IFERROR(AH284/AH$117,0)</f>
        <v/>
      </c>
      <c r="CE284" s="4097">
        <f>IFERROR(AI284/AI$117,0)</f>
        <v/>
      </c>
      <c r="CF284" s="4097">
        <f>IFERROR(AJ284/AJ$117,0)</f>
        <v/>
      </c>
      <c r="CG284" s="4097">
        <f>IFERROR(AK284/AK$117,0)</f>
        <v/>
      </c>
      <c r="CH284" s="4097">
        <f>IFERROR(AL284/AL$117,0)</f>
        <v/>
      </c>
      <c r="CI284" s="4097">
        <f>IFERROR(AM284/AM$117,0)</f>
        <v/>
      </c>
      <c r="CJ284" s="4097">
        <f>IFERROR(AN284/AN$117,0)</f>
        <v/>
      </c>
      <c r="CK284" s="4098">
        <f>IFERROR(AO284/AO$117,0)</f>
        <v/>
      </c>
      <c r="CL284" s="4097">
        <f>IFERROR(AP284/AP$117,0)</f>
        <v/>
      </c>
      <c r="CM284" s="4097">
        <f>IFERROR(AQ284/AQ$117,0)</f>
        <v/>
      </c>
      <c r="CN284" s="4097">
        <f>IFERROR(AR284/AR$117,0)</f>
        <v/>
      </c>
      <c r="CO284" s="4097">
        <f>IFERROR(AS284/AS$117,0)</f>
        <v/>
      </c>
      <c r="CP284" s="4097">
        <f>IFERROR(AT284/AT$117,0)</f>
        <v/>
      </c>
      <c r="CQ284" s="4099">
        <f>IFERROR(AU284/AU$117,0)</f>
        <v/>
      </c>
      <c r="CR284" s="4097">
        <f>IFERROR(AV284/AV$117,0)</f>
        <v/>
      </c>
      <c r="CS284" s="4097">
        <f>IFERROR(AW284/AW$117,0)</f>
        <v/>
      </c>
      <c r="CT284" s="4097">
        <f>IFERROR(AX284/AX$117,0)</f>
        <v/>
      </c>
      <c r="CU284" s="4097">
        <f>IFERROR(AY284/AY$117,0)</f>
        <v/>
      </c>
      <c r="CV284" s="4097">
        <f>IFERROR(AZ284/AZ$117,0)</f>
        <v/>
      </c>
      <c r="CW284" s="3737" t="n"/>
      <c r="CX284" s="4094">
        <f>SUM(CX282:CX283)</f>
        <v/>
      </c>
    </row>
    <row r="285" hidden="1" outlineLevel="3" ht="12" customFormat="1" customHeight="1" s="3737">
      <c r="A285" s="4059" t="n"/>
      <c r="B285" s="4060" t="n"/>
      <c r="C285" s="4139" t="inlineStr">
        <is>
          <t>Bad debt expense- merchant services</t>
        </is>
      </c>
      <c r="D285" s="4101" t="n">
        <v>651515</v>
      </c>
      <c r="E285" s="4101">
        <f>CONCATENATE(D285," - ",C285)</f>
        <v/>
      </c>
      <c r="F285" s="4102" t="n"/>
      <c r="G285" s="4102" t="n"/>
      <c r="H285" s="4102" t="n"/>
      <c r="I285" s="4102" t="n"/>
      <c r="J285" s="4102" t="n"/>
      <c r="K285" s="4102" t="n"/>
      <c r="L285" s="4102" t="n"/>
      <c r="M285" s="4102" t="n"/>
      <c r="N285" s="4102" t="n"/>
      <c r="O285" s="4102" t="n"/>
      <c r="P285" s="4102" t="n"/>
      <c r="Q285" s="4103" t="n"/>
      <c r="R285" s="4102" t="n"/>
      <c r="S285" s="4102" t="n"/>
      <c r="T285" s="4102" t="n"/>
      <c r="U285" s="4102" t="n"/>
      <c r="V285" s="4102" t="n"/>
      <c r="W285" s="4102" t="n"/>
      <c r="X285" s="4102" t="n"/>
      <c r="Y285" s="4102" t="n"/>
      <c r="Z285" s="4102" t="n"/>
      <c r="AA285" s="4102" t="n"/>
      <c r="AB285" s="4102" t="n"/>
      <c r="AC285" s="4103" t="n"/>
      <c r="AD285" s="4102" t="n"/>
      <c r="AE285" s="4102" t="n"/>
      <c r="AF285" s="4102" t="n"/>
      <c r="AG285" s="4102" t="n"/>
      <c r="AH285" s="4102" t="n"/>
      <c r="AI285" s="4102" t="n"/>
      <c r="AJ285" s="4102" t="n"/>
      <c r="AK285" s="4102" t="n"/>
      <c r="AL285" s="4102" t="n"/>
      <c r="AM285" s="4102" t="n"/>
      <c r="AN285" s="4102" t="n"/>
      <c r="AO285" s="4103" t="n"/>
      <c r="AP285" s="4102" t="n">
        <v>0</v>
      </c>
      <c r="AQ285" s="4102" t="n">
        <v>0</v>
      </c>
      <c r="AR285" s="4102" t="n">
        <v>0</v>
      </c>
      <c r="AS285" s="4102" t="n">
        <v>0</v>
      </c>
      <c r="AT285" s="4102" t="n">
        <v>0</v>
      </c>
      <c r="AU285" s="4104" t="n">
        <v>0</v>
      </c>
      <c r="AV285" s="4102">
        <f>SUM(F285:Q285)</f>
        <v/>
      </c>
      <c r="AW285" s="4102">
        <f>SUM(R285:AC285)</f>
        <v/>
      </c>
      <c r="AX285" s="4102">
        <f>SUM(AD285:AO285)</f>
        <v/>
      </c>
      <c r="AY285" s="4102">
        <f>SUM(AH285:AS285)</f>
        <v/>
      </c>
      <c r="AZ285" s="4102">
        <f>SUM(AJ285:AU285)</f>
        <v/>
      </c>
      <c r="BA285" s="3737" t="n"/>
      <c r="BB285" s="4105">
        <f>IFERROR(F285/F$117,0)</f>
        <v/>
      </c>
      <c r="BC285" s="4105">
        <f>IFERROR(G285/G$117,0)</f>
        <v/>
      </c>
      <c r="BD285" s="4105">
        <f>IFERROR(H285/H$117,0)</f>
        <v/>
      </c>
      <c r="BE285" s="4105">
        <f>IFERROR(I285/I$117,0)</f>
        <v/>
      </c>
      <c r="BF285" s="4105">
        <f>IFERROR(J285/J$117,0)</f>
        <v/>
      </c>
      <c r="BG285" s="4105">
        <f>IFERROR(K285/K$117,0)</f>
        <v/>
      </c>
      <c r="BH285" s="4105">
        <f>IFERROR(L285/L$117,0)</f>
        <v/>
      </c>
      <c r="BI285" s="4105">
        <f>IFERROR(M285/M$117,0)</f>
        <v/>
      </c>
      <c r="BJ285" s="4105">
        <f>IFERROR(N285/N$117,0)</f>
        <v/>
      </c>
      <c r="BK285" s="4105">
        <f>IFERROR(O285/O$117,0)</f>
        <v/>
      </c>
      <c r="BL285" s="4105">
        <f>IFERROR(P285/P$117,0)</f>
        <v/>
      </c>
      <c r="BM285" s="4106">
        <f>IFERROR(Q285/Q$117,0)</f>
        <v/>
      </c>
      <c r="BN285" s="4105">
        <f>IFERROR(R285/R$117,0)</f>
        <v/>
      </c>
      <c r="BO285" s="4105">
        <f>IFERROR(S285/S$117,0)</f>
        <v/>
      </c>
      <c r="BP285" s="4105">
        <f>IFERROR(T285/T$117,0)</f>
        <v/>
      </c>
      <c r="BQ285" s="4105">
        <f>IFERROR(U285/U$117,0)</f>
        <v/>
      </c>
      <c r="BR285" s="4105">
        <f>IFERROR(V285/V$117,0)</f>
        <v/>
      </c>
      <c r="BS285" s="4105">
        <f>IFERROR(W285/W$117,0)</f>
        <v/>
      </c>
      <c r="BT285" s="4105">
        <f>IFERROR(X285/X$117,0)</f>
        <v/>
      </c>
      <c r="BU285" s="4105">
        <f>IFERROR(Y285/Y$117,0)</f>
        <v/>
      </c>
      <c r="BV285" s="4105">
        <f>IFERROR(Z285/Z$117,0)</f>
        <v/>
      </c>
      <c r="BW285" s="4105">
        <f>IFERROR(AA285/AA$117,0)</f>
        <v/>
      </c>
      <c r="BX285" s="4105">
        <f>IFERROR(AB285/AB$117,0)</f>
        <v/>
      </c>
      <c r="BY285" s="4106">
        <f>IFERROR(AC285/AC$117,0)</f>
        <v/>
      </c>
      <c r="BZ285" s="4105">
        <f>IFERROR(AD285/AD$117,0)</f>
        <v/>
      </c>
      <c r="CA285" s="4105">
        <f>IFERROR(AE285/AE$117,0)</f>
        <v/>
      </c>
      <c r="CB285" s="4105">
        <f>IFERROR(AF285/AF$117,0)</f>
        <v/>
      </c>
      <c r="CC285" s="4105">
        <f>IFERROR(AG285/AG$117,0)</f>
        <v/>
      </c>
      <c r="CD285" s="4105">
        <f>IFERROR(AH285/AH$117,0)</f>
        <v/>
      </c>
      <c r="CE285" s="4105">
        <f>IFERROR(AI285/AI$117,0)</f>
        <v/>
      </c>
      <c r="CF285" s="4105">
        <f>IFERROR(AJ285/AJ$117,0)</f>
        <v/>
      </c>
      <c r="CG285" s="4105">
        <f>IFERROR(AK285/AK$117,0)</f>
        <v/>
      </c>
      <c r="CH285" s="4105">
        <f>IFERROR(AL285/AL$117,0)</f>
        <v/>
      </c>
      <c r="CI285" s="4105">
        <f>IFERROR(AM285/AM$117,0)</f>
        <v/>
      </c>
      <c r="CJ285" s="4105">
        <f>IFERROR(AN285/AN$117,0)</f>
        <v/>
      </c>
      <c r="CK285" s="4106">
        <f>IFERROR(AO285/AO$117,0)</f>
        <v/>
      </c>
      <c r="CL285" s="4105">
        <f>IFERROR(AP285/AP$117,0)</f>
        <v/>
      </c>
      <c r="CM285" s="4105">
        <f>IFERROR(AQ285/AQ$117,0)</f>
        <v/>
      </c>
      <c r="CN285" s="4105">
        <f>IFERROR(AR285/AR$117,0)</f>
        <v/>
      </c>
      <c r="CO285" s="4105">
        <f>IFERROR(AS285/AS$117,0)</f>
        <v/>
      </c>
      <c r="CP285" s="4105">
        <f>IFERROR(AT285/AT$117,0)</f>
        <v/>
      </c>
      <c r="CQ285" s="4107">
        <f>IFERROR(AU285/AU$117,0)</f>
        <v/>
      </c>
      <c r="CR285" s="4105">
        <f>IFERROR(AV285/AV$117,0)</f>
        <v/>
      </c>
      <c r="CS285" s="4105">
        <f>IFERROR(AW285/AW$117,0)</f>
        <v/>
      </c>
      <c r="CT285" s="4105">
        <f>IFERROR(AX285/AX$117,0)</f>
        <v/>
      </c>
      <c r="CU285" s="4105">
        <f>IFERROR(AY285/AY$117,0)</f>
        <v/>
      </c>
      <c r="CV285" s="4105">
        <f>IFERROR(AZ285/AZ$117,0)</f>
        <v/>
      </c>
      <c r="CW285" s="3737" t="n"/>
      <c r="CX285" s="4102" t="n">
        <v>-29</v>
      </c>
    </row>
    <row r="286" hidden="1" outlineLevel="2" collapsed="1" ht="12" customFormat="1" customHeight="1" s="3737">
      <c r="A286" s="4059" t="n"/>
      <c r="B286" s="4060" t="n"/>
      <c r="C286" s="4127" t="inlineStr">
        <is>
          <t>Bad debt expense</t>
        </is>
      </c>
      <c r="D286" s="4093" t="n"/>
      <c r="E286" s="4093" t="n"/>
      <c r="F286" s="4094" t="n"/>
      <c r="G286" s="4094" t="n"/>
      <c r="H286" s="4094" t="n"/>
      <c r="I286" s="4094" t="n"/>
      <c r="J286" s="4094" t="n"/>
      <c r="K286" s="4094" t="n"/>
      <c r="L286" s="4094" t="n"/>
      <c r="M286" s="4094" t="n"/>
      <c r="N286" s="4094" t="n"/>
      <c r="O286" s="4094" t="n"/>
      <c r="P286" s="4094" t="n"/>
      <c r="Q286" s="4095" t="n"/>
      <c r="R286" s="4094" t="n"/>
      <c r="S286" s="4094" t="n"/>
      <c r="T286" s="4094" t="n"/>
      <c r="U286" s="4094" t="n"/>
      <c r="V286" s="4094" t="n"/>
      <c r="W286" s="4094" t="n"/>
      <c r="X286" s="4094" t="n"/>
      <c r="Y286" s="4094" t="n"/>
      <c r="Z286" s="4094" t="n"/>
      <c r="AA286" s="4094" t="n"/>
      <c r="AB286" s="4094" t="n"/>
      <c r="AC286" s="4095" t="n"/>
      <c r="AD286" s="4094" t="n"/>
      <c r="AE286" s="4094" t="n"/>
      <c r="AF286" s="4094" t="n"/>
      <c r="AG286" s="4094" t="n"/>
      <c r="AH286" s="4094" t="n"/>
      <c r="AI286" s="4094" t="n"/>
      <c r="AJ286" s="4094" t="n"/>
      <c r="AK286" s="4094" t="n"/>
      <c r="AL286" s="4094" t="n"/>
      <c r="AM286" s="4094" t="n"/>
      <c r="AN286" s="4094" t="n"/>
      <c r="AO286" s="4095" t="n"/>
      <c r="AP286" s="4094">
        <f>SUM(AP285)</f>
        <v/>
      </c>
      <c r="AQ286" s="4094">
        <f>SUM(AQ285)</f>
        <v/>
      </c>
      <c r="AR286" s="4094">
        <f>SUM(AR285)</f>
        <v/>
      </c>
      <c r="AS286" s="4094">
        <f>SUM(AS285)</f>
        <v/>
      </c>
      <c r="AT286" s="4094">
        <f>SUM(AT285)</f>
        <v/>
      </c>
      <c r="AU286" s="4096">
        <f>SUM(AU285)</f>
        <v/>
      </c>
      <c r="AV286" s="4094">
        <f>SUM(AV285)</f>
        <v/>
      </c>
      <c r="AW286" s="4094">
        <f>SUM(AW285)</f>
        <v/>
      </c>
      <c r="AX286" s="4094">
        <f>SUM(AX285)</f>
        <v/>
      </c>
      <c r="AY286" s="4094">
        <f>SUM(AY285)</f>
        <v/>
      </c>
      <c r="AZ286" s="4094">
        <f>SUM(AZ285)</f>
        <v/>
      </c>
      <c r="BA286" s="3737" t="n"/>
      <c r="BB286" s="4097">
        <f>IFERROR(F286/F$117,0)</f>
        <v/>
      </c>
      <c r="BC286" s="4097">
        <f>IFERROR(G286/G$117,0)</f>
        <v/>
      </c>
      <c r="BD286" s="4097">
        <f>IFERROR(H286/H$117,0)</f>
        <v/>
      </c>
      <c r="BE286" s="4097">
        <f>IFERROR(I286/I$117,0)</f>
        <v/>
      </c>
      <c r="BF286" s="4097">
        <f>IFERROR(J286/J$117,0)</f>
        <v/>
      </c>
      <c r="BG286" s="4097">
        <f>IFERROR(K286/K$117,0)</f>
        <v/>
      </c>
      <c r="BH286" s="4097">
        <f>IFERROR(L286/L$117,0)</f>
        <v/>
      </c>
      <c r="BI286" s="4097">
        <f>IFERROR(M286/M$117,0)</f>
        <v/>
      </c>
      <c r="BJ286" s="4097">
        <f>IFERROR(N286/N$117,0)</f>
        <v/>
      </c>
      <c r="BK286" s="4097">
        <f>IFERROR(O286/O$117,0)</f>
        <v/>
      </c>
      <c r="BL286" s="4097">
        <f>IFERROR(P286/P$117,0)</f>
        <v/>
      </c>
      <c r="BM286" s="4098">
        <f>IFERROR(Q286/Q$117,0)</f>
        <v/>
      </c>
      <c r="BN286" s="4097">
        <f>IFERROR(R286/R$117,0)</f>
        <v/>
      </c>
      <c r="BO286" s="4097">
        <f>IFERROR(S286/S$117,0)</f>
        <v/>
      </c>
      <c r="BP286" s="4097">
        <f>IFERROR(T286/T$117,0)</f>
        <v/>
      </c>
      <c r="BQ286" s="4097">
        <f>IFERROR(U286/U$117,0)</f>
        <v/>
      </c>
      <c r="BR286" s="4097">
        <f>IFERROR(V286/V$117,0)</f>
        <v/>
      </c>
      <c r="BS286" s="4097">
        <f>IFERROR(W286/W$117,0)</f>
        <v/>
      </c>
      <c r="BT286" s="4097">
        <f>IFERROR(X286/X$117,0)</f>
        <v/>
      </c>
      <c r="BU286" s="4097">
        <f>IFERROR(Y286/Y$117,0)</f>
        <v/>
      </c>
      <c r="BV286" s="4097">
        <f>IFERROR(Z286/Z$117,0)</f>
        <v/>
      </c>
      <c r="BW286" s="4097">
        <f>IFERROR(AA286/AA$117,0)</f>
        <v/>
      </c>
      <c r="BX286" s="4097">
        <f>IFERROR(AB286/AB$117,0)</f>
        <v/>
      </c>
      <c r="BY286" s="4098">
        <f>IFERROR(AC286/AC$117,0)</f>
        <v/>
      </c>
      <c r="BZ286" s="4097">
        <f>IFERROR(AD286/AD$117,0)</f>
        <v/>
      </c>
      <c r="CA286" s="4097">
        <f>IFERROR(AE286/AE$117,0)</f>
        <v/>
      </c>
      <c r="CB286" s="4097">
        <f>IFERROR(AF286/AF$117,0)</f>
        <v/>
      </c>
      <c r="CC286" s="4097">
        <f>IFERROR(AG286/AG$117,0)</f>
        <v/>
      </c>
      <c r="CD286" s="4097">
        <f>IFERROR(AH286/AH$117,0)</f>
        <v/>
      </c>
      <c r="CE286" s="4097">
        <f>IFERROR(AI286/AI$117,0)</f>
        <v/>
      </c>
      <c r="CF286" s="4097">
        <f>IFERROR(AJ286/AJ$117,0)</f>
        <v/>
      </c>
      <c r="CG286" s="4097">
        <f>IFERROR(AK286/AK$117,0)</f>
        <v/>
      </c>
      <c r="CH286" s="4097">
        <f>IFERROR(AL286/AL$117,0)</f>
        <v/>
      </c>
      <c r="CI286" s="4097">
        <f>IFERROR(AM286/AM$117,0)</f>
        <v/>
      </c>
      <c r="CJ286" s="4097">
        <f>IFERROR(AN286/AN$117,0)</f>
        <v/>
      </c>
      <c r="CK286" s="4098">
        <f>IFERROR(AO286/AO$117,0)</f>
        <v/>
      </c>
      <c r="CL286" s="4097">
        <f>IFERROR(AP286/AP$117,0)</f>
        <v/>
      </c>
      <c r="CM286" s="4097">
        <f>IFERROR(AQ286/AQ$117,0)</f>
        <v/>
      </c>
      <c r="CN286" s="4097">
        <f>IFERROR(AR286/AR$117,0)</f>
        <v/>
      </c>
      <c r="CO286" s="4097">
        <f>IFERROR(AS286/AS$117,0)</f>
        <v/>
      </c>
      <c r="CP286" s="4097">
        <f>IFERROR(AT286/AT$117,0)</f>
        <v/>
      </c>
      <c r="CQ286" s="4099">
        <f>IFERROR(AU286/AU$117,0)</f>
        <v/>
      </c>
      <c r="CR286" s="4097">
        <f>IFERROR(AV286/AV$117,0)</f>
        <v/>
      </c>
      <c r="CS286" s="4097">
        <f>IFERROR(AW286/AW$117,0)</f>
        <v/>
      </c>
      <c r="CT286" s="4097">
        <f>IFERROR(AX286/AX$117,0)</f>
        <v/>
      </c>
      <c r="CU286" s="4097">
        <f>IFERROR(AY286/AY$117,0)</f>
        <v/>
      </c>
      <c r="CV286" s="4097">
        <f>IFERROR(AZ286/AZ$117,0)</f>
        <v/>
      </c>
      <c r="CW286" s="3737" t="n"/>
      <c r="CX286" s="4094">
        <f>SUM(CX285)</f>
        <v/>
      </c>
    </row>
    <row r="287" hidden="1" outlineLevel="3" ht="12" customFormat="1" customHeight="1" s="3737">
      <c r="A287" s="4059" t="n"/>
      <c r="B287" s="4060" t="n"/>
      <c r="C287" s="4139" t="inlineStr">
        <is>
          <t>Nbv of assets retired - fa subledger</t>
        </is>
      </c>
      <c r="D287" s="4101" t="n">
        <v>811201</v>
      </c>
      <c r="E287" s="4101">
        <f>CONCATENATE(D287," - ",C287)</f>
        <v/>
      </c>
      <c r="F287" s="4102" t="n"/>
      <c r="G287" s="4102" t="n"/>
      <c r="H287" s="4102" t="n"/>
      <c r="I287" s="4102" t="n"/>
      <c r="J287" s="4102" t="n"/>
      <c r="K287" s="4102" t="n"/>
      <c r="L287" s="4102" t="n"/>
      <c r="M287" s="4102" t="n"/>
      <c r="N287" s="4102" t="n"/>
      <c r="O287" s="4102" t="n"/>
      <c r="P287" s="4102" t="n"/>
      <c r="Q287" s="4103" t="n"/>
      <c r="R287" s="4102" t="n"/>
      <c r="S287" s="4102" t="n"/>
      <c r="T287" s="4102" t="n"/>
      <c r="U287" s="4102" t="n"/>
      <c r="V287" s="4102" t="n"/>
      <c r="W287" s="4102" t="n"/>
      <c r="X287" s="4102" t="n"/>
      <c r="Y287" s="4102" t="n"/>
      <c r="Z287" s="4102" t="n"/>
      <c r="AA287" s="4102" t="n"/>
      <c r="AB287" s="4102" t="n"/>
      <c r="AC287" s="4103" t="n"/>
      <c r="AD287" s="4102" t="n"/>
      <c r="AE287" s="4102" t="n"/>
      <c r="AF287" s="4102" t="n"/>
      <c r="AG287" s="4102" t="n"/>
      <c r="AH287" s="4102" t="n"/>
      <c r="AI287" s="4102" t="n"/>
      <c r="AJ287" s="4102" t="n"/>
      <c r="AK287" s="4102" t="n"/>
      <c r="AL287" s="4102" t="n"/>
      <c r="AM287" s="4102" t="n"/>
      <c r="AN287" s="4102" t="n"/>
      <c r="AO287" s="4103" t="n"/>
      <c r="AP287" s="4102" t="n">
        <v>0</v>
      </c>
      <c r="AQ287" s="4102" t="n">
        <v>0</v>
      </c>
      <c r="AR287" s="4102" t="n">
        <v>0</v>
      </c>
      <c r="AS287" s="4102" t="n">
        <v>0</v>
      </c>
      <c r="AT287" s="4102" t="n">
        <v>0</v>
      </c>
      <c r="AU287" s="4104" t="n">
        <v>0</v>
      </c>
      <c r="AV287" s="4102">
        <f>SUM(F287:Q287)</f>
        <v/>
      </c>
      <c r="AW287" s="4102">
        <f>SUM(R287:AC287)</f>
        <v/>
      </c>
      <c r="AX287" s="4102">
        <f>SUM(AD287:AO287)</f>
        <v/>
      </c>
      <c r="AY287" s="4102">
        <f>SUM(AH287:AS287)</f>
        <v/>
      </c>
      <c r="AZ287" s="4102">
        <f>SUM(AJ287:AU287)</f>
        <v/>
      </c>
      <c r="BA287" s="3737" t="n"/>
      <c r="BB287" s="4105">
        <f>IFERROR(F287/F$117,0)</f>
        <v/>
      </c>
      <c r="BC287" s="4105">
        <f>IFERROR(G287/G$117,0)</f>
        <v/>
      </c>
      <c r="BD287" s="4105">
        <f>IFERROR(H287/H$117,0)</f>
        <v/>
      </c>
      <c r="BE287" s="4105">
        <f>IFERROR(I287/I$117,0)</f>
        <v/>
      </c>
      <c r="BF287" s="4105">
        <f>IFERROR(J287/J$117,0)</f>
        <v/>
      </c>
      <c r="BG287" s="4105">
        <f>IFERROR(K287/K$117,0)</f>
        <v/>
      </c>
      <c r="BH287" s="4105">
        <f>IFERROR(L287/L$117,0)</f>
        <v/>
      </c>
      <c r="BI287" s="4105">
        <f>IFERROR(M287/M$117,0)</f>
        <v/>
      </c>
      <c r="BJ287" s="4105">
        <f>IFERROR(N287/N$117,0)</f>
        <v/>
      </c>
      <c r="BK287" s="4105">
        <f>IFERROR(O287/O$117,0)</f>
        <v/>
      </c>
      <c r="BL287" s="4105">
        <f>IFERROR(P287/P$117,0)</f>
        <v/>
      </c>
      <c r="BM287" s="4106">
        <f>IFERROR(Q287/Q$117,0)</f>
        <v/>
      </c>
      <c r="BN287" s="4105">
        <f>IFERROR(R287/R$117,0)</f>
        <v/>
      </c>
      <c r="BO287" s="4105">
        <f>IFERROR(S287/S$117,0)</f>
        <v/>
      </c>
      <c r="BP287" s="4105">
        <f>IFERROR(T287/T$117,0)</f>
        <v/>
      </c>
      <c r="BQ287" s="4105">
        <f>IFERROR(U287/U$117,0)</f>
        <v/>
      </c>
      <c r="BR287" s="4105">
        <f>IFERROR(V287/V$117,0)</f>
        <v/>
      </c>
      <c r="BS287" s="4105">
        <f>IFERROR(W287/W$117,0)</f>
        <v/>
      </c>
      <c r="BT287" s="4105">
        <f>IFERROR(X287/X$117,0)</f>
        <v/>
      </c>
      <c r="BU287" s="4105">
        <f>IFERROR(Y287/Y$117,0)</f>
        <v/>
      </c>
      <c r="BV287" s="4105">
        <f>IFERROR(Z287/Z$117,0)</f>
        <v/>
      </c>
      <c r="BW287" s="4105">
        <f>IFERROR(AA287/AA$117,0)</f>
        <v/>
      </c>
      <c r="BX287" s="4105">
        <f>IFERROR(AB287/AB$117,0)</f>
        <v/>
      </c>
      <c r="BY287" s="4106">
        <f>IFERROR(AC287/AC$117,0)</f>
        <v/>
      </c>
      <c r="BZ287" s="4105">
        <f>IFERROR(AD287/AD$117,0)</f>
        <v/>
      </c>
      <c r="CA287" s="4105">
        <f>IFERROR(AE287/AE$117,0)</f>
        <v/>
      </c>
      <c r="CB287" s="4105">
        <f>IFERROR(AF287/AF$117,0)</f>
        <v/>
      </c>
      <c r="CC287" s="4105">
        <f>IFERROR(AG287/AG$117,0)</f>
        <v/>
      </c>
      <c r="CD287" s="4105">
        <f>IFERROR(AH287/AH$117,0)</f>
        <v/>
      </c>
      <c r="CE287" s="4105">
        <f>IFERROR(AI287/AI$117,0)</f>
        <v/>
      </c>
      <c r="CF287" s="4105">
        <f>IFERROR(AJ287/AJ$117,0)</f>
        <v/>
      </c>
      <c r="CG287" s="4105">
        <f>IFERROR(AK287/AK$117,0)</f>
        <v/>
      </c>
      <c r="CH287" s="4105">
        <f>IFERROR(AL287/AL$117,0)</f>
        <v/>
      </c>
      <c r="CI287" s="4105">
        <f>IFERROR(AM287/AM$117,0)</f>
        <v/>
      </c>
      <c r="CJ287" s="4105">
        <f>IFERROR(AN287/AN$117,0)</f>
        <v/>
      </c>
      <c r="CK287" s="4106">
        <f>IFERROR(AO287/AO$117,0)</f>
        <v/>
      </c>
      <c r="CL287" s="4105">
        <f>IFERROR(AP287/AP$117,0)</f>
        <v/>
      </c>
      <c r="CM287" s="4105">
        <f>IFERROR(AQ287/AQ$117,0)</f>
        <v/>
      </c>
      <c r="CN287" s="4105">
        <f>IFERROR(AR287/AR$117,0)</f>
        <v/>
      </c>
      <c r="CO287" s="4105">
        <f>IFERROR(AS287/AS$117,0)</f>
        <v/>
      </c>
      <c r="CP287" s="4105">
        <f>IFERROR(AT287/AT$117,0)</f>
        <v/>
      </c>
      <c r="CQ287" s="4107">
        <f>IFERROR(AU287/AU$117,0)</f>
        <v/>
      </c>
      <c r="CR287" s="4105">
        <f>IFERROR(AV287/AV$117,0)</f>
        <v/>
      </c>
      <c r="CS287" s="4105">
        <f>IFERROR(AW287/AW$117,0)</f>
        <v/>
      </c>
      <c r="CT287" s="4105">
        <f>IFERROR(AX287/AX$117,0)</f>
        <v/>
      </c>
      <c r="CU287" s="4105">
        <f>IFERROR(AY287/AY$117,0)</f>
        <v/>
      </c>
      <c r="CV287" s="4105">
        <f>IFERROR(AZ287/AZ$117,0)</f>
        <v/>
      </c>
      <c r="CW287" s="3737" t="n"/>
      <c r="CX287" s="4102" t="n">
        <v>-19.15584</v>
      </c>
    </row>
    <row r="288" hidden="1" outlineLevel="2" collapsed="1" ht="12" customFormat="1" customHeight="1" s="3737">
      <c r="A288" s="4059" t="n"/>
      <c r="B288" s="4060" t="n"/>
      <c r="C288" s="4127" t="inlineStr">
        <is>
          <t>Loss expense</t>
        </is>
      </c>
      <c r="D288" s="4093" t="n"/>
      <c r="E288" s="4093" t="n"/>
      <c r="F288" s="4094" t="n"/>
      <c r="G288" s="4094" t="n"/>
      <c r="H288" s="4094" t="n"/>
      <c r="I288" s="4094" t="n"/>
      <c r="J288" s="4094" t="n"/>
      <c r="K288" s="4094" t="n"/>
      <c r="L288" s="4094" t="n"/>
      <c r="M288" s="4094" t="n"/>
      <c r="N288" s="4094" t="n"/>
      <c r="O288" s="4094" t="n"/>
      <c r="P288" s="4094" t="n"/>
      <c r="Q288" s="4095" t="n"/>
      <c r="R288" s="4094" t="n"/>
      <c r="S288" s="4094" t="n"/>
      <c r="T288" s="4094" t="n"/>
      <c r="U288" s="4094" t="n"/>
      <c r="V288" s="4094" t="n"/>
      <c r="W288" s="4094" t="n"/>
      <c r="X288" s="4094" t="n"/>
      <c r="Y288" s="4094" t="n"/>
      <c r="Z288" s="4094" t="n"/>
      <c r="AA288" s="4094" t="n"/>
      <c r="AB288" s="4094" t="n"/>
      <c r="AC288" s="4095" t="n"/>
      <c r="AD288" s="4094" t="n"/>
      <c r="AE288" s="4094" t="n"/>
      <c r="AF288" s="4094" t="n"/>
      <c r="AG288" s="4094" t="n"/>
      <c r="AH288" s="4094" t="n"/>
      <c r="AI288" s="4094" t="n"/>
      <c r="AJ288" s="4094" t="n"/>
      <c r="AK288" s="4094" t="n"/>
      <c r="AL288" s="4094" t="n"/>
      <c r="AM288" s="4094" t="n"/>
      <c r="AN288" s="4094" t="n"/>
      <c r="AO288" s="4095" t="n"/>
      <c r="AP288" s="4094">
        <f>SUM(AP287)</f>
        <v/>
      </c>
      <c r="AQ288" s="4094">
        <f>SUM(AQ287)</f>
        <v/>
      </c>
      <c r="AR288" s="4094">
        <f>SUM(AR287)</f>
        <v/>
      </c>
      <c r="AS288" s="4094">
        <f>SUM(AS287)</f>
        <v/>
      </c>
      <c r="AT288" s="4094">
        <f>SUM(AT287)</f>
        <v/>
      </c>
      <c r="AU288" s="4096">
        <f>SUM(AU287)</f>
        <v/>
      </c>
      <c r="AV288" s="4094">
        <f>SUM(AV287)</f>
        <v/>
      </c>
      <c r="AW288" s="4094">
        <f>SUM(AW287)</f>
        <v/>
      </c>
      <c r="AX288" s="4094">
        <f>SUM(AX287)</f>
        <v/>
      </c>
      <c r="AY288" s="4094">
        <f>SUM(AY287)</f>
        <v/>
      </c>
      <c r="AZ288" s="4094">
        <f>SUM(AZ287)</f>
        <v/>
      </c>
      <c r="BA288" s="3737" t="n"/>
      <c r="BB288" s="4097">
        <f>IFERROR(F288/F$117,0)</f>
        <v/>
      </c>
      <c r="BC288" s="4097">
        <f>IFERROR(G288/G$117,0)</f>
        <v/>
      </c>
      <c r="BD288" s="4097">
        <f>IFERROR(H288/H$117,0)</f>
        <v/>
      </c>
      <c r="BE288" s="4097">
        <f>IFERROR(I288/I$117,0)</f>
        <v/>
      </c>
      <c r="BF288" s="4097">
        <f>IFERROR(J288/J$117,0)</f>
        <v/>
      </c>
      <c r="BG288" s="4097">
        <f>IFERROR(K288/K$117,0)</f>
        <v/>
      </c>
      <c r="BH288" s="4097">
        <f>IFERROR(L288/L$117,0)</f>
        <v/>
      </c>
      <c r="BI288" s="4097">
        <f>IFERROR(M288/M$117,0)</f>
        <v/>
      </c>
      <c r="BJ288" s="4097">
        <f>IFERROR(N288/N$117,0)</f>
        <v/>
      </c>
      <c r="BK288" s="4097">
        <f>IFERROR(O288/O$117,0)</f>
        <v/>
      </c>
      <c r="BL288" s="4097">
        <f>IFERROR(P288/P$117,0)</f>
        <v/>
      </c>
      <c r="BM288" s="4098">
        <f>IFERROR(Q288/Q$117,0)</f>
        <v/>
      </c>
      <c r="BN288" s="4097">
        <f>IFERROR(R288/R$117,0)</f>
        <v/>
      </c>
      <c r="BO288" s="4097">
        <f>IFERROR(S288/S$117,0)</f>
        <v/>
      </c>
      <c r="BP288" s="4097">
        <f>IFERROR(T288/T$117,0)</f>
        <v/>
      </c>
      <c r="BQ288" s="4097">
        <f>IFERROR(U288/U$117,0)</f>
        <v/>
      </c>
      <c r="BR288" s="4097">
        <f>IFERROR(V288/V$117,0)</f>
        <v/>
      </c>
      <c r="BS288" s="4097">
        <f>IFERROR(W288/W$117,0)</f>
        <v/>
      </c>
      <c r="BT288" s="4097">
        <f>IFERROR(X288/X$117,0)</f>
        <v/>
      </c>
      <c r="BU288" s="4097">
        <f>IFERROR(Y288/Y$117,0)</f>
        <v/>
      </c>
      <c r="BV288" s="4097">
        <f>IFERROR(Z288/Z$117,0)</f>
        <v/>
      </c>
      <c r="BW288" s="4097">
        <f>IFERROR(AA288/AA$117,0)</f>
        <v/>
      </c>
      <c r="BX288" s="4097">
        <f>IFERROR(AB288/AB$117,0)</f>
        <v/>
      </c>
      <c r="BY288" s="4098">
        <f>IFERROR(AC288/AC$117,0)</f>
        <v/>
      </c>
      <c r="BZ288" s="4097">
        <f>IFERROR(AD288/AD$117,0)</f>
        <v/>
      </c>
      <c r="CA288" s="4097">
        <f>IFERROR(AE288/AE$117,0)</f>
        <v/>
      </c>
      <c r="CB288" s="4097">
        <f>IFERROR(AF288/AF$117,0)</f>
        <v/>
      </c>
      <c r="CC288" s="4097">
        <f>IFERROR(AG288/AG$117,0)</f>
        <v/>
      </c>
      <c r="CD288" s="4097">
        <f>IFERROR(AH288/AH$117,0)</f>
        <v/>
      </c>
      <c r="CE288" s="4097">
        <f>IFERROR(AI288/AI$117,0)</f>
        <v/>
      </c>
      <c r="CF288" s="4097">
        <f>IFERROR(AJ288/AJ$117,0)</f>
        <v/>
      </c>
      <c r="CG288" s="4097">
        <f>IFERROR(AK288/AK$117,0)</f>
        <v/>
      </c>
      <c r="CH288" s="4097">
        <f>IFERROR(AL288/AL$117,0)</f>
        <v/>
      </c>
      <c r="CI288" s="4097">
        <f>IFERROR(AM288/AM$117,0)</f>
        <v/>
      </c>
      <c r="CJ288" s="4097">
        <f>IFERROR(AN288/AN$117,0)</f>
        <v/>
      </c>
      <c r="CK288" s="4098">
        <f>IFERROR(AO288/AO$117,0)</f>
        <v/>
      </c>
      <c r="CL288" s="4097">
        <f>IFERROR(AP288/AP$117,0)</f>
        <v/>
      </c>
      <c r="CM288" s="4097">
        <f>IFERROR(AQ288/AQ$117,0)</f>
        <v/>
      </c>
      <c r="CN288" s="4097">
        <f>IFERROR(AR288/AR$117,0)</f>
        <v/>
      </c>
      <c r="CO288" s="4097">
        <f>IFERROR(AS288/AS$117,0)</f>
        <v/>
      </c>
      <c r="CP288" s="4097">
        <f>IFERROR(AT288/AT$117,0)</f>
        <v/>
      </c>
      <c r="CQ288" s="4099">
        <f>IFERROR(AU288/AU$117,0)</f>
        <v/>
      </c>
      <c r="CR288" s="4097">
        <f>IFERROR(AV288/AV$117,0)</f>
        <v/>
      </c>
      <c r="CS288" s="4097">
        <f>IFERROR(AW288/AW$117,0)</f>
        <v/>
      </c>
      <c r="CT288" s="4097">
        <f>IFERROR(AX288/AX$117,0)</f>
        <v/>
      </c>
      <c r="CU288" s="4097">
        <f>IFERROR(AY288/AY$117,0)</f>
        <v/>
      </c>
      <c r="CV288" s="4097">
        <f>IFERROR(AZ288/AZ$117,0)</f>
        <v/>
      </c>
      <c r="CW288" s="3737" t="n"/>
      <c r="CX288" s="4094">
        <f>SUM(CX287)</f>
        <v/>
      </c>
    </row>
    <row r="289" hidden="1" outlineLevel="3" ht="12" customFormat="1" customHeight="1" s="3737">
      <c r="A289" s="4059" t="n"/>
      <c r="B289" s="4060" t="n"/>
      <c r="C289" s="4139" t="inlineStr">
        <is>
          <t>Govt'l agency penalties</t>
        </is>
      </c>
      <c r="D289" s="4101" t="n">
        <v>651213</v>
      </c>
      <c r="E289" s="4101">
        <f>CONCATENATE(D289," - ",C289)</f>
        <v/>
      </c>
      <c r="F289" s="4102" t="n"/>
      <c r="G289" s="4102" t="n"/>
      <c r="H289" s="4102" t="n"/>
      <c r="I289" s="4102" t="n"/>
      <c r="J289" s="4102" t="n"/>
      <c r="K289" s="4102" t="n"/>
      <c r="L289" s="4102" t="n"/>
      <c r="M289" s="4102" t="n"/>
      <c r="N289" s="4102" t="n"/>
      <c r="O289" s="4102" t="n"/>
      <c r="P289" s="4102" t="n"/>
      <c r="Q289" s="4103" t="n"/>
      <c r="R289" s="4102" t="n"/>
      <c r="S289" s="4102" t="n"/>
      <c r="T289" s="4102" t="n"/>
      <c r="U289" s="4102" t="n"/>
      <c r="V289" s="4102" t="n"/>
      <c r="W289" s="4102" t="n"/>
      <c r="X289" s="4102" t="n"/>
      <c r="Y289" s="4102" t="n"/>
      <c r="Z289" s="4102" t="n"/>
      <c r="AA289" s="4102" t="n"/>
      <c r="AB289" s="4102" t="n"/>
      <c r="AC289" s="4103" t="n"/>
      <c r="AD289" s="4102" t="n"/>
      <c r="AE289" s="4102" t="n"/>
      <c r="AF289" s="4102" t="n"/>
      <c r="AG289" s="4102" t="n"/>
      <c r="AH289" s="4102" t="n"/>
      <c r="AI289" s="4102" t="n"/>
      <c r="AJ289" s="4102" t="n"/>
      <c r="AK289" s="4102" t="n"/>
      <c r="AL289" s="4102" t="n"/>
      <c r="AM289" s="4102" t="n"/>
      <c r="AN289" s="4102" t="n"/>
      <c r="AO289" s="4103" t="n"/>
      <c r="AP289" s="4102" t="n">
        <v>0</v>
      </c>
      <c r="AQ289" s="4102" t="n">
        <v>0</v>
      </c>
      <c r="AR289" s="4102" t="n">
        <v>0</v>
      </c>
      <c r="AS289" s="4102" t="n">
        <v>-4.99081</v>
      </c>
      <c r="AT289" s="4102" t="n">
        <v>0</v>
      </c>
      <c r="AU289" s="4104" t="n">
        <v>0</v>
      </c>
      <c r="AV289" s="4102">
        <f>SUM(F289:Q289)</f>
        <v/>
      </c>
      <c r="AW289" s="4102">
        <f>SUM(R289:AC289)</f>
        <v/>
      </c>
      <c r="AX289" s="4102">
        <f>SUM(AD289:AO289)</f>
        <v/>
      </c>
      <c r="AY289" s="4102">
        <f>SUM(AH289:AS289)</f>
        <v/>
      </c>
      <c r="AZ289" s="4102">
        <f>SUM(AJ289:AU289)</f>
        <v/>
      </c>
      <c r="BA289" s="3737" t="n"/>
      <c r="BB289" s="4105">
        <f>IFERROR(F289/F$117,0)</f>
        <v/>
      </c>
      <c r="BC289" s="4105">
        <f>IFERROR(G289/G$117,0)</f>
        <v/>
      </c>
      <c r="BD289" s="4105">
        <f>IFERROR(H289/H$117,0)</f>
        <v/>
      </c>
      <c r="BE289" s="4105">
        <f>IFERROR(I289/I$117,0)</f>
        <v/>
      </c>
      <c r="BF289" s="4105">
        <f>IFERROR(J289/J$117,0)</f>
        <v/>
      </c>
      <c r="BG289" s="4105">
        <f>IFERROR(K289/K$117,0)</f>
        <v/>
      </c>
      <c r="BH289" s="4105">
        <f>IFERROR(L289/L$117,0)</f>
        <v/>
      </c>
      <c r="BI289" s="4105">
        <f>IFERROR(M289/M$117,0)</f>
        <v/>
      </c>
      <c r="BJ289" s="4105">
        <f>IFERROR(N289/N$117,0)</f>
        <v/>
      </c>
      <c r="BK289" s="4105">
        <f>IFERROR(O289/O$117,0)</f>
        <v/>
      </c>
      <c r="BL289" s="4105">
        <f>IFERROR(P289/P$117,0)</f>
        <v/>
      </c>
      <c r="BM289" s="4106">
        <f>IFERROR(Q289/Q$117,0)</f>
        <v/>
      </c>
      <c r="BN289" s="4105">
        <f>IFERROR(R289/R$117,0)</f>
        <v/>
      </c>
      <c r="BO289" s="4105">
        <f>IFERROR(S289/S$117,0)</f>
        <v/>
      </c>
      <c r="BP289" s="4105">
        <f>IFERROR(T289/T$117,0)</f>
        <v/>
      </c>
      <c r="BQ289" s="4105">
        <f>IFERROR(U289/U$117,0)</f>
        <v/>
      </c>
      <c r="BR289" s="4105">
        <f>IFERROR(V289/V$117,0)</f>
        <v/>
      </c>
      <c r="BS289" s="4105">
        <f>IFERROR(W289/W$117,0)</f>
        <v/>
      </c>
      <c r="BT289" s="4105">
        <f>IFERROR(X289/X$117,0)</f>
        <v/>
      </c>
      <c r="BU289" s="4105">
        <f>IFERROR(Y289/Y$117,0)</f>
        <v/>
      </c>
      <c r="BV289" s="4105">
        <f>IFERROR(Z289/Z$117,0)</f>
        <v/>
      </c>
      <c r="BW289" s="4105">
        <f>IFERROR(AA289/AA$117,0)</f>
        <v/>
      </c>
      <c r="BX289" s="4105">
        <f>IFERROR(AB289/AB$117,0)</f>
        <v/>
      </c>
      <c r="BY289" s="4106">
        <f>IFERROR(AC289/AC$117,0)</f>
        <v/>
      </c>
      <c r="BZ289" s="4105">
        <f>IFERROR(AD289/AD$117,0)</f>
        <v/>
      </c>
      <c r="CA289" s="4105">
        <f>IFERROR(AE289/AE$117,0)</f>
        <v/>
      </c>
      <c r="CB289" s="4105">
        <f>IFERROR(AF289/AF$117,0)</f>
        <v/>
      </c>
      <c r="CC289" s="4105">
        <f>IFERROR(AG289/AG$117,0)</f>
        <v/>
      </c>
      <c r="CD289" s="4105">
        <f>IFERROR(AH289/AH$117,0)</f>
        <v/>
      </c>
      <c r="CE289" s="4105">
        <f>IFERROR(AI289/AI$117,0)</f>
        <v/>
      </c>
      <c r="CF289" s="4105">
        <f>IFERROR(AJ289/AJ$117,0)</f>
        <v/>
      </c>
      <c r="CG289" s="4105">
        <f>IFERROR(AK289/AK$117,0)</f>
        <v/>
      </c>
      <c r="CH289" s="4105">
        <f>IFERROR(AL289/AL$117,0)</f>
        <v/>
      </c>
      <c r="CI289" s="4105">
        <f>IFERROR(AM289/AM$117,0)</f>
        <v/>
      </c>
      <c r="CJ289" s="4105">
        <f>IFERROR(AN289/AN$117,0)</f>
        <v/>
      </c>
      <c r="CK289" s="4106">
        <f>IFERROR(AO289/AO$117,0)</f>
        <v/>
      </c>
      <c r="CL289" s="4105">
        <f>IFERROR(AP289/AP$117,0)</f>
        <v/>
      </c>
      <c r="CM289" s="4105">
        <f>IFERROR(AQ289/AQ$117,0)</f>
        <v/>
      </c>
      <c r="CN289" s="4105">
        <f>IFERROR(AR289/AR$117,0)</f>
        <v/>
      </c>
      <c r="CO289" s="4105">
        <f>IFERROR(AS289/AS$117,0)</f>
        <v/>
      </c>
      <c r="CP289" s="4105">
        <f>IFERROR(AT289/AT$117,0)</f>
        <v/>
      </c>
      <c r="CQ289" s="4107">
        <f>IFERROR(AU289/AU$117,0)</f>
        <v/>
      </c>
      <c r="CR289" s="4105">
        <f>IFERROR(AV289/AV$117,0)</f>
        <v/>
      </c>
      <c r="CS289" s="4105">
        <f>IFERROR(AW289/AW$117,0)</f>
        <v/>
      </c>
      <c r="CT289" s="4105">
        <f>IFERROR(AX289/AX$117,0)</f>
        <v/>
      </c>
      <c r="CU289" s="4105">
        <f>IFERROR(AY289/AY$117,0)</f>
        <v/>
      </c>
      <c r="CV289" s="4105">
        <f>IFERROR(AZ289/AZ$117,0)</f>
        <v/>
      </c>
      <c r="CW289" s="3737" t="n"/>
      <c r="CX289" s="4102" t="n">
        <v>0</v>
      </c>
    </row>
    <row r="290" hidden="1" outlineLevel="2" collapsed="1" ht="12" customFormat="1" customHeight="1" s="3737">
      <c r="A290" s="4059" t="n"/>
      <c r="B290" s="4060" t="n"/>
      <c r="C290" s="4127" t="inlineStr">
        <is>
          <t>Business tax expense</t>
        </is>
      </c>
      <c r="D290" s="4093" t="n"/>
      <c r="E290" s="4093" t="n"/>
      <c r="F290" s="4094" t="n"/>
      <c r="G290" s="4094" t="n"/>
      <c r="H290" s="4094" t="n"/>
      <c r="I290" s="4094" t="n"/>
      <c r="J290" s="4094" t="n"/>
      <c r="K290" s="4094" t="n"/>
      <c r="L290" s="4094" t="n"/>
      <c r="M290" s="4094" t="n"/>
      <c r="N290" s="4094" t="n"/>
      <c r="O290" s="4094" t="n"/>
      <c r="P290" s="4094" t="n"/>
      <c r="Q290" s="4095" t="n"/>
      <c r="R290" s="4094" t="n"/>
      <c r="S290" s="4094" t="n"/>
      <c r="T290" s="4094" t="n"/>
      <c r="U290" s="4094" t="n"/>
      <c r="V290" s="4094" t="n"/>
      <c r="W290" s="4094" t="n"/>
      <c r="X290" s="4094" t="n"/>
      <c r="Y290" s="4094" t="n"/>
      <c r="Z290" s="4094" t="n"/>
      <c r="AA290" s="4094" t="n"/>
      <c r="AB290" s="4094" t="n"/>
      <c r="AC290" s="4095" t="n"/>
      <c r="AD290" s="4094" t="n"/>
      <c r="AE290" s="4094" t="n"/>
      <c r="AF290" s="4094" t="n"/>
      <c r="AG290" s="4094" t="n"/>
      <c r="AH290" s="4094" t="n"/>
      <c r="AI290" s="4094" t="n"/>
      <c r="AJ290" s="4094" t="n"/>
      <c r="AK290" s="4094" t="n"/>
      <c r="AL290" s="4094" t="n"/>
      <c r="AM290" s="4094" t="n"/>
      <c r="AN290" s="4094" t="n"/>
      <c r="AO290" s="4095" t="n"/>
      <c r="AP290" s="4094">
        <f>SUM(AP289)</f>
        <v/>
      </c>
      <c r="AQ290" s="4094">
        <f>SUM(AQ289)</f>
        <v/>
      </c>
      <c r="AR290" s="4094">
        <f>SUM(AR289)</f>
        <v/>
      </c>
      <c r="AS290" s="4094">
        <f>SUM(AS289)</f>
        <v/>
      </c>
      <c r="AT290" s="4094">
        <f>SUM(AT289)</f>
        <v/>
      </c>
      <c r="AU290" s="4096">
        <f>SUM(AU289)</f>
        <v/>
      </c>
      <c r="AV290" s="4094">
        <f>SUM(AV289)</f>
        <v/>
      </c>
      <c r="AW290" s="4094">
        <f>SUM(AW289)</f>
        <v/>
      </c>
      <c r="AX290" s="4094">
        <f>SUM(AX289)</f>
        <v/>
      </c>
      <c r="AY290" s="4094">
        <f>SUM(AY289)</f>
        <v/>
      </c>
      <c r="AZ290" s="4094">
        <f>SUM(AZ289)</f>
        <v/>
      </c>
      <c r="BA290" s="3737" t="n"/>
      <c r="BB290" s="4097">
        <f>IFERROR(F290/F$117,0)</f>
        <v/>
      </c>
      <c r="BC290" s="4097">
        <f>IFERROR(G290/G$117,0)</f>
        <v/>
      </c>
      <c r="BD290" s="4097">
        <f>IFERROR(H290/H$117,0)</f>
        <v/>
      </c>
      <c r="BE290" s="4097">
        <f>IFERROR(I290/I$117,0)</f>
        <v/>
      </c>
      <c r="BF290" s="4097">
        <f>IFERROR(J290/J$117,0)</f>
        <v/>
      </c>
      <c r="BG290" s="4097">
        <f>IFERROR(K290/K$117,0)</f>
        <v/>
      </c>
      <c r="BH290" s="4097">
        <f>IFERROR(L290/L$117,0)</f>
        <v/>
      </c>
      <c r="BI290" s="4097">
        <f>IFERROR(M290/M$117,0)</f>
        <v/>
      </c>
      <c r="BJ290" s="4097">
        <f>IFERROR(N290/N$117,0)</f>
        <v/>
      </c>
      <c r="BK290" s="4097">
        <f>IFERROR(O290/O$117,0)</f>
        <v/>
      </c>
      <c r="BL290" s="4097">
        <f>IFERROR(P290/P$117,0)</f>
        <v/>
      </c>
      <c r="BM290" s="4098">
        <f>IFERROR(Q290/Q$117,0)</f>
        <v/>
      </c>
      <c r="BN290" s="4097">
        <f>IFERROR(R290/R$117,0)</f>
        <v/>
      </c>
      <c r="BO290" s="4097">
        <f>IFERROR(S290/S$117,0)</f>
        <v/>
      </c>
      <c r="BP290" s="4097">
        <f>IFERROR(T290/T$117,0)</f>
        <v/>
      </c>
      <c r="BQ290" s="4097">
        <f>IFERROR(U290/U$117,0)</f>
        <v/>
      </c>
      <c r="BR290" s="4097">
        <f>IFERROR(V290/V$117,0)</f>
        <v/>
      </c>
      <c r="BS290" s="4097">
        <f>IFERROR(W290/W$117,0)</f>
        <v/>
      </c>
      <c r="BT290" s="4097">
        <f>IFERROR(X290/X$117,0)</f>
        <v/>
      </c>
      <c r="BU290" s="4097">
        <f>IFERROR(Y290/Y$117,0)</f>
        <v/>
      </c>
      <c r="BV290" s="4097">
        <f>IFERROR(Z290/Z$117,0)</f>
        <v/>
      </c>
      <c r="BW290" s="4097">
        <f>IFERROR(AA290/AA$117,0)</f>
        <v/>
      </c>
      <c r="BX290" s="4097">
        <f>IFERROR(AB290/AB$117,0)</f>
        <v/>
      </c>
      <c r="BY290" s="4098">
        <f>IFERROR(AC290/AC$117,0)</f>
        <v/>
      </c>
      <c r="BZ290" s="4097">
        <f>IFERROR(AD290/AD$117,0)</f>
        <v/>
      </c>
      <c r="CA290" s="4097">
        <f>IFERROR(AE290/AE$117,0)</f>
        <v/>
      </c>
      <c r="CB290" s="4097">
        <f>IFERROR(AF290/AF$117,0)</f>
        <v/>
      </c>
      <c r="CC290" s="4097">
        <f>IFERROR(AG290/AG$117,0)</f>
        <v/>
      </c>
      <c r="CD290" s="4097">
        <f>IFERROR(AH290/AH$117,0)</f>
        <v/>
      </c>
      <c r="CE290" s="4097">
        <f>IFERROR(AI290/AI$117,0)</f>
        <v/>
      </c>
      <c r="CF290" s="4097">
        <f>IFERROR(AJ290/AJ$117,0)</f>
        <v/>
      </c>
      <c r="CG290" s="4097">
        <f>IFERROR(AK290/AK$117,0)</f>
        <v/>
      </c>
      <c r="CH290" s="4097">
        <f>IFERROR(AL290/AL$117,0)</f>
        <v/>
      </c>
      <c r="CI290" s="4097">
        <f>IFERROR(AM290/AM$117,0)</f>
        <v/>
      </c>
      <c r="CJ290" s="4097">
        <f>IFERROR(AN290/AN$117,0)</f>
        <v/>
      </c>
      <c r="CK290" s="4098">
        <f>IFERROR(AO290/AO$117,0)</f>
        <v/>
      </c>
      <c r="CL290" s="4097">
        <f>IFERROR(AP290/AP$117,0)</f>
        <v/>
      </c>
      <c r="CM290" s="4097">
        <f>IFERROR(AQ290/AQ$117,0)</f>
        <v/>
      </c>
      <c r="CN290" s="4097">
        <f>IFERROR(AR290/AR$117,0)</f>
        <v/>
      </c>
      <c r="CO290" s="4097">
        <f>IFERROR(AS290/AS$117,0)</f>
        <v/>
      </c>
      <c r="CP290" s="4097">
        <f>IFERROR(AT290/AT$117,0)</f>
        <v/>
      </c>
      <c r="CQ290" s="4099">
        <f>IFERROR(AU290/AU$117,0)</f>
        <v/>
      </c>
      <c r="CR290" s="4097">
        <f>IFERROR(AV290/AV$117,0)</f>
        <v/>
      </c>
      <c r="CS290" s="4097">
        <f>IFERROR(AW290/AW$117,0)</f>
        <v/>
      </c>
      <c r="CT290" s="4097">
        <f>IFERROR(AX290/AX$117,0)</f>
        <v/>
      </c>
      <c r="CU290" s="4097">
        <f>IFERROR(AY290/AY$117,0)</f>
        <v/>
      </c>
      <c r="CV290" s="4097">
        <f>IFERROR(AZ290/AZ$117,0)</f>
        <v/>
      </c>
      <c r="CW290" s="3737" t="n"/>
      <c r="CX290" s="4094">
        <f>SUM(CX289)</f>
        <v/>
      </c>
    </row>
    <row r="291" hidden="1" outlineLevel="3" ht="12" customFormat="1" customHeight="1" s="3737">
      <c r="A291" s="4059" t="n"/>
      <c r="B291" s="4060" t="n"/>
      <c r="C291" s="4140" t="inlineStr">
        <is>
          <t>(gain)loss realized currency</t>
        </is>
      </c>
      <c r="D291" s="4093" t="n">
        <v>811101</v>
      </c>
      <c r="E291" s="4093">
        <f>CONCATENATE(D291," - ",C291)</f>
        <v/>
      </c>
      <c r="F291" s="4094" t="n"/>
      <c r="G291" s="4094" t="n"/>
      <c r="H291" s="4094" t="n"/>
      <c r="I291" s="4094" t="n"/>
      <c r="J291" s="4094" t="n"/>
      <c r="K291" s="4094" t="n"/>
      <c r="L291" s="4094" t="n"/>
      <c r="M291" s="4094" t="n"/>
      <c r="N291" s="4094" t="n"/>
      <c r="O291" s="4094" t="n"/>
      <c r="P291" s="4094" t="n"/>
      <c r="Q291" s="4095" t="n"/>
      <c r="R291" s="4094" t="n"/>
      <c r="S291" s="4094" t="n"/>
      <c r="T291" s="4094" t="n"/>
      <c r="U291" s="4094" t="n"/>
      <c r="V291" s="4094" t="n"/>
      <c r="W291" s="4094" t="n"/>
      <c r="X291" s="4094" t="n"/>
      <c r="Y291" s="4094" t="n"/>
      <c r="Z291" s="4094" t="n"/>
      <c r="AA291" s="4094" t="n"/>
      <c r="AB291" s="4094" t="n"/>
      <c r="AC291" s="4095" t="n"/>
      <c r="AD291" s="4094" t="n"/>
      <c r="AE291" s="4094" t="n"/>
      <c r="AF291" s="4094" t="n"/>
      <c r="AG291" s="4094" t="n"/>
      <c r="AH291" s="4094" t="n"/>
      <c r="AI291" s="4094" t="n"/>
      <c r="AJ291" s="4094" t="n"/>
      <c r="AK291" s="4094" t="n"/>
      <c r="AL291" s="4094" t="n"/>
      <c r="AM291" s="4094" t="n"/>
      <c r="AN291" s="4094" t="n"/>
      <c r="AO291" s="4095" t="n"/>
      <c r="AP291" s="4094" t="n">
        <v>0.07355</v>
      </c>
      <c r="AQ291" s="4094" t="n">
        <v>3.60471</v>
      </c>
      <c r="AR291" s="4094" t="n">
        <v>-1.01083</v>
      </c>
      <c r="AS291" s="4094" t="n">
        <v>-4.63875</v>
      </c>
      <c r="AT291" s="4094" t="n">
        <v>-0.07421999999999999</v>
      </c>
      <c r="AU291" s="4096" t="n">
        <v>-1.19061</v>
      </c>
      <c r="AV291" s="4094">
        <f>SUM(F291:Q291)</f>
        <v/>
      </c>
      <c r="AW291" s="4094">
        <f>SUM(R291:AC291)</f>
        <v/>
      </c>
      <c r="AX291" s="4094">
        <f>SUM(AD291:AO291)</f>
        <v/>
      </c>
      <c r="AY291" s="4094">
        <f>SUM(AH291:AS291)</f>
        <v/>
      </c>
      <c r="AZ291" s="4094">
        <f>SUM(AJ291:AU291)</f>
        <v/>
      </c>
      <c r="BA291" s="3737" t="n"/>
      <c r="BB291" s="4097">
        <f>IFERROR(F291/F$117,0)</f>
        <v/>
      </c>
      <c r="BC291" s="4097">
        <f>IFERROR(G291/G$117,0)</f>
        <v/>
      </c>
      <c r="BD291" s="4097">
        <f>IFERROR(H291/H$117,0)</f>
        <v/>
      </c>
      <c r="BE291" s="4097">
        <f>IFERROR(I291/I$117,0)</f>
        <v/>
      </c>
      <c r="BF291" s="4097">
        <f>IFERROR(J291/J$117,0)</f>
        <v/>
      </c>
      <c r="BG291" s="4097">
        <f>IFERROR(K291/K$117,0)</f>
        <v/>
      </c>
      <c r="BH291" s="4097">
        <f>IFERROR(L291/L$117,0)</f>
        <v/>
      </c>
      <c r="BI291" s="4097">
        <f>IFERROR(M291/M$117,0)</f>
        <v/>
      </c>
      <c r="BJ291" s="4097">
        <f>IFERROR(N291/N$117,0)</f>
        <v/>
      </c>
      <c r="BK291" s="4097">
        <f>IFERROR(O291/O$117,0)</f>
        <v/>
      </c>
      <c r="BL291" s="4097">
        <f>IFERROR(P291/P$117,0)</f>
        <v/>
      </c>
      <c r="BM291" s="4098">
        <f>IFERROR(Q291/Q$117,0)</f>
        <v/>
      </c>
      <c r="BN291" s="4097">
        <f>IFERROR(R291/R$117,0)</f>
        <v/>
      </c>
      <c r="BO291" s="4097">
        <f>IFERROR(S291/S$117,0)</f>
        <v/>
      </c>
      <c r="BP291" s="4097">
        <f>IFERROR(T291/T$117,0)</f>
        <v/>
      </c>
      <c r="BQ291" s="4097">
        <f>IFERROR(U291/U$117,0)</f>
        <v/>
      </c>
      <c r="BR291" s="4097">
        <f>IFERROR(V291/V$117,0)</f>
        <v/>
      </c>
      <c r="BS291" s="4097">
        <f>IFERROR(W291/W$117,0)</f>
        <v/>
      </c>
      <c r="BT291" s="4097">
        <f>IFERROR(X291/X$117,0)</f>
        <v/>
      </c>
      <c r="BU291" s="4097">
        <f>IFERROR(Y291/Y$117,0)</f>
        <v/>
      </c>
      <c r="BV291" s="4097">
        <f>IFERROR(Z291/Z$117,0)</f>
        <v/>
      </c>
      <c r="BW291" s="4097">
        <f>IFERROR(AA291/AA$117,0)</f>
        <v/>
      </c>
      <c r="BX291" s="4097">
        <f>IFERROR(AB291/AB$117,0)</f>
        <v/>
      </c>
      <c r="BY291" s="4098">
        <f>IFERROR(AC291/AC$117,0)</f>
        <v/>
      </c>
      <c r="BZ291" s="4097">
        <f>IFERROR(AD291/AD$117,0)</f>
        <v/>
      </c>
      <c r="CA291" s="4097">
        <f>IFERROR(AE291/AE$117,0)</f>
        <v/>
      </c>
      <c r="CB291" s="4097">
        <f>IFERROR(AF291/AF$117,0)</f>
        <v/>
      </c>
      <c r="CC291" s="4097">
        <f>IFERROR(AG291/AG$117,0)</f>
        <v/>
      </c>
      <c r="CD291" s="4097">
        <f>IFERROR(AH291/AH$117,0)</f>
        <v/>
      </c>
      <c r="CE291" s="4097">
        <f>IFERROR(AI291/AI$117,0)</f>
        <v/>
      </c>
      <c r="CF291" s="4097">
        <f>IFERROR(AJ291/AJ$117,0)</f>
        <v/>
      </c>
      <c r="CG291" s="4097">
        <f>IFERROR(AK291/AK$117,0)</f>
        <v/>
      </c>
      <c r="CH291" s="4097">
        <f>IFERROR(AL291/AL$117,0)</f>
        <v/>
      </c>
      <c r="CI291" s="4097">
        <f>IFERROR(AM291/AM$117,0)</f>
        <v/>
      </c>
      <c r="CJ291" s="4097">
        <f>IFERROR(AN291/AN$117,0)</f>
        <v/>
      </c>
      <c r="CK291" s="4098">
        <f>IFERROR(AO291/AO$117,0)</f>
        <v/>
      </c>
      <c r="CL291" s="4097">
        <f>IFERROR(AP291/AP$117,0)</f>
        <v/>
      </c>
      <c r="CM291" s="4097">
        <f>IFERROR(AQ291/AQ$117,0)</f>
        <v/>
      </c>
      <c r="CN291" s="4097">
        <f>IFERROR(AR291/AR$117,0)</f>
        <v/>
      </c>
      <c r="CO291" s="4097">
        <f>IFERROR(AS291/AS$117,0)</f>
        <v/>
      </c>
      <c r="CP291" s="4097">
        <f>IFERROR(AT291/AT$117,0)</f>
        <v/>
      </c>
      <c r="CQ291" s="4099">
        <f>IFERROR(AU291/AU$117,0)</f>
        <v/>
      </c>
      <c r="CR291" s="4097">
        <f>IFERROR(AV291/AV$117,0)</f>
        <v/>
      </c>
      <c r="CS291" s="4097">
        <f>IFERROR(AW291/AW$117,0)</f>
        <v/>
      </c>
      <c r="CT291" s="4097">
        <f>IFERROR(AX291/AX$117,0)</f>
        <v/>
      </c>
      <c r="CU291" s="4097">
        <f>IFERROR(AY291/AY$117,0)</f>
        <v/>
      </c>
      <c r="CV291" s="4097">
        <f>IFERROR(AZ291/AZ$117,0)</f>
        <v/>
      </c>
      <c r="CW291" s="3737" t="n"/>
      <c r="CX291" s="4094" t="n">
        <v>5.82368</v>
      </c>
    </row>
    <row r="292" hidden="1" outlineLevel="3" ht="12" customFormat="1" customHeight="1" s="3737">
      <c r="A292" s="4059" t="n"/>
      <c r="B292" s="4060" t="n"/>
      <c r="C292" s="4139" t="inlineStr">
        <is>
          <t>(gain)loss unrealized currency - system revaluatio</t>
        </is>
      </c>
      <c r="D292" s="4101" t="n">
        <v>811102</v>
      </c>
      <c r="E292" s="4101">
        <f>CONCATENATE(D292," - ",C292)</f>
        <v/>
      </c>
      <c r="F292" s="4102" t="n"/>
      <c r="G292" s="4102" t="n"/>
      <c r="H292" s="4102" t="n"/>
      <c r="I292" s="4102" t="n"/>
      <c r="J292" s="4102" t="n"/>
      <c r="K292" s="4102" t="n"/>
      <c r="L292" s="4102" t="n"/>
      <c r="M292" s="4102" t="n"/>
      <c r="N292" s="4102" t="n"/>
      <c r="O292" s="4102" t="n"/>
      <c r="P292" s="4102" t="n"/>
      <c r="Q292" s="4103" t="n"/>
      <c r="R292" s="4102" t="n"/>
      <c r="S292" s="4102" t="n"/>
      <c r="T292" s="4102" t="n"/>
      <c r="U292" s="4102" t="n"/>
      <c r="V292" s="4102" t="n"/>
      <c r="W292" s="4102" t="n"/>
      <c r="X292" s="4102" t="n"/>
      <c r="Y292" s="4102" t="n"/>
      <c r="Z292" s="4102" t="n"/>
      <c r="AA292" s="4102" t="n"/>
      <c r="AB292" s="4102" t="n"/>
      <c r="AC292" s="4103" t="n"/>
      <c r="AD292" s="4102" t="n"/>
      <c r="AE292" s="4102" t="n"/>
      <c r="AF292" s="4102" t="n"/>
      <c r="AG292" s="4102" t="n"/>
      <c r="AH292" s="4102" t="n"/>
      <c r="AI292" s="4102" t="n"/>
      <c r="AJ292" s="4102" t="n"/>
      <c r="AK292" s="4102" t="n"/>
      <c r="AL292" s="4102" t="n"/>
      <c r="AM292" s="4102" t="n"/>
      <c r="AN292" s="4102" t="n"/>
      <c r="AO292" s="4103" t="n"/>
      <c r="AP292" s="4102" t="n">
        <v>3.33417</v>
      </c>
      <c r="AQ292" s="4102" t="n">
        <v>-4.28528</v>
      </c>
      <c r="AR292" s="4102" t="n">
        <v>-0.74768</v>
      </c>
      <c r="AS292" s="4102" t="n">
        <v>1.87371</v>
      </c>
      <c r="AT292" s="4102" t="n">
        <v>-3.41127</v>
      </c>
      <c r="AU292" s="4104" t="n">
        <v>0.00589</v>
      </c>
      <c r="AV292" s="4102">
        <f>SUM(F292:Q292)</f>
        <v/>
      </c>
      <c r="AW292" s="4102">
        <f>SUM(R292:AC292)</f>
        <v/>
      </c>
      <c r="AX292" s="4102">
        <f>SUM(AD292:AO292)</f>
        <v/>
      </c>
      <c r="AY292" s="4102">
        <f>SUM(AH292:AS292)</f>
        <v/>
      </c>
      <c r="AZ292" s="4102">
        <f>SUM(AJ292:AU292)</f>
        <v/>
      </c>
      <c r="BA292" s="3737" t="n"/>
      <c r="BB292" s="4105">
        <f>IFERROR(F292/F$117,0)</f>
        <v/>
      </c>
      <c r="BC292" s="4105">
        <f>IFERROR(G292/G$117,0)</f>
        <v/>
      </c>
      <c r="BD292" s="4105">
        <f>IFERROR(H292/H$117,0)</f>
        <v/>
      </c>
      <c r="BE292" s="4105">
        <f>IFERROR(I292/I$117,0)</f>
        <v/>
      </c>
      <c r="BF292" s="4105">
        <f>IFERROR(J292/J$117,0)</f>
        <v/>
      </c>
      <c r="BG292" s="4105">
        <f>IFERROR(K292/K$117,0)</f>
        <v/>
      </c>
      <c r="BH292" s="4105">
        <f>IFERROR(L292/L$117,0)</f>
        <v/>
      </c>
      <c r="BI292" s="4105">
        <f>IFERROR(M292/M$117,0)</f>
        <v/>
      </c>
      <c r="BJ292" s="4105">
        <f>IFERROR(N292/N$117,0)</f>
        <v/>
      </c>
      <c r="BK292" s="4105">
        <f>IFERROR(O292/O$117,0)</f>
        <v/>
      </c>
      <c r="BL292" s="4105">
        <f>IFERROR(P292/P$117,0)</f>
        <v/>
      </c>
      <c r="BM292" s="4106">
        <f>IFERROR(Q292/Q$117,0)</f>
        <v/>
      </c>
      <c r="BN292" s="4105">
        <f>IFERROR(R292/R$117,0)</f>
        <v/>
      </c>
      <c r="BO292" s="4105">
        <f>IFERROR(S292/S$117,0)</f>
        <v/>
      </c>
      <c r="BP292" s="4105">
        <f>IFERROR(T292/T$117,0)</f>
        <v/>
      </c>
      <c r="BQ292" s="4105">
        <f>IFERROR(U292/U$117,0)</f>
        <v/>
      </c>
      <c r="BR292" s="4105">
        <f>IFERROR(V292/V$117,0)</f>
        <v/>
      </c>
      <c r="BS292" s="4105">
        <f>IFERROR(W292/W$117,0)</f>
        <v/>
      </c>
      <c r="BT292" s="4105">
        <f>IFERROR(X292/X$117,0)</f>
        <v/>
      </c>
      <c r="BU292" s="4105">
        <f>IFERROR(Y292/Y$117,0)</f>
        <v/>
      </c>
      <c r="BV292" s="4105">
        <f>IFERROR(Z292/Z$117,0)</f>
        <v/>
      </c>
      <c r="BW292" s="4105">
        <f>IFERROR(AA292/AA$117,0)</f>
        <v/>
      </c>
      <c r="BX292" s="4105">
        <f>IFERROR(AB292/AB$117,0)</f>
        <v/>
      </c>
      <c r="BY292" s="4106">
        <f>IFERROR(AC292/AC$117,0)</f>
        <v/>
      </c>
      <c r="BZ292" s="4105">
        <f>IFERROR(AD292/AD$117,0)</f>
        <v/>
      </c>
      <c r="CA292" s="4105">
        <f>IFERROR(AE292/AE$117,0)</f>
        <v/>
      </c>
      <c r="CB292" s="4105">
        <f>IFERROR(AF292/AF$117,0)</f>
        <v/>
      </c>
      <c r="CC292" s="4105">
        <f>IFERROR(AG292/AG$117,0)</f>
        <v/>
      </c>
      <c r="CD292" s="4105">
        <f>IFERROR(AH292/AH$117,0)</f>
        <v/>
      </c>
      <c r="CE292" s="4105">
        <f>IFERROR(AI292/AI$117,0)</f>
        <v/>
      </c>
      <c r="CF292" s="4105">
        <f>IFERROR(AJ292/AJ$117,0)</f>
        <v/>
      </c>
      <c r="CG292" s="4105">
        <f>IFERROR(AK292/AK$117,0)</f>
        <v/>
      </c>
      <c r="CH292" s="4105">
        <f>IFERROR(AL292/AL$117,0)</f>
        <v/>
      </c>
      <c r="CI292" s="4105">
        <f>IFERROR(AM292/AM$117,0)</f>
        <v/>
      </c>
      <c r="CJ292" s="4105">
        <f>IFERROR(AN292/AN$117,0)</f>
        <v/>
      </c>
      <c r="CK292" s="4106">
        <f>IFERROR(AO292/AO$117,0)</f>
        <v/>
      </c>
      <c r="CL292" s="4105">
        <f>IFERROR(AP292/AP$117,0)</f>
        <v/>
      </c>
      <c r="CM292" s="4105">
        <f>IFERROR(AQ292/AQ$117,0)</f>
        <v/>
      </c>
      <c r="CN292" s="4105">
        <f>IFERROR(AR292/AR$117,0)</f>
        <v/>
      </c>
      <c r="CO292" s="4105">
        <f>IFERROR(AS292/AS$117,0)</f>
        <v/>
      </c>
      <c r="CP292" s="4105">
        <f>IFERROR(AT292/AT$117,0)</f>
        <v/>
      </c>
      <c r="CQ292" s="4107">
        <f>IFERROR(AU292/AU$117,0)</f>
        <v/>
      </c>
      <c r="CR292" s="4105">
        <f>IFERROR(AV292/AV$117,0)</f>
        <v/>
      </c>
      <c r="CS292" s="4105">
        <f>IFERROR(AW292/AW$117,0)</f>
        <v/>
      </c>
      <c r="CT292" s="4105">
        <f>IFERROR(AX292/AX$117,0)</f>
        <v/>
      </c>
      <c r="CU292" s="4105">
        <f>IFERROR(AY292/AY$117,0)</f>
        <v/>
      </c>
      <c r="CV292" s="4105">
        <f>IFERROR(AZ292/AZ$117,0)</f>
        <v/>
      </c>
      <c r="CW292" s="3737" t="n"/>
      <c r="CX292" s="4102" t="n">
        <v>-20.66132</v>
      </c>
    </row>
    <row r="293" hidden="1" outlineLevel="2" collapsed="1" ht="12" customFormat="1" customHeight="1" s="3737">
      <c r="A293" s="4059" t="n"/>
      <c r="B293" s="4060" t="n"/>
      <c r="C293" s="4128" t="inlineStr">
        <is>
          <t>Foreign exchange expense</t>
        </is>
      </c>
      <c r="D293" s="4101" t="n"/>
      <c r="E293" s="4101" t="n"/>
      <c r="F293" s="4102" t="n"/>
      <c r="G293" s="4102" t="n"/>
      <c r="H293" s="4102" t="n"/>
      <c r="I293" s="4102" t="n"/>
      <c r="J293" s="4102" t="n"/>
      <c r="K293" s="4102" t="n"/>
      <c r="L293" s="4102" t="n"/>
      <c r="M293" s="4102" t="n"/>
      <c r="N293" s="4102" t="n"/>
      <c r="O293" s="4102" t="n"/>
      <c r="P293" s="4102" t="n"/>
      <c r="Q293" s="4103" t="n"/>
      <c r="R293" s="4102" t="n"/>
      <c r="S293" s="4102" t="n"/>
      <c r="T293" s="4102" t="n"/>
      <c r="U293" s="4102" t="n"/>
      <c r="V293" s="4102" t="n"/>
      <c r="W293" s="4102" t="n"/>
      <c r="X293" s="4102" t="n"/>
      <c r="Y293" s="4102" t="n"/>
      <c r="Z293" s="4102" t="n"/>
      <c r="AA293" s="4102" t="n"/>
      <c r="AB293" s="4102" t="n"/>
      <c r="AC293" s="4103" t="n"/>
      <c r="AD293" s="4102" t="n"/>
      <c r="AE293" s="4102" t="n"/>
      <c r="AF293" s="4102" t="n"/>
      <c r="AG293" s="4102" t="n"/>
      <c r="AH293" s="4102" t="n"/>
      <c r="AI293" s="4102" t="n"/>
      <c r="AJ293" s="4102" t="n"/>
      <c r="AK293" s="4102" t="n"/>
      <c r="AL293" s="4102" t="n"/>
      <c r="AM293" s="4102" t="n"/>
      <c r="AN293" s="4102" t="n"/>
      <c r="AO293" s="4103" t="n"/>
      <c r="AP293" s="4102">
        <f>SUM(AP291:AP292)</f>
        <v/>
      </c>
      <c r="AQ293" s="4102">
        <f>SUM(AQ291:AQ292)</f>
        <v/>
      </c>
      <c r="AR293" s="4102">
        <f>SUM(AR291:AR292)</f>
        <v/>
      </c>
      <c r="AS293" s="4102">
        <f>SUM(AS291:AS292)</f>
        <v/>
      </c>
      <c r="AT293" s="4102">
        <f>SUM(AT291:AT292)</f>
        <v/>
      </c>
      <c r="AU293" s="4104">
        <f>SUM(AU291:AU292)</f>
        <v/>
      </c>
      <c r="AV293" s="4102">
        <f>SUM(AV291:AV292)</f>
        <v/>
      </c>
      <c r="AW293" s="4102">
        <f>SUM(AW291:AW292)</f>
        <v/>
      </c>
      <c r="AX293" s="4102">
        <f>SUM(AX291:AX292)</f>
        <v/>
      </c>
      <c r="AY293" s="4102">
        <f>SUM(AY291:AY292)</f>
        <v/>
      </c>
      <c r="AZ293" s="4102">
        <f>SUM(AZ291:AZ292)</f>
        <v/>
      </c>
      <c r="BA293" s="3737" t="n"/>
      <c r="BB293" s="4105">
        <f>IFERROR(F293/F$117,0)</f>
        <v/>
      </c>
      <c r="BC293" s="4105">
        <f>IFERROR(G293/G$117,0)</f>
        <v/>
      </c>
      <c r="BD293" s="4105">
        <f>IFERROR(H293/H$117,0)</f>
        <v/>
      </c>
      <c r="BE293" s="4105">
        <f>IFERROR(I293/I$117,0)</f>
        <v/>
      </c>
      <c r="BF293" s="4105">
        <f>IFERROR(J293/J$117,0)</f>
        <v/>
      </c>
      <c r="BG293" s="4105">
        <f>IFERROR(K293/K$117,0)</f>
        <v/>
      </c>
      <c r="BH293" s="4105">
        <f>IFERROR(L293/L$117,0)</f>
        <v/>
      </c>
      <c r="BI293" s="4105">
        <f>IFERROR(M293/M$117,0)</f>
        <v/>
      </c>
      <c r="BJ293" s="4105">
        <f>IFERROR(N293/N$117,0)</f>
        <v/>
      </c>
      <c r="BK293" s="4105">
        <f>IFERROR(O293/O$117,0)</f>
        <v/>
      </c>
      <c r="BL293" s="4105">
        <f>IFERROR(P293/P$117,0)</f>
        <v/>
      </c>
      <c r="BM293" s="4106">
        <f>IFERROR(Q293/Q$117,0)</f>
        <v/>
      </c>
      <c r="BN293" s="4105">
        <f>IFERROR(R293/R$117,0)</f>
        <v/>
      </c>
      <c r="BO293" s="4105">
        <f>IFERROR(S293/S$117,0)</f>
        <v/>
      </c>
      <c r="BP293" s="4105">
        <f>IFERROR(T293/T$117,0)</f>
        <v/>
      </c>
      <c r="BQ293" s="4105">
        <f>IFERROR(U293/U$117,0)</f>
        <v/>
      </c>
      <c r="BR293" s="4105">
        <f>IFERROR(V293/V$117,0)</f>
        <v/>
      </c>
      <c r="BS293" s="4105">
        <f>IFERROR(W293/W$117,0)</f>
        <v/>
      </c>
      <c r="BT293" s="4105">
        <f>IFERROR(X293/X$117,0)</f>
        <v/>
      </c>
      <c r="BU293" s="4105">
        <f>IFERROR(Y293/Y$117,0)</f>
        <v/>
      </c>
      <c r="BV293" s="4105">
        <f>IFERROR(Z293/Z$117,0)</f>
        <v/>
      </c>
      <c r="BW293" s="4105">
        <f>IFERROR(AA293/AA$117,0)</f>
        <v/>
      </c>
      <c r="BX293" s="4105">
        <f>IFERROR(AB293/AB$117,0)</f>
        <v/>
      </c>
      <c r="BY293" s="4106">
        <f>IFERROR(AC293/AC$117,0)</f>
        <v/>
      </c>
      <c r="BZ293" s="4105">
        <f>IFERROR(AD293/AD$117,0)</f>
        <v/>
      </c>
      <c r="CA293" s="4105">
        <f>IFERROR(AE293/AE$117,0)</f>
        <v/>
      </c>
      <c r="CB293" s="4105">
        <f>IFERROR(AF293/AF$117,0)</f>
        <v/>
      </c>
      <c r="CC293" s="4105">
        <f>IFERROR(AG293/AG$117,0)</f>
        <v/>
      </c>
      <c r="CD293" s="4105">
        <f>IFERROR(AH293/AH$117,0)</f>
        <v/>
      </c>
      <c r="CE293" s="4105">
        <f>IFERROR(AI293/AI$117,0)</f>
        <v/>
      </c>
      <c r="CF293" s="4105">
        <f>IFERROR(AJ293/AJ$117,0)</f>
        <v/>
      </c>
      <c r="CG293" s="4105">
        <f>IFERROR(AK293/AK$117,0)</f>
        <v/>
      </c>
      <c r="CH293" s="4105">
        <f>IFERROR(AL293/AL$117,0)</f>
        <v/>
      </c>
      <c r="CI293" s="4105">
        <f>IFERROR(AM293/AM$117,0)</f>
        <v/>
      </c>
      <c r="CJ293" s="4105">
        <f>IFERROR(AN293/AN$117,0)</f>
        <v/>
      </c>
      <c r="CK293" s="4106">
        <f>IFERROR(AO293/AO$117,0)</f>
        <v/>
      </c>
      <c r="CL293" s="4105">
        <f>IFERROR(AP293/AP$117,0)</f>
        <v/>
      </c>
      <c r="CM293" s="4105">
        <f>IFERROR(AQ293/AQ$117,0)</f>
        <v/>
      </c>
      <c r="CN293" s="4105">
        <f>IFERROR(AR293/AR$117,0)</f>
        <v/>
      </c>
      <c r="CO293" s="4105">
        <f>IFERROR(AS293/AS$117,0)</f>
        <v/>
      </c>
      <c r="CP293" s="4105">
        <f>IFERROR(AT293/AT$117,0)</f>
        <v/>
      </c>
      <c r="CQ293" s="4107">
        <f>IFERROR(AU293/AU$117,0)</f>
        <v/>
      </c>
      <c r="CR293" s="4105">
        <f>IFERROR(AV293/AV$117,0)</f>
        <v/>
      </c>
      <c r="CS293" s="4105">
        <f>IFERROR(AW293/AW$117,0)</f>
        <v/>
      </c>
      <c r="CT293" s="4105">
        <f>IFERROR(AX293/AX$117,0)</f>
        <v/>
      </c>
      <c r="CU293" s="4105">
        <f>IFERROR(AY293/AY$117,0)</f>
        <v/>
      </c>
      <c r="CV293" s="4105">
        <f>IFERROR(AZ293/AZ$117,0)</f>
        <v/>
      </c>
      <c r="CW293" s="3737" t="n"/>
      <c r="CX293" s="4102">
        <f>SUM(CX291:CX292)</f>
        <v/>
      </c>
    </row>
    <row r="294" hidden="1" outlineLevel="1" ht="12" customFormat="1" customHeight="1" s="3737">
      <c r="A294" s="4059" t="n"/>
      <c r="B294" s="4060" t="n"/>
      <c r="C294" s="4109" t="inlineStr">
        <is>
          <t>Other expense</t>
        </is>
      </c>
      <c r="D294" s="4093" t="n"/>
      <c r="E294" s="4093" t="n"/>
      <c r="F294" s="4094" t="n"/>
      <c r="G294" s="4094" t="n"/>
      <c r="H294" s="4094" t="n"/>
      <c r="I294" s="4094" t="n"/>
      <c r="J294" s="4094" t="n"/>
      <c r="K294" s="4094" t="n"/>
      <c r="L294" s="4094" t="n"/>
      <c r="M294" s="4094" t="n"/>
      <c r="N294" s="4094" t="n"/>
      <c r="O294" s="4094" t="n"/>
      <c r="P294" s="4094" t="n"/>
      <c r="Q294" s="4095" t="n"/>
      <c r="R294" s="4094" t="n"/>
      <c r="S294" s="4094" t="n"/>
      <c r="T294" s="4094" t="n"/>
      <c r="U294" s="4094" t="n"/>
      <c r="V294" s="4094" t="n"/>
      <c r="W294" s="4094" t="n"/>
      <c r="X294" s="4094" t="n"/>
      <c r="Y294" s="4094" t="n"/>
      <c r="Z294" s="4094" t="n"/>
      <c r="AA294" s="4094" t="n"/>
      <c r="AB294" s="4094" t="n"/>
      <c r="AC294" s="4095" t="n"/>
      <c r="AD294" s="4094" t="n"/>
      <c r="AE294" s="4094" t="n"/>
      <c r="AF294" s="4094" t="n"/>
      <c r="AG294" s="4094" t="n"/>
      <c r="AH294" s="4094" t="n"/>
      <c r="AI294" s="4094" t="n"/>
      <c r="AJ294" s="4094" t="n"/>
      <c r="AK294" s="4094" t="n"/>
      <c r="AL294" s="4094" t="n"/>
      <c r="AM294" s="4094" t="n"/>
      <c r="AN294" s="4094" t="n"/>
      <c r="AO294" s="4095" t="n"/>
      <c r="AP294" s="4094">
        <f>SUM(AP293,AP288,AP286,AP281,AP284,AP290)</f>
        <v/>
      </c>
      <c r="AQ294" s="4094">
        <f>SUM(AQ293,AQ288,AQ286,AQ281,AQ284,AQ290)</f>
        <v/>
      </c>
      <c r="AR294" s="4094">
        <f>SUM(AR293,AR288,AR286,AR281,AR284,AR290)</f>
        <v/>
      </c>
      <c r="AS294" s="4094">
        <f>SUM(AS293,AS288,AS286,AS281,AS284,AS290)</f>
        <v/>
      </c>
      <c r="AT294" s="4094">
        <f>SUM(AT293,AT288,AT286,AT281,AT284,AT290)</f>
        <v/>
      </c>
      <c r="AU294" s="4096">
        <f>SUM(AU293,AU288,AU286,AU281,AU284,AU290)</f>
        <v/>
      </c>
      <c r="AV294" s="4094">
        <f>SUM(AV293,AV288,AV286,AV281,AV284,AV290)</f>
        <v/>
      </c>
      <c r="AW294" s="4094">
        <f>SUM(AW293,AW288,AW286,AW281,AW284,AW290)</f>
        <v/>
      </c>
      <c r="AX294" s="4094">
        <f>SUM(AX293,AX288,AX286,AX281,AX284,AX290)</f>
        <v/>
      </c>
      <c r="AY294" s="4094">
        <f>SUM(AY293,AY288,AY286,AY281,AY284,AY290)</f>
        <v/>
      </c>
      <c r="AZ294" s="4094">
        <f>SUM(AZ293,AZ288,AZ286,AZ281,AZ284,AZ290)</f>
        <v/>
      </c>
      <c r="BA294" s="3737" t="n"/>
      <c r="BB294" s="4097">
        <f>IFERROR(F294/F$117,0)</f>
        <v/>
      </c>
      <c r="BC294" s="4097">
        <f>IFERROR(G294/G$117,0)</f>
        <v/>
      </c>
      <c r="BD294" s="4097">
        <f>IFERROR(H294/H$117,0)</f>
        <v/>
      </c>
      <c r="BE294" s="4097">
        <f>IFERROR(I294/I$117,0)</f>
        <v/>
      </c>
      <c r="BF294" s="4097">
        <f>IFERROR(J294/J$117,0)</f>
        <v/>
      </c>
      <c r="BG294" s="4097">
        <f>IFERROR(K294/K$117,0)</f>
        <v/>
      </c>
      <c r="BH294" s="4097">
        <f>IFERROR(L294/L$117,0)</f>
        <v/>
      </c>
      <c r="BI294" s="4097">
        <f>IFERROR(M294/M$117,0)</f>
        <v/>
      </c>
      <c r="BJ294" s="4097">
        <f>IFERROR(N294/N$117,0)</f>
        <v/>
      </c>
      <c r="BK294" s="4097">
        <f>IFERROR(O294/O$117,0)</f>
        <v/>
      </c>
      <c r="BL294" s="4097">
        <f>IFERROR(P294/P$117,0)</f>
        <v/>
      </c>
      <c r="BM294" s="4098">
        <f>IFERROR(Q294/Q$117,0)</f>
        <v/>
      </c>
      <c r="BN294" s="4097">
        <f>IFERROR(R294/R$117,0)</f>
        <v/>
      </c>
      <c r="BO294" s="4097">
        <f>IFERROR(S294/S$117,0)</f>
        <v/>
      </c>
      <c r="BP294" s="4097">
        <f>IFERROR(T294/T$117,0)</f>
        <v/>
      </c>
      <c r="BQ294" s="4097">
        <f>IFERROR(U294/U$117,0)</f>
        <v/>
      </c>
      <c r="BR294" s="4097">
        <f>IFERROR(V294/V$117,0)</f>
        <v/>
      </c>
      <c r="BS294" s="4097">
        <f>IFERROR(W294/W$117,0)</f>
        <v/>
      </c>
      <c r="BT294" s="4097">
        <f>IFERROR(X294/X$117,0)</f>
        <v/>
      </c>
      <c r="BU294" s="4097">
        <f>IFERROR(Y294/Y$117,0)</f>
        <v/>
      </c>
      <c r="BV294" s="4097">
        <f>IFERROR(Z294/Z$117,0)</f>
        <v/>
      </c>
      <c r="BW294" s="4097">
        <f>IFERROR(AA294/AA$117,0)</f>
        <v/>
      </c>
      <c r="BX294" s="4097">
        <f>IFERROR(AB294/AB$117,0)</f>
        <v/>
      </c>
      <c r="BY294" s="4098">
        <f>IFERROR(AC294/AC$117,0)</f>
        <v/>
      </c>
      <c r="BZ294" s="4097">
        <f>IFERROR(AD294/AD$117,0)</f>
        <v/>
      </c>
      <c r="CA294" s="4097">
        <f>IFERROR(AE294/AE$117,0)</f>
        <v/>
      </c>
      <c r="CB294" s="4097">
        <f>IFERROR(AF294/AF$117,0)</f>
        <v/>
      </c>
      <c r="CC294" s="4097">
        <f>IFERROR(AG294/AG$117,0)</f>
        <v/>
      </c>
      <c r="CD294" s="4097">
        <f>IFERROR(AH294/AH$117,0)</f>
        <v/>
      </c>
      <c r="CE294" s="4097">
        <f>IFERROR(AI294/AI$117,0)</f>
        <v/>
      </c>
      <c r="CF294" s="4097">
        <f>IFERROR(AJ294/AJ$117,0)</f>
        <v/>
      </c>
      <c r="CG294" s="4097">
        <f>IFERROR(AK294/AK$117,0)</f>
        <v/>
      </c>
      <c r="CH294" s="4097">
        <f>IFERROR(AL294/AL$117,0)</f>
        <v/>
      </c>
      <c r="CI294" s="4097">
        <f>IFERROR(AM294/AM$117,0)</f>
        <v/>
      </c>
      <c r="CJ294" s="4097">
        <f>IFERROR(AN294/AN$117,0)</f>
        <v/>
      </c>
      <c r="CK294" s="4098">
        <f>IFERROR(AO294/AO$117,0)</f>
        <v/>
      </c>
      <c r="CL294" s="4097">
        <f>IFERROR(AP294/AP$117,0)</f>
        <v/>
      </c>
      <c r="CM294" s="4097">
        <f>IFERROR(AQ294/AQ$117,0)</f>
        <v/>
      </c>
      <c r="CN294" s="4097">
        <f>IFERROR(AR294/AR$117,0)</f>
        <v/>
      </c>
      <c r="CO294" s="4097">
        <f>IFERROR(AS294/AS$117,0)</f>
        <v/>
      </c>
      <c r="CP294" s="4097">
        <f>IFERROR(AT294/AT$117,0)</f>
        <v/>
      </c>
      <c r="CQ294" s="4099">
        <f>IFERROR(AU294/AU$117,0)</f>
        <v/>
      </c>
      <c r="CR294" s="4097">
        <f>IFERROR(AV294/AV$117,0)</f>
        <v/>
      </c>
      <c r="CS294" s="4097">
        <f>IFERROR(AW294/AW$117,0)</f>
        <v/>
      </c>
      <c r="CT294" s="4097">
        <f>IFERROR(AX294/AX$117,0)</f>
        <v/>
      </c>
      <c r="CU294" s="4097">
        <f>IFERROR(AY294/AY$117,0)</f>
        <v/>
      </c>
      <c r="CV294" s="4097">
        <f>IFERROR(AZ294/AZ$117,0)</f>
        <v/>
      </c>
      <c r="CW294" s="3737" t="n"/>
      <c r="CX294" s="4094">
        <f>SUM(CX293,CX288,CX286,CX281,CX284,CX290)</f>
        <v/>
      </c>
    </row>
    <row r="295" hidden="1" outlineLevel="3" ht="12" customFormat="1" customHeight="1" s="3737">
      <c r="A295" s="4059" t="n"/>
      <c r="B295" s="4060" t="n"/>
      <c r="C295" s="4141" t="inlineStr">
        <is>
          <t>Business entertainment meals</t>
        </is>
      </c>
      <c r="D295" s="4093" t="n">
        <v>541102</v>
      </c>
      <c r="E295" s="4093">
        <f>CONCATENATE(D295," - ",C295)</f>
        <v/>
      </c>
      <c r="F295" s="4094" t="n"/>
      <c r="G295" s="4094" t="n"/>
      <c r="H295" s="4094" t="n"/>
      <c r="I295" s="4094" t="n"/>
      <c r="J295" s="4094" t="n"/>
      <c r="K295" s="4094" t="n"/>
      <c r="L295" s="4094" t="n"/>
      <c r="M295" s="4094" t="n"/>
      <c r="N295" s="4094" t="n"/>
      <c r="O295" s="4094" t="n"/>
      <c r="P295" s="4094" t="n"/>
      <c r="Q295" s="4095" t="n"/>
      <c r="R295" s="4094" t="n"/>
      <c r="S295" s="4094" t="n"/>
      <c r="T295" s="4094" t="n"/>
      <c r="U295" s="4094" t="n"/>
      <c r="V295" s="4094" t="n"/>
      <c r="W295" s="4094" t="n"/>
      <c r="X295" s="4094" t="n"/>
      <c r="Y295" s="4094" t="n"/>
      <c r="Z295" s="4094" t="n"/>
      <c r="AA295" s="4094" t="n"/>
      <c r="AB295" s="4094" t="n"/>
      <c r="AC295" s="4095" t="n"/>
      <c r="AD295" s="4094" t="n"/>
      <c r="AE295" s="4094" t="n"/>
      <c r="AF295" s="4094" t="n"/>
      <c r="AG295" s="4094" t="n"/>
      <c r="AH295" s="4094" t="n"/>
      <c r="AI295" s="4094" t="n"/>
      <c r="AJ295" s="4094" t="n"/>
      <c r="AK295" s="4094" t="n"/>
      <c r="AL295" s="4094" t="n"/>
      <c r="AM295" s="4094" t="n"/>
      <c r="AN295" s="4094" t="n"/>
      <c r="AO295" s="4095" t="n"/>
      <c r="AP295" s="4094" t="n">
        <v>-0.3658</v>
      </c>
      <c r="AQ295" s="4094" t="n">
        <v>-1.26349</v>
      </c>
      <c r="AR295" s="4094" t="n">
        <v>-0.83525</v>
      </c>
      <c r="AS295" s="4094" t="n">
        <v>-1.4627</v>
      </c>
      <c r="AT295" s="4094" t="n">
        <v>-1.06475</v>
      </c>
      <c r="AU295" s="4096" t="n">
        <v>-1.98426</v>
      </c>
      <c r="AV295" s="4094">
        <f>SUM(F295:Q295)</f>
        <v/>
      </c>
      <c r="AW295" s="4094">
        <f>SUM(R295:AC295)</f>
        <v/>
      </c>
      <c r="AX295" s="4094">
        <f>SUM(AD295:AO295)</f>
        <v/>
      </c>
      <c r="AY295" s="4094">
        <f>SUM(AH295:AS295)</f>
        <v/>
      </c>
      <c r="AZ295" s="4094">
        <f>SUM(AJ295:AU295)</f>
        <v/>
      </c>
      <c r="BA295" s="3737" t="n"/>
      <c r="BB295" s="4097">
        <f>IFERROR(F295/F$117,0)</f>
        <v/>
      </c>
      <c r="BC295" s="4097">
        <f>IFERROR(G295/G$117,0)</f>
        <v/>
      </c>
      <c r="BD295" s="4097">
        <f>IFERROR(H295/H$117,0)</f>
        <v/>
      </c>
      <c r="BE295" s="4097">
        <f>IFERROR(I295/I$117,0)</f>
        <v/>
      </c>
      <c r="BF295" s="4097">
        <f>IFERROR(J295/J$117,0)</f>
        <v/>
      </c>
      <c r="BG295" s="4097">
        <f>IFERROR(K295/K$117,0)</f>
        <v/>
      </c>
      <c r="BH295" s="4097">
        <f>IFERROR(L295/L$117,0)</f>
        <v/>
      </c>
      <c r="BI295" s="4097">
        <f>IFERROR(M295/M$117,0)</f>
        <v/>
      </c>
      <c r="BJ295" s="4097">
        <f>IFERROR(N295/N$117,0)</f>
        <v/>
      </c>
      <c r="BK295" s="4097">
        <f>IFERROR(O295/O$117,0)</f>
        <v/>
      </c>
      <c r="BL295" s="4097">
        <f>IFERROR(P295/P$117,0)</f>
        <v/>
      </c>
      <c r="BM295" s="4098">
        <f>IFERROR(Q295/Q$117,0)</f>
        <v/>
      </c>
      <c r="BN295" s="4097">
        <f>IFERROR(R295/R$117,0)</f>
        <v/>
      </c>
      <c r="BO295" s="4097">
        <f>IFERROR(S295/S$117,0)</f>
        <v/>
      </c>
      <c r="BP295" s="4097">
        <f>IFERROR(T295/T$117,0)</f>
        <v/>
      </c>
      <c r="BQ295" s="4097">
        <f>IFERROR(U295/U$117,0)</f>
        <v/>
      </c>
      <c r="BR295" s="4097">
        <f>IFERROR(V295/V$117,0)</f>
        <v/>
      </c>
      <c r="BS295" s="4097">
        <f>IFERROR(W295/W$117,0)</f>
        <v/>
      </c>
      <c r="BT295" s="4097">
        <f>IFERROR(X295/X$117,0)</f>
        <v/>
      </c>
      <c r="BU295" s="4097">
        <f>IFERROR(Y295/Y$117,0)</f>
        <v/>
      </c>
      <c r="BV295" s="4097">
        <f>IFERROR(Z295/Z$117,0)</f>
        <v/>
      </c>
      <c r="BW295" s="4097">
        <f>IFERROR(AA295/AA$117,0)</f>
        <v/>
      </c>
      <c r="BX295" s="4097">
        <f>IFERROR(AB295/AB$117,0)</f>
        <v/>
      </c>
      <c r="BY295" s="4098">
        <f>IFERROR(AC295/AC$117,0)</f>
        <v/>
      </c>
      <c r="BZ295" s="4097">
        <f>IFERROR(AD295/AD$117,0)</f>
        <v/>
      </c>
      <c r="CA295" s="4097">
        <f>IFERROR(AE295/AE$117,0)</f>
        <v/>
      </c>
      <c r="CB295" s="4097">
        <f>IFERROR(AF295/AF$117,0)</f>
        <v/>
      </c>
      <c r="CC295" s="4097">
        <f>IFERROR(AG295/AG$117,0)</f>
        <v/>
      </c>
      <c r="CD295" s="4097">
        <f>IFERROR(AH295/AH$117,0)</f>
        <v/>
      </c>
      <c r="CE295" s="4097">
        <f>IFERROR(AI295/AI$117,0)</f>
        <v/>
      </c>
      <c r="CF295" s="4097">
        <f>IFERROR(AJ295/AJ$117,0)</f>
        <v/>
      </c>
      <c r="CG295" s="4097">
        <f>IFERROR(AK295/AK$117,0)</f>
        <v/>
      </c>
      <c r="CH295" s="4097">
        <f>IFERROR(AL295/AL$117,0)</f>
        <v/>
      </c>
      <c r="CI295" s="4097">
        <f>IFERROR(AM295/AM$117,0)</f>
        <v/>
      </c>
      <c r="CJ295" s="4097">
        <f>IFERROR(AN295/AN$117,0)</f>
        <v/>
      </c>
      <c r="CK295" s="4098">
        <f>IFERROR(AO295/AO$117,0)</f>
        <v/>
      </c>
      <c r="CL295" s="4097">
        <f>IFERROR(AP295/AP$117,0)</f>
        <v/>
      </c>
      <c r="CM295" s="4097">
        <f>IFERROR(AQ295/AQ$117,0)</f>
        <v/>
      </c>
      <c r="CN295" s="4097">
        <f>IFERROR(AR295/AR$117,0)</f>
        <v/>
      </c>
      <c r="CO295" s="4097">
        <f>IFERROR(AS295/AS$117,0)</f>
        <v/>
      </c>
      <c r="CP295" s="4097">
        <f>IFERROR(AT295/AT$117,0)</f>
        <v/>
      </c>
      <c r="CQ295" s="4099">
        <f>IFERROR(AU295/AU$117,0)</f>
        <v/>
      </c>
      <c r="CR295" s="4097">
        <f>IFERROR(AV295/AV$117,0)</f>
        <v/>
      </c>
      <c r="CS295" s="4097">
        <f>IFERROR(AW295/AW$117,0)</f>
        <v/>
      </c>
      <c r="CT295" s="4097">
        <f>IFERROR(AX295/AX$117,0)</f>
        <v/>
      </c>
      <c r="CU295" s="4097">
        <f>IFERROR(AY295/AY$117,0)</f>
        <v/>
      </c>
      <c r="CV295" s="4097">
        <f>IFERROR(AZ295/AZ$117,0)</f>
        <v/>
      </c>
      <c r="CW295" s="3737" t="n"/>
      <c r="CX295" s="4094" t="n">
        <v>-4.25134</v>
      </c>
    </row>
    <row r="296" hidden="1" outlineLevel="3" ht="12" customFormat="1" customHeight="1" s="3737">
      <c r="A296" s="4059" t="n"/>
      <c r="B296" s="4060" t="n"/>
      <c r="C296" s="4141" t="inlineStr">
        <is>
          <t>Trade shows conference - airfare</t>
        </is>
      </c>
      <c r="D296" s="4093" t="n">
        <v>541504</v>
      </c>
      <c r="E296" s="4093">
        <f>CONCATENATE(D296," - ",C296)</f>
        <v/>
      </c>
      <c r="F296" s="4094" t="n"/>
      <c r="G296" s="4094" t="n"/>
      <c r="H296" s="4094" t="n"/>
      <c r="I296" s="4094" t="n"/>
      <c r="J296" s="4094" t="n"/>
      <c r="K296" s="4094" t="n"/>
      <c r="L296" s="4094" t="n"/>
      <c r="M296" s="4094" t="n"/>
      <c r="N296" s="4094" t="n"/>
      <c r="O296" s="4094" t="n"/>
      <c r="P296" s="4094" t="n"/>
      <c r="Q296" s="4095" t="n"/>
      <c r="R296" s="4094" t="n"/>
      <c r="S296" s="4094" t="n"/>
      <c r="T296" s="4094" t="n"/>
      <c r="U296" s="4094" t="n"/>
      <c r="V296" s="4094" t="n"/>
      <c r="W296" s="4094" t="n"/>
      <c r="X296" s="4094" t="n"/>
      <c r="Y296" s="4094" t="n"/>
      <c r="Z296" s="4094" t="n"/>
      <c r="AA296" s="4094" t="n"/>
      <c r="AB296" s="4094" t="n"/>
      <c r="AC296" s="4095" t="n"/>
      <c r="AD296" s="4094" t="n"/>
      <c r="AE296" s="4094" t="n"/>
      <c r="AF296" s="4094" t="n"/>
      <c r="AG296" s="4094" t="n"/>
      <c r="AH296" s="4094" t="n"/>
      <c r="AI296" s="4094" t="n"/>
      <c r="AJ296" s="4094" t="n"/>
      <c r="AK296" s="4094" t="n"/>
      <c r="AL296" s="4094" t="n"/>
      <c r="AM296" s="4094" t="n"/>
      <c r="AN296" s="4094" t="n"/>
      <c r="AO296" s="4095" t="n"/>
      <c r="AP296" s="4094" t="n">
        <v>0</v>
      </c>
      <c r="AQ296" s="4094" t="n">
        <v>0</v>
      </c>
      <c r="AR296" s="4094" t="n">
        <v>-2</v>
      </c>
      <c r="AS296" s="4094" t="n">
        <v>-3.73419</v>
      </c>
      <c r="AT296" s="4094" t="n">
        <v>-5.08722</v>
      </c>
      <c r="AU296" s="4096" t="n">
        <v>-2.49777</v>
      </c>
      <c r="AV296" s="4094">
        <f>SUM(F296:Q296)</f>
        <v/>
      </c>
      <c r="AW296" s="4094">
        <f>SUM(R296:AC296)</f>
        <v/>
      </c>
      <c r="AX296" s="4094">
        <f>SUM(AD296:AO296)</f>
        <v/>
      </c>
      <c r="AY296" s="4094">
        <f>SUM(AH296:AS296)</f>
        <v/>
      </c>
      <c r="AZ296" s="4094">
        <f>SUM(AJ296:AU296)</f>
        <v/>
      </c>
      <c r="BA296" s="3737" t="n"/>
      <c r="BB296" s="4097">
        <f>IFERROR(F296/F$117,0)</f>
        <v/>
      </c>
      <c r="BC296" s="4097">
        <f>IFERROR(G296/G$117,0)</f>
        <v/>
      </c>
      <c r="BD296" s="4097">
        <f>IFERROR(H296/H$117,0)</f>
        <v/>
      </c>
      <c r="BE296" s="4097">
        <f>IFERROR(I296/I$117,0)</f>
        <v/>
      </c>
      <c r="BF296" s="4097">
        <f>IFERROR(J296/J$117,0)</f>
        <v/>
      </c>
      <c r="BG296" s="4097">
        <f>IFERROR(K296/K$117,0)</f>
        <v/>
      </c>
      <c r="BH296" s="4097">
        <f>IFERROR(L296/L$117,0)</f>
        <v/>
      </c>
      <c r="BI296" s="4097">
        <f>IFERROR(M296/M$117,0)</f>
        <v/>
      </c>
      <c r="BJ296" s="4097">
        <f>IFERROR(N296/N$117,0)</f>
        <v/>
      </c>
      <c r="BK296" s="4097">
        <f>IFERROR(O296/O$117,0)</f>
        <v/>
      </c>
      <c r="BL296" s="4097">
        <f>IFERROR(P296/P$117,0)</f>
        <v/>
      </c>
      <c r="BM296" s="4098">
        <f>IFERROR(Q296/Q$117,0)</f>
        <v/>
      </c>
      <c r="BN296" s="4097">
        <f>IFERROR(R296/R$117,0)</f>
        <v/>
      </c>
      <c r="BO296" s="4097">
        <f>IFERROR(S296/S$117,0)</f>
        <v/>
      </c>
      <c r="BP296" s="4097">
        <f>IFERROR(T296/T$117,0)</f>
        <v/>
      </c>
      <c r="BQ296" s="4097">
        <f>IFERROR(U296/U$117,0)</f>
        <v/>
      </c>
      <c r="BR296" s="4097">
        <f>IFERROR(V296/V$117,0)</f>
        <v/>
      </c>
      <c r="BS296" s="4097">
        <f>IFERROR(W296/W$117,0)</f>
        <v/>
      </c>
      <c r="BT296" s="4097">
        <f>IFERROR(X296/X$117,0)</f>
        <v/>
      </c>
      <c r="BU296" s="4097">
        <f>IFERROR(Y296/Y$117,0)</f>
        <v/>
      </c>
      <c r="BV296" s="4097">
        <f>IFERROR(Z296/Z$117,0)</f>
        <v/>
      </c>
      <c r="BW296" s="4097">
        <f>IFERROR(AA296/AA$117,0)</f>
        <v/>
      </c>
      <c r="BX296" s="4097">
        <f>IFERROR(AB296/AB$117,0)</f>
        <v/>
      </c>
      <c r="BY296" s="4098">
        <f>IFERROR(AC296/AC$117,0)</f>
        <v/>
      </c>
      <c r="BZ296" s="4097">
        <f>IFERROR(AD296/AD$117,0)</f>
        <v/>
      </c>
      <c r="CA296" s="4097">
        <f>IFERROR(AE296/AE$117,0)</f>
        <v/>
      </c>
      <c r="CB296" s="4097">
        <f>IFERROR(AF296/AF$117,0)</f>
        <v/>
      </c>
      <c r="CC296" s="4097">
        <f>IFERROR(AG296/AG$117,0)</f>
        <v/>
      </c>
      <c r="CD296" s="4097">
        <f>IFERROR(AH296/AH$117,0)</f>
        <v/>
      </c>
      <c r="CE296" s="4097">
        <f>IFERROR(AI296/AI$117,0)</f>
        <v/>
      </c>
      <c r="CF296" s="4097">
        <f>IFERROR(AJ296/AJ$117,0)</f>
        <v/>
      </c>
      <c r="CG296" s="4097">
        <f>IFERROR(AK296/AK$117,0)</f>
        <v/>
      </c>
      <c r="CH296" s="4097">
        <f>IFERROR(AL296/AL$117,0)</f>
        <v/>
      </c>
      <c r="CI296" s="4097">
        <f>IFERROR(AM296/AM$117,0)</f>
        <v/>
      </c>
      <c r="CJ296" s="4097">
        <f>IFERROR(AN296/AN$117,0)</f>
        <v/>
      </c>
      <c r="CK296" s="4098">
        <f>IFERROR(AO296/AO$117,0)</f>
        <v/>
      </c>
      <c r="CL296" s="4097">
        <f>IFERROR(AP296/AP$117,0)</f>
        <v/>
      </c>
      <c r="CM296" s="4097">
        <f>IFERROR(AQ296/AQ$117,0)</f>
        <v/>
      </c>
      <c r="CN296" s="4097">
        <f>IFERROR(AR296/AR$117,0)</f>
        <v/>
      </c>
      <c r="CO296" s="4097">
        <f>IFERROR(AS296/AS$117,0)</f>
        <v/>
      </c>
      <c r="CP296" s="4097">
        <f>IFERROR(AT296/AT$117,0)</f>
        <v/>
      </c>
      <c r="CQ296" s="4099">
        <f>IFERROR(AU296/AU$117,0)</f>
        <v/>
      </c>
      <c r="CR296" s="4097">
        <f>IFERROR(AV296/AV$117,0)</f>
        <v/>
      </c>
      <c r="CS296" s="4097">
        <f>IFERROR(AW296/AW$117,0)</f>
        <v/>
      </c>
      <c r="CT296" s="4097">
        <f>IFERROR(AX296/AX$117,0)</f>
        <v/>
      </c>
      <c r="CU296" s="4097">
        <f>IFERROR(AY296/AY$117,0)</f>
        <v/>
      </c>
      <c r="CV296" s="4097">
        <f>IFERROR(AZ296/AZ$117,0)</f>
        <v/>
      </c>
      <c r="CW296" s="3737" t="n"/>
      <c r="CX296" s="4094" t="n">
        <v>-1.08583</v>
      </c>
    </row>
    <row r="297" hidden="1" outlineLevel="3" ht="12" customFormat="1" customHeight="1" s="3737">
      <c r="A297" s="4059" t="n"/>
      <c r="B297" s="4060" t="n"/>
      <c r="C297" s="4141" t="inlineStr">
        <is>
          <t>Trade shows conference - lodging</t>
        </is>
      </c>
      <c r="D297" s="4093" t="n">
        <v>541505</v>
      </c>
      <c r="E297" s="4093">
        <f>CONCATENATE(D297," - ",C297)</f>
        <v/>
      </c>
      <c r="F297" s="4094" t="n"/>
      <c r="G297" s="4094" t="n"/>
      <c r="H297" s="4094" t="n"/>
      <c r="I297" s="4094" t="n"/>
      <c r="J297" s="4094" t="n"/>
      <c r="K297" s="4094" t="n"/>
      <c r="L297" s="4094" t="n"/>
      <c r="M297" s="4094" t="n"/>
      <c r="N297" s="4094" t="n"/>
      <c r="O297" s="4094" t="n"/>
      <c r="P297" s="4094" t="n"/>
      <c r="Q297" s="4095" t="n"/>
      <c r="R297" s="4094" t="n"/>
      <c r="S297" s="4094" t="n"/>
      <c r="T297" s="4094" t="n"/>
      <c r="U297" s="4094" t="n"/>
      <c r="V297" s="4094" t="n"/>
      <c r="W297" s="4094" t="n"/>
      <c r="X297" s="4094" t="n"/>
      <c r="Y297" s="4094" t="n"/>
      <c r="Z297" s="4094" t="n"/>
      <c r="AA297" s="4094" t="n"/>
      <c r="AB297" s="4094" t="n"/>
      <c r="AC297" s="4095" t="n"/>
      <c r="AD297" s="4094" t="n"/>
      <c r="AE297" s="4094" t="n"/>
      <c r="AF297" s="4094" t="n"/>
      <c r="AG297" s="4094" t="n"/>
      <c r="AH297" s="4094" t="n"/>
      <c r="AI297" s="4094" t="n"/>
      <c r="AJ297" s="4094" t="n"/>
      <c r="AK297" s="4094" t="n"/>
      <c r="AL297" s="4094" t="n"/>
      <c r="AM297" s="4094" t="n"/>
      <c r="AN297" s="4094" t="n"/>
      <c r="AO297" s="4095" t="n"/>
      <c r="AP297" s="4094" t="n">
        <v>0</v>
      </c>
      <c r="AQ297" s="4094" t="n">
        <v>0</v>
      </c>
      <c r="AR297" s="4094" t="n">
        <v>-1.71433</v>
      </c>
      <c r="AS297" s="4094" t="n">
        <v>-4.10793</v>
      </c>
      <c r="AT297" s="4094" t="n">
        <v>-7.93948</v>
      </c>
      <c r="AU297" s="4096" t="n">
        <v>-1.99637</v>
      </c>
      <c r="AV297" s="4094">
        <f>SUM(F297:Q297)</f>
        <v/>
      </c>
      <c r="AW297" s="4094">
        <f>SUM(R297:AC297)</f>
        <v/>
      </c>
      <c r="AX297" s="4094">
        <f>SUM(AD297:AO297)</f>
        <v/>
      </c>
      <c r="AY297" s="4094">
        <f>SUM(AH297:AS297)</f>
        <v/>
      </c>
      <c r="AZ297" s="4094">
        <f>SUM(AJ297:AU297)</f>
        <v/>
      </c>
      <c r="BA297" s="3737" t="n"/>
      <c r="BB297" s="4097">
        <f>IFERROR(F297/F$117,0)</f>
        <v/>
      </c>
      <c r="BC297" s="4097">
        <f>IFERROR(G297/G$117,0)</f>
        <v/>
      </c>
      <c r="BD297" s="4097">
        <f>IFERROR(H297/H$117,0)</f>
        <v/>
      </c>
      <c r="BE297" s="4097">
        <f>IFERROR(I297/I$117,0)</f>
        <v/>
      </c>
      <c r="BF297" s="4097">
        <f>IFERROR(J297/J$117,0)</f>
        <v/>
      </c>
      <c r="BG297" s="4097">
        <f>IFERROR(K297/K$117,0)</f>
        <v/>
      </c>
      <c r="BH297" s="4097">
        <f>IFERROR(L297/L$117,0)</f>
        <v/>
      </c>
      <c r="BI297" s="4097">
        <f>IFERROR(M297/M$117,0)</f>
        <v/>
      </c>
      <c r="BJ297" s="4097">
        <f>IFERROR(N297/N$117,0)</f>
        <v/>
      </c>
      <c r="BK297" s="4097">
        <f>IFERROR(O297/O$117,0)</f>
        <v/>
      </c>
      <c r="BL297" s="4097">
        <f>IFERROR(P297/P$117,0)</f>
        <v/>
      </c>
      <c r="BM297" s="4098">
        <f>IFERROR(Q297/Q$117,0)</f>
        <v/>
      </c>
      <c r="BN297" s="4097">
        <f>IFERROR(R297/R$117,0)</f>
        <v/>
      </c>
      <c r="BO297" s="4097">
        <f>IFERROR(S297/S$117,0)</f>
        <v/>
      </c>
      <c r="BP297" s="4097">
        <f>IFERROR(T297/T$117,0)</f>
        <v/>
      </c>
      <c r="BQ297" s="4097">
        <f>IFERROR(U297/U$117,0)</f>
        <v/>
      </c>
      <c r="BR297" s="4097">
        <f>IFERROR(V297/V$117,0)</f>
        <v/>
      </c>
      <c r="BS297" s="4097">
        <f>IFERROR(W297/W$117,0)</f>
        <v/>
      </c>
      <c r="BT297" s="4097">
        <f>IFERROR(X297/X$117,0)</f>
        <v/>
      </c>
      <c r="BU297" s="4097">
        <f>IFERROR(Y297/Y$117,0)</f>
        <v/>
      </c>
      <c r="BV297" s="4097">
        <f>IFERROR(Z297/Z$117,0)</f>
        <v/>
      </c>
      <c r="BW297" s="4097">
        <f>IFERROR(AA297/AA$117,0)</f>
        <v/>
      </c>
      <c r="BX297" s="4097">
        <f>IFERROR(AB297/AB$117,0)</f>
        <v/>
      </c>
      <c r="BY297" s="4098">
        <f>IFERROR(AC297/AC$117,0)</f>
        <v/>
      </c>
      <c r="BZ297" s="4097">
        <f>IFERROR(AD297/AD$117,0)</f>
        <v/>
      </c>
      <c r="CA297" s="4097">
        <f>IFERROR(AE297/AE$117,0)</f>
        <v/>
      </c>
      <c r="CB297" s="4097">
        <f>IFERROR(AF297/AF$117,0)</f>
        <v/>
      </c>
      <c r="CC297" s="4097">
        <f>IFERROR(AG297/AG$117,0)</f>
        <v/>
      </c>
      <c r="CD297" s="4097">
        <f>IFERROR(AH297/AH$117,0)</f>
        <v/>
      </c>
      <c r="CE297" s="4097">
        <f>IFERROR(AI297/AI$117,0)</f>
        <v/>
      </c>
      <c r="CF297" s="4097">
        <f>IFERROR(AJ297/AJ$117,0)</f>
        <v/>
      </c>
      <c r="CG297" s="4097">
        <f>IFERROR(AK297/AK$117,0)</f>
        <v/>
      </c>
      <c r="CH297" s="4097">
        <f>IFERROR(AL297/AL$117,0)</f>
        <v/>
      </c>
      <c r="CI297" s="4097">
        <f>IFERROR(AM297/AM$117,0)</f>
        <v/>
      </c>
      <c r="CJ297" s="4097">
        <f>IFERROR(AN297/AN$117,0)</f>
        <v/>
      </c>
      <c r="CK297" s="4098">
        <f>IFERROR(AO297/AO$117,0)</f>
        <v/>
      </c>
      <c r="CL297" s="4097">
        <f>IFERROR(AP297/AP$117,0)</f>
        <v/>
      </c>
      <c r="CM297" s="4097">
        <f>IFERROR(AQ297/AQ$117,0)</f>
        <v/>
      </c>
      <c r="CN297" s="4097">
        <f>IFERROR(AR297/AR$117,0)</f>
        <v/>
      </c>
      <c r="CO297" s="4097">
        <f>IFERROR(AS297/AS$117,0)</f>
        <v/>
      </c>
      <c r="CP297" s="4097">
        <f>IFERROR(AT297/AT$117,0)</f>
        <v/>
      </c>
      <c r="CQ297" s="4099">
        <f>IFERROR(AU297/AU$117,0)</f>
        <v/>
      </c>
      <c r="CR297" s="4097">
        <f>IFERROR(AV297/AV$117,0)</f>
        <v/>
      </c>
      <c r="CS297" s="4097">
        <f>IFERROR(AW297/AW$117,0)</f>
        <v/>
      </c>
      <c r="CT297" s="4097">
        <f>IFERROR(AX297/AX$117,0)</f>
        <v/>
      </c>
      <c r="CU297" s="4097">
        <f>IFERROR(AY297/AY$117,0)</f>
        <v/>
      </c>
      <c r="CV297" s="4097">
        <f>IFERROR(AZ297/AZ$117,0)</f>
        <v/>
      </c>
      <c r="CW297" s="3737" t="n"/>
      <c r="CX297" s="4094" t="n">
        <v>-2.30832</v>
      </c>
    </row>
    <row r="298" hidden="1" outlineLevel="3" ht="12" customFormat="1" customHeight="1" s="3737">
      <c r="A298" s="4059" t="n"/>
      <c r="B298" s="4060" t="n"/>
      <c r="C298" s="4141" t="inlineStr">
        <is>
          <t>Trade shows conference-general travel expenses</t>
        </is>
      </c>
      <c r="D298" s="4093" t="n">
        <v>541507</v>
      </c>
      <c r="E298" s="4093">
        <f>CONCATENATE(D298," - ",C298)</f>
        <v/>
      </c>
      <c r="F298" s="4094" t="n"/>
      <c r="G298" s="4094" t="n"/>
      <c r="H298" s="4094" t="n"/>
      <c r="I298" s="4094" t="n"/>
      <c r="J298" s="4094" t="n"/>
      <c r="K298" s="4094" t="n"/>
      <c r="L298" s="4094" t="n"/>
      <c r="M298" s="4094" t="n"/>
      <c r="N298" s="4094" t="n"/>
      <c r="O298" s="4094" t="n"/>
      <c r="P298" s="4094" t="n"/>
      <c r="Q298" s="4095" t="n"/>
      <c r="R298" s="4094" t="n"/>
      <c r="S298" s="4094" t="n"/>
      <c r="T298" s="4094" t="n"/>
      <c r="U298" s="4094" t="n"/>
      <c r="V298" s="4094" t="n"/>
      <c r="W298" s="4094" t="n"/>
      <c r="X298" s="4094" t="n"/>
      <c r="Y298" s="4094" t="n"/>
      <c r="Z298" s="4094" t="n"/>
      <c r="AA298" s="4094" t="n"/>
      <c r="AB298" s="4094" t="n"/>
      <c r="AC298" s="4095" t="n"/>
      <c r="AD298" s="4094" t="n"/>
      <c r="AE298" s="4094" t="n"/>
      <c r="AF298" s="4094" t="n"/>
      <c r="AG298" s="4094" t="n"/>
      <c r="AH298" s="4094" t="n"/>
      <c r="AI298" s="4094" t="n"/>
      <c r="AJ298" s="4094" t="n"/>
      <c r="AK298" s="4094" t="n"/>
      <c r="AL298" s="4094" t="n"/>
      <c r="AM298" s="4094" t="n"/>
      <c r="AN298" s="4094" t="n"/>
      <c r="AO298" s="4095" t="n"/>
      <c r="AP298" s="4094" t="n">
        <v>0</v>
      </c>
      <c r="AQ298" s="4094" t="n">
        <v>0</v>
      </c>
      <c r="AR298" s="4094" t="n">
        <v>-0.81481</v>
      </c>
      <c r="AS298" s="4094" t="n">
        <v>-0.6354300000000001</v>
      </c>
      <c r="AT298" s="4094" t="n">
        <v>-3.30145</v>
      </c>
      <c r="AU298" s="4096" t="n">
        <v>-1.36426</v>
      </c>
      <c r="AV298" s="4094">
        <f>SUM(F298:Q298)</f>
        <v/>
      </c>
      <c r="AW298" s="4094">
        <f>SUM(R298:AC298)</f>
        <v/>
      </c>
      <c r="AX298" s="4094">
        <f>SUM(AD298:AO298)</f>
        <v/>
      </c>
      <c r="AY298" s="4094">
        <f>SUM(AH298:AS298)</f>
        <v/>
      </c>
      <c r="AZ298" s="4094">
        <f>SUM(AJ298:AU298)</f>
        <v/>
      </c>
      <c r="BA298" s="3737" t="n"/>
      <c r="BB298" s="4097">
        <f>IFERROR(F298/F$117,0)</f>
        <v/>
      </c>
      <c r="BC298" s="4097">
        <f>IFERROR(G298/G$117,0)</f>
        <v/>
      </c>
      <c r="BD298" s="4097">
        <f>IFERROR(H298/H$117,0)</f>
        <v/>
      </c>
      <c r="BE298" s="4097">
        <f>IFERROR(I298/I$117,0)</f>
        <v/>
      </c>
      <c r="BF298" s="4097">
        <f>IFERROR(J298/J$117,0)</f>
        <v/>
      </c>
      <c r="BG298" s="4097">
        <f>IFERROR(K298/K$117,0)</f>
        <v/>
      </c>
      <c r="BH298" s="4097">
        <f>IFERROR(L298/L$117,0)</f>
        <v/>
      </c>
      <c r="BI298" s="4097">
        <f>IFERROR(M298/M$117,0)</f>
        <v/>
      </c>
      <c r="BJ298" s="4097">
        <f>IFERROR(N298/N$117,0)</f>
        <v/>
      </c>
      <c r="BK298" s="4097">
        <f>IFERROR(O298/O$117,0)</f>
        <v/>
      </c>
      <c r="BL298" s="4097">
        <f>IFERROR(P298/P$117,0)</f>
        <v/>
      </c>
      <c r="BM298" s="4098">
        <f>IFERROR(Q298/Q$117,0)</f>
        <v/>
      </c>
      <c r="BN298" s="4097">
        <f>IFERROR(R298/R$117,0)</f>
        <v/>
      </c>
      <c r="BO298" s="4097">
        <f>IFERROR(S298/S$117,0)</f>
        <v/>
      </c>
      <c r="BP298" s="4097">
        <f>IFERROR(T298/T$117,0)</f>
        <v/>
      </c>
      <c r="BQ298" s="4097">
        <f>IFERROR(U298/U$117,0)</f>
        <v/>
      </c>
      <c r="BR298" s="4097">
        <f>IFERROR(V298/V$117,0)</f>
        <v/>
      </c>
      <c r="BS298" s="4097">
        <f>IFERROR(W298/W$117,0)</f>
        <v/>
      </c>
      <c r="BT298" s="4097">
        <f>IFERROR(X298/X$117,0)</f>
        <v/>
      </c>
      <c r="BU298" s="4097">
        <f>IFERROR(Y298/Y$117,0)</f>
        <v/>
      </c>
      <c r="BV298" s="4097">
        <f>IFERROR(Z298/Z$117,0)</f>
        <v/>
      </c>
      <c r="BW298" s="4097">
        <f>IFERROR(AA298/AA$117,0)</f>
        <v/>
      </c>
      <c r="BX298" s="4097">
        <f>IFERROR(AB298/AB$117,0)</f>
        <v/>
      </c>
      <c r="BY298" s="4098">
        <f>IFERROR(AC298/AC$117,0)</f>
        <v/>
      </c>
      <c r="BZ298" s="4097">
        <f>IFERROR(AD298/AD$117,0)</f>
        <v/>
      </c>
      <c r="CA298" s="4097">
        <f>IFERROR(AE298/AE$117,0)</f>
        <v/>
      </c>
      <c r="CB298" s="4097">
        <f>IFERROR(AF298/AF$117,0)</f>
        <v/>
      </c>
      <c r="CC298" s="4097">
        <f>IFERROR(AG298/AG$117,0)</f>
        <v/>
      </c>
      <c r="CD298" s="4097">
        <f>IFERROR(AH298/AH$117,0)</f>
        <v/>
      </c>
      <c r="CE298" s="4097">
        <f>IFERROR(AI298/AI$117,0)</f>
        <v/>
      </c>
      <c r="CF298" s="4097">
        <f>IFERROR(AJ298/AJ$117,0)</f>
        <v/>
      </c>
      <c r="CG298" s="4097">
        <f>IFERROR(AK298/AK$117,0)</f>
        <v/>
      </c>
      <c r="CH298" s="4097">
        <f>IFERROR(AL298/AL$117,0)</f>
        <v/>
      </c>
      <c r="CI298" s="4097">
        <f>IFERROR(AM298/AM$117,0)</f>
        <v/>
      </c>
      <c r="CJ298" s="4097">
        <f>IFERROR(AN298/AN$117,0)</f>
        <v/>
      </c>
      <c r="CK298" s="4098">
        <f>IFERROR(AO298/AO$117,0)</f>
        <v/>
      </c>
      <c r="CL298" s="4097">
        <f>IFERROR(AP298/AP$117,0)</f>
        <v/>
      </c>
      <c r="CM298" s="4097">
        <f>IFERROR(AQ298/AQ$117,0)</f>
        <v/>
      </c>
      <c r="CN298" s="4097">
        <f>IFERROR(AR298/AR$117,0)</f>
        <v/>
      </c>
      <c r="CO298" s="4097">
        <f>IFERROR(AS298/AS$117,0)</f>
        <v/>
      </c>
      <c r="CP298" s="4097">
        <f>IFERROR(AT298/AT$117,0)</f>
        <v/>
      </c>
      <c r="CQ298" s="4099">
        <f>IFERROR(AU298/AU$117,0)</f>
        <v/>
      </c>
      <c r="CR298" s="4097">
        <f>IFERROR(AV298/AV$117,0)</f>
        <v/>
      </c>
      <c r="CS298" s="4097">
        <f>IFERROR(AW298/AW$117,0)</f>
        <v/>
      </c>
      <c r="CT298" s="4097">
        <f>IFERROR(AX298/AX$117,0)</f>
        <v/>
      </c>
      <c r="CU298" s="4097">
        <f>IFERROR(AY298/AY$117,0)</f>
        <v/>
      </c>
      <c r="CV298" s="4097">
        <f>IFERROR(AZ298/AZ$117,0)</f>
        <v/>
      </c>
      <c r="CW298" s="3737" t="n"/>
      <c r="CX298" s="4094" t="n">
        <v>-0.71414</v>
      </c>
    </row>
    <row r="299" hidden="1" outlineLevel="3" ht="12" customFormat="1" customHeight="1" s="3737">
      <c r="A299" s="4059" t="n"/>
      <c r="B299" s="4060" t="n"/>
      <c r="C299" s="4141" t="inlineStr">
        <is>
          <t>Trade shows conference meals and entertainment</t>
        </is>
      </c>
      <c r="D299" s="4093" t="n">
        <v>541508</v>
      </c>
      <c r="E299" s="4093">
        <f>CONCATENATE(D299," - ",C299)</f>
        <v/>
      </c>
      <c r="F299" s="4094" t="n"/>
      <c r="G299" s="4094" t="n"/>
      <c r="H299" s="4094" t="n"/>
      <c r="I299" s="4094" t="n"/>
      <c r="J299" s="4094" t="n"/>
      <c r="K299" s="4094" t="n"/>
      <c r="L299" s="4094" t="n"/>
      <c r="M299" s="4094" t="n"/>
      <c r="N299" s="4094" t="n"/>
      <c r="O299" s="4094" t="n"/>
      <c r="P299" s="4094" t="n"/>
      <c r="Q299" s="4095" t="n"/>
      <c r="R299" s="4094" t="n"/>
      <c r="S299" s="4094" t="n"/>
      <c r="T299" s="4094" t="n"/>
      <c r="U299" s="4094" t="n"/>
      <c r="V299" s="4094" t="n"/>
      <c r="W299" s="4094" t="n"/>
      <c r="X299" s="4094" t="n"/>
      <c r="Y299" s="4094" t="n"/>
      <c r="Z299" s="4094" t="n"/>
      <c r="AA299" s="4094" t="n"/>
      <c r="AB299" s="4094" t="n"/>
      <c r="AC299" s="4095" t="n"/>
      <c r="AD299" s="4094" t="n"/>
      <c r="AE299" s="4094" t="n"/>
      <c r="AF299" s="4094" t="n"/>
      <c r="AG299" s="4094" t="n"/>
      <c r="AH299" s="4094" t="n"/>
      <c r="AI299" s="4094" t="n"/>
      <c r="AJ299" s="4094" t="n"/>
      <c r="AK299" s="4094" t="n"/>
      <c r="AL299" s="4094" t="n"/>
      <c r="AM299" s="4094" t="n"/>
      <c r="AN299" s="4094" t="n"/>
      <c r="AO299" s="4095" t="n"/>
      <c r="AP299" s="4094" t="n">
        <v>0</v>
      </c>
      <c r="AQ299" s="4094" t="n">
        <v>0</v>
      </c>
      <c r="AR299" s="4094" t="n">
        <v>-0.38653</v>
      </c>
      <c r="AS299" s="4094" t="n">
        <v>-1.08105</v>
      </c>
      <c r="AT299" s="4094" t="n">
        <v>-3.84993</v>
      </c>
      <c r="AU299" s="4096" t="n">
        <v>-1.13677</v>
      </c>
      <c r="AV299" s="4094">
        <f>SUM(F299:Q299)</f>
        <v/>
      </c>
      <c r="AW299" s="4094">
        <f>SUM(R299:AC299)</f>
        <v/>
      </c>
      <c r="AX299" s="4094">
        <f>SUM(AD299:AO299)</f>
        <v/>
      </c>
      <c r="AY299" s="4094">
        <f>SUM(AH299:AS299)</f>
        <v/>
      </c>
      <c r="AZ299" s="4094">
        <f>SUM(AJ299:AU299)</f>
        <v/>
      </c>
      <c r="BA299" s="3737" t="n"/>
      <c r="BB299" s="4097">
        <f>IFERROR(F299/F$117,0)</f>
        <v/>
      </c>
      <c r="BC299" s="4097">
        <f>IFERROR(G299/G$117,0)</f>
        <v/>
      </c>
      <c r="BD299" s="4097">
        <f>IFERROR(H299/H$117,0)</f>
        <v/>
      </c>
      <c r="BE299" s="4097">
        <f>IFERROR(I299/I$117,0)</f>
        <v/>
      </c>
      <c r="BF299" s="4097">
        <f>IFERROR(J299/J$117,0)</f>
        <v/>
      </c>
      <c r="BG299" s="4097">
        <f>IFERROR(K299/K$117,0)</f>
        <v/>
      </c>
      <c r="BH299" s="4097">
        <f>IFERROR(L299/L$117,0)</f>
        <v/>
      </c>
      <c r="BI299" s="4097">
        <f>IFERROR(M299/M$117,0)</f>
        <v/>
      </c>
      <c r="BJ299" s="4097">
        <f>IFERROR(N299/N$117,0)</f>
        <v/>
      </c>
      <c r="BK299" s="4097">
        <f>IFERROR(O299/O$117,0)</f>
        <v/>
      </c>
      <c r="BL299" s="4097">
        <f>IFERROR(P299/P$117,0)</f>
        <v/>
      </c>
      <c r="BM299" s="4098">
        <f>IFERROR(Q299/Q$117,0)</f>
        <v/>
      </c>
      <c r="BN299" s="4097">
        <f>IFERROR(R299/R$117,0)</f>
        <v/>
      </c>
      <c r="BO299" s="4097">
        <f>IFERROR(S299/S$117,0)</f>
        <v/>
      </c>
      <c r="BP299" s="4097">
        <f>IFERROR(T299/T$117,0)</f>
        <v/>
      </c>
      <c r="BQ299" s="4097">
        <f>IFERROR(U299/U$117,0)</f>
        <v/>
      </c>
      <c r="BR299" s="4097">
        <f>IFERROR(V299/V$117,0)</f>
        <v/>
      </c>
      <c r="BS299" s="4097">
        <f>IFERROR(W299/W$117,0)</f>
        <v/>
      </c>
      <c r="BT299" s="4097">
        <f>IFERROR(X299/X$117,0)</f>
        <v/>
      </c>
      <c r="BU299" s="4097">
        <f>IFERROR(Y299/Y$117,0)</f>
        <v/>
      </c>
      <c r="BV299" s="4097">
        <f>IFERROR(Z299/Z$117,0)</f>
        <v/>
      </c>
      <c r="BW299" s="4097">
        <f>IFERROR(AA299/AA$117,0)</f>
        <v/>
      </c>
      <c r="BX299" s="4097">
        <f>IFERROR(AB299/AB$117,0)</f>
        <v/>
      </c>
      <c r="BY299" s="4098">
        <f>IFERROR(AC299/AC$117,0)</f>
        <v/>
      </c>
      <c r="BZ299" s="4097">
        <f>IFERROR(AD299/AD$117,0)</f>
        <v/>
      </c>
      <c r="CA299" s="4097">
        <f>IFERROR(AE299/AE$117,0)</f>
        <v/>
      </c>
      <c r="CB299" s="4097">
        <f>IFERROR(AF299/AF$117,0)</f>
        <v/>
      </c>
      <c r="CC299" s="4097">
        <f>IFERROR(AG299/AG$117,0)</f>
        <v/>
      </c>
      <c r="CD299" s="4097">
        <f>IFERROR(AH299/AH$117,0)</f>
        <v/>
      </c>
      <c r="CE299" s="4097">
        <f>IFERROR(AI299/AI$117,0)</f>
        <v/>
      </c>
      <c r="CF299" s="4097">
        <f>IFERROR(AJ299/AJ$117,0)</f>
        <v/>
      </c>
      <c r="CG299" s="4097">
        <f>IFERROR(AK299/AK$117,0)</f>
        <v/>
      </c>
      <c r="CH299" s="4097">
        <f>IFERROR(AL299/AL$117,0)</f>
        <v/>
      </c>
      <c r="CI299" s="4097">
        <f>IFERROR(AM299/AM$117,0)</f>
        <v/>
      </c>
      <c r="CJ299" s="4097">
        <f>IFERROR(AN299/AN$117,0)</f>
        <v/>
      </c>
      <c r="CK299" s="4098">
        <f>IFERROR(AO299/AO$117,0)</f>
        <v/>
      </c>
      <c r="CL299" s="4097">
        <f>IFERROR(AP299/AP$117,0)</f>
        <v/>
      </c>
      <c r="CM299" s="4097">
        <f>IFERROR(AQ299/AQ$117,0)</f>
        <v/>
      </c>
      <c r="CN299" s="4097">
        <f>IFERROR(AR299/AR$117,0)</f>
        <v/>
      </c>
      <c r="CO299" s="4097">
        <f>IFERROR(AS299/AS$117,0)</f>
        <v/>
      </c>
      <c r="CP299" s="4097">
        <f>IFERROR(AT299/AT$117,0)</f>
        <v/>
      </c>
      <c r="CQ299" s="4099">
        <f>IFERROR(AU299/AU$117,0)</f>
        <v/>
      </c>
      <c r="CR299" s="4097">
        <f>IFERROR(AV299/AV$117,0)</f>
        <v/>
      </c>
      <c r="CS299" s="4097">
        <f>IFERROR(AW299/AW$117,0)</f>
        <v/>
      </c>
      <c r="CT299" s="4097">
        <f>IFERROR(AX299/AX$117,0)</f>
        <v/>
      </c>
      <c r="CU299" s="4097">
        <f>IFERROR(AY299/AY$117,0)</f>
        <v/>
      </c>
      <c r="CV299" s="4097">
        <f>IFERROR(AZ299/AZ$117,0)</f>
        <v/>
      </c>
      <c r="CW299" s="3737" t="n"/>
      <c r="CX299" s="4094" t="n">
        <v>-0.5492</v>
      </c>
    </row>
    <row r="300" hidden="1" outlineLevel="3" ht="12" customFormat="1" customHeight="1" s="3737">
      <c r="A300" s="4059" t="n"/>
      <c r="B300" s="4060" t="n"/>
      <c r="C300" s="4141" t="inlineStr">
        <is>
          <t>Marketing expense - gifts &amp; promo material</t>
        </is>
      </c>
      <c r="D300" s="4093" t="n">
        <v>541600</v>
      </c>
      <c r="E300" s="4093">
        <f>CONCATENATE(D300," - ",C300)</f>
        <v/>
      </c>
      <c r="F300" s="4094" t="n"/>
      <c r="G300" s="4094" t="n"/>
      <c r="H300" s="4094" t="n"/>
      <c r="I300" s="4094" t="n"/>
      <c r="J300" s="4094" t="n"/>
      <c r="K300" s="4094" t="n"/>
      <c r="L300" s="4094" t="n"/>
      <c r="M300" s="4094" t="n"/>
      <c r="N300" s="4094" t="n"/>
      <c r="O300" s="4094" t="n"/>
      <c r="P300" s="4094" t="n"/>
      <c r="Q300" s="4095" t="n"/>
      <c r="R300" s="4094" t="n"/>
      <c r="S300" s="4094" t="n"/>
      <c r="T300" s="4094" t="n"/>
      <c r="U300" s="4094" t="n"/>
      <c r="V300" s="4094" t="n"/>
      <c r="W300" s="4094" t="n"/>
      <c r="X300" s="4094" t="n"/>
      <c r="Y300" s="4094" t="n"/>
      <c r="Z300" s="4094" t="n"/>
      <c r="AA300" s="4094" t="n"/>
      <c r="AB300" s="4094" t="n"/>
      <c r="AC300" s="4095" t="n"/>
      <c r="AD300" s="4094" t="n"/>
      <c r="AE300" s="4094" t="n"/>
      <c r="AF300" s="4094" t="n"/>
      <c r="AG300" s="4094" t="n"/>
      <c r="AH300" s="4094" t="n"/>
      <c r="AI300" s="4094" t="n"/>
      <c r="AJ300" s="4094" t="n"/>
      <c r="AK300" s="4094" t="n"/>
      <c r="AL300" s="4094" t="n"/>
      <c r="AM300" s="4094" t="n"/>
      <c r="AN300" s="4094" t="n"/>
      <c r="AO300" s="4095" t="n"/>
      <c r="AP300" s="4094" t="n">
        <v>0</v>
      </c>
      <c r="AQ300" s="4094" t="n">
        <v>0</v>
      </c>
      <c r="AR300" s="4094" t="n">
        <v>-0.1</v>
      </c>
      <c r="AS300" s="4094" t="n">
        <v>-7.95268</v>
      </c>
      <c r="AT300" s="4094" t="n">
        <v>-4.43708</v>
      </c>
      <c r="AU300" s="4096" t="n">
        <v>0</v>
      </c>
      <c r="AV300" s="4094">
        <f>SUM(F300:Q300)</f>
        <v/>
      </c>
      <c r="AW300" s="4094">
        <f>SUM(R300:AC300)</f>
        <v/>
      </c>
      <c r="AX300" s="4094">
        <f>SUM(AD300:AO300)</f>
        <v/>
      </c>
      <c r="AY300" s="4094">
        <f>SUM(AH300:AS300)</f>
        <v/>
      </c>
      <c r="AZ300" s="4094">
        <f>SUM(AJ300:AU300)</f>
        <v/>
      </c>
      <c r="BA300" s="3737" t="n"/>
      <c r="BB300" s="4097">
        <f>IFERROR(F300/F$117,0)</f>
        <v/>
      </c>
      <c r="BC300" s="4097">
        <f>IFERROR(G300/G$117,0)</f>
        <v/>
      </c>
      <c r="BD300" s="4097">
        <f>IFERROR(H300/H$117,0)</f>
        <v/>
      </c>
      <c r="BE300" s="4097">
        <f>IFERROR(I300/I$117,0)</f>
        <v/>
      </c>
      <c r="BF300" s="4097">
        <f>IFERROR(J300/J$117,0)</f>
        <v/>
      </c>
      <c r="BG300" s="4097">
        <f>IFERROR(K300/K$117,0)</f>
        <v/>
      </c>
      <c r="BH300" s="4097">
        <f>IFERROR(L300/L$117,0)</f>
        <v/>
      </c>
      <c r="BI300" s="4097">
        <f>IFERROR(M300/M$117,0)</f>
        <v/>
      </c>
      <c r="BJ300" s="4097">
        <f>IFERROR(N300/N$117,0)</f>
        <v/>
      </c>
      <c r="BK300" s="4097">
        <f>IFERROR(O300/O$117,0)</f>
        <v/>
      </c>
      <c r="BL300" s="4097">
        <f>IFERROR(P300/P$117,0)</f>
        <v/>
      </c>
      <c r="BM300" s="4098">
        <f>IFERROR(Q300/Q$117,0)</f>
        <v/>
      </c>
      <c r="BN300" s="4097">
        <f>IFERROR(R300/R$117,0)</f>
        <v/>
      </c>
      <c r="BO300" s="4097">
        <f>IFERROR(S300/S$117,0)</f>
        <v/>
      </c>
      <c r="BP300" s="4097">
        <f>IFERROR(T300/T$117,0)</f>
        <v/>
      </c>
      <c r="BQ300" s="4097">
        <f>IFERROR(U300/U$117,0)</f>
        <v/>
      </c>
      <c r="BR300" s="4097">
        <f>IFERROR(V300/V$117,0)</f>
        <v/>
      </c>
      <c r="BS300" s="4097">
        <f>IFERROR(W300/W$117,0)</f>
        <v/>
      </c>
      <c r="BT300" s="4097">
        <f>IFERROR(X300/X$117,0)</f>
        <v/>
      </c>
      <c r="BU300" s="4097">
        <f>IFERROR(Y300/Y$117,0)</f>
        <v/>
      </c>
      <c r="BV300" s="4097">
        <f>IFERROR(Z300/Z$117,0)</f>
        <v/>
      </c>
      <c r="BW300" s="4097">
        <f>IFERROR(AA300/AA$117,0)</f>
        <v/>
      </c>
      <c r="BX300" s="4097">
        <f>IFERROR(AB300/AB$117,0)</f>
        <v/>
      </c>
      <c r="BY300" s="4098">
        <f>IFERROR(AC300/AC$117,0)</f>
        <v/>
      </c>
      <c r="BZ300" s="4097">
        <f>IFERROR(AD300/AD$117,0)</f>
        <v/>
      </c>
      <c r="CA300" s="4097">
        <f>IFERROR(AE300/AE$117,0)</f>
        <v/>
      </c>
      <c r="CB300" s="4097">
        <f>IFERROR(AF300/AF$117,0)</f>
        <v/>
      </c>
      <c r="CC300" s="4097">
        <f>IFERROR(AG300/AG$117,0)</f>
        <v/>
      </c>
      <c r="CD300" s="4097">
        <f>IFERROR(AH300/AH$117,0)</f>
        <v/>
      </c>
      <c r="CE300" s="4097">
        <f>IFERROR(AI300/AI$117,0)</f>
        <v/>
      </c>
      <c r="CF300" s="4097">
        <f>IFERROR(AJ300/AJ$117,0)</f>
        <v/>
      </c>
      <c r="CG300" s="4097">
        <f>IFERROR(AK300/AK$117,0)</f>
        <v/>
      </c>
      <c r="CH300" s="4097">
        <f>IFERROR(AL300/AL$117,0)</f>
        <v/>
      </c>
      <c r="CI300" s="4097">
        <f>IFERROR(AM300/AM$117,0)</f>
        <v/>
      </c>
      <c r="CJ300" s="4097">
        <f>IFERROR(AN300/AN$117,0)</f>
        <v/>
      </c>
      <c r="CK300" s="4098">
        <f>IFERROR(AO300/AO$117,0)</f>
        <v/>
      </c>
      <c r="CL300" s="4097">
        <f>IFERROR(AP300/AP$117,0)</f>
        <v/>
      </c>
      <c r="CM300" s="4097">
        <f>IFERROR(AQ300/AQ$117,0)</f>
        <v/>
      </c>
      <c r="CN300" s="4097">
        <f>IFERROR(AR300/AR$117,0)</f>
        <v/>
      </c>
      <c r="CO300" s="4097">
        <f>IFERROR(AS300/AS$117,0)</f>
        <v/>
      </c>
      <c r="CP300" s="4097">
        <f>IFERROR(AT300/AT$117,0)</f>
        <v/>
      </c>
      <c r="CQ300" s="4099">
        <f>IFERROR(AU300/AU$117,0)</f>
        <v/>
      </c>
      <c r="CR300" s="4097">
        <f>IFERROR(AV300/AV$117,0)</f>
        <v/>
      </c>
      <c r="CS300" s="4097">
        <f>IFERROR(AW300/AW$117,0)</f>
        <v/>
      </c>
      <c r="CT300" s="4097">
        <f>IFERROR(AX300/AX$117,0)</f>
        <v/>
      </c>
      <c r="CU300" s="4097">
        <f>IFERROR(AY300/AY$117,0)</f>
        <v/>
      </c>
      <c r="CV300" s="4097">
        <f>IFERROR(AZ300/AZ$117,0)</f>
        <v/>
      </c>
      <c r="CW300" s="3737" t="n"/>
      <c r="CX300" s="4094" t="n">
        <v>-0.76769</v>
      </c>
    </row>
    <row r="301" hidden="1" outlineLevel="3" ht="12" customFormat="1" customHeight="1" s="3737">
      <c r="A301" s="4059" t="n"/>
      <c r="B301" s="4060" t="n"/>
      <c r="C301" s="4141" t="inlineStr">
        <is>
          <t>Tradeshow - connections general</t>
        </is>
      </c>
      <c r="D301" s="4093" t="n">
        <v>541602</v>
      </c>
      <c r="E301" s="4093">
        <f>CONCATENATE(D301," - ",C301)</f>
        <v/>
      </c>
      <c r="F301" s="4094" t="n"/>
      <c r="G301" s="4094" t="n"/>
      <c r="H301" s="4094" t="n"/>
      <c r="I301" s="4094" t="n"/>
      <c r="J301" s="4094" t="n"/>
      <c r="K301" s="4094" t="n"/>
      <c r="L301" s="4094" t="n"/>
      <c r="M301" s="4094" t="n"/>
      <c r="N301" s="4094" t="n"/>
      <c r="O301" s="4094" t="n"/>
      <c r="P301" s="4094" t="n"/>
      <c r="Q301" s="4095" t="n"/>
      <c r="R301" s="4094" t="n"/>
      <c r="S301" s="4094" t="n"/>
      <c r="T301" s="4094" t="n"/>
      <c r="U301" s="4094" t="n"/>
      <c r="V301" s="4094" t="n"/>
      <c r="W301" s="4094" t="n"/>
      <c r="X301" s="4094" t="n"/>
      <c r="Y301" s="4094" t="n"/>
      <c r="Z301" s="4094" t="n"/>
      <c r="AA301" s="4094" t="n"/>
      <c r="AB301" s="4094" t="n"/>
      <c r="AC301" s="4095" t="n"/>
      <c r="AD301" s="4094" t="n"/>
      <c r="AE301" s="4094" t="n"/>
      <c r="AF301" s="4094" t="n"/>
      <c r="AG301" s="4094" t="n"/>
      <c r="AH301" s="4094" t="n"/>
      <c r="AI301" s="4094" t="n"/>
      <c r="AJ301" s="4094" t="n"/>
      <c r="AK301" s="4094" t="n"/>
      <c r="AL301" s="4094" t="n"/>
      <c r="AM301" s="4094" t="n"/>
      <c r="AN301" s="4094" t="n"/>
      <c r="AO301" s="4095" t="n"/>
      <c r="AP301" s="4094" t="n">
        <v>0</v>
      </c>
      <c r="AQ301" s="4094" t="n">
        <v>0</v>
      </c>
      <c r="AR301" s="4094" t="n">
        <v>0</v>
      </c>
      <c r="AS301" s="4094" t="n">
        <v>0</v>
      </c>
      <c r="AT301" s="4094" t="n">
        <v>0</v>
      </c>
      <c r="AU301" s="4096" t="n">
        <v>0</v>
      </c>
      <c r="AV301" s="4094">
        <f>SUM(F301:Q301)</f>
        <v/>
      </c>
      <c r="AW301" s="4094">
        <f>SUM(R301:AC301)</f>
        <v/>
      </c>
      <c r="AX301" s="4094">
        <f>SUM(AD301:AO301)</f>
        <v/>
      </c>
      <c r="AY301" s="4094">
        <f>SUM(AH301:AS301)</f>
        <v/>
      </c>
      <c r="AZ301" s="4094">
        <f>SUM(AJ301:AU301)</f>
        <v/>
      </c>
      <c r="BA301" s="3737" t="n"/>
      <c r="BB301" s="4097">
        <f>IFERROR(F301/F$117,0)</f>
        <v/>
      </c>
      <c r="BC301" s="4097">
        <f>IFERROR(G301/G$117,0)</f>
        <v/>
      </c>
      <c r="BD301" s="4097">
        <f>IFERROR(H301/H$117,0)</f>
        <v/>
      </c>
      <c r="BE301" s="4097">
        <f>IFERROR(I301/I$117,0)</f>
        <v/>
      </c>
      <c r="BF301" s="4097">
        <f>IFERROR(J301/J$117,0)</f>
        <v/>
      </c>
      <c r="BG301" s="4097">
        <f>IFERROR(K301/K$117,0)</f>
        <v/>
      </c>
      <c r="BH301" s="4097">
        <f>IFERROR(L301/L$117,0)</f>
        <v/>
      </c>
      <c r="BI301" s="4097">
        <f>IFERROR(M301/M$117,0)</f>
        <v/>
      </c>
      <c r="BJ301" s="4097">
        <f>IFERROR(N301/N$117,0)</f>
        <v/>
      </c>
      <c r="BK301" s="4097">
        <f>IFERROR(O301/O$117,0)</f>
        <v/>
      </c>
      <c r="BL301" s="4097">
        <f>IFERROR(P301/P$117,0)</f>
        <v/>
      </c>
      <c r="BM301" s="4098">
        <f>IFERROR(Q301/Q$117,0)</f>
        <v/>
      </c>
      <c r="BN301" s="4097">
        <f>IFERROR(R301/R$117,0)</f>
        <v/>
      </c>
      <c r="BO301" s="4097">
        <f>IFERROR(S301/S$117,0)</f>
        <v/>
      </c>
      <c r="BP301" s="4097">
        <f>IFERROR(T301/T$117,0)</f>
        <v/>
      </c>
      <c r="BQ301" s="4097">
        <f>IFERROR(U301/U$117,0)</f>
        <v/>
      </c>
      <c r="BR301" s="4097">
        <f>IFERROR(V301/V$117,0)</f>
        <v/>
      </c>
      <c r="BS301" s="4097">
        <f>IFERROR(W301/W$117,0)</f>
        <v/>
      </c>
      <c r="BT301" s="4097">
        <f>IFERROR(X301/X$117,0)</f>
        <v/>
      </c>
      <c r="BU301" s="4097">
        <f>IFERROR(Y301/Y$117,0)</f>
        <v/>
      </c>
      <c r="BV301" s="4097">
        <f>IFERROR(Z301/Z$117,0)</f>
        <v/>
      </c>
      <c r="BW301" s="4097">
        <f>IFERROR(AA301/AA$117,0)</f>
        <v/>
      </c>
      <c r="BX301" s="4097">
        <f>IFERROR(AB301/AB$117,0)</f>
        <v/>
      </c>
      <c r="BY301" s="4098">
        <f>IFERROR(AC301/AC$117,0)</f>
        <v/>
      </c>
      <c r="BZ301" s="4097">
        <f>IFERROR(AD301/AD$117,0)</f>
        <v/>
      </c>
      <c r="CA301" s="4097">
        <f>IFERROR(AE301/AE$117,0)</f>
        <v/>
      </c>
      <c r="CB301" s="4097">
        <f>IFERROR(AF301/AF$117,0)</f>
        <v/>
      </c>
      <c r="CC301" s="4097">
        <f>IFERROR(AG301/AG$117,0)</f>
        <v/>
      </c>
      <c r="CD301" s="4097">
        <f>IFERROR(AH301/AH$117,0)</f>
        <v/>
      </c>
      <c r="CE301" s="4097">
        <f>IFERROR(AI301/AI$117,0)</f>
        <v/>
      </c>
      <c r="CF301" s="4097">
        <f>IFERROR(AJ301/AJ$117,0)</f>
        <v/>
      </c>
      <c r="CG301" s="4097">
        <f>IFERROR(AK301/AK$117,0)</f>
        <v/>
      </c>
      <c r="CH301" s="4097">
        <f>IFERROR(AL301/AL$117,0)</f>
        <v/>
      </c>
      <c r="CI301" s="4097">
        <f>IFERROR(AM301/AM$117,0)</f>
        <v/>
      </c>
      <c r="CJ301" s="4097">
        <f>IFERROR(AN301/AN$117,0)</f>
        <v/>
      </c>
      <c r="CK301" s="4098">
        <f>IFERROR(AO301/AO$117,0)</f>
        <v/>
      </c>
      <c r="CL301" s="4097">
        <f>IFERROR(AP301/AP$117,0)</f>
        <v/>
      </c>
      <c r="CM301" s="4097">
        <f>IFERROR(AQ301/AQ$117,0)</f>
        <v/>
      </c>
      <c r="CN301" s="4097">
        <f>IFERROR(AR301/AR$117,0)</f>
        <v/>
      </c>
      <c r="CO301" s="4097">
        <f>IFERROR(AS301/AS$117,0)</f>
        <v/>
      </c>
      <c r="CP301" s="4097">
        <f>IFERROR(AT301/AT$117,0)</f>
        <v/>
      </c>
      <c r="CQ301" s="4099">
        <f>IFERROR(AU301/AU$117,0)</f>
        <v/>
      </c>
      <c r="CR301" s="4097">
        <f>IFERROR(AV301/AV$117,0)</f>
        <v/>
      </c>
      <c r="CS301" s="4097">
        <f>IFERROR(AW301/AW$117,0)</f>
        <v/>
      </c>
      <c r="CT301" s="4097">
        <f>IFERROR(AX301/AX$117,0)</f>
        <v/>
      </c>
      <c r="CU301" s="4097">
        <f>IFERROR(AY301/AY$117,0)</f>
        <v/>
      </c>
      <c r="CV301" s="4097">
        <f>IFERROR(AZ301/AZ$117,0)</f>
        <v/>
      </c>
      <c r="CW301" s="3737" t="n"/>
      <c r="CX301" s="4094" t="n">
        <v>-23.55678</v>
      </c>
    </row>
    <row r="302" hidden="1" outlineLevel="3" ht="12" customFormat="1" customHeight="1" s="3737">
      <c r="A302" s="4059" t="n"/>
      <c r="B302" s="4060" t="n"/>
      <c r="C302" s="4141" t="inlineStr">
        <is>
          <t>Marketing expenses - advertising</t>
        </is>
      </c>
      <c r="D302" s="4093" t="n">
        <v>541606</v>
      </c>
      <c r="E302" s="4093">
        <f>CONCATENATE(D302," - ",C302)</f>
        <v/>
      </c>
      <c r="F302" s="4094" t="n"/>
      <c r="G302" s="4094" t="n"/>
      <c r="H302" s="4094" t="n"/>
      <c r="I302" s="4094" t="n"/>
      <c r="J302" s="4094" t="n"/>
      <c r="K302" s="4094" t="n"/>
      <c r="L302" s="4094" t="n"/>
      <c r="M302" s="4094" t="n"/>
      <c r="N302" s="4094" t="n"/>
      <c r="O302" s="4094" t="n"/>
      <c r="P302" s="4094" t="n"/>
      <c r="Q302" s="4095" t="n"/>
      <c r="R302" s="4094" t="n"/>
      <c r="S302" s="4094" t="n"/>
      <c r="T302" s="4094" t="n"/>
      <c r="U302" s="4094" t="n"/>
      <c r="V302" s="4094" t="n"/>
      <c r="W302" s="4094" t="n"/>
      <c r="X302" s="4094" t="n"/>
      <c r="Y302" s="4094" t="n"/>
      <c r="Z302" s="4094" t="n"/>
      <c r="AA302" s="4094" t="n"/>
      <c r="AB302" s="4094" t="n"/>
      <c r="AC302" s="4095" t="n"/>
      <c r="AD302" s="4094" t="n"/>
      <c r="AE302" s="4094" t="n"/>
      <c r="AF302" s="4094" t="n"/>
      <c r="AG302" s="4094" t="n"/>
      <c r="AH302" s="4094" t="n"/>
      <c r="AI302" s="4094" t="n"/>
      <c r="AJ302" s="4094" t="n"/>
      <c r="AK302" s="4094" t="n"/>
      <c r="AL302" s="4094" t="n"/>
      <c r="AM302" s="4094" t="n"/>
      <c r="AN302" s="4094" t="n"/>
      <c r="AO302" s="4095" t="n"/>
      <c r="AP302" s="4094" t="n">
        <v>0</v>
      </c>
      <c r="AQ302" s="4094" t="n">
        <v>0</v>
      </c>
      <c r="AR302" s="4094" t="n">
        <v>-0.74791</v>
      </c>
      <c r="AS302" s="4094" t="n">
        <v>-0.265</v>
      </c>
      <c r="AT302" s="4094" t="n">
        <v>0</v>
      </c>
      <c r="AU302" s="4096" t="n">
        <v>-1.18</v>
      </c>
      <c r="AV302" s="4094">
        <f>SUM(F302:Q302)</f>
        <v/>
      </c>
      <c r="AW302" s="4094">
        <f>SUM(R302:AC302)</f>
        <v/>
      </c>
      <c r="AX302" s="4094">
        <f>SUM(AD302:AO302)</f>
        <v/>
      </c>
      <c r="AY302" s="4094">
        <f>SUM(AH302:AS302)</f>
        <v/>
      </c>
      <c r="AZ302" s="4094">
        <f>SUM(AJ302:AU302)</f>
        <v/>
      </c>
      <c r="BA302" s="3737" t="n"/>
      <c r="BB302" s="4097">
        <f>IFERROR(F302/F$117,0)</f>
        <v/>
      </c>
      <c r="BC302" s="4097">
        <f>IFERROR(G302/G$117,0)</f>
        <v/>
      </c>
      <c r="BD302" s="4097">
        <f>IFERROR(H302/H$117,0)</f>
        <v/>
      </c>
      <c r="BE302" s="4097">
        <f>IFERROR(I302/I$117,0)</f>
        <v/>
      </c>
      <c r="BF302" s="4097">
        <f>IFERROR(J302/J$117,0)</f>
        <v/>
      </c>
      <c r="BG302" s="4097">
        <f>IFERROR(K302/K$117,0)</f>
        <v/>
      </c>
      <c r="BH302" s="4097">
        <f>IFERROR(L302/L$117,0)</f>
        <v/>
      </c>
      <c r="BI302" s="4097">
        <f>IFERROR(M302/M$117,0)</f>
        <v/>
      </c>
      <c r="BJ302" s="4097">
        <f>IFERROR(N302/N$117,0)</f>
        <v/>
      </c>
      <c r="BK302" s="4097">
        <f>IFERROR(O302/O$117,0)</f>
        <v/>
      </c>
      <c r="BL302" s="4097">
        <f>IFERROR(P302/P$117,0)</f>
        <v/>
      </c>
      <c r="BM302" s="4098">
        <f>IFERROR(Q302/Q$117,0)</f>
        <v/>
      </c>
      <c r="BN302" s="4097">
        <f>IFERROR(R302/R$117,0)</f>
        <v/>
      </c>
      <c r="BO302" s="4097">
        <f>IFERROR(S302/S$117,0)</f>
        <v/>
      </c>
      <c r="BP302" s="4097">
        <f>IFERROR(T302/T$117,0)</f>
        <v/>
      </c>
      <c r="BQ302" s="4097">
        <f>IFERROR(U302/U$117,0)</f>
        <v/>
      </c>
      <c r="BR302" s="4097">
        <f>IFERROR(V302/V$117,0)</f>
        <v/>
      </c>
      <c r="BS302" s="4097">
        <f>IFERROR(W302/W$117,0)</f>
        <v/>
      </c>
      <c r="BT302" s="4097">
        <f>IFERROR(X302/X$117,0)</f>
        <v/>
      </c>
      <c r="BU302" s="4097">
        <f>IFERROR(Y302/Y$117,0)</f>
        <v/>
      </c>
      <c r="BV302" s="4097">
        <f>IFERROR(Z302/Z$117,0)</f>
        <v/>
      </c>
      <c r="BW302" s="4097">
        <f>IFERROR(AA302/AA$117,0)</f>
        <v/>
      </c>
      <c r="BX302" s="4097">
        <f>IFERROR(AB302/AB$117,0)</f>
        <v/>
      </c>
      <c r="BY302" s="4098">
        <f>IFERROR(AC302/AC$117,0)</f>
        <v/>
      </c>
      <c r="BZ302" s="4097">
        <f>IFERROR(AD302/AD$117,0)</f>
        <v/>
      </c>
      <c r="CA302" s="4097">
        <f>IFERROR(AE302/AE$117,0)</f>
        <v/>
      </c>
      <c r="CB302" s="4097">
        <f>IFERROR(AF302/AF$117,0)</f>
        <v/>
      </c>
      <c r="CC302" s="4097">
        <f>IFERROR(AG302/AG$117,0)</f>
        <v/>
      </c>
      <c r="CD302" s="4097">
        <f>IFERROR(AH302/AH$117,0)</f>
        <v/>
      </c>
      <c r="CE302" s="4097">
        <f>IFERROR(AI302/AI$117,0)</f>
        <v/>
      </c>
      <c r="CF302" s="4097">
        <f>IFERROR(AJ302/AJ$117,0)</f>
        <v/>
      </c>
      <c r="CG302" s="4097">
        <f>IFERROR(AK302/AK$117,0)</f>
        <v/>
      </c>
      <c r="CH302" s="4097">
        <f>IFERROR(AL302/AL$117,0)</f>
        <v/>
      </c>
      <c r="CI302" s="4097">
        <f>IFERROR(AM302/AM$117,0)</f>
        <v/>
      </c>
      <c r="CJ302" s="4097">
        <f>IFERROR(AN302/AN$117,0)</f>
        <v/>
      </c>
      <c r="CK302" s="4098">
        <f>IFERROR(AO302/AO$117,0)</f>
        <v/>
      </c>
      <c r="CL302" s="4097">
        <f>IFERROR(AP302/AP$117,0)</f>
        <v/>
      </c>
      <c r="CM302" s="4097">
        <f>IFERROR(AQ302/AQ$117,0)</f>
        <v/>
      </c>
      <c r="CN302" s="4097">
        <f>IFERROR(AR302/AR$117,0)</f>
        <v/>
      </c>
      <c r="CO302" s="4097">
        <f>IFERROR(AS302/AS$117,0)</f>
        <v/>
      </c>
      <c r="CP302" s="4097">
        <f>IFERROR(AT302/AT$117,0)</f>
        <v/>
      </c>
      <c r="CQ302" s="4099">
        <f>IFERROR(AU302/AU$117,0)</f>
        <v/>
      </c>
      <c r="CR302" s="4097">
        <f>IFERROR(AV302/AV$117,0)</f>
        <v/>
      </c>
      <c r="CS302" s="4097">
        <f>IFERROR(AW302/AW$117,0)</f>
        <v/>
      </c>
      <c r="CT302" s="4097">
        <f>IFERROR(AX302/AX$117,0)</f>
        <v/>
      </c>
      <c r="CU302" s="4097">
        <f>IFERROR(AY302/AY$117,0)</f>
        <v/>
      </c>
      <c r="CV302" s="4097">
        <f>IFERROR(AZ302/AZ$117,0)</f>
        <v/>
      </c>
      <c r="CW302" s="3737" t="n"/>
      <c r="CX302" s="4094" t="n">
        <v>-13.03165</v>
      </c>
    </row>
    <row r="303" hidden="1" outlineLevel="3" ht="12" customFormat="1" customHeight="1" s="3737">
      <c r="A303" s="4059" t="n"/>
      <c r="B303" s="4060" t="n"/>
      <c r="C303" s="4141" t="inlineStr">
        <is>
          <t>Marketing expenses - printing, web, design</t>
        </is>
      </c>
      <c r="D303" s="4093" t="n">
        <v>541607</v>
      </c>
      <c r="E303" s="4093">
        <f>CONCATENATE(D303," - ",C303)</f>
        <v/>
      </c>
      <c r="F303" s="4094" t="n"/>
      <c r="G303" s="4094" t="n"/>
      <c r="H303" s="4094" t="n"/>
      <c r="I303" s="4094" t="n"/>
      <c r="J303" s="4094" t="n"/>
      <c r="K303" s="4094" t="n"/>
      <c r="L303" s="4094" t="n"/>
      <c r="M303" s="4094" t="n"/>
      <c r="N303" s="4094" t="n"/>
      <c r="O303" s="4094" t="n"/>
      <c r="P303" s="4094" t="n"/>
      <c r="Q303" s="4095" t="n"/>
      <c r="R303" s="4094" t="n"/>
      <c r="S303" s="4094" t="n"/>
      <c r="T303" s="4094" t="n"/>
      <c r="U303" s="4094" t="n"/>
      <c r="V303" s="4094" t="n"/>
      <c r="W303" s="4094" t="n"/>
      <c r="X303" s="4094" t="n"/>
      <c r="Y303" s="4094" t="n"/>
      <c r="Z303" s="4094" t="n"/>
      <c r="AA303" s="4094" t="n"/>
      <c r="AB303" s="4094" t="n"/>
      <c r="AC303" s="4095" t="n"/>
      <c r="AD303" s="4094" t="n"/>
      <c r="AE303" s="4094" t="n"/>
      <c r="AF303" s="4094" t="n"/>
      <c r="AG303" s="4094" t="n"/>
      <c r="AH303" s="4094" t="n"/>
      <c r="AI303" s="4094" t="n"/>
      <c r="AJ303" s="4094" t="n"/>
      <c r="AK303" s="4094" t="n"/>
      <c r="AL303" s="4094" t="n"/>
      <c r="AM303" s="4094" t="n"/>
      <c r="AN303" s="4094" t="n"/>
      <c r="AO303" s="4095" t="n"/>
      <c r="AP303" s="4094" t="n">
        <v>-0.88014</v>
      </c>
      <c r="AQ303" s="4094" t="n">
        <v>-0.80666</v>
      </c>
      <c r="AR303" s="4094" t="n">
        <v>0</v>
      </c>
      <c r="AS303" s="4094" t="n">
        <v>-0.3025</v>
      </c>
      <c r="AT303" s="4094" t="n">
        <v>0</v>
      </c>
      <c r="AU303" s="4096" t="n">
        <v>-0.385</v>
      </c>
      <c r="AV303" s="4094">
        <f>SUM(F303:Q303)</f>
        <v/>
      </c>
      <c r="AW303" s="4094">
        <f>SUM(R303:AC303)</f>
        <v/>
      </c>
      <c r="AX303" s="4094">
        <f>SUM(AD303:AO303)</f>
        <v/>
      </c>
      <c r="AY303" s="4094">
        <f>SUM(AH303:AS303)</f>
        <v/>
      </c>
      <c r="AZ303" s="4094">
        <f>SUM(AJ303:AU303)</f>
        <v/>
      </c>
      <c r="BA303" s="3737" t="n"/>
      <c r="BB303" s="4097">
        <f>IFERROR(F303/F$117,0)</f>
        <v/>
      </c>
      <c r="BC303" s="4097">
        <f>IFERROR(G303/G$117,0)</f>
        <v/>
      </c>
      <c r="BD303" s="4097">
        <f>IFERROR(H303/H$117,0)</f>
        <v/>
      </c>
      <c r="BE303" s="4097">
        <f>IFERROR(I303/I$117,0)</f>
        <v/>
      </c>
      <c r="BF303" s="4097">
        <f>IFERROR(J303/J$117,0)</f>
        <v/>
      </c>
      <c r="BG303" s="4097">
        <f>IFERROR(K303/K$117,0)</f>
        <v/>
      </c>
      <c r="BH303" s="4097">
        <f>IFERROR(L303/L$117,0)</f>
        <v/>
      </c>
      <c r="BI303" s="4097">
        <f>IFERROR(M303/M$117,0)</f>
        <v/>
      </c>
      <c r="BJ303" s="4097">
        <f>IFERROR(N303/N$117,0)</f>
        <v/>
      </c>
      <c r="BK303" s="4097">
        <f>IFERROR(O303/O$117,0)</f>
        <v/>
      </c>
      <c r="BL303" s="4097">
        <f>IFERROR(P303/P$117,0)</f>
        <v/>
      </c>
      <c r="BM303" s="4098">
        <f>IFERROR(Q303/Q$117,0)</f>
        <v/>
      </c>
      <c r="BN303" s="4097">
        <f>IFERROR(R303/R$117,0)</f>
        <v/>
      </c>
      <c r="BO303" s="4097">
        <f>IFERROR(S303/S$117,0)</f>
        <v/>
      </c>
      <c r="BP303" s="4097">
        <f>IFERROR(T303/T$117,0)</f>
        <v/>
      </c>
      <c r="BQ303" s="4097">
        <f>IFERROR(U303/U$117,0)</f>
        <v/>
      </c>
      <c r="BR303" s="4097">
        <f>IFERROR(V303/V$117,0)</f>
        <v/>
      </c>
      <c r="BS303" s="4097">
        <f>IFERROR(W303/W$117,0)</f>
        <v/>
      </c>
      <c r="BT303" s="4097">
        <f>IFERROR(X303/X$117,0)</f>
        <v/>
      </c>
      <c r="BU303" s="4097">
        <f>IFERROR(Y303/Y$117,0)</f>
        <v/>
      </c>
      <c r="BV303" s="4097">
        <f>IFERROR(Z303/Z$117,0)</f>
        <v/>
      </c>
      <c r="BW303" s="4097">
        <f>IFERROR(AA303/AA$117,0)</f>
        <v/>
      </c>
      <c r="BX303" s="4097">
        <f>IFERROR(AB303/AB$117,0)</f>
        <v/>
      </c>
      <c r="BY303" s="4098">
        <f>IFERROR(AC303/AC$117,0)</f>
        <v/>
      </c>
      <c r="BZ303" s="4097">
        <f>IFERROR(AD303/AD$117,0)</f>
        <v/>
      </c>
      <c r="CA303" s="4097">
        <f>IFERROR(AE303/AE$117,0)</f>
        <v/>
      </c>
      <c r="CB303" s="4097">
        <f>IFERROR(AF303/AF$117,0)</f>
        <v/>
      </c>
      <c r="CC303" s="4097">
        <f>IFERROR(AG303/AG$117,0)</f>
        <v/>
      </c>
      <c r="CD303" s="4097">
        <f>IFERROR(AH303/AH$117,0)</f>
        <v/>
      </c>
      <c r="CE303" s="4097">
        <f>IFERROR(AI303/AI$117,0)</f>
        <v/>
      </c>
      <c r="CF303" s="4097">
        <f>IFERROR(AJ303/AJ$117,0)</f>
        <v/>
      </c>
      <c r="CG303" s="4097">
        <f>IFERROR(AK303/AK$117,0)</f>
        <v/>
      </c>
      <c r="CH303" s="4097">
        <f>IFERROR(AL303/AL$117,0)</f>
        <v/>
      </c>
      <c r="CI303" s="4097">
        <f>IFERROR(AM303/AM$117,0)</f>
        <v/>
      </c>
      <c r="CJ303" s="4097">
        <f>IFERROR(AN303/AN$117,0)</f>
        <v/>
      </c>
      <c r="CK303" s="4098">
        <f>IFERROR(AO303/AO$117,0)</f>
        <v/>
      </c>
      <c r="CL303" s="4097">
        <f>IFERROR(AP303/AP$117,0)</f>
        <v/>
      </c>
      <c r="CM303" s="4097">
        <f>IFERROR(AQ303/AQ$117,0)</f>
        <v/>
      </c>
      <c r="CN303" s="4097">
        <f>IFERROR(AR303/AR$117,0)</f>
        <v/>
      </c>
      <c r="CO303" s="4097">
        <f>IFERROR(AS303/AS$117,0)</f>
        <v/>
      </c>
      <c r="CP303" s="4097">
        <f>IFERROR(AT303/AT$117,0)</f>
        <v/>
      </c>
      <c r="CQ303" s="4099">
        <f>IFERROR(AU303/AU$117,0)</f>
        <v/>
      </c>
      <c r="CR303" s="4097">
        <f>IFERROR(AV303/AV$117,0)</f>
        <v/>
      </c>
      <c r="CS303" s="4097">
        <f>IFERROR(AW303/AW$117,0)</f>
        <v/>
      </c>
      <c r="CT303" s="4097">
        <f>IFERROR(AX303/AX$117,0)</f>
        <v/>
      </c>
      <c r="CU303" s="4097">
        <f>IFERROR(AY303/AY$117,0)</f>
        <v/>
      </c>
      <c r="CV303" s="4097">
        <f>IFERROR(AZ303/AZ$117,0)</f>
        <v/>
      </c>
      <c r="CW303" s="3737" t="n"/>
      <c r="CX303" s="4094" t="n">
        <v>-1.77851</v>
      </c>
    </row>
    <row r="304" hidden="1" outlineLevel="3" ht="12" customFormat="1" customHeight="1" s="3737">
      <c r="A304" s="4059" t="n"/>
      <c r="B304" s="4060" t="n"/>
      <c r="C304" s="4141" t="inlineStr">
        <is>
          <t>Trade shows booth rental</t>
        </is>
      </c>
      <c r="D304" s="4093" t="n">
        <v>541608</v>
      </c>
      <c r="E304" s="4093">
        <f>CONCATENATE(D304," - ",C304)</f>
        <v/>
      </c>
      <c r="F304" s="4094" t="n"/>
      <c r="G304" s="4094" t="n"/>
      <c r="H304" s="4094" t="n"/>
      <c r="I304" s="4094" t="n"/>
      <c r="J304" s="4094" t="n"/>
      <c r="K304" s="4094" t="n"/>
      <c r="L304" s="4094" t="n"/>
      <c r="M304" s="4094" t="n"/>
      <c r="N304" s="4094" t="n"/>
      <c r="O304" s="4094" t="n"/>
      <c r="P304" s="4094" t="n"/>
      <c r="Q304" s="4095" t="n"/>
      <c r="R304" s="4094" t="n"/>
      <c r="S304" s="4094" t="n"/>
      <c r="T304" s="4094" t="n"/>
      <c r="U304" s="4094" t="n"/>
      <c r="V304" s="4094" t="n"/>
      <c r="W304" s="4094" t="n"/>
      <c r="X304" s="4094" t="n"/>
      <c r="Y304" s="4094" t="n"/>
      <c r="Z304" s="4094" t="n"/>
      <c r="AA304" s="4094" t="n"/>
      <c r="AB304" s="4094" t="n"/>
      <c r="AC304" s="4095" t="n"/>
      <c r="AD304" s="4094" t="n"/>
      <c r="AE304" s="4094" t="n"/>
      <c r="AF304" s="4094" t="n"/>
      <c r="AG304" s="4094" t="n"/>
      <c r="AH304" s="4094" t="n"/>
      <c r="AI304" s="4094" t="n"/>
      <c r="AJ304" s="4094" t="n"/>
      <c r="AK304" s="4094" t="n"/>
      <c r="AL304" s="4094" t="n"/>
      <c r="AM304" s="4094" t="n"/>
      <c r="AN304" s="4094" t="n"/>
      <c r="AO304" s="4095" t="n"/>
      <c r="AP304" s="4094" t="n">
        <v>0</v>
      </c>
      <c r="AQ304" s="4094" t="n">
        <v>0</v>
      </c>
      <c r="AR304" s="4094" t="n">
        <v>0</v>
      </c>
      <c r="AS304" s="4094" t="n">
        <v>0</v>
      </c>
      <c r="AT304" s="4094" t="n">
        <v>0</v>
      </c>
      <c r="AU304" s="4096" t="n">
        <v>0</v>
      </c>
      <c r="AV304" s="4094">
        <f>SUM(F304:Q304)</f>
        <v/>
      </c>
      <c r="AW304" s="4094">
        <f>SUM(R304:AC304)</f>
        <v/>
      </c>
      <c r="AX304" s="4094">
        <f>SUM(AD304:AO304)</f>
        <v/>
      </c>
      <c r="AY304" s="4094">
        <f>SUM(AH304:AS304)</f>
        <v/>
      </c>
      <c r="AZ304" s="4094">
        <f>SUM(AJ304:AU304)</f>
        <v/>
      </c>
      <c r="BA304" s="3737" t="n"/>
      <c r="BB304" s="4097">
        <f>IFERROR(F304/F$117,0)</f>
        <v/>
      </c>
      <c r="BC304" s="4097">
        <f>IFERROR(G304/G$117,0)</f>
        <v/>
      </c>
      <c r="BD304" s="4097">
        <f>IFERROR(H304/H$117,0)</f>
        <v/>
      </c>
      <c r="BE304" s="4097">
        <f>IFERROR(I304/I$117,0)</f>
        <v/>
      </c>
      <c r="BF304" s="4097">
        <f>IFERROR(J304/J$117,0)</f>
        <v/>
      </c>
      <c r="BG304" s="4097">
        <f>IFERROR(K304/K$117,0)</f>
        <v/>
      </c>
      <c r="BH304" s="4097">
        <f>IFERROR(L304/L$117,0)</f>
        <v/>
      </c>
      <c r="BI304" s="4097">
        <f>IFERROR(M304/M$117,0)</f>
        <v/>
      </c>
      <c r="BJ304" s="4097">
        <f>IFERROR(N304/N$117,0)</f>
        <v/>
      </c>
      <c r="BK304" s="4097">
        <f>IFERROR(O304/O$117,0)</f>
        <v/>
      </c>
      <c r="BL304" s="4097">
        <f>IFERROR(P304/P$117,0)</f>
        <v/>
      </c>
      <c r="BM304" s="4098">
        <f>IFERROR(Q304/Q$117,0)</f>
        <v/>
      </c>
      <c r="BN304" s="4097">
        <f>IFERROR(R304/R$117,0)</f>
        <v/>
      </c>
      <c r="BO304" s="4097">
        <f>IFERROR(S304/S$117,0)</f>
        <v/>
      </c>
      <c r="BP304" s="4097">
        <f>IFERROR(T304/T$117,0)</f>
        <v/>
      </c>
      <c r="BQ304" s="4097">
        <f>IFERROR(U304/U$117,0)</f>
        <v/>
      </c>
      <c r="BR304" s="4097">
        <f>IFERROR(V304/V$117,0)</f>
        <v/>
      </c>
      <c r="BS304" s="4097">
        <f>IFERROR(W304/W$117,0)</f>
        <v/>
      </c>
      <c r="BT304" s="4097">
        <f>IFERROR(X304/X$117,0)</f>
        <v/>
      </c>
      <c r="BU304" s="4097">
        <f>IFERROR(Y304/Y$117,0)</f>
        <v/>
      </c>
      <c r="BV304" s="4097">
        <f>IFERROR(Z304/Z$117,0)</f>
        <v/>
      </c>
      <c r="BW304" s="4097">
        <f>IFERROR(AA304/AA$117,0)</f>
        <v/>
      </c>
      <c r="BX304" s="4097">
        <f>IFERROR(AB304/AB$117,0)</f>
        <v/>
      </c>
      <c r="BY304" s="4098">
        <f>IFERROR(AC304/AC$117,0)</f>
        <v/>
      </c>
      <c r="BZ304" s="4097">
        <f>IFERROR(AD304/AD$117,0)</f>
        <v/>
      </c>
      <c r="CA304" s="4097">
        <f>IFERROR(AE304/AE$117,0)</f>
        <v/>
      </c>
      <c r="CB304" s="4097">
        <f>IFERROR(AF304/AF$117,0)</f>
        <v/>
      </c>
      <c r="CC304" s="4097">
        <f>IFERROR(AG304/AG$117,0)</f>
        <v/>
      </c>
      <c r="CD304" s="4097">
        <f>IFERROR(AH304/AH$117,0)</f>
        <v/>
      </c>
      <c r="CE304" s="4097">
        <f>IFERROR(AI304/AI$117,0)</f>
        <v/>
      </c>
      <c r="CF304" s="4097">
        <f>IFERROR(AJ304/AJ$117,0)</f>
        <v/>
      </c>
      <c r="CG304" s="4097">
        <f>IFERROR(AK304/AK$117,0)</f>
        <v/>
      </c>
      <c r="CH304" s="4097">
        <f>IFERROR(AL304/AL$117,0)</f>
        <v/>
      </c>
      <c r="CI304" s="4097">
        <f>IFERROR(AM304/AM$117,0)</f>
        <v/>
      </c>
      <c r="CJ304" s="4097">
        <f>IFERROR(AN304/AN$117,0)</f>
        <v/>
      </c>
      <c r="CK304" s="4098">
        <f>IFERROR(AO304/AO$117,0)</f>
        <v/>
      </c>
      <c r="CL304" s="4097">
        <f>IFERROR(AP304/AP$117,0)</f>
        <v/>
      </c>
      <c r="CM304" s="4097">
        <f>IFERROR(AQ304/AQ$117,0)</f>
        <v/>
      </c>
      <c r="CN304" s="4097">
        <f>IFERROR(AR304/AR$117,0)</f>
        <v/>
      </c>
      <c r="CO304" s="4097">
        <f>IFERROR(AS304/AS$117,0)</f>
        <v/>
      </c>
      <c r="CP304" s="4097">
        <f>IFERROR(AT304/AT$117,0)</f>
        <v/>
      </c>
      <c r="CQ304" s="4099">
        <f>IFERROR(AU304/AU$117,0)</f>
        <v/>
      </c>
      <c r="CR304" s="4097">
        <f>IFERROR(AV304/AV$117,0)</f>
        <v/>
      </c>
      <c r="CS304" s="4097">
        <f>IFERROR(AW304/AW$117,0)</f>
        <v/>
      </c>
      <c r="CT304" s="4097">
        <f>IFERROR(AX304/AX$117,0)</f>
        <v/>
      </c>
      <c r="CU304" s="4097">
        <f>IFERROR(AY304/AY$117,0)</f>
        <v/>
      </c>
      <c r="CV304" s="4097">
        <f>IFERROR(AZ304/AZ$117,0)</f>
        <v/>
      </c>
      <c r="CW304" s="3737" t="n"/>
      <c r="CX304" s="4094" t="n">
        <v>0</v>
      </c>
    </row>
    <row r="305" hidden="1" outlineLevel="3" ht="12" customFormat="1" customHeight="1" s="3737">
      <c r="A305" s="4059" t="n"/>
      <c r="B305" s="4060" t="n"/>
      <c r="C305" s="4141" t="inlineStr">
        <is>
          <t>Trade shows sponsorship fees</t>
        </is>
      </c>
      <c r="D305" s="4093" t="n">
        <v>541609</v>
      </c>
      <c r="E305" s="4093">
        <f>CONCATENATE(D305," - ",C305)</f>
        <v/>
      </c>
      <c r="F305" s="4094" t="n"/>
      <c r="G305" s="4094" t="n"/>
      <c r="H305" s="4094" t="n"/>
      <c r="I305" s="4094" t="n"/>
      <c r="J305" s="4094" t="n"/>
      <c r="K305" s="4094" t="n"/>
      <c r="L305" s="4094" t="n"/>
      <c r="M305" s="4094" t="n"/>
      <c r="N305" s="4094" t="n"/>
      <c r="O305" s="4094" t="n"/>
      <c r="P305" s="4094" t="n"/>
      <c r="Q305" s="4095" t="n"/>
      <c r="R305" s="4094" t="n"/>
      <c r="S305" s="4094" t="n"/>
      <c r="T305" s="4094" t="n"/>
      <c r="U305" s="4094" t="n"/>
      <c r="V305" s="4094" t="n"/>
      <c r="W305" s="4094" t="n"/>
      <c r="X305" s="4094" t="n"/>
      <c r="Y305" s="4094" t="n"/>
      <c r="Z305" s="4094" t="n"/>
      <c r="AA305" s="4094" t="n"/>
      <c r="AB305" s="4094" t="n"/>
      <c r="AC305" s="4095" t="n"/>
      <c r="AD305" s="4094" t="n"/>
      <c r="AE305" s="4094" t="n"/>
      <c r="AF305" s="4094" t="n"/>
      <c r="AG305" s="4094" t="n"/>
      <c r="AH305" s="4094" t="n"/>
      <c r="AI305" s="4094" t="n"/>
      <c r="AJ305" s="4094" t="n"/>
      <c r="AK305" s="4094" t="n"/>
      <c r="AL305" s="4094" t="n"/>
      <c r="AM305" s="4094" t="n"/>
      <c r="AN305" s="4094" t="n"/>
      <c r="AO305" s="4095" t="n"/>
      <c r="AP305" s="4094" t="n">
        <v>0</v>
      </c>
      <c r="AQ305" s="4094" t="n">
        <v>0</v>
      </c>
      <c r="AR305" s="4094" t="n">
        <v>0</v>
      </c>
      <c r="AS305" s="4094" t="n">
        <v>0</v>
      </c>
      <c r="AT305" s="4094" t="n">
        <v>-14.45</v>
      </c>
      <c r="AU305" s="4096" t="n">
        <v>-5.15</v>
      </c>
      <c r="AV305" s="4094">
        <f>SUM(F305:Q305)</f>
        <v/>
      </c>
      <c r="AW305" s="4094">
        <f>SUM(R305:AC305)</f>
        <v/>
      </c>
      <c r="AX305" s="4094">
        <f>SUM(AD305:AO305)</f>
        <v/>
      </c>
      <c r="AY305" s="4094">
        <f>SUM(AH305:AS305)</f>
        <v/>
      </c>
      <c r="AZ305" s="4094">
        <f>SUM(AJ305:AU305)</f>
        <v/>
      </c>
      <c r="BA305" s="3737" t="n"/>
      <c r="BB305" s="4097">
        <f>IFERROR(F305/F$117,0)</f>
        <v/>
      </c>
      <c r="BC305" s="4097">
        <f>IFERROR(G305/G$117,0)</f>
        <v/>
      </c>
      <c r="BD305" s="4097">
        <f>IFERROR(H305/H$117,0)</f>
        <v/>
      </c>
      <c r="BE305" s="4097">
        <f>IFERROR(I305/I$117,0)</f>
        <v/>
      </c>
      <c r="BF305" s="4097">
        <f>IFERROR(J305/J$117,0)</f>
        <v/>
      </c>
      <c r="BG305" s="4097">
        <f>IFERROR(K305/K$117,0)</f>
        <v/>
      </c>
      <c r="BH305" s="4097">
        <f>IFERROR(L305/L$117,0)</f>
        <v/>
      </c>
      <c r="BI305" s="4097">
        <f>IFERROR(M305/M$117,0)</f>
        <v/>
      </c>
      <c r="BJ305" s="4097">
        <f>IFERROR(N305/N$117,0)</f>
        <v/>
      </c>
      <c r="BK305" s="4097">
        <f>IFERROR(O305/O$117,0)</f>
        <v/>
      </c>
      <c r="BL305" s="4097">
        <f>IFERROR(P305/P$117,0)</f>
        <v/>
      </c>
      <c r="BM305" s="4098">
        <f>IFERROR(Q305/Q$117,0)</f>
        <v/>
      </c>
      <c r="BN305" s="4097">
        <f>IFERROR(R305/R$117,0)</f>
        <v/>
      </c>
      <c r="BO305" s="4097">
        <f>IFERROR(S305/S$117,0)</f>
        <v/>
      </c>
      <c r="BP305" s="4097">
        <f>IFERROR(T305/T$117,0)</f>
        <v/>
      </c>
      <c r="BQ305" s="4097">
        <f>IFERROR(U305/U$117,0)</f>
        <v/>
      </c>
      <c r="BR305" s="4097">
        <f>IFERROR(V305/V$117,0)</f>
        <v/>
      </c>
      <c r="BS305" s="4097">
        <f>IFERROR(W305/W$117,0)</f>
        <v/>
      </c>
      <c r="BT305" s="4097">
        <f>IFERROR(X305/X$117,0)</f>
        <v/>
      </c>
      <c r="BU305" s="4097">
        <f>IFERROR(Y305/Y$117,0)</f>
        <v/>
      </c>
      <c r="BV305" s="4097">
        <f>IFERROR(Z305/Z$117,0)</f>
        <v/>
      </c>
      <c r="BW305" s="4097">
        <f>IFERROR(AA305/AA$117,0)</f>
        <v/>
      </c>
      <c r="BX305" s="4097">
        <f>IFERROR(AB305/AB$117,0)</f>
        <v/>
      </c>
      <c r="BY305" s="4098">
        <f>IFERROR(AC305/AC$117,0)</f>
        <v/>
      </c>
      <c r="BZ305" s="4097">
        <f>IFERROR(AD305/AD$117,0)</f>
        <v/>
      </c>
      <c r="CA305" s="4097">
        <f>IFERROR(AE305/AE$117,0)</f>
        <v/>
      </c>
      <c r="CB305" s="4097">
        <f>IFERROR(AF305/AF$117,0)</f>
        <v/>
      </c>
      <c r="CC305" s="4097">
        <f>IFERROR(AG305/AG$117,0)</f>
        <v/>
      </c>
      <c r="CD305" s="4097">
        <f>IFERROR(AH305/AH$117,0)</f>
        <v/>
      </c>
      <c r="CE305" s="4097">
        <f>IFERROR(AI305/AI$117,0)</f>
        <v/>
      </c>
      <c r="CF305" s="4097">
        <f>IFERROR(AJ305/AJ$117,0)</f>
        <v/>
      </c>
      <c r="CG305" s="4097">
        <f>IFERROR(AK305/AK$117,0)</f>
        <v/>
      </c>
      <c r="CH305" s="4097">
        <f>IFERROR(AL305/AL$117,0)</f>
        <v/>
      </c>
      <c r="CI305" s="4097">
        <f>IFERROR(AM305/AM$117,0)</f>
        <v/>
      </c>
      <c r="CJ305" s="4097">
        <f>IFERROR(AN305/AN$117,0)</f>
        <v/>
      </c>
      <c r="CK305" s="4098">
        <f>IFERROR(AO305/AO$117,0)</f>
        <v/>
      </c>
      <c r="CL305" s="4097">
        <f>IFERROR(AP305/AP$117,0)</f>
        <v/>
      </c>
      <c r="CM305" s="4097">
        <f>IFERROR(AQ305/AQ$117,0)</f>
        <v/>
      </c>
      <c r="CN305" s="4097">
        <f>IFERROR(AR305/AR$117,0)</f>
        <v/>
      </c>
      <c r="CO305" s="4097">
        <f>IFERROR(AS305/AS$117,0)</f>
        <v/>
      </c>
      <c r="CP305" s="4097">
        <f>IFERROR(AT305/AT$117,0)</f>
        <v/>
      </c>
      <c r="CQ305" s="4099">
        <f>IFERROR(AU305/AU$117,0)</f>
        <v/>
      </c>
      <c r="CR305" s="4097">
        <f>IFERROR(AV305/AV$117,0)</f>
        <v/>
      </c>
      <c r="CS305" s="4097">
        <f>IFERROR(AW305/AW$117,0)</f>
        <v/>
      </c>
      <c r="CT305" s="4097">
        <f>IFERROR(AX305/AX$117,0)</f>
        <v/>
      </c>
      <c r="CU305" s="4097">
        <f>IFERROR(AY305/AY$117,0)</f>
        <v/>
      </c>
      <c r="CV305" s="4097">
        <f>IFERROR(AZ305/AZ$117,0)</f>
        <v/>
      </c>
      <c r="CW305" s="3737" t="n"/>
      <c r="CX305" s="4094" t="n">
        <v>-2.5</v>
      </c>
    </row>
    <row r="306" hidden="1" outlineLevel="3" ht="12" customFormat="1" customHeight="1" s="3737">
      <c r="A306" s="4059" t="n"/>
      <c r="B306" s="4060" t="n"/>
      <c r="C306" s="4141" t="inlineStr">
        <is>
          <t>Trade shows registration fees - individuals</t>
        </is>
      </c>
      <c r="D306" s="4093" t="n">
        <v>541610</v>
      </c>
      <c r="E306" s="4093">
        <f>CONCATENATE(D306," - ",C306)</f>
        <v/>
      </c>
      <c r="F306" s="4094" t="n"/>
      <c r="G306" s="4094" t="n"/>
      <c r="H306" s="4094" t="n"/>
      <c r="I306" s="4094" t="n"/>
      <c r="J306" s="4094" t="n"/>
      <c r="K306" s="4094" t="n"/>
      <c r="L306" s="4094" t="n"/>
      <c r="M306" s="4094" t="n"/>
      <c r="N306" s="4094" t="n"/>
      <c r="O306" s="4094" t="n"/>
      <c r="P306" s="4094" t="n"/>
      <c r="Q306" s="4095" t="n"/>
      <c r="R306" s="4094" t="n"/>
      <c r="S306" s="4094" t="n"/>
      <c r="T306" s="4094" t="n"/>
      <c r="U306" s="4094" t="n"/>
      <c r="V306" s="4094" t="n"/>
      <c r="W306" s="4094" t="n"/>
      <c r="X306" s="4094" t="n"/>
      <c r="Y306" s="4094" t="n"/>
      <c r="Z306" s="4094" t="n"/>
      <c r="AA306" s="4094" t="n"/>
      <c r="AB306" s="4094" t="n"/>
      <c r="AC306" s="4095" t="n"/>
      <c r="AD306" s="4094" t="n"/>
      <c r="AE306" s="4094" t="n"/>
      <c r="AF306" s="4094" t="n"/>
      <c r="AG306" s="4094" t="n"/>
      <c r="AH306" s="4094" t="n"/>
      <c r="AI306" s="4094" t="n"/>
      <c r="AJ306" s="4094" t="n"/>
      <c r="AK306" s="4094" t="n"/>
      <c r="AL306" s="4094" t="n"/>
      <c r="AM306" s="4094" t="n"/>
      <c r="AN306" s="4094" t="n"/>
      <c r="AO306" s="4095" t="n"/>
      <c r="AP306" s="4094" t="n">
        <v>0</v>
      </c>
      <c r="AQ306" s="4094" t="n">
        <v>0</v>
      </c>
      <c r="AR306" s="4094" t="n">
        <v>-1.61397</v>
      </c>
      <c r="AS306" s="4094" t="n">
        <v>-1.14694</v>
      </c>
      <c r="AT306" s="4094" t="n">
        <v>-12.37701</v>
      </c>
      <c r="AU306" s="4096" t="n">
        <v>-3.44337</v>
      </c>
      <c r="AV306" s="4094">
        <f>SUM(F306:Q306)</f>
        <v/>
      </c>
      <c r="AW306" s="4094">
        <f>SUM(R306:AC306)</f>
        <v/>
      </c>
      <c r="AX306" s="4094">
        <f>SUM(AD306:AO306)</f>
        <v/>
      </c>
      <c r="AY306" s="4094">
        <f>SUM(AH306:AS306)</f>
        <v/>
      </c>
      <c r="AZ306" s="4094">
        <f>SUM(AJ306:AU306)</f>
        <v/>
      </c>
      <c r="BA306" s="3737" t="n"/>
      <c r="BB306" s="4097">
        <f>IFERROR(F306/F$117,0)</f>
        <v/>
      </c>
      <c r="BC306" s="4097">
        <f>IFERROR(G306/G$117,0)</f>
        <v/>
      </c>
      <c r="BD306" s="4097">
        <f>IFERROR(H306/H$117,0)</f>
        <v/>
      </c>
      <c r="BE306" s="4097">
        <f>IFERROR(I306/I$117,0)</f>
        <v/>
      </c>
      <c r="BF306" s="4097">
        <f>IFERROR(J306/J$117,0)</f>
        <v/>
      </c>
      <c r="BG306" s="4097">
        <f>IFERROR(K306/K$117,0)</f>
        <v/>
      </c>
      <c r="BH306" s="4097">
        <f>IFERROR(L306/L$117,0)</f>
        <v/>
      </c>
      <c r="BI306" s="4097">
        <f>IFERROR(M306/M$117,0)</f>
        <v/>
      </c>
      <c r="BJ306" s="4097">
        <f>IFERROR(N306/N$117,0)</f>
        <v/>
      </c>
      <c r="BK306" s="4097">
        <f>IFERROR(O306/O$117,0)</f>
        <v/>
      </c>
      <c r="BL306" s="4097">
        <f>IFERROR(P306/P$117,0)</f>
        <v/>
      </c>
      <c r="BM306" s="4098">
        <f>IFERROR(Q306/Q$117,0)</f>
        <v/>
      </c>
      <c r="BN306" s="4097">
        <f>IFERROR(R306/R$117,0)</f>
        <v/>
      </c>
      <c r="BO306" s="4097">
        <f>IFERROR(S306/S$117,0)</f>
        <v/>
      </c>
      <c r="BP306" s="4097">
        <f>IFERROR(T306/T$117,0)</f>
        <v/>
      </c>
      <c r="BQ306" s="4097">
        <f>IFERROR(U306/U$117,0)</f>
        <v/>
      </c>
      <c r="BR306" s="4097">
        <f>IFERROR(V306/V$117,0)</f>
        <v/>
      </c>
      <c r="BS306" s="4097">
        <f>IFERROR(W306/W$117,0)</f>
        <v/>
      </c>
      <c r="BT306" s="4097">
        <f>IFERROR(X306/X$117,0)</f>
        <v/>
      </c>
      <c r="BU306" s="4097">
        <f>IFERROR(Y306/Y$117,0)</f>
        <v/>
      </c>
      <c r="BV306" s="4097">
        <f>IFERROR(Z306/Z$117,0)</f>
        <v/>
      </c>
      <c r="BW306" s="4097">
        <f>IFERROR(AA306/AA$117,0)</f>
        <v/>
      </c>
      <c r="BX306" s="4097">
        <f>IFERROR(AB306/AB$117,0)</f>
        <v/>
      </c>
      <c r="BY306" s="4098">
        <f>IFERROR(AC306/AC$117,0)</f>
        <v/>
      </c>
      <c r="BZ306" s="4097">
        <f>IFERROR(AD306/AD$117,0)</f>
        <v/>
      </c>
      <c r="CA306" s="4097">
        <f>IFERROR(AE306/AE$117,0)</f>
        <v/>
      </c>
      <c r="CB306" s="4097">
        <f>IFERROR(AF306/AF$117,0)</f>
        <v/>
      </c>
      <c r="CC306" s="4097">
        <f>IFERROR(AG306/AG$117,0)</f>
        <v/>
      </c>
      <c r="CD306" s="4097">
        <f>IFERROR(AH306/AH$117,0)</f>
        <v/>
      </c>
      <c r="CE306" s="4097">
        <f>IFERROR(AI306/AI$117,0)</f>
        <v/>
      </c>
      <c r="CF306" s="4097">
        <f>IFERROR(AJ306/AJ$117,0)</f>
        <v/>
      </c>
      <c r="CG306" s="4097">
        <f>IFERROR(AK306/AK$117,0)</f>
        <v/>
      </c>
      <c r="CH306" s="4097">
        <f>IFERROR(AL306/AL$117,0)</f>
        <v/>
      </c>
      <c r="CI306" s="4097">
        <f>IFERROR(AM306/AM$117,0)</f>
        <v/>
      </c>
      <c r="CJ306" s="4097">
        <f>IFERROR(AN306/AN$117,0)</f>
        <v/>
      </c>
      <c r="CK306" s="4098">
        <f>IFERROR(AO306/AO$117,0)</f>
        <v/>
      </c>
      <c r="CL306" s="4097">
        <f>IFERROR(AP306/AP$117,0)</f>
        <v/>
      </c>
      <c r="CM306" s="4097">
        <f>IFERROR(AQ306/AQ$117,0)</f>
        <v/>
      </c>
      <c r="CN306" s="4097">
        <f>IFERROR(AR306/AR$117,0)</f>
        <v/>
      </c>
      <c r="CO306" s="4097">
        <f>IFERROR(AS306/AS$117,0)</f>
        <v/>
      </c>
      <c r="CP306" s="4097">
        <f>IFERROR(AT306/AT$117,0)</f>
        <v/>
      </c>
      <c r="CQ306" s="4099">
        <f>IFERROR(AU306/AU$117,0)</f>
        <v/>
      </c>
      <c r="CR306" s="4097">
        <f>IFERROR(AV306/AV$117,0)</f>
        <v/>
      </c>
      <c r="CS306" s="4097">
        <f>IFERROR(AW306/AW$117,0)</f>
        <v/>
      </c>
      <c r="CT306" s="4097">
        <f>IFERROR(AX306/AX$117,0)</f>
        <v/>
      </c>
      <c r="CU306" s="4097">
        <f>IFERROR(AY306/AY$117,0)</f>
        <v/>
      </c>
      <c r="CV306" s="4097">
        <f>IFERROR(AZ306/AZ$117,0)</f>
        <v/>
      </c>
      <c r="CW306" s="3737" t="n"/>
      <c r="CX306" s="4094" t="n">
        <v>-11.22809</v>
      </c>
    </row>
    <row r="307" hidden="1" outlineLevel="3" ht="12" customFormat="1" customHeight="1" s="3737">
      <c r="A307" s="4059" t="n"/>
      <c r="B307" s="4060" t="n"/>
      <c r="C307" s="4142" t="inlineStr">
        <is>
          <t>Marketing other</t>
        </is>
      </c>
      <c r="D307" s="4101" t="n">
        <v>541611</v>
      </c>
      <c r="E307" s="4101">
        <f>CONCATENATE(D307," - ",C307)</f>
        <v/>
      </c>
      <c r="F307" s="4102" t="n"/>
      <c r="G307" s="4102" t="n"/>
      <c r="H307" s="4102" t="n"/>
      <c r="I307" s="4102" t="n"/>
      <c r="J307" s="4102" t="n"/>
      <c r="K307" s="4102" t="n"/>
      <c r="L307" s="4102" t="n"/>
      <c r="M307" s="4102" t="n"/>
      <c r="N307" s="4102" t="n"/>
      <c r="O307" s="4102" t="n"/>
      <c r="P307" s="4102" t="n"/>
      <c r="Q307" s="4103" t="n"/>
      <c r="R307" s="4102" t="n"/>
      <c r="S307" s="4102" t="n"/>
      <c r="T307" s="4102" t="n"/>
      <c r="U307" s="4102" t="n"/>
      <c r="V307" s="4102" t="n"/>
      <c r="W307" s="4102" t="n"/>
      <c r="X307" s="4102" t="n"/>
      <c r="Y307" s="4102" t="n"/>
      <c r="Z307" s="4102" t="n"/>
      <c r="AA307" s="4102" t="n"/>
      <c r="AB307" s="4102" t="n"/>
      <c r="AC307" s="4103" t="n"/>
      <c r="AD307" s="4102" t="n"/>
      <c r="AE307" s="4102" t="n"/>
      <c r="AF307" s="4102" t="n"/>
      <c r="AG307" s="4102" t="n"/>
      <c r="AH307" s="4102" t="n"/>
      <c r="AI307" s="4102" t="n"/>
      <c r="AJ307" s="4102" t="n"/>
      <c r="AK307" s="4102" t="n"/>
      <c r="AL307" s="4102" t="n"/>
      <c r="AM307" s="4102" t="n"/>
      <c r="AN307" s="4102" t="n"/>
      <c r="AO307" s="4103" t="n"/>
      <c r="AP307" s="4102" t="n">
        <v>0</v>
      </c>
      <c r="AQ307" s="4102" t="n">
        <v>0</v>
      </c>
      <c r="AR307" s="4102" t="n">
        <v>0</v>
      </c>
      <c r="AS307" s="4102" t="n">
        <v>0</v>
      </c>
      <c r="AT307" s="4102" t="n">
        <v>0</v>
      </c>
      <c r="AU307" s="4104" t="n">
        <v>0</v>
      </c>
      <c r="AV307" s="4102">
        <f>SUM(F307:Q307)</f>
        <v/>
      </c>
      <c r="AW307" s="4102">
        <f>SUM(R307:AC307)</f>
        <v/>
      </c>
      <c r="AX307" s="4102">
        <f>SUM(AD307:AO307)</f>
        <v/>
      </c>
      <c r="AY307" s="4102">
        <f>SUM(AH307:AS307)</f>
        <v/>
      </c>
      <c r="AZ307" s="4102">
        <f>SUM(AJ307:AU307)</f>
        <v/>
      </c>
      <c r="BA307" s="3737" t="n"/>
      <c r="BB307" s="4105">
        <f>IFERROR(F307/F$117,0)</f>
        <v/>
      </c>
      <c r="BC307" s="4105">
        <f>IFERROR(G307/G$117,0)</f>
        <v/>
      </c>
      <c r="BD307" s="4105">
        <f>IFERROR(H307/H$117,0)</f>
        <v/>
      </c>
      <c r="BE307" s="4105">
        <f>IFERROR(I307/I$117,0)</f>
        <v/>
      </c>
      <c r="BF307" s="4105">
        <f>IFERROR(J307/J$117,0)</f>
        <v/>
      </c>
      <c r="BG307" s="4105">
        <f>IFERROR(K307/K$117,0)</f>
        <v/>
      </c>
      <c r="BH307" s="4105">
        <f>IFERROR(L307/L$117,0)</f>
        <v/>
      </c>
      <c r="BI307" s="4105">
        <f>IFERROR(M307/M$117,0)</f>
        <v/>
      </c>
      <c r="BJ307" s="4105">
        <f>IFERROR(N307/N$117,0)</f>
        <v/>
      </c>
      <c r="BK307" s="4105">
        <f>IFERROR(O307/O$117,0)</f>
        <v/>
      </c>
      <c r="BL307" s="4105">
        <f>IFERROR(P307/P$117,0)</f>
        <v/>
      </c>
      <c r="BM307" s="4106">
        <f>IFERROR(Q307/Q$117,0)</f>
        <v/>
      </c>
      <c r="BN307" s="4105">
        <f>IFERROR(R307/R$117,0)</f>
        <v/>
      </c>
      <c r="BO307" s="4105">
        <f>IFERROR(S307/S$117,0)</f>
        <v/>
      </c>
      <c r="BP307" s="4105">
        <f>IFERROR(T307/T$117,0)</f>
        <v/>
      </c>
      <c r="BQ307" s="4105">
        <f>IFERROR(U307/U$117,0)</f>
        <v/>
      </c>
      <c r="BR307" s="4105">
        <f>IFERROR(V307/V$117,0)</f>
        <v/>
      </c>
      <c r="BS307" s="4105">
        <f>IFERROR(W307/W$117,0)</f>
        <v/>
      </c>
      <c r="BT307" s="4105">
        <f>IFERROR(X307/X$117,0)</f>
        <v/>
      </c>
      <c r="BU307" s="4105">
        <f>IFERROR(Y307/Y$117,0)</f>
        <v/>
      </c>
      <c r="BV307" s="4105">
        <f>IFERROR(Z307/Z$117,0)</f>
        <v/>
      </c>
      <c r="BW307" s="4105">
        <f>IFERROR(AA307/AA$117,0)</f>
        <v/>
      </c>
      <c r="BX307" s="4105">
        <f>IFERROR(AB307/AB$117,0)</f>
        <v/>
      </c>
      <c r="BY307" s="4106">
        <f>IFERROR(AC307/AC$117,0)</f>
        <v/>
      </c>
      <c r="BZ307" s="4105">
        <f>IFERROR(AD307/AD$117,0)</f>
        <v/>
      </c>
      <c r="CA307" s="4105">
        <f>IFERROR(AE307/AE$117,0)</f>
        <v/>
      </c>
      <c r="CB307" s="4105">
        <f>IFERROR(AF307/AF$117,0)</f>
        <v/>
      </c>
      <c r="CC307" s="4105">
        <f>IFERROR(AG307/AG$117,0)</f>
        <v/>
      </c>
      <c r="CD307" s="4105">
        <f>IFERROR(AH307/AH$117,0)</f>
        <v/>
      </c>
      <c r="CE307" s="4105">
        <f>IFERROR(AI307/AI$117,0)</f>
        <v/>
      </c>
      <c r="CF307" s="4105">
        <f>IFERROR(AJ307/AJ$117,0)</f>
        <v/>
      </c>
      <c r="CG307" s="4105">
        <f>IFERROR(AK307/AK$117,0)</f>
        <v/>
      </c>
      <c r="CH307" s="4105">
        <f>IFERROR(AL307/AL$117,0)</f>
        <v/>
      </c>
      <c r="CI307" s="4105">
        <f>IFERROR(AM307/AM$117,0)</f>
        <v/>
      </c>
      <c r="CJ307" s="4105">
        <f>IFERROR(AN307/AN$117,0)</f>
        <v/>
      </c>
      <c r="CK307" s="4106">
        <f>IFERROR(AO307/AO$117,0)</f>
        <v/>
      </c>
      <c r="CL307" s="4105">
        <f>IFERROR(AP307/AP$117,0)</f>
        <v/>
      </c>
      <c r="CM307" s="4105">
        <f>IFERROR(AQ307/AQ$117,0)</f>
        <v/>
      </c>
      <c r="CN307" s="4105">
        <f>IFERROR(AR307/AR$117,0)</f>
        <v/>
      </c>
      <c r="CO307" s="4105">
        <f>IFERROR(AS307/AS$117,0)</f>
        <v/>
      </c>
      <c r="CP307" s="4105">
        <f>IFERROR(AT307/AT$117,0)</f>
        <v/>
      </c>
      <c r="CQ307" s="4107">
        <f>IFERROR(AU307/AU$117,0)</f>
        <v/>
      </c>
      <c r="CR307" s="4105">
        <f>IFERROR(AV307/AV$117,0)</f>
        <v/>
      </c>
      <c r="CS307" s="4105">
        <f>IFERROR(AW307/AW$117,0)</f>
        <v/>
      </c>
      <c r="CT307" s="4105">
        <f>IFERROR(AX307/AX$117,0)</f>
        <v/>
      </c>
      <c r="CU307" s="4105">
        <f>IFERROR(AY307/AY$117,0)</f>
        <v/>
      </c>
      <c r="CV307" s="4105">
        <f>IFERROR(AZ307/AZ$117,0)</f>
        <v/>
      </c>
      <c r="CW307" s="3737" t="n"/>
      <c r="CX307" s="4102" t="n">
        <v>-6.98151</v>
      </c>
    </row>
    <row r="308" hidden="1" outlineLevel="2" collapsed="1" ht="12" customFormat="1" customHeight="1" s="3737">
      <c r="A308" s="4059" t="n"/>
      <c r="B308" s="4060" t="n"/>
      <c r="C308" s="4129" t="inlineStr">
        <is>
          <t>Marketing expense</t>
        </is>
      </c>
      <c r="D308" s="4093" t="n"/>
      <c r="E308" s="4093" t="n"/>
      <c r="F308" s="4094" t="n"/>
      <c r="G308" s="4094" t="n"/>
      <c r="H308" s="4094" t="n"/>
      <c r="I308" s="4094" t="n"/>
      <c r="J308" s="4094" t="n"/>
      <c r="K308" s="4094" t="n"/>
      <c r="L308" s="4094" t="n"/>
      <c r="M308" s="4094" t="n"/>
      <c r="N308" s="4094" t="n"/>
      <c r="O308" s="4094" t="n"/>
      <c r="P308" s="4094" t="n"/>
      <c r="Q308" s="4095" t="n"/>
      <c r="R308" s="4094" t="n"/>
      <c r="S308" s="4094" t="n"/>
      <c r="T308" s="4094" t="n"/>
      <c r="U308" s="4094" t="n"/>
      <c r="V308" s="4094" t="n"/>
      <c r="W308" s="4094" t="n"/>
      <c r="X308" s="4094" t="n"/>
      <c r="Y308" s="4094" t="n"/>
      <c r="Z308" s="4094" t="n"/>
      <c r="AA308" s="4094" t="n"/>
      <c r="AB308" s="4094" t="n"/>
      <c r="AC308" s="4095" t="n"/>
      <c r="AD308" s="4094" t="n"/>
      <c r="AE308" s="4094" t="n"/>
      <c r="AF308" s="4094" t="n"/>
      <c r="AG308" s="4094" t="n"/>
      <c r="AH308" s="4094" t="n"/>
      <c r="AI308" s="4094" t="n"/>
      <c r="AJ308" s="4094" t="n"/>
      <c r="AK308" s="4094" t="n"/>
      <c r="AL308" s="4094" t="n"/>
      <c r="AM308" s="4094" t="n"/>
      <c r="AN308" s="4094" t="n"/>
      <c r="AO308" s="4095" t="n"/>
      <c r="AP308" s="4094">
        <f>SUM(AP295:AP307)</f>
        <v/>
      </c>
      <c r="AQ308" s="4094">
        <f>SUM(AQ295:AQ307)</f>
        <v/>
      </c>
      <c r="AR308" s="4094">
        <f>SUM(AR295:AR307)</f>
        <v/>
      </c>
      <c r="AS308" s="4094">
        <f>SUM(AS295:AS307)</f>
        <v/>
      </c>
      <c r="AT308" s="4094">
        <f>SUM(AT295:AT307)</f>
        <v/>
      </c>
      <c r="AU308" s="4096">
        <f>SUM(AU295:AU307)</f>
        <v/>
      </c>
      <c r="AV308" s="4094">
        <f>SUM(AV295:AV307)</f>
        <v/>
      </c>
      <c r="AW308" s="4094">
        <f>SUM(AW295:AW307)</f>
        <v/>
      </c>
      <c r="AX308" s="4094">
        <f>SUM(AX295:AX307)</f>
        <v/>
      </c>
      <c r="AY308" s="4094">
        <f>SUM(AY295:AY307)</f>
        <v/>
      </c>
      <c r="AZ308" s="4094">
        <f>SUM(AZ295:AZ307)</f>
        <v/>
      </c>
      <c r="BA308" s="3737" t="n"/>
      <c r="BB308" s="4097">
        <f>IFERROR(F308/F$117,0)</f>
        <v/>
      </c>
      <c r="BC308" s="4097">
        <f>IFERROR(G308/G$117,0)</f>
        <v/>
      </c>
      <c r="BD308" s="4097">
        <f>IFERROR(H308/H$117,0)</f>
        <v/>
      </c>
      <c r="BE308" s="4097">
        <f>IFERROR(I308/I$117,0)</f>
        <v/>
      </c>
      <c r="BF308" s="4097">
        <f>IFERROR(J308/J$117,0)</f>
        <v/>
      </c>
      <c r="BG308" s="4097">
        <f>IFERROR(K308/K$117,0)</f>
        <v/>
      </c>
      <c r="BH308" s="4097">
        <f>IFERROR(L308/L$117,0)</f>
        <v/>
      </c>
      <c r="BI308" s="4097">
        <f>IFERROR(M308/M$117,0)</f>
        <v/>
      </c>
      <c r="BJ308" s="4097">
        <f>IFERROR(N308/N$117,0)</f>
        <v/>
      </c>
      <c r="BK308" s="4097">
        <f>IFERROR(O308/O$117,0)</f>
        <v/>
      </c>
      <c r="BL308" s="4097">
        <f>IFERROR(P308/P$117,0)</f>
        <v/>
      </c>
      <c r="BM308" s="4098">
        <f>IFERROR(Q308/Q$117,0)</f>
        <v/>
      </c>
      <c r="BN308" s="4097">
        <f>IFERROR(R308/R$117,0)</f>
        <v/>
      </c>
      <c r="BO308" s="4097">
        <f>IFERROR(S308/S$117,0)</f>
        <v/>
      </c>
      <c r="BP308" s="4097">
        <f>IFERROR(T308/T$117,0)</f>
        <v/>
      </c>
      <c r="BQ308" s="4097">
        <f>IFERROR(U308/U$117,0)</f>
        <v/>
      </c>
      <c r="BR308" s="4097">
        <f>IFERROR(V308/V$117,0)</f>
        <v/>
      </c>
      <c r="BS308" s="4097">
        <f>IFERROR(W308/W$117,0)</f>
        <v/>
      </c>
      <c r="BT308" s="4097">
        <f>IFERROR(X308/X$117,0)</f>
        <v/>
      </c>
      <c r="BU308" s="4097">
        <f>IFERROR(Y308/Y$117,0)</f>
        <v/>
      </c>
      <c r="BV308" s="4097">
        <f>IFERROR(Z308/Z$117,0)</f>
        <v/>
      </c>
      <c r="BW308" s="4097">
        <f>IFERROR(AA308/AA$117,0)</f>
        <v/>
      </c>
      <c r="BX308" s="4097">
        <f>IFERROR(AB308/AB$117,0)</f>
        <v/>
      </c>
      <c r="BY308" s="4098">
        <f>IFERROR(AC308/AC$117,0)</f>
        <v/>
      </c>
      <c r="BZ308" s="4097">
        <f>IFERROR(AD308/AD$117,0)</f>
        <v/>
      </c>
      <c r="CA308" s="4097">
        <f>IFERROR(AE308/AE$117,0)</f>
        <v/>
      </c>
      <c r="CB308" s="4097">
        <f>IFERROR(AF308/AF$117,0)</f>
        <v/>
      </c>
      <c r="CC308" s="4097">
        <f>IFERROR(AG308/AG$117,0)</f>
        <v/>
      </c>
      <c r="CD308" s="4097">
        <f>IFERROR(AH308/AH$117,0)</f>
        <v/>
      </c>
      <c r="CE308" s="4097">
        <f>IFERROR(AI308/AI$117,0)</f>
        <v/>
      </c>
      <c r="CF308" s="4097">
        <f>IFERROR(AJ308/AJ$117,0)</f>
        <v/>
      </c>
      <c r="CG308" s="4097">
        <f>IFERROR(AK308/AK$117,0)</f>
        <v/>
      </c>
      <c r="CH308" s="4097">
        <f>IFERROR(AL308/AL$117,0)</f>
        <v/>
      </c>
      <c r="CI308" s="4097">
        <f>IFERROR(AM308/AM$117,0)</f>
        <v/>
      </c>
      <c r="CJ308" s="4097">
        <f>IFERROR(AN308/AN$117,0)</f>
        <v/>
      </c>
      <c r="CK308" s="4098">
        <f>IFERROR(AO308/AO$117,0)</f>
        <v/>
      </c>
      <c r="CL308" s="4097">
        <f>IFERROR(AP308/AP$117,0)</f>
        <v/>
      </c>
      <c r="CM308" s="4097">
        <f>IFERROR(AQ308/AQ$117,0)</f>
        <v/>
      </c>
      <c r="CN308" s="4097">
        <f>IFERROR(AR308/AR$117,0)</f>
        <v/>
      </c>
      <c r="CO308" s="4097">
        <f>IFERROR(AS308/AS$117,0)</f>
        <v/>
      </c>
      <c r="CP308" s="4097">
        <f>IFERROR(AT308/AT$117,0)</f>
        <v/>
      </c>
      <c r="CQ308" s="4099">
        <f>IFERROR(AU308/AU$117,0)</f>
        <v/>
      </c>
      <c r="CR308" s="4097">
        <f>IFERROR(AV308/AV$117,0)</f>
        <v/>
      </c>
      <c r="CS308" s="4097">
        <f>IFERROR(AW308/AW$117,0)</f>
        <v/>
      </c>
      <c r="CT308" s="4097">
        <f>IFERROR(AX308/AX$117,0)</f>
        <v/>
      </c>
      <c r="CU308" s="4097">
        <f>IFERROR(AY308/AY$117,0)</f>
        <v/>
      </c>
      <c r="CV308" s="4097">
        <f>IFERROR(AZ308/AZ$117,0)</f>
        <v/>
      </c>
      <c r="CW308" s="3737" t="n"/>
      <c r="CX308" s="4094">
        <f>SUM(CX295:CX307)</f>
        <v/>
      </c>
    </row>
    <row r="309" hidden="1" outlineLevel="3" ht="12" customFormat="1" customHeight="1" s="3737">
      <c r="A309" s="4059" t="n"/>
      <c r="B309" s="4060" t="n"/>
      <c r="C309" s="4141" t="inlineStr">
        <is>
          <t>Training courses</t>
        </is>
      </c>
      <c r="D309" s="4093" t="n">
        <v>535104</v>
      </c>
      <c r="E309" s="4093">
        <f>CONCATENATE(D309," - ",C309)</f>
        <v/>
      </c>
      <c r="F309" s="4094" t="n"/>
      <c r="G309" s="4094" t="n"/>
      <c r="H309" s="4094" t="n"/>
      <c r="I309" s="4094" t="n"/>
      <c r="J309" s="4094" t="n"/>
      <c r="K309" s="4094" t="n"/>
      <c r="L309" s="4094" t="n"/>
      <c r="M309" s="4094" t="n"/>
      <c r="N309" s="4094" t="n"/>
      <c r="O309" s="4094" t="n"/>
      <c r="P309" s="4094" t="n"/>
      <c r="Q309" s="4095" t="n"/>
      <c r="R309" s="4094" t="n"/>
      <c r="S309" s="4094" t="n"/>
      <c r="T309" s="4094" t="n"/>
      <c r="U309" s="4094" t="n"/>
      <c r="V309" s="4094" t="n"/>
      <c r="W309" s="4094" t="n"/>
      <c r="X309" s="4094" t="n"/>
      <c r="Y309" s="4094" t="n"/>
      <c r="Z309" s="4094" t="n"/>
      <c r="AA309" s="4094" t="n"/>
      <c r="AB309" s="4094" t="n"/>
      <c r="AC309" s="4095" t="n"/>
      <c r="AD309" s="4094" t="n"/>
      <c r="AE309" s="4094" t="n"/>
      <c r="AF309" s="4094" t="n"/>
      <c r="AG309" s="4094" t="n"/>
      <c r="AH309" s="4094" t="n"/>
      <c r="AI309" s="4094" t="n"/>
      <c r="AJ309" s="4094" t="n"/>
      <c r="AK309" s="4094" t="n"/>
      <c r="AL309" s="4094" t="n"/>
      <c r="AM309" s="4094" t="n"/>
      <c r="AN309" s="4094" t="n"/>
      <c r="AO309" s="4095" t="n"/>
      <c r="AP309" s="4094" t="n">
        <v>-6.26064</v>
      </c>
      <c r="AQ309" s="4094" t="n">
        <v>-3.69351</v>
      </c>
      <c r="AR309" s="4094" t="n">
        <v>-14.48828</v>
      </c>
      <c r="AS309" s="4094" t="n">
        <v>-8.403829999999999</v>
      </c>
      <c r="AT309" s="4094" t="n">
        <v>-3.80252</v>
      </c>
      <c r="AU309" s="4096" t="n">
        <v>-12.05598</v>
      </c>
      <c r="AV309" s="4094">
        <f>SUM(F309:Q309)</f>
        <v/>
      </c>
      <c r="AW309" s="4094">
        <f>SUM(R309:AC309)</f>
        <v/>
      </c>
      <c r="AX309" s="4094">
        <f>SUM(AD309:AO309)</f>
        <v/>
      </c>
      <c r="AY309" s="4094">
        <f>SUM(AH309:AS309)</f>
        <v/>
      </c>
      <c r="AZ309" s="4094">
        <f>SUM(AJ309:AU309)</f>
        <v/>
      </c>
      <c r="BA309" s="3737" t="n"/>
      <c r="BB309" s="4097">
        <f>IFERROR(F309/F$117,0)</f>
        <v/>
      </c>
      <c r="BC309" s="4097">
        <f>IFERROR(G309/G$117,0)</f>
        <v/>
      </c>
      <c r="BD309" s="4097">
        <f>IFERROR(H309/H$117,0)</f>
        <v/>
      </c>
      <c r="BE309" s="4097">
        <f>IFERROR(I309/I$117,0)</f>
        <v/>
      </c>
      <c r="BF309" s="4097">
        <f>IFERROR(J309/J$117,0)</f>
        <v/>
      </c>
      <c r="BG309" s="4097">
        <f>IFERROR(K309/K$117,0)</f>
        <v/>
      </c>
      <c r="BH309" s="4097">
        <f>IFERROR(L309/L$117,0)</f>
        <v/>
      </c>
      <c r="BI309" s="4097">
        <f>IFERROR(M309/M$117,0)</f>
        <v/>
      </c>
      <c r="BJ309" s="4097">
        <f>IFERROR(N309/N$117,0)</f>
        <v/>
      </c>
      <c r="BK309" s="4097">
        <f>IFERROR(O309/O$117,0)</f>
        <v/>
      </c>
      <c r="BL309" s="4097">
        <f>IFERROR(P309/P$117,0)</f>
        <v/>
      </c>
      <c r="BM309" s="4098">
        <f>IFERROR(Q309/Q$117,0)</f>
        <v/>
      </c>
      <c r="BN309" s="4097">
        <f>IFERROR(R309/R$117,0)</f>
        <v/>
      </c>
      <c r="BO309" s="4097">
        <f>IFERROR(S309/S$117,0)</f>
        <v/>
      </c>
      <c r="BP309" s="4097">
        <f>IFERROR(T309/T$117,0)</f>
        <v/>
      </c>
      <c r="BQ309" s="4097">
        <f>IFERROR(U309/U$117,0)</f>
        <v/>
      </c>
      <c r="BR309" s="4097">
        <f>IFERROR(V309/V$117,0)</f>
        <v/>
      </c>
      <c r="BS309" s="4097">
        <f>IFERROR(W309/W$117,0)</f>
        <v/>
      </c>
      <c r="BT309" s="4097">
        <f>IFERROR(X309/X$117,0)</f>
        <v/>
      </c>
      <c r="BU309" s="4097">
        <f>IFERROR(Y309/Y$117,0)</f>
        <v/>
      </c>
      <c r="BV309" s="4097">
        <f>IFERROR(Z309/Z$117,0)</f>
        <v/>
      </c>
      <c r="BW309" s="4097">
        <f>IFERROR(AA309/AA$117,0)</f>
        <v/>
      </c>
      <c r="BX309" s="4097">
        <f>IFERROR(AB309/AB$117,0)</f>
        <v/>
      </c>
      <c r="BY309" s="4098">
        <f>IFERROR(AC309/AC$117,0)</f>
        <v/>
      </c>
      <c r="BZ309" s="4097">
        <f>IFERROR(AD309/AD$117,0)</f>
        <v/>
      </c>
      <c r="CA309" s="4097">
        <f>IFERROR(AE309/AE$117,0)</f>
        <v/>
      </c>
      <c r="CB309" s="4097">
        <f>IFERROR(AF309/AF$117,0)</f>
        <v/>
      </c>
      <c r="CC309" s="4097">
        <f>IFERROR(AG309/AG$117,0)</f>
        <v/>
      </c>
      <c r="CD309" s="4097">
        <f>IFERROR(AH309/AH$117,0)</f>
        <v/>
      </c>
      <c r="CE309" s="4097">
        <f>IFERROR(AI309/AI$117,0)</f>
        <v/>
      </c>
      <c r="CF309" s="4097">
        <f>IFERROR(AJ309/AJ$117,0)</f>
        <v/>
      </c>
      <c r="CG309" s="4097">
        <f>IFERROR(AK309/AK$117,0)</f>
        <v/>
      </c>
      <c r="CH309" s="4097">
        <f>IFERROR(AL309/AL$117,0)</f>
        <v/>
      </c>
      <c r="CI309" s="4097">
        <f>IFERROR(AM309/AM$117,0)</f>
        <v/>
      </c>
      <c r="CJ309" s="4097">
        <f>IFERROR(AN309/AN$117,0)</f>
        <v/>
      </c>
      <c r="CK309" s="4098">
        <f>IFERROR(AO309/AO$117,0)</f>
        <v/>
      </c>
      <c r="CL309" s="4097">
        <f>IFERROR(AP309/AP$117,0)</f>
        <v/>
      </c>
      <c r="CM309" s="4097">
        <f>IFERROR(AQ309/AQ$117,0)</f>
        <v/>
      </c>
      <c r="CN309" s="4097">
        <f>IFERROR(AR309/AR$117,0)</f>
        <v/>
      </c>
      <c r="CO309" s="4097">
        <f>IFERROR(AS309/AS$117,0)</f>
        <v/>
      </c>
      <c r="CP309" s="4097">
        <f>IFERROR(AT309/AT$117,0)</f>
        <v/>
      </c>
      <c r="CQ309" s="4099">
        <f>IFERROR(AU309/AU$117,0)</f>
        <v/>
      </c>
      <c r="CR309" s="4097">
        <f>IFERROR(AV309/AV$117,0)</f>
        <v/>
      </c>
      <c r="CS309" s="4097">
        <f>IFERROR(AW309/AW$117,0)</f>
        <v/>
      </c>
      <c r="CT309" s="4097">
        <f>IFERROR(AX309/AX$117,0)</f>
        <v/>
      </c>
      <c r="CU309" s="4097">
        <f>IFERROR(AY309/AY$117,0)</f>
        <v/>
      </c>
      <c r="CV309" s="4097">
        <f>IFERROR(AZ309/AZ$117,0)</f>
        <v/>
      </c>
      <c r="CW309" s="3737" t="n"/>
      <c r="CX309" s="4094" t="n">
        <v>-74.06905</v>
      </c>
    </row>
    <row r="310" hidden="1" outlineLevel="3" ht="12" customFormat="1" customHeight="1" s="3737">
      <c r="A310" s="4059" t="n"/>
      <c r="B310" s="4060" t="n"/>
      <c r="C310" s="4142" t="inlineStr">
        <is>
          <t>Professional association dues</t>
        </is>
      </c>
      <c r="D310" s="4101" t="n">
        <v>631407</v>
      </c>
      <c r="E310" s="4101">
        <f>CONCATENATE(D310," - ",C310)</f>
        <v/>
      </c>
      <c r="F310" s="4102" t="n"/>
      <c r="G310" s="4102" t="n"/>
      <c r="H310" s="4102" t="n"/>
      <c r="I310" s="4102" t="n"/>
      <c r="J310" s="4102" t="n"/>
      <c r="K310" s="4102" t="n"/>
      <c r="L310" s="4102" t="n"/>
      <c r="M310" s="4102" t="n"/>
      <c r="N310" s="4102" t="n"/>
      <c r="O310" s="4102" t="n"/>
      <c r="P310" s="4102" t="n"/>
      <c r="Q310" s="4103" t="n"/>
      <c r="R310" s="4102" t="n"/>
      <c r="S310" s="4102" t="n"/>
      <c r="T310" s="4102" t="n"/>
      <c r="U310" s="4102" t="n"/>
      <c r="V310" s="4102" t="n"/>
      <c r="W310" s="4102" t="n"/>
      <c r="X310" s="4102" t="n"/>
      <c r="Y310" s="4102" t="n"/>
      <c r="Z310" s="4102" t="n"/>
      <c r="AA310" s="4102" t="n"/>
      <c r="AB310" s="4102" t="n"/>
      <c r="AC310" s="4103" t="n"/>
      <c r="AD310" s="4102" t="n"/>
      <c r="AE310" s="4102" t="n"/>
      <c r="AF310" s="4102" t="n"/>
      <c r="AG310" s="4102" t="n"/>
      <c r="AH310" s="4102" t="n"/>
      <c r="AI310" s="4102" t="n"/>
      <c r="AJ310" s="4102" t="n"/>
      <c r="AK310" s="4102" t="n"/>
      <c r="AL310" s="4102" t="n"/>
      <c r="AM310" s="4102" t="n"/>
      <c r="AN310" s="4102" t="n"/>
      <c r="AO310" s="4103" t="n"/>
      <c r="AP310" s="4102" t="n">
        <v>0</v>
      </c>
      <c r="AQ310" s="4102" t="n">
        <v>0</v>
      </c>
      <c r="AR310" s="4102" t="n">
        <v>0</v>
      </c>
      <c r="AS310" s="4102" t="n">
        <v>0</v>
      </c>
      <c r="AT310" s="4102" t="n">
        <v>-3</v>
      </c>
      <c r="AU310" s="4104" t="n">
        <v>0</v>
      </c>
      <c r="AV310" s="4102">
        <f>SUM(F310:Q310)</f>
        <v/>
      </c>
      <c r="AW310" s="4102">
        <f>SUM(R310:AC310)</f>
        <v/>
      </c>
      <c r="AX310" s="4102">
        <f>SUM(AD310:AO310)</f>
        <v/>
      </c>
      <c r="AY310" s="4102">
        <f>SUM(AH310:AS310)</f>
        <v/>
      </c>
      <c r="AZ310" s="4102">
        <f>SUM(AJ310:AU310)</f>
        <v/>
      </c>
      <c r="BA310" s="3737" t="n"/>
      <c r="BB310" s="4105">
        <f>IFERROR(F310/F$117,0)</f>
        <v/>
      </c>
      <c r="BC310" s="4105">
        <f>IFERROR(G310/G$117,0)</f>
        <v/>
      </c>
      <c r="BD310" s="4105">
        <f>IFERROR(H310/H$117,0)</f>
        <v/>
      </c>
      <c r="BE310" s="4105">
        <f>IFERROR(I310/I$117,0)</f>
        <v/>
      </c>
      <c r="BF310" s="4105">
        <f>IFERROR(J310/J$117,0)</f>
        <v/>
      </c>
      <c r="BG310" s="4105">
        <f>IFERROR(K310/K$117,0)</f>
        <v/>
      </c>
      <c r="BH310" s="4105">
        <f>IFERROR(L310/L$117,0)</f>
        <v/>
      </c>
      <c r="BI310" s="4105">
        <f>IFERROR(M310/M$117,0)</f>
        <v/>
      </c>
      <c r="BJ310" s="4105">
        <f>IFERROR(N310/N$117,0)</f>
        <v/>
      </c>
      <c r="BK310" s="4105">
        <f>IFERROR(O310/O$117,0)</f>
        <v/>
      </c>
      <c r="BL310" s="4105">
        <f>IFERROR(P310/P$117,0)</f>
        <v/>
      </c>
      <c r="BM310" s="4106">
        <f>IFERROR(Q310/Q$117,0)</f>
        <v/>
      </c>
      <c r="BN310" s="4105">
        <f>IFERROR(R310/R$117,0)</f>
        <v/>
      </c>
      <c r="BO310" s="4105">
        <f>IFERROR(S310/S$117,0)</f>
        <v/>
      </c>
      <c r="BP310" s="4105">
        <f>IFERROR(T310/T$117,0)</f>
        <v/>
      </c>
      <c r="BQ310" s="4105">
        <f>IFERROR(U310/U$117,0)</f>
        <v/>
      </c>
      <c r="BR310" s="4105">
        <f>IFERROR(V310/V$117,0)</f>
        <v/>
      </c>
      <c r="BS310" s="4105">
        <f>IFERROR(W310/W$117,0)</f>
        <v/>
      </c>
      <c r="BT310" s="4105">
        <f>IFERROR(X310/X$117,0)</f>
        <v/>
      </c>
      <c r="BU310" s="4105">
        <f>IFERROR(Y310/Y$117,0)</f>
        <v/>
      </c>
      <c r="BV310" s="4105">
        <f>IFERROR(Z310/Z$117,0)</f>
        <v/>
      </c>
      <c r="BW310" s="4105">
        <f>IFERROR(AA310/AA$117,0)</f>
        <v/>
      </c>
      <c r="BX310" s="4105">
        <f>IFERROR(AB310/AB$117,0)</f>
        <v/>
      </c>
      <c r="BY310" s="4106">
        <f>IFERROR(AC310/AC$117,0)</f>
        <v/>
      </c>
      <c r="BZ310" s="4105">
        <f>IFERROR(AD310/AD$117,0)</f>
        <v/>
      </c>
      <c r="CA310" s="4105">
        <f>IFERROR(AE310/AE$117,0)</f>
        <v/>
      </c>
      <c r="CB310" s="4105">
        <f>IFERROR(AF310/AF$117,0)</f>
        <v/>
      </c>
      <c r="CC310" s="4105">
        <f>IFERROR(AG310/AG$117,0)</f>
        <v/>
      </c>
      <c r="CD310" s="4105">
        <f>IFERROR(AH310/AH$117,0)</f>
        <v/>
      </c>
      <c r="CE310" s="4105">
        <f>IFERROR(AI310/AI$117,0)</f>
        <v/>
      </c>
      <c r="CF310" s="4105">
        <f>IFERROR(AJ310/AJ$117,0)</f>
        <v/>
      </c>
      <c r="CG310" s="4105">
        <f>IFERROR(AK310/AK$117,0)</f>
        <v/>
      </c>
      <c r="CH310" s="4105">
        <f>IFERROR(AL310/AL$117,0)</f>
        <v/>
      </c>
      <c r="CI310" s="4105">
        <f>IFERROR(AM310/AM$117,0)</f>
        <v/>
      </c>
      <c r="CJ310" s="4105">
        <f>IFERROR(AN310/AN$117,0)</f>
        <v/>
      </c>
      <c r="CK310" s="4106">
        <f>IFERROR(AO310/AO$117,0)</f>
        <v/>
      </c>
      <c r="CL310" s="4105">
        <f>IFERROR(AP310/AP$117,0)</f>
        <v/>
      </c>
      <c r="CM310" s="4105">
        <f>IFERROR(AQ310/AQ$117,0)</f>
        <v/>
      </c>
      <c r="CN310" s="4105">
        <f>IFERROR(AR310/AR$117,0)</f>
        <v/>
      </c>
      <c r="CO310" s="4105">
        <f>IFERROR(AS310/AS$117,0)</f>
        <v/>
      </c>
      <c r="CP310" s="4105">
        <f>IFERROR(AT310/AT$117,0)</f>
        <v/>
      </c>
      <c r="CQ310" s="4107">
        <f>IFERROR(AU310/AU$117,0)</f>
        <v/>
      </c>
      <c r="CR310" s="4105">
        <f>IFERROR(AV310/AV$117,0)</f>
        <v/>
      </c>
      <c r="CS310" s="4105">
        <f>IFERROR(AW310/AW$117,0)</f>
        <v/>
      </c>
      <c r="CT310" s="4105">
        <f>IFERROR(AX310/AX$117,0)</f>
        <v/>
      </c>
      <c r="CU310" s="4105">
        <f>IFERROR(AY310/AY$117,0)</f>
        <v/>
      </c>
      <c r="CV310" s="4105">
        <f>IFERROR(AZ310/AZ$117,0)</f>
        <v/>
      </c>
      <c r="CW310" s="3737" t="n"/>
      <c r="CX310" s="4102" t="n">
        <v>-5.1643</v>
      </c>
    </row>
    <row r="311" hidden="1" outlineLevel="2" collapsed="1" ht="12" customFormat="1" customHeight="1" s="3737">
      <c r="A311" s="4059" t="n"/>
      <c r="B311" s="4060" t="n"/>
      <c r="C311" s="4129" t="inlineStr">
        <is>
          <t>Training expense</t>
        </is>
      </c>
      <c r="D311" s="4093" t="n"/>
      <c r="E311" s="4093" t="n"/>
      <c r="F311" s="4094" t="n"/>
      <c r="G311" s="4094" t="n"/>
      <c r="H311" s="4094" t="n"/>
      <c r="I311" s="4094" t="n"/>
      <c r="J311" s="4094" t="n"/>
      <c r="K311" s="4094" t="n"/>
      <c r="L311" s="4094" t="n"/>
      <c r="M311" s="4094" t="n"/>
      <c r="N311" s="4094" t="n"/>
      <c r="O311" s="4094" t="n"/>
      <c r="P311" s="4094" t="n"/>
      <c r="Q311" s="4095" t="n"/>
      <c r="R311" s="4094" t="n"/>
      <c r="S311" s="4094" t="n"/>
      <c r="T311" s="4094" t="n"/>
      <c r="U311" s="4094" t="n"/>
      <c r="V311" s="4094" t="n"/>
      <c r="W311" s="4094" t="n"/>
      <c r="X311" s="4094" t="n"/>
      <c r="Y311" s="4094" t="n"/>
      <c r="Z311" s="4094" t="n"/>
      <c r="AA311" s="4094" t="n"/>
      <c r="AB311" s="4094" t="n"/>
      <c r="AC311" s="4095" t="n"/>
      <c r="AD311" s="4094" t="n"/>
      <c r="AE311" s="4094" t="n"/>
      <c r="AF311" s="4094" t="n"/>
      <c r="AG311" s="4094" t="n"/>
      <c r="AH311" s="4094" t="n"/>
      <c r="AI311" s="4094" t="n"/>
      <c r="AJ311" s="4094" t="n"/>
      <c r="AK311" s="4094" t="n"/>
      <c r="AL311" s="4094" t="n"/>
      <c r="AM311" s="4094" t="n"/>
      <c r="AN311" s="4094" t="n"/>
      <c r="AO311" s="4095" t="n"/>
      <c r="AP311" s="4094">
        <f>SUM(AP309:AP310)</f>
        <v/>
      </c>
      <c r="AQ311" s="4094">
        <f>SUM(AQ309:AQ310)</f>
        <v/>
      </c>
      <c r="AR311" s="4094">
        <f>SUM(AR309:AR310)</f>
        <v/>
      </c>
      <c r="AS311" s="4094">
        <f>SUM(AS309:AS310)</f>
        <v/>
      </c>
      <c r="AT311" s="4094">
        <f>SUM(AT309:AT310)</f>
        <v/>
      </c>
      <c r="AU311" s="4096">
        <f>SUM(AU309:AU310)</f>
        <v/>
      </c>
      <c r="AV311" s="4094">
        <f>SUM(AV309:AV310)</f>
        <v/>
      </c>
      <c r="AW311" s="4094">
        <f>SUM(AW309:AW310)</f>
        <v/>
      </c>
      <c r="AX311" s="4094">
        <f>SUM(AX309:AX310)</f>
        <v/>
      </c>
      <c r="AY311" s="4094">
        <f>SUM(AY309:AY310)</f>
        <v/>
      </c>
      <c r="AZ311" s="4094">
        <f>SUM(AZ309:AZ310)</f>
        <v/>
      </c>
      <c r="BA311" s="3737" t="n"/>
      <c r="BB311" s="4097">
        <f>IFERROR(F311/F$117,0)</f>
        <v/>
      </c>
      <c r="BC311" s="4097">
        <f>IFERROR(G311/G$117,0)</f>
        <v/>
      </c>
      <c r="BD311" s="4097">
        <f>IFERROR(H311/H$117,0)</f>
        <v/>
      </c>
      <c r="BE311" s="4097">
        <f>IFERROR(I311/I$117,0)</f>
        <v/>
      </c>
      <c r="BF311" s="4097">
        <f>IFERROR(J311/J$117,0)</f>
        <v/>
      </c>
      <c r="BG311" s="4097">
        <f>IFERROR(K311/K$117,0)</f>
        <v/>
      </c>
      <c r="BH311" s="4097">
        <f>IFERROR(L311/L$117,0)</f>
        <v/>
      </c>
      <c r="BI311" s="4097">
        <f>IFERROR(M311/M$117,0)</f>
        <v/>
      </c>
      <c r="BJ311" s="4097">
        <f>IFERROR(N311/N$117,0)</f>
        <v/>
      </c>
      <c r="BK311" s="4097">
        <f>IFERROR(O311/O$117,0)</f>
        <v/>
      </c>
      <c r="BL311" s="4097">
        <f>IFERROR(P311/P$117,0)</f>
        <v/>
      </c>
      <c r="BM311" s="4098">
        <f>IFERROR(Q311/Q$117,0)</f>
        <v/>
      </c>
      <c r="BN311" s="4097">
        <f>IFERROR(R311/R$117,0)</f>
        <v/>
      </c>
      <c r="BO311" s="4097">
        <f>IFERROR(S311/S$117,0)</f>
        <v/>
      </c>
      <c r="BP311" s="4097">
        <f>IFERROR(T311/T$117,0)</f>
        <v/>
      </c>
      <c r="BQ311" s="4097">
        <f>IFERROR(U311/U$117,0)</f>
        <v/>
      </c>
      <c r="BR311" s="4097">
        <f>IFERROR(V311/V$117,0)</f>
        <v/>
      </c>
      <c r="BS311" s="4097">
        <f>IFERROR(W311/W$117,0)</f>
        <v/>
      </c>
      <c r="BT311" s="4097">
        <f>IFERROR(X311/X$117,0)</f>
        <v/>
      </c>
      <c r="BU311" s="4097">
        <f>IFERROR(Y311/Y$117,0)</f>
        <v/>
      </c>
      <c r="BV311" s="4097">
        <f>IFERROR(Z311/Z$117,0)</f>
        <v/>
      </c>
      <c r="BW311" s="4097">
        <f>IFERROR(AA311/AA$117,0)</f>
        <v/>
      </c>
      <c r="BX311" s="4097">
        <f>IFERROR(AB311/AB$117,0)</f>
        <v/>
      </c>
      <c r="BY311" s="4098">
        <f>IFERROR(AC311/AC$117,0)</f>
        <v/>
      </c>
      <c r="BZ311" s="4097">
        <f>IFERROR(AD311/AD$117,0)</f>
        <v/>
      </c>
      <c r="CA311" s="4097">
        <f>IFERROR(AE311/AE$117,0)</f>
        <v/>
      </c>
      <c r="CB311" s="4097">
        <f>IFERROR(AF311/AF$117,0)</f>
        <v/>
      </c>
      <c r="CC311" s="4097">
        <f>IFERROR(AG311/AG$117,0)</f>
        <v/>
      </c>
      <c r="CD311" s="4097">
        <f>IFERROR(AH311/AH$117,0)</f>
        <v/>
      </c>
      <c r="CE311" s="4097">
        <f>IFERROR(AI311/AI$117,0)</f>
        <v/>
      </c>
      <c r="CF311" s="4097">
        <f>IFERROR(AJ311/AJ$117,0)</f>
        <v/>
      </c>
      <c r="CG311" s="4097">
        <f>IFERROR(AK311/AK$117,0)</f>
        <v/>
      </c>
      <c r="CH311" s="4097">
        <f>IFERROR(AL311/AL$117,0)</f>
        <v/>
      </c>
      <c r="CI311" s="4097">
        <f>IFERROR(AM311/AM$117,0)</f>
        <v/>
      </c>
      <c r="CJ311" s="4097">
        <f>IFERROR(AN311/AN$117,0)</f>
        <v/>
      </c>
      <c r="CK311" s="4098">
        <f>IFERROR(AO311/AO$117,0)</f>
        <v/>
      </c>
      <c r="CL311" s="4097">
        <f>IFERROR(AP311/AP$117,0)</f>
        <v/>
      </c>
      <c r="CM311" s="4097">
        <f>IFERROR(AQ311/AQ$117,0)</f>
        <v/>
      </c>
      <c r="CN311" s="4097">
        <f>IFERROR(AR311/AR$117,0)</f>
        <v/>
      </c>
      <c r="CO311" s="4097">
        <f>IFERROR(AS311/AS$117,0)</f>
        <v/>
      </c>
      <c r="CP311" s="4097">
        <f>IFERROR(AT311/AT$117,0)</f>
        <v/>
      </c>
      <c r="CQ311" s="4099">
        <f>IFERROR(AU311/AU$117,0)</f>
        <v/>
      </c>
      <c r="CR311" s="4097">
        <f>IFERROR(AV311/AV$117,0)</f>
        <v/>
      </c>
      <c r="CS311" s="4097">
        <f>IFERROR(AW311/AW$117,0)</f>
        <v/>
      </c>
      <c r="CT311" s="4097">
        <f>IFERROR(AX311/AX$117,0)</f>
        <v/>
      </c>
      <c r="CU311" s="4097">
        <f>IFERROR(AY311/AY$117,0)</f>
        <v/>
      </c>
      <c r="CV311" s="4097">
        <f>IFERROR(AZ311/AZ$117,0)</f>
        <v/>
      </c>
      <c r="CW311" s="3737" t="n"/>
      <c r="CX311" s="4094">
        <f>SUM(CX309:CX310)</f>
        <v/>
      </c>
    </row>
    <row r="312" hidden="1" outlineLevel="3" ht="12" customFormat="1" customHeight="1" s="3737">
      <c r="A312" s="4059" t="n"/>
      <c r="B312" s="4060" t="n"/>
      <c r="C312" s="4141" t="inlineStr">
        <is>
          <t>Employment recruitment expenses</t>
        </is>
      </c>
      <c r="D312" s="4093" t="n">
        <v>651101</v>
      </c>
      <c r="E312" s="4093">
        <f>CONCATENATE(D312," - ",C312)</f>
        <v/>
      </c>
      <c r="F312" s="4094" t="n"/>
      <c r="G312" s="4094" t="n"/>
      <c r="H312" s="4094" t="n"/>
      <c r="I312" s="4094" t="n"/>
      <c r="J312" s="4094" t="n"/>
      <c r="K312" s="4094" t="n"/>
      <c r="L312" s="4094" t="n"/>
      <c r="M312" s="4094" t="n"/>
      <c r="N312" s="4094" t="n"/>
      <c r="O312" s="4094" t="n"/>
      <c r="P312" s="4094" t="n"/>
      <c r="Q312" s="4095" t="n"/>
      <c r="R312" s="4094" t="n"/>
      <c r="S312" s="4094" t="n"/>
      <c r="T312" s="4094" t="n"/>
      <c r="U312" s="4094" t="n"/>
      <c r="V312" s="4094" t="n"/>
      <c r="W312" s="4094" t="n"/>
      <c r="X312" s="4094" t="n"/>
      <c r="Y312" s="4094" t="n"/>
      <c r="Z312" s="4094" t="n"/>
      <c r="AA312" s="4094" t="n"/>
      <c r="AB312" s="4094" t="n"/>
      <c r="AC312" s="4095" t="n"/>
      <c r="AD312" s="4094" t="n"/>
      <c r="AE312" s="4094" t="n"/>
      <c r="AF312" s="4094" t="n"/>
      <c r="AG312" s="4094" t="n"/>
      <c r="AH312" s="4094" t="n"/>
      <c r="AI312" s="4094" t="n"/>
      <c r="AJ312" s="4094" t="n"/>
      <c r="AK312" s="4094" t="n"/>
      <c r="AL312" s="4094" t="n"/>
      <c r="AM312" s="4094" t="n"/>
      <c r="AN312" s="4094" t="n"/>
      <c r="AO312" s="4095" t="n"/>
      <c r="AP312" s="4094" t="n">
        <v>-1.74403</v>
      </c>
      <c r="AQ312" s="4094" t="n">
        <v>-2.00888</v>
      </c>
      <c r="AR312" s="4094" t="n">
        <v>-2.11418</v>
      </c>
      <c r="AS312" s="4094" t="n">
        <v>-1.94108</v>
      </c>
      <c r="AT312" s="4094" t="n">
        <v>-2.27638</v>
      </c>
      <c r="AU312" s="4096" t="n">
        <v>-3.17326</v>
      </c>
      <c r="AV312" s="4094">
        <f>SUM(F312:Q312)</f>
        <v/>
      </c>
      <c r="AW312" s="4094">
        <f>SUM(R312:AC312)</f>
        <v/>
      </c>
      <c r="AX312" s="4094">
        <f>SUM(AD312:AO312)</f>
        <v/>
      </c>
      <c r="AY312" s="4094">
        <f>SUM(AH312:AS312)</f>
        <v/>
      </c>
      <c r="AZ312" s="4094">
        <f>SUM(AJ312:AU312)</f>
        <v/>
      </c>
      <c r="BA312" s="3737" t="n"/>
      <c r="BB312" s="4097">
        <f>IFERROR(F312/F$117,0)</f>
        <v/>
      </c>
      <c r="BC312" s="4097">
        <f>IFERROR(G312/G$117,0)</f>
        <v/>
      </c>
      <c r="BD312" s="4097">
        <f>IFERROR(H312/H$117,0)</f>
        <v/>
      </c>
      <c r="BE312" s="4097">
        <f>IFERROR(I312/I$117,0)</f>
        <v/>
      </c>
      <c r="BF312" s="4097">
        <f>IFERROR(J312/J$117,0)</f>
        <v/>
      </c>
      <c r="BG312" s="4097">
        <f>IFERROR(K312/K$117,0)</f>
        <v/>
      </c>
      <c r="BH312" s="4097">
        <f>IFERROR(L312/L$117,0)</f>
        <v/>
      </c>
      <c r="BI312" s="4097">
        <f>IFERROR(M312/M$117,0)</f>
        <v/>
      </c>
      <c r="BJ312" s="4097">
        <f>IFERROR(N312/N$117,0)</f>
        <v/>
      </c>
      <c r="BK312" s="4097">
        <f>IFERROR(O312/O$117,0)</f>
        <v/>
      </c>
      <c r="BL312" s="4097">
        <f>IFERROR(P312/P$117,0)</f>
        <v/>
      </c>
      <c r="BM312" s="4098">
        <f>IFERROR(Q312/Q$117,0)</f>
        <v/>
      </c>
      <c r="BN312" s="4097">
        <f>IFERROR(R312/R$117,0)</f>
        <v/>
      </c>
      <c r="BO312" s="4097">
        <f>IFERROR(S312/S$117,0)</f>
        <v/>
      </c>
      <c r="BP312" s="4097">
        <f>IFERROR(T312/T$117,0)</f>
        <v/>
      </c>
      <c r="BQ312" s="4097">
        <f>IFERROR(U312/U$117,0)</f>
        <v/>
      </c>
      <c r="BR312" s="4097">
        <f>IFERROR(V312/V$117,0)</f>
        <v/>
      </c>
      <c r="BS312" s="4097">
        <f>IFERROR(W312/W$117,0)</f>
        <v/>
      </c>
      <c r="BT312" s="4097">
        <f>IFERROR(X312/X$117,0)</f>
        <v/>
      </c>
      <c r="BU312" s="4097">
        <f>IFERROR(Y312/Y$117,0)</f>
        <v/>
      </c>
      <c r="BV312" s="4097">
        <f>IFERROR(Z312/Z$117,0)</f>
        <v/>
      </c>
      <c r="BW312" s="4097">
        <f>IFERROR(AA312/AA$117,0)</f>
        <v/>
      </c>
      <c r="BX312" s="4097">
        <f>IFERROR(AB312/AB$117,0)</f>
        <v/>
      </c>
      <c r="BY312" s="4098">
        <f>IFERROR(AC312/AC$117,0)</f>
        <v/>
      </c>
      <c r="BZ312" s="4097">
        <f>IFERROR(AD312/AD$117,0)</f>
        <v/>
      </c>
      <c r="CA312" s="4097">
        <f>IFERROR(AE312/AE$117,0)</f>
        <v/>
      </c>
      <c r="CB312" s="4097">
        <f>IFERROR(AF312/AF$117,0)</f>
        <v/>
      </c>
      <c r="CC312" s="4097">
        <f>IFERROR(AG312/AG$117,0)</f>
        <v/>
      </c>
      <c r="CD312" s="4097">
        <f>IFERROR(AH312/AH$117,0)</f>
        <v/>
      </c>
      <c r="CE312" s="4097">
        <f>IFERROR(AI312/AI$117,0)</f>
        <v/>
      </c>
      <c r="CF312" s="4097">
        <f>IFERROR(AJ312/AJ$117,0)</f>
        <v/>
      </c>
      <c r="CG312" s="4097">
        <f>IFERROR(AK312/AK$117,0)</f>
        <v/>
      </c>
      <c r="CH312" s="4097">
        <f>IFERROR(AL312/AL$117,0)</f>
        <v/>
      </c>
      <c r="CI312" s="4097">
        <f>IFERROR(AM312/AM$117,0)</f>
        <v/>
      </c>
      <c r="CJ312" s="4097">
        <f>IFERROR(AN312/AN$117,0)</f>
        <v/>
      </c>
      <c r="CK312" s="4098">
        <f>IFERROR(AO312/AO$117,0)</f>
        <v/>
      </c>
      <c r="CL312" s="4097">
        <f>IFERROR(AP312/AP$117,0)</f>
        <v/>
      </c>
      <c r="CM312" s="4097">
        <f>IFERROR(AQ312/AQ$117,0)</f>
        <v/>
      </c>
      <c r="CN312" s="4097">
        <f>IFERROR(AR312/AR$117,0)</f>
        <v/>
      </c>
      <c r="CO312" s="4097">
        <f>IFERROR(AS312/AS$117,0)</f>
        <v/>
      </c>
      <c r="CP312" s="4097">
        <f>IFERROR(AT312/AT$117,0)</f>
        <v/>
      </c>
      <c r="CQ312" s="4099">
        <f>IFERROR(AU312/AU$117,0)</f>
        <v/>
      </c>
      <c r="CR312" s="4097">
        <f>IFERROR(AV312/AV$117,0)</f>
        <v/>
      </c>
      <c r="CS312" s="4097">
        <f>IFERROR(AW312/AW$117,0)</f>
        <v/>
      </c>
      <c r="CT312" s="4097">
        <f>IFERROR(AX312/AX$117,0)</f>
        <v/>
      </c>
      <c r="CU312" s="4097">
        <f>IFERROR(AY312/AY$117,0)</f>
        <v/>
      </c>
      <c r="CV312" s="4097">
        <f>IFERROR(AZ312/AZ$117,0)</f>
        <v/>
      </c>
      <c r="CW312" s="3737" t="n"/>
      <c r="CX312" s="4094" t="n">
        <v>-4.17797</v>
      </c>
    </row>
    <row r="313" hidden="1" outlineLevel="3" ht="12" customFormat="1" customHeight="1" s="3737">
      <c r="A313" s="4059" t="n"/>
      <c r="B313" s="4060" t="n"/>
      <c r="C313" s="4141" t="inlineStr">
        <is>
          <t>Miscellaneous expense</t>
        </is>
      </c>
      <c r="D313" s="4093" t="n">
        <v>651201</v>
      </c>
      <c r="E313" s="4093">
        <f>CONCATENATE(D313," - ",C313)</f>
        <v/>
      </c>
      <c r="F313" s="4094" t="n"/>
      <c r="G313" s="4094" t="n"/>
      <c r="H313" s="4094" t="n"/>
      <c r="I313" s="4094" t="n"/>
      <c r="J313" s="4094" t="n"/>
      <c r="K313" s="4094" t="n"/>
      <c r="L313" s="4094" t="n"/>
      <c r="M313" s="4094" t="n"/>
      <c r="N313" s="4094" t="n"/>
      <c r="O313" s="4094" t="n"/>
      <c r="P313" s="4094" t="n"/>
      <c r="Q313" s="4095" t="n"/>
      <c r="R313" s="4094" t="n"/>
      <c r="S313" s="4094" t="n"/>
      <c r="T313" s="4094" t="n"/>
      <c r="U313" s="4094" t="n"/>
      <c r="V313" s="4094" t="n"/>
      <c r="W313" s="4094" t="n"/>
      <c r="X313" s="4094" t="n"/>
      <c r="Y313" s="4094" t="n"/>
      <c r="Z313" s="4094" t="n"/>
      <c r="AA313" s="4094" t="n"/>
      <c r="AB313" s="4094" t="n"/>
      <c r="AC313" s="4095" t="n"/>
      <c r="AD313" s="4094" t="n"/>
      <c r="AE313" s="4094" t="n"/>
      <c r="AF313" s="4094" t="n"/>
      <c r="AG313" s="4094" t="n"/>
      <c r="AH313" s="4094" t="n"/>
      <c r="AI313" s="4094" t="n"/>
      <c r="AJ313" s="4094" t="n"/>
      <c r="AK313" s="4094" t="n"/>
      <c r="AL313" s="4094" t="n"/>
      <c r="AM313" s="4094" t="n"/>
      <c r="AN313" s="4094" t="n"/>
      <c r="AO313" s="4095" t="n"/>
      <c r="AP313" s="4094" t="n">
        <v>-1.86373</v>
      </c>
      <c r="AQ313" s="4094" t="n">
        <v>0.64623</v>
      </c>
      <c r="AR313" s="4094" t="n">
        <v>-0.25893</v>
      </c>
      <c r="AS313" s="4094" t="n">
        <v>-26.90087</v>
      </c>
      <c r="AT313" s="4094" t="n">
        <v>-3.01042</v>
      </c>
      <c r="AU313" s="4096" t="n">
        <v>-5.60501</v>
      </c>
      <c r="AV313" s="4094">
        <f>SUM(F313:Q313)</f>
        <v/>
      </c>
      <c r="AW313" s="4094">
        <f>SUM(R313:AC313)</f>
        <v/>
      </c>
      <c r="AX313" s="4094">
        <f>SUM(AD313:AO313)</f>
        <v/>
      </c>
      <c r="AY313" s="4094">
        <f>SUM(AH313:AS313)</f>
        <v/>
      </c>
      <c r="AZ313" s="4094">
        <f>SUM(AJ313:AU313)</f>
        <v/>
      </c>
      <c r="BA313" s="3737" t="n"/>
      <c r="BB313" s="4097">
        <f>IFERROR(F313/F$117,0)</f>
        <v/>
      </c>
      <c r="BC313" s="4097">
        <f>IFERROR(G313/G$117,0)</f>
        <v/>
      </c>
      <c r="BD313" s="4097">
        <f>IFERROR(H313/H$117,0)</f>
        <v/>
      </c>
      <c r="BE313" s="4097">
        <f>IFERROR(I313/I$117,0)</f>
        <v/>
      </c>
      <c r="BF313" s="4097">
        <f>IFERROR(J313/J$117,0)</f>
        <v/>
      </c>
      <c r="BG313" s="4097">
        <f>IFERROR(K313/K$117,0)</f>
        <v/>
      </c>
      <c r="BH313" s="4097">
        <f>IFERROR(L313/L$117,0)</f>
        <v/>
      </c>
      <c r="BI313" s="4097">
        <f>IFERROR(M313/M$117,0)</f>
        <v/>
      </c>
      <c r="BJ313" s="4097">
        <f>IFERROR(N313/N$117,0)</f>
        <v/>
      </c>
      <c r="BK313" s="4097">
        <f>IFERROR(O313/O$117,0)</f>
        <v/>
      </c>
      <c r="BL313" s="4097">
        <f>IFERROR(P313/P$117,0)</f>
        <v/>
      </c>
      <c r="BM313" s="4098">
        <f>IFERROR(Q313/Q$117,0)</f>
        <v/>
      </c>
      <c r="BN313" s="4097">
        <f>IFERROR(R313/R$117,0)</f>
        <v/>
      </c>
      <c r="BO313" s="4097">
        <f>IFERROR(S313/S$117,0)</f>
        <v/>
      </c>
      <c r="BP313" s="4097">
        <f>IFERROR(T313/T$117,0)</f>
        <v/>
      </c>
      <c r="BQ313" s="4097">
        <f>IFERROR(U313/U$117,0)</f>
        <v/>
      </c>
      <c r="BR313" s="4097">
        <f>IFERROR(V313/V$117,0)</f>
        <v/>
      </c>
      <c r="BS313" s="4097">
        <f>IFERROR(W313/W$117,0)</f>
        <v/>
      </c>
      <c r="BT313" s="4097">
        <f>IFERROR(X313/X$117,0)</f>
        <v/>
      </c>
      <c r="BU313" s="4097">
        <f>IFERROR(Y313/Y$117,0)</f>
        <v/>
      </c>
      <c r="BV313" s="4097">
        <f>IFERROR(Z313/Z$117,0)</f>
        <v/>
      </c>
      <c r="BW313" s="4097">
        <f>IFERROR(AA313/AA$117,0)</f>
        <v/>
      </c>
      <c r="BX313" s="4097">
        <f>IFERROR(AB313/AB$117,0)</f>
        <v/>
      </c>
      <c r="BY313" s="4098">
        <f>IFERROR(AC313/AC$117,0)</f>
        <v/>
      </c>
      <c r="BZ313" s="4097">
        <f>IFERROR(AD313/AD$117,0)</f>
        <v/>
      </c>
      <c r="CA313" s="4097">
        <f>IFERROR(AE313/AE$117,0)</f>
        <v/>
      </c>
      <c r="CB313" s="4097">
        <f>IFERROR(AF313/AF$117,0)</f>
        <v/>
      </c>
      <c r="CC313" s="4097">
        <f>IFERROR(AG313/AG$117,0)</f>
        <v/>
      </c>
      <c r="CD313" s="4097">
        <f>IFERROR(AH313/AH$117,0)</f>
        <v/>
      </c>
      <c r="CE313" s="4097">
        <f>IFERROR(AI313/AI$117,0)</f>
        <v/>
      </c>
      <c r="CF313" s="4097">
        <f>IFERROR(AJ313/AJ$117,0)</f>
        <v/>
      </c>
      <c r="CG313" s="4097">
        <f>IFERROR(AK313/AK$117,0)</f>
        <v/>
      </c>
      <c r="CH313" s="4097">
        <f>IFERROR(AL313/AL$117,0)</f>
        <v/>
      </c>
      <c r="CI313" s="4097">
        <f>IFERROR(AM313/AM$117,0)</f>
        <v/>
      </c>
      <c r="CJ313" s="4097">
        <f>IFERROR(AN313/AN$117,0)</f>
        <v/>
      </c>
      <c r="CK313" s="4098">
        <f>IFERROR(AO313/AO$117,0)</f>
        <v/>
      </c>
      <c r="CL313" s="4097">
        <f>IFERROR(AP313/AP$117,0)</f>
        <v/>
      </c>
      <c r="CM313" s="4097">
        <f>IFERROR(AQ313/AQ$117,0)</f>
        <v/>
      </c>
      <c r="CN313" s="4097">
        <f>IFERROR(AR313/AR$117,0)</f>
        <v/>
      </c>
      <c r="CO313" s="4097">
        <f>IFERROR(AS313/AS$117,0)</f>
        <v/>
      </c>
      <c r="CP313" s="4097">
        <f>IFERROR(AT313/AT$117,0)</f>
        <v/>
      </c>
      <c r="CQ313" s="4099">
        <f>IFERROR(AU313/AU$117,0)</f>
        <v/>
      </c>
      <c r="CR313" s="4097">
        <f>IFERROR(AV313/AV$117,0)</f>
        <v/>
      </c>
      <c r="CS313" s="4097">
        <f>IFERROR(AW313/AW$117,0)</f>
        <v/>
      </c>
      <c r="CT313" s="4097">
        <f>IFERROR(AX313/AX$117,0)</f>
        <v/>
      </c>
      <c r="CU313" s="4097">
        <f>IFERROR(AY313/AY$117,0)</f>
        <v/>
      </c>
      <c r="CV313" s="4097">
        <f>IFERROR(AZ313/AZ$117,0)</f>
        <v/>
      </c>
      <c r="CW313" s="3737" t="n"/>
      <c r="CX313" s="4094" t="n">
        <v>-13.7186</v>
      </c>
    </row>
    <row r="314" hidden="1" outlineLevel="3" ht="12" customFormat="1" customHeight="1" s="3737">
      <c r="A314" s="4059" t="n"/>
      <c r="B314" s="4060" t="n"/>
      <c r="C314" s="4141" t="inlineStr">
        <is>
          <t>Employee miscellaneous - meals</t>
        </is>
      </c>
      <c r="D314" s="4093" t="n">
        <v>651202</v>
      </c>
      <c r="E314" s="4093">
        <f>CONCATENATE(D314," - ",C314)</f>
        <v/>
      </c>
      <c r="F314" s="4094" t="n"/>
      <c r="G314" s="4094" t="n"/>
      <c r="H314" s="4094" t="n"/>
      <c r="I314" s="4094" t="n"/>
      <c r="J314" s="4094" t="n"/>
      <c r="K314" s="4094" t="n"/>
      <c r="L314" s="4094" t="n"/>
      <c r="M314" s="4094" t="n"/>
      <c r="N314" s="4094" t="n"/>
      <c r="O314" s="4094" t="n"/>
      <c r="P314" s="4094" t="n"/>
      <c r="Q314" s="4095" t="n"/>
      <c r="R314" s="4094" t="n"/>
      <c r="S314" s="4094" t="n"/>
      <c r="T314" s="4094" t="n"/>
      <c r="U314" s="4094" t="n"/>
      <c r="V314" s="4094" t="n"/>
      <c r="W314" s="4094" t="n"/>
      <c r="X314" s="4094" t="n"/>
      <c r="Y314" s="4094" t="n"/>
      <c r="Z314" s="4094" t="n"/>
      <c r="AA314" s="4094" t="n"/>
      <c r="AB314" s="4094" t="n"/>
      <c r="AC314" s="4095" t="n"/>
      <c r="AD314" s="4094" t="n"/>
      <c r="AE314" s="4094" t="n"/>
      <c r="AF314" s="4094" t="n"/>
      <c r="AG314" s="4094" t="n"/>
      <c r="AH314" s="4094" t="n"/>
      <c r="AI314" s="4094" t="n"/>
      <c r="AJ314" s="4094" t="n"/>
      <c r="AK314" s="4094" t="n"/>
      <c r="AL314" s="4094" t="n"/>
      <c r="AM314" s="4094" t="n"/>
      <c r="AN314" s="4094" t="n"/>
      <c r="AO314" s="4095" t="n"/>
      <c r="AP314" s="4094" t="n">
        <v>-0.32997</v>
      </c>
      <c r="AQ314" s="4094" t="n">
        <v>-2.17505</v>
      </c>
      <c r="AR314" s="4094" t="n">
        <v>-0.00569999999999999</v>
      </c>
      <c r="AS314" s="4094" t="n">
        <v>-1.10734</v>
      </c>
      <c r="AT314" s="4094" t="n">
        <v>-1e-05</v>
      </c>
      <c r="AU314" s="4096" t="n">
        <v>-0.123</v>
      </c>
      <c r="AV314" s="4094">
        <f>SUM(F314:Q314)</f>
        <v/>
      </c>
      <c r="AW314" s="4094">
        <f>SUM(R314:AC314)</f>
        <v/>
      </c>
      <c r="AX314" s="4094">
        <f>SUM(AD314:AO314)</f>
        <v/>
      </c>
      <c r="AY314" s="4094">
        <f>SUM(AH314:AS314)</f>
        <v/>
      </c>
      <c r="AZ314" s="4094">
        <f>SUM(AJ314:AU314)</f>
        <v/>
      </c>
      <c r="BA314" s="3737" t="n"/>
      <c r="BB314" s="4097">
        <f>IFERROR(F314/F$117,0)</f>
        <v/>
      </c>
      <c r="BC314" s="4097">
        <f>IFERROR(G314/G$117,0)</f>
        <v/>
      </c>
      <c r="BD314" s="4097">
        <f>IFERROR(H314/H$117,0)</f>
        <v/>
      </c>
      <c r="BE314" s="4097">
        <f>IFERROR(I314/I$117,0)</f>
        <v/>
      </c>
      <c r="BF314" s="4097">
        <f>IFERROR(J314/J$117,0)</f>
        <v/>
      </c>
      <c r="BG314" s="4097">
        <f>IFERROR(K314/K$117,0)</f>
        <v/>
      </c>
      <c r="BH314" s="4097">
        <f>IFERROR(L314/L$117,0)</f>
        <v/>
      </c>
      <c r="BI314" s="4097">
        <f>IFERROR(M314/M$117,0)</f>
        <v/>
      </c>
      <c r="BJ314" s="4097">
        <f>IFERROR(N314/N$117,0)</f>
        <v/>
      </c>
      <c r="BK314" s="4097">
        <f>IFERROR(O314/O$117,0)</f>
        <v/>
      </c>
      <c r="BL314" s="4097">
        <f>IFERROR(P314/P$117,0)</f>
        <v/>
      </c>
      <c r="BM314" s="4098">
        <f>IFERROR(Q314/Q$117,0)</f>
        <v/>
      </c>
      <c r="BN314" s="4097">
        <f>IFERROR(R314/R$117,0)</f>
        <v/>
      </c>
      <c r="BO314" s="4097">
        <f>IFERROR(S314/S$117,0)</f>
        <v/>
      </c>
      <c r="BP314" s="4097">
        <f>IFERROR(T314/T$117,0)</f>
        <v/>
      </c>
      <c r="BQ314" s="4097">
        <f>IFERROR(U314/U$117,0)</f>
        <v/>
      </c>
      <c r="BR314" s="4097">
        <f>IFERROR(V314/V$117,0)</f>
        <v/>
      </c>
      <c r="BS314" s="4097">
        <f>IFERROR(W314/W$117,0)</f>
        <v/>
      </c>
      <c r="BT314" s="4097">
        <f>IFERROR(X314/X$117,0)</f>
        <v/>
      </c>
      <c r="BU314" s="4097">
        <f>IFERROR(Y314/Y$117,0)</f>
        <v/>
      </c>
      <c r="BV314" s="4097">
        <f>IFERROR(Z314/Z$117,0)</f>
        <v/>
      </c>
      <c r="BW314" s="4097">
        <f>IFERROR(AA314/AA$117,0)</f>
        <v/>
      </c>
      <c r="BX314" s="4097">
        <f>IFERROR(AB314/AB$117,0)</f>
        <v/>
      </c>
      <c r="BY314" s="4098">
        <f>IFERROR(AC314/AC$117,0)</f>
        <v/>
      </c>
      <c r="BZ314" s="4097">
        <f>IFERROR(AD314/AD$117,0)</f>
        <v/>
      </c>
      <c r="CA314" s="4097">
        <f>IFERROR(AE314/AE$117,0)</f>
        <v/>
      </c>
      <c r="CB314" s="4097">
        <f>IFERROR(AF314/AF$117,0)</f>
        <v/>
      </c>
      <c r="CC314" s="4097">
        <f>IFERROR(AG314/AG$117,0)</f>
        <v/>
      </c>
      <c r="CD314" s="4097">
        <f>IFERROR(AH314/AH$117,0)</f>
        <v/>
      </c>
      <c r="CE314" s="4097">
        <f>IFERROR(AI314/AI$117,0)</f>
        <v/>
      </c>
      <c r="CF314" s="4097">
        <f>IFERROR(AJ314/AJ$117,0)</f>
        <v/>
      </c>
      <c r="CG314" s="4097">
        <f>IFERROR(AK314/AK$117,0)</f>
        <v/>
      </c>
      <c r="CH314" s="4097">
        <f>IFERROR(AL314/AL$117,0)</f>
        <v/>
      </c>
      <c r="CI314" s="4097">
        <f>IFERROR(AM314/AM$117,0)</f>
        <v/>
      </c>
      <c r="CJ314" s="4097">
        <f>IFERROR(AN314/AN$117,0)</f>
        <v/>
      </c>
      <c r="CK314" s="4098">
        <f>IFERROR(AO314/AO$117,0)</f>
        <v/>
      </c>
      <c r="CL314" s="4097">
        <f>IFERROR(AP314/AP$117,0)</f>
        <v/>
      </c>
      <c r="CM314" s="4097">
        <f>IFERROR(AQ314/AQ$117,0)</f>
        <v/>
      </c>
      <c r="CN314" s="4097">
        <f>IFERROR(AR314/AR$117,0)</f>
        <v/>
      </c>
      <c r="CO314" s="4097">
        <f>IFERROR(AS314/AS$117,0)</f>
        <v/>
      </c>
      <c r="CP314" s="4097">
        <f>IFERROR(AT314/AT$117,0)</f>
        <v/>
      </c>
      <c r="CQ314" s="4099">
        <f>IFERROR(AU314/AU$117,0)</f>
        <v/>
      </c>
      <c r="CR314" s="4097">
        <f>IFERROR(AV314/AV$117,0)</f>
        <v/>
      </c>
      <c r="CS314" s="4097">
        <f>IFERROR(AW314/AW$117,0)</f>
        <v/>
      </c>
      <c r="CT314" s="4097">
        <f>IFERROR(AX314/AX$117,0)</f>
        <v/>
      </c>
      <c r="CU314" s="4097">
        <f>IFERROR(AY314/AY$117,0)</f>
        <v/>
      </c>
      <c r="CV314" s="4097">
        <f>IFERROR(AZ314/AZ$117,0)</f>
        <v/>
      </c>
      <c r="CW314" s="3737" t="n"/>
      <c r="CX314" s="4094" t="n">
        <v>-4.84057</v>
      </c>
    </row>
    <row r="315" hidden="1" outlineLevel="3" ht="12" customFormat="1" customHeight="1" s="3737">
      <c r="A315" s="4059" t="n"/>
      <c r="B315" s="4060" t="n"/>
      <c r="C315" s="4141" t="inlineStr">
        <is>
          <t>All-staff meeting &amp; holiday party</t>
        </is>
      </c>
      <c r="D315" s="4093" t="n">
        <v>651203</v>
      </c>
      <c r="E315" s="4093">
        <f>CONCATENATE(D315," - ",C315)</f>
        <v/>
      </c>
      <c r="F315" s="4094" t="n"/>
      <c r="G315" s="4094" t="n"/>
      <c r="H315" s="4094" t="n"/>
      <c r="I315" s="4094" t="n"/>
      <c r="J315" s="4094" t="n"/>
      <c r="K315" s="4094" t="n"/>
      <c r="L315" s="4094" t="n"/>
      <c r="M315" s="4094" t="n"/>
      <c r="N315" s="4094" t="n"/>
      <c r="O315" s="4094" t="n"/>
      <c r="P315" s="4094" t="n"/>
      <c r="Q315" s="4095" t="n"/>
      <c r="R315" s="4094" t="n"/>
      <c r="S315" s="4094" t="n"/>
      <c r="T315" s="4094" t="n"/>
      <c r="U315" s="4094" t="n"/>
      <c r="V315" s="4094" t="n"/>
      <c r="W315" s="4094" t="n"/>
      <c r="X315" s="4094" t="n"/>
      <c r="Y315" s="4094" t="n"/>
      <c r="Z315" s="4094" t="n"/>
      <c r="AA315" s="4094" t="n"/>
      <c r="AB315" s="4094" t="n"/>
      <c r="AC315" s="4095" t="n"/>
      <c r="AD315" s="4094" t="n"/>
      <c r="AE315" s="4094" t="n"/>
      <c r="AF315" s="4094" t="n"/>
      <c r="AG315" s="4094" t="n"/>
      <c r="AH315" s="4094" t="n"/>
      <c r="AI315" s="4094" t="n"/>
      <c r="AJ315" s="4094" t="n"/>
      <c r="AK315" s="4094" t="n"/>
      <c r="AL315" s="4094" t="n"/>
      <c r="AM315" s="4094" t="n"/>
      <c r="AN315" s="4094" t="n"/>
      <c r="AO315" s="4095" t="n"/>
      <c r="AP315" s="4094" t="n">
        <v>0</v>
      </c>
      <c r="AQ315" s="4094" t="n">
        <v>0</v>
      </c>
      <c r="AR315" s="4094" t="n">
        <v>-5</v>
      </c>
      <c r="AS315" s="4094" t="n">
        <v>-2.5</v>
      </c>
      <c r="AT315" s="4094" t="n">
        <v>-0.38104</v>
      </c>
      <c r="AU315" s="4096" t="n">
        <v>0</v>
      </c>
      <c r="AV315" s="4094">
        <f>SUM(F315:Q315)</f>
        <v/>
      </c>
      <c r="AW315" s="4094">
        <f>SUM(R315:AC315)</f>
        <v/>
      </c>
      <c r="AX315" s="4094">
        <f>SUM(AD315:AO315)</f>
        <v/>
      </c>
      <c r="AY315" s="4094">
        <f>SUM(AH315:AS315)</f>
        <v/>
      </c>
      <c r="AZ315" s="4094">
        <f>SUM(AJ315:AU315)</f>
        <v/>
      </c>
      <c r="BA315" s="3737" t="n"/>
      <c r="BB315" s="4097">
        <f>IFERROR(F315/F$117,0)</f>
        <v/>
      </c>
      <c r="BC315" s="4097">
        <f>IFERROR(G315/G$117,0)</f>
        <v/>
      </c>
      <c r="BD315" s="4097">
        <f>IFERROR(H315/H$117,0)</f>
        <v/>
      </c>
      <c r="BE315" s="4097">
        <f>IFERROR(I315/I$117,0)</f>
        <v/>
      </c>
      <c r="BF315" s="4097">
        <f>IFERROR(J315/J$117,0)</f>
        <v/>
      </c>
      <c r="BG315" s="4097">
        <f>IFERROR(K315/K$117,0)</f>
        <v/>
      </c>
      <c r="BH315" s="4097">
        <f>IFERROR(L315/L$117,0)</f>
        <v/>
      </c>
      <c r="BI315" s="4097">
        <f>IFERROR(M315/M$117,0)</f>
        <v/>
      </c>
      <c r="BJ315" s="4097">
        <f>IFERROR(N315/N$117,0)</f>
        <v/>
      </c>
      <c r="BK315" s="4097">
        <f>IFERROR(O315/O$117,0)</f>
        <v/>
      </c>
      <c r="BL315" s="4097">
        <f>IFERROR(P315/P$117,0)</f>
        <v/>
      </c>
      <c r="BM315" s="4098">
        <f>IFERROR(Q315/Q$117,0)</f>
        <v/>
      </c>
      <c r="BN315" s="4097">
        <f>IFERROR(R315/R$117,0)</f>
        <v/>
      </c>
      <c r="BO315" s="4097">
        <f>IFERROR(S315/S$117,0)</f>
        <v/>
      </c>
      <c r="BP315" s="4097">
        <f>IFERROR(T315/T$117,0)</f>
        <v/>
      </c>
      <c r="BQ315" s="4097">
        <f>IFERROR(U315/U$117,0)</f>
        <v/>
      </c>
      <c r="BR315" s="4097">
        <f>IFERROR(V315/V$117,0)</f>
        <v/>
      </c>
      <c r="BS315" s="4097">
        <f>IFERROR(W315/W$117,0)</f>
        <v/>
      </c>
      <c r="BT315" s="4097">
        <f>IFERROR(X315/X$117,0)</f>
        <v/>
      </c>
      <c r="BU315" s="4097">
        <f>IFERROR(Y315/Y$117,0)</f>
        <v/>
      </c>
      <c r="BV315" s="4097">
        <f>IFERROR(Z315/Z$117,0)</f>
        <v/>
      </c>
      <c r="BW315" s="4097">
        <f>IFERROR(AA315/AA$117,0)</f>
        <v/>
      </c>
      <c r="BX315" s="4097">
        <f>IFERROR(AB315/AB$117,0)</f>
        <v/>
      </c>
      <c r="BY315" s="4098">
        <f>IFERROR(AC315/AC$117,0)</f>
        <v/>
      </c>
      <c r="BZ315" s="4097">
        <f>IFERROR(AD315/AD$117,0)</f>
        <v/>
      </c>
      <c r="CA315" s="4097">
        <f>IFERROR(AE315/AE$117,0)</f>
        <v/>
      </c>
      <c r="CB315" s="4097">
        <f>IFERROR(AF315/AF$117,0)</f>
        <v/>
      </c>
      <c r="CC315" s="4097">
        <f>IFERROR(AG315/AG$117,0)</f>
        <v/>
      </c>
      <c r="CD315" s="4097">
        <f>IFERROR(AH315/AH$117,0)</f>
        <v/>
      </c>
      <c r="CE315" s="4097">
        <f>IFERROR(AI315/AI$117,0)</f>
        <v/>
      </c>
      <c r="CF315" s="4097">
        <f>IFERROR(AJ315/AJ$117,0)</f>
        <v/>
      </c>
      <c r="CG315" s="4097">
        <f>IFERROR(AK315/AK$117,0)</f>
        <v/>
      </c>
      <c r="CH315" s="4097">
        <f>IFERROR(AL315/AL$117,0)</f>
        <v/>
      </c>
      <c r="CI315" s="4097">
        <f>IFERROR(AM315/AM$117,0)</f>
        <v/>
      </c>
      <c r="CJ315" s="4097">
        <f>IFERROR(AN315/AN$117,0)</f>
        <v/>
      </c>
      <c r="CK315" s="4098">
        <f>IFERROR(AO315/AO$117,0)</f>
        <v/>
      </c>
      <c r="CL315" s="4097">
        <f>IFERROR(AP315/AP$117,0)</f>
        <v/>
      </c>
      <c r="CM315" s="4097">
        <f>IFERROR(AQ315/AQ$117,0)</f>
        <v/>
      </c>
      <c r="CN315" s="4097">
        <f>IFERROR(AR315/AR$117,0)</f>
        <v/>
      </c>
      <c r="CO315" s="4097">
        <f>IFERROR(AS315/AS$117,0)</f>
        <v/>
      </c>
      <c r="CP315" s="4097">
        <f>IFERROR(AT315/AT$117,0)</f>
        <v/>
      </c>
      <c r="CQ315" s="4099">
        <f>IFERROR(AU315/AU$117,0)</f>
        <v/>
      </c>
      <c r="CR315" s="4097">
        <f>IFERROR(AV315/AV$117,0)</f>
        <v/>
      </c>
      <c r="CS315" s="4097">
        <f>IFERROR(AW315/AW$117,0)</f>
        <v/>
      </c>
      <c r="CT315" s="4097">
        <f>IFERROR(AX315/AX$117,0)</f>
        <v/>
      </c>
      <c r="CU315" s="4097">
        <f>IFERROR(AY315/AY$117,0)</f>
        <v/>
      </c>
      <c r="CV315" s="4097">
        <f>IFERROR(AZ315/AZ$117,0)</f>
        <v/>
      </c>
      <c r="CW315" s="3737" t="n"/>
      <c r="CX315" s="4094" t="n">
        <v>-16.9012</v>
      </c>
    </row>
    <row r="316" hidden="1" outlineLevel="3" ht="12" customFormat="1" customHeight="1" s="3737">
      <c r="A316" s="4059" t="n"/>
      <c r="B316" s="4060" t="n"/>
      <c r="C316" s="4141" t="inlineStr">
        <is>
          <t>Membership dues - industry associations</t>
        </is>
      </c>
      <c r="D316" s="4093" t="n">
        <v>651204</v>
      </c>
      <c r="E316" s="4093">
        <f>CONCATENATE(D316," - ",C316)</f>
        <v/>
      </c>
      <c r="F316" s="4094" t="n"/>
      <c r="G316" s="4094" t="n"/>
      <c r="H316" s="4094" t="n"/>
      <c r="I316" s="4094" t="n"/>
      <c r="J316" s="4094" t="n"/>
      <c r="K316" s="4094" t="n"/>
      <c r="L316" s="4094" t="n"/>
      <c r="M316" s="4094" t="n"/>
      <c r="N316" s="4094" t="n"/>
      <c r="O316" s="4094" t="n"/>
      <c r="P316" s="4094" t="n"/>
      <c r="Q316" s="4095" t="n"/>
      <c r="R316" s="4094" t="n"/>
      <c r="S316" s="4094" t="n"/>
      <c r="T316" s="4094" t="n"/>
      <c r="U316" s="4094" t="n"/>
      <c r="V316" s="4094" t="n"/>
      <c r="W316" s="4094" t="n"/>
      <c r="X316" s="4094" t="n"/>
      <c r="Y316" s="4094" t="n"/>
      <c r="Z316" s="4094" t="n"/>
      <c r="AA316" s="4094" t="n"/>
      <c r="AB316" s="4094" t="n"/>
      <c r="AC316" s="4095" t="n"/>
      <c r="AD316" s="4094" t="n"/>
      <c r="AE316" s="4094" t="n"/>
      <c r="AF316" s="4094" t="n"/>
      <c r="AG316" s="4094" t="n"/>
      <c r="AH316" s="4094" t="n"/>
      <c r="AI316" s="4094" t="n"/>
      <c r="AJ316" s="4094" t="n"/>
      <c r="AK316" s="4094" t="n"/>
      <c r="AL316" s="4094" t="n"/>
      <c r="AM316" s="4094" t="n"/>
      <c r="AN316" s="4094" t="n"/>
      <c r="AO316" s="4095" t="n"/>
      <c r="AP316" s="4094" t="n">
        <v>-2.6898</v>
      </c>
      <c r="AQ316" s="4094" t="n">
        <v>-20</v>
      </c>
      <c r="AR316" s="4094" t="n">
        <v>0</v>
      </c>
      <c r="AS316" s="4094" t="n">
        <v>-0.6850000000000001</v>
      </c>
      <c r="AT316" s="4094" t="n">
        <v>0</v>
      </c>
      <c r="AU316" s="4096" t="n">
        <v>0</v>
      </c>
      <c r="AV316" s="4094">
        <f>SUM(F316:Q316)</f>
        <v/>
      </c>
      <c r="AW316" s="4094">
        <f>SUM(R316:AC316)</f>
        <v/>
      </c>
      <c r="AX316" s="4094">
        <f>SUM(AD316:AO316)</f>
        <v/>
      </c>
      <c r="AY316" s="4094">
        <f>SUM(AH316:AS316)</f>
        <v/>
      </c>
      <c r="AZ316" s="4094">
        <f>SUM(AJ316:AU316)</f>
        <v/>
      </c>
      <c r="BA316" s="3737" t="n"/>
      <c r="BB316" s="4097">
        <f>IFERROR(F316/F$117,0)</f>
        <v/>
      </c>
      <c r="BC316" s="4097">
        <f>IFERROR(G316/G$117,0)</f>
        <v/>
      </c>
      <c r="BD316" s="4097">
        <f>IFERROR(H316/H$117,0)</f>
        <v/>
      </c>
      <c r="BE316" s="4097">
        <f>IFERROR(I316/I$117,0)</f>
        <v/>
      </c>
      <c r="BF316" s="4097">
        <f>IFERROR(J316/J$117,0)</f>
        <v/>
      </c>
      <c r="BG316" s="4097">
        <f>IFERROR(K316/K$117,0)</f>
        <v/>
      </c>
      <c r="BH316" s="4097">
        <f>IFERROR(L316/L$117,0)</f>
        <v/>
      </c>
      <c r="BI316" s="4097">
        <f>IFERROR(M316/M$117,0)</f>
        <v/>
      </c>
      <c r="BJ316" s="4097">
        <f>IFERROR(N316/N$117,0)</f>
        <v/>
      </c>
      <c r="BK316" s="4097">
        <f>IFERROR(O316/O$117,0)</f>
        <v/>
      </c>
      <c r="BL316" s="4097">
        <f>IFERROR(P316/P$117,0)</f>
        <v/>
      </c>
      <c r="BM316" s="4098">
        <f>IFERROR(Q316/Q$117,0)</f>
        <v/>
      </c>
      <c r="BN316" s="4097">
        <f>IFERROR(R316/R$117,0)</f>
        <v/>
      </c>
      <c r="BO316" s="4097">
        <f>IFERROR(S316/S$117,0)</f>
        <v/>
      </c>
      <c r="BP316" s="4097">
        <f>IFERROR(T316/T$117,0)</f>
        <v/>
      </c>
      <c r="BQ316" s="4097">
        <f>IFERROR(U316/U$117,0)</f>
        <v/>
      </c>
      <c r="BR316" s="4097">
        <f>IFERROR(V316/V$117,0)</f>
        <v/>
      </c>
      <c r="BS316" s="4097">
        <f>IFERROR(W316/W$117,0)</f>
        <v/>
      </c>
      <c r="BT316" s="4097">
        <f>IFERROR(X316/X$117,0)</f>
        <v/>
      </c>
      <c r="BU316" s="4097">
        <f>IFERROR(Y316/Y$117,0)</f>
        <v/>
      </c>
      <c r="BV316" s="4097">
        <f>IFERROR(Z316/Z$117,0)</f>
        <v/>
      </c>
      <c r="BW316" s="4097">
        <f>IFERROR(AA316/AA$117,0)</f>
        <v/>
      </c>
      <c r="BX316" s="4097">
        <f>IFERROR(AB316/AB$117,0)</f>
        <v/>
      </c>
      <c r="BY316" s="4098">
        <f>IFERROR(AC316/AC$117,0)</f>
        <v/>
      </c>
      <c r="BZ316" s="4097">
        <f>IFERROR(AD316/AD$117,0)</f>
        <v/>
      </c>
      <c r="CA316" s="4097">
        <f>IFERROR(AE316/AE$117,0)</f>
        <v/>
      </c>
      <c r="CB316" s="4097">
        <f>IFERROR(AF316/AF$117,0)</f>
        <v/>
      </c>
      <c r="CC316" s="4097">
        <f>IFERROR(AG316/AG$117,0)</f>
        <v/>
      </c>
      <c r="CD316" s="4097">
        <f>IFERROR(AH316/AH$117,0)</f>
        <v/>
      </c>
      <c r="CE316" s="4097">
        <f>IFERROR(AI316/AI$117,0)</f>
        <v/>
      </c>
      <c r="CF316" s="4097">
        <f>IFERROR(AJ316/AJ$117,0)</f>
        <v/>
      </c>
      <c r="CG316" s="4097">
        <f>IFERROR(AK316/AK$117,0)</f>
        <v/>
      </c>
      <c r="CH316" s="4097">
        <f>IFERROR(AL316/AL$117,0)</f>
        <v/>
      </c>
      <c r="CI316" s="4097">
        <f>IFERROR(AM316/AM$117,0)</f>
        <v/>
      </c>
      <c r="CJ316" s="4097">
        <f>IFERROR(AN316/AN$117,0)</f>
        <v/>
      </c>
      <c r="CK316" s="4098">
        <f>IFERROR(AO316/AO$117,0)</f>
        <v/>
      </c>
      <c r="CL316" s="4097">
        <f>IFERROR(AP316/AP$117,0)</f>
        <v/>
      </c>
      <c r="CM316" s="4097">
        <f>IFERROR(AQ316/AQ$117,0)</f>
        <v/>
      </c>
      <c r="CN316" s="4097">
        <f>IFERROR(AR316/AR$117,0)</f>
        <v/>
      </c>
      <c r="CO316" s="4097">
        <f>IFERROR(AS316/AS$117,0)</f>
        <v/>
      </c>
      <c r="CP316" s="4097">
        <f>IFERROR(AT316/AT$117,0)</f>
        <v/>
      </c>
      <c r="CQ316" s="4099">
        <f>IFERROR(AU316/AU$117,0)</f>
        <v/>
      </c>
      <c r="CR316" s="4097">
        <f>IFERROR(AV316/AV$117,0)</f>
        <v/>
      </c>
      <c r="CS316" s="4097">
        <f>IFERROR(AW316/AW$117,0)</f>
        <v/>
      </c>
      <c r="CT316" s="4097">
        <f>IFERROR(AX316/AX$117,0)</f>
        <v/>
      </c>
      <c r="CU316" s="4097">
        <f>IFERROR(AY316/AY$117,0)</f>
        <v/>
      </c>
      <c r="CV316" s="4097">
        <f>IFERROR(AZ316/AZ$117,0)</f>
        <v/>
      </c>
      <c r="CW316" s="3737" t="n"/>
      <c r="CX316" s="4094" t="n">
        <v>-21.95536</v>
      </c>
    </row>
    <row r="317" hidden="1" outlineLevel="3" ht="12" customFormat="1" customHeight="1" s="3737">
      <c r="A317" s="4059" t="n"/>
      <c r="B317" s="4060" t="n"/>
      <c r="C317" s="4142" t="inlineStr">
        <is>
          <t>Vendor late payment penalties</t>
        </is>
      </c>
      <c r="D317" s="4101" t="n">
        <v>651206</v>
      </c>
      <c r="E317" s="4101">
        <f>CONCATENATE(D317," - ",C317)</f>
        <v/>
      </c>
      <c r="F317" s="4102" t="n"/>
      <c r="G317" s="4102" t="n"/>
      <c r="H317" s="4102" t="n"/>
      <c r="I317" s="4102" t="n"/>
      <c r="J317" s="4102" t="n"/>
      <c r="K317" s="4102" t="n"/>
      <c r="L317" s="4102" t="n"/>
      <c r="M317" s="4102" t="n"/>
      <c r="N317" s="4102" t="n"/>
      <c r="O317" s="4102" t="n"/>
      <c r="P317" s="4102" t="n"/>
      <c r="Q317" s="4103" t="n"/>
      <c r="R317" s="4102" t="n"/>
      <c r="S317" s="4102" t="n"/>
      <c r="T317" s="4102" t="n"/>
      <c r="U317" s="4102" t="n"/>
      <c r="V317" s="4102" t="n"/>
      <c r="W317" s="4102" t="n"/>
      <c r="X317" s="4102" t="n"/>
      <c r="Y317" s="4102" t="n"/>
      <c r="Z317" s="4102" t="n"/>
      <c r="AA317" s="4102" t="n"/>
      <c r="AB317" s="4102" t="n"/>
      <c r="AC317" s="4103" t="n"/>
      <c r="AD317" s="4102" t="n"/>
      <c r="AE317" s="4102" t="n"/>
      <c r="AF317" s="4102" t="n"/>
      <c r="AG317" s="4102" t="n"/>
      <c r="AH317" s="4102" t="n"/>
      <c r="AI317" s="4102" t="n"/>
      <c r="AJ317" s="4102" t="n"/>
      <c r="AK317" s="4102" t="n"/>
      <c r="AL317" s="4102" t="n"/>
      <c r="AM317" s="4102" t="n"/>
      <c r="AN317" s="4102" t="n"/>
      <c r="AO317" s="4103" t="n"/>
      <c r="AP317" s="4102" t="n">
        <v>0</v>
      </c>
      <c r="AQ317" s="4102" t="n">
        <v>0</v>
      </c>
      <c r="AR317" s="4102" t="n">
        <v>0</v>
      </c>
      <c r="AS317" s="4102" t="n">
        <v>0</v>
      </c>
      <c r="AT317" s="4102" t="n">
        <v>-0.00495</v>
      </c>
      <c r="AU317" s="4104" t="n">
        <v>-0.0122</v>
      </c>
      <c r="AV317" s="4102">
        <f>SUM(F317:Q317)</f>
        <v/>
      </c>
      <c r="AW317" s="4102">
        <f>SUM(R317:AC317)</f>
        <v/>
      </c>
      <c r="AX317" s="4102">
        <f>SUM(AD317:AO317)</f>
        <v/>
      </c>
      <c r="AY317" s="4102">
        <f>SUM(AH317:AS317)</f>
        <v/>
      </c>
      <c r="AZ317" s="4102">
        <f>SUM(AJ317:AU317)</f>
        <v/>
      </c>
      <c r="BA317" s="3737" t="n"/>
      <c r="BB317" s="4105">
        <f>IFERROR(F317/F$117,0)</f>
        <v/>
      </c>
      <c r="BC317" s="4105">
        <f>IFERROR(G317/G$117,0)</f>
        <v/>
      </c>
      <c r="BD317" s="4105">
        <f>IFERROR(H317/H$117,0)</f>
        <v/>
      </c>
      <c r="BE317" s="4105">
        <f>IFERROR(I317/I$117,0)</f>
        <v/>
      </c>
      <c r="BF317" s="4105">
        <f>IFERROR(J317/J$117,0)</f>
        <v/>
      </c>
      <c r="BG317" s="4105">
        <f>IFERROR(K317/K$117,0)</f>
        <v/>
      </c>
      <c r="BH317" s="4105">
        <f>IFERROR(L317/L$117,0)</f>
        <v/>
      </c>
      <c r="BI317" s="4105">
        <f>IFERROR(M317/M$117,0)</f>
        <v/>
      </c>
      <c r="BJ317" s="4105">
        <f>IFERROR(N317/N$117,0)</f>
        <v/>
      </c>
      <c r="BK317" s="4105">
        <f>IFERROR(O317/O$117,0)</f>
        <v/>
      </c>
      <c r="BL317" s="4105">
        <f>IFERROR(P317/P$117,0)</f>
        <v/>
      </c>
      <c r="BM317" s="4106">
        <f>IFERROR(Q317/Q$117,0)</f>
        <v/>
      </c>
      <c r="BN317" s="4105">
        <f>IFERROR(R317/R$117,0)</f>
        <v/>
      </c>
      <c r="BO317" s="4105">
        <f>IFERROR(S317/S$117,0)</f>
        <v/>
      </c>
      <c r="BP317" s="4105">
        <f>IFERROR(T317/T$117,0)</f>
        <v/>
      </c>
      <c r="BQ317" s="4105">
        <f>IFERROR(U317/U$117,0)</f>
        <v/>
      </c>
      <c r="BR317" s="4105">
        <f>IFERROR(V317/V$117,0)</f>
        <v/>
      </c>
      <c r="BS317" s="4105">
        <f>IFERROR(W317/W$117,0)</f>
        <v/>
      </c>
      <c r="BT317" s="4105">
        <f>IFERROR(X317/X$117,0)</f>
        <v/>
      </c>
      <c r="BU317" s="4105">
        <f>IFERROR(Y317/Y$117,0)</f>
        <v/>
      </c>
      <c r="BV317" s="4105">
        <f>IFERROR(Z317/Z$117,0)</f>
        <v/>
      </c>
      <c r="BW317" s="4105">
        <f>IFERROR(AA317/AA$117,0)</f>
        <v/>
      </c>
      <c r="BX317" s="4105">
        <f>IFERROR(AB317/AB$117,0)</f>
        <v/>
      </c>
      <c r="BY317" s="4106">
        <f>IFERROR(AC317/AC$117,0)</f>
        <v/>
      </c>
      <c r="BZ317" s="4105">
        <f>IFERROR(AD317/AD$117,0)</f>
        <v/>
      </c>
      <c r="CA317" s="4105">
        <f>IFERROR(AE317/AE$117,0)</f>
        <v/>
      </c>
      <c r="CB317" s="4105">
        <f>IFERROR(AF317/AF$117,0)</f>
        <v/>
      </c>
      <c r="CC317" s="4105">
        <f>IFERROR(AG317/AG$117,0)</f>
        <v/>
      </c>
      <c r="CD317" s="4105">
        <f>IFERROR(AH317/AH$117,0)</f>
        <v/>
      </c>
      <c r="CE317" s="4105">
        <f>IFERROR(AI317/AI$117,0)</f>
        <v/>
      </c>
      <c r="CF317" s="4105">
        <f>IFERROR(AJ317/AJ$117,0)</f>
        <v/>
      </c>
      <c r="CG317" s="4105">
        <f>IFERROR(AK317/AK$117,0)</f>
        <v/>
      </c>
      <c r="CH317" s="4105">
        <f>IFERROR(AL317/AL$117,0)</f>
        <v/>
      </c>
      <c r="CI317" s="4105">
        <f>IFERROR(AM317/AM$117,0)</f>
        <v/>
      </c>
      <c r="CJ317" s="4105">
        <f>IFERROR(AN317/AN$117,0)</f>
        <v/>
      </c>
      <c r="CK317" s="4106">
        <f>IFERROR(AO317/AO$117,0)</f>
        <v/>
      </c>
      <c r="CL317" s="4105">
        <f>IFERROR(AP317/AP$117,0)</f>
        <v/>
      </c>
      <c r="CM317" s="4105">
        <f>IFERROR(AQ317/AQ$117,0)</f>
        <v/>
      </c>
      <c r="CN317" s="4105">
        <f>IFERROR(AR317/AR$117,0)</f>
        <v/>
      </c>
      <c r="CO317" s="4105">
        <f>IFERROR(AS317/AS$117,0)</f>
        <v/>
      </c>
      <c r="CP317" s="4105">
        <f>IFERROR(AT317/AT$117,0)</f>
        <v/>
      </c>
      <c r="CQ317" s="4107">
        <f>IFERROR(AU317/AU$117,0)</f>
        <v/>
      </c>
      <c r="CR317" s="4105">
        <f>IFERROR(AV317/AV$117,0)</f>
        <v/>
      </c>
      <c r="CS317" s="4105">
        <f>IFERROR(AW317/AW$117,0)</f>
        <v/>
      </c>
      <c r="CT317" s="4105">
        <f>IFERROR(AX317/AX$117,0)</f>
        <v/>
      </c>
      <c r="CU317" s="4105">
        <f>IFERROR(AY317/AY$117,0)</f>
        <v/>
      </c>
      <c r="CV317" s="4105">
        <f>IFERROR(AZ317/AZ$117,0)</f>
        <v/>
      </c>
      <c r="CW317" s="3737" t="n"/>
      <c r="CX317" s="4102" t="n">
        <v>-0.42384</v>
      </c>
    </row>
    <row r="318" hidden="1" outlineLevel="2" collapsed="1" ht="12" customFormat="1" customHeight="1" s="3737">
      <c r="A318" s="4059" t="n"/>
      <c r="B318" s="4060" t="n"/>
      <c r="C318" s="4129" t="inlineStr">
        <is>
          <t>Misc expenses</t>
        </is>
      </c>
      <c r="D318" s="4093" t="n"/>
      <c r="E318" s="4093" t="n"/>
      <c r="F318" s="4094" t="n"/>
      <c r="G318" s="4094" t="n"/>
      <c r="H318" s="4094" t="n"/>
      <c r="I318" s="4094" t="n"/>
      <c r="J318" s="4094" t="n"/>
      <c r="K318" s="4094" t="n"/>
      <c r="L318" s="4094" t="n"/>
      <c r="M318" s="4094" t="n"/>
      <c r="N318" s="4094" t="n"/>
      <c r="O318" s="4094" t="n"/>
      <c r="P318" s="4094" t="n"/>
      <c r="Q318" s="4095" t="n"/>
      <c r="R318" s="4094" t="n"/>
      <c r="S318" s="4094" t="n"/>
      <c r="T318" s="4094" t="n"/>
      <c r="U318" s="4094" t="n"/>
      <c r="V318" s="4094" t="n"/>
      <c r="W318" s="4094" t="n"/>
      <c r="X318" s="4094" t="n"/>
      <c r="Y318" s="4094" t="n"/>
      <c r="Z318" s="4094" t="n"/>
      <c r="AA318" s="4094" t="n"/>
      <c r="AB318" s="4094" t="n"/>
      <c r="AC318" s="4095" t="n"/>
      <c r="AD318" s="4094" t="n"/>
      <c r="AE318" s="4094" t="n"/>
      <c r="AF318" s="4094" t="n"/>
      <c r="AG318" s="4094" t="n"/>
      <c r="AH318" s="4094" t="n"/>
      <c r="AI318" s="4094" t="n"/>
      <c r="AJ318" s="4094" t="n"/>
      <c r="AK318" s="4094" t="n"/>
      <c r="AL318" s="4094" t="n"/>
      <c r="AM318" s="4094" t="n"/>
      <c r="AN318" s="4094" t="n"/>
      <c r="AO318" s="4095" t="n"/>
      <c r="AP318" s="4094">
        <f>SUM(AP312:AP317)</f>
        <v/>
      </c>
      <c r="AQ318" s="4094">
        <f>SUM(AQ312:AQ317)</f>
        <v/>
      </c>
      <c r="AR318" s="4094">
        <f>SUM(AR312:AR317)</f>
        <v/>
      </c>
      <c r="AS318" s="4094">
        <f>SUM(AS312:AS317)</f>
        <v/>
      </c>
      <c r="AT318" s="4094">
        <f>SUM(AT312:AT317)</f>
        <v/>
      </c>
      <c r="AU318" s="4096">
        <f>SUM(AU312:AU317)</f>
        <v/>
      </c>
      <c r="AV318" s="4094">
        <f>SUM(AV312:AV317)</f>
        <v/>
      </c>
      <c r="AW318" s="4094">
        <f>SUM(AW312:AW317)</f>
        <v/>
      </c>
      <c r="AX318" s="4094">
        <f>SUM(AX312:AX317)</f>
        <v/>
      </c>
      <c r="AY318" s="4094">
        <f>SUM(AY312:AY317)</f>
        <v/>
      </c>
      <c r="AZ318" s="4094">
        <f>SUM(AZ312:AZ317)</f>
        <v/>
      </c>
      <c r="BA318" s="3737" t="n"/>
      <c r="BB318" s="4097">
        <f>IFERROR(F318/F$117,0)</f>
        <v/>
      </c>
      <c r="BC318" s="4097">
        <f>IFERROR(G318/G$117,0)</f>
        <v/>
      </c>
      <c r="BD318" s="4097">
        <f>IFERROR(H318/H$117,0)</f>
        <v/>
      </c>
      <c r="BE318" s="4097">
        <f>IFERROR(I318/I$117,0)</f>
        <v/>
      </c>
      <c r="BF318" s="4097">
        <f>IFERROR(J318/J$117,0)</f>
        <v/>
      </c>
      <c r="BG318" s="4097">
        <f>IFERROR(K318/K$117,0)</f>
        <v/>
      </c>
      <c r="BH318" s="4097">
        <f>IFERROR(L318/L$117,0)</f>
        <v/>
      </c>
      <c r="BI318" s="4097">
        <f>IFERROR(M318/M$117,0)</f>
        <v/>
      </c>
      <c r="BJ318" s="4097">
        <f>IFERROR(N318/N$117,0)</f>
        <v/>
      </c>
      <c r="BK318" s="4097">
        <f>IFERROR(O318/O$117,0)</f>
        <v/>
      </c>
      <c r="BL318" s="4097">
        <f>IFERROR(P318/P$117,0)</f>
        <v/>
      </c>
      <c r="BM318" s="4098">
        <f>IFERROR(Q318/Q$117,0)</f>
        <v/>
      </c>
      <c r="BN318" s="4097">
        <f>IFERROR(R318/R$117,0)</f>
        <v/>
      </c>
      <c r="BO318" s="4097">
        <f>IFERROR(S318/S$117,0)</f>
        <v/>
      </c>
      <c r="BP318" s="4097">
        <f>IFERROR(T318/T$117,0)</f>
        <v/>
      </c>
      <c r="BQ318" s="4097">
        <f>IFERROR(U318/U$117,0)</f>
        <v/>
      </c>
      <c r="BR318" s="4097">
        <f>IFERROR(V318/V$117,0)</f>
        <v/>
      </c>
      <c r="BS318" s="4097">
        <f>IFERROR(W318/W$117,0)</f>
        <v/>
      </c>
      <c r="BT318" s="4097">
        <f>IFERROR(X318/X$117,0)</f>
        <v/>
      </c>
      <c r="BU318" s="4097">
        <f>IFERROR(Y318/Y$117,0)</f>
        <v/>
      </c>
      <c r="BV318" s="4097">
        <f>IFERROR(Z318/Z$117,0)</f>
        <v/>
      </c>
      <c r="BW318" s="4097">
        <f>IFERROR(AA318/AA$117,0)</f>
        <v/>
      </c>
      <c r="BX318" s="4097">
        <f>IFERROR(AB318/AB$117,0)</f>
        <v/>
      </c>
      <c r="BY318" s="4098">
        <f>IFERROR(AC318/AC$117,0)</f>
        <v/>
      </c>
      <c r="BZ318" s="4097">
        <f>IFERROR(AD318/AD$117,0)</f>
        <v/>
      </c>
      <c r="CA318" s="4097">
        <f>IFERROR(AE318/AE$117,0)</f>
        <v/>
      </c>
      <c r="CB318" s="4097">
        <f>IFERROR(AF318/AF$117,0)</f>
        <v/>
      </c>
      <c r="CC318" s="4097">
        <f>IFERROR(AG318/AG$117,0)</f>
        <v/>
      </c>
      <c r="CD318" s="4097">
        <f>IFERROR(AH318/AH$117,0)</f>
        <v/>
      </c>
      <c r="CE318" s="4097">
        <f>IFERROR(AI318/AI$117,0)</f>
        <v/>
      </c>
      <c r="CF318" s="4097">
        <f>IFERROR(AJ318/AJ$117,0)</f>
        <v/>
      </c>
      <c r="CG318" s="4097">
        <f>IFERROR(AK318/AK$117,0)</f>
        <v/>
      </c>
      <c r="CH318" s="4097">
        <f>IFERROR(AL318/AL$117,0)</f>
        <v/>
      </c>
      <c r="CI318" s="4097">
        <f>IFERROR(AM318/AM$117,0)</f>
        <v/>
      </c>
      <c r="CJ318" s="4097">
        <f>IFERROR(AN318/AN$117,0)</f>
        <v/>
      </c>
      <c r="CK318" s="4098">
        <f>IFERROR(AO318/AO$117,0)</f>
        <v/>
      </c>
      <c r="CL318" s="4097">
        <f>IFERROR(AP318/AP$117,0)</f>
        <v/>
      </c>
      <c r="CM318" s="4097">
        <f>IFERROR(AQ318/AQ$117,0)</f>
        <v/>
      </c>
      <c r="CN318" s="4097">
        <f>IFERROR(AR318/AR$117,0)</f>
        <v/>
      </c>
      <c r="CO318" s="4097">
        <f>IFERROR(AS318/AS$117,0)</f>
        <v/>
      </c>
      <c r="CP318" s="4097">
        <f>IFERROR(AT318/AT$117,0)</f>
        <v/>
      </c>
      <c r="CQ318" s="4099">
        <f>IFERROR(AU318/AU$117,0)</f>
        <v/>
      </c>
      <c r="CR318" s="4097">
        <f>IFERROR(AV318/AV$117,0)</f>
        <v/>
      </c>
      <c r="CS318" s="4097">
        <f>IFERROR(AW318/AW$117,0)</f>
        <v/>
      </c>
      <c r="CT318" s="4097">
        <f>IFERROR(AX318/AX$117,0)</f>
        <v/>
      </c>
      <c r="CU318" s="4097">
        <f>IFERROR(AY318/AY$117,0)</f>
        <v/>
      </c>
      <c r="CV318" s="4097">
        <f>IFERROR(AZ318/AZ$117,0)</f>
        <v/>
      </c>
      <c r="CW318" s="3737" t="n"/>
      <c r="CX318" s="4094">
        <f>SUM(CX312:CX317)</f>
        <v/>
      </c>
    </row>
    <row r="319" hidden="1" outlineLevel="3" ht="12" customFormat="1" customHeight="1" s="3737">
      <c r="A319" s="4059" t="n"/>
      <c r="B319" s="4060" t="n"/>
      <c r="C319" s="4141" t="inlineStr">
        <is>
          <t>Travel - airfare</t>
        </is>
      </c>
      <c r="D319" s="4093" t="n">
        <v>591102</v>
      </c>
      <c r="E319" s="4093">
        <f>CONCATENATE(D319," - ",C319)</f>
        <v/>
      </c>
      <c r="F319" s="4094" t="n"/>
      <c r="G319" s="4094" t="n"/>
      <c r="H319" s="4094" t="n"/>
      <c r="I319" s="4094" t="n"/>
      <c r="J319" s="4094" t="n"/>
      <c r="K319" s="4094" t="n"/>
      <c r="L319" s="4094" t="n"/>
      <c r="M319" s="4094" t="n"/>
      <c r="N319" s="4094" t="n"/>
      <c r="O319" s="4094" t="n"/>
      <c r="P319" s="4094" t="n"/>
      <c r="Q319" s="4095" t="n"/>
      <c r="R319" s="4094" t="n"/>
      <c r="S319" s="4094" t="n"/>
      <c r="T319" s="4094" t="n"/>
      <c r="U319" s="4094" t="n"/>
      <c r="V319" s="4094" t="n"/>
      <c r="W319" s="4094" t="n"/>
      <c r="X319" s="4094" t="n"/>
      <c r="Y319" s="4094" t="n"/>
      <c r="Z319" s="4094" t="n"/>
      <c r="AA319" s="4094" t="n"/>
      <c r="AB319" s="4094" t="n"/>
      <c r="AC319" s="4095" t="n"/>
      <c r="AD319" s="4094" t="n"/>
      <c r="AE319" s="4094" t="n"/>
      <c r="AF319" s="4094" t="n"/>
      <c r="AG319" s="4094" t="n"/>
      <c r="AH319" s="4094" t="n"/>
      <c r="AI319" s="4094" t="n"/>
      <c r="AJ319" s="4094" t="n"/>
      <c r="AK319" s="4094" t="n"/>
      <c r="AL319" s="4094" t="n"/>
      <c r="AM319" s="4094" t="n"/>
      <c r="AN319" s="4094" t="n"/>
      <c r="AO319" s="4095" t="n"/>
      <c r="AP319" s="4094" t="n">
        <v>-1</v>
      </c>
      <c r="AQ319" s="4094" t="n">
        <v>-1.52569</v>
      </c>
      <c r="AR319" s="4094" t="n">
        <v>-0.55546</v>
      </c>
      <c r="AS319" s="4094" t="n">
        <v>0.00266</v>
      </c>
      <c r="AT319" s="4094" t="n">
        <v>0</v>
      </c>
      <c r="AU319" s="4096" t="n">
        <v>-1.6822</v>
      </c>
      <c r="AV319" s="4094">
        <f>SUM(F319:Q319)</f>
        <v/>
      </c>
      <c r="AW319" s="4094">
        <f>SUM(R319:AC319)</f>
        <v/>
      </c>
      <c r="AX319" s="4094">
        <f>SUM(AD319:AO319)</f>
        <v/>
      </c>
      <c r="AY319" s="4094">
        <f>SUM(AH319:AS319)</f>
        <v/>
      </c>
      <c r="AZ319" s="4094">
        <f>SUM(AJ319:AU319)</f>
        <v/>
      </c>
      <c r="BA319" s="3737" t="n"/>
      <c r="BB319" s="4097">
        <f>IFERROR(F319/F$117,0)</f>
        <v/>
      </c>
      <c r="BC319" s="4097">
        <f>IFERROR(G319/G$117,0)</f>
        <v/>
      </c>
      <c r="BD319" s="4097">
        <f>IFERROR(H319/H$117,0)</f>
        <v/>
      </c>
      <c r="BE319" s="4097">
        <f>IFERROR(I319/I$117,0)</f>
        <v/>
      </c>
      <c r="BF319" s="4097">
        <f>IFERROR(J319/J$117,0)</f>
        <v/>
      </c>
      <c r="BG319" s="4097">
        <f>IFERROR(K319/K$117,0)</f>
        <v/>
      </c>
      <c r="BH319" s="4097">
        <f>IFERROR(L319/L$117,0)</f>
        <v/>
      </c>
      <c r="BI319" s="4097">
        <f>IFERROR(M319/M$117,0)</f>
        <v/>
      </c>
      <c r="BJ319" s="4097">
        <f>IFERROR(N319/N$117,0)</f>
        <v/>
      </c>
      <c r="BK319" s="4097">
        <f>IFERROR(O319/O$117,0)</f>
        <v/>
      </c>
      <c r="BL319" s="4097">
        <f>IFERROR(P319/P$117,0)</f>
        <v/>
      </c>
      <c r="BM319" s="4098">
        <f>IFERROR(Q319/Q$117,0)</f>
        <v/>
      </c>
      <c r="BN319" s="4097">
        <f>IFERROR(R319/R$117,0)</f>
        <v/>
      </c>
      <c r="BO319" s="4097">
        <f>IFERROR(S319/S$117,0)</f>
        <v/>
      </c>
      <c r="BP319" s="4097">
        <f>IFERROR(T319/T$117,0)</f>
        <v/>
      </c>
      <c r="BQ319" s="4097">
        <f>IFERROR(U319/U$117,0)</f>
        <v/>
      </c>
      <c r="BR319" s="4097">
        <f>IFERROR(V319/V$117,0)</f>
        <v/>
      </c>
      <c r="BS319" s="4097">
        <f>IFERROR(W319/W$117,0)</f>
        <v/>
      </c>
      <c r="BT319" s="4097">
        <f>IFERROR(X319/X$117,0)</f>
        <v/>
      </c>
      <c r="BU319" s="4097">
        <f>IFERROR(Y319/Y$117,0)</f>
        <v/>
      </c>
      <c r="BV319" s="4097">
        <f>IFERROR(Z319/Z$117,0)</f>
        <v/>
      </c>
      <c r="BW319" s="4097">
        <f>IFERROR(AA319/AA$117,0)</f>
        <v/>
      </c>
      <c r="BX319" s="4097">
        <f>IFERROR(AB319/AB$117,0)</f>
        <v/>
      </c>
      <c r="BY319" s="4098">
        <f>IFERROR(AC319/AC$117,0)</f>
        <v/>
      </c>
      <c r="BZ319" s="4097">
        <f>IFERROR(AD319/AD$117,0)</f>
        <v/>
      </c>
      <c r="CA319" s="4097">
        <f>IFERROR(AE319/AE$117,0)</f>
        <v/>
      </c>
      <c r="CB319" s="4097">
        <f>IFERROR(AF319/AF$117,0)</f>
        <v/>
      </c>
      <c r="CC319" s="4097">
        <f>IFERROR(AG319/AG$117,0)</f>
        <v/>
      </c>
      <c r="CD319" s="4097">
        <f>IFERROR(AH319/AH$117,0)</f>
        <v/>
      </c>
      <c r="CE319" s="4097">
        <f>IFERROR(AI319/AI$117,0)</f>
        <v/>
      </c>
      <c r="CF319" s="4097">
        <f>IFERROR(AJ319/AJ$117,0)</f>
        <v/>
      </c>
      <c r="CG319" s="4097">
        <f>IFERROR(AK319/AK$117,0)</f>
        <v/>
      </c>
      <c r="CH319" s="4097">
        <f>IFERROR(AL319/AL$117,0)</f>
        <v/>
      </c>
      <c r="CI319" s="4097">
        <f>IFERROR(AM319/AM$117,0)</f>
        <v/>
      </c>
      <c r="CJ319" s="4097">
        <f>IFERROR(AN319/AN$117,0)</f>
        <v/>
      </c>
      <c r="CK319" s="4098">
        <f>IFERROR(AO319/AO$117,0)</f>
        <v/>
      </c>
      <c r="CL319" s="4097">
        <f>IFERROR(AP319/AP$117,0)</f>
        <v/>
      </c>
      <c r="CM319" s="4097">
        <f>IFERROR(AQ319/AQ$117,0)</f>
        <v/>
      </c>
      <c r="CN319" s="4097">
        <f>IFERROR(AR319/AR$117,0)</f>
        <v/>
      </c>
      <c r="CO319" s="4097">
        <f>IFERROR(AS319/AS$117,0)</f>
        <v/>
      </c>
      <c r="CP319" s="4097">
        <f>IFERROR(AT319/AT$117,0)</f>
        <v/>
      </c>
      <c r="CQ319" s="4099">
        <f>IFERROR(AU319/AU$117,0)</f>
        <v/>
      </c>
      <c r="CR319" s="4097">
        <f>IFERROR(AV319/AV$117,0)</f>
        <v/>
      </c>
      <c r="CS319" s="4097">
        <f>IFERROR(AW319/AW$117,0)</f>
        <v/>
      </c>
      <c r="CT319" s="4097">
        <f>IFERROR(AX319/AX$117,0)</f>
        <v/>
      </c>
      <c r="CU319" s="4097">
        <f>IFERROR(AY319/AY$117,0)</f>
        <v/>
      </c>
      <c r="CV319" s="4097">
        <f>IFERROR(AZ319/AZ$117,0)</f>
        <v/>
      </c>
      <c r="CW319" s="3737" t="n"/>
      <c r="CX319" s="4094" t="n">
        <v>-13.70835</v>
      </c>
    </row>
    <row r="320" hidden="1" outlineLevel="3" ht="12" customFormat="1" customHeight="1" s="3737">
      <c r="A320" s="4059" t="n"/>
      <c r="B320" s="4060" t="n"/>
      <c r="C320" s="4141" t="inlineStr">
        <is>
          <t>Travel - lodging</t>
        </is>
      </c>
      <c r="D320" s="4093" t="n">
        <v>591103</v>
      </c>
      <c r="E320" s="4093">
        <f>CONCATENATE(D320," - ",C320)</f>
        <v/>
      </c>
      <c r="F320" s="4094" t="n"/>
      <c r="G320" s="4094" t="n"/>
      <c r="H320" s="4094" t="n"/>
      <c r="I320" s="4094" t="n"/>
      <c r="J320" s="4094" t="n"/>
      <c r="K320" s="4094" t="n"/>
      <c r="L320" s="4094" t="n"/>
      <c r="M320" s="4094" t="n"/>
      <c r="N320" s="4094" t="n"/>
      <c r="O320" s="4094" t="n"/>
      <c r="P320" s="4094" t="n"/>
      <c r="Q320" s="4095" t="n"/>
      <c r="R320" s="4094" t="n"/>
      <c r="S320" s="4094" t="n"/>
      <c r="T320" s="4094" t="n"/>
      <c r="U320" s="4094" t="n"/>
      <c r="V320" s="4094" t="n"/>
      <c r="W320" s="4094" t="n"/>
      <c r="X320" s="4094" t="n"/>
      <c r="Y320" s="4094" t="n"/>
      <c r="Z320" s="4094" t="n"/>
      <c r="AA320" s="4094" t="n"/>
      <c r="AB320" s="4094" t="n"/>
      <c r="AC320" s="4095" t="n"/>
      <c r="AD320" s="4094" t="n"/>
      <c r="AE320" s="4094" t="n"/>
      <c r="AF320" s="4094" t="n"/>
      <c r="AG320" s="4094" t="n"/>
      <c r="AH320" s="4094" t="n"/>
      <c r="AI320" s="4094" t="n"/>
      <c r="AJ320" s="4094" t="n"/>
      <c r="AK320" s="4094" t="n"/>
      <c r="AL320" s="4094" t="n"/>
      <c r="AM320" s="4094" t="n"/>
      <c r="AN320" s="4094" t="n"/>
      <c r="AO320" s="4095" t="n"/>
      <c r="AP320" s="4094" t="n">
        <v>-0.8</v>
      </c>
      <c r="AQ320" s="4094" t="n">
        <v>-1.1454</v>
      </c>
      <c r="AR320" s="4094" t="n">
        <v>-1.08604</v>
      </c>
      <c r="AS320" s="4094" t="n">
        <v>-0.42319</v>
      </c>
      <c r="AT320" s="4094" t="n">
        <v>-0.75101</v>
      </c>
      <c r="AU320" s="4096" t="n">
        <v>-3.89793</v>
      </c>
      <c r="AV320" s="4094">
        <f>SUM(F320:Q320)</f>
        <v/>
      </c>
      <c r="AW320" s="4094">
        <f>SUM(R320:AC320)</f>
        <v/>
      </c>
      <c r="AX320" s="4094">
        <f>SUM(AD320:AO320)</f>
        <v/>
      </c>
      <c r="AY320" s="4094">
        <f>SUM(AH320:AS320)</f>
        <v/>
      </c>
      <c r="AZ320" s="4094">
        <f>SUM(AJ320:AU320)</f>
        <v/>
      </c>
      <c r="BA320" s="3737" t="n"/>
      <c r="BB320" s="4097">
        <f>IFERROR(F320/F$117,0)</f>
        <v/>
      </c>
      <c r="BC320" s="4097">
        <f>IFERROR(G320/G$117,0)</f>
        <v/>
      </c>
      <c r="BD320" s="4097">
        <f>IFERROR(H320/H$117,0)</f>
        <v/>
      </c>
      <c r="BE320" s="4097">
        <f>IFERROR(I320/I$117,0)</f>
        <v/>
      </c>
      <c r="BF320" s="4097">
        <f>IFERROR(J320/J$117,0)</f>
        <v/>
      </c>
      <c r="BG320" s="4097">
        <f>IFERROR(K320/K$117,0)</f>
        <v/>
      </c>
      <c r="BH320" s="4097">
        <f>IFERROR(L320/L$117,0)</f>
        <v/>
      </c>
      <c r="BI320" s="4097">
        <f>IFERROR(M320/M$117,0)</f>
        <v/>
      </c>
      <c r="BJ320" s="4097">
        <f>IFERROR(N320/N$117,0)</f>
        <v/>
      </c>
      <c r="BK320" s="4097">
        <f>IFERROR(O320/O$117,0)</f>
        <v/>
      </c>
      <c r="BL320" s="4097">
        <f>IFERROR(P320/P$117,0)</f>
        <v/>
      </c>
      <c r="BM320" s="4098">
        <f>IFERROR(Q320/Q$117,0)</f>
        <v/>
      </c>
      <c r="BN320" s="4097">
        <f>IFERROR(R320/R$117,0)</f>
        <v/>
      </c>
      <c r="BO320" s="4097">
        <f>IFERROR(S320/S$117,0)</f>
        <v/>
      </c>
      <c r="BP320" s="4097">
        <f>IFERROR(T320/T$117,0)</f>
        <v/>
      </c>
      <c r="BQ320" s="4097">
        <f>IFERROR(U320/U$117,0)</f>
        <v/>
      </c>
      <c r="BR320" s="4097">
        <f>IFERROR(V320/V$117,0)</f>
        <v/>
      </c>
      <c r="BS320" s="4097">
        <f>IFERROR(W320/W$117,0)</f>
        <v/>
      </c>
      <c r="BT320" s="4097">
        <f>IFERROR(X320/X$117,0)</f>
        <v/>
      </c>
      <c r="BU320" s="4097">
        <f>IFERROR(Y320/Y$117,0)</f>
        <v/>
      </c>
      <c r="BV320" s="4097">
        <f>IFERROR(Z320/Z$117,0)</f>
        <v/>
      </c>
      <c r="BW320" s="4097">
        <f>IFERROR(AA320/AA$117,0)</f>
        <v/>
      </c>
      <c r="BX320" s="4097">
        <f>IFERROR(AB320/AB$117,0)</f>
        <v/>
      </c>
      <c r="BY320" s="4098">
        <f>IFERROR(AC320/AC$117,0)</f>
        <v/>
      </c>
      <c r="BZ320" s="4097">
        <f>IFERROR(AD320/AD$117,0)</f>
        <v/>
      </c>
      <c r="CA320" s="4097">
        <f>IFERROR(AE320/AE$117,0)</f>
        <v/>
      </c>
      <c r="CB320" s="4097">
        <f>IFERROR(AF320/AF$117,0)</f>
        <v/>
      </c>
      <c r="CC320" s="4097">
        <f>IFERROR(AG320/AG$117,0)</f>
        <v/>
      </c>
      <c r="CD320" s="4097">
        <f>IFERROR(AH320/AH$117,0)</f>
        <v/>
      </c>
      <c r="CE320" s="4097">
        <f>IFERROR(AI320/AI$117,0)</f>
        <v/>
      </c>
      <c r="CF320" s="4097">
        <f>IFERROR(AJ320/AJ$117,0)</f>
        <v/>
      </c>
      <c r="CG320" s="4097">
        <f>IFERROR(AK320/AK$117,0)</f>
        <v/>
      </c>
      <c r="CH320" s="4097">
        <f>IFERROR(AL320/AL$117,0)</f>
        <v/>
      </c>
      <c r="CI320" s="4097">
        <f>IFERROR(AM320/AM$117,0)</f>
        <v/>
      </c>
      <c r="CJ320" s="4097">
        <f>IFERROR(AN320/AN$117,0)</f>
        <v/>
      </c>
      <c r="CK320" s="4098">
        <f>IFERROR(AO320/AO$117,0)</f>
        <v/>
      </c>
      <c r="CL320" s="4097">
        <f>IFERROR(AP320/AP$117,0)</f>
        <v/>
      </c>
      <c r="CM320" s="4097">
        <f>IFERROR(AQ320/AQ$117,0)</f>
        <v/>
      </c>
      <c r="CN320" s="4097">
        <f>IFERROR(AR320/AR$117,0)</f>
        <v/>
      </c>
      <c r="CO320" s="4097">
        <f>IFERROR(AS320/AS$117,0)</f>
        <v/>
      </c>
      <c r="CP320" s="4097">
        <f>IFERROR(AT320/AT$117,0)</f>
        <v/>
      </c>
      <c r="CQ320" s="4099">
        <f>IFERROR(AU320/AU$117,0)</f>
        <v/>
      </c>
      <c r="CR320" s="4097">
        <f>IFERROR(AV320/AV$117,0)</f>
        <v/>
      </c>
      <c r="CS320" s="4097">
        <f>IFERROR(AW320/AW$117,0)</f>
        <v/>
      </c>
      <c r="CT320" s="4097">
        <f>IFERROR(AX320/AX$117,0)</f>
        <v/>
      </c>
      <c r="CU320" s="4097">
        <f>IFERROR(AY320/AY$117,0)</f>
        <v/>
      </c>
      <c r="CV320" s="4097">
        <f>IFERROR(AZ320/AZ$117,0)</f>
        <v/>
      </c>
      <c r="CW320" s="3737" t="n"/>
      <c r="CX320" s="4094" t="n">
        <v>-5.19717</v>
      </c>
    </row>
    <row r="321" hidden="1" outlineLevel="3" ht="12" customFormat="1" customHeight="1" s="3737">
      <c r="A321" s="4059" t="n"/>
      <c r="B321" s="4060" t="n"/>
      <c r="C321" s="4141" t="inlineStr">
        <is>
          <t>Travel - car rental</t>
        </is>
      </c>
      <c r="D321" s="4093" t="n">
        <v>591104</v>
      </c>
      <c r="E321" s="4093">
        <f>CONCATENATE(D321," - ",C321)</f>
        <v/>
      </c>
      <c r="F321" s="4094" t="n"/>
      <c r="G321" s="4094" t="n"/>
      <c r="H321" s="4094" t="n"/>
      <c r="I321" s="4094" t="n"/>
      <c r="J321" s="4094" t="n"/>
      <c r="K321" s="4094" t="n"/>
      <c r="L321" s="4094" t="n"/>
      <c r="M321" s="4094" t="n"/>
      <c r="N321" s="4094" t="n"/>
      <c r="O321" s="4094" t="n"/>
      <c r="P321" s="4094" t="n"/>
      <c r="Q321" s="4095" t="n"/>
      <c r="R321" s="4094" t="n"/>
      <c r="S321" s="4094" t="n"/>
      <c r="T321" s="4094" t="n"/>
      <c r="U321" s="4094" t="n"/>
      <c r="V321" s="4094" t="n"/>
      <c r="W321" s="4094" t="n"/>
      <c r="X321" s="4094" t="n"/>
      <c r="Y321" s="4094" t="n"/>
      <c r="Z321" s="4094" t="n"/>
      <c r="AA321" s="4094" t="n"/>
      <c r="AB321" s="4094" t="n"/>
      <c r="AC321" s="4095" t="n"/>
      <c r="AD321" s="4094" t="n"/>
      <c r="AE321" s="4094" t="n"/>
      <c r="AF321" s="4094" t="n"/>
      <c r="AG321" s="4094" t="n"/>
      <c r="AH321" s="4094" t="n"/>
      <c r="AI321" s="4094" t="n"/>
      <c r="AJ321" s="4094" t="n"/>
      <c r="AK321" s="4094" t="n"/>
      <c r="AL321" s="4094" t="n"/>
      <c r="AM321" s="4094" t="n"/>
      <c r="AN321" s="4094" t="n"/>
      <c r="AO321" s="4095" t="n"/>
      <c r="AP321" s="4094" t="n">
        <v>0</v>
      </c>
      <c r="AQ321" s="4094" t="n">
        <v>0</v>
      </c>
      <c r="AR321" s="4094" t="n">
        <v>0</v>
      </c>
      <c r="AS321" s="4094" t="n">
        <v>-0.35043</v>
      </c>
      <c r="AT321" s="4094" t="n">
        <v>0</v>
      </c>
      <c r="AU321" s="4096" t="n">
        <v>0</v>
      </c>
      <c r="AV321" s="4094">
        <f>SUM(F321:Q321)</f>
        <v/>
      </c>
      <c r="AW321" s="4094">
        <f>SUM(R321:AC321)</f>
        <v/>
      </c>
      <c r="AX321" s="4094">
        <f>SUM(AD321:AO321)</f>
        <v/>
      </c>
      <c r="AY321" s="4094">
        <f>SUM(AH321:AS321)</f>
        <v/>
      </c>
      <c r="AZ321" s="4094">
        <f>SUM(AJ321:AU321)</f>
        <v/>
      </c>
      <c r="BA321" s="3737" t="n"/>
      <c r="BB321" s="4097">
        <f>IFERROR(F321/F$117,0)</f>
        <v/>
      </c>
      <c r="BC321" s="4097">
        <f>IFERROR(G321/G$117,0)</f>
        <v/>
      </c>
      <c r="BD321" s="4097">
        <f>IFERROR(H321/H$117,0)</f>
        <v/>
      </c>
      <c r="BE321" s="4097">
        <f>IFERROR(I321/I$117,0)</f>
        <v/>
      </c>
      <c r="BF321" s="4097">
        <f>IFERROR(J321/J$117,0)</f>
        <v/>
      </c>
      <c r="BG321" s="4097">
        <f>IFERROR(K321/K$117,0)</f>
        <v/>
      </c>
      <c r="BH321" s="4097">
        <f>IFERROR(L321/L$117,0)</f>
        <v/>
      </c>
      <c r="BI321" s="4097">
        <f>IFERROR(M321/M$117,0)</f>
        <v/>
      </c>
      <c r="BJ321" s="4097">
        <f>IFERROR(N321/N$117,0)</f>
        <v/>
      </c>
      <c r="BK321" s="4097">
        <f>IFERROR(O321/O$117,0)</f>
        <v/>
      </c>
      <c r="BL321" s="4097">
        <f>IFERROR(P321/P$117,0)</f>
        <v/>
      </c>
      <c r="BM321" s="4098">
        <f>IFERROR(Q321/Q$117,0)</f>
        <v/>
      </c>
      <c r="BN321" s="4097">
        <f>IFERROR(R321/R$117,0)</f>
        <v/>
      </c>
      <c r="BO321" s="4097">
        <f>IFERROR(S321/S$117,0)</f>
        <v/>
      </c>
      <c r="BP321" s="4097">
        <f>IFERROR(T321/T$117,0)</f>
        <v/>
      </c>
      <c r="BQ321" s="4097">
        <f>IFERROR(U321/U$117,0)</f>
        <v/>
      </c>
      <c r="BR321" s="4097">
        <f>IFERROR(V321/V$117,0)</f>
        <v/>
      </c>
      <c r="BS321" s="4097">
        <f>IFERROR(W321/W$117,0)</f>
        <v/>
      </c>
      <c r="BT321" s="4097">
        <f>IFERROR(X321/X$117,0)</f>
        <v/>
      </c>
      <c r="BU321" s="4097">
        <f>IFERROR(Y321/Y$117,0)</f>
        <v/>
      </c>
      <c r="BV321" s="4097">
        <f>IFERROR(Z321/Z$117,0)</f>
        <v/>
      </c>
      <c r="BW321" s="4097">
        <f>IFERROR(AA321/AA$117,0)</f>
        <v/>
      </c>
      <c r="BX321" s="4097">
        <f>IFERROR(AB321/AB$117,0)</f>
        <v/>
      </c>
      <c r="BY321" s="4098">
        <f>IFERROR(AC321/AC$117,0)</f>
        <v/>
      </c>
      <c r="BZ321" s="4097">
        <f>IFERROR(AD321/AD$117,0)</f>
        <v/>
      </c>
      <c r="CA321" s="4097">
        <f>IFERROR(AE321/AE$117,0)</f>
        <v/>
      </c>
      <c r="CB321" s="4097">
        <f>IFERROR(AF321/AF$117,0)</f>
        <v/>
      </c>
      <c r="CC321" s="4097">
        <f>IFERROR(AG321/AG$117,0)</f>
        <v/>
      </c>
      <c r="CD321" s="4097">
        <f>IFERROR(AH321/AH$117,0)</f>
        <v/>
      </c>
      <c r="CE321" s="4097">
        <f>IFERROR(AI321/AI$117,0)</f>
        <v/>
      </c>
      <c r="CF321" s="4097">
        <f>IFERROR(AJ321/AJ$117,0)</f>
        <v/>
      </c>
      <c r="CG321" s="4097">
        <f>IFERROR(AK321/AK$117,0)</f>
        <v/>
      </c>
      <c r="CH321" s="4097">
        <f>IFERROR(AL321/AL$117,0)</f>
        <v/>
      </c>
      <c r="CI321" s="4097">
        <f>IFERROR(AM321/AM$117,0)</f>
        <v/>
      </c>
      <c r="CJ321" s="4097">
        <f>IFERROR(AN321/AN$117,0)</f>
        <v/>
      </c>
      <c r="CK321" s="4098">
        <f>IFERROR(AO321/AO$117,0)</f>
        <v/>
      </c>
      <c r="CL321" s="4097">
        <f>IFERROR(AP321/AP$117,0)</f>
        <v/>
      </c>
      <c r="CM321" s="4097">
        <f>IFERROR(AQ321/AQ$117,0)</f>
        <v/>
      </c>
      <c r="CN321" s="4097">
        <f>IFERROR(AR321/AR$117,0)</f>
        <v/>
      </c>
      <c r="CO321" s="4097">
        <f>IFERROR(AS321/AS$117,0)</f>
        <v/>
      </c>
      <c r="CP321" s="4097">
        <f>IFERROR(AT321/AT$117,0)</f>
        <v/>
      </c>
      <c r="CQ321" s="4099">
        <f>IFERROR(AU321/AU$117,0)</f>
        <v/>
      </c>
      <c r="CR321" s="4097">
        <f>IFERROR(AV321/AV$117,0)</f>
        <v/>
      </c>
      <c r="CS321" s="4097">
        <f>IFERROR(AW321/AW$117,0)</f>
        <v/>
      </c>
      <c r="CT321" s="4097">
        <f>IFERROR(AX321/AX$117,0)</f>
        <v/>
      </c>
      <c r="CU321" s="4097">
        <f>IFERROR(AY321/AY$117,0)</f>
        <v/>
      </c>
      <c r="CV321" s="4097">
        <f>IFERROR(AZ321/AZ$117,0)</f>
        <v/>
      </c>
      <c r="CW321" s="3737" t="n"/>
      <c r="CX321" s="4094" t="n">
        <v>-0.17782</v>
      </c>
    </row>
    <row r="322" hidden="1" outlineLevel="3" ht="12" customFormat="1" customHeight="1" s="3737">
      <c r="A322" s="4059" t="n"/>
      <c r="B322" s="4060" t="n"/>
      <c r="C322" s="4141" t="inlineStr">
        <is>
          <t>Travel - transportation &amp; parking</t>
        </is>
      </c>
      <c r="D322" s="4093" t="n">
        <v>591105</v>
      </c>
      <c r="E322" s="4093">
        <f>CONCATENATE(D322," - ",C322)</f>
        <v/>
      </c>
      <c r="F322" s="4094" t="n"/>
      <c r="G322" s="4094" t="n"/>
      <c r="H322" s="4094" t="n"/>
      <c r="I322" s="4094" t="n"/>
      <c r="J322" s="4094" t="n"/>
      <c r="K322" s="4094" t="n"/>
      <c r="L322" s="4094" t="n"/>
      <c r="M322" s="4094" t="n"/>
      <c r="N322" s="4094" t="n"/>
      <c r="O322" s="4094" t="n"/>
      <c r="P322" s="4094" t="n"/>
      <c r="Q322" s="4095" t="n"/>
      <c r="R322" s="4094" t="n"/>
      <c r="S322" s="4094" t="n"/>
      <c r="T322" s="4094" t="n"/>
      <c r="U322" s="4094" t="n"/>
      <c r="V322" s="4094" t="n"/>
      <c r="W322" s="4094" t="n"/>
      <c r="X322" s="4094" t="n"/>
      <c r="Y322" s="4094" t="n"/>
      <c r="Z322" s="4094" t="n"/>
      <c r="AA322" s="4094" t="n"/>
      <c r="AB322" s="4094" t="n"/>
      <c r="AC322" s="4095" t="n"/>
      <c r="AD322" s="4094" t="n"/>
      <c r="AE322" s="4094" t="n"/>
      <c r="AF322" s="4094" t="n"/>
      <c r="AG322" s="4094" t="n"/>
      <c r="AH322" s="4094" t="n"/>
      <c r="AI322" s="4094" t="n"/>
      <c r="AJ322" s="4094" t="n"/>
      <c r="AK322" s="4094" t="n"/>
      <c r="AL322" s="4094" t="n"/>
      <c r="AM322" s="4094" t="n"/>
      <c r="AN322" s="4094" t="n"/>
      <c r="AO322" s="4095" t="n"/>
      <c r="AP322" s="4094" t="n">
        <v>-0.80662</v>
      </c>
      <c r="AQ322" s="4094" t="n">
        <v>-1.04475</v>
      </c>
      <c r="AR322" s="4094" t="n">
        <v>-0.41358</v>
      </c>
      <c r="AS322" s="4094" t="n">
        <v>-0.3021</v>
      </c>
      <c r="AT322" s="4094" t="n">
        <v>-0.43777</v>
      </c>
      <c r="AU322" s="4096" t="n">
        <v>-0.89342</v>
      </c>
      <c r="AV322" s="4094">
        <f>SUM(F322:Q322)</f>
        <v/>
      </c>
      <c r="AW322" s="4094">
        <f>SUM(R322:AC322)</f>
        <v/>
      </c>
      <c r="AX322" s="4094">
        <f>SUM(AD322:AO322)</f>
        <v/>
      </c>
      <c r="AY322" s="4094">
        <f>SUM(AH322:AS322)</f>
        <v/>
      </c>
      <c r="AZ322" s="4094">
        <f>SUM(AJ322:AU322)</f>
        <v/>
      </c>
      <c r="BA322" s="3737" t="n"/>
      <c r="BB322" s="4097">
        <f>IFERROR(F322/F$117,0)</f>
        <v/>
      </c>
      <c r="BC322" s="4097">
        <f>IFERROR(G322/G$117,0)</f>
        <v/>
      </c>
      <c r="BD322" s="4097">
        <f>IFERROR(H322/H$117,0)</f>
        <v/>
      </c>
      <c r="BE322" s="4097">
        <f>IFERROR(I322/I$117,0)</f>
        <v/>
      </c>
      <c r="BF322" s="4097">
        <f>IFERROR(J322/J$117,0)</f>
        <v/>
      </c>
      <c r="BG322" s="4097">
        <f>IFERROR(K322/K$117,0)</f>
        <v/>
      </c>
      <c r="BH322" s="4097">
        <f>IFERROR(L322/L$117,0)</f>
        <v/>
      </c>
      <c r="BI322" s="4097">
        <f>IFERROR(M322/M$117,0)</f>
        <v/>
      </c>
      <c r="BJ322" s="4097">
        <f>IFERROR(N322/N$117,0)</f>
        <v/>
      </c>
      <c r="BK322" s="4097">
        <f>IFERROR(O322/O$117,0)</f>
        <v/>
      </c>
      <c r="BL322" s="4097">
        <f>IFERROR(P322/P$117,0)</f>
        <v/>
      </c>
      <c r="BM322" s="4098">
        <f>IFERROR(Q322/Q$117,0)</f>
        <v/>
      </c>
      <c r="BN322" s="4097">
        <f>IFERROR(R322/R$117,0)</f>
        <v/>
      </c>
      <c r="BO322" s="4097">
        <f>IFERROR(S322/S$117,0)</f>
        <v/>
      </c>
      <c r="BP322" s="4097">
        <f>IFERROR(T322/T$117,0)</f>
        <v/>
      </c>
      <c r="BQ322" s="4097">
        <f>IFERROR(U322/U$117,0)</f>
        <v/>
      </c>
      <c r="BR322" s="4097">
        <f>IFERROR(V322/V$117,0)</f>
        <v/>
      </c>
      <c r="BS322" s="4097">
        <f>IFERROR(W322/W$117,0)</f>
        <v/>
      </c>
      <c r="BT322" s="4097">
        <f>IFERROR(X322/X$117,0)</f>
        <v/>
      </c>
      <c r="BU322" s="4097">
        <f>IFERROR(Y322/Y$117,0)</f>
        <v/>
      </c>
      <c r="BV322" s="4097">
        <f>IFERROR(Z322/Z$117,0)</f>
        <v/>
      </c>
      <c r="BW322" s="4097">
        <f>IFERROR(AA322/AA$117,0)</f>
        <v/>
      </c>
      <c r="BX322" s="4097">
        <f>IFERROR(AB322/AB$117,0)</f>
        <v/>
      </c>
      <c r="BY322" s="4098">
        <f>IFERROR(AC322/AC$117,0)</f>
        <v/>
      </c>
      <c r="BZ322" s="4097">
        <f>IFERROR(AD322/AD$117,0)</f>
        <v/>
      </c>
      <c r="CA322" s="4097">
        <f>IFERROR(AE322/AE$117,0)</f>
        <v/>
      </c>
      <c r="CB322" s="4097">
        <f>IFERROR(AF322/AF$117,0)</f>
        <v/>
      </c>
      <c r="CC322" s="4097">
        <f>IFERROR(AG322/AG$117,0)</f>
        <v/>
      </c>
      <c r="CD322" s="4097">
        <f>IFERROR(AH322/AH$117,0)</f>
        <v/>
      </c>
      <c r="CE322" s="4097">
        <f>IFERROR(AI322/AI$117,0)</f>
        <v/>
      </c>
      <c r="CF322" s="4097">
        <f>IFERROR(AJ322/AJ$117,0)</f>
        <v/>
      </c>
      <c r="CG322" s="4097">
        <f>IFERROR(AK322/AK$117,0)</f>
        <v/>
      </c>
      <c r="CH322" s="4097">
        <f>IFERROR(AL322/AL$117,0)</f>
        <v/>
      </c>
      <c r="CI322" s="4097">
        <f>IFERROR(AM322/AM$117,0)</f>
        <v/>
      </c>
      <c r="CJ322" s="4097">
        <f>IFERROR(AN322/AN$117,0)</f>
        <v/>
      </c>
      <c r="CK322" s="4098">
        <f>IFERROR(AO322/AO$117,0)</f>
        <v/>
      </c>
      <c r="CL322" s="4097">
        <f>IFERROR(AP322/AP$117,0)</f>
        <v/>
      </c>
      <c r="CM322" s="4097">
        <f>IFERROR(AQ322/AQ$117,0)</f>
        <v/>
      </c>
      <c r="CN322" s="4097">
        <f>IFERROR(AR322/AR$117,0)</f>
        <v/>
      </c>
      <c r="CO322" s="4097">
        <f>IFERROR(AS322/AS$117,0)</f>
        <v/>
      </c>
      <c r="CP322" s="4097">
        <f>IFERROR(AT322/AT$117,0)</f>
        <v/>
      </c>
      <c r="CQ322" s="4099">
        <f>IFERROR(AU322/AU$117,0)</f>
        <v/>
      </c>
      <c r="CR322" s="4097">
        <f>IFERROR(AV322/AV$117,0)</f>
        <v/>
      </c>
      <c r="CS322" s="4097">
        <f>IFERROR(AW322/AW$117,0)</f>
        <v/>
      </c>
      <c r="CT322" s="4097">
        <f>IFERROR(AX322/AX$117,0)</f>
        <v/>
      </c>
      <c r="CU322" s="4097">
        <f>IFERROR(AY322/AY$117,0)</f>
        <v/>
      </c>
      <c r="CV322" s="4097">
        <f>IFERROR(AZ322/AZ$117,0)</f>
        <v/>
      </c>
      <c r="CW322" s="3737" t="n"/>
      <c r="CX322" s="4094" t="n">
        <v>-1.97481</v>
      </c>
    </row>
    <row r="323" hidden="1" outlineLevel="3" ht="12" customFormat="1" customHeight="1" s="3737">
      <c r="A323" s="4059" t="n"/>
      <c r="B323" s="4060" t="n"/>
      <c r="C323" s="4141" t="inlineStr">
        <is>
          <t>Travel - mileage</t>
        </is>
      </c>
      <c r="D323" s="4093" t="n">
        <v>591107</v>
      </c>
      <c r="E323" s="4093">
        <f>CONCATENATE(D323," - ",C323)</f>
        <v/>
      </c>
      <c r="F323" s="4094" t="n"/>
      <c r="G323" s="4094" t="n"/>
      <c r="H323" s="4094" t="n"/>
      <c r="I323" s="4094" t="n"/>
      <c r="J323" s="4094" t="n"/>
      <c r="K323" s="4094" t="n"/>
      <c r="L323" s="4094" t="n"/>
      <c r="M323" s="4094" t="n"/>
      <c r="N323" s="4094" t="n"/>
      <c r="O323" s="4094" t="n"/>
      <c r="P323" s="4094" t="n"/>
      <c r="Q323" s="4095" t="n"/>
      <c r="R323" s="4094" t="n"/>
      <c r="S323" s="4094" t="n"/>
      <c r="T323" s="4094" t="n"/>
      <c r="U323" s="4094" t="n"/>
      <c r="V323" s="4094" t="n"/>
      <c r="W323" s="4094" t="n"/>
      <c r="X323" s="4094" t="n"/>
      <c r="Y323" s="4094" t="n"/>
      <c r="Z323" s="4094" t="n"/>
      <c r="AA323" s="4094" t="n"/>
      <c r="AB323" s="4094" t="n"/>
      <c r="AC323" s="4095" t="n"/>
      <c r="AD323" s="4094" t="n"/>
      <c r="AE323" s="4094" t="n"/>
      <c r="AF323" s="4094" t="n"/>
      <c r="AG323" s="4094" t="n"/>
      <c r="AH323" s="4094" t="n"/>
      <c r="AI323" s="4094" t="n"/>
      <c r="AJ323" s="4094" t="n"/>
      <c r="AK323" s="4094" t="n"/>
      <c r="AL323" s="4094" t="n"/>
      <c r="AM323" s="4094" t="n"/>
      <c r="AN323" s="4094" t="n"/>
      <c r="AO323" s="4095" t="n"/>
      <c r="AP323" s="4094" t="n">
        <v>-0.76471</v>
      </c>
      <c r="AQ323" s="4094" t="n">
        <v>-1.36505</v>
      </c>
      <c r="AR323" s="4094" t="n">
        <v>-0.39126</v>
      </c>
      <c r="AS323" s="4094" t="n">
        <v>-1.45798</v>
      </c>
      <c r="AT323" s="4094" t="n">
        <v>-1.19872</v>
      </c>
      <c r="AU323" s="4096" t="n">
        <v>-1.56486</v>
      </c>
      <c r="AV323" s="4094">
        <f>SUM(F323:Q323)</f>
        <v/>
      </c>
      <c r="AW323" s="4094">
        <f>SUM(R323:AC323)</f>
        <v/>
      </c>
      <c r="AX323" s="4094">
        <f>SUM(AD323:AO323)</f>
        <v/>
      </c>
      <c r="AY323" s="4094">
        <f>SUM(AH323:AS323)</f>
        <v/>
      </c>
      <c r="AZ323" s="4094">
        <f>SUM(AJ323:AU323)</f>
        <v/>
      </c>
      <c r="BA323" s="3737" t="n"/>
      <c r="BB323" s="4097">
        <f>IFERROR(F323/F$117,0)</f>
        <v/>
      </c>
      <c r="BC323" s="4097">
        <f>IFERROR(G323/G$117,0)</f>
        <v/>
      </c>
      <c r="BD323" s="4097">
        <f>IFERROR(H323/H$117,0)</f>
        <v/>
      </c>
      <c r="BE323" s="4097">
        <f>IFERROR(I323/I$117,0)</f>
        <v/>
      </c>
      <c r="BF323" s="4097">
        <f>IFERROR(J323/J$117,0)</f>
        <v/>
      </c>
      <c r="BG323" s="4097">
        <f>IFERROR(K323/K$117,0)</f>
        <v/>
      </c>
      <c r="BH323" s="4097">
        <f>IFERROR(L323/L$117,0)</f>
        <v/>
      </c>
      <c r="BI323" s="4097">
        <f>IFERROR(M323/M$117,0)</f>
        <v/>
      </c>
      <c r="BJ323" s="4097">
        <f>IFERROR(N323/N$117,0)</f>
        <v/>
      </c>
      <c r="BK323" s="4097">
        <f>IFERROR(O323/O$117,0)</f>
        <v/>
      </c>
      <c r="BL323" s="4097">
        <f>IFERROR(P323/P$117,0)</f>
        <v/>
      </c>
      <c r="BM323" s="4098">
        <f>IFERROR(Q323/Q$117,0)</f>
        <v/>
      </c>
      <c r="BN323" s="4097">
        <f>IFERROR(R323/R$117,0)</f>
        <v/>
      </c>
      <c r="BO323" s="4097">
        <f>IFERROR(S323/S$117,0)</f>
        <v/>
      </c>
      <c r="BP323" s="4097">
        <f>IFERROR(T323/T$117,0)</f>
        <v/>
      </c>
      <c r="BQ323" s="4097">
        <f>IFERROR(U323/U$117,0)</f>
        <v/>
      </c>
      <c r="BR323" s="4097">
        <f>IFERROR(V323/V$117,0)</f>
        <v/>
      </c>
      <c r="BS323" s="4097">
        <f>IFERROR(W323/W$117,0)</f>
        <v/>
      </c>
      <c r="BT323" s="4097">
        <f>IFERROR(X323/X$117,0)</f>
        <v/>
      </c>
      <c r="BU323" s="4097">
        <f>IFERROR(Y323/Y$117,0)</f>
        <v/>
      </c>
      <c r="BV323" s="4097">
        <f>IFERROR(Z323/Z$117,0)</f>
        <v/>
      </c>
      <c r="BW323" s="4097">
        <f>IFERROR(AA323/AA$117,0)</f>
        <v/>
      </c>
      <c r="BX323" s="4097">
        <f>IFERROR(AB323/AB$117,0)</f>
        <v/>
      </c>
      <c r="BY323" s="4098">
        <f>IFERROR(AC323/AC$117,0)</f>
        <v/>
      </c>
      <c r="BZ323" s="4097">
        <f>IFERROR(AD323/AD$117,0)</f>
        <v/>
      </c>
      <c r="CA323" s="4097">
        <f>IFERROR(AE323/AE$117,0)</f>
        <v/>
      </c>
      <c r="CB323" s="4097">
        <f>IFERROR(AF323/AF$117,0)</f>
        <v/>
      </c>
      <c r="CC323" s="4097">
        <f>IFERROR(AG323/AG$117,0)</f>
        <v/>
      </c>
      <c r="CD323" s="4097">
        <f>IFERROR(AH323/AH$117,0)</f>
        <v/>
      </c>
      <c r="CE323" s="4097">
        <f>IFERROR(AI323/AI$117,0)</f>
        <v/>
      </c>
      <c r="CF323" s="4097">
        <f>IFERROR(AJ323/AJ$117,0)</f>
        <v/>
      </c>
      <c r="CG323" s="4097">
        <f>IFERROR(AK323/AK$117,0)</f>
        <v/>
      </c>
      <c r="CH323" s="4097">
        <f>IFERROR(AL323/AL$117,0)</f>
        <v/>
      </c>
      <c r="CI323" s="4097">
        <f>IFERROR(AM323/AM$117,0)</f>
        <v/>
      </c>
      <c r="CJ323" s="4097">
        <f>IFERROR(AN323/AN$117,0)</f>
        <v/>
      </c>
      <c r="CK323" s="4098">
        <f>IFERROR(AO323/AO$117,0)</f>
        <v/>
      </c>
      <c r="CL323" s="4097">
        <f>IFERROR(AP323/AP$117,0)</f>
        <v/>
      </c>
      <c r="CM323" s="4097">
        <f>IFERROR(AQ323/AQ$117,0)</f>
        <v/>
      </c>
      <c r="CN323" s="4097">
        <f>IFERROR(AR323/AR$117,0)</f>
        <v/>
      </c>
      <c r="CO323" s="4097">
        <f>IFERROR(AS323/AS$117,0)</f>
        <v/>
      </c>
      <c r="CP323" s="4097">
        <f>IFERROR(AT323/AT$117,0)</f>
        <v/>
      </c>
      <c r="CQ323" s="4099">
        <f>IFERROR(AU323/AU$117,0)</f>
        <v/>
      </c>
      <c r="CR323" s="4097">
        <f>IFERROR(AV323/AV$117,0)</f>
        <v/>
      </c>
      <c r="CS323" s="4097">
        <f>IFERROR(AW323/AW$117,0)</f>
        <v/>
      </c>
      <c r="CT323" s="4097">
        <f>IFERROR(AX323/AX$117,0)</f>
        <v/>
      </c>
      <c r="CU323" s="4097">
        <f>IFERROR(AY323/AY$117,0)</f>
        <v/>
      </c>
      <c r="CV323" s="4097">
        <f>IFERROR(AZ323/AZ$117,0)</f>
        <v/>
      </c>
      <c r="CW323" s="3737" t="n"/>
      <c r="CX323" s="4094" t="n">
        <v>-2.11188</v>
      </c>
    </row>
    <row r="324" hidden="1" outlineLevel="3" ht="12" customFormat="1" customHeight="1" s="3737">
      <c r="A324" s="4059" t="n"/>
      <c r="B324" s="4060" t="n"/>
      <c r="C324" s="4142" t="inlineStr">
        <is>
          <t>Travel meals and ent. 50% ded.</t>
        </is>
      </c>
      <c r="D324" s="4101" t="n">
        <v>591111</v>
      </c>
      <c r="E324" s="4101">
        <f>CONCATENATE(D324," - ",C324)</f>
        <v/>
      </c>
      <c r="F324" s="4102" t="n"/>
      <c r="G324" s="4102" t="n"/>
      <c r="H324" s="4102" t="n"/>
      <c r="I324" s="4102" t="n"/>
      <c r="J324" s="4102" t="n"/>
      <c r="K324" s="4102" t="n"/>
      <c r="L324" s="4102" t="n"/>
      <c r="M324" s="4102" t="n"/>
      <c r="N324" s="4102" t="n"/>
      <c r="O324" s="4102" t="n"/>
      <c r="P324" s="4102" t="n"/>
      <c r="Q324" s="4103" t="n"/>
      <c r="R324" s="4102" t="n"/>
      <c r="S324" s="4102" t="n"/>
      <c r="T324" s="4102" t="n"/>
      <c r="U324" s="4102" t="n"/>
      <c r="V324" s="4102" t="n"/>
      <c r="W324" s="4102" t="n"/>
      <c r="X324" s="4102" t="n"/>
      <c r="Y324" s="4102" t="n"/>
      <c r="Z324" s="4102" t="n"/>
      <c r="AA324" s="4102" t="n"/>
      <c r="AB324" s="4102" t="n"/>
      <c r="AC324" s="4103" t="n"/>
      <c r="AD324" s="4102" t="n"/>
      <c r="AE324" s="4102" t="n"/>
      <c r="AF324" s="4102" t="n"/>
      <c r="AG324" s="4102" t="n"/>
      <c r="AH324" s="4102" t="n"/>
      <c r="AI324" s="4102" t="n"/>
      <c r="AJ324" s="4102" t="n"/>
      <c r="AK324" s="4102" t="n"/>
      <c r="AL324" s="4102" t="n"/>
      <c r="AM324" s="4102" t="n"/>
      <c r="AN324" s="4102" t="n"/>
      <c r="AO324" s="4103" t="n"/>
      <c r="AP324" s="4102" t="n">
        <v>-0.25</v>
      </c>
      <c r="AQ324" s="4102" t="n">
        <v>-0.07078</v>
      </c>
      <c r="AR324" s="4102" t="n">
        <v>-0.27542</v>
      </c>
      <c r="AS324" s="4102" t="n">
        <v>-0.07028</v>
      </c>
      <c r="AT324" s="4102" t="n">
        <v>-0.09075</v>
      </c>
      <c r="AU324" s="4104" t="n">
        <v>-0.49877</v>
      </c>
      <c r="AV324" s="4102">
        <f>SUM(F324:Q324)</f>
        <v/>
      </c>
      <c r="AW324" s="4102">
        <f>SUM(R324:AC324)</f>
        <v/>
      </c>
      <c r="AX324" s="4102">
        <f>SUM(AD324:AO324)</f>
        <v/>
      </c>
      <c r="AY324" s="4102">
        <f>SUM(AH324:AS324)</f>
        <v/>
      </c>
      <c r="AZ324" s="4102">
        <f>SUM(AJ324:AU324)</f>
        <v/>
      </c>
      <c r="BA324" s="3737" t="n"/>
      <c r="BB324" s="4105">
        <f>IFERROR(F324/F$117,0)</f>
        <v/>
      </c>
      <c r="BC324" s="4105">
        <f>IFERROR(G324/G$117,0)</f>
        <v/>
      </c>
      <c r="BD324" s="4105">
        <f>IFERROR(H324/H$117,0)</f>
        <v/>
      </c>
      <c r="BE324" s="4105">
        <f>IFERROR(I324/I$117,0)</f>
        <v/>
      </c>
      <c r="BF324" s="4105">
        <f>IFERROR(J324/J$117,0)</f>
        <v/>
      </c>
      <c r="BG324" s="4105">
        <f>IFERROR(K324/K$117,0)</f>
        <v/>
      </c>
      <c r="BH324" s="4105">
        <f>IFERROR(L324/L$117,0)</f>
        <v/>
      </c>
      <c r="BI324" s="4105">
        <f>IFERROR(M324/M$117,0)</f>
        <v/>
      </c>
      <c r="BJ324" s="4105">
        <f>IFERROR(N324/N$117,0)</f>
        <v/>
      </c>
      <c r="BK324" s="4105">
        <f>IFERROR(O324/O$117,0)</f>
        <v/>
      </c>
      <c r="BL324" s="4105">
        <f>IFERROR(P324/P$117,0)</f>
        <v/>
      </c>
      <c r="BM324" s="4106">
        <f>IFERROR(Q324/Q$117,0)</f>
        <v/>
      </c>
      <c r="BN324" s="4105">
        <f>IFERROR(R324/R$117,0)</f>
        <v/>
      </c>
      <c r="BO324" s="4105">
        <f>IFERROR(S324/S$117,0)</f>
        <v/>
      </c>
      <c r="BP324" s="4105">
        <f>IFERROR(T324/T$117,0)</f>
        <v/>
      </c>
      <c r="BQ324" s="4105">
        <f>IFERROR(U324/U$117,0)</f>
        <v/>
      </c>
      <c r="BR324" s="4105">
        <f>IFERROR(V324/V$117,0)</f>
        <v/>
      </c>
      <c r="BS324" s="4105">
        <f>IFERROR(W324/W$117,0)</f>
        <v/>
      </c>
      <c r="BT324" s="4105">
        <f>IFERROR(X324/X$117,0)</f>
        <v/>
      </c>
      <c r="BU324" s="4105">
        <f>IFERROR(Y324/Y$117,0)</f>
        <v/>
      </c>
      <c r="BV324" s="4105">
        <f>IFERROR(Z324/Z$117,0)</f>
        <v/>
      </c>
      <c r="BW324" s="4105">
        <f>IFERROR(AA324/AA$117,0)</f>
        <v/>
      </c>
      <c r="BX324" s="4105">
        <f>IFERROR(AB324/AB$117,0)</f>
        <v/>
      </c>
      <c r="BY324" s="4106">
        <f>IFERROR(AC324/AC$117,0)</f>
        <v/>
      </c>
      <c r="BZ324" s="4105">
        <f>IFERROR(AD324/AD$117,0)</f>
        <v/>
      </c>
      <c r="CA324" s="4105">
        <f>IFERROR(AE324/AE$117,0)</f>
        <v/>
      </c>
      <c r="CB324" s="4105">
        <f>IFERROR(AF324/AF$117,0)</f>
        <v/>
      </c>
      <c r="CC324" s="4105">
        <f>IFERROR(AG324/AG$117,0)</f>
        <v/>
      </c>
      <c r="CD324" s="4105">
        <f>IFERROR(AH324/AH$117,0)</f>
        <v/>
      </c>
      <c r="CE324" s="4105">
        <f>IFERROR(AI324/AI$117,0)</f>
        <v/>
      </c>
      <c r="CF324" s="4105">
        <f>IFERROR(AJ324/AJ$117,0)</f>
        <v/>
      </c>
      <c r="CG324" s="4105">
        <f>IFERROR(AK324/AK$117,0)</f>
        <v/>
      </c>
      <c r="CH324" s="4105">
        <f>IFERROR(AL324/AL$117,0)</f>
        <v/>
      </c>
      <c r="CI324" s="4105">
        <f>IFERROR(AM324/AM$117,0)</f>
        <v/>
      </c>
      <c r="CJ324" s="4105">
        <f>IFERROR(AN324/AN$117,0)</f>
        <v/>
      </c>
      <c r="CK324" s="4106">
        <f>IFERROR(AO324/AO$117,0)</f>
        <v/>
      </c>
      <c r="CL324" s="4105">
        <f>IFERROR(AP324/AP$117,0)</f>
        <v/>
      </c>
      <c r="CM324" s="4105">
        <f>IFERROR(AQ324/AQ$117,0)</f>
        <v/>
      </c>
      <c r="CN324" s="4105">
        <f>IFERROR(AR324/AR$117,0)</f>
        <v/>
      </c>
      <c r="CO324" s="4105">
        <f>IFERROR(AS324/AS$117,0)</f>
        <v/>
      </c>
      <c r="CP324" s="4105">
        <f>IFERROR(AT324/AT$117,0)</f>
        <v/>
      </c>
      <c r="CQ324" s="4107">
        <f>IFERROR(AU324/AU$117,0)</f>
        <v/>
      </c>
      <c r="CR324" s="4105">
        <f>IFERROR(AV324/AV$117,0)</f>
        <v/>
      </c>
      <c r="CS324" s="4105">
        <f>IFERROR(AW324/AW$117,0)</f>
        <v/>
      </c>
      <c r="CT324" s="4105">
        <f>IFERROR(AX324/AX$117,0)</f>
        <v/>
      </c>
      <c r="CU324" s="4105">
        <f>IFERROR(AY324/AY$117,0)</f>
        <v/>
      </c>
      <c r="CV324" s="4105">
        <f>IFERROR(AZ324/AZ$117,0)</f>
        <v/>
      </c>
      <c r="CW324" s="3737" t="n"/>
      <c r="CX324" s="4102" t="n">
        <v>-0.60408</v>
      </c>
    </row>
    <row r="325" hidden="1" outlineLevel="2" collapsed="1" ht="12" customFormat="1" customHeight="1" s="3737">
      <c r="A325" s="4059" t="n"/>
      <c r="B325" s="4060" t="n"/>
      <c r="C325" s="4129" t="inlineStr">
        <is>
          <t>Travel expense</t>
        </is>
      </c>
      <c r="D325" s="4093" t="n"/>
      <c r="E325" s="4093" t="n"/>
      <c r="F325" s="4094" t="n"/>
      <c r="G325" s="4094" t="n"/>
      <c r="H325" s="4094" t="n"/>
      <c r="I325" s="4094" t="n"/>
      <c r="J325" s="4094" t="n"/>
      <c r="K325" s="4094" t="n"/>
      <c r="L325" s="4094" t="n"/>
      <c r="M325" s="4094" t="n"/>
      <c r="N325" s="4094" t="n"/>
      <c r="O325" s="4094" t="n"/>
      <c r="P325" s="4094" t="n"/>
      <c r="Q325" s="4095" t="n"/>
      <c r="R325" s="4094" t="n"/>
      <c r="S325" s="4094" t="n"/>
      <c r="T325" s="4094" t="n"/>
      <c r="U325" s="4094" t="n"/>
      <c r="V325" s="4094" t="n"/>
      <c r="W325" s="4094" t="n"/>
      <c r="X325" s="4094" t="n"/>
      <c r="Y325" s="4094" t="n"/>
      <c r="Z325" s="4094" t="n"/>
      <c r="AA325" s="4094" t="n"/>
      <c r="AB325" s="4094" t="n"/>
      <c r="AC325" s="4095" t="n"/>
      <c r="AD325" s="4094" t="n"/>
      <c r="AE325" s="4094" t="n"/>
      <c r="AF325" s="4094" t="n"/>
      <c r="AG325" s="4094" t="n"/>
      <c r="AH325" s="4094" t="n"/>
      <c r="AI325" s="4094" t="n"/>
      <c r="AJ325" s="4094" t="n"/>
      <c r="AK325" s="4094" t="n"/>
      <c r="AL325" s="4094" t="n"/>
      <c r="AM325" s="4094" t="n"/>
      <c r="AN325" s="4094" t="n"/>
      <c r="AO325" s="4095" t="n"/>
      <c r="AP325" s="4094">
        <f>SUM(AP319:AP324)</f>
        <v/>
      </c>
      <c r="AQ325" s="4094">
        <f>SUM(AQ319:AQ324)</f>
        <v/>
      </c>
      <c r="AR325" s="4094">
        <f>SUM(AR319:AR324)</f>
        <v/>
      </c>
      <c r="AS325" s="4094">
        <f>SUM(AS319:AS324)</f>
        <v/>
      </c>
      <c r="AT325" s="4094">
        <f>SUM(AT319:AT324)</f>
        <v/>
      </c>
      <c r="AU325" s="4096">
        <f>SUM(AU319:AU324)</f>
        <v/>
      </c>
      <c r="AV325" s="4094">
        <f>SUM(AV319:AV324)</f>
        <v/>
      </c>
      <c r="AW325" s="4094">
        <f>SUM(AW319:AW324)</f>
        <v/>
      </c>
      <c r="AX325" s="4094">
        <f>SUM(AX319:AX324)</f>
        <v/>
      </c>
      <c r="AY325" s="4094">
        <f>SUM(AY319:AY324)</f>
        <v/>
      </c>
      <c r="AZ325" s="4094">
        <f>SUM(AZ319:AZ324)</f>
        <v/>
      </c>
      <c r="BA325" s="3737" t="n"/>
      <c r="BB325" s="4097">
        <f>IFERROR(F325/F$117,0)</f>
        <v/>
      </c>
      <c r="BC325" s="4097">
        <f>IFERROR(G325/G$117,0)</f>
        <v/>
      </c>
      <c r="BD325" s="4097">
        <f>IFERROR(H325/H$117,0)</f>
        <v/>
      </c>
      <c r="BE325" s="4097">
        <f>IFERROR(I325/I$117,0)</f>
        <v/>
      </c>
      <c r="BF325" s="4097">
        <f>IFERROR(J325/J$117,0)</f>
        <v/>
      </c>
      <c r="BG325" s="4097">
        <f>IFERROR(K325/K$117,0)</f>
        <v/>
      </c>
      <c r="BH325" s="4097">
        <f>IFERROR(L325/L$117,0)</f>
        <v/>
      </c>
      <c r="BI325" s="4097">
        <f>IFERROR(M325/M$117,0)</f>
        <v/>
      </c>
      <c r="BJ325" s="4097">
        <f>IFERROR(N325/N$117,0)</f>
        <v/>
      </c>
      <c r="BK325" s="4097">
        <f>IFERROR(O325/O$117,0)</f>
        <v/>
      </c>
      <c r="BL325" s="4097">
        <f>IFERROR(P325/P$117,0)</f>
        <v/>
      </c>
      <c r="BM325" s="4098">
        <f>IFERROR(Q325/Q$117,0)</f>
        <v/>
      </c>
      <c r="BN325" s="4097">
        <f>IFERROR(R325/R$117,0)</f>
        <v/>
      </c>
      <c r="BO325" s="4097">
        <f>IFERROR(S325/S$117,0)</f>
        <v/>
      </c>
      <c r="BP325" s="4097">
        <f>IFERROR(T325/T$117,0)</f>
        <v/>
      </c>
      <c r="BQ325" s="4097">
        <f>IFERROR(U325/U$117,0)</f>
        <v/>
      </c>
      <c r="BR325" s="4097">
        <f>IFERROR(V325/V$117,0)</f>
        <v/>
      </c>
      <c r="BS325" s="4097">
        <f>IFERROR(W325/W$117,0)</f>
        <v/>
      </c>
      <c r="BT325" s="4097">
        <f>IFERROR(X325/X$117,0)</f>
        <v/>
      </c>
      <c r="BU325" s="4097">
        <f>IFERROR(Y325/Y$117,0)</f>
        <v/>
      </c>
      <c r="BV325" s="4097">
        <f>IFERROR(Z325/Z$117,0)</f>
        <v/>
      </c>
      <c r="BW325" s="4097">
        <f>IFERROR(AA325/AA$117,0)</f>
        <v/>
      </c>
      <c r="BX325" s="4097">
        <f>IFERROR(AB325/AB$117,0)</f>
        <v/>
      </c>
      <c r="BY325" s="4098">
        <f>IFERROR(AC325/AC$117,0)</f>
        <v/>
      </c>
      <c r="BZ325" s="4097">
        <f>IFERROR(AD325/AD$117,0)</f>
        <v/>
      </c>
      <c r="CA325" s="4097">
        <f>IFERROR(AE325/AE$117,0)</f>
        <v/>
      </c>
      <c r="CB325" s="4097">
        <f>IFERROR(AF325/AF$117,0)</f>
        <v/>
      </c>
      <c r="CC325" s="4097">
        <f>IFERROR(AG325/AG$117,0)</f>
        <v/>
      </c>
      <c r="CD325" s="4097">
        <f>IFERROR(AH325/AH$117,0)</f>
        <v/>
      </c>
      <c r="CE325" s="4097">
        <f>IFERROR(AI325/AI$117,0)</f>
        <v/>
      </c>
      <c r="CF325" s="4097">
        <f>IFERROR(AJ325/AJ$117,0)</f>
        <v/>
      </c>
      <c r="CG325" s="4097">
        <f>IFERROR(AK325/AK$117,0)</f>
        <v/>
      </c>
      <c r="CH325" s="4097">
        <f>IFERROR(AL325/AL$117,0)</f>
        <v/>
      </c>
      <c r="CI325" s="4097">
        <f>IFERROR(AM325/AM$117,0)</f>
        <v/>
      </c>
      <c r="CJ325" s="4097">
        <f>IFERROR(AN325/AN$117,0)</f>
        <v/>
      </c>
      <c r="CK325" s="4098">
        <f>IFERROR(AO325/AO$117,0)</f>
        <v/>
      </c>
      <c r="CL325" s="4097">
        <f>IFERROR(AP325/AP$117,0)</f>
        <v/>
      </c>
      <c r="CM325" s="4097">
        <f>IFERROR(AQ325/AQ$117,0)</f>
        <v/>
      </c>
      <c r="CN325" s="4097">
        <f>IFERROR(AR325/AR$117,0)</f>
        <v/>
      </c>
      <c r="CO325" s="4097">
        <f>IFERROR(AS325/AS$117,0)</f>
        <v/>
      </c>
      <c r="CP325" s="4097">
        <f>IFERROR(AT325/AT$117,0)</f>
        <v/>
      </c>
      <c r="CQ325" s="4099">
        <f>IFERROR(AU325/AU$117,0)</f>
        <v/>
      </c>
      <c r="CR325" s="4097">
        <f>IFERROR(AV325/AV$117,0)</f>
        <v/>
      </c>
      <c r="CS325" s="4097">
        <f>IFERROR(AW325/AW$117,0)</f>
        <v/>
      </c>
      <c r="CT325" s="4097">
        <f>IFERROR(AX325/AX$117,0)</f>
        <v/>
      </c>
      <c r="CU325" s="4097">
        <f>IFERROR(AY325/AY$117,0)</f>
        <v/>
      </c>
      <c r="CV325" s="4097">
        <f>IFERROR(AZ325/AZ$117,0)</f>
        <v/>
      </c>
      <c r="CW325" s="3737" t="n"/>
      <c r="CX325" s="4094">
        <f>SUM(CX319:CX324)</f>
        <v/>
      </c>
    </row>
    <row r="326" hidden="1" outlineLevel="3" ht="12" customFormat="1" customHeight="1" s="3737">
      <c r="A326" s="4059" t="n"/>
      <c r="B326" s="4060" t="n"/>
      <c r="C326" s="4142" t="inlineStr">
        <is>
          <t>Charitable contributions</t>
        </is>
      </c>
      <c r="D326" s="4101" t="n">
        <v>651205</v>
      </c>
      <c r="E326" s="4101">
        <f>CONCATENATE(D326," - ",C326)</f>
        <v/>
      </c>
      <c r="F326" s="4102" t="n"/>
      <c r="G326" s="4102" t="n"/>
      <c r="H326" s="4102" t="n"/>
      <c r="I326" s="4102" t="n"/>
      <c r="J326" s="4102" t="n"/>
      <c r="K326" s="4102" t="n"/>
      <c r="L326" s="4102" t="n"/>
      <c r="M326" s="4102" t="n"/>
      <c r="N326" s="4102" t="n"/>
      <c r="O326" s="4102" t="n"/>
      <c r="P326" s="4102" t="n"/>
      <c r="Q326" s="4103" t="n"/>
      <c r="R326" s="4102" t="n"/>
      <c r="S326" s="4102" t="n"/>
      <c r="T326" s="4102" t="n"/>
      <c r="U326" s="4102" t="n"/>
      <c r="V326" s="4102" t="n"/>
      <c r="W326" s="4102" t="n"/>
      <c r="X326" s="4102" t="n"/>
      <c r="Y326" s="4102" t="n"/>
      <c r="Z326" s="4102" t="n"/>
      <c r="AA326" s="4102" t="n"/>
      <c r="AB326" s="4102" t="n"/>
      <c r="AC326" s="4103" t="n"/>
      <c r="AD326" s="4102" t="n"/>
      <c r="AE326" s="4102" t="n"/>
      <c r="AF326" s="4102" t="n"/>
      <c r="AG326" s="4102" t="n"/>
      <c r="AH326" s="4102" t="n"/>
      <c r="AI326" s="4102" t="n"/>
      <c r="AJ326" s="4102" t="n"/>
      <c r="AK326" s="4102" t="n"/>
      <c r="AL326" s="4102" t="n"/>
      <c r="AM326" s="4102" t="n"/>
      <c r="AN326" s="4102" t="n"/>
      <c r="AO326" s="4103" t="n"/>
      <c r="AP326" s="4102" t="n">
        <v>0</v>
      </c>
      <c r="AQ326" s="4102" t="n">
        <v>-15</v>
      </c>
      <c r="AR326" s="4102" t="n">
        <v>-0.1</v>
      </c>
      <c r="AS326" s="4102" t="n">
        <v>0</v>
      </c>
      <c r="AT326" s="4102" t="n">
        <v>0</v>
      </c>
      <c r="AU326" s="4104" t="n">
        <v>0</v>
      </c>
      <c r="AV326" s="4102">
        <f>SUM(F326:Q326)</f>
        <v/>
      </c>
      <c r="AW326" s="4102">
        <f>SUM(R326:AC326)</f>
        <v/>
      </c>
      <c r="AX326" s="4102">
        <f>SUM(AD326:AO326)</f>
        <v/>
      </c>
      <c r="AY326" s="4102">
        <f>SUM(AH326:AS326)</f>
        <v/>
      </c>
      <c r="AZ326" s="4102">
        <f>SUM(AJ326:AU326)</f>
        <v/>
      </c>
      <c r="BA326" s="3737" t="n"/>
      <c r="BB326" s="4105">
        <f>IFERROR(F326/F$117,0)</f>
        <v/>
      </c>
      <c r="BC326" s="4105">
        <f>IFERROR(G326/G$117,0)</f>
        <v/>
      </c>
      <c r="BD326" s="4105">
        <f>IFERROR(H326/H$117,0)</f>
        <v/>
      </c>
      <c r="BE326" s="4105">
        <f>IFERROR(I326/I$117,0)</f>
        <v/>
      </c>
      <c r="BF326" s="4105">
        <f>IFERROR(J326/J$117,0)</f>
        <v/>
      </c>
      <c r="BG326" s="4105">
        <f>IFERROR(K326/K$117,0)</f>
        <v/>
      </c>
      <c r="BH326" s="4105">
        <f>IFERROR(L326/L$117,0)</f>
        <v/>
      </c>
      <c r="BI326" s="4105">
        <f>IFERROR(M326/M$117,0)</f>
        <v/>
      </c>
      <c r="BJ326" s="4105">
        <f>IFERROR(N326/N$117,0)</f>
        <v/>
      </c>
      <c r="BK326" s="4105">
        <f>IFERROR(O326/O$117,0)</f>
        <v/>
      </c>
      <c r="BL326" s="4105">
        <f>IFERROR(P326/P$117,0)</f>
        <v/>
      </c>
      <c r="BM326" s="4106">
        <f>IFERROR(Q326/Q$117,0)</f>
        <v/>
      </c>
      <c r="BN326" s="4105">
        <f>IFERROR(R326/R$117,0)</f>
        <v/>
      </c>
      <c r="BO326" s="4105">
        <f>IFERROR(S326/S$117,0)</f>
        <v/>
      </c>
      <c r="BP326" s="4105">
        <f>IFERROR(T326/T$117,0)</f>
        <v/>
      </c>
      <c r="BQ326" s="4105">
        <f>IFERROR(U326/U$117,0)</f>
        <v/>
      </c>
      <c r="BR326" s="4105">
        <f>IFERROR(V326/V$117,0)</f>
        <v/>
      </c>
      <c r="BS326" s="4105">
        <f>IFERROR(W326/W$117,0)</f>
        <v/>
      </c>
      <c r="BT326" s="4105">
        <f>IFERROR(X326/X$117,0)</f>
        <v/>
      </c>
      <c r="BU326" s="4105">
        <f>IFERROR(Y326/Y$117,0)</f>
        <v/>
      </c>
      <c r="BV326" s="4105">
        <f>IFERROR(Z326/Z$117,0)</f>
        <v/>
      </c>
      <c r="BW326" s="4105">
        <f>IFERROR(AA326/AA$117,0)</f>
        <v/>
      </c>
      <c r="BX326" s="4105">
        <f>IFERROR(AB326/AB$117,0)</f>
        <v/>
      </c>
      <c r="BY326" s="4106">
        <f>IFERROR(AC326/AC$117,0)</f>
        <v/>
      </c>
      <c r="BZ326" s="4105">
        <f>IFERROR(AD326/AD$117,0)</f>
        <v/>
      </c>
      <c r="CA326" s="4105">
        <f>IFERROR(AE326/AE$117,0)</f>
        <v/>
      </c>
      <c r="CB326" s="4105">
        <f>IFERROR(AF326/AF$117,0)</f>
        <v/>
      </c>
      <c r="CC326" s="4105">
        <f>IFERROR(AG326/AG$117,0)</f>
        <v/>
      </c>
      <c r="CD326" s="4105">
        <f>IFERROR(AH326/AH$117,0)</f>
        <v/>
      </c>
      <c r="CE326" s="4105">
        <f>IFERROR(AI326/AI$117,0)</f>
        <v/>
      </c>
      <c r="CF326" s="4105">
        <f>IFERROR(AJ326/AJ$117,0)</f>
        <v/>
      </c>
      <c r="CG326" s="4105">
        <f>IFERROR(AK326/AK$117,0)</f>
        <v/>
      </c>
      <c r="CH326" s="4105">
        <f>IFERROR(AL326/AL$117,0)</f>
        <v/>
      </c>
      <c r="CI326" s="4105">
        <f>IFERROR(AM326/AM$117,0)</f>
        <v/>
      </c>
      <c r="CJ326" s="4105">
        <f>IFERROR(AN326/AN$117,0)</f>
        <v/>
      </c>
      <c r="CK326" s="4106">
        <f>IFERROR(AO326/AO$117,0)</f>
        <v/>
      </c>
      <c r="CL326" s="4105">
        <f>IFERROR(AP326/AP$117,0)</f>
        <v/>
      </c>
      <c r="CM326" s="4105">
        <f>IFERROR(AQ326/AQ$117,0)</f>
        <v/>
      </c>
      <c r="CN326" s="4105">
        <f>IFERROR(AR326/AR$117,0)</f>
        <v/>
      </c>
      <c r="CO326" s="4105">
        <f>IFERROR(AS326/AS$117,0)</f>
        <v/>
      </c>
      <c r="CP326" s="4105">
        <f>IFERROR(AT326/AT$117,0)</f>
        <v/>
      </c>
      <c r="CQ326" s="4107">
        <f>IFERROR(AU326/AU$117,0)</f>
        <v/>
      </c>
      <c r="CR326" s="4105">
        <f>IFERROR(AV326/AV$117,0)</f>
        <v/>
      </c>
      <c r="CS326" s="4105">
        <f>IFERROR(AW326/AW$117,0)</f>
        <v/>
      </c>
      <c r="CT326" s="4105">
        <f>IFERROR(AX326/AX$117,0)</f>
        <v/>
      </c>
      <c r="CU326" s="4105">
        <f>IFERROR(AY326/AY$117,0)</f>
        <v/>
      </c>
      <c r="CV326" s="4105">
        <f>IFERROR(AZ326/AZ$117,0)</f>
        <v/>
      </c>
      <c r="CW326" s="3737" t="n"/>
      <c r="CX326" s="4102" t="n">
        <v>-25</v>
      </c>
    </row>
    <row r="327" hidden="1" outlineLevel="2" collapsed="1" ht="12" customFormat="1" customHeight="1" s="3737">
      <c r="A327" s="4059" t="n"/>
      <c r="B327" s="4060" t="n"/>
      <c r="C327" s="4138" t="inlineStr">
        <is>
          <t>Charitable contributions</t>
        </is>
      </c>
      <c r="D327" s="4101" t="n"/>
      <c r="E327" s="4101" t="n"/>
      <c r="F327" s="4102" t="n"/>
      <c r="G327" s="4102" t="n"/>
      <c r="H327" s="4102" t="n"/>
      <c r="I327" s="4102" t="n"/>
      <c r="J327" s="4102" t="n"/>
      <c r="K327" s="4102" t="n"/>
      <c r="L327" s="4102" t="n"/>
      <c r="M327" s="4102" t="n"/>
      <c r="N327" s="4102" t="n"/>
      <c r="O327" s="4102" t="n"/>
      <c r="P327" s="4102" t="n"/>
      <c r="Q327" s="4103" t="n"/>
      <c r="R327" s="4102" t="n"/>
      <c r="S327" s="4102" t="n"/>
      <c r="T327" s="4102" t="n"/>
      <c r="U327" s="4102" t="n"/>
      <c r="V327" s="4102" t="n"/>
      <c r="W327" s="4102" t="n"/>
      <c r="X327" s="4102" t="n"/>
      <c r="Y327" s="4102" t="n"/>
      <c r="Z327" s="4102" t="n"/>
      <c r="AA327" s="4102" t="n"/>
      <c r="AB327" s="4102" t="n"/>
      <c r="AC327" s="4103" t="n"/>
      <c r="AD327" s="4102" t="n"/>
      <c r="AE327" s="4102" t="n"/>
      <c r="AF327" s="4102" t="n"/>
      <c r="AG327" s="4102" t="n"/>
      <c r="AH327" s="4102" t="n"/>
      <c r="AI327" s="4102" t="n"/>
      <c r="AJ327" s="4102" t="n"/>
      <c r="AK327" s="4102" t="n"/>
      <c r="AL327" s="4102" t="n"/>
      <c r="AM327" s="4102" t="n"/>
      <c r="AN327" s="4102" t="n"/>
      <c r="AO327" s="4103" t="n"/>
      <c r="AP327" s="4102">
        <f>SUM(AP326)</f>
        <v/>
      </c>
      <c r="AQ327" s="4102">
        <f>SUM(AQ326)</f>
        <v/>
      </c>
      <c r="AR327" s="4102">
        <f>SUM(AR326)</f>
        <v/>
      </c>
      <c r="AS327" s="4102">
        <f>SUM(AS326)</f>
        <v/>
      </c>
      <c r="AT327" s="4102">
        <f>SUM(AT326)</f>
        <v/>
      </c>
      <c r="AU327" s="4104">
        <f>SUM(AU326)</f>
        <v/>
      </c>
      <c r="AV327" s="4102">
        <f>SUM(AV326)</f>
        <v/>
      </c>
      <c r="AW327" s="4102">
        <f>SUM(AW326)</f>
        <v/>
      </c>
      <c r="AX327" s="4102">
        <f>SUM(AX326)</f>
        <v/>
      </c>
      <c r="AY327" s="4102">
        <f>SUM(AY326)</f>
        <v/>
      </c>
      <c r="AZ327" s="4102">
        <f>SUM(AZ326)</f>
        <v/>
      </c>
      <c r="BA327" s="3737" t="n"/>
      <c r="BB327" s="4105">
        <f>IFERROR(F327/F$117,0)</f>
        <v/>
      </c>
      <c r="BC327" s="4105">
        <f>IFERROR(G327/G$117,0)</f>
        <v/>
      </c>
      <c r="BD327" s="4105">
        <f>IFERROR(H327/H$117,0)</f>
        <v/>
      </c>
      <c r="BE327" s="4105">
        <f>IFERROR(I327/I$117,0)</f>
        <v/>
      </c>
      <c r="BF327" s="4105">
        <f>IFERROR(J327/J$117,0)</f>
        <v/>
      </c>
      <c r="BG327" s="4105">
        <f>IFERROR(K327/K$117,0)</f>
        <v/>
      </c>
      <c r="BH327" s="4105">
        <f>IFERROR(L327/L$117,0)</f>
        <v/>
      </c>
      <c r="BI327" s="4105">
        <f>IFERROR(M327/M$117,0)</f>
        <v/>
      </c>
      <c r="BJ327" s="4105">
        <f>IFERROR(N327/N$117,0)</f>
        <v/>
      </c>
      <c r="BK327" s="4105">
        <f>IFERROR(O327/O$117,0)</f>
        <v/>
      </c>
      <c r="BL327" s="4105">
        <f>IFERROR(P327/P$117,0)</f>
        <v/>
      </c>
      <c r="BM327" s="4106">
        <f>IFERROR(Q327/Q$117,0)</f>
        <v/>
      </c>
      <c r="BN327" s="4105">
        <f>IFERROR(R327/R$117,0)</f>
        <v/>
      </c>
      <c r="BO327" s="4105">
        <f>IFERROR(S327/S$117,0)</f>
        <v/>
      </c>
      <c r="BP327" s="4105">
        <f>IFERROR(T327/T$117,0)</f>
        <v/>
      </c>
      <c r="BQ327" s="4105">
        <f>IFERROR(U327/U$117,0)</f>
        <v/>
      </c>
      <c r="BR327" s="4105">
        <f>IFERROR(V327/V$117,0)</f>
        <v/>
      </c>
      <c r="BS327" s="4105">
        <f>IFERROR(W327/W$117,0)</f>
        <v/>
      </c>
      <c r="BT327" s="4105">
        <f>IFERROR(X327/X$117,0)</f>
        <v/>
      </c>
      <c r="BU327" s="4105">
        <f>IFERROR(Y327/Y$117,0)</f>
        <v/>
      </c>
      <c r="BV327" s="4105">
        <f>IFERROR(Z327/Z$117,0)</f>
        <v/>
      </c>
      <c r="BW327" s="4105">
        <f>IFERROR(AA327/AA$117,0)</f>
        <v/>
      </c>
      <c r="BX327" s="4105">
        <f>IFERROR(AB327/AB$117,0)</f>
        <v/>
      </c>
      <c r="BY327" s="4106">
        <f>IFERROR(AC327/AC$117,0)</f>
        <v/>
      </c>
      <c r="BZ327" s="4105">
        <f>IFERROR(AD327/AD$117,0)</f>
        <v/>
      </c>
      <c r="CA327" s="4105">
        <f>IFERROR(AE327/AE$117,0)</f>
        <v/>
      </c>
      <c r="CB327" s="4105">
        <f>IFERROR(AF327/AF$117,0)</f>
        <v/>
      </c>
      <c r="CC327" s="4105">
        <f>IFERROR(AG327/AG$117,0)</f>
        <v/>
      </c>
      <c r="CD327" s="4105">
        <f>IFERROR(AH327/AH$117,0)</f>
        <v/>
      </c>
      <c r="CE327" s="4105">
        <f>IFERROR(AI327/AI$117,0)</f>
        <v/>
      </c>
      <c r="CF327" s="4105">
        <f>IFERROR(AJ327/AJ$117,0)</f>
        <v/>
      </c>
      <c r="CG327" s="4105">
        <f>IFERROR(AK327/AK$117,0)</f>
        <v/>
      </c>
      <c r="CH327" s="4105">
        <f>IFERROR(AL327/AL$117,0)</f>
        <v/>
      </c>
      <c r="CI327" s="4105">
        <f>IFERROR(AM327/AM$117,0)</f>
        <v/>
      </c>
      <c r="CJ327" s="4105">
        <f>IFERROR(AN327/AN$117,0)</f>
        <v/>
      </c>
      <c r="CK327" s="4106">
        <f>IFERROR(AO327/AO$117,0)</f>
        <v/>
      </c>
      <c r="CL327" s="4105">
        <f>IFERROR(AP327/AP$117,0)</f>
        <v/>
      </c>
      <c r="CM327" s="4105">
        <f>IFERROR(AQ327/AQ$117,0)</f>
        <v/>
      </c>
      <c r="CN327" s="4105">
        <f>IFERROR(AR327/AR$117,0)</f>
        <v/>
      </c>
      <c r="CO327" s="4105">
        <f>IFERROR(AS327/AS$117,0)</f>
        <v/>
      </c>
      <c r="CP327" s="4105">
        <f>IFERROR(AT327/AT$117,0)</f>
        <v/>
      </c>
      <c r="CQ327" s="4107">
        <f>IFERROR(AU327/AU$117,0)</f>
        <v/>
      </c>
      <c r="CR327" s="4105">
        <f>IFERROR(AV327/AV$117,0)</f>
        <v/>
      </c>
      <c r="CS327" s="4105">
        <f>IFERROR(AW327/AW$117,0)</f>
        <v/>
      </c>
      <c r="CT327" s="4105">
        <f>IFERROR(AX327/AX$117,0)</f>
        <v/>
      </c>
      <c r="CU327" s="4105">
        <f>IFERROR(AY327/AY$117,0)</f>
        <v/>
      </c>
      <c r="CV327" s="4105">
        <f>IFERROR(AZ327/AZ$117,0)</f>
        <v/>
      </c>
      <c r="CW327" s="3737" t="n"/>
      <c r="CX327" s="4102">
        <f>SUM(CX326)</f>
        <v/>
      </c>
    </row>
    <row r="328" hidden="1" outlineLevel="1" ht="12" customFormat="1" customHeight="1" s="3737">
      <c r="A328" s="4059" t="n"/>
      <c r="B328" s="4060" t="n"/>
      <c r="C328" s="4109" t="inlineStr">
        <is>
          <t>Discretionary expense</t>
        </is>
      </c>
      <c r="D328" s="4093" t="n"/>
      <c r="E328" s="4093" t="n"/>
      <c r="F328" s="4094" t="n"/>
      <c r="G328" s="4094" t="n"/>
      <c r="H328" s="4094" t="n"/>
      <c r="I328" s="4094" t="n"/>
      <c r="J328" s="4094" t="n"/>
      <c r="K328" s="4094" t="n"/>
      <c r="L328" s="4094" t="n"/>
      <c r="M328" s="4094" t="n"/>
      <c r="N328" s="4094" t="n"/>
      <c r="O328" s="4094" t="n"/>
      <c r="P328" s="4094" t="n"/>
      <c r="Q328" s="4095" t="n"/>
      <c r="R328" s="4094" t="n"/>
      <c r="S328" s="4094" t="n"/>
      <c r="T328" s="4094" t="n"/>
      <c r="U328" s="4094" t="n"/>
      <c r="V328" s="4094" t="n"/>
      <c r="W328" s="4094" t="n"/>
      <c r="X328" s="4094" t="n"/>
      <c r="Y328" s="4094" t="n"/>
      <c r="Z328" s="4094" t="n"/>
      <c r="AA328" s="4094" t="n"/>
      <c r="AB328" s="4094" t="n"/>
      <c r="AC328" s="4095" t="n"/>
      <c r="AD328" s="4094" t="n"/>
      <c r="AE328" s="4094" t="n"/>
      <c r="AF328" s="4094" t="n"/>
      <c r="AG328" s="4094" t="n"/>
      <c r="AH328" s="4094" t="n"/>
      <c r="AI328" s="4094" t="n"/>
      <c r="AJ328" s="4094" t="n"/>
      <c r="AK328" s="4094" t="n"/>
      <c r="AL328" s="4094" t="n"/>
      <c r="AM328" s="4094" t="n"/>
      <c r="AN328" s="4094" t="n"/>
      <c r="AO328" s="4095" t="n"/>
      <c r="AP328" s="4094">
        <f>SUM(AP318,AP327,AP308,AP325,AP311)</f>
        <v/>
      </c>
      <c r="AQ328" s="4094">
        <f>SUM(AQ318,AQ327,AQ308,AQ325,AQ311)</f>
        <v/>
      </c>
      <c r="AR328" s="4094">
        <f>SUM(AR318,AR327,AR308,AR325,AR311)</f>
        <v/>
      </c>
      <c r="AS328" s="4094">
        <f>SUM(AS318,AS327,AS308,AS325,AS311)</f>
        <v/>
      </c>
      <c r="AT328" s="4094">
        <f>SUM(AT318,AT327,AT308,AT325,AT311)</f>
        <v/>
      </c>
      <c r="AU328" s="4096">
        <f>SUM(AU318,AU327,AU308,AU325,AU311)</f>
        <v/>
      </c>
      <c r="AV328" s="4094">
        <f>SUM(AV318,AV327,AV308,AV325,AV311)</f>
        <v/>
      </c>
      <c r="AW328" s="4094">
        <f>SUM(AW318,AW327,AW308,AW325,AW311)</f>
        <v/>
      </c>
      <c r="AX328" s="4094">
        <f>SUM(AX318,AX327,AX308,AX325,AX311)</f>
        <v/>
      </c>
      <c r="AY328" s="4094">
        <f>SUM(AY318,AY327,AY308,AY325,AY311)</f>
        <v/>
      </c>
      <c r="AZ328" s="4094">
        <f>SUM(AZ318,AZ327,AZ308,AZ325,AZ311)</f>
        <v/>
      </c>
      <c r="BA328" s="3737" t="n"/>
      <c r="BB328" s="4097">
        <f>IFERROR(F328/F$117,0)</f>
        <v/>
      </c>
      <c r="BC328" s="4097">
        <f>IFERROR(G328/G$117,0)</f>
        <v/>
      </c>
      <c r="BD328" s="4097">
        <f>IFERROR(H328/H$117,0)</f>
        <v/>
      </c>
      <c r="BE328" s="4097">
        <f>IFERROR(I328/I$117,0)</f>
        <v/>
      </c>
      <c r="BF328" s="4097">
        <f>IFERROR(J328/J$117,0)</f>
        <v/>
      </c>
      <c r="BG328" s="4097">
        <f>IFERROR(K328/K$117,0)</f>
        <v/>
      </c>
      <c r="BH328" s="4097">
        <f>IFERROR(L328/L$117,0)</f>
        <v/>
      </c>
      <c r="BI328" s="4097">
        <f>IFERROR(M328/M$117,0)</f>
        <v/>
      </c>
      <c r="BJ328" s="4097">
        <f>IFERROR(N328/N$117,0)</f>
        <v/>
      </c>
      <c r="BK328" s="4097">
        <f>IFERROR(O328/O$117,0)</f>
        <v/>
      </c>
      <c r="BL328" s="4097">
        <f>IFERROR(P328/P$117,0)</f>
        <v/>
      </c>
      <c r="BM328" s="4098">
        <f>IFERROR(Q328/Q$117,0)</f>
        <v/>
      </c>
      <c r="BN328" s="4097">
        <f>IFERROR(R328/R$117,0)</f>
        <v/>
      </c>
      <c r="BO328" s="4097">
        <f>IFERROR(S328/S$117,0)</f>
        <v/>
      </c>
      <c r="BP328" s="4097">
        <f>IFERROR(T328/T$117,0)</f>
        <v/>
      </c>
      <c r="BQ328" s="4097">
        <f>IFERROR(U328/U$117,0)</f>
        <v/>
      </c>
      <c r="BR328" s="4097">
        <f>IFERROR(V328/V$117,0)</f>
        <v/>
      </c>
      <c r="BS328" s="4097">
        <f>IFERROR(W328/W$117,0)</f>
        <v/>
      </c>
      <c r="BT328" s="4097">
        <f>IFERROR(X328/X$117,0)</f>
        <v/>
      </c>
      <c r="BU328" s="4097">
        <f>IFERROR(Y328/Y$117,0)</f>
        <v/>
      </c>
      <c r="BV328" s="4097">
        <f>IFERROR(Z328/Z$117,0)</f>
        <v/>
      </c>
      <c r="BW328" s="4097">
        <f>IFERROR(AA328/AA$117,0)</f>
        <v/>
      </c>
      <c r="BX328" s="4097">
        <f>IFERROR(AB328/AB$117,0)</f>
        <v/>
      </c>
      <c r="BY328" s="4098">
        <f>IFERROR(AC328/AC$117,0)</f>
        <v/>
      </c>
      <c r="BZ328" s="4097">
        <f>IFERROR(AD328/AD$117,0)</f>
        <v/>
      </c>
      <c r="CA328" s="4097">
        <f>IFERROR(AE328/AE$117,0)</f>
        <v/>
      </c>
      <c r="CB328" s="4097">
        <f>IFERROR(AF328/AF$117,0)</f>
        <v/>
      </c>
      <c r="CC328" s="4097">
        <f>IFERROR(AG328/AG$117,0)</f>
        <v/>
      </c>
      <c r="CD328" s="4097">
        <f>IFERROR(AH328/AH$117,0)</f>
        <v/>
      </c>
      <c r="CE328" s="4097">
        <f>IFERROR(AI328/AI$117,0)</f>
        <v/>
      </c>
      <c r="CF328" s="4097">
        <f>IFERROR(AJ328/AJ$117,0)</f>
        <v/>
      </c>
      <c r="CG328" s="4097">
        <f>IFERROR(AK328/AK$117,0)</f>
        <v/>
      </c>
      <c r="CH328" s="4097">
        <f>IFERROR(AL328/AL$117,0)</f>
        <v/>
      </c>
      <c r="CI328" s="4097">
        <f>IFERROR(AM328/AM$117,0)</f>
        <v/>
      </c>
      <c r="CJ328" s="4097">
        <f>IFERROR(AN328/AN$117,0)</f>
        <v/>
      </c>
      <c r="CK328" s="4098">
        <f>IFERROR(AO328/AO$117,0)</f>
        <v/>
      </c>
      <c r="CL328" s="4097">
        <f>IFERROR(AP328/AP$117,0)</f>
        <v/>
      </c>
      <c r="CM328" s="4097">
        <f>IFERROR(AQ328/AQ$117,0)</f>
        <v/>
      </c>
      <c r="CN328" s="4097">
        <f>IFERROR(AR328/AR$117,0)</f>
        <v/>
      </c>
      <c r="CO328" s="4097">
        <f>IFERROR(AS328/AS$117,0)</f>
        <v/>
      </c>
      <c r="CP328" s="4097">
        <f>IFERROR(AT328/AT$117,0)</f>
        <v/>
      </c>
      <c r="CQ328" s="4099">
        <f>IFERROR(AU328/AU$117,0)</f>
        <v/>
      </c>
      <c r="CR328" s="4097">
        <f>IFERROR(AV328/AV$117,0)</f>
        <v/>
      </c>
      <c r="CS328" s="4097">
        <f>IFERROR(AW328/AW$117,0)</f>
        <v/>
      </c>
      <c r="CT328" s="4097">
        <f>IFERROR(AX328/AX$117,0)</f>
        <v/>
      </c>
      <c r="CU328" s="4097">
        <f>IFERROR(AY328/AY$117,0)</f>
        <v/>
      </c>
      <c r="CV328" s="4097">
        <f>IFERROR(AZ328/AZ$117,0)</f>
        <v/>
      </c>
      <c r="CW328" s="3737" t="n"/>
      <c r="CX328" s="4094">
        <f>SUM(CX318,CX327,CX308,CX325,CX311)</f>
        <v/>
      </c>
    </row>
    <row r="329" hidden="1" outlineLevel="3" ht="12" customFormat="1" customHeight="1" s="3737">
      <c r="A329" s="4059" t="n"/>
      <c r="B329" s="4060" t="n"/>
      <c r="C329" s="4142" t="inlineStr">
        <is>
          <t>Intercompany expenses - co-op financial</t>
        </is>
      </c>
      <c r="D329" s="4101" t="n">
        <v>671920</v>
      </c>
      <c r="E329" s="4101">
        <f>CONCATENATE(D329," - ",C329)</f>
        <v/>
      </c>
      <c r="F329" s="4102" t="n"/>
      <c r="G329" s="4102" t="n"/>
      <c r="H329" s="4102" t="n"/>
      <c r="I329" s="4102" t="n"/>
      <c r="J329" s="4102" t="n"/>
      <c r="K329" s="4102" t="n"/>
      <c r="L329" s="4102" t="n"/>
      <c r="M329" s="4102" t="n"/>
      <c r="N329" s="4102" t="n"/>
      <c r="O329" s="4102" t="n"/>
      <c r="P329" s="4102" t="n"/>
      <c r="Q329" s="4103" t="n"/>
      <c r="R329" s="4102" t="n"/>
      <c r="S329" s="4102" t="n"/>
      <c r="T329" s="4102" t="n"/>
      <c r="U329" s="4102" t="n"/>
      <c r="V329" s="4102" t="n"/>
      <c r="W329" s="4102" t="n"/>
      <c r="X329" s="4102" t="n"/>
      <c r="Y329" s="4102" t="n"/>
      <c r="Z329" s="4102" t="n"/>
      <c r="AA329" s="4102" t="n"/>
      <c r="AB329" s="4102" t="n"/>
      <c r="AC329" s="4103" t="n"/>
      <c r="AD329" s="4102" t="n"/>
      <c r="AE329" s="4102" t="n"/>
      <c r="AF329" s="4102" t="n"/>
      <c r="AG329" s="4102" t="n"/>
      <c r="AH329" s="4102" t="n"/>
      <c r="AI329" s="4102" t="n"/>
      <c r="AJ329" s="4102" t="n"/>
      <c r="AK329" s="4102" t="n"/>
      <c r="AL329" s="4102" t="n"/>
      <c r="AM329" s="4102" t="n"/>
      <c r="AN329" s="4102" t="n"/>
      <c r="AO329" s="4103" t="n"/>
      <c r="AP329" s="4102" t="n">
        <v>0</v>
      </c>
      <c r="AQ329" s="4102" t="n">
        <v>0</v>
      </c>
      <c r="AR329" s="4102" t="n">
        <v>0</v>
      </c>
      <c r="AS329" s="4102" t="n">
        <v>0</v>
      </c>
      <c r="AT329" s="4102" t="n">
        <v>0</v>
      </c>
      <c r="AU329" s="4104" t="n">
        <v>0</v>
      </c>
      <c r="AV329" s="4102">
        <f>SUM(F329:Q329)</f>
        <v/>
      </c>
      <c r="AW329" s="4102">
        <f>SUM(R329:AC329)</f>
        <v/>
      </c>
      <c r="AX329" s="4102">
        <f>SUM(AD329:AO329)</f>
        <v/>
      </c>
      <c r="AY329" s="4102">
        <f>SUM(AH329:AS329)</f>
        <v/>
      </c>
      <c r="AZ329" s="4102">
        <f>SUM(AJ329:AU329)</f>
        <v/>
      </c>
      <c r="BA329" s="3737" t="n"/>
      <c r="BB329" s="4105">
        <f>IFERROR(F329/F$117,0)</f>
        <v/>
      </c>
      <c r="BC329" s="4105">
        <f>IFERROR(G329/G$117,0)</f>
        <v/>
      </c>
      <c r="BD329" s="4105">
        <f>IFERROR(H329/H$117,0)</f>
        <v/>
      </c>
      <c r="BE329" s="4105">
        <f>IFERROR(I329/I$117,0)</f>
        <v/>
      </c>
      <c r="BF329" s="4105">
        <f>IFERROR(J329/J$117,0)</f>
        <v/>
      </c>
      <c r="BG329" s="4105">
        <f>IFERROR(K329/K$117,0)</f>
        <v/>
      </c>
      <c r="BH329" s="4105">
        <f>IFERROR(L329/L$117,0)</f>
        <v/>
      </c>
      <c r="BI329" s="4105">
        <f>IFERROR(M329/M$117,0)</f>
        <v/>
      </c>
      <c r="BJ329" s="4105">
        <f>IFERROR(N329/N$117,0)</f>
        <v/>
      </c>
      <c r="BK329" s="4105">
        <f>IFERROR(O329/O$117,0)</f>
        <v/>
      </c>
      <c r="BL329" s="4105">
        <f>IFERROR(P329/P$117,0)</f>
        <v/>
      </c>
      <c r="BM329" s="4106">
        <f>IFERROR(Q329/Q$117,0)</f>
        <v/>
      </c>
      <c r="BN329" s="4105">
        <f>IFERROR(R329/R$117,0)</f>
        <v/>
      </c>
      <c r="BO329" s="4105">
        <f>IFERROR(S329/S$117,0)</f>
        <v/>
      </c>
      <c r="BP329" s="4105">
        <f>IFERROR(T329/T$117,0)</f>
        <v/>
      </c>
      <c r="BQ329" s="4105">
        <f>IFERROR(U329/U$117,0)</f>
        <v/>
      </c>
      <c r="BR329" s="4105">
        <f>IFERROR(V329/V$117,0)</f>
        <v/>
      </c>
      <c r="BS329" s="4105">
        <f>IFERROR(W329/W$117,0)</f>
        <v/>
      </c>
      <c r="BT329" s="4105">
        <f>IFERROR(X329/X$117,0)</f>
        <v/>
      </c>
      <c r="BU329" s="4105">
        <f>IFERROR(Y329/Y$117,0)</f>
        <v/>
      </c>
      <c r="BV329" s="4105">
        <f>IFERROR(Z329/Z$117,0)</f>
        <v/>
      </c>
      <c r="BW329" s="4105">
        <f>IFERROR(AA329/AA$117,0)</f>
        <v/>
      </c>
      <c r="BX329" s="4105">
        <f>IFERROR(AB329/AB$117,0)</f>
        <v/>
      </c>
      <c r="BY329" s="4106">
        <f>IFERROR(AC329/AC$117,0)</f>
        <v/>
      </c>
      <c r="BZ329" s="4105">
        <f>IFERROR(AD329/AD$117,0)</f>
        <v/>
      </c>
      <c r="CA329" s="4105">
        <f>IFERROR(AE329/AE$117,0)</f>
        <v/>
      </c>
      <c r="CB329" s="4105">
        <f>IFERROR(AF329/AF$117,0)</f>
        <v/>
      </c>
      <c r="CC329" s="4105">
        <f>IFERROR(AG329/AG$117,0)</f>
        <v/>
      </c>
      <c r="CD329" s="4105">
        <f>IFERROR(AH329/AH$117,0)</f>
        <v/>
      </c>
      <c r="CE329" s="4105">
        <f>IFERROR(AI329/AI$117,0)</f>
        <v/>
      </c>
      <c r="CF329" s="4105">
        <f>IFERROR(AJ329/AJ$117,0)</f>
        <v/>
      </c>
      <c r="CG329" s="4105">
        <f>IFERROR(AK329/AK$117,0)</f>
        <v/>
      </c>
      <c r="CH329" s="4105">
        <f>IFERROR(AL329/AL$117,0)</f>
        <v/>
      </c>
      <c r="CI329" s="4105">
        <f>IFERROR(AM329/AM$117,0)</f>
        <v/>
      </c>
      <c r="CJ329" s="4105">
        <f>IFERROR(AN329/AN$117,0)</f>
        <v/>
      </c>
      <c r="CK329" s="4106">
        <f>IFERROR(AO329/AO$117,0)</f>
        <v/>
      </c>
      <c r="CL329" s="4105">
        <f>IFERROR(AP329/AP$117,0)</f>
        <v/>
      </c>
      <c r="CM329" s="4105">
        <f>IFERROR(AQ329/AQ$117,0)</f>
        <v/>
      </c>
      <c r="CN329" s="4105">
        <f>IFERROR(AR329/AR$117,0)</f>
        <v/>
      </c>
      <c r="CO329" s="4105">
        <f>IFERROR(AS329/AS$117,0)</f>
        <v/>
      </c>
      <c r="CP329" s="4105">
        <f>IFERROR(AT329/AT$117,0)</f>
        <v/>
      </c>
      <c r="CQ329" s="4107">
        <f>IFERROR(AU329/AU$117,0)</f>
        <v/>
      </c>
      <c r="CR329" s="4105">
        <f>IFERROR(AV329/AV$117,0)</f>
        <v/>
      </c>
      <c r="CS329" s="4105">
        <f>IFERROR(AW329/AW$117,0)</f>
        <v/>
      </c>
      <c r="CT329" s="4105">
        <f>IFERROR(AX329/AX$117,0)</f>
        <v/>
      </c>
      <c r="CU329" s="4105">
        <f>IFERROR(AY329/AY$117,0)</f>
        <v/>
      </c>
      <c r="CV329" s="4105">
        <f>IFERROR(AZ329/AZ$117,0)</f>
        <v/>
      </c>
      <c r="CW329" s="3737" t="n"/>
      <c r="CX329" s="4102" t="n">
        <v>-1.03861</v>
      </c>
    </row>
    <row r="330" hidden="1" outlineLevel="2" collapsed="1" ht="12" customFormat="1" customHeight="1" s="3737">
      <c r="A330" s="4059" t="n"/>
      <c r="B330" s="4060" t="n"/>
      <c r="C330" s="4138" t="inlineStr">
        <is>
          <t>Co-op financial marketing</t>
        </is>
      </c>
      <c r="D330" s="4101" t="n"/>
      <c r="E330" s="4101" t="n"/>
      <c r="F330" s="4102" t="n"/>
      <c r="G330" s="4102" t="n"/>
      <c r="H330" s="4102" t="n"/>
      <c r="I330" s="4102" t="n"/>
      <c r="J330" s="4102" t="n"/>
      <c r="K330" s="4102" t="n"/>
      <c r="L330" s="4102" t="n"/>
      <c r="M330" s="4102" t="n"/>
      <c r="N330" s="4102" t="n"/>
      <c r="O330" s="4102" t="n"/>
      <c r="P330" s="4102" t="n"/>
      <c r="Q330" s="4103" t="n"/>
      <c r="R330" s="4102" t="n"/>
      <c r="S330" s="4102" t="n"/>
      <c r="T330" s="4102" t="n"/>
      <c r="U330" s="4102" t="n"/>
      <c r="V330" s="4102" t="n"/>
      <c r="W330" s="4102" t="n"/>
      <c r="X330" s="4102" t="n"/>
      <c r="Y330" s="4102" t="n"/>
      <c r="Z330" s="4102" t="n"/>
      <c r="AA330" s="4102" t="n"/>
      <c r="AB330" s="4102" t="n"/>
      <c r="AC330" s="4103" t="n"/>
      <c r="AD330" s="4102" t="n"/>
      <c r="AE330" s="4102" t="n"/>
      <c r="AF330" s="4102" t="n"/>
      <c r="AG330" s="4102" t="n"/>
      <c r="AH330" s="4102" t="n"/>
      <c r="AI330" s="4102" t="n"/>
      <c r="AJ330" s="4102" t="n"/>
      <c r="AK330" s="4102" t="n"/>
      <c r="AL330" s="4102" t="n"/>
      <c r="AM330" s="4102" t="n"/>
      <c r="AN330" s="4102" t="n"/>
      <c r="AO330" s="4103" t="n"/>
      <c r="AP330" s="4102">
        <f>SUM(AP329)</f>
        <v/>
      </c>
      <c r="AQ330" s="4102">
        <f>SUM(AQ329)</f>
        <v/>
      </c>
      <c r="AR330" s="4102">
        <f>SUM(AR329)</f>
        <v/>
      </c>
      <c r="AS330" s="4102">
        <f>SUM(AS329)</f>
        <v/>
      </c>
      <c r="AT330" s="4102">
        <f>SUM(AT329)</f>
        <v/>
      </c>
      <c r="AU330" s="4104">
        <f>SUM(AU329)</f>
        <v/>
      </c>
      <c r="AV330" s="4102">
        <f>SUM(AV329)</f>
        <v/>
      </c>
      <c r="AW330" s="4102">
        <f>SUM(AW329)</f>
        <v/>
      </c>
      <c r="AX330" s="4102">
        <f>SUM(AX329)</f>
        <v/>
      </c>
      <c r="AY330" s="4102">
        <f>SUM(AY329)</f>
        <v/>
      </c>
      <c r="AZ330" s="4102">
        <f>SUM(AZ329)</f>
        <v/>
      </c>
      <c r="BA330" s="3737" t="n"/>
      <c r="BB330" s="4105">
        <f>IFERROR(F330/F$117,0)</f>
        <v/>
      </c>
      <c r="BC330" s="4105">
        <f>IFERROR(G330/G$117,0)</f>
        <v/>
      </c>
      <c r="BD330" s="4105">
        <f>IFERROR(H330/H$117,0)</f>
        <v/>
      </c>
      <c r="BE330" s="4105">
        <f>IFERROR(I330/I$117,0)</f>
        <v/>
      </c>
      <c r="BF330" s="4105">
        <f>IFERROR(J330/J$117,0)</f>
        <v/>
      </c>
      <c r="BG330" s="4105">
        <f>IFERROR(K330/K$117,0)</f>
        <v/>
      </c>
      <c r="BH330" s="4105">
        <f>IFERROR(L330/L$117,0)</f>
        <v/>
      </c>
      <c r="BI330" s="4105">
        <f>IFERROR(M330/M$117,0)</f>
        <v/>
      </c>
      <c r="BJ330" s="4105">
        <f>IFERROR(N330/N$117,0)</f>
        <v/>
      </c>
      <c r="BK330" s="4105">
        <f>IFERROR(O330/O$117,0)</f>
        <v/>
      </c>
      <c r="BL330" s="4105">
        <f>IFERROR(P330/P$117,0)</f>
        <v/>
      </c>
      <c r="BM330" s="4106">
        <f>IFERROR(Q330/Q$117,0)</f>
        <v/>
      </c>
      <c r="BN330" s="4105">
        <f>IFERROR(R330/R$117,0)</f>
        <v/>
      </c>
      <c r="BO330" s="4105">
        <f>IFERROR(S330/S$117,0)</f>
        <v/>
      </c>
      <c r="BP330" s="4105">
        <f>IFERROR(T330/T$117,0)</f>
        <v/>
      </c>
      <c r="BQ330" s="4105">
        <f>IFERROR(U330/U$117,0)</f>
        <v/>
      </c>
      <c r="BR330" s="4105">
        <f>IFERROR(V330/V$117,0)</f>
        <v/>
      </c>
      <c r="BS330" s="4105">
        <f>IFERROR(W330/W$117,0)</f>
        <v/>
      </c>
      <c r="BT330" s="4105">
        <f>IFERROR(X330/X$117,0)</f>
        <v/>
      </c>
      <c r="BU330" s="4105">
        <f>IFERROR(Y330/Y$117,0)</f>
        <v/>
      </c>
      <c r="BV330" s="4105">
        <f>IFERROR(Z330/Z$117,0)</f>
        <v/>
      </c>
      <c r="BW330" s="4105">
        <f>IFERROR(AA330/AA$117,0)</f>
        <v/>
      </c>
      <c r="BX330" s="4105">
        <f>IFERROR(AB330/AB$117,0)</f>
        <v/>
      </c>
      <c r="BY330" s="4106">
        <f>IFERROR(AC330/AC$117,0)</f>
        <v/>
      </c>
      <c r="BZ330" s="4105">
        <f>IFERROR(AD330/AD$117,0)</f>
        <v/>
      </c>
      <c r="CA330" s="4105">
        <f>IFERROR(AE330/AE$117,0)</f>
        <v/>
      </c>
      <c r="CB330" s="4105">
        <f>IFERROR(AF330/AF$117,0)</f>
        <v/>
      </c>
      <c r="CC330" s="4105">
        <f>IFERROR(AG330/AG$117,0)</f>
        <v/>
      </c>
      <c r="CD330" s="4105">
        <f>IFERROR(AH330/AH$117,0)</f>
        <v/>
      </c>
      <c r="CE330" s="4105">
        <f>IFERROR(AI330/AI$117,0)</f>
        <v/>
      </c>
      <c r="CF330" s="4105">
        <f>IFERROR(AJ330/AJ$117,0)</f>
        <v/>
      </c>
      <c r="CG330" s="4105">
        <f>IFERROR(AK330/AK$117,0)</f>
        <v/>
      </c>
      <c r="CH330" s="4105">
        <f>IFERROR(AL330/AL$117,0)</f>
        <v/>
      </c>
      <c r="CI330" s="4105">
        <f>IFERROR(AM330/AM$117,0)</f>
        <v/>
      </c>
      <c r="CJ330" s="4105">
        <f>IFERROR(AN330/AN$117,0)</f>
        <v/>
      </c>
      <c r="CK330" s="4106">
        <f>IFERROR(AO330/AO$117,0)</f>
        <v/>
      </c>
      <c r="CL330" s="4105">
        <f>IFERROR(AP330/AP$117,0)</f>
        <v/>
      </c>
      <c r="CM330" s="4105">
        <f>IFERROR(AQ330/AQ$117,0)</f>
        <v/>
      </c>
      <c r="CN330" s="4105">
        <f>IFERROR(AR330/AR$117,0)</f>
        <v/>
      </c>
      <c r="CO330" s="4105">
        <f>IFERROR(AS330/AS$117,0)</f>
        <v/>
      </c>
      <c r="CP330" s="4105">
        <f>IFERROR(AT330/AT$117,0)</f>
        <v/>
      </c>
      <c r="CQ330" s="4107">
        <f>IFERROR(AU330/AU$117,0)</f>
        <v/>
      </c>
      <c r="CR330" s="4105">
        <f>IFERROR(AV330/AV$117,0)</f>
        <v/>
      </c>
      <c r="CS330" s="4105">
        <f>IFERROR(AW330/AW$117,0)</f>
        <v/>
      </c>
      <c r="CT330" s="4105">
        <f>IFERROR(AX330/AX$117,0)</f>
        <v/>
      </c>
      <c r="CU330" s="4105">
        <f>IFERROR(AY330/AY$117,0)</f>
        <v/>
      </c>
      <c r="CV330" s="4105">
        <f>IFERROR(AZ330/AZ$117,0)</f>
        <v/>
      </c>
      <c r="CW330" s="3737" t="n"/>
      <c r="CX330" s="4102">
        <f>SUM(CX329)</f>
        <v/>
      </c>
    </row>
    <row r="331" hidden="1" outlineLevel="1" ht="12" customFormat="1" customHeight="1" s="3737">
      <c r="A331" s="4059" t="n"/>
      <c r="B331" s="4060" t="n"/>
      <c r="C331" s="4109" t="inlineStr">
        <is>
          <t>Co-op financial expense</t>
        </is>
      </c>
      <c r="D331" s="4093" t="n"/>
      <c r="E331" s="4093" t="n"/>
      <c r="F331" s="4094" t="n"/>
      <c r="G331" s="4094" t="n"/>
      <c r="H331" s="4094" t="n"/>
      <c r="I331" s="4094" t="n"/>
      <c r="J331" s="4094" t="n"/>
      <c r="K331" s="4094" t="n"/>
      <c r="L331" s="4094" t="n"/>
      <c r="M331" s="4094" t="n"/>
      <c r="N331" s="4094" t="n"/>
      <c r="O331" s="4094" t="n"/>
      <c r="P331" s="4094" t="n"/>
      <c r="Q331" s="4095" t="n"/>
      <c r="R331" s="4094" t="n"/>
      <c r="S331" s="4094" t="n"/>
      <c r="T331" s="4094" t="n"/>
      <c r="U331" s="4094" t="n"/>
      <c r="V331" s="4094" t="n"/>
      <c r="W331" s="4094" t="n"/>
      <c r="X331" s="4094" t="n"/>
      <c r="Y331" s="4094" t="n"/>
      <c r="Z331" s="4094" t="n"/>
      <c r="AA331" s="4094" t="n"/>
      <c r="AB331" s="4094" t="n"/>
      <c r="AC331" s="4095" t="n"/>
      <c r="AD331" s="4094" t="n"/>
      <c r="AE331" s="4094" t="n"/>
      <c r="AF331" s="4094" t="n"/>
      <c r="AG331" s="4094" t="n"/>
      <c r="AH331" s="4094" t="n"/>
      <c r="AI331" s="4094" t="n"/>
      <c r="AJ331" s="4094" t="n"/>
      <c r="AK331" s="4094" t="n"/>
      <c r="AL331" s="4094" t="n"/>
      <c r="AM331" s="4094" t="n"/>
      <c r="AN331" s="4094" t="n"/>
      <c r="AO331" s="4095" t="n"/>
      <c r="AP331" s="4094">
        <f>SUM(AP330)</f>
        <v/>
      </c>
      <c r="AQ331" s="4094">
        <f>SUM(AQ330)</f>
        <v/>
      </c>
      <c r="AR331" s="4094">
        <f>SUM(AR330)</f>
        <v/>
      </c>
      <c r="AS331" s="4094">
        <f>SUM(AS330)</f>
        <v/>
      </c>
      <c r="AT331" s="4094">
        <f>SUM(AT330)</f>
        <v/>
      </c>
      <c r="AU331" s="4096">
        <f>SUM(AU330)</f>
        <v/>
      </c>
      <c r="AV331" s="4094">
        <f>SUM(AV330)</f>
        <v/>
      </c>
      <c r="AW331" s="4094">
        <f>SUM(AW330)</f>
        <v/>
      </c>
      <c r="AX331" s="4094">
        <f>SUM(AX330)</f>
        <v/>
      </c>
      <c r="AY331" s="4094">
        <f>SUM(AY330)</f>
        <v/>
      </c>
      <c r="AZ331" s="4094">
        <f>SUM(AZ330)</f>
        <v/>
      </c>
      <c r="BA331" s="3737" t="n"/>
      <c r="BB331" s="4097">
        <f>IFERROR(F331/F$117,0)</f>
        <v/>
      </c>
      <c r="BC331" s="4097">
        <f>IFERROR(G331/G$117,0)</f>
        <v/>
      </c>
      <c r="BD331" s="4097">
        <f>IFERROR(H331/H$117,0)</f>
        <v/>
      </c>
      <c r="BE331" s="4097">
        <f>IFERROR(I331/I$117,0)</f>
        <v/>
      </c>
      <c r="BF331" s="4097">
        <f>IFERROR(J331/J$117,0)</f>
        <v/>
      </c>
      <c r="BG331" s="4097">
        <f>IFERROR(K331/K$117,0)</f>
        <v/>
      </c>
      <c r="BH331" s="4097">
        <f>IFERROR(L331/L$117,0)</f>
        <v/>
      </c>
      <c r="BI331" s="4097">
        <f>IFERROR(M331/M$117,0)</f>
        <v/>
      </c>
      <c r="BJ331" s="4097">
        <f>IFERROR(N331/N$117,0)</f>
        <v/>
      </c>
      <c r="BK331" s="4097">
        <f>IFERROR(O331/O$117,0)</f>
        <v/>
      </c>
      <c r="BL331" s="4097">
        <f>IFERROR(P331/P$117,0)</f>
        <v/>
      </c>
      <c r="BM331" s="4098">
        <f>IFERROR(Q331/Q$117,0)</f>
        <v/>
      </c>
      <c r="BN331" s="4097">
        <f>IFERROR(R331/R$117,0)</f>
        <v/>
      </c>
      <c r="BO331" s="4097">
        <f>IFERROR(S331/S$117,0)</f>
        <v/>
      </c>
      <c r="BP331" s="4097">
        <f>IFERROR(T331/T$117,0)</f>
        <v/>
      </c>
      <c r="BQ331" s="4097">
        <f>IFERROR(U331/U$117,0)</f>
        <v/>
      </c>
      <c r="BR331" s="4097">
        <f>IFERROR(V331/V$117,0)</f>
        <v/>
      </c>
      <c r="BS331" s="4097">
        <f>IFERROR(W331/W$117,0)</f>
        <v/>
      </c>
      <c r="BT331" s="4097">
        <f>IFERROR(X331/X$117,0)</f>
        <v/>
      </c>
      <c r="BU331" s="4097">
        <f>IFERROR(Y331/Y$117,0)</f>
        <v/>
      </c>
      <c r="BV331" s="4097">
        <f>IFERROR(Z331/Z$117,0)</f>
        <v/>
      </c>
      <c r="BW331" s="4097">
        <f>IFERROR(AA331/AA$117,0)</f>
        <v/>
      </c>
      <c r="BX331" s="4097">
        <f>IFERROR(AB331/AB$117,0)</f>
        <v/>
      </c>
      <c r="BY331" s="4098">
        <f>IFERROR(AC331/AC$117,0)</f>
        <v/>
      </c>
      <c r="BZ331" s="4097">
        <f>IFERROR(AD331/AD$117,0)</f>
        <v/>
      </c>
      <c r="CA331" s="4097">
        <f>IFERROR(AE331/AE$117,0)</f>
        <v/>
      </c>
      <c r="CB331" s="4097">
        <f>IFERROR(AF331/AF$117,0)</f>
        <v/>
      </c>
      <c r="CC331" s="4097">
        <f>IFERROR(AG331/AG$117,0)</f>
        <v/>
      </c>
      <c r="CD331" s="4097">
        <f>IFERROR(AH331/AH$117,0)</f>
        <v/>
      </c>
      <c r="CE331" s="4097">
        <f>IFERROR(AI331/AI$117,0)</f>
        <v/>
      </c>
      <c r="CF331" s="4097">
        <f>IFERROR(AJ331/AJ$117,0)</f>
        <v/>
      </c>
      <c r="CG331" s="4097">
        <f>IFERROR(AK331/AK$117,0)</f>
        <v/>
      </c>
      <c r="CH331" s="4097">
        <f>IFERROR(AL331/AL$117,0)</f>
        <v/>
      </c>
      <c r="CI331" s="4097">
        <f>IFERROR(AM331/AM$117,0)</f>
        <v/>
      </c>
      <c r="CJ331" s="4097">
        <f>IFERROR(AN331/AN$117,0)</f>
        <v/>
      </c>
      <c r="CK331" s="4098">
        <f>IFERROR(AO331/AO$117,0)</f>
        <v/>
      </c>
      <c r="CL331" s="4097">
        <f>IFERROR(AP331/AP$117,0)</f>
        <v/>
      </c>
      <c r="CM331" s="4097">
        <f>IFERROR(AQ331/AQ$117,0)</f>
        <v/>
      </c>
      <c r="CN331" s="4097">
        <f>IFERROR(AR331/AR$117,0)</f>
        <v/>
      </c>
      <c r="CO331" s="4097">
        <f>IFERROR(AS331/AS$117,0)</f>
        <v/>
      </c>
      <c r="CP331" s="4097">
        <f>IFERROR(AT331/AT$117,0)</f>
        <v/>
      </c>
      <c r="CQ331" s="4099">
        <f>IFERROR(AU331/AU$117,0)</f>
        <v/>
      </c>
      <c r="CR331" s="4097">
        <f>IFERROR(AV331/AV$117,0)</f>
        <v/>
      </c>
      <c r="CS331" s="4097">
        <f>IFERROR(AW331/AW$117,0)</f>
        <v/>
      </c>
      <c r="CT331" s="4097">
        <f>IFERROR(AX331/AX$117,0)</f>
        <v/>
      </c>
      <c r="CU331" s="4097">
        <f>IFERROR(AY331/AY$117,0)</f>
        <v/>
      </c>
      <c r="CV331" s="4097">
        <f>IFERROR(AZ331/AZ$117,0)</f>
        <v/>
      </c>
      <c r="CW331" s="3737" t="n"/>
      <c r="CX331" s="4094">
        <f>SUM(CX330)</f>
        <v/>
      </c>
    </row>
    <row r="332" hidden="1" outlineLevel="3" ht="12" customFormat="1" customHeight="1" s="3737">
      <c r="A332" s="4059" t="n"/>
      <c r="B332" s="4060" t="n"/>
      <c r="C332" s="4142" t="inlineStr">
        <is>
          <t>Capitalization - idsw projects</t>
        </is>
      </c>
      <c r="D332" s="4101" t="n">
        <v>701101</v>
      </c>
      <c r="E332" s="4101">
        <f>CONCATENATE(D332," - ",C332)</f>
        <v/>
      </c>
      <c r="F332" s="4130" t="n"/>
      <c r="G332" s="4130" t="n"/>
      <c r="H332" s="4130" t="n"/>
      <c r="I332" s="4130" t="n"/>
      <c r="J332" s="4130" t="n"/>
      <c r="K332" s="4130" t="n"/>
      <c r="L332" s="4130" t="n"/>
      <c r="M332" s="4130" t="n"/>
      <c r="N332" s="4130" t="n"/>
      <c r="O332" s="4130" t="n"/>
      <c r="P332" s="4130" t="n"/>
      <c r="Q332" s="4131" t="n"/>
      <c r="R332" s="4130" t="n"/>
      <c r="S332" s="4130" t="n"/>
      <c r="T332" s="4130" t="n"/>
      <c r="U332" s="4130" t="n"/>
      <c r="V332" s="4130" t="n"/>
      <c r="W332" s="4130" t="n"/>
      <c r="X332" s="4130" t="n"/>
      <c r="Y332" s="4130" t="n"/>
      <c r="Z332" s="4130" t="n"/>
      <c r="AA332" s="4130" t="n"/>
      <c r="AB332" s="4130" t="n"/>
      <c r="AC332" s="4131" t="n"/>
      <c r="AD332" s="4130" t="n"/>
      <c r="AE332" s="4130" t="n"/>
      <c r="AF332" s="4130" t="n"/>
      <c r="AG332" s="4130" t="n"/>
      <c r="AH332" s="4130" t="n"/>
      <c r="AI332" s="4130" t="n"/>
      <c r="AJ332" s="4130" t="n"/>
      <c r="AK332" s="4130" t="n"/>
      <c r="AL332" s="4130" t="n"/>
      <c r="AM332" s="4130" t="n"/>
      <c r="AN332" s="4130" t="n"/>
      <c r="AO332" s="4131" t="n"/>
      <c r="AP332" s="4130" t="n">
        <v>150</v>
      </c>
      <c r="AQ332" s="4130" t="n">
        <v>172.03173</v>
      </c>
      <c r="AR332" s="4130" t="n">
        <v>190.23052</v>
      </c>
      <c r="AS332" s="4130" t="n">
        <v>180.5916</v>
      </c>
      <c r="AT332" s="4130" t="n">
        <v>214.76883</v>
      </c>
      <c r="AU332" s="4132" t="n">
        <v>195.2851</v>
      </c>
      <c r="AV332" s="4130">
        <f>SUM(F332:Q332)</f>
        <v/>
      </c>
      <c r="AW332" s="4130">
        <f>SUM(R332:AC332)</f>
        <v/>
      </c>
      <c r="AX332" s="4130">
        <f>SUM(AD332:AO332)</f>
        <v/>
      </c>
      <c r="AY332" s="4130">
        <f>SUM(AH332:AS332)</f>
        <v/>
      </c>
      <c r="AZ332" s="4130">
        <f>SUM(AJ332:AU332)</f>
        <v/>
      </c>
      <c r="BA332" s="3737" t="n"/>
      <c r="BB332" s="4134">
        <f>IFERROR(F332/F$117,0)</f>
        <v/>
      </c>
      <c r="BC332" s="4134">
        <f>IFERROR(G332/G$117,0)</f>
        <v/>
      </c>
      <c r="BD332" s="4134">
        <f>IFERROR(H332/H$117,0)</f>
        <v/>
      </c>
      <c r="BE332" s="4134">
        <f>IFERROR(I332/I$117,0)</f>
        <v/>
      </c>
      <c r="BF332" s="4134">
        <f>IFERROR(J332/J$117,0)</f>
        <v/>
      </c>
      <c r="BG332" s="4134">
        <f>IFERROR(K332/K$117,0)</f>
        <v/>
      </c>
      <c r="BH332" s="4134">
        <f>IFERROR(L332/L$117,0)</f>
        <v/>
      </c>
      <c r="BI332" s="4134">
        <f>IFERROR(M332/M$117,0)</f>
        <v/>
      </c>
      <c r="BJ332" s="4134">
        <f>IFERROR(N332/N$117,0)</f>
        <v/>
      </c>
      <c r="BK332" s="4134">
        <f>IFERROR(O332/O$117,0)</f>
        <v/>
      </c>
      <c r="BL332" s="4134">
        <f>IFERROR(P332/P$117,0)</f>
        <v/>
      </c>
      <c r="BM332" s="4135">
        <f>IFERROR(Q332/Q$117,0)</f>
        <v/>
      </c>
      <c r="BN332" s="4134">
        <f>IFERROR(R332/R$117,0)</f>
        <v/>
      </c>
      <c r="BO332" s="4134">
        <f>IFERROR(S332/S$117,0)</f>
        <v/>
      </c>
      <c r="BP332" s="4134">
        <f>IFERROR(T332/T$117,0)</f>
        <v/>
      </c>
      <c r="BQ332" s="4134">
        <f>IFERROR(U332/U$117,0)</f>
        <v/>
      </c>
      <c r="BR332" s="4134">
        <f>IFERROR(V332/V$117,0)</f>
        <v/>
      </c>
      <c r="BS332" s="4134">
        <f>IFERROR(W332/W$117,0)</f>
        <v/>
      </c>
      <c r="BT332" s="4134">
        <f>IFERROR(X332/X$117,0)</f>
        <v/>
      </c>
      <c r="BU332" s="4134">
        <f>IFERROR(Y332/Y$117,0)</f>
        <v/>
      </c>
      <c r="BV332" s="4134">
        <f>IFERROR(Z332/Z$117,0)</f>
        <v/>
      </c>
      <c r="BW332" s="4134">
        <f>IFERROR(AA332/AA$117,0)</f>
        <v/>
      </c>
      <c r="BX332" s="4134">
        <f>IFERROR(AB332/AB$117,0)</f>
        <v/>
      </c>
      <c r="BY332" s="4135">
        <f>IFERROR(AC332/AC$117,0)</f>
        <v/>
      </c>
      <c r="BZ332" s="4134">
        <f>IFERROR(AD332/AD$117,0)</f>
        <v/>
      </c>
      <c r="CA332" s="4134">
        <f>IFERROR(AE332/AE$117,0)</f>
        <v/>
      </c>
      <c r="CB332" s="4134">
        <f>IFERROR(AF332/AF$117,0)</f>
        <v/>
      </c>
      <c r="CC332" s="4134">
        <f>IFERROR(AG332/AG$117,0)</f>
        <v/>
      </c>
      <c r="CD332" s="4134">
        <f>IFERROR(AH332/AH$117,0)</f>
        <v/>
      </c>
      <c r="CE332" s="4134">
        <f>IFERROR(AI332/AI$117,0)</f>
        <v/>
      </c>
      <c r="CF332" s="4134">
        <f>IFERROR(AJ332/AJ$117,0)</f>
        <v/>
      </c>
      <c r="CG332" s="4134">
        <f>IFERROR(AK332/AK$117,0)</f>
        <v/>
      </c>
      <c r="CH332" s="4134">
        <f>IFERROR(AL332/AL$117,0)</f>
        <v/>
      </c>
      <c r="CI332" s="4134">
        <f>IFERROR(AM332/AM$117,0)</f>
        <v/>
      </c>
      <c r="CJ332" s="4134">
        <f>IFERROR(AN332/AN$117,0)</f>
        <v/>
      </c>
      <c r="CK332" s="4135">
        <f>IFERROR(AO332/AO$117,0)</f>
        <v/>
      </c>
      <c r="CL332" s="4134">
        <f>IFERROR(AP332/AP$117,0)</f>
        <v/>
      </c>
      <c r="CM332" s="4134">
        <f>IFERROR(AQ332/AQ$117,0)</f>
        <v/>
      </c>
      <c r="CN332" s="4134">
        <f>IFERROR(AR332/AR$117,0)</f>
        <v/>
      </c>
      <c r="CO332" s="4134">
        <f>IFERROR(AS332/AS$117,0)</f>
        <v/>
      </c>
      <c r="CP332" s="4134">
        <f>IFERROR(AT332/AT$117,0)</f>
        <v/>
      </c>
      <c r="CQ332" s="4136">
        <f>IFERROR(AU332/AU$117,0)</f>
        <v/>
      </c>
      <c r="CR332" s="4134">
        <f>IFERROR(AV332/AV$117,0)</f>
        <v/>
      </c>
      <c r="CS332" s="4134">
        <f>IFERROR(AW332/AW$117,0)</f>
        <v/>
      </c>
      <c r="CT332" s="4134">
        <f>IFERROR(AX332/AX$117,0)</f>
        <v/>
      </c>
      <c r="CU332" s="4134">
        <f>IFERROR(AY332/AY$117,0)</f>
        <v/>
      </c>
      <c r="CV332" s="4134">
        <f>IFERROR(AZ332/AZ$117,0)</f>
        <v/>
      </c>
      <c r="CW332" s="3737" t="n"/>
      <c r="CX332" s="4130" t="n">
        <v>1132.27311</v>
      </c>
    </row>
    <row r="333" hidden="1" outlineLevel="1" collapsed="1" ht="12" customFormat="1" customHeight="1" s="3737">
      <c r="A333" s="4059" t="n"/>
      <c r="B333" s="4060" t="n"/>
      <c r="C333" s="4110" t="inlineStr">
        <is>
          <t>Capitalized development costs</t>
        </is>
      </c>
      <c r="D333" s="4101" t="n"/>
      <c r="E333" s="4101" t="n"/>
      <c r="F333" s="4130" t="n"/>
      <c r="G333" s="4130" t="n"/>
      <c r="H333" s="4130" t="n"/>
      <c r="I333" s="4130" t="n"/>
      <c r="J333" s="4130" t="n"/>
      <c r="K333" s="4130" t="n"/>
      <c r="L333" s="4130" t="n"/>
      <c r="M333" s="4130" t="n"/>
      <c r="N333" s="4130" t="n"/>
      <c r="O333" s="4130" t="n"/>
      <c r="P333" s="4130" t="n"/>
      <c r="Q333" s="4131" t="n"/>
      <c r="R333" s="4130" t="n"/>
      <c r="S333" s="4130" t="n"/>
      <c r="T333" s="4130" t="n"/>
      <c r="U333" s="4130" t="n"/>
      <c r="V333" s="4130" t="n"/>
      <c r="W333" s="4130" t="n"/>
      <c r="X333" s="4130" t="n"/>
      <c r="Y333" s="4130" t="n"/>
      <c r="Z333" s="4130" t="n"/>
      <c r="AA333" s="4130" t="n"/>
      <c r="AB333" s="4130" t="n"/>
      <c r="AC333" s="4131" t="n"/>
      <c r="AD333" s="4130" t="n"/>
      <c r="AE333" s="4130" t="n"/>
      <c r="AF333" s="4130" t="n"/>
      <c r="AG333" s="4130" t="n"/>
      <c r="AH333" s="4130" t="n"/>
      <c r="AI333" s="4130" t="n"/>
      <c r="AJ333" s="4130" t="n"/>
      <c r="AK333" s="4130" t="n"/>
      <c r="AL333" s="4130" t="n"/>
      <c r="AM333" s="4130" t="n"/>
      <c r="AN333" s="4130" t="n"/>
      <c r="AO333" s="4131" t="n"/>
      <c r="AP333" s="4130">
        <f>SUM(AP332)</f>
        <v/>
      </c>
      <c r="AQ333" s="4130">
        <f>SUM(AQ332)</f>
        <v/>
      </c>
      <c r="AR333" s="4130">
        <f>SUM(AR332)</f>
        <v/>
      </c>
      <c r="AS333" s="4130">
        <f>SUM(AS332)</f>
        <v/>
      </c>
      <c r="AT333" s="4130">
        <f>SUM(AT332)</f>
        <v/>
      </c>
      <c r="AU333" s="4132">
        <f>SUM(AU332)</f>
        <v/>
      </c>
      <c r="AV333" s="4130">
        <f>SUM(AV332)</f>
        <v/>
      </c>
      <c r="AW333" s="4130">
        <f>SUM(AW332)</f>
        <v/>
      </c>
      <c r="AX333" s="4130">
        <f>SUM(AX332)</f>
        <v/>
      </c>
      <c r="AY333" s="4130">
        <f>SUM(AY332)</f>
        <v/>
      </c>
      <c r="AZ333" s="4130">
        <f>SUM(AZ332)</f>
        <v/>
      </c>
      <c r="BA333" s="3737" t="n"/>
      <c r="BB333" s="4134">
        <f>IFERROR(F333/F$117,0)</f>
        <v/>
      </c>
      <c r="BC333" s="4134">
        <f>IFERROR(G333/G$117,0)</f>
        <v/>
      </c>
      <c r="BD333" s="4134">
        <f>IFERROR(H333/H$117,0)</f>
        <v/>
      </c>
      <c r="BE333" s="4134">
        <f>IFERROR(I333/I$117,0)</f>
        <v/>
      </c>
      <c r="BF333" s="4134">
        <f>IFERROR(J333/J$117,0)</f>
        <v/>
      </c>
      <c r="BG333" s="4134">
        <f>IFERROR(K333/K$117,0)</f>
        <v/>
      </c>
      <c r="BH333" s="4134">
        <f>IFERROR(L333/L$117,0)</f>
        <v/>
      </c>
      <c r="BI333" s="4134">
        <f>IFERROR(M333/M$117,0)</f>
        <v/>
      </c>
      <c r="BJ333" s="4134">
        <f>IFERROR(N333/N$117,0)</f>
        <v/>
      </c>
      <c r="BK333" s="4134">
        <f>IFERROR(O333/O$117,0)</f>
        <v/>
      </c>
      <c r="BL333" s="4134">
        <f>IFERROR(P333/P$117,0)</f>
        <v/>
      </c>
      <c r="BM333" s="4135">
        <f>IFERROR(Q333/Q$117,0)</f>
        <v/>
      </c>
      <c r="BN333" s="4134">
        <f>IFERROR(R333/R$117,0)</f>
        <v/>
      </c>
      <c r="BO333" s="4134">
        <f>IFERROR(S333/S$117,0)</f>
        <v/>
      </c>
      <c r="BP333" s="4134">
        <f>IFERROR(T333/T$117,0)</f>
        <v/>
      </c>
      <c r="BQ333" s="4134">
        <f>IFERROR(U333/U$117,0)</f>
        <v/>
      </c>
      <c r="BR333" s="4134">
        <f>IFERROR(V333/V$117,0)</f>
        <v/>
      </c>
      <c r="BS333" s="4134">
        <f>IFERROR(W333/W$117,0)</f>
        <v/>
      </c>
      <c r="BT333" s="4134">
        <f>IFERROR(X333/X$117,0)</f>
        <v/>
      </c>
      <c r="BU333" s="4134">
        <f>IFERROR(Y333/Y$117,0)</f>
        <v/>
      </c>
      <c r="BV333" s="4134">
        <f>IFERROR(Z333/Z$117,0)</f>
        <v/>
      </c>
      <c r="BW333" s="4134">
        <f>IFERROR(AA333/AA$117,0)</f>
        <v/>
      </c>
      <c r="BX333" s="4134">
        <f>IFERROR(AB333/AB$117,0)</f>
        <v/>
      </c>
      <c r="BY333" s="4135">
        <f>IFERROR(AC333/AC$117,0)</f>
        <v/>
      </c>
      <c r="BZ333" s="4134">
        <f>IFERROR(AD333/AD$117,0)</f>
        <v/>
      </c>
      <c r="CA333" s="4134">
        <f>IFERROR(AE333/AE$117,0)</f>
        <v/>
      </c>
      <c r="CB333" s="4134">
        <f>IFERROR(AF333/AF$117,0)</f>
        <v/>
      </c>
      <c r="CC333" s="4134">
        <f>IFERROR(AG333/AG$117,0)</f>
        <v/>
      </c>
      <c r="CD333" s="4134">
        <f>IFERROR(AH333/AH$117,0)</f>
        <v/>
      </c>
      <c r="CE333" s="4134">
        <f>IFERROR(AI333/AI$117,0)</f>
        <v/>
      </c>
      <c r="CF333" s="4134">
        <f>IFERROR(AJ333/AJ$117,0)</f>
        <v/>
      </c>
      <c r="CG333" s="4134">
        <f>IFERROR(AK333/AK$117,0)</f>
        <v/>
      </c>
      <c r="CH333" s="4134">
        <f>IFERROR(AL333/AL$117,0)</f>
        <v/>
      </c>
      <c r="CI333" s="4134">
        <f>IFERROR(AM333/AM$117,0)</f>
        <v/>
      </c>
      <c r="CJ333" s="4134">
        <f>IFERROR(AN333/AN$117,0)</f>
        <v/>
      </c>
      <c r="CK333" s="4135">
        <f>IFERROR(AO333/AO$117,0)</f>
        <v/>
      </c>
      <c r="CL333" s="4134">
        <f>IFERROR(AP333/AP$117,0)</f>
        <v/>
      </c>
      <c r="CM333" s="4134">
        <f>IFERROR(AQ333/AQ$117,0)</f>
        <v/>
      </c>
      <c r="CN333" s="4134">
        <f>IFERROR(AR333/AR$117,0)</f>
        <v/>
      </c>
      <c r="CO333" s="4134">
        <f>IFERROR(AS333/AS$117,0)</f>
        <v/>
      </c>
      <c r="CP333" s="4134">
        <f>IFERROR(AT333/AT$117,0)</f>
        <v/>
      </c>
      <c r="CQ333" s="4136">
        <f>IFERROR(AU333/AU$117,0)</f>
        <v/>
      </c>
      <c r="CR333" s="4134">
        <f>IFERROR(AV333/AV$117,0)</f>
        <v/>
      </c>
      <c r="CS333" s="4134">
        <f>IFERROR(AW333/AW$117,0)</f>
        <v/>
      </c>
      <c r="CT333" s="4134">
        <f>IFERROR(AX333/AX$117,0)</f>
        <v/>
      </c>
      <c r="CU333" s="4134">
        <f>IFERROR(AY333/AY$117,0)</f>
        <v/>
      </c>
      <c r="CV333" s="4134">
        <f>IFERROR(AZ333/AZ$117,0)</f>
        <v/>
      </c>
      <c r="CW333" s="3737" t="n"/>
      <c r="CX333" s="4130">
        <f>SUM(CX332)</f>
        <v/>
      </c>
    </row>
    <row r="334" ht="12" customFormat="1" customHeight="1" s="3737">
      <c r="A334" s="4059" t="n"/>
      <c r="B334" s="4060" t="n"/>
      <c r="C334" s="4111" t="inlineStr">
        <is>
          <t>Other expense</t>
        </is>
      </c>
      <c r="D334" s="4093" t="n"/>
      <c r="E334" s="4093" t="n"/>
      <c r="F334" s="4094" t="n"/>
      <c r="G334" s="4094" t="n"/>
      <c r="H334" s="4094" t="n"/>
      <c r="I334" s="4094" t="n"/>
      <c r="J334" s="4094" t="n"/>
      <c r="K334" s="4094" t="n"/>
      <c r="L334" s="4094" t="n"/>
      <c r="M334" s="4094" t="n"/>
      <c r="N334" s="4094" t="n"/>
      <c r="O334" s="4094" t="n"/>
      <c r="P334" s="4094" t="n"/>
      <c r="Q334" s="4095" t="n"/>
      <c r="R334" s="4094" t="n"/>
      <c r="S334" s="4094" t="n"/>
      <c r="T334" s="4094" t="n"/>
      <c r="U334" s="4094" t="n"/>
      <c r="V334" s="4094" t="n"/>
      <c r="W334" s="4094" t="n"/>
      <c r="X334" s="4094" t="n"/>
      <c r="Y334" s="4094" t="n"/>
      <c r="Z334" s="4094" t="n"/>
      <c r="AA334" s="4094" t="n"/>
      <c r="AB334" s="4094" t="n"/>
      <c r="AC334" s="4095" t="n"/>
      <c r="AD334" s="4094" t="n"/>
      <c r="AE334" s="4094" t="n"/>
      <c r="AF334" s="4094" t="n"/>
      <c r="AG334" s="4094" t="n"/>
      <c r="AH334" s="4094" t="n"/>
      <c r="AI334" s="4094" t="n"/>
      <c r="AJ334" s="4094" t="n"/>
      <c r="AK334" s="4094" t="n"/>
      <c r="AL334" s="4094" t="n"/>
      <c r="AM334" s="4094" t="n"/>
      <c r="AN334" s="4094" t="n"/>
      <c r="AO334" s="4095" t="n"/>
      <c r="AP334" s="4094">
        <f>SUM(AP333,AP331,AP328,AP294)</f>
        <v/>
      </c>
      <c r="AQ334" s="4094">
        <f>SUM(AQ333,AQ331,AQ328,AQ294)</f>
        <v/>
      </c>
      <c r="AR334" s="4094">
        <f>SUM(AR333,AR331,AR328,AR294)</f>
        <v/>
      </c>
      <c r="AS334" s="4094">
        <f>SUM(AS333,AS331,AS328,AS294)</f>
        <v/>
      </c>
      <c r="AT334" s="4094">
        <f>SUM(AT333,AT331,AT328,AT294)</f>
        <v/>
      </c>
      <c r="AU334" s="4096">
        <f>SUM(AU333,AU331,AU328,AU294)</f>
        <v/>
      </c>
      <c r="AV334" s="4094">
        <f>SUM(AV333,AV331,AV328,AV294)</f>
        <v/>
      </c>
      <c r="AW334" s="4094">
        <f>SUM(AW333,AW331,AW328,AW294)</f>
        <v/>
      </c>
      <c r="AX334" s="4094">
        <f>SUM(AX333,AX331,AX328,AX294)</f>
        <v/>
      </c>
      <c r="AY334" s="4094">
        <f>SUM(AY333,AY331,AY328,AY294)</f>
        <v/>
      </c>
      <c r="AZ334" s="4094">
        <f>SUM(AZ333,AZ331,AZ328,AZ294)</f>
        <v/>
      </c>
      <c r="BA334" s="3737" t="n"/>
      <c r="BB334" s="4097">
        <f>IFERROR(F334/F$117,0)</f>
        <v/>
      </c>
      <c r="BC334" s="4097">
        <f>IFERROR(G334/G$117,0)</f>
        <v/>
      </c>
      <c r="BD334" s="4097">
        <f>IFERROR(H334/H$117,0)</f>
        <v/>
      </c>
      <c r="BE334" s="4097">
        <f>IFERROR(I334/I$117,0)</f>
        <v/>
      </c>
      <c r="BF334" s="4097">
        <f>IFERROR(J334/J$117,0)</f>
        <v/>
      </c>
      <c r="BG334" s="4097">
        <f>IFERROR(K334/K$117,0)</f>
        <v/>
      </c>
      <c r="BH334" s="4097">
        <f>IFERROR(L334/L$117,0)</f>
        <v/>
      </c>
      <c r="BI334" s="4097">
        <f>IFERROR(M334/M$117,0)</f>
        <v/>
      </c>
      <c r="BJ334" s="4097">
        <f>IFERROR(N334/N$117,0)</f>
        <v/>
      </c>
      <c r="BK334" s="4097">
        <f>IFERROR(O334/O$117,0)</f>
        <v/>
      </c>
      <c r="BL334" s="4097">
        <f>IFERROR(P334/P$117,0)</f>
        <v/>
      </c>
      <c r="BM334" s="4098">
        <f>IFERROR(Q334/Q$117,0)</f>
        <v/>
      </c>
      <c r="BN334" s="4097">
        <f>IFERROR(R334/R$117,0)</f>
        <v/>
      </c>
      <c r="BO334" s="4097">
        <f>IFERROR(S334/S$117,0)</f>
        <v/>
      </c>
      <c r="BP334" s="4097">
        <f>IFERROR(T334/T$117,0)</f>
        <v/>
      </c>
      <c r="BQ334" s="4097">
        <f>IFERROR(U334/U$117,0)</f>
        <v/>
      </c>
      <c r="BR334" s="4097">
        <f>IFERROR(V334/V$117,0)</f>
        <v/>
      </c>
      <c r="BS334" s="4097">
        <f>IFERROR(W334/W$117,0)</f>
        <v/>
      </c>
      <c r="BT334" s="4097">
        <f>IFERROR(X334/X$117,0)</f>
        <v/>
      </c>
      <c r="BU334" s="4097">
        <f>IFERROR(Y334/Y$117,0)</f>
        <v/>
      </c>
      <c r="BV334" s="4097">
        <f>IFERROR(Z334/Z$117,0)</f>
        <v/>
      </c>
      <c r="BW334" s="4097">
        <f>IFERROR(AA334/AA$117,0)</f>
        <v/>
      </c>
      <c r="BX334" s="4097">
        <f>IFERROR(AB334/AB$117,0)</f>
        <v/>
      </c>
      <c r="BY334" s="4098">
        <f>IFERROR(AC334/AC$117,0)</f>
        <v/>
      </c>
      <c r="BZ334" s="4097">
        <f>IFERROR(AD334/AD$117,0)</f>
        <v/>
      </c>
      <c r="CA334" s="4097">
        <f>IFERROR(AE334/AE$117,0)</f>
        <v/>
      </c>
      <c r="CB334" s="4097">
        <f>IFERROR(AF334/AF$117,0)</f>
        <v/>
      </c>
      <c r="CC334" s="4097">
        <f>IFERROR(AG334/AG$117,0)</f>
        <v/>
      </c>
      <c r="CD334" s="4097">
        <f>IFERROR(AH334/AH$117,0)</f>
        <v/>
      </c>
      <c r="CE334" s="4097">
        <f>IFERROR(AI334/AI$117,0)</f>
        <v/>
      </c>
      <c r="CF334" s="4097">
        <f>IFERROR(AJ334/AJ$117,0)</f>
        <v/>
      </c>
      <c r="CG334" s="4097">
        <f>IFERROR(AK334/AK$117,0)</f>
        <v/>
      </c>
      <c r="CH334" s="4097">
        <f>IFERROR(AL334/AL$117,0)</f>
        <v/>
      </c>
      <c r="CI334" s="4097">
        <f>IFERROR(AM334/AM$117,0)</f>
        <v/>
      </c>
      <c r="CJ334" s="4097">
        <f>IFERROR(AN334/AN$117,0)</f>
        <v/>
      </c>
      <c r="CK334" s="4098">
        <f>IFERROR(AO334/AO$117,0)</f>
        <v/>
      </c>
      <c r="CL334" s="4097">
        <f>IFERROR(AP334/AP$117,0)</f>
        <v/>
      </c>
      <c r="CM334" s="4097">
        <f>IFERROR(AQ334/AQ$117,0)</f>
        <v/>
      </c>
      <c r="CN334" s="4097">
        <f>IFERROR(AR334/AR$117,0)</f>
        <v/>
      </c>
      <c r="CO334" s="4097">
        <f>IFERROR(AS334/AS$117,0)</f>
        <v/>
      </c>
      <c r="CP334" s="4097">
        <f>IFERROR(AT334/AT$117,0)</f>
        <v/>
      </c>
      <c r="CQ334" s="4099">
        <f>IFERROR(AU334/AU$117,0)</f>
        <v/>
      </c>
      <c r="CR334" s="4097">
        <f>IFERROR(AV334/AV$117,0)</f>
        <v/>
      </c>
      <c r="CS334" s="4097">
        <f>IFERROR(AW334/AW$117,0)</f>
        <v/>
      </c>
      <c r="CT334" s="4097">
        <f>IFERROR(AX334/AX$117,0)</f>
        <v/>
      </c>
      <c r="CU334" s="4097">
        <f>IFERROR(AY334/AY$117,0)</f>
        <v/>
      </c>
      <c r="CV334" s="4097">
        <f>IFERROR(AZ334/AZ$117,0)</f>
        <v/>
      </c>
      <c r="CW334" s="3737" t="n"/>
      <c r="CX334" s="4094">
        <f>SUM(CX333,CX331,CX328,CX294)</f>
        <v/>
      </c>
    </row>
    <row r="335" ht="12" customFormat="1" customHeight="1" s="3737">
      <c r="A335" s="4059" t="n"/>
      <c r="B335" s="4060" t="n"/>
      <c r="C335" s="4143" t="inlineStr">
        <is>
          <t>Operating costs</t>
        </is>
      </c>
      <c r="D335" s="4143" t="n"/>
      <c r="E335" s="4143" t="n"/>
      <c r="F335" s="4144" t="n"/>
      <c r="G335" s="4144" t="n"/>
      <c r="H335" s="4144" t="n"/>
      <c r="I335" s="4144" t="n"/>
      <c r="J335" s="4144" t="n"/>
      <c r="K335" s="4144" t="n"/>
      <c r="L335" s="4144" t="n"/>
      <c r="M335" s="4144" t="n"/>
      <c r="N335" s="4144" t="n"/>
      <c r="O335" s="4144" t="n"/>
      <c r="P335" s="4144" t="n"/>
      <c r="Q335" s="4145" t="n"/>
      <c r="R335" s="4144" t="n"/>
      <c r="S335" s="4144" t="n"/>
      <c r="T335" s="4144" t="n"/>
      <c r="U335" s="4144" t="n"/>
      <c r="V335" s="4144" t="n"/>
      <c r="W335" s="4144" t="n"/>
      <c r="X335" s="4144" t="n"/>
      <c r="Y335" s="4144" t="n"/>
      <c r="Z335" s="4144" t="n"/>
      <c r="AA335" s="4144" t="n"/>
      <c r="AB335" s="4144" t="n"/>
      <c r="AC335" s="4145" t="n"/>
      <c r="AD335" s="4144" t="n"/>
      <c r="AE335" s="4144" t="n"/>
      <c r="AF335" s="4144" t="n"/>
      <c r="AG335" s="4144" t="n"/>
      <c r="AH335" s="4144" t="n"/>
      <c r="AI335" s="4144" t="n"/>
      <c r="AJ335" s="4144" t="n"/>
      <c r="AK335" s="4144" t="n"/>
      <c r="AL335" s="4144" t="n"/>
      <c r="AM335" s="4144" t="n"/>
      <c r="AN335" s="4144" t="n"/>
      <c r="AO335" s="4145" t="n"/>
      <c r="AP335" s="4144">
        <f>SUM(AP334,AP279,AP254,AP238,AP222,AP204)</f>
        <v/>
      </c>
      <c r="AQ335" s="4144">
        <f>SUM(AQ334,AQ279,AQ254,AQ238,AQ222,AQ204)</f>
        <v/>
      </c>
      <c r="AR335" s="4144">
        <f>SUM(AR334,AR279,AR254,AR238,AR222,AR204)</f>
        <v/>
      </c>
      <c r="AS335" s="4144">
        <f>SUM(AS334,AS279,AS254,AS238,AS222,AS204)</f>
        <v/>
      </c>
      <c r="AT335" s="4144">
        <f>SUM(AT334,AT279,AT254,AT238,AT222,AT204)</f>
        <v/>
      </c>
      <c r="AU335" s="4146">
        <f>SUM(AU334,AU279,AU254,AU238,AU222,AU204)</f>
        <v/>
      </c>
      <c r="AV335" s="4144">
        <f>SUM(AV334,AV279,AV254,AV238,AV222,AV204)</f>
        <v/>
      </c>
      <c r="AW335" s="4144">
        <f>SUM(AW334,AW279,AW254,AW238,AW222,AW204)</f>
        <v/>
      </c>
      <c r="AX335" s="4144">
        <f>SUM(AX334,AX279,AX254,AX238,AX222,AX204)</f>
        <v/>
      </c>
      <c r="AY335" s="4144">
        <f>SUM(AY334,AY279,AY254,AY238,AY222,AY204)</f>
        <v/>
      </c>
      <c r="AZ335" s="4144">
        <f>SUM(AZ334,AZ279,AZ254,AZ238,AZ222,AZ204)</f>
        <v/>
      </c>
      <c r="BA335" s="3737" t="n"/>
      <c r="BB335" s="4147">
        <f>IFERROR(F335/F$117,0)</f>
        <v/>
      </c>
      <c r="BC335" s="4147">
        <f>IFERROR(G335/G$117,0)</f>
        <v/>
      </c>
      <c r="BD335" s="4147">
        <f>IFERROR(H335/H$117,0)</f>
        <v/>
      </c>
      <c r="BE335" s="4147">
        <f>IFERROR(I335/I$117,0)</f>
        <v/>
      </c>
      <c r="BF335" s="4147">
        <f>IFERROR(J335/J$117,0)</f>
        <v/>
      </c>
      <c r="BG335" s="4147">
        <f>IFERROR(K335/K$117,0)</f>
        <v/>
      </c>
      <c r="BH335" s="4147">
        <f>IFERROR(L335/L$117,0)</f>
        <v/>
      </c>
      <c r="BI335" s="4147">
        <f>IFERROR(M335/M$117,0)</f>
        <v/>
      </c>
      <c r="BJ335" s="4147">
        <f>IFERROR(N335/N$117,0)</f>
        <v/>
      </c>
      <c r="BK335" s="4147">
        <f>IFERROR(O335/O$117,0)</f>
        <v/>
      </c>
      <c r="BL335" s="4147">
        <f>IFERROR(P335/P$117,0)</f>
        <v/>
      </c>
      <c r="BM335" s="4148">
        <f>IFERROR(Q335/Q$117,0)</f>
        <v/>
      </c>
      <c r="BN335" s="4147">
        <f>IFERROR(R335/R$117,0)</f>
        <v/>
      </c>
      <c r="BO335" s="4147">
        <f>IFERROR(S335/S$117,0)</f>
        <v/>
      </c>
      <c r="BP335" s="4147">
        <f>IFERROR(T335/T$117,0)</f>
        <v/>
      </c>
      <c r="BQ335" s="4147">
        <f>IFERROR(U335/U$117,0)</f>
        <v/>
      </c>
      <c r="BR335" s="4147">
        <f>IFERROR(V335/V$117,0)</f>
        <v/>
      </c>
      <c r="BS335" s="4147">
        <f>IFERROR(W335/W$117,0)</f>
        <v/>
      </c>
      <c r="BT335" s="4147">
        <f>IFERROR(X335/X$117,0)</f>
        <v/>
      </c>
      <c r="BU335" s="4147">
        <f>IFERROR(Y335/Y$117,0)</f>
        <v/>
      </c>
      <c r="BV335" s="4147">
        <f>IFERROR(Z335/Z$117,0)</f>
        <v/>
      </c>
      <c r="BW335" s="4147">
        <f>IFERROR(AA335/AA$117,0)</f>
        <v/>
      </c>
      <c r="BX335" s="4147">
        <f>IFERROR(AB335/AB$117,0)</f>
        <v/>
      </c>
      <c r="BY335" s="4148">
        <f>IFERROR(AC335/AC$117,0)</f>
        <v/>
      </c>
      <c r="BZ335" s="4147">
        <f>IFERROR(AD335/AD$117,0)</f>
        <v/>
      </c>
      <c r="CA335" s="4147">
        <f>IFERROR(AE335/AE$117,0)</f>
        <v/>
      </c>
      <c r="CB335" s="4147">
        <f>IFERROR(AF335/AF$117,0)</f>
        <v/>
      </c>
      <c r="CC335" s="4147">
        <f>IFERROR(AG335/AG$117,0)</f>
        <v/>
      </c>
      <c r="CD335" s="4147">
        <f>IFERROR(AH335/AH$117,0)</f>
        <v/>
      </c>
      <c r="CE335" s="4147">
        <f>IFERROR(AI335/AI$117,0)</f>
        <v/>
      </c>
      <c r="CF335" s="4147">
        <f>IFERROR(AJ335/AJ$117,0)</f>
        <v/>
      </c>
      <c r="CG335" s="4147">
        <f>IFERROR(AK335/AK$117,0)</f>
        <v/>
      </c>
      <c r="CH335" s="4147">
        <f>IFERROR(AL335/AL$117,0)</f>
        <v/>
      </c>
      <c r="CI335" s="4147">
        <f>IFERROR(AM335/AM$117,0)</f>
        <v/>
      </c>
      <c r="CJ335" s="4147">
        <f>IFERROR(AN335/AN$117,0)</f>
        <v/>
      </c>
      <c r="CK335" s="4148">
        <f>IFERROR(AO335/AO$117,0)</f>
        <v/>
      </c>
      <c r="CL335" s="4147">
        <f>IFERROR(AP335/AP$117,0)</f>
        <v/>
      </c>
      <c r="CM335" s="4147">
        <f>IFERROR(AQ335/AQ$117,0)</f>
        <v/>
      </c>
      <c r="CN335" s="4147">
        <f>IFERROR(AR335/AR$117,0)</f>
        <v/>
      </c>
      <c r="CO335" s="4147">
        <f>IFERROR(AS335/AS$117,0)</f>
        <v/>
      </c>
      <c r="CP335" s="4147">
        <f>IFERROR(AT335/AT$117,0)</f>
        <v/>
      </c>
      <c r="CQ335" s="4149">
        <f>IFERROR(AU335/AU$117,0)</f>
        <v/>
      </c>
      <c r="CR335" s="4147">
        <f>IFERROR(AV335/AV$117,0)</f>
        <v/>
      </c>
      <c r="CS335" s="4147">
        <f>IFERROR(AW335/AW$117,0)</f>
        <v/>
      </c>
      <c r="CT335" s="4147">
        <f>IFERROR(AX335/AX$117,0)</f>
        <v/>
      </c>
      <c r="CU335" s="4147">
        <f>IFERROR(AY335/AY$117,0)</f>
        <v/>
      </c>
      <c r="CV335" s="4147">
        <f>IFERROR(AZ335/AZ$117,0)</f>
        <v/>
      </c>
      <c r="CW335" s="3737" t="n"/>
      <c r="CX335" s="4144">
        <f>SUM(CX334,CX279,CX254,CX238,CX222,CX204)</f>
        <v/>
      </c>
    </row>
    <row r="336" ht="12" customFormat="1" customHeight="1" s="4117">
      <c r="A336" s="4118" t="n"/>
      <c r="B336" s="4119" t="n"/>
      <c r="C336" s="4120" t="inlineStr">
        <is>
          <t>Operating profit</t>
        </is>
      </c>
      <c r="D336" s="4120" t="n"/>
      <c r="E336" s="4120" t="n"/>
      <c r="F336" s="4121" t="n"/>
      <c r="G336" s="4121" t="n"/>
      <c r="H336" s="4121" t="n"/>
      <c r="I336" s="4121" t="n"/>
      <c r="J336" s="4121" t="n"/>
      <c r="K336" s="4121" t="n"/>
      <c r="L336" s="4121" t="n"/>
      <c r="M336" s="4121" t="n"/>
      <c r="N336" s="4121" t="n"/>
      <c r="O336" s="4121" t="n"/>
      <c r="P336" s="4121" t="n"/>
      <c r="Q336" s="4122" t="n"/>
      <c r="R336" s="4121" t="n"/>
      <c r="S336" s="4121" t="n"/>
      <c r="T336" s="4121" t="n"/>
      <c r="U336" s="4121" t="n"/>
      <c r="V336" s="4121" t="n"/>
      <c r="W336" s="4121" t="n"/>
      <c r="X336" s="4121" t="n"/>
      <c r="Y336" s="4121" t="n"/>
      <c r="Z336" s="4121" t="n"/>
      <c r="AA336" s="4121" t="n"/>
      <c r="AB336" s="4121" t="n"/>
      <c r="AC336" s="4122" t="n"/>
      <c r="AD336" s="4121" t="n"/>
      <c r="AE336" s="4121" t="n"/>
      <c r="AF336" s="4121" t="n"/>
      <c r="AG336" s="4121" t="n"/>
      <c r="AH336" s="4121" t="n"/>
      <c r="AI336" s="4121" t="n"/>
      <c r="AJ336" s="4121" t="n"/>
      <c r="AK336" s="4121" t="n"/>
      <c r="AL336" s="4121" t="n"/>
      <c r="AM336" s="4121" t="n"/>
      <c r="AN336" s="4121" t="n"/>
      <c r="AO336" s="4122" t="n"/>
      <c r="AP336" s="4121">
        <f>SUM(AP335,AP171)</f>
        <v/>
      </c>
      <c r="AQ336" s="4121">
        <f>SUM(AQ335,AQ171)</f>
        <v/>
      </c>
      <c r="AR336" s="4121">
        <f>SUM(AR335,AR171)</f>
        <v/>
      </c>
      <c r="AS336" s="4121">
        <f>SUM(AS335,AS171)</f>
        <v/>
      </c>
      <c r="AT336" s="4121">
        <f>SUM(AT335,AT171)</f>
        <v/>
      </c>
      <c r="AU336" s="4123">
        <f>SUM(AU335,AU171)</f>
        <v/>
      </c>
      <c r="AV336" s="4121">
        <f>SUM(AV335,AV171)</f>
        <v/>
      </c>
      <c r="AW336" s="4121">
        <f>SUM(AW335,AW171)</f>
        <v/>
      </c>
      <c r="AX336" s="4121">
        <f>SUM(AX335,AX171)</f>
        <v/>
      </c>
      <c r="AY336" s="4121">
        <f>SUM(AY335,AY171)</f>
        <v/>
      </c>
      <c r="AZ336" s="4121">
        <f>SUM(AZ335,AZ171)</f>
        <v/>
      </c>
      <c r="BA336" s="4117" t="n"/>
      <c r="BB336" s="4124">
        <f>IFERROR(F336/F$117,0)</f>
        <v/>
      </c>
      <c r="BC336" s="4124">
        <f>IFERROR(G336/G$117,0)</f>
        <v/>
      </c>
      <c r="BD336" s="4124">
        <f>IFERROR(H336/H$117,0)</f>
        <v/>
      </c>
      <c r="BE336" s="4124">
        <f>IFERROR(I336/I$117,0)</f>
        <v/>
      </c>
      <c r="BF336" s="4124">
        <f>IFERROR(J336/J$117,0)</f>
        <v/>
      </c>
      <c r="BG336" s="4124">
        <f>IFERROR(K336/K$117,0)</f>
        <v/>
      </c>
      <c r="BH336" s="4124">
        <f>IFERROR(L336/L$117,0)</f>
        <v/>
      </c>
      <c r="BI336" s="4124">
        <f>IFERROR(M336/M$117,0)</f>
        <v/>
      </c>
      <c r="BJ336" s="4124">
        <f>IFERROR(N336/N$117,0)</f>
        <v/>
      </c>
      <c r="BK336" s="4124">
        <f>IFERROR(O336/O$117,0)</f>
        <v/>
      </c>
      <c r="BL336" s="4124">
        <f>IFERROR(P336/P$117,0)</f>
        <v/>
      </c>
      <c r="BM336" s="4125">
        <f>IFERROR(Q336/Q$117,0)</f>
        <v/>
      </c>
      <c r="BN336" s="4124">
        <f>IFERROR(R336/R$117,0)</f>
        <v/>
      </c>
      <c r="BO336" s="4124">
        <f>IFERROR(S336/S$117,0)</f>
        <v/>
      </c>
      <c r="BP336" s="4124">
        <f>IFERROR(T336/T$117,0)</f>
        <v/>
      </c>
      <c r="BQ336" s="4124">
        <f>IFERROR(U336/U$117,0)</f>
        <v/>
      </c>
      <c r="BR336" s="4124">
        <f>IFERROR(V336/V$117,0)</f>
        <v/>
      </c>
      <c r="BS336" s="4124">
        <f>IFERROR(W336/W$117,0)</f>
        <v/>
      </c>
      <c r="BT336" s="4124">
        <f>IFERROR(X336/X$117,0)</f>
        <v/>
      </c>
      <c r="BU336" s="4124">
        <f>IFERROR(Y336/Y$117,0)</f>
        <v/>
      </c>
      <c r="BV336" s="4124">
        <f>IFERROR(Z336/Z$117,0)</f>
        <v/>
      </c>
      <c r="BW336" s="4124">
        <f>IFERROR(AA336/AA$117,0)</f>
        <v/>
      </c>
      <c r="BX336" s="4124">
        <f>IFERROR(AB336/AB$117,0)</f>
        <v/>
      </c>
      <c r="BY336" s="4125">
        <f>IFERROR(AC336/AC$117,0)</f>
        <v/>
      </c>
      <c r="BZ336" s="4124">
        <f>IFERROR(AD336/AD$117,0)</f>
        <v/>
      </c>
      <c r="CA336" s="4124">
        <f>IFERROR(AE336/AE$117,0)</f>
        <v/>
      </c>
      <c r="CB336" s="4124">
        <f>IFERROR(AF336/AF$117,0)</f>
        <v/>
      </c>
      <c r="CC336" s="4124">
        <f>IFERROR(AG336/AG$117,0)</f>
        <v/>
      </c>
      <c r="CD336" s="4124">
        <f>IFERROR(AH336/AH$117,0)</f>
        <v/>
      </c>
      <c r="CE336" s="4124">
        <f>IFERROR(AI336/AI$117,0)</f>
        <v/>
      </c>
      <c r="CF336" s="4124">
        <f>IFERROR(AJ336/AJ$117,0)</f>
        <v/>
      </c>
      <c r="CG336" s="4124">
        <f>IFERROR(AK336/AK$117,0)</f>
        <v/>
      </c>
      <c r="CH336" s="4124">
        <f>IFERROR(AL336/AL$117,0)</f>
        <v/>
      </c>
      <c r="CI336" s="4124">
        <f>IFERROR(AM336/AM$117,0)</f>
        <v/>
      </c>
      <c r="CJ336" s="4124">
        <f>IFERROR(AN336/AN$117,0)</f>
        <v/>
      </c>
      <c r="CK336" s="4125">
        <f>IFERROR(AO336/AO$117,0)</f>
        <v/>
      </c>
      <c r="CL336" s="4124">
        <f>IFERROR(AP336/AP$117,0)</f>
        <v/>
      </c>
      <c r="CM336" s="4124">
        <f>IFERROR(AQ336/AQ$117,0)</f>
        <v/>
      </c>
      <c r="CN336" s="4124">
        <f>IFERROR(AR336/AR$117,0)</f>
        <v/>
      </c>
      <c r="CO336" s="4124">
        <f>IFERROR(AS336/AS$117,0)</f>
        <v/>
      </c>
      <c r="CP336" s="4124">
        <f>IFERROR(AT336/AT$117,0)</f>
        <v/>
      </c>
      <c r="CQ336" s="4126">
        <f>IFERROR(AU336/AU$117,0)</f>
        <v/>
      </c>
      <c r="CR336" s="4124">
        <f>IFERROR(AV336/AV$117,0)</f>
        <v/>
      </c>
      <c r="CS336" s="4124">
        <f>IFERROR(AW336/AW$117,0)</f>
        <v/>
      </c>
      <c r="CT336" s="4124">
        <f>IFERROR(AX336/AX$117,0)</f>
        <v/>
      </c>
      <c r="CU336" s="4124">
        <f>IFERROR(AY336/AY$117,0)</f>
        <v/>
      </c>
      <c r="CV336" s="4124">
        <f>IFERROR(AZ336/AZ$117,0)</f>
        <v/>
      </c>
      <c r="CW336" s="4117" t="n"/>
      <c r="CX336" s="4121">
        <f>SUM(CX335,CX171)</f>
        <v/>
      </c>
    </row>
    <row r="337" hidden="1" outlineLevel="1" ht="12" customFormat="1" customHeight="1" s="4117">
      <c r="A337" s="4118" t="n"/>
      <c r="B337" s="4119" t="n"/>
      <c r="C337" s="4100" t="inlineStr">
        <is>
          <t>Interest income-other</t>
        </is>
      </c>
      <c r="D337" s="4101" t="n">
        <v>801101</v>
      </c>
      <c r="E337" s="4101">
        <f>CONCATENATE(D337," - ",C337)</f>
        <v/>
      </c>
      <c r="F337" s="4102" t="n"/>
      <c r="G337" s="4102" t="n"/>
      <c r="H337" s="4102" t="n"/>
      <c r="I337" s="4102" t="n"/>
      <c r="J337" s="4102" t="n"/>
      <c r="K337" s="4102" t="n"/>
      <c r="L337" s="4102" t="n"/>
      <c r="M337" s="4102" t="n"/>
      <c r="N337" s="4102" t="n"/>
      <c r="O337" s="4102" t="n"/>
      <c r="P337" s="4102" t="n"/>
      <c r="Q337" s="4103" t="n"/>
      <c r="R337" s="4102" t="n"/>
      <c r="S337" s="4102" t="n"/>
      <c r="T337" s="4102" t="n"/>
      <c r="U337" s="4102" t="n"/>
      <c r="V337" s="4102" t="n"/>
      <c r="W337" s="4102" t="n"/>
      <c r="X337" s="4102" t="n"/>
      <c r="Y337" s="4102" t="n"/>
      <c r="Z337" s="4102" t="n"/>
      <c r="AA337" s="4102" t="n"/>
      <c r="AB337" s="4102" t="n"/>
      <c r="AC337" s="4103" t="n"/>
      <c r="AD337" s="4102" t="n"/>
      <c r="AE337" s="4102" t="n"/>
      <c r="AF337" s="4102" t="n"/>
      <c r="AG337" s="4102" t="n"/>
      <c r="AH337" s="4102" t="n"/>
      <c r="AI337" s="4102" t="n"/>
      <c r="AJ337" s="4102" t="n"/>
      <c r="AK337" s="4102" t="n"/>
      <c r="AL337" s="4102" t="n"/>
      <c r="AM337" s="4102" t="n"/>
      <c r="AN337" s="4102" t="n"/>
      <c r="AO337" s="4103" t="n"/>
      <c r="AP337" s="4102" t="n">
        <v>139.42678</v>
      </c>
      <c r="AQ337" s="4102" t="n">
        <v>127.53231</v>
      </c>
      <c r="AR337" s="4102" t="n">
        <v>129.71273</v>
      </c>
      <c r="AS337" s="4102" t="n">
        <v>137.82359</v>
      </c>
      <c r="AT337" s="4102" t="n">
        <v>157.35994</v>
      </c>
      <c r="AU337" s="4104" t="n">
        <v>162.88325</v>
      </c>
      <c r="AV337" s="4102">
        <f>SUM(F337:Q337)</f>
        <v/>
      </c>
      <c r="AW337" s="4102">
        <f>SUM(R337:AC337)</f>
        <v/>
      </c>
      <c r="AX337" s="4102">
        <f>SUM(AD337:AO337)</f>
        <v/>
      </c>
      <c r="AY337" s="4102">
        <f>SUM(AH337:AS337)</f>
        <v/>
      </c>
      <c r="AZ337" s="4102">
        <f>SUM(AJ337:AU337)</f>
        <v/>
      </c>
      <c r="BA337" s="3737" t="n"/>
      <c r="BB337" s="4105">
        <f>IFERROR(F337/F$117,0)</f>
        <v/>
      </c>
      <c r="BC337" s="4105">
        <f>IFERROR(G337/G$117,0)</f>
        <v/>
      </c>
      <c r="BD337" s="4105">
        <f>IFERROR(H337/H$117,0)</f>
        <v/>
      </c>
      <c r="BE337" s="4105">
        <f>IFERROR(I337/I$117,0)</f>
        <v/>
      </c>
      <c r="BF337" s="4105">
        <f>IFERROR(J337/J$117,0)</f>
        <v/>
      </c>
      <c r="BG337" s="4105">
        <f>IFERROR(K337/K$117,0)</f>
        <v/>
      </c>
      <c r="BH337" s="4105">
        <f>IFERROR(L337/L$117,0)</f>
        <v/>
      </c>
      <c r="BI337" s="4105">
        <f>IFERROR(M337/M$117,0)</f>
        <v/>
      </c>
      <c r="BJ337" s="4105">
        <f>IFERROR(N337/N$117,0)</f>
        <v/>
      </c>
      <c r="BK337" s="4105">
        <f>IFERROR(O337/O$117,0)</f>
        <v/>
      </c>
      <c r="BL337" s="4105">
        <f>IFERROR(P337/P$117,0)</f>
        <v/>
      </c>
      <c r="BM337" s="4106">
        <f>IFERROR(Q337/Q$117,0)</f>
        <v/>
      </c>
      <c r="BN337" s="4105">
        <f>IFERROR(R337/R$117,0)</f>
        <v/>
      </c>
      <c r="BO337" s="4105">
        <f>IFERROR(S337/S$117,0)</f>
        <v/>
      </c>
      <c r="BP337" s="4105">
        <f>IFERROR(T337/T$117,0)</f>
        <v/>
      </c>
      <c r="BQ337" s="4105">
        <f>IFERROR(U337/U$117,0)</f>
        <v/>
      </c>
      <c r="BR337" s="4105">
        <f>IFERROR(V337/V$117,0)</f>
        <v/>
      </c>
      <c r="BS337" s="4105">
        <f>IFERROR(W337/W$117,0)</f>
        <v/>
      </c>
      <c r="BT337" s="4105">
        <f>IFERROR(X337/X$117,0)</f>
        <v/>
      </c>
      <c r="BU337" s="4105">
        <f>IFERROR(Y337/Y$117,0)</f>
        <v/>
      </c>
      <c r="BV337" s="4105">
        <f>IFERROR(Z337/Z$117,0)</f>
        <v/>
      </c>
      <c r="BW337" s="4105">
        <f>IFERROR(AA337/AA$117,0)</f>
        <v/>
      </c>
      <c r="BX337" s="4105">
        <f>IFERROR(AB337/AB$117,0)</f>
        <v/>
      </c>
      <c r="BY337" s="4106">
        <f>IFERROR(AC337/AC$117,0)</f>
        <v/>
      </c>
      <c r="BZ337" s="4105">
        <f>IFERROR(AD337/AD$117,0)</f>
        <v/>
      </c>
      <c r="CA337" s="4105">
        <f>IFERROR(AE337/AE$117,0)</f>
        <v/>
      </c>
      <c r="CB337" s="4105">
        <f>IFERROR(AF337/AF$117,0)</f>
        <v/>
      </c>
      <c r="CC337" s="4105">
        <f>IFERROR(AG337/AG$117,0)</f>
        <v/>
      </c>
      <c r="CD337" s="4105">
        <f>IFERROR(AH337/AH$117,0)</f>
        <v/>
      </c>
      <c r="CE337" s="4105">
        <f>IFERROR(AI337/AI$117,0)</f>
        <v/>
      </c>
      <c r="CF337" s="4105">
        <f>IFERROR(AJ337/AJ$117,0)</f>
        <v/>
      </c>
      <c r="CG337" s="4105">
        <f>IFERROR(AK337/AK$117,0)</f>
        <v/>
      </c>
      <c r="CH337" s="4105">
        <f>IFERROR(AL337/AL$117,0)</f>
        <v/>
      </c>
      <c r="CI337" s="4105">
        <f>IFERROR(AM337/AM$117,0)</f>
        <v/>
      </c>
      <c r="CJ337" s="4105">
        <f>IFERROR(AN337/AN$117,0)</f>
        <v/>
      </c>
      <c r="CK337" s="4106">
        <f>IFERROR(AO337/AO$117,0)</f>
        <v/>
      </c>
      <c r="CL337" s="4105">
        <f>IFERROR(AP337/AP$117,0)</f>
        <v/>
      </c>
      <c r="CM337" s="4105">
        <f>IFERROR(AQ337/AQ$117,0)</f>
        <v/>
      </c>
      <c r="CN337" s="4105">
        <f>IFERROR(AR337/AR$117,0)</f>
        <v/>
      </c>
      <c r="CO337" s="4105">
        <f>IFERROR(AS337/AS$117,0)</f>
        <v/>
      </c>
      <c r="CP337" s="4105">
        <f>IFERROR(AT337/AT$117,0)</f>
        <v/>
      </c>
      <c r="CQ337" s="4107">
        <f>IFERROR(AU337/AU$117,0)</f>
        <v/>
      </c>
      <c r="CR337" s="4105">
        <f>IFERROR(AV337/AV$117,0)</f>
        <v/>
      </c>
      <c r="CS337" s="4105">
        <f>IFERROR(AW337/AW$117,0)</f>
        <v/>
      </c>
      <c r="CT337" s="4105">
        <f>IFERROR(AX337/AX$117,0)</f>
        <v/>
      </c>
      <c r="CU337" s="4105">
        <f>IFERROR(AY337/AY$117,0)</f>
        <v/>
      </c>
      <c r="CV337" s="4105">
        <f>IFERROR(AZ337/AZ$117,0)</f>
        <v/>
      </c>
      <c r="CW337" s="4117" t="n"/>
      <c r="CX337" s="4102" t="n">
        <v>51.12553</v>
      </c>
    </row>
    <row r="338" ht="12" customFormat="1" customHeight="1" s="4117">
      <c r="A338" s="4118" t="n"/>
      <c r="B338" s="4119" t="n"/>
      <c r="C338" s="4108" t="inlineStr">
        <is>
          <t>Interest income</t>
        </is>
      </c>
      <c r="D338" s="4093" t="n"/>
      <c r="E338" s="4093" t="n"/>
      <c r="F338" s="4094" t="n"/>
      <c r="G338" s="4094" t="n"/>
      <c r="H338" s="4094" t="n"/>
      <c r="I338" s="4094" t="n"/>
      <c r="J338" s="4094" t="n"/>
      <c r="K338" s="4094" t="n"/>
      <c r="L338" s="4094" t="n"/>
      <c r="M338" s="4094" t="n"/>
      <c r="N338" s="4094" t="n"/>
      <c r="O338" s="4094" t="n"/>
      <c r="P338" s="4094" t="n"/>
      <c r="Q338" s="4095" t="n"/>
      <c r="R338" s="4094" t="n"/>
      <c r="S338" s="4094" t="n"/>
      <c r="T338" s="4094" t="n"/>
      <c r="U338" s="4094" t="n"/>
      <c r="V338" s="4094" t="n"/>
      <c r="W338" s="4094" t="n"/>
      <c r="X338" s="4094" t="n"/>
      <c r="Y338" s="4094" t="n"/>
      <c r="Z338" s="4094" t="n"/>
      <c r="AA338" s="4094" t="n"/>
      <c r="AB338" s="4094" t="n"/>
      <c r="AC338" s="4095" t="n"/>
      <c r="AD338" s="4094" t="n"/>
      <c r="AE338" s="4094" t="n"/>
      <c r="AF338" s="4094" t="n"/>
      <c r="AG338" s="4094" t="n"/>
      <c r="AH338" s="4094" t="n"/>
      <c r="AI338" s="4094" t="n"/>
      <c r="AJ338" s="4094" t="n"/>
      <c r="AK338" s="4094" t="n"/>
      <c r="AL338" s="4094" t="n"/>
      <c r="AM338" s="4094" t="n"/>
      <c r="AN338" s="4094" t="n"/>
      <c r="AO338" s="4095" t="n"/>
      <c r="AP338" s="4094">
        <f>SUM(AP337)</f>
        <v/>
      </c>
      <c r="AQ338" s="4094">
        <f>SUM(AQ337)</f>
        <v/>
      </c>
      <c r="AR338" s="4094">
        <f>SUM(AR337)</f>
        <v/>
      </c>
      <c r="AS338" s="4094">
        <f>SUM(AS337)</f>
        <v/>
      </c>
      <c r="AT338" s="4094">
        <f>SUM(AT337)</f>
        <v/>
      </c>
      <c r="AU338" s="4096">
        <f>SUM(AU337)</f>
        <v/>
      </c>
      <c r="AV338" s="4094">
        <f>SUM(AV337)</f>
        <v/>
      </c>
      <c r="AW338" s="4094">
        <f>SUM(AW337)</f>
        <v/>
      </c>
      <c r="AX338" s="4094">
        <f>SUM(AX337)</f>
        <v/>
      </c>
      <c r="AY338" s="4094">
        <f>SUM(AY337)</f>
        <v/>
      </c>
      <c r="AZ338" s="4094">
        <f>SUM(AZ337)</f>
        <v/>
      </c>
      <c r="BA338" s="3737" t="n"/>
      <c r="BB338" s="4097">
        <f>IFERROR(F338/F$117,0)</f>
        <v/>
      </c>
      <c r="BC338" s="4097">
        <f>IFERROR(G338/G$117,0)</f>
        <v/>
      </c>
      <c r="BD338" s="4097">
        <f>IFERROR(H338/H$117,0)</f>
        <v/>
      </c>
      <c r="BE338" s="4097">
        <f>IFERROR(I338/I$117,0)</f>
        <v/>
      </c>
      <c r="BF338" s="4097">
        <f>IFERROR(J338/J$117,0)</f>
        <v/>
      </c>
      <c r="BG338" s="4097">
        <f>IFERROR(K338/K$117,0)</f>
        <v/>
      </c>
      <c r="BH338" s="4097">
        <f>IFERROR(L338/L$117,0)</f>
        <v/>
      </c>
      <c r="BI338" s="4097">
        <f>IFERROR(M338/M$117,0)</f>
        <v/>
      </c>
      <c r="BJ338" s="4097">
        <f>IFERROR(N338/N$117,0)</f>
        <v/>
      </c>
      <c r="BK338" s="4097">
        <f>IFERROR(O338/O$117,0)</f>
        <v/>
      </c>
      <c r="BL338" s="4097">
        <f>IFERROR(P338/P$117,0)</f>
        <v/>
      </c>
      <c r="BM338" s="4098">
        <f>IFERROR(Q338/Q$117,0)</f>
        <v/>
      </c>
      <c r="BN338" s="4097">
        <f>IFERROR(R338/R$117,0)</f>
        <v/>
      </c>
      <c r="BO338" s="4097">
        <f>IFERROR(S338/S$117,0)</f>
        <v/>
      </c>
      <c r="BP338" s="4097">
        <f>IFERROR(T338/T$117,0)</f>
        <v/>
      </c>
      <c r="BQ338" s="4097">
        <f>IFERROR(U338/U$117,0)</f>
        <v/>
      </c>
      <c r="BR338" s="4097">
        <f>IFERROR(V338/V$117,0)</f>
        <v/>
      </c>
      <c r="BS338" s="4097">
        <f>IFERROR(W338/W$117,0)</f>
        <v/>
      </c>
      <c r="BT338" s="4097">
        <f>IFERROR(X338/X$117,0)</f>
        <v/>
      </c>
      <c r="BU338" s="4097">
        <f>IFERROR(Y338/Y$117,0)</f>
        <v/>
      </c>
      <c r="BV338" s="4097">
        <f>IFERROR(Z338/Z$117,0)</f>
        <v/>
      </c>
      <c r="BW338" s="4097">
        <f>IFERROR(AA338/AA$117,0)</f>
        <v/>
      </c>
      <c r="BX338" s="4097">
        <f>IFERROR(AB338/AB$117,0)</f>
        <v/>
      </c>
      <c r="BY338" s="4098">
        <f>IFERROR(AC338/AC$117,0)</f>
        <v/>
      </c>
      <c r="BZ338" s="4097">
        <f>IFERROR(AD338/AD$117,0)</f>
        <v/>
      </c>
      <c r="CA338" s="4097">
        <f>IFERROR(AE338/AE$117,0)</f>
        <v/>
      </c>
      <c r="CB338" s="4097">
        <f>IFERROR(AF338/AF$117,0)</f>
        <v/>
      </c>
      <c r="CC338" s="4097">
        <f>IFERROR(AG338/AG$117,0)</f>
        <v/>
      </c>
      <c r="CD338" s="4097">
        <f>IFERROR(AH338/AH$117,0)</f>
        <v/>
      </c>
      <c r="CE338" s="4097">
        <f>IFERROR(AI338/AI$117,0)</f>
        <v/>
      </c>
      <c r="CF338" s="4097">
        <f>IFERROR(AJ338/AJ$117,0)</f>
        <v/>
      </c>
      <c r="CG338" s="4097">
        <f>IFERROR(AK338/AK$117,0)</f>
        <v/>
      </c>
      <c r="CH338" s="4097">
        <f>IFERROR(AL338/AL$117,0)</f>
        <v/>
      </c>
      <c r="CI338" s="4097">
        <f>IFERROR(AM338/AM$117,0)</f>
        <v/>
      </c>
      <c r="CJ338" s="4097">
        <f>IFERROR(AN338/AN$117,0)</f>
        <v/>
      </c>
      <c r="CK338" s="4098">
        <f>IFERROR(AO338/AO$117,0)</f>
        <v/>
      </c>
      <c r="CL338" s="4097">
        <f>IFERROR(AP338/AP$117,0)</f>
        <v/>
      </c>
      <c r="CM338" s="4097">
        <f>IFERROR(AQ338/AQ$117,0)</f>
        <v/>
      </c>
      <c r="CN338" s="4097">
        <f>IFERROR(AR338/AR$117,0)</f>
        <v/>
      </c>
      <c r="CO338" s="4097">
        <f>IFERROR(AS338/AS$117,0)</f>
        <v/>
      </c>
      <c r="CP338" s="4097">
        <f>IFERROR(AT338/AT$117,0)</f>
        <v/>
      </c>
      <c r="CQ338" s="4099">
        <f>IFERROR(AU338/AU$117,0)</f>
        <v/>
      </c>
      <c r="CR338" s="4097">
        <f>IFERROR(AV338/AV$117,0)</f>
        <v/>
      </c>
      <c r="CS338" s="4097">
        <f>IFERROR(AW338/AW$117,0)</f>
        <v/>
      </c>
      <c r="CT338" s="4097">
        <f>IFERROR(AX338/AX$117,0)</f>
        <v/>
      </c>
      <c r="CU338" s="4097">
        <f>IFERROR(AY338/AY$117,0)</f>
        <v/>
      </c>
      <c r="CV338" s="4097">
        <f>IFERROR(AZ338/AZ$117,0)</f>
        <v/>
      </c>
      <c r="CW338" s="4117" t="n"/>
      <c r="CX338" s="4094">
        <f>SUM(CX337)</f>
        <v/>
      </c>
    </row>
    <row r="339" hidden="1" outlineLevel="2" ht="12" customFormat="1" customHeight="1" s="3737">
      <c r="A339" s="4059" t="n"/>
      <c r="B339" s="4060" t="n"/>
      <c r="C339" s="4128" t="inlineStr">
        <is>
          <t>Interest expense - prop lease</t>
        </is>
      </c>
      <c r="D339" s="4101" t="n">
        <v>802116</v>
      </c>
      <c r="E339" s="4101">
        <f>CONCATENATE(D339," - ",C339)</f>
        <v/>
      </c>
      <c r="F339" s="4102" t="n"/>
      <c r="G339" s="4102" t="n"/>
      <c r="H339" s="4102" t="n"/>
      <c r="I339" s="4102" t="n"/>
      <c r="J339" s="4102" t="n"/>
      <c r="K339" s="4102" t="n"/>
      <c r="L339" s="4102" t="n"/>
      <c r="M339" s="4102" t="n"/>
      <c r="N339" s="4102" t="n"/>
      <c r="O339" s="4102" t="n"/>
      <c r="P339" s="4102" t="n"/>
      <c r="Q339" s="4103" t="n"/>
      <c r="R339" s="4102" t="n"/>
      <c r="S339" s="4102" t="n"/>
      <c r="T339" s="4102" t="n"/>
      <c r="U339" s="4102" t="n"/>
      <c r="V339" s="4102" t="n"/>
      <c r="W339" s="4102" t="n"/>
      <c r="X339" s="4102" t="n"/>
      <c r="Y339" s="4102" t="n"/>
      <c r="Z339" s="4102" t="n"/>
      <c r="AA339" s="4102" t="n"/>
      <c r="AB339" s="4102" t="n"/>
      <c r="AC339" s="4103" t="n"/>
      <c r="AD339" s="4102" t="n"/>
      <c r="AE339" s="4102" t="n"/>
      <c r="AF339" s="4102" t="n"/>
      <c r="AG339" s="4102" t="n"/>
      <c r="AH339" s="4102" t="n"/>
      <c r="AI339" s="4102" t="n"/>
      <c r="AJ339" s="4102" t="n"/>
      <c r="AK339" s="4102" t="n"/>
      <c r="AL339" s="4102" t="n"/>
      <c r="AM339" s="4102" t="n"/>
      <c r="AN339" s="4102" t="n"/>
      <c r="AO339" s="4103" t="n"/>
      <c r="AP339" s="4102" t="n">
        <v>-3.24963</v>
      </c>
      <c r="AQ339" s="4102" t="n">
        <v>-3.15038</v>
      </c>
      <c r="AR339" s="4102" t="n">
        <v>-3.05078</v>
      </c>
      <c r="AS339" s="4102" t="n">
        <v>-2.95081</v>
      </c>
      <c r="AT339" s="4102" t="n">
        <v>-2.85049</v>
      </c>
      <c r="AU339" s="4104" t="n">
        <v>-2.7498</v>
      </c>
      <c r="AV339" s="4102">
        <f>SUM(F339:Q339)</f>
        <v/>
      </c>
      <c r="AW339" s="4102">
        <f>SUM(R339:AC339)</f>
        <v/>
      </c>
      <c r="AX339" s="4102">
        <f>SUM(AD339:AO339)</f>
        <v/>
      </c>
      <c r="AY339" s="4102">
        <f>SUM(AH339:AS339)</f>
        <v/>
      </c>
      <c r="AZ339" s="4102">
        <f>SUM(AJ339:AU339)</f>
        <v/>
      </c>
      <c r="BA339" s="3737" t="n"/>
      <c r="BB339" s="4105">
        <f>IFERROR(F339/F$117,0)</f>
        <v/>
      </c>
      <c r="BC339" s="4105">
        <f>IFERROR(G339/G$117,0)</f>
        <v/>
      </c>
      <c r="BD339" s="4105">
        <f>IFERROR(H339/H$117,0)</f>
        <v/>
      </c>
      <c r="BE339" s="4105">
        <f>IFERROR(I339/I$117,0)</f>
        <v/>
      </c>
      <c r="BF339" s="4105">
        <f>IFERROR(J339/J$117,0)</f>
        <v/>
      </c>
      <c r="BG339" s="4105">
        <f>IFERROR(K339/K$117,0)</f>
        <v/>
      </c>
      <c r="BH339" s="4105">
        <f>IFERROR(L339/L$117,0)</f>
        <v/>
      </c>
      <c r="BI339" s="4105">
        <f>IFERROR(M339/M$117,0)</f>
        <v/>
      </c>
      <c r="BJ339" s="4105">
        <f>IFERROR(N339/N$117,0)</f>
        <v/>
      </c>
      <c r="BK339" s="4105">
        <f>IFERROR(O339/O$117,0)</f>
        <v/>
      </c>
      <c r="BL339" s="4105">
        <f>IFERROR(P339/P$117,0)</f>
        <v/>
      </c>
      <c r="BM339" s="4106">
        <f>IFERROR(Q339/Q$117,0)</f>
        <v/>
      </c>
      <c r="BN339" s="4105">
        <f>IFERROR(R339/R$117,0)</f>
        <v/>
      </c>
      <c r="BO339" s="4105">
        <f>IFERROR(S339/S$117,0)</f>
        <v/>
      </c>
      <c r="BP339" s="4105">
        <f>IFERROR(T339/T$117,0)</f>
        <v/>
      </c>
      <c r="BQ339" s="4105">
        <f>IFERROR(U339/U$117,0)</f>
        <v/>
      </c>
      <c r="BR339" s="4105">
        <f>IFERROR(V339/V$117,0)</f>
        <v/>
      </c>
      <c r="BS339" s="4105">
        <f>IFERROR(W339/W$117,0)</f>
        <v/>
      </c>
      <c r="BT339" s="4105">
        <f>IFERROR(X339/X$117,0)</f>
        <v/>
      </c>
      <c r="BU339" s="4105">
        <f>IFERROR(Y339/Y$117,0)</f>
        <v/>
      </c>
      <c r="BV339" s="4105">
        <f>IFERROR(Z339/Z$117,0)</f>
        <v/>
      </c>
      <c r="BW339" s="4105">
        <f>IFERROR(AA339/AA$117,0)</f>
        <v/>
      </c>
      <c r="BX339" s="4105">
        <f>IFERROR(AB339/AB$117,0)</f>
        <v/>
      </c>
      <c r="BY339" s="4106">
        <f>IFERROR(AC339/AC$117,0)</f>
        <v/>
      </c>
      <c r="BZ339" s="4105">
        <f>IFERROR(AD339/AD$117,0)</f>
        <v/>
      </c>
      <c r="CA339" s="4105">
        <f>IFERROR(AE339/AE$117,0)</f>
        <v/>
      </c>
      <c r="CB339" s="4105">
        <f>IFERROR(AF339/AF$117,0)</f>
        <v/>
      </c>
      <c r="CC339" s="4105">
        <f>IFERROR(AG339/AG$117,0)</f>
        <v/>
      </c>
      <c r="CD339" s="4105">
        <f>IFERROR(AH339/AH$117,0)</f>
        <v/>
      </c>
      <c r="CE339" s="4105">
        <f>IFERROR(AI339/AI$117,0)</f>
        <v/>
      </c>
      <c r="CF339" s="4105">
        <f>IFERROR(AJ339/AJ$117,0)</f>
        <v/>
      </c>
      <c r="CG339" s="4105">
        <f>IFERROR(AK339/AK$117,0)</f>
        <v/>
      </c>
      <c r="CH339" s="4105">
        <f>IFERROR(AL339/AL$117,0)</f>
        <v/>
      </c>
      <c r="CI339" s="4105">
        <f>IFERROR(AM339/AM$117,0)</f>
        <v/>
      </c>
      <c r="CJ339" s="4105">
        <f>IFERROR(AN339/AN$117,0)</f>
        <v/>
      </c>
      <c r="CK339" s="4106">
        <f>IFERROR(AO339/AO$117,0)</f>
        <v/>
      </c>
      <c r="CL339" s="4105">
        <f>IFERROR(AP339/AP$117,0)</f>
        <v/>
      </c>
      <c r="CM339" s="4105">
        <f>IFERROR(AQ339/AQ$117,0)</f>
        <v/>
      </c>
      <c r="CN339" s="4105">
        <f>IFERROR(AR339/AR$117,0)</f>
        <v/>
      </c>
      <c r="CO339" s="4105">
        <f>IFERROR(AS339/AS$117,0)</f>
        <v/>
      </c>
      <c r="CP339" s="4105">
        <f>IFERROR(AT339/AT$117,0)</f>
        <v/>
      </c>
      <c r="CQ339" s="4107">
        <f>IFERROR(AU339/AU$117,0)</f>
        <v/>
      </c>
      <c r="CR339" s="4105">
        <f>IFERROR(AV339/AV$117,0)</f>
        <v/>
      </c>
      <c r="CS339" s="4105">
        <f>IFERROR(AW339/AW$117,0)</f>
        <v/>
      </c>
      <c r="CT339" s="4105">
        <f>IFERROR(AX339/AX$117,0)</f>
        <v/>
      </c>
      <c r="CU339" s="4105">
        <f>IFERROR(AY339/AY$117,0)</f>
        <v/>
      </c>
      <c r="CV339" s="4105">
        <f>IFERROR(AZ339/AZ$117,0)</f>
        <v/>
      </c>
      <c r="CW339" s="3737" t="n"/>
      <c r="CX339" s="4102" t="n">
        <v>-81.59616</v>
      </c>
    </row>
    <row r="340" hidden="1" outlineLevel="1" collapsed="1" ht="12" customFormat="1" customHeight="1" s="3737">
      <c r="A340" s="4059" t="n"/>
      <c r="B340" s="4060" t="n"/>
      <c r="C340" s="4092" t="inlineStr">
        <is>
          <t>Interest expense - property lease (ifrs16)</t>
        </is>
      </c>
      <c r="D340" s="4093" t="n"/>
      <c r="E340" s="4093" t="n"/>
      <c r="F340" s="4094" t="n"/>
      <c r="G340" s="4094" t="n"/>
      <c r="H340" s="4094" t="n"/>
      <c r="I340" s="4094" t="n"/>
      <c r="J340" s="4094" t="n"/>
      <c r="K340" s="4094" t="n"/>
      <c r="L340" s="4094" t="n"/>
      <c r="M340" s="4094" t="n"/>
      <c r="N340" s="4094" t="n"/>
      <c r="O340" s="4094" t="n"/>
      <c r="P340" s="4094" t="n"/>
      <c r="Q340" s="4095" t="n"/>
      <c r="R340" s="4094" t="n"/>
      <c r="S340" s="4094" t="n"/>
      <c r="T340" s="4094" t="n"/>
      <c r="U340" s="4094" t="n"/>
      <c r="V340" s="4094" t="n"/>
      <c r="W340" s="4094" t="n"/>
      <c r="X340" s="4094" t="n"/>
      <c r="Y340" s="4094" t="n"/>
      <c r="Z340" s="4094" t="n"/>
      <c r="AA340" s="4094" t="n"/>
      <c r="AB340" s="4094" t="n"/>
      <c r="AC340" s="4095" t="n"/>
      <c r="AD340" s="4094" t="n"/>
      <c r="AE340" s="4094" t="n"/>
      <c r="AF340" s="4094" t="n"/>
      <c r="AG340" s="4094" t="n"/>
      <c r="AH340" s="4094" t="n"/>
      <c r="AI340" s="4094" t="n"/>
      <c r="AJ340" s="4094" t="n"/>
      <c r="AK340" s="4094" t="n"/>
      <c r="AL340" s="4094" t="n"/>
      <c r="AM340" s="4094" t="n"/>
      <c r="AN340" s="4094" t="n"/>
      <c r="AO340" s="4095" t="n"/>
      <c r="AP340" s="4094">
        <f>SUM(AP339)</f>
        <v/>
      </c>
      <c r="AQ340" s="4094">
        <f>SUM(AQ339)</f>
        <v/>
      </c>
      <c r="AR340" s="4094">
        <f>SUM(AR339)</f>
        <v/>
      </c>
      <c r="AS340" s="4094">
        <f>SUM(AS339)</f>
        <v/>
      </c>
      <c r="AT340" s="4094">
        <f>SUM(AT339)</f>
        <v/>
      </c>
      <c r="AU340" s="4096">
        <f>SUM(AU339)</f>
        <v/>
      </c>
      <c r="AV340" s="4094">
        <f>SUM(AV339)</f>
        <v/>
      </c>
      <c r="AW340" s="4094">
        <f>SUM(AW339)</f>
        <v/>
      </c>
      <c r="AX340" s="4094">
        <f>SUM(AX339)</f>
        <v/>
      </c>
      <c r="AY340" s="4094">
        <f>SUM(AY339)</f>
        <v/>
      </c>
      <c r="AZ340" s="4094">
        <f>SUM(AZ339)</f>
        <v/>
      </c>
      <c r="BA340" s="3737" t="n"/>
      <c r="BB340" s="4097">
        <f>IFERROR(F340/F$117,0)</f>
        <v/>
      </c>
      <c r="BC340" s="4097">
        <f>IFERROR(G340/G$117,0)</f>
        <v/>
      </c>
      <c r="BD340" s="4097">
        <f>IFERROR(H340/H$117,0)</f>
        <v/>
      </c>
      <c r="BE340" s="4097">
        <f>IFERROR(I340/I$117,0)</f>
        <v/>
      </c>
      <c r="BF340" s="4097">
        <f>IFERROR(J340/J$117,0)</f>
        <v/>
      </c>
      <c r="BG340" s="4097">
        <f>IFERROR(K340/K$117,0)</f>
        <v/>
      </c>
      <c r="BH340" s="4097">
        <f>IFERROR(L340/L$117,0)</f>
        <v/>
      </c>
      <c r="BI340" s="4097">
        <f>IFERROR(M340/M$117,0)</f>
        <v/>
      </c>
      <c r="BJ340" s="4097">
        <f>IFERROR(N340/N$117,0)</f>
        <v/>
      </c>
      <c r="BK340" s="4097">
        <f>IFERROR(O340/O$117,0)</f>
        <v/>
      </c>
      <c r="BL340" s="4097">
        <f>IFERROR(P340/P$117,0)</f>
        <v/>
      </c>
      <c r="BM340" s="4098">
        <f>IFERROR(Q340/Q$117,0)</f>
        <v/>
      </c>
      <c r="BN340" s="4097">
        <f>IFERROR(R340/R$117,0)</f>
        <v/>
      </c>
      <c r="BO340" s="4097">
        <f>IFERROR(S340/S$117,0)</f>
        <v/>
      </c>
      <c r="BP340" s="4097">
        <f>IFERROR(T340/T$117,0)</f>
        <v/>
      </c>
      <c r="BQ340" s="4097">
        <f>IFERROR(U340/U$117,0)</f>
        <v/>
      </c>
      <c r="BR340" s="4097">
        <f>IFERROR(V340/V$117,0)</f>
        <v/>
      </c>
      <c r="BS340" s="4097">
        <f>IFERROR(W340/W$117,0)</f>
        <v/>
      </c>
      <c r="BT340" s="4097">
        <f>IFERROR(X340/X$117,0)</f>
        <v/>
      </c>
      <c r="BU340" s="4097">
        <f>IFERROR(Y340/Y$117,0)</f>
        <v/>
      </c>
      <c r="BV340" s="4097">
        <f>IFERROR(Z340/Z$117,0)</f>
        <v/>
      </c>
      <c r="BW340" s="4097">
        <f>IFERROR(AA340/AA$117,0)</f>
        <v/>
      </c>
      <c r="BX340" s="4097">
        <f>IFERROR(AB340/AB$117,0)</f>
        <v/>
      </c>
      <c r="BY340" s="4098">
        <f>IFERROR(AC340/AC$117,0)</f>
        <v/>
      </c>
      <c r="BZ340" s="4097">
        <f>IFERROR(AD340/AD$117,0)</f>
        <v/>
      </c>
      <c r="CA340" s="4097">
        <f>IFERROR(AE340/AE$117,0)</f>
        <v/>
      </c>
      <c r="CB340" s="4097">
        <f>IFERROR(AF340/AF$117,0)</f>
        <v/>
      </c>
      <c r="CC340" s="4097">
        <f>IFERROR(AG340/AG$117,0)</f>
        <v/>
      </c>
      <c r="CD340" s="4097">
        <f>IFERROR(AH340/AH$117,0)</f>
        <v/>
      </c>
      <c r="CE340" s="4097">
        <f>IFERROR(AI340/AI$117,0)</f>
        <v/>
      </c>
      <c r="CF340" s="4097">
        <f>IFERROR(AJ340/AJ$117,0)</f>
        <v/>
      </c>
      <c r="CG340" s="4097">
        <f>IFERROR(AK340/AK$117,0)</f>
        <v/>
      </c>
      <c r="CH340" s="4097">
        <f>IFERROR(AL340/AL$117,0)</f>
        <v/>
      </c>
      <c r="CI340" s="4097">
        <f>IFERROR(AM340/AM$117,0)</f>
        <v/>
      </c>
      <c r="CJ340" s="4097">
        <f>IFERROR(AN340/AN$117,0)</f>
        <v/>
      </c>
      <c r="CK340" s="4098">
        <f>IFERROR(AO340/AO$117,0)</f>
        <v/>
      </c>
      <c r="CL340" s="4097">
        <f>IFERROR(AP340/AP$117,0)</f>
        <v/>
      </c>
      <c r="CM340" s="4097">
        <f>IFERROR(AQ340/AQ$117,0)</f>
        <v/>
      </c>
      <c r="CN340" s="4097">
        <f>IFERROR(AR340/AR$117,0)</f>
        <v/>
      </c>
      <c r="CO340" s="4097">
        <f>IFERROR(AS340/AS$117,0)</f>
        <v/>
      </c>
      <c r="CP340" s="4097">
        <f>IFERROR(AT340/AT$117,0)</f>
        <v/>
      </c>
      <c r="CQ340" s="4099">
        <f>IFERROR(AU340/AU$117,0)</f>
        <v/>
      </c>
      <c r="CR340" s="4097">
        <f>IFERROR(AV340/AV$117,0)</f>
        <v/>
      </c>
      <c r="CS340" s="4097">
        <f>IFERROR(AW340/AW$117,0)</f>
        <v/>
      </c>
      <c r="CT340" s="4097">
        <f>IFERROR(AX340/AX$117,0)</f>
        <v/>
      </c>
      <c r="CU340" s="4097">
        <f>IFERROR(AY340/AY$117,0)</f>
        <v/>
      </c>
      <c r="CV340" s="4097">
        <f>IFERROR(AZ340/AZ$117,0)</f>
        <v/>
      </c>
      <c r="CW340" s="3737" t="n"/>
      <c r="CX340" s="4094">
        <f>SUM(CX339)</f>
        <v/>
      </c>
    </row>
    <row r="341" hidden="1" outlineLevel="2" ht="12" customFormat="1" customHeight="1" s="3737">
      <c r="A341" s="4059" t="n"/>
      <c r="B341" s="4060" t="n"/>
      <c r="C341" s="4128" t="inlineStr">
        <is>
          <t>Interest expense- finance leases</t>
        </is>
      </c>
      <c r="D341" s="4101" t="n">
        <v>802102</v>
      </c>
      <c r="E341" s="4101">
        <f>CONCATENATE(D341," - ",C341)</f>
        <v/>
      </c>
      <c r="F341" s="4102" t="n"/>
      <c r="G341" s="4102" t="n"/>
      <c r="H341" s="4102" t="n"/>
      <c r="I341" s="4102" t="n"/>
      <c r="J341" s="4102" t="n"/>
      <c r="K341" s="4102" t="n"/>
      <c r="L341" s="4102" t="n"/>
      <c r="M341" s="4102" t="n"/>
      <c r="N341" s="4102" t="n"/>
      <c r="O341" s="4102" t="n"/>
      <c r="P341" s="4102" t="n"/>
      <c r="Q341" s="4103" t="n"/>
      <c r="R341" s="4102" t="n"/>
      <c r="S341" s="4102" t="n"/>
      <c r="T341" s="4102" t="n"/>
      <c r="U341" s="4102" t="n"/>
      <c r="V341" s="4102" t="n"/>
      <c r="W341" s="4102" t="n"/>
      <c r="X341" s="4102" t="n"/>
      <c r="Y341" s="4102" t="n"/>
      <c r="Z341" s="4102" t="n"/>
      <c r="AA341" s="4102" t="n"/>
      <c r="AB341" s="4102" t="n"/>
      <c r="AC341" s="4103" t="n"/>
      <c r="AD341" s="4102" t="n"/>
      <c r="AE341" s="4102" t="n"/>
      <c r="AF341" s="4102" t="n"/>
      <c r="AG341" s="4102" t="n"/>
      <c r="AH341" s="4102" t="n"/>
      <c r="AI341" s="4102" t="n"/>
      <c r="AJ341" s="4102" t="n"/>
      <c r="AK341" s="4102" t="n"/>
      <c r="AL341" s="4102" t="n"/>
      <c r="AM341" s="4102" t="n"/>
      <c r="AN341" s="4102" t="n"/>
      <c r="AO341" s="4103" t="n"/>
      <c r="AP341" s="4102" t="n">
        <v>-3.98136</v>
      </c>
      <c r="AQ341" s="4102" t="n">
        <v>-5.51687</v>
      </c>
      <c r="AR341" s="4102" t="n">
        <v>-3.73373</v>
      </c>
      <c r="AS341" s="4102" t="n">
        <v>-1.70094</v>
      </c>
      <c r="AT341" s="4102" t="n">
        <v>-3.36983</v>
      </c>
      <c r="AU341" s="4104" t="n">
        <v>-3.25228</v>
      </c>
      <c r="AV341" s="4102">
        <f>SUM(F341:Q341)</f>
        <v/>
      </c>
      <c r="AW341" s="4102">
        <f>SUM(R341:AC341)</f>
        <v/>
      </c>
      <c r="AX341" s="4102">
        <f>SUM(AD341:AO341)</f>
        <v/>
      </c>
      <c r="AY341" s="4102">
        <f>SUM(AH341:AS341)</f>
        <v/>
      </c>
      <c r="AZ341" s="4102">
        <f>SUM(AJ341:AU341)</f>
        <v/>
      </c>
      <c r="BA341" s="3737" t="n"/>
      <c r="BB341" s="4105">
        <f>IFERROR(F341/F$117,0)</f>
        <v/>
      </c>
      <c r="BC341" s="4105">
        <f>IFERROR(G341/G$117,0)</f>
        <v/>
      </c>
      <c r="BD341" s="4105">
        <f>IFERROR(H341/H$117,0)</f>
        <v/>
      </c>
      <c r="BE341" s="4105">
        <f>IFERROR(I341/I$117,0)</f>
        <v/>
      </c>
      <c r="BF341" s="4105">
        <f>IFERROR(J341/J$117,0)</f>
        <v/>
      </c>
      <c r="BG341" s="4105">
        <f>IFERROR(K341/K$117,0)</f>
        <v/>
      </c>
      <c r="BH341" s="4105">
        <f>IFERROR(L341/L$117,0)</f>
        <v/>
      </c>
      <c r="BI341" s="4105">
        <f>IFERROR(M341/M$117,0)</f>
        <v/>
      </c>
      <c r="BJ341" s="4105">
        <f>IFERROR(N341/N$117,0)</f>
        <v/>
      </c>
      <c r="BK341" s="4105">
        <f>IFERROR(O341/O$117,0)</f>
        <v/>
      </c>
      <c r="BL341" s="4105">
        <f>IFERROR(P341/P$117,0)</f>
        <v/>
      </c>
      <c r="BM341" s="4106">
        <f>IFERROR(Q341/Q$117,0)</f>
        <v/>
      </c>
      <c r="BN341" s="4105">
        <f>IFERROR(R341/R$117,0)</f>
        <v/>
      </c>
      <c r="BO341" s="4105">
        <f>IFERROR(S341/S$117,0)</f>
        <v/>
      </c>
      <c r="BP341" s="4105">
        <f>IFERROR(T341/T$117,0)</f>
        <v/>
      </c>
      <c r="BQ341" s="4105">
        <f>IFERROR(U341/U$117,0)</f>
        <v/>
      </c>
      <c r="BR341" s="4105">
        <f>IFERROR(V341/V$117,0)</f>
        <v/>
      </c>
      <c r="BS341" s="4105">
        <f>IFERROR(W341/W$117,0)</f>
        <v/>
      </c>
      <c r="BT341" s="4105">
        <f>IFERROR(X341/X$117,0)</f>
        <v/>
      </c>
      <c r="BU341" s="4105">
        <f>IFERROR(Y341/Y$117,0)</f>
        <v/>
      </c>
      <c r="BV341" s="4105">
        <f>IFERROR(Z341/Z$117,0)</f>
        <v/>
      </c>
      <c r="BW341" s="4105">
        <f>IFERROR(AA341/AA$117,0)</f>
        <v/>
      </c>
      <c r="BX341" s="4105">
        <f>IFERROR(AB341/AB$117,0)</f>
        <v/>
      </c>
      <c r="BY341" s="4106">
        <f>IFERROR(AC341/AC$117,0)</f>
        <v/>
      </c>
      <c r="BZ341" s="4105">
        <f>IFERROR(AD341/AD$117,0)</f>
        <v/>
      </c>
      <c r="CA341" s="4105">
        <f>IFERROR(AE341/AE$117,0)</f>
        <v/>
      </c>
      <c r="CB341" s="4105">
        <f>IFERROR(AF341/AF$117,0)</f>
        <v/>
      </c>
      <c r="CC341" s="4105">
        <f>IFERROR(AG341/AG$117,0)</f>
        <v/>
      </c>
      <c r="CD341" s="4105">
        <f>IFERROR(AH341/AH$117,0)</f>
        <v/>
      </c>
      <c r="CE341" s="4105">
        <f>IFERROR(AI341/AI$117,0)</f>
        <v/>
      </c>
      <c r="CF341" s="4105">
        <f>IFERROR(AJ341/AJ$117,0)</f>
        <v/>
      </c>
      <c r="CG341" s="4105">
        <f>IFERROR(AK341/AK$117,0)</f>
        <v/>
      </c>
      <c r="CH341" s="4105">
        <f>IFERROR(AL341/AL$117,0)</f>
        <v/>
      </c>
      <c r="CI341" s="4105">
        <f>IFERROR(AM341/AM$117,0)</f>
        <v/>
      </c>
      <c r="CJ341" s="4105">
        <f>IFERROR(AN341/AN$117,0)</f>
        <v/>
      </c>
      <c r="CK341" s="4106">
        <f>IFERROR(AO341/AO$117,0)</f>
        <v/>
      </c>
      <c r="CL341" s="4105">
        <f>IFERROR(AP341/AP$117,0)</f>
        <v/>
      </c>
      <c r="CM341" s="4105">
        <f>IFERROR(AQ341/AQ$117,0)</f>
        <v/>
      </c>
      <c r="CN341" s="4105">
        <f>IFERROR(AR341/AR$117,0)</f>
        <v/>
      </c>
      <c r="CO341" s="4105">
        <f>IFERROR(AS341/AS$117,0)</f>
        <v/>
      </c>
      <c r="CP341" s="4105">
        <f>IFERROR(AT341/AT$117,0)</f>
        <v/>
      </c>
      <c r="CQ341" s="4107">
        <f>IFERROR(AU341/AU$117,0)</f>
        <v/>
      </c>
      <c r="CR341" s="4105">
        <f>IFERROR(AV341/AV$117,0)</f>
        <v/>
      </c>
      <c r="CS341" s="4105">
        <f>IFERROR(AW341/AW$117,0)</f>
        <v/>
      </c>
      <c r="CT341" s="4105">
        <f>IFERROR(AX341/AX$117,0)</f>
        <v/>
      </c>
      <c r="CU341" s="4105">
        <f>IFERROR(AY341/AY$117,0)</f>
        <v/>
      </c>
      <c r="CV341" s="4105">
        <f>IFERROR(AZ341/AZ$117,0)</f>
        <v/>
      </c>
      <c r="CW341" s="3737" t="n"/>
      <c r="CX341" s="4102" t="n">
        <v>-53.00872</v>
      </c>
    </row>
    <row r="342" hidden="1" outlineLevel="1" collapsed="1" ht="12" customFormat="1" customHeight="1" s="3737">
      <c r="A342" s="4059" t="n"/>
      <c r="B342" s="4060" t="n"/>
      <c r="C342" s="4100" t="inlineStr">
        <is>
          <t>Interest expense</t>
        </is>
      </c>
      <c r="D342" s="4101" t="n"/>
      <c r="E342" s="4101" t="n"/>
      <c r="F342" s="4102" t="n"/>
      <c r="G342" s="4102" t="n"/>
      <c r="H342" s="4102" t="n"/>
      <c r="I342" s="4102" t="n"/>
      <c r="J342" s="4102" t="n"/>
      <c r="K342" s="4102" t="n"/>
      <c r="L342" s="4102" t="n"/>
      <c r="M342" s="4102" t="n"/>
      <c r="N342" s="4102" t="n"/>
      <c r="O342" s="4102" t="n"/>
      <c r="P342" s="4102" t="n"/>
      <c r="Q342" s="4103" t="n"/>
      <c r="R342" s="4102" t="n"/>
      <c r="S342" s="4102" t="n"/>
      <c r="T342" s="4102" t="n"/>
      <c r="U342" s="4102" t="n"/>
      <c r="V342" s="4102" t="n"/>
      <c r="W342" s="4102" t="n"/>
      <c r="X342" s="4102" t="n"/>
      <c r="Y342" s="4102" t="n"/>
      <c r="Z342" s="4102" t="n"/>
      <c r="AA342" s="4102" t="n"/>
      <c r="AB342" s="4102" t="n"/>
      <c r="AC342" s="4103" t="n"/>
      <c r="AD342" s="4102" t="n"/>
      <c r="AE342" s="4102" t="n"/>
      <c r="AF342" s="4102" t="n"/>
      <c r="AG342" s="4102" t="n"/>
      <c r="AH342" s="4102" t="n"/>
      <c r="AI342" s="4102" t="n"/>
      <c r="AJ342" s="4102" t="n"/>
      <c r="AK342" s="4102" t="n"/>
      <c r="AL342" s="4102" t="n"/>
      <c r="AM342" s="4102" t="n"/>
      <c r="AN342" s="4102" t="n"/>
      <c r="AO342" s="4103" t="n"/>
      <c r="AP342" s="4102">
        <f>SUM(AP341)</f>
        <v/>
      </c>
      <c r="AQ342" s="4102">
        <f>SUM(AQ341)</f>
        <v/>
      </c>
      <c r="AR342" s="4102">
        <f>SUM(AR341)</f>
        <v/>
      </c>
      <c r="AS342" s="4102">
        <f>SUM(AS341)</f>
        <v/>
      </c>
      <c r="AT342" s="4102">
        <f>SUM(AT341)</f>
        <v/>
      </c>
      <c r="AU342" s="4104">
        <f>SUM(AU341)</f>
        <v/>
      </c>
      <c r="AV342" s="4102">
        <f>SUM(AV341)</f>
        <v/>
      </c>
      <c r="AW342" s="4102">
        <f>SUM(AW341)</f>
        <v/>
      </c>
      <c r="AX342" s="4102">
        <f>SUM(AX341)</f>
        <v/>
      </c>
      <c r="AY342" s="4102">
        <f>SUM(AY341)</f>
        <v/>
      </c>
      <c r="AZ342" s="4102">
        <f>SUM(AZ341)</f>
        <v/>
      </c>
      <c r="BA342" s="3737" t="n"/>
      <c r="BB342" s="4105">
        <f>IFERROR(F342/F$117,0)</f>
        <v/>
      </c>
      <c r="BC342" s="4105">
        <f>IFERROR(G342/G$117,0)</f>
        <v/>
      </c>
      <c r="BD342" s="4105">
        <f>IFERROR(H342/H$117,0)</f>
        <v/>
      </c>
      <c r="BE342" s="4105">
        <f>IFERROR(I342/I$117,0)</f>
        <v/>
      </c>
      <c r="BF342" s="4105">
        <f>IFERROR(J342/J$117,0)</f>
        <v/>
      </c>
      <c r="BG342" s="4105">
        <f>IFERROR(K342/K$117,0)</f>
        <v/>
      </c>
      <c r="BH342" s="4105">
        <f>IFERROR(L342/L$117,0)</f>
        <v/>
      </c>
      <c r="BI342" s="4105">
        <f>IFERROR(M342/M$117,0)</f>
        <v/>
      </c>
      <c r="BJ342" s="4105">
        <f>IFERROR(N342/N$117,0)</f>
        <v/>
      </c>
      <c r="BK342" s="4105">
        <f>IFERROR(O342/O$117,0)</f>
        <v/>
      </c>
      <c r="BL342" s="4105">
        <f>IFERROR(P342/P$117,0)</f>
        <v/>
      </c>
      <c r="BM342" s="4106">
        <f>IFERROR(Q342/Q$117,0)</f>
        <v/>
      </c>
      <c r="BN342" s="4105">
        <f>IFERROR(R342/R$117,0)</f>
        <v/>
      </c>
      <c r="BO342" s="4105">
        <f>IFERROR(S342/S$117,0)</f>
        <v/>
      </c>
      <c r="BP342" s="4105">
        <f>IFERROR(T342/T$117,0)</f>
        <v/>
      </c>
      <c r="BQ342" s="4105">
        <f>IFERROR(U342/U$117,0)</f>
        <v/>
      </c>
      <c r="BR342" s="4105">
        <f>IFERROR(V342/V$117,0)</f>
        <v/>
      </c>
      <c r="BS342" s="4105">
        <f>IFERROR(W342/W$117,0)</f>
        <v/>
      </c>
      <c r="BT342" s="4105">
        <f>IFERROR(X342/X$117,0)</f>
        <v/>
      </c>
      <c r="BU342" s="4105">
        <f>IFERROR(Y342/Y$117,0)</f>
        <v/>
      </c>
      <c r="BV342" s="4105">
        <f>IFERROR(Z342/Z$117,0)</f>
        <v/>
      </c>
      <c r="BW342" s="4105">
        <f>IFERROR(AA342/AA$117,0)</f>
        <v/>
      </c>
      <c r="BX342" s="4105">
        <f>IFERROR(AB342/AB$117,0)</f>
        <v/>
      </c>
      <c r="BY342" s="4106">
        <f>IFERROR(AC342/AC$117,0)</f>
        <v/>
      </c>
      <c r="BZ342" s="4105">
        <f>IFERROR(AD342/AD$117,0)</f>
        <v/>
      </c>
      <c r="CA342" s="4105">
        <f>IFERROR(AE342/AE$117,0)</f>
        <v/>
      </c>
      <c r="CB342" s="4105">
        <f>IFERROR(AF342/AF$117,0)</f>
        <v/>
      </c>
      <c r="CC342" s="4105">
        <f>IFERROR(AG342/AG$117,0)</f>
        <v/>
      </c>
      <c r="CD342" s="4105">
        <f>IFERROR(AH342/AH$117,0)</f>
        <v/>
      </c>
      <c r="CE342" s="4105">
        <f>IFERROR(AI342/AI$117,0)</f>
        <v/>
      </c>
      <c r="CF342" s="4105">
        <f>IFERROR(AJ342/AJ$117,0)</f>
        <v/>
      </c>
      <c r="CG342" s="4105">
        <f>IFERROR(AK342/AK$117,0)</f>
        <v/>
      </c>
      <c r="CH342" s="4105">
        <f>IFERROR(AL342/AL$117,0)</f>
        <v/>
      </c>
      <c r="CI342" s="4105">
        <f>IFERROR(AM342/AM$117,0)</f>
        <v/>
      </c>
      <c r="CJ342" s="4105">
        <f>IFERROR(AN342/AN$117,0)</f>
        <v/>
      </c>
      <c r="CK342" s="4106">
        <f>IFERROR(AO342/AO$117,0)</f>
        <v/>
      </c>
      <c r="CL342" s="4105">
        <f>IFERROR(AP342/AP$117,0)</f>
        <v/>
      </c>
      <c r="CM342" s="4105">
        <f>IFERROR(AQ342/AQ$117,0)</f>
        <v/>
      </c>
      <c r="CN342" s="4105">
        <f>IFERROR(AR342/AR$117,0)</f>
        <v/>
      </c>
      <c r="CO342" s="4105">
        <f>IFERROR(AS342/AS$117,0)</f>
        <v/>
      </c>
      <c r="CP342" s="4105">
        <f>IFERROR(AT342/AT$117,0)</f>
        <v/>
      </c>
      <c r="CQ342" s="4107">
        <f>IFERROR(AU342/AU$117,0)</f>
        <v/>
      </c>
      <c r="CR342" s="4105">
        <f>IFERROR(AV342/AV$117,0)</f>
        <v/>
      </c>
      <c r="CS342" s="4105">
        <f>IFERROR(AW342/AW$117,0)</f>
        <v/>
      </c>
      <c r="CT342" s="4105">
        <f>IFERROR(AX342/AX$117,0)</f>
        <v/>
      </c>
      <c r="CU342" s="4105">
        <f>IFERROR(AY342/AY$117,0)</f>
        <v/>
      </c>
      <c r="CV342" s="4105">
        <f>IFERROR(AZ342/AZ$117,0)</f>
        <v/>
      </c>
      <c r="CW342" s="3737" t="n"/>
      <c r="CX342" s="4102">
        <f>SUM(CX341)</f>
        <v/>
      </c>
    </row>
    <row r="343" ht="12" customFormat="1" customHeight="1" s="3737">
      <c r="A343" s="4059" t="n"/>
      <c r="B343" s="4060" t="n"/>
      <c r="C343" s="4108" t="inlineStr">
        <is>
          <t>Interest expense</t>
        </is>
      </c>
      <c r="D343" s="4093" t="n"/>
      <c r="E343" s="4093" t="n"/>
      <c r="F343" s="4094" t="n"/>
      <c r="G343" s="4094" t="n"/>
      <c r="H343" s="4094" t="n"/>
      <c r="I343" s="4094" t="n"/>
      <c r="J343" s="4094" t="n"/>
      <c r="K343" s="4094" t="n"/>
      <c r="L343" s="4094" t="n"/>
      <c r="M343" s="4094" t="n"/>
      <c r="N343" s="4094" t="n"/>
      <c r="O343" s="4094" t="n"/>
      <c r="P343" s="4094" t="n"/>
      <c r="Q343" s="4095" t="n"/>
      <c r="R343" s="4094" t="n"/>
      <c r="S343" s="4094" t="n"/>
      <c r="T343" s="4094" t="n"/>
      <c r="U343" s="4094" t="n"/>
      <c r="V343" s="4094" t="n"/>
      <c r="W343" s="4094" t="n"/>
      <c r="X343" s="4094" t="n"/>
      <c r="Y343" s="4094" t="n"/>
      <c r="Z343" s="4094" t="n"/>
      <c r="AA343" s="4094" t="n"/>
      <c r="AB343" s="4094" t="n"/>
      <c r="AC343" s="4095" t="n"/>
      <c r="AD343" s="4094" t="n"/>
      <c r="AE343" s="4094" t="n"/>
      <c r="AF343" s="4094" t="n"/>
      <c r="AG343" s="4094" t="n"/>
      <c r="AH343" s="4094" t="n"/>
      <c r="AI343" s="4094" t="n"/>
      <c r="AJ343" s="4094" t="n"/>
      <c r="AK343" s="4094" t="n"/>
      <c r="AL343" s="4094" t="n"/>
      <c r="AM343" s="4094" t="n"/>
      <c r="AN343" s="4094" t="n"/>
      <c r="AO343" s="4095" t="n"/>
      <c r="AP343" s="4094">
        <f>SUM(AP342,AP340)</f>
        <v/>
      </c>
      <c r="AQ343" s="4094">
        <f>SUM(AQ342,AQ340)</f>
        <v/>
      </c>
      <c r="AR343" s="4094">
        <f>SUM(AR342,AR340)</f>
        <v/>
      </c>
      <c r="AS343" s="4094">
        <f>SUM(AS342,AS340)</f>
        <v/>
      </c>
      <c r="AT343" s="4094">
        <f>SUM(AT342,AT340)</f>
        <v/>
      </c>
      <c r="AU343" s="4096">
        <f>SUM(AU342,AU340)</f>
        <v/>
      </c>
      <c r="AV343" s="4094">
        <f>SUM(AV342,AV340)</f>
        <v/>
      </c>
      <c r="AW343" s="4094">
        <f>SUM(AW342,AW340)</f>
        <v/>
      </c>
      <c r="AX343" s="4094">
        <f>SUM(AX342,AX340)</f>
        <v/>
      </c>
      <c r="AY343" s="4094">
        <f>SUM(AY342,AY340)</f>
        <v/>
      </c>
      <c r="AZ343" s="4094">
        <f>SUM(AZ342,AZ340)</f>
        <v/>
      </c>
      <c r="BA343" s="3737" t="n"/>
      <c r="BB343" s="4097">
        <f>IFERROR(F343/F$117,0)</f>
        <v/>
      </c>
      <c r="BC343" s="4097">
        <f>IFERROR(G343/G$117,0)</f>
        <v/>
      </c>
      <c r="BD343" s="4097">
        <f>IFERROR(H343/H$117,0)</f>
        <v/>
      </c>
      <c r="BE343" s="4097">
        <f>IFERROR(I343/I$117,0)</f>
        <v/>
      </c>
      <c r="BF343" s="4097">
        <f>IFERROR(J343/J$117,0)</f>
        <v/>
      </c>
      <c r="BG343" s="4097">
        <f>IFERROR(K343/K$117,0)</f>
        <v/>
      </c>
      <c r="BH343" s="4097">
        <f>IFERROR(L343/L$117,0)</f>
        <v/>
      </c>
      <c r="BI343" s="4097">
        <f>IFERROR(M343/M$117,0)</f>
        <v/>
      </c>
      <c r="BJ343" s="4097">
        <f>IFERROR(N343/N$117,0)</f>
        <v/>
      </c>
      <c r="BK343" s="4097">
        <f>IFERROR(O343/O$117,0)</f>
        <v/>
      </c>
      <c r="BL343" s="4097">
        <f>IFERROR(P343/P$117,0)</f>
        <v/>
      </c>
      <c r="BM343" s="4098">
        <f>IFERROR(Q343/Q$117,0)</f>
        <v/>
      </c>
      <c r="BN343" s="4097">
        <f>IFERROR(R343/R$117,0)</f>
        <v/>
      </c>
      <c r="BO343" s="4097">
        <f>IFERROR(S343/S$117,0)</f>
        <v/>
      </c>
      <c r="BP343" s="4097">
        <f>IFERROR(T343/T$117,0)</f>
        <v/>
      </c>
      <c r="BQ343" s="4097">
        <f>IFERROR(U343/U$117,0)</f>
        <v/>
      </c>
      <c r="BR343" s="4097">
        <f>IFERROR(V343/V$117,0)</f>
        <v/>
      </c>
      <c r="BS343" s="4097">
        <f>IFERROR(W343/W$117,0)</f>
        <v/>
      </c>
      <c r="BT343" s="4097">
        <f>IFERROR(X343/X$117,0)</f>
        <v/>
      </c>
      <c r="BU343" s="4097">
        <f>IFERROR(Y343/Y$117,0)</f>
        <v/>
      </c>
      <c r="BV343" s="4097">
        <f>IFERROR(Z343/Z$117,0)</f>
        <v/>
      </c>
      <c r="BW343" s="4097">
        <f>IFERROR(AA343/AA$117,0)</f>
        <v/>
      </c>
      <c r="BX343" s="4097">
        <f>IFERROR(AB343/AB$117,0)</f>
        <v/>
      </c>
      <c r="BY343" s="4098">
        <f>IFERROR(AC343/AC$117,0)</f>
        <v/>
      </c>
      <c r="BZ343" s="4097">
        <f>IFERROR(AD343/AD$117,0)</f>
        <v/>
      </c>
      <c r="CA343" s="4097">
        <f>IFERROR(AE343/AE$117,0)</f>
        <v/>
      </c>
      <c r="CB343" s="4097">
        <f>IFERROR(AF343/AF$117,0)</f>
        <v/>
      </c>
      <c r="CC343" s="4097">
        <f>IFERROR(AG343/AG$117,0)</f>
        <v/>
      </c>
      <c r="CD343" s="4097">
        <f>IFERROR(AH343/AH$117,0)</f>
        <v/>
      </c>
      <c r="CE343" s="4097">
        <f>IFERROR(AI343/AI$117,0)</f>
        <v/>
      </c>
      <c r="CF343" s="4097">
        <f>IFERROR(AJ343/AJ$117,0)</f>
        <v/>
      </c>
      <c r="CG343" s="4097">
        <f>IFERROR(AK343/AK$117,0)</f>
        <v/>
      </c>
      <c r="CH343" s="4097">
        <f>IFERROR(AL343/AL$117,0)</f>
        <v/>
      </c>
      <c r="CI343" s="4097">
        <f>IFERROR(AM343/AM$117,0)</f>
        <v/>
      </c>
      <c r="CJ343" s="4097">
        <f>IFERROR(AN343/AN$117,0)</f>
        <v/>
      </c>
      <c r="CK343" s="4098">
        <f>IFERROR(AO343/AO$117,0)</f>
        <v/>
      </c>
      <c r="CL343" s="4097">
        <f>IFERROR(AP343/AP$117,0)</f>
        <v/>
      </c>
      <c r="CM343" s="4097">
        <f>IFERROR(AQ343/AQ$117,0)</f>
        <v/>
      </c>
      <c r="CN343" s="4097">
        <f>IFERROR(AR343/AR$117,0)</f>
        <v/>
      </c>
      <c r="CO343" s="4097">
        <f>IFERROR(AS343/AS$117,0)</f>
        <v/>
      </c>
      <c r="CP343" s="4097">
        <f>IFERROR(AT343/AT$117,0)</f>
        <v/>
      </c>
      <c r="CQ343" s="4099">
        <f>IFERROR(AU343/AU$117,0)</f>
        <v/>
      </c>
      <c r="CR343" s="4097">
        <f>IFERROR(AV343/AV$117,0)</f>
        <v/>
      </c>
      <c r="CS343" s="4097">
        <f>IFERROR(AW343/AW$117,0)</f>
        <v/>
      </c>
      <c r="CT343" s="4097">
        <f>IFERROR(AX343/AX$117,0)</f>
        <v/>
      </c>
      <c r="CU343" s="4097">
        <f>IFERROR(AY343/AY$117,0)</f>
        <v/>
      </c>
      <c r="CV343" s="4097">
        <f>IFERROR(AZ343/AZ$117,0)</f>
        <v/>
      </c>
      <c r="CW343" s="3737" t="n"/>
      <c r="CX343" s="4094">
        <f>SUM(CX342,CX340)</f>
        <v/>
      </c>
    </row>
    <row r="344" hidden="1" outlineLevel="1" ht="12" customFormat="1" customHeight="1" s="3737">
      <c r="A344" s="4059" t="n"/>
      <c r="B344" s="4060" t="n"/>
      <c r="C344" s="4092" t="inlineStr">
        <is>
          <t>Provision for federal income taxes</t>
        </is>
      </c>
      <c r="D344" s="4093" t="n">
        <v>871101</v>
      </c>
      <c r="E344" s="4093">
        <f>CONCATENATE(D344," - ",C344)</f>
        <v/>
      </c>
      <c r="F344" s="4094" t="n"/>
      <c r="G344" s="4094" t="n"/>
      <c r="H344" s="4094" t="n"/>
      <c r="I344" s="4094" t="n"/>
      <c r="J344" s="4094" t="n"/>
      <c r="K344" s="4094" t="n"/>
      <c r="L344" s="4094" t="n"/>
      <c r="M344" s="4094" t="n"/>
      <c r="N344" s="4094" t="n"/>
      <c r="O344" s="4094" t="n"/>
      <c r="P344" s="4094" t="n"/>
      <c r="Q344" s="4095" t="n"/>
      <c r="R344" s="4094" t="n"/>
      <c r="S344" s="4094" t="n"/>
      <c r="T344" s="4094" t="n"/>
      <c r="U344" s="4094" t="n"/>
      <c r="V344" s="4094" t="n"/>
      <c r="W344" s="4094" t="n"/>
      <c r="X344" s="4094" t="n"/>
      <c r="Y344" s="4094" t="n"/>
      <c r="Z344" s="4094" t="n"/>
      <c r="AA344" s="4094" t="n"/>
      <c r="AB344" s="4094" t="n"/>
      <c r="AC344" s="4095" t="n"/>
      <c r="AD344" s="4094" t="n"/>
      <c r="AE344" s="4094" t="n"/>
      <c r="AF344" s="4094" t="n"/>
      <c r="AG344" s="4094" t="n"/>
      <c r="AH344" s="4094" t="n"/>
      <c r="AI344" s="4094" t="n"/>
      <c r="AJ344" s="4094" t="n"/>
      <c r="AK344" s="4094" t="n"/>
      <c r="AL344" s="4094" t="n"/>
      <c r="AM344" s="4094" t="n"/>
      <c r="AN344" s="4094" t="n"/>
      <c r="AO344" s="4095" t="n"/>
      <c r="AP344" s="4094" t="n">
        <v>0</v>
      </c>
      <c r="AQ344" s="4094" t="n">
        <v>-2</v>
      </c>
      <c r="AR344" s="4094" t="n">
        <v>-5</v>
      </c>
      <c r="AS344" s="4094" t="n">
        <v>-10</v>
      </c>
      <c r="AT344" s="4094" t="n">
        <v>-25</v>
      </c>
      <c r="AU344" s="4096" t="n">
        <v>-30</v>
      </c>
      <c r="AV344" s="4094">
        <f>SUM(F344:Q344)</f>
        <v/>
      </c>
      <c r="AW344" s="4094">
        <f>SUM(R344:AC344)</f>
        <v/>
      </c>
      <c r="AX344" s="4094">
        <f>SUM(AD344:AO344)</f>
        <v/>
      </c>
      <c r="AY344" s="4094">
        <f>SUM(AH344:AS344)</f>
        <v/>
      </c>
      <c r="AZ344" s="4094">
        <f>SUM(AJ344:AU344)</f>
        <v/>
      </c>
      <c r="BA344" s="3737" t="n"/>
      <c r="BB344" s="4097">
        <f>IFERROR(F344/F$117,0)</f>
        <v/>
      </c>
      <c r="BC344" s="4097">
        <f>IFERROR(G344/G$117,0)</f>
        <v/>
      </c>
      <c r="BD344" s="4097">
        <f>IFERROR(H344/H$117,0)</f>
        <v/>
      </c>
      <c r="BE344" s="4097">
        <f>IFERROR(I344/I$117,0)</f>
        <v/>
      </c>
      <c r="BF344" s="4097">
        <f>IFERROR(J344/J$117,0)</f>
        <v/>
      </c>
      <c r="BG344" s="4097">
        <f>IFERROR(K344/K$117,0)</f>
        <v/>
      </c>
      <c r="BH344" s="4097">
        <f>IFERROR(L344/L$117,0)</f>
        <v/>
      </c>
      <c r="BI344" s="4097">
        <f>IFERROR(M344/M$117,0)</f>
        <v/>
      </c>
      <c r="BJ344" s="4097">
        <f>IFERROR(N344/N$117,0)</f>
        <v/>
      </c>
      <c r="BK344" s="4097">
        <f>IFERROR(O344/O$117,0)</f>
        <v/>
      </c>
      <c r="BL344" s="4097">
        <f>IFERROR(P344/P$117,0)</f>
        <v/>
      </c>
      <c r="BM344" s="4098">
        <f>IFERROR(Q344/Q$117,0)</f>
        <v/>
      </c>
      <c r="BN344" s="4097">
        <f>IFERROR(R344/R$117,0)</f>
        <v/>
      </c>
      <c r="BO344" s="4097">
        <f>IFERROR(S344/S$117,0)</f>
        <v/>
      </c>
      <c r="BP344" s="4097">
        <f>IFERROR(T344/T$117,0)</f>
        <v/>
      </c>
      <c r="BQ344" s="4097">
        <f>IFERROR(U344/U$117,0)</f>
        <v/>
      </c>
      <c r="BR344" s="4097">
        <f>IFERROR(V344/V$117,0)</f>
        <v/>
      </c>
      <c r="BS344" s="4097">
        <f>IFERROR(W344/W$117,0)</f>
        <v/>
      </c>
      <c r="BT344" s="4097">
        <f>IFERROR(X344/X$117,0)</f>
        <v/>
      </c>
      <c r="BU344" s="4097">
        <f>IFERROR(Y344/Y$117,0)</f>
        <v/>
      </c>
      <c r="BV344" s="4097">
        <f>IFERROR(Z344/Z$117,0)</f>
        <v/>
      </c>
      <c r="BW344" s="4097">
        <f>IFERROR(AA344/AA$117,0)</f>
        <v/>
      </c>
      <c r="BX344" s="4097">
        <f>IFERROR(AB344/AB$117,0)</f>
        <v/>
      </c>
      <c r="BY344" s="4098">
        <f>IFERROR(AC344/AC$117,0)</f>
        <v/>
      </c>
      <c r="BZ344" s="4097">
        <f>IFERROR(AD344/AD$117,0)</f>
        <v/>
      </c>
      <c r="CA344" s="4097">
        <f>IFERROR(AE344/AE$117,0)</f>
        <v/>
      </c>
      <c r="CB344" s="4097">
        <f>IFERROR(AF344/AF$117,0)</f>
        <v/>
      </c>
      <c r="CC344" s="4097">
        <f>IFERROR(AG344/AG$117,0)</f>
        <v/>
      </c>
      <c r="CD344" s="4097">
        <f>IFERROR(AH344/AH$117,0)</f>
        <v/>
      </c>
      <c r="CE344" s="4097">
        <f>IFERROR(AI344/AI$117,0)</f>
        <v/>
      </c>
      <c r="CF344" s="4097">
        <f>IFERROR(AJ344/AJ$117,0)</f>
        <v/>
      </c>
      <c r="CG344" s="4097">
        <f>IFERROR(AK344/AK$117,0)</f>
        <v/>
      </c>
      <c r="CH344" s="4097">
        <f>IFERROR(AL344/AL$117,0)</f>
        <v/>
      </c>
      <c r="CI344" s="4097">
        <f>IFERROR(AM344/AM$117,0)</f>
        <v/>
      </c>
      <c r="CJ344" s="4097">
        <f>IFERROR(AN344/AN$117,0)</f>
        <v/>
      </c>
      <c r="CK344" s="4098">
        <f>IFERROR(AO344/AO$117,0)</f>
        <v/>
      </c>
      <c r="CL344" s="4097">
        <f>IFERROR(AP344/AP$117,0)</f>
        <v/>
      </c>
      <c r="CM344" s="4097">
        <f>IFERROR(AQ344/AQ$117,0)</f>
        <v/>
      </c>
      <c r="CN344" s="4097">
        <f>IFERROR(AR344/AR$117,0)</f>
        <v/>
      </c>
      <c r="CO344" s="4097">
        <f>IFERROR(AS344/AS$117,0)</f>
        <v/>
      </c>
      <c r="CP344" s="4097">
        <f>IFERROR(AT344/AT$117,0)</f>
        <v/>
      </c>
      <c r="CQ344" s="4099">
        <f>IFERROR(AU344/AU$117,0)</f>
        <v/>
      </c>
      <c r="CR344" s="4097">
        <f>IFERROR(AV344/AV$117,0)</f>
        <v/>
      </c>
      <c r="CS344" s="4097">
        <f>IFERROR(AW344/AW$117,0)</f>
        <v/>
      </c>
      <c r="CT344" s="4097">
        <f>IFERROR(AX344/AX$117,0)</f>
        <v/>
      </c>
      <c r="CU344" s="4097">
        <f>IFERROR(AY344/AY$117,0)</f>
        <v/>
      </c>
      <c r="CV344" s="4097">
        <f>IFERROR(AZ344/AZ$117,0)</f>
        <v/>
      </c>
      <c r="CW344" s="3737" t="n"/>
      <c r="CX344" s="4094" t="n">
        <v>-41</v>
      </c>
    </row>
    <row r="345" hidden="1" outlineLevel="1" ht="12" customFormat="1" customHeight="1" s="3737">
      <c r="A345" s="4059" t="n"/>
      <c r="B345" s="4060" t="n"/>
      <c r="C345" s="4100" t="inlineStr">
        <is>
          <t>Current income tax expense</t>
        </is>
      </c>
      <c r="D345" s="4101" t="n">
        <v>871102</v>
      </c>
      <c r="E345" s="4101">
        <f>CONCATENATE(D345," - ",C345)</f>
        <v/>
      </c>
      <c r="F345" s="4102" t="n"/>
      <c r="G345" s="4102" t="n"/>
      <c r="H345" s="4102" t="n"/>
      <c r="I345" s="4102" t="n"/>
      <c r="J345" s="4102" t="n"/>
      <c r="K345" s="4102" t="n"/>
      <c r="L345" s="4102" t="n"/>
      <c r="M345" s="4102" t="n"/>
      <c r="N345" s="4102" t="n"/>
      <c r="O345" s="4102" t="n"/>
      <c r="P345" s="4102" t="n"/>
      <c r="Q345" s="4103" t="n"/>
      <c r="R345" s="4102" t="n"/>
      <c r="S345" s="4102" t="n"/>
      <c r="T345" s="4102" t="n"/>
      <c r="U345" s="4102" t="n"/>
      <c r="V345" s="4102" t="n"/>
      <c r="W345" s="4102" t="n"/>
      <c r="X345" s="4102" t="n"/>
      <c r="Y345" s="4102" t="n"/>
      <c r="Z345" s="4102" t="n"/>
      <c r="AA345" s="4102" t="n"/>
      <c r="AB345" s="4102" t="n"/>
      <c r="AC345" s="4103" t="n"/>
      <c r="AD345" s="4102" t="n"/>
      <c r="AE345" s="4102" t="n"/>
      <c r="AF345" s="4102" t="n"/>
      <c r="AG345" s="4102" t="n"/>
      <c r="AH345" s="4102" t="n"/>
      <c r="AI345" s="4102" t="n"/>
      <c r="AJ345" s="4102" t="n"/>
      <c r="AK345" s="4102" t="n"/>
      <c r="AL345" s="4102" t="n"/>
      <c r="AM345" s="4102" t="n"/>
      <c r="AN345" s="4102" t="n"/>
      <c r="AO345" s="4103" t="n"/>
      <c r="AP345" s="4102" t="n">
        <v>-430</v>
      </c>
      <c r="AQ345" s="4102" t="n">
        <v>-455</v>
      </c>
      <c r="AR345" s="4102" t="n">
        <v>-455</v>
      </c>
      <c r="AS345" s="4102" t="n">
        <v>-400</v>
      </c>
      <c r="AT345" s="4102" t="n">
        <v>-500</v>
      </c>
      <c r="AU345" s="4104" t="n">
        <v>-430</v>
      </c>
      <c r="AV345" s="4102">
        <f>SUM(F345:Q345)</f>
        <v/>
      </c>
      <c r="AW345" s="4102">
        <f>SUM(R345:AC345)</f>
        <v/>
      </c>
      <c r="AX345" s="4102">
        <f>SUM(AD345:AO345)</f>
        <v/>
      </c>
      <c r="AY345" s="4102">
        <f>SUM(AH345:AS345)</f>
        <v/>
      </c>
      <c r="AZ345" s="4102">
        <f>SUM(AJ345:AU345)</f>
        <v/>
      </c>
      <c r="BA345" s="3737" t="n"/>
      <c r="BB345" s="4105">
        <f>IFERROR(F345/F$117,0)</f>
        <v/>
      </c>
      <c r="BC345" s="4105">
        <f>IFERROR(G345/G$117,0)</f>
        <v/>
      </c>
      <c r="BD345" s="4105">
        <f>IFERROR(H345/H$117,0)</f>
        <v/>
      </c>
      <c r="BE345" s="4105">
        <f>IFERROR(I345/I$117,0)</f>
        <v/>
      </c>
      <c r="BF345" s="4105">
        <f>IFERROR(J345/J$117,0)</f>
        <v/>
      </c>
      <c r="BG345" s="4105">
        <f>IFERROR(K345/K$117,0)</f>
        <v/>
      </c>
      <c r="BH345" s="4105">
        <f>IFERROR(L345/L$117,0)</f>
        <v/>
      </c>
      <c r="BI345" s="4105">
        <f>IFERROR(M345/M$117,0)</f>
        <v/>
      </c>
      <c r="BJ345" s="4105">
        <f>IFERROR(N345/N$117,0)</f>
        <v/>
      </c>
      <c r="BK345" s="4105">
        <f>IFERROR(O345/O$117,0)</f>
        <v/>
      </c>
      <c r="BL345" s="4105">
        <f>IFERROR(P345/P$117,0)</f>
        <v/>
      </c>
      <c r="BM345" s="4106">
        <f>IFERROR(Q345/Q$117,0)</f>
        <v/>
      </c>
      <c r="BN345" s="4105">
        <f>IFERROR(R345/R$117,0)</f>
        <v/>
      </c>
      <c r="BO345" s="4105">
        <f>IFERROR(S345/S$117,0)</f>
        <v/>
      </c>
      <c r="BP345" s="4105">
        <f>IFERROR(T345/T$117,0)</f>
        <v/>
      </c>
      <c r="BQ345" s="4105">
        <f>IFERROR(U345/U$117,0)</f>
        <v/>
      </c>
      <c r="BR345" s="4105">
        <f>IFERROR(V345/V$117,0)</f>
        <v/>
      </c>
      <c r="BS345" s="4105">
        <f>IFERROR(W345/W$117,0)</f>
        <v/>
      </c>
      <c r="BT345" s="4105">
        <f>IFERROR(X345/X$117,0)</f>
        <v/>
      </c>
      <c r="BU345" s="4105">
        <f>IFERROR(Y345/Y$117,0)</f>
        <v/>
      </c>
      <c r="BV345" s="4105">
        <f>IFERROR(Z345/Z$117,0)</f>
        <v/>
      </c>
      <c r="BW345" s="4105">
        <f>IFERROR(AA345/AA$117,0)</f>
        <v/>
      </c>
      <c r="BX345" s="4105">
        <f>IFERROR(AB345/AB$117,0)</f>
        <v/>
      </c>
      <c r="BY345" s="4106">
        <f>IFERROR(AC345/AC$117,0)</f>
        <v/>
      </c>
      <c r="BZ345" s="4105">
        <f>IFERROR(AD345/AD$117,0)</f>
        <v/>
      </c>
      <c r="CA345" s="4105">
        <f>IFERROR(AE345/AE$117,0)</f>
        <v/>
      </c>
      <c r="CB345" s="4105">
        <f>IFERROR(AF345/AF$117,0)</f>
        <v/>
      </c>
      <c r="CC345" s="4105">
        <f>IFERROR(AG345/AG$117,0)</f>
        <v/>
      </c>
      <c r="CD345" s="4105">
        <f>IFERROR(AH345/AH$117,0)</f>
        <v/>
      </c>
      <c r="CE345" s="4105">
        <f>IFERROR(AI345/AI$117,0)</f>
        <v/>
      </c>
      <c r="CF345" s="4105">
        <f>IFERROR(AJ345/AJ$117,0)</f>
        <v/>
      </c>
      <c r="CG345" s="4105">
        <f>IFERROR(AK345/AK$117,0)</f>
        <v/>
      </c>
      <c r="CH345" s="4105">
        <f>IFERROR(AL345/AL$117,0)</f>
        <v/>
      </c>
      <c r="CI345" s="4105">
        <f>IFERROR(AM345/AM$117,0)</f>
        <v/>
      </c>
      <c r="CJ345" s="4105">
        <f>IFERROR(AN345/AN$117,0)</f>
        <v/>
      </c>
      <c r="CK345" s="4106">
        <f>IFERROR(AO345/AO$117,0)</f>
        <v/>
      </c>
      <c r="CL345" s="4105">
        <f>IFERROR(AP345/AP$117,0)</f>
        <v/>
      </c>
      <c r="CM345" s="4105">
        <f>IFERROR(AQ345/AQ$117,0)</f>
        <v/>
      </c>
      <c r="CN345" s="4105">
        <f>IFERROR(AR345/AR$117,0)</f>
        <v/>
      </c>
      <c r="CO345" s="4105">
        <f>IFERROR(AS345/AS$117,0)</f>
        <v/>
      </c>
      <c r="CP345" s="4105">
        <f>IFERROR(AT345/AT$117,0)</f>
        <v/>
      </c>
      <c r="CQ345" s="4107">
        <f>IFERROR(AU345/AU$117,0)</f>
        <v/>
      </c>
      <c r="CR345" s="4105">
        <f>IFERROR(AV345/AV$117,0)</f>
        <v/>
      </c>
      <c r="CS345" s="4105">
        <f>IFERROR(AW345/AW$117,0)</f>
        <v/>
      </c>
      <c r="CT345" s="4105">
        <f>IFERROR(AX345/AX$117,0)</f>
        <v/>
      </c>
      <c r="CU345" s="4105">
        <f>IFERROR(AY345/AY$117,0)</f>
        <v/>
      </c>
      <c r="CV345" s="4105">
        <f>IFERROR(AZ345/AZ$117,0)</f>
        <v/>
      </c>
      <c r="CW345" s="3737" t="n"/>
      <c r="CX345" s="4102" t="n">
        <v>-2023</v>
      </c>
    </row>
    <row r="346" ht="12" customFormat="1" customHeight="1" s="3737">
      <c r="A346" s="4059" t="n"/>
      <c r="B346" s="4060" t="n"/>
      <c r="C346" s="4150" t="inlineStr">
        <is>
          <t>Income tax expense (recovery)</t>
        </is>
      </c>
      <c r="D346" s="4101" t="n"/>
      <c r="E346" s="4101" t="n"/>
      <c r="F346" s="4102" t="n"/>
      <c r="G346" s="4102" t="n"/>
      <c r="H346" s="4102" t="n"/>
      <c r="I346" s="4102" t="n"/>
      <c r="J346" s="4102" t="n"/>
      <c r="K346" s="4102" t="n"/>
      <c r="L346" s="4102" t="n"/>
      <c r="M346" s="4102" t="n"/>
      <c r="N346" s="4102" t="n"/>
      <c r="O346" s="4102" t="n"/>
      <c r="P346" s="4102" t="n"/>
      <c r="Q346" s="4103" t="n"/>
      <c r="R346" s="4102" t="n"/>
      <c r="S346" s="4102" t="n"/>
      <c r="T346" s="4102" t="n"/>
      <c r="U346" s="4102" t="n"/>
      <c r="V346" s="4102" t="n"/>
      <c r="W346" s="4102" t="n"/>
      <c r="X346" s="4102" t="n"/>
      <c r="Y346" s="4102" t="n"/>
      <c r="Z346" s="4102" t="n"/>
      <c r="AA346" s="4102" t="n"/>
      <c r="AB346" s="4102" t="n"/>
      <c r="AC346" s="4103" t="n"/>
      <c r="AD346" s="4102" t="n"/>
      <c r="AE346" s="4102" t="n"/>
      <c r="AF346" s="4102" t="n"/>
      <c r="AG346" s="4102" t="n"/>
      <c r="AH346" s="4102" t="n"/>
      <c r="AI346" s="4102" t="n"/>
      <c r="AJ346" s="4102" t="n"/>
      <c r="AK346" s="4102" t="n"/>
      <c r="AL346" s="4102" t="n"/>
      <c r="AM346" s="4102" t="n"/>
      <c r="AN346" s="4102" t="n"/>
      <c r="AO346" s="4103" t="n"/>
      <c r="AP346" s="4102">
        <f>SUM(AP344:AP345)</f>
        <v/>
      </c>
      <c r="AQ346" s="4102">
        <f>SUM(AQ344:AQ345)</f>
        <v/>
      </c>
      <c r="AR346" s="4102">
        <f>SUM(AR344:AR345)</f>
        <v/>
      </c>
      <c r="AS346" s="4102">
        <f>SUM(AS344:AS345)</f>
        <v/>
      </c>
      <c r="AT346" s="4102">
        <f>SUM(AT344:AT345)</f>
        <v/>
      </c>
      <c r="AU346" s="4104">
        <f>SUM(AU344:AU345)</f>
        <v/>
      </c>
      <c r="AV346" s="4102">
        <f>SUM(AV344:AV345)</f>
        <v/>
      </c>
      <c r="AW346" s="4102">
        <f>SUM(AW344:AW345)</f>
        <v/>
      </c>
      <c r="AX346" s="4102">
        <f>SUM(AX344:AX345)</f>
        <v/>
      </c>
      <c r="AY346" s="4102">
        <f>SUM(AY344:AY345)</f>
        <v/>
      </c>
      <c r="AZ346" s="4102">
        <f>SUM(AZ344:AZ345)</f>
        <v/>
      </c>
      <c r="BA346" s="3737" t="n"/>
      <c r="BB346" s="4105">
        <f>IFERROR(F346/F$117,0)</f>
        <v/>
      </c>
      <c r="BC346" s="4105">
        <f>IFERROR(G346/G$117,0)</f>
        <v/>
      </c>
      <c r="BD346" s="4105">
        <f>IFERROR(H346/H$117,0)</f>
        <v/>
      </c>
      <c r="BE346" s="4105">
        <f>IFERROR(I346/I$117,0)</f>
        <v/>
      </c>
      <c r="BF346" s="4105">
        <f>IFERROR(J346/J$117,0)</f>
        <v/>
      </c>
      <c r="BG346" s="4105">
        <f>IFERROR(K346/K$117,0)</f>
        <v/>
      </c>
      <c r="BH346" s="4105">
        <f>IFERROR(L346/L$117,0)</f>
        <v/>
      </c>
      <c r="BI346" s="4105">
        <f>IFERROR(M346/M$117,0)</f>
        <v/>
      </c>
      <c r="BJ346" s="4105">
        <f>IFERROR(N346/N$117,0)</f>
        <v/>
      </c>
      <c r="BK346" s="4105">
        <f>IFERROR(O346/O$117,0)</f>
        <v/>
      </c>
      <c r="BL346" s="4105">
        <f>IFERROR(P346/P$117,0)</f>
        <v/>
      </c>
      <c r="BM346" s="4106">
        <f>IFERROR(Q346/Q$117,0)</f>
        <v/>
      </c>
      <c r="BN346" s="4105">
        <f>IFERROR(R346/R$117,0)</f>
        <v/>
      </c>
      <c r="BO346" s="4105">
        <f>IFERROR(S346/S$117,0)</f>
        <v/>
      </c>
      <c r="BP346" s="4105">
        <f>IFERROR(T346/T$117,0)</f>
        <v/>
      </c>
      <c r="BQ346" s="4105">
        <f>IFERROR(U346/U$117,0)</f>
        <v/>
      </c>
      <c r="BR346" s="4105">
        <f>IFERROR(V346/V$117,0)</f>
        <v/>
      </c>
      <c r="BS346" s="4105">
        <f>IFERROR(W346/W$117,0)</f>
        <v/>
      </c>
      <c r="BT346" s="4105">
        <f>IFERROR(X346/X$117,0)</f>
        <v/>
      </c>
      <c r="BU346" s="4105">
        <f>IFERROR(Y346/Y$117,0)</f>
        <v/>
      </c>
      <c r="BV346" s="4105">
        <f>IFERROR(Z346/Z$117,0)</f>
        <v/>
      </c>
      <c r="BW346" s="4105">
        <f>IFERROR(AA346/AA$117,0)</f>
        <v/>
      </c>
      <c r="BX346" s="4105">
        <f>IFERROR(AB346/AB$117,0)</f>
        <v/>
      </c>
      <c r="BY346" s="4106">
        <f>IFERROR(AC346/AC$117,0)</f>
        <v/>
      </c>
      <c r="BZ346" s="4105">
        <f>IFERROR(AD346/AD$117,0)</f>
        <v/>
      </c>
      <c r="CA346" s="4105">
        <f>IFERROR(AE346/AE$117,0)</f>
        <v/>
      </c>
      <c r="CB346" s="4105">
        <f>IFERROR(AF346/AF$117,0)</f>
        <v/>
      </c>
      <c r="CC346" s="4105">
        <f>IFERROR(AG346/AG$117,0)</f>
        <v/>
      </c>
      <c r="CD346" s="4105">
        <f>IFERROR(AH346/AH$117,0)</f>
        <v/>
      </c>
      <c r="CE346" s="4105">
        <f>IFERROR(AI346/AI$117,0)</f>
        <v/>
      </c>
      <c r="CF346" s="4105">
        <f>IFERROR(AJ346/AJ$117,0)</f>
        <v/>
      </c>
      <c r="CG346" s="4105">
        <f>IFERROR(AK346/AK$117,0)</f>
        <v/>
      </c>
      <c r="CH346" s="4105">
        <f>IFERROR(AL346/AL$117,0)</f>
        <v/>
      </c>
      <c r="CI346" s="4105">
        <f>IFERROR(AM346/AM$117,0)</f>
        <v/>
      </c>
      <c r="CJ346" s="4105">
        <f>IFERROR(AN346/AN$117,0)</f>
        <v/>
      </c>
      <c r="CK346" s="4106">
        <f>IFERROR(AO346/AO$117,0)</f>
        <v/>
      </c>
      <c r="CL346" s="4105">
        <f>IFERROR(AP346/AP$117,0)</f>
        <v/>
      </c>
      <c r="CM346" s="4105">
        <f>IFERROR(AQ346/AQ$117,0)</f>
        <v/>
      </c>
      <c r="CN346" s="4105">
        <f>IFERROR(AR346/AR$117,0)</f>
        <v/>
      </c>
      <c r="CO346" s="4105">
        <f>IFERROR(AS346/AS$117,0)</f>
        <v/>
      </c>
      <c r="CP346" s="4105">
        <f>IFERROR(AT346/AT$117,0)</f>
        <v/>
      </c>
      <c r="CQ346" s="4107">
        <f>IFERROR(AU346/AU$117,0)</f>
        <v/>
      </c>
      <c r="CR346" s="4105">
        <f>IFERROR(AV346/AV$117,0)</f>
        <v/>
      </c>
      <c r="CS346" s="4105">
        <f>IFERROR(AW346/AW$117,0)</f>
        <v/>
      </c>
      <c r="CT346" s="4105">
        <f>IFERROR(AX346/AX$117,0)</f>
        <v/>
      </c>
      <c r="CU346" s="4105">
        <f>IFERROR(AY346/AY$117,0)</f>
        <v/>
      </c>
      <c r="CV346" s="4105">
        <f>IFERROR(AZ346/AZ$117,0)</f>
        <v/>
      </c>
      <c r="CW346" s="3737" t="n"/>
      <c r="CX346" s="4102">
        <f>SUM(CX344:CX345)</f>
        <v/>
      </c>
    </row>
    <row r="347" ht="12" customFormat="1" customHeight="1" s="3737">
      <c r="A347" s="4059" t="n"/>
      <c r="B347" s="4060" t="n"/>
      <c r="C347" s="4093" t="inlineStr">
        <is>
          <t>Profit after tax</t>
        </is>
      </c>
      <c r="D347" s="4093" t="n"/>
      <c r="E347" s="4093" t="n"/>
      <c r="F347" s="4094" t="n"/>
      <c r="G347" s="4094" t="n"/>
      <c r="H347" s="4094" t="n"/>
      <c r="I347" s="4094" t="n"/>
      <c r="J347" s="4094" t="n"/>
      <c r="K347" s="4094" t="n"/>
      <c r="L347" s="4094" t="n"/>
      <c r="M347" s="4094" t="n"/>
      <c r="N347" s="4094" t="n"/>
      <c r="O347" s="4094" t="n"/>
      <c r="P347" s="4094" t="n"/>
      <c r="Q347" s="4095" t="n"/>
      <c r="R347" s="4094" t="n"/>
      <c r="S347" s="4094" t="n"/>
      <c r="T347" s="4094" t="n"/>
      <c r="U347" s="4094" t="n"/>
      <c r="V347" s="4094" t="n"/>
      <c r="W347" s="4094" t="n"/>
      <c r="X347" s="4094" t="n"/>
      <c r="Y347" s="4094" t="n"/>
      <c r="Z347" s="4094" t="n"/>
      <c r="AA347" s="4094" t="n"/>
      <c r="AB347" s="4094" t="n"/>
      <c r="AC347" s="4095" t="n"/>
      <c r="AD347" s="4094" t="n"/>
      <c r="AE347" s="4094" t="n"/>
      <c r="AF347" s="4094" t="n"/>
      <c r="AG347" s="4094" t="n"/>
      <c r="AH347" s="4094" t="n"/>
      <c r="AI347" s="4094" t="n"/>
      <c r="AJ347" s="4094" t="n"/>
      <c r="AK347" s="4094" t="n"/>
      <c r="AL347" s="4094" t="n"/>
      <c r="AM347" s="4094" t="n"/>
      <c r="AN347" s="4094" t="n"/>
      <c r="AO347" s="4095" t="n"/>
      <c r="AP347" s="4094">
        <f>SUM(AP346,AP343,AP338,AP336)</f>
        <v/>
      </c>
      <c r="AQ347" s="4094">
        <f>SUM(AQ346,AQ343,AQ338,AQ336)</f>
        <v/>
      </c>
      <c r="AR347" s="4094">
        <f>SUM(AR346,AR343,AR338,AR336)</f>
        <v/>
      </c>
      <c r="AS347" s="4094">
        <f>SUM(AS346,AS343,AS338,AS336)</f>
        <v/>
      </c>
      <c r="AT347" s="4094">
        <f>SUM(AT346,AT343,AT338,AT336)</f>
        <v/>
      </c>
      <c r="AU347" s="4096">
        <f>SUM(AU346,AU343,AU338,AU336)</f>
        <v/>
      </c>
      <c r="AV347" s="4094">
        <f>SUM(AV346,AV343,AV338,AV336)</f>
        <v/>
      </c>
      <c r="AW347" s="4094">
        <f>SUM(AW346,AW343,AW338,AW336)</f>
        <v/>
      </c>
      <c r="AX347" s="4094">
        <f>SUM(AX346,AX343,AX338,AX336)</f>
        <v/>
      </c>
      <c r="AY347" s="4094">
        <f>SUM(AY346,AY343,AY338,AY336)</f>
        <v/>
      </c>
      <c r="AZ347" s="4094">
        <f>SUM(AZ346,AZ343,AZ338,AZ336)</f>
        <v/>
      </c>
      <c r="BA347" s="3737" t="n"/>
      <c r="BB347" s="4097">
        <f>IFERROR(F347/F$117,0)</f>
        <v/>
      </c>
      <c r="BC347" s="4097">
        <f>IFERROR(G347/G$117,0)</f>
        <v/>
      </c>
      <c r="BD347" s="4097">
        <f>IFERROR(H347/H$117,0)</f>
        <v/>
      </c>
      <c r="BE347" s="4097">
        <f>IFERROR(I347/I$117,0)</f>
        <v/>
      </c>
      <c r="BF347" s="4097">
        <f>IFERROR(J347/J$117,0)</f>
        <v/>
      </c>
      <c r="BG347" s="4097">
        <f>IFERROR(K347/K$117,0)</f>
        <v/>
      </c>
      <c r="BH347" s="4097">
        <f>IFERROR(L347/L$117,0)</f>
        <v/>
      </c>
      <c r="BI347" s="4097">
        <f>IFERROR(M347/M$117,0)</f>
        <v/>
      </c>
      <c r="BJ347" s="4097">
        <f>IFERROR(N347/N$117,0)</f>
        <v/>
      </c>
      <c r="BK347" s="4097">
        <f>IFERROR(O347/O$117,0)</f>
        <v/>
      </c>
      <c r="BL347" s="4097">
        <f>IFERROR(P347/P$117,0)</f>
        <v/>
      </c>
      <c r="BM347" s="4098">
        <f>IFERROR(Q347/Q$117,0)</f>
        <v/>
      </c>
      <c r="BN347" s="4097">
        <f>IFERROR(R347/R$117,0)</f>
        <v/>
      </c>
      <c r="BO347" s="4097">
        <f>IFERROR(S347/S$117,0)</f>
        <v/>
      </c>
      <c r="BP347" s="4097">
        <f>IFERROR(T347/T$117,0)</f>
        <v/>
      </c>
      <c r="BQ347" s="4097">
        <f>IFERROR(U347/U$117,0)</f>
        <v/>
      </c>
      <c r="BR347" s="4097">
        <f>IFERROR(V347/V$117,0)</f>
        <v/>
      </c>
      <c r="BS347" s="4097">
        <f>IFERROR(W347/W$117,0)</f>
        <v/>
      </c>
      <c r="BT347" s="4097">
        <f>IFERROR(X347/X$117,0)</f>
        <v/>
      </c>
      <c r="BU347" s="4097">
        <f>IFERROR(Y347/Y$117,0)</f>
        <v/>
      </c>
      <c r="BV347" s="4097">
        <f>IFERROR(Z347/Z$117,0)</f>
        <v/>
      </c>
      <c r="BW347" s="4097">
        <f>IFERROR(AA347/AA$117,0)</f>
        <v/>
      </c>
      <c r="BX347" s="4097">
        <f>IFERROR(AB347/AB$117,0)</f>
        <v/>
      </c>
      <c r="BY347" s="4098">
        <f>IFERROR(AC347/AC$117,0)</f>
        <v/>
      </c>
      <c r="BZ347" s="4097">
        <f>IFERROR(AD347/AD$117,0)</f>
        <v/>
      </c>
      <c r="CA347" s="4097">
        <f>IFERROR(AE347/AE$117,0)</f>
        <v/>
      </c>
      <c r="CB347" s="4097">
        <f>IFERROR(AF347/AF$117,0)</f>
        <v/>
      </c>
      <c r="CC347" s="4097">
        <f>IFERROR(AG347/AG$117,0)</f>
        <v/>
      </c>
      <c r="CD347" s="4097">
        <f>IFERROR(AH347/AH$117,0)</f>
        <v/>
      </c>
      <c r="CE347" s="4097">
        <f>IFERROR(AI347/AI$117,0)</f>
        <v/>
      </c>
      <c r="CF347" s="4097">
        <f>IFERROR(AJ347/AJ$117,0)</f>
        <v/>
      </c>
      <c r="CG347" s="4097">
        <f>IFERROR(AK347/AK$117,0)</f>
        <v/>
      </c>
      <c r="CH347" s="4097">
        <f>IFERROR(AL347/AL$117,0)</f>
        <v/>
      </c>
      <c r="CI347" s="4097">
        <f>IFERROR(AM347/AM$117,0)</f>
        <v/>
      </c>
      <c r="CJ347" s="4097">
        <f>IFERROR(AN347/AN$117,0)</f>
        <v/>
      </c>
      <c r="CK347" s="4098">
        <f>IFERROR(AO347/AO$117,0)</f>
        <v/>
      </c>
      <c r="CL347" s="4097">
        <f>IFERROR(AP347/AP$117,0)</f>
        <v/>
      </c>
      <c r="CM347" s="4097">
        <f>IFERROR(AQ347/AQ$117,0)</f>
        <v/>
      </c>
      <c r="CN347" s="4097">
        <f>IFERROR(AR347/AR$117,0)</f>
        <v/>
      </c>
      <c r="CO347" s="4097">
        <f>IFERROR(AS347/AS$117,0)</f>
        <v/>
      </c>
      <c r="CP347" s="4097">
        <f>IFERROR(AT347/AT$117,0)</f>
        <v/>
      </c>
      <c r="CQ347" s="4099">
        <f>IFERROR(AU347/AU$117,0)</f>
        <v/>
      </c>
      <c r="CR347" s="4097">
        <f>IFERROR(AV347/AV$117,0)</f>
        <v/>
      </c>
      <c r="CS347" s="4097">
        <f>IFERROR(AW347/AW$117,0)</f>
        <v/>
      </c>
      <c r="CT347" s="4097">
        <f>IFERROR(AX347/AX$117,0)</f>
        <v/>
      </c>
      <c r="CU347" s="4097">
        <f>IFERROR(AY347/AY$117,0)</f>
        <v/>
      </c>
      <c r="CV347" s="4097">
        <f>IFERROR(AZ347/AZ$117,0)</f>
        <v/>
      </c>
      <c r="CW347" s="3737" t="n"/>
      <c r="CX347" s="4094">
        <f>SUM(CX346,CX343,CX338,CX336)</f>
        <v/>
      </c>
    </row>
    <row r="348" hidden="1" outlineLevel="2" ht="12" customFormat="1" customHeight="1" s="3737">
      <c r="A348" s="4059" t="n"/>
      <c r="B348" s="4060" t="n"/>
      <c r="C348" s="4100" t="inlineStr">
        <is>
          <t>Other comp income - shares- corp</t>
        </is>
      </c>
      <c r="D348" s="4101" t="n">
        <v>860001</v>
      </c>
      <c r="E348" s="4101">
        <f>CONCATENATE(D348," - ",C348)</f>
        <v/>
      </c>
      <c r="F348" s="4102" t="n"/>
      <c r="G348" s="4102" t="n"/>
      <c r="H348" s="4102" t="n"/>
      <c r="I348" s="4102" t="n"/>
      <c r="J348" s="4102" t="n"/>
      <c r="K348" s="4102" t="n"/>
      <c r="L348" s="4102" t="n"/>
      <c r="M348" s="4102" t="n"/>
      <c r="N348" s="4102" t="n"/>
      <c r="O348" s="4102" t="n"/>
      <c r="P348" s="4102" t="n"/>
      <c r="Q348" s="4103" t="n"/>
      <c r="R348" s="4102" t="n"/>
      <c r="S348" s="4102" t="n"/>
      <c r="T348" s="4102" t="n"/>
      <c r="U348" s="4102" t="n"/>
      <c r="V348" s="4102" t="n"/>
      <c r="W348" s="4102" t="n"/>
      <c r="X348" s="4102" t="n"/>
      <c r="Y348" s="4102" t="n"/>
      <c r="Z348" s="4102" t="n"/>
      <c r="AA348" s="4102" t="n"/>
      <c r="AB348" s="4102" t="n"/>
      <c r="AC348" s="4103" t="n"/>
      <c r="AD348" s="4102" t="n"/>
      <c r="AE348" s="4102" t="n"/>
      <c r="AF348" s="4102" t="n"/>
      <c r="AG348" s="4102" t="n"/>
      <c r="AH348" s="4102" t="n"/>
      <c r="AI348" s="4102" t="n"/>
      <c r="AJ348" s="4102" t="n"/>
      <c r="AK348" s="4102" t="n"/>
      <c r="AL348" s="4102" t="n"/>
      <c r="AM348" s="4102" t="n"/>
      <c r="AN348" s="4102" t="n"/>
      <c r="AO348" s="4103" t="n"/>
      <c r="AP348" s="4102" t="n">
        <v>0</v>
      </c>
      <c r="AQ348" s="4102" t="n">
        <v>0</v>
      </c>
      <c r="AR348" s="4102" t="n">
        <v>0</v>
      </c>
      <c r="AS348" s="4102" t="n">
        <v>0</v>
      </c>
      <c r="AT348" s="4102" t="n">
        <v>0</v>
      </c>
      <c r="AU348" s="4104" t="n">
        <v>0</v>
      </c>
      <c r="AV348" s="4102">
        <f>SUM(F348:Q348)</f>
        <v/>
      </c>
      <c r="AW348" s="4102">
        <f>SUM(R348:AC348)</f>
        <v/>
      </c>
      <c r="AX348" s="4102">
        <f>SUM(AD348:AO348)</f>
        <v/>
      </c>
      <c r="AY348" s="4102">
        <f>SUM(AH348:AS348)</f>
        <v/>
      </c>
      <c r="AZ348" s="4102">
        <f>SUM(AJ348:AU348)</f>
        <v/>
      </c>
      <c r="BA348" s="3737" t="n"/>
      <c r="BB348" s="4105">
        <f>IFERROR(F348/F$117,0)</f>
        <v/>
      </c>
      <c r="BC348" s="4105">
        <f>IFERROR(G348/G$117,0)</f>
        <v/>
      </c>
      <c r="BD348" s="4105">
        <f>IFERROR(H348/H$117,0)</f>
        <v/>
      </c>
      <c r="BE348" s="4105">
        <f>IFERROR(I348/I$117,0)</f>
        <v/>
      </c>
      <c r="BF348" s="4105">
        <f>IFERROR(J348/J$117,0)</f>
        <v/>
      </c>
      <c r="BG348" s="4105">
        <f>IFERROR(K348/K$117,0)</f>
        <v/>
      </c>
      <c r="BH348" s="4105">
        <f>IFERROR(L348/L$117,0)</f>
        <v/>
      </c>
      <c r="BI348" s="4105">
        <f>IFERROR(M348/M$117,0)</f>
        <v/>
      </c>
      <c r="BJ348" s="4105">
        <f>IFERROR(N348/N$117,0)</f>
        <v/>
      </c>
      <c r="BK348" s="4105">
        <f>IFERROR(O348/O$117,0)</f>
        <v/>
      </c>
      <c r="BL348" s="4105">
        <f>IFERROR(P348/P$117,0)</f>
        <v/>
      </c>
      <c r="BM348" s="4106">
        <f>IFERROR(Q348/Q$117,0)</f>
        <v/>
      </c>
      <c r="BN348" s="4105">
        <f>IFERROR(R348/R$117,0)</f>
        <v/>
      </c>
      <c r="BO348" s="4105">
        <f>IFERROR(S348/S$117,0)</f>
        <v/>
      </c>
      <c r="BP348" s="4105">
        <f>IFERROR(T348/T$117,0)</f>
        <v/>
      </c>
      <c r="BQ348" s="4105">
        <f>IFERROR(U348/U$117,0)</f>
        <v/>
      </c>
      <c r="BR348" s="4105">
        <f>IFERROR(V348/V$117,0)</f>
        <v/>
      </c>
      <c r="BS348" s="4105">
        <f>IFERROR(W348/W$117,0)</f>
        <v/>
      </c>
      <c r="BT348" s="4105">
        <f>IFERROR(X348/X$117,0)</f>
        <v/>
      </c>
      <c r="BU348" s="4105">
        <f>IFERROR(Y348/Y$117,0)</f>
        <v/>
      </c>
      <c r="BV348" s="4105">
        <f>IFERROR(Z348/Z$117,0)</f>
        <v/>
      </c>
      <c r="BW348" s="4105">
        <f>IFERROR(AA348/AA$117,0)</f>
        <v/>
      </c>
      <c r="BX348" s="4105">
        <f>IFERROR(AB348/AB$117,0)</f>
        <v/>
      </c>
      <c r="BY348" s="4106">
        <f>IFERROR(AC348/AC$117,0)</f>
        <v/>
      </c>
      <c r="BZ348" s="4105">
        <f>IFERROR(AD348/AD$117,0)</f>
        <v/>
      </c>
      <c r="CA348" s="4105">
        <f>IFERROR(AE348/AE$117,0)</f>
        <v/>
      </c>
      <c r="CB348" s="4105">
        <f>IFERROR(AF348/AF$117,0)</f>
        <v/>
      </c>
      <c r="CC348" s="4105">
        <f>IFERROR(AG348/AG$117,0)</f>
        <v/>
      </c>
      <c r="CD348" s="4105">
        <f>IFERROR(AH348/AH$117,0)</f>
        <v/>
      </c>
      <c r="CE348" s="4105">
        <f>IFERROR(AI348/AI$117,0)</f>
        <v/>
      </c>
      <c r="CF348" s="4105">
        <f>IFERROR(AJ348/AJ$117,0)</f>
        <v/>
      </c>
      <c r="CG348" s="4105">
        <f>IFERROR(AK348/AK$117,0)</f>
        <v/>
      </c>
      <c r="CH348" s="4105">
        <f>IFERROR(AL348/AL$117,0)</f>
        <v/>
      </c>
      <c r="CI348" s="4105">
        <f>IFERROR(AM348/AM$117,0)</f>
        <v/>
      </c>
      <c r="CJ348" s="4105">
        <f>IFERROR(AN348/AN$117,0)</f>
        <v/>
      </c>
      <c r="CK348" s="4106">
        <f>IFERROR(AO348/AO$117,0)</f>
        <v/>
      </c>
      <c r="CL348" s="4105">
        <f>IFERROR(AP348/AP$117,0)</f>
        <v/>
      </c>
      <c r="CM348" s="4105">
        <f>IFERROR(AQ348/AQ$117,0)</f>
        <v/>
      </c>
      <c r="CN348" s="4105">
        <f>IFERROR(AR348/AR$117,0)</f>
        <v/>
      </c>
      <c r="CO348" s="4105">
        <f>IFERROR(AS348/AS$117,0)</f>
        <v/>
      </c>
      <c r="CP348" s="4105">
        <f>IFERROR(AT348/AT$117,0)</f>
        <v/>
      </c>
      <c r="CQ348" s="4107">
        <f>IFERROR(AU348/AU$117,0)</f>
        <v/>
      </c>
      <c r="CR348" s="4105">
        <f>IFERROR(AV348/AV$117,0)</f>
        <v/>
      </c>
      <c r="CS348" s="4105">
        <f>IFERROR(AW348/AW$117,0)</f>
        <v/>
      </c>
      <c r="CT348" s="4105">
        <f>IFERROR(AX348/AX$117,0)</f>
        <v/>
      </c>
      <c r="CU348" s="4105">
        <f>IFERROR(AY348/AY$117,0)</f>
        <v/>
      </c>
      <c r="CV348" s="4105">
        <f>IFERROR(AZ348/AZ$117,0)</f>
        <v/>
      </c>
      <c r="CW348" s="3737" t="n"/>
      <c r="CX348" s="4102" t="n">
        <v>15.10793</v>
      </c>
    </row>
    <row r="349" hidden="1" outlineLevel="1" collapsed="1" ht="12" customFormat="1" customHeight="1" s="3737">
      <c r="A349" s="4059" t="n"/>
      <c r="B349" s="4060" t="n"/>
      <c r="C349" s="4108" t="inlineStr">
        <is>
          <t>share holding</t>
        </is>
      </c>
      <c r="D349" s="4093" t="n"/>
      <c r="E349" s="4093" t="n"/>
      <c r="F349" s="4094" t="n"/>
      <c r="G349" s="4094" t="n"/>
      <c r="H349" s="4094" t="n"/>
      <c r="I349" s="4094" t="n"/>
      <c r="J349" s="4094" t="n"/>
      <c r="K349" s="4094" t="n"/>
      <c r="L349" s="4094" t="n"/>
      <c r="M349" s="4094" t="n"/>
      <c r="N349" s="4094" t="n"/>
      <c r="O349" s="4094" t="n"/>
      <c r="P349" s="4094" t="n"/>
      <c r="Q349" s="4095" t="n"/>
      <c r="R349" s="4094" t="n"/>
      <c r="S349" s="4094" t="n"/>
      <c r="T349" s="4094" t="n"/>
      <c r="U349" s="4094" t="n"/>
      <c r="V349" s="4094" t="n"/>
      <c r="W349" s="4094" t="n"/>
      <c r="X349" s="4094" t="n"/>
      <c r="Y349" s="4094" t="n"/>
      <c r="Z349" s="4094" t="n"/>
      <c r="AA349" s="4094" t="n"/>
      <c r="AB349" s="4094" t="n"/>
      <c r="AC349" s="4095" t="n"/>
      <c r="AD349" s="4094" t="n"/>
      <c r="AE349" s="4094" t="n"/>
      <c r="AF349" s="4094" t="n"/>
      <c r="AG349" s="4094" t="n"/>
      <c r="AH349" s="4094" t="n"/>
      <c r="AI349" s="4094" t="n"/>
      <c r="AJ349" s="4094" t="n"/>
      <c r="AK349" s="4094" t="n"/>
      <c r="AL349" s="4094" t="n"/>
      <c r="AM349" s="4094" t="n"/>
      <c r="AN349" s="4094" t="n"/>
      <c r="AO349" s="4095" t="n"/>
      <c r="AP349" s="4094">
        <f>SUM(AP348)</f>
        <v/>
      </c>
      <c r="AQ349" s="4094">
        <f>SUM(AQ348)</f>
        <v/>
      </c>
      <c r="AR349" s="4094">
        <f>SUM(AR348)</f>
        <v/>
      </c>
      <c r="AS349" s="4094">
        <f>SUM(AS348)</f>
        <v/>
      </c>
      <c r="AT349" s="4094">
        <f>SUM(AT348)</f>
        <v/>
      </c>
      <c r="AU349" s="4096">
        <f>SUM(AU348)</f>
        <v/>
      </c>
      <c r="AV349" s="4094">
        <f>SUM(AV348)</f>
        <v/>
      </c>
      <c r="AW349" s="4094">
        <f>SUM(AW348)</f>
        <v/>
      </c>
      <c r="AX349" s="4094">
        <f>SUM(AX348)</f>
        <v/>
      </c>
      <c r="AY349" s="4094">
        <f>SUM(AY348)</f>
        <v/>
      </c>
      <c r="AZ349" s="4094">
        <f>SUM(AZ348)</f>
        <v/>
      </c>
      <c r="BA349" s="3737" t="n"/>
      <c r="BB349" s="4097">
        <f>IFERROR(F349/F$117,0)</f>
        <v/>
      </c>
      <c r="BC349" s="4097">
        <f>IFERROR(G349/G$117,0)</f>
        <v/>
      </c>
      <c r="BD349" s="4097">
        <f>IFERROR(H349/H$117,0)</f>
        <v/>
      </c>
      <c r="BE349" s="4097">
        <f>IFERROR(I349/I$117,0)</f>
        <v/>
      </c>
      <c r="BF349" s="4097">
        <f>IFERROR(J349/J$117,0)</f>
        <v/>
      </c>
      <c r="BG349" s="4097">
        <f>IFERROR(K349/K$117,0)</f>
        <v/>
      </c>
      <c r="BH349" s="4097">
        <f>IFERROR(L349/L$117,0)</f>
        <v/>
      </c>
      <c r="BI349" s="4097">
        <f>IFERROR(M349/M$117,0)</f>
        <v/>
      </c>
      <c r="BJ349" s="4097">
        <f>IFERROR(N349/N$117,0)</f>
        <v/>
      </c>
      <c r="BK349" s="4097">
        <f>IFERROR(O349/O$117,0)</f>
        <v/>
      </c>
      <c r="BL349" s="4097">
        <f>IFERROR(P349/P$117,0)</f>
        <v/>
      </c>
      <c r="BM349" s="4098">
        <f>IFERROR(Q349/Q$117,0)</f>
        <v/>
      </c>
      <c r="BN349" s="4097">
        <f>IFERROR(R349/R$117,0)</f>
        <v/>
      </c>
      <c r="BO349" s="4097">
        <f>IFERROR(S349/S$117,0)</f>
        <v/>
      </c>
      <c r="BP349" s="4097">
        <f>IFERROR(T349/T$117,0)</f>
        <v/>
      </c>
      <c r="BQ349" s="4097">
        <f>IFERROR(U349/U$117,0)</f>
        <v/>
      </c>
      <c r="BR349" s="4097">
        <f>IFERROR(V349/V$117,0)</f>
        <v/>
      </c>
      <c r="BS349" s="4097">
        <f>IFERROR(W349/W$117,0)</f>
        <v/>
      </c>
      <c r="BT349" s="4097">
        <f>IFERROR(X349/X$117,0)</f>
        <v/>
      </c>
      <c r="BU349" s="4097">
        <f>IFERROR(Y349/Y$117,0)</f>
        <v/>
      </c>
      <c r="BV349" s="4097">
        <f>IFERROR(Z349/Z$117,0)</f>
        <v/>
      </c>
      <c r="BW349" s="4097">
        <f>IFERROR(AA349/AA$117,0)</f>
        <v/>
      </c>
      <c r="BX349" s="4097">
        <f>IFERROR(AB349/AB$117,0)</f>
        <v/>
      </c>
      <c r="BY349" s="4098">
        <f>IFERROR(AC349/AC$117,0)</f>
        <v/>
      </c>
      <c r="BZ349" s="4097">
        <f>IFERROR(AD349/AD$117,0)</f>
        <v/>
      </c>
      <c r="CA349" s="4097">
        <f>IFERROR(AE349/AE$117,0)</f>
        <v/>
      </c>
      <c r="CB349" s="4097">
        <f>IFERROR(AF349/AF$117,0)</f>
        <v/>
      </c>
      <c r="CC349" s="4097">
        <f>IFERROR(AG349/AG$117,0)</f>
        <v/>
      </c>
      <c r="CD349" s="4097">
        <f>IFERROR(AH349/AH$117,0)</f>
        <v/>
      </c>
      <c r="CE349" s="4097">
        <f>IFERROR(AI349/AI$117,0)</f>
        <v/>
      </c>
      <c r="CF349" s="4097">
        <f>IFERROR(AJ349/AJ$117,0)</f>
        <v/>
      </c>
      <c r="CG349" s="4097">
        <f>IFERROR(AK349/AK$117,0)</f>
        <v/>
      </c>
      <c r="CH349" s="4097">
        <f>IFERROR(AL349/AL$117,0)</f>
        <v/>
      </c>
      <c r="CI349" s="4097">
        <f>IFERROR(AM349/AM$117,0)</f>
        <v/>
      </c>
      <c r="CJ349" s="4097">
        <f>IFERROR(AN349/AN$117,0)</f>
        <v/>
      </c>
      <c r="CK349" s="4098">
        <f>IFERROR(AO349/AO$117,0)</f>
        <v/>
      </c>
      <c r="CL349" s="4097">
        <f>IFERROR(AP349/AP$117,0)</f>
        <v/>
      </c>
      <c r="CM349" s="4097">
        <f>IFERROR(AQ349/AQ$117,0)</f>
        <v/>
      </c>
      <c r="CN349" s="4097">
        <f>IFERROR(AR349/AR$117,0)</f>
        <v/>
      </c>
      <c r="CO349" s="4097">
        <f>IFERROR(AS349/AS$117,0)</f>
        <v/>
      </c>
      <c r="CP349" s="4097">
        <f>IFERROR(AT349/AT$117,0)</f>
        <v/>
      </c>
      <c r="CQ349" s="4099">
        <f>IFERROR(AU349/AU$117,0)</f>
        <v/>
      </c>
      <c r="CR349" s="4097">
        <f>IFERROR(AV349/AV$117,0)</f>
        <v/>
      </c>
      <c r="CS349" s="4097">
        <f>IFERROR(AW349/AW$117,0)</f>
        <v/>
      </c>
      <c r="CT349" s="4097">
        <f>IFERROR(AX349/AX$117,0)</f>
        <v/>
      </c>
      <c r="CU349" s="4097">
        <f>IFERROR(AY349/AY$117,0)</f>
        <v/>
      </c>
      <c r="CV349" s="4097">
        <f>IFERROR(AZ349/AZ$117,0)</f>
        <v/>
      </c>
      <c r="CW349" s="3737" t="n"/>
      <c r="CX349" s="4094">
        <f>SUM(CX348)</f>
        <v/>
      </c>
    </row>
    <row r="350" hidden="1" outlineLevel="2" ht="12" customFormat="1" customHeight="1" s="3737">
      <c r="A350" s="4059" t="n"/>
      <c r="B350" s="4060" t="n"/>
      <c r="C350" s="4100" t="inlineStr">
        <is>
          <t>Def income tax other comp inc- corp</t>
        </is>
      </c>
      <c r="D350" s="4101" t="n">
        <v>871120</v>
      </c>
      <c r="E350" s="4101">
        <f>CONCATENATE(D350," - ",C350)</f>
        <v/>
      </c>
      <c r="F350" s="4102" t="n"/>
      <c r="G350" s="4102" t="n"/>
      <c r="H350" s="4102" t="n"/>
      <c r="I350" s="4102" t="n"/>
      <c r="J350" s="4102" t="n"/>
      <c r="K350" s="4102" t="n"/>
      <c r="L350" s="4102" t="n"/>
      <c r="M350" s="4102" t="n"/>
      <c r="N350" s="4102" t="n"/>
      <c r="O350" s="4102" t="n"/>
      <c r="P350" s="4102" t="n"/>
      <c r="Q350" s="4103" t="n"/>
      <c r="R350" s="4102" t="n"/>
      <c r="S350" s="4102" t="n"/>
      <c r="T350" s="4102" t="n"/>
      <c r="U350" s="4102" t="n"/>
      <c r="V350" s="4102" t="n"/>
      <c r="W350" s="4102" t="n"/>
      <c r="X350" s="4102" t="n"/>
      <c r="Y350" s="4102" t="n"/>
      <c r="Z350" s="4102" t="n"/>
      <c r="AA350" s="4102" t="n"/>
      <c r="AB350" s="4102" t="n"/>
      <c r="AC350" s="4103" t="n"/>
      <c r="AD350" s="4102" t="n"/>
      <c r="AE350" s="4102" t="n"/>
      <c r="AF350" s="4102" t="n"/>
      <c r="AG350" s="4102" t="n"/>
      <c r="AH350" s="4102" t="n"/>
      <c r="AI350" s="4102" t="n"/>
      <c r="AJ350" s="4102" t="n"/>
      <c r="AK350" s="4102" t="n"/>
      <c r="AL350" s="4102" t="n"/>
      <c r="AM350" s="4102" t="n"/>
      <c r="AN350" s="4102" t="n"/>
      <c r="AO350" s="4103" t="n"/>
      <c r="AP350" s="4102" t="n">
        <v>0</v>
      </c>
      <c r="AQ350" s="4102" t="n">
        <v>0</v>
      </c>
      <c r="AR350" s="4102" t="n">
        <v>0</v>
      </c>
      <c r="AS350" s="4102" t="n">
        <v>0</v>
      </c>
      <c r="AT350" s="4102" t="n">
        <v>0</v>
      </c>
      <c r="AU350" s="4104" t="n">
        <v>0</v>
      </c>
      <c r="AV350" s="4102">
        <f>SUM(F350:Q350)</f>
        <v/>
      </c>
      <c r="AW350" s="4102">
        <f>SUM(R350:AC350)</f>
        <v/>
      </c>
      <c r="AX350" s="4102">
        <f>SUM(AD350:AO350)</f>
        <v/>
      </c>
      <c r="AY350" s="4102">
        <f>SUM(AH350:AS350)</f>
        <v/>
      </c>
      <c r="AZ350" s="4102">
        <f>SUM(AJ350:AU350)</f>
        <v/>
      </c>
      <c r="BA350" s="3737" t="n"/>
      <c r="BB350" s="4105">
        <f>IFERROR(F350/F$117,0)</f>
        <v/>
      </c>
      <c r="BC350" s="4105">
        <f>IFERROR(G350/G$117,0)</f>
        <v/>
      </c>
      <c r="BD350" s="4105">
        <f>IFERROR(H350/H$117,0)</f>
        <v/>
      </c>
      <c r="BE350" s="4105">
        <f>IFERROR(I350/I$117,0)</f>
        <v/>
      </c>
      <c r="BF350" s="4105">
        <f>IFERROR(J350/J$117,0)</f>
        <v/>
      </c>
      <c r="BG350" s="4105">
        <f>IFERROR(K350/K$117,0)</f>
        <v/>
      </c>
      <c r="BH350" s="4105">
        <f>IFERROR(L350/L$117,0)</f>
        <v/>
      </c>
      <c r="BI350" s="4105">
        <f>IFERROR(M350/M$117,0)</f>
        <v/>
      </c>
      <c r="BJ350" s="4105">
        <f>IFERROR(N350/N$117,0)</f>
        <v/>
      </c>
      <c r="BK350" s="4105">
        <f>IFERROR(O350/O$117,0)</f>
        <v/>
      </c>
      <c r="BL350" s="4105">
        <f>IFERROR(P350/P$117,0)</f>
        <v/>
      </c>
      <c r="BM350" s="4106">
        <f>IFERROR(Q350/Q$117,0)</f>
        <v/>
      </c>
      <c r="BN350" s="4105">
        <f>IFERROR(R350/R$117,0)</f>
        <v/>
      </c>
      <c r="BO350" s="4105">
        <f>IFERROR(S350/S$117,0)</f>
        <v/>
      </c>
      <c r="BP350" s="4105">
        <f>IFERROR(T350/T$117,0)</f>
        <v/>
      </c>
      <c r="BQ350" s="4105">
        <f>IFERROR(U350/U$117,0)</f>
        <v/>
      </c>
      <c r="BR350" s="4105">
        <f>IFERROR(V350/V$117,0)</f>
        <v/>
      </c>
      <c r="BS350" s="4105">
        <f>IFERROR(W350/W$117,0)</f>
        <v/>
      </c>
      <c r="BT350" s="4105">
        <f>IFERROR(X350/X$117,0)</f>
        <v/>
      </c>
      <c r="BU350" s="4105">
        <f>IFERROR(Y350/Y$117,0)</f>
        <v/>
      </c>
      <c r="BV350" s="4105">
        <f>IFERROR(Z350/Z$117,0)</f>
        <v/>
      </c>
      <c r="BW350" s="4105">
        <f>IFERROR(AA350/AA$117,0)</f>
        <v/>
      </c>
      <c r="BX350" s="4105">
        <f>IFERROR(AB350/AB$117,0)</f>
        <v/>
      </c>
      <c r="BY350" s="4106">
        <f>IFERROR(AC350/AC$117,0)</f>
        <v/>
      </c>
      <c r="BZ350" s="4105">
        <f>IFERROR(AD350/AD$117,0)</f>
        <v/>
      </c>
      <c r="CA350" s="4105">
        <f>IFERROR(AE350/AE$117,0)</f>
        <v/>
      </c>
      <c r="CB350" s="4105">
        <f>IFERROR(AF350/AF$117,0)</f>
        <v/>
      </c>
      <c r="CC350" s="4105">
        <f>IFERROR(AG350/AG$117,0)</f>
        <v/>
      </c>
      <c r="CD350" s="4105">
        <f>IFERROR(AH350/AH$117,0)</f>
        <v/>
      </c>
      <c r="CE350" s="4105">
        <f>IFERROR(AI350/AI$117,0)</f>
        <v/>
      </c>
      <c r="CF350" s="4105">
        <f>IFERROR(AJ350/AJ$117,0)</f>
        <v/>
      </c>
      <c r="CG350" s="4105">
        <f>IFERROR(AK350/AK$117,0)</f>
        <v/>
      </c>
      <c r="CH350" s="4105">
        <f>IFERROR(AL350/AL$117,0)</f>
        <v/>
      </c>
      <c r="CI350" s="4105">
        <f>IFERROR(AM350/AM$117,0)</f>
        <v/>
      </c>
      <c r="CJ350" s="4105">
        <f>IFERROR(AN350/AN$117,0)</f>
        <v/>
      </c>
      <c r="CK350" s="4106">
        <f>IFERROR(AO350/AO$117,0)</f>
        <v/>
      </c>
      <c r="CL350" s="4105">
        <f>IFERROR(AP350/AP$117,0)</f>
        <v/>
      </c>
      <c r="CM350" s="4105">
        <f>IFERROR(AQ350/AQ$117,0)</f>
        <v/>
      </c>
      <c r="CN350" s="4105">
        <f>IFERROR(AR350/AR$117,0)</f>
        <v/>
      </c>
      <c r="CO350" s="4105">
        <f>IFERROR(AS350/AS$117,0)</f>
        <v/>
      </c>
      <c r="CP350" s="4105">
        <f>IFERROR(AT350/AT$117,0)</f>
        <v/>
      </c>
      <c r="CQ350" s="4107">
        <f>IFERROR(AU350/AU$117,0)</f>
        <v/>
      </c>
      <c r="CR350" s="4105">
        <f>IFERROR(AV350/AV$117,0)</f>
        <v/>
      </c>
      <c r="CS350" s="4105">
        <f>IFERROR(AW350/AW$117,0)</f>
        <v/>
      </c>
      <c r="CT350" s="4105">
        <f>IFERROR(AX350/AX$117,0)</f>
        <v/>
      </c>
      <c r="CU350" s="4105">
        <f>IFERROR(AY350/AY$117,0)</f>
        <v/>
      </c>
      <c r="CV350" s="4105">
        <f>IFERROR(AZ350/AZ$117,0)</f>
        <v/>
      </c>
      <c r="CW350" s="3737" t="n"/>
      <c r="CX350" s="4102" t="n">
        <v>-4</v>
      </c>
    </row>
    <row r="351" hidden="1" outlineLevel="1" collapsed="1" ht="12" customFormat="1" customHeight="1" s="3737">
      <c r="A351" s="4059" t="n"/>
      <c r="B351" s="4060" t="n"/>
      <c r="C351" s="4150" t="inlineStr">
        <is>
          <t>Related deferred income tax on oci</t>
        </is>
      </c>
      <c r="D351" s="4101" t="n"/>
      <c r="E351" s="4101" t="n"/>
      <c r="F351" s="4102" t="n"/>
      <c r="G351" s="4102" t="n"/>
      <c r="H351" s="4102" t="n"/>
      <c r="I351" s="4102" t="n"/>
      <c r="J351" s="4102" t="n"/>
      <c r="K351" s="4102" t="n"/>
      <c r="L351" s="4102" t="n"/>
      <c r="M351" s="4102" t="n"/>
      <c r="N351" s="4102" t="n"/>
      <c r="O351" s="4102" t="n"/>
      <c r="P351" s="4102" t="n"/>
      <c r="Q351" s="4103" t="n"/>
      <c r="R351" s="4102" t="n"/>
      <c r="S351" s="4102" t="n"/>
      <c r="T351" s="4102" t="n"/>
      <c r="U351" s="4102" t="n"/>
      <c r="V351" s="4102" t="n"/>
      <c r="W351" s="4102" t="n"/>
      <c r="X351" s="4102" t="n"/>
      <c r="Y351" s="4102" t="n"/>
      <c r="Z351" s="4102" t="n"/>
      <c r="AA351" s="4102" t="n"/>
      <c r="AB351" s="4102" t="n"/>
      <c r="AC351" s="4103" t="n"/>
      <c r="AD351" s="4102" t="n"/>
      <c r="AE351" s="4102" t="n"/>
      <c r="AF351" s="4102" t="n"/>
      <c r="AG351" s="4102" t="n"/>
      <c r="AH351" s="4102" t="n"/>
      <c r="AI351" s="4102" t="n"/>
      <c r="AJ351" s="4102" t="n"/>
      <c r="AK351" s="4102" t="n"/>
      <c r="AL351" s="4102" t="n"/>
      <c r="AM351" s="4102" t="n"/>
      <c r="AN351" s="4102" t="n"/>
      <c r="AO351" s="4103" t="n"/>
      <c r="AP351" s="4102">
        <f>SUM(AP350)</f>
        <v/>
      </c>
      <c r="AQ351" s="4102">
        <f>SUM(AQ350)</f>
        <v/>
      </c>
      <c r="AR351" s="4102">
        <f>SUM(AR350)</f>
        <v/>
      </c>
      <c r="AS351" s="4102">
        <f>SUM(AS350)</f>
        <v/>
      </c>
      <c r="AT351" s="4102">
        <f>SUM(AT350)</f>
        <v/>
      </c>
      <c r="AU351" s="4104">
        <f>SUM(AU350)</f>
        <v/>
      </c>
      <c r="AV351" s="4102">
        <f>SUM(AV350)</f>
        <v/>
      </c>
      <c r="AW351" s="4102">
        <f>SUM(AW350)</f>
        <v/>
      </c>
      <c r="AX351" s="4102">
        <f>SUM(AX350)</f>
        <v/>
      </c>
      <c r="AY351" s="4102">
        <f>SUM(AY350)</f>
        <v/>
      </c>
      <c r="AZ351" s="4102">
        <f>SUM(AZ350)</f>
        <v/>
      </c>
      <c r="BA351" s="3737" t="n"/>
      <c r="BB351" s="4105">
        <f>IFERROR(F351/F$117,0)</f>
        <v/>
      </c>
      <c r="BC351" s="4105">
        <f>IFERROR(G351/G$117,0)</f>
        <v/>
      </c>
      <c r="BD351" s="4105">
        <f>IFERROR(H351/H$117,0)</f>
        <v/>
      </c>
      <c r="BE351" s="4105">
        <f>IFERROR(I351/I$117,0)</f>
        <v/>
      </c>
      <c r="BF351" s="4105">
        <f>IFERROR(J351/J$117,0)</f>
        <v/>
      </c>
      <c r="BG351" s="4105">
        <f>IFERROR(K351/K$117,0)</f>
        <v/>
      </c>
      <c r="BH351" s="4105">
        <f>IFERROR(L351/L$117,0)</f>
        <v/>
      </c>
      <c r="BI351" s="4105">
        <f>IFERROR(M351/M$117,0)</f>
        <v/>
      </c>
      <c r="BJ351" s="4105">
        <f>IFERROR(N351/N$117,0)</f>
        <v/>
      </c>
      <c r="BK351" s="4105">
        <f>IFERROR(O351/O$117,0)</f>
        <v/>
      </c>
      <c r="BL351" s="4105">
        <f>IFERROR(P351/P$117,0)</f>
        <v/>
      </c>
      <c r="BM351" s="4106">
        <f>IFERROR(Q351/Q$117,0)</f>
        <v/>
      </c>
      <c r="BN351" s="4105">
        <f>IFERROR(R351/R$117,0)</f>
        <v/>
      </c>
      <c r="BO351" s="4105">
        <f>IFERROR(S351/S$117,0)</f>
        <v/>
      </c>
      <c r="BP351" s="4105">
        <f>IFERROR(T351/T$117,0)</f>
        <v/>
      </c>
      <c r="BQ351" s="4105">
        <f>IFERROR(U351/U$117,0)</f>
        <v/>
      </c>
      <c r="BR351" s="4105">
        <f>IFERROR(V351/V$117,0)</f>
        <v/>
      </c>
      <c r="BS351" s="4105">
        <f>IFERROR(W351/W$117,0)</f>
        <v/>
      </c>
      <c r="BT351" s="4105">
        <f>IFERROR(X351/X$117,0)</f>
        <v/>
      </c>
      <c r="BU351" s="4105">
        <f>IFERROR(Y351/Y$117,0)</f>
        <v/>
      </c>
      <c r="BV351" s="4105">
        <f>IFERROR(Z351/Z$117,0)</f>
        <v/>
      </c>
      <c r="BW351" s="4105">
        <f>IFERROR(AA351/AA$117,0)</f>
        <v/>
      </c>
      <c r="BX351" s="4105">
        <f>IFERROR(AB351/AB$117,0)</f>
        <v/>
      </c>
      <c r="BY351" s="4106">
        <f>IFERROR(AC351/AC$117,0)</f>
        <v/>
      </c>
      <c r="BZ351" s="4105">
        <f>IFERROR(AD351/AD$117,0)</f>
        <v/>
      </c>
      <c r="CA351" s="4105">
        <f>IFERROR(AE351/AE$117,0)</f>
        <v/>
      </c>
      <c r="CB351" s="4105">
        <f>IFERROR(AF351/AF$117,0)</f>
        <v/>
      </c>
      <c r="CC351" s="4105">
        <f>IFERROR(AG351/AG$117,0)</f>
        <v/>
      </c>
      <c r="CD351" s="4105">
        <f>IFERROR(AH351/AH$117,0)</f>
        <v/>
      </c>
      <c r="CE351" s="4105">
        <f>IFERROR(AI351/AI$117,0)</f>
        <v/>
      </c>
      <c r="CF351" s="4105">
        <f>IFERROR(AJ351/AJ$117,0)</f>
        <v/>
      </c>
      <c r="CG351" s="4105">
        <f>IFERROR(AK351/AK$117,0)</f>
        <v/>
      </c>
      <c r="CH351" s="4105">
        <f>IFERROR(AL351/AL$117,0)</f>
        <v/>
      </c>
      <c r="CI351" s="4105">
        <f>IFERROR(AM351/AM$117,0)</f>
        <v/>
      </c>
      <c r="CJ351" s="4105">
        <f>IFERROR(AN351/AN$117,0)</f>
        <v/>
      </c>
      <c r="CK351" s="4106">
        <f>IFERROR(AO351/AO$117,0)</f>
        <v/>
      </c>
      <c r="CL351" s="4105">
        <f>IFERROR(AP351/AP$117,0)</f>
        <v/>
      </c>
      <c r="CM351" s="4105">
        <f>IFERROR(AQ351/AQ$117,0)</f>
        <v/>
      </c>
      <c r="CN351" s="4105">
        <f>IFERROR(AR351/AR$117,0)</f>
        <v/>
      </c>
      <c r="CO351" s="4105">
        <f>IFERROR(AS351/AS$117,0)</f>
        <v/>
      </c>
      <c r="CP351" s="4105">
        <f>IFERROR(AT351/AT$117,0)</f>
        <v/>
      </c>
      <c r="CQ351" s="4107">
        <f>IFERROR(AU351/AU$117,0)</f>
        <v/>
      </c>
      <c r="CR351" s="4105">
        <f>IFERROR(AV351/AV$117,0)</f>
        <v/>
      </c>
      <c r="CS351" s="4105">
        <f>IFERROR(AW351/AW$117,0)</f>
        <v/>
      </c>
      <c r="CT351" s="4105">
        <f>IFERROR(AX351/AX$117,0)</f>
        <v/>
      </c>
      <c r="CU351" s="4105">
        <f>IFERROR(AY351/AY$117,0)</f>
        <v/>
      </c>
      <c r="CV351" s="4105">
        <f>IFERROR(AZ351/AZ$117,0)</f>
        <v/>
      </c>
      <c r="CW351" s="3737" t="n"/>
      <c r="CX351" s="4102">
        <f>SUM(CX350)</f>
        <v/>
      </c>
    </row>
    <row r="352" ht="12" customFormat="1" customHeight="1" s="3737">
      <c r="A352" s="4059" t="n"/>
      <c r="B352" s="4060" t="n"/>
      <c r="C352" s="4101" t="inlineStr">
        <is>
          <t>Other comprehensive income</t>
        </is>
      </c>
      <c r="D352" s="4101" t="n"/>
      <c r="E352" s="4101" t="n"/>
      <c r="F352" s="4102" t="n"/>
      <c r="G352" s="4102" t="n"/>
      <c r="H352" s="4102" t="n"/>
      <c r="I352" s="4102" t="n"/>
      <c r="J352" s="4102" t="n"/>
      <c r="K352" s="4102" t="n"/>
      <c r="L352" s="4102" t="n"/>
      <c r="M352" s="4102" t="n"/>
      <c r="N352" s="4102" t="n"/>
      <c r="O352" s="4102" t="n"/>
      <c r="P352" s="4102" t="n"/>
      <c r="Q352" s="4103" t="n"/>
      <c r="R352" s="4102" t="n"/>
      <c r="S352" s="4102" t="n"/>
      <c r="T352" s="4102" t="n"/>
      <c r="U352" s="4102" t="n"/>
      <c r="V352" s="4102" t="n"/>
      <c r="W352" s="4102" t="n"/>
      <c r="X352" s="4102" t="n"/>
      <c r="Y352" s="4102" t="n"/>
      <c r="Z352" s="4102" t="n"/>
      <c r="AA352" s="4102" t="n"/>
      <c r="AB352" s="4102" t="n"/>
      <c r="AC352" s="4103" t="n"/>
      <c r="AD352" s="4102" t="n"/>
      <c r="AE352" s="4102" t="n"/>
      <c r="AF352" s="4102" t="n"/>
      <c r="AG352" s="4102" t="n"/>
      <c r="AH352" s="4102" t="n"/>
      <c r="AI352" s="4102" t="n"/>
      <c r="AJ352" s="4102" t="n"/>
      <c r="AK352" s="4102" t="n"/>
      <c r="AL352" s="4102" t="n"/>
      <c r="AM352" s="4102" t="n"/>
      <c r="AN352" s="4102" t="n"/>
      <c r="AO352" s="4103" t="n"/>
      <c r="AP352" s="4102">
        <f>SUM(AP351,AP349)</f>
        <v/>
      </c>
      <c r="AQ352" s="4102">
        <f>SUM(AQ351,AQ349)</f>
        <v/>
      </c>
      <c r="AR352" s="4102">
        <f>SUM(AR351,AR349)</f>
        <v/>
      </c>
      <c r="AS352" s="4102">
        <f>SUM(AS351,AS349)</f>
        <v/>
      </c>
      <c r="AT352" s="4102">
        <f>SUM(AT351,AT349)</f>
        <v/>
      </c>
      <c r="AU352" s="4104">
        <f>SUM(AU351,AU349)</f>
        <v/>
      </c>
      <c r="AV352" s="4102">
        <f>SUM(AV351,AV349)</f>
        <v/>
      </c>
      <c r="AW352" s="4102">
        <f>SUM(AW351,AW349)</f>
        <v/>
      </c>
      <c r="AX352" s="4102">
        <f>SUM(AX351,AX349)</f>
        <v/>
      </c>
      <c r="AY352" s="4102">
        <f>SUM(AY351,AY349)</f>
        <v/>
      </c>
      <c r="AZ352" s="4102">
        <f>SUM(AZ351,AZ349)</f>
        <v/>
      </c>
      <c r="BA352" s="3737" t="n"/>
      <c r="BB352" s="4105">
        <f>IFERROR(F352/F$117,0)</f>
        <v/>
      </c>
      <c r="BC352" s="4105">
        <f>IFERROR(G352/G$117,0)</f>
        <v/>
      </c>
      <c r="BD352" s="4105">
        <f>IFERROR(H352/H$117,0)</f>
        <v/>
      </c>
      <c r="BE352" s="4105">
        <f>IFERROR(I352/I$117,0)</f>
        <v/>
      </c>
      <c r="BF352" s="4105">
        <f>IFERROR(J352/J$117,0)</f>
        <v/>
      </c>
      <c r="BG352" s="4105">
        <f>IFERROR(K352/K$117,0)</f>
        <v/>
      </c>
      <c r="BH352" s="4105">
        <f>IFERROR(L352/L$117,0)</f>
        <v/>
      </c>
      <c r="BI352" s="4105">
        <f>IFERROR(M352/M$117,0)</f>
        <v/>
      </c>
      <c r="BJ352" s="4105">
        <f>IFERROR(N352/N$117,0)</f>
        <v/>
      </c>
      <c r="BK352" s="4105">
        <f>IFERROR(O352/O$117,0)</f>
        <v/>
      </c>
      <c r="BL352" s="4105">
        <f>IFERROR(P352/P$117,0)</f>
        <v/>
      </c>
      <c r="BM352" s="4106">
        <f>IFERROR(Q352/Q$117,0)</f>
        <v/>
      </c>
      <c r="BN352" s="4105">
        <f>IFERROR(R352/R$117,0)</f>
        <v/>
      </c>
      <c r="BO352" s="4105">
        <f>IFERROR(S352/S$117,0)</f>
        <v/>
      </c>
      <c r="BP352" s="4105">
        <f>IFERROR(T352/T$117,0)</f>
        <v/>
      </c>
      <c r="BQ352" s="4105">
        <f>IFERROR(U352/U$117,0)</f>
        <v/>
      </c>
      <c r="BR352" s="4105">
        <f>IFERROR(V352/V$117,0)</f>
        <v/>
      </c>
      <c r="BS352" s="4105">
        <f>IFERROR(W352/W$117,0)</f>
        <v/>
      </c>
      <c r="BT352" s="4105">
        <f>IFERROR(X352/X$117,0)</f>
        <v/>
      </c>
      <c r="BU352" s="4105">
        <f>IFERROR(Y352/Y$117,0)</f>
        <v/>
      </c>
      <c r="BV352" s="4105">
        <f>IFERROR(Z352/Z$117,0)</f>
        <v/>
      </c>
      <c r="BW352" s="4105">
        <f>IFERROR(AA352/AA$117,0)</f>
        <v/>
      </c>
      <c r="BX352" s="4105">
        <f>IFERROR(AB352/AB$117,0)</f>
        <v/>
      </c>
      <c r="BY352" s="4106">
        <f>IFERROR(AC352/AC$117,0)</f>
        <v/>
      </c>
      <c r="BZ352" s="4105">
        <f>IFERROR(AD352/AD$117,0)</f>
        <v/>
      </c>
      <c r="CA352" s="4105">
        <f>IFERROR(AE352/AE$117,0)</f>
        <v/>
      </c>
      <c r="CB352" s="4105">
        <f>IFERROR(AF352/AF$117,0)</f>
        <v/>
      </c>
      <c r="CC352" s="4105">
        <f>IFERROR(AG352/AG$117,0)</f>
        <v/>
      </c>
      <c r="CD352" s="4105">
        <f>IFERROR(AH352/AH$117,0)</f>
        <v/>
      </c>
      <c r="CE352" s="4105">
        <f>IFERROR(AI352/AI$117,0)</f>
        <v/>
      </c>
      <c r="CF352" s="4105">
        <f>IFERROR(AJ352/AJ$117,0)</f>
        <v/>
      </c>
      <c r="CG352" s="4105">
        <f>IFERROR(AK352/AK$117,0)</f>
        <v/>
      </c>
      <c r="CH352" s="4105">
        <f>IFERROR(AL352/AL$117,0)</f>
        <v/>
      </c>
      <c r="CI352" s="4105">
        <f>IFERROR(AM352/AM$117,0)</f>
        <v/>
      </c>
      <c r="CJ352" s="4105">
        <f>IFERROR(AN352/AN$117,0)</f>
        <v/>
      </c>
      <c r="CK352" s="4106">
        <f>IFERROR(AO352/AO$117,0)</f>
        <v/>
      </c>
      <c r="CL352" s="4105">
        <f>IFERROR(AP352/AP$117,0)</f>
        <v/>
      </c>
      <c r="CM352" s="4105">
        <f>IFERROR(AQ352/AQ$117,0)</f>
        <v/>
      </c>
      <c r="CN352" s="4105">
        <f>IFERROR(AR352/AR$117,0)</f>
        <v/>
      </c>
      <c r="CO352" s="4105">
        <f>IFERROR(AS352/AS$117,0)</f>
        <v/>
      </c>
      <c r="CP352" s="4105">
        <f>IFERROR(AT352/AT$117,0)</f>
        <v/>
      </c>
      <c r="CQ352" s="4107">
        <f>IFERROR(AU352/AU$117,0)</f>
        <v/>
      </c>
      <c r="CR352" s="4105">
        <f>IFERROR(AV352/AV$117,0)</f>
        <v/>
      </c>
      <c r="CS352" s="4105">
        <f>IFERROR(AW352/AW$117,0)</f>
        <v/>
      </c>
      <c r="CT352" s="4105">
        <f>IFERROR(AX352/AX$117,0)</f>
        <v/>
      </c>
      <c r="CU352" s="4105">
        <f>IFERROR(AY352/AY$117,0)</f>
        <v/>
      </c>
      <c r="CV352" s="4105">
        <f>IFERROR(AZ352/AZ$117,0)</f>
        <v/>
      </c>
      <c r="CW352" s="3737" t="n"/>
      <c r="CX352" s="4102">
        <f>SUM(CX351,CX349)</f>
        <v/>
      </c>
    </row>
    <row r="353" ht="12" customFormat="1" customHeight="1" s="3737">
      <c r="A353" s="4059" t="n"/>
      <c r="B353" s="4060" t="n"/>
      <c r="C353" s="4151" t="inlineStr">
        <is>
          <t>Net Income</t>
        </is>
      </c>
      <c r="D353" s="4151" t="n"/>
      <c r="E353" s="4151" t="n"/>
      <c r="F353" s="4152" t="n"/>
      <c r="G353" s="4152" t="n"/>
      <c r="H353" s="4152" t="n"/>
      <c r="I353" s="4152" t="n"/>
      <c r="J353" s="4152" t="n"/>
      <c r="K353" s="4152" t="n"/>
      <c r="L353" s="4152" t="n"/>
      <c r="M353" s="4152" t="n"/>
      <c r="N353" s="4152" t="n"/>
      <c r="O353" s="4152" t="n"/>
      <c r="P353" s="4152" t="n"/>
      <c r="Q353" s="4153" t="n"/>
      <c r="R353" s="4152" t="n"/>
      <c r="S353" s="4152" t="n"/>
      <c r="T353" s="4152" t="n"/>
      <c r="U353" s="4152" t="n"/>
      <c r="V353" s="4152" t="n"/>
      <c r="W353" s="4152" t="n"/>
      <c r="X353" s="4152" t="n"/>
      <c r="Y353" s="4152" t="n"/>
      <c r="Z353" s="4152" t="n"/>
      <c r="AA353" s="4152" t="n"/>
      <c r="AB353" s="4152" t="n"/>
      <c r="AC353" s="4153" t="n"/>
      <c r="AD353" s="4152" t="n"/>
      <c r="AE353" s="4152" t="n"/>
      <c r="AF353" s="4152" t="n"/>
      <c r="AG353" s="4152" t="n"/>
      <c r="AH353" s="4152" t="n"/>
      <c r="AI353" s="4152" t="n"/>
      <c r="AJ353" s="4152" t="n"/>
      <c r="AK353" s="4152" t="n"/>
      <c r="AL353" s="4152" t="n"/>
      <c r="AM353" s="4152" t="n"/>
      <c r="AN353" s="4152" t="n"/>
      <c r="AO353" s="4153" t="n"/>
      <c r="AP353" s="4152">
        <f>SUM(AP352,AP347)</f>
        <v/>
      </c>
      <c r="AQ353" s="4152">
        <f>SUM(AQ352,AQ347)</f>
        <v/>
      </c>
      <c r="AR353" s="4152">
        <f>SUM(AR352,AR347)</f>
        <v/>
      </c>
      <c r="AS353" s="4152">
        <f>SUM(AS352,AS347)</f>
        <v/>
      </c>
      <c r="AT353" s="4152">
        <f>SUM(AT352,AT347)</f>
        <v/>
      </c>
      <c r="AU353" s="4154">
        <f>SUM(AU352,AU347)</f>
        <v/>
      </c>
      <c r="AV353" s="4152">
        <f>SUM(AV352,AV347)</f>
        <v/>
      </c>
      <c r="AW353" s="4152">
        <f>SUM(AW352,AW347)</f>
        <v/>
      </c>
      <c r="AX353" s="4152">
        <f>SUM(AX352,AX347)</f>
        <v/>
      </c>
      <c r="AY353" s="4152">
        <f>SUM(AY352,AY347)</f>
        <v/>
      </c>
      <c r="AZ353" s="4152">
        <f>SUM(AZ352,AZ347)</f>
        <v/>
      </c>
      <c r="BA353" s="3737" t="n"/>
      <c r="BB353" s="4155">
        <f>IFERROR(F353/F$117,0)</f>
        <v/>
      </c>
      <c r="BC353" s="4155">
        <f>IFERROR(G353/G$117,0)</f>
        <v/>
      </c>
      <c r="BD353" s="4155">
        <f>IFERROR(H353/H$117,0)</f>
        <v/>
      </c>
      <c r="BE353" s="4155">
        <f>IFERROR(I353/I$117,0)</f>
        <v/>
      </c>
      <c r="BF353" s="4155">
        <f>IFERROR(J353/J$117,0)</f>
        <v/>
      </c>
      <c r="BG353" s="4155">
        <f>IFERROR(K353/K$117,0)</f>
        <v/>
      </c>
      <c r="BH353" s="4155">
        <f>IFERROR(L353/L$117,0)</f>
        <v/>
      </c>
      <c r="BI353" s="4155">
        <f>IFERROR(M353/M$117,0)</f>
        <v/>
      </c>
      <c r="BJ353" s="4155">
        <f>IFERROR(N353/N$117,0)</f>
        <v/>
      </c>
      <c r="BK353" s="4155">
        <f>IFERROR(O353/O$117,0)</f>
        <v/>
      </c>
      <c r="BL353" s="4155">
        <f>IFERROR(P353/P$117,0)</f>
        <v/>
      </c>
      <c r="BM353" s="4156">
        <f>IFERROR(Q353/Q$117,0)</f>
        <v/>
      </c>
      <c r="BN353" s="4155">
        <f>IFERROR(R353/R$117,0)</f>
        <v/>
      </c>
      <c r="BO353" s="4155">
        <f>IFERROR(S353/S$117,0)</f>
        <v/>
      </c>
      <c r="BP353" s="4155">
        <f>IFERROR(T353/T$117,0)</f>
        <v/>
      </c>
      <c r="BQ353" s="4155">
        <f>IFERROR(U353/U$117,0)</f>
        <v/>
      </c>
      <c r="BR353" s="4155">
        <f>IFERROR(V353/V$117,0)</f>
        <v/>
      </c>
      <c r="BS353" s="4155">
        <f>IFERROR(W353/W$117,0)</f>
        <v/>
      </c>
      <c r="BT353" s="4155">
        <f>IFERROR(X353/X$117,0)</f>
        <v/>
      </c>
      <c r="BU353" s="4155">
        <f>IFERROR(Y353/Y$117,0)</f>
        <v/>
      </c>
      <c r="BV353" s="4155">
        <f>IFERROR(Z353/Z$117,0)</f>
        <v/>
      </c>
      <c r="BW353" s="4155">
        <f>IFERROR(AA353/AA$117,0)</f>
        <v/>
      </c>
      <c r="BX353" s="4155">
        <f>IFERROR(AB353/AB$117,0)</f>
        <v/>
      </c>
      <c r="BY353" s="4156">
        <f>IFERROR(AC353/AC$117,0)</f>
        <v/>
      </c>
      <c r="BZ353" s="4155">
        <f>IFERROR(AD353/AD$117,0)</f>
        <v/>
      </c>
      <c r="CA353" s="4155">
        <f>IFERROR(AE353/AE$117,0)</f>
        <v/>
      </c>
      <c r="CB353" s="4155">
        <f>IFERROR(AF353/AF$117,0)</f>
        <v/>
      </c>
      <c r="CC353" s="4155">
        <f>IFERROR(AG353/AG$117,0)</f>
        <v/>
      </c>
      <c r="CD353" s="4155">
        <f>IFERROR(AH353/AH$117,0)</f>
        <v/>
      </c>
      <c r="CE353" s="4155">
        <f>IFERROR(AI353/AI$117,0)</f>
        <v/>
      </c>
      <c r="CF353" s="4155">
        <f>IFERROR(AJ353/AJ$117,0)</f>
        <v/>
      </c>
      <c r="CG353" s="4155">
        <f>IFERROR(AK353/AK$117,0)</f>
        <v/>
      </c>
      <c r="CH353" s="4155">
        <f>IFERROR(AL353/AL$117,0)</f>
        <v/>
      </c>
      <c r="CI353" s="4155">
        <f>IFERROR(AM353/AM$117,0)</f>
        <v/>
      </c>
      <c r="CJ353" s="4155">
        <f>IFERROR(AN353/AN$117,0)</f>
        <v/>
      </c>
      <c r="CK353" s="4156">
        <f>IFERROR(AO353/AO$117,0)</f>
        <v/>
      </c>
      <c r="CL353" s="4155">
        <f>IFERROR(AP353/AP$117,0)</f>
        <v/>
      </c>
      <c r="CM353" s="4155">
        <f>IFERROR(AQ353/AQ$117,0)</f>
        <v/>
      </c>
      <c r="CN353" s="4155">
        <f>IFERROR(AR353/AR$117,0)</f>
        <v/>
      </c>
      <c r="CO353" s="4155">
        <f>IFERROR(AS353/AS$117,0)</f>
        <v/>
      </c>
      <c r="CP353" s="4155">
        <f>IFERROR(AT353/AT$117,0)</f>
        <v/>
      </c>
      <c r="CQ353" s="4157">
        <f>IFERROR(AU353/AU$117,0)</f>
        <v/>
      </c>
      <c r="CR353" s="4155">
        <f>IFERROR(AV353/AV$117,0)</f>
        <v/>
      </c>
      <c r="CS353" s="4155">
        <f>IFERROR(AW353/AW$117,0)</f>
        <v/>
      </c>
      <c r="CT353" s="4155">
        <f>IFERROR(AX353/AX$117,0)</f>
        <v/>
      </c>
      <c r="CU353" s="4155">
        <f>IFERROR(AY353/AY$117,0)</f>
        <v/>
      </c>
      <c r="CV353" s="4155">
        <f>IFERROR(AZ353/AZ$117,0)</f>
        <v/>
      </c>
      <c r="CW353" s="3737" t="n"/>
      <c r="CX353" s="4152">
        <f>SUM(CX352,CX347)</f>
        <v/>
      </c>
    </row>
    <row r="354" ht="12" customFormat="1" customHeight="1" s="3737">
      <c r="A354" s="4059" t="n"/>
      <c r="B354" s="4060" t="n"/>
      <c r="C354" s="4108" t="inlineStr">
        <is>
          <t>Depreciation and amortization expense</t>
        </is>
      </c>
      <c r="D354" s="4093" t="n"/>
      <c r="E354" s="4093" t="n"/>
      <c r="F354" s="4158" t="n"/>
      <c r="G354" s="4158" t="n"/>
      <c r="H354" s="4158" t="n"/>
      <c r="I354" s="4158" t="n"/>
      <c r="J354" s="4158" t="n"/>
      <c r="K354" s="4158" t="n"/>
      <c r="L354" s="4158" t="n"/>
      <c r="M354" s="4158" t="n"/>
      <c r="N354" s="4158" t="n"/>
      <c r="O354" s="4158" t="n"/>
      <c r="P354" s="4158" t="n"/>
      <c r="Q354" s="4159" t="n"/>
      <c r="R354" s="4158" t="n"/>
      <c r="S354" s="4158" t="n"/>
      <c r="T354" s="4158" t="n"/>
      <c r="U354" s="4158" t="n"/>
      <c r="V354" s="4158" t="n"/>
      <c r="W354" s="4158" t="n"/>
      <c r="X354" s="4158" t="n"/>
      <c r="Y354" s="4158" t="n"/>
      <c r="Z354" s="4158" t="n"/>
      <c r="AA354" s="4158" t="n"/>
      <c r="AB354" s="4158" t="n"/>
      <c r="AC354" s="4159" t="n"/>
      <c r="AD354" s="4158" t="n"/>
      <c r="AE354" s="4158" t="n"/>
      <c r="AF354" s="4158" t="n"/>
      <c r="AG354" s="4158" t="n"/>
      <c r="AH354" s="4158" t="n"/>
      <c r="AI354" s="4158" t="n"/>
      <c r="AJ354" s="4158" t="n"/>
      <c r="AK354" s="4158" t="n"/>
      <c r="AL354" s="4158" t="n"/>
      <c r="AM354" s="4158" t="n"/>
      <c r="AN354" s="4158" t="n"/>
      <c r="AO354" s="4159" t="n"/>
      <c r="AP354" s="4158">
        <f>-AP254</f>
        <v/>
      </c>
      <c r="AQ354" s="4158">
        <f>-AQ254</f>
        <v/>
      </c>
      <c r="AR354" s="4158">
        <f>-AR254</f>
        <v/>
      </c>
      <c r="AS354" s="4158">
        <f>-AS254</f>
        <v/>
      </c>
      <c r="AT354" s="4158">
        <f>-AT254</f>
        <v/>
      </c>
      <c r="AU354" s="4160">
        <f>-AU254</f>
        <v/>
      </c>
      <c r="AV354" s="4158">
        <f>SUM(F354:Q354)</f>
        <v/>
      </c>
      <c r="AW354" s="4158">
        <f>SUM(R354:AC354)</f>
        <v/>
      </c>
      <c r="AX354" s="4158">
        <f>SUM(AD354:AO354)</f>
        <v/>
      </c>
      <c r="AY354" s="4158">
        <f>SUM(AH354:AS354)</f>
        <v/>
      </c>
      <c r="AZ354" s="4158">
        <f>SUM(AJ354:AU354)</f>
        <v/>
      </c>
      <c r="BA354" s="3737" t="n"/>
      <c r="BB354" s="4161">
        <f>IFERROR(F354/F$117,0)</f>
        <v/>
      </c>
      <c r="BC354" s="4161">
        <f>IFERROR(G354/G$117,0)</f>
        <v/>
      </c>
      <c r="BD354" s="4161">
        <f>IFERROR(H354/H$117,0)</f>
        <v/>
      </c>
      <c r="BE354" s="4161">
        <f>IFERROR(I354/I$117,0)</f>
        <v/>
      </c>
      <c r="BF354" s="4161">
        <f>IFERROR(J354/J$117,0)</f>
        <v/>
      </c>
      <c r="BG354" s="4161">
        <f>IFERROR(K354/K$117,0)</f>
        <v/>
      </c>
      <c r="BH354" s="4161">
        <f>IFERROR(L354/L$117,0)</f>
        <v/>
      </c>
      <c r="BI354" s="4161">
        <f>IFERROR(M354/M$117,0)</f>
        <v/>
      </c>
      <c r="BJ354" s="4161">
        <f>IFERROR(N354/N$117,0)</f>
        <v/>
      </c>
      <c r="BK354" s="4161">
        <f>IFERROR(O354/O$117,0)</f>
        <v/>
      </c>
      <c r="BL354" s="4161">
        <f>IFERROR(P354/P$117,0)</f>
        <v/>
      </c>
      <c r="BM354" s="4162">
        <f>IFERROR(Q354/Q$117,0)</f>
        <v/>
      </c>
      <c r="BN354" s="4161">
        <f>IFERROR(R354/R$117,0)</f>
        <v/>
      </c>
      <c r="BO354" s="4161">
        <f>IFERROR(S354/S$117,0)</f>
        <v/>
      </c>
      <c r="BP354" s="4161">
        <f>IFERROR(T354/T$117,0)</f>
        <v/>
      </c>
      <c r="BQ354" s="4161">
        <f>IFERROR(U354/U$117,0)</f>
        <v/>
      </c>
      <c r="BR354" s="4161">
        <f>IFERROR(V354/V$117,0)</f>
        <v/>
      </c>
      <c r="BS354" s="4161">
        <f>IFERROR(W354/W$117,0)</f>
        <v/>
      </c>
      <c r="BT354" s="4161">
        <f>IFERROR(X354/X$117,0)</f>
        <v/>
      </c>
      <c r="BU354" s="4161">
        <f>IFERROR(Y354/Y$117,0)</f>
        <v/>
      </c>
      <c r="BV354" s="4161">
        <f>IFERROR(Z354/Z$117,0)</f>
        <v/>
      </c>
      <c r="BW354" s="4161">
        <f>IFERROR(AA354/AA$117,0)</f>
        <v/>
      </c>
      <c r="BX354" s="4161">
        <f>IFERROR(AB354/AB$117,0)</f>
        <v/>
      </c>
      <c r="BY354" s="4162">
        <f>IFERROR(AC354/AC$117,0)</f>
        <v/>
      </c>
      <c r="BZ354" s="4161">
        <f>IFERROR(AD354/AD$117,0)</f>
        <v/>
      </c>
      <c r="CA354" s="4161">
        <f>IFERROR(AE354/AE$117,0)</f>
        <v/>
      </c>
      <c r="CB354" s="4161">
        <f>IFERROR(AF354/AF$117,0)</f>
        <v/>
      </c>
      <c r="CC354" s="4161">
        <f>IFERROR(AG354/AG$117,0)</f>
        <v/>
      </c>
      <c r="CD354" s="4161">
        <f>IFERROR(AH354/AH$117,0)</f>
        <v/>
      </c>
      <c r="CE354" s="4161">
        <f>IFERROR(AI354/AI$117,0)</f>
        <v/>
      </c>
      <c r="CF354" s="4161">
        <f>IFERROR(AJ354/AJ$117,0)</f>
        <v/>
      </c>
      <c r="CG354" s="4161">
        <f>IFERROR(AK354/AK$117,0)</f>
        <v/>
      </c>
      <c r="CH354" s="4161">
        <f>IFERROR(AL354/AL$117,0)</f>
        <v/>
      </c>
      <c r="CI354" s="4161">
        <f>IFERROR(AM354/AM$117,0)</f>
        <v/>
      </c>
      <c r="CJ354" s="4161">
        <f>IFERROR(AN354/AN$117,0)</f>
        <v/>
      </c>
      <c r="CK354" s="4162">
        <f>IFERROR(AO354/AO$117,0)</f>
        <v/>
      </c>
      <c r="CL354" s="4161">
        <f>IFERROR(AP354/AP$117,0)</f>
        <v/>
      </c>
      <c r="CM354" s="4161">
        <f>IFERROR(AQ354/AQ$117,0)</f>
        <v/>
      </c>
      <c r="CN354" s="4161">
        <f>IFERROR(AR354/AR$117,0)</f>
        <v/>
      </c>
      <c r="CO354" s="4161">
        <f>IFERROR(AS354/AS$117,0)</f>
        <v/>
      </c>
      <c r="CP354" s="4161">
        <f>IFERROR(AT354/AT$117,0)</f>
        <v/>
      </c>
      <c r="CQ354" s="4163">
        <f>IFERROR(AU354/AU$117,0)</f>
        <v/>
      </c>
      <c r="CR354" s="4161">
        <f>IFERROR(AV354/AV$117,0)</f>
        <v/>
      </c>
      <c r="CS354" s="4161">
        <f>IFERROR(AW354/AW$117,0)</f>
        <v/>
      </c>
      <c r="CT354" s="4161">
        <f>IFERROR(AX354/AX$117,0)</f>
        <v/>
      </c>
      <c r="CU354" s="4161">
        <f>IFERROR(AY354/AY$117,0)</f>
        <v/>
      </c>
      <c r="CV354" s="4161">
        <f>IFERROR(AZ354/AZ$117,0)</f>
        <v/>
      </c>
      <c r="CW354" s="3737" t="n"/>
      <c r="CX354" s="4158">
        <f>-CX254</f>
        <v/>
      </c>
    </row>
    <row r="355" ht="12" customFormat="1" customHeight="1" s="3737">
      <c r="A355" s="4059" t="n"/>
      <c r="B355" s="4060" t="n"/>
      <c r="C355" s="4108" t="inlineStr">
        <is>
          <t>Income tax</t>
        </is>
      </c>
      <c r="D355" s="4093" t="n"/>
      <c r="E355" s="4093" t="n"/>
      <c r="F355" s="4158" t="n"/>
      <c r="G355" s="4158" t="n"/>
      <c r="H355" s="4158" t="n"/>
      <c r="I355" s="4158" t="n"/>
      <c r="J355" s="4158" t="n"/>
      <c r="K355" s="4158" t="n"/>
      <c r="L355" s="4158" t="n"/>
      <c r="M355" s="4158" t="n"/>
      <c r="N355" s="4158" t="n"/>
      <c r="O355" s="4158" t="n"/>
      <c r="P355" s="4158" t="n"/>
      <c r="Q355" s="4159" t="n"/>
      <c r="R355" s="4158" t="n"/>
      <c r="S355" s="4158" t="n"/>
      <c r="T355" s="4158" t="n"/>
      <c r="U355" s="4158" t="n"/>
      <c r="V355" s="4158" t="n"/>
      <c r="W355" s="4158" t="n"/>
      <c r="X355" s="4158" t="n"/>
      <c r="Y355" s="4158" t="n"/>
      <c r="Z355" s="4158" t="n"/>
      <c r="AA355" s="4158" t="n"/>
      <c r="AB355" s="4158" t="n"/>
      <c r="AC355" s="4159" t="n"/>
      <c r="AD355" s="4158" t="n"/>
      <c r="AE355" s="4158" t="n"/>
      <c r="AF355" s="4158" t="n"/>
      <c r="AG355" s="4158" t="n"/>
      <c r="AH355" s="4158" t="n"/>
      <c r="AI355" s="4158" t="n"/>
      <c r="AJ355" s="4158" t="n"/>
      <c r="AK355" s="4158" t="n"/>
      <c r="AL355" s="4158" t="n"/>
      <c r="AM355" s="4158" t="n"/>
      <c r="AN355" s="4158" t="n"/>
      <c r="AO355" s="4159" t="n"/>
      <c r="AP355" s="4158">
        <f>-AP346</f>
        <v/>
      </c>
      <c r="AQ355" s="4158">
        <f>-AQ346</f>
        <v/>
      </c>
      <c r="AR355" s="4158">
        <f>-AR346</f>
        <v/>
      </c>
      <c r="AS355" s="4158">
        <f>-AS346</f>
        <v/>
      </c>
      <c r="AT355" s="4158">
        <f>-AT346</f>
        <v/>
      </c>
      <c r="AU355" s="4160">
        <f>-AU346</f>
        <v/>
      </c>
      <c r="AV355" s="4158">
        <f>SUM(F355:Q355)</f>
        <v/>
      </c>
      <c r="AW355" s="4158">
        <f>SUM(R355:AC355)</f>
        <v/>
      </c>
      <c r="AX355" s="4158">
        <f>SUM(AD355:AO355)</f>
        <v/>
      </c>
      <c r="AY355" s="4158">
        <f>SUM(AH355:AS355)</f>
        <v/>
      </c>
      <c r="AZ355" s="4158">
        <f>SUM(AJ355:AU355)</f>
        <v/>
      </c>
      <c r="BA355" s="3737" t="n"/>
      <c r="BB355" s="4161">
        <f>IFERROR(F355/F$117,0)</f>
        <v/>
      </c>
      <c r="BC355" s="4161">
        <f>IFERROR(G355/G$117,0)</f>
        <v/>
      </c>
      <c r="BD355" s="4161">
        <f>IFERROR(H355/H$117,0)</f>
        <v/>
      </c>
      <c r="BE355" s="4161">
        <f>IFERROR(I355/I$117,0)</f>
        <v/>
      </c>
      <c r="BF355" s="4161">
        <f>IFERROR(J355/J$117,0)</f>
        <v/>
      </c>
      <c r="BG355" s="4161">
        <f>IFERROR(K355/K$117,0)</f>
        <v/>
      </c>
      <c r="BH355" s="4161">
        <f>IFERROR(L355/L$117,0)</f>
        <v/>
      </c>
      <c r="BI355" s="4161">
        <f>IFERROR(M355/M$117,0)</f>
        <v/>
      </c>
      <c r="BJ355" s="4161">
        <f>IFERROR(N355/N$117,0)</f>
        <v/>
      </c>
      <c r="BK355" s="4161">
        <f>IFERROR(O355/O$117,0)</f>
        <v/>
      </c>
      <c r="BL355" s="4161">
        <f>IFERROR(P355/P$117,0)</f>
        <v/>
      </c>
      <c r="BM355" s="4162">
        <f>IFERROR(Q355/Q$117,0)</f>
        <v/>
      </c>
      <c r="BN355" s="4161">
        <f>IFERROR(R355/R$117,0)</f>
        <v/>
      </c>
      <c r="BO355" s="4161">
        <f>IFERROR(S355/S$117,0)</f>
        <v/>
      </c>
      <c r="BP355" s="4161">
        <f>IFERROR(T355/T$117,0)</f>
        <v/>
      </c>
      <c r="BQ355" s="4161">
        <f>IFERROR(U355/U$117,0)</f>
        <v/>
      </c>
      <c r="BR355" s="4161">
        <f>IFERROR(V355/V$117,0)</f>
        <v/>
      </c>
      <c r="BS355" s="4161">
        <f>IFERROR(W355/W$117,0)</f>
        <v/>
      </c>
      <c r="BT355" s="4161">
        <f>IFERROR(X355/X$117,0)</f>
        <v/>
      </c>
      <c r="BU355" s="4161">
        <f>IFERROR(Y355/Y$117,0)</f>
        <v/>
      </c>
      <c r="BV355" s="4161">
        <f>IFERROR(Z355/Z$117,0)</f>
        <v/>
      </c>
      <c r="BW355" s="4161">
        <f>IFERROR(AA355/AA$117,0)</f>
        <v/>
      </c>
      <c r="BX355" s="4161">
        <f>IFERROR(AB355/AB$117,0)</f>
        <v/>
      </c>
      <c r="BY355" s="4162">
        <f>IFERROR(AC355/AC$117,0)</f>
        <v/>
      </c>
      <c r="BZ355" s="4161">
        <f>IFERROR(AD355/AD$117,0)</f>
        <v/>
      </c>
      <c r="CA355" s="4161">
        <f>IFERROR(AE355/AE$117,0)</f>
        <v/>
      </c>
      <c r="CB355" s="4161">
        <f>IFERROR(AF355/AF$117,0)</f>
        <v/>
      </c>
      <c r="CC355" s="4161">
        <f>IFERROR(AG355/AG$117,0)</f>
        <v/>
      </c>
      <c r="CD355" s="4161">
        <f>IFERROR(AH355/AH$117,0)</f>
        <v/>
      </c>
      <c r="CE355" s="4161">
        <f>IFERROR(AI355/AI$117,0)</f>
        <v/>
      </c>
      <c r="CF355" s="4161">
        <f>IFERROR(AJ355/AJ$117,0)</f>
        <v/>
      </c>
      <c r="CG355" s="4161">
        <f>IFERROR(AK355/AK$117,0)</f>
        <v/>
      </c>
      <c r="CH355" s="4161">
        <f>IFERROR(AL355/AL$117,0)</f>
        <v/>
      </c>
      <c r="CI355" s="4161">
        <f>IFERROR(AM355/AM$117,0)</f>
        <v/>
      </c>
      <c r="CJ355" s="4161">
        <f>IFERROR(AN355/AN$117,0)</f>
        <v/>
      </c>
      <c r="CK355" s="4162">
        <f>IFERROR(AO355/AO$117,0)</f>
        <v/>
      </c>
      <c r="CL355" s="4161">
        <f>IFERROR(AP355/AP$117,0)</f>
        <v/>
      </c>
      <c r="CM355" s="4161">
        <f>IFERROR(AQ355/AQ$117,0)</f>
        <v/>
      </c>
      <c r="CN355" s="4161">
        <f>IFERROR(AR355/AR$117,0)</f>
        <v/>
      </c>
      <c r="CO355" s="4161">
        <f>IFERROR(AS355/AS$117,0)</f>
        <v/>
      </c>
      <c r="CP355" s="4161">
        <f>IFERROR(AT355/AT$117,0)</f>
        <v/>
      </c>
      <c r="CQ355" s="4163">
        <f>IFERROR(AU355/AU$117,0)</f>
        <v/>
      </c>
      <c r="CR355" s="4161">
        <f>IFERROR(AV355/AV$117,0)</f>
        <v/>
      </c>
      <c r="CS355" s="4161">
        <f>IFERROR(AW355/AW$117,0)</f>
        <v/>
      </c>
      <c r="CT355" s="4161">
        <f>IFERROR(AX355/AX$117,0)</f>
        <v/>
      </c>
      <c r="CU355" s="4161">
        <f>IFERROR(AY355/AY$117,0)</f>
        <v/>
      </c>
      <c r="CV355" s="4161">
        <f>IFERROR(AZ355/AZ$117,0)</f>
        <v/>
      </c>
      <c r="CW355" s="3737" t="n"/>
      <c r="CX355" s="4158">
        <f>-CX346</f>
        <v/>
      </c>
    </row>
    <row r="356" ht="12" customFormat="1" customHeight="1" s="3737">
      <c r="A356" s="4059" t="n"/>
      <c r="B356" s="4060" t="n"/>
      <c r="C356" s="4108" t="inlineStr">
        <is>
          <t>Interest</t>
        </is>
      </c>
      <c r="D356" s="4093" t="n"/>
      <c r="E356" s="4093" t="n"/>
      <c r="F356" s="4158" t="n"/>
      <c r="G356" s="4158" t="n"/>
      <c r="H356" s="4158" t="n"/>
      <c r="I356" s="4158" t="n"/>
      <c r="J356" s="4158" t="n"/>
      <c r="K356" s="4158" t="n"/>
      <c r="L356" s="4158" t="n"/>
      <c r="M356" s="4158" t="n"/>
      <c r="N356" s="4158" t="n"/>
      <c r="O356" s="4158" t="n"/>
      <c r="P356" s="4158" t="n"/>
      <c r="Q356" s="4159" t="n"/>
      <c r="R356" s="4158" t="n"/>
      <c r="S356" s="4158" t="n"/>
      <c r="T356" s="4158" t="n"/>
      <c r="U356" s="4158" t="n"/>
      <c r="V356" s="4158" t="n"/>
      <c r="W356" s="4158" t="n"/>
      <c r="X356" s="4158" t="n"/>
      <c r="Y356" s="4158" t="n"/>
      <c r="Z356" s="4158" t="n"/>
      <c r="AA356" s="4158" t="n"/>
      <c r="AB356" s="4158" t="n"/>
      <c r="AC356" s="4159" t="n"/>
      <c r="AD356" s="4158" t="n"/>
      <c r="AE356" s="4158" t="n"/>
      <c r="AF356" s="4158" t="n"/>
      <c r="AG356" s="4158" t="n"/>
      <c r="AH356" s="4158" t="n"/>
      <c r="AI356" s="4158" t="n"/>
      <c r="AJ356" s="4158" t="n"/>
      <c r="AK356" s="4158" t="n"/>
      <c r="AL356" s="4158" t="n"/>
      <c r="AM356" s="4158" t="n"/>
      <c r="AN356" s="4158" t="n"/>
      <c r="AO356" s="4159" t="n"/>
      <c r="AP356" s="4158">
        <f>-AP338-AP343-AP15</f>
        <v/>
      </c>
      <c r="AQ356" s="4158">
        <f>-AQ338-AQ343-AQ15</f>
        <v/>
      </c>
      <c r="AR356" s="4158">
        <f>-AR338-AR343-AR15</f>
        <v/>
      </c>
      <c r="AS356" s="4158">
        <f>-AS338-AS343-AS15</f>
        <v/>
      </c>
      <c r="AT356" s="4158">
        <f>-AT338-AT343-AT15</f>
        <v/>
      </c>
      <c r="AU356" s="4160">
        <f>-AU338-AU343-AU15</f>
        <v/>
      </c>
      <c r="AV356" s="4158">
        <f>SUM(F356:Q356)</f>
        <v/>
      </c>
      <c r="AW356" s="4158">
        <f>SUM(R356:AC356)</f>
        <v/>
      </c>
      <c r="AX356" s="4158">
        <f>SUM(AD356:AO356)</f>
        <v/>
      </c>
      <c r="AY356" s="4158">
        <f>SUM(AH356:AS356)</f>
        <v/>
      </c>
      <c r="AZ356" s="4158">
        <f>SUM(AJ356:AU356)</f>
        <v/>
      </c>
      <c r="BA356" s="3737" t="n"/>
      <c r="BB356" s="4161">
        <f>IFERROR(F356/F$117,0)</f>
        <v/>
      </c>
      <c r="BC356" s="4161">
        <f>IFERROR(G356/G$117,0)</f>
        <v/>
      </c>
      <c r="BD356" s="4161">
        <f>IFERROR(H356/H$117,0)</f>
        <v/>
      </c>
      <c r="BE356" s="4161">
        <f>IFERROR(I356/I$117,0)</f>
        <v/>
      </c>
      <c r="BF356" s="4161">
        <f>IFERROR(J356/J$117,0)</f>
        <v/>
      </c>
      <c r="BG356" s="4161">
        <f>IFERROR(K356/K$117,0)</f>
        <v/>
      </c>
      <c r="BH356" s="4161">
        <f>IFERROR(L356/L$117,0)</f>
        <v/>
      </c>
      <c r="BI356" s="4161">
        <f>IFERROR(M356/M$117,0)</f>
        <v/>
      </c>
      <c r="BJ356" s="4161">
        <f>IFERROR(N356/N$117,0)</f>
        <v/>
      </c>
      <c r="BK356" s="4161">
        <f>IFERROR(O356/O$117,0)</f>
        <v/>
      </c>
      <c r="BL356" s="4161">
        <f>IFERROR(P356/P$117,0)</f>
        <v/>
      </c>
      <c r="BM356" s="4162">
        <f>IFERROR(Q356/Q$117,0)</f>
        <v/>
      </c>
      <c r="BN356" s="4161">
        <f>IFERROR(R356/R$117,0)</f>
        <v/>
      </c>
      <c r="BO356" s="4161">
        <f>IFERROR(S356/S$117,0)</f>
        <v/>
      </c>
      <c r="BP356" s="4161">
        <f>IFERROR(T356/T$117,0)</f>
        <v/>
      </c>
      <c r="BQ356" s="4161">
        <f>IFERROR(U356/U$117,0)</f>
        <v/>
      </c>
      <c r="BR356" s="4161">
        <f>IFERROR(V356/V$117,0)</f>
        <v/>
      </c>
      <c r="BS356" s="4161">
        <f>IFERROR(W356/W$117,0)</f>
        <v/>
      </c>
      <c r="BT356" s="4161">
        <f>IFERROR(X356/X$117,0)</f>
        <v/>
      </c>
      <c r="BU356" s="4161">
        <f>IFERROR(Y356/Y$117,0)</f>
        <v/>
      </c>
      <c r="BV356" s="4161">
        <f>IFERROR(Z356/Z$117,0)</f>
        <v/>
      </c>
      <c r="BW356" s="4161">
        <f>IFERROR(AA356/AA$117,0)</f>
        <v/>
      </c>
      <c r="BX356" s="4161">
        <f>IFERROR(AB356/AB$117,0)</f>
        <v/>
      </c>
      <c r="BY356" s="4162">
        <f>IFERROR(AC356/AC$117,0)</f>
        <v/>
      </c>
      <c r="BZ356" s="4161">
        <f>IFERROR(AD356/AD$117,0)</f>
        <v/>
      </c>
      <c r="CA356" s="4161">
        <f>IFERROR(AE356/AE$117,0)</f>
        <v/>
      </c>
      <c r="CB356" s="4161">
        <f>IFERROR(AF356/AF$117,0)</f>
        <v/>
      </c>
      <c r="CC356" s="4161">
        <f>IFERROR(AG356/AG$117,0)</f>
        <v/>
      </c>
      <c r="CD356" s="4161">
        <f>IFERROR(AH356/AH$117,0)</f>
        <v/>
      </c>
      <c r="CE356" s="4161">
        <f>IFERROR(AI356/AI$117,0)</f>
        <v/>
      </c>
      <c r="CF356" s="4161">
        <f>IFERROR(AJ356/AJ$117,0)</f>
        <v/>
      </c>
      <c r="CG356" s="4161">
        <f>IFERROR(AK356/AK$117,0)</f>
        <v/>
      </c>
      <c r="CH356" s="4161">
        <f>IFERROR(AL356/AL$117,0)</f>
        <v/>
      </c>
      <c r="CI356" s="4161">
        <f>IFERROR(AM356/AM$117,0)</f>
        <v/>
      </c>
      <c r="CJ356" s="4161">
        <f>IFERROR(AN356/AN$117,0)</f>
        <v/>
      </c>
      <c r="CK356" s="4162">
        <f>IFERROR(AO356/AO$117,0)</f>
        <v/>
      </c>
      <c r="CL356" s="4161">
        <f>IFERROR(AP356/AP$117,0)</f>
        <v/>
      </c>
      <c r="CM356" s="4161">
        <f>IFERROR(AQ356/AQ$117,0)</f>
        <v/>
      </c>
      <c r="CN356" s="4161">
        <f>IFERROR(AR356/AR$117,0)</f>
        <v/>
      </c>
      <c r="CO356" s="4161">
        <f>IFERROR(AS356/AS$117,0)</f>
        <v/>
      </c>
      <c r="CP356" s="4161">
        <f>IFERROR(AT356/AT$117,0)</f>
        <v/>
      </c>
      <c r="CQ356" s="4163">
        <f>IFERROR(AU356/AU$117,0)</f>
        <v/>
      </c>
      <c r="CR356" s="4161">
        <f>IFERROR(AV356/AV$117,0)</f>
        <v/>
      </c>
      <c r="CS356" s="4161">
        <f>IFERROR(AW356/AW$117,0)</f>
        <v/>
      </c>
      <c r="CT356" s="4161">
        <f>IFERROR(AX356/AX$117,0)</f>
        <v/>
      </c>
      <c r="CU356" s="4161">
        <f>IFERROR(AY356/AY$117,0)</f>
        <v/>
      </c>
      <c r="CV356" s="4161">
        <f>IFERROR(AZ356/AZ$117,0)</f>
        <v/>
      </c>
      <c r="CW356" s="3737" t="n"/>
      <c r="CX356" s="4158">
        <f>-CX338-CX343-CX15</f>
        <v/>
      </c>
    </row>
    <row r="357" ht="12" customFormat="1" customHeight="1" s="3737">
      <c r="A357" s="4059" t="n"/>
      <c r="B357" s="4060" t="n"/>
      <c r="C357" s="4150" t="inlineStr">
        <is>
          <t>Other comprehensive income</t>
        </is>
      </c>
      <c r="D357" s="4101" t="n"/>
      <c r="E357" s="4101" t="n"/>
      <c r="F357" s="4130" t="n"/>
      <c r="G357" s="4130" t="n"/>
      <c r="H357" s="4130" t="n"/>
      <c r="I357" s="4130" t="n"/>
      <c r="J357" s="4130" t="n"/>
      <c r="K357" s="4130" t="n"/>
      <c r="L357" s="4130" t="n"/>
      <c r="M357" s="4130" t="n"/>
      <c r="N357" s="4130" t="n"/>
      <c r="O357" s="4130" t="n"/>
      <c r="P357" s="4130" t="n"/>
      <c r="Q357" s="4131" t="n"/>
      <c r="R357" s="4130" t="n"/>
      <c r="S357" s="4130" t="n"/>
      <c r="T357" s="4130" t="n"/>
      <c r="U357" s="4130" t="n"/>
      <c r="V357" s="4130" t="n"/>
      <c r="W357" s="4130" t="n"/>
      <c r="X357" s="4130" t="n"/>
      <c r="Y357" s="4130" t="n"/>
      <c r="Z357" s="4130" t="n"/>
      <c r="AA357" s="4130" t="n"/>
      <c r="AB357" s="4130" t="n"/>
      <c r="AC357" s="4131" t="n"/>
      <c r="AD357" s="4130" t="n"/>
      <c r="AE357" s="4130" t="n"/>
      <c r="AF357" s="4130" t="n"/>
      <c r="AG357" s="4130" t="n"/>
      <c r="AH357" s="4130" t="n"/>
      <c r="AI357" s="4130" t="n"/>
      <c r="AJ357" s="4130" t="n"/>
      <c r="AK357" s="4130" t="n"/>
      <c r="AL357" s="4130" t="n"/>
      <c r="AM357" s="4130" t="n"/>
      <c r="AN357" s="4130" t="n"/>
      <c r="AO357" s="4131" t="n"/>
      <c r="AP357" s="4130">
        <f>-AP352</f>
        <v/>
      </c>
      <c r="AQ357" s="4130">
        <f>-AQ352</f>
        <v/>
      </c>
      <c r="AR357" s="4130">
        <f>-AR352</f>
        <v/>
      </c>
      <c r="AS357" s="4130">
        <f>-AS352</f>
        <v/>
      </c>
      <c r="AT357" s="4130">
        <f>-AT352</f>
        <v/>
      </c>
      <c r="AU357" s="4132">
        <f>-AU352</f>
        <v/>
      </c>
      <c r="AV357" s="4130">
        <f>SUM(F357:Q357)</f>
        <v/>
      </c>
      <c r="AW357" s="4130">
        <f>SUM(R357:AC357)</f>
        <v/>
      </c>
      <c r="AX357" s="4130">
        <f>SUM(AD357:AO357)</f>
        <v/>
      </c>
      <c r="AY357" s="4130">
        <f>SUM(AH357:AS357)</f>
        <v/>
      </c>
      <c r="AZ357" s="4130">
        <f>SUM(AJ357:AU357)</f>
        <v/>
      </c>
      <c r="BA357" s="3737" t="n"/>
      <c r="BB357" s="4134">
        <f>IFERROR(F357/F$117,0)</f>
        <v/>
      </c>
      <c r="BC357" s="4134">
        <f>IFERROR(G357/G$117,0)</f>
        <v/>
      </c>
      <c r="BD357" s="4134">
        <f>IFERROR(H357/H$117,0)</f>
        <v/>
      </c>
      <c r="BE357" s="4134">
        <f>IFERROR(I357/I$117,0)</f>
        <v/>
      </c>
      <c r="BF357" s="4134">
        <f>IFERROR(J357/J$117,0)</f>
        <v/>
      </c>
      <c r="BG357" s="4134">
        <f>IFERROR(K357/K$117,0)</f>
        <v/>
      </c>
      <c r="BH357" s="4134">
        <f>IFERROR(L357/L$117,0)</f>
        <v/>
      </c>
      <c r="BI357" s="4134">
        <f>IFERROR(M357/M$117,0)</f>
        <v/>
      </c>
      <c r="BJ357" s="4134">
        <f>IFERROR(N357/N$117,0)</f>
        <v/>
      </c>
      <c r="BK357" s="4134">
        <f>IFERROR(O357/O$117,0)</f>
        <v/>
      </c>
      <c r="BL357" s="4134">
        <f>IFERROR(P357/P$117,0)</f>
        <v/>
      </c>
      <c r="BM357" s="4135">
        <f>IFERROR(Q357/Q$117,0)</f>
        <v/>
      </c>
      <c r="BN357" s="4134">
        <f>IFERROR(R357/R$117,0)</f>
        <v/>
      </c>
      <c r="BO357" s="4134">
        <f>IFERROR(S357/S$117,0)</f>
        <v/>
      </c>
      <c r="BP357" s="4134">
        <f>IFERROR(T357/T$117,0)</f>
        <v/>
      </c>
      <c r="BQ357" s="4134">
        <f>IFERROR(U357/U$117,0)</f>
        <v/>
      </c>
      <c r="BR357" s="4134">
        <f>IFERROR(V357/V$117,0)</f>
        <v/>
      </c>
      <c r="BS357" s="4134">
        <f>IFERROR(W357/W$117,0)</f>
        <v/>
      </c>
      <c r="BT357" s="4134">
        <f>IFERROR(X357/X$117,0)</f>
        <v/>
      </c>
      <c r="BU357" s="4134">
        <f>IFERROR(Y357/Y$117,0)</f>
        <v/>
      </c>
      <c r="BV357" s="4134">
        <f>IFERROR(Z357/Z$117,0)</f>
        <v/>
      </c>
      <c r="BW357" s="4134">
        <f>IFERROR(AA357/AA$117,0)</f>
        <v/>
      </c>
      <c r="BX357" s="4134">
        <f>IFERROR(AB357/AB$117,0)</f>
        <v/>
      </c>
      <c r="BY357" s="4135">
        <f>IFERROR(AC357/AC$117,0)</f>
        <v/>
      </c>
      <c r="BZ357" s="4134">
        <f>IFERROR(AD357/AD$117,0)</f>
        <v/>
      </c>
      <c r="CA357" s="4134">
        <f>IFERROR(AE357/AE$117,0)</f>
        <v/>
      </c>
      <c r="CB357" s="4134">
        <f>IFERROR(AF357/AF$117,0)</f>
        <v/>
      </c>
      <c r="CC357" s="4134">
        <f>IFERROR(AG357/AG$117,0)</f>
        <v/>
      </c>
      <c r="CD357" s="4134">
        <f>IFERROR(AH357/AH$117,0)</f>
        <v/>
      </c>
      <c r="CE357" s="4134">
        <f>IFERROR(AI357/AI$117,0)</f>
        <v/>
      </c>
      <c r="CF357" s="4134">
        <f>IFERROR(AJ357/AJ$117,0)</f>
        <v/>
      </c>
      <c r="CG357" s="4134">
        <f>IFERROR(AK357/AK$117,0)</f>
        <v/>
      </c>
      <c r="CH357" s="4134">
        <f>IFERROR(AL357/AL$117,0)</f>
        <v/>
      </c>
      <c r="CI357" s="4134">
        <f>IFERROR(AM357/AM$117,0)</f>
        <v/>
      </c>
      <c r="CJ357" s="4134">
        <f>IFERROR(AN357/AN$117,0)</f>
        <v/>
      </c>
      <c r="CK357" s="4135">
        <f>IFERROR(AO357/AO$117,0)</f>
        <v/>
      </c>
      <c r="CL357" s="4134">
        <f>IFERROR(AP357/AP$117,0)</f>
        <v/>
      </c>
      <c r="CM357" s="4134">
        <f>IFERROR(AQ357/AQ$117,0)</f>
        <v/>
      </c>
      <c r="CN357" s="4134">
        <f>IFERROR(AR357/AR$117,0)</f>
        <v/>
      </c>
      <c r="CO357" s="4134">
        <f>IFERROR(AS357/AS$117,0)</f>
        <v/>
      </c>
      <c r="CP357" s="4134">
        <f>IFERROR(AT357/AT$117,0)</f>
        <v/>
      </c>
      <c r="CQ357" s="4136">
        <f>IFERROR(AU357/AU$117,0)</f>
        <v/>
      </c>
      <c r="CR357" s="4134">
        <f>IFERROR(AV357/AV$117,0)</f>
        <v/>
      </c>
      <c r="CS357" s="4134">
        <f>IFERROR(AW357/AW$117,0)</f>
        <v/>
      </c>
      <c r="CT357" s="4134">
        <f>IFERROR(AX357/AX$117,0)</f>
        <v/>
      </c>
      <c r="CU357" s="4134">
        <f>IFERROR(AY357/AY$117,0)</f>
        <v/>
      </c>
      <c r="CV357" s="4134">
        <f>IFERROR(AZ357/AZ$117,0)</f>
        <v/>
      </c>
      <c r="CW357" s="3737" t="n"/>
      <c r="CX357" s="4130">
        <f>-CX352</f>
        <v/>
      </c>
    </row>
    <row r="358" ht="12" customFormat="1" customHeight="1" s="3737">
      <c r="A358" s="4059" t="n"/>
      <c r="B358" s="4060" t="n"/>
      <c r="C358" s="4151" t="inlineStr">
        <is>
          <t>EBITDA, reported</t>
        </is>
      </c>
      <c r="D358" s="4151" t="n"/>
      <c r="E358" s="4151" t="n"/>
      <c r="F358" s="4152" t="n"/>
      <c r="G358" s="4152" t="n"/>
      <c r="H358" s="4152" t="n"/>
      <c r="I358" s="4152" t="n"/>
      <c r="J358" s="4152" t="n"/>
      <c r="K358" s="4152" t="n"/>
      <c r="L358" s="4152" t="n"/>
      <c r="M358" s="4152" t="n"/>
      <c r="N358" s="4152" t="n"/>
      <c r="O358" s="4152" t="n"/>
      <c r="P358" s="4152" t="n"/>
      <c r="Q358" s="4153" t="n"/>
      <c r="R358" s="4152" t="n"/>
      <c r="S358" s="4152" t="n"/>
      <c r="T358" s="4152" t="n"/>
      <c r="U358" s="4152" t="n"/>
      <c r="V358" s="4152" t="n"/>
      <c r="W358" s="4152" t="n"/>
      <c r="X358" s="4152" t="n"/>
      <c r="Y358" s="4152" t="n"/>
      <c r="Z358" s="4152" t="n"/>
      <c r="AA358" s="4152" t="n"/>
      <c r="AB358" s="4152" t="n"/>
      <c r="AC358" s="4153" t="n"/>
      <c r="AD358" s="4152" t="n"/>
      <c r="AE358" s="4152" t="n"/>
      <c r="AF358" s="4152" t="n"/>
      <c r="AG358" s="4152" t="n"/>
      <c r="AH358" s="4152" t="n"/>
      <c r="AI358" s="4152" t="n"/>
      <c r="AJ358" s="4152" t="n"/>
      <c r="AK358" s="4152" t="n"/>
      <c r="AL358" s="4152" t="n"/>
      <c r="AM358" s="4152" t="n"/>
      <c r="AN358" s="4152" t="n"/>
      <c r="AO358" s="4153" t="n"/>
      <c r="AP358" s="4152">
        <f>SUM(AP353:AP357)</f>
        <v/>
      </c>
      <c r="AQ358" s="4152">
        <f>SUM(AQ353:AQ357)</f>
        <v/>
      </c>
      <c r="AR358" s="4152">
        <f>SUM(AR353:AR357)</f>
        <v/>
      </c>
      <c r="AS358" s="4152">
        <f>SUM(AS353:AS357)</f>
        <v/>
      </c>
      <c r="AT358" s="4152">
        <f>SUM(AT353:AT357)</f>
        <v/>
      </c>
      <c r="AU358" s="4154">
        <f>SUM(AU353:AU357)</f>
        <v/>
      </c>
      <c r="AV358" s="4152">
        <f>SUM(AV353:AV357)</f>
        <v/>
      </c>
      <c r="AW358" s="4152">
        <f>SUM(AW353:AW357)</f>
        <v/>
      </c>
      <c r="AX358" s="4152">
        <f>SUM(AX353:AX357)</f>
        <v/>
      </c>
      <c r="AY358" s="4152">
        <f>SUM(AY353:AY357)</f>
        <v/>
      </c>
      <c r="AZ358" s="4152">
        <f>SUM(AZ353:AZ357)</f>
        <v/>
      </c>
      <c r="BA358" s="3737" t="n"/>
      <c r="BB358" s="4155">
        <f>IFERROR(F358/F$117,0)</f>
        <v/>
      </c>
      <c r="BC358" s="4155">
        <f>IFERROR(G358/G$117,0)</f>
        <v/>
      </c>
      <c r="BD358" s="4155">
        <f>IFERROR(H358/H$117,0)</f>
        <v/>
      </c>
      <c r="BE358" s="4155">
        <f>IFERROR(I358/I$117,0)</f>
        <v/>
      </c>
      <c r="BF358" s="4155">
        <f>IFERROR(J358/J$117,0)</f>
        <v/>
      </c>
      <c r="BG358" s="4155">
        <f>IFERROR(K358/K$117,0)</f>
        <v/>
      </c>
      <c r="BH358" s="4155">
        <f>IFERROR(L358/L$117,0)</f>
        <v/>
      </c>
      <c r="BI358" s="4155">
        <f>IFERROR(M358/M$117,0)</f>
        <v/>
      </c>
      <c r="BJ358" s="4155">
        <f>IFERROR(N358/N$117,0)</f>
        <v/>
      </c>
      <c r="BK358" s="4155">
        <f>IFERROR(O358/O$117,0)</f>
        <v/>
      </c>
      <c r="BL358" s="4155">
        <f>IFERROR(P358/P$117,0)</f>
        <v/>
      </c>
      <c r="BM358" s="4156">
        <f>IFERROR(Q358/Q$117,0)</f>
        <v/>
      </c>
      <c r="BN358" s="4155">
        <f>IFERROR(R358/R$117,0)</f>
        <v/>
      </c>
      <c r="BO358" s="4155">
        <f>IFERROR(S358/S$117,0)</f>
        <v/>
      </c>
      <c r="BP358" s="4155">
        <f>IFERROR(T358/T$117,0)</f>
        <v/>
      </c>
      <c r="BQ358" s="4155">
        <f>IFERROR(U358/U$117,0)</f>
        <v/>
      </c>
      <c r="BR358" s="4155">
        <f>IFERROR(V358/V$117,0)</f>
        <v/>
      </c>
      <c r="BS358" s="4155">
        <f>IFERROR(W358/W$117,0)</f>
        <v/>
      </c>
      <c r="BT358" s="4155">
        <f>IFERROR(X358/X$117,0)</f>
        <v/>
      </c>
      <c r="BU358" s="4155">
        <f>IFERROR(Y358/Y$117,0)</f>
        <v/>
      </c>
      <c r="BV358" s="4155">
        <f>IFERROR(Z358/Z$117,0)</f>
        <v/>
      </c>
      <c r="BW358" s="4155">
        <f>IFERROR(AA358/AA$117,0)</f>
        <v/>
      </c>
      <c r="BX358" s="4155">
        <f>IFERROR(AB358/AB$117,0)</f>
        <v/>
      </c>
      <c r="BY358" s="4156">
        <f>IFERROR(AC358/AC$117,0)</f>
        <v/>
      </c>
      <c r="BZ358" s="4155">
        <f>IFERROR(AD358/AD$117,0)</f>
        <v/>
      </c>
      <c r="CA358" s="4155">
        <f>IFERROR(AE358/AE$117,0)</f>
        <v/>
      </c>
      <c r="CB358" s="4155">
        <f>IFERROR(AF358/AF$117,0)</f>
        <v/>
      </c>
      <c r="CC358" s="4155">
        <f>IFERROR(AG358/AG$117,0)</f>
        <v/>
      </c>
      <c r="CD358" s="4155">
        <f>IFERROR(AH358/AH$117,0)</f>
        <v/>
      </c>
      <c r="CE358" s="4155">
        <f>IFERROR(AI358/AI$117,0)</f>
        <v/>
      </c>
      <c r="CF358" s="4155">
        <f>IFERROR(AJ358/AJ$117,0)</f>
        <v/>
      </c>
      <c r="CG358" s="4155">
        <f>IFERROR(AK358/AK$117,0)</f>
        <v/>
      </c>
      <c r="CH358" s="4155">
        <f>IFERROR(AL358/AL$117,0)</f>
        <v/>
      </c>
      <c r="CI358" s="4155">
        <f>IFERROR(AM358/AM$117,0)</f>
        <v/>
      </c>
      <c r="CJ358" s="4155">
        <f>IFERROR(AN358/AN$117,0)</f>
        <v/>
      </c>
      <c r="CK358" s="4156">
        <f>IFERROR(AO358/AO$117,0)</f>
        <v/>
      </c>
      <c r="CL358" s="4155">
        <f>IFERROR(AP358/AP$117,0)</f>
        <v/>
      </c>
      <c r="CM358" s="4155">
        <f>IFERROR(AQ358/AQ$117,0)</f>
        <v/>
      </c>
      <c r="CN358" s="4155">
        <f>IFERROR(AR358/AR$117,0)</f>
        <v/>
      </c>
      <c r="CO358" s="4155">
        <f>IFERROR(AS358/AS$117,0)</f>
        <v/>
      </c>
      <c r="CP358" s="4155">
        <f>IFERROR(AT358/AT$117,0)</f>
        <v/>
      </c>
      <c r="CQ358" s="4157">
        <f>IFERROR(AU358/AU$117,0)</f>
        <v/>
      </c>
      <c r="CR358" s="4155">
        <f>IFERROR(AV358/AV$117,0)</f>
        <v/>
      </c>
      <c r="CS358" s="4155">
        <f>IFERROR(AW358/AW$117,0)</f>
        <v/>
      </c>
      <c r="CT358" s="4155">
        <f>IFERROR(AX358/AX$117,0)</f>
        <v/>
      </c>
      <c r="CU358" s="4155">
        <f>IFERROR(AY358/AY$117,0)</f>
        <v/>
      </c>
      <c r="CV358" s="4155">
        <f>IFERROR(AZ358/AZ$117,0)</f>
        <v/>
      </c>
      <c r="CW358" s="3737" t="n"/>
      <c r="CX358" s="4152">
        <f>SUM(CX353:CX357)</f>
        <v/>
      </c>
    </row>
    <row r="359" ht="12" customFormat="1" customHeight="1" s="3737">
      <c r="A359" s="4059" t="n"/>
      <c r="B359" s="4060" t="n"/>
      <c r="C359" s="4108" t="n"/>
      <c r="D359" s="4093" t="n"/>
      <c r="E359" s="4093" t="n"/>
      <c r="F359" s="4158" t="n"/>
      <c r="G359" s="4158" t="n"/>
      <c r="H359" s="4158" t="n"/>
      <c r="I359" s="4158" t="n"/>
      <c r="J359" s="4158" t="n"/>
      <c r="K359" s="4158" t="n"/>
      <c r="L359" s="4158" t="n"/>
      <c r="M359" s="4158" t="n"/>
      <c r="N359" s="4158" t="n"/>
      <c r="O359" s="4158" t="n"/>
      <c r="P359" s="4158" t="n"/>
      <c r="Q359" s="4158" t="n"/>
      <c r="R359" s="4158" t="n"/>
      <c r="S359" s="4158" t="n"/>
      <c r="T359" s="4158" t="n"/>
      <c r="U359" s="4158" t="n"/>
      <c r="V359" s="4158" t="n"/>
      <c r="W359" s="4158" t="n"/>
      <c r="X359" s="4158" t="n"/>
      <c r="Y359" s="4158" t="n"/>
      <c r="Z359" s="4158" t="n"/>
      <c r="AA359" s="4158" t="n"/>
      <c r="AB359" s="4158" t="n"/>
      <c r="AC359" s="4158" t="n"/>
      <c r="AD359" s="4158" t="n"/>
      <c r="AE359" s="4158" t="n"/>
      <c r="AF359" s="4158" t="n"/>
      <c r="AG359" s="4158" t="n"/>
      <c r="AH359" s="4158" t="n"/>
      <c r="AI359" s="4158" t="n"/>
      <c r="AJ359" s="4158" t="n"/>
      <c r="AK359" s="4158" t="n"/>
      <c r="AL359" s="4158" t="n"/>
      <c r="AM359" s="4158" t="n"/>
      <c r="AN359" s="4158" t="n"/>
      <c r="AO359" s="4158" t="n"/>
      <c r="AP359" s="4158" t="n"/>
      <c r="AQ359" s="4158" t="n"/>
      <c r="AR359" s="4158" t="n"/>
      <c r="AS359" s="4158" t="n"/>
      <c r="AT359" s="4158" t="n"/>
      <c r="AU359" s="4158" t="n"/>
      <c r="AV359" s="4158" t="n"/>
      <c r="AW359" s="4158" t="n"/>
      <c r="AX359" s="4158" t="n"/>
      <c r="AY359" s="4158" t="n"/>
      <c r="AZ359" s="4158" t="n"/>
      <c r="BA359" s="3737" t="n"/>
      <c r="BB359" s="4161" t="n"/>
      <c r="BC359" s="4161" t="n"/>
      <c r="BD359" s="4161" t="n"/>
      <c r="BE359" s="4161" t="n"/>
      <c r="BF359" s="4161" t="n"/>
      <c r="BG359" s="4161" t="n"/>
      <c r="BH359" s="4161" t="n"/>
      <c r="BI359" s="4161" t="n"/>
      <c r="BJ359" s="4161" t="n"/>
      <c r="BK359" s="4161" t="n"/>
      <c r="BL359" s="4161" t="n"/>
      <c r="BM359" s="4161" t="n"/>
      <c r="BN359" s="4161" t="n"/>
      <c r="BO359" s="4161" t="n"/>
      <c r="BP359" s="4161" t="n"/>
      <c r="BQ359" s="4161" t="n"/>
      <c r="BR359" s="4161" t="n"/>
      <c r="BS359" s="4161" t="n"/>
      <c r="BT359" s="4161" t="n"/>
      <c r="BU359" s="4161" t="n"/>
      <c r="BV359" s="4161" t="n"/>
      <c r="BW359" s="4161" t="n"/>
      <c r="BX359" s="4161" t="n"/>
      <c r="BY359" s="4161" t="n"/>
      <c r="BZ359" s="4161" t="n"/>
      <c r="CA359" s="4161" t="n"/>
      <c r="CB359" s="4161" t="n"/>
      <c r="CC359" s="4161" t="n"/>
      <c r="CD359" s="4161" t="n"/>
      <c r="CE359" s="4161" t="n"/>
      <c r="CF359" s="4161" t="n"/>
      <c r="CG359" s="4161" t="n"/>
      <c r="CH359" s="4161" t="n"/>
      <c r="CI359" s="4161" t="n"/>
      <c r="CJ359" s="4161" t="n"/>
      <c r="CK359" s="4161" t="n"/>
      <c r="CL359" s="4161" t="n"/>
      <c r="CM359" s="4161" t="n"/>
      <c r="CN359" s="4161" t="n"/>
      <c r="CO359" s="4161" t="n"/>
      <c r="CP359" s="4161" t="n"/>
      <c r="CQ359" s="4161" t="n"/>
      <c r="CR359" s="4161" t="n"/>
      <c r="CS359" s="4161" t="n"/>
      <c r="CT359" s="4161" t="n"/>
      <c r="CU359" s="4161" t="n"/>
      <c r="CV359" s="4161" t="n"/>
      <c r="CW359" s="3737" t="n"/>
      <c r="CX359" s="4158" t="n"/>
    </row>
    <row r="360" hidden="1" outlineLevel="1" ht="12" customFormat="1" customHeight="1" s="4065">
      <c r="A360" s="4066" t="n"/>
      <c r="B360" s="4067" t="n"/>
      <c r="C360" s="4065" t="inlineStr">
        <is>
          <t>Source Net Income</t>
        </is>
      </c>
      <c r="D360" s="4067" t="n"/>
      <c r="E360" s="4067" t="n"/>
      <c r="F360" s="4164" t="n"/>
      <c r="G360" s="4164" t="n"/>
      <c r="H360" s="4164" t="n"/>
      <c r="I360" s="4164" t="n"/>
      <c r="J360" s="4164" t="n"/>
      <c r="K360" s="4164" t="n"/>
      <c r="L360" s="4164" t="n"/>
      <c r="M360" s="4164" t="n"/>
      <c r="N360" s="4164" t="n"/>
      <c r="O360" s="4164" t="n"/>
      <c r="P360" s="4164" t="n"/>
      <c r="Q360" s="4164" t="n"/>
      <c r="R360" s="4164" t="n"/>
      <c r="S360" s="4164" t="n"/>
      <c r="T360" s="4164" t="n"/>
      <c r="U360" s="4164" t="n"/>
      <c r="V360" s="4164" t="n"/>
      <c r="W360" s="4164" t="n"/>
      <c r="X360" s="4164" t="n"/>
      <c r="Y360" s="4164" t="n"/>
      <c r="Z360" s="4164" t="n"/>
      <c r="AA360" s="4164" t="n"/>
      <c r="AB360" s="4164" t="n"/>
      <c r="AC360" s="4164" t="n"/>
      <c r="AD360" s="4164" t="n"/>
      <c r="AE360" s="4164" t="n"/>
      <c r="AF360" s="4164" t="n"/>
      <c r="AG360" s="4164" t="n"/>
      <c r="AH360" s="4164" t="n"/>
      <c r="AI360" s="4164" t="n"/>
      <c r="AJ360" s="4164" t="n"/>
      <c r="AK360" s="4164" t="n"/>
      <c r="AL360" s="4164" t="n"/>
      <c r="AM360" s="4164" t="n"/>
      <c r="AN360" s="4164" t="n"/>
      <c r="AO360" s="4164" t="n"/>
      <c r="AP360" s="4164" t="n">
        <v>1182.61703</v>
      </c>
      <c r="AQ360" s="4164" t="n">
        <v>1262.33213</v>
      </c>
      <c r="AR360" s="4164" t="n">
        <v>1290.41421</v>
      </c>
      <c r="AS360" s="4164" t="n">
        <v>1097.71932</v>
      </c>
      <c r="AT360" s="4164" t="n">
        <v>1467.00321</v>
      </c>
      <c r="AU360" s="4164" t="n">
        <v>1409.00306</v>
      </c>
      <c r="AV360" s="4164" t="n">
        <v>6203.50543</v>
      </c>
      <c r="AW360" s="4164" t="n">
        <v>7678.51489</v>
      </c>
      <c r="AX360" s="4164" t="n">
        <v>13631.56111</v>
      </c>
      <c r="AY360" s="4164" t="n">
        <v>15213.68054</v>
      </c>
      <c r="AZ360" s="4164">
        <f>SUM(AJ360:AU360)</f>
        <v/>
      </c>
      <c r="BA360" s="4065" t="n"/>
      <c r="CO360" s="4065" t="n"/>
      <c r="CR360" s="4164" t="n"/>
      <c r="CS360" s="4164" t="n"/>
      <c r="CT360" s="4164" t="n"/>
      <c r="CU360" s="4164" t="n"/>
      <c r="CV360" s="4164" t="n"/>
      <c r="CW360" s="4065" t="n"/>
      <c r="CX360" s="4164" t="n">
        <v>5805.89337</v>
      </c>
    </row>
    <row r="361" hidden="1" outlineLevel="1" ht="12" customFormat="1" customHeight="1" s="4065">
      <c r="A361" s="4066" t="n"/>
      <c r="B361" s="4067" t="n"/>
      <c r="C361" s="4065" t="inlineStr">
        <is>
          <t>Check</t>
        </is>
      </c>
      <c r="D361" s="4067" t="n"/>
      <c r="E361" s="4067" t="n"/>
      <c r="F361" s="4164">
        <f>F360-F353</f>
        <v/>
      </c>
      <c r="G361" s="4164">
        <f>G360-G353</f>
        <v/>
      </c>
      <c r="H361" s="4164">
        <f>H360-H353</f>
        <v/>
      </c>
      <c r="I361" s="4164">
        <f>I360-I353</f>
        <v/>
      </c>
      <c r="J361" s="4164">
        <f>J360-J353</f>
        <v/>
      </c>
      <c r="K361" s="4164">
        <f>K360-K353</f>
        <v/>
      </c>
      <c r="L361" s="4164">
        <f>L360-L353</f>
        <v/>
      </c>
      <c r="M361" s="4164">
        <f>M360-M353</f>
        <v/>
      </c>
      <c r="N361" s="4164">
        <f>N360-N353</f>
        <v/>
      </c>
      <c r="O361" s="4164">
        <f>O360-O353</f>
        <v/>
      </c>
      <c r="P361" s="4164">
        <f>P360-P353</f>
        <v/>
      </c>
      <c r="Q361" s="4164">
        <f>Q360-Q353</f>
        <v/>
      </c>
      <c r="R361" s="4164">
        <f>R360-R353</f>
        <v/>
      </c>
      <c r="S361" s="4164">
        <f>S360-S353</f>
        <v/>
      </c>
      <c r="T361" s="4164">
        <f>T360-T353</f>
        <v/>
      </c>
      <c r="U361" s="4164">
        <f>U360-U353</f>
        <v/>
      </c>
      <c r="V361" s="4164">
        <f>V360-V353</f>
        <v/>
      </c>
      <c r="W361" s="4164">
        <f>W360-W353</f>
        <v/>
      </c>
      <c r="X361" s="4164">
        <f>X360-X353</f>
        <v/>
      </c>
      <c r="Y361" s="4164">
        <f>Y360-Y353</f>
        <v/>
      </c>
      <c r="Z361" s="4164">
        <f>Z360-Z353</f>
        <v/>
      </c>
      <c r="AA361" s="4164">
        <f>AA360-AA353</f>
        <v/>
      </c>
      <c r="AB361" s="4164">
        <f>AB360-AB353</f>
        <v/>
      </c>
      <c r="AC361" s="4164">
        <f>AC360-AC353</f>
        <v/>
      </c>
      <c r="AD361" s="4164">
        <f>AD360-AD353</f>
        <v/>
      </c>
      <c r="AE361" s="4164">
        <f>AE360-AE353</f>
        <v/>
      </c>
      <c r="AF361" s="4164">
        <f>AF360-AF353</f>
        <v/>
      </c>
      <c r="AG361" s="4164">
        <f>AG360-AG353</f>
        <v/>
      </c>
      <c r="AH361" s="4164">
        <f>AH360-AH353</f>
        <v/>
      </c>
      <c r="AI361" s="4164">
        <f>AI360-AI353</f>
        <v/>
      </c>
      <c r="AJ361" s="4164">
        <f>AJ360-AJ353</f>
        <v/>
      </c>
      <c r="AK361" s="4164">
        <f>AK360-AK353</f>
        <v/>
      </c>
      <c r="AL361" s="4164">
        <f>AL360-AL353</f>
        <v/>
      </c>
      <c r="AM361" s="4164">
        <f>AM360-AM353</f>
        <v/>
      </c>
      <c r="AN361" s="4164">
        <f>AN360-AN353</f>
        <v/>
      </c>
      <c r="AO361" s="4164">
        <f>AO360-AO353</f>
        <v/>
      </c>
      <c r="AP361" s="4164">
        <f>AP360-AP353</f>
        <v/>
      </c>
      <c r="AQ361" s="4164">
        <f>AQ360-AQ353</f>
        <v/>
      </c>
      <c r="AR361" s="4164">
        <f>AR360-AR353</f>
        <v/>
      </c>
      <c r="AS361" s="4164">
        <f>AS360-AS353</f>
        <v/>
      </c>
      <c r="AT361" s="4164">
        <f>AT360-AT353</f>
        <v/>
      </c>
      <c r="AU361" s="4164">
        <f>AU360-AU353</f>
        <v/>
      </c>
      <c r="AV361" s="4164">
        <f>AV360-AV353</f>
        <v/>
      </c>
      <c r="AW361" s="4164">
        <f>AW360-AW353</f>
        <v/>
      </c>
      <c r="AX361" s="4164">
        <f>AX360-AX353</f>
        <v/>
      </c>
      <c r="AY361" s="4164">
        <f>AY360-AY353</f>
        <v/>
      </c>
      <c r="AZ361" s="4164">
        <f>AZ360-AZ353</f>
        <v/>
      </c>
      <c r="BA361" s="4065" t="n"/>
      <c r="CO361" s="4065" t="n"/>
      <c r="CR361" s="4164" t="n"/>
      <c r="CS361" s="4164" t="n"/>
      <c r="CT361" s="4164" t="n"/>
      <c r="CU361" s="4164" t="n"/>
      <c r="CV361" s="4164" t="n"/>
      <c r="CW361" s="4065" t="n"/>
      <c r="CX361" s="4164">
        <f>CX360-CX353</f>
        <v/>
      </c>
    </row>
    <row r="362" hidden="1" outlineLevel="1" ht="12" customFormat="1" customHeight="1" s="4065">
      <c r="A362" s="4066" t="n"/>
      <c r="B362" s="4067" t="n"/>
      <c r="C362" s="4065" t="inlineStr">
        <is>
          <t>Source: EBTIDA</t>
        </is>
      </c>
      <c r="D362" s="4067" t="n"/>
      <c r="E362" s="4067" t="n"/>
      <c r="F362" s="4164" t="n"/>
      <c r="G362" s="4164" t="n"/>
      <c r="H362" s="4164" t="n"/>
      <c r="I362" s="4164" t="n"/>
      <c r="J362" s="4164" t="n"/>
      <c r="K362" s="4164" t="n"/>
      <c r="L362" s="4164" t="n"/>
      <c r="M362" s="4164" t="n"/>
      <c r="N362" s="4164" t="n"/>
      <c r="O362" s="4164" t="n"/>
      <c r="P362" s="4164" t="n"/>
      <c r="Q362" s="4164" t="n"/>
      <c r="R362" s="4164" t="n"/>
      <c r="S362" s="4164" t="n"/>
      <c r="T362" s="4164" t="n"/>
      <c r="U362" s="4164" t="n"/>
      <c r="V362" s="4164" t="n"/>
      <c r="W362" s="4164" t="n"/>
      <c r="X362" s="4164" t="n"/>
      <c r="Y362" s="4164" t="n"/>
      <c r="Z362" s="4164" t="n"/>
      <c r="AA362" s="4164" t="n"/>
      <c r="AB362" s="4164" t="n"/>
      <c r="AC362" s="4164" t="n"/>
      <c r="AD362" s="4164" t="n"/>
      <c r="AE362" s="4164" t="n"/>
      <c r="AF362" s="4164" t="n"/>
      <c r="AG362" s="4164" t="n"/>
      <c r="AH362" s="4164" t="n"/>
      <c r="AI362" s="4164" t="n"/>
      <c r="AJ362" s="4164" t="n"/>
      <c r="AK362" s="4164" t="n"/>
      <c r="AL362" s="4164" t="n"/>
      <c r="AM362" s="4164" t="n"/>
      <c r="AN362" s="4164" t="n"/>
      <c r="AO362" s="4164" t="n"/>
      <c r="AP362" s="4164" t="n">
        <v>1734.50889</v>
      </c>
      <c r="AQ362" s="4164" t="n">
        <v>1861.1389</v>
      </c>
      <c r="AR362" s="4164" t="n">
        <v>1888.4374</v>
      </c>
      <c r="AS362" s="4164" t="n">
        <v>1635.53694</v>
      </c>
      <c r="AT362" s="4164" t="n">
        <v>2102.86094</v>
      </c>
      <c r="AU362" s="4164" t="n">
        <v>1940.15548</v>
      </c>
      <c r="AV362" s="4164" t="n">
        <v>11660.51831</v>
      </c>
      <c r="AW362" s="4164" t="n">
        <v>13947.7446</v>
      </c>
      <c r="AX362" s="4164" t="n">
        <v>19766.14955</v>
      </c>
      <c r="AY362" s="4164" t="n">
        <v>21631.07853</v>
      </c>
      <c r="AZ362" s="4164">
        <f>SUM(AJ362:AU362)</f>
        <v/>
      </c>
      <c r="BA362" s="4065" t="n"/>
      <c r="CO362" s="4065" t="n"/>
      <c r="CR362" s="4164" t="n"/>
      <c r="CS362" s="4164" t="n"/>
      <c r="CT362" s="4164" t="n"/>
      <c r="CU362" s="4164" t="n"/>
      <c r="CV362" s="4164" t="n"/>
      <c r="CW362" s="4065" t="n"/>
      <c r="CX362" s="4164" t="n">
        <v>10827.09537</v>
      </c>
    </row>
    <row r="363" hidden="1" outlineLevel="1" ht="12" customFormat="1" customHeight="1" s="4065">
      <c r="A363" s="4066" t="n"/>
      <c r="B363" s="4067" t="n"/>
      <c r="C363" s="4065" t="inlineStr">
        <is>
          <t>Check</t>
        </is>
      </c>
      <c r="D363" s="4067" t="n"/>
      <c r="E363" s="4067" t="n"/>
      <c r="F363" s="4164">
        <f>F362-F358</f>
        <v/>
      </c>
      <c r="G363" s="4164">
        <f>G362-G358</f>
        <v/>
      </c>
      <c r="H363" s="4164">
        <f>H362-H358</f>
        <v/>
      </c>
      <c r="I363" s="4164">
        <f>I362-I358</f>
        <v/>
      </c>
      <c r="J363" s="4164">
        <f>J362-J358</f>
        <v/>
      </c>
      <c r="K363" s="4164">
        <f>K362-K358</f>
        <v/>
      </c>
      <c r="L363" s="4164">
        <f>L362-L358</f>
        <v/>
      </c>
      <c r="M363" s="4164">
        <f>M362-M358</f>
        <v/>
      </c>
      <c r="N363" s="4164">
        <f>N362-N358</f>
        <v/>
      </c>
      <c r="O363" s="4164">
        <f>O362-O358</f>
        <v/>
      </c>
      <c r="P363" s="4164">
        <f>P362-P358</f>
        <v/>
      </c>
      <c r="Q363" s="4164">
        <f>Q362-Q358</f>
        <v/>
      </c>
      <c r="R363" s="4164">
        <f>R362-R358</f>
        <v/>
      </c>
      <c r="S363" s="4164">
        <f>S362-S358</f>
        <v/>
      </c>
      <c r="T363" s="4164">
        <f>T362-T358</f>
        <v/>
      </c>
      <c r="U363" s="4164">
        <f>U362-U358</f>
        <v/>
      </c>
      <c r="V363" s="4164">
        <f>V362-V358</f>
        <v/>
      </c>
      <c r="W363" s="4164">
        <f>W362-W358</f>
        <v/>
      </c>
      <c r="X363" s="4164">
        <f>X362-X358</f>
        <v/>
      </c>
      <c r="Y363" s="4164">
        <f>Y362-Y358</f>
        <v/>
      </c>
      <c r="Z363" s="4164">
        <f>Z362-Z358</f>
        <v/>
      </c>
      <c r="AA363" s="4164">
        <f>AA362-AA358</f>
        <v/>
      </c>
      <c r="AB363" s="4164">
        <f>AB362-AB358</f>
        <v/>
      </c>
      <c r="AC363" s="4164">
        <f>AC362-AC358</f>
        <v/>
      </c>
      <c r="AD363" s="4164">
        <f>AD362-AD358</f>
        <v/>
      </c>
      <c r="AE363" s="4164">
        <f>AE362-AE358</f>
        <v/>
      </c>
      <c r="AF363" s="4164">
        <f>AF362-AF358</f>
        <v/>
      </c>
      <c r="AG363" s="4164">
        <f>AG362-AG358</f>
        <v/>
      </c>
      <c r="AH363" s="4164">
        <f>AH362-AH358</f>
        <v/>
      </c>
      <c r="AI363" s="4164">
        <f>AI362-AI358</f>
        <v/>
      </c>
      <c r="AJ363" s="4164">
        <f>AJ362-AJ358</f>
        <v/>
      </c>
      <c r="AK363" s="4164">
        <f>AK362-AK358</f>
        <v/>
      </c>
      <c r="AL363" s="4164">
        <f>AL362-AL358</f>
        <v/>
      </c>
      <c r="AM363" s="4164">
        <f>AM362-AM358</f>
        <v/>
      </c>
      <c r="AN363" s="4164">
        <f>AN362-AN358</f>
        <v/>
      </c>
      <c r="AO363" s="4164">
        <f>AO362-AO358</f>
        <v/>
      </c>
      <c r="AP363" s="4164">
        <f>AP362-AP358</f>
        <v/>
      </c>
      <c r="AQ363" s="4164">
        <f>AQ362-AQ358</f>
        <v/>
      </c>
      <c r="AR363" s="4164">
        <f>AR362-AR358</f>
        <v/>
      </c>
      <c r="AS363" s="4164">
        <f>AS362-AS358</f>
        <v/>
      </c>
      <c r="AT363" s="4164">
        <f>AT362-AT358</f>
        <v/>
      </c>
      <c r="AU363" s="4164">
        <f>AU362-AU358</f>
        <v/>
      </c>
      <c r="AV363" s="4164">
        <f>AV362-AV358</f>
        <v/>
      </c>
      <c r="AW363" s="4164">
        <f>AW362-AW358</f>
        <v/>
      </c>
      <c r="AX363" s="4164">
        <f>AX362-AX358</f>
        <v/>
      </c>
      <c r="AY363" s="4164">
        <f>AY362-AY358</f>
        <v/>
      </c>
      <c r="AZ363" s="4164">
        <f>AZ362-AZ358</f>
        <v/>
      </c>
      <c r="BA363" s="4065" t="n"/>
      <c r="BB363" s="4164" t="n"/>
      <c r="BC363" s="4164" t="n"/>
      <c r="BD363" s="4164" t="n"/>
      <c r="BE363" s="4164" t="n"/>
      <c r="BF363" s="4164" t="n"/>
      <c r="BG363" s="4164" t="n"/>
      <c r="BH363" s="4164" t="n"/>
      <c r="BI363" s="4164" t="n"/>
      <c r="BJ363" s="4164" t="n"/>
      <c r="BK363" s="4164" t="n"/>
      <c r="BL363" s="4164" t="n"/>
      <c r="BM363" s="4164" t="n"/>
      <c r="BN363" s="4164" t="n"/>
      <c r="BO363" s="4164" t="n"/>
      <c r="BP363" s="4164" t="n"/>
      <c r="BQ363" s="4164" t="n"/>
      <c r="BR363" s="4164" t="n"/>
      <c r="BS363" s="4164" t="n"/>
      <c r="BT363" s="4164" t="n"/>
      <c r="BU363" s="4164" t="n"/>
      <c r="BV363" s="4164" t="n"/>
      <c r="BW363" s="4164" t="n"/>
      <c r="BX363" s="4164" t="n"/>
      <c r="BY363" s="4164" t="n"/>
      <c r="BZ363" s="4164" t="n"/>
      <c r="CA363" s="4164" t="n"/>
      <c r="CB363" s="4164" t="n"/>
      <c r="CC363" s="4164" t="n"/>
      <c r="CD363" s="4164" t="n"/>
      <c r="CE363" s="4164" t="n"/>
      <c r="CF363" s="4164" t="n"/>
      <c r="CG363" s="4164" t="n"/>
      <c r="CH363" s="4164" t="n"/>
      <c r="CI363" s="4164" t="n"/>
      <c r="CJ363" s="4164" t="n"/>
      <c r="CK363" s="4164" t="n"/>
      <c r="CL363" s="4164" t="n"/>
      <c r="CM363" s="4164" t="n"/>
      <c r="CN363" s="4164" t="n"/>
      <c r="CO363" s="4164" t="n"/>
      <c r="CP363" s="4164" t="n"/>
      <c r="CQ363" s="4164" t="n"/>
      <c r="CR363" s="4164" t="n"/>
      <c r="CS363" s="4164" t="n"/>
      <c r="CT363" s="4164" t="n"/>
      <c r="CU363" s="4164" t="n"/>
      <c r="CV363" s="4164" t="n"/>
      <c r="CW363" s="4065" t="n"/>
      <c r="CX363" s="4164">
        <f>CX362-CX358</f>
        <v/>
      </c>
    </row>
    <row r="364" ht="12" customFormat="1" customHeight="1" s="3737">
      <c r="A364" s="4059" t="n"/>
      <c r="B364" s="4060" t="n"/>
      <c r="D364" s="4060" t="n"/>
      <c r="E364" s="4060" t="n"/>
      <c r="AS364" s="3737" t="n"/>
      <c r="BA364" s="3737" t="n"/>
      <c r="CO364" s="3737" t="n"/>
      <c r="CW364" s="3737" t="n"/>
      <c r="CX364" s="3737" t="n"/>
    </row>
    <row r="365" ht="12" customFormat="1" customHeight="1" s="3737">
      <c r="A365" s="4059" t="n"/>
      <c r="B365" s="4060" t="n"/>
      <c r="D365" s="4060" t="n"/>
      <c r="E365" s="4060" t="n"/>
      <c r="AS365" s="3737" t="n"/>
      <c r="BA365" s="3737" t="n"/>
      <c r="CO365" s="3737" t="n"/>
      <c r="CW365" s="3737" t="n"/>
      <c r="CX365" s="3737" t="n"/>
    </row>
    <row r="366" ht="12" customHeight="1" s="3710"/>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C283"/>
  <sheetViews>
    <sheetView showFormulas="0" showGridLines="0" showRowColHeaders="1" showZeros="1" rightToLeft="0" tabSelected="0" showOutlineSymbols="1" defaultGridColor="1" view="normal" topLeftCell="A1" colorId="64" zoomScale="100" zoomScaleNormal="100" zoomScalePageLayoutView="100" workbookViewId="0">
      <pane xSplit="5" ySplit="9" topLeftCell="AX94" activePane="bottomRight" state="frozen"/>
      <selection pane="topLeft" activeCell="A1" activeCellId="0" sqref="A1"/>
      <selection pane="topRight" activeCell="AX1" activeCellId="0" sqref="AX1"/>
      <selection pane="bottomLeft" activeCell="A94" activeCellId="0" sqref="A94"/>
      <selection pane="bottomRight" activeCell="A1" activeCellId="0" sqref="A1"/>
    </sheetView>
  </sheetViews>
  <sheetFormatPr baseColWidth="8" defaultColWidth="8.5703125" defaultRowHeight="11.25" customHeight="0" zeroHeight="0" outlineLevelRow="3"/>
  <cols>
    <col width="3.57" customWidth="1" style="4165" min="1" max="1"/>
    <col width="1.42" customWidth="1" style="3740" min="2" max="2"/>
    <col width="37.57" customWidth="1" style="3743" min="3" max="3"/>
    <col hidden="1" outlineLevel="2" width="6.29" customWidth="1" style="3902" min="4" max="4"/>
    <col hidden="1" outlineLevel="2" width="38.42" customWidth="1" style="3902" min="5" max="5"/>
    <col hidden="1" outlineLevel="1" collapsed="1" width="7.57" customWidth="1" style="3743" min="6" max="6"/>
    <col hidden="1" outlineLevel="1" width="7.57" customWidth="1" style="3743" min="7" max="8"/>
    <col hidden="1" outlineLevel="1" width="7.42" customWidth="1" style="3743" min="9" max="9"/>
    <col hidden="1" outlineLevel="1" width="7.86" customWidth="1" style="3743" min="10" max="10"/>
    <col hidden="1" outlineLevel="1" width="7.57" customWidth="1" style="3743" min="11" max="11"/>
    <col hidden="1" outlineLevel="1" width="7.15" customWidth="1" style="3743" min="12" max="12"/>
    <col hidden="1" outlineLevel="1" width="7.86" customWidth="1" style="3743" min="13" max="13"/>
    <col hidden="1" outlineLevel="1" width="7.71" customWidth="1" style="3743" min="14" max="14"/>
    <col hidden="1" outlineLevel="1" width="7.42" customWidth="1" style="3743" min="15" max="15"/>
    <col hidden="1" outlineLevel="1" width="7.86" customWidth="1" style="3743" min="16" max="16"/>
    <col hidden="1" outlineLevel="1" width="7.71" customWidth="1" style="3743" min="17" max="17"/>
    <col hidden="1" outlineLevel="1" width="7.57" customWidth="1" style="3743" min="18" max="20"/>
    <col hidden="1" outlineLevel="1" width="7.42" customWidth="1" style="3743" min="21" max="21"/>
    <col hidden="1" outlineLevel="1" width="7.86" customWidth="1" style="3743" min="22" max="22"/>
    <col hidden="1" outlineLevel="1" width="7.57" customWidth="1" style="3743" min="23" max="23"/>
    <col hidden="1" outlineLevel="1" width="7.15" customWidth="1" style="3743" min="24" max="24"/>
    <col hidden="1" outlineLevel="1" width="7.86" customWidth="1" style="3743" min="25" max="25"/>
    <col hidden="1" outlineLevel="1" width="7.71" customWidth="1" style="3743" min="26" max="26"/>
    <col hidden="1" outlineLevel="1" width="7.42" customWidth="1" style="3743" min="27" max="27"/>
    <col hidden="1" outlineLevel="1" width="7.86" customWidth="1" style="3743" min="28" max="28"/>
    <col hidden="1" outlineLevel="1" width="7.71" customWidth="1" style="3743" min="29" max="29"/>
    <col hidden="1" outlineLevel="1" width="7.57" customWidth="1" style="3743" min="30" max="32"/>
    <col hidden="1" outlineLevel="1" width="7.42" customWidth="1" style="3743" min="33" max="33"/>
    <col hidden="1" outlineLevel="1" width="7.86" customWidth="1" style="3743" min="34" max="34"/>
    <col hidden="1" outlineLevel="1" width="7.57" customWidth="1" style="3743" min="35" max="35"/>
    <col hidden="1" outlineLevel="1" width="7.15" customWidth="1" style="3743" min="36" max="36"/>
    <col hidden="1" outlineLevel="1" width="7.86" customWidth="1" style="3743" min="37" max="37"/>
    <col hidden="1" outlineLevel="1" width="7.71" customWidth="1" style="3743" min="38" max="38"/>
    <col hidden="1" outlineLevel="1" width="7.42" customWidth="1" style="3743" min="39" max="39"/>
    <col hidden="1" outlineLevel="1" width="7.86" customWidth="1" style="3743" min="40" max="40"/>
    <col hidden="1" outlineLevel="1" width="7.71" customWidth="1" style="3743" min="41" max="41"/>
    <col hidden="1" outlineLevel="1" width="7.57" customWidth="1" style="3743" min="42" max="44"/>
    <col hidden="1" outlineLevel="1" width="7.42" customWidth="1" style="3743" min="45" max="45"/>
    <col hidden="1" outlineLevel="1" width="7.86" customWidth="1" style="3743" min="46" max="46"/>
    <col hidden="1" outlineLevel="1" width="7.57" customWidth="1" style="3743" min="47" max="47"/>
    <col width="8.15" customWidth="1" style="3743" min="48" max="50"/>
    <col hidden="1" outlineLevel="1" width="8.15" customWidth="1" style="3743" min="51" max="51"/>
    <col width="8.15" customWidth="1" style="3743" min="52" max="52"/>
    <col width="8.15" customWidth="1" style="3743" min="53" max="55"/>
    <col hidden="1" outlineLevel="1" width="8.15" customWidth="1" style="3743" min="56" max="56"/>
    <col width="8.15" customWidth="1" style="3743" min="57" max="57"/>
    <col width="1.57" customWidth="1" style="3743" min="58" max="58"/>
    <col hidden="1" outlineLevel="1" width="7.71" customWidth="1" style="3743" min="59" max="59"/>
    <col width="8.57" customWidth="1" style="3743" min="60" max="16384"/>
  </cols>
  <sheetData>
    <row r="1" ht="22.05" customHeight="1" s="3710">
      <c r="A1" s="4166" t="n"/>
      <c r="B1" s="4552" t="inlineStr">
        <is>
          <t>Project Name</t>
        </is>
      </c>
      <c r="D1" s="3743" t="n"/>
      <c r="E1" s="3743" t="n"/>
      <c r="M1" s="4168" t="n"/>
      <c r="N1" s="4169" t="n"/>
      <c r="O1" s="3743" t="n"/>
      <c r="P1" s="3743" t="n"/>
      <c r="Q1" s="3743" t="n"/>
      <c r="R1" s="3743" t="n"/>
    </row>
    <row r="2" ht="11.45" customHeight="1" s="3710">
      <c r="A2" s="4170" t="n"/>
      <c r="B2" s="4553">
        <f>C7</f>
        <v/>
      </c>
      <c r="D2" s="3743" t="n"/>
      <c r="E2" s="3743" t="n"/>
      <c r="M2" s="4168" t="n"/>
      <c r="N2" s="4169" t="n"/>
      <c r="T2" s="3743" t="n"/>
      <c r="X2" s="3743" t="n"/>
    </row>
    <row r="3" ht="11.25" customHeight="1" s="3710">
      <c r="A3" s="4170" t="n"/>
      <c r="B3" s="4554" t="inlineStr">
        <is>
          <t>Source: TBD</t>
        </is>
      </c>
      <c r="D3" s="3743" t="n"/>
      <c r="E3" s="3743" t="n"/>
      <c r="M3" s="4168" t="n"/>
      <c r="N3" s="4169" t="n"/>
      <c r="T3" s="3743" t="n"/>
      <c r="X3" s="3743" t="n"/>
    </row>
    <row r="4" ht="11.25" customHeight="1" s="3710">
      <c r="A4" s="4170" t="n"/>
      <c r="B4" s="4555" t="inlineStr">
        <is>
          <t>WORKING DRAFT</t>
        </is>
      </c>
      <c r="D4" s="3743" t="n"/>
      <c r="E4" s="3743" t="n"/>
      <c r="G4" s="3900" t="n"/>
      <c r="H4" s="3900" t="n"/>
      <c r="I4" s="3900" t="n"/>
      <c r="J4" s="3900" t="n"/>
      <c r="K4" s="3900" t="n"/>
      <c r="L4" s="3900" t="n"/>
      <c r="M4" s="3900" t="n"/>
      <c r="N4" s="3900" t="n"/>
      <c r="O4" s="3900" t="n"/>
      <c r="P4" s="3900" t="n"/>
      <c r="Q4" s="3900" t="n"/>
      <c r="R4" s="3900" t="n"/>
      <c r="S4" s="3900" t="n"/>
      <c r="T4" s="3900" t="n"/>
      <c r="U4" s="3900" t="n"/>
      <c r="V4" s="3900" t="n"/>
      <c r="W4" s="3900" t="n"/>
      <c r="X4" s="3900" t="n"/>
      <c r="Y4" s="3900" t="n"/>
      <c r="Z4" s="3900" t="n"/>
      <c r="AA4" s="3900" t="n"/>
      <c r="AB4" s="3900" t="n"/>
      <c r="AC4" s="3900" t="n"/>
      <c r="AD4" s="3900" t="n"/>
      <c r="AE4" s="3900" t="n"/>
      <c r="AF4" s="3900" t="n"/>
      <c r="AG4" s="3900" t="n"/>
      <c r="AH4" s="3900" t="n"/>
      <c r="AI4" s="3900" t="n"/>
      <c r="AJ4" s="3900" t="n"/>
      <c r="AK4" s="3900" t="n"/>
      <c r="AL4" s="3900" t="n"/>
      <c r="AM4" s="3900" t="n"/>
      <c r="AN4" s="3900" t="n"/>
      <c r="AO4" s="3900" t="n"/>
      <c r="AP4" s="3900" t="n"/>
      <c r="AQ4" s="3900" t="n"/>
      <c r="AR4" s="3900" t="n"/>
      <c r="AS4" s="3900" t="n"/>
      <c r="AT4" s="3900" t="n"/>
      <c r="AU4" s="3900" t="n"/>
    </row>
    <row r="5" ht="11.25" customHeight="1" s="3710">
      <c r="B5" s="4555" t="n"/>
      <c r="G5" s="3900" t="n"/>
      <c r="H5" s="3900" t="n"/>
      <c r="I5" s="3900" t="n"/>
      <c r="J5" s="3900" t="n"/>
      <c r="K5" s="3900" t="n"/>
      <c r="L5" s="3900" t="n"/>
      <c r="M5" s="3900" t="n"/>
      <c r="N5" s="3900" t="n"/>
      <c r="O5" s="3900" t="n"/>
      <c r="P5" s="3900" t="n"/>
      <c r="Q5" s="3900" t="n"/>
      <c r="R5" s="3900" t="n"/>
      <c r="S5" s="3900" t="n"/>
      <c r="T5" s="3900" t="n"/>
      <c r="U5" s="3900" t="n"/>
      <c r="V5" s="3900" t="n"/>
      <c r="W5" s="3900" t="n"/>
      <c r="X5" s="3900" t="n"/>
      <c r="Y5" s="3900" t="n"/>
      <c r="Z5" s="3900" t="n"/>
      <c r="AA5" s="3900" t="n"/>
      <c r="AB5" s="3900" t="n"/>
      <c r="AC5" s="3900" t="n"/>
      <c r="AD5" s="3900" t="n"/>
      <c r="AE5" s="3900" t="n"/>
      <c r="AF5" s="3900" t="n"/>
      <c r="AG5" s="3900" t="n"/>
      <c r="AH5" s="3900" t="n"/>
      <c r="AI5" s="3900" t="n"/>
      <c r="AJ5" s="3900" t="n"/>
      <c r="AK5" s="3900" t="n"/>
      <c r="AL5" s="3900" t="n"/>
      <c r="AM5" s="3900" t="n"/>
      <c r="AN5" s="3900" t="n"/>
      <c r="AO5" s="3900" t="n"/>
      <c r="AP5" s="3900" t="n"/>
      <c r="AQ5" s="3900" t="n"/>
      <c r="AR5" s="3900" t="n"/>
      <c r="AS5" s="3900" t="n"/>
      <c r="AT5" s="3900" t="n"/>
      <c r="AU5" s="3900" t="n"/>
    </row>
    <row r="6" ht="11.25" customHeight="1" s="3710">
      <c r="B6" s="4555" t="n"/>
      <c r="C6" s="4173" t="n"/>
      <c r="F6" s="3900" t="n"/>
      <c r="G6" s="3900" t="n"/>
      <c r="H6" s="3900" t="n"/>
      <c r="I6" s="3900" t="n"/>
      <c r="J6" s="3900" t="n"/>
      <c r="K6" s="3900" t="n"/>
      <c r="L6" s="3900" t="n"/>
      <c r="M6" s="3900" t="n"/>
      <c r="N6" s="3900" t="n"/>
      <c r="O6" s="3900" t="n"/>
      <c r="P6" s="3900" t="n"/>
      <c r="Q6" s="3900" t="n"/>
      <c r="R6" s="3900" t="n"/>
      <c r="S6" s="3900" t="n"/>
      <c r="T6" s="3900" t="n"/>
      <c r="U6" s="3900" t="n"/>
      <c r="V6" s="3900" t="n"/>
      <c r="W6" s="3900" t="n"/>
      <c r="X6" s="3900" t="n"/>
      <c r="Y6" s="3900" t="n"/>
      <c r="Z6" s="3900" t="n"/>
      <c r="AA6" s="3900" t="n"/>
      <c r="AB6" s="3900" t="n"/>
      <c r="AC6" s="3900" t="n"/>
      <c r="AD6" s="3900" t="n"/>
      <c r="AE6" s="3900" t="n"/>
      <c r="AF6" s="3900" t="n"/>
      <c r="AG6" s="3900" t="n"/>
      <c r="AH6" s="3900" t="n"/>
      <c r="AI6" s="3900" t="n"/>
      <c r="AJ6" s="3900" t="n"/>
      <c r="AK6" s="3900" t="n"/>
      <c r="AL6" s="3900" t="n"/>
      <c r="AM6" s="3900" t="n"/>
      <c r="AN6" s="3900" t="n"/>
      <c r="AO6" s="3900" t="n"/>
      <c r="AP6" s="3900" t="n"/>
      <c r="AQ6" s="3900" t="n"/>
      <c r="AR6" s="3900" t="n"/>
      <c r="AS6" s="3900" t="n"/>
      <c r="AT6" s="3900" t="n"/>
      <c r="AU6" s="3900" t="n"/>
      <c r="AW6" s="3900" t="n"/>
    </row>
    <row r="7" ht="19.5" customFormat="1" customHeight="1" s="3743">
      <c r="A7" s="4165" t="n"/>
      <c r="B7" s="4555" t="n"/>
      <c r="C7" s="4556" t="inlineStr">
        <is>
          <t>Balance sheet</t>
        </is>
      </c>
      <c r="D7" s="4556" t="n"/>
      <c r="E7" s="4556" t="n"/>
      <c r="F7" s="4556" t="n"/>
      <c r="G7" s="4556" t="n"/>
      <c r="H7" s="4556" t="n"/>
      <c r="I7" s="4556" t="n"/>
      <c r="J7" s="4556" t="n"/>
      <c r="K7" s="4556" t="n"/>
      <c r="L7" s="4556" t="n"/>
      <c r="M7" s="4556" t="n"/>
      <c r="N7" s="4556" t="n"/>
      <c r="O7" s="4556" t="n"/>
      <c r="P7" s="4556" t="n"/>
      <c r="Q7" s="4556" t="n"/>
      <c r="R7" s="4556" t="n"/>
      <c r="S7" s="4556" t="n"/>
      <c r="T7" s="4556" t="n"/>
      <c r="U7" s="4556" t="n"/>
      <c r="V7" s="4556" t="n"/>
      <c r="W7" s="4556" t="n"/>
      <c r="X7" s="4556" t="n"/>
      <c r="Y7" s="4556" t="n"/>
      <c r="Z7" s="4556" t="n"/>
      <c r="AA7" s="4556" t="n"/>
      <c r="AB7" s="4556" t="n"/>
      <c r="AC7" s="4556" t="n"/>
      <c r="AD7" s="4556" t="n"/>
      <c r="AE7" s="4556" t="n"/>
      <c r="AF7" s="4556" t="n"/>
      <c r="AG7" s="4556" t="n"/>
      <c r="AH7" s="4556" t="n"/>
      <c r="AI7" s="4556" t="n"/>
      <c r="AJ7" s="4556" t="n"/>
      <c r="AK7" s="4556" t="n"/>
      <c r="AL7" s="4556" t="n"/>
      <c r="AM7" s="4556" t="n"/>
      <c r="AN7" s="4556" t="n"/>
      <c r="AO7" s="4556" t="n"/>
      <c r="AP7" s="4556" t="n"/>
      <c r="AQ7" s="4556" t="n"/>
      <c r="AR7" s="4556" t="n"/>
      <c r="AS7" s="4556" t="n"/>
      <c r="AT7" s="4556" t="n"/>
      <c r="AU7" s="4556" t="n"/>
      <c r="AV7" s="4175" t="n"/>
      <c r="AW7" s="4175" t="n"/>
      <c r="AX7" s="4175" t="n"/>
      <c r="AY7" s="4556" t="n"/>
      <c r="AZ7" s="4556" t="n"/>
      <c r="BA7" s="4175" t="n"/>
      <c r="BB7" s="4175" t="n"/>
      <c r="BC7" s="4175" t="n"/>
      <c r="BD7" s="4175" t="n"/>
      <c r="BE7" s="4175" t="n"/>
      <c r="BF7" s="3743" t="n"/>
      <c r="BG7" s="4556" t="n"/>
    </row>
    <row r="8" ht="11.25" customHeight="1" s="3710">
      <c r="B8" s="4555" t="n"/>
      <c r="C8" s="4557" t="n"/>
      <c r="D8" s="4557" t="n"/>
      <c r="E8" s="4557" t="n"/>
      <c r="F8" s="4557" t="n"/>
      <c r="G8" s="4557" t="n"/>
      <c r="H8" s="4557" t="n"/>
      <c r="I8" s="4557" t="n"/>
      <c r="J8" s="4557" t="n"/>
      <c r="K8" s="4557" t="n"/>
      <c r="L8" s="4557" t="n"/>
      <c r="M8" s="4557" t="n"/>
      <c r="N8" s="4557" t="n"/>
      <c r="O8" s="4557" t="n"/>
      <c r="P8" s="4557" t="n"/>
      <c r="Q8" s="4177" t="n"/>
      <c r="R8" s="4557" t="n"/>
      <c r="S8" s="4557" t="n"/>
      <c r="T8" s="4557" t="n"/>
      <c r="U8" s="4557" t="n"/>
      <c r="V8" s="4557" t="n"/>
      <c r="W8" s="4557" t="n"/>
      <c r="X8" s="4557" t="n"/>
      <c r="Y8" s="4557" t="n"/>
      <c r="Z8" s="4557" t="n"/>
      <c r="AA8" s="4557" t="n"/>
      <c r="AB8" s="4557" t="n"/>
      <c r="AC8" s="4177" t="n"/>
      <c r="AD8" s="4557" t="n"/>
      <c r="AE8" s="4557" t="n"/>
      <c r="AF8" s="4557" t="n"/>
      <c r="AG8" s="4557" t="n"/>
      <c r="AH8" s="4557" t="n"/>
      <c r="AI8" s="4557" t="n"/>
      <c r="AJ8" s="4557" t="n"/>
      <c r="AK8" s="4557" t="n"/>
      <c r="AL8" s="4557" t="n"/>
      <c r="AM8" s="4557" t="n"/>
      <c r="AN8" s="4557" t="n"/>
      <c r="AO8" s="4177" t="n"/>
      <c r="AP8" s="4557" t="n"/>
      <c r="AQ8" s="4557" t="n"/>
      <c r="AR8" s="4557" t="n"/>
      <c r="AS8" s="4557" t="n"/>
      <c r="AT8" s="4557" t="n"/>
      <c r="AU8" s="4177" t="n"/>
      <c r="AV8" s="4178" t="inlineStr">
        <is>
          <t>As at</t>
        </is>
      </c>
      <c r="AW8" s="4179" t="n"/>
      <c r="AX8" s="4180" t="n"/>
      <c r="AY8" s="4181" t="n"/>
      <c r="AZ8" s="4181" t="n"/>
      <c r="BA8" s="4182" t="inlineStr">
        <is>
          <t>Average</t>
        </is>
      </c>
      <c r="BB8" s="4183" t="n"/>
      <c r="BC8" s="4184" t="n"/>
      <c r="BD8" s="4184" t="n"/>
      <c r="BE8" s="4185" t="n"/>
      <c r="BG8" s="4557" t="n"/>
    </row>
    <row r="9" ht="12" customFormat="1" customHeight="1" s="3743">
      <c r="A9" s="4165" t="n"/>
      <c r="B9" s="3753" t="n"/>
      <c r="C9" s="4557" t="inlineStr">
        <is>
          <t>$'000</t>
        </is>
      </c>
      <c r="D9" s="4557" t="inlineStr">
        <is>
          <t>Code</t>
        </is>
      </c>
      <c r="E9" s="4557" t="inlineStr">
        <is>
          <t>Concatenate</t>
        </is>
      </c>
      <c r="F9" s="4186">
        <f>ctl_month_start</f>
        <v/>
      </c>
      <c r="G9" s="4186">
        <f>EDATE(ctl_month_start,1)</f>
        <v/>
      </c>
      <c r="H9" s="4186">
        <f>EDATE(ctl_month_start,2)</f>
        <v/>
      </c>
      <c r="I9" s="4186">
        <f>EDATE(ctl_month_start,3)</f>
        <v/>
      </c>
      <c r="J9" s="4186">
        <f>EDATE(ctl_month_start,4)</f>
        <v/>
      </c>
      <c r="K9" s="4186">
        <f>EDATE(ctl_month_start,5)</f>
        <v/>
      </c>
      <c r="L9" s="4186">
        <f>EDATE(ctl_month_start,6)</f>
        <v/>
      </c>
      <c r="M9" s="4186">
        <f>EDATE(ctl_month_start,7)</f>
        <v/>
      </c>
      <c r="N9" s="4186">
        <f>EDATE(ctl_month_start,8)</f>
        <v/>
      </c>
      <c r="O9" s="4186">
        <f>EDATE(ctl_month_start,9)</f>
        <v/>
      </c>
      <c r="P9" s="4186">
        <f>EDATE(ctl_month_start,10)</f>
        <v/>
      </c>
      <c r="Q9" s="4186">
        <f>EDATE(ctl_month_start,11)</f>
        <v/>
      </c>
      <c r="R9" s="4186">
        <f>EDATE(ctl_month_start,12)</f>
        <v/>
      </c>
      <c r="S9" s="4186">
        <f>EDATE(ctl_month_start,13)</f>
        <v/>
      </c>
      <c r="T9" s="4186">
        <f>EDATE(ctl_month_start,14)</f>
        <v/>
      </c>
      <c r="U9" s="4186">
        <f>EDATE(ctl_month_start,15)</f>
        <v/>
      </c>
      <c r="V9" s="4186">
        <f>EDATE(ctl_month_start,16)</f>
        <v/>
      </c>
      <c r="W9" s="4186">
        <f>EDATE(ctl_month_start,17)</f>
        <v/>
      </c>
      <c r="X9" s="4186">
        <f>EDATE(ctl_month_start,18)</f>
        <v/>
      </c>
      <c r="Y9" s="4186">
        <f>EDATE(ctl_month_start,19)</f>
        <v/>
      </c>
      <c r="Z9" s="4186">
        <f>EDATE(ctl_month_start,20)</f>
        <v/>
      </c>
      <c r="AA9" s="4186">
        <f>EDATE(ctl_month_start,21)</f>
        <v/>
      </c>
      <c r="AB9" s="4186">
        <f>EDATE(ctl_month_start,22)</f>
        <v/>
      </c>
      <c r="AC9" s="4186">
        <f>EDATE(ctl_month_start,23)</f>
        <v/>
      </c>
      <c r="AD9" s="4186">
        <f>EDATE(ctl_month_start,24)</f>
        <v/>
      </c>
      <c r="AE9" s="4186">
        <f>EDATE(ctl_month_start,25)</f>
        <v/>
      </c>
      <c r="AF9" s="4186">
        <f>EDATE(ctl_month_start,26)</f>
        <v/>
      </c>
      <c r="AG9" s="4186">
        <f>EDATE(ctl_month_start,27)</f>
        <v/>
      </c>
      <c r="AH9" s="4186">
        <f>EDATE(ctl_month_start,28)</f>
        <v/>
      </c>
      <c r="AI9" s="4186">
        <f>EDATE(ctl_month_start,29)</f>
        <v/>
      </c>
      <c r="AJ9" s="4186">
        <f>EDATE(ctl_month_start,30)</f>
        <v/>
      </c>
      <c r="AK9" s="4186">
        <f>EDATE(ctl_month_start,31)</f>
        <v/>
      </c>
      <c r="AL9" s="4186">
        <f>EDATE(ctl_month_start,32)</f>
        <v/>
      </c>
      <c r="AM9" s="4186">
        <f>EDATE(ctl_month_start,33)</f>
        <v/>
      </c>
      <c r="AN9" s="4186">
        <f>EDATE(ctl_month_start,34)</f>
        <v/>
      </c>
      <c r="AO9" s="4186">
        <f>EDATE(ctl_month_start,35)</f>
        <v/>
      </c>
      <c r="AP9" s="4186" t="n"/>
      <c r="AQ9" s="4186" t="n"/>
      <c r="AR9" s="4186" t="n"/>
      <c r="AS9" s="4186" t="n"/>
      <c r="AT9" s="4186" t="n"/>
      <c r="AU9" s="4187" t="n"/>
      <c r="AV9" s="4188" t="n"/>
      <c r="AW9" s="4189" t="n"/>
      <c r="AX9" s="4190" t="n"/>
      <c r="AY9" s="4191" t="n"/>
      <c r="AZ9" s="4191" t="n"/>
      <c r="BA9" s="4192" t="n"/>
      <c r="BB9" s="4193" t="n"/>
      <c r="BC9" s="4192" t="n"/>
      <c r="BD9" s="4194" t="n"/>
      <c r="BE9" s="4195" t="n"/>
      <c r="BF9" s="3743" t="n"/>
      <c r="BG9" s="4186" t="n"/>
    </row>
    <row r="10" ht="12" customHeight="1" s="3710">
      <c r="B10" s="3753" t="n"/>
      <c r="C10" s="4196" t="inlineStr">
        <is>
          <t>Assets</t>
        </is>
      </c>
      <c r="D10" s="3902" t="n"/>
      <c r="E10" s="3902" t="n"/>
      <c r="F10" s="3743" t="n"/>
      <c r="G10" s="3743" t="n"/>
      <c r="H10" s="3743" t="n"/>
      <c r="I10" s="3743" t="n"/>
      <c r="J10" s="3743" t="n"/>
      <c r="K10" s="3743" t="n"/>
      <c r="L10" s="3743" t="n"/>
      <c r="M10" s="3743" t="n"/>
      <c r="N10" s="3743" t="n"/>
      <c r="O10" s="3743" t="n"/>
      <c r="P10" s="3743" t="n"/>
      <c r="Q10" s="4197" t="n"/>
      <c r="R10" s="3743" t="n"/>
      <c r="S10" s="3743" t="n"/>
      <c r="T10" s="3743" t="n"/>
      <c r="U10" s="3743" t="n"/>
      <c r="V10" s="3743" t="n"/>
      <c r="W10" s="3743" t="n"/>
      <c r="X10" s="3743" t="n"/>
      <c r="Y10" s="3743" t="n"/>
      <c r="Z10" s="3743" t="n"/>
      <c r="AA10" s="3743" t="n"/>
      <c r="AB10" s="3743" t="n"/>
      <c r="AC10" s="4197" t="n"/>
      <c r="AD10" s="3743" t="n"/>
      <c r="AE10" s="3743" t="n"/>
      <c r="AF10" s="3743" t="n"/>
      <c r="AG10" s="3743" t="n"/>
      <c r="AH10" s="3743" t="n"/>
      <c r="AI10" s="3743" t="n"/>
      <c r="AJ10" s="3743" t="n"/>
      <c r="AK10" s="3743" t="n"/>
      <c r="AL10" s="3743" t="n"/>
      <c r="AM10" s="3743" t="n"/>
      <c r="AN10" s="3743" t="n"/>
      <c r="AO10" s="4197" t="n"/>
      <c r="AP10" s="3743" t="n"/>
      <c r="AQ10" s="3743" t="n"/>
      <c r="AR10" s="3743" t="n"/>
      <c r="AS10" s="3743" t="n"/>
      <c r="AT10" s="3743" t="n"/>
      <c r="AU10" s="4198" t="n"/>
      <c r="AV10" s="3743" t="n"/>
      <c r="AW10" s="3743" t="n"/>
      <c r="AX10" s="3743" t="n"/>
      <c r="AY10" s="3743" t="n"/>
      <c r="AZ10" s="3743" t="n"/>
      <c r="BA10" s="4199" t="n"/>
      <c r="BB10" s="3743" t="n"/>
      <c r="BC10" s="3743" t="n"/>
      <c r="BD10" s="3743" t="n"/>
      <c r="BE10" s="3743" t="n"/>
      <c r="BF10" s="3743" t="n"/>
      <c r="BG10" s="3743" t="n"/>
    </row>
    <row r="11" hidden="1" outlineLevel="2" ht="12" customHeight="1" s="3710">
      <c r="B11" s="3753" t="n"/>
      <c r="C11" s="4012" t="inlineStr">
        <is>
          <t>Cash-CAD - operating</t>
        </is>
      </c>
      <c r="D11" s="3902" t="n">
        <v>100210</v>
      </c>
      <c r="E11" s="3902" t="inlineStr">
        <is>
          <t>100210 - Cash-CAD - Operating</t>
        </is>
      </c>
      <c r="F11" s="3900" t="n"/>
      <c r="G11" s="3900" t="n"/>
      <c r="H11" s="3900" t="n"/>
      <c r="I11" s="3900" t="n"/>
      <c r="J11" s="3900" t="n"/>
      <c r="K11" s="3900" t="n"/>
      <c r="L11" s="3900" t="n"/>
      <c r="M11" s="3900" t="n"/>
      <c r="N11" s="3900" t="n"/>
      <c r="O11" s="3900" t="n"/>
      <c r="P11" s="3900" t="n"/>
      <c r="Q11" s="4200" t="n"/>
      <c r="R11" s="3900" t="n"/>
      <c r="S11" s="3900" t="n"/>
      <c r="T11" s="3900" t="n"/>
      <c r="U11" s="3900" t="n"/>
      <c r="V11" s="3900" t="n"/>
      <c r="W11" s="3900" t="n"/>
      <c r="X11" s="3900" t="n"/>
      <c r="Y11" s="3900" t="n"/>
      <c r="Z11" s="3900" t="n"/>
      <c r="AA11" s="3900" t="n"/>
      <c r="AB11" s="3900" t="n"/>
      <c r="AC11" s="4200" t="n"/>
      <c r="AD11" s="3900" t="n"/>
      <c r="AE11" s="3900" t="n"/>
      <c r="AF11" s="3900" t="n"/>
      <c r="AG11" s="3900" t="n"/>
      <c r="AH11" s="3900" t="n"/>
      <c r="AI11" s="3900" t="n"/>
      <c r="AJ11" s="3900" t="n"/>
      <c r="AK11" s="3900" t="n"/>
      <c r="AL11" s="3900" t="n"/>
      <c r="AM11" s="3900" t="n"/>
      <c r="AN11" s="3900" t="n"/>
      <c r="AO11" s="4200" t="n"/>
      <c r="AP11" s="3900" t="n">
        <v>13156.221</v>
      </c>
      <c r="AQ11" s="3900" t="n">
        <v>6914.205</v>
      </c>
      <c r="AR11" s="3900" t="n">
        <v>6163.993</v>
      </c>
      <c r="AS11" s="3900" t="n">
        <v>8149.643</v>
      </c>
      <c r="AT11" s="3900" t="n">
        <v>7522.45719</v>
      </c>
      <c r="AU11" s="4201" t="n">
        <v>11960.89184</v>
      </c>
      <c r="AV11" s="3900">
        <f>Q11</f>
        <v/>
      </c>
      <c r="AW11" s="3900">
        <f>AC11</f>
        <v/>
      </c>
      <c r="AX11" s="3900">
        <f>AO11</f>
        <v/>
      </c>
      <c r="AY11" s="3900">
        <f>AS11</f>
        <v/>
      </c>
      <c r="AZ11" s="3900">
        <f>AU11</f>
        <v/>
      </c>
      <c r="BA11" s="4202">
        <f>AVERAGE(F11:Q11)</f>
        <v/>
      </c>
      <c r="BB11" s="3900">
        <f>AVERAGE(R11:AC11)</f>
        <v/>
      </c>
      <c r="BC11" s="3900">
        <f>AVERAGE(AD11:AO11)</f>
        <v/>
      </c>
      <c r="BD11" s="3900">
        <f>AVERAGE(AH11:AS11)</f>
        <v/>
      </c>
      <c r="BE11" s="3900">
        <f>AVERAGE(AJ11:AU11)</f>
        <v/>
      </c>
      <c r="BF11" s="3743" t="n"/>
      <c r="BG11" s="3900" t="n">
        <v>12220.529</v>
      </c>
    </row>
    <row r="12" hidden="1" outlineLevel="2" ht="12" customHeight="1" s="3710">
      <c r="B12" s="4555" t="n"/>
      <c r="C12" s="4012" t="inlineStr">
        <is>
          <t>Cash - operating CAD</t>
        </is>
      </c>
      <c r="D12" s="3902" t="n">
        <v>100215</v>
      </c>
      <c r="E12" s="3902" t="inlineStr">
        <is>
          <t>100215 - CASH - Operating CAD</t>
        </is>
      </c>
      <c r="F12" s="3900" t="n"/>
      <c r="G12" s="3900" t="n"/>
      <c r="H12" s="3900" t="n"/>
      <c r="I12" s="3900" t="n"/>
      <c r="J12" s="3900" t="n"/>
      <c r="K12" s="3900" t="n"/>
      <c r="L12" s="3900" t="n"/>
      <c r="M12" s="3900" t="n"/>
      <c r="N12" s="3900" t="n"/>
      <c r="O12" s="3900" t="n"/>
      <c r="P12" s="3900" t="n"/>
      <c r="Q12" s="4200" t="n"/>
      <c r="R12" s="3900" t="n"/>
      <c r="S12" s="3900" t="n"/>
      <c r="T12" s="3900" t="n"/>
      <c r="U12" s="3900" t="n"/>
      <c r="V12" s="3900" t="n"/>
      <c r="W12" s="3900" t="n"/>
      <c r="X12" s="3900" t="n"/>
      <c r="Y12" s="3900" t="n"/>
      <c r="Z12" s="3900" t="n"/>
      <c r="AA12" s="3900" t="n"/>
      <c r="AB12" s="3900" t="n"/>
      <c r="AC12" s="4200" t="n"/>
      <c r="AD12" s="3900" t="n"/>
      <c r="AE12" s="3900" t="n"/>
      <c r="AF12" s="3900" t="n"/>
      <c r="AG12" s="3900" t="n"/>
      <c r="AH12" s="3900" t="n"/>
      <c r="AI12" s="3900" t="n"/>
      <c r="AJ12" s="3900" t="n"/>
      <c r="AK12" s="3900" t="n"/>
      <c r="AL12" s="3900" t="n"/>
      <c r="AM12" s="3900" t="n"/>
      <c r="AN12" s="3900" t="n"/>
      <c r="AO12" s="4200" t="n"/>
      <c r="AP12" s="3900" t="n">
        <v>437.838</v>
      </c>
      <c r="AQ12" s="3900" t="n">
        <v>187.216</v>
      </c>
      <c r="AR12" s="3900" t="n">
        <v>131.674</v>
      </c>
      <c r="AS12" s="3900" t="n">
        <v>285.295</v>
      </c>
      <c r="AT12" s="3900" t="n">
        <v>246.89383</v>
      </c>
      <c r="AU12" s="4201" t="n">
        <v>46.82403</v>
      </c>
      <c r="AV12" s="3900">
        <f>Q12</f>
        <v/>
      </c>
      <c r="AW12" s="3900">
        <f>AC12</f>
        <v/>
      </c>
      <c r="AX12" s="3900">
        <f>AO12</f>
        <v/>
      </c>
      <c r="AY12" s="3900">
        <f>AS12</f>
        <v/>
      </c>
      <c r="AZ12" s="3900">
        <f>AU12</f>
        <v/>
      </c>
      <c r="BA12" s="4202">
        <f>AVERAGE(F12:Q12)</f>
        <v/>
      </c>
      <c r="BB12" s="3900">
        <f>AVERAGE(R12:AC12)</f>
        <v/>
      </c>
      <c r="BC12" s="3900">
        <f>AVERAGE(AD12:AO12)</f>
        <v/>
      </c>
      <c r="BD12" s="3900">
        <f>AVERAGE(AH12:AS12)</f>
        <v/>
      </c>
      <c r="BE12" s="3900">
        <f>AVERAGE(AJ12:AU12)</f>
        <v/>
      </c>
      <c r="BF12" s="3743" t="n"/>
      <c r="BG12" s="3900" t="n">
        <v>0</v>
      </c>
    </row>
    <row r="13" hidden="1" outlineLevel="2" ht="12" customHeight="1" s="3710">
      <c r="B13" s="3753" t="n"/>
      <c r="C13" s="4012" t="inlineStr">
        <is>
          <t>Cash USD - 079</t>
        </is>
      </c>
      <c r="D13" s="3902" t="n">
        <v>100416</v>
      </c>
      <c r="E13" s="3902" t="inlineStr">
        <is>
          <t>100416 - Cash USD - 079</t>
        </is>
      </c>
      <c r="F13" s="3900" t="n"/>
      <c r="G13" s="3900" t="n"/>
      <c r="H13" s="3900" t="n"/>
      <c r="I13" s="3900" t="n"/>
      <c r="J13" s="3900" t="n"/>
      <c r="K13" s="3900" t="n"/>
      <c r="L13" s="3900" t="n"/>
      <c r="M13" s="3900" t="n"/>
      <c r="N13" s="3900" t="n"/>
      <c r="O13" s="3900" t="n"/>
      <c r="P13" s="3900" t="n"/>
      <c r="Q13" s="4200" t="n"/>
      <c r="R13" s="3900" t="n"/>
      <c r="S13" s="3900" t="n"/>
      <c r="T13" s="3900" t="n"/>
      <c r="U13" s="3900" t="n"/>
      <c r="V13" s="3900" t="n"/>
      <c r="W13" s="3900" t="n"/>
      <c r="X13" s="3900" t="n"/>
      <c r="Y13" s="3900" t="n"/>
      <c r="Z13" s="3900" t="n"/>
      <c r="AA13" s="3900" t="n"/>
      <c r="AB13" s="3900" t="n"/>
      <c r="AC13" s="4200" t="n"/>
      <c r="AD13" s="3900" t="n"/>
      <c r="AE13" s="3900" t="n"/>
      <c r="AF13" s="3900" t="n"/>
      <c r="AG13" s="3900" t="n"/>
      <c r="AH13" s="3900" t="n"/>
      <c r="AI13" s="3900" t="n"/>
      <c r="AJ13" s="3900" t="n"/>
      <c r="AK13" s="3900" t="n"/>
      <c r="AL13" s="3900" t="n"/>
      <c r="AM13" s="3900" t="n"/>
      <c r="AN13" s="3900" t="n"/>
      <c r="AO13" s="4200" t="n"/>
      <c r="AP13" s="3900" t="n">
        <v>212.855</v>
      </c>
      <c r="AQ13" s="3900" t="n">
        <v>8.819000000000001</v>
      </c>
      <c r="AR13" s="3900" t="n">
        <v>273.321</v>
      </c>
      <c r="AS13" s="3900" t="n">
        <v>277.491</v>
      </c>
      <c r="AT13" s="3900" t="n">
        <v>19.16881</v>
      </c>
      <c r="AU13" s="4201" t="n">
        <v>306.60843</v>
      </c>
      <c r="AV13" s="3900">
        <f>Q13</f>
        <v/>
      </c>
      <c r="AW13" s="3900">
        <f>AC13</f>
        <v/>
      </c>
      <c r="AX13" s="3900">
        <f>AO13</f>
        <v/>
      </c>
      <c r="AY13" s="3900">
        <f>AS13</f>
        <v/>
      </c>
      <c r="AZ13" s="3900">
        <f>AU13</f>
        <v/>
      </c>
      <c r="BA13" s="4202">
        <f>AVERAGE(F13:Q13)</f>
        <v/>
      </c>
      <c r="BB13" s="3900">
        <f>AVERAGE(R13:AC13)</f>
        <v/>
      </c>
      <c r="BC13" s="3900">
        <f>AVERAGE(AD13:AO13)</f>
        <v/>
      </c>
      <c r="BD13" s="3900">
        <f>AVERAGE(AH13:AS13)</f>
        <v/>
      </c>
      <c r="BE13" s="3900">
        <f>AVERAGE(AJ13:AU13)</f>
        <v/>
      </c>
      <c r="BF13" s="3743" t="n"/>
      <c r="BG13" s="3900" t="n">
        <v>390.447</v>
      </c>
    </row>
    <row r="14" hidden="1" outlineLevel="2" ht="12" customHeight="1" s="3710">
      <c r="B14" s="3753" t="n"/>
      <c r="C14" s="4012" t="inlineStr">
        <is>
          <t>Cash USD - BMO harris 137</t>
        </is>
      </c>
      <c r="D14" s="3902" t="n">
        <v>100417</v>
      </c>
      <c r="E14" s="3902" t="inlineStr">
        <is>
          <t>100417 - Cash USD - BMO Harris 137</t>
        </is>
      </c>
      <c r="F14" s="3900" t="n"/>
      <c r="G14" s="3900" t="n"/>
      <c r="H14" s="3900" t="n"/>
      <c r="I14" s="3900" t="n"/>
      <c r="J14" s="3900" t="n"/>
      <c r="K14" s="3900" t="n"/>
      <c r="L14" s="3900" t="n"/>
      <c r="M14" s="3900" t="n"/>
      <c r="N14" s="3900" t="n"/>
      <c r="O14" s="3900" t="n"/>
      <c r="P14" s="3900" t="n"/>
      <c r="Q14" s="4200" t="n"/>
      <c r="R14" s="3900" t="n"/>
      <c r="S14" s="3900" t="n"/>
      <c r="T14" s="3900" t="n"/>
      <c r="U14" s="3900" t="n"/>
      <c r="V14" s="3900" t="n"/>
      <c r="W14" s="3900" t="n"/>
      <c r="X14" s="3900" t="n"/>
      <c r="Y14" s="3900" t="n"/>
      <c r="Z14" s="3900" t="n"/>
      <c r="AA14" s="3900" t="n"/>
      <c r="AB14" s="3900" t="n"/>
      <c r="AC14" s="4200" t="n"/>
      <c r="AD14" s="3900" t="n"/>
      <c r="AE14" s="3900" t="n"/>
      <c r="AF14" s="3900" t="n"/>
      <c r="AG14" s="3900" t="n"/>
      <c r="AH14" s="3900" t="n"/>
      <c r="AI14" s="3900" t="n"/>
      <c r="AJ14" s="3900" t="n"/>
      <c r="AK14" s="3900" t="n"/>
      <c r="AL14" s="3900" t="n"/>
      <c r="AM14" s="3900" t="n"/>
      <c r="AN14" s="3900" t="n"/>
      <c r="AO14" s="4200" t="n"/>
      <c r="AP14" s="3900" t="n">
        <v>41.355</v>
      </c>
      <c r="AQ14" s="3900" t="n">
        <v>329.688</v>
      </c>
      <c r="AR14" s="3900" t="n">
        <v>75.617</v>
      </c>
      <c r="AS14" s="3900" t="n">
        <v>206.174</v>
      </c>
      <c r="AT14" s="3900" t="n">
        <v>304.29252</v>
      </c>
      <c r="AU14" s="4201" t="n">
        <v>114.4629</v>
      </c>
      <c r="AV14" s="3900">
        <f>Q14</f>
        <v/>
      </c>
      <c r="AW14" s="3900">
        <f>AC14</f>
        <v/>
      </c>
      <c r="AX14" s="3900">
        <f>AO14</f>
        <v/>
      </c>
      <c r="AY14" s="3900">
        <f>AS14</f>
        <v/>
      </c>
      <c r="AZ14" s="3900">
        <f>AU14</f>
        <v/>
      </c>
      <c r="BA14" s="4202">
        <f>AVERAGE(F14:Q14)</f>
        <v/>
      </c>
      <c r="BB14" s="3900">
        <f>AVERAGE(R14:AC14)</f>
        <v/>
      </c>
      <c r="BC14" s="3900">
        <f>AVERAGE(AD14:AO14)</f>
        <v/>
      </c>
      <c r="BD14" s="3900">
        <f>AVERAGE(AH14:AS14)</f>
        <v/>
      </c>
      <c r="BE14" s="3900">
        <f>AVERAGE(AJ14:AU14)</f>
        <v/>
      </c>
      <c r="BF14" s="3743" t="n"/>
      <c r="BG14" s="3900" t="n">
        <v>178.012</v>
      </c>
    </row>
    <row r="15" hidden="1" outlineLevel="2" ht="12" customHeight="1" s="3710">
      <c r="B15" s="3891" t="n"/>
      <c r="C15" s="4203" t="inlineStr">
        <is>
          <t>Cash CAD - 095</t>
        </is>
      </c>
      <c r="D15" s="4204" t="n">
        <v>100211</v>
      </c>
      <c r="E15" s="4204" t="inlineStr">
        <is>
          <t>100211 - Cash CAD - 095</t>
        </is>
      </c>
      <c r="F15" s="4205" t="n"/>
      <c r="G15" s="4205" t="n"/>
      <c r="H15" s="4205" t="n"/>
      <c r="I15" s="4205" t="n"/>
      <c r="J15" s="4205" t="n"/>
      <c r="K15" s="4205" t="n"/>
      <c r="L15" s="4205" t="n"/>
      <c r="M15" s="4205" t="n"/>
      <c r="N15" s="4205" t="n"/>
      <c r="O15" s="4205" t="n"/>
      <c r="P15" s="4205" t="n"/>
      <c r="Q15" s="4206" t="n"/>
      <c r="R15" s="4205" t="n"/>
      <c r="S15" s="4205" t="n"/>
      <c r="T15" s="4205" t="n"/>
      <c r="U15" s="4205" t="n"/>
      <c r="V15" s="4205" t="n"/>
      <c r="W15" s="4205" t="n"/>
      <c r="X15" s="4205" t="n"/>
      <c r="Y15" s="4205" t="n"/>
      <c r="Z15" s="4205" t="n"/>
      <c r="AA15" s="4205" t="n"/>
      <c r="AB15" s="4205" t="n"/>
      <c r="AC15" s="4206" t="n"/>
      <c r="AD15" s="4205" t="n"/>
      <c r="AE15" s="4205" t="n"/>
      <c r="AF15" s="4205" t="n"/>
      <c r="AG15" s="4205" t="n"/>
      <c r="AH15" s="4205" t="n"/>
      <c r="AI15" s="4205" t="n"/>
      <c r="AJ15" s="4205" t="n"/>
      <c r="AK15" s="4205" t="n"/>
      <c r="AL15" s="4205" t="n"/>
      <c r="AM15" s="4205" t="n"/>
      <c r="AN15" s="4205" t="n"/>
      <c r="AO15" s="4206" t="n"/>
      <c r="AP15" s="4205" t="n">
        <v>15.981</v>
      </c>
      <c r="AQ15" s="4205" t="n">
        <v>11.6</v>
      </c>
      <c r="AR15" s="4205" t="n">
        <v>12.58</v>
      </c>
      <c r="AS15" s="4205" t="n">
        <v>5.686</v>
      </c>
      <c r="AT15" s="4205" t="n">
        <v>10.55675</v>
      </c>
      <c r="AU15" s="4207" t="n">
        <v>13.90124</v>
      </c>
      <c r="AV15" s="4205">
        <f>Q15</f>
        <v/>
      </c>
      <c r="AW15" s="4205">
        <f>AC15</f>
        <v/>
      </c>
      <c r="AX15" s="4205">
        <f>AO15</f>
        <v/>
      </c>
      <c r="AY15" s="4205">
        <f>AS15</f>
        <v/>
      </c>
      <c r="AZ15" s="4205">
        <f>AU15</f>
        <v/>
      </c>
      <c r="BA15" s="4208">
        <f>AVERAGE(F15:Q15)</f>
        <v/>
      </c>
      <c r="BB15" s="4205">
        <f>AVERAGE(R15:AC15)</f>
        <v/>
      </c>
      <c r="BC15" s="4205">
        <f>AVERAGE(AD15:AO15)</f>
        <v/>
      </c>
      <c r="BD15" s="4205">
        <f>AVERAGE(AH15:AS15)</f>
        <v/>
      </c>
      <c r="BE15" s="4205">
        <f>AVERAGE(AJ15:AU15)</f>
        <v/>
      </c>
      <c r="BF15" s="3743" t="n"/>
      <c r="BG15" s="4205" t="n">
        <v>6.858</v>
      </c>
    </row>
    <row r="16" hidden="1" outlineLevel="1" collapsed="1" ht="12" customHeight="1" s="3710">
      <c r="B16" s="3903" t="n"/>
      <c r="C16" s="4017" t="inlineStr">
        <is>
          <t xml:space="preserve">Cash and cash equivalents </t>
        </is>
      </c>
      <c r="D16" s="3902" t="n"/>
      <c r="E16" s="3902" t="n"/>
      <c r="F16" s="3900" t="n"/>
      <c r="G16" s="3900" t="n"/>
      <c r="H16" s="3900" t="n"/>
      <c r="I16" s="3900" t="n"/>
      <c r="J16" s="3900" t="n"/>
      <c r="K16" s="3900" t="n"/>
      <c r="L16" s="3900" t="n"/>
      <c r="M16" s="3900" t="n"/>
      <c r="N16" s="3900" t="n"/>
      <c r="O16" s="3900" t="n"/>
      <c r="P16" s="3900" t="n"/>
      <c r="Q16" s="4200" t="n"/>
      <c r="R16" s="3900" t="n"/>
      <c r="S16" s="3900" t="n"/>
      <c r="T16" s="3900" t="n"/>
      <c r="U16" s="3900" t="n"/>
      <c r="V16" s="3900" t="n"/>
      <c r="W16" s="3900" t="n"/>
      <c r="X16" s="3900" t="n"/>
      <c r="Y16" s="3900" t="n"/>
      <c r="Z16" s="3900" t="n"/>
      <c r="AA16" s="3900" t="n"/>
      <c r="AB16" s="3900" t="n"/>
      <c r="AC16" s="4200" t="n"/>
      <c r="AD16" s="3900" t="n"/>
      <c r="AE16" s="3900" t="n"/>
      <c r="AF16" s="3900" t="n"/>
      <c r="AG16" s="3900" t="n"/>
      <c r="AH16" s="3900" t="n"/>
      <c r="AI16" s="3900" t="n"/>
      <c r="AJ16" s="3900" t="n"/>
      <c r="AK16" s="3900" t="n"/>
      <c r="AL16" s="3900" t="n"/>
      <c r="AM16" s="3900" t="n"/>
      <c r="AN16" s="3900" t="n"/>
      <c r="AO16" s="4200" t="n"/>
      <c r="AP16" s="3900">
        <f>SUM(AP11:AP15)</f>
        <v/>
      </c>
      <c r="AQ16" s="3900">
        <f>SUM(AQ11:AQ15)</f>
        <v/>
      </c>
      <c r="AR16" s="3900">
        <f>SUM(AR11:AR15)</f>
        <v/>
      </c>
      <c r="AS16" s="3900">
        <f>SUM(AS11:AS15)</f>
        <v/>
      </c>
      <c r="AT16" s="3900">
        <f>SUM(AT11:AT15)</f>
        <v/>
      </c>
      <c r="AU16" s="4201">
        <f>SUM(AU11:AU15)</f>
        <v/>
      </c>
      <c r="AV16" s="3900">
        <f>SUM(AV11:AV15)</f>
        <v/>
      </c>
      <c r="AW16" s="3900">
        <f>SUM(AW11:AW15)</f>
        <v/>
      </c>
      <c r="AX16" s="3900">
        <f>SUM(AX11:AX15)</f>
        <v/>
      </c>
      <c r="AY16" s="3900">
        <f>SUM(AY11:AY15)</f>
        <v/>
      </c>
      <c r="AZ16" s="3900">
        <f>SUM(AZ11:AZ15)</f>
        <v/>
      </c>
      <c r="BA16" s="4202">
        <f>SUM(BA11:BA15)</f>
        <v/>
      </c>
      <c r="BB16" s="3900">
        <f>SUM(BB11:BB15)</f>
        <v/>
      </c>
      <c r="BC16" s="3900">
        <f>SUM(BC11:BC15)</f>
        <v/>
      </c>
      <c r="BD16" s="3900">
        <f>SUM(BD11:BD15)</f>
        <v/>
      </c>
      <c r="BE16" s="3900">
        <f>SUM(BE11:BE15)</f>
        <v/>
      </c>
      <c r="BF16" s="3743" t="n"/>
      <c r="BG16" s="3900">
        <f>SUM(BG11:BG15)</f>
        <v/>
      </c>
    </row>
    <row r="17" hidden="1" outlineLevel="2" ht="12" customHeight="1" s="3710">
      <c r="B17" s="3891" t="n"/>
      <c r="C17" s="4012" t="inlineStr">
        <is>
          <t>Cash settlement - pos desjardin 147</t>
        </is>
      </c>
      <c r="D17" s="3902" t="n">
        <v>100370</v>
      </c>
      <c r="E17" s="3902" t="inlineStr">
        <is>
          <t>100370 - Cash Settlement - POS Desjardin 147</t>
        </is>
      </c>
      <c r="F17" s="3900" t="n"/>
      <c r="G17" s="3900" t="n"/>
      <c r="H17" s="3900" t="n"/>
      <c r="I17" s="3900" t="n"/>
      <c r="J17" s="3900" t="n"/>
      <c r="K17" s="3900" t="n"/>
      <c r="L17" s="3900" t="n"/>
      <c r="M17" s="3900" t="n"/>
      <c r="N17" s="3900" t="n"/>
      <c r="O17" s="3900" t="n"/>
      <c r="P17" s="3900" t="n"/>
      <c r="Q17" s="4200" t="n"/>
      <c r="R17" s="3900" t="n"/>
      <c r="S17" s="3900" t="n"/>
      <c r="T17" s="3900" t="n"/>
      <c r="U17" s="3900" t="n"/>
      <c r="V17" s="3900" t="n"/>
      <c r="W17" s="3900" t="n"/>
      <c r="X17" s="3900" t="n"/>
      <c r="Y17" s="3900" t="n"/>
      <c r="Z17" s="3900" t="n"/>
      <c r="AA17" s="3900" t="n"/>
      <c r="AB17" s="3900" t="n"/>
      <c r="AC17" s="4200" t="n"/>
      <c r="AD17" s="3900" t="n"/>
      <c r="AE17" s="3900" t="n"/>
      <c r="AF17" s="3900" t="n"/>
      <c r="AG17" s="3900" t="n"/>
      <c r="AH17" s="3900" t="n"/>
      <c r="AI17" s="3900" t="n"/>
      <c r="AJ17" s="3900" t="n"/>
      <c r="AK17" s="3900" t="n"/>
      <c r="AL17" s="3900" t="n"/>
      <c r="AM17" s="3900" t="n"/>
      <c r="AN17" s="3900" t="n"/>
      <c r="AO17" s="4200" t="n"/>
      <c r="AP17" s="3900" t="n">
        <v>20013.443</v>
      </c>
      <c r="AQ17" s="3900" t="n">
        <v>23209.703</v>
      </c>
      <c r="AR17" s="3900" t="n">
        <v>33328.156</v>
      </c>
      <c r="AS17" s="3900" t="n">
        <v>27168.531</v>
      </c>
      <c r="AT17" s="3900" t="n">
        <v>38601.27668</v>
      </c>
      <c r="AU17" s="4201" t="n">
        <v>43082.78861</v>
      </c>
      <c r="AV17" s="3900">
        <f>Q17</f>
        <v/>
      </c>
      <c r="AW17" s="3900">
        <f>AC17</f>
        <v/>
      </c>
      <c r="AX17" s="3900">
        <f>AO17</f>
        <v/>
      </c>
      <c r="AY17" s="3900">
        <f>AS17</f>
        <v/>
      </c>
      <c r="AZ17" s="3900">
        <f>AU17</f>
        <v/>
      </c>
      <c r="BA17" s="4202">
        <f>AVERAGE(F17:Q17)</f>
        <v/>
      </c>
      <c r="BB17" s="3900">
        <f>AVERAGE(R17:AC17)</f>
        <v/>
      </c>
      <c r="BC17" s="3900">
        <f>AVERAGE(AD17:AO17)</f>
        <v/>
      </c>
      <c r="BD17" s="3900">
        <f>AVERAGE(AH17:AS17)</f>
        <v/>
      </c>
      <c r="BE17" s="3900">
        <f>AVERAGE(AJ17:AU17)</f>
        <v/>
      </c>
      <c r="BF17" s="3743" t="n"/>
      <c r="BG17" s="3900" t="n">
        <v>3594.054</v>
      </c>
    </row>
    <row r="18" hidden="1" outlineLevel="2" ht="12" customHeight="1" s="3710">
      <c r="B18" s="3891" t="n"/>
      <c r="C18" s="4012" t="inlineStr">
        <is>
          <t>Cash settlement scd desjardin 139</t>
        </is>
      </c>
      <c r="D18" s="3902" t="n">
        <v>100488</v>
      </c>
      <c r="E18" s="3902" t="inlineStr">
        <is>
          <t>100488 - Cash Settlement SCD Desjardin 139</t>
        </is>
      </c>
      <c r="F18" s="3900" t="n"/>
      <c r="G18" s="3900" t="n"/>
      <c r="H18" s="3900" t="n"/>
      <c r="I18" s="3900" t="n"/>
      <c r="J18" s="3900" t="n"/>
      <c r="K18" s="3900" t="n"/>
      <c r="L18" s="3900" t="n"/>
      <c r="M18" s="3900" t="n"/>
      <c r="N18" s="3900" t="n"/>
      <c r="O18" s="3900" t="n"/>
      <c r="P18" s="3900" t="n"/>
      <c r="Q18" s="4200" t="n"/>
      <c r="R18" s="3900" t="n"/>
      <c r="S18" s="3900" t="n"/>
      <c r="T18" s="3900" t="n"/>
      <c r="U18" s="3900" t="n"/>
      <c r="V18" s="3900" t="n"/>
      <c r="W18" s="3900" t="n"/>
      <c r="X18" s="3900" t="n"/>
      <c r="Y18" s="3900" t="n"/>
      <c r="Z18" s="3900" t="n"/>
      <c r="AA18" s="3900" t="n"/>
      <c r="AB18" s="3900" t="n"/>
      <c r="AC18" s="4200" t="n"/>
      <c r="AD18" s="3900" t="n"/>
      <c r="AE18" s="3900" t="n"/>
      <c r="AF18" s="3900" t="n"/>
      <c r="AG18" s="3900" t="n"/>
      <c r="AH18" s="3900" t="n"/>
      <c r="AI18" s="3900" t="n"/>
      <c r="AJ18" s="3900" t="n"/>
      <c r="AK18" s="3900" t="n"/>
      <c r="AL18" s="3900" t="n"/>
      <c r="AM18" s="3900" t="n"/>
      <c r="AN18" s="3900" t="n"/>
      <c r="AO18" s="4200" t="n"/>
      <c r="AP18" s="3900" t="n">
        <v>48.28</v>
      </c>
      <c r="AQ18" s="3900" t="n">
        <v>-871.374</v>
      </c>
      <c r="AR18" s="3900" t="n">
        <v>1075.313</v>
      </c>
      <c r="AS18" s="3900" t="n">
        <v>7857.143</v>
      </c>
      <c r="AT18" s="3900" t="n">
        <v>-1151.18364</v>
      </c>
      <c r="AU18" s="4201" t="n">
        <v>-1134.44381</v>
      </c>
      <c r="AV18" s="3900">
        <f>Q18</f>
        <v/>
      </c>
      <c r="AW18" s="3900">
        <f>AC18</f>
        <v/>
      </c>
      <c r="AX18" s="3900">
        <f>AO18</f>
        <v/>
      </c>
      <c r="AY18" s="3900">
        <f>AS18</f>
        <v/>
      </c>
      <c r="AZ18" s="3900">
        <f>AU18</f>
        <v/>
      </c>
      <c r="BA18" s="4202">
        <f>AVERAGE(F18:Q18)</f>
        <v/>
      </c>
      <c r="BB18" s="3900">
        <f>AVERAGE(R18:AC18)</f>
        <v/>
      </c>
      <c r="BC18" s="3900">
        <f>AVERAGE(AD18:AO18)</f>
        <v/>
      </c>
      <c r="BD18" s="3900">
        <f>AVERAGE(AH18:AS18)</f>
        <v/>
      </c>
      <c r="BE18" s="3900">
        <f>AVERAGE(AJ18:AU18)</f>
        <v/>
      </c>
      <c r="BF18" s="3743" t="n"/>
      <c r="BG18" s="3900" t="n">
        <v>2914.632</v>
      </c>
    </row>
    <row r="19" hidden="1" outlineLevel="2" ht="12" customHeight="1" s="3710">
      <c r="B19" s="3891" t="n"/>
      <c r="C19" s="4012" t="inlineStr">
        <is>
          <t>Icici bank settlement CAD6932- for visa debit</t>
        </is>
      </c>
      <c r="D19" s="3902" t="n">
        <v>100350</v>
      </c>
      <c r="E19" s="3902" t="inlineStr">
        <is>
          <t>100350 - ICICI Bank Settlement CAD6932- For Visa Debit</t>
        </is>
      </c>
      <c r="F19" s="3900" t="n"/>
      <c r="G19" s="3900" t="n"/>
      <c r="H19" s="3900" t="n"/>
      <c r="I19" s="3900" t="n"/>
      <c r="J19" s="3900" t="n"/>
      <c r="K19" s="3900" t="n"/>
      <c r="L19" s="3900" t="n"/>
      <c r="M19" s="3900" t="n"/>
      <c r="N19" s="3900" t="n"/>
      <c r="O19" s="3900" t="n"/>
      <c r="P19" s="3900" t="n"/>
      <c r="Q19" s="4200" t="n"/>
      <c r="R19" s="3900" t="n"/>
      <c r="S19" s="3900" t="n"/>
      <c r="T19" s="3900" t="n"/>
      <c r="U19" s="3900" t="n"/>
      <c r="V19" s="3900" t="n"/>
      <c r="W19" s="3900" t="n"/>
      <c r="X19" s="3900" t="n"/>
      <c r="Y19" s="3900" t="n"/>
      <c r="Z19" s="3900" t="n"/>
      <c r="AA19" s="3900" t="n"/>
      <c r="AB19" s="3900" t="n"/>
      <c r="AC19" s="4200" t="n"/>
      <c r="AD19" s="3900" t="n"/>
      <c r="AE19" s="3900" t="n"/>
      <c r="AF19" s="3900" t="n"/>
      <c r="AG19" s="3900" t="n"/>
      <c r="AH19" s="3900" t="n"/>
      <c r="AI19" s="3900" t="n"/>
      <c r="AJ19" s="3900" t="n"/>
      <c r="AK19" s="3900" t="n"/>
      <c r="AL19" s="3900" t="n"/>
      <c r="AM19" s="3900" t="n"/>
      <c r="AN19" s="3900" t="n"/>
      <c r="AO19" s="4200" t="n"/>
      <c r="AP19" s="3900" t="n">
        <v>538.144</v>
      </c>
      <c r="AQ19" s="3900" t="n">
        <v>558.7619999999999</v>
      </c>
      <c r="AR19" s="3900" t="n">
        <v>615.808</v>
      </c>
      <c r="AS19" s="3900" t="n">
        <v>660.633</v>
      </c>
      <c r="AT19" s="3900" t="n">
        <v>685.99913</v>
      </c>
      <c r="AU19" s="4201" t="n">
        <v>685.99913</v>
      </c>
      <c r="AV19" s="3900">
        <f>Q19</f>
        <v/>
      </c>
      <c r="AW19" s="3900">
        <f>AC19</f>
        <v/>
      </c>
      <c r="AX19" s="3900">
        <f>AO19</f>
        <v/>
      </c>
      <c r="AY19" s="3900">
        <f>AS19</f>
        <v/>
      </c>
      <c r="AZ19" s="3900">
        <f>AU19</f>
        <v/>
      </c>
      <c r="BA19" s="4202">
        <f>AVERAGE(F19:Q19)</f>
        <v/>
      </c>
      <c r="BB19" s="3900">
        <f>AVERAGE(R19:AC19)</f>
        <v/>
      </c>
      <c r="BC19" s="3900">
        <f>AVERAGE(AD19:AO19)</f>
        <v/>
      </c>
      <c r="BD19" s="3900">
        <f>AVERAGE(AH19:AS19)</f>
        <v/>
      </c>
      <c r="BE19" s="3900">
        <f>AVERAGE(AJ19:AU19)</f>
        <v/>
      </c>
      <c r="BF19" s="3743" t="n"/>
      <c r="BG19" s="3900" t="n">
        <v>0</v>
      </c>
    </row>
    <row r="20" hidden="1" outlineLevel="2" ht="12" customHeight="1" s="3710">
      <c r="B20" s="3891" t="n"/>
      <c r="C20" s="4012" t="inlineStr">
        <is>
          <t>Cash settlement e-transfer desj suspense 067</t>
        </is>
      </c>
      <c r="D20" s="3902" t="n">
        <v>100367</v>
      </c>
      <c r="E20" s="3902" t="inlineStr">
        <is>
          <t>100367 - Cash Settlement E-Transfer Desj Suspense 067</t>
        </is>
      </c>
      <c r="F20" s="3900" t="n"/>
      <c r="G20" s="3900" t="n"/>
      <c r="H20" s="3900" t="n"/>
      <c r="I20" s="3900" t="n"/>
      <c r="J20" s="3900" t="n"/>
      <c r="K20" s="3900" t="n"/>
      <c r="L20" s="3900" t="n"/>
      <c r="M20" s="3900" t="n"/>
      <c r="N20" s="3900" t="n"/>
      <c r="O20" s="3900" t="n"/>
      <c r="P20" s="3900" t="n"/>
      <c r="Q20" s="4200" t="n"/>
      <c r="R20" s="3900" t="n"/>
      <c r="S20" s="3900" t="n"/>
      <c r="T20" s="3900" t="n"/>
      <c r="U20" s="3900" t="n"/>
      <c r="V20" s="3900" t="n"/>
      <c r="W20" s="3900" t="n"/>
      <c r="X20" s="3900" t="n"/>
      <c r="Y20" s="3900" t="n"/>
      <c r="Z20" s="3900" t="n"/>
      <c r="AA20" s="3900" t="n"/>
      <c r="AB20" s="3900" t="n"/>
      <c r="AC20" s="4200" t="n"/>
      <c r="AD20" s="3900" t="n"/>
      <c r="AE20" s="3900" t="n"/>
      <c r="AF20" s="3900" t="n"/>
      <c r="AG20" s="3900" t="n"/>
      <c r="AH20" s="3900" t="n"/>
      <c r="AI20" s="3900" t="n"/>
      <c r="AJ20" s="3900" t="n"/>
      <c r="AK20" s="3900" t="n"/>
      <c r="AL20" s="3900" t="n"/>
      <c r="AM20" s="3900" t="n"/>
      <c r="AN20" s="3900" t="n"/>
      <c r="AO20" s="4200" t="n"/>
      <c r="AP20" s="3900" t="n">
        <v>62.262</v>
      </c>
      <c r="AQ20" s="3900" t="n">
        <v>71.18300000000001</v>
      </c>
      <c r="AR20" s="3900" t="n">
        <v>116.118</v>
      </c>
      <c r="AS20" s="3900" t="n">
        <v>69.60599999999999</v>
      </c>
      <c r="AT20" s="3900" t="n">
        <v>158.82134</v>
      </c>
      <c r="AU20" s="4201" t="n">
        <v>132.76535</v>
      </c>
      <c r="AV20" s="3900">
        <f>Q20</f>
        <v/>
      </c>
      <c r="AW20" s="3900">
        <f>AC20</f>
        <v/>
      </c>
      <c r="AX20" s="3900">
        <f>AO20</f>
        <v/>
      </c>
      <c r="AY20" s="3900">
        <f>AS20</f>
        <v/>
      </c>
      <c r="AZ20" s="3900">
        <f>AU20</f>
        <v/>
      </c>
      <c r="BA20" s="4202">
        <f>AVERAGE(F20:Q20)</f>
        <v/>
      </c>
      <c r="BB20" s="3900">
        <f>AVERAGE(R20:AC20)</f>
        <v/>
      </c>
      <c r="BC20" s="3900">
        <f>AVERAGE(AD20:AO20)</f>
        <v/>
      </c>
      <c r="BD20" s="3900">
        <f>AVERAGE(AH20:AS20)</f>
        <v/>
      </c>
      <c r="BE20" s="3900">
        <f>AVERAGE(AJ20:AU20)</f>
        <v/>
      </c>
      <c r="BF20" s="3743" t="n"/>
      <c r="BG20" s="3900" t="n">
        <v>0</v>
      </c>
    </row>
    <row r="21" hidden="1" outlineLevel="2" ht="12" customHeight="1" s="3710">
      <c r="B21" s="3891" t="n"/>
      <c r="C21" s="4012" t="inlineStr">
        <is>
          <t>Cash settlement 178</t>
        </is>
      </c>
      <c r="D21" s="3902" t="n">
        <v>100489</v>
      </c>
      <c r="E21" s="3902" t="inlineStr">
        <is>
          <t>100489 - Cash Settlement 178</t>
        </is>
      </c>
      <c r="F21" s="3900" t="n"/>
      <c r="G21" s="3900" t="n"/>
      <c r="H21" s="3900" t="n"/>
      <c r="I21" s="3900" t="n"/>
      <c r="J21" s="3900" t="n"/>
      <c r="K21" s="3900" t="n"/>
      <c r="L21" s="3900" t="n"/>
      <c r="M21" s="3900" t="n"/>
      <c r="N21" s="3900" t="n"/>
      <c r="O21" s="3900" t="n"/>
      <c r="P21" s="3900" t="n"/>
      <c r="Q21" s="4200" t="n"/>
      <c r="R21" s="3900" t="n"/>
      <c r="S21" s="3900" t="n"/>
      <c r="T21" s="3900" t="n"/>
      <c r="U21" s="3900" t="n"/>
      <c r="V21" s="3900" t="n"/>
      <c r="W21" s="3900" t="n"/>
      <c r="X21" s="3900" t="n"/>
      <c r="Y21" s="3900" t="n"/>
      <c r="Z21" s="3900" t="n"/>
      <c r="AA21" s="3900" t="n"/>
      <c r="AB21" s="3900" t="n"/>
      <c r="AC21" s="4200" t="n"/>
      <c r="AD21" s="3900" t="n"/>
      <c r="AE21" s="3900" t="n"/>
      <c r="AF21" s="3900" t="n"/>
      <c r="AG21" s="3900" t="n"/>
      <c r="AH21" s="3900" t="n"/>
      <c r="AI21" s="3900" t="n"/>
      <c r="AJ21" s="3900" t="n"/>
      <c r="AK21" s="3900" t="n"/>
      <c r="AL21" s="3900" t="n"/>
      <c r="AM21" s="3900" t="n"/>
      <c r="AN21" s="3900" t="n"/>
      <c r="AO21" s="4200" t="n"/>
      <c r="AP21" s="3900" t="n">
        <v>26.706</v>
      </c>
      <c r="AQ21" s="3900" t="n">
        <v>26.845</v>
      </c>
      <c r="AR21" s="3900" t="n">
        <v>25.794</v>
      </c>
      <c r="AS21" s="3900" t="n">
        <v>29.618</v>
      </c>
      <c r="AT21" s="3900" t="n">
        <v>-148.32566</v>
      </c>
      <c r="AU21" s="4201" t="n">
        <v>121.90942</v>
      </c>
      <c r="AV21" s="3900">
        <f>Q21</f>
        <v/>
      </c>
      <c r="AW21" s="3900">
        <f>AC21</f>
        <v/>
      </c>
      <c r="AX21" s="3900">
        <f>AO21</f>
        <v/>
      </c>
      <c r="AY21" s="3900">
        <f>AS21</f>
        <v/>
      </c>
      <c r="AZ21" s="3900">
        <f>AU21</f>
        <v/>
      </c>
      <c r="BA21" s="4202">
        <f>AVERAGE(F21:Q21)</f>
        <v/>
      </c>
      <c r="BB21" s="3900">
        <f>AVERAGE(R21:AC21)</f>
        <v/>
      </c>
      <c r="BC21" s="3900">
        <f>AVERAGE(AD21:AO21)</f>
        <v/>
      </c>
      <c r="BD21" s="3900">
        <f>AVERAGE(AH21:AS21)</f>
        <v/>
      </c>
      <c r="BE21" s="3900">
        <f>AVERAGE(AJ21:AU21)</f>
        <v/>
      </c>
      <c r="BF21" s="3743" t="n"/>
      <c r="BG21" s="3900" t="n">
        <v>32.511</v>
      </c>
    </row>
    <row r="22" hidden="1" outlineLevel="2" ht="12" customHeight="1" s="3710">
      <c r="B22" s="3891" t="n"/>
      <c r="C22" s="4012" t="inlineStr">
        <is>
          <t>Cash settlement - pos 10403- 1154</t>
        </is>
      </c>
      <c r="D22" s="3902" t="n">
        <v>100373</v>
      </c>
      <c r="E22" s="3902" t="inlineStr">
        <is>
          <t>TBD</t>
        </is>
      </c>
      <c r="F22" s="3900" t="n"/>
      <c r="G22" s="3900" t="n"/>
      <c r="H22" s="3900" t="n"/>
      <c r="I22" s="3900" t="n"/>
      <c r="J22" s="3900" t="n"/>
      <c r="K22" s="3900" t="n"/>
      <c r="L22" s="3900" t="n"/>
      <c r="M22" s="3900" t="n"/>
      <c r="N22" s="3900" t="n"/>
      <c r="O22" s="3900" t="n"/>
      <c r="P22" s="3900" t="n"/>
      <c r="Q22" s="4200" t="n"/>
      <c r="R22" s="3900" t="n"/>
      <c r="S22" s="3900" t="n"/>
      <c r="T22" s="3900" t="n"/>
      <c r="U22" s="3900" t="n"/>
      <c r="V22" s="3900" t="n"/>
      <c r="W22" s="3900" t="n"/>
      <c r="X22" s="3900" t="n"/>
      <c r="Y22" s="3900" t="n"/>
      <c r="Z22" s="3900" t="n"/>
      <c r="AA22" s="3900" t="n"/>
      <c r="AB22" s="3900" t="n"/>
      <c r="AC22" s="4200" t="n"/>
      <c r="AD22" s="3900" t="n"/>
      <c r="AE22" s="3900" t="n"/>
      <c r="AF22" s="3900" t="n"/>
      <c r="AG22" s="3900" t="n"/>
      <c r="AH22" s="3900" t="n"/>
      <c r="AI22" s="3900" t="n"/>
      <c r="AJ22" s="3900" t="n"/>
      <c r="AK22" s="3900" t="n"/>
      <c r="AL22" s="3900" t="n"/>
      <c r="AM22" s="3900" t="n"/>
      <c r="AN22" s="3900" t="n"/>
      <c r="AO22" s="4200" t="n"/>
      <c r="AP22" s="3900" t="n">
        <v>2.123</v>
      </c>
      <c r="AQ22" s="3900" t="n">
        <v>1.635</v>
      </c>
      <c r="AR22" s="3900" t="n">
        <v>2.445</v>
      </c>
      <c r="AS22" s="3900" t="n">
        <v>1.636</v>
      </c>
      <c r="AT22" s="3900" t="n">
        <v>2.63766</v>
      </c>
      <c r="AU22" s="4201" t="n">
        <v>2.3727</v>
      </c>
      <c r="AV22" s="3900">
        <f>Q22</f>
        <v/>
      </c>
      <c r="AW22" s="3900">
        <f>AC22</f>
        <v/>
      </c>
      <c r="AX22" s="3900">
        <f>AO22</f>
        <v/>
      </c>
      <c r="AY22" s="3900">
        <f>AS22</f>
        <v/>
      </c>
      <c r="AZ22" s="3900">
        <f>AU22</f>
        <v/>
      </c>
      <c r="BA22" s="4202">
        <f>AVERAGE(F22:Q22)</f>
        <v/>
      </c>
      <c r="BB22" s="3900">
        <f>AVERAGE(R22:AC22)</f>
        <v/>
      </c>
      <c r="BC22" s="3900">
        <f>AVERAGE(AD22:AO22)</f>
        <v/>
      </c>
      <c r="BD22" s="3900">
        <f>AVERAGE(AH22:AS22)</f>
        <v/>
      </c>
      <c r="BE22" s="3900">
        <f>AVERAGE(AJ22:AU22)</f>
        <v/>
      </c>
      <c r="BF22" s="3743" t="n"/>
      <c r="BG22" s="3900" t="n">
        <v>0</v>
      </c>
    </row>
    <row r="23" hidden="1" outlineLevel="2" ht="12" customHeight="1" s="3710">
      <c r="B23" s="3891" t="n"/>
      <c r="C23" s="4012" t="inlineStr">
        <is>
          <t>Cash settlement desj etransf 1162</t>
        </is>
      </c>
      <c r="D23" s="3902" t="n">
        <v>100380</v>
      </c>
      <c r="E23" s="3902" t="inlineStr">
        <is>
          <t>100380 - Cash Settlement Desj Etransf 1162</t>
        </is>
      </c>
      <c r="F23" s="3900" t="n"/>
      <c r="G23" s="3900" t="n"/>
      <c r="H23" s="3900" t="n"/>
      <c r="I23" s="3900" t="n"/>
      <c r="J23" s="3900" t="n"/>
      <c r="K23" s="3900" t="n"/>
      <c r="L23" s="3900" t="n"/>
      <c r="M23" s="3900" t="n"/>
      <c r="N23" s="3900" t="n"/>
      <c r="O23" s="3900" t="n"/>
      <c r="P23" s="3900" t="n"/>
      <c r="Q23" s="4200" t="n"/>
      <c r="R23" s="3900" t="n"/>
      <c r="S23" s="3900" t="n"/>
      <c r="T23" s="3900" t="n"/>
      <c r="U23" s="3900" t="n"/>
      <c r="V23" s="3900" t="n"/>
      <c r="W23" s="3900" t="n"/>
      <c r="X23" s="3900" t="n"/>
      <c r="Y23" s="3900" t="n"/>
      <c r="Z23" s="3900" t="n"/>
      <c r="AA23" s="3900" t="n"/>
      <c r="AB23" s="3900" t="n"/>
      <c r="AC23" s="4200" t="n"/>
      <c r="AD23" s="3900" t="n"/>
      <c r="AE23" s="3900" t="n"/>
      <c r="AF23" s="3900" t="n"/>
      <c r="AG23" s="3900" t="n"/>
      <c r="AH23" s="3900" t="n"/>
      <c r="AI23" s="3900" t="n"/>
      <c r="AJ23" s="3900" t="n"/>
      <c r="AK23" s="3900" t="n"/>
      <c r="AL23" s="3900" t="n"/>
      <c r="AM23" s="3900" t="n"/>
      <c r="AN23" s="3900" t="n"/>
      <c r="AO23" s="4200" t="n"/>
      <c r="AP23" s="3900" t="n">
        <v>0.015</v>
      </c>
      <c r="AQ23" s="3900" t="n">
        <v>0.015</v>
      </c>
      <c r="AR23" s="3900" t="n">
        <v>0.015</v>
      </c>
      <c r="AS23" s="3900" t="n">
        <v>0.015</v>
      </c>
      <c r="AT23" s="3900" t="n">
        <v>0.01483</v>
      </c>
      <c r="AU23" s="4201" t="n">
        <v>0.01483</v>
      </c>
      <c r="AV23" s="3900">
        <f>Q23</f>
        <v/>
      </c>
      <c r="AW23" s="3900">
        <f>AC23</f>
        <v/>
      </c>
      <c r="AX23" s="3900">
        <f>AO23</f>
        <v/>
      </c>
      <c r="AY23" s="3900">
        <f>AS23</f>
        <v/>
      </c>
      <c r="AZ23" s="3900">
        <f>AU23</f>
        <v/>
      </c>
      <c r="BA23" s="4202">
        <f>AVERAGE(F23:Q23)</f>
        <v/>
      </c>
      <c r="BB23" s="3900">
        <f>AVERAGE(R23:AC23)</f>
        <v/>
      </c>
      <c r="BC23" s="3900">
        <f>AVERAGE(AD23:AO23)</f>
        <v/>
      </c>
      <c r="BD23" s="3900">
        <f>AVERAGE(AH23:AS23)</f>
        <v/>
      </c>
      <c r="BE23" s="3900">
        <f>AVERAGE(AJ23:AU23)</f>
        <v/>
      </c>
      <c r="BF23" s="3743" t="n"/>
      <c r="BG23" s="3900" t="n">
        <v>0</v>
      </c>
    </row>
    <row r="24" hidden="1" outlineLevel="2" ht="12" customHeight="1" s="3710">
      <c r="B24" s="3891" t="n"/>
      <c r="C24" s="4012" t="inlineStr">
        <is>
          <t>Cash USD - settlement td bank, n.a 154</t>
        </is>
      </c>
      <c r="D24" s="3902" t="n">
        <v>100418</v>
      </c>
      <c r="E24" s="3902" t="inlineStr">
        <is>
          <t>100418 - Cash USD - Settlement TD Bank, N.A 154</t>
        </is>
      </c>
      <c r="F24" s="3900" t="n"/>
      <c r="G24" s="3900" t="n"/>
      <c r="H24" s="3900" t="n"/>
      <c r="I24" s="3900" t="n"/>
      <c r="J24" s="3900" t="n"/>
      <c r="K24" s="3900" t="n"/>
      <c r="L24" s="3900" t="n"/>
      <c r="M24" s="3900" t="n"/>
      <c r="N24" s="3900" t="n"/>
      <c r="O24" s="3900" t="n"/>
      <c r="P24" s="3900" t="n"/>
      <c r="Q24" s="4200" t="n"/>
      <c r="R24" s="3900" t="n"/>
      <c r="S24" s="3900" t="n"/>
      <c r="T24" s="3900" t="n"/>
      <c r="U24" s="3900" t="n"/>
      <c r="V24" s="3900" t="n"/>
      <c r="W24" s="3900" t="n"/>
      <c r="X24" s="3900" t="n"/>
      <c r="Y24" s="3900" t="n"/>
      <c r="Z24" s="3900" t="n"/>
      <c r="AA24" s="3900" t="n"/>
      <c r="AB24" s="3900" t="n"/>
      <c r="AC24" s="4200" t="n"/>
      <c r="AD24" s="3900" t="n"/>
      <c r="AE24" s="3900" t="n"/>
      <c r="AF24" s="3900" t="n"/>
      <c r="AG24" s="3900" t="n"/>
      <c r="AH24" s="3900" t="n"/>
      <c r="AI24" s="3900" t="n"/>
      <c r="AJ24" s="3900" t="n"/>
      <c r="AK24" s="3900" t="n"/>
      <c r="AL24" s="3900" t="n"/>
      <c r="AM24" s="3900" t="n"/>
      <c r="AN24" s="3900" t="n"/>
      <c r="AO24" s="4200" t="n"/>
      <c r="AP24" s="3900" t="n">
        <v>0</v>
      </c>
      <c r="AQ24" s="3900" t="n">
        <v>0</v>
      </c>
      <c r="AR24" s="3900" t="n">
        <v>0</v>
      </c>
      <c r="AS24" s="3900" t="n">
        <v>0</v>
      </c>
      <c r="AT24" s="3900" t="n">
        <v>0</v>
      </c>
      <c r="AU24" s="4201" t="n">
        <v>1e-05</v>
      </c>
      <c r="AV24" s="3900">
        <f>Q24</f>
        <v/>
      </c>
      <c r="AW24" s="3900">
        <f>AC24</f>
        <v/>
      </c>
      <c r="AX24" s="3900">
        <f>AO24</f>
        <v/>
      </c>
      <c r="AY24" s="3900">
        <f>AS24</f>
        <v/>
      </c>
      <c r="AZ24" s="3900">
        <f>AU24</f>
        <v/>
      </c>
      <c r="BA24" s="4202">
        <f>AVERAGE(F24:Q24)</f>
        <v/>
      </c>
      <c r="BB24" s="3900">
        <f>AVERAGE(R24:AC24)</f>
        <v/>
      </c>
      <c r="BC24" s="3900">
        <f>AVERAGE(AD24:AO24)</f>
        <v/>
      </c>
      <c r="BD24" s="3900">
        <f>AVERAGE(AH24:AS24)</f>
        <v/>
      </c>
      <c r="BE24" s="3900">
        <f>AVERAGE(AJ24:AU24)</f>
        <v/>
      </c>
      <c r="BF24" s="3743" t="n"/>
      <c r="BG24" s="3900" t="n">
        <v>0</v>
      </c>
    </row>
    <row r="25" hidden="1" outlineLevel="2" ht="12" customHeight="1" s="3710">
      <c r="B25" s="3891" t="n"/>
      <c r="C25" s="4203" t="inlineStr">
        <is>
          <t>Cash settlement e-transfer 059</t>
        </is>
      </c>
      <c r="D25" s="4204" t="n">
        <v>100359</v>
      </c>
      <c r="E25" s="4204" t="inlineStr">
        <is>
          <t>TBD</t>
        </is>
      </c>
      <c r="F25" s="4205" t="n"/>
      <c r="G25" s="4205" t="n"/>
      <c r="H25" s="4205" t="n"/>
      <c r="I25" s="4205" t="n"/>
      <c r="J25" s="4205" t="n"/>
      <c r="K25" s="4205" t="n"/>
      <c r="L25" s="4205" t="n"/>
      <c r="M25" s="4205" t="n"/>
      <c r="N25" s="4205" t="n"/>
      <c r="O25" s="4205" t="n"/>
      <c r="P25" s="4205" t="n"/>
      <c r="Q25" s="4206" t="n"/>
      <c r="R25" s="4205" t="n"/>
      <c r="S25" s="4205" t="n"/>
      <c r="T25" s="4205" t="n"/>
      <c r="U25" s="4205" t="n"/>
      <c r="V25" s="4205" t="n"/>
      <c r="W25" s="4205" t="n"/>
      <c r="X25" s="4205" t="n"/>
      <c r="Y25" s="4205" t="n"/>
      <c r="Z25" s="4205" t="n"/>
      <c r="AA25" s="4205" t="n"/>
      <c r="AB25" s="4205" t="n"/>
      <c r="AC25" s="4206" t="n"/>
      <c r="AD25" s="4205" t="n"/>
      <c r="AE25" s="4205" t="n"/>
      <c r="AF25" s="4205" t="n"/>
      <c r="AG25" s="4205" t="n"/>
      <c r="AH25" s="4205" t="n"/>
      <c r="AI25" s="4205" t="n"/>
      <c r="AJ25" s="4205" t="n"/>
      <c r="AK25" s="4205" t="n"/>
      <c r="AL25" s="4205" t="n"/>
      <c r="AM25" s="4205" t="n"/>
      <c r="AN25" s="4205" t="n"/>
      <c r="AO25" s="4206" t="n"/>
      <c r="AP25" s="4205" t="n">
        <v>0.549</v>
      </c>
      <c r="AQ25" s="4205" t="n">
        <v>0</v>
      </c>
      <c r="AR25" s="4205" t="n">
        <v>0</v>
      </c>
      <c r="AS25" s="4205" t="n">
        <v>0</v>
      </c>
      <c r="AT25" s="4205" t="n">
        <v>1e-05</v>
      </c>
      <c r="AU25" s="4207" t="n">
        <v>0</v>
      </c>
      <c r="AV25" s="4205">
        <f>Q25</f>
        <v/>
      </c>
      <c r="AW25" s="4205">
        <f>AC25</f>
        <v/>
      </c>
      <c r="AX25" s="4205">
        <f>AO25</f>
        <v/>
      </c>
      <c r="AY25" s="4205">
        <f>AS25</f>
        <v/>
      </c>
      <c r="AZ25" s="4205">
        <f>AU25</f>
        <v/>
      </c>
      <c r="BA25" s="4208">
        <f>AVERAGE(F25:Q25)</f>
        <v/>
      </c>
      <c r="BB25" s="4205">
        <f>AVERAGE(R25:AC25)</f>
        <v/>
      </c>
      <c r="BC25" s="4205">
        <f>AVERAGE(AD25:AO25)</f>
        <v/>
      </c>
      <c r="BD25" s="4205">
        <f>AVERAGE(AH25:AS25)</f>
        <v/>
      </c>
      <c r="BE25" s="4205">
        <f>AVERAGE(AJ25:AU25)</f>
        <v/>
      </c>
      <c r="BF25" s="3743" t="n"/>
      <c r="BG25" s="4205" t="n">
        <v>0</v>
      </c>
    </row>
    <row r="26" hidden="1" outlineLevel="1" collapsed="1" ht="12" customHeight="1" s="3710">
      <c r="B26" s="3891" t="n"/>
      <c r="C26" s="4017" t="inlineStr">
        <is>
          <t xml:space="preserve">Items in transit </t>
        </is>
      </c>
      <c r="D26" s="3902" t="n"/>
      <c r="E26" s="3902" t="n"/>
      <c r="F26" s="3900" t="n"/>
      <c r="G26" s="3900" t="n"/>
      <c r="H26" s="3900" t="n"/>
      <c r="I26" s="3900" t="n"/>
      <c r="J26" s="3900" t="n"/>
      <c r="K26" s="3900" t="n"/>
      <c r="L26" s="3900" t="n"/>
      <c r="M26" s="3900" t="n"/>
      <c r="N26" s="3900" t="n"/>
      <c r="O26" s="3900" t="n"/>
      <c r="P26" s="3900" t="n"/>
      <c r="Q26" s="4200" t="n"/>
      <c r="R26" s="3900" t="n"/>
      <c r="S26" s="3900" t="n"/>
      <c r="T26" s="3900" t="n"/>
      <c r="U26" s="3900" t="n"/>
      <c r="V26" s="3900" t="n"/>
      <c r="W26" s="3900" t="n"/>
      <c r="X26" s="3900" t="n"/>
      <c r="Y26" s="3900" t="n"/>
      <c r="Z26" s="3900" t="n"/>
      <c r="AA26" s="3900" t="n"/>
      <c r="AB26" s="3900" t="n"/>
      <c r="AC26" s="4200" t="n"/>
      <c r="AD26" s="3900" t="n"/>
      <c r="AE26" s="3900" t="n"/>
      <c r="AF26" s="3900" t="n"/>
      <c r="AG26" s="3900" t="n"/>
      <c r="AH26" s="3900" t="n"/>
      <c r="AI26" s="3900" t="n"/>
      <c r="AJ26" s="3900" t="n"/>
      <c r="AK26" s="3900" t="n"/>
      <c r="AL26" s="3900" t="n"/>
      <c r="AM26" s="3900" t="n"/>
      <c r="AN26" s="3900" t="n"/>
      <c r="AO26" s="4200" t="n"/>
      <c r="AP26" s="3900">
        <f>SUM(AP17:AP25)</f>
        <v/>
      </c>
      <c r="AQ26" s="3900">
        <f>SUM(AQ17:AQ25)</f>
        <v/>
      </c>
      <c r="AR26" s="3900">
        <f>SUM(AR17:AR25)</f>
        <v/>
      </c>
      <c r="AS26" s="3900">
        <f>SUM(AS17:AS25)</f>
        <v/>
      </c>
      <c r="AT26" s="3900">
        <f>SUM(AT17:AT25)</f>
        <v/>
      </c>
      <c r="AU26" s="4201">
        <f>SUM(AU17:AU25)</f>
        <v/>
      </c>
      <c r="AV26" s="3900">
        <f>SUM(AV17:AV25)</f>
        <v/>
      </c>
      <c r="AW26" s="3900">
        <f>SUM(AW17:AW25)</f>
        <v/>
      </c>
      <c r="AX26" s="3900">
        <f>SUM(AX17:AX25)</f>
        <v/>
      </c>
      <c r="AY26" s="3900">
        <f>SUM(AY17:AY25)</f>
        <v/>
      </c>
      <c r="AZ26" s="3900">
        <f>SUM(AZ17:AZ25)</f>
        <v/>
      </c>
      <c r="BA26" s="4202">
        <f>SUM(BA17:BA25)</f>
        <v/>
      </c>
      <c r="BB26" s="3900">
        <f>SUM(BB17:BB25)</f>
        <v/>
      </c>
      <c r="BC26" s="3900">
        <f>SUM(BC17:BC25)</f>
        <v/>
      </c>
      <c r="BD26" s="3900">
        <f>SUM(BD17:BD25)</f>
        <v/>
      </c>
      <c r="BE26" s="3900">
        <f>SUM(BE17:BE25)</f>
        <v/>
      </c>
      <c r="BF26" s="3743" t="n"/>
      <c r="BG26" s="3900">
        <f>SUM(BG17:BG25)</f>
        <v/>
      </c>
    </row>
    <row r="27" hidden="1" outlineLevel="2" ht="12" customHeight="1" s="3710">
      <c r="B27" s="3903" t="n"/>
      <c r="C27" s="4012" t="inlineStr">
        <is>
          <t>A/R billings-subledger</t>
        </is>
      </c>
      <c r="D27" s="3902" t="n">
        <v>120101</v>
      </c>
      <c r="E27" s="3902" t="inlineStr">
        <is>
          <t>120101 - A/R Billings-Subledger</t>
        </is>
      </c>
      <c r="F27" s="3900" t="n"/>
      <c r="G27" s="3900" t="n"/>
      <c r="H27" s="3900" t="n"/>
      <c r="I27" s="3900" t="n"/>
      <c r="J27" s="3900" t="n"/>
      <c r="K27" s="3900" t="n"/>
      <c r="L27" s="3900" t="n"/>
      <c r="M27" s="3900" t="n"/>
      <c r="N27" s="3900" t="n"/>
      <c r="O27" s="3900" t="n"/>
      <c r="P27" s="3900" t="n"/>
      <c r="Q27" s="4200" t="n"/>
      <c r="R27" s="3900" t="n"/>
      <c r="S27" s="3900" t="n"/>
      <c r="T27" s="3900" t="n"/>
      <c r="U27" s="3900" t="n"/>
      <c r="V27" s="3900" t="n"/>
      <c r="W27" s="3900" t="n"/>
      <c r="X27" s="3900" t="n"/>
      <c r="Y27" s="3900" t="n"/>
      <c r="Z27" s="3900" t="n"/>
      <c r="AA27" s="3900" t="n"/>
      <c r="AB27" s="3900" t="n"/>
      <c r="AC27" s="4200" t="n"/>
      <c r="AD27" s="3900" t="n"/>
      <c r="AE27" s="3900" t="n"/>
      <c r="AF27" s="3900" t="n"/>
      <c r="AG27" s="3900" t="n"/>
      <c r="AH27" s="3900" t="n"/>
      <c r="AI27" s="3900" t="n"/>
      <c r="AJ27" s="3900" t="n"/>
      <c r="AK27" s="3900" t="n"/>
      <c r="AL27" s="3900" t="n"/>
      <c r="AM27" s="3900" t="n"/>
      <c r="AN27" s="3900" t="n"/>
      <c r="AO27" s="4200" t="n"/>
      <c r="AP27" s="3900" t="n">
        <v>10153.072</v>
      </c>
      <c r="AQ27" s="3900" t="n">
        <v>5012.974</v>
      </c>
      <c r="AR27" s="3900" t="n">
        <v>7273.266</v>
      </c>
      <c r="AS27" s="3900" t="n">
        <v>6359.375</v>
      </c>
      <c r="AT27" s="3900" t="n">
        <v>8141.71964</v>
      </c>
      <c r="AU27" s="4201" t="n">
        <v>5418.3691</v>
      </c>
      <c r="AV27" s="3900">
        <f>Q27</f>
        <v/>
      </c>
      <c r="AW27" s="3900">
        <f>AC27</f>
        <v/>
      </c>
      <c r="AX27" s="3900">
        <f>AO27</f>
        <v/>
      </c>
      <c r="AY27" s="3900">
        <f>AS27</f>
        <v/>
      </c>
      <c r="AZ27" s="3900">
        <f>AU27</f>
        <v/>
      </c>
      <c r="BA27" s="4202">
        <f>AVERAGE(F27:Q27)</f>
        <v/>
      </c>
      <c r="BB27" s="3900">
        <f>AVERAGE(R27:AC27)</f>
        <v/>
      </c>
      <c r="BC27" s="3900">
        <f>AVERAGE(AD27:AO27)</f>
        <v/>
      </c>
      <c r="BD27" s="3900">
        <f>AVERAGE(AH27:AS27)</f>
        <v/>
      </c>
      <c r="BE27" s="3900">
        <f>AVERAGE(AJ27:AU27)</f>
        <v/>
      </c>
      <c r="BF27" s="3743" t="n"/>
      <c r="BG27" s="3900" t="n">
        <v>3616.041</v>
      </c>
    </row>
    <row r="28" hidden="1" outlineLevel="2" ht="12" customHeight="1" s="3710">
      <c r="B28" s="3891" t="n"/>
      <c r="C28" s="4012" t="inlineStr">
        <is>
          <t>A/R-trade accrual</t>
        </is>
      </c>
      <c r="D28" s="3902" t="n">
        <v>120201</v>
      </c>
      <c r="E28" s="3902" t="inlineStr">
        <is>
          <t>120201 - A/R-Trade Accrual</t>
        </is>
      </c>
      <c r="F28" s="3900" t="n"/>
      <c r="G28" s="3900" t="n"/>
      <c r="H28" s="3900" t="n"/>
      <c r="I28" s="3900" t="n"/>
      <c r="J28" s="3900" t="n"/>
      <c r="K28" s="3900" t="n"/>
      <c r="L28" s="3900" t="n"/>
      <c r="M28" s="3900" t="n"/>
      <c r="N28" s="3900" t="n"/>
      <c r="O28" s="3900" t="n"/>
      <c r="P28" s="3900" t="n"/>
      <c r="Q28" s="4200" t="n"/>
      <c r="R28" s="3900" t="n"/>
      <c r="S28" s="3900" t="n"/>
      <c r="T28" s="3900" t="n"/>
      <c r="U28" s="3900" t="n"/>
      <c r="V28" s="3900" t="n"/>
      <c r="W28" s="3900" t="n"/>
      <c r="X28" s="3900" t="n"/>
      <c r="Y28" s="3900" t="n"/>
      <c r="Z28" s="3900" t="n"/>
      <c r="AA28" s="3900" t="n"/>
      <c r="AB28" s="3900" t="n"/>
      <c r="AC28" s="4200" t="n"/>
      <c r="AD28" s="3900" t="n"/>
      <c r="AE28" s="3900" t="n"/>
      <c r="AF28" s="3900" t="n"/>
      <c r="AG28" s="3900" t="n"/>
      <c r="AH28" s="3900" t="n"/>
      <c r="AI28" s="3900" t="n"/>
      <c r="AJ28" s="3900" t="n"/>
      <c r="AK28" s="3900" t="n"/>
      <c r="AL28" s="3900" t="n"/>
      <c r="AM28" s="3900" t="n"/>
      <c r="AN28" s="3900" t="n"/>
      <c r="AO28" s="4200" t="n"/>
      <c r="AP28" s="3900" t="n">
        <v>4970.669</v>
      </c>
      <c r="AQ28" s="3900" t="n">
        <v>5970.482</v>
      </c>
      <c r="AR28" s="3900" t="n">
        <v>5259.959</v>
      </c>
      <c r="AS28" s="3900" t="n">
        <v>5730.494</v>
      </c>
      <c r="AT28" s="3900" t="n">
        <v>5723.66527</v>
      </c>
      <c r="AU28" s="4201" t="n">
        <v>5814.53333</v>
      </c>
      <c r="AV28" s="3900">
        <f>Q28</f>
        <v/>
      </c>
      <c r="AW28" s="3900">
        <f>AC28</f>
        <v/>
      </c>
      <c r="AX28" s="3900">
        <f>AO28</f>
        <v/>
      </c>
      <c r="AY28" s="3900">
        <f>AS28</f>
        <v/>
      </c>
      <c r="AZ28" s="3900">
        <f>AU28</f>
        <v/>
      </c>
      <c r="BA28" s="4202">
        <f>AVERAGE(F28:Q28)</f>
        <v/>
      </c>
      <c r="BB28" s="3900">
        <f>AVERAGE(R28:AC28)</f>
        <v/>
      </c>
      <c r="BC28" s="3900">
        <f>AVERAGE(AD28:AO28)</f>
        <v/>
      </c>
      <c r="BD28" s="3900">
        <f>AVERAGE(AH28:AS28)</f>
        <v/>
      </c>
      <c r="BE28" s="3900">
        <f>AVERAGE(AJ28:AU28)</f>
        <v/>
      </c>
      <c r="BF28" s="3743" t="n"/>
      <c r="BG28" s="3900" t="n">
        <v>3261.941</v>
      </c>
    </row>
    <row r="29" hidden="1" outlineLevel="2" ht="12" customHeight="1" s="3710">
      <c r="B29" s="3891" t="n"/>
      <c r="C29" s="4012" t="inlineStr">
        <is>
          <t>Accrued merchant services fees</t>
        </is>
      </c>
      <c r="D29" s="3902" t="n">
        <v>120301</v>
      </c>
      <c r="E29" s="3902" t="inlineStr">
        <is>
          <t>120301 - Accrued Merchant Services Fees</t>
        </is>
      </c>
      <c r="F29" s="3900" t="n"/>
      <c r="G29" s="3900" t="n"/>
      <c r="H29" s="3900" t="n"/>
      <c r="I29" s="3900" t="n"/>
      <c r="J29" s="3900" t="n"/>
      <c r="K29" s="3900" t="n"/>
      <c r="L29" s="3900" t="n"/>
      <c r="M29" s="3900" t="n"/>
      <c r="N29" s="3900" t="n"/>
      <c r="O29" s="3900" t="n"/>
      <c r="P29" s="3900" t="n"/>
      <c r="Q29" s="4200" t="n"/>
      <c r="R29" s="3900" t="n"/>
      <c r="S29" s="3900" t="n"/>
      <c r="T29" s="3900" t="n"/>
      <c r="U29" s="3900" t="n"/>
      <c r="V29" s="3900" t="n"/>
      <c r="W29" s="3900" t="n"/>
      <c r="X29" s="3900" t="n"/>
      <c r="Y29" s="3900" t="n"/>
      <c r="Z29" s="3900" t="n"/>
      <c r="AA29" s="3900" t="n"/>
      <c r="AB29" s="3900" t="n"/>
      <c r="AC29" s="4200" t="n"/>
      <c r="AD29" s="3900" t="n"/>
      <c r="AE29" s="3900" t="n"/>
      <c r="AF29" s="3900" t="n"/>
      <c r="AG29" s="3900" t="n"/>
      <c r="AH29" s="3900" t="n"/>
      <c r="AI29" s="3900" t="n"/>
      <c r="AJ29" s="3900" t="n"/>
      <c r="AK29" s="3900" t="n"/>
      <c r="AL29" s="3900" t="n"/>
      <c r="AM29" s="3900" t="n"/>
      <c r="AN29" s="3900" t="n"/>
      <c r="AO29" s="4200" t="n"/>
      <c r="AP29" s="3900" t="n">
        <v>340.102</v>
      </c>
      <c r="AQ29" s="3900" t="n">
        <v>371.563</v>
      </c>
      <c r="AR29" s="3900" t="n">
        <v>422.474</v>
      </c>
      <c r="AS29" s="3900" t="n">
        <v>422.408</v>
      </c>
      <c r="AT29" s="3900" t="n">
        <v>474.22416</v>
      </c>
      <c r="AU29" s="4201" t="n">
        <v>481.02878</v>
      </c>
      <c r="AV29" s="3900">
        <f>Q29</f>
        <v/>
      </c>
      <c r="AW29" s="3900">
        <f>AC29</f>
        <v/>
      </c>
      <c r="AX29" s="3900">
        <f>AO29</f>
        <v/>
      </c>
      <c r="AY29" s="3900">
        <f>AS29</f>
        <v/>
      </c>
      <c r="AZ29" s="3900">
        <f>AU29</f>
        <v/>
      </c>
      <c r="BA29" s="4202">
        <f>AVERAGE(F29:Q29)</f>
        <v/>
      </c>
      <c r="BB29" s="3900">
        <f>AVERAGE(R29:AC29)</f>
        <v/>
      </c>
      <c r="BC29" s="3900">
        <f>AVERAGE(AD29:AO29)</f>
        <v/>
      </c>
      <c r="BD29" s="3900">
        <f>AVERAGE(AH29:AS29)</f>
        <v/>
      </c>
      <c r="BE29" s="3900">
        <f>AVERAGE(AJ29:AU29)</f>
        <v/>
      </c>
      <c r="BF29" s="3743" t="n"/>
      <c r="BG29" s="3900" t="n">
        <v>200.524</v>
      </c>
    </row>
    <row r="30" hidden="1" outlineLevel="2" ht="12" customHeight="1" s="3710">
      <c r="B30" s="3891" t="n"/>
      <c r="C30" s="4012" t="inlineStr">
        <is>
          <t>Accrued other receivable</t>
        </is>
      </c>
      <c r="D30" s="3902" t="n">
        <v>120401</v>
      </c>
      <c r="E30" s="3902" t="inlineStr">
        <is>
          <t>120401 - Accrued Other Receivable</t>
        </is>
      </c>
      <c r="F30" s="3900" t="n"/>
      <c r="G30" s="3900" t="n"/>
      <c r="H30" s="3900" t="n"/>
      <c r="I30" s="3900" t="n"/>
      <c r="J30" s="3900" t="n"/>
      <c r="K30" s="3900" t="n"/>
      <c r="L30" s="3900" t="n"/>
      <c r="M30" s="3900" t="n"/>
      <c r="N30" s="3900" t="n"/>
      <c r="O30" s="3900" t="n"/>
      <c r="P30" s="3900" t="n"/>
      <c r="Q30" s="4200" t="n"/>
      <c r="R30" s="3900" t="n"/>
      <c r="S30" s="3900" t="n"/>
      <c r="T30" s="3900" t="n"/>
      <c r="U30" s="3900" t="n"/>
      <c r="V30" s="3900" t="n"/>
      <c r="W30" s="3900" t="n"/>
      <c r="X30" s="3900" t="n"/>
      <c r="Y30" s="3900" t="n"/>
      <c r="Z30" s="3900" t="n"/>
      <c r="AA30" s="3900" t="n"/>
      <c r="AB30" s="3900" t="n"/>
      <c r="AC30" s="4200" t="n"/>
      <c r="AD30" s="3900" t="n"/>
      <c r="AE30" s="3900" t="n"/>
      <c r="AF30" s="3900" t="n"/>
      <c r="AG30" s="3900" t="n"/>
      <c r="AH30" s="3900" t="n"/>
      <c r="AI30" s="3900" t="n"/>
      <c r="AJ30" s="3900" t="n"/>
      <c r="AK30" s="3900" t="n"/>
      <c r="AL30" s="3900" t="n"/>
      <c r="AM30" s="3900" t="n"/>
      <c r="AN30" s="3900" t="n"/>
      <c r="AO30" s="4200" t="n"/>
      <c r="AP30" s="3900" t="n">
        <v>236.533</v>
      </c>
      <c r="AQ30" s="3900" t="n">
        <v>219.783</v>
      </c>
      <c r="AR30" s="3900" t="n">
        <v>235.088</v>
      </c>
      <c r="AS30" s="3900" t="n">
        <v>235.286</v>
      </c>
      <c r="AT30" s="3900" t="n">
        <v>234.59109</v>
      </c>
      <c r="AU30" s="4201" t="n">
        <v>234.49109</v>
      </c>
      <c r="AV30" s="3900">
        <f>Q30</f>
        <v/>
      </c>
      <c r="AW30" s="3900">
        <f>AC30</f>
        <v/>
      </c>
      <c r="AX30" s="3900">
        <f>AO30</f>
        <v/>
      </c>
      <c r="AY30" s="3900">
        <f>AS30</f>
        <v/>
      </c>
      <c r="AZ30" s="3900">
        <f>AU30</f>
        <v/>
      </c>
      <c r="BA30" s="4202">
        <f>AVERAGE(F30:Q30)</f>
        <v/>
      </c>
      <c r="BB30" s="3900">
        <f>AVERAGE(R30:AC30)</f>
        <v/>
      </c>
      <c r="BC30" s="3900">
        <f>AVERAGE(AD30:AO30)</f>
        <v/>
      </c>
      <c r="BD30" s="3900">
        <f>AVERAGE(AH30:AS30)</f>
        <v/>
      </c>
      <c r="BE30" s="3900">
        <f>AVERAGE(AJ30:AU30)</f>
        <v/>
      </c>
      <c r="BF30" s="3743" t="n"/>
      <c r="BG30" s="3900" t="n">
        <v>155.917</v>
      </c>
    </row>
    <row r="31" hidden="1" outlineLevel="2" ht="12" customHeight="1" s="3710">
      <c r="A31" s="4209" t="n"/>
      <c r="B31" s="3891" t="n"/>
      <c r="C31" s="4012" t="inlineStr">
        <is>
          <t>Sales tax receivables - HST/GST</t>
        </is>
      </c>
      <c r="D31" s="3902" t="n">
        <v>130301</v>
      </c>
      <c r="E31" s="3902" t="inlineStr">
        <is>
          <t>130301 - Sales Tax Receivables - HST/GST</t>
        </is>
      </c>
      <c r="F31" s="3900" t="n"/>
      <c r="G31" s="3900" t="n"/>
      <c r="H31" s="3900" t="n"/>
      <c r="I31" s="3900" t="n"/>
      <c r="J31" s="3900" t="n"/>
      <c r="K31" s="3900" t="n"/>
      <c r="L31" s="3900" t="n"/>
      <c r="M31" s="3900" t="n"/>
      <c r="N31" s="3900" t="n"/>
      <c r="O31" s="3900" t="n"/>
      <c r="P31" s="3900" t="n"/>
      <c r="Q31" s="4200" t="n"/>
      <c r="R31" s="3900" t="n"/>
      <c r="S31" s="3900" t="n"/>
      <c r="T31" s="3900" t="n"/>
      <c r="U31" s="3900" t="n"/>
      <c r="V31" s="3900" t="n"/>
      <c r="W31" s="3900" t="n"/>
      <c r="X31" s="3900" t="n"/>
      <c r="Y31" s="3900" t="n"/>
      <c r="Z31" s="3900" t="n"/>
      <c r="AA31" s="3900" t="n"/>
      <c r="AB31" s="3900" t="n"/>
      <c r="AC31" s="4200" t="n"/>
      <c r="AD31" s="3900" t="n"/>
      <c r="AE31" s="3900" t="n"/>
      <c r="AF31" s="3900" t="n"/>
      <c r="AG31" s="3900" t="n"/>
      <c r="AH31" s="3900" t="n"/>
      <c r="AI31" s="3900" t="n"/>
      <c r="AJ31" s="3900" t="n"/>
      <c r="AK31" s="3900" t="n"/>
      <c r="AL31" s="3900" t="n"/>
      <c r="AM31" s="3900" t="n"/>
      <c r="AN31" s="3900" t="n"/>
      <c r="AO31" s="4200" t="n"/>
      <c r="AP31" s="3900" t="n">
        <v>166.579</v>
      </c>
      <c r="AQ31" s="3900" t="n">
        <v>304.994</v>
      </c>
      <c r="AR31" s="3900" t="n">
        <v>288.599</v>
      </c>
      <c r="AS31" s="3900" t="n">
        <v>193.459</v>
      </c>
      <c r="AT31" s="3900" t="n">
        <v>151.69733</v>
      </c>
      <c r="AU31" s="4201" t="n">
        <v>175.55522</v>
      </c>
      <c r="AV31" s="3900">
        <f>Q31</f>
        <v/>
      </c>
      <c r="AW31" s="3900">
        <f>AC31</f>
        <v/>
      </c>
      <c r="AX31" s="3900">
        <f>AO31</f>
        <v/>
      </c>
      <c r="AY31" s="3900">
        <f>AS31</f>
        <v/>
      </c>
      <c r="AZ31" s="3900">
        <f>AU31</f>
        <v/>
      </c>
      <c r="BA31" s="4202">
        <f>AVERAGE(F31:Q31)</f>
        <v/>
      </c>
      <c r="BB31" s="3900">
        <f>AVERAGE(R31:AC31)</f>
        <v/>
      </c>
      <c r="BC31" s="3900">
        <f>AVERAGE(AD31:AO31)</f>
        <v/>
      </c>
      <c r="BD31" s="3900">
        <f>AVERAGE(AH31:AS31)</f>
        <v/>
      </c>
      <c r="BE31" s="3900">
        <f>AVERAGE(AJ31:AU31)</f>
        <v/>
      </c>
      <c r="BF31" s="3743" t="n"/>
      <c r="BG31" s="3900" t="n">
        <v>99.06999999999999</v>
      </c>
    </row>
    <row r="32" hidden="1" outlineLevel="2" ht="12" customHeight="1" s="3710">
      <c r="B32" s="3891" t="n"/>
      <c r="C32" s="4012" t="inlineStr">
        <is>
          <t>Interest receivables</t>
        </is>
      </c>
      <c r="D32" s="3902" t="n">
        <v>130101</v>
      </c>
      <c r="E32" s="3902" t="inlineStr">
        <is>
          <t>130101 - Interest Receivables</t>
        </is>
      </c>
      <c r="F32" s="3900" t="n"/>
      <c r="G32" s="3900" t="n"/>
      <c r="H32" s="3900" t="n"/>
      <c r="I32" s="3900" t="n"/>
      <c r="J32" s="3900" t="n"/>
      <c r="K32" s="3900" t="n"/>
      <c r="L32" s="3900" t="n"/>
      <c r="M32" s="3900" t="n"/>
      <c r="N32" s="3900" t="n"/>
      <c r="O32" s="3900" t="n"/>
      <c r="P32" s="3900" t="n"/>
      <c r="Q32" s="4200" t="n"/>
      <c r="R32" s="3900" t="n"/>
      <c r="S32" s="3900" t="n"/>
      <c r="T32" s="3900" t="n"/>
      <c r="U32" s="3900" t="n"/>
      <c r="V32" s="3900" t="n"/>
      <c r="W32" s="3900" t="n"/>
      <c r="X32" s="3900" t="n"/>
      <c r="Y32" s="3900" t="n"/>
      <c r="Z32" s="3900" t="n"/>
      <c r="AA32" s="3900" t="n"/>
      <c r="AB32" s="3900" t="n"/>
      <c r="AC32" s="4200" t="n"/>
      <c r="AD32" s="3900" t="n"/>
      <c r="AE32" s="3900" t="n"/>
      <c r="AF32" s="3900" t="n"/>
      <c r="AG32" s="3900" t="n"/>
      <c r="AH32" s="3900" t="n"/>
      <c r="AI32" s="3900" t="n"/>
      <c r="AJ32" s="3900" t="n"/>
      <c r="AK32" s="3900" t="n"/>
      <c r="AL32" s="3900" t="n"/>
      <c r="AM32" s="3900" t="n"/>
      <c r="AN32" s="3900" t="n"/>
      <c r="AO32" s="4200" t="n"/>
      <c r="AP32" s="3900" t="n">
        <v>92.015</v>
      </c>
      <c r="AQ32" s="3900" t="n">
        <v>88.057</v>
      </c>
      <c r="AR32" s="3900" t="n">
        <v>115.707</v>
      </c>
      <c r="AS32" s="3900" t="n">
        <v>120.436</v>
      </c>
      <c r="AT32" s="3900" t="n">
        <v>138.18024</v>
      </c>
      <c r="AU32" s="4201" t="n">
        <v>137.03295</v>
      </c>
      <c r="AV32" s="3900">
        <f>Q32</f>
        <v/>
      </c>
      <c r="AW32" s="3900">
        <f>AC32</f>
        <v/>
      </c>
      <c r="AX32" s="3900">
        <f>AO32</f>
        <v/>
      </c>
      <c r="AY32" s="3900">
        <f>AS32</f>
        <v/>
      </c>
      <c r="AZ32" s="3900">
        <f>AU32</f>
        <v/>
      </c>
      <c r="BA32" s="4202">
        <f>AVERAGE(F32:Q32)</f>
        <v/>
      </c>
      <c r="BB32" s="3900">
        <f>AVERAGE(R32:AC32)</f>
        <v/>
      </c>
      <c r="BC32" s="3900">
        <f>AVERAGE(AD32:AO32)</f>
        <v/>
      </c>
      <c r="BD32" s="3900">
        <f>AVERAGE(AH32:AS32)</f>
        <v/>
      </c>
      <c r="BE32" s="3900">
        <f>AVERAGE(AJ32:AU32)</f>
        <v/>
      </c>
      <c r="BF32" s="3743" t="n"/>
      <c r="BG32" s="3900" t="n">
        <v>0</v>
      </c>
    </row>
    <row r="33" hidden="1" outlineLevel="2" ht="12" customHeight="1" s="3710">
      <c r="B33" s="3891" t="n"/>
      <c r="C33" s="4012" t="inlineStr">
        <is>
          <t>Sales tax receivables - QST</t>
        </is>
      </c>
      <c r="D33" s="3902" t="n">
        <v>130300</v>
      </c>
      <c r="E33" s="3902" t="inlineStr">
        <is>
          <t>130300 - Sales Tax Receivables - QST</t>
        </is>
      </c>
      <c r="F33" s="3900" t="n"/>
      <c r="G33" s="3900" t="n"/>
      <c r="H33" s="3900" t="n"/>
      <c r="I33" s="3900" t="n"/>
      <c r="J33" s="3900" t="n"/>
      <c r="K33" s="3900" t="n"/>
      <c r="L33" s="3900" t="n"/>
      <c r="M33" s="3900" t="n"/>
      <c r="N33" s="3900" t="n"/>
      <c r="O33" s="3900" t="n"/>
      <c r="P33" s="3900" t="n"/>
      <c r="Q33" s="4200" t="n"/>
      <c r="R33" s="3900" t="n"/>
      <c r="S33" s="3900" t="n"/>
      <c r="T33" s="3900" t="n"/>
      <c r="U33" s="3900" t="n"/>
      <c r="V33" s="3900" t="n"/>
      <c r="W33" s="3900" t="n"/>
      <c r="X33" s="3900" t="n"/>
      <c r="Y33" s="3900" t="n"/>
      <c r="Z33" s="3900" t="n"/>
      <c r="AA33" s="3900" t="n"/>
      <c r="AB33" s="3900" t="n"/>
      <c r="AC33" s="4200" t="n"/>
      <c r="AD33" s="3900" t="n"/>
      <c r="AE33" s="3900" t="n"/>
      <c r="AF33" s="3900" t="n"/>
      <c r="AG33" s="3900" t="n"/>
      <c r="AH33" s="3900" t="n"/>
      <c r="AI33" s="3900" t="n"/>
      <c r="AJ33" s="3900" t="n"/>
      <c r="AK33" s="3900" t="n"/>
      <c r="AL33" s="3900" t="n"/>
      <c r="AM33" s="3900" t="n"/>
      <c r="AN33" s="3900" t="n"/>
      <c r="AO33" s="4200" t="n"/>
      <c r="AP33" s="3900" t="n">
        <v>0.827</v>
      </c>
      <c r="AQ33" s="3900" t="n">
        <v>0.827</v>
      </c>
      <c r="AR33" s="3900" t="n">
        <v>1.334</v>
      </c>
      <c r="AS33" s="3900" t="n">
        <v>0.533</v>
      </c>
      <c r="AT33" s="3900" t="n">
        <v>0.53267</v>
      </c>
      <c r="AU33" s="4201" t="n">
        <v>0.53267</v>
      </c>
      <c r="AV33" s="3900">
        <f>Q33</f>
        <v/>
      </c>
      <c r="AW33" s="3900">
        <f>AC33</f>
        <v/>
      </c>
      <c r="AX33" s="3900">
        <f>AO33</f>
        <v/>
      </c>
      <c r="AY33" s="3900">
        <f>AS33</f>
        <v/>
      </c>
      <c r="AZ33" s="3900">
        <f>AU33</f>
        <v/>
      </c>
      <c r="BA33" s="4202">
        <f>AVERAGE(F33:Q33)</f>
        <v/>
      </c>
      <c r="BB33" s="3900">
        <f>AVERAGE(R33:AC33)</f>
        <v/>
      </c>
      <c r="BC33" s="3900">
        <f>AVERAGE(AD33:AO33)</f>
        <v/>
      </c>
      <c r="BD33" s="3900">
        <f>AVERAGE(AH33:AS33)</f>
        <v/>
      </c>
      <c r="BE33" s="3900">
        <f>AVERAGE(AJ33:AU33)</f>
        <v/>
      </c>
      <c r="BF33" s="3743" t="n"/>
      <c r="BG33" s="3900" t="n">
        <v>0.037</v>
      </c>
    </row>
    <row r="34" hidden="1" outlineLevel="2" ht="12" customHeight="1" s="3710">
      <c r="B34" s="3891" t="n"/>
      <c r="C34" s="4012" t="inlineStr">
        <is>
          <t>IFRS15 adjustment to accr A/R</t>
        </is>
      </c>
      <c r="D34" s="3902" t="n">
        <v>120215</v>
      </c>
      <c r="E34" s="3902" t="inlineStr">
        <is>
          <t>120215 - -IFRS15 Adjustment to Accr AR-</t>
        </is>
      </c>
      <c r="F34" s="3900" t="n"/>
      <c r="G34" s="3900" t="n"/>
      <c r="H34" s="3900" t="n"/>
      <c r="I34" s="3900" t="n"/>
      <c r="J34" s="3900" t="n"/>
      <c r="K34" s="3900" t="n"/>
      <c r="L34" s="3900" t="n"/>
      <c r="M34" s="3900" t="n"/>
      <c r="N34" s="3900" t="n"/>
      <c r="O34" s="3900" t="n"/>
      <c r="P34" s="3900" t="n"/>
      <c r="Q34" s="4200" t="n"/>
      <c r="R34" s="3900" t="n"/>
      <c r="S34" s="3900" t="n"/>
      <c r="T34" s="3900" t="n"/>
      <c r="U34" s="3900" t="n"/>
      <c r="V34" s="3900" t="n"/>
      <c r="W34" s="3900" t="n"/>
      <c r="X34" s="3900" t="n"/>
      <c r="Y34" s="3900" t="n"/>
      <c r="Z34" s="3900" t="n"/>
      <c r="AA34" s="3900" t="n"/>
      <c r="AB34" s="3900" t="n"/>
      <c r="AC34" s="4200" t="n"/>
      <c r="AD34" s="3900" t="n"/>
      <c r="AE34" s="3900" t="n"/>
      <c r="AF34" s="3900" t="n"/>
      <c r="AG34" s="3900" t="n"/>
      <c r="AH34" s="3900" t="n"/>
      <c r="AI34" s="3900" t="n"/>
      <c r="AJ34" s="3900" t="n"/>
      <c r="AK34" s="3900" t="n"/>
      <c r="AL34" s="3900" t="n"/>
      <c r="AM34" s="3900" t="n"/>
      <c r="AN34" s="3900" t="n"/>
      <c r="AO34" s="4200" t="n"/>
      <c r="AP34" s="3900" t="n">
        <v>0</v>
      </c>
      <c r="AQ34" s="3900" t="n">
        <v>0</v>
      </c>
      <c r="AR34" s="3900" t="n">
        <v>0</v>
      </c>
      <c r="AS34" s="3900" t="n">
        <v>0</v>
      </c>
      <c r="AT34" s="3900" t="n">
        <v>0</v>
      </c>
      <c r="AU34" s="4201" t="n">
        <v>0</v>
      </c>
      <c r="AV34" s="3900">
        <f>Q34</f>
        <v/>
      </c>
      <c r="AW34" s="3900">
        <f>AC34</f>
        <v/>
      </c>
      <c r="AX34" s="3900">
        <f>AO34</f>
        <v/>
      </c>
      <c r="AY34" s="3900">
        <f>AS34</f>
        <v/>
      </c>
      <c r="AZ34" s="3900">
        <f>AU34</f>
        <v/>
      </c>
      <c r="BA34" s="4202">
        <f>AVERAGE(F34:Q34)</f>
        <v/>
      </c>
      <c r="BB34" s="3900">
        <f>AVERAGE(R34:AC34)</f>
        <v/>
      </c>
      <c r="BC34" s="3900">
        <f>AVERAGE(AD34:AO34)</f>
        <v/>
      </c>
      <c r="BD34" s="3900">
        <f>AVERAGE(AH34:AS34)</f>
        <v/>
      </c>
      <c r="BE34" s="3900">
        <f>AVERAGE(AJ34:AU34)</f>
        <v/>
      </c>
      <c r="BF34" s="3743" t="n"/>
      <c r="BG34" s="3900" t="n">
        <v>0</v>
      </c>
    </row>
    <row r="35" hidden="1" outlineLevel="2" ht="12" customHeight="1" s="3710">
      <c r="B35" s="3891" t="n"/>
      <c r="C35" s="4012" t="inlineStr">
        <is>
          <t>Corporate card payments suspense</t>
        </is>
      </c>
      <c r="D35" s="3902" t="n">
        <v>143102</v>
      </c>
      <c r="E35" s="3902" t="inlineStr">
        <is>
          <t>143102 - Corporate Card Payments Suspense</t>
        </is>
      </c>
      <c r="F35" s="3900" t="n"/>
      <c r="G35" s="3900" t="n"/>
      <c r="H35" s="3900" t="n"/>
      <c r="I35" s="3900" t="n"/>
      <c r="J35" s="3900" t="n"/>
      <c r="K35" s="3900" t="n"/>
      <c r="L35" s="3900" t="n"/>
      <c r="M35" s="3900" t="n"/>
      <c r="N35" s="3900" t="n"/>
      <c r="O35" s="3900" t="n"/>
      <c r="P35" s="3900" t="n"/>
      <c r="Q35" s="4200" t="n"/>
      <c r="R35" s="3900" t="n"/>
      <c r="S35" s="3900" t="n"/>
      <c r="T35" s="3900" t="n"/>
      <c r="U35" s="3900" t="n"/>
      <c r="V35" s="3900" t="n"/>
      <c r="W35" s="3900" t="n"/>
      <c r="X35" s="3900" t="n"/>
      <c r="Y35" s="3900" t="n"/>
      <c r="Z35" s="3900" t="n"/>
      <c r="AA35" s="3900" t="n"/>
      <c r="AB35" s="3900" t="n"/>
      <c r="AC35" s="4200" t="n"/>
      <c r="AD35" s="3900" t="n"/>
      <c r="AE35" s="3900" t="n"/>
      <c r="AF35" s="3900" t="n"/>
      <c r="AG35" s="3900" t="n"/>
      <c r="AH35" s="3900" t="n"/>
      <c r="AI35" s="3900" t="n"/>
      <c r="AJ35" s="3900" t="n"/>
      <c r="AK35" s="3900" t="n"/>
      <c r="AL35" s="3900" t="n"/>
      <c r="AM35" s="3900" t="n"/>
      <c r="AN35" s="3900" t="n"/>
      <c r="AO35" s="4200" t="n"/>
      <c r="AP35" s="3900" t="n">
        <v>0</v>
      </c>
      <c r="AQ35" s="3900" t="n">
        <v>0</v>
      </c>
      <c r="AR35" s="3900" t="n">
        <v>0</v>
      </c>
      <c r="AS35" s="3900" t="n">
        <v>0</v>
      </c>
      <c r="AT35" s="3900" t="n">
        <v>-0.00515</v>
      </c>
      <c r="AU35" s="4201" t="n">
        <v>9.695489999999999</v>
      </c>
      <c r="AV35" s="3900">
        <f>Q35</f>
        <v/>
      </c>
      <c r="AW35" s="3900">
        <f>AC35</f>
        <v/>
      </c>
      <c r="AX35" s="3900">
        <f>AO35</f>
        <v/>
      </c>
      <c r="AY35" s="3900">
        <f>AS35</f>
        <v/>
      </c>
      <c r="AZ35" s="3900">
        <f>AU35</f>
        <v/>
      </c>
      <c r="BA35" s="4202">
        <f>AVERAGE(F35:Q35)</f>
        <v/>
      </c>
      <c r="BB35" s="3900">
        <f>AVERAGE(R35:AC35)</f>
        <v/>
      </c>
      <c r="BC35" s="3900">
        <f>AVERAGE(AD35:AO35)</f>
        <v/>
      </c>
      <c r="BD35" s="3900">
        <f>AVERAGE(AH35:AS35)</f>
        <v/>
      </c>
      <c r="BE35" s="3900">
        <f>AVERAGE(AJ35:AU35)</f>
        <v/>
      </c>
      <c r="BF35" s="3743" t="n"/>
      <c r="BG35" s="3900" t="n">
        <v>0</v>
      </c>
    </row>
    <row r="36" hidden="1" outlineLevel="2" ht="12" customHeight="1" s="3710">
      <c r="B36" s="3891" t="n"/>
      <c r="C36" s="4203" t="inlineStr">
        <is>
          <t>Allowances for customers A/R</t>
        </is>
      </c>
      <c r="D36" s="4204" t="n">
        <v>125101</v>
      </c>
      <c r="E36" s="4204" t="inlineStr">
        <is>
          <t>125101 - Allowances for Customers A/R</t>
        </is>
      </c>
      <c r="F36" s="4205" t="n"/>
      <c r="G36" s="4205" t="n"/>
      <c r="H36" s="4205" t="n"/>
      <c r="I36" s="4205" t="n"/>
      <c r="J36" s="4205" t="n"/>
      <c r="K36" s="4205" t="n"/>
      <c r="L36" s="4205" t="n"/>
      <c r="M36" s="4205" t="n"/>
      <c r="N36" s="4205" t="n"/>
      <c r="O36" s="4205" t="n"/>
      <c r="P36" s="4205" t="n"/>
      <c r="Q36" s="4206" t="n"/>
      <c r="R36" s="4205" t="n"/>
      <c r="S36" s="4205" t="n"/>
      <c r="T36" s="4205" t="n"/>
      <c r="U36" s="4205" t="n"/>
      <c r="V36" s="4205" t="n"/>
      <c r="W36" s="4205" t="n"/>
      <c r="X36" s="4205" t="n"/>
      <c r="Y36" s="4205" t="n"/>
      <c r="Z36" s="4205" t="n"/>
      <c r="AA36" s="4205" t="n"/>
      <c r="AB36" s="4205" t="n"/>
      <c r="AC36" s="4206" t="n"/>
      <c r="AD36" s="4205" t="n"/>
      <c r="AE36" s="4205" t="n"/>
      <c r="AF36" s="4205" t="n"/>
      <c r="AG36" s="4205" t="n"/>
      <c r="AH36" s="4205" t="n"/>
      <c r="AI36" s="4205" t="n"/>
      <c r="AJ36" s="4205" t="n"/>
      <c r="AK36" s="4205" t="n"/>
      <c r="AL36" s="4205" t="n"/>
      <c r="AM36" s="4205" t="n"/>
      <c r="AN36" s="4205" t="n"/>
      <c r="AO36" s="4206" t="n"/>
      <c r="AP36" s="4205" t="n">
        <v>-62.419</v>
      </c>
      <c r="AQ36" s="4205" t="n">
        <v>-62.419</v>
      </c>
      <c r="AR36" s="4205" t="n">
        <v>-62.419</v>
      </c>
      <c r="AS36" s="4205" t="n">
        <v>-62.419</v>
      </c>
      <c r="AT36" s="4205" t="n">
        <v>-62.41876</v>
      </c>
      <c r="AU36" s="4207" t="n">
        <v>-62.41876</v>
      </c>
      <c r="AV36" s="4205">
        <f>Q36</f>
        <v/>
      </c>
      <c r="AW36" s="4205">
        <f>AC36</f>
        <v/>
      </c>
      <c r="AX36" s="4205">
        <f>AO36</f>
        <v/>
      </c>
      <c r="AY36" s="4205">
        <f>AS36</f>
        <v/>
      </c>
      <c r="AZ36" s="4205">
        <f>AU36</f>
        <v/>
      </c>
      <c r="BA36" s="4208">
        <f>AVERAGE(F36:Q36)</f>
        <v/>
      </c>
      <c r="BB36" s="4205">
        <f>AVERAGE(R36:AC36)</f>
        <v/>
      </c>
      <c r="BC36" s="4205">
        <f>AVERAGE(AD36:AO36)</f>
        <v/>
      </c>
      <c r="BD36" s="4205">
        <f>AVERAGE(AH36:AS36)</f>
        <v/>
      </c>
      <c r="BE36" s="4205">
        <f>AVERAGE(AJ36:AU36)</f>
        <v/>
      </c>
      <c r="BF36" s="3743" t="n"/>
      <c r="BG36" s="4205" t="n">
        <v>-116.407</v>
      </c>
    </row>
    <row r="37" hidden="1" outlineLevel="1" collapsed="1" ht="12" customHeight="1" s="3710">
      <c r="B37" s="3891" t="n"/>
      <c r="C37" s="4017" t="inlineStr">
        <is>
          <t xml:space="preserve">Accounts receivable and other receivables </t>
        </is>
      </c>
      <c r="D37" s="3902" t="n"/>
      <c r="E37" s="3902" t="n"/>
      <c r="F37" s="3900" t="n"/>
      <c r="G37" s="3900" t="n"/>
      <c r="H37" s="3900" t="n"/>
      <c r="I37" s="3900" t="n"/>
      <c r="J37" s="3900" t="n"/>
      <c r="K37" s="3900" t="n"/>
      <c r="L37" s="3900" t="n"/>
      <c r="M37" s="3900" t="n"/>
      <c r="N37" s="3900" t="n"/>
      <c r="O37" s="3900" t="n"/>
      <c r="P37" s="3900" t="n"/>
      <c r="Q37" s="4200" t="n"/>
      <c r="R37" s="3900" t="n"/>
      <c r="S37" s="3900" t="n"/>
      <c r="T37" s="3900" t="n"/>
      <c r="U37" s="3900" t="n"/>
      <c r="V37" s="3900" t="n"/>
      <c r="W37" s="3900" t="n"/>
      <c r="X37" s="3900" t="n"/>
      <c r="Y37" s="3900" t="n"/>
      <c r="Z37" s="3900" t="n"/>
      <c r="AA37" s="3900" t="n"/>
      <c r="AB37" s="3900" t="n"/>
      <c r="AC37" s="4200" t="n"/>
      <c r="AD37" s="3900" t="n"/>
      <c r="AE37" s="3900" t="n"/>
      <c r="AF37" s="3900" t="n"/>
      <c r="AG37" s="3900" t="n"/>
      <c r="AH37" s="3900" t="n"/>
      <c r="AI37" s="3900" t="n"/>
      <c r="AJ37" s="3900" t="n"/>
      <c r="AK37" s="3900" t="n"/>
      <c r="AL37" s="3900" t="n"/>
      <c r="AM37" s="3900" t="n"/>
      <c r="AN37" s="3900" t="n"/>
      <c r="AO37" s="4200" t="n"/>
      <c r="AP37" s="3900">
        <f>SUM(AP27:AP36)</f>
        <v/>
      </c>
      <c r="AQ37" s="3900">
        <f>SUM(AQ27:AQ36)</f>
        <v/>
      </c>
      <c r="AR37" s="3900">
        <f>SUM(AR27:AR36)</f>
        <v/>
      </c>
      <c r="AS37" s="3900">
        <f>SUM(AS27:AS36)</f>
        <v/>
      </c>
      <c r="AT37" s="3900">
        <f>SUM(AT27:AT36)</f>
        <v/>
      </c>
      <c r="AU37" s="4201">
        <f>SUM(AU27:AU36)</f>
        <v/>
      </c>
      <c r="AV37" s="3900">
        <f>SUM(AV27:AV36)</f>
        <v/>
      </c>
      <c r="AW37" s="3900">
        <f>SUM(AW27:AW36)</f>
        <v/>
      </c>
      <c r="AX37" s="3900">
        <f>SUM(AX27:AX36)</f>
        <v/>
      </c>
      <c r="AY37" s="3900">
        <f>SUM(AY27:AY36)</f>
        <v/>
      </c>
      <c r="AZ37" s="3900">
        <f>SUM(AZ27:AZ36)</f>
        <v/>
      </c>
      <c r="BA37" s="4202">
        <f>SUM(BA27:BA36)</f>
        <v/>
      </c>
      <c r="BB37" s="3900">
        <f>SUM(BB27:BB36)</f>
        <v/>
      </c>
      <c r="BC37" s="3900">
        <f>SUM(BC27:BC36)</f>
        <v/>
      </c>
      <c r="BD37" s="3900">
        <f>SUM(BD27:BD36)</f>
        <v/>
      </c>
      <c r="BE37" s="3900">
        <f>SUM(BE27:BE36)</f>
        <v/>
      </c>
      <c r="BF37" s="3743" t="n"/>
      <c r="BG37" s="3900">
        <f>SUM(BG27:BG36)</f>
        <v/>
      </c>
    </row>
    <row r="38" hidden="1" outlineLevel="2" ht="12" customHeight="1" s="3710">
      <c r="A38" s="4209" t="n"/>
      <c r="B38" s="3891" t="n"/>
      <c r="C38" s="4012" t="inlineStr">
        <is>
          <t>Inventory - prepaid COGS</t>
        </is>
      </c>
      <c r="D38" s="3902" t="n">
        <v>142113</v>
      </c>
      <c r="E38" s="3902" t="inlineStr">
        <is>
          <t>142113 - Inventory - Prepaid COGS</t>
        </is>
      </c>
      <c r="F38" s="3900" t="n"/>
      <c r="G38" s="3900" t="n"/>
      <c r="H38" s="3900" t="n"/>
      <c r="I38" s="3900" t="n"/>
      <c r="J38" s="3900" t="n"/>
      <c r="K38" s="3900" t="n"/>
      <c r="L38" s="3900" t="n"/>
      <c r="M38" s="3900" t="n"/>
      <c r="N38" s="3900" t="n"/>
      <c r="O38" s="3900" t="n"/>
      <c r="P38" s="3900" t="n"/>
      <c r="Q38" s="4200" t="n"/>
      <c r="R38" s="3900" t="n"/>
      <c r="S38" s="3900" t="n"/>
      <c r="T38" s="3900" t="n"/>
      <c r="U38" s="3900" t="n"/>
      <c r="V38" s="3900" t="n"/>
      <c r="W38" s="3900" t="n"/>
      <c r="X38" s="3900" t="n"/>
      <c r="Y38" s="3900" t="n"/>
      <c r="Z38" s="3900" t="n"/>
      <c r="AA38" s="3900" t="n"/>
      <c r="AB38" s="3900" t="n"/>
      <c r="AC38" s="4200" t="n"/>
      <c r="AD38" s="3900" t="n"/>
      <c r="AE38" s="3900" t="n"/>
      <c r="AF38" s="3900" t="n"/>
      <c r="AG38" s="3900" t="n"/>
      <c r="AH38" s="3900" t="n"/>
      <c r="AI38" s="3900" t="n"/>
      <c r="AJ38" s="3900" t="n"/>
      <c r="AK38" s="3900" t="n"/>
      <c r="AL38" s="3900" t="n"/>
      <c r="AM38" s="3900" t="n"/>
      <c r="AN38" s="3900" t="n"/>
      <c r="AO38" s="4200" t="n"/>
      <c r="AP38" s="3900" t="n">
        <v>624.985</v>
      </c>
      <c r="AQ38" s="3900" t="n">
        <v>635.789</v>
      </c>
      <c r="AR38" s="3900" t="n">
        <v>780.971</v>
      </c>
      <c r="AS38" s="3900" t="n">
        <v>809.919</v>
      </c>
      <c r="AT38" s="3900" t="n">
        <v>733.1211</v>
      </c>
      <c r="AU38" s="4201" t="n">
        <v>678.26014</v>
      </c>
      <c r="AV38" s="3900">
        <f>Q38</f>
        <v/>
      </c>
      <c r="AW38" s="3900">
        <f>AC38</f>
        <v/>
      </c>
      <c r="AX38" s="3900">
        <f>AO38</f>
        <v/>
      </c>
      <c r="AY38" s="3900">
        <f>AS38</f>
        <v/>
      </c>
      <c r="AZ38" s="3900">
        <f>AU38</f>
        <v/>
      </c>
      <c r="BA38" s="4202">
        <f>AVERAGE(F38:Q38)</f>
        <v/>
      </c>
      <c r="BB38" s="3900">
        <f>AVERAGE(R38:AC38)</f>
        <v/>
      </c>
      <c r="BC38" s="3900">
        <f>AVERAGE(AD38:AO38)</f>
        <v/>
      </c>
      <c r="BD38" s="3900">
        <f>AVERAGE(AH38:AS38)</f>
        <v/>
      </c>
      <c r="BE38" s="3900">
        <f>AVERAGE(AJ38:AU38)</f>
        <v/>
      </c>
      <c r="BF38" s="3743" t="n"/>
      <c r="BG38" s="3900" t="n">
        <v>321.696</v>
      </c>
    </row>
    <row r="39" hidden="1" outlineLevel="2" ht="12" customHeight="1" s="3710">
      <c r="B39" s="3891" t="n"/>
      <c r="C39" s="4012" t="inlineStr">
        <is>
          <t>Inventory</t>
        </is>
      </c>
      <c r="D39" s="3902" t="n">
        <v>142101</v>
      </c>
      <c r="E39" s="3902" t="inlineStr">
        <is>
          <t>142101 - Inventory</t>
        </is>
      </c>
      <c r="F39" s="3900" t="n"/>
      <c r="G39" s="3900" t="n"/>
      <c r="H39" s="3900" t="n"/>
      <c r="I39" s="3900" t="n"/>
      <c r="J39" s="3900" t="n"/>
      <c r="K39" s="3900" t="n"/>
      <c r="L39" s="3900" t="n"/>
      <c r="M39" s="3900" t="n"/>
      <c r="N39" s="3900" t="n"/>
      <c r="O39" s="3900" t="n"/>
      <c r="P39" s="3900" t="n"/>
      <c r="Q39" s="4200" t="n"/>
      <c r="R39" s="3900" t="n"/>
      <c r="S39" s="3900" t="n"/>
      <c r="T39" s="3900" t="n"/>
      <c r="U39" s="3900" t="n"/>
      <c r="V39" s="3900" t="n"/>
      <c r="W39" s="3900" t="n"/>
      <c r="X39" s="3900" t="n"/>
      <c r="Y39" s="3900" t="n"/>
      <c r="Z39" s="3900" t="n"/>
      <c r="AA39" s="3900" t="n"/>
      <c r="AB39" s="3900" t="n"/>
      <c r="AC39" s="4200" t="n"/>
      <c r="AD39" s="3900" t="n"/>
      <c r="AE39" s="3900" t="n"/>
      <c r="AF39" s="3900" t="n"/>
      <c r="AG39" s="3900" t="n"/>
      <c r="AH39" s="3900" t="n"/>
      <c r="AI39" s="3900" t="n"/>
      <c r="AJ39" s="3900" t="n"/>
      <c r="AK39" s="3900" t="n"/>
      <c r="AL39" s="3900" t="n"/>
      <c r="AM39" s="3900" t="n"/>
      <c r="AN39" s="3900" t="n"/>
      <c r="AO39" s="4200" t="n"/>
      <c r="AP39" s="3900" t="n">
        <v>428.38</v>
      </c>
      <c r="AQ39" s="3900" t="n">
        <v>428.38</v>
      </c>
      <c r="AR39" s="3900" t="n">
        <v>428.38</v>
      </c>
      <c r="AS39" s="3900" t="n">
        <v>433.789</v>
      </c>
      <c r="AT39" s="3900" t="n">
        <v>433.83963</v>
      </c>
      <c r="AU39" s="4201" t="n">
        <v>422.28133</v>
      </c>
      <c r="AV39" s="3900">
        <f>Q39</f>
        <v/>
      </c>
      <c r="AW39" s="3900">
        <f>AC39</f>
        <v/>
      </c>
      <c r="AX39" s="3900">
        <f>AO39</f>
        <v/>
      </c>
      <c r="AY39" s="3900">
        <f>AS39</f>
        <v/>
      </c>
      <c r="AZ39" s="3900">
        <f>AU39</f>
        <v/>
      </c>
      <c r="BA39" s="4202">
        <f>AVERAGE(F39:Q39)</f>
        <v/>
      </c>
      <c r="BB39" s="3900">
        <f>AVERAGE(R39:AC39)</f>
        <v/>
      </c>
      <c r="BC39" s="3900">
        <f>AVERAGE(AD39:AO39)</f>
        <v/>
      </c>
      <c r="BD39" s="3900">
        <f>AVERAGE(AH39:AS39)</f>
        <v/>
      </c>
      <c r="BE39" s="3900">
        <f>AVERAGE(AJ39:AU39)</f>
        <v/>
      </c>
      <c r="BF39" s="3743" t="n"/>
      <c r="BG39" s="3900" t="n">
        <v>122.314</v>
      </c>
    </row>
    <row r="40" hidden="1" outlineLevel="2" ht="12" customHeight="1" s="3710">
      <c r="B40" s="3891" t="n"/>
      <c r="C40" s="4203" t="inlineStr">
        <is>
          <t>Inventory - rental units</t>
        </is>
      </c>
      <c r="D40" s="4204" t="n">
        <v>142112</v>
      </c>
      <c r="E40" s="4204" t="inlineStr">
        <is>
          <t>142112 - Inventory - Rental Units</t>
        </is>
      </c>
      <c r="F40" s="4205" t="n"/>
      <c r="G40" s="4205" t="n"/>
      <c r="H40" s="4205" t="n"/>
      <c r="I40" s="4205" t="n"/>
      <c r="J40" s="4205" t="n"/>
      <c r="K40" s="4205" t="n"/>
      <c r="L40" s="4205" t="n"/>
      <c r="M40" s="4205" t="n"/>
      <c r="N40" s="4205" t="n"/>
      <c r="O40" s="4205" t="n"/>
      <c r="P40" s="4205" t="n"/>
      <c r="Q40" s="4206" t="n"/>
      <c r="R40" s="4205" t="n"/>
      <c r="S40" s="4205" t="n"/>
      <c r="T40" s="4205" t="n"/>
      <c r="U40" s="4205" t="n"/>
      <c r="V40" s="4205" t="n"/>
      <c r="W40" s="4205" t="n"/>
      <c r="X40" s="4205" t="n"/>
      <c r="Y40" s="4205" t="n"/>
      <c r="Z40" s="4205" t="n"/>
      <c r="AA40" s="4205" t="n"/>
      <c r="AB40" s="4205" t="n"/>
      <c r="AC40" s="4206" t="n"/>
      <c r="AD40" s="4205" t="n"/>
      <c r="AE40" s="4205" t="n"/>
      <c r="AF40" s="4205" t="n"/>
      <c r="AG40" s="4205" t="n"/>
      <c r="AH40" s="4205" t="n"/>
      <c r="AI40" s="4205" t="n"/>
      <c r="AJ40" s="4205" t="n"/>
      <c r="AK40" s="4205" t="n"/>
      <c r="AL40" s="4205" t="n"/>
      <c r="AM40" s="4205" t="n"/>
      <c r="AN40" s="4205" t="n"/>
      <c r="AO40" s="4206" t="n"/>
      <c r="AP40" s="4205" t="n">
        <v>-282.064</v>
      </c>
      <c r="AQ40" s="4205" t="n">
        <v>-292.064</v>
      </c>
      <c r="AR40" s="4205" t="n">
        <v>-302.064</v>
      </c>
      <c r="AS40" s="4205" t="n">
        <v>-312.064</v>
      </c>
      <c r="AT40" s="4205" t="n">
        <v>-322.06411</v>
      </c>
      <c r="AU40" s="4207" t="n">
        <v>-332.06411</v>
      </c>
      <c r="AV40" s="4205">
        <f>Q40</f>
        <v/>
      </c>
      <c r="AW40" s="4205">
        <f>AC40</f>
        <v/>
      </c>
      <c r="AX40" s="4205">
        <f>AO40</f>
        <v/>
      </c>
      <c r="AY40" s="4205">
        <f>AS40</f>
        <v/>
      </c>
      <c r="AZ40" s="4205">
        <f>AU40</f>
        <v/>
      </c>
      <c r="BA40" s="4208">
        <f>AVERAGE(F40:Q40)</f>
        <v/>
      </c>
      <c r="BB40" s="4205">
        <f>AVERAGE(R40:AC40)</f>
        <v/>
      </c>
      <c r="BC40" s="4205">
        <f>AVERAGE(AD40:AO40)</f>
        <v/>
      </c>
      <c r="BD40" s="4205">
        <f>AVERAGE(AH40:AS40)</f>
        <v/>
      </c>
      <c r="BE40" s="4205">
        <f>AVERAGE(AJ40:AU40)</f>
        <v/>
      </c>
      <c r="BF40" s="3743" t="n"/>
      <c r="BG40" s="4205" t="n">
        <v>-67.06399999999999</v>
      </c>
    </row>
    <row r="41" hidden="1" outlineLevel="1" collapsed="1" ht="12" customHeight="1" s="3710">
      <c r="B41" s="3891" t="n"/>
      <c r="C41" s="4017" t="inlineStr">
        <is>
          <t>Inventory</t>
        </is>
      </c>
      <c r="D41" s="3902" t="n"/>
      <c r="E41" s="3902" t="n"/>
      <c r="F41" s="3900" t="n"/>
      <c r="G41" s="3900" t="n"/>
      <c r="H41" s="3900" t="n"/>
      <c r="I41" s="3900" t="n"/>
      <c r="J41" s="3900" t="n"/>
      <c r="K41" s="3900" t="n"/>
      <c r="L41" s="3900" t="n"/>
      <c r="M41" s="3900" t="n"/>
      <c r="N41" s="3900" t="n"/>
      <c r="O41" s="3900" t="n"/>
      <c r="P41" s="3900" t="n"/>
      <c r="Q41" s="4200" t="n"/>
      <c r="R41" s="3900" t="n"/>
      <c r="S41" s="3900" t="n"/>
      <c r="T41" s="3900" t="n"/>
      <c r="U41" s="3900" t="n"/>
      <c r="V41" s="3900" t="n"/>
      <c r="W41" s="3900" t="n"/>
      <c r="X41" s="3900" t="n"/>
      <c r="Y41" s="3900" t="n"/>
      <c r="Z41" s="3900" t="n"/>
      <c r="AA41" s="3900" t="n"/>
      <c r="AB41" s="3900" t="n"/>
      <c r="AC41" s="4200" t="n"/>
      <c r="AD41" s="3900" t="n"/>
      <c r="AE41" s="3900" t="n"/>
      <c r="AF41" s="3900" t="n"/>
      <c r="AG41" s="3900" t="n"/>
      <c r="AH41" s="3900" t="n"/>
      <c r="AI41" s="3900" t="n"/>
      <c r="AJ41" s="3900" t="n"/>
      <c r="AK41" s="3900" t="n"/>
      <c r="AL41" s="3900" t="n"/>
      <c r="AM41" s="3900" t="n"/>
      <c r="AN41" s="3900" t="n"/>
      <c r="AO41" s="4200" t="n"/>
      <c r="AP41" s="3900">
        <f>SUM(AP38:AP40)</f>
        <v/>
      </c>
      <c r="AQ41" s="3900">
        <f>SUM(AQ38:AQ40)</f>
        <v/>
      </c>
      <c r="AR41" s="3900">
        <f>SUM(AR38:AR40)</f>
        <v/>
      </c>
      <c r="AS41" s="3900">
        <f>SUM(AS38:AS40)</f>
        <v/>
      </c>
      <c r="AT41" s="3900">
        <f>SUM(AT38:AT40)</f>
        <v/>
      </c>
      <c r="AU41" s="4201">
        <f>SUM(AU38:AU40)</f>
        <v/>
      </c>
      <c r="AV41" s="3900">
        <f>SUM(AV38:AV40)</f>
        <v/>
      </c>
      <c r="AW41" s="3900">
        <f>SUM(AW38:AW40)</f>
        <v/>
      </c>
      <c r="AX41" s="3900">
        <f>SUM(AX38:AX40)</f>
        <v/>
      </c>
      <c r="AY41" s="3900">
        <f>SUM(AY38:AY40)</f>
        <v/>
      </c>
      <c r="AZ41" s="3900">
        <f>SUM(AZ38:AZ40)</f>
        <v/>
      </c>
      <c r="BA41" s="4202">
        <f>SUM(BA38:BA40)</f>
        <v/>
      </c>
      <c r="BB41" s="3900">
        <f>SUM(BB38:BB40)</f>
        <v/>
      </c>
      <c r="BC41" s="3900">
        <f>SUM(BC38:BC40)</f>
        <v/>
      </c>
      <c r="BD41" s="3900">
        <f>SUM(BD38:BD40)</f>
        <v/>
      </c>
      <c r="BE41" s="3900">
        <f>SUM(BE38:BE40)</f>
        <v/>
      </c>
      <c r="BF41" s="3743" t="n"/>
      <c r="BG41" s="3900">
        <f>SUM(BG38:BG40)</f>
        <v/>
      </c>
    </row>
    <row r="42" hidden="1" outlineLevel="2" ht="12" customHeight="1" s="3710">
      <c r="B42" s="3891" t="n"/>
      <c r="C42" s="4012" t="inlineStr">
        <is>
          <t>Prepaid SW license fees</t>
        </is>
      </c>
      <c r="D42" s="3902" t="n">
        <v>141511</v>
      </c>
      <c r="E42" s="3902" t="inlineStr">
        <is>
          <t>141511 - Prepaid SW License Fees</t>
        </is>
      </c>
      <c r="F42" s="3900" t="n"/>
      <c r="G42" s="3900" t="n"/>
      <c r="H42" s="3900" t="n"/>
      <c r="I42" s="3900" t="n"/>
      <c r="J42" s="3900" t="n"/>
      <c r="K42" s="3900" t="n"/>
      <c r="L42" s="3900" t="n"/>
      <c r="M42" s="3900" t="n"/>
      <c r="N42" s="3900" t="n"/>
      <c r="O42" s="3900" t="n"/>
      <c r="P42" s="3900" t="n"/>
      <c r="Q42" s="4200" t="n"/>
      <c r="R42" s="3900" t="n"/>
      <c r="S42" s="3900" t="n"/>
      <c r="T42" s="3900" t="n"/>
      <c r="U42" s="3900" t="n"/>
      <c r="V42" s="3900" t="n"/>
      <c r="W42" s="3900" t="n"/>
      <c r="X42" s="3900" t="n"/>
      <c r="Y42" s="3900" t="n"/>
      <c r="Z42" s="3900" t="n"/>
      <c r="AA42" s="3900" t="n"/>
      <c r="AB42" s="3900" t="n"/>
      <c r="AC42" s="4200" t="n"/>
      <c r="AD42" s="3900" t="n"/>
      <c r="AE42" s="3900" t="n"/>
      <c r="AF42" s="3900" t="n"/>
      <c r="AG42" s="3900" t="n"/>
      <c r="AH42" s="3900" t="n"/>
      <c r="AI42" s="3900" t="n"/>
      <c r="AJ42" s="3900" t="n"/>
      <c r="AK42" s="3900" t="n"/>
      <c r="AL42" s="3900" t="n"/>
      <c r="AM42" s="3900" t="n"/>
      <c r="AN42" s="3900" t="n"/>
      <c r="AO42" s="4200" t="n"/>
      <c r="AP42" s="3900" t="n">
        <v>1991.456</v>
      </c>
      <c r="AQ42" s="3900" t="n">
        <v>2127.768</v>
      </c>
      <c r="AR42" s="3900" t="n">
        <v>1851.546</v>
      </c>
      <c r="AS42" s="3900" t="n">
        <v>1692.646</v>
      </c>
      <c r="AT42" s="3900" t="n">
        <v>1558.55652</v>
      </c>
      <c r="AU42" s="4201" t="n">
        <v>1298.78815</v>
      </c>
      <c r="AV42" s="3900">
        <f>Q42</f>
        <v/>
      </c>
      <c r="AW42" s="3900">
        <f>AC42</f>
        <v/>
      </c>
      <c r="AX42" s="3900">
        <f>AO42</f>
        <v/>
      </c>
      <c r="AY42" s="3900">
        <f>AS42</f>
        <v/>
      </c>
      <c r="AZ42" s="3900">
        <f>AU42</f>
        <v/>
      </c>
      <c r="BA42" s="4202">
        <f>AVERAGE(F42:Q42)</f>
        <v/>
      </c>
      <c r="BB42" s="3900">
        <f>AVERAGE(R42:AC42)</f>
        <v/>
      </c>
      <c r="BC42" s="3900">
        <f>AVERAGE(AD42:AO42)</f>
        <v/>
      </c>
      <c r="BD42" s="3900">
        <f>AVERAGE(AH42:AS42)</f>
        <v/>
      </c>
      <c r="BE42" s="3900">
        <f>AVERAGE(AJ42:AU42)</f>
        <v/>
      </c>
      <c r="BF42" s="3743" t="n"/>
      <c r="BG42" s="3900" t="n">
        <v>1321.887</v>
      </c>
    </row>
    <row r="43" hidden="1" outlineLevel="2" ht="12" customHeight="1" s="3710">
      <c r="B43" s="3891" t="n"/>
      <c r="C43" s="4012" t="inlineStr">
        <is>
          <t>Prepaid SW maintenance</t>
        </is>
      </c>
      <c r="D43" s="3902" t="n">
        <v>141204</v>
      </c>
      <c r="E43" s="3902" t="inlineStr">
        <is>
          <t>141204 - Prepaid SW Maintenance</t>
        </is>
      </c>
      <c r="F43" s="3900" t="n"/>
      <c r="G43" s="3900" t="n"/>
      <c r="H43" s="3900" t="n"/>
      <c r="I43" s="3900" t="n"/>
      <c r="J43" s="3900" t="n"/>
      <c r="K43" s="3900" t="n"/>
      <c r="L43" s="3900" t="n"/>
      <c r="M43" s="3900" t="n"/>
      <c r="N43" s="3900" t="n"/>
      <c r="O43" s="3900" t="n"/>
      <c r="P43" s="3900" t="n"/>
      <c r="Q43" s="4200" t="n"/>
      <c r="R43" s="3900" t="n"/>
      <c r="S43" s="3900" t="n"/>
      <c r="T43" s="3900" t="n"/>
      <c r="U43" s="3900" t="n"/>
      <c r="V43" s="3900" t="n"/>
      <c r="W43" s="3900" t="n"/>
      <c r="X43" s="3900" t="n"/>
      <c r="Y43" s="3900" t="n"/>
      <c r="Z43" s="3900" t="n"/>
      <c r="AA43" s="3900" t="n"/>
      <c r="AB43" s="3900" t="n"/>
      <c r="AC43" s="4200" t="n"/>
      <c r="AD43" s="3900" t="n"/>
      <c r="AE43" s="3900" t="n"/>
      <c r="AF43" s="3900" t="n"/>
      <c r="AG43" s="3900" t="n"/>
      <c r="AH43" s="3900" t="n"/>
      <c r="AI43" s="3900" t="n"/>
      <c r="AJ43" s="3900" t="n"/>
      <c r="AK43" s="3900" t="n"/>
      <c r="AL43" s="3900" t="n"/>
      <c r="AM43" s="3900" t="n"/>
      <c r="AN43" s="3900" t="n"/>
      <c r="AO43" s="4200" t="n"/>
      <c r="AP43" s="3900" t="n">
        <v>525.013</v>
      </c>
      <c r="AQ43" s="3900" t="n">
        <v>547.835</v>
      </c>
      <c r="AR43" s="3900" t="n">
        <v>588.654</v>
      </c>
      <c r="AS43" s="3900" t="n">
        <v>633.546</v>
      </c>
      <c r="AT43" s="3900" t="n">
        <v>605.18264</v>
      </c>
      <c r="AU43" s="4201" t="n">
        <v>655.1564100000001</v>
      </c>
      <c r="AV43" s="3900">
        <f>Q43</f>
        <v/>
      </c>
      <c r="AW43" s="3900">
        <f>AC43</f>
        <v/>
      </c>
      <c r="AX43" s="3900">
        <f>AO43</f>
        <v/>
      </c>
      <c r="AY43" s="3900">
        <f>AS43</f>
        <v/>
      </c>
      <c r="AZ43" s="3900">
        <f>AU43</f>
        <v/>
      </c>
      <c r="BA43" s="4202">
        <f>AVERAGE(F43:Q43)</f>
        <v/>
      </c>
      <c r="BB43" s="3900">
        <f>AVERAGE(R43:AC43)</f>
        <v/>
      </c>
      <c r="BC43" s="3900">
        <f>AVERAGE(AD43:AO43)</f>
        <v/>
      </c>
      <c r="BD43" s="3900">
        <f>AVERAGE(AH43:AS43)</f>
        <v/>
      </c>
      <c r="BE43" s="3900">
        <f>AVERAGE(AJ43:AU43)</f>
        <v/>
      </c>
      <c r="BF43" s="3743" t="n"/>
      <c r="BG43" s="3900" t="n">
        <v>530.977</v>
      </c>
    </row>
    <row r="44" hidden="1" outlineLevel="2" ht="12" customHeight="1" s="3710">
      <c r="B44" s="3891" t="n"/>
      <c r="C44" s="4012" t="inlineStr">
        <is>
          <t>Prepaid HW maintenance</t>
        </is>
      </c>
      <c r="D44" s="3902" t="n">
        <v>141203</v>
      </c>
      <c r="E44" s="3902" t="inlineStr">
        <is>
          <t>141203 - Prepaid HW Maintenance</t>
        </is>
      </c>
      <c r="F44" s="3900" t="n"/>
      <c r="G44" s="3900" t="n"/>
      <c r="H44" s="3900" t="n"/>
      <c r="I44" s="3900" t="n"/>
      <c r="J44" s="3900" t="n"/>
      <c r="K44" s="3900" t="n"/>
      <c r="L44" s="3900" t="n"/>
      <c r="M44" s="3900" t="n"/>
      <c r="N44" s="3900" t="n"/>
      <c r="O44" s="3900" t="n"/>
      <c r="P44" s="3900" t="n"/>
      <c r="Q44" s="4200" t="n"/>
      <c r="R44" s="3900" t="n"/>
      <c r="S44" s="3900" t="n"/>
      <c r="T44" s="3900" t="n"/>
      <c r="U44" s="3900" t="n"/>
      <c r="V44" s="3900" t="n"/>
      <c r="W44" s="3900" t="n"/>
      <c r="X44" s="3900" t="n"/>
      <c r="Y44" s="3900" t="n"/>
      <c r="Z44" s="3900" t="n"/>
      <c r="AA44" s="3900" t="n"/>
      <c r="AB44" s="3900" t="n"/>
      <c r="AC44" s="4200" t="n"/>
      <c r="AD44" s="3900" t="n"/>
      <c r="AE44" s="3900" t="n"/>
      <c r="AF44" s="3900" t="n"/>
      <c r="AG44" s="3900" t="n"/>
      <c r="AH44" s="3900" t="n"/>
      <c r="AI44" s="3900" t="n"/>
      <c r="AJ44" s="3900" t="n"/>
      <c r="AK44" s="3900" t="n"/>
      <c r="AL44" s="3900" t="n"/>
      <c r="AM44" s="3900" t="n"/>
      <c r="AN44" s="3900" t="n"/>
      <c r="AO44" s="4200" t="n"/>
      <c r="AP44" s="3900" t="n">
        <v>293.093</v>
      </c>
      <c r="AQ44" s="3900" t="n">
        <v>260.882</v>
      </c>
      <c r="AR44" s="3900" t="n">
        <v>267.372</v>
      </c>
      <c r="AS44" s="3900" t="n">
        <v>237.432</v>
      </c>
      <c r="AT44" s="3900" t="n">
        <v>203.91198</v>
      </c>
      <c r="AU44" s="4201" t="n">
        <v>191.3329</v>
      </c>
      <c r="AV44" s="3900">
        <f>Q44</f>
        <v/>
      </c>
      <c r="AW44" s="3900">
        <f>AC44</f>
        <v/>
      </c>
      <c r="AX44" s="3900">
        <f>AO44</f>
        <v/>
      </c>
      <c r="AY44" s="3900">
        <f>AS44</f>
        <v/>
      </c>
      <c r="AZ44" s="3900">
        <f>AU44</f>
        <v/>
      </c>
      <c r="BA44" s="4202">
        <f>AVERAGE(F44:Q44)</f>
        <v/>
      </c>
      <c r="BB44" s="3900">
        <f>AVERAGE(R44:AC44)</f>
        <v/>
      </c>
      <c r="BC44" s="3900">
        <f>AVERAGE(AD44:AO44)</f>
        <v/>
      </c>
      <c r="BD44" s="3900">
        <f>AVERAGE(AH44:AS44)</f>
        <v/>
      </c>
      <c r="BE44" s="3900">
        <f>AVERAGE(AJ44:AU44)</f>
        <v/>
      </c>
      <c r="BF44" s="3743" t="n"/>
      <c r="BG44" s="3900" t="n">
        <v>312.069</v>
      </c>
    </row>
    <row r="45" hidden="1" outlineLevel="2" ht="12" customHeight="1" s="3710">
      <c r="A45" s="4209" t="n"/>
      <c r="B45" s="3891" t="n"/>
      <c r="C45" s="4012" t="inlineStr">
        <is>
          <t>Prepaid insurance</t>
        </is>
      </c>
      <c r="D45" s="3902" t="n">
        <v>143201</v>
      </c>
      <c r="E45" s="3902" t="inlineStr">
        <is>
          <t>143201 - Prepaid Insurance</t>
        </is>
      </c>
      <c r="F45" s="3900" t="n"/>
      <c r="G45" s="3900" t="n"/>
      <c r="H45" s="3900" t="n"/>
      <c r="I45" s="3900" t="n"/>
      <c r="J45" s="3900" t="n"/>
      <c r="K45" s="3900" t="n"/>
      <c r="L45" s="3900" t="n"/>
      <c r="M45" s="3900" t="n"/>
      <c r="N45" s="3900" t="n"/>
      <c r="O45" s="3900" t="n"/>
      <c r="P45" s="3900" t="n"/>
      <c r="Q45" s="4200" t="n"/>
      <c r="R45" s="3900" t="n"/>
      <c r="S45" s="3900" t="n"/>
      <c r="T45" s="3900" t="n"/>
      <c r="U45" s="3900" t="n"/>
      <c r="V45" s="3900" t="n"/>
      <c r="W45" s="3900" t="n"/>
      <c r="X45" s="3900" t="n"/>
      <c r="Y45" s="3900" t="n"/>
      <c r="Z45" s="3900" t="n"/>
      <c r="AA45" s="3900" t="n"/>
      <c r="AB45" s="3900" t="n"/>
      <c r="AC45" s="4200" t="n"/>
      <c r="AD45" s="3900" t="n"/>
      <c r="AE45" s="3900" t="n"/>
      <c r="AF45" s="3900" t="n"/>
      <c r="AG45" s="3900" t="n"/>
      <c r="AH45" s="3900" t="n"/>
      <c r="AI45" s="3900" t="n"/>
      <c r="AJ45" s="3900" t="n"/>
      <c r="AK45" s="3900" t="n"/>
      <c r="AL45" s="3900" t="n"/>
      <c r="AM45" s="3900" t="n"/>
      <c r="AN45" s="3900" t="n"/>
      <c r="AO45" s="4200" t="n"/>
      <c r="AP45" s="3900" t="n">
        <v>311.021</v>
      </c>
      <c r="AQ45" s="3900" t="n">
        <v>246.416</v>
      </c>
      <c r="AR45" s="3900" t="n">
        <v>181.811</v>
      </c>
      <c r="AS45" s="3900" t="n">
        <v>117.206</v>
      </c>
      <c r="AT45" s="3900" t="n">
        <v>52.60135</v>
      </c>
      <c r="AU45" s="4201" t="n">
        <v>122.66079</v>
      </c>
      <c r="AV45" s="3900">
        <f>Q45</f>
        <v/>
      </c>
      <c r="AW45" s="3900">
        <f>AC45</f>
        <v/>
      </c>
      <c r="AX45" s="3900">
        <f>AO45</f>
        <v/>
      </c>
      <c r="AY45" s="3900">
        <f>AS45</f>
        <v/>
      </c>
      <c r="AZ45" s="3900">
        <f>AU45</f>
        <v/>
      </c>
      <c r="BA45" s="4202">
        <f>AVERAGE(F45:Q45)</f>
        <v/>
      </c>
      <c r="BB45" s="3900">
        <f>AVERAGE(R45:AC45)</f>
        <v/>
      </c>
      <c r="BC45" s="3900">
        <f>AVERAGE(AD45:AO45)</f>
        <v/>
      </c>
      <c r="BD45" s="3900">
        <f>AVERAGE(AH45:AS45)</f>
        <v/>
      </c>
      <c r="BE45" s="3900">
        <f>AVERAGE(AJ45:AU45)</f>
        <v/>
      </c>
      <c r="BF45" s="3743" t="n"/>
      <c r="BG45" s="3900" t="n">
        <v>92.727</v>
      </c>
    </row>
    <row r="46" hidden="1" outlineLevel="2" ht="12" customHeight="1" s="3710">
      <c r="B46" s="4555" t="n"/>
      <c r="C46" s="4012" t="inlineStr">
        <is>
          <t>Prepaid rent</t>
        </is>
      </c>
      <c r="D46" s="3902" t="n">
        <v>143201</v>
      </c>
      <c r="E46" s="3902" t="inlineStr">
        <is>
          <t>143201 - Prepaid Rent</t>
        </is>
      </c>
      <c r="F46" s="3900" t="n"/>
      <c r="G46" s="3900" t="n"/>
      <c r="H46" s="3900" t="n"/>
      <c r="I46" s="3900" t="n"/>
      <c r="J46" s="3900" t="n"/>
      <c r="K46" s="3900" t="n"/>
      <c r="L46" s="3900" t="n"/>
      <c r="M46" s="3900" t="n"/>
      <c r="N46" s="3900" t="n"/>
      <c r="O46" s="3900" t="n"/>
      <c r="P46" s="3900" t="n"/>
      <c r="Q46" s="4200" t="n"/>
      <c r="R46" s="3900" t="n"/>
      <c r="S46" s="3900" t="n"/>
      <c r="T46" s="3900" t="n"/>
      <c r="U46" s="3900" t="n"/>
      <c r="V46" s="3900" t="n"/>
      <c r="W46" s="3900" t="n"/>
      <c r="X46" s="3900" t="n"/>
      <c r="Y46" s="3900" t="n"/>
      <c r="Z46" s="3900" t="n"/>
      <c r="AA46" s="3900" t="n"/>
      <c r="AB46" s="3900" t="n"/>
      <c r="AC46" s="4200" t="n"/>
      <c r="AD46" s="3900" t="n"/>
      <c r="AE46" s="3900" t="n"/>
      <c r="AF46" s="3900" t="n"/>
      <c r="AG46" s="3900" t="n"/>
      <c r="AH46" s="3900" t="n"/>
      <c r="AI46" s="3900" t="n"/>
      <c r="AJ46" s="3900" t="n"/>
      <c r="AK46" s="3900" t="n"/>
      <c r="AL46" s="3900" t="n"/>
      <c r="AM46" s="3900" t="n"/>
      <c r="AN46" s="3900" t="n"/>
      <c r="AO46" s="4200" t="n"/>
      <c r="AP46" s="3900" t="n">
        <v>58.843</v>
      </c>
      <c r="AQ46" s="3900" t="n">
        <v>58.843</v>
      </c>
      <c r="AR46" s="3900" t="n">
        <v>58.843</v>
      </c>
      <c r="AS46" s="3900" t="n">
        <v>58.843</v>
      </c>
      <c r="AT46" s="3900" t="n">
        <v>58.84289</v>
      </c>
      <c r="AU46" s="4201" t="n">
        <v>58.84286</v>
      </c>
      <c r="AV46" s="3900">
        <f>Q46</f>
        <v/>
      </c>
      <c r="AW46" s="3900">
        <f>AC46</f>
        <v/>
      </c>
      <c r="AX46" s="3900">
        <f>AO46</f>
        <v/>
      </c>
      <c r="AY46" s="3900">
        <f>AS46</f>
        <v/>
      </c>
      <c r="AZ46" s="3900">
        <f>AU46</f>
        <v/>
      </c>
      <c r="BA46" s="4202">
        <f>AVERAGE(F46:Q46)</f>
        <v/>
      </c>
      <c r="BB46" s="3900">
        <f>AVERAGE(R46:AC46)</f>
        <v/>
      </c>
      <c r="BC46" s="3900">
        <f>AVERAGE(AD46:AO46)</f>
        <v/>
      </c>
      <c r="BD46" s="3900">
        <f>AVERAGE(AH46:AS46)</f>
        <v/>
      </c>
      <c r="BE46" s="3900">
        <f>AVERAGE(AJ46:AU46)</f>
        <v/>
      </c>
      <c r="BF46" s="3743" t="n"/>
      <c r="BG46" s="3900" t="n">
        <v>55.779</v>
      </c>
    </row>
    <row r="47" hidden="1" outlineLevel="2" ht="12" customHeight="1" s="3710">
      <c r="B47" s="3891" t="n"/>
      <c r="C47" s="4012" t="inlineStr">
        <is>
          <t>Prepaid other miscellaneous</t>
        </is>
      </c>
      <c r="D47" s="3902" t="n">
        <v>141501</v>
      </c>
      <c r="E47" s="3902" t="inlineStr">
        <is>
          <t>141501 - Prepaid Other Miscellaneous</t>
        </is>
      </c>
      <c r="F47" s="3900" t="n"/>
      <c r="G47" s="3900" t="n"/>
      <c r="H47" s="3900" t="n"/>
      <c r="I47" s="3900" t="n"/>
      <c r="J47" s="3900" t="n"/>
      <c r="K47" s="3900" t="n"/>
      <c r="L47" s="3900" t="n"/>
      <c r="M47" s="3900" t="n"/>
      <c r="N47" s="3900" t="n"/>
      <c r="O47" s="3900" t="n"/>
      <c r="P47" s="3900" t="n"/>
      <c r="Q47" s="4200" t="n"/>
      <c r="R47" s="3900" t="n"/>
      <c r="S47" s="3900" t="n"/>
      <c r="T47" s="3900" t="n"/>
      <c r="U47" s="3900" t="n"/>
      <c r="V47" s="3900" t="n"/>
      <c r="W47" s="3900" t="n"/>
      <c r="X47" s="3900" t="n"/>
      <c r="Y47" s="3900" t="n"/>
      <c r="Z47" s="3900" t="n"/>
      <c r="AA47" s="3900" t="n"/>
      <c r="AB47" s="3900" t="n"/>
      <c r="AC47" s="4200" t="n"/>
      <c r="AD47" s="3900" t="n"/>
      <c r="AE47" s="3900" t="n"/>
      <c r="AF47" s="3900" t="n"/>
      <c r="AG47" s="3900" t="n"/>
      <c r="AH47" s="3900" t="n"/>
      <c r="AI47" s="3900" t="n"/>
      <c r="AJ47" s="3900" t="n"/>
      <c r="AK47" s="3900" t="n"/>
      <c r="AL47" s="3900" t="n"/>
      <c r="AM47" s="3900" t="n"/>
      <c r="AN47" s="3900" t="n"/>
      <c r="AO47" s="4200" t="n"/>
      <c r="AP47" s="3900" t="n">
        <v>54.932</v>
      </c>
      <c r="AQ47" s="3900" t="n">
        <v>84.304</v>
      </c>
      <c r="AR47" s="3900" t="n">
        <v>87.55500000000001</v>
      </c>
      <c r="AS47" s="3900" t="n">
        <v>89.944</v>
      </c>
      <c r="AT47" s="3900" t="n">
        <v>81.6555</v>
      </c>
      <c r="AU47" s="4201" t="n">
        <v>66.84681999999999</v>
      </c>
      <c r="AV47" s="3900">
        <f>Q47</f>
        <v/>
      </c>
      <c r="AW47" s="3900">
        <f>AC47</f>
        <v/>
      </c>
      <c r="AX47" s="3900">
        <f>AO47</f>
        <v/>
      </c>
      <c r="AY47" s="3900">
        <f>AS47</f>
        <v/>
      </c>
      <c r="AZ47" s="3900">
        <f>AU47</f>
        <v/>
      </c>
      <c r="BA47" s="4202">
        <f>AVERAGE(F47:Q47)</f>
        <v/>
      </c>
      <c r="BB47" s="3900">
        <f>AVERAGE(R47:AC47)</f>
        <v/>
      </c>
      <c r="BC47" s="3900">
        <f>AVERAGE(AD47:AO47)</f>
        <v/>
      </c>
      <c r="BD47" s="3900">
        <f>AVERAGE(AH47:AS47)</f>
        <v/>
      </c>
      <c r="BE47" s="3900">
        <f>AVERAGE(AJ47:AU47)</f>
        <v/>
      </c>
      <c r="BF47" s="3743" t="n"/>
      <c r="BG47" s="3900" t="n">
        <v>59.901</v>
      </c>
    </row>
    <row r="48" hidden="1" outlineLevel="2" ht="12" customHeight="1" s="3710">
      <c r="B48" s="3891" t="n"/>
      <c r="C48" s="4203" t="inlineStr">
        <is>
          <t>Prepaid marketing &amp; tradeshow</t>
        </is>
      </c>
      <c r="D48" s="4204" t="n">
        <v>141502</v>
      </c>
      <c r="E48" s="4204" t="inlineStr">
        <is>
          <t>141502 - Prepaid Marketing &amp; Tradeshow</t>
        </is>
      </c>
      <c r="F48" s="4205" t="n"/>
      <c r="G48" s="4205" t="n"/>
      <c r="H48" s="4205" t="n"/>
      <c r="I48" s="4205" t="n"/>
      <c r="J48" s="4205" t="n"/>
      <c r="K48" s="4205" t="n"/>
      <c r="L48" s="4205" t="n"/>
      <c r="M48" s="4205" t="n"/>
      <c r="N48" s="4205" t="n"/>
      <c r="O48" s="4205" t="n"/>
      <c r="P48" s="4205" t="n"/>
      <c r="Q48" s="4206" t="n"/>
      <c r="R48" s="4205" t="n"/>
      <c r="S48" s="4205" t="n"/>
      <c r="T48" s="4205" t="n"/>
      <c r="U48" s="4205" t="n"/>
      <c r="V48" s="4205" t="n"/>
      <c r="W48" s="4205" t="n"/>
      <c r="X48" s="4205" t="n"/>
      <c r="Y48" s="4205" t="n"/>
      <c r="Z48" s="4205" t="n"/>
      <c r="AA48" s="4205" t="n"/>
      <c r="AB48" s="4205" t="n"/>
      <c r="AC48" s="4206" t="n"/>
      <c r="AD48" s="4205" t="n"/>
      <c r="AE48" s="4205" t="n"/>
      <c r="AF48" s="4205" t="n"/>
      <c r="AG48" s="4205" t="n"/>
      <c r="AH48" s="4205" t="n"/>
      <c r="AI48" s="4205" t="n"/>
      <c r="AJ48" s="4205" t="n"/>
      <c r="AK48" s="4205" t="n"/>
      <c r="AL48" s="4205" t="n"/>
      <c r="AM48" s="4205" t="n"/>
      <c r="AN48" s="4205" t="n"/>
      <c r="AO48" s="4206" t="n"/>
      <c r="AP48" s="4205" t="n">
        <v>3.681</v>
      </c>
      <c r="AQ48" s="4205" t="n">
        <v>27.827</v>
      </c>
      <c r="AR48" s="4205" t="n">
        <v>27.748</v>
      </c>
      <c r="AS48" s="4205" t="n">
        <v>41.704</v>
      </c>
      <c r="AT48" s="4205" t="n">
        <v>13.67372</v>
      </c>
      <c r="AU48" s="4207" t="n">
        <v>10.56226</v>
      </c>
      <c r="AV48" s="4205">
        <f>Q48</f>
        <v/>
      </c>
      <c r="AW48" s="4205">
        <f>AC48</f>
        <v/>
      </c>
      <c r="AX48" s="4205">
        <f>AO48</f>
        <v/>
      </c>
      <c r="AY48" s="4205">
        <f>AS48</f>
        <v/>
      </c>
      <c r="AZ48" s="4205">
        <f>AU48</f>
        <v/>
      </c>
      <c r="BA48" s="4208">
        <f>AVERAGE(F48:Q48)</f>
        <v/>
      </c>
      <c r="BB48" s="4205">
        <f>AVERAGE(R48:AC48)</f>
        <v/>
      </c>
      <c r="BC48" s="4205">
        <f>AVERAGE(AD48:AO48)</f>
        <v/>
      </c>
      <c r="BD48" s="4205">
        <f>AVERAGE(AH48:AS48)</f>
        <v/>
      </c>
      <c r="BE48" s="4205">
        <f>AVERAGE(AJ48:AU48)</f>
        <v/>
      </c>
      <c r="BF48" s="3743" t="n"/>
      <c r="BG48" s="4205" t="n">
        <v>12.555</v>
      </c>
    </row>
    <row r="49" hidden="1" outlineLevel="1" collapsed="1" ht="12" customHeight="1" s="3710">
      <c r="B49" s="3891" t="n"/>
      <c r="C49" s="4017" t="inlineStr">
        <is>
          <t xml:space="preserve">Prepaid expenses </t>
        </is>
      </c>
      <c r="D49" s="3902" t="n"/>
      <c r="E49" s="3902" t="n"/>
      <c r="F49" s="3900" t="n"/>
      <c r="G49" s="3900" t="n"/>
      <c r="H49" s="3900" t="n"/>
      <c r="I49" s="3900" t="n"/>
      <c r="J49" s="3900" t="n"/>
      <c r="K49" s="3900" t="n"/>
      <c r="L49" s="3900" t="n"/>
      <c r="M49" s="3900" t="n"/>
      <c r="N49" s="3900" t="n"/>
      <c r="O49" s="3900" t="n"/>
      <c r="P49" s="3900" t="n"/>
      <c r="Q49" s="4200" t="n"/>
      <c r="R49" s="3900" t="n"/>
      <c r="S49" s="3900" t="n"/>
      <c r="T49" s="3900" t="n"/>
      <c r="U49" s="3900" t="n"/>
      <c r="V49" s="3900" t="n"/>
      <c r="W49" s="3900" t="n"/>
      <c r="X49" s="3900" t="n"/>
      <c r="Y49" s="3900" t="n"/>
      <c r="Z49" s="3900" t="n"/>
      <c r="AA49" s="3900" t="n"/>
      <c r="AB49" s="3900" t="n"/>
      <c r="AC49" s="4200" t="n"/>
      <c r="AD49" s="3900" t="n"/>
      <c r="AE49" s="3900" t="n"/>
      <c r="AF49" s="3900" t="n"/>
      <c r="AG49" s="3900" t="n"/>
      <c r="AH49" s="3900" t="n"/>
      <c r="AI49" s="3900" t="n"/>
      <c r="AJ49" s="3900" t="n"/>
      <c r="AK49" s="3900" t="n"/>
      <c r="AL49" s="3900" t="n"/>
      <c r="AM49" s="3900" t="n"/>
      <c r="AN49" s="3900" t="n"/>
      <c r="AO49" s="4200" t="n"/>
      <c r="AP49" s="3900">
        <f>SUM(AP42:AP48)</f>
        <v/>
      </c>
      <c r="AQ49" s="3900">
        <f>SUM(AQ42:AQ48)</f>
        <v/>
      </c>
      <c r="AR49" s="3900">
        <f>SUM(AR42:AR48)</f>
        <v/>
      </c>
      <c r="AS49" s="3900">
        <f>SUM(AS42:AS48)</f>
        <v/>
      </c>
      <c r="AT49" s="3900">
        <f>SUM(AT42:AT48)</f>
        <v/>
      </c>
      <c r="AU49" s="4201">
        <f>SUM(AU42:AU48)</f>
        <v/>
      </c>
      <c r="AV49" s="3900">
        <f>SUM(AV42:AV48)</f>
        <v/>
      </c>
      <c r="AW49" s="3900">
        <f>SUM(AW42:AW48)</f>
        <v/>
      </c>
      <c r="AX49" s="3900">
        <f>SUM(AX42:AX48)</f>
        <v/>
      </c>
      <c r="AY49" s="3900">
        <f>SUM(AY42:AY48)</f>
        <v/>
      </c>
      <c r="AZ49" s="3900">
        <f>SUM(AZ42:AZ48)</f>
        <v/>
      </c>
      <c r="BA49" s="4202">
        <f>SUM(BA42:BA48)</f>
        <v/>
      </c>
      <c r="BB49" s="3900">
        <f>SUM(BB42:BB48)</f>
        <v/>
      </c>
      <c r="BC49" s="3900">
        <f>SUM(BC42:BC48)</f>
        <v/>
      </c>
      <c r="BD49" s="3900">
        <f>SUM(BD42:BD48)</f>
        <v/>
      </c>
      <c r="BE49" s="3900">
        <f>SUM(BE42:BE48)</f>
        <v/>
      </c>
      <c r="BF49" s="3743" t="n"/>
      <c r="BG49" s="3900">
        <f>SUM(BG42:BG48)</f>
        <v/>
      </c>
    </row>
    <row r="50" hidden="1" outlineLevel="2" ht="12" customHeight="1" s="3710">
      <c r="B50" s="3891" t="n"/>
      <c r="C50" s="4203" t="inlineStr">
        <is>
          <t>Contract assets current IFRS15</t>
        </is>
      </c>
      <c r="D50" s="4204" t="n">
        <v>148015</v>
      </c>
      <c r="E50" s="4204" t="inlineStr">
        <is>
          <t>148015 - Contract Assets Current IFRS15</t>
        </is>
      </c>
      <c r="F50" s="4205" t="n"/>
      <c r="G50" s="4205" t="n"/>
      <c r="H50" s="4205" t="n"/>
      <c r="I50" s="4205" t="n"/>
      <c r="J50" s="4205" t="n"/>
      <c r="K50" s="4205" t="n"/>
      <c r="L50" s="4205" t="n"/>
      <c r="M50" s="4205" t="n"/>
      <c r="N50" s="4205" t="n"/>
      <c r="O50" s="4205" t="n"/>
      <c r="P50" s="4205" t="n"/>
      <c r="Q50" s="4206" t="n"/>
      <c r="R50" s="4205" t="n"/>
      <c r="S50" s="4205" t="n"/>
      <c r="T50" s="4205" t="n"/>
      <c r="U50" s="4205" t="n"/>
      <c r="V50" s="4205" t="n"/>
      <c r="W50" s="4205" t="n"/>
      <c r="X50" s="4205" t="n"/>
      <c r="Y50" s="4205" t="n"/>
      <c r="Z50" s="4205" t="n"/>
      <c r="AA50" s="4205" t="n"/>
      <c r="AB50" s="4205" t="n"/>
      <c r="AC50" s="4206" t="n"/>
      <c r="AD50" s="4205" t="n"/>
      <c r="AE50" s="4205" t="n"/>
      <c r="AF50" s="4205" t="n"/>
      <c r="AG50" s="4205" t="n"/>
      <c r="AH50" s="4205" t="n"/>
      <c r="AI50" s="4205" t="n"/>
      <c r="AJ50" s="4205" t="n"/>
      <c r="AK50" s="4205" t="n"/>
      <c r="AL50" s="4205" t="n"/>
      <c r="AM50" s="4205" t="n"/>
      <c r="AN50" s="4205" t="n"/>
      <c r="AO50" s="4206" t="n"/>
      <c r="AP50" s="4205" t="n">
        <v>557.412</v>
      </c>
      <c r="AQ50" s="4205" t="n">
        <v>453.443</v>
      </c>
      <c r="AR50" s="4205" t="n">
        <v>440.59</v>
      </c>
      <c r="AS50" s="4205" t="n">
        <v>407.388</v>
      </c>
      <c r="AT50" s="4205" t="n">
        <v>372.07684</v>
      </c>
      <c r="AU50" s="4207" t="n">
        <v>321.22466</v>
      </c>
      <c r="AV50" s="4205">
        <f>Q50</f>
        <v/>
      </c>
      <c r="AW50" s="4205">
        <f>AC50</f>
        <v/>
      </c>
      <c r="AX50" s="4205">
        <f>AO50</f>
        <v/>
      </c>
      <c r="AY50" s="4205">
        <f>AS50</f>
        <v/>
      </c>
      <c r="AZ50" s="4205">
        <f>AU50</f>
        <v/>
      </c>
      <c r="BA50" s="4208">
        <f>AVERAGE(F50:Q50)</f>
        <v/>
      </c>
      <c r="BB50" s="4205">
        <f>AVERAGE(R50:AC50)</f>
        <v/>
      </c>
      <c r="BC50" s="4205">
        <f>AVERAGE(AD50:AO50)</f>
        <v/>
      </c>
      <c r="BD50" s="4205">
        <f>AVERAGE(AH50:AS50)</f>
        <v/>
      </c>
      <c r="BE50" s="4205">
        <f>AVERAGE(AJ50:AU50)</f>
        <v/>
      </c>
      <c r="BF50" s="3743" t="n"/>
      <c r="BG50" s="4205" t="n">
        <v>1010.722</v>
      </c>
    </row>
    <row r="51" hidden="1" outlineLevel="1" collapsed="1" ht="12" customHeight="1" s="3710">
      <c r="B51" s="3891" t="n"/>
      <c r="C51" s="4210" t="inlineStr">
        <is>
          <t>Unbilled revenue</t>
        </is>
      </c>
      <c r="D51" s="4204" t="n"/>
      <c r="E51" s="4204" t="n"/>
      <c r="F51" s="4205" t="n"/>
      <c r="G51" s="4205" t="n"/>
      <c r="H51" s="4205" t="n"/>
      <c r="I51" s="4205" t="n"/>
      <c r="J51" s="4205" t="n"/>
      <c r="K51" s="4205" t="n"/>
      <c r="L51" s="4205" t="n"/>
      <c r="M51" s="4205" t="n"/>
      <c r="N51" s="4205" t="n"/>
      <c r="O51" s="4205" t="n"/>
      <c r="P51" s="4205" t="n"/>
      <c r="Q51" s="4206" t="n"/>
      <c r="R51" s="4205" t="n"/>
      <c r="S51" s="4205" t="n"/>
      <c r="T51" s="4205" t="n"/>
      <c r="U51" s="4205" t="n"/>
      <c r="V51" s="4205" t="n"/>
      <c r="W51" s="4205" t="n"/>
      <c r="X51" s="4205" t="n"/>
      <c r="Y51" s="4205" t="n"/>
      <c r="Z51" s="4205" t="n"/>
      <c r="AA51" s="4205" t="n"/>
      <c r="AB51" s="4205" t="n"/>
      <c r="AC51" s="4206" t="n"/>
      <c r="AD51" s="4205" t="n"/>
      <c r="AE51" s="4205" t="n"/>
      <c r="AF51" s="4205" t="n"/>
      <c r="AG51" s="4205" t="n"/>
      <c r="AH51" s="4205" t="n"/>
      <c r="AI51" s="4205" t="n"/>
      <c r="AJ51" s="4205" t="n"/>
      <c r="AK51" s="4205" t="n"/>
      <c r="AL51" s="4205" t="n"/>
      <c r="AM51" s="4205" t="n"/>
      <c r="AN51" s="4205" t="n"/>
      <c r="AO51" s="4206" t="n"/>
      <c r="AP51" s="4205">
        <f>SUM(AP50)</f>
        <v/>
      </c>
      <c r="AQ51" s="4205">
        <f>SUM(AQ50)</f>
        <v/>
      </c>
      <c r="AR51" s="4205">
        <f>SUM(AR50)</f>
        <v/>
      </c>
      <c r="AS51" s="4205">
        <f>SUM(AS50)</f>
        <v/>
      </c>
      <c r="AT51" s="4205">
        <f>SUM(AT50)</f>
        <v/>
      </c>
      <c r="AU51" s="4207">
        <f>SUM(AU50)</f>
        <v/>
      </c>
      <c r="AV51" s="4205">
        <f>SUM(AV50)</f>
        <v/>
      </c>
      <c r="AW51" s="4205">
        <f>SUM(AW50)</f>
        <v/>
      </c>
      <c r="AX51" s="4205">
        <f>SUM(AX50)</f>
        <v/>
      </c>
      <c r="AY51" s="4205">
        <f>SUM(AY50)</f>
        <v/>
      </c>
      <c r="AZ51" s="4205">
        <f>SUM(AZ50)</f>
        <v/>
      </c>
      <c r="BA51" s="4208">
        <f>SUM(BA50)</f>
        <v/>
      </c>
      <c r="BB51" s="4205">
        <f>SUM(BB50)</f>
        <v/>
      </c>
      <c r="BC51" s="4205">
        <f>SUM(BC50)</f>
        <v/>
      </c>
      <c r="BD51" s="4205">
        <f>SUM(BD50)</f>
        <v/>
      </c>
      <c r="BE51" s="4205">
        <f>SUM(BE50)</f>
        <v/>
      </c>
      <c r="BF51" s="3743" t="n"/>
      <c r="BG51" s="4205">
        <f>SUM(BG50)</f>
        <v/>
      </c>
    </row>
    <row r="52" ht="12" customHeight="1" s="3710">
      <c r="B52" s="3891" t="n"/>
      <c r="C52" s="3902" t="inlineStr">
        <is>
          <t xml:space="preserve">Current assets </t>
        </is>
      </c>
      <c r="D52" s="3902" t="n"/>
      <c r="E52" s="3902" t="n"/>
      <c r="F52" s="3900" t="n"/>
      <c r="G52" s="3900" t="n"/>
      <c r="H52" s="3900" t="n"/>
      <c r="I52" s="3900" t="n"/>
      <c r="J52" s="3900" t="n"/>
      <c r="K52" s="3900" t="n"/>
      <c r="L52" s="3900" t="n"/>
      <c r="M52" s="3900" t="n"/>
      <c r="N52" s="3900" t="n"/>
      <c r="O52" s="3900" t="n"/>
      <c r="P52" s="3900" t="n"/>
      <c r="Q52" s="4200" t="n"/>
      <c r="R52" s="3900" t="n"/>
      <c r="S52" s="3900" t="n"/>
      <c r="T52" s="3900" t="n"/>
      <c r="U52" s="3900" t="n"/>
      <c r="V52" s="3900" t="n"/>
      <c r="W52" s="3900" t="n"/>
      <c r="X52" s="3900" t="n"/>
      <c r="Y52" s="3900" t="n"/>
      <c r="Z52" s="3900" t="n"/>
      <c r="AA52" s="3900" t="n"/>
      <c r="AB52" s="3900" t="n"/>
      <c r="AC52" s="4200" t="n"/>
      <c r="AD52" s="3900" t="n"/>
      <c r="AE52" s="3900" t="n"/>
      <c r="AF52" s="3900" t="n"/>
      <c r="AG52" s="3900" t="n"/>
      <c r="AH52" s="3900" t="n"/>
      <c r="AI52" s="3900" t="n"/>
      <c r="AJ52" s="3900" t="n"/>
      <c r="AK52" s="3900" t="n"/>
      <c r="AL52" s="3900" t="n"/>
      <c r="AM52" s="3900" t="n"/>
      <c r="AN52" s="3900" t="n"/>
      <c r="AO52" s="4200" t="n"/>
      <c r="AP52" s="3900">
        <f>SUM(AP51,AP49,AP41,AP37,AP26,AP16)</f>
        <v/>
      </c>
      <c r="AQ52" s="3900">
        <f>SUM(AQ51,AQ49,AQ41,AQ37,AQ26,AQ16)</f>
        <v/>
      </c>
      <c r="AR52" s="3900">
        <f>SUM(AR51,AR49,AR41,AR37,AR26,AR16)</f>
        <v/>
      </c>
      <c r="AS52" s="3900">
        <f>SUM(AS51,AS49,AS41,AS37,AS26,AS16)</f>
        <v/>
      </c>
      <c r="AT52" s="3900">
        <f>SUM(AT51,AT49,AT41,AT37,AT26,AT16)</f>
        <v/>
      </c>
      <c r="AU52" s="4201">
        <f>SUM(AU51,AU49,AU41,AU37,AU26,AU16)</f>
        <v/>
      </c>
      <c r="AV52" s="3900">
        <f>SUM(AV51,AV49,AV41,AV37,AV26,AV16)</f>
        <v/>
      </c>
      <c r="AW52" s="3900">
        <f>SUM(AW51,AW49,AW41,AW37,AW26,AW16)</f>
        <v/>
      </c>
      <c r="AX52" s="3900">
        <f>SUM(AX51,AX49,AX41,AX37,AX26,AX16)</f>
        <v/>
      </c>
      <c r="AY52" s="3900">
        <f>SUM(AY51,AY49,AY41,AY37,AY26,AY16)</f>
        <v/>
      </c>
      <c r="AZ52" s="3900">
        <f>SUM(AZ51,AZ49,AZ41,AZ37,AZ26,AZ16)</f>
        <v/>
      </c>
      <c r="BA52" s="4202">
        <f>SUM(BA51,BA49,BA41,BA37,BA26,BA16)</f>
        <v/>
      </c>
      <c r="BB52" s="3900">
        <f>SUM(BB51,BB49,BB41,BB37,BB26,BB16)</f>
        <v/>
      </c>
      <c r="BC52" s="3900">
        <f>SUM(BC51,BC49,BC41,BC37,BC26,BC16)</f>
        <v/>
      </c>
      <c r="BD52" s="3900">
        <f>SUM(BD51,BD49,BD41,BD37,BD26,BD16)</f>
        <v/>
      </c>
      <c r="BE52" s="3900">
        <f>SUM(BE51,BE49,BE41,BE37,BE26,BE16)</f>
        <v/>
      </c>
      <c r="BF52" s="3743" t="n"/>
      <c r="BG52" s="3900">
        <f>SUM(BG51,BG49,BG41,BG37,BG26,BG16)</f>
        <v/>
      </c>
    </row>
    <row r="53" hidden="1" outlineLevel="2" ht="12" customHeight="1" s="3710">
      <c r="B53" s="3891" t="n"/>
      <c r="C53" s="4012" t="inlineStr">
        <is>
          <t>Data processing equipment</t>
        </is>
      </c>
      <c r="D53" s="3902" t="n">
        <v>150801</v>
      </c>
      <c r="E53" s="3902" t="inlineStr">
        <is>
          <t>150801 - Data Processing Equipment</t>
        </is>
      </c>
      <c r="F53" s="3900" t="n"/>
      <c r="G53" s="3900" t="n"/>
      <c r="H53" s="3900" t="n"/>
      <c r="I53" s="3900" t="n"/>
      <c r="J53" s="3900" t="n"/>
      <c r="K53" s="3900" t="n"/>
      <c r="L53" s="3900" t="n"/>
      <c r="M53" s="3900" t="n"/>
      <c r="N53" s="3900" t="n"/>
      <c r="O53" s="3900" t="n"/>
      <c r="P53" s="3900" t="n"/>
      <c r="Q53" s="4200" t="n"/>
      <c r="R53" s="3900" t="n"/>
      <c r="S53" s="3900" t="n"/>
      <c r="T53" s="3900" t="n"/>
      <c r="U53" s="3900" t="n"/>
      <c r="V53" s="3900" t="n"/>
      <c r="W53" s="3900" t="n"/>
      <c r="X53" s="3900" t="n"/>
      <c r="Y53" s="3900" t="n"/>
      <c r="Z53" s="3900" t="n"/>
      <c r="AA53" s="3900" t="n"/>
      <c r="AB53" s="3900" t="n"/>
      <c r="AC53" s="4200" t="n"/>
      <c r="AD53" s="3900" t="n"/>
      <c r="AE53" s="3900" t="n"/>
      <c r="AF53" s="3900" t="n"/>
      <c r="AG53" s="3900" t="n"/>
      <c r="AH53" s="3900" t="n"/>
      <c r="AI53" s="3900" t="n"/>
      <c r="AJ53" s="3900" t="n"/>
      <c r="AK53" s="3900" t="n"/>
      <c r="AL53" s="3900" t="n"/>
      <c r="AM53" s="3900" t="n"/>
      <c r="AN53" s="3900" t="n"/>
      <c r="AO53" s="4200" t="n"/>
      <c r="AP53" s="3900" t="n">
        <v>1641.308</v>
      </c>
      <c r="AQ53" s="3900" t="n">
        <v>1644.22</v>
      </c>
      <c r="AR53" s="3900" t="n">
        <v>1653.481</v>
      </c>
      <c r="AS53" s="3900" t="n">
        <v>1653.481</v>
      </c>
      <c r="AT53" s="3900" t="n">
        <v>1669.97701</v>
      </c>
      <c r="AU53" s="4201" t="n">
        <v>1674.65833</v>
      </c>
      <c r="AV53" s="3900">
        <f>Q53</f>
        <v/>
      </c>
      <c r="AW53" s="3900">
        <f>AC53</f>
        <v/>
      </c>
      <c r="AX53" s="3900">
        <f>AO53</f>
        <v/>
      </c>
      <c r="AY53" s="3900">
        <f>AS53</f>
        <v/>
      </c>
      <c r="AZ53" s="3900">
        <f>AU53</f>
        <v/>
      </c>
      <c r="BA53" s="4202">
        <f>AVERAGE(F53:Q53)</f>
        <v/>
      </c>
      <c r="BB53" s="3900">
        <f>AVERAGE(R53:AC53)</f>
        <v/>
      </c>
      <c r="BC53" s="3900">
        <f>AVERAGE(AD53:AO53)</f>
        <v/>
      </c>
      <c r="BD53" s="3900">
        <f>AVERAGE(AH53:AS53)</f>
        <v/>
      </c>
      <c r="BE53" s="3900">
        <f>AVERAGE(AJ53:AU53)</f>
        <v/>
      </c>
      <c r="BF53" s="3743" t="n"/>
      <c r="BG53" s="3900" t="n">
        <v>4609.354</v>
      </c>
    </row>
    <row r="54" hidden="1" outlineLevel="2" ht="12" customHeight="1" s="3710">
      <c r="A54" s="4209" t="n"/>
      <c r="B54" s="3891" t="n"/>
      <c r="C54" s="4012" t="inlineStr">
        <is>
          <t>Building - rou asset</t>
        </is>
      </c>
      <c r="D54" s="3902" t="n">
        <v>150401</v>
      </c>
      <c r="E54" s="3902" t="inlineStr">
        <is>
          <t>150401 - Building - ROU Asset</t>
        </is>
      </c>
      <c r="F54" s="3900" t="n"/>
      <c r="G54" s="3900" t="n"/>
      <c r="H54" s="3900" t="n"/>
      <c r="I54" s="3900" t="n"/>
      <c r="J54" s="3900" t="n"/>
      <c r="K54" s="3900" t="n"/>
      <c r="L54" s="3900" t="n"/>
      <c r="M54" s="3900" t="n"/>
      <c r="N54" s="3900" t="n"/>
      <c r="O54" s="3900" t="n"/>
      <c r="P54" s="3900" t="n"/>
      <c r="Q54" s="4200" t="n"/>
      <c r="R54" s="3900" t="n"/>
      <c r="S54" s="3900" t="n"/>
      <c r="T54" s="3900" t="n"/>
      <c r="U54" s="3900" t="n"/>
      <c r="V54" s="3900" t="n"/>
      <c r="W54" s="3900" t="n"/>
      <c r="X54" s="3900" t="n"/>
      <c r="Y54" s="3900" t="n"/>
      <c r="Z54" s="3900" t="n"/>
      <c r="AA54" s="3900" t="n"/>
      <c r="AB54" s="3900" t="n"/>
      <c r="AC54" s="4200" t="n"/>
      <c r="AD54" s="3900" t="n"/>
      <c r="AE54" s="3900" t="n"/>
      <c r="AF54" s="3900" t="n"/>
      <c r="AG54" s="3900" t="n"/>
      <c r="AH54" s="3900" t="n"/>
      <c r="AI54" s="3900" t="n"/>
      <c r="AJ54" s="3900" t="n"/>
      <c r="AK54" s="3900" t="n"/>
      <c r="AL54" s="3900" t="n"/>
      <c r="AM54" s="3900" t="n"/>
      <c r="AN54" s="3900" t="n"/>
      <c r="AO54" s="4200" t="n"/>
      <c r="AP54" s="3900" t="n">
        <v>1637.369</v>
      </c>
      <c r="AQ54" s="3900" t="n">
        <v>1637.369</v>
      </c>
      <c r="AR54" s="3900" t="n">
        <v>1637.369</v>
      </c>
      <c r="AS54" s="3900" t="n">
        <v>1637.369</v>
      </c>
      <c r="AT54" s="3900" t="n">
        <v>1637.36896</v>
      </c>
      <c r="AU54" s="4201" t="n">
        <v>1637.36896</v>
      </c>
      <c r="AV54" s="3900">
        <f>Q54</f>
        <v/>
      </c>
      <c r="AW54" s="3900">
        <f>AC54</f>
        <v/>
      </c>
      <c r="AX54" s="3900">
        <f>AO54</f>
        <v/>
      </c>
      <c r="AY54" s="3900">
        <f>AS54</f>
        <v/>
      </c>
      <c r="AZ54" s="3900">
        <f>AU54</f>
        <v/>
      </c>
      <c r="BA54" s="4202">
        <f>AVERAGE(F54:Q54)</f>
        <v/>
      </c>
      <c r="BB54" s="3900">
        <f>AVERAGE(R54:AC54)</f>
        <v/>
      </c>
      <c r="BC54" s="3900">
        <f>AVERAGE(AD54:AO54)</f>
        <v/>
      </c>
      <c r="BD54" s="3900">
        <f>AVERAGE(AH54:AS54)</f>
        <v/>
      </c>
      <c r="BE54" s="3900">
        <f>AVERAGE(AJ54:AU54)</f>
        <v/>
      </c>
      <c r="BF54" s="3743" t="n"/>
      <c r="BG54" s="3900" t="n">
        <v>1637.369</v>
      </c>
    </row>
    <row r="55" hidden="1" outlineLevel="2" ht="12" customHeight="1" s="3710">
      <c r="B55" s="3891" t="n"/>
      <c r="C55" s="4012" t="inlineStr">
        <is>
          <t>Leased asset</t>
        </is>
      </c>
      <c r="D55" s="3902" t="n">
        <v>150920</v>
      </c>
      <c r="E55" s="3902" t="inlineStr">
        <is>
          <t>150920 - Leased Asset</t>
        </is>
      </c>
      <c r="F55" s="3900" t="n"/>
      <c r="G55" s="3900" t="n"/>
      <c r="H55" s="3900" t="n"/>
      <c r="I55" s="3900" t="n"/>
      <c r="J55" s="3900" t="n"/>
      <c r="K55" s="3900" t="n"/>
      <c r="L55" s="3900" t="n"/>
      <c r="M55" s="3900" t="n"/>
      <c r="N55" s="3900" t="n"/>
      <c r="O55" s="3900" t="n"/>
      <c r="P55" s="3900" t="n"/>
      <c r="Q55" s="4200" t="n"/>
      <c r="R55" s="3900" t="n"/>
      <c r="S55" s="3900" t="n"/>
      <c r="T55" s="3900" t="n"/>
      <c r="U55" s="3900" t="n"/>
      <c r="V55" s="3900" t="n"/>
      <c r="W55" s="3900" t="n"/>
      <c r="X55" s="3900" t="n"/>
      <c r="Y55" s="3900" t="n"/>
      <c r="Z55" s="3900" t="n"/>
      <c r="AA55" s="3900" t="n"/>
      <c r="AB55" s="3900" t="n"/>
      <c r="AC55" s="4200" t="n"/>
      <c r="AD55" s="3900" t="n"/>
      <c r="AE55" s="3900" t="n"/>
      <c r="AF55" s="3900" t="n"/>
      <c r="AG55" s="3900" t="n"/>
      <c r="AH55" s="3900" t="n"/>
      <c r="AI55" s="3900" t="n"/>
      <c r="AJ55" s="3900" t="n"/>
      <c r="AK55" s="3900" t="n"/>
      <c r="AL55" s="3900" t="n"/>
      <c r="AM55" s="3900" t="n"/>
      <c r="AN55" s="3900" t="n"/>
      <c r="AO55" s="4200" t="n"/>
      <c r="AP55" s="3900" t="n">
        <v>1558.572</v>
      </c>
      <c r="AQ55" s="3900" t="n">
        <v>1558.572</v>
      </c>
      <c r="AR55" s="3900" t="n">
        <v>1558.572</v>
      </c>
      <c r="AS55" s="3900" t="n">
        <v>1558.572</v>
      </c>
      <c r="AT55" s="3900" t="n">
        <v>1558.57169</v>
      </c>
      <c r="AU55" s="4201" t="n">
        <v>1558.57169</v>
      </c>
      <c r="AV55" s="3900">
        <f>Q55</f>
        <v/>
      </c>
      <c r="AW55" s="3900">
        <f>AC55</f>
        <v/>
      </c>
      <c r="AX55" s="3900">
        <f>AO55</f>
        <v/>
      </c>
      <c r="AY55" s="3900">
        <f>AS55</f>
        <v/>
      </c>
      <c r="AZ55" s="3900">
        <f>AU55</f>
        <v/>
      </c>
      <c r="BA55" s="4202">
        <f>AVERAGE(F55:Q55)</f>
        <v/>
      </c>
      <c r="BB55" s="3900">
        <f>AVERAGE(R55:AC55)</f>
        <v/>
      </c>
      <c r="BC55" s="3900">
        <f>AVERAGE(AD55:AO55)</f>
        <v/>
      </c>
      <c r="BD55" s="3900">
        <f>AVERAGE(AH55:AS55)</f>
        <v/>
      </c>
      <c r="BE55" s="3900">
        <f>AVERAGE(AJ55:AU55)</f>
        <v/>
      </c>
      <c r="BF55" s="3743" t="n"/>
      <c r="BG55" s="3900" t="n">
        <v>0</v>
      </c>
    </row>
    <row r="56" hidden="1" outlineLevel="2" ht="12" customHeight="1" s="3710">
      <c r="B56" s="3891" t="n"/>
      <c r="C56" s="4012" t="inlineStr">
        <is>
          <t>Leasehold improvements</t>
        </is>
      </c>
      <c r="D56" s="3902" t="n">
        <v>150501</v>
      </c>
      <c r="E56" s="3902" t="inlineStr">
        <is>
          <t>150501 - Leasehold Improvements</t>
        </is>
      </c>
      <c r="F56" s="3900" t="n"/>
      <c r="G56" s="3900" t="n"/>
      <c r="H56" s="3900" t="n"/>
      <c r="I56" s="3900" t="n"/>
      <c r="J56" s="3900" t="n"/>
      <c r="K56" s="3900" t="n"/>
      <c r="L56" s="3900" t="n"/>
      <c r="M56" s="3900" t="n"/>
      <c r="N56" s="3900" t="n"/>
      <c r="O56" s="3900" t="n"/>
      <c r="P56" s="3900" t="n"/>
      <c r="Q56" s="4200" t="n"/>
      <c r="R56" s="3900" t="n"/>
      <c r="S56" s="3900" t="n"/>
      <c r="T56" s="3900" t="n"/>
      <c r="U56" s="3900" t="n"/>
      <c r="V56" s="3900" t="n"/>
      <c r="W56" s="3900" t="n"/>
      <c r="X56" s="3900" t="n"/>
      <c r="Y56" s="3900" t="n"/>
      <c r="Z56" s="3900" t="n"/>
      <c r="AA56" s="3900" t="n"/>
      <c r="AB56" s="3900" t="n"/>
      <c r="AC56" s="4200" t="n"/>
      <c r="AD56" s="3900" t="n"/>
      <c r="AE56" s="3900" t="n"/>
      <c r="AF56" s="3900" t="n"/>
      <c r="AG56" s="3900" t="n"/>
      <c r="AH56" s="3900" t="n"/>
      <c r="AI56" s="3900" t="n"/>
      <c r="AJ56" s="3900" t="n"/>
      <c r="AK56" s="3900" t="n"/>
      <c r="AL56" s="3900" t="n"/>
      <c r="AM56" s="3900" t="n"/>
      <c r="AN56" s="3900" t="n"/>
      <c r="AO56" s="4200" t="n"/>
      <c r="AP56" s="3900" t="n">
        <v>1003.479</v>
      </c>
      <c r="AQ56" s="3900" t="n">
        <v>1003.479</v>
      </c>
      <c r="AR56" s="3900" t="n">
        <v>1003.479</v>
      </c>
      <c r="AS56" s="3900" t="n">
        <v>1003.479</v>
      </c>
      <c r="AT56" s="3900" t="n">
        <v>1003.47903</v>
      </c>
      <c r="AU56" s="4201" t="n">
        <v>1003.47903</v>
      </c>
      <c r="AV56" s="3900">
        <f>Q56</f>
        <v/>
      </c>
      <c r="AW56" s="3900">
        <f>AC56</f>
        <v/>
      </c>
      <c r="AX56" s="3900">
        <f>AO56</f>
        <v/>
      </c>
      <c r="AY56" s="3900">
        <f>AS56</f>
        <v/>
      </c>
      <c r="AZ56" s="3900">
        <f>AU56</f>
        <v/>
      </c>
      <c r="BA56" s="4202">
        <f>AVERAGE(F56:Q56)</f>
        <v/>
      </c>
      <c r="BB56" s="3900">
        <f>AVERAGE(R56:AC56)</f>
        <v/>
      </c>
      <c r="BC56" s="3900">
        <f>AVERAGE(AD56:AO56)</f>
        <v/>
      </c>
      <c r="BD56" s="3900">
        <f>AVERAGE(AH56:AS56)</f>
        <v/>
      </c>
      <c r="BE56" s="3900">
        <f>AVERAGE(AJ56:AU56)</f>
        <v/>
      </c>
      <c r="BF56" s="3743" t="n"/>
      <c r="BG56" s="3900" t="n">
        <v>1003.479</v>
      </c>
    </row>
    <row r="57" hidden="1" outlineLevel="2" ht="12" customHeight="1" s="3710">
      <c r="B57" s="3891" t="n"/>
      <c r="C57" s="4012" t="inlineStr">
        <is>
          <t>Capitalize HW implementation</t>
        </is>
      </c>
      <c r="D57" s="3902" t="n">
        <v>150901</v>
      </c>
      <c r="E57" s="3902" t="inlineStr">
        <is>
          <t>150901 - Capitalize HW Implementation</t>
        </is>
      </c>
      <c r="F57" s="3900" t="n"/>
      <c r="G57" s="3900" t="n"/>
      <c r="H57" s="3900" t="n"/>
      <c r="I57" s="3900" t="n"/>
      <c r="J57" s="3900" t="n"/>
      <c r="K57" s="3900" t="n"/>
      <c r="L57" s="3900" t="n"/>
      <c r="M57" s="3900" t="n"/>
      <c r="N57" s="3900" t="n"/>
      <c r="O57" s="3900" t="n"/>
      <c r="P57" s="3900" t="n"/>
      <c r="Q57" s="4200" t="n"/>
      <c r="R57" s="3900" t="n"/>
      <c r="S57" s="3900" t="n"/>
      <c r="T57" s="3900" t="n"/>
      <c r="U57" s="3900" t="n"/>
      <c r="V57" s="3900" t="n"/>
      <c r="W57" s="3900" t="n"/>
      <c r="X57" s="3900" t="n"/>
      <c r="Y57" s="3900" t="n"/>
      <c r="Z57" s="3900" t="n"/>
      <c r="AA57" s="3900" t="n"/>
      <c r="AB57" s="3900" t="n"/>
      <c r="AC57" s="4200" t="n"/>
      <c r="AD57" s="3900" t="n"/>
      <c r="AE57" s="3900" t="n"/>
      <c r="AF57" s="3900" t="n"/>
      <c r="AG57" s="3900" t="n"/>
      <c r="AH57" s="3900" t="n"/>
      <c r="AI57" s="3900" t="n"/>
      <c r="AJ57" s="3900" t="n"/>
      <c r="AK57" s="3900" t="n"/>
      <c r="AL57" s="3900" t="n"/>
      <c r="AM57" s="3900" t="n"/>
      <c r="AN57" s="3900" t="n"/>
      <c r="AO57" s="4200" t="n"/>
      <c r="AP57" s="3900" t="n">
        <v>996.476</v>
      </c>
      <c r="AQ57" s="3900" t="n">
        <v>996.476</v>
      </c>
      <c r="AR57" s="3900" t="n">
        <v>996.476</v>
      </c>
      <c r="AS57" s="3900" t="n">
        <v>996.476</v>
      </c>
      <c r="AT57" s="3900" t="n">
        <v>996.47612</v>
      </c>
      <c r="AU57" s="4201" t="n">
        <v>996.47612</v>
      </c>
      <c r="AV57" s="3900">
        <f>Q57</f>
        <v/>
      </c>
      <c r="AW57" s="3900">
        <f>AC57</f>
        <v/>
      </c>
      <c r="AX57" s="3900">
        <f>AO57</f>
        <v/>
      </c>
      <c r="AY57" s="3900">
        <f>AS57</f>
        <v/>
      </c>
      <c r="AZ57" s="3900">
        <f>AU57</f>
        <v/>
      </c>
      <c r="BA57" s="4202">
        <f>AVERAGE(F57:Q57)</f>
        <v/>
      </c>
      <c r="BB57" s="3900">
        <f>AVERAGE(R57:AC57)</f>
        <v/>
      </c>
      <c r="BC57" s="3900">
        <f>AVERAGE(AD57:AO57)</f>
        <v/>
      </c>
      <c r="BD57" s="3900">
        <f>AVERAGE(AH57:AS57)</f>
        <v/>
      </c>
      <c r="BE57" s="3900">
        <f>AVERAGE(AJ57:AU57)</f>
        <v/>
      </c>
      <c r="BF57" s="3743" t="n"/>
      <c r="BG57" s="3900" t="n">
        <v>0</v>
      </c>
    </row>
    <row r="58" hidden="1" outlineLevel="2" ht="12" customHeight="1" s="3710">
      <c r="B58" s="3891" t="n"/>
      <c r="C58" s="4012" t="inlineStr">
        <is>
          <t>Network equipment</t>
        </is>
      </c>
      <c r="D58" s="3902" t="n">
        <v>150820</v>
      </c>
      <c r="E58" s="3902" t="inlineStr">
        <is>
          <t>150820 - Network Equipment</t>
        </is>
      </c>
      <c r="F58" s="3900" t="n"/>
      <c r="G58" s="3900" t="n"/>
      <c r="H58" s="3900" t="n"/>
      <c r="I58" s="3900" t="n"/>
      <c r="J58" s="3900" t="n"/>
      <c r="K58" s="3900" t="n"/>
      <c r="L58" s="3900" t="n"/>
      <c r="M58" s="3900" t="n"/>
      <c r="N58" s="3900" t="n"/>
      <c r="O58" s="3900" t="n"/>
      <c r="P58" s="3900" t="n"/>
      <c r="Q58" s="4200" t="n"/>
      <c r="R58" s="3900" t="n"/>
      <c r="S58" s="3900" t="n"/>
      <c r="T58" s="3900" t="n"/>
      <c r="U58" s="3900" t="n"/>
      <c r="V58" s="3900" t="n"/>
      <c r="W58" s="3900" t="n"/>
      <c r="X58" s="3900" t="n"/>
      <c r="Y58" s="3900" t="n"/>
      <c r="Z58" s="3900" t="n"/>
      <c r="AA58" s="3900" t="n"/>
      <c r="AB58" s="3900" t="n"/>
      <c r="AC58" s="4200" t="n"/>
      <c r="AD58" s="3900" t="n"/>
      <c r="AE58" s="3900" t="n"/>
      <c r="AF58" s="3900" t="n"/>
      <c r="AG58" s="3900" t="n"/>
      <c r="AH58" s="3900" t="n"/>
      <c r="AI58" s="3900" t="n"/>
      <c r="AJ58" s="3900" t="n"/>
      <c r="AK58" s="3900" t="n"/>
      <c r="AL58" s="3900" t="n"/>
      <c r="AM58" s="3900" t="n"/>
      <c r="AN58" s="3900" t="n"/>
      <c r="AO58" s="4200" t="n"/>
      <c r="AP58" s="3900" t="n">
        <v>340.77</v>
      </c>
      <c r="AQ58" s="3900" t="n">
        <v>340.77</v>
      </c>
      <c r="AR58" s="3900" t="n">
        <v>343.971</v>
      </c>
      <c r="AS58" s="3900" t="n">
        <v>360.686</v>
      </c>
      <c r="AT58" s="3900" t="n">
        <v>360.68626</v>
      </c>
      <c r="AU58" s="4201" t="n">
        <v>360.68626</v>
      </c>
      <c r="AV58" s="3900">
        <f>Q58</f>
        <v/>
      </c>
      <c r="AW58" s="3900">
        <f>AC58</f>
        <v/>
      </c>
      <c r="AX58" s="3900">
        <f>AO58</f>
        <v/>
      </c>
      <c r="AY58" s="3900">
        <f>AS58</f>
        <v/>
      </c>
      <c r="AZ58" s="3900">
        <f>AU58</f>
        <v/>
      </c>
      <c r="BA58" s="4202">
        <f>AVERAGE(F58:Q58)</f>
        <v/>
      </c>
      <c r="BB58" s="3900">
        <f>AVERAGE(R58:AC58)</f>
        <v/>
      </c>
      <c r="BC58" s="3900">
        <f>AVERAGE(AD58:AO58)</f>
        <v/>
      </c>
      <c r="BD58" s="3900">
        <f>AVERAGE(AH58:AS58)</f>
        <v/>
      </c>
      <c r="BE58" s="3900">
        <f>AVERAGE(AJ58:AU58)</f>
        <v/>
      </c>
      <c r="BF58" s="3743" t="n"/>
      <c r="BG58" s="3900" t="n">
        <v>0</v>
      </c>
    </row>
    <row r="59" hidden="1" outlineLevel="2" ht="12" customHeight="1" s="3710">
      <c r="B59" s="3891" t="n"/>
      <c r="C59" s="4012" t="inlineStr">
        <is>
          <t>Furniture and fixtures</t>
        </is>
      </c>
      <c r="D59" s="3902" t="n">
        <v>150601</v>
      </c>
      <c r="E59" s="3902" t="inlineStr">
        <is>
          <t>150601 - Furniture and Fixtures</t>
        </is>
      </c>
      <c r="F59" s="3900" t="n"/>
      <c r="G59" s="3900" t="n"/>
      <c r="H59" s="3900" t="n"/>
      <c r="I59" s="3900" t="n"/>
      <c r="J59" s="3900" t="n"/>
      <c r="K59" s="3900" t="n"/>
      <c r="L59" s="3900" t="n"/>
      <c r="M59" s="3900" t="n"/>
      <c r="N59" s="3900" t="n"/>
      <c r="O59" s="3900" t="n"/>
      <c r="P59" s="3900" t="n"/>
      <c r="Q59" s="4200" t="n"/>
      <c r="R59" s="3900" t="n"/>
      <c r="S59" s="3900" t="n"/>
      <c r="T59" s="3900" t="n"/>
      <c r="U59" s="3900" t="n"/>
      <c r="V59" s="3900" t="n"/>
      <c r="W59" s="3900" t="n"/>
      <c r="X59" s="3900" t="n"/>
      <c r="Y59" s="3900" t="n"/>
      <c r="Z59" s="3900" t="n"/>
      <c r="AA59" s="3900" t="n"/>
      <c r="AB59" s="3900" t="n"/>
      <c r="AC59" s="4200" t="n"/>
      <c r="AD59" s="3900" t="n"/>
      <c r="AE59" s="3900" t="n"/>
      <c r="AF59" s="3900" t="n"/>
      <c r="AG59" s="3900" t="n"/>
      <c r="AH59" s="3900" t="n"/>
      <c r="AI59" s="3900" t="n"/>
      <c r="AJ59" s="3900" t="n"/>
      <c r="AK59" s="3900" t="n"/>
      <c r="AL59" s="3900" t="n"/>
      <c r="AM59" s="3900" t="n"/>
      <c r="AN59" s="3900" t="n"/>
      <c r="AO59" s="4200" t="n"/>
      <c r="AP59" s="3900" t="n">
        <v>191.006</v>
      </c>
      <c r="AQ59" s="3900" t="n">
        <v>191.006</v>
      </c>
      <c r="AR59" s="3900" t="n">
        <v>191.006</v>
      </c>
      <c r="AS59" s="3900" t="n">
        <v>191.006</v>
      </c>
      <c r="AT59" s="3900" t="n">
        <v>191.00522</v>
      </c>
      <c r="AU59" s="4201" t="n">
        <v>191.00522</v>
      </c>
      <c r="AV59" s="3900">
        <f>Q59</f>
        <v/>
      </c>
      <c r="AW59" s="3900">
        <f>AC59</f>
        <v/>
      </c>
      <c r="AX59" s="3900">
        <f>AO59</f>
        <v/>
      </c>
      <c r="AY59" s="3900">
        <f>AS59</f>
        <v/>
      </c>
      <c r="AZ59" s="3900">
        <f>AU59</f>
        <v/>
      </c>
      <c r="BA59" s="4202">
        <f>AVERAGE(F59:Q59)</f>
        <v/>
      </c>
      <c r="BB59" s="3900">
        <f>AVERAGE(R59:AC59)</f>
        <v/>
      </c>
      <c r="BC59" s="3900">
        <f>AVERAGE(AD59:AO59)</f>
        <v/>
      </c>
      <c r="BD59" s="3900">
        <f>AVERAGE(AH59:AS59)</f>
        <v/>
      </c>
      <c r="BE59" s="3900">
        <f>AVERAGE(AJ59:AU59)</f>
        <v/>
      </c>
      <c r="BF59" s="3743" t="n"/>
      <c r="BG59" s="3900" t="n">
        <v>193.575</v>
      </c>
    </row>
    <row r="60" hidden="1" outlineLevel="2" ht="12" customHeight="1" s="3710">
      <c r="B60" s="3891" t="n"/>
      <c r="C60" s="4012" t="inlineStr">
        <is>
          <t>Purchased fixed assets - WIP</t>
        </is>
      </c>
      <c r="D60" s="3902" t="n">
        <v>151101</v>
      </c>
      <c r="E60" s="3902" t="inlineStr">
        <is>
          <t>151101 - Purchased Fixed Assets - WIP</t>
        </is>
      </c>
      <c r="F60" s="3900" t="n"/>
      <c r="G60" s="3900" t="n"/>
      <c r="H60" s="3900" t="n"/>
      <c r="I60" s="3900" t="n"/>
      <c r="J60" s="3900" t="n"/>
      <c r="K60" s="3900" t="n"/>
      <c r="L60" s="3900" t="n"/>
      <c r="M60" s="3900" t="n"/>
      <c r="N60" s="3900" t="n"/>
      <c r="O60" s="3900" t="n"/>
      <c r="P60" s="3900" t="n"/>
      <c r="Q60" s="4200" t="n"/>
      <c r="R60" s="3900" t="n"/>
      <c r="S60" s="3900" t="n"/>
      <c r="T60" s="3900" t="n"/>
      <c r="U60" s="3900" t="n"/>
      <c r="V60" s="3900" t="n"/>
      <c r="W60" s="3900" t="n"/>
      <c r="X60" s="3900" t="n"/>
      <c r="Y60" s="3900" t="n"/>
      <c r="Z60" s="3900" t="n"/>
      <c r="AA60" s="3900" t="n"/>
      <c r="AB60" s="3900" t="n"/>
      <c r="AC60" s="4200" t="n"/>
      <c r="AD60" s="3900" t="n"/>
      <c r="AE60" s="3900" t="n"/>
      <c r="AF60" s="3900" t="n"/>
      <c r="AG60" s="3900" t="n"/>
      <c r="AH60" s="3900" t="n"/>
      <c r="AI60" s="3900" t="n"/>
      <c r="AJ60" s="3900" t="n"/>
      <c r="AK60" s="3900" t="n"/>
      <c r="AL60" s="3900" t="n"/>
      <c r="AM60" s="3900" t="n"/>
      <c r="AN60" s="3900" t="n"/>
      <c r="AO60" s="4200" t="n"/>
      <c r="AP60" s="3900" t="n">
        <v>18.912</v>
      </c>
      <c r="AQ60" s="3900" t="n">
        <v>24.604</v>
      </c>
      <c r="AR60" s="3900" t="n">
        <v>68.845</v>
      </c>
      <c r="AS60" s="3900" t="n">
        <v>77.65600000000001</v>
      </c>
      <c r="AT60" s="3900" t="n">
        <v>70.06461</v>
      </c>
      <c r="AU60" s="4201" t="n">
        <v>110.08588</v>
      </c>
      <c r="AV60" s="3900">
        <f>Q60</f>
        <v/>
      </c>
      <c r="AW60" s="3900">
        <f>AC60</f>
        <v/>
      </c>
      <c r="AX60" s="3900">
        <f>AO60</f>
        <v/>
      </c>
      <c r="AY60" s="3900">
        <f>AS60</f>
        <v/>
      </c>
      <c r="AZ60" s="3900">
        <f>AU60</f>
        <v/>
      </c>
      <c r="BA60" s="4202">
        <f>AVERAGE(F60:Q60)</f>
        <v/>
      </c>
      <c r="BB60" s="3900">
        <f>AVERAGE(R60:AC60)</f>
        <v/>
      </c>
      <c r="BC60" s="3900">
        <f>AVERAGE(AD60:AO60)</f>
        <v/>
      </c>
      <c r="BD60" s="3900">
        <f>AVERAGE(AH60:AS60)</f>
        <v/>
      </c>
      <c r="BE60" s="3900">
        <f>AVERAGE(AJ60:AU60)</f>
        <v/>
      </c>
      <c r="BF60" s="3743" t="n"/>
      <c r="BG60" s="3900" t="n">
        <v>77.375</v>
      </c>
    </row>
    <row r="61" hidden="1" outlineLevel="2" ht="12" customHeight="1" s="3710">
      <c r="B61" s="3891" t="n"/>
      <c r="C61" s="4012" t="inlineStr">
        <is>
          <t>Office equipment</t>
        </is>
      </c>
      <c r="D61" s="3902" t="n">
        <v>150701</v>
      </c>
      <c r="E61" s="3902" t="inlineStr">
        <is>
          <t>150701 - Office Equipment</t>
        </is>
      </c>
      <c r="F61" s="3900" t="n"/>
      <c r="G61" s="3900" t="n"/>
      <c r="H61" s="3900" t="n"/>
      <c r="I61" s="3900" t="n"/>
      <c r="J61" s="3900" t="n"/>
      <c r="K61" s="3900" t="n"/>
      <c r="L61" s="3900" t="n"/>
      <c r="M61" s="3900" t="n"/>
      <c r="N61" s="3900" t="n"/>
      <c r="O61" s="3900" t="n"/>
      <c r="P61" s="3900" t="n"/>
      <c r="Q61" s="4200" t="n"/>
      <c r="R61" s="3900" t="n"/>
      <c r="S61" s="3900" t="n"/>
      <c r="T61" s="3900" t="n"/>
      <c r="U61" s="3900" t="n"/>
      <c r="V61" s="3900" t="n"/>
      <c r="W61" s="3900" t="n"/>
      <c r="X61" s="3900" t="n"/>
      <c r="Y61" s="3900" t="n"/>
      <c r="Z61" s="3900" t="n"/>
      <c r="AA61" s="3900" t="n"/>
      <c r="AB61" s="3900" t="n"/>
      <c r="AC61" s="4200" t="n"/>
      <c r="AD61" s="3900" t="n"/>
      <c r="AE61" s="3900" t="n"/>
      <c r="AF61" s="3900" t="n"/>
      <c r="AG61" s="3900" t="n"/>
      <c r="AH61" s="3900" t="n"/>
      <c r="AI61" s="3900" t="n"/>
      <c r="AJ61" s="3900" t="n"/>
      <c r="AK61" s="3900" t="n"/>
      <c r="AL61" s="3900" t="n"/>
      <c r="AM61" s="3900" t="n"/>
      <c r="AN61" s="3900" t="n"/>
      <c r="AO61" s="4200" t="n"/>
      <c r="AP61" s="3900" t="n">
        <v>52.645</v>
      </c>
      <c r="AQ61" s="3900" t="n">
        <v>52.645</v>
      </c>
      <c r="AR61" s="3900" t="n">
        <v>52.645</v>
      </c>
      <c r="AS61" s="3900" t="n">
        <v>52.645</v>
      </c>
      <c r="AT61" s="3900" t="n">
        <v>52.64392</v>
      </c>
      <c r="AU61" s="4201" t="n">
        <v>52.64392</v>
      </c>
      <c r="AV61" s="3900">
        <f>Q61</f>
        <v/>
      </c>
      <c r="AW61" s="3900">
        <f>AC61</f>
        <v/>
      </c>
      <c r="AX61" s="3900">
        <f>AO61</f>
        <v/>
      </c>
      <c r="AY61" s="3900">
        <f>AS61</f>
        <v/>
      </c>
      <c r="AZ61" s="3900">
        <f>AU61</f>
        <v/>
      </c>
      <c r="BA61" s="4202">
        <f>AVERAGE(F61:Q61)</f>
        <v/>
      </c>
      <c r="BB61" s="3900">
        <f>AVERAGE(R61:AC61)</f>
        <v/>
      </c>
      <c r="BC61" s="3900">
        <f>AVERAGE(AD61:AO61)</f>
        <v/>
      </c>
      <c r="BD61" s="3900">
        <f>AVERAGE(AH61:AS61)</f>
        <v/>
      </c>
      <c r="BE61" s="3900">
        <f>AVERAGE(AJ61:AU61)</f>
        <v/>
      </c>
      <c r="BF61" s="3743" t="n"/>
      <c r="BG61" s="3900" t="n">
        <v>50.407</v>
      </c>
    </row>
    <row r="62" hidden="1" outlineLevel="2" ht="12" customHeight="1" s="3710">
      <c r="B62" s="3891" t="n"/>
      <c r="C62" s="4012" t="inlineStr">
        <is>
          <t>Network equipment - WIP</t>
        </is>
      </c>
      <c r="D62" s="3902" t="n">
        <v>151120</v>
      </c>
      <c r="E62" s="3902" t="inlineStr">
        <is>
          <t>151120 - Network Equipment - WIP</t>
        </is>
      </c>
      <c r="F62" s="3900" t="n"/>
      <c r="G62" s="3900" t="n"/>
      <c r="H62" s="3900" t="n"/>
      <c r="I62" s="3900" t="n"/>
      <c r="J62" s="3900" t="n"/>
      <c r="K62" s="3900" t="n"/>
      <c r="L62" s="3900" t="n"/>
      <c r="M62" s="3900" t="n"/>
      <c r="N62" s="3900" t="n"/>
      <c r="O62" s="3900" t="n"/>
      <c r="P62" s="3900" t="n"/>
      <c r="Q62" s="4200" t="n"/>
      <c r="R62" s="3900" t="n"/>
      <c r="S62" s="3900" t="n"/>
      <c r="T62" s="3900" t="n"/>
      <c r="U62" s="3900" t="n"/>
      <c r="V62" s="3900" t="n"/>
      <c r="W62" s="3900" t="n"/>
      <c r="X62" s="3900" t="n"/>
      <c r="Y62" s="3900" t="n"/>
      <c r="Z62" s="3900" t="n"/>
      <c r="AA62" s="3900" t="n"/>
      <c r="AB62" s="3900" t="n"/>
      <c r="AC62" s="4200" t="n"/>
      <c r="AD62" s="3900" t="n"/>
      <c r="AE62" s="3900" t="n"/>
      <c r="AF62" s="3900" t="n"/>
      <c r="AG62" s="3900" t="n"/>
      <c r="AH62" s="3900" t="n"/>
      <c r="AI62" s="3900" t="n"/>
      <c r="AJ62" s="3900" t="n"/>
      <c r="AK62" s="3900" t="n"/>
      <c r="AL62" s="3900" t="n"/>
      <c r="AM62" s="3900" t="n"/>
      <c r="AN62" s="3900" t="n"/>
      <c r="AO62" s="4200" t="n"/>
      <c r="AP62" s="3900" t="n">
        <v>9.603</v>
      </c>
      <c r="AQ62" s="3900" t="n">
        <v>9.603</v>
      </c>
      <c r="AR62" s="3900" t="n">
        <v>30.92</v>
      </c>
      <c r="AS62" s="3900" t="n">
        <v>27.718</v>
      </c>
      <c r="AT62" s="3900" t="n">
        <v>27.7184</v>
      </c>
      <c r="AU62" s="4201" t="n">
        <v>27.7184</v>
      </c>
      <c r="AV62" s="3900">
        <f>Q62</f>
        <v/>
      </c>
      <c r="AW62" s="3900">
        <f>AC62</f>
        <v/>
      </c>
      <c r="AX62" s="3900">
        <f>AO62</f>
        <v/>
      </c>
      <c r="AY62" s="3900">
        <f>AS62</f>
        <v/>
      </c>
      <c r="AZ62" s="3900">
        <f>AU62</f>
        <v/>
      </c>
      <c r="BA62" s="4202">
        <f>AVERAGE(F62:Q62)</f>
        <v/>
      </c>
      <c r="BB62" s="3900">
        <f>AVERAGE(R62:AC62)</f>
        <v/>
      </c>
      <c r="BC62" s="3900">
        <f>AVERAGE(AD62:AO62)</f>
        <v/>
      </c>
      <c r="BD62" s="3900">
        <f>AVERAGE(AH62:AS62)</f>
        <v/>
      </c>
      <c r="BE62" s="3900">
        <f>AVERAGE(AJ62:AU62)</f>
        <v/>
      </c>
      <c r="BF62" s="3743" t="n"/>
      <c r="BG62" s="3900" t="n">
        <v>0</v>
      </c>
    </row>
    <row r="63" hidden="1" outlineLevel="2" ht="12" customHeight="1" s="3710">
      <c r="B63" s="3891" t="n"/>
      <c r="C63" s="4012" t="inlineStr">
        <is>
          <t>Cap HW implementation - WIP</t>
        </is>
      </c>
      <c r="D63" s="3902" t="n">
        <v>151105</v>
      </c>
      <c r="E63" s="3902" t="inlineStr">
        <is>
          <t>151105 - Cap HW implementation - WIP</t>
        </is>
      </c>
      <c r="F63" s="3900" t="n"/>
      <c r="G63" s="3900" t="n"/>
      <c r="H63" s="3900" t="n"/>
      <c r="I63" s="3900" t="n"/>
      <c r="J63" s="3900" t="n"/>
      <c r="K63" s="3900" t="n"/>
      <c r="L63" s="3900" t="n"/>
      <c r="M63" s="3900" t="n"/>
      <c r="N63" s="3900" t="n"/>
      <c r="O63" s="3900" t="n"/>
      <c r="P63" s="3900" t="n"/>
      <c r="Q63" s="4200" t="n"/>
      <c r="R63" s="3900" t="n"/>
      <c r="S63" s="3900" t="n"/>
      <c r="T63" s="3900" t="n"/>
      <c r="U63" s="3900" t="n"/>
      <c r="V63" s="3900" t="n"/>
      <c r="W63" s="3900" t="n"/>
      <c r="X63" s="3900" t="n"/>
      <c r="Y63" s="3900" t="n"/>
      <c r="Z63" s="3900" t="n"/>
      <c r="AA63" s="3900" t="n"/>
      <c r="AB63" s="3900" t="n"/>
      <c r="AC63" s="4200" t="n"/>
      <c r="AD63" s="3900" t="n"/>
      <c r="AE63" s="3900" t="n"/>
      <c r="AF63" s="3900" t="n"/>
      <c r="AG63" s="3900" t="n"/>
      <c r="AH63" s="3900" t="n"/>
      <c r="AI63" s="3900" t="n"/>
      <c r="AJ63" s="3900" t="n"/>
      <c r="AK63" s="3900" t="n"/>
      <c r="AL63" s="3900" t="n"/>
      <c r="AM63" s="3900" t="n"/>
      <c r="AN63" s="3900" t="n"/>
      <c r="AO63" s="4200" t="n"/>
      <c r="AP63" s="3900" t="n">
        <v>0</v>
      </c>
      <c r="AQ63" s="3900" t="n">
        <v>0</v>
      </c>
      <c r="AR63" s="3900" t="n">
        <v>0</v>
      </c>
      <c r="AS63" s="3900" t="n">
        <v>0</v>
      </c>
      <c r="AT63" s="3900" t="n">
        <v>0</v>
      </c>
      <c r="AU63" s="4201" t="n">
        <v>0</v>
      </c>
      <c r="AV63" s="3900">
        <f>Q63</f>
        <v/>
      </c>
      <c r="AW63" s="3900">
        <f>AC63</f>
        <v/>
      </c>
      <c r="AX63" s="3900">
        <f>AO63</f>
        <v/>
      </c>
      <c r="AY63" s="3900">
        <f>AS63</f>
        <v/>
      </c>
      <c r="AZ63" s="3900">
        <f>AU63</f>
        <v/>
      </c>
      <c r="BA63" s="4202">
        <f>AVERAGE(F63:Q63)</f>
        <v/>
      </c>
      <c r="BB63" s="3900">
        <f>AVERAGE(R63:AC63)</f>
        <v/>
      </c>
      <c r="BC63" s="3900">
        <f>AVERAGE(AD63:AO63)</f>
        <v/>
      </c>
      <c r="BD63" s="3900">
        <f>AVERAGE(AH63:AS63)</f>
        <v/>
      </c>
      <c r="BE63" s="3900">
        <f>AVERAGE(AJ63:AU63)</f>
        <v/>
      </c>
      <c r="BF63" s="3743" t="n"/>
      <c r="BG63" s="3900" t="n">
        <v>0</v>
      </c>
    </row>
    <row r="64" hidden="1" outlineLevel="2" ht="12" customHeight="1" s="3710">
      <c r="A64" s="4211" t="n"/>
      <c r="B64" s="4044" t="n"/>
      <c r="C64" s="4012" t="inlineStr">
        <is>
          <t>Accum dep - office equipment</t>
        </is>
      </c>
      <c r="D64" s="3902" t="n">
        <v>155701</v>
      </c>
      <c r="E64" s="3902" t="inlineStr">
        <is>
          <t>155701 - Accum Dep - Office Equipment</t>
        </is>
      </c>
      <c r="F64" s="3900" t="n"/>
      <c r="G64" s="3900" t="n"/>
      <c r="H64" s="3900" t="n"/>
      <c r="I64" s="3900" t="n"/>
      <c r="J64" s="3900" t="n"/>
      <c r="K64" s="3900" t="n"/>
      <c r="L64" s="3900" t="n"/>
      <c r="M64" s="3900" t="n"/>
      <c r="N64" s="3900" t="n"/>
      <c r="O64" s="3900" t="n"/>
      <c r="P64" s="3900" t="n"/>
      <c r="Q64" s="4200" t="n"/>
      <c r="R64" s="3900" t="n"/>
      <c r="S64" s="3900" t="n"/>
      <c r="T64" s="3900" t="n"/>
      <c r="U64" s="3900" t="n"/>
      <c r="V64" s="3900" t="n"/>
      <c r="W64" s="3900" t="n"/>
      <c r="X64" s="3900" t="n"/>
      <c r="Y64" s="3900" t="n"/>
      <c r="Z64" s="3900" t="n"/>
      <c r="AA64" s="3900" t="n"/>
      <c r="AB64" s="3900" t="n"/>
      <c r="AC64" s="4200" t="n"/>
      <c r="AD64" s="3900" t="n"/>
      <c r="AE64" s="3900" t="n"/>
      <c r="AF64" s="3900" t="n"/>
      <c r="AG64" s="3900" t="n"/>
      <c r="AH64" s="3900" t="n"/>
      <c r="AI64" s="3900" t="n"/>
      <c r="AJ64" s="3900" t="n"/>
      <c r="AK64" s="3900" t="n"/>
      <c r="AL64" s="3900" t="n"/>
      <c r="AM64" s="3900" t="n"/>
      <c r="AN64" s="3900" t="n"/>
      <c r="AO64" s="4200" t="n"/>
      <c r="AP64" s="3900" t="n">
        <v>-51.845</v>
      </c>
      <c r="AQ64" s="3900" t="n">
        <v>-51.918</v>
      </c>
      <c r="AR64" s="3900" t="n">
        <v>-51.991</v>
      </c>
      <c r="AS64" s="3900" t="n">
        <v>-52.043</v>
      </c>
      <c r="AT64" s="3900" t="n">
        <v>-52.09438</v>
      </c>
      <c r="AU64" s="4201" t="n">
        <v>-52.14646</v>
      </c>
      <c r="AV64" s="3900">
        <f>Q64</f>
        <v/>
      </c>
      <c r="AW64" s="3900">
        <f>AC64</f>
        <v/>
      </c>
      <c r="AX64" s="3900">
        <f>AO64</f>
        <v/>
      </c>
      <c r="AY64" s="3900">
        <f>AS64</f>
        <v/>
      </c>
      <c r="AZ64" s="3900">
        <f>AU64</f>
        <v/>
      </c>
      <c r="BA64" s="4202">
        <f>AVERAGE(F64:Q64)</f>
        <v/>
      </c>
      <c r="BB64" s="3900">
        <f>AVERAGE(R64:AC64)</f>
        <v/>
      </c>
      <c r="BC64" s="3900">
        <f>AVERAGE(AD64:AO64)</f>
        <v/>
      </c>
      <c r="BD64" s="3900">
        <f>AVERAGE(AH64:AS64)</f>
        <v/>
      </c>
      <c r="BE64" s="3900">
        <f>AVERAGE(AJ64:AU64)</f>
        <v/>
      </c>
      <c r="BF64" s="3743" t="n"/>
      <c r="BG64" s="3900" t="n">
        <v>-45.43</v>
      </c>
    </row>
    <row r="65" hidden="1" outlineLevel="2" ht="12" customHeight="1" s="3710">
      <c r="A65" s="4211" t="n"/>
      <c r="B65" s="4044" t="n"/>
      <c r="C65" s="4012" t="inlineStr">
        <is>
          <t>Accum depr - network equipment</t>
        </is>
      </c>
      <c r="D65" s="3902" t="n">
        <v>155820</v>
      </c>
      <c r="E65" s="3902" t="inlineStr">
        <is>
          <t>155820 - Accum Depr - Network Equipment</t>
        </is>
      </c>
      <c r="F65" s="3900" t="n"/>
      <c r="G65" s="3900" t="n"/>
      <c r="H65" s="3900" t="n"/>
      <c r="I65" s="3900" t="n"/>
      <c r="J65" s="3900" t="n"/>
      <c r="K65" s="3900" t="n"/>
      <c r="L65" s="3900" t="n"/>
      <c r="M65" s="3900" t="n"/>
      <c r="N65" s="3900" t="n"/>
      <c r="O65" s="3900" t="n"/>
      <c r="P65" s="3900" t="n"/>
      <c r="Q65" s="4200" t="n"/>
      <c r="R65" s="3900" t="n"/>
      <c r="S65" s="3900" t="n"/>
      <c r="T65" s="3900" t="n"/>
      <c r="U65" s="3900" t="n"/>
      <c r="V65" s="3900" t="n"/>
      <c r="W65" s="3900" t="n"/>
      <c r="X65" s="3900" t="n"/>
      <c r="Y65" s="3900" t="n"/>
      <c r="Z65" s="3900" t="n"/>
      <c r="AA65" s="3900" t="n"/>
      <c r="AB65" s="3900" t="n"/>
      <c r="AC65" s="4200" t="n"/>
      <c r="AD65" s="3900" t="n"/>
      <c r="AE65" s="3900" t="n"/>
      <c r="AF65" s="3900" t="n"/>
      <c r="AG65" s="3900" t="n"/>
      <c r="AH65" s="3900" t="n"/>
      <c r="AI65" s="3900" t="n"/>
      <c r="AJ65" s="3900" t="n"/>
      <c r="AK65" s="3900" t="n"/>
      <c r="AL65" s="3900" t="n"/>
      <c r="AM65" s="3900" t="n"/>
      <c r="AN65" s="3900" t="n"/>
      <c r="AO65" s="4200" t="n"/>
      <c r="AP65" s="3900" t="n">
        <v>-98.749</v>
      </c>
      <c r="AQ65" s="3900" t="n">
        <v>-104.429</v>
      </c>
      <c r="AR65" s="3900" t="n">
        <v>-110.162</v>
      </c>
      <c r="AS65" s="3900" t="n">
        <v>-116.173</v>
      </c>
      <c r="AT65" s="3900" t="n">
        <v>-122.18461</v>
      </c>
      <c r="AU65" s="4201" t="n">
        <v>-128.1961</v>
      </c>
      <c r="AV65" s="3900">
        <f>Q65</f>
        <v/>
      </c>
      <c r="AW65" s="3900">
        <f>AC65</f>
        <v/>
      </c>
      <c r="AX65" s="3900">
        <f>AO65</f>
        <v/>
      </c>
      <c r="AY65" s="3900">
        <f>AS65</f>
        <v/>
      </c>
      <c r="AZ65" s="3900">
        <f>AU65</f>
        <v/>
      </c>
      <c r="BA65" s="4202">
        <f>AVERAGE(F65:Q65)</f>
        <v/>
      </c>
      <c r="BB65" s="3900">
        <f>AVERAGE(R65:AC65)</f>
        <v/>
      </c>
      <c r="BC65" s="3900">
        <f>AVERAGE(AD65:AO65)</f>
        <v/>
      </c>
      <c r="BD65" s="3900">
        <f>AVERAGE(AH65:AS65)</f>
        <v/>
      </c>
      <c r="BE65" s="3900">
        <f>AVERAGE(AJ65:AU65)</f>
        <v/>
      </c>
      <c r="BF65" s="3743" t="n"/>
      <c r="BG65" s="3900" t="n">
        <v>0</v>
      </c>
    </row>
    <row r="66" hidden="1" outlineLevel="2" ht="12" customHeight="1" s="3710">
      <c r="B66" s="3891" t="n"/>
      <c r="C66" s="4012" t="inlineStr">
        <is>
          <t>Accum dep - furniture and fixtures</t>
        </is>
      </c>
      <c r="D66" s="3902" t="n">
        <v>155601</v>
      </c>
      <c r="E66" s="3902" t="inlineStr">
        <is>
          <t>155601 - Accum Dep - Furniture and Fixtures</t>
        </is>
      </c>
      <c r="F66" s="3900" t="n"/>
      <c r="G66" s="3900" t="n"/>
      <c r="H66" s="3900" t="n"/>
      <c r="I66" s="3900" t="n"/>
      <c r="J66" s="3900" t="n"/>
      <c r="K66" s="3900" t="n"/>
      <c r="L66" s="3900" t="n"/>
      <c r="M66" s="3900" t="n"/>
      <c r="N66" s="3900" t="n"/>
      <c r="O66" s="3900" t="n"/>
      <c r="P66" s="3900" t="n"/>
      <c r="Q66" s="4200" t="n"/>
      <c r="R66" s="3900" t="n"/>
      <c r="S66" s="3900" t="n"/>
      <c r="T66" s="3900" t="n"/>
      <c r="U66" s="3900" t="n"/>
      <c r="V66" s="3900" t="n"/>
      <c r="W66" s="3900" t="n"/>
      <c r="X66" s="3900" t="n"/>
      <c r="Y66" s="3900" t="n"/>
      <c r="Z66" s="3900" t="n"/>
      <c r="AA66" s="3900" t="n"/>
      <c r="AB66" s="3900" t="n"/>
      <c r="AC66" s="4200" t="n"/>
      <c r="AD66" s="3900" t="n"/>
      <c r="AE66" s="3900" t="n"/>
      <c r="AF66" s="3900" t="n"/>
      <c r="AG66" s="3900" t="n"/>
      <c r="AH66" s="3900" t="n"/>
      <c r="AI66" s="3900" t="n"/>
      <c r="AJ66" s="3900" t="n"/>
      <c r="AK66" s="3900" t="n"/>
      <c r="AL66" s="3900" t="n"/>
      <c r="AM66" s="3900" t="n"/>
      <c r="AN66" s="3900" t="n"/>
      <c r="AO66" s="4200" t="n"/>
      <c r="AP66" s="3900" t="n">
        <v>-190.109</v>
      </c>
      <c r="AQ66" s="3900" t="n">
        <v>-190.222</v>
      </c>
      <c r="AR66" s="3900" t="n">
        <v>-190.333</v>
      </c>
      <c r="AS66" s="3900" t="n">
        <v>-190.444</v>
      </c>
      <c r="AT66" s="3900" t="n">
        <v>-190.50699</v>
      </c>
      <c r="AU66" s="4201" t="n">
        <v>-190.57031</v>
      </c>
      <c r="AV66" s="3900">
        <f>Q66</f>
        <v/>
      </c>
      <c r="AW66" s="3900">
        <f>AC66</f>
        <v/>
      </c>
      <c r="AX66" s="3900">
        <f>AO66</f>
        <v/>
      </c>
      <c r="AY66" s="3900">
        <f>AS66</f>
        <v/>
      </c>
      <c r="AZ66" s="3900">
        <f>AU66</f>
        <v/>
      </c>
      <c r="BA66" s="4202">
        <f>AVERAGE(F66:Q66)</f>
        <v/>
      </c>
      <c r="BB66" s="3900">
        <f>AVERAGE(R66:AC66)</f>
        <v/>
      </c>
      <c r="BC66" s="3900">
        <f>AVERAGE(AD66:AO66)</f>
        <v/>
      </c>
      <c r="BD66" s="3900">
        <f>AVERAGE(AH66:AS66)</f>
        <v/>
      </c>
      <c r="BE66" s="3900">
        <f>AVERAGE(AJ66:AU66)</f>
        <v/>
      </c>
      <c r="BF66" s="3743" t="n"/>
      <c r="BG66" s="3900" t="n">
        <v>-169.679</v>
      </c>
    </row>
    <row r="67" hidden="1" outlineLevel="2" ht="12" customHeight="1" s="3710">
      <c r="B67" s="3891" t="n"/>
      <c r="C67" s="4012" t="inlineStr">
        <is>
          <t>Accum dep - cap HW implementation</t>
        </is>
      </c>
      <c r="D67" s="3902" t="n">
        <v>155901</v>
      </c>
      <c r="E67" s="3902" t="inlineStr">
        <is>
          <t>155901 - Accum Dep - Cap HW Implementation</t>
        </is>
      </c>
      <c r="F67" s="3900" t="n"/>
      <c r="G67" s="3900" t="n"/>
      <c r="H67" s="3900" t="n"/>
      <c r="I67" s="3900" t="n"/>
      <c r="J67" s="3900" t="n"/>
      <c r="K67" s="3900" t="n"/>
      <c r="L67" s="3900" t="n"/>
      <c r="M67" s="3900" t="n"/>
      <c r="N67" s="3900" t="n"/>
      <c r="O67" s="3900" t="n"/>
      <c r="P67" s="3900" t="n"/>
      <c r="Q67" s="4200" t="n"/>
      <c r="R67" s="3900" t="n"/>
      <c r="S67" s="3900" t="n"/>
      <c r="T67" s="3900" t="n"/>
      <c r="U67" s="3900" t="n"/>
      <c r="V67" s="3900" t="n"/>
      <c r="W67" s="3900" t="n"/>
      <c r="X67" s="3900" t="n"/>
      <c r="Y67" s="3900" t="n"/>
      <c r="Z67" s="3900" t="n"/>
      <c r="AA67" s="3900" t="n"/>
      <c r="AB67" s="3900" t="n"/>
      <c r="AC67" s="4200" t="n"/>
      <c r="AD67" s="3900" t="n"/>
      <c r="AE67" s="3900" t="n"/>
      <c r="AF67" s="3900" t="n"/>
      <c r="AG67" s="3900" t="n"/>
      <c r="AH67" s="3900" t="n"/>
      <c r="AI67" s="3900" t="n"/>
      <c r="AJ67" s="3900" t="n"/>
      <c r="AK67" s="3900" t="n"/>
      <c r="AL67" s="3900" t="n"/>
      <c r="AM67" s="3900" t="n"/>
      <c r="AN67" s="3900" t="n"/>
      <c r="AO67" s="4200" t="n"/>
      <c r="AP67" s="3900" t="n">
        <v>-227.053</v>
      </c>
      <c r="AQ67" s="3900" t="n">
        <v>-243.331</v>
      </c>
      <c r="AR67" s="3900" t="n">
        <v>-259.61</v>
      </c>
      <c r="AS67" s="3900" t="n">
        <v>-275.888</v>
      </c>
      <c r="AT67" s="3900" t="n">
        <v>-292.16632</v>
      </c>
      <c r="AU67" s="4201" t="n">
        <v>-308.44461</v>
      </c>
      <c r="AV67" s="3900">
        <f>Q67</f>
        <v/>
      </c>
      <c r="AW67" s="3900">
        <f>AC67</f>
        <v/>
      </c>
      <c r="AX67" s="3900">
        <f>AO67</f>
        <v/>
      </c>
      <c r="AY67" s="3900">
        <f>AS67</f>
        <v/>
      </c>
      <c r="AZ67" s="3900">
        <f>AU67</f>
        <v/>
      </c>
      <c r="BA67" s="4202">
        <f>AVERAGE(F67:Q67)</f>
        <v/>
      </c>
      <c r="BB67" s="3900">
        <f>AVERAGE(R67:AC67)</f>
        <v/>
      </c>
      <c r="BC67" s="3900">
        <f>AVERAGE(AD67:AO67)</f>
        <v/>
      </c>
      <c r="BD67" s="3900">
        <f>AVERAGE(AH67:AS67)</f>
        <v/>
      </c>
      <c r="BE67" s="3900">
        <f>AVERAGE(AJ67:AU67)</f>
        <v/>
      </c>
      <c r="BF67" s="3743" t="n"/>
      <c r="BG67" s="3900" t="n">
        <v>0</v>
      </c>
    </row>
    <row r="68" hidden="1" outlineLevel="2" ht="12" customHeight="1" s="3710">
      <c r="B68" s="3891" t="n"/>
      <c r="C68" s="4012" t="inlineStr">
        <is>
          <t>Accum depr - leased asset</t>
        </is>
      </c>
      <c r="D68" s="3902" t="n">
        <v>155920</v>
      </c>
      <c r="E68" s="3902" t="inlineStr">
        <is>
          <t>155920 - Accum Depr - Leased Asset</t>
        </is>
      </c>
      <c r="F68" s="3900" t="n"/>
      <c r="G68" s="3900" t="n"/>
      <c r="H68" s="3900" t="n"/>
      <c r="I68" s="3900" t="n"/>
      <c r="J68" s="3900" t="n"/>
      <c r="K68" s="3900" t="n"/>
      <c r="L68" s="3900" t="n"/>
      <c r="M68" s="3900" t="n"/>
      <c r="N68" s="3900" t="n"/>
      <c r="O68" s="3900" t="n"/>
      <c r="P68" s="3900" t="n"/>
      <c r="Q68" s="4200" t="n"/>
      <c r="R68" s="3900" t="n"/>
      <c r="S68" s="3900" t="n"/>
      <c r="T68" s="3900" t="n"/>
      <c r="U68" s="3900" t="n"/>
      <c r="V68" s="3900" t="n"/>
      <c r="W68" s="3900" t="n"/>
      <c r="X68" s="3900" t="n"/>
      <c r="Y68" s="3900" t="n"/>
      <c r="Z68" s="3900" t="n"/>
      <c r="AA68" s="3900" t="n"/>
      <c r="AB68" s="3900" t="n"/>
      <c r="AC68" s="4200" t="n"/>
      <c r="AD68" s="3900" t="n"/>
      <c r="AE68" s="3900" t="n"/>
      <c r="AF68" s="3900" t="n"/>
      <c r="AG68" s="3900" t="n"/>
      <c r="AH68" s="3900" t="n"/>
      <c r="AI68" s="3900" t="n"/>
      <c r="AJ68" s="3900" t="n"/>
      <c r="AK68" s="3900" t="n"/>
      <c r="AL68" s="3900" t="n"/>
      <c r="AM68" s="3900" t="n"/>
      <c r="AN68" s="3900" t="n"/>
      <c r="AO68" s="4200" t="n"/>
      <c r="AP68" s="3900" t="n">
        <v>-574.2140000000001</v>
      </c>
      <c r="AQ68" s="3900" t="n">
        <v>-600.1900000000001</v>
      </c>
      <c r="AR68" s="3900" t="n">
        <v>-626.1660000000001</v>
      </c>
      <c r="AS68" s="3900" t="n">
        <v>-652.143</v>
      </c>
      <c r="AT68" s="3900" t="n">
        <v>-678.1188</v>
      </c>
      <c r="AU68" s="4201" t="n">
        <v>-704.095</v>
      </c>
      <c r="AV68" s="3900">
        <f>Q68</f>
        <v/>
      </c>
      <c r="AW68" s="3900">
        <f>AC68</f>
        <v/>
      </c>
      <c r="AX68" s="3900">
        <f>AO68</f>
        <v/>
      </c>
      <c r="AY68" s="3900">
        <f>AS68</f>
        <v/>
      </c>
      <c r="AZ68" s="3900">
        <f>AU68</f>
        <v/>
      </c>
      <c r="BA68" s="4202">
        <f>AVERAGE(F68:Q68)</f>
        <v/>
      </c>
      <c r="BB68" s="3900">
        <f>AVERAGE(R68:AC68)</f>
        <v/>
      </c>
      <c r="BC68" s="3900">
        <f>AVERAGE(AD68:AO68)</f>
        <v/>
      </c>
      <c r="BD68" s="3900">
        <f>AVERAGE(AH68:AS68)</f>
        <v/>
      </c>
      <c r="BE68" s="3900">
        <f>AVERAGE(AJ68:AU68)</f>
        <v/>
      </c>
      <c r="BF68" s="3743" t="n"/>
      <c r="BG68" s="3900" t="n">
        <v>0</v>
      </c>
    </row>
    <row r="69" hidden="1" outlineLevel="2" ht="12" customHeight="1" s="3710">
      <c r="B69" s="3891" t="n"/>
      <c r="C69" s="4012" t="inlineStr">
        <is>
          <t>Accum dep - leasehold improvements</t>
        </is>
      </c>
      <c r="D69" s="3902" t="n">
        <v>155501</v>
      </c>
      <c r="E69" s="3902" t="inlineStr">
        <is>
          <t>155501 - Accum Dep - Leasehold Improvements</t>
        </is>
      </c>
      <c r="F69" s="3900" t="n"/>
      <c r="G69" s="3900" t="n"/>
      <c r="H69" s="3900" t="n"/>
      <c r="I69" s="3900" t="n"/>
      <c r="J69" s="3900" t="n"/>
      <c r="K69" s="3900" t="n"/>
      <c r="L69" s="3900" t="n"/>
      <c r="M69" s="3900" t="n"/>
      <c r="N69" s="3900" t="n"/>
      <c r="O69" s="3900" t="n"/>
      <c r="P69" s="3900" t="n"/>
      <c r="Q69" s="4200" t="n"/>
      <c r="R69" s="3900" t="n"/>
      <c r="S69" s="3900" t="n"/>
      <c r="T69" s="3900" t="n"/>
      <c r="U69" s="3900" t="n"/>
      <c r="V69" s="3900" t="n"/>
      <c r="W69" s="3900" t="n"/>
      <c r="X69" s="3900" t="n"/>
      <c r="Y69" s="3900" t="n"/>
      <c r="Z69" s="3900" t="n"/>
      <c r="AA69" s="3900" t="n"/>
      <c r="AB69" s="3900" t="n"/>
      <c r="AC69" s="4200" t="n"/>
      <c r="AD69" s="3900" t="n"/>
      <c r="AE69" s="3900" t="n"/>
      <c r="AF69" s="3900" t="n"/>
      <c r="AG69" s="3900" t="n"/>
      <c r="AH69" s="3900" t="n"/>
      <c r="AI69" s="3900" t="n"/>
      <c r="AJ69" s="3900" t="n"/>
      <c r="AK69" s="3900" t="n"/>
      <c r="AL69" s="3900" t="n"/>
      <c r="AM69" s="3900" t="n"/>
      <c r="AN69" s="3900" t="n"/>
      <c r="AO69" s="4200" t="n"/>
      <c r="AP69" s="3900" t="n">
        <v>-752.155</v>
      </c>
      <c r="AQ69" s="3900" t="n">
        <v>-760.4690000000001</v>
      </c>
      <c r="AR69" s="3900" t="n">
        <v>-768.784</v>
      </c>
      <c r="AS69" s="3900" t="n">
        <v>-777.098</v>
      </c>
      <c r="AT69" s="3900" t="n">
        <v>-785.41279</v>
      </c>
      <c r="AU69" s="4201" t="n">
        <v>-793.72731</v>
      </c>
      <c r="AV69" s="3900">
        <f>Q69</f>
        <v/>
      </c>
      <c r="AW69" s="3900">
        <f>AC69</f>
        <v/>
      </c>
      <c r="AX69" s="3900">
        <f>AO69</f>
        <v/>
      </c>
      <c r="AY69" s="3900">
        <f>AS69</f>
        <v/>
      </c>
      <c r="AZ69" s="3900">
        <f>AU69</f>
        <v/>
      </c>
      <c r="BA69" s="4202">
        <f>AVERAGE(F69:Q69)</f>
        <v/>
      </c>
      <c r="BB69" s="3900">
        <f>AVERAGE(R69:AC69)</f>
        <v/>
      </c>
      <c r="BC69" s="3900">
        <f>AVERAGE(AD69:AO69)</f>
        <v/>
      </c>
      <c r="BD69" s="3900">
        <f>AVERAGE(AH69:AS69)</f>
        <v/>
      </c>
      <c r="BE69" s="3900">
        <f>AVERAGE(AJ69:AU69)</f>
        <v/>
      </c>
      <c r="BF69" s="3743" t="n"/>
      <c r="BG69" s="3900" t="n">
        <v>-440.948</v>
      </c>
    </row>
    <row r="70" hidden="1" outlineLevel="2" ht="12" customHeight="1" s="3710">
      <c r="B70" s="3891" t="n"/>
      <c r="C70" s="4012" t="inlineStr">
        <is>
          <t>Accum dep - building rou asset</t>
        </is>
      </c>
      <c r="D70" s="3902" t="n">
        <v>155401</v>
      </c>
      <c r="E70" s="3902" t="inlineStr">
        <is>
          <t>155401 - Accum Dep - Building ROU Asset</t>
        </is>
      </c>
      <c r="F70" s="3900" t="n"/>
      <c r="G70" s="3900" t="n"/>
      <c r="H70" s="3900" t="n"/>
      <c r="I70" s="3900" t="n"/>
      <c r="J70" s="3900" t="n"/>
      <c r="K70" s="3900" t="n"/>
      <c r="L70" s="3900" t="n"/>
      <c r="M70" s="3900" t="n"/>
      <c r="N70" s="3900" t="n"/>
      <c r="O70" s="3900" t="n"/>
      <c r="P70" s="3900" t="n"/>
      <c r="Q70" s="4200" t="n"/>
      <c r="R70" s="3900" t="n"/>
      <c r="S70" s="3900" t="n"/>
      <c r="T70" s="3900" t="n"/>
      <c r="U70" s="3900" t="n"/>
      <c r="V70" s="3900" t="n"/>
      <c r="W70" s="3900" t="n"/>
      <c r="X70" s="3900" t="n"/>
      <c r="Y70" s="3900" t="n"/>
      <c r="Z70" s="3900" t="n"/>
      <c r="AA70" s="3900" t="n"/>
      <c r="AB70" s="3900" t="n"/>
      <c r="AC70" s="4200" t="n"/>
      <c r="AD70" s="3900" t="n"/>
      <c r="AE70" s="3900" t="n"/>
      <c r="AF70" s="3900" t="n"/>
      <c r="AG70" s="3900" t="n"/>
      <c r="AH70" s="3900" t="n"/>
      <c r="AI70" s="3900" t="n"/>
      <c r="AJ70" s="3900" t="n"/>
      <c r="AK70" s="3900" t="n"/>
      <c r="AL70" s="3900" t="n"/>
      <c r="AM70" s="3900" t="n"/>
      <c r="AN70" s="3900" t="n"/>
      <c r="AO70" s="4200" t="n"/>
      <c r="AP70" s="3900" t="n">
        <v>-1079.999</v>
      </c>
      <c r="AQ70" s="3900" t="n">
        <v>-1098.594</v>
      </c>
      <c r="AR70" s="3900" t="n">
        <v>-1117.19</v>
      </c>
      <c r="AS70" s="3900" t="n">
        <v>-1135.785</v>
      </c>
      <c r="AT70" s="3900" t="n">
        <v>-1154.38088</v>
      </c>
      <c r="AU70" s="4201" t="n">
        <v>-1172.97639</v>
      </c>
      <c r="AV70" s="3900">
        <f>Q70</f>
        <v/>
      </c>
      <c r="AW70" s="3900">
        <f>AC70</f>
        <v/>
      </c>
      <c r="AX70" s="3900">
        <f>AO70</f>
        <v/>
      </c>
      <c r="AY70" s="3900">
        <f>AS70</f>
        <v/>
      </c>
      <c r="AZ70" s="3900">
        <f>AU70</f>
        <v/>
      </c>
      <c r="BA70" s="4202">
        <f>AVERAGE(F70:Q70)</f>
        <v/>
      </c>
      <c r="BB70" s="3900">
        <f>AVERAGE(R70:AC70)</f>
        <v/>
      </c>
      <c r="BC70" s="3900">
        <f>AVERAGE(AD70:AO70)</f>
        <v/>
      </c>
      <c r="BD70" s="3900">
        <f>AVERAGE(AH70:AS70)</f>
        <v/>
      </c>
      <c r="BE70" s="3900">
        <f>AVERAGE(AJ70:AU70)</f>
        <v/>
      </c>
      <c r="BF70" s="3743" t="n"/>
      <c r="BG70" s="3900" t="n">
        <v>-391.965</v>
      </c>
    </row>
    <row r="71" hidden="1" outlineLevel="2" ht="12" customHeight="1" s="3710">
      <c r="B71" s="3891" t="n"/>
      <c r="C71" s="4203" t="inlineStr">
        <is>
          <t>Accum dep - data processing equipment</t>
        </is>
      </c>
      <c r="D71" s="4204" t="n">
        <v>155801</v>
      </c>
      <c r="E71" s="4204" t="inlineStr">
        <is>
          <t>155801 - Accum Dep - Data Processing Equipment</t>
        </is>
      </c>
      <c r="F71" s="4205" t="n"/>
      <c r="G71" s="4205" t="n"/>
      <c r="H71" s="4205" t="n"/>
      <c r="I71" s="4205" t="n"/>
      <c r="J71" s="4205" t="n"/>
      <c r="K71" s="4205" t="n"/>
      <c r="L71" s="4205" t="n"/>
      <c r="M71" s="4205" t="n"/>
      <c r="N71" s="4205" t="n"/>
      <c r="O71" s="4205" t="n"/>
      <c r="P71" s="4205" t="n"/>
      <c r="Q71" s="4206" t="n"/>
      <c r="R71" s="4205" t="n"/>
      <c r="S71" s="4205" t="n"/>
      <c r="T71" s="4205" t="n"/>
      <c r="U71" s="4205" t="n"/>
      <c r="V71" s="4205" t="n"/>
      <c r="W71" s="4205" t="n"/>
      <c r="X71" s="4205" t="n"/>
      <c r="Y71" s="4205" t="n"/>
      <c r="Z71" s="4205" t="n"/>
      <c r="AA71" s="4205" t="n"/>
      <c r="AB71" s="4205" t="n"/>
      <c r="AC71" s="4206" t="n"/>
      <c r="AD71" s="4205" t="n"/>
      <c r="AE71" s="4205" t="n"/>
      <c r="AF71" s="4205" t="n"/>
      <c r="AG71" s="4205" t="n"/>
      <c r="AH71" s="4205" t="n"/>
      <c r="AI71" s="4205" t="n"/>
      <c r="AJ71" s="4205" t="n"/>
      <c r="AK71" s="4205" t="n"/>
      <c r="AL71" s="4205" t="n"/>
      <c r="AM71" s="4205" t="n"/>
      <c r="AN71" s="4205" t="n"/>
      <c r="AO71" s="4206" t="n"/>
      <c r="AP71" s="4205" t="n">
        <v>-1341.517</v>
      </c>
      <c r="AQ71" s="4205" t="n">
        <v>-1352.438</v>
      </c>
      <c r="AR71" s="4205" t="n">
        <v>-1363.585</v>
      </c>
      <c r="AS71" s="4205" t="n">
        <v>-1374.513</v>
      </c>
      <c r="AT71" s="4205" t="n">
        <v>-1386.66321</v>
      </c>
      <c r="AU71" s="4207" t="n">
        <v>-1397.78899</v>
      </c>
      <c r="AV71" s="4205">
        <f>Q71</f>
        <v/>
      </c>
      <c r="AW71" s="4205">
        <f>AC71</f>
        <v/>
      </c>
      <c r="AX71" s="4205">
        <f>AO71</f>
        <v/>
      </c>
      <c r="AY71" s="4205">
        <f>AS71</f>
        <v/>
      </c>
      <c r="AZ71" s="4205">
        <f>AU71</f>
        <v/>
      </c>
      <c r="BA71" s="4208">
        <f>AVERAGE(F71:Q71)</f>
        <v/>
      </c>
      <c r="BB71" s="4205">
        <f>AVERAGE(R71:AC71)</f>
        <v/>
      </c>
      <c r="BC71" s="4205">
        <f>AVERAGE(AD71:AO71)</f>
        <v/>
      </c>
      <c r="BD71" s="4205">
        <f>AVERAGE(AH71:AS71)</f>
        <v/>
      </c>
      <c r="BE71" s="4205">
        <f>AVERAGE(AJ71:AU71)</f>
        <v/>
      </c>
      <c r="BF71" s="3743" t="n"/>
      <c r="BG71" s="4205" t="n">
        <v>-3406.95</v>
      </c>
    </row>
    <row r="72" hidden="1" outlineLevel="1" collapsed="1" ht="12" customHeight="1" s="3710">
      <c r="B72" s="3891" t="n"/>
      <c r="C72" s="4017" t="inlineStr">
        <is>
          <t xml:space="preserve">Property &amp; equipment </t>
        </is>
      </c>
      <c r="D72" s="3902" t="n"/>
      <c r="E72" s="3902" t="n"/>
      <c r="F72" s="3900" t="n"/>
      <c r="G72" s="3900" t="n"/>
      <c r="H72" s="3900" t="n"/>
      <c r="I72" s="3900" t="n"/>
      <c r="J72" s="3900" t="n"/>
      <c r="K72" s="3900" t="n"/>
      <c r="L72" s="3900" t="n"/>
      <c r="M72" s="3900" t="n"/>
      <c r="N72" s="3900" t="n"/>
      <c r="O72" s="3900" t="n"/>
      <c r="P72" s="3900" t="n"/>
      <c r="Q72" s="4200" t="n"/>
      <c r="R72" s="3900" t="n"/>
      <c r="S72" s="3900" t="n"/>
      <c r="T72" s="3900" t="n"/>
      <c r="U72" s="3900" t="n"/>
      <c r="V72" s="3900" t="n"/>
      <c r="W72" s="3900" t="n"/>
      <c r="X72" s="3900" t="n"/>
      <c r="Y72" s="3900" t="n"/>
      <c r="Z72" s="3900" t="n"/>
      <c r="AA72" s="3900" t="n"/>
      <c r="AB72" s="3900" t="n"/>
      <c r="AC72" s="4200" t="n"/>
      <c r="AD72" s="3900" t="n"/>
      <c r="AE72" s="3900" t="n"/>
      <c r="AF72" s="3900" t="n"/>
      <c r="AG72" s="3900" t="n"/>
      <c r="AH72" s="3900" t="n"/>
      <c r="AI72" s="3900" t="n"/>
      <c r="AJ72" s="3900" t="n"/>
      <c r="AK72" s="3900" t="n"/>
      <c r="AL72" s="3900" t="n"/>
      <c r="AM72" s="3900" t="n"/>
      <c r="AN72" s="3900" t="n"/>
      <c r="AO72" s="4200" t="n"/>
      <c r="AP72" s="3900">
        <f>SUM(AP53:AP71)</f>
        <v/>
      </c>
      <c r="AQ72" s="3900">
        <f>SUM(AQ53:AQ71)</f>
        <v/>
      </c>
      <c r="AR72" s="3900">
        <f>SUM(AR53:AR71)</f>
        <v/>
      </c>
      <c r="AS72" s="3900">
        <f>SUM(AS53:AS71)</f>
        <v/>
      </c>
      <c r="AT72" s="3900">
        <f>SUM(AT53:AT71)</f>
        <v/>
      </c>
      <c r="AU72" s="4201">
        <f>SUM(AU53:AU71)</f>
        <v/>
      </c>
      <c r="AV72" s="3900">
        <f>SUM(AV53:AV71)</f>
        <v/>
      </c>
      <c r="AW72" s="3900">
        <f>SUM(AW53:AW71)</f>
        <v/>
      </c>
      <c r="AX72" s="3900">
        <f>SUM(AX53:AX71)</f>
        <v/>
      </c>
      <c r="AY72" s="3900">
        <f>SUM(AY53:AY71)</f>
        <v/>
      </c>
      <c r="AZ72" s="3900">
        <f>SUM(AZ53:AZ71)</f>
        <v/>
      </c>
      <c r="BA72" s="4202">
        <f>SUM(BA53:BA71)</f>
        <v/>
      </c>
      <c r="BB72" s="3900">
        <f>SUM(BB53:BB71)</f>
        <v/>
      </c>
      <c r="BC72" s="3900">
        <f>SUM(BC53:BC71)</f>
        <v/>
      </c>
      <c r="BD72" s="3900">
        <f>SUM(BD53:BD71)</f>
        <v/>
      </c>
      <c r="BE72" s="3900">
        <f>SUM(BE53:BE71)</f>
        <v/>
      </c>
      <c r="BF72" s="3743" t="n"/>
      <c r="BG72" s="3900">
        <f>SUM(BG53:BG71)</f>
        <v/>
      </c>
    </row>
    <row r="73" hidden="1" outlineLevel="2" ht="12" customHeight="1" s="3710">
      <c r="B73" s="3891" t="n"/>
      <c r="C73" s="4012" t="inlineStr">
        <is>
          <t>IDSW - capitalized projects</t>
        </is>
      </c>
      <c r="D73" s="3902" t="n">
        <v>170801</v>
      </c>
      <c r="E73" s="3902" t="inlineStr">
        <is>
          <t>170801 - IDSW - Capitalized Projects</t>
        </is>
      </c>
      <c r="F73" s="3900" t="n"/>
      <c r="G73" s="3900" t="n"/>
      <c r="H73" s="3900" t="n"/>
      <c r="I73" s="3900" t="n"/>
      <c r="J73" s="3900" t="n"/>
      <c r="K73" s="3900" t="n"/>
      <c r="L73" s="3900" t="n"/>
      <c r="M73" s="3900" t="n"/>
      <c r="N73" s="3900" t="n"/>
      <c r="O73" s="3900" t="n"/>
      <c r="P73" s="3900" t="n"/>
      <c r="Q73" s="4200" t="n"/>
      <c r="R73" s="3900" t="n"/>
      <c r="S73" s="3900" t="n"/>
      <c r="T73" s="3900" t="n"/>
      <c r="U73" s="3900" t="n"/>
      <c r="V73" s="3900" t="n"/>
      <c r="W73" s="3900" t="n"/>
      <c r="X73" s="3900" t="n"/>
      <c r="Y73" s="3900" t="n"/>
      <c r="Z73" s="3900" t="n"/>
      <c r="AA73" s="3900" t="n"/>
      <c r="AB73" s="3900" t="n"/>
      <c r="AC73" s="4200" t="n"/>
      <c r="AD73" s="3900" t="n"/>
      <c r="AE73" s="3900" t="n"/>
      <c r="AF73" s="3900" t="n"/>
      <c r="AG73" s="3900" t="n"/>
      <c r="AH73" s="3900" t="n"/>
      <c r="AI73" s="3900" t="n"/>
      <c r="AJ73" s="3900" t="n"/>
      <c r="AK73" s="3900" t="n"/>
      <c r="AL73" s="3900" t="n"/>
      <c r="AM73" s="3900" t="n"/>
      <c r="AN73" s="3900" t="n"/>
      <c r="AO73" s="4200" t="n"/>
      <c r="AP73" s="3900" t="n">
        <v>24177.843</v>
      </c>
      <c r="AQ73" s="3900" t="n">
        <v>24177.843</v>
      </c>
      <c r="AR73" s="3900" t="n">
        <v>24249.356</v>
      </c>
      <c r="AS73" s="3900" t="n">
        <v>24249.356</v>
      </c>
      <c r="AT73" s="3900" t="n">
        <v>24249.3555</v>
      </c>
      <c r="AU73" s="4201" t="n">
        <v>24249.3555</v>
      </c>
      <c r="AV73" s="3900">
        <f>Q73</f>
        <v/>
      </c>
      <c r="AW73" s="3900">
        <f>AC73</f>
        <v/>
      </c>
      <c r="AX73" s="3900">
        <f>AO73</f>
        <v/>
      </c>
      <c r="AY73" s="3900">
        <f>AS73</f>
        <v/>
      </c>
      <c r="AZ73" s="3900">
        <f>AU73</f>
        <v/>
      </c>
      <c r="BA73" s="4202">
        <f>AVERAGE(F73:Q73)</f>
        <v/>
      </c>
      <c r="BB73" s="3900">
        <f>AVERAGE(R73:AC73)</f>
        <v/>
      </c>
      <c r="BC73" s="3900">
        <f>AVERAGE(AD73:AO73)</f>
        <v/>
      </c>
      <c r="BD73" s="3900">
        <f>AVERAGE(AH73:AS73)</f>
        <v/>
      </c>
      <c r="BE73" s="3900">
        <f>AVERAGE(AJ73:AU73)</f>
        <v/>
      </c>
      <c r="BF73" s="3743" t="n"/>
      <c r="BG73" s="3900" t="n">
        <v>21900.692</v>
      </c>
    </row>
    <row r="74" hidden="1" outlineLevel="2" ht="12" customHeight="1" s="3710">
      <c r="B74" s="3891" t="n"/>
      <c r="C74" s="4012" t="inlineStr">
        <is>
          <t>IDSW capitalized projects WIP</t>
        </is>
      </c>
      <c r="D74" s="3902" t="n">
        <v>170805</v>
      </c>
      <c r="E74" s="3902" t="inlineStr">
        <is>
          <t>170805 - IDSW Capitalized Projects WIP</t>
        </is>
      </c>
      <c r="F74" s="3900" t="n"/>
      <c r="G74" s="3900" t="n"/>
      <c r="H74" s="3900" t="n"/>
      <c r="I74" s="3900" t="n"/>
      <c r="J74" s="3900" t="n"/>
      <c r="K74" s="3900" t="n"/>
      <c r="L74" s="3900" t="n"/>
      <c r="M74" s="3900" t="n"/>
      <c r="N74" s="3900" t="n"/>
      <c r="O74" s="3900" t="n"/>
      <c r="P74" s="3900" t="n"/>
      <c r="Q74" s="4200" t="n"/>
      <c r="R74" s="3900" t="n"/>
      <c r="S74" s="3900" t="n"/>
      <c r="T74" s="3900" t="n"/>
      <c r="U74" s="3900" t="n"/>
      <c r="V74" s="3900" t="n"/>
      <c r="W74" s="3900" t="n"/>
      <c r="X74" s="3900" t="n"/>
      <c r="Y74" s="3900" t="n"/>
      <c r="Z74" s="3900" t="n"/>
      <c r="AA74" s="3900" t="n"/>
      <c r="AB74" s="3900" t="n"/>
      <c r="AC74" s="4200" t="n"/>
      <c r="AD74" s="3900" t="n"/>
      <c r="AE74" s="3900" t="n"/>
      <c r="AF74" s="3900" t="n"/>
      <c r="AG74" s="3900" t="n"/>
      <c r="AH74" s="3900" t="n"/>
      <c r="AI74" s="3900" t="n"/>
      <c r="AJ74" s="3900" t="n"/>
      <c r="AK74" s="3900" t="n"/>
      <c r="AL74" s="3900" t="n"/>
      <c r="AM74" s="3900" t="n"/>
      <c r="AN74" s="3900" t="n"/>
      <c r="AO74" s="4200" t="n"/>
      <c r="AP74" s="3900" t="n">
        <v>2135.395</v>
      </c>
      <c r="AQ74" s="3900" t="n">
        <v>2307.427</v>
      </c>
      <c r="AR74" s="3900" t="n">
        <v>2426.145</v>
      </c>
      <c r="AS74" s="3900" t="n">
        <v>2606.737</v>
      </c>
      <c r="AT74" s="3900" t="n">
        <v>2821.50548</v>
      </c>
      <c r="AU74" s="4201" t="n">
        <v>3016.79058</v>
      </c>
      <c r="AV74" s="3900">
        <f>Q74</f>
        <v/>
      </c>
      <c r="AW74" s="3900">
        <f>AC74</f>
        <v/>
      </c>
      <c r="AX74" s="3900">
        <f>AO74</f>
        <v/>
      </c>
      <c r="AY74" s="3900">
        <f>AS74</f>
        <v/>
      </c>
      <c r="AZ74" s="3900">
        <f>AU74</f>
        <v/>
      </c>
      <c r="BA74" s="4202">
        <f>AVERAGE(F74:Q74)</f>
        <v/>
      </c>
      <c r="BB74" s="3900">
        <f>AVERAGE(R74:AC74)</f>
        <v/>
      </c>
      <c r="BC74" s="3900">
        <f>AVERAGE(AD74:AO74)</f>
        <v/>
      </c>
      <c r="BD74" s="3900">
        <f>AVERAGE(AH74:AS74)</f>
        <v/>
      </c>
      <c r="BE74" s="3900">
        <f>AVERAGE(AJ74:AU74)</f>
        <v/>
      </c>
      <c r="BF74" s="3743" t="n"/>
      <c r="BG74" s="3900" t="n">
        <v>986.027</v>
      </c>
    </row>
    <row r="75" hidden="1" outlineLevel="2" ht="12" customHeight="1" s="3710">
      <c r="B75" s="3891" t="n"/>
      <c r="C75" s="4203" t="inlineStr">
        <is>
          <t>Accum amort - IDSW capitalized projects</t>
        </is>
      </c>
      <c r="D75" s="4204" t="n">
        <v>175801</v>
      </c>
      <c r="E75" s="4204" t="inlineStr">
        <is>
          <t>175801 - Accum Amort - IDSW Capitalized Projects</t>
        </is>
      </c>
      <c r="F75" s="4205" t="n"/>
      <c r="G75" s="4205" t="n"/>
      <c r="H75" s="4205" t="n"/>
      <c r="I75" s="4205" t="n"/>
      <c r="J75" s="4205" t="n"/>
      <c r="K75" s="4205" t="n"/>
      <c r="L75" s="4205" t="n"/>
      <c r="M75" s="4205" t="n"/>
      <c r="N75" s="4205" t="n"/>
      <c r="O75" s="4205" t="n"/>
      <c r="P75" s="4205" t="n"/>
      <c r="Q75" s="4206" t="n"/>
      <c r="R75" s="4205" t="n"/>
      <c r="S75" s="4205" t="n"/>
      <c r="T75" s="4205" t="n"/>
      <c r="U75" s="4205" t="n"/>
      <c r="V75" s="4205" t="n"/>
      <c r="W75" s="4205" t="n"/>
      <c r="X75" s="4205" t="n"/>
      <c r="Y75" s="4205" t="n"/>
      <c r="Z75" s="4205" t="n"/>
      <c r="AA75" s="4205" t="n"/>
      <c r="AB75" s="4205" t="n"/>
      <c r="AC75" s="4206" t="n"/>
      <c r="AD75" s="4205" t="n"/>
      <c r="AE75" s="4205" t="n"/>
      <c r="AF75" s="4205" t="n"/>
      <c r="AG75" s="4205" t="n"/>
      <c r="AH75" s="4205" t="n"/>
      <c r="AI75" s="4205" t="n"/>
      <c r="AJ75" s="4205" t="n"/>
      <c r="AK75" s="4205" t="n"/>
      <c r="AL75" s="4205" t="n"/>
      <c r="AM75" s="4205" t="n"/>
      <c r="AN75" s="4205" t="n"/>
      <c r="AO75" s="4206" t="n"/>
      <c r="AP75" s="4205" t="n">
        <v>-22988.201</v>
      </c>
      <c r="AQ75" s="4205" t="n">
        <v>-23056.952</v>
      </c>
      <c r="AR75" s="4205" t="n">
        <v>-23125.702</v>
      </c>
      <c r="AS75" s="4205" t="n">
        <v>-23194.453</v>
      </c>
      <c r="AT75" s="4205" t="n">
        <v>-23263.20397</v>
      </c>
      <c r="AU75" s="4207" t="n">
        <v>-23298.70208</v>
      </c>
      <c r="AV75" s="4205">
        <f>Q75</f>
        <v/>
      </c>
      <c r="AW75" s="4205">
        <f>AC75</f>
        <v/>
      </c>
      <c r="AX75" s="4205">
        <f>AO75</f>
        <v/>
      </c>
      <c r="AY75" s="4205">
        <f>AS75</f>
        <v/>
      </c>
      <c r="AZ75" s="4205">
        <f>AU75</f>
        <v/>
      </c>
      <c r="BA75" s="4208">
        <f>AVERAGE(F75:Q75)</f>
        <v/>
      </c>
      <c r="BB75" s="4205">
        <f>AVERAGE(R75:AC75)</f>
        <v/>
      </c>
      <c r="BC75" s="4205">
        <f>AVERAGE(AD75:AO75)</f>
        <v/>
      </c>
      <c r="BD75" s="4205">
        <f>AVERAGE(AH75:AS75)</f>
        <v/>
      </c>
      <c r="BE75" s="4205">
        <f>AVERAGE(AJ75:AU75)</f>
        <v/>
      </c>
      <c r="BF75" s="3743" t="n"/>
      <c r="BG75" s="4205" t="n">
        <v>-20555.299</v>
      </c>
    </row>
    <row r="76" hidden="1" outlineLevel="1" collapsed="1" ht="12" customHeight="1" s="3710">
      <c r="B76" s="3891" t="n"/>
      <c r="C76" s="4017" t="inlineStr">
        <is>
          <t xml:space="preserve">Capitalized development </t>
        </is>
      </c>
      <c r="D76" s="3902" t="n"/>
      <c r="E76" s="3902" t="n"/>
      <c r="F76" s="3900" t="n"/>
      <c r="G76" s="3900" t="n"/>
      <c r="H76" s="3900" t="n"/>
      <c r="I76" s="3900" t="n"/>
      <c r="J76" s="3900" t="n"/>
      <c r="K76" s="3900" t="n"/>
      <c r="L76" s="3900" t="n"/>
      <c r="M76" s="3900" t="n"/>
      <c r="N76" s="3900" t="n"/>
      <c r="O76" s="3900" t="n"/>
      <c r="P76" s="3900" t="n"/>
      <c r="Q76" s="4200" t="n"/>
      <c r="R76" s="3900" t="n"/>
      <c r="S76" s="3900" t="n"/>
      <c r="T76" s="3900" t="n"/>
      <c r="U76" s="3900" t="n"/>
      <c r="V76" s="3900" t="n"/>
      <c r="W76" s="3900" t="n"/>
      <c r="X76" s="3900" t="n"/>
      <c r="Y76" s="3900" t="n"/>
      <c r="Z76" s="3900" t="n"/>
      <c r="AA76" s="3900" t="n"/>
      <c r="AB76" s="3900" t="n"/>
      <c r="AC76" s="4200" t="n"/>
      <c r="AD76" s="3900" t="n"/>
      <c r="AE76" s="3900" t="n"/>
      <c r="AF76" s="3900" t="n"/>
      <c r="AG76" s="3900" t="n"/>
      <c r="AH76" s="3900" t="n"/>
      <c r="AI76" s="3900" t="n"/>
      <c r="AJ76" s="3900" t="n"/>
      <c r="AK76" s="3900" t="n"/>
      <c r="AL76" s="3900" t="n"/>
      <c r="AM76" s="3900" t="n"/>
      <c r="AN76" s="3900" t="n"/>
      <c r="AO76" s="4200" t="n"/>
      <c r="AP76" s="3900">
        <f>SUM(AP73:AP75)</f>
        <v/>
      </c>
      <c r="AQ76" s="3900">
        <f>SUM(AQ73:AQ75)</f>
        <v/>
      </c>
      <c r="AR76" s="3900">
        <f>SUM(AR73:AR75)</f>
        <v/>
      </c>
      <c r="AS76" s="3900">
        <f>SUM(AS73:AS75)</f>
        <v/>
      </c>
      <c r="AT76" s="3900">
        <f>SUM(AT73:AT75)</f>
        <v/>
      </c>
      <c r="AU76" s="4201">
        <f>SUM(AU73:AU75)</f>
        <v/>
      </c>
      <c r="AV76" s="3900">
        <f>SUM(AV73:AV75)</f>
        <v/>
      </c>
      <c r="AW76" s="3900">
        <f>SUM(AW73:AW75)</f>
        <v/>
      </c>
      <c r="AX76" s="3900">
        <f>SUM(AX73:AX75)</f>
        <v/>
      </c>
      <c r="AY76" s="3900">
        <f>SUM(AY73:AY75)</f>
        <v/>
      </c>
      <c r="AZ76" s="3900">
        <f>SUM(AZ73:AZ75)</f>
        <v/>
      </c>
      <c r="BA76" s="4202">
        <f>SUM(BA73:BA75)</f>
        <v/>
      </c>
      <c r="BB76" s="3900">
        <f>SUM(BB73:BB75)</f>
        <v/>
      </c>
      <c r="BC76" s="3900">
        <f>SUM(BC73:BC75)</f>
        <v/>
      </c>
      <c r="BD76" s="3900">
        <f>SUM(BD73:BD75)</f>
        <v/>
      </c>
      <c r="BE76" s="3900">
        <f>SUM(BE73:BE75)</f>
        <v/>
      </c>
      <c r="BF76" s="3743" t="n"/>
      <c r="BG76" s="3900">
        <f>SUM(BG73:BG75)</f>
        <v/>
      </c>
    </row>
    <row r="77" hidden="1" outlineLevel="2" ht="12" customHeight="1" s="3710">
      <c r="B77" s="3891" t="n"/>
      <c r="C77" s="4012" t="inlineStr">
        <is>
          <t>Purchased software</t>
        </is>
      </c>
      <c r="D77" s="3902" t="n">
        <v>170101</v>
      </c>
      <c r="E77" s="3902" t="inlineStr">
        <is>
          <t>170101 - Purchased Software</t>
        </is>
      </c>
      <c r="F77" s="3900" t="n"/>
      <c r="G77" s="3900" t="n"/>
      <c r="H77" s="3900" t="n"/>
      <c r="I77" s="3900" t="n"/>
      <c r="J77" s="3900" t="n"/>
      <c r="K77" s="3900" t="n"/>
      <c r="L77" s="3900" t="n"/>
      <c r="M77" s="3900" t="n"/>
      <c r="N77" s="3900" t="n"/>
      <c r="O77" s="3900" t="n"/>
      <c r="P77" s="3900" t="n"/>
      <c r="Q77" s="4200" t="n"/>
      <c r="R77" s="3900" t="n"/>
      <c r="S77" s="3900" t="n"/>
      <c r="T77" s="3900" t="n"/>
      <c r="U77" s="3900" t="n"/>
      <c r="V77" s="3900" t="n"/>
      <c r="W77" s="3900" t="n"/>
      <c r="X77" s="3900" t="n"/>
      <c r="Y77" s="3900" t="n"/>
      <c r="Z77" s="3900" t="n"/>
      <c r="AA77" s="3900" t="n"/>
      <c r="AB77" s="3900" t="n"/>
      <c r="AC77" s="4200" t="n"/>
      <c r="AD77" s="3900" t="n"/>
      <c r="AE77" s="3900" t="n"/>
      <c r="AF77" s="3900" t="n"/>
      <c r="AG77" s="3900" t="n"/>
      <c r="AH77" s="3900" t="n"/>
      <c r="AI77" s="3900" t="n"/>
      <c r="AJ77" s="3900" t="n"/>
      <c r="AK77" s="3900" t="n"/>
      <c r="AL77" s="3900" t="n"/>
      <c r="AM77" s="3900" t="n"/>
      <c r="AN77" s="3900" t="n"/>
      <c r="AO77" s="4200" t="n"/>
      <c r="AP77" s="3900" t="n">
        <v>10761.903</v>
      </c>
      <c r="AQ77" s="3900" t="n">
        <v>10926.103</v>
      </c>
      <c r="AR77" s="3900" t="n">
        <v>10926.103</v>
      </c>
      <c r="AS77" s="3900" t="n">
        <v>10926.103</v>
      </c>
      <c r="AT77" s="3900" t="n">
        <v>10926.10295</v>
      </c>
      <c r="AU77" s="4201" t="n">
        <v>10933.30295</v>
      </c>
      <c r="AV77" s="3900">
        <f>Q77</f>
        <v/>
      </c>
      <c r="AW77" s="3900">
        <f>AC77</f>
        <v/>
      </c>
      <c r="AX77" s="3900">
        <f>AO77</f>
        <v/>
      </c>
      <c r="AY77" s="3900">
        <f>AS77</f>
        <v/>
      </c>
      <c r="AZ77" s="3900">
        <f>AU77</f>
        <v/>
      </c>
      <c r="BA77" s="4202">
        <f>AVERAGE(F77:Q77)</f>
        <v/>
      </c>
      <c r="BB77" s="3900">
        <f>AVERAGE(R77:AC77)</f>
        <v/>
      </c>
      <c r="BC77" s="3900">
        <f>AVERAGE(AD77:AO77)</f>
        <v/>
      </c>
      <c r="BD77" s="3900">
        <f>AVERAGE(AH77:AS77)</f>
        <v/>
      </c>
      <c r="BE77" s="3900">
        <f>AVERAGE(AJ77:AU77)</f>
        <v/>
      </c>
      <c r="BF77" s="3743" t="n"/>
      <c r="BG77" s="3900" t="n">
        <v>11152.515</v>
      </c>
    </row>
    <row r="78" hidden="1" outlineLevel="2" ht="12" customHeight="1" s="3710">
      <c r="B78" s="3891" t="n"/>
      <c r="C78" s="4012" t="inlineStr">
        <is>
          <t>Purchased software - WIP</t>
        </is>
      </c>
      <c r="D78" s="3902" t="n">
        <v>170151</v>
      </c>
      <c r="E78" s="3902" t="inlineStr">
        <is>
          <t>170151 - Purchased Software - WIP</t>
        </is>
      </c>
      <c r="F78" s="3900" t="n"/>
      <c r="G78" s="3900" t="n"/>
      <c r="H78" s="3900" t="n"/>
      <c r="I78" s="3900" t="n"/>
      <c r="J78" s="3900" t="n"/>
      <c r="K78" s="3900" t="n"/>
      <c r="L78" s="3900" t="n"/>
      <c r="M78" s="3900" t="n"/>
      <c r="N78" s="3900" t="n"/>
      <c r="O78" s="3900" t="n"/>
      <c r="P78" s="3900" t="n"/>
      <c r="Q78" s="4200" t="n"/>
      <c r="R78" s="3900" t="n"/>
      <c r="S78" s="3900" t="n"/>
      <c r="T78" s="3900" t="n"/>
      <c r="U78" s="3900" t="n"/>
      <c r="V78" s="3900" t="n"/>
      <c r="W78" s="3900" t="n"/>
      <c r="X78" s="3900" t="n"/>
      <c r="Y78" s="3900" t="n"/>
      <c r="Z78" s="3900" t="n"/>
      <c r="AA78" s="3900" t="n"/>
      <c r="AB78" s="3900" t="n"/>
      <c r="AC78" s="4200" t="n"/>
      <c r="AD78" s="3900" t="n"/>
      <c r="AE78" s="3900" t="n"/>
      <c r="AF78" s="3900" t="n"/>
      <c r="AG78" s="3900" t="n"/>
      <c r="AH78" s="3900" t="n"/>
      <c r="AI78" s="3900" t="n"/>
      <c r="AJ78" s="3900" t="n"/>
      <c r="AK78" s="3900" t="n"/>
      <c r="AL78" s="3900" t="n"/>
      <c r="AM78" s="3900" t="n"/>
      <c r="AN78" s="3900" t="n"/>
      <c r="AO78" s="4200" t="n"/>
      <c r="AP78" s="3900" t="n">
        <v>2176.029</v>
      </c>
      <c r="AQ78" s="3900" t="n">
        <v>2013.859</v>
      </c>
      <c r="AR78" s="3900" t="n">
        <v>2046.981</v>
      </c>
      <c r="AS78" s="3900" t="n">
        <v>2065.36</v>
      </c>
      <c r="AT78" s="3900" t="n">
        <v>2083.23094</v>
      </c>
      <c r="AU78" s="4201" t="n">
        <v>2100.6668</v>
      </c>
      <c r="AV78" s="3900">
        <f>Q78</f>
        <v/>
      </c>
      <c r="AW78" s="3900">
        <f>AC78</f>
        <v/>
      </c>
      <c r="AX78" s="3900">
        <f>AO78</f>
        <v/>
      </c>
      <c r="AY78" s="3900">
        <f>AS78</f>
        <v/>
      </c>
      <c r="AZ78" s="3900">
        <f>AU78</f>
        <v/>
      </c>
      <c r="BA78" s="4202">
        <f>AVERAGE(F78:Q78)</f>
        <v/>
      </c>
      <c r="BB78" s="3900">
        <f>AVERAGE(R78:AC78)</f>
        <v/>
      </c>
      <c r="BC78" s="3900">
        <f>AVERAGE(AD78:AO78)</f>
        <v/>
      </c>
      <c r="BD78" s="3900">
        <f>AVERAGE(AH78:AS78)</f>
        <v/>
      </c>
      <c r="BE78" s="3900">
        <f>AVERAGE(AJ78:AU78)</f>
        <v/>
      </c>
      <c r="BF78" s="3743" t="n"/>
      <c r="BG78" s="3900" t="n">
        <v>524.314</v>
      </c>
    </row>
    <row r="79" hidden="1" outlineLevel="2" ht="12" customHeight="1" s="3710">
      <c r="B79" s="3891" t="n"/>
      <c r="C79" s="4012" t="inlineStr">
        <is>
          <t>System software purchased- infrastructure</t>
        </is>
      </c>
      <c r="D79" s="3902" t="n">
        <v>170121</v>
      </c>
      <c r="E79" s="3902" t="inlineStr">
        <is>
          <t>170121 - System Software Purchased- Infrastructure</t>
        </is>
      </c>
      <c r="F79" s="3900" t="n"/>
      <c r="G79" s="3900" t="n"/>
      <c r="H79" s="3900" t="n"/>
      <c r="I79" s="3900" t="n"/>
      <c r="J79" s="3900" t="n"/>
      <c r="K79" s="3900" t="n"/>
      <c r="L79" s="3900" t="n"/>
      <c r="M79" s="3900" t="n"/>
      <c r="N79" s="3900" t="n"/>
      <c r="O79" s="3900" t="n"/>
      <c r="P79" s="3900" t="n"/>
      <c r="Q79" s="4200" t="n"/>
      <c r="R79" s="3900" t="n"/>
      <c r="S79" s="3900" t="n"/>
      <c r="T79" s="3900" t="n"/>
      <c r="U79" s="3900" t="n"/>
      <c r="V79" s="3900" t="n"/>
      <c r="W79" s="3900" t="n"/>
      <c r="X79" s="3900" t="n"/>
      <c r="Y79" s="3900" t="n"/>
      <c r="Z79" s="3900" t="n"/>
      <c r="AA79" s="3900" t="n"/>
      <c r="AB79" s="3900" t="n"/>
      <c r="AC79" s="4200" t="n"/>
      <c r="AD79" s="3900" t="n"/>
      <c r="AE79" s="3900" t="n"/>
      <c r="AF79" s="3900" t="n"/>
      <c r="AG79" s="3900" t="n"/>
      <c r="AH79" s="3900" t="n"/>
      <c r="AI79" s="3900" t="n"/>
      <c r="AJ79" s="3900" t="n"/>
      <c r="AK79" s="3900" t="n"/>
      <c r="AL79" s="3900" t="n"/>
      <c r="AM79" s="3900" t="n"/>
      <c r="AN79" s="3900" t="n"/>
      <c r="AO79" s="4200" t="n"/>
      <c r="AP79" s="3900" t="n">
        <v>1147.966</v>
      </c>
      <c r="AQ79" s="3900" t="n">
        <v>1147.966</v>
      </c>
      <c r="AR79" s="3900" t="n">
        <v>1147.966</v>
      </c>
      <c r="AS79" s="3900" t="n">
        <v>1147.966</v>
      </c>
      <c r="AT79" s="3900" t="n">
        <v>1147.9656</v>
      </c>
      <c r="AU79" s="4201" t="n">
        <v>1147.9656</v>
      </c>
      <c r="AV79" s="3900">
        <f>Q79</f>
        <v/>
      </c>
      <c r="AW79" s="3900">
        <f>AC79</f>
        <v/>
      </c>
      <c r="AX79" s="3900">
        <f>AO79</f>
        <v/>
      </c>
      <c r="AY79" s="3900">
        <f>AS79</f>
        <v/>
      </c>
      <c r="AZ79" s="3900">
        <f>AU79</f>
        <v/>
      </c>
      <c r="BA79" s="4202">
        <f>AVERAGE(F79:Q79)</f>
        <v/>
      </c>
      <c r="BB79" s="3900">
        <f>AVERAGE(R79:AC79)</f>
        <v/>
      </c>
      <c r="BC79" s="3900">
        <f>AVERAGE(AD79:AO79)</f>
        <v/>
      </c>
      <c r="BD79" s="3900">
        <f>AVERAGE(AH79:AS79)</f>
        <v/>
      </c>
      <c r="BE79" s="3900">
        <f>AVERAGE(AJ79:AU79)</f>
        <v/>
      </c>
      <c r="BF79" s="3743" t="n"/>
      <c r="BG79" s="3900" t="n">
        <v>1345.444</v>
      </c>
    </row>
    <row r="80" hidden="1" outlineLevel="2" ht="12" customHeight="1" s="3710">
      <c r="B80" s="3891" t="n"/>
      <c r="C80" s="4012" t="inlineStr">
        <is>
          <t>Accum amort - system software- infrastructure</t>
        </is>
      </c>
      <c r="D80" s="3902" t="n">
        <v>175121</v>
      </c>
      <c r="E80" s="3902" t="inlineStr">
        <is>
          <t>175121 - Accum Amort - System Software- Infrastructure</t>
        </is>
      </c>
      <c r="F80" s="3900" t="n"/>
      <c r="G80" s="3900" t="n"/>
      <c r="H80" s="3900" t="n"/>
      <c r="I80" s="3900" t="n"/>
      <c r="J80" s="3900" t="n"/>
      <c r="K80" s="3900" t="n"/>
      <c r="L80" s="3900" t="n"/>
      <c r="M80" s="3900" t="n"/>
      <c r="N80" s="3900" t="n"/>
      <c r="O80" s="3900" t="n"/>
      <c r="P80" s="3900" t="n"/>
      <c r="Q80" s="4200" t="n"/>
      <c r="R80" s="3900" t="n"/>
      <c r="S80" s="3900" t="n"/>
      <c r="T80" s="3900" t="n"/>
      <c r="U80" s="3900" t="n"/>
      <c r="V80" s="3900" t="n"/>
      <c r="W80" s="3900" t="n"/>
      <c r="X80" s="3900" t="n"/>
      <c r="Y80" s="3900" t="n"/>
      <c r="Z80" s="3900" t="n"/>
      <c r="AA80" s="3900" t="n"/>
      <c r="AB80" s="3900" t="n"/>
      <c r="AC80" s="4200" t="n"/>
      <c r="AD80" s="3900" t="n"/>
      <c r="AE80" s="3900" t="n"/>
      <c r="AF80" s="3900" t="n"/>
      <c r="AG80" s="3900" t="n"/>
      <c r="AH80" s="3900" t="n"/>
      <c r="AI80" s="3900" t="n"/>
      <c r="AJ80" s="3900" t="n"/>
      <c r="AK80" s="3900" t="n"/>
      <c r="AL80" s="3900" t="n"/>
      <c r="AM80" s="3900" t="n"/>
      <c r="AN80" s="3900" t="n"/>
      <c r="AO80" s="4200" t="n"/>
      <c r="AP80" s="3900" t="n">
        <v>-753.467</v>
      </c>
      <c r="AQ80" s="3900" t="n">
        <v>-764.351</v>
      </c>
      <c r="AR80" s="3900" t="n">
        <v>-775.236</v>
      </c>
      <c r="AS80" s="3900" t="n">
        <v>-786.121</v>
      </c>
      <c r="AT80" s="3900" t="n">
        <v>-797.00588</v>
      </c>
      <c r="AU80" s="4201" t="n">
        <v>-807.8906899999999</v>
      </c>
      <c r="AV80" s="3900">
        <f>Q80</f>
        <v/>
      </c>
      <c r="AW80" s="3900">
        <f>AC80</f>
        <v/>
      </c>
      <c r="AX80" s="3900">
        <f>AO80</f>
        <v/>
      </c>
      <c r="AY80" s="3900">
        <f>AS80</f>
        <v/>
      </c>
      <c r="AZ80" s="3900">
        <f>AU80</f>
        <v/>
      </c>
      <c r="BA80" s="4202">
        <f>AVERAGE(F80:Q80)</f>
        <v/>
      </c>
      <c r="BB80" s="3900">
        <f>AVERAGE(R80:AC80)</f>
        <v/>
      </c>
      <c r="BC80" s="3900">
        <f>AVERAGE(AD80:AO80)</f>
        <v/>
      </c>
      <c r="BD80" s="3900">
        <f>AVERAGE(AH80:AS80)</f>
        <v/>
      </c>
      <c r="BE80" s="3900">
        <f>AVERAGE(AJ80:AU80)</f>
        <v/>
      </c>
      <c r="BF80" s="3743" t="n"/>
      <c r="BG80" s="3900" t="n">
        <v>-572.569</v>
      </c>
    </row>
    <row r="81" hidden="1" outlineLevel="2" ht="12" customHeight="1" s="3710">
      <c r="B81" s="3891" t="n"/>
      <c r="C81" s="4203" t="inlineStr">
        <is>
          <t>Accum amort - purchased software</t>
        </is>
      </c>
      <c r="D81" s="4204" t="n">
        <v>175101</v>
      </c>
      <c r="E81" s="4204" t="inlineStr">
        <is>
          <t>175101 - Accum Amort - Purchased Software</t>
        </is>
      </c>
      <c r="F81" s="4205" t="n"/>
      <c r="G81" s="4205" t="n"/>
      <c r="H81" s="4205" t="n"/>
      <c r="I81" s="4205" t="n"/>
      <c r="J81" s="4205" t="n"/>
      <c r="K81" s="4205" t="n"/>
      <c r="L81" s="4205" t="n"/>
      <c r="M81" s="4205" t="n"/>
      <c r="N81" s="4205" t="n"/>
      <c r="O81" s="4205" t="n"/>
      <c r="P81" s="4205" t="n"/>
      <c r="Q81" s="4206" t="n"/>
      <c r="R81" s="4205" t="n"/>
      <c r="S81" s="4205" t="n"/>
      <c r="T81" s="4205" t="n"/>
      <c r="U81" s="4205" t="n"/>
      <c r="V81" s="4205" t="n"/>
      <c r="W81" s="4205" t="n"/>
      <c r="X81" s="4205" t="n"/>
      <c r="Y81" s="4205" t="n"/>
      <c r="Z81" s="4205" t="n"/>
      <c r="AA81" s="4205" t="n"/>
      <c r="AB81" s="4205" t="n"/>
      <c r="AC81" s="4206" t="n"/>
      <c r="AD81" s="4205" t="n"/>
      <c r="AE81" s="4205" t="n"/>
      <c r="AF81" s="4205" t="n"/>
      <c r="AG81" s="4205" t="n"/>
      <c r="AH81" s="4205" t="n"/>
      <c r="AI81" s="4205" t="n"/>
      <c r="AJ81" s="4205" t="n"/>
      <c r="AK81" s="4205" t="n"/>
      <c r="AL81" s="4205" t="n"/>
      <c r="AM81" s="4205" t="n"/>
      <c r="AN81" s="4205" t="n"/>
      <c r="AO81" s="4206" t="n"/>
      <c r="AP81" s="4205" t="n">
        <v>-8214.415999999999</v>
      </c>
      <c r="AQ81" s="4205" t="n">
        <v>-8309.504999999999</v>
      </c>
      <c r="AR81" s="4205" t="n">
        <v>-8404.591</v>
      </c>
      <c r="AS81" s="4205" t="n">
        <v>-8499.679</v>
      </c>
      <c r="AT81" s="4205" t="n">
        <v>-8594.59721</v>
      </c>
      <c r="AU81" s="4207" t="n">
        <v>-8689.830690000001</v>
      </c>
      <c r="AV81" s="4205">
        <f>Q81</f>
        <v/>
      </c>
      <c r="AW81" s="4205">
        <f>AC81</f>
        <v/>
      </c>
      <c r="AX81" s="4205">
        <f>AO81</f>
        <v/>
      </c>
      <c r="AY81" s="4205">
        <f>AS81</f>
        <v/>
      </c>
      <c r="AZ81" s="4205">
        <f>AU81</f>
        <v/>
      </c>
      <c r="BA81" s="4208">
        <f>AVERAGE(F81:Q81)</f>
        <v/>
      </c>
      <c r="BB81" s="4205">
        <f>AVERAGE(R81:AC81)</f>
        <v/>
      </c>
      <c r="BC81" s="4205">
        <f>AVERAGE(AD81:AO81)</f>
        <v/>
      </c>
      <c r="BD81" s="4205">
        <f>AVERAGE(AH81:AS81)</f>
        <v/>
      </c>
      <c r="BE81" s="4205">
        <f>AVERAGE(AJ81:AU81)</f>
        <v/>
      </c>
      <c r="BF81" s="3743" t="n"/>
      <c r="BG81" s="4205" t="n">
        <v>-8047.459</v>
      </c>
    </row>
    <row r="82" hidden="1" outlineLevel="1" collapsed="1" ht="12" customHeight="1" s="3710">
      <c r="B82" s="3891" t="n"/>
      <c r="C82" s="4017" t="inlineStr">
        <is>
          <t xml:space="preserve">Purchased software assets  </t>
        </is>
      </c>
      <c r="D82" s="3902" t="n"/>
      <c r="E82" s="3902" t="n"/>
      <c r="F82" s="3900" t="n"/>
      <c r="G82" s="3900" t="n"/>
      <c r="H82" s="3900" t="n"/>
      <c r="I82" s="3900" t="n"/>
      <c r="J82" s="3900" t="n"/>
      <c r="K82" s="3900" t="n"/>
      <c r="L82" s="3900" t="n"/>
      <c r="M82" s="3900" t="n"/>
      <c r="N82" s="3900" t="n"/>
      <c r="O82" s="3900" t="n"/>
      <c r="P82" s="3900" t="n"/>
      <c r="Q82" s="4200" t="n"/>
      <c r="R82" s="3900" t="n"/>
      <c r="S82" s="3900" t="n"/>
      <c r="T82" s="3900" t="n"/>
      <c r="U82" s="3900" t="n"/>
      <c r="V82" s="3900" t="n"/>
      <c r="W82" s="3900" t="n"/>
      <c r="X82" s="3900" t="n"/>
      <c r="Y82" s="3900" t="n"/>
      <c r="Z82" s="3900" t="n"/>
      <c r="AA82" s="3900" t="n"/>
      <c r="AB82" s="3900" t="n"/>
      <c r="AC82" s="4200" t="n"/>
      <c r="AD82" s="3900" t="n"/>
      <c r="AE82" s="3900" t="n"/>
      <c r="AF82" s="3900" t="n"/>
      <c r="AG82" s="3900" t="n"/>
      <c r="AH82" s="3900" t="n"/>
      <c r="AI82" s="3900" t="n"/>
      <c r="AJ82" s="3900" t="n"/>
      <c r="AK82" s="3900" t="n"/>
      <c r="AL82" s="3900" t="n"/>
      <c r="AM82" s="3900" t="n"/>
      <c r="AN82" s="3900" t="n"/>
      <c r="AO82" s="4200" t="n"/>
      <c r="AP82" s="3900">
        <f>SUM(AP77:AP81)</f>
        <v/>
      </c>
      <c r="AQ82" s="3900">
        <f>SUM(AQ77:AQ81)</f>
        <v/>
      </c>
      <c r="AR82" s="3900">
        <f>SUM(AR77:AR81)</f>
        <v/>
      </c>
      <c r="AS82" s="3900">
        <f>SUM(AS77:AS81)</f>
        <v/>
      </c>
      <c r="AT82" s="3900">
        <f>SUM(AT77:AT81)</f>
        <v/>
      </c>
      <c r="AU82" s="4201">
        <f>SUM(AU77:AU81)</f>
        <v/>
      </c>
      <c r="AV82" s="3900">
        <f>SUM(AV77:AV81)</f>
        <v/>
      </c>
      <c r="AW82" s="3900">
        <f>SUM(AW77:AW81)</f>
        <v/>
      </c>
      <c r="AX82" s="3900">
        <f>SUM(AX77:AX81)</f>
        <v/>
      </c>
      <c r="AY82" s="3900">
        <f>SUM(AY77:AY81)</f>
        <v/>
      </c>
      <c r="AZ82" s="3900">
        <f>SUM(AZ77:AZ81)</f>
        <v/>
      </c>
      <c r="BA82" s="4202">
        <f>SUM(BA77:BA81)</f>
        <v/>
      </c>
      <c r="BB82" s="3900">
        <f>SUM(BB77:BB81)</f>
        <v/>
      </c>
      <c r="BC82" s="3900">
        <f>SUM(BC77:BC81)</f>
        <v/>
      </c>
      <c r="BD82" s="3900">
        <f>SUM(BD77:BD81)</f>
        <v/>
      </c>
      <c r="BE82" s="3900">
        <f>SUM(BE77:BE81)</f>
        <v/>
      </c>
      <c r="BF82" s="3743" t="n"/>
      <c r="BG82" s="3900">
        <f>SUM(BG77:BG81)</f>
        <v/>
      </c>
    </row>
    <row r="83" hidden="1" outlineLevel="2" ht="12" customHeight="1" s="3710">
      <c r="B83" s="3891" t="n"/>
      <c r="C83" s="4203" t="inlineStr">
        <is>
          <t>Goodwill</t>
        </is>
      </c>
      <c r="D83" s="4204" t="n">
        <v>160101</v>
      </c>
      <c r="E83" s="4204" t="inlineStr">
        <is>
          <t>160101 - Goodwill</t>
        </is>
      </c>
      <c r="F83" s="4205" t="n"/>
      <c r="G83" s="4205" t="n"/>
      <c r="H83" s="4205" t="n"/>
      <c r="I83" s="4205" t="n"/>
      <c r="J83" s="4205" t="n"/>
      <c r="K83" s="4205" t="n"/>
      <c r="L83" s="4205" t="n"/>
      <c r="M83" s="4205" t="n"/>
      <c r="N83" s="4205" t="n"/>
      <c r="O83" s="4205" t="n"/>
      <c r="P83" s="4205" t="n"/>
      <c r="Q83" s="4206" t="n"/>
      <c r="R83" s="4205" t="n"/>
      <c r="S83" s="4205" t="n"/>
      <c r="T83" s="4205" t="n"/>
      <c r="U83" s="4205" t="n"/>
      <c r="V83" s="4205" t="n"/>
      <c r="W83" s="4205" t="n"/>
      <c r="X83" s="4205" t="n"/>
      <c r="Y83" s="4205" t="n"/>
      <c r="Z83" s="4205" t="n"/>
      <c r="AA83" s="4205" t="n"/>
      <c r="AB83" s="4205" t="n"/>
      <c r="AC83" s="4206" t="n"/>
      <c r="AD83" s="4205" t="n"/>
      <c r="AE83" s="4205" t="n"/>
      <c r="AF83" s="4205" t="n"/>
      <c r="AG83" s="4205" t="n"/>
      <c r="AH83" s="4205" t="n"/>
      <c r="AI83" s="4205" t="n"/>
      <c r="AJ83" s="4205" t="n"/>
      <c r="AK83" s="4205" t="n"/>
      <c r="AL83" s="4205" t="n"/>
      <c r="AM83" s="4205" t="n"/>
      <c r="AN83" s="4205" t="n"/>
      <c r="AO83" s="4206" t="n"/>
      <c r="AP83" s="4205" t="n">
        <v>7695.101</v>
      </c>
      <c r="AQ83" s="4205" t="n">
        <v>7695.101</v>
      </c>
      <c r="AR83" s="4205" t="n">
        <v>7695.101</v>
      </c>
      <c r="AS83" s="4205" t="n">
        <v>7695.101</v>
      </c>
      <c r="AT83" s="4205" t="n">
        <v>7695.101</v>
      </c>
      <c r="AU83" s="4207" t="n">
        <v>7695.101</v>
      </c>
      <c r="AV83" s="4205">
        <f>Q83</f>
        <v/>
      </c>
      <c r="AW83" s="4205">
        <f>AC83</f>
        <v/>
      </c>
      <c r="AX83" s="4205">
        <f>AO83</f>
        <v/>
      </c>
      <c r="AY83" s="4205">
        <f>AS83</f>
        <v/>
      </c>
      <c r="AZ83" s="4205">
        <f>AU83</f>
        <v/>
      </c>
      <c r="BA83" s="4208">
        <f>AVERAGE(F83:Q83)</f>
        <v/>
      </c>
      <c r="BB83" s="4205">
        <f>AVERAGE(R83:AC83)</f>
        <v/>
      </c>
      <c r="BC83" s="4205">
        <f>AVERAGE(AD83:AO83)</f>
        <v/>
      </c>
      <c r="BD83" s="4205">
        <f>AVERAGE(AH83:AS83)</f>
        <v/>
      </c>
      <c r="BE83" s="4205">
        <f>AVERAGE(AJ83:AU83)</f>
        <v/>
      </c>
      <c r="BF83" s="3743" t="n"/>
      <c r="BG83" s="4205" t="n">
        <v>7695.101</v>
      </c>
    </row>
    <row r="84" hidden="1" outlineLevel="1" collapsed="1" ht="12" customHeight="1" s="3710">
      <c r="B84" s="3891" t="n"/>
      <c r="C84" s="4017" t="inlineStr">
        <is>
          <t xml:space="preserve">Goodwill </t>
        </is>
      </c>
      <c r="D84" s="3902" t="n"/>
      <c r="E84" s="3902" t="n"/>
      <c r="F84" s="3900" t="n"/>
      <c r="G84" s="3900" t="n"/>
      <c r="H84" s="3900" t="n"/>
      <c r="I84" s="3900" t="n"/>
      <c r="J84" s="3900" t="n"/>
      <c r="K84" s="3900" t="n"/>
      <c r="L84" s="3900" t="n"/>
      <c r="M84" s="3900" t="n"/>
      <c r="N84" s="3900" t="n"/>
      <c r="O84" s="3900" t="n"/>
      <c r="P84" s="3900" t="n"/>
      <c r="Q84" s="4200" t="n"/>
      <c r="R84" s="3900" t="n"/>
      <c r="S84" s="3900" t="n"/>
      <c r="T84" s="3900" t="n"/>
      <c r="U84" s="3900" t="n"/>
      <c r="V84" s="3900" t="n"/>
      <c r="W84" s="3900" t="n"/>
      <c r="X84" s="3900" t="n"/>
      <c r="Y84" s="3900" t="n"/>
      <c r="Z84" s="3900" t="n"/>
      <c r="AA84" s="3900" t="n"/>
      <c r="AB84" s="3900" t="n"/>
      <c r="AC84" s="4200" t="n"/>
      <c r="AD84" s="3900" t="n"/>
      <c r="AE84" s="3900" t="n"/>
      <c r="AF84" s="3900" t="n"/>
      <c r="AG84" s="3900" t="n"/>
      <c r="AH84" s="3900" t="n"/>
      <c r="AI84" s="3900" t="n"/>
      <c r="AJ84" s="3900" t="n"/>
      <c r="AK84" s="3900" t="n"/>
      <c r="AL84" s="3900" t="n"/>
      <c r="AM84" s="3900" t="n"/>
      <c r="AN84" s="3900" t="n"/>
      <c r="AO84" s="4200" t="n"/>
      <c r="AP84" s="3900">
        <f>SUM(AP83)</f>
        <v/>
      </c>
      <c r="AQ84" s="3900">
        <f>SUM(AQ83)</f>
        <v/>
      </c>
      <c r="AR84" s="3900">
        <f>SUM(AR83)</f>
        <v/>
      </c>
      <c r="AS84" s="3900">
        <f>SUM(AS83)</f>
        <v/>
      </c>
      <c r="AT84" s="3900">
        <f>SUM(AT83)</f>
        <v/>
      </c>
      <c r="AU84" s="4201">
        <f>SUM(AU83)</f>
        <v/>
      </c>
      <c r="AV84" s="3900">
        <f>SUM(AV83)</f>
        <v/>
      </c>
      <c r="AW84" s="3900">
        <f>SUM(AW83)</f>
        <v/>
      </c>
      <c r="AX84" s="3900">
        <f>SUM(AX83)</f>
        <v/>
      </c>
      <c r="AY84" s="3900">
        <f>SUM(AY83)</f>
        <v/>
      </c>
      <c r="AZ84" s="3900">
        <f>SUM(AZ83)</f>
        <v/>
      </c>
      <c r="BA84" s="4202">
        <f>SUM(BA83)</f>
        <v/>
      </c>
      <c r="BB84" s="3900">
        <f>SUM(BB83)</f>
        <v/>
      </c>
      <c r="BC84" s="3900">
        <f>SUM(BC83)</f>
        <v/>
      </c>
      <c r="BD84" s="3900">
        <f>SUM(BD83)</f>
        <v/>
      </c>
      <c r="BE84" s="3900">
        <f>SUM(BE83)</f>
        <v/>
      </c>
      <c r="BF84" s="3743" t="n"/>
      <c r="BG84" s="3900">
        <f>SUM(BG83)</f>
        <v/>
      </c>
    </row>
    <row r="85" hidden="1" outlineLevel="2" ht="12" customHeight="1" s="3710">
      <c r="B85" s="3891" t="n"/>
      <c r="C85" s="4203" t="inlineStr">
        <is>
          <t>Investment in shares</t>
        </is>
      </c>
      <c r="D85" s="4204" t="n">
        <v>180101</v>
      </c>
      <c r="E85" s="4204" t="inlineStr">
        <is>
          <t>180101 - Investment in Shares</t>
        </is>
      </c>
      <c r="F85" s="4205" t="n"/>
      <c r="G85" s="4205" t="n"/>
      <c r="H85" s="4205" t="n"/>
      <c r="I85" s="4205" t="n"/>
      <c r="J85" s="4205" t="n"/>
      <c r="K85" s="4205" t="n"/>
      <c r="L85" s="4205" t="n"/>
      <c r="M85" s="4205" t="n"/>
      <c r="N85" s="4205" t="n"/>
      <c r="O85" s="4205" t="n"/>
      <c r="P85" s="4205" t="n"/>
      <c r="Q85" s="4206" t="n"/>
      <c r="R85" s="4205" t="n"/>
      <c r="S85" s="4205" t="n"/>
      <c r="T85" s="4205" t="n"/>
      <c r="U85" s="4205" t="n"/>
      <c r="V85" s="4205" t="n"/>
      <c r="W85" s="4205" t="n"/>
      <c r="X85" s="4205" t="n"/>
      <c r="Y85" s="4205" t="n"/>
      <c r="Z85" s="4205" t="n"/>
      <c r="AA85" s="4205" t="n"/>
      <c r="AB85" s="4205" t="n"/>
      <c r="AC85" s="4206" t="n"/>
      <c r="AD85" s="4205" t="n"/>
      <c r="AE85" s="4205" t="n"/>
      <c r="AF85" s="4205" t="n"/>
      <c r="AG85" s="4205" t="n"/>
      <c r="AH85" s="4205" t="n"/>
      <c r="AI85" s="4205" t="n"/>
      <c r="AJ85" s="4205" t="n"/>
      <c r="AK85" s="4205" t="n"/>
      <c r="AL85" s="4205" t="n"/>
      <c r="AM85" s="4205" t="n"/>
      <c r="AN85" s="4205" t="n"/>
      <c r="AO85" s="4206" t="n"/>
      <c r="AP85" s="4205" t="n">
        <v>940.538</v>
      </c>
      <c r="AQ85" s="4205" t="n">
        <v>940.538</v>
      </c>
      <c r="AR85" s="4205" t="n">
        <v>940.538</v>
      </c>
      <c r="AS85" s="4205" t="n">
        <v>940.538</v>
      </c>
      <c r="AT85" s="4205" t="n">
        <v>940.5376199999999</v>
      </c>
      <c r="AU85" s="4207" t="n">
        <v>940.5376199999999</v>
      </c>
      <c r="AV85" s="4205">
        <f>Q85</f>
        <v/>
      </c>
      <c r="AW85" s="4205">
        <f>AC85</f>
        <v/>
      </c>
      <c r="AX85" s="4205">
        <f>AO85</f>
        <v/>
      </c>
      <c r="AY85" s="4205">
        <f>AS85</f>
        <v/>
      </c>
      <c r="AZ85" s="4205">
        <f>AU85</f>
        <v/>
      </c>
      <c r="BA85" s="4208">
        <f>AVERAGE(F85:Q85)</f>
        <v/>
      </c>
      <c r="BB85" s="4205">
        <f>AVERAGE(R85:AC85)</f>
        <v/>
      </c>
      <c r="BC85" s="4205">
        <f>AVERAGE(AD85:AO85)</f>
        <v/>
      </c>
      <c r="BD85" s="4205">
        <f>AVERAGE(AH85:AS85)</f>
        <v/>
      </c>
      <c r="BE85" s="4205">
        <f>AVERAGE(AJ85:AU85)</f>
        <v/>
      </c>
      <c r="BF85" s="3743" t="n"/>
      <c r="BG85" s="4205" t="n">
        <v>686.933</v>
      </c>
    </row>
    <row r="86" hidden="1" outlineLevel="1" collapsed="1" ht="12" customHeight="1" s="3710">
      <c r="B86" s="3891" t="n"/>
      <c r="C86" s="4017" t="inlineStr">
        <is>
          <t>Investment in</t>
        </is>
      </c>
      <c r="D86" s="3902" t="n"/>
      <c r="E86" s="3902" t="n"/>
      <c r="F86" s="3900" t="n"/>
      <c r="G86" s="3900" t="n"/>
      <c r="H86" s="3900" t="n"/>
      <c r="I86" s="3900" t="n"/>
      <c r="J86" s="3900" t="n"/>
      <c r="K86" s="3900" t="n"/>
      <c r="L86" s="3900" t="n"/>
      <c r="M86" s="3900" t="n"/>
      <c r="N86" s="3900" t="n"/>
      <c r="O86" s="3900" t="n"/>
      <c r="P86" s="3900" t="n"/>
      <c r="Q86" s="4200" t="n"/>
      <c r="R86" s="3900" t="n"/>
      <c r="S86" s="3900" t="n"/>
      <c r="T86" s="3900" t="n"/>
      <c r="U86" s="3900" t="n"/>
      <c r="V86" s="3900" t="n"/>
      <c r="W86" s="3900" t="n"/>
      <c r="X86" s="3900" t="n"/>
      <c r="Y86" s="3900" t="n"/>
      <c r="Z86" s="3900" t="n"/>
      <c r="AA86" s="3900" t="n"/>
      <c r="AB86" s="3900" t="n"/>
      <c r="AC86" s="4200" t="n"/>
      <c r="AD86" s="3900" t="n"/>
      <c r="AE86" s="3900" t="n"/>
      <c r="AF86" s="3900" t="n"/>
      <c r="AG86" s="3900" t="n"/>
      <c r="AH86" s="3900" t="n"/>
      <c r="AI86" s="3900" t="n"/>
      <c r="AJ86" s="3900" t="n"/>
      <c r="AK86" s="3900" t="n"/>
      <c r="AL86" s="3900" t="n"/>
      <c r="AM86" s="3900" t="n"/>
      <c r="AN86" s="3900" t="n"/>
      <c r="AO86" s="4200" t="n"/>
      <c r="AP86" s="3900">
        <f>SUM(AP85)</f>
        <v/>
      </c>
      <c r="AQ86" s="3900">
        <f>SUM(AQ85)</f>
        <v/>
      </c>
      <c r="AR86" s="3900">
        <f>SUM(AR85)</f>
        <v/>
      </c>
      <c r="AS86" s="3900">
        <f>SUM(AS85)</f>
        <v/>
      </c>
      <c r="AT86" s="3900">
        <f>SUM(AT85)</f>
        <v/>
      </c>
      <c r="AU86" s="4201">
        <f>SUM(AU85)</f>
        <v/>
      </c>
      <c r="AV86" s="3900">
        <f>SUM(AV85)</f>
        <v/>
      </c>
      <c r="AW86" s="3900">
        <f>SUM(AW85)</f>
        <v/>
      </c>
      <c r="AX86" s="3900">
        <f>SUM(AX85)</f>
        <v/>
      </c>
      <c r="AY86" s="3900">
        <f>SUM(AY85)</f>
        <v/>
      </c>
      <c r="AZ86" s="3900">
        <f>SUM(AZ85)</f>
        <v/>
      </c>
      <c r="BA86" s="4202">
        <f>SUM(BA85)</f>
        <v/>
      </c>
      <c r="BB86" s="3900">
        <f>SUM(BB85)</f>
        <v/>
      </c>
      <c r="BC86" s="3900">
        <f>SUM(BC85)</f>
        <v/>
      </c>
      <c r="BD86" s="3900">
        <f>SUM(BD85)</f>
        <v/>
      </c>
      <c r="BE86" s="3900">
        <f>SUM(BE85)</f>
        <v/>
      </c>
      <c r="BF86" s="3743" t="n"/>
      <c r="BG86" s="3900">
        <f>SUM(BG85)</f>
        <v/>
      </c>
    </row>
    <row r="87" hidden="1" outlineLevel="2" ht="12" customHeight="1" s="3710">
      <c r="B87" s="3891" t="n"/>
      <c r="C87" s="4203" t="inlineStr">
        <is>
          <t>Contract assets - lT IFRS15</t>
        </is>
      </c>
      <c r="D87" s="4204" t="n">
        <v>191515</v>
      </c>
      <c r="E87" s="4204" t="inlineStr">
        <is>
          <t>191515 - CONTRACT ASSETS - LT IFRS15</t>
        </is>
      </c>
      <c r="F87" s="4205" t="n"/>
      <c r="G87" s="4205" t="n"/>
      <c r="H87" s="4205" t="n"/>
      <c r="I87" s="4205" t="n"/>
      <c r="J87" s="4205" t="n"/>
      <c r="K87" s="4205" t="n"/>
      <c r="L87" s="4205" t="n"/>
      <c r="M87" s="4205" t="n"/>
      <c r="N87" s="4205" t="n"/>
      <c r="O87" s="4205" t="n"/>
      <c r="P87" s="4205" t="n"/>
      <c r="Q87" s="4206" t="n"/>
      <c r="R87" s="4205" t="n"/>
      <c r="S87" s="4205" t="n"/>
      <c r="T87" s="4205" t="n"/>
      <c r="U87" s="4205" t="n"/>
      <c r="V87" s="4205" t="n"/>
      <c r="W87" s="4205" t="n"/>
      <c r="X87" s="4205" t="n"/>
      <c r="Y87" s="4205" t="n"/>
      <c r="Z87" s="4205" t="n"/>
      <c r="AA87" s="4205" t="n"/>
      <c r="AB87" s="4205" t="n"/>
      <c r="AC87" s="4206" t="n"/>
      <c r="AD87" s="4205" t="n"/>
      <c r="AE87" s="4205" t="n"/>
      <c r="AF87" s="4205" t="n"/>
      <c r="AG87" s="4205" t="n"/>
      <c r="AH87" s="4205" t="n"/>
      <c r="AI87" s="4205" t="n"/>
      <c r="AJ87" s="4205" t="n"/>
      <c r="AK87" s="4205" t="n"/>
      <c r="AL87" s="4205" t="n"/>
      <c r="AM87" s="4205" t="n"/>
      <c r="AN87" s="4205" t="n"/>
      <c r="AO87" s="4206" t="n"/>
      <c r="AP87" s="4205" t="n">
        <v>530.309</v>
      </c>
      <c r="AQ87" s="4205" t="n">
        <v>630.309</v>
      </c>
      <c r="AR87" s="4205" t="n">
        <v>666.059</v>
      </c>
      <c r="AS87" s="4205" t="n">
        <v>701.309</v>
      </c>
      <c r="AT87" s="4205" t="n">
        <v>743.57121</v>
      </c>
      <c r="AU87" s="4207" t="n">
        <v>756.1712</v>
      </c>
      <c r="AV87" s="4205">
        <f>Q87</f>
        <v/>
      </c>
      <c r="AW87" s="4205">
        <f>AC87</f>
        <v/>
      </c>
      <c r="AX87" s="4205">
        <f>AO87</f>
        <v/>
      </c>
      <c r="AY87" s="4205">
        <f>AS87</f>
        <v/>
      </c>
      <c r="AZ87" s="4205">
        <f>AU87</f>
        <v/>
      </c>
      <c r="BA87" s="4208">
        <f>AVERAGE(F87:Q87)</f>
        <v/>
      </c>
      <c r="BB87" s="4205">
        <f>AVERAGE(R87:AC87)</f>
        <v/>
      </c>
      <c r="BC87" s="4205">
        <f>AVERAGE(AD87:AO87)</f>
        <v/>
      </c>
      <c r="BD87" s="4205">
        <f>AVERAGE(AH87:AS87)</f>
        <v/>
      </c>
      <c r="BE87" s="4205">
        <f>AVERAGE(AJ87:AU87)</f>
        <v/>
      </c>
      <c r="BF87" s="3743" t="n"/>
      <c r="BG87" s="4205" t="n">
        <v>1204.859</v>
      </c>
    </row>
    <row r="88" hidden="1" outlineLevel="1" collapsed="1" ht="12" customHeight="1" s="3710">
      <c r="B88" s="3891" t="n"/>
      <c r="C88" s="4017" t="inlineStr">
        <is>
          <t xml:space="preserve">Deferred implementation costs - non-current </t>
        </is>
      </c>
      <c r="D88" s="3902" t="n"/>
      <c r="E88" s="3902" t="n"/>
      <c r="F88" s="3900" t="n"/>
      <c r="G88" s="3900" t="n"/>
      <c r="H88" s="3900" t="n"/>
      <c r="I88" s="3900" t="n"/>
      <c r="J88" s="3900" t="n"/>
      <c r="K88" s="3900" t="n"/>
      <c r="L88" s="3900" t="n"/>
      <c r="M88" s="3900" t="n"/>
      <c r="N88" s="3900" t="n"/>
      <c r="O88" s="3900" t="n"/>
      <c r="P88" s="3900" t="n"/>
      <c r="Q88" s="4200" t="n"/>
      <c r="R88" s="3900" t="n"/>
      <c r="S88" s="3900" t="n"/>
      <c r="T88" s="3900" t="n"/>
      <c r="U88" s="3900" t="n"/>
      <c r="V88" s="3900" t="n"/>
      <c r="W88" s="3900" t="n"/>
      <c r="X88" s="3900" t="n"/>
      <c r="Y88" s="3900" t="n"/>
      <c r="Z88" s="3900" t="n"/>
      <c r="AA88" s="3900" t="n"/>
      <c r="AB88" s="3900" t="n"/>
      <c r="AC88" s="4200" t="n"/>
      <c r="AD88" s="3900" t="n"/>
      <c r="AE88" s="3900" t="n"/>
      <c r="AF88" s="3900" t="n"/>
      <c r="AG88" s="3900" t="n"/>
      <c r="AH88" s="3900" t="n"/>
      <c r="AI88" s="3900" t="n"/>
      <c r="AJ88" s="3900" t="n"/>
      <c r="AK88" s="3900" t="n"/>
      <c r="AL88" s="3900" t="n"/>
      <c r="AM88" s="3900" t="n"/>
      <c r="AN88" s="3900" t="n"/>
      <c r="AO88" s="4200" t="n"/>
      <c r="AP88" s="3900">
        <f>SUM(AP87)</f>
        <v/>
      </c>
      <c r="AQ88" s="3900">
        <f>SUM(AQ87)</f>
        <v/>
      </c>
      <c r="AR88" s="3900">
        <f>SUM(AR87)</f>
        <v/>
      </c>
      <c r="AS88" s="3900">
        <f>SUM(AS87)</f>
        <v/>
      </c>
      <c r="AT88" s="3900">
        <f>SUM(AT87)</f>
        <v/>
      </c>
      <c r="AU88" s="4201">
        <f>SUM(AU87)</f>
        <v/>
      </c>
      <c r="AV88" s="3900">
        <f>SUM(AV87)</f>
        <v/>
      </c>
      <c r="AW88" s="3900">
        <f>SUM(AW87)</f>
        <v/>
      </c>
      <c r="AX88" s="3900">
        <f>SUM(AX87)</f>
        <v/>
      </c>
      <c r="AY88" s="3900">
        <f>SUM(AY87)</f>
        <v/>
      </c>
      <c r="AZ88" s="3900">
        <f>SUM(AZ87)</f>
        <v/>
      </c>
      <c r="BA88" s="4202">
        <f>SUM(BA87)</f>
        <v/>
      </c>
      <c r="BB88" s="3900">
        <f>SUM(BB87)</f>
        <v/>
      </c>
      <c r="BC88" s="3900">
        <f>SUM(BC87)</f>
        <v/>
      </c>
      <c r="BD88" s="3900">
        <f>SUM(BD87)</f>
        <v/>
      </c>
      <c r="BE88" s="3900">
        <f>SUM(BE87)</f>
        <v/>
      </c>
      <c r="BF88" s="3743" t="n"/>
      <c r="BG88" s="3900">
        <f>SUM(BG87)</f>
        <v/>
      </c>
    </row>
    <row r="89" hidden="1" outlineLevel="2" ht="12" customHeight="1" s="3710">
      <c r="B89" s="3891" t="n"/>
      <c r="C89" s="4012" t="inlineStr">
        <is>
          <t>Long-term prepayments</t>
        </is>
      </c>
      <c r="D89" s="3902" t="n">
        <v>192201</v>
      </c>
      <c r="E89" s="3902" t="inlineStr">
        <is>
          <t>192201 - Long-Term Prepayments</t>
        </is>
      </c>
      <c r="F89" s="3900" t="n"/>
      <c r="G89" s="3900" t="n"/>
      <c r="H89" s="3900" t="n"/>
      <c r="I89" s="3900" t="n"/>
      <c r="J89" s="3900" t="n"/>
      <c r="K89" s="3900" t="n"/>
      <c r="L89" s="3900" t="n"/>
      <c r="M89" s="3900" t="n"/>
      <c r="N89" s="3900" t="n"/>
      <c r="O89" s="3900" t="n"/>
      <c r="P89" s="3900" t="n"/>
      <c r="Q89" s="4200" t="n"/>
      <c r="R89" s="3900" t="n"/>
      <c r="S89" s="3900" t="n"/>
      <c r="T89" s="3900" t="n"/>
      <c r="U89" s="3900" t="n"/>
      <c r="V89" s="3900" t="n"/>
      <c r="W89" s="3900" t="n"/>
      <c r="X89" s="3900" t="n"/>
      <c r="Y89" s="3900" t="n"/>
      <c r="Z89" s="3900" t="n"/>
      <c r="AA89" s="3900" t="n"/>
      <c r="AB89" s="3900" t="n"/>
      <c r="AC89" s="4200" t="n"/>
      <c r="AD89" s="3900" t="n"/>
      <c r="AE89" s="3900" t="n"/>
      <c r="AF89" s="3900" t="n"/>
      <c r="AG89" s="3900" t="n"/>
      <c r="AH89" s="3900" t="n"/>
      <c r="AI89" s="3900" t="n"/>
      <c r="AJ89" s="3900" t="n"/>
      <c r="AK89" s="3900" t="n"/>
      <c r="AL89" s="3900" t="n"/>
      <c r="AM89" s="3900" t="n"/>
      <c r="AN89" s="3900" t="n"/>
      <c r="AO89" s="4200" t="n"/>
      <c r="AP89" s="3900" t="n">
        <v>590.741</v>
      </c>
      <c r="AQ89" s="3900" t="n">
        <v>590.741</v>
      </c>
      <c r="AR89" s="3900" t="n">
        <v>505.565</v>
      </c>
      <c r="AS89" s="3900" t="n">
        <v>505.565</v>
      </c>
      <c r="AT89" s="3900" t="n">
        <v>505.56633</v>
      </c>
      <c r="AU89" s="4201" t="n">
        <v>420.39192</v>
      </c>
      <c r="AV89" s="3900">
        <f>Q89</f>
        <v/>
      </c>
      <c r="AW89" s="3900">
        <f>AC89</f>
        <v/>
      </c>
      <c r="AX89" s="3900">
        <f>AO89</f>
        <v/>
      </c>
      <c r="AY89" s="3900">
        <f>AS89</f>
        <v/>
      </c>
      <c r="AZ89" s="3900">
        <f>AU89</f>
        <v/>
      </c>
      <c r="BA89" s="4202">
        <f>AVERAGE(F89:Q89)</f>
        <v/>
      </c>
      <c r="BB89" s="3900">
        <f>AVERAGE(R89:AC89)</f>
        <v/>
      </c>
      <c r="BC89" s="3900">
        <f>AVERAGE(AD89:AO89)</f>
        <v/>
      </c>
      <c r="BD89" s="3900">
        <f>AVERAGE(AH89:AS89)</f>
        <v/>
      </c>
      <c r="BE89" s="3900">
        <f>AVERAGE(AJ89:AU89)</f>
        <v/>
      </c>
      <c r="BF89" s="3743" t="n"/>
      <c r="BG89" s="3900" t="n">
        <v>2414.843</v>
      </c>
    </row>
    <row r="90" hidden="1" outlineLevel="2" ht="12" customHeight="1" s="3710">
      <c r="B90" s="3891" t="n"/>
      <c r="C90" s="4012" t="inlineStr">
        <is>
          <t>Long-term security deposit</t>
        </is>
      </c>
      <c r="D90" s="3902" t="n">
        <v>192202</v>
      </c>
      <c r="E90" s="3902" t="inlineStr">
        <is>
          <t>192202 - Long-Term Security Deposit</t>
        </is>
      </c>
      <c r="F90" s="3900" t="n"/>
      <c r="G90" s="3900" t="n"/>
      <c r="H90" s="3900" t="n"/>
      <c r="I90" s="3900" t="n"/>
      <c r="J90" s="3900" t="n"/>
      <c r="K90" s="3900" t="n"/>
      <c r="L90" s="3900" t="n"/>
      <c r="M90" s="3900" t="n"/>
      <c r="N90" s="3900" t="n"/>
      <c r="O90" s="3900" t="n"/>
      <c r="P90" s="3900" t="n"/>
      <c r="Q90" s="4200" t="n"/>
      <c r="R90" s="3900" t="n"/>
      <c r="S90" s="3900" t="n"/>
      <c r="T90" s="3900" t="n"/>
      <c r="U90" s="3900" t="n"/>
      <c r="V90" s="3900" t="n"/>
      <c r="W90" s="3900" t="n"/>
      <c r="X90" s="3900" t="n"/>
      <c r="Y90" s="3900" t="n"/>
      <c r="Z90" s="3900" t="n"/>
      <c r="AA90" s="3900" t="n"/>
      <c r="AB90" s="3900" t="n"/>
      <c r="AC90" s="4200" t="n"/>
      <c r="AD90" s="3900" t="n"/>
      <c r="AE90" s="3900" t="n"/>
      <c r="AF90" s="3900" t="n"/>
      <c r="AG90" s="3900" t="n"/>
      <c r="AH90" s="3900" t="n"/>
      <c r="AI90" s="3900" t="n"/>
      <c r="AJ90" s="3900" t="n"/>
      <c r="AK90" s="3900" t="n"/>
      <c r="AL90" s="3900" t="n"/>
      <c r="AM90" s="3900" t="n"/>
      <c r="AN90" s="3900" t="n"/>
      <c r="AO90" s="4200" t="n"/>
      <c r="AP90" s="3900" t="n">
        <v>42.593</v>
      </c>
      <c r="AQ90" s="3900" t="n">
        <v>42.593</v>
      </c>
      <c r="AR90" s="3900" t="n">
        <v>42.593</v>
      </c>
      <c r="AS90" s="3900" t="n">
        <v>38.88</v>
      </c>
      <c r="AT90" s="3900" t="n">
        <v>35.16705</v>
      </c>
      <c r="AU90" s="4201" t="n">
        <v>42.59295</v>
      </c>
      <c r="AV90" s="3900">
        <f>Q90</f>
        <v/>
      </c>
      <c r="AW90" s="3900">
        <f>AC90</f>
        <v/>
      </c>
      <c r="AX90" s="3900">
        <f>AO90</f>
        <v/>
      </c>
      <c r="AY90" s="3900">
        <f>AS90</f>
        <v/>
      </c>
      <c r="AZ90" s="3900">
        <f>AU90</f>
        <v/>
      </c>
      <c r="BA90" s="4202">
        <f>AVERAGE(F90:Q90)</f>
        <v/>
      </c>
      <c r="BB90" s="3900">
        <f>AVERAGE(R90:AC90)</f>
        <v/>
      </c>
      <c r="BC90" s="3900">
        <f>AVERAGE(AD90:AO90)</f>
        <v/>
      </c>
      <c r="BD90" s="3900">
        <f>AVERAGE(AH90:AS90)</f>
        <v/>
      </c>
      <c r="BE90" s="3900">
        <f>AVERAGE(AJ90:AU90)</f>
        <v/>
      </c>
      <c r="BF90" s="3743" t="n"/>
      <c r="BG90" s="3900" t="n">
        <v>50.019</v>
      </c>
    </row>
    <row r="91" hidden="1" outlineLevel="2" ht="12" customHeight="1" s="3710">
      <c r="B91" s="3891" t="n"/>
      <c r="C91" s="4012" t="inlineStr">
        <is>
          <t>Long term COGS lock n block</t>
        </is>
      </c>
      <c r="D91" s="3902" t="n">
        <v>192203</v>
      </c>
      <c r="E91" s="3902" t="inlineStr">
        <is>
          <t>192203 - Long Term COGS Lock N Block</t>
        </is>
      </c>
      <c r="F91" s="3900" t="n"/>
      <c r="G91" s="3900" t="n"/>
      <c r="H91" s="3900" t="n"/>
      <c r="I91" s="3900" t="n"/>
      <c r="J91" s="3900" t="n"/>
      <c r="K91" s="3900" t="n"/>
      <c r="L91" s="3900" t="n"/>
      <c r="M91" s="3900" t="n"/>
      <c r="N91" s="3900" t="n"/>
      <c r="O91" s="3900" t="n"/>
      <c r="P91" s="3900" t="n"/>
      <c r="Q91" s="4200" t="n"/>
      <c r="R91" s="3900" t="n"/>
      <c r="S91" s="3900" t="n"/>
      <c r="T91" s="3900" t="n"/>
      <c r="U91" s="3900" t="n"/>
      <c r="V91" s="3900" t="n"/>
      <c r="W91" s="3900" t="n"/>
      <c r="X91" s="3900" t="n"/>
      <c r="Y91" s="3900" t="n"/>
      <c r="Z91" s="3900" t="n"/>
      <c r="AA91" s="3900" t="n"/>
      <c r="AB91" s="3900" t="n"/>
      <c r="AC91" s="4200" t="n"/>
      <c r="AD91" s="3900" t="n"/>
      <c r="AE91" s="3900" t="n"/>
      <c r="AF91" s="3900" t="n"/>
      <c r="AG91" s="3900" t="n"/>
      <c r="AH91" s="3900" t="n"/>
      <c r="AI91" s="3900" t="n"/>
      <c r="AJ91" s="3900" t="n"/>
      <c r="AK91" s="3900" t="n"/>
      <c r="AL91" s="3900" t="n"/>
      <c r="AM91" s="3900" t="n"/>
      <c r="AN91" s="3900" t="n"/>
      <c r="AO91" s="4200" t="n"/>
      <c r="AP91" s="3900" t="n">
        <v>0</v>
      </c>
      <c r="AQ91" s="3900" t="n">
        <v>0</v>
      </c>
      <c r="AR91" s="3900" t="n">
        <v>0</v>
      </c>
      <c r="AS91" s="3900" t="n">
        <v>0</v>
      </c>
      <c r="AT91" s="3900" t="n">
        <v>0</v>
      </c>
      <c r="AU91" s="4201" t="n">
        <v>0</v>
      </c>
      <c r="AV91" s="3900">
        <f>Q91</f>
        <v/>
      </c>
      <c r="AW91" s="3900">
        <f>AC91</f>
        <v/>
      </c>
      <c r="AX91" s="3900">
        <f>AO91</f>
        <v/>
      </c>
      <c r="AY91" s="3900">
        <f>AS91</f>
        <v/>
      </c>
      <c r="AZ91" s="3900">
        <f>AU91</f>
        <v/>
      </c>
      <c r="BA91" s="4202">
        <f>AVERAGE(F91:Q91)</f>
        <v/>
      </c>
      <c r="BB91" s="3900">
        <f>AVERAGE(R91:AC91)</f>
        <v/>
      </c>
      <c r="BC91" s="3900">
        <f>AVERAGE(AD91:AO91)</f>
        <v/>
      </c>
      <c r="BD91" s="3900">
        <f>AVERAGE(AH91:AS91)</f>
        <v/>
      </c>
      <c r="BE91" s="3900">
        <f>AVERAGE(AJ91:AU91)</f>
        <v/>
      </c>
      <c r="BF91" s="3743" t="n"/>
      <c r="BG91" s="3900" t="n">
        <v>32.634</v>
      </c>
    </row>
    <row r="92" hidden="1" outlineLevel="2" ht="12" customHeight="1" s="3710">
      <c r="B92" s="3891" t="n"/>
      <c r="C92" s="4203" t="inlineStr">
        <is>
          <t>Long-term sec deposit IFRS adj-corp</t>
        </is>
      </c>
      <c r="D92" s="4204" t="n">
        <v>192216</v>
      </c>
      <c r="E92" s="4204" t="inlineStr">
        <is>
          <t>192216 - Long-Term Sec Deposit IFRS ADJ-Corp</t>
        </is>
      </c>
      <c r="F92" s="4205" t="n"/>
      <c r="G92" s="4205" t="n"/>
      <c r="H92" s="4205" t="n"/>
      <c r="I92" s="4205" t="n"/>
      <c r="J92" s="4205" t="n"/>
      <c r="K92" s="4205" t="n"/>
      <c r="L92" s="4205" t="n"/>
      <c r="M92" s="4205" t="n"/>
      <c r="N92" s="4205" t="n"/>
      <c r="O92" s="4205" t="n"/>
      <c r="P92" s="4205" t="n"/>
      <c r="Q92" s="4206" t="n"/>
      <c r="R92" s="4205" t="n"/>
      <c r="S92" s="4205" t="n"/>
      <c r="T92" s="4205" t="n"/>
      <c r="U92" s="4205" t="n"/>
      <c r="V92" s="4205" t="n"/>
      <c r="W92" s="4205" t="n"/>
      <c r="X92" s="4205" t="n"/>
      <c r="Y92" s="4205" t="n"/>
      <c r="Z92" s="4205" t="n"/>
      <c r="AA92" s="4205" t="n"/>
      <c r="AB92" s="4205" t="n"/>
      <c r="AC92" s="4206" t="n"/>
      <c r="AD92" s="4205" t="n"/>
      <c r="AE92" s="4205" t="n"/>
      <c r="AF92" s="4205" t="n"/>
      <c r="AG92" s="4205" t="n"/>
      <c r="AH92" s="4205" t="n"/>
      <c r="AI92" s="4205" t="n"/>
      <c r="AJ92" s="4205" t="n"/>
      <c r="AK92" s="4205" t="n"/>
      <c r="AL92" s="4205" t="n"/>
      <c r="AM92" s="4205" t="n"/>
      <c r="AN92" s="4205" t="n"/>
      <c r="AO92" s="4206" t="n"/>
      <c r="AP92" s="4205" t="n">
        <v>-27.864</v>
      </c>
      <c r="AQ92" s="4205" t="n">
        <v>-27.864</v>
      </c>
      <c r="AR92" s="4205" t="n">
        <v>-27.864</v>
      </c>
      <c r="AS92" s="4205" t="n">
        <v>-27.864</v>
      </c>
      <c r="AT92" s="4205" t="n">
        <v>-27.86375</v>
      </c>
      <c r="AU92" s="4207" t="n">
        <v>-27.86375</v>
      </c>
      <c r="AV92" s="4205">
        <f>Q92</f>
        <v/>
      </c>
      <c r="AW92" s="4205">
        <f>AC92</f>
        <v/>
      </c>
      <c r="AX92" s="4205">
        <f>AO92</f>
        <v/>
      </c>
      <c r="AY92" s="4205">
        <f>AS92</f>
        <v/>
      </c>
      <c r="AZ92" s="4205">
        <f>AU92</f>
        <v/>
      </c>
      <c r="BA92" s="4208">
        <f>AVERAGE(F92:Q92)</f>
        <v/>
      </c>
      <c r="BB92" s="4205">
        <f>AVERAGE(R92:AC92)</f>
        <v/>
      </c>
      <c r="BC92" s="4205">
        <f>AVERAGE(AD92:AO92)</f>
        <v/>
      </c>
      <c r="BD92" s="4205">
        <f>AVERAGE(AH92:AS92)</f>
        <v/>
      </c>
      <c r="BE92" s="4205">
        <f>AVERAGE(AJ92:AU92)</f>
        <v/>
      </c>
      <c r="BF92" s="3743" t="n"/>
      <c r="BG92" s="4205" t="n">
        <v>-27.864</v>
      </c>
    </row>
    <row r="93" hidden="1" outlineLevel="1" collapsed="1" ht="12" customHeight="1" s="3710">
      <c r="B93" s="3891" t="n"/>
      <c r="C93" s="4210" t="inlineStr">
        <is>
          <t xml:space="preserve">Prepaid contractual payments - non-current </t>
        </is>
      </c>
      <c r="D93" s="4204" t="n"/>
      <c r="E93" s="4204" t="n"/>
      <c r="F93" s="4205" t="n"/>
      <c r="G93" s="4205" t="n"/>
      <c r="H93" s="4205" t="n"/>
      <c r="I93" s="4205" t="n"/>
      <c r="J93" s="4205" t="n"/>
      <c r="K93" s="4205" t="n"/>
      <c r="L93" s="4205" t="n"/>
      <c r="M93" s="4205" t="n"/>
      <c r="N93" s="4205" t="n"/>
      <c r="O93" s="4205" t="n"/>
      <c r="P93" s="4205" t="n"/>
      <c r="Q93" s="4206" t="n"/>
      <c r="R93" s="4205" t="n"/>
      <c r="S93" s="4205" t="n"/>
      <c r="T93" s="4205" t="n"/>
      <c r="U93" s="4205" t="n"/>
      <c r="V93" s="4205" t="n"/>
      <c r="W93" s="4205" t="n"/>
      <c r="X93" s="4205" t="n"/>
      <c r="Y93" s="4205" t="n"/>
      <c r="Z93" s="4205" t="n"/>
      <c r="AA93" s="4205" t="n"/>
      <c r="AB93" s="4205" t="n"/>
      <c r="AC93" s="4206" t="n"/>
      <c r="AD93" s="4205" t="n"/>
      <c r="AE93" s="4205" t="n"/>
      <c r="AF93" s="4205" t="n"/>
      <c r="AG93" s="4205" t="n"/>
      <c r="AH93" s="4205" t="n"/>
      <c r="AI93" s="4205" t="n"/>
      <c r="AJ93" s="4205" t="n"/>
      <c r="AK93" s="4205" t="n"/>
      <c r="AL93" s="4205" t="n"/>
      <c r="AM93" s="4205" t="n"/>
      <c r="AN93" s="4205" t="n"/>
      <c r="AO93" s="4206" t="n"/>
      <c r="AP93" s="4205">
        <f>SUM(AP89:AP92)</f>
        <v/>
      </c>
      <c r="AQ93" s="4205">
        <f>SUM(AQ89:AQ92)</f>
        <v/>
      </c>
      <c r="AR93" s="4205">
        <f>SUM(AR89:AR92)</f>
        <v/>
      </c>
      <c r="AS93" s="4205">
        <f>SUM(AS89:AS92)</f>
        <v/>
      </c>
      <c r="AT93" s="4205">
        <f>SUM(AT89:AT92)</f>
        <v/>
      </c>
      <c r="AU93" s="4207">
        <f>SUM(AU89:AU92)</f>
        <v/>
      </c>
      <c r="AV93" s="4205">
        <f>SUM(AV89:AV92)</f>
        <v/>
      </c>
      <c r="AW93" s="4205">
        <f>SUM(AW89:AW92)</f>
        <v/>
      </c>
      <c r="AX93" s="4205">
        <f>SUM(AX89:AX92)</f>
        <v/>
      </c>
      <c r="AY93" s="4205">
        <f>SUM(AY89:AY92)</f>
        <v/>
      </c>
      <c r="AZ93" s="4205">
        <f>SUM(AZ89:AZ92)</f>
        <v/>
      </c>
      <c r="BA93" s="4208">
        <f>SUM(BA89:BA92)</f>
        <v/>
      </c>
      <c r="BB93" s="4205">
        <f>SUM(BB89:BB92)</f>
        <v/>
      </c>
      <c r="BC93" s="4205">
        <f>SUM(BC89:BC92)</f>
        <v/>
      </c>
      <c r="BD93" s="4205">
        <f>SUM(BD89:BD92)</f>
        <v/>
      </c>
      <c r="BE93" s="4205">
        <f>SUM(BE89:BE92)</f>
        <v/>
      </c>
      <c r="BF93" s="3743" t="n"/>
      <c r="BG93" s="4205">
        <f>SUM(BG89:BG92)</f>
        <v/>
      </c>
    </row>
    <row r="94" ht="12" customHeight="1" s="3710">
      <c r="B94" s="3891" t="n"/>
      <c r="C94" s="4204" t="inlineStr">
        <is>
          <t xml:space="preserve">Non current assets </t>
        </is>
      </c>
      <c r="D94" s="4204" t="n"/>
      <c r="E94" s="4204" t="n"/>
      <c r="F94" s="4205" t="n"/>
      <c r="G94" s="4205" t="n"/>
      <c r="H94" s="4205" t="n"/>
      <c r="I94" s="4205" t="n"/>
      <c r="J94" s="4205" t="n"/>
      <c r="K94" s="4205" t="n"/>
      <c r="L94" s="4205" t="n"/>
      <c r="M94" s="4205" t="n"/>
      <c r="N94" s="4205" t="n"/>
      <c r="O94" s="4205" t="n"/>
      <c r="P94" s="4205" t="n"/>
      <c r="Q94" s="4206" t="n"/>
      <c r="R94" s="4205" t="n"/>
      <c r="S94" s="4205" t="n"/>
      <c r="T94" s="4205" t="n"/>
      <c r="U94" s="4205" t="n"/>
      <c r="V94" s="4205" t="n"/>
      <c r="W94" s="4205" t="n"/>
      <c r="X94" s="4205" t="n"/>
      <c r="Y94" s="4205" t="n"/>
      <c r="Z94" s="4205" t="n"/>
      <c r="AA94" s="4205" t="n"/>
      <c r="AB94" s="4205" t="n"/>
      <c r="AC94" s="4206" t="n"/>
      <c r="AD94" s="4205" t="n"/>
      <c r="AE94" s="4205" t="n"/>
      <c r="AF94" s="4205" t="n"/>
      <c r="AG94" s="4205" t="n"/>
      <c r="AH94" s="4205" t="n"/>
      <c r="AI94" s="4205" t="n"/>
      <c r="AJ94" s="4205" t="n"/>
      <c r="AK94" s="4205" t="n"/>
      <c r="AL94" s="4205" t="n"/>
      <c r="AM94" s="4205" t="n"/>
      <c r="AN94" s="4205" t="n"/>
      <c r="AO94" s="4206" t="n"/>
      <c r="AP94" s="4205">
        <f>SUM(AP72,AP76,AP82,AP84,AP86,AP88,AP93)</f>
        <v/>
      </c>
      <c r="AQ94" s="4205">
        <f>SUM(AQ72,AQ76,AQ82,AQ84,AQ86,AQ88,AQ93)</f>
        <v/>
      </c>
      <c r="AR94" s="4205">
        <f>SUM(AR72,AR76,AR82,AR84,AR86,AR88,AR93)</f>
        <v/>
      </c>
      <c r="AS94" s="4205">
        <f>SUM(AS72,AS76,AS82,AS84,AS86,AS88,AS93)</f>
        <v/>
      </c>
      <c r="AT94" s="4205">
        <f>SUM(AT72,AT76,AT82,AT84,AT86,AT88,AT93)</f>
        <v/>
      </c>
      <c r="AU94" s="4207">
        <f>SUM(AU72,AU76,AU82,AU84,AU86,AU88,AU93)</f>
        <v/>
      </c>
      <c r="AV94" s="4205">
        <f>SUM(AV72,AV76,AV82,AV84,AV86,AV88,AV93)</f>
        <v/>
      </c>
      <c r="AW94" s="4205">
        <f>SUM(AW72,AW76,AW82,AW84,AW86,AW88,AW93)</f>
        <v/>
      </c>
      <c r="AX94" s="4205">
        <f>SUM(AX72,AX76,AX82,AX84,AX86,AX88,AX93)</f>
        <v/>
      </c>
      <c r="AY94" s="4205">
        <f>SUM(AY72,AY76,AY82,AY84,AY86,AY88,AY93)</f>
        <v/>
      </c>
      <c r="AZ94" s="4205">
        <f>SUM(AZ72,AZ76,AZ82,AZ84,AZ86,AZ88,AZ93)</f>
        <v/>
      </c>
      <c r="BA94" s="4208">
        <f>SUM(BA72,BA76,BA82,BA84,BA86,BA88,BA93)</f>
        <v/>
      </c>
      <c r="BB94" s="4205">
        <f>SUM(BB72,BB76,BB82,BB84,BB86,BB88,BB93)</f>
        <v/>
      </c>
      <c r="BC94" s="4205">
        <f>SUM(BC72,BC76,BC82,BC84,BC86,BC88,BC93)</f>
        <v/>
      </c>
      <c r="BD94" s="4205">
        <f>SUM(BD72,BD76,BD82,BD84,BD86,BD88,BD93)</f>
        <v/>
      </c>
      <c r="BE94" s="4205">
        <f>SUM(BE72,BE76,BE82,BE84,BE86,BE88,BE93)</f>
        <v/>
      </c>
      <c r="BF94" s="3743" t="n"/>
      <c r="BG94" s="4205">
        <f>SUM(BG72,BG76,BG82,BG84,BG86,BG88,BG93)</f>
        <v/>
      </c>
    </row>
    <row r="95" ht="12" customHeight="1" s="3710">
      <c r="B95" s="3891" t="n"/>
      <c r="C95" s="4212" t="inlineStr">
        <is>
          <t xml:space="preserve">Assets </t>
        </is>
      </c>
      <c r="D95" s="4213" t="n"/>
      <c r="E95" s="4213" t="n"/>
      <c r="F95" s="4214" t="n"/>
      <c r="G95" s="4214" t="n"/>
      <c r="H95" s="4214" t="n"/>
      <c r="I95" s="4214" t="n"/>
      <c r="J95" s="4214" t="n"/>
      <c r="K95" s="4214" t="n"/>
      <c r="L95" s="4214" t="n"/>
      <c r="M95" s="4214" t="n"/>
      <c r="N95" s="4214" t="n"/>
      <c r="O95" s="4214" t="n"/>
      <c r="P95" s="4214" t="n"/>
      <c r="Q95" s="4215" t="n"/>
      <c r="R95" s="4214" t="n"/>
      <c r="S95" s="4214" t="n"/>
      <c r="T95" s="4214" t="n"/>
      <c r="U95" s="4214" t="n"/>
      <c r="V95" s="4214" t="n"/>
      <c r="W95" s="4214" t="n"/>
      <c r="X95" s="4214" t="n"/>
      <c r="Y95" s="4214" t="n"/>
      <c r="Z95" s="4214" t="n"/>
      <c r="AA95" s="4214" t="n"/>
      <c r="AB95" s="4214" t="n"/>
      <c r="AC95" s="4215" t="n"/>
      <c r="AD95" s="4214" t="n"/>
      <c r="AE95" s="4214" t="n"/>
      <c r="AF95" s="4214" t="n"/>
      <c r="AG95" s="4214" t="n"/>
      <c r="AH95" s="4214" t="n"/>
      <c r="AI95" s="4214" t="n"/>
      <c r="AJ95" s="4214" t="n"/>
      <c r="AK95" s="4214" t="n"/>
      <c r="AL95" s="4214" t="n"/>
      <c r="AM95" s="4214" t="n"/>
      <c r="AN95" s="4214" t="n"/>
      <c r="AO95" s="4215" t="n"/>
      <c r="AP95" s="4214">
        <f>SUM(AP94,AP52)</f>
        <v/>
      </c>
      <c r="AQ95" s="4214">
        <f>SUM(AQ94,AQ52)</f>
        <v/>
      </c>
      <c r="AR95" s="4214">
        <f>SUM(AR94,AR52)</f>
        <v/>
      </c>
      <c r="AS95" s="4214">
        <f>SUM(AS94,AS52)</f>
        <v/>
      </c>
      <c r="AT95" s="4214">
        <f>SUM(AT94,AT52)</f>
        <v/>
      </c>
      <c r="AU95" s="4216">
        <f>SUM(AU94,AU52)</f>
        <v/>
      </c>
      <c r="AV95" s="4214">
        <f>SUM(AV94,AV52)</f>
        <v/>
      </c>
      <c r="AW95" s="4214">
        <f>SUM(AW94,AW52)</f>
        <v/>
      </c>
      <c r="AX95" s="4214">
        <f>SUM(AX94,AX52)</f>
        <v/>
      </c>
      <c r="AY95" s="4214">
        <f>SUM(AY94,AY52)</f>
        <v/>
      </c>
      <c r="AZ95" s="4214">
        <f>SUM(AZ94,AZ52)</f>
        <v/>
      </c>
      <c r="BA95" s="4217">
        <f>SUM(BA94,BA52)</f>
        <v/>
      </c>
      <c r="BB95" s="4214">
        <f>SUM(BB94,BB52)</f>
        <v/>
      </c>
      <c r="BC95" s="4214">
        <f>SUM(BC94,BC52)</f>
        <v/>
      </c>
      <c r="BD95" s="4214">
        <f>SUM(BD94,BD52)</f>
        <v/>
      </c>
      <c r="BE95" s="4214">
        <f>SUM(BE94,BE52)</f>
        <v/>
      </c>
      <c r="BG95" s="4214">
        <f>SUM(BG94,BG52)</f>
        <v/>
      </c>
    </row>
    <row r="96" ht="12" customHeight="1" s="3710">
      <c r="B96" s="3891" t="n"/>
      <c r="C96" s="4196" t="inlineStr">
        <is>
          <t>Liabilities and equity</t>
        </is>
      </c>
      <c r="D96" s="3902" t="n"/>
      <c r="E96" s="3902" t="n"/>
      <c r="F96" s="3900" t="n"/>
      <c r="G96" s="3900" t="n"/>
      <c r="H96" s="3900" t="n"/>
      <c r="I96" s="3900" t="n"/>
      <c r="J96" s="3900" t="n"/>
      <c r="K96" s="3900" t="n"/>
      <c r="L96" s="3900" t="n"/>
      <c r="M96" s="3900" t="n"/>
      <c r="N96" s="3900" t="n"/>
      <c r="O96" s="3900" t="n"/>
      <c r="P96" s="3900" t="n"/>
      <c r="Q96" s="4200" t="n"/>
      <c r="R96" s="3900" t="n"/>
      <c r="S96" s="3900" t="n"/>
      <c r="T96" s="3900" t="n"/>
      <c r="U96" s="3900" t="n"/>
      <c r="V96" s="3900" t="n"/>
      <c r="W96" s="3900" t="n"/>
      <c r="X96" s="3900" t="n"/>
      <c r="Y96" s="3900" t="n"/>
      <c r="Z96" s="3900" t="n"/>
      <c r="AA96" s="3900" t="n"/>
      <c r="AB96" s="3900" t="n"/>
      <c r="AC96" s="4200" t="n"/>
      <c r="AD96" s="3900" t="n"/>
      <c r="AE96" s="3900" t="n"/>
      <c r="AF96" s="3900" t="n"/>
      <c r="AG96" s="3900" t="n"/>
      <c r="AH96" s="3900" t="n"/>
      <c r="AI96" s="3900" t="n"/>
      <c r="AJ96" s="3900" t="n"/>
      <c r="AK96" s="3900" t="n"/>
      <c r="AL96" s="3900" t="n"/>
      <c r="AM96" s="3900" t="n"/>
      <c r="AN96" s="3900" t="n"/>
      <c r="AO96" s="4200" t="n"/>
      <c r="AP96" s="3900" t="n"/>
      <c r="AQ96" s="3900" t="n"/>
      <c r="AR96" s="3900" t="n"/>
      <c r="AS96" s="3900" t="n"/>
      <c r="AT96" s="3900" t="n"/>
      <c r="AU96" s="4201" t="n"/>
      <c r="AV96" s="3900" t="n"/>
      <c r="AW96" s="3900" t="n"/>
      <c r="AX96" s="3900" t="n"/>
      <c r="AY96" s="3900" t="n"/>
      <c r="AZ96" s="3900" t="n"/>
      <c r="BA96" s="4202" t="n"/>
      <c r="BB96" s="3900" t="n"/>
      <c r="BC96" s="3900" t="n"/>
      <c r="BD96" s="3900" t="n"/>
      <c r="BE96" s="3900" t="n"/>
      <c r="BF96" s="3743" t="n"/>
      <c r="BG96" s="3900" t="n"/>
    </row>
    <row r="97" hidden="1" outlineLevel="3" ht="12" customHeight="1" s="3710">
      <c r="B97" s="3891" t="n"/>
      <c r="C97" s="4218" t="inlineStr">
        <is>
          <t>Trade accounts payable - CAD</t>
        </is>
      </c>
      <c r="D97" s="3902" t="n">
        <v>200101</v>
      </c>
      <c r="E97" s="3902" t="inlineStr">
        <is>
          <t>200101 - Trade Accounts Payable - CAD</t>
        </is>
      </c>
      <c r="F97" s="3900" t="n"/>
      <c r="G97" s="3900" t="n"/>
      <c r="H97" s="3900" t="n"/>
      <c r="I97" s="3900" t="n"/>
      <c r="J97" s="3900" t="n"/>
      <c r="K97" s="3900" t="n"/>
      <c r="L97" s="3900" t="n"/>
      <c r="M97" s="3900" t="n"/>
      <c r="N97" s="3900" t="n"/>
      <c r="O97" s="3900" t="n"/>
      <c r="P97" s="3900" t="n"/>
      <c r="Q97" s="4200" t="n"/>
      <c r="R97" s="3900" t="n"/>
      <c r="S97" s="3900" t="n"/>
      <c r="T97" s="3900" t="n"/>
      <c r="U97" s="3900" t="n"/>
      <c r="V97" s="3900" t="n"/>
      <c r="W97" s="3900" t="n"/>
      <c r="X97" s="3900" t="n"/>
      <c r="Y97" s="3900" t="n"/>
      <c r="Z97" s="3900" t="n"/>
      <c r="AA97" s="3900" t="n"/>
      <c r="AB97" s="3900" t="n"/>
      <c r="AC97" s="4200" t="n"/>
      <c r="AD97" s="3900" t="n"/>
      <c r="AE97" s="3900" t="n"/>
      <c r="AF97" s="3900" t="n"/>
      <c r="AG97" s="3900" t="n"/>
      <c r="AH97" s="3900" t="n"/>
      <c r="AI97" s="3900" t="n"/>
      <c r="AJ97" s="3900" t="n"/>
      <c r="AK97" s="3900" t="n"/>
      <c r="AL97" s="3900" t="n"/>
      <c r="AM97" s="3900" t="n"/>
      <c r="AN97" s="3900" t="n"/>
      <c r="AO97" s="4200" t="n"/>
      <c r="AP97" s="3900" t="n">
        <v>-961.078</v>
      </c>
      <c r="AQ97" s="3900" t="n">
        <v>-1824.389</v>
      </c>
      <c r="AR97" s="3900" t="n">
        <v>-1899.984</v>
      </c>
      <c r="AS97" s="3900" t="n">
        <v>-1834.813</v>
      </c>
      <c r="AT97" s="3900" t="n">
        <v>-1263.75978</v>
      </c>
      <c r="AU97" s="4201" t="n">
        <v>-999.5362699999999</v>
      </c>
      <c r="AV97" s="3900">
        <f>Q97</f>
        <v/>
      </c>
      <c r="AW97" s="3900">
        <f>AC97</f>
        <v/>
      </c>
      <c r="AX97" s="3900">
        <f>AO97</f>
        <v/>
      </c>
      <c r="AY97" s="3900">
        <f>AS97</f>
        <v/>
      </c>
      <c r="AZ97" s="3900">
        <f>AU97</f>
        <v/>
      </c>
      <c r="BA97" s="4202">
        <f>AVERAGE(F97:Q97)</f>
        <v/>
      </c>
      <c r="BB97" s="3900">
        <f>AVERAGE(R97:AC97)</f>
        <v/>
      </c>
      <c r="BC97" s="3900">
        <f>AVERAGE(AD97:AO97)</f>
        <v/>
      </c>
      <c r="BD97" s="3900">
        <f>AVERAGE(AH97:AS97)</f>
        <v/>
      </c>
      <c r="BE97" s="3900">
        <f>AVERAGE(AJ97:AU97)</f>
        <v/>
      </c>
      <c r="BF97" s="3743" t="n"/>
      <c r="BG97" s="3900" t="n">
        <v>-431.77</v>
      </c>
    </row>
    <row r="98" hidden="1" outlineLevel="3" ht="12" customHeight="1" s="3710">
      <c r="B98" s="3891" t="n"/>
      <c r="C98" s="4219" t="inlineStr">
        <is>
          <t>Trade accounts payable - USD</t>
        </is>
      </c>
      <c r="D98" s="4204" t="n">
        <v>200101</v>
      </c>
      <c r="E98" s="4204" t="inlineStr">
        <is>
          <t>200101 - Trade Accounts Payable - USD</t>
        </is>
      </c>
      <c r="F98" s="4205" t="n"/>
      <c r="G98" s="4205" t="n"/>
      <c r="H98" s="4205" t="n"/>
      <c r="I98" s="4205" t="n"/>
      <c r="J98" s="4205" t="n"/>
      <c r="K98" s="4205" t="n"/>
      <c r="L98" s="4205" t="n"/>
      <c r="M98" s="4205" t="n"/>
      <c r="N98" s="4205" t="n"/>
      <c r="O98" s="4205" t="n"/>
      <c r="P98" s="4205" t="n"/>
      <c r="Q98" s="4206" t="n"/>
      <c r="R98" s="4205" t="n"/>
      <c r="S98" s="4205" t="n"/>
      <c r="T98" s="4205" t="n"/>
      <c r="U98" s="4205" t="n"/>
      <c r="V98" s="4205" t="n"/>
      <c r="W98" s="4205" t="n"/>
      <c r="X98" s="4205" t="n"/>
      <c r="Y98" s="4205" t="n"/>
      <c r="Z98" s="4205" t="n"/>
      <c r="AA98" s="4205" t="n"/>
      <c r="AB98" s="4205" t="n"/>
      <c r="AC98" s="4206" t="n"/>
      <c r="AD98" s="4205" t="n"/>
      <c r="AE98" s="4205" t="n"/>
      <c r="AF98" s="4205" t="n"/>
      <c r="AG98" s="4205" t="n"/>
      <c r="AH98" s="4205" t="n"/>
      <c r="AI98" s="4205" t="n"/>
      <c r="AJ98" s="4205" t="n"/>
      <c r="AK98" s="4205" t="n"/>
      <c r="AL98" s="4205" t="n"/>
      <c r="AM98" s="4205" t="n"/>
      <c r="AN98" s="4205" t="n"/>
      <c r="AO98" s="4206" t="n"/>
      <c r="AP98" s="4205" t="n">
        <v>8.099</v>
      </c>
      <c r="AQ98" s="4205" t="n">
        <v>-45.914</v>
      </c>
      <c r="AR98" s="4205" t="n">
        <v>12.93</v>
      </c>
      <c r="AS98" s="4205" t="n">
        <v>-10.666</v>
      </c>
      <c r="AT98" s="4205" t="n">
        <v>-50.03399</v>
      </c>
      <c r="AU98" s="4207" t="n">
        <v>-4.68756</v>
      </c>
      <c r="AV98" s="4205">
        <f>Q98</f>
        <v/>
      </c>
      <c r="AW98" s="4205">
        <f>AC98</f>
        <v/>
      </c>
      <c r="AX98" s="4205">
        <f>AO98</f>
        <v/>
      </c>
      <c r="AY98" s="4205">
        <f>AS98</f>
        <v/>
      </c>
      <c r="AZ98" s="4205">
        <f>AU98</f>
        <v/>
      </c>
      <c r="BA98" s="4208">
        <f>AVERAGE(F98:Q98)</f>
        <v/>
      </c>
      <c r="BB98" s="4205">
        <f>AVERAGE(R98:AC98)</f>
        <v/>
      </c>
      <c r="BC98" s="4205">
        <f>AVERAGE(AD98:AO98)</f>
        <v/>
      </c>
      <c r="BD98" s="4205">
        <f>AVERAGE(AH98:AS98)</f>
        <v/>
      </c>
      <c r="BE98" s="4205">
        <f>AVERAGE(AJ98:AU98)</f>
        <v/>
      </c>
      <c r="BF98" s="3743" t="n"/>
      <c r="BG98" s="4205" t="n">
        <v>0</v>
      </c>
    </row>
    <row r="99" hidden="1" outlineLevel="2" collapsed="1" ht="12" customHeight="1" s="3710">
      <c r="B99" s="3891" t="n"/>
      <c r="C99" s="4012" t="inlineStr">
        <is>
          <t>Trade accounts payable</t>
        </is>
      </c>
      <c r="D99" s="3902" t="n"/>
      <c r="E99" s="3902" t="n"/>
      <c r="F99" s="3900" t="n"/>
      <c r="G99" s="3900" t="n"/>
      <c r="H99" s="3900" t="n"/>
      <c r="I99" s="3900" t="n"/>
      <c r="J99" s="3900" t="n"/>
      <c r="K99" s="3900" t="n"/>
      <c r="L99" s="3900" t="n"/>
      <c r="M99" s="3900" t="n"/>
      <c r="N99" s="3900" t="n"/>
      <c r="O99" s="3900" t="n"/>
      <c r="P99" s="3900" t="n"/>
      <c r="Q99" s="4200" t="n"/>
      <c r="R99" s="3900" t="n"/>
      <c r="S99" s="3900" t="n"/>
      <c r="T99" s="3900" t="n"/>
      <c r="U99" s="3900" t="n"/>
      <c r="V99" s="3900" t="n"/>
      <c r="W99" s="3900" t="n"/>
      <c r="X99" s="3900" t="n"/>
      <c r="Y99" s="3900" t="n"/>
      <c r="Z99" s="3900" t="n"/>
      <c r="AA99" s="3900" t="n"/>
      <c r="AB99" s="3900" t="n"/>
      <c r="AC99" s="4200" t="n"/>
      <c r="AD99" s="3900" t="n"/>
      <c r="AE99" s="3900" t="n"/>
      <c r="AF99" s="3900" t="n"/>
      <c r="AG99" s="3900" t="n"/>
      <c r="AH99" s="3900" t="n"/>
      <c r="AI99" s="3900" t="n"/>
      <c r="AJ99" s="3900" t="n"/>
      <c r="AK99" s="3900" t="n"/>
      <c r="AL99" s="3900" t="n"/>
      <c r="AM99" s="3900" t="n"/>
      <c r="AN99" s="3900" t="n"/>
      <c r="AO99" s="4200" t="n"/>
      <c r="AP99" s="3900">
        <f>SUM(AP97:AP98)</f>
        <v/>
      </c>
      <c r="AQ99" s="3900">
        <f>SUM(AQ97:AQ98)</f>
        <v/>
      </c>
      <c r="AR99" s="3900">
        <f>SUM(AR97:AR98)</f>
        <v/>
      </c>
      <c r="AS99" s="3900">
        <f>SUM(AS97:AS98)</f>
        <v/>
      </c>
      <c r="AT99" s="3900">
        <f>SUM(AT97:AT98)</f>
        <v/>
      </c>
      <c r="AU99" s="4201">
        <f>SUM(AU97:AU98)</f>
        <v/>
      </c>
      <c r="AV99" s="3900">
        <f>SUM(AV97:AV98)</f>
        <v/>
      </c>
      <c r="AW99" s="3900">
        <f>SUM(AW97:AW98)</f>
        <v/>
      </c>
      <c r="AX99" s="3900">
        <f>SUM(AX97:AX98)</f>
        <v/>
      </c>
      <c r="AY99" s="3900">
        <f>SUM(AY97:AY98)</f>
        <v/>
      </c>
      <c r="AZ99" s="3900">
        <f>SUM(AZ97:AZ98)</f>
        <v/>
      </c>
      <c r="BA99" s="4202">
        <f>SUM(BA97:BA98)</f>
        <v/>
      </c>
      <c r="BB99" s="3900">
        <f>SUM(BB97:BB98)</f>
        <v/>
      </c>
      <c r="BC99" s="3900">
        <f>SUM(BC97:BC98)</f>
        <v/>
      </c>
      <c r="BD99" s="3900">
        <f>SUM(BD97:BD98)</f>
        <v/>
      </c>
      <c r="BE99" s="3900">
        <f>SUM(BE97:BE98)</f>
        <v/>
      </c>
      <c r="BF99" s="3743" t="n"/>
      <c r="BG99" s="3900">
        <f>SUM(BG97:BG98)</f>
        <v/>
      </c>
    </row>
    <row r="100" hidden="1" outlineLevel="3" ht="12" customHeight="1" s="3710">
      <c r="B100" s="3891" t="n"/>
      <c r="C100" s="4218" t="inlineStr">
        <is>
          <t>Accrued liabilities - COGS</t>
        </is>
      </c>
      <c r="D100" s="3902" t="n">
        <v>214102</v>
      </c>
      <c r="E100" s="3902" t="inlineStr">
        <is>
          <t>214102 - Accrued Liabilities - COGS</t>
        </is>
      </c>
      <c r="F100" s="3900" t="n"/>
      <c r="G100" s="3900" t="n"/>
      <c r="H100" s="3900" t="n"/>
      <c r="I100" s="3900" t="n"/>
      <c r="J100" s="3900" t="n"/>
      <c r="K100" s="3900" t="n"/>
      <c r="L100" s="3900" t="n"/>
      <c r="M100" s="3900" t="n"/>
      <c r="N100" s="3900" t="n"/>
      <c r="O100" s="3900" t="n"/>
      <c r="P100" s="3900" t="n"/>
      <c r="Q100" s="4200" t="n"/>
      <c r="R100" s="3900" t="n"/>
      <c r="S100" s="3900" t="n"/>
      <c r="T100" s="3900" t="n"/>
      <c r="U100" s="3900" t="n"/>
      <c r="V100" s="3900" t="n"/>
      <c r="W100" s="3900" t="n"/>
      <c r="X100" s="3900" t="n"/>
      <c r="Y100" s="3900" t="n"/>
      <c r="Z100" s="3900" t="n"/>
      <c r="AA100" s="3900" t="n"/>
      <c r="AB100" s="3900" t="n"/>
      <c r="AC100" s="4200" t="n"/>
      <c r="AD100" s="3900" t="n"/>
      <c r="AE100" s="3900" t="n"/>
      <c r="AF100" s="3900" t="n"/>
      <c r="AG100" s="3900" t="n"/>
      <c r="AH100" s="3900" t="n"/>
      <c r="AI100" s="3900" t="n"/>
      <c r="AJ100" s="3900" t="n"/>
      <c r="AK100" s="3900" t="n"/>
      <c r="AL100" s="3900" t="n"/>
      <c r="AM100" s="3900" t="n"/>
      <c r="AN100" s="3900" t="n"/>
      <c r="AO100" s="4200" t="n"/>
      <c r="AP100" s="3900" t="n">
        <v>-1624.425</v>
      </c>
      <c r="AQ100" s="3900" t="n">
        <v>-1716.643</v>
      </c>
      <c r="AR100" s="3900" t="n">
        <v>-1197.721</v>
      </c>
      <c r="AS100" s="3900" t="n">
        <v>-1340.494</v>
      </c>
      <c r="AT100" s="3900" t="n">
        <v>-1628.25561</v>
      </c>
      <c r="AU100" s="4201" t="n">
        <v>-1832.54903</v>
      </c>
      <c r="AV100" s="3900">
        <f>Q100</f>
        <v/>
      </c>
      <c r="AW100" s="3900">
        <f>AC100</f>
        <v/>
      </c>
      <c r="AX100" s="3900">
        <f>AO100</f>
        <v/>
      </c>
      <c r="AY100" s="3900">
        <f>AS100</f>
        <v/>
      </c>
      <c r="AZ100" s="3900">
        <f>AU100</f>
        <v/>
      </c>
      <c r="BA100" s="4202">
        <f>AVERAGE(F100:Q100)</f>
        <v/>
      </c>
      <c r="BB100" s="3900">
        <f>AVERAGE(R100:AC100)</f>
        <v/>
      </c>
      <c r="BC100" s="3900">
        <f>AVERAGE(AD100:AO100)</f>
        <v/>
      </c>
      <c r="BD100" s="3900">
        <f>AVERAGE(AH100:AS100)</f>
        <v/>
      </c>
      <c r="BE100" s="3900">
        <f>AVERAGE(AJ100:AU100)</f>
        <v/>
      </c>
      <c r="BF100" s="3743" t="n"/>
      <c r="BG100" s="3900" t="n">
        <v>-627.9</v>
      </c>
    </row>
    <row r="101" hidden="1" outlineLevel="3" ht="12" customHeight="1" s="3710">
      <c r="A101" s="4211" t="n"/>
      <c r="B101" s="4044" t="n"/>
      <c r="C101" s="4218" t="inlineStr">
        <is>
          <t>Accrued liabilites - general</t>
        </is>
      </c>
      <c r="D101" s="3902" t="n">
        <v>214101</v>
      </c>
      <c r="E101" s="3902" t="inlineStr">
        <is>
          <t>214101 - Accrued Liabilites - General</t>
        </is>
      </c>
      <c r="F101" s="3900" t="n"/>
      <c r="G101" s="3900" t="n"/>
      <c r="H101" s="3900" t="n"/>
      <c r="I101" s="3900" t="n"/>
      <c r="J101" s="3900" t="n"/>
      <c r="K101" s="3900" t="n"/>
      <c r="L101" s="3900" t="n"/>
      <c r="M101" s="3900" t="n"/>
      <c r="N101" s="3900" t="n"/>
      <c r="O101" s="3900" t="n"/>
      <c r="P101" s="3900" t="n"/>
      <c r="Q101" s="4200" t="n"/>
      <c r="R101" s="3900" t="n"/>
      <c r="S101" s="3900" t="n"/>
      <c r="T101" s="3900" t="n"/>
      <c r="U101" s="3900" t="n"/>
      <c r="V101" s="3900" t="n"/>
      <c r="W101" s="3900" t="n"/>
      <c r="X101" s="3900" t="n"/>
      <c r="Y101" s="3900" t="n"/>
      <c r="Z101" s="3900" t="n"/>
      <c r="AA101" s="3900" t="n"/>
      <c r="AB101" s="3900" t="n"/>
      <c r="AC101" s="4200" t="n"/>
      <c r="AD101" s="3900" t="n"/>
      <c r="AE101" s="3900" t="n"/>
      <c r="AF101" s="3900" t="n"/>
      <c r="AG101" s="3900" t="n"/>
      <c r="AH101" s="3900" t="n"/>
      <c r="AI101" s="3900" t="n"/>
      <c r="AJ101" s="3900" t="n"/>
      <c r="AK101" s="3900" t="n"/>
      <c r="AL101" s="3900" t="n"/>
      <c r="AM101" s="3900" t="n"/>
      <c r="AN101" s="3900" t="n"/>
      <c r="AO101" s="4200" t="n"/>
      <c r="AP101" s="3900" t="n">
        <v>-835.079</v>
      </c>
      <c r="AQ101" s="3900" t="n">
        <v>-793.889</v>
      </c>
      <c r="AR101" s="3900" t="n">
        <v>-682.958</v>
      </c>
      <c r="AS101" s="3900" t="n">
        <v>-735.789</v>
      </c>
      <c r="AT101" s="3900" t="n">
        <v>-783.91359</v>
      </c>
      <c r="AU101" s="4201" t="n">
        <v>-1171.70295</v>
      </c>
      <c r="AV101" s="3900">
        <f>Q101</f>
        <v/>
      </c>
      <c r="AW101" s="3900">
        <f>AC101</f>
        <v/>
      </c>
      <c r="AX101" s="3900">
        <f>AO101</f>
        <v/>
      </c>
      <c r="AY101" s="3900">
        <f>AS101</f>
        <v/>
      </c>
      <c r="AZ101" s="3900">
        <f>AU101</f>
        <v/>
      </c>
      <c r="BA101" s="4202">
        <f>AVERAGE(F101:Q101)</f>
        <v/>
      </c>
      <c r="BB101" s="3900">
        <f>AVERAGE(R101:AC101)</f>
        <v/>
      </c>
      <c r="BC101" s="3900">
        <f>AVERAGE(AD101:AO101)</f>
        <v/>
      </c>
      <c r="BD101" s="3900">
        <f>AVERAGE(AH101:AS101)</f>
        <v/>
      </c>
      <c r="BE101" s="3900">
        <f>AVERAGE(AJ101:AU101)</f>
        <v/>
      </c>
      <c r="BF101" s="3743" t="n"/>
      <c r="BG101" s="3900" t="n">
        <v>-385.733</v>
      </c>
    </row>
    <row r="102" hidden="1" outlineLevel="3" ht="12" customHeight="1" s="3710">
      <c r="A102" s="4211" t="n"/>
      <c r="B102" s="4044" t="n"/>
      <c r="C102" s="4218" t="inlineStr">
        <is>
          <t>Accrued liaibilites -c2c conversions team</t>
        </is>
      </c>
      <c r="D102" s="3902" t="n">
        <v>214101</v>
      </c>
      <c r="E102" s="3902" t="inlineStr">
        <is>
          <t>214101 - Accrued Liaibilites -C2C Conversions Team</t>
        </is>
      </c>
      <c r="F102" s="3900" t="n"/>
      <c r="G102" s="3900" t="n"/>
      <c r="H102" s="3900" t="n"/>
      <c r="I102" s="3900" t="n"/>
      <c r="J102" s="3900" t="n"/>
      <c r="K102" s="3900" t="n"/>
      <c r="L102" s="3900" t="n"/>
      <c r="M102" s="3900" t="n"/>
      <c r="N102" s="3900" t="n"/>
      <c r="O102" s="3900" t="n"/>
      <c r="P102" s="3900" t="n"/>
      <c r="Q102" s="4200" t="n"/>
      <c r="R102" s="3900" t="n"/>
      <c r="S102" s="3900" t="n"/>
      <c r="T102" s="3900" t="n"/>
      <c r="U102" s="3900" t="n"/>
      <c r="V102" s="3900" t="n"/>
      <c r="W102" s="3900" t="n"/>
      <c r="X102" s="3900" t="n"/>
      <c r="Y102" s="3900" t="n"/>
      <c r="Z102" s="3900" t="n"/>
      <c r="AA102" s="3900" t="n"/>
      <c r="AB102" s="3900" t="n"/>
      <c r="AC102" s="4200" t="n"/>
      <c r="AD102" s="3900" t="n"/>
      <c r="AE102" s="3900" t="n"/>
      <c r="AF102" s="3900" t="n"/>
      <c r="AG102" s="3900" t="n"/>
      <c r="AH102" s="3900" t="n"/>
      <c r="AI102" s="3900" t="n"/>
      <c r="AJ102" s="3900" t="n"/>
      <c r="AK102" s="3900" t="n"/>
      <c r="AL102" s="3900" t="n"/>
      <c r="AM102" s="3900" t="n"/>
      <c r="AN102" s="3900" t="n"/>
      <c r="AO102" s="4200" t="n"/>
      <c r="AP102" s="3900" t="n">
        <v>-0.063</v>
      </c>
      <c r="AQ102" s="3900" t="n">
        <v>-0.062</v>
      </c>
      <c r="AR102" s="3900" t="n">
        <v>0</v>
      </c>
      <c r="AS102" s="3900" t="n">
        <v>0</v>
      </c>
      <c r="AT102" s="3900" t="n">
        <v>0</v>
      </c>
      <c r="AU102" s="4201" t="n">
        <v>0</v>
      </c>
      <c r="AV102" s="3900">
        <f>Q102</f>
        <v/>
      </c>
      <c r="AW102" s="3900">
        <f>AC102</f>
        <v/>
      </c>
      <c r="AX102" s="3900">
        <f>AO102</f>
        <v/>
      </c>
      <c r="AY102" s="3900">
        <f>AS102</f>
        <v/>
      </c>
      <c r="AZ102" s="3900">
        <f>AU102</f>
        <v/>
      </c>
      <c r="BA102" s="4202">
        <f>AVERAGE(F102:Q102)</f>
        <v/>
      </c>
      <c r="BB102" s="3900">
        <f>AVERAGE(R102:AC102)</f>
        <v/>
      </c>
      <c r="BC102" s="3900">
        <f>AVERAGE(AD102:AO102)</f>
        <v/>
      </c>
      <c r="BD102" s="3900">
        <f>AVERAGE(AH102:AS102)</f>
        <v/>
      </c>
      <c r="BE102" s="3900">
        <f>AVERAGE(AJ102:AU102)</f>
        <v/>
      </c>
      <c r="BF102" s="3743" t="n"/>
      <c r="BG102" s="3900" t="n">
        <v>-0.049</v>
      </c>
    </row>
    <row r="103" hidden="1" outlineLevel="3" ht="12" customHeight="1" s="3710">
      <c r="B103" s="3891" t="n"/>
      <c r="C103" s="4218" t="inlineStr">
        <is>
          <t>Accrued liabilities - celero and cu centrals</t>
        </is>
      </c>
      <c r="D103" s="3902" t="n">
        <v>214103</v>
      </c>
      <c r="E103" s="3902" t="inlineStr">
        <is>
          <t>214103 - Accrued Liabilities - Celero and CU Centrals</t>
        </is>
      </c>
      <c r="F103" s="3900" t="n"/>
      <c r="G103" s="3900" t="n"/>
      <c r="H103" s="3900" t="n"/>
      <c r="I103" s="3900" t="n"/>
      <c r="J103" s="3900" t="n"/>
      <c r="K103" s="3900" t="n"/>
      <c r="L103" s="3900" t="n"/>
      <c r="M103" s="3900" t="n"/>
      <c r="N103" s="3900" t="n"/>
      <c r="O103" s="3900" t="n"/>
      <c r="P103" s="3900" t="n"/>
      <c r="Q103" s="4200" t="n"/>
      <c r="R103" s="3900" t="n"/>
      <c r="S103" s="3900" t="n"/>
      <c r="T103" s="3900" t="n"/>
      <c r="U103" s="3900" t="n"/>
      <c r="V103" s="3900" t="n"/>
      <c r="W103" s="3900" t="n"/>
      <c r="X103" s="3900" t="n"/>
      <c r="Y103" s="3900" t="n"/>
      <c r="Z103" s="3900" t="n"/>
      <c r="AA103" s="3900" t="n"/>
      <c r="AB103" s="3900" t="n"/>
      <c r="AC103" s="4200" t="n"/>
      <c r="AD103" s="3900" t="n"/>
      <c r="AE103" s="3900" t="n"/>
      <c r="AF103" s="3900" t="n"/>
      <c r="AG103" s="3900" t="n"/>
      <c r="AH103" s="3900" t="n"/>
      <c r="AI103" s="3900" t="n"/>
      <c r="AJ103" s="3900" t="n"/>
      <c r="AK103" s="3900" t="n"/>
      <c r="AL103" s="3900" t="n"/>
      <c r="AM103" s="3900" t="n"/>
      <c r="AN103" s="3900" t="n"/>
      <c r="AO103" s="4200" t="n"/>
      <c r="AP103" s="3900" t="n">
        <v>-304.679</v>
      </c>
      <c r="AQ103" s="3900" t="n">
        <v>-324.134</v>
      </c>
      <c r="AR103" s="3900" t="n">
        <v>-207.45</v>
      </c>
      <c r="AS103" s="3900" t="n">
        <v>-207.575</v>
      </c>
      <c r="AT103" s="3900" t="n">
        <v>-207.69952</v>
      </c>
      <c r="AU103" s="4201" t="n">
        <v>-213.78716</v>
      </c>
      <c r="AV103" s="3900">
        <f>Q103</f>
        <v/>
      </c>
      <c r="AW103" s="3900">
        <f>AC103</f>
        <v/>
      </c>
      <c r="AX103" s="3900">
        <f>AO103</f>
        <v/>
      </c>
      <c r="AY103" s="3900">
        <f>AS103</f>
        <v/>
      </c>
      <c r="AZ103" s="3900">
        <f>AU103</f>
        <v/>
      </c>
      <c r="BA103" s="4202">
        <f>AVERAGE(F103:Q103)</f>
        <v/>
      </c>
      <c r="BB103" s="3900">
        <f>AVERAGE(R103:AC103)</f>
        <v/>
      </c>
      <c r="BC103" s="3900">
        <f>AVERAGE(AD103:AO103)</f>
        <v/>
      </c>
      <c r="BD103" s="3900">
        <f>AVERAGE(AH103:AS103)</f>
        <v/>
      </c>
      <c r="BE103" s="3900">
        <f>AVERAGE(AJ103:AU103)</f>
        <v/>
      </c>
      <c r="BF103" s="3743" t="n"/>
      <c r="BG103" s="3900" t="n">
        <v>-33.001</v>
      </c>
    </row>
    <row r="104" hidden="1" outlineLevel="3" ht="12" customHeight="1" s="3710">
      <c r="B104" s="3891" t="n"/>
      <c r="C104" s="4218" t="inlineStr">
        <is>
          <t>Accrued liabilities -intercompany - co-op vcas</t>
        </is>
      </c>
      <c r="D104" s="3902" t="n">
        <v>249850</v>
      </c>
      <c r="E104" s="3902" t="inlineStr">
        <is>
          <t>249850 - Accrued Liabilities -Intercompany - Co-Op VCAS</t>
        </is>
      </c>
      <c r="F104" s="3900" t="n"/>
      <c r="G104" s="3900" t="n"/>
      <c r="H104" s="3900" t="n"/>
      <c r="I104" s="3900" t="n"/>
      <c r="J104" s="3900" t="n"/>
      <c r="K104" s="3900" t="n"/>
      <c r="L104" s="3900" t="n"/>
      <c r="M104" s="3900" t="n"/>
      <c r="N104" s="3900" t="n"/>
      <c r="O104" s="3900" t="n"/>
      <c r="P104" s="3900" t="n"/>
      <c r="Q104" s="4200" t="n"/>
      <c r="R104" s="3900" t="n"/>
      <c r="S104" s="3900" t="n"/>
      <c r="T104" s="3900" t="n"/>
      <c r="U104" s="3900" t="n"/>
      <c r="V104" s="3900" t="n"/>
      <c r="W104" s="3900" t="n"/>
      <c r="X104" s="3900" t="n"/>
      <c r="Y104" s="3900" t="n"/>
      <c r="Z104" s="3900" t="n"/>
      <c r="AA104" s="3900" t="n"/>
      <c r="AB104" s="3900" t="n"/>
      <c r="AC104" s="4200" t="n"/>
      <c r="AD104" s="3900" t="n"/>
      <c r="AE104" s="3900" t="n"/>
      <c r="AF104" s="3900" t="n"/>
      <c r="AG104" s="3900" t="n"/>
      <c r="AH104" s="3900" t="n"/>
      <c r="AI104" s="3900" t="n"/>
      <c r="AJ104" s="3900" t="n"/>
      <c r="AK104" s="3900" t="n"/>
      <c r="AL104" s="3900" t="n"/>
      <c r="AM104" s="3900" t="n"/>
      <c r="AN104" s="3900" t="n"/>
      <c r="AO104" s="4200" t="n"/>
      <c r="AP104" s="3900" t="n">
        <v>-34.714</v>
      </c>
      <c r="AQ104" s="3900" t="n">
        <v>-37.504</v>
      </c>
      <c r="AR104" s="3900" t="n">
        <v>-47.536</v>
      </c>
      <c r="AS104" s="3900" t="n">
        <v>-46.118</v>
      </c>
      <c r="AT104" s="3900" t="n">
        <v>-48.73962</v>
      </c>
      <c r="AU104" s="4201" t="n">
        <v>-59.94911</v>
      </c>
      <c r="AV104" s="3900">
        <f>Q104</f>
        <v/>
      </c>
      <c r="AW104" s="3900">
        <f>AC104</f>
        <v/>
      </c>
      <c r="AX104" s="3900">
        <f>AO104</f>
        <v/>
      </c>
      <c r="AY104" s="3900">
        <f>AS104</f>
        <v/>
      </c>
      <c r="AZ104" s="3900">
        <f>AU104</f>
        <v/>
      </c>
      <c r="BA104" s="4202">
        <f>AVERAGE(F104:Q104)</f>
        <v/>
      </c>
      <c r="BB104" s="3900">
        <f>AVERAGE(R104:AC104)</f>
        <v/>
      </c>
      <c r="BC104" s="3900">
        <f>AVERAGE(AD104:AO104)</f>
        <v/>
      </c>
      <c r="BD104" s="3900">
        <f>AVERAGE(AH104:AS104)</f>
        <v/>
      </c>
      <c r="BE104" s="3900">
        <f>AVERAGE(AJ104:AU104)</f>
        <v/>
      </c>
      <c r="BF104" s="3743" t="n"/>
      <c r="BG104" s="3900" t="n">
        <v>0</v>
      </c>
    </row>
    <row r="105" hidden="1" outlineLevel="3" ht="12" customHeight="1" s="3710">
      <c r="B105" s="3891" t="n"/>
      <c r="C105" s="4219" t="inlineStr">
        <is>
          <t>Accrued liabilities - fixed assets</t>
        </is>
      </c>
      <c r="D105" s="4204" t="n">
        <v>214105</v>
      </c>
      <c r="E105" s="4204" t="inlineStr">
        <is>
          <t>214105 - Accrued Liabilities - Fixed Assets</t>
        </is>
      </c>
      <c r="F105" s="4205" t="n"/>
      <c r="G105" s="4205" t="n"/>
      <c r="H105" s="4205" t="n"/>
      <c r="I105" s="4205" t="n"/>
      <c r="J105" s="4205" t="n"/>
      <c r="K105" s="4205" t="n"/>
      <c r="L105" s="4205" t="n"/>
      <c r="M105" s="4205" t="n"/>
      <c r="N105" s="4205" t="n"/>
      <c r="O105" s="4205" t="n"/>
      <c r="P105" s="4205" t="n"/>
      <c r="Q105" s="4206" t="n"/>
      <c r="R105" s="4205" t="n"/>
      <c r="S105" s="4205" t="n"/>
      <c r="T105" s="4205" t="n"/>
      <c r="U105" s="4205" t="n"/>
      <c r="V105" s="4205" t="n"/>
      <c r="W105" s="4205" t="n"/>
      <c r="X105" s="4205" t="n"/>
      <c r="Y105" s="4205" t="n"/>
      <c r="Z105" s="4205" t="n"/>
      <c r="AA105" s="4205" t="n"/>
      <c r="AB105" s="4205" t="n"/>
      <c r="AC105" s="4206" t="n"/>
      <c r="AD105" s="4205" t="n"/>
      <c r="AE105" s="4205" t="n"/>
      <c r="AF105" s="4205" t="n"/>
      <c r="AG105" s="4205" t="n"/>
      <c r="AH105" s="4205" t="n"/>
      <c r="AI105" s="4205" t="n"/>
      <c r="AJ105" s="4205" t="n"/>
      <c r="AK105" s="4205" t="n"/>
      <c r="AL105" s="4205" t="n"/>
      <c r="AM105" s="4205" t="n"/>
      <c r="AN105" s="4205" t="n"/>
      <c r="AO105" s="4206" t="n"/>
      <c r="AP105" s="4205" t="n">
        <v>-32.023</v>
      </c>
      <c r="AQ105" s="4205" t="n">
        <v>-24.702</v>
      </c>
      <c r="AR105" s="4205" t="n">
        <v>-18.169</v>
      </c>
      <c r="AS105" s="4205" t="n">
        <v>-23.979</v>
      </c>
      <c r="AT105" s="4205" t="n">
        <v>-24.20678</v>
      </c>
      <c r="AU105" s="4207" t="n">
        <v>-15.73428</v>
      </c>
      <c r="AV105" s="4205">
        <f>Q105</f>
        <v/>
      </c>
      <c r="AW105" s="4205">
        <f>AC105</f>
        <v/>
      </c>
      <c r="AX105" s="4205">
        <f>AO105</f>
        <v/>
      </c>
      <c r="AY105" s="4205">
        <f>AS105</f>
        <v/>
      </c>
      <c r="AZ105" s="4205">
        <f>AU105</f>
        <v/>
      </c>
      <c r="BA105" s="4208">
        <f>AVERAGE(F105:Q105)</f>
        <v/>
      </c>
      <c r="BB105" s="4205">
        <f>AVERAGE(R105:AC105)</f>
        <v/>
      </c>
      <c r="BC105" s="4205">
        <f>AVERAGE(AD105:AO105)</f>
        <v/>
      </c>
      <c r="BD105" s="4205">
        <f>AVERAGE(AH105:AS105)</f>
        <v/>
      </c>
      <c r="BE105" s="4205">
        <f>AVERAGE(AJ105:AU105)</f>
        <v/>
      </c>
      <c r="BF105" s="3743" t="n"/>
      <c r="BG105" s="4205" t="n">
        <v>-4.233</v>
      </c>
    </row>
    <row r="106" hidden="1" outlineLevel="2" collapsed="1" ht="12" customHeight="1" s="3710">
      <c r="B106" s="3891" t="n"/>
      <c r="C106" s="4012" t="inlineStr">
        <is>
          <t>Accrued liabilities</t>
        </is>
      </c>
      <c r="D106" s="3902" t="n"/>
      <c r="E106" s="3902" t="n"/>
      <c r="F106" s="3900" t="n"/>
      <c r="G106" s="3900" t="n"/>
      <c r="H106" s="3900" t="n"/>
      <c r="I106" s="3900" t="n"/>
      <c r="J106" s="3900" t="n"/>
      <c r="K106" s="3900" t="n"/>
      <c r="L106" s="3900" t="n"/>
      <c r="M106" s="3900" t="n"/>
      <c r="N106" s="3900" t="n"/>
      <c r="O106" s="3900" t="n"/>
      <c r="P106" s="3900" t="n"/>
      <c r="Q106" s="4200" t="n"/>
      <c r="R106" s="3900" t="n"/>
      <c r="S106" s="3900" t="n"/>
      <c r="T106" s="3900" t="n"/>
      <c r="U106" s="3900" t="n"/>
      <c r="V106" s="3900" t="n"/>
      <c r="W106" s="3900" t="n"/>
      <c r="X106" s="3900" t="n"/>
      <c r="Y106" s="3900" t="n"/>
      <c r="Z106" s="3900" t="n"/>
      <c r="AA106" s="3900" t="n"/>
      <c r="AB106" s="3900" t="n"/>
      <c r="AC106" s="4200" t="n"/>
      <c r="AD106" s="3900" t="n"/>
      <c r="AE106" s="3900" t="n"/>
      <c r="AF106" s="3900" t="n"/>
      <c r="AG106" s="3900" t="n"/>
      <c r="AH106" s="3900" t="n"/>
      <c r="AI106" s="3900" t="n"/>
      <c r="AJ106" s="3900" t="n"/>
      <c r="AK106" s="3900" t="n"/>
      <c r="AL106" s="3900" t="n"/>
      <c r="AM106" s="3900" t="n"/>
      <c r="AN106" s="3900" t="n"/>
      <c r="AO106" s="4200" t="n"/>
      <c r="AP106" s="3900">
        <f>SUM(AP100:AP105)</f>
        <v/>
      </c>
      <c r="AQ106" s="3900">
        <f>SUM(AQ100:AQ105)</f>
        <v/>
      </c>
      <c r="AR106" s="3900">
        <f>SUM(AR100:AR105)</f>
        <v/>
      </c>
      <c r="AS106" s="3900">
        <f>SUM(AS100:AS105)</f>
        <v/>
      </c>
      <c r="AT106" s="3900">
        <f>SUM(AT100:AT105)</f>
        <v/>
      </c>
      <c r="AU106" s="4201">
        <f>SUM(AU100:AU105)</f>
        <v/>
      </c>
      <c r="AV106" s="3900">
        <f>SUM(AV100:AV105)</f>
        <v/>
      </c>
      <c r="AW106" s="3900">
        <f>SUM(AW100:AW105)</f>
        <v/>
      </c>
      <c r="AX106" s="3900">
        <f>SUM(AX100:AX105)</f>
        <v/>
      </c>
      <c r="AY106" s="3900">
        <f>SUM(AY100:AY105)</f>
        <v/>
      </c>
      <c r="AZ106" s="3900">
        <f>SUM(AZ100:AZ105)</f>
        <v/>
      </c>
      <c r="BA106" s="4202">
        <f>SUM(BA100:BA105)</f>
        <v/>
      </c>
      <c r="BB106" s="3900">
        <f>SUM(BB100:BB105)</f>
        <v/>
      </c>
      <c r="BC106" s="3900">
        <f>SUM(BC100:BC105)</f>
        <v/>
      </c>
      <c r="BD106" s="3900">
        <f>SUM(BD100:BD105)</f>
        <v/>
      </c>
      <c r="BE106" s="3900">
        <f>SUM(BE100:BE105)</f>
        <v/>
      </c>
      <c r="BF106" s="3743" t="n"/>
      <c r="BG106" s="3900">
        <f>SUM(BG100:BG105)</f>
        <v/>
      </c>
    </row>
    <row r="107" hidden="1" outlineLevel="3" ht="12" customHeight="1" s="3710">
      <c r="B107" s="3891" t="n"/>
      <c r="C107" s="4218" t="inlineStr">
        <is>
          <t>Sales tax payable - PST BC</t>
        </is>
      </c>
      <c r="D107" s="3902" t="n">
        <v>208323</v>
      </c>
      <c r="E107" s="3902" t="inlineStr">
        <is>
          <t>208323 - Sales Tax Payable - PST BC</t>
        </is>
      </c>
      <c r="F107" s="3900" t="n"/>
      <c r="G107" s="3900" t="n"/>
      <c r="H107" s="3900" t="n"/>
      <c r="I107" s="3900" t="n"/>
      <c r="J107" s="3900" t="n"/>
      <c r="K107" s="3900" t="n"/>
      <c r="L107" s="3900" t="n"/>
      <c r="M107" s="3900" t="n"/>
      <c r="N107" s="3900" t="n"/>
      <c r="O107" s="3900" t="n"/>
      <c r="P107" s="3900" t="n"/>
      <c r="Q107" s="4200" t="n"/>
      <c r="R107" s="3900" t="n"/>
      <c r="S107" s="3900" t="n"/>
      <c r="T107" s="3900" t="n"/>
      <c r="U107" s="3900" t="n"/>
      <c r="V107" s="3900" t="n"/>
      <c r="W107" s="3900" t="n"/>
      <c r="X107" s="3900" t="n"/>
      <c r="Y107" s="3900" t="n"/>
      <c r="Z107" s="3900" t="n"/>
      <c r="AA107" s="3900" t="n"/>
      <c r="AB107" s="3900" t="n"/>
      <c r="AC107" s="4200" t="n"/>
      <c r="AD107" s="3900" t="n"/>
      <c r="AE107" s="3900" t="n"/>
      <c r="AF107" s="3900" t="n"/>
      <c r="AG107" s="3900" t="n"/>
      <c r="AH107" s="3900" t="n"/>
      <c r="AI107" s="3900" t="n"/>
      <c r="AJ107" s="3900" t="n"/>
      <c r="AK107" s="3900" t="n"/>
      <c r="AL107" s="3900" t="n"/>
      <c r="AM107" s="3900" t="n"/>
      <c r="AN107" s="3900" t="n"/>
      <c r="AO107" s="4200" t="n"/>
      <c r="AP107" s="3900" t="n">
        <v>-66.40000000000001</v>
      </c>
      <c r="AQ107" s="3900" t="n">
        <v>-68.41200000000001</v>
      </c>
      <c r="AR107" s="3900" t="n">
        <v>-100.924</v>
      </c>
      <c r="AS107" s="3900" t="n">
        <v>-68.23699999999999</v>
      </c>
      <c r="AT107" s="3900" t="n">
        <v>-71.41061000000001</v>
      </c>
      <c r="AU107" s="4201" t="n">
        <v>-69.97694</v>
      </c>
      <c r="AV107" s="3900">
        <f>Q107</f>
        <v/>
      </c>
      <c r="AW107" s="3900">
        <f>AC107</f>
        <v/>
      </c>
      <c r="AX107" s="3900">
        <f>AO107</f>
        <v/>
      </c>
      <c r="AY107" s="3900">
        <f>AS107</f>
        <v/>
      </c>
      <c r="AZ107" s="3900">
        <f>AU107</f>
        <v/>
      </c>
      <c r="BA107" s="4202">
        <f>AVERAGE(F107:Q107)</f>
        <v/>
      </c>
      <c r="BB107" s="3900">
        <f>AVERAGE(R107:AC107)</f>
        <v/>
      </c>
      <c r="BC107" s="3900">
        <f>AVERAGE(AD107:AO107)</f>
        <v/>
      </c>
      <c r="BD107" s="3900">
        <f>AVERAGE(AH107:AS107)</f>
        <v/>
      </c>
      <c r="BE107" s="3900">
        <f>AVERAGE(AJ107:AU107)</f>
        <v/>
      </c>
      <c r="BF107" s="3743" t="n"/>
      <c r="BG107" s="3900" t="n">
        <v>-26.877</v>
      </c>
    </row>
    <row r="108" hidden="1" outlineLevel="3" ht="12" customHeight="1" s="3710">
      <c r="A108" s="4211" t="n"/>
      <c r="B108" s="4044" t="n"/>
      <c r="C108" s="4218" t="inlineStr">
        <is>
          <t>Sales tax payable - HST/GST</t>
        </is>
      </c>
      <c r="D108" s="3902" t="n">
        <v>208319</v>
      </c>
      <c r="E108" s="3902" t="inlineStr">
        <is>
          <t>208319 - Sales Tax Payable - HST/GST</t>
        </is>
      </c>
      <c r="F108" s="3900" t="n"/>
      <c r="G108" s="3900" t="n"/>
      <c r="H108" s="3900" t="n"/>
      <c r="I108" s="3900" t="n"/>
      <c r="J108" s="3900" t="n"/>
      <c r="K108" s="3900" t="n"/>
      <c r="L108" s="3900" t="n"/>
      <c r="M108" s="3900" t="n"/>
      <c r="N108" s="3900" t="n"/>
      <c r="O108" s="3900" t="n"/>
      <c r="P108" s="3900" t="n"/>
      <c r="Q108" s="4200" t="n"/>
      <c r="R108" s="3900" t="n"/>
      <c r="S108" s="3900" t="n"/>
      <c r="T108" s="3900" t="n"/>
      <c r="U108" s="3900" t="n"/>
      <c r="V108" s="3900" t="n"/>
      <c r="W108" s="3900" t="n"/>
      <c r="X108" s="3900" t="n"/>
      <c r="Y108" s="3900" t="n"/>
      <c r="Z108" s="3900" t="n"/>
      <c r="AA108" s="3900" t="n"/>
      <c r="AB108" s="3900" t="n"/>
      <c r="AC108" s="4200" t="n"/>
      <c r="AD108" s="3900" t="n"/>
      <c r="AE108" s="3900" t="n"/>
      <c r="AF108" s="3900" t="n"/>
      <c r="AG108" s="3900" t="n"/>
      <c r="AH108" s="3900" t="n"/>
      <c r="AI108" s="3900" t="n"/>
      <c r="AJ108" s="3900" t="n"/>
      <c r="AK108" s="3900" t="n"/>
      <c r="AL108" s="3900" t="n"/>
      <c r="AM108" s="3900" t="n"/>
      <c r="AN108" s="3900" t="n"/>
      <c r="AO108" s="4200" t="n"/>
      <c r="AP108" s="3900" t="n">
        <v>-490.25</v>
      </c>
      <c r="AQ108" s="3900" t="n">
        <v>-527.836</v>
      </c>
      <c r="AR108" s="3900" t="n">
        <v>-571.048</v>
      </c>
      <c r="AS108" s="3900" t="n">
        <v>-492.086</v>
      </c>
      <c r="AT108" s="3900" t="n">
        <v>-524.35599</v>
      </c>
      <c r="AU108" s="4201" t="n">
        <v>-538.0690499999999</v>
      </c>
      <c r="AV108" s="3900">
        <f>Q108</f>
        <v/>
      </c>
      <c r="AW108" s="3900">
        <f>AC108</f>
        <v/>
      </c>
      <c r="AX108" s="3900">
        <f>AO108</f>
        <v/>
      </c>
      <c r="AY108" s="3900">
        <f>AS108</f>
        <v/>
      </c>
      <c r="AZ108" s="3900">
        <f>AU108</f>
        <v/>
      </c>
      <c r="BA108" s="4202">
        <f>AVERAGE(F108:Q108)</f>
        <v/>
      </c>
      <c r="BB108" s="3900">
        <f>AVERAGE(R108:AC108)</f>
        <v/>
      </c>
      <c r="BC108" s="3900">
        <f>AVERAGE(AD108:AO108)</f>
        <v/>
      </c>
      <c r="BD108" s="3900">
        <f>AVERAGE(AH108:AS108)</f>
        <v/>
      </c>
      <c r="BE108" s="3900">
        <f>AVERAGE(AJ108:AU108)</f>
        <v/>
      </c>
      <c r="BF108" s="3743" t="n"/>
      <c r="BG108" s="3900" t="n">
        <v>-289.329</v>
      </c>
    </row>
    <row r="109" hidden="1" outlineLevel="3" ht="12" customHeight="1" s="3710">
      <c r="B109" s="3891" t="n"/>
      <c r="C109" s="4218" t="inlineStr">
        <is>
          <t>Sales tax payable - PST MB</t>
        </is>
      </c>
      <c r="D109" s="3902" t="n">
        <v>208320</v>
      </c>
      <c r="E109" s="3902" t="inlineStr">
        <is>
          <t>208320 - Sales Tax Payable - PST MB</t>
        </is>
      </c>
      <c r="F109" s="3900" t="n"/>
      <c r="G109" s="3900" t="n"/>
      <c r="H109" s="3900" t="n"/>
      <c r="I109" s="3900" t="n"/>
      <c r="J109" s="3900" t="n"/>
      <c r="K109" s="3900" t="n"/>
      <c r="L109" s="3900" t="n"/>
      <c r="M109" s="3900" t="n"/>
      <c r="N109" s="3900" t="n"/>
      <c r="O109" s="3900" t="n"/>
      <c r="P109" s="3900" t="n"/>
      <c r="Q109" s="4200" t="n"/>
      <c r="R109" s="3900" t="n"/>
      <c r="S109" s="3900" t="n"/>
      <c r="T109" s="3900" t="n"/>
      <c r="U109" s="3900" t="n"/>
      <c r="V109" s="3900" t="n"/>
      <c r="W109" s="3900" t="n"/>
      <c r="X109" s="3900" t="n"/>
      <c r="Y109" s="3900" t="n"/>
      <c r="Z109" s="3900" t="n"/>
      <c r="AA109" s="3900" t="n"/>
      <c r="AB109" s="3900" t="n"/>
      <c r="AC109" s="4200" t="n"/>
      <c r="AD109" s="3900" t="n"/>
      <c r="AE109" s="3900" t="n"/>
      <c r="AF109" s="3900" t="n"/>
      <c r="AG109" s="3900" t="n"/>
      <c r="AH109" s="3900" t="n"/>
      <c r="AI109" s="3900" t="n"/>
      <c r="AJ109" s="3900" t="n"/>
      <c r="AK109" s="3900" t="n"/>
      <c r="AL109" s="3900" t="n"/>
      <c r="AM109" s="3900" t="n"/>
      <c r="AN109" s="3900" t="n"/>
      <c r="AO109" s="4200" t="n"/>
      <c r="AP109" s="3900" t="n">
        <v>-25.903</v>
      </c>
      <c r="AQ109" s="3900" t="n">
        <v>-29.4</v>
      </c>
      <c r="AR109" s="3900" t="n">
        <v>-23.29</v>
      </c>
      <c r="AS109" s="3900" t="n">
        <v>-22.277</v>
      </c>
      <c r="AT109" s="3900" t="n">
        <v>-22.65912</v>
      </c>
      <c r="AU109" s="4201" t="n">
        <v>-19.1831</v>
      </c>
      <c r="AV109" s="3900">
        <f>Q109</f>
        <v/>
      </c>
      <c r="AW109" s="3900">
        <f>AC109</f>
        <v/>
      </c>
      <c r="AX109" s="3900">
        <f>AO109</f>
        <v/>
      </c>
      <c r="AY109" s="3900">
        <f>AS109</f>
        <v/>
      </c>
      <c r="AZ109" s="3900">
        <f>AU109</f>
        <v/>
      </c>
      <c r="BA109" s="4202">
        <f>AVERAGE(F109:Q109)</f>
        <v/>
      </c>
      <c r="BB109" s="3900">
        <f>AVERAGE(R109:AC109)</f>
        <v/>
      </c>
      <c r="BC109" s="3900">
        <f>AVERAGE(AD109:AO109)</f>
        <v/>
      </c>
      <c r="BD109" s="3900">
        <f>AVERAGE(AH109:AS109)</f>
        <v/>
      </c>
      <c r="BE109" s="3900">
        <f>AVERAGE(AJ109:AU109)</f>
        <v/>
      </c>
      <c r="BF109" s="3743" t="n"/>
      <c r="BG109" s="3900" t="n">
        <v>-23.037</v>
      </c>
    </row>
    <row r="110" hidden="1" outlineLevel="3" ht="12" customHeight="1" s="3710">
      <c r="B110" s="3891" t="n"/>
      <c r="C110" s="4218" t="inlineStr">
        <is>
          <t>Sales tax payable - PST SK</t>
        </is>
      </c>
      <c r="D110" s="3902" t="n">
        <v>208321</v>
      </c>
      <c r="E110" s="3902" t="inlineStr">
        <is>
          <t>208321 - Sales Tax Payable - PST SK</t>
        </is>
      </c>
      <c r="F110" s="3900" t="n"/>
      <c r="G110" s="3900" t="n"/>
      <c r="H110" s="3900" t="n"/>
      <c r="I110" s="3900" t="n"/>
      <c r="J110" s="3900" t="n"/>
      <c r="K110" s="3900" t="n"/>
      <c r="L110" s="3900" t="n"/>
      <c r="M110" s="3900" t="n"/>
      <c r="N110" s="3900" t="n"/>
      <c r="O110" s="3900" t="n"/>
      <c r="P110" s="3900" t="n"/>
      <c r="Q110" s="4200" t="n"/>
      <c r="R110" s="3900" t="n"/>
      <c r="S110" s="3900" t="n"/>
      <c r="T110" s="3900" t="n"/>
      <c r="U110" s="3900" t="n"/>
      <c r="V110" s="3900" t="n"/>
      <c r="W110" s="3900" t="n"/>
      <c r="X110" s="3900" t="n"/>
      <c r="Y110" s="3900" t="n"/>
      <c r="Z110" s="3900" t="n"/>
      <c r="AA110" s="3900" t="n"/>
      <c r="AB110" s="3900" t="n"/>
      <c r="AC110" s="4200" t="n"/>
      <c r="AD110" s="3900" t="n"/>
      <c r="AE110" s="3900" t="n"/>
      <c r="AF110" s="3900" t="n"/>
      <c r="AG110" s="3900" t="n"/>
      <c r="AH110" s="3900" t="n"/>
      <c r="AI110" s="3900" t="n"/>
      <c r="AJ110" s="3900" t="n"/>
      <c r="AK110" s="3900" t="n"/>
      <c r="AL110" s="3900" t="n"/>
      <c r="AM110" s="3900" t="n"/>
      <c r="AN110" s="3900" t="n"/>
      <c r="AO110" s="4200" t="n"/>
      <c r="AP110" s="3900" t="n">
        <v>-24.944</v>
      </c>
      <c r="AQ110" s="3900" t="n">
        <v>-20.592</v>
      </c>
      <c r="AR110" s="3900" t="n">
        <v>-30.671</v>
      </c>
      <c r="AS110" s="3900" t="n">
        <v>-22.213</v>
      </c>
      <c r="AT110" s="3900" t="n">
        <v>-36.84166</v>
      </c>
      <c r="AU110" s="4201" t="n">
        <v>-22.03278</v>
      </c>
      <c r="AV110" s="3900">
        <f>Q110</f>
        <v/>
      </c>
      <c r="AW110" s="3900">
        <f>AC110</f>
        <v/>
      </c>
      <c r="AX110" s="3900">
        <f>AO110</f>
        <v/>
      </c>
      <c r="AY110" s="3900">
        <f>AS110</f>
        <v/>
      </c>
      <c r="AZ110" s="3900">
        <f>AU110</f>
        <v/>
      </c>
      <c r="BA110" s="4202">
        <f>AVERAGE(F110:Q110)</f>
        <v/>
      </c>
      <c r="BB110" s="3900">
        <f>AVERAGE(R110:AC110)</f>
        <v/>
      </c>
      <c r="BC110" s="3900">
        <f>AVERAGE(AD110:AO110)</f>
        <v/>
      </c>
      <c r="BD110" s="3900">
        <f>AVERAGE(AH110:AS110)</f>
        <v/>
      </c>
      <c r="BE110" s="3900">
        <f>AVERAGE(AJ110:AU110)</f>
        <v/>
      </c>
      <c r="BF110" s="3743" t="n"/>
      <c r="BG110" s="3900" t="n">
        <v>-14.858</v>
      </c>
    </row>
    <row r="111" hidden="1" outlineLevel="3" ht="12" customHeight="1" s="3710">
      <c r="B111" s="3891" t="n"/>
      <c r="C111" s="4219" t="inlineStr">
        <is>
          <t>Sales tax payable - PST QST</t>
        </is>
      </c>
      <c r="D111" s="4204" t="n">
        <v>208322</v>
      </c>
      <c r="E111" s="4204" t="inlineStr">
        <is>
          <t>208322 - Sales Tax Payable - PST QST</t>
        </is>
      </c>
      <c r="F111" s="4205" t="n"/>
      <c r="G111" s="4205" t="n"/>
      <c r="H111" s="4205" t="n"/>
      <c r="I111" s="4205" t="n"/>
      <c r="J111" s="4205" t="n"/>
      <c r="K111" s="4205" t="n"/>
      <c r="L111" s="4205" t="n"/>
      <c r="M111" s="4205" t="n"/>
      <c r="N111" s="4205" t="n"/>
      <c r="O111" s="4205" t="n"/>
      <c r="P111" s="4205" t="n"/>
      <c r="Q111" s="4206" t="n"/>
      <c r="R111" s="4205" t="n"/>
      <c r="S111" s="4205" t="n"/>
      <c r="T111" s="4205" t="n"/>
      <c r="U111" s="4205" t="n"/>
      <c r="V111" s="4205" t="n"/>
      <c r="W111" s="4205" t="n"/>
      <c r="X111" s="4205" t="n"/>
      <c r="Y111" s="4205" t="n"/>
      <c r="Z111" s="4205" t="n"/>
      <c r="AA111" s="4205" t="n"/>
      <c r="AB111" s="4205" t="n"/>
      <c r="AC111" s="4206" t="n"/>
      <c r="AD111" s="4205" t="n"/>
      <c r="AE111" s="4205" t="n"/>
      <c r="AF111" s="4205" t="n"/>
      <c r="AG111" s="4205" t="n"/>
      <c r="AH111" s="4205" t="n"/>
      <c r="AI111" s="4205" t="n"/>
      <c r="AJ111" s="4205" t="n"/>
      <c r="AK111" s="4205" t="n"/>
      <c r="AL111" s="4205" t="n"/>
      <c r="AM111" s="4205" t="n"/>
      <c r="AN111" s="4205" t="n"/>
      <c r="AO111" s="4206" t="n"/>
      <c r="AP111" s="4205" t="n">
        <v>-11.157</v>
      </c>
      <c r="AQ111" s="4205" t="n">
        <v>-15.345</v>
      </c>
      <c r="AR111" s="4205" t="n">
        <v>-10.925</v>
      </c>
      <c r="AS111" s="4205" t="n">
        <v>-11.606</v>
      </c>
      <c r="AT111" s="4205" t="n">
        <v>-15.02353</v>
      </c>
      <c r="AU111" s="4207" t="n">
        <v>-15.06769</v>
      </c>
      <c r="AV111" s="4205">
        <f>Q111</f>
        <v/>
      </c>
      <c r="AW111" s="4205">
        <f>AC111</f>
        <v/>
      </c>
      <c r="AX111" s="4205">
        <f>AO111</f>
        <v/>
      </c>
      <c r="AY111" s="4205">
        <f>AS111</f>
        <v/>
      </c>
      <c r="AZ111" s="4205">
        <f>AU111</f>
        <v/>
      </c>
      <c r="BA111" s="4208">
        <f>AVERAGE(F111:Q111)</f>
        <v/>
      </c>
      <c r="BB111" s="4205">
        <f>AVERAGE(R111:AC111)</f>
        <v/>
      </c>
      <c r="BC111" s="4205">
        <f>AVERAGE(AD111:AO111)</f>
        <v/>
      </c>
      <c r="BD111" s="4205">
        <f>AVERAGE(AH111:AS111)</f>
        <v/>
      </c>
      <c r="BE111" s="4205">
        <f>AVERAGE(AJ111:AU111)</f>
        <v/>
      </c>
      <c r="BF111" s="3743" t="n"/>
      <c r="BG111" s="4205" t="n">
        <v>-88.624</v>
      </c>
    </row>
    <row r="112" hidden="1" outlineLevel="2" collapsed="1" ht="12" customHeight="1" s="3710">
      <c r="B112" s="3891" t="n"/>
      <c r="C112" s="4012" t="inlineStr">
        <is>
          <t>Sales tax payable</t>
        </is>
      </c>
      <c r="D112" s="3902" t="n"/>
      <c r="E112" s="3902" t="n"/>
      <c r="F112" s="3900" t="n"/>
      <c r="G112" s="3900" t="n"/>
      <c r="H112" s="3900" t="n"/>
      <c r="I112" s="3900" t="n"/>
      <c r="J112" s="3900" t="n"/>
      <c r="K112" s="3900" t="n"/>
      <c r="L112" s="3900" t="n"/>
      <c r="M112" s="3900" t="n"/>
      <c r="N112" s="3900" t="n"/>
      <c r="O112" s="3900" t="n"/>
      <c r="P112" s="3900" t="n"/>
      <c r="Q112" s="4200" t="n"/>
      <c r="R112" s="3900" t="n"/>
      <c r="S112" s="3900" t="n"/>
      <c r="T112" s="3900" t="n"/>
      <c r="U112" s="3900" t="n"/>
      <c r="V112" s="3900" t="n"/>
      <c r="W112" s="3900" t="n"/>
      <c r="X112" s="3900" t="n"/>
      <c r="Y112" s="3900" t="n"/>
      <c r="Z112" s="3900" t="n"/>
      <c r="AA112" s="3900" t="n"/>
      <c r="AB112" s="3900" t="n"/>
      <c r="AC112" s="4200" t="n"/>
      <c r="AD112" s="3900" t="n"/>
      <c r="AE112" s="3900" t="n"/>
      <c r="AF112" s="3900" t="n"/>
      <c r="AG112" s="3900" t="n"/>
      <c r="AH112" s="3900" t="n"/>
      <c r="AI112" s="3900" t="n"/>
      <c r="AJ112" s="3900" t="n"/>
      <c r="AK112" s="3900" t="n"/>
      <c r="AL112" s="3900" t="n"/>
      <c r="AM112" s="3900" t="n"/>
      <c r="AN112" s="3900" t="n"/>
      <c r="AO112" s="4200" t="n"/>
      <c r="AP112" s="3900">
        <f>SUM(AP107:AP111)</f>
        <v/>
      </c>
      <c r="AQ112" s="3900">
        <f>SUM(AQ107:AQ111)</f>
        <v/>
      </c>
      <c r="AR112" s="3900">
        <f>SUM(AR107:AR111)</f>
        <v/>
      </c>
      <c r="AS112" s="3900">
        <f>SUM(AS107:AS111)</f>
        <v/>
      </c>
      <c r="AT112" s="3900">
        <f>SUM(AT107:AT111)</f>
        <v/>
      </c>
      <c r="AU112" s="4201">
        <f>SUM(AU107:AU111)</f>
        <v/>
      </c>
      <c r="AV112" s="3900">
        <f>SUM(AV107:AV111)</f>
        <v/>
      </c>
      <c r="AW112" s="3900">
        <f>SUM(AW107:AW111)</f>
        <v/>
      </c>
      <c r="AX112" s="3900">
        <f>SUM(AX107:AX111)</f>
        <v/>
      </c>
      <c r="AY112" s="3900">
        <f>SUM(AY107:AY111)</f>
        <v/>
      </c>
      <c r="AZ112" s="3900">
        <f>SUM(AZ107:AZ111)</f>
        <v/>
      </c>
      <c r="BA112" s="4202">
        <f>SUM(BA107:BA111)</f>
        <v/>
      </c>
      <c r="BB112" s="3900">
        <f>SUM(BB107:BB111)</f>
        <v/>
      </c>
      <c r="BC112" s="3900">
        <f>SUM(BC107:BC111)</f>
        <v/>
      </c>
      <c r="BD112" s="3900">
        <f>SUM(BD107:BD111)</f>
        <v/>
      </c>
      <c r="BE112" s="3900">
        <f>SUM(BE107:BE111)</f>
        <v/>
      </c>
      <c r="BF112" s="3743" t="n"/>
      <c r="BG112" s="3900">
        <f>SUM(BG107:BG111)</f>
        <v/>
      </c>
    </row>
    <row r="113" hidden="1" outlineLevel="2" ht="12" customHeight="1" s="3710">
      <c r="B113" s="3891" t="n"/>
      <c r="C113" s="4012" t="inlineStr">
        <is>
          <t>Accrued merchant residuals- chase</t>
        </is>
      </c>
      <c r="D113" s="3902" t="n">
        <v>214112</v>
      </c>
      <c r="E113" s="3902" t="inlineStr">
        <is>
          <t>214112 - Accrued Merchant Residuals- CHASE</t>
        </is>
      </c>
      <c r="F113" s="3900" t="n"/>
      <c r="G113" s="3900" t="n"/>
      <c r="H113" s="3900" t="n"/>
      <c r="I113" s="3900" t="n"/>
      <c r="J113" s="3900" t="n"/>
      <c r="K113" s="3900" t="n"/>
      <c r="L113" s="3900" t="n"/>
      <c r="M113" s="3900" t="n"/>
      <c r="N113" s="3900" t="n"/>
      <c r="O113" s="3900" t="n"/>
      <c r="P113" s="3900" t="n"/>
      <c r="Q113" s="4200" t="n"/>
      <c r="R113" s="3900" t="n"/>
      <c r="S113" s="3900" t="n"/>
      <c r="T113" s="3900" t="n"/>
      <c r="U113" s="3900" t="n"/>
      <c r="V113" s="3900" t="n"/>
      <c r="W113" s="3900" t="n"/>
      <c r="X113" s="3900" t="n"/>
      <c r="Y113" s="3900" t="n"/>
      <c r="Z113" s="3900" t="n"/>
      <c r="AA113" s="3900" t="n"/>
      <c r="AB113" s="3900" t="n"/>
      <c r="AC113" s="4200" t="n"/>
      <c r="AD113" s="3900" t="n"/>
      <c r="AE113" s="3900" t="n"/>
      <c r="AF113" s="3900" t="n"/>
      <c r="AG113" s="3900" t="n"/>
      <c r="AH113" s="3900" t="n"/>
      <c r="AI113" s="3900" t="n"/>
      <c r="AJ113" s="3900" t="n"/>
      <c r="AK113" s="3900" t="n"/>
      <c r="AL113" s="3900" t="n"/>
      <c r="AM113" s="3900" t="n"/>
      <c r="AN113" s="3900" t="n"/>
      <c r="AO113" s="4200" t="n"/>
      <c r="AP113" s="3900" t="n">
        <v>-9.478</v>
      </c>
      <c r="AQ113" s="3900" t="n">
        <v>-9.282</v>
      </c>
      <c r="AR113" s="3900" t="n">
        <v>-8.583</v>
      </c>
      <c r="AS113" s="3900" t="n">
        <v>-8.583</v>
      </c>
      <c r="AT113" s="3900" t="n">
        <v>-10.20695</v>
      </c>
      <c r="AU113" s="4201" t="n">
        <v>-9.38106</v>
      </c>
      <c r="AV113" s="3900">
        <f>Q113</f>
        <v/>
      </c>
      <c r="AW113" s="3900">
        <f>AC113</f>
        <v/>
      </c>
      <c r="AX113" s="3900">
        <f>AO113</f>
        <v/>
      </c>
      <c r="AY113" s="3900">
        <f>AS113</f>
        <v/>
      </c>
      <c r="AZ113" s="3900">
        <f>AU113</f>
        <v/>
      </c>
      <c r="BA113" s="4202">
        <f>AVERAGE(F113:Q113)</f>
        <v/>
      </c>
      <c r="BB113" s="3900">
        <f>AVERAGE(R113:AC113)</f>
        <v/>
      </c>
      <c r="BC113" s="3900">
        <f>AVERAGE(AD113:AO113)</f>
        <v/>
      </c>
      <c r="BD113" s="3900">
        <f>AVERAGE(AH113:AS113)</f>
        <v/>
      </c>
      <c r="BE113" s="3900">
        <f>AVERAGE(AJ113:AU113)</f>
        <v/>
      </c>
      <c r="BF113" s="3743" t="n"/>
      <c r="BG113" s="3900" t="n">
        <v>-236</v>
      </c>
    </row>
    <row r="114" hidden="1" outlineLevel="2" ht="12" customHeight="1" s="3710">
      <c r="B114" s="3891" t="n"/>
      <c r="C114" s="4012" t="inlineStr">
        <is>
          <t>Inter-company fis mv invoices</t>
        </is>
      </c>
      <c r="D114" s="3902" t="n">
        <v>249851</v>
      </c>
      <c r="E114" s="3902" t="inlineStr">
        <is>
          <t>249851 - Inter-Company FIS MV Invoices</t>
        </is>
      </c>
      <c r="F114" s="3900" t="n"/>
      <c r="G114" s="3900" t="n"/>
      <c r="H114" s="3900" t="n"/>
      <c r="I114" s="3900" t="n"/>
      <c r="J114" s="3900" t="n"/>
      <c r="K114" s="3900" t="n"/>
      <c r="L114" s="3900" t="n"/>
      <c r="M114" s="3900" t="n"/>
      <c r="N114" s="3900" t="n"/>
      <c r="O114" s="3900" t="n"/>
      <c r="P114" s="3900" t="n"/>
      <c r="Q114" s="4200" t="n"/>
      <c r="R114" s="3900" t="n"/>
      <c r="S114" s="3900" t="n"/>
      <c r="T114" s="3900" t="n"/>
      <c r="U114" s="3900" t="n"/>
      <c r="V114" s="3900" t="n"/>
      <c r="W114" s="3900" t="n"/>
      <c r="X114" s="3900" t="n"/>
      <c r="Y114" s="3900" t="n"/>
      <c r="Z114" s="3900" t="n"/>
      <c r="AA114" s="3900" t="n"/>
      <c r="AB114" s="3900" t="n"/>
      <c r="AC114" s="4200" t="n"/>
      <c r="AD114" s="3900" t="n"/>
      <c r="AE114" s="3900" t="n"/>
      <c r="AF114" s="3900" t="n"/>
      <c r="AG114" s="3900" t="n"/>
      <c r="AH114" s="3900" t="n"/>
      <c r="AI114" s="3900" t="n"/>
      <c r="AJ114" s="3900" t="n"/>
      <c r="AK114" s="3900" t="n"/>
      <c r="AL114" s="3900" t="n"/>
      <c r="AM114" s="3900" t="n"/>
      <c r="AN114" s="3900" t="n"/>
      <c r="AO114" s="4200" t="n"/>
      <c r="AP114" s="3900" t="n">
        <v>0</v>
      </c>
      <c r="AQ114" s="3900" t="n">
        <v>0</v>
      </c>
      <c r="AR114" s="3900" t="n">
        <v>0</v>
      </c>
      <c r="AS114" s="3900" t="n">
        <v>0</v>
      </c>
      <c r="AT114" s="3900" t="n">
        <v>0</v>
      </c>
      <c r="AU114" s="4201" t="n">
        <v>0</v>
      </c>
      <c r="AV114" s="3900">
        <f>Q114</f>
        <v/>
      </c>
      <c r="AW114" s="3900">
        <f>AC114</f>
        <v/>
      </c>
      <c r="AX114" s="3900">
        <f>AO114</f>
        <v/>
      </c>
      <c r="AY114" s="3900">
        <f>AS114</f>
        <v/>
      </c>
      <c r="AZ114" s="3900">
        <f>AU114</f>
        <v/>
      </c>
      <c r="BA114" s="4202">
        <f>AVERAGE(F114:Q114)</f>
        <v/>
      </c>
      <c r="BB114" s="3900">
        <f>AVERAGE(R114:AC114)</f>
        <v/>
      </c>
      <c r="BC114" s="3900">
        <f>AVERAGE(AD114:AO114)</f>
        <v/>
      </c>
      <c r="BD114" s="3900">
        <f>AVERAGE(AH114:AS114)</f>
        <v/>
      </c>
      <c r="BE114" s="3900">
        <f>AVERAGE(AJ114:AU114)</f>
        <v/>
      </c>
      <c r="BF114" s="3743" t="n"/>
      <c r="BG114" s="3900" t="n">
        <v>-59.792</v>
      </c>
    </row>
    <row r="115" hidden="1" outlineLevel="2" ht="12" customHeight="1" s="3710">
      <c r="B115" s="3891" t="n"/>
      <c r="C115" s="4203" t="inlineStr">
        <is>
          <t>Non-resident witholding tax payable</t>
        </is>
      </c>
      <c r="D115" s="4204" t="n">
        <v>208305</v>
      </c>
      <c r="E115" s="4204" t="inlineStr">
        <is>
          <t>208305 - Non-resident Witholding Tax Payable</t>
        </is>
      </c>
      <c r="F115" s="4205" t="n"/>
      <c r="G115" s="4205" t="n"/>
      <c r="H115" s="4205" t="n"/>
      <c r="I115" s="4205" t="n"/>
      <c r="J115" s="4205" t="n"/>
      <c r="K115" s="4205" t="n"/>
      <c r="L115" s="4205" t="n"/>
      <c r="M115" s="4205" t="n"/>
      <c r="N115" s="4205" t="n"/>
      <c r="O115" s="4205" t="n"/>
      <c r="P115" s="4205" t="n"/>
      <c r="Q115" s="4206" t="n"/>
      <c r="R115" s="4205" t="n"/>
      <c r="S115" s="4205" t="n"/>
      <c r="T115" s="4205" t="n"/>
      <c r="U115" s="4205" t="n"/>
      <c r="V115" s="4205" t="n"/>
      <c r="W115" s="4205" t="n"/>
      <c r="X115" s="4205" t="n"/>
      <c r="Y115" s="4205" t="n"/>
      <c r="Z115" s="4205" t="n"/>
      <c r="AA115" s="4205" t="n"/>
      <c r="AB115" s="4205" t="n"/>
      <c r="AC115" s="4206" t="n"/>
      <c r="AD115" s="4205" t="n"/>
      <c r="AE115" s="4205" t="n"/>
      <c r="AF115" s="4205" t="n"/>
      <c r="AG115" s="4205" t="n"/>
      <c r="AH115" s="4205" t="n"/>
      <c r="AI115" s="4205" t="n"/>
      <c r="AJ115" s="4205" t="n"/>
      <c r="AK115" s="4205" t="n"/>
      <c r="AL115" s="4205" t="n"/>
      <c r="AM115" s="4205" t="n"/>
      <c r="AN115" s="4205" t="n"/>
      <c r="AO115" s="4206" t="n"/>
      <c r="AP115" s="4205" t="n">
        <v>2.389</v>
      </c>
      <c r="AQ115" s="4205" t="n">
        <v>-252.611</v>
      </c>
      <c r="AR115" s="4205" t="n">
        <v>2.389</v>
      </c>
      <c r="AS115" s="4205" t="n">
        <v>2.389</v>
      </c>
      <c r="AT115" s="4205" t="n">
        <v>2.38935</v>
      </c>
      <c r="AU115" s="4207" t="n">
        <v>2.38935</v>
      </c>
      <c r="AV115" s="4205">
        <f>Q115</f>
        <v/>
      </c>
      <c r="AW115" s="4205">
        <f>AC115</f>
        <v/>
      </c>
      <c r="AX115" s="4205">
        <f>AO115</f>
        <v/>
      </c>
      <c r="AY115" s="4205">
        <f>AS115</f>
        <v/>
      </c>
      <c r="AZ115" s="4205">
        <f>AU115</f>
        <v/>
      </c>
      <c r="BA115" s="4208">
        <f>AVERAGE(F115:Q115)</f>
        <v/>
      </c>
      <c r="BB115" s="4205">
        <f>AVERAGE(R115:AC115)</f>
        <v/>
      </c>
      <c r="BC115" s="4205">
        <f>AVERAGE(AD115:AO115)</f>
        <v/>
      </c>
      <c r="BD115" s="4205">
        <f>AVERAGE(AH115:AS115)</f>
        <v/>
      </c>
      <c r="BE115" s="4205">
        <f>AVERAGE(AJ115:AU115)</f>
        <v/>
      </c>
      <c r="BF115" s="3743" t="n"/>
      <c r="BG115" s="4205" t="n">
        <v>-6.909</v>
      </c>
    </row>
    <row r="116" hidden="1" outlineLevel="1" ht="12" customHeight="1" s="3710">
      <c r="B116" s="3891" t="n"/>
      <c r="C116" s="4017" t="inlineStr">
        <is>
          <t xml:space="preserve">Accounts payable and accrued liabilities </t>
        </is>
      </c>
      <c r="D116" s="3902" t="n"/>
      <c r="E116" s="3902" t="n"/>
      <c r="F116" s="3900" t="n"/>
      <c r="G116" s="3900" t="n"/>
      <c r="H116" s="3900" t="n"/>
      <c r="I116" s="3900" t="n"/>
      <c r="J116" s="3900" t="n"/>
      <c r="K116" s="3900" t="n"/>
      <c r="L116" s="3900" t="n"/>
      <c r="M116" s="3900" t="n"/>
      <c r="N116" s="3900" t="n"/>
      <c r="O116" s="3900" t="n"/>
      <c r="P116" s="3900" t="n"/>
      <c r="Q116" s="4200" t="n"/>
      <c r="R116" s="3900" t="n"/>
      <c r="S116" s="3900" t="n"/>
      <c r="T116" s="3900" t="n"/>
      <c r="U116" s="3900" t="n"/>
      <c r="V116" s="3900" t="n"/>
      <c r="W116" s="3900" t="n"/>
      <c r="X116" s="3900" t="n"/>
      <c r="Y116" s="3900" t="n"/>
      <c r="Z116" s="3900" t="n"/>
      <c r="AA116" s="3900" t="n"/>
      <c r="AB116" s="3900" t="n"/>
      <c r="AC116" s="4200" t="n"/>
      <c r="AD116" s="3900" t="n"/>
      <c r="AE116" s="3900" t="n"/>
      <c r="AF116" s="3900" t="n"/>
      <c r="AG116" s="3900" t="n"/>
      <c r="AH116" s="3900" t="n"/>
      <c r="AI116" s="3900" t="n"/>
      <c r="AJ116" s="3900" t="n"/>
      <c r="AK116" s="3900" t="n"/>
      <c r="AL116" s="3900" t="n"/>
      <c r="AM116" s="3900" t="n"/>
      <c r="AN116" s="3900" t="n"/>
      <c r="AO116" s="4200" t="n"/>
      <c r="AP116" s="3900">
        <f>SUM(AP112:AP115,AP106,AP99)</f>
        <v/>
      </c>
      <c r="AQ116" s="3900">
        <f>SUM(AQ112:AQ115,AQ106,AQ99)</f>
        <v/>
      </c>
      <c r="AR116" s="3900">
        <f>SUM(AR112:AR115,AR106,AR99)</f>
        <v/>
      </c>
      <c r="AS116" s="3900">
        <f>SUM(AS112:AS115,AS106,AS99)</f>
        <v/>
      </c>
      <c r="AT116" s="3900">
        <f>SUM(AT112:AT115,AT106,AT99)</f>
        <v/>
      </c>
      <c r="AU116" s="4201">
        <f>SUM(AU112:AU115,AU106,AU99)</f>
        <v/>
      </c>
      <c r="AV116" s="3900">
        <f>SUM(AV112:AV115,AV106,AV99)</f>
        <v/>
      </c>
      <c r="AW116" s="3900">
        <f>SUM(AW112:AW115,AW106,AW99)</f>
        <v/>
      </c>
      <c r="AX116" s="3900">
        <f>SUM(AX112:AX115,AX106,AX99)</f>
        <v/>
      </c>
      <c r="AY116" s="3900">
        <f>SUM(AY112:AY115,AY106,AY99)</f>
        <v/>
      </c>
      <c r="AZ116" s="3900">
        <f>SUM(AZ112:AZ115,AZ106,AZ99)</f>
        <v/>
      </c>
      <c r="BA116" s="4202">
        <f>SUM(BA112:BA115,BA106,BA99)</f>
        <v/>
      </c>
      <c r="BB116" s="3900">
        <f>SUM(BB112:BB115,BB106,BB99)</f>
        <v/>
      </c>
      <c r="BC116" s="3900">
        <f>SUM(BC112:BC115,BC106,BC99)</f>
        <v/>
      </c>
      <c r="BD116" s="3900">
        <f>SUM(BD112:BD115,BD106,BD99)</f>
        <v/>
      </c>
      <c r="BE116" s="3900">
        <f>SUM(BE112:BE115,BE106,BE99)</f>
        <v/>
      </c>
      <c r="BF116" s="3743" t="n"/>
      <c r="BG116" s="3900">
        <f>SUM(BG112:BG115,BG106,BG99)</f>
        <v/>
      </c>
    </row>
    <row r="117" hidden="1" outlineLevel="2" ht="12" customHeight="1" s="3710">
      <c r="B117" s="3891" t="n"/>
      <c r="C117" s="4012" t="inlineStr">
        <is>
          <t>Settlement payables - pos</t>
        </is>
      </c>
      <c r="D117" s="3902" t="n">
        <v>225101</v>
      </c>
      <c r="E117" s="3902" t="inlineStr">
        <is>
          <t>225101 - Settlement Payables - POS</t>
        </is>
      </c>
      <c r="F117" s="3900" t="n"/>
      <c r="G117" s="3900" t="n"/>
      <c r="H117" s="3900" t="n"/>
      <c r="I117" s="3900" t="n"/>
      <c r="J117" s="3900" t="n"/>
      <c r="K117" s="3900" t="n"/>
      <c r="L117" s="3900" t="n"/>
      <c r="M117" s="3900" t="n"/>
      <c r="N117" s="3900" t="n"/>
      <c r="O117" s="3900" t="n"/>
      <c r="P117" s="3900" t="n"/>
      <c r="Q117" s="4200" t="n"/>
      <c r="R117" s="3900" t="n"/>
      <c r="S117" s="3900" t="n"/>
      <c r="T117" s="3900" t="n"/>
      <c r="U117" s="3900" t="n"/>
      <c r="V117" s="3900" t="n"/>
      <c r="W117" s="3900" t="n"/>
      <c r="X117" s="3900" t="n"/>
      <c r="Y117" s="3900" t="n"/>
      <c r="Z117" s="3900" t="n"/>
      <c r="AA117" s="3900" t="n"/>
      <c r="AB117" s="3900" t="n"/>
      <c r="AC117" s="4200" t="n"/>
      <c r="AD117" s="3900" t="n"/>
      <c r="AE117" s="3900" t="n"/>
      <c r="AF117" s="3900" t="n"/>
      <c r="AG117" s="3900" t="n"/>
      <c r="AH117" s="3900" t="n"/>
      <c r="AI117" s="3900" t="n"/>
      <c r="AJ117" s="3900" t="n"/>
      <c r="AK117" s="3900" t="n"/>
      <c r="AL117" s="3900" t="n"/>
      <c r="AM117" s="3900" t="n"/>
      <c r="AN117" s="3900" t="n"/>
      <c r="AO117" s="4200" t="n"/>
      <c r="AP117" s="3900" t="n">
        <v>-19948.992</v>
      </c>
      <c r="AQ117" s="3900" t="n">
        <v>-23152.585</v>
      </c>
      <c r="AR117" s="3900" t="n">
        <v>-33261.278</v>
      </c>
      <c r="AS117" s="3900" t="n">
        <v>-27081.82</v>
      </c>
      <c r="AT117" s="3900" t="n">
        <v>-38520.40231</v>
      </c>
      <c r="AU117" s="4201" t="n">
        <v>-43014.38354</v>
      </c>
      <c r="AV117" s="3900">
        <f>Q117</f>
        <v/>
      </c>
      <c r="AW117" s="3900">
        <f>AC117</f>
        <v/>
      </c>
      <c r="AX117" s="3900">
        <f>AO117</f>
        <v/>
      </c>
      <c r="AY117" s="3900">
        <f>AS117</f>
        <v/>
      </c>
      <c r="AZ117" s="3900">
        <f>AU117</f>
        <v/>
      </c>
      <c r="BA117" s="4202">
        <f>AVERAGE(F117:Q117)</f>
        <v/>
      </c>
      <c r="BB117" s="3900">
        <f>AVERAGE(R117:AC117)</f>
        <v/>
      </c>
      <c r="BC117" s="3900">
        <f>AVERAGE(AD117:AO117)</f>
        <v/>
      </c>
      <c r="BD117" s="3900">
        <f>AVERAGE(AH117:AS117)</f>
        <v/>
      </c>
      <c r="BE117" s="3900">
        <f>AVERAGE(AJ117:AU117)</f>
        <v/>
      </c>
      <c r="BF117" s="3743" t="n"/>
      <c r="BG117" s="3900" t="n">
        <v>-3592</v>
      </c>
    </row>
    <row r="118" hidden="1" outlineLevel="2" ht="12" customHeight="1" s="3710">
      <c r="B118" s="3891" t="n"/>
      <c r="C118" s="4012" t="inlineStr">
        <is>
          <t>Settlement payables - scd</t>
        </is>
      </c>
      <c r="D118" s="3902" t="n">
        <v>225102</v>
      </c>
      <c r="E118" s="3902" t="inlineStr">
        <is>
          <t>225102 - Settlement Payables - SCD</t>
        </is>
      </c>
      <c r="F118" s="3900" t="n"/>
      <c r="G118" s="3900" t="n"/>
      <c r="H118" s="3900" t="n"/>
      <c r="I118" s="3900" t="n"/>
      <c r="J118" s="3900" t="n"/>
      <c r="K118" s="3900" t="n"/>
      <c r="L118" s="3900" t="n"/>
      <c r="M118" s="3900" t="n"/>
      <c r="N118" s="3900" t="n"/>
      <c r="O118" s="3900" t="n"/>
      <c r="P118" s="3900" t="n"/>
      <c r="Q118" s="4200" t="n"/>
      <c r="R118" s="3900" t="n"/>
      <c r="S118" s="3900" t="n"/>
      <c r="T118" s="3900" t="n"/>
      <c r="U118" s="3900" t="n"/>
      <c r="V118" s="3900" t="n"/>
      <c r="W118" s="3900" t="n"/>
      <c r="X118" s="3900" t="n"/>
      <c r="Y118" s="3900" t="n"/>
      <c r="Z118" s="3900" t="n"/>
      <c r="AA118" s="3900" t="n"/>
      <c r="AB118" s="3900" t="n"/>
      <c r="AC118" s="4200" t="n"/>
      <c r="AD118" s="3900" t="n"/>
      <c r="AE118" s="3900" t="n"/>
      <c r="AF118" s="3900" t="n"/>
      <c r="AG118" s="3900" t="n"/>
      <c r="AH118" s="3900" t="n"/>
      <c r="AI118" s="3900" t="n"/>
      <c r="AJ118" s="3900" t="n"/>
      <c r="AK118" s="3900" t="n"/>
      <c r="AL118" s="3900" t="n"/>
      <c r="AM118" s="3900" t="n"/>
      <c r="AN118" s="3900" t="n"/>
      <c r="AO118" s="4200" t="n"/>
      <c r="AP118" s="3900" t="n">
        <v>68.599</v>
      </c>
      <c r="AQ118" s="3900" t="n">
        <v>998.4930000000001</v>
      </c>
      <c r="AR118" s="3900" t="n">
        <v>-959.1369999999999</v>
      </c>
      <c r="AS118" s="3900" t="n">
        <v>-7790.278</v>
      </c>
      <c r="AT118" s="3900" t="n">
        <v>1216.41858</v>
      </c>
      <c r="AU118" s="4201" t="n">
        <v>1185.58301</v>
      </c>
      <c r="AV118" s="3900">
        <f>Q118</f>
        <v/>
      </c>
      <c r="AW118" s="3900">
        <f>AC118</f>
        <v/>
      </c>
      <c r="AX118" s="3900">
        <f>AO118</f>
        <v/>
      </c>
      <c r="AY118" s="3900">
        <f>AS118</f>
        <v/>
      </c>
      <c r="AZ118" s="3900">
        <f>AU118</f>
        <v/>
      </c>
      <c r="BA118" s="4202">
        <f>AVERAGE(F118:Q118)</f>
        <v/>
      </c>
      <c r="BB118" s="3900">
        <f>AVERAGE(R118:AC118)</f>
        <v/>
      </c>
      <c r="BC118" s="3900">
        <f>AVERAGE(AD118:AO118)</f>
        <v/>
      </c>
      <c r="BD118" s="3900">
        <f>AVERAGE(AH118:AS118)</f>
        <v/>
      </c>
      <c r="BE118" s="3900">
        <f>AVERAGE(AJ118:AU118)</f>
        <v/>
      </c>
      <c r="BF118" s="3743" t="n"/>
      <c r="BG118" s="3900" t="n">
        <v>-2878.184</v>
      </c>
    </row>
    <row r="119" hidden="1" outlineLevel="2" ht="12" customHeight="1" s="3710">
      <c r="B119" s="3891" t="n"/>
      <c r="C119" s="4012" t="inlineStr">
        <is>
          <t>Settlement payables - ICICI CAD for vda</t>
        </is>
      </c>
      <c r="D119" s="3902" t="n">
        <v>225108</v>
      </c>
      <c r="E119" s="3902" t="inlineStr">
        <is>
          <t>225108 - Settlement Payables - ICICI CAD for VDA</t>
        </is>
      </c>
      <c r="F119" s="3900" t="n"/>
      <c r="G119" s="3900" t="n"/>
      <c r="H119" s="3900" t="n"/>
      <c r="I119" s="3900" t="n"/>
      <c r="J119" s="3900" t="n"/>
      <c r="K119" s="3900" t="n"/>
      <c r="L119" s="3900" t="n"/>
      <c r="M119" s="3900" t="n"/>
      <c r="N119" s="3900" t="n"/>
      <c r="O119" s="3900" t="n"/>
      <c r="P119" s="3900" t="n"/>
      <c r="Q119" s="4200" t="n"/>
      <c r="R119" s="3900" t="n"/>
      <c r="S119" s="3900" t="n"/>
      <c r="T119" s="3900" t="n"/>
      <c r="U119" s="3900" t="n"/>
      <c r="V119" s="3900" t="n"/>
      <c r="W119" s="3900" t="n"/>
      <c r="X119" s="3900" t="n"/>
      <c r="Y119" s="3900" t="n"/>
      <c r="Z119" s="3900" t="n"/>
      <c r="AA119" s="3900" t="n"/>
      <c r="AB119" s="3900" t="n"/>
      <c r="AC119" s="4200" t="n"/>
      <c r="AD119" s="3900" t="n"/>
      <c r="AE119" s="3900" t="n"/>
      <c r="AF119" s="3900" t="n"/>
      <c r="AG119" s="3900" t="n"/>
      <c r="AH119" s="3900" t="n"/>
      <c r="AI119" s="3900" t="n"/>
      <c r="AJ119" s="3900" t="n"/>
      <c r="AK119" s="3900" t="n"/>
      <c r="AL119" s="3900" t="n"/>
      <c r="AM119" s="3900" t="n"/>
      <c r="AN119" s="3900" t="n"/>
      <c r="AO119" s="4200" t="n"/>
      <c r="AP119" s="3900" t="n">
        <v>-528.143</v>
      </c>
      <c r="AQ119" s="3900" t="n">
        <v>-548.761</v>
      </c>
      <c r="AR119" s="3900" t="n">
        <v>-605.807</v>
      </c>
      <c r="AS119" s="3900" t="n">
        <v>-650.6319999999999</v>
      </c>
      <c r="AT119" s="3900" t="n">
        <v>-675.9981299999999</v>
      </c>
      <c r="AU119" s="4201" t="n">
        <v>-675.9981299999999</v>
      </c>
      <c r="AV119" s="3900">
        <f>Q119</f>
        <v/>
      </c>
      <c r="AW119" s="3900">
        <f>AC119</f>
        <v/>
      </c>
      <c r="AX119" s="3900">
        <f>AO119</f>
        <v/>
      </c>
      <c r="AY119" s="3900">
        <f>AS119</f>
        <v/>
      </c>
      <c r="AZ119" s="3900">
        <f>AU119</f>
        <v/>
      </c>
      <c r="BA119" s="4202">
        <f>AVERAGE(F119:Q119)</f>
        <v/>
      </c>
      <c r="BB119" s="3900">
        <f>AVERAGE(R119:AC119)</f>
        <v/>
      </c>
      <c r="BC119" s="3900">
        <f>AVERAGE(AD119:AO119)</f>
        <v/>
      </c>
      <c r="BD119" s="3900">
        <f>AVERAGE(AH119:AS119)</f>
        <v/>
      </c>
      <c r="BE119" s="3900">
        <f>AVERAGE(AJ119:AU119)</f>
        <v/>
      </c>
      <c r="BF119" s="3743" t="n"/>
      <c r="BG119" s="3900" t="n">
        <v>0</v>
      </c>
    </row>
    <row r="120" hidden="1" outlineLevel="2" ht="12" customHeight="1" s="3710">
      <c r="B120" s="3891" t="n"/>
      <c r="C120" s="4012" t="inlineStr">
        <is>
          <t>Settlement etrans susp 067</t>
        </is>
      </c>
      <c r="D120" s="3902" t="n">
        <v>225167</v>
      </c>
      <c r="E120" s="3902" t="inlineStr">
        <is>
          <t>TBD</t>
        </is>
      </c>
      <c r="F120" s="3900" t="n"/>
      <c r="G120" s="3900" t="n"/>
      <c r="H120" s="3900" t="n"/>
      <c r="I120" s="3900" t="n"/>
      <c r="J120" s="3900" t="n"/>
      <c r="K120" s="3900" t="n"/>
      <c r="L120" s="3900" t="n"/>
      <c r="M120" s="3900" t="n"/>
      <c r="N120" s="3900" t="n"/>
      <c r="O120" s="3900" t="n"/>
      <c r="P120" s="3900" t="n"/>
      <c r="Q120" s="4200" t="n"/>
      <c r="R120" s="3900" t="n"/>
      <c r="S120" s="3900" t="n"/>
      <c r="T120" s="3900" t="n"/>
      <c r="U120" s="3900" t="n"/>
      <c r="V120" s="3900" t="n"/>
      <c r="W120" s="3900" t="n"/>
      <c r="X120" s="3900" t="n"/>
      <c r="Y120" s="3900" t="n"/>
      <c r="Z120" s="3900" t="n"/>
      <c r="AA120" s="3900" t="n"/>
      <c r="AB120" s="3900" t="n"/>
      <c r="AC120" s="4200" t="n"/>
      <c r="AD120" s="3900" t="n"/>
      <c r="AE120" s="3900" t="n"/>
      <c r="AF120" s="3900" t="n"/>
      <c r="AG120" s="3900" t="n"/>
      <c r="AH120" s="3900" t="n"/>
      <c r="AI120" s="3900" t="n"/>
      <c r="AJ120" s="3900" t="n"/>
      <c r="AK120" s="3900" t="n"/>
      <c r="AL120" s="3900" t="n"/>
      <c r="AM120" s="3900" t="n"/>
      <c r="AN120" s="3900" t="n"/>
      <c r="AO120" s="4200" t="n"/>
      <c r="AP120" s="3900" t="n">
        <v>-62.262</v>
      </c>
      <c r="AQ120" s="3900" t="n">
        <v>-71.18300000000001</v>
      </c>
      <c r="AR120" s="3900" t="n">
        <v>-116.118</v>
      </c>
      <c r="AS120" s="3900" t="n">
        <v>-69.60599999999999</v>
      </c>
      <c r="AT120" s="3900" t="n">
        <v>-158.82134</v>
      </c>
      <c r="AU120" s="4201" t="n">
        <v>-132.76535</v>
      </c>
      <c r="AV120" s="3900">
        <f>Q120</f>
        <v/>
      </c>
      <c r="AW120" s="3900">
        <f>AC120</f>
        <v/>
      </c>
      <c r="AX120" s="3900">
        <f>AO120</f>
        <v/>
      </c>
      <c r="AY120" s="3900">
        <f>AS120</f>
        <v/>
      </c>
      <c r="AZ120" s="3900">
        <f>AU120</f>
        <v/>
      </c>
      <c r="BA120" s="4202">
        <f>AVERAGE(F120:Q120)</f>
        <v/>
      </c>
      <c r="BB120" s="3900">
        <f>AVERAGE(R120:AC120)</f>
        <v/>
      </c>
      <c r="BC120" s="3900">
        <f>AVERAGE(AD120:AO120)</f>
        <v/>
      </c>
      <c r="BD120" s="3900">
        <f>AVERAGE(AH120:AS120)</f>
        <v/>
      </c>
      <c r="BE120" s="3900">
        <f>AVERAGE(AJ120:AU120)</f>
        <v/>
      </c>
      <c r="BF120" s="3743" t="n"/>
      <c r="BG120" s="3900" t="n">
        <v>0</v>
      </c>
    </row>
    <row r="121" hidden="1" outlineLevel="2" ht="12" customHeight="1" s="3710">
      <c r="B121" s="3891" t="n"/>
      <c r="C121" s="4012" t="inlineStr">
        <is>
          <t>Unclaimed settlement</t>
        </is>
      </c>
      <c r="D121" s="3902" t="n">
        <v>225199</v>
      </c>
      <c r="E121" s="3902" t="inlineStr">
        <is>
          <t>225199 - Unclaimed Settlement</t>
        </is>
      </c>
      <c r="F121" s="3900" t="n"/>
      <c r="G121" s="3900" t="n"/>
      <c r="H121" s="3900" t="n"/>
      <c r="I121" s="3900" t="n"/>
      <c r="J121" s="3900" t="n"/>
      <c r="K121" s="3900" t="n"/>
      <c r="L121" s="3900" t="n"/>
      <c r="M121" s="3900" t="n"/>
      <c r="N121" s="3900" t="n"/>
      <c r="O121" s="3900" t="n"/>
      <c r="P121" s="3900" t="n"/>
      <c r="Q121" s="4200" t="n"/>
      <c r="R121" s="3900" t="n"/>
      <c r="S121" s="3900" t="n"/>
      <c r="T121" s="3900" t="n"/>
      <c r="U121" s="3900" t="n"/>
      <c r="V121" s="3900" t="n"/>
      <c r="W121" s="3900" t="n"/>
      <c r="X121" s="3900" t="n"/>
      <c r="Y121" s="3900" t="n"/>
      <c r="Z121" s="3900" t="n"/>
      <c r="AA121" s="3900" t="n"/>
      <c r="AB121" s="3900" t="n"/>
      <c r="AC121" s="4200" t="n"/>
      <c r="AD121" s="3900" t="n"/>
      <c r="AE121" s="3900" t="n"/>
      <c r="AF121" s="3900" t="n"/>
      <c r="AG121" s="3900" t="n"/>
      <c r="AH121" s="3900" t="n"/>
      <c r="AI121" s="3900" t="n"/>
      <c r="AJ121" s="3900" t="n"/>
      <c r="AK121" s="3900" t="n"/>
      <c r="AL121" s="3900" t="n"/>
      <c r="AM121" s="3900" t="n"/>
      <c r="AN121" s="3900" t="n"/>
      <c r="AO121" s="4200" t="n"/>
      <c r="AP121" s="3900" t="n">
        <v>-60.125</v>
      </c>
      <c r="AQ121" s="3900" t="n">
        <v>-57.767</v>
      </c>
      <c r="AR121" s="3900" t="n">
        <v>-57.767</v>
      </c>
      <c r="AS121" s="3900" t="n">
        <v>-57.767</v>
      </c>
      <c r="AT121" s="3900" t="n">
        <v>-57.76686</v>
      </c>
      <c r="AU121" s="4201" t="n">
        <v>-57.76686</v>
      </c>
      <c r="AV121" s="3900">
        <f>Q121</f>
        <v/>
      </c>
      <c r="AW121" s="3900">
        <f>AC121</f>
        <v/>
      </c>
      <c r="AX121" s="3900">
        <f>AO121</f>
        <v/>
      </c>
      <c r="AY121" s="3900">
        <f>AS121</f>
        <v/>
      </c>
      <c r="AZ121" s="3900">
        <f>AU121</f>
        <v/>
      </c>
      <c r="BA121" s="4202">
        <f>AVERAGE(F121:Q121)</f>
        <v/>
      </c>
      <c r="BB121" s="3900">
        <f>AVERAGE(R121:AC121)</f>
        <v/>
      </c>
      <c r="BC121" s="3900">
        <f>AVERAGE(AD121:AO121)</f>
        <v/>
      </c>
      <c r="BD121" s="3900">
        <f>AVERAGE(AH121:AS121)</f>
        <v/>
      </c>
      <c r="BE121" s="3900">
        <f>AVERAGE(AJ121:AU121)</f>
        <v/>
      </c>
      <c r="BF121" s="3743" t="n"/>
      <c r="BG121" s="3900" t="n">
        <v>-24.251</v>
      </c>
    </row>
    <row r="122" hidden="1" outlineLevel="2" ht="12" customHeight="1" s="3710">
      <c r="B122" s="3891" t="n"/>
      <c r="C122" s="4012" t="inlineStr">
        <is>
          <t>Settlement payables - 178</t>
        </is>
      </c>
      <c r="D122" s="3902" t="n">
        <v>225103</v>
      </c>
      <c r="E122" s="3902" t="inlineStr">
        <is>
          <t>225103 - Settlement Payables - 178</t>
        </is>
      </c>
      <c r="F122" s="3900" t="n"/>
      <c r="G122" s="3900" t="n"/>
      <c r="H122" s="3900" t="n"/>
      <c r="I122" s="3900" t="n"/>
      <c r="J122" s="3900" t="n"/>
      <c r="K122" s="3900" t="n"/>
      <c r="L122" s="3900" t="n"/>
      <c r="M122" s="3900" t="n"/>
      <c r="N122" s="3900" t="n"/>
      <c r="O122" s="3900" t="n"/>
      <c r="P122" s="3900" t="n"/>
      <c r="Q122" s="4200" t="n"/>
      <c r="R122" s="3900" t="n"/>
      <c r="S122" s="3900" t="n"/>
      <c r="T122" s="3900" t="n"/>
      <c r="U122" s="3900" t="n"/>
      <c r="V122" s="3900" t="n"/>
      <c r="W122" s="3900" t="n"/>
      <c r="X122" s="3900" t="n"/>
      <c r="Y122" s="3900" t="n"/>
      <c r="Z122" s="3900" t="n"/>
      <c r="AA122" s="3900" t="n"/>
      <c r="AB122" s="3900" t="n"/>
      <c r="AC122" s="4200" t="n"/>
      <c r="AD122" s="3900" t="n"/>
      <c r="AE122" s="3900" t="n"/>
      <c r="AF122" s="3900" t="n"/>
      <c r="AG122" s="3900" t="n"/>
      <c r="AH122" s="3900" t="n"/>
      <c r="AI122" s="3900" t="n"/>
      <c r="AJ122" s="3900" t="n"/>
      <c r="AK122" s="3900" t="n"/>
      <c r="AL122" s="3900" t="n"/>
      <c r="AM122" s="3900" t="n"/>
      <c r="AN122" s="3900" t="n"/>
      <c r="AO122" s="4200" t="n"/>
      <c r="AP122" s="3900" t="n">
        <v>-26.706</v>
      </c>
      <c r="AQ122" s="3900" t="n">
        <v>-26.845</v>
      </c>
      <c r="AR122" s="3900" t="n">
        <v>-25.794</v>
      </c>
      <c r="AS122" s="3900" t="n">
        <v>-29.618</v>
      </c>
      <c r="AT122" s="3900" t="n">
        <v>148.32567</v>
      </c>
      <c r="AU122" s="4201" t="n">
        <v>-121.90941</v>
      </c>
      <c r="AV122" s="3900">
        <f>Q122</f>
        <v/>
      </c>
      <c r="AW122" s="3900">
        <f>AC122</f>
        <v/>
      </c>
      <c r="AX122" s="3900">
        <f>AO122</f>
        <v/>
      </c>
      <c r="AY122" s="3900">
        <f>AS122</f>
        <v/>
      </c>
      <c r="AZ122" s="3900">
        <f>AU122</f>
        <v/>
      </c>
      <c r="BA122" s="4202">
        <f>AVERAGE(F122:Q122)</f>
        <v/>
      </c>
      <c r="BB122" s="3900">
        <f>AVERAGE(R122:AC122)</f>
        <v/>
      </c>
      <c r="BC122" s="3900">
        <f>AVERAGE(AD122:AO122)</f>
        <v/>
      </c>
      <c r="BD122" s="3900">
        <f>AVERAGE(AH122:AS122)</f>
        <v/>
      </c>
      <c r="BE122" s="3900">
        <f>AVERAGE(AJ122:AU122)</f>
        <v/>
      </c>
      <c r="BF122" s="3743" t="n"/>
      <c r="BG122" s="3900" t="n">
        <v>-32.511</v>
      </c>
    </row>
    <row r="123" hidden="1" outlineLevel="2" ht="12" customHeight="1" s="3710">
      <c r="B123" s="3891" t="n"/>
      <c r="C123" s="4012" t="inlineStr">
        <is>
          <t>Settlement payables - 10403- 1154</t>
        </is>
      </c>
      <c r="D123" s="3902" t="n">
        <v>225105</v>
      </c>
      <c r="E123" s="3902" t="inlineStr">
        <is>
          <t>TBD</t>
        </is>
      </c>
      <c r="F123" s="3900" t="n"/>
      <c r="G123" s="3900" t="n"/>
      <c r="H123" s="3900" t="n"/>
      <c r="I123" s="3900" t="n"/>
      <c r="J123" s="3900" t="n"/>
      <c r="K123" s="3900" t="n"/>
      <c r="L123" s="3900" t="n"/>
      <c r="M123" s="3900" t="n"/>
      <c r="N123" s="3900" t="n"/>
      <c r="O123" s="3900" t="n"/>
      <c r="P123" s="3900" t="n"/>
      <c r="Q123" s="4200" t="n"/>
      <c r="R123" s="3900" t="n"/>
      <c r="S123" s="3900" t="n"/>
      <c r="T123" s="3900" t="n"/>
      <c r="U123" s="3900" t="n"/>
      <c r="V123" s="3900" t="n"/>
      <c r="W123" s="3900" t="n"/>
      <c r="X123" s="3900" t="n"/>
      <c r="Y123" s="3900" t="n"/>
      <c r="Z123" s="3900" t="n"/>
      <c r="AA123" s="3900" t="n"/>
      <c r="AB123" s="3900" t="n"/>
      <c r="AC123" s="4200" t="n"/>
      <c r="AD123" s="3900" t="n"/>
      <c r="AE123" s="3900" t="n"/>
      <c r="AF123" s="3900" t="n"/>
      <c r="AG123" s="3900" t="n"/>
      <c r="AH123" s="3900" t="n"/>
      <c r="AI123" s="3900" t="n"/>
      <c r="AJ123" s="3900" t="n"/>
      <c r="AK123" s="3900" t="n"/>
      <c r="AL123" s="3900" t="n"/>
      <c r="AM123" s="3900" t="n"/>
      <c r="AN123" s="3900" t="n"/>
      <c r="AO123" s="4200" t="n"/>
      <c r="AP123" s="3900" t="n">
        <v>-2.12</v>
      </c>
      <c r="AQ123" s="3900" t="n">
        <v>-1.632</v>
      </c>
      <c r="AR123" s="3900" t="n">
        <v>-2.442</v>
      </c>
      <c r="AS123" s="3900" t="n">
        <v>-1.633</v>
      </c>
      <c r="AT123" s="3900" t="n">
        <v>-2.63446</v>
      </c>
      <c r="AU123" s="4201" t="n">
        <v>-2.3695</v>
      </c>
      <c r="AV123" s="3900">
        <f>Q123</f>
        <v/>
      </c>
      <c r="AW123" s="3900">
        <f>AC123</f>
        <v/>
      </c>
      <c r="AX123" s="3900">
        <f>AO123</f>
        <v/>
      </c>
      <c r="AY123" s="3900">
        <f>AS123</f>
        <v/>
      </c>
      <c r="AZ123" s="3900">
        <f>AU123</f>
        <v/>
      </c>
      <c r="BA123" s="4202">
        <f>AVERAGE(F123:Q123)</f>
        <v/>
      </c>
      <c r="BB123" s="3900">
        <f>AVERAGE(R123:AC123)</f>
        <v/>
      </c>
      <c r="BC123" s="3900">
        <f>AVERAGE(AD123:AO123)</f>
        <v/>
      </c>
      <c r="BD123" s="3900">
        <f>AVERAGE(AH123:AS123)</f>
        <v/>
      </c>
      <c r="BE123" s="3900">
        <f>AVERAGE(AJ123:AU123)</f>
        <v/>
      </c>
      <c r="BF123" s="3743" t="n"/>
      <c r="BG123" s="3900" t="n">
        <v>0</v>
      </c>
    </row>
    <row r="124" hidden="1" outlineLevel="2" ht="12" customHeight="1" s="3710">
      <c r="B124" s="3891" t="n"/>
      <c r="C124" s="4012" t="inlineStr">
        <is>
          <t>Settlement payables - e-transfer desj 059</t>
        </is>
      </c>
      <c r="D124" s="3902" t="n">
        <v>225159</v>
      </c>
      <c r="E124" s="3902" t="inlineStr">
        <is>
          <t>225159 - Settlement Payables - E-Transfer Desj 059</t>
        </is>
      </c>
      <c r="F124" s="3900" t="n"/>
      <c r="G124" s="3900" t="n"/>
      <c r="H124" s="3900" t="n"/>
      <c r="I124" s="3900" t="n"/>
      <c r="J124" s="3900" t="n"/>
      <c r="K124" s="3900" t="n"/>
      <c r="L124" s="3900" t="n"/>
      <c r="M124" s="3900" t="n"/>
      <c r="N124" s="3900" t="n"/>
      <c r="O124" s="3900" t="n"/>
      <c r="P124" s="3900" t="n"/>
      <c r="Q124" s="4200" t="n"/>
      <c r="R124" s="3900" t="n"/>
      <c r="S124" s="3900" t="n"/>
      <c r="T124" s="3900" t="n"/>
      <c r="U124" s="3900" t="n"/>
      <c r="V124" s="3900" t="n"/>
      <c r="W124" s="3900" t="n"/>
      <c r="X124" s="3900" t="n"/>
      <c r="Y124" s="3900" t="n"/>
      <c r="Z124" s="3900" t="n"/>
      <c r="AA124" s="3900" t="n"/>
      <c r="AB124" s="3900" t="n"/>
      <c r="AC124" s="4200" t="n"/>
      <c r="AD124" s="3900" t="n"/>
      <c r="AE124" s="3900" t="n"/>
      <c r="AF124" s="3900" t="n"/>
      <c r="AG124" s="3900" t="n"/>
      <c r="AH124" s="3900" t="n"/>
      <c r="AI124" s="3900" t="n"/>
      <c r="AJ124" s="3900" t="n"/>
      <c r="AK124" s="3900" t="n"/>
      <c r="AL124" s="3900" t="n"/>
      <c r="AM124" s="3900" t="n"/>
      <c r="AN124" s="3900" t="n"/>
      <c r="AO124" s="4200" t="n"/>
      <c r="AP124" s="3900" t="n">
        <v>-0.549</v>
      </c>
      <c r="AQ124" s="3900" t="n">
        <v>0</v>
      </c>
      <c r="AR124" s="3900" t="n">
        <v>0</v>
      </c>
      <c r="AS124" s="3900" t="n">
        <v>0</v>
      </c>
      <c r="AT124" s="3900" t="n">
        <v>-1e-05</v>
      </c>
      <c r="AU124" s="4201" t="n">
        <v>0</v>
      </c>
      <c r="AV124" s="3900">
        <f>Q124</f>
        <v/>
      </c>
      <c r="AW124" s="3900">
        <f>AC124</f>
        <v/>
      </c>
      <c r="AX124" s="3900">
        <f>AO124</f>
        <v/>
      </c>
      <c r="AY124" s="3900">
        <f>AS124</f>
        <v/>
      </c>
      <c r="AZ124" s="3900">
        <f>AU124</f>
        <v/>
      </c>
      <c r="BA124" s="4202">
        <f>AVERAGE(F124:Q124)</f>
        <v/>
      </c>
      <c r="BB124" s="3900">
        <f>AVERAGE(R124:AC124)</f>
        <v/>
      </c>
      <c r="BC124" s="3900">
        <f>AVERAGE(AD124:AO124)</f>
        <v/>
      </c>
      <c r="BD124" s="3900">
        <f>AVERAGE(AH124:AS124)</f>
        <v/>
      </c>
      <c r="BE124" s="3900">
        <f>AVERAGE(AJ124:AU124)</f>
        <v/>
      </c>
      <c r="BF124" s="3743" t="n"/>
      <c r="BG124" s="3900" t="n">
        <v>0</v>
      </c>
    </row>
    <row r="125" hidden="1" outlineLevel="2" ht="12" customHeight="1" s="3710">
      <c r="B125" s="3891" t="n"/>
      <c r="C125" s="4203" t="inlineStr">
        <is>
          <t>Settlement payables - td bank, n.a 154</t>
        </is>
      </c>
      <c r="D125" s="4204" t="n">
        <v>225104</v>
      </c>
      <c r="E125" s="4204" t="inlineStr">
        <is>
          <t>225104 - Settlement Payables - TD Bank, N.A 154</t>
        </is>
      </c>
      <c r="F125" s="4205" t="n"/>
      <c r="G125" s="4205" t="n"/>
      <c r="H125" s="4205" t="n"/>
      <c r="I125" s="4205" t="n"/>
      <c r="J125" s="4205" t="n"/>
      <c r="K125" s="4205" t="n"/>
      <c r="L125" s="4205" t="n"/>
      <c r="M125" s="4205" t="n"/>
      <c r="N125" s="4205" t="n"/>
      <c r="O125" s="4205" t="n"/>
      <c r="P125" s="4205" t="n"/>
      <c r="Q125" s="4206" t="n"/>
      <c r="R125" s="4205" t="n"/>
      <c r="S125" s="4205" t="n"/>
      <c r="T125" s="4205" t="n"/>
      <c r="U125" s="4205" t="n"/>
      <c r="V125" s="4205" t="n"/>
      <c r="W125" s="4205" t="n"/>
      <c r="X125" s="4205" t="n"/>
      <c r="Y125" s="4205" t="n"/>
      <c r="Z125" s="4205" t="n"/>
      <c r="AA125" s="4205" t="n"/>
      <c r="AB125" s="4205" t="n"/>
      <c r="AC125" s="4206" t="n"/>
      <c r="AD125" s="4205" t="n"/>
      <c r="AE125" s="4205" t="n"/>
      <c r="AF125" s="4205" t="n"/>
      <c r="AG125" s="4205" t="n"/>
      <c r="AH125" s="4205" t="n"/>
      <c r="AI125" s="4205" t="n"/>
      <c r="AJ125" s="4205" t="n"/>
      <c r="AK125" s="4205" t="n"/>
      <c r="AL125" s="4205" t="n"/>
      <c r="AM125" s="4205" t="n"/>
      <c r="AN125" s="4205" t="n"/>
      <c r="AO125" s="4206" t="n"/>
      <c r="AP125" s="4205" t="n">
        <v>0</v>
      </c>
      <c r="AQ125" s="4205" t="n">
        <v>0</v>
      </c>
      <c r="AR125" s="4205" t="n">
        <v>0</v>
      </c>
      <c r="AS125" s="4205" t="n">
        <v>0</v>
      </c>
      <c r="AT125" s="4205" t="n">
        <v>-1e-05</v>
      </c>
      <c r="AU125" s="4207" t="n">
        <v>-2e-05</v>
      </c>
      <c r="AV125" s="4205">
        <f>Q125</f>
        <v/>
      </c>
      <c r="AW125" s="4205">
        <f>AC125</f>
        <v/>
      </c>
      <c r="AX125" s="4205">
        <f>AO125</f>
        <v/>
      </c>
      <c r="AY125" s="4205">
        <f>AS125</f>
        <v/>
      </c>
      <c r="AZ125" s="4205">
        <f>AU125</f>
        <v/>
      </c>
      <c r="BA125" s="4208">
        <f>AVERAGE(F125:Q125)</f>
        <v/>
      </c>
      <c r="BB125" s="4205">
        <f>AVERAGE(R125:AC125)</f>
        <v/>
      </c>
      <c r="BC125" s="4205">
        <f>AVERAGE(AD125:AO125)</f>
        <v/>
      </c>
      <c r="BD125" s="4205">
        <f>AVERAGE(AH125:AS125)</f>
        <v/>
      </c>
      <c r="BE125" s="4205">
        <f>AVERAGE(AJ125:AU125)</f>
        <v/>
      </c>
      <c r="BF125" s="3743" t="n"/>
      <c r="BG125" s="4205" t="n">
        <v>0.001</v>
      </c>
    </row>
    <row r="126" hidden="1" outlineLevel="1" collapsed="1" ht="12" customHeight="1" s="3710">
      <c r="B126" s="3891" t="n"/>
      <c r="C126" s="4017" t="inlineStr">
        <is>
          <t xml:space="preserve">Payments held for third party remittance </t>
        </is>
      </c>
      <c r="D126" s="3902" t="n"/>
      <c r="E126" s="3902" t="n"/>
      <c r="F126" s="3900" t="n"/>
      <c r="G126" s="3900" t="n"/>
      <c r="H126" s="3900" t="n"/>
      <c r="I126" s="3900" t="n"/>
      <c r="J126" s="3900" t="n"/>
      <c r="K126" s="3900" t="n"/>
      <c r="L126" s="3900" t="n"/>
      <c r="M126" s="3900" t="n"/>
      <c r="N126" s="3900" t="n"/>
      <c r="O126" s="3900" t="n"/>
      <c r="P126" s="3900" t="n"/>
      <c r="Q126" s="4200" t="n"/>
      <c r="R126" s="3900" t="n"/>
      <c r="S126" s="3900" t="n"/>
      <c r="T126" s="3900" t="n"/>
      <c r="U126" s="3900" t="n"/>
      <c r="V126" s="3900" t="n"/>
      <c r="W126" s="3900" t="n"/>
      <c r="X126" s="3900" t="n"/>
      <c r="Y126" s="3900" t="n"/>
      <c r="Z126" s="3900" t="n"/>
      <c r="AA126" s="3900" t="n"/>
      <c r="AB126" s="3900" t="n"/>
      <c r="AC126" s="4200" t="n"/>
      <c r="AD126" s="3900" t="n"/>
      <c r="AE126" s="3900" t="n"/>
      <c r="AF126" s="3900" t="n"/>
      <c r="AG126" s="3900" t="n"/>
      <c r="AH126" s="3900" t="n"/>
      <c r="AI126" s="3900" t="n"/>
      <c r="AJ126" s="3900" t="n"/>
      <c r="AK126" s="3900" t="n"/>
      <c r="AL126" s="3900" t="n"/>
      <c r="AM126" s="3900" t="n"/>
      <c r="AN126" s="3900" t="n"/>
      <c r="AO126" s="4200" t="n"/>
      <c r="AP126" s="3900">
        <f>SUM(AP117:AP125)</f>
        <v/>
      </c>
      <c r="AQ126" s="3900">
        <f>SUM(AQ117:AQ125)</f>
        <v/>
      </c>
      <c r="AR126" s="3900">
        <f>SUM(AR117:AR125)</f>
        <v/>
      </c>
      <c r="AS126" s="3900">
        <f>SUM(AS117:AS125)</f>
        <v/>
      </c>
      <c r="AT126" s="3900">
        <f>SUM(AT117:AT125)</f>
        <v/>
      </c>
      <c r="AU126" s="4201">
        <f>SUM(AU117:AU125)</f>
        <v/>
      </c>
      <c r="AV126" s="3900">
        <f>SUM(AV117:AV125)</f>
        <v/>
      </c>
      <c r="AW126" s="3900">
        <f>SUM(AW117:AW125)</f>
        <v/>
      </c>
      <c r="AX126" s="3900">
        <f>SUM(AX117:AX125)</f>
        <v/>
      </c>
      <c r="AY126" s="3900">
        <f>SUM(AY117:AY125)</f>
        <v/>
      </c>
      <c r="AZ126" s="3900">
        <f>SUM(AZ117:AZ125)</f>
        <v/>
      </c>
      <c r="BA126" s="4202">
        <f>SUM(BA117:BA125)</f>
        <v/>
      </c>
      <c r="BB126" s="3900">
        <f>SUM(BB117:BB125)</f>
        <v/>
      </c>
      <c r="BC126" s="3900">
        <f>SUM(BC117:BC125)</f>
        <v/>
      </c>
      <c r="BD126" s="3900">
        <f>SUM(BD117:BD125)</f>
        <v/>
      </c>
      <c r="BE126" s="3900">
        <f>SUM(BE117:BE125)</f>
        <v/>
      </c>
      <c r="BF126" s="3743" t="n"/>
      <c r="BG126" s="3900">
        <f>SUM(BG117:BG125)</f>
        <v/>
      </c>
    </row>
    <row r="127" hidden="1" outlineLevel="2" ht="12" customHeight="1" s="3710">
      <c r="B127" s="3891" t="n"/>
      <c r="C127" s="4203" t="inlineStr">
        <is>
          <t>Contract liability IFRS15</t>
        </is>
      </c>
      <c r="D127" s="4204" t="n">
        <v>241515</v>
      </c>
      <c r="E127" s="4204" t="inlineStr">
        <is>
          <t>241515 - Contract Liability IFRS15</t>
        </is>
      </c>
      <c r="F127" s="4205" t="n"/>
      <c r="G127" s="4205" t="n"/>
      <c r="H127" s="4205" t="n"/>
      <c r="I127" s="4205" t="n"/>
      <c r="J127" s="4205" t="n"/>
      <c r="K127" s="4205" t="n"/>
      <c r="L127" s="4205" t="n"/>
      <c r="M127" s="4205" t="n"/>
      <c r="N127" s="4205" t="n"/>
      <c r="O127" s="4205" t="n"/>
      <c r="P127" s="4205" t="n"/>
      <c r="Q127" s="4206" t="n"/>
      <c r="R127" s="4205" t="n"/>
      <c r="S127" s="4205" t="n"/>
      <c r="T127" s="4205" t="n"/>
      <c r="U127" s="4205" t="n"/>
      <c r="V127" s="4205" t="n"/>
      <c r="W127" s="4205" t="n"/>
      <c r="X127" s="4205" t="n"/>
      <c r="Y127" s="4205" t="n"/>
      <c r="Z127" s="4205" t="n"/>
      <c r="AA127" s="4205" t="n"/>
      <c r="AB127" s="4205" t="n"/>
      <c r="AC127" s="4206" t="n"/>
      <c r="AD127" s="4205" t="n"/>
      <c r="AE127" s="4205" t="n"/>
      <c r="AF127" s="4205" t="n"/>
      <c r="AG127" s="4205" t="n"/>
      <c r="AH127" s="4205" t="n"/>
      <c r="AI127" s="4205" t="n"/>
      <c r="AJ127" s="4205" t="n"/>
      <c r="AK127" s="4205" t="n"/>
      <c r="AL127" s="4205" t="n"/>
      <c r="AM127" s="4205" t="n"/>
      <c r="AN127" s="4205" t="n"/>
      <c r="AO127" s="4206" t="n"/>
      <c r="AP127" s="4205" t="n">
        <v>-2059.316</v>
      </c>
      <c r="AQ127" s="4205" t="n">
        <v>-1842.086</v>
      </c>
      <c r="AR127" s="4205" t="n">
        <v>-1870.572</v>
      </c>
      <c r="AS127" s="4205" t="n">
        <v>-1610.988</v>
      </c>
      <c r="AT127" s="4205" t="n">
        <v>-1522.08516</v>
      </c>
      <c r="AU127" s="4207" t="n">
        <v>-949.7563699999999</v>
      </c>
      <c r="AV127" s="4205">
        <f>Q127</f>
        <v/>
      </c>
      <c r="AW127" s="4205">
        <f>AC127</f>
        <v/>
      </c>
      <c r="AX127" s="4205">
        <f>AO127</f>
        <v/>
      </c>
      <c r="AY127" s="4205">
        <f>AS127</f>
        <v/>
      </c>
      <c r="AZ127" s="4205">
        <f>AU127</f>
        <v/>
      </c>
      <c r="BA127" s="4208">
        <f>AVERAGE(F127:Q127)</f>
        <v/>
      </c>
      <c r="BB127" s="4205">
        <f>AVERAGE(R127:AC127)</f>
        <v/>
      </c>
      <c r="BC127" s="4205">
        <f>AVERAGE(AD127:AO127)</f>
        <v/>
      </c>
      <c r="BD127" s="4205">
        <f>AVERAGE(AH127:AS127)</f>
        <v/>
      </c>
      <c r="BE127" s="4205">
        <f>AVERAGE(AJ127:AU127)</f>
        <v/>
      </c>
      <c r="BF127" s="3743" t="n"/>
      <c r="BG127" s="4205" t="n">
        <v>-1672.954</v>
      </c>
    </row>
    <row r="128" hidden="1" outlineLevel="1" collapsed="1" ht="12" customHeight="1" s="3710">
      <c r="B128" s="3891" t="n"/>
      <c r="C128" s="4017" t="inlineStr">
        <is>
          <t xml:space="preserve">Revenue contract liabilities - current year </t>
        </is>
      </c>
      <c r="D128" s="3902" t="n"/>
      <c r="E128" s="3902" t="n"/>
      <c r="F128" s="3900" t="n"/>
      <c r="G128" s="3900" t="n"/>
      <c r="H128" s="3900" t="n"/>
      <c r="I128" s="3900" t="n"/>
      <c r="J128" s="3900" t="n"/>
      <c r="K128" s="3900" t="n"/>
      <c r="L128" s="3900" t="n"/>
      <c r="M128" s="3900" t="n"/>
      <c r="N128" s="3900" t="n"/>
      <c r="O128" s="3900" t="n"/>
      <c r="P128" s="3900" t="n"/>
      <c r="Q128" s="4200" t="n"/>
      <c r="R128" s="3900" t="n"/>
      <c r="S128" s="3900" t="n"/>
      <c r="T128" s="3900" t="n"/>
      <c r="U128" s="3900" t="n"/>
      <c r="V128" s="3900" t="n"/>
      <c r="W128" s="3900" t="n"/>
      <c r="X128" s="3900" t="n"/>
      <c r="Y128" s="3900" t="n"/>
      <c r="Z128" s="3900" t="n"/>
      <c r="AA128" s="3900" t="n"/>
      <c r="AB128" s="3900" t="n"/>
      <c r="AC128" s="4200" t="n"/>
      <c r="AD128" s="3900" t="n"/>
      <c r="AE128" s="3900" t="n"/>
      <c r="AF128" s="3900" t="n"/>
      <c r="AG128" s="3900" t="n"/>
      <c r="AH128" s="3900" t="n"/>
      <c r="AI128" s="3900" t="n"/>
      <c r="AJ128" s="3900" t="n"/>
      <c r="AK128" s="3900" t="n"/>
      <c r="AL128" s="3900" t="n"/>
      <c r="AM128" s="3900" t="n"/>
      <c r="AN128" s="3900" t="n"/>
      <c r="AO128" s="4200" t="n"/>
      <c r="AP128" s="3900">
        <f>SUM(AP127)</f>
        <v/>
      </c>
      <c r="AQ128" s="3900">
        <f>SUM(AQ127)</f>
        <v/>
      </c>
      <c r="AR128" s="3900">
        <f>SUM(AR127)</f>
        <v/>
      </c>
      <c r="AS128" s="3900">
        <f>SUM(AS127)</f>
        <v/>
      </c>
      <c r="AT128" s="3900">
        <f>SUM(AT127)</f>
        <v/>
      </c>
      <c r="AU128" s="4201">
        <f>SUM(AU127)</f>
        <v/>
      </c>
      <c r="AV128" s="3900">
        <f>SUM(AV127)</f>
        <v/>
      </c>
      <c r="AW128" s="3900">
        <f>SUM(AW127)</f>
        <v/>
      </c>
      <c r="AX128" s="3900">
        <f>SUM(AX127)</f>
        <v/>
      </c>
      <c r="AY128" s="3900">
        <f>SUM(AY127)</f>
        <v/>
      </c>
      <c r="AZ128" s="3900">
        <f>SUM(AZ127)</f>
        <v/>
      </c>
      <c r="BA128" s="4202">
        <f>SUM(BA127)</f>
        <v/>
      </c>
      <c r="BB128" s="3900">
        <f>SUM(BB127)</f>
        <v/>
      </c>
      <c r="BC128" s="3900">
        <f>SUM(BC127)</f>
        <v/>
      </c>
      <c r="BD128" s="3900">
        <f>SUM(BD127)</f>
        <v/>
      </c>
      <c r="BE128" s="3900">
        <f>SUM(BE127)</f>
        <v/>
      </c>
      <c r="BF128" s="3743" t="n"/>
      <c r="BG128" s="3900">
        <f>SUM(BG127)</f>
        <v/>
      </c>
    </row>
    <row r="129" hidden="1" outlineLevel="2" ht="12" customHeight="1" s="3710">
      <c r="B129" s="3891" t="n"/>
      <c r="C129" s="4012" t="inlineStr">
        <is>
          <t>Deferred revenue</t>
        </is>
      </c>
      <c r="D129" s="3902" t="n">
        <v>240101</v>
      </c>
      <c r="E129" s="3902" t="inlineStr">
        <is>
          <t>240101 - Deferred Revenue</t>
        </is>
      </c>
      <c r="F129" s="3900" t="n"/>
      <c r="G129" s="3900" t="n"/>
      <c r="H129" s="3900" t="n"/>
      <c r="I129" s="3900" t="n"/>
      <c r="J129" s="3900" t="n"/>
      <c r="K129" s="3900" t="n"/>
      <c r="L129" s="3900" t="n"/>
      <c r="M129" s="3900" t="n"/>
      <c r="N129" s="3900" t="n"/>
      <c r="O129" s="3900" t="n"/>
      <c r="P129" s="3900" t="n"/>
      <c r="Q129" s="4200" t="n"/>
      <c r="R129" s="3900" t="n"/>
      <c r="S129" s="3900" t="n"/>
      <c r="T129" s="3900" t="n"/>
      <c r="U129" s="3900" t="n"/>
      <c r="V129" s="3900" t="n"/>
      <c r="W129" s="3900" t="n"/>
      <c r="X129" s="3900" t="n"/>
      <c r="Y129" s="3900" t="n"/>
      <c r="Z129" s="3900" t="n"/>
      <c r="AA129" s="3900" t="n"/>
      <c r="AB129" s="3900" t="n"/>
      <c r="AC129" s="4200" t="n"/>
      <c r="AD129" s="3900" t="n"/>
      <c r="AE129" s="3900" t="n"/>
      <c r="AF129" s="3900" t="n"/>
      <c r="AG129" s="3900" t="n"/>
      <c r="AH129" s="3900" t="n"/>
      <c r="AI129" s="3900" t="n"/>
      <c r="AJ129" s="3900" t="n"/>
      <c r="AK129" s="3900" t="n"/>
      <c r="AL129" s="3900" t="n"/>
      <c r="AM129" s="3900" t="n"/>
      <c r="AN129" s="3900" t="n"/>
      <c r="AO129" s="4200" t="n"/>
      <c r="AP129" s="3900" t="n">
        <v>-1039.988</v>
      </c>
      <c r="AQ129" s="3900" t="n">
        <v>-1277.517</v>
      </c>
      <c r="AR129" s="3900" t="n">
        <v>-1502.637</v>
      </c>
      <c r="AS129" s="3900" t="n">
        <v>-1596.364</v>
      </c>
      <c r="AT129" s="3900" t="n">
        <v>-1389.46141</v>
      </c>
      <c r="AU129" s="4201" t="n">
        <v>-1311.74919</v>
      </c>
      <c r="AV129" s="3900">
        <f>Q129</f>
        <v/>
      </c>
      <c r="AW129" s="3900">
        <f>AC129</f>
        <v/>
      </c>
      <c r="AX129" s="3900">
        <f>AO129</f>
        <v/>
      </c>
      <c r="AY129" s="3900">
        <f>AS129</f>
        <v/>
      </c>
      <c r="AZ129" s="3900">
        <f>AU129</f>
        <v/>
      </c>
      <c r="BA129" s="4202">
        <f>AVERAGE(F129:Q129)</f>
        <v/>
      </c>
      <c r="BB129" s="3900">
        <f>AVERAGE(R129:AC129)</f>
        <v/>
      </c>
      <c r="BC129" s="3900">
        <f>AVERAGE(AD129:AO129)</f>
        <v/>
      </c>
      <c r="BD129" s="3900">
        <f>AVERAGE(AH129:AS129)</f>
        <v/>
      </c>
      <c r="BE129" s="3900">
        <f>AVERAGE(AJ129:AU129)</f>
        <v/>
      </c>
      <c r="BF129" s="3743" t="n"/>
      <c r="BG129" s="3900" t="n">
        <v>-893.408</v>
      </c>
    </row>
    <row r="130" hidden="1" outlineLevel="2" ht="12" customHeight="1" s="3710">
      <c r="B130" s="3891" t="n"/>
      <c r="C130" s="4203" t="inlineStr">
        <is>
          <t>Deferred revenue - cards perso</t>
        </is>
      </c>
      <c r="D130" s="4204" t="n">
        <v>240102</v>
      </c>
      <c r="E130" s="4204" t="inlineStr">
        <is>
          <t>240102 - Deferred Revenue - Cards Perso</t>
        </is>
      </c>
      <c r="F130" s="4205" t="n"/>
      <c r="G130" s="4205" t="n"/>
      <c r="H130" s="4205" t="n"/>
      <c r="I130" s="4205" t="n"/>
      <c r="J130" s="4205" t="n"/>
      <c r="K130" s="4205" t="n"/>
      <c r="L130" s="4205" t="n"/>
      <c r="M130" s="4205" t="n"/>
      <c r="N130" s="4205" t="n"/>
      <c r="O130" s="4205" t="n"/>
      <c r="P130" s="4205" t="n"/>
      <c r="Q130" s="4206" t="n"/>
      <c r="R130" s="4205" t="n"/>
      <c r="S130" s="4205" t="n"/>
      <c r="T130" s="4205" t="n"/>
      <c r="U130" s="4205" t="n"/>
      <c r="V130" s="4205" t="n"/>
      <c r="W130" s="4205" t="n"/>
      <c r="X130" s="4205" t="n"/>
      <c r="Y130" s="4205" t="n"/>
      <c r="Z130" s="4205" t="n"/>
      <c r="AA130" s="4205" t="n"/>
      <c r="AB130" s="4205" t="n"/>
      <c r="AC130" s="4206" t="n"/>
      <c r="AD130" s="4205" t="n"/>
      <c r="AE130" s="4205" t="n"/>
      <c r="AF130" s="4205" t="n"/>
      <c r="AG130" s="4205" t="n"/>
      <c r="AH130" s="4205" t="n"/>
      <c r="AI130" s="4205" t="n"/>
      <c r="AJ130" s="4205" t="n"/>
      <c r="AK130" s="4205" t="n"/>
      <c r="AL130" s="4205" t="n"/>
      <c r="AM130" s="4205" t="n"/>
      <c r="AN130" s="4205" t="n"/>
      <c r="AO130" s="4206" t="n"/>
      <c r="AP130" s="4205" t="n">
        <v>0</v>
      </c>
      <c r="AQ130" s="4205" t="n">
        <v>0</v>
      </c>
      <c r="AR130" s="4205" t="n">
        <v>0</v>
      </c>
      <c r="AS130" s="4205" t="n">
        <v>0</v>
      </c>
      <c r="AT130" s="4205" t="n">
        <v>0</v>
      </c>
      <c r="AU130" s="4207" t="n">
        <v>0</v>
      </c>
      <c r="AV130" s="4205">
        <f>Q130</f>
        <v/>
      </c>
      <c r="AW130" s="4205">
        <f>AC130</f>
        <v/>
      </c>
      <c r="AX130" s="4205">
        <f>AO130</f>
        <v/>
      </c>
      <c r="AY130" s="4205">
        <f>AS130</f>
        <v/>
      </c>
      <c r="AZ130" s="4205">
        <f>AU130</f>
        <v/>
      </c>
      <c r="BA130" s="4208">
        <f>AVERAGE(F130:Q130)</f>
        <v/>
      </c>
      <c r="BB130" s="4205">
        <f>AVERAGE(R130:AC130)</f>
        <v/>
      </c>
      <c r="BC130" s="4205">
        <f>AVERAGE(AD130:AO130)</f>
        <v/>
      </c>
      <c r="BD130" s="4205">
        <f>AVERAGE(AH130:AS130)</f>
        <v/>
      </c>
      <c r="BE130" s="4205">
        <f>AVERAGE(AJ130:AU130)</f>
        <v/>
      </c>
      <c r="BF130" s="3743" t="n"/>
      <c r="BG130" s="4205" t="n">
        <v>0</v>
      </c>
    </row>
    <row r="131" hidden="1" outlineLevel="1" collapsed="1" ht="12" customHeight="1" s="3710">
      <c r="B131" s="3891" t="n"/>
      <c r="C131" s="4017" t="inlineStr">
        <is>
          <t xml:space="preserve">Deferred revenue  </t>
        </is>
      </c>
      <c r="D131" s="3902" t="n"/>
      <c r="E131" s="3902" t="n"/>
      <c r="F131" s="3900" t="n"/>
      <c r="G131" s="3900" t="n"/>
      <c r="H131" s="3900" t="n"/>
      <c r="I131" s="3900" t="n"/>
      <c r="J131" s="3900" t="n"/>
      <c r="K131" s="3900" t="n"/>
      <c r="L131" s="3900" t="n"/>
      <c r="M131" s="3900" t="n"/>
      <c r="N131" s="3900" t="n"/>
      <c r="O131" s="3900" t="n"/>
      <c r="P131" s="3900" t="n"/>
      <c r="Q131" s="4200" t="n"/>
      <c r="R131" s="3900" t="n"/>
      <c r="S131" s="3900" t="n"/>
      <c r="T131" s="3900" t="n"/>
      <c r="U131" s="3900" t="n"/>
      <c r="V131" s="3900" t="n"/>
      <c r="W131" s="3900" t="n"/>
      <c r="X131" s="3900" t="n"/>
      <c r="Y131" s="3900" t="n"/>
      <c r="Z131" s="3900" t="n"/>
      <c r="AA131" s="3900" t="n"/>
      <c r="AB131" s="3900" t="n"/>
      <c r="AC131" s="4200" t="n"/>
      <c r="AD131" s="3900" t="n"/>
      <c r="AE131" s="3900" t="n"/>
      <c r="AF131" s="3900" t="n"/>
      <c r="AG131" s="3900" t="n"/>
      <c r="AH131" s="3900" t="n"/>
      <c r="AI131" s="3900" t="n"/>
      <c r="AJ131" s="3900" t="n"/>
      <c r="AK131" s="3900" t="n"/>
      <c r="AL131" s="3900" t="n"/>
      <c r="AM131" s="3900" t="n"/>
      <c r="AN131" s="3900" t="n"/>
      <c r="AO131" s="4200" t="n"/>
      <c r="AP131" s="3900">
        <f>SUM(AP129:AP130)</f>
        <v/>
      </c>
      <c r="AQ131" s="3900">
        <f>SUM(AQ129:AQ130)</f>
        <v/>
      </c>
      <c r="AR131" s="3900">
        <f>SUM(AR129:AR130)</f>
        <v/>
      </c>
      <c r="AS131" s="3900">
        <f>SUM(AS129:AS130)</f>
        <v/>
      </c>
      <c r="AT131" s="3900">
        <f>SUM(AT129:AT130)</f>
        <v/>
      </c>
      <c r="AU131" s="4201">
        <f>SUM(AU129:AU130)</f>
        <v/>
      </c>
      <c r="AV131" s="3900">
        <f>SUM(AV129:AV130)</f>
        <v/>
      </c>
      <c r="AW131" s="3900">
        <f>SUM(AW129:AW130)</f>
        <v/>
      </c>
      <c r="AX131" s="3900">
        <f>SUM(AX129:AX130)</f>
        <v/>
      </c>
      <c r="AY131" s="3900">
        <f>SUM(AY129:AY130)</f>
        <v/>
      </c>
      <c r="AZ131" s="3900">
        <f>SUM(AZ129:AZ130)</f>
        <v/>
      </c>
      <c r="BA131" s="4202">
        <f>SUM(BA129:BA130)</f>
        <v/>
      </c>
      <c r="BB131" s="3900">
        <f>SUM(BB129:BB130)</f>
        <v/>
      </c>
      <c r="BC131" s="3900">
        <f>SUM(BC129:BC130)</f>
        <v/>
      </c>
      <c r="BD131" s="3900">
        <f>SUM(BD129:BD130)</f>
        <v/>
      </c>
      <c r="BE131" s="3900">
        <f>SUM(BE129:BE130)</f>
        <v/>
      </c>
      <c r="BF131" s="3743" t="n"/>
      <c r="BG131" s="3900">
        <f>SUM(BG129:BG130)</f>
        <v/>
      </c>
    </row>
    <row r="132" hidden="1" outlineLevel="2" ht="12" customHeight="1" s="3710">
      <c r="B132" s="3891" t="n"/>
      <c r="C132" s="4012" t="inlineStr">
        <is>
          <t>Accrued salaries</t>
        </is>
      </c>
      <c r="D132" s="3902" t="n">
        <v>202101</v>
      </c>
      <c r="E132" s="3902" t="inlineStr">
        <is>
          <t>202101 - Accrued Salaries</t>
        </is>
      </c>
      <c r="F132" s="3900" t="n"/>
      <c r="G132" s="3900" t="n"/>
      <c r="H132" s="3900" t="n"/>
      <c r="I132" s="3900" t="n"/>
      <c r="J132" s="3900" t="n"/>
      <c r="K132" s="3900" t="n"/>
      <c r="L132" s="3900" t="n"/>
      <c r="M132" s="3900" t="n"/>
      <c r="N132" s="3900" t="n"/>
      <c r="O132" s="3900" t="n"/>
      <c r="P132" s="3900" t="n"/>
      <c r="Q132" s="4200" t="n"/>
      <c r="R132" s="3900" t="n"/>
      <c r="S132" s="3900" t="n"/>
      <c r="T132" s="3900" t="n"/>
      <c r="U132" s="3900" t="n"/>
      <c r="V132" s="3900" t="n"/>
      <c r="W132" s="3900" t="n"/>
      <c r="X132" s="3900" t="n"/>
      <c r="Y132" s="3900" t="n"/>
      <c r="Z132" s="3900" t="n"/>
      <c r="AA132" s="3900" t="n"/>
      <c r="AB132" s="3900" t="n"/>
      <c r="AC132" s="4200" t="n"/>
      <c r="AD132" s="3900" t="n"/>
      <c r="AE132" s="3900" t="n"/>
      <c r="AF132" s="3900" t="n"/>
      <c r="AG132" s="3900" t="n"/>
      <c r="AH132" s="3900" t="n"/>
      <c r="AI132" s="3900" t="n"/>
      <c r="AJ132" s="3900" t="n"/>
      <c r="AK132" s="3900" t="n"/>
      <c r="AL132" s="3900" t="n"/>
      <c r="AM132" s="3900" t="n"/>
      <c r="AN132" s="3900" t="n"/>
      <c r="AO132" s="4200" t="n"/>
      <c r="AP132" s="3900" t="n">
        <v>-408.138</v>
      </c>
      <c r="AQ132" s="3900" t="n">
        <v>-412.501</v>
      </c>
      <c r="AR132" s="3900" t="n">
        <v>-477.55</v>
      </c>
      <c r="AS132" s="3900" t="n">
        <v>-575.361</v>
      </c>
      <c r="AT132" s="3900" t="n">
        <v>-245.07301</v>
      </c>
      <c r="AU132" s="4201" t="n">
        <v>-253.23158</v>
      </c>
      <c r="AV132" s="3900">
        <f>Q132</f>
        <v/>
      </c>
      <c r="AW132" s="3900">
        <f>AC132</f>
        <v/>
      </c>
      <c r="AX132" s="3900">
        <f>AO132</f>
        <v/>
      </c>
      <c r="AY132" s="3900">
        <f>AS132</f>
        <v/>
      </c>
      <c r="AZ132" s="3900">
        <f>AU132</f>
        <v/>
      </c>
      <c r="BA132" s="4202">
        <f>AVERAGE(F132:Q132)</f>
        <v/>
      </c>
      <c r="BB132" s="3900">
        <f>AVERAGE(R132:AC132)</f>
        <v/>
      </c>
      <c r="BC132" s="3900">
        <f>AVERAGE(AD132:AO132)</f>
        <v/>
      </c>
      <c r="BD132" s="3900">
        <f>AVERAGE(AH132:AS132)</f>
        <v/>
      </c>
      <c r="BE132" s="3900">
        <f>AVERAGE(AJ132:AU132)</f>
        <v/>
      </c>
      <c r="BF132" s="3743" t="n"/>
      <c r="BG132" s="3900" t="n">
        <v>-157.131</v>
      </c>
    </row>
    <row r="133" hidden="1" outlineLevel="2" ht="12" customHeight="1" s="3710">
      <c r="B133" s="3891" t="n"/>
      <c r="C133" s="4012" t="inlineStr">
        <is>
          <t>Short term bonus - CY</t>
        </is>
      </c>
      <c r="D133" s="3902" t="n">
        <v>201101</v>
      </c>
      <c r="E133" s="3902" t="inlineStr">
        <is>
          <t>201101 - Short Term Bonus - CY</t>
        </is>
      </c>
      <c r="F133" s="3900" t="n"/>
      <c r="G133" s="3900" t="n"/>
      <c r="H133" s="3900" t="n"/>
      <c r="I133" s="3900" t="n"/>
      <c r="J133" s="3900" t="n"/>
      <c r="K133" s="3900" t="n"/>
      <c r="L133" s="3900" t="n"/>
      <c r="M133" s="3900" t="n"/>
      <c r="N133" s="3900" t="n"/>
      <c r="O133" s="3900" t="n"/>
      <c r="P133" s="3900" t="n"/>
      <c r="Q133" s="4200" t="n"/>
      <c r="R133" s="3900" t="n"/>
      <c r="S133" s="3900" t="n"/>
      <c r="T133" s="3900" t="n"/>
      <c r="U133" s="3900" t="n"/>
      <c r="V133" s="3900" t="n"/>
      <c r="W133" s="3900" t="n"/>
      <c r="X133" s="3900" t="n"/>
      <c r="Y133" s="3900" t="n"/>
      <c r="Z133" s="3900" t="n"/>
      <c r="AA133" s="3900" t="n"/>
      <c r="AB133" s="3900" t="n"/>
      <c r="AC133" s="4200" t="n"/>
      <c r="AD133" s="3900" t="n"/>
      <c r="AE133" s="3900" t="n"/>
      <c r="AF133" s="3900" t="n"/>
      <c r="AG133" s="3900" t="n"/>
      <c r="AH133" s="3900" t="n"/>
      <c r="AI133" s="3900" t="n"/>
      <c r="AJ133" s="3900" t="n"/>
      <c r="AK133" s="3900" t="n"/>
      <c r="AL133" s="3900" t="n"/>
      <c r="AM133" s="3900" t="n"/>
      <c r="AN133" s="3900" t="n"/>
      <c r="AO133" s="4200" t="n"/>
      <c r="AP133" s="3900" t="n">
        <v>-2160.669</v>
      </c>
      <c r="AQ133" s="3900" t="n">
        <v>-523.0119999999999</v>
      </c>
      <c r="AR133" s="3900" t="n">
        <v>-394.01</v>
      </c>
      <c r="AS133" s="3900" t="n">
        <v>-529.13</v>
      </c>
      <c r="AT133" s="3900" t="n">
        <v>-660.25042</v>
      </c>
      <c r="AU133" s="4201" t="n">
        <v>-800.9464400000001</v>
      </c>
      <c r="AV133" s="3900">
        <f>Q133</f>
        <v/>
      </c>
      <c r="AW133" s="3900">
        <f>AC133</f>
        <v/>
      </c>
      <c r="AX133" s="3900">
        <f>AO133</f>
        <v/>
      </c>
      <c r="AY133" s="3900">
        <f>AS133</f>
        <v/>
      </c>
      <c r="AZ133" s="3900">
        <f>AU133</f>
        <v/>
      </c>
      <c r="BA133" s="4202">
        <f>AVERAGE(F133:Q133)</f>
        <v/>
      </c>
      <c r="BB133" s="3900">
        <f>AVERAGE(R133:AC133)</f>
        <v/>
      </c>
      <c r="BC133" s="3900">
        <f>AVERAGE(AD133:AO133)</f>
        <v/>
      </c>
      <c r="BD133" s="3900">
        <f>AVERAGE(AH133:AS133)</f>
        <v/>
      </c>
      <c r="BE133" s="3900">
        <f>AVERAGE(AJ133:AU133)</f>
        <v/>
      </c>
      <c r="BF133" s="3743" t="n"/>
      <c r="BG133" s="3900" t="n">
        <v>-1139.823</v>
      </c>
    </row>
    <row r="134" hidden="1" outlineLevel="2" ht="12" customHeight="1" s="3710">
      <c r="B134" s="3891" t="n"/>
      <c r="C134" s="4012" t="inlineStr">
        <is>
          <t>Accrued vacation payable</t>
        </is>
      </c>
      <c r="D134" s="3902" t="n">
        <v>202201</v>
      </c>
      <c r="E134" s="3902" t="inlineStr">
        <is>
          <t>202201 - Accrued Vacation Payable</t>
        </is>
      </c>
      <c r="F134" s="3900" t="n"/>
      <c r="G134" s="3900" t="n"/>
      <c r="H134" s="3900" t="n"/>
      <c r="I134" s="3900" t="n"/>
      <c r="J134" s="3900" t="n"/>
      <c r="K134" s="3900" t="n"/>
      <c r="L134" s="3900" t="n"/>
      <c r="M134" s="3900" t="n"/>
      <c r="N134" s="3900" t="n"/>
      <c r="O134" s="3900" t="n"/>
      <c r="P134" s="3900" t="n"/>
      <c r="Q134" s="4200" t="n"/>
      <c r="R134" s="3900" t="n"/>
      <c r="S134" s="3900" t="n"/>
      <c r="T134" s="3900" t="n"/>
      <c r="U134" s="3900" t="n"/>
      <c r="V134" s="3900" t="n"/>
      <c r="W134" s="3900" t="n"/>
      <c r="X134" s="3900" t="n"/>
      <c r="Y134" s="3900" t="n"/>
      <c r="Z134" s="3900" t="n"/>
      <c r="AA134" s="3900" t="n"/>
      <c r="AB134" s="3900" t="n"/>
      <c r="AC134" s="4200" t="n"/>
      <c r="AD134" s="3900" t="n"/>
      <c r="AE134" s="3900" t="n"/>
      <c r="AF134" s="3900" t="n"/>
      <c r="AG134" s="3900" t="n"/>
      <c r="AH134" s="3900" t="n"/>
      <c r="AI134" s="3900" t="n"/>
      <c r="AJ134" s="3900" t="n"/>
      <c r="AK134" s="3900" t="n"/>
      <c r="AL134" s="3900" t="n"/>
      <c r="AM134" s="3900" t="n"/>
      <c r="AN134" s="3900" t="n"/>
      <c r="AO134" s="4200" t="n"/>
      <c r="AP134" s="3900" t="n">
        <v>-186.639</v>
      </c>
      <c r="AQ134" s="3900" t="n">
        <v>-186.639</v>
      </c>
      <c r="AR134" s="3900" t="n">
        <v>-186.639</v>
      </c>
      <c r="AS134" s="3900" t="n">
        <v>-192.854</v>
      </c>
      <c r="AT134" s="3900" t="n">
        <v>-192.85393</v>
      </c>
      <c r="AU134" s="4201" t="n">
        <v>-197.1997</v>
      </c>
      <c r="AV134" s="3900">
        <f>Q134</f>
        <v/>
      </c>
      <c r="AW134" s="3900">
        <f>AC134</f>
        <v/>
      </c>
      <c r="AX134" s="3900">
        <f>AO134</f>
        <v/>
      </c>
      <c r="AY134" s="3900">
        <f>AS134</f>
        <v/>
      </c>
      <c r="AZ134" s="3900">
        <f>AU134</f>
        <v/>
      </c>
      <c r="BA134" s="4202">
        <f>AVERAGE(F134:Q134)</f>
        <v/>
      </c>
      <c r="BB134" s="3900">
        <f>AVERAGE(R134:AC134)</f>
        <v/>
      </c>
      <c r="BC134" s="3900">
        <f>AVERAGE(AD134:AO134)</f>
        <v/>
      </c>
      <c r="BD134" s="3900">
        <f>AVERAGE(AH134:AS134)</f>
        <v/>
      </c>
      <c r="BE134" s="3900">
        <f>AVERAGE(AJ134:AU134)</f>
        <v/>
      </c>
      <c r="BF134" s="3743" t="n"/>
      <c r="BG134" s="3900" t="n">
        <v>-169.273</v>
      </c>
    </row>
    <row r="135" hidden="1" outlineLevel="2" ht="12" customHeight="1" s="3710">
      <c r="B135" s="3891" t="n"/>
      <c r="C135" s="4012" t="inlineStr">
        <is>
          <t>Health spending account</t>
        </is>
      </c>
      <c r="D135" s="3902" t="n">
        <v>205331</v>
      </c>
      <c r="E135" s="3902" t="inlineStr">
        <is>
          <t>205331 - Health Spending Account</t>
        </is>
      </c>
      <c r="F135" s="3900" t="n"/>
      <c r="G135" s="3900" t="n"/>
      <c r="H135" s="3900" t="n"/>
      <c r="I135" s="3900" t="n"/>
      <c r="J135" s="3900" t="n"/>
      <c r="K135" s="3900" t="n"/>
      <c r="L135" s="3900" t="n"/>
      <c r="M135" s="3900" t="n"/>
      <c r="N135" s="3900" t="n"/>
      <c r="O135" s="3900" t="n"/>
      <c r="P135" s="3900" t="n"/>
      <c r="Q135" s="4200" t="n"/>
      <c r="R135" s="3900" t="n"/>
      <c r="S135" s="3900" t="n"/>
      <c r="T135" s="3900" t="n"/>
      <c r="U135" s="3900" t="n"/>
      <c r="V135" s="3900" t="n"/>
      <c r="W135" s="3900" t="n"/>
      <c r="X135" s="3900" t="n"/>
      <c r="Y135" s="3900" t="n"/>
      <c r="Z135" s="3900" t="n"/>
      <c r="AA135" s="3900" t="n"/>
      <c r="AB135" s="3900" t="n"/>
      <c r="AC135" s="4200" t="n"/>
      <c r="AD135" s="3900" t="n"/>
      <c r="AE135" s="3900" t="n"/>
      <c r="AF135" s="3900" t="n"/>
      <c r="AG135" s="3900" t="n"/>
      <c r="AH135" s="3900" t="n"/>
      <c r="AI135" s="3900" t="n"/>
      <c r="AJ135" s="3900" t="n"/>
      <c r="AK135" s="3900" t="n"/>
      <c r="AL135" s="3900" t="n"/>
      <c r="AM135" s="3900" t="n"/>
      <c r="AN135" s="3900" t="n"/>
      <c r="AO135" s="4200" t="n"/>
      <c r="AP135" s="3900" t="n">
        <v>-118.683</v>
      </c>
      <c r="AQ135" s="3900" t="n">
        <v>-105.555</v>
      </c>
      <c r="AR135" s="3900" t="n">
        <v>-90.169</v>
      </c>
      <c r="AS135" s="3900" t="n">
        <v>-101.225</v>
      </c>
      <c r="AT135" s="3900" t="n">
        <v>-103.31207</v>
      </c>
      <c r="AU135" s="4201" t="n">
        <v>-103.07549</v>
      </c>
      <c r="AV135" s="3900">
        <f>Q135</f>
        <v/>
      </c>
      <c r="AW135" s="3900">
        <f>AC135</f>
        <v/>
      </c>
      <c r="AX135" s="3900">
        <f>AO135</f>
        <v/>
      </c>
      <c r="AY135" s="3900">
        <f>AS135</f>
        <v/>
      </c>
      <c r="AZ135" s="3900">
        <f>AU135</f>
        <v/>
      </c>
      <c r="BA135" s="4202">
        <f>AVERAGE(F135:Q135)</f>
        <v/>
      </c>
      <c r="BB135" s="3900">
        <f>AVERAGE(R135:AC135)</f>
        <v/>
      </c>
      <c r="BC135" s="3900">
        <f>AVERAGE(AD135:AO135)</f>
        <v/>
      </c>
      <c r="BD135" s="3900">
        <f>AVERAGE(AH135:AS135)</f>
        <v/>
      </c>
      <c r="BE135" s="3900">
        <f>AVERAGE(AJ135:AU135)</f>
        <v/>
      </c>
      <c r="BF135" s="3743" t="n"/>
      <c r="BG135" s="3900" t="n">
        <v>-111.518</v>
      </c>
    </row>
    <row r="136" hidden="1" outlineLevel="2" ht="12" customHeight="1" s="3710">
      <c r="B136" s="3891" t="n"/>
      <c r="C136" s="4012" t="inlineStr">
        <is>
          <t>Severance liability</t>
        </is>
      </c>
      <c r="D136" s="3902" t="n">
        <v>214119</v>
      </c>
      <c r="E136" s="3902" t="inlineStr">
        <is>
          <t>214119 - Severance Liability</t>
        </is>
      </c>
      <c r="F136" s="3900" t="n"/>
      <c r="G136" s="3900" t="n"/>
      <c r="H136" s="3900" t="n"/>
      <c r="I136" s="3900" t="n"/>
      <c r="J136" s="3900" t="n"/>
      <c r="K136" s="3900" t="n"/>
      <c r="L136" s="3900" t="n"/>
      <c r="M136" s="3900" t="n"/>
      <c r="N136" s="3900" t="n"/>
      <c r="O136" s="3900" t="n"/>
      <c r="P136" s="3900" t="n"/>
      <c r="Q136" s="4200" t="n"/>
      <c r="R136" s="3900" t="n"/>
      <c r="S136" s="3900" t="n"/>
      <c r="T136" s="3900" t="n"/>
      <c r="U136" s="3900" t="n"/>
      <c r="V136" s="3900" t="n"/>
      <c r="W136" s="3900" t="n"/>
      <c r="X136" s="3900" t="n"/>
      <c r="Y136" s="3900" t="n"/>
      <c r="Z136" s="3900" t="n"/>
      <c r="AA136" s="3900" t="n"/>
      <c r="AB136" s="3900" t="n"/>
      <c r="AC136" s="4200" t="n"/>
      <c r="AD136" s="3900" t="n"/>
      <c r="AE136" s="3900" t="n"/>
      <c r="AF136" s="3900" t="n"/>
      <c r="AG136" s="3900" t="n"/>
      <c r="AH136" s="3900" t="n"/>
      <c r="AI136" s="3900" t="n"/>
      <c r="AJ136" s="3900" t="n"/>
      <c r="AK136" s="3900" t="n"/>
      <c r="AL136" s="3900" t="n"/>
      <c r="AM136" s="3900" t="n"/>
      <c r="AN136" s="3900" t="n"/>
      <c r="AO136" s="4200" t="n"/>
      <c r="AP136" s="3900" t="n">
        <v>-38.56</v>
      </c>
      <c r="AQ136" s="3900" t="n">
        <v>-55.868</v>
      </c>
      <c r="AR136" s="3900" t="n">
        <v>-1.5</v>
      </c>
      <c r="AS136" s="3900" t="n">
        <v>-1.5</v>
      </c>
      <c r="AT136" s="3900" t="n">
        <v>-1.49954</v>
      </c>
      <c r="AU136" s="4201" t="n">
        <v>-1.49954</v>
      </c>
      <c r="AV136" s="3900">
        <f>Q136</f>
        <v/>
      </c>
      <c r="AW136" s="3900">
        <f>AC136</f>
        <v/>
      </c>
      <c r="AX136" s="3900">
        <f>AO136</f>
        <v/>
      </c>
      <c r="AY136" s="3900">
        <f>AS136</f>
        <v/>
      </c>
      <c r="AZ136" s="3900">
        <f>AU136</f>
        <v/>
      </c>
      <c r="BA136" s="4202">
        <f>AVERAGE(F136:Q136)</f>
        <v/>
      </c>
      <c r="BB136" s="3900">
        <f>AVERAGE(R136:AC136)</f>
        <v/>
      </c>
      <c r="BC136" s="3900">
        <f>AVERAGE(AD136:AO136)</f>
        <v/>
      </c>
      <c r="BD136" s="3900">
        <f>AVERAGE(AH136:AS136)</f>
        <v/>
      </c>
      <c r="BE136" s="3900">
        <f>AVERAGE(AJ136:AU136)</f>
        <v/>
      </c>
      <c r="BF136" s="3743" t="n"/>
      <c r="BG136" s="3900" t="n">
        <v>0</v>
      </c>
    </row>
    <row r="137" hidden="1" outlineLevel="2" ht="12" customHeight="1" s="3710">
      <c r="B137" s="3891" t="n"/>
      <c r="C137" s="4012" t="inlineStr">
        <is>
          <t>Miscellaneous payroll liabilities</t>
        </is>
      </c>
      <c r="D137" s="3902" t="n">
        <v>205151</v>
      </c>
      <c r="E137" s="3902" t="inlineStr">
        <is>
          <t>205151 - Miscellaneous Payroll Liabilities</t>
        </is>
      </c>
      <c r="F137" s="3900" t="n"/>
      <c r="G137" s="3900" t="n"/>
      <c r="H137" s="3900" t="n"/>
      <c r="I137" s="3900" t="n"/>
      <c r="J137" s="3900" t="n"/>
      <c r="K137" s="3900" t="n"/>
      <c r="L137" s="3900" t="n"/>
      <c r="M137" s="3900" t="n"/>
      <c r="N137" s="3900" t="n"/>
      <c r="O137" s="3900" t="n"/>
      <c r="P137" s="3900" t="n"/>
      <c r="Q137" s="4200" t="n"/>
      <c r="R137" s="3900" t="n"/>
      <c r="S137" s="3900" t="n"/>
      <c r="T137" s="3900" t="n"/>
      <c r="U137" s="3900" t="n"/>
      <c r="V137" s="3900" t="n"/>
      <c r="W137" s="3900" t="n"/>
      <c r="X137" s="3900" t="n"/>
      <c r="Y137" s="3900" t="n"/>
      <c r="Z137" s="3900" t="n"/>
      <c r="AA137" s="3900" t="n"/>
      <c r="AB137" s="3900" t="n"/>
      <c r="AC137" s="4200" t="n"/>
      <c r="AD137" s="3900" t="n"/>
      <c r="AE137" s="3900" t="n"/>
      <c r="AF137" s="3900" t="n"/>
      <c r="AG137" s="3900" t="n"/>
      <c r="AH137" s="3900" t="n"/>
      <c r="AI137" s="3900" t="n"/>
      <c r="AJ137" s="3900" t="n"/>
      <c r="AK137" s="3900" t="n"/>
      <c r="AL137" s="3900" t="n"/>
      <c r="AM137" s="3900" t="n"/>
      <c r="AN137" s="3900" t="n"/>
      <c r="AO137" s="4200" t="n"/>
      <c r="AP137" s="3900" t="n">
        <v>-0.132</v>
      </c>
      <c r="AQ137" s="3900" t="n">
        <v>-0.572</v>
      </c>
      <c r="AR137" s="3900" t="n">
        <v>-0.991</v>
      </c>
      <c r="AS137" s="3900" t="n">
        <v>-1.411</v>
      </c>
      <c r="AT137" s="3900" t="n">
        <v>-1.93385</v>
      </c>
      <c r="AU137" s="4201" t="n">
        <v>-2.38618</v>
      </c>
      <c r="AV137" s="3900">
        <f>Q137</f>
        <v/>
      </c>
      <c r="AW137" s="3900">
        <f>AC137</f>
        <v/>
      </c>
      <c r="AX137" s="3900">
        <f>AO137</f>
        <v/>
      </c>
      <c r="AY137" s="3900">
        <f>AS137</f>
        <v/>
      </c>
      <c r="AZ137" s="3900">
        <f>AU137</f>
        <v/>
      </c>
      <c r="BA137" s="4202">
        <f>AVERAGE(F137:Q137)</f>
        <v/>
      </c>
      <c r="BB137" s="3900">
        <f>AVERAGE(R137:AC137)</f>
        <v/>
      </c>
      <c r="BC137" s="3900">
        <f>AVERAGE(AD137:AO137)</f>
        <v/>
      </c>
      <c r="BD137" s="3900">
        <f>AVERAGE(AH137:AS137)</f>
        <v/>
      </c>
      <c r="BE137" s="3900">
        <f>AVERAGE(AJ137:AU137)</f>
        <v/>
      </c>
      <c r="BF137" s="3743" t="n"/>
      <c r="BG137" s="3900" t="n">
        <v>-0.907</v>
      </c>
    </row>
    <row r="138" hidden="1" outlineLevel="2" ht="12" customHeight="1" s="3710">
      <c r="B138" s="3891" t="n"/>
      <c r="C138" s="4012" t="inlineStr">
        <is>
          <t>Payroll taxes/ded conv acct</t>
        </is>
      </c>
      <c r="D138" s="3902" t="n">
        <v>205645</v>
      </c>
      <c r="E138" s="3902" t="inlineStr">
        <is>
          <t>205645 - Payroll Taxes/Ded Conv Acct</t>
        </is>
      </c>
      <c r="F138" s="3900" t="n"/>
      <c r="G138" s="3900" t="n"/>
      <c r="H138" s="3900" t="n"/>
      <c r="I138" s="3900" t="n"/>
      <c r="J138" s="3900" t="n"/>
      <c r="K138" s="3900" t="n"/>
      <c r="L138" s="3900" t="n"/>
      <c r="M138" s="3900" t="n"/>
      <c r="N138" s="3900" t="n"/>
      <c r="O138" s="3900" t="n"/>
      <c r="P138" s="3900" t="n"/>
      <c r="Q138" s="4200" t="n"/>
      <c r="R138" s="3900" t="n"/>
      <c r="S138" s="3900" t="n"/>
      <c r="T138" s="3900" t="n"/>
      <c r="U138" s="3900" t="n"/>
      <c r="V138" s="3900" t="n"/>
      <c r="W138" s="3900" t="n"/>
      <c r="X138" s="3900" t="n"/>
      <c r="Y138" s="3900" t="n"/>
      <c r="Z138" s="3900" t="n"/>
      <c r="AA138" s="3900" t="n"/>
      <c r="AB138" s="3900" t="n"/>
      <c r="AC138" s="4200" t="n"/>
      <c r="AD138" s="3900" t="n"/>
      <c r="AE138" s="3900" t="n"/>
      <c r="AF138" s="3900" t="n"/>
      <c r="AG138" s="3900" t="n"/>
      <c r="AH138" s="3900" t="n"/>
      <c r="AI138" s="3900" t="n"/>
      <c r="AJ138" s="3900" t="n"/>
      <c r="AK138" s="3900" t="n"/>
      <c r="AL138" s="3900" t="n"/>
      <c r="AM138" s="3900" t="n"/>
      <c r="AN138" s="3900" t="n"/>
      <c r="AO138" s="4200" t="n"/>
      <c r="AP138" s="3900" t="n">
        <v>0</v>
      </c>
      <c r="AQ138" s="3900" t="n">
        <v>0</v>
      </c>
      <c r="AR138" s="3900" t="n">
        <v>0</v>
      </c>
      <c r="AS138" s="3900" t="n">
        <v>0</v>
      </c>
      <c r="AT138" s="3900" t="n">
        <v>0</v>
      </c>
      <c r="AU138" s="4201" t="n">
        <v>0</v>
      </c>
      <c r="AV138" s="3900">
        <f>Q138</f>
        <v/>
      </c>
      <c r="AW138" s="3900">
        <f>AC138</f>
        <v/>
      </c>
      <c r="AX138" s="3900">
        <f>AO138</f>
        <v/>
      </c>
      <c r="AY138" s="3900">
        <f>AS138</f>
        <v/>
      </c>
      <c r="AZ138" s="3900">
        <f>AU138</f>
        <v/>
      </c>
      <c r="BA138" s="4202">
        <f>AVERAGE(F138:Q138)</f>
        <v/>
      </c>
      <c r="BB138" s="3900">
        <f>AVERAGE(R138:AC138)</f>
        <v/>
      </c>
      <c r="BC138" s="3900">
        <f>AVERAGE(AD138:AO138)</f>
        <v/>
      </c>
      <c r="BD138" s="3900">
        <f>AVERAGE(AH138:AS138)</f>
        <v/>
      </c>
      <c r="BE138" s="3900">
        <f>AVERAGE(AJ138:AU138)</f>
        <v/>
      </c>
      <c r="BF138" s="3743" t="n"/>
      <c r="BG138" s="3900" t="n">
        <v>0</v>
      </c>
    </row>
    <row r="139" hidden="1" outlineLevel="2" ht="12" customHeight="1" s="3710">
      <c r="B139" s="3891" t="n"/>
      <c r="C139" s="4012" t="inlineStr">
        <is>
          <t>Supplemental exec pension-payable</t>
        </is>
      </c>
      <c r="D139" s="3902" t="n">
        <v>205625</v>
      </c>
      <c r="E139" s="3902" t="inlineStr">
        <is>
          <t>205625 - Supplemental Exec Pension-Payable</t>
        </is>
      </c>
      <c r="F139" s="3900" t="n"/>
      <c r="G139" s="3900" t="n"/>
      <c r="H139" s="3900" t="n"/>
      <c r="I139" s="3900" t="n"/>
      <c r="J139" s="3900" t="n"/>
      <c r="K139" s="3900" t="n"/>
      <c r="L139" s="3900" t="n"/>
      <c r="M139" s="3900" t="n"/>
      <c r="N139" s="3900" t="n"/>
      <c r="O139" s="3900" t="n"/>
      <c r="P139" s="3900" t="n"/>
      <c r="Q139" s="4200" t="n"/>
      <c r="R139" s="3900" t="n"/>
      <c r="S139" s="3900" t="n"/>
      <c r="T139" s="3900" t="n"/>
      <c r="U139" s="3900" t="n"/>
      <c r="V139" s="3900" t="n"/>
      <c r="W139" s="3900" t="n"/>
      <c r="X139" s="3900" t="n"/>
      <c r="Y139" s="3900" t="n"/>
      <c r="Z139" s="3900" t="n"/>
      <c r="AA139" s="3900" t="n"/>
      <c r="AB139" s="3900" t="n"/>
      <c r="AC139" s="4200" t="n"/>
      <c r="AD139" s="3900" t="n"/>
      <c r="AE139" s="3900" t="n"/>
      <c r="AF139" s="3900" t="n"/>
      <c r="AG139" s="3900" t="n"/>
      <c r="AH139" s="3900" t="n"/>
      <c r="AI139" s="3900" t="n"/>
      <c r="AJ139" s="3900" t="n"/>
      <c r="AK139" s="3900" t="n"/>
      <c r="AL139" s="3900" t="n"/>
      <c r="AM139" s="3900" t="n"/>
      <c r="AN139" s="3900" t="n"/>
      <c r="AO139" s="4200" t="n"/>
      <c r="AP139" s="3900" t="n">
        <v>0</v>
      </c>
      <c r="AQ139" s="3900" t="n">
        <v>0</v>
      </c>
      <c r="AR139" s="3900" t="n">
        <v>0</v>
      </c>
      <c r="AS139" s="3900" t="n">
        <v>0</v>
      </c>
      <c r="AT139" s="3900" t="n">
        <v>0</v>
      </c>
      <c r="AU139" s="4201" t="n">
        <v>0</v>
      </c>
      <c r="AV139" s="3900">
        <f>Q139</f>
        <v/>
      </c>
      <c r="AW139" s="3900">
        <f>AC139</f>
        <v/>
      </c>
      <c r="AX139" s="3900">
        <f>AO139</f>
        <v/>
      </c>
      <c r="AY139" s="3900">
        <f>AS139</f>
        <v/>
      </c>
      <c r="AZ139" s="3900">
        <f>AU139</f>
        <v/>
      </c>
      <c r="BA139" s="4202">
        <f>AVERAGE(F139:Q139)</f>
        <v/>
      </c>
      <c r="BB139" s="3900">
        <f>AVERAGE(R139:AC139)</f>
        <v/>
      </c>
      <c r="BC139" s="3900">
        <f>AVERAGE(AD139:AO139)</f>
        <v/>
      </c>
      <c r="BD139" s="3900">
        <f>AVERAGE(AH139:AS139)</f>
        <v/>
      </c>
      <c r="BE139" s="3900">
        <f>AVERAGE(AJ139:AU139)</f>
        <v/>
      </c>
      <c r="BF139" s="3743" t="n"/>
      <c r="BG139" s="3900" t="n">
        <v>-0.6899999999999999</v>
      </c>
    </row>
    <row r="140" hidden="1" outlineLevel="2" ht="12" customHeight="1" s="3710">
      <c r="B140" s="3891" t="n"/>
      <c r="C140" s="4012" t="inlineStr">
        <is>
          <t>Rrsp contribution liability- - sunlife</t>
        </is>
      </c>
      <c r="D140" s="3902" t="n">
        <v>205630</v>
      </c>
      <c r="E140" s="3902" t="inlineStr">
        <is>
          <t>205630 - RRSP Contribution Liability- - SunLife</t>
        </is>
      </c>
      <c r="F140" s="3900" t="n"/>
      <c r="G140" s="3900" t="n"/>
      <c r="H140" s="3900" t="n"/>
      <c r="I140" s="3900" t="n"/>
      <c r="J140" s="3900" t="n"/>
      <c r="K140" s="3900" t="n"/>
      <c r="L140" s="3900" t="n"/>
      <c r="M140" s="3900" t="n"/>
      <c r="N140" s="3900" t="n"/>
      <c r="O140" s="3900" t="n"/>
      <c r="P140" s="3900" t="n"/>
      <c r="Q140" s="4200" t="n"/>
      <c r="R140" s="3900" t="n"/>
      <c r="S140" s="3900" t="n"/>
      <c r="T140" s="3900" t="n"/>
      <c r="U140" s="3900" t="n"/>
      <c r="V140" s="3900" t="n"/>
      <c r="W140" s="3900" t="n"/>
      <c r="X140" s="3900" t="n"/>
      <c r="Y140" s="3900" t="n"/>
      <c r="Z140" s="3900" t="n"/>
      <c r="AA140" s="3900" t="n"/>
      <c r="AB140" s="3900" t="n"/>
      <c r="AC140" s="4200" t="n"/>
      <c r="AD140" s="3900" t="n"/>
      <c r="AE140" s="3900" t="n"/>
      <c r="AF140" s="3900" t="n"/>
      <c r="AG140" s="3900" t="n"/>
      <c r="AH140" s="3900" t="n"/>
      <c r="AI140" s="3900" t="n"/>
      <c r="AJ140" s="3900" t="n"/>
      <c r="AK140" s="3900" t="n"/>
      <c r="AL140" s="3900" t="n"/>
      <c r="AM140" s="3900" t="n"/>
      <c r="AN140" s="3900" t="n"/>
      <c r="AO140" s="4200" t="n"/>
      <c r="AP140" s="3900" t="n">
        <v>0</v>
      </c>
      <c r="AQ140" s="3900" t="n">
        <v>0</v>
      </c>
      <c r="AR140" s="3900" t="n">
        <v>0</v>
      </c>
      <c r="AS140" s="3900" t="n">
        <v>0</v>
      </c>
      <c r="AT140" s="3900" t="n">
        <v>0</v>
      </c>
      <c r="AU140" s="4201" t="n">
        <v>0</v>
      </c>
      <c r="AV140" s="3900">
        <f>Q140</f>
        <v/>
      </c>
      <c r="AW140" s="3900">
        <f>AC140</f>
        <v/>
      </c>
      <c r="AX140" s="3900">
        <f>AO140</f>
        <v/>
      </c>
      <c r="AY140" s="3900">
        <f>AS140</f>
        <v/>
      </c>
      <c r="AZ140" s="3900">
        <f>AU140</f>
        <v/>
      </c>
      <c r="BA140" s="4202">
        <f>AVERAGE(F140:Q140)</f>
        <v/>
      </c>
      <c r="BB140" s="3900">
        <f>AVERAGE(R140:AC140)</f>
        <v/>
      </c>
      <c r="BC140" s="3900">
        <f>AVERAGE(AD140:AO140)</f>
        <v/>
      </c>
      <c r="BD140" s="3900">
        <f>AVERAGE(AH140:AS140)</f>
        <v/>
      </c>
      <c r="BE140" s="3900">
        <f>AVERAGE(AJ140:AU140)</f>
        <v/>
      </c>
      <c r="BF140" s="3743" t="n"/>
      <c r="BG140" s="3900" t="n">
        <v>0</v>
      </c>
    </row>
    <row r="141" hidden="1" outlineLevel="2" ht="12" customHeight="1" s="3710">
      <c r="B141" s="3891" t="n"/>
      <c r="C141" s="4012" t="inlineStr">
        <is>
          <t>Canada pension plan payable</t>
        </is>
      </c>
      <c r="D141" s="3902" t="n">
        <v>205621</v>
      </c>
      <c r="E141" s="3902" t="inlineStr">
        <is>
          <t>205621 - Canada Pension Plan Payable</t>
        </is>
      </c>
      <c r="F141" s="3900" t="n"/>
      <c r="G141" s="3900" t="n"/>
      <c r="H141" s="3900" t="n"/>
      <c r="I141" s="3900" t="n"/>
      <c r="J141" s="3900" t="n"/>
      <c r="K141" s="3900" t="n"/>
      <c r="L141" s="3900" t="n"/>
      <c r="M141" s="3900" t="n"/>
      <c r="N141" s="3900" t="n"/>
      <c r="O141" s="3900" t="n"/>
      <c r="P141" s="3900" t="n"/>
      <c r="Q141" s="4200" t="n"/>
      <c r="R141" s="3900" t="n"/>
      <c r="S141" s="3900" t="n"/>
      <c r="T141" s="3900" t="n"/>
      <c r="U141" s="3900" t="n"/>
      <c r="V141" s="3900" t="n"/>
      <c r="W141" s="3900" t="n"/>
      <c r="X141" s="3900" t="n"/>
      <c r="Y141" s="3900" t="n"/>
      <c r="Z141" s="3900" t="n"/>
      <c r="AA141" s="3900" t="n"/>
      <c r="AB141" s="3900" t="n"/>
      <c r="AC141" s="4200" t="n"/>
      <c r="AD141" s="3900" t="n"/>
      <c r="AE141" s="3900" t="n"/>
      <c r="AF141" s="3900" t="n"/>
      <c r="AG141" s="3900" t="n"/>
      <c r="AH141" s="3900" t="n"/>
      <c r="AI141" s="3900" t="n"/>
      <c r="AJ141" s="3900" t="n"/>
      <c r="AK141" s="3900" t="n"/>
      <c r="AL141" s="3900" t="n"/>
      <c r="AM141" s="3900" t="n"/>
      <c r="AN141" s="3900" t="n"/>
      <c r="AO141" s="4200" t="n"/>
      <c r="AP141" s="3900" t="n">
        <v>0</v>
      </c>
      <c r="AQ141" s="3900" t="n">
        <v>0</v>
      </c>
      <c r="AR141" s="3900" t="n">
        <v>0</v>
      </c>
      <c r="AS141" s="3900" t="n">
        <v>0</v>
      </c>
      <c r="AT141" s="3900" t="n">
        <v>0</v>
      </c>
      <c r="AU141" s="4201" t="n">
        <v>0</v>
      </c>
      <c r="AV141" s="3900">
        <f>Q141</f>
        <v/>
      </c>
      <c r="AW141" s="3900">
        <f>AC141</f>
        <v/>
      </c>
      <c r="AX141" s="3900">
        <f>AO141</f>
        <v/>
      </c>
      <c r="AY141" s="3900">
        <f>AS141</f>
        <v/>
      </c>
      <c r="AZ141" s="3900">
        <f>AU141</f>
        <v/>
      </c>
      <c r="BA141" s="4202">
        <f>AVERAGE(F141:Q141)</f>
        <v/>
      </c>
      <c r="BB141" s="3900">
        <f>AVERAGE(R141:AC141)</f>
        <v/>
      </c>
      <c r="BC141" s="3900">
        <f>AVERAGE(AD141:AO141)</f>
        <v/>
      </c>
      <c r="BD141" s="3900">
        <f>AVERAGE(AH141:AS141)</f>
        <v/>
      </c>
      <c r="BE141" s="3900">
        <f>AVERAGE(AJ141:AU141)</f>
        <v/>
      </c>
      <c r="BF141" s="3743" t="n"/>
      <c r="BG141" s="3900" t="n">
        <v>0.608</v>
      </c>
    </row>
    <row r="142" hidden="1" outlineLevel="2" ht="12" customHeight="1" s="3710">
      <c r="B142" s="3891" t="n"/>
      <c r="C142" s="4012" t="inlineStr">
        <is>
          <t>Employee govt garnishments payable</t>
        </is>
      </c>
      <c r="D142" s="3902" t="n">
        <v>205699</v>
      </c>
      <c r="E142" s="3902" t="inlineStr">
        <is>
          <t>205699 - -Employee Govt Garnishments Payable</t>
        </is>
      </c>
      <c r="F142" s="3900" t="n"/>
      <c r="G142" s="3900" t="n"/>
      <c r="H142" s="3900" t="n"/>
      <c r="I142" s="3900" t="n"/>
      <c r="J142" s="3900" t="n"/>
      <c r="K142" s="3900" t="n"/>
      <c r="L142" s="3900" t="n"/>
      <c r="M142" s="3900" t="n"/>
      <c r="N142" s="3900" t="n"/>
      <c r="O142" s="3900" t="n"/>
      <c r="P142" s="3900" t="n"/>
      <c r="Q142" s="4200" t="n"/>
      <c r="R142" s="3900" t="n"/>
      <c r="S142" s="3900" t="n"/>
      <c r="T142" s="3900" t="n"/>
      <c r="U142" s="3900" t="n"/>
      <c r="V142" s="3900" t="n"/>
      <c r="W142" s="3900" t="n"/>
      <c r="X142" s="3900" t="n"/>
      <c r="Y142" s="3900" t="n"/>
      <c r="Z142" s="3900" t="n"/>
      <c r="AA142" s="3900" t="n"/>
      <c r="AB142" s="3900" t="n"/>
      <c r="AC142" s="4200" t="n"/>
      <c r="AD142" s="3900" t="n"/>
      <c r="AE142" s="3900" t="n"/>
      <c r="AF142" s="3900" t="n"/>
      <c r="AG142" s="3900" t="n"/>
      <c r="AH142" s="3900" t="n"/>
      <c r="AI142" s="3900" t="n"/>
      <c r="AJ142" s="3900" t="n"/>
      <c r="AK142" s="3900" t="n"/>
      <c r="AL142" s="3900" t="n"/>
      <c r="AM142" s="3900" t="n"/>
      <c r="AN142" s="3900" t="n"/>
      <c r="AO142" s="4200" t="n"/>
      <c r="AP142" s="3900" t="n">
        <v>0</v>
      </c>
      <c r="AQ142" s="3900" t="n">
        <v>0</v>
      </c>
      <c r="AR142" s="3900" t="n">
        <v>0</v>
      </c>
      <c r="AS142" s="3900" t="n">
        <v>0</v>
      </c>
      <c r="AT142" s="3900" t="n">
        <v>0</v>
      </c>
      <c r="AU142" s="4201" t="n">
        <v>0</v>
      </c>
      <c r="AV142" s="3900">
        <f>Q142</f>
        <v/>
      </c>
      <c r="AW142" s="3900">
        <f>AC142</f>
        <v/>
      </c>
      <c r="AX142" s="3900">
        <f>AO142</f>
        <v/>
      </c>
      <c r="AY142" s="3900">
        <f>AS142</f>
        <v/>
      </c>
      <c r="AZ142" s="3900">
        <f>AU142</f>
        <v/>
      </c>
      <c r="BA142" s="4202">
        <f>AVERAGE(F142:Q142)</f>
        <v/>
      </c>
      <c r="BB142" s="3900">
        <f>AVERAGE(R142:AC142)</f>
        <v/>
      </c>
      <c r="BC142" s="3900">
        <f>AVERAGE(AD142:AO142)</f>
        <v/>
      </c>
      <c r="BD142" s="3900">
        <f>AVERAGE(AH142:AS142)</f>
        <v/>
      </c>
      <c r="BE142" s="3900">
        <f>AVERAGE(AJ142:AU142)</f>
        <v/>
      </c>
      <c r="BF142" s="3743" t="n"/>
      <c r="BG142" s="3900" t="n">
        <v>0</v>
      </c>
    </row>
    <row r="143" hidden="1" outlineLevel="2" ht="12" customHeight="1" s="3710">
      <c r="B143" s="3891" t="n"/>
      <c r="C143" s="4012" t="inlineStr">
        <is>
          <t>Payroll clearing account</t>
        </is>
      </c>
      <c r="D143" s="3902" t="n">
        <v>205199</v>
      </c>
      <c r="E143" s="3902" t="inlineStr">
        <is>
          <t>205199 - Payroll Clearing Account</t>
        </is>
      </c>
      <c r="F143" s="3900" t="n"/>
      <c r="G143" s="3900" t="n"/>
      <c r="H143" s="3900" t="n"/>
      <c r="I143" s="3900" t="n"/>
      <c r="J143" s="3900" t="n"/>
      <c r="K143" s="3900" t="n"/>
      <c r="L143" s="3900" t="n"/>
      <c r="M143" s="3900" t="n"/>
      <c r="N143" s="3900" t="n"/>
      <c r="O143" s="3900" t="n"/>
      <c r="P143" s="3900" t="n"/>
      <c r="Q143" s="4200" t="n"/>
      <c r="R143" s="3900" t="n"/>
      <c r="S143" s="3900" t="n"/>
      <c r="T143" s="3900" t="n"/>
      <c r="U143" s="3900" t="n"/>
      <c r="V143" s="3900" t="n"/>
      <c r="W143" s="3900" t="n"/>
      <c r="X143" s="3900" t="n"/>
      <c r="Y143" s="3900" t="n"/>
      <c r="Z143" s="3900" t="n"/>
      <c r="AA143" s="3900" t="n"/>
      <c r="AB143" s="3900" t="n"/>
      <c r="AC143" s="4200" t="n"/>
      <c r="AD143" s="3900" t="n"/>
      <c r="AE143" s="3900" t="n"/>
      <c r="AF143" s="3900" t="n"/>
      <c r="AG143" s="3900" t="n"/>
      <c r="AH143" s="3900" t="n"/>
      <c r="AI143" s="3900" t="n"/>
      <c r="AJ143" s="3900" t="n"/>
      <c r="AK143" s="3900" t="n"/>
      <c r="AL143" s="3900" t="n"/>
      <c r="AM143" s="3900" t="n"/>
      <c r="AN143" s="3900" t="n"/>
      <c r="AO143" s="4200" t="n"/>
      <c r="AP143" s="3900" t="n">
        <v>0</v>
      </c>
      <c r="AQ143" s="3900" t="n">
        <v>0</v>
      </c>
      <c r="AR143" s="3900" t="n">
        <v>0</v>
      </c>
      <c r="AS143" s="3900" t="n">
        <v>0</v>
      </c>
      <c r="AT143" s="3900" t="n">
        <v>0</v>
      </c>
      <c r="AU143" s="4201" t="n">
        <v>-0.76718</v>
      </c>
      <c r="AV143" s="3900">
        <f>Q143</f>
        <v/>
      </c>
      <c r="AW143" s="3900">
        <f>AC143</f>
        <v/>
      </c>
      <c r="AX143" s="3900">
        <f>AO143</f>
        <v/>
      </c>
      <c r="AY143" s="3900">
        <f>AS143</f>
        <v/>
      </c>
      <c r="AZ143" s="3900">
        <f>AU143</f>
        <v/>
      </c>
      <c r="BA143" s="4202">
        <f>AVERAGE(F143:Q143)</f>
        <v/>
      </c>
      <c r="BB143" s="3900">
        <f>AVERAGE(R143:AC143)</f>
        <v/>
      </c>
      <c r="BC143" s="3900">
        <f>AVERAGE(AD143:AO143)</f>
        <v/>
      </c>
      <c r="BD143" s="3900">
        <f>AVERAGE(AH143:AS143)</f>
        <v/>
      </c>
      <c r="BE143" s="3900">
        <f>AVERAGE(AJ143:AU143)</f>
        <v/>
      </c>
      <c r="BF143" s="3743" t="n"/>
      <c r="BG143" s="3900" t="n">
        <v>-0.025</v>
      </c>
    </row>
    <row r="144" hidden="1" outlineLevel="2" ht="12" customHeight="1" s="3710">
      <c r="B144" s="3891" t="n"/>
      <c r="C144" s="4012" t="inlineStr">
        <is>
          <t>Canadian employer health</t>
        </is>
      </c>
      <c r="D144" s="3902" t="n">
        <v>205623</v>
      </c>
      <c r="E144" s="3902" t="inlineStr">
        <is>
          <t>205623 - Canadian Employer Health(EHT</t>
        </is>
      </c>
      <c r="F144" s="3900" t="n"/>
      <c r="G144" s="3900" t="n"/>
      <c r="H144" s="3900" t="n"/>
      <c r="I144" s="3900" t="n"/>
      <c r="J144" s="3900" t="n"/>
      <c r="K144" s="3900" t="n"/>
      <c r="L144" s="3900" t="n"/>
      <c r="M144" s="3900" t="n"/>
      <c r="N144" s="3900" t="n"/>
      <c r="O144" s="3900" t="n"/>
      <c r="P144" s="3900" t="n"/>
      <c r="Q144" s="4200" t="n"/>
      <c r="R144" s="3900" t="n"/>
      <c r="S144" s="3900" t="n"/>
      <c r="T144" s="3900" t="n"/>
      <c r="U144" s="3900" t="n"/>
      <c r="V144" s="3900" t="n"/>
      <c r="W144" s="3900" t="n"/>
      <c r="X144" s="3900" t="n"/>
      <c r="Y144" s="3900" t="n"/>
      <c r="Z144" s="3900" t="n"/>
      <c r="AA144" s="3900" t="n"/>
      <c r="AB144" s="3900" t="n"/>
      <c r="AC144" s="4200" t="n"/>
      <c r="AD144" s="3900" t="n"/>
      <c r="AE144" s="3900" t="n"/>
      <c r="AF144" s="3900" t="n"/>
      <c r="AG144" s="3900" t="n"/>
      <c r="AH144" s="3900" t="n"/>
      <c r="AI144" s="3900" t="n"/>
      <c r="AJ144" s="3900" t="n"/>
      <c r="AK144" s="3900" t="n"/>
      <c r="AL144" s="3900" t="n"/>
      <c r="AM144" s="3900" t="n"/>
      <c r="AN144" s="3900" t="n"/>
      <c r="AO144" s="4200" t="n"/>
      <c r="AP144" s="3900" t="n">
        <v>-0.055</v>
      </c>
      <c r="AQ144" s="3900" t="n">
        <v>0</v>
      </c>
      <c r="AR144" s="3900" t="n">
        <v>-23.34</v>
      </c>
      <c r="AS144" s="3900" t="n">
        <v>0</v>
      </c>
      <c r="AT144" s="3900" t="n">
        <v>3e-05</v>
      </c>
      <c r="AU144" s="4201" t="n">
        <v>6.999999999999999e-05</v>
      </c>
      <c r="AV144" s="3900">
        <f>Q144</f>
        <v/>
      </c>
      <c r="AW144" s="3900">
        <f>AC144</f>
        <v/>
      </c>
      <c r="AX144" s="3900">
        <f>AO144</f>
        <v/>
      </c>
      <c r="AY144" s="3900">
        <f>AS144</f>
        <v/>
      </c>
      <c r="AZ144" s="3900">
        <f>AU144</f>
        <v/>
      </c>
      <c r="BA144" s="4202">
        <f>AVERAGE(F144:Q144)</f>
        <v/>
      </c>
      <c r="BB144" s="3900">
        <f>AVERAGE(R144:AC144)</f>
        <v/>
      </c>
      <c r="BC144" s="3900">
        <f>AVERAGE(AD144:AO144)</f>
        <v/>
      </c>
      <c r="BD144" s="3900">
        <f>AVERAGE(AH144:AS144)</f>
        <v/>
      </c>
      <c r="BE144" s="3900">
        <f>AVERAGE(AJ144:AU144)</f>
        <v/>
      </c>
      <c r="BF144" s="3743" t="n"/>
      <c r="BG144" s="3900" t="n">
        <v>-24.285</v>
      </c>
    </row>
    <row r="145" hidden="1" outlineLevel="2" ht="12" customHeight="1" s="3710">
      <c r="B145" s="3891" t="n"/>
      <c r="C145" s="4012" t="inlineStr">
        <is>
          <t>Canadian employment ins (EI)</t>
        </is>
      </c>
      <c r="D145" s="3902" t="n">
        <v>205622</v>
      </c>
      <c r="E145" s="3902" t="inlineStr">
        <is>
          <t>205622 - Canadian Employment Ins (EI)</t>
        </is>
      </c>
      <c r="F145" s="3900" t="n"/>
      <c r="G145" s="3900" t="n"/>
      <c r="H145" s="3900" t="n"/>
      <c r="I145" s="3900" t="n"/>
      <c r="J145" s="3900" t="n"/>
      <c r="K145" s="3900" t="n"/>
      <c r="L145" s="3900" t="n"/>
      <c r="M145" s="3900" t="n"/>
      <c r="N145" s="3900" t="n"/>
      <c r="O145" s="3900" t="n"/>
      <c r="P145" s="3900" t="n"/>
      <c r="Q145" s="4200" t="n"/>
      <c r="R145" s="3900" t="n"/>
      <c r="S145" s="3900" t="n"/>
      <c r="T145" s="3900" t="n"/>
      <c r="U145" s="3900" t="n"/>
      <c r="V145" s="3900" t="n"/>
      <c r="W145" s="3900" t="n"/>
      <c r="X145" s="3900" t="n"/>
      <c r="Y145" s="3900" t="n"/>
      <c r="Z145" s="3900" t="n"/>
      <c r="AA145" s="3900" t="n"/>
      <c r="AB145" s="3900" t="n"/>
      <c r="AC145" s="4200" t="n"/>
      <c r="AD145" s="3900" t="n"/>
      <c r="AE145" s="3900" t="n"/>
      <c r="AF145" s="3900" t="n"/>
      <c r="AG145" s="3900" t="n"/>
      <c r="AH145" s="3900" t="n"/>
      <c r="AI145" s="3900" t="n"/>
      <c r="AJ145" s="3900" t="n"/>
      <c r="AK145" s="3900" t="n"/>
      <c r="AL145" s="3900" t="n"/>
      <c r="AM145" s="3900" t="n"/>
      <c r="AN145" s="3900" t="n"/>
      <c r="AO145" s="4200" t="n"/>
      <c r="AP145" s="3900" t="n">
        <v>0</v>
      </c>
      <c r="AQ145" s="3900" t="n">
        <v>0</v>
      </c>
      <c r="AR145" s="3900" t="n">
        <v>0</v>
      </c>
      <c r="AS145" s="3900" t="n">
        <v>0</v>
      </c>
      <c r="AT145" s="3900" t="n">
        <v>0</v>
      </c>
      <c r="AU145" s="4201" t="n">
        <v>0</v>
      </c>
      <c r="AV145" s="3900">
        <f>Q145</f>
        <v/>
      </c>
      <c r="AW145" s="3900">
        <f>AC145</f>
        <v/>
      </c>
      <c r="AX145" s="3900">
        <f>AO145</f>
        <v/>
      </c>
      <c r="AY145" s="3900">
        <f>AS145</f>
        <v/>
      </c>
      <c r="AZ145" s="3900">
        <f>AU145</f>
        <v/>
      </c>
      <c r="BA145" s="4202">
        <f>AVERAGE(F145:Q145)</f>
        <v/>
      </c>
      <c r="BB145" s="3900">
        <f>AVERAGE(R145:AC145)</f>
        <v/>
      </c>
      <c r="BC145" s="3900">
        <f>AVERAGE(AD145:AO145)</f>
        <v/>
      </c>
      <c r="BD145" s="3900">
        <f>AVERAGE(AH145:AS145)</f>
        <v/>
      </c>
      <c r="BE145" s="3900">
        <f>AVERAGE(AJ145:AU145)</f>
        <v/>
      </c>
      <c r="BF145" s="3743" t="n"/>
      <c r="BG145" s="3900" t="n">
        <v>0.331</v>
      </c>
    </row>
    <row r="146" hidden="1" outlineLevel="2" ht="12" customHeight="1" s="3710">
      <c r="B146" s="3891" t="n"/>
      <c r="C146" s="4012" t="inlineStr">
        <is>
          <t>AD&amp;D</t>
        </is>
      </c>
      <c r="D146" s="3902" t="n">
        <v>205202</v>
      </c>
      <c r="E146" s="3902" t="inlineStr">
        <is>
          <t>205202 - AD&amp;D</t>
        </is>
      </c>
      <c r="F146" s="3900" t="n"/>
      <c r="G146" s="3900" t="n"/>
      <c r="H146" s="3900" t="n"/>
      <c r="I146" s="3900" t="n"/>
      <c r="J146" s="3900" t="n"/>
      <c r="K146" s="3900" t="n"/>
      <c r="L146" s="3900" t="n"/>
      <c r="M146" s="3900" t="n"/>
      <c r="N146" s="3900" t="n"/>
      <c r="O146" s="3900" t="n"/>
      <c r="P146" s="3900" t="n"/>
      <c r="Q146" s="4200" t="n"/>
      <c r="R146" s="3900" t="n"/>
      <c r="S146" s="3900" t="n"/>
      <c r="T146" s="3900" t="n"/>
      <c r="U146" s="3900" t="n"/>
      <c r="V146" s="3900" t="n"/>
      <c r="W146" s="3900" t="n"/>
      <c r="X146" s="3900" t="n"/>
      <c r="Y146" s="3900" t="n"/>
      <c r="Z146" s="3900" t="n"/>
      <c r="AA146" s="3900" t="n"/>
      <c r="AB146" s="3900" t="n"/>
      <c r="AC146" s="4200" t="n"/>
      <c r="AD146" s="3900" t="n"/>
      <c r="AE146" s="3900" t="n"/>
      <c r="AF146" s="3900" t="n"/>
      <c r="AG146" s="3900" t="n"/>
      <c r="AH146" s="3900" t="n"/>
      <c r="AI146" s="3900" t="n"/>
      <c r="AJ146" s="3900" t="n"/>
      <c r="AK146" s="3900" t="n"/>
      <c r="AL146" s="3900" t="n"/>
      <c r="AM146" s="3900" t="n"/>
      <c r="AN146" s="3900" t="n"/>
      <c r="AO146" s="4200" t="n"/>
      <c r="AP146" s="3900" t="n">
        <v>0.127</v>
      </c>
      <c r="AQ146" s="3900" t="n">
        <v>-0.856</v>
      </c>
      <c r="AR146" s="3900" t="n">
        <v>-1.082</v>
      </c>
      <c r="AS146" s="3900" t="n">
        <v>0.137</v>
      </c>
      <c r="AT146" s="3900" t="n">
        <v>-0.13638</v>
      </c>
      <c r="AU146" s="4201" t="n">
        <v>0.00084</v>
      </c>
      <c r="AV146" s="3900">
        <f>Q146</f>
        <v/>
      </c>
      <c r="AW146" s="3900">
        <f>AC146</f>
        <v/>
      </c>
      <c r="AX146" s="3900">
        <f>AO146</f>
        <v/>
      </c>
      <c r="AY146" s="3900">
        <f>AS146</f>
        <v/>
      </c>
      <c r="AZ146" s="3900">
        <f>AU146</f>
        <v/>
      </c>
      <c r="BA146" s="4202">
        <f>AVERAGE(F146:Q146)</f>
        <v/>
      </c>
      <c r="BB146" s="3900">
        <f>AVERAGE(R146:AC146)</f>
        <v/>
      </c>
      <c r="BC146" s="3900">
        <f>AVERAGE(AD146:AO146)</f>
        <v/>
      </c>
      <c r="BD146" s="3900">
        <f>AVERAGE(AH146:AS146)</f>
        <v/>
      </c>
      <c r="BE146" s="3900">
        <f>AVERAGE(AJ146:AU146)</f>
        <v/>
      </c>
      <c r="BF146" s="3743" t="n"/>
      <c r="BG146" s="3900" t="n">
        <v>-0.113</v>
      </c>
    </row>
    <row r="147" hidden="1" outlineLevel="2" ht="12" customHeight="1" s="3710">
      <c r="B147" s="3891" t="n"/>
      <c r="C147" s="4012" t="inlineStr">
        <is>
          <t>Cooperative employee css pension</t>
        </is>
      </c>
      <c r="D147" s="3902" t="n">
        <v>205624</v>
      </c>
      <c r="E147" s="3902" t="inlineStr">
        <is>
          <t>205624 - Cooperative Employee CSS Pension</t>
        </is>
      </c>
      <c r="F147" s="3900" t="n"/>
      <c r="G147" s="3900" t="n"/>
      <c r="H147" s="3900" t="n"/>
      <c r="I147" s="3900" t="n"/>
      <c r="J147" s="3900" t="n"/>
      <c r="K147" s="3900" t="n"/>
      <c r="L147" s="3900" t="n"/>
      <c r="M147" s="3900" t="n"/>
      <c r="N147" s="3900" t="n"/>
      <c r="O147" s="3900" t="n"/>
      <c r="P147" s="3900" t="n"/>
      <c r="Q147" s="4200" t="n"/>
      <c r="R147" s="3900" t="n"/>
      <c r="S147" s="3900" t="n"/>
      <c r="T147" s="3900" t="n"/>
      <c r="U147" s="3900" t="n"/>
      <c r="V147" s="3900" t="n"/>
      <c r="W147" s="3900" t="n"/>
      <c r="X147" s="3900" t="n"/>
      <c r="Y147" s="3900" t="n"/>
      <c r="Z147" s="3900" t="n"/>
      <c r="AA147" s="3900" t="n"/>
      <c r="AB147" s="3900" t="n"/>
      <c r="AC147" s="4200" t="n"/>
      <c r="AD147" s="3900" t="n"/>
      <c r="AE147" s="3900" t="n"/>
      <c r="AF147" s="3900" t="n"/>
      <c r="AG147" s="3900" t="n"/>
      <c r="AH147" s="3900" t="n"/>
      <c r="AI147" s="3900" t="n"/>
      <c r="AJ147" s="3900" t="n"/>
      <c r="AK147" s="3900" t="n"/>
      <c r="AL147" s="3900" t="n"/>
      <c r="AM147" s="3900" t="n"/>
      <c r="AN147" s="3900" t="n"/>
      <c r="AO147" s="4200" t="n"/>
      <c r="AP147" s="3900" t="n">
        <v>0</v>
      </c>
      <c r="AQ147" s="3900" t="n">
        <v>0</v>
      </c>
      <c r="AR147" s="3900" t="n">
        <v>0</v>
      </c>
      <c r="AS147" s="3900" t="n">
        <v>0.167</v>
      </c>
      <c r="AT147" s="3900" t="n">
        <v>0.16684</v>
      </c>
      <c r="AU147" s="4201" t="n">
        <v>0.16684</v>
      </c>
      <c r="AV147" s="3900">
        <f>Q147</f>
        <v/>
      </c>
      <c r="AW147" s="3900">
        <f>AC147</f>
        <v/>
      </c>
      <c r="AX147" s="3900">
        <f>AO147</f>
        <v/>
      </c>
      <c r="AY147" s="3900">
        <f>AS147</f>
        <v/>
      </c>
      <c r="AZ147" s="3900">
        <f>AU147</f>
        <v/>
      </c>
      <c r="BA147" s="4202">
        <f>AVERAGE(F147:Q147)</f>
        <v/>
      </c>
      <c r="BB147" s="3900">
        <f>AVERAGE(R147:AC147)</f>
        <v/>
      </c>
      <c r="BC147" s="3900">
        <f>AVERAGE(AD147:AO147)</f>
        <v/>
      </c>
      <c r="BD147" s="3900">
        <f>AVERAGE(AH147:AS147)</f>
        <v/>
      </c>
      <c r="BE147" s="3900">
        <f>AVERAGE(AJ147:AU147)</f>
        <v/>
      </c>
      <c r="BF147" s="3743" t="n"/>
      <c r="BG147" s="3900" t="n">
        <v>0</v>
      </c>
    </row>
    <row r="148" hidden="1" outlineLevel="2" ht="12" customHeight="1" s="3710">
      <c r="B148" s="3891" t="n"/>
      <c r="C148" s="4012" t="inlineStr">
        <is>
          <t>Medical insurance</t>
        </is>
      </c>
      <c r="D148" s="3902" t="n">
        <v>205301</v>
      </c>
      <c r="E148" s="3902" t="inlineStr">
        <is>
          <t>205301 - Medical Insurance</t>
        </is>
      </c>
      <c r="F148" s="3900" t="n"/>
      <c r="G148" s="3900" t="n"/>
      <c r="H148" s="3900" t="n"/>
      <c r="I148" s="3900" t="n"/>
      <c r="J148" s="3900" t="n"/>
      <c r="K148" s="3900" t="n"/>
      <c r="L148" s="3900" t="n"/>
      <c r="M148" s="3900" t="n"/>
      <c r="N148" s="3900" t="n"/>
      <c r="O148" s="3900" t="n"/>
      <c r="P148" s="3900" t="n"/>
      <c r="Q148" s="4200" t="n"/>
      <c r="R148" s="3900" t="n"/>
      <c r="S148" s="3900" t="n"/>
      <c r="T148" s="3900" t="n"/>
      <c r="U148" s="3900" t="n"/>
      <c r="V148" s="3900" t="n"/>
      <c r="W148" s="3900" t="n"/>
      <c r="X148" s="3900" t="n"/>
      <c r="Y148" s="3900" t="n"/>
      <c r="Z148" s="3900" t="n"/>
      <c r="AA148" s="3900" t="n"/>
      <c r="AB148" s="3900" t="n"/>
      <c r="AC148" s="4200" t="n"/>
      <c r="AD148" s="3900" t="n"/>
      <c r="AE148" s="3900" t="n"/>
      <c r="AF148" s="3900" t="n"/>
      <c r="AG148" s="3900" t="n"/>
      <c r="AH148" s="3900" t="n"/>
      <c r="AI148" s="3900" t="n"/>
      <c r="AJ148" s="3900" t="n"/>
      <c r="AK148" s="3900" t="n"/>
      <c r="AL148" s="3900" t="n"/>
      <c r="AM148" s="3900" t="n"/>
      <c r="AN148" s="3900" t="n"/>
      <c r="AO148" s="4200" t="n"/>
      <c r="AP148" s="3900" t="n">
        <v>-1.094</v>
      </c>
      <c r="AQ148" s="3900" t="n">
        <v>-0.532</v>
      </c>
      <c r="AR148" s="3900" t="n">
        <v>-0.07099999999999999</v>
      </c>
      <c r="AS148" s="3900" t="n">
        <v>0.38</v>
      </c>
      <c r="AT148" s="3900" t="n">
        <v>-0.27965</v>
      </c>
      <c r="AU148" s="4201" t="n">
        <v>-0.22885</v>
      </c>
      <c r="AV148" s="3900">
        <f>Q148</f>
        <v/>
      </c>
      <c r="AW148" s="3900">
        <f>AC148</f>
        <v/>
      </c>
      <c r="AX148" s="3900">
        <f>AO148</f>
        <v/>
      </c>
      <c r="AY148" s="3900">
        <f>AS148</f>
        <v/>
      </c>
      <c r="AZ148" s="3900">
        <f>AU148</f>
        <v/>
      </c>
      <c r="BA148" s="4202">
        <f>AVERAGE(F148:Q148)</f>
        <v/>
      </c>
      <c r="BB148" s="3900">
        <f>AVERAGE(R148:AC148)</f>
        <v/>
      </c>
      <c r="BC148" s="3900">
        <f>AVERAGE(AD148:AO148)</f>
        <v/>
      </c>
      <c r="BD148" s="3900">
        <f>AVERAGE(AH148:AS148)</f>
        <v/>
      </c>
      <c r="BE148" s="3900">
        <f>AVERAGE(AJ148:AU148)</f>
        <v/>
      </c>
      <c r="BF148" s="3743" t="n"/>
      <c r="BG148" s="3900" t="n">
        <v>0.951</v>
      </c>
    </row>
    <row r="149" hidden="1" outlineLevel="2" ht="12" customHeight="1" s="3710">
      <c r="B149" s="3891" t="n"/>
      <c r="C149" s="4012" t="inlineStr">
        <is>
          <t>Long term disability insurance</t>
        </is>
      </c>
      <c r="D149" s="3902" t="n">
        <v>205208</v>
      </c>
      <c r="E149" s="3902" t="inlineStr">
        <is>
          <t>205208 - Long Term Disability Insurance</t>
        </is>
      </c>
      <c r="F149" s="3900" t="n"/>
      <c r="G149" s="3900" t="n"/>
      <c r="H149" s="3900" t="n"/>
      <c r="I149" s="3900" t="n"/>
      <c r="J149" s="3900" t="n"/>
      <c r="K149" s="3900" t="n"/>
      <c r="L149" s="3900" t="n"/>
      <c r="M149" s="3900" t="n"/>
      <c r="N149" s="3900" t="n"/>
      <c r="O149" s="3900" t="n"/>
      <c r="P149" s="3900" t="n"/>
      <c r="Q149" s="4200" t="n"/>
      <c r="R149" s="3900" t="n"/>
      <c r="S149" s="3900" t="n"/>
      <c r="T149" s="3900" t="n"/>
      <c r="U149" s="3900" t="n"/>
      <c r="V149" s="3900" t="n"/>
      <c r="W149" s="3900" t="n"/>
      <c r="X149" s="3900" t="n"/>
      <c r="Y149" s="3900" t="n"/>
      <c r="Z149" s="3900" t="n"/>
      <c r="AA149" s="3900" t="n"/>
      <c r="AB149" s="3900" t="n"/>
      <c r="AC149" s="4200" t="n"/>
      <c r="AD149" s="3900" t="n"/>
      <c r="AE149" s="3900" t="n"/>
      <c r="AF149" s="3900" t="n"/>
      <c r="AG149" s="3900" t="n"/>
      <c r="AH149" s="3900" t="n"/>
      <c r="AI149" s="3900" t="n"/>
      <c r="AJ149" s="3900" t="n"/>
      <c r="AK149" s="3900" t="n"/>
      <c r="AL149" s="3900" t="n"/>
      <c r="AM149" s="3900" t="n"/>
      <c r="AN149" s="3900" t="n"/>
      <c r="AO149" s="4200" t="n"/>
      <c r="AP149" s="3900" t="n">
        <v>0.38</v>
      </c>
      <c r="AQ149" s="3900" t="n">
        <v>-1.887</v>
      </c>
      <c r="AR149" s="3900" t="n">
        <v>-2.363</v>
      </c>
      <c r="AS149" s="3900" t="n">
        <v>0.844</v>
      </c>
      <c r="AT149" s="3900" t="n">
        <v>0.1197</v>
      </c>
      <c r="AU149" s="4201" t="n">
        <v>0.13821</v>
      </c>
      <c r="AV149" s="3900">
        <f>Q149</f>
        <v/>
      </c>
      <c r="AW149" s="3900">
        <f>AC149</f>
        <v/>
      </c>
      <c r="AX149" s="3900">
        <f>AO149</f>
        <v/>
      </c>
      <c r="AY149" s="3900">
        <f>AS149</f>
        <v/>
      </c>
      <c r="AZ149" s="3900">
        <f>AU149</f>
        <v/>
      </c>
      <c r="BA149" s="4202">
        <f>AVERAGE(F149:Q149)</f>
        <v/>
      </c>
      <c r="BB149" s="3900">
        <f>AVERAGE(R149:AC149)</f>
        <v/>
      </c>
      <c r="BC149" s="3900">
        <f>AVERAGE(AD149:AO149)</f>
        <v/>
      </c>
      <c r="BD149" s="3900">
        <f>AVERAGE(AH149:AS149)</f>
        <v/>
      </c>
      <c r="BE149" s="3900">
        <f>AVERAGE(AJ149:AU149)</f>
        <v/>
      </c>
      <c r="BF149" s="3743" t="n"/>
      <c r="BG149" s="3900" t="n">
        <v>-0.385</v>
      </c>
    </row>
    <row r="150" hidden="1" outlineLevel="2" ht="12" customHeight="1" s="3710">
      <c r="B150" s="3891" t="n"/>
      <c r="C150" s="4203" t="inlineStr">
        <is>
          <t>Dental insurance</t>
        </is>
      </c>
      <c r="D150" s="4204" t="n">
        <v>205321</v>
      </c>
      <c r="E150" s="4204" t="inlineStr">
        <is>
          <t>205321 - Dental Insurance</t>
        </is>
      </c>
      <c r="F150" s="4205" t="n"/>
      <c r="G150" s="4205" t="n"/>
      <c r="H150" s="4205" t="n"/>
      <c r="I150" s="4205" t="n"/>
      <c r="J150" s="4205" t="n"/>
      <c r="K150" s="4205" t="n"/>
      <c r="L150" s="4205" t="n"/>
      <c r="M150" s="4205" t="n"/>
      <c r="N150" s="4205" t="n"/>
      <c r="O150" s="4205" t="n"/>
      <c r="P150" s="4205" t="n"/>
      <c r="Q150" s="4206" t="n"/>
      <c r="R150" s="4205" t="n"/>
      <c r="S150" s="4205" t="n"/>
      <c r="T150" s="4205" t="n"/>
      <c r="U150" s="4205" t="n"/>
      <c r="V150" s="4205" t="n"/>
      <c r="W150" s="4205" t="n"/>
      <c r="X150" s="4205" t="n"/>
      <c r="Y150" s="4205" t="n"/>
      <c r="Z150" s="4205" t="n"/>
      <c r="AA150" s="4205" t="n"/>
      <c r="AB150" s="4205" t="n"/>
      <c r="AC150" s="4206" t="n"/>
      <c r="AD150" s="4205" t="n"/>
      <c r="AE150" s="4205" t="n"/>
      <c r="AF150" s="4205" t="n"/>
      <c r="AG150" s="4205" t="n"/>
      <c r="AH150" s="4205" t="n"/>
      <c r="AI150" s="4205" t="n"/>
      <c r="AJ150" s="4205" t="n"/>
      <c r="AK150" s="4205" t="n"/>
      <c r="AL150" s="4205" t="n"/>
      <c r="AM150" s="4205" t="n"/>
      <c r="AN150" s="4205" t="n"/>
      <c r="AO150" s="4206" t="n"/>
      <c r="AP150" s="4205" t="n">
        <v>-0.258</v>
      </c>
      <c r="AQ150" s="4205" t="n">
        <v>0.186</v>
      </c>
      <c r="AR150" s="4205" t="n">
        <v>0.55</v>
      </c>
      <c r="AS150" s="4205" t="n">
        <v>0.905</v>
      </c>
      <c r="AT150" s="4205" t="n">
        <v>0.3835</v>
      </c>
      <c r="AU150" s="4207" t="n">
        <v>0.42423</v>
      </c>
      <c r="AV150" s="4205">
        <f>Q150</f>
        <v/>
      </c>
      <c r="AW150" s="4205">
        <f>AC150</f>
        <v/>
      </c>
      <c r="AX150" s="4205">
        <f>AO150</f>
        <v/>
      </c>
      <c r="AY150" s="4205">
        <f>AS150</f>
        <v/>
      </c>
      <c r="AZ150" s="4205">
        <f>AU150</f>
        <v/>
      </c>
      <c r="BA150" s="4208">
        <f>AVERAGE(F150:Q150)</f>
        <v/>
      </c>
      <c r="BB150" s="4205">
        <f>AVERAGE(R150:AC150)</f>
        <v/>
      </c>
      <c r="BC150" s="4205">
        <f>AVERAGE(AD150:AO150)</f>
        <v/>
      </c>
      <c r="BD150" s="4205">
        <f>AVERAGE(AH150:AS150)</f>
        <v/>
      </c>
      <c r="BE150" s="4205">
        <f>AVERAGE(AJ150:AU150)</f>
        <v/>
      </c>
      <c r="BF150" s="3743" t="n"/>
      <c r="BG150" s="4205" t="n">
        <v>0.245</v>
      </c>
    </row>
    <row r="151" hidden="1" outlineLevel="1" collapsed="1" ht="12" customHeight="1" s="3710">
      <c r="B151" s="3891" t="n"/>
      <c r="C151" s="4017" t="inlineStr">
        <is>
          <t xml:space="preserve">Payroll benefits taxes payable &amp; accrued </t>
        </is>
      </c>
      <c r="D151" s="3902" t="n"/>
      <c r="E151" s="3902" t="n"/>
      <c r="F151" s="3900" t="n"/>
      <c r="G151" s="3900" t="n"/>
      <c r="H151" s="3900" t="n"/>
      <c r="I151" s="3900" t="n"/>
      <c r="J151" s="3900" t="n"/>
      <c r="K151" s="3900" t="n"/>
      <c r="L151" s="3900" t="n"/>
      <c r="M151" s="3900" t="n"/>
      <c r="N151" s="3900" t="n"/>
      <c r="O151" s="3900" t="n"/>
      <c r="P151" s="3900" t="n"/>
      <c r="Q151" s="4200" t="n"/>
      <c r="R151" s="3900" t="n"/>
      <c r="S151" s="3900" t="n"/>
      <c r="T151" s="3900" t="n"/>
      <c r="U151" s="3900" t="n"/>
      <c r="V151" s="3900" t="n"/>
      <c r="W151" s="3900" t="n"/>
      <c r="X151" s="3900" t="n"/>
      <c r="Y151" s="3900" t="n"/>
      <c r="Z151" s="3900" t="n"/>
      <c r="AA151" s="3900" t="n"/>
      <c r="AB151" s="3900" t="n"/>
      <c r="AC151" s="4200" t="n"/>
      <c r="AD151" s="3900" t="n"/>
      <c r="AE151" s="3900" t="n"/>
      <c r="AF151" s="3900" t="n"/>
      <c r="AG151" s="3900" t="n"/>
      <c r="AH151" s="3900" t="n"/>
      <c r="AI151" s="3900" t="n"/>
      <c r="AJ151" s="3900" t="n"/>
      <c r="AK151" s="3900" t="n"/>
      <c r="AL151" s="3900" t="n"/>
      <c r="AM151" s="3900" t="n"/>
      <c r="AN151" s="3900" t="n"/>
      <c r="AO151" s="4200" t="n"/>
      <c r="AP151" s="3900">
        <f>SUM(AP132:AP150)</f>
        <v/>
      </c>
      <c r="AQ151" s="3900">
        <f>SUM(AQ132:AQ150)</f>
        <v/>
      </c>
      <c r="AR151" s="3900">
        <f>SUM(AR132:AR150)</f>
        <v/>
      </c>
      <c r="AS151" s="3900">
        <f>SUM(AS132:AS150)</f>
        <v/>
      </c>
      <c r="AT151" s="3900">
        <f>SUM(AT132:AT150)</f>
        <v/>
      </c>
      <c r="AU151" s="4201">
        <f>SUM(AU132:AU150)</f>
        <v/>
      </c>
      <c r="AV151" s="3900">
        <f>SUM(AV132:AV150)</f>
        <v/>
      </c>
      <c r="AW151" s="3900">
        <f>SUM(AW132:AW150)</f>
        <v/>
      </c>
      <c r="AX151" s="3900">
        <f>SUM(AX132:AX150)</f>
        <v/>
      </c>
      <c r="AY151" s="3900">
        <f>SUM(AY132:AY150)</f>
        <v/>
      </c>
      <c r="AZ151" s="3900">
        <f>SUM(AZ132:AZ150)</f>
        <v/>
      </c>
      <c r="BA151" s="4202">
        <f>SUM(BA132:BA150)</f>
        <v/>
      </c>
      <c r="BB151" s="3900">
        <f>SUM(BB132:BB150)</f>
        <v/>
      </c>
      <c r="BC151" s="3900">
        <f>SUM(BC132:BC150)</f>
        <v/>
      </c>
      <c r="BD151" s="3900">
        <f>SUM(BD132:BD150)</f>
        <v/>
      </c>
      <c r="BE151" s="3900">
        <f>SUM(BE132:BE150)</f>
        <v/>
      </c>
      <c r="BF151" s="3743" t="n"/>
      <c r="BG151" s="3900">
        <f>SUM(BG132:BG150)</f>
        <v/>
      </c>
    </row>
    <row r="152" hidden="1" outlineLevel="2" ht="12" customHeight="1" s="3710">
      <c r="B152" s="3891" t="n"/>
      <c r="C152" s="4012" t="inlineStr">
        <is>
          <t>Current income tax liability-federal and prov</t>
        </is>
      </c>
      <c r="D152" s="3902" t="n">
        <v>209101</v>
      </c>
      <c r="E152" s="3902" t="inlineStr">
        <is>
          <t>209101 - -Current Income Tax Liability-Federal and Prov</t>
        </is>
      </c>
      <c r="F152" s="3900" t="n"/>
      <c r="G152" s="3900" t="n"/>
      <c r="H152" s="3900" t="n"/>
      <c r="I152" s="3900" t="n"/>
      <c r="J152" s="3900" t="n"/>
      <c r="K152" s="3900" t="n"/>
      <c r="L152" s="3900" t="n"/>
      <c r="M152" s="3900" t="n"/>
      <c r="N152" s="3900" t="n"/>
      <c r="O152" s="3900" t="n"/>
      <c r="P152" s="3900" t="n"/>
      <c r="Q152" s="4200" t="n"/>
      <c r="R152" s="3900" t="n"/>
      <c r="S152" s="3900" t="n"/>
      <c r="T152" s="3900" t="n"/>
      <c r="U152" s="3900" t="n"/>
      <c r="V152" s="3900" t="n"/>
      <c r="W152" s="3900" t="n"/>
      <c r="X152" s="3900" t="n"/>
      <c r="Y152" s="3900" t="n"/>
      <c r="Z152" s="3900" t="n"/>
      <c r="AA152" s="3900" t="n"/>
      <c r="AB152" s="3900" t="n"/>
      <c r="AC152" s="4200" t="n"/>
      <c r="AD152" s="3900" t="n"/>
      <c r="AE152" s="3900" t="n"/>
      <c r="AF152" s="3900" t="n"/>
      <c r="AG152" s="3900" t="n"/>
      <c r="AH152" s="3900" t="n"/>
      <c r="AI152" s="3900" t="n"/>
      <c r="AJ152" s="3900" t="n"/>
      <c r="AK152" s="3900" t="n"/>
      <c r="AL152" s="3900" t="n"/>
      <c r="AM152" s="3900" t="n"/>
      <c r="AN152" s="3900" t="n"/>
      <c r="AO152" s="4200" t="n"/>
      <c r="AP152" s="3900" t="n">
        <v>-2141.676</v>
      </c>
      <c r="AQ152" s="3900" t="n">
        <v>-875.676</v>
      </c>
      <c r="AR152" s="3900" t="n">
        <v>-1105.676</v>
      </c>
      <c r="AS152" s="3900" t="n">
        <v>-1080.676</v>
      </c>
      <c r="AT152" s="3900" t="n">
        <v>-730.67603</v>
      </c>
      <c r="AU152" s="4201" t="n">
        <v>-460.67603</v>
      </c>
      <c r="AV152" s="3900">
        <f>Q152</f>
        <v/>
      </c>
      <c r="AW152" s="3900">
        <f>AC152</f>
        <v/>
      </c>
      <c r="AX152" s="3900">
        <f>AO152</f>
        <v/>
      </c>
      <c r="AY152" s="3900">
        <f>AS152</f>
        <v/>
      </c>
      <c r="AZ152" s="3900">
        <f>AU152</f>
        <v/>
      </c>
      <c r="BA152" s="4202">
        <f>AVERAGE(F152:Q152)</f>
        <v/>
      </c>
      <c r="BB152" s="3900">
        <f>AVERAGE(R152:AC152)</f>
        <v/>
      </c>
      <c r="BC152" s="3900">
        <f>AVERAGE(AD152:AO152)</f>
        <v/>
      </c>
      <c r="BD152" s="3900">
        <f>AVERAGE(AH152:AS152)</f>
        <v/>
      </c>
      <c r="BE152" s="3900">
        <f>AVERAGE(AJ152:AU152)</f>
        <v/>
      </c>
      <c r="BF152" s="3743" t="n"/>
      <c r="BG152" s="3900" t="n">
        <v>-263.417</v>
      </c>
    </row>
    <row r="153" hidden="1" outlineLevel="2" ht="12" customHeight="1" s="3710">
      <c r="B153" s="3891" t="n"/>
      <c r="C153" s="4203" t="inlineStr">
        <is>
          <t>Curr income tax liab IFRS adj- IFRS15</t>
        </is>
      </c>
      <c r="D153" s="4204" t="n">
        <v>209115</v>
      </c>
      <c r="E153" s="4204" t="inlineStr">
        <is>
          <t>209115 - Curr Income Tax Liab IFRS ADJ- IFRS15</t>
        </is>
      </c>
      <c r="F153" s="4205" t="n"/>
      <c r="G153" s="4205" t="n"/>
      <c r="H153" s="4205" t="n"/>
      <c r="I153" s="4205" t="n"/>
      <c r="J153" s="4205" t="n"/>
      <c r="K153" s="4205" t="n"/>
      <c r="L153" s="4205" t="n"/>
      <c r="M153" s="4205" t="n"/>
      <c r="N153" s="4205" t="n"/>
      <c r="O153" s="4205" t="n"/>
      <c r="P153" s="4205" t="n"/>
      <c r="Q153" s="4206" t="n"/>
      <c r="R153" s="4205" t="n"/>
      <c r="S153" s="4205" t="n"/>
      <c r="T153" s="4205" t="n"/>
      <c r="U153" s="4205" t="n"/>
      <c r="V153" s="4205" t="n"/>
      <c r="W153" s="4205" t="n"/>
      <c r="X153" s="4205" t="n"/>
      <c r="Y153" s="4205" t="n"/>
      <c r="Z153" s="4205" t="n"/>
      <c r="AA153" s="4205" t="n"/>
      <c r="AB153" s="4205" t="n"/>
      <c r="AC153" s="4206" t="n"/>
      <c r="AD153" s="4205" t="n"/>
      <c r="AE153" s="4205" t="n"/>
      <c r="AF153" s="4205" t="n"/>
      <c r="AG153" s="4205" t="n"/>
      <c r="AH153" s="4205" t="n"/>
      <c r="AI153" s="4205" t="n"/>
      <c r="AJ153" s="4205" t="n"/>
      <c r="AK153" s="4205" t="n"/>
      <c r="AL153" s="4205" t="n"/>
      <c r="AM153" s="4205" t="n"/>
      <c r="AN153" s="4205" t="n"/>
      <c r="AO153" s="4206" t="n"/>
      <c r="AP153" s="4205" t="n">
        <v>0</v>
      </c>
      <c r="AQ153" s="4205" t="n">
        <v>0</v>
      </c>
      <c r="AR153" s="4205" t="n">
        <v>0</v>
      </c>
      <c r="AS153" s="4205" t="n">
        <v>0</v>
      </c>
      <c r="AT153" s="4205" t="n">
        <v>0</v>
      </c>
      <c r="AU153" s="4207" t="n">
        <v>0</v>
      </c>
      <c r="AV153" s="4205">
        <f>Q153</f>
        <v/>
      </c>
      <c r="AW153" s="4205">
        <f>AC153</f>
        <v/>
      </c>
      <c r="AX153" s="4205">
        <f>AO153</f>
        <v/>
      </c>
      <c r="AY153" s="4205">
        <f>AS153</f>
        <v/>
      </c>
      <c r="AZ153" s="4205">
        <f>AU153</f>
        <v/>
      </c>
      <c r="BA153" s="4208">
        <f>AVERAGE(F153:Q153)</f>
        <v/>
      </c>
      <c r="BB153" s="4205">
        <f>AVERAGE(R153:AC153)</f>
        <v/>
      </c>
      <c r="BC153" s="4205">
        <f>AVERAGE(AD153:AO153)</f>
        <v/>
      </c>
      <c r="BD153" s="4205">
        <f>AVERAGE(AH153:AS153)</f>
        <v/>
      </c>
      <c r="BE153" s="4205">
        <f>AVERAGE(AJ153:AU153)</f>
        <v/>
      </c>
      <c r="BF153" s="3743" t="n"/>
      <c r="BG153" s="4205" t="n">
        <v>51</v>
      </c>
    </row>
    <row r="154" hidden="1" outlineLevel="1" collapsed="1" ht="12" customHeight="1" s="3710">
      <c r="B154" s="3891" t="n"/>
      <c r="C154" s="4017" t="inlineStr">
        <is>
          <t xml:space="preserve">Income tax payable </t>
        </is>
      </c>
      <c r="D154" s="3902" t="n"/>
      <c r="E154" s="3902" t="n"/>
      <c r="F154" s="3900" t="n"/>
      <c r="G154" s="3900" t="n"/>
      <c r="H154" s="3900" t="n"/>
      <c r="I154" s="3900" t="n"/>
      <c r="J154" s="3900" t="n"/>
      <c r="K154" s="3900" t="n"/>
      <c r="L154" s="3900" t="n"/>
      <c r="M154" s="3900" t="n"/>
      <c r="N154" s="3900" t="n"/>
      <c r="O154" s="3900" t="n"/>
      <c r="P154" s="3900" t="n"/>
      <c r="Q154" s="4200" t="n"/>
      <c r="R154" s="3900" t="n"/>
      <c r="S154" s="3900" t="n"/>
      <c r="T154" s="3900" t="n"/>
      <c r="U154" s="3900" t="n"/>
      <c r="V154" s="3900" t="n"/>
      <c r="W154" s="3900" t="n"/>
      <c r="X154" s="3900" t="n"/>
      <c r="Y154" s="3900" t="n"/>
      <c r="Z154" s="3900" t="n"/>
      <c r="AA154" s="3900" t="n"/>
      <c r="AB154" s="3900" t="n"/>
      <c r="AC154" s="4200" t="n"/>
      <c r="AD154" s="3900" t="n"/>
      <c r="AE154" s="3900" t="n"/>
      <c r="AF154" s="3900" t="n"/>
      <c r="AG154" s="3900" t="n"/>
      <c r="AH154" s="3900" t="n"/>
      <c r="AI154" s="3900" t="n"/>
      <c r="AJ154" s="3900" t="n"/>
      <c r="AK154" s="3900" t="n"/>
      <c r="AL154" s="3900" t="n"/>
      <c r="AM154" s="3900" t="n"/>
      <c r="AN154" s="3900" t="n"/>
      <c r="AO154" s="4200" t="n"/>
      <c r="AP154" s="3900">
        <f>SUM(AP152:AP153)</f>
        <v/>
      </c>
      <c r="AQ154" s="3900">
        <f>SUM(AQ152:AQ153)</f>
        <v/>
      </c>
      <c r="AR154" s="3900">
        <f>SUM(AR152:AR153)</f>
        <v/>
      </c>
      <c r="AS154" s="3900">
        <f>SUM(AS152:AS153)</f>
        <v/>
      </c>
      <c r="AT154" s="3900">
        <f>SUM(AT152:AT153)</f>
        <v/>
      </c>
      <c r="AU154" s="4201">
        <f>SUM(AU152:AU153)</f>
        <v/>
      </c>
      <c r="AV154" s="3900">
        <f>SUM(AV152:AV153)</f>
        <v/>
      </c>
      <c r="AW154" s="3900">
        <f>SUM(AW152:AW153)</f>
        <v/>
      </c>
      <c r="AX154" s="3900">
        <f>SUM(AX152:AX153)</f>
        <v/>
      </c>
      <c r="AY154" s="3900">
        <f>SUM(AY152:AY153)</f>
        <v/>
      </c>
      <c r="AZ154" s="3900">
        <f>SUM(AZ152:AZ153)</f>
        <v/>
      </c>
      <c r="BA154" s="4202">
        <f>SUM(BA152:BA153)</f>
        <v/>
      </c>
      <c r="BB154" s="3900">
        <f>SUM(BB152:BB153)</f>
        <v/>
      </c>
      <c r="BC154" s="3900">
        <f>SUM(BC152:BC153)</f>
        <v/>
      </c>
      <c r="BD154" s="3900">
        <f>SUM(BD152:BD153)</f>
        <v/>
      </c>
      <c r="BE154" s="3900">
        <f>SUM(BE152:BE153)</f>
        <v/>
      </c>
      <c r="BF154" s="3743" t="n"/>
      <c r="BG154" s="3900">
        <f>SUM(BG152:BG153)</f>
        <v/>
      </c>
    </row>
    <row r="155" hidden="1" outlineLevel="2" ht="12" customHeight="1" s="3710">
      <c r="B155" s="3891" t="n"/>
      <c r="C155" s="4203" t="inlineStr">
        <is>
          <t>Current maturity - prop lease</t>
        </is>
      </c>
      <c r="D155" s="4204" t="n">
        <v>230116</v>
      </c>
      <c r="E155" s="4204" t="inlineStr">
        <is>
          <t>TBD</t>
        </is>
      </c>
      <c r="F155" s="4205" t="n"/>
      <c r="G155" s="4205" t="n"/>
      <c r="H155" s="4205" t="n"/>
      <c r="I155" s="4205" t="n"/>
      <c r="J155" s="4205" t="n"/>
      <c r="K155" s="4205" t="n"/>
      <c r="L155" s="4205" t="n"/>
      <c r="M155" s="4205" t="n"/>
      <c r="N155" s="4205" t="n"/>
      <c r="O155" s="4205" t="n"/>
      <c r="P155" s="4205" t="n"/>
      <c r="Q155" s="4206" t="n"/>
      <c r="R155" s="4205" t="n"/>
      <c r="S155" s="4205" t="n"/>
      <c r="T155" s="4205" t="n"/>
      <c r="U155" s="4205" t="n"/>
      <c r="V155" s="4205" t="n"/>
      <c r="W155" s="4205" t="n"/>
      <c r="X155" s="4205" t="n"/>
      <c r="Y155" s="4205" t="n"/>
      <c r="Z155" s="4205" t="n"/>
      <c r="AA155" s="4205" t="n"/>
      <c r="AB155" s="4205" t="n"/>
      <c r="AC155" s="4206" t="n"/>
      <c r="AD155" s="4205" t="n"/>
      <c r="AE155" s="4205" t="n"/>
      <c r="AF155" s="4205" t="n"/>
      <c r="AG155" s="4205" t="n"/>
      <c r="AH155" s="4205" t="n"/>
      <c r="AI155" s="4205" t="n"/>
      <c r="AJ155" s="4205" t="n"/>
      <c r="AK155" s="4205" t="n"/>
      <c r="AL155" s="4205" t="n"/>
      <c r="AM155" s="4205" t="n"/>
      <c r="AN155" s="4205" t="n"/>
      <c r="AO155" s="4206" t="n"/>
      <c r="AP155" s="4205" t="n">
        <v>-311.755</v>
      </c>
      <c r="AQ155" s="4205" t="n">
        <v>-283.917</v>
      </c>
      <c r="AR155" s="4205" t="n">
        <v>-255.98</v>
      </c>
      <c r="AS155" s="4205" t="n">
        <v>-227.942</v>
      </c>
      <c r="AT155" s="4205" t="n">
        <v>-199.80442</v>
      </c>
      <c r="AU155" s="4207" t="n">
        <v>-171.56597</v>
      </c>
      <c r="AV155" s="4205">
        <f>Q155</f>
        <v/>
      </c>
      <c r="AW155" s="4205">
        <f>AC155</f>
        <v/>
      </c>
      <c r="AX155" s="4205">
        <f>AO155</f>
        <v/>
      </c>
      <c r="AY155" s="4205">
        <f>AS155</f>
        <v/>
      </c>
      <c r="AZ155" s="4205">
        <f>AU155</f>
        <v/>
      </c>
      <c r="BA155" s="4208">
        <f>AVERAGE(F155:Q155)</f>
        <v/>
      </c>
      <c r="BB155" s="4205">
        <f>AVERAGE(R155:AC155)</f>
        <v/>
      </c>
      <c r="BC155" s="4205">
        <f>AVERAGE(AD155:AO155)</f>
        <v/>
      </c>
      <c r="BD155" s="4205">
        <f>AVERAGE(AH155:AS155)</f>
        <v/>
      </c>
      <c r="BE155" s="4205">
        <f>AVERAGE(AJ155:AU155)</f>
        <v/>
      </c>
      <c r="BF155" s="3743" t="n"/>
      <c r="BG155" s="4205" t="n">
        <v>-292.738</v>
      </c>
    </row>
    <row r="156" hidden="1" outlineLevel="1" collapsed="1" ht="12" customHeight="1" s="3710">
      <c r="B156" s="3891" t="n"/>
      <c r="C156" s="4017" t="inlineStr">
        <is>
          <t xml:space="preserve">Finance lease obligation - property lease </t>
        </is>
      </c>
      <c r="D156" s="3902" t="n"/>
      <c r="E156" s="3902" t="n"/>
      <c r="F156" s="3900" t="n"/>
      <c r="G156" s="3900" t="n"/>
      <c r="H156" s="3900" t="n"/>
      <c r="I156" s="3900" t="n"/>
      <c r="J156" s="3900" t="n"/>
      <c r="K156" s="3900" t="n"/>
      <c r="L156" s="3900" t="n"/>
      <c r="M156" s="3900" t="n"/>
      <c r="N156" s="3900" t="n"/>
      <c r="O156" s="3900" t="n"/>
      <c r="P156" s="3900" t="n"/>
      <c r="Q156" s="4200" t="n"/>
      <c r="R156" s="3900" t="n"/>
      <c r="S156" s="3900" t="n"/>
      <c r="T156" s="3900" t="n"/>
      <c r="U156" s="3900" t="n"/>
      <c r="V156" s="3900" t="n"/>
      <c r="W156" s="3900" t="n"/>
      <c r="X156" s="3900" t="n"/>
      <c r="Y156" s="3900" t="n"/>
      <c r="Z156" s="3900" t="n"/>
      <c r="AA156" s="3900" t="n"/>
      <c r="AB156" s="3900" t="n"/>
      <c r="AC156" s="4200" t="n"/>
      <c r="AD156" s="3900" t="n"/>
      <c r="AE156" s="3900" t="n"/>
      <c r="AF156" s="3900" t="n"/>
      <c r="AG156" s="3900" t="n"/>
      <c r="AH156" s="3900" t="n"/>
      <c r="AI156" s="3900" t="n"/>
      <c r="AJ156" s="3900" t="n"/>
      <c r="AK156" s="3900" t="n"/>
      <c r="AL156" s="3900" t="n"/>
      <c r="AM156" s="3900" t="n"/>
      <c r="AN156" s="3900" t="n"/>
      <c r="AO156" s="4200" t="n"/>
      <c r="AP156" s="3900">
        <f>SUM(AP155)</f>
        <v/>
      </c>
      <c r="AQ156" s="3900">
        <f>SUM(AQ155)</f>
        <v/>
      </c>
      <c r="AR156" s="3900">
        <f>SUM(AR155)</f>
        <v/>
      </c>
      <c r="AS156" s="3900">
        <f>SUM(AS155)</f>
        <v/>
      </c>
      <c r="AT156" s="3900">
        <f>SUM(AT155)</f>
        <v/>
      </c>
      <c r="AU156" s="4201">
        <f>SUM(AU155)</f>
        <v/>
      </c>
      <c r="AV156" s="3900">
        <f>SUM(AV155)</f>
        <v/>
      </c>
      <c r="AW156" s="3900">
        <f>SUM(AW155)</f>
        <v/>
      </c>
      <c r="AX156" s="3900">
        <f>SUM(AX155)</f>
        <v/>
      </c>
      <c r="AY156" s="3900">
        <f>SUM(AY155)</f>
        <v/>
      </c>
      <c r="AZ156" s="3900">
        <f>SUM(AZ155)</f>
        <v/>
      </c>
      <c r="BA156" s="4202">
        <f>SUM(BA155)</f>
        <v/>
      </c>
      <c r="BB156" s="3900">
        <f>SUM(BB155)</f>
        <v/>
      </c>
      <c r="BC156" s="3900">
        <f>SUM(BC155)</f>
        <v/>
      </c>
      <c r="BD156" s="3900">
        <f>SUM(BD155)</f>
        <v/>
      </c>
      <c r="BE156" s="3900">
        <f>SUM(BE155)</f>
        <v/>
      </c>
      <c r="BF156" s="3743" t="n"/>
      <c r="BG156" s="3900">
        <f>SUM(BG155)</f>
        <v/>
      </c>
    </row>
    <row r="157" hidden="1" outlineLevel="2" ht="12" customHeight="1" s="3710">
      <c r="B157" s="3891" t="n"/>
      <c r="C157" s="4203" t="inlineStr">
        <is>
          <t>Current maturities - finance lease</t>
        </is>
      </c>
      <c r="D157" s="4204" t="n">
        <v>230101</v>
      </c>
      <c r="E157" s="4204" t="inlineStr">
        <is>
          <t>230101 - Current Maturities - Finance Lease</t>
        </is>
      </c>
      <c r="F157" s="4205" t="n"/>
      <c r="G157" s="4205" t="n"/>
      <c r="H157" s="4205" t="n"/>
      <c r="I157" s="4205" t="n"/>
      <c r="J157" s="4205" t="n"/>
      <c r="K157" s="4205" t="n"/>
      <c r="L157" s="4205" t="n"/>
      <c r="M157" s="4205" t="n"/>
      <c r="N157" s="4205" t="n"/>
      <c r="O157" s="4205" t="n"/>
      <c r="P157" s="4205" t="n"/>
      <c r="Q157" s="4206" t="n"/>
      <c r="R157" s="4205" t="n"/>
      <c r="S157" s="4205" t="n"/>
      <c r="T157" s="4205" t="n"/>
      <c r="U157" s="4205" t="n"/>
      <c r="V157" s="4205" t="n"/>
      <c r="W157" s="4205" t="n"/>
      <c r="X157" s="4205" t="n"/>
      <c r="Y157" s="4205" t="n"/>
      <c r="Z157" s="4205" t="n"/>
      <c r="AA157" s="4205" t="n"/>
      <c r="AB157" s="4205" t="n"/>
      <c r="AC157" s="4206" t="n"/>
      <c r="AD157" s="4205" t="n"/>
      <c r="AE157" s="4205" t="n"/>
      <c r="AF157" s="4205" t="n"/>
      <c r="AG157" s="4205" t="n"/>
      <c r="AH157" s="4205" t="n"/>
      <c r="AI157" s="4205" t="n"/>
      <c r="AJ157" s="4205" t="n"/>
      <c r="AK157" s="4205" t="n"/>
      <c r="AL157" s="4205" t="n"/>
      <c r="AM157" s="4205" t="n"/>
      <c r="AN157" s="4205" t="n"/>
      <c r="AO157" s="4206" t="n"/>
      <c r="AP157" s="4205" t="n">
        <v>-589.173</v>
      </c>
      <c r="AQ157" s="4205" t="n">
        <v>-536.046</v>
      </c>
      <c r="AR157" s="4205" t="n">
        <v>-646.42</v>
      </c>
      <c r="AS157" s="4205" t="n">
        <v>-593.293</v>
      </c>
      <c r="AT157" s="4205" t="n">
        <v>-539.92753</v>
      </c>
      <c r="AU157" s="4207" t="n">
        <v>-595.91524</v>
      </c>
      <c r="AV157" s="4205">
        <f>Q157</f>
        <v/>
      </c>
      <c r="AW157" s="4205">
        <f>AC157</f>
        <v/>
      </c>
      <c r="AX157" s="4205">
        <f>AO157</f>
        <v/>
      </c>
      <c r="AY157" s="4205">
        <f>AS157</f>
        <v/>
      </c>
      <c r="AZ157" s="4205">
        <f>AU157</f>
        <v/>
      </c>
      <c r="BA157" s="4208">
        <f>AVERAGE(F157:Q157)</f>
        <v/>
      </c>
      <c r="BB157" s="4205">
        <f>AVERAGE(R157:AC157)</f>
        <v/>
      </c>
      <c r="BC157" s="4205">
        <f>AVERAGE(AD157:AO157)</f>
        <v/>
      </c>
      <c r="BD157" s="4205">
        <f>AVERAGE(AH157:AS157)</f>
        <v/>
      </c>
      <c r="BE157" s="4205">
        <f>AVERAGE(AJ157:AU157)</f>
        <v/>
      </c>
      <c r="BF157" s="3743" t="n"/>
      <c r="BG157" s="4205" t="n">
        <v>-880.2190000000001</v>
      </c>
    </row>
    <row r="158" hidden="1" outlineLevel="1" collapsed="1" ht="12" customHeight="1" s="3710">
      <c r="B158" s="3891" t="n"/>
      <c r="C158" s="4017" t="inlineStr">
        <is>
          <t xml:space="preserve">Finance lease obligation - leased equipment </t>
        </is>
      </c>
      <c r="D158" s="3902" t="n"/>
      <c r="E158" s="3902" t="n"/>
      <c r="F158" s="3900" t="n"/>
      <c r="G158" s="3900" t="n"/>
      <c r="H158" s="3900" t="n"/>
      <c r="I158" s="3900" t="n"/>
      <c r="J158" s="3900" t="n"/>
      <c r="K158" s="3900" t="n"/>
      <c r="L158" s="3900" t="n"/>
      <c r="M158" s="3900" t="n"/>
      <c r="N158" s="3900" t="n"/>
      <c r="O158" s="3900" t="n"/>
      <c r="P158" s="3900" t="n"/>
      <c r="Q158" s="4200" t="n"/>
      <c r="R158" s="3900" t="n"/>
      <c r="S158" s="3900" t="n"/>
      <c r="T158" s="3900" t="n"/>
      <c r="U158" s="3900" t="n"/>
      <c r="V158" s="3900" t="n"/>
      <c r="W158" s="3900" t="n"/>
      <c r="X158" s="3900" t="n"/>
      <c r="Y158" s="3900" t="n"/>
      <c r="Z158" s="3900" t="n"/>
      <c r="AA158" s="3900" t="n"/>
      <c r="AB158" s="3900" t="n"/>
      <c r="AC158" s="4200" t="n"/>
      <c r="AD158" s="3900" t="n"/>
      <c r="AE158" s="3900" t="n"/>
      <c r="AF158" s="3900" t="n"/>
      <c r="AG158" s="3900" t="n"/>
      <c r="AH158" s="3900" t="n"/>
      <c r="AI158" s="3900" t="n"/>
      <c r="AJ158" s="3900" t="n"/>
      <c r="AK158" s="3900" t="n"/>
      <c r="AL158" s="3900" t="n"/>
      <c r="AM158" s="3900" t="n"/>
      <c r="AN158" s="3900" t="n"/>
      <c r="AO158" s="4200" t="n"/>
      <c r="AP158" s="3900">
        <f>SUM(AP157)</f>
        <v/>
      </c>
      <c r="AQ158" s="3900">
        <f>SUM(AQ157)</f>
        <v/>
      </c>
      <c r="AR158" s="3900">
        <f>SUM(AR157)</f>
        <v/>
      </c>
      <c r="AS158" s="3900">
        <f>SUM(AS157)</f>
        <v/>
      </c>
      <c r="AT158" s="3900">
        <f>SUM(AT157)</f>
        <v/>
      </c>
      <c r="AU158" s="4201">
        <f>SUM(AU157)</f>
        <v/>
      </c>
      <c r="AV158" s="3900">
        <f>SUM(AV157)</f>
        <v/>
      </c>
      <c r="AW158" s="3900">
        <f>SUM(AW157)</f>
        <v/>
      </c>
      <c r="AX158" s="3900">
        <f>SUM(AX157)</f>
        <v/>
      </c>
      <c r="AY158" s="3900">
        <f>SUM(AY157)</f>
        <v/>
      </c>
      <c r="AZ158" s="3900">
        <f>SUM(AZ157)</f>
        <v/>
      </c>
      <c r="BA158" s="4202">
        <f>SUM(BA157)</f>
        <v/>
      </c>
      <c r="BB158" s="3900">
        <f>SUM(BB157)</f>
        <v/>
      </c>
      <c r="BC158" s="3900">
        <f>SUM(BC157)</f>
        <v/>
      </c>
      <c r="BD158" s="3900">
        <f>SUM(BD157)</f>
        <v/>
      </c>
      <c r="BE158" s="3900">
        <f>SUM(BE157)</f>
        <v/>
      </c>
      <c r="BF158" s="3743" t="n"/>
      <c r="BG158" s="3900">
        <f>SUM(BG157)</f>
        <v/>
      </c>
    </row>
    <row r="159" hidden="1" outlineLevel="2" ht="12" customHeight="1" s="3710">
      <c r="B159" s="3891" t="n"/>
      <c r="C159" s="4012" t="inlineStr">
        <is>
          <t>Return of cap - co-op payable</t>
        </is>
      </c>
      <c r="D159" s="3902" t="n">
        <v>249051</v>
      </c>
      <c r="E159" s="3902" t="inlineStr">
        <is>
          <t>249051 - Return of Cap - Co-op Payable</t>
        </is>
      </c>
      <c r="F159" s="3900" t="n"/>
      <c r="G159" s="3900" t="n"/>
      <c r="H159" s="3900" t="n"/>
      <c r="I159" s="3900" t="n"/>
      <c r="J159" s="3900" t="n"/>
      <c r="K159" s="3900" t="n"/>
      <c r="L159" s="3900" t="n"/>
      <c r="M159" s="3900" t="n"/>
      <c r="N159" s="3900" t="n"/>
      <c r="O159" s="3900" t="n"/>
      <c r="P159" s="3900" t="n"/>
      <c r="Q159" s="4200" t="n"/>
      <c r="R159" s="3900" t="n"/>
      <c r="S159" s="3900" t="n"/>
      <c r="T159" s="3900" t="n"/>
      <c r="U159" s="3900" t="n"/>
      <c r="V159" s="3900" t="n"/>
      <c r="W159" s="3900" t="n"/>
      <c r="X159" s="3900" t="n"/>
      <c r="Y159" s="3900" t="n"/>
      <c r="Z159" s="3900" t="n"/>
      <c r="AA159" s="3900" t="n"/>
      <c r="AB159" s="3900" t="n"/>
      <c r="AC159" s="4200" t="n"/>
      <c r="AD159" s="3900" t="n"/>
      <c r="AE159" s="3900" t="n"/>
      <c r="AF159" s="3900" t="n"/>
      <c r="AG159" s="3900" t="n"/>
      <c r="AH159" s="3900" t="n"/>
      <c r="AI159" s="3900" t="n"/>
      <c r="AJ159" s="3900" t="n"/>
      <c r="AK159" s="3900" t="n"/>
      <c r="AL159" s="3900" t="n"/>
      <c r="AM159" s="3900" t="n"/>
      <c r="AN159" s="3900" t="n"/>
      <c r="AO159" s="4200" t="n"/>
      <c r="AP159" s="3900" t="n">
        <v>-5100</v>
      </c>
      <c r="AQ159" s="3900" t="n">
        <v>0</v>
      </c>
      <c r="AR159" s="3900" t="n">
        <v>0</v>
      </c>
      <c r="AS159" s="3900" t="n">
        <v>0</v>
      </c>
      <c r="AT159" s="3900" t="n">
        <v>0</v>
      </c>
      <c r="AU159" s="4201" t="n">
        <v>0</v>
      </c>
      <c r="AV159" s="3900">
        <f>Q159</f>
        <v/>
      </c>
      <c r="AW159" s="3900">
        <f>AC159</f>
        <v/>
      </c>
      <c r="AX159" s="3900">
        <f>AO159</f>
        <v/>
      </c>
      <c r="AY159" s="3900">
        <f>AS159</f>
        <v/>
      </c>
      <c r="AZ159" s="3900">
        <f>AU159</f>
        <v/>
      </c>
      <c r="BA159" s="4202">
        <f>AVERAGE(F159:Q159)</f>
        <v/>
      </c>
      <c r="BB159" s="3900">
        <f>AVERAGE(R159:AC159)</f>
        <v/>
      </c>
      <c r="BC159" s="3900">
        <f>AVERAGE(AD159:AO159)</f>
        <v/>
      </c>
      <c r="BD159" s="3900">
        <f>AVERAGE(AH159:AS159)</f>
        <v/>
      </c>
      <c r="BE159" s="3900">
        <f>AVERAGE(AJ159:AU159)</f>
        <v/>
      </c>
      <c r="BF159" s="3743" t="n"/>
      <c r="BG159" s="3900" t="n">
        <v>0</v>
      </c>
    </row>
    <row r="160" hidden="1" outlineLevel="2" ht="12" customHeight="1" s="3710">
      <c r="B160" s="3891" t="n"/>
      <c r="C160" s="4203" t="inlineStr">
        <is>
          <t>Return of cap payable - celero</t>
        </is>
      </c>
      <c r="D160" s="4204" t="n">
        <v>249049</v>
      </c>
      <c r="E160" s="4204" t="inlineStr">
        <is>
          <t>249049 - Return of Cap Payable - Celero</t>
        </is>
      </c>
      <c r="F160" s="4205" t="n"/>
      <c r="G160" s="4205" t="n"/>
      <c r="H160" s="4205" t="n"/>
      <c r="I160" s="4205" t="n"/>
      <c r="J160" s="4205" t="n"/>
      <c r="K160" s="4205" t="n"/>
      <c r="L160" s="4205" t="n"/>
      <c r="M160" s="4205" t="n"/>
      <c r="N160" s="4205" t="n"/>
      <c r="O160" s="4205" t="n"/>
      <c r="P160" s="4205" t="n"/>
      <c r="Q160" s="4206" t="n"/>
      <c r="R160" s="4205" t="n"/>
      <c r="S160" s="4205" t="n"/>
      <c r="T160" s="4205" t="n"/>
      <c r="U160" s="4205" t="n"/>
      <c r="V160" s="4205" t="n"/>
      <c r="W160" s="4205" t="n"/>
      <c r="X160" s="4205" t="n"/>
      <c r="Y160" s="4205" t="n"/>
      <c r="Z160" s="4205" t="n"/>
      <c r="AA160" s="4205" t="n"/>
      <c r="AB160" s="4205" t="n"/>
      <c r="AC160" s="4206" t="n"/>
      <c r="AD160" s="4205" t="n"/>
      <c r="AE160" s="4205" t="n"/>
      <c r="AF160" s="4205" t="n"/>
      <c r="AG160" s="4205" t="n"/>
      <c r="AH160" s="4205" t="n"/>
      <c r="AI160" s="4205" t="n"/>
      <c r="AJ160" s="4205" t="n"/>
      <c r="AK160" s="4205" t="n"/>
      <c r="AL160" s="4205" t="n"/>
      <c r="AM160" s="4205" t="n"/>
      <c r="AN160" s="4205" t="n"/>
      <c r="AO160" s="4206" t="n"/>
      <c r="AP160" s="4205" t="n">
        <v>-4900</v>
      </c>
      <c r="AQ160" s="4205" t="n">
        <v>0</v>
      </c>
      <c r="AR160" s="4205" t="n">
        <v>0</v>
      </c>
      <c r="AS160" s="4205" t="n">
        <v>0</v>
      </c>
      <c r="AT160" s="4205" t="n">
        <v>0</v>
      </c>
      <c r="AU160" s="4207" t="n">
        <v>0</v>
      </c>
      <c r="AV160" s="4205">
        <f>Q160</f>
        <v/>
      </c>
      <c r="AW160" s="4205">
        <f>AC160</f>
        <v/>
      </c>
      <c r="AX160" s="4205">
        <f>AO160</f>
        <v/>
      </c>
      <c r="AY160" s="4205">
        <f>AS160</f>
        <v/>
      </c>
      <c r="AZ160" s="4205">
        <f>AU160</f>
        <v/>
      </c>
      <c r="BA160" s="4208">
        <f>AVERAGE(F160:Q160)</f>
        <v/>
      </c>
      <c r="BB160" s="4205">
        <f>AVERAGE(R160:AC160)</f>
        <v/>
      </c>
      <c r="BC160" s="4205">
        <f>AVERAGE(AD160:AO160)</f>
        <v/>
      </c>
      <c r="BD160" s="4205">
        <f>AVERAGE(AH160:AS160)</f>
        <v/>
      </c>
      <c r="BE160" s="4205">
        <f>AVERAGE(AJ160:AU160)</f>
        <v/>
      </c>
      <c r="BF160" s="3743" t="n"/>
      <c r="BG160" s="4205" t="n">
        <v>0</v>
      </c>
    </row>
    <row r="161" hidden="1" outlineLevel="1" collapsed="1" ht="12" customHeight="1" s="3710">
      <c r="B161" s="3891" t="n"/>
      <c r="C161" s="4210" t="inlineStr">
        <is>
          <t xml:space="preserve">Shareholder return of capital payable </t>
        </is>
      </c>
      <c r="D161" s="4204" t="n"/>
      <c r="E161" s="4204" t="n"/>
      <c r="F161" s="4205" t="n"/>
      <c r="G161" s="4205" t="n"/>
      <c r="H161" s="4205" t="n"/>
      <c r="I161" s="4205" t="n"/>
      <c r="J161" s="4205" t="n"/>
      <c r="K161" s="4205" t="n"/>
      <c r="L161" s="4205" t="n"/>
      <c r="M161" s="4205" t="n"/>
      <c r="N161" s="4205" t="n"/>
      <c r="O161" s="4205" t="n"/>
      <c r="P161" s="4205" t="n"/>
      <c r="Q161" s="4206" t="n"/>
      <c r="R161" s="4205" t="n"/>
      <c r="S161" s="4205" t="n"/>
      <c r="T161" s="4205" t="n"/>
      <c r="U161" s="4205" t="n"/>
      <c r="V161" s="4205" t="n"/>
      <c r="W161" s="4205" t="n"/>
      <c r="X161" s="4205" t="n"/>
      <c r="Y161" s="4205" t="n"/>
      <c r="Z161" s="4205" t="n"/>
      <c r="AA161" s="4205" t="n"/>
      <c r="AB161" s="4205" t="n"/>
      <c r="AC161" s="4206" t="n"/>
      <c r="AD161" s="4205" t="n"/>
      <c r="AE161" s="4205" t="n"/>
      <c r="AF161" s="4205" t="n"/>
      <c r="AG161" s="4205" t="n"/>
      <c r="AH161" s="4205" t="n"/>
      <c r="AI161" s="4205" t="n"/>
      <c r="AJ161" s="4205" t="n"/>
      <c r="AK161" s="4205" t="n"/>
      <c r="AL161" s="4205" t="n"/>
      <c r="AM161" s="4205" t="n"/>
      <c r="AN161" s="4205" t="n"/>
      <c r="AO161" s="4206" t="n"/>
      <c r="AP161" s="4205">
        <f>SUM(AP159:AP160)</f>
        <v/>
      </c>
      <c r="AQ161" s="4205">
        <f>SUM(AQ159:AQ160)</f>
        <v/>
      </c>
      <c r="AR161" s="4205">
        <f>SUM(AR159:AR160)</f>
        <v/>
      </c>
      <c r="AS161" s="4205">
        <f>SUM(AS159:AS160)</f>
        <v/>
      </c>
      <c r="AT161" s="4205">
        <f>SUM(AT159:AT160)</f>
        <v/>
      </c>
      <c r="AU161" s="4207">
        <f>SUM(AU159:AU160)</f>
        <v/>
      </c>
      <c r="AV161" s="4205">
        <f>SUM(AV159:AV160)</f>
        <v/>
      </c>
      <c r="AW161" s="4205">
        <f>SUM(AW159:AW160)</f>
        <v/>
      </c>
      <c r="AX161" s="4205">
        <f>SUM(AX159:AX160)</f>
        <v/>
      </c>
      <c r="AY161" s="4205">
        <f>SUM(AY159:AY160)</f>
        <v/>
      </c>
      <c r="AZ161" s="4205">
        <f>SUM(AZ159:AZ160)</f>
        <v/>
      </c>
      <c r="BA161" s="4208">
        <f>SUM(BA159:BA160)</f>
        <v/>
      </c>
      <c r="BB161" s="4205">
        <f>SUM(BB159:BB160)</f>
        <v/>
      </c>
      <c r="BC161" s="4205">
        <f>SUM(BC159:BC160)</f>
        <v/>
      </c>
      <c r="BD161" s="4205">
        <f>SUM(BD159:BD160)</f>
        <v/>
      </c>
      <c r="BE161" s="4205">
        <f>SUM(BE159:BE160)</f>
        <v/>
      </c>
      <c r="BF161" s="3743" t="n"/>
      <c r="BG161" s="4205">
        <f>SUM(BG159:BG160)</f>
        <v/>
      </c>
    </row>
    <row r="162" ht="12" customHeight="1" s="3710">
      <c r="B162" s="3891" t="n"/>
      <c r="C162" s="3902" t="inlineStr">
        <is>
          <t xml:space="preserve">Current liabilities </t>
        </is>
      </c>
      <c r="D162" s="3902" t="n"/>
      <c r="E162" s="3902" t="n"/>
      <c r="F162" s="3900" t="n"/>
      <c r="G162" s="3900" t="n"/>
      <c r="H162" s="3900" t="n"/>
      <c r="I162" s="3900" t="n"/>
      <c r="J162" s="3900" t="n"/>
      <c r="K162" s="3900" t="n"/>
      <c r="L162" s="3900" t="n"/>
      <c r="M162" s="3900" t="n"/>
      <c r="N162" s="3900" t="n"/>
      <c r="O162" s="3900" t="n"/>
      <c r="P162" s="3900" t="n"/>
      <c r="Q162" s="4200" t="n"/>
      <c r="R162" s="3900" t="n"/>
      <c r="S162" s="3900" t="n"/>
      <c r="T162" s="3900" t="n"/>
      <c r="U162" s="3900" t="n"/>
      <c r="V162" s="3900" t="n"/>
      <c r="W162" s="3900" t="n"/>
      <c r="X162" s="3900" t="n"/>
      <c r="Y162" s="3900" t="n"/>
      <c r="Z162" s="3900" t="n"/>
      <c r="AA162" s="3900" t="n"/>
      <c r="AB162" s="3900" t="n"/>
      <c r="AC162" s="4200" t="n"/>
      <c r="AD162" s="3900" t="n"/>
      <c r="AE162" s="3900" t="n"/>
      <c r="AF162" s="3900" t="n"/>
      <c r="AG162" s="3900" t="n"/>
      <c r="AH162" s="3900" t="n"/>
      <c r="AI162" s="3900" t="n"/>
      <c r="AJ162" s="3900" t="n"/>
      <c r="AK162" s="3900" t="n"/>
      <c r="AL162" s="3900" t="n"/>
      <c r="AM162" s="3900" t="n"/>
      <c r="AN162" s="3900" t="n"/>
      <c r="AO162" s="4200" t="n"/>
      <c r="AP162" s="3900">
        <f>SUM(AP161,AP158,AP156,AP154,AP151,AP131,AP128,AP126,AP116)</f>
        <v/>
      </c>
      <c r="AQ162" s="3900">
        <f>SUM(AQ161,AQ158,AQ156,AQ154,AQ151,AQ131,AQ128,AQ126,AQ116)</f>
        <v/>
      </c>
      <c r="AR162" s="3900">
        <f>SUM(AR161,AR158,AR156,AR154,AR151,AR131,AR128,AR126,AR116)</f>
        <v/>
      </c>
      <c r="AS162" s="3900">
        <f>SUM(AS161,AS158,AS156,AS154,AS151,AS131,AS128,AS126,AS116)</f>
        <v/>
      </c>
      <c r="AT162" s="3900">
        <f>SUM(AT161,AT158,AT156,AT154,AT151,AT131,AT128,AT126,AT116)</f>
        <v/>
      </c>
      <c r="AU162" s="4201">
        <f>SUM(AU161,AU158,AU156,AU154,AU151,AU131,AU128,AU126,AU116)</f>
        <v/>
      </c>
      <c r="AV162" s="3900">
        <f>SUM(AV161,AV158,AV156,AV154,AV151,AV131,AV128,AV126,AV116)</f>
        <v/>
      </c>
      <c r="AW162" s="3900">
        <f>SUM(AW161,AW158,AW156,AW154,AW151,AW131,AW128,AW126,AW116)</f>
        <v/>
      </c>
      <c r="AX162" s="3900">
        <f>SUM(AX161,AX158,AX156,AX154,AX151,AX131,AX128,AX126,AX116)</f>
        <v/>
      </c>
      <c r="AY162" s="3900">
        <f>SUM(AY161,AY158,AY156,AY154,AY151,AY131,AY128,AY126,AY116)</f>
        <v/>
      </c>
      <c r="AZ162" s="3900">
        <f>SUM(AZ161,AZ158,AZ156,AZ154,AZ151,AZ131,AZ128,AZ126,AZ116)</f>
        <v/>
      </c>
      <c r="BA162" s="4202">
        <f>SUM(BA161,BA158,BA156,BA154,BA151,BA131,BA128,BA126,BA116)</f>
        <v/>
      </c>
      <c r="BB162" s="3900">
        <f>SUM(BB161,BB158,BB156,BB154,BB151,BB131,BB128,BB126,BB116)</f>
        <v/>
      </c>
      <c r="BC162" s="3900">
        <f>SUM(BC161,BC158,BC156,BC154,BC151,BC131,BC128,BC126,BC116)</f>
        <v/>
      </c>
      <c r="BD162" s="3900">
        <f>SUM(BD161,BD158,BD156,BD154,BD151,BD131,BD128,BD126,BD116)</f>
        <v/>
      </c>
      <c r="BE162" s="3900">
        <f>SUM(BE161,BE158,BE156,BE154,BE151,BE131,BE128,BE126,BE116)</f>
        <v/>
      </c>
      <c r="BF162" s="3743" t="n"/>
      <c r="BG162" s="3900">
        <f>SUM(BG161,BG158,BG156,BG154,BG151,BG131,BG128,BG126,BG116)</f>
        <v/>
      </c>
    </row>
    <row r="163" hidden="1" outlineLevel="2" ht="12" customHeight="1" s="3710">
      <c r="B163" s="3891" t="n"/>
      <c r="C163" s="4203" t="inlineStr">
        <is>
          <t>Contract liability long-term</t>
        </is>
      </c>
      <c r="D163" s="4204" t="n">
        <v>281515</v>
      </c>
      <c r="E163" s="4204" t="inlineStr">
        <is>
          <t>281515 - Contract Liability Long-Term</t>
        </is>
      </c>
      <c r="F163" s="4205" t="n"/>
      <c r="G163" s="4205" t="n"/>
      <c r="H163" s="4205" t="n"/>
      <c r="I163" s="4205" t="n"/>
      <c r="J163" s="4205" t="n"/>
      <c r="K163" s="4205" t="n"/>
      <c r="L163" s="4205" t="n"/>
      <c r="M163" s="4205" t="n"/>
      <c r="N163" s="4205" t="n"/>
      <c r="O163" s="4205" t="n"/>
      <c r="P163" s="4205" t="n"/>
      <c r="Q163" s="4206" t="n"/>
      <c r="R163" s="4205" t="n"/>
      <c r="S163" s="4205" t="n"/>
      <c r="T163" s="4205" t="n"/>
      <c r="U163" s="4205" t="n"/>
      <c r="V163" s="4205" t="n"/>
      <c r="W163" s="4205" t="n"/>
      <c r="X163" s="4205" t="n"/>
      <c r="Y163" s="4205" t="n"/>
      <c r="Z163" s="4205" t="n"/>
      <c r="AA163" s="4205" t="n"/>
      <c r="AB163" s="4205" t="n"/>
      <c r="AC163" s="4206" t="n"/>
      <c r="AD163" s="4205" t="n"/>
      <c r="AE163" s="4205" t="n"/>
      <c r="AF163" s="4205" t="n"/>
      <c r="AG163" s="4205" t="n"/>
      <c r="AH163" s="4205" t="n"/>
      <c r="AI163" s="4205" t="n"/>
      <c r="AJ163" s="4205" t="n"/>
      <c r="AK163" s="4205" t="n"/>
      <c r="AL163" s="4205" t="n"/>
      <c r="AM163" s="4205" t="n"/>
      <c r="AN163" s="4205" t="n"/>
      <c r="AO163" s="4206" t="n"/>
      <c r="AP163" s="4205" t="n">
        <v>-1906.516</v>
      </c>
      <c r="AQ163" s="4205" t="n">
        <v>-1914.462</v>
      </c>
      <c r="AR163" s="4205" t="n">
        <v>-1847.596</v>
      </c>
      <c r="AS163" s="4205" t="n">
        <v>-2208.016</v>
      </c>
      <c r="AT163" s="4205" t="n">
        <v>-2314.53028</v>
      </c>
      <c r="AU163" s="4207" t="n">
        <v>-2789.25806</v>
      </c>
      <c r="AV163" s="4205">
        <f>Q163</f>
        <v/>
      </c>
      <c r="AW163" s="4205">
        <f>AC163</f>
        <v/>
      </c>
      <c r="AX163" s="4205">
        <f>AO163</f>
        <v/>
      </c>
      <c r="AY163" s="4205">
        <f>AS163</f>
        <v/>
      </c>
      <c r="AZ163" s="4205">
        <f>AU163</f>
        <v/>
      </c>
      <c r="BA163" s="4208">
        <f>AVERAGE(F163:Q163)</f>
        <v/>
      </c>
      <c r="BB163" s="4205">
        <f>AVERAGE(R163:AC163)</f>
        <v/>
      </c>
      <c r="BC163" s="4205">
        <f>AVERAGE(AD163:AO163)</f>
        <v/>
      </c>
      <c r="BD163" s="4205">
        <f>AVERAGE(AH163:AS163)</f>
        <v/>
      </c>
      <c r="BE163" s="4205">
        <f>AVERAGE(AJ163:AU163)</f>
        <v/>
      </c>
      <c r="BF163" s="3743" t="n"/>
      <c r="BG163" s="4205" t="n">
        <v>-3160.786</v>
      </c>
    </row>
    <row r="164" hidden="1" outlineLevel="1" collapsed="1" ht="12" customHeight="1" s="3710">
      <c r="B164" s="3891" t="n"/>
      <c r="C164" s="4017" t="inlineStr">
        <is>
          <t xml:space="preserve">Contract liabilities - non-current </t>
        </is>
      </c>
      <c r="D164" s="3902" t="n"/>
      <c r="E164" s="3902" t="n"/>
      <c r="F164" s="3900" t="n"/>
      <c r="G164" s="3900" t="n"/>
      <c r="H164" s="3900" t="n"/>
      <c r="I164" s="3900" t="n"/>
      <c r="J164" s="3900" t="n"/>
      <c r="K164" s="3900" t="n"/>
      <c r="L164" s="3900" t="n"/>
      <c r="M164" s="3900" t="n"/>
      <c r="N164" s="3900" t="n"/>
      <c r="O164" s="3900" t="n"/>
      <c r="P164" s="3900" t="n"/>
      <c r="Q164" s="4200" t="n"/>
      <c r="R164" s="3900" t="n"/>
      <c r="S164" s="3900" t="n"/>
      <c r="T164" s="3900" t="n"/>
      <c r="U164" s="3900" t="n"/>
      <c r="V164" s="3900" t="n"/>
      <c r="W164" s="3900" t="n"/>
      <c r="X164" s="3900" t="n"/>
      <c r="Y164" s="3900" t="n"/>
      <c r="Z164" s="3900" t="n"/>
      <c r="AA164" s="3900" t="n"/>
      <c r="AB164" s="3900" t="n"/>
      <c r="AC164" s="4200" t="n"/>
      <c r="AD164" s="3900" t="n"/>
      <c r="AE164" s="3900" t="n"/>
      <c r="AF164" s="3900" t="n"/>
      <c r="AG164" s="3900" t="n"/>
      <c r="AH164" s="3900" t="n"/>
      <c r="AI164" s="3900" t="n"/>
      <c r="AJ164" s="3900" t="n"/>
      <c r="AK164" s="3900" t="n"/>
      <c r="AL164" s="3900" t="n"/>
      <c r="AM164" s="3900" t="n"/>
      <c r="AN164" s="3900" t="n"/>
      <c r="AO164" s="4200" t="n"/>
      <c r="AP164" s="3900">
        <f>SUM(AP163)</f>
        <v/>
      </c>
      <c r="AQ164" s="3900">
        <f>SUM(AQ163)</f>
        <v/>
      </c>
      <c r="AR164" s="3900">
        <f>SUM(AR163)</f>
        <v/>
      </c>
      <c r="AS164" s="3900">
        <f>SUM(AS163)</f>
        <v/>
      </c>
      <c r="AT164" s="3900">
        <f>SUM(AT163)</f>
        <v/>
      </c>
      <c r="AU164" s="4201">
        <f>SUM(AU163)</f>
        <v/>
      </c>
      <c r="AV164" s="3900">
        <f>SUM(AV163)</f>
        <v/>
      </c>
      <c r="AW164" s="3900">
        <f>SUM(AW163)</f>
        <v/>
      </c>
      <c r="AX164" s="3900">
        <f>SUM(AX163)</f>
        <v/>
      </c>
      <c r="AY164" s="3900">
        <f>SUM(AY163)</f>
        <v/>
      </c>
      <c r="AZ164" s="3900">
        <f>SUM(AZ163)</f>
        <v/>
      </c>
      <c r="BA164" s="4202">
        <f>SUM(BA163)</f>
        <v/>
      </c>
      <c r="BB164" s="3900">
        <f>SUM(BB163)</f>
        <v/>
      </c>
      <c r="BC164" s="3900">
        <f>SUM(BC163)</f>
        <v/>
      </c>
      <c r="BD164" s="3900">
        <f>SUM(BD163)</f>
        <v/>
      </c>
      <c r="BE164" s="3900">
        <f>SUM(BE163)</f>
        <v/>
      </c>
      <c r="BF164" s="3743" t="n"/>
      <c r="BG164" s="3900">
        <f>SUM(BG163)</f>
        <v/>
      </c>
    </row>
    <row r="165" hidden="1" outlineLevel="2" ht="12" customHeight="1" s="3710">
      <c r="B165" s="3891" t="n"/>
      <c r="C165" s="4203" t="inlineStr">
        <is>
          <t>Deferred compensation payable-</t>
        </is>
      </c>
      <c r="D165" s="4204" t="n">
        <v>253101</v>
      </c>
      <c r="E165" s="4204" t="inlineStr">
        <is>
          <t>253101 - Deferred Compensation Payable-</t>
        </is>
      </c>
      <c r="F165" s="4205" t="n"/>
      <c r="G165" s="4205" t="n"/>
      <c r="H165" s="4205" t="n"/>
      <c r="I165" s="4205" t="n"/>
      <c r="J165" s="4205" t="n"/>
      <c r="K165" s="4205" t="n"/>
      <c r="L165" s="4205" t="n"/>
      <c r="M165" s="4205" t="n"/>
      <c r="N165" s="4205" t="n"/>
      <c r="O165" s="4205" t="n"/>
      <c r="P165" s="4205" t="n"/>
      <c r="Q165" s="4206" t="n"/>
      <c r="R165" s="4205" t="n"/>
      <c r="S165" s="4205" t="n"/>
      <c r="T165" s="4205" t="n"/>
      <c r="U165" s="4205" t="n"/>
      <c r="V165" s="4205" t="n"/>
      <c r="W165" s="4205" t="n"/>
      <c r="X165" s="4205" t="n"/>
      <c r="Y165" s="4205" t="n"/>
      <c r="Z165" s="4205" t="n"/>
      <c r="AA165" s="4205" t="n"/>
      <c r="AB165" s="4205" t="n"/>
      <c r="AC165" s="4206" t="n"/>
      <c r="AD165" s="4205" t="n"/>
      <c r="AE165" s="4205" t="n"/>
      <c r="AF165" s="4205" t="n"/>
      <c r="AG165" s="4205" t="n"/>
      <c r="AH165" s="4205" t="n"/>
      <c r="AI165" s="4205" t="n"/>
      <c r="AJ165" s="4205" t="n"/>
      <c r="AK165" s="4205" t="n"/>
      <c r="AL165" s="4205" t="n"/>
      <c r="AM165" s="4205" t="n"/>
      <c r="AN165" s="4205" t="n"/>
      <c r="AO165" s="4206" t="n"/>
      <c r="AP165" s="4205" t="n">
        <v>-658.032</v>
      </c>
      <c r="AQ165" s="4205" t="n">
        <v>-693.991</v>
      </c>
      <c r="AR165" s="4205" t="n">
        <v>-734.8200000000001</v>
      </c>
      <c r="AS165" s="4205" t="n">
        <v>-772.689</v>
      </c>
      <c r="AT165" s="4205" t="n">
        <v>-806.55848</v>
      </c>
      <c r="AU165" s="4207" t="n">
        <v>-849.4274799999999</v>
      </c>
      <c r="AV165" s="4205">
        <f>Q165</f>
        <v/>
      </c>
      <c r="AW165" s="4205">
        <f>AC165</f>
        <v/>
      </c>
      <c r="AX165" s="4205">
        <f>AO165</f>
        <v/>
      </c>
      <c r="AY165" s="4205">
        <f>AS165</f>
        <v/>
      </c>
      <c r="AZ165" s="4205">
        <f>AU165</f>
        <v/>
      </c>
      <c r="BA165" s="4208">
        <f>AVERAGE(F165:Q165)</f>
        <v/>
      </c>
      <c r="BB165" s="4205">
        <f>AVERAGE(R165:AC165)</f>
        <v/>
      </c>
      <c r="BC165" s="4205">
        <f>AVERAGE(AD165:AO165)</f>
        <v/>
      </c>
      <c r="BD165" s="4205">
        <f>AVERAGE(AH165:AS165)</f>
        <v/>
      </c>
      <c r="BE165" s="4205">
        <f>AVERAGE(AJ165:AU165)</f>
        <v/>
      </c>
      <c r="BF165" s="3743" t="n"/>
      <c r="BG165" s="4205" t="n">
        <v>-214</v>
      </c>
    </row>
    <row r="166" hidden="1" outlineLevel="1" collapsed="1" ht="12" customHeight="1" s="3710">
      <c r="B166" s="3891" t="n"/>
      <c r="C166" s="4017" t="inlineStr">
        <is>
          <t xml:space="preserve">Deferred compensation </t>
        </is>
      </c>
      <c r="D166" s="3902" t="n"/>
      <c r="E166" s="3902" t="n"/>
      <c r="F166" s="3900" t="n"/>
      <c r="G166" s="3900" t="n"/>
      <c r="H166" s="3900" t="n"/>
      <c r="I166" s="3900" t="n"/>
      <c r="J166" s="3900" t="n"/>
      <c r="K166" s="3900" t="n"/>
      <c r="L166" s="3900" t="n"/>
      <c r="M166" s="3900" t="n"/>
      <c r="N166" s="3900" t="n"/>
      <c r="O166" s="3900" t="n"/>
      <c r="P166" s="3900" t="n"/>
      <c r="Q166" s="4200" t="n"/>
      <c r="R166" s="3900" t="n"/>
      <c r="S166" s="3900" t="n"/>
      <c r="T166" s="3900" t="n"/>
      <c r="U166" s="3900" t="n"/>
      <c r="V166" s="3900" t="n"/>
      <c r="W166" s="3900" t="n"/>
      <c r="X166" s="3900" t="n"/>
      <c r="Y166" s="3900" t="n"/>
      <c r="Z166" s="3900" t="n"/>
      <c r="AA166" s="3900" t="n"/>
      <c r="AB166" s="3900" t="n"/>
      <c r="AC166" s="4200" t="n"/>
      <c r="AD166" s="3900" t="n"/>
      <c r="AE166" s="3900" t="n"/>
      <c r="AF166" s="3900" t="n"/>
      <c r="AG166" s="3900" t="n"/>
      <c r="AH166" s="3900" t="n"/>
      <c r="AI166" s="3900" t="n"/>
      <c r="AJ166" s="3900" t="n"/>
      <c r="AK166" s="3900" t="n"/>
      <c r="AL166" s="3900" t="n"/>
      <c r="AM166" s="3900" t="n"/>
      <c r="AN166" s="3900" t="n"/>
      <c r="AO166" s="4200" t="n"/>
      <c r="AP166" s="3900">
        <f>SUM(AP165)</f>
        <v/>
      </c>
      <c r="AQ166" s="3900">
        <f>SUM(AQ165)</f>
        <v/>
      </c>
      <c r="AR166" s="3900">
        <f>SUM(AR165)</f>
        <v/>
      </c>
      <c r="AS166" s="3900">
        <f>SUM(AS165)</f>
        <v/>
      </c>
      <c r="AT166" s="3900">
        <f>SUM(AT165)</f>
        <v/>
      </c>
      <c r="AU166" s="4201">
        <f>SUM(AU165)</f>
        <v/>
      </c>
      <c r="AV166" s="3900">
        <f>SUM(AV165)</f>
        <v/>
      </c>
      <c r="AW166" s="3900">
        <f>SUM(AW165)</f>
        <v/>
      </c>
      <c r="AX166" s="3900">
        <f>SUM(AX165)</f>
        <v/>
      </c>
      <c r="AY166" s="3900">
        <f>SUM(AY165)</f>
        <v/>
      </c>
      <c r="AZ166" s="3900">
        <f>SUM(AZ165)</f>
        <v/>
      </c>
      <c r="BA166" s="4202">
        <f>SUM(BA165)</f>
        <v/>
      </c>
      <c r="BB166" s="3900">
        <f>SUM(BB165)</f>
        <v/>
      </c>
      <c r="BC166" s="3900">
        <f>SUM(BC165)</f>
        <v/>
      </c>
      <c r="BD166" s="3900">
        <f>SUM(BD165)</f>
        <v/>
      </c>
      <c r="BE166" s="3900">
        <f>SUM(BE165)</f>
        <v/>
      </c>
      <c r="BF166" s="3743" t="n"/>
      <c r="BG166" s="3900">
        <f>SUM(BG165)</f>
        <v/>
      </c>
    </row>
    <row r="167" hidden="1" outlineLevel="2" ht="12" customHeight="1" s="3710">
      <c r="B167" s="3891" t="n"/>
      <c r="C167" s="4012" t="inlineStr">
        <is>
          <t>Deferred tax liability</t>
        </is>
      </c>
      <c r="D167" s="3902" t="n">
        <v>260101</v>
      </c>
      <c r="E167" s="3902" t="inlineStr">
        <is>
          <t>260101 - Deferred Tax Liability</t>
        </is>
      </c>
      <c r="F167" s="3900" t="n"/>
      <c r="G167" s="3900" t="n"/>
      <c r="H167" s="3900" t="n"/>
      <c r="I167" s="3900" t="n"/>
      <c r="J167" s="3900" t="n"/>
      <c r="K167" s="3900" t="n"/>
      <c r="L167" s="3900" t="n"/>
      <c r="M167" s="3900" t="n"/>
      <c r="N167" s="3900" t="n"/>
      <c r="O167" s="3900" t="n"/>
      <c r="P167" s="3900" t="n"/>
      <c r="Q167" s="4200" t="n"/>
      <c r="R167" s="3900" t="n"/>
      <c r="S167" s="3900" t="n"/>
      <c r="T167" s="3900" t="n"/>
      <c r="U167" s="3900" t="n"/>
      <c r="V167" s="3900" t="n"/>
      <c r="W167" s="3900" t="n"/>
      <c r="X167" s="3900" t="n"/>
      <c r="Y167" s="3900" t="n"/>
      <c r="Z167" s="3900" t="n"/>
      <c r="AA167" s="3900" t="n"/>
      <c r="AB167" s="3900" t="n"/>
      <c r="AC167" s="4200" t="n"/>
      <c r="AD167" s="3900" t="n"/>
      <c r="AE167" s="3900" t="n"/>
      <c r="AF167" s="3900" t="n"/>
      <c r="AG167" s="3900" t="n"/>
      <c r="AH167" s="3900" t="n"/>
      <c r="AI167" s="3900" t="n"/>
      <c r="AJ167" s="3900" t="n"/>
      <c r="AK167" s="3900" t="n"/>
      <c r="AL167" s="3900" t="n"/>
      <c r="AM167" s="3900" t="n"/>
      <c r="AN167" s="3900" t="n"/>
      <c r="AO167" s="4200" t="n"/>
      <c r="AP167" s="3900" t="n">
        <v>-1769.683</v>
      </c>
      <c r="AQ167" s="3900" t="n">
        <v>-1771.683</v>
      </c>
      <c r="AR167" s="3900" t="n">
        <v>-1776.683</v>
      </c>
      <c r="AS167" s="3900" t="n">
        <v>-1786.683</v>
      </c>
      <c r="AT167" s="3900" t="n">
        <v>-1811.683</v>
      </c>
      <c r="AU167" s="4201" t="n">
        <v>-1841.683</v>
      </c>
      <c r="AV167" s="3900">
        <f>Q167</f>
        <v/>
      </c>
      <c r="AW167" s="3900">
        <f>AC167</f>
        <v/>
      </c>
      <c r="AX167" s="3900">
        <f>AO167</f>
        <v/>
      </c>
      <c r="AY167" s="3900">
        <f>AS167</f>
        <v/>
      </c>
      <c r="AZ167" s="3900">
        <f>AU167</f>
        <v/>
      </c>
      <c r="BA167" s="4202">
        <f>AVERAGE(F167:Q167)</f>
        <v/>
      </c>
      <c r="BB167" s="3900">
        <f>AVERAGE(R167:AC167)</f>
        <v/>
      </c>
      <c r="BC167" s="3900">
        <f>AVERAGE(AD167:AO167)</f>
        <v/>
      </c>
      <c r="BD167" s="3900">
        <f>AVERAGE(AH167:AS167)</f>
        <v/>
      </c>
      <c r="BE167" s="3900">
        <f>AVERAGE(AJ167:AU167)</f>
        <v/>
      </c>
      <c r="BF167" s="3743" t="n"/>
      <c r="BG167" s="3900" t="n">
        <v>-1724.838</v>
      </c>
    </row>
    <row r="168" hidden="1" outlineLevel="2" ht="12" customHeight="1" s="3710">
      <c r="B168" s="3891" t="n"/>
      <c r="C168" s="4203" t="inlineStr">
        <is>
          <t>Deferred tax liability IFRS- IFRS adjusted</t>
        </is>
      </c>
      <c r="D168" s="4204" t="n">
        <v>260115</v>
      </c>
      <c r="E168" s="4204" t="inlineStr">
        <is>
          <t>260115 - Deferred Tax Liability IFRS- IFRS Adjusted</t>
        </is>
      </c>
      <c r="F168" s="4205" t="n"/>
      <c r="G168" s="4205" t="n"/>
      <c r="H168" s="4205" t="n"/>
      <c r="I168" s="4205" t="n"/>
      <c r="J168" s="4205" t="n"/>
      <c r="K168" s="4205" t="n"/>
      <c r="L168" s="4205" t="n"/>
      <c r="M168" s="4205" t="n"/>
      <c r="N168" s="4205" t="n"/>
      <c r="O168" s="4205" t="n"/>
      <c r="P168" s="4205" t="n"/>
      <c r="Q168" s="4206" t="n"/>
      <c r="R168" s="4205" t="n"/>
      <c r="S168" s="4205" t="n"/>
      <c r="T168" s="4205" t="n"/>
      <c r="U168" s="4205" t="n"/>
      <c r="V168" s="4205" t="n"/>
      <c r="W168" s="4205" t="n"/>
      <c r="X168" s="4205" t="n"/>
      <c r="Y168" s="4205" t="n"/>
      <c r="Z168" s="4205" t="n"/>
      <c r="AA168" s="4205" t="n"/>
      <c r="AB168" s="4205" t="n"/>
      <c r="AC168" s="4206" t="n"/>
      <c r="AD168" s="4205" t="n"/>
      <c r="AE168" s="4205" t="n"/>
      <c r="AF168" s="4205" t="n"/>
      <c r="AG168" s="4205" t="n"/>
      <c r="AH168" s="4205" t="n"/>
      <c r="AI168" s="4205" t="n"/>
      <c r="AJ168" s="4205" t="n"/>
      <c r="AK168" s="4205" t="n"/>
      <c r="AL168" s="4205" t="n"/>
      <c r="AM168" s="4205" t="n"/>
      <c r="AN168" s="4205" t="n"/>
      <c r="AO168" s="4206" t="n"/>
      <c r="AP168" s="4205" t="n">
        <v>0</v>
      </c>
      <c r="AQ168" s="4205" t="n">
        <v>0</v>
      </c>
      <c r="AR168" s="4205" t="n">
        <v>0</v>
      </c>
      <c r="AS168" s="4205" t="n">
        <v>0</v>
      </c>
      <c r="AT168" s="4205" t="n">
        <v>0</v>
      </c>
      <c r="AU168" s="4207" t="n">
        <v>0</v>
      </c>
      <c r="AV168" s="4205">
        <f>Q168</f>
        <v/>
      </c>
      <c r="AW168" s="4205">
        <f>AC168</f>
        <v/>
      </c>
      <c r="AX168" s="4205">
        <f>AO168</f>
        <v/>
      </c>
      <c r="AY168" s="4205">
        <f>AS168</f>
        <v/>
      </c>
      <c r="AZ168" s="4205">
        <f>AU168</f>
        <v/>
      </c>
      <c r="BA168" s="4208">
        <f>AVERAGE(F168:Q168)</f>
        <v/>
      </c>
      <c r="BB168" s="4205">
        <f>AVERAGE(R168:AC168)</f>
        <v/>
      </c>
      <c r="BC168" s="4205">
        <f>AVERAGE(AD168:AO168)</f>
        <v/>
      </c>
      <c r="BD168" s="4205">
        <f>AVERAGE(AH168:AS168)</f>
        <v/>
      </c>
      <c r="BE168" s="4205">
        <f>AVERAGE(AJ168:AU168)</f>
        <v/>
      </c>
      <c r="BF168" s="3743" t="n"/>
      <c r="BG168" s="4205" t="n">
        <v>-27.93</v>
      </c>
    </row>
    <row r="169" hidden="1" outlineLevel="1" collapsed="1" ht="12" customHeight="1" s="3710">
      <c r="B169" s="3891" t="n"/>
      <c r="C169" s="4017" t="inlineStr">
        <is>
          <t xml:space="preserve">Deferred tax liabilities </t>
        </is>
      </c>
      <c r="D169" s="3902" t="n"/>
      <c r="E169" s="3902" t="n"/>
      <c r="F169" s="3900" t="n"/>
      <c r="G169" s="3900" t="n"/>
      <c r="H169" s="3900" t="n"/>
      <c r="I169" s="3900" t="n"/>
      <c r="J169" s="3900" t="n"/>
      <c r="K169" s="3900" t="n"/>
      <c r="L169" s="3900" t="n"/>
      <c r="M169" s="3900" t="n"/>
      <c r="N169" s="3900" t="n"/>
      <c r="O169" s="3900" t="n"/>
      <c r="P169" s="3900" t="n"/>
      <c r="Q169" s="4200" t="n"/>
      <c r="R169" s="3900" t="n"/>
      <c r="S169" s="3900" t="n"/>
      <c r="T169" s="3900" t="n"/>
      <c r="U169" s="3900" t="n"/>
      <c r="V169" s="3900" t="n"/>
      <c r="W169" s="3900" t="n"/>
      <c r="X169" s="3900" t="n"/>
      <c r="Y169" s="3900" t="n"/>
      <c r="Z169" s="3900" t="n"/>
      <c r="AA169" s="3900" t="n"/>
      <c r="AB169" s="3900" t="n"/>
      <c r="AC169" s="4200" t="n"/>
      <c r="AD169" s="3900" t="n"/>
      <c r="AE169" s="3900" t="n"/>
      <c r="AF169" s="3900" t="n"/>
      <c r="AG169" s="3900" t="n"/>
      <c r="AH169" s="3900" t="n"/>
      <c r="AI169" s="3900" t="n"/>
      <c r="AJ169" s="3900" t="n"/>
      <c r="AK169" s="3900" t="n"/>
      <c r="AL169" s="3900" t="n"/>
      <c r="AM169" s="3900" t="n"/>
      <c r="AN169" s="3900" t="n"/>
      <c r="AO169" s="4200" t="n"/>
      <c r="AP169" s="3900">
        <f>SUM(AP167:AP168)</f>
        <v/>
      </c>
      <c r="AQ169" s="3900">
        <f>SUM(AQ167:AQ168)</f>
        <v/>
      </c>
      <c r="AR169" s="3900">
        <f>SUM(AR167:AR168)</f>
        <v/>
      </c>
      <c r="AS169" s="3900">
        <f>SUM(AS167:AS168)</f>
        <v/>
      </c>
      <c r="AT169" s="3900">
        <f>SUM(AT167:AT168)</f>
        <v/>
      </c>
      <c r="AU169" s="4201">
        <f>SUM(AU167:AU168)</f>
        <v/>
      </c>
      <c r="AV169" s="3900">
        <f>SUM(AV167:AV168)</f>
        <v/>
      </c>
      <c r="AW169" s="3900">
        <f>SUM(AW167:AW168)</f>
        <v/>
      </c>
      <c r="AX169" s="3900">
        <f>SUM(AX167:AX168)</f>
        <v/>
      </c>
      <c r="AY169" s="3900">
        <f>SUM(AY167:AY168)</f>
        <v/>
      </c>
      <c r="AZ169" s="3900">
        <f>SUM(AZ167:AZ168)</f>
        <v/>
      </c>
      <c r="BA169" s="4202">
        <f>SUM(BA167:BA168)</f>
        <v/>
      </c>
      <c r="BB169" s="3900">
        <f>SUM(BB167:BB168)</f>
        <v/>
      </c>
      <c r="BC169" s="3900">
        <f>SUM(BC167:BC168)</f>
        <v/>
      </c>
      <c r="BD169" s="3900">
        <f>SUM(BD167:BD168)</f>
        <v/>
      </c>
      <c r="BE169" s="3900">
        <f>SUM(BE167:BE168)</f>
        <v/>
      </c>
      <c r="BF169" s="3743" t="n"/>
      <c r="BG169" s="3900">
        <f>SUM(BG167:BG168)</f>
        <v/>
      </c>
    </row>
    <row r="170" hidden="1" outlineLevel="2" ht="12" customHeight="1" s="3710">
      <c r="B170" s="3891" t="n"/>
      <c r="C170" s="4203" t="inlineStr">
        <is>
          <t>Long term - finance lease obligations</t>
        </is>
      </c>
      <c r="D170" s="4204" t="n">
        <v>270201</v>
      </c>
      <c r="E170" s="4204" t="inlineStr">
        <is>
          <t>270201 - Long Term - Finance Lease Obligations</t>
        </is>
      </c>
      <c r="F170" s="4205" t="n"/>
      <c r="G170" s="4205" t="n"/>
      <c r="H170" s="4205" t="n"/>
      <c r="I170" s="4205" t="n"/>
      <c r="J170" s="4205" t="n"/>
      <c r="K170" s="4205" t="n"/>
      <c r="L170" s="4205" t="n"/>
      <c r="M170" s="4205" t="n"/>
      <c r="N170" s="4205" t="n"/>
      <c r="O170" s="4205" t="n"/>
      <c r="P170" s="4205" t="n"/>
      <c r="Q170" s="4206" t="n"/>
      <c r="R170" s="4205" t="n"/>
      <c r="S170" s="4205" t="n"/>
      <c r="T170" s="4205" t="n"/>
      <c r="U170" s="4205" t="n"/>
      <c r="V170" s="4205" t="n"/>
      <c r="W170" s="4205" t="n"/>
      <c r="X170" s="4205" t="n"/>
      <c r="Y170" s="4205" t="n"/>
      <c r="Z170" s="4205" t="n"/>
      <c r="AA170" s="4205" t="n"/>
      <c r="AB170" s="4205" t="n"/>
      <c r="AC170" s="4206" t="n"/>
      <c r="AD170" s="4205" t="n"/>
      <c r="AE170" s="4205" t="n"/>
      <c r="AF170" s="4205" t="n"/>
      <c r="AG170" s="4205" t="n"/>
      <c r="AH170" s="4205" t="n"/>
      <c r="AI170" s="4205" t="n"/>
      <c r="AJ170" s="4205" t="n"/>
      <c r="AK170" s="4205" t="n"/>
      <c r="AL170" s="4205" t="n"/>
      <c r="AM170" s="4205" t="n"/>
      <c r="AN170" s="4205" t="n"/>
      <c r="AO170" s="4206" t="n"/>
      <c r="AP170" s="4205" t="n">
        <v>-1041.879</v>
      </c>
      <c r="AQ170" s="4205" t="n">
        <v>-1041.879</v>
      </c>
      <c r="AR170" s="4205" t="n">
        <v>-878.503</v>
      </c>
      <c r="AS170" s="4205" t="n">
        <v>-878.503</v>
      </c>
      <c r="AT170" s="4205" t="n">
        <v>-878.50288</v>
      </c>
      <c r="AU170" s="4207" t="n">
        <v>-769.03184</v>
      </c>
      <c r="AV170" s="4205">
        <f>Q170</f>
        <v/>
      </c>
      <c r="AW170" s="4205">
        <f>AC170</f>
        <v/>
      </c>
      <c r="AX170" s="4205">
        <f>AO170</f>
        <v/>
      </c>
      <c r="AY170" s="4205">
        <f>AS170</f>
        <v/>
      </c>
      <c r="AZ170" s="4205">
        <f>AU170</f>
        <v/>
      </c>
      <c r="BA170" s="4208">
        <f>AVERAGE(F170:Q170)</f>
        <v/>
      </c>
      <c r="BB170" s="4205">
        <f>AVERAGE(R170:AC170)</f>
        <v/>
      </c>
      <c r="BC170" s="4205">
        <f>AVERAGE(AD170:AO170)</f>
        <v/>
      </c>
      <c r="BD170" s="4205">
        <f>AVERAGE(AH170:AS170)</f>
        <v/>
      </c>
      <c r="BE170" s="4205">
        <f>AVERAGE(AJ170:AU170)</f>
        <v/>
      </c>
      <c r="BF170" s="3743" t="n"/>
      <c r="BG170" s="4205" t="n">
        <v>-550.855</v>
      </c>
    </row>
    <row r="171" hidden="1" outlineLevel="1" collapsed="1" ht="12" customHeight="1" s="3710">
      <c r="B171" s="3891" t="n"/>
      <c r="C171" s="4017" t="inlineStr">
        <is>
          <t xml:space="preserve">Long-term finance lease - leased equipment </t>
        </is>
      </c>
      <c r="D171" s="3902" t="n"/>
      <c r="E171" s="3902" t="n"/>
      <c r="F171" s="3900" t="n"/>
      <c r="G171" s="3900" t="n"/>
      <c r="H171" s="3900" t="n"/>
      <c r="I171" s="3900" t="n"/>
      <c r="J171" s="3900" t="n"/>
      <c r="K171" s="3900" t="n"/>
      <c r="L171" s="3900" t="n"/>
      <c r="M171" s="3900" t="n"/>
      <c r="N171" s="3900" t="n"/>
      <c r="O171" s="3900" t="n"/>
      <c r="P171" s="3900" t="n"/>
      <c r="Q171" s="4200" t="n"/>
      <c r="R171" s="3900" t="n"/>
      <c r="S171" s="3900" t="n"/>
      <c r="T171" s="3900" t="n"/>
      <c r="U171" s="3900" t="n"/>
      <c r="V171" s="3900" t="n"/>
      <c r="W171" s="3900" t="n"/>
      <c r="X171" s="3900" t="n"/>
      <c r="Y171" s="3900" t="n"/>
      <c r="Z171" s="3900" t="n"/>
      <c r="AA171" s="3900" t="n"/>
      <c r="AB171" s="3900" t="n"/>
      <c r="AC171" s="4200" t="n"/>
      <c r="AD171" s="3900" t="n"/>
      <c r="AE171" s="3900" t="n"/>
      <c r="AF171" s="3900" t="n"/>
      <c r="AG171" s="3900" t="n"/>
      <c r="AH171" s="3900" t="n"/>
      <c r="AI171" s="3900" t="n"/>
      <c r="AJ171" s="3900" t="n"/>
      <c r="AK171" s="3900" t="n"/>
      <c r="AL171" s="3900" t="n"/>
      <c r="AM171" s="3900" t="n"/>
      <c r="AN171" s="3900" t="n"/>
      <c r="AO171" s="4200" t="n"/>
      <c r="AP171" s="3900">
        <f>SUM(AP170)</f>
        <v/>
      </c>
      <c r="AQ171" s="3900">
        <f>SUM(AQ170)</f>
        <v/>
      </c>
      <c r="AR171" s="3900">
        <f>SUM(AR170)</f>
        <v/>
      </c>
      <c r="AS171" s="3900">
        <f>SUM(AS170)</f>
        <v/>
      </c>
      <c r="AT171" s="3900">
        <f>SUM(AT170)</f>
        <v/>
      </c>
      <c r="AU171" s="4201">
        <f>SUM(AU170)</f>
        <v/>
      </c>
      <c r="AV171" s="3900">
        <f>SUM(AV170)</f>
        <v/>
      </c>
      <c r="AW171" s="3900">
        <f>SUM(AW170)</f>
        <v/>
      </c>
      <c r="AX171" s="3900">
        <f>SUM(AX170)</f>
        <v/>
      </c>
      <c r="AY171" s="3900">
        <f>SUM(AY170)</f>
        <v/>
      </c>
      <c r="AZ171" s="3900">
        <f>SUM(AZ170)</f>
        <v/>
      </c>
      <c r="BA171" s="4202">
        <f>SUM(BA170)</f>
        <v/>
      </c>
      <c r="BB171" s="3900">
        <f>SUM(BB170)</f>
        <v/>
      </c>
      <c r="BC171" s="3900">
        <f>SUM(BC170)</f>
        <v/>
      </c>
      <c r="BD171" s="3900">
        <f>SUM(BD170)</f>
        <v/>
      </c>
      <c r="BE171" s="3900">
        <f>SUM(BE170)</f>
        <v/>
      </c>
      <c r="BF171" s="3743" t="n"/>
      <c r="BG171" s="3900">
        <f>SUM(BG170)</f>
        <v/>
      </c>
    </row>
    <row r="172" hidden="1" outlineLevel="2" ht="12" customHeight="1" s="3710">
      <c r="B172" s="3891" t="n"/>
      <c r="C172" s="4203" t="inlineStr">
        <is>
          <t>Long term - property lease</t>
        </is>
      </c>
      <c r="D172" s="4204" t="n">
        <v>270216</v>
      </c>
      <c r="E172" s="4204" t="inlineStr">
        <is>
          <t>270216 - Long Term - Property Lease</t>
        </is>
      </c>
      <c r="F172" s="4205" t="n"/>
      <c r="G172" s="4205" t="n"/>
      <c r="H172" s="4205" t="n"/>
      <c r="I172" s="4205" t="n"/>
      <c r="J172" s="4205" t="n"/>
      <c r="K172" s="4205" t="n"/>
      <c r="L172" s="4205" t="n"/>
      <c r="M172" s="4205" t="n"/>
      <c r="N172" s="4205" t="n"/>
      <c r="O172" s="4205" t="n"/>
      <c r="P172" s="4205" t="n"/>
      <c r="Q172" s="4206" t="n"/>
      <c r="R172" s="4205" t="n"/>
      <c r="S172" s="4205" t="n"/>
      <c r="T172" s="4205" t="n"/>
      <c r="U172" s="4205" t="n"/>
      <c r="V172" s="4205" t="n"/>
      <c r="W172" s="4205" t="n"/>
      <c r="X172" s="4205" t="n"/>
      <c r="Y172" s="4205" t="n"/>
      <c r="Z172" s="4205" t="n"/>
      <c r="AA172" s="4205" t="n"/>
      <c r="AB172" s="4205" t="n"/>
      <c r="AC172" s="4206" t="n"/>
      <c r="AD172" s="4205" t="n"/>
      <c r="AE172" s="4205" t="n"/>
      <c r="AF172" s="4205" t="n"/>
      <c r="AG172" s="4205" t="n"/>
      <c r="AH172" s="4205" t="n"/>
      <c r="AI172" s="4205" t="n"/>
      <c r="AJ172" s="4205" t="n"/>
      <c r="AK172" s="4205" t="n"/>
      <c r="AL172" s="4205" t="n"/>
      <c r="AM172" s="4205" t="n"/>
      <c r="AN172" s="4205" t="n"/>
      <c r="AO172" s="4206" t="n"/>
      <c r="AP172" s="4205" t="n">
        <v>-540.345</v>
      </c>
      <c r="AQ172" s="4205" t="n">
        <v>-540.345</v>
      </c>
      <c r="AR172" s="4205" t="n">
        <v>-540.345</v>
      </c>
      <c r="AS172" s="4205" t="n">
        <v>-540.345</v>
      </c>
      <c r="AT172" s="4205" t="n">
        <v>-540.3452</v>
      </c>
      <c r="AU172" s="4207" t="n">
        <v>-540.3452</v>
      </c>
      <c r="AV172" s="4205">
        <f>Q172</f>
        <v/>
      </c>
      <c r="AW172" s="4205">
        <f>AC172</f>
        <v/>
      </c>
      <c r="AX172" s="4205">
        <f>AO172</f>
        <v/>
      </c>
      <c r="AY172" s="4205">
        <f>AS172</f>
        <v/>
      </c>
      <c r="AZ172" s="4205">
        <f>AU172</f>
        <v/>
      </c>
      <c r="BA172" s="4208">
        <f>AVERAGE(F172:Q172)</f>
        <v/>
      </c>
      <c r="BB172" s="4205">
        <f>AVERAGE(R172:AC172)</f>
        <v/>
      </c>
      <c r="BC172" s="4205">
        <f>AVERAGE(AD172:AO172)</f>
        <v/>
      </c>
      <c r="BD172" s="4205">
        <f>AVERAGE(AH172:AS172)</f>
        <v/>
      </c>
      <c r="BE172" s="4205">
        <f>AVERAGE(AJ172:AU172)</f>
        <v/>
      </c>
      <c r="BF172" s="3743" t="n"/>
      <c r="BG172" s="4205" t="n">
        <v>-1516.703</v>
      </c>
    </row>
    <row r="173" hidden="1" outlineLevel="1" collapsed="1" ht="12" customHeight="1" s="3710">
      <c r="B173" s="3891" t="n"/>
      <c r="C173" s="4210" t="inlineStr">
        <is>
          <t xml:space="preserve">Long term - property lease </t>
        </is>
      </c>
      <c r="D173" s="4204" t="n"/>
      <c r="E173" s="4204" t="n"/>
      <c r="F173" s="4205" t="n"/>
      <c r="G173" s="4205" t="n"/>
      <c r="H173" s="4205" t="n"/>
      <c r="I173" s="4205" t="n"/>
      <c r="J173" s="4205" t="n"/>
      <c r="K173" s="4205" t="n"/>
      <c r="L173" s="4205" t="n"/>
      <c r="M173" s="4205" t="n"/>
      <c r="N173" s="4205" t="n"/>
      <c r="O173" s="4205" t="n"/>
      <c r="P173" s="4205" t="n"/>
      <c r="Q173" s="4206" t="n"/>
      <c r="R173" s="4205" t="n"/>
      <c r="S173" s="4205" t="n"/>
      <c r="T173" s="4205" t="n"/>
      <c r="U173" s="4205" t="n"/>
      <c r="V173" s="4205" t="n"/>
      <c r="W173" s="4205" t="n"/>
      <c r="X173" s="4205" t="n"/>
      <c r="Y173" s="4205" t="n"/>
      <c r="Z173" s="4205" t="n"/>
      <c r="AA173" s="4205" t="n"/>
      <c r="AB173" s="4205" t="n"/>
      <c r="AC173" s="4206" t="n"/>
      <c r="AD173" s="4205" t="n"/>
      <c r="AE173" s="4205" t="n"/>
      <c r="AF173" s="4205" t="n"/>
      <c r="AG173" s="4205" t="n"/>
      <c r="AH173" s="4205" t="n"/>
      <c r="AI173" s="4205" t="n"/>
      <c r="AJ173" s="4205" t="n"/>
      <c r="AK173" s="4205" t="n"/>
      <c r="AL173" s="4205" t="n"/>
      <c r="AM173" s="4205" t="n"/>
      <c r="AN173" s="4205" t="n"/>
      <c r="AO173" s="4206" t="n"/>
      <c r="AP173" s="4205">
        <f>SUM(AP172)</f>
        <v/>
      </c>
      <c r="AQ173" s="4205">
        <f>SUM(AQ172)</f>
        <v/>
      </c>
      <c r="AR173" s="4205">
        <f>SUM(AR172)</f>
        <v/>
      </c>
      <c r="AS173" s="4205">
        <f>SUM(AS172)</f>
        <v/>
      </c>
      <c r="AT173" s="4205">
        <f>SUM(AT172)</f>
        <v/>
      </c>
      <c r="AU173" s="4207">
        <f>SUM(AU172)</f>
        <v/>
      </c>
      <c r="AV173" s="4205">
        <f>SUM(AV172)</f>
        <v/>
      </c>
      <c r="AW173" s="4205">
        <f>SUM(AW172)</f>
        <v/>
      </c>
      <c r="AX173" s="4205">
        <f>SUM(AX172)</f>
        <v/>
      </c>
      <c r="AY173" s="4205">
        <f>SUM(AY172)</f>
        <v/>
      </c>
      <c r="AZ173" s="4205">
        <f>SUM(AZ172)</f>
        <v/>
      </c>
      <c r="BA173" s="4208">
        <f>SUM(BA172)</f>
        <v/>
      </c>
      <c r="BB173" s="4205">
        <f>SUM(BB172)</f>
        <v/>
      </c>
      <c r="BC173" s="4205">
        <f>SUM(BC172)</f>
        <v/>
      </c>
      <c r="BD173" s="4205">
        <f>SUM(BD172)</f>
        <v/>
      </c>
      <c r="BE173" s="4205">
        <f>SUM(BE172)</f>
        <v/>
      </c>
      <c r="BF173" s="3743" t="n"/>
      <c r="BG173" s="4205">
        <f>SUM(BG172)</f>
        <v/>
      </c>
    </row>
    <row r="174" ht="12" customHeight="1" s="3710">
      <c r="B174" s="3891" t="n"/>
      <c r="C174" s="4204" t="inlineStr">
        <is>
          <t xml:space="preserve">Non-current liabilities </t>
        </is>
      </c>
      <c r="D174" s="4204" t="n"/>
      <c r="E174" s="4204" t="n"/>
      <c r="F174" s="4205" t="n"/>
      <c r="G174" s="4205" t="n"/>
      <c r="H174" s="4205" t="n"/>
      <c r="I174" s="4205" t="n"/>
      <c r="J174" s="4205" t="n"/>
      <c r="K174" s="4205" t="n"/>
      <c r="L174" s="4205" t="n"/>
      <c r="M174" s="4205" t="n"/>
      <c r="N174" s="4205" t="n"/>
      <c r="O174" s="4205" t="n"/>
      <c r="P174" s="4205" t="n"/>
      <c r="Q174" s="4206" t="n"/>
      <c r="R174" s="4205" t="n"/>
      <c r="S174" s="4205" t="n"/>
      <c r="T174" s="4205" t="n"/>
      <c r="U174" s="4205" t="n"/>
      <c r="V174" s="4205" t="n"/>
      <c r="W174" s="4205" t="n"/>
      <c r="X174" s="4205" t="n"/>
      <c r="Y174" s="4205" t="n"/>
      <c r="Z174" s="4205" t="n"/>
      <c r="AA174" s="4205" t="n"/>
      <c r="AB174" s="4205" t="n"/>
      <c r="AC174" s="4206" t="n"/>
      <c r="AD174" s="4205" t="n"/>
      <c r="AE174" s="4205" t="n"/>
      <c r="AF174" s="4205" t="n"/>
      <c r="AG174" s="4205" t="n"/>
      <c r="AH174" s="4205" t="n"/>
      <c r="AI174" s="4205" t="n"/>
      <c r="AJ174" s="4205" t="n"/>
      <c r="AK174" s="4205" t="n"/>
      <c r="AL174" s="4205" t="n"/>
      <c r="AM174" s="4205" t="n"/>
      <c r="AN174" s="4205" t="n"/>
      <c r="AO174" s="4206" t="n"/>
      <c r="AP174" s="4205">
        <f>SUM(AP173,AP171,AP166,AP169,AP164)</f>
        <v/>
      </c>
      <c r="AQ174" s="4205">
        <f>SUM(AQ173,AQ171,AQ166,AQ169,AQ164)</f>
        <v/>
      </c>
      <c r="AR174" s="4205">
        <f>SUM(AR173,AR171,AR166,AR169,AR164)</f>
        <v/>
      </c>
      <c r="AS174" s="4205">
        <f>SUM(AS173,AS171,AS166,AS169,AS164)</f>
        <v/>
      </c>
      <c r="AT174" s="4205">
        <f>SUM(AT173,AT171,AT166,AT169,AT164)</f>
        <v/>
      </c>
      <c r="AU174" s="4207">
        <f>SUM(AU173,AU171,AU166,AU169,AU164)</f>
        <v/>
      </c>
      <c r="AV174" s="4205">
        <f>SUM(AV173,AV171,AV166,AV169,AV164)</f>
        <v/>
      </c>
      <c r="AW174" s="4205">
        <f>SUM(AW173,AW171,AW166,AW169,AW164)</f>
        <v/>
      </c>
      <c r="AX174" s="4205">
        <f>SUM(AX173,AX171,AX166,AX169,AX164)</f>
        <v/>
      </c>
      <c r="AY174" s="4205">
        <f>SUM(AY173,AY171,AY166,AY169,AY164)</f>
        <v/>
      </c>
      <c r="AZ174" s="4205">
        <f>SUM(AZ173,AZ171,AZ166,AZ169,AZ164)</f>
        <v/>
      </c>
      <c r="BA174" s="4208">
        <f>SUM(BA173,BA171,BA166,BA169,BA164)</f>
        <v/>
      </c>
      <c r="BB174" s="4205">
        <f>SUM(BB173,BB171,BB166,BB169,BB164)</f>
        <v/>
      </c>
      <c r="BC174" s="4205">
        <f>SUM(BC173,BC171,BC166,BC169,BC164)</f>
        <v/>
      </c>
      <c r="BD174" s="4205">
        <f>SUM(BD173,BD171,BD166,BD169,BD164)</f>
        <v/>
      </c>
      <c r="BE174" s="4205">
        <f>SUM(BE173,BE171,BE166,BE169,BE164)</f>
        <v/>
      </c>
      <c r="BF174" s="3743" t="n"/>
      <c r="BG174" s="4205">
        <f>SUM(BG173,BG171,BG166,BG169,BG164)</f>
        <v/>
      </c>
    </row>
    <row r="175" ht="12" customHeight="1" s="3710">
      <c r="B175" s="3891" t="n"/>
      <c r="C175" s="3902" t="inlineStr">
        <is>
          <t xml:space="preserve">Liabilities </t>
        </is>
      </c>
      <c r="D175" s="3902" t="n"/>
      <c r="E175" s="3902" t="n"/>
      <c r="F175" s="3900" t="n"/>
      <c r="G175" s="3900" t="n"/>
      <c r="H175" s="3900" t="n"/>
      <c r="I175" s="3900" t="n"/>
      <c r="J175" s="3900" t="n"/>
      <c r="K175" s="3900" t="n"/>
      <c r="L175" s="3900" t="n"/>
      <c r="M175" s="3900" t="n"/>
      <c r="N175" s="3900" t="n"/>
      <c r="O175" s="3900" t="n"/>
      <c r="P175" s="3900" t="n"/>
      <c r="Q175" s="4200" t="n"/>
      <c r="R175" s="3900" t="n"/>
      <c r="S175" s="3900" t="n"/>
      <c r="T175" s="3900" t="n"/>
      <c r="U175" s="3900" t="n"/>
      <c r="V175" s="3900" t="n"/>
      <c r="W175" s="3900" t="n"/>
      <c r="X175" s="3900" t="n"/>
      <c r="Y175" s="3900" t="n"/>
      <c r="Z175" s="3900" t="n"/>
      <c r="AA175" s="3900" t="n"/>
      <c r="AB175" s="3900" t="n"/>
      <c r="AC175" s="4200" t="n"/>
      <c r="AD175" s="3900" t="n"/>
      <c r="AE175" s="3900" t="n"/>
      <c r="AF175" s="3900" t="n"/>
      <c r="AG175" s="3900" t="n"/>
      <c r="AH175" s="3900" t="n"/>
      <c r="AI175" s="3900" t="n"/>
      <c r="AJ175" s="3900" t="n"/>
      <c r="AK175" s="3900" t="n"/>
      <c r="AL175" s="3900" t="n"/>
      <c r="AM175" s="3900" t="n"/>
      <c r="AN175" s="3900" t="n"/>
      <c r="AO175" s="4200" t="n"/>
      <c r="AP175" s="3900">
        <f>SUM(AP174,AP162)</f>
        <v/>
      </c>
      <c r="AQ175" s="3900">
        <f>SUM(AQ174,AQ162)</f>
        <v/>
      </c>
      <c r="AR175" s="3900">
        <f>SUM(AR174,AR162)</f>
        <v/>
      </c>
      <c r="AS175" s="3900">
        <f>SUM(AS174,AS162)</f>
        <v/>
      </c>
      <c r="AT175" s="3900">
        <f>SUM(AT174,AT162)</f>
        <v/>
      </c>
      <c r="AU175" s="4201">
        <f>SUM(AU174,AU162)</f>
        <v/>
      </c>
      <c r="AV175" s="3900">
        <f>SUM(AV174,AV162)</f>
        <v/>
      </c>
      <c r="AW175" s="3900">
        <f>SUM(AW174,AW162)</f>
        <v/>
      </c>
      <c r="AX175" s="3900">
        <f>SUM(AX174,AX162)</f>
        <v/>
      </c>
      <c r="AY175" s="3900">
        <f>SUM(AY174,AY162)</f>
        <v/>
      </c>
      <c r="AZ175" s="3900">
        <f>SUM(AZ174,AZ162)</f>
        <v/>
      </c>
      <c r="BA175" s="4202">
        <f>SUM(BA174,BA162)</f>
        <v/>
      </c>
      <c r="BB175" s="3900">
        <f>SUM(BB174,BB162)</f>
        <v/>
      </c>
      <c r="BC175" s="3900">
        <f>SUM(BC174,BC162)</f>
        <v/>
      </c>
      <c r="BD175" s="3900">
        <f>SUM(BD174,BD162)</f>
        <v/>
      </c>
      <c r="BE175" s="3900">
        <f>SUM(BE174,BE162)</f>
        <v/>
      </c>
      <c r="BF175" s="3743" t="n"/>
      <c r="BG175" s="3900">
        <f>SUM(BG174,BG162)</f>
        <v/>
      </c>
    </row>
    <row r="176" hidden="1" outlineLevel="2" ht="12" customHeight="1" s="3710">
      <c r="B176" s="3891" t="n"/>
      <c r="C176" s="4203" t="inlineStr">
        <is>
          <t>Capital stock</t>
        </is>
      </c>
      <c r="D176" s="4204" t="n">
        <v>335100</v>
      </c>
      <c r="E176" s="4204" t="inlineStr">
        <is>
          <t>335100 - Capital Stock</t>
        </is>
      </c>
      <c r="F176" s="4205" t="n"/>
      <c r="G176" s="4205" t="n"/>
      <c r="H176" s="4205" t="n"/>
      <c r="I176" s="4205" t="n"/>
      <c r="J176" s="4205" t="n"/>
      <c r="K176" s="4205" t="n"/>
      <c r="L176" s="4205" t="n"/>
      <c r="M176" s="4205" t="n"/>
      <c r="N176" s="4205" t="n"/>
      <c r="O176" s="4205" t="n"/>
      <c r="P176" s="4205" t="n"/>
      <c r="Q176" s="4206" t="n"/>
      <c r="R176" s="4205" t="n"/>
      <c r="S176" s="4205" t="n"/>
      <c r="T176" s="4205" t="n"/>
      <c r="U176" s="4205" t="n"/>
      <c r="V176" s="4205" t="n"/>
      <c r="W176" s="4205" t="n"/>
      <c r="X176" s="4205" t="n"/>
      <c r="Y176" s="4205" t="n"/>
      <c r="Z176" s="4205" t="n"/>
      <c r="AA176" s="4205" t="n"/>
      <c r="AB176" s="4205" t="n"/>
      <c r="AC176" s="4206" t="n"/>
      <c r="AD176" s="4205" t="n"/>
      <c r="AE176" s="4205" t="n"/>
      <c r="AF176" s="4205" t="n"/>
      <c r="AG176" s="4205" t="n"/>
      <c r="AH176" s="4205" t="n"/>
      <c r="AI176" s="4205" t="n"/>
      <c r="AJ176" s="4205" t="n"/>
      <c r="AK176" s="4205" t="n"/>
      <c r="AL176" s="4205" t="n"/>
      <c r="AM176" s="4205" t="n"/>
      <c r="AN176" s="4205" t="n"/>
      <c r="AO176" s="4206" t="n"/>
      <c r="AP176" s="4205" t="n">
        <v>-13055.5</v>
      </c>
      <c r="AQ176" s="4205" t="n">
        <v>-13055.5</v>
      </c>
      <c r="AR176" s="4205" t="n">
        <v>-13055.5</v>
      </c>
      <c r="AS176" s="4205" t="n">
        <v>-13055.5</v>
      </c>
      <c r="AT176" s="4205" t="n">
        <v>-13055.5</v>
      </c>
      <c r="AU176" s="4207" t="n">
        <v>-13055.5</v>
      </c>
      <c r="AV176" s="4205">
        <f>Q176</f>
        <v/>
      </c>
      <c r="AW176" s="4205">
        <f>AC176</f>
        <v/>
      </c>
      <c r="AX176" s="4205">
        <f>AO176</f>
        <v/>
      </c>
      <c r="AY176" s="4205">
        <f>AS176</f>
        <v/>
      </c>
      <c r="AZ176" s="4205">
        <f>AU176</f>
        <v/>
      </c>
      <c r="BA176" s="4208">
        <f>AVERAGE(F176:Q176)</f>
        <v/>
      </c>
      <c r="BB176" s="4205">
        <f>AVERAGE(R176:AC176)</f>
        <v/>
      </c>
      <c r="BC176" s="4205">
        <f>AVERAGE(AD176:AO176)</f>
        <v/>
      </c>
      <c r="BD176" s="4205">
        <f>AVERAGE(AH176:AS176)</f>
        <v/>
      </c>
      <c r="BE176" s="4205">
        <f>AVERAGE(AJ176:AU176)</f>
        <v/>
      </c>
      <c r="BF176" s="3743" t="n"/>
      <c r="BG176" s="4205" t="n">
        <v>-13055.5</v>
      </c>
    </row>
    <row r="177" hidden="1" outlineLevel="1" collapsed="1" ht="12" customHeight="1" s="3710">
      <c r="B177" s="3891" t="n"/>
      <c r="C177" s="4017" t="inlineStr">
        <is>
          <t xml:space="preserve">Share capital  </t>
        </is>
      </c>
      <c r="D177" s="3902" t="n"/>
      <c r="E177" s="3902" t="n"/>
      <c r="F177" s="3900" t="n"/>
      <c r="G177" s="3900" t="n"/>
      <c r="H177" s="3900" t="n"/>
      <c r="I177" s="3900" t="n"/>
      <c r="J177" s="3900" t="n"/>
      <c r="K177" s="3900" t="n"/>
      <c r="L177" s="3900" t="n"/>
      <c r="M177" s="3900" t="n"/>
      <c r="N177" s="3900" t="n"/>
      <c r="O177" s="3900" t="n"/>
      <c r="P177" s="3900" t="n"/>
      <c r="Q177" s="4200" t="n"/>
      <c r="R177" s="3900" t="n"/>
      <c r="S177" s="3900" t="n"/>
      <c r="T177" s="3900" t="n"/>
      <c r="U177" s="3900" t="n"/>
      <c r="V177" s="3900" t="n"/>
      <c r="W177" s="3900" t="n"/>
      <c r="X177" s="3900" t="n"/>
      <c r="Y177" s="3900" t="n"/>
      <c r="Z177" s="3900" t="n"/>
      <c r="AA177" s="3900" t="n"/>
      <c r="AB177" s="3900" t="n"/>
      <c r="AC177" s="4200" t="n"/>
      <c r="AD177" s="3900" t="n"/>
      <c r="AE177" s="3900" t="n"/>
      <c r="AF177" s="3900" t="n"/>
      <c r="AG177" s="3900" t="n"/>
      <c r="AH177" s="3900" t="n"/>
      <c r="AI177" s="3900" t="n"/>
      <c r="AJ177" s="3900" t="n"/>
      <c r="AK177" s="3900" t="n"/>
      <c r="AL177" s="3900" t="n"/>
      <c r="AM177" s="3900" t="n"/>
      <c r="AN177" s="3900" t="n"/>
      <c r="AO177" s="4200" t="n"/>
      <c r="AP177" s="3900">
        <f>SUM(AP176)</f>
        <v/>
      </c>
      <c r="AQ177" s="3900">
        <f>SUM(AQ176)</f>
        <v/>
      </c>
      <c r="AR177" s="3900">
        <f>SUM(AR176)</f>
        <v/>
      </c>
      <c r="AS177" s="3900">
        <f>SUM(AS176)</f>
        <v/>
      </c>
      <c r="AT177" s="3900">
        <f>SUM(AT176)</f>
        <v/>
      </c>
      <c r="AU177" s="4201">
        <f>SUM(AU176)</f>
        <v/>
      </c>
      <c r="AV177" s="3900">
        <f>SUM(AV176)</f>
        <v/>
      </c>
      <c r="AW177" s="3900">
        <f>SUM(AW176)</f>
        <v/>
      </c>
      <c r="AX177" s="3900">
        <f>SUM(AX176)</f>
        <v/>
      </c>
      <c r="AY177" s="3900">
        <f>SUM(AY176)</f>
        <v/>
      </c>
      <c r="AZ177" s="3900">
        <f>SUM(AZ176)</f>
        <v/>
      </c>
      <c r="BA177" s="4202">
        <f>SUM(BA176)</f>
        <v/>
      </c>
      <c r="BB177" s="3900">
        <f>SUM(BB176)</f>
        <v/>
      </c>
      <c r="BC177" s="3900">
        <f>SUM(BC176)</f>
        <v/>
      </c>
      <c r="BD177" s="3900">
        <f>SUM(BD176)</f>
        <v/>
      </c>
      <c r="BE177" s="3900">
        <f>SUM(BE176)</f>
        <v/>
      </c>
      <c r="BF177" s="3743" t="n"/>
      <c r="BG177" s="3900">
        <f>SUM(BG176)</f>
        <v/>
      </c>
    </row>
    <row r="178" hidden="1" outlineLevel="2" ht="12" customHeight="1" s="3710">
      <c r="B178" s="3891" t="n"/>
      <c r="C178" s="4203" t="inlineStr">
        <is>
          <t>Capital stock additional paid in</t>
        </is>
      </c>
      <c r="D178" s="4204" t="n">
        <v>335101</v>
      </c>
      <c r="E178" s="4204" t="inlineStr">
        <is>
          <t>335101 - Capital Stock Additional Paid In</t>
        </is>
      </c>
      <c r="F178" s="4205" t="n"/>
      <c r="G178" s="4205" t="n"/>
      <c r="H178" s="4205" t="n"/>
      <c r="I178" s="4205" t="n"/>
      <c r="J178" s="4205" t="n"/>
      <c r="K178" s="4205" t="n"/>
      <c r="L178" s="4205" t="n"/>
      <c r="M178" s="4205" t="n"/>
      <c r="N178" s="4205" t="n"/>
      <c r="O178" s="4205" t="n"/>
      <c r="P178" s="4205" t="n"/>
      <c r="Q178" s="4206" t="n"/>
      <c r="R178" s="4205" t="n"/>
      <c r="S178" s="4205" t="n"/>
      <c r="T178" s="4205" t="n"/>
      <c r="U178" s="4205" t="n"/>
      <c r="V178" s="4205" t="n"/>
      <c r="W178" s="4205" t="n"/>
      <c r="X178" s="4205" t="n"/>
      <c r="Y178" s="4205" t="n"/>
      <c r="Z178" s="4205" t="n"/>
      <c r="AA178" s="4205" t="n"/>
      <c r="AB178" s="4205" t="n"/>
      <c r="AC178" s="4206" t="n"/>
      <c r="AD178" s="4205" t="n"/>
      <c r="AE178" s="4205" t="n"/>
      <c r="AF178" s="4205" t="n"/>
      <c r="AG178" s="4205" t="n"/>
      <c r="AH178" s="4205" t="n"/>
      <c r="AI178" s="4205" t="n"/>
      <c r="AJ178" s="4205" t="n"/>
      <c r="AK178" s="4205" t="n"/>
      <c r="AL178" s="4205" t="n"/>
      <c r="AM178" s="4205" t="n"/>
      <c r="AN178" s="4205" t="n"/>
      <c r="AO178" s="4206" t="n"/>
      <c r="AP178" s="4205" t="n">
        <v>0</v>
      </c>
      <c r="AQ178" s="4205" t="n">
        <v>0</v>
      </c>
      <c r="AR178" s="4205" t="n">
        <v>0</v>
      </c>
      <c r="AS178" s="4205" t="n">
        <v>0</v>
      </c>
      <c r="AT178" s="4205" t="n">
        <v>0</v>
      </c>
      <c r="AU178" s="4207" t="n">
        <v>0</v>
      </c>
      <c r="AV178" s="4205">
        <f>Q178</f>
        <v/>
      </c>
      <c r="AW178" s="4205">
        <f>AC178</f>
        <v/>
      </c>
      <c r="AX178" s="4205">
        <f>AO178</f>
        <v/>
      </c>
      <c r="AY178" s="4205">
        <f>AS178</f>
        <v/>
      </c>
      <c r="AZ178" s="4205">
        <f>AU178</f>
        <v/>
      </c>
      <c r="BA178" s="4208">
        <f>AVERAGE(F178:Q178)</f>
        <v/>
      </c>
      <c r="BB178" s="4205">
        <f>AVERAGE(R178:AC178)</f>
        <v/>
      </c>
      <c r="BC178" s="4205">
        <f>AVERAGE(AD178:AO178)</f>
        <v/>
      </c>
      <c r="BD178" s="4205">
        <f>AVERAGE(AH178:AS178)</f>
        <v/>
      </c>
      <c r="BE178" s="4205">
        <f>AVERAGE(AJ178:AU178)</f>
        <v/>
      </c>
      <c r="BF178" s="3743" t="n"/>
      <c r="BG178" s="4205" t="n">
        <v>-1350.8</v>
      </c>
    </row>
    <row r="179" hidden="1" outlineLevel="1" collapsed="1" ht="12" customHeight="1" s="3710">
      <c r="B179" s="3891" t="n"/>
      <c r="C179" s="4017" t="inlineStr">
        <is>
          <t xml:space="preserve">Contributed surplus </t>
        </is>
      </c>
      <c r="D179" s="3902" t="n"/>
      <c r="E179" s="3902" t="n"/>
      <c r="F179" s="3900" t="n"/>
      <c r="G179" s="3900" t="n"/>
      <c r="H179" s="3900" t="n"/>
      <c r="I179" s="3900" t="n"/>
      <c r="J179" s="3900" t="n"/>
      <c r="K179" s="3900" t="n"/>
      <c r="L179" s="3900" t="n"/>
      <c r="M179" s="3900" t="n"/>
      <c r="N179" s="3900" t="n"/>
      <c r="O179" s="3900" t="n"/>
      <c r="P179" s="3900" t="n"/>
      <c r="Q179" s="4200" t="n"/>
      <c r="R179" s="3900" t="n"/>
      <c r="S179" s="3900" t="n"/>
      <c r="T179" s="3900" t="n"/>
      <c r="U179" s="3900" t="n"/>
      <c r="V179" s="3900" t="n"/>
      <c r="W179" s="3900" t="n"/>
      <c r="X179" s="3900" t="n"/>
      <c r="Y179" s="3900" t="n"/>
      <c r="Z179" s="3900" t="n"/>
      <c r="AA179" s="3900" t="n"/>
      <c r="AB179" s="3900" t="n"/>
      <c r="AC179" s="4200" t="n"/>
      <c r="AD179" s="3900" t="n"/>
      <c r="AE179" s="3900" t="n"/>
      <c r="AF179" s="3900" t="n"/>
      <c r="AG179" s="3900" t="n"/>
      <c r="AH179" s="3900" t="n"/>
      <c r="AI179" s="3900" t="n"/>
      <c r="AJ179" s="3900" t="n"/>
      <c r="AK179" s="3900" t="n"/>
      <c r="AL179" s="3900" t="n"/>
      <c r="AM179" s="3900" t="n"/>
      <c r="AN179" s="3900" t="n"/>
      <c r="AO179" s="4200" t="n"/>
      <c r="AP179" s="3900">
        <f>SUM(AP178)</f>
        <v/>
      </c>
      <c r="AQ179" s="3900">
        <f>SUM(AQ178)</f>
        <v/>
      </c>
      <c r="AR179" s="3900">
        <f>SUM(AR178)</f>
        <v/>
      </c>
      <c r="AS179" s="3900">
        <f>SUM(AS178)</f>
        <v/>
      </c>
      <c r="AT179" s="3900">
        <f>SUM(AT178)</f>
        <v/>
      </c>
      <c r="AU179" s="4201">
        <f>SUM(AU178)</f>
        <v/>
      </c>
      <c r="AV179" s="3900">
        <f>SUM(AV178)</f>
        <v/>
      </c>
      <c r="AW179" s="3900">
        <f>SUM(AW178)</f>
        <v/>
      </c>
      <c r="AX179" s="3900">
        <f>SUM(AX178)</f>
        <v/>
      </c>
      <c r="AY179" s="3900">
        <f>SUM(AY178)</f>
        <v/>
      </c>
      <c r="AZ179" s="3900">
        <f>SUM(AZ178)</f>
        <v/>
      </c>
      <c r="BA179" s="4202">
        <f>SUM(BA178)</f>
        <v/>
      </c>
      <c r="BB179" s="3900">
        <f>SUM(BB178)</f>
        <v/>
      </c>
      <c r="BC179" s="3900">
        <f>SUM(BC178)</f>
        <v/>
      </c>
      <c r="BD179" s="3900">
        <f>SUM(BD178)</f>
        <v/>
      </c>
      <c r="BE179" s="3900">
        <f>SUM(BE178)</f>
        <v/>
      </c>
      <c r="BF179" s="3743" t="n"/>
      <c r="BG179" s="3900">
        <f>SUM(BG178)</f>
        <v/>
      </c>
    </row>
    <row r="180" hidden="1" outlineLevel="1" ht="12" customHeight="1" s="3710">
      <c r="B180" s="3891" t="n"/>
      <c r="C180" s="4017" t="inlineStr">
        <is>
          <t xml:space="preserve">Net income </t>
        </is>
      </c>
      <c r="D180" s="3902" t="n"/>
      <c r="E180" s="3902" t="n"/>
      <c r="F180" s="3900" t="n"/>
      <c r="G180" s="3900" t="n"/>
      <c r="H180" s="3900" t="n"/>
      <c r="I180" s="3900" t="n"/>
      <c r="J180" s="3900" t="n"/>
      <c r="K180" s="3900" t="n"/>
      <c r="L180" s="3900" t="n"/>
      <c r="M180" s="3900" t="n"/>
      <c r="N180" s="3900" t="n"/>
      <c r="O180" s="3900" t="n"/>
      <c r="P180" s="3900" t="n"/>
      <c r="Q180" s="4200" t="n"/>
      <c r="R180" s="3900" t="n"/>
      <c r="S180" s="3900" t="n"/>
      <c r="T180" s="3900" t="n"/>
      <c r="U180" s="3900" t="n"/>
      <c r="V180" s="3900" t="n"/>
      <c r="W180" s="3900" t="n"/>
      <c r="X180" s="3900" t="n"/>
      <c r="Y180" s="3900" t="n"/>
      <c r="Z180" s="3900" t="n"/>
      <c r="AA180" s="3900" t="n"/>
      <c r="AB180" s="3900" t="n"/>
      <c r="AC180" s="4200" t="n"/>
      <c r="AD180" s="3900" t="n"/>
      <c r="AE180" s="3900" t="n"/>
      <c r="AF180" s="3900" t="n"/>
      <c r="AG180" s="3900" t="n"/>
      <c r="AH180" s="3900" t="n"/>
      <c r="AI180" s="3900" t="n"/>
      <c r="AJ180" s="3900" t="n"/>
      <c r="AK180" s="3900" t="n"/>
      <c r="AL180" s="3900" t="n"/>
      <c r="AM180" s="3900" t="n"/>
      <c r="AN180" s="3900" t="n"/>
      <c r="AO180" s="4200" t="n"/>
      <c r="AP180" s="3900">
        <f>-'Income statement'!AP353</f>
        <v/>
      </c>
      <c r="AQ180" s="3900">
        <f>AP180-'Income statement'!AQ353</f>
        <v/>
      </c>
      <c r="AR180" s="3900">
        <f>AQ180-'Income statement'!AR353</f>
        <v/>
      </c>
      <c r="AS180" s="3900">
        <f>AR180-'Income statement'!AS353</f>
        <v/>
      </c>
      <c r="AT180" s="3900">
        <f>AS180-'Income statement'!AT353</f>
        <v/>
      </c>
      <c r="AU180" s="4201">
        <f>AT180-'Income statement'!AU353</f>
        <v/>
      </c>
      <c r="AV180" s="3900">
        <f>Q180</f>
        <v/>
      </c>
      <c r="AW180" s="3900">
        <f>AC180</f>
        <v/>
      </c>
      <c r="AX180" s="3900">
        <f>AO180</f>
        <v/>
      </c>
      <c r="AY180" s="3900">
        <f>AS180</f>
        <v/>
      </c>
      <c r="AZ180" s="3900">
        <f>AU180</f>
        <v/>
      </c>
      <c r="BA180" s="4202">
        <f>AVERAGE(F180:Q180)</f>
        <v/>
      </c>
      <c r="BB180" s="3900">
        <f>AVERAGE(R180:AC180)</f>
        <v/>
      </c>
      <c r="BC180" s="3900">
        <f>AVERAGE(AD180:AO180)</f>
        <v/>
      </c>
      <c r="BD180" s="3900">
        <f>AVERAGE(AH180:AS180)</f>
        <v/>
      </c>
      <c r="BE180" s="3900">
        <f>AVERAGE(AJ180:AU180)</f>
        <v/>
      </c>
      <c r="BF180" s="3743" t="n"/>
      <c r="BG180" s="3900">
        <f>-'Income statement'!CX353</f>
        <v/>
      </c>
    </row>
    <row r="181" hidden="1" outlineLevel="2" ht="12" customHeight="1" s="3710">
      <c r="B181" s="3891" t="n"/>
      <c r="C181" s="4012" t="inlineStr">
        <is>
          <t>Current year earnings</t>
        </is>
      </c>
      <c r="D181" s="3902" t="n">
        <v>340101</v>
      </c>
      <c r="E181" s="3902" t="inlineStr">
        <is>
          <t>340101 - Current Year Earnings</t>
        </is>
      </c>
      <c r="F181" s="3900" t="n"/>
      <c r="G181" s="3900" t="n"/>
      <c r="H181" s="3900" t="n"/>
      <c r="I181" s="3900" t="n"/>
      <c r="J181" s="3900" t="n"/>
      <c r="K181" s="3900" t="n"/>
      <c r="L181" s="3900" t="n"/>
      <c r="M181" s="3900" t="n"/>
      <c r="N181" s="3900" t="n"/>
      <c r="O181" s="3900" t="n"/>
      <c r="P181" s="3900" t="n"/>
      <c r="Q181" s="4200" t="n"/>
      <c r="R181" s="3900" t="n"/>
      <c r="S181" s="3900" t="n"/>
      <c r="T181" s="3900" t="n"/>
      <c r="U181" s="3900" t="n"/>
      <c r="V181" s="3900" t="n"/>
      <c r="W181" s="3900" t="n"/>
      <c r="X181" s="3900" t="n"/>
      <c r="Y181" s="3900" t="n"/>
      <c r="Z181" s="3900" t="n"/>
      <c r="AA181" s="3900" t="n"/>
      <c r="AB181" s="3900" t="n"/>
      <c r="AC181" s="4200" t="n"/>
      <c r="AD181" s="3900" t="n"/>
      <c r="AE181" s="3900" t="n"/>
      <c r="AF181" s="3900" t="n"/>
      <c r="AG181" s="3900" t="n"/>
      <c r="AH181" s="3900" t="n"/>
      <c r="AI181" s="3900" t="n"/>
      <c r="AJ181" s="3900" t="n"/>
      <c r="AK181" s="3900" t="n"/>
      <c r="AL181" s="3900" t="n"/>
      <c r="AM181" s="3900" t="n"/>
      <c r="AN181" s="3900" t="n"/>
      <c r="AO181" s="4200" t="n"/>
      <c r="AP181" s="3900" t="n">
        <v>-43837.865</v>
      </c>
      <c r="AQ181" s="3900" t="n">
        <v>-43837.865</v>
      </c>
      <c r="AR181" s="3900" t="n">
        <v>-43837.865</v>
      </c>
      <c r="AS181" s="3900" t="n">
        <v>-43837.865</v>
      </c>
      <c r="AT181" s="3900" t="n">
        <v>-43837.86474</v>
      </c>
      <c r="AU181" s="4201" t="n">
        <v>-43837.86474</v>
      </c>
      <c r="AV181" s="3900">
        <f>Q181</f>
        <v/>
      </c>
      <c r="AW181" s="3900">
        <f>AC181</f>
        <v/>
      </c>
      <c r="AX181" s="3900">
        <f>AO181</f>
        <v/>
      </c>
      <c r="AY181" s="3900">
        <f>AS181</f>
        <v/>
      </c>
      <c r="AZ181" s="3900">
        <f>AU181</f>
        <v/>
      </c>
      <c r="BA181" s="4202">
        <f>AVERAGE(F181:Q181)</f>
        <v/>
      </c>
      <c r="BB181" s="3900">
        <f>AVERAGE(R181:AC181)</f>
        <v/>
      </c>
      <c r="BC181" s="3900">
        <f>AVERAGE(AD181:AO181)</f>
        <v/>
      </c>
      <c r="BD181" s="3900">
        <f>AVERAGE(AH181:AS181)</f>
        <v/>
      </c>
      <c r="BE181" s="3900">
        <f>AVERAGE(AJ181:AU181)</f>
        <v/>
      </c>
      <c r="BF181" s="3743" t="n"/>
      <c r="BG181" s="3900" t="n">
        <v>-10518.39</v>
      </c>
    </row>
    <row r="182" hidden="1" outlineLevel="2" ht="12" customHeight="1" s="3710">
      <c r="B182" s="3891" t="n"/>
      <c r="C182" s="4203" t="inlineStr">
        <is>
          <t>Dividends paid</t>
        </is>
      </c>
      <c r="D182" s="4204" t="n">
        <v>350101</v>
      </c>
      <c r="E182" s="4204" t="inlineStr">
        <is>
          <t>350101 - Dividends Paid</t>
        </is>
      </c>
      <c r="F182" s="4205" t="n"/>
      <c r="G182" s="4205" t="n"/>
      <c r="H182" s="4205" t="n"/>
      <c r="I182" s="4205" t="n"/>
      <c r="J182" s="4205" t="n"/>
      <c r="K182" s="4205" t="n"/>
      <c r="L182" s="4205" t="n"/>
      <c r="M182" s="4205" t="n"/>
      <c r="N182" s="4205" t="n"/>
      <c r="O182" s="4205" t="n"/>
      <c r="P182" s="4205" t="n"/>
      <c r="Q182" s="4206" t="n"/>
      <c r="R182" s="4205" t="n"/>
      <c r="S182" s="4205" t="n"/>
      <c r="T182" s="4205" t="n"/>
      <c r="U182" s="4205" t="n"/>
      <c r="V182" s="4205" t="n"/>
      <c r="W182" s="4205" t="n"/>
      <c r="X182" s="4205" t="n"/>
      <c r="Y182" s="4205" t="n"/>
      <c r="Z182" s="4205" t="n"/>
      <c r="AA182" s="4205" t="n"/>
      <c r="AB182" s="4205" t="n"/>
      <c r="AC182" s="4206" t="n"/>
      <c r="AD182" s="4205" t="n"/>
      <c r="AE182" s="4205" t="n"/>
      <c r="AF182" s="4205" t="n"/>
      <c r="AG182" s="4205" t="n"/>
      <c r="AH182" s="4205" t="n"/>
      <c r="AI182" s="4205" t="n"/>
      <c r="AJ182" s="4205" t="n"/>
      <c r="AK182" s="4205" t="n"/>
      <c r="AL182" s="4205" t="n"/>
      <c r="AM182" s="4205" t="n"/>
      <c r="AN182" s="4205" t="n"/>
      <c r="AO182" s="4206" t="n"/>
      <c r="AP182" s="4205" t="n">
        <v>31649.2</v>
      </c>
      <c r="AQ182" s="4205" t="n">
        <v>31649.2</v>
      </c>
      <c r="AR182" s="4205" t="n">
        <v>31649.2</v>
      </c>
      <c r="AS182" s="4205" t="n">
        <v>31649.2</v>
      </c>
      <c r="AT182" s="4205" t="n">
        <v>31649.2</v>
      </c>
      <c r="AU182" s="4207" t="n">
        <v>31649.2</v>
      </c>
      <c r="AV182" s="4205">
        <f>Q182</f>
        <v/>
      </c>
      <c r="AW182" s="4205">
        <f>AC182</f>
        <v/>
      </c>
      <c r="AX182" s="4205">
        <f>AO182</f>
        <v/>
      </c>
      <c r="AY182" s="4205">
        <f>AS182</f>
        <v/>
      </c>
      <c r="AZ182" s="4205">
        <f>AU182</f>
        <v/>
      </c>
      <c r="BA182" s="4208">
        <f>AVERAGE(F182:Q182)</f>
        <v/>
      </c>
      <c r="BB182" s="4205">
        <f>AVERAGE(R182:AC182)</f>
        <v/>
      </c>
      <c r="BC182" s="4205">
        <f>AVERAGE(AD182:AO182)</f>
        <v/>
      </c>
      <c r="BD182" s="4205">
        <f>AVERAGE(AH182:AS182)</f>
        <v/>
      </c>
      <c r="BE182" s="4205">
        <f>AVERAGE(AJ182:AU182)</f>
        <v/>
      </c>
      <c r="BF182" s="3743" t="n"/>
      <c r="BG182" s="4205" t="n">
        <v>0</v>
      </c>
    </row>
    <row r="183" hidden="1" outlineLevel="1" collapsed="1" ht="12" customHeight="1" s="3710">
      <c r="B183" s="3891" t="n"/>
      <c r="C183" s="4210" t="inlineStr">
        <is>
          <t xml:space="preserve">Retained earnings / deficit </t>
        </is>
      </c>
      <c r="D183" s="4204" t="n"/>
      <c r="E183" s="4204" t="n"/>
      <c r="F183" s="4205" t="n"/>
      <c r="G183" s="4205" t="n"/>
      <c r="H183" s="4205" t="n"/>
      <c r="I183" s="4205" t="n"/>
      <c r="J183" s="4205" t="n"/>
      <c r="K183" s="4205" t="n"/>
      <c r="L183" s="4205" t="n"/>
      <c r="M183" s="4205" t="n"/>
      <c r="N183" s="4205" t="n"/>
      <c r="O183" s="4205" t="n"/>
      <c r="P183" s="4205" t="n"/>
      <c r="Q183" s="4206" t="n"/>
      <c r="R183" s="4205" t="n"/>
      <c r="S183" s="4205" t="n"/>
      <c r="T183" s="4205" t="n"/>
      <c r="U183" s="4205" t="n"/>
      <c r="V183" s="4205" t="n"/>
      <c r="W183" s="4205" t="n"/>
      <c r="X183" s="4205" t="n"/>
      <c r="Y183" s="4205" t="n"/>
      <c r="Z183" s="4205" t="n"/>
      <c r="AA183" s="4205" t="n"/>
      <c r="AB183" s="4205" t="n"/>
      <c r="AC183" s="4206" t="n"/>
      <c r="AD183" s="4205" t="n"/>
      <c r="AE183" s="4205" t="n"/>
      <c r="AF183" s="4205" t="n"/>
      <c r="AG183" s="4205" t="n"/>
      <c r="AH183" s="4205" t="n"/>
      <c r="AI183" s="4205" t="n"/>
      <c r="AJ183" s="4205" t="n"/>
      <c r="AK183" s="4205" t="n"/>
      <c r="AL183" s="4205" t="n"/>
      <c r="AM183" s="4205" t="n"/>
      <c r="AN183" s="4205" t="n"/>
      <c r="AO183" s="4206" t="n"/>
      <c r="AP183" s="4205">
        <f>SUM(AP181:AP182)</f>
        <v/>
      </c>
      <c r="AQ183" s="4205">
        <f>SUM(AQ181:AQ182)</f>
        <v/>
      </c>
      <c r="AR183" s="4205">
        <f>SUM(AR181:AR182)</f>
        <v/>
      </c>
      <c r="AS183" s="4205">
        <f>SUM(AS181:AS182)</f>
        <v/>
      </c>
      <c r="AT183" s="4205">
        <f>SUM(AT181:AT182)</f>
        <v/>
      </c>
      <c r="AU183" s="4207">
        <f>SUM(AU181:AU182)</f>
        <v/>
      </c>
      <c r="AV183" s="4205">
        <f>SUM(AV181:AV182)</f>
        <v/>
      </c>
      <c r="AW183" s="4205">
        <f>SUM(AW181:AW182)</f>
        <v/>
      </c>
      <c r="AX183" s="4205">
        <f>SUM(AX181:AX182)</f>
        <v/>
      </c>
      <c r="AY183" s="4205">
        <f>SUM(AY181:AY182)</f>
        <v/>
      </c>
      <c r="AZ183" s="4205">
        <f>SUM(AZ181:AZ182)</f>
        <v/>
      </c>
      <c r="BA183" s="4208">
        <f>SUM(BA181:BA182)</f>
        <v/>
      </c>
      <c r="BB183" s="4205">
        <f>SUM(BB181:BB182)</f>
        <v/>
      </c>
      <c r="BC183" s="4205">
        <f>SUM(BC181:BC182)</f>
        <v/>
      </c>
      <c r="BD183" s="4205">
        <f>SUM(BD181:BD182)</f>
        <v/>
      </c>
      <c r="BE183" s="4205">
        <f>SUM(BE181:BE182)</f>
        <v/>
      </c>
      <c r="BF183" s="3743" t="n"/>
      <c r="BG183" s="4205">
        <f>SUM(BG181:BG182)</f>
        <v/>
      </c>
    </row>
    <row r="184" ht="12" customHeight="1" s="3710">
      <c r="B184" s="3891" t="n"/>
      <c r="C184" s="4204" t="inlineStr">
        <is>
          <t>Equity</t>
        </is>
      </c>
      <c r="D184" s="4204" t="n"/>
      <c r="E184" s="4204" t="n"/>
      <c r="F184" s="4205" t="n"/>
      <c r="G184" s="4205" t="n"/>
      <c r="H184" s="4205" t="n"/>
      <c r="I184" s="4205" t="n"/>
      <c r="J184" s="4205" t="n"/>
      <c r="K184" s="4205" t="n"/>
      <c r="L184" s="4205" t="n"/>
      <c r="M184" s="4205" t="n"/>
      <c r="N184" s="4205" t="n"/>
      <c r="O184" s="4205" t="n"/>
      <c r="P184" s="4205" t="n"/>
      <c r="Q184" s="4206" t="n"/>
      <c r="R184" s="4205" t="n"/>
      <c r="S184" s="4205" t="n"/>
      <c r="T184" s="4205" t="n"/>
      <c r="U184" s="4205" t="n"/>
      <c r="V184" s="4205" t="n"/>
      <c r="W184" s="4205" t="n"/>
      <c r="X184" s="4205" t="n"/>
      <c r="Y184" s="4205" t="n"/>
      <c r="Z184" s="4205" t="n"/>
      <c r="AA184" s="4205" t="n"/>
      <c r="AB184" s="4205" t="n"/>
      <c r="AC184" s="4206" t="n"/>
      <c r="AD184" s="4205" t="n"/>
      <c r="AE184" s="4205" t="n"/>
      <c r="AF184" s="4205" t="n"/>
      <c r="AG184" s="4205" t="n"/>
      <c r="AH184" s="4205" t="n"/>
      <c r="AI184" s="4205" t="n"/>
      <c r="AJ184" s="4205" t="n"/>
      <c r="AK184" s="4205" t="n"/>
      <c r="AL184" s="4205" t="n"/>
      <c r="AM184" s="4205" t="n"/>
      <c r="AN184" s="4205" t="n"/>
      <c r="AO184" s="4206" t="n"/>
      <c r="AP184" s="4205">
        <f>SUM(AP183,AP180,AP179,AP177)</f>
        <v/>
      </c>
      <c r="AQ184" s="4205">
        <f>SUM(AQ183,AQ180,AQ179,AQ177)</f>
        <v/>
      </c>
      <c r="AR184" s="4205">
        <f>SUM(AR183,AR180,AR179,AR177)</f>
        <v/>
      </c>
      <c r="AS184" s="4205">
        <f>SUM(AS183,AS180,AS179,AS177)</f>
        <v/>
      </c>
      <c r="AT184" s="4205">
        <f>SUM(AT183,AT180,AT179,AT177)</f>
        <v/>
      </c>
      <c r="AU184" s="4207">
        <f>SUM(AU183,AU180,AU179,AU177)</f>
        <v/>
      </c>
      <c r="AV184" s="4205">
        <f>SUM(AV183,AV180,AV179,AV177)</f>
        <v/>
      </c>
      <c r="AW184" s="4205">
        <f>SUM(AW183,AW180,AW179,AW177)</f>
        <v/>
      </c>
      <c r="AX184" s="4205">
        <f>SUM(AX183,AX180,AX179,AX177)</f>
        <v/>
      </c>
      <c r="AY184" s="4205">
        <f>SUM(AY183,AY180,AY179,AY177)</f>
        <v/>
      </c>
      <c r="AZ184" s="4205">
        <f>SUM(AZ183,AZ180,AZ179,AZ177)</f>
        <v/>
      </c>
      <c r="BA184" s="4208">
        <f>SUM(BA183,BA180,BA179,BA177)</f>
        <v/>
      </c>
      <c r="BB184" s="4205">
        <f>SUM(BB183,BB180,BB179,BB177)</f>
        <v/>
      </c>
      <c r="BC184" s="4205">
        <f>SUM(BC183,BC180,BC179,BC177)</f>
        <v/>
      </c>
      <c r="BD184" s="4205">
        <f>SUM(BD183,BD180,BD179,BD177)</f>
        <v/>
      </c>
      <c r="BE184" s="4205">
        <f>SUM(BE183,BE180,BE179,BE177)</f>
        <v/>
      </c>
      <c r="BF184" s="3743" t="n"/>
      <c r="BG184" s="4205">
        <f>SUM(BG183,BG180,BG179,BG177)</f>
        <v/>
      </c>
    </row>
    <row r="185" ht="12" customHeight="1" s="3710">
      <c r="B185" s="3891" t="n"/>
      <c r="C185" s="4212" t="inlineStr">
        <is>
          <t>Liabilities and equity</t>
        </is>
      </c>
      <c r="D185" s="4213" t="n"/>
      <c r="E185" s="4213" t="n"/>
      <c r="F185" s="4214" t="n"/>
      <c r="G185" s="4214" t="n"/>
      <c r="H185" s="4214" t="n"/>
      <c r="I185" s="4214" t="n"/>
      <c r="J185" s="4214" t="n"/>
      <c r="K185" s="4214" t="n"/>
      <c r="L185" s="4214" t="n"/>
      <c r="M185" s="4214" t="n"/>
      <c r="N185" s="4214" t="n"/>
      <c r="O185" s="4214" t="n"/>
      <c r="P185" s="4214" t="n"/>
      <c r="Q185" s="4215" t="n"/>
      <c r="R185" s="4214" t="n"/>
      <c r="S185" s="4214" t="n"/>
      <c r="T185" s="4214" t="n"/>
      <c r="U185" s="4214" t="n"/>
      <c r="V185" s="4214" t="n"/>
      <c r="W185" s="4214" t="n"/>
      <c r="X185" s="4214" t="n"/>
      <c r="Y185" s="4214" t="n"/>
      <c r="Z185" s="4214" t="n"/>
      <c r="AA185" s="4214" t="n"/>
      <c r="AB185" s="4214" t="n"/>
      <c r="AC185" s="4215" t="n"/>
      <c r="AD185" s="4214" t="n"/>
      <c r="AE185" s="4214" t="n"/>
      <c r="AF185" s="4214" t="n"/>
      <c r="AG185" s="4214" t="n"/>
      <c r="AH185" s="4214" t="n"/>
      <c r="AI185" s="4214" t="n"/>
      <c r="AJ185" s="4214" t="n"/>
      <c r="AK185" s="4214" t="n"/>
      <c r="AL185" s="4214" t="n"/>
      <c r="AM185" s="4214" t="n"/>
      <c r="AN185" s="4214" t="n"/>
      <c r="AO185" s="4215" t="n"/>
      <c r="AP185" s="4214">
        <f>SUM(AP184,AP175)</f>
        <v/>
      </c>
      <c r="AQ185" s="4214">
        <f>SUM(AQ184,AQ175)</f>
        <v/>
      </c>
      <c r="AR185" s="4214">
        <f>SUM(AR184,AR175)</f>
        <v/>
      </c>
      <c r="AS185" s="4214">
        <f>SUM(AS184,AS175)</f>
        <v/>
      </c>
      <c r="AT185" s="4214">
        <f>SUM(AT184,AT175)</f>
        <v/>
      </c>
      <c r="AU185" s="4216">
        <f>SUM(AU184,AU175)</f>
        <v/>
      </c>
      <c r="AV185" s="4214">
        <f>SUM(AV184,AV175)</f>
        <v/>
      </c>
      <c r="AW185" s="4214">
        <f>SUM(AW184,AW175)</f>
        <v/>
      </c>
      <c r="AX185" s="4214">
        <f>SUM(AX184,AX175)</f>
        <v/>
      </c>
      <c r="AY185" s="4214">
        <f>SUM(AY184,AY175)</f>
        <v/>
      </c>
      <c r="AZ185" s="4214">
        <f>SUM(AZ184,AZ175)</f>
        <v/>
      </c>
      <c r="BA185" s="4217">
        <f>SUM(BA184,BA175)</f>
        <v/>
      </c>
      <c r="BB185" s="4214">
        <f>SUM(BB184,BB175)</f>
        <v/>
      </c>
      <c r="BC185" s="4214">
        <f>SUM(BC184,BC175)</f>
        <v/>
      </c>
      <c r="BD185" s="4214">
        <f>SUM(BD184,BD175)</f>
        <v/>
      </c>
      <c r="BE185" s="4214">
        <f>SUM(BE184,BE175)</f>
        <v/>
      </c>
      <c r="BG185" s="4214">
        <f>SUM(BG184,BG175)</f>
        <v/>
      </c>
    </row>
    <row r="186" ht="12" customHeight="1" s="3710">
      <c r="B186" s="3891" t="n"/>
      <c r="F186" s="3900" t="n"/>
      <c r="G186" s="3900" t="n"/>
      <c r="H186" s="3900" t="n"/>
      <c r="I186" s="3900" t="n"/>
      <c r="J186" s="3900" t="n"/>
      <c r="K186" s="3900" t="n"/>
      <c r="L186" s="3900" t="n"/>
      <c r="M186" s="3900" t="n"/>
      <c r="N186" s="3900" t="n"/>
      <c r="O186" s="3900" t="n"/>
      <c r="P186" s="3900" t="n"/>
      <c r="Q186" s="3900" t="n"/>
      <c r="R186" s="3900" t="n"/>
      <c r="S186" s="3900" t="n"/>
      <c r="T186" s="3900" t="n"/>
      <c r="U186" s="3900" t="n"/>
      <c r="V186" s="3900" t="n"/>
      <c r="W186" s="3900" t="n"/>
      <c r="X186" s="3900" t="n"/>
      <c r="Y186" s="3900" t="n"/>
      <c r="Z186" s="3900" t="n"/>
      <c r="AA186" s="3900" t="n"/>
      <c r="AB186" s="3900" t="n"/>
      <c r="AC186" s="3900" t="n"/>
      <c r="AD186" s="3900" t="n"/>
      <c r="AE186" s="3900" t="n"/>
      <c r="AF186" s="3900" t="n"/>
      <c r="AG186" s="3900" t="n"/>
      <c r="AH186" s="3900" t="n"/>
      <c r="AI186" s="3900" t="n"/>
      <c r="AJ186" s="3900" t="n"/>
      <c r="AK186" s="3900" t="n"/>
      <c r="AL186" s="3900" t="n"/>
      <c r="AM186" s="3900" t="n"/>
      <c r="AN186" s="3900" t="n"/>
      <c r="AO186" s="3900" t="n"/>
      <c r="AP186" s="3900" t="n"/>
      <c r="AQ186" s="3900" t="n"/>
      <c r="AR186" s="3900" t="n"/>
      <c r="AS186" s="3900" t="n"/>
      <c r="AT186" s="3900" t="n"/>
      <c r="AU186" s="3900" t="n"/>
      <c r="AV186" s="3900" t="n"/>
      <c r="AW186" s="3900" t="n"/>
      <c r="AX186" s="3900" t="n"/>
      <c r="AY186" s="3900" t="n"/>
      <c r="AZ186" s="3900" t="n"/>
      <c r="BA186" s="3900" t="n"/>
      <c r="BB186" s="3900" t="n"/>
      <c r="BC186" s="3900" t="n"/>
      <c r="BD186" s="3900" t="n"/>
      <c r="BE186" s="3900" t="n"/>
      <c r="BG186" s="3900" t="n"/>
    </row>
    <row r="187" hidden="1" outlineLevel="1" ht="12" customHeight="1" s="3710">
      <c r="B187" s="3891" t="n"/>
      <c r="C187" s="4168" t="inlineStr">
        <is>
          <t>Audit check</t>
        </is>
      </c>
      <c r="D187" s="4220" t="n"/>
      <c r="E187" s="4220" t="n"/>
      <c r="F187" s="4221">
        <f>F95+F185</f>
        <v/>
      </c>
      <c r="G187" s="4221">
        <f>G95+G185</f>
        <v/>
      </c>
      <c r="H187" s="4221">
        <f>H95+H185</f>
        <v/>
      </c>
      <c r="I187" s="4221">
        <f>I95+I185</f>
        <v/>
      </c>
      <c r="J187" s="4221">
        <f>J95+J185</f>
        <v/>
      </c>
      <c r="K187" s="4221">
        <f>K95+K185</f>
        <v/>
      </c>
      <c r="L187" s="4221">
        <f>L95+L185</f>
        <v/>
      </c>
      <c r="M187" s="4221">
        <f>M95+M185</f>
        <v/>
      </c>
      <c r="N187" s="4221">
        <f>N95+N185</f>
        <v/>
      </c>
      <c r="O187" s="4221">
        <f>O95+O185</f>
        <v/>
      </c>
      <c r="P187" s="4221">
        <f>P95+P185</f>
        <v/>
      </c>
      <c r="Q187" s="4221">
        <f>Q95+Q185</f>
        <v/>
      </c>
      <c r="R187" s="4221">
        <f>R95+R185</f>
        <v/>
      </c>
      <c r="S187" s="4221">
        <f>S95+S185</f>
        <v/>
      </c>
      <c r="T187" s="4221">
        <f>T95+T185</f>
        <v/>
      </c>
      <c r="U187" s="4221">
        <f>U95+U185</f>
        <v/>
      </c>
      <c r="V187" s="4221">
        <f>V95+V185</f>
        <v/>
      </c>
      <c r="W187" s="4221">
        <f>W95+W185</f>
        <v/>
      </c>
      <c r="X187" s="4221">
        <f>X95+X185</f>
        <v/>
      </c>
      <c r="Y187" s="4221">
        <f>Y95+Y185</f>
        <v/>
      </c>
      <c r="Z187" s="4221">
        <f>Z95+Z185</f>
        <v/>
      </c>
      <c r="AA187" s="4221">
        <f>AA95+AA185</f>
        <v/>
      </c>
      <c r="AB187" s="4221">
        <f>AB95+AB185</f>
        <v/>
      </c>
      <c r="AC187" s="4221">
        <f>AC95+AC185</f>
        <v/>
      </c>
      <c r="AD187" s="4221">
        <f>AD95+AD185</f>
        <v/>
      </c>
      <c r="AE187" s="4221">
        <f>AE95+AE185</f>
        <v/>
      </c>
      <c r="AF187" s="4221">
        <f>AF95+AF185</f>
        <v/>
      </c>
      <c r="AG187" s="4221">
        <f>AG95+AG185</f>
        <v/>
      </c>
      <c r="AH187" s="4221">
        <f>AH95+AH185</f>
        <v/>
      </c>
      <c r="AI187" s="4221">
        <f>AI95+AI185</f>
        <v/>
      </c>
      <c r="AJ187" s="4221">
        <f>AJ95+AJ185</f>
        <v/>
      </c>
      <c r="AK187" s="4221">
        <f>AK95+AK185</f>
        <v/>
      </c>
      <c r="AL187" s="4221">
        <f>AL95+AL185</f>
        <v/>
      </c>
      <c r="AM187" s="4221">
        <f>AM95+AM185</f>
        <v/>
      </c>
      <c r="AN187" s="4221">
        <f>AN95+AN185</f>
        <v/>
      </c>
      <c r="AO187" s="4221">
        <f>AO95+AO185</f>
        <v/>
      </c>
      <c r="AP187" s="4221">
        <f>AP95+AP185</f>
        <v/>
      </c>
      <c r="AQ187" s="4221">
        <f>AQ95+AQ185</f>
        <v/>
      </c>
      <c r="AR187" s="4221">
        <f>AR95+AR185</f>
        <v/>
      </c>
      <c r="AS187" s="4221">
        <f>AS95+AS185</f>
        <v/>
      </c>
      <c r="AT187" s="4221">
        <f>AT95+AT185</f>
        <v/>
      </c>
      <c r="AU187" s="4221">
        <f>AU95+AU185</f>
        <v/>
      </c>
      <c r="AV187" s="4221">
        <f>AV95+AV185</f>
        <v/>
      </c>
      <c r="AW187" s="4221">
        <f>AW95+AW185</f>
        <v/>
      </c>
      <c r="AX187" s="4221">
        <f>AX95+AX185</f>
        <v/>
      </c>
      <c r="AY187" s="4221">
        <f>AY95+AY185</f>
        <v/>
      </c>
      <c r="AZ187" s="4221">
        <f>AZ95+AZ185</f>
        <v/>
      </c>
      <c r="BA187" s="4221">
        <f>BA95+BA185</f>
        <v/>
      </c>
      <c r="BB187" s="4221">
        <f>BB95+BB185</f>
        <v/>
      </c>
      <c r="BC187" s="4221">
        <f>BC95+BC185</f>
        <v/>
      </c>
      <c r="BD187" s="4221">
        <f>BD95+BD185</f>
        <v/>
      </c>
      <c r="BE187" s="4221">
        <f>BE95+BE185</f>
        <v/>
      </c>
      <c r="BG187" s="4221">
        <f>BG95+BG185</f>
        <v/>
      </c>
    </row>
    <row r="188" hidden="1" outlineLevel="1" ht="12" customHeight="1" s="3710">
      <c r="B188" s="3891" t="n"/>
      <c r="C188" s="4168" t="inlineStr">
        <is>
          <t>Asset</t>
        </is>
      </c>
      <c r="D188" s="4169" t="n"/>
      <c r="E188" s="4169" t="n"/>
      <c r="F188" s="4221" t="n"/>
      <c r="G188" s="4221" t="n"/>
      <c r="H188" s="4221" t="n"/>
      <c r="I188" s="4221" t="n"/>
      <c r="J188" s="4221" t="n"/>
      <c r="K188" s="4221" t="n"/>
      <c r="L188" s="4221" t="n"/>
      <c r="M188" s="4221" t="n"/>
      <c r="N188" s="4221" t="n"/>
      <c r="O188" s="4221" t="n"/>
      <c r="P188" s="4221" t="n"/>
      <c r="Q188" s="4221" t="n"/>
      <c r="R188" s="4221" t="n"/>
      <c r="S188" s="4221" t="n"/>
      <c r="T188" s="4221" t="n"/>
      <c r="U188" s="4221" t="n"/>
      <c r="V188" s="4221" t="n"/>
      <c r="W188" s="4221" t="n"/>
      <c r="X188" s="4221" t="n"/>
      <c r="Y188" s="4221" t="n"/>
      <c r="Z188" s="4221" t="n"/>
      <c r="AA188" s="4221" t="n"/>
      <c r="AB188" s="4221" t="n"/>
      <c r="AC188" s="4221" t="n"/>
      <c r="AD188" s="4221" t="n"/>
      <c r="AE188" s="4221" t="n"/>
      <c r="AF188" s="4221" t="n"/>
      <c r="AG188" s="4221" t="n"/>
      <c r="AH188" s="4221" t="n"/>
      <c r="AI188" s="4221" t="n"/>
      <c r="AJ188" s="4221" t="n"/>
      <c r="AK188" s="4221" t="n"/>
      <c r="AL188" s="4221" t="n"/>
      <c r="AM188" s="4221" t="n"/>
      <c r="AN188" s="4221" t="n"/>
      <c r="AO188" s="4221" t="n"/>
      <c r="AP188" s="4221" t="n">
        <v>76368.868</v>
      </c>
      <c r="AQ188" s="4221" t="n">
        <v>68304.943</v>
      </c>
      <c r="AR188" s="4221" t="n">
        <v>81128.20299999999</v>
      </c>
      <c r="AS188" s="4221" t="n">
        <v>83275.2</v>
      </c>
      <c r="AT188" s="4221" t="n">
        <v>86218.09011</v>
      </c>
      <c r="AU188" s="4221" t="n">
        <v>92380.14431</v>
      </c>
      <c r="AV188" s="4221">
        <f>Q188</f>
        <v/>
      </c>
      <c r="AW188" s="4221">
        <f>AC188</f>
        <v/>
      </c>
      <c r="AX188" s="4221">
        <f>AO188</f>
        <v/>
      </c>
      <c r="AY188" s="4221">
        <f>AS188</f>
        <v/>
      </c>
      <c r="AZ188" s="4221">
        <f>AU188</f>
        <v/>
      </c>
      <c r="BA188" s="4221">
        <f>AVERAGE(F188:Q188)</f>
        <v/>
      </c>
      <c r="BB188" s="4221">
        <f>AVERAGE(R188:AC188)</f>
        <v/>
      </c>
      <c r="BC188" s="4221">
        <f>AVERAGE(AD188:AO188)</f>
        <v/>
      </c>
      <c r="BD188" s="4221">
        <f>AVERAGE(AH188:AS188)</f>
        <v/>
      </c>
      <c r="BE188" s="4221">
        <f>AVERAGE(AJ188:AU188)</f>
        <v/>
      </c>
      <c r="BG188" s="4221" t="n">
        <v>52234.507</v>
      </c>
    </row>
    <row r="189" hidden="1" outlineLevel="1" ht="12" customHeight="1" s="3710">
      <c r="B189" s="3891" t="n"/>
      <c r="C189" s="4168" t="inlineStr">
        <is>
          <t>Check</t>
        </is>
      </c>
      <c r="D189" s="4169" t="n"/>
      <c r="E189" s="4169" t="n"/>
      <c r="F189" s="4221">
        <f>F188-F95</f>
        <v/>
      </c>
      <c r="G189" s="4221">
        <f>G188-G95</f>
        <v/>
      </c>
      <c r="H189" s="4221">
        <f>H188-H95</f>
        <v/>
      </c>
      <c r="I189" s="4221">
        <f>I188-I95</f>
        <v/>
      </c>
      <c r="J189" s="4221">
        <f>J188-J95</f>
        <v/>
      </c>
      <c r="K189" s="4221">
        <f>K188-K95</f>
        <v/>
      </c>
      <c r="L189" s="4221">
        <f>L188-L95</f>
        <v/>
      </c>
      <c r="M189" s="4221">
        <f>M188-M95</f>
        <v/>
      </c>
      <c r="N189" s="4221">
        <f>N188-N95</f>
        <v/>
      </c>
      <c r="O189" s="4221">
        <f>O188-O95</f>
        <v/>
      </c>
      <c r="P189" s="4221">
        <f>P188-P95</f>
        <v/>
      </c>
      <c r="Q189" s="4221">
        <f>Q188-Q95</f>
        <v/>
      </c>
      <c r="R189" s="4221">
        <f>R188-R95</f>
        <v/>
      </c>
      <c r="S189" s="4221">
        <f>S188-S95</f>
        <v/>
      </c>
      <c r="T189" s="4221">
        <f>T188-T95</f>
        <v/>
      </c>
      <c r="U189" s="4221">
        <f>U188-U95</f>
        <v/>
      </c>
      <c r="V189" s="4221">
        <f>V188-V95</f>
        <v/>
      </c>
      <c r="W189" s="4221">
        <f>W188-W95</f>
        <v/>
      </c>
      <c r="X189" s="4221">
        <f>X188-X95</f>
        <v/>
      </c>
      <c r="Y189" s="4221">
        <f>Y188-Y95</f>
        <v/>
      </c>
      <c r="Z189" s="4221">
        <f>Z188-Z95</f>
        <v/>
      </c>
      <c r="AA189" s="4221">
        <f>AA188-AA95</f>
        <v/>
      </c>
      <c r="AB189" s="4221">
        <f>AB188-AB95</f>
        <v/>
      </c>
      <c r="AC189" s="4221">
        <f>AC188-AC95</f>
        <v/>
      </c>
      <c r="AD189" s="4221">
        <f>AD188-AD95</f>
        <v/>
      </c>
      <c r="AE189" s="4221">
        <f>AE188-AE95</f>
        <v/>
      </c>
      <c r="AF189" s="4221">
        <f>AF188-AF95</f>
        <v/>
      </c>
      <c r="AG189" s="4221">
        <f>AG188-AG95</f>
        <v/>
      </c>
      <c r="AH189" s="4221">
        <f>AH188-AH95</f>
        <v/>
      </c>
      <c r="AI189" s="4221">
        <f>AI188-AI95</f>
        <v/>
      </c>
      <c r="AJ189" s="4221">
        <f>AJ188-AJ95</f>
        <v/>
      </c>
      <c r="AK189" s="4221">
        <f>AK188-AK95</f>
        <v/>
      </c>
      <c r="AL189" s="4221">
        <f>AL188-AL95</f>
        <v/>
      </c>
      <c r="AM189" s="4221">
        <f>AM188-AM95</f>
        <v/>
      </c>
      <c r="AN189" s="4221">
        <f>AN188-AN95</f>
        <v/>
      </c>
      <c r="AO189" s="4221">
        <f>AO188-AO95</f>
        <v/>
      </c>
      <c r="AP189" s="4221">
        <f>AP188-AP95</f>
        <v/>
      </c>
      <c r="AQ189" s="4221">
        <f>AQ188-AQ95</f>
        <v/>
      </c>
      <c r="AR189" s="4221">
        <f>AR188-AR95</f>
        <v/>
      </c>
      <c r="AS189" s="4221">
        <f>AS188-AS95</f>
        <v/>
      </c>
      <c r="AT189" s="4221">
        <f>AT188-AT95</f>
        <v/>
      </c>
      <c r="AU189" s="4221">
        <f>AU188-AU95</f>
        <v/>
      </c>
      <c r="AV189" s="4221">
        <f>AV188-AV95</f>
        <v/>
      </c>
      <c r="AW189" s="4221">
        <f>AW188-AW95</f>
        <v/>
      </c>
      <c r="AX189" s="4221">
        <f>AX188-AX95</f>
        <v/>
      </c>
      <c r="AY189" s="4221">
        <f>AY188-AY95</f>
        <v/>
      </c>
      <c r="AZ189" s="4221">
        <f>AZ188-AZ95</f>
        <v/>
      </c>
      <c r="BA189" s="4221">
        <f>BA188-BA95</f>
        <v/>
      </c>
      <c r="BB189" s="4221">
        <f>BB188-BB95</f>
        <v/>
      </c>
      <c r="BC189" s="4221">
        <f>BC188-BC95</f>
        <v/>
      </c>
      <c r="BD189" s="4221">
        <f>BD188-BD95</f>
        <v/>
      </c>
      <c r="BE189" s="4221">
        <f>BE188-BE95</f>
        <v/>
      </c>
      <c r="BG189" s="4221">
        <f>BG188-BG95</f>
        <v/>
      </c>
    </row>
    <row r="190" ht="12" customHeight="1" s="3710">
      <c r="B190" s="3891" t="n"/>
      <c r="BG190" s="4168" t="n"/>
    </row>
    <row r="191" ht="19.5" customHeight="1" s="3710">
      <c r="B191" s="4555" t="n"/>
      <c r="C191" s="4222" t="inlineStr">
        <is>
          <t>Equity roll</t>
        </is>
      </c>
      <c r="D191" s="4222" t="n"/>
      <c r="E191" s="4222" t="n"/>
      <c r="F191" s="4222" t="n"/>
      <c r="G191" s="4222" t="n"/>
      <c r="H191" s="4222" t="n"/>
      <c r="I191" s="4222" t="n"/>
      <c r="J191" s="4222" t="n"/>
      <c r="K191" s="4222" t="n"/>
      <c r="L191" s="4222" t="n"/>
      <c r="M191" s="4222" t="n"/>
      <c r="N191" s="4222" t="n"/>
      <c r="O191" s="4222" t="n"/>
      <c r="P191" s="4222" t="n"/>
      <c r="Q191" s="4222" t="n"/>
      <c r="R191" s="4222" t="n"/>
      <c r="S191" s="4222" t="n"/>
      <c r="T191" s="4222" t="n"/>
      <c r="U191" s="4222" t="n"/>
      <c r="V191" s="4222" t="n"/>
      <c r="W191" s="4222" t="n"/>
      <c r="X191" s="4222" t="n"/>
      <c r="Y191" s="4222" t="n"/>
      <c r="Z191" s="4222" t="n"/>
      <c r="AA191" s="4222" t="n"/>
      <c r="AB191" s="4222" t="n"/>
      <c r="AC191" s="4222" t="n"/>
      <c r="AD191" s="4222" t="n"/>
      <c r="AE191" s="4222" t="n"/>
      <c r="AF191" s="4222" t="n"/>
      <c r="AG191" s="4222" t="n"/>
      <c r="AH191" s="4222" t="n"/>
      <c r="AI191" s="4222" t="n"/>
      <c r="AJ191" s="4222" t="n"/>
      <c r="AK191" s="4222" t="n"/>
      <c r="AL191" s="4222" t="n"/>
      <c r="AM191" s="4222" t="n"/>
      <c r="AN191" s="4222" t="n"/>
      <c r="AO191" s="4222" t="n"/>
      <c r="AP191" s="4222" t="n"/>
      <c r="AQ191" s="4222" t="n"/>
      <c r="AR191" s="4222" t="n"/>
      <c r="AS191" s="4222" t="n"/>
      <c r="AT191" s="4222" t="n"/>
      <c r="AU191" s="4222" t="n"/>
      <c r="AV191" s="4223" t="n"/>
      <c r="AW191" s="4223" t="n"/>
      <c r="AX191" s="4223" t="n"/>
      <c r="AY191" s="4222" t="n"/>
      <c r="AZ191" s="4222" t="n"/>
      <c r="BG191" s="4222" t="n"/>
    </row>
    <row r="192" ht="11.25" customHeight="1" s="3710">
      <c r="B192" s="4555" t="n"/>
      <c r="C192" s="4557" t="n"/>
      <c r="D192" s="4557" t="n"/>
      <c r="E192" s="4557" t="n"/>
      <c r="F192" s="4557" t="n"/>
      <c r="G192" s="4557" t="n"/>
      <c r="H192" s="4557" t="n"/>
      <c r="I192" s="4557" t="n"/>
      <c r="J192" s="4557" t="n"/>
      <c r="K192" s="4557" t="n"/>
      <c r="L192" s="4557" t="n"/>
      <c r="M192" s="4557" t="n"/>
      <c r="N192" s="4557" t="n"/>
      <c r="O192" s="4557" t="n"/>
      <c r="P192" s="4557" t="n"/>
      <c r="Q192" s="4177" t="n"/>
      <c r="R192" s="4557" t="n"/>
      <c r="S192" s="4557" t="n"/>
      <c r="T192" s="4557" t="n"/>
      <c r="U192" s="4557" t="n"/>
      <c r="V192" s="4557" t="n"/>
      <c r="W192" s="4557" t="n"/>
      <c r="X192" s="4557" t="n"/>
      <c r="Y192" s="4557" t="n"/>
      <c r="Z192" s="4557" t="n"/>
      <c r="AA192" s="4557" t="n"/>
      <c r="AB192" s="4557" t="n"/>
      <c r="AC192" s="4177" t="n"/>
      <c r="AD192" s="4557" t="n"/>
      <c r="AE192" s="4557" t="n"/>
      <c r="AF192" s="4557" t="n"/>
      <c r="AG192" s="4557" t="n"/>
      <c r="AH192" s="4557" t="n"/>
      <c r="AI192" s="4557" t="n"/>
      <c r="AJ192" s="4557" t="n"/>
      <c r="AK192" s="4557" t="n"/>
      <c r="AL192" s="4557" t="n"/>
      <c r="AM192" s="4557" t="n"/>
      <c r="AN192" s="4557" t="n"/>
      <c r="AO192" s="4177" t="n"/>
      <c r="AP192" s="4557" t="n"/>
      <c r="AQ192" s="4557" t="n"/>
      <c r="AR192" s="4557" t="n"/>
      <c r="AS192" s="4557" t="n"/>
      <c r="AT192" s="4557" t="n"/>
      <c r="AU192" s="4557" t="n"/>
      <c r="AV192" s="4180" t="inlineStr">
        <is>
          <t>As at</t>
        </is>
      </c>
      <c r="AW192" s="4180" t="n"/>
      <c r="AX192" s="4180" t="n"/>
      <c r="AY192" s="4181" t="n"/>
      <c r="AZ192" s="4181" t="n"/>
      <c r="BG192" s="4557" t="n"/>
    </row>
    <row r="193" ht="12" customHeight="1" s="3710">
      <c r="B193" s="3753" t="n"/>
      <c r="C193" s="4224" t="inlineStr">
        <is>
          <t>$'000</t>
        </is>
      </c>
      <c r="D193" s="4557" t="inlineStr">
        <is>
          <t>Code</t>
        </is>
      </c>
      <c r="E193" s="4557" t="inlineStr">
        <is>
          <t>Concatenate</t>
        </is>
      </c>
      <c r="F193" s="4186" t="n"/>
      <c r="G193" s="4186" t="n"/>
      <c r="H193" s="4186" t="n"/>
      <c r="I193" s="4186" t="n"/>
      <c r="J193" s="4186" t="n"/>
      <c r="K193" s="4186" t="n"/>
      <c r="L193" s="4186" t="n"/>
      <c r="M193" s="4186" t="n"/>
      <c r="N193" s="4186" t="n"/>
      <c r="O193" s="4186" t="n"/>
      <c r="P193" s="4186" t="n"/>
      <c r="Q193" s="4187" t="n"/>
      <c r="R193" s="4186" t="n"/>
      <c r="S193" s="4186" t="n"/>
      <c r="T193" s="4186" t="n"/>
      <c r="U193" s="4186" t="n"/>
      <c r="V193" s="4186" t="n"/>
      <c r="W193" s="4186" t="n"/>
      <c r="X193" s="4186" t="n"/>
      <c r="Y193" s="4186" t="n"/>
      <c r="Z193" s="4186" t="n"/>
      <c r="AA193" s="4186" t="n"/>
      <c r="AB193" s="4186" t="n"/>
      <c r="AC193" s="4187" t="n"/>
      <c r="AD193" s="4186" t="n"/>
      <c r="AE193" s="4186" t="n"/>
      <c r="AF193" s="4186" t="n"/>
      <c r="AG193" s="4186" t="n"/>
      <c r="AH193" s="4186" t="n"/>
      <c r="AI193" s="4186" t="n"/>
      <c r="AJ193" s="4186" t="n"/>
      <c r="AK193" s="4186" t="n"/>
      <c r="AL193" s="4186" t="n"/>
      <c r="AM193" s="4186" t="n"/>
      <c r="AN193" s="4186" t="n"/>
      <c r="AO193" s="4187" t="n"/>
      <c r="AP193" s="4186">
        <f>EOMONTH(AO193,1)</f>
        <v/>
      </c>
      <c r="AQ193" s="4186">
        <f>EOMONTH(AP193,1)</f>
        <v/>
      </c>
      <c r="AR193" s="4186">
        <f>EOMONTH(AQ193,1)</f>
        <v/>
      </c>
      <c r="AS193" s="4186">
        <f>EOMONTH(AR193,1)</f>
        <v/>
      </c>
      <c r="AT193" s="4186">
        <f>EOMONTH(AS193,1)</f>
        <v/>
      </c>
      <c r="AU193" s="4186">
        <f>EOMONTH(AT193,1)</f>
        <v/>
      </c>
      <c r="AV193" s="4225">
        <f>Q193</f>
        <v/>
      </c>
      <c r="AW193" s="4226">
        <f>AC193</f>
        <v/>
      </c>
      <c r="AX193" s="4190">
        <f>AO193</f>
        <v/>
      </c>
      <c r="AY193" s="4191">
        <f>AS193</f>
        <v/>
      </c>
      <c r="AZ193" s="4191">
        <f>AU193</f>
        <v/>
      </c>
      <c r="BG193" s="4186" t="n">
        <v>44561</v>
      </c>
    </row>
    <row r="194" ht="12" customHeight="1" s="3710">
      <c r="B194" s="3753" t="n"/>
      <c r="C194" s="3902" t="inlineStr">
        <is>
          <t>Beginning balance</t>
        </is>
      </c>
      <c r="F194" s="4227" t="n"/>
      <c r="G194" s="3900" t="n"/>
      <c r="H194" s="3900" t="n"/>
      <c r="I194" s="3900" t="n"/>
      <c r="J194" s="3900" t="n"/>
      <c r="K194" s="3900" t="n"/>
      <c r="L194" s="3900" t="n"/>
      <c r="M194" s="3900" t="n"/>
      <c r="N194" s="3900" t="n"/>
      <c r="O194" s="3900" t="n"/>
      <c r="P194" s="3900" t="n"/>
      <c r="Q194" s="4200" t="n"/>
      <c r="R194" s="3900" t="n"/>
      <c r="S194" s="3900" t="n"/>
      <c r="T194" s="3900" t="n"/>
      <c r="U194" s="3900" t="n"/>
      <c r="V194" s="3900" t="n"/>
      <c r="W194" s="3900" t="n"/>
      <c r="X194" s="3900" t="n"/>
      <c r="Y194" s="3900" t="n"/>
      <c r="Z194" s="3900" t="n"/>
      <c r="AA194" s="3900" t="n"/>
      <c r="AB194" s="3900" t="n"/>
      <c r="AC194" s="4200" t="n"/>
      <c r="AD194" s="3900" t="n"/>
      <c r="AE194" s="3900" t="n"/>
      <c r="AF194" s="3900" t="n"/>
      <c r="AG194" s="3900" t="n"/>
      <c r="AH194" s="3900" t="n"/>
      <c r="AI194" s="3900" t="n"/>
      <c r="AJ194" s="3900" t="n"/>
      <c r="AK194" s="3900" t="n"/>
      <c r="AL194" s="3900" t="n"/>
      <c r="AM194" s="3900" t="n"/>
      <c r="AN194" s="3900" t="n"/>
      <c r="AO194" s="4200" t="n"/>
      <c r="AP194" s="3900">
        <f>AO184</f>
        <v/>
      </c>
      <c r="AQ194" s="3900">
        <f>AP184</f>
        <v/>
      </c>
      <c r="AR194" s="3900">
        <f>AQ184</f>
        <v/>
      </c>
      <c r="AS194" s="3900">
        <f>AR184</f>
        <v/>
      </c>
      <c r="AT194" s="3900">
        <f>AS184</f>
        <v/>
      </c>
      <c r="AU194" s="4201">
        <f>AT184</f>
        <v/>
      </c>
      <c r="AV194" s="4227" t="n"/>
      <c r="AW194" s="3900">
        <f>R194</f>
        <v/>
      </c>
      <c r="AX194" s="3900">
        <f>AD194</f>
        <v/>
      </c>
      <c r="AY194" s="3900">
        <f>AH194</f>
        <v/>
      </c>
      <c r="AZ194" s="3900">
        <f>AJ194</f>
        <v/>
      </c>
      <c r="BG194" s="3900">
        <f>BG184</f>
        <v/>
      </c>
    </row>
    <row r="195" ht="12" customHeight="1" s="3710">
      <c r="B195" s="4555" t="n"/>
      <c r="C195" s="4017" t="inlineStr">
        <is>
          <t xml:space="preserve">Share capital  </t>
        </is>
      </c>
      <c r="F195" s="4227" t="n"/>
      <c r="G195" s="3900" t="n"/>
      <c r="H195" s="3900" t="n"/>
      <c r="I195" s="3900" t="n"/>
      <c r="J195" s="3900" t="n"/>
      <c r="K195" s="3900" t="n"/>
      <c r="L195" s="3900" t="n"/>
      <c r="M195" s="3900" t="n"/>
      <c r="N195" s="3900" t="n"/>
      <c r="O195" s="3900" t="n"/>
      <c r="P195" s="3900" t="n"/>
      <c r="Q195" s="4200" t="n"/>
      <c r="R195" s="3900" t="n"/>
      <c r="S195" s="3900" t="n"/>
      <c r="T195" s="3900" t="n"/>
      <c r="U195" s="3900" t="n"/>
      <c r="V195" s="3900" t="n"/>
      <c r="W195" s="3900" t="n"/>
      <c r="X195" s="3900" t="n"/>
      <c r="Y195" s="3900" t="n"/>
      <c r="Z195" s="3900" t="n"/>
      <c r="AA195" s="3900" t="n"/>
      <c r="AB195" s="3900" t="n"/>
      <c r="AC195" s="4200" t="n"/>
      <c r="AD195" s="3900" t="n"/>
      <c r="AE195" s="3900" t="n"/>
      <c r="AF195" s="3900" t="n"/>
      <c r="AG195" s="3900" t="n"/>
      <c r="AH195" s="3900" t="n"/>
      <c r="AI195" s="3900" t="n"/>
      <c r="AJ195" s="3900" t="n"/>
      <c r="AK195" s="3900" t="n"/>
      <c r="AL195" s="3900" t="n"/>
      <c r="AM195" s="3900" t="n"/>
      <c r="AN195" s="3900" t="n"/>
      <c r="AO195" s="4200" t="n"/>
      <c r="AP195" s="3900">
        <f>AP177-AO177</f>
        <v/>
      </c>
      <c r="AQ195" s="3900">
        <f>AQ177-AP177</f>
        <v/>
      </c>
      <c r="AR195" s="3900">
        <f>AR177-AQ177</f>
        <v/>
      </c>
      <c r="AS195" s="3900">
        <f>AS177-AR177</f>
        <v/>
      </c>
      <c r="AT195" s="3900">
        <f>AT177-AS177</f>
        <v/>
      </c>
      <c r="AU195" s="4201">
        <f>AU177-AT177</f>
        <v/>
      </c>
      <c r="AV195" s="4227" t="n"/>
      <c r="AW195" s="3900">
        <f>SUM(R195:AC195)</f>
        <v/>
      </c>
      <c r="AX195" s="3900">
        <f>SUM(AD195:AO195)</f>
        <v/>
      </c>
      <c r="AY195" s="3900">
        <f>SUM(AH195:AS195)</f>
        <v/>
      </c>
      <c r="AZ195" s="3900">
        <f>SUM(AJ195:AU195)</f>
        <v/>
      </c>
      <c r="BG195" s="3900">
        <f>AV177-BG177</f>
        <v/>
      </c>
    </row>
    <row r="196" ht="12" customHeight="1" s="3710">
      <c r="B196" s="3753" t="n"/>
      <c r="C196" s="4017" t="inlineStr">
        <is>
          <t xml:space="preserve">Contributed surplus </t>
        </is>
      </c>
      <c r="F196" s="4227" t="n"/>
      <c r="G196" s="3900" t="n"/>
      <c r="H196" s="3900" t="n"/>
      <c r="I196" s="3900" t="n"/>
      <c r="J196" s="3900" t="n"/>
      <c r="K196" s="3900" t="n"/>
      <c r="L196" s="3900" t="n"/>
      <c r="M196" s="3900" t="n"/>
      <c r="N196" s="3900" t="n"/>
      <c r="O196" s="3900" t="n"/>
      <c r="P196" s="3900" t="n"/>
      <c r="Q196" s="4200" t="n"/>
      <c r="R196" s="3900" t="n"/>
      <c r="S196" s="3900" t="n"/>
      <c r="T196" s="3900" t="n"/>
      <c r="U196" s="3900" t="n"/>
      <c r="V196" s="3900" t="n"/>
      <c r="W196" s="3900" t="n"/>
      <c r="X196" s="3900" t="n"/>
      <c r="Y196" s="3900" t="n"/>
      <c r="Z196" s="3900" t="n"/>
      <c r="AA196" s="3900" t="n"/>
      <c r="AB196" s="3900" t="n"/>
      <c r="AC196" s="4200" t="n"/>
      <c r="AD196" s="3900" t="n"/>
      <c r="AE196" s="3900" t="n"/>
      <c r="AF196" s="3900" t="n"/>
      <c r="AG196" s="3900" t="n"/>
      <c r="AH196" s="3900" t="n"/>
      <c r="AI196" s="3900" t="n"/>
      <c r="AJ196" s="3900" t="n"/>
      <c r="AK196" s="3900" t="n"/>
      <c r="AL196" s="3900" t="n"/>
      <c r="AM196" s="3900" t="n"/>
      <c r="AN196" s="3900" t="n"/>
      <c r="AO196" s="4200" t="n"/>
      <c r="AP196" s="3900">
        <f>AP179-AO179</f>
        <v/>
      </c>
      <c r="AQ196" s="3900">
        <f>AQ179-AP179</f>
        <v/>
      </c>
      <c r="AR196" s="3900">
        <f>AR179-AQ179</f>
        <v/>
      </c>
      <c r="AS196" s="3900">
        <f>AS179-AR179</f>
        <v/>
      </c>
      <c r="AT196" s="3900">
        <f>AT179-AS179</f>
        <v/>
      </c>
      <c r="AU196" s="4201">
        <f>AU179-AT179</f>
        <v/>
      </c>
      <c r="AV196" s="4227" t="n"/>
      <c r="AW196" s="3900">
        <f>SUM(R196:AC196)</f>
        <v/>
      </c>
      <c r="AX196" s="3900">
        <f>SUM(AD196:AO196)</f>
        <v/>
      </c>
      <c r="AY196" s="3900">
        <f>SUM(AH196:AS196)</f>
        <v/>
      </c>
      <c r="AZ196" s="3900">
        <f>SUM(AJ196:AU196)</f>
        <v/>
      </c>
      <c r="BG196" s="3900">
        <f>AV179-BG179</f>
        <v/>
      </c>
    </row>
    <row r="197" ht="12" customHeight="1" s="3710">
      <c r="B197" s="3753" t="n"/>
      <c r="C197" s="4017" t="inlineStr">
        <is>
          <t xml:space="preserve">Net income </t>
        </is>
      </c>
      <c r="F197" s="4227" t="n"/>
      <c r="G197" s="3900" t="n"/>
      <c r="H197" s="3900" t="n"/>
      <c r="I197" s="3900" t="n"/>
      <c r="J197" s="3900" t="n"/>
      <c r="K197" s="3900" t="n"/>
      <c r="L197" s="3900" t="n"/>
      <c r="M197" s="3900" t="n"/>
      <c r="N197" s="3900" t="n"/>
      <c r="O197" s="3900" t="n"/>
      <c r="P197" s="3900" t="n"/>
      <c r="Q197" s="4200" t="n"/>
      <c r="R197" s="3900" t="n"/>
      <c r="S197" s="3900" t="n"/>
      <c r="T197" s="3900" t="n"/>
      <c r="U197" s="3900" t="n"/>
      <c r="V197" s="3900" t="n"/>
      <c r="W197" s="3900" t="n"/>
      <c r="X197" s="3900" t="n"/>
      <c r="Y197" s="3900" t="n"/>
      <c r="Z197" s="3900" t="n"/>
      <c r="AA197" s="3900" t="n"/>
      <c r="AB197" s="3900" t="n"/>
      <c r="AC197" s="4200" t="n"/>
      <c r="AD197" s="3900" t="n"/>
      <c r="AE197" s="3900" t="n"/>
      <c r="AF197" s="3900" t="n"/>
      <c r="AG197" s="3900" t="n"/>
      <c r="AH197" s="3900" t="n"/>
      <c r="AI197" s="3900" t="n"/>
      <c r="AJ197" s="3900" t="n"/>
      <c r="AK197" s="3900" t="n"/>
      <c r="AL197" s="3900" t="n"/>
      <c r="AM197" s="3900" t="n"/>
      <c r="AN197" s="3900" t="n"/>
      <c r="AO197" s="4200" t="n"/>
      <c r="AP197" s="3900">
        <f>-'Income statement'!AP353</f>
        <v/>
      </c>
      <c r="AQ197" s="3900">
        <f>-'Income statement'!AQ353</f>
        <v/>
      </c>
      <c r="AR197" s="3900">
        <f>-'Income statement'!AR353</f>
        <v/>
      </c>
      <c r="AS197" s="3900">
        <f>-'Income statement'!AS353</f>
        <v/>
      </c>
      <c r="AT197" s="3900">
        <f>-'Income statement'!AT353</f>
        <v/>
      </c>
      <c r="AU197" s="4201">
        <f>-'Income statement'!AU353</f>
        <v/>
      </c>
      <c r="AV197" s="4227" t="n"/>
      <c r="AW197" s="3900">
        <f>SUM(R197:AC197)</f>
        <v/>
      </c>
      <c r="AX197" s="3900">
        <f>SUM(AD197:AO197)</f>
        <v/>
      </c>
      <c r="AY197" s="3900">
        <f>SUM(AH197:AS197)</f>
        <v/>
      </c>
      <c r="AZ197" s="3900">
        <f>SUM(AJ197:AU197)</f>
        <v/>
      </c>
      <c r="BG197" s="3900">
        <f>AV180-BG180</f>
        <v/>
      </c>
    </row>
    <row r="198" ht="12" customHeight="1" s="3710">
      <c r="B198" s="3753" t="n"/>
      <c r="C198" s="4017" t="inlineStr">
        <is>
          <t>Dividends paid</t>
        </is>
      </c>
      <c r="F198" s="4227" t="n"/>
      <c r="G198" s="3900" t="n"/>
      <c r="H198" s="3900" t="n"/>
      <c r="I198" s="3900" t="n"/>
      <c r="J198" s="3900" t="n"/>
      <c r="K198" s="3900" t="n"/>
      <c r="L198" s="3900" t="n"/>
      <c r="M198" s="3900" t="n"/>
      <c r="N198" s="3900" t="n"/>
      <c r="O198" s="3900" t="n"/>
      <c r="P198" s="3900" t="n"/>
      <c r="Q198" s="4200" t="n"/>
      <c r="R198" s="3900" t="n"/>
      <c r="S198" s="3900" t="n"/>
      <c r="T198" s="3900" t="n"/>
      <c r="U198" s="3900" t="n"/>
      <c r="V198" s="3900" t="n"/>
      <c r="W198" s="3900" t="n"/>
      <c r="X198" s="3900" t="n"/>
      <c r="Y198" s="3900" t="n"/>
      <c r="Z198" s="3900" t="n"/>
      <c r="AA198" s="3900" t="n"/>
      <c r="AB198" s="3900" t="n"/>
      <c r="AC198" s="4200" t="n"/>
      <c r="AD198" s="3900" t="n"/>
      <c r="AE198" s="3900" t="n"/>
      <c r="AF198" s="3900" t="n"/>
      <c r="AG198" s="3900" t="n"/>
      <c r="AH198" s="3900" t="n"/>
      <c r="AI198" s="3900" t="n"/>
      <c r="AJ198" s="3900" t="n"/>
      <c r="AK198" s="3900" t="n"/>
      <c r="AL198" s="3900" t="n"/>
      <c r="AM198" s="3900" t="n"/>
      <c r="AN198" s="3900" t="n"/>
      <c r="AO198" s="4200" t="n"/>
      <c r="AP198" s="3900">
        <f>AP182-AO182</f>
        <v/>
      </c>
      <c r="AQ198" s="3900">
        <f>AQ182-AP182</f>
        <v/>
      </c>
      <c r="AR198" s="3900">
        <f>AR182-AQ182</f>
        <v/>
      </c>
      <c r="AS198" s="3900">
        <f>AS182-AR182</f>
        <v/>
      </c>
      <c r="AT198" s="3900">
        <f>AT182-AS182</f>
        <v/>
      </c>
      <c r="AU198" s="4201">
        <f>AU182-AT182</f>
        <v/>
      </c>
      <c r="AV198" s="4227" t="n"/>
      <c r="AW198" s="3900">
        <f>SUM(R198:AC198)</f>
        <v/>
      </c>
      <c r="AX198" s="3900">
        <f>SUM(AD198:AO198)</f>
        <v/>
      </c>
      <c r="AY198" s="3900">
        <f>SUM(AH198:AS198)</f>
        <v/>
      </c>
      <c r="AZ198" s="3900">
        <f>SUM(AJ198:AU198)</f>
        <v/>
      </c>
      <c r="BG198" s="3900">
        <f>AV182-BG182</f>
        <v/>
      </c>
    </row>
    <row r="199" ht="12" customHeight="1" s="3710">
      <c r="B199" s="3891" t="n"/>
      <c r="C199" s="4210" t="inlineStr">
        <is>
          <t>Retained earnings</t>
        </is>
      </c>
      <c r="D199" s="4204" t="n"/>
      <c r="E199" s="4204" t="n"/>
      <c r="F199" s="4228" t="n"/>
      <c r="G199" s="4205" t="n"/>
      <c r="H199" s="4205" t="n"/>
      <c r="I199" s="4205" t="n"/>
      <c r="J199" s="4205" t="n"/>
      <c r="K199" s="4205" t="n"/>
      <c r="L199" s="4205" t="n"/>
      <c r="M199" s="4205" t="n"/>
      <c r="N199" s="4205" t="n"/>
      <c r="O199" s="4205" t="n"/>
      <c r="P199" s="4205" t="n"/>
      <c r="Q199" s="4206" t="n"/>
      <c r="R199" s="4205" t="n"/>
      <c r="S199" s="4205" t="n"/>
      <c r="T199" s="4205" t="n"/>
      <c r="U199" s="4205" t="n"/>
      <c r="V199" s="4205" t="n"/>
      <c r="W199" s="4205" t="n"/>
      <c r="X199" s="4205" t="n"/>
      <c r="Y199" s="4205" t="n"/>
      <c r="Z199" s="4205" t="n"/>
      <c r="AA199" s="4205" t="n"/>
      <c r="AB199" s="4205" t="n"/>
      <c r="AC199" s="4206" t="n"/>
      <c r="AD199" s="4205" t="n"/>
      <c r="AE199" s="4205" t="n"/>
      <c r="AF199" s="4205" t="n"/>
      <c r="AG199" s="4205" t="n"/>
      <c r="AH199" s="4205" t="n"/>
      <c r="AI199" s="4205" t="n"/>
      <c r="AJ199" s="4205" t="n"/>
      <c r="AK199" s="4205" t="n"/>
      <c r="AL199" s="4205" t="n"/>
      <c r="AM199" s="4205" t="n"/>
      <c r="AN199" s="4205" t="n"/>
      <c r="AO199" s="4206" t="n"/>
      <c r="AP199" s="4205" t="n">
        <v>0</v>
      </c>
      <c r="AQ199" s="4205">
        <f>AQ181-AP181</f>
        <v/>
      </c>
      <c r="AR199" s="4205">
        <f>AR181-AQ181</f>
        <v/>
      </c>
      <c r="AS199" s="4205">
        <f>AS181-AR181</f>
        <v/>
      </c>
      <c r="AT199" s="4205">
        <f>AT181-AS181</f>
        <v/>
      </c>
      <c r="AU199" s="4207">
        <f>AU181-AT181</f>
        <v/>
      </c>
      <c r="AV199" s="4228" t="n"/>
      <c r="AW199" s="4205">
        <f>SUM(R199:AC199)</f>
        <v/>
      </c>
      <c r="AX199" s="4205">
        <f>SUM(AD199:AO199)</f>
        <v/>
      </c>
      <c r="AY199" s="4205">
        <f>SUM(AH199:AS199)</f>
        <v/>
      </c>
      <c r="AZ199" s="4205">
        <f>SUM(AJ199:AU199)</f>
        <v/>
      </c>
      <c r="BG199" s="4205">
        <f>AV181-BG181</f>
        <v/>
      </c>
    </row>
    <row r="200" ht="12" customHeight="1" s="3710">
      <c r="B200" s="3891" t="n"/>
      <c r="C200" s="4229" t="inlineStr">
        <is>
          <t>Ending balance</t>
        </is>
      </c>
      <c r="D200" s="4230" t="n"/>
      <c r="E200" s="4230" t="n"/>
      <c r="F200" s="4231" t="n"/>
      <c r="G200" s="4231" t="n"/>
      <c r="H200" s="4231" t="n"/>
      <c r="I200" s="4231" t="n"/>
      <c r="J200" s="4231" t="n"/>
      <c r="K200" s="4231" t="n"/>
      <c r="L200" s="4231" t="n"/>
      <c r="M200" s="4231" t="n"/>
      <c r="N200" s="4231" t="n"/>
      <c r="O200" s="4231" t="n"/>
      <c r="P200" s="4231" t="n"/>
      <c r="Q200" s="4232" t="n"/>
      <c r="R200" s="4231" t="n"/>
      <c r="S200" s="4231" t="n"/>
      <c r="T200" s="4231" t="n"/>
      <c r="U200" s="4231" t="n"/>
      <c r="V200" s="4231" t="n"/>
      <c r="W200" s="4231" t="n"/>
      <c r="X200" s="4231" t="n"/>
      <c r="Y200" s="4231" t="n"/>
      <c r="Z200" s="4231" t="n"/>
      <c r="AA200" s="4231" t="n"/>
      <c r="AB200" s="4231" t="n"/>
      <c r="AC200" s="4232" t="n"/>
      <c r="AD200" s="4231" t="n"/>
      <c r="AE200" s="4231" t="n"/>
      <c r="AF200" s="4231" t="n"/>
      <c r="AG200" s="4231" t="n"/>
      <c r="AH200" s="4231" t="n"/>
      <c r="AI200" s="4231" t="n"/>
      <c r="AJ200" s="4231" t="n"/>
      <c r="AK200" s="4231" t="n"/>
      <c r="AL200" s="4231" t="n"/>
      <c r="AM200" s="4231" t="n"/>
      <c r="AN200" s="4231" t="n"/>
      <c r="AO200" s="4232" t="n"/>
      <c r="AP200" s="4231">
        <f>SUM(AP194:AP199)</f>
        <v/>
      </c>
      <c r="AQ200" s="4231">
        <f>SUM(AQ194:AQ199)</f>
        <v/>
      </c>
      <c r="AR200" s="4231">
        <f>SUM(AR194:AR199)</f>
        <v/>
      </c>
      <c r="AS200" s="4231">
        <f>SUM(AS194:AS199)</f>
        <v/>
      </c>
      <c r="AT200" s="4231">
        <f>SUM(AT194:AT199)</f>
        <v/>
      </c>
      <c r="AU200" s="4233">
        <f>SUM(AU194:AU199)</f>
        <v/>
      </c>
      <c r="AV200" s="4231">
        <f>SUM(AV194:AV199)</f>
        <v/>
      </c>
      <c r="AW200" s="4231">
        <f>SUM(AW194:AW199)</f>
        <v/>
      </c>
      <c r="AX200" s="4231">
        <f>SUM(AX194:AX199)</f>
        <v/>
      </c>
      <c r="AY200" s="4231">
        <f>SUM(AY194:AY199)</f>
        <v/>
      </c>
      <c r="AZ200" s="4231">
        <f>SUM(AZ194:AZ199)</f>
        <v/>
      </c>
      <c r="BG200" s="4231">
        <f>SUM(BG194:BG199)</f>
        <v/>
      </c>
    </row>
    <row r="201" ht="12" customHeight="1" s="3710">
      <c r="B201" s="3891" t="n"/>
    </row>
    <row r="202" hidden="1" outlineLevel="1" ht="12" customHeight="1" s="3710">
      <c r="B202" s="3891" t="n"/>
      <c r="C202" s="4168" t="inlineStr">
        <is>
          <t>Equity</t>
        </is>
      </c>
      <c r="D202" s="4169" t="n"/>
      <c r="E202" s="4169" t="n"/>
      <c r="F202" s="4221" t="n"/>
      <c r="G202" s="4221" t="n"/>
      <c r="H202" s="4221" t="n"/>
      <c r="I202" s="4221" t="n"/>
      <c r="J202" s="4221" t="n"/>
      <c r="K202" s="4221" t="n"/>
      <c r="L202" s="4221" t="n"/>
      <c r="M202" s="4221" t="n"/>
      <c r="N202" s="4221" t="n"/>
      <c r="O202" s="4221" t="n"/>
      <c r="P202" s="4221" t="n"/>
      <c r="Q202" s="4221" t="n"/>
      <c r="R202" s="4221" t="n"/>
      <c r="S202" s="4221" t="n"/>
      <c r="T202" s="4221" t="n"/>
      <c r="U202" s="4221" t="n"/>
      <c r="V202" s="4221" t="n"/>
      <c r="W202" s="4221" t="n"/>
      <c r="X202" s="4221" t="n"/>
      <c r="Y202" s="4221" t="n"/>
      <c r="Z202" s="4221" t="n"/>
      <c r="AA202" s="4221" t="n"/>
      <c r="AB202" s="4221" t="n"/>
      <c r="AC202" s="4221" t="n"/>
      <c r="AD202" s="4221" t="n"/>
      <c r="AE202" s="4221" t="n"/>
      <c r="AF202" s="4221" t="n"/>
      <c r="AG202" s="4221" t="n"/>
      <c r="AH202" s="4221" t="n"/>
      <c r="AI202" s="4221" t="n"/>
      <c r="AJ202" s="4221" t="n"/>
      <c r="AK202" s="4221" t="n"/>
      <c r="AL202" s="4221" t="n"/>
      <c r="AM202" s="4221" t="n"/>
      <c r="AN202" s="4221" t="n"/>
      <c r="AO202" s="4221" t="n"/>
      <c r="AP202" s="4221">
        <f>AP184</f>
        <v/>
      </c>
      <c r="AQ202" s="4221">
        <f>AQ184</f>
        <v/>
      </c>
      <c r="AR202" s="4221">
        <f>AR184</f>
        <v/>
      </c>
      <c r="AS202" s="4221">
        <f>AS184</f>
        <v/>
      </c>
      <c r="AT202" s="4221">
        <f>AT184</f>
        <v/>
      </c>
      <c r="AU202" s="4221">
        <f>AU184</f>
        <v/>
      </c>
      <c r="AV202" s="4221" t="n"/>
      <c r="AW202" s="4221">
        <f>AW184</f>
        <v/>
      </c>
      <c r="AX202" s="4221">
        <f>AX184</f>
        <v/>
      </c>
      <c r="AY202" s="4221">
        <f>AY184</f>
        <v/>
      </c>
      <c r="AZ202" s="4221">
        <f>AZ184</f>
        <v/>
      </c>
      <c r="BA202" s="4221" t="n"/>
      <c r="BB202" s="4221" t="n"/>
      <c r="BC202" s="4221" t="n"/>
      <c r="BD202" s="4221" t="n"/>
      <c r="BE202" s="4221" t="n"/>
      <c r="BG202" s="4221">
        <f>AV184</f>
        <v/>
      </c>
    </row>
    <row r="203" hidden="1" outlineLevel="1" ht="12" customHeight="1" s="3710">
      <c r="B203" s="3891" t="n"/>
      <c r="C203" s="4168" t="inlineStr">
        <is>
          <t>Check</t>
        </is>
      </c>
      <c r="D203" s="4169" t="n"/>
      <c r="E203" s="4169" t="n"/>
      <c r="F203" s="4221" t="n"/>
      <c r="G203" s="4221">
        <f>G202-G200</f>
        <v/>
      </c>
      <c r="H203" s="4221">
        <f>H202-H200</f>
        <v/>
      </c>
      <c r="I203" s="4221">
        <f>I202-I200</f>
        <v/>
      </c>
      <c r="J203" s="4221">
        <f>J202-J200</f>
        <v/>
      </c>
      <c r="K203" s="4221">
        <f>K202-K200</f>
        <v/>
      </c>
      <c r="L203" s="4221">
        <f>L202-L200</f>
        <v/>
      </c>
      <c r="M203" s="4221">
        <f>M202-M200</f>
        <v/>
      </c>
      <c r="N203" s="4221">
        <f>N202-N200</f>
        <v/>
      </c>
      <c r="O203" s="4221">
        <f>O202-O200</f>
        <v/>
      </c>
      <c r="P203" s="4221">
        <f>P202-P200</f>
        <v/>
      </c>
      <c r="Q203" s="4221">
        <f>Q202-Q200</f>
        <v/>
      </c>
      <c r="R203" s="4221">
        <f>R202-R200</f>
        <v/>
      </c>
      <c r="S203" s="4221">
        <f>S202-S200</f>
        <v/>
      </c>
      <c r="T203" s="4221">
        <f>T202-T200</f>
        <v/>
      </c>
      <c r="U203" s="4221">
        <f>U202-U200</f>
        <v/>
      </c>
      <c r="V203" s="4221">
        <f>V202-V200</f>
        <v/>
      </c>
      <c r="W203" s="4221">
        <f>W202-W200</f>
        <v/>
      </c>
      <c r="X203" s="4221">
        <f>X202-X200</f>
        <v/>
      </c>
      <c r="Y203" s="4221">
        <f>Y202-Y200</f>
        <v/>
      </c>
      <c r="Z203" s="4221">
        <f>Z202-Z200</f>
        <v/>
      </c>
      <c r="AA203" s="4221">
        <f>AA202-AA200</f>
        <v/>
      </c>
      <c r="AB203" s="4221">
        <f>AB202-AB200</f>
        <v/>
      </c>
      <c r="AC203" s="4221">
        <f>AC202-AC200</f>
        <v/>
      </c>
      <c r="AD203" s="4221">
        <f>AD202-AD200</f>
        <v/>
      </c>
      <c r="AE203" s="4221">
        <f>AE202-AE200</f>
        <v/>
      </c>
      <c r="AF203" s="4221">
        <f>AF202-AF200</f>
        <v/>
      </c>
      <c r="AG203" s="4221">
        <f>AG202-AG200</f>
        <v/>
      </c>
      <c r="AH203" s="4221">
        <f>AH202-AH200</f>
        <v/>
      </c>
      <c r="AI203" s="4221">
        <f>AI202-AI200</f>
        <v/>
      </c>
      <c r="AJ203" s="4221">
        <f>AJ202-AJ200</f>
        <v/>
      </c>
      <c r="AK203" s="4221">
        <f>AK202-AK200</f>
        <v/>
      </c>
      <c r="AL203" s="4221">
        <f>AL202-AL200</f>
        <v/>
      </c>
      <c r="AM203" s="4221">
        <f>AM202-AM200</f>
        <v/>
      </c>
      <c r="AN203" s="4221">
        <f>AN202-AN200</f>
        <v/>
      </c>
      <c r="AO203" s="4221">
        <f>AO202-AO200</f>
        <v/>
      </c>
      <c r="AP203" s="4221">
        <f>AP202-AP200</f>
        <v/>
      </c>
      <c r="AQ203" s="4221">
        <f>AQ202-AQ200</f>
        <v/>
      </c>
      <c r="AR203" s="4221">
        <f>AR202-AR200</f>
        <v/>
      </c>
      <c r="AS203" s="4221">
        <f>AS202-AS200</f>
        <v/>
      </c>
      <c r="AT203" s="4221">
        <f>AT202-AT200</f>
        <v/>
      </c>
      <c r="AU203" s="4221">
        <f>AU202-AU200</f>
        <v/>
      </c>
      <c r="AV203" s="4221" t="n"/>
      <c r="AW203" s="4221">
        <f>AW202-AW200</f>
        <v/>
      </c>
      <c r="AX203" s="4221">
        <f>AX202-AX200</f>
        <v/>
      </c>
      <c r="AY203" s="4221">
        <f>AY202-AY200</f>
        <v/>
      </c>
      <c r="AZ203" s="4221">
        <f>AZ202-AZ200</f>
        <v/>
      </c>
      <c r="BA203" s="4221" t="n"/>
      <c r="BB203" s="4221" t="n"/>
      <c r="BC203" s="4221" t="n"/>
      <c r="BD203" s="4221" t="n"/>
      <c r="BE203" s="4221" t="n"/>
      <c r="BG203" s="4221">
        <f>BG202-BG200</f>
        <v/>
      </c>
    </row>
    <row r="204" ht="12" customHeight="1" s="3710">
      <c r="B204" s="3891" t="n"/>
    </row>
    <row r="205" ht="19.5" customHeight="1" s="3710">
      <c r="B205" s="4555" t="n"/>
      <c r="C205" s="4222" t="inlineStr">
        <is>
          <t>Summary | Net fixed assets change</t>
        </is>
      </c>
      <c r="D205" s="4222" t="n"/>
      <c r="E205" s="4222" t="n"/>
      <c r="F205" s="4222" t="n"/>
      <c r="G205" s="4222" t="n"/>
      <c r="H205" s="4222" t="n"/>
      <c r="I205" s="4222" t="n"/>
      <c r="J205" s="4222" t="n"/>
      <c r="K205" s="4222" t="n"/>
      <c r="L205" s="4222" t="n"/>
      <c r="M205" s="4222" t="n"/>
      <c r="N205" s="4222" t="n"/>
      <c r="O205" s="4222" t="n"/>
      <c r="P205" s="4222" t="n"/>
      <c r="Q205" s="4222" t="n"/>
      <c r="R205" s="4222" t="n"/>
      <c r="S205" s="4222" t="n"/>
      <c r="T205" s="4222" t="n"/>
      <c r="U205" s="4222" t="n"/>
      <c r="V205" s="4222" t="n"/>
      <c r="W205" s="4222" t="n"/>
      <c r="X205" s="4222" t="n"/>
      <c r="Y205" s="4222" t="n"/>
      <c r="Z205" s="4222" t="n"/>
      <c r="AA205" s="4222" t="n"/>
      <c r="AB205" s="4222" t="n"/>
      <c r="AC205" s="4222" t="n"/>
      <c r="AD205" s="4222" t="n"/>
      <c r="AE205" s="4222" t="n"/>
      <c r="AF205" s="4222" t="n"/>
      <c r="AG205" s="4222" t="n"/>
      <c r="AH205" s="4222" t="n"/>
      <c r="AI205" s="4222" t="n"/>
      <c r="AJ205" s="4222" t="n"/>
      <c r="AK205" s="4222" t="n"/>
      <c r="AL205" s="4222" t="n"/>
      <c r="AM205" s="4222" t="n"/>
      <c r="AN205" s="4222" t="n"/>
      <c r="AO205" s="4222" t="n"/>
      <c r="AP205" s="4222" t="n"/>
      <c r="AQ205" s="4222" t="n"/>
      <c r="AR205" s="4222" t="n"/>
      <c r="AS205" s="4222" t="n"/>
      <c r="AT205" s="4222" t="n"/>
      <c r="AU205" s="4222" t="n"/>
      <c r="AV205" s="4223" t="n"/>
      <c r="AW205" s="4223" t="n"/>
      <c r="AX205" s="4223" t="n"/>
      <c r="AY205" s="4222" t="n"/>
      <c r="AZ205" s="4222" t="n"/>
    </row>
    <row r="206" ht="11.25" customHeight="1" s="3710">
      <c r="B206" s="4555" t="n"/>
      <c r="C206" s="4557" t="n"/>
      <c r="D206" s="4557" t="n"/>
      <c r="E206" s="4557" t="n"/>
      <c r="F206" s="4557" t="n"/>
      <c r="G206" s="4557" t="n"/>
      <c r="H206" s="4557" t="n"/>
      <c r="I206" s="4557" t="n"/>
      <c r="J206" s="4557" t="n"/>
      <c r="K206" s="4557" t="n"/>
      <c r="L206" s="4557" t="n"/>
      <c r="M206" s="4557" t="n"/>
      <c r="N206" s="4557" t="n"/>
      <c r="O206" s="4557" t="n"/>
      <c r="P206" s="4557" t="n"/>
      <c r="Q206" s="4177" t="n"/>
      <c r="R206" s="4557" t="n"/>
      <c r="S206" s="4557" t="n"/>
      <c r="T206" s="4557" t="n"/>
      <c r="U206" s="4557" t="n"/>
      <c r="V206" s="4557" t="n"/>
      <c r="W206" s="4557" t="n"/>
      <c r="X206" s="4557" t="n"/>
      <c r="Y206" s="4557" t="n"/>
      <c r="Z206" s="4557" t="n"/>
      <c r="AA206" s="4557" t="n"/>
      <c r="AB206" s="4557" t="n"/>
      <c r="AC206" s="4177" t="n"/>
      <c r="AD206" s="4557" t="n"/>
      <c r="AE206" s="4557" t="n"/>
      <c r="AF206" s="4557" t="n"/>
      <c r="AG206" s="4557" t="n"/>
      <c r="AH206" s="4557" t="n"/>
      <c r="AI206" s="4557" t="n"/>
      <c r="AJ206" s="4557" t="n"/>
      <c r="AK206" s="4557" t="n"/>
      <c r="AL206" s="4557" t="n"/>
      <c r="AM206" s="4557" t="n"/>
      <c r="AN206" s="4557" t="n"/>
      <c r="AO206" s="4177" t="n"/>
      <c r="AP206" s="4557" t="n"/>
      <c r="AQ206" s="4557" t="n"/>
      <c r="AR206" s="4557" t="n"/>
      <c r="AS206" s="4557" t="n"/>
      <c r="AT206" s="4557" t="n"/>
      <c r="AU206" s="4557" t="n"/>
      <c r="AV206" s="4180" t="inlineStr">
        <is>
          <t>As at</t>
        </is>
      </c>
      <c r="AW206" s="4180" t="n"/>
      <c r="AX206" s="4180" t="n"/>
      <c r="AY206" s="4181" t="n"/>
      <c r="AZ206" s="4181" t="n"/>
    </row>
    <row r="207" ht="11.25" customHeight="1" s="3710">
      <c r="B207" s="3753" t="n"/>
      <c r="C207" s="4224" t="inlineStr">
        <is>
          <t>$'000</t>
        </is>
      </c>
      <c r="D207" s="4557" t="inlineStr">
        <is>
          <t>Code</t>
        </is>
      </c>
      <c r="E207" s="4557" t="inlineStr">
        <is>
          <t>Concatenate</t>
        </is>
      </c>
      <c r="F207" s="4186" t="n"/>
      <c r="G207" s="4186" t="n"/>
      <c r="H207" s="4186" t="n"/>
      <c r="I207" s="4186" t="n"/>
      <c r="J207" s="4186" t="n"/>
      <c r="K207" s="4186" t="n"/>
      <c r="L207" s="4186" t="n"/>
      <c r="M207" s="4186" t="n"/>
      <c r="N207" s="4186" t="n"/>
      <c r="O207" s="4186" t="n"/>
      <c r="P207" s="4186" t="n"/>
      <c r="Q207" s="4187" t="n"/>
      <c r="R207" s="4186" t="n"/>
      <c r="S207" s="4186" t="n"/>
      <c r="T207" s="4186" t="n"/>
      <c r="U207" s="4186" t="n"/>
      <c r="V207" s="4186" t="n"/>
      <c r="W207" s="4186" t="n"/>
      <c r="X207" s="4186" t="n"/>
      <c r="Y207" s="4186" t="n"/>
      <c r="Z207" s="4186" t="n"/>
      <c r="AA207" s="4186" t="n"/>
      <c r="AB207" s="4186" t="n"/>
      <c r="AC207" s="4187" t="n"/>
      <c r="AD207" s="4186" t="n"/>
      <c r="AE207" s="4186" t="n"/>
      <c r="AF207" s="4186" t="n"/>
      <c r="AG207" s="4186" t="n"/>
      <c r="AH207" s="4186" t="n"/>
      <c r="AI207" s="4186" t="n"/>
      <c r="AJ207" s="4186" t="n"/>
      <c r="AK207" s="4186" t="n"/>
      <c r="AL207" s="4186" t="n"/>
      <c r="AM207" s="4186" t="n"/>
      <c r="AN207" s="4186" t="n"/>
      <c r="AO207" s="4187" t="n"/>
      <c r="AP207" s="4186">
        <f>EOMONTH(AO207,1)</f>
        <v/>
      </c>
      <c r="AQ207" s="4186">
        <f>EOMONTH(AP207,1)</f>
        <v/>
      </c>
      <c r="AR207" s="4186">
        <f>EOMONTH(AQ207,1)</f>
        <v/>
      </c>
      <c r="AS207" s="4186">
        <f>EOMONTH(AR207,1)</f>
        <v/>
      </c>
      <c r="AT207" s="4186">
        <f>EOMONTH(AS207,1)</f>
        <v/>
      </c>
      <c r="AU207" s="4186">
        <f>EOMONTH(AT207,1)</f>
        <v/>
      </c>
      <c r="AV207" s="4225">
        <f>Q207</f>
        <v/>
      </c>
      <c r="AW207" s="4226">
        <f>AC207</f>
        <v/>
      </c>
      <c r="AX207" s="4190">
        <f>AO207</f>
        <v/>
      </c>
      <c r="AY207" s="4191">
        <f>AS207</f>
        <v/>
      </c>
      <c r="AZ207" s="4191">
        <f>AU207</f>
        <v/>
      </c>
    </row>
    <row r="208" ht="12" customHeight="1" s="3710">
      <c r="B208" s="3753" t="n"/>
      <c r="C208" s="3902" t="inlineStr">
        <is>
          <t>Net fixed assets, opening balance</t>
        </is>
      </c>
      <c r="F208" s="4227" t="n"/>
      <c r="G208" s="3900" t="n"/>
      <c r="H208" s="3900" t="n"/>
      <c r="I208" s="3900" t="n"/>
      <c r="J208" s="3900" t="n"/>
      <c r="K208" s="3900" t="n"/>
      <c r="L208" s="3900" t="n"/>
      <c r="M208" s="3900" t="n"/>
      <c r="N208" s="3900" t="n"/>
      <c r="O208" s="3900" t="n"/>
      <c r="P208" s="3900" t="n"/>
      <c r="Q208" s="4200" t="n"/>
      <c r="R208" s="3900" t="n"/>
      <c r="S208" s="3900" t="n"/>
      <c r="T208" s="3900" t="n"/>
      <c r="U208" s="3900" t="n"/>
      <c r="V208" s="3900" t="n"/>
      <c r="W208" s="3900" t="n"/>
      <c r="X208" s="3900" t="n"/>
      <c r="Y208" s="3900" t="n"/>
      <c r="Z208" s="3900" t="n"/>
      <c r="AA208" s="3900" t="n"/>
      <c r="AB208" s="3900" t="n"/>
      <c r="AC208" s="4200" t="n"/>
      <c r="AD208" s="3900" t="n"/>
      <c r="AE208" s="3900" t="n"/>
      <c r="AF208" s="3900" t="n"/>
      <c r="AG208" s="3900" t="n"/>
      <c r="AH208" s="3900" t="n"/>
      <c r="AI208" s="3900" t="n"/>
      <c r="AJ208" s="3900" t="n"/>
      <c r="AK208" s="3900" t="n"/>
      <c r="AL208" s="3900" t="n"/>
      <c r="AM208" s="3900" t="n"/>
      <c r="AN208" s="3900" t="n"/>
      <c r="AO208" s="4200" t="n"/>
      <c r="AP208" s="3900">
        <f>AO215</f>
        <v/>
      </c>
      <c r="AQ208" s="3900">
        <f>AP215</f>
        <v/>
      </c>
      <c r="AR208" s="3900">
        <f>AQ215</f>
        <v/>
      </c>
      <c r="AS208" s="3900">
        <f>AR215</f>
        <v/>
      </c>
      <c r="AT208" s="3900">
        <f>AS215</f>
        <v/>
      </c>
      <c r="AU208" s="4201">
        <f>AT215</f>
        <v/>
      </c>
      <c r="AV208" s="4227" t="n"/>
      <c r="AW208" s="4227">
        <f>R208</f>
        <v/>
      </c>
      <c r="AX208" s="4227">
        <f>AD208</f>
        <v/>
      </c>
      <c r="AY208" s="4227">
        <f>AH208</f>
        <v/>
      </c>
      <c r="AZ208" s="4227">
        <f>AJ208</f>
        <v/>
      </c>
    </row>
    <row r="209" ht="12" customHeight="1" s="3710">
      <c r="B209" s="4555" t="n"/>
      <c r="C209" s="4017" t="inlineStr">
        <is>
          <t>Gross assets, Additions</t>
        </is>
      </c>
      <c r="F209" s="4227" t="n"/>
      <c r="G209" s="3900" t="n"/>
      <c r="H209" s="3900" t="n"/>
      <c r="I209" s="3900" t="n"/>
      <c r="J209" s="3900" t="n"/>
      <c r="K209" s="3900" t="n"/>
      <c r="L209" s="3900" t="n"/>
      <c r="M209" s="3900" t="n"/>
      <c r="N209" s="3900" t="n"/>
      <c r="O209" s="3900" t="n"/>
      <c r="P209" s="3900" t="n"/>
      <c r="Q209" s="4200" t="n"/>
      <c r="R209" s="3900" t="n"/>
      <c r="S209" s="3900" t="n"/>
      <c r="T209" s="3900" t="n"/>
      <c r="U209" s="3900" t="n"/>
      <c r="V209" s="3900" t="n"/>
      <c r="W209" s="3900" t="n"/>
      <c r="X209" s="3900" t="n"/>
      <c r="Y209" s="3900" t="n"/>
      <c r="Z209" s="3900" t="n"/>
      <c r="AA209" s="3900" t="n"/>
      <c r="AB209" s="3900" t="n"/>
      <c r="AC209" s="4200" t="n"/>
      <c r="AD209" s="3900" t="n"/>
      <c r="AE209" s="3900" t="n"/>
      <c r="AF209" s="3900" t="n"/>
      <c r="AG209" s="3900" t="n"/>
      <c r="AH209" s="3900" t="n"/>
      <c r="AI209" s="3900" t="n"/>
      <c r="AJ209" s="3900" t="n"/>
      <c r="AK209" s="3900" t="n"/>
      <c r="AL209" s="3900" t="n"/>
      <c r="AM209" s="3900" t="n"/>
      <c r="AN209" s="3900" t="n"/>
      <c r="AO209" s="4200" t="n"/>
      <c r="AP209" s="3900">
        <f>IF(AP53-AO53&gt;0,AP53-AO53,0)+IF(AP54-AO54&gt;0,AP54-AO54,0)+IF(AP55-AO55&gt;0,AP55-AO55,0)+IF(AP56-AO56&gt;0,AP56-AO56,0)+IF(AP57-AO57&gt;0,AP57-AO57,0)+IF(AP58-AO58&gt;0,AP58-AO58,0)+IF(AP59-AO59&gt;0,AP59-AO59,0)+IF(AP60-AO60&gt;0,AP60-AO60,0)+IF(AP61-AO61&gt;0,AP61-AO61,0)+IF(AP62-AO62&gt;0,AP62-AO62,0)+IF(AP63-AO63&gt;0,AP63-AO63,0)+IF(AP73-AO73&gt;0,AP73-AO73,0)+IF(AP74-AO74&gt;0,AP74-AO74,0)+IF(AP77-AO77&gt;0,AP77-AO77,0)+IF(AP78-AO78&gt;0,AP78-AO78,0)+IF(AP79-AO79&gt;0,AP79-AO79,0)</f>
        <v/>
      </c>
      <c r="AQ209" s="3900">
        <f>IF(AQ53-AP53&gt;0,AQ53-AP53,0)+IF(AQ54-AP54&gt;0,AQ54-AP54,0)+IF(AQ55-AP55&gt;0,AQ55-AP55,0)+IF(AQ56-AP56&gt;0,AQ56-AP56,0)+IF(AQ57-AP57&gt;0,AQ57-AP57,0)+IF(AQ58-AP58&gt;0,AQ58-AP58,0)+IF(AQ59-AP59&gt;0,AQ59-AP59,0)+IF(AQ60-AP60&gt;0,AQ60-AP60,0)+IF(AQ61-AP61&gt;0,AQ61-AP61,0)+IF(AQ62-AP62&gt;0,AQ62-AP62,0)+IF(AQ63-AP63&gt;0,AQ63-AP63,0)+IF(AQ73-AP73&gt;0,AQ73-AP73,0)+IF(AQ74-AP74&gt;0,AQ74-AP74,0)+IF(AQ77-AP77&gt;0,AQ77-AP77,0)+IF(AQ78-AP78&gt;0,AQ78-AP78,0)+IF(AQ79-AP79&gt;0,AQ79-AP79,0)</f>
        <v/>
      </c>
      <c r="AR209" s="3900">
        <f>IF(AR53-AQ53&gt;0,AR53-AQ53,0)+IF(AR54-AQ54&gt;0,AR54-AQ54,0)+IF(AR55-AQ55&gt;0,AR55-AQ55,0)+IF(AR56-AQ56&gt;0,AR56-AQ56,0)+IF(AR57-AQ57&gt;0,AR57-AQ57,0)+IF(AR58-AQ58&gt;0,AR58-AQ58,0)+IF(AR59-AQ59&gt;0,AR59-AQ59,0)+IF(AR60-AQ60&gt;0,AR60-AQ60,0)+IF(AR61-AQ61&gt;0,AR61-AQ61,0)+IF(AR62-AQ62&gt;0,AR62-AQ62,0)+IF(AR63-AQ63&gt;0,AR63-AQ63,0)+IF(AR73-AQ73&gt;0,AR73-AQ73,0)+IF(AR74-AQ74&gt;0,AR74-AQ74,0)+IF(AR77-AQ77&gt;0,AR77-AQ77,0)+IF(AR78-AQ78&gt;0,AR78-AQ78,0)+IF(AR79-AQ79&gt;0,AR79-AQ79,0)</f>
        <v/>
      </c>
      <c r="AS209" s="3900">
        <f>IF(AS53-AR53&gt;0,AS53-AR53,0)+IF(AS54-AR54&gt;0,AS54-AR54,0)+IF(AS55-AR55&gt;0,AS55-AR55,0)+IF(AS56-AR56&gt;0,AS56-AR56,0)+IF(AS57-AR57&gt;0,AS57-AR57,0)+IF(AS58-AR58&gt;0,AS58-AR58,0)+IF(AS59-AR59&gt;0,AS59-AR59,0)+IF(AS60-AR60&gt;0,AS60-AR60,0)+IF(AS61-AR61&gt;0,AS61-AR61,0)+IF(AS62-AR62&gt;0,AS62-AR62,0)+IF(AS63-AR63&gt;0,AS63-AR63,0)+IF(AS73-AR73&gt;0,AS73-AR73,0)+IF(AS74-AR74&gt;0,AS74-AR74,0)+IF(AS77-AR77&gt;0,AS77-AR77,0)+IF(AS78-AR78&gt;0,AS78-AR78,0)+IF(AS79-AR79&gt;0,AS79-AR79,0)</f>
        <v/>
      </c>
      <c r="AT209" s="3900">
        <f>IF(AT53-AS53&gt;0,AT53-AS53,0)+IF(AT54-AS54&gt;0,AT54-AS54,0)+IF(AT55-AS55&gt;0,AT55-AS55,0)+IF(AT56-AS56&gt;0,AT56-AS56,0)+IF(AT57-AS57&gt;0,AT57-AS57,0)+IF(AT58-AS58&gt;0,AT58-AS58,0)+IF(AT59-AS59&gt;0,AT59-AS59,0)+IF(AT60-AS60&gt;0,AT60-AS60,0)+IF(AT61-AS61&gt;0,AT61-AS61,0)+IF(AT62-AS62&gt;0,AT62-AS62,0)+IF(AT63-AS63&gt;0,AT63-AS63,0)+IF(AT73-AS73&gt;0,AT73-AS73,0)+IF(AT74-AS74&gt;0,AT74-AS74,0)+IF(AT77-AS77&gt;0,AT77-AS77,0)+IF(AT78-AS78&gt;0,AT78-AS78,0)+IF(AT79-AS79&gt;0,AT79-AS79,0)</f>
        <v/>
      </c>
      <c r="AU209" s="4201">
        <f>IF(AU53-AT53&gt;0,AU53-AT53,0)+IF(AU54-AT54&gt;0,AU54-AT54,0)+IF(AU55-AT55&gt;0,AU55-AT55,0)+IF(AU56-AT56&gt;0,AU56-AT56,0)+IF(AU57-AT57&gt;0,AU57-AT57,0)+IF(AU58-AT58&gt;0,AU58-AT58,0)+IF(AU59-AT59&gt;0,AU59-AT59,0)+IF(AU60-AT60&gt;0,AU60-AT60,0)+IF(AU61-AT61&gt;0,AU61-AT61,0)+IF(AU62-AT62&gt;0,AU62-AT62,0)+IF(AU63-AT63&gt;0,AU63-AT63,0)+IF(AU73-AT73&gt;0,AU73-AT73,0)+IF(AU74-AT74&gt;0,AU74-AT74,0)+IF(AU77-AT77&gt;0,AU77-AT77,0)+IF(AU78-AT78&gt;0,AU78-AT78,0)+IF(AU79-AT79&gt;0,AU79-AT79,0)</f>
        <v/>
      </c>
      <c r="AV209" s="4227" t="n"/>
      <c r="AW209" s="3900">
        <f>SUM(R209:AC209)</f>
        <v/>
      </c>
      <c r="AX209" s="3900">
        <f>SUM(AD209:AO209)</f>
        <v/>
      </c>
      <c r="AY209" s="3900">
        <f>SUM(AH209:AS209)</f>
        <v/>
      </c>
      <c r="AZ209" s="3900">
        <f>SUM(AJ209:AU209)</f>
        <v/>
      </c>
    </row>
    <row r="210" ht="12" customHeight="1" s="3710">
      <c r="B210" s="3753" t="n"/>
      <c r="C210" s="4210" t="inlineStr">
        <is>
          <t>Accumulated depreciation, additions</t>
        </is>
      </c>
      <c r="D210" s="4204" t="n"/>
      <c r="E210" s="4204" t="n"/>
      <c r="F210" s="4228" t="n"/>
      <c r="G210" s="4205" t="n"/>
      <c r="H210" s="4205" t="n"/>
      <c r="I210" s="4205" t="n"/>
      <c r="J210" s="4205" t="n"/>
      <c r="K210" s="4205" t="n"/>
      <c r="L210" s="4205" t="n"/>
      <c r="M210" s="4205" t="n"/>
      <c r="N210" s="4205" t="n"/>
      <c r="O210" s="4205" t="n"/>
      <c r="P210" s="4205" t="n"/>
      <c r="Q210" s="4206" t="n"/>
      <c r="R210" s="4205" t="n"/>
      <c r="S210" s="4205" t="n"/>
      <c r="T210" s="4205" t="n"/>
      <c r="U210" s="4205" t="n"/>
      <c r="V210" s="4205" t="n"/>
      <c r="W210" s="4205" t="n"/>
      <c r="X210" s="4205" t="n"/>
      <c r="Y210" s="4205" t="n"/>
      <c r="Z210" s="4205" t="n"/>
      <c r="AA210" s="4205" t="n"/>
      <c r="AB210" s="4205" t="n"/>
      <c r="AC210" s="4206" t="n"/>
      <c r="AD210" s="4205" t="n"/>
      <c r="AE210" s="4205" t="n"/>
      <c r="AF210" s="4205" t="n"/>
      <c r="AG210" s="4205" t="n"/>
      <c r="AH210" s="4205" t="n"/>
      <c r="AI210" s="4205" t="n"/>
      <c r="AJ210" s="4205" t="n"/>
      <c r="AK210" s="4205" t="n"/>
      <c r="AL210" s="4205" t="n"/>
      <c r="AM210" s="4205" t="n"/>
      <c r="AN210" s="4205" t="n"/>
      <c r="AO210" s="4206" t="n"/>
      <c r="AP210" s="4205">
        <f>IF(AP64-AO64&gt;0,0,AP64-AO64)+IF(AP65-AO65&gt;0,0,AP65-AO65)+IF(AP66-AO66&gt;0,0,AP66-AO66)+IF(AP67-AO67&gt;0,0,AP67-AO67)+IF(AP68-AO68&gt;0,0,AP68-AO68)+IF(AP69-AO69&gt;0,0,AP69-AO69)+IF(AP70-AO70&gt;0,0,AP70-AO70)+IF(AP71-AO71&gt;0,0,AP71-AO71)+IF(AP75-AO75&gt;0,0,AP75-AO75)+IF(AP80-AO80&gt;0,0,AP80-AO80)+IF(AP81-AO81&gt;0,0,AP81-AO81)</f>
        <v/>
      </c>
      <c r="AQ210" s="4205">
        <f>IF(AQ64-AP64&gt;0,0,AQ64-AP64)+IF(AQ65-AP65&gt;0,0,AQ65-AP65)+IF(AQ66-AP66&gt;0,0,AQ66-AP66)+IF(AQ67-AP67&gt;0,0,AQ67-AP67)+IF(AQ68-AP68&gt;0,0,AQ68-AP68)+IF(AQ69-AP69&gt;0,0,AQ69-AP69)+IF(AQ70-AP70&gt;0,0,AQ70-AP70)+IF(AQ71-AP71&gt;0,0,AQ71-AP71)+IF(AQ75-AP75&gt;0,0,AQ75-AP75)+IF(AQ80-AP80&gt;0,0,AQ80-AP80)+IF(AQ81-AP81&gt;0,0,AQ81-AP81)</f>
        <v/>
      </c>
      <c r="AR210" s="4205">
        <f>IF(AR64-AQ64&gt;0,0,AR64-AQ64)+IF(AR65-AQ65&gt;0,0,AR65-AQ65)+IF(AR66-AQ66&gt;0,0,AR66-AQ66)+IF(AR67-AQ67&gt;0,0,AR67-AQ67)+IF(AR68-AQ68&gt;0,0,AR68-AQ68)+IF(AR69-AQ69&gt;0,0,AR69-AQ69)+IF(AR70-AQ70&gt;0,0,AR70-AQ70)+IF(AR71-AQ71&gt;0,0,AR71-AQ71)+IF(AR75-AQ75&gt;0,0,AR75-AQ75)+IF(AR80-AQ80&gt;0,0,AR80-AQ80)+IF(AR81-AQ81&gt;0,0,AR81-AQ81)</f>
        <v/>
      </c>
      <c r="AS210" s="4205">
        <f>IF(AS64-AR64&gt;0,0,AS64-AR64)+IF(AS65-AR65&gt;0,0,AS65-AR65)+IF(AS66-AR66&gt;0,0,AS66-AR66)+IF(AS67-AR67&gt;0,0,AS67-AR67)+IF(AS68-AR68&gt;0,0,AS68-AR68)+IF(AS69-AR69&gt;0,0,AS69-AR69)+IF(AS70-AR70&gt;0,0,AS70-AR70)+IF(AS71-AR71&gt;0,0,AS71-AR71)+IF(AS75-AR75&gt;0,0,AS75-AR75)+IF(AS80-AR80&gt;0,0,AS80-AR80)+IF(AS81-AR81&gt;0,0,AS81-AR81)</f>
        <v/>
      </c>
      <c r="AT210" s="4205">
        <f>IF(AT64-AS64&gt;0,0,AT64-AS64)+IF(AT65-AS65&gt;0,0,AT65-AS65)+IF(AT66-AS66&gt;0,0,AT66-AS66)+IF(AT67-AS67&gt;0,0,AT67-AS67)+IF(AT68-AS68&gt;0,0,AT68-AS68)+IF(AT69-AS69&gt;0,0,AT69-AS69)+IF(AT70-AS70&gt;0,0,AT70-AS70)+IF(AT71-AS71&gt;0,0,AT71-AS71)+IF(AT75-AS75&gt;0,0,AT75-AS75)+IF(AT80-AS80&gt;0,0,AT80-AS80)+IF(AT81-AS81&gt;0,0,AT81-AS81)</f>
        <v/>
      </c>
      <c r="AU210" s="4207">
        <f>IF(AU64-AT64&gt;0,0,AU64-AT64)+IF(AU65-AT65&gt;0,0,AU65-AT65)+IF(AU66-AT66&gt;0,0,AU66-AT66)+IF(AU67-AT67&gt;0,0,AU67-AT67)+IF(AU68-AT68&gt;0,0,AU68-AT68)+IF(AU69-AT69&gt;0,0,AU69-AT69)+IF(AU70-AT70&gt;0,0,AU70-AT70)+IF(AU71-AT71&gt;0,0,AU71-AT71)+IF(AU75-AT75&gt;0,0,AU75-AT75)+IF(AU80-AT80&gt;0,0,AU80-AT80)+IF(AU81-AT81&gt;0,0,AU81-AT81)</f>
        <v/>
      </c>
      <c r="AV210" s="4228" t="n"/>
      <c r="AW210" s="4205">
        <f>SUM(R210:AC210)</f>
        <v/>
      </c>
      <c r="AX210" s="4205">
        <f>SUM(AD210:AO210)</f>
        <v/>
      </c>
      <c r="AY210" s="4205">
        <f>SUM(AH210:AS210)</f>
        <v/>
      </c>
      <c r="AZ210" s="4205">
        <f>SUM(AJ210:AU210)</f>
        <v/>
      </c>
    </row>
    <row r="211" ht="12" customHeight="1" s="3710">
      <c r="B211" s="3753" t="n"/>
      <c r="C211" s="3902" t="inlineStr">
        <is>
          <t>Additions</t>
        </is>
      </c>
      <c r="F211" s="4227" t="n"/>
      <c r="G211" s="3900" t="n"/>
      <c r="H211" s="3900" t="n"/>
      <c r="I211" s="3900" t="n"/>
      <c r="J211" s="3900" t="n"/>
      <c r="K211" s="3900" t="n"/>
      <c r="L211" s="3900" t="n"/>
      <c r="M211" s="3900" t="n"/>
      <c r="N211" s="3900" t="n"/>
      <c r="O211" s="3900" t="n"/>
      <c r="P211" s="3900" t="n"/>
      <c r="Q211" s="4200" t="n"/>
      <c r="R211" s="3900" t="n"/>
      <c r="S211" s="3900" t="n"/>
      <c r="T211" s="3900" t="n"/>
      <c r="U211" s="3900" t="n"/>
      <c r="V211" s="3900" t="n"/>
      <c r="W211" s="3900" t="n"/>
      <c r="X211" s="3900" t="n"/>
      <c r="Y211" s="3900" t="n"/>
      <c r="Z211" s="3900" t="n"/>
      <c r="AA211" s="3900" t="n"/>
      <c r="AB211" s="3900" t="n"/>
      <c r="AC211" s="4200" t="n"/>
      <c r="AD211" s="3900" t="n"/>
      <c r="AE211" s="3900" t="n"/>
      <c r="AF211" s="3900" t="n"/>
      <c r="AG211" s="3900" t="n"/>
      <c r="AH211" s="3900" t="n"/>
      <c r="AI211" s="3900" t="n"/>
      <c r="AJ211" s="3900" t="n"/>
      <c r="AK211" s="3900" t="n"/>
      <c r="AL211" s="3900" t="n"/>
      <c r="AM211" s="3900" t="n"/>
      <c r="AN211" s="3900" t="n"/>
      <c r="AO211" s="4200" t="n"/>
      <c r="AP211" s="3900">
        <f>SUM(AP209:AP210)</f>
        <v/>
      </c>
      <c r="AQ211" s="3900">
        <f>SUM(AQ209:AQ210)</f>
        <v/>
      </c>
      <c r="AR211" s="3900">
        <f>SUM(AR209:AR210)</f>
        <v/>
      </c>
      <c r="AS211" s="3900">
        <f>SUM(AS209:AS210)</f>
        <v/>
      </c>
      <c r="AT211" s="3900">
        <f>SUM(AT209:AT210)</f>
        <v/>
      </c>
      <c r="AU211" s="4201">
        <f>SUM(AU209:AU210)</f>
        <v/>
      </c>
      <c r="AV211" s="4227">
        <f>SUM(AV209:AV210)</f>
        <v/>
      </c>
      <c r="AW211" s="3900">
        <f>SUM(AW209:AW210)</f>
        <v/>
      </c>
      <c r="AX211" s="3900">
        <f>SUM(AX209:AX210)</f>
        <v/>
      </c>
      <c r="AY211" s="3900">
        <f>SUM(AY209:AY210)</f>
        <v/>
      </c>
      <c r="AZ211" s="3900">
        <f>SUM(AZ209:AZ210)</f>
        <v/>
      </c>
    </row>
    <row r="212" ht="12" customHeight="1" s="3710">
      <c r="B212" s="4555" t="n"/>
      <c r="C212" s="4017" t="inlineStr">
        <is>
          <t>Gross assets, disposals</t>
        </is>
      </c>
      <c r="F212" s="4227" t="n"/>
      <c r="G212" s="3900" t="n"/>
      <c r="H212" s="3900" t="n"/>
      <c r="I212" s="3900" t="n"/>
      <c r="J212" s="3900" t="n"/>
      <c r="K212" s="3900" t="n"/>
      <c r="L212" s="3900" t="n"/>
      <c r="M212" s="3900" t="n"/>
      <c r="N212" s="3900" t="n"/>
      <c r="O212" s="3900" t="n"/>
      <c r="P212" s="3900" t="n"/>
      <c r="Q212" s="4200" t="n"/>
      <c r="R212" s="3900" t="n"/>
      <c r="S212" s="3900" t="n"/>
      <c r="T212" s="3900" t="n"/>
      <c r="U212" s="3900" t="n"/>
      <c r="V212" s="3900" t="n"/>
      <c r="W212" s="3900" t="n"/>
      <c r="X212" s="3900" t="n"/>
      <c r="Y212" s="3900" t="n"/>
      <c r="Z212" s="3900" t="n"/>
      <c r="AA212" s="3900" t="n"/>
      <c r="AB212" s="3900" t="n"/>
      <c r="AC212" s="4200" t="n"/>
      <c r="AD212" s="3900" t="n"/>
      <c r="AE212" s="3900" t="n"/>
      <c r="AF212" s="3900" t="n"/>
      <c r="AG212" s="3900" t="n"/>
      <c r="AH212" s="3900" t="n"/>
      <c r="AI212" s="3900" t="n"/>
      <c r="AJ212" s="3900" t="n"/>
      <c r="AK212" s="3900" t="n"/>
      <c r="AL212" s="3900" t="n"/>
      <c r="AM212" s="3900" t="n"/>
      <c r="AN212" s="3900" t="n"/>
      <c r="AO212" s="4200" t="n"/>
      <c r="AP212" s="3900">
        <f>IF(AP53-AO53&gt;0,0,AP53-AO53)+IF(AP54-AO54&gt;0,0,AP54-AO54)+IF(AP55-AO55&gt;0,0,AP55-AO55)+IF(AP56-AO56&gt;0,0,AP56-AO56)+IF(AP57-AO57&gt;0,0,AP57-AO57)+IF(AP58-AO58&gt;0,0,AP58-AO58)+IF(AP59-AO59&gt;0,0,AP59-AO59)+IF(AP60-AO60&gt;0,0,AP60-AO60)+IF(AP61-AO61&gt;0,0,AP61-AO61)+IF(AP62-AO62&gt;0,0,AP62-AO62)+IF(AP63-AO63&gt;0,0,AP63-AO63)+IF(AP73-AO73&gt;0,0,AP73-AO73)+IF(AP74-AO74&gt;0,0,AP74-AO74)+IF(AP77-AO77&gt;0,0,AP77-AO77)+IF(AP78-AO78&gt;0,0,AP78-AO78)+IF(AP79-AO79&gt;0,0,AP79-AO79)</f>
        <v/>
      </c>
      <c r="AQ212" s="3900">
        <f>IF(AQ53-AP53&gt;0,0,AQ53-AP53)+IF(AQ54-AP54&gt;0,0,AQ54-AP54)+IF(AQ55-AP55&gt;0,0,AQ55-AP55)+IF(AQ56-AP56&gt;0,0,AQ56-AP56)+IF(AQ57-AP57&gt;0,0,AQ57-AP57)+IF(AQ58-AP58&gt;0,0,AQ58-AP58)+IF(AQ59-AP59&gt;0,0,AQ59-AP59)+IF(AQ60-AP60&gt;0,0,AQ60-AP60)+IF(AQ61-AP61&gt;0,0,AQ61-AP61)+IF(AQ62-AP62&gt;0,0,AQ62-AP62)+IF(AQ63-AP63&gt;0,0,AQ63-AP63)+IF(AQ73-AP73&gt;0,0,AQ73-AP73)+IF(AQ74-AP74&gt;0,0,AQ74-AP74)+IF(AQ77-AP77&gt;0,0,AQ77-AP77)+IF(AQ78-AP78&gt;0,0,AQ78-AP78)+IF(AQ79-AP79&gt;0,0,AQ79-AP79)</f>
        <v/>
      </c>
      <c r="AR212" s="3900">
        <f>IF(AR53-AQ53&gt;0,0,AR53-AQ53)+IF(AR54-AQ54&gt;0,0,AR54-AQ54)+IF(AR55-AQ55&gt;0,0,AR55-AQ55)+IF(AR56-AQ56&gt;0,0,AR56-AQ56)+IF(AR57-AQ57&gt;0,0,AR57-AQ57)+IF(AR58-AQ58&gt;0,0,AR58-AQ58)+IF(AR59-AQ59&gt;0,0,AR59-AQ59)+IF(AR60-AQ60&gt;0,0,AR60-AQ60)+IF(AR61-AQ61&gt;0,0,AR61-AQ61)+IF(AR62-AQ62&gt;0,0,AR62-AQ62)+IF(AR63-AQ63&gt;0,0,AR63-AQ63)+IF(AR73-AQ73&gt;0,0,AR73-AQ73)+IF(AR74-AQ74&gt;0,0,AR74-AQ74)+IF(AR77-AQ77&gt;0,0,AR77-AQ77)+IF(AR78-AQ78&gt;0,0,AR78-AQ78)+IF(AR79-AQ79&gt;0,0,AR79-AQ79)</f>
        <v/>
      </c>
      <c r="AS212" s="3900">
        <f>IF(AS53-AR53&gt;0,0,AS53-AR53)+IF(AS54-AR54&gt;0,0,AS54-AR54)+IF(AS55-AR55&gt;0,0,AS55-AR55)+IF(AS56-AR56&gt;0,0,AS56-AR56)+IF(AS57-AR57&gt;0,0,AS57-AR57)+IF(AS58-AR58&gt;0,0,AS58-AR58)+IF(AS59-AR59&gt;0,0,AS59-AR59)+IF(AS60-AR60&gt;0,0,AS60-AR60)+IF(AS61-AR61&gt;0,0,AS61-AR61)+IF(AS62-AR62&gt;0,0,AS62-AR62)+IF(AS63-AR63&gt;0,0,AS63-AR63)+IF(AS73-AR73&gt;0,0,AS73-AR73)+IF(AS74-AR74&gt;0,0,AS74-AR74)+IF(AS77-AR77&gt;0,0,AS77-AR77)+IF(AS78-AR78&gt;0,0,AS78-AR78)+IF(AS79-AR79&gt;0,0,AS79-AR79)</f>
        <v/>
      </c>
      <c r="AT212" s="3900">
        <f>IF(AT53-AS53&gt;0,0,AT53-AS53)+IF(AT54-AS54&gt;0,0,AT54-AS54)+IF(AT55-AS55&gt;0,0,AT55-AS55)+IF(AT56-AS56&gt;0,0,AT56-AS56)+IF(AT57-AS57&gt;0,0,AT57-AS57)+IF(AT58-AS58&gt;0,0,AT58-AS58)+IF(AT59-AS59&gt;0,0,AT59-AS59)+IF(AT60-AS60&gt;0,0,AT60-AS60)+IF(AT61-AS61&gt;0,0,AT61-AS61)+IF(AT62-AS62&gt;0,0,AT62-AS62)+IF(AT63-AS63&gt;0,0,AT63-AS63)+IF(AT73-AS73&gt;0,0,AT73-AS73)+IF(AT74-AS74&gt;0,0,AT74-AS74)+IF(AT77-AS77&gt;0,0,AT77-AS77)+IF(AT78-AS78&gt;0,0,AT78-AS78)+IF(AT79-AS79&gt;0,0,AT79-AS79)</f>
        <v/>
      </c>
      <c r="AU212" s="4201">
        <f>IF(AU53-AT53&gt;0,0,AU53-AT53)+IF(AU54-AT54&gt;0,0,AU54-AT54)+IF(AU55-AT55&gt;0,0,AU55-AT55)+IF(AU56-AT56&gt;0,0,AU56-AT56)+IF(AU57-AT57&gt;0,0,AU57-AT57)+IF(AU58-AT58&gt;0,0,AU58-AT58)+IF(AU59-AT59&gt;0,0,AU59-AT59)+IF(AU60-AT60&gt;0,0,AU60-AT60)+IF(AU61-AT61&gt;0,0,AU61-AT61)+IF(AU62-AT62&gt;0,0,AU62-AT62)+IF(AU63-AT63&gt;0,0,AU63-AT63)+IF(AU73-AT73&gt;0,0,AU73-AT73)+IF(AU74-AT74&gt;0,0,AU74-AT74)+IF(AU77-AT77&gt;0,0,AU77-AT77)+IF(AU78-AT78&gt;0,0,AU78-AT78)+IF(AU79-AT79&gt;0,0,AU79-AT79)</f>
        <v/>
      </c>
      <c r="AV212" s="4227" t="n"/>
      <c r="AW212" s="3900">
        <f>SUM(R212:AC212)</f>
        <v/>
      </c>
      <c r="AX212" s="3900">
        <f>SUM(AD212:AO212)</f>
        <v/>
      </c>
      <c r="AY212" s="3900">
        <f>SUM(AH212:AS212)</f>
        <v/>
      </c>
      <c r="AZ212" s="3900">
        <f>SUM(AJ212:AU212)</f>
        <v/>
      </c>
    </row>
    <row r="213" ht="12" customHeight="1" s="3710">
      <c r="B213" s="3753" t="n"/>
      <c r="C213" s="4210" t="inlineStr">
        <is>
          <t>Accumulated depreciation, disposals</t>
        </is>
      </c>
      <c r="D213" s="4204" t="n"/>
      <c r="E213" s="4204" t="n"/>
      <c r="F213" s="4228" t="n"/>
      <c r="G213" s="4205" t="n"/>
      <c r="H213" s="4205" t="n"/>
      <c r="I213" s="4205" t="n"/>
      <c r="J213" s="4205" t="n"/>
      <c r="K213" s="4205" t="n"/>
      <c r="L213" s="4205" t="n"/>
      <c r="M213" s="4205" t="n"/>
      <c r="N213" s="4205" t="n"/>
      <c r="O213" s="4205" t="n"/>
      <c r="P213" s="4205" t="n"/>
      <c r="Q213" s="4206" t="n"/>
      <c r="R213" s="4205" t="n"/>
      <c r="S213" s="4205" t="n"/>
      <c r="T213" s="4205" t="n"/>
      <c r="U213" s="4205" t="n"/>
      <c r="V213" s="4205" t="n"/>
      <c r="W213" s="4205" t="n"/>
      <c r="X213" s="4205" t="n"/>
      <c r="Y213" s="4205" t="n"/>
      <c r="Z213" s="4205" t="n"/>
      <c r="AA213" s="4205" t="n"/>
      <c r="AB213" s="4205" t="n"/>
      <c r="AC213" s="4206" t="n"/>
      <c r="AD213" s="4205" t="n"/>
      <c r="AE213" s="4205" t="n"/>
      <c r="AF213" s="4205" t="n"/>
      <c r="AG213" s="4205" t="n"/>
      <c r="AH213" s="4205" t="n"/>
      <c r="AI213" s="4205" t="n"/>
      <c r="AJ213" s="4205" t="n"/>
      <c r="AK213" s="4205" t="n"/>
      <c r="AL213" s="4205" t="n"/>
      <c r="AM213" s="4205" t="n"/>
      <c r="AN213" s="4205" t="n"/>
      <c r="AO213" s="4206" t="n"/>
      <c r="AP213" s="4205">
        <f>IF(AP64-AO64&gt;0,AP64-AO64,0)+IF(AP65-AO65&gt;0,AP65-AO65,0)+IF(AP66-AO66&gt;0,AP66-AO66,0)+IF(AP67-AO67&gt;0,AP67-AO67,0)+IF(AP68-AO68&gt;0,AP68-AO68,0)+IF(AP69-AO69&gt;0,AP69-AO69,0)+IF(AP70-AO70&gt;0,AP70-AO70,0)+IF(AP71-AO71&gt;0,AP71-AO71,0)+IF(AP75-AO75&gt;0,AP75-AO75,0)+IF(AP80-AO80&gt;0,AP80-AO80,0)+IF(AP81-AO81&gt;0,AP81-AO81,0)</f>
        <v/>
      </c>
      <c r="AQ213" s="4205">
        <f>IF(AQ64-AP64&gt;0,AQ64-AP64,0)+IF(AQ65-AP65&gt;0,AQ65-AP65,0)+IF(AQ66-AP66&gt;0,AQ66-AP66,0)+IF(AQ67-AP67&gt;0,AQ67-AP67,0)+IF(AQ68-AP68&gt;0,AQ68-AP68,0)+IF(AQ69-AP69&gt;0,AQ69-AP69,0)+IF(AQ70-AP70&gt;0,AQ70-AP70,0)+IF(AQ71-AP71&gt;0,AQ71-AP71,0)+IF(AQ75-AP75&gt;0,AQ75-AP75,0)+IF(AQ80-AP80&gt;0,AQ80-AP80,0)+IF(AQ81-AP81&gt;0,AQ81-AP81,0)</f>
        <v/>
      </c>
      <c r="AR213" s="4205">
        <f>IF(AR64-AQ64&gt;0,AR64-AQ64,0)+IF(AR65-AQ65&gt;0,AR65-AQ65,0)+IF(AR66-AQ66&gt;0,AR66-AQ66,0)+IF(AR67-AQ67&gt;0,AR67-AQ67,0)+IF(AR68-AQ68&gt;0,AR68-AQ68,0)+IF(AR69-AQ69&gt;0,AR69-AQ69,0)+IF(AR70-AQ70&gt;0,AR70-AQ70,0)+IF(AR71-AQ71&gt;0,AR71-AQ71,0)+IF(AR75-AQ75&gt;0,AR75-AQ75,0)+IF(AR80-AQ80&gt;0,AR80-AQ80,0)+IF(AR81-AQ81&gt;0,AR81-AQ81,0)</f>
        <v/>
      </c>
      <c r="AS213" s="4205">
        <f>IF(AS64-AR64&gt;0,AS64-AR64,0)+IF(AS65-AR65&gt;0,AS65-AR65,0)+IF(AS66-AR66&gt;0,AS66-AR66,0)+IF(AS67-AR67&gt;0,AS67-AR67,0)+IF(AS68-AR68&gt;0,AS68-AR68,0)+IF(AS69-AR69&gt;0,AS69-AR69,0)+IF(AS70-AR70&gt;0,AS70-AR70,0)+IF(AS71-AR71&gt;0,AS71-AR71,0)+IF(AS75-AR75&gt;0,AS75-AR75,0)+IF(AS80-AR80&gt;0,AS80-AR80,0)+IF(AS81-AR81&gt;0,AS81-AR81,0)</f>
        <v/>
      </c>
      <c r="AT213" s="4205">
        <f>IF(AT64-AS64&gt;0,AT64-AS64,0)+IF(AT65-AS65&gt;0,AT65-AS65,0)+IF(AT66-AS66&gt;0,AT66-AS66,0)+IF(AT67-AS67&gt;0,AT67-AS67,0)+IF(AT68-AS68&gt;0,AT68-AS68,0)+IF(AT69-AS69&gt;0,AT69-AS69,0)+IF(AT70-AS70&gt;0,AT70-AS70,0)+IF(AT71-AS71&gt;0,AT71-AS71,0)+IF(AT75-AS75&gt;0,AT75-AS75,0)+IF(AT80-AS80&gt;0,AT80-AS80,0)+IF(AT81-AS81&gt;0,AT81-AS81,0)</f>
        <v/>
      </c>
      <c r="AU213" s="4207">
        <f>IF(AU64-AT64&gt;0,AU64-AT64,0)+IF(AU65-AT65&gt;0,AU65-AT65,0)+IF(AU66-AT66&gt;0,AU66-AT66,0)+IF(AU67-AT67&gt;0,AU67-AT67,0)+IF(AU68-AT68&gt;0,AU68-AT68,0)+IF(AU69-AT69&gt;0,AU69-AT69,0)+IF(AU70-AT70&gt;0,AU70-AT70,0)+IF(AU71-AT71&gt;0,AU71-AT71,0)+IF(AU75-AT75&gt;0,AU75-AT75,0)+IF(AU80-AT80&gt;0,AU80-AT80,0)+IF(AU81-AT81&gt;0,AU81-AT81,0)</f>
        <v/>
      </c>
      <c r="AV213" s="4228" t="n"/>
      <c r="AW213" s="4205">
        <f>SUM(R213:AC213)</f>
        <v/>
      </c>
      <c r="AX213" s="4205">
        <f>SUM(AD213:AO213)</f>
        <v/>
      </c>
      <c r="AY213" s="4205">
        <f>SUM(AH213:AS213)</f>
        <v/>
      </c>
      <c r="AZ213" s="4205">
        <f>SUM(AJ213:AU213)</f>
        <v/>
      </c>
    </row>
    <row r="214" ht="12" customHeight="1" s="3710">
      <c r="B214" s="3753" t="n"/>
      <c r="C214" s="3902" t="inlineStr">
        <is>
          <t>Disposals</t>
        </is>
      </c>
      <c r="F214" s="4227" t="n"/>
      <c r="G214" s="3900" t="n"/>
      <c r="H214" s="3900" t="n"/>
      <c r="I214" s="3900" t="n"/>
      <c r="J214" s="3900" t="n"/>
      <c r="K214" s="3900" t="n"/>
      <c r="L214" s="3900" t="n"/>
      <c r="M214" s="3900" t="n"/>
      <c r="N214" s="3900" t="n"/>
      <c r="O214" s="3900" t="n"/>
      <c r="P214" s="3900" t="n"/>
      <c r="Q214" s="4200" t="n"/>
      <c r="R214" s="3900" t="n"/>
      <c r="S214" s="3900" t="n"/>
      <c r="T214" s="3900" t="n"/>
      <c r="U214" s="3900" t="n"/>
      <c r="V214" s="3900" t="n"/>
      <c r="W214" s="3900" t="n"/>
      <c r="X214" s="3900" t="n"/>
      <c r="Y214" s="3900" t="n"/>
      <c r="Z214" s="3900" t="n"/>
      <c r="AA214" s="3900" t="n"/>
      <c r="AB214" s="3900" t="n"/>
      <c r="AC214" s="4200" t="n"/>
      <c r="AD214" s="3900" t="n"/>
      <c r="AE214" s="3900" t="n"/>
      <c r="AF214" s="3900" t="n"/>
      <c r="AG214" s="3900" t="n"/>
      <c r="AH214" s="3900" t="n"/>
      <c r="AI214" s="3900" t="n"/>
      <c r="AJ214" s="3900" t="n"/>
      <c r="AK214" s="3900" t="n"/>
      <c r="AL214" s="3900" t="n"/>
      <c r="AM214" s="3900" t="n"/>
      <c r="AN214" s="3900" t="n"/>
      <c r="AO214" s="4200" t="n"/>
      <c r="AP214" s="3900">
        <f>SUM(AP212:AP213)</f>
        <v/>
      </c>
      <c r="AQ214" s="3900">
        <f>SUM(AQ212:AQ213)</f>
        <v/>
      </c>
      <c r="AR214" s="3900">
        <f>SUM(AR212:AR213)</f>
        <v/>
      </c>
      <c r="AS214" s="3900">
        <f>SUM(AS212:AS213)</f>
        <v/>
      </c>
      <c r="AT214" s="3900">
        <f>SUM(AT212:AT213)</f>
        <v/>
      </c>
      <c r="AU214" s="4201">
        <f>SUM(AU212:AU213)</f>
        <v/>
      </c>
      <c r="AV214" s="4227">
        <f>SUM(AV212:AV213)</f>
        <v/>
      </c>
      <c r="AW214" s="3900">
        <f>SUM(AW212:AW213)</f>
        <v/>
      </c>
      <c r="AX214" s="3900">
        <f>SUM(AX212:AX213)</f>
        <v/>
      </c>
      <c r="AY214" s="3900">
        <f>SUM(AY212:AY213)</f>
        <v/>
      </c>
      <c r="AZ214" s="3900">
        <f>SUM(AZ212:AZ213)</f>
        <v/>
      </c>
    </row>
    <row r="215" ht="12" customHeight="1" s="3710">
      <c r="B215" s="3891" t="n"/>
      <c r="C215" s="4229" t="inlineStr">
        <is>
          <t>Net fixed assets, ending balance</t>
        </is>
      </c>
      <c r="D215" s="4230" t="n"/>
      <c r="E215" s="4230" t="n"/>
      <c r="F215" s="4231" t="n"/>
      <c r="G215" s="4231" t="n"/>
      <c r="H215" s="4231" t="n"/>
      <c r="I215" s="4231" t="n"/>
      <c r="J215" s="4231" t="n"/>
      <c r="K215" s="4231" t="n"/>
      <c r="L215" s="4231" t="n"/>
      <c r="M215" s="4231" t="n"/>
      <c r="N215" s="4231" t="n"/>
      <c r="O215" s="4231" t="n"/>
      <c r="P215" s="4231" t="n"/>
      <c r="Q215" s="4232" t="n"/>
      <c r="R215" s="4231" t="n"/>
      <c r="S215" s="4231" t="n"/>
      <c r="T215" s="4231" t="n"/>
      <c r="U215" s="4231" t="n"/>
      <c r="V215" s="4231" t="n"/>
      <c r="W215" s="4231" t="n"/>
      <c r="X215" s="4231" t="n"/>
      <c r="Y215" s="4231" t="n"/>
      <c r="Z215" s="4231" t="n"/>
      <c r="AA215" s="4231" t="n"/>
      <c r="AB215" s="4231" t="n"/>
      <c r="AC215" s="4232" t="n"/>
      <c r="AD215" s="4231" t="n"/>
      <c r="AE215" s="4231" t="n"/>
      <c r="AF215" s="4231" t="n"/>
      <c r="AG215" s="4231" t="n"/>
      <c r="AH215" s="4231" t="n"/>
      <c r="AI215" s="4231" t="n"/>
      <c r="AJ215" s="4231" t="n"/>
      <c r="AK215" s="4231" t="n"/>
      <c r="AL215" s="4231" t="n"/>
      <c r="AM215" s="4231" t="n"/>
      <c r="AN215" s="4231" t="n"/>
      <c r="AO215" s="4232" t="n"/>
      <c r="AP215" s="4231">
        <f>SUM(AP214,AP211,AP208)</f>
        <v/>
      </c>
      <c r="AQ215" s="4231">
        <f>SUM(AQ214,AQ211,AQ208)</f>
        <v/>
      </c>
      <c r="AR215" s="4231">
        <f>SUM(AR214,AR211,AR208)</f>
        <v/>
      </c>
      <c r="AS215" s="4231">
        <f>SUM(AS214,AS211,AS208)</f>
        <v/>
      </c>
      <c r="AT215" s="4231">
        <f>SUM(AT214,AT211,AT208)</f>
        <v/>
      </c>
      <c r="AU215" s="4233">
        <f>SUM(AU214,AU211,AU208)</f>
        <v/>
      </c>
      <c r="AV215" s="4231" t="n"/>
      <c r="AW215" s="4231">
        <f>SUM(AW214,AW211,AW208)</f>
        <v/>
      </c>
      <c r="AX215" s="4231">
        <f>SUM(AX214,AX211,AX208)</f>
        <v/>
      </c>
      <c r="AY215" s="4231">
        <f>SUM(AY214,AY211,AY208)</f>
        <v/>
      </c>
      <c r="AZ215" s="4231">
        <f>SUM(AZ214,AZ211,AZ208)</f>
        <v/>
      </c>
    </row>
    <row r="216" ht="12" customHeight="1" s="3710">
      <c r="B216" s="3891" t="n"/>
    </row>
    <row r="217" hidden="1" outlineLevel="1" ht="12" customHeight="1" s="3710">
      <c r="B217" s="3891" t="n"/>
      <c r="C217" s="4168" t="inlineStr">
        <is>
          <t>Per BS</t>
        </is>
      </c>
      <c r="D217" s="4169" t="n"/>
      <c r="E217" s="4169" t="n"/>
      <c r="F217" s="4221" t="n"/>
      <c r="G217" s="4221" t="n"/>
      <c r="H217" s="4221" t="n"/>
      <c r="I217" s="4221" t="n"/>
      <c r="J217" s="4221" t="n"/>
      <c r="K217" s="4221" t="n"/>
      <c r="L217" s="4221" t="n"/>
      <c r="M217" s="4221" t="n"/>
      <c r="N217" s="4221" t="n"/>
      <c r="O217" s="4221" t="n"/>
      <c r="P217" s="4221" t="n"/>
      <c r="Q217" s="4221" t="n"/>
      <c r="R217" s="4221" t="n"/>
      <c r="S217" s="4221" t="n"/>
      <c r="T217" s="4221" t="n"/>
      <c r="U217" s="4221" t="n"/>
      <c r="V217" s="4221" t="n"/>
      <c r="W217" s="4221" t="n"/>
      <c r="X217" s="4221" t="n"/>
      <c r="Y217" s="4221" t="n"/>
      <c r="Z217" s="4221" t="n"/>
      <c r="AA217" s="4221" t="n"/>
      <c r="AB217" s="4221" t="n"/>
      <c r="AC217" s="4221" t="n"/>
      <c r="AD217" s="4221" t="n"/>
      <c r="AE217" s="4221" t="n"/>
      <c r="AF217" s="4221" t="n"/>
      <c r="AG217" s="4221" t="n"/>
      <c r="AH217" s="4221" t="n"/>
      <c r="AI217" s="4221" t="n"/>
      <c r="AJ217" s="4221" t="n"/>
      <c r="AK217" s="4221" t="n"/>
      <c r="AL217" s="4221" t="n"/>
      <c r="AM217" s="4221" t="n"/>
      <c r="AN217" s="4221" t="n"/>
      <c r="AO217" s="4221" t="n"/>
      <c r="AP217" s="4221">
        <f>AP72+AP76+AP82</f>
        <v/>
      </c>
      <c r="AQ217" s="4221">
        <f>AQ72+AQ76+AQ82</f>
        <v/>
      </c>
      <c r="AR217" s="4221">
        <f>AR72+AR76+AR82</f>
        <v/>
      </c>
      <c r="AS217" s="4221">
        <f>AS72+AS76+AS82</f>
        <v/>
      </c>
      <c r="AT217" s="4221">
        <f>AT72+AT76+AT82</f>
        <v/>
      </c>
      <c r="AU217" s="4221">
        <f>AU72+AU76+AU82</f>
        <v/>
      </c>
      <c r="AV217" s="4221" t="n"/>
      <c r="AW217" s="4221">
        <f>AC217</f>
        <v/>
      </c>
      <c r="AX217" s="4221">
        <f>AO217</f>
        <v/>
      </c>
      <c r="AY217" s="4221">
        <f>AS217</f>
        <v/>
      </c>
      <c r="AZ217" s="4221">
        <f>AU217</f>
        <v/>
      </c>
      <c r="BA217" s="4221" t="n"/>
      <c r="BB217" s="4221" t="n"/>
      <c r="BC217" s="4221" t="n"/>
      <c r="BD217" s="4221" t="n"/>
      <c r="BE217" s="4221" t="n"/>
    </row>
    <row r="218" hidden="1" outlineLevel="1" ht="12" customHeight="1" s="3710">
      <c r="B218" s="3891" t="n"/>
      <c r="C218" s="4168" t="inlineStr">
        <is>
          <t>Check</t>
        </is>
      </c>
      <c r="D218" s="4169" t="n"/>
      <c r="E218" s="4169" t="n"/>
      <c r="F218" s="4221" t="n"/>
      <c r="G218" s="4221">
        <f>G217-G215</f>
        <v/>
      </c>
      <c r="H218" s="4221">
        <f>H217-H215</f>
        <v/>
      </c>
      <c r="I218" s="4221">
        <f>I217-I215</f>
        <v/>
      </c>
      <c r="J218" s="4221">
        <f>J217-J215</f>
        <v/>
      </c>
      <c r="K218" s="4221">
        <f>K217-K215</f>
        <v/>
      </c>
      <c r="L218" s="4221">
        <f>L217-L215</f>
        <v/>
      </c>
      <c r="M218" s="4221">
        <f>M217-M215</f>
        <v/>
      </c>
      <c r="N218" s="4221">
        <f>N217-N215</f>
        <v/>
      </c>
      <c r="O218" s="4221">
        <f>O217-O215</f>
        <v/>
      </c>
      <c r="P218" s="4221">
        <f>P217-P215</f>
        <v/>
      </c>
      <c r="Q218" s="4221">
        <f>Q217-Q215</f>
        <v/>
      </c>
      <c r="R218" s="4221">
        <f>R217-R215</f>
        <v/>
      </c>
      <c r="S218" s="4221">
        <f>S217-S215</f>
        <v/>
      </c>
      <c r="T218" s="4221">
        <f>T217-T215</f>
        <v/>
      </c>
      <c r="U218" s="4221">
        <f>U217-U215</f>
        <v/>
      </c>
      <c r="V218" s="4221">
        <f>V217-V215</f>
        <v/>
      </c>
      <c r="W218" s="4221">
        <f>W217-W215</f>
        <v/>
      </c>
      <c r="X218" s="4221">
        <f>X217-X215</f>
        <v/>
      </c>
      <c r="Y218" s="4221">
        <f>Y217-Y215</f>
        <v/>
      </c>
      <c r="Z218" s="4221">
        <f>Z217-Z215</f>
        <v/>
      </c>
      <c r="AA218" s="4221">
        <f>AA217-AA215</f>
        <v/>
      </c>
      <c r="AB218" s="4221">
        <f>AB217-AB215</f>
        <v/>
      </c>
      <c r="AC218" s="4221">
        <f>AC217-AC215</f>
        <v/>
      </c>
      <c r="AD218" s="4221">
        <f>AD217-AD215</f>
        <v/>
      </c>
      <c r="AE218" s="4221">
        <f>AE217-AE215</f>
        <v/>
      </c>
      <c r="AF218" s="4221">
        <f>AF217-AF215</f>
        <v/>
      </c>
      <c r="AG218" s="4221">
        <f>AG217-AG215</f>
        <v/>
      </c>
      <c r="AH218" s="4221">
        <f>AH217-AH215</f>
        <v/>
      </c>
      <c r="AI218" s="4221">
        <f>AI217-AI215</f>
        <v/>
      </c>
      <c r="AJ218" s="4221">
        <f>AJ217-AJ215</f>
        <v/>
      </c>
      <c r="AK218" s="4221">
        <f>AK217-AK215</f>
        <v/>
      </c>
      <c r="AL218" s="4221">
        <f>AL217-AL215</f>
        <v/>
      </c>
      <c r="AM218" s="4221">
        <f>AM217-AM215</f>
        <v/>
      </c>
      <c r="AN218" s="4221">
        <f>AN217-AN215</f>
        <v/>
      </c>
      <c r="AO218" s="4221">
        <f>AO217-AO215</f>
        <v/>
      </c>
      <c r="AP218" s="4221">
        <f>AP217-AP215</f>
        <v/>
      </c>
      <c r="AQ218" s="4221">
        <f>AQ217-AQ215</f>
        <v/>
      </c>
      <c r="AR218" s="4221">
        <f>AR217-AR215</f>
        <v/>
      </c>
      <c r="AS218" s="4221">
        <f>AS217-AS215</f>
        <v/>
      </c>
      <c r="AT218" s="4221">
        <f>AT217-AT215</f>
        <v/>
      </c>
      <c r="AU218" s="4221">
        <f>AU217-AU215</f>
        <v/>
      </c>
      <c r="AV218" s="4221" t="n"/>
      <c r="AW218" s="4221">
        <f>AW217-AW215</f>
        <v/>
      </c>
      <c r="AX218" s="4221">
        <f>AX217-AX215</f>
        <v/>
      </c>
      <c r="AY218" s="4221">
        <f>AY217-AY215</f>
        <v/>
      </c>
      <c r="AZ218" s="4221">
        <f>AZ217-AZ215</f>
        <v/>
      </c>
      <c r="BA218" s="4221" t="n"/>
      <c r="BB218" s="4221" t="n"/>
      <c r="BC218" s="4221" t="n"/>
      <c r="BD218" s="4221" t="n"/>
      <c r="BE218" s="4221" t="n"/>
    </row>
    <row r="219" ht="12" customHeight="1" s="3710">
      <c r="B219" s="3891" t="n"/>
    </row>
    <row r="220" ht="19.5" customHeight="1" s="3710">
      <c r="B220" s="4555" t="n"/>
      <c r="C220" s="4222" t="inlineStr">
        <is>
          <t>Summary | Accumulated depreciation</t>
        </is>
      </c>
      <c r="D220" s="4222" t="n"/>
      <c r="E220" s="4222" t="n"/>
      <c r="F220" s="4222" t="n"/>
      <c r="G220" s="4222" t="n"/>
      <c r="H220" s="4222" t="n"/>
      <c r="I220" s="4222" t="n"/>
      <c r="J220" s="4222" t="n"/>
      <c r="K220" s="4222" t="n"/>
      <c r="L220" s="4222" t="n"/>
      <c r="M220" s="4222" t="n"/>
      <c r="N220" s="4222" t="n"/>
      <c r="O220" s="4222" t="n"/>
      <c r="P220" s="4222" t="n"/>
      <c r="Q220" s="4222" t="n"/>
      <c r="R220" s="4222" t="n"/>
      <c r="S220" s="4222" t="n"/>
      <c r="T220" s="4222" t="n"/>
      <c r="U220" s="4222" t="n"/>
      <c r="V220" s="4222" t="n"/>
      <c r="W220" s="4222" t="n"/>
      <c r="X220" s="4222" t="n"/>
      <c r="Y220" s="4222" t="n"/>
      <c r="Z220" s="4222" t="n"/>
      <c r="AA220" s="4222" t="n"/>
      <c r="AB220" s="4222" t="n"/>
      <c r="AC220" s="4222" t="n"/>
      <c r="AD220" s="4222" t="n"/>
      <c r="AE220" s="4222" t="n"/>
      <c r="AF220" s="4222" t="n"/>
      <c r="AG220" s="4222" t="n"/>
      <c r="AH220" s="4222" t="n"/>
      <c r="AI220" s="4222" t="n"/>
      <c r="AJ220" s="4222" t="n"/>
      <c r="AK220" s="4222" t="n"/>
      <c r="AL220" s="4222" t="n"/>
      <c r="AM220" s="4222" t="n"/>
      <c r="AN220" s="4222" t="n"/>
      <c r="AO220" s="4222" t="n"/>
      <c r="AP220" s="4222" t="n"/>
      <c r="AQ220" s="4222" t="n"/>
      <c r="AR220" s="4222" t="n"/>
      <c r="AS220" s="4222" t="n"/>
      <c r="AT220" s="4222" t="n"/>
      <c r="AU220" s="4222" t="n"/>
      <c r="AV220" s="4223" t="n"/>
      <c r="AW220" s="4223" t="n"/>
      <c r="AX220" s="4223" t="n"/>
      <c r="AY220" s="4222" t="n"/>
      <c r="AZ220" s="4222" t="n"/>
    </row>
    <row r="221" ht="19.4" customHeight="1" s="3710">
      <c r="B221" s="3753" t="n"/>
      <c r="C221" s="4224" t="inlineStr">
        <is>
          <t>$'000</t>
        </is>
      </c>
      <c r="D221" s="4557" t="inlineStr">
        <is>
          <t>Code</t>
        </is>
      </c>
      <c r="E221" s="4557" t="inlineStr">
        <is>
          <t>Concatenate</t>
        </is>
      </c>
      <c r="F221" s="4186" t="n"/>
      <c r="G221" s="4186" t="n"/>
      <c r="H221" s="4186" t="n"/>
      <c r="I221" s="4186" t="n"/>
      <c r="J221" s="4186" t="n"/>
      <c r="K221" s="4186" t="n"/>
      <c r="L221" s="4186" t="n"/>
      <c r="M221" s="4186" t="n"/>
      <c r="N221" s="4186" t="n"/>
      <c r="O221" s="4186" t="n"/>
      <c r="P221" s="4186" t="n"/>
      <c r="Q221" s="4187" t="n"/>
      <c r="R221" s="4186" t="n"/>
      <c r="S221" s="4186" t="n"/>
      <c r="T221" s="4186" t="n"/>
      <c r="U221" s="4186" t="n"/>
      <c r="V221" s="4186" t="n"/>
      <c r="W221" s="4186" t="n"/>
      <c r="X221" s="4186" t="n"/>
      <c r="Y221" s="4186" t="n"/>
      <c r="Z221" s="4186" t="n"/>
      <c r="AA221" s="4186" t="n"/>
      <c r="AB221" s="4186" t="n"/>
      <c r="AC221" s="4187" t="n"/>
      <c r="AD221" s="4186" t="n"/>
      <c r="AE221" s="4186" t="n"/>
      <c r="AF221" s="4186" t="n"/>
      <c r="AG221" s="4186" t="n"/>
      <c r="AH221" s="4186" t="n"/>
      <c r="AI221" s="4186" t="n"/>
      <c r="AJ221" s="4186" t="n"/>
      <c r="AK221" s="4186" t="n"/>
      <c r="AL221" s="4186" t="n"/>
      <c r="AM221" s="4186" t="n"/>
      <c r="AN221" s="4186" t="n"/>
      <c r="AO221" s="4187" t="n"/>
      <c r="AP221" s="4186">
        <f>EOMONTH(AO221,1)</f>
        <v/>
      </c>
      <c r="AQ221" s="4186">
        <f>EOMONTH(AP221,1)</f>
        <v/>
      </c>
      <c r="AR221" s="4186">
        <f>EOMONTH(AQ221,1)</f>
        <v/>
      </c>
      <c r="AS221" s="4186">
        <f>EOMONTH(AR221,1)</f>
        <v/>
      </c>
      <c r="AT221" s="4186">
        <f>EOMONTH(AS221,1)</f>
        <v/>
      </c>
      <c r="AU221" s="4186">
        <f>EOMONTH(AT221,1)</f>
        <v/>
      </c>
      <c r="AV221" s="4225" t="inlineStr">
        <is>
          <t>FY21</t>
        </is>
      </c>
      <c r="AW221" s="4226" t="inlineStr">
        <is>
          <t>FY22</t>
        </is>
      </c>
      <c r="AX221" s="4190" t="inlineStr">
        <is>
          <t>FY23</t>
        </is>
      </c>
      <c r="AY221" s="4234" t="inlineStr">
        <is>
          <t>TTM
Apr-24</t>
        </is>
      </c>
      <c r="AZ221" s="4234" t="inlineStr">
        <is>
          <t>TTM
Jun-24</t>
        </is>
      </c>
    </row>
    <row r="222" ht="12" customHeight="1" s="3710">
      <c r="B222" s="3753" t="n"/>
      <c r="C222" s="3902" t="inlineStr">
        <is>
          <t>Accumulated depreciation change per BS</t>
        </is>
      </c>
      <c r="F222" s="4227" t="n"/>
      <c r="G222" s="3900" t="n"/>
      <c r="H222" s="3900" t="n"/>
      <c r="I222" s="3900" t="n"/>
      <c r="J222" s="3900" t="n"/>
      <c r="K222" s="3900" t="n"/>
      <c r="L222" s="3900" t="n"/>
      <c r="M222" s="3900" t="n"/>
      <c r="N222" s="3900" t="n"/>
      <c r="O222" s="3900" t="n"/>
      <c r="P222" s="3900" t="n"/>
      <c r="Q222" s="4200" t="n"/>
      <c r="R222" s="3900" t="n"/>
      <c r="S222" s="3900" t="n"/>
      <c r="T222" s="3900" t="n"/>
      <c r="U222" s="3900" t="n"/>
      <c r="V222" s="3900" t="n"/>
      <c r="W222" s="3900" t="n"/>
      <c r="X222" s="3900" t="n"/>
      <c r="Y222" s="3900" t="n"/>
      <c r="Z222" s="3900" t="n"/>
      <c r="AA222" s="3900" t="n"/>
      <c r="AB222" s="3900" t="n"/>
      <c r="AC222" s="4200" t="n"/>
      <c r="AD222" s="3900" t="n"/>
      <c r="AE222" s="3900" t="n"/>
      <c r="AF222" s="3900" t="n"/>
      <c r="AG222" s="3900" t="n"/>
      <c r="AH222" s="3900" t="n"/>
      <c r="AI222" s="3900" t="n"/>
      <c r="AJ222" s="3900" t="n"/>
      <c r="AK222" s="3900" t="n"/>
      <c r="AL222" s="3900" t="n"/>
      <c r="AM222" s="3900" t="n"/>
      <c r="AN222" s="3900" t="n"/>
      <c r="AO222" s="4200" t="n"/>
      <c r="AP222" s="3900">
        <f>AP213+AP210</f>
        <v/>
      </c>
      <c r="AQ222" s="3900">
        <f>AQ213+AQ210</f>
        <v/>
      </c>
      <c r="AR222" s="3900">
        <f>AR213+AR210</f>
        <v/>
      </c>
      <c r="AS222" s="3900">
        <f>AS213+AS210</f>
        <v/>
      </c>
      <c r="AT222" s="3900">
        <f>AT213+AT210</f>
        <v/>
      </c>
      <c r="AU222" s="4201">
        <f>AU213+AU210</f>
        <v/>
      </c>
      <c r="AV222" s="4227" t="n"/>
      <c r="AW222" s="3900">
        <f>SUM(R222:AC222)</f>
        <v/>
      </c>
      <c r="AX222" s="3900">
        <f>SUM(AD222:AO222)</f>
        <v/>
      </c>
      <c r="AY222" s="3900">
        <f>SUM(AH222:AS222)</f>
        <v/>
      </c>
      <c r="AZ222" s="3900">
        <f>SUM(AJ222:AU222)</f>
        <v/>
      </c>
    </row>
    <row r="223" ht="12" customHeight="1" s="3710">
      <c r="B223" s="3753" t="n"/>
      <c r="C223" s="3902" t="inlineStr">
        <is>
          <t>Depreciation expense</t>
        </is>
      </c>
      <c r="F223" s="4227" t="n"/>
      <c r="G223" s="3900" t="n"/>
      <c r="H223" s="3900" t="n"/>
      <c r="I223" s="3900" t="n"/>
      <c r="J223" s="3900" t="n"/>
      <c r="K223" s="3900" t="n"/>
      <c r="L223" s="3900" t="n"/>
      <c r="M223" s="3900" t="n"/>
      <c r="N223" s="3900" t="n"/>
      <c r="O223" s="3900" t="n"/>
      <c r="P223" s="3900" t="n"/>
      <c r="Q223" s="4200" t="n"/>
      <c r="R223" s="3900" t="n"/>
      <c r="S223" s="3900" t="n"/>
      <c r="T223" s="3900" t="n"/>
      <c r="U223" s="3900" t="n"/>
      <c r="V223" s="3900" t="n"/>
      <c r="W223" s="3900" t="n"/>
      <c r="X223" s="3900" t="n"/>
      <c r="Y223" s="3900" t="n"/>
      <c r="Z223" s="3900" t="n"/>
      <c r="AA223" s="3900" t="n"/>
      <c r="AB223" s="3900" t="n"/>
      <c r="AC223" s="4200" t="n"/>
      <c r="AD223" s="3900" t="n"/>
      <c r="AE223" s="3900" t="n"/>
      <c r="AF223" s="3900" t="n"/>
      <c r="AG223" s="3900" t="n"/>
      <c r="AH223" s="3900" t="n"/>
      <c r="AI223" s="3900" t="n"/>
      <c r="AJ223" s="3900" t="n"/>
      <c r="AK223" s="3900" t="n"/>
      <c r="AL223" s="3900" t="n"/>
      <c r="AM223" s="3900" t="n"/>
      <c r="AN223" s="3900" t="n"/>
      <c r="AO223" s="4200" t="n"/>
      <c r="AP223" s="3900">
        <f>-'Income statement'!AP354</f>
        <v/>
      </c>
      <c r="AQ223" s="3900">
        <f>-'Income statement'!AQ354</f>
        <v/>
      </c>
      <c r="AR223" s="3900">
        <f>-'Income statement'!AR354</f>
        <v/>
      </c>
      <c r="AS223" s="3900">
        <f>-'Income statement'!AS354</f>
        <v/>
      </c>
      <c r="AT223" s="3900">
        <f>-'Income statement'!AT354</f>
        <v/>
      </c>
      <c r="AU223" s="4201">
        <f>-'Income statement'!AU354</f>
        <v/>
      </c>
      <c r="AV223" s="4227" t="n"/>
      <c r="AW223" s="3900">
        <f>SUM(R223:AC223)</f>
        <v/>
      </c>
      <c r="AX223" s="3900">
        <f>SUM(AD223:AO223)</f>
        <v/>
      </c>
      <c r="AY223" s="3900">
        <f>SUM(AH223:AS223)</f>
        <v/>
      </c>
      <c r="AZ223" s="3900">
        <f>SUM(AJ223:AU223)</f>
        <v/>
      </c>
    </row>
    <row r="224" ht="12" customHeight="1" s="3710">
      <c r="B224" s="3753" t="n"/>
      <c r="C224" s="3902" t="inlineStr">
        <is>
          <t>Gross assets disposals</t>
        </is>
      </c>
      <c r="F224" s="4227" t="n"/>
      <c r="G224" s="3900" t="n"/>
      <c r="H224" s="3900" t="n"/>
      <c r="I224" s="3900" t="n"/>
      <c r="J224" s="3900" t="n"/>
      <c r="K224" s="3900" t="n"/>
      <c r="L224" s="3900" t="n"/>
      <c r="M224" s="3900" t="n"/>
      <c r="N224" s="3900" t="n"/>
      <c r="O224" s="3900" t="n"/>
      <c r="P224" s="3900" t="n"/>
      <c r="Q224" s="4200" t="n"/>
      <c r="R224" s="3900" t="n"/>
      <c r="S224" s="3900" t="n"/>
      <c r="T224" s="3900" t="n"/>
      <c r="U224" s="3900" t="n"/>
      <c r="V224" s="3900" t="n"/>
      <c r="W224" s="3900" t="n"/>
      <c r="X224" s="3900" t="n"/>
      <c r="Y224" s="3900" t="n"/>
      <c r="Z224" s="3900" t="n"/>
      <c r="AA224" s="3900" t="n"/>
      <c r="AB224" s="3900" t="n"/>
      <c r="AC224" s="4200" t="n"/>
      <c r="AD224" s="3900" t="n"/>
      <c r="AE224" s="3900" t="n"/>
      <c r="AF224" s="3900" t="n"/>
      <c r="AG224" s="3900" t="n"/>
      <c r="AH224" s="3900" t="n"/>
      <c r="AI224" s="3900" t="n"/>
      <c r="AJ224" s="3900" t="n"/>
      <c r="AK224" s="3900" t="n"/>
      <c r="AL224" s="3900" t="n"/>
      <c r="AM224" s="3900" t="n"/>
      <c r="AN224" s="3900" t="n"/>
      <c r="AO224" s="4200" t="n"/>
      <c r="AP224" s="3900" t="n"/>
      <c r="AQ224" s="3900" t="n"/>
      <c r="AR224" s="3900" t="n"/>
      <c r="AS224" s="3900" t="n"/>
      <c r="AT224" s="3900" t="n"/>
      <c r="AU224" s="4201" t="n"/>
      <c r="AV224" s="4227" t="n"/>
      <c r="AW224" s="3900">
        <f>SUM(R224:AC224)</f>
        <v/>
      </c>
      <c r="AX224" s="3900">
        <f>SUM(AD224:AO224)</f>
        <v/>
      </c>
      <c r="AY224" s="3900">
        <f>SUM(AH224:AS224)</f>
        <v/>
      </c>
      <c r="AZ224" s="3900">
        <f>SUM(AJ224:AU224)</f>
        <v/>
      </c>
    </row>
    <row r="225" ht="12" customHeight="1" s="3710">
      <c r="B225" s="3891" t="n"/>
      <c r="C225" s="4229" t="inlineStr">
        <is>
          <t>Net variance (plug)</t>
        </is>
      </c>
      <c r="D225" s="4230" t="n"/>
      <c r="E225" s="4230" t="n"/>
      <c r="F225" s="4231" t="n"/>
      <c r="G225" s="4231" t="n"/>
      <c r="H225" s="4231" t="n"/>
      <c r="I225" s="4231" t="n"/>
      <c r="J225" s="4231" t="n"/>
      <c r="K225" s="4231" t="n"/>
      <c r="L225" s="4231" t="n"/>
      <c r="M225" s="4231" t="n"/>
      <c r="N225" s="4231" t="n"/>
      <c r="O225" s="4231" t="n"/>
      <c r="P225" s="4231" t="n"/>
      <c r="Q225" s="4232" t="n"/>
      <c r="R225" s="4231" t="n"/>
      <c r="S225" s="4231" t="n"/>
      <c r="T225" s="4231" t="n"/>
      <c r="U225" s="4231" t="n"/>
      <c r="V225" s="4231" t="n"/>
      <c r="W225" s="4231" t="n"/>
      <c r="X225" s="4231" t="n"/>
      <c r="Y225" s="4231" t="n"/>
      <c r="Z225" s="4231" t="n"/>
      <c r="AA225" s="4231" t="n"/>
      <c r="AB225" s="4231" t="n"/>
      <c r="AC225" s="4232" t="n"/>
      <c r="AD225" s="4231" t="n"/>
      <c r="AE225" s="4231" t="n"/>
      <c r="AF225" s="4231" t="n"/>
      <c r="AG225" s="4231" t="n"/>
      <c r="AH225" s="4231" t="n"/>
      <c r="AI225" s="4231" t="n"/>
      <c r="AJ225" s="4231" t="n"/>
      <c r="AK225" s="4231" t="n"/>
      <c r="AL225" s="4231" t="n"/>
      <c r="AM225" s="4231" t="n"/>
      <c r="AN225" s="4231" t="n"/>
      <c r="AO225" s="4232" t="n"/>
      <c r="AP225" s="4231">
        <f>AP222-AP223-AP224</f>
        <v/>
      </c>
      <c r="AQ225" s="4231">
        <f>AQ222-AQ223-AQ224</f>
        <v/>
      </c>
      <c r="AR225" s="4231">
        <f>AR222-AR223-AR224</f>
        <v/>
      </c>
      <c r="AS225" s="4231">
        <f>AS222-AS223-AS224</f>
        <v/>
      </c>
      <c r="AT225" s="4231">
        <f>AT222-AT223-AT224</f>
        <v/>
      </c>
      <c r="AU225" s="4233">
        <f>AU222-AU223-AU224</f>
        <v/>
      </c>
      <c r="AV225" s="4231" t="n"/>
      <c r="AW225" s="4231">
        <f>AW222-AW223-AW224</f>
        <v/>
      </c>
      <c r="AX225" s="4231">
        <f>AX222-AX223-AX224</f>
        <v/>
      </c>
      <c r="AY225" s="4231">
        <f>AY222-AY223-AY224</f>
        <v/>
      </c>
      <c r="AZ225" s="4231">
        <f>AZ222-AZ223-AZ224</f>
        <v/>
      </c>
    </row>
    <row r="226" ht="11.25" customHeight="1" s="3710">
      <c r="B226" s="3891" t="n"/>
      <c r="G226" s="3900" t="n"/>
      <c r="H226" s="3900" t="n"/>
      <c r="I226" s="3900" t="n"/>
      <c r="J226" s="3900" t="n"/>
      <c r="K226" s="3900" t="n"/>
      <c r="L226" s="3900" t="n"/>
      <c r="M226" s="3900" t="n"/>
      <c r="N226" s="3900" t="n"/>
      <c r="O226" s="3900" t="n"/>
      <c r="P226" s="3900" t="n"/>
      <c r="Q226" s="3900" t="n"/>
    </row>
    <row r="227" ht="19.5" customHeight="1" s="3710">
      <c r="B227" s="4555" t="n"/>
      <c r="C227" s="4222" t="inlineStr">
        <is>
          <t>Gain/loss on fixed asset</t>
        </is>
      </c>
      <c r="D227" s="4222" t="n"/>
      <c r="E227" s="4222" t="n"/>
      <c r="F227" s="4222" t="n"/>
      <c r="G227" s="4222" t="n"/>
      <c r="H227" s="4222" t="n"/>
      <c r="I227" s="4222" t="n"/>
      <c r="J227" s="4222" t="n"/>
      <c r="K227" s="4222" t="n"/>
      <c r="L227" s="4222" t="n"/>
      <c r="M227" s="4222" t="n"/>
      <c r="N227" s="4222" t="n"/>
      <c r="O227" s="4222" t="n"/>
      <c r="P227" s="4222" t="n"/>
      <c r="Q227" s="4222" t="n"/>
      <c r="R227" s="4222" t="n"/>
      <c r="S227" s="4222" t="n"/>
      <c r="T227" s="4222" t="n"/>
      <c r="U227" s="4222" t="n"/>
      <c r="V227" s="4222" t="n"/>
      <c r="W227" s="4222" t="n"/>
      <c r="X227" s="4222" t="n"/>
      <c r="Y227" s="4222" t="n"/>
      <c r="Z227" s="4222" t="n"/>
      <c r="AA227" s="4222" t="n"/>
      <c r="AB227" s="4222" t="n"/>
      <c r="AC227" s="4222" t="n"/>
      <c r="AD227" s="4222" t="n"/>
      <c r="AE227" s="4222" t="n"/>
      <c r="AF227" s="4222" t="n"/>
      <c r="AG227" s="4222" t="n"/>
      <c r="AH227" s="4222" t="n"/>
      <c r="AI227" s="4222" t="n"/>
      <c r="AJ227" s="4222" t="n"/>
      <c r="AK227" s="4222" t="n"/>
      <c r="AL227" s="4222" t="n"/>
      <c r="AM227" s="4222" t="n"/>
      <c r="AN227" s="4222" t="n"/>
      <c r="AO227" s="4222" t="n"/>
      <c r="AP227" s="4222" t="n"/>
      <c r="AQ227" s="4222" t="n"/>
      <c r="AR227" s="4222" t="n"/>
      <c r="AS227" s="4222" t="n"/>
      <c r="AT227" s="4222" t="n"/>
      <c r="AU227" s="4222" t="n"/>
      <c r="AV227" s="4223" t="n"/>
      <c r="AW227" s="4223" t="n"/>
      <c r="AX227" s="4223" t="n"/>
      <c r="AY227" s="4222" t="n"/>
      <c r="AZ227" s="4222" t="n"/>
    </row>
    <row r="228" ht="19.4" customHeight="1" s="3710">
      <c r="B228" s="3753" t="n"/>
      <c r="C228" s="4224" t="inlineStr">
        <is>
          <t>$'000</t>
        </is>
      </c>
      <c r="D228" s="4557" t="inlineStr">
        <is>
          <t>Code</t>
        </is>
      </c>
      <c r="E228" s="4557" t="inlineStr">
        <is>
          <t>Concatenate</t>
        </is>
      </c>
      <c r="F228" s="4186" t="n"/>
      <c r="G228" s="4186" t="n"/>
      <c r="H228" s="4186" t="n"/>
      <c r="I228" s="4186" t="n"/>
      <c r="J228" s="4186" t="n"/>
      <c r="K228" s="4186" t="n"/>
      <c r="L228" s="4186" t="n"/>
      <c r="M228" s="4186" t="n"/>
      <c r="N228" s="4186" t="n"/>
      <c r="O228" s="4186" t="n"/>
      <c r="P228" s="4186" t="n"/>
      <c r="Q228" s="4187" t="n"/>
      <c r="R228" s="4186" t="n"/>
      <c r="S228" s="4186" t="n"/>
      <c r="T228" s="4186" t="n"/>
      <c r="U228" s="4186" t="n"/>
      <c r="V228" s="4186" t="n"/>
      <c r="W228" s="4186" t="n"/>
      <c r="X228" s="4186" t="n"/>
      <c r="Y228" s="4186" t="n"/>
      <c r="Z228" s="4186" t="n"/>
      <c r="AA228" s="4186" t="n"/>
      <c r="AB228" s="4186" t="n"/>
      <c r="AC228" s="4187" t="n"/>
      <c r="AD228" s="4186" t="n"/>
      <c r="AE228" s="4186" t="n"/>
      <c r="AF228" s="4186" t="n"/>
      <c r="AG228" s="4186" t="n"/>
      <c r="AH228" s="4186" t="n"/>
      <c r="AI228" s="4186" t="n"/>
      <c r="AJ228" s="4186" t="n"/>
      <c r="AK228" s="4186" t="n"/>
      <c r="AL228" s="4186" t="n"/>
      <c r="AM228" s="4186" t="n"/>
      <c r="AN228" s="4186" t="n"/>
      <c r="AO228" s="4187" t="n"/>
      <c r="AP228" s="4186">
        <f>EOMONTH(AO228,1)</f>
        <v/>
      </c>
      <c r="AQ228" s="4186">
        <f>EOMONTH(AP228,1)</f>
        <v/>
      </c>
      <c r="AR228" s="4186">
        <f>EOMONTH(AQ228,1)</f>
        <v/>
      </c>
      <c r="AS228" s="4186">
        <f>EOMONTH(AR228,1)</f>
        <v/>
      </c>
      <c r="AT228" s="4186">
        <f>EOMONTH(AS228,1)</f>
        <v/>
      </c>
      <c r="AU228" s="4186">
        <f>EOMONTH(AT228,1)</f>
        <v/>
      </c>
      <c r="AV228" s="4225" t="inlineStr">
        <is>
          <t>FY21</t>
        </is>
      </c>
      <c r="AW228" s="4226" t="inlineStr">
        <is>
          <t>FY22</t>
        </is>
      </c>
      <c r="AX228" s="4190" t="inlineStr">
        <is>
          <t>FY23</t>
        </is>
      </c>
      <c r="AY228" s="4234" t="inlineStr">
        <is>
          <t>TTM
Apr-24</t>
        </is>
      </c>
      <c r="AZ228" s="4234" t="inlineStr">
        <is>
          <t>TTM
Jun-24</t>
        </is>
      </c>
    </row>
    <row r="229" ht="12" customHeight="1" s="3710">
      <c r="B229" s="3753" t="n"/>
      <c r="C229" s="3902" t="inlineStr">
        <is>
          <t>NBV Disposals per BS</t>
        </is>
      </c>
      <c r="F229" s="4227" t="n"/>
      <c r="G229" s="3900" t="n"/>
      <c r="H229" s="3900" t="n"/>
      <c r="I229" s="3900" t="n"/>
      <c r="J229" s="3900" t="n"/>
      <c r="K229" s="3900" t="n"/>
      <c r="L229" s="3900" t="n"/>
      <c r="M229" s="3900" t="n"/>
      <c r="N229" s="3900" t="n"/>
      <c r="O229" s="3900" t="n"/>
      <c r="P229" s="3900" t="n"/>
      <c r="Q229" s="4200" t="n"/>
      <c r="R229" s="3900" t="n"/>
      <c r="S229" s="3900" t="n"/>
      <c r="T229" s="3900" t="n"/>
      <c r="U229" s="3900" t="n"/>
      <c r="V229" s="3900" t="n"/>
      <c r="W229" s="3900" t="n"/>
      <c r="X229" s="3900" t="n"/>
      <c r="Y229" s="3900" t="n"/>
      <c r="Z229" s="3900" t="n"/>
      <c r="AA229" s="3900" t="n"/>
      <c r="AB229" s="3900" t="n"/>
      <c r="AC229" s="4200" t="n"/>
      <c r="AD229" s="3900" t="n"/>
      <c r="AE229" s="3900" t="n"/>
      <c r="AF229" s="3900" t="n"/>
      <c r="AG229" s="3900" t="n"/>
      <c r="AH229" s="3900" t="n"/>
      <c r="AI229" s="3900" t="n"/>
      <c r="AJ229" s="3900" t="n"/>
      <c r="AK229" s="3900" t="n"/>
      <c r="AL229" s="3900" t="n"/>
      <c r="AM229" s="3900" t="n"/>
      <c r="AN229" s="3900" t="n"/>
      <c r="AO229" s="4200" t="n"/>
      <c r="AP229" s="3900">
        <f>-AP214</f>
        <v/>
      </c>
      <c r="AQ229" s="3900">
        <f>-AQ214</f>
        <v/>
      </c>
      <c r="AR229" s="3900">
        <f>-AR214</f>
        <v/>
      </c>
      <c r="AS229" s="3900">
        <f>-AS214</f>
        <v/>
      </c>
      <c r="AT229" s="3900">
        <f>-AT214</f>
        <v/>
      </c>
      <c r="AU229" s="4201">
        <f>-AU214</f>
        <v/>
      </c>
      <c r="AV229" s="4227" t="n"/>
      <c r="AW229" s="3900">
        <f>SUM(R229:AC229)</f>
        <v/>
      </c>
      <c r="AX229" s="3900">
        <f>SUM(AD229:AO229)</f>
        <v/>
      </c>
      <c r="AY229" s="3900">
        <f>SUM(AH229:AS229)</f>
        <v/>
      </c>
      <c r="AZ229" s="3900">
        <f>SUM(AJ229:AU229)</f>
        <v/>
      </c>
    </row>
    <row r="230" ht="12" customHeight="1" s="3710">
      <c r="B230" s="3753" t="n"/>
      <c r="C230" s="4204" t="inlineStr">
        <is>
          <t>Sale price</t>
        </is>
      </c>
      <c r="D230" s="4204" t="n"/>
      <c r="E230" s="4204" t="n"/>
      <c r="F230" s="4228" t="n"/>
      <c r="G230" s="4228" t="n"/>
      <c r="H230" s="4228" t="n"/>
      <c r="I230" s="4228" t="n"/>
      <c r="J230" s="4228" t="n"/>
      <c r="K230" s="4228" t="n"/>
      <c r="L230" s="4228" t="n"/>
      <c r="M230" s="4228" t="n"/>
      <c r="N230" s="4228" t="n"/>
      <c r="O230" s="4228" t="n"/>
      <c r="P230" s="4228" t="n"/>
      <c r="Q230" s="4235" t="n"/>
      <c r="R230" s="4228" t="n"/>
      <c r="S230" s="4228" t="n"/>
      <c r="T230" s="4228" t="n"/>
      <c r="U230" s="4228" t="n"/>
      <c r="V230" s="4228" t="n"/>
      <c r="W230" s="4228" t="n"/>
      <c r="X230" s="4228" t="n"/>
      <c r="Y230" s="4228" t="n"/>
      <c r="Z230" s="4228" t="n"/>
      <c r="AA230" s="4228" t="n"/>
      <c r="AB230" s="4228" t="n"/>
      <c r="AC230" s="4235" t="n"/>
      <c r="AD230" s="4228" t="n"/>
      <c r="AE230" s="4228" t="n"/>
      <c r="AF230" s="4228" t="n"/>
      <c r="AG230" s="4228" t="n"/>
      <c r="AH230" s="4228" t="n"/>
      <c r="AI230" s="4228" t="n"/>
      <c r="AJ230" s="4228" t="n"/>
      <c r="AK230" s="4228" t="n"/>
      <c r="AL230" s="4228" t="n"/>
      <c r="AM230" s="4228" t="n"/>
      <c r="AN230" s="4228" t="n"/>
      <c r="AO230" s="4235" t="n"/>
      <c r="AP230" s="4228" t="n"/>
      <c r="AQ230" s="4228" t="n"/>
      <c r="AR230" s="4228" t="n"/>
      <c r="AS230" s="4228" t="n"/>
      <c r="AT230" s="4228" t="n"/>
      <c r="AU230" s="4236" t="n"/>
      <c r="AV230" s="4228" t="n"/>
      <c r="AW230" s="4205">
        <f>SUM(R230:AC230)</f>
        <v/>
      </c>
      <c r="AX230" s="4205">
        <f>SUM(AD230:AO230)</f>
        <v/>
      </c>
      <c r="AY230" s="4205">
        <f>SUM(AH230:AS230)</f>
        <v/>
      </c>
      <c r="AZ230" s="4205">
        <f>SUM(AJ230:AU230)</f>
        <v/>
      </c>
    </row>
    <row r="231" ht="12" customHeight="1" s="3710">
      <c r="B231" s="3753" t="n"/>
      <c r="C231" s="3902" t="inlineStr">
        <is>
          <t>Gain/loss on fixed asset</t>
        </is>
      </c>
      <c r="F231" s="4227" t="n"/>
      <c r="G231" s="3900" t="n"/>
      <c r="H231" s="3900" t="n"/>
      <c r="I231" s="3900" t="n"/>
      <c r="J231" s="3900" t="n"/>
      <c r="K231" s="3900" t="n"/>
      <c r="L231" s="3900" t="n"/>
      <c r="M231" s="3900" t="n"/>
      <c r="N231" s="3900" t="n"/>
      <c r="O231" s="3900" t="n"/>
      <c r="P231" s="3900" t="n"/>
      <c r="Q231" s="4200" t="n"/>
      <c r="R231" s="3900" t="n"/>
      <c r="S231" s="3900" t="n"/>
      <c r="T231" s="3900" t="n"/>
      <c r="U231" s="3900" t="n"/>
      <c r="V231" s="3900" t="n"/>
      <c r="W231" s="3900" t="n"/>
      <c r="X231" s="3900" t="n"/>
      <c r="Y231" s="3900" t="n"/>
      <c r="Z231" s="3900" t="n"/>
      <c r="AA231" s="3900" t="n"/>
      <c r="AB231" s="3900" t="n"/>
      <c r="AC231" s="4200" t="n"/>
      <c r="AD231" s="3900" t="n"/>
      <c r="AE231" s="3900" t="n"/>
      <c r="AF231" s="3900" t="n"/>
      <c r="AG231" s="3900" t="n"/>
      <c r="AH231" s="3900" t="n"/>
      <c r="AI231" s="3900" t="n"/>
      <c r="AJ231" s="3900" t="n"/>
      <c r="AK231" s="3900" t="n"/>
      <c r="AL231" s="3900" t="n"/>
      <c r="AM231" s="3900" t="n"/>
      <c r="AN231" s="3900" t="n"/>
      <c r="AO231" s="4200" t="n"/>
      <c r="AP231" s="3900">
        <f>AP230-AP229</f>
        <v/>
      </c>
      <c r="AQ231" s="3900">
        <f>AQ230-AQ229</f>
        <v/>
      </c>
      <c r="AR231" s="3900">
        <f>AR230-AR229</f>
        <v/>
      </c>
      <c r="AS231" s="3900">
        <f>AS230-AS229</f>
        <v/>
      </c>
      <c r="AT231" s="3900">
        <f>AT230-AT229</f>
        <v/>
      </c>
      <c r="AU231" s="4201">
        <f>AU230-AU229</f>
        <v/>
      </c>
      <c r="AV231" s="4227" t="n"/>
      <c r="AW231" s="3900">
        <f>AW230-AW229</f>
        <v/>
      </c>
      <c r="AX231" s="3900">
        <f>AX230-AX229</f>
        <v/>
      </c>
      <c r="AY231" s="3900">
        <f>AY230-AY229</f>
        <v/>
      </c>
      <c r="AZ231" s="3900">
        <f>AZ230-AZ229</f>
        <v/>
      </c>
    </row>
    <row r="232" ht="12" customHeight="1" s="3710">
      <c r="B232" s="3753" t="n"/>
      <c r="C232" s="3902" t="inlineStr">
        <is>
          <t>Gain/loss on fixed asset per IS</t>
        </is>
      </c>
      <c r="F232" s="4227" t="n"/>
      <c r="G232" s="3900" t="n"/>
      <c r="H232" s="3900" t="n"/>
      <c r="I232" s="3900" t="n"/>
      <c r="J232" s="3900" t="n"/>
      <c r="K232" s="3900" t="n"/>
      <c r="L232" s="3900" t="n"/>
      <c r="M232" s="3900" t="n"/>
      <c r="N232" s="3900" t="n"/>
      <c r="O232" s="3900" t="n"/>
      <c r="P232" s="3900" t="n"/>
      <c r="Q232" s="4200" t="n"/>
      <c r="R232" s="3900" t="n"/>
      <c r="S232" s="3900" t="n"/>
      <c r="T232" s="3900" t="n"/>
      <c r="U232" s="3900" t="n"/>
      <c r="V232" s="3900" t="n"/>
      <c r="W232" s="3900" t="n"/>
      <c r="X232" s="3900" t="n"/>
      <c r="Y232" s="3900" t="n"/>
      <c r="Z232" s="3900" t="n"/>
      <c r="AA232" s="3900" t="n"/>
      <c r="AB232" s="3900" t="n"/>
      <c r="AC232" s="4200" t="n"/>
      <c r="AD232" s="3900" t="n"/>
      <c r="AE232" s="3900" t="n"/>
      <c r="AF232" s="3900" t="n"/>
      <c r="AG232" s="3900" t="n"/>
      <c r="AH232" s="3900" t="n"/>
      <c r="AI232" s="3900" t="n"/>
      <c r="AJ232" s="3900" t="n"/>
      <c r="AK232" s="3900" t="n"/>
      <c r="AL232" s="3900" t="n"/>
      <c r="AM232" s="3900" t="n"/>
      <c r="AN232" s="3900" t="n"/>
      <c r="AO232" s="4200" t="n"/>
      <c r="AP232" s="3900">
        <f>'Income statement'!AP287</f>
        <v/>
      </c>
      <c r="AQ232" s="3900">
        <f>'Income statement'!AQ287</f>
        <v/>
      </c>
      <c r="AR232" s="3900">
        <f>'Income statement'!AR287</f>
        <v/>
      </c>
      <c r="AS232" s="3900">
        <f>'Income statement'!AS287</f>
        <v/>
      </c>
      <c r="AT232" s="3900">
        <f>'Income statement'!AT287</f>
        <v/>
      </c>
      <c r="AU232" s="4201">
        <f>'Income statement'!AU287</f>
        <v/>
      </c>
      <c r="AV232" s="4227" t="n"/>
      <c r="AW232" s="3900">
        <f>SUM(R232:AC232)</f>
        <v/>
      </c>
      <c r="AX232" s="3900">
        <f>SUM(AD232:AO232)</f>
        <v/>
      </c>
      <c r="AY232" s="3900">
        <f>SUM(AH232:AS232)</f>
        <v/>
      </c>
      <c r="AZ232" s="3900">
        <f>SUM(AJ232:AU232)</f>
        <v/>
      </c>
      <c r="BG232" s="3743" t="n"/>
    </row>
    <row r="233" ht="12" customHeight="1" s="3710">
      <c r="B233" s="3891" t="n"/>
      <c r="C233" s="4229" t="inlineStr">
        <is>
          <t>variance</t>
        </is>
      </c>
      <c r="D233" s="4230" t="n"/>
      <c r="E233" s="4230" t="n"/>
      <c r="F233" s="4231" t="n"/>
      <c r="G233" s="4231" t="n"/>
      <c r="H233" s="4231" t="n"/>
      <c r="I233" s="4231" t="n"/>
      <c r="J233" s="4231" t="n"/>
      <c r="K233" s="4231" t="n"/>
      <c r="L233" s="4231" t="n"/>
      <c r="M233" s="4231" t="n"/>
      <c r="N233" s="4231" t="n"/>
      <c r="O233" s="4231" t="n"/>
      <c r="P233" s="4231" t="n"/>
      <c r="Q233" s="4232" t="n"/>
      <c r="R233" s="4231" t="n"/>
      <c r="S233" s="4231" t="n"/>
      <c r="T233" s="4231" t="n"/>
      <c r="U233" s="4231" t="n"/>
      <c r="V233" s="4231" t="n"/>
      <c r="W233" s="4231" t="n"/>
      <c r="X233" s="4231" t="n"/>
      <c r="Y233" s="4231" t="n"/>
      <c r="Z233" s="4231" t="n"/>
      <c r="AA233" s="4231" t="n"/>
      <c r="AB233" s="4231" t="n"/>
      <c r="AC233" s="4232" t="n"/>
      <c r="AD233" s="4231" t="n"/>
      <c r="AE233" s="4231" t="n"/>
      <c r="AF233" s="4231" t="n"/>
      <c r="AG233" s="4231" t="n"/>
      <c r="AH233" s="4231" t="n"/>
      <c r="AI233" s="4231" t="n"/>
      <c r="AJ233" s="4231" t="n"/>
      <c r="AK233" s="4231" t="n"/>
      <c r="AL233" s="4231" t="n"/>
      <c r="AM233" s="4231" t="n"/>
      <c r="AN233" s="4231" t="n"/>
      <c r="AO233" s="4232" t="n"/>
      <c r="AP233" s="4231">
        <f>AP231-AP232</f>
        <v/>
      </c>
      <c r="AQ233" s="4231">
        <f>AQ231-AQ232</f>
        <v/>
      </c>
      <c r="AR233" s="4231">
        <f>AR231-AR232</f>
        <v/>
      </c>
      <c r="AS233" s="4231">
        <f>AS231-AS232</f>
        <v/>
      </c>
      <c r="AT233" s="4231">
        <f>AT231-AT232</f>
        <v/>
      </c>
      <c r="AU233" s="4233">
        <f>AU231-AU232</f>
        <v/>
      </c>
      <c r="AV233" s="4231" t="n"/>
      <c r="AW233" s="4231">
        <f>AW231-AW232</f>
        <v/>
      </c>
      <c r="AX233" s="4231">
        <f>AX231-AX232</f>
        <v/>
      </c>
      <c r="AY233" s="4231">
        <f>AY231-AY232</f>
        <v/>
      </c>
      <c r="AZ233" s="4231">
        <f>AZ231-AZ232</f>
        <v/>
      </c>
      <c r="BG233" s="3743" t="n"/>
    </row>
    <row r="234" ht="11.25" customHeight="1" s="3710">
      <c r="B234" s="3891" t="n"/>
      <c r="BG234" s="3743" t="n"/>
    </row>
    <row r="235" ht="19.5" customHeight="1" s="3710">
      <c r="B235" s="4555" t="n"/>
      <c r="C235" s="4222" t="inlineStr">
        <is>
          <t xml:space="preserve">Accumulated depreciation - Property &amp; equipment </t>
        </is>
      </c>
      <c r="D235" s="4222" t="n"/>
      <c r="E235" s="4222" t="n"/>
      <c r="F235" s="4222" t="n"/>
      <c r="G235" s="4222" t="n"/>
      <c r="H235" s="4222" t="n"/>
      <c r="I235" s="4222" t="n"/>
      <c r="J235" s="4222" t="n"/>
      <c r="K235" s="4222" t="n"/>
      <c r="L235" s="4222" t="n"/>
      <c r="M235" s="4222" t="n"/>
      <c r="N235" s="4222" t="n"/>
      <c r="O235" s="4222" t="n"/>
      <c r="P235" s="4222" t="n"/>
      <c r="Q235" s="4222" t="n"/>
      <c r="R235" s="4222" t="n"/>
      <c r="S235" s="4222" t="n"/>
      <c r="T235" s="4222" t="n"/>
      <c r="U235" s="4222" t="n"/>
      <c r="V235" s="4222" t="n"/>
      <c r="W235" s="4222" t="n"/>
      <c r="X235" s="4222" t="n"/>
      <c r="Y235" s="4222" t="n"/>
      <c r="Z235" s="4222" t="n"/>
      <c r="AA235" s="4222" t="n"/>
      <c r="AB235" s="4222" t="n"/>
      <c r="AC235" s="4222" t="n"/>
      <c r="AD235" s="4222" t="n"/>
      <c r="AE235" s="4222" t="n"/>
      <c r="AF235" s="4222" t="n"/>
      <c r="AG235" s="4222" t="n"/>
      <c r="AH235" s="4222" t="n"/>
      <c r="AI235" s="4222" t="n"/>
      <c r="AJ235" s="4222" t="n"/>
      <c r="AK235" s="4222" t="n"/>
      <c r="AL235" s="4222" t="n"/>
      <c r="AM235" s="4222" t="n"/>
      <c r="AN235" s="4222" t="n"/>
      <c r="AO235" s="4222" t="n"/>
      <c r="AP235" s="4222" t="n"/>
      <c r="AQ235" s="4222" t="n"/>
      <c r="AR235" s="4222" t="n"/>
      <c r="AS235" s="4222" t="n"/>
      <c r="AT235" s="4222" t="n"/>
      <c r="AU235" s="4222" t="n"/>
      <c r="AV235" s="4223" t="n"/>
      <c r="AW235" s="4223" t="n"/>
      <c r="AX235" s="4223" t="n"/>
      <c r="AY235" s="4222" t="n"/>
      <c r="AZ235" s="4222" t="n"/>
      <c r="BG235" s="4222" t="n"/>
    </row>
    <row r="236" ht="11.25" customHeight="1" s="3710">
      <c r="B236" s="4555" t="n"/>
      <c r="C236" s="4557" t="n"/>
      <c r="D236" s="4557" t="n"/>
      <c r="E236" s="4557" t="n"/>
      <c r="F236" s="4557" t="n"/>
      <c r="G236" s="4557" t="n"/>
      <c r="H236" s="4557" t="n"/>
      <c r="I236" s="4557" t="n"/>
      <c r="J236" s="4557" t="n"/>
      <c r="K236" s="4557" t="n"/>
      <c r="L236" s="4557" t="n"/>
      <c r="M236" s="4557" t="n"/>
      <c r="N236" s="4557" t="n"/>
      <c r="O236" s="4557" t="n"/>
      <c r="P236" s="4557" t="n"/>
      <c r="Q236" s="4177" t="n"/>
      <c r="R236" s="4557" t="n"/>
      <c r="S236" s="4557" t="n"/>
      <c r="T236" s="4557" t="n"/>
      <c r="U236" s="4557" t="n"/>
      <c r="V236" s="4557" t="n"/>
      <c r="W236" s="4557" t="n"/>
      <c r="X236" s="4557" t="n"/>
      <c r="Y236" s="4557" t="n"/>
      <c r="Z236" s="4557" t="n"/>
      <c r="AA236" s="4557" t="n"/>
      <c r="AB236" s="4557" t="n"/>
      <c r="AC236" s="4177" t="n"/>
      <c r="AD236" s="4557" t="n"/>
      <c r="AE236" s="4557" t="n"/>
      <c r="AF236" s="4557" t="n"/>
      <c r="AG236" s="4557" t="n"/>
      <c r="AH236" s="4557" t="n"/>
      <c r="AI236" s="4557" t="n"/>
      <c r="AJ236" s="4557" t="n"/>
      <c r="AK236" s="4557" t="n"/>
      <c r="AL236" s="4557" t="n"/>
      <c r="AM236" s="4557" t="n"/>
      <c r="AN236" s="4557" t="n"/>
      <c r="AO236" s="4177" t="n"/>
      <c r="AP236" s="4557" t="n"/>
      <c r="AQ236" s="4557" t="n"/>
      <c r="AR236" s="4557" t="n"/>
      <c r="AS236" s="4557" t="n"/>
      <c r="AT236" s="4557" t="n"/>
      <c r="AU236" s="4557" t="n"/>
      <c r="AV236" s="4180" t="inlineStr">
        <is>
          <t>As at</t>
        </is>
      </c>
      <c r="AW236" s="4180" t="n"/>
      <c r="AX236" s="4180" t="n"/>
      <c r="AY236" s="4181" t="n"/>
      <c r="AZ236" s="4181" t="n"/>
      <c r="BG236" s="4557" t="n"/>
    </row>
    <row r="237" ht="11.25" customHeight="1" s="3710">
      <c r="B237" s="3753" t="n"/>
      <c r="C237" s="4224" t="inlineStr">
        <is>
          <t>$'000</t>
        </is>
      </c>
      <c r="D237" s="4557" t="inlineStr">
        <is>
          <t>Code</t>
        </is>
      </c>
      <c r="E237" s="4557" t="inlineStr">
        <is>
          <t>Concatenate</t>
        </is>
      </c>
      <c r="F237" s="4186" t="n"/>
      <c r="G237" s="4186" t="n"/>
      <c r="H237" s="4186" t="n"/>
      <c r="I237" s="4186" t="n"/>
      <c r="J237" s="4186" t="n"/>
      <c r="K237" s="4186" t="n"/>
      <c r="L237" s="4186" t="n"/>
      <c r="M237" s="4186" t="n"/>
      <c r="N237" s="4186" t="n"/>
      <c r="O237" s="4186" t="n"/>
      <c r="P237" s="4186" t="n"/>
      <c r="Q237" s="4187" t="n"/>
      <c r="R237" s="4186" t="n"/>
      <c r="S237" s="4186" t="n"/>
      <c r="T237" s="4186" t="n"/>
      <c r="U237" s="4186" t="n"/>
      <c r="V237" s="4186" t="n"/>
      <c r="W237" s="4186" t="n"/>
      <c r="X237" s="4186" t="n"/>
      <c r="Y237" s="4186" t="n"/>
      <c r="Z237" s="4186" t="n"/>
      <c r="AA237" s="4186" t="n"/>
      <c r="AB237" s="4186" t="n"/>
      <c r="AC237" s="4187" t="n"/>
      <c r="AD237" s="4186" t="n"/>
      <c r="AE237" s="4186" t="n"/>
      <c r="AF237" s="4186" t="n"/>
      <c r="AG237" s="4186" t="n"/>
      <c r="AH237" s="4186" t="n"/>
      <c r="AI237" s="4186" t="n"/>
      <c r="AJ237" s="4186" t="n"/>
      <c r="AK237" s="4186" t="n"/>
      <c r="AL237" s="4186" t="n"/>
      <c r="AM237" s="4186" t="n"/>
      <c r="AN237" s="4186" t="n"/>
      <c r="AO237" s="4187" t="n"/>
      <c r="AP237" s="4186">
        <f>EOMONTH(AO237,1)</f>
        <v/>
      </c>
      <c r="AQ237" s="4186">
        <f>EOMONTH(AP237,1)</f>
        <v/>
      </c>
      <c r="AR237" s="4186">
        <f>EOMONTH(AQ237,1)</f>
        <v/>
      </c>
      <c r="AS237" s="4186">
        <f>EOMONTH(AR237,1)</f>
        <v/>
      </c>
      <c r="AT237" s="4186">
        <f>EOMONTH(AS237,1)</f>
        <v/>
      </c>
      <c r="AU237" s="4186">
        <f>EOMONTH(AT237,1)</f>
        <v/>
      </c>
      <c r="AV237" s="4225">
        <f>Q237</f>
        <v/>
      </c>
      <c r="AW237" s="4226">
        <f>AC237</f>
        <v/>
      </c>
      <c r="AX237" s="4190">
        <f>AO237</f>
        <v/>
      </c>
      <c r="AY237" s="4191">
        <f>AS237</f>
        <v/>
      </c>
      <c r="AZ237" s="4191">
        <f>AU237</f>
        <v/>
      </c>
      <c r="BG237" s="4186" t="n">
        <v>44561</v>
      </c>
    </row>
    <row r="238" ht="12" customHeight="1" s="3710">
      <c r="B238" s="3753" t="n"/>
      <c r="C238" s="4017" t="inlineStr">
        <is>
          <t>Accumulated depreciation, opening</t>
        </is>
      </c>
      <c r="F238" s="4227" t="n"/>
      <c r="G238" s="3900" t="n"/>
      <c r="H238" s="3900" t="n"/>
      <c r="I238" s="3900" t="n"/>
      <c r="J238" s="3900" t="n"/>
      <c r="K238" s="3900" t="n"/>
      <c r="L238" s="3900" t="n"/>
      <c r="M238" s="3900" t="n"/>
      <c r="N238" s="3900" t="n"/>
      <c r="O238" s="3900" t="n"/>
      <c r="P238" s="3900" t="n"/>
      <c r="Q238" s="4200" t="n"/>
      <c r="R238" s="3900" t="n"/>
      <c r="S238" s="3900" t="n"/>
      <c r="T238" s="3900" t="n"/>
      <c r="U238" s="3900" t="n"/>
      <c r="V238" s="3900" t="n"/>
      <c r="W238" s="3900" t="n"/>
      <c r="X238" s="3900" t="n"/>
      <c r="Y238" s="3900" t="n"/>
      <c r="Z238" s="3900" t="n"/>
      <c r="AA238" s="3900" t="n"/>
      <c r="AB238" s="3900" t="n"/>
      <c r="AC238" s="4200" t="n"/>
      <c r="AD238" s="3900" t="n"/>
      <c r="AE238" s="3900" t="n"/>
      <c r="AF238" s="3900" t="n"/>
      <c r="AG238" s="3900" t="n"/>
      <c r="AH238" s="3900" t="n"/>
      <c r="AI238" s="3900" t="n"/>
      <c r="AJ238" s="3900" t="n"/>
      <c r="AK238" s="3900" t="n"/>
      <c r="AL238" s="3900" t="n"/>
      <c r="AM238" s="3900" t="n"/>
      <c r="AN238" s="3900" t="n"/>
      <c r="AO238" s="4200" t="n"/>
      <c r="AP238" s="3900">
        <f>SUM(AO64:AO71)</f>
        <v/>
      </c>
      <c r="AQ238" s="3900">
        <f>SUM(AP64:AP71)</f>
        <v/>
      </c>
      <c r="AR238" s="3900">
        <f>SUM(AQ64:AQ71)</f>
        <v/>
      </c>
      <c r="AS238" s="3900">
        <f>SUM(AR64:AR71)</f>
        <v/>
      </c>
      <c r="AT238" s="3900">
        <f>SUM(AS64:AS71)</f>
        <v/>
      </c>
      <c r="AU238" s="4201">
        <f>SUM(AT64:AT71)</f>
        <v/>
      </c>
      <c r="AV238" s="4227" t="n"/>
      <c r="AW238" s="3900">
        <f>R238</f>
        <v/>
      </c>
      <c r="AX238" s="3900">
        <f>AD238</f>
        <v/>
      </c>
      <c r="AY238" s="3900">
        <f>AH238</f>
        <v/>
      </c>
      <c r="AZ238" s="3900">
        <f>AJ238</f>
        <v/>
      </c>
      <c r="BG238" s="3900">
        <f>SUM(BG64:BG71)</f>
        <v/>
      </c>
    </row>
    <row r="239" ht="12" customHeight="1" s="3710">
      <c r="B239" s="4555" t="n"/>
      <c r="C239" s="4017" t="inlineStr">
        <is>
          <t xml:space="preserve">Depreciation expense  </t>
        </is>
      </c>
      <c r="F239" s="4227" t="n"/>
      <c r="G239" s="3900" t="n"/>
      <c r="H239" s="3900" t="n"/>
      <c r="I239" s="3900" t="n"/>
      <c r="J239" s="3900" t="n"/>
      <c r="K239" s="3900" t="n"/>
      <c r="L239" s="3900" t="n"/>
      <c r="M239" s="3900" t="n"/>
      <c r="N239" s="3900" t="n"/>
      <c r="O239" s="3900" t="n"/>
      <c r="P239" s="3900" t="n"/>
      <c r="Q239" s="4200" t="n"/>
      <c r="R239" s="3900" t="n"/>
      <c r="S239" s="3900" t="n"/>
      <c r="T239" s="3900" t="n"/>
      <c r="U239" s="3900" t="n"/>
      <c r="V239" s="3900" t="n"/>
      <c r="W239" s="3900" t="n"/>
      <c r="X239" s="3900" t="n"/>
      <c r="Y239" s="3900" t="n"/>
      <c r="Z239" s="3900" t="n"/>
      <c r="AA239" s="3900" t="n"/>
      <c r="AB239" s="3900" t="n"/>
      <c r="AC239" s="4200" t="n"/>
      <c r="AD239" s="3900" t="n"/>
      <c r="AE239" s="3900" t="n"/>
      <c r="AF239" s="3900" t="n"/>
      <c r="AG239" s="3900" t="n"/>
      <c r="AH239" s="3900" t="n"/>
      <c r="AI239" s="3900" t="n"/>
      <c r="AJ239" s="3900" t="n"/>
      <c r="AK239" s="3900" t="n"/>
      <c r="AL239" s="3900" t="n"/>
      <c r="AM239" s="3900" t="n"/>
      <c r="AN239" s="3900" t="n"/>
      <c r="AO239" s="4200" t="n"/>
      <c r="AP239" s="3900">
        <f>'Income statement'!AP251+'Income statement'!AP253</f>
        <v/>
      </c>
      <c r="AQ239" s="3900">
        <f>'Income statement'!AQ251+'Income statement'!AQ253</f>
        <v/>
      </c>
      <c r="AR239" s="3900">
        <f>'Income statement'!AR251+'Income statement'!AR253</f>
        <v/>
      </c>
      <c r="AS239" s="3900">
        <f>'Income statement'!AS251+'Income statement'!AS253</f>
        <v/>
      </c>
      <c r="AT239" s="3900">
        <f>'Income statement'!AT251+'Income statement'!AT253</f>
        <v/>
      </c>
      <c r="AU239" s="4201">
        <f>'Income statement'!AU251+'Income statement'!AU253</f>
        <v/>
      </c>
      <c r="AV239" s="4227" t="n"/>
      <c r="AW239" s="3900">
        <f>SUM(R239:AC239)</f>
        <v/>
      </c>
      <c r="AX239" s="3900">
        <f>SUM(AD239:AO239)</f>
        <v/>
      </c>
      <c r="AY239" s="3900">
        <f>SUM(AH239:AS239)</f>
        <v/>
      </c>
      <c r="AZ239" s="3900">
        <f>SUM(AJ239:AU239)</f>
        <v/>
      </c>
      <c r="BG239" s="3900">
        <f>'Income statement'!AV251+'Income statement'!AV253</f>
        <v/>
      </c>
    </row>
    <row r="240" ht="12" customHeight="1" s="3710">
      <c r="B240" s="3753" t="n"/>
      <c r="C240" s="4210" t="inlineStr">
        <is>
          <t xml:space="preserve">Plug </t>
        </is>
      </c>
      <c r="D240" s="4204" t="n"/>
      <c r="E240" s="4204" t="n"/>
      <c r="F240" s="4228" t="n"/>
      <c r="G240" s="4205" t="n"/>
      <c r="H240" s="4205" t="n"/>
      <c r="I240" s="4205" t="n"/>
      <c r="J240" s="4205" t="n"/>
      <c r="K240" s="4205" t="n"/>
      <c r="L240" s="4237" t="n"/>
      <c r="M240" s="4205" t="n"/>
      <c r="N240" s="4205" t="n"/>
      <c r="O240" s="4205" t="n"/>
      <c r="P240" s="4205" t="n"/>
      <c r="Q240" s="4206" t="n"/>
      <c r="R240" s="4205" t="n"/>
      <c r="S240" s="4205" t="n"/>
      <c r="T240" s="4205" t="n"/>
      <c r="U240" s="4205" t="n"/>
      <c r="V240" s="4205" t="n"/>
      <c r="W240" s="4205" t="n"/>
      <c r="X240" s="4205" t="n"/>
      <c r="Y240" s="4205" t="n"/>
      <c r="Z240" s="4205" t="n"/>
      <c r="AA240" s="4205" t="n"/>
      <c r="AB240" s="4205" t="n"/>
      <c r="AC240" s="4206" t="n"/>
      <c r="AD240" s="4205" t="n"/>
      <c r="AE240" s="4205" t="n"/>
      <c r="AF240" s="4205" t="n"/>
      <c r="AG240" s="4205" t="n"/>
      <c r="AH240" s="4205" t="n"/>
      <c r="AI240" s="4205" t="n"/>
      <c r="AJ240" s="4205" t="n"/>
      <c r="AK240" s="4205" t="n"/>
      <c r="AL240" s="4205" t="n"/>
      <c r="AM240" s="4205" t="n"/>
      <c r="AN240" s="4205" t="n"/>
      <c r="AO240" s="4206" t="n"/>
      <c r="AP240" s="4205" t="n">
        <v>0.00169999999980064</v>
      </c>
      <c r="AQ240" s="4205" t="n">
        <v>-0.000700000000506407</v>
      </c>
      <c r="AR240" s="4205" t="n">
        <v>-0.00111999999990076</v>
      </c>
      <c r="AS240" s="4205" t="n">
        <v>0.000950000000557338</v>
      </c>
      <c r="AT240" s="4205" t="n">
        <v>0</v>
      </c>
      <c r="AU240" s="4207" t="n">
        <v>0</v>
      </c>
      <c r="AV240" s="4228" t="n"/>
      <c r="AW240" s="4205">
        <f>SUM(R240:AC240)</f>
        <v/>
      </c>
      <c r="AX240" s="4205">
        <f>SUM(AD240:AO240)</f>
        <v/>
      </c>
      <c r="AY240" s="4205">
        <f>SUM(AH240:AS240)</f>
        <v/>
      </c>
      <c r="AZ240" s="4205">
        <f>SUM(AJ240:AU240)</f>
        <v/>
      </c>
      <c r="BG240" s="4205" t="n">
        <v>485.13384</v>
      </c>
    </row>
    <row r="241" ht="12" customHeight="1" s="3710">
      <c r="B241" s="3753" t="n"/>
      <c r="C241" s="3902" t="inlineStr">
        <is>
          <t>Ending accumulated depreciation</t>
        </is>
      </c>
      <c r="F241" s="4227" t="n"/>
      <c r="G241" s="3900" t="n"/>
      <c r="H241" s="3900" t="n"/>
      <c r="I241" s="3900" t="n"/>
      <c r="J241" s="3900" t="n"/>
      <c r="K241" s="3900" t="n"/>
      <c r="L241" s="3900" t="n"/>
      <c r="M241" s="3900" t="n"/>
      <c r="N241" s="3900" t="n"/>
      <c r="O241" s="3900" t="n"/>
      <c r="P241" s="3900" t="n"/>
      <c r="Q241" s="4200" t="n"/>
      <c r="R241" s="3900" t="n"/>
      <c r="S241" s="3900" t="n"/>
      <c r="T241" s="3900" t="n"/>
      <c r="U241" s="3900" t="n"/>
      <c r="V241" s="3900" t="n"/>
      <c r="W241" s="3900" t="n"/>
      <c r="X241" s="3900" t="n"/>
      <c r="Y241" s="3900" t="n"/>
      <c r="Z241" s="3900" t="n"/>
      <c r="AA241" s="3900" t="n"/>
      <c r="AB241" s="3900" t="n"/>
      <c r="AC241" s="4200" t="n"/>
      <c r="AD241" s="3900" t="n"/>
      <c r="AE241" s="3900" t="n"/>
      <c r="AF241" s="3900" t="n"/>
      <c r="AG241" s="3900" t="n"/>
      <c r="AH241" s="3900" t="n"/>
      <c r="AI241" s="3900" t="n"/>
      <c r="AJ241" s="3900" t="n"/>
      <c r="AK241" s="3900" t="n"/>
      <c r="AL241" s="3900" t="n"/>
      <c r="AM241" s="3900" t="n"/>
      <c r="AN241" s="3900" t="n"/>
      <c r="AO241" s="4200" t="n"/>
      <c r="AP241" s="3900">
        <f>SUM(AP238:AP240)</f>
        <v/>
      </c>
      <c r="AQ241" s="3900">
        <f>SUM(AQ238:AQ240)</f>
        <v/>
      </c>
      <c r="AR241" s="3900">
        <f>SUM(AR238:AR240)</f>
        <v/>
      </c>
      <c r="AS241" s="3900">
        <f>SUM(AS238:AS240)</f>
        <v/>
      </c>
      <c r="AT241" s="3900">
        <f>SUM(AT238:AT240)</f>
        <v/>
      </c>
      <c r="AU241" s="4201">
        <f>SUM(AU238:AU240)</f>
        <v/>
      </c>
      <c r="AV241" s="4227" t="n"/>
      <c r="AW241" s="3900">
        <f>SUM(AW238:AW240)</f>
        <v/>
      </c>
      <c r="AX241" s="3900">
        <f>SUM(AX238:AX240)</f>
        <v/>
      </c>
      <c r="AY241" s="3900">
        <f>SUM(AY238:AY240)</f>
        <v/>
      </c>
      <c r="AZ241" s="3900">
        <f>SUM(AZ238:AZ240)</f>
        <v/>
      </c>
      <c r="BG241" s="3900">
        <f>SUM(BG238:BG240)</f>
        <v/>
      </c>
    </row>
    <row r="242" ht="12" customHeight="1" s="3710">
      <c r="B242" s="3753" t="n"/>
      <c r="C242" s="3902" t="inlineStr">
        <is>
          <t>Ending accumulated depreciation - per BS</t>
        </is>
      </c>
      <c r="F242" s="4227" t="n"/>
      <c r="G242" s="3900" t="n"/>
      <c r="H242" s="3900" t="n"/>
      <c r="I242" s="3900" t="n"/>
      <c r="J242" s="3900" t="n"/>
      <c r="K242" s="3900" t="n"/>
      <c r="L242" s="3900" t="n"/>
      <c r="M242" s="3900" t="n"/>
      <c r="N242" s="3900" t="n"/>
      <c r="O242" s="3900" t="n"/>
      <c r="P242" s="3900" t="n"/>
      <c r="Q242" s="4200" t="n"/>
      <c r="R242" s="3900" t="n"/>
      <c r="S242" s="3900" t="n"/>
      <c r="T242" s="3900" t="n"/>
      <c r="U242" s="3900" t="n"/>
      <c r="V242" s="3900" t="n"/>
      <c r="W242" s="3900" t="n"/>
      <c r="X242" s="3900" t="n"/>
      <c r="Y242" s="3900" t="n"/>
      <c r="Z242" s="3900" t="n"/>
      <c r="AA242" s="3900" t="n"/>
      <c r="AB242" s="3900" t="n"/>
      <c r="AC242" s="4200" t="n"/>
      <c r="AD242" s="3900" t="n"/>
      <c r="AE242" s="3900" t="n"/>
      <c r="AF242" s="3900" t="n"/>
      <c r="AG242" s="3900" t="n"/>
      <c r="AH242" s="3900" t="n"/>
      <c r="AI242" s="3900" t="n"/>
      <c r="AJ242" s="3900" t="n"/>
      <c r="AK242" s="3900" t="n"/>
      <c r="AL242" s="3900" t="n"/>
      <c r="AM242" s="3900" t="n"/>
      <c r="AN242" s="3900" t="n"/>
      <c r="AO242" s="4200" t="n"/>
      <c r="AP242" s="3900">
        <f>SUM(AP64:AP71)</f>
        <v/>
      </c>
      <c r="AQ242" s="3900">
        <f>SUM(AQ64:AQ71)</f>
        <v/>
      </c>
      <c r="AR242" s="3900">
        <f>SUM(AR64:AR71)</f>
        <v/>
      </c>
      <c r="AS242" s="3900">
        <f>SUM(AS64:AS71)</f>
        <v/>
      </c>
      <c r="AT242" s="3900">
        <f>SUM(AT64:AT71)</f>
        <v/>
      </c>
      <c r="AU242" s="4201">
        <f>SUM(AU64:AU71)</f>
        <v/>
      </c>
      <c r="AV242" s="4227" t="n"/>
      <c r="AW242" s="3900">
        <f>AC242</f>
        <v/>
      </c>
      <c r="AX242" s="3900">
        <f>AO242</f>
        <v/>
      </c>
      <c r="AY242" s="3900">
        <f>AS242</f>
        <v/>
      </c>
      <c r="AZ242" s="3900">
        <f>AU242</f>
        <v/>
      </c>
      <c r="BG242" s="3900">
        <f>SUM(AV64:AV71)</f>
        <v/>
      </c>
    </row>
    <row r="243" ht="12" customHeight="1" s="3710">
      <c r="B243" s="3891" t="n"/>
      <c r="C243" s="4229" t="inlineStr">
        <is>
          <t>Check</t>
        </is>
      </c>
      <c r="D243" s="4230" t="n"/>
      <c r="E243" s="4230" t="n"/>
      <c r="F243" s="4231" t="n"/>
      <c r="G243" s="4231">
        <f>G241-G242</f>
        <v/>
      </c>
      <c r="H243" s="4231">
        <f>H241-H242</f>
        <v/>
      </c>
      <c r="I243" s="4231">
        <f>I241-I242</f>
        <v/>
      </c>
      <c r="J243" s="4231">
        <f>J241-J242</f>
        <v/>
      </c>
      <c r="K243" s="4231">
        <f>K241-K242</f>
        <v/>
      </c>
      <c r="L243" s="4231">
        <f>L241-L242</f>
        <v/>
      </c>
      <c r="M243" s="4231">
        <f>M241-M242</f>
        <v/>
      </c>
      <c r="N243" s="4231">
        <f>N241-N242</f>
        <v/>
      </c>
      <c r="O243" s="4231">
        <f>O241-O242</f>
        <v/>
      </c>
      <c r="P243" s="4231">
        <f>P241-P242</f>
        <v/>
      </c>
      <c r="Q243" s="4232">
        <f>Q241-Q242</f>
        <v/>
      </c>
      <c r="R243" s="4231">
        <f>R241-R242</f>
        <v/>
      </c>
      <c r="S243" s="4231">
        <f>S241-S242</f>
        <v/>
      </c>
      <c r="T243" s="4231">
        <f>T241-T242</f>
        <v/>
      </c>
      <c r="U243" s="4231">
        <f>U241-U242</f>
        <v/>
      </c>
      <c r="V243" s="4231">
        <f>V241-V242</f>
        <v/>
      </c>
      <c r="W243" s="4231">
        <f>W241-W242</f>
        <v/>
      </c>
      <c r="X243" s="4231">
        <f>X241-X242</f>
        <v/>
      </c>
      <c r="Y243" s="4231">
        <f>Y241-Y242</f>
        <v/>
      </c>
      <c r="Z243" s="4231">
        <f>Z241-Z242</f>
        <v/>
      </c>
      <c r="AA243" s="4231">
        <f>AA241-AA242</f>
        <v/>
      </c>
      <c r="AB243" s="4231">
        <f>AB241-AB242</f>
        <v/>
      </c>
      <c r="AC243" s="4232">
        <f>AC241-AC242</f>
        <v/>
      </c>
      <c r="AD243" s="4231">
        <f>AD241-AD242</f>
        <v/>
      </c>
      <c r="AE243" s="4231">
        <f>AE241-AE242</f>
        <v/>
      </c>
      <c r="AF243" s="4231">
        <f>AF241-AF242</f>
        <v/>
      </c>
      <c r="AG243" s="4231">
        <f>AG241-AG242</f>
        <v/>
      </c>
      <c r="AH243" s="4231">
        <f>AH241-AH242</f>
        <v/>
      </c>
      <c r="AI243" s="4231">
        <f>AI241-AI242</f>
        <v/>
      </c>
      <c r="AJ243" s="4231">
        <f>AJ241-AJ242</f>
        <v/>
      </c>
      <c r="AK243" s="4231">
        <f>AK241-AK242</f>
        <v/>
      </c>
      <c r="AL243" s="4231">
        <f>AL241-AL242</f>
        <v/>
      </c>
      <c r="AM243" s="4231">
        <f>AM241-AM242</f>
        <v/>
      </c>
      <c r="AN243" s="4231">
        <f>AN241-AN242</f>
        <v/>
      </c>
      <c r="AO243" s="4232">
        <f>AO241-AO242</f>
        <v/>
      </c>
      <c r="AP243" s="4231">
        <f>AP241-AP242</f>
        <v/>
      </c>
      <c r="AQ243" s="4231">
        <f>AQ241-AQ242</f>
        <v/>
      </c>
      <c r="AR243" s="4231">
        <f>AR241-AR242</f>
        <v/>
      </c>
      <c r="AS243" s="4231">
        <f>AS241-AS242</f>
        <v/>
      </c>
      <c r="AT243" s="4231">
        <f>AT241-AT242</f>
        <v/>
      </c>
      <c r="AU243" s="4233">
        <f>AU241-AU242</f>
        <v/>
      </c>
      <c r="AV243" s="4231" t="n"/>
      <c r="AW243" s="4231">
        <f>AW241-AW242</f>
        <v/>
      </c>
      <c r="AX243" s="4231">
        <f>AX241-AX242</f>
        <v/>
      </c>
      <c r="AY243" s="4231">
        <f>AY241-AY242</f>
        <v/>
      </c>
      <c r="AZ243" s="4231">
        <f>AZ241-AZ242</f>
        <v/>
      </c>
      <c r="BG243" s="4231">
        <f>BG241-BG242</f>
        <v/>
      </c>
    </row>
    <row r="244" ht="11.25" customHeight="1" s="3710">
      <c r="B244" s="3891" t="n"/>
      <c r="M244" s="3900" t="n"/>
      <c r="BG244" s="3743" t="n"/>
    </row>
    <row r="245" ht="19.5" customHeight="1" s="3710">
      <c r="B245" s="4555" t="n"/>
      <c r="C245" s="4222" t="inlineStr">
        <is>
          <t>Accumulated depreciation - software</t>
        </is>
      </c>
      <c r="D245" s="4222" t="n"/>
      <c r="E245" s="4222" t="n"/>
      <c r="F245" s="4222" t="n"/>
      <c r="G245" s="4222" t="n"/>
      <c r="H245" s="4222" t="n"/>
      <c r="I245" s="4222" t="n"/>
      <c r="J245" s="4222" t="n"/>
      <c r="K245" s="4222" t="n"/>
      <c r="L245" s="4222" t="n"/>
      <c r="M245" s="4222" t="n"/>
      <c r="N245" s="4222" t="n"/>
      <c r="O245" s="4222" t="n"/>
      <c r="P245" s="4222" t="n"/>
      <c r="Q245" s="4222" t="n"/>
      <c r="R245" s="4222" t="n"/>
      <c r="S245" s="4222" t="n"/>
      <c r="T245" s="4222" t="n"/>
      <c r="U245" s="4222" t="n"/>
      <c r="V245" s="4222" t="n"/>
      <c r="W245" s="4222" t="n"/>
      <c r="X245" s="4222" t="n"/>
      <c r="Y245" s="4222" t="n"/>
      <c r="Z245" s="4222" t="n"/>
      <c r="AA245" s="4222" t="n"/>
      <c r="AB245" s="4222" t="n"/>
      <c r="AC245" s="4222" t="n"/>
      <c r="AD245" s="4222" t="n"/>
      <c r="AE245" s="4222" t="n"/>
      <c r="AF245" s="4222" t="n"/>
      <c r="AG245" s="4222" t="n"/>
      <c r="AH245" s="4222" t="n"/>
      <c r="AI245" s="4222" t="n"/>
      <c r="AJ245" s="4222" t="n"/>
      <c r="AK245" s="4222" t="n"/>
      <c r="AL245" s="4222" t="n"/>
      <c r="AM245" s="4222" t="n"/>
      <c r="AN245" s="4222" t="n"/>
      <c r="AO245" s="4222" t="n"/>
      <c r="AP245" s="4222" t="n"/>
      <c r="AQ245" s="4222" t="n"/>
      <c r="AR245" s="4222" t="n"/>
      <c r="AS245" s="4222" t="n"/>
      <c r="AT245" s="4222" t="n"/>
      <c r="AU245" s="4222" t="n"/>
      <c r="AV245" s="4223" t="n"/>
      <c r="AW245" s="4223" t="n"/>
      <c r="AX245" s="4223" t="n"/>
      <c r="AY245" s="4222" t="n"/>
      <c r="AZ245" s="4222" t="n"/>
      <c r="BG245" s="4222" t="n"/>
    </row>
    <row r="246" ht="11.25" customHeight="1" s="3710">
      <c r="B246" s="4555" t="n"/>
      <c r="C246" s="4557" t="n"/>
      <c r="D246" s="4557" t="n"/>
      <c r="E246" s="4557" t="n"/>
      <c r="F246" s="4557" t="n"/>
      <c r="G246" s="4557" t="n"/>
      <c r="H246" s="4557" t="n"/>
      <c r="I246" s="4557" t="n"/>
      <c r="J246" s="4557" t="n"/>
      <c r="K246" s="4557" t="n"/>
      <c r="L246" s="4557" t="n"/>
      <c r="M246" s="4557" t="n"/>
      <c r="N246" s="4557" t="n"/>
      <c r="O246" s="4557" t="n"/>
      <c r="P246" s="4557" t="n"/>
      <c r="Q246" s="4177" t="n"/>
      <c r="R246" s="4557" t="n"/>
      <c r="S246" s="4557" t="n"/>
      <c r="T246" s="4557" t="n"/>
      <c r="U246" s="4557" t="n"/>
      <c r="V246" s="4557" t="n"/>
      <c r="W246" s="4557" t="n"/>
      <c r="X246" s="4557" t="n"/>
      <c r="Y246" s="4557" t="n"/>
      <c r="Z246" s="4557" t="n"/>
      <c r="AA246" s="4557" t="n"/>
      <c r="AB246" s="4557" t="n"/>
      <c r="AC246" s="4177" t="n"/>
      <c r="AD246" s="4557" t="n"/>
      <c r="AE246" s="4557" t="n"/>
      <c r="AF246" s="4557" t="n"/>
      <c r="AG246" s="4557" t="n"/>
      <c r="AH246" s="4557" t="n"/>
      <c r="AI246" s="4557" t="n"/>
      <c r="AJ246" s="4557" t="n"/>
      <c r="AK246" s="4557" t="n"/>
      <c r="AL246" s="4557" t="n"/>
      <c r="AM246" s="4557" t="n"/>
      <c r="AN246" s="4557" t="n"/>
      <c r="AO246" s="4177" t="n"/>
      <c r="AP246" s="4557" t="n"/>
      <c r="AQ246" s="4557" t="n"/>
      <c r="AR246" s="4557" t="n"/>
      <c r="AS246" s="4557" t="n"/>
      <c r="AT246" s="4557" t="n"/>
      <c r="AU246" s="4557" t="n"/>
      <c r="AV246" s="4180" t="inlineStr">
        <is>
          <t>As at</t>
        </is>
      </c>
      <c r="AW246" s="4180" t="n"/>
      <c r="AX246" s="4180" t="n"/>
      <c r="AY246" s="4181" t="n"/>
      <c r="AZ246" s="4181" t="n"/>
      <c r="BG246" s="4557" t="n"/>
    </row>
    <row r="247" ht="11.25" customHeight="1" s="3710">
      <c r="B247" s="3753" t="n"/>
      <c r="C247" s="4224" t="inlineStr">
        <is>
          <t>$'000</t>
        </is>
      </c>
      <c r="D247" s="4557" t="inlineStr">
        <is>
          <t>Code</t>
        </is>
      </c>
      <c r="E247" s="4557" t="inlineStr">
        <is>
          <t>Concatenate</t>
        </is>
      </c>
      <c r="F247" s="4186" t="n"/>
      <c r="G247" s="4186" t="n"/>
      <c r="H247" s="4186" t="n"/>
      <c r="I247" s="4186" t="n"/>
      <c r="J247" s="4186" t="n"/>
      <c r="K247" s="4186" t="n"/>
      <c r="L247" s="4186" t="n"/>
      <c r="M247" s="4186" t="n"/>
      <c r="N247" s="4186" t="n"/>
      <c r="O247" s="4186" t="n"/>
      <c r="P247" s="4186" t="n"/>
      <c r="Q247" s="4187" t="n"/>
      <c r="R247" s="4186" t="n"/>
      <c r="S247" s="4186" t="n"/>
      <c r="T247" s="4186" t="n"/>
      <c r="U247" s="4186" t="n"/>
      <c r="V247" s="4186" t="n"/>
      <c r="W247" s="4186" t="n"/>
      <c r="X247" s="4186" t="n"/>
      <c r="Y247" s="4186" t="n"/>
      <c r="Z247" s="4186" t="n"/>
      <c r="AA247" s="4186" t="n"/>
      <c r="AB247" s="4186" t="n"/>
      <c r="AC247" s="4187" t="n"/>
      <c r="AD247" s="4186" t="n"/>
      <c r="AE247" s="4186" t="n"/>
      <c r="AF247" s="4186" t="n"/>
      <c r="AG247" s="4186" t="n"/>
      <c r="AH247" s="4186" t="n"/>
      <c r="AI247" s="4186" t="n"/>
      <c r="AJ247" s="4186" t="n"/>
      <c r="AK247" s="4186" t="n"/>
      <c r="AL247" s="4186" t="n"/>
      <c r="AM247" s="4186" t="n"/>
      <c r="AN247" s="4186" t="n"/>
      <c r="AO247" s="4187" t="n"/>
      <c r="AP247" s="4186">
        <f>EOMONTH(AO247,1)</f>
        <v/>
      </c>
      <c r="AQ247" s="4186">
        <f>EOMONTH(AP247,1)</f>
        <v/>
      </c>
      <c r="AR247" s="4186">
        <f>EOMONTH(AQ247,1)</f>
        <v/>
      </c>
      <c r="AS247" s="4186">
        <f>EOMONTH(AR247,1)</f>
        <v/>
      </c>
      <c r="AT247" s="4186">
        <f>EOMONTH(AS247,1)</f>
        <v/>
      </c>
      <c r="AU247" s="4186">
        <f>EOMONTH(AT247,1)</f>
        <v/>
      </c>
      <c r="AV247" s="4225">
        <f>Q247</f>
        <v/>
      </c>
      <c r="AW247" s="4226">
        <f>AC247</f>
        <v/>
      </c>
      <c r="AX247" s="4190">
        <f>AO247</f>
        <v/>
      </c>
      <c r="AY247" s="4191">
        <f>AS247</f>
        <v/>
      </c>
      <c r="AZ247" s="4191">
        <f>AU247</f>
        <v/>
      </c>
      <c r="BG247" s="4186" t="n">
        <v>44561</v>
      </c>
    </row>
    <row r="248" ht="12" customHeight="1" s="3710">
      <c r="B248" s="3753" t="n"/>
      <c r="C248" s="4017" t="inlineStr">
        <is>
          <t>Accumulated depreciation, opening</t>
        </is>
      </c>
      <c r="F248" s="4227" t="n"/>
      <c r="G248" s="3900" t="n"/>
      <c r="H248" s="3900" t="n"/>
      <c r="I248" s="3900" t="n"/>
      <c r="J248" s="3900" t="n"/>
      <c r="K248" s="3900" t="n"/>
      <c r="L248" s="3900" t="n"/>
      <c r="M248" s="3900" t="n"/>
      <c r="N248" s="3900" t="n"/>
      <c r="O248" s="3900" t="n"/>
      <c r="P248" s="3900" t="n"/>
      <c r="Q248" s="4200" t="n"/>
      <c r="R248" s="3900" t="n"/>
      <c r="S248" s="3900" t="n"/>
      <c r="T248" s="3900" t="n"/>
      <c r="U248" s="3900" t="n"/>
      <c r="V248" s="3900" t="n"/>
      <c r="W248" s="3900" t="n"/>
      <c r="X248" s="3900" t="n"/>
      <c r="Y248" s="3900" t="n"/>
      <c r="Z248" s="3900" t="n"/>
      <c r="AA248" s="3900" t="n"/>
      <c r="AB248" s="3900" t="n"/>
      <c r="AC248" s="4200" t="n"/>
      <c r="AD248" s="3900" t="n"/>
      <c r="AE248" s="3900" t="n"/>
      <c r="AF248" s="3900" t="n"/>
      <c r="AG248" s="3900" t="n"/>
      <c r="AH248" s="3900" t="n"/>
      <c r="AI248" s="3900" t="n"/>
      <c r="AJ248" s="3900" t="n"/>
      <c r="AK248" s="3900" t="n"/>
      <c r="AL248" s="3900" t="n"/>
      <c r="AM248" s="3900" t="n"/>
      <c r="AN248" s="3900" t="n"/>
      <c r="AO248" s="4200" t="n"/>
      <c r="AP248" s="3900">
        <f>SUM(AO80:AO81)</f>
        <v/>
      </c>
      <c r="AQ248" s="3900">
        <f>SUM(AP80:AP81)</f>
        <v/>
      </c>
      <c r="AR248" s="3900">
        <f>SUM(AQ80:AQ81)</f>
        <v/>
      </c>
      <c r="AS248" s="3900">
        <f>SUM(AR80:AR81)</f>
        <v/>
      </c>
      <c r="AT248" s="3900">
        <f>SUM(AS80:AS81)</f>
        <v/>
      </c>
      <c r="AU248" s="4201">
        <f>SUM(AT80:AT81)</f>
        <v/>
      </c>
      <c r="AV248" s="4227" t="n"/>
      <c r="AW248" s="3900">
        <f>R248</f>
        <v/>
      </c>
      <c r="AX248" s="3900">
        <f>AD248</f>
        <v/>
      </c>
      <c r="AY248" s="3900">
        <f>AH248</f>
        <v/>
      </c>
      <c r="AZ248" s="3900">
        <f>AJ248</f>
        <v/>
      </c>
      <c r="BG248" s="3900">
        <f>SUM(BG80:BG81)</f>
        <v/>
      </c>
    </row>
    <row r="249" ht="12" customHeight="1" s="3710">
      <c r="B249" s="4555" t="n"/>
      <c r="C249" s="4017" t="inlineStr">
        <is>
          <t xml:space="preserve">Depreciation expense  </t>
        </is>
      </c>
      <c r="F249" s="4227" t="n"/>
      <c r="G249" s="3900" t="n"/>
      <c r="H249" s="3900" t="n"/>
      <c r="I249" s="3900" t="n"/>
      <c r="J249" s="3900" t="n"/>
      <c r="K249" s="3900" t="n"/>
      <c r="L249" s="3900" t="n"/>
      <c r="M249" s="3900" t="n"/>
      <c r="N249" s="3900" t="n"/>
      <c r="O249" s="3900" t="n"/>
      <c r="P249" s="3900" t="n"/>
      <c r="Q249" s="4200" t="n"/>
      <c r="R249" s="3900" t="n"/>
      <c r="S249" s="3900" t="n"/>
      <c r="T249" s="3900" t="n"/>
      <c r="U249" s="3900" t="n"/>
      <c r="V249" s="3900" t="n"/>
      <c r="W249" s="3900" t="n"/>
      <c r="X249" s="3900" t="n"/>
      <c r="Y249" s="3900" t="n"/>
      <c r="Z249" s="3900" t="n"/>
      <c r="AA249" s="3900" t="n"/>
      <c r="AB249" s="3900" t="n"/>
      <c r="AC249" s="4200" t="n"/>
      <c r="AD249" s="3900" t="n"/>
      <c r="AE249" s="3900" t="n"/>
      <c r="AF249" s="3900" t="n"/>
      <c r="AG249" s="3900" t="n"/>
      <c r="AH249" s="3900" t="n"/>
      <c r="AI249" s="3900" t="n"/>
      <c r="AJ249" s="3900" t="n"/>
      <c r="AK249" s="3900" t="n"/>
      <c r="AL249" s="3900" t="n"/>
      <c r="AM249" s="3900" t="n"/>
      <c r="AN249" s="3900" t="n"/>
      <c r="AO249" s="4200" t="n"/>
      <c r="AP249" s="3900">
        <f>'Income statement'!AP241</f>
        <v/>
      </c>
      <c r="AQ249" s="3900">
        <f>'Income statement'!AQ241</f>
        <v/>
      </c>
      <c r="AR249" s="3900">
        <f>'Income statement'!AR241</f>
        <v/>
      </c>
      <c r="AS249" s="3900">
        <f>'Income statement'!AS241</f>
        <v/>
      </c>
      <c r="AT249" s="3900">
        <f>'Income statement'!AT241</f>
        <v/>
      </c>
      <c r="AU249" s="4201">
        <f>'Income statement'!AU241</f>
        <v/>
      </c>
      <c r="AV249" s="4227" t="n"/>
      <c r="AW249" s="3900">
        <f>SUM(R249:AC249)</f>
        <v/>
      </c>
      <c r="AX249" s="3900">
        <f>SUM(AD249:AO249)</f>
        <v/>
      </c>
      <c r="AY249" s="3900">
        <f>SUM(AH249:AS249)</f>
        <v/>
      </c>
      <c r="AZ249" s="3900">
        <f>SUM(AJ249:AU249)</f>
        <v/>
      </c>
      <c r="BG249" s="3900">
        <f>'Income statement'!AV241</f>
        <v/>
      </c>
    </row>
    <row r="250" ht="12" customHeight="1" s="3710">
      <c r="B250" s="3753" t="n"/>
      <c r="C250" s="4210" t="inlineStr">
        <is>
          <t xml:space="preserve">Plug </t>
        </is>
      </c>
      <c r="D250" s="4204" t="n"/>
      <c r="E250" s="4204" t="n"/>
      <c r="F250" s="4228" t="n"/>
      <c r="G250" s="4205" t="n"/>
      <c r="H250" s="4205" t="n"/>
      <c r="I250" s="4205" t="n"/>
      <c r="J250" s="4205" t="n"/>
      <c r="K250" s="4205" t="n"/>
      <c r="L250" s="4238" t="n"/>
      <c r="M250" s="4205" t="n"/>
      <c r="N250" s="4205" t="n"/>
      <c r="O250" s="4205" t="n"/>
      <c r="P250" s="4205" t="n"/>
      <c r="Q250" s="4206" t="n"/>
      <c r="R250" s="4205" t="n"/>
      <c r="S250" s="4205" t="n"/>
      <c r="T250" s="4205" t="n"/>
      <c r="U250" s="4205" t="n"/>
      <c r="V250" s="4205" t="n"/>
      <c r="W250" s="4205" t="n"/>
      <c r="X250" s="4205" t="n"/>
      <c r="Y250" s="4205" t="n"/>
      <c r="Z250" s="4205" t="n"/>
      <c r="AA250" s="4238" t="n"/>
      <c r="AB250" s="4205" t="n"/>
      <c r="AC250" s="4206" t="n"/>
      <c r="AD250" s="4205" t="n"/>
      <c r="AE250" s="4205" t="n"/>
      <c r="AF250" s="4205" t="n"/>
      <c r="AG250" s="4205" t="n"/>
      <c r="AH250" s="4205" t="n"/>
      <c r="AI250" s="4205" t="n"/>
      <c r="AJ250" s="4205" t="n"/>
      <c r="AK250" s="4205" t="n"/>
      <c r="AL250" s="4205" t="n"/>
      <c r="AM250" s="4205" t="n"/>
      <c r="AN250" s="4205" t="n"/>
      <c r="AO250" s="4206" t="n"/>
      <c r="AP250" s="4205" t="n">
        <v>0.00262000000111584</v>
      </c>
      <c r="AQ250" s="4205" t="n">
        <v>-0.00127000000065891</v>
      </c>
      <c r="AR250" s="4205" t="n">
        <v>0.000729999997929554</v>
      </c>
      <c r="AS250" s="4205" t="n">
        <v>-0.00128999999833468</v>
      </c>
      <c r="AT250" s="4205" t="n">
        <v>0</v>
      </c>
      <c r="AU250" s="4207" t="n">
        <v>0</v>
      </c>
      <c r="AV250" s="4228" t="n"/>
      <c r="AW250" s="4205">
        <f>SUM(R250:AC250)</f>
        <v/>
      </c>
      <c r="AX250" s="4205">
        <f>SUM(AD250:AO250)</f>
        <v/>
      </c>
      <c r="AY250" s="4205">
        <f>SUM(AH250:AS250)</f>
        <v/>
      </c>
      <c r="AZ250" s="4205">
        <f>SUM(AJ250:AU250)</f>
        <v/>
      </c>
      <c r="BG250" s="4205" t="n">
        <v>330.715030000001</v>
      </c>
    </row>
    <row r="251" ht="12" customHeight="1" s="3710">
      <c r="B251" s="3753" t="n"/>
      <c r="C251" s="3902" t="inlineStr">
        <is>
          <t>Ending accumulated depreciation</t>
        </is>
      </c>
      <c r="F251" s="4227" t="n"/>
      <c r="G251" s="3900" t="n"/>
      <c r="H251" s="3900" t="n"/>
      <c r="I251" s="3900" t="n"/>
      <c r="J251" s="3900" t="n"/>
      <c r="K251" s="3900" t="n"/>
      <c r="L251" s="3900" t="n"/>
      <c r="M251" s="3900" t="n"/>
      <c r="N251" s="3900" t="n"/>
      <c r="O251" s="3900" t="n"/>
      <c r="P251" s="3900" t="n"/>
      <c r="Q251" s="4200" t="n"/>
      <c r="R251" s="3900" t="n"/>
      <c r="S251" s="3900" t="n"/>
      <c r="T251" s="3900" t="n"/>
      <c r="U251" s="3900" t="n"/>
      <c r="V251" s="3900" t="n"/>
      <c r="W251" s="3900" t="n"/>
      <c r="X251" s="3900" t="n"/>
      <c r="Y251" s="3900" t="n"/>
      <c r="Z251" s="3900" t="n"/>
      <c r="AA251" s="3900" t="n"/>
      <c r="AB251" s="3900" t="n"/>
      <c r="AC251" s="4200" t="n"/>
      <c r="AD251" s="3900" t="n"/>
      <c r="AE251" s="3900" t="n"/>
      <c r="AF251" s="3900" t="n"/>
      <c r="AG251" s="3900" t="n"/>
      <c r="AH251" s="3900" t="n"/>
      <c r="AI251" s="3900" t="n"/>
      <c r="AJ251" s="3900" t="n"/>
      <c r="AK251" s="3900" t="n"/>
      <c r="AL251" s="3900" t="n"/>
      <c r="AM251" s="3900" t="n"/>
      <c r="AN251" s="3900" t="n"/>
      <c r="AO251" s="4200" t="n"/>
      <c r="AP251" s="3900">
        <f>SUM(AP248:AP250)</f>
        <v/>
      </c>
      <c r="AQ251" s="3900">
        <f>SUM(AQ248:AQ250)</f>
        <v/>
      </c>
      <c r="AR251" s="3900">
        <f>SUM(AR248:AR250)</f>
        <v/>
      </c>
      <c r="AS251" s="3900">
        <f>SUM(AS248:AS250)</f>
        <v/>
      </c>
      <c r="AT251" s="3900">
        <f>SUM(AT248:AT250)</f>
        <v/>
      </c>
      <c r="AU251" s="4201">
        <f>SUM(AU248:AU250)</f>
        <v/>
      </c>
      <c r="AV251" s="4227" t="n"/>
      <c r="AW251" s="3900">
        <f>SUM(AW248:AW250)</f>
        <v/>
      </c>
      <c r="AX251" s="3900">
        <f>SUM(AX248:AX250)</f>
        <v/>
      </c>
      <c r="AY251" s="3900">
        <f>SUM(AY248:AY250)</f>
        <v/>
      </c>
      <c r="AZ251" s="3900">
        <f>SUM(AZ248:AZ250)</f>
        <v/>
      </c>
      <c r="BG251" s="3900">
        <f>SUM(BG248:BG250)</f>
        <v/>
      </c>
    </row>
    <row r="252" ht="12" customHeight="1" s="3710">
      <c r="B252" s="3753" t="n"/>
      <c r="C252" s="3902" t="inlineStr">
        <is>
          <t>Ending accumulated depreciation - per BS</t>
        </is>
      </c>
      <c r="F252" s="4227" t="n"/>
      <c r="G252" s="3900" t="n"/>
      <c r="H252" s="3900" t="n"/>
      <c r="I252" s="3900" t="n"/>
      <c r="J252" s="3900" t="n"/>
      <c r="K252" s="3900" t="n"/>
      <c r="L252" s="3900" t="n"/>
      <c r="M252" s="3900" t="n"/>
      <c r="N252" s="3900" t="n"/>
      <c r="O252" s="3900" t="n"/>
      <c r="P252" s="3900" t="n"/>
      <c r="Q252" s="4200" t="n"/>
      <c r="R252" s="3900" t="n"/>
      <c r="S252" s="3900" t="n"/>
      <c r="T252" s="3900" t="n"/>
      <c r="U252" s="3900" t="n"/>
      <c r="V252" s="3900" t="n"/>
      <c r="W252" s="3900" t="n"/>
      <c r="X252" s="3900" t="n"/>
      <c r="Y252" s="3900" t="n"/>
      <c r="Z252" s="3900" t="n"/>
      <c r="AA252" s="3900" t="n"/>
      <c r="AB252" s="3900" t="n"/>
      <c r="AC252" s="4200" t="n"/>
      <c r="AD252" s="3900" t="n"/>
      <c r="AE252" s="3900" t="n"/>
      <c r="AF252" s="3900" t="n"/>
      <c r="AG252" s="3900" t="n"/>
      <c r="AH252" s="3900" t="n"/>
      <c r="AI252" s="3900" t="n"/>
      <c r="AJ252" s="3900" t="n"/>
      <c r="AK252" s="3900" t="n"/>
      <c r="AL252" s="3900" t="n"/>
      <c r="AM252" s="3900" t="n"/>
      <c r="AN252" s="3900" t="n"/>
      <c r="AO252" s="4200" t="n"/>
      <c r="AP252" s="3900">
        <f>SUM(AP80:AP81)</f>
        <v/>
      </c>
      <c r="AQ252" s="3900">
        <f>SUM(AQ80:AQ81)</f>
        <v/>
      </c>
      <c r="AR252" s="3900">
        <f>SUM(AR80:AR81)</f>
        <v/>
      </c>
      <c r="AS252" s="3900">
        <f>SUM(AS80:AS81)</f>
        <v/>
      </c>
      <c r="AT252" s="3900">
        <f>SUM(AT80:AT81)</f>
        <v/>
      </c>
      <c r="AU252" s="4201">
        <f>SUM(AU80:AU81)</f>
        <v/>
      </c>
      <c r="AV252" s="4227" t="n"/>
      <c r="AW252" s="3900">
        <f>AC252</f>
        <v/>
      </c>
      <c r="AX252" s="3900">
        <f>AO252</f>
        <v/>
      </c>
      <c r="AY252" s="3900">
        <f>AS252</f>
        <v/>
      </c>
      <c r="AZ252" s="3900">
        <f>AU252</f>
        <v/>
      </c>
      <c r="BG252" s="3900">
        <f>SUM(AV80:AV81)</f>
        <v/>
      </c>
    </row>
    <row r="253" ht="12" customHeight="1" s="3710">
      <c r="B253" s="3891" t="n"/>
      <c r="C253" s="4229" t="inlineStr">
        <is>
          <t>Check</t>
        </is>
      </c>
      <c r="D253" s="4230" t="n"/>
      <c r="E253" s="4230" t="n"/>
      <c r="F253" s="4231" t="n"/>
      <c r="G253" s="4231">
        <f>G251-G252</f>
        <v/>
      </c>
      <c r="H253" s="4231">
        <f>H251-H252</f>
        <v/>
      </c>
      <c r="I253" s="4231">
        <f>I251-I252</f>
        <v/>
      </c>
      <c r="J253" s="4231">
        <f>J251-J252</f>
        <v/>
      </c>
      <c r="K253" s="4231">
        <f>K251-K252</f>
        <v/>
      </c>
      <c r="L253" s="4231">
        <f>L251-L252</f>
        <v/>
      </c>
      <c r="M253" s="4231">
        <f>M251-M252</f>
        <v/>
      </c>
      <c r="N253" s="4231">
        <f>N251-N252</f>
        <v/>
      </c>
      <c r="O253" s="4231">
        <f>O251-O252</f>
        <v/>
      </c>
      <c r="P253" s="4231">
        <f>P251-P252</f>
        <v/>
      </c>
      <c r="Q253" s="4232">
        <f>Q251-Q252</f>
        <v/>
      </c>
      <c r="R253" s="4231">
        <f>R251-R252</f>
        <v/>
      </c>
      <c r="S253" s="4231">
        <f>S251-S252</f>
        <v/>
      </c>
      <c r="T253" s="4231">
        <f>T251-T252</f>
        <v/>
      </c>
      <c r="U253" s="4231">
        <f>U251-U252</f>
        <v/>
      </c>
      <c r="V253" s="4231">
        <f>V251-V252</f>
        <v/>
      </c>
      <c r="W253" s="4231">
        <f>W251-W252</f>
        <v/>
      </c>
      <c r="X253" s="4231">
        <f>X251-X252</f>
        <v/>
      </c>
      <c r="Y253" s="4231">
        <f>Y251-Y252</f>
        <v/>
      </c>
      <c r="Z253" s="4231">
        <f>Z251-Z252</f>
        <v/>
      </c>
      <c r="AA253" s="4231">
        <f>AA251-AA252</f>
        <v/>
      </c>
      <c r="AB253" s="4231">
        <f>AB251-AB252</f>
        <v/>
      </c>
      <c r="AC253" s="4232">
        <f>AC251-AC252</f>
        <v/>
      </c>
      <c r="AD253" s="4231">
        <f>AD251-AD252</f>
        <v/>
      </c>
      <c r="AE253" s="4231">
        <f>AE251-AE252</f>
        <v/>
      </c>
      <c r="AF253" s="4231">
        <f>AF251-AF252</f>
        <v/>
      </c>
      <c r="AG253" s="4231">
        <f>AG251-AG252</f>
        <v/>
      </c>
      <c r="AH253" s="4231">
        <f>AH251-AH252</f>
        <v/>
      </c>
      <c r="AI253" s="4231">
        <f>AI251-AI252</f>
        <v/>
      </c>
      <c r="AJ253" s="4231">
        <f>AJ251-AJ252</f>
        <v/>
      </c>
      <c r="AK253" s="4231">
        <f>AK251-AK252</f>
        <v/>
      </c>
      <c r="AL253" s="4231">
        <f>AL251-AL252</f>
        <v/>
      </c>
      <c r="AM253" s="4231">
        <f>AM251-AM252</f>
        <v/>
      </c>
      <c r="AN253" s="4231">
        <f>AN251-AN252</f>
        <v/>
      </c>
      <c r="AO253" s="4232">
        <f>AO251-AO252</f>
        <v/>
      </c>
      <c r="AP253" s="4231">
        <f>AP251-AP252</f>
        <v/>
      </c>
      <c r="AQ253" s="4231">
        <f>AQ251-AQ252</f>
        <v/>
      </c>
      <c r="AR253" s="4231">
        <f>AR251-AR252</f>
        <v/>
      </c>
      <c r="AS253" s="4231">
        <f>AS251-AS252</f>
        <v/>
      </c>
      <c r="AT253" s="4231">
        <f>AT251-AT252</f>
        <v/>
      </c>
      <c r="AU253" s="4233">
        <f>AU251-AU252</f>
        <v/>
      </c>
      <c r="AV253" s="4231" t="n"/>
      <c r="AW253" s="4231">
        <f>AW251-AW252</f>
        <v/>
      </c>
      <c r="AX253" s="4231">
        <f>AX251-AX252</f>
        <v/>
      </c>
      <c r="AY253" s="4231">
        <f>AY251-AY252</f>
        <v/>
      </c>
      <c r="AZ253" s="4231">
        <f>AZ251-AZ252</f>
        <v/>
      </c>
      <c r="BG253" s="4231">
        <f>BG251-BG252</f>
        <v/>
      </c>
    </row>
    <row r="254" ht="11.25" customHeight="1" s="3710">
      <c r="A254" s="4239" t="n"/>
      <c r="B254" s="3891" t="n"/>
    </row>
    <row r="255" ht="19.5" customHeight="1" s="3710">
      <c r="B255" s="4555" t="n"/>
      <c r="C255" s="4222" t="inlineStr">
        <is>
          <t>Accumulated depreciation - capitalized development</t>
        </is>
      </c>
      <c r="D255" s="4222" t="n"/>
      <c r="E255" s="4222" t="n"/>
      <c r="F255" s="4222" t="n"/>
      <c r="G255" s="4222" t="n"/>
      <c r="H255" s="4222" t="n"/>
      <c r="I255" s="4222" t="n"/>
      <c r="J255" s="4222" t="n"/>
      <c r="K255" s="4222" t="n"/>
      <c r="L255" s="4222" t="n"/>
      <c r="M255" s="4222" t="n"/>
      <c r="N255" s="4222" t="n"/>
      <c r="O255" s="4222" t="n"/>
      <c r="P255" s="4222" t="n"/>
      <c r="Q255" s="4222" t="n"/>
      <c r="R255" s="4222" t="n"/>
      <c r="S255" s="4222" t="n"/>
      <c r="T255" s="4222" t="n"/>
      <c r="U255" s="4222" t="n"/>
      <c r="V255" s="4222" t="n"/>
      <c r="W255" s="4222" t="n"/>
      <c r="X255" s="4222" t="n"/>
      <c r="Y255" s="4222" t="n"/>
      <c r="Z255" s="4222" t="n"/>
      <c r="AA255" s="4222" t="n"/>
      <c r="AB255" s="4222" t="n"/>
      <c r="AC255" s="4222" t="n"/>
      <c r="AD255" s="4222" t="n"/>
      <c r="AE255" s="4222" t="n"/>
      <c r="AF255" s="4222" t="n"/>
      <c r="AG255" s="4222" t="n"/>
      <c r="AH255" s="4222" t="n"/>
      <c r="AI255" s="4222" t="n"/>
      <c r="AJ255" s="4222" t="n"/>
      <c r="AK255" s="4222" t="n"/>
      <c r="AL255" s="4222" t="n"/>
      <c r="AM255" s="4222" t="n"/>
      <c r="AN255" s="4222" t="n"/>
      <c r="AO255" s="4222" t="n"/>
      <c r="AP255" s="4222" t="n"/>
      <c r="AQ255" s="4222" t="n"/>
      <c r="AR255" s="4222" t="n"/>
      <c r="AS255" s="4222" t="n"/>
      <c r="AT255" s="4222" t="n"/>
      <c r="AU255" s="4222" t="n"/>
      <c r="AV255" s="4223" t="n"/>
      <c r="AW255" s="4223" t="n"/>
      <c r="AX255" s="4223" t="n"/>
      <c r="AY255" s="4222" t="n"/>
      <c r="AZ255" s="4222" t="n"/>
      <c r="BG255" s="4222" t="n"/>
    </row>
    <row r="256" ht="11.25" customHeight="1" s="3710">
      <c r="B256" s="4555" t="n"/>
      <c r="C256" s="4557" t="n"/>
      <c r="D256" s="4557" t="n"/>
      <c r="E256" s="4557" t="n"/>
      <c r="F256" s="4557" t="n"/>
      <c r="G256" s="4557" t="n"/>
      <c r="H256" s="4557" t="n"/>
      <c r="I256" s="4557" t="n"/>
      <c r="J256" s="4557" t="n"/>
      <c r="K256" s="4557" t="n"/>
      <c r="L256" s="4557" t="n"/>
      <c r="M256" s="4557" t="n"/>
      <c r="N256" s="4557" t="n"/>
      <c r="O256" s="4557" t="n"/>
      <c r="P256" s="4557" t="n"/>
      <c r="Q256" s="4177" t="n"/>
      <c r="R256" s="4557" t="n"/>
      <c r="S256" s="4557" t="n"/>
      <c r="T256" s="4557" t="n"/>
      <c r="U256" s="4557" t="n"/>
      <c r="V256" s="4557" t="n"/>
      <c r="W256" s="4557" t="n"/>
      <c r="X256" s="4557" t="n"/>
      <c r="Y256" s="4557" t="n"/>
      <c r="Z256" s="4557" t="n"/>
      <c r="AA256" s="4557" t="n"/>
      <c r="AB256" s="4557" t="n"/>
      <c r="AC256" s="4177" t="n"/>
      <c r="AD256" s="4557" t="n"/>
      <c r="AE256" s="4557" t="n"/>
      <c r="AF256" s="4557" t="n"/>
      <c r="AG256" s="4557" t="n"/>
      <c r="AH256" s="4557" t="n"/>
      <c r="AI256" s="4557" t="n"/>
      <c r="AJ256" s="4557" t="n"/>
      <c r="AK256" s="4557" t="n"/>
      <c r="AL256" s="4557" t="n"/>
      <c r="AM256" s="4557" t="n"/>
      <c r="AN256" s="4557" t="n"/>
      <c r="AO256" s="4177" t="n"/>
      <c r="AP256" s="4557" t="n"/>
      <c r="AQ256" s="4557" t="n"/>
      <c r="AR256" s="4557" t="n"/>
      <c r="AS256" s="4557" t="n"/>
      <c r="AT256" s="4557" t="n"/>
      <c r="AU256" s="4557" t="n"/>
      <c r="AV256" s="4180" t="inlineStr">
        <is>
          <t>As at</t>
        </is>
      </c>
      <c r="AW256" s="4180" t="n"/>
      <c r="AX256" s="4180" t="n"/>
      <c r="AY256" s="4181" t="n"/>
      <c r="AZ256" s="4181" t="n"/>
      <c r="BG256" s="4557" t="n"/>
    </row>
    <row r="257" ht="11.25" customHeight="1" s="3710">
      <c r="B257" s="3753" t="n"/>
      <c r="C257" s="4224" t="inlineStr">
        <is>
          <t>$'000</t>
        </is>
      </c>
      <c r="D257" s="4557" t="inlineStr">
        <is>
          <t>Code</t>
        </is>
      </c>
      <c r="E257" s="4557" t="inlineStr">
        <is>
          <t>Concatenate</t>
        </is>
      </c>
      <c r="F257" s="4186" t="n"/>
      <c r="G257" s="4186" t="n"/>
      <c r="H257" s="4186" t="n"/>
      <c r="I257" s="4186" t="n"/>
      <c r="J257" s="4186" t="n"/>
      <c r="K257" s="4186" t="n"/>
      <c r="L257" s="4186" t="n"/>
      <c r="M257" s="4186" t="n"/>
      <c r="N257" s="4186" t="n"/>
      <c r="O257" s="4186" t="n"/>
      <c r="P257" s="4186" t="n"/>
      <c r="Q257" s="4187" t="n"/>
      <c r="R257" s="4186" t="n"/>
      <c r="S257" s="4186" t="n"/>
      <c r="T257" s="4186" t="n"/>
      <c r="U257" s="4186" t="n"/>
      <c r="V257" s="4186" t="n"/>
      <c r="W257" s="4186" t="n"/>
      <c r="X257" s="4186" t="n"/>
      <c r="Y257" s="4186" t="n"/>
      <c r="Z257" s="4186" t="n"/>
      <c r="AA257" s="4186" t="n"/>
      <c r="AB257" s="4186" t="n"/>
      <c r="AC257" s="4187" t="n"/>
      <c r="AD257" s="4186" t="n"/>
      <c r="AE257" s="4186" t="n"/>
      <c r="AF257" s="4186" t="n"/>
      <c r="AG257" s="4186" t="n"/>
      <c r="AH257" s="4186" t="n"/>
      <c r="AI257" s="4186" t="n"/>
      <c r="AJ257" s="4186" t="n"/>
      <c r="AK257" s="4186" t="n"/>
      <c r="AL257" s="4186" t="n"/>
      <c r="AM257" s="4186" t="n"/>
      <c r="AN257" s="4186" t="n"/>
      <c r="AO257" s="4187" t="n"/>
      <c r="AP257" s="4186">
        <f>EOMONTH(AO257,1)</f>
        <v/>
      </c>
      <c r="AQ257" s="4186">
        <f>EOMONTH(AP257,1)</f>
        <v/>
      </c>
      <c r="AR257" s="4186">
        <f>EOMONTH(AQ257,1)</f>
        <v/>
      </c>
      <c r="AS257" s="4186">
        <f>EOMONTH(AR257,1)</f>
        <v/>
      </c>
      <c r="AT257" s="4186">
        <f>EOMONTH(AS257,1)</f>
        <v/>
      </c>
      <c r="AU257" s="4186">
        <f>EOMONTH(AT257,1)</f>
        <v/>
      </c>
      <c r="AV257" s="4225">
        <f>Q257</f>
        <v/>
      </c>
      <c r="AW257" s="4226">
        <f>AC257</f>
        <v/>
      </c>
      <c r="AX257" s="4190">
        <f>AO257</f>
        <v/>
      </c>
      <c r="AY257" s="4191">
        <f>AS257</f>
        <v/>
      </c>
      <c r="AZ257" s="4191">
        <f>AU257</f>
        <v/>
      </c>
      <c r="BG257" s="4186" t="n">
        <v>44561</v>
      </c>
    </row>
    <row r="258" ht="12" customHeight="1" s="3710">
      <c r="B258" s="3753" t="n"/>
      <c r="C258" s="4017" t="inlineStr">
        <is>
          <t>Accumulated depreciation, opening</t>
        </is>
      </c>
      <c r="F258" s="4227" t="n"/>
      <c r="G258" s="3900" t="n"/>
      <c r="H258" s="3900" t="n"/>
      <c r="I258" s="3900" t="n"/>
      <c r="J258" s="3900" t="n"/>
      <c r="K258" s="3900" t="n"/>
      <c r="L258" s="3900" t="n"/>
      <c r="M258" s="3900" t="n"/>
      <c r="N258" s="3900" t="n"/>
      <c r="O258" s="3900" t="n"/>
      <c r="P258" s="3900" t="n"/>
      <c r="Q258" s="4200" t="n"/>
      <c r="R258" s="3900" t="n"/>
      <c r="S258" s="3900" t="n"/>
      <c r="T258" s="3900" t="n"/>
      <c r="U258" s="3900" t="n"/>
      <c r="V258" s="3900" t="n"/>
      <c r="W258" s="3900" t="n"/>
      <c r="X258" s="3900" t="n"/>
      <c r="Y258" s="3900" t="n"/>
      <c r="Z258" s="3900" t="n"/>
      <c r="AA258" s="3900" t="n"/>
      <c r="AB258" s="3900" t="n"/>
      <c r="AC258" s="4200" t="n"/>
      <c r="AD258" s="3900" t="n"/>
      <c r="AE258" s="3900" t="n"/>
      <c r="AF258" s="3900" t="n"/>
      <c r="AG258" s="3900" t="n"/>
      <c r="AH258" s="3900" t="n"/>
      <c r="AI258" s="3900" t="n"/>
      <c r="AJ258" s="3900" t="n"/>
      <c r="AK258" s="3900" t="n"/>
      <c r="AL258" s="3900" t="n"/>
      <c r="AM258" s="3900" t="n"/>
      <c r="AN258" s="3900" t="n"/>
      <c r="AO258" s="4200" t="n"/>
      <c r="AP258" s="3900">
        <f>AO75</f>
        <v/>
      </c>
      <c r="AQ258" s="3900">
        <f>AP75</f>
        <v/>
      </c>
      <c r="AR258" s="3900">
        <f>AQ75</f>
        <v/>
      </c>
      <c r="AS258" s="3900">
        <f>AR75</f>
        <v/>
      </c>
      <c r="AT258" s="3900">
        <f>AS75</f>
        <v/>
      </c>
      <c r="AU258" s="4201">
        <f>AT75</f>
        <v/>
      </c>
      <c r="AV258" s="4227" t="n"/>
      <c r="AW258" s="3900">
        <f>R258</f>
        <v/>
      </c>
      <c r="AX258" s="3900">
        <f>AD258</f>
        <v/>
      </c>
      <c r="AY258" s="3900">
        <f>AH258</f>
        <v/>
      </c>
      <c r="AZ258" s="3900">
        <f>AJ258</f>
        <v/>
      </c>
      <c r="BG258" s="3900">
        <f>BG75</f>
        <v/>
      </c>
    </row>
    <row r="259" ht="12" customHeight="1" s="3710">
      <c r="B259" s="4555" t="n"/>
      <c r="C259" s="4017" t="inlineStr">
        <is>
          <t xml:space="preserve">Depreciation expense  </t>
        </is>
      </c>
      <c r="F259" s="4227" t="n"/>
      <c r="G259" s="3900" t="n"/>
      <c r="H259" s="3900" t="n"/>
      <c r="I259" s="3900" t="n"/>
      <c r="J259" s="3900" t="n"/>
      <c r="K259" s="3900" t="n"/>
      <c r="L259" s="3900" t="n"/>
      <c r="M259" s="3900" t="n"/>
      <c r="N259" s="3900" t="n"/>
      <c r="O259" s="3900" t="n"/>
      <c r="P259" s="3900" t="n"/>
      <c r="Q259" s="4200" t="n"/>
      <c r="R259" s="3900" t="n"/>
      <c r="S259" s="3900" t="n"/>
      <c r="T259" s="3900" t="n"/>
      <c r="U259" s="3900" t="n"/>
      <c r="V259" s="3900" t="n"/>
      <c r="W259" s="3900" t="n"/>
      <c r="X259" s="3900" t="n"/>
      <c r="Y259" s="3900" t="n"/>
      <c r="Z259" s="3900" t="n"/>
      <c r="AA259" s="3900" t="n"/>
      <c r="AB259" s="3900" t="n"/>
      <c r="AC259" s="4200" t="n"/>
      <c r="AD259" s="3900" t="n"/>
      <c r="AE259" s="3900" t="n"/>
      <c r="AF259" s="3900" t="n"/>
      <c r="AG259" s="3900" t="n"/>
      <c r="AH259" s="3900" t="n"/>
      <c r="AI259" s="3900" t="n"/>
      <c r="AJ259" s="3900" t="n"/>
      <c r="AK259" s="3900" t="n"/>
      <c r="AL259" s="3900" t="n"/>
      <c r="AM259" s="3900" t="n"/>
      <c r="AN259" s="3900" t="n"/>
      <c r="AO259" s="4200" t="n"/>
      <c r="AP259" s="3900">
        <f>'Income statement'!AP242</f>
        <v/>
      </c>
      <c r="AQ259" s="3900">
        <f>'Income statement'!AQ242</f>
        <v/>
      </c>
      <c r="AR259" s="3900">
        <f>'Income statement'!AR242</f>
        <v/>
      </c>
      <c r="AS259" s="3900">
        <f>'Income statement'!AS242</f>
        <v/>
      </c>
      <c r="AT259" s="3900">
        <f>'Income statement'!AT242</f>
        <v/>
      </c>
      <c r="AU259" s="4201">
        <f>'Income statement'!AU242</f>
        <v/>
      </c>
      <c r="AV259" s="4227" t="n"/>
      <c r="AW259" s="3900">
        <f>SUM(R259:AC259)</f>
        <v/>
      </c>
      <c r="AX259" s="3900">
        <f>SUM(AD259:AO259)</f>
        <v/>
      </c>
      <c r="AY259" s="3900">
        <f>SUM(AH259:AS259)</f>
        <v/>
      </c>
      <c r="AZ259" s="3900">
        <f>SUM(AJ259:AU259)</f>
        <v/>
      </c>
      <c r="BG259" s="3900">
        <f>'Income statement'!AV242</f>
        <v/>
      </c>
    </row>
    <row r="260" ht="12" customHeight="1" s="3710">
      <c r="B260" s="3753" t="n"/>
      <c r="C260" s="4210" t="inlineStr">
        <is>
          <t xml:space="preserve">Plug </t>
        </is>
      </c>
      <c r="D260" s="4204" t="n"/>
      <c r="E260" s="4204" t="n"/>
      <c r="F260" s="4228" t="n"/>
      <c r="G260" s="4205" t="n"/>
      <c r="H260" s="4205" t="n"/>
      <c r="I260" s="4205" t="n"/>
      <c r="J260" s="4205" t="n"/>
      <c r="K260" s="4205" t="n"/>
      <c r="L260" s="4205" t="n"/>
      <c r="M260" s="4205" t="n"/>
      <c r="N260" s="4205" t="n"/>
      <c r="O260" s="4205" t="n"/>
      <c r="P260" s="4205" t="n"/>
      <c r="Q260" s="4206" t="n"/>
      <c r="R260" s="4205" t="n"/>
      <c r="S260" s="4205" t="n"/>
      <c r="T260" s="4205" t="n"/>
      <c r="U260" s="4205" t="n"/>
      <c r="V260" s="4205" t="n"/>
      <c r="W260" s="4205" t="n"/>
      <c r="X260" s="4205" t="n"/>
      <c r="Y260" s="4205" t="n"/>
      <c r="Z260" s="4205" t="n"/>
      <c r="AA260" s="4205" t="n"/>
      <c r="AB260" s="4205" t="n"/>
      <c r="AC260" s="4206" t="n"/>
      <c r="AD260" s="4205" t="n"/>
      <c r="AE260" s="4205" t="n"/>
      <c r="AF260" s="4205" t="n"/>
      <c r="AG260" s="4205" t="n"/>
      <c r="AH260" s="4205" t="n"/>
      <c r="AI260" s="4205" t="n"/>
      <c r="AJ260" s="4205" t="n"/>
      <c r="AK260" s="4205" t="n"/>
      <c r="AL260" s="4205" t="n"/>
      <c r="AM260" s="4205" t="n"/>
      <c r="AN260" s="4205" t="n"/>
      <c r="AO260" s="4206" t="n"/>
      <c r="AP260" s="4205" t="n">
        <v>-0.000669999997626292</v>
      </c>
      <c r="AQ260" s="4205" t="n">
        <v>-0.000199999998585554</v>
      </c>
      <c r="AR260" s="4205" t="n">
        <v>0.000800000001618173</v>
      </c>
      <c r="AS260" s="4205" t="n">
        <v>-0.000199999998585554</v>
      </c>
      <c r="AT260" s="4205" t="n">
        <v>0</v>
      </c>
      <c r="AU260" s="4207" t="n">
        <v>0</v>
      </c>
      <c r="AV260" s="4228" t="n"/>
      <c r="AW260" s="4205">
        <f>SUM(R260:AC260)</f>
        <v/>
      </c>
      <c r="AX260" s="4205">
        <f>SUM(AD260:AO260)</f>
        <v/>
      </c>
      <c r="AY260" s="4205">
        <f>SUM(AH260:AS260)</f>
        <v/>
      </c>
      <c r="AZ260" s="4205">
        <f>SUM(AJ260:AU260)</f>
        <v/>
      </c>
      <c r="BG260" s="4205" t="n">
        <v>0.000280000000202563</v>
      </c>
    </row>
    <row r="261" ht="12" customHeight="1" s="3710">
      <c r="B261" s="3753" t="n"/>
      <c r="C261" s="3902" t="inlineStr">
        <is>
          <t>Ending accumulated depreciation</t>
        </is>
      </c>
      <c r="F261" s="4227" t="n"/>
      <c r="G261" s="3900" t="n"/>
      <c r="H261" s="3900" t="n"/>
      <c r="I261" s="3900" t="n"/>
      <c r="J261" s="3900" t="n"/>
      <c r="K261" s="3900" t="n"/>
      <c r="L261" s="3900" t="n"/>
      <c r="M261" s="3900" t="n"/>
      <c r="N261" s="3900" t="n"/>
      <c r="O261" s="3900" t="n"/>
      <c r="P261" s="3900" t="n"/>
      <c r="Q261" s="4200" t="n"/>
      <c r="R261" s="3900" t="n"/>
      <c r="S261" s="3900" t="n"/>
      <c r="T261" s="3900" t="n"/>
      <c r="U261" s="3900" t="n"/>
      <c r="V261" s="3900" t="n"/>
      <c r="W261" s="3900" t="n"/>
      <c r="X261" s="3900" t="n"/>
      <c r="Y261" s="3900" t="n"/>
      <c r="Z261" s="3900" t="n"/>
      <c r="AA261" s="3900" t="n"/>
      <c r="AB261" s="3900" t="n"/>
      <c r="AC261" s="4200" t="n"/>
      <c r="AD261" s="3900" t="n"/>
      <c r="AE261" s="3900" t="n"/>
      <c r="AF261" s="3900" t="n"/>
      <c r="AG261" s="3900" t="n"/>
      <c r="AH261" s="3900" t="n"/>
      <c r="AI261" s="3900" t="n"/>
      <c r="AJ261" s="3900" t="n"/>
      <c r="AK261" s="3900" t="n"/>
      <c r="AL261" s="3900" t="n"/>
      <c r="AM261" s="3900" t="n"/>
      <c r="AN261" s="3900" t="n"/>
      <c r="AO261" s="4200" t="n"/>
      <c r="AP261" s="3900">
        <f>SUM(AP258:AP260)</f>
        <v/>
      </c>
      <c r="AQ261" s="3900">
        <f>SUM(AQ258:AQ260)</f>
        <v/>
      </c>
      <c r="AR261" s="3900">
        <f>SUM(AR258:AR260)</f>
        <v/>
      </c>
      <c r="AS261" s="3900">
        <f>SUM(AS258:AS260)</f>
        <v/>
      </c>
      <c r="AT261" s="3900">
        <f>SUM(AT258:AT260)</f>
        <v/>
      </c>
      <c r="AU261" s="4201">
        <f>SUM(AU258:AU260)</f>
        <v/>
      </c>
      <c r="AV261" s="4227" t="n"/>
      <c r="AW261" s="3900">
        <f>SUM(AW258:AW260)</f>
        <v/>
      </c>
      <c r="AX261" s="3900">
        <f>SUM(AX258:AX260)</f>
        <v/>
      </c>
      <c r="AY261" s="3900">
        <f>SUM(AY258:AY260)</f>
        <v/>
      </c>
      <c r="AZ261" s="3900">
        <f>SUM(AZ258:AZ260)</f>
        <v/>
      </c>
      <c r="BG261" s="3900">
        <f>SUM(BG258:BG260)</f>
        <v/>
      </c>
    </row>
    <row r="262" ht="12" customHeight="1" s="3710">
      <c r="B262" s="3753" t="n"/>
      <c r="C262" s="3902" t="inlineStr">
        <is>
          <t>Ending accumulated depreciation - per BS</t>
        </is>
      </c>
      <c r="F262" s="4227" t="n"/>
      <c r="G262" s="3900" t="n"/>
      <c r="H262" s="3900" t="n"/>
      <c r="I262" s="3900" t="n"/>
      <c r="J262" s="3900" t="n"/>
      <c r="K262" s="3900" t="n"/>
      <c r="L262" s="3900" t="n"/>
      <c r="M262" s="3900" t="n"/>
      <c r="N262" s="3900" t="n"/>
      <c r="O262" s="3900" t="n"/>
      <c r="P262" s="3900" t="n"/>
      <c r="Q262" s="4200" t="n"/>
      <c r="R262" s="3900" t="n"/>
      <c r="S262" s="3900" t="n"/>
      <c r="T262" s="3900" t="n"/>
      <c r="U262" s="3900" t="n"/>
      <c r="V262" s="3900" t="n"/>
      <c r="W262" s="3900" t="n"/>
      <c r="X262" s="3900" t="n"/>
      <c r="Y262" s="3900" t="n"/>
      <c r="Z262" s="3900" t="n"/>
      <c r="AA262" s="3900" t="n"/>
      <c r="AB262" s="3900" t="n"/>
      <c r="AC262" s="4200" t="n"/>
      <c r="AD262" s="3900" t="n"/>
      <c r="AE262" s="3900" t="n"/>
      <c r="AF262" s="3900" t="n"/>
      <c r="AG262" s="3900" t="n"/>
      <c r="AH262" s="3900" t="n"/>
      <c r="AI262" s="3900" t="n"/>
      <c r="AJ262" s="3900" t="n"/>
      <c r="AK262" s="3900" t="n"/>
      <c r="AL262" s="3900" t="n"/>
      <c r="AM262" s="3900" t="n"/>
      <c r="AN262" s="3900" t="n"/>
      <c r="AO262" s="4200" t="n"/>
      <c r="AP262" s="3900">
        <f>AP75</f>
        <v/>
      </c>
      <c r="AQ262" s="3900">
        <f>AQ75</f>
        <v/>
      </c>
      <c r="AR262" s="3900">
        <f>AR75</f>
        <v/>
      </c>
      <c r="AS262" s="3900">
        <f>AS75</f>
        <v/>
      </c>
      <c r="AT262" s="3900">
        <f>AT75</f>
        <v/>
      </c>
      <c r="AU262" s="4201">
        <f>AU75</f>
        <v/>
      </c>
      <c r="AV262" s="4227" t="n"/>
      <c r="AW262" s="3900">
        <f>AC262</f>
        <v/>
      </c>
      <c r="AX262" s="3900">
        <f>AO262</f>
        <v/>
      </c>
      <c r="AY262" s="3900">
        <f>AS262</f>
        <v/>
      </c>
      <c r="AZ262" s="3900">
        <f>AU262</f>
        <v/>
      </c>
      <c r="BG262" s="3900">
        <f>AV75</f>
        <v/>
      </c>
    </row>
    <row r="263" ht="12" customHeight="1" s="3710">
      <c r="B263" s="3891" t="n"/>
      <c r="C263" s="4229" t="inlineStr">
        <is>
          <t>Check</t>
        </is>
      </c>
      <c r="D263" s="4230" t="n"/>
      <c r="E263" s="4230" t="n"/>
      <c r="F263" s="4231" t="n"/>
      <c r="G263" s="4231">
        <f>G261-G262</f>
        <v/>
      </c>
      <c r="H263" s="4231">
        <f>H261-H262</f>
        <v/>
      </c>
      <c r="I263" s="4231">
        <f>I261-I262</f>
        <v/>
      </c>
      <c r="J263" s="4231">
        <f>J261-J262</f>
        <v/>
      </c>
      <c r="K263" s="4231">
        <f>K261-K262</f>
        <v/>
      </c>
      <c r="L263" s="4231">
        <f>L261-L262</f>
        <v/>
      </c>
      <c r="M263" s="4231">
        <f>M261-M262</f>
        <v/>
      </c>
      <c r="N263" s="4231">
        <f>N261-N262</f>
        <v/>
      </c>
      <c r="O263" s="4231">
        <f>O261-O262</f>
        <v/>
      </c>
      <c r="P263" s="4231">
        <f>P261-P262</f>
        <v/>
      </c>
      <c r="Q263" s="4232">
        <f>Q261-Q262</f>
        <v/>
      </c>
      <c r="R263" s="4231">
        <f>R261-R262</f>
        <v/>
      </c>
      <c r="S263" s="4231">
        <f>S261-S262</f>
        <v/>
      </c>
      <c r="T263" s="4231">
        <f>T261-T262</f>
        <v/>
      </c>
      <c r="U263" s="4231">
        <f>U261-U262</f>
        <v/>
      </c>
      <c r="V263" s="4231">
        <f>V261-V262</f>
        <v/>
      </c>
      <c r="W263" s="4231">
        <f>W261-W262</f>
        <v/>
      </c>
      <c r="X263" s="4231">
        <f>X261-X262</f>
        <v/>
      </c>
      <c r="Y263" s="4231">
        <f>Y261-Y262</f>
        <v/>
      </c>
      <c r="Z263" s="4231">
        <f>Z261-Z262</f>
        <v/>
      </c>
      <c r="AA263" s="4231">
        <f>AA261-AA262</f>
        <v/>
      </c>
      <c r="AB263" s="4231">
        <f>AB261-AB262</f>
        <v/>
      </c>
      <c r="AC263" s="4232">
        <f>AC261-AC262</f>
        <v/>
      </c>
      <c r="AD263" s="4231">
        <f>AD261-AD262</f>
        <v/>
      </c>
      <c r="AE263" s="4231">
        <f>AE261-AE262</f>
        <v/>
      </c>
      <c r="AF263" s="4231">
        <f>AF261-AF262</f>
        <v/>
      </c>
      <c r="AG263" s="4231">
        <f>AG261-AG262</f>
        <v/>
      </c>
      <c r="AH263" s="4231">
        <f>AH261-AH262</f>
        <v/>
      </c>
      <c r="AI263" s="4231">
        <f>AI261-AI262</f>
        <v/>
      </c>
      <c r="AJ263" s="4231">
        <f>AJ261-AJ262</f>
        <v/>
      </c>
      <c r="AK263" s="4231">
        <f>AK261-AK262</f>
        <v/>
      </c>
      <c r="AL263" s="4231">
        <f>AL261-AL262</f>
        <v/>
      </c>
      <c r="AM263" s="4231">
        <f>AM261-AM262</f>
        <v/>
      </c>
      <c r="AN263" s="4231">
        <f>AN261-AN262</f>
        <v/>
      </c>
      <c r="AO263" s="4232">
        <f>AO261-AO262</f>
        <v/>
      </c>
      <c r="AP263" s="4231">
        <f>AP261-AP262</f>
        <v/>
      </c>
      <c r="AQ263" s="4231">
        <f>AQ261-AQ262</f>
        <v/>
      </c>
      <c r="AR263" s="4231">
        <f>AR261-AR262</f>
        <v/>
      </c>
      <c r="AS263" s="4231">
        <f>AS261-AS262</f>
        <v/>
      </c>
      <c r="AT263" s="4231">
        <f>AT261-AT262</f>
        <v/>
      </c>
      <c r="AU263" s="4233">
        <f>AU261-AU262</f>
        <v/>
      </c>
      <c r="AV263" s="4231" t="n"/>
      <c r="AW263" s="4231">
        <f>AW261-AW262</f>
        <v/>
      </c>
      <c r="AX263" s="4231">
        <f>AX261-AX262</f>
        <v/>
      </c>
      <c r="AY263" s="4231">
        <f>AY261-AY262</f>
        <v/>
      </c>
      <c r="AZ263" s="4231">
        <f>AZ261-AZ262</f>
        <v/>
      </c>
      <c r="BG263" s="4231">
        <f>BG261-BG262</f>
        <v/>
      </c>
    </row>
    <row r="264" ht="11.25" customHeight="1" s="3710">
      <c r="B264" s="3891" t="n"/>
    </row>
    <row r="265" ht="11.25" customHeight="1" s="3710">
      <c r="A265" s="4239" t="n"/>
      <c r="B265" s="3891" t="n"/>
    </row>
    <row r="266" ht="11.25" customHeight="1" s="3710">
      <c r="A266" s="4239" t="n"/>
      <c r="B266" s="3891" t="n"/>
    </row>
    <row r="267" ht="11.25" customHeight="1" s="3710">
      <c r="A267" s="4239" t="n"/>
      <c r="B267" s="3891" t="n"/>
    </row>
    <row r="268" ht="11.25" customHeight="1" s="3710">
      <c r="A268" s="4239" t="n"/>
      <c r="B268" s="3891" t="n"/>
    </row>
    <row r="269" ht="11.25" customHeight="1" s="3710">
      <c r="A269" s="4239" t="n"/>
      <c r="B269" s="3891" t="n"/>
    </row>
    <row r="270" ht="11.25" customHeight="1" s="3710">
      <c r="A270" s="4239" t="n"/>
      <c r="B270" s="3891" t="n"/>
    </row>
    <row r="271" ht="11.25" customHeight="1" s="3710">
      <c r="A271" s="4239" t="n"/>
      <c r="B271" s="3891" t="n"/>
    </row>
    <row r="272" ht="11.25" customHeight="1" s="3710">
      <c r="A272" s="4239" t="n"/>
      <c r="B272" s="3891" t="n"/>
    </row>
    <row r="273" ht="11.25" customHeight="1" s="3710">
      <c r="B273" s="3891" t="n"/>
    </row>
    <row r="274" ht="11.25" customHeight="1" s="3710">
      <c r="B274" s="3891" t="n"/>
    </row>
    <row r="275" ht="11.25" customHeight="1" s="3710">
      <c r="B275" s="3891" t="n"/>
    </row>
    <row r="276" ht="11.25" customHeight="1" s="3710">
      <c r="B276" s="3891" t="n"/>
    </row>
    <row r="277" ht="11.25" customHeight="1" s="3710">
      <c r="B277" s="3891" t="n"/>
    </row>
    <row r="278" ht="11.25" customHeight="1" s="3710">
      <c r="B278" s="3891" t="n"/>
    </row>
    <row r="279" ht="11.25" customHeight="1" s="3710">
      <c r="B279" s="3891" t="n"/>
    </row>
    <row r="280" ht="11.25" customHeight="1" s="3710">
      <c r="B280" s="3891" t="n"/>
    </row>
    <row r="281" ht="11.25" customHeight="1" s="3710">
      <c r="B281" s="3891" t="n"/>
    </row>
    <row r="282" ht="11.25" customHeight="1" s="3710">
      <c r="B282" s="3891" t="n"/>
    </row>
    <row r="283" ht="11.25" customHeight="1" s="3710">
      <c r="B283" s="3891" t="n"/>
    </row>
  </sheetData>
  <autoFilter ref="C9:E185"/>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BD203"/>
  <sheetViews>
    <sheetView showFormulas="0" showGridLines="0" showRowColHeaders="1" showZeros="1" rightToLeft="0" tabSelected="0" showOutlineSymbols="1" defaultGridColor="1" view="normal" topLeftCell="A1" colorId="64" zoomScale="100" zoomScaleNormal="100" zoomScalePageLayoutView="100" workbookViewId="0">
      <pane xSplit="5" ySplit="8" topLeftCell="S141" activePane="bottomRight" state="frozen"/>
      <selection pane="topLeft" activeCell="A1" activeCellId="0" sqref="A1"/>
      <selection pane="topRight" activeCell="S1" activeCellId="0" sqref="S1"/>
      <selection pane="bottomLeft" activeCell="A141" activeCellId="0" sqref="A141"/>
      <selection pane="bottomRight" activeCell="A1" activeCellId="0" sqref="A1"/>
    </sheetView>
  </sheetViews>
  <sheetFormatPr baseColWidth="8" defaultColWidth="8.5703125" defaultRowHeight="11.25" customHeight="0" zeroHeight="0" outlineLevelRow="4"/>
  <cols>
    <col width="3.57" customWidth="1" style="4059" min="1" max="1"/>
    <col width="1.57" customWidth="1" style="4060" min="2" max="2"/>
    <col width="32.57" customWidth="1" style="3737" min="3" max="3"/>
    <col hidden="1" outlineLevel="2" width="7.15" customWidth="1" style="3737" min="4" max="4"/>
    <col hidden="1" outlineLevel="2" width="9.57" customWidth="1" style="3737" min="5" max="5"/>
    <col hidden="1" outlineLevel="1" collapsed="1" width="7.15" customWidth="1" style="3737" min="6" max="6"/>
    <col hidden="1" outlineLevel="1" width="6.85" customWidth="1" style="3737" min="7" max="13"/>
    <col hidden="1" outlineLevel="1" width="7.15" customWidth="1" style="3737" min="14" max="14"/>
    <col hidden="1" outlineLevel="1" width="6.85" customWidth="1" style="3737" min="15" max="25"/>
    <col hidden="1" outlineLevel="1" width="7.15" customWidth="1" style="3737" min="26" max="26"/>
    <col hidden="1" outlineLevel="1" width="6.85" customWidth="1" style="3737" min="27" max="29"/>
    <col hidden="1" outlineLevel="1" width="7.15" customWidth="1" style="3737" min="30" max="31"/>
    <col hidden="1" outlineLevel="1" width="6.43" customWidth="1" style="3737" min="32" max="33"/>
    <col hidden="1" outlineLevel="1" width="7.15" customWidth="1" style="3737" min="34" max="36"/>
    <col hidden="1" outlineLevel="1" width="6.43" customWidth="1" style="3737" min="37" max="38"/>
    <col hidden="1" outlineLevel="1" width="7.15" customWidth="1" style="3737" min="39" max="39"/>
    <col hidden="1" outlineLevel="1" width="6.57" customWidth="1" style="3737" min="40" max="40"/>
    <col hidden="1" outlineLevel="1" width="7.15" customWidth="1" style="3737" min="41" max="41"/>
    <col hidden="1" outlineLevel="1" width="6.43" customWidth="1" style="3737" min="42" max="42"/>
    <col hidden="1" outlineLevel="1" width="7.15" customWidth="1" style="3737" min="43" max="44"/>
    <col hidden="1" outlineLevel="1" width="6.57" customWidth="1" style="3737" min="45" max="45"/>
    <col hidden="1" outlineLevel="1" width="7.15" customWidth="1" style="3737" min="46" max="46"/>
    <col hidden="1" outlineLevel="1" width="6.57" customWidth="1" style="3737" min="47" max="47"/>
    <col width="8.15" customWidth="1" style="3737" min="48" max="52"/>
    <col width="1.57" customWidth="1" style="3737" min="53" max="53"/>
    <col hidden="1" outlineLevel="1" width="7.15" customWidth="1" style="3737" min="54" max="54"/>
    <col width="8.57" customWidth="1" style="3737" min="55" max="16384"/>
  </cols>
  <sheetData>
    <row r="1" ht="22.05" customFormat="1" customHeight="1" s="3743">
      <c r="A1" s="4166" t="n"/>
      <c r="B1" s="4552" t="inlineStr">
        <is>
          <t>Project Name</t>
        </is>
      </c>
      <c r="O1" s="4168" t="n"/>
      <c r="P1" s="4169" t="n"/>
      <c r="AS1" s="3743" t="n"/>
    </row>
    <row r="2" ht="11.45" customFormat="1" customHeight="1" s="3743">
      <c r="A2" s="4170" t="n"/>
      <c r="B2" s="4553">
        <f>C7</f>
        <v/>
      </c>
      <c r="O2" s="4168" t="n"/>
      <c r="P2" s="4169" t="n"/>
      <c r="AS2" s="3743" t="n"/>
    </row>
    <row r="3" ht="11.25" customFormat="1" customHeight="1" s="3743">
      <c r="A3" s="4170" t="n"/>
      <c r="B3" s="4554" t="inlineStr">
        <is>
          <t>Source: TBD</t>
        </is>
      </c>
      <c r="O3" s="4168" t="n"/>
      <c r="P3" s="4169" t="n"/>
      <c r="AS3" s="3743" t="n"/>
    </row>
    <row r="4" ht="11.25" customFormat="1" customHeight="1" s="3743">
      <c r="A4" s="4170" t="n"/>
      <c r="B4" s="4555" t="inlineStr">
        <is>
          <t>WORKING DRAFT</t>
        </is>
      </c>
      <c r="I4" s="3900" t="n"/>
      <c r="J4" s="3900" t="n"/>
      <c r="K4" s="3900" t="n"/>
      <c r="L4" s="3900" t="n"/>
      <c r="M4" s="3900" t="n"/>
      <c r="N4" s="3900" t="n"/>
      <c r="O4" s="3900" t="n"/>
      <c r="P4" s="3900" t="n"/>
      <c r="Q4" s="3900" t="n"/>
      <c r="R4" s="3900" t="n"/>
      <c r="S4" s="3900" t="n"/>
      <c r="T4" s="3900" t="n"/>
      <c r="U4" s="3900" t="n"/>
      <c r="V4" s="3900" t="n"/>
      <c r="W4" s="3900" t="n"/>
      <c r="X4" s="3900" t="n"/>
      <c r="Y4" s="3900" t="n"/>
      <c r="Z4" s="3900" t="n"/>
      <c r="AA4" s="3900" t="n"/>
      <c r="AB4" s="3900" t="n"/>
      <c r="AC4" s="3900" t="n"/>
      <c r="AD4" s="3900" t="n"/>
      <c r="AE4" s="3900" t="n"/>
      <c r="AF4" s="3900" t="n"/>
      <c r="AG4" s="3900" t="n"/>
      <c r="AH4" s="3900" t="n"/>
      <c r="AI4" s="3900" t="n"/>
      <c r="AJ4" s="3900" t="n"/>
      <c r="AK4" s="3900" t="n"/>
      <c r="AL4" s="3900" t="n"/>
      <c r="AM4" s="3900" t="n"/>
      <c r="AN4" s="3900" t="n"/>
      <c r="AO4" s="3900" t="n"/>
      <c r="AP4" s="3900" t="n"/>
      <c r="AQ4" s="3900" t="n"/>
      <c r="AR4" s="3900" t="n"/>
      <c r="AS4" s="3900" t="n"/>
      <c r="AT4" s="3900" t="n"/>
      <c r="AU4" s="3900" t="n"/>
      <c r="AV4" s="3900" t="n"/>
      <c r="AW4" s="3900" t="n"/>
      <c r="BB4" s="3900" t="n"/>
    </row>
    <row r="5"/>
    <row r="6"/>
    <row r="7" ht="19.5" customFormat="1" customHeight="1" s="3737">
      <c r="A7" s="4059" t="n"/>
      <c r="B7" s="4060" t="n"/>
      <c r="C7" s="4063" t="inlineStr">
        <is>
          <t>Cash flow</t>
        </is>
      </c>
      <c r="D7" s="4063" t="n"/>
      <c r="E7" s="4063" t="n"/>
      <c r="F7" s="4064" t="n"/>
      <c r="G7" s="4064" t="n"/>
      <c r="H7" s="4064" t="n"/>
      <c r="I7" s="4064" t="n"/>
      <c r="J7" s="4064" t="n"/>
      <c r="K7" s="4064" t="n"/>
      <c r="L7" s="4064" t="n"/>
      <c r="M7" s="4064" t="n"/>
      <c r="N7" s="4064" t="n"/>
      <c r="O7" s="4064" t="n"/>
      <c r="P7" s="4064" t="n"/>
      <c r="Q7" s="4064" t="n"/>
      <c r="R7" s="4064" t="n"/>
      <c r="S7" s="4064" t="n"/>
      <c r="T7" s="4064" t="n"/>
      <c r="U7" s="4064" t="n"/>
      <c r="V7" s="4064" t="n"/>
      <c r="W7" s="4064" t="n"/>
      <c r="X7" s="4064" t="n"/>
      <c r="Y7" s="4064" t="n"/>
      <c r="Z7" s="4064" t="n"/>
      <c r="AA7" s="4064" t="n"/>
      <c r="AB7" s="4064" t="n"/>
      <c r="AC7" s="4064" t="n"/>
      <c r="AD7" s="4064" t="n"/>
      <c r="AE7" s="4064" t="n"/>
      <c r="AF7" s="4064" t="n"/>
      <c r="AG7" s="4064" t="n"/>
      <c r="AH7" s="4064" t="n"/>
      <c r="AI7" s="4064" t="n"/>
      <c r="AJ7" s="4064" t="n"/>
      <c r="AK7" s="4064" t="n"/>
      <c r="AL7" s="4064" t="n"/>
      <c r="AM7" s="4064" t="n"/>
      <c r="AN7" s="4064" t="n"/>
      <c r="AO7" s="4064" t="n"/>
      <c r="AP7" s="4064" t="n"/>
      <c r="AQ7" s="4064" t="n"/>
      <c r="AR7" s="4064" t="n"/>
      <c r="AS7" s="4064" t="n"/>
      <c r="AT7" s="4064" t="n"/>
      <c r="AU7" s="4064" t="n"/>
      <c r="AV7" s="4064" t="n"/>
      <c r="AW7" s="4064" t="n"/>
      <c r="AX7" s="4064" t="n"/>
      <c r="AY7" s="4064" t="n"/>
      <c r="AZ7" s="4064" t="n"/>
      <c r="BB7" s="4064" t="n"/>
    </row>
    <row r="8" ht="19.4" customHeight="1" s="3710">
      <c r="C8" s="4081" t="inlineStr">
        <is>
          <t>$'000</t>
        </is>
      </c>
      <c r="D8" s="4081" t="inlineStr">
        <is>
          <t>Code</t>
        </is>
      </c>
      <c r="E8" s="4081" t="inlineStr">
        <is>
          <t>Concatenate</t>
        </is>
      </c>
      <c r="F8" s="4082" t="n">
        <v>44197</v>
      </c>
      <c r="G8" s="4082">
        <f>EOMONTH(F8,1)</f>
        <v/>
      </c>
      <c r="H8" s="4082">
        <f>EOMONTH(G8,1)</f>
        <v/>
      </c>
      <c r="I8" s="4082">
        <f>EOMONTH(H8,1)</f>
        <v/>
      </c>
      <c r="J8" s="4082">
        <f>EOMONTH(I8,1)</f>
        <v/>
      </c>
      <c r="K8" s="4082">
        <f>EOMONTH(J8,1)</f>
        <v/>
      </c>
      <c r="L8" s="4082">
        <f>EOMONTH(K8,1)</f>
        <v/>
      </c>
      <c r="M8" s="4082">
        <f>EOMONTH(L8,1)</f>
        <v/>
      </c>
      <c r="N8" s="4082">
        <f>EOMONTH(M8,1)</f>
        <v/>
      </c>
      <c r="O8" s="4082">
        <f>EOMONTH(N8,1)</f>
        <v/>
      </c>
      <c r="P8" s="4082">
        <f>EOMONTH(O8,1)</f>
        <v/>
      </c>
      <c r="Q8" s="4083">
        <f>EOMONTH(P8,1)</f>
        <v/>
      </c>
      <c r="R8" s="4082">
        <f>EOMONTH(Q8,1)</f>
        <v/>
      </c>
      <c r="S8" s="4082">
        <f>EOMONTH(R8,1)</f>
        <v/>
      </c>
      <c r="T8" s="4082">
        <f>EOMONTH(S8,1)</f>
        <v/>
      </c>
      <c r="U8" s="4082">
        <f>EOMONTH(T8,1)</f>
        <v/>
      </c>
      <c r="V8" s="4082">
        <f>EOMONTH(U8,1)</f>
        <v/>
      </c>
      <c r="W8" s="4082">
        <f>EOMONTH(V8,1)</f>
        <v/>
      </c>
      <c r="X8" s="4082">
        <f>EOMONTH(W8,1)</f>
        <v/>
      </c>
      <c r="Y8" s="4082">
        <f>EOMONTH(X8,1)</f>
        <v/>
      </c>
      <c r="Z8" s="4082">
        <f>EOMONTH(Y8,1)</f>
        <v/>
      </c>
      <c r="AA8" s="4082">
        <f>EOMONTH(Z8,1)</f>
        <v/>
      </c>
      <c r="AB8" s="4082">
        <f>EOMONTH(AA8,1)</f>
        <v/>
      </c>
      <c r="AC8" s="4083">
        <f>EOMONTH(AB8,1)</f>
        <v/>
      </c>
      <c r="AD8" s="4082">
        <f>EOMONTH(AC8,1)</f>
        <v/>
      </c>
      <c r="AE8" s="4082">
        <f>EOMONTH(AD8,1)</f>
        <v/>
      </c>
      <c r="AF8" s="4082">
        <f>EOMONTH(AE8,1)</f>
        <v/>
      </c>
      <c r="AG8" s="4082">
        <f>EOMONTH(AF8,1)</f>
        <v/>
      </c>
      <c r="AH8" s="4082">
        <f>EOMONTH(AG8,1)</f>
        <v/>
      </c>
      <c r="AI8" s="4082">
        <f>EOMONTH(AH8,1)</f>
        <v/>
      </c>
      <c r="AJ8" s="4082">
        <f>EOMONTH(AI8,1)</f>
        <v/>
      </c>
      <c r="AK8" s="4082">
        <f>EOMONTH(AJ8,1)</f>
        <v/>
      </c>
      <c r="AL8" s="4082">
        <f>EOMONTH(AK8,1)</f>
        <v/>
      </c>
      <c r="AM8" s="4082">
        <f>EOMONTH(AL8,1)</f>
        <v/>
      </c>
      <c r="AN8" s="4082">
        <f>EOMONTH(AM8,1)</f>
        <v/>
      </c>
      <c r="AO8" s="4083">
        <f>EOMONTH(AN8,1)</f>
        <v/>
      </c>
      <c r="AP8" s="4082">
        <f>EOMONTH(AO8,1)</f>
        <v/>
      </c>
      <c r="AQ8" s="4082">
        <f>EOMONTH(AP8,1)</f>
        <v/>
      </c>
      <c r="AR8" s="4082">
        <f>EOMONTH(AQ8,1)</f>
        <v/>
      </c>
      <c r="AS8" s="4082">
        <f>EOMONTH(AR8,1)</f>
        <v/>
      </c>
      <c r="AT8" s="4082">
        <f>EOMONTH(AS8,1)</f>
        <v/>
      </c>
      <c r="AU8" s="4083">
        <f>EOMONTH(AT8,1)</f>
        <v/>
      </c>
      <c r="AV8" s="4083" t="inlineStr">
        <is>
          <t>FY21</t>
        </is>
      </c>
      <c r="AW8" s="4082" t="inlineStr">
        <is>
          <t>FY22</t>
        </is>
      </c>
      <c r="AX8" s="4084" t="inlineStr">
        <is>
          <t>FY23</t>
        </is>
      </c>
      <c r="AY8" s="4240" t="inlineStr">
        <is>
          <t>TTM
Apr-24</t>
        </is>
      </c>
      <c r="AZ8" s="4241" t="inlineStr">
        <is>
          <t>TTM
Jun-24</t>
        </is>
      </c>
      <c r="BB8" s="4082" t="inlineStr">
        <is>
          <t>FY21</t>
        </is>
      </c>
    </row>
    <row r="9" hidden="1" outlineLevel="1" ht="12" customHeight="1" s="3710">
      <c r="C9" s="4242" t="inlineStr">
        <is>
          <t>Operating</t>
        </is>
      </c>
      <c r="D9" s="4242" t="n"/>
      <c r="E9" s="4242" t="n"/>
      <c r="F9" s="4158" t="n"/>
      <c r="G9" s="4158" t="n"/>
      <c r="H9" s="4158" t="n"/>
      <c r="I9" s="4158" t="n"/>
      <c r="J9" s="4158" t="n"/>
      <c r="K9" s="4158" t="n"/>
      <c r="L9" s="4158" t="n"/>
      <c r="M9" s="4158" t="n"/>
      <c r="N9" s="4158" t="n"/>
      <c r="O9" s="4158" t="n"/>
      <c r="P9" s="4158" t="n"/>
      <c r="Q9" s="4159" t="n"/>
      <c r="R9" s="4158" t="n"/>
      <c r="S9" s="4158" t="n"/>
      <c r="T9" s="4158" t="n"/>
      <c r="U9" s="4158" t="n"/>
      <c r="V9" s="4158" t="n"/>
      <c r="W9" s="4158" t="n"/>
      <c r="X9" s="4158" t="n"/>
      <c r="Y9" s="4158" t="n"/>
      <c r="Z9" s="4158" t="n"/>
      <c r="AA9" s="4158" t="n"/>
      <c r="AB9" s="4158" t="n"/>
      <c r="AC9" s="4159" t="n"/>
      <c r="AD9" s="4158" t="n"/>
      <c r="AE9" s="4158" t="n"/>
      <c r="AF9" s="4158" t="n"/>
      <c r="AG9" s="4158" t="n"/>
      <c r="AH9" s="4158" t="n"/>
      <c r="AI9" s="4158" t="n"/>
      <c r="AJ9" s="4158" t="n"/>
      <c r="AK9" s="4158" t="n"/>
      <c r="AL9" s="4158" t="n"/>
      <c r="AM9" s="4158" t="n"/>
      <c r="AN9" s="4158" t="n"/>
      <c r="AO9" s="4159" t="n"/>
      <c r="AP9" s="4158" t="n"/>
      <c r="AQ9" s="4158" t="n"/>
      <c r="AR9" s="4158" t="n"/>
      <c r="AS9" s="4158" t="n"/>
      <c r="AT9" s="4158" t="n"/>
      <c r="AU9" s="4160" t="n"/>
      <c r="AV9" s="4158" t="n"/>
      <c r="AW9" s="4158" t="n"/>
      <c r="AX9" s="4158" t="n"/>
      <c r="AY9" s="4158" t="n"/>
      <c r="AZ9" s="4158" t="n"/>
      <c r="BB9" s="4158" t="n"/>
    </row>
    <row r="10" hidden="1" outlineLevel="1" ht="12" customHeight="1" s="3710">
      <c r="C10" s="4108" t="inlineStr">
        <is>
          <t>Net income</t>
        </is>
      </c>
      <c r="D10" s="4108" t="n"/>
      <c r="E10" s="4108" t="n"/>
      <c r="F10" s="4243" t="n"/>
      <c r="G10" s="4094" t="n"/>
      <c r="H10" s="4094" t="n"/>
      <c r="I10" s="4094" t="n"/>
      <c r="J10" s="4094" t="n"/>
      <c r="K10" s="4094" t="n"/>
      <c r="L10" s="4094" t="n"/>
      <c r="M10" s="4094" t="n"/>
      <c r="N10" s="4094" t="n"/>
      <c r="O10" s="4094" t="n"/>
      <c r="P10" s="4094" t="n"/>
      <c r="Q10" s="4095" t="n"/>
      <c r="R10" s="4094" t="n"/>
      <c r="S10" s="4094" t="n"/>
      <c r="T10" s="4094" t="n"/>
      <c r="U10" s="4094" t="n"/>
      <c r="V10" s="4094" t="n"/>
      <c r="W10" s="4094" t="n"/>
      <c r="X10" s="4094" t="n"/>
      <c r="Y10" s="4094" t="n"/>
      <c r="Z10" s="4094" t="n"/>
      <c r="AA10" s="4094" t="n"/>
      <c r="AB10" s="4094" t="n"/>
      <c r="AC10" s="4095" t="n"/>
      <c r="AD10" s="4094" t="n"/>
      <c r="AE10" s="4094" t="n"/>
      <c r="AF10" s="4094" t="n"/>
      <c r="AG10" s="4094" t="n"/>
      <c r="AH10" s="4094" t="n"/>
      <c r="AI10" s="4094" t="n"/>
      <c r="AJ10" s="4094" t="n"/>
      <c r="AK10" s="4094" t="n"/>
      <c r="AL10" s="4094" t="n"/>
      <c r="AM10" s="4094" t="n"/>
      <c r="AN10" s="4094" t="n"/>
      <c r="AO10" s="4095" t="n"/>
      <c r="AP10" s="4094" t="n"/>
      <c r="AQ10" s="4094" t="n"/>
      <c r="AR10" s="4094" t="n"/>
      <c r="AS10" s="4094" t="n"/>
      <c r="AT10" s="4094" t="n"/>
      <c r="AU10" s="4096" t="n"/>
      <c r="AV10" s="4094" t="n"/>
      <c r="AW10" s="4094" t="n"/>
      <c r="AX10" s="4094" t="n"/>
      <c r="AY10" s="4094" t="n"/>
      <c r="AZ10" s="4094" t="n"/>
      <c r="BA10" s="3737" t="n"/>
      <c r="BB10" s="4094" t="n"/>
    </row>
    <row r="11" hidden="1" outlineLevel="4" ht="12" customHeight="1" s="3710">
      <c r="C11" s="4140" t="inlineStr">
        <is>
          <t>Depreciation - software</t>
        </is>
      </c>
      <c r="D11" s="4108" t="n">
        <v>707101</v>
      </c>
      <c r="E11" s="4108" t="inlineStr">
        <is>
          <t>707101 - Depreciation - software</t>
        </is>
      </c>
      <c r="F11" s="4243" t="n"/>
      <c r="G11" s="4094" t="n"/>
      <c r="H11" s="4094" t="n"/>
      <c r="I11" s="4094" t="n"/>
      <c r="J11" s="4094" t="n"/>
      <c r="K11" s="4094" t="n"/>
      <c r="L11" s="4094" t="n"/>
      <c r="M11" s="4094" t="n"/>
      <c r="N11" s="4094" t="n"/>
      <c r="O11" s="4094" t="n"/>
      <c r="P11" s="4094" t="n"/>
      <c r="Q11" s="4095" t="n"/>
      <c r="R11" s="4094" t="n"/>
      <c r="S11" s="4094" t="n"/>
      <c r="T11" s="4094" t="n"/>
      <c r="U11" s="4094" t="n"/>
      <c r="V11" s="4094" t="n"/>
      <c r="W11" s="4094" t="n"/>
      <c r="X11" s="4094" t="n"/>
      <c r="Y11" s="4094" t="n"/>
      <c r="Z11" s="4094" t="n"/>
      <c r="AA11" s="4094" t="n"/>
      <c r="AB11" s="4094" t="n"/>
      <c r="AC11" s="4095" t="n"/>
      <c r="AD11" s="4094" t="n"/>
      <c r="AE11" s="4094" t="n"/>
      <c r="AF11" s="4094" t="n"/>
      <c r="AG11" s="4094" t="n"/>
      <c r="AH11" s="4094" t="n"/>
      <c r="AI11" s="4094" t="n"/>
      <c r="AJ11" s="4094" t="n"/>
      <c r="AK11" s="4094" t="n"/>
      <c r="AL11" s="4094" t="n"/>
      <c r="AM11" s="4094" t="n"/>
      <c r="AN11" s="4094" t="n"/>
      <c r="AO11" s="4095" t="n"/>
      <c r="AP11" s="4094" t="n"/>
      <c r="AQ11" s="4094" t="n"/>
      <c r="AR11" s="4094" t="n"/>
      <c r="AS11" s="4094" t="n"/>
      <c r="AT11" s="4094" t="n"/>
      <c r="AU11" s="4096" t="n"/>
      <c r="AV11" s="4094" t="n"/>
      <c r="AW11" s="4094" t="n"/>
      <c r="AX11" s="4094" t="n"/>
      <c r="AY11" s="4094" t="n"/>
      <c r="AZ11" s="4094" t="n"/>
      <c r="BA11" s="3737" t="n"/>
      <c r="BB11" s="4094" t="n"/>
    </row>
    <row r="12" hidden="1" outlineLevel="4" ht="12" customHeight="1" s="3710">
      <c r="C12" s="4139" t="inlineStr">
        <is>
          <t>Depreciation - system software- infrastructure</t>
        </is>
      </c>
      <c r="D12" s="4150" t="n">
        <v>707121</v>
      </c>
      <c r="E12" s="4150" t="inlineStr">
        <is>
          <t>707121 - Depreciation - system software- infrastructure</t>
        </is>
      </c>
      <c r="F12" s="4244" t="n"/>
      <c r="G12" s="4102" t="n"/>
      <c r="H12" s="4102" t="n"/>
      <c r="I12" s="4102" t="n"/>
      <c r="J12" s="4102" t="n"/>
      <c r="K12" s="4102" t="n"/>
      <c r="L12" s="4102" t="n"/>
      <c r="M12" s="4102" t="n"/>
      <c r="N12" s="4102" t="n"/>
      <c r="O12" s="4102" t="n"/>
      <c r="P12" s="4102" t="n"/>
      <c r="Q12" s="4103" t="n"/>
      <c r="R12" s="4102" t="n"/>
      <c r="S12" s="4102" t="n"/>
      <c r="T12" s="4102" t="n"/>
      <c r="U12" s="4102" t="n"/>
      <c r="V12" s="4102" t="n"/>
      <c r="W12" s="4102" t="n"/>
      <c r="X12" s="4102" t="n"/>
      <c r="Y12" s="4102" t="n"/>
      <c r="Z12" s="4102" t="n"/>
      <c r="AA12" s="4102" t="n"/>
      <c r="AB12" s="4102" t="n"/>
      <c r="AC12" s="4103" t="n"/>
      <c r="AD12" s="4102" t="n"/>
      <c r="AE12" s="4102" t="n"/>
      <c r="AF12" s="4102" t="n"/>
      <c r="AG12" s="4102" t="n"/>
      <c r="AH12" s="4102" t="n"/>
      <c r="AI12" s="4102" t="n"/>
      <c r="AJ12" s="4102" t="n"/>
      <c r="AK12" s="4102" t="n"/>
      <c r="AL12" s="4102" t="n"/>
      <c r="AM12" s="4102" t="n"/>
      <c r="AN12" s="4102" t="n"/>
      <c r="AO12" s="4103" t="n"/>
      <c r="AP12" s="4102" t="n"/>
      <c r="AQ12" s="4102" t="n"/>
      <c r="AR12" s="4102" t="n"/>
      <c r="AS12" s="4102" t="n"/>
      <c r="AT12" s="4102" t="n"/>
      <c r="AU12" s="4104" t="n"/>
      <c r="AV12" s="4102" t="n"/>
      <c r="AW12" s="4102" t="n"/>
      <c r="AX12" s="4102" t="n"/>
      <c r="AY12" s="4102" t="n"/>
      <c r="AZ12" s="4102" t="n"/>
      <c r="BA12" s="3737" t="n"/>
      <c r="BB12" s="4102" t="n"/>
    </row>
    <row r="13" hidden="1" outlineLevel="3" collapsed="1" ht="12" customHeight="1" s="3710">
      <c r="C13" s="4127" t="inlineStr">
        <is>
          <t>Amortization expense-software</t>
        </is>
      </c>
      <c r="D13" s="4108" t="n"/>
      <c r="E13" s="4108" t="n"/>
      <c r="F13" s="4243" t="n"/>
      <c r="G13" s="4094" t="n"/>
      <c r="H13" s="4094" t="n"/>
      <c r="I13" s="4094" t="n"/>
      <c r="J13" s="4094" t="n"/>
      <c r="K13" s="4094" t="n"/>
      <c r="L13" s="4094" t="n"/>
      <c r="M13" s="4094" t="n"/>
      <c r="N13" s="4094" t="n"/>
      <c r="O13" s="4094" t="n"/>
      <c r="P13" s="4094" t="n"/>
      <c r="Q13" s="4095" t="n"/>
      <c r="R13" s="4094" t="n"/>
      <c r="S13" s="4094" t="n"/>
      <c r="T13" s="4094" t="n"/>
      <c r="U13" s="4094" t="n"/>
      <c r="V13" s="4094" t="n"/>
      <c r="W13" s="4094" t="n"/>
      <c r="X13" s="4094" t="n"/>
      <c r="Y13" s="4094" t="n"/>
      <c r="Z13" s="4094" t="n"/>
      <c r="AA13" s="4094" t="n"/>
      <c r="AB13" s="4094" t="n"/>
      <c r="AC13" s="4095" t="n"/>
      <c r="AD13" s="4094" t="n"/>
      <c r="AE13" s="4094" t="n"/>
      <c r="AF13" s="4094" t="n"/>
      <c r="AG13" s="4094" t="n"/>
      <c r="AH13" s="4094" t="n"/>
      <c r="AI13" s="4094" t="n"/>
      <c r="AJ13" s="4094" t="n"/>
      <c r="AK13" s="4094" t="n"/>
      <c r="AL13" s="4094" t="n"/>
      <c r="AM13" s="4094" t="n"/>
      <c r="AN13" s="4094" t="n"/>
      <c r="AO13" s="4095" t="n"/>
      <c r="AP13" s="4094" t="n"/>
      <c r="AQ13" s="4094" t="n"/>
      <c r="AR13" s="4094" t="n"/>
      <c r="AS13" s="4094" t="n"/>
      <c r="AT13" s="4094" t="n"/>
      <c r="AU13" s="4096" t="n"/>
      <c r="AV13" s="4094" t="n"/>
      <c r="AW13" s="4094" t="n"/>
      <c r="AX13" s="4094" t="n"/>
      <c r="AY13" s="4094" t="n"/>
      <c r="AZ13" s="4094" t="n"/>
      <c r="BA13" s="3737" t="n"/>
      <c r="BB13" s="4094" t="n"/>
    </row>
    <row r="14" hidden="1" outlineLevel="4" ht="12" customHeight="1" s="3710">
      <c r="C14" s="4139" t="inlineStr">
        <is>
          <t>Amortization expense - idsw</t>
        </is>
      </c>
      <c r="D14" s="4150" t="n">
        <v>708201</v>
      </c>
      <c r="E14" s="4150" t="inlineStr">
        <is>
          <t>708201 - Amortization expense - idsw</t>
        </is>
      </c>
      <c r="F14" s="4244" t="n"/>
      <c r="G14" s="4102" t="n"/>
      <c r="H14" s="4102" t="n"/>
      <c r="I14" s="4102" t="n"/>
      <c r="J14" s="4102" t="n"/>
      <c r="K14" s="4102" t="n"/>
      <c r="L14" s="4102" t="n"/>
      <c r="M14" s="4102" t="n"/>
      <c r="N14" s="4102" t="n"/>
      <c r="O14" s="4102" t="n"/>
      <c r="P14" s="4102" t="n"/>
      <c r="Q14" s="4103" t="n"/>
      <c r="R14" s="4102" t="n"/>
      <c r="S14" s="4102" t="n"/>
      <c r="T14" s="4102" t="n"/>
      <c r="U14" s="4102" t="n"/>
      <c r="V14" s="4102" t="n"/>
      <c r="W14" s="4102" t="n"/>
      <c r="X14" s="4102" t="n"/>
      <c r="Y14" s="4102" t="n"/>
      <c r="Z14" s="4102" t="n"/>
      <c r="AA14" s="4102" t="n"/>
      <c r="AB14" s="4102" t="n"/>
      <c r="AC14" s="4103" t="n"/>
      <c r="AD14" s="4102" t="n"/>
      <c r="AE14" s="4102" t="n"/>
      <c r="AF14" s="4102" t="n"/>
      <c r="AG14" s="4102" t="n"/>
      <c r="AH14" s="4102" t="n"/>
      <c r="AI14" s="4102" t="n"/>
      <c r="AJ14" s="4102" t="n"/>
      <c r="AK14" s="4102" t="n"/>
      <c r="AL14" s="4102" t="n"/>
      <c r="AM14" s="4102" t="n"/>
      <c r="AN14" s="4102" t="n"/>
      <c r="AO14" s="4103" t="n"/>
      <c r="AP14" s="4102" t="n"/>
      <c r="AQ14" s="4102" t="n"/>
      <c r="AR14" s="4102" t="n"/>
      <c r="AS14" s="4102" t="n"/>
      <c r="AT14" s="4102" t="n"/>
      <c r="AU14" s="4104" t="n"/>
      <c r="AV14" s="4102" t="n"/>
      <c r="AW14" s="4102" t="n"/>
      <c r="AX14" s="4102" t="n"/>
      <c r="AY14" s="4102" t="n"/>
      <c r="AZ14" s="4102" t="n"/>
      <c r="BA14" s="3737" t="n"/>
      <c r="BB14" s="4102" t="n"/>
    </row>
    <row r="15" hidden="1" outlineLevel="3" collapsed="1" ht="12" customHeight="1" s="3710">
      <c r="C15" s="4127" t="inlineStr">
        <is>
          <t>Amortization expense - internal development</t>
        </is>
      </c>
      <c r="D15" s="4108" t="n"/>
      <c r="E15" s="4108" t="n"/>
      <c r="F15" s="4243" t="n"/>
      <c r="G15" s="4094" t="n"/>
      <c r="H15" s="4094" t="n"/>
      <c r="I15" s="4094" t="n"/>
      <c r="J15" s="4094" t="n"/>
      <c r="K15" s="4094" t="n"/>
      <c r="L15" s="4094" t="n"/>
      <c r="M15" s="4094" t="n"/>
      <c r="N15" s="4094" t="n"/>
      <c r="O15" s="4094" t="n"/>
      <c r="P15" s="4094" t="n"/>
      <c r="Q15" s="4095" t="n"/>
      <c r="R15" s="4094" t="n"/>
      <c r="S15" s="4094" t="n"/>
      <c r="T15" s="4094" t="n"/>
      <c r="U15" s="4094" t="n"/>
      <c r="V15" s="4094" t="n"/>
      <c r="W15" s="4094" t="n"/>
      <c r="X15" s="4094" t="n"/>
      <c r="Y15" s="4094" t="n"/>
      <c r="Z15" s="4094" t="n"/>
      <c r="AA15" s="4094" t="n"/>
      <c r="AB15" s="4094" t="n"/>
      <c r="AC15" s="4095" t="n"/>
      <c r="AD15" s="4094" t="n"/>
      <c r="AE15" s="4094" t="n"/>
      <c r="AF15" s="4094" t="n"/>
      <c r="AG15" s="4094" t="n"/>
      <c r="AH15" s="4094" t="n"/>
      <c r="AI15" s="4094" t="n"/>
      <c r="AJ15" s="4094" t="n"/>
      <c r="AK15" s="4094" t="n"/>
      <c r="AL15" s="4094" t="n"/>
      <c r="AM15" s="4094" t="n"/>
      <c r="AN15" s="4094" t="n"/>
      <c r="AO15" s="4095" t="n"/>
      <c r="AP15" s="4094" t="n"/>
      <c r="AQ15" s="4094" t="n"/>
      <c r="AR15" s="4094" t="n"/>
      <c r="AS15" s="4094" t="n"/>
      <c r="AT15" s="4094" t="n"/>
      <c r="AU15" s="4096" t="n"/>
      <c r="AV15" s="4094" t="n"/>
      <c r="AW15" s="4094" t="n"/>
      <c r="AX15" s="4094" t="n"/>
      <c r="AY15" s="4094" t="n"/>
      <c r="AZ15" s="4094" t="n"/>
      <c r="BA15" s="3737" t="n"/>
      <c r="BB15" s="4094" t="n"/>
    </row>
    <row r="16" hidden="1" outlineLevel="4" ht="12" customHeight="1" s="3710">
      <c r="C16" s="4140" t="inlineStr">
        <is>
          <t>Depreciation - leasehold imp</t>
        </is>
      </c>
      <c r="D16" s="4108" t="n">
        <v>705401</v>
      </c>
      <c r="E16" s="4108" t="inlineStr">
        <is>
          <t>705401 - Depreciation - leasehold imp</t>
        </is>
      </c>
      <c r="F16" s="4243" t="n"/>
      <c r="G16" s="4094" t="n"/>
      <c r="H16" s="4094" t="n"/>
      <c r="I16" s="4094" t="n"/>
      <c r="J16" s="4094" t="n"/>
      <c r="K16" s="4094" t="n"/>
      <c r="L16" s="4094" t="n"/>
      <c r="M16" s="4094" t="n"/>
      <c r="N16" s="4094" t="n"/>
      <c r="O16" s="4094" t="n"/>
      <c r="P16" s="4094" t="n"/>
      <c r="Q16" s="4095" t="n"/>
      <c r="R16" s="4094" t="n"/>
      <c r="S16" s="4094" t="n"/>
      <c r="T16" s="4094" t="n"/>
      <c r="U16" s="4094" t="n"/>
      <c r="V16" s="4094" t="n"/>
      <c r="W16" s="4094" t="n"/>
      <c r="X16" s="4094" t="n"/>
      <c r="Y16" s="4094" t="n"/>
      <c r="Z16" s="4094" t="n"/>
      <c r="AA16" s="4094" t="n"/>
      <c r="AB16" s="4094" t="n"/>
      <c r="AC16" s="4095" t="n"/>
      <c r="AD16" s="4094" t="n"/>
      <c r="AE16" s="4094" t="n"/>
      <c r="AF16" s="4094" t="n"/>
      <c r="AG16" s="4094" t="n"/>
      <c r="AH16" s="4094" t="n"/>
      <c r="AI16" s="4094" t="n"/>
      <c r="AJ16" s="4094" t="n"/>
      <c r="AK16" s="4094" t="n"/>
      <c r="AL16" s="4094" t="n"/>
      <c r="AM16" s="4094" t="n"/>
      <c r="AN16" s="4094" t="n"/>
      <c r="AO16" s="4095" t="n"/>
      <c r="AP16" s="4094" t="n"/>
      <c r="AQ16" s="4094" t="n"/>
      <c r="AR16" s="4094" t="n"/>
      <c r="AS16" s="4094" t="n"/>
      <c r="AT16" s="4094" t="n"/>
      <c r="AU16" s="4096" t="n"/>
      <c r="AV16" s="4094" t="n"/>
      <c r="AW16" s="4094" t="n"/>
      <c r="AX16" s="4094" t="n"/>
      <c r="AY16" s="4094" t="n"/>
      <c r="AZ16" s="4094" t="n"/>
      <c r="BA16" s="3737" t="n"/>
      <c r="BB16" s="4094" t="n"/>
    </row>
    <row r="17" hidden="1" outlineLevel="4" ht="12" customHeight="1" s="3710">
      <c r="C17" s="4140" t="inlineStr">
        <is>
          <t>Depreciation - furniture and fixtures</t>
        </is>
      </c>
      <c r="D17" s="4108" t="n">
        <v>705501</v>
      </c>
      <c r="E17" s="4108" t="inlineStr">
        <is>
          <t>705501 - Depreciation - furniture and fixtures</t>
        </is>
      </c>
      <c r="F17" s="4243" t="n"/>
      <c r="G17" s="4094" t="n"/>
      <c r="H17" s="4094" t="n"/>
      <c r="I17" s="4094" t="n"/>
      <c r="J17" s="4094" t="n"/>
      <c r="K17" s="4094" t="n"/>
      <c r="L17" s="4094" t="n"/>
      <c r="M17" s="4094" t="n"/>
      <c r="N17" s="4094" t="n"/>
      <c r="O17" s="4094" t="n"/>
      <c r="P17" s="4094" t="n"/>
      <c r="Q17" s="4095" t="n"/>
      <c r="R17" s="4094" t="n"/>
      <c r="S17" s="4094" t="n"/>
      <c r="T17" s="4094" t="n"/>
      <c r="U17" s="4094" t="n"/>
      <c r="V17" s="4094" t="n"/>
      <c r="W17" s="4094" t="n"/>
      <c r="X17" s="4094" t="n"/>
      <c r="Y17" s="4094" t="n"/>
      <c r="Z17" s="4094" t="n"/>
      <c r="AA17" s="4094" t="n"/>
      <c r="AB17" s="4094" t="n"/>
      <c r="AC17" s="4095" t="n"/>
      <c r="AD17" s="4094" t="n"/>
      <c r="AE17" s="4094" t="n"/>
      <c r="AF17" s="4094" t="n"/>
      <c r="AG17" s="4094" t="n"/>
      <c r="AH17" s="4094" t="n"/>
      <c r="AI17" s="4094" t="n"/>
      <c r="AJ17" s="4094" t="n"/>
      <c r="AK17" s="4094" t="n"/>
      <c r="AL17" s="4094" t="n"/>
      <c r="AM17" s="4094" t="n"/>
      <c r="AN17" s="4094" t="n"/>
      <c r="AO17" s="4095" t="n"/>
      <c r="AP17" s="4094" t="n"/>
      <c r="AQ17" s="4094" t="n"/>
      <c r="AR17" s="4094" t="n"/>
      <c r="AS17" s="4094" t="n"/>
      <c r="AT17" s="4094" t="n"/>
      <c r="AU17" s="4096" t="n"/>
      <c r="AV17" s="4094" t="n"/>
      <c r="AW17" s="4094" t="n"/>
      <c r="AX17" s="4094" t="n"/>
      <c r="AY17" s="4094" t="n"/>
      <c r="AZ17" s="4094" t="n"/>
      <c r="BA17" s="3737" t="n"/>
      <c r="BB17" s="4094" t="n"/>
    </row>
    <row r="18" hidden="1" outlineLevel="4" ht="12" customHeight="1" s="3710">
      <c r="C18" s="4140" t="inlineStr">
        <is>
          <t>Depreciation - office equipment</t>
        </is>
      </c>
      <c r="D18" s="4108" t="n">
        <v>705601</v>
      </c>
      <c r="E18" s="4108" t="inlineStr">
        <is>
          <t>705601 - Depreciation - office equipment</t>
        </is>
      </c>
      <c r="F18" s="4243" t="n"/>
      <c r="G18" s="4094" t="n"/>
      <c r="H18" s="4094" t="n"/>
      <c r="I18" s="4094" t="n"/>
      <c r="J18" s="4094" t="n"/>
      <c r="K18" s="4094" t="n"/>
      <c r="L18" s="4094" t="n"/>
      <c r="M18" s="4094" t="n"/>
      <c r="N18" s="4094" t="n"/>
      <c r="O18" s="4094" t="n"/>
      <c r="P18" s="4094" t="n"/>
      <c r="Q18" s="4095" t="n"/>
      <c r="R18" s="4094" t="n"/>
      <c r="S18" s="4094" t="n"/>
      <c r="T18" s="4094" t="n"/>
      <c r="U18" s="4094" t="n"/>
      <c r="V18" s="4094" t="n"/>
      <c r="W18" s="4094" t="n"/>
      <c r="X18" s="4094" t="n"/>
      <c r="Y18" s="4094" t="n"/>
      <c r="Z18" s="4094" t="n"/>
      <c r="AA18" s="4094" t="n"/>
      <c r="AB18" s="4094" t="n"/>
      <c r="AC18" s="4095" t="n"/>
      <c r="AD18" s="4094" t="n"/>
      <c r="AE18" s="4094" t="n"/>
      <c r="AF18" s="4094" t="n"/>
      <c r="AG18" s="4094" t="n"/>
      <c r="AH18" s="4094" t="n"/>
      <c r="AI18" s="4094" t="n"/>
      <c r="AJ18" s="4094" t="n"/>
      <c r="AK18" s="4094" t="n"/>
      <c r="AL18" s="4094" t="n"/>
      <c r="AM18" s="4094" t="n"/>
      <c r="AN18" s="4094" t="n"/>
      <c r="AO18" s="4095" t="n"/>
      <c r="AP18" s="4094" t="n"/>
      <c r="AQ18" s="4094" t="n"/>
      <c r="AR18" s="4094" t="n"/>
      <c r="AS18" s="4094" t="n"/>
      <c r="AT18" s="4094" t="n"/>
      <c r="AU18" s="4096" t="n"/>
      <c r="AV18" s="4094" t="n"/>
      <c r="AW18" s="4094" t="n"/>
      <c r="AX18" s="4094" t="n"/>
      <c r="AY18" s="4094" t="n"/>
      <c r="AZ18" s="4094" t="n"/>
      <c r="BA18" s="3737" t="n"/>
      <c r="BB18" s="4094" t="n"/>
    </row>
    <row r="19" hidden="1" outlineLevel="4" ht="12" customHeight="1" s="3710">
      <c r="C19" s="4140" t="inlineStr">
        <is>
          <t>Depreciation - data processing equipment</t>
        </is>
      </c>
      <c r="D19" s="4108" t="n">
        <v>705701</v>
      </c>
      <c r="E19" s="4108" t="inlineStr">
        <is>
          <t>705701 - Depreciation - data processing equipment</t>
        </is>
      </c>
      <c r="F19" s="4243" t="n"/>
      <c r="G19" s="4094" t="n"/>
      <c r="H19" s="4094" t="n"/>
      <c r="I19" s="4094" t="n"/>
      <c r="J19" s="4094" t="n"/>
      <c r="K19" s="4094" t="n"/>
      <c r="L19" s="4094" t="n"/>
      <c r="M19" s="4094" t="n"/>
      <c r="N19" s="4094" t="n"/>
      <c r="O19" s="4094" t="n"/>
      <c r="P19" s="4094" t="n"/>
      <c r="Q19" s="4095" t="n"/>
      <c r="R19" s="4094" t="n"/>
      <c r="S19" s="4094" t="n"/>
      <c r="T19" s="4094" t="n"/>
      <c r="U19" s="4094" t="n"/>
      <c r="V19" s="4094" t="n"/>
      <c r="W19" s="4094" t="n"/>
      <c r="X19" s="4094" t="n"/>
      <c r="Y19" s="4094" t="n"/>
      <c r="Z19" s="4094" t="n"/>
      <c r="AA19" s="4094" t="n"/>
      <c r="AB19" s="4094" t="n"/>
      <c r="AC19" s="4095" t="n"/>
      <c r="AD19" s="4094" t="n"/>
      <c r="AE19" s="4094" t="n"/>
      <c r="AF19" s="4094" t="n"/>
      <c r="AG19" s="4094" t="n"/>
      <c r="AH19" s="4094" t="n"/>
      <c r="AI19" s="4094" t="n"/>
      <c r="AJ19" s="4094" t="n"/>
      <c r="AK19" s="4094" t="n"/>
      <c r="AL19" s="4094" t="n"/>
      <c r="AM19" s="4094" t="n"/>
      <c r="AN19" s="4094" t="n"/>
      <c r="AO19" s="4095" t="n"/>
      <c r="AP19" s="4094" t="n"/>
      <c r="AQ19" s="4094" t="n"/>
      <c r="AR19" s="4094" t="n"/>
      <c r="AS19" s="4094" t="n"/>
      <c r="AT19" s="4094" t="n"/>
      <c r="AU19" s="4096" t="n"/>
      <c r="AV19" s="4094" t="n"/>
      <c r="AW19" s="4094" t="n"/>
      <c r="AX19" s="4094" t="n"/>
      <c r="AY19" s="4094" t="n"/>
      <c r="AZ19" s="4094" t="n"/>
      <c r="BA19" s="3737" t="n"/>
      <c r="BB19" s="4094" t="n"/>
    </row>
    <row r="20" hidden="1" outlineLevel="4" ht="12" customHeight="1" s="3710">
      <c r="C20" s="4140" t="inlineStr">
        <is>
          <t>Depreciation - network equipment</t>
        </is>
      </c>
      <c r="D20" s="4108" t="n">
        <v>705820</v>
      </c>
      <c r="E20" s="4108" t="inlineStr">
        <is>
          <t>705820 - Depreciation - network equipment</t>
        </is>
      </c>
      <c r="F20" s="4243" t="n"/>
      <c r="G20" s="4094" t="n"/>
      <c r="H20" s="4094" t="n"/>
      <c r="I20" s="4094" t="n"/>
      <c r="J20" s="4094" t="n"/>
      <c r="K20" s="4094" t="n"/>
      <c r="L20" s="4094" t="n"/>
      <c r="M20" s="4094" t="n"/>
      <c r="N20" s="4094" t="n"/>
      <c r="O20" s="4094" t="n"/>
      <c r="P20" s="4094" t="n"/>
      <c r="Q20" s="4095" t="n"/>
      <c r="R20" s="4094" t="n"/>
      <c r="S20" s="4094" t="n"/>
      <c r="T20" s="4094" t="n"/>
      <c r="U20" s="4094" t="n"/>
      <c r="V20" s="4094" t="n"/>
      <c r="W20" s="4094" t="n"/>
      <c r="X20" s="4094" t="n"/>
      <c r="Y20" s="4094" t="n"/>
      <c r="Z20" s="4094" t="n"/>
      <c r="AA20" s="4094" t="n"/>
      <c r="AB20" s="4094" t="n"/>
      <c r="AC20" s="4095" t="n"/>
      <c r="AD20" s="4094" t="n"/>
      <c r="AE20" s="4094" t="n"/>
      <c r="AF20" s="4094" t="n"/>
      <c r="AG20" s="4094" t="n"/>
      <c r="AH20" s="4094" t="n"/>
      <c r="AI20" s="4094" t="n"/>
      <c r="AJ20" s="4094" t="n"/>
      <c r="AK20" s="4094" t="n"/>
      <c r="AL20" s="4094" t="n"/>
      <c r="AM20" s="4094" t="n"/>
      <c r="AN20" s="4094" t="n"/>
      <c r="AO20" s="4095" t="n"/>
      <c r="AP20" s="4094" t="n"/>
      <c r="AQ20" s="4094" t="n"/>
      <c r="AR20" s="4094" t="n"/>
      <c r="AS20" s="4094" t="n"/>
      <c r="AT20" s="4094" t="n"/>
      <c r="AU20" s="4096" t="n"/>
      <c r="AV20" s="4094" t="n"/>
      <c r="AW20" s="4094" t="n"/>
      <c r="AX20" s="4094" t="n"/>
      <c r="AY20" s="4094" t="n"/>
      <c r="AZ20" s="4094" t="n"/>
      <c r="BA20" s="3737" t="n"/>
      <c r="BB20" s="4094" t="n"/>
    </row>
    <row r="21" hidden="1" outlineLevel="4" ht="12" customHeight="1" s="3710">
      <c r="C21" s="4140" t="inlineStr">
        <is>
          <t>Depreciation - capitalized hw implementation</t>
        </is>
      </c>
      <c r="D21" s="4108" t="n">
        <v>705901</v>
      </c>
      <c r="E21" s="4108" t="inlineStr">
        <is>
          <t>705901 - Depreciation - capitalized hw implementation</t>
        </is>
      </c>
      <c r="F21" s="4243" t="n"/>
      <c r="G21" s="4094" t="n"/>
      <c r="H21" s="4094" t="n"/>
      <c r="I21" s="4094" t="n"/>
      <c r="J21" s="4094" t="n"/>
      <c r="K21" s="4094" t="n"/>
      <c r="L21" s="4094" t="n"/>
      <c r="M21" s="4094" t="n"/>
      <c r="N21" s="4094" t="n"/>
      <c r="O21" s="4094" t="n"/>
      <c r="P21" s="4094" t="n"/>
      <c r="Q21" s="4095" t="n"/>
      <c r="R21" s="4094" t="n"/>
      <c r="S21" s="4094" t="n"/>
      <c r="T21" s="4094" t="n"/>
      <c r="U21" s="4094" t="n"/>
      <c r="V21" s="4094" t="n"/>
      <c r="W21" s="4094" t="n"/>
      <c r="X21" s="4094" t="n"/>
      <c r="Y21" s="4094" t="n"/>
      <c r="Z21" s="4094" t="n"/>
      <c r="AA21" s="4094" t="n"/>
      <c r="AB21" s="4094" t="n"/>
      <c r="AC21" s="4095" t="n"/>
      <c r="AD21" s="4094" t="n"/>
      <c r="AE21" s="4094" t="n"/>
      <c r="AF21" s="4094" t="n"/>
      <c r="AG21" s="4094" t="n"/>
      <c r="AH21" s="4094" t="n"/>
      <c r="AI21" s="4094" t="n"/>
      <c r="AJ21" s="4094" t="n"/>
      <c r="AK21" s="4094" t="n"/>
      <c r="AL21" s="4094" t="n"/>
      <c r="AM21" s="4094" t="n"/>
      <c r="AN21" s="4094" t="n"/>
      <c r="AO21" s="4095" t="n"/>
      <c r="AP21" s="4094" t="n"/>
      <c r="AQ21" s="4094" t="n"/>
      <c r="AR21" s="4094" t="n"/>
      <c r="AS21" s="4094" t="n"/>
      <c r="AT21" s="4094" t="n"/>
      <c r="AU21" s="4096" t="n"/>
      <c r="AV21" s="4094" t="n"/>
      <c r="AW21" s="4094" t="n"/>
      <c r="AX21" s="4094" t="n"/>
      <c r="AY21" s="4094" t="n"/>
      <c r="AZ21" s="4094" t="n"/>
      <c r="BA21" s="3737" t="n"/>
      <c r="BB21" s="4094" t="n"/>
    </row>
    <row r="22" hidden="1" outlineLevel="4" ht="12" customHeight="1" s="3710">
      <c r="C22" s="4139" t="inlineStr">
        <is>
          <t>Depreciation - leased asset</t>
        </is>
      </c>
      <c r="D22" s="4150" t="n">
        <v>705920</v>
      </c>
      <c r="E22" s="4150" t="inlineStr">
        <is>
          <t>705920 - Depreciation - leased asset</t>
        </is>
      </c>
      <c r="F22" s="4244" t="n"/>
      <c r="G22" s="4102" t="n"/>
      <c r="H22" s="4102" t="n"/>
      <c r="I22" s="4102" t="n"/>
      <c r="J22" s="4102" t="n"/>
      <c r="K22" s="4102" t="n"/>
      <c r="L22" s="4102" t="n"/>
      <c r="M22" s="4102" t="n"/>
      <c r="N22" s="4102" t="n"/>
      <c r="O22" s="4102" t="n"/>
      <c r="P22" s="4102" t="n"/>
      <c r="Q22" s="4103" t="n"/>
      <c r="R22" s="4102" t="n"/>
      <c r="S22" s="4102" t="n"/>
      <c r="T22" s="4102" t="n"/>
      <c r="U22" s="4102" t="n"/>
      <c r="V22" s="4102" t="n"/>
      <c r="W22" s="4102" t="n"/>
      <c r="X22" s="4102" t="n"/>
      <c r="Y22" s="4102" t="n"/>
      <c r="Z22" s="4102" t="n"/>
      <c r="AA22" s="4102" t="n"/>
      <c r="AB22" s="4102" t="n"/>
      <c r="AC22" s="4103" t="n"/>
      <c r="AD22" s="4102" t="n"/>
      <c r="AE22" s="4102" t="n"/>
      <c r="AF22" s="4102" t="n"/>
      <c r="AG22" s="4102" t="n"/>
      <c r="AH22" s="4102" t="n"/>
      <c r="AI22" s="4102" t="n"/>
      <c r="AJ22" s="4102" t="n"/>
      <c r="AK22" s="4102" t="n"/>
      <c r="AL22" s="4102" t="n"/>
      <c r="AM22" s="4102" t="n"/>
      <c r="AN22" s="4102" t="n"/>
      <c r="AO22" s="4103" t="n"/>
      <c r="AP22" s="4102" t="n"/>
      <c r="AQ22" s="4102" t="n"/>
      <c r="AR22" s="4102" t="n"/>
      <c r="AS22" s="4102" t="n"/>
      <c r="AT22" s="4102" t="n"/>
      <c r="AU22" s="4104" t="n"/>
      <c r="AV22" s="4102" t="n"/>
      <c r="AW22" s="4102" t="n"/>
      <c r="AX22" s="4102" t="n"/>
      <c r="AY22" s="4102" t="n"/>
      <c r="AZ22" s="4102" t="n"/>
      <c r="BA22" s="3737" t="n"/>
      <c r="BB22" s="4102" t="n"/>
    </row>
    <row r="23" hidden="1" outlineLevel="3" collapsed="1" ht="12" customHeight="1" s="3710">
      <c r="C23" s="4127" t="inlineStr">
        <is>
          <t>Depreciation expense</t>
        </is>
      </c>
      <c r="D23" s="4108" t="n"/>
      <c r="E23" s="4108" t="n"/>
      <c r="F23" s="4243" t="n"/>
      <c r="G23" s="4094" t="n"/>
      <c r="H23" s="4094" t="n"/>
      <c r="I23" s="4094" t="n"/>
      <c r="J23" s="4094" t="n"/>
      <c r="K23" s="4094" t="n"/>
      <c r="L23" s="4094" t="n"/>
      <c r="M23" s="4094" t="n"/>
      <c r="N23" s="4094" t="n"/>
      <c r="O23" s="4094" t="n"/>
      <c r="P23" s="4094" t="n"/>
      <c r="Q23" s="4095" t="n"/>
      <c r="R23" s="4094" t="n"/>
      <c r="S23" s="4094" t="n"/>
      <c r="T23" s="4094" t="n"/>
      <c r="U23" s="4094" t="n"/>
      <c r="V23" s="4094" t="n"/>
      <c r="W23" s="4094" t="n"/>
      <c r="X23" s="4094" t="n"/>
      <c r="Y23" s="4094" t="n"/>
      <c r="Z23" s="4094" t="n"/>
      <c r="AA23" s="4094" t="n"/>
      <c r="AB23" s="4094" t="n"/>
      <c r="AC23" s="4095" t="n"/>
      <c r="AD23" s="4094" t="n"/>
      <c r="AE23" s="4094" t="n"/>
      <c r="AF23" s="4094" t="n"/>
      <c r="AG23" s="4094" t="n"/>
      <c r="AH23" s="4094" t="n"/>
      <c r="AI23" s="4094" t="n"/>
      <c r="AJ23" s="4094" t="n"/>
      <c r="AK23" s="4094" t="n"/>
      <c r="AL23" s="4094" t="n"/>
      <c r="AM23" s="4094" t="n"/>
      <c r="AN23" s="4094" t="n"/>
      <c r="AO23" s="4095" t="n"/>
      <c r="AP23" s="4094" t="n"/>
      <c r="AQ23" s="4094" t="n"/>
      <c r="AR23" s="4094" t="n"/>
      <c r="AS23" s="4094" t="n"/>
      <c r="AT23" s="4094" t="n"/>
      <c r="AU23" s="4096" t="n"/>
      <c r="AV23" s="4094" t="n"/>
      <c r="AW23" s="4094" t="n"/>
      <c r="AX23" s="4094" t="n"/>
      <c r="AY23" s="4094" t="n"/>
      <c r="AZ23" s="4094" t="n"/>
      <c r="BA23" s="3737" t="n"/>
      <c r="BB23" s="4094" t="n"/>
    </row>
    <row r="24" hidden="1" outlineLevel="4" ht="12" customHeight="1" s="3710">
      <c r="C24" s="4139" t="inlineStr">
        <is>
          <t>Depreciation - building rou asset</t>
        </is>
      </c>
      <c r="D24" s="4150" t="n">
        <v>705301</v>
      </c>
      <c r="E24" s="4150" t="inlineStr">
        <is>
          <t>705301 - Depreciation - building rou asset</t>
        </is>
      </c>
      <c r="F24" s="4244" t="n"/>
      <c r="G24" s="4102" t="n"/>
      <c r="H24" s="4102" t="n"/>
      <c r="I24" s="4102" t="n"/>
      <c r="J24" s="4102" t="n"/>
      <c r="K24" s="4102" t="n"/>
      <c r="L24" s="4102" t="n"/>
      <c r="M24" s="4102" t="n"/>
      <c r="N24" s="4102" t="n"/>
      <c r="O24" s="4102" t="n"/>
      <c r="P24" s="4102" t="n"/>
      <c r="Q24" s="4103" t="n"/>
      <c r="R24" s="4102" t="n"/>
      <c r="S24" s="4102" t="n"/>
      <c r="T24" s="4102" t="n"/>
      <c r="U24" s="4102" t="n"/>
      <c r="V24" s="4102" t="n"/>
      <c r="W24" s="4102" t="n"/>
      <c r="X24" s="4102" t="n"/>
      <c r="Y24" s="4102" t="n"/>
      <c r="Z24" s="4102" t="n"/>
      <c r="AA24" s="4102" t="n"/>
      <c r="AB24" s="4102" t="n"/>
      <c r="AC24" s="4103" t="n"/>
      <c r="AD24" s="4102" t="n"/>
      <c r="AE24" s="4102" t="n"/>
      <c r="AF24" s="4102" t="n"/>
      <c r="AG24" s="4102" t="n"/>
      <c r="AH24" s="4102" t="n"/>
      <c r="AI24" s="4102" t="n"/>
      <c r="AJ24" s="4102" t="n"/>
      <c r="AK24" s="4102" t="n"/>
      <c r="AL24" s="4102" t="n"/>
      <c r="AM24" s="4102" t="n"/>
      <c r="AN24" s="4102" t="n"/>
      <c r="AO24" s="4103" t="n"/>
      <c r="AP24" s="4102" t="n"/>
      <c r="AQ24" s="4102" t="n"/>
      <c r="AR24" s="4102" t="n"/>
      <c r="AS24" s="4102" t="n"/>
      <c r="AT24" s="4102" t="n"/>
      <c r="AU24" s="4104" t="n"/>
      <c r="AV24" s="4102" t="n"/>
      <c r="AW24" s="4102" t="n"/>
      <c r="AX24" s="4102" t="n"/>
      <c r="AY24" s="4102" t="n"/>
      <c r="AZ24" s="4102" t="n"/>
      <c r="BA24" s="3737" t="n"/>
      <c r="BB24" s="4102" t="n"/>
    </row>
    <row r="25" hidden="1" outlineLevel="3" collapsed="1" ht="12" customHeight="1" s="3710">
      <c r="C25" s="4128" t="inlineStr">
        <is>
          <t>Depreciation expense - property right of use</t>
        </is>
      </c>
      <c r="D25" s="4150" t="n"/>
      <c r="E25" s="4150" t="n"/>
      <c r="F25" s="4244" t="n"/>
      <c r="G25" s="4102" t="n"/>
      <c r="H25" s="4102" t="n"/>
      <c r="I25" s="4102" t="n"/>
      <c r="J25" s="4102" t="n"/>
      <c r="K25" s="4102" t="n"/>
      <c r="L25" s="4102" t="n"/>
      <c r="M25" s="4102" t="n"/>
      <c r="N25" s="4102" t="n"/>
      <c r="O25" s="4102" t="n"/>
      <c r="P25" s="4102" t="n"/>
      <c r="Q25" s="4103" t="n"/>
      <c r="R25" s="4102" t="n"/>
      <c r="S25" s="4102" t="n"/>
      <c r="T25" s="4102" t="n"/>
      <c r="U25" s="4102" t="n"/>
      <c r="V25" s="4102" t="n"/>
      <c r="W25" s="4102" t="n"/>
      <c r="X25" s="4102" t="n"/>
      <c r="Y25" s="4102" t="n"/>
      <c r="Z25" s="4102" t="n"/>
      <c r="AA25" s="4102" t="n"/>
      <c r="AB25" s="4102" t="n"/>
      <c r="AC25" s="4103" t="n"/>
      <c r="AD25" s="4102" t="n"/>
      <c r="AE25" s="4102" t="n"/>
      <c r="AF25" s="4102" t="n"/>
      <c r="AG25" s="4102" t="n"/>
      <c r="AH25" s="4102" t="n"/>
      <c r="AI25" s="4102" t="n"/>
      <c r="AJ25" s="4102" t="n"/>
      <c r="AK25" s="4102" t="n"/>
      <c r="AL25" s="4102" t="n"/>
      <c r="AM25" s="4102" t="n"/>
      <c r="AN25" s="4102" t="n"/>
      <c r="AO25" s="4103" t="n"/>
      <c r="AP25" s="4102" t="n"/>
      <c r="AQ25" s="4102" t="n"/>
      <c r="AR25" s="4102" t="n"/>
      <c r="AS25" s="4102" t="n"/>
      <c r="AT25" s="4102" t="n"/>
      <c r="AU25" s="4104" t="n"/>
      <c r="AV25" s="4102" t="n"/>
      <c r="AW25" s="4102" t="n"/>
      <c r="AX25" s="4102" t="n"/>
      <c r="AY25" s="4102" t="n"/>
      <c r="AZ25" s="4102" t="n"/>
      <c r="BA25" s="3737" t="n"/>
      <c r="BB25" s="4102" t="n"/>
    </row>
    <row r="26" hidden="1" outlineLevel="2" ht="12" customHeight="1" s="3710">
      <c r="C26" s="4092" t="inlineStr">
        <is>
          <t>Depreciation and amortization expense</t>
        </is>
      </c>
      <c r="D26" s="4108" t="n"/>
      <c r="E26" s="4108" t="n"/>
      <c r="F26" s="4243" t="n"/>
      <c r="G26" s="4094" t="n"/>
      <c r="H26" s="4094" t="n"/>
      <c r="I26" s="4094" t="n"/>
      <c r="J26" s="4094" t="n"/>
      <c r="K26" s="4094" t="n"/>
      <c r="L26" s="4094" t="n"/>
      <c r="M26" s="4094" t="n"/>
      <c r="N26" s="4094" t="n"/>
      <c r="O26" s="4094" t="n"/>
      <c r="P26" s="4094" t="n"/>
      <c r="Q26" s="4095" t="n"/>
      <c r="R26" s="4094" t="n"/>
      <c r="S26" s="4094" t="n"/>
      <c r="T26" s="4094" t="n"/>
      <c r="U26" s="4094" t="n"/>
      <c r="V26" s="4094" t="n"/>
      <c r="W26" s="4094" t="n"/>
      <c r="X26" s="4094" t="n"/>
      <c r="Y26" s="4094" t="n"/>
      <c r="Z26" s="4094" t="n"/>
      <c r="AA26" s="4094" t="n"/>
      <c r="AB26" s="4094" t="n"/>
      <c r="AC26" s="4095" t="n"/>
      <c r="AD26" s="4094" t="n"/>
      <c r="AE26" s="4094" t="n"/>
      <c r="AF26" s="4094" t="n"/>
      <c r="AG26" s="4094" t="n"/>
      <c r="AH26" s="4094" t="n"/>
      <c r="AI26" s="4094" t="n"/>
      <c r="AJ26" s="4094" t="n"/>
      <c r="AK26" s="4094" t="n"/>
      <c r="AL26" s="4094" t="n"/>
      <c r="AM26" s="4094" t="n"/>
      <c r="AN26" s="4094" t="n"/>
      <c r="AO26" s="4095" t="n"/>
      <c r="AP26" s="4094" t="n"/>
      <c r="AQ26" s="4094" t="n"/>
      <c r="AR26" s="4094" t="n"/>
      <c r="AS26" s="4094" t="n"/>
      <c r="AT26" s="4094" t="n"/>
      <c r="AU26" s="4096" t="n"/>
      <c r="AV26" s="4094" t="n"/>
      <c r="AW26" s="4094" t="n"/>
      <c r="AX26" s="4094" t="n"/>
      <c r="AY26" s="4094" t="n"/>
      <c r="AZ26" s="4094" t="n"/>
      <c r="BA26" s="3737" t="n"/>
      <c r="BB26" s="4094" t="n"/>
    </row>
    <row r="27" hidden="1" outlineLevel="3" ht="12" customHeight="1" s="3710">
      <c r="C27" s="4127" t="inlineStr">
        <is>
          <t>Deferred tax liability</t>
        </is>
      </c>
      <c r="D27" s="4108" t="n">
        <v>260101</v>
      </c>
      <c r="E27" s="4108" t="inlineStr">
        <is>
          <t>260101 - Deferred Tax Liability</t>
        </is>
      </c>
      <c r="F27" s="4243" t="n"/>
      <c r="G27" s="4094" t="n"/>
      <c r="H27" s="4094" t="n"/>
      <c r="I27" s="4094" t="n"/>
      <c r="J27" s="4094" t="n"/>
      <c r="K27" s="4094" t="n"/>
      <c r="L27" s="4094" t="n"/>
      <c r="M27" s="4094" t="n"/>
      <c r="N27" s="4094" t="n"/>
      <c r="O27" s="4094" t="n"/>
      <c r="P27" s="4094" t="n"/>
      <c r="Q27" s="4095" t="n"/>
      <c r="R27" s="4094" t="n"/>
      <c r="S27" s="4094" t="n"/>
      <c r="T27" s="4094" t="n"/>
      <c r="U27" s="4094" t="n"/>
      <c r="V27" s="4094" t="n"/>
      <c r="W27" s="4094" t="n"/>
      <c r="X27" s="4094" t="n"/>
      <c r="Y27" s="4094" t="n"/>
      <c r="Z27" s="4094" t="n"/>
      <c r="AA27" s="4094" t="n"/>
      <c r="AB27" s="4094" t="n"/>
      <c r="AC27" s="4095" t="n"/>
      <c r="AD27" s="4094" t="n"/>
      <c r="AE27" s="4094" t="n"/>
      <c r="AF27" s="4094" t="n"/>
      <c r="AG27" s="4094" t="n"/>
      <c r="AH27" s="4094" t="n"/>
      <c r="AI27" s="4094" t="n"/>
      <c r="AJ27" s="4094" t="n"/>
      <c r="AK27" s="4094" t="n"/>
      <c r="AL27" s="4094" t="n"/>
      <c r="AM27" s="4094" t="n"/>
      <c r="AN27" s="4094" t="n"/>
      <c r="AO27" s="4095" t="n"/>
      <c r="AP27" s="4094" t="n"/>
      <c r="AQ27" s="4094" t="n"/>
      <c r="AR27" s="4094" t="n"/>
      <c r="AS27" s="4094" t="n"/>
      <c r="AT27" s="4094" t="n"/>
      <c r="AU27" s="4096" t="n"/>
      <c r="AV27" s="4094" t="n"/>
      <c r="AW27" s="4094" t="n"/>
      <c r="AX27" s="4094" t="n"/>
      <c r="AY27" s="4094" t="n"/>
      <c r="AZ27" s="4094" t="n"/>
      <c r="BA27" s="3737" t="n"/>
      <c r="BB27" s="4094" t="n"/>
    </row>
    <row r="28" hidden="1" outlineLevel="3" ht="12" customHeight="1" s="3710">
      <c r="C28" s="4128" t="inlineStr">
        <is>
          <t>Deferred tax liability IFRS- IFRS adjusted</t>
        </is>
      </c>
      <c r="D28" s="4150" t="n">
        <v>260115</v>
      </c>
      <c r="E28" s="4150" t="inlineStr">
        <is>
          <t>260115 - Deferred Tax Liability IFRS- IFRS Adjusted</t>
        </is>
      </c>
      <c r="F28" s="4244" t="n"/>
      <c r="G28" s="4102" t="n"/>
      <c r="H28" s="4102" t="n"/>
      <c r="I28" s="4102" t="n"/>
      <c r="J28" s="4102" t="n"/>
      <c r="K28" s="4102" t="n"/>
      <c r="L28" s="4102" t="n"/>
      <c r="M28" s="4102" t="n"/>
      <c r="N28" s="4102" t="n"/>
      <c r="O28" s="4102" t="n"/>
      <c r="P28" s="4102" t="n"/>
      <c r="Q28" s="4103" t="n"/>
      <c r="R28" s="4102" t="n"/>
      <c r="S28" s="4102" t="n"/>
      <c r="T28" s="4102" t="n"/>
      <c r="U28" s="4102" t="n"/>
      <c r="V28" s="4102" t="n"/>
      <c r="W28" s="4102" t="n"/>
      <c r="X28" s="4102" t="n"/>
      <c r="Y28" s="4102" t="n"/>
      <c r="Z28" s="4102" t="n"/>
      <c r="AA28" s="4102" t="n"/>
      <c r="AB28" s="4102" t="n"/>
      <c r="AC28" s="4103" t="n"/>
      <c r="AD28" s="4102" t="n"/>
      <c r="AE28" s="4102" t="n"/>
      <c r="AF28" s="4102" t="n"/>
      <c r="AG28" s="4102" t="n"/>
      <c r="AH28" s="4102" t="n"/>
      <c r="AI28" s="4102" t="n"/>
      <c r="AJ28" s="4102" t="n"/>
      <c r="AK28" s="4102" t="n"/>
      <c r="AL28" s="4102" t="n"/>
      <c r="AM28" s="4102" t="n"/>
      <c r="AN28" s="4102" t="n"/>
      <c r="AO28" s="4103" t="n"/>
      <c r="AP28" s="4102" t="n"/>
      <c r="AQ28" s="4102" t="n"/>
      <c r="AR28" s="4102" t="n"/>
      <c r="AS28" s="4102" t="n"/>
      <c r="AT28" s="4102" t="n"/>
      <c r="AU28" s="4104" t="n"/>
      <c r="AV28" s="4102" t="n"/>
      <c r="AW28" s="4102" t="n"/>
      <c r="AX28" s="4102" t="n"/>
      <c r="AY28" s="4102" t="n"/>
      <c r="AZ28" s="4102" t="n"/>
      <c r="BA28" s="3737" t="n"/>
      <c r="BB28" s="4102" t="n"/>
    </row>
    <row r="29" hidden="1" outlineLevel="2" collapsed="1" ht="12" customHeight="1" s="3710">
      <c r="C29" s="4100" t="inlineStr">
        <is>
          <t xml:space="preserve">Deferred tax liabilities </t>
        </is>
      </c>
      <c r="D29" s="4150" t="n"/>
      <c r="E29" s="4150" t="n"/>
      <c r="F29" s="4244" t="n"/>
      <c r="G29" s="4102" t="n"/>
      <c r="H29" s="4102" t="n"/>
      <c r="I29" s="4102" t="n"/>
      <c r="J29" s="4102" t="n"/>
      <c r="K29" s="4102" t="n"/>
      <c r="L29" s="4102" t="n"/>
      <c r="M29" s="4102" t="n"/>
      <c r="N29" s="4102" t="n"/>
      <c r="O29" s="4102" t="n"/>
      <c r="P29" s="4102" t="n"/>
      <c r="Q29" s="4103" t="n"/>
      <c r="R29" s="4102" t="n"/>
      <c r="S29" s="4102" t="n"/>
      <c r="T29" s="4102" t="n"/>
      <c r="U29" s="4102" t="n"/>
      <c r="V29" s="4102" t="n"/>
      <c r="W29" s="4102" t="n"/>
      <c r="X29" s="4102" t="n"/>
      <c r="Y29" s="4102" t="n"/>
      <c r="Z29" s="4102" t="n"/>
      <c r="AA29" s="4102" t="n"/>
      <c r="AB29" s="4102" t="n"/>
      <c r="AC29" s="4103" t="n"/>
      <c r="AD29" s="4102" t="n"/>
      <c r="AE29" s="4102" t="n"/>
      <c r="AF29" s="4102" t="n"/>
      <c r="AG29" s="4102" t="n"/>
      <c r="AH29" s="4102" t="n"/>
      <c r="AI29" s="4102" t="n"/>
      <c r="AJ29" s="4102" t="n"/>
      <c r="AK29" s="4102" t="n"/>
      <c r="AL29" s="4102" t="n"/>
      <c r="AM29" s="4102" t="n"/>
      <c r="AN29" s="4102" t="n"/>
      <c r="AO29" s="4103" t="n"/>
      <c r="AP29" s="4102" t="n"/>
      <c r="AQ29" s="4102" t="n"/>
      <c r="AR29" s="4102" t="n"/>
      <c r="AS29" s="4102" t="n"/>
      <c r="AT29" s="4102" t="n"/>
      <c r="AU29" s="4104" t="n"/>
      <c r="AV29" s="4102" t="n"/>
      <c r="AW29" s="4102" t="n"/>
      <c r="AX29" s="4102" t="n"/>
      <c r="AY29" s="4102" t="n"/>
      <c r="AZ29" s="4102" t="n"/>
      <c r="BA29" s="3737" t="n"/>
      <c r="BB29" s="4102" t="n"/>
    </row>
    <row r="30" hidden="1" outlineLevel="1" ht="12" customHeight="1" s="3710">
      <c r="C30" s="4108" t="inlineStr">
        <is>
          <t>Non cash items</t>
        </is>
      </c>
      <c r="D30" s="4108" t="n"/>
      <c r="E30" s="4108" t="n"/>
      <c r="F30" s="4243" t="n"/>
      <c r="G30" s="4094" t="n"/>
      <c r="H30" s="4094" t="n"/>
      <c r="I30" s="4094" t="n"/>
      <c r="J30" s="4094" t="n"/>
      <c r="K30" s="4094" t="n"/>
      <c r="L30" s="4094" t="n"/>
      <c r="M30" s="4094" t="n"/>
      <c r="N30" s="4094" t="n"/>
      <c r="O30" s="4094" t="n"/>
      <c r="P30" s="4094" t="n"/>
      <c r="Q30" s="4095" t="n"/>
      <c r="R30" s="4094" t="n"/>
      <c r="S30" s="4094" t="n"/>
      <c r="T30" s="4094" t="n"/>
      <c r="U30" s="4094" t="n"/>
      <c r="V30" s="4094" t="n"/>
      <c r="W30" s="4094" t="n"/>
      <c r="X30" s="4094" t="n"/>
      <c r="Y30" s="4094" t="n"/>
      <c r="Z30" s="4094" t="n"/>
      <c r="AA30" s="4094" t="n"/>
      <c r="AB30" s="4094" t="n"/>
      <c r="AC30" s="4095" t="n"/>
      <c r="AD30" s="4094" t="n"/>
      <c r="AE30" s="4094" t="n"/>
      <c r="AF30" s="4094" t="n"/>
      <c r="AG30" s="4094" t="n"/>
      <c r="AH30" s="4094" t="n"/>
      <c r="AI30" s="4094" t="n"/>
      <c r="AJ30" s="4094" t="n"/>
      <c r="AK30" s="4094" t="n"/>
      <c r="AL30" s="4094" t="n"/>
      <c r="AM30" s="4094" t="n"/>
      <c r="AN30" s="4094" t="n"/>
      <c r="AO30" s="4095" t="n"/>
      <c r="AP30" s="4094" t="n"/>
      <c r="AQ30" s="4094" t="n"/>
      <c r="AR30" s="4094" t="n"/>
      <c r="AS30" s="4094" t="n"/>
      <c r="AT30" s="4094" t="n"/>
      <c r="AU30" s="4096" t="n"/>
      <c r="AV30" s="4094" t="n"/>
      <c r="AW30" s="4094" t="n"/>
      <c r="AX30" s="4094" t="n"/>
      <c r="AY30" s="4094" t="n"/>
      <c r="AZ30" s="4094" t="n"/>
      <c r="BA30" s="3737" t="n"/>
      <c r="BB30" s="4094" t="n"/>
    </row>
    <row r="31" hidden="1" outlineLevel="2" ht="12" customHeight="1" s="3710">
      <c r="C31" s="4245" t="inlineStr">
        <is>
          <t>Change in working capital</t>
        </is>
      </c>
      <c r="D31" s="4246" t="n"/>
      <c r="E31" s="4246" t="n"/>
      <c r="F31" s="4243" t="n"/>
      <c r="G31" s="4094" t="n"/>
      <c r="H31" s="4094" t="n"/>
      <c r="I31" s="4094" t="n"/>
      <c r="J31" s="4094" t="n"/>
      <c r="K31" s="4094" t="n"/>
      <c r="L31" s="4094" t="n"/>
      <c r="M31" s="4094" t="n"/>
      <c r="N31" s="4094" t="n"/>
      <c r="O31" s="4094" t="n"/>
      <c r="P31" s="4094" t="n"/>
      <c r="Q31" s="4095" t="n"/>
      <c r="R31" s="4094" t="n"/>
      <c r="S31" s="4094" t="n"/>
      <c r="T31" s="4094" t="n"/>
      <c r="U31" s="4094" t="n"/>
      <c r="V31" s="4094" t="n"/>
      <c r="W31" s="4094" t="n"/>
      <c r="X31" s="4094" t="n"/>
      <c r="Y31" s="4094" t="n"/>
      <c r="Z31" s="4094" t="n"/>
      <c r="AA31" s="4094" t="n"/>
      <c r="AB31" s="4094" t="n"/>
      <c r="AC31" s="4095" t="n"/>
      <c r="AD31" s="4094" t="n"/>
      <c r="AE31" s="4094" t="n"/>
      <c r="AF31" s="4094" t="n"/>
      <c r="AG31" s="4094" t="n"/>
      <c r="AH31" s="4094" t="n"/>
      <c r="AI31" s="4094" t="n"/>
      <c r="AJ31" s="4094" t="n"/>
      <c r="AK31" s="4094" t="n"/>
      <c r="AL31" s="4094" t="n"/>
      <c r="AM31" s="4094" t="n"/>
      <c r="AN31" s="4094" t="n"/>
      <c r="AO31" s="4095" t="n"/>
      <c r="AP31" s="4094" t="n"/>
      <c r="AQ31" s="4094" t="n"/>
      <c r="AR31" s="4094" t="n"/>
      <c r="AS31" s="4094" t="n"/>
      <c r="AT31" s="4094" t="n"/>
      <c r="AU31" s="4096" t="n"/>
      <c r="AV31" s="4094" t="n"/>
      <c r="AW31" s="4094" t="n"/>
      <c r="AX31" s="4094" t="n"/>
      <c r="AY31" s="4094" t="n"/>
      <c r="AZ31" s="4094" t="n"/>
      <c r="BA31" s="3737" t="n"/>
      <c r="BB31" s="4094" t="n"/>
    </row>
    <row r="32" hidden="1" outlineLevel="3" ht="12" customHeight="1" s="3710">
      <c r="C32" s="4218" t="inlineStr">
        <is>
          <t>Cash settlement - pos desjardin 147</t>
        </is>
      </c>
      <c r="D32" s="4246" t="n"/>
      <c r="E32" s="4246" t="n"/>
      <c r="F32" s="4243" t="n"/>
      <c r="G32" s="4094" t="n"/>
      <c r="H32" s="4094" t="n"/>
      <c r="I32" s="4094" t="n"/>
      <c r="J32" s="4094" t="n"/>
      <c r="K32" s="4094" t="n"/>
      <c r="L32" s="4094" t="n"/>
      <c r="M32" s="4094" t="n"/>
      <c r="N32" s="4094" t="n"/>
      <c r="O32" s="4094" t="n"/>
      <c r="P32" s="4094" t="n"/>
      <c r="Q32" s="4095" t="n"/>
      <c r="R32" s="4094" t="n"/>
      <c r="S32" s="4094" t="n"/>
      <c r="T32" s="4094" t="n"/>
      <c r="U32" s="4094" t="n"/>
      <c r="V32" s="4094" t="n"/>
      <c r="W32" s="4094" t="n"/>
      <c r="X32" s="4094" t="n"/>
      <c r="Y32" s="4094" t="n"/>
      <c r="Z32" s="4094" t="n"/>
      <c r="AA32" s="4094" t="n"/>
      <c r="AB32" s="4094" t="n"/>
      <c r="AC32" s="4095" t="n"/>
      <c r="AD32" s="4094" t="n"/>
      <c r="AE32" s="4094" t="n"/>
      <c r="AF32" s="4094" t="n"/>
      <c r="AG32" s="4094" t="n"/>
      <c r="AH32" s="4094" t="n"/>
      <c r="AI32" s="4094" t="n"/>
      <c r="AJ32" s="4094" t="n"/>
      <c r="AK32" s="4094" t="n"/>
      <c r="AL32" s="4094" t="n"/>
      <c r="AM32" s="4094" t="n"/>
      <c r="AN32" s="4094" t="n"/>
      <c r="AO32" s="4095" t="n"/>
      <c r="AP32" s="4094" t="n"/>
      <c r="AQ32" s="4094" t="n"/>
      <c r="AR32" s="4094" t="n"/>
      <c r="AS32" s="4094" t="n"/>
      <c r="AT32" s="4094" t="n"/>
      <c r="AU32" s="4096" t="n"/>
      <c r="AV32" s="4094" t="n"/>
      <c r="AW32" s="4094" t="n"/>
      <c r="AX32" s="4094" t="n"/>
      <c r="AY32" s="4094" t="n"/>
      <c r="AZ32" s="4094" t="n"/>
      <c r="BA32" s="3737" t="n"/>
      <c r="BB32" s="4094" t="n"/>
    </row>
    <row r="33" hidden="1" outlineLevel="3" ht="12" customHeight="1" s="3710">
      <c r="C33" s="4218" t="inlineStr">
        <is>
          <t>Cash settlement scd desjardin 139</t>
        </is>
      </c>
      <c r="D33" s="4246" t="n"/>
      <c r="E33" s="4246" t="n"/>
      <c r="F33" s="4243" t="n"/>
      <c r="G33" s="4094" t="n"/>
      <c r="H33" s="4094" t="n"/>
      <c r="I33" s="4094" t="n"/>
      <c r="J33" s="4094" t="n"/>
      <c r="K33" s="4094" t="n"/>
      <c r="L33" s="4094" t="n"/>
      <c r="M33" s="4094" t="n"/>
      <c r="N33" s="4094" t="n"/>
      <c r="O33" s="4094" t="n"/>
      <c r="P33" s="4094" t="n"/>
      <c r="Q33" s="4095" t="n"/>
      <c r="R33" s="4094" t="n"/>
      <c r="S33" s="4094" t="n"/>
      <c r="T33" s="4094" t="n"/>
      <c r="U33" s="4094" t="n"/>
      <c r="V33" s="4094" t="n"/>
      <c r="W33" s="4094" t="n"/>
      <c r="X33" s="4094" t="n"/>
      <c r="Y33" s="4094" t="n"/>
      <c r="Z33" s="4094" t="n"/>
      <c r="AA33" s="4094" t="n"/>
      <c r="AB33" s="4094" t="n"/>
      <c r="AC33" s="4095" t="n"/>
      <c r="AD33" s="4094" t="n"/>
      <c r="AE33" s="4094" t="n"/>
      <c r="AF33" s="4094" t="n"/>
      <c r="AG33" s="4094" t="n"/>
      <c r="AH33" s="4094" t="n"/>
      <c r="AI33" s="4094" t="n"/>
      <c r="AJ33" s="4094" t="n"/>
      <c r="AK33" s="4094" t="n"/>
      <c r="AL33" s="4094" t="n"/>
      <c r="AM33" s="4094" t="n"/>
      <c r="AN33" s="4094" t="n"/>
      <c r="AO33" s="4095" t="n"/>
      <c r="AP33" s="4094" t="n"/>
      <c r="AQ33" s="4094" t="n"/>
      <c r="AR33" s="4094" t="n"/>
      <c r="AS33" s="4094" t="n"/>
      <c r="AT33" s="4094" t="n"/>
      <c r="AU33" s="4096" t="n"/>
      <c r="AV33" s="4094" t="n"/>
      <c r="AW33" s="4094" t="n"/>
      <c r="AX33" s="4094" t="n"/>
      <c r="AY33" s="4094" t="n"/>
      <c r="AZ33" s="4094" t="n"/>
      <c r="BA33" s="3737" t="n"/>
      <c r="BB33" s="4094" t="n"/>
    </row>
    <row r="34" hidden="1" outlineLevel="3" ht="12" customHeight="1" s="3710">
      <c r="C34" s="4218" t="inlineStr">
        <is>
          <t>Icici bank settlement CAD6932- for visa debit</t>
        </is>
      </c>
      <c r="D34" s="4246" t="n"/>
      <c r="E34" s="4246" t="n"/>
      <c r="F34" s="4243" t="n"/>
      <c r="G34" s="4094" t="n"/>
      <c r="H34" s="4094" t="n"/>
      <c r="I34" s="4094" t="n"/>
      <c r="J34" s="4094" t="n"/>
      <c r="K34" s="4094" t="n"/>
      <c r="L34" s="4094" t="n"/>
      <c r="M34" s="4094" t="n"/>
      <c r="N34" s="4094" t="n"/>
      <c r="O34" s="4094" t="n"/>
      <c r="P34" s="4094" t="n"/>
      <c r="Q34" s="4095" t="n"/>
      <c r="R34" s="4094" t="n"/>
      <c r="S34" s="4094" t="n"/>
      <c r="T34" s="4094" t="n"/>
      <c r="U34" s="4094" t="n"/>
      <c r="V34" s="4094" t="n"/>
      <c r="W34" s="4094" t="n"/>
      <c r="X34" s="4094" t="n"/>
      <c r="Y34" s="4094" t="n"/>
      <c r="Z34" s="4094" t="n"/>
      <c r="AA34" s="4094" t="n"/>
      <c r="AB34" s="4094" t="n"/>
      <c r="AC34" s="4095" t="n"/>
      <c r="AD34" s="4094" t="n"/>
      <c r="AE34" s="4094" t="n"/>
      <c r="AF34" s="4094" t="n"/>
      <c r="AG34" s="4094" t="n"/>
      <c r="AH34" s="4094" t="n"/>
      <c r="AI34" s="4094" t="n"/>
      <c r="AJ34" s="4094" t="n"/>
      <c r="AK34" s="4094" t="n"/>
      <c r="AL34" s="4094" t="n"/>
      <c r="AM34" s="4094" t="n"/>
      <c r="AN34" s="4094" t="n"/>
      <c r="AO34" s="4095" t="n"/>
      <c r="AP34" s="4094" t="n"/>
      <c r="AQ34" s="4094" t="n"/>
      <c r="AR34" s="4094" t="n"/>
      <c r="AS34" s="4094" t="n"/>
      <c r="AT34" s="4094" t="n"/>
      <c r="AU34" s="4096" t="n"/>
      <c r="AV34" s="4094" t="n"/>
      <c r="AW34" s="4094" t="n"/>
      <c r="AX34" s="4094" t="n"/>
      <c r="AY34" s="4094" t="n"/>
      <c r="AZ34" s="4094" t="n"/>
      <c r="BA34" s="3737" t="n"/>
      <c r="BB34" s="4094" t="n"/>
    </row>
    <row r="35" hidden="1" outlineLevel="3" ht="12" customHeight="1" s="3710">
      <c r="C35" s="4218" t="inlineStr">
        <is>
          <t>Cash settlement e-transfer desj suspense 067</t>
        </is>
      </c>
      <c r="D35" s="4246" t="n"/>
      <c r="E35" s="4246" t="n"/>
      <c r="F35" s="4243" t="n"/>
      <c r="G35" s="4094" t="n"/>
      <c r="H35" s="4094" t="n"/>
      <c r="I35" s="4094" t="n"/>
      <c r="J35" s="4094" t="n"/>
      <c r="K35" s="4094" t="n"/>
      <c r="L35" s="4094" t="n"/>
      <c r="M35" s="4094" t="n"/>
      <c r="N35" s="4094" t="n"/>
      <c r="O35" s="4094" t="n"/>
      <c r="P35" s="4094" t="n"/>
      <c r="Q35" s="4095" t="n"/>
      <c r="R35" s="4094" t="n"/>
      <c r="S35" s="4094" t="n"/>
      <c r="T35" s="4094" t="n"/>
      <c r="U35" s="4094" t="n"/>
      <c r="V35" s="4094" t="n"/>
      <c r="W35" s="4094" t="n"/>
      <c r="X35" s="4094" t="n"/>
      <c r="Y35" s="4094" t="n"/>
      <c r="Z35" s="4094" t="n"/>
      <c r="AA35" s="4094" t="n"/>
      <c r="AB35" s="4094" t="n"/>
      <c r="AC35" s="4095" t="n"/>
      <c r="AD35" s="4094" t="n"/>
      <c r="AE35" s="4094" t="n"/>
      <c r="AF35" s="4094" t="n"/>
      <c r="AG35" s="4094" t="n"/>
      <c r="AH35" s="4094" t="n"/>
      <c r="AI35" s="4094" t="n"/>
      <c r="AJ35" s="4094" t="n"/>
      <c r="AK35" s="4094" t="n"/>
      <c r="AL35" s="4094" t="n"/>
      <c r="AM35" s="4094" t="n"/>
      <c r="AN35" s="4094" t="n"/>
      <c r="AO35" s="4095" t="n"/>
      <c r="AP35" s="4094" t="n"/>
      <c r="AQ35" s="4094" t="n"/>
      <c r="AR35" s="4094" t="n"/>
      <c r="AS35" s="4094" t="n"/>
      <c r="AT35" s="4094" t="n"/>
      <c r="AU35" s="4096" t="n"/>
      <c r="AV35" s="4094" t="n"/>
      <c r="AW35" s="4094" t="n"/>
      <c r="AX35" s="4094" t="n"/>
      <c r="AY35" s="4094" t="n"/>
      <c r="AZ35" s="4094" t="n"/>
      <c r="BA35" s="3737" t="n"/>
      <c r="BB35" s="4094" t="n"/>
    </row>
    <row r="36" hidden="1" outlineLevel="3" ht="12" customHeight="1" s="3710">
      <c r="C36" s="4218" t="inlineStr">
        <is>
          <t>Cash settlement 178</t>
        </is>
      </c>
      <c r="D36" s="4246" t="n"/>
      <c r="E36" s="4246" t="n"/>
      <c r="F36" s="4243" t="n"/>
      <c r="G36" s="4094" t="n"/>
      <c r="H36" s="4094" t="n"/>
      <c r="I36" s="4094" t="n"/>
      <c r="J36" s="4094" t="n"/>
      <c r="K36" s="4094" t="n"/>
      <c r="L36" s="4094" t="n"/>
      <c r="M36" s="4094" t="n"/>
      <c r="N36" s="4094" t="n"/>
      <c r="O36" s="4094" t="n"/>
      <c r="P36" s="4094" t="n"/>
      <c r="Q36" s="4095" t="n"/>
      <c r="R36" s="4094" t="n"/>
      <c r="S36" s="4094" t="n"/>
      <c r="T36" s="4094" t="n"/>
      <c r="U36" s="4094" t="n"/>
      <c r="V36" s="4094" t="n"/>
      <c r="W36" s="4094" t="n"/>
      <c r="X36" s="4094" t="n"/>
      <c r="Y36" s="4094" t="n"/>
      <c r="Z36" s="4094" t="n"/>
      <c r="AA36" s="4094" t="n"/>
      <c r="AB36" s="4094" t="n"/>
      <c r="AC36" s="4095" t="n"/>
      <c r="AD36" s="4094" t="n"/>
      <c r="AE36" s="4094" t="n"/>
      <c r="AF36" s="4094" t="n"/>
      <c r="AG36" s="4094" t="n"/>
      <c r="AH36" s="4094" t="n"/>
      <c r="AI36" s="4094" t="n"/>
      <c r="AJ36" s="4094" t="n"/>
      <c r="AK36" s="4094" t="n"/>
      <c r="AL36" s="4094" t="n"/>
      <c r="AM36" s="4094" t="n"/>
      <c r="AN36" s="4094" t="n"/>
      <c r="AO36" s="4095" t="n"/>
      <c r="AP36" s="4094" t="n"/>
      <c r="AQ36" s="4094" t="n"/>
      <c r="AR36" s="4094" t="n"/>
      <c r="AS36" s="4094" t="n"/>
      <c r="AT36" s="4094" t="n"/>
      <c r="AU36" s="4096" t="n"/>
      <c r="AV36" s="4094" t="n"/>
      <c r="AW36" s="4094" t="n"/>
      <c r="AX36" s="4094" t="n"/>
      <c r="AY36" s="4094" t="n"/>
      <c r="AZ36" s="4094" t="n"/>
      <c r="BA36" s="3737" t="n"/>
      <c r="BB36" s="4094" t="n"/>
    </row>
    <row r="37" hidden="1" outlineLevel="3" ht="12" customHeight="1" s="3710">
      <c r="C37" s="4218" t="inlineStr">
        <is>
          <t>Cash settlement - pos 10403- 1154</t>
        </is>
      </c>
      <c r="D37" s="4246" t="n"/>
      <c r="E37" s="4246" t="n"/>
      <c r="F37" s="4243" t="n"/>
      <c r="G37" s="4094" t="n"/>
      <c r="H37" s="4094" t="n"/>
      <c r="I37" s="4094" t="n"/>
      <c r="J37" s="4094" t="n"/>
      <c r="K37" s="4094" t="n"/>
      <c r="L37" s="4094" t="n"/>
      <c r="M37" s="4094" t="n"/>
      <c r="N37" s="4094" t="n"/>
      <c r="O37" s="4094" t="n"/>
      <c r="P37" s="4094" t="n"/>
      <c r="Q37" s="4095" t="n"/>
      <c r="R37" s="4094" t="n"/>
      <c r="S37" s="4094" t="n"/>
      <c r="T37" s="4094" t="n"/>
      <c r="U37" s="4094" t="n"/>
      <c r="V37" s="4094" t="n"/>
      <c r="W37" s="4094" t="n"/>
      <c r="X37" s="4094" t="n"/>
      <c r="Y37" s="4094" t="n"/>
      <c r="Z37" s="4094" t="n"/>
      <c r="AA37" s="4094" t="n"/>
      <c r="AB37" s="4094" t="n"/>
      <c r="AC37" s="4095" t="n"/>
      <c r="AD37" s="4094" t="n"/>
      <c r="AE37" s="4094" t="n"/>
      <c r="AF37" s="4094" t="n"/>
      <c r="AG37" s="4094" t="n"/>
      <c r="AH37" s="4094" t="n"/>
      <c r="AI37" s="4094" t="n"/>
      <c r="AJ37" s="4094" t="n"/>
      <c r="AK37" s="4094" t="n"/>
      <c r="AL37" s="4094" t="n"/>
      <c r="AM37" s="4094" t="n"/>
      <c r="AN37" s="4094" t="n"/>
      <c r="AO37" s="4095" t="n"/>
      <c r="AP37" s="4094" t="n"/>
      <c r="AQ37" s="4094" t="n"/>
      <c r="AR37" s="4094" t="n"/>
      <c r="AS37" s="4094" t="n"/>
      <c r="AT37" s="4094" t="n"/>
      <c r="AU37" s="4096" t="n"/>
      <c r="AV37" s="4094" t="n"/>
      <c r="AW37" s="4094" t="n"/>
      <c r="AX37" s="4094" t="n"/>
      <c r="AY37" s="4094" t="n"/>
      <c r="AZ37" s="4094" t="n"/>
      <c r="BA37" s="3737" t="n"/>
      <c r="BB37" s="4094" t="n"/>
    </row>
    <row r="38" hidden="1" outlineLevel="3" ht="12" customHeight="1" s="3710">
      <c r="C38" s="4218" t="inlineStr">
        <is>
          <t>Cash settlement desj etransf 1162</t>
        </is>
      </c>
      <c r="D38" s="4246" t="n"/>
      <c r="E38" s="4246" t="n"/>
      <c r="F38" s="4243" t="n"/>
      <c r="G38" s="4094" t="n"/>
      <c r="H38" s="4094" t="n"/>
      <c r="I38" s="4094" t="n"/>
      <c r="J38" s="4094" t="n"/>
      <c r="K38" s="4094" t="n"/>
      <c r="L38" s="4094" t="n"/>
      <c r="M38" s="4094" t="n"/>
      <c r="N38" s="4094" t="n"/>
      <c r="O38" s="4094" t="n"/>
      <c r="P38" s="4094" t="n"/>
      <c r="Q38" s="4095" t="n"/>
      <c r="R38" s="4094" t="n"/>
      <c r="S38" s="4094" t="n"/>
      <c r="T38" s="4094" t="n"/>
      <c r="U38" s="4094" t="n"/>
      <c r="V38" s="4094" t="n"/>
      <c r="W38" s="4094" t="n"/>
      <c r="X38" s="4094" t="n"/>
      <c r="Y38" s="4094" t="n"/>
      <c r="Z38" s="4094" t="n"/>
      <c r="AA38" s="4094" t="n"/>
      <c r="AB38" s="4094" t="n"/>
      <c r="AC38" s="4095" t="n"/>
      <c r="AD38" s="4094" t="n"/>
      <c r="AE38" s="4094" t="n"/>
      <c r="AF38" s="4094" t="n"/>
      <c r="AG38" s="4094" t="n"/>
      <c r="AH38" s="4094" t="n"/>
      <c r="AI38" s="4094" t="n"/>
      <c r="AJ38" s="4094" t="n"/>
      <c r="AK38" s="4094" t="n"/>
      <c r="AL38" s="4094" t="n"/>
      <c r="AM38" s="4094" t="n"/>
      <c r="AN38" s="4094" t="n"/>
      <c r="AO38" s="4095" t="n"/>
      <c r="AP38" s="4094" t="n"/>
      <c r="AQ38" s="4094" t="n"/>
      <c r="AR38" s="4094" t="n"/>
      <c r="AS38" s="4094" t="n"/>
      <c r="AT38" s="4094" t="n"/>
      <c r="AU38" s="4096" t="n"/>
      <c r="AV38" s="4094" t="n"/>
      <c r="AW38" s="4094" t="n"/>
      <c r="AX38" s="4094" t="n"/>
      <c r="AY38" s="4094" t="n"/>
      <c r="AZ38" s="4094" t="n"/>
      <c r="BA38" s="3737" t="n"/>
      <c r="BB38" s="4094" t="n"/>
    </row>
    <row r="39" hidden="1" outlineLevel="3" ht="12" customHeight="1" s="3710">
      <c r="C39" s="4218" t="inlineStr">
        <is>
          <t>Cash USD - settlement td bank, n.a 154</t>
        </is>
      </c>
      <c r="D39" s="4246" t="n"/>
      <c r="E39" s="4246" t="n"/>
      <c r="F39" s="4243" t="n"/>
      <c r="G39" s="4094" t="n"/>
      <c r="H39" s="4094" t="n"/>
      <c r="I39" s="4094" t="n"/>
      <c r="J39" s="4094" t="n"/>
      <c r="K39" s="4094" t="n"/>
      <c r="L39" s="4094" t="n"/>
      <c r="M39" s="4094" t="n"/>
      <c r="N39" s="4094" t="n"/>
      <c r="O39" s="4094" t="n"/>
      <c r="P39" s="4094" t="n"/>
      <c r="Q39" s="4095" t="n"/>
      <c r="R39" s="4094" t="n"/>
      <c r="S39" s="4094" t="n"/>
      <c r="T39" s="4094" t="n"/>
      <c r="U39" s="4094" t="n"/>
      <c r="V39" s="4094" t="n"/>
      <c r="W39" s="4094" t="n"/>
      <c r="X39" s="4094" t="n"/>
      <c r="Y39" s="4094" t="n"/>
      <c r="Z39" s="4094" t="n"/>
      <c r="AA39" s="4094" t="n"/>
      <c r="AB39" s="4094" t="n"/>
      <c r="AC39" s="4095" t="n"/>
      <c r="AD39" s="4094" t="n"/>
      <c r="AE39" s="4094" t="n"/>
      <c r="AF39" s="4094" t="n"/>
      <c r="AG39" s="4094" t="n"/>
      <c r="AH39" s="4094" t="n"/>
      <c r="AI39" s="4094" t="n"/>
      <c r="AJ39" s="4094" t="n"/>
      <c r="AK39" s="4094" t="n"/>
      <c r="AL39" s="4094" t="n"/>
      <c r="AM39" s="4094" t="n"/>
      <c r="AN39" s="4094" t="n"/>
      <c r="AO39" s="4095" t="n"/>
      <c r="AP39" s="4094" t="n"/>
      <c r="AQ39" s="4094" t="n"/>
      <c r="AR39" s="4094" t="n"/>
      <c r="AS39" s="4094" t="n"/>
      <c r="AT39" s="4094" t="n"/>
      <c r="AU39" s="4096" t="n"/>
      <c r="AV39" s="4094" t="n"/>
      <c r="AW39" s="4094" t="n"/>
      <c r="AX39" s="4094" t="n"/>
      <c r="AY39" s="4094" t="n"/>
      <c r="AZ39" s="4094" t="n"/>
      <c r="BA39" s="3737" t="n"/>
      <c r="BB39" s="4094" t="n"/>
    </row>
    <row r="40" hidden="1" outlineLevel="3" ht="12" customHeight="1" s="3710">
      <c r="C40" s="4247" t="inlineStr">
        <is>
          <t>Cash settlement e-transfer 059</t>
        </is>
      </c>
      <c r="D40" s="4248" t="n"/>
      <c r="E40" s="4248" t="n"/>
      <c r="F40" s="4249" t="n"/>
      <c r="G40" s="4102" t="n"/>
      <c r="H40" s="4102" t="n"/>
      <c r="I40" s="4102" t="n"/>
      <c r="J40" s="4102" t="n"/>
      <c r="K40" s="4102" t="n"/>
      <c r="L40" s="4102" t="n"/>
      <c r="M40" s="4102" t="n"/>
      <c r="N40" s="4102" t="n"/>
      <c r="O40" s="4102" t="n"/>
      <c r="P40" s="4102" t="n"/>
      <c r="Q40" s="4103" t="n"/>
      <c r="R40" s="4102" t="n"/>
      <c r="S40" s="4102" t="n"/>
      <c r="T40" s="4102" t="n"/>
      <c r="U40" s="4102" t="n"/>
      <c r="V40" s="4102" t="n"/>
      <c r="W40" s="4102" t="n"/>
      <c r="X40" s="4102" t="n"/>
      <c r="Y40" s="4102" t="n"/>
      <c r="Z40" s="4102" t="n"/>
      <c r="AA40" s="4102" t="n"/>
      <c r="AB40" s="4102" t="n"/>
      <c r="AC40" s="4103" t="n"/>
      <c r="AD40" s="4102" t="n"/>
      <c r="AE40" s="4102" t="n"/>
      <c r="AF40" s="4102" t="n"/>
      <c r="AG40" s="4102" t="n"/>
      <c r="AH40" s="4102" t="n"/>
      <c r="AI40" s="4102" t="n"/>
      <c r="AJ40" s="4102" t="n"/>
      <c r="AK40" s="4102" t="n"/>
      <c r="AL40" s="4102" t="n"/>
      <c r="AM40" s="4102" t="n"/>
      <c r="AN40" s="4102" t="n"/>
      <c r="AO40" s="4103" t="n"/>
      <c r="AP40" s="4102" t="n"/>
      <c r="AQ40" s="4102" t="n"/>
      <c r="AR40" s="4102" t="n"/>
      <c r="AS40" s="4102" t="n"/>
      <c r="AT40" s="4102" t="n"/>
      <c r="AU40" s="4104" t="n"/>
      <c r="AV40" s="4102" t="n"/>
      <c r="AW40" s="4102" t="n"/>
      <c r="AX40" s="4102" t="n"/>
      <c r="AY40" s="4102" t="n"/>
      <c r="AZ40" s="4102" t="n"/>
      <c r="BA40" s="3737" t="n"/>
      <c r="BB40" s="4102" t="n"/>
    </row>
    <row r="41" hidden="1" outlineLevel="2" collapsed="1" ht="12" customHeight="1" s="3710">
      <c r="C41" s="4012" t="inlineStr">
        <is>
          <t xml:space="preserve">Items in transit </t>
        </is>
      </c>
      <c r="D41" s="4246" t="n"/>
      <c r="E41" s="4246" t="n"/>
      <c r="F41" s="4243" t="n"/>
      <c r="G41" s="4094" t="n"/>
      <c r="H41" s="4094" t="n"/>
      <c r="I41" s="4094" t="n"/>
      <c r="J41" s="4094" t="n"/>
      <c r="K41" s="4094" t="n"/>
      <c r="L41" s="4094" t="n"/>
      <c r="M41" s="4094" t="n"/>
      <c r="N41" s="4094" t="n"/>
      <c r="O41" s="4094" t="n"/>
      <c r="P41" s="4094" t="n"/>
      <c r="Q41" s="4095" t="n"/>
      <c r="R41" s="4094" t="n"/>
      <c r="S41" s="4094" t="n"/>
      <c r="T41" s="4094" t="n"/>
      <c r="U41" s="4094" t="n"/>
      <c r="V41" s="4094" t="n"/>
      <c r="W41" s="4094" t="n"/>
      <c r="X41" s="4094" t="n"/>
      <c r="Y41" s="4094" t="n"/>
      <c r="Z41" s="4094" t="n"/>
      <c r="AA41" s="4094" t="n"/>
      <c r="AB41" s="4094" t="n"/>
      <c r="AC41" s="4095" t="n"/>
      <c r="AD41" s="4094" t="n"/>
      <c r="AE41" s="4094" t="n"/>
      <c r="AF41" s="4094" t="n"/>
      <c r="AG41" s="4094" t="n"/>
      <c r="AH41" s="4094" t="n"/>
      <c r="AI41" s="4094" t="n"/>
      <c r="AJ41" s="4094" t="n"/>
      <c r="AK41" s="4094" t="n"/>
      <c r="AL41" s="4094" t="n"/>
      <c r="AM41" s="4094" t="n"/>
      <c r="AN41" s="4094" t="n"/>
      <c r="AO41" s="4095" t="n"/>
      <c r="AP41" s="4094" t="n"/>
      <c r="AQ41" s="4094" t="n"/>
      <c r="AR41" s="4094" t="n"/>
      <c r="AS41" s="4094" t="n"/>
      <c r="AT41" s="4094" t="n"/>
      <c r="AU41" s="4096" t="n"/>
      <c r="AV41" s="4094" t="n"/>
      <c r="AW41" s="4094" t="n"/>
      <c r="AX41" s="4094" t="n"/>
      <c r="AY41" s="4094" t="n"/>
      <c r="AZ41" s="4094" t="n"/>
      <c r="BA41" s="3737" t="n"/>
      <c r="BB41" s="4094" t="n"/>
    </row>
    <row r="42" hidden="1" outlineLevel="3" ht="12" customFormat="1" customHeight="1" s="3743">
      <c r="A42" s="4165" t="n"/>
      <c r="B42" s="3903" t="n"/>
      <c r="C42" s="4218" t="inlineStr">
        <is>
          <t>A/R billings-subledger</t>
        </is>
      </c>
      <c r="D42" s="3902" t="n">
        <v>120101</v>
      </c>
      <c r="E42" s="3902" t="inlineStr">
        <is>
          <t>120101 - A/R Billings-Subledger</t>
        </is>
      </c>
      <c r="F42" s="4250" t="n"/>
      <c r="G42" s="3900" t="n"/>
      <c r="H42" s="3900" t="n"/>
      <c r="I42" s="3900" t="n"/>
      <c r="J42" s="3900" t="n"/>
      <c r="K42" s="3900" t="n"/>
      <c r="L42" s="3900" t="n"/>
      <c r="M42" s="3900" t="n"/>
      <c r="N42" s="3900" t="n"/>
      <c r="O42" s="3900" t="n"/>
      <c r="P42" s="3900" t="n"/>
      <c r="Q42" s="4200" t="n"/>
      <c r="R42" s="3900" t="n"/>
      <c r="S42" s="3900" t="n"/>
      <c r="T42" s="3900" t="n"/>
      <c r="U42" s="3900" t="n"/>
      <c r="V42" s="3900" t="n"/>
      <c r="W42" s="3900" t="n"/>
      <c r="X42" s="3900" t="n"/>
      <c r="Y42" s="3900" t="n"/>
      <c r="Z42" s="3900" t="n"/>
      <c r="AA42" s="3900" t="n"/>
      <c r="AB42" s="3900" t="n"/>
      <c r="AC42" s="4200" t="n"/>
      <c r="AD42" s="3900" t="n"/>
      <c r="AE42" s="3900" t="n"/>
      <c r="AF42" s="3900" t="n"/>
      <c r="AG42" s="3900" t="n"/>
      <c r="AH42" s="3900" t="n"/>
      <c r="AI42" s="3900" t="n"/>
      <c r="AJ42" s="3900" t="n"/>
      <c r="AK42" s="3900" t="n"/>
      <c r="AL42" s="3900" t="n"/>
      <c r="AM42" s="3900" t="n"/>
      <c r="AN42" s="3900" t="n"/>
      <c r="AO42" s="4200" t="n"/>
      <c r="AP42" s="3900" t="n"/>
      <c r="AQ42" s="3900" t="n"/>
      <c r="AR42" s="3900" t="n"/>
      <c r="AS42" s="3900" t="n"/>
      <c r="AT42" s="3900" t="n"/>
      <c r="AU42" s="4201" t="n"/>
      <c r="AV42" s="3900" t="n"/>
      <c r="AW42" s="3900" t="n"/>
      <c r="AX42" s="3900" t="n"/>
      <c r="AY42" s="3900" t="n"/>
      <c r="AZ42" s="3900" t="n"/>
      <c r="BA42" s="3743" t="n"/>
      <c r="BB42" s="3900" t="n"/>
    </row>
    <row r="43" hidden="1" outlineLevel="3" ht="12" customFormat="1" customHeight="1" s="3743">
      <c r="A43" s="4165" t="n"/>
      <c r="B43" s="3891" t="n"/>
      <c r="C43" s="4218" t="inlineStr">
        <is>
          <t>A/R-trade accrual</t>
        </is>
      </c>
      <c r="D43" s="3902" t="n">
        <v>120201</v>
      </c>
      <c r="E43" s="3902" t="inlineStr">
        <is>
          <t>120201 - A/R-Trade Accrual</t>
        </is>
      </c>
      <c r="F43" s="4250" t="n"/>
      <c r="G43" s="3900" t="n"/>
      <c r="H43" s="3900" t="n"/>
      <c r="I43" s="3900" t="n"/>
      <c r="J43" s="3900" t="n"/>
      <c r="K43" s="3900" t="n"/>
      <c r="L43" s="3900" t="n"/>
      <c r="M43" s="3900" t="n"/>
      <c r="N43" s="3900" t="n"/>
      <c r="O43" s="3900" t="n"/>
      <c r="P43" s="3900" t="n"/>
      <c r="Q43" s="4200" t="n"/>
      <c r="R43" s="3900" t="n"/>
      <c r="S43" s="3900" t="n"/>
      <c r="T43" s="3900" t="n"/>
      <c r="U43" s="3900" t="n"/>
      <c r="V43" s="3900" t="n"/>
      <c r="W43" s="3900" t="n"/>
      <c r="X43" s="3900" t="n"/>
      <c r="Y43" s="3900" t="n"/>
      <c r="Z43" s="3900" t="n"/>
      <c r="AA43" s="3900" t="n"/>
      <c r="AB43" s="3900" t="n"/>
      <c r="AC43" s="4200" t="n"/>
      <c r="AD43" s="3900" t="n"/>
      <c r="AE43" s="3900" t="n"/>
      <c r="AF43" s="3900" t="n"/>
      <c r="AG43" s="3900" t="n"/>
      <c r="AH43" s="3900" t="n"/>
      <c r="AI43" s="3900" t="n"/>
      <c r="AJ43" s="3900" t="n"/>
      <c r="AK43" s="3900" t="n"/>
      <c r="AL43" s="3900" t="n"/>
      <c r="AM43" s="3900" t="n"/>
      <c r="AN43" s="3900" t="n"/>
      <c r="AO43" s="4200" t="n"/>
      <c r="AP43" s="3900" t="n"/>
      <c r="AQ43" s="3900" t="n"/>
      <c r="AR43" s="3900" t="n"/>
      <c r="AS43" s="3900" t="n"/>
      <c r="AT43" s="3900" t="n"/>
      <c r="AU43" s="4201" t="n"/>
      <c r="AV43" s="3900" t="n"/>
      <c r="AW43" s="3900" t="n"/>
      <c r="AX43" s="3900" t="n"/>
      <c r="AY43" s="3900" t="n"/>
      <c r="AZ43" s="3900" t="n"/>
      <c r="BA43" s="3743" t="n"/>
      <c r="BB43" s="3900" t="n"/>
    </row>
    <row r="44" hidden="1" outlineLevel="3" ht="12" customFormat="1" customHeight="1" s="3743">
      <c r="A44" s="4165" t="n"/>
      <c r="B44" s="3891" t="n"/>
      <c r="C44" s="4218" t="inlineStr">
        <is>
          <t>Accrued merchant services fees</t>
        </is>
      </c>
      <c r="D44" s="3902" t="n">
        <v>120301</v>
      </c>
      <c r="E44" s="3902" t="inlineStr">
        <is>
          <t>120301 - Accrued Merchant Services Fees</t>
        </is>
      </c>
      <c r="F44" s="4250" t="n"/>
      <c r="G44" s="3900" t="n"/>
      <c r="H44" s="3900" t="n"/>
      <c r="I44" s="3900" t="n"/>
      <c r="J44" s="3900" t="n"/>
      <c r="K44" s="3900" t="n"/>
      <c r="L44" s="3900" t="n"/>
      <c r="M44" s="3900" t="n"/>
      <c r="N44" s="3900" t="n"/>
      <c r="O44" s="3900" t="n"/>
      <c r="P44" s="3900" t="n"/>
      <c r="Q44" s="4200" t="n"/>
      <c r="R44" s="3900" t="n"/>
      <c r="S44" s="3900" t="n"/>
      <c r="T44" s="3900" t="n"/>
      <c r="U44" s="3900" t="n"/>
      <c r="V44" s="3900" t="n"/>
      <c r="W44" s="3900" t="n"/>
      <c r="X44" s="3900" t="n"/>
      <c r="Y44" s="3900" t="n"/>
      <c r="Z44" s="3900" t="n"/>
      <c r="AA44" s="3900" t="n"/>
      <c r="AB44" s="3900" t="n"/>
      <c r="AC44" s="4200" t="n"/>
      <c r="AD44" s="3900" t="n"/>
      <c r="AE44" s="3900" t="n"/>
      <c r="AF44" s="3900" t="n"/>
      <c r="AG44" s="3900" t="n"/>
      <c r="AH44" s="3900" t="n"/>
      <c r="AI44" s="3900" t="n"/>
      <c r="AJ44" s="3900" t="n"/>
      <c r="AK44" s="3900" t="n"/>
      <c r="AL44" s="3900" t="n"/>
      <c r="AM44" s="3900" t="n"/>
      <c r="AN44" s="3900" t="n"/>
      <c r="AO44" s="4200" t="n"/>
      <c r="AP44" s="3900" t="n"/>
      <c r="AQ44" s="3900" t="n"/>
      <c r="AR44" s="3900" t="n"/>
      <c r="AS44" s="3900" t="n"/>
      <c r="AT44" s="3900" t="n"/>
      <c r="AU44" s="4201" t="n"/>
      <c r="AV44" s="3900" t="n"/>
      <c r="AW44" s="3900" t="n"/>
      <c r="AX44" s="3900" t="n"/>
      <c r="AY44" s="3900" t="n"/>
      <c r="AZ44" s="3900" t="n"/>
      <c r="BA44" s="3743" t="n"/>
      <c r="BB44" s="3900" t="n"/>
    </row>
    <row r="45" hidden="1" outlineLevel="3" ht="12" customFormat="1" customHeight="1" s="3743">
      <c r="A45" s="4165" t="n"/>
      <c r="B45" s="3891" t="n"/>
      <c r="C45" s="4218" t="inlineStr">
        <is>
          <t>Accrued other receivable</t>
        </is>
      </c>
      <c r="D45" s="3902" t="n">
        <v>120401</v>
      </c>
      <c r="E45" s="3902" t="inlineStr">
        <is>
          <t>120401 - Accrued Other Receivable</t>
        </is>
      </c>
      <c r="F45" s="4250" t="n"/>
      <c r="G45" s="3900" t="n"/>
      <c r="H45" s="3900" t="n"/>
      <c r="I45" s="3900" t="n"/>
      <c r="J45" s="3900" t="n"/>
      <c r="K45" s="3900" t="n"/>
      <c r="L45" s="3900" t="n"/>
      <c r="M45" s="3900" t="n"/>
      <c r="N45" s="3900" t="n"/>
      <c r="O45" s="3900" t="n"/>
      <c r="P45" s="3900" t="n"/>
      <c r="Q45" s="4200" t="n"/>
      <c r="R45" s="3900" t="n"/>
      <c r="S45" s="3900" t="n"/>
      <c r="T45" s="3900" t="n"/>
      <c r="U45" s="3900" t="n"/>
      <c r="V45" s="3900" t="n"/>
      <c r="W45" s="3900" t="n"/>
      <c r="X45" s="3900" t="n"/>
      <c r="Y45" s="3900" t="n"/>
      <c r="Z45" s="3900" t="n"/>
      <c r="AA45" s="3900" t="n"/>
      <c r="AB45" s="3900" t="n"/>
      <c r="AC45" s="4200" t="n"/>
      <c r="AD45" s="3900" t="n"/>
      <c r="AE45" s="3900" t="n"/>
      <c r="AF45" s="3900" t="n"/>
      <c r="AG45" s="3900" t="n"/>
      <c r="AH45" s="3900" t="n"/>
      <c r="AI45" s="3900" t="n"/>
      <c r="AJ45" s="3900" t="n"/>
      <c r="AK45" s="3900" t="n"/>
      <c r="AL45" s="3900" t="n"/>
      <c r="AM45" s="3900" t="n"/>
      <c r="AN45" s="3900" t="n"/>
      <c r="AO45" s="4200" t="n"/>
      <c r="AP45" s="3900" t="n"/>
      <c r="AQ45" s="3900" t="n"/>
      <c r="AR45" s="3900" t="n"/>
      <c r="AS45" s="3900" t="n"/>
      <c r="AT45" s="3900" t="n"/>
      <c r="AU45" s="4201" t="n"/>
      <c r="AV45" s="3900" t="n"/>
      <c r="AW45" s="3900" t="n"/>
      <c r="AX45" s="3900" t="n"/>
      <c r="AY45" s="3900" t="n"/>
      <c r="AZ45" s="3900" t="n"/>
      <c r="BA45" s="3743" t="n"/>
      <c r="BB45" s="3900" t="n"/>
    </row>
    <row r="46" hidden="1" outlineLevel="3" ht="12" customFormat="1" customHeight="1" s="3743">
      <c r="A46" s="4209" t="n"/>
      <c r="B46" s="3891" t="n"/>
      <c r="C46" s="4218" t="inlineStr">
        <is>
          <t>Sales tax receivables - HST/GST</t>
        </is>
      </c>
      <c r="D46" s="3902" t="n">
        <v>130301</v>
      </c>
      <c r="E46" s="3902" t="inlineStr">
        <is>
          <t>130301 - Sales Tax Receivables - HST/GST</t>
        </is>
      </c>
      <c r="F46" s="4250" t="n"/>
      <c r="G46" s="3900" t="n"/>
      <c r="H46" s="3900" t="n"/>
      <c r="I46" s="3900" t="n"/>
      <c r="J46" s="3900" t="n"/>
      <c r="K46" s="3900" t="n"/>
      <c r="L46" s="3900" t="n"/>
      <c r="M46" s="3900" t="n"/>
      <c r="N46" s="3900" t="n"/>
      <c r="O46" s="3900" t="n"/>
      <c r="P46" s="3900" t="n"/>
      <c r="Q46" s="4200" t="n"/>
      <c r="R46" s="3900" t="n"/>
      <c r="S46" s="3900" t="n"/>
      <c r="T46" s="3900" t="n"/>
      <c r="U46" s="3900" t="n"/>
      <c r="V46" s="3900" t="n"/>
      <c r="W46" s="3900" t="n"/>
      <c r="X46" s="3900" t="n"/>
      <c r="Y46" s="3900" t="n"/>
      <c r="Z46" s="3900" t="n"/>
      <c r="AA46" s="3900" t="n"/>
      <c r="AB46" s="3900" t="n"/>
      <c r="AC46" s="4200" t="n"/>
      <c r="AD46" s="3900" t="n"/>
      <c r="AE46" s="3900" t="n"/>
      <c r="AF46" s="3900" t="n"/>
      <c r="AG46" s="3900" t="n"/>
      <c r="AH46" s="3900" t="n"/>
      <c r="AI46" s="3900" t="n"/>
      <c r="AJ46" s="3900" t="n"/>
      <c r="AK46" s="3900" t="n"/>
      <c r="AL46" s="3900" t="n"/>
      <c r="AM46" s="3900" t="n"/>
      <c r="AN46" s="3900" t="n"/>
      <c r="AO46" s="4200" t="n"/>
      <c r="AP46" s="3900" t="n"/>
      <c r="AQ46" s="3900" t="n"/>
      <c r="AR46" s="3900" t="n"/>
      <c r="AS46" s="3900" t="n"/>
      <c r="AT46" s="3900" t="n"/>
      <c r="AU46" s="4201" t="n"/>
      <c r="AV46" s="3900" t="n"/>
      <c r="AW46" s="3900" t="n"/>
      <c r="AX46" s="3900" t="n"/>
      <c r="AY46" s="3900" t="n"/>
      <c r="AZ46" s="3900" t="n"/>
      <c r="BA46" s="3743" t="n"/>
      <c r="BB46" s="3900" t="n"/>
    </row>
    <row r="47" hidden="1" outlineLevel="3" ht="12" customFormat="1" customHeight="1" s="3743">
      <c r="A47" s="4165" t="n"/>
      <c r="B47" s="3891" t="n"/>
      <c r="C47" s="4218" t="inlineStr">
        <is>
          <t>Interest receivables</t>
        </is>
      </c>
      <c r="D47" s="3902" t="n">
        <v>130101</v>
      </c>
      <c r="E47" s="3902" t="inlineStr">
        <is>
          <t>130101 - Interest Receivables</t>
        </is>
      </c>
      <c r="F47" s="4250" t="n"/>
      <c r="G47" s="3900" t="n"/>
      <c r="H47" s="3900" t="n"/>
      <c r="I47" s="3900" t="n"/>
      <c r="J47" s="3900" t="n"/>
      <c r="K47" s="3900" t="n"/>
      <c r="L47" s="3900" t="n"/>
      <c r="M47" s="3900" t="n"/>
      <c r="N47" s="3900" t="n"/>
      <c r="O47" s="3900" t="n"/>
      <c r="P47" s="3900" t="n"/>
      <c r="Q47" s="4200" t="n"/>
      <c r="R47" s="3900" t="n"/>
      <c r="S47" s="3900" t="n"/>
      <c r="T47" s="3900" t="n"/>
      <c r="U47" s="3900" t="n"/>
      <c r="V47" s="3900" t="n"/>
      <c r="W47" s="3900" t="n"/>
      <c r="X47" s="3900" t="n"/>
      <c r="Y47" s="3900" t="n"/>
      <c r="Z47" s="3900" t="n"/>
      <c r="AA47" s="3900" t="n"/>
      <c r="AB47" s="3900" t="n"/>
      <c r="AC47" s="4200" t="n"/>
      <c r="AD47" s="3900" t="n"/>
      <c r="AE47" s="3900" t="n"/>
      <c r="AF47" s="3900" t="n"/>
      <c r="AG47" s="3900" t="n"/>
      <c r="AH47" s="3900" t="n"/>
      <c r="AI47" s="3900" t="n"/>
      <c r="AJ47" s="3900" t="n"/>
      <c r="AK47" s="3900" t="n"/>
      <c r="AL47" s="3900" t="n"/>
      <c r="AM47" s="3900" t="n"/>
      <c r="AN47" s="3900" t="n"/>
      <c r="AO47" s="4200" t="n"/>
      <c r="AP47" s="3900" t="n"/>
      <c r="AQ47" s="3900" t="n"/>
      <c r="AR47" s="3900" t="n"/>
      <c r="AS47" s="3900" t="n"/>
      <c r="AT47" s="3900" t="n"/>
      <c r="AU47" s="4201" t="n"/>
      <c r="AV47" s="3900" t="n"/>
      <c r="AW47" s="3900" t="n"/>
      <c r="AX47" s="3900" t="n"/>
      <c r="AY47" s="3900" t="n"/>
      <c r="AZ47" s="3900" t="n"/>
      <c r="BA47" s="3743" t="n"/>
      <c r="BB47" s="3900" t="n"/>
    </row>
    <row r="48" hidden="1" outlineLevel="3" ht="12" customFormat="1" customHeight="1" s="3743">
      <c r="A48" s="4165" t="n"/>
      <c r="B48" s="3891" t="n"/>
      <c r="C48" s="4218" t="inlineStr">
        <is>
          <t>Sales tax receivables - QST</t>
        </is>
      </c>
      <c r="D48" s="3902" t="n">
        <v>130300</v>
      </c>
      <c r="E48" s="3902" t="inlineStr">
        <is>
          <t>130300 - Sales Tax Receivables - QST</t>
        </is>
      </c>
      <c r="F48" s="4250" t="n"/>
      <c r="G48" s="3900" t="n"/>
      <c r="H48" s="3900" t="n"/>
      <c r="I48" s="3900" t="n"/>
      <c r="J48" s="3900" t="n"/>
      <c r="K48" s="3900" t="n"/>
      <c r="L48" s="3900" t="n"/>
      <c r="M48" s="3900" t="n"/>
      <c r="N48" s="3900" t="n"/>
      <c r="O48" s="3900" t="n"/>
      <c r="P48" s="3900" t="n"/>
      <c r="Q48" s="4200" t="n"/>
      <c r="R48" s="3900" t="n"/>
      <c r="S48" s="3900" t="n"/>
      <c r="T48" s="3900" t="n"/>
      <c r="U48" s="3900" t="n"/>
      <c r="V48" s="3900" t="n"/>
      <c r="W48" s="3900" t="n"/>
      <c r="X48" s="3900" t="n"/>
      <c r="Y48" s="3900" t="n"/>
      <c r="Z48" s="3900" t="n"/>
      <c r="AA48" s="3900" t="n"/>
      <c r="AB48" s="3900" t="n"/>
      <c r="AC48" s="4200" t="n"/>
      <c r="AD48" s="3900" t="n"/>
      <c r="AE48" s="3900" t="n"/>
      <c r="AF48" s="3900" t="n"/>
      <c r="AG48" s="3900" t="n"/>
      <c r="AH48" s="3900" t="n"/>
      <c r="AI48" s="3900" t="n"/>
      <c r="AJ48" s="3900" t="n"/>
      <c r="AK48" s="3900" t="n"/>
      <c r="AL48" s="3900" t="n"/>
      <c r="AM48" s="3900" t="n"/>
      <c r="AN48" s="3900" t="n"/>
      <c r="AO48" s="4200" t="n"/>
      <c r="AP48" s="3900" t="n"/>
      <c r="AQ48" s="3900" t="n"/>
      <c r="AR48" s="3900" t="n"/>
      <c r="AS48" s="3900" t="n"/>
      <c r="AT48" s="3900" t="n"/>
      <c r="AU48" s="4201" t="n"/>
      <c r="AV48" s="3900" t="n"/>
      <c r="AW48" s="3900" t="n"/>
      <c r="AX48" s="3900" t="n"/>
      <c r="AY48" s="3900" t="n"/>
      <c r="AZ48" s="3900" t="n"/>
      <c r="BA48" s="3743" t="n"/>
      <c r="BB48" s="3900" t="n"/>
    </row>
    <row r="49" hidden="1" outlineLevel="3" ht="12" customFormat="1" customHeight="1" s="3743">
      <c r="A49" s="4165" t="n"/>
      <c r="B49" s="3891" t="n"/>
      <c r="C49" s="4218" t="inlineStr">
        <is>
          <t>IFRS15 adjustment to accr A/R</t>
        </is>
      </c>
      <c r="D49" s="3902" t="n">
        <v>120215</v>
      </c>
      <c r="E49" s="3902" t="inlineStr">
        <is>
          <t>120215 - -IFRS15 Adjustment to Accr AR-</t>
        </is>
      </c>
      <c r="F49" s="4250" t="n"/>
      <c r="G49" s="3900" t="n"/>
      <c r="H49" s="3900" t="n"/>
      <c r="I49" s="3900" t="n"/>
      <c r="J49" s="3900" t="n"/>
      <c r="K49" s="3900" t="n"/>
      <c r="L49" s="3900" t="n"/>
      <c r="M49" s="3900" t="n"/>
      <c r="N49" s="3900" t="n"/>
      <c r="O49" s="3900" t="n"/>
      <c r="P49" s="3900" t="n"/>
      <c r="Q49" s="4200" t="n"/>
      <c r="R49" s="3900" t="n"/>
      <c r="S49" s="3900" t="n"/>
      <c r="T49" s="3900" t="n"/>
      <c r="U49" s="3900" t="n"/>
      <c r="V49" s="3900" t="n"/>
      <c r="W49" s="3900" t="n"/>
      <c r="X49" s="3900" t="n"/>
      <c r="Y49" s="3900" t="n"/>
      <c r="Z49" s="3900" t="n"/>
      <c r="AA49" s="3900" t="n"/>
      <c r="AB49" s="3900" t="n"/>
      <c r="AC49" s="4200" t="n"/>
      <c r="AD49" s="3900" t="n"/>
      <c r="AE49" s="3900" t="n"/>
      <c r="AF49" s="3900" t="n"/>
      <c r="AG49" s="3900" t="n"/>
      <c r="AH49" s="3900" t="n"/>
      <c r="AI49" s="3900" t="n"/>
      <c r="AJ49" s="3900" t="n"/>
      <c r="AK49" s="3900" t="n"/>
      <c r="AL49" s="3900" t="n"/>
      <c r="AM49" s="3900" t="n"/>
      <c r="AN49" s="3900" t="n"/>
      <c r="AO49" s="4200" t="n"/>
      <c r="AP49" s="3900" t="n"/>
      <c r="AQ49" s="3900" t="n"/>
      <c r="AR49" s="3900" t="n"/>
      <c r="AS49" s="3900" t="n"/>
      <c r="AT49" s="3900" t="n"/>
      <c r="AU49" s="4201" t="n"/>
      <c r="AV49" s="3900" t="n"/>
      <c r="AW49" s="3900" t="n"/>
      <c r="AX49" s="3900" t="n"/>
      <c r="AY49" s="3900" t="n"/>
      <c r="AZ49" s="3900" t="n"/>
      <c r="BA49" s="3743" t="n"/>
      <c r="BB49" s="3900" t="n"/>
    </row>
    <row r="50" hidden="1" outlineLevel="3" ht="12" customFormat="1" customHeight="1" s="3743">
      <c r="A50" s="4165" t="n"/>
      <c r="B50" s="3891" t="n"/>
      <c r="C50" s="4218" t="inlineStr">
        <is>
          <t>Corporate card payments suspense</t>
        </is>
      </c>
      <c r="D50" s="3902" t="n">
        <v>143102</v>
      </c>
      <c r="E50" s="3902" t="inlineStr">
        <is>
          <t>143102 - Corporate Card Payments Suspense</t>
        </is>
      </c>
      <c r="F50" s="4250" t="n"/>
      <c r="G50" s="3900" t="n"/>
      <c r="H50" s="3900" t="n"/>
      <c r="I50" s="3900" t="n"/>
      <c r="J50" s="3900" t="n"/>
      <c r="K50" s="3900" t="n"/>
      <c r="L50" s="3900" t="n"/>
      <c r="M50" s="3900" t="n"/>
      <c r="N50" s="3900" t="n"/>
      <c r="O50" s="3900" t="n"/>
      <c r="P50" s="3900" t="n"/>
      <c r="Q50" s="4200" t="n"/>
      <c r="R50" s="3900" t="n"/>
      <c r="S50" s="3900" t="n"/>
      <c r="T50" s="3900" t="n"/>
      <c r="U50" s="3900" t="n"/>
      <c r="V50" s="3900" t="n"/>
      <c r="W50" s="3900" t="n"/>
      <c r="X50" s="3900" t="n"/>
      <c r="Y50" s="3900" t="n"/>
      <c r="Z50" s="3900" t="n"/>
      <c r="AA50" s="3900" t="n"/>
      <c r="AB50" s="3900" t="n"/>
      <c r="AC50" s="4200" t="n"/>
      <c r="AD50" s="3900" t="n"/>
      <c r="AE50" s="3900" t="n"/>
      <c r="AF50" s="3900" t="n"/>
      <c r="AG50" s="3900" t="n"/>
      <c r="AH50" s="3900" t="n"/>
      <c r="AI50" s="3900" t="n"/>
      <c r="AJ50" s="3900" t="n"/>
      <c r="AK50" s="3900" t="n"/>
      <c r="AL50" s="3900" t="n"/>
      <c r="AM50" s="3900" t="n"/>
      <c r="AN50" s="3900" t="n"/>
      <c r="AO50" s="4200" t="n"/>
      <c r="AP50" s="3900" t="n"/>
      <c r="AQ50" s="3900" t="n"/>
      <c r="AR50" s="3900" t="n"/>
      <c r="AS50" s="3900" t="n"/>
      <c r="AT50" s="3900" t="n"/>
      <c r="AU50" s="4201" t="n"/>
      <c r="AV50" s="3900" t="n"/>
      <c r="AW50" s="3900" t="n"/>
      <c r="AX50" s="3900" t="n"/>
      <c r="AY50" s="3900" t="n"/>
      <c r="AZ50" s="3900" t="n"/>
      <c r="BA50" s="3743" t="n"/>
      <c r="BB50" s="3900" t="n"/>
    </row>
    <row r="51" hidden="1" outlineLevel="3" ht="12" customFormat="1" customHeight="1" s="3743">
      <c r="A51" s="4165" t="n"/>
      <c r="B51" s="3891" t="n"/>
      <c r="C51" s="4219" t="inlineStr">
        <is>
          <t>Allowances for customers A/R</t>
        </is>
      </c>
      <c r="D51" s="4204" t="n">
        <v>125101</v>
      </c>
      <c r="E51" s="4204" t="inlineStr">
        <is>
          <t>125101 - Allowances for Customers A/R</t>
        </is>
      </c>
      <c r="F51" s="4249" t="n"/>
      <c r="G51" s="4205" t="n"/>
      <c r="H51" s="4205" t="n"/>
      <c r="I51" s="4205" t="n"/>
      <c r="J51" s="4205" t="n"/>
      <c r="K51" s="4205" t="n"/>
      <c r="L51" s="4205" t="n"/>
      <c r="M51" s="4205" t="n"/>
      <c r="N51" s="4205" t="n"/>
      <c r="O51" s="4205" t="n"/>
      <c r="P51" s="4205" t="n"/>
      <c r="Q51" s="4206" t="n"/>
      <c r="R51" s="4205" t="n"/>
      <c r="S51" s="4205" t="n"/>
      <c r="T51" s="4205" t="n"/>
      <c r="U51" s="4205" t="n"/>
      <c r="V51" s="4205" t="n"/>
      <c r="W51" s="4205" t="n"/>
      <c r="X51" s="4205" t="n"/>
      <c r="Y51" s="4205" t="n"/>
      <c r="Z51" s="4205" t="n"/>
      <c r="AA51" s="4205" t="n"/>
      <c r="AB51" s="4205" t="n"/>
      <c r="AC51" s="4206" t="n"/>
      <c r="AD51" s="4205" t="n"/>
      <c r="AE51" s="4205" t="n"/>
      <c r="AF51" s="4205" t="n"/>
      <c r="AG51" s="4205" t="n"/>
      <c r="AH51" s="4205" t="n"/>
      <c r="AI51" s="4205" t="n"/>
      <c r="AJ51" s="4205" t="n"/>
      <c r="AK51" s="4205" t="n"/>
      <c r="AL51" s="4205" t="n"/>
      <c r="AM51" s="4205" t="n"/>
      <c r="AN51" s="4205" t="n"/>
      <c r="AO51" s="4206" t="n"/>
      <c r="AP51" s="4205" t="n"/>
      <c r="AQ51" s="4205" t="n"/>
      <c r="AR51" s="4205" t="n"/>
      <c r="AS51" s="4205" t="n"/>
      <c r="AT51" s="4205" t="n"/>
      <c r="AU51" s="4207" t="n"/>
      <c r="AV51" s="4205" t="n"/>
      <c r="AW51" s="4205" t="n"/>
      <c r="AX51" s="4205" t="n"/>
      <c r="AY51" s="4205" t="n"/>
      <c r="AZ51" s="4205" t="n"/>
      <c r="BA51" s="3743" t="n"/>
      <c r="BB51" s="4205" t="n"/>
    </row>
    <row r="52" hidden="1" outlineLevel="2" collapsed="1" ht="12" customHeight="1" s="3710">
      <c r="C52" s="4092" t="inlineStr">
        <is>
          <t xml:space="preserve">Accounts receivable and other receivables </t>
        </is>
      </c>
      <c r="D52" s="4092" t="n"/>
      <c r="E52" s="4092" t="n"/>
      <c r="F52" s="4243" t="n"/>
      <c r="G52" s="4094" t="n"/>
      <c r="H52" s="4094" t="n"/>
      <c r="I52" s="4094" t="n"/>
      <c r="J52" s="4094" t="n"/>
      <c r="K52" s="4094" t="n"/>
      <c r="L52" s="4094" t="n"/>
      <c r="M52" s="4094" t="n"/>
      <c r="N52" s="4094" t="n"/>
      <c r="O52" s="4094" t="n"/>
      <c r="P52" s="4094" t="n"/>
      <c r="Q52" s="4095" t="n"/>
      <c r="R52" s="4094" t="n"/>
      <c r="S52" s="4094" t="n"/>
      <c r="T52" s="4094" t="n"/>
      <c r="U52" s="4094" t="n"/>
      <c r="V52" s="4094" t="n"/>
      <c r="W52" s="4094" t="n"/>
      <c r="X52" s="4094" t="n"/>
      <c r="Y52" s="4094" t="n"/>
      <c r="Z52" s="4094" t="n"/>
      <c r="AA52" s="4094" t="n"/>
      <c r="AB52" s="4094" t="n"/>
      <c r="AC52" s="4095" t="n"/>
      <c r="AD52" s="4094" t="n"/>
      <c r="AE52" s="4094" t="n"/>
      <c r="AF52" s="4094" t="n"/>
      <c r="AG52" s="4094" t="n"/>
      <c r="AH52" s="4094" t="n"/>
      <c r="AI52" s="4094" t="n"/>
      <c r="AJ52" s="4094" t="n"/>
      <c r="AK52" s="4094" t="n"/>
      <c r="AL52" s="4094" t="n"/>
      <c r="AM52" s="4094" t="n"/>
      <c r="AN52" s="4094" t="n"/>
      <c r="AO52" s="4095" t="n"/>
      <c r="AP52" s="4094" t="n"/>
      <c r="AQ52" s="4094" t="n"/>
      <c r="AR52" s="4094" t="n"/>
      <c r="AS52" s="4094" t="n"/>
      <c r="AT52" s="4094" t="n"/>
      <c r="AU52" s="4096" t="n"/>
      <c r="AV52" s="4094" t="n"/>
      <c r="AW52" s="4094" t="n"/>
      <c r="AX52" s="4094" t="n"/>
      <c r="AY52" s="4094" t="n"/>
      <c r="AZ52" s="4094" t="n"/>
      <c r="BA52" s="3737" t="n"/>
      <c r="BB52" s="4094" t="n"/>
    </row>
    <row r="53" hidden="1" outlineLevel="3" ht="12" customFormat="1" customHeight="1" s="3743">
      <c r="A53" s="4209" t="n"/>
      <c r="B53" s="3891" t="n"/>
      <c r="C53" s="4218" t="inlineStr">
        <is>
          <t>Inventory - prepaid COGS</t>
        </is>
      </c>
      <c r="D53" s="3902" t="n">
        <v>142113</v>
      </c>
      <c r="E53" s="3902" t="inlineStr">
        <is>
          <t>142113 - Inventory - Prepaid COGS</t>
        </is>
      </c>
      <c r="F53" s="4250" t="n"/>
      <c r="G53" s="3900" t="n"/>
      <c r="H53" s="3900" t="n"/>
      <c r="I53" s="3900" t="n"/>
      <c r="J53" s="3900" t="n"/>
      <c r="K53" s="3900" t="n"/>
      <c r="L53" s="3900" t="n"/>
      <c r="M53" s="3900" t="n"/>
      <c r="N53" s="3900" t="n"/>
      <c r="O53" s="3900" t="n"/>
      <c r="P53" s="3900" t="n"/>
      <c r="Q53" s="4200" t="n"/>
      <c r="R53" s="3900" t="n"/>
      <c r="S53" s="3900" t="n"/>
      <c r="T53" s="3900" t="n"/>
      <c r="U53" s="3900" t="n"/>
      <c r="V53" s="3900" t="n"/>
      <c r="W53" s="3900" t="n"/>
      <c r="X53" s="3900" t="n"/>
      <c r="Y53" s="3900" t="n"/>
      <c r="Z53" s="3900" t="n"/>
      <c r="AA53" s="3900" t="n"/>
      <c r="AB53" s="3900" t="n"/>
      <c r="AC53" s="4200" t="n"/>
      <c r="AD53" s="3900" t="n"/>
      <c r="AE53" s="3900" t="n"/>
      <c r="AF53" s="3900" t="n"/>
      <c r="AG53" s="3900" t="n"/>
      <c r="AH53" s="3900" t="n"/>
      <c r="AI53" s="3900" t="n"/>
      <c r="AJ53" s="3900" t="n"/>
      <c r="AK53" s="3900" t="n"/>
      <c r="AL53" s="3900" t="n"/>
      <c r="AM53" s="3900" t="n"/>
      <c r="AN53" s="3900" t="n"/>
      <c r="AO53" s="4200" t="n"/>
      <c r="AP53" s="3900" t="n"/>
      <c r="AQ53" s="3900" t="n"/>
      <c r="AR53" s="3900" t="n"/>
      <c r="AS53" s="3900" t="n"/>
      <c r="AT53" s="3900" t="n"/>
      <c r="AU53" s="4201" t="n"/>
      <c r="AV53" s="3900" t="n"/>
      <c r="AW53" s="3900" t="n"/>
      <c r="AX53" s="3900" t="n"/>
      <c r="AY53" s="3900" t="n"/>
      <c r="AZ53" s="3900" t="n"/>
      <c r="BA53" s="3743" t="n"/>
      <c r="BB53" s="3900" t="n"/>
    </row>
    <row r="54" hidden="1" outlineLevel="3" ht="12" customFormat="1" customHeight="1" s="3743">
      <c r="A54" s="4165" t="n"/>
      <c r="B54" s="3891" t="n"/>
      <c r="C54" s="4218" t="inlineStr">
        <is>
          <t>Inventory</t>
        </is>
      </c>
      <c r="D54" s="3902" t="n">
        <v>142101</v>
      </c>
      <c r="E54" s="3902" t="inlineStr">
        <is>
          <t>142101 - Inventory</t>
        </is>
      </c>
      <c r="F54" s="4250" t="n"/>
      <c r="G54" s="3900" t="n"/>
      <c r="H54" s="3900" t="n"/>
      <c r="I54" s="3900" t="n"/>
      <c r="J54" s="3900" t="n"/>
      <c r="K54" s="3900" t="n"/>
      <c r="L54" s="3900" t="n"/>
      <c r="M54" s="3900" t="n"/>
      <c r="N54" s="3900" t="n"/>
      <c r="O54" s="3900" t="n"/>
      <c r="P54" s="3900" t="n"/>
      <c r="Q54" s="4200" t="n"/>
      <c r="R54" s="3900" t="n"/>
      <c r="S54" s="3900" t="n"/>
      <c r="T54" s="3900" t="n"/>
      <c r="U54" s="3900" t="n"/>
      <c r="V54" s="3900" t="n"/>
      <c r="W54" s="3900" t="n"/>
      <c r="X54" s="3900" t="n"/>
      <c r="Y54" s="3900" t="n"/>
      <c r="Z54" s="3900" t="n"/>
      <c r="AA54" s="3900" t="n"/>
      <c r="AB54" s="3900" t="n"/>
      <c r="AC54" s="4200" t="n"/>
      <c r="AD54" s="3900" t="n"/>
      <c r="AE54" s="3900" t="n"/>
      <c r="AF54" s="3900" t="n"/>
      <c r="AG54" s="3900" t="n"/>
      <c r="AH54" s="3900" t="n"/>
      <c r="AI54" s="3900" t="n"/>
      <c r="AJ54" s="3900" t="n"/>
      <c r="AK54" s="3900" t="n"/>
      <c r="AL54" s="3900" t="n"/>
      <c r="AM54" s="3900" t="n"/>
      <c r="AN54" s="3900" t="n"/>
      <c r="AO54" s="4200" t="n"/>
      <c r="AP54" s="3900" t="n"/>
      <c r="AQ54" s="3900" t="n"/>
      <c r="AR54" s="3900" t="n"/>
      <c r="AS54" s="3900" t="n"/>
      <c r="AT54" s="3900" t="n"/>
      <c r="AU54" s="4201" t="n"/>
      <c r="AV54" s="3900" t="n"/>
      <c r="AW54" s="3900" t="n"/>
      <c r="AX54" s="3900" t="n"/>
      <c r="AY54" s="3900" t="n"/>
      <c r="AZ54" s="3900" t="n"/>
      <c r="BA54" s="3743" t="n"/>
      <c r="BB54" s="3900" t="n"/>
    </row>
    <row r="55" hidden="1" outlineLevel="3" ht="12" customFormat="1" customHeight="1" s="3743">
      <c r="A55" s="4165" t="n"/>
      <c r="B55" s="3891" t="n"/>
      <c r="C55" s="4219" t="inlineStr">
        <is>
          <t>Inventory - rental units</t>
        </is>
      </c>
      <c r="D55" s="4204" t="n">
        <v>142112</v>
      </c>
      <c r="E55" s="4204" t="inlineStr">
        <is>
          <t>142112 - Inventory - Rental Units</t>
        </is>
      </c>
      <c r="F55" s="4249" t="n"/>
      <c r="G55" s="4205" t="n"/>
      <c r="H55" s="4205" t="n"/>
      <c r="I55" s="4205" t="n"/>
      <c r="J55" s="4205" t="n"/>
      <c r="K55" s="4205" t="n"/>
      <c r="L55" s="4205" t="n"/>
      <c r="M55" s="4205" t="n"/>
      <c r="N55" s="4205" t="n"/>
      <c r="O55" s="4205" t="n"/>
      <c r="P55" s="4205" t="n"/>
      <c r="Q55" s="4206" t="n"/>
      <c r="R55" s="4205" t="n"/>
      <c r="S55" s="4205" t="n"/>
      <c r="T55" s="4205" t="n"/>
      <c r="U55" s="4205" t="n"/>
      <c r="V55" s="4205" t="n"/>
      <c r="W55" s="4205" t="n"/>
      <c r="X55" s="4205" t="n"/>
      <c r="Y55" s="4205" t="n"/>
      <c r="Z55" s="4205" t="n"/>
      <c r="AA55" s="4205" t="n"/>
      <c r="AB55" s="4205" t="n"/>
      <c r="AC55" s="4206" t="n"/>
      <c r="AD55" s="4205" t="n"/>
      <c r="AE55" s="4205" t="n"/>
      <c r="AF55" s="4205" t="n"/>
      <c r="AG55" s="4205" t="n"/>
      <c r="AH55" s="4205" t="n"/>
      <c r="AI55" s="4205" t="n"/>
      <c r="AJ55" s="4205" t="n"/>
      <c r="AK55" s="4205" t="n"/>
      <c r="AL55" s="4205" t="n"/>
      <c r="AM55" s="4205" t="n"/>
      <c r="AN55" s="4205" t="n"/>
      <c r="AO55" s="4206" t="n"/>
      <c r="AP55" s="4205" t="n"/>
      <c r="AQ55" s="4205" t="n"/>
      <c r="AR55" s="4205" t="n"/>
      <c r="AS55" s="4205" t="n"/>
      <c r="AT55" s="4205" t="n"/>
      <c r="AU55" s="4207" t="n"/>
      <c r="AV55" s="4205" t="n"/>
      <c r="AW55" s="4205" t="n"/>
      <c r="AX55" s="4205" t="n"/>
      <c r="AY55" s="4205" t="n"/>
      <c r="AZ55" s="4205" t="n"/>
      <c r="BA55" s="3743" t="n"/>
      <c r="BB55" s="4205" t="n"/>
    </row>
    <row r="56" hidden="1" outlineLevel="2" collapsed="1" ht="12" customHeight="1" s="3710">
      <c r="C56" s="4092" t="inlineStr">
        <is>
          <t>Inventory</t>
        </is>
      </c>
      <c r="D56" s="4092" t="n"/>
      <c r="E56" s="4092" t="n"/>
      <c r="F56" s="4243" t="n"/>
      <c r="G56" s="4094" t="n"/>
      <c r="H56" s="4094" t="n"/>
      <c r="I56" s="4094" t="n"/>
      <c r="J56" s="4094" t="n"/>
      <c r="K56" s="4094" t="n"/>
      <c r="L56" s="4094" t="n"/>
      <c r="M56" s="4094" t="n"/>
      <c r="N56" s="4094" t="n"/>
      <c r="O56" s="4094" t="n"/>
      <c r="P56" s="4094" t="n"/>
      <c r="Q56" s="4095" t="n"/>
      <c r="R56" s="4094" t="n"/>
      <c r="S56" s="4094" t="n"/>
      <c r="T56" s="4094" t="n"/>
      <c r="U56" s="4094" t="n"/>
      <c r="V56" s="4094" t="n"/>
      <c r="W56" s="4094" t="n"/>
      <c r="X56" s="4094" t="n"/>
      <c r="Y56" s="4094" t="n"/>
      <c r="Z56" s="4094" t="n"/>
      <c r="AA56" s="4094" t="n"/>
      <c r="AB56" s="4094" t="n"/>
      <c r="AC56" s="4095" t="n"/>
      <c r="AD56" s="4094" t="n"/>
      <c r="AE56" s="4094" t="n"/>
      <c r="AF56" s="4094" t="n"/>
      <c r="AG56" s="4094" t="n"/>
      <c r="AH56" s="4094" t="n"/>
      <c r="AI56" s="4094" t="n"/>
      <c r="AJ56" s="4094" t="n"/>
      <c r="AK56" s="4094" t="n"/>
      <c r="AL56" s="4094" t="n"/>
      <c r="AM56" s="4094" t="n"/>
      <c r="AN56" s="4094" t="n"/>
      <c r="AO56" s="4095" t="n"/>
      <c r="AP56" s="4094" t="n"/>
      <c r="AQ56" s="4094" t="n"/>
      <c r="AR56" s="4094" t="n"/>
      <c r="AS56" s="4094" t="n"/>
      <c r="AT56" s="4094" t="n"/>
      <c r="AU56" s="4096" t="n"/>
      <c r="AV56" s="4094" t="n"/>
      <c r="AW56" s="4094" t="n"/>
      <c r="AX56" s="4094" t="n"/>
      <c r="AY56" s="4094" t="n"/>
      <c r="AZ56" s="4094" t="n"/>
      <c r="BA56" s="3737" t="n"/>
      <c r="BB56" s="4094" t="n"/>
    </row>
    <row r="57" hidden="1" outlineLevel="4" ht="12" customFormat="1" customHeight="1" s="3743">
      <c r="A57" s="4165" t="n"/>
      <c r="B57" s="3891" t="n"/>
      <c r="C57" s="4251" t="inlineStr">
        <is>
          <t>Prepaid SW license fees</t>
        </is>
      </c>
      <c r="D57" s="3902" t="n">
        <v>141511</v>
      </c>
      <c r="E57" s="3902" t="inlineStr">
        <is>
          <t>141511 - Prepaid SW License Fees</t>
        </is>
      </c>
      <c r="F57" s="4250" t="n"/>
      <c r="G57" s="3900" t="n"/>
      <c r="H57" s="3900" t="n"/>
      <c r="I57" s="3900" t="n"/>
      <c r="J57" s="3900" t="n"/>
      <c r="K57" s="3900" t="n"/>
      <c r="L57" s="3900" t="n"/>
      <c r="M57" s="3900" t="n"/>
      <c r="N57" s="3900" t="n"/>
      <c r="O57" s="3900" t="n"/>
      <c r="P57" s="3900" t="n"/>
      <c r="Q57" s="4200" t="n"/>
      <c r="R57" s="3900" t="n"/>
      <c r="S57" s="3900" t="n"/>
      <c r="T57" s="3900" t="n"/>
      <c r="U57" s="3900" t="n"/>
      <c r="V57" s="3900" t="n"/>
      <c r="W57" s="3900" t="n"/>
      <c r="X57" s="3900" t="n"/>
      <c r="Y57" s="3900" t="n"/>
      <c r="Z57" s="3900" t="n"/>
      <c r="AA57" s="3900" t="n"/>
      <c r="AB57" s="3900" t="n"/>
      <c r="AC57" s="4200" t="n"/>
      <c r="AD57" s="3900" t="n"/>
      <c r="AE57" s="3900" t="n"/>
      <c r="AF57" s="3900" t="n"/>
      <c r="AG57" s="3900" t="n"/>
      <c r="AH57" s="3900" t="n"/>
      <c r="AI57" s="3900" t="n"/>
      <c r="AJ57" s="3900" t="n"/>
      <c r="AK57" s="3900" t="n"/>
      <c r="AL57" s="3900" t="n"/>
      <c r="AM57" s="3900" t="n"/>
      <c r="AN57" s="3900" t="n"/>
      <c r="AO57" s="4200" t="n"/>
      <c r="AP57" s="3900" t="n"/>
      <c r="AQ57" s="3900" t="n"/>
      <c r="AR57" s="3900" t="n"/>
      <c r="AS57" s="3900" t="n"/>
      <c r="AT57" s="3900" t="n"/>
      <c r="AU57" s="4201" t="n"/>
      <c r="AV57" s="3900" t="n"/>
      <c r="AW57" s="3900" t="n"/>
      <c r="AX57" s="3900" t="n"/>
      <c r="AY57" s="3900" t="n"/>
      <c r="AZ57" s="3900" t="n"/>
      <c r="BA57" s="3743" t="n"/>
      <c r="BB57" s="3900" t="n"/>
    </row>
    <row r="58" hidden="1" outlineLevel="4" ht="12" customFormat="1" customHeight="1" s="3743">
      <c r="A58" s="4165" t="n"/>
      <c r="B58" s="3891" t="n"/>
      <c r="C58" s="4251" t="inlineStr">
        <is>
          <t>Prepaid SW maintenance</t>
        </is>
      </c>
      <c r="D58" s="3902" t="n">
        <v>141204</v>
      </c>
      <c r="E58" s="3902" t="inlineStr">
        <is>
          <t>141204 - Prepaid SW Maintenance</t>
        </is>
      </c>
      <c r="F58" s="4250" t="n"/>
      <c r="G58" s="3900" t="n"/>
      <c r="H58" s="3900" t="n"/>
      <c r="I58" s="3900" t="n"/>
      <c r="J58" s="3900" t="n"/>
      <c r="K58" s="3900" t="n"/>
      <c r="L58" s="3900" t="n"/>
      <c r="M58" s="3900" t="n"/>
      <c r="N58" s="3900" t="n"/>
      <c r="O58" s="3900" t="n"/>
      <c r="P58" s="3900" t="n"/>
      <c r="Q58" s="4200" t="n"/>
      <c r="R58" s="3900" t="n"/>
      <c r="S58" s="3900" t="n"/>
      <c r="T58" s="3900" t="n"/>
      <c r="U58" s="3900" t="n"/>
      <c r="V58" s="3900" t="n"/>
      <c r="W58" s="3900" t="n"/>
      <c r="X58" s="3900" t="n"/>
      <c r="Y58" s="3900" t="n"/>
      <c r="Z58" s="3900" t="n"/>
      <c r="AA58" s="3900" t="n"/>
      <c r="AB58" s="3900" t="n"/>
      <c r="AC58" s="4200" t="n"/>
      <c r="AD58" s="3900" t="n"/>
      <c r="AE58" s="3900" t="n"/>
      <c r="AF58" s="3900" t="n"/>
      <c r="AG58" s="3900" t="n"/>
      <c r="AH58" s="3900" t="n"/>
      <c r="AI58" s="3900" t="n"/>
      <c r="AJ58" s="3900" t="n"/>
      <c r="AK58" s="3900" t="n"/>
      <c r="AL58" s="3900" t="n"/>
      <c r="AM58" s="3900" t="n"/>
      <c r="AN58" s="3900" t="n"/>
      <c r="AO58" s="4200" t="n"/>
      <c r="AP58" s="3900" t="n"/>
      <c r="AQ58" s="3900" t="n"/>
      <c r="AR58" s="3900" t="n"/>
      <c r="AS58" s="3900" t="n"/>
      <c r="AT58" s="3900" t="n"/>
      <c r="AU58" s="4201" t="n"/>
      <c r="AV58" s="3900" t="n"/>
      <c r="AW58" s="3900" t="n"/>
      <c r="AX58" s="3900" t="n"/>
      <c r="AY58" s="3900" t="n"/>
      <c r="AZ58" s="3900" t="n"/>
      <c r="BA58" s="3743" t="n"/>
      <c r="BB58" s="3900" t="n"/>
    </row>
    <row r="59" hidden="1" outlineLevel="4" ht="12" customFormat="1" customHeight="1" s="3743">
      <c r="A59" s="4165" t="n"/>
      <c r="B59" s="3891" t="n"/>
      <c r="C59" s="4251" t="inlineStr">
        <is>
          <t>Prepaid HW maintenance</t>
        </is>
      </c>
      <c r="D59" s="3902" t="n">
        <v>141203</v>
      </c>
      <c r="E59" s="3902" t="inlineStr">
        <is>
          <t>141203 - Prepaid HW Maintenance</t>
        </is>
      </c>
      <c r="F59" s="4250" t="n"/>
      <c r="G59" s="3900" t="n"/>
      <c r="H59" s="3900" t="n"/>
      <c r="I59" s="3900" t="n"/>
      <c r="J59" s="3900" t="n"/>
      <c r="K59" s="3900" t="n"/>
      <c r="L59" s="3900" t="n"/>
      <c r="M59" s="3900" t="n"/>
      <c r="N59" s="3900" t="n"/>
      <c r="O59" s="3900" t="n"/>
      <c r="P59" s="3900" t="n"/>
      <c r="Q59" s="4200" t="n"/>
      <c r="R59" s="3900" t="n"/>
      <c r="S59" s="3900" t="n"/>
      <c r="T59" s="3900" t="n"/>
      <c r="U59" s="3900" t="n"/>
      <c r="V59" s="3900" t="n"/>
      <c r="W59" s="3900" t="n"/>
      <c r="X59" s="3900" t="n"/>
      <c r="Y59" s="3900" t="n"/>
      <c r="Z59" s="3900" t="n"/>
      <c r="AA59" s="3900" t="n"/>
      <c r="AB59" s="3900" t="n"/>
      <c r="AC59" s="4200" t="n"/>
      <c r="AD59" s="3900" t="n"/>
      <c r="AE59" s="3900" t="n"/>
      <c r="AF59" s="3900" t="n"/>
      <c r="AG59" s="3900" t="n"/>
      <c r="AH59" s="3900" t="n"/>
      <c r="AI59" s="3900" t="n"/>
      <c r="AJ59" s="3900" t="n"/>
      <c r="AK59" s="3900" t="n"/>
      <c r="AL59" s="3900" t="n"/>
      <c r="AM59" s="3900" t="n"/>
      <c r="AN59" s="3900" t="n"/>
      <c r="AO59" s="4200" t="n"/>
      <c r="AP59" s="3900" t="n"/>
      <c r="AQ59" s="3900" t="n"/>
      <c r="AR59" s="3900" t="n"/>
      <c r="AS59" s="3900" t="n"/>
      <c r="AT59" s="3900" t="n"/>
      <c r="AU59" s="4201" t="n"/>
      <c r="AV59" s="3900" t="n"/>
      <c r="AW59" s="3900" t="n"/>
      <c r="AX59" s="3900" t="n"/>
      <c r="AY59" s="3900" t="n"/>
      <c r="AZ59" s="3900" t="n"/>
      <c r="BA59" s="3743" t="n"/>
      <c r="BB59" s="3900" t="n"/>
    </row>
    <row r="60" hidden="1" outlineLevel="4" ht="12" customFormat="1" customHeight="1" s="3743">
      <c r="A60" s="4209" t="n"/>
      <c r="B60" s="3891" t="n"/>
      <c r="C60" s="4251" t="inlineStr">
        <is>
          <t>Prepaid insurance</t>
        </is>
      </c>
      <c r="D60" s="3902" t="n">
        <v>143201</v>
      </c>
      <c r="E60" s="3902" t="inlineStr">
        <is>
          <t>143201 - Prepaid Insurance</t>
        </is>
      </c>
      <c r="F60" s="4250" t="n"/>
      <c r="G60" s="3900" t="n"/>
      <c r="H60" s="3900" t="n"/>
      <c r="I60" s="3900" t="n"/>
      <c r="J60" s="3900" t="n"/>
      <c r="K60" s="3900" t="n"/>
      <c r="L60" s="3900" t="n"/>
      <c r="M60" s="3900" t="n"/>
      <c r="N60" s="3900" t="n"/>
      <c r="O60" s="3900" t="n"/>
      <c r="P60" s="3900" t="n"/>
      <c r="Q60" s="4200" t="n"/>
      <c r="R60" s="3900" t="n"/>
      <c r="S60" s="3900" t="n"/>
      <c r="T60" s="3900" t="n"/>
      <c r="U60" s="3900" t="n"/>
      <c r="V60" s="3900" t="n"/>
      <c r="W60" s="3900" t="n"/>
      <c r="X60" s="3900" t="n"/>
      <c r="Y60" s="3900" t="n"/>
      <c r="Z60" s="3900" t="n"/>
      <c r="AA60" s="3900" t="n"/>
      <c r="AB60" s="3900" t="n"/>
      <c r="AC60" s="4200" t="n"/>
      <c r="AD60" s="3900" t="n"/>
      <c r="AE60" s="3900" t="n"/>
      <c r="AF60" s="3900" t="n"/>
      <c r="AG60" s="3900" t="n"/>
      <c r="AH60" s="3900" t="n"/>
      <c r="AI60" s="3900" t="n"/>
      <c r="AJ60" s="3900" t="n"/>
      <c r="AK60" s="3900" t="n"/>
      <c r="AL60" s="3900" t="n"/>
      <c r="AM60" s="3900" t="n"/>
      <c r="AN60" s="3900" t="n"/>
      <c r="AO60" s="4200" t="n"/>
      <c r="AP60" s="3900" t="n"/>
      <c r="AQ60" s="3900" t="n"/>
      <c r="AR60" s="3900" t="n"/>
      <c r="AS60" s="3900" t="n"/>
      <c r="AT60" s="3900" t="n"/>
      <c r="AU60" s="4201" t="n"/>
      <c r="AV60" s="3900" t="n"/>
      <c r="AW60" s="3900" t="n"/>
      <c r="AX60" s="3900" t="n"/>
      <c r="AY60" s="3900" t="n"/>
      <c r="AZ60" s="3900" t="n"/>
      <c r="BA60" s="3743" t="n"/>
      <c r="BB60" s="3900" t="n"/>
    </row>
    <row r="61" hidden="1" outlineLevel="4" ht="12" customFormat="1" customHeight="1" s="3743">
      <c r="A61" s="4165" t="n"/>
      <c r="B61" s="4555" t="n"/>
      <c r="C61" s="4251" t="inlineStr">
        <is>
          <t>Prepaid rent</t>
        </is>
      </c>
      <c r="D61" s="3902" t="n">
        <v>143201</v>
      </c>
      <c r="E61" s="3902" t="inlineStr">
        <is>
          <t>143201 - Prepaid Rent</t>
        </is>
      </c>
      <c r="F61" s="4250" t="n"/>
      <c r="G61" s="3900" t="n"/>
      <c r="H61" s="3900" t="n"/>
      <c r="I61" s="3900" t="n"/>
      <c r="J61" s="3900" t="n"/>
      <c r="K61" s="3900" t="n"/>
      <c r="L61" s="3900" t="n"/>
      <c r="M61" s="3900" t="n"/>
      <c r="N61" s="3900" t="n"/>
      <c r="O61" s="3900" t="n"/>
      <c r="P61" s="3900" t="n"/>
      <c r="Q61" s="4200" t="n"/>
      <c r="R61" s="3900" t="n"/>
      <c r="S61" s="3900" t="n"/>
      <c r="T61" s="3900" t="n"/>
      <c r="U61" s="3900" t="n"/>
      <c r="V61" s="3900" t="n"/>
      <c r="W61" s="3900" t="n"/>
      <c r="X61" s="3900" t="n"/>
      <c r="Y61" s="3900" t="n"/>
      <c r="Z61" s="3900" t="n"/>
      <c r="AA61" s="3900" t="n"/>
      <c r="AB61" s="3900" t="n"/>
      <c r="AC61" s="4200" t="n"/>
      <c r="AD61" s="3900" t="n"/>
      <c r="AE61" s="3900" t="n"/>
      <c r="AF61" s="3900" t="n"/>
      <c r="AG61" s="3900" t="n"/>
      <c r="AH61" s="3900" t="n"/>
      <c r="AI61" s="3900" t="n"/>
      <c r="AJ61" s="3900" t="n"/>
      <c r="AK61" s="3900" t="n"/>
      <c r="AL61" s="3900" t="n"/>
      <c r="AM61" s="3900" t="n"/>
      <c r="AN61" s="3900" t="n"/>
      <c r="AO61" s="4200" t="n"/>
      <c r="AP61" s="3900" t="n"/>
      <c r="AQ61" s="3900" t="n"/>
      <c r="AR61" s="3900" t="n"/>
      <c r="AS61" s="3900" t="n"/>
      <c r="AT61" s="3900" t="n"/>
      <c r="AU61" s="4201" t="n"/>
      <c r="AV61" s="3900" t="n"/>
      <c r="AW61" s="3900" t="n"/>
      <c r="AX61" s="3900" t="n"/>
      <c r="AY61" s="3900" t="n"/>
      <c r="AZ61" s="3900" t="n"/>
      <c r="BA61" s="3743" t="n"/>
      <c r="BB61" s="3900" t="n"/>
    </row>
    <row r="62" hidden="1" outlineLevel="4" ht="12" customFormat="1" customHeight="1" s="3743">
      <c r="A62" s="4165" t="n"/>
      <c r="B62" s="3891" t="n"/>
      <c r="C62" s="4251" t="inlineStr">
        <is>
          <t>Prepaid other miscellaneous</t>
        </is>
      </c>
      <c r="D62" s="3902" t="n">
        <v>141501</v>
      </c>
      <c r="E62" s="3902" t="inlineStr">
        <is>
          <t>141501 - Prepaid Other Miscellaneous</t>
        </is>
      </c>
      <c r="F62" s="4250" t="n"/>
      <c r="G62" s="3900" t="n"/>
      <c r="H62" s="3900" t="n"/>
      <c r="I62" s="3900" t="n"/>
      <c r="J62" s="3900" t="n"/>
      <c r="K62" s="3900" t="n"/>
      <c r="L62" s="3900" t="n"/>
      <c r="M62" s="3900" t="n"/>
      <c r="N62" s="3900" t="n"/>
      <c r="O62" s="3900" t="n"/>
      <c r="P62" s="3900" t="n"/>
      <c r="Q62" s="4200" t="n"/>
      <c r="R62" s="3900" t="n"/>
      <c r="S62" s="3900" t="n"/>
      <c r="T62" s="3900" t="n"/>
      <c r="U62" s="3900" t="n"/>
      <c r="V62" s="3900" t="n"/>
      <c r="W62" s="3900" t="n"/>
      <c r="X62" s="3900" t="n"/>
      <c r="Y62" s="3900" t="n"/>
      <c r="Z62" s="3900" t="n"/>
      <c r="AA62" s="3900" t="n"/>
      <c r="AB62" s="3900" t="n"/>
      <c r="AC62" s="4200" t="n"/>
      <c r="AD62" s="3900" t="n"/>
      <c r="AE62" s="3900" t="n"/>
      <c r="AF62" s="3900" t="n"/>
      <c r="AG62" s="3900" t="n"/>
      <c r="AH62" s="3900" t="n"/>
      <c r="AI62" s="3900" t="n"/>
      <c r="AJ62" s="3900" t="n"/>
      <c r="AK62" s="3900" t="n"/>
      <c r="AL62" s="3900" t="n"/>
      <c r="AM62" s="3900" t="n"/>
      <c r="AN62" s="3900" t="n"/>
      <c r="AO62" s="4200" t="n"/>
      <c r="AP62" s="3900" t="n"/>
      <c r="AQ62" s="3900" t="n"/>
      <c r="AR62" s="3900" t="n"/>
      <c r="AS62" s="3900" t="n"/>
      <c r="AT62" s="3900" t="n"/>
      <c r="AU62" s="4201" t="n"/>
      <c r="AV62" s="3900" t="n"/>
      <c r="AW62" s="3900" t="n"/>
      <c r="AX62" s="3900" t="n"/>
      <c r="AY62" s="3900" t="n"/>
      <c r="AZ62" s="3900" t="n"/>
      <c r="BA62" s="3743" t="n"/>
      <c r="BB62" s="3900" t="n"/>
    </row>
    <row r="63" hidden="1" outlineLevel="4" ht="12" customFormat="1" customHeight="1" s="3743">
      <c r="A63" s="4165" t="n"/>
      <c r="B63" s="3891" t="n"/>
      <c r="C63" s="4252" t="inlineStr">
        <is>
          <t>Prepaid marketing &amp; tradeshow</t>
        </is>
      </c>
      <c r="D63" s="4204" t="n">
        <v>141502</v>
      </c>
      <c r="E63" s="4204" t="inlineStr">
        <is>
          <t>141502 - Prepaid Marketing &amp; Tradeshow</t>
        </is>
      </c>
      <c r="F63" s="4249" t="n"/>
      <c r="G63" s="4205" t="n"/>
      <c r="H63" s="4205" t="n"/>
      <c r="I63" s="4205" t="n"/>
      <c r="J63" s="4205" t="n"/>
      <c r="K63" s="4205" t="n"/>
      <c r="L63" s="4205" t="n"/>
      <c r="M63" s="4205" t="n"/>
      <c r="N63" s="4205" t="n"/>
      <c r="O63" s="4205" t="n"/>
      <c r="P63" s="4205" t="n"/>
      <c r="Q63" s="4206" t="n"/>
      <c r="R63" s="4205" t="n"/>
      <c r="S63" s="4205" t="n"/>
      <c r="T63" s="4205" t="n"/>
      <c r="U63" s="4205" t="n"/>
      <c r="V63" s="4205" t="n"/>
      <c r="W63" s="4205" t="n"/>
      <c r="X63" s="4205" t="n"/>
      <c r="Y63" s="4205" t="n"/>
      <c r="Z63" s="4205" t="n"/>
      <c r="AA63" s="4205" t="n"/>
      <c r="AB63" s="4205" t="n"/>
      <c r="AC63" s="4206" t="n"/>
      <c r="AD63" s="4205" t="n"/>
      <c r="AE63" s="4205" t="n"/>
      <c r="AF63" s="4205" t="n"/>
      <c r="AG63" s="4205" t="n"/>
      <c r="AH63" s="4205" t="n"/>
      <c r="AI63" s="4205" t="n"/>
      <c r="AJ63" s="4205" t="n"/>
      <c r="AK63" s="4205" t="n"/>
      <c r="AL63" s="4205" t="n"/>
      <c r="AM63" s="4205" t="n"/>
      <c r="AN63" s="4205" t="n"/>
      <c r="AO63" s="4206" t="n"/>
      <c r="AP63" s="4205" t="n"/>
      <c r="AQ63" s="4205" t="n"/>
      <c r="AR63" s="4205" t="n"/>
      <c r="AS63" s="4205" t="n"/>
      <c r="AT63" s="4205" t="n"/>
      <c r="AU63" s="4207" t="n"/>
      <c r="AV63" s="4205" t="n"/>
      <c r="AW63" s="4205" t="n"/>
      <c r="AX63" s="4205" t="n"/>
      <c r="AY63" s="4205" t="n"/>
      <c r="AZ63" s="4205" t="n"/>
      <c r="BA63" s="3743" t="n"/>
      <c r="BB63" s="4205" t="n"/>
    </row>
    <row r="64" hidden="1" outlineLevel="3" collapsed="1" ht="12" customFormat="1" customHeight="1" s="3743">
      <c r="A64" s="4165" t="n"/>
      <c r="B64" s="3891" t="n"/>
      <c r="C64" s="4218" t="inlineStr">
        <is>
          <t xml:space="preserve">Prepaid expenses </t>
        </is>
      </c>
      <c r="D64" s="3902" t="n"/>
      <c r="E64" s="3902" t="n"/>
      <c r="F64" s="4250" t="n"/>
      <c r="G64" s="3900" t="n"/>
      <c r="H64" s="3900" t="n"/>
      <c r="I64" s="3900" t="n"/>
      <c r="J64" s="3900" t="n"/>
      <c r="K64" s="3900" t="n"/>
      <c r="L64" s="3900" t="n"/>
      <c r="M64" s="3900" t="n"/>
      <c r="N64" s="3900" t="n"/>
      <c r="O64" s="3900" t="n"/>
      <c r="P64" s="3900" t="n"/>
      <c r="Q64" s="4200" t="n"/>
      <c r="R64" s="3900" t="n"/>
      <c r="S64" s="3900" t="n"/>
      <c r="T64" s="3900" t="n"/>
      <c r="U64" s="3900" t="n"/>
      <c r="V64" s="3900" t="n"/>
      <c r="W64" s="3900" t="n"/>
      <c r="X64" s="3900" t="n"/>
      <c r="Y64" s="3900" t="n"/>
      <c r="Z64" s="3900" t="n"/>
      <c r="AA64" s="3900" t="n"/>
      <c r="AB64" s="3900" t="n"/>
      <c r="AC64" s="4200" t="n"/>
      <c r="AD64" s="3900" t="n"/>
      <c r="AE64" s="3900" t="n"/>
      <c r="AF64" s="3900" t="n"/>
      <c r="AG64" s="3900" t="n"/>
      <c r="AH64" s="3900" t="n"/>
      <c r="AI64" s="3900" t="n"/>
      <c r="AJ64" s="3900" t="n"/>
      <c r="AK64" s="3900" t="n"/>
      <c r="AL64" s="3900" t="n"/>
      <c r="AM64" s="3900" t="n"/>
      <c r="AN64" s="3900" t="n"/>
      <c r="AO64" s="4200" t="n"/>
      <c r="AP64" s="3900" t="n"/>
      <c r="AQ64" s="3900" t="n"/>
      <c r="AR64" s="3900" t="n"/>
      <c r="AS64" s="3900" t="n"/>
      <c r="AT64" s="3900" t="n"/>
      <c r="AU64" s="4201" t="n"/>
      <c r="AV64" s="3900" t="n"/>
      <c r="AW64" s="3900" t="n"/>
      <c r="AX64" s="3900" t="n"/>
      <c r="AY64" s="3900" t="n"/>
      <c r="AZ64" s="3900" t="n"/>
      <c r="BA64" s="3743" t="n"/>
      <c r="BB64" s="3900" t="n"/>
      <c r="BC64" s="3900" t="n"/>
      <c r="BD64" s="3900" t="n"/>
    </row>
    <row r="65" hidden="1" outlineLevel="4" ht="12" customFormat="1" customHeight="1" s="3743">
      <c r="A65" s="4165" t="n"/>
      <c r="B65" s="3891" t="n"/>
      <c r="C65" s="4251" t="inlineStr">
        <is>
          <t>Long-term prepayments</t>
        </is>
      </c>
      <c r="D65" s="3902" t="n">
        <v>192201</v>
      </c>
      <c r="E65" s="3902" t="inlineStr">
        <is>
          <t>192201 - Long-Term Prepayments</t>
        </is>
      </c>
      <c r="F65" s="4250" t="n"/>
      <c r="G65" s="3900" t="n"/>
      <c r="H65" s="3900" t="n"/>
      <c r="I65" s="3900" t="n"/>
      <c r="J65" s="3900" t="n"/>
      <c r="K65" s="3900" t="n"/>
      <c r="L65" s="3900" t="n"/>
      <c r="M65" s="3900" t="n"/>
      <c r="N65" s="3900" t="n"/>
      <c r="O65" s="3900" t="n"/>
      <c r="P65" s="3900" t="n"/>
      <c r="Q65" s="4200" t="n"/>
      <c r="R65" s="3900" t="n"/>
      <c r="S65" s="3900" t="n"/>
      <c r="T65" s="3900" t="n"/>
      <c r="U65" s="3900" t="n"/>
      <c r="V65" s="3900" t="n"/>
      <c r="W65" s="3900" t="n"/>
      <c r="X65" s="3900" t="n"/>
      <c r="Y65" s="3900" t="n"/>
      <c r="Z65" s="3900" t="n"/>
      <c r="AA65" s="3900" t="n"/>
      <c r="AB65" s="3900" t="n"/>
      <c r="AC65" s="4200" t="n"/>
      <c r="AD65" s="3900" t="n"/>
      <c r="AE65" s="3900" t="n"/>
      <c r="AF65" s="3900" t="n"/>
      <c r="AG65" s="3900" t="n"/>
      <c r="AH65" s="3900" t="n"/>
      <c r="AI65" s="3900" t="n"/>
      <c r="AJ65" s="3900" t="n"/>
      <c r="AK65" s="3900" t="n"/>
      <c r="AL65" s="3900" t="n"/>
      <c r="AM65" s="3900" t="n"/>
      <c r="AN65" s="3900" t="n"/>
      <c r="AO65" s="4200" t="n"/>
      <c r="AP65" s="3900" t="n"/>
      <c r="AQ65" s="3900" t="n"/>
      <c r="AR65" s="3900" t="n"/>
      <c r="AS65" s="3900" t="n"/>
      <c r="AT65" s="3900" t="n"/>
      <c r="AU65" s="4201" t="n"/>
      <c r="AV65" s="3900" t="n"/>
      <c r="AW65" s="3900" t="n"/>
      <c r="AX65" s="3900" t="n"/>
      <c r="AY65" s="3900" t="n"/>
      <c r="AZ65" s="3900" t="n"/>
      <c r="BA65" s="3743" t="n"/>
      <c r="BB65" s="3900" t="n"/>
    </row>
    <row r="66" hidden="1" outlineLevel="4" ht="12" customFormat="1" customHeight="1" s="3743">
      <c r="A66" s="4165" t="n"/>
      <c r="B66" s="3891" t="n"/>
      <c r="C66" s="4251" t="inlineStr">
        <is>
          <t>Long-term security deposit</t>
        </is>
      </c>
      <c r="D66" s="3902" t="n">
        <v>192202</v>
      </c>
      <c r="E66" s="3902" t="inlineStr">
        <is>
          <t>192202 - Long-Term Security Deposit</t>
        </is>
      </c>
      <c r="F66" s="4250" t="n"/>
      <c r="G66" s="3900" t="n"/>
      <c r="H66" s="3900" t="n"/>
      <c r="I66" s="3900" t="n"/>
      <c r="J66" s="3900" t="n"/>
      <c r="K66" s="3900" t="n"/>
      <c r="L66" s="3900" t="n"/>
      <c r="M66" s="3900" t="n"/>
      <c r="N66" s="3900" t="n"/>
      <c r="O66" s="3900" t="n"/>
      <c r="P66" s="3900" t="n"/>
      <c r="Q66" s="4200" t="n"/>
      <c r="R66" s="3900" t="n"/>
      <c r="S66" s="3900" t="n"/>
      <c r="T66" s="3900" t="n"/>
      <c r="U66" s="3900" t="n"/>
      <c r="V66" s="3900" t="n"/>
      <c r="W66" s="3900" t="n"/>
      <c r="X66" s="3900" t="n"/>
      <c r="Y66" s="3900" t="n"/>
      <c r="Z66" s="3900" t="n"/>
      <c r="AA66" s="3900" t="n"/>
      <c r="AB66" s="3900" t="n"/>
      <c r="AC66" s="4200" t="n"/>
      <c r="AD66" s="3900" t="n"/>
      <c r="AE66" s="3900" t="n"/>
      <c r="AF66" s="3900" t="n"/>
      <c r="AG66" s="3900" t="n"/>
      <c r="AH66" s="3900" t="n"/>
      <c r="AI66" s="3900" t="n"/>
      <c r="AJ66" s="3900" t="n"/>
      <c r="AK66" s="3900" t="n"/>
      <c r="AL66" s="3900" t="n"/>
      <c r="AM66" s="3900" t="n"/>
      <c r="AN66" s="3900" t="n"/>
      <c r="AO66" s="4200" t="n"/>
      <c r="AP66" s="3900" t="n"/>
      <c r="AQ66" s="3900" t="n"/>
      <c r="AR66" s="3900" t="n"/>
      <c r="AS66" s="3900" t="n"/>
      <c r="AT66" s="3900" t="n"/>
      <c r="AU66" s="4201" t="n"/>
      <c r="AV66" s="3900" t="n"/>
      <c r="AW66" s="3900" t="n"/>
      <c r="AX66" s="3900" t="n"/>
      <c r="AY66" s="3900" t="n"/>
      <c r="AZ66" s="3900" t="n"/>
      <c r="BA66" s="3743" t="n"/>
      <c r="BB66" s="3900" t="n"/>
    </row>
    <row r="67" hidden="1" outlineLevel="4" ht="12" customFormat="1" customHeight="1" s="3743">
      <c r="A67" s="4165" t="n"/>
      <c r="B67" s="3891" t="n"/>
      <c r="C67" s="4251" t="inlineStr">
        <is>
          <t>Long term COGS lock n block</t>
        </is>
      </c>
      <c r="D67" s="3902" t="n">
        <v>192203</v>
      </c>
      <c r="E67" s="3902" t="inlineStr">
        <is>
          <t>192203 - Long Term COGS Lock N Block</t>
        </is>
      </c>
      <c r="F67" s="4250" t="n"/>
      <c r="G67" s="3900" t="n"/>
      <c r="H67" s="3900" t="n"/>
      <c r="I67" s="3900" t="n"/>
      <c r="J67" s="3900" t="n"/>
      <c r="K67" s="3900" t="n"/>
      <c r="L67" s="3900" t="n"/>
      <c r="M67" s="3900" t="n"/>
      <c r="N67" s="3900" t="n"/>
      <c r="O67" s="3900" t="n"/>
      <c r="P67" s="3900" t="n"/>
      <c r="Q67" s="4200" t="n"/>
      <c r="R67" s="3900" t="n"/>
      <c r="S67" s="3900" t="n"/>
      <c r="T67" s="3900" t="n"/>
      <c r="U67" s="3900" t="n"/>
      <c r="V67" s="3900" t="n"/>
      <c r="W67" s="3900" t="n"/>
      <c r="X67" s="3900" t="n"/>
      <c r="Y67" s="3900" t="n"/>
      <c r="Z67" s="3900" t="n"/>
      <c r="AA67" s="3900" t="n"/>
      <c r="AB67" s="3900" t="n"/>
      <c r="AC67" s="4200" t="n"/>
      <c r="AD67" s="3900" t="n"/>
      <c r="AE67" s="3900" t="n"/>
      <c r="AF67" s="3900" t="n"/>
      <c r="AG67" s="3900" t="n"/>
      <c r="AH67" s="3900" t="n"/>
      <c r="AI67" s="3900" t="n"/>
      <c r="AJ67" s="3900" t="n"/>
      <c r="AK67" s="3900" t="n"/>
      <c r="AL67" s="3900" t="n"/>
      <c r="AM67" s="3900" t="n"/>
      <c r="AN67" s="3900" t="n"/>
      <c r="AO67" s="4200" t="n"/>
      <c r="AP67" s="3900" t="n"/>
      <c r="AQ67" s="3900" t="n"/>
      <c r="AR67" s="3900" t="n"/>
      <c r="AS67" s="3900" t="n"/>
      <c r="AT67" s="3900" t="n"/>
      <c r="AU67" s="4201" t="n"/>
      <c r="AV67" s="3900" t="n"/>
      <c r="AW67" s="3900" t="n"/>
      <c r="AX67" s="3900" t="n"/>
      <c r="AY67" s="3900" t="n"/>
      <c r="AZ67" s="3900" t="n"/>
      <c r="BA67" s="3743" t="n"/>
      <c r="BB67" s="3900" t="n"/>
    </row>
    <row r="68" hidden="1" outlineLevel="4" ht="12" customFormat="1" customHeight="1" s="3743">
      <c r="A68" s="4165" t="n"/>
      <c r="B68" s="3891" t="n"/>
      <c r="C68" s="4252" t="inlineStr">
        <is>
          <t>Long-term sec deposit IFRS adj-corp</t>
        </is>
      </c>
      <c r="D68" s="4204" t="n">
        <v>192216</v>
      </c>
      <c r="E68" s="4204" t="inlineStr">
        <is>
          <t>192216 - Long-Term Sec Deposit IFRS ADJ-Corp</t>
        </is>
      </c>
      <c r="F68" s="4249" t="n"/>
      <c r="G68" s="4205" t="n"/>
      <c r="H68" s="4205" t="n"/>
      <c r="I68" s="4205" t="n"/>
      <c r="J68" s="4205" t="n"/>
      <c r="K68" s="4205" t="n"/>
      <c r="L68" s="4205" t="n"/>
      <c r="M68" s="4205" t="n"/>
      <c r="N68" s="4205" t="n"/>
      <c r="O68" s="4205" t="n"/>
      <c r="P68" s="4205" t="n"/>
      <c r="Q68" s="4206" t="n"/>
      <c r="R68" s="4205" t="n"/>
      <c r="S68" s="4205" t="n"/>
      <c r="T68" s="4205" t="n"/>
      <c r="U68" s="4205" t="n"/>
      <c r="V68" s="4205" t="n"/>
      <c r="W68" s="4205" t="n"/>
      <c r="X68" s="4205" t="n"/>
      <c r="Y68" s="4205" t="n"/>
      <c r="Z68" s="4205" t="n"/>
      <c r="AA68" s="4205" t="n"/>
      <c r="AB68" s="4205" t="n"/>
      <c r="AC68" s="4206" t="n"/>
      <c r="AD68" s="4205" t="n"/>
      <c r="AE68" s="4205" t="n"/>
      <c r="AF68" s="4205" t="n"/>
      <c r="AG68" s="4205" t="n"/>
      <c r="AH68" s="4205" t="n"/>
      <c r="AI68" s="4205" t="n"/>
      <c r="AJ68" s="4205" t="n"/>
      <c r="AK68" s="4205" t="n"/>
      <c r="AL68" s="4205" t="n"/>
      <c r="AM68" s="4205" t="n"/>
      <c r="AN68" s="4205" t="n"/>
      <c r="AO68" s="4206" t="n"/>
      <c r="AP68" s="4205" t="n"/>
      <c r="AQ68" s="4205" t="n"/>
      <c r="AR68" s="4205" t="n"/>
      <c r="AS68" s="4205" t="n"/>
      <c r="AT68" s="4205" t="n"/>
      <c r="AU68" s="4207" t="n"/>
      <c r="AV68" s="4205" t="n"/>
      <c r="AW68" s="4205" t="n"/>
      <c r="AX68" s="4205" t="n"/>
      <c r="AY68" s="4205" t="n"/>
      <c r="AZ68" s="4205" t="n"/>
      <c r="BA68" s="3743" t="n"/>
      <c r="BB68" s="4205" t="n"/>
    </row>
    <row r="69" hidden="1" outlineLevel="3" collapsed="1" ht="12" customFormat="1" customHeight="1" s="3743">
      <c r="A69" s="4165" t="n"/>
      <c r="B69" s="3891" t="n"/>
      <c r="C69" s="4219" t="inlineStr">
        <is>
          <t xml:space="preserve">Prepaid contractual payments - non-current </t>
        </is>
      </c>
      <c r="D69" s="4204" t="n"/>
      <c r="E69" s="4204" t="n"/>
      <c r="F69" s="4249" t="n"/>
      <c r="G69" s="4205" t="n"/>
      <c r="H69" s="4205" t="n"/>
      <c r="I69" s="4205" t="n"/>
      <c r="J69" s="4205" t="n"/>
      <c r="K69" s="4205" t="n"/>
      <c r="L69" s="4205" t="n"/>
      <c r="M69" s="4205" t="n"/>
      <c r="N69" s="4205" t="n"/>
      <c r="O69" s="4205" t="n"/>
      <c r="P69" s="4205" t="n"/>
      <c r="Q69" s="4206" t="n"/>
      <c r="R69" s="4205" t="n"/>
      <c r="S69" s="4205" t="n"/>
      <c r="T69" s="4205" t="n"/>
      <c r="U69" s="4205" t="n"/>
      <c r="V69" s="4205" t="n"/>
      <c r="W69" s="4205" t="n"/>
      <c r="X69" s="4205" t="n"/>
      <c r="Y69" s="4205" t="n"/>
      <c r="Z69" s="4205" t="n"/>
      <c r="AA69" s="4205" t="n"/>
      <c r="AB69" s="4205" t="n"/>
      <c r="AC69" s="4206" t="n"/>
      <c r="AD69" s="4205" t="n"/>
      <c r="AE69" s="4205" t="n"/>
      <c r="AF69" s="4205" t="n"/>
      <c r="AG69" s="4205" t="n"/>
      <c r="AH69" s="4205" t="n"/>
      <c r="AI69" s="4205" t="n"/>
      <c r="AJ69" s="4205" t="n"/>
      <c r="AK69" s="4205" t="n"/>
      <c r="AL69" s="4205" t="n"/>
      <c r="AM69" s="4205" t="n"/>
      <c r="AN69" s="4205" t="n"/>
      <c r="AO69" s="4206" t="n"/>
      <c r="AP69" s="4205" t="n"/>
      <c r="AQ69" s="4205" t="n"/>
      <c r="AR69" s="4205" t="n"/>
      <c r="AS69" s="4205" t="n"/>
      <c r="AT69" s="4205" t="n"/>
      <c r="AU69" s="4207" t="n"/>
      <c r="AV69" s="4205" t="n"/>
      <c r="AW69" s="4205" t="n"/>
      <c r="AX69" s="4205" t="n"/>
      <c r="AY69" s="4205" t="n"/>
      <c r="AZ69" s="4205" t="n"/>
      <c r="BA69" s="3743" t="n"/>
      <c r="BB69" s="4205" t="n"/>
    </row>
    <row r="70" hidden="1" outlineLevel="2" ht="12" customHeight="1" s="3710">
      <c r="C70" s="4092" t="inlineStr">
        <is>
          <t>Prepaid expenses and other assets</t>
        </is>
      </c>
      <c r="D70" s="4092" t="n"/>
      <c r="E70" s="4092" t="n"/>
      <c r="F70" s="4243" t="n"/>
      <c r="G70" s="4094" t="n"/>
      <c r="H70" s="4094" t="n"/>
      <c r="I70" s="4094" t="n"/>
      <c r="J70" s="4094" t="n"/>
      <c r="K70" s="4094" t="n"/>
      <c r="L70" s="4094" t="n"/>
      <c r="M70" s="4094" t="n"/>
      <c r="N70" s="4094" t="n"/>
      <c r="O70" s="4094" t="n"/>
      <c r="P70" s="4094" t="n"/>
      <c r="Q70" s="4095" t="n"/>
      <c r="R70" s="4094" t="n"/>
      <c r="S70" s="4094" t="n"/>
      <c r="T70" s="4094" t="n"/>
      <c r="U70" s="4094" t="n"/>
      <c r="V70" s="4094" t="n"/>
      <c r="W70" s="4094" t="n"/>
      <c r="X70" s="4094" t="n"/>
      <c r="Y70" s="4094" t="n"/>
      <c r="Z70" s="4094" t="n"/>
      <c r="AA70" s="4094" t="n"/>
      <c r="AB70" s="4094" t="n"/>
      <c r="AC70" s="4095" t="n"/>
      <c r="AD70" s="4094" t="n"/>
      <c r="AE70" s="4094" t="n"/>
      <c r="AF70" s="4094" t="n"/>
      <c r="AG70" s="4094" t="n"/>
      <c r="AH70" s="4094" t="n"/>
      <c r="AI70" s="4094" t="n"/>
      <c r="AJ70" s="4094" t="n"/>
      <c r="AK70" s="4094" t="n"/>
      <c r="AL70" s="4094" t="n"/>
      <c r="AM70" s="4094" t="n"/>
      <c r="AN70" s="4094" t="n"/>
      <c r="AO70" s="4095" t="n"/>
      <c r="AP70" s="4094" t="n"/>
      <c r="AQ70" s="4094" t="n"/>
      <c r="AR70" s="4094" t="n"/>
      <c r="AS70" s="4094" t="n"/>
      <c r="AT70" s="4094" t="n"/>
      <c r="AU70" s="4096" t="n"/>
      <c r="AV70" s="4094" t="n"/>
      <c r="AW70" s="4094" t="n"/>
      <c r="AX70" s="4094" t="n"/>
      <c r="AY70" s="4094" t="n"/>
      <c r="AZ70" s="4094" t="n"/>
      <c r="BA70" s="3737" t="n"/>
      <c r="BB70" s="4094" t="n"/>
    </row>
    <row r="71" hidden="1" outlineLevel="4" ht="12" customFormat="1" customHeight="1" s="3743">
      <c r="A71" s="4165" t="n"/>
      <c r="B71" s="3891" t="n"/>
      <c r="C71" s="4252" t="inlineStr">
        <is>
          <t>Contract assets current IFRS15</t>
        </is>
      </c>
      <c r="D71" s="4204" t="n">
        <v>148015</v>
      </c>
      <c r="E71" s="4204" t="inlineStr">
        <is>
          <t>148015 - Contract Assets Current IFRS15</t>
        </is>
      </c>
      <c r="F71" s="4249" t="n"/>
      <c r="G71" s="4205" t="n"/>
      <c r="H71" s="4205" t="n"/>
      <c r="I71" s="4205" t="n"/>
      <c r="J71" s="4205" t="n"/>
      <c r="K71" s="4205" t="n"/>
      <c r="L71" s="4205" t="n"/>
      <c r="M71" s="4205" t="n"/>
      <c r="N71" s="4205" t="n"/>
      <c r="O71" s="4205" t="n"/>
      <c r="P71" s="4205" t="n"/>
      <c r="Q71" s="4206" t="n"/>
      <c r="R71" s="4205" t="n"/>
      <c r="S71" s="4205" t="n"/>
      <c r="T71" s="4205" t="n"/>
      <c r="U71" s="4205" t="n"/>
      <c r="V71" s="4205" t="n"/>
      <c r="W71" s="4205" t="n"/>
      <c r="X71" s="4205" t="n"/>
      <c r="Y71" s="4205" t="n"/>
      <c r="Z71" s="4205" t="n"/>
      <c r="AA71" s="4205" t="n"/>
      <c r="AB71" s="4205" t="n"/>
      <c r="AC71" s="4206" t="n"/>
      <c r="AD71" s="4205" t="n"/>
      <c r="AE71" s="4205" t="n"/>
      <c r="AF71" s="4205" t="n"/>
      <c r="AG71" s="4205" t="n"/>
      <c r="AH71" s="4205" t="n"/>
      <c r="AI71" s="4205" t="n"/>
      <c r="AJ71" s="4205" t="n"/>
      <c r="AK71" s="4205" t="n"/>
      <c r="AL71" s="4205" t="n"/>
      <c r="AM71" s="4205" t="n"/>
      <c r="AN71" s="4205" t="n"/>
      <c r="AO71" s="4206" t="n"/>
      <c r="AP71" s="4205" t="n"/>
      <c r="AQ71" s="4205" t="n"/>
      <c r="AR71" s="4205" t="n"/>
      <c r="AS71" s="4205" t="n"/>
      <c r="AT71" s="4205" t="n"/>
      <c r="AU71" s="4207" t="n"/>
      <c r="AV71" s="4205" t="n"/>
      <c r="AW71" s="4205" t="n"/>
      <c r="AX71" s="4205" t="n"/>
      <c r="AY71" s="4205" t="n"/>
      <c r="AZ71" s="4205" t="n"/>
      <c r="BA71" s="3743" t="n"/>
      <c r="BB71" s="4205" t="n"/>
    </row>
    <row r="72" hidden="1" outlineLevel="3" collapsed="1" ht="12" customFormat="1" customHeight="1" s="3743">
      <c r="A72" s="4165" t="n"/>
      <c r="B72" s="3891" t="n"/>
      <c r="C72" s="4218" t="inlineStr">
        <is>
          <t xml:space="preserve">Unbilled revenue - current </t>
        </is>
      </c>
      <c r="D72" s="3902" t="n"/>
      <c r="E72" s="3902" t="n"/>
      <c r="F72" s="4250" t="n"/>
      <c r="G72" s="3900" t="n"/>
      <c r="H72" s="3900" t="n"/>
      <c r="I72" s="3900" t="n"/>
      <c r="J72" s="3900" t="n"/>
      <c r="K72" s="3900" t="n"/>
      <c r="L72" s="3900" t="n"/>
      <c r="M72" s="3900" t="n"/>
      <c r="N72" s="3900" t="n"/>
      <c r="O72" s="3900" t="n"/>
      <c r="P72" s="3900" t="n"/>
      <c r="Q72" s="4200" t="n"/>
      <c r="R72" s="3900" t="n"/>
      <c r="S72" s="3900" t="n"/>
      <c r="T72" s="3900" t="n"/>
      <c r="U72" s="3900" t="n"/>
      <c r="V72" s="3900" t="n"/>
      <c r="W72" s="3900" t="n"/>
      <c r="X72" s="3900" t="n"/>
      <c r="Y72" s="3900" t="n"/>
      <c r="Z72" s="3900" t="n"/>
      <c r="AA72" s="3900" t="n"/>
      <c r="AB72" s="3900" t="n"/>
      <c r="AC72" s="4200" t="n"/>
      <c r="AD72" s="3900" t="n"/>
      <c r="AE72" s="3900" t="n"/>
      <c r="AF72" s="3900" t="n"/>
      <c r="AG72" s="3900" t="n"/>
      <c r="AH72" s="3900" t="n"/>
      <c r="AI72" s="3900" t="n"/>
      <c r="AJ72" s="3900" t="n"/>
      <c r="AK72" s="3900" t="n"/>
      <c r="AL72" s="3900" t="n"/>
      <c r="AM72" s="3900" t="n"/>
      <c r="AN72" s="3900" t="n"/>
      <c r="AO72" s="4200" t="n"/>
      <c r="AP72" s="3900" t="n"/>
      <c r="AQ72" s="3900" t="n"/>
      <c r="AR72" s="3900" t="n"/>
      <c r="AS72" s="3900" t="n"/>
      <c r="AT72" s="3900" t="n"/>
      <c r="AU72" s="4201" t="n"/>
      <c r="AV72" s="3900" t="n"/>
      <c r="AW72" s="3900" t="n"/>
      <c r="AX72" s="3900" t="n"/>
      <c r="AY72" s="3900" t="n"/>
      <c r="AZ72" s="3900" t="n"/>
      <c r="BA72" s="3743" t="n"/>
      <c r="BB72" s="3900" t="n"/>
    </row>
    <row r="73" hidden="1" outlineLevel="4" ht="12" customFormat="1" customHeight="1" s="3743">
      <c r="A73" s="4165" t="n"/>
      <c r="B73" s="3891" t="n"/>
      <c r="C73" s="4252" t="inlineStr">
        <is>
          <t>Contract assets - lT IFRS15</t>
        </is>
      </c>
      <c r="D73" s="4204" t="n">
        <v>148015</v>
      </c>
      <c r="E73" s="4204" t="inlineStr">
        <is>
          <t>148015 - Contract Assets Current IFRS15</t>
        </is>
      </c>
      <c r="F73" s="4249" t="n"/>
      <c r="G73" s="4205" t="n"/>
      <c r="H73" s="4205" t="n"/>
      <c r="I73" s="4205" t="n"/>
      <c r="J73" s="4205" t="n"/>
      <c r="K73" s="4205" t="n"/>
      <c r="L73" s="4205" t="n"/>
      <c r="M73" s="4205" t="n"/>
      <c r="N73" s="4205" t="n"/>
      <c r="O73" s="4205" t="n"/>
      <c r="P73" s="4205" t="n"/>
      <c r="Q73" s="4206" t="n"/>
      <c r="R73" s="4205" t="n"/>
      <c r="S73" s="4205" t="n"/>
      <c r="T73" s="4205" t="n"/>
      <c r="U73" s="4205" t="n"/>
      <c r="V73" s="4205" t="n"/>
      <c r="W73" s="4205" t="n"/>
      <c r="X73" s="4205" t="n"/>
      <c r="Y73" s="4205" t="n"/>
      <c r="Z73" s="4205" t="n"/>
      <c r="AA73" s="4205" t="n"/>
      <c r="AB73" s="4205" t="n"/>
      <c r="AC73" s="4206" t="n"/>
      <c r="AD73" s="4205" t="n"/>
      <c r="AE73" s="4205" t="n"/>
      <c r="AF73" s="4205" t="n"/>
      <c r="AG73" s="4205" t="n"/>
      <c r="AH73" s="4205" t="n"/>
      <c r="AI73" s="4205" t="n"/>
      <c r="AJ73" s="4205" t="n"/>
      <c r="AK73" s="4205" t="n"/>
      <c r="AL73" s="4205" t="n"/>
      <c r="AM73" s="4205" t="n"/>
      <c r="AN73" s="4205" t="n"/>
      <c r="AO73" s="4206" t="n"/>
      <c r="AP73" s="4205" t="n"/>
      <c r="AQ73" s="4205" t="n"/>
      <c r="AR73" s="4205" t="n"/>
      <c r="AS73" s="4205" t="n"/>
      <c r="AT73" s="4205" t="n"/>
      <c r="AU73" s="4207" t="n"/>
      <c r="AV73" s="4205" t="n"/>
      <c r="AW73" s="4205" t="n"/>
      <c r="AX73" s="4205" t="n"/>
      <c r="AY73" s="4205" t="n"/>
      <c r="AZ73" s="4205" t="n"/>
      <c r="BA73" s="3743" t="n"/>
      <c r="BB73" s="4205" t="n"/>
    </row>
    <row r="74" hidden="1" outlineLevel="3" collapsed="1" ht="12" customFormat="1" customHeight="1" s="3743">
      <c r="A74" s="4165" t="n"/>
      <c r="B74" s="3891" t="n"/>
      <c r="C74" s="4219" t="inlineStr">
        <is>
          <t xml:space="preserve">Unbilled revenue - non current </t>
        </is>
      </c>
      <c r="D74" s="4204" t="n"/>
      <c r="E74" s="4204" t="n"/>
      <c r="F74" s="4249" t="n"/>
      <c r="G74" s="4205" t="n"/>
      <c r="H74" s="4205" t="n"/>
      <c r="I74" s="4205" t="n"/>
      <c r="J74" s="4205" t="n"/>
      <c r="K74" s="4205" t="n"/>
      <c r="L74" s="4205" t="n"/>
      <c r="M74" s="4205" t="n"/>
      <c r="N74" s="4205" t="n"/>
      <c r="O74" s="4205" t="n"/>
      <c r="P74" s="4205" t="n"/>
      <c r="Q74" s="4206" t="n"/>
      <c r="R74" s="4205" t="n"/>
      <c r="S74" s="4205" t="n"/>
      <c r="T74" s="4205" t="n"/>
      <c r="U74" s="4205" t="n"/>
      <c r="V74" s="4205" t="n"/>
      <c r="W74" s="4205" t="n"/>
      <c r="X74" s="4205" t="n"/>
      <c r="Y74" s="4205" t="n"/>
      <c r="Z74" s="4205" t="n"/>
      <c r="AA74" s="4205" t="n"/>
      <c r="AB74" s="4205" t="n"/>
      <c r="AC74" s="4206" t="n"/>
      <c r="AD74" s="4205" t="n"/>
      <c r="AE74" s="4205" t="n"/>
      <c r="AF74" s="4205" t="n"/>
      <c r="AG74" s="4205" t="n"/>
      <c r="AH74" s="4205" t="n"/>
      <c r="AI74" s="4205" t="n"/>
      <c r="AJ74" s="4205" t="n"/>
      <c r="AK74" s="4205" t="n"/>
      <c r="AL74" s="4205" t="n"/>
      <c r="AM74" s="4205" t="n"/>
      <c r="AN74" s="4205" t="n"/>
      <c r="AO74" s="4206" t="n"/>
      <c r="AP74" s="4205" t="n"/>
      <c r="AQ74" s="4205" t="n"/>
      <c r="AR74" s="4205" t="n"/>
      <c r="AS74" s="4205" t="n"/>
      <c r="AT74" s="4205" t="n"/>
      <c r="AU74" s="4207" t="n"/>
      <c r="AV74" s="4205" t="n"/>
      <c r="AW74" s="4205" t="n"/>
      <c r="AX74" s="4205" t="n"/>
      <c r="AY74" s="4205" t="n"/>
      <c r="AZ74" s="4205" t="n"/>
      <c r="BA74" s="3743" t="n"/>
      <c r="BB74" s="4205" t="n"/>
    </row>
    <row r="75" hidden="1" outlineLevel="2" ht="12" customHeight="1" s="3710">
      <c r="C75" s="4092" t="inlineStr">
        <is>
          <t>Unbilled revenue</t>
        </is>
      </c>
      <c r="D75" s="4092" t="n"/>
      <c r="E75" s="4092" t="n"/>
      <c r="F75" s="4243" t="n"/>
      <c r="G75" s="4094" t="n"/>
      <c r="H75" s="4094" t="n"/>
      <c r="I75" s="4094" t="n"/>
      <c r="J75" s="4094" t="n"/>
      <c r="K75" s="4094" t="n"/>
      <c r="L75" s="4094" t="n"/>
      <c r="M75" s="4094" t="n"/>
      <c r="N75" s="4094" t="n"/>
      <c r="O75" s="4094" t="n"/>
      <c r="P75" s="4094" t="n"/>
      <c r="Q75" s="4095" t="n"/>
      <c r="R75" s="4094" t="n"/>
      <c r="S75" s="4094" t="n"/>
      <c r="T75" s="4094" t="n"/>
      <c r="U75" s="4094" t="n"/>
      <c r="V75" s="4094" t="n"/>
      <c r="W75" s="4094" t="n"/>
      <c r="X75" s="4094" t="n"/>
      <c r="Y75" s="4094" t="n"/>
      <c r="Z75" s="4094" t="n"/>
      <c r="AA75" s="4094" t="n"/>
      <c r="AB75" s="4094" t="n"/>
      <c r="AC75" s="4095" t="n"/>
      <c r="AD75" s="4094" t="n"/>
      <c r="AE75" s="4094" t="n"/>
      <c r="AF75" s="4094" t="n"/>
      <c r="AG75" s="4094" t="n"/>
      <c r="AH75" s="4094" t="n"/>
      <c r="AI75" s="4094" t="n"/>
      <c r="AJ75" s="4094" t="n"/>
      <c r="AK75" s="4094" t="n"/>
      <c r="AL75" s="4094" t="n"/>
      <c r="AM75" s="4094" t="n"/>
      <c r="AN75" s="4094" t="n"/>
      <c r="AO75" s="4095" t="n"/>
      <c r="AP75" s="4094" t="n"/>
      <c r="AQ75" s="4094" t="n"/>
      <c r="AR75" s="4094" t="n"/>
      <c r="AS75" s="4094" t="n"/>
      <c r="AT75" s="4094" t="n"/>
      <c r="AU75" s="4096" t="n"/>
      <c r="AV75" s="4094" t="n"/>
      <c r="AW75" s="4094" t="n"/>
      <c r="AX75" s="4094" t="n"/>
      <c r="AY75" s="4094" t="n"/>
      <c r="AZ75" s="4094" t="n"/>
      <c r="BA75" s="3737" t="n"/>
      <c r="BB75" s="4094" t="n"/>
    </row>
    <row r="76" hidden="1" outlineLevel="4" ht="12" customFormat="1" customHeight="1" s="3743">
      <c r="A76" s="4165" t="n"/>
      <c r="B76" s="3891" t="n"/>
      <c r="C76" s="4251" t="inlineStr">
        <is>
          <t>Trade accounts payable - CAD</t>
        </is>
      </c>
      <c r="D76" s="3902" t="n">
        <v>200101</v>
      </c>
      <c r="E76" s="3902" t="inlineStr">
        <is>
          <t>200101 - Trade Accounts Payable - CAD</t>
        </is>
      </c>
      <c r="F76" s="4250" t="n"/>
      <c r="G76" s="3900" t="n"/>
      <c r="H76" s="3900" t="n"/>
      <c r="I76" s="3900" t="n"/>
      <c r="J76" s="3900" t="n"/>
      <c r="K76" s="3900" t="n"/>
      <c r="L76" s="3900" t="n"/>
      <c r="M76" s="3900" t="n"/>
      <c r="N76" s="3900" t="n"/>
      <c r="O76" s="3900" t="n"/>
      <c r="P76" s="3900" t="n"/>
      <c r="Q76" s="4200" t="n"/>
      <c r="R76" s="3900" t="n"/>
      <c r="S76" s="3900" t="n"/>
      <c r="T76" s="3900" t="n"/>
      <c r="U76" s="3900" t="n"/>
      <c r="V76" s="3900" t="n"/>
      <c r="W76" s="3900" t="n"/>
      <c r="X76" s="3900" t="n"/>
      <c r="Y76" s="3900" t="n"/>
      <c r="Z76" s="3900" t="n"/>
      <c r="AA76" s="3900" t="n"/>
      <c r="AB76" s="3900" t="n"/>
      <c r="AC76" s="4200" t="n"/>
      <c r="AD76" s="3900" t="n"/>
      <c r="AE76" s="3900" t="n"/>
      <c r="AF76" s="3900" t="n"/>
      <c r="AG76" s="3900" t="n"/>
      <c r="AH76" s="3900" t="n"/>
      <c r="AI76" s="3900" t="n"/>
      <c r="AJ76" s="3900" t="n"/>
      <c r="AK76" s="3900" t="n"/>
      <c r="AL76" s="3900" t="n"/>
      <c r="AM76" s="3900" t="n"/>
      <c r="AN76" s="3900" t="n"/>
      <c r="AO76" s="4200" t="n"/>
      <c r="AP76" s="3900" t="n"/>
      <c r="AQ76" s="3900" t="n"/>
      <c r="AR76" s="3900" t="n"/>
      <c r="AS76" s="3900" t="n"/>
      <c r="AT76" s="3900" t="n"/>
      <c r="AU76" s="4201" t="n"/>
      <c r="AV76" s="3900" t="n"/>
      <c r="AW76" s="3900" t="n"/>
      <c r="AX76" s="3900" t="n"/>
      <c r="AY76" s="3900" t="n"/>
      <c r="AZ76" s="3900" t="n"/>
      <c r="BA76" s="3743" t="n"/>
      <c r="BB76" s="3900" t="n"/>
    </row>
    <row r="77" hidden="1" outlineLevel="4" ht="12" customFormat="1" customHeight="1" s="3743">
      <c r="A77" s="4165" t="n"/>
      <c r="B77" s="3891" t="n"/>
      <c r="C77" s="4252" t="inlineStr">
        <is>
          <t>Trade accounts payable - USD</t>
        </is>
      </c>
      <c r="D77" s="4204" t="n">
        <v>200101</v>
      </c>
      <c r="E77" s="4204" t="inlineStr">
        <is>
          <t>200101 - Trade Accounts Payable - USD</t>
        </is>
      </c>
      <c r="F77" s="4249" t="n"/>
      <c r="G77" s="4205" t="n"/>
      <c r="H77" s="4205" t="n"/>
      <c r="I77" s="4205" t="n"/>
      <c r="J77" s="4205" t="n"/>
      <c r="K77" s="4205" t="n"/>
      <c r="L77" s="4205" t="n"/>
      <c r="M77" s="4205" t="n"/>
      <c r="N77" s="4205" t="n"/>
      <c r="O77" s="4205" t="n"/>
      <c r="P77" s="4205" t="n"/>
      <c r="Q77" s="4206" t="n"/>
      <c r="R77" s="4205" t="n"/>
      <c r="S77" s="4205" t="n"/>
      <c r="T77" s="4205" t="n"/>
      <c r="U77" s="4205" t="n"/>
      <c r="V77" s="4205" t="n"/>
      <c r="W77" s="4205" t="n"/>
      <c r="X77" s="4205" t="n"/>
      <c r="Y77" s="4205" t="n"/>
      <c r="Z77" s="4205" t="n"/>
      <c r="AA77" s="4205" t="n"/>
      <c r="AB77" s="4205" t="n"/>
      <c r="AC77" s="4206" t="n"/>
      <c r="AD77" s="4205" t="n"/>
      <c r="AE77" s="4205" t="n"/>
      <c r="AF77" s="4205" t="n"/>
      <c r="AG77" s="4205" t="n"/>
      <c r="AH77" s="4205" t="n"/>
      <c r="AI77" s="4205" t="n"/>
      <c r="AJ77" s="4205" t="n"/>
      <c r="AK77" s="4205" t="n"/>
      <c r="AL77" s="4205" t="n"/>
      <c r="AM77" s="4205" t="n"/>
      <c r="AN77" s="4205" t="n"/>
      <c r="AO77" s="4206" t="n"/>
      <c r="AP77" s="4205" t="n"/>
      <c r="AQ77" s="4205" t="n"/>
      <c r="AR77" s="4205" t="n"/>
      <c r="AS77" s="4205" t="n"/>
      <c r="AT77" s="4205" t="n"/>
      <c r="AU77" s="4207" t="n"/>
      <c r="AV77" s="4205" t="n"/>
      <c r="AW77" s="4205" t="n"/>
      <c r="AX77" s="4205" t="n"/>
      <c r="AY77" s="4205" t="n"/>
      <c r="AZ77" s="4205" t="n"/>
      <c r="BA77" s="3743" t="n"/>
      <c r="BB77" s="4205" t="n"/>
    </row>
    <row r="78" hidden="1" outlineLevel="3" collapsed="1" ht="12" customFormat="1" customHeight="1" s="3743">
      <c r="A78" s="4165" t="n"/>
      <c r="B78" s="3891" t="n"/>
      <c r="C78" s="4218" t="inlineStr">
        <is>
          <t>Trade accounts payable</t>
        </is>
      </c>
      <c r="D78" s="3902" t="n"/>
      <c r="E78" s="3902" t="n"/>
      <c r="F78" s="4250" t="n"/>
      <c r="G78" s="3900" t="n"/>
      <c r="H78" s="3900" t="n"/>
      <c r="I78" s="3900" t="n"/>
      <c r="J78" s="3900" t="n"/>
      <c r="K78" s="3900" t="n"/>
      <c r="L78" s="3900" t="n"/>
      <c r="M78" s="3900" t="n"/>
      <c r="N78" s="3900" t="n"/>
      <c r="O78" s="3900" t="n"/>
      <c r="P78" s="3900" t="n"/>
      <c r="Q78" s="4200" t="n"/>
      <c r="R78" s="3900" t="n"/>
      <c r="S78" s="3900" t="n"/>
      <c r="T78" s="3900" t="n"/>
      <c r="U78" s="3900" t="n"/>
      <c r="V78" s="3900" t="n"/>
      <c r="W78" s="3900" t="n"/>
      <c r="X78" s="3900" t="n"/>
      <c r="Y78" s="3900" t="n"/>
      <c r="Z78" s="3900" t="n"/>
      <c r="AA78" s="3900" t="n"/>
      <c r="AB78" s="3900" t="n"/>
      <c r="AC78" s="4200" t="n"/>
      <c r="AD78" s="3900" t="n"/>
      <c r="AE78" s="3900" t="n"/>
      <c r="AF78" s="3900" t="n"/>
      <c r="AG78" s="3900" t="n"/>
      <c r="AH78" s="3900" t="n"/>
      <c r="AI78" s="3900" t="n"/>
      <c r="AJ78" s="3900" t="n"/>
      <c r="AK78" s="3900" t="n"/>
      <c r="AL78" s="3900" t="n"/>
      <c r="AM78" s="3900" t="n"/>
      <c r="AN78" s="3900" t="n"/>
      <c r="AO78" s="4200" t="n"/>
      <c r="AP78" s="3900" t="n"/>
      <c r="AQ78" s="3900" t="n"/>
      <c r="AR78" s="3900" t="n"/>
      <c r="AS78" s="3900" t="n"/>
      <c r="AT78" s="3900" t="n"/>
      <c r="AU78" s="4201" t="n"/>
      <c r="AV78" s="3900" t="n"/>
      <c r="AW78" s="3900" t="n"/>
      <c r="AX78" s="3900" t="n"/>
      <c r="AY78" s="3900" t="n"/>
      <c r="AZ78" s="3900" t="n"/>
      <c r="BA78" s="3743" t="n"/>
      <c r="BB78" s="3900" t="n"/>
    </row>
    <row r="79" hidden="1" outlineLevel="4" ht="12" customFormat="1" customHeight="1" s="3743">
      <c r="A79" s="4165" t="n"/>
      <c r="B79" s="3891" t="n"/>
      <c r="C79" s="4251" t="inlineStr">
        <is>
          <t>Accrued liabilities - COGS</t>
        </is>
      </c>
      <c r="D79" s="3902" t="n">
        <v>214102</v>
      </c>
      <c r="E79" s="3902" t="inlineStr">
        <is>
          <t>214102 - Accrued Liabilities - COGS</t>
        </is>
      </c>
      <c r="F79" s="4250" t="n"/>
      <c r="G79" s="3900" t="n"/>
      <c r="H79" s="3900" t="n"/>
      <c r="I79" s="3900" t="n"/>
      <c r="J79" s="3900" t="n"/>
      <c r="K79" s="3900" t="n"/>
      <c r="L79" s="3900" t="n"/>
      <c r="M79" s="3900" t="n"/>
      <c r="N79" s="3900" t="n"/>
      <c r="O79" s="3900" t="n"/>
      <c r="P79" s="3900" t="n"/>
      <c r="Q79" s="4200" t="n"/>
      <c r="R79" s="3900" t="n"/>
      <c r="S79" s="3900" t="n"/>
      <c r="T79" s="3900" t="n"/>
      <c r="U79" s="3900" t="n"/>
      <c r="V79" s="3900" t="n"/>
      <c r="W79" s="3900" t="n"/>
      <c r="X79" s="3900" t="n"/>
      <c r="Y79" s="3900" t="n"/>
      <c r="Z79" s="3900" t="n"/>
      <c r="AA79" s="3900" t="n"/>
      <c r="AB79" s="3900" t="n"/>
      <c r="AC79" s="4200" t="n"/>
      <c r="AD79" s="3900" t="n"/>
      <c r="AE79" s="3900" t="n"/>
      <c r="AF79" s="3900" t="n"/>
      <c r="AG79" s="3900" t="n"/>
      <c r="AH79" s="3900" t="n"/>
      <c r="AI79" s="3900" t="n"/>
      <c r="AJ79" s="3900" t="n"/>
      <c r="AK79" s="3900" t="n"/>
      <c r="AL79" s="3900" t="n"/>
      <c r="AM79" s="3900" t="n"/>
      <c r="AN79" s="3900" t="n"/>
      <c r="AO79" s="4200" t="n"/>
      <c r="AP79" s="3900" t="n"/>
      <c r="AQ79" s="3900" t="n"/>
      <c r="AR79" s="3900" t="n"/>
      <c r="AS79" s="3900" t="n"/>
      <c r="AT79" s="3900" t="n"/>
      <c r="AU79" s="4201" t="n"/>
      <c r="AV79" s="3900" t="n"/>
      <c r="AW79" s="3900" t="n"/>
      <c r="AX79" s="3900" t="n"/>
      <c r="AY79" s="3900" t="n"/>
      <c r="AZ79" s="3900" t="n"/>
      <c r="BA79" s="3743" t="n"/>
      <c r="BB79" s="3900" t="n"/>
    </row>
    <row r="80" hidden="1" outlineLevel="4" ht="12" customFormat="1" customHeight="1" s="3743">
      <c r="A80" s="4211" t="n"/>
      <c r="B80" s="4044" t="n"/>
      <c r="C80" s="4251" t="inlineStr">
        <is>
          <t>Accrued liabilites - general</t>
        </is>
      </c>
      <c r="D80" s="3902" t="n">
        <v>214101</v>
      </c>
      <c r="E80" s="3902" t="inlineStr">
        <is>
          <t>214101 - Accrued Liabilites - General</t>
        </is>
      </c>
      <c r="F80" s="4250" t="n"/>
      <c r="G80" s="3900" t="n"/>
      <c r="H80" s="3900" t="n"/>
      <c r="I80" s="3900" t="n"/>
      <c r="J80" s="3900" t="n"/>
      <c r="K80" s="3900" t="n"/>
      <c r="L80" s="3900" t="n"/>
      <c r="M80" s="3900" t="n"/>
      <c r="N80" s="3900" t="n"/>
      <c r="O80" s="3900" t="n"/>
      <c r="P80" s="3900" t="n"/>
      <c r="Q80" s="4200" t="n"/>
      <c r="R80" s="3900" t="n"/>
      <c r="S80" s="3900" t="n"/>
      <c r="T80" s="3900" t="n"/>
      <c r="U80" s="3900" t="n"/>
      <c r="V80" s="3900" t="n"/>
      <c r="W80" s="3900" t="n"/>
      <c r="X80" s="3900" t="n"/>
      <c r="Y80" s="3900" t="n"/>
      <c r="Z80" s="3900" t="n"/>
      <c r="AA80" s="3900" t="n"/>
      <c r="AB80" s="3900" t="n"/>
      <c r="AC80" s="4200" t="n"/>
      <c r="AD80" s="3900" t="n"/>
      <c r="AE80" s="3900" t="n"/>
      <c r="AF80" s="3900" t="n"/>
      <c r="AG80" s="3900" t="n"/>
      <c r="AH80" s="3900" t="n"/>
      <c r="AI80" s="3900" t="n"/>
      <c r="AJ80" s="3900" t="n"/>
      <c r="AK80" s="3900" t="n"/>
      <c r="AL80" s="3900" t="n"/>
      <c r="AM80" s="3900" t="n"/>
      <c r="AN80" s="3900" t="n"/>
      <c r="AO80" s="4200" t="n"/>
      <c r="AP80" s="3900" t="n"/>
      <c r="AQ80" s="3900" t="n"/>
      <c r="AR80" s="3900" t="n"/>
      <c r="AS80" s="3900" t="n"/>
      <c r="AT80" s="3900" t="n"/>
      <c r="AU80" s="4201" t="n"/>
      <c r="AV80" s="3900" t="n"/>
      <c r="AW80" s="3900" t="n"/>
      <c r="AX80" s="3900" t="n"/>
      <c r="AY80" s="3900" t="n"/>
      <c r="AZ80" s="3900" t="n"/>
      <c r="BA80" s="3743" t="n"/>
      <c r="BB80" s="3900" t="n"/>
    </row>
    <row r="81" hidden="1" outlineLevel="4" ht="12" customFormat="1" customHeight="1" s="3743">
      <c r="A81" s="4211" t="n"/>
      <c r="B81" s="4044" t="n"/>
      <c r="C81" s="4251" t="inlineStr">
        <is>
          <t>Accrued liaibilites -c2c conversions team</t>
        </is>
      </c>
      <c r="D81" s="3902" t="n">
        <v>214101</v>
      </c>
      <c r="E81" s="3902" t="inlineStr">
        <is>
          <t>214101 - Accrued Liaibilites -C2C Conversions Team</t>
        </is>
      </c>
      <c r="F81" s="4250" t="n"/>
      <c r="G81" s="3900" t="n"/>
      <c r="H81" s="3900" t="n"/>
      <c r="I81" s="3900" t="n"/>
      <c r="J81" s="3900" t="n"/>
      <c r="K81" s="3900" t="n"/>
      <c r="L81" s="3900" t="n"/>
      <c r="M81" s="3900" t="n"/>
      <c r="N81" s="3900" t="n"/>
      <c r="O81" s="3900" t="n"/>
      <c r="P81" s="3900" t="n"/>
      <c r="Q81" s="4200" t="n"/>
      <c r="R81" s="3900" t="n"/>
      <c r="S81" s="3900" t="n"/>
      <c r="T81" s="3900" t="n"/>
      <c r="U81" s="3900" t="n"/>
      <c r="V81" s="3900" t="n"/>
      <c r="W81" s="3900" t="n"/>
      <c r="X81" s="3900" t="n"/>
      <c r="Y81" s="3900" t="n"/>
      <c r="Z81" s="3900" t="n"/>
      <c r="AA81" s="3900" t="n"/>
      <c r="AB81" s="3900" t="n"/>
      <c r="AC81" s="4200" t="n"/>
      <c r="AD81" s="3900" t="n"/>
      <c r="AE81" s="3900" t="n"/>
      <c r="AF81" s="3900" t="n"/>
      <c r="AG81" s="3900" t="n"/>
      <c r="AH81" s="3900" t="n"/>
      <c r="AI81" s="3900" t="n"/>
      <c r="AJ81" s="3900" t="n"/>
      <c r="AK81" s="3900" t="n"/>
      <c r="AL81" s="3900" t="n"/>
      <c r="AM81" s="3900" t="n"/>
      <c r="AN81" s="3900" t="n"/>
      <c r="AO81" s="4200" t="n"/>
      <c r="AP81" s="3900" t="n"/>
      <c r="AQ81" s="3900" t="n"/>
      <c r="AR81" s="3900" t="n"/>
      <c r="AS81" s="3900" t="n"/>
      <c r="AT81" s="3900" t="n"/>
      <c r="AU81" s="4201" t="n"/>
      <c r="AV81" s="3900" t="n"/>
      <c r="AW81" s="3900" t="n"/>
      <c r="AX81" s="3900" t="n"/>
      <c r="AY81" s="3900" t="n"/>
      <c r="AZ81" s="3900" t="n"/>
      <c r="BA81" s="3743" t="n"/>
      <c r="BB81" s="3900" t="n"/>
    </row>
    <row r="82" hidden="1" outlineLevel="4" ht="12" customFormat="1" customHeight="1" s="3743">
      <c r="A82" s="4165" t="n"/>
      <c r="B82" s="3891" t="n"/>
      <c r="C82" s="4251" t="inlineStr">
        <is>
          <t>Accrued liabilities - celero and cu centrals</t>
        </is>
      </c>
      <c r="D82" s="3902" t="n">
        <v>214103</v>
      </c>
      <c r="E82" s="3902" t="inlineStr">
        <is>
          <t>214103 - Accrued Liabilities - Celero and CU Centrals</t>
        </is>
      </c>
      <c r="F82" s="4250" t="n"/>
      <c r="G82" s="3900" t="n"/>
      <c r="H82" s="3900" t="n"/>
      <c r="I82" s="3900" t="n"/>
      <c r="J82" s="3900" t="n"/>
      <c r="K82" s="3900" t="n"/>
      <c r="L82" s="3900" t="n"/>
      <c r="M82" s="3900" t="n"/>
      <c r="N82" s="3900" t="n"/>
      <c r="O82" s="3900" t="n"/>
      <c r="P82" s="3900" t="n"/>
      <c r="Q82" s="4200" t="n"/>
      <c r="R82" s="3900" t="n"/>
      <c r="S82" s="3900" t="n"/>
      <c r="T82" s="3900" t="n"/>
      <c r="U82" s="3900" t="n"/>
      <c r="V82" s="3900" t="n"/>
      <c r="W82" s="3900" t="n"/>
      <c r="X82" s="3900" t="n"/>
      <c r="Y82" s="3900" t="n"/>
      <c r="Z82" s="3900" t="n"/>
      <c r="AA82" s="3900" t="n"/>
      <c r="AB82" s="3900" t="n"/>
      <c r="AC82" s="4200" t="n"/>
      <c r="AD82" s="3900" t="n"/>
      <c r="AE82" s="3900" t="n"/>
      <c r="AF82" s="3900" t="n"/>
      <c r="AG82" s="3900" t="n"/>
      <c r="AH82" s="3900" t="n"/>
      <c r="AI82" s="3900" t="n"/>
      <c r="AJ82" s="3900" t="n"/>
      <c r="AK82" s="3900" t="n"/>
      <c r="AL82" s="3900" t="n"/>
      <c r="AM82" s="3900" t="n"/>
      <c r="AN82" s="3900" t="n"/>
      <c r="AO82" s="4200" t="n"/>
      <c r="AP82" s="3900" t="n"/>
      <c r="AQ82" s="3900" t="n"/>
      <c r="AR82" s="3900" t="n"/>
      <c r="AS82" s="3900" t="n"/>
      <c r="AT82" s="3900" t="n"/>
      <c r="AU82" s="4201" t="n"/>
      <c r="AV82" s="3900" t="n"/>
      <c r="AW82" s="3900" t="n"/>
      <c r="AX82" s="3900" t="n"/>
      <c r="AY82" s="3900" t="n"/>
      <c r="AZ82" s="3900" t="n"/>
      <c r="BA82" s="3743" t="n"/>
      <c r="BB82" s="3900" t="n"/>
    </row>
    <row r="83" hidden="1" outlineLevel="4" ht="12" customFormat="1" customHeight="1" s="3743">
      <c r="A83" s="4165" t="n"/>
      <c r="B83" s="3891" t="n"/>
      <c r="C83" s="4251" t="inlineStr">
        <is>
          <t>Accrued liabilities -intercompany - co-op vcas</t>
        </is>
      </c>
      <c r="D83" s="3902" t="n">
        <v>249850</v>
      </c>
      <c r="E83" s="3902" t="inlineStr">
        <is>
          <t>249850 - Accrued Liabilities -Intercompany - Co-Op VCAS</t>
        </is>
      </c>
      <c r="F83" s="4250" t="n"/>
      <c r="G83" s="3900" t="n"/>
      <c r="H83" s="3900" t="n"/>
      <c r="I83" s="3900" t="n"/>
      <c r="J83" s="3900" t="n"/>
      <c r="K83" s="3900" t="n"/>
      <c r="L83" s="3900" t="n"/>
      <c r="M83" s="3900" t="n"/>
      <c r="N83" s="3900" t="n"/>
      <c r="O83" s="3900" t="n"/>
      <c r="P83" s="3900" t="n"/>
      <c r="Q83" s="4200" t="n"/>
      <c r="R83" s="3900" t="n"/>
      <c r="S83" s="3900" t="n"/>
      <c r="T83" s="3900" t="n"/>
      <c r="U83" s="3900" t="n"/>
      <c r="V83" s="3900" t="n"/>
      <c r="W83" s="3900" t="n"/>
      <c r="X83" s="3900" t="n"/>
      <c r="Y83" s="3900" t="n"/>
      <c r="Z83" s="3900" t="n"/>
      <c r="AA83" s="3900" t="n"/>
      <c r="AB83" s="3900" t="n"/>
      <c r="AC83" s="4200" t="n"/>
      <c r="AD83" s="3900" t="n"/>
      <c r="AE83" s="3900" t="n"/>
      <c r="AF83" s="3900" t="n"/>
      <c r="AG83" s="3900" t="n"/>
      <c r="AH83" s="3900" t="n"/>
      <c r="AI83" s="3900" t="n"/>
      <c r="AJ83" s="3900" t="n"/>
      <c r="AK83" s="3900" t="n"/>
      <c r="AL83" s="3900" t="n"/>
      <c r="AM83" s="3900" t="n"/>
      <c r="AN83" s="3900" t="n"/>
      <c r="AO83" s="4200" t="n"/>
      <c r="AP83" s="3900" t="n"/>
      <c r="AQ83" s="3900" t="n"/>
      <c r="AR83" s="3900" t="n"/>
      <c r="AS83" s="3900" t="n"/>
      <c r="AT83" s="3900" t="n"/>
      <c r="AU83" s="4201" t="n"/>
      <c r="AV83" s="3900" t="n"/>
      <c r="AW83" s="3900" t="n"/>
      <c r="AX83" s="3900" t="n"/>
      <c r="AY83" s="3900" t="n"/>
      <c r="AZ83" s="3900" t="n"/>
      <c r="BA83" s="3743" t="n"/>
      <c r="BB83" s="3900" t="n"/>
    </row>
    <row r="84" hidden="1" outlineLevel="4" ht="12" customFormat="1" customHeight="1" s="3743">
      <c r="A84" s="4165" t="n"/>
      <c r="B84" s="3891" t="n"/>
      <c r="C84" s="4252" t="inlineStr">
        <is>
          <t>Accrued liabilities - fixed assets</t>
        </is>
      </c>
      <c r="D84" s="4204" t="n">
        <v>214105</v>
      </c>
      <c r="E84" s="4204" t="inlineStr">
        <is>
          <t>214105 - Accrued Liabilities - Fixed Assets</t>
        </is>
      </c>
      <c r="F84" s="4249" t="n"/>
      <c r="G84" s="4205" t="n"/>
      <c r="H84" s="4205" t="n"/>
      <c r="I84" s="4205" t="n"/>
      <c r="J84" s="4205" t="n"/>
      <c r="K84" s="4205" t="n"/>
      <c r="L84" s="4205" t="n"/>
      <c r="M84" s="4205" t="n"/>
      <c r="N84" s="4205" t="n"/>
      <c r="O84" s="4205" t="n"/>
      <c r="P84" s="4205" t="n"/>
      <c r="Q84" s="4206" t="n"/>
      <c r="R84" s="4205" t="n"/>
      <c r="S84" s="4205" t="n"/>
      <c r="T84" s="4205" t="n"/>
      <c r="U84" s="4205" t="n"/>
      <c r="V84" s="4205" t="n"/>
      <c r="W84" s="4205" t="n"/>
      <c r="X84" s="4205" t="n"/>
      <c r="Y84" s="4205" t="n"/>
      <c r="Z84" s="4205" t="n"/>
      <c r="AA84" s="4205" t="n"/>
      <c r="AB84" s="4205" t="n"/>
      <c r="AC84" s="4206" t="n"/>
      <c r="AD84" s="4205" t="n"/>
      <c r="AE84" s="4205" t="n"/>
      <c r="AF84" s="4205" t="n"/>
      <c r="AG84" s="4205" t="n"/>
      <c r="AH84" s="4205" t="n"/>
      <c r="AI84" s="4205" t="n"/>
      <c r="AJ84" s="4205" t="n"/>
      <c r="AK84" s="4205" t="n"/>
      <c r="AL84" s="4205" t="n"/>
      <c r="AM84" s="4205" t="n"/>
      <c r="AN84" s="4205" t="n"/>
      <c r="AO84" s="4206" t="n"/>
      <c r="AP84" s="4205" t="n"/>
      <c r="AQ84" s="4205" t="n"/>
      <c r="AR84" s="4205" t="n"/>
      <c r="AS84" s="4205" t="n"/>
      <c r="AT84" s="4205" t="n"/>
      <c r="AU84" s="4207" t="n"/>
      <c r="AV84" s="4205" t="n"/>
      <c r="AW84" s="4205" t="n"/>
      <c r="AX84" s="4205" t="n"/>
      <c r="AY84" s="4205" t="n"/>
      <c r="AZ84" s="4205" t="n"/>
      <c r="BA84" s="3743" t="n"/>
      <c r="BB84" s="4205" t="n"/>
    </row>
    <row r="85" hidden="1" outlineLevel="3" collapsed="1" ht="12" customFormat="1" customHeight="1" s="3743">
      <c r="A85" s="4165" t="n"/>
      <c r="B85" s="3891" t="n"/>
      <c r="C85" s="4218" t="inlineStr">
        <is>
          <t>Accrued liabilities</t>
        </is>
      </c>
      <c r="D85" s="3902" t="n"/>
      <c r="E85" s="3902" t="n"/>
      <c r="F85" s="4250" t="n"/>
      <c r="G85" s="3900" t="n"/>
      <c r="H85" s="3900" t="n"/>
      <c r="I85" s="3900" t="n"/>
      <c r="J85" s="3900" t="n"/>
      <c r="K85" s="3900" t="n"/>
      <c r="L85" s="3900" t="n"/>
      <c r="M85" s="3900" t="n"/>
      <c r="N85" s="3900" t="n"/>
      <c r="O85" s="3900" t="n"/>
      <c r="P85" s="3900" t="n"/>
      <c r="Q85" s="4200" t="n"/>
      <c r="R85" s="3900" t="n"/>
      <c r="S85" s="3900" t="n"/>
      <c r="T85" s="3900" t="n"/>
      <c r="U85" s="3900" t="n"/>
      <c r="V85" s="3900" t="n"/>
      <c r="W85" s="3900" t="n"/>
      <c r="X85" s="3900" t="n"/>
      <c r="Y85" s="3900" t="n"/>
      <c r="Z85" s="3900" t="n"/>
      <c r="AA85" s="3900" t="n"/>
      <c r="AB85" s="3900" t="n"/>
      <c r="AC85" s="4200" t="n"/>
      <c r="AD85" s="3900" t="n"/>
      <c r="AE85" s="3900" t="n"/>
      <c r="AF85" s="3900" t="n"/>
      <c r="AG85" s="3900" t="n"/>
      <c r="AH85" s="3900" t="n"/>
      <c r="AI85" s="3900" t="n"/>
      <c r="AJ85" s="3900" t="n"/>
      <c r="AK85" s="3900" t="n"/>
      <c r="AL85" s="3900" t="n"/>
      <c r="AM85" s="3900" t="n"/>
      <c r="AN85" s="3900" t="n"/>
      <c r="AO85" s="4200" t="n"/>
      <c r="AP85" s="3900" t="n"/>
      <c r="AQ85" s="3900" t="n"/>
      <c r="AR85" s="3900" t="n"/>
      <c r="AS85" s="3900" t="n"/>
      <c r="AT85" s="3900" t="n"/>
      <c r="AU85" s="4201" t="n"/>
      <c r="AV85" s="3900" t="n"/>
      <c r="AW85" s="3900" t="n"/>
      <c r="AX85" s="3900" t="n"/>
      <c r="AY85" s="3900" t="n"/>
      <c r="AZ85" s="3900" t="n"/>
      <c r="BA85" s="3743" t="n"/>
      <c r="BB85" s="3900" t="n"/>
    </row>
    <row r="86" hidden="1" outlineLevel="4" ht="12" customFormat="1" customHeight="1" s="3743">
      <c r="A86" s="4165" t="n"/>
      <c r="B86" s="3891" t="n"/>
      <c r="C86" s="4251" t="inlineStr">
        <is>
          <t>Sales tax payable - PST BC</t>
        </is>
      </c>
      <c r="D86" s="3902" t="n">
        <v>208323</v>
      </c>
      <c r="E86" s="3902" t="inlineStr">
        <is>
          <t>208323 - Sales Tax Payable - PST BC</t>
        </is>
      </c>
      <c r="F86" s="4250" t="n"/>
      <c r="G86" s="3900" t="n"/>
      <c r="H86" s="3900" t="n"/>
      <c r="I86" s="3900" t="n"/>
      <c r="J86" s="3900" t="n"/>
      <c r="K86" s="3900" t="n"/>
      <c r="L86" s="3900" t="n"/>
      <c r="M86" s="3900" t="n"/>
      <c r="N86" s="3900" t="n"/>
      <c r="O86" s="3900" t="n"/>
      <c r="P86" s="3900" t="n"/>
      <c r="Q86" s="4200" t="n"/>
      <c r="R86" s="3900" t="n"/>
      <c r="S86" s="3900" t="n"/>
      <c r="T86" s="3900" t="n"/>
      <c r="U86" s="3900" t="n"/>
      <c r="V86" s="3900" t="n"/>
      <c r="W86" s="3900" t="n"/>
      <c r="X86" s="3900" t="n"/>
      <c r="Y86" s="3900" t="n"/>
      <c r="Z86" s="3900" t="n"/>
      <c r="AA86" s="3900" t="n"/>
      <c r="AB86" s="3900" t="n"/>
      <c r="AC86" s="4200" t="n"/>
      <c r="AD86" s="3900" t="n"/>
      <c r="AE86" s="3900" t="n"/>
      <c r="AF86" s="3900" t="n"/>
      <c r="AG86" s="3900" t="n"/>
      <c r="AH86" s="3900" t="n"/>
      <c r="AI86" s="3900" t="n"/>
      <c r="AJ86" s="3900" t="n"/>
      <c r="AK86" s="3900" t="n"/>
      <c r="AL86" s="3900" t="n"/>
      <c r="AM86" s="3900" t="n"/>
      <c r="AN86" s="3900" t="n"/>
      <c r="AO86" s="4200" t="n"/>
      <c r="AP86" s="3900" t="n"/>
      <c r="AQ86" s="3900" t="n"/>
      <c r="AR86" s="3900" t="n"/>
      <c r="AS86" s="3900" t="n"/>
      <c r="AT86" s="3900" t="n"/>
      <c r="AU86" s="4201" t="n"/>
      <c r="AV86" s="3900" t="n"/>
      <c r="AW86" s="3900" t="n"/>
      <c r="AX86" s="3900" t="n"/>
      <c r="AY86" s="3900" t="n"/>
      <c r="AZ86" s="3900" t="n"/>
      <c r="BA86" s="3743" t="n"/>
      <c r="BB86" s="3900" t="n"/>
    </row>
    <row r="87" hidden="1" outlineLevel="4" ht="12" customFormat="1" customHeight="1" s="3743">
      <c r="A87" s="4211" t="n"/>
      <c r="B87" s="4044" t="n"/>
      <c r="C87" s="4251" t="inlineStr">
        <is>
          <t>Sales tax payable - HST/GST</t>
        </is>
      </c>
      <c r="D87" s="3902" t="n">
        <v>208319</v>
      </c>
      <c r="E87" s="3902" t="inlineStr">
        <is>
          <t>208319 - Sales Tax Payable - HST/GST</t>
        </is>
      </c>
      <c r="F87" s="4250" t="n"/>
      <c r="G87" s="3900" t="n"/>
      <c r="H87" s="3900" t="n"/>
      <c r="I87" s="3900" t="n"/>
      <c r="J87" s="3900" t="n"/>
      <c r="K87" s="3900" t="n"/>
      <c r="L87" s="3900" t="n"/>
      <c r="M87" s="3900" t="n"/>
      <c r="N87" s="3900" t="n"/>
      <c r="O87" s="3900" t="n"/>
      <c r="P87" s="3900" t="n"/>
      <c r="Q87" s="4200" t="n"/>
      <c r="R87" s="3900" t="n"/>
      <c r="S87" s="3900" t="n"/>
      <c r="T87" s="3900" t="n"/>
      <c r="U87" s="3900" t="n"/>
      <c r="V87" s="3900" t="n"/>
      <c r="W87" s="3900" t="n"/>
      <c r="X87" s="3900" t="n"/>
      <c r="Y87" s="3900" t="n"/>
      <c r="Z87" s="3900" t="n"/>
      <c r="AA87" s="3900" t="n"/>
      <c r="AB87" s="3900" t="n"/>
      <c r="AC87" s="4200" t="n"/>
      <c r="AD87" s="3900" t="n"/>
      <c r="AE87" s="3900" t="n"/>
      <c r="AF87" s="3900" t="n"/>
      <c r="AG87" s="3900" t="n"/>
      <c r="AH87" s="3900" t="n"/>
      <c r="AI87" s="3900" t="n"/>
      <c r="AJ87" s="3900" t="n"/>
      <c r="AK87" s="3900" t="n"/>
      <c r="AL87" s="3900" t="n"/>
      <c r="AM87" s="3900" t="n"/>
      <c r="AN87" s="3900" t="n"/>
      <c r="AO87" s="4200" t="n"/>
      <c r="AP87" s="3900" t="n"/>
      <c r="AQ87" s="3900" t="n"/>
      <c r="AR87" s="3900" t="n"/>
      <c r="AS87" s="3900" t="n"/>
      <c r="AT87" s="3900" t="n"/>
      <c r="AU87" s="4201" t="n"/>
      <c r="AV87" s="3900" t="n"/>
      <c r="AW87" s="3900" t="n"/>
      <c r="AX87" s="3900" t="n"/>
      <c r="AY87" s="3900" t="n"/>
      <c r="AZ87" s="3900" t="n"/>
      <c r="BA87" s="3743" t="n"/>
      <c r="BB87" s="3900" t="n"/>
    </row>
    <row r="88" hidden="1" outlineLevel="4" ht="12" customFormat="1" customHeight="1" s="3743">
      <c r="A88" s="4165" t="n"/>
      <c r="B88" s="3891" t="n"/>
      <c r="C88" s="4251" t="inlineStr">
        <is>
          <t>Sales tax payable - PST MB</t>
        </is>
      </c>
      <c r="D88" s="3902" t="n">
        <v>208320</v>
      </c>
      <c r="E88" s="3902" t="inlineStr">
        <is>
          <t>208320 - Sales Tax Payable - PST MB</t>
        </is>
      </c>
      <c r="F88" s="4250" t="n"/>
      <c r="G88" s="3900" t="n"/>
      <c r="H88" s="3900" t="n"/>
      <c r="I88" s="3900" t="n"/>
      <c r="J88" s="3900" t="n"/>
      <c r="K88" s="3900" t="n"/>
      <c r="L88" s="3900" t="n"/>
      <c r="M88" s="3900" t="n"/>
      <c r="N88" s="3900" t="n"/>
      <c r="O88" s="3900" t="n"/>
      <c r="P88" s="3900" t="n"/>
      <c r="Q88" s="4200" t="n"/>
      <c r="R88" s="3900" t="n"/>
      <c r="S88" s="3900" t="n"/>
      <c r="T88" s="3900" t="n"/>
      <c r="U88" s="3900" t="n"/>
      <c r="V88" s="3900" t="n"/>
      <c r="W88" s="3900" t="n"/>
      <c r="X88" s="3900" t="n"/>
      <c r="Y88" s="3900" t="n"/>
      <c r="Z88" s="3900" t="n"/>
      <c r="AA88" s="3900" t="n"/>
      <c r="AB88" s="3900" t="n"/>
      <c r="AC88" s="4200" t="n"/>
      <c r="AD88" s="3900" t="n"/>
      <c r="AE88" s="3900" t="n"/>
      <c r="AF88" s="3900" t="n"/>
      <c r="AG88" s="3900" t="n"/>
      <c r="AH88" s="3900" t="n"/>
      <c r="AI88" s="3900" t="n"/>
      <c r="AJ88" s="3900" t="n"/>
      <c r="AK88" s="3900" t="n"/>
      <c r="AL88" s="3900" t="n"/>
      <c r="AM88" s="3900" t="n"/>
      <c r="AN88" s="3900" t="n"/>
      <c r="AO88" s="4200" t="n"/>
      <c r="AP88" s="3900" t="n"/>
      <c r="AQ88" s="3900" t="n"/>
      <c r="AR88" s="3900" t="n"/>
      <c r="AS88" s="3900" t="n"/>
      <c r="AT88" s="3900" t="n"/>
      <c r="AU88" s="4201" t="n"/>
      <c r="AV88" s="3900" t="n"/>
      <c r="AW88" s="3900" t="n"/>
      <c r="AX88" s="3900" t="n"/>
      <c r="AY88" s="3900" t="n"/>
      <c r="AZ88" s="3900" t="n"/>
      <c r="BA88" s="3743" t="n"/>
      <c r="BB88" s="3900" t="n"/>
    </row>
    <row r="89" hidden="1" outlineLevel="4" ht="12" customFormat="1" customHeight="1" s="3743">
      <c r="A89" s="4165" t="n"/>
      <c r="B89" s="3891" t="n"/>
      <c r="C89" s="4251" t="inlineStr">
        <is>
          <t>Sales tax payable - PST SK</t>
        </is>
      </c>
      <c r="D89" s="3902" t="n">
        <v>208321</v>
      </c>
      <c r="E89" s="3902" t="inlineStr">
        <is>
          <t>208321 - Sales Tax Payable - PST SK</t>
        </is>
      </c>
      <c r="F89" s="4250" t="n"/>
      <c r="G89" s="3900" t="n"/>
      <c r="H89" s="3900" t="n"/>
      <c r="I89" s="3900" t="n"/>
      <c r="J89" s="3900" t="n"/>
      <c r="K89" s="3900" t="n"/>
      <c r="L89" s="3900" t="n"/>
      <c r="M89" s="3900" t="n"/>
      <c r="N89" s="3900" t="n"/>
      <c r="O89" s="3900" t="n"/>
      <c r="P89" s="3900" t="n"/>
      <c r="Q89" s="4200" t="n"/>
      <c r="R89" s="3900" t="n"/>
      <c r="S89" s="3900" t="n"/>
      <c r="T89" s="3900" t="n"/>
      <c r="U89" s="3900" t="n"/>
      <c r="V89" s="3900" t="n"/>
      <c r="W89" s="3900" t="n"/>
      <c r="X89" s="3900" t="n"/>
      <c r="Y89" s="3900" t="n"/>
      <c r="Z89" s="3900" t="n"/>
      <c r="AA89" s="3900" t="n"/>
      <c r="AB89" s="3900" t="n"/>
      <c r="AC89" s="4200" t="n"/>
      <c r="AD89" s="3900" t="n"/>
      <c r="AE89" s="3900" t="n"/>
      <c r="AF89" s="3900" t="n"/>
      <c r="AG89" s="3900" t="n"/>
      <c r="AH89" s="3900" t="n"/>
      <c r="AI89" s="3900" t="n"/>
      <c r="AJ89" s="3900" t="n"/>
      <c r="AK89" s="3900" t="n"/>
      <c r="AL89" s="3900" t="n"/>
      <c r="AM89" s="3900" t="n"/>
      <c r="AN89" s="3900" t="n"/>
      <c r="AO89" s="4200" t="n"/>
      <c r="AP89" s="3900" t="n"/>
      <c r="AQ89" s="3900" t="n"/>
      <c r="AR89" s="3900" t="n"/>
      <c r="AS89" s="3900" t="n"/>
      <c r="AT89" s="3900" t="n"/>
      <c r="AU89" s="4201" t="n"/>
      <c r="AV89" s="3900" t="n"/>
      <c r="AW89" s="3900" t="n"/>
      <c r="AX89" s="3900" t="n"/>
      <c r="AY89" s="3900" t="n"/>
      <c r="AZ89" s="3900" t="n"/>
      <c r="BA89" s="3743" t="n"/>
      <c r="BB89" s="3900" t="n"/>
    </row>
    <row r="90" hidden="1" outlineLevel="4" ht="12" customFormat="1" customHeight="1" s="3743">
      <c r="A90" s="4165" t="n"/>
      <c r="B90" s="3891" t="n"/>
      <c r="C90" s="4252" t="inlineStr">
        <is>
          <t>Sales tax payable - PST QST</t>
        </is>
      </c>
      <c r="D90" s="4204" t="n">
        <v>208322</v>
      </c>
      <c r="E90" s="4204" t="inlineStr">
        <is>
          <t>208322 - Sales Tax Payable - PST QST</t>
        </is>
      </c>
      <c r="F90" s="4249" t="n"/>
      <c r="G90" s="4205" t="n"/>
      <c r="H90" s="4205" t="n"/>
      <c r="I90" s="4205" t="n"/>
      <c r="J90" s="4205" t="n"/>
      <c r="K90" s="4205" t="n"/>
      <c r="L90" s="4205" t="n"/>
      <c r="M90" s="4205" t="n"/>
      <c r="N90" s="4205" t="n"/>
      <c r="O90" s="4205" t="n"/>
      <c r="P90" s="4205" t="n"/>
      <c r="Q90" s="4206" t="n"/>
      <c r="R90" s="4205" t="n"/>
      <c r="S90" s="4205" t="n"/>
      <c r="T90" s="4205" t="n"/>
      <c r="U90" s="4205" t="n"/>
      <c r="V90" s="4205" t="n"/>
      <c r="W90" s="4205" t="n"/>
      <c r="X90" s="4205" t="n"/>
      <c r="Y90" s="4205" t="n"/>
      <c r="Z90" s="4205" t="n"/>
      <c r="AA90" s="4205" t="n"/>
      <c r="AB90" s="4205" t="n"/>
      <c r="AC90" s="4206" t="n"/>
      <c r="AD90" s="4205" t="n"/>
      <c r="AE90" s="4205" t="n"/>
      <c r="AF90" s="4205" t="n"/>
      <c r="AG90" s="4205" t="n"/>
      <c r="AH90" s="4205" t="n"/>
      <c r="AI90" s="4205" t="n"/>
      <c r="AJ90" s="4205" t="n"/>
      <c r="AK90" s="4205" t="n"/>
      <c r="AL90" s="4205" t="n"/>
      <c r="AM90" s="4205" t="n"/>
      <c r="AN90" s="4205" t="n"/>
      <c r="AO90" s="4206" t="n"/>
      <c r="AP90" s="4205" t="n"/>
      <c r="AQ90" s="4205" t="n"/>
      <c r="AR90" s="4205" t="n"/>
      <c r="AS90" s="4205" t="n"/>
      <c r="AT90" s="4205" t="n"/>
      <c r="AU90" s="4207" t="n"/>
      <c r="AV90" s="4205" t="n"/>
      <c r="AW90" s="4205" t="n"/>
      <c r="AX90" s="4205" t="n"/>
      <c r="AY90" s="4205" t="n"/>
      <c r="AZ90" s="4205" t="n"/>
      <c r="BA90" s="3743" t="n"/>
      <c r="BB90" s="4205" t="n"/>
    </row>
    <row r="91" hidden="1" outlineLevel="3" collapsed="1" ht="12" customFormat="1" customHeight="1" s="3743">
      <c r="A91" s="4165" t="n"/>
      <c r="B91" s="3891" t="n"/>
      <c r="C91" s="4218" t="inlineStr">
        <is>
          <t>Sales tax payable</t>
        </is>
      </c>
      <c r="D91" s="3902" t="n"/>
      <c r="E91" s="3902" t="n"/>
      <c r="F91" s="4250" t="n"/>
      <c r="G91" s="3900" t="n"/>
      <c r="H91" s="3900" t="n"/>
      <c r="I91" s="3900" t="n"/>
      <c r="J91" s="3900" t="n"/>
      <c r="K91" s="3900" t="n"/>
      <c r="L91" s="3900" t="n"/>
      <c r="M91" s="3900" t="n"/>
      <c r="N91" s="3900" t="n"/>
      <c r="O91" s="3900" t="n"/>
      <c r="P91" s="3900" t="n"/>
      <c r="Q91" s="4200" t="n"/>
      <c r="R91" s="3900" t="n"/>
      <c r="S91" s="3900" t="n"/>
      <c r="T91" s="3900" t="n"/>
      <c r="U91" s="3900" t="n"/>
      <c r="V91" s="3900" t="n"/>
      <c r="W91" s="3900" t="n"/>
      <c r="X91" s="3900" t="n"/>
      <c r="Y91" s="3900" t="n"/>
      <c r="Z91" s="3900" t="n"/>
      <c r="AA91" s="3900" t="n"/>
      <c r="AB91" s="3900" t="n"/>
      <c r="AC91" s="4200" t="n"/>
      <c r="AD91" s="3900" t="n"/>
      <c r="AE91" s="3900" t="n"/>
      <c r="AF91" s="3900" t="n"/>
      <c r="AG91" s="3900" t="n"/>
      <c r="AH91" s="3900" t="n"/>
      <c r="AI91" s="3900" t="n"/>
      <c r="AJ91" s="3900" t="n"/>
      <c r="AK91" s="3900" t="n"/>
      <c r="AL91" s="3900" t="n"/>
      <c r="AM91" s="3900" t="n"/>
      <c r="AN91" s="3900" t="n"/>
      <c r="AO91" s="4200" t="n"/>
      <c r="AP91" s="3900" t="n"/>
      <c r="AQ91" s="3900" t="n"/>
      <c r="AR91" s="3900" t="n"/>
      <c r="AS91" s="3900" t="n"/>
      <c r="AT91" s="3900" t="n"/>
      <c r="AU91" s="4201" t="n"/>
      <c r="AV91" s="3900" t="n"/>
      <c r="AW91" s="3900" t="n"/>
      <c r="AX91" s="3900" t="n"/>
      <c r="AY91" s="3900" t="n"/>
      <c r="AZ91" s="3900" t="n"/>
      <c r="BA91" s="3743" t="n"/>
      <c r="BB91" s="3900" t="n"/>
    </row>
    <row r="92" hidden="1" outlineLevel="3" ht="12" customFormat="1" customHeight="1" s="3743">
      <c r="A92" s="4165" t="n"/>
      <c r="B92" s="3891" t="n"/>
      <c r="C92" s="4218" t="inlineStr">
        <is>
          <t>Accrued merchant residuals- chase</t>
        </is>
      </c>
      <c r="D92" s="3902" t="n">
        <v>214112</v>
      </c>
      <c r="E92" s="3902" t="inlineStr">
        <is>
          <t>214112 - Accrued Merchant Residuals- CHASE</t>
        </is>
      </c>
      <c r="F92" s="4250" t="n"/>
      <c r="G92" s="3900" t="n"/>
      <c r="H92" s="3900" t="n"/>
      <c r="I92" s="3900" t="n"/>
      <c r="J92" s="3900" t="n"/>
      <c r="K92" s="3900" t="n"/>
      <c r="L92" s="3900" t="n"/>
      <c r="M92" s="3900" t="n"/>
      <c r="N92" s="3900" t="n"/>
      <c r="O92" s="3900" t="n"/>
      <c r="P92" s="3900" t="n"/>
      <c r="Q92" s="4200" t="n"/>
      <c r="R92" s="3900" t="n"/>
      <c r="S92" s="3900" t="n"/>
      <c r="T92" s="3900" t="n"/>
      <c r="U92" s="3900" t="n"/>
      <c r="V92" s="3900" t="n"/>
      <c r="W92" s="3900" t="n"/>
      <c r="X92" s="3900" t="n"/>
      <c r="Y92" s="3900" t="n"/>
      <c r="Z92" s="3900" t="n"/>
      <c r="AA92" s="3900" t="n"/>
      <c r="AB92" s="3900" t="n"/>
      <c r="AC92" s="4200" t="n"/>
      <c r="AD92" s="3900" t="n"/>
      <c r="AE92" s="3900" t="n"/>
      <c r="AF92" s="3900" t="n"/>
      <c r="AG92" s="3900" t="n"/>
      <c r="AH92" s="3900" t="n"/>
      <c r="AI92" s="3900" t="n"/>
      <c r="AJ92" s="3900" t="n"/>
      <c r="AK92" s="3900" t="n"/>
      <c r="AL92" s="3900" t="n"/>
      <c r="AM92" s="3900" t="n"/>
      <c r="AN92" s="3900" t="n"/>
      <c r="AO92" s="4200" t="n"/>
      <c r="AP92" s="3900" t="n"/>
      <c r="AQ92" s="3900" t="n"/>
      <c r="AR92" s="3900" t="n"/>
      <c r="AS92" s="3900" t="n"/>
      <c r="AT92" s="3900" t="n"/>
      <c r="AU92" s="4201" t="n"/>
      <c r="AV92" s="3900" t="n"/>
      <c r="AW92" s="3900" t="n"/>
      <c r="AX92" s="3900" t="n"/>
      <c r="AY92" s="3900" t="n"/>
      <c r="AZ92" s="3900" t="n"/>
      <c r="BA92" s="3743" t="n"/>
      <c r="BB92" s="3900" t="n"/>
    </row>
    <row r="93" hidden="1" outlineLevel="3" ht="12" customFormat="1" customHeight="1" s="3743">
      <c r="A93" s="4165" t="n"/>
      <c r="B93" s="3891" t="n"/>
      <c r="C93" s="4218" t="inlineStr">
        <is>
          <t>Inter-company fis mv invoices</t>
        </is>
      </c>
      <c r="D93" s="3902" t="n">
        <v>249851</v>
      </c>
      <c r="E93" s="3902" t="inlineStr">
        <is>
          <t>249851 - Inter-Company FIS MV Invoices</t>
        </is>
      </c>
      <c r="F93" s="4250" t="n"/>
      <c r="G93" s="3900" t="n"/>
      <c r="H93" s="3900" t="n"/>
      <c r="I93" s="3900" t="n"/>
      <c r="J93" s="3900" t="n"/>
      <c r="K93" s="3900" t="n"/>
      <c r="L93" s="3900" t="n"/>
      <c r="M93" s="3900" t="n"/>
      <c r="N93" s="3900" t="n"/>
      <c r="O93" s="3900" t="n"/>
      <c r="P93" s="3900" t="n"/>
      <c r="Q93" s="4200" t="n"/>
      <c r="R93" s="3900" t="n"/>
      <c r="S93" s="3900" t="n"/>
      <c r="T93" s="3900" t="n"/>
      <c r="U93" s="3900" t="n"/>
      <c r="V93" s="3900" t="n"/>
      <c r="W93" s="3900" t="n"/>
      <c r="X93" s="3900" t="n"/>
      <c r="Y93" s="3900" t="n"/>
      <c r="Z93" s="3900" t="n"/>
      <c r="AA93" s="3900" t="n"/>
      <c r="AB93" s="3900" t="n"/>
      <c r="AC93" s="4200" t="n"/>
      <c r="AD93" s="3900" t="n"/>
      <c r="AE93" s="3900" t="n"/>
      <c r="AF93" s="3900" t="n"/>
      <c r="AG93" s="3900" t="n"/>
      <c r="AH93" s="3900" t="n"/>
      <c r="AI93" s="3900" t="n"/>
      <c r="AJ93" s="3900" t="n"/>
      <c r="AK93" s="3900" t="n"/>
      <c r="AL93" s="3900" t="n"/>
      <c r="AM93" s="3900" t="n"/>
      <c r="AN93" s="3900" t="n"/>
      <c r="AO93" s="4200" t="n"/>
      <c r="AP93" s="3900" t="n"/>
      <c r="AQ93" s="3900" t="n"/>
      <c r="AR93" s="3900" t="n"/>
      <c r="AS93" s="3900" t="n"/>
      <c r="AT93" s="3900" t="n"/>
      <c r="AU93" s="4201" t="n"/>
      <c r="AV93" s="3900" t="n"/>
      <c r="AW93" s="3900" t="n"/>
      <c r="AX93" s="3900" t="n"/>
      <c r="AY93" s="3900" t="n"/>
      <c r="AZ93" s="3900" t="n"/>
      <c r="BA93" s="3743" t="n"/>
      <c r="BB93" s="3900" t="n"/>
    </row>
    <row r="94" hidden="1" outlineLevel="3" ht="12" customFormat="1" customHeight="1" s="3743">
      <c r="A94" s="4165" t="n"/>
      <c r="B94" s="3891" t="n"/>
      <c r="C94" s="4219" t="inlineStr">
        <is>
          <t>Non-resident witholding tax payable</t>
        </is>
      </c>
      <c r="D94" s="4204" t="n">
        <v>208305</v>
      </c>
      <c r="E94" s="4204" t="inlineStr">
        <is>
          <t>208305 - Non-resident Witholding Tax Payable</t>
        </is>
      </c>
      <c r="F94" s="4249" t="n"/>
      <c r="G94" s="4205" t="n"/>
      <c r="H94" s="4205" t="n"/>
      <c r="I94" s="4205" t="n"/>
      <c r="J94" s="4205" t="n"/>
      <c r="K94" s="4205" t="n"/>
      <c r="L94" s="4205" t="n"/>
      <c r="M94" s="4205" t="n"/>
      <c r="N94" s="4205" t="n"/>
      <c r="O94" s="4205" t="n"/>
      <c r="P94" s="4205" t="n"/>
      <c r="Q94" s="4206" t="n"/>
      <c r="R94" s="4205" t="n"/>
      <c r="S94" s="4205" t="n"/>
      <c r="T94" s="4205" t="n"/>
      <c r="U94" s="4205" t="n"/>
      <c r="V94" s="4205" t="n"/>
      <c r="W94" s="4205" t="n"/>
      <c r="X94" s="4205" t="n"/>
      <c r="Y94" s="4205" t="n"/>
      <c r="Z94" s="4205" t="n"/>
      <c r="AA94" s="4205" t="n"/>
      <c r="AB94" s="4205" t="n"/>
      <c r="AC94" s="4206" t="n"/>
      <c r="AD94" s="4205" t="n"/>
      <c r="AE94" s="4205" t="n"/>
      <c r="AF94" s="4205" t="n"/>
      <c r="AG94" s="4205" t="n"/>
      <c r="AH94" s="4205" t="n"/>
      <c r="AI94" s="4205" t="n"/>
      <c r="AJ94" s="4205" t="n"/>
      <c r="AK94" s="4205" t="n"/>
      <c r="AL94" s="4205" t="n"/>
      <c r="AM94" s="4205" t="n"/>
      <c r="AN94" s="4205" t="n"/>
      <c r="AO94" s="4206" t="n"/>
      <c r="AP94" s="4205" t="n"/>
      <c r="AQ94" s="4205" t="n"/>
      <c r="AR94" s="4205" t="n"/>
      <c r="AS94" s="4205" t="n"/>
      <c r="AT94" s="4205" t="n"/>
      <c r="AU94" s="4207" t="n"/>
      <c r="AV94" s="4205" t="n"/>
      <c r="AW94" s="4205" t="n"/>
      <c r="AX94" s="4205" t="n"/>
      <c r="AY94" s="4205" t="n"/>
      <c r="AZ94" s="4205" t="n"/>
      <c r="BA94" s="3743" t="n"/>
      <c r="BB94" s="4205" t="n"/>
    </row>
    <row r="95" hidden="1" outlineLevel="2" ht="12" customHeight="1" s="3710">
      <c r="C95" s="4092" t="inlineStr">
        <is>
          <t xml:space="preserve">Accounts payable and accrued liabilities </t>
        </is>
      </c>
      <c r="D95" s="4092" t="n"/>
      <c r="E95" s="4092" t="n"/>
      <c r="F95" s="4243" t="n"/>
      <c r="G95" s="4094" t="n"/>
      <c r="H95" s="4094" t="n"/>
      <c r="I95" s="4094" t="n"/>
      <c r="J95" s="4094" t="n"/>
      <c r="K95" s="4094" t="n"/>
      <c r="L95" s="4094" t="n"/>
      <c r="M95" s="4094" t="n"/>
      <c r="N95" s="4094" t="n"/>
      <c r="O95" s="4094" t="n"/>
      <c r="P95" s="4094" t="n"/>
      <c r="Q95" s="4095" t="n"/>
      <c r="R95" s="4094" t="n"/>
      <c r="S95" s="4094" t="n"/>
      <c r="T95" s="4094" t="n"/>
      <c r="U95" s="4094" t="n"/>
      <c r="V95" s="4094" t="n"/>
      <c r="W95" s="4094" t="n"/>
      <c r="X95" s="4094" t="n"/>
      <c r="Y95" s="4094" t="n"/>
      <c r="Z95" s="4094" t="n"/>
      <c r="AA95" s="4094" t="n"/>
      <c r="AB95" s="4094" t="n"/>
      <c r="AC95" s="4095" t="n"/>
      <c r="AD95" s="4094" t="n"/>
      <c r="AE95" s="4094" t="n"/>
      <c r="AF95" s="4094" t="n"/>
      <c r="AG95" s="4094" t="n"/>
      <c r="AH95" s="4094" t="n"/>
      <c r="AI95" s="4094" t="n"/>
      <c r="AJ95" s="4094" t="n"/>
      <c r="AK95" s="4094" t="n"/>
      <c r="AL95" s="4094" t="n"/>
      <c r="AM95" s="4094" t="n"/>
      <c r="AN95" s="4094" t="n"/>
      <c r="AO95" s="4095" t="n"/>
      <c r="AP95" s="4094" t="n"/>
      <c r="AQ95" s="4094" t="n"/>
      <c r="AR95" s="4094" t="n"/>
      <c r="AS95" s="4094" t="n"/>
      <c r="AT95" s="4094" t="n"/>
      <c r="AU95" s="4096" t="n"/>
      <c r="AV95" s="4094" t="n"/>
      <c r="AW95" s="4094" t="n"/>
      <c r="AX95" s="4094" t="n"/>
      <c r="AY95" s="4094" t="n"/>
      <c r="AZ95" s="4094" t="n"/>
      <c r="BA95" s="3737" t="n"/>
      <c r="BB95" s="4094" t="n"/>
    </row>
    <row r="96" hidden="1" outlineLevel="3" ht="12" customFormat="1" customHeight="1" s="3743">
      <c r="A96" s="4165" t="n"/>
      <c r="B96" s="3891" t="n"/>
      <c r="C96" s="4218" t="inlineStr">
        <is>
          <t>Settlement payables - pos</t>
        </is>
      </c>
      <c r="D96" s="3902" t="n">
        <v>225101</v>
      </c>
      <c r="E96" s="3902" t="inlineStr">
        <is>
          <t>225101 - Settlement Payables - POS</t>
        </is>
      </c>
      <c r="F96" s="4250" t="n"/>
      <c r="G96" s="3900" t="n"/>
      <c r="H96" s="3900" t="n"/>
      <c r="I96" s="3900" t="n"/>
      <c r="J96" s="3900" t="n"/>
      <c r="K96" s="3900" t="n"/>
      <c r="L96" s="3900" t="n"/>
      <c r="M96" s="3900" t="n"/>
      <c r="N96" s="3900" t="n"/>
      <c r="O96" s="3900" t="n"/>
      <c r="P96" s="3900" t="n"/>
      <c r="Q96" s="4200" t="n"/>
      <c r="R96" s="3900" t="n"/>
      <c r="S96" s="3900" t="n"/>
      <c r="T96" s="3900" t="n"/>
      <c r="U96" s="3900" t="n"/>
      <c r="V96" s="3900" t="n"/>
      <c r="W96" s="3900" t="n"/>
      <c r="X96" s="3900" t="n"/>
      <c r="Y96" s="3900" t="n"/>
      <c r="Z96" s="3900" t="n"/>
      <c r="AA96" s="3900" t="n"/>
      <c r="AB96" s="3900" t="n"/>
      <c r="AC96" s="4200" t="n"/>
      <c r="AD96" s="3900" t="n"/>
      <c r="AE96" s="3900" t="n"/>
      <c r="AF96" s="3900" t="n"/>
      <c r="AG96" s="3900" t="n"/>
      <c r="AH96" s="3900" t="n"/>
      <c r="AI96" s="3900" t="n"/>
      <c r="AJ96" s="3900" t="n"/>
      <c r="AK96" s="3900" t="n"/>
      <c r="AL96" s="3900" t="n"/>
      <c r="AM96" s="3900" t="n"/>
      <c r="AN96" s="3900" t="n"/>
      <c r="AO96" s="4200" t="n"/>
      <c r="AP96" s="3900" t="n"/>
      <c r="AQ96" s="3900" t="n"/>
      <c r="AR96" s="3900" t="n"/>
      <c r="AS96" s="3900" t="n"/>
      <c r="AT96" s="3900" t="n"/>
      <c r="AU96" s="4201" t="n"/>
      <c r="AV96" s="3900" t="n"/>
      <c r="AW96" s="3900" t="n"/>
      <c r="AX96" s="3900" t="n"/>
      <c r="AY96" s="3900" t="n"/>
      <c r="AZ96" s="3900" t="n"/>
      <c r="BA96" s="3743" t="n"/>
      <c r="BB96" s="3900" t="n"/>
    </row>
    <row r="97" hidden="1" outlineLevel="3" ht="12" customFormat="1" customHeight="1" s="3743">
      <c r="A97" s="4165" t="n"/>
      <c r="B97" s="3891" t="n"/>
      <c r="C97" s="4218" t="inlineStr">
        <is>
          <t>Settlement payables - scd</t>
        </is>
      </c>
      <c r="D97" s="3902" t="n">
        <v>225102</v>
      </c>
      <c r="E97" s="3902" t="inlineStr">
        <is>
          <t>225102 - Settlement Payables - SCD</t>
        </is>
      </c>
      <c r="F97" s="4250" t="n"/>
      <c r="G97" s="3900" t="n"/>
      <c r="H97" s="3900" t="n"/>
      <c r="I97" s="3900" t="n"/>
      <c r="J97" s="3900" t="n"/>
      <c r="K97" s="3900" t="n"/>
      <c r="L97" s="3900" t="n"/>
      <c r="M97" s="3900" t="n"/>
      <c r="N97" s="3900" t="n"/>
      <c r="O97" s="3900" t="n"/>
      <c r="P97" s="3900" t="n"/>
      <c r="Q97" s="4200" t="n"/>
      <c r="R97" s="3900" t="n"/>
      <c r="S97" s="3900" t="n"/>
      <c r="T97" s="3900" t="n"/>
      <c r="U97" s="3900" t="n"/>
      <c r="V97" s="3900" t="n"/>
      <c r="W97" s="3900" t="n"/>
      <c r="X97" s="3900" t="n"/>
      <c r="Y97" s="3900" t="n"/>
      <c r="Z97" s="3900" t="n"/>
      <c r="AA97" s="3900" t="n"/>
      <c r="AB97" s="3900" t="n"/>
      <c r="AC97" s="4200" t="n"/>
      <c r="AD97" s="3900" t="n"/>
      <c r="AE97" s="3900" t="n"/>
      <c r="AF97" s="3900" t="n"/>
      <c r="AG97" s="3900" t="n"/>
      <c r="AH97" s="3900" t="n"/>
      <c r="AI97" s="3900" t="n"/>
      <c r="AJ97" s="3900" t="n"/>
      <c r="AK97" s="3900" t="n"/>
      <c r="AL97" s="3900" t="n"/>
      <c r="AM97" s="3900" t="n"/>
      <c r="AN97" s="3900" t="n"/>
      <c r="AO97" s="4200" t="n"/>
      <c r="AP97" s="3900" t="n"/>
      <c r="AQ97" s="3900" t="n"/>
      <c r="AR97" s="3900" t="n"/>
      <c r="AS97" s="3900" t="n"/>
      <c r="AT97" s="3900" t="n"/>
      <c r="AU97" s="4201" t="n"/>
      <c r="AV97" s="3900" t="n"/>
      <c r="AW97" s="3900" t="n"/>
      <c r="AX97" s="3900" t="n"/>
      <c r="AY97" s="3900" t="n"/>
      <c r="AZ97" s="3900" t="n"/>
      <c r="BA97" s="3743" t="n"/>
      <c r="BB97" s="3900" t="n"/>
    </row>
    <row r="98" hidden="1" outlineLevel="3" ht="12" customFormat="1" customHeight="1" s="3743">
      <c r="A98" s="4165" t="n"/>
      <c r="B98" s="3891" t="n"/>
      <c r="C98" s="4218" t="inlineStr">
        <is>
          <t>Settlement payables - ICICI CAD for vda</t>
        </is>
      </c>
      <c r="D98" s="3902" t="n">
        <v>225108</v>
      </c>
      <c r="E98" s="3902" t="inlineStr">
        <is>
          <t>225108 - Settlement Payables - ICICI CAD for VDA</t>
        </is>
      </c>
      <c r="F98" s="4250" t="n"/>
      <c r="G98" s="3900" t="n"/>
      <c r="H98" s="3900" t="n"/>
      <c r="I98" s="3900" t="n"/>
      <c r="J98" s="3900" t="n"/>
      <c r="K98" s="3900" t="n"/>
      <c r="L98" s="3900" t="n"/>
      <c r="M98" s="3900" t="n"/>
      <c r="N98" s="3900" t="n"/>
      <c r="O98" s="3900" t="n"/>
      <c r="P98" s="3900" t="n"/>
      <c r="Q98" s="4200" t="n"/>
      <c r="R98" s="3900" t="n"/>
      <c r="S98" s="3900" t="n"/>
      <c r="T98" s="3900" t="n"/>
      <c r="U98" s="3900" t="n"/>
      <c r="V98" s="3900" t="n"/>
      <c r="W98" s="3900" t="n"/>
      <c r="X98" s="3900" t="n"/>
      <c r="Y98" s="3900" t="n"/>
      <c r="Z98" s="3900" t="n"/>
      <c r="AA98" s="3900" t="n"/>
      <c r="AB98" s="3900" t="n"/>
      <c r="AC98" s="4200" t="n"/>
      <c r="AD98" s="3900" t="n"/>
      <c r="AE98" s="3900" t="n"/>
      <c r="AF98" s="3900" t="n"/>
      <c r="AG98" s="3900" t="n"/>
      <c r="AH98" s="3900" t="n"/>
      <c r="AI98" s="3900" t="n"/>
      <c r="AJ98" s="3900" t="n"/>
      <c r="AK98" s="3900" t="n"/>
      <c r="AL98" s="3900" t="n"/>
      <c r="AM98" s="3900" t="n"/>
      <c r="AN98" s="3900" t="n"/>
      <c r="AO98" s="4200" t="n"/>
      <c r="AP98" s="3900" t="n"/>
      <c r="AQ98" s="3900" t="n"/>
      <c r="AR98" s="3900" t="n"/>
      <c r="AS98" s="3900" t="n"/>
      <c r="AT98" s="3900" t="n"/>
      <c r="AU98" s="4201" t="n"/>
      <c r="AV98" s="3900" t="n"/>
      <c r="AW98" s="3900" t="n"/>
      <c r="AX98" s="3900" t="n"/>
      <c r="AY98" s="3900" t="n"/>
      <c r="AZ98" s="3900" t="n"/>
      <c r="BA98" s="3743" t="n"/>
      <c r="BB98" s="3900" t="n"/>
    </row>
    <row r="99" hidden="1" outlineLevel="3" ht="12" customFormat="1" customHeight="1" s="3743">
      <c r="A99" s="4165" t="n"/>
      <c r="B99" s="3891" t="n"/>
      <c r="C99" s="4218" t="inlineStr">
        <is>
          <t>Settlement etrans susp 067</t>
        </is>
      </c>
      <c r="D99" s="3902" t="n">
        <v>225167</v>
      </c>
      <c r="E99" s="3902" t="inlineStr">
        <is>
          <t>TBD</t>
        </is>
      </c>
      <c r="F99" s="4250" t="n"/>
      <c r="G99" s="3900" t="n"/>
      <c r="H99" s="3900" t="n"/>
      <c r="I99" s="3900" t="n"/>
      <c r="J99" s="3900" t="n"/>
      <c r="K99" s="3900" t="n"/>
      <c r="L99" s="3900" t="n"/>
      <c r="M99" s="3900" t="n"/>
      <c r="N99" s="3900" t="n"/>
      <c r="O99" s="3900" t="n"/>
      <c r="P99" s="3900" t="n"/>
      <c r="Q99" s="4200" t="n"/>
      <c r="R99" s="3900" t="n"/>
      <c r="S99" s="3900" t="n"/>
      <c r="T99" s="3900" t="n"/>
      <c r="U99" s="3900" t="n"/>
      <c r="V99" s="3900" t="n"/>
      <c r="W99" s="3900" t="n"/>
      <c r="X99" s="3900" t="n"/>
      <c r="Y99" s="3900" t="n"/>
      <c r="Z99" s="3900" t="n"/>
      <c r="AA99" s="3900" t="n"/>
      <c r="AB99" s="3900" t="n"/>
      <c r="AC99" s="4200" t="n"/>
      <c r="AD99" s="3900" t="n"/>
      <c r="AE99" s="3900" t="n"/>
      <c r="AF99" s="3900" t="n"/>
      <c r="AG99" s="3900" t="n"/>
      <c r="AH99" s="3900" t="n"/>
      <c r="AI99" s="3900" t="n"/>
      <c r="AJ99" s="3900" t="n"/>
      <c r="AK99" s="3900" t="n"/>
      <c r="AL99" s="3900" t="n"/>
      <c r="AM99" s="3900" t="n"/>
      <c r="AN99" s="3900" t="n"/>
      <c r="AO99" s="4200" t="n"/>
      <c r="AP99" s="3900" t="n"/>
      <c r="AQ99" s="3900" t="n"/>
      <c r="AR99" s="3900" t="n"/>
      <c r="AS99" s="3900" t="n"/>
      <c r="AT99" s="3900" t="n"/>
      <c r="AU99" s="4201" t="n"/>
      <c r="AV99" s="3900" t="n"/>
      <c r="AW99" s="3900" t="n"/>
      <c r="AX99" s="3900" t="n"/>
      <c r="AY99" s="3900" t="n"/>
      <c r="AZ99" s="3900" t="n"/>
      <c r="BA99" s="3743" t="n"/>
      <c r="BB99" s="3900" t="n"/>
    </row>
    <row r="100" hidden="1" outlineLevel="3" ht="12" customFormat="1" customHeight="1" s="3743">
      <c r="A100" s="4165" t="n"/>
      <c r="B100" s="3891" t="n"/>
      <c r="C100" s="4218" t="inlineStr">
        <is>
          <t>Unclaimed settlement</t>
        </is>
      </c>
      <c r="D100" s="3902" t="n">
        <v>225199</v>
      </c>
      <c r="E100" s="3902" t="inlineStr">
        <is>
          <t>225199 - Unclaimed Settlement</t>
        </is>
      </c>
      <c r="F100" s="4250" t="n"/>
      <c r="G100" s="3900" t="n"/>
      <c r="H100" s="3900" t="n"/>
      <c r="I100" s="3900" t="n"/>
      <c r="J100" s="3900" t="n"/>
      <c r="K100" s="3900" t="n"/>
      <c r="L100" s="3900" t="n"/>
      <c r="M100" s="3900" t="n"/>
      <c r="N100" s="3900" t="n"/>
      <c r="O100" s="3900" t="n"/>
      <c r="P100" s="3900" t="n"/>
      <c r="Q100" s="4200" t="n"/>
      <c r="R100" s="3900" t="n"/>
      <c r="S100" s="3900" t="n"/>
      <c r="T100" s="3900" t="n"/>
      <c r="U100" s="3900" t="n"/>
      <c r="V100" s="3900" t="n"/>
      <c r="W100" s="3900" t="n"/>
      <c r="X100" s="3900" t="n"/>
      <c r="Y100" s="3900" t="n"/>
      <c r="Z100" s="3900" t="n"/>
      <c r="AA100" s="3900" t="n"/>
      <c r="AB100" s="3900" t="n"/>
      <c r="AC100" s="4200" t="n"/>
      <c r="AD100" s="3900" t="n"/>
      <c r="AE100" s="3900" t="n"/>
      <c r="AF100" s="3900" t="n"/>
      <c r="AG100" s="3900" t="n"/>
      <c r="AH100" s="3900" t="n"/>
      <c r="AI100" s="3900" t="n"/>
      <c r="AJ100" s="3900" t="n"/>
      <c r="AK100" s="3900" t="n"/>
      <c r="AL100" s="3900" t="n"/>
      <c r="AM100" s="3900" t="n"/>
      <c r="AN100" s="3900" t="n"/>
      <c r="AO100" s="4200" t="n"/>
      <c r="AP100" s="3900" t="n"/>
      <c r="AQ100" s="3900" t="n"/>
      <c r="AR100" s="3900" t="n"/>
      <c r="AS100" s="3900" t="n"/>
      <c r="AT100" s="3900" t="n"/>
      <c r="AU100" s="4201" t="n"/>
      <c r="AV100" s="3900" t="n"/>
      <c r="AW100" s="3900" t="n"/>
      <c r="AX100" s="3900" t="n"/>
      <c r="AY100" s="3900" t="n"/>
      <c r="AZ100" s="3900" t="n"/>
      <c r="BA100" s="3743" t="n"/>
      <c r="BB100" s="3900" t="n"/>
    </row>
    <row r="101" hidden="1" outlineLevel="3" ht="12" customFormat="1" customHeight="1" s="3743">
      <c r="A101" s="4165" t="n"/>
      <c r="B101" s="3891" t="n"/>
      <c r="C101" s="4218" t="inlineStr">
        <is>
          <t>Settlement payables - 178</t>
        </is>
      </c>
      <c r="D101" s="3902" t="n">
        <v>225103</v>
      </c>
      <c r="E101" s="3902" t="inlineStr">
        <is>
          <t>225103 - Settlement Payables - 178</t>
        </is>
      </c>
      <c r="F101" s="4250" t="n"/>
      <c r="G101" s="3900" t="n"/>
      <c r="H101" s="3900" t="n"/>
      <c r="I101" s="3900" t="n"/>
      <c r="J101" s="3900" t="n"/>
      <c r="K101" s="3900" t="n"/>
      <c r="L101" s="3900" t="n"/>
      <c r="M101" s="3900" t="n"/>
      <c r="N101" s="3900" t="n"/>
      <c r="O101" s="3900" t="n"/>
      <c r="P101" s="3900" t="n"/>
      <c r="Q101" s="4200" t="n"/>
      <c r="R101" s="3900" t="n"/>
      <c r="S101" s="3900" t="n"/>
      <c r="T101" s="3900" t="n"/>
      <c r="U101" s="3900" t="n"/>
      <c r="V101" s="3900" t="n"/>
      <c r="W101" s="3900" t="n"/>
      <c r="X101" s="3900" t="n"/>
      <c r="Y101" s="3900" t="n"/>
      <c r="Z101" s="3900" t="n"/>
      <c r="AA101" s="3900" t="n"/>
      <c r="AB101" s="3900" t="n"/>
      <c r="AC101" s="4200" t="n"/>
      <c r="AD101" s="3900" t="n"/>
      <c r="AE101" s="3900" t="n"/>
      <c r="AF101" s="3900" t="n"/>
      <c r="AG101" s="3900" t="n"/>
      <c r="AH101" s="3900" t="n"/>
      <c r="AI101" s="3900" t="n"/>
      <c r="AJ101" s="3900" t="n"/>
      <c r="AK101" s="3900" t="n"/>
      <c r="AL101" s="3900" t="n"/>
      <c r="AM101" s="3900" t="n"/>
      <c r="AN101" s="3900" t="n"/>
      <c r="AO101" s="4200" t="n"/>
      <c r="AP101" s="3900" t="n"/>
      <c r="AQ101" s="3900" t="n"/>
      <c r="AR101" s="3900" t="n"/>
      <c r="AS101" s="3900" t="n"/>
      <c r="AT101" s="3900" t="n"/>
      <c r="AU101" s="4201" t="n"/>
      <c r="AV101" s="3900" t="n"/>
      <c r="AW101" s="3900" t="n"/>
      <c r="AX101" s="3900" t="n"/>
      <c r="AY101" s="3900" t="n"/>
      <c r="AZ101" s="3900" t="n"/>
      <c r="BA101" s="3743" t="n"/>
      <c r="BB101" s="3900" t="n"/>
    </row>
    <row r="102" hidden="1" outlineLevel="3" ht="12" customFormat="1" customHeight="1" s="3743">
      <c r="A102" s="4165" t="n"/>
      <c r="B102" s="3891" t="n"/>
      <c r="C102" s="4218" t="inlineStr">
        <is>
          <t>Settlement payables - 10403- 1154</t>
        </is>
      </c>
      <c r="D102" s="3902" t="n">
        <v>225105</v>
      </c>
      <c r="E102" s="3902" t="inlineStr">
        <is>
          <t>TBD</t>
        </is>
      </c>
      <c r="F102" s="4250" t="n"/>
      <c r="G102" s="3900" t="n"/>
      <c r="H102" s="3900" t="n"/>
      <c r="I102" s="3900" t="n"/>
      <c r="J102" s="3900" t="n"/>
      <c r="K102" s="3900" t="n"/>
      <c r="L102" s="3900" t="n"/>
      <c r="M102" s="3900" t="n"/>
      <c r="N102" s="3900" t="n"/>
      <c r="O102" s="3900" t="n"/>
      <c r="P102" s="3900" t="n"/>
      <c r="Q102" s="4200" t="n"/>
      <c r="R102" s="3900" t="n"/>
      <c r="S102" s="3900" t="n"/>
      <c r="T102" s="3900" t="n"/>
      <c r="U102" s="3900" t="n"/>
      <c r="V102" s="3900" t="n"/>
      <c r="W102" s="3900" t="n"/>
      <c r="X102" s="3900" t="n"/>
      <c r="Y102" s="3900" t="n"/>
      <c r="Z102" s="3900" t="n"/>
      <c r="AA102" s="3900" t="n"/>
      <c r="AB102" s="3900" t="n"/>
      <c r="AC102" s="4200" t="n"/>
      <c r="AD102" s="3900" t="n"/>
      <c r="AE102" s="3900" t="n"/>
      <c r="AF102" s="3900" t="n"/>
      <c r="AG102" s="3900" t="n"/>
      <c r="AH102" s="3900" t="n"/>
      <c r="AI102" s="3900" t="n"/>
      <c r="AJ102" s="3900" t="n"/>
      <c r="AK102" s="3900" t="n"/>
      <c r="AL102" s="3900" t="n"/>
      <c r="AM102" s="3900" t="n"/>
      <c r="AN102" s="3900" t="n"/>
      <c r="AO102" s="4200" t="n"/>
      <c r="AP102" s="3900" t="n"/>
      <c r="AQ102" s="3900" t="n"/>
      <c r="AR102" s="3900" t="n"/>
      <c r="AS102" s="3900" t="n"/>
      <c r="AT102" s="3900" t="n"/>
      <c r="AU102" s="4201" t="n"/>
      <c r="AV102" s="3900" t="n"/>
      <c r="AW102" s="3900" t="n"/>
      <c r="AX102" s="3900" t="n"/>
      <c r="AY102" s="3900" t="n"/>
      <c r="AZ102" s="3900" t="n"/>
      <c r="BA102" s="3743" t="n"/>
      <c r="BB102" s="3900" t="n"/>
    </row>
    <row r="103" hidden="1" outlineLevel="3" ht="12" customFormat="1" customHeight="1" s="3743">
      <c r="A103" s="4165" t="n"/>
      <c r="B103" s="3891" t="n"/>
      <c r="C103" s="4218" t="inlineStr">
        <is>
          <t>Settlement payables - e-transfer desj 059</t>
        </is>
      </c>
      <c r="D103" s="3902" t="n">
        <v>225159</v>
      </c>
      <c r="E103" s="3902" t="inlineStr">
        <is>
          <t>225159 - Settlement Payables - E-Transfer Desj 059</t>
        </is>
      </c>
      <c r="F103" s="4250" t="n"/>
      <c r="G103" s="3900" t="n"/>
      <c r="H103" s="3900" t="n"/>
      <c r="I103" s="3900" t="n"/>
      <c r="J103" s="3900" t="n"/>
      <c r="K103" s="3900" t="n"/>
      <c r="L103" s="3900" t="n"/>
      <c r="M103" s="3900" t="n"/>
      <c r="N103" s="3900" t="n"/>
      <c r="O103" s="3900" t="n"/>
      <c r="P103" s="3900" t="n"/>
      <c r="Q103" s="4200" t="n"/>
      <c r="R103" s="3900" t="n"/>
      <c r="S103" s="3900" t="n"/>
      <c r="T103" s="3900" t="n"/>
      <c r="U103" s="3900" t="n"/>
      <c r="V103" s="3900" t="n"/>
      <c r="W103" s="3900" t="n"/>
      <c r="X103" s="3900" t="n"/>
      <c r="Y103" s="3900" t="n"/>
      <c r="Z103" s="3900" t="n"/>
      <c r="AA103" s="3900" t="n"/>
      <c r="AB103" s="3900" t="n"/>
      <c r="AC103" s="4200" t="n"/>
      <c r="AD103" s="3900" t="n"/>
      <c r="AE103" s="3900" t="n"/>
      <c r="AF103" s="3900" t="n"/>
      <c r="AG103" s="3900" t="n"/>
      <c r="AH103" s="3900" t="n"/>
      <c r="AI103" s="3900" t="n"/>
      <c r="AJ103" s="3900" t="n"/>
      <c r="AK103" s="3900" t="n"/>
      <c r="AL103" s="3900" t="n"/>
      <c r="AM103" s="3900" t="n"/>
      <c r="AN103" s="3900" t="n"/>
      <c r="AO103" s="4200" t="n"/>
      <c r="AP103" s="3900" t="n"/>
      <c r="AQ103" s="3900" t="n"/>
      <c r="AR103" s="3900" t="n"/>
      <c r="AS103" s="3900" t="n"/>
      <c r="AT103" s="3900" t="n"/>
      <c r="AU103" s="4201" t="n"/>
      <c r="AV103" s="3900" t="n"/>
      <c r="AW103" s="3900" t="n"/>
      <c r="AX103" s="3900" t="n"/>
      <c r="AY103" s="3900" t="n"/>
      <c r="AZ103" s="3900" t="n"/>
      <c r="BA103" s="3743" t="n"/>
      <c r="BB103" s="3900" t="n"/>
    </row>
    <row r="104" hidden="1" outlineLevel="3" ht="12" customFormat="1" customHeight="1" s="3743">
      <c r="A104" s="4165" t="n"/>
      <c r="B104" s="3891" t="n"/>
      <c r="C104" s="4219" t="inlineStr">
        <is>
          <t>Settlement payables - td bank, n.a 154</t>
        </is>
      </c>
      <c r="D104" s="4204" t="n">
        <v>225104</v>
      </c>
      <c r="E104" s="4204" t="inlineStr">
        <is>
          <t>225104 - Settlement Payables - TD Bank, N.A 154</t>
        </is>
      </c>
      <c r="F104" s="4249" t="n"/>
      <c r="G104" s="4205" t="n"/>
      <c r="H104" s="4205" t="n"/>
      <c r="I104" s="4205" t="n"/>
      <c r="J104" s="4205" t="n"/>
      <c r="K104" s="4205" t="n"/>
      <c r="L104" s="4205" t="n"/>
      <c r="M104" s="4205" t="n"/>
      <c r="N104" s="4205" t="n"/>
      <c r="O104" s="4205" t="n"/>
      <c r="P104" s="4205" t="n"/>
      <c r="Q104" s="4206" t="n"/>
      <c r="R104" s="4205" t="n"/>
      <c r="S104" s="4205" t="n"/>
      <c r="T104" s="4205" t="n"/>
      <c r="U104" s="4205" t="n"/>
      <c r="V104" s="4205" t="n"/>
      <c r="W104" s="4205" t="n"/>
      <c r="X104" s="4205" t="n"/>
      <c r="Y104" s="4205" t="n"/>
      <c r="Z104" s="4205" t="n"/>
      <c r="AA104" s="4205" t="n"/>
      <c r="AB104" s="4205" t="n"/>
      <c r="AC104" s="4206" t="n"/>
      <c r="AD104" s="4205" t="n"/>
      <c r="AE104" s="4205" t="n"/>
      <c r="AF104" s="4205" t="n"/>
      <c r="AG104" s="4205" t="n"/>
      <c r="AH104" s="4205" t="n"/>
      <c r="AI104" s="4205" t="n"/>
      <c r="AJ104" s="4205" t="n"/>
      <c r="AK104" s="4205" t="n"/>
      <c r="AL104" s="4205" t="n"/>
      <c r="AM104" s="4205" t="n"/>
      <c r="AN104" s="4205" t="n"/>
      <c r="AO104" s="4206" t="n"/>
      <c r="AP104" s="4205" t="n"/>
      <c r="AQ104" s="4205" t="n"/>
      <c r="AR104" s="4205" t="n"/>
      <c r="AS104" s="4205" t="n"/>
      <c r="AT104" s="4205" t="n"/>
      <c r="AU104" s="4207" t="n"/>
      <c r="AV104" s="4205" t="n"/>
      <c r="AW104" s="4205" t="n"/>
      <c r="AX104" s="4205" t="n"/>
      <c r="AY104" s="4205" t="n"/>
      <c r="AZ104" s="4205" t="n"/>
      <c r="BA104" s="3743" t="n"/>
      <c r="BB104" s="4205" t="n"/>
    </row>
    <row r="105" hidden="1" outlineLevel="2" collapsed="1" ht="12" customHeight="1" s="3710">
      <c r="C105" s="4092" t="inlineStr">
        <is>
          <t xml:space="preserve">Payments held for third party remittance </t>
        </is>
      </c>
      <c r="D105" s="4092" t="n"/>
      <c r="E105" s="4092" t="n"/>
      <c r="F105" s="4243" t="n"/>
      <c r="G105" s="4094" t="n"/>
      <c r="H105" s="4094" t="n"/>
      <c r="I105" s="4094" t="n"/>
      <c r="J105" s="4094" t="n"/>
      <c r="K105" s="4094" t="n"/>
      <c r="L105" s="4094" t="n"/>
      <c r="M105" s="4094" t="n"/>
      <c r="N105" s="4094" t="n"/>
      <c r="O105" s="4094" t="n"/>
      <c r="P105" s="4094" t="n"/>
      <c r="Q105" s="4095" t="n"/>
      <c r="R105" s="4094" t="n"/>
      <c r="S105" s="4094" t="n"/>
      <c r="T105" s="4094" t="n"/>
      <c r="U105" s="4094" t="n"/>
      <c r="V105" s="4094" t="n"/>
      <c r="W105" s="4094" t="n"/>
      <c r="X105" s="4094" t="n"/>
      <c r="Y105" s="4094" t="n"/>
      <c r="Z105" s="4094" t="n"/>
      <c r="AA105" s="4094" t="n"/>
      <c r="AB105" s="4094" t="n"/>
      <c r="AC105" s="4095" t="n"/>
      <c r="AD105" s="4094" t="n"/>
      <c r="AE105" s="4094" t="n"/>
      <c r="AF105" s="4094" t="n"/>
      <c r="AG105" s="4094" t="n"/>
      <c r="AH105" s="4094" t="n"/>
      <c r="AI105" s="4094" t="n"/>
      <c r="AJ105" s="4094" t="n"/>
      <c r="AK105" s="4094" t="n"/>
      <c r="AL105" s="4094" t="n"/>
      <c r="AM105" s="4094" t="n"/>
      <c r="AN105" s="4094" t="n"/>
      <c r="AO105" s="4095" t="n"/>
      <c r="AP105" s="4094" t="n"/>
      <c r="AQ105" s="4094" t="n"/>
      <c r="AR105" s="4094" t="n"/>
      <c r="AS105" s="4094" t="n"/>
      <c r="AT105" s="4094" t="n"/>
      <c r="AU105" s="4096" t="n"/>
      <c r="AV105" s="4094" t="n"/>
      <c r="AW105" s="4094" t="n"/>
      <c r="AX105" s="4094" t="n"/>
      <c r="AY105" s="4094" t="n"/>
      <c r="AZ105" s="4094" t="n"/>
      <c r="BA105" s="3737" t="n"/>
      <c r="BB105" s="4094" t="n"/>
    </row>
    <row r="106" hidden="1" outlineLevel="4" ht="12" customFormat="1" customHeight="1" s="3743">
      <c r="A106" s="4165" t="n"/>
      <c r="B106" s="3891" t="n"/>
      <c r="C106" s="4252" t="inlineStr">
        <is>
          <t>Contract liability IFRS15</t>
        </is>
      </c>
      <c r="D106" s="4204" t="n">
        <v>241515</v>
      </c>
      <c r="E106" s="4204" t="inlineStr">
        <is>
          <t>241515 - Contract Liability IFRS15</t>
        </is>
      </c>
      <c r="F106" s="4249" t="n"/>
      <c r="G106" s="4205" t="n"/>
      <c r="H106" s="4205" t="n"/>
      <c r="I106" s="4205" t="n"/>
      <c r="J106" s="4205" t="n"/>
      <c r="K106" s="4205" t="n"/>
      <c r="L106" s="4205" t="n"/>
      <c r="M106" s="4205" t="n"/>
      <c r="N106" s="4205" t="n"/>
      <c r="O106" s="4205" t="n"/>
      <c r="P106" s="4205" t="n"/>
      <c r="Q106" s="4206" t="n"/>
      <c r="R106" s="4205" t="n"/>
      <c r="S106" s="4205" t="n"/>
      <c r="T106" s="4205" t="n"/>
      <c r="U106" s="4205" t="n"/>
      <c r="V106" s="4205" t="n"/>
      <c r="W106" s="4205" t="n"/>
      <c r="X106" s="4205" t="n"/>
      <c r="Y106" s="4205" t="n"/>
      <c r="Z106" s="4205" t="n"/>
      <c r="AA106" s="4205" t="n"/>
      <c r="AB106" s="4205" t="n"/>
      <c r="AC106" s="4206" t="n"/>
      <c r="AD106" s="4205" t="n"/>
      <c r="AE106" s="4205" t="n"/>
      <c r="AF106" s="4205" t="n"/>
      <c r="AG106" s="4205" t="n"/>
      <c r="AH106" s="4205" t="n"/>
      <c r="AI106" s="4205" t="n"/>
      <c r="AJ106" s="4205" t="n"/>
      <c r="AK106" s="4205" t="n"/>
      <c r="AL106" s="4205" t="n"/>
      <c r="AM106" s="4205" t="n"/>
      <c r="AN106" s="4205" t="n"/>
      <c r="AO106" s="4206" t="n"/>
      <c r="AP106" s="4205" t="n"/>
      <c r="AQ106" s="4205" t="n"/>
      <c r="AR106" s="4205" t="n"/>
      <c r="AS106" s="4205" t="n"/>
      <c r="AT106" s="4205" t="n"/>
      <c r="AU106" s="4207" t="n"/>
      <c r="AV106" s="4205" t="n"/>
      <c r="AW106" s="4205" t="n"/>
      <c r="AX106" s="4205" t="n"/>
      <c r="AY106" s="4205" t="n"/>
      <c r="AZ106" s="4205" t="n"/>
      <c r="BA106" s="3743" t="n"/>
      <c r="BB106" s="4205" t="n"/>
    </row>
    <row r="107" hidden="1" outlineLevel="3" collapsed="1" ht="12" customFormat="1" customHeight="1" s="3743">
      <c r="A107" s="4165" t="n"/>
      <c r="B107" s="3891" t="n"/>
      <c r="C107" s="4218" t="inlineStr">
        <is>
          <t xml:space="preserve">Revenue contract liabilities - current year </t>
        </is>
      </c>
      <c r="D107" s="3902" t="n"/>
      <c r="E107" s="3902" t="n"/>
      <c r="F107" s="4250" t="n"/>
      <c r="G107" s="3900" t="n"/>
      <c r="H107" s="3900" t="n"/>
      <c r="I107" s="3900" t="n"/>
      <c r="J107" s="3900" t="n"/>
      <c r="K107" s="3900" t="n"/>
      <c r="L107" s="3900" t="n"/>
      <c r="M107" s="3900" t="n"/>
      <c r="N107" s="3900" t="n"/>
      <c r="O107" s="3900" t="n"/>
      <c r="P107" s="3900" t="n"/>
      <c r="Q107" s="4200" t="n"/>
      <c r="R107" s="3900" t="n"/>
      <c r="S107" s="3900" t="n"/>
      <c r="T107" s="3900" t="n"/>
      <c r="U107" s="3900" t="n"/>
      <c r="V107" s="3900" t="n"/>
      <c r="W107" s="3900" t="n"/>
      <c r="X107" s="3900" t="n"/>
      <c r="Y107" s="3900" t="n"/>
      <c r="Z107" s="3900" t="n"/>
      <c r="AA107" s="3900" t="n"/>
      <c r="AB107" s="3900" t="n"/>
      <c r="AC107" s="4200" t="n"/>
      <c r="AD107" s="3900" t="n"/>
      <c r="AE107" s="3900" t="n"/>
      <c r="AF107" s="3900" t="n"/>
      <c r="AG107" s="3900" t="n"/>
      <c r="AH107" s="3900" t="n"/>
      <c r="AI107" s="3900" t="n"/>
      <c r="AJ107" s="3900" t="n"/>
      <c r="AK107" s="3900" t="n"/>
      <c r="AL107" s="3900" t="n"/>
      <c r="AM107" s="3900" t="n"/>
      <c r="AN107" s="3900" t="n"/>
      <c r="AO107" s="4200" t="n"/>
      <c r="AP107" s="3900" t="n"/>
      <c r="AQ107" s="3900" t="n"/>
      <c r="AR107" s="3900" t="n"/>
      <c r="AS107" s="3900" t="n"/>
      <c r="AT107" s="3900" t="n"/>
      <c r="AU107" s="4201" t="n"/>
      <c r="AV107" s="3900" t="n"/>
      <c r="AW107" s="3900" t="n"/>
      <c r="AX107" s="3900" t="n"/>
      <c r="AY107" s="3900" t="n"/>
      <c r="AZ107" s="3900" t="n"/>
      <c r="BA107" s="3743" t="n"/>
      <c r="BB107" s="3900" t="n"/>
    </row>
    <row r="108" hidden="1" outlineLevel="4" ht="12" customFormat="1" customHeight="1" s="3743">
      <c r="A108" s="4165" t="n"/>
      <c r="B108" s="3891" t="n"/>
      <c r="C108" s="4252" t="inlineStr">
        <is>
          <t>Contract liability long-term</t>
        </is>
      </c>
      <c r="D108" s="4204" t="n">
        <v>281515</v>
      </c>
      <c r="E108" s="4204" t="inlineStr">
        <is>
          <t>281515 - Contract Liability Long-Term</t>
        </is>
      </c>
      <c r="F108" s="4249" t="n"/>
      <c r="G108" s="4205" t="n"/>
      <c r="H108" s="4205" t="n"/>
      <c r="I108" s="4205" t="n"/>
      <c r="J108" s="4205" t="n"/>
      <c r="K108" s="4205" t="n"/>
      <c r="L108" s="4205" t="n"/>
      <c r="M108" s="4205" t="n"/>
      <c r="N108" s="4205" t="n"/>
      <c r="O108" s="4205" t="n"/>
      <c r="P108" s="4205" t="n"/>
      <c r="Q108" s="4206" t="n"/>
      <c r="R108" s="4205" t="n"/>
      <c r="S108" s="4205" t="n"/>
      <c r="T108" s="4205" t="n"/>
      <c r="U108" s="4205" t="n"/>
      <c r="V108" s="4205" t="n"/>
      <c r="W108" s="4205" t="n"/>
      <c r="X108" s="4205" t="n"/>
      <c r="Y108" s="4205" t="n"/>
      <c r="Z108" s="4205" t="n"/>
      <c r="AA108" s="4205" t="n"/>
      <c r="AB108" s="4205" t="n"/>
      <c r="AC108" s="4206" t="n"/>
      <c r="AD108" s="4205" t="n"/>
      <c r="AE108" s="4205" t="n"/>
      <c r="AF108" s="4205" t="n"/>
      <c r="AG108" s="4205" t="n"/>
      <c r="AH108" s="4205" t="n"/>
      <c r="AI108" s="4205" t="n"/>
      <c r="AJ108" s="4205" t="n"/>
      <c r="AK108" s="4205" t="n"/>
      <c r="AL108" s="4205" t="n"/>
      <c r="AM108" s="4205" t="n"/>
      <c r="AN108" s="4205" t="n"/>
      <c r="AO108" s="4206" t="n"/>
      <c r="AP108" s="4205" t="n"/>
      <c r="AQ108" s="4205" t="n"/>
      <c r="AR108" s="4205" t="n"/>
      <c r="AS108" s="4205" t="n"/>
      <c r="AT108" s="4205" t="n"/>
      <c r="AU108" s="4207" t="n"/>
      <c r="AV108" s="4205" t="n"/>
      <c r="AW108" s="4205" t="n"/>
      <c r="AX108" s="4205" t="n"/>
      <c r="AY108" s="4205" t="n"/>
      <c r="AZ108" s="4205" t="n"/>
      <c r="BA108" s="3743" t="n"/>
      <c r="BB108" s="4205" t="n"/>
    </row>
    <row r="109" hidden="1" outlineLevel="3" collapsed="1" ht="12" customFormat="1" customHeight="1" s="3743">
      <c r="A109" s="4165" t="n"/>
      <c r="B109" s="3891" t="n"/>
      <c r="C109" s="4219" t="inlineStr">
        <is>
          <t xml:space="preserve">Contract liabilities - non-current </t>
        </is>
      </c>
      <c r="D109" s="4204" t="n"/>
      <c r="E109" s="4204" t="n"/>
      <c r="F109" s="4249" t="n"/>
      <c r="G109" s="4205" t="n"/>
      <c r="H109" s="4205" t="n"/>
      <c r="I109" s="4205" t="n"/>
      <c r="J109" s="4205" t="n"/>
      <c r="K109" s="4205" t="n"/>
      <c r="L109" s="4205" t="n"/>
      <c r="M109" s="4205" t="n"/>
      <c r="N109" s="4205" t="n"/>
      <c r="O109" s="4205" t="n"/>
      <c r="P109" s="4205" t="n"/>
      <c r="Q109" s="4206" t="n"/>
      <c r="R109" s="4205" t="n"/>
      <c r="S109" s="4205" t="n"/>
      <c r="T109" s="4205" t="n"/>
      <c r="U109" s="4205" t="n"/>
      <c r="V109" s="4205" t="n"/>
      <c r="W109" s="4205" t="n"/>
      <c r="X109" s="4205" t="n"/>
      <c r="Y109" s="4205" t="n"/>
      <c r="Z109" s="4205" t="n"/>
      <c r="AA109" s="4205" t="n"/>
      <c r="AB109" s="4205" t="n"/>
      <c r="AC109" s="4206" t="n"/>
      <c r="AD109" s="4205" t="n"/>
      <c r="AE109" s="4205" t="n"/>
      <c r="AF109" s="4205" t="n"/>
      <c r="AG109" s="4205" t="n"/>
      <c r="AH109" s="4205" t="n"/>
      <c r="AI109" s="4205" t="n"/>
      <c r="AJ109" s="4205" t="n"/>
      <c r="AK109" s="4205" t="n"/>
      <c r="AL109" s="4205" t="n"/>
      <c r="AM109" s="4205" t="n"/>
      <c r="AN109" s="4205" t="n"/>
      <c r="AO109" s="4206" t="n"/>
      <c r="AP109" s="4205" t="n"/>
      <c r="AQ109" s="4205" t="n"/>
      <c r="AR109" s="4205" t="n"/>
      <c r="AS109" s="4205" t="n"/>
      <c r="AT109" s="4205" t="n"/>
      <c r="AU109" s="4207" t="n"/>
      <c r="AV109" s="4205" t="n"/>
      <c r="AW109" s="4205" t="n"/>
      <c r="AX109" s="4205" t="n"/>
      <c r="AY109" s="4205" t="n"/>
      <c r="AZ109" s="4205" t="n"/>
      <c r="BA109" s="3743" t="n"/>
      <c r="BB109" s="4205" t="n"/>
    </row>
    <row r="110" hidden="1" outlineLevel="2" ht="12" customHeight="1" s="3710">
      <c r="C110" s="4092" t="inlineStr">
        <is>
          <t>Contract liabilities</t>
        </is>
      </c>
      <c r="D110" s="4092" t="n"/>
      <c r="E110" s="4092" t="n"/>
      <c r="F110" s="4243" t="n"/>
      <c r="G110" s="4094" t="n"/>
      <c r="H110" s="4094" t="n"/>
      <c r="I110" s="4094" t="n"/>
      <c r="J110" s="4094" t="n"/>
      <c r="K110" s="4094" t="n"/>
      <c r="L110" s="4094" t="n"/>
      <c r="M110" s="4094" t="n"/>
      <c r="N110" s="4094" t="n"/>
      <c r="O110" s="4094" t="n"/>
      <c r="P110" s="4094" t="n"/>
      <c r="Q110" s="4095" t="n"/>
      <c r="R110" s="4094" t="n"/>
      <c r="S110" s="4094" t="n"/>
      <c r="T110" s="4094" t="n"/>
      <c r="U110" s="4094" t="n"/>
      <c r="V110" s="4094" t="n"/>
      <c r="W110" s="4094" t="n"/>
      <c r="X110" s="4094" t="n"/>
      <c r="Y110" s="4094" t="n"/>
      <c r="Z110" s="4094" t="n"/>
      <c r="AA110" s="4094" t="n"/>
      <c r="AB110" s="4094" t="n"/>
      <c r="AC110" s="4095" t="n"/>
      <c r="AD110" s="4094" t="n"/>
      <c r="AE110" s="4094" t="n"/>
      <c r="AF110" s="4094" t="n"/>
      <c r="AG110" s="4094" t="n"/>
      <c r="AH110" s="4094" t="n"/>
      <c r="AI110" s="4094" t="n"/>
      <c r="AJ110" s="4094" t="n"/>
      <c r="AK110" s="4094" t="n"/>
      <c r="AL110" s="4094" t="n"/>
      <c r="AM110" s="4094" t="n"/>
      <c r="AN110" s="4094" t="n"/>
      <c r="AO110" s="4095" t="n"/>
      <c r="AP110" s="4094" t="n"/>
      <c r="AQ110" s="4094" t="n"/>
      <c r="AR110" s="4094" t="n"/>
      <c r="AS110" s="4094" t="n"/>
      <c r="AT110" s="4094" t="n"/>
      <c r="AU110" s="4096" t="n"/>
      <c r="AV110" s="4094" t="n"/>
      <c r="AW110" s="4094" t="n"/>
      <c r="AX110" s="4094" t="n"/>
      <c r="AY110" s="4094" t="n"/>
      <c r="AZ110" s="4094" t="n"/>
      <c r="BA110" s="3737" t="n"/>
      <c r="BB110" s="4094" t="n"/>
    </row>
    <row r="111" hidden="1" outlineLevel="4" ht="12" customFormat="1" customHeight="1" s="3743">
      <c r="A111" s="4165" t="n"/>
      <c r="B111" s="3891" t="n"/>
      <c r="C111" s="4251" t="inlineStr">
        <is>
          <t>Deferred revenue</t>
        </is>
      </c>
      <c r="D111" s="3902" t="n">
        <v>240101</v>
      </c>
      <c r="E111" s="3902" t="inlineStr">
        <is>
          <t>240101 - Deferred Revenue</t>
        </is>
      </c>
      <c r="F111" s="4250" t="n"/>
      <c r="G111" s="3900" t="n"/>
      <c r="H111" s="3900" t="n"/>
      <c r="I111" s="3900" t="n"/>
      <c r="J111" s="3900" t="n"/>
      <c r="K111" s="3900" t="n"/>
      <c r="L111" s="3900" t="n"/>
      <c r="M111" s="3900" t="n"/>
      <c r="N111" s="3900" t="n"/>
      <c r="O111" s="3900" t="n"/>
      <c r="P111" s="3900" t="n"/>
      <c r="Q111" s="4200" t="n"/>
      <c r="R111" s="3900" t="n"/>
      <c r="S111" s="3900" t="n"/>
      <c r="T111" s="3900" t="n"/>
      <c r="U111" s="3900" t="n"/>
      <c r="V111" s="3900" t="n"/>
      <c r="W111" s="3900" t="n"/>
      <c r="X111" s="3900" t="n"/>
      <c r="Y111" s="3900" t="n"/>
      <c r="Z111" s="3900" t="n"/>
      <c r="AA111" s="3900" t="n"/>
      <c r="AB111" s="3900" t="n"/>
      <c r="AC111" s="4200" t="n"/>
      <c r="AD111" s="3900" t="n"/>
      <c r="AE111" s="3900" t="n"/>
      <c r="AF111" s="3900" t="n"/>
      <c r="AG111" s="3900" t="n"/>
      <c r="AH111" s="3900" t="n"/>
      <c r="AI111" s="3900" t="n"/>
      <c r="AJ111" s="3900" t="n"/>
      <c r="AK111" s="3900" t="n"/>
      <c r="AL111" s="3900" t="n"/>
      <c r="AM111" s="3900" t="n"/>
      <c r="AN111" s="3900" t="n"/>
      <c r="AO111" s="4200" t="n"/>
      <c r="AP111" s="3900" t="n"/>
      <c r="AQ111" s="3900" t="n"/>
      <c r="AR111" s="3900" t="n"/>
      <c r="AS111" s="3900" t="n"/>
      <c r="AT111" s="3900" t="n"/>
      <c r="AU111" s="4201" t="n"/>
      <c r="AV111" s="3900" t="n"/>
      <c r="AW111" s="3900" t="n"/>
      <c r="AX111" s="3900" t="n"/>
      <c r="AY111" s="3900" t="n"/>
      <c r="AZ111" s="3900" t="n"/>
      <c r="BA111" s="3743" t="n"/>
      <c r="BB111" s="3900" t="n"/>
    </row>
    <row r="112" hidden="1" outlineLevel="4" ht="12" customFormat="1" customHeight="1" s="3743">
      <c r="A112" s="4165" t="n"/>
      <c r="B112" s="3891" t="n"/>
      <c r="C112" s="4252" t="inlineStr">
        <is>
          <t>Deferred revenue - cards perso</t>
        </is>
      </c>
      <c r="D112" s="4204" t="n">
        <v>240102</v>
      </c>
      <c r="E112" s="4204" t="inlineStr">
        <is>
          <t>240102 - Deferred Revenue - Cards Perso</t>
        </is>
      </c>
      <c r="F112" s="4249" t="n"/>
      <c r="G112" s="4205" t="n"/>
      <c r="H112" s="4205" t="n"/>
      <c r="I112" s="4205" t="n"/>
      <c r="J112" s="4205" t="n"/>
      <c r="K112" s="4205" t="n"/>
      <c r="L112" s="4205" t="n"/>
      <c r="M112" s="4205" t="n"/>
      <c r="N112" s="4205" t="n"/>
      <c r="O112" s="4205" t="n"/>
      <c r="P112" s="4205" t="n"/>
      <c r="Q112" s="4206" t="n"/>
      <c r="R112" s="4205" t="n"/>
      <c r="S112" s="4205" t="n"/>
      <c r="T112" s="4205" t="n"/>
      <c r="U112" s="4205" t="n"/>
      <c r="V112" s="4205" t="n"/>
      <c r="W112" s="4205" t="n"/>
      <c r="X112" s="4205" t="n"/>
      <c r="Y112" s="4205" t="n"/>
      <c r="Z112" s="4205" t="n"/>
      <c r="AA112" s="4205" t="n"/>
      <c r="AB112" s="4205" t="n"/>
      <c r="AC112" s="4206" t="n"/>
      <c r="AD112" s="4205" t="n"/>
      <c r="AE112" s="4205" t="n"/>
      <c r="AF112" s="4205" t="n"/>
      <c r="AG112" s="4205" t="n"/>
      <c r="AH112" s="4205" t="n"/>
      <c r="AI112" s="4205" t="n"/>
      <c r="AJ112" s="4205" t="n"/>
      <c r="AK112" s="4205" t="n"/>
      <c r="AL112" s="4205" t="n"/>
      <c r="AM112" s="4205" t="n"/>
      <c r="AN112" s="4205" t="n"/>
      <c r="AO112" s="4206" t="n"/>
      <c r="AP112" s="4205" t="n"/>
      <c r="AQ112" s="4205" t="n"/>
      <c r="AR112" s="4205" t="n"/>
      <c r="AS112" s="4205" t="n"/>
      <c r="AT112" s="4205" t="n"/>
      <c r="AU112" s="4207" t="n"/>
      <c r="AV112" s="4205" t="n"/>
      <c r="AW112" s="4205" t="n"/>
      <c r="AX112" s="4205" t="n"/>
      <c r="AY112" s="4205" t="n"/>
      <c r="AZ112" s="4205" t="n"/>
      <c r="BA112" s="3743" t="n"/>
      <c r="BB112" s="4205" t="n"/>
    </row>
    <row r="113" hidden="1" outlineLevel="3" collapsed="1" ht="12" customFormat="1" customHeight="1" s="3743">
      <c r="A113" s="4165" t="n"/>
      <c r="B113" s="3891" t="n"/>
      <c r="C113" s="4218" t="inlineStr">
        <is>
          <t xml:space="preserve">Deferred revenue  </t>
        </is>
      </c>
      <c r="D113" s="3902" t="n"/>
      <c r="E113" s="3902" t="n"/>
      <c r="F113" s="4250" t="n"/>
      <c r="G113" s="3900" t="n"/>
      <c r="H113" s="3900" t="n"/>
      <c r="I113" s="3900" t="n"/>
      <c r="J113" s="3900" t="n"/>
      <c r="K113" s="3900" t="n"/>
      <c r="L113" s="3900" t="n"/>
      <c r="M113" s="3900" t="n"/>
      <c r="N113" s="3900" t="n"/>
      <c r="O113" s="3900" t="n"/>
      <c r="P113" s="3900" t="n"/>
      <c r="Q113" s="4200" t="n"/>
      <c r="R113" s="3900" t="n"/>
      <c r="S113" s="3900" t="n"/>
      <c r="T113" s="3900" t="n"/>
      <c r="U113" s="3900" t="n"/>
      <c r="V113" s="3900" t="n"/>
      <c r="W113" s="3900" t="n"/>
      <c r="X113" s="3900" t="n"/>
      <c r="Y113" s="3900" t="n"/>
      <c r="Z113" s="3900" t="n"/>
      <c r="AA113" s="3900" t="n"/>
      <c r="AB113" s="3900" t="n"/>
      <c r="AC113" s="4200" t="n"/>
      <c r="AD113" s="3900" t="n"/>
      <c r="AE113" s="3900" t="n"/>
      <c r="AF113" s="3900" t="n"/>
      <c r="AG113" s="3900" t="n"/>
      <c r="AH113" s="3900" t="n"/>
      <c r="AI113" s="3900" t="n"/>
      <c r="AJ113" s="3900" t="n"/>
      <c r="AK113" s="3900" t="n"/>
      <c r="AL113" s="3900" t="n"/>
      <c r="AM113" s="3900" t="n"/>
      <c r="AN113" s="3900" t="n"/>
      <c r="AO113" s="4200" t="n"/>
      <c r="AP113" s="3900" t="n"/>
      <c r="AQ113" s="3900" t="n"/>
      <c r="AR113" s="3900" t="n"/>
      <c r="AS113" s="3900" t="n"/>
      <c r="AT113" s="3900" t="n"/>
      <c r="AU113" s="4201" t="n"/>
      <c r="AV113" s="3900" t="n"/>
      <c r="AW113" s="3900" t="n"/>
      <c r="AX113" s="3900" t="n"/>
      <c r="AY113" s="3900" t="n"/>
      <c r="AZ113" s="3900" t="n"/>
      <c r="BA113" s="3743" t="n"/>
      <c r="BB113" s="3900" t="n"/>
    </row>
    <row r="114" hidden="1" outlineLevel="4" ht="12" customFormat="1" customHeight="1" s="3743">
      <c r="A114" s="4165" t="n"/>
      <c r="B114" s="3891" t="n"/>
      <c r="C114" s="4252" t="inlineStr">
        <is>
          <t>Deferred compensation payable-</t>
        </is>
      </c>
      <c r="D114" s="4204" t="n">
        <v>253101</v>
      </c>
      <c r="E114" s="4204" t="inlineStr">
        <is>
          <t>253101 - Deferred Compensation Payable-</t>
        </is>
      </c>
      <c r="F114" s="4249" t="n"/>
      <c r="G114" s="4205" t="n"/>
      <c r="H114" s="4205" t="n"/>
      <c r="I114" s="4205" t="n"/>
      <c r="J114" s="4205" t="n"/>
      <c r="K114" s="4205" t="n"/>
      <c r="L114" s="4205" t="n"/>
      <c r="M114" s="4205" t="n"/>
      <c r="N114" s="4205" t="n"/>
      <c r="O114" s="4205" t="n"/>
      <c r="P114" s="4205" t="n"/>
      <c r="Q114" s="4206" t="n"/>
      <c r="R114" s="4205" t="n"/>
      <c r="S114" s="4205" t="n"/>
      <c r="T114" s="4205" t="n"/>
      <c r="U114" s="4205" t="n"/>
      <c r="V114" s="4205" t="n"/>
      <c r="W114" s="4205" t="n"/>
      <c r="X114" s="4205" t="n"/>
      <c r="Y114" s="4205" t="n"/>
      <c r="Z114" s="4205" t="n"/>
      <c r="AA114" s="4205" t="n"/>
      <c r="AB114" s="4205" t="n"/>
      <c r="AC114" s="4206" t="n"/>
      <c r="AD114" s="4205" t="n"/>
      <c r="AE114" s="4205" t="n"/>
      <c r="AF114" s="4205" t="n"/>
      <c r="AG114" s="4205" t="n"/>
      <c r="AH114" s="4205" t="n"/>
      <c r="AI114" s="4205" t="n"/>
      <c r="AJ114" s="4205" t="n"/>
      <c r="AK114" s="4205" t="n"/>
      <c r="AL114" s="4205" t="n"/>
      <c r="AM114" s="4205" t="n"/>
      <c r="AN114" s="4205" t="n"/>
      <c r="AO114" s="4206" t="n"/>
      <c r="AP114" s="4205" t="n"/>
      <c r="AQ114" s="4205" t="n"/>
      <c r="AR114" s="4205" t="n"/>
      <c r="AS114" s="4205" t="n"/>
      <c r="AT114" s="4205" t="n"/>
      <c r="AU114" s="4207" t="n"/>
      <c r="AV114" s="4205" t="n"/>
      <c r="AW114" s="4205" t="n"/>
      <c r="AX114" s="4205" t="n"/>
      <c r="AY114" s="4205" t="n"/>
      <c r="AZ114" s="4205" t="n"/>
      <c r="BA114" s="3743" t="n"/>
      <c r="BB114" s="4205" t="n"/>
    </row>
    <row r="115" hidden="1" outlineLevel="3" collapsed="1" ht="12" customFormat="1" customHeight="1" s="3743">
      <c r="A115" s="4165" t="n"/>
      <c r="B115" s="3891" t="n"/>
      <c r="C115" s="4219" t="inlineStr">
        <is>
          <t xml:space="preserve">Deferred compensation </t>
        </is>
      </c>
      <c r="D115" s="4204" t="n"/>
      <c r="E115" s="4204" t="n"/>
      <c r="F115" s="4249" t="n"/>
      <c r="G115" s="4205" t="n"/>
      <c r="H115" s="4205" t="n"/>
      <c r="I115" s="4205" t="n"/>
      <c r="J115" s="4205" t="n"/>
      <c r="K115" s="4205" t="n"/>
      <c r="L115" s="4205" t="n"/>
      <c r="M115" s="4205" t="n"/>
      <c r="N115" s="4205" t="n"/>
      <c r="O115" s="4205" t="n"/>
      <c r="P115" s="4205" t="n"/>
      <c r="Q115" s="4206" t="n"/>
      <c r="R115" s="4205" t="n"/>
      <c r="S115" s="4205" t="n"/>
      <c r="T115" s="4205" t="n"/>
      <c r="U115" s="4205" t="n"/>
      <c r="V115" s="4205" t="n"/>
      <c r="W115" s="4205" t="n"/>
      <c r="X115" s="4205" t="n"/>
      <c r="Y115" s="4205" t="n"/>
      <c r="Z115" s="4205" t="n"/>
      <c r="AA115" s="4205" t="n"/>
      <c r="AB115" s="4205" t="n"/>
      <c r="AC115" s="4206" t="n"/>
      <c r="AD115" s="4205" t="n"/>
      <c r="AE115" s="4205" t="n"/>
      <c r="AF115" s="4205" t="n"/>
      <c r="AG115" s="4205" t="n"/>
      <c r="AH115" s="4205" t="n"/>
      <c r="AI115" s="4205" t="n"/>
      <c r="AJ115" s="4205" t="n"/>
      <c r="AK115" s="4205" t="n"/>
      <c r="AL115" s="4205" t="n"/>
      <c r="AM115" s="4205" t="n"/>
      <c r="AN115" s="4205" t="n"/>
      <c r="AO115" s="4206" t="n"/>
      <c r="AP115" s="4205" t="n"/>
      <c r="AQ115" s="4205" t="n"/>
      <c r="AR115" s="4205" t="n"/>
      <c r="AS115" s="4205" t="n"/>
      <c r="AT115" s="4205" t="n"/>
      <c r="AU115" s="4207" t="n"/>
      <c r="AV115" s="4205" t="n"/>
      <c r="AW115" s="4205" t="n"/>
      <c r="AX115" s="4205" t="n"/>
      <c r="AY115" s="4205" t="n"/>
      <c r="AZ115" s="4205" t="n"/>
      <c r="BA115" s="3743" t="n"/>
      <c r="BB115" s="4205" t="n"/>
    </row>
    <row r="116" hidden="1" outlineLevel="2" ht="12" customHeight="1" s="3710">
      <c r="C116" s="4092" t="inlineStr">
        <is>
          <t xml:space="preserve">Deferred revenue  </t>
        </is>
      </c>
      <c r="D116" s="4092" t="n"/>
      <c r="E116" s="4092" t="n"/>
      <c r="F116" s="4243" t="n"/>
      <c r="G116" s="4094" t="n"/>
      <c r="H116" s="4094" t="n"/>
      <c r="I116" s="4094" t="n"/>
      <c r="J116" s="4094" t="n"/>
      <c r="K116" s="4094" t="n"/>
      <c r="L116" s="4094" t="n"/>
      <c r="M116" s="4094" t="n"/>
      <c r="N116" s="4094" t="n"/>
      <c r="O116" s="4094" t="n"/>
      <c r="P116" s="4094" t="n"/>
      <c r="Q116" s="4095" t="n"/>
      <c r="R116" s="4094" t="n"/>
      <c r="S116" s="4094" t="n"/>
      <c r="T116" s="4094" t="n"/>
      <c r="U116" s="4094" t="n"/>
      <c r="V116" s="4094" t="n"/>
      <c r="W116" s="4094" t="n"/>
      <c r="X116" s="4094" t="n"/>
      <c r="Y116" s="4094" t="n"/>
      <c r="Z116" s="4094" t="n"/>
      <c r="AA116" s="4094" t="n"/>
      <c r="AB116" s="4094" t="n"/>
      <c r="AC116" s="4095" t="n"/>
      <c r="AD116" s="4094" t="n"/>
      <c r="AE116" s="4094" t="n"/>
      <c r="AF116" s="4094" t="n"/>
      <c r="AG116" s="4094" t="n"/>
      <c r="AH116" s="4094" t="n"/>
      <c r="AI116" s="4094" t="n"/>
      <c r="AJ116" s="4094" t="n"/>
      <c r="AK116" s="4094" t="n"/>
      <c r="AL116" s="4094" t="n"/>
      <c r="AM116" s="4094" t="n"/>
      <c r="AN116" s="4094" t="n"/>
      <c r="AO116" s="4095" t="n"/>
      <c r="AP116" s="4094" t="n"/>
      <c r="AQ116" s="4094" t="n"/>
      <c r="AR116" s="4094" t="n"/>
      <c r="AS116" s="4094" t="n"/>
      <c r="AT116" s="4094" t="n"/>
      <c r="AU116" s="4096" t="n"/>
      <c r="AV116" s="4094" t="n"/>
      <c r="AW116" s="4094" t="n"/>
      <c r="AX116" s="4094" t="n"/>
      <c r="AY116" s="4094" t="n"/>
      <c r="AZ116" s="4094" t="n"/>
      <c r="BA116" s="3737" t="n"/>
      <c r="BB116" s="4094" t="n"/>
    </row>
    <row r="117" hidden="1" outlineLevel="3" ht="12" customFormat="1" customHeight="1" s="3743">
      <c r="A117" s="4165" t="n"/>
      <c r="B117" s="3891" t="n"/>
      <c r="C117" s="4218" t="inlineStr">
        <is>
          <t>Accrued salaries</t>
        </is>
      </c>
      <c r="D117" s="3902" t="n">
        <v>202101</v>
      </c>
      <c r="E117" s="3902" t="inlineStr">
        <is>
          <t>202101 - Accrued Salaries</t>
        </is>
      </c>
      <c r="F117" s="4250" t="n"/>
      <c r="G117" s="3900" t="n"/>
      <c r="H117" s="3900" t="n"/>
      <c r="I117" s="3900" t="n"/>
      <c r="J117" s="3900" t="n"/>
      <c r="K117" s="3900" t="n"/>
      <c r="L117" s="3900" t="n"/>
      <c r="M117" s="3900" t="n"/>
      <c r="N117" s="3900" t="n"/>
      <c r="O117" s="3900" t="n"/>
      <c r="P117" s="3900" t="n"/>
      <c r="Q117" s="4200" t="n"/>
      <c r="R117" s="3900" t="n"/>
      <c r="S117" s="3900" t="n"/>
      <c r="T117" s="3900" t="n"/>
      <c r="U117" s="3900" t="n"/>
      <c r="V117" s="3900" t="n"/>
      <c r="W117" s="3900" t="n"/>
      <c r="X117" s="3900" t="n"/>
      <c r="Y117" s="3900" t="n"/>
      <c r="Z117" s="3900" t="n"/>
      <c r="AA117" s="3900" t="n"/>
      <c r="AB117" s="3900" t="n"/>
      <c r="AC117" s="4200" t="n"/>
      <c r="AD117" s="3900" t="n"/>
      <c r="AE117" s="3900" t="n"/>
      <c r="AF117" s="3900" t="n"/>
      <c r="AG117" s="3900" t="n"/>
      <c r="AH117" s="3900" t="n"/>
      <c r="AI117" s="3900" t="n"/>
      <c r="AJ117" s="3900" t="n"/>
      <c r="AK117" s="3900" t="n"/>
      <c r="AL117" s="3900" t="n"/>
      <c r="AM117" s="3900" t="n"/>
      <c r="AN117" s="3900" t="n"/>
      <c r="AO117" s="4200" t="n"/>
      <c r="AP117" s="3900" t="n"/>
      <c r="AQ117" s="3900" t="n"/>
      <c r="AR117" s="3900" t="n"/>
      <c r="AS117" s="3900" t="n"/>
      <c r="AT117" s="3900" t="n"/>
      <c r="AU117" s="4201" t="n"/>
      <c r="AV117" s="3900" t="n"/>
      <c r="AW117" s="3900" t="n"/>
      <c r="AX117" s="3900" t="n"/>
      <c r="AY117" s="3900" t="n"/>
      <c r="AZ117" s="3900" t="n"/>
      <c r="BA117" s="3743" t="n"/>
      <c r="BB117" s="3900" t="n"/>
    </row>
    <row r="118" hidden="1" outlineLevel="3" ht="12" customFormat="1" customHeight="1" s="3743">
      <c r="A118" s="4165" t="n"/>
      <c r="B118" s="3891" t="n"/>
      <c r="C118" s="4218" t="inlineStr">
        <is>
          <t>Short term bonus - CY</t>
        </is>
      </c>
      <c r="D118" s="3902" t="n">
        <v>201101</v>
      </c>
      <c r="E118" s="3902" t="inlineStr">
        <is>
          <t>201101 - Short Term Bonus - CY</t>
        </is>
      </c>
      <c r="F118" s="4250" t="n"/>
      <c r="G118" s="3900" t="n"/>
      <c r="H118" s="3900" t="n"/>
      <c r="I118" s="3900" t="n"/>
      <c r="J118" s="3900" t="n"/>
      <c r="K118" s="3900" t="n"/>
      <c r="L118" s="3900" t="n"/>
      <c r="M118" s="3900" t="n"/>
      <c r="N118" s="3900" t="n"/>
      <c r="O118" s="3900" t="n"/>
      <c r="P118" s="3900" t="n"/>
      <c r="Q118" s="4200" t="n"/>
      <c r="R118" s="3900" t="n"/>
      <c r="S118" s="3900" t="n"/>
      <c r="T118" s="3900" t="n"/>
      <c r="U118" s="3900" t="n"/>
      <c r="V118" s="3900" t="n"/>
      <c r="W118" s="3900" t="n"/>
      <c r="X118" s="3900" t="n"/>
      <c r="Y118" s="3900" t="n"/>
      <c r="Z118" s="3900" t="n"/>
      <c r="AA118" s="3900" t="n"/>
      <c r="AB118" s="3900" t="n"/>
      <c r="AC118" s="4200" t="n"/>
      <c r="AD118" s="3900" t="n"/>
      <c r="AE118" s="3900" t="n"/>
      <c r="AF118" s="3900" t="n"/>
      <c r="AG118" s="3900" t="n"/>
      <c r="AH118" s="3900" t="n"/>
      <c r="AI118" s="3900" t="n"/>
      <c r="AJ118" s="3900" t="n"/>
      <c r="AK118" s="3900" t="n"/>
      <c r="AL118" s="3900" t="n"/>
      <c r="AM118" s="3900" t="n"/>
      <c r="AN118" s="3900" t="n"/>
      <c r="AO118" s="4200" t="n"/>
      <c r="AP118" s="3900" t="n"/>
      <c r="AQ118" s="3900" t="n"/>
      <c r="AR118" s="3900" t="n"/>
      <c r="AS118" s="3900" t="n"/>
      <c r="AT118" s="3900" t="n"/>
      <c r="AU118" s="4201" t="n"/>
      <c r="AV118" s="3900" t="n"/>
      <c r="AW118" s="3900" t="n"/>
      <c r="AX118" s="3900" t="n"/>
      <c r="AY118" s="3900" t="n"/>
      <c r="AZ118" s="3900" t="n"/>
      <c r="BA118" s="3743" t="n"/>
      <c r="BB118" s="3900" t="n"/>
    </row>
    <row r="119" hidden="1" outlineLevel="3" ht="12" customFormat="1" customHeight="1" s="3743">
      <c r="A119" s="4165" t="n"/>
      <c r="B119" s="3891" t="n"/>
      <c r="C119" s="4218" t="inlineStr">
        <is>
          <t>Accrued vacation payable</t>
        </is>
      </c>
      <c r="D119" s="3902" t="n">
        <v>202201</v>
      </c>
      <c r="E119" s="3902" t="inlineStr">
        <is>
          <t>202201 - Accrued Vacation Payable</t>
        </is>
      </c>
      <c r="F119" s="4250" t="n"/>
      <c r="G119" s="3900" t="n"/>
      <c r="H119" s="3900" t="n"/>
      <c r="I119" s="3900" t="n"/>
      <c r="J119" s="3900" t="n"/>
      <c r="K119" s="3900" t="n"/>
      <c r="L119" s="3900" t="n"/>
      <c r="M119" s="3900" t="n"/>
      <c r="N119" s="3900" t="n"/>
      <c r="O119" s="3900" t="n"/>
      <c r="P119" s="3900" t="n"/>
      <c r="Q119" s="4200" t="n"/>
      <c r="R119" s="3900" t="n"/>
      <c r="S119" s="3900" t="n"/>
      <c r="T119" s="3900" t="n"/>
      <c r="U119" s="3900" t="n"/>
      <c r="V119" s="3900" t="n"/>
      <c r="W119" s="3900" t="n"/>
      <c r="X119" s="3900" t="n"/>
      <c r="Y119" s="3900" t="n"/>
      <c r="Z119" s="3900" t="n"/>
      <c r="AA119" s="3900" t="n"/>
      <c r="AB119" s="3900" t="n"/>
      <c r="AC119" s="4200" t="n"/>
      <c r="AD119" s="3900" t="n"/>
      <c r="AE119" s="3900" t="n"/>
      <c r="AF119" s="3900" t="n"/>
      <c r="AG119" s="3900" t="n"/>
      <c r="AH119" s="3900" t="n"/>
      <c r="AI119" s="3900" t="n"/>
      <c r="AJ119" s="3900" t="n"/>
      <c r="AK119" s="3900" t="n"/>
      <c r="AL119" s="3900" t="n"/>
      <c r="AM119" s="3900" t="n"/>
      <c r="AN119" s="3900" t="n"/>
      <c r="AO119" s="4200" t="n"/>
      <c r="AP119" s="3900" t="n"/>
      <c r="AQ119" s="3900" t="n"/>
      <c r="AR119" s="3900" t="n"/>
      <c r="AS119" s="3900" t="n"/>
      <c r="AT119" s="3900" t="n"/>
      <c r="AU119" s="4201" t="n"/>
      <c r="AV119" s="3900" t="n"/>
      <c r="AW119" s="3900" t="n"/>
      <c r="AX119" s="3900" t="n"/>
      <c r="AY119" s="3900" t="n"/>
      <c r="AZ119" s="3900" t="n"/>
      <c r="BA119" s="3743" t="n"/>
      <c r="BB119" s="3900" t="n"/>
    </row>
    <row r="120" hidden="1" outlineLevel="3" ht="12" customFormat="1" customHeight="1" s="3743">
      <c r="A120" s="4165" t="n"/>
      <c r="B120" s="3891" t="n"/>
      <c r="C120" s="4218" t="inlineStr">
        <is>
          <t>Health spending account</t>
        </is>
      </c>
      <c r="D120" s="3902" t="n">
        <v>205331</v>
      </c>
      <c r="E120" s="3902" t="inlineStr">
        <is>
          <t>205331 - Health Spending Account</t>
        </is>
      </c>
      <c r="F120" s="4250" t="n"/>
      <c r="G120" s="3900" t="n"/>
      <c r="H120" s="3900" t="n"/>
      <c r="I120" s="3900" t="n"/>
      <c r="J120" s="3900" t="n"/>
      <c r="K120" s="3900" t="n"/>
      <c r="L120" s="3900" t="n"/>
      <c r="M120" s="3900" t="n"/>
      <c r="N120" s="3900" t="n"/>
      <c r="O120" s="3900" t="n"/>
      <c r="P120" s="3900" t="n"/>
      <c r="Q120" s="4200" t="n"/>
      <c r="R120" s="3900" t="n"/>
      <c r="S120" s="3900" t="n"/>
      <c r="T120" s="3900" t="n"/>
      <c r="U120" s="3900" t="n"/>
      <c r="V120" s="3900" t="n"/>
      <c r="W120" s="3900" t="n"/>
      <c r="X120" s="3900" t="n"/>
      <c r="Y120" s="3900" t="n"/>
      <c r="Z120" s="3900" t="n"/>
      <c r="AA120" s="3900" t="n"/>
      <c r="AB120" s="3900" t="n"/>
      <c r="AC120" s="4200" t="n"/>
      <c r="AD120" s="3900" t="n"/>
      <c r="AE120" s="3900" t="n"/>
      <c r="AF120" s="3900" t="n"/>
      <c r="AG120" s="3900" t="n"/>
      <c r="AH120" s="3900" t="n"/>
      <c r="AI120" s="3900" t="n"/>
      <c r="AJ120" s="3900" t="n"/>
      <c r="AK120" s="3900" t="n"/>
      <c r="AL120" s="3900" t="n"/>
      <c r="AM120" s="3900" t="n"/>
      <c r="AN120" s="3900" t="n"/>
      <c r="AO120" s="4200" t="n"/>
      <c r="AP120" s="3900" t="n"/>
      <c r="AQ120" s="3900" t="n"/>
      <c r="AR120" s="3900" t="n"/>
      <c r="AS120" s="3900" t="n"/>
      <c r="AT120" s="3900" t="n"/>
      <c r="AU120" s="4201" t="n"/>
      <c r="AV120" s="3900" t="n"/>
      <c r="AW120" s="3900" t="n"/>
      <c r="AX120" s="3900" t="n"/>
      <c r="AY120" s="3900" t="n"/>
      <c r="AZ120" s="3900" t="n"/>
      <c r="BA120" s="3743" t="n"/>
      <c r="BB120" s="3900" t="n"/>
    </row>
    <row r="121" hidden="1" outlineLevel="3" ht="12" customFormat="1" customHeight="1" s="3743">
      <c r="A121" s="4165" t="n"/>
      <c r="B121" s="3891" t="n"/>
      <c r="C121" s="4218" t="inlineStr">
        <is>
          <t>Severance liability</t>
        </is>
      </c>
      <c r="D121" s="3902" t="n">
        <v>214119</v>
      </c>
      <c r="E121" s="3902" t="inlineStr">
        <is>
          <t>214119 - Severance Liability</t>
        </is>
      </c>
      <c r="F121" s="4250" t="n"/>
      <c r="G121" s="3900" t="n"/>
      <c r="H121" s="3900" t="n"/>
      <c r="I121" s="3900" t="n"/>
      <c r="J121" s="3900" t="n"/>
      <c r="K121" s="3900" t="n"/>
      <c r="L121" s="3900" t="n"/>
      <c r="M121" s="3900" t="n"/>
      <c r="N121" s="3900" t="n"/>
      <c r="O121" s="3900" t="n"/>
      <c r="P121" s="3900" t="n"/>
      <c r="Q121" s="4200" t="n"/>
      <c r="R121" s="3900" t="n"/>
      <c r="S121" s="3900" t="n"/>
      <c r="T121" s="3900" t="n"/>
      <c r="U121" s="3900" t="n"/>
      <c r="V121" s="3900" t="n"/>
      <c r="W121" s="3900" t="n"/>
      <c r="X121" s="3900" t="n"/>
      <c r="Y121" s="3900" t="n"/>
      <c r="Z121" s="3900" t="n"/>
      <c r="AA121" s="3900" t="n"/>
      <c r="AB121" s="3900" t="n"/>
      <c r="AC121" s="4200" t="n"/>
      <c r="AD121" s="3900" t="n"/>
      <c r="AE121" s="3900" t="n"/>
      <c r="AF121" s="3900" t="n"/>
      <c r="AG121" s="3900" t="n"/>
      <c r="AH121" s="3900" t="n"/>
      <c r="AI121" s="3900" t="n"/>
      <c r="AJ121" s="3900" t="n"/>
      <c r="AK121" s="3900" t="n"/>
      <c r="AL121" s="3900" t="n"/>
      <c r="AM121" s="3900" t="n"/>
      <c r="AN121" s="3900" t="n"/>
      <c r="AO121" s="4200" t="n"/>
      <c r="AP121" s="3900" t="n"/>
      <c r="AQ121" s="3900" t="n"/>
      <c r="AR121" s="3900" t="n"/>
      <c r="AS121" s="3900" t="n"/>
      <c r="AT121" s="3900" t="n"/>
      <c r="AU121" s="4201" t="n"/>
      <c r="AV121" s="3900" t="n"/>
      <c r="AW121" s="3900" t="n"/>
      <c r="AX121" s="3900" t="n"/>
      <c r="AY121" s="3900" t="n"/>
      <c r="AZ121" s="3900" t="n"/>
      <c r="BA121" s="3743" t="n"/>
      <c r="BB121" s="3900" t="n"/>
    </row>
    <row r="122" hidden="1" outlineLevel="3" ht="12" customFormat="1" customHeight="1" s="3743">
      <c r="A122" s="4165" t="n"/>
      <c r="B122" s="3891" t="n"/>
      <c r="C122" s="4218" t="inlineStr">
        <is>
          <t>Miscellaneous payroll liabilities</t>
        </is>
      </c>
      <c r="D122" s="3902" t="n">
        <v>205151</v>
      </c>
      <c r="E122" s="3902" t="inlineStr">
        <is>
          <t>205151 - Miscellaneous Payroll Liabilities</t>
        </is>
      </c>
      <c r="F122" s="4250" t="n"/>
      <c r="G122" s="3900" t="n"/>
      <c r="H122" s="3900" t="n"/>
      <c r="I122" s="3900" t="n"/>
      <c r="J122" s="3900" t="n"/>
      <c r="K122" s="3900" t="n"/>
      <c r="L122" s="3900" t="n"/>
      <c r="M122" s="3900" t="n"/>
      <c r="N122" s="3900" t="n"/>
      <c r="O122" s="3900" t="n"/>
      <c r="P122" s="3900" t="n"/>
      <c r="Q122" s="4200" t="n"/>
      <c r="R122" s="3900" t="n"/>
      <c r="S122" s="3900" t="n"/>
      <c r="T122" s="3900" t="n"/>
      <c r="U122" s="3900" t="n"/>
      <c r="V122" s="3900" t="n"/>
      <c r="W122" s="3900" t="n"/>
      <c r="X122" s="3900" t="n"/>
      <c r="Y122" s="3900" t="n"/>
      <c r="Z122" s="3900" t="n"/>
      <c r="AA122" s="3900" t="n"/>
      <c r="AB122" s="3900" t="n"/>
      <c r="AC122" s="4200" t="n"/>
      <c r="AD122" s="3900" t="n"/>
      <c r="AE122" s="3900" t="n"/>
      <c r="AF122" s="3900" t="n"/>
      <c r="AG122" s="3900" t="n"/>
      <c r="AH122" s="3900" t="n"/>
      <c r="AI122" s="3900" t="n"/>
      <c r="AJ122" s="3900" t="n"/>
      <c r="AK122" s="3900" t="n"/>
      <c r="AL122" s="3900" t="n"/>
      <c r="AM122" s="3900" t="n"/>
      <c r="AN122" s="3900" t="n"/>
      <c r="AO122" s="4200" t="n"/>
      <c r="AP122" s="3900" t="n"/>
      <c r="AQ122" s="3900" t="n"/>
      <c r="AR122" s="3900" t="n"/>
      <c r="AS122" s="3900" t="n"/>
      <c r="AT122" s="3900" t="n"/>
      <c r="AU122" s="4201" t="n"/>
      <c r="AV122" s="3900" t="n"/>
      <c r="AW122" s="3900" t="n"/>
      <c r="AX122" s="3900" t="n"/>
      <c r="AY122" s="3900" t="n"/>
      <c r="AZ122" s="3900" t="n"/>
      <c r="BA122" s="3743" t="n"/>
      <c r="BB122" s="3900" t="n"/>
    </row>
    <row r="123" hidden="1" outlineLevel="3" ht="12" customFormat="1" customHeight="1" s="3743">
      <c r="A123" s="4165" t="n"/>
      <c r="B123" s="3891" t="n"/>
      <c r="C123" s="4218" t="inlineStr">
        <is>
          <t>Payroll taxes/ded conv acct</t>
        </is>
      </c>
      <c r="D123" s="3902" t="n">
        <v>205645</v>
      </c>
      <c r="E123" s="3902" t="inlineStr">
        <is>
          <t>205645 - Payroll Taxes/Ded Conv Acct</t>
        </is>
      </c>
      <c r="F123" s="4250" t="n"/>
      <c r="G123" s="3900" t="n"/>
      <c r="H123" s="3900" t="n"/>
      <c r="I123" s="3900" t="n"/>
      <c r="J123" s="3900" t="n"/>
      <c r="K123" s="3900" t="n"/>
      <c r="L123" s="3900" t="n"/>
      <c r="M123" s="3900" t="n"/>
      <c r="N123" s="3900" t="n"/>
      <c r="O123" s="3900" t="n"/>
      <c r="P123" s="3900" t="n"/>
      <c r="Q123" s="4200" t="n"/>
      <c r="R123" s="3900" t="n"/>
      <c r="S123" s="3900" t="n"/>
      <c r="T123" s="3900" t="n"/>
      <c r="U123" s="3900" t="n"/>
      <c r="V123" s="3900" t="n"/>
      <c r="W123" s="3900" t="n"/>
      <c r="X123" s="3900" t="n"/>
      <c r="Y123" s="3900" t="n"/>
      <c r="Z123" s="3900" t="n"/>
      <c r="AA123" s="3900" t="n"/>
      <c r="AB123" s="3900" t="n"/>
      <c r="AC123" s="4200" t="n"/>
      <c r="AD123" s="3900" t="n"/>
      <c r="AE123" s="3900" t="n"/>
      <c r="AF123" s="3900" t="n"/>
      <c r="AG123" s="3900" t="n"/>
      <c r="AH123" s="3900" t="n"/>
      <c r="AI123" s="3900" t="n"/>
      <c r="AJ123" s="3900" t="n"/>
      <c r="AK123" s="3900" t="n"/>
      <c r="AL123" s="3900" t="n"/>
      <c r="AM123" s="3900" t="n"/>
      <c r="AN123" s="3900" t="n"/>
      <c r="AO123" s="4200" t="n"/>
      <c r="AP123" s="3900" t="n"/>
      <c r="AQ123" s="3900" t="n"/>
      <c r="AR123" s="3900" t="n"/>
      <c r="AS123" s="3900" t="n"/>
      <c r="AT123" s="3900" t="n"/>
      <c r="AU123" s="4201" t="n"/>
      <c r="AV123" s="3900" t="n"/>
      <c r="AW123" s="3900" t="n"/>
      <c r="AX123" s="3900" t="n"/>
      <c r="AY123" s="3900" t="n"/>
      <c r="AZ123" s="3900" t="n"/>
      <c r="BA123" s="3743" t="n"/>
      <c r="BB123" s="3900" t="n"/>
    </row>
    <row r="124" hidden="1" outlineLevel="3" ht="12" customFormat="1" customHeight="1" s="3743">
      <c r="A124" s="4165" t="n"/>
      <c r="B124" s="3891" t="n"/>
      <c r="C124" s="4218" t="inlineStr">
        <is>
          <t>Supplemental exec pension-payable</t>
        </is>
      </c>
      <c r="D124" s="3902" t="n">
        <v>205625</v>
      </c>
      <c r="E124" s="3902" t="inlineStr">
        <is>
          <t>205625 - Supplemental Exec Pension-Payable</t>
        </is>
      </c>
      <c r="F124" s="4250" t="n"/>
      <c r="G124" s="3900" t="n"/>
      <c r="H124" s="3900" t="n"/>
      <c r="I124" s="3900" t="n"/>
      <c r="J124" s="3900" t="n"/>
      <c r="K124" s="3900" t="n"/>
      <c r="L124" s="3900" t="n"/>
      <c r="M124" s="3900" t="n"/>
      <c r="N124" s="3900" t="n"/>
      <c r="O124" s="3900" t="n"/>
      <c r="P124" s="3900" t="n"/>
      <c r="Q124" s="4200" t="n"/>
      <c r="R124" s="3900" t="n"/>
      <c r="S124" s="3900" t="n"/>
      <c r="T124" s="3900" t="n"/>
      <c r="U124" s="3900" t="n"/>
      <c r="V124" s="3900" t="n"/>
      <c r="W124" s="3900" t="n"/>
      <c r="X124" s="3900" t="n"/>
      <c r="Y124" s="3900" t="n"/>
      <c r="Z124" s="3900" t="n"/>
      <c r="AA124" s="3900" t="n"/>
      <c r="AB124" s="3900" t="n"/>
      <c r="AC124" s="4200" t="n"/>
      <c r="AD124" s="3900" t="n"/>
      <c r="AE124" s="3900" t="n"/>
      <c r="AF124" s="3900" t="n"/>
      <c r="AG124" s="3900" t="n"/>
      <c r="AH124" s="3900" t="n"/>
      <c r="AI124" s="3900" t="n"/>
      <c r="AJ124" s="3900" t="n"/>
      <c r="AK124" s="3900" t="n"/>
      <c r="AL124" s="3900" t="n"/>
      <c r="AM124" s="3900" t="n"/>
      <c r="AN124" s="3900" t="n"/>
      <c r="AO124" s="4200" t="n"/>
      <c r="AP124" s="3900" t="n"/>
      <c r="AQ124" s="3900" t="n"/>
      <c r="AR124" s="3900" t="n"/>
      <c r="AS124" s="3900" t="n"/>
      <c r="AT124" s="3900" t="n"/>
      <c r="AU124" s="4201" t="n"/>
      <c r="AV124" s="3900" t="n"/>
      <c r="AW124" s="3900" t="n"/>
      <c r="AX124" s="3900" t="n"/>
      <c r="AY124" s="3900" t="n"/>
      <c r="AZ124" s="3900" t="n"/>
      <c r="BA124" s="3743" t="n"/>
      <c r="BB124" s="3900" t="n"/>
    </row>
    <row r="125" hidden="1" outlineLevel="3" ht="12" customFormat="1" customHeight="1" s="3743">
      <c r="A125" s="4165" t="n"/>
      <c r="B125" s="3891" t="n"/>
      <c r="C125" s="4218" t="inlineStr">
        <is>
          <t>Rrsp contribution liability- - sunlife</t>
        </is>
      </c>
      <c r="D125" s="3902" t="n">
        <v>205630</v>
      </c>
      <c r="E125" s="3902" t="inlineStr">
        <is>
          <t>205630 - RRSP Contribution Liability- - SunLife</t>
        </is>
      </c>
      <c r="F125" s="4250" t="n"/>
      <c r="G125" s="3900" t="n"/>
      <c r="H125" s="3900" t="n"/>
      <c r="I125" s="3900" t="n"/>
      <c r="J125" s="3900" t="n"/>
      <c r="K125" s="3900" t="n"/>
      <c r="L125" s="3900" t="n"/>
      <c r="M125" s="3900" t="n"/>
      <c r="N125" s="3900" t="n"/>
      <c r="O125" s="3900" t="n"/>
      <c r="P125" s="3900" t="n"/>
      <c r="Q125" s="4200" t="n"/>
      <c r="R125" s="3900" t="n"/>
      <c r="S125" s="3900" t="n"/>
      <c r="T125" s="3900" t="n"/>
      <c r="U125" s="3900" t="n"/>
      <c r="V125" s="3900" t="n"/>
      <c r="W125" s="3900" t="n"/>
      <c r="X125" s="3900" t="n"/>
      <c r="Y125" s="3900" t="n"/>
      <c r="Z125" s="3900" t="n"/>
      <c r="AA125" s="3900" t="n"/>
      <c r="AB125" s="3900" t="n"/>
      <c r="AC125" s="4200" t="n"/>
      <c r="AD125" s="3900" t="n"/>
      <c r="AE125" s="3900" t="n"/>
      <c r="AF125" s="3900" t="n"/>
      <c r="AG125" s="3900" t="n"/>
      <c r="AH125" s="3900" t="n"/>
      <c r="AI125" s="3900" t="n"/>
      <c r="AJ125" s="3900" t="n"/>
      <c r="AK125" s="3900" t="n"/>
      <c r="AL125" s="3900" t="n"/>
      <c r="AM125" s="3900" t="n"/>
      <c r="AN125" s="3900" t="n"/>
      <c r="AO125" s="4200" t="n"/>
      <c r="AP125" s="3900" t="n"/>
      <c r="AQ125" s="3900" t="n"/>
      <c r="AR125" s="3900" t="n"/>
      <c r="AS125" s="3900" t="n"/>
      <c r="AT125" s="3900" t="n"/>
      <c r="AU125" s="4201" t="n"/>
      <c r="AV125" s="3900" t="n"/>
      <c r="AW125" s="3900" t="n"/>
      <c r="AX125" s="3900" t="n"/>
      <c r="AY125" s="3900" t="n"/>
      <c r="AZ125" s="3900" t="n"/>
      <c r="BA125" s="3743" t="n"/>
      <c r="BB125" s="3900" t="n"/>
    </row>
    <row r="126" hidden="1" outlineLevel="3" ht="12" customFormat="1" customHeight="1" s="3743">
      <c r="A126" s="4165" t="n"/>
      <c r="B126" s="3891" t="n"/>
      <c r="C126" s="4218" t="inlineStr">
        <is>
          <t>Canada pension plan payable</t>
        </is>
      </c>
      <c r="D126" s="3902" t="n">
        <v>205621</v>
      </c>
      <c r="E126" s="3902" t="inlineStr">
        <is>
          <t>205621 - Canada Pension Plan Payable</t>
        </is>
      </c>
      <c r="F126" s="4250" t="n"/>
      <c r="G126" s="3900" t="n"/>
      <c r="H126" s="3900" t="n"/>
      <c r="I126" s="3900" t="n"/>
      <c r="J126" s="3900" t="n"/>
      <c r="K126" s="3900" t="n"/>
      <c r="L126" s="3900" t="n"/>
      <c r="M126" s="3900" t="n"/>
      <c r="N126" s="3900" t="n"/>
      <c r="O126" s="3900" t="n"/>
      <c r="P126" s="3900" t="n"/>
      <c r="Q126" s="4200" t="n"/>
      <c r="R126" s="3900" t="n"/>
      <c r="S126" s="3900" t="n"/>
      <c r="T126" s="3900" t="n"/>
      <c r="U126" s="3900" t="n"/>
      <c r="V126" s="3900" t="n"/>
      <c r="W126" s="3900" t="n"/>
      <c r="X126" s="3900" t="n"/>
      <c r="Y126" s="3900" t="n"/>
      <c r="Z126" s="3900" t="n"/>
      <c r="AA126" s="3900" t="n"/>
      <c r="AB126" s="3900" t="n"/>
      <c r="AC126" s="4200" t="n"/>
      <c r="AD126" s="3900" t="n"/>
      <c r="AE126" s="3900" t="n"/>
      <c r="AF126" s="3900" t="n"/>
      <c r="AG126" s="3900" t="n"/>
      <c r="AH126" s="3900" t="n"/>
      <c r="AI126" s="3900" t="n"/>
      <c r="AJ126" s="3900" t="n"/>
      <c r="AK126" s="3900" t="n"/>
      <c r="AL126" s="3900" t="n"/>
      <c r="AM126" s="3900" t="n"/>
      <c r="AN126" s="3900" t="n"/>
      <c r="AO126" s="4200" t="n"/>
      <c r="AP126" s="3900" t="n"/>
      <c r="AQ126" s="3900" t="n"/>
      <c r="AR126" s="3900" t="n"/>
      <c r="AS126" s="3900" t="n"/>
      <c r="AT126" s="3900" t="n"/>
      <c r="AU126" s="4201" t="n"/>
      <c r="AV126" s="3900" t="n"/>
      <c r="AW126" s="3900" t="n"/>
      <c r="AX126" s="3900" t="n"/>
      <c r="AY126" s="3900" t="n"/>
      <c r="AZ126" s="3900" t="n"/>
      <c r="BA126" s="3743" t="n"/>
      <c r="BB126" s="3900" t="n"/>
    </row>
    <row r="127" hidden="1" outlineLevel="3" ht="12" customFormat="1" customHeight="1" s="3743">
      <c r="A127" s="4165" t="n"/>
      <c r="B127" s="3891" t="n"/>
      <c r="C127" s="4218" t="inlineStr">
        <is>
          <t>Employee govt garnishments payable</t>
        </is>
      </c>
      <c r="D127" s="3902" t="n">
        <v>205699</v>
      </c>
      <c r="E127" s="3902" t="inlineStr">
        <is>
          <t>205699 - -Employee Govt Garnishments Payable</t>
        </is>
      </c>
      <c r="F127" s="4250" t="n"/>
      <c r="G127" s="3900" t="n"/>
      <c r="H127" s="3900" t="n"/>
      <c r="I127" s="3900" t="n"/>
      <c r="J127" s="3900" t="n"/>
      <c r="K127" s="3900" t="n"/>
      <c r="L127" s="3900" t="n"/>
      <c r="M127" s="3900" t="n"/>
      <c r="N127" s="3900" t="n"/>
      <c r="O127" s="3900" t="n"/>
      <c r="P127" s="3900" t="n"/>
      <c r="Q127" s="4200" t="n"/>
      <c r="R127" s="3900" t="n"/>
      <c r="S127" s="3900" t="n"/>
      <c r="T127" s="3900" t="n"/>
      <c r="U127" s="3900" t="n"/>
      <c r="V127" s="3900" t="n"/>
      <c r="W127" s="3900" t="n"/>
      <c r="X127" s="3900" t="n"/>
      <c r="Y127" s="3900" t="n"/>
      <c r="Z127" s="3900" t="n"/>
      <c r="AA127" s="3900" t="n"/>
      <c r="AB127" s="3900" t="n"/>
      <c r="AC127" s="4200" t="n"/>
      <c r="AD127" s="3900" t="n"/>
      <c r="AE127" s="3900" t="n"/>
      <c r="AF127" s="3900" t="n"/>
      <c r="AG127" s="3900" t="n"/>
      <c r="AH127" s="3900" t="n"/>
      <c r="AI127" s="3900" t="n"/>
      <c r="AJ127" s="3900" t="n"/>
      <c r="AK127" s="3900" t="n"/>
      <c r="AL127" s="3900" t="n"/>
      <c r="AM127" s="3900" t="n"/>
      <c r="AN127" s="3900" t="n"/>
      <c r="AO127" s="4200" t="n"/>
      <c r="AP127" s="3900" t="n"/>
      <c r="AQ127" s="3900" t="n"/>
      <c r="AR127" s="3900" t="n"/>
      <c r="AS127" s="3900" t="n"/>
      <c r="AT127" s="3900" t="n"/>
      <c r="AU127" s="4201" t="n"/>
      <c r="AV127" s="3900" t="n"/>
      <c r="AW127" s="3900" t="n"/>
      <c r="AX127" s="3900" t="n"/>
      <c r="AY127" s="3900" t="n"/>
      <c r="AZ127" s="3900" t="n"/>
      <c r="BA127" s="3743" t="n"/>
      <c r="BB127" s="3900" t="n"/>
    </row>
    <row r="128" hidden="1" outlineLevel="3" ht="12" customFormat="1" customHeight="1" s="3743">
      <c r="A128" s="4165" t="n"/>
      <c r="B128" s="3891" t="n"/>
      <c r="C128" s="4218" t="inlineStr">
        <is>
          <t>Payroll clearing account</t>
        </is>
      </c>
      <c r="D128" s="3902" t="n">
        <v>205199</v>
      </c>
      <c r="E128" s="3902" t="inlineStr">
        <is>
          <t>205199 - Payroll Clearing Account</t>
        </is>
      </c>
      <c r="F128" s="4250" t="n"/>
      <c r="G128" s="3900" t="n"/>
      <c r="H128" s="3900" t="n"/>
      <c r="I128" s="3900" t="n"/>
      <c r="J128" s="3900" t="n"/>
      <c r="K128" s="3900" t="n"/>
      <c r="L128" s="3900" t="n"/>
      <c r="M128" s="3900" t="n"/>
      <c r="N128" s="3900" t="n"/>
      <c r="O128" s="3900" t="n"/>
      <c r="P128" s="3900" t="n"/>
      <c r="Q128" s="4200" t="n"/>
      <c r="R128" s="3900" t="n"/>
      <c r="S128" s="3900" t="n"/>
      <c r="T128" s="3900" t="n"/>
      <c r="U128" s="3900" t="n"/>
      <c r="V128" s="3900" t="n"/>
      <c r="W128" s="3900" t="n"/>
      <c r="X128" s="3900" t="n"/>
      <c r="Y128" s="3900" t="n"/>
      <c r="Z128" s="3900" t="n"/>
      <c r="AA128" s="3900" t="n"/>
      <c r="AB128" s="3900" t="n"/>
      <c r="AC128" s="4200" t="n"/>
      <c r="AD128" s="3900" t="n"/>
      <c r="AE128" s="3900" t="n"/>
      <c r="AF128" s="3900" t="n"/>
      <c r="AG128" s="3900" t="n"/>
      <c r="AH128" s="3900" t="n"/>
      <c r="AI128" s="3900" t="n"/>
      <c r="AJ128" s="3900" t="n"/>
      <c r="AK128" s="3900" t="n"/>
      <c r="AL128" s="3900" t="n"/>
      <c r="AM128" s="3900" t="n"/>
      <c r="AN128" s="3900" t="n"/>
      <c r="AO128" s="4200" t="n"/>
      <c r="AP128" s="3900" t="n"/>
      <c r="AQ128" s="3900" t="n"/>
      <c r="AR128" s="3900" t="n"/>
      <c r="AS128" s="3900" t="n"/>
      <c r="AT128" s="3900" t="n"/>
      <c r="AU128" s="4201" t="n"/>
      <c r="AV128" s="3900" t="n"/>
      <c r="AW128" s="3900" t="n"/>
      <c r="AX128" s="3900" t="n"/>
      <c r="AY128" s="3900" t="n"/>
      <c r="AZ128" s="3900" t="n"/>
      <c r="BA128" s="3743" t="n"/>
      <c r="BB128" s="3900" t="n"/>
    </row>
    <row r="129" hidden="1" outlineLevel="3" ht="12" customFormat="1" customHeight="1" s="3743">
      <c r="A129" s="4165" t="n"/>
      <c r="B129" s="3891" t="n"/>
      <c r="C129" s="4218" t="inlineStr">
        <is>
          <t>Canadian employer health</t>
        </is>
      </c>
      <c r="D129" s="3902" t="n">
        <v>205623</v>
      </c>
      <c r="E129" s="3902" t="inlineStr">
        <is>
          <t>205623 - Canadian Employer Health(EHT</t>
        </is>
      </c>
      <c r="F129" s="4250" t="n"/>
      <c r="G129" s="3900" t="n"/>
      <c r="H129" s="3900" t="n"/>
      <c r="I129" s="3900" t="n"/>
      <c r="J129" s="3900" t="n"/>
      <c r="K129" s="3900" t="n"/>
      <c r="L129" s="3900" t="n"/>
      <c r="M129" s="3900" t="n"/>
      <c r="N129" s="3900" t="n"/>
      <c r="O129" s="3900" t="n"/>
      <c r="P129" s="3900" t="n"/>
      <c r="Q129" s="4200" t="n"/>
      <c r="R129" s="3900" t="n"/>
      <c r="S129" s="3900" t="n"/>
      <c r="T129" s="3900" t="n"/>
      <c r="U129" s="3900" t="n"/>
      <c r="V129" s="3900" t="n"/>
      <c r="W129" s="3900" t="n"/>
      <c r="X129" s="3900" t="n"/>
      <c r="Y129" s="3900" t="n"/>
      <c r="Z129" s="3900" t="n"/>
      <c r="AA129" s="3900" t="n"/>
      <c r="AB129" s="3900" t="n"/>
      <c r="AC129" s="4200" t="n"/>
      <c r="AD129" s="3900" t="n"/>
      <c r="AE129" s="3900" t="n"/>
      <c r="AF129" s="3900" t="n"/>
      <c r="AG129" s="3900" t="n"/>
      <c r="AH129" s="3900" t="n"/>
      <c r="AI129" s="3900" t="n"/>
      <c r="AJ129" s="3900" t="n"/>
      <c r="AK129" s="3900" t="n"/>
      <c r="AL129" s="3900" t="n"/>
      <c r="AM129" s="3900" t="n"/>
      <c r="AN129" s="3900" t="n"/>
      <c r="AO129" s="4200" t="n"/>
      <c r="AP129" s="3900" t="n"/>
      <c r="AQ129" s="3900" t="n"/>
      <c r="AR129" s="3900" t="n"/>
      <c r="AS129" s="3900" t="n"/>
      <c r="AT129" s="3900" t="n"/>
      <c r="AU129" s="4201" t="n"/>
      <c r="AV129" s="3900" t="n"/>
      <c r="AW129" s="3900" t="n"/>
      <c r="AX129" s="3900" t="n"/>
      <c r="AY129" s="3900" t="n"/>
      <c r="AZ129" s="3900" t="n"/>
      <c r="BA129" s="3743" t="n"/>
      <c r="BB129" s="3900" t="n"/>
    </row>
    <row r="130" hidden="1" outlineLevel="3" ht="12" customFormat="1" customHeight="1" s="3743">
      <c r="A130" s="4165" t="n"/>
      <c r="B130" s="3891" t="n"/>
      <c r="C130" s="4218" t="inlineStr">
        <is>
          <t>Canadian employment ins (EI)</t>
        </is>
      </c>
      <c r="D130" s="3902" t="n">
        <v>205622</v>
      </c>
      <c r="E130" s="3902" t="inlineStr">
        <is>
          <t>205622 - Canadian Employment Ins (EI)</t>
        </is>
      </c>
      <c r="F130" s="4250" t="n"/>
      <c r="G130" s="3900" t="n"/>
      <c r="H130" s="3900" t="n"/>
      <c r="I130" s="3900" t="n"/>
      <c r="J130" s="3900" t="n"/>
      <c r="K130" s="3900" t="n"/>
      <c r="L130" s="3900" t="n"/>
      <c r="M130" s="3900" t="n"/>
      <c r="N130" s="3900" t="n"/>
      <c r="O130" s="3900" t="n"/>
      <c r="P130" s="3900" t="n"/>
      <c r="Q130" s="4200" t="n"/>
      <c r="R130" s="3900" t="n"/>
      <c r="S130" s="3900" t="n"/>
      <c r="T130" s="3900" t="n"/>
      <c r="U130" s="3900" t="n"/>
      <c r="V130" s="3900" t="n"/>
      <c r="W130" s="3900" t="n"/>
      <c r="X130" s="3900" t="n"/>
      <c r="Y130" s="3900" t="n"/>
      <c r="Z130" s="3900" t="n"/>
      <c r="AA130" s="3900" t="n"/>
      <c r="AB130" s="3900" t="n"/>
      <c r="AC130" s="4200" t="n"/>
      <c r="AD130" s="3900" t="n"/>
      <c r="AE130" s="3900" t="n"/>
      <c r="AF130" s="3900" t="n"/>
      <c r="AG130" s="3900" t="n"/>
      <c r="AH130" s="3900" t="n"/>
      <c r="AI130" s="3900" t="n"/>
      <c r="AJ130" s="3900" t="n"/>
      <c r="AK130" s="3900" t="n"/>
      <c r="AL130" s="3900" t="n"/>
      <c r="AM130" s="3900" t="n"/>
      <c r="AN130" s="3900" t="n"/>
      <c r="AO130" s="4200" t="n"/>
      <c r="AP130" s="3900" t="n"/>
      <c r="AQ130" s="3900" t="n"/>
      <c r="AR130" s="3900" t="n"/>
      <c r="AS130" s="3900" t="n"/>
      <c r="AT130" s="3900" t="n"/>
      <c r="AU130" s="4201" t="n"/>
      <c r="AV130" s="3900" t="n"/>
      <c r="AW130" s="3900" t="n"/>
      <c r="AX130" s="3900" t="n"/>
      <c r="AY130" s="3900" t="n"/>
      <c r="AZ130" s="3900" t="n"/>
      <c r="BA130" s="3743" t="n"/>
      <c r="BB130" s="3900" t="n"/>
    </row>
    <row r="131" hidden="1" outlineLevel="3" ht="12" customFormat="1" customHeight="1" s="3743">
      <c r="A131" s="4165" t="n"/>
      <c r="B131" s="3891" t="n"/>
      <c r="C131" s="4218" t="inlineStr">
        <is>
          <t>AD&amp;D</t>
        </is>
      </c>
      <c r="D131" s="3902" t="n">
        <v>205202</v>
      </c>
      <c r="E131" s="3902" t="inlineStr">
        <is>
          <t>205202 - AD&amp;D</t>
        </is>
      </c>
      <c r="F131" s="4250" t="n"/>
      <c r="G131" s="3900" t="n"/>
      <c r="H131" s="3900" t="n"/>
      <c r="I131" s="3900" t="n"/>
      <c r="J131" s="3900" t="n"/>
      <c r="K131" s="3900" t="n"/>
      <c r="L131" s="3900" t="n"/>
      <c r="M131" s="3900" t="n"/>
      <c r="N131" s="3900" t="n"/>
      <c r="O131" s="3900" t="n"/>
      <c r="P131" s="3900" t="n"/>
      <c r="Q131" s="4200" t="n"/>
      <c r="R131" s="3900" t="n"/>
      <c r="S131" s="3900" t="n"/>
      <c r="T131" s="3900" t="n"/>
      <c r="U131" s="3900" t="n"/>
      <c r="V131" s="3900" t="n"/>
      <c r="W131" s="3900" t="n"/>
      <c r="X131" s="3900" t="n"/>
      <c r="Y131" s="3900" t="n"/>
      <c r="Z131" s="3900" t="n"/>
      <c r="AA131" s="3900" t="n"/>
      <c r="AB131" s="3900" t="n"/>
      <c r="AC131" s="4200" t="n"/>
      <c r="AD131" s="3900" t="n"/>
      <c r="AE131" s="3900" t="n"/>
      <c r="AF131" s="3900" t="n"/>
      <c r="AG131" s="3900" t="n"/>
      <c r="AH131" s="3900" t="n"/>
      <c r="AI131" s="3900" t="n"/>
      <c r="AJ131" s="3900" t="n"/>
      <c r="AK131" s="3900" t="n"/>
      <c r="AL131" s="3900" t="n"/>
      <c r="AM131" s="3900" t="n"/>
      <c r="AN131" s="3900" t="n"/>
      <c r="AO131" s="4200" t="n"/>
      <c r="AP131" s="3900" t="n"/>
      <c r="AQ131" s="3900" t="n"/>
      <c r="AR131" s="3900" t="n"/>
      <c r="AS131" s="3900" t="n"/>
      <c r="AT131" s="3900" t="n"/>
      <c r="AU131" s="4201" t="n"/>
      <c r="AV131" s="3900" t="n"/>
      <c r="AW131" s="3900" t="n"/>
      <c r="AX131" s="3900" t="n"/>
      <c r="AY131" s="3900" t="n"/>
      <c r="AZ131" s="3900" t="n"/>
      <c r="BA131" s="3743" t="n"/>
      <c r="BB131" s="3900" t="n"/>
    </row>
    <row r="132" hidden="1" outlineLevel="3" ht="12" customFormat="1" customHeight="1" s="3743">
      <c r="A132" s="4165" t="n"/>
      <c r="B132" s="3891" t="n"/>
      <c r="C132" s="4218" t="inlineStr">
        <is>
          <t>Cooperative employee css pension</t>
        </is>
      </c>
      <c r="D132" s="3902" t="n">
        <v>205624</v>
      </c>
      <c r="E132" s="3902" t="inlineStr">
        <is>
          <t>205624 - Cooperative Employee CSS Pension</t>
        </is>
      </c>
      <c r="F132" s="4250" t="n"/>
      <c r="G132" s="3900" t="n"/>
      <c r="H132" s="3900" t="n"/>
      <c r="I132" s="3900" t="n"/>
      <c r="J132" s="3900" t="n"/>
      <c r="K132" s="3900" t="n"/>
      <c r="L132" s="3900" t="n"/>
      <c r="M132" s="3900" t="n"/>
      <c r="N132" s="3900" t="n"/>
      <c r="O132" s="3900" t="n"/>
      <c r="P132" s="3900" t="n"/>
      <c r="Q132" s="4200" t="n"/>
      <c r="R132" s="3900" t="n"/>
      <c r="S132" s="3900" t="n"/>
      <c r="T132" s="3900" t="n"/>
      <c r="U132" s="3900" t="n"/>
      <c r="V132" s="3900" t="n"/>
      <c r="W132" s="3900" t="n"/>
      <c r="X132" s="3900" t="n"/>
      <c r="Y132" s="3900" t="n"/>
      <c r="Z132" s="3900" t="n"/>
      <c r="AA132" s="3900" t="n"/>
      <c r="AB132" s="3900" t="n"/>
      <c r="AC132" s="4200" t="n"/>
      <c r="AD132" s="3900" t="n"/>
      <c r="AE132" s="3900" t="n"/>
      <c r="AF132" s="3900" t="n"/>
      <c r="AG132" s="3900" t="n"/>
      <c r="AH132" s="3900" t="n"/>
      <c r="AI132" s="3900" t="n"/>
      <c r="AJ132" s="3900" t="n"/>
      <c r="AK132" s="3900" t="n"/>
      <c r="AL132" s="3900" t="n"/>
      <c r="AM132" s="3900" t="n"/>
      <c r="AN132" s="3900" t="n"/>
      <c r="AO132" s="4200" t="n"/>
      <c r="AP132" s="3900" t="n"/>
      <c r="AQ132" s="3900" t="n"/>
      <c r="AR132" s="3900" t="n"/>
      <c r="AS132" s="3900" t="n"/>
      <c r="AT132" s="3900" t="n"/>
      <c r="AU132" s="4201" t="n"/>
      <c r="AV132" s="3900" t="n"/>
      <c r="AW132" s="3900" t="n"/>
      <c r="AX132" s="3900" t="n"/>
      <c r="AY132" s="3900" t="n"/>
      <c r="AZ132" s="3900" t="n"/>
      <c r="BA132" s="3743" t="n"/>
      <c r="BB132" s="3900" t="n"/>
    </row>
    <row r="133" hidden="1" outlineLevel="3" ht="12" customFormat="1" customHeight="1" s="3743">
      <c r="A133" s="4165" t="n"/>
      <c r="B133" s="3891" t="n"/>
      <c r="C133" s="4218" t="inlineStr">
        <is>
          <t>Medical insurance</t>
        </is>
      </c>
      <c r="D133" s="3902" t="n">
        <v>205301</v>
      </c>
      <c r="E133" s="3902" t="inlineStr">
        <is>
          <t>205301 - Medical Insurance</t>
        </is>
      </c>
      <c r="F133" s="4250" t="n"/>
      <c r="G133" s="3900" t="n"/>
      <c r="H133" s="3900" t="n"/>
      <c r="I133" s="3900" t="n"/>
      <c r="J133" s="3900" t="n"/>
      <c r="K133" s="3900" t="n"/>
      <c r="L133" s="3900" t="n"/>
      <c r="M133" s="3900" t="n"/>
      <c r="N133" s="3900" t="n"/>
      <c r="O133" s="3900" t="n"/>
      <c r="P133" s="3900" t="n"/>
      <c r="Q133" s="4200" t="n"/>
      <c r="R133" s="3900" t="n"/>
      <c r="S133" s="3900" t="n"/>
      <c r="T133" s="3900" t="n"/>
      <c r="U133" s="3900" t="n"/>
      <c r="V133" s="3900" t="n"/>
      <c r="W133" s="3900" t="n"/>
      <c r="X133" s="3900" t="n"/>
      <c r="Y133" s="3900" t="n"/>
      <c r="Z133" s="3900" t="n"/>
      <c r="AA133" s="3900" t="n"/>
      <c r="AB133" s="3900" t="n"/>
      <c r="AC133" s="4200" t="n"/>
      <c r="AD133" s="3900" t="n"/>
      <c r="AE133" s="3900" t="n"/>
      <c r="AF133" s="3900" t="n"/>
      <c r="AG133" s="3900" t="n"/>
      <c r="AH133" s="3900" t="n"/>
      <c r="AI133" s="3900" t="n"/>
      <c r="AJ133" s="3900" t="n"/>
      <c r="AK133" s="3900" t="n"/>
      <c r="AL133" s="3900" t="n"/>
      <c r="AM133" s="3900" t="n"/>
      <c r="AN133" s="3900" t="n"/>
      <c r="AO133" s="4200" t="n"/>
      <c r="AP133" s="3900" t="n"/>
      <c r="AQ133" s="3900" t="n"/>
      <c r="AR133" s="3900" t="n"/>
      <c r="AS133" s="3900" t="n"/>
      <c r="AT133" s="3900" t="n"/>
      <c r="AU133" s="4201" t="n"/>
      <c r="AV133" s="3900" t="n"/>
      <c r="AW133" s="3900" t="n"/>
      <c r="AX133" s="3900" t="n"/>
      <c r="AY133" s="3900" t="n"/>
      <c r="AZ133" s="3900" t="n"/>
      <c r="BA133" s="3743" t="n"/>
      <c r="BB133" s="3900" t="n"/>
    </row>
    <row r="134" hidden="1" outlineLevel="3" ht="12" customFormat="1" customHeight="1" s="3743">
      <c r="A134" s="4165" t="n"/>
      <c r="B134" s="3891" t="n"/>
      <c r="C134" s="4218" t="inlineStr">
        <is>
          <t>Long term disability insurance</t>
        </is>
      </c>
      <c r="D134" s="3902" t="n">
        <v>205208</v>
      </c>
      <c r="E134" s="3902" t="inlineStr">
        <is>
          <t>205208 - Long Term Disability Insurance</t>
        </is>
      </c>
      <c r="F134" s="4250" t="n"/>
      <c r="G134" s="3900" t="n"/>
      <c r="H134" s="3900" t="n"/>
      <c r="I134" s="3900" t="n"/>
      <c r="J134" s="3900" t="n"/>
      <c r="K134" s="3900" t="n"/>
      <c r="L134" s="3900" t="n"/>
      <c r="M134" s="3900" t="n"/>
      <c r="N134" s="3900" t="n"/>
      <c r="O134" s="3900" t="n"/>
      <c r="P134" s="3900" t="n"/>
      <c r="Q134" s="4200" t="n"/>
      <c r="R134" s="3900" t="n"/>
      <c r="S134" s="3900" t="n"/>
      <c r="T134" s="3900" t="n"/>
      <c r="U134" s="3900" t="n"/>
      <c r="V134" s="3900" t="n"/>
      <c r="W134" s="3900" t="n"/>
      <c r="X134" s="3900" t="n"/>
      <c r="Y134" s="3900" t="n"/>
      <c r="Z134" s="3900" t="n"/>
      <c r="AA134" s="3900" t="n"/>
      <c r="AB134" s="3900" t="n"/>
      <c r="AC134" s="4200" t="n"/>
      <c r="AD134" s="3900" t="n"/>
      <c r="AE134" s="3900" t="n"/>
      <c r="AF134" s="3900" t="n"/>
      <c r="AG134" s="3900" t="n"/>
      <c r="AH134" s="3900" t="n"/>
      <c r="AI134" s="3900" t="n"/>
      <c r="AJ134" s="3900" t="n"/>
      <c r="AK134" s="3900" t="n"/>
      <c r="AL134" s="3900" t="n"/>
      <c r="AM134" s="3900" t="n"/>
      <c r="AN134" s="3900" t="n"/>
      <c r="AO134" s="4200" t="n"/>
      <c r="AP134" s="3900" t="n"/>
      <c r="AQ134" s="3900" t="n"/>
      <c r="AR134" s="3900" t="n"/>
      <c r="AS134" s="3900" t="n"/>
      <c r="AT134" s="3900" t="n"/>
      <c r="AU134" s="4201" t="n"/>
      <c r="AV134" s="3900" t="n"/>
      <c r="AW134" s="3900" t="n"/>
      <c r="AX134" s="3900" t="n"/>
      <c r="AY134" s="3900" t="n"/>
      <c r="AZ134" s="3900" t="n"/>
      <c r="BA134" s="3743" t="n"/>
      <c r="BB134" s="3900" t="n"/>
    </row>
    <row r="135" hidden="1" outlineLevel="3" ht="12" customFormat="1" customHeight="1" s="3743">
      <c r="A135" s="4165" t="n"/>
      <c r="B135" s="3891" t="n"/>
      <c r="C135" s="4219" t="inlineStr">
        <is>
          <t>Dental insurance</t>
        </is>
      </c>
      <c r="D135" s="4204" t="n">
        <v>205321</v>
      </c>
      <c r="E135" s="4204" t="inlineStr">
        <is>
          <t>205321 - Dental Insurance</t>
        </is>
      </c>
      <c r="F135" s="4249" t="n"/>
      <c r="G135" s="4205" t="n"/>
      <c r="H135" s="4205" t="n"/>
      <c r="I135" s="4205" t="n"/>
      <c r="J135" s="4205" t="n"/>
      <c r="K135" s="4205" t="n"/>
      <c r="L135" s="4205" t="n"/>
      <c r="M135" s="4205" t="n"/>
      <c r="N135" s="4205" t="n"/>
      <c r="O135" s="4205" t="n"/>
      <c r="P135" s="4205" t="n"/>
      <c r="Q135" s="4206" t="n"/>
      <c r="R135" s="4205" t="n"/>
      <c r="S135" s="4205" t="n"/>
      <c r="T135" s="4205" t="n"/>
      <c r="U135" s="4205" t="n"/>
      <c r="V135" s="4205" t="n"/>
      <c r="W135" s="4205" t="n"/>
      <c r="X135" s="4205" t="n"/>
      <c r="Y135" s="4205" t="n"/>
      <c r="Z135" s="4205" t="n"/>
      <c r="AA135" s="4205" t="n"/>
      <c r="AB135" s="4205" t="n"/>
      <c r="AC135" s="4206" t="n"/>
      <c r="AD135" s="4205" t="n"/>
      <c r="AE135" s="4205" t="n"/>
      <c r="AF135" s="4205" t="n"/>
      <c r="AG135" s="4205" t="n"/>
      <c r="AH135" s="4205" t="n"/>
      <c r="AI135" s="4205" t="n"/>
      <c r="AJ135" s="4205" t="n"/>
      <c r="AK135" s="4205" t="n"/>
      <c r="AL135" s="4205" t="n"/>
      <c r="AM135" s="4205" t="n"/>
      <c r="AN135" s="4205" t="n"/>
      <c r="AO135" s="4206" t="n"/>
      <c r="AP135" s="4205" t="n"/>
      <c r="AQ135" s="4205" t="n"/>
      <c r="AR135" s="4205" t="n"/>
      <c r="AS135" s="4205" t="n"/>
      <c r="AT135" s="4205" t="n"/>
      <c r="AU135" s="4207" t="n"/>
      <c r="AV135" s="4205" t="n"/>
      <c r="AW135" s="4205" t="n"/>
      <c r="AX135" s="4205" t="n"/>
      <c r="AY135" s="4205" t="n"/>
      <c r="AZ135" s="4205" t="n"/>
      <c r="BA135" s="3743" t="n"/>
      <c r="BB135" s="4205" t="n"/>
    </row>
    <row r="136" hidden="1" outlineLevel="2" collapsed="1" ht="12" customHeight="1" s="3710">
      <c r="C136" s="4092" t="inlineStr">
        <is>
          <t xml:space="preserve">Payroll benefits taxes payable &amp; accrued </t>
        </is>
      </c>
      <c r="D136" s="4092" t="n"/>
      <c r="E136" s="4092" t="n"/>
      <c r="F136" s="4243" t="n"/>
      <c r="G136" s="4094" t="n"/>
      <c r="H136" s="4094" t="n"/>
      <c r="I136" s="4094" t="n"/>
      <c r="J136" s="4094" t="n"/>
      <c r="K136" s="4094" t="n"/>
      <c r="L136" s="4094" t="n"/>
      <c r="M136" s="4094" t="n"/>
      <c r="N136" s="4094" t="n"/>
      <c r="O136" s="4094" t="n"/>
      <c r="P136" s="4094" t="n"/>
      <c r="Q136" s="4095" t="n"/>
      <c r="R136" s="4094" t="n"/>
      <c r="S136" s="4094" t="n"/>
      <c r="T136" s="4094" t="n"/>
      <c r="U136" s="4094" t="n"/>
      <c r="V136" s="4094" t="n"/>
      <c r="W136" s="4094" t="n"/>
      <c r="X136" s="4094" t="n"/>
      <c r="Y136" s="4094" t="n"/>
      <c r="Z136" s="4094" t="n"/>
      <c r="AA136" s="4094" t="n"/>
      <c r="AB136" s="4094" t="n"/>
      <c r="AC136" s="4095" t="n"/>
      <c r="AD136" s="4094" t="n"/>
      <c r="AE136" s="4094" t="n"/>
      <c r="AF136" s="4094" t="n"/>
      <c r="AG136" s="4094" t="n"/>
      <c r="AH136" s="4094" t="n"/>
      <c r="AI136" s="4094" t="n"/>
      <c r="AJ136" s="4094" t="n"/>
      <c r="AK136" s="4094" t="n"/>
      <c r="AL136" s="4094" t="n"/>
      <c r="AM136" s="4094" t="n"/>
      <c r="AN136" s="4094" t="n"/>
      <c r="AO136" s="4095" t="n"/>
      <c r="AP136" s="4094" t="n"/>
      <c r="AQ136" s="4094" t="n"/>
      <c r="AR136" s="4094" t="n"/>
      <c r="AS136" s="4094" t="n"/>
      <c r="AT136" s="4094" t="n"/>
      <c r="AU136" s="4096" t="n"/>
      <c r="AV136" s="4094" t="n"/>
      <c r="AW136" s="4094" t="n"/>
      <c r="AX136" s="4094" t="n"/>
      <c r="AY136" s="4094" t="n"/>
      <c r="AZ136" s="4094" t="n"/>
      <c r="BA136" s="3737" t="n"/>
      <c r="BB136" s="4094" t="n"/>
    </row>
    <row r="137" hidden="1" outlineLevel="3" ht="12" customFormat="1" customHeight="1" s="3743">
      <c r="A137" s="4165" t="n"/>
      <c r="B137" s="3891" t="n"/>
      <c r="C137" s="4218" t="inlineStr">
        <is>
          <t>Current income tax liability-federal and prov</t>
        </is>
      </c>
      <c r="D137" s="3902" t="n">
        <v>209101</v>
      </c>
      <c r="E137" s="3902" t="inlineStr">
        <is>
          <t>209101 - -Current Income Tax Liability-Federal and Prov</t>
        </is>
      </c>
      <c r="F137" s="4250" t="n"/>
      <c r="G137" s="3900" t="n"/>
      <c r="H137" s="3900" t="n"/>
      <c r="I137" s="3900" t="n"/>
      <c r="J137" s="3900" t="n"/>
      <c r="K137" s="3900" t="n"/>
      <c r="L137" s="3900" t="n"/>
      <c r="M137" s="3900" t="n"/>
      <c r="N137" s="3900" t="n"/>
      <c r="O137" s="3900" t="n"/>
      <c r="P137" s="3900" t="n"/>
      <c r="Q137" s="4200" t="n"/>
      <c r="R137" s="3900" t="n"/>
      <c r="S137" s="3900" t="n"/>
      <c r="T137" s="3900" t="n"/>
      <c r="U137" s="3900" t="n"/>
      <c r="V137" s="3900" t="n"/>
      <c r="W137" s="3900" t="n"/>
      <c r="X137" s="3900" t="n"/>
      <c r="Y137" s="3900" t="n"/>
      <c r="Z137" s="3900" t="n"/>
      <c r="AA137" s="3900" t="n"/>
      <c r="AB137" s="3900" t="n"/>
      <c r="AC137" s="4200" t="n"/>
      <c r="AD137" s="3900" t="n"/>
      <c r="AE137" s="3900" t="n"/>
      <c r="AF137" s="3900" t="n"/>
      <c r="AG137" s="3900" t="n"/>
      <c r="AH137" s="3900" t="n"/>
      <c r="AI137" s="3900" t="n"/>
      <c r="AJ137" s="3900" t="n"/>
      <c r="AK137" s="3900" t="n"/>
      <c r="AL137" s="3900" t="n"/>
      <c r="AM137" s="3900" t="n"/>
      <c r="AN137" s="3900" t="n"/>
      <c r="AO137" s="4200" t="n"/>
      <c r="AP137" s="3900" t="n"/>
      <c r="AQ137" s="3900" t="n"/>
      <c r="AR137" s="3900" t="n"/>
      <c r="AS137" s="3900" t="n"/>
      <c r="AT137" s="3900" t="n"/>
      <c r="AU137" s="4201" t="n"/>
      <c r="AV137" s="3900" t="n"/>
      <c r="AW137" s="3900" t="n"/>
      <c r="AX137" s="3900" t="n"/>
      <c r="AY137" s="3900" t="n"/>
      <c r="AZ137" s="3900" t="n"/>
      <c r="BA137" s="3743" t="n"/>
      <c r="BB137" s="3900" t="n"/>
    </row>
    <row r="138" hidden="1" outlineLevel="3" ht="12" customFormat="1" customHeight="1" s="3743">
      <c r="A138" s="4165" t="n"/>
      <c r="B138" s="3891" t="n"/>
      <c r="C138" s="4219" t="inlineStr">
        <is>
          <t>Curr income tax liab IFRS adj- IFRS15</t>
        </is>
      </c>
      <c r="D138" s="4204" t="n">
        <v>209115</v>
      </c>
      <c r="E138" s="4204" t="inlineStr">
        <is>
          <t>209115 - Curr Income Tax Liab IFRS ADJ- IFRS15</t>
        </is>
      </c>
      <c r="F138" s="4249" t="n"/>
      <c r="G138" s="4205" t="n"/>
      <c r="H138" s="4205" t="n"/>
      <c r="I138" s="4205" t="n"/>
      <c r="J138" s="4205" t="n"/>
      <c r="K138" s="4205" t="n"/>
      <c r="L138" s="4205" t="n"/>
      <c r="M138" s="4205" t="n"/>
      <c r="N138" s="4205" t="n"/>
      <c r="O138" s="4205" t="n"/>
      <c r="P138" s="4205" t="n"/>
      <c r="Q138" s="4206" t="n"/>
      <c r="R138" s="4205" t="n"/>
      <c r="S138" s="4205" t="n"/>
      <c r="T138" s="4205" t="n"/>
      <c r="U138" s="4205" t="n"/>
      <c r="V138" s="4205" t="n"/>
      <c r="W138" s="4205" t="n"/>
      <c r="X138" s="4205" t="n"/>
      <c r="Y138" s="4205" t="n"/>
      <c r="Z138" s="4205" t="n"/>
      <c r="AA138" s="4205" t="n"/>
      <c r="AB138" s="4205" t="n"/>
      <c r="AC138" s="4206" t="n"/>
      <c r="AD138" s="4205" t="n"/>
      <c r="AE138" s="4205" t="n"/>
      <c r="AF138" s="4205" t="n"/>
      <c r="AG138" s="4205" t="n"/>
      <c r="AH138" s="4205" t="n"/>
      <c r="AI138" s="4205" t="n"/>
      <c r="AJ138" s="4205" t="n"/>
      <c r="AK138" s="4205" t="n"/>
      <c r="AL138" s="4205" t="n"/>
      <c r="AM138" s="4205" t="n"/>
      <c r="AN138" s="4205" t="n"/>
      <c r="AO138" s="4206" t="n"/>
      <c r="AP138" s="4205" t="n"/>
      <c r="AQ138" s="4205" t="n"/>
      <c r="AR138" s="4205" t="n"/>
      <c r="AS138" s="4205" t="n"/>
      <c r="AT138" s="4205" t="n"/>
      <c r="AU138" s="4207" t="n"/>
      <c r="AV138" s="4205" t="n"/>
      <c r="AW138" s="4205" t="n"/>
      <c r="AX138" s="4205" t="n"/>
      <c r="AY138" s="4205" t="n"/>
      <c r="AZ138" s="4205" t="n"/>
      <c r="BA138" s="3743" t="n"/>
      <c r="BB138" s="4205" t="n"/>
    </row>
    <row r="139" hidden="1" outlineLevel="2" collapsed="1" ht="12" customHeight="1" s="3710">
      <c r="C139" s="4100" t="inlineStr">
        <is>
          <t xml:space="preserve">Income tax payable </t>
        </is>
      </c>
      <c r="D139" s="4100" t="n"/>
      <c r="E139" s="4100" t="n"/>
      <c r="F139" s="4244" t="n"/>
      <c r="G139" s="4102" t="n"/>
      <c r="H139" s="4102" t="n"/>
      <c r="I139" s="4102" t="n"/>
      <c r="J139" s="4102" t="n"/>
      <c r="K139" s="4102" t="n"/>
      <c r="L139" s="4102" t="n"/>
      <c r="M139" s="4102" t="n"/>
      <c r="N139" s="4102" t="n"/>
      <c r="O139" s="4102" t="n"/>
      <c r="P139" s="4102" t="n"/>
      <c r="Q139" s="4103" t="n"/>
      <c r="R139" s="4102" t="n"/>
      <c r="S139" s="4102" t="n"/>
      <c r="T139" s="4102" t="n"/>
      <c r="U139" s="4102" t="n"/>
      <c r="V139" s="4102" t="n"/>
      <c r="W139" s="4102" t="n"/>
      <c r="X139" s="4102" t="n"/>
      <c r="Y139" s="4102" t="n"/>
      <c r="Z139" s="4102" t="n"/>
      <c r="AA139" s="4102" t="n"/>
      <c r="AB139" s="4102" t="n"/>
      <c r="AC139" s="4103" t="n"/>
      <c r="AD139" s="4102" t="n"/>
      <c r="AE139" s="4102" t="n"/>
      <c r="AF139" s="4102" t="n"/>
      <c r="AG139" s="4102" t="n"/>
      <c r="AH139" s="4102" t="n"/>
      <c r="AI139" s="4102" t="n"/>
      <c r="AJ139" s="4102" t="n"/>
      <c r="AK139" s="4102" t="n"/>
      <c r="AL139" s="4102" t="n"/>
      <c r="AM139" s="4102" t="n"/>
      <c r="AN139" s="4102" t="n"/>
      <c r="AO139" s="4103" t="n"/>
      <c r="AP139" s="4102" t="n"/>
      <c r="AQ139" s="4102" t="n"/>
      <c r="AR139" s="4102" t="n"/>
      <c r="AS139" s="4102" t="n"/>
      <c r="AT139" s="4102" t="n"/>
      <c r="AU139" s="4104" t="n"/>
      <c r="AV139" s="4102" t="n"/>
      <c r="AW139" s="4102" t="n"/>
      <c r="AX139" s="4102" t="n"/>
      <c r="AY139" s="4102" t="n"/>
      <c r="AZ139" s="4102" t="n"/>
      <c r="BA139" s="3737" t="n"/>
      <c r="BB139" s="4102" t="n"/>
    </row>
    <row r="140" hidden="1" outlineLevel="1" collapsed="1" ht="12" customHeight="1" s="3710">
      <c r="C140" s="4150" t="inlineStr">
        <is>
          <t>Change in working capital</t>
        </is>
      </c>
      <c r="D140" s="4150" t="n"/>
      <c r="E140" s="4150" t="n"/>
      <c r="F140" s="4244" t="n"/>
      <c r="G140" s="4102" t="n"/>
      <c r="H140" s="4102" t="n"/>
      <c r="I140" s="4102" t="n"/>
      <c r="J140" s="4102" t="n"/>
      <c r="K140" s="4102" t="n"/>
      <c r="L140" s="4102" t="n"/>
      <c r="M140" s="4102" t="n"/>
      <c r="N140" s="4102" t="n"/>
      <c r="O140" s="4102" t="n"/>
      <c r="P140" s="4102" t="n"/>
      <c r="Q140" s="4103" t="n"/>
      <c r="R140" s="4102" t="n"/>
      <c r="S140" s="4102" t="n"/>
      <c r="T140" s="4102" t="n"/>
      <c r="U140" s="4102" t="n"/>
      <c r="V140" s="4102" t="n"/>
      <c r="W140" s="4102" t="n"/>
      <c r="X140" s="4102" t="n"/>
      <c r="Y140" s="4102" t="n"/>
      <c r="Z140" s="4102" t="n"/>
      <c r="AA140" s="4102" t="n"/>
      <c r="AB140" s="4102" t="n"/>
      <c r="AC140" s="4103" t="n"/>
      <c r="AD140" s="4102" t="n"/>
      <c r="AE140" s="4102" t="n"/>
      <c r="AF140" s="4102" t="n"/>
      <c r="AG140" s="4102" t="n"/>
      <c r="AH140" s="4102" t="n"/>
      <c r="AI140" s="4102" t="n"/>
      <c r="AJ140" s="4102" t="n"/>
      <c r="AK140" s="4102" t="n"/>
      <c r="AL140" s="4102" t="n"/>
      <c r="AM140" s="4102" t="n"/>
      <c r="AN140" s="4102" t="n"/>
      <c r="AO140" s="4103" t="n"/>
      <c r="AP140" s="4102" t="n"/>
      <c r="AQ140" s="4102" t="n"/>
      <c r="AR140" s="4102" t="n"/>
      <c r="AS140" s="4102" t="n"/>
      <c r="AT140" s="4102" t="n"/>
      <c r="AU140" s="4104" t="n"/>
      <c r="AV140" s="4102" t="n"/>
      <c r="AW140" s="4102" t="n"/>
      <c r="AX140" s="4102" t="n"/>
      <c r="AY140" s="4102" t="n"/>
      <c r="AZ140" s="4102" t="n"/>
      <c r="BA140" s="3737" t="n"/>
      <c r="BB140" s="4102" t="n"/>
    </row>
    <row r="141" ht="12" customHeight="1" s="3710">
      <c r="C141" s="4093" t="inlineStr">
        <is>
          <t>Cash flow from operations</t>
        </is>
      </c>
      <c r="D141" s="4093" t="n"/>
      <c r="E141" s="4093" t="n"/>
      <c r="F141" s="4243" t="n"/>
      <c r="G141" s="4094" t="n"/>
      <c r="H141" s="4094" t="n"/>
      <c r="I141" s="4094" t="n"/>
      <c r="J141" s="4094" t="n"/>
      <c r="K141" s="4094" t="n"/>
      <c r="L141" s="4094" t="n"/>
      <c r="M141" s="4094" t="n"/>
      <c r="N141" s="4094" t="n"/>
      <c r="O141" s="4094" t="n"/>
      <c r="P141" s="4094" t="n"/>
      <c r="Q141" s="4095" t="n"/>
      <c r="R141" s="4094" t="n"/>
      <c r="S141" s="4094" t="n"/>
      <c r="T141" s="4094" t="n"/>
      <c r="U141" s="4094" t="n"/>
      <c r="V141" s="4094" t="n"/>
      <c r="W141" s="4094" t="n"/>
      <c r="X141" s="4094" t="n"/>
      <c r="Y141" s="4094" t="n"/>
      <c r="Z141" s="4094" t="n"/>
      <c r="AA141" s="4094" t="n"/>
      <c r="AB141" s="4094" t="n"/>
      <c r="AC141" s="4095" t="n"/>
      <c r="AD141" s="4094" t="n"/>
      <c r="AE141" s="4094" t="n"/>
      <c r="AF141" s="4094" t="n"/>
      <c r="AG141" s="4094" t="n"/>
      <c r="AH141" s="4094" t="n"/>
      <c r="AI141" s="4094" t="n"/>
      <c r="AJ141" s="4094" t="n"/>
      <c r="AK141" s="4094" t="n"/>
      <c r="AL141" s="4094" t="n"/>
      <c r="AM141" s="4094" t="n"/>
      <c r="AN141" s="4094" t="n"/>
      <c r="AO141" s="4095" t="n"/>
      <c r="AP141" s="4094" t="n"/>
      <c r="AQ141" s="4094" t="n"/>
      <c r="AR141" s="4094" t="n"/>
      <c r="AS141" s="4094" t="n"/>
      <c r="AT141" s="4094" t="n"/>
      <c r="AU141" s="4096" t="n"/>
      <c r="AV141" s="4094" t="n"/>
      <c r="AW141" s="4094" t="n"/>
      <c r="AX141" s="4094" t="n"/>
      <c r="AY141" s="4094" t="n"/>
      <c r="AZ141" s="4094" t="n"/>
      <c r="BA141" s="3737" t="n"/>
      <c r="BB141" s="4094" t="n"/>
    </row>
    <row r="142" hidden="1" outlineLevel="1" ht="12" customHeight="1" s="3710">
      <c r="C142" s="4242" t="inlineStr">
        <is>
          <t>Investing</t>
        </is>
      </c>
      <c r="D142" s="4242" t="n"/>
      <c r="E142" s="4242" t="n"/>
      <c r="F142" s="4243" t="n"/>
      <c r="G142" s="4094" t="n"/>
      <c r="H142" s="4094" t="n"/>
      <c r="I142" s="4094" t="n"/>
      <c r="J142" s="4094" t="n"/>
      <c r="K142" s="4094" t="n"/>
      <c r="L142" s="4094" t="n"/>
      <c r="M142" s="4094" t="n"/>
      <c r="N142" s="4094" t="n"/>
      <c r="O142" s="4094" t="n"/>
      <c r="P142" s="4094" t="n"/>
      <c r="Q142" s="4095" t="n"/>
      <c r="R142" s="4094" t="n"/>
      <c r="S142" s="4094" t="n"/>
      <c r="T142" s="4094" t="n"/>
      <c r="U142" s="4094" t="n"/>
      <c r="V142" s="4094" t="n"/>
      <c r="W142" s="4094" t="n"/>
      <c r="X142" s="4094" t="n"/>
      <c r="Y142" s="4094" t="n"/>
      <c r="Z142" s="4094" t="n"/>
      <c r="AA142" s="4094" t="n"/>
      <c r="AB142" s="4094" t="n"/>
      <c r="AC142" s="4095" t="n"/>
      <c r="AD142" s="4094" t="n"/>
      <c r="AE142" s="4094" t="n"/>
      <c r="AF142" s="4094" t="n"/>
      <c r="AG142" s="4094" t="n"/>
      <c r="AH142" s="4094" t="n"/>
      <c r="AI142" s="4094" t="n"/>
      <c r="AJ142" s="4094" t="n"/>
      <c r="AK142" s="4094" t="n"/>
      <c r="AL142" s="4094" t="n"/>
      <c r="AM142" s="4094" t="n"/>
      <c r="AN142" s="4094" t="n"/>
      <c r="AO142" s="4095" t="n"/>
      <c r="AP142" s="4094" t="n"/>
      <c r="AQ142" s="4094" t="n"/>
      <c r="AR142" s="4094" t="n"/>
      <c r="AS142" s="4094" t="n"/>
      <c r="AT142" s="4094" t="n"/>
      <c r="AU142" s="4096" t="n"/>
      <c r="AV142" s="4094" t="n"/>
      <c r="AW142" s="4094" t="n"/>
      <c r="AX142" s="4094" t="n"/>
      <c r="AY142" s="4094" t="n"/>
      <c r="AZ142" s="4094" t="n"/>
      <c r="BA142" s="3737" t="n"/>
      <c r="BB142" s="4094" t="n"/>
    </row>
    <row r="143" hidden="1" outlineLevel="2" ht="12" customFormat="1" customHeight="1" s="3743">
      <c r="A143" s="4165" t="n"/>
      <c r="B143" s="3891" t="n"/>
      <c r="C143" s="4012" t="inlineStr">
        <is>
          <t>Purchased software</t>
        </is>
      </c>
      <c r="D143" s="3902" t="n">
        <v>170101</v>
      </c>
      <c r="E143" s="3902" t="inlineStr">
        <is>
          <t>170101 - Purchased Software</t>
        </is>
      </c>
      <c r="F143" s="4250" t="n"/>
      <c r="G143" s="3900" t="n"/>
      <c r="H143" s="3900" t="n"/>
      <c r="I143" s="3900" t="n"/>
      <c r="J143" s="3900" t="n"/>
      <c r="K143" s="3900" t="n"/>
      <c r="L143" s="3900" t="n"/>
      <c r="M143" s="3900" t="n"/>
      <c r="N143" s="3900" t="n"/>
      <c r="O143" s="3900" t="n"/>
      <c r="P143" s="3900" t="n"/>
      <c r="Q143" s="4200" t="n"/>
      <c r="R143" s="3900" t="n"/>
      <c r="S143" s="3900" t="n"/>
      <c r="T143" s="3900" t="n"/>
      <c r="U143" s="3900" t="n"/>
      <c r="V143" s="3900" t="n"/>
      <c r="W143" s="3900" t="n"/>
      <c r="X143" s="3900" t="n"/>
      <c r="Y143" s="3900" t="n"/>
      <c r="Z143" s="3900" t="n"/>
      <c r="AA143" s="3900" t="n"/>
      <c r="AB143" s="3900" t="n"/>
      <c r="AC143" s="4200" t="n"/>
      <c r="AD143" s="3900" t="n"/>
      <c r="AE143" s="3900" t="n"/>
      <c r="AF143" s="3900" t="n"/>
      <c r="AG143" s="3900" t="n"/>
      <c r="AH143" s="3900" t="n"/>
      <c r="AI143" s="3900" t="n"/>
      <c r="AJ143" s="3900" t="n"/>
      <c r="AK143" s="3900" t="n"/>
      <c r="AL143" s="3900" t="n"/>
      <c r="AM143" s="3900" t="n"/>
      <c r="AN143" s="3900" t="n"/>
      <c r="AO143" s="4200" t="n"/>
      <c r="AP143" s="3900" t="n"/>
      <c r="AQ143" s="3900" t="n"/>
      <c r="AR143" s="3900" t="n"/>
      <c r="AS143" s="3900" t="n"/>
      <c r="AT143" s="3900" t="n"/>
      <c r="AU143" s="4201" t="n"/>
      <c r="AV143" s="3900" t="n"/>
      <c r="AW143" s="3900" t="n"/>
      <c r="AX143" s="3900" t="n"/>
      <c r="AY143" s="3900" t="n"/>
      <c r="AZ143" s="3900" t="n"/>
      <c r="BA143" s="3743" t="n"/>
      <c r="BB143" s="3900" t="n"/>
    </row>
    <row r="144" hidden="1" outlineLevel="2" ht="12" customFormat="1" customHeight="1" s="3743">
      <c r="A144" s="4165" t="n"/>
      <c r="B144" s="3891" t="n"/>
      <c r="C144" s="4012" t="inlineStr">
        <is>
          <t>Purchased software - WIP</t>
        </is>
      </c>
      <c r="D144" s="3902" t="n">
        <v>170151</v>
      </c>
      <c r="E144" s="3902" t="inlineStr">
        <is>
          <t>170151 - Purchased Software - WIP</t>
        </is>
      </c>
      <c r="F144" s="4250" t="n"/>
      <c r="G144" s="3900" t="n"/>
      <c r="H144" s="3900" t="n"/>
      <c r="I144" s="3900" t="n"/>
      <c r="J144" s="3900" t="n"/>
      <c r="K144" s="3900" t="n"/>
      <c r="L144" s="3900" t="n"/>
      <c r="M144" s="3900" t="n"/>
      <c r="N144" s="3900" t="n"/>
      <c r="O144" s="3900" t="n"/>
      <c r="P144" s="3900" t="n"/>
      <c r="Q144" s="4200" t="n"/>
      <c r="R144" s="3900" t="n"/>
      <c r="S144" s="3900" t="n"/>
      <c r="T144" s="3900" t="n"/>
      <c r="U144" s="3900" t="n"/>
      <c r="V144" s="3900" t="n"/>
      <c r="W144" s="3900" t="n"/>
      <c r="X144" s="3900" t="n"/>
      <c r="Y144" s="3900" t="n"/>
      <c r="Z144" s="3900" t="n"/>
      <c r="AA144" s="3900" t="n"/>
      <c r="AB144" s="3900" t="n"/>
      <c r="AC144" s="4200" t="n"/>
      <c r="AD144" s="3900" t="n"/>
      <c r="AE144" s="3900" t="n"/>
      <c r="AF144" s="3900" t="n"/>
      <c r="AG144" s="3900" t="n"/>
      <c r="AH144" s="3900" t="n"/>
      <c r="AI144" s="3900" t="n"/>
      <c r="AJ144" s="3900" t="n"/>
      <c r="AK144" s="3900" t="n"/>
      <c r="AL144" s="3900" t="n"/>
      <c r="AM144" s="3900" t="n"/>
      <c r="AN144" s="3900" t="n"/>
      <c r="AO144" s="4200" t="n"/>
      <c r="AP144" s="3900" t="n"/>
      <c r="AQ144" s="3900" t="n"/>
      <c r="AR144" s="3900" t="n"/>
      <c r="AS144" s="3900" t="n"/>
      <c r="AT144" s="3900" t="n"/>
      <c r="AU144" s="4201" t="n"/>
      <c r="AV144" s="3900" t="n"/>
      <c r="AW144" s="3900" t="n"/>
      <c r="AX144" s="3900" t="n"/>
      <c r="AY144" s="3900" t="n"/>
      <c r="AZ144" s="3900" t="n"/>
      <c r="BA144" s="3743" t="n"/>
      <c r="BB144" s="3900" t="n"/>
    </row>
    <row r="145" hidden="1" outlineLevel="2" ht="12" customFormat="1" customHeight="1" s="3743">
      <c r="A145" s="4165" t="n"/>
      <c r="B145" s="3891" t="n"/>
      <c r="C145" s="4012" t="inlineStr">
        <is>
          <t>System software purchased- infrastructure</t>
        </is>
      </c>
      <c r="D145" s="3902" t="n">
        <v>170121</v>
      </c>
      <c r="E145" s="3902" t="inlineStr">
        <is>
          <t>170121 - System Software Purchased- Infrastructure</t>
        </is>
      </c>
      <c r="F145" s="4250" t="n"/>
      <c r="G145" s="3900" t="n"/>
      <c r="H145" s="3900" t="n"/>
      <c r="I145" s="3900" t="n"/>
      <c r="J145" s="3900" t="n"/>
      <c r="K145" s="3900" t="n"/>
      <c r="L145" s="3900" t="n"/>
      <c r="M145" s="3900" t="n"/>
      <c r="N145" s="3900" t="n"/>
      <c r="O145" s="3900" t="n"/>
      <c r="P145" s="3900" t="n"/>
      <c r="Q145" s="4200" t="n"/>
      <c r="R145" s="3900" t="n"/>
      <c r="S145" s="3900" t="n"/>
      <c r="T145" s="3900" t="n"/>
      <c r="U145" s="3900" t="n"/>
      <c r="V145" s="3900" t="n"/>
      <c r="W145" s="3900" t="n"/>
      <c r="X145" s="3900" t="n"/>
      <c r="Y145" s="3900" t="n"/>
      <c r="Z145" s="3900" t="n"/>
      <c r="AA145" s="3900" t="n"/>
      <c r="AB145" s="3900" t="n"/>
      <c r="AC145" s="4200" t="n"/>
      <c r="AD145" s="3900" t="n"/>
      <c r="AE145" s="3900" t="n"/>
      <c r="AF145" s="3900" t="n"/>
      <c r="AG145" s="3900" t="n"/>
      <c r="AH145" s="3900" t="n"/>
      <c r="AI145" s="3900" t="n"/>
      <c r="AJ145" s="3900" t="n"/>
      <c r="AK145" s="3900" t="n"/>
      <c r="AL145" s="3900" t="n"/>
      <c r="AM145" s="3900" t="n"/>
      <c r="AN145" s="3900" t="n"/>
      <c r="AO145" s="4200" t="n"/>
      <c r="AP145" s="3900" t="n"/>
      <c r="AQ145" s="3900" t="n"/>
      <c r="AR145" s="3900" t="n"/>
      <c r="AS145" s="3900" t="n"/>
      <c r="AT145" s="3900" t="n"/>
      <c r="AU145" s="4201" t="n"/>
      <c r="AV145" s="3900" t="n"/>
      <c r="AW145" s="3900" t="n"/>
      <c r="AX145" s="3900" t="n"/>
      <c r="AY145" s="3900" t="n"/>
      <c r="AZ145" s="3900" t="n"/>
      <c r="BA145" s="3743" t="n"/>
      <c r="BB145" s="3900" t="n"/>
    </row>
    <row r="146" hidden="1" outlineLevel="2" ht="12" customFormat="1" customHeight="1" s="3743">
      <c r="A146" s="4165" t="n"/>
      <c r="B146" s="3891" t="n"/>
      <c r="C146" s="4203" t="inlineStr">
        <is>
          <t>Assumed capex</t>
        </is>
      </c>
      <c r="D146" s="4204" t="n"/>
      <c r="E146" s="4204" t="n"/>
      <c r="F146" s="4249" t="n"/>
      <c r="G146" s="4205" t="n"/>
      <c r="H146" s="4205" t="n"/>
      <c r="I146" s="4205" t="n"/>
      <c r="J146" s="4205" t="n"/>
      <c r="K146" s="4205" t="n"/>
      <c r="L146" s="4205" t="n"/>
      <c r="M146" s="4205" t="n"/>
      <c r="N146" s="4205" t="n"/>
      <c r="O146" s="4205" t="n"/>
      <c r="P146" s="4205" t="n"/>
      <c r="Q146" s="4206" t="n"/>
      <c r="R146" s="4205" t="n"/>
      <c r="S146" s="4205" t="n"/>
      <c r="T146" s="4205" t="n"/>
      <c r="U146" s="4205" t="n"/>
      <c r="V146" s="4205" t="n"/>
      <c r="W146" s="4205" t="n"/>
      <c r="X146" s="4205" t="n"/>
      <c r="Y146" s="4205" t="n"/>
      <c r="Z146" s="4205" t="n"/>
      <c r="AA146" s="4205" t="n"/>
      <c r="AB146" s="4205" t="n"/>
      <c r="AC146" s="4206" t="n"/>
      <c r="AD146" s="4205" t="n"/>
      <c r="AE146" s="4205" t="n"/>
      <c r="AF146" s="4205" t="n"/>
      <c r="AG146" s="4205" t="n"/>
      <c r="AH146" s="4205" t="n"/>
      <c r="AI146" s="4205" t="n"/>
      <c r="AJ146" s="4205" t="n"/>
      <c r="AK146" s="4205" t="n"/>
      <c r="AL146" s="4205" t="n"/>
      <c r="AM146" s="4205" t="n"/>
      <c r="AN146" s="4205" t="n"/>
      <c r="AO146" s="4206" t="n"/>
      <c r="AP146" s="4205" t="n"/>
      <c r="AQ146" s="4205" t="n"/>
      <c r="AR146" s="4205" t="n"/>
      <c r="AS146" s="4205" t="n"/>
      <c r="AT146" s="4205" t="n"/>
      <c r="AU146" s="4207" t="n"/>
      <c r="AV146" s="4205" t="n"/>
      <c r="AW146" s="4205" t="n"/>
      <c r="AX146" s="4205" t="n"/>
      <c r="AY146" s="4205" t="n"/>
      <c r="AZ146" s="4205" t="n"/>
      <c r="BA146" s="3743" t="n"/>
      <c r="BB146" s="4205" t="n"/>
    </row>
    <row r="147" hidden="1" outlineLevel="1" collapsed="1" ht="12" customHeight="1" s="3710">
      <c r="C147" s="4108" t="inlineStr">
        <is>
          <t>Acquisition of intangible assets</t>
        </is>
      </c>
      <c r="D147" s="4108" t="n"/>
      <c r="E147" s="4108" t="n"/>
      <c r="F147" s="4243" t="n"/>
      <c r="G147" s="4094" t="n"/>
      <c r="H147" s="4094" t="n"/>
      <c r="I147" s="4094" t="n"/>
      <c r="J147" s="4094" t="n"/>
      <c r="K147" s="4094" t="n"/>
      <c r="L147" s="4094" t="n"/>
      <c r="M147" s="4094" t="n"/>
      <c r="N147" s="4094" t="n"/>
      <c r="O147" s="4094" t="n"/>
      <c r="P147" s="4094" t="n"/>
      <c r="Q147" s="4095" t="n"/>
      <c r="R147" s="4094" t="n"/>
      <c r="S147" s="4094" t="n"/>
      <c r="T147" s="4094" t="n"/>
      <c r="U147" s="4094" t="n"/>
      <c r="V147" s="4094" t="n"/>
      <c r="W147" s="4094" t="n"/>
      <c r="X147" s="4094" t="n"/>
      <c r="Y147" s="4094" t="n"/>
      <c r="Z147" s="4094" t="n"/>
      <c r="AA147" s="4094" t="n"/>
      <c r="AB147" s="4094" t="n"/>
      <c r="AC147" s="4095" t="n"/>
      <c r="AD147" s="4094" t="n"/>
      <c r="AE147" s="4094" t="n"/>
      <c r="AF147" s="4094" t="n"/>
      <c r="AG147" s="4094" t="n"/>
      <c r="AH147" s="4094" t="n"/>
      <c r="AI147" s="4094" t="n"/>
      <c r="AJ147" s="4094" t="n"/>
      <c r="AK147" s="4094" t="n"/>
      <c r="AL147" s="4094" t="n"/>
      <c r="AM147" s="4094" t="n"/>
      <c r="AN147" s="4094" t="n"/>
      <c r="AO147" s="4095" t="n"/>
      <c r="AP147" s="4094" t="n"/>
      <c r="AQ147" s="4094" t="n"/>
      <c r="AR147" s="4094" t="n"/>
      <c r="AS147" s="4094" t="n"/>
      <c r="AT147" s="4094" t="n"/>
      <c r="AU147" s="4096" t="n"/>
      <c r="AV147" s="4094" t="n"/>
      <c r="AW147" s="4094" t="n"/>
      <c r="AX147" s="4094" t="n"/>
      <c r="AY147" s="4094" t="n"/>
      <c r="AZ147" s="4094" t="n"/>
      <c r="BA147" s="3737" t="n"/>
      <c r="BB147" s="4094" t="n"/>
    </row>
    <row r="148" hidden="1" outlineLevel="2" ht="12" customFormat="1" customHeight="1" s="3743">
      <c r="A148" s="4165" t="n"/>
      <c r="B148" s="3891" t="n"/>
      <c r="C148" s="4012" t="inlineStr">
        <is>
          <t>Data processing equipment</t>
        </is>
      </c>
      <c r="D148" s="3902" t="n">
        <v>150801</v>
      </c>
      <c r="E148" s="3902" t="inlineStr">
        <is>
          <t>150801 - Data Processing Equipment</t>
        </is>
      </c>
      <c r="F148" s="4250" t="n"/>
      <c r="G148" s="3900" t="n"/>
      <c r="H148" s="3900" t="n"/>
      <c r="I148" s="3900" t="n"/>
      <c r="J148" s="3900" t="n"/>
      <c r="K148" s="3900" t="n"/>
      <c r="L148" s="3900" t="n"/>
      <c r="M148" s="3900" t="n"/>
      <c r="N148" s="3900" t="n"/>
      <c r="O148" s="3900" t="n"/>
      <c r="P148" s="3900" t="n"/>
      <c r="Q148" s="4200" t="n"/>
      <c r="R148" s="3900" t="n"/>
      <c r="S148" s="3900" t="n"/>
      <c r="T148" s="3900" t="n"/>
      <c r="U148" s="3900" t="n"/>
      <c r="V148" s="3900" t="n"/>
      <c r="W148" s="3900" t="n"/>
      <c r="X148" s="3900" t="n"/>
      <c r="Y148" s="3900" t="n"/>
      <c r="Z148" s="3900" t="n"/>
      <c r="AA148" s="3900" t="n"/>
      <c r="AB148" s="3900" t="n"/>
      <c r="AC148" s="4200" t="n"/>
      <c r="AD148" s="3900" t="n"/>
      <c r="AE148" s="3900" t="n"/>
      <c r="AF148" s="3900" t="n"/>
      <c r="AG148" s="3900" t="n"/>
      <c r="AH148" s="3900" t="n"/>
      <c r="AI148" s="3900" t="n"/>
      <c r="AJ148" s="3900" t="n"/>
      <c r="AK148" s="3900" t="n"/>
      <c r="AL148" s="3900" t="n"/>
      <c r="AM148" s="3900" t="n"/>
      <c r="AN148" s="3900" t="n"/>
      <c r="AO148" s="4200" t="n"/>
      <c r="AP148" s="3900" t="n"/>
      <c r="AQ148" s="3900" t="n"/>
      <c r="AR148" s="3900" t="n"/>
      <c r="AS148" s="3900" t="n"/>
      <c r="AT148" s="3900" t="n"/>
      <c r="AU148" s="4201" t="n"/>
      <c r="AV148" s="3900" t="n"/>
      <c r="AW148" s="3900" t="n"/>
      <c r="AX148" s="3900" t="n"/>
      <c r="AY148" s="3900" t="n"/>
      <c r="AZ148" s="3900" t="n"/>
      <c r="BA148" s="3743" t="n"/>
      <c r="BB148" s="3900" t="n"/>
    </row>
    <row r="149" hidden="1" outlineLevel="2" ht="12" customFormat="1" customHeight="1" s="3743">
      <c r="A149" s="4209" t="n"/>
      <c r="B149" s="3891" t="n"/>
      <c r="C149" s="4012" t="inlineStr">
        <is>
          <t>Building - rou asset</t>
        </is>
      </c>
      <c r="D149" s="3902" t="n">
        <v>150401</v>
      </c>
      <c r="E149" s="3902" t="inlineStr">
        <is>
          <t>150401 - Building - ROU Asset</t>
        </is>
      </c>
      <c r="F149" s="4250" t="n"/>
      <c r="G149" s="3900" t="n"/>
      <c r="H149" s="3900" t="n"/>
      <c r="I149" s="3900" t="n"/>
      <c r="J149" s="3900" t="n"/>
      <c r="K149" s="3900" t="n"/>
      <c r="L149" s="3900" t="n"/>
      <c r="M149" s="3900" t="n"/>
      <c r="N149" s="3900" t="n"/>
      <c r="O149" s="3900" t="n"/>
      <c r="P149" s="3900" t="n"/>
      <c r="Q149" s="4200" t="n"/>
      <c r="R149" s="3900" t="n"/>
      <c r="S149" s="3900" t="n"/>
      <c r="T149" s="3900" t="n"/>
      <c r="U149" s="3900" t="n"/>
      <c r="V149" s="3900" t="n"/>
      <c r="W149" s="3900" t="n"/>
      <c r="X149" s="3900" t="n"/>
      <c r="Y149" s="3900" t="n"/>
      <c r="Z149" s="3900" t="n"/>
      <c r="AA149" s="3900" t="n"/>
      <c r="AB149" s="3900" t="n"/>
      <c r="AC149" s="4200" t="n"/>
      <c r="AD149" s="3900" t="n"/>
      <c r="AE149" s="3900" t="n"/>
      <c r="AF149" s="3900" t="n"/>
      <c r="AG149" s="3900" t="n"/>
      <c r="AH149" s="3900" t="n"/>
      <c r="AI149" s="3900" t="n"/>
      <c r="AJ149" s="3900" t="n"/>
      <c r="AK149" s="3900" t="n"/>
      <c r="AL149" s="3900" t="n"/>
      <c r="AM149" s="3900" t="n"/>
      <c r="AN149" s="3900" t="n"/>
      <c r="AO149" s="4200" t="n"/>
      <c r="AP149" s="3900" t="n"/>
      <c r="AQ149" s="3900" t="n"/>
      <c r="AR149" s="3900" t="n"/>
      <c r="AS149" s="3900" t="n"/>
      <c r="AT149" s="3900" t="n"/>
      <c r="AU149" s="4201" t="n"/>
      <c r="AV149" s="3900" t="n"/>
      <c r="AW149" s="3900" t="n"/>
      <c r="AX149" s="3900" t="n"/>
      <c r="AY149" s="3900" t="n"/>
      <c r="AZ149" s="3900" t="n"/>
      <c r="BA149" s="3743" t="n"/>
      <c r="BB149" s="3900" t="n"/>
    </row>
    <row r="150" hidden="1" outlineLevel="2" ht="12" customFormat="1" customHeight="1" s="3743">
      <c r="A150" s="4165" t="n"/>
      <c r="B150" s="3891" t="n"/>
      <c r="C150" s="4012" t="inlineStr">
        <is>
          <t>Leased asset</t>
        </is>
      </c>
      <c r="D150" s="3902" t="n">
        <v>150920</v>
      </c>
      <c r="E150" s="3902" t="inlineStr">
        <is>
          <t>150920 - Leased Asset</t>
        </is>
      </c>
      <c r="F150" s="4250" t="n"/>
      <c r="G150" s="3900" t="n"/>
      <c r="H150" s="3900" t="n"/>
      <c r="I150" s="3900" t="n"/>
      <c r="J150" s="3900" t="n"/>
      <c r="K150" s="3900" t="n"/>
      <c r="L150" s="3900" t="n"/>
      <c r="M150" s="3900" t="n"/>
      <c r="N150" s="3900" t="n"/>
      <c r="O150" s="3900" t="n"/>
      <c r="P150" s="3900" t="n"/>
      <c r="Q150" s="4200" t="n"/>
      <c r="R150" s="3900" t="n"/>
      <c r="S150" s="3900" t="n"/>
      <c r="T150" s="3900" t="n"/>
      <c r="U150" s="3900" t="n"/>
      <c r="V150" s="3900" t="n"/>
      <c r="W150" s="3900" t="n"/>
      <c r="X150" s="3900" t="n"/>
      <c r="Y150" s="3900" t="n"/>
      <c r="Z150" s="3900" t="n"/>
      <c r="AA150" s="3900" t="n"/>
      <c r="AB150" s="3900" t="n"/>
      <c r="AC150" s="4200" t="n"/>
      <c r="AD150" s="3900" t="n"/>
      <c r="AE150" s="3900" t="n"/>
      <c r="AF150" s="3900" t="n"/>
      <c r="AG150" s="3900" t="n"/>
      <c r="AH150" s="3900" t="n"/>
      <c r="AI150" s="3900" t="n"/>
      <c r="AJ150" s="3900" t="n"/>
      <c r="AK150" s="3900" t="n"/>
      <c r="AL150" s="3900" t="n"/>
      <c r="AM150" s="3900" t="n"/>
      <c r="AN150" s="3900" t="n"/>
      <c r="AO150" s="4200" t="n"/>
      <c r="AP150" s="3900" t="n"/>
      <c r="AQ150" s="3900" t="n"/>
      <c r="AR150" s="3900" t="n"/>
      <c r="AS150" s="3900" t="n"/>
      <c r="AT150" s="3900" t="n"/>
      <c r="AU150" s="4201" t="n"/>
      <c r="AV150" s="3900" t="n"/>
      <c r="AW150" s="3900" t="n"/>
      <c r="AX150" s="3900" t="n"/>
      <c r="AY150" s="3900" t="n"/>
      <c r="AZ150" s="3900" t="n"/>
      <c r="BA150" s="3743" t="n"/>
      <c r="BB150" s="3900" t="n"/>
    </row>
    <row r="151" hidden="1" outlineLevel="2" ht="12" customFormat="1" customHeight="1" s="3743">
      <c r="A151" s="4165" t="n"/>
      <c r="B151" s="3891" t="n"/>
      <c r="C151" s="4012" t="inlineStr">
        <is>
          <t>Leasehold improvements</t>
        </is>
      </c>
      <c r="D151" s="3902" t="n">
        <v>150501</v>
      </c>
      <c r="E151" s="3902" t="inlineStr">
        <is>
          <t>150501 - Leasehold Improvements</t>
        </is>
      </c>
      <c r="F151" s="4250" t="n"/>
      <c r="G151" s="3900" t="n"/>
      <c r="H151" s="3900" t="n"/>
      <c r="I151" s="3900" t="n"/>
      <c r="J151" s="3900" t="n"/>
      <c r="K151" s="3900" t="n"/>
      <c r="L151" s="3900" t="n"/>
      <c r="M151" s="3900" t="n"/>
      <c r="N151" s="3900" t="n"/>
      <c r="O151" s="3900" t="n"/>
      <c r="P151" s="3900" t="n"/>
      <c r="Q151" s="4200" t="n"/>
      <c r="R151" s="3900" t="n"/>
      <c r="S151" s="3900" t="n"/>
      <c r="T151" s="3900" t="n"/>
      <c r="U151" s="3900" t="n"/>
      <c r="V151" s="3900" t="n"/>
      <c r="W151" s="3900" t="n"/>
      <c r="X151" s="3900" t="n"/>
      <c r="Y151" s="3900" t="n"/>
      <c r="Z151" s="3900" t="n"/>
      <c r="AA151" s="3900" t="n"/>
      <c r="AB151" s="3900" t="n"/>
      <c r="AC151" s="4200" t="n"/>
      <c r="AD151" s="3900" t="n"/>
      <c r="AE151" s="3900" t="n"/>
      <c r="AF151" s="3900" t="n"/>
      <c r="AG151" s="3900" t="n"/>
      <c r="AH151" s="3900" t="n"/>
      <c r="AI151" s="3900" t="n"/>
      <c r="AJ151" s="3900" t="n"/>
      <c r="AK151" s="3900" t="n"/>
      <c r="AL151" s="3900" t="n"/>
      <c r="AM151" s="3900" t="n"/>
      <c r="AN151" s="3900" t="n"/>
      <c r="AO151" s="4200" t="n"/>
      <c r="AP151" s="3900" t="n"/>
      <c r="AQ151" s="3900" t="n"/>
      <c r="AR151" s="3900" t="n"/>
      <c r="AS151" s="3900" t="n"/>
      <c r="AT151" s="3900" t="n"/>
      <c r="AU151" s="4201" t="n"/>
      <c r="AV151" s="3900" t="n"/>
      <c r="AW151" s="3900" t="n"/>
      <c r="AX151" s="3900" t="n"/>
      <c r="AY151" s="3900" t="n"/>
      <c r="AZ151" s="3900" t="n"/>
      <c r="BA151" s="3743" t="n"/>
      <c r="BB151" s="3900" t="n"/>
    </row>
    <row r="152" hidden="1" outlineLevel="2" ht="12" customFormat="1" customHeight="1" s="3743">
      <c r="A152" s="4165" t="n"/>
      <c r="B152" s="3891" t="n"/>
      <c r="C152" s="4012" t="inlineStr">
        <is>
          <t>Capitalize HW implementation</t>
        </is>
      </c>
      <c r="D152" s="3902" t="n">
        <v>150901</v>
      </c>
      <c r="E152" s="3902" t="inlineStr">
        <is>
          <t>150901 - Capitalize HW Implementation</t>
        </is>
      </c>
      <c r="F152" s="4250" t="n"/>
      <c r="G152" s="3900" t="n"/>
      <c r="H152" s="3900" t="n"/>
      <c r="I152" s="3900" t="n"/>
      <c r="J152" s="3900" t="n"/>
      <c r="K152" s="3900" t="n"/>
      <c r="L152" s="3900" t="n"/>
      <c r="M152" s="3900" t="n"/>
      <c r="N152" s="3900" t="n"/>
      <c r="O152" s="3900" t="n"/>
      <c r="P152" s="3900" t="n"/>
      <c r="Q152" s="4200" t="n"/>
      <c r="R152" s="3900" t="n"/>
      <c r="S152" s="3900" t="n"/>
      <c r="T152" s="3900" t="n"/>
      <c r="U152" s="3900" t="n"/>
      <c r="V152" s="3900" t="n"/>
      <c r="W152" s="3900" t="n"/>
      <c r="X152" s="3900" t="n"/>
      <c r="Y152" s="3900" t="n"/>
      <c r="Z152" s="3900" t="n"/>
      <c r="AA152" s="3900" t="n"/>
      <c r="AB152" s="3900" t="n"/>
      <c r="AC152" s="4200" t="n"/>
      <c r="AD152" s="3900" t="n"/>
      <c r="AE152" s="3900" t="n"/>
      <c r="AF152" s="3900" t="n"/>
      <c r="AG152" s="3900" t="n"/>
      <c r="AH152" s="3900" t="n"/>
      <c r="AI152" s="3900" t="n"/>
      <c r="AJ152" s="3900" t="n"/>
      <c r="AK152" s="3900" t="n"/>
      <c r="AL152" s="3900" t="n"/>
      <c r="AM152" s="3900" t="n"/>
      <c r="AN152" s="3900" t="n"/>
      <c r="AO152" s="4200" t="n"/>
      <c r="AP152" s="3900" t="n"/>
      <c r="AQ152" s="3900" t="n"/>
      <c r="AR152" s="3900" t="n"/>
      <c r="AS152" s="3900" t="n"/>
      <c r="AT152" s="3900" t="n"/>
      <c r="AU152" s="4201" t="n"/>
      <c r="AV152" s="3900" t="n"/>
      <c r="AW152" s="3900" t="n"/>
      <c r="AX152" s="3900" t="n"/>
      <c r="AY152" s="3900" t="n"/>
      <c r="AZ152" s="3900" t="n"/>
      <c r="BA152" s="3743" t="n"/>
      <c r="BB152" s="3900" t="n"/>
    </row>
    <row r="153" hidden="1" outlineLevel="2" ht="12" customFormat="1" customHeight="1" s="3743">
      <c r="A153" s="4165" t="n"/>
      <c r="B153" s="3891" t="n"/>
      <c r="C153" s="4012" t="inlineStr">
        <is>
          <t>Network equipment</t>
        </is>
      </c>
      <c r="D153" s="3902" t="n">
        <v>150820</v>
      </c>
      <c r="E153" s="3902" t="inlineStr">
        <is>
          <t>150820 - Network Equipment</t>
        </is>
      </c>
      <c r="F153" s="4250" t="n"/>
      <c r="G153" s="3900" t="n"/>
      <c r="H153" s="3900" t="n"/>
      <c r="I153" s="3900" t="n"/>
      <c r="J153" s="3900" t="n"/>
      <c r="K153" s="3900" t="n"/>
      <c r="L153" s="3900" t="n"/>
      <c r="M153" s="3900" t="n"/>
      <c r="N153" s="3900" t="n"/>
      <c r="O153" s="3900" t="n"/>
      <c r="P153" s="3900" t="n"/>
      <c r="Q153" s="4200" t="n"/>
      <c r="R153" s="3900" t="n"/>
      <c r="S153" s="3900" t="n"/>
      <c r="T153" s="3900" t="n"/>
      <c r="U153" s="3900" t="n"/>
      <c r="V153" s="3900" t="n"/>
      <c r="W153" s="3900" t="n"/>
      <c r="X153" s="3900" t="n"/>
      <c r="Y153" s="3900" t="n"/>
      <c r="Z153" s="3900" t="n"/>
      <c r="AA153" s="3900" t="n"/>
      <c r="AB153" s="3900" t="n"/>
      <c r="AC153" s="4200" t="n"/>
      <c r="AD153" s="3900" t="n"/>
      <c r="AE153" s="3900" t="n"/>
      <c r="AF153" s="3900" t="n"/>
      <c r="AG153" s="3900" t="n"/>
      <c r="AH153" s="3900" t="n"/>
      <c r="AI153" s="3900" t="n"/>
      <c r="AJ153" s="3900" t="n"/>
      <c r="AK153" s="3900" t="n"/>
      <c r="AL153" s="3900" t="n"/>
      <c r="AM153" s="3900" t="n"/>
      <c r="AN153" s="3900" t="n"/>
      <c r="AO153" s="4200" t="n"/>
      <c r="AP153" s="3900" t="n"/>
      <c r="AQ153" s="3900" t="n"/>
      <c r="AR153" s="3900" t="n"/>
      <c r="AS153" s="3900" t="n"/>
      <c r="AT153" s="3900" t="n"/>
      <c r="AU153" s="4201" t="n"/>
      <c r="AV153" s="3900" t="n"/>
      <c r="AW153" s="3900" t="n"/>
      <c r="AX153" s="3900" t="n"/>
      <c r="AY153" s="3900" t="n"/>
      <c r="AZ153" s="3900" t="n"/>
      <c r="BA153" s="3743" t="n"/>
      <c r="BB153" s="3900" t="n"/>
    </row>
    <row r="154" hidden="1" outlineLevel="2" ht="12" customFormat="1" customHeight="1" s="3743">
      <c r="A154" s="4165" t="n"/>
      <c r="B154" s="3891" t="n"/>
      <c r="C154" s="4012" t="inlineStr">
        <is>
          <t>Furniture and fixtures</t>
        </is>
      </c>
      <c r="D154" s="3902" t="n">
        <v>150601</v>
      </c>
      <c r="E154" s="3902" t="inlineStr">
        <is>
          <t>150601 - Furniture and Fixtures</t>
        </is>
      </c>
      <c r="F154" s="4250" t="n"/>
      <c r="G154" s="3900" t="n"/>
      <c r="H154" s="3900" t="n"/>
      <c r="I154" s="3900" t="n"/>
      <c r="J154" s="3900" t="n"/>
      <c r="K154" s="3900" t="n"/>
      <c r="L154" s="3900" t="n"/>
      <c r="M154" s="3900" t="n"/>
      <c r="N154" s="3900" t="n"/>
      <c r="O154" s="3900" t="n"/>
      <c r="P154" s="3900" t="n"/>
      <c r="Q154" s="4200" t="n"/>
      <c r="R154" s="3900" t="n"/>
      <c r="S154" s="3900" t="n"/>
      <c r="T154" s="3900" t="n"/>
      <c r="U154" s="3900" t="n"/>
      <c r="V154" s="3900" t="n"/>
      <c r="W154" s="3900" t="n"/>
      <c r="X154" s="3900" t="n"/>
      <c r="Y154" s="3900" t="n"/>
      <c r="Z154" s="3900" t="n"/>
      <c r="AA154" s="3900" t="n"/>
      <c r="AB154" s="3900" t="n"/>
      <c r="AC154" s="4200" t="n"/>
      <c r="AD154" s="3900" t="n"/>
      <c r="AE154" s="3900" t="n"/>
      <c r="AF154" s="3900" t="n"/>
      <c r="AG154" s="3900" t="n"/>
      <c r="AH154" s="3900" t="n"/>
      <c r="AI154" s="3900" t="n"/>
      <c r="AJ154" s="3900" t="n"/>
      <c r="AK154" s="3900" t="n"/>
      <c r="AL154" s="3900" t="n"/>
      <c r="AM154" s="3900" t="n"/>
      <c r="AN154" s="3900" t="n"/>
      <c r="AO154" s="4200" t="n"/>
      <c r="AP154" s="3900" t="n"/>
      <c r="AQ154" s="3900" t="n"/>
      <c r="AR154" s="3900" t="n"/>
      <c r="AS154" s="3900" t="n"/>
      <c r="AT154" s="3900" t="n"/>
      <c r="AU154" s="4201" t="n"/>
      <c r="AV154" s="3900" t="n"/>
      <c r="AW154" s="3900" t="n"/>
      <c r="AX154" s="3900" t="n"/>
      <c r="AY154" s="3900" t="n"/>
      <c r="AZ154" s="3900" t="n"/>
      <c r="BA154" s="3743" t="n"/>
      <c r="BB154" s="3900" t="n"/>
    </row>
    <row r="155" hidden="1" outlineLevel="2" ht="12" customFormat="1" customHeight="1" s="3743">
      <c r="A155" s="4165" t="n"/>
      <c r="B155" s="3891" t="n"/>
      <c r="C155" s="4012" t="inlineStr">
        <is>
          <t>Purchased fixed assets - WIP</t>
        </is>
      </c>
      <c r="D155" s="3902" t="n">
        <v>151101</v>
      </c>
      <c r="E155" s="3902" t="inlineStr">
        <is>
          <t>151101 - Purchased Fixed Assets - WIP</t>
        </is>
      </c>
      <c r="F155" s="4250" t="n"/>
      <c r="G155" s="3900" t="n"/>
      <c r="H155" s="3900" t="n"/>
      <c r="I155" s="3900" t="n"/>
      <c r="J155" s="3900" t="n"/>
      <c r="K155" s="3900" t="n"/>
      <c r="L155" s="3900" t="n"/>
      <c r="M155" s="3900" t="n"/>
      <c r="N155" s="3900" t="n"/>
      <c r="O155" s="3900" t="n"/>
      <c r="P155" s="3900" t="n"/>
      <c r="Q155" s="4200" t="n"/>
      <c r="R155" s="3900" t="n"/>
      <c r="S155" s="3900" t="n"/>
      <c r="T155" s="3900" t="n"/>
      <c r="U155" s="3900" t="n"/>
      <c r="V155" s="3900" t="n"/>
      <c r="W155" s="3900" t="n"/>
      <c r="X155" s="3900" t="n"/>
      <c r="Y155" s="3900" t="n"/>
      <c r="Z155" s="3900" t="n"/>
      <c r="AA155" s="3900" t="n"/>
      <c r="AB155" s="3900" t="n"/>
      <c r="AC155" s="4200" t="n"/>
      <c r="AD155" s="3900" t="n"/>
      <c r="AE155" s="3900" t="n"/>
      <c r="AF155" s="3900" t="n"/>
      <c r="AG155" s="3900" t="n"/>
      <c r="AH155" s="3900" t="n"/>
      <c r="AI155" s="3900" t="n"/>
      <c r="AJ155" s="3900" t="n"/>
      <c r="AK155" s="3900" t="n"/>
      <c r="AL155" s="3900" t="n"/>
      <c r="AM155" s="3900" t="n"/>
      <c r="AN155" s="3900" t="n"/>
      <c r="AO155" s="4200" t="n"/>
      <c r="AP155" s="3900" t="n"/>
      <c r="AQ155" s="3900" t="n"/>
      <c r="AR155" s="3900" t="n"/>
      <c r="AS155" s="3900" t="n"/>
      <c r="AT155" s="3900" t="n"/>
      <c r="AU155" s="4201" t="n"/>
      <c r="AV155" s="3900" t="n"/>
      <c r="AW155" s="3900" t="n"/>
      <c r="AX155" s="3900" t="n"/>
      <c r="AY155" s="3900" t="n"/>
      <c r="AZ155" s="3900" t="n"/>
      <c r="BA155" s="3743" t="n"/>
      <c r="BB155" s="3900" t="n"/>
    </row>
    <row r="156" hidden="1" outlineLevel="2" ht="12" customFormat="1" customHeight="1" s="3743">
      <c r="A156" s="4165" t="n"/>
      <c r="B156" s="3891" t="n"/>
      <c r="C156" s="4012" t="inlineStr">
        <is>
          <t>Office equipment</t>
        </is>
      </c>
      <c r="D156" s="3902" t="n">
        <v>150701</v>
      </c>
      <c r="E156" s="3902" t="inlineStr">
        <is>
          <t>150701 - Office Equipment</t>
        </is>
      </c>
      <c r="F156" s="4250" t="n"/>
      <c r="G156" s="3900" t="n"/>
      <c r="H156" s="3900" t="n"/>
      <c r="I156" s="3900" t="n"/>
      <c r="J156" s="3900" t="n"/>
      <c r="K156" s="3900" t="n"/>
      <c r="L156" s="3900" t="n"/>
      <c r="M156" s="3900" t="n"/>
      <c r="N156" s="3900" t="n"/>
      <c r="O156" s="3900" t="n"/>
      <c r="P156" s="3900" t="n"/>
      <c r="Q156" s="4200" t="n"/>
      <c r="R156" s="3900" t="n"/>
      <c r="S156" s="3900" t="n"/>
      <c r="T156" s="3900" t="n"/>
      <c r="U156" s="3900" t="n"/>
      <c r="V156" s="3900" t="n"/>
      <c r="W156" s="3900" t="n"/>
      <c r="X156" s="3900" t="n"/>
      <c r="Y156" s="3900" t="n"/>
      <c r="Z156" s="3900" t="n"/>
      <c r="AA156" s="3900" t="n"/>
      <c r="AB156" s="3900" t="n"/>
      <c r="AC156" s="4200" t="n"/>
      <c r="AD156" s="3900" t="n"/>
      <c r="AE156" s="3900" t="n"/>
      <c r="AF156" s="3900" t="n"/>
      <c r="AG156" s="3900" t="n"/>
      <c r="AH156" s="3900" t="n"/>
      <c r="AI156" s="3900" t="n"/>
      <c r="AJ156" s="3900" t="n"/>
      <c r="AK156" s="3900" t="n"/>
      <c r="AL156" s="3900" t="n"/>
      <c r="AM156" s="3900" t="n"/>
      <c r="AN156" s="3900" t="n"/>
      <c r="AO156" s="4200" t="n"/>
      <c r="AP156" s="3900" t="n"/>
      <c r="AQ156" s="3900" t="n"/>
      <c r="AR156" s="3900" t="n"/>
      <c r="AS156" s="3900" t="n"/>
      <c r="AT156" s="3900" t="n"/>
      <c r="AU156" s="4201" t="n"/>
      <c r="AV156" s="3900" t="n"/>
      <c r="AW156" s="3900" t="n"/>
      <c r="AX156" s="3900" t="n"/>
      <c r="AY156" s="3900" t="n"/>
      <c r="AZ156" s="3900" t="n"/>
      <c r="BA156" s="3743" t="n"/>
      <c r="BB156" s="3900" t="n"/>
    </row>
    <row r="157" hidden="1" outlineLevel="2" ht="12" customFormat="1" customHeight="1" s="3743">
      <c r="A157" s="4165" t="n"/>
      <c r="B157" s="3891" t="n"/>
      <c r="C157" s="4012" t="inlineStr">
        <is>
          <t>Network equipment - WIP</t>
        </is>
      </c>
      <c r="D157" s="3902" t="n">
        <v>151120</v>
      </c>
      <c r="E157" s="3902" t="inlineStr">
        <is>
          <t>151120 - Network Equipment - WIP</t>
        </is>
      </c>
      <c r="F157" s="4250" t="n"/>
      <c r="G157" s="3900" t="n"/>
      <c r="H157" s="3900" t="n"/>
      <c r="I157" s="3900" t="n"/>
      <c r="J157" s="3900" t="n"/>
      <c r="K157" s="3900" t="n"/>
      <c r="L157" s="3900" t="n"/>
      <c r="M157" s="3900" t="n"/>
      <c r="N157" s="3900" t="n"/>
      <c r="O157" s="3900" t="n"/>
      <c r="P157" s="3900" t="n"/>
      <c r="Q157" s="4200" t="n"/>
      <c r="R157" s="3900" t="n"/>
      <c r="S157" s="3900" t="n"/>
      <c r="T157" s="3900" t="n"/>
      <c r="U157" s="3900" t="n"/>
      <c r="V157" s="3900" t="n"/>
      <c r="W157" s="3900" t="n"/>
      <c r="X157" s="3900" t="n"/>
      <c r="Y157" s="3900" t="n"/>
      <c r="Z157" s="3900" t="n"/>
      <c r="AA157" s="3900" t="n"/>
      <c r="AB157" s="3900" t="n"/>
      <c r="AC157" s="4200" t="n"/>
      <c r="AD157" s="3900" t="n"/>
      <c r="AE157" s="3900" t="n"/>
      <c r="AF157" s="3900" t="n"/>
      <c r="AG157" s="3900" t="n"/>
      <c r="AH157" s="3900" t="n"/>
      <c r="AI157" s="3900" t="n"/>
      <c r="AJ157" s="3900" t="n"/>
      <c r="AK157" s="3900" t="n"/>
      <c r="AL157" s="3900" t="n"/>
      <c r="AM157" s="3900" t="n"/>
      <c r="AN157" s="3900" t="n"/>
      <c r="AO157" s="4200" t="n"/>
      <c r="AP157" s="3900" t="n"/>
      <c r="AQ157" s="3900" t="n"/>
      <c r="AR157" s="3900" t="n"/>
      <c r="AS157" s="3900" t="n"/>
      <c r="AT157" s="3900" t="n"/>
      <c r="AU157" s="4201" t="n"/>
      <c r="AV157" s="3900" t="n"/>
      <c r="AW157" s="3900" t="n"/>
      <c r="AX157" s="3900" t="n"/>
      <c r="AY157" s="3900" t="n"/>
      <c r="AZ157" s="3900" t="n"/>
      <c r="BA157" s="3743" t="n"/>
      <c r="BB157" s="3900" t="n"/>
    </row>
    <row r="158" hidden="1" outlineLevel="2" ht="12" customFormat="1" customHeight="1" s="3743">
      <c r="A158" s="4165" t="n"/>
      <c r="B158" s="3891" t="n"/>
      <c r="C158" s="4012" t="inlineStr">
        <is>
          <t>Cap HW implementation - WIP</t>
        </is>
      </c>
      <c r="D158" s="3902" t="n">
        <v>151105</v>
      </c>
      <c r="E158" s="3902" t="inlineStr">
        <is>
          <t>151105 - Cap HW implementation - WIP</t>
        </is>
      </c>
      <c r="F158" s="4250" t="n"/>
      <c r="G158" s="3900" t="n"/>
      <c r="H158" s="3900" t="n"/>
      <c r="I158" s="3900" t="n"/>
      <c r="J158" s="3900" t="n"/>
      <c r="K158" s="3900" t="n"/>
      <c r="L158" s="3900" t="n"/>
      <c r="M158" s="3900" t="n"/>
      <c r="N158" s="3900" t="n"/>
      <c r="O158" s="3900" t="n"/>
      <c r="P158" s="3900" t="n"/>
      <c r="Q158" s="4200" t="n"/>
      <c r="R158" s="3900" t="n"/>
      <c r="S158" s="3900" t="n"/>
      <c r="T158" s="3900" t="n"/>
      <c r="U158" s="3900" t="n"/>
      <c r="V158" s="3900" t="n"/>
      <c r="W158" s="3900" t="n"/>
      <c r="X158" s="3900" t="n"/>
      <c r="Y158" s="3900" t="n"/>
      <c r="Z158" s="3900" t="n"/>
      <c r="AA158" s="3900" t="n"/>
      <c r="AB158" s="3900" t="n"/>
      <c r="AC158" s="4200" t="n"/>
      <c r="AD158" s="3900" t="n"/>
      <c r="AE158" s="3900" t="n"/>
      <c r="AF158" s="3900" t="n"/>
      <c r="AG158" s="3900" t="n"/>
      <c r="AH158" s="3900" t="n"/>
      <c r="AI158" s="3900" t="n"/>
      <c r="AJ158" s="3900" t="n"/>
      <c r="AK158" s="3900" t="n"/>
      <c r="AL158" s="3900" t="n"/>
      <c r="AM158" s="3900" t="n"/>
      <c r="AN158" s="3900" t="n"/>
      <c r="AO158" s="4200" t="n"/>
      <c r="AP158" s="3900" t="n"/>
      <c r="AQ158" s="3900" t="n"/>
      <c r="AR158" s="3900" t="n"/>
      <c r="AS158" s="3900" t="n"/>
      <c r="AT158" s="3900" t="n"/>
      <c r="AU158" s="4201" t="n"/>
      <c r="AV158" s="3900" t="n"/>
      <c r="AW158" s="3900" t="n"/>
      <c r="AX158" s="3900" t="n"/>
      <c r="AY158" s="3900" t="n"/>
      <c r="AZ158" s="3900" t="n"/>
      <c r="BA158" s="3743" t="n"/>
      <c r="BB158" s="3900" t="n"/>
    </row>
    <row r="159" hidden="1" outlineLevel="2" ht="12" customFormat="1" customHeight="1" s="3743">
      <c r="A159" s="4165" t="n"/>
      <c r="B159" s="3891" t="n"/>
      <c r="C159" s="4203" t="inlineStr">
        <is>
          <t>Assumed capex</t>
        </is>
      </c>
      <c r="D159" s="4204" t="n"/>
      <c r="E159" s="4204" t="n"/>
      <c r="F159" s="4249" t="n"/>
      <c r="G159" s="4205" t="n"/>
      <c r="H159" s="4205" t="n"/>
      <c r="I159" s="4205" t="n"/>
      <c r="J159" s="4205" t="n"/>
      <c r="K159" s="4205" t="n"/>
      <c r="L159" s="4205" t="n"/>
      <c r="M159" s="4205" t="n"/>
      <c r="N159" s="4205" t="n"/>
      <c r="O159" s="4205" t="n"/>
      <c r="P159" s="4205" t="n"/>
      <c r="Q159" s="4206" t="n"/>
      <c r="R159" s="4205" t="n"/>
      <c r="S159" s="4205" t="n"/>
      <c r="T159" s="4205" t="n"/>
      <c r="U159" s="4205" t="n"/>
      <c r="V159" s="4205" t="n"/>
      <c r="W159" s="4205" t="n"/>
      <c r="X159" s="4205" t="n"/>
      <c r="Y159" s="4205" t="n"/>
      <c r="Z159" s="4205" t="n"/>
      <c r="AA159" s="4205" t="n"/>
      <c r="AB159" s="4205" t="n"/>
      <c r="AC159" s="4206" t="n"/>
      <c r="AD159" s="4205" t="n"/>
      <c r="AE159" s="4205" t="n"/>
      <c r="AF159" s="4205" t="n"/>
      <c r="AG159" s="4205" t="n"/>
      <c r="AH159" s="4205" t="n"/>
      <c r="AI159" s="4205" t="n"/>
      <c r="AJ159" s="4205" t="n"/>
      <c r="AK159" s="4205" t="n"/>
      <c r="AL159" s="4205" t="n"/>
      <c r="AM159" s="4205" t="n"/>
      <c r="AN159" s="4205" t="n"/>
      <c r="AO159" s="4206" t="n"/>
      <c r="AP159" s="4205" t="n"/>
      <c r="AQ159" s="4205" t="n"/>
      <c r="AR159" s="4205" t="n"/>
      <c r="AS159" s="4205" t="n"/>
      <c r="AT159" s="4205" t="n"/>
      <c r="AU159" s="4207" t="n"/>
      <c r="AV159" s="4205" t="n"/>
      <c r="AW159" s="4205" t="n"/>
      <c r="AX159" s="4205" t="n"/>
      <c r="AY159" s="4205" t="n"/>
      <c r="AZ159" s="4205" t="n"/>
      <c r="BA159" s="3743" t="n"/>
      <c r="BB159" s="4205" t="n"/>
    </row>
    <row r="160" hidden="1" outlineLevel="1" collapsed="1" ht="12" customHeight="1" s="3710">
      <c r="C160" s="4108" t="inlineStr">
        <is>
          <t>Acquisition of property, plant and equipment</t>
        </is>
      </c>
      <c r="D160" s="4108" t="n"/>
      <c r="E160" s="4108" t="n"/>
      <c r="F160" s="4243" t="n"/>
      <c r="G160" s="4094" t="n"/>
      <c r="H160" s="4094" t="n"/>
      <c r="I160" s="4094" t="n"/>
      <c r="J160" s="4094" t="n"/>
      <c r="K160" s="4094" t="n"/>
      <c r="L160" s="4094" t="n"/>
      <c r="M160" s="4094" t="n"/>
      <c r="N160" s="4094" t="n"/>
      <c r="O160" s="4094" t="n"/>
      <c r="P160" s="4094" t="n"/>
      <c r="Q160" s="4095" t="n"/>
      <c r="R160" s="4094" t="n"/>
      <c r="S160" s="4094" t="n"/>
      <c r="T160" s="4094" t="n"/>
      <c r="U160" s="4094" t="n"/>
      <c r="V160" s="4094" t="n"/>
      <c r="W160" s="4094" t="n"/>
      <c r="X160" s="4094" t="n"/>
      <c r="Y160" s="4094" t="n"/>
      <c r="Z160" s="4094" t="n"/>
      <c r="AA160" s="4094" t="n"/>
      <c r="AB160" s="4094" t="n"/>
      <c r="AC160" s="4095" t="n"/>
      <c r="AD160" s="4094" t="n"/>
      <c r="AE160" s="4094" t="n"/>
      <c r="AF160" s="4094" t="n"/>
      <c r="AG160" s="4094" t="n"/>
      <c r="AH160" s="4094" t="n"/>
      <c r="AI160" s="4094" t="n"/>
      <c r="AJ160" s="4094" t="n"/>
      <c r="AK160" s="4094" t="n"/>
      <c r="AL160" s="4094" t="n"/>
      <c r="AM160" s="4094" t="n"/>
      <c r="AN160" s="4094" t="n"/>
      <c r="AO160" s="4095" t="n"/>
      <c r="AP160" s="4094" t="n"/>
      <c r="AQ160" s="4094" t="n"/>
      <c r="AR160" s="4094" t="n"/>
      <c r="AS160" s="4094" t="n"/>
      <c r="AT160" s="4094" t="n"/>
      <c r="AU160" s="4096" t="n"/>
      <c r="AV160" s="4094" t="n"/>
      <c r="AW160" s="4094" t="n"/>
      <c r="AX160" s="4094" t="n"/>
      <c r="AY160" s="4094" t="n"/>
      <c r="AZ160" s="4094" t="n"/>
      <c r="BA160" s="3737" t="n"/>
      <c r="BB160" s="4094" t="n"/>
    </row>
    <row r="161" hidden="1" outlineLevel="2" ht="12" customFormat="1" customHeight="1" s="3743">
      <c r="A161" s="4165" t="n"/>
      <c r="B161" s="3891" t="n"/>
      <c r="C161" s="4012" t="inlineStr">
        <is>
          <t>IDSW - capitalized projects</t>
        </is>
      </c>
      <c r="D161" s="3902" t="n">
        <v>170801</v>
      </c>
      <c r="E161" s="3902" t="inlineStr">
        <is>
          <t>170801 - IDSW - Capitalized Projects</t>
        </is>
      </c>
      <c r="F161" s="4250" t="n"/>
      <c r="G161" s="3900" t="n"/>
      <c r="H161" s="3900" t="n"/>
      <c r="I161" s="3900" t="n"/>
      <c r="J161" s="3900" t="n"/>
      <c r="K161" s="3900" t="n"/>
      <c r="L161" s="3900" t="n"/>
      <c r="M161" s="3900" t="n"/>
      <c r="N161" s="3900" t="n"/>
      <c r="O161" s="3900" t="n"/>
      <c r="P161" s="3900" t="n"/>
      <c r="Q161" s="4200" t="n"/>
      <c r="R161" s="3900" t="n"/>
      <c r="S161" s="3900" t="n"/>
      <c r="T161" s="3900" t="n"/>
      <c r="U161" s="3900" t="n"/>
      <c r="V161" s="3900" t="n"/>
      <c r="W161" s="3900" t="n"/>
      <c r="X161" s="3900" t="n"/>
      <c r="Y161" s="3900" t="n"/>
      <c r="Z161" s="3900" t="n"/>
      <c r="AA161" s="3900" t="n"/>
      <c r="AB161" s="3900" t="n"/>
      <c r="AC161" s="4200" t="n"/>
      <c r="AD161" s="3900" t="n"/>
      <c r="AE161" s="3900" t="n"/>
      <c r="AF161" s="3900" t="n"/>
      <c r="AG161" s="3900" t="n"/>
      <c r="AH161" s="3900" t="n"/>
      <c r="AI161" s="3900" t="n"/>
      <c r="AJ161" s="3900" t="n"/>
      <c r="AK161" s="3900" t="n"/>
      <c r="AL161" s="3900" t="n"/>
      <c r="AM161" s="3900" t="n"/>
      <c r="AN161" s="3900" t="n"/>
      <c r="AO161" s="4200" t="n"/>
      <c r="AP161" s="3900" t="n"/>
      <c r="AQ161" s="3900" t="n"/>
      <c r="AR161" s="3900" t="n"/>
      <c r="AS161" s="3900" t="n"/>
      <c r="AT161" s="3900" t="n"/>
      <c r="AU161" s="4201" t="n"/>
      <c r="AV161" s="3900" t="n"/>
      <c r="AW161" s="3900" t="n"/>
      <c r="AX161" s="3900" t="n"/>
      <c r="AY161" s="3900" t="n"/>
      <c r="AZ161" s="3900" t="n"/>
      <c r="BA161" s="3743" t="n"/>
      <c r="BB161" s="3900" t="n"/>
    </row>
    <row r="162" hidden="1" outlineLevel="2" ht="12" customFormat="1" customHeight="1" s="3743">
      <c r="A162" s="4165" t="n"/>
      <c r="B162" s="3891" t="n"/>
      <c r="C162" s="4012" t="inlineStr">
        <is>
          <t>IDSW capitalized projects WIP</t>
        </is>
      </c>
      <c r="D162" s="3902" t="n">
        <v>170805</v>
      </c>
      <c r="E162" s="3902" t="inlineStr">
        <is>
          <t>170805 - IDSW Capitalized Projects WIP</t>
        </is>
      </c>
      <c r="F162" s="4250" t="n"/>
      <c r="G162" s="3900" t="n"/>
      <c r="H162" s="3900" t="n"/>
      <c r="I162" s="3900" t="n"/>
      <c r="J162" s="3900" t="n"/>
      <c r="K162" s="3900" t="n"/>
      <c r="L162" s="3900" t="n"/>
      <c r="M162" s="3900" t="n"/>
      <c r="N162" s="3900" t="n"/>
      <c r="O162" s="3900" t="n"/>
      <c r="P162" s="3900" t="n"/>
      <c r="Q162" s="4200" t="n"/>
      <c r="R162" s="3900" t="n"/>
      <c r="S162" s="3900" t="n"/>
      <c r="T162" s="3900" t="n"/>
      <c r="U162" s="3900" t="n"/>
      <c r="V162" s="3900" t="n"/>
      <c r="W162" s="3900" t="n"/>
      <c r="X162" s="3900" t="n"/>
      <c r="Y162" s="3900" t="n"/>
      <c r="Z162" s="3900" t="n"/>
      <c r="AA162" s="3900" t="n"/>
      <c r="AB162" s="3900" t="n"/>
      <c r="AC162" s="4200" t="n"/>
      <c r="AD162" s="3900" t="n"/>
      <c r="AE162" s="3900" t="n"/>
      <c r="AF162" s="3900" t="n"/>
      <c r="AG162" s="3900" t="n"/>
      <c r="AH162" s="3900" t="n"/>
      <c r="AI162" s="3900" t="n"/>
      <c r="AJ162" s="3900" t="n"/>
      <c r="AK162" s="3900" t="n"/>
      <c r="AL162" s="3900" t="n"/>
      <c r="AM162" s="3900" t="n"/>
      <c r="AN162" s="3900" t="n"/>
      <c r="AO162" s="4200" t="n"/>
      <c r="AP162" s="3900" t="n"/>
      <c r="AQ162" s="3900" t="n"/>
      <c r="AR162" s="3900" t="n"/>
      <c r="AS162" s="3900" t="n"/>
      <c r="AT162" s="3900" t="n"/>
      <c r="AU162" s="4201" t="n"/>
      <c r="AV162" s="3900" t="n"/>
      <c r="AW162" s="3900" t="n"/>
      <c r="AX162" s="3900" t="n"/>
      <c r="AY162" s="3900" t="n"/>
      <c r="AZ162" s="3900" t="n"/>
      <c r="BA162" s="3743" t="n"/>
      <c r="BB162" s="3900" t="n"/>
    </row>
    <row r="163" hidden="1" outlineLevel="2" ht="12" customFormat="1" customHeight="1" s="3743">
      <c r="A163" s="4165" t="n"/>
      <c r="B163" s="3891" t="n"/>
      <c r="C163" s="4203" t="inlineStr">
        <is>
          <t>Assumed capex</t>
        </is>
      </c>
      <c r="D163" s="4204" t="n"/>
      <c r="E163" s="4204" t="n"/>
      <c r="F163" s="4249" t="n"/>
      <c r="G163" s="4205" t="n"/>
      <c r="H163" s="4205" t="n"/>
      <c r="I163" s="4205" t="n"/>
      <c r="J163" s="4205" t="n"/>
      <c r="K163" s="4205" t="n"/>
      <c r="L163" s="4205" t="n"/>
      <c r="M163" s="4205" t="n"/>
      <c r="N163" s="4205" t="n"/>
      <c r="O163" s="4205" t="n"/>
      <c r="P163" s="4205" t="n"/>
      <c r="Q163" s="4206" t="n"/>
      <c r="R163" s="4205" t="n"/>
      <c r="S163" s="4205" t="n"/>
      <c r="T163" s="4205" t="n"/>
      <c r="U163" s="4205" t="n"/>
      <c r="V163" s="4205" t="n"/>
      <c r="W163" s="4205" t="n"/>
      <c r="X163" s="4205" t="n"/>
      <c r="Y163" s="4205" t="n"/>
      <c r="Z163" s="4205" t="n"/>
      <c r="AA163" s="4205" t="n"/>
      <c r="AB163" s="4205" t="n"/>
      <c r="AC163" s="4206" t="n"/>
      <c r="AD163" s="4205" t="n"/>
      <c r="AE163" s="4205" t="n"/>
      <c r="AF163" s="4205" t="n"/>
      <c r="AG163" s="4205" t="n"/>
      <c r="AH163" s="4205" t="n"/>
      <c r="AI163" s="4205" t="n"/>
      <c r="AJ163" s="4205" t="n"/>
      <c r="AK163" s="4205" t="n"/>
      <c r="AL163" s="4205" t="n"/>
      <c r="AM163" s="4205" t="n"/>
      <c r="AN163" s="4205" t="n"/>
      <c r="AO163" s="4206" t="n"/>
      <c r="AP163" s="4205" t="n"/>
      <c r="AQ163" s="4205" t="n"/>
      <c r="AR163" s="4205" t="n"/>
      <c r="AS163" s="4205" t="n"/>
      <c r="AT163" s="4205" t="n"/>
      <c r="AU163" s="4207" t="n"/>
      <c r="AV163" s="4205" t="n"/>
      <c r="AW163" s="4205" t="n"/>
      <c r="AX163" s="4205" t="n"/>
      <c r="AY163" s="4205" t="n"/>
      <c r="AZ163" s="4205" t="n"/>
      <c r="BA163" s="3743" t="n"/>
      <c r="BB163" s="4205" t="n"/>
    </row>
    <row r="164" hidden="1" outlineLevel="1" collapsed="1" ht="12" customHeight="1" s="3710">
      <c r="C164" s="4108" t="inlineStr">
        <is>
          <t>Capitalized development costs</t>
        </is>
      </c>
      <c r="D164" s="4108" t="n"/>
      <c r="E164" s="4108" t="n"/>
      <c r="F164" s="4243" t="n"/>
      <c r="G164" s="4094" t="n"/>
      <c r="H164" s="4094" t="n"/>
      <c r="I164" s="4094" t="n"/>
      <c r="J164" s="4094" t="n"/>
      <c r="K164" s="4094" t="n"/>
      <c r="L164" s="4094" t="n"/>
      <c r="M164" s="4094" t="n"/>
      <c r="N164" s="4094" t="n"/>
      <c r="O164" s="4094" t="n"/>
      <c r="P164" s="4094" t="n"/>
      <c r="Q164" s="4095" t="n"/>
      <c r="R164" s="4094" t="n"/>
      <c r="S164" s="4094" t="n"/>
      <c r="T164" s="4094" t="n"/>
      <c r="U164" s="4094" t="n"/>
      <c r="V164" s="4094" t="n"/>
      <c r="W164" s="4094" t="n"/>
      <c r="X164" s="4094" t="n"/>
      <c r="Y164" s="4094" t="n"/>
      <c r="Z164" s="4094" t="n"/>
      <c r="AA164" s="4094" t="n"/>
      <c r="AB164" s="4094" t="n"/>
      <c r="AC164" s="4095" t="n"/>
      <c r="AD164" s="4094" t="n"/>
      <c r="AE164" s="4094" t="n"/>
      <c r="AF164" s="4094" t="n"/>
      <c r="AG164" s="4094" t="n"/>
      <c r="AH164" s="4094" t="n"/>
      <c r="AI164" s="4094" t="n"/>
      <c r="AJ164" s="4094" t="n"/>
      <c r="AK164" s="4094" t="n"/>
      <c r="AL164" s="4094" t="n"/>
      <c r="AM164" s="4094" t="n"/>
      <c r="AN164" s="4094" t="n"/>
      <c r="AO164" s="4095" t="n"/>
      <c r="AP164" s="4094" t="n"/>
      <c r="AQ164" s="4094" t="n"/>
      <c r="AR164" s="4094" t="n"/>
      <c r="AS164" s="4094" t="n"/>
      <c r="AT164" s="4094" t="n"/>
      <c r="AU164" s="4096" t="n"/>
      <c r="AV164" s="4094" t="n"/>
      <c r="AW164" s="4094" t="n"/>
      <c r="AX164" s="4094" t="n"/>
      <c r="AY164" s="4094" t="n"/>
      <c r="AZ164" s="4094" t="n"/>
      <c r="BA164" s="3737" t="n"/>
      <c r="BB164" s="4094" t="n"/>
    </row>
    <row r="165" hidden="1" outlineLevel="2" ht="12" customFormat="1" customHeight="1" s="3743">
      <c r="A165" s="4165" t="n"/>
      <c r="B165" s="3891" t="n"/>
      <c r="C165" s="4203" t="inlineStr">
        <is>
          <t>Investment in shares</t>
        </is>
      </c>
      <c r="D165" s="4204" t="n">
        <v>180101</v>
      </c>
      <c r="E165" s="4204" t="inlineStr">
        <is>
          <t>180101 - Investment in Shares</t>
        </is>
      </c>
      <c r="F165" s="4249" t="n"/>
      <c r="G165" s="4205" t="n"/>
      <c r="H165" s="4205" t="n"/>
      <c r="I165" s="4205" t="n"/>
      <c r="J165" s="4205" t="n"/>
      <c r="K165" s="4205" t="n"/>
      <c r="L165" s="4205" t="n"/>
      <c r="M165" s="4205" t="n"/>
      <c r="N165" s="4205" t="n"/>
      <c r="O165" s="4205" t="n"/>
      <c r="P165" s="4205" t="n"/>
      <c r="Q165" s="4206" t="n"/>
      <c r="R165" s="4205" t="n"/>
      <c r="S165" s="4205" t="n"/>
      <c r="T165" s="4205" t="n"/>
      <c r="U165" s="4205" t="n"/>
      <c r="V165" s="4205" t="n"/>
      <c r="W165" s="4205" t="n"/>
      <c r="X165" s="4205" t="n"/>
      <c r="Y165" s="4205" t="n"/>
      <c r="Z165" s="4205" t="n"/>
      <c r="AA165" s="4205" t="n"/>
      <c r="AB165" s="4205" t="n"/>
      <c r="AC165" s="4206" t="n"/>
      <c r="AD165" s="4205" t="n"/>
      <c r="AE165" s="4205" t="n"/>
      <c r="AF165" s="4205" t="n"/>
      <c r="AG165" s="4205" t="n"/>
      <c r="AH165" s="4205" t="n"/>
      <c r="AI165" s="4205" t="n"/>
      <c r="AJ165" s="4205" t="n"/>
      <c r="AK165" s="4205" t="n"/>
      <c r="AL165" s="4205" t="n"/>
      <c r="AM165" s="4205" t="n"/>
      <c r="AN165" s="4205" t="n"/>
      <c r="AO165" s="4206" t="n"/>
      <c r="AP165" s="4205" t="n"/>
      <c r="AQ165" s="4205" t="n"/>
      <c r="AR165" s="4205" t="n"/>
      <c r="AS165" s="4205" t="n"/>
      <c r="AT165" s="4205" t="n"/>
      <c r="AU165" s="4207" t="n"/>
      <c r="AV165" s="4205" t="n"/>
      <c r="AW165" s="4205" t="n"/>
      <c r="AX165" s="4205" t="n"/>
      <c r="AY165" s="4205" t="n"/>
      <c r="AZ165" s="4205" t="n"/>
      <c r="BA165" s="3743" t="n"/>
      <c r="BB165" s="4205" t="n"/>
    </row>
    <row r="166" hidden="1" outlineLevel="1" collapsed="1" ht="12" customHeight="1" s="3710">
      <c r="C166" s="4150" t="inlineStr">
        <is>
          <t>Purchase of shares</t>
        </is>
      </c>
      <c r="D166" s="4150" t="n"/>
      <c r="E166" s="4150" t="n"/>
      <c r="F166" s="4244" t="n"/>
      <c r="G166" s="4102" t="n"/>
      <c r="H166" s="4102" t="n"/>
      <c r="I166" s="4102" t="n"/>
      <c r="J166" s="4102" t="n"/>
      <c r="K166" s="4102" t="n"/>
      <c r="L166" s="4102" t="n"/>
      <c r="M166" s="4102" t="n"/>
      <c r="N166" s="4102" t="n"/>
      <c r="O166" s="4102" t="n"/>
      <c r="P166" s="4102" t="n"/>
      <c r="Q166" s="4103" t="n"/>
      <c r="R166" s="4102" t="n"/>
      <c r="S166" s="4102" t="n"/>
      <c r="T166" s="4102" t="n"/>
      <c r="U166" s="4102" t="n"/>
      <c r="V166" s="4102" t="n"/>
      <c r="W166" s="4102" t="n"/>
      <c r="X166" s="4102" t="n"/>
      <c r="Y166" s="4102" t="n"/>
      <c r="Z166" s="4102" t="n"/>
      <c r="AA166" s="4102" t="n"/>
      <c r="AB166" s="4102" t="n"/>
      <c r="AC166" s="4103" t="n"/>
      <c r="AD166" s="4102" t="n"/>
      <c r="AE166" s="4102" t="n"/>
      <c r="AF166" s="4102" t="n"/>
      <c r="AG166" s="4102" t="n"/>
      <c r="AH166" s="4102" t="n"/>
      <c r="AI166" s="4102" t="n"/>
      <c r="AJ166" s="4102" t="n"/>
      <c r="AK166" s="4102" t="n"/>
      <c r="AL166" s="4102" t="n"/>
      <c r="AM166" s="4102" t="n"/>
      <c r="AN166" s="4102" t="n"/>
      <c r="AO166" s="4103" t="n"/>
      <c r="AP166" s="4102" t="n"/>
      <c r="AQ166" s="4102" t="n"/>
      <c r="AR166" s="4102" t="n"/>
      <c r="AS166" s="4102" t="n"/>
      <c r="AT166" s="4102" t="n"/>
      <c r="AU166" s="4104" t="n"/>
      <c r="AV166" s="4102" t="n"/>
      <c r="AW166" s="4102" t="n"/>
      <c r="AX166" s="4102" t="n"/>
      <c r="AY166" s="4102" t="n"/>
      <c r="AZ166" s="4102" t="n"/>
      <c r="BA166" s="3737" t="n"/>
      <c r="BB166" s="4102" t="n"/>
    </row>
    <row r="167" ht="12" customHeight="1" s="3710">
      <c r="C167" s="4093" t="inlineStr">
        <is>
          <t>Cash flow from investing activities</t>
        </is>
      </c>
      <c r="D167" s="4093" t="n"/>
      <c r="E167" s="4093" t="n"/>
      <c r="F167" s="4243" t="n"/>
      <c r="G167" s="4094" t="n"/>
      <c r="H167" s="4094" t="n"/>
      <c r="I167" s="4094" t="n"/>
      <c r="J167" s="4094" t="n"/>
      <c r="K167" s="4094" t="n"/>
      <c r="L167" s="4094" t="n"/>
      <c r="M167" s="4094" t="n"/>
      <c r="N167" s="4094" t="n"/>
      <c r="O167" s="4094" t="n"/>
      <c r="P167" s="4094" t="n"/>
      <c r="Q167" s="4095" t="n"/>
      <c r="R167" s="4094" t="n"/>
      <c r="S167" s="4094" t="n"/>
      <c r="T167" s="4094" t="n"/>
      <c r="U167" s="4094" t="n"/>
      <c r="V167" s="4094" t="n"/>
      <c r="W167" s="4094" t="n"/>
      <c r="X167" s="4094" t="n"/>
      <c r="Y167" s="4094" t="n"/>
      <c r="Z167" s="4094" t="n"/>
      <c r="AA167" s="4094" t="n"/>
      <c r="AB167" s="4094" t="n"/>
      <c r="AC167" s="4095" t="n"/>
      <c r="AD167" s="4094" t="n"/>
      <c r="AE167" s="4094" t="n"/>
      <c r="AF167" s="4094" t="n"/>
      <c r="AG167" s="4094" t="n"/>
      <c r="AH167" s="4094" t="n"/>
      <c r="AI167" s="4094" t="n"/>
      <c r="AJ167" s="4094" t="n"/>
      <c r="AK167" s="4094" t="n"/>
      <c r="AL167" s="4094" t="n"/>
      <c r="AM167" s="4094" t="n"/>
      <c r="AN167" s="4094" t="n"/>
      <c r="AO167" s="4095" t="n"/>
      <c r="AP167" s="4094" t="n"/>
      <c r="AQ167" s="4094" t="n"/>
      <c r="AR167" s="4094" t="n"/>
      <c r="AS167" s="4094" t="n"/>
      <c r="AT167" s="4094" t="n"/>
      <c r="AU167" s="4096" t="n"/>
      <c r="AV167" s="4094" t="n"/>
      <c r="AW167" s="4094" t="n"/>
      <c r="AX167" s="4094" t="n"/>
      <c r="AY167" s="4094" t="n"/>
      <c r="AZ167" s="4094" t="n"/>
      <c r="BA167" s="3737" t="n"/>
      <c r="BB167" s="4094" t="n"/>
    </row>
    <row r="168" hidden="1" outlineLevel="1" ht="12" customHeight="1" s="3710">
      <c r="C168" s="4242" t="inlineStr">
        <is>
          <t>Financing</t>
        </is>
      </c>
      <c r="D168" s="4242" t="n"/>
      <c r="E168" s="4242" t="n"/>
      <c r="F168" s="4243" t="n"/>
      <c r="G168" s="4094" t="n"/>
      <c r="H168" s="4094" t="n"/>
      <c r="I168" s="4094" t="n"/>
      <c r="J168" s="4094" t="n"/>
      <c r="K168" s="4094" t="n"/>
      <c r="L168" s="4094" t="n"/>
      <c r="M168" s="4094" t="n"/>
      <c r="N168" s="4094" t="n"/>
      <c r="O168" s="4094" t="n"/>
      <c r="P168" s="4094" t="n"/>
      <c r="Q168" s="4095" t="n"/>
      <c r="R168" s="4094" t="n"/>
      <c r="S168" s="4094" t="n"/>
      <c r="T168" s="4094" t="n"/>
      <c r="U168" s="4094" t="n"/>
      <c r="V168" s="4094" t="n"/>
      <c r="W168" s="4094" t="n"/>
      <c r="X168" s="4094" t="n"/>
      <c r="Y168" s="4094" t="n"/>
      <c r="Z168" s="4094" t="n"/>
      <c r="AA168" s="4094" t="n"/>
      <c r="AB168" s="4094" t="n"/>
      <c r="AC168" s="4095" t="n"/>
      <c r="AD168" s="4094" t="n"/>
      <c r="AE168" s="4094" t="n"/>
      <c r="AF168" s="4094" t="n"/>
      <c r="AG168" s="4094" t="n"/>
      <c r="AH168" s="4094" t="n"/>
      <c r="AI168" s="4094" t="n"/>
      <c r="AJ168" s="4094" t="n"/>
      <c r="AK168" s="4094" t="n"/>
      <c r="AL168" s="4094" t="n"/>
      <c r="AM168" s="4094" t="n"/>
      <c r="AN168" s="4094" t="n"/>
      <c r="AO168" s="4095" t="n"/>
      <c r="AP168" s="4094" t="n"/>
      <c r="AQ168" s="4094" t="n"/>
      <c r="AR168" s="4094" t="n"/>
      <c r="AS168" s="4094" t="n"/>
      <c r="AT168" s="4094" t="n"/>
      <c r="AU168" s="4096" t="n"/>
      <c r="AV168" s="4094" t="n"/>
      <c r="AW168" s="4094" t="n"/>
      <c r="AX168" s="4094" t="n"/>
      <c r="AY168" s="4094" t="n"/>
      <c r="AZ168" s="4094" t="n"/>
      <c r="BA168" s="3737" t="n"/>
      <c r="BB168" s="4094" t="n"/>
    </row>
    <row r="169" hidden="1" outlineLevel="3" ht="12" customFormat="1" customHeight="1" s="3743">
      <c r="A169" s="4165" t="n"/>
      <c r="B169" s="3891" t="n"/>
      <c r="C169" s="4219" t="inlineStr">
        <is>
          <t>Current maturity - prop lease</t>
        </is>
      </c>
      <c r="D169" s="4204" t="n">
        <v>230116</v>
      </c>
      <c r="E169" s="4204" t="inlineStr">
        <is>
          <t>TBD</t>
        </is>
      </c>
      <c r="F169" s="4249" t="n"/>
      <c r="G169" s="4205" t="n"/>
      <c r="H169" s="4205" t="n"/>
      <c r="I169" s="4205" t="n"/>
      <c r="J169" s="4205" t="n"/>
      <c r="K169" s="4205" t="n"/>
      <c r="L169" s="4205" t="n"/>
      <c r="M169" s="4205" t="n"/>
      <c r="N169" s="4205" t="n"/>
      <c r="O169" s="4205" t="n"/>
      <c r="P169" s="4205" t="n"/>
      <c r="Q169" s="4206" t="n"/>
      <c r="R169" s="4205" t="n"/>
      <c r="S169" s="4205" t="n"/>
      <c r="T169" s="4205" t="n"/>
      <c r="U169" s="4205" t="n"/>
      <c r="V169" s="4205" t="n"/>
      <c r="W169" s="4205" t="n"/>
      <c r="X169" s="4205" t="n"/>
      <c r="Y169" s="4205" t="n"/>
      <c r="Z169" s="4205" t="n"/>
      <c r="AA169" s="4205" t="n"/>
      <c r="AB169" s="4205" t="n"/>
      <c r="AC169" s="4206" t="n"/>
      <c r="AD169" s="4205" t="n"/>
      <c r="AE169" s="4205" t="n"/>
      <c r="AF169" s="4205" t="n"/>
      <c r="AG169" s="4205" t="n"/>
      <c r="AH169" s="4205" t="n"/>
      <c r="AI169" s="4205" t="n"/>
      <c r="AJ169" s="4205" t="n"/>
      <c r="AK169" s="4205" t="n"/>
      <c r="AL169" s="4205" t="n"/>
      <c r="AM169" s="4205" t="n"/>
      <c r="AN169" s="4205" t="n"/>
      <c r="AO169" s="4206" t="n"/>
      <c r="AP169" s="4205" t="n"/>
      <c r="AQ169" s="4205" t="n"/>
      <c r="AR169" s="4205" t="n"/>
      <c r="AS169" s="4205" t="n"/>
      <c r="AT169" s="4205" t="n"/>
      <c r="AU169" s="4207" t="n"/>
      <c r="AV169" s="4205" t="n"/>
      <c r="AW169" s="4205" t="n"/>
      <c r="AX169" s="4205" t="n"/>
      <c r="AY169" s="4205" t="n"/>
      <c r="AZ169" s="4205" t="n"/>
      <c r="BA169" s="3743" t="n"/>
      <c r="BB169" s="4205" t="n"/>
    </row>
    <row r="170" hidden="1" outlineLevel="2" collapsed="1" ht="12" customFormat="1" customHeight="1" s="3743">
      <c r="A170" s="4165" t="n"/>
      <c r="B170" s="3891" t="n"/>
      <c r="C170" s="4012" t="inlineStr">
        <is>
          <t xml:space="preserve">Finance lease obligation - property lease </t>
        </is>
      </c>
      <c r="D170" s="3902" t="n"/>
      <c r="E170" s="3902" t="n"/>
      <c r="F170" s="4250" t="n"/>
      <c r="G170" s="3900" t="n"/>
      <c r="H170" s="3900" t="n"/>
      <c r="I170" s="3900" t="n"/>
      <c r="J170" s="3900" t="n"/>
      <c r="K170" s="3900" t="n"/>
      <c r="L170" s="3900" t="n"/>
      <c r="M170" s="3900" t="n"/>
      <c r="N170" s="3900" t="n"/>
      <c r="O170" s="3900" t="n"/>
      <c r="P170" s="3900" t="n"/>
      <c r="Q170" s="4200" t="n"/>
      <c r="R170" s="3900" t="n"/>
      <c r="S170" s="3900" t="n"/>
      <c r="T170" s="3900" t="n"/>
      <c r="U170" s="3900" t="n"/>
      <c r="V170" s="3900" t="n"/>
      <c r="W170" s="3900" t="n"/>
      <c r="X170" s="3900" t="n"/>
      <c r="Y170" s="3900" t="n"/>
      <c r="Z170" s="3900" t="n"/>
      <c r="AA170" s="3900" t="n"/>
      <c r="AB170" s="3900" t="n"/>
      <c r="AC170" s="4200" t="n"/>
      <c r="AD170" s="3900" t="n"/>
      <c r="AE170" s="3900" t="n"/>
      <c r="AF170" s="3900" t="n"/>
      <c r="AG170" s="3900" t="n"/>
      <c r="AH170" s="3900" t="n"/>
      <c r="AI170" s="3900" t="n"/>
      <c r="AJ170" s="3900" t="n"/>
      <c r="AK170" s="3900" t="n"/>
      <c r="AL170" s="3900" t="n"/>
      <c r="AM170" s="3900" t="n"/>
      <c r="AN170" s="3900" t="n"/>
      <c r="AO170" s="4200" t="n"/>
      <c r="AP170" s="3900" t="n"/>
      <c r="AQ170" s="3900" t="n"/>
      <c r="AR170" s="3900" t="n"/>
      <c r="AS170" s="3900" t="n"/>
      <c r="AT170" s="3900" t="n"/>
      <c r="AU170" s="4201" t="n"/>
      <c r="AV170" s="3900" t="n"/>
      <c r="AW170" s="3900" t="n"/>
      <c r="AX170" s="3900" t="n"/>
      <c r="AY170" s="3900" t="n"/>
      <c r="AZ170" s="3900" t="n"/>
      <c r="BA170" s="3743" t="n"/>
      <c r="BB170" s="3900" t="n"/>
    </row>
    <row r="171" hidden="1" outlineLevel="3" ht="12" customFormat="1" customHeight="1" s="3743">
      <c r="A171" s="4165" t="n"/>
      <c r="B171" s="3891" t="n"/>
      <c r="C171" s="4219" t="inlineStr">
        <is>
          <t>Long term - property lease</t>
        </is>
      </c>
      <c r="D171" s="4204" t="n">
        <v>270216</v>
      </c>
      <c r="E171" s="4204" t="inlineStr">
        <is>
          <t>270216 - Long Term - Property Lease</t>
        </is>
      </c>
      <c r="F171" s="4249" t="n"/>
      <c r="G171" s="4205" t="n"/>
      <c r="H171" s="4205" t="n"/>
      <c r="I171" s="4205" t="n"/>
      <c r="J171" s="4205" t="n"/>
      <c r="K171" s="4205" t="n"/>
      <c r="L171" s="4205" t="n"/>
      <c r="M171" s="4205" t="n"/>
      <c r="N171" s="4205" t="n"/>
      <c r="O171" s="4205" t="n"/>
      <c r="P171" s="4205" t="n"/>
      <c r="Q171" s="4206" t="n"/>
      <c r="R171" s="4205" t="n"/>
      <c r="S171" s="4205" t="n"/>
      <c r="T171" s="4205" t="n"/>
      <c r="U171" s="4205" t="n"/>
      <c r="V171" s="4205" t="n"/>
      <c r="W171" s="4205" t="n"/>
      <c r="X171" s="4205" t="n"/>
      <c r="Y171" s="4205" t="n"/>
      <c r="Z171" s="4205" t="n"/>
      <c r="AA171" s="4205" t="n"/>
      <c r="AB171" s="4205" t="n"/>
      <c r="AC171" s="4206" t="n"/>
      <c r="AD171" s="4205" t="n"/>
      <c r="AE171" s="4205" t="n"/>
      <c r="AF171" s="4205" t="n"/>
      <c r="AG171" s="4205" t="n"/>
      <c r="AH171" s="4205" t="n"/>
      <c r="AI171" s="4205" t="n"/>
      <c r="AJ171" s="4205" t="n"/>
      <c r="AK171" s="4205" t="n"/>
      <c r="AL171" s="4205" t="n"/>
      <c r="AM171" s="4205" t="n"/>
      <c r="AN171" s="4205" t="n"/>
      <c r="AO171" s="4206" t="n"/>
      <c r="AP171" s="4205" t="n"/>
      <c r="AQ171" s="4205" t="n"/>
      <c r="AR171" s="4205" t="n"/>
      <c r="AS171" s="4205" t="n"/>
      <c r="AT171" s="4205" t="n"/>
      <c r="AU171" s="4207" t="n"/>
      <c r="AV171" s="4205" t="n"/>
      <c r="AW171" s="4205" t="n"/>
      <c r="AX171" s="4205" t="n"/>
      <c r="AY171" s="4205" t="n"/>
      <c r="AZ171" s="4205" t="n"/>
      <c r="BA171" s="3743" t="n"/>
      <c r="BB171" s="4205" t="n"/>
    </row>
    <row r="172" hidden="1" outlineLevel="2" collapsed="1" ht="12" customFormat="1" customHeight="1" s="3743">
      <c r="A172" s="4165" t="n"/>
      <c r="B172" s="3891" t="n"/>
      <c r="C172" s="4203" t="inlineStr">
        <is>
          <t xml:space="preserve">Long term - property lease </t>
        </is>
      </c>
      <c r="D172" s="4204" t="n"/>
      <c r="E172" s="4204" t="n"/>
      <c r="F172" s="4249" t="n"/>
      <c r="G172" s="4205" t="n"/>
      <c r="H172" s="4205" t="n"/>
      <c r="I172" s="4205" t="n"/>
      <c r="J172" s="4205" t="n"/>
      <c r="K172" s="4205" t="n"/>
      <c r="L172" s="4205" t="n"/>
      <c r="M172" s="4205" t="n"/>
      <c r="N172" s="4205" t="n"/>
      <c r="O172" s="4205" t="n"/>
      <c r="P172" s="4205" t="n"/>
      <c r="Q172" s="4206" t="n"/>
      <c r="R172" s="4205" t="n"/>
      <c r="S172" s="4205" t="n"/>
      <c r="T172" s="4205" t="n"/>
      <c r="U172" s="4205" t="n"/>
      <c r="V172" s="4205" t="n"/>
      <c r="W172" s="4205" t="n"/>
      <c r="X172" s="4205" t="n"/>
      <c r="Y172" s="4205" t="n"/>
      <c r="Z172" s="4205" t="n"/>
      <c r="AA172" s="4205" t="n"/>
      <c r="AB172" s="4205" t="n"/>
      <c r="AC172" s="4206" t="n"/>
      <c r="AD172" s="4205" t="n"/>
      <c r="AE172" s="4205" t="n"/>
      <c r="AF172" s="4205" t="n"/>
      <c r="AG172" s="4205" t="n"/>
      <c r="AH172" s="4205" t="n"/>
      <c r="AI172" s="4205" t="n"/>
      <c r="AJ172" s="4205" t="n"/>
      <c r="AK172" s="4205" t="n"/>
      <c r="AL172" s="4205" t="n"/>
      <c r="AM172" s="4205" t="n"/>
      <c r="AN172" s="4205" t="n"/>
      <c r="AO172" s="4206" t="n"/>
      <c r="AP172" s="4205" t="n"/>
      <c r="AQ172" s="4205" t="n"/>
      <c r="AR172" s="4205" t="n"/>
      <c r="AS172" s="4205" t="n"/>
      <c r="AT172" s="4205" t="n"/>
      <c r="AU172" s="4207" t="n"/>
      <c r="AV172" s="4205" t="n"/>
      <c r="AW172" s="4205" t="n"/>
      <c r="AX172" s="4205" t="n"/>
      <c r="AY172" s="4205" t="n"/>
      <c r="AZ172" s="4205" t="n"/>
      <c r="BA172" s="3743" t="n"/>
      <c r="BB172" s="4205" t="n"/>
    </row>
    <row r="173" hidden="1" outlineLevel="1" ht="12" customHeight="1" s="3710">
      <c r="C173" s="4108" t="inlineStr">
        <is>
          <t xml:space="preserve">Finance lease obligation - property lease </t>
        </is>
      </c>
      <c r="D173" s="4108" t="n"/>
      <c r="E173" s="4108" t="n"/>
      <c r="F173" s="4243" t="n"/>
      <c r="G173" s="4094" t="n"/>
      <c r="H173" s="4094" t="n"/>
      <c r="I173" s="4094" t="n"/>
      <c r="J173" s="4094" t="n"/>
      <c r="K173" s="4094" t="n"/>
      <c r="L173" s="4094" t="n"/>
      <c r="M173" s="4094" t="n"/>
      <c r="N173" s="4094" t="n"/>
      <c r="O173" s="4094" t="n"/>
      <c r="P173" s="4094" t="n"/>
      <c r="Q173" s="4095" t="n"/>
      <c r="R173" s="4094" t="n"/>
      <c r="S173" s="4094" t="n"/>
      <c r="T173" s="4094" t="n"/>
      <c r="U173" s="4094" t="n"/>
      <c r="V173" s="4094" t="n"/>
      <c r="W173" s="4094" t="n"/>
      <c r="X173" s="4094" t="n"/>
      <c r="Y173" s="4094" t="n"/>
      <c r="Z173" s="4094" t="n"/>
      <c r="AA173" s="4094" t="n"/>
      <c r="AB173" s="4094" t="n"/>
      <c r="AC173" s="4095" t="n"/>
      <c r="AD173" s="4094" t="n"/>
      <c r="AE173" s="4094" t="n"/>
      <c r="AF173" s="4094" t="n"/>
      <c r="AG173" s="4094" t="n"/>
      <c r="AH173" s="4094" t="n"/>
      <c r="AI173" s="4094" t="n"/>
      <c r="AJ173" s="4094" t="n"/>
      <c r="AK173" s="4094" t="n"/>
      <c r="AL173" s="4094" t="n"/>
      <c r="AM173" s="4094" t="n"/>
      <c r="AN173" s="4094" t="n"/>
      <c r="AO173" s="4095" t="n"/>
      <c r="AP173" s="4094" t="n"/>
      <c r="AQ173" s="4094" t="n"/>
      <c r="AR173" s="4094" t="n"/>
      <c r="AS173" s="4094" t="n"/>
      <c r="AT173" s="4094" t="n"/>
      <c r="AU173" s="4096" t="n"/>
      <c r="AV173" s="4094" t="n"/>
      <c r="AW173" s="4094" t="n"/>
      <c r="AX173" s="4094" t="n"/>
      <c r="AY173" s="4094" t="n"/>
      <c r="AZ173" s="4094" t="n"/>
      <c r="BA173" s="3737" t="n"/>
      <c r="BB173" s="4094" t="n"/>
    </row>
    <row r="174" hidden="1" outlineLevel="3" ht="12" customFormat="1" customHeight="1" s="3743">
      <c r="A174" s="4165" t="n"/>
      <c r="B174" s="3891" t="n"/>
      <c r="C174" s="4219" t="inlineStr">
        <is>
          <t>Current maturities - finance lease</t>
        </is>
      </c>
      <c r="D174" s="4204" t="n">
        <v>230101</v>
      </c>
      <c r="E174" s="4204" t="inlineStr">
        <is>
          <t>230101 - Current Maturities - Finance Lease</t>
        </is>
      </c>
      <c r="F174" s="4249" t="n"/>
      <c r="G174" s="4205" t="n"/>
      <c r="H174" s="4205" t="n"/>
      <c r="I174" s="4205" t="n"/>
      <c r="J174" s="4205" t="n"/>
      <c r="K174" s="4205" t="n"/>
      <c r="L174" s="4205" t="n"/>
      <c r="M174" s="4205" t="n"/>
      <c r="N174" s="4205" t="n"/>
      <c r="O174" s="4205" t="n"/>
      <c r="P174" s="4205" t="n"/>
      <c r="Q174" s="4206" t="n"/>
      <c r="R174" s="4205" t="n"/>
      <c r="S174" s="4205" t="n"/>
      <c r="T174" s="4205" t="n"/>
      <c r="U174" s="4205" t="n"/>
      <c r="V174" s="4205" t="n"/>
      <c r="W174" s="4205" t="n"/>
      <c r="X174" s="4205" t="n"/>
      <c r="Y174" s="4205" t="n"/>
      <c r="Z174" s="4205" t="n"/>
      <c r="AA174" s="4205" t="n"/>
      <c r="AB174" s="4205" t="n"/>
      <c r="AC174" s="4206" t="n"/>
      <c r="AD174" s="4205" t="n"/>
      <c r="AE174" s="4205" t="n"/>
      <c r="AF174" s="4205" t="n"/>
      <c r="AG174" s="4205" t="n"/>
      <c r="AH174" s="4205" t="n"/>
      <c r="AI174" s="4205" t="n"/>
      <c r="AJ174" s="4205" t="n"/>
      <c r="AK174" s="4205" t="n"/>
      <c r="AL174" s="4205" t="n"/>
      <c r="AM174" s="4205" t="n"/>
      <c r="AN174" s="4205" t="n"/>
      <c r="AO174" s="4206" t="n"/>
      <c r="AP174" s="4205" t="n"/>
      <c r="AQ174" s="4205" t="n"/>
      <c r="AR174" s="4205" t="n"/>
      <c r="AS174" s="4205" t="n"/>
      <c r="AT174" s="4205" t="n"/>
      <c r="AU174" s="4207" t="n"/>
      <c r="AV174" s="4205" t="n"/>
      <c r="AW174" s="4205" t="n"/>
      <c r="AX174" s="4205" t="n"/>
      <c r="AY174" s="4205" t="n"/>
      <c r="AZ174" s="4205" t="n"/>
      <c r="BA174" s="3743" t="n"/>
      <c r="BB174" s="4205" t="n"/>
    </row>
    <row r="175" hidden="1" outlineLevel="2" collapsed="1" ht="12" customFormat="1" customHeight="1" s="3743">
      <c r="A175" s="4165" t="n"/>
      <c r="B175" s="3891" t="n"/>
      <c r="C175" s="4012" t="inlineStr">
        <is>
          <t xml:space="preserve">Finance lease obligation - leased equipment </t>
        </is>
      </c>
      <c r="D175" s="3902" t="n"/>
      <c r="E175" s="3902" t="n"/>
      <c r="F175" s="4250" t="n"/>
      <c r="G175" s="3900" t="n"/>
      <c r="H175" s="3900" t="n"/>
      <c r="I175" s="3900" t="n"/>
      <c r="J175" s="3900" t="n"/>
      <c r="K175" s="3900" t="n"/>
      <c r="L175" s="3900" t="n"/>
      <c r="M175" s="3900" t="n"/>
      <c r="N175" s="3900" t="n"/>
      <c r="O175" s="3900" t="n"/>
      <c r="P175" s="3900" t="n"/>
      <c r="Q175" s="4200" t="n"/>
      <c r="R175" s="3900" t="n"/>
      <c r="S175" s="3900" t="n"/>
      <c r="T175" s="3900" t="n"/>
      <c r="U175" s="3900" t="n"/>
      <c r="V175" s="3900" t="n"/>
      <c r="W175" s="3900" t="n"/>
      <c r="X175" s="3900" t="n"/>
      <c r="Y175" s="3900" t="n"/>
      <c r="Z175" s="3900" t="n"/>
      <c r="AA175" s="3900" t="n"/>
      <c r="AB175" s="3900" t="n"/>
      <c r="AC175" s="4200" t="n"/>
      <c r="AD175" s="3900" t="n"/>
      <c r="AE175" s="3900" t="n"/>
      <c r="AF175" s="3900" t="n"/>
      <c r="AG175" s="3900" t="n"/>
      <c r="AH175" s="3900" t="n"/>
      <c r="AI175" s="3900" t="n"/>
      <c r="AJ175" s="3900" t="n"/>
      <c r="AK175" s="3900" t="n"/>
      <c r="AL175" s="3900" t="n"/>
      <c r="AM175" s="3900" t="n"/>
      <c r="AN175" s="3900" t="n"/>
      <c r="AO175" s="4200" t="n"/>
      <c r="AP175" s="3900" t="n"/>
      <c r="AQ175" s="3900" t="n"/>
      <c r="AR175" s="3900" t="n"/>
      <c r="AS175" s="3900" t="n"/>
      <c r="AT175" s="3900" t="n"/>
      <c r="AU175" s="4201" t="n"/>
      <c r="AV175" s="3900" t="n"/>
      <c r="AW175" s="3900" t="n"/>
      <c r="AX175" s="3900" t="n"/>
      <c r="AY175" s="3900" t="n"/>
      <c r="AZ175" s="3900" t="n"/>
      <c r="BA175" s="3743" t="n"/>
      <c r="BB175" s="3900" t="n"/>
    </row>
    <row r="176" hidden="1" outlineLevel="3" ht="12" customFormat="1" customHeight="1" s="3743">
      <c r="A176" s="4165" t="n"/>
      <c r="B176" s="3891" t="n"/>
      <c r="C176" s="4219" t="inlineStr">
        <is>
          <t>Long term - finance lease obligations</t>
        </is>
      </c>
      <c r="D176" s="4204" t="n">
        <v>270201</v>
      </c>
      <c r="E176" s="4204" t="inlineStr">
        <is>
          <t>270201 - Long Term - Finance Lease Obligations</t>
        </is>
      </c>
      <c r="F176" s="4249" t="n"/>
      <c r="G176" s="4205" t="n"/>
      <c r="H176" s="4205" t="n"/>
      <c r="I176" s="4205" t="n"/>
      <c r="J176" s="4205" t="n"/>
      <c r="K176" s="4205" t="n"/>
      <c r="L176" s="4205" t="n"/>
      <c r="M176" s="4205" t="n"/>
      <c r="N176" s="4205" t="n"/>
      <c r="O176" s="4205" t="n"/>
      <c r="P176" s="4205" t="n"/>
      <c r="Q176" s="4206" t="n"/>
      <c r="R176" s="4205" t="n"/>
      <c r="S176" s="4205" t="n"/>
      <c r="T176" s="4205" t="n"/>
      <c r="U176" s="4205" t="n"/>
      <c r="V176" s="4205" t="n"/>
      <c r="W176" s="4205" t="n"/>
      <c r="X176" s="4205" t="n"/>
      <c r="Y176" s="4205" t="n"/>
      <c r="Z176" s="4205" t="n"/>
      <c r="AA176" s="4205" t="n"/>
      <c r="AB176" s="4205" t="n"/>
      <c r="AC176" s="4206" t="n"/>
      <c r="AD176" s="4205" t="n"/>
      <c r="AE176" s="4205" t="n"/>
      <c r="AF176" s="4205" t="n"/>
      <c r="AG176" s="4205" t="n"/>
      <c r="AH176" s="4205" t="n"/>
      <c r="AI176" s="4205" t="n"/>
      <c r="AJ176" s="4205" t="n"/>
      <c r="AK176" s="4205" t="n"/>
      <c r="AL176" s="4205" t="n"/>
      <c r="AM176" s="4205" t="n"/>
      <c r="AN176" s="4205" t="n"/>
      <c r="AO176" s="4206" t="n"/>
      <c r="AP176" s="4205" t="n"/>
      <c r="AQ176" s="4205" t="n"/>
      <c r="AR176" s="4205" t="n"/>
      <c r="AS176" s="4205" t="n"/>
      <c r="AT176" s="4205" t="n"/>
      <c r="AU176" s="4207" t="n"/>
      <c r="AV176" s="4205" t="n"/>
      <c r="AW176" s="4205" t="n"/>
      <c r="AX176" s="4205" t="n"/>
      <c r="AY176" s="4205" t="n"/>
      <c r="AZ176" s="4205" t="n"/>
      <c r="BA176" s="3743" t="n"/>
      <c r="BB176" s="4205" t="n"/>
      <c r="BC176" s="3900" t="n"/>
      <c r="BD176" s="3900" t="n"/>
    </row>
    <row r="177" hidden="1" outlineLevel="2" collapsed="1" ht="12" customFormat="1" customHeight="1" s="3743">
      <c r="A177" s="4165" t="n"/>
      <c r="B177" s="3891" t="n"/>
      <c r="C177" s="4203" t="inlineStr">
        <is>
          <t xml:space="preserve">Long-term finance lease - leased equipment </t>
        </is>
      </c>
      <c r="D177" s="4204" t="n"/>
      <c r="E177" s="4204" t="n"/>
      <c r="F177" s="4249" t="n"/>
      <c r="G177" s="4205" t="n"/>
      <c r="H177" s="4205" t="n"/>
      <c r="I177" s="4205" t="n"/>
      <c r="J177" s="4205" t="n"/>
      <c r="K177" s="4205" t="n"/>
      <c r="L177" s="4205" t="n"/>
      <c r="M177" s="4205" t="n"/>
      <c r="N177" s="4205" t="n"/>
      <c r="O177" s="4205" t="n"/>
      <c r="P177" s="4205" t="n"/>
      <c r="Q177" s="4206" t="n"/>
      <c r="R177" s="4205" t="n"/>
      <c r="S177" s="4205" t="n"/>
      <c r="T177" s="4205" t="n"/>
      <c r="U177" s="4205" t="n"/>
      <c r="V177" s="4205" t="n"/>
      <c r="W177" s="4205" t="n"/>
      <c r="X177" s="4205" t="n"/>
      <c r="Y177" s="4205" t="n"/>
      <c r="Z177" s="4205" t="n"/>
      <c r="AA177" s="4205" t="n"/>
      <c r="AB177" s="4205" t="n"/>
      <c r="AC177" s="4206" t="n"/>
      <c r="AD177" s="4205" t="n"/>
      <c r="AE177" s="4205" t="n"/>
      <c r="AF177" s="4205" t="n"/>
      <c r="AG177" s="4205" t="n"/>
      <c r="AH177" s="4205" t="n"/>
      <c r="AI177" s="4205" t="n"/>
      <c r="AJ177" s="4205" t="n"/>
      <c r="AK177" s="4205" t="n"/>
      <c r="AL177" s="4205" t="n"/>
      <c r="AM177" s="4205" t="n"/>
      <c r="AN177" s="4205" t="n"/>
      <c r="AO177" s="4206" t="n"/>
      <c r="AP177" s="4205" t="n"/>
      <c r="AQ177" s="4205" t="n"/>
      <c r="AR177" s="4205" t="n"/>
      <c r="AS177" s="4205" t="n"/>
      <c r="AT177" s="4205" t="n"/>
      <c r="AU177" s="4207" t="n"/>
      <c r="AV177" s="4205" t="n"/>
      <c r="AW177" s="4205" t="n"/>
      <c r="AX177" s="4205" t="n"/>
      <c r="AY177" s="4205" t="n"/>
      <c r="AZ177" s="4205" t="n"/>
      <c r="BA177" s="3743" t="n"/>
      <c r="BB177" s="4205" t="n"/>
    </row>
    <row r="178" hidden="1" outlineLevel="1" ht="12" customHeight="1" s="3710">
      <c r="C178" s="4108" t="inlineStr">
        <is>
          <t xml:space="preserve">Finance lease obligation - leased equipment </t>
        </is>
      </c>
      <c r="D178" s="4108" t="n"/>
      <c r="E178" s="4108" t="n"/>
      <c r="F178" s="4243" t="n"/>
      <c r="G178" s="4094" t="n"/>
      <c r="H178" s="4094" t="n"/>
      <c r="I178" s="4094" t="n"/>
      <c r="J178" s="4094" t="n"/>
      <c r="K178" s="4094" t="n"/>
      <c r="L178" s="4094" t="n"/>
      <c r="M178" s="4094" t="n"/>
      <c r="N178" s="4094" t="n"/>
      <c r="O178" s="4094" t="n"/>
      <c r="P178" s="4094" t="n"/>
      <c r="Q178" s="4095" t="n"/>
      <c r="R178" s="4094" t="n"/>
      <c r="S178" s="4094" t="n"/>
      <c r="T178" s="4094" t="n"/>
      <c r="U178" s="4094" t="n"/>
      <c r="V178" s="4094" t="n"/>
      <c r="W178" s="4094" t="n"/>
      <c r="X178" s="4094" t="n"/>
      <c r="Y178" s="4094" t="n"/>
      <c r="Z178" s="4094" t="n"/>
      <c r="AA178" s="4094" t="n"/>
      <c r="AB178" s="4094" t="n"/>
      <c r="AC178" s="4095" t="n"/>
      <c r="AD178" s="4094" t="n"/>
      <c r="AE178" s="4094" t="n"/>
      <c r="AF178" s="4094" t="n"/>
      <c r="AG178" s="4094" t="n"/>
      <c r="AH178" s="4094" t="n"/>
      <c r="AI178" s="4094" t="n"/>
      <c r="AJ178" s="4094" t="n"/>
      <c r="AK178" s="4094" t="n"/>
      <c r="AL178" s="4094" t="n"/>
      <c r="AM178" s="4094" t="n"/>
      <c r="AN178" s="4094" t="n"/>
      <c r="AO178" s="4095" t="n"/>
      <c r="AP178" s="4094" t="n"/>
      <c r="AQ178" s="4094" t="n"/>
      <c r="AR178" s="4094" t="n"/>
      <c r="AS178" s="4094" t="n"/>
      <c r="AT178" s="4094" t="n"/>
      <c r="AU178" s="4096" t="n"/>
      <c r="AV178" s="4094" t="n"/>
      <c r="AW178" s="4094" t="n"/>
      <c r="AX178" s="4094" t="n"/>
      <c r="AY178" s="4094" t="n"/>
      <c r="AZ178" s="4094" t="n"/>
      <c r="BA178" s="3737" t="n"/>
      <c r="BB178" s="4094" t="n"/>
    </row>
    <row r="179" hidden="1" outlineLevel="2" ht="12" customFormat="1" customHeight="1" s="3743">
      <c r="A179" s="4165" t="n"/>
      <c r="B179" s="3891" t="n"/>
      <c r="C179" s="4012" t="inlineStr">
        <is>
          <t>Return of cap - co-op payable</t>
        </is>
      </c>
      <c r="D179" s="3902" t="n">
        <v>249051</v>
      </c>
      <c r="E179" s="3902" t="inlineStr">
        <is>
          <t>249051 - Return of Cap - Co-op Payable</t>
        </is>
      </c>
      <c r="F179" s="4250" t="n"/>
      <c r="G179" s="3900" t="n"/>
      <c r="H179" s="3900" t="n"/>
      <c r="I179" s="3900" t="n"/>
      <c r="J179" s="3900" t="n"/>
      <c r="K179" s="3900" t="n"/>
      <c r="L179" s="3900" t="n"/>
      <c r="M179" s="3900" t="n"/>
      <c r="N179" s="3900" t="n"/>
      <c r="O179" s="3900" t="n"/>
      <c r="P179" s="3900" t="n"/>
      <c r="Q179" s="4200" t="n"/>
      <c r="R179" s="3900" t="n"/>
      <c r="S179" s="3900" t="n"/>
      <c r="T179" s="3900" t="n"/>
      <c r="U179" s="3900" t="n"/>
      <c r="V179" s="3900" t="n"/>
      <c r="W179" s="3900" t="n"/>
      <c r="X179" s="3900" t="n"/>
      <c r="Y179" s="3900" t="n"/>
      <c r="Z179" s="3900" t="n"/>
      <c r="AA179" s="3900" t="n"/>
      <c r="AB179" s="3900" t="n"/>
      <c r="AC179" s="4200" t="n"/>
      <c r="AD179" s="3900" t="n"/>
      <c r="AE179" s="3900" t="n"/>
      <c r="AF179" s="3900" t="n"/>
      <c r="AG179" s="3900" t="n"/>
      <c r="AH179" s="3900" t="n"/>
      <c r="AI179" s="3900" t="n"/>
      <c r="AJ179" s="3900" t="n"/>
      <c r="AK179" s="3900" t="n"/>
      <c r="AL179" s="3900" t="n"/>
      <c r="AM179" s="3900" t="n"/>
      <c r="AN179" s="3900" t="n"/>
      <c r="AO179" s="4200" t="n"/>
      <c r="AP179" s="3900" t="n"/>
      <c r="AQ179" s="3900" t="n"/>
      <c r="AR179" s="3900" t="n"/>
      <c r="AS179" s="3900" t="n"/>
      <c r="AT179" s="3900" t="n"/>
      <c r="AU179" s="4201" t="n"/>
      <c r="AV179" s="3900" t="n"/>
      <c r="AW179" s="3900" t="n"/>
      <c r="AX179" s="3900" t="n"/>
      <c r="AY179" s="3900" t="n"/>
      <c r="AZ179" s="3900" t="n"/>
      <c r="BA179" s="3743" t="n"/>
      <c r="BB179" s="3900" t="n"/>
    </row>
    <row r="180" hidden="1" outlineLevel="2" ht="12" customFormat="1" customHeight="1" s="3743">
      <c r="A180" s="4165" t="n"/>
      <c r="B180" s="3891" t="n"/>
      <c r="C180" s="4203" t="inlineStr">
        <is>
          <t>Return of cap payable - celero</t>
        </is>
      </c>
      <c r="D180" s="4204" t="n">
        <v>249049</v>
      </c>
      <c r="E180" s="4204" t="inlineStr">
        <is>
          <t>249049 - Return of Cap Payable - Celero</t>
        </is>
      </c>
      <c r="F180" s="4249" t="n"/>
      <c r="G180" s="4205" t="n"/>
      <c r="H180" s="4205" t="n"/>
      <c r="I180" s="4205" t="n"/>
      <c r="J180" s="4205" t="n"/>
      <c r="K180" s="4205" t="n"/>
      <c r="L180" s="4205" t="n"/>
      <c r="M180" s="4205" t="n"/>
      <c r="N180" s="4205" t="n"/>
      <c r="O180" s="4205" t="n"/>
      <c r="P180" s="4205" t="n"/>
      <c r="Q180" s="4206" t="n"/>
      <c r="R180" s="4205" t="n"/>
      <c r="S180" s="4205" t="n"/>
      <c r="T180" s="4205" t="n"/>
      <c r="U180" s="4205" t="n"/>
      <c r="V180" s="4205" t="n"/>
      <c r="W180" s="4205" t="n"/>
      <c r="X180" s="4205" t="n"/>
      <c r="Y180" s="4205" t="n"/>
      <c r="Z180" s="4205" t="n"/>
      <c r="AA180" s="4205" t="n"/>
      <c r="AB180" s="4205" t="n"/>
      <c r="AC180" s="4206" t="n"/>
      <c r="AD180" s="4205" t="n"/>
      <c r="AE180" s="4205" t="n"/>
      <c r="AF180" s="4205" t="n"/>
      <c r="AG180" s="4205" t="n"/>
      <c r="AH180" s="4205" t="n"/>
      <c r="AI180" s="4205" t="n"/>
      <c r="AJ180" s="4205" t="n"/>
      <c r="AK180" s="4205" t="n"/>
      <c r="AL180" s="4205" t="n"/>
      <c r="AM180" s="4205" t="n"/>
      <c r="AN180" s="4205" t="n"/>
      <c r="AO180" s="4206" t="n"/>
      <c r="AP180" s="4205" t="n"/>
      <c r="AQ180" s="4205" t="n"/>
      <c r="AR180" s="4205" t="n"/>
      <c r="AS180" s="4205" t="n"/>
      <c r="AT180" s="4205" t="n"/>
      <c r="AU180" s="4207" t="n"/>
      <c r="AV180" s="4205" t="n"/>
      <c r="AW180" s="4205" t="n"/>
      <c r="AX180" s="4205" t="n"/>
      <c r="AY180" s="4205" t="n"/>
      <c r="AZ180" s="4205" t="n"/>
      <c r="BA180" s="3743" t="n"/>
      <c r="BB180" s="4205" t="n"/>
    </row>
    <row r="181" hidden="1" outlineLevel="1" collapsed="1" ht="12" customHeight="1" s="3710">
      <c r="C181" s="4108" t="inlineStr">
        <is>
          <t xml:space="preserve">Shareholder return of capital payable </t>
        </is>
      </c>
      <c r="D181" s="4108" t="n"/>
      <c r="E181" s="4108" t="n"/>
      <c r="F181" s="4243" t="n"/>
      <c r="G181" s="4094" t="n"/>
      <c r="H181" s="4094" t="n"/>
      <c r="I181" s="4094" t="n"/>
      <c r="J181" s="4094" t="n"/>
      <c r="K181" s="4094" t="n"/>
      <c r="L181" s="4094" t="n"/>
      <c r="M181" s="4094" t="n"/>
      <c r="N181" s="4094" t="n"/>
      <c r="O181" s="4094" t="n"/>
      <c r="P181" s="4094" t="n"/>
      <c r="Q181" s="4095" t="n"/>
      <c r="R181" s="4094" t="n"/>
      <c r="S181" s="4094" t="n"/>
      <c r="T181" s="4094" t="n"/>
      <c r="U181" s="4094" t="n"/>
      <c r="V181" s="4094" t="n"/>
      <c r="W181" s="4094" t="n"/>
      <c r="X181" s="4094" t="n"/>
      <c r="Y181" s="4094" t="n"/>
      <c r="Z181" s="4094" t="n"/>
      <c r="AA181" s="4094" t="n"/>
      <c r="AB181" s="4094" t="n"/>
      <c r="AC181" s="4095" t="n"/>
      <c r="AD181" s="4094" t="n"/>
      <c r="AE181" s="4094" t="n"/>
      <c r="AF181" s="4094" t="n"/>
      <c r="AG181" s="4094" t="n"/>
      <c r="AH181" s="4094" t="n"/>
      <c r="AI181" s="4094" t="n"/>
      <c r="AJ181" s="4094" t="n"/>
      <c r="AK181" s="4094" t="n"/>
      <c r="AL181" s="4094" t="n"/>
      <c r="AM181" s="4094" t="n"/>
      <c r="AN181" s="4094" t="n"/>
      <c r="AO181" s="4095" t="n"/>
      <c r="AP181" s="4094" t="n"/>
      <c r="AQ181" s="4094" t="n"/>
      <c r="AR181" s="4094" t="n"/>
      <c r="AS181" s="4094" t="n"/>
      <c r="AT181" s="4094" t="n"/>
      <c r="AU181" s="4096" t="n"/>
      <c r="AV181" s="4094" t="n"/>
      <c r="AW181" s="4094" t="n"/>
      <c r="AX181" s="4094" t="n"/>
      <c r="AY181" s="4094" t="n"/>
      <c r="AZ181" s="4094" t="n"/>
      <c r="BA181" s="3737" t="n"/>
      <c r="BB181" s="4094" t="n"/>
    </row>
    <row r="182" hidden="1" outlineLevel="3" ht="12" customFormat="1" customHeight="1" s="3743">
      <c r="A182" s="4165" t="n"/>
      <c r="B182" s="3891" t="n"/>
      <c r="C182" s="4219" t="inlineStr">
        <is>
          <t>Capital stock</t>
        </is>
      </c>
      <c r="D182" s="4204" t="n">
        <v>335100</v>
      </c>
      <c r="E182" s="4204" t="inlineStr">
        <is>
          <t>335100 - Capital Stock</t>
        </is>
      </c>
      <c r="F182" s="4249" t="n"/>
      <c r="G182" s="4205" t="n"/>
      <c r="H182" s="4205" t="n"/>
      <c r="I182" s="4205" t="n"/>
      <c r="J182" s="4205" t="n"/>
      <c r="K182" s="4205" t="n"/>
      <c r="L182" s="4205" t="n"/>
      <c r="M182" s="4205" t="n"/>
      <c r="N182" s="4205" t="n"/>
      <c r="O182" s="4205" t="n"/>
      <c r="P182" s="4205" t="n"/>
      <c r="Q182" s="4206" t="n"/>
      <c r="R182" s="4205" t="n"/>
      <c r="S182" s="4205" t="n"/>
      <c r="T182" s="4205" t="n"/>
      <c r="U182" s="4205" t="n"/>
      <c r="V182" s="4205" t="n"/>
      <c r="W182" s="4205" t="n"/>
      <c r="X182" s="4205" t="n"/>
      <c r="Y182" s="4205" t="n"/>
      <c r="Z182" s="4205" t="n"/>
      <c r="AA182" s="4205" t="n"/>
      <c r="AB182" s="4205" t="n"/>
      <c r="AC182" s="4206" t="n"/>
      <c r="AD182" s="4205" t="n"/>
      <c r="AE182" s="4205" t="n"/>
      <c r="AF182" s="4205" t="n"/>
      <c r="AG182" s="4205" t="n"/>
      <c r="AH182" s="4205" t="n"/>
      <c r="AI182" s="4205" t="n"/>
      <c r="AJ182" s="4205" t="n"/>
      <c r="AK182" s="4205" t="n"/>
      <c r="AL182" s="4205" t="n"/>
      <c r="AM182" s="4205" t="n"/>
      <c r="AN182" s="4205" t="n"/>
      <c r="AO182" s="4206" t="n"/>
      <c r="AP182" s="4205" t="n"/>
      <c r="AQ182" s="4205" t="n"/>
      <c r="AR182" s="4205" t="n"/>
      <c r="AS182" s="4205" t="n"/>
      <c r="AT182" s="4205" t="n"/>
      <c r="AU182" s="4207" t="n"/>
      <c r="AV182" s="4205" t="n"/>
      <c r="AW182" s="4205" t="n"/>
      <c r="AX182" s="4205" t="n"/>
      <c r="AY182" s="4205" t="n"/>
      <c r="AZ182" s="4205" t="n"/>
      <c r="BA182" s="3743" t="n"/>
      <c r="BB182" s="4205" t="n"/>
    </row>
    <row r="183" hidden="1" outlineLevel="2" collapsed="1" ht="12" customFormat="1" customHeight="1" s="3743">
      <c r="A183" s="4165" t="n"/>
      <c r="B183" s="3891" t="n"/>
      <c r="C183" s="4012" t="inlineStr">
        <is>
          <t xml:space="preserve">Share capital  </t>
        </is>
      </c>
      <c r="D183" s="3902" t="n"/>
      <c r="E183" s="3902" t="n"/>
      <c r="F183" s="4250" t="n"/>
      <c r="G183" s="3900" t="n"/>
      <c r="H183" s="3900" t="n"/>
      <c r="I183" s="3900" t="n"/>
      <c r="J183" s="3900" t="n"/>
      <c r="K183" s="3900" t="n"/>
      <c r="L183" s="3900" t="n"/>
      <c r="M183" s="3900" t="n"/>
      <c r="N183" s="3900" t="n"/>
      <c r="O183" s="3900" t="n"/>
      <c r="P183" s="3900" t="n"/>
      <c r="Q183" s="4200" t="n"/>
      <c r="R183" s="3900" t="n"/>
      <c r="S183" s="3900" t="n"/>
      <c r="T183" s="3900" t="n"/>
      <c r="U183" s="3900" t="n"/>
      <c r="V183" s="3900" t="n"/>
      <c r="W183" s="3900" t="n"/>
      <c r="X183" s="3900" t="n"/>
      <c r="Y183" s="3900" t="n"/>
      <c r="Z183" s="3900" t="n"/>
      <c r="AA183" s="3900" t="n"/>
      <c r="AB183" s="3900" t="n"/>
      <c r="AC183" s="4200" t="n"/>
      <c r="AD183" s="3900" t="n"/>
      <c r="AE183" s="3900" t="n"/>
      <c r="AF183" s="3900" t="n"/>
      <c r="AG183" s="3900" t="n"/>
      <c r="AH183" s="3900" t="n"/>
      <c r="AI183" s="3900" t="n"/>
      <c r="AJ183" s="3900" t="n"/>
      <c r="AK183" s="3900" t="n"/>
      <c r="AL183" s="3900" t="n"/>
      <c r="AM183" s="3900" t="n"/>
      <c r="AN183" s="3900" t="n"/>
      <c r="AO183" s="4200" t="n"/>
      <c r="AP183" s="3900" t="n"/>
      <c r="AQ183" s="3900" t="n"/>
      <c r="AR183" s="3900" t="n"/>
      <c r="AS183" s="3900" t="n"/>
      <c r="AT183" s="3900" t="n"/>
      <c r="AU183" s="4201" t="n"/>
      <c r="AV183" s="3900" t="n"/>
      <c r="AW183" s="3900" t="n"/>
      <c r="AX183" s="3900" t="n"/>
      <c r="AY183" s="3900" t="n"/>
      <c r="AZ183" s="3900" t="n"/>
      <c r="BA183" s="3743" t="n"/>
      <c r="BB183" s="3900" t="n"/>
    </row>
    <row r="184" hidden="1" outlineLevel="3" ht="12" customFormat="1" customHeight="1" s="3743">
      <c r="A184" s="4165" t="n"/>
      <c r="B184" s="3891" t="n"/>
      <c r="C184" s="4219" t="inlineStr">
        <is>
          <t>Capital stock additional paid in</t>
        </is>
      </c>
      <c r="D184" s="4204" t="n">
        <v>335101</v>
      </c>
      <c r="E184" s="4204" t="inlineStr">
        <is>
          <t>335101 - Capital Stock Additional Paid In</t>
        </is>
      </c>
      <c r="F184" s="4249" t="n"/>
      <c r="G184" s="4205" t="n"/>
      <c r="H184" s="4205" t="n"/>
      <c r="I184" s="4205" t="n"/>
      <c r="J184" s="4205" t="n"/>
      <c r="K184" s="4205" t="n"/>
      <c r="L184" s="4205" t="n"/>
      <c r="M184" s="4205" t="n"/>
      <c r="N184" s="4205" t="n"/>
      <c r="O184" s="4205" t="n"/>
      <c r="P184" s="4205" t="n"/>
      <c r="Q184" s="4206" t="n"/>
      <c r="R184" s="4205" t="n"/>
      <c r="S184" s="4205" t="n"/>
      <c r="T184" s="4205" t="n"/>
      <c r="U184" s="4205" t="n"/>
      <c r="V184" s="4205" t="n"/>
      <c r="W184" s="4205" t="n"/>
      <c r="X184" s="4205" t="n"/>
      <c r="Y184" s="4205" t="n"/>
      <c r="Z184" s="4205" t="n"/>
      <c r="AA184" s="4205" t="n"/>
      <c r="AB184" s="4205" t="n"/>
      <c r="AC184" s="4206" t="n"/>
      <c r="AD184" s="4205" t="n"/>
      <c r="AE184" s="4205" t="n"/>
      <c r="AF184" s="4205" t="n"/>
      <c r="AG184" s="4205" t="n"/>
      <c r="AH184" s="4205" t="n"/>
      <c r="AI184" s="4205" t="n"/>
      <c r="AJ184" s="4205" t="n"/>
      <c r="AK184" s="4205" t="n"/>
      <c r="AL184" s="4205" t="n"/>
      <c r="AM184" s="4205" t="n"/>
      <c r="AN184" s="4205" t="n"/>
      <c r="AO184" s="4206" t="n"/>
      <c r="AP184" s="4205" t="n"/>
      <c r="AQ184" s="4205" t="n"/>
      <c r="AR184" s="4205" t="n"/>
      <c r="AS184" s="4205" t="n"/>
      <c r="AT184" s="4205" t="n"/>
      <c r="AU184" s="4207" t="n"/>
      <c r="AV184" s="4205" t="n"/>
      <c r="AW184" s="4205" t="n"/>
      <c r="AX184" s="4205" t="n"/>
      <c r="AY184" s="4205" t="n"/>
      <c r="AZ184" s="4205" t="n"/>
      <c r="BA184" s="3743" t="n"/>
      <c r="BB184" s="4205" t="n"/>
    </row>
    <row r="185" hidden="1" outlineLevel="2" collapsed="1" ht="12" customFormat="1" customHeight="1" s="3743">
      <c r="A185" s="4165" t="n"/>
      <c r="B185" s="3891" t="n"/>
      <c r="C185" s="4203" t="inlineStr">
        <is>
          <t xml:space="preserve">Contributed surplus </t>
        </is>
      </c>
      <c r="D185" s="4204" t="n"/>
      <c r="E185" s="4204" t="n"/>
      <c r="F185" s="4249" t="n"/>
      <c r="G185" s="4205" t="n"/>
      <c r="H185" s="4205" t="n"/>
      <c r="I185" s="4205" t="n"/>
      <c r="J185" s="4205" t="n"/>
      <c r="K185" s="4205" t="n"/>
      <c r="L185" s="4205" t="n"/>
      <c r="M185" s="4205" t="n"/>
      <c r="N185" s="4205" t="n"/>
      <c r="O185" s="4205" t="n"/>
      <c r="P185" s="4205" t="n"/>
      <c r="Q185" s="4206" t="n"/>
      <c r="R185" s="4205" t="n"/>
      <c r="S185" s="4205" t="n"/>
      <c r="T185" s="4205" t="n"/>
      <c r="U185" s="4205" t="n"/>
      <c r="V185" s="4205" t="n"/>
      <c r="W185" s="4205" t="n"/>
      <c r="X185" s="4205" t="n"/>
      <c r="Y185" s="4205" t="n"/>
      <c r="Z185" s="4205" t="n"/>
      <c r="AA185" s="4205" t="n"/>
      <c r="AB185" s="4205" t="n"/>
      <c r="AC185" s="4206" t="n"/>
      <c r="AD185" s="4205" t="n"/>
      <c r="AE185" s="4205" t="n"/>
      <c r="AF185" s="4205" t="n"/>
      <c r="AG185" s="4205" t="n"/>
      <c r="AH185" s="4205" t="n"/>
      <c r="AI185" s="4205" t="n"/>
      <c r="AJ185" s="4205" t="n"/>
      <c r="AK185" s="4205" t="n"/>
      <c r="AL185" s="4205" t="n"/>
      <c r="AM185" s="4205" t="n"/>
      <c r="AN185" s="4205" t="n"/>
      <c r="AO185" s="4206" t="n"/>
      <c r="AP185" s="4205" t="n"/>
      <c r="AQ185" s="4205" t="n"/>
      <c r="AR185" s="4205" t="n"/>
      <c r="AS185" s="4205" t="n"/>
      <c r="AT185" s="4205" t="n"/>
      <c r="AU185" s="4207" t="n"/>
      <c r="AV185" s="4205" t="n"/>
      <c r="AW185" s="4205" t="n"/>
      <c r="AX185" s="4205" t="n"/>
      <c r="AY185" s="4205" t="n"/>
      <c r="AZ185" s="4205" t="n"/>
      <c r="BA185" s="3743" t="n"/>
      <c r="BB185" s="4205" t="n"/>
    </row>
    <row r="186" hidden="1" outlineLevel="1" ht="12" customHeight="1" s="3710">
      <c r="C186" s="4108" t="inlineStr">
        <is>
          <t>Change in capital</t>
        </is>
      </c>
      <c r="D186" s="4108" t="n"/>
      <c r="E186" s="4108" t="n"/>
      <c r="F186" s="4243" t="n"/>
      <c r="G186" s="4094" t="n"/>
      <c r="H186" s="4094" t="n"/>
      <c r="I186" s="4094" t="n"/>
      <c r="J186" s="4094" t="n"/>
      <c r="K186" s="4094" t="n"/>
      <c r="L186" s="4094" t="n"/>
      <c r="M186" s="4094" t="n"/>
      <c r="N186" s="4094" t="n"/>
      <c r="O186" s="4094" t="n"/>
      <c r="P186" s="4094" t="n"/>
      <c r="Q186" s="4095" t="n"/>
      <c r="R186" s="4094" t="n"/>
      <c r="S186" s="4094" t="n"/>
      <c r="T186" s="4094" t="n"/>
      <c r="U186" s="4094" t="n"/>
      <c r="V186" s="4094" t="n"/>
      <c r="W186" s="4094" t="n"/>
      <c r="X186" s="4094" t="n"/>
      <c r="Y186" s="4094" t="n"/>
      <c r="Z186" s="4094" t="n"/>
      <c r="AA186" s="4094" t="n"/>
      <c r="AB186" s="4094" t="n"/>
      <c r="AC186" s="4095" t="n"/>
      <c r="AD186" s="4094" t="n"/>
      <c r="AE186" s="4094" t="n"/>
      <c r="AF186" s="4094" t="n"/>
      <c r="AG186" s="4094" t="n"/>
      <c r="AH186" s="4094" t="n"/>
      <c r="AI186" s="4094" t="n"/>
      <c r="AJ186" s="4094" t="n"/>
      <c r="AK186" s="4094" t="n"/>
      <c r="AL186" s="4094" t="n"/>
      <c r="AM186" s="4094" t="n"/>
      <c r="AN186" s="4094" t="n"/>
      <c r="AO186" s="4095" t="n"/>
      <c r="AP186" s="4094" t="n"/>
      <c r="AQ186" s="4094" t="n"/>
      <c r="AR186" s="4094" t="n"/>
      <c r="AS186" s="4094" t="n"/>
      <c r="AT186" s="4094" t="n"/>
      <c r="AU186" s="4096" t="n"/>
      <c r="AV186" s="4094" t="n"/>
      <c r="AW186" s="4094" t="n"/>
      <c r="AX186" s="4094" t="n"/>
      <c r="AY186" s="4094" t="n"/>
      <c r="AZ186" s="4094" t="n"/>
      <c r="BA186" s="3737" t="n"/>
      <c r="BB186" s="4094" t="n"/>
    </row>
    <row r="187" hidden="1" outlineLevel="2" ht="12" customFormat="1" customHeight="1" s="3743">
      <c r="A187" s="4165" t="n"/>
      <c r="B187" s="3891" t="n"/>
      <c r="C187" s="4203" t="inlineStr">
        <is>
          <t>Dividends paid</t>
        </is>
      </c>
      <c r="D187" s="4204" t="n">
        <v>350101</v>
      </c>
      <c r="E187" s="4204" t="inlineStr">
        <is>
          <t>350101 - Dividends Paid</t>
        </is>
      </c>
      <c r="F187" s="4249" t="n"/>
      <c r="G187" s="4205" t="n"/>
      <c r="H187" s="4205" t="n"/>
      <c r="I187" s="4205" t="n"/>
      <c r="J187" s="4205" t="n"/>
      <c r="K187" s="4205" t="n"/>
      <c r="L187" s="4205" t="n"/>
      <c r="M187" s="4205" t="n"/>
      <c r="N187" s="4205" t="n"/>
      <c r="O187" s="4205" t="n"/>
      <c r="P187" s="4205" t="n"/>
      <c r="Q187" s="4206" t="n"/>
      <c r="R187" s="4205" t="n"/>
      <c r="S187" s="4205" t="n"/>
      <c r="T187" s="4205" t="n"/>
      <c r="U187" s="4205" t="n"/>
      <c r="V187" s="4205" t="n"/>
      <c r="W187" s="4205" t="n"/>
      <c r="X187" s="4205" t="n"/>
      <c r="Y187" s="4205" t="n"/>
      <c r="Z187" s="4205" t="n"/>
      <c r="AA187" s="4205" t="n"/>
      <c r="AB187" s="4205" t="n"/>
      <c r="AC187" s="4206" t="n"/>
      <c r="AD187" s="4205" t="n"/>
      <c r="AE187" s="4205" t="n"/>
      <c r="AF187" s="4205" t="n"/>
      <c r="AG187" s="4205" t="n"/>
      <c r="AH187" s="4205" t="n"/>
      <c r="AI187" s="4205" t="n"/>
      <c r="AJ187" s="4205" t="n"/>
      <c r="AK187" s="4205" t="n"/>
      <c r="AL187" s="4205" t="n"/>
      <c r="AM187" s="4205" t="n"/>
      <c r="AN187" s="4205" t="n"/>
      <c r="AO187" s="4206" t="n"/>
      <c r="AP187" s="4205" t="n"/>
      <c r="AQ187" s="4205" t="n"/>
      <c r="AR187" s="4205" t="n"/>
      <c r="AS187" s="4205" t="n"/>
      <c r="AT187" s="4205" t="n"/>
      <c r="AU187" s="4207" t="n"/>
      <c r="AV187" s="4205" t="n"/>
      <c r="AW187" s="4205" t="n"/>
      <c r="AX187" s="4205" t="n"/>
      <c r="AY187" s="4205" t="n"/>
      <c r="AZ187" s="4205" t="n"/>
      <c r="BA187" s="3743" t="n"/>
      <c r="BB187" s="4205" t="n"/>
    </row>
    <row r="188" hidden="1" outlineLevel="1" collapsed="1" ht="12" customHeight="1" s="3710">
      <c r="C188" s="4150" t="inlineStr">
        <is>
          <t>Dividend paid</t>
        </is>
      </c>
      <c r="D188" s="4150" t="n"/>
      <c r="E188" s="4150" t="n"/>
      <c r="F188" s="4244" t="n"/>
      <c r="G188" s="4102" t="n"/>
      <c r="H188" s="4102" t="n"/>
      <c r="I188" s="4102" t="n"/>
      <c r="J188" s="4102" t="n"/>
      <c r="K188" s="4102" t="n"/>
      <c r="L188" s="4102" t="n"/>
      <c r="M188" s="4102" t="n"/>
      <c r="N188" s="4102" t="n"/>
      <c r="O188" s="4102" t="n"/>
      <c r="P188" s="4102" t="n"/>
      <c r="Q188" s="4103" t="n"/>
      <c r="R188" s="4102" t="n"/>
      <c r="S188" s="4102" t="n"/>
      <c r="T188" s="4102" t="n"/>
      <c r="U188" s="4102" t="n"/>
      <c r="V188" s="4102" t="n"/>
      <c r="W188" s="4102" t="n"/>
      <c r="X188" s="4102" t="n"/>
      <c r="Y188" s="4102" t="n"/>
      <c r="Z188" s="4102" t="n"/>
      <c r="AA188" s="4102" t="n"/>
      <c r="AB188" s="4102" t="n"/>
      <c r="AC188" s="4103" t="n"/>
      <c r="AD188" s="4102" t="n"/>
      <c r="AE188" s="4102" t="n"/>
      <c r="AF188" s="4102" t="n"/>
      <c r="AG188" s="4102" t="n"/>
      <c r="AH188" s="4102" t="n"/>
      <c r="AI188" s="4102" t="n"/>
      <c r="AJ188" s="4102" t="n"/>
      <c r="AK188" s="4102" t="n"/>
      <c r="AL188" s="4102" t="n"/>
      <c r="AM188" s="4102" t="n"/>
      <c r="AN188" s="4102" t="n"/>
      <c r="AO188" s="4103" t="n"/>
      <c r="AP188" s="4102" t="n"/>
      <c r="AQ188" s="4102" t="n"/>
      <c r="AR188" s="4102" t="n"/>
      <c r="AS188" s="4102" t="n"/>
      <c r="AT188" s="4102" t="n"/>
      <c r="AU188" s="4104" t="n"/>
      <c r="AV188" s="4102" t="n"/>
      <c r="AW188" s="4102" t="n"/>
      <c r="AX188" s="4102" t="n"/>
      <c r="AY188" s="4102" t="n"/>
      <c r="AZ188" s="4102" t="n"/>
      <c r="BA188" s="3737" t="n"/>
      <c r="BB188" s="4102" t="n"/>
    </row>
    <row r="189" ht="12" customHeight="1" s="3710">
      <c r="C189" s="4101" t="inlineStr">
        <is>
          <t>Cash flow from financing activities</t>
        </is>
      </c>
      <c r="D189" s="4101" t="n"/>
      <c r="E189" s="4101" t="n"/>
      <c r="F189" s="4244" t="n"/>
      <c r="G189" s="4102" t="n"/>
      <c r="H189" s="4102" t="n"/>
      <c r="I189" s="4102" t="n"/>
      <c r="J189" s="4102" t="n"/>
      <c r="K189" s="4102" t="n"/>
      <c r="L189" s="4102" t="n"/>
      <c r="M189" s="4102" t="n"/>
      <c r="N189" s="4102" t="n"/>
      <c r="O189" s="4102" t="n"/>
      <c r="P189" s="4102" t="n"/>
      <c r="Q189" s="4103" t="n"/>
      <c r="R189" s="4102" t="n"/>
      <c r="S189" s="4102" t="n"/>
      <c r="T189" s="4102" t="n"/>
      <c r="U189" s="4102" t="n"/>
      <c r="V189" s="4102" t="n"/>
      <c r="W189" s="4102" t="n"/>
      <c r="X189" s="4102" t="n"/>
      <c r="Y189" s="4102" t="n"/>
      <c r="Z189" s="4102" t="n"/>
      <c r="AA189" s="4102" t="n"/>
      <c r="AB189" s="4102" t="n"/>
      <c r="AC189" s="4103" t="n"/>
      <c r="AD189" s="4102" t="n"/>
      <c r="AE189" s="4102" t="n"/>
      <c r="AF189" s="4102" t="n"/>
      <c r="AG189" s="4102" t="n"/>
      <c r="AH189" s="4102" t="n"/>
      <c r="AI189" s="4102" t="n"/>
      <c r="AJ189" s="4102" t="n"/>
      <c r="AK189" s="4102" t="n"/>
      <c r="AL189" s="4102" t="n"/>
      <c r="AM189" s="4102" t="n"/>
      <c r="AN189" s="4102" t="n"/>
      <c r="AO189" s="4103" t="n"/>
      <c r="AP189" s="4102" t="n"/>
      <c r="AQ189" s="4102" t="n"/>
      <c r="AR189" s="4102" t="n"/>
      <c r="AS189" s="4102" t="n"/>
      <c r="AT189" s="4102" t="n"/>
      <c r="AU189" s="4104" t="n"/>
      <c r="AV189" s="4102" t="n"/>
      <c r="AW189" s="4102" t="n"/>
      <c r="AX189" s="4102" t="n"/>
      <c r="AY189" s="4102" t="n"/>
      <c r="AZ189" s="4102" t="n"/>
      <c r="BA189" s="3737" t="n"/>
      <c r="BB189" s="4102" t="n"/>
    </row>
    <row r="190" ht="12" customHeight="1" s="3710">
      <c r="C190" s="4093" t="inlineStr">
        <is>
          <t>Increase in cash and cash equivalents</t>
        </is>
      </c>
      <c r="D190" s="4093" t="n"/>
      <c r="E190" s="4093" t="n"/>
      <c r="F190" s="4243" t="n"/>
      <c r="G190" s="4094" t="n"/>
      <c r="H190" s="4094" t="n"/>
      <c r="I190" s="4094" t="n"/>
      <c r="J190" s="4094" t="n"/>
      <c r="K190" s="4094" t="n"/>
      <c r="L190" s="4094" t="n"/>
      <c r="M190" s="4094" t="n"/>
      <c r="N190" s="4094" t="n"/>
      <c r="O190" s="4094" t="n"/>
      <c r="P190" s="4094" t="n"/>
      <c r="Q190" s="4095" t="n"/>
      <c r="R190" s="4094" t="n"/>
      <c r="S190" s="4094" t="n"/>
      <c r="T190" s="4094" t="n"/>
      <c r="U190" s="4094" t="n"/>
      <c r="V190" s="4094" t="n"/>
      <c r="W190" s="4094" t="n"/>
      <c r="X190" s="4094" t="n"/>
      <c r="Y190" s="4094" t="n"/>
      <c r="Z190" s="4094" t="n"/>
      <c r="AA190" s="4094" t="n"/>
      <c r="AB190" s="4094" t="n"/>
      <c r="AC190" s="4095" t="n"/>
      <c r="AD190" s="4094" t="n"/>
      <c r="AE190" s="4094" t="n"/>
      <c r="AF190" s="4094" t="n"/>
      <c r="AG190" s="4094" t="n"/>
      <c r="AH190" s="4094" t="n"/>
      <c r="AI190" s="4094" t="n"/>
      <c r="AJ190" s="4094" t="n"/>
      <c r="AK190" s="4094" t="n"/>
      <c r="AL190" s="4094" t="n"/>
      <c r="AM190" s="4094" t="n"/>
      <c r="AN190" s="4094" t="n"/>
      <c r="AO190" s="4095" t="n"/>
      <c r="AP190" s="4094" t="n"/>
      <c r="AQ190" s="4094" t="n"/>
      <c r="AR190" s="4094" t="n"/>
      <c r="AS190" s="4094" t="n"/>
      <c r="AT190" s="4094" t="n"/>
      <c r="AU190" s="4096" t="n"/>
      <c r="AV190" s="4094" t="n"/>
      <c r="AW190" s="4094" t="n"/>
      <c r="AX190" s="4094" t="n"/>
      <c r="AY190" s="4094" t="n"/>
      <c r="AZ190" s="4094" t="n"/>
      <c r="BA190" s="3737" t="n"/>
      <c r="BB190" s="4094" t="n"/>
    </row>
    <row r="191" ht="12" customHeight="1" s="3710">
      <c r="C191" s="4101" t="inlineStr">
        <is>
          <t>Beginning balance of cash and cash equivalents</t>
        </is>
      </c>
      <c r="D191" s="4101" t="n"/>
      <c r="E191" s="4101" t="n"/>
      <c r="F191" s="4244" t="n"/>
      <c r="G191" s="4102" t="n"/>
      <c r="H191" s="4102" t="n"/>
      <c r="I191" s="4102" t="n"/>
      <c r="J191" s="4102" t="n"/>
      <c r="K191" s="4102" t="n"/>
      <c r="L191" s="4102" t="n"/>
      <c r="M191" s="4102" t="n"/>
      <c r="N191" s="4102" t="n"/>
      <c r="O191" s="4102" t="n"/>
      <c r="P191" s="4102" t="n"/>
      <c r="Q191" s="4103" t="n"/>
      <c r="R191" s="4102" t="n"/>
      <c r="S191" s="4102" t="n"/>
      <c r="T191" s="4102" t="n"/>
      <c r="U191" s="4102" t="n"/>
      <c r="V191" s="4102" t="n"/>
      <c r="W191" s="4102" t="n"/>
      <c r="X191" s="4102" t="n"/>
      <c r="Y191" s="4102" t="n"/>
      <c r="Z191" s="4102" t="n"/>
      <c r="AA191" s="4102" t="n"/>
      <c r="AB191" s="4102" t="n"/>
      <c r="AC191" s="4103" t="n"/>
      <c r="AD191" s="4102" t="n"/>
      <c r="AE191" s="4102" t="n"/>
      <c r="AF191" s="4102" t="n"/>
      <c r="AG191" s="4102" t="n"/>
      <c r="AH191" s="4102" t="n"/>
      <c r="AI191" s="4102" t="n"/>
      <c r="AJ191" s="4102" t="n"/>
      <c r="AK191" s="4102" t="n"/>
      <c r="AL191" s="4102" t="n"/>
      <c r="AM191" s="4102" t="n"/>
      <c r="AN191" s="4102" t="n"/>
      <c r="AO191" s="4103" t="n"/>
      <c r="AP191" s="4102" t="n"/>
      <c r="AQ191" s="4102" t="n"/>
      <c r="AR191" s="4102" t="n"/>
      <c r="AS191" s="4102" t="n"/>
      <c r="AT191" s="4102" t="n"/>
      <c r="AU191" s="4104" t="n"/>
      <c r="AV191" s="4102" t="n"/>
      <c r="AW191" s="4130" t="n"/>
      <c r="AX191" s="4130" t="n"/>
      <c r="AY191" s="4130" t="n"/>
      <c r="AZ191" s="4130" t="n"/>
      <c r="BB191" s="4102" t="n"/>
    </row>
    <row r="192" ht="12" customHeight="1" s="3710">
      <c r="C192" s="4151" t="inlineStr">
        <is>
          <t>Ending balance of cash and cash equivalents</t>
        </is>
      </c>
      <c r="D192" s="4151" t="n"/>
      <c r="E192" s="4151" t="n"/>
      <c r="F192" s="4152" t="n"/>
      <c r="G192" s="4152" t="n"/>
      <c r="H192" s="4152" t="n"/>
      <c r="I192" s="4152" t="n"/>
      <c r="J192" s="4152" t="n"/>
      <c r="K192" s="4152" t="n"/>
      <c r="L192" s="4152" t="n"/>
      <c r="M192" s="4152" t="n"/>
      <c r="N192" s="4152" t="n"/>
      <c r="O192" s="4152" t="n"/>
      <c r="P192" s="4152" t="n"/>
      <c r="Q192" s="4153" t="n"/>
      <c r="R192" s="4152" t="n"/>
      <c r="S192" s="4152" t="n"/>
      <c r="T192" s="4152" t="n"/>
      <c r="U192" s="4152" t="n"/>
      <c r="V192" s="4152" t="n"/>
      <c r="W192" s="4152" t="n"/>
      <c r="X192" s="4152" t="n"/>
      <c r="Y192" s="4152" t="n"/>
      <c r="Z192" s="4152" t="n"/>
      <c r="AA192" s="4152" t="n"/>
      <c r="AB192" s="4152" t="n"/>
      <c r="AC192" s="4153" t="n"/>
      <c r="AD192" s="4152" t="n"/>
      <c r="AE192" s="4152" t="n"/>
      <c r="AF192" s="4152" t="n"/>
      <c r="AG192" s="4152" t="n"/>
      <c r="AH192" s="4152" t="n"/>
      <c r="AI192" s="4152" t="n"/>
      <c r="AJ192" s="4152" t="n"/>
      <c r="AK192" s="4152" t="n"/>
      <c r="AL192" s="4152" t="n"/>
      <c r="AM192" s="4152" t="n"/>
      <c r="AN192" s="4152" t="n"/>
      <c r="AO192" s="4153" t="n"/>
      <c r="AP192" s="4152" t="n"/>
      <c r="AQ192" s="4152" t="n"/>
      <c r="AR192" s="4152" t="n"/>
      <c r="AS192" s="4152" t="n"/>
      <c r="AT192" s="4152" t="n"/>
      <c r="AU192" s="4154" t="n"/>
      <c r="AV192" s="4152" t="n"/>
      <c r="AW192" s="4152" t="n"/>
      <c r="AX192" s="4152" t="n"/>
      <c r="AY192" s="4152" t="n"/>
      <c r="AZ192" s="4152" t="n"/>
      <c r="BB192" s="4152" t="n"/>
    </row>
    <row r="193"/>
    <row r="194" ht="11.25" customHeight="1" s="3710">
      <c r="C194" s="4253" t="inlineStr">
        <is>
          <t>Net operating and investing cash flows</t>
        </is>
      </c>
      <c r="D194" s="4253" t="n"/>
      <c r="E194" s="4253" t="n"/>
      <c r="F194" s="4254" t="n"/>
      <c r="G194" s="4254" t="n"/>
      <c r="H194" s="4254" t="n"/>
      <c r="I194" s="4254" t="n"/>
      <c r="J194" s="4254" t="n"/>
      <c r="K194" s="4254" t="n"/>
      <c r="L194" s="4254" t="n"/>
      <c r="M194" s="4254" t="n"/>
      <c r="N194" s="4254" t="n"/>
      <c r="O194" s="4254" t="n"/>
      <c r="P194" s="4254" t="n"/>
      <c r="Q194" s="4254" t="n"/>
      <c r="R194" s="4254" t="n"/>
      <c r="S194" s="4254" t="n"/>
      <c r="T194" s="4254" t="n"/>
      <c r="U194" s="4254" t="n"/>
      <c r="V194" s="4254" t="n"/>
      <c r="W194" s="4254" t="n"/>
      <c r="X194" s="4254" t="n"/>
      <c r="Y194" s="4254" t="n"/>
      <c r="Z194" s="4254" t="n"/>
      <c r="AA194" s="4254" t="n"/>
      <c r="AB194" s="4254" t="n"/>
      <c r="AC194" s="4254" t="n"/>
      <c r="AD194" s="4254" t="n"/>
      <c r="AE194" s="4254" t="n"/>
      <c r="AF194" s="4254" t="n"/>
      <c r="AG194" s="4254" t="n"/>
      <c r="AH194" s="4254" t="n"/>
      <c r="AI194" s="4254" t="n"/>
      <c r="AJ194" s="4254" t="n"/>
      <c r="AK194" s="4254" t="n"/>
      <c r="AL194" s="4254" t="n"/>
      <c r="AM194" s="4254" t="n"/>
      <c r="AN194" s="4254" t="n"/>
      <c r="AO194" s="4254" t="n"/>
      <c r="AP194" s="4254" t="n"/>
      <c r="AQ194" s="4254" t="n"/>
      <c r="AR194" s="4254" t="n"/>
      <c r="AS194" s="4254" t="n"/>
      <c r="AT194" s="4254" t="n"/>
      <c r="AU194" s="4254" t="n"/>
      <c r="AV194" s="4254" t="n"/>
      <c r="AW194" s="4254" t="n"/>
      <c r="AX194" s="4254" t="n"/>
      <c r="AY194" s="4254" t="n"/>
      <c r="AZ194" s="4254" t="n"/>
      <c r="BB194" s="4255" t="n"/>
    </row>
    <row r="195" ht="11.25" customHeight="1" s="3710">
      <c r="C195" s="4117" t="inlineStr">
        <is>
          <t>EBITDA, pro forma adjusted</t>
        </is>
      </c>
      <c r="D195" s="4117" t="n"/>
      <c r="E195" s="4117" t="n"/>
      <c r="F195" s="4256" t="n"/>
      <c r="G195" s="4256" t="n"/>
      <c r="H195" s="4256" t="n"/>
      <c r="I195" s="4256" t="n"/>
      <c r="J195" s="4256" t="n"/>
      <c r="K195" s="4256" t="n"/>
      <c r="L195" s="4256" t="n"/>
      <c r="M195" s="4256" t="n"/>
      <c r="N195" s="4256" t="n"/>
      <c r="O195" s="4256" t="n"/>
      <c r="P195" s="4256" t="n"/>
      <c r="Q195" s="4256" t="n"/>
      <c r="R195" s="4256" t="n"/>
      <c r="S195" s="4256" t="n"/>
      <c r="T195" s="4256" t="n"/>
      <c r="U195" s="4256" t="n"/>
      <c r="V195" s="4256" t="n"/>
      <c r="W195" s="4256" t="n"/>
      <c r="X195" s="4256" t="n"/>
      <c r="Y195" s="4256" t="n"/>
      <c r="Z195" s="4256" t="n"/>
      <c r="AA195" s="4256" t="n"/>
      <c r="AB195" s="4256" t="n"/>
      <c r="AC195" s="4256" t="n"/>
      <c r="AD195" s="4256" t="n"/>
      <c r="AE195" s="4256" t="n"/>
      <c r="AF195" s="4256" t="n"/>
      <c r="AG195" s="4256" t="n"/>
      <c r="AH195" s="4256" t="n"/>
      <c r="AI195" s="4256" t="n"/>
      <c r="AJ195" s="4256" t="n"/>
      <c r="AK195" s="4256" t="n"/>
      <c r="AL195" s="4256" t="n"/>
      <c r="AM195" s="4256" t="n"/>
      <c r="AN195" s="4256" t="n"/>
      <c r="AO195" s="4256" t="n"/>
      <c r="AP195" s="4256" t="n"/>
      <c r="AQ195" s="4256" t="n"/>
      <c r="AR195" s="4256" t="n"/>
      <c r="AS195" s="4256" t="n"/>
      <c r="AT195" s="4256" t="n"/>
      <c r="AU195" s="4256" t="n"/>
      <c r="AV195" s="4256" t="n"/>
      <c r="AW195" s="4256" t="n"/>
      <c r="AX195" s="4256" t="n"/>
      <c r="AY195" s="4256" t="n"/>
      <c r="AZ195" s="4256" t="n"/>
      <c r="BB195" s="4257" t="n"/>
    </row>
    <row r="196" ht="11.25" customFormat="1" customHeight="1" s="4065">
      <c r="A196" s="4066" t="n"/>
      <c r="B196" s="4067" t="n"/>
      <c r="C196" s="4258" t="inlineStr">
        <is>
          <t>Net cashflows as a % of EBITDA</t>
        </is>
      </c>
      <c r="D196" s="4258" t="n"/>
      <c r="E196" s="4258" t="n"/>
      <c r="F196" s="4259" t="n"/>
      <c r="G196" s="4259" t="n"/>
      <c r="H196" s="4259" t="n"/>
      <c r="I196" s="4259" t="n"/>
      <c r="J196" s="4259" t="n"/>
      <c r="K196" s="4259" t="n"/>
      <c r="L196" s="4259" t="n"/>
      <c r="M196" s="4259" t="n"/>
      <c r="N196" s="4259" t="n"/>
      <c r="O196" s="4259" t="n"/>
      <c r="P196" s="4259" t="n"/>
      <c r="Q196" s="4259" t="n"/>
      <c r="R196" s="4259" t="n"/>
      <c r="S196" s="4259" t="n"/>
      <c r="T196" s="4259" t="n"/>
      <c r="U196" s="4259" t="n"/>
      <c r="V196" s="4259" t="n"/>
      <c r="W196" s="4259" t="n"/>
      <c r="X196" s="4259" t="n"/>
      <c r="Y196" s="4259" t="n"/>
      <c r="Z196" s="4259" t="n"/>
      <c r="AA196" s="4259" t="n"/>
      <c r="AB196" s="4259" t="n"/>
      <c r="AC196" s="4259" t="n"/>
      <c r="AD196" s="4259" t="n"/>
      <c r="AE196" s="4259" t="n"/>
      <c r="AF196" s="4259" t="n"/>
      <c r="AG196" s="4259" t="n"/>
      <c r="AH196" s="4259" t="n"/>
      <c r="AI196" s="4259" t="n"/>
      <c r="AJ196" s="4259" t="n"/>
      <c r="AK196" s="4259" t="n"/>
      <c r="AL196" s="4259" t="n"/>
      <c r="AM196" s="4259" t="n"/>
      <c r="AN196" s="4259" t="n"/>
      <c r="AO196" s="4259" t="n"/>
      <c r="AP196" s="4259" t="n"/>
      <c r="AQ196" s="4259" t="n"/>
      <c r="AR196" s="4259" t="n"/>
      <c r="AS196" s="4259" t="n"/>
      <c r="AT196" s="4259" t="n"/>
      <c r="AU196" s="4259" t="n"/>
      <c r="AV196" s="4259" t="n"/>
      <c r="AW196" s="4259" t="n"/>
      <c r="AX196" s="4259" t="n"/>
      <c r="AY196" s="4259" t="n"/>
      <c r="AZ196" s="4259" t="n"/>
      <c r="BB196" s="4260" t="n"/>
    </row>
    <row r="197"/>
    <row r="198"/>
    <row r="199"/>
    <row r="200"/>
    <row r="201" hidden="1" outlineLevel="1" ht="11.25" customFormat="1" customHeight="1" s="4261">
      <c r="A201" s="4066" t="n"/>
      <c r="B201" s="4067" t="n"/>
      <c r="C201" s="4065" t="inlineStr">
        <is>
          <t>Per BS</t>
        </is>
      </c>
      <c r="D201" s="4065" t="n"/>
      <c r="E201" s="4065" t="n"/>
      <c r="G201" s="4261" t="n"/>
      <c r="H201" s="4261" t="n"/>
      <c r="I201" s="4261" t="n"/>
      <c r="J201" s="4261" t="n"/>
      <c r="K201" s="4261" t="n"/>
      <c r="L201" s="4261" t="n"/>
      <c r="M201" s="4261" t="n"/>
      <c r="N201" s="4261" t="n"/>
      <c r="O201" s="4261" t="n"/>
      <c r="P201" s="4261" t="n"/>
      <c r="Q201" s="4261" t="n"/>
      <c r="R201" s="4261" t="n"/>
      <c r="S201" s="4261" t="n"/>
      <c r="T201" s="4261" t="n"/>
      <c r="U201" s="4261" t="n"/>
      <c r="V201" s="4261" t="n"/>
      <c r="W201" s="4261" t="n"/>
      <c r="X201" s="4261" t="n"/>
      <c r="Y201" s="4261" t="n"/>
      <c r="Z201" s="4261" t="n"/>
      <c r="AA201" s="4261" t="n"/>
      <c r="AB201" s="4261" t="n"/>
      <c r="AC201" s="4261" t="n"/>
      <c r="AD201" s="4261" t="n"/>
      <c r="AE201" s="4261" t="n"/>
      <c r="AF201" s="4261" t="n"/>
      <c r="AG201" s="4261" t="n"/>
      <c r="AH201" s="4261" t="n"/>
      <c r="AI201" s="4261" t="n"/>
      <c r="AJ201" s="4261" t="n"/>
      <c r="AK201" s="4261" t="n"/>
      <c r="AL201" s="4261" t="n"/>
      <c r="AM201" s="4261" t="n"/>
      <c r="AN201" s="4261" t="n"/>
      <c r="AO201" s="4261" t="n"/>
      <c r="AP201" s="4261" t="n"/>
      <c r="AQ201" s="4261" t="n"/>
      <c r="AR201" s="4261" t="n"/>
      <c r="AS201" s="4261" t="n"/>
      <c r="AT201" s="4261" t="n"/>
      <c r="AU201" s="4261" t="n"/>
      <c r="AV201" s="4261" t="n"/>
      <c r="AW201" s="4261" t="n"/>
      <c r="AX201" s="4261" t="n"/>
      <c r="AY201" s="4261" t="n"/>
      <c r="AZ201" s="4261" t="n"/>
      <c r="BB201" s="4261" t="n"/>
    </row>
    <row r="202" hidden="1" outlineLevel="1" ht="11.25" customFormat="1" customHeight="1" s="4261">
      <c r="A202" s="4066" t="n"/>
      <c r="B202" s="4067" t="n"/>
      <c r="C202" s="4262" t="inlineStr">
        <is>
          <t>Check</t>
        </is>
      </c>
      <c r="D202" s="4262" t="n"/>
      <c r="E202" s="4262" t="n"/>
      <c r="F202" s="4263" t="n"/>
      <c r="G202" s="4263">
        <f>G192-G201</f>
        <v/>
      </c>
      <c r="H202" s="4263">
        <f>H192-H201</f>
        <v/>
      </c>
      <c r="I202" s="4263">
        <f>I192-I201</f>
        <v/>
      </c>
      <c r="J202" s="4263">
        <f>J192-J201</f>
        <v/>
      </c>
      <c r="K202" s="4263">
        <f>K192-K201</f>
        <v/>
      </c>
      <c r="L202" s="4263">
        <f>L192-L201</f>
        <v/>
      </c>
      <c r="M202" s="4263">
        <f>M192-M201</f>
        <v/>
      </c>
      <c r="N202" s="4263">
        <f>N192-N201</f>
        <v/>
      </c>
      <c r="O202" s="4263">
        <f>O192-O201</f>
        <v/>
      </c>
      <c r="P202" s="4263">
        <f>P192-P201</f>
        <v/>
      </c>
      <c r="Q202" s="4263">
        <f>Q192-Q201</f>
        <v/>
      </c>
      <c r="R202" s="4263">
        <f>R192-R201</f>
        <v/>
      </c>
      <c r="S202" s="4263">
        <f>S192-S201</f>
        <v/>
      </c>
      <c r="T202" s="4263">
        <f>T192-T201</f>
        <v/>
      </c>
      <c r="U202" s="4263">
        <f>U192-U201</f>
        <v/>
      </c>
      <c r="V202" s="4263">
        <f>V192-V201</f>
        <v/>
      </c>
      <c r="W202" s="4263">
        <f>W192-W201</f>
        <v/>
      </c>
      <c r="X202" s="4263">
        <f>X192-X201</f>
        <v/>
      </c>
      <c r="Y202" s="4263">
        <f>Y192-Y201</f>
        <v/>
      </c>
      <c r="Z202" s="4263">
        <f>Z192-Z201</f>
        <v/>
      </c>
      <c r="AA202" s="4263">
        <f>AA192-AA201</f>
        <v/>
      </c>
      <c r="AB202" s="4263">
        <f>AB192-AB201</f>
        <v/>
      </c>
      <c r="AC202" s="4263">
        <f>AC192-AC201</f>
        <v/>
      </c>
      <c r="AD202" s="4263">
        <f>AD192-AD201</f>
        <v/>
      </c>
      <c r="AE202" s="4263">
        <f>AE192-AE201</f>
        <v/>
      </c>
      <c r="AF202" s="4263">
        <f>AF192-AF201</f>
        <v/>
      </c>
      <c r="AG202" s="4263">
        <f>AG192-AG201</f>
        <v/>
      </c>
      <c r="AH202" s="4263">
        <f>AH192-AH201</f>
        <v/>
      </c>
      <c r="AI202" s="4263">
        <f>AI192-AI201</f>
        <v/>
      </c>
      <c r="AJ202" s="4263">
        <f>AJ192-AJ201</f>
        <v/>
      </c>
      <c r="AK202" s="4263">
        <f>AK192-AK201</f>
        <v/>
      </c>
      <c r="AL202" s="4263">
        <f>AL192-AL201</f>
        <v/>
      </c>
      <c r="AM202" s="4263">
        <f>AM192-AM201</f>
        <v/>
      </c>
      <c r="AN202" s="4263">
        <f>AN192-AN201</f>
        <v/>
      </c>
      <c r="AO202" s="4263">
        <f>AO192-AO201</f>
        <v/>
      </c>
      <c r="AP202" s="4263">
        <f>AP192-AP201</f>
        <v/>
      </c>
      <c r="AQ202" s="4263">
        <f>AQ192-AQ201</f>
        <v/>
      </c>
      <c r="AR202" s="4263">
        <f>AR192-AR201</f>
        <v/>
      </c>
      <c r="AS202" s="4263">
        <f>AS192-AS201</f>
        <v/>
      </c>
      <c r="AT202" s="4263">
        <f>AT192-AT201</f>
        <v/>
      </c>
      <c r="AU202" s="4263">
        <f>AU192-AU201</f>
        <v/>
      </c>
      <c r="AV202" s="4263">
        <f>AV201-AV192</f>
        <v/>
      </c>
      <c r="AW202" s="4263">
        <f>AW201-AW192</f>
        <v/>
      </c>
      <c r="AX202" s="4263">
        <f>AX201-AX192</f>
        <v/>
      </c>
      <c r="AY202" s="4263">
        <f>AY201-AY192</f>
        <v/>
      </c>
      <c r="AZ202" s="4263">
        <f>AZ201-AZ192</f>
        <v/>
      </c>
      <c r="BA202" s="4263" t="n"/>
      <c r="BB202" s="4264">
        <f>BB201-BB192</f>
        <v/>
      </c>
    </row>
    <row r="203" ht="11.25" customFormat="1" customHeight="1" s="3737">
      <c r="A203" s="4059" t="n"/>
      <c r="B203" s="4060"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13.xml><?xml version="1.0" encoding="utf-8"?>
<worksheet xmlns="http://schemas.openxmlformats.org/spreadsheetml/2006/main">
  <sheetPr filterMode="0">
    <tabColor rgb="FF000000"/>
    <outlinePr summaryBelow="1" summaryRight="1"/>
    <pageSetUpPr fitToPage="0"/>
  </sheetPr>
  <dimension ref="A1:A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5703125" defaultRowHeight="11.25" customHeight="0" zeroHeight="0" outlineLevelRow="0"/>
  <cols>
    <col width="9.57" customWidth="1" style="4265" min="1" max="16384"/>
  </cols>
  <sheetData/>
  <printOptions horizontalCentered="0" verticalCentered="0" headings="0" gridLines="0" gridLinesSet="1"/>
  <pageMargins left="0.7" right="0.7" top="0.75" bottom="0.75" header="0.511811023622047" footer="0.3"/>
  <pageSetup orientation="portrait" paperSize="1" scale="100" fitToHeight="1" fitToWidth="1" pageOrder="downThenOver" blackAndWhite="0" draft="0" horizontalDpi="300" verticalDpi="300" copies="1"/>
  <headerFooter differentOddEven="0" differentFirst="0">
    <oddHeader/>
    <oddFooter>&amp;C&amp;"Arial,Bold"&amp;7 Document Classification: KPMG Confidential</oddFooter>
    <evenHeader/>
    <evenFooter/>
    <firstHeader/>
    <firstFooter/>
  </headerFooter>
</worksheet>
</file>

<file path=xl/worksheets/sheet14.xml><?xml version="1.0" encoding="utf-8"?>
<worksheet xmlns="http://schemas.openxmlformats.org/spreadsheetml/2006/main">
  <sheetPr filterMode="0">
    <outlinePr summaryBelow="1" summaryRight="1"/>
    <pageSetUpPr fitToPage="0"/>
  </sheetPr>
  <dimension ref="A1:BB74"/>
  <sheetViews>
    <sheetView showFormulas="0" showGridLines="0" showRowColHeaders="1" showZeros="1" rightToLeft="0" tabSelected="0" showOutlineSymbols="1" defaultGridColor="1" view="normal" topLeftCell="A1" colorId="64" zoomScale="100" zoomScaleNormal="100" zoomScalePageLayoutView="100" workbookViewId="0">
      <pane xSplit="5" ySplit="8" topLeftCell="F9" activePane="bottomRight" state="frozen"/>
      <selection pane="topLeft" activeCell="A1" activeCellId="0" sqref="A1"/>
      <selection pane="topRight" activeCell="F1" activeCellId="0" sqref="F1"/>
      <selection pane="bottomLeft" activeCell="A9" activeCellId="0" sqref="A9"/>
      <selection pane="bottomRight" activeCell="A1" activeCellId="0" sqref="A1"/>
    </sheetView>
  </sheetViews>
  <sheetFormatPr baseColWidth="8" defaultColWidth="8.6796875" defaultRowHeight="15" customHeight="0" zeroHeight="0" outlineLevelRow="1"/>
  <cols>
    <col width="3.15" customWidth="1" style="4051" min="1" max="1"/>
    <col width="1.42" customWidth="1" style="4052" min="2" max="2"/>
    <col width="29.42" customWidth="1" style="3976" min="3" max="3"/>
    <col hidden="1" outlineLevel="2" width="5.86" customWidth="1" style="4052" min="4" max="4"/>
    <col hidden="1" outlineLevel="2" width="6.85" customWidth="1" style="4052" min="5" max="5"/>
    <col hidden="1" outlineLevel="1" collapsed="1" width="6.85" customWidth="1" style="3976" min="6" max="6"/>
    <col hidden="1" outlineLevel="1" width="6.85" customWidth="1" style="3976" min="7" max="44"/>
    <col hidden="1" outlineLevel="1" width="6.85" customWidth="1" style="3976" min="45" max="45"/>
    <col hidden="1" outlineLevel="1" width="6.85" customWidth="1" style="3976" min="46" max="47"/>
    <col width="8.15" customWidth="1" style="3976" min="48" max="52"/>
  </cols>
  <sheetData>
    <row r="1" ht="22.05" customHeight="1" s="3710">
      <c r="B1" s="4053" t="inlineStr">
        <is>
          <t>Project Name</t>
        </is>
      </c>
    </row>
    <row r="2" ht="12" customHeight="1" s="3710">
      <c r="B2" s="4055">
        <f>C7</f>
        <v/>
      </c>
    </row>
    <row r="3" ht="12" customHeight="1" s="3710">
      <c r="B3" s="4056" t="inlineStr">
        <is>
          <t>Source: TBD</t>
        </is>
      </c>
    </row>
    <row r="4" ht="12" customHeight="1" s="3710">
      <c r="B4" s="4057" t="inlineStr">
        <is>
          <t>WORKING DRAFT</t>
        </is>
      </c>
    </row>
    <row r="5" ht="12" customHeight="1" s="3710"/>
    <row r="6" ht="15" customHeight="1" s="3710">
      <c r="F6" s="4266" t="n"/>
      <c r="G6" s="4266" t="n"/>
      <c r="H6" s="4266" t="n"/>
      <c r="I6" s="4266" t="n"/>
      <c r="J6" s="4266" t="n"/>
      <c r="K6" s="4266" t="n"/>
      <c r="L6" s="4266" t="n"/>
      <c r="M6" s="4266" t="n"/>
      <c r="N6" s="4266" t="n"/>
      <c r="O6" s="4266" t="n"/>
      <c r="P6" s="4266" t="n"/>
      <c r="Q6" s="4266" t="n"/>
      <c r="R6" s="4266" t="n"/>
      <c r="S6" s="4266" t="n"/>
      <c r="T6" s="4266" t="n"/>
      <c r="U6" s="4266" t="n"/>
      <c r="V6" s="4266" t="n"/>
      <c r="W6" s="4266" t="n"/>
      <c r="X6" s="4266" t="n"/>
      <c r="Y6" s="4266" t="n"/>
      <c r="Z6" s="4266" t="n"/>
      <c r="AA6" s="4266" t="n"/>
      <c r="AB6" s="4266" t="n"/>
      <c r="AC6" s="4266" t="n"/>
      <c r="AD6" s="4266" t="n"/>
      <c r="AE6" s="4266" t="n"/>
      <c r="AF6" s="4266" t="n"/>
      <c r="AG6" s="4266" t="n"/>
      <c r="AH6" s="4266" t="n"/>
      <c r="AI6" s="4266" t="n"/>
      <c r="AJ6" s="4266" t="n"/>
      <c r="AK6" s="4266" t="n"/>
      <c r="AL6" s="4266" t="n"/>
      <c r="AM6" s="4266" t="n"/>
      <c r="AN6" s="4266" t="n"/>
      <c r="AO6" s="4266" t="n"/>
      <c r="AP6" s="4266" t="n"/>
      <c r="AQ6" s="4266" t="n"/>
      <c r="AR6" s="4266" t="n"/>
      <c r="AS6" s="4266" t="n"/>
      <c r="AT6" s="4266" t="n"/>
      <c r="AU6" s="4266" t="n"/>
    </row>
    <row r="7" ht="19.5" customFormat="1" customHeight="1" s="3737">
      <c r="A7" s="4059" t="n"/>
      <c r="B7" s="4060" t="n"/>
      <c r="C7" s="4063" t="inlineStr">
        <is>
          <t>Personnel analysis | Reported</t>
        </is>
      </c>
      <c r="D7" s="4063" t="n"/>
      <c r="E7" s="4063" t="n"/>
      <c r="F7" s="4064" t="n"/>
      <c r="G7" s="4064" t="n"/>
      <c r="H7" s="4064" t="n"/>
      <c r="I7" s="4064" t="n"/>
      <c r="J7" s="4064" t="n"/>
      <c r="K7" s="4064" t="n"/>
      <c r="L7" s="4064" t="n"/>
      <c r="M7" s="4064" t="n"/>
      <c r="N7" s="4064" t="n"/>
      <c r="O7" s="4064" t="n"/>
      <c r="P7" s="4064" t="n"/>
      <c r="Q7" s="4064" t="n"/>
      <c r="R7" s="4064" t="n"/>
      <c r="S7" s="4064" t="n"/>
      <c r="T7" s="4064" t="n"/>
      <c r="U7" s="4064" t="n"/>
      <c r="V7" s="4064" t="n"/>
      <c r="W7" s="4064" t="n"/>
      <c r="X7" s="4064" t="n"/>
      <c r="Y7" s="4064" t="n"/>
      <c r="Z7" s="4064" t="n"/>
      <c r="AA7" s="4064" t="n"/>
      <c r="AB7" s="4064" t="n"/>
      <c r="AC7" s="4064" t="n"/>
      <c r="AD7" s="4064" t="n"/>
      <c r="AE7" s="4064" t="n"/>
      <c r="AF7" s="4064" t="n"/>
      <c r="AG7" s="4064" t="n"/>
      <c r="AH7" s="4064" t="n"/>
      <c r="AI7" s="4064" t="n"/>
      <c r="AJ7" s="4064" t="n"/>
      <c r="AK7" s="4064" t="n"/>
      <c r="AL7" s="4064" t="n"/>
      <c r="AM7" s="4064" t="n"/>
      <c r="AN7" s="4064" t="n"/>
      <c r="AO7" s="4064" t="n"/>
      <c r="AP7" s="4064" t="n"/>
      <c r="AQ7" s="4064" t="n"/>
      <c r="AR7" s="4064" t="n"/>
      <c r="AS7" s="4064" t="n"/>
      <c r="AT7" s="4064" t="n"/>
      <c r="AU7" s="4064" t="n"/>
      <c r="AV7" s="4064" t="n"/>
      <c r="AW7" s="4064" t="n"/>
      <c r="AX7" s="4064" t="n"/>
      <c r="AY7" s="4064" t="n"/>
      <c r="AZ7" s="4064" t="n"/>
    </row>
    <row r="8" ht="19.4" customFormat="1" customHeight="1" s="4065">
      <c r="A8" s="4066" t="n"/>
      <c r="B8" s="4067" t="n"/>
      <c r="C8" s="4081" t="inlineStr">
        <is>
          <t>$'000</t>
        </is>
      </c>
      <c r="D8" s="4081" t="inlineStr">
        <is>
          <t>Code</t>
        </is>
      </c>
      <c r="E8" s="4081" t="inlineStr">
        <is>
          <t>Mapping</t>
        </is>
      </c>
      <c r="F8" s="4082" t="n">
        <v>44197</v>
      </c>
      <c r="G8" s="4082">
        <f>EOMONTH(F8,1)</f>
        <v/>
      </c>
      <c r="H8" s="4082">
        <f>EOMONTH(G8,1)</f>
        <v/>
      </c>
      <c r="I8" s="4082">
        <f>EOMONTH(H8,1)</f>
        <v/>
      </c>
      <c r="J8" s="4082">
        <f>EOMONTH(I8,1)</f>
        <v/>
      </c>
      <c r="K8" s="4082">
        <f>EOMONTH(J8,1)</f>
        <v/>
      </c>
      <c r="L8" s="4082">
        <f>EOMONTH(K8,1)</f>
        <v/>
      </c>
      <c r="M8" s="4082">
        <f>EOMONTH(L8,1)</f>
        <v/>
      </c>
      <c r="N8" s="4082">
        <f>EOMONTH(M8,1)</f>
        <v/>
      </c>
      <c r="O8" s="4082">
        <f>EOMONTH(N8,1)</f>
        <v/>
      </c>
      <c r="P8" s="4082">
        <f>EOMONTH(O8,1)</f>
        <v/>
      </c>
      <c r="Q8" s="4083">
        <f>EOMONTH(P8,1)</f>
        <v/>
      </c>
      <c r="R8" s="4082">
        <f>EOMONTH(Q8,1)</f>
        <v/>
      </c>
      <c r="S8" s="4082">
        <f>EOMONTH(R8,1)</f>
        <v/>
      </c>
      <c r="T8" s="4082">
        <f>EOMONTH(S8,1)</f>
        <v/>
      </c>
      <c r="U8" s="4082">
        <f>EOMONTH(T8,1)</f>
        <v/>
      </c>
      <c r="V8" s="4082">
        <f>EOMONTH(U8,1)</f>
        <v/>
      </c>
      <c r="W8" s="4082">
        <f>EOMONTH(V8,1)</f>
        <v/>
      </c>
      <c r="X8" s="4082">
        <f>EOMONTH(W8,1)</f>
        <v/>
      </c>
      <c r="Y8" s="4082">
        <f>EOMONTH(X8,1)</f>
        <v/>
      </c>
      <c r="Z8" s="4082">
        <f>EOMONTH(Y8,1)</f>
        <v/>
      </c>
      <c r="AA8" s="4082">
        <f>EOMONTH(Z8,1)</f>
        <v/>
      </c>
      <c r="AB8" s="4082">
        <f>EOMONTH(AA8,1)</f>
        <v/>
      </c>
      <c r="AC8" s="4083">
        <f>EOMONTH(AB8,1)</f>
        <v/>
      </c>
      <c r="AD8" s="4082">
        <f>EOMONTH(AC8,1)</f>
        <v/>
      </c>
      <c r="AE8" s="4082">
        <f>EOMONTH(AD8,1)</f>
        <v/>
      </c>
      <c r="AF8" s="4082">
        <f>EOMONTH(AE8,1)</f>
        <v/>
      </c>
      <c r="AG8" s="4082">
        <f>EOMONTH(AF8,1)</f>
        <v/>
      </c>
      <c r="AH8" s="4082">
        <f>EOMONTH(AG8,1)</f>
        <v/>
      </c>
      <c r="AI8" s="4082">
        <f>EOMONTH(AH8,1)</f>
        <v/>
      </c>
      <c r="AJ8" s="4082">
        <f>EOMONTH(AI8,1)</f>
        <v/>
      </c>
      <c r="AK8" s="4082">
        <f>EOMONTH(AJ8,1)</f>
        <v/>
      </c>
      <c r="AL8" s="4082">
        <f>EOMONTH(AK8,1)</f>
        <v/>
      </c>
      <c r="AM8" s="4082">
        <f>EOMONTH(AL8,1)</f>
        <v/>
      </c>
      <c r="AN8" s="4082">
        <f>EOMONTH(AM8,1)</f>
        <v/>
      </c>
      <c r="AO8" s="4083">
        <f>EOMONTH(AN8,1)</f>
        <v/>
      </c>
      <c r="AP8" s="4082">
        <f>EOMONTH(AO8,1)</f>
        <v/>
      </c>
      <c r="AQ8" s="4082">
        <f>EOMONTH(AP8,1)</f>
        <v/>
      </c>
      <c r="AR8" s="4082">
        <f>EOMONTH(AQ8,1)</f>
        <v/>
      </c>
      <c r="AS8" s="4082">
        <f>EOMONTH(AR8,1)</f>
        <v/>
      </c>
      <c r="AT8" s="4082">
        <f>EOMONTH(AS8,1)</f>
        <v/>
      </c>
      <c r="AU8" s="4083">
        <f>EOMONTH(AT8,1)</f>
        <v/>
      </c>
      <c r="AV8" s="4083" t="inlineStr">
        <is>
          <t>FY21</t>
        </is>
      </c>
      <c r="AW8" s="4084" t="inlineStr">
        <is>
          <t>FY22</t>
        </is>
      </c>
      <c r="AX8" s="4084" t="inlineStr">
        <is>
          <t>FY23</t>
        </is>
      </c>
      <c r="AY8" s="4267" t="inlineStr">
        <is>
          <t>TTM
Apr-24</t>
        </is>
      </c>
      <c r="AZ8" s="4267" t="inlineStr">
        <is>
          <t>TTM
Jun-24</t>
        </is>
      </c>
    </row>
    <row r="9" ht="12" customFormat="1" customHeight="1" s="3737">
      <c r="A9" s="4059" t="n"/>
      <c r="B9" s="4060" t="n"/>
      <c r="C9" s="4242" t="inlineStr">
        <is>
          <t>Salaries &amp; benefits per Income statement</t>
        </is>
      </c>
      <c r="D9" s="4093" t="n"/>
      <c r="E9" s="4093" t="n"/>
      <c r="F9" s="4158" t="n"/>
      <c r="G9" s="4158" t="n"/>
      <c r="H9" s="4158" t="n"/>
      <c r="I9" s="4158" t="n"/>
      <c r="J9" s="4158" t="n"/>
      <c r="K9" s="4158" t="n"/>
      <c r="L9" s="4158" t="n"/>
      <c r="M9" s="4158" t="n"/>
      <c r="N9" s="4158" t="n"/>
      <c r="O9" s="4158" t="n"/>
      <c r="P9" s="4158" t="n"/>
      <c r="Q9" s="4159" t="n"/>
      <c r="R9" s="4158" t="n"/>
      <c r="S9" s="4158" t="n"/>
      <c r="T9" s="4158" t="n"/>
      <c r="U9" s="4158" t="n"/>
      <c r="V9" s="4158" t="n"/>
      <c r="W9" s="4158" t="n"/>
      <c r="X9" s="4158" t="n"/>
      <c r="Y9" s="4158" t="n"/>
      <c r="Z9" s="4158" t="n"/>
      <c r="AA9" s="4158" t="n"/>
      <c r="AB9" s="4158" t="n"/>
      <c r="AC9" s="4159" t="n"/>
      <c r="AD9" s="4158" t="n"/>
      <c r="AE9" s="4158" t="n"/>
      <c r="AF9" s="4158" t="n"/>
      <c r="AG9" s="4158" t="n"/>
      <c r="AH9" s="4158" t="n"/>
      <c r="AI9" s="4158" t="n"/>
      <c r="AJ9" s="4158" t="n"/>
      <c r="AK9" s="4158" t="n"/>
      <c r="AL9" s="4158" t="n"/>
      <c r="AM9" s="4158" t="n"/>
      <c r="AN9" s="4158" t="n"/>
      <c r="AO9" s="4159" t="n"/>
      <c r="AP9" s="4158" t="n"/>
      <c r="AQ9" s="4158" t="n"/>
      <c r="AR9" s="4158" t="n"/>
      <c r="AS9" s="4158" t="n"/>
      <c r="AT9" s="4158" t="n"/>
      <c r="AU9" s="4160" t="n"/>
      <c r="AV9" s="4158" t="n"/>
      <c r="AW9" s="4158" t="n"/>
      <c r="AX9" s="4158" t="n"/>
      <c r="AY9" s="4158" t="n"/>
      <c r="AZ9" s="4158" t="n"/>
    </row>
    <row r="10" hidden="1" outlineLevel="1" ht="12" customFormat="1" customHeight="1" s="3737">
      <c r="A10" s="4059" t="n"/>
      <c r="B10" s="4060" t="n"/>
      <c r="C10" s="4092" t="inlineStr">
        <is>
          <t>Salaries - general</t>
        </is>
      </c>
      <c r="D10" s="4093" t="n">
        <v>531101</v>
      </c>
      <c r="E10" s="4093" t="inlineStr">
        <is>
          <t>Salaries</t>
        </is>
      </c>
      <c r="F10" s="4094" t="n"/>
      <c r="G10" s="4094" t="n"/>
      <c r="H10" s="4094" t="n"/>
      <c r="I10" s="4094" t="n"/>
      <c r="J10" s="4094" t="n"/>
      <c r="K10" s="4094" t="n"/>
      <c r="L10" s="4094" t="n"/>
      <c r="M10" s="4094" t="n"/>
      <c r="N10" s="4094" t="n"/>
      <c r="O10" s="4094" t="n"/>
      <c r="P10" s="4094" t="n"/>
      <c r="Q10" s="4095" t="n"/>
      <c r="R10" s="4094" t="n"/>
      <c r="S10" s="4094" t="n"/>
      <c r="T10" s="4094" t="n"/>
      <c r="U10" s="4094" t="n"/>
      <c r="V10" s="4094" t="n"/>
      <c r="W10" s="4094" t="n"/>
      <c r="X10" s="4094" t="n"/>
      <c r="Y10" s="4094" t="n"/>
      <c r="Z10" s="4094" t="n"/>
      <c r="AA10" s="4094" t="n"/>
      <c r="AB10" s="4094" t="n"/>
      <c r="AC10" s="4095" t="n"/>
      <c r="AD10" s="4094" t="n"/>
      <c r="AE10" s="4094" t="n"/>
      <c r="AF10" s="4094" t="n"/>
      <c r="AG10" s="4094" t="n"/>
      <c r="AH10" s="4094" t="n"/>
      <c r="AI10" s="4094" t="n"/>
      <c r="AJ10" s="4094" t="n"/>
      <c r="AK10" s="4094" t="n"/>
      <c r="AL10" s="4094" t="n"/>
      <c r="AM10" s="4094" t="n"/>
      <c r="AN10" s="4094" t="n"/>
      <c r="AO10" s="4095" t="n"/>
      <c r="AP10" s="4094" t="n"/>
      <c r="AQ10" s="4094" t="n"/>
      <c r="AR10" s="4094" t="n"/>
      <c r="AS10" s="4094" t="n"/>
      <c r="AT10" s="4094" t="n"/>
      <c r="AU10" s="4096" t="n"/>
      <c r="AV10" s="4094" t="n"/>
      <c r="AW10" s="4094" t="n"/>
      <c r="AX10" s="4094" t="n"/>
      <c r="AY10" s="4094" t="n"/>
      <c r="AZ10" s="4094" t="n"/>
    </row>
    <row r="11" hidden="1" outlineLevel="1" ht="12" customFormat="1" customHeight="1" s="3737">
      <c r="A11" s="4059" t="n"/>
      <c r="B11" s="4060" t="n"/>
      <c r="C11" s="4092" t="inlineStr">
        <is>
          <t>Salaries - ncsc</t>
        </is>
      </c>
      <c r="D11" s="4093" t="n">
        <v>531101</v>
      </c>
      <c r="E11" s="4093" t="inlineStr">
        <is>
          <t>Salaries</t>
        </is>
      </c>
      <c r="F11" s="4094" t="n"/>
      <c r="G11" s="4094" t="n"/>
      <c r="H11" s="4094" t="n"/>
      <c r="I11" s="4094" t="n"/>
      <c r="J11" s="4094" t="n"/>
      <c r="K11" s="4094" t="n"/>
      <c r="L11" s="4094" t="n"/>
      <c r="M11" s="4094" t="n"/>
      <c r="N11" s="4094" t="n"/>
      <c r="O11" s="4094" t="n"/>
      <c r="P11" s="4094" t="n"/>
      <c r="Q11" s="4095" t="n"/>
      <c r="R11" s="4094" t="n"/>
      <c r="S11" s="4094" t="n"/>
      <c r="T11" s="4094" t="n"/>
      <c r="U11" s="4094" t="n"/>
      <c r="V11" s="4094" t="n"/>
      <c r="W11" s="4094" t="n"/>
      <c r="X11" s="4094" t="n"/>
      <c r="Y11" s="4094" t="n"/>
      <c r="Z11" s="4094" t="n"/>
      <c r="AA11" s="4094" t="n"/>
      <c r="AB11" s="4094" t="n"/>
      <c r="AC11" s="4095" t="n"/>
      <c r="AD11" s="4094" t="n"/>
      <c r="AE11" s="4094" t="n"/>
      <c r="AF11" s="4094" t="n"/>
      <c r="AG11" s="4094" t="n"/>
      <c r="AH11" s="4094" t="n"/>
      <c r="AI11" s="4094" t="n"/>
      <c r="AJ11" s="4094" t="n"/>
      <c r="AK11" s="4094" t="n"/>
      <c r="AL11" s="4094" t="n"/>
      <c r="AM11" s="4094" t="n"/>
      <c r="AN11" s="4094" t="n"/>
      <c r="AO11" s="4095" t="n"/>
      <c r="AP11" s="4094" t="n"/>
      <c r="AQ11" s="4094" t="n"/>
      <c r="AR11" s="4094" t="n"/>
      <c r="AS11" s="4094" t="n"/>
      <c r="AT11" s="4094" t="n"/>
      <c r="AU11" s="4096" t="n"/>
      <c r="AV11" s="4094" t="n"/>
      <c r="AW11" s="4094" t="n"/>
      <c r="AX11" s="4094" t="n"/>
      <c r="AY11" s="4094" t="n"/>
      <c r="AZ11" s="4094" t="n"/>
    </row>
    <row r="12" hidden="1" outlineLevel="1" ht="12" customFormat="1" customHeight="1" s="3737">
      <c r="A12" s="4059" t="n"/>
      <c r="B12" s="4060" t="n"/>
      <c r="C12" s="4092" t="inlineStr">
        <is>
          <t>Salaries - overtime &amp; on-call</t>
        </is>
      </c>
      <c r="D12" s="4093" t="n">
        <v>531102</v>
      </c>
      <c r="E12" s="4093" t="inlineStr">
        <is>
          <t>Salaries</t>
        </is>
      </c>
      <c r="F12" s="4094" t="n"/>
      <c r="G12" s="4094" t="n"/>
      <c r="H12" s="4094" t="n"/>
      <c r="I12" s="4094" t="n"/>
      <c r="J12" s="4094" t="n"/>
      <c r="K12" s="4094" t="n"/>
      <c r="L12" s="4094" t="n"/>
      <c r="M12" s="4094" t="n"/>
      <c r="N12" s="4094" t="n"/>
      <c r="O12" s="4094" t="n"/>
      <c r="P12" s="4094" t="n"/>
      <c r="Q12" s="4095" t="n"/>
      <c r="R12" s="4094" t="n"/>
      <c r="S12" s="4094" t="n"/>
      <c r="T12" s="4094" t="n"/>
      <c r="U12" s="4094" t="n"/>
      <c r="V12" s="4094" t="n"/>
      <c r="W12" s="4094" t="n"/>
      <c r="X12" s="4094" t="n"/>
      <c r="Y12" s="4094" t="n"/>
      <c r="Z12" s="4094" t="n"/>
      <c r="AA12" s="4094" t="n"/>
      <c r="AB12" s="4094" t="n"/>
      <c r="AC12" s="4095" t="n"/>
      <c r="AD12" s="4094" t="n"/>
      <c r="AE12" s="4094" t="n"/>
      <c r="AF12" s="4094" t="n"/>
      <c r="AG12" s="4094" t="n"/>
      <c r="AH12" s="4094" t="n"/>
      <c r="AI12" s="4094" t="n"/>
      <c r="AJ12" s="4094" t="n"/>
      <c r="AK12" s="4094" t="n"/>
      <c r="AL12" s="4094" t="n"/>
      <c r="AM12" s="4094" t="n"/>
      <c r="AN12" s="4094" t="n"/>
      <c r="AO12" s="4095" t="n"/>
      <c r="AP12" s="4094" t="n"/>
      <c r="AQ12" s="4094" t="n"/>
      <c r="AR12" s="4094" t="n"/>
      <c r="AS12" s="4094" t="n"/>
      <c r="AT12" s="4094" t="n"/>
      <c r="AU12" s="4096" t="n"/>
      <c r="AV12" s="4094" t="n"/>
      <c r="AW12" s="4094" t="n"/>
      <c r="AX12" s="4094" t="n"/>
      <c r="AY12" s="4094" t="n"/>
      <c r="AZ12" s="4094" t="n"/>
    </row>
    <row r="13" hidden="1" outlineLevel="1" ht="12" customFormat="1" customHeight="1" s="3737">
      <c r="A13" s="4059" t="n"/>
      <c r="B13" s="4060" t="n"/>
      <c r="C13" s="4100" t="inlineStr">
        <is>
          <t>Vacation pay</t>
        </is>
      </c>
      <c r="D13" s="4101" t="n">
        <v>531104</v>
      </c>
      <c r="E13" s="4101" t="inlineStr">
        <is>
          <t>Salaries</t>
        </is>
      </c>
      <c r="F13" s="4102" t="n"/>
      <c r="G13" s="4102" t="n"/>
      <c r="H13" s="4102" t="n"/>
      <c r="I13" s="4102" t="n"/>
      <c r="J13" s="4102" t="n"/>
      <c r="K13" s="4102" t="n"/>
      <c r="L13" s="4102" t="n"/>
      <c r="M13" s="4102" t="n"/>
      <c r="N13" s="4102" t="n"/>
      <c r="O13" s="4102" t="n"/>
      <c r="P13" s="4102" t="n"/>
      <c r="Q13" s="4103" t="n"/>
      <c r="R13" s="4102" t="n"/>
      <c r="S13" s="4102" t="n"/>
      <c r="T13" s="4102" t="n"/>
      <c r="U13" s="4102" t="n"/>
      <c r="V13" s="4102" t="n"/>
      <c r="W13" s="4102" t="n"/>
      <c r="X13" s="4102" t="n"/>
      <c r="Y13" s="4102" t="n"/>
      <c r="Z13" s="4102" t="n"/>
      <c r="AA13" s="4102" t="n"/>
      <c r="AB13" s="4102" t="n"/>
      <c r="AC13" s="4103" t="n"/>
      <c r="AD13" s="4102" t="n"/>
      <c r="AE13" s="4102" t="n"/>
      <c r="AF13" s="4102" t="n"/>
      <c r="AG13" s="4102" t="n"/>
      <c r="AH13" s="4102" t="n"/>
      <c r="AI13" s="4102" t="n"/>
      <c r="AJ13" s="4102" t="n"/>
      <c r="AK13" s="4102" t="n"/>
      <c r="AL13" s="4102" t="n"/>
      <c r="AM13" s="4102" t="n"/>
      <c r="AN13" s="4102" t="n"/>
      <c r="AO13" s="4103" t="n"/>
      <c r="AP13" s="4102" t="n"/>
      <c r="AQ13" s="4102" t="n"/>
      <c r="AR13" s="4102" t="n"/>
      <c r="AS13" s="4102" t="n"/>
      <c r="AT13" s="4102" t="n"/>
      <c r="AU13" s="4104" t="n"/>
      <c r="AV13" s="4102" t="n"/>
      <c r="AW13" s="4102" t="n"/>
      <c r="AX13" s="4102" t="n"/>
      <c r="AY13" s="4102" t="n"/>
      <c r="AZ13" s="4102" t="n"/>
    </row>
    <row r="14" ht="12" customFormat="1" customHeight="1" s="3737">
      <c r="A14" s="4059" t="n"/>
      <c r="B14" s="4060" t="n"/>
      <c r="C14" s="4108" t="inlineStr">
        <is>
          <t>Salary compensation</t>
        </is>
      </c>
      <c r="D14" s="4093" t="n"/>
      <c r="E14" s="4093" t="n"/>
      <c r="F14" s="4094" t="n"/>
      <c r="G14" s="4094" t="n"/>
      <c r="H14" s="4094" t="n"/>
      <c r="I14" s="4094" t="n"/>
      <c r="J14" s="4094" t="n"/>
      <c r="K14" s="4094" t="n"/>
      <c r="L14" s="4094" t="n"/>
      <c r="M14" s="4094" t="n"/>
      <c r="N14" s="4094" t="n"/>
      <c r="O14" s="4094" t="n"/>
      <c r="P14" s="4094" t="n"/>
      <c r="Q14" s="4095" t="n"/>
      <c r="R14" s="4094" t="n"/>
      <c r="S14" s="4094" t="n"/>
      <c r="T14" s="4094" t="n"/>
      <c r="U14" s="4094" t="n"/>
      <c r="V14" s="4094" t="n"/>
      <c r="W14" s="4094" t="n"/>
      <c r="X14" s="4094" t="n"/>
      <c r="Y14" s="4094" t="n"/>
      <c r="Z14" s="4094" t="n"/>
      <c r="AA14" s="4094" t="n"/>
      <c r="AB14" s="4094" t="n"/>
      <c r="AC14" s="4095" t="n"/>
      <c r="AD14" s="4094" t="n"/>
      <c r="AE14" s="4094" t="n"/>
      <c r="AF14" s="4094" t="n"/>
      <c r="AG14" s="4094" t="n"/>
      <c r="AH14" s="4094" t="n"/>
      <c r="AI14" s="4094" t="n"/>
      <c r="AJ14" s="4094" t="n"/>
      <c r="AK14" s="4094" t="n"/>
      <c r="AL14" s="4094" t="n"/>
      <c r="AM14" s="4094" t="n"/>
      <c r="AN14" s="4094" t="n"/>
      <c r="AO14" s="4095" t="n"/>
      <c r="AP14" s="4094" t="n"/>
      <c r="AQ14" s="4094" t="n"/>
      <c r="AR14" s="4094" t="n"/>
      <c r="AS14" s="4094" t="n"/>
      <c r="AT14" s="4094" t="n"/>
      <c r="AU14" s="4096" t="n"/>
      <c r="AV14" s="4094" t="n"/>
      <c r="AW14" s="4094" t="n"/>
      <c r="AX14" s="4094" t="n"/>
      <c r="AY14" s="4094" t="n"/>
      <c r="AZ14" s="4094" t="n"/>
    </row>
    <row r="15" hidden="1" outlineLevel="1" ht="12" customFormat="1" customHeight="1" s="3737">
      <c r="A15" s="4059" t="n"/>
      <c r="B15" s="4060" t="n"/>
      <c r="C15" s="4092" t="inlineStr">
        <is>
          <t>Bonus - short term</t>
        </is>
      </c>
      <c r="D15" s="4093" t="n">
        <v>531204</v>
      </c>
      <c r="E15" s="4093" t="inlineStr">
        <is>
          <t>Bonus</t>
        </is>
      </c>
      <c r="F15" s="4094" t="n"/>
      <c r="G15" s="4094" t="n"/>
      <c r="H15" s="4094" t="n"/>
      <c r="I15" s="4094" t="n"/>
      <c r="J15" s="4094" t="n"/>
      <c r="K15" s="4094" t="n"/>
      <c r="L15" s="4094" t="n"/>
      <c r="M15" s="4094" t="n"/>
      <c r="N15" s="4094" t="n"/>
      <c r="O15" s="4094" t="n"/>
      <c r="P15" s="4094" t="n"/>
      <c r="Q15" s="4095" t="n"/>
      <c r="R15" s="4094" t="n"/>
      <c r="S15" s="4094" t="n"/>
      <c r="T15" s="4094" t="n"/>
      <c r="U15" s="4094" t="n"/>
      <c r="V15" s="4094" t="n"/>
      <c r="W15" s="4094" t="n"/>
      <c r="X15" s="4094" t="n"/>
      <c r="Y15" s="4094" t="n"/>
      <c r="Z15" s="4094" t="n"/>
      <c r="AA15" s="4094" t="n"/>
      <c r="AB15" s="4094" t="n"/>
      <c r="AC15" s="4095" t="n"/>
      <c r="AD15" s="4094" t="n"/>
      <c r="AE15" s="4094" t="n"/>
      <c r="AF15" s="4094" t="n"/>
      <c r="AG15" s="4094" t="n"/>
      <c r="AH15" s="4094" t="n"/>
      <c r="AI15" s="4094" t="n"/>
      <c r="AJ15" s="4094" t="n"/>
      <c r="AK15" s="4094" t="n"/>
      <c r="AL15" s="4094" t="n"/>
      <c r="AM15" s="4094" t="n"/>
      <c r="AN15" s="4094" t="n"/>
      <c r="AO15" s="4095" t="n"/>
      <c r="AP15" s="4094" t="n"/>
      <c r="AQ15" s="4094" t="n"/>
      <c r="AR15" s="4094" t="n"/>
      <c r="AS15" s="4094" t="n"/>
      <c r="AT15" s="4094" t="n"/>
      <c r="AU15" s="4096" t="n"/>
      <c r="AV15" s="4094" t="n"/>
      <c r="AW15" s="4094" t="n"/>
      <c r="AX15" s="4094" t="n"/>
      <c r="AY15" s="4094" t="n"/>
      <c r="AZ15" s="4094" t="n"/>
    </row>
    <row r="16" hidden="1" outlineLevel="1" ht="12" customFormat="1" customHeight="1" s="3737">
      <c r="A16" s="4059" t="n"/>
      <c r="B16" s="4060" t="n"/>
      <c r="C16" s="4100" t="inlineStr">
        <is>
          <t>Bonus - long term incentive- corp</t>
        </is>
      </c>
      <c r="D16" s="4101" t="n">
        <v>531209</v>
      </c>
      <c r="E16" s="4101" t="inlineStr">
        <is>
          <t>Bonus</t>
        </is>
      </c>
      <c r="F16" s="4102" t="n"/>
      <c r="G16" s="4102" t="n"/>
      <c r="H16" s="4102" t="n"/>
      <c r="I16" s="4102" t="n"/>
      <c r="J16" s="4102" t="n"/>
      <c r="K16" s="4102" t="n"/>
      <c r="L16" s="4102" t="n"/>
      <c r="M16" s="4102" t="n"/>
      <c r="N16" s="4102" t="n"/>
      <c r="O16" s="4102" t="n"/>
      <c r="P16" s="4102" t="n"/>
      <c r="Q16" s="4103" t="n"/>
      <c r="R16" s="4102" t="n"/>
      <c r="S16" s="4102" t="n"/>
      <c r="T16" s="4102" t="n"/>
      <c r="U16" s="4102" t="n"/>
      <c r="V16" s="4102" t="n"/>
      <c r="W16" s="4102" t="n"/>
      <c r="X16" s="4102" t="n"/>
      <c r="Y16" s="4102" t="n"/>
      <c r="Z16" s="4102" t="n"/>
      <c r="AA16" s="4102" t="n"/>
      <c r="AB16" s="4102" t="n"/>
      <c r="AC16" s="4103" t="n"/>
      <c r="AD16" s="4102" t="n"/>
      <c r="AE16" s="4102" t="n"/>
      <c r="AF16" s="4102" t="n"/>
      <c r="AG16" s="4102" t="n"/>
      <c r="AH16" s="4102" t="n"/>
      <c r="AI16" s="4102" t="n"/>
      <c r="AJ16" s="4102" t="n"/>
      <c r="AK16" s="4102" t="n"/>
      <c r="AL16" s="4102" t="n"/>
      <c r="AM16" s="4102" t="n"/>
      <c r="AN16" s="4102" t="n"/>
      <c r="AO16" s="4103" t="n"/>
      <c r="AP16" s="4102" t="n"/>
      <c r="AQ16" s="4102" t="n"/>
      <c r="AR16" s="4102" t="n"/>
      <c r="AS16" s="4102" t="n"/>
      <c r="AT16" s="4102" t="n"/>
      <c r="AU16" s="4104" t="n"/>
      <c r="AV16" s="4102" t="n"/>
      <c r="AW16" s="4102" t="n"/>
      <c r="AX16" s="4102" t="n"/>
      <c r="AY16" s="4102" t="n"/>
      <c r="AZ16" s="4102" t="n"/>
    </row>
    <row r="17" ht="12" customFormat="1" customHeight="1" s="3737">
      <c r="A17" s="4059" t="n"/>
      <c r="B17" s="4060" t="n"/>
      <c r="C17" s="4108" t="inlineStr">
        <is>
          <t>Bonus compensation</t>
        </is>
      </c>
      <c r="D17" s="4093" t="n"/>
      <c r="E17" s="4093" t="n"/>
      <c r="F17" s="4094" t="n"/>
      <c r="G17" s="4094" t="n"/>
      <c r="H17" s="4094" t="n"/>
      <c r="I17" s="4094" t="n"/>
      <c r="J17" s="4094" t="n"/>
      <c r="K17" s="4094" t="n"/>
      <c r="L17" s="4094" t="n"/>
      <c r="M17" s="4094" t="n"/>
      <c r="N17" s="4094" t="n"/>
      <c r="O17" s="4094" t="n"/>
      <c r="P17" s="4094" t="n"/>
      <c r="Q17" s="4095" t="n"/>
      <c r="R17" s="4094" t="n"/>
      <c r="S17" s="4094" t="n"/>
      <c r="T17" s="4094" t="n"/>
      <c r="U17" s="4094" t="n"/>
      <c r="V17" s="4094" t="n"/>
      <c r="W17" s="4094" t="n"/>
      <c r="X17" s="4094" t="n"/>
      <c r="Y17" s="4094" t="n"/>
      <c r="Z17" s="4094" t="n"/>
      <c r="AA17" s="4094" t="n"/>
      <c r="AB17" s="4094" t="n"/>
      <c r="AC17" s="4095" t="n"/>
      <c r="AD17" s="4094" t="n"/>
      <c r="AE17" s="4094" t="n"/>
      <c r="AF17" s="4094" t="n"/>
      <c r="AG17" s="4094" t="n"/>
      <c r="AH17" s="4094" t="n"/>
      <c r="AI17" s="4094" t="n"/>
      <c r="AJ17" s="4094" t="n"/>
      <c r="AK17" s="4094" t="n"/>
      <c r="AL17" s="4094" t="n"/>
      <c r="AM17" s="4094" t="n"/>
      <c r="AN17" s="4094" t="n"/>
      <c r="AO17" s="4095" t="n"/>
      <c r="AP17" s="4094" t="n"/>
      <c r="AQ17" s="4094" t="n"/>
      <c r="AR17" s="4094" t="n"/>
      <c r="AS17" s="4094" t="n"/>
      <c r="AT17" s="4094" t="n"/>
      <c r="AU17" s="4096" t="n"/>
      <c r="AV17" s="4094" t="n"/>
      <c r="AW17" s="4094" t="n"/>
      <c r="AX17" s="4094" t="n"/>
      <c r="AY17" s="4094" t="n"/>
      <c r="AZ17" s="4094" t="n"/>
    </row>
    <row r="18" hidden="1" outlineLevel="1" ht="12" customFormat="1" customHeight="1" s="3737">
      <c r="A18" s="4059" t="n"/>
      <c r="B18" s="4060" t="n"/>
      <c r="C18" s="4092" t="inlineStr">
        <is>
          <t>Canada pension plan(cpp)expe</t>
        </is>
      </c>
      <c r="D18" s="4093" t="n">
        <v>533203</v>
      </c>
      <c r="E18" s="4093" t="inlineStr">
        <is>
          <t>Taxes</t>
        </is>
      </c>
      <c r="F18" s="4094" t="n"/>
      <c r="G18" s="4094" t="n"/>
      <c r="H18" s="4094" t="n"/>
      <c r="I18" s="4094" t="n"/>
      <c r="J18" s="4094" t="n"/>
      <c r="K18" s="4094" t="n"/>
      <c r="L18" s="4094" t="n"/>
      <c r="M18" s="4094" t="n"/>
      <c r="N18" s="4094" t="n"/>
      <c r="O18" s="4094" t="n"/>
      <c r="P18" s="4094" t="n"/>
      <c r="Q18" s="4095" t="n"/>
      <c r="R18" s="4094" t="n"/>
      <c r="S18" s="4094" t="n"/>
      <c r="T18" s="4094" t="n"/>
      <c r="U18" s="4094" t="n"/>
      <c r="V18" s="4094" t="n"/>
      <c r="W18" s="4094" t="n"/>
      <c r="X18" s="4094" t="n"/>
      <c r="Y18" s="4094" t="n"/>
      <c r="Z18" s="4094" t="n"/>
      <c r="AA18" s="4094" t="n"/>
      <c r="AB18" s="4094" t="n"/>
      <c r="AC18" s="4095" t="n"/>
      <c r="AD18" s="4094" t="n"/>
      <c r="AE18" s="4094" t="n"/>
      <c r="AF18" s="4094" t="n"/>
      <c r="AG18" s="4094" t="n"/>
      <c r="AH18" s="4094" t="n"/>
      <c r="AI18" s="4094" t="n"/>
      <c r="AJ18" s="4094" t="n"/>
      <c r="AK18" s="4094" t="n"/>
      <c r="AL18" s="4094" t="n"/>
      <c r="AM18" s="4094" t="n"/>
      <c r="AN18" s="4094" t="n"/>
      <c r="AO18" s="4095" t="n"/>
      <c r="AP18" s="4094" t="n"/>
      <c r="AQ18" s="4094" t="n"/>
      <c r="AR18" s="4094" t="n"/>
      <c r="AS18" s="4094" t="n"/>
      <c r="AT18" s="4094" t="n"/>
      <c r="AU18" s="4096" t="n"/>
      <c r="AV18" s="4094" t="n"/>
      <c r="AW18" s="4094" t="n"/>
      <c r="AX18" s="4094" t="n"/>
      <c r="AY18" s="4094" t="n"/>
      <c r="AZ18" s="4094" t="n"/>
    </row>
    <row r="19" hidden="1" outlineLevel="1" ht="12" customFormat="1" customHeight="1" s="3737">
      <c r="A19" s="4059" t="n"/>
      <c r="B19" s="4060" t="n"/>
      <c r="C19" s="4092" t="inlineStr">
        <is>
          <t>Canadian employer health tax</t>
        </is>
      </c>
      <c r="D19" s="4093" t="n">
        <v>533205</v>
      </c>
      <c r="E19" s="4093" t="inlineStr">
        <is>
          <t>Taxes</t>
        </is>
      </c>
      <c r="F19" s="4094" t="n"/>
      <c r="G19" s="4094" t="n"/>
      <c r="H19" s="4094" t="n"/>
      <c r="I19" s="4094" t="n"/>
      <c r="J19" s="4094" t="n"/>
      <c r="K19" s="4094" t="n"/>
      <c r="L19" s="4094" t="n"/>
      <c r="M19" s="4094" t="n"/>
      <c r="N19" s="4094" t="n"/>
      <c r="O19" s="4094" t="n"/>
      <c r="P19" s="4094" t="n"/>
      <c r="Q19" s="4095" t="n"/>
      <c r="R19" s="4094" t="n"/>
      <c r="S19" s="4094" t="n"/>
      <c r="T19" s="4094" t="n"/>
      <c r="U19" s="4094" t="n"/>
      <c r="V19" s="4094" t="n"/>
      <c r="W19" s="4094" t="n"/>
      <c r="X19" s="4094" t="n"/>
      <c r="Y19" s="4094" t="n"/>
      <c r="Z19" s="4094" t="n"/>
      <c r="AA19" s="4094" t="n"/>
      <c r="AB19" s="4094" t="n"/>
      <c r="AC19" s="4095" t="n"/>
      <c r="AD19" s="4094" t="n"/>
      <c r="AE19" s="4094" t="n"/>
      <c r="AF19" s="4094" t="n"/>
      <c r="AG19" s="4094" t="n"/>
      <c r="AH19" s="4094" t="n"/>
      <c r="AI19" s="4094" t="n"/>
      <c r="AJ19" s="4094" t="n"/>
      <c r="AK19" s="4094" t="n"/>
      <c r="AL19" s="4094" t="n"/>
      <c r="AM19" s="4094" t="n"/>
      <c r="AN19" s="4094" t="n"/>
      <c r="AO19" s="4095" t="n"/>
      <c r="AP19" s="4094" t="n"/>
      <c r="AQ19" s="4094" t="n"/>
      <c r="AR19" s="4094" t="n"/>
      <c r="AS19" s="4094" t="n"/>
      <c r="AT19" s="4094" t="n"/>
      <c r="AU19" s="4096" t="n"/>
      <c r="AV19" s="4094" t="n"/>
      <c r="AW19" s="4094" t="n"/>
      <c r="AX19" s="4094" t="n"/>
      <c r="AY19" s="4094" t="n"/>
      <c r="AZ19" s="4094" t="n"/>
    </row>
    <row r="20" hidden="1" outlineLevel="1" ht="12" customFormat="1" customHeight="1" s="3737">
      <c r="A20" s="4059" t="n"/>
      <c r="B20" s="4060" t="n"/>
      <c r="C20" s="4092" t="inlineStr">
        <is>
          <t>Canadian employment ins (ei)</t>
        </is>
      </c>
      <c r="D20" s="4093" t="n">
        <v>533204</v>
      </c>
      <c r="E20" s="4093" t="inlineStr">
        <is>
          <t>Taxes</t>
        </is>
      </c>
      <c r="F20" s="4094" t="n"/>
      <c r="G20" s="4094" t="n"/>
      <c r="H20" s="4094" t="n"/>
      <c r="I20" s="4094" t="n"/>
      <c r="J20" s="4094" t="n"/>
      <c r="K20" s="4094" t="n"/>
      <c r="L20" s="4094" t="n"/>
      <c r="M20" s="4094" t="n"/>
      <c r="N20" s="4094" t="n"/>
      <c r="O20" s="4094" t="n"/>
      <c r="P20" s="4094" t="n"/>
      <c r="Q20" s="4095" t="n"/>
      <c r="R20" s="4094" t="n"/>
      <c r="S20" s="4094" t="n"/>
      <c r="T20" s="4094" t="n"/>
      <c r="U20" s="4094" t="n"/>
      <c r="V20" s="4094" t="n"/>
      <c r="W20" s="4094" t="n"/>
      <c r="X20" s="4094" t="n"/>
      <c r="Y20" s="4094" t="n"/>
      <c r="Z20" s="4094" t="n"/>
      <c r="AA20" s="4094" t="n"/>
      <c r="AB20" s="4094" t="n"/>
      <c r="AC20" s="4095" t="n"/>
      <c r="AD20" s="4094" t="n"/>
      <c r="AE20" s="4094" t="n"/>
      <c r="AF20" s="4094" t="n"/>
      <c r="AG20" s="4094" t="n"/>
      <c r="AH20" s="4094" t="n"/>
      <c r="AI20" s="4094" t="n"/>
      <c r="AJ20" s="4094" t="n"/>
      <c r="AK20" s="4094" t="n"/>
      <c r="AL20" s="4094" t="n"/>
      <c r="AM20" s="4094" t="n"/>
      <c r="AN20" s="4094" t="n"/>
      <c r="AO20" s="4095" t="n"/>
      <c r="AP20" s="4094" t="n"/>
      <c r="AQ20" s="4094" t="n"/>
      <c r="AR20" s="4094" t="n"/>
      <c r="AS20" s="4094" t="n"/>
      <c r="AT20" s="4094" t="n"/>
      <c r="AU20" s="4096" t="n"/>
      <c r="AV20" s="4094" t="n"/>
      <c r="AW20" s="4094" t="n"/>
      <c r="AX20" s="4094" t="n"/>
      <c r="AY20" s="4094" t="n"/>
      <c r="AZ20" s="4094" t="n"/>
    </row>
    <row r="21" hidden="1" outlineLevel="1" ht="12" customFormat="1" customHeight="1" s="3737">
      <c r="A21" s="4059" t="n"/>
      <c r="B21" s="4060" t="n"/>
      <c r="C21" s="4100" t="inlineStr">
        <is>
          <t>Worker's compensation</t>
        </is>
      </c>
      <c r="D21" s="4101" t="n">
        <v>533401</v>
      </c>
      <c r="E21" s="4101" t="inlineStr">
        <is>
          <t>Taxes</t>
        </is>
      </c>
      <c r="F21" s="4102" t="n"/>
      <c r="G21" s="4102" t="n"/>
      <c r="H21" s="4102" t="n"/>
      <c r="I21" s="4102" t="n"/>
      <c r="J21" s="4102" t="n"/>
      <c r="K21" s="4102" t="n"/>
      <c r="L21" s="4102" t="n"/>
      <c r="M21" s="4102" t="n"/>
      <c r="N21" s="4102" t="n"/>
      <c r="O21" s="4102" t="n"/>
      <c r="P21" s="4102" t="n"/>
      <c r="Q21" s="4103" t="n"/>
      <c r="R21" s="4102" t="n"/>
      <c r="S21" s="4102" t="n"/>
      <c r="T21" s="4102" t="n"/>
      <c r="U21" s="4102" t="n"/>
      <c r="V21" s="4102" t="n"/>
      <c r="W21" s="4102" t="n"/>
      <c r="X21" s="4102" t="n"/>
      <c r="Y21" s="4102" t="n"/>
      <c r="Z21" s="4102" t="n"/>
      <c r="AA21" s="4102" t="n"/>
      <c r="AB21" s="4102" t="n"/>
      <c r="AC21" s="4103" t="n"/>
      <c r="AD21" s="4102" t="n"/>
      <c r="AE21" s="4102" t="n"/>
      <c r="AF21" s="4102" t="n"/>
      <c r="AG21" s="4102" t="n"/>
      <c r="AH21" s="4102" t="n"/>
      <c r="AI21" s="4102" t="n"/>
      <c r="AJ21" s="4102" t="n"/>
      <c r="AK21" s="4102" t="n"/>
      <c r="AL21" s="4102" t="n"/>
      <c r="AM21" s="4102" t="n"/>
      <c r="AN21" s="4102" t="n"/>
      <c r="AO21" s="4103" t="n"/>
      <c r="AP21" s="4102" t="n"/>
      <c r="AQ21" s="4102" t="n"/>
      <c r="AR21" s="4102" t="n"/>
      <c r="AS21" s="4102" t="n"/>
      <c r="AT21" s="4102" t="n"/>
      <c r="AU21" s="4104" t="n"/>
      <c r="AV21" s="4102" t="n"/>
      <c r="AW21" s="4102" t="n"/>
      <c r="AX21" s="4102" t="n"/>
      <c r="AY21" s="4102" t="n"/>
      <c r="AZ21" s="4102" t="n"/>
    </row>
    <row r="22" ht="12" customFormat="1" customHeight="1" s="3737">
      <c r="A22" s="4059" t="n"/>
      <c r="B22" s="4060" t="n"/>
      <c r="C22" s="4108" t="inlineStr">
        <is>
          <t>Employer taxes</t>
        </is>
      </c>
      <c r="D22" s="4093" t="n"/>
      <c r="E22" s="4093" t="n"/>
      <c r="F22" s="4094" t="n"/>
      <c r="G22" s="4094" t="n"/>
      <c r="H22" s="4094" t="n"/>
      <c r="I22" s="4094" t="n"/>
      <c r="J22" s="4094" t="n"/>
      <c r="K22" s="4094" t="n"/>
      <c r="L22" s="4094" t="n"/>
      <c r="M22" s="4094" t="n"/>
      <c r="N22" s="4094" t="n"/>
      <c r="O22" s="4094" t="n"/>
      <c r="P22" s="4094" t="n"/>
      <c r="Q22" s="4095" t="n"/>
      <c r="R22" s="4094" t="n"/>
      <c r="S22" s="4094" t="n"/>
      <c r="T22" s="4094" t="n"/>
      <c r="U22" s="4094" t="n"/>
      <c r="V22" s="4094" t="n"/>
      <c r="W22" s="4094" t="n"/>
      <c r="X22" s="4094" t="n"/>
      <c r="Y22" s="4094" t="n"/>
      <c r="Z22" s="4094" t="n"/>
      <c r="AA22" s="4094" t="n"/>
      <c r="AB22" s="4094" t="n"/>
      <c r="AC22" s="4095" t="n"/>
      <c r="AD22" s="4094" t="n"/>
      <c r="AE22" s="4094" t="n"/>
      <c r="AF22" s="4094" t="n"/>
      <c r="AG22" s="4094" t="n"/>
      <c r="AH22" s="4094" t="n"/>
      <c r="AI22" s="4094" t="n"/>
      <c r="AJ22" s="4094" t="n"/>
      <c r="AK22" s="4094" t="n"/>
      <c r="AL22" s="4094" t="n"/>
      <c r="AM22" s="4094" t="n"/>
      <c r="AN22" s="4094" t="n"/>
      <c r="AO22" s="4095" t="n"/>
      <c r="AP22" s="4094" t="n"/>
      <c r="AQ22" s="4094" t="n"/>
      <c r="AR22" s="4094" t="n"/>
      <c r="AS22" s="4094" t="n"/>
      <c r="AT22" s="4094" t="n"/>
      <c r="AU22" s="4096" t="n"/>
      <c r="AV22" s="4094" t="n"/>
      <c r="AW22" s="4094" t="n"/>
      <c r="AX22" s="4094" t="n"/>
      <c r="AY22" s="4094" t="n"/>
      <c r="AZ22" s="4094" t="n"/>
    </row>
    <row r="23" hidden="1" outlineLevel="1" ht="12" customFormat="1" customHeight="1" s="3737">
      <c r="A23" s="4059" t="n"/>
      <c r="B23" s="4060" t="n"/>
      <c r="C23" s="4092" t="inlineStr">
        <is>
          <t>Disability and life insurance</t>
        </is>
      </c>
      <c r="D23" s="4093" t="n">
        <v>532104</v>
      </c>
      <c r="E23" s="4093" t="inlineStr">
        <is>
          <t>Benefits</t>
        </is>
      </c>
      <c r="F23" s="4094" t="n"/>
      <c r="G23" s="4094" t="n"/>
      <c r="H23" s="4094" t="n"/>
      <c r="I23" s="4094" t="n"/>
      <c r="J23" s="4094" t="n"/>
      <c r="K23" s="4094" t="n"/>
      <c r="L23" s="4094" t="n"/>
      <c r="M23" s="4094" t="n"/>
      <c r="N23" s="4094" t="n"/>
      <c r="O23" s="4094" t="n"/>
      <c r="P23" s="4094" t="n"/>
      <c r="Q23" s="4095" t="n"/>
      <c r="R23" s="4094" t="n"/>
      <c r="S23" s="4094" t="n"/>
      <c r="T23" s="4094" t="n"/>
      <c r="U23" s="4094" t="n"/>
      <c r="V23" s="4094" t="n"/>
      <c r="W23" s="4094" t="n"/>
      <c r="X23" s="4094" t="n"/>
      <c r="Y23" s="4094" t="n"/>
      <c r="Z23" s="4094" t="n"/>
      <c r="AA23" s="4094" t="n"/>
      <c r="AB23" s="4094" t="n"/>
      <c r="AC23" s="4095" t="n"/>
      <c r="AD23" s="4094" t="n"/>
      <c r="AE23" s="4094" t="n"/>
      <c r="AF23" s="4094" t="n"/>
      <c r="AG23" s="4094" t="n"/>
      <c r="AH23" s="4094" t="n"/>
      <c r="AI23" s="4094" t="n"/>
      <c r="AJ23" s="4094" t="n"/>
      <c r="AK23" s="4094" t="n"/>
      <c r="AL23" s="4094" t="n"/>
      <c r="AM23" s="4094" t="n"/>
      <c r="AN23" s="4094" t="n"/>
      <c r="AO23" s="4095" t="n"/>
      <c r="AP23" s="4094" t="n"/>
      <c r="AQ23" s="4094" t="n"/>
      <c r="AR23" s="4094" t="n"/>
      <c r="AS23" s="4094" t="n"/>
      <c r="AT23" s="4094" t="n"/>
      <c r="AU23" s="4096" t="n"/>
      <c r="AV23" s="4094" t="n"/>
      <c r="AW23" s="4094" t="n"/>
      <c r="AX23" s="4094" t="n"/>
      <c r="AY23" s="4094" t="n"/>
      <c r="AZ23" s="4094" t="n"/>
    </row>
    <row r="24" hidden="1" outlineLevel="1" ht="12" customFormat="1" customHeight="1" s="3737">
      <c r="A24" s="4059" t="n"/>
      <c r="B24" s="4060" t="n"/>
      <c r="C24" s="4092" t="inlineStr">
        <is>
          <t>Cooperative employee css pension</t>
        </is>
      </c>
      <c r="D24" s="4093" t="n">
        <v>532303</v>
      </c>
      <c r="E24" s="4093" t="inlineStr">
        <is>
          <t>Benefits</t>
        </is>
      </c>
      <c r="F24" s="4094" t="n"/>
      <c r="G24" s="4094" t="n"/>
      <c r="H24" s="4094" t="n"/>
      <c r="I24" s="4094" t="n"/>
      <c r="J24" s="4094" t="n"/>
      <c r="K24" s="4094" t="n"/>
      <c r="L24" s="4094" t="n"/>
      <c r="M24" s="4094" t="n"/>
      <c r="N24" s="4094" t="n"/>
      <c r="O24" s="4094" t="n"/>
      <c r="P24" s="4094" t="n"/>
      <c r="Q24" s="4095" t="n"/>
      <c r="R24" s="4094" t="n"/>
      <c r="S24" s="4094" t="n"/>
      <c r="T24" s="4094" t="n"/>
      <c r="U24" s="4094" t="n"/>
      <c r="V24" s="4094" t="n"/>
      <c r="W24" s="4094" t="n"/>
      <c r="X24" s="4094" t="n"/>
      <c r="Y24" s="4094" t="n"/>
      <c r="Z24" s="4094" t="n"/>
      <c r="AA24" s="4094" t="n"/>
      <c r="AB24" s="4094" t="n"/>
      <c r="AC24" s="4095" t="n"/>
      <c r="AD24" s="4094" t="n"/>
      <c r="AE24" s="4094" t="n"/>
      <c r="AF24" s="4094" t="n"/>
      <c r="AG24" s="4094" t="n"/>
      <c r="AH24" s="4094" t="n"/>
      <c r="AI24" s="4094" t="n"/>
      <c r="AJ24" s="4094" t="n"/>
      <c r="AK24" s="4094" t="n"/>
      <c r="AL24" s="4094" t="n"/>
      <c r="AM24" s="4094" t="n"/>
      <c r="AN24" s="4094" t="n"/>
      <c r="AO24" s="4095" t="n"/>
      <c r="AP24" s="4094" t="n"/>
      <c r="AQ24" s="4094" t="n"/>
      <c r="AR24" s="4094" t="n"/>
      <c r="AS24" s="4094" t="n"/>
      <c r="AT24" s="4094" t="n"/>
      <c r="AU24" s="4096" t="n"/>
      <c r="AV24" s="4094" t="n"/>
      <c r="AW24" s="4094" t="n"/>
      <c r="AX24" s="4094" t="n"/>
      <c r="AY24" s="4094" t="n"/>
      <c r="AZ24" s="4094" t="n"/>
    </row>
    <row r="25" hidden="1" outlineLevel="1" ht="12" customFormat="1" customHeight="1" s="3737">
      <c r="A25" s="4059" t="n"/>
      <c r="B25" s="4060" t="n"/>
      <c r="C25" s="4092" t="inlineStr">
        <is>
          <t>Medical insurance</t>
        </is>
      </c>
      <c r="D25" s="4093" t="n">
        <v>532101</v>
      </c>
      <c r="E25" s="4093" t="inlineStr">
        <is>
          <t>Benefits</t>
        </is>
      </c>
      <c r="F25" s="4094" t="n"/>
      <c r="G25" s="4094" t="n"/>
      <c r="H25" s="4094" t="n"/>
      <c r="I25" s="4094" t="n"/>
      <c r="J25" s="4094" t="n"/>
      <c r="K25" s="4094" t="n"/>
      <c r="L25" s="4094" t="n"/>
      <c r="M25" s="4094" t="n"/>
      <c r="N25" s="4094" t="n"/>
      <c r="O25" s="4094" t="n"/>
      <c r="P25" s="4094" t="n"/>
      <c r="Q25" s="4095" t="n"/>
      <c r="R25" s="4094" t="n"/>
      <c r="S25" s="4094" t="n"/>
      <c r="T25" s="4094" t="n"/>
      <c r="U25" s="4094" t="n"/>
      <c r="V25" s="4094" t="n"/>
      <c r="W25" s="4094" t="n"/>
      <c r="X25" s="4094" t="n"/>
      <c r="Y25" s="4094" t="n"/>
      <c r="Z25" s="4094" t="n"/>
      <c r="AA25" s="4094" t="n"/>
      <c r="AB25" s="4094" t="n"/>
      <c r="AC25" s="4095" t="n"/>
      <c r="AD25" s="4094" t="n"/>
      <c r="AE25" s="4094" t="n"/>
      <c r="AF25" s="4094" t="n"/>
      <c r="AG25" s="4094" t="n"/>
      <c r="AH25" s="4094" t="n"/>
      <c r="AI25" s="4094" t="n"/>
      <c r="AJ25" s="4094" t="n"/>
      <c r="AK25" s="4094" t="n"/>
      <c r="AL25" s="4094" t="n"/>
      <c r="AM25" s="4094" t="n"/>
      <c r="AN25" s="4094" t="n"/>
      <c r="AO25" s="4095" t="n"/>
      <c r="AP25" s="4094" t="n"/>
      <c r="AQ25" s="4094" t="n"/>
      <c r="AR25" s="4094" t="n"/>
      <c r="AS25" s="4094" t="n"/>
      <c r="AT25" s="4094" t="n"/>
      <c r="AU25" s="4096" t="n"/>
      <c r="AV25" s="4094" t="n"/>
      <c r="AW25" s="4094" t="n"/>
      <c r="AX25" s="4094" t="n"/>
      <c r="AY25" s="4094" t="n"/>
      <c r="AZ25" s="4094" t="n"/>
    </row>
    <row r="26" hidden="1" outlineLevel="1" ht="12" customFormat="1" customHeight="1" s="3737">
      <c r="A26" s="4059" t="n"/>
      <c r="B26" s="4060" t="n"/>
      <c r="C26" s="4092" t="inlineStr">
        <is>
          <t>Dental insurance</t>
        </is>
      </c>
      <c r="D26" s="4093" t="n">
        <v>532102</v>
      </c>
      <c r="E26" s="4093" t="inlineStr">
        <is>
          <t>Benefits</t>
        </is>
      </c>
      <c r="F26" s="4094" t="n"/>
      <c r="G26" s="4094" t="n"/>
      <c r="H26" s="4094" t="n"/>
      <c r="I26" s="4094" t="n"/>
      <c r="J26" s="4094" t="n"/>
      <c r="K26" s="4094" t="n"/>
      <c r="L26" s="4094" t="n"/>
      <c r="M26" s="4094" t="n"/>
      <c r="N26" s="4094" t="n"/>
      <c r="O26" s="4094" t="n"/>
      <c r="P26" s="4094" t="n"/>
      <c r="Q26" s="4095" t="n"/>
      <c r="R26" s="4094" t="n"/>
      <c r="S26" s="4094" t="n"/>
      <c r="T26" s="4094" t="n"/>
      <c r="U26" s="4094" t="n"/>
      <c r="V26" s="4094" t="n"/>
      <c r="W26" s="4094" t="n"/>
      <c r="X26" s="4094" t="n"/>
      <c r="Y26" s="4094" t="n"/>
      <c r="Z26" s="4094" t="n"/>
      <c r="AA26" s="4094" t="n"/>
      <c r="AB26" s="4094" t="n"/>
      <c r="AC26" s="4095" t="n"/>
      <c r="AD26" s="4094" t="n"/>
      <c r="AE26" s="4094" t="n"/>
      <c r="AF26" s="4094" t="n"/>
      <c r="AG26" s="4094" t="n"/>
      <c r="AH26" s="4094" t="n"/>
      <c r="AI26" s="4094" t="n"/>
      <c r="AJ26" s="4094" t="n"/>
      <c r="AK26" s="4094" t="n"/>
      <c r="AL26" s="4094" t="n"/>
      <c r="AM26" s="4094" t="n"/>
      <c r="AN26" s="4094" t="n"/>
      <c r="AO26" s="4095" t="n"/>
      <c r="AP26" s="4094" t="n"/>
      <c r="AQ26" s="4094" t="n"/>
      <c r="AR26" s="4094" t="n"/>
      <c r="AS26" s="4094" t="n"/>
      <c r="AT26" s="4094" t="n"/>
      <c r="AU26" s="4096" t="n"/>
      <c r="AV26" s="4094" t="n"/>
      <c r="AW26" s="4094" t="n"/>
      <c r="AX26" s="4094" t="n"/>
      <c r="AY26" s="4094" t="n"/>
      <c r="AZ26" s="4094" t="n"/>
    </row>
    <row r="27" hidden="1" outlineLevel="1" ht="12" customFormat="1" customHeight="1" s="3737">
      <c r="A27" s="4059" t="n"/>
      <c r="B27" s="4060" t="n"/>
      <c r="C27" s="4092" t="inlineStr">
        <is>
          <t>Health spending account</t>
        </is>
      </c>
      <c r="D27" s="4093" t="n">
        <v>532103</v>
      </c>
      <c r="E27" s="4093" t="inlineStr">
        <is>
          <t>Benefits</t>
        </is>
      </c>
      <c r="F27" s="4094" t="n"/>
      <c r="G27" s="4094" t="n"/>
      <c r="H27" s="4094" t="n"/>
      <c r="I27" s="4094" t="n"/>
      <c r="J27" s="4094" t="n"/>
      <c r="K27" s="4094" t="n"/>
      <c r="L27" s="4094" t="n"/>
      <c r="M27" s="4094" t="n"/>
      <c r="N27" s="4094" t="n"/>
      <c r="O27" s="4094" t="n"/>
      <c r="P27" s="4094" t="n"/>
      <c r="Q27" s="4095" t="n"/>
      <c r="R27" s="4094" t="n"/>
      <c r="S27" s="4094" t="n"/>
      <c r="T27" s="4094" t="n"/>
      <c r="U27" s="4094" t="n"/>
      <c r="V27" s="4094" t="n"/>
      <c r="W27" s="4094" t="n"/>
      <c r="X27" s="4094" t="n"/>
      <c r="Y27" s="4094" t="n"/>
      <c r="Z27" s="4094" t="n"/>
      <c r="AA27" s="4094" t="n"/>
      <c r="AB27" s="4094" t="n"/>
      <c r="AC27" s="4095" t="n"/>
      <c r="AD27" s="4094" t="n"/>
      <c r="AE27" s="4094" t="n"/>
      <c r="AF27" s="4094" t="n"/>
      <c r="AG27" s="4094" t="n"/>
      <c r="AH27" s="4094" t="n"/>
      <c r="AI27" s="4094" t="n"/>
      <c r="AJ27" s="4094" t="n"/>
      <c r="AK27" s="4094" t="n"/>
      <c r="AL27" s="4094" t="n"/>
      <c r="AM27" s="4094" t="n"/>
      <c r="AN27" s="4094" t="n"/>
      <c r="AO27" s="4095" t="n"/>
      <c r="AP27" s="4094" t="n"/>
      <c r="AQ27" s="4094" t="n"/>
      <c r="AR27" s="4094" t="n"/>
      <c r="AS27" s="4094" t="n"/>
      <c r="AT27" s="4094" t="n"/>
      <c r="AU27" s="4096" t="n"/>
      <c r="AV27" s="4094" t="n"/>
      <c r="AW27" s="4094" t="n"/>
      <c r="AX27" s="4094" t="n"/>
      <c r="AY27" s="4094" t="n"/>
      <c r="AZ27" s="4094" t="n"/>
    </row>
    <row r="28" hidden="1" outlineLevel="1" ht="12" customFormat="1" customHeight="1" s="3737">
      <c r="A28" s="4059" t="n"/>
      <c r="B28" s="4060" t="n"/>
      <c r="C28" s="4092" t="inlineStr">
        <is>
          <t>Supplement exec retire plan- exec office</t>
        </is>
      </c>
      <c r="D28" s="4093" t="n">
        <v>532304</v>
      </c>
      <c r="E28" s="4093" t="inlineStr">
        <is>
          <t>Benefits</t>
        </is>
      </c>
      <c r="F28" s="4094" t="n"/>
      <c r="G28" s="4094" t="n"/>
      <c r="H28" s="4094" t="n"/>
      <c r="I28" s="4094" t="n"/>
      <c r="J28" s="4094" t="n"/>
      <c r="K28" s="4094" t="n"/>
      <c r="L28" s="4094" t="n"/>
      <c r="M28" s="4094" t="n"/>
      <c r="N28" s="4094" t="n"/>
      <c r="O28" s="4094" t="n"/>
      <c r="P28" s="4094" t="n"/>
      <c r="Q28" s="4095" t="n"/>
      <c r="R28" s="4094" t="n"/>
      <c r="S28" s="4094" t="n"/>
      <c r="T28" s="4094" t="n"/>
      <c r="U28" s="4094" t="n"/>
      <c r="V28" s="4094" t="n"/>
      <c r="W28" s="4094" t="n"/>
      <c r="X28" s="4094" t="n"/>
      <c r="Y28" s="4094" t="n"/>
      <c r="Z28" s="4094" t="n"/>
      <c r="AA28" s="4094" t="n"/>
      <c r="AB28" s="4094" t="n"/>
      <c r="AC28" s="4095" t="n"/>
      <c r="AD28" s="4094" t="n"/>
      <c r="AE28" s="4094" t="n"/>
      <c r="AF28" s="4094" t="n"/>
      <c r="AG28" s="4094" t="n"/>
      <c r="AH28" s="4094" t="n"/>
      <c r="AI28" s="4094" t="n"/>
      <c r="AJ28" s="4094" t="n"/>
      <c r="AK28" s="4094" t="n"/>
      <c r="AL28" s="4094" t="n"/>
      <c r="AM28" s="4094" t="n"/>
      <c r="AN28" s="4094" t="n"/>
      <c r="AO28" s="4095" t="n"/>
      <c r="AP28" s="4094" t="n"/>
      <c r="AQ28" s="4094" t="n"/>
      <c r="AR28" s="4094" t="n"/>
      <c r="AS28" s="4094" t="n"/>
      <c r="AT28" s="4094" t="n"/>
      <c r="AU28" s="4096" t="n"/>
      <c r="AV28" s="4094" t="n"/>
      <c r="AW28" s="4094" t="n"/>
      <c r="AX28" s="4094" t="n"/>
      <c r="AY28" s="4094" t="n"/>
      <c r="AZ28" s="4094" t="n"/>
    </row>
    <row r="29" hidden="1" outlineLevel="1" ht="12" customFormat="1" customHeight="1" s="3737">
      <c r="A29" s="4059" t="n"/>
      <c r="B29" s="4060" t="n"/>
      <c r="C29" s="4092" t="inlineStr">
        <is>
          <t>Employee miscellaneous incentives</t>
        </is>
      </c>
      <c r="D29" s="4093" t="n">
        <v>532306</v>
      </c>
      <c r="E29" s="4093" t="inlineStr">
        <is>
          <t>Benefits</t>
        </is>
      </c>
      <c r="F29" s="4094" t="n"/>
      <c r="G29" s="4094" t="n"/>
      <c r="H29" s="4094" t="n"/>
      <c r="I29" s="4094" t="n"/>
      <c r="J29" s="4094" t="n"/>
      <c r="K29" s="4094" t="n"/>
      <c r="L29" s="4094" t="n"/>
      <c r="M29" s="4094" t="n"/>
      <c r="N29" s="4094" t="n"/>
      <c r="O29" s="4094" t="n"/>
      <c r="P29" s="4094" t="n"/>
      <c r="Q29" s="4095" t="n"/>
      <c r="R29" s="4094" t="n"/>
      <c r="S29" s="4094" t="n"/>
      <c r="T29" s="4094" t="n"/>
      <c r="U29" s="4094" t="n"/>
      <c r="V29" s="4094" t="n"/>
      <c r="W29" s="4094" t="n"/>
      <c r="X29" s="4094" t="n"/>
      <c r="Y29" s="4094" t="n"/>
      <c r="Z29" s="4094" t="n"/>
      <c r="AA29" s="4094" t="n"/>
      <c r="AB29" s="4094" t="n"/>
      <c r="AC29" s="4095" t="n"/>
      <c r="AD29" s="4094" t="n"/>
      <c r="AE29" s="4094" t="n"/>
      <c r="AF29" s="4094" t="n"/>
      <c r="AG29" s="4094" t="n"/>
      <c r="AH29" s="4094" t="n"/>
      <c r="AI29" s="4094" t="n"/>
      <c r="AJ29" s="4094" t="n"/>
      <c r="AK29" s="4094" t="n"/>
      <c r="AL29" s="4094" t="n"/>
      <c r="AM29" s="4094" t="n"/>
      <c r="AN29" s="4094" t="n"/>
      <c r="AO29" s="4095" t="n"/>
      <c r="AP29" s="4094" t="n"/>
      <c r="AQ29" s="4094" t="n"/>
      <c r="AR29" s="4094" t="n"/>
      <c r="AS29" s="4094" t="n"/>
      <c r="AT29" s="4094" t="n"/>
      <c r="AU29" s="4096" t="n"/>
      <c r="AV29" s="4094" t="n"/>
      <c r="AW29" s="4094" t="n"/>
      <c r="AX29" s="4094" t="n"/>
      <c r="AY29" s="4094" t="n"/>
      <c r="AZ29" s="4094" t="n"/>
    </row>
    <row r="30" hidden="1" outlineLevel="1" ht="12" customFormat="1" customHeight="1" s="3737">
      <c r="A30" s="4059" t="n"/>
      <c r="B30" s="4060" t="n"/>
      <c r="C30" s="4092" t="inlineStr">
        <is>
          <t>Employee benefits - gas allowances</t>
        </is>
      </c>
      <c r="D30" s="4093" t="n">
        <v>532308</v>
      </c>
      <c r="E30" s="4093" t="inlineStr">
        <is>
          <t>Benefits</t>
        </is>
      </c>
      <c r="F30" s="4094" t="n"/>
      <c r="G30" s="4094" t="n"/>
      <c r="H30" s="4094" t="n"/>
      <c r="I30" s="4094" t="n"/>
      <c r="J30" s="4094" t="n"/>
      <c r="K30" s="4094" t="n"/>
      <c r="L30" s="4094" t="n"/>
      <c r="M30" s="4094" t="n"/>
      <c r="N30" s="4094" t="n"/>
      <c r="O30" s="4094" t="n"/>
      <c r="P30" s="4094" t="n"/>
      <c r="Q30" s="4095" t="n"/>
      <c r="R30" s="4094" t="n"/>
      <c r="S30" s="4094" t="n"/>
      <c r="T30" s="4094" t="n"/>
      <c r="U30" s="4094" t="n"/>
      <c r="V30" s="4094" t="n"/>
      <c r="W30" s="4094" t="n"/>
      <c r="X30" s="4094" t="n"/>
      <c r="Y30" s="4094" t="n"/>
      <c r="Z30" s="4094" t="n"/>
      <c r="AA30" s="4094" t="n"/>
      <c r="AB30" s="4094" t="n"/>
      <c r="AC30" s="4095" t="n"/>
      <c r="AD30" s="4094" t="n"/>
      <c r="AE30" s="4094" t="n"/>
      <c r="AF30" s="4094" t="n"/>
      <c r="AG30" s="4094" t="n"/>
      <c r="AH30" s="4094" t="n"/>
      <c r="AI30" s="4094" t="n"/>
      <c r="AJ30" s="4094" t="n"/>
      <c r="AK30" s="4094" t="n"/>
      <c r="AL30" s="4094" t="n"/>
      <c r="AM30" s="4094" t="n"/>
      <c r="AN30" s="4094" t="n"/>
      <c r="AO30" s="4095" t="n"/>
      <c r="AP30" s="4094" t="n"/>
      <c r="AQ30" s="4094" t="n"/>
      <c r="AR30" s="4094" t="n"/>
      <c r="AS30" s="4094" t="n"/>
      <c r="AT30" s="4094" t="n"/>
      <c r="AU30" s="4096" t="n"/>
      <c r="AV30" s="4094" t="n"/>
      <c r="AW30" s="4094" t="n"/>
      <c r="AX30" s="4094" t="n"/>
      <c r="AY30" s="4094" t="n"/>
      <c r="AZ30" s="4094" t="n"/>
    </row>
    <row r="31" hidden="1" outlineLevel="1" ht="12" customFormat="1" customHeight="1" s="3737">
      <c r="A31" s="4059" t="n"/>
      <c r="B31" s="4060" t="n"/>
      <c r="C31" s="4100" t="inlineStr">
        <is>
          <t>Employee - other compensation</t>
        </is>
      </c>
      <c r="D31" s="4101" t="n">
        <v>532309</v>
      </c>
      <c r="E31" s="4101" t="inlineStr">
        <is>
          <t>Benefits</t>
        </is>
      </c>
      <c r="F31" s="4102" t="n"/>
      <c r="G31" s="4102" t="n"/>
      <c r="H31" s="4102" t="n"/>
      <c r="I31" s="4102" t="n"/>
      <c r="J31" s="4102" t="n"/>
      <c r="K31" s="4102" t="n"/>
      <c r="L31" s="4102" t="n"/>
      <c r="M31" s="4102" t="n"/>
      <c r="N31" s="4102" t="n"/>
      <c r="O31" s="4102" t="n"/>
      <c r="P31" s="4102" t="n"/>
      <c r="Q31" s="4103" t="n"/>
      <c r="R31" s="4102" t="n"/>
      <c r="S31" s="4102" t="n"/>
      <c r="T31" s="4102" t="n"/>
      <c r="U31" s="4102" t="n"/>
      <c r="V31" s="4102" t="n"/>
      <c r="W31" s="4102" t="n"/>
      <c r="X31" s="4102" t="n"/>
      <c r="Y31" s="4102" t="n"/>
      <c r="Z31" s="4102" t="n"/>
      <c r="AA31" s="4102" t="n"/>
      <c r="AB31" s="4102" t="n"/>
      <c r="AC31" s="4103" t="n"/>
      <c r="AD31" s="4102" t="n"/>
      <c r="AE31" s="4102" t="n"/>
      <c r="AF31" s="4102" t="n"/>
      <c r="AG31" s="4102" t="n"/>
      <c r="AH31" s="4102" t="n"/>
      <c r="AI31" s="4102" t="n"/>
      <c r="AJ31" s="4102" t="n"/>
      <c r="AK31" s="4102" t="n"/>
      <c r="AL31" s="4102" t="n"/>
      <c r="AM31" s="4102" t="n"/>
      <c r="AN31" s="4102" t="n"/>
      <c r="AO31" s="4103" t="n"/>
      <c r="AP31" s="4102" t="n"/>
      <c r="AQ31" s="4102" t="n"/>
      <c r="AR31" s="4102" t="n"/>
      <c r="AS31" s="4102" t="n"/>
      <c r="AT31" s="4102" t="n"/>
      <c r="AU31" s="4104" t="n"/>
      <c r="AV31" s="4102" t="n"/>
      <c r="AW31" s="4102" t="n"/>
      <c r="AX31" s="4102" t="n"/>
      <c r="AY31" s="4102" t="n"/>
      <c r="AZ31" s="4102" t="n"/>
    </row>
    <row r="32" ht="12" customFormat="1" customHeight="1" s="3737">
      <c r="A32" s="4059" t="n"/>
      <c r="B32" s="4060" t="n"/>
      <c r="C32" s="4108" t="inlineStr">
        <is>
          <t>Benefits</t>
        </is>
      </c>
      <c r="D32" s="4093" t="n"/>
      <c r="E32" s="4093" t="n"/>
      <c r="F32" s="4094" t="n"/>
      <c r="G32" s="4094" t="n"/>
      <c r="H32" s="4094" t="n"/>
      <c r="I32" s="4094" t="n"/>
      <c r="J32" s="4094" t="n"/>
      <c r="K32" s="4094" t="n"/>
      <c r="L32" s="4094" t="n"/>
      <c r="M32" s="4094" t="n"/>
      <c r="N32" s="4094" t="n"/>
      <c r="O32" s="4094" t="n"/>
      <c r="P32" s="4094" t="n"/>
      <c r="Q32" s="4095" t="n"/>
      <c r="R32" s="4094" t="n"/>
      <c r="S32" s="4094" t="n"/>
      <c r="T32" s="4094" t="n"/>
      <c r="U32" s="4094" t="n"/>
      <c r="V32" s="4094" t="n"/>
      <c r="W32" s="4094" t="n"/>
      <c r="X32" s="4094" t="n"/>
      <c r="Y32" s="4094" t="n"/>
      <c r="Z32" s="4094" t="n"/>
      <c r="AA32" s="4094" t="n"/>
      <c r="AB32" s="4094" t="n"/>
      <c r="AC32" s="4095" t="n"/>
      <c r="AD32" s="4094" t="n"/>
      <c r="AE32" s="4094" t="n"/>
      <c r="AF32" s="4094" t="n"/>
      <c r="AG32" s="4094" t="n"/>
      <c r="AH32" s="4094" t="n"/>
      <c r="AI32" s="4094" t="n"/>
      <c r="AJ32" s="4094" t="n"/>
      <c r="AK32" s="4094" t="n"/>
      <c r="AL32" s="4094" t="n"/>
      <c r="AM32" s="4094" t="n"/>
      <c r="AN32" s="4094" t="n"/>
      <c r="AO32" s="4095" t="n"/>
      <c r="AP32" s="4094" t="n"/>
      <c r="AQ32" s="4094" t="n"/>
      <c r="AR32" s="4094" t="n"/>
      <c r="AS32" s="4094" t="n"/>
      <c r="AT32" s="4094" t="n"/>
      <c r="AU32" s="4096" t="n"/>
      <c r="AV32" s="4094" t="n"/>
      <c r="AW32" s="4094" t="n"/>
      <c r="AX32" s="4094" t="n"/>
      <c r="AY32" s="4094" t="n"/>
      <c r="AZ32" s="4094" t="n"/>
    </row>
    <row r="33" hidden="1" outlineLevel="1" ht="12" customFormat="1" customHeight="1" s="3737">
      <c r="A33" s="4059" t="n"/>
      <c r="B33" s="4060" t="n"/>
      <c r="C33" s="4100" t="inlineStr">
        <is>
          <t>Salaries - severance</t>
        </is>
      </c>
      <c r="D33" s="4101" t="n">
        <v>531105</v>
      </c>
      <c r="E33" s="4101" t="inlineStr">
        <is>
          <t>Salaries</t>
        </is>
      </c>
      <c r="F33" s="4102" t="n"/>
      <c r="G33" s="4102" t="n"/>
      <c r="H33" s="4102" t="n"/>
      <c r="I33" s="4102" t="n"/>
      <c r="J33" s="4102" t="n"/>
      <c r="K33" s="4102" t="n"/>
      <c r="L33" s="4102" t="n"/>
      <c r="M33" s="4102" t="n"/>
      <c r="N33" s="4102" t="n"/>
      <c r="O33" s="4102" t="n"/>
      <c r="P33" s="4102" t="n"/>
      <c r="Q33" s="4103" t="n"/>
      <c r="R33" s="4102" t="n"/>
      <c r="S33" s="4102" t="n"/>
      <c r="T33" s="4102" t="n"/>
      <c r="U33" s="4102" t="n"/>
      <c r="V33" s="4102" t="n"/>
      <c r="W33" s="4102" t="n"/>
      <c r="X33" s="4102" t="n"/>
      <c r="Y33" s="4102" t="n"/>
      <c r="Z33" s="4102" t="n"/>
      <c r="AA33" s="4102" t="n"/>
      <c r="AB33" s="4102" t="n"/>
      <c r="AC33" s="4103" t="n"/>
      <c r="AD33" s="4102" t="n"/>
      <c r="AE33" s="4102" t="n"/>
      <c r="AF33" s="4102" t="n"/>
      <c r="AG33" s="4102" t="n"/>
      <c r="AH33" s="4102" t="n"/>
      <c r="AI33" s="4102" t="n"/>
      <c r="AJ33" s="4102" t="n"/>
      <c r="AK33" s="4102" t="n"/>
      <c r="AL33" s="4102" t="n"/>
      <c r="AM33" s="4102" t="n"/>
      <c r="AN33" s="4102" t="n"/>
      <c r="AO33" s="4103" t="n"/>
      <c r="AP33" s="4102" t="n"/>
      <c r="AQ33" s="4102" t="n"/>
      <c r="AR33" s="4102" t="n"/>
      <c r="AS33" s="4102" t="n"/>
      <c r="AT33" s="4102" t="n"/>
      <c r="AU33" s="4104" t="n"/>
      <c r="AV33" s="4102" t="n"/>
      <c r="AW33" s="4102" t="n"/>
      <c r="AX33" s="4102" t="n"/>
      <c r="AY33" s="4102" t="n"/>
      <c r="AZ33" s="4102" t="n"/>
    </row>
    <row r="34" ht="12" customFormat="1" customHeight="1" s="3737">
      <c r="A34" s="4059" t="n"/>
      <c r="B34" s="4060" t="n"/>
      <c r="C34" s="4108" t="inlineStr">
        <is>
          <t>Severance &amp; related costs</t>
        </is>
      </c>
      <c r="D34" s="4093" t="n"/>
      <c r="E34" s="4093" t="n"/>
      <c r="F34" s="4094" t="n"/>
      <c r="G34" s="4094" t="n"/>
      <c r="H34" s="4094" t="n"/>
      <c r="I34" s="4094" t="n"/>
      <c r="J34" s="4094" t="n"/>
      <c r="K34" s="4094" t="n"/>
      <c r="L34" s="4094" t="n"/>
      <c r="M34" s="4094" t="n"/>
      <c r="N34" s="4094" t="n"/>
      <c r="O34" s="4094" t="n"/>
      <c r="P34" s="4094" t="n"/>
      <c r="Q34" s="4095" t="n"/>
      <c r="R34" s="4094" t="n"/>
      <c r="S34" s="4094" t="n"/>
      <c r="T34" s="4094" t="n"/>
      <c r="U34" s="4094" t="n"/>
      <c r="V34" s="4094" t="n"/>
      <c r="W34" s="4094" t="n"/>
      <c r="X34" s="4094" t="n"/>
      <c r="Y34" s="4094" t="n"/>
      <c r="Z34" s="4094" t="n"/>
      <c r="AA34" s="4094" t="n"/>
      <c r="AB34" s="4094" t="n"/>
      <c r="AC34" s="4095" t="n"/>
      <c r="AD34" s="4094" t="n"/>
      <c r="AE34" s="4094" t="n"/>
      <c r="AF34" s="4094" t="n"/>
      <c r="AG34" s="4094" t="n"/>
      <c r="AH34" s="4094" t="n"/>
      <c r="AI34" s="4094" t="n"/>
      <c r="AJ34" s="4094" t="n"/>
      <c r="AK34" s="4094" t="n"/>
      <c r="AL34" s="4094" t="n"/>
      <c r="AM34" s="4094" t="n"/>
      <c r="AN34" s="4094" t="n"/>
      <c r="AO34" s="4095" t="n"/>
      <c r="AP34" s="4094" t="n"/>
      <c r="AQ34" s="4094" t="n"/>
      <c r="AR34" s="4094" t="n"/>
      <c r="AS34" s="4094" t="n"/>
      <c r="AT34" s="4094" t="n"/>
      <c r="AU34" s="4096" t="n"/>
      <c r="AV34" s="4094" t="n"/>
      <c r="AW34" s="4094" t="n"/>
      <c r="AX34" s="4094" t="n"/>
      <c r="AY34" s="4094" t="n"/>
      <c r="AZ34" s="4094" t="n"/>
    </row>
    <row r="35" hidden="1" outlineLevel="1" ht="12" customFormat="1" customHeight="1" s="3737">
      <c r="A35" s="4059" t="n"/>
      <c r="B35" s="4060" t="n"/>
      <c r="C35" s="4100" t="inlineStr">
        <is>
          <t>Other payroll tax</t>
        </is>
      </c>
      <c r="D35" s="4101" t="n">
        <v>533501</v>
      </c>
      <c r="E35" s="4101" t="inlineStr">
        <is>
          <t>Salaries</t>
        </is>
      </c>
      <c r="F35" s="4130" t="n"/>
      <c r="G35" s="4130" t="n"/>
      <c r="H35" s="4130" t="n"/>
      <c r="I35" s="4130" t="n"/>
      <c r="J35" s="4130" t="n"/>
      <c r="K35" s="4130" t="n"/>
      <c r="L35" s="4130" t="n"/>
      <c r="M35" s="4130" t="n"/>
      <c r="N35" s="4130" t="n"/>
      <c r="O35" s="4130" t="n"/>
      <c r="P35" s="4130" t="n"/>
      <c r="Q35" s="4131" t="n"/>
      <c r="R35" s="4130" t="n"/>
      <c r="S35" s="4130" t="n"/>
      <c r="T35" s="4130" t="n"/>
      <c r="U35" s="4130" t="n"/>
      <c r="V35" s="4130" t="n"/>
      <c r="W35" s="4130" t="n"/>
      <c r="X35" s="4130" t="n"/>
      <c r="Y35" s="4130" t="n"/>
      <c r="Z35" s="4130" t="n"/>
      <c r="AA35" s="4130" t="n"/>
      <c r="AB35" s="4130" t="n"/>
      <c r="AC35" s="4131" t="n"/>
      <c r="AD35" s="4130" t="n"/>
      <c r="AE35" s="4130" t="n"/>
      <c r="AF35" s="4130" t="n"/>
      <c r="AG35" s="4130" t="n"/>
      <c r="AH35" s="4130" t="n"/>
      <c r="AI35" s="4130" t="n"/>
      <c r="AJ35" s="4130" t="n"/>
      <c r="AK35" s="4130" t="n"/>
      <c r="AL35" s="4130" t="n"/>
      <c r="AM35" s="4130" t="n"/>
      <c r="AN35" s="4130" t="n"/>
      <c r="AO35" s="4131" t="n"/>
      <c r="AP35" s="4130" t="n"/>
      <c r="AQ35" s="4130" t="n"/>
      <c r="AR35" s="4130" t="n"/>
      <c r="AS35" s="4130" t="n"/>
      <c r="AT35" s="4130" t="n"/>
      <c r="AU35" s="4132" t="n"/>
      <c r="AV35" s="4130" t="n"/>
      <c r="AW35" s="4130" t="n"/>
      <c r="AX35" s="4130" t="n"/>
      <c r="AY35" s="4130" t="n"/>
      <c r="AZ35" s="4130" t="n"/>
    </row>
    <row r="36" ht="12" customFormat="1" customHeight="1" s="3737">
      <c r="A36" s="4059" t="n"/>
      <c r="B36" s="4060" t="n"/>
      <c r="C36" s="4150" t="inlineStr">
        <is>
          <t>Canada emergency wage subsidy</t>
        </is>
      </c>
      <c r="D36" s="4101" t="n"/>
      <c r="E36" s="4101" t="n"/>
      <c r="F36" s="4102" t="n"/>
      <c r="G36" s="4102" t="n"/>
      <c r="H36" s="4102" t="n"/>
      <c r="I36" s="4102" t="n"/>
      <c r="J36" s="4102" t="n"/>
      <c r="K36" s="4102" t="n"/>
      <c r="L36" s="4102" t="n"/>
      <c r="M36" s="4102" t="n"/>
      <c r="N36" s="4102" t="n"/>
      <c r="O36" s="4102" t="n"/>
      <c r="P36" s="4102" t="n"/>
      <c r="Q36" s="4103" t="n"/>
      <c r="R36" s="4102" t="n"/>
      <c r="S36" s="4102" t="n"/>
      <c r="T36" s="4102" t="n"/>
      <c r="U36" s="4102" t="n"/>
      <c r="V36" s="4102" t="n"/>
      <c r="W36" s="4102" t="n"/>
      <c r="X36" s="4102" t="n"/>
      <c r="Y36" s="4102" t="n"/>
      <c r="Z36" s="4102" t="n"/>
      <c r="AA36" s="4102" t="n"/>
      <c r="AB36" s="4102" t="n"/>
      <c r="AC36" s="4103" t="n"/>
      <c r="AD36" s="4102" t="n"/>
      <c r="AE36" s="4102" t="n"/>
      <c r="AF36" s="4102" t="n"/>
      <c r="AG36" s="4102" t="n"/>
      <c r="AH36" s="4102" t="n"/>
      <c r="AI36" s="4102" t="n"/>
      <c r="AJ36" s="4102" t="n"/>
      <c r="AK36" s="4102" t="n"/>
      <c r="AL36" s="4102" t="n"/>
      <c r="AM36" s="4102" t="n"/>
      <c r="AN36" s="4102" t="n"/>
      <c r="AO36" s="4103" t="n"/>
      <c r="AP36" s="4102" t="n"/>
      <c r="AQ36" s="4102" t="n"/>
      <c r="AR36" s="4102" t="n"/>
      <c r="AS36" s="4102" t="n"/>
      <c r="AT36" s="4102" t="n"/>
      <c r="AU36" s="4104" t="n"/>
      <c r="AV36" s="4102" t="n"/>
      <c r="AW36" s="4102" t="n"/>
      <c r="AX36" s="4102" t="n"/>
      <c r="AY36" s="4102" t="n"/>
      <c r="AZ36" s="4102" t="n"/>
    </row>
    <row r="37" ht="12" customFormat="1" customHeight="1" s="3737">
      <c r="A37" s="4059" t="n"/>
      <c r="B37" s="4060" t="n"/>
      <c r="C37" s="4151" t="inlineStr">
        <is>
          <t>Compensation</t>
        </is>
      </c>
      <c r="D37" s="4151" t="n"/>
      <c r="E37" s="4151" t="n"/>
      <c r="F37" s="4152" t="n"/>
      <c r="G37" s="4152" t="n"/>
      <c r="H37" s="4152" t="n"/>
      <c r="I37" s="4152" t="n"/>
      <c r="J37" s="4152" t="n"/>
      <c r="K37" s="4152" t="n"/>
      <c r="L37" s="4152" t="n"/>
      <c r="M37" s="4152" t="n"/>
      <c r="N37" s="4152" t="n"/>
      <c r="O37" s="4152" t="n"/>
      <c r="P37" s="4152" t="n"/>
      <c r="Q37" s="4153" t="n"/>
      <c r="R37" s="4152" t="n"/>
      <c r="S37" s="4152" t="n"/>
      <c r="T37" s="4152" t="n"/>
      <c r="U37" s="4152" t="n"/>
      <c r="V37" s="4152" t="n"/>
      <c r="W37" s="4152" t="n"/>
      <c r="X37" s="4152" t="n"/>
      <c r="Y37" s="4152" t="n"/>
      <c r="Z37" s="4152" t="n"/>
      <c r="AA37" s="4152" t="n"/>
      <c r="AB37" s="4152" t="n"/>
      <c r="AC37" s="4153" t="n"/>
      <c r="AD37" s="4152" t="n"/>
      <c r="AE37" s="4152" t="n"/>
      <c r="AF37" s="4152" t="n"/>
      <c r="AG37" s="4152" t="n"/>
      <c r="AH37" s="4152" t="n"/>
      <c r="AI37" s="4152" t="n"/>
      <c r="AJ37" s="4152" t="n"/>
      <c r="AK37" s="4152" t="n"/>
      <c r="AL37" s="4152" t="n"/>
      <c r="AM37" s="4152" t="n"/>
      <c r="AN37" s="4152" t="n"/>
      <c r="AO37" s="4153" t="n"/>
      <c r="AP37" s="4152" t="n"/>
      <c r="AQ37" s="4152" t="n"/>
      <c r="AR37" s="4152" t="n"/>
      <c r="AS37" s="4152" t="n"/>
      <c r="AT37" s="4152" t="n"/>
      <c r="AU37" s="4154" t="n"/>
      <c r="AV37" s="4152" t="n"/>
      <c r="AW37" s="4152" t="n"/>
      <c r="AX37" s="4152" t="n"/>
      <c r="AY37" s="4152" t="n"/>
      <c r="AZ37" s="4152" t="n"/>
    </row>
    <row r="38" ht="12" customFormat="1" customHeight="1" s="3737">
      <c r="A38" s="4059" t="n"/>
      <c r="B38" s="4060" t="n"/>
      <c r="C38" s="4242" t="inlineStr">
        <is>
          <t>Summary</t>
        </is>
      </c>
      <c r="D38" s="4093" t="n"/>
      <c r="E38" s="4093" t="n"/>
      <c r="F38" s="4158" t="n"/>
      <c r="G38" s="4158" t="n"/>
      <c r="H38" s="4158" t="n"/>
      <c r="I38" s="4158" t="n"/>
      <c r="J38" s="4158" t="n"/>
      <c r="K38" s="4158" t="n"/>
      <c r="L38" s="4158" t="n"/>
      <c r="M38" s="4158" t="n"/>
      <c r="N38" s="4158" t="n"/>
      <c r="O38" s="4158" t="n"/>
      <c r="P38" s="4158" t="n"/>
      <c r="Q38" s="4159" t="n"/>
      <c r="R38" s="4158" t="n"/>
      <c r="S38" s="4158" t="n"/>
      <c r="T38" s="4158" t="n"/>
      <c r="U38" s="4158" t="n"/>
      <c r="V38" s="4158" t="n"/>
      <c r="W38" s="4158" t="n"/>
      <c r="X38" s="4158" t="n"/>
      <c r="Y38" s="4158" t="n"/>
      <c r="Z38" s="4158" t="n"/>
      <c r="AA38" s="4158" t="n"/>
      <c r="AB38" s="4158" t="n"/>
      <c r="AC38" s="4159" t="n"/>
      <c r="AD38" s="4158" t="n"/>
      <c r="AE38" s="4158" t="n"/>
      <c r="AF38" s="4158" t="n"/>
      <c r="AG38" s="4158" t="n"/>
      <c r="AH38" s="4158" t="n"/>
      <c r="AI38" s="4158" t="n"/>
      <c r="AJ38" s="4158" t="n"/>
      <c r="AK38" s="4158" t="n"/>
      <c r="AL38" s="4158" t="n"/>
      <c r="AM38" s="4158" t="n"/>
      <c r="AN38" s="4158" t="n"/>
      <c r="AO38" s="4159" t="n"/>
      <c r="AP38" s="4158" t="n"/>
      <c r="AQ38" s="4158" t="n"/>
      <c r="AR38" s="4158" t="n"/>
      <c r="AS38" s="4158" t="n"/>
      <c r="AT38" s="4158" t="n"/>
      <c r="AU38" s="4160" t="n"/>
      <c r="AV38" s="4094" t="n"/>
      <c r="AW38" s="4094" t="n"/>
      <c r="AX38" s="4094" t="n"/>
      <c r="AY38" s="4094" t="n"/>
      <c r="AZ38" s="4094" t="n"/>
    </row>
    <row r="39" ht="12" customFormat="1" customHeight="1" s="3737">
      <c r="A39" s="4059" t="n"/>
      <c r="B39" s="4060" t="n"/>
      <c r="C39" s="4108" t="inlineStr">
        <is>
          <t>Salaries</t>
        </is>
      </c>
      <c r="D39" s="4093" t="n"/>
      <c r="E39" s="4093" t="n"/>
      <c r="F39" s="4158" t="n"/>
      <c r="G39" s="4158" t="n"/>
      <c r="H39" s="4158" t="n"/>
      <c r="I39" s="4158" t="n"/>
      <c r="J39" s="4158" t="n"/>
      <c r="K39" s="4158" t="n"/>
      <c r="L39" s="4158" t="n"/>
      <c r="M39" s="4158" t="n"/>
      <c r="N39" s="4158" t="n"/>
      <c r="O39" s="4158" t="n"/>
      <c r="P39" s="4158" t="n"/>
      <c r="Q39" s="4159" t="n"/>
      <c r="R39" s="4158" t="n"/>
      <c r="S39" s="4158" t="n"/>
      <c r="T39" s="4158" t="n"/>
      <c r="U39" s="4158" t="n"/>
      <c r="V39" s="4158" t="n"/>
      <c r="W39" s="4158" t="n"/>
      <c r="X39" s="4158" t="n"/>
      <c r="Y39" s="4158" t="n"/>
      <c r="Z39" s="4158" t="n"/>
      <c r="AA39" s="4158" t="n"/>
      <c r="AB39" s="4158" t="n"/>
      <c r="AC39" s="4159" t="n"/>
      <c r="AD39" s="4158" t="n"/>
      <c r="AE39" s="4158" t="n"/>
      <c r="AF39" s="4158" t="n"/>
      <c r="AG39" s="4158" t="n"/>
      <c r="AH39" s="4158" t="n"/>
      <c r="AI39" s="4158" t="n"/>
      <c r="AJ39" s="4158" t="n"/>
      <c r="AK39" s="4158" t="n"/>
      <c r="AL39" s="4158" t="n"/>
      <c r="AM39" s="4158" t="n"/>
      <c r="AN39" s="4158" t="n"/>
      <c r="AO39" s="4159" t="n"/>
      <c r="AP39" s="4158" t="n"/>
      <c r="AQ39" s="4158" t="n"/>
      <c r="AR39" s="4158" t="n"/>
      <c r="AS39" s="4094" t="n"/>
      <c r="AT39" s="4158" t="n"/>
      <c r="AU39" s="4096" t="n"/>
      <c r="AV39" s="4094" t="n"/>
      <c r="AW39" s="4094" t="n"/>
      <c r="AX39" s="4094" t="n"/>
      <c r="AY39" s="4094" t="n"/>
      <c r="AZ39" s="4094" t="n"/>
    </row>
    <row r="40" ht="12" customFormat="1" customHeight="1" s="3737">
      <c r="A40" s="4059" t="n"/>
      <c r="B40" s="4060" t="n"/>
      <c r="C40" s="4108" t="inlineStr">
        <is>
          <t>Benefits</t>
        </is>
      </c>
      <c r="D40" s="4093" t="n"/>
      <c r="E40" s="4093" t="n"/>
      <c r="F40" s="4158" t="n"/>
      <c r="G40" s="4158" t="n"/>
      <c r="H40" s="4158" t="n"/>
      <c r="I40" s="4158" t="n"/>
      <c r="J40" s="4158" t="n"/>
      <c r="K40" s="4158" t="n"/>
      <c r="L40" s="4158" t="n"/>
      <c r="M40" s="4158" t="n"/>
      <c r="N40" s="4158" t="n"/>
      <c r="O40" s="4158" t="n"/>
      <c r="P40" s="4158" t="n"/>
      <c r="Q40" s="4159" t="n"/>
      <c r="R40" s="4158" t="n"/>
      <c r="S40" s="4158" t="n"/>
      <c r="T40" s="4158" t="n"/>
      <c r="U40" s="4158" t="n"/>
      <c r="V40" s="4158" t="n"/>
      <c r="W40" s="4158" t="n"/>
      <c r="X40" s="4158" t="n"/>
      <c r="Y40" s="4158" t="n"/>
      <c r="Z40" s="4158" t="n"/>
      <c r="AA40" s="4158" t="n"/>
      <c r="AB40" s="4158" t="n"/>
      <c r="AC40" s="4159" t="n"/>
      <c r="AD40" s="4158" t="n"/>
      <c r="AE40" s="4158" t="n"/>
      <c r="AF40" s="4158" t="n"/>
      <c r="AG40" s="4158" t="n"/>
      <c r="AH40" s="4158" t="n"/>
      <c r="AI40" s="4158" t="n"/>
      <c r="AJ40" s="4158" t="n"/>
      <c r="AK40" s="4158" t="n"/>
      <c r="AL40" s="4158" t="n"/>
      <c r="AM40" s="4158" t="n"/>
      <c r="AN40" s="4158" t="n"/>
      <c r="AO40" s="4159" t="n"/>
      <c r="AP40" s="4158" t="n"/>
      <c r="AQ40" s="4158" t="n"/>
      <c r="AR40" s="4158" t="n"/>
      <c r="AS40" s="4158" t="n"/>
      <c r="AT40" s="4158" t="n"/>
      <c r="AU40" s="4160" t="n"/>
      <c r="AV40" s="4094" t="n"/>
      <c r="AW40" s="4094" t="n"/>
      <c r="AX40" s="4094" t="n"/>
      <c r="AY40" s="4094" t="n"/>
      <c r="AZ40" s="4094" t="n"/>
    </row>
    <row r="41" ht="12" customFormat="1" customHeight="1" s="3737">
      <c r="A41" s="4059" t="n"/>
      <c r="B41" s="4060" t="n"/>
      <c r="C41" s="4108" t="inlineStr">
        <is>
          <t>Taxes</t>
        </is>
      </c>
      <c r="D41" s="4093" t="n"/>
      <c r="E41" s="4093" t="n"/>
      <c r="F41" s="4158" t="n"/>
      <c r="G41" s="4158" t="n"/>
      <c r="H41" s="4158" t="n"/>
      <c r="I41" s="4158" t="n"/>
      <c r="J41" s="4158" t="n"/>
      <c r="K41" s="4158" t="n"/>
      <c r="L41" s="4158" t="n"/>
      <c r="M41" s="4158" t="n"/>
      <c r="N41" s="4158" t="n"/>
      <c r="O41" s="4158" t="n"/>
      <c r="P41" s="4158" t="n"/>
      <c r="Q41" s="4159" t="n"/>
      <c r="R41" s="4158" t="n"/>
      <c r="S41" s="4158" t="n"/>
      <c r="T41" s="4158" t="n"/>
      <c r="U41" s="4158" t="n"/>
      <c r="V41" s="4158" t="n"/>
      <c r="W41" s="4158" t="n"/>
      <c r="X41" s="4158" t="n"/>
      <c r="Y41" s="4158" t="n"/>
      <c r="Z41" s="4158" t="n"/>
      <c r="AA41" s="4158" t="n"/>
      <c r="AB41" s="4158" t="n"/>
      <c r="AC41" s="4159" t="n"/>
      <c r="AD41" s="4158" t="n"/>
      <c r="AE41" s="4158" t="n"/>
      <c r="AF41" s="4158" t="n"/>
      <c r="AG41" s="4158" t="n"/>
      <c r="AH41" s="4158" t="n"/>
      <c r="AI41" s="4158" t="n"/>
      <c r="AJ41" s="4158" t="n"/>
      <c r="AK41" s="4158" t="n"/>
      <c r="AL41" s="4158" t="n"/>
      <c r="AM41" s="4158" t="n"/>
      <c r="AN41" s="4158" t="n"/>
      <c r="AO41" s="4159" t="n"/>
      <c r="AP41" s="4158" t="n"/>
      <c r="AQ41" s="4158" t="n"/>
      <c r="AR41" s="4158" t="n"/>
      <c r="AS41" s="4158" t="n"/>
      <c r="AT41" s="4158" t="n"/>
      <c r="AU41" s="4160" t="n"/>
      <c r="AV41" s="4094" t="n"/>
      <c r="AW41" s="4094" t="n"/>
      <c r="AX41" s="4094" t="n"/>
      <c r="AY41" s="4094" t="n"/>
      <c r="AZ41" s="4094" t="n"/>
    </row>
    <row r="42" ht="12" customFormat="1" customHeight="1" s="3737">
      <c r="A42" s="4059" t="n"/>
      <c r="B42" s="4060" t="n"/>
      <c r="C42" s="4150" t="inlineStr">
        <is>
          <t>Bonus</t>
        </is>
      </c>
      <c r="D42" s="4101" t="n"/>
      <c r="E42" s="4101" t="n"/>
      <c r="F42" s="4130" t="n"/>
      <c r="G42" s="4130" t="n"/>
      <c r="H42" s="4130" t="n"/>
      <c r="I42" s="4130" t="n"/>
      <c r="J42" s="4130" t="n"/>
      <c r="K42" s="4130" t="n"/>
      <c r="L42" s="4130" t="n"/>
      <c r="M42" s="4130" t="n"/>
      <c r="N42" s="4130" t="n"/>
      <c r="O42" s="4130" t="n"/>
      <c r="P42" s="4130" t="n"/>
      <c r="Q42" s="4131" t="n"/>
      <c r="R42" s="4130" t="n"/>
      <c r="S42" s="4130" t="n"/>
      <c r="T42" s="4130" t="n"/>
      <c r="U42" s="4130" t="n"/>
      <c r="V42" s="4130" t="n"/>
      <c r="W42" s="4130" t="n"/>
      <c r="X42" s="4130" t="n"/>
      <c r="Y42" s="4130" t="n"/>
      <c r="Z42" s="4130" t="n"/>
      <c r="AA42" s="4130" t="n"/>
      <c r="AB42" s="4130" t="n"/>
      <c r="AC42" s="4131" t="n"/>
      <c r="AD42" s="4130" t="n"/>
      <c r="AE42" s="4130" t="n"/>
      <c r="AF42" s="4130" t="n"/>
      <c r="AG42" s="4130" t="n"/>
      <c r="AH42" s="4130" t="n"/>
      <c r="AI42" s="4130" t="n"/>
      <c r="AJ42" s="4130" t="n"/>
      <c r="AK42" s="4130" t="n"/>
      <c r="AL42" s="4130" t="n"/>
      <c r="AM42" s="4130" t="n"/>
      <c r="AN42" s="4130" t="n"/>
      <c r="AO42" s="4131" t="n"/>
      <c r="AP42" s="4130" t="n"/>
      <c r="AQ42" s="4130" t="n"/>
      <c r="AR42" s="4130" t="n"/>
      <c r="AS42" s="4130" t="n"/>
      <c r="AT42" s="4130" t="n"/>
      <c r="AU42" s="4132" t="n"/>
      <c r="AV42" s="4102" t="n"/>
      <c r="AW42" s="4102" t="n"/>
      <c r="AX42" s="4102" t="n"/>
      <c r="AY42" s="4102" t="n"/>
      <c r="AZ42" s="4102" t="n"/>
    </row>
    <row r="43" ht="12" customFormat="1" customHeight="1" s="3737">
      <c r="A43" s="4059" t="n"/>
      <c r="B43" s="4060" t="n"/>
      <c r="C43" s="4151" t="inlineStr">
        <is>
          <t>Salaries &amp; benefits</t>
        </is>
      </c>
      <c r="D43" s="4151" t="n"/>
      <c r="E43" s="4151" t="n"/>
      <c r="F43" s="4152" t="n"/>
      <c r="G43" s="4152" t="n"/>
      <c r="H43" s="4152" t="n"/>
      <c r="I43" s="4152" t="n"/>
      <c r="J43" s="4152" t="n"/>
      <c r="K43" s="4152" t="n"/>
      <c r="L43" s="4152" t="n"/>
      <c r="M43" s="4152" t="n"/>
      <c r="N43" s="4152" t="n"/>
      <c r="O43" s="4152" t="n"/>
      <c r="P43" s="4152" t="n"/>
      <c r="Q43" s="4153" t="n"/>
      <c r="R43" s="4152" t="n"/>
      <c r="S43" s="4152" t="n"/>
      <c r="T43" s="4152" t="n"/>
      <c r="U43" s="4152" t="n"/>
      <c r="V43" s="4152" t="n"/>
      <c r="W43" s="4152" t="n"/>
      <c r="X43" s="4152" t="n"/>
      <c r="Y43" s="4152" t="n"/>
      <c r="Z43" s="4152" t="n"/>
      <c r="AA43" s="4152" t="n"/>
      <c r="AB43" s="4152" t="n"/>
      <c r="AC43" s="4153" t="n"/>
      <c r="AD43" s="4152" t="n"/>
      <c r="AE43" s="4152" t="n"/>
      <c r="AF43" s="4152" t="n"/>
      <c r="AG43" s="4152" t="n"/>
      <c r="AH43" s="4152" t="n"/>
      <c r="AI43" s="4152" t="n"/>
      <c r="AJ43" s="4152" t="n"/>
      <c r="AK43" s="4152" t="n"/>
      <c r="AL43" s="4152" t="n"/>
      <c r="AM43" s="4152" t="n"/>
      <c r="AN43" s="4152" t="n"/>
      <c r="AO43" s="4153" t="n"/>
      <c r="AP43" s="4152" t="n"/>
      <c r="AQ43" s="4152" t="n"/>
      <c r="AR43" s="4152" t="n"/>
      <c r="AS43" s="4152" t="n"/>
      <c r="AT43" s="4152" t="n"/>
      <c r="AU43" s="4154" t="n"/>
      <c r="AV43" s="4152" t="n"/>
      <c r="AW43" s="4152" t="n"/>
      <c r="AX43" s="4152" t="n"/>
      <c r="AY43" s="4152" t="n"/>
      <c r="AZ43" s="4152" t="n"/>
    </row>
    <row r="44" ht="12" customFormat="1" customHeight="1" s="3737">
      <c r="A44" s="4059" t="n"/>
      <c r="B44" s="4060" t="n"/>
      <c r="C44" s="4242" t="inlineStr">
        <is>
          <t>As a % of total compensation</t>
        </is>
      </c>
      <c r="D44" s="4093" t="n"/>
      <c r="E44" s="4093" t="n"/>
      <c r="F44" s="4158" t="n"/>
      <c r="G44" s="4158" t="n"/>
      <c r="H44" s="4158" t="n"/>
      <c r="I44" s="4158" t="n"/>
      <c r="J44" s="4158" t="n"/>
      <c r="K44" s="4158" t="n"/>
      <c r="L44" s="4158" t="n"/>
      <c r="M44" s="4158" t="n"/>
      <c r="N44" s="4158" t="n"/>
      <c r="O44" s="4158" t="n"/>
      <c r="P44" s="4158" t="n"/>
      <c r="Q44" s="4159" t="n"/>
      <c r="R44" s="4158" t="n"/>
      <c r="S44" s="4158" t="n"/>
      <c r="T44" s="4158" t="n"/>
      <c r="U44" s="4158" t="n"/>
      <c r="V44" s="4158" t="n"/>
      <c r="W44" s="4158" t="n"/>
      <c r="X44" s="4158" t="n"/>
      <c r="Y44" s="4158" t="n"/>
      <c r="Z44" s="4158" t="n"/>
      <c r="AA44" s="4158" t="n"/>
      <c r="AB44" s="4158" t="n"/>
      <c r="AC44" s="4159" t="n"/>
      <c r="AD44" s="4158" t="n"/>
      <c r="AE44" s="4158" t="n"/>
      <c r="AF44" s="4158" t="n"/>
      <c r="AG44" s="4158" t="n"/>
      <c r="AH44" s="4158" t="n"/>
      <c r="AI44" s="4158" t="n"/>
      <c r="AJ44" s="4158" t="n"/>
      <c r="AK44" s="4158" t="n"/>
      <c r="AL44" s="4158" t="n"/>
      <c r="AM44" s="4158" t="n"/>
      <c r="AN44" s="4158" t="n"/>
      <c r="AO44" s="4159" t="n"/>
      <c r="AP44" s="4158" t="n"/>
      <c r="AQ44" s="4158" t="n"/>
      <c r="AR44" s="4158" t="n"/>
      <c r="AS44" s="4158" t="n"/>
      <c r="AT44" s="4158" t="n"/>
      <c r="AU44" s="4160" t="n"/>
      <c r="AV44" s="4158" t="n"/>
      <c r="AW44" s="4158" t="n"/>
      <c r="AX44" s="4158" t="n"/>
      <c r="AY44" s="4158" t="n"/>
      <c r="AZ44" s="4158" t="n"/>
    </row>
    <row r="45" ht="12" customFormat="1" customHeight="1" s="3737">
      <c r="A45" s="4059" t="n"/>
      <c r="B45" s="4060" t="n"/>
      <c r="C45" s="4108" t="inlineStr">
        <is>
          <t>Salaries</t>
        </is>
      </c>
      <c r="D45" s="4093" t="n"/>
      <c r="E45" s="4093" t="n"/>
      <c r="F45" s="4161" t="n"/>
      <c r="G45" s="4161" t="n"/>
      <c r="H45" s="4161" t="n"/>
      <c r="I45" s="4161" t="n"/>
      <c r="J45" s="4161" t="n"/>
      <c r="K45" s="4161" t="n"/>
      <c r="L45" s="4161" t="n"/>
      <c r="M45" s="4161" t="n"/>
      <c r="N45" s="4161" t="n"/>
      <c r="O45" s="4161" t="n"/>
      <c r="P45" s="4161" t="n"/>
      <c r="Q45" s="4162" t="n"/>
      <c r="R45" s="4161" t="n"/>
      <c r="S45" s="4161" t="n"/>
      <c r="T45" s="4161" t="n"/>
      <c r="U45" s="4161" t="n"/>
      <c r="V45" s="4161" t="n"/>
      <c r="W45" s="4161" t="n"/>
      <c r="X45" s="4161" t="n"/>
      <c r="Y45" s="4161" t="n"/>
      <c r="Z45" s="4161" t="n"/>
      <c r="AA45" s="4161" t="n"/>
      <c r="AB45" s="4161" t="n"/>
      <c r="AC45" s="4162" t="n"/>
      <c r="AD45" s="4161" t="n"/>
      <c r="AE45" s="4161" t="n"/>
      <c r="AF45" s="4161" t="n"/>
      <c r="AG45" s="4161" t="n"/>
      <c r="AH45" s="4161" t="n"/>
      <c r="AI45" s="4161" t="n"/>
      <c r="AJ45" s="4161" t="n"/>
      <c r="AK45" s="4161" t="n"/>
      <c r="AL45" s="4161" t="n"/>
      <c r="AM45" s="4161" t="n"/>
      <c r="AN45" s="4161" t="n"/>
      <c r="AO45" s="4162" t="n"/>
      <c r="AP45" s="4161" t="n"/>
      <c r="AQ45" s="4161" t="n"/>
      <c r="AR45" s="4161" t="n"/>
      <c r="AS45" s="4161" t="n"/>
      <c r="AT45" s="4161" t="n"/>
      <c r="AU45" s="4163" t="n"/>
      <c r="AV45" s="4161" t="n"/>
      <c r="AW45" s="4161" t="n"/>
      <c r="AX45" s="4161" t="n"/>
      <c r="AY45" s="4161" t="n"/>
      <c r="AZ45" s="4161" t="n"/>
    </row>
    <row r="46" ht="12" customFormat="1" customHeight="1" s="3737">
      <c r="A46" s="4059" t="n"/>
      <c r="B46" s="4060" t="n"/>
      <c r="C46" s="4108" t="inlineStr">
        <is>
          <t>Benefits</t>
        </is>
      </c>
      <c r="D46" s="4093" t="n"/>
      <c r="E46" s="4093" t="n"/>
      <c r="F46" s="4161" t="n"/>
      <c r="G46" s="4161" t="n"/>
      <c r="H46" s="4161" t="n"/>
      <c r="I46" s="4161" t="n"/>
      <c r="J46" s="4161" t="n"/>
      <c r="K46" s="4161" t="n"/>
      <c r="L46" s="4161" t="n"/>
      <c r="M46" s="4161" t="n"/>
      <c r="N46" s="4161" t="n"/>
      <c r="O46" s="4161" t="n"/>
      <c r="P46" s="4161" t="n"/>
      <c r="Q46" s="4162" t="n"/>
      <c r="R46" s="4161" t="n"/>
      <c r="S46" s="4161" t="n"/>
      <c r="T46" s="4161" t="n"/>
      <c r="U46" s="4161" t="n"/>
      <c r="V46" s="4161" t="n"/>
      <c r="W46" s="4161" t="n"/>
      <c r="X46" s="4161" t="n"/>
      <c r="Y46" s="4161" t="n"/>
      <c r="Z46" s="4161" t="n"/>
      <c r="AA46" s="4161" t="n"/>
      <c r="AB46" s="4161" t="n"/>
      <c r="AC46" s="4162" t="n"/>
      <c r="AD46" s="4161" t="n"/>
      <c r="AE46" s="4161" t="n"/>
      <c r="AF46" s="4161" t="n"/>
      <c r="AG46" s="4161" t="n"/>
      <c r="AH46" s="4161" t="n"/>
      <c r="AI46" s="4161" t="n"/>
      <c r="AJ46" s="4161" t="n"/>
      <c r="AK46" s="4161" t="n"/>
      <c r="AL46" s="4161" t="n"/>
      <c r="AM46" s="4161" t="n"/>
      <c r="AN46" s="4161" t="n"/>
      <c r="AO46" s="4162" t="n"/>
      <c r="AP46" s="4161" t="n"/>
      <c r="AQ46" s="4161" t="n"/>
      <c r="AR46" s="4161" t="n"/>
      <c r="AS46" s="4161" t="n"/>
      <c r="AT46" s="4161" t="n"/>
      <c r="AU46" s="4163" t="n"/>
      <c r="AV46" s="4161" t="n"/>
      <c r="AW46" s="4161" t="n"/>
      <c r="AX46" s="4161" t="n"/>
      <c r="AY46" s="4161" t="n"/>
      <c r="AZ46" s="4161" t="n"/>
    </row>
    <row r="47" ht="12" customFormat="1" customHeight="1" s="3737">
      <c r="A47" s="4059" t="n"/>
      <c r="B47" s="4060" t="n"/>
      <c r="C47" s="4108" t="inlineStr">
        <is>
          <t>Taxes</t>
        </is>
      </c>
      <c r="D47" s="4093" t="n"/>
      <c r="E47" s="4093" t="n"/>
      <c r="F47" s="4161" t="n"/>
      <c r="G47" s="4161" t="n"/>
      <c r="H47" s="4161" t="n"/>
      <c r="I47" s="4161" t="n"/>
      <c r="J47" s="4161" t="n"/>
      <c r="K47" s="4161" t="n"/>
      <c r="L47" s="4161" t="n"/>
      <c r="M47" s="4161" t="n"/>
      <c r="N47" s="4161" t="n"/>
      <c r="O47" s="4161" t="n"/>
      <c r="P47" s="4161" t="n"/>
      <c r="Q47" s="4162" t="n"/>
      <c r="R47" s="4161" t="n"/>
      <c r="S47" s="4161" t="n"/>
      <c r="T47" s="4161" t="n"/>
      <c r="U47" s="4161" t="n"/>
      <c r="V47" s="4161" t="n"/>
      <c r="W47" s="4161" t="n"/>
      <c r="X47" s="4161" t="n"/>
      <c r="Y47" s="4161" t="n"/>
      <c r="Z47" s="4161" t="n"/>
      <c r="AA47" s="4161" t="n"/>
      <c r="AB47" s="4161" t="n"/>
      <c r="AC47" s="4162" t="n"/>
      <c r="AD47" s="4161" t="n"/>
      <c r="AE47" s="4161" t="n"/>
      <c r="AF47" s="4161" t="n"/>
      <c r="AG47" s="4161" t="n"/>
      <c r="AH47" s="4161" t="n"/>
      <c r="AI47" s="4161" t="n"/>
      <c r="AJ47" s="4161" t="n"/>
      <c r="AK47" s="4161" t="n"/>
      <c r="AL47" s="4161" t="n"/>
      <c r="AM47" s="4161" t="n"/>
      <c r="AN47" s="4161" t="n"/>
      <c r="AO47" s="4162" t="n"/>
      <c r="AP47" s="4161" t="n"/>
      <c r="AQ47" s="4161" t="n"/>
      <c r="AR47" s="4161" t="n"/>
      <c r="AS47" s="4161" t="n"/>
      <c r="AT47" s="4161" t="n"/>
      <c r="AU47" s="4163" t="n"/>
      <c r="AV47" s="4161" t="n"/>
      <c r="AW47" s="4161" t="n"/>
      <c r="AX47" s="4161" t="n"/>
      <c r="AY47" s="4161" t="n"/>
      <c r="AZ47" s="4161" t="n"/>
    </row>
    <row r="48" ht="12" customFormat="1" customHeight="1" s="3737">
      <c r="A48" s="4059" t="n"/>
      <c r="B48" s="4060" t="n"/>
      <c r="C48" s="4150" t="inlineStr">
        <is>
          <t>Bonus</t>
        </is>
      </c>
      <c r="D48" s="4101" t="n"/>
      <c r="E48" s="4101" t="n"/>
      <c r="F48" s="4134" t="n"/>
      <c r="G48" s="4134" t="n"/>
      <c r="H48" s="4134" t="n"/>
      <c r="I48" s="4134" t="n"/>
      <c r="J48" s="4134" t="n"/>
      <c r="K48" s="4134" t="n"/>
      <c r="L48" s="4134" t="n"/>
      <c r="M48" s="4134" t="n"/>
      <c r="N48" s="4134" t="n"/>
      <c r="O48" s="4134" t="n"/>
      <c r="P48" s="4134" t="n"/>
      <c r="Q48" s="4135" t="n"/>
      <c r="R48" s="4134" t="n"/>
      <c r="S48" s="4134" t="n"/>
      <c r="T48" s="4134" t="n"/>
      <c r="U48" s="4134" t="n"/>
      <c r="V48" s="4134" t="n"/>
      <c r="W48" s="4134" t="n"/>
      <c r="X48" s="4134" t="n"/>
      <c r="Y48" s="4134" t="n"/>
      <c r="Z48" s="4134" t="n"/>
      <c r="AA48" s="4134" t="n"/>
      <c r="AB48" s="4134" t="n"/>
      <c r="AC48" s="4135" t="n"/>
      <c r="AD48" s="4134" t="n"/>
      <c r="AE48" s="4134" t="n"/>
      <c r="AF48" s="4134" t="n"/>
      <c r="AG48" s="4134" t="n"/>
      <c r="AH48" s="4134" t="n"/>
      <c r="AI48" s="4134" t="n"/>
      <c r="AJ48" s="4134" t="n"/>
      <c r="AK48" s="4134" t="n"/>
      <c r="AL48" s="4134" t="n"/>
      <c r="AM48" s="4134" t="n"/>
      <c r="AN48" s="4134" t="n"/>
      <c r="AO48" s="4135" t="n"/>
      <c r="AP48" s="4134" t="n"/>
      <c r="AQ48" s="4134" t="n"/>
      <c r="AR48" s="4134" t="n"/>
      <c r="AS48" s="4134" t="n"/>
      <c r="AT48" s="4134" t="n"/>
      <c r="AU48" s="4136" t="n"/>
      <c r="AV48" s="4134" t="n"/>
      <c r="AW48" s="4134" t="n"/>
      <c r="AX48" s="4134" t="n"/>
      <c r="AY48" s="4134" t="n"/>
      <c r="AZ48" s="4134" t="n"/>
    </row>
    <row r="49" ht="12" customFormat="1" customHeight="1" s="3737">
      <c r="A49" s="4059" t="n"/>
      <c r="B49" s="4060" t="n"/>
      <c r="C49" s="4151" t="inlineStr">
        <is>
          <t>Total</t>
        </is>
      </c>
      <c r="D49" s="4151" t="n"/>
      <c r="E49" s="4151" t="n"/>
      <c r="F49" s="4155">
        <f>IFERROR(F43/F$43,0)</f>
        <v/>
      </c>
      <c r="G49" s="4155">
        <f>IFERROR(G43/G$43,0)</f>
        <v/>
      </c>
      <c r="H49" s="4155">
        <f>IFERROR(H43/H$43,0)</f>
        <v/>
      </c>
      <c r="I49" s="4155">
        <f>IFERROR(I43/I$43,0)</f>
        <v/>
      </c>
      <c r="J49" s="4155">
        <f>IFERROR(J43/J$43,0)</f>
        <v/>
      </c>
      <c r="K49" s="4155">
        <f>IFERROR(K43/K$43,0)</f>
        <v/>
      </c>
      <c r="L49" s="4155">
        <f>IFERROR(L43/L$43,0)</f>
        <v/>
      </c>
      <c r="M49" s="4155">
        <f>IFERROR(M43/M$43,0)</f>
        <v/>
      </c>
      <c r="N49" s="4155">
        <f>IFERROR(N43/N$43,0)</f>
        <v/>
      </c>
      <c r="O49" s="4155">
        <f>IFERROR(O43/O$43,0)</f>
        <v/>
      </c>
      <c r="P49" s="4155">
        <f>IFERROR(P43/P$43,0)</f>
        <v/>
      </c>
      <c r="Q49" s="4156">
        <f>IFERROR(Q43/Q$43,0)</f>
        <v/>
      </c>
      <c r="R49" s="4155">
        <f>IFERROR(R43/R$43,0)</f>
        <v/>
      </c>
      <c r="S49" s="4155">
        <f>IFERROR(S43/S$43,0)</f>
        <v/>
      </c>
      <c r="T49" s="4155">
        <f>IFERROR(T43/T$43,0)</f>
        <v/>
      </c>
      <c r="U49" s="4155">
        <f>IFERROR(U43/U$43,0)</f>
        <v/>
      </c>
      <c r="V49" s="4155">
        <f>IFERROR(V43/V$43,0)</f>
        <v/>
      </c>
      <c r="W49" s="4155">
        <f>IFERROR(W43/W$43,0)</f>
        <v/>
      </c>
      <c r="X49" s="4155">
        <f>IFERROR(X43/X$43,0)</f>
        <v/>
      </c>
      <c r="Y49" s="4155">
        <f>IFERROR(Y43/Y$43,0)</f>
        <v/>
      </c>
      <c r="Z49" s="4155">
        <f>IFERROR(Z43/Z$43,0)</f>
        <v/>
      </c>
      <c r="AA49" s="4155">
        <f>IFERROR(AA43/AA$43,0)</f>
        <v/>
      </c>
      <c r="AB49" s="4155">
        <f>IFERROR(AB43/AB$43,0)</f>
        <v/>
      </c>
      <c r="AC49" s="4156">
        <f>IFERROR(AC43/AC$43,0)</f>
        <v/>
      </c>
      <c r="AD49" s="4155">
        <f>IFERROR(AD43/AD$43,0)</f>
        <v/>
      </c>
      <c r="AE49" s="4155">
        <f>IFERROR(AE43/AE$43,0)</f>
        <v/>
      </c>
      <c r="AF49" s="4155">
        <f>IFERROR(AF43/AF$43,0)</f>
        <v/>
      </c>
      <c r="AG49" s="4155">
        <f>IFERROR(AG43/AG$43,0)</f>
        <v/>
      </c>
      <c r="AH49" s="4155">
        <f>IFERROR(AH43/AH$43,0)</f>
        <v/>
      </c>
      <c r="AI49" s="4155">
        <f>IFERROR(AI43/AI$43,0)</f>
        <v/>
      </c>
      <c r="AJ49" s="4155">
        <f>IFERROR(AJ43/AJ$43,0)</f>
        <v/>
      </c>
      <c r="AK49" s="4155">
        <f>IFERROR(AK43/AK$43,0)</f>
        <v/>
      </c>
      <c r="AL49" s="4155">
        <f>IFERROR(AL43/AL$43,0)</f>
        <v/>
      </c>
      <c r="AM49" s="4155">
        <f>IFERROR(AM43/AM$43,0)</f>
        <v/>
      </c>
      <c r="AN49" s="4155">
        <f>IFERROR(AN43/AN$43,0)</f>
        <v/>
      </c>
      <c r="AO49" s="4156">
        <f>IFERROR(AO43/AO$43,0)</f>
        <v/>
      </c>
      <c r="AP49" s="4155">
        <f>IFERROR(AP43/AP$43,0)</f>
        <v/>
      </c>
      <c r="AQ49" s="4155">
        <f>IFERROR(AQ43/AQ$43,0)</f>
        <v/>
      </c>
      <c r="AR49" s="4155">
        <f>IFERROR(AR43/AR$43,0)</f>
        <v/>
      </c>
      <c r="AS49" s="4155">
        <f>IFERROR(AS43/AS$43,0)</f>
        <v/>
      </c>
      <c r="AT49" s="4155">
        <f>IFERROR(AT43/AT$43,0)</f>
        <v/>
      </c>
      <c r="AU49" s="4157">
        <f>IFERROR(AU43/AU$43,0)</f>
        <v/>
      </c>
      <c r="AV49" s="4155">
        <f>IFERROR(AV43/AV$43,0)</f>
        <v/>
      </c>
      <c r="AW49" s="4155">
        <f>IFERROR(AW43/AW$43,0)</f>
        <v/>
      </c>
      <c r="AX49" s="4155">
        <f>IFERROR(AX43/AX$43,0)</f>
        <v/>
      </c>
      <c r="AY49" s="4155">
        <f>IFERROR(AY43/AY$43,0)</f>
        <v/>
      </c>
      <c r="AZ49" s="4155">
        <f>IFERROR(AZ43/AZ$43,0)</f>
        <v/>
      </c>
    </row>
    <row r="50" ht="12" customFormat="1" customHeight="1" s="3737">
      <c r="A50" s="4059" t="n"/>
      <c r="B50" s="4060" t="n"/>
      <c r="C50" s="4242" t="inlineStr">
        <is>
          <t>As a % of salaries</t>
        </is>
      </c>
      <c r="D50" s="4093" t="n"/>
      <c r="E50" s="4093" t="n"/>
      <c r="F50" s="4158" t="n"/>
      <c r="G50" s="4158" t="n"/>
      <c r="H50" s="4158" t="n"/>
      <c r="I50" s="4158" t="n"/>
      <c r="J50" s="4158" t="n"/>
      <c r="K50" s="4158" t="n"/>
      <c r="L50" s="4158" t="n"/>
      <c r="M50" s="4158" t="n"/>
      <c r="N50" s="4158" t="n"/>
      <c r="O50" s="4158" t="n"/>
      <c r="P50" s="4158" t="n"/>
      <c r="Q50" s="4159" t="n"/>
      <c r="R50" s="4158" t="n"/>
      <c r="S50" s="4158" t="n"/>
      <c r="T50" s="4158" t="n"/>
      <c r="U50" s="4158" t="n"/>
      <c r="V50" s="4158" t="n"/>
      <c r="W50" s="4158" t="n"/>
      <c r="X50" s="4158" t="n"/>
      <c r="Y50" s="4158" t="n"/>
      <c r="Z50" s="4158" t="n"/>
      <c r="AA50" s="4158" t="n"/>
      <c r="AB50" s="4158" t="n"/>
      <c r="AC50" s="4159" t="n"/>
      <c r="AD50" s="4158" t="n"/>
      <c r="AE50" s="4158" t="n"/>
      <c r="AF50" s="4158" t="n"/>
      <c r="AG50" s="4158" t="n"/>
      <c r="AH50" s="4158" t="n"/>
      <c r="AI50" s="4158" t="n"/>
      <c r="AJ50" s="4158" t="n"/>
      <c r="AK50" s="4158" t="n"/>
      <c r="AL50" s="4158" t="n"/>
      <c r="AM50" s="4158" t="n"/>
      <c r="AN50" s="4158" t="n"/>
      <c r="AO50" s="4159" t="n"/>
      <c r="AP50" s="4158" t="n"/>
      <c r="AQ50" s="4158" t="n"/>
      <c r="AR50" s="4158" t="n"/>
      <c r="AS50" s="4158" t="n"/>
      <c r="AT50" s="4158" t="n"/>
      <c r="AU50" s="4160" t="n"/>
      <c r="AV50" s="4158" t="n"/>
      <c r="AW50" s="4158" t="n"/>
      <c r="AX50" s="4158" t="n"/>
      <c r="AY50" s="4158" t="n"/>
      <c r="AZ50" s="4158" t="n"/>
    </row>
    <row r="51" ht="12" customFormat="1" customHeight="1" s="3737">
      <c r="A51" s="4059" t="n"/>
      <c r="B51" s="4060" t="n"/>
      <c r="C51" s="4108" t="inlineStr">
        <is>
          <t>Salaries</t>
        </is>
      </c>
      <c r="D51" s="4093" t="n"/>
      <c r="E51" s="4093" t="n"/>
      <c r="F51" s="4161" t="n"/>
      <c r="G51" s="4161" t="n"/>
      <c r="H51" s="4161" t="n"/>
      <c r="I51" s="4161" t="n"/>
      <c r="J51" s="4161" t="n"/>
      <c r="K51" s="4161" t="n"/>
      <c r="L51" s="4161" t="n"/>
      <c r="M51" s="4161" t="n"/>
      <c r="N51" s="4161" t="n"/>
      <c r="O51" s="4161" t="n"/>
      <c r="P51" s="4161" t="n"/>
      <c r="Q51" s="4162" t="n"/>
      <c r="R51" s="4161" t="n"/>
      <c r="S51" s="4161" t="n"/>
      <c r="T51" s="4161" t="n"/>
      <c r="U51" s="4161" t="n"/>
      <c r="V51" s="4161" t="n"/>
      <c r="W51" s="4161" t="n"/>
      <c r="X51" s="4161" t="n"/>
      <c r="Y51" s="4161" t="n"/>
      <c r="Z51" s="4161" t="n"/>
      <c r="AA51" s="4161" t="n"/>
      <c r="AB51" s="4161" t="n"/>
      <c r="AC51" s="4162" t="n"/>
      <c r="AD51" s="4161" t="n"/>
      <c r="AE51" s="4161" t="n"/>
      <c r="AF51" s="4161" t="n"/>
      <c r="AG51" s="4161" t="n"/>
      <c r="AH51" s="4161" t="n"/>
      <c r="AI51" s="4161" t="n"/>
      <c r="AJ51" s="4161" t="n"/>
      <c r="AK51" s="4161" t="n"/>
      <c r="AL51" s="4161" t="n"/>
      <c r="AM51" s="4161" t="n"/>
      <c r="AN51" s="4161" t="n"/>
      <c r="AO51" s="4162" t="n"/>
      <c r="AP51" s="4161" t="n"/>
      <c r="AQ51" s="4161" t="n"/>
      <c r="AR51" s="4161" t="n"/>
      <c r="AS51" s="4161" t="n"/>
      <c r="AT51" s="4161" t="n"/>
      <c r="AU51" s="4163" t="n"/>
      <c r="AV51" s="4161" t="n"/>
      <c r="AW51" s="4161" t="n"/>
      <c r="AX51" s="4161" t="n"/>
      <c r="AY51" s="4161" t="n"/>
      <c r="AZ51" s="4161" t="n"/>
      <c r="BB51" s="4268" t="n"/>
    </row>
    <row r="52" ht="12" customFormat="1" customHeight="1" s="3737">
      <c r="A52" s="4059" t="n"/>
      <c r="B52" s="4060" t="n"/>
      <c r="C52" s="4108" t="inlineStr">
        <is>
          <t>Benefits</t>
        </is>
      </c>
      <c r="D52" s="4093" t="n"/>
      <c r="E52" s="4093" t="n"/>
      <c r="F52" s="4161" t="n"/>
      <c r="G52" s="4161" t="n"/>
      <c r="H52" s="4161" t="n"/>
      <c r="I52" s="4161" t="n"/>
      <c r="J52" s="4161" t="n"/>
      <c r="K52" s="4161" t="n"/>
      <c r="L52" s="4161" t="n"/>
      <c r="M52" s="4161" t="n"/>
      <c r="N52" s="4161" t="n"/>
      <c r="O52" s="4161" t="n"/>
      <c r="P52" s="4161" t="n"/>
      <c r="Q52" s="4162" t="n"/>
      <c r="R52" s="4161" t="n"/>
      <c r="S52" s="4161" t="n"/>
      <c r="T52" s="4161" t="n"/>
      <c r="U52" s="4161" t="n"/>
      <c r="V52" s="4161" t="n"/>
      <c r="W52" s="4161" t="n"/>
      <c r="X52" s="4161" t="n"/>
      <c r="Y52" s="4161" t="n"/>
      <c r="Z52" s="4161" t="n"/>
      <c r="AA52" s="4161" t="n"/>
      <c r="AB52" s="4161" t="n"/>
      <c r="AC52" s="4162" t="n"/>
      <c r="AD52" s="4161" t="n"/>
      <c r="AE52" s="4161" t="n"/>
      <c r="AF52" s="4161" t="n"/>
      <c r="AG52" s="4161" t="n"/>
      <c r="AH52" s="4161" t="n"/>
      <c r="AI52" s="4161" t="n"/>
      <c r="AJ52" s="4161" t="n"/>
      <c r="AK52" s="4161" t="n"/>
      <c r="AL52" s="4161" t="n"/>
      <c r="AM52" s="4161" t="n"/>
      <c r="AN52" s="4161" t="n"/>
      <c r="AO52" s="4162" t="n"/>
      <c r="AP52" s="4161" t="n"/>
      <c r="AQ52" s="4161" t="n"/>
      <c r="AR52" s="4161" t="n"/>
      <c r="AS52" s="4161" t="n"/>
      <c r="AT52" s="4161" t="n"/>
      <c r="AU52" s="4163" t="n"/>
      <c r="AV52" s="4161" t="n"/>
      <c r="AW52" s="4161" t="n"/>
      <c r="AX52" s="4161" t="n"/>
      <c r="AY52" s="4161" t="n"/>
      <c r="AZ52" s="4161" t="n"/>
      <c r="BB52" s="4268" t="n"/>
    </row>
    <row r="53" ht="12" customFormat="1" customHeight="1" s="3737">
      <c r="A53" s="4059" t="n"/>
      <c r="B53" s="4060" t="n"/>
      <c r="C53" s="4108" t="inlineStr">
        <is>
          <t>Taxes</t>
        </is>
      </c>
      <c r="D53" s="4093" t="n"/>
      <c r="E53" s="4093" t="n"/>
      <c r="F53" s="4161" t="n"/>
      <c r="G53" s="4161" t="n"/>
      <c r="H53" s="4161" t="n"/>
      <c r="I53" s="4161" t="n"/>
      <c r="J53" s="4161" t="n"/>
      <c r="K53" s="4161" t="n"/>
      <c r="L53" s="4161" t="n"/>
      <c r="M53" s="4161" t="n"/>
      <c r="N53" s="4161" t="n"/>
      <c r="O53" s="4161" t="n"/>
      <c r="P53" s="4161" t="n"/>
      <c r="Q53" s="4162" t="n"/>
      <c r="R53" s="4161" t="n"/>
      <c r="S53" s="4161" t="n"/>
      <c r="T53" s="4161" t="n"/>
      <c r="U53" s="4161" t="n"/>
      <c r="V53" s="4161" t="n"/>
      <c r="W53" s="4161" t="n"/>
      <c r="X53" s="4161" t="n"/>
      <c r="Y53" s="4161" t="n"/>
      <c r="Z53" s="4161" t="n"/>
      <c r="AA53" s="4161" t="n"/>
      <c r="AB53" s="4161" t="n"/>
      <c r="AC53" s="4162" t="n"/>
      <c r="AD53" s="4161" t="n"/>
      <c r="AE53" s="4161" t="n"/>
      <c r="AF53" s="4161" t="n"/>
      <c r="AG53" s="4161" t="n"/>
      <c r="AH53" s="4161" t="n"/>
      <c r="AI53" s="4161" t="n"/>
      <c r="AJ53" s="4161" t="n"/>
      <c r="AK53" s="4161" t="n"/>
      <c r="AL53" s="4161" t="n"/>
      <c r="AM53" s="4161" t="n"/>
      <c r="AN53" s="4161" t="n"/>
      <c r="AO53" s="4162" t="n"/>
      <c r="AP53" s="4161" t="n"/>
      <c r="AQ53" s="4161" t="n"/>
      <c r="AR53" s="4161" t="n"/>
      <c r="AS53" s="4161" t="n"/>
      <c r="AT53" s="4161" t="n"/>
      <c r="AU53" s="4163" t="n"/>
      <c r="AV53" s="4161" t="n"/>
      <c r="AW53" s="4161" t="n"/>
      <c r="AX53" s="4161" t="n"/>
      <c r="AY53" s="4161" t="n"/>
      <c r="AZ53" s="4161" t="n"/>
      <c r="BB53" s="4268" t="n"/>
    </row>
    <row r="54" ht="12" customFormat="1" customHeight="1" s="3737">
      <c r="A54" s="4059" t="n"/>
      <c r="B54" s="4060" t="n"/>
      <c r="C54" s="4150" t="inlineStr">
        <is>
          <t>Bonus</t>
        </is>
      </c>
      <c r="D54" s="4101" t="n"/>
      <c r="E54" s="4101" t="n"/>
      <c r="F54" s="4134" t="n"/>
      <c r="G54" s="4134" t="n"/>
      <c r="H54" s="4134" t="n"/>
      <c r="I54" s="4134" t="n"/>
      <c r="J54" s="4134" t="n"/>
      <c r="K54" s="4134" t="n"/>
      <c r="L54" s="4134" t="n"/>
      <c r="M54" s="4134" t="n"/>
      <c r="N54" s="4134" t="n"/>
      <c r="O54" s="4134" t="n"/>
      <c r="P54" s="4134" t="n"/>
      <c r="Q54" s="4135" t="n"/>
      <c r="R54" s="4134" t="n"/>
      <c r="S54" s="4134" t="n"/>
      <c r="T54" s="4134" t="n"/>
      <c r="U54" s="4134" t="n"/>
      <c r="V54" s="4134" t="n"/>
      <c r="W54" s="4134" t="n"/>
      <c r="X54" s="4134" t="n"/>
      <c r="Y54" s="4134" t="n"/>
      <c r="Z54" s="4134" t="n"/>
      <c r="AA54" s="4134" t="n"/>
      <c r="AB54" s="4134" t="n"/>
      <c r="AC54" s="4135" t="n"/>
      <c r="AD54" s="4134" t="n"/>
      <c r="AE54" s="4134" t="n"/>
      <c r="AF54" s="4134" t="n"/>
      <c r="AG54" s="4134" t="n"/>
      <c r="AH54" s="4134" t="n"/>
      <c r="AI54" s="4134" t="n"/>
      <c r="AJ54" s="4134" t="n"/>
      <c r="AK54" s="4134" t="n"/>
      <c r="AL54" s="4134" t="n"/>
      <c r="AM54" s="4134" t="n"/>
      <c r="AN54" s="4134" t="n"/>
      <c r="AO54" s="4135" t="n"/>
      <c r="AP54" s="4134" t="n"/>
      <c r="AQ54" s="4134" t="n"/>
      <c r="AR54" s="4134" t="n"/>
      <c r="AS54" s="4134" t="n"/>
      <c r="AT54" s="4134" t="n"/>
      <c r="AU54" s="4136" t="n"/>
      <c r="AV54" s="4134" t="n"/>
      <c r="AW54" s="4134" t="n"/>
      <c r="AX54" s="4134" t="n"/>
      <c r="AY54" s="4134" t="n"/>
      <c r="AZ54" s="4134" t="n"/>
      <c r="BB54" s="4268" t="n"/>
    </row>
    <row r="55" ht="12" customFormat="1" customHeight="1" s="3737">
      <c r="A55" s="4059" t="n"/>
      <c r="B55" s="4060" t="n"/>
      <c r="C55" s="4151" t="inlineStr">
        <is>
          <t>Total</t>
        </is>
      </c>
      <c r="D55" s="4151" t="n"/>
      <c r="E55" s="4151" t="n"/>
      <c r="F55" s="4155">
        <f>IFERROR(F43/F$39,0)</f>
        <v/>
      </c>
      <c r="G55" s="4155">
        <f>IFERROR(G43/G$39,0)</f>
        <v/>
      </c>
      <c r="H55" s="4155">
        <f>IFERROR(H43/H$39,0)</f>
        <v/>
      </c>
      <c r="I55" s="4155">
        <f>IFERROR(I43/I$39,0)</f>
        <v/>
      </c>
      <c r="J55" s="4155">
        <f>IFERROR(J43/J$39,0)</f>
        <v/>
      </c>
      <c r="K55" s="4155">
        <f>IFERROR(K43/K$39,0)</f>
        <v/>
      </c>
      <c r="L55" s="4155">
        <f>IFERROR(L43/L$39,0)</f>
        <v/>
      </c>
      <c r="M55" s="4155">
        <f>IFERROR(M43/M$39,0)</f>
        <v/>
      </c>
      <c r="N55" s="4155">
        <f>IFERROR(N43/N$39,0)</f>
        <v/>
      </c>
      <c r="O55" s="4155">
        <f>IFERROR(O43/O$39,0)</f>
        <v/>
      </c>
      <c r="P55" s="4155">
        <f>IFERROR(P43/P$39,0)</f>
        <v/>
      </c>
      <c r="Q55" s="4156">
        <f>IFERROR(Q43/Q$39,0)</f>
        <v/>
      </c>
      <c r="R55" s="4155">
        <f>IFERROR(R43/R$39,0)</f>
        <v/>
      </c>
      <c r="S55" s="4155">
        <f>IFERROR(S43/S$39,0)</f>
        <v/>
      </c>
      <c r="T55" s="4155">
        <f>IFERROR(T43/T$39,0)</f>
        <v/>
      </c>
      <c r="U55" s="4155">
        <f>IFERROR(U43/U$39,0)</f>
        <v/>
      </c>
      <c r="V55" s="4155">
        <f>IFERROR(V43/V$39,0)</f>
        <v/>
      </c>
      <c r="W55" s="4155">
        <f>IFERROR(W43/W$39,0)</f>
        <v/>
      </c>
      <c r="X55" s="4155">
        <f>IFERROR(X43/X$39,0)</f>
        <v/>
      </c>
      <c r="Y55" s="4155">
        <f>IFERROR(Y43/Y$39,0)</f>
        <v/>
      </c>
      <c r="Z55" s="4155">
        <f>IFERROR(Z43/Z$39,0)</f>
        <v/>
      </c>
      <c r="AA55" s="4155">
        <f>IFERROR(AA43/AA$39,0)</f>
        <v/>
      </c>
      <c r="AB55" s="4155">
        <f>IFERROR(AB43/AB$39,0)</f>
        <v/>
      </c>
      <c r="AC55" s="4156">
        <f>IFERROR(AC43/AC$39,0)</f>
        <v/>
      </c>
      <c r="AD55" s="4155">
        <f>IFERROR(AD43/AD$39,0)</f>
        <v/>
      </c>
      <c r="AE55" s="4155">
        <f>IFERROR(AE43/AE$39,0)</f>
        <v/>
      </c>
      <c r="AF55" s="4155">
        <f>IFERROR(AF43/AF$39,0)</f>
        <v/>
      </c>
      <c r="AG55" s="4155">
        <f>IFERROR(AG43/AG$39,0)</f>
        <v/>
      </c>
      <c r="AH55" s="4155">
        <f>IFERROR(AH43/AH$39,0)</f>
        <v/>
      </c>
      <c r="AI55" s="4155">
        <f>IFERROR(AI43/AI$39,0)</f>
        <v/>
      </c>
      <c r="AJ55" s="4155">
        <f>IFERROR(AJ43/AJ$39,0)</f>
        <v/>
      </c>
      <c r="AK55" s="4155">
        <f>IFERROR(AK43/AK$39,0)</f>
        <v/>
      </c>
      <c r="AL55" s="4155">
        <f>IFERROR(AL43/AL$39,0)</f>
        <v/>
      </c>
      <c r="AM55" s="4155">
        <f>IFERROR(AM43/AM$39,0)</f>
        <v/>
      </c>
      <c r="AN55" s="4155">
        <f>IFERROR(AN43/AN$39,0)</f>
        <v/>
      </c>
      <c r="AO55" s="4156">
        <f>IFERROR(AO43/AO$39,0)</f>
        <v/>
      </c>
      <c r="AP55" s="4155">
        <f>IFERROR(AP43/AP$39,0)</f>
        <v/>
      </c>
      <c r="AQ55" s="4155">
        <f>IFERROR(AQ43/AQ$39,0)</f>
        <v/>
      </c>
      <c r="AR55" s="4155">
        <f>IFERROR(AR43/AR$39,0)</f>
        <v/>
      </c>
      <c r="AS55" s="4155">
        <f>IFERROR(AS43/AS$39,0)</f>
        <v/>
      </c>
      <c r="AT55" s="4155">
        <f>IFERROR(AT43/AT$39,0)</f>
        <v/>
      </c>
      <c r="AU55" s="4157">
        <f>IFERROR(AU43/AU$39,0)</f>
        <v/>
      </c>
      <c r="AV55" s="4155">
        <f>IFERROR(AV43/AV$39,0)</f>
        <v/>
      </c>
      <c r="AW55" s="4155">
        <f>IFERROR(AW43/AW$39,0)</f>
        <v/>
      </c>
      <c r="AX55" s="4155">
        <f>IFERROR(AX43/AX$39,0)</f>
        <v/>
      </c>
      <c r="AY55" s="4155">
        <f>IFERROR(AY43/AY$39,0)</f>
        <v/>
      </c>
      <c r="AZ55" s="4155">
        <f>IFERROR(AZ43/AZ$39,0)</f>
        <v/>
      </c>
      <c r="BB55" s="4268" t="n"/>
    </row>
    <row r="56" ht="12" customFormat="1" customHeight="1" s="3737">
      <c r="A56" s="4059" t="n"/>
      <c r="B56" s="4060" t="n"/>
      <c r="C56" s="4242" t="inlineStr">
        <is>
          <t>As a % of revenue</t>
        </is>
      </c>
      <c r="D56" s="4093" t="n"/>
      <c r="E56" s="4093" t="n"/>
      <c r="F56" s="4158" t="n"/>
      <c r="G56" s="4158" t="n"/>
      <c r="H56" s="4158" t="n"/>
      <c r="I56" s="4158" t="n"/>
      <c r="J56" s="4158" t="n"/>
      <c r="K56" s="4158" t="n"/>
      <c r="L56" s="4158" t="n"/>
      <c r="M56" s="4158" t="n"/>
      <c r="N56" s="4158" t="n"/>
      <c r="O56" s="4158" t="n"/>
      <c r="P56" s="4158" t="n"/>
      <c r="Q56" s="4159" t="n"/>
      <c r="R56" s="4158" t="n"/>
      <c r="S56" s="4158" t="n"/>
      <c r="T56" s="4158" t="n"/>
      <c r="U56" s="4158" t="n"/>
      <c r="V56" s="4158" t="n"/>
      <c r="W56" s="4158" t="n"/>
      <c r="X56" s="4158" t="n"/>
      <c r="Y56" s="4158" t="n"/>
      <c r="Z56" s="4158" t="n"/>
      <c r="AA56" s="4158" t="n"/>
      <c r="AB56" s="4158" t="n"/>
      <c r="AC56" s="4159" t="n"/>
      <c r="AD56" s="4158" t="n"/>
      <c r="AE56" s="4158" t="n"/>
      <c r="AF56" s="4158" t="n"/>
      <c r="AG56" s="4158" t="n"/>
      <c r="AH56" s="4158" t="n"/>
      <c r="AI56" s="4158" t="n"/>
      <c r="AJ56" s="4158" t="n"/>
      <c r="AK56" s="4158" t="n"/>
      <c r="AL56" s="4158" t="n"/>
      <c r="AM56" s="4158" t="n"/>
      <c r="AN56" s="4158" t="n"/>
      <c r="AO56" s="4159" t="n"/>
      <c r="AP56" s="4158" t="n"/>
      <c r="AQ56" s="4158" t="n"/>
      <c r="AR56" s="4158" t="n"/>
      <c r="AS56" s="4158" t="n"/>
      <c r="AT56" s="4158" t="n"/>
      <c r="AU56" s="4160" t="n"/>
      <c r="AV56" s="4158" t="n"/>
      <c r="AW56" s="4158" t="n"/>
      <c r="AX56" s="4158" t="n"/>
      <c r="AY56" s="4158" t="n"/>
      <c r="AZ56" s="4158" t="n"/>
    </row>
    <row r="57" ht="12" customFormat="1" customHeight="1" s="3737">
      <c r="A57" s="4059" t="n"/>
      <c r="B57" s="4060" t="n"/>
      <c r="C57" s="4093" t="inlineStr">
        <is>
          <t>Revenue</t>
        </is>
      </c>
      <c r="D57" s="4093" t="n"/>
      <c r="E57" s="4093" t="n"/>
      <c r="F57" s="4158" t="n"/>
      <c r="G57" s="4158" t="n"/>
      <c r="H57" s="4158" t="n"/>
      <c r="I57" s="4158" t="n"/>
      <c r="J57" s="4158" t="n"/>
      <c r="K57" s="4158" t="n"/>
      <c r="L57" s="4158" t="n"/>
      <c r="M57" s="4158" t="n"/>
      <c r="N57" s="4158" t="n"/>
      <c r="O57" s="4158" t="n"/>
      <c r="P57" s="4158" t="n"/>
      <c r="Q57" s="4159" t="n"/>
      <c r="R57" s="4158" t="n"/>
      <c r="S57" s="4158" t="n"/>
      <c r="T57" s="4158" t="n"/>
      <c r="U57" s="4158" t="n"/>
      <c r="V57" s="4158" t="n"/>
      <c r="W57" s="4158" t="n"/>
      <c r="X57" s="4158" t="n"/>
      <c r="Y57" s="4158" t="n"/>
      <c r="Z57" s="4158" t="n"/>
      <c r="AA57" s="4158" t="n"/>
      <c r="AB57" s="4158" t="n"/>
      <c r="AC57" s="4159" t="n"/>
      <c r="AD57" s="4158" t="n"/>
      <c r="AE57" s="4158" t="n"/>
      <c r="AF57" s="4158" t="n"/>
      <c r="AG57" s="4158" t="n"/>
      <c r="AH57" s="4158" t="n"/>
      <c r="AI57" s="4158" t="n"/>
      <c r="AJ57" s="4158" t="n"/>
      <c r="AK57" s="4158" t="n"/>
      <c r="AL57" s="4158" t="n"/>
      <c r="AM57" s="4158" t="n"/>
      <c r="AN57" s="4158" t="n"/>
      <c r="AO57" s="4159" t="n"/>
      <c r="AP57" s="4158" t="n"/>
      <c r="AQ57" s="4158" t="n"/>
      <c r="AR57" s="4158" t="n"/>
      <c r="AS57" s="4158" t="n"/>
      <c r="AT57" s="4158" t="n"/>
      <c r="AU57" s="4160" t="n"/>
      <c r="AV57" s="4158" t="n"/>
      <c r="AW57" s="4158" t="n"/>
      <c r="AX57" s="4158" t="n"/>
      <c r="AY57" s="4158" t="n"/>
      <c r="AZ57" s="4158" t="n"/>
    </row>
    <row r="58" ht="12" customFormat="1" customHeight="1" s="3737">
      <c r="A58" s="4059" t="n"/>
      <c r="B58" s="4060" t="n"/>
      <c r="C58" s="4108" t="inlineStr">
        <is>
          <t>Salaries</t>
        </is>
      </c>
      <c r="D58" s="4093" t="n"/>
      <c r="E58" s="4093" t="n"/>
      <c r="F58" s="4161" t="n"/>
      <c r="G58" s="4161" t="n"/>
      <c r="H58" s="4161" t="n"/>
      <c r="I58" s="4161" t="n"/>
      <c r="J58" s="4161" t="n"/>
      <c r="K58" s="4161" t="n"/>
      <c r="L58" s="4161" t="n"/>
      <c r="M58" s="4161" t="n"/>
      <c r="N58" s="4161" t="n"/>
      <c r="O58" s="4161" t="n"/>
      <c r="P58" s="4161" t="n"/>
      <c r="Q58" s="4162" t="n"/>
      <c r="R58" s="4161" t="n"/>
      <c r="S58" s="4161" t="n"/>
      <c r="T58" s="4161" t="n"/>
      <c r="U58" s="4161" t="n"/>
      <c r="V58" s="4161" t="n"/>
      <c r="W58" s="4161" t="n"/>
      <c r="X58" s="4161" t="n"/>
      <c r="Y58" s="4161" t="n"/>
      <c r="Z58" s="4161" t="n"/>
      <c r="AA58" s="4161" t="n"/>
      <c r="AB58" s="4161" t="n"/>
      <c r="AC58" s="4162" t="n"/>
      <c r="AD58" s="4161" t="n"/>
      <c r="AE58" s="4161" t="n"/>
      <c r="AF58" s="4161" t="n"/>
      <c r="AG58" s="4161" t="n"/>
      <c r="AH58" s="4161" t="n"/>
      <c r="AI58" s="4161" t="n"/>
      <c r="AJ58" s="4161" t="n"/>
      <c r="AK58" s="4161" t="n"/>
      <c r="AL58" s="4161" t="n"/>
      <c r="AM58" s="4161" t="n"/>
      <c r="AN58" s="4161" t="n"/>
      <c r="AO58" s="4162" t="n"/>
      <c r="AP58" s="4161" t="n"/>
      <c r="AQ58" s="4161" t="n"/>
      <c r="AR58" s="4161" t="n"/>
      <c r="AS58" s="4161" t="n"/>
      <c r="AT58" s="4161" t="n"/>
      <c r="AU58" s="4163" t="n"/>
      <c r="AV58" s="4161" t="n"/>
      <c r="AW58" s="4161" t="n"/>
      <c r="AX58" s="4161" t="n"/>
      <c r="AY58" s="4161" t="n"/>
      <c r="AZ58" s="4161" t="n"/>
    </row>
    <row r="59" ht="12" customFormat="1" customHeight="1" s="3737">
      <c r="A59" s="4059" t="n"/>
      <c r="B59" s="4060" t="n"/>
      <c r="C59" s="4108" t="inlineStr">
        <is>
          <t>Benefits</t>
        </is>
      </c>
      <c r="D59" s="4093" t="n"/>
      <c r="E59" s="4093" t="n"/>
      <c r="F59" s="4161" t="n"/>
      <c r="G59" s="4161" t="n"/>
      <c r="H59" s="4161" t="n"/>
      <c r="I59" s="4161" t="n"/>
      <c r="J59" s="4161" t="n"/>
      <c r="K59" s="4161" t="n"/>
      <c r="L59" s="4161" t="n"/>
      <c r="M59" s="4161" t="n"/>
      <c r="N59" s="4161" t="n"/>
      <c r="O59" s="4161" t="n"/>
      <c r="P59" s="4161" t="n"/>
      <c r="Q59" s="4162" t="n"/>
      <c r="R59" s="4161" t="n"/>
      <c r="S59" s="4161" t="n"/>
      <c r="T59" s="4161" t="n"/>
      <c r="U59" s="4161" t="n"/>
      <c r="V59" s="4161" t="n"/>
      <c r="W59" s="4161" t="n"/>
      <c r="X59" s="4161" t="n"/>
      <c r="Y59" s="4161" t="n"/>
      <c r="Z59" s="4161" t="n"/>
      <c r="AA59" s="4161" t="n"/>
      <c r="AB59" s="4161" t="n"/>
      <c r="AC59" s="4162" t="n"/>
      <c r="AD59" s="4161" t="n"/>
      <c r="AE59" s="4161" t="n"/>
      <c r="AF59" s="4161" t="n"/>
      <c r="AG59" s="4161" t="n"/>
      <c r="AH59" s="4161" t="n"/>
      <c r="AI59" s="4161" t="n"/>
      <c r="AJ59" s="4161" t="n"/>
      <c r="AK59" s="4161" t="n"/>
      <c r="AL59" s="4161" t="n"/>
      <c r="AM59" s="4161" t="n"/>
      <c r="AN59" s="4161" t="n"/>
      <c r="AO59" s="4162" t="n"/>
      <c r="AP59" s="4161" t="n"/>
      <c r="AQ59" s="4161" t="n"/>
      <c r="AR59" s="4161" t="n"/>
      <c r="AS59" s="4161" t="n"/>
      <c r="AT59" s="4161" t="n"/>
      <c r="AU59" s="4163" t="n"/>
      <c r="AV59" s="4161" t="n"/>
      <c r="AW59" s="4161" t="n"/>
      <c r="AX59" s="4161" t="n"/>
      <c r="AY59" s="4161" t="n"/>
      <c r="AZ59" s="4161" t="n"/>
    </row>
    <row r="60" ht="12" customFormat="1" customHeight="1" s="3737">
      <c r="A60" s="4059" t="n"/>
      <c r="B60" s="4060" t="n"/>
      <c r="C60" s="4108" t="inlineStr">
        <is>
          <t>Taxes</t>
        </is>
      </c>
      <c r="D60" s="4093" t="n"/>
      <c r="E60" s="4093" t="n"/>
      <c r="F60" s="4161" t="n"/>
      <c r="G60" s="4161" t="n"/>
      <c r="H60" s="4161" t="n"/>
      <c r="I60" s="4161" t="n"/>
      <c r="J60" s="4161" t="n"/>
      <c r="K60" s="4161" t="n"/>
      <c r="L60" s="4161" t="n"/>
      <c r="M60" s="4161" t="n"/>
      <c r="N60" s="4161" t="n"/>
      <c r="O60" s="4161" t="n"/>
      <c r="P60" s="4161" t="n"/>
      <c r="Q60" s="4162" t="n"/>
      <c r="R60" s="4161" t="n"/>
      <c r="S60" s="4161" t="n"/>
      <c r="T60" s="4161" t="n"/>
      <c r="U60" s="4161" t="n"/>
      <c r="V60" s="4161" t="n"/>
      <c r="W60" s="4161" t="n"/>
      <c r="X60" s="4161" t="n"/>
      <c r="Y60" s="4161" t="n"/>
      <c r="Z60" s="4161" t="n"/>
      <c r="AA60" s="4161" t="n"/>
      <c r="AB60" s="4161" t="n"/>
      <c r="AC60" s="4162" t="n"/>
      <c r="AD60" s="4161" t="n"/>
      <c r="AE60" s="4161" t="n"/>
      <c r="AF60" s="4161" t="n"/>
      <c r="AG60" s="4161" t="n"/>
      <c r="AH60" s="4161" t="n"/>
      <c r="AI60" s="4161" t="n"/>
      <c r="AJ60" s="4161" t="n"/>
      <c r="AK60" s="4161" t="n"/>
      <c r="AL60" s="4161" t="n"/>
      <c r="AM60" s="4161" t="n"/>
      <c r="AN60" s="4161" t="n"/>
      <c r="AO60" s="4162" t="n"/>
      <c r="AP60" s="4161" t="n"/>
      <c r="AQ60" s="4161" t="n"/>
      <c r="AR60" s="4161" t="n"/>
      <c r="AS60" s="4161" t="n"/>
      <c r="AT60" s="4161" t="n"/>
      <c r="AU60" s="4163" t="n"/>
      <c r="AV60" s="4161" t="n"/>
      <c r="AW60" s="4161" t="n"/>
      <c r="AX60" s="4161" t="n"/>
      <c r="AY60" s="4161" t="n"/>
      <c r="AZ60" s="4161" t="n"/>
    </row>
    <row r="61" ht="12" customFormat="1" customHeight="1" s="3737">
      <c r="A61" s="4059" t="n"/>
      <c r="B61" s="4060" t="n"/>
      <c r="C61" s="4150" t="inlineStr">
        <is>
          <t>Bonus</t>
        </is>
      </c>
      <c r="D61" s="4101" t="n"/>
      <c r="E61" s="4101" t="n"/>
      <c r="F61" s="4134" t="n"/>
      <c r="G61" s="4134" t="n"/>
      <c r="H61" s="4134" t="n"/>
      <c r="I61" s="4134" t="n"/>
      <c r="J61" s="4134" t="n"/>
      <c r="K61" s="4134" t="n"/>
      <c r="L61" s="4134" t="n"/>
      <c r="M61" s="4134" t="n"/>
      <c r="N61" s="4134" t="n"/>
      <c r="O61" s="4134" t="n"/>
      <c r="P61" s="4134" t="n"/>
      <c r="Q61" s="4135" t="n"/>
      <c r="R61" s="4134" t="n"/>
      <c r="S61" s="4134" t="n"/>
      <c r="T61" s="4134" t="n"/>
      <c r="U61" s="4134" t="n"/>
      <c r="V61" s="4134" t="n"/>
      <c r="W61" s="4134" t="n"/>
      <c r="X61" s="4134" t="n"/>
      <c r="Y61" s="4134" t="n"/>
      <c r="Z61" s="4134" t="n"/>
      <c r="AA61" s="4134" t="n"/>
      <c r="AB61" s="4134" t="n"/>
      <c r="AC61" s="4135" t="n"/>
      <c r="AD61" s="4134" t="n"/>
      <c r="AE61" s="4134" t="n"/>
      <c r="AF61" s="4134" t="n"/>
      <c r="AG61" s="4134" t="n"/>
      <c r="AH61" s="4134" t="n"/>
      <c r="AI61" s="4134" t="n"/>
      <c r="AJ61" s="4134" t="n"/>
      <c r="AK61" s="4134" t="n"/>
      <c r="AL61" s="4134" t="n"/>
      <c r="AM61" s="4134" t="n"/>
      <c r="AN61" s="4134" t="n"/>
      <c r="AO61" s="4135" t="n"/>
      <c r="AP61" s="4134" t="n"/>
      <c r="AQ61" s="4134" t="n"/>
      <c r="AR61" s="4134" t="n"/>
      <c r="AS61" s="4134" t="n"/>
      <c r="AT61" s="4134" t="n"/>
      <c r="AU61" s="4136" t="n"/>
      <c r="AV61" s="4134" t="n"/>
      <c r="AW61" s="4134" t="n"/>
      <c r="AX61" s="4134" t="n"/>
      <c r="AY61" s="4134" t="n"/>
      <c r="AZ61" s="4134" t="n"/>
    </row>
    <row r="62" ht="12" customFormat="1" customHeight="1" s="3737">
      <c r="A62" s="4059" t="n"/>
      <c r="B62" s="4060" t="n"/>
      <c r="C62" s="4151" t="inlineStr">
        <is>
          <t>Total</t>
        </is>
      </c>
      <c r="D62" s="4151" t="n"/>
      <c r="E62" s="4151" t="n"/>
      <c r="F62" s="4155">
        <f>IFERROR(F43/F$57,0)</f>
        <v/>
      </c>
      <c r="G62" s="4155">
        <f>IFERROR(G43/G$57,0)</f>
        <v/>
      </c>
      <c r="H62" s="4155">
        <f>IFERROR(H43/H$57,0)</f>
        <v/>
      </c>
      <c r="I62" s="4155">
        <f>IFERROR(I43/I$57,0)</f>
        <v/>
      </c>
      <c r="J62" s="4155">
        <f>IFERROR(J43/J$57,0)</f>
        <v/>
      </c>
      <c r="K62" s="4155">
        <f>IFERROR(K43/K$57,0)</f>
        <v/>
      </c>
      <c r="L62" s="4155">
        <f>IFERROR(L43/L$57,0)</f>
        <v/>
      </c>
      <c r="M62" s="4155">
        <f>IFERROR(M43/M$57,0)</f>
        <v/>
      </c>
      <c r="N62" s="4155">
        <f>IFERROR(N43/N$57,0)</f>
        <v/>
      </c>
      <c r="O62" s="4155">
        <f>IFERROR(O43/O$57,0)</f>
        <v/>
      </c>
      <c r="P62" s="4155">
        <f>IFERROR(P43/P$57,0)</f>
        <v/>
      </c>
      <c r="Q62" s="4156">
        <f>IFERROR(Q43/Q$57,0)</f>
        <v/>
      </c>
      <c r="R62" s="4155">
        <f>IFERROR(R43/R$57,0)</f>
        <v/>
      </c>
      <c r="S62" s="4155">
        <f>IFERROR(S43/S$57,0)</f>
        <v/>
      </c>
      <c r="T62" s="4155">
        <f>IFERROR(T43/T$57,0)</f>
        <v/>
      </c>
      <c r="U62" s="4155">
        <f>IFERROR(U43/U$57,0)</f>
        <v/>
      </c>
      <c r="V62" s="4155">
        <f>IFERROR(V43/V$57,0)</f>
        <v/>
      </c>
      <c r="W62" s="4155">
        <f>IFERROR(W43/W$57,0)</f>
        <v/>
      </c>
      <c r="X62" s="4155">
        <f>IFERROR(X43/X$57,0)</f>
        <v/>
      </c>
      <c r="Y62" s="4155">
        <f>IFERROR(Y43/Y$57,0)</f>
        <v/>
      </c>
      <c r="Z62" s="4155">
        <f>IFERROR(Z43/Z$57,0)</f>
        <v/>
      </c>
      <c r="AA62" s="4155">
        <f>IFERROR(AA43/AA$57,0)</f>
        <v/>
      </c>
      <c r="AB62" s="4155">
        <f>IFERROR(AB43/AB$57,0)</f>
        <v/>
      </c>
      <c r="AC62" s="4156">
        <f>IFERROR(AC43/AC$57,0)</f>
        <v/>
      </c>
      <c r="AD62" s="4155">
        <f>IFERROR(AD43/AD$57,0)</f>
        <v/>
      </c>
      <c r="AE62" s="4155">
        <f>IFERROR(AE43/AE$57,0)</f>
        <v/>
      </c>
      <c r="AF62" s="4155">
        <f>IFERROR(AF43/AF$57,0)</f>
        <v/>
      </c>
      <c r="AG62" s="4155">
        <f>IFERROR(AG43/AG$57,0)</f>
        <v/>
      </c>
      <c r="AH62" s="4155">
        <f>IFERROR(AH43/AH$57,0)</f>
        <v/>
      </c>
      <c r="AI62" s="4155">
        <f>IFERROR(AI43/AI$57,0)</f>
        <v/>
      </c>
      <c r="AJ62" s="4155">
        <f>IFERROR(AJ43/AJ$57,0)</f>
        <v/>
      </c>
      <c r="AK62" s="4155">
        <f>IFERROR(AK43/AK$57,0)</f>
        <v/>
      </c>
      <c r="AL62" s="4155">
        <f>IFERROR(AL43/AL$57,0)</f>
        <v/>
      </c>
      <c r="AM62" s="4155">
        <f>IFERROR(AM43/AM$57,0)</f>
        <v/>
      </c>
      <c r="AN62" s="4155">
        <f>IFERROR(AN43/AN$57,0)</f>
        <v/>
      </c>
      <c r="AO62" s="4156">
        <f>IFERROR(AO43/AO$57,0)</f>
        <v/>
      </c>
      <c r="AP62" s="4155">
        <f>IFERROR(AP43/AP$57,0)</f>
        <v/>
      </c>
      <c r="AQ62" s="4155">
        <f>IFERROR(AQ43/AQ$57,0)</f>
        <v/>
      </c>
      <c r="AR62" s="4155">
        <f>IFERROR(AR43/AR$57,0)</f>
        <v/>
      </c>
      <c r="AS62" s="4155">
        <f>IFERROR(AS43/AS$57,0)</f>
        <v/>
      </c>
      <c r="AT62" s="4155">
        <f>IFERROR(AT43/AT$57,0)</f>
        <v/>
      </c>
      <c r="AU62" s="4157">
        <f>IFERROR(AU43/AU$57,0)</f>
        <v/>
      </c>
      <c r="AV62" s="4155">
        <f>IFERROR(AV43/AV$57,0)</f>
        <v/>
      </c>
      <c r="AW62" s="4155">
        <f>IFERROR(AW43/AW$57,0)</f>
        <v/>
      </c>
      <c r="AX62" s="4155">
        <f>IFERROR(AX43/AX$57,0)</f>
        <v/>
      </c>
      <c r="AY62" s="4155">
        <f>IFERROR(AY43/AY$57,0)</f>
        <v/>
      </c>
      <c r="AZ62" s="4155">
        <f>IFERROR(AZ43/AZ$57,0)</f>
        <v/>
      </c>
    </row>
    <row r="63" ht="12" customFormat="1" customHeight="1" s="3737">
      <c r="A63" s="4059" t="n"/>
      <c r="B63" s="4060" t="n"/>
      <c r="C63" s="4242" t="inlineStr">
        <is>
          <t>Average cost per employee ($'000)</t>
        </is>
      </c>
      <c r="D63" s="4093" t="n"/>
      <c r="E63" s="4093" t="n"/>
      <c r="F63" s="4158" t="n"/>
      <c r="G63" s="4158" t="n"/>
      <c r="H63" s="4158" t="n"/>
      <c r="I63" s="4158" t="n"/>
      <c r="J63" s="4158" t="n"/>
      <c r="K63" s="4158" t="n"/>
      <c r="L63" s="4158" t="n"/>
      <c r="M63" s="4158" t="n"/>
      <c r="N63" s="4158" t="n"/>
      <c r="O63" s="4158" t="n"/>
      <c r="P63" s="4158" t="n"/>
      <c r="Q63" s="4159" t="n"/>
      <c r="R63" s="4158" t="n"/>
      <c r="S63" s="4158" t="n"/>
      <c r="T63" s="4158" t="n"/>
      <c r="U63" s="4158" t="n"/>
      <c r="V63" s="4158" t="n"/>
      <c r="W63" s="4158" t="n"/>
      <c r="X63" s="4158" t="n"/>
      <c r="Y63" s="4158" t="n"/>
      <c r="Z63" s="4158" t="n"/>
      <c r="AA63" s="4158" t="n"/>
      <c r="AB63" s="4158" t="n"/>
      <c r="AC63" s="4159" t="n"/>
      <c r="AD63" s="4158" t="n"/>
      <c r="AE63" s="4158" t="n"/>
      <c r="AF63" s="4158" t="n"/>
      <c r="AG63" s="4158" t="n"/>
      <c r="AH63" s="4158" t="n"/>
      <c r="AI63" s="4158" t="n"/>
      <c r="AJ63" s="4158" t="n"/>
      <c r="AK63" s="4158" t="n"/>
      <c r="AL63" s="4158" t="n"/>
      <c r="AM63" s="4158" t="n"/>
      <c r="AN63" s="4158" t="n"/>
      <c r="AO63" s="4159" t="n"/>
      <c r="AP63" s="4158" t="n"/>
      <c r="AQ63" s="4158" t="n"/>
      <c r="AR63" s="4158" t="n"/>
      <c r="AS63" s="4158" t="n"/>
      <c r="AT63" s="4158" t="n"/>
      <c r="AU63" s="4160" t="n"/>
      <c r="AV63" s="4158" t="n"/>
      <c r="AW63" s="4158" t="n"/>
      <c r="AX63" s="4158" t="n"/>
      <c r="AY63" s="4158" t="n"/>
      <c r="AZ63" s="4158" t="n"/>
    </row>
    <row r="64" ht="12" customFormat="1" customHeight="1" s="3737">
      <c r="A64" s="4059" t="n"/>
      <c r="B64" s="4060" t="n"/>
      <c r="C64" s="4093" t="inlineStr">
        <is>
          <t>Headcount</t>
        </is>
      </c>
      <c r="D64" s="4093" t="n"/>
      <c r="E64" s="4093" t="n"/>
      <c r="F64" s="4094" t="n"/>
      <c r="G64" s="4094" t="n"/>
      <c r="H64" s="4094" t="n"/>
      <c r="I64" s="4094" t="n"/>
      <c r="J64" s="4094" t="n"/>
      <c r="K64" s="4094" t="n"/>
      <c r="L64" s="4094" t="n"/>
      <c r="M64" s="4094" t="n"/>
      <c r="N64" s="4094" t="n"/>
      <c r="O64" s="4094" t="n"/>
      <c r="P64" s="4094" t="n"/>
      <c r="Q64" s="4095" t="n"/>
      <c r="R64" s="4094" t="n"/>
      <c r="S64" s="4094" t="n"/>
      <c r="T64" s="4094" t="n"/>
      <c r="U64" s="4094" t="n"/>
      <c r="V64" s="4094" t="n"/>
      <c r="W64" s="4094" t="n"/>
      <c r="X64" s="4094" t="n"/>
      <c r="Y64" s="4094" t="n"/>
      <c r="Z64" s="4094" t="n"/>
      <c r="AA64" s="4094" t="n"/>
      <c r="AB64" s="4094" t="n"/>
      <c r="AC64" s="4095" t="n"/>
      <c r="AD64" s="4094" t="n"/>
      <c r="AE64" s="4094" t="n"/>
      <c r="AF64" s="4094" t="n"/>
      <c r="AG64" s="4094" t="n"/>
      <c r="AH64" s="4094" t="n"/>
      <c r="AI64" s="4094" t="n"/>
      <c r="AJ64" s="4094" t="n"/>
      <c r="AK64" s="4094" t="n"/>
      <c r="AL64" s="4094" t="n"/>
      <c r="AM64" s="4094" t="n"/>
      <c r="AN64" s="4094" t="n"/>
      <c r="AO64" s="4095" t="n"/>
      <c r="AP64" s="4094" t="n"/>
      <c r="AQ64" s="4094" t="n"/>
      <c r="AR64" s="4094" t="n"/>
      <c r="AS64" s="4094" t="n"/>
      <c r="AT64" s="4094" t="n"/>
      <c r="AU64" s="4096" t="n"/>
      <c r="AV64" s="4094" t="n"/>
      <c r="AW64" s="4094" t="n"/>
      <c r="AX64" s="4094" t="n"/>
      <c r="AY64" s="4094" t="n"/>
      <c r="AZ64" s="4094" t="n"/>
      <c r="BA64" s="4269" t="n"/>
    </row>
    <row r="65" ht="12" customFormat="1" customHeight="1" s="3737">
      <c r="A65" s="4059" t="n"/>
      <c r="B65" s="4060" t="n"/>
      <c r="C65" s="4108" t="inlineStr">
        <is>
          <t>Salaries</t>
        </is>
      </c>
      <c r="D65" s="4093" t="n"/>
      <c r="E65" s="4093" t="n"/>
      <c r="F65" s="4270" t="n"/>
      <c r="G65" s="4270" t="n"/>
      <c r="H65" s="4270" t="n"/>
      <c r="I65" s="4270" t="n"/>
      <c r="J65" s="4270" t="n"/>
      <c r="K65" s="4270" t="n"/>
      <c r="L65" s="4270" t="n"/>
      <c r="M65" s="4270" t="n"/>
      <c r="N65" s="4270" t="n"/>
      <c r="O65" s="4270" t="n"/>
      <c r="P65" s="4270" t="n"/>
      <c r="Q65" s="4271" t="n"/>
      <c r="R65" s="4270" t="n"/>
      <c r="S65" s="4270" t="n"/>
      <c r="T65" s="4270" t="n"/>
      <c r="U65" s="4270" t="n"/>
      <c r="V65" s="4270" t="n"/>
      <c r="W65" s="4270" t="n"/>
      <c r="X65" s="4270" t="n"/>
      <c r="Y65" s="4270" t="n"/>
      <c r="Z65" s="4270" t="n"/>
      <c r="AA65" s="4270" t="n"/>
      <c r="AB65" s="4270" t="n"/>
      <c r="AC65" s="4271" t="n"/>
      <c r="AD65" s="4270" t="n"/>
      <c r="AE65" s="4270" t="n"/>
      <c r="AF65" s="4270" t="n"/>
      <c r="AG65" s="4270" t="n"/>
      <c r="AH65" s="4270" t="n"/>
      <c r="AI65" s="4270" t="n"/>
      <c r="AJ65" s="4270" t="n"/>
      <c r="AK65" s="4270" t="n"/>
      <c r="AL65" s="4270" t="n"/>
      <c r="AM65" s="4270" t="n"/>
      <c r="AN65" s="4270" t="n"/>
      <c r="AO65" s="4271" t="n"/>
      <c r="AP65" s="4270" t="n"/>
      <c r="AQ65" s="4270" t="n"/>
      <c r="AR65" s="4270" t="n"/>
      <c r="AS65" s="4270" t="n"/>
      <c r="AT65" s="4270" t="n"/>
      <c r="AU65" s="4272" t="n"/>
      <c r="AV65" s="4270" t="n"/>
      <c r="AW65" s="4270" t="n"/>
      <c r="AX65" s="4270" t="n"/>
      <c r="AY65" s="4270" t="n"/>
      <c r="AZ65" s="4270" t="n"/>
      <c r="BA65" s="4269" t="n"/>
    </row>
    <row r="66" ht="12" customFormat="1" customHeight="1" s="3737">
      <c r="A66" s="4059" t="n"/>
      <c r="B66" s="4060" t="n"/>
      <c r="C66" s="4108" t="inlineStr">
        <is>
          <t>Benefits</t>
        </is>
      </c>
      <c r="D66" s="4093" t="n"/>
      <c r="E66" s="4093" t="n"/>
      <c r="F66" s="4270" t="n"/>
      <c r="G66" s="4270" t="n"/>
      <c r="H66" s="4270" t="n"/>
      <c r="I66" s="4270" t="n"/>
      <c r="J66" s="4270" t="n"/>
      <c r="K66" s="4270" t="n"/>
      <c r="L66" s="4270" t="n"/>
      <c r="M66" s="4270" t="n"/>
      <c r="N66" s="4270" t="n"/>
      <c r="O66" s="4270" t="n"/>
      <c r="P66" s="4270" t="n"/>
      <c r="Q66" s="4271" t="n"/>
      <c r="R66" s="4270" t="n"/>
      <c r="S66" s="4270" t="n"/>
      <c r="T66" s="4270" t="n"/>
      <c r="U66" s="4270" t="n"/>
      <c r="V66" s="4270" t="n"/>
      <c r="W66" s="4270" t="n"/>
      <c r="X66" s="4270" t="n"/>
      <c r="Y66" s="4270" t="n"/>
      <c r="Z66" s="4270" t="n"/>
      <c r="AA66" s="4270" t="n"/>
      <c r="AB66" s="4270" t="n"/>
      <c r="AC66" s="4271" t="n"/>
      <c r="AD66" s="4270" t="n"/>
      <c r="AE66" s="4270" t="n"/>
      <c r="AF66" s="4270" t="n"/>
      <c r="AG66" s="4270" t="n"/>
      <c r="AH66" s="4270" t="n"/>
      <c r="AI66" s="4270" t="n"/>
      <c r="AJ66" s="4270" t="n"/>
      <c r="AK66" s="4270" t="n"/>
      <c r="AL66" s="4270" t="n"/>
      <c r="AM66" s="4270" t="n"/>
      <c r="AN66" s="4270" t="n"/>
      <c r="AO66" s="4271" t="n"/>
      <c r="AP66" s="4270" t="n"/>
      <c r="AQ66" s="4270" t="n"/>
      <c r="AR66" s="4270" t="n"/>
      <c r="AS66" s="4270" t="n"/>
      <c r="AT66" s="4270" t="n"/>
      <c r="AU66" s="4272" t="n"/>
      <c r="AV66" s="4270" t="n"/>
      <c r="AW66" s="4270" t="n"/>
      <c r="AX66" s="4270" t="n"/>
      <c r="AY66" s="4270" t="n"/>
      <c r="AZ66" s="4270" t="n"/>
      <c r="BA66" s="4269" t="n"/>
    </row>
    <row r="67" ht="12" customFormat="1" customHeight="1" s="3737">
      <c r="A67" s="4059" t="n"/>
      <c r="B67" s="4060" t="n"/>
      <c r="C67" s="4108" t="inlineStr">
        <is>
          <t>Taxes</t>
        </is>
      </c>
      <c r="D67" s="4093" t="n"/>
      <c r="E67" s="4093" t="n"/>
      <c r="F67" s="4270" t="n"/>
      <c r="G67" s="4270" t="n"/>
      <c r="H67" s="4270" t="n"/>
      <c r="I67" s="4270" t="n"/>
      <c r="J67" s="4270" t="n"/>
      <c r="K67" s="4270" t="n"/>
      <c r="L67" s="4270" t="n"/>
      <c r="M67" s="4270" t="n"/>
      <c r="N67" s="4270" t="n"/>
      <c r="O67" s="4270" t="n"/>
      <c r="P67" s="4270" t="n"/>
      <c r="Q67" s="4271" t="n"/>
      <c r="R67" s="4270" t="n"/>
      <c r="S67" s="4270" t="n"/>
      <c r="T67" s="4270" t="n"/>
      <c r="U67" s="4270" t="n"/>
      <c r="V67" s="4270" t="n"/>
      <c r="W67" s="4270" t="n"/>
      <c r="X67" s="4270" t="n"/>
      <c r="Y67" s="4270" t="n"/>
      <c r="Z67" s="4270" t="n"/>
      <c r="AA67" s="4270" t="n"/>
      <c r="AB67" s="4270" t="n"/>
      <c r="AC67" s="4271" t="n"/>
      <c r="AD67" s="4270" t="n"/>
      <c r="AE67" s="4270" t="n"/>
      <c r="AF67" s="4270" t="n"/>
      <c r="AG67" s="4270" t="n"/>
      <c r="AH67" s="4270" t="n"/>
      <c r="AI67" s="4270" t="n"/>
      <c r="AJ67" s="4270" t="n"/>
      <c r="AK67" s="4270" t="n"/>
      <c r="AL67" s="4270" t="n"/>
      <c r="AM67" s="4270" t="n"/>
      <c r="AN67" s="4270" t="n"/>
      <c r="AO67" s="4271" t="n"/>
      <c r="AP67" s="4270" t="n"/>
      <c r="AQ67" s="4270" t="n"/>
      <c r="AR67" s="4270" t="n"/>
      <c r="AS67" s="4270" t="n"/>
      <c r="AT67" s="4270" t="n"/>
      <c r="AU67" s="4272" t="n"/>
      <c r="AV67" s="4270" t="n"/>
      <c r="AW67" s="4270" t="n"/>
      <c r="AX67" s="4270" t="n"/>
      <c r="AY67" s="4270" t="n"/>
      <c r="AZ67" s="4270" t="n"/>
      <c r="BA67" s="4269" t="n"/>
    </row>
    <row r="68" ht="12" customFormat="1" customHeight="1" s="3737">
      <c r="A68" s="4059" t="n"/>
      <c r="B68" s="4060" t="n"/>
      <c r="C68" s="4150" t="inlineStr">
        <is>
          <t>Bonus</t>
        </is>
      </c>
      <c r="D68" s="4101" t="n"/>
      <c r="E68" s="4101" t="n"/>
      <c r="F68" s="4273" t="n"/>
      <c r="G68" s="4273" t="n"/>
      <c r="H68" s="4273" t="n"/>
      <c r="I68" s="4273" t="n"/>
      <c r="J68" s="4273" t="n"/>
      <c r="K68" s="4273" t="n"/>
      <c r="L68" s="4273" t="n"/>
      <c r="M68" s="4273" t="n"/>
      <c r="N68" s="4273" t="n"/>
      <c r="O68" s="4273" t="n"/>
      <c r="P68" s="4273" t="n"/>
      <c r="Q68" s="4274" t="n"/>
      <c r="R68" s="4273" t="n"/>
      <c r="S68" s="4273" t="n"/>
      <c r="T68" s="4273" t="n"/>
      <c r="U68" s="4273" t="n"/>
      <c r="V68" s="4273" t="n"/>
      <c r="W68" s="4273" t="n"/>
      <c r="X68" s="4273" t="n"/>
      <c r="Y68" s="4273" t="n"/>
      <c r="Z68" s="4273" t="n"/>
      <c r="AA68" s="4273" t="n"/>
      <c r="AB68" s="4273" t="n"/>
      <c r="AC68" s="4274" t="n"/>
      <c r="AD68" s="4273" t="n"/>
      <c r="AE68" s="4273" t="n"/>
      <c r="AF68" s="4273" t="n"/>
      <c r="AG68" s="4273" t="n"/>
      <c r="AH68" s="4273" t="n"/>
      <c r="AI68" s="4273" t="n"/>
      <c r="AJ68" s="4273" t="n"/>
      <c r="AK68" s="4273" t="n"/>
      <c r="AL68" s="4273" t="n"/>
      <c r="AM68" s="4273" t="n"/>
      <c r="AN68" s="4273" t="n"/>
      <c r="AO68" s="4274" t="n"/>
      <c r="AP68" s="4273" t="n"/>
      <c r="AQ68" s="4273" t="n"/>
      <c r="AR68" s="4273" t="n"/>
      <c r="AS68" s="4273" t="n"/>
      <c r="AT68" s="4273" t="n"/>
      <c r="AU68" s="4275" t="n"/>
      <c r="AV68" s="4273" t="n"/>
      <c r="AW68" s="4273" t="n"/>
      <c r="AX68" s="4273" t="n"/>
      <c r="AY68" s="4273" t="n"/>
      <c r="AZ68" s="4273" t="n"/>
      <c r="BA68" s="4269" t="n"/>
    </row>
    <row r="69" ht="12" customFormat="1" customHeight="1" s="3737">
      <c r="A69" s="4059" t="n"/>
      <c r="B69" s="4060" t="n"/>
      <c r="C69" s="4151" t="inlineStr">
        <is>
          <t>Total</t>
        </is>
      </c>
      <c r="D69" s="4151" t="n"/>
      <c r="E69" s="4151" t="n"/>
      <c r="F69" s="4276">
        <f>IFERROR(F43/F$64,0)</f>
        <v/>
      </c>
      <c r="G69" s="4276">
        <f>IFERROR(G43/G$64,0)</f>
        <v/>
      </c>
      <c r="H69" s="4276">
        <f>IFERROR(H43/H$64,0)</f>
        <v/>
      </c>
      <c r="I69" s="4276">
        <f>IFERROR(I43/I$64,0)</f>
        <v/>
      </c>
      <c r="J69" s="4276">
        <f>IFERROR(J43/J$64,0)</f>
        <v/>
      </c>
      <c r="K69" s="4276">
        <f>IFERROR(K43/K$64,0)</f>
        <v/>
      </c>
      <c r="L69" s="4276">
        <f>IFERROR(L43/L$64,0)</f>
        <v/>
      </c>
      <c r="M69" s="4276">
        <f>IFERROR(M43/M$64,0)</f>
        <v/>
      </c>
      <c r="N69" s="4276">
        <f>IFERROR(N43/N$64,0)</f>
        <v/>
      </c>
      <c r="O69" s="4276">
        <f>IFERROR(O43/O$64,0)</f>
        <v/>
      </c>
      <c r="P69" s="4276">
        <f>IFERROR(P43/P$64,0)</f>
        <v/>
      </c>
      <c r="Q69" s="4277">
        <f>IFERROR(Q43/Q$64,0)</f>
        <v/>
      </c>
      <c r="R69" s="4276">
        <f>IFERROR(R43/R$64,0)</f>
        <v/>
      </c>
      <c r="S69" s="4276">
        <f>IFERROR(S43/S$64,0)</f>
        <v/>
      </c>
      <c r="T69" s="4276">
        <f>IFERROR(T43/T$64,0)</f>
        <v/>
      </c>
      <c r="U69" s="4276">
        <f>IFERROR(U43/U$64,0)</f>
        <v/>
      </c>
      <c r="V69" s="4276">
        <f>IFERROR(V43/V$64,0)</f>
        <v/>
      </c>
      <c r="W69" s="4276">
        <f>IFERROR(W43/W$64,0)</f>
        <v/>
      </c>
      <c r="X69" s="4276">
        <f>IFERROR(X43/X$64,0)</f>
        <v/>
      </c>
      <c r="Y69" s="4276">
        <f>IFERROR(Y43/Y$64,0)</f>
        <v/>
      </c>
      <c r="Z69" s="4276">
        <f>IFERROR(Z43/Z$64,0)</f>
        <v/>
      </c>
      <c r="AA69" s="4276">
        <f>IFERROR(AA43/AA$64,0)</f>
        <v/>
      </c>
      <c r="AB69" s="4276">
        <f>IFERROR(AB43/AB$64,0)</f>
        <v/>
      </c>
      <c r="AC69" s="4277">
        <f>IFERROR(AC43/AC$64,0)</f>
        <v/>
      </c>
      <c r="AD69" s="4276">
        <f>IFERROR(AD43/AD$64,0)</f>
        <v/>
      </c>
      <c r="AE69" s="4276">
        <f>IFERROR(AE43/AE$64,0)</f>
        <v/>
      </c>
      <c r="AF69" s="4276">
        <f>IFERROR(AF43/AF$64,0)</f>
        <v/>
      </c>
      <c r="AG69" s="4276">
        <f>IFERROR(AG43/AG$64,0)</f>
        <v/>
      </c>
      <c r="AH69" s="4276">
        <f>IFERROR(AH43/AH$64,0)</f>
        <v/>
      </c>
      <c r="AI69" s="4276">
        <f>IFERROR(AI43/AI$64,0)</f>
        <v/>
      </c>
      <c r="AJ69" s="4276">
        <f>IFERROR(AJ43/AJ$64,0)</f>
        <v/>
      </c>
      <c r="AK69" s="4276">
        <f>IFERROR(AK43/AK$64,0)</f>
        <v/>
      </c>
      <c r="AL69" s="4276">
        <f>IFERROR(AL43/AL$64,0)</f>
        <v/>
      </c>
      <c r="AM69" s="4276">
        <f>IFERROR(AM43/AM$64,0)</f>
        <v/>
      </c>
      <c r="AN69" s="4276">
        <f>IFERROR(AN43/AN$64,0)</f>
        <v/>
      </c>
      <c r="AO69" s="4277">
        <f>IFERROR(AO43/AO$64,0)</f>
        <v/>
      </c>
      <c r="AP69" s="4276">
        <f>IFERROR(AP43/AP$64,0)</f>
        <v/>
      </c>
      <c r="AQ69" s="4276">
        <f>IFERROR(AQ43/AQ$64,0)</f>
        <v/>
      </c>
      <c r="AR69" s="4276">
        <f>IFERROR(AR43/AR$64,0)</f>
        <v/>
      </c>
      <c r="AS69" s="4276">
        <f>IFERROR(AS43/AS$64,0)</f>
        <v/>
      </c>
      <c r="AT69" s="4276">
        <f>IFERROR(AT43/AT$64,0)</f>
        <v/>
      </c>
      <c r="AU69" s="4278">
        <f>IFERROR(AU43/AU$64,0)</f>
        <v/>
      </c>
      <c r="AV69" s="4276">
        <f>IFERROR(AV43/AV$64,0)</f>
        <v/>
      </c>
      <c r="AW69" s="4276">
        <f>IFERROR(AW43/AW$64,0)</f>
        <v/>
      </c>
      <c r="AX69" s="4276">
        <f>IFERROR(AX43/AX$64,0)</f>
        <v/>
      </c>
      <c r="AY69" s="4276">
        <f>IFERROR(AY43/AY$64,0)</f>
        <v/>
      </c>
      <c r="AZ69" s="4276">
        <f>IFERROR(AZ43/AZ$64,0)</f>
        <v/>
      </c>
      <c r="BA69" s="4269" t="n"/>
    </row>
    <row r="70" ht="12" customFormat="1" customHeight="1" s="3737">
      <c r="A70" s="4059" t="n"/>
      <c r="B70" s="4060" t="n"/>
      <c r="C70" s="4108" t="n"/>
      <c r="D70" s="4093" t="n"/>
      <c r="E70" s="4093" t="n"/>
      <c r="F70" s="4158" t="n"/>
      <c r="G70" s="4158" t="n"/>
      <c r="H70" s="4158" t="n"/>
      <c r="I70" s="4158" t="n"/>
      <c r="J70" s="4158" t="n"/>
      <c r="K70" s="4158" t="n"/>
      <c r="L70" s="4158" t="n"/>
      <c r="M70" s="4158" t="n"/>
      <c r="N70" s="4158" t="n"/>
      <c r="O70" s="4158" t="n"/>
      <c r="P70" s="4158" t="n"/>
      <c r="Q70" s="4158" t="n"/>
      <c r="R70" s="4158" t="n"/>
      <c r="S70" s="4158" t="n"/>
      <c r="T70" s="4158" t="n"/>
      <c r="U70" s="4158" t="n"/>
      <c r="V70" s="4158" t="n"/>
      <c r="W70" s="4158" t="n"/>
      <c r="X70" s="4158" t="n"/>
      <c r="Y70" s="4158" t="n"/>
      <c r="Z70" s="4158" t="n"/>
      <c r="AA70" s="4158" t="n"/>
      <c r="AB70" s="4158" t="n"/>
      <c r="AC70" s="4158" t="n"/>
      <c r="AD70" s="4158" t="n"/>
      <c r="AE70" s="4158" t="n"/>
      <c r="AF70" s="4158" t="n"/>
      <c r="AG70" s="4158" t="n"/>
      <c r="AH70" s="4158" t="n"/>
      <c r="AI70" s="4158" t="n"/>
      <c r="AJ70" s="4158" t="n"/>
      <c r="AK70" s="4158" t="n"/>
      <c r="AL70" s="4158" t="n"/>
      <c r="AM70" s="4158" t="n"/>
      <c r="AN70" s="4158" t="n"/>
      <c r="AO70" s="4158" t="n"/>
      <c r="AP70" s="4158" t="n"/>
      <c r="AQ70" s="4158" t="n"/>
      <c r="AR70" s="4158" t="n"/>
      <c r="AS70" s="4158" t="n"/>
      <c r="AT70" s="4158" t="n"/>
      <c r="AU70" s="4158" t="n"/>
      <c r="AV70" s="4158" t="n"/>
      <c r="AW70" s="4158" t="n"/>
      <c r="AX70" s="4158" t="n"/>
      <c r="AY70" s="4158" t="n"/>
      <c r="AZ70" s="4158" t="n"/>
    </row>
    <row r="71" hidden="1" outlineLevel="1" ht="12" customFormat="1" customHeight="1" s="4065">
      <c r="A71" s="4066" t="n"/>
      <c r="B71" s="4067" t="n"/>
      <c r="C71" s="4065" t="inlineStr">
        <is>
          <t>Per IS</t>
        </is>
      </c>
      <c r="D71" s="4067" t="n"/>
      <c r="E71" s="4067" t="n"/>
      <c r="F71" s="4164" t="n"/>
      <c r="G71" s="4164" t="n"/>
      <c r="H71" s="4164" t="n"/>
      <c r="I71" s="4164" t="n"/>
      <c r="J71" s="4164" t="n"/>
      <c r="K71" s="4164" t="n"/>
      <c r="L71" s="4164" t="n"/>
      <c r="M71" s="4164" t="n"/>
      <c r="N71" s="4164" t="n"/>
      <c r="O71" s="4164" t="n"/>
      <c r="P71" s="4164" t="n"/>
      <c r="Q71" s="4164" t="n"/>
      <c r="R71" s="4164" t="n"/>
      <c r="S71" s="4164" t="n"/>
      <c r="T71" s="4164" t="n"/>
      <c r="U71" s="4164" t="n"/>
      <c r="V71" s="4164" t="n"/>
      <c r="W71" s="4164" t="n"/>
      <c r="X71" s="4164" t="n"/>
      <c r="Y71" s="4164" t="n"/>
      <c r="Z71" s="4164" t="n"/>
      <c r="AA71" s="4164" t="n"/>
      <c r="AB71" s="4164" t="n"/>
      <c r="AC71" s="4164" t="n"/>
      <c r="AD71" s="4164" t="n"/>
      <c r="AE71" s="4164" t="n"/>
      <c r="AF71" s="4164" t="n"/>
      <c r="AG71" s="4164" t="n"/>
      <c r="AH71" s="4164" t="n"/>
      <c r="AI71" s="4164" t="n"/>
      <c r="AJ71" s="4164" t="n"/>
      <c r="AK71" s="4164" t="n"/>
      <c r="AL71" s="4164" t="n"/>
      <c r="AM71" s="4164" t="n"/>
      <c r="AN71" s="4164" t="n"/>
      <c r="AO71" s="4164" t="n"/>
      <c r="AP71" s="4164" t="n"/>
      <c r="AQ71" s="4164" t="n"/>
      <c r="AR71" s="4164" t="n"/>
      <c r="AS71" s="4164" t="n"/>
      <c r="AT71" s="4164" t="n"/>
      <c r="AU71" s="4164" t="n"/>
      <c r="AV71" s="4164" t="n"/>
      <c r="AW71" s="4164" t="n"/>
      <c r="AX71" s="4164" t="n"/>
      <c r="AY71" s="4164" t="n"/>
      <c r="AZ71" s="4164" t="n"/>
    </row>
    <row r="72" hidden="1" outlineLevel="1" ht="12" customFormat="1" customHeight="1" s="4065">
      <c r="A72" s="4066" t="n"/>
      <c r="B72" s="4067" t="n"/>
      <c r="C72" s="4065" t="inlineStr">
        <is>
          <t>Check</t>
        </is>
      </c>
      <c r="D72" s="4067" t="n"/>
      <c r="E72" s="4067" t="n"/>
      <c r="F72" s="4164">
        <f>F71-F37</f>
        <v/>
      </c>
      <c r="G72" s="4164">
        <f>G71-G37</f>
        <v/>
      </c>
      <c r="H72" s="4164">
        <f>H71-H37</f>
        <v/>
      </c>
      <c r="I72" s="4164">
        <f>I71-I37</f>
        <v/>
      </c>
      <c r="J72" s="4164">
        <f>J71-J37</f>
        <v/>
      </c>
      <c r="K72" s="4164">
        <f>K71-K37</f>
        <v/>
      </c>
      <c r="L72" s="4164">
        <f>L71-L37</f>
        <v/>
      </c>
      <c r="M72" s="4164">
        <f>M71-M37</f>
        <v/>
      </c>
      <c r="N72" s="4164">
        <f>N71-N37</f>
        <v/>
      </c>
      <c r="O72" s="4164">
        <f>O71-O37</f>
        <v/>
      </c>
      <c r="P72" s="4164">
        <f>P71-P37</f>
        <v/>
      </c>
      <c r="Q72" s="4164">
        <f>Q71-Q37</f>
        <v/>
      </c>
      <c r="R72" s="4164">
        <f>R71-R37</f>
        <v/>
      </c>
      <c r="S72" s="4164">
        <f>S71-S37</f>
        <v/>
      </c>
      <c r="T72" s="4164">
        <f>T71-T37</f>
        <v/>
      </c>
      <c r="U72" s="4164">
        <f>U71-U37</f>
        <v/>
      </c>
      <c r="V72" s="4164">
        <f>V71-V37</f>
        <v/>
      </c>
      <c r="W72" s="4164">
        <f>W71-W37</f>
        <v/>
      </c>
      <c r="X72" s="4164">
        <f>X71-X37</f>
        <v/>
      </c>
      <c r="Y72" s="4164">
        <f>Y71-Y37</f>
        <v/>
      </c>
      <c r="Z72" s="4164">
        <f>Z71-Z37</f>
        <v/>
      </c>
      <c r="AA72" s="4164">
        <f>AA71-AA37</f>
        <v/>
      </c>
      <c r="AB72" s="4164">
        <f>AB71-AB37</f>
        <v/>
      </c>
      <c r="AC72" s="4164">
        <f>AC71-AC37</f>
        <v/>
      </c>
      <c r="AD72" s="4164">
        <f>AD71-AD37</f>
        <v/>
      </c>
      <c r="AE72" s="4164">
        <f>AE71-AE37</f>
        <v/>
      </c>
      <c r="AF72" s="4164">
        <f>AF71-AF37</f>
        <v/>
      </c>
      <c r="AG72" s="4164">
        <f>AG71-AG37</f>
        <v/>
      </c>
      <c r="AH72" s="4164">
        <f>AH71-AH37</f>
        <v/>
      </c>
      <c r="AI72" s="4164">
        <f>AI71-AI37</f>
        <v/>
      </c>
      <c r="AJ72" s="4164">
        <f>AJ71-AJ37</f>
        <v/>
      </c>
      <c r="AK72" s="4164">
        <f>AK71-AK37</f>
        <v/>
      </c>
      <c r="AL72" s="4164">
        <f>AL71-AL37</f>
        <v/>
      </c>
      <c r="AM72" s="4164">
        <f>AM71-AM37</f>
        <v/>
      </c>
      <c r="AN72" s="4164">
        <f>AN71-AN37</f>
        <v/>
      </c>
      <c r="AO72" s="4164">
        <f>AO71-AO37</f>
        <v/>
      </c>
      <c r="AP72" s="4164">
        <f>AP71-AP37</f>
        <v/>
      </c>
      <c r="AQ72" s="4164">
        <f>AQ71-AQ37</f>
        <v/>
      </c>
      <c r="AR72" s="4164">
        <f>AR71-AR37</f>
        <v/>
      </c>
      <c r="AS72" s="4164">
        <f>AS71-AS37</f>
        <v/>
      </c>
      <c r="AT72" s="4164">
        <f>AT71-AT37</f>
        <v/>
      </c>
      <c r="AU72" s="4164">
        <f>AU71-AU37</f>
        <v/>
      </c>
      <c r="AV72" s="4164">
        <f>AV71-AV37</f>
        <v/>
      </c>
      <c r="AW72" s="4164">
        <f>AW71-AW37</f>
        <v/>
      </c>
      <c r="AX72" s="4164">
        <f>AX71-AX37</f>
        <v/>
      </c>
      <c r="AY72" s="4164">
        <f>AY71-AY37</f>
        <v/>
      </c>
      <c r="AZ72" s="4164">
        <f>AZ71-AZ37</f>
        <v/>
      </c>
    </row>
    <row r="73" ht="12" customFormat="1" customHeight="1" s="4117">
      <c r="A73" s="4118" t="n"/>
      <c r="B73" s="4119" t="n"/>
      <c r="C73" s="4279" t="inlineStr">
        <is>
          <t>% YoY Change in total salaries</t>
        </is>
      </c>
      <c r="D73" s="4280" t="n"/>
      <c r="E73" s="4280" t="n"/>
      <c r="F73" s="4279" t="n"/>
      <c r="G73" s="4279" t="n"/>
      <c r="H73" s="4279" t="n"/>
      <c r="I73" s="4279" t="n"/>
      <c r="J73" s="4279" t="n"/>
      <c r="K73" s="4279" t="n"/>
      <c r="L73" s="4279" t="n"/>
      <c r="M73" s="4279" t="n"/>
      <c r="N73" s="4279" t="n"/>
      <c r="O73" s="4279" t="n"/>
      <c r="P73" s="4279" t="n"/>
      <c r="Q73" s="4279" t="n"/>
      <c r="R73" s="4279" t="n"/>
      <c r="S73" s="4279" t="n"/>
      <c r="T73" s="4279" t="n"/>
      <c r="U73" s="4279" t="n"/>
      <c r="V73" s="4279" t="n"/>
      <c r="W73" s="4279" t="n"/>
      <c r="X73" s="4279" t="n"/>
      <c r="Y73" s="4279" t="n"/>
      <c r="Z73" s="4279" t="n"/>
      <c r="AA73" s="4279" t="n"/>
      <c r="AB73" s="4279" t="n"/>
      <c r="AC73" s="4279" t="n"/>
      <c r="AD73" s="4279" t="n"/>
      <c r="AE73" s="4279" t="n"/>
      <c r="AF73" s="4279" t="n"/>
      <c r="AG73" s="4279" t="n"/>
      <c r="AH73" s="4279" t="n"/>
      <c r="AI73" s="4279" t="n"/>
      <c r="AJ73" s="4279" t="n"/>
      <c r="AK73" s="4279" t="n"/>
      <c r="AL73" s="4279" t="n"/>
      <c r="AM73" s="4279" t="n"/>
      <c r="AN73" s="4279" t="n"/>
      <c r="AO73" s="4279" t="n"/>
      <c r="AP73" s="4279" t="n"/>
      <c r="AQ73" s="4279" t="n"/>
      <c r="AR73" s="4279" t="n"/>
      <c r="AS73" s="4279" t="n"/>
      <c r="AT73" s="4279" t="n"/>
      <c r="AU73" s="4279" t="n"/>
      <c r="AV73" s="4279" t="n"/>
      <c r="AW73" s="4281">
        <f>AW39/AV39-1</f>
        <v/>
      </c>
      <c r="AX73" s="4281">
        <f>AX39/AW39-1</f>
        <v/>
      </c>
      <c r="AY73" s="4281">
        <f>AY39/AX39-1</f>
        <v/>
      </c>
      <c r="AZ73" s="4281">
        <f>AZ39/AX39-1</f>
        <v/>
      </c>
    </row>
    <row r="74" ht="12" customFormat="1" customHeight="1" s="4117">
      <c r="A74" s="4118" t="n"/>
      <c r="B74" s="4119" t="n"/>
      <c r="C74" s="4282" t="inlineStr">
        <is>
          <t>% YoY Change in average salaries per employee</t>
        </is>
      </c>
      <c r="D74" s="4283" t="n"/>
      <c r="E74" s="4283" t="n"/>
      <c r="F74" s="4282" t="n"/>
      <c r="G74" s="4282" t="n"/>
      <c r="H74" s="4282" t="n"/>
      <c r="I74" s="4282" t="n"/>
      <c r="J74" s="4282" t="n"/>
      <c r="K74" s="4282" t="n"/>
      <c r="L74" s="4282" t="n"/>
      <c r="M74" s="4282" t="n"/>
      <c r="N74" s="4282" t="n"/>
      <c r="O74" s="4282" t="n"/>
      <c r="P74" s="4282" t="n"/>
      <c r="Q74" s="4282" t="n"/>
      <c r="R74" s="4282" t="n"/>
      <c r="S74" s="4282" t="n"/>
      <c r="T74" s="4282" t="n"/>
      <c r="U74" s="4282" t="n"/>
      <c r="V74" s="4282" t="n"/>
      <c r="W74" s="4282" t="n"/>
      <c r="X74" s="4282" t="n"/>
      <c r="Y74" s="4282" t="n"/>
      <c r="Z74" s="4282" t="n"/>
      <c r="AA74" s="4282" t="n"/>
      <c r="AB74" s="4282" t="n"/>
      <c r="AC74" s="4282" t="n"/>
      <c r="AD74" s="4282" t="n"/>
      <c r="AE74" s="4282" t="n"/>
      <c r="AF74" s="4282" t="n"/>
      <c r="AG74" s="4282" t="n"/>
      <c r="AH74" s="4282" t="n"/>
      <c r="AI74" s="4282" t="n"/>
      <c r="AJ74" s="4282" t="n"/>
      <c r="AK74" s="4282" t="n"/>
      <c r="AL74" s="4282" t="n"/>
      <c r="AM74" s="4282" t="n"/>
      <c r="AN74" s="4282" t="n"/>
      <c r="AO74" s="4282" t="n"/>
      <c r="AP74" s="4282" t="n"/>
      <c r="AQ74" s="4282" t="n"/>
      <c r="AR74" s="4282" t="n"/>
      <c r="AS74" s="4282" t="n"/>
      <c r="AT74" s="4282" t="n"/>
      <c r="AU74" s="4282" t="n"/>
      <c r="AV74" s="4282" t="n"/>
      <c r="AW74" s="4284" t="n"/>
      <c r="AX74" s="4284" t="n"/>
      <c r="AY74" s="4284" t="n"/>
      <c r="AZ74" s="4284" t="n"/>
    </row>
    <row r="75" ht="12" customHeight="1" s="3710"/>
    <row r="76" ht="12" customHeight="1" s="3710"/>
    <row r="77" ht="12" customHeight="1" s="3710"/>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CA205"/>
  <sheetViews>
    <sheetView showFormulas="0" showGridLines="0" showRowColHeaders="1" showZeros="1" rightToLeft="0" tabSelected="0" showOutlineSymbols="1" defaultGridColor="1" view="normal" topLeftCell="A1" colorId="64" zoomScale="100" zoomScaleNormal="100" zoomScalePageLayoutView="100" workbookViewId="0">
      <pane xSplit="9" ySplit="10" topLeftCell="J11" activePane="bottomRight" state="frozen"/>
      <selection pane="topLeft" activeCell="A1" activeCellId="0" sqref="A1"/>
      <selection pane="topRight" activeCell="J1" activeCellId="0" sqref="J1"/>
      <selection pane="bottomLeft" activeCell="A11" activeCellId="0" sqref="A11"/>
      <selection pane="bottomRight" activeCell="A1" activeCellId="0" sqref="A1"/>
    </sheetView>
  </sheetViews>
  <sheetFormatPr baseColWidth="8" defaultColWidth="8.859375" defaultRowHeight="11.25" customHeight="0" zeroHeight="0" outlineLevelRow="1"/>
  <cols>
    <col width="3.15" customWidth="1" style="4285" min="1" max="1"/>
    <col width="1.42" customWidth="1" style="4286" min="2" max="2"/>
    <col width="24" customWidth="1" style="4287" min="3" max="3"/>
    <col hidden="1" outlineLevel="1" width="11.14" customWidth="1" style="4288" min="4" max="4"/>
    <col hidden="1" outlineLevel="1" width="8.42" customWidth="1" style="4286" min="5" max="5"/>
    <col hidden="1" outlineLevel="1" width="11.14" customWidth="1" style="4286" min="6" max="7"/>
    <col hidden="1" outlineLevel="1" width="9.140000000000001" customWidth="1" style="4286" min="8" max="8"/>
    <col hidden="1" outlineLevel="1" width="7" customWidth="1" style="4286" min="9" max="9"/>
    <col hidden="1" outlineLevel="1" width="8.15" customWidth="1" style="4287" min="10" max="10"/>
    <col hidden="1" outlineLevel="1" width="9" customWidth="1" style="4287" min="11" max="14"/>
    <col hidden="1" outlineLevel="1" width="1.42" customWidth="1" style="4287" min="15" max="15"/>
    <col hidden="1" outlineLevel="1" width="8.15" customWidth="1" style="4287" min="16" max="16"/>
    <col hidden="1" outlineLevel="1" width="9" customWidth="1" style="4287" min="17" max="20"/>
    <col width="1.42" customWidth="1" style="4287" min="21" max="21"/>
    <col hidden="1" outlineLevel="1" width="8.15" customWidth="1" style="4287" min="22" max="61"/>
    <col hidden="1" outlineLevel="1" width="8.15" customWidth="1" style="4287" min="62" max="62"/>
    <col hidden="1" outlineLevel="1" width="5.57" customWidth="1" style="4287" min="63" max="63"/>
    <col width="8.15" customWidth="1" style="4287" min="64" max="68"/>
    <col width="1.42" customWidth="1" style="4287" min="69" max="69"/>
    <col hidden="1" outlineLevel="1" width="51.57" customWidth="1" style="4289" min="70" max="70"/>
    <col width="8.859999999999999" customWidth="1" style="4287" min="71" max="16384"/>
  </cols>
  <sheetData>
    <row r="1" ht="22.05" customHeight="1" s="3710">
      <c r="B1" s="4290" t="inlineStr">
        <is>
          <t>Project Name</t>
        </is>
      </c>
    </row>
    <row r="2" ht="11.45" customHeight="1" s="3710">
      <c r="B2" s="4291">
        <f>C8</f>
        <v/>
      </c>
    </row>
    <row r="3" ht="11.25" customHeight="1" s="3710">
      <c r="B3" s="4292" t="inlineStr">
        <is>
          <t>Source: TBD</t>
        </is>
      </c>
    </row>
    <row r="4" ht="11.25" customHeight="1" s="3710">
      <c r="B4" s="4293" t="inlineStr">
        <is>
          <t>WORKING DRAFT</t>
        </is>
      </c>
    </row>
    <row r="5"/>
    <row r="6"/>
    <row r="7"/>
    <row r="8" ht="19.5" customFormat="1" customHeight="1" s="4287">
      <c r="A8" s="4285" t="n"/>
      <c r="B8" s="4286" t="n"/>
      <c r="C8" s="4294" t="inlineStr">
        <is>
          <t>Payroll and headcount analysis</t>
        </is>
      </c>
      <c r="D8" s="4295" t="n"/>
      <c r="E8" s="4296" t="n"/>
      <c r="F8" s="4296" t="n"/>
      <c r="G8" s="4296" t="n"/>
      <c r="H8" s="4296" t="n"/>
      <c r="I8" s="4296" t="n"/>
      <c r="J8" s="4297" t="n"/>
      <c r="K8" s="4297" t="n"/>
      <c r="L8" s="4297" t="n"/>
      <c r="M8" s="4297" t="n"/>
      <c r="N8" s="4297" t="n"/>
      <c r="P8" s="4297" t="n"/>
      <c r="Q8" s="4297" t="n"/>
      <c r="R8" s="4297" t="n"/>
      <c r="S8" s="4297" t="n"/>
      <c r="T8" s="4297" t="n"/>
      <c r="V8" s="4297" t="n"/>
      <c r="W8" s="4297" t="n"/>
      <c r="X8" s="4297" t="n"/>
      <c r="Y8" s="4297" t="n"/>
      <c r="Z8" s="4297" t="n"/>
      <c r="AA8" s="4297" t="n"/>
      <c r="AB8" s="4297" t="n"/>
      <c r="AC8" s="4297" t="n"/>
      <c r="AD8" s="4297" t="n"/>
      <c r="AE8" s="4297" t="n"/>
      <c r="AF8" s="4297" t="n"/>
      <c r="AG8" s="4297" t="n"/>
      <c r="AH8" s="4297" t="n"/>
      <c r="AI8" s="4297" t="n"/>
      <c r="AJ8" s="4297" t="n"/>
      <c r="AK8" s="4297" t="n"/>
      <c r="AL8" s="4297" t="n"/>
      <c r="AM8" s="4297" t="n"/>
      <c r="AN8" s="4297" t="n"/>
      <c r="AO8" s="4297" t="n"/>
      <c r="AP8" s="4297" t="n"/>
      <c r="AQ8" s="4297" t="n"/>
      <c r="AR8" s="4297" t="n"/>
      <c r="AS8" s="4297" t="n"/>
      <c r="AT8" s="4297" t="n"/>
      <c r="AU8" s="4297" t="n"/>
      <c r="AV8" s="4297" t="n"/>
      <c r="AW8" s="4297" t="n"/>
      <c r="AX8" s="4297" t="n"/>
      <c r="AY8" s="4297" t="n"/>
      <c r="AZ8" s="4297" t="n"/>
      <c r="BA8" s="4297" t="n"/>
      <c r="BB8" s="4297" t="n"/>
      <c r="BC8" s="4297" t="n"/>
      <c r="BD8" s="4297" t="n"/>
      <c r="BE8" s="4297" t="n"/>
      <c r="BF8" s="4297" t="n"/>
      <c r="BG8" s="4297" t="n"/>
      <c r="BH8" s="4297" t="n"/>
      <c r="BI8" s="4297" t="n"/>
      <c r="BJ8" s="4297" t="n"/>
      <c r="BK8" s="4297" t="n"/>
      <c r="BL8" s="4297" t="n"/>
      <c r="BM8" s="4297" t="n"/>
      <c r="BN8" s="4297" t="n"/>
      <c r="BO8" s="4297" t="n"/>
      <c r="BP8" s="4297" t="n"/>
      <c r="BR8" s="4289" t="n"/>
    </row>
    <row r="9" ht="12" customHeight="1" s="3710">
      <c r="C9" s="4298" t="n"/>
      <c r="D9" s="4299" t="n"/>
      <c r="E9" s="4300" t="n"/>
      <c r="F9" s="4300" t="n"/>
      <c r="G9" s="4300" t="n"/>
      <c r="H9" s="4300" t="n"/>
      <c r="I9" s="4300" t="n"/>
      <c r="J9" s="4301" t="inlineStr">
        <is>
          <t>Annualized salary</t>
        </is>
      </c>
      <c r="K9" s="4301" t="n"/>
      <c r="L9" s="4301" t="n"/>
      <c r="M9" s="4302" t="n"/>
      <c r="N9" s="4302" t="n"/>
      <c r="P9" s="4301" t="inlineStr">
        <is>
          <t>FTE</t>
        </is>
      </c>
      <c r="Q9" s="4301" t="n"/>
      <c r="R9" s="4301" t="n"/>
      <c r="S9" s="4302" t="n"/>
      <c r="T9" s="4302" t="n"/>
      <c r="V9" s="4303" t="inlineStr">
        <is>
          <t>Headcount FTE</t>
        </is>
      </c>
      <c r="W9" s="4303" t="n"/>
      <c r="X9" s="4303" t="n"/>
      <c r="Y9" s="4303" t="n"/>
      <c r="Z9" s="4303" t="n"/>
      <c r="AA9" s="4303" t="n"/>
      <c r="AB9" s="4303" t="n"/>
      <c r="AC9" s="4303" t="n"/>
      <c r="AD9" s="4303" t="n"/>
      <c r="AE9" s="4303" t="n"/>
      <c r="AF9" s="4303" t="n"/>
      <c r="AG9" s="4304" t="n"/>
      <c r="AH9" s="4303">
        <f>V9</f>
        <v/>
      </c>
      <c r="AI9" s="4303" t="n"/>
      <c r="AJ9" s="4303" t="n"/>
      <c r="AK9" s="4303" t="n"/>
      <c r="AL9" s="4303" t="n"/>
      <c r="AM9" s="4303" t="n"/>
      <c r="AN9" s="4303" t="n"/>
      <c r="AO9" s="4303" t="n"/>
      <c r="AP9" s="4303" t="n"/>
      <c r="AQ9" s="4303" t="n"/>
      <c r="AR9" s="4303" t="n"/>
      <c r="AS9" s="4304" t="n"/>
      <c r="AT9" s="4303">
        <f>AH9</f>
        <v/>
      </c>
      <c r="AU9" s="4303" t="n"/>
      <c r="AV9" s="4303" t="n"/>
      <c r="AW9" s="4303" t="n"/>
      <c r="AX9" s="4303" t="n"/>
      <c r="AY9" s="4303" t="n"/>
      <c r="AZ9" s="4303" t="n"/>
      <c r="BA9" s="4303" t="n"/>
      <c r="BB9" s="4303" t="n"/>
      <c r="BC9" s="4303" t="n"/>
      <c r="BD9" s="4303" t="n"/>
      <c r="BE9" s="4304" t="n"/>
      <c r="BF9" s="4303">
        <f>AT9</f>
        <v/>
      </c>
      <c r="BG9" s="4303" t="n"/>
      <c r="BH9" s="4303" t="n"/>
      <c r="BI9" s="4303" t="n"/>
      <c r="BJ9" s="4305" t="n"/>
      <c r="BK9" s="4304" t="n"/>
      <c r="BL9" s="4303">
        <f>BF9</f>
        <v/>
      </c>
      <c r="BM9" s="4305" t="n"/>
      <c r="BN9" s="4305" t="n"/>
      <c r="BO9" s="4305" t="n"/>
      <c r="BP9" s="4305" t="n"/>
    </row>
    <row r="10" ht="19.4" customHeight="1" s="3710">
      <c r="C10" s="4298" t="inlineStr">
        <is>
          <t>#</t>
        </is>
      </c>
      <c r="D10" s="4299" t="inlineStr">
        <is>
          <t>Employee ID</t>
        </is>
      </c>
      <c r="E10" s="4300" t="inlineStr">
        <is>
          <t>Hire Date</t>
        </is>
      </c>
      <c r="F10" s="4300" t="inlineStr">
        <is>
          <t>Service Date</t>
        </is>
      </c>
      <c r="G10" s="4300" t="inlineStr">
        <is>
          <t>Term. Date</t>
        </is>
      </c>
      <c r="H10" s="4300" t="inlineStr">
        <is>
          <t>Birth date</t>
        </is>
      </c>
      <c r="I10" s="4300" t="inlineStr">
        <is>
          <t>Gender</t>
        </is>
      </c>
      <c r="J10" s="4306" t="inlineStr">
        <is>
          <t>FY21</t>
        </is>
      </c>
      <c r="K10" s="4307" t="inlineStr">
        <is>
          <t>FY22</t>
        </is>
      </c>
      <c r="L10" s="4307" t="inlineStr">
        <is>
          <t>FY23</t>
        </is>
      </c>
      <c r="M10" s="4308" t="n"/>
      <c r="N10" s="4308" t="n"/>
      <c r="P10" s="4306" t="inlineStr">
        <is>
          <t>FY21</t>
        </is>
      </c>
      <c r="Q10" s="4307" t="inlineStr">
        <is>
          <t>FY22</t>
        </is>
      </c>
      <c r="R10" s="4307" t="inlineStr">
        <is>
          <t>FY23</t>
        </is>
      </c>
      <c r="S10" s="4308" t="n"/>
      <c r="T10" s="4308" t="n"/>
      <c r="V10" s="4309" t="n"/>
      <c r="W10" s="4309" t="n"/>
      <c r="X10" s="4309" t="n"/>
      <c r="Y10" s="4309" t="n"/>
      <c r="Z10" s="4309" t="n"/>
      <c r="AA10" s="4309" t="n"/>
      <c r="AB10" s="4309" t="n"/>
      <c r="AC10" s="4309" t="n"/>
      <c r="AD10" s="4309" t="n"/>
      <c r="AE10" s="4309" t="n"/>
      <c r="AF10" s="4309" t="n"/>
      <c r="AG10" s="4310" t="n"/>
      <c r="AH10" s="4309" t="n"/>
      <c r="AI10" s="4309" t="n"/>
      <c r="AJ10" s="4309" t="n"/>
      <c r="AK10" s="4309" t="n"/>
      <c r="AL10" s="4309" t="n"/>
      <c r="AM10" s="4309" t="n"/>
      <c r="AN10" s="4309" t="n"/>
      <c r="AO10" s="4309" t="n"/>
      <c r="AP10" s="4309" t="n"/>
      <c r="AQ10" s="4309" t="n"/>
      <c r="AR10" s="4309" t="n"/>
      <c r="AS10" s="4310" t="n"/>
      <c r="AT10" s="4309" t="n"/>
      <c r="AU10" s="4309" t="n"/>
      <c r="AV10" s="4309" t="n"/>
      <c r="AW10" s="4309" t="n"/>
      <c r="AX10" s="4309" t="n"/>
      <c r="AY10" s="4309" t="n"/>
      <c r="AZ10" s="4309" t="n"/>
      <c r="BA10" s="4309" t="n"/>
      <c r="BB10" s="4309" t="n"/>
      <c r="BC10" s="4309" t="n"/>
      <c r="BD10" s="4309" t="n"/>
      <c r="BE10" s="4310" t="n"/>
      <c r="BF10" s="4309" t="n"/>
      <c r="BG10" s="4309" t="n"/>
      <c r="BH10" s="4309" t="n"/>
      <c r="BI10" s="4309" t="n"/>
      <c r="BJ10" s="4311" t="n"/>
      <c r="BK10" s="4310" t="n"/>
      <c r="BL10" s="4309" t="inlineStr">
        <is>
          <t>FY21</t>
        </is>
      </c>
      <c r="BM10" s="4312" t="inlineStr">
        <is>
          <t>FY22</t>
        </is>
      </c>
      <c r="BN10" s="4312" t="inlineStr">
        <is>
          <t>FY23</t>
        </is>
      </c>
      <c r="BO10" s="4313" t="inlineStr">
        <is>
          <t>TTM
Apr-24</t>
        </is>
      </c>
      <c r="BP10" s="4314" t="inlineStr">
        <is>
          <t>TTM
Jun-24</t>
        </is>
      </c>
      <c r="BT10" s="4287" t="n"/>
      <c r="BU10" s="4287" t="n"/>
    </row>
    <row r="11" ht="12" customFormat="1" customHeight="1" s="4315">
      <c r="A11" s="4316" t="n"/>
      <c r="B11" s="4317" t="n"/>
      <c r="C11" s="4318" t="inlineStr">
        <is>
          <t>[Redacted]</t>
        </is>
      </c>
      <c r="D11" s="4319" t="n">
        <v>11086</v>
      </c>
      <c r="E11" s="4320" t="n"/>
      <c r="F11" s="4320" t="n"/>
      <c r="G11" s="4320" t="n"/>
      <c r="H11" s="4320" t="n"/>
      <c r="I11" s="4321" t="inlineStr">
        <is>
          <t>M</t>
        </is>
      </c>
      <c r="J11" s="4322" t="n"/>
      <c r="K11" s="4322" t="n"/>
      <c r="L11" s="4322" t="n"/>
      <c r="M11" s="4323" t="n"/>
      <c r="N11" s="4323" t="n"/>
      <c r="O11" s="4315" t="n"/>
      <c r="P11" s="4324" t="n"/>
      <c r="Q11" s="4324" t="n"/>
      <c r="R11" s="4324" t="n"/>
      <c r="S11" s="4325" t="n"/>
      <c r="T11" s="4325" t="n"/>
      <c r="U11" s="4315" t="n"/>
      <c r="V11" s="4322" t="n"/>
      <c r="W11" s="4322" t="n"/>
      <c r="X11" s="4322" t="n"/>
      <c r="Y11" s="4322" t="n"/>
      <c r="Z11" s="4322" t="n"/>
      <c r="AA11" s="4322" t="n"/>
      <c r="AB11" s="4322" t="n"/>
      <c r="AC11" s="4322" t="n"/>
      <c r="AD11" s="4322" t="n"/>
      <c r="AE11" s="4322" t="n"/>
      <c r="AF11" s="4322" t="n"/>
      <c r="AG11" s="4326" t="n"/>
      <c r="AH11" s="4322" t="n"/>
      <c r="AI11" s="4322" t="n"/>
      <c r="AJ11" s="4322" t="n"/>
      <c r="AK11" s="4322" t="n"/>
      <c r="AL11" s="4322" t="n"/>
      <c r="AM11" s="4322" t="n"/>
      <c r="AN11" s="4322" t="n"/>
      <c r="AO11" s="4322" t="n"/>
      <c r="AP11" s="4322" t="n"/>
      <c r="AQ11" s="4322" t="n"/>
      <c r="AR11" s="4322" t="n"/>
      <c r="AS11" s="4326" t="n"/>
      <c r="AT11" s="4322" t="n"/>
      <c r="AU11" s="4322" t="n"/>
      <c r="AV11" s="4322" t="n"/>
      <c r="AW11" s="4322" t="n"/>
      <c r="AX11" s="4322" t="n"/>
      <c r="AY11" s="4322" t="n"/>
      <c r="AZ11" s="4322" t="n"/>
      <c r="BA11" s="4322" t="n"/>
      <c r="BB11" s="4322" t="n"/>
      <c r="BC11" s="4322" t="n"/>
      <c r="BD11" s="4322" t="n"/>
      <c r="BE11" s="4326" t="n"/>
      <c r="BF11" s="4322" t="n"/>
      <c r="BG11" s="4322" t="n"/>
      <c r="BH11" s="4322" t="n"/>
      <c r="BI11" s="4322" t="n"/>
      <c r="BJ11" s="4322" t="n"/>
      <c r="BK11" s="4327" t="n"/>
      <c r="BL11" s="4322" t="n"/>
      <c r="BM11" s="4322" t="n"/>
      <c r="BN11" s="4322" t="n"/>
      <c r="BO11" s="4322" t="n"/>
      <c r="BP11" s="4322" t="n"/>
      <c r="BQ11" s="4315" t="n"/>
      <c r="BR11" s="4328" t="n"/>
      <c r="BT11" s="4329" t="n"/>
      <c r="BU11" s="4315" t="n"/>
    </row>
    <row r="12" ht="12" customFormat="1" customHeight="1" s="4315">
      <c r="A12" s="4316" t="n"/>
      <c r="B12" s="4317" t="n"/>
      <c r="C12" s="4318" t="inlineStr">
        <is>
          <t>[Redacted]</t>
        </is>
      </c>
      <c r="D12" s="4319" t="n">
        <v>11319</v>
      </c>
      <c r="E12" s="4320" t="n"/>
      <c r="F12" s="4320" t="n"/>
      <c r="G12" s="4320" t="n"/>
      <c r="H12" s="4320" t="n"/>
      <c r="I12" s="4321" t="inlineStr">
        <is>
          <t>M</t>
        </is>
      </c>
      <c r="J12" s="4322" t="n"/>
      <c r="K12" s="4322" t="n"/>
      <c r="L12" s="4322" t="n"/>
      <c r="M12" s="4323" t="n"/>
      <c r="N12" s="4323" t="n"/>
      <c r="O12" s="4315" t="n"/>
      <c r="P12" s="4324" t="n"/>
      <c r="Q12" s="4324" t="n"/>
      <c r="R12" s="4324" t="n"/>
      <c r="S12" s="4325" t="n"/>
      <c r="T12" s="4325" t="n"/>
      <c r="U12" s="4315" t="n"/>
      <c r="V12" s="4322" t="n"/>
      <c r="W12" s="4322" t="n"/>
      <c r="X12" s="4322" t="n"/>
      <c r="Y12" s="4322" t="n"/>
      <c r="Z12" s="4322" t="n"/>
      <c r="AA12" s="4322" t="n"/>
      <c r="AB12" s="4322" t="n"/>
      <c r="AC12" s="4322" t="n"/>
      <c r="AD12" s="4322" t="n"/>
      <c r="AE12" s="4322" t="n"/>
      <c r="AF12" s="4322" t="n"/>
      <c r="AG12" s="4326" t="n"/>
      <c r="AH12" s="4322" t="n"/>
      <c r="AI12" s="4322" t="n"/>
      <c r="AJ12" s="4322" t="n"/>
      <c r="AK12" s="4322" t="n"/>
      <c r="AL12" s="4322" t="n"/>
      <c r="AM12" s="4322" t="n"/>
      <c r="AN12" s="4322" t="n"/>
      <c r="AO12" s="4322" t="n"/>
      <c r="AP12" s="4322" t="n"/>
      <c r="AQ12" s="4322" t="n"/>
      <c r="AR12" s="4322" t="n"/>
      <c r="AS12" s="4326" t="n"/>
      <c r="AT12" s="4322" t="n"/>
      <c r="AU12" s="4322" t="n"/>
      <c r="AV12" s="4322" t="n"/>
      <c r="AW12" s="4322" t="n"/>
      <c r="AX12" s="4322" t="n"/>
      <c r="AY12" s="4322" t="n"/>
      <c r="AZ12" s="4322" t="n"/>
      <c r="BA12" s="4322" t="n"/>
      <c r="BB12" s="4322" t="n"/>
      <c r="BC12" s="4322" t="n"/>
      <c r="BD12" s="4322" t="n"/>
      <c r="BE12" s="4326" t="n"/>
      <c r="BF12" s="4322" t="n"/>
      <c r="BG12" s="4322" t="n"/>
      <c r="BH12" s="4322" t="n"/>
      <c r="BI12" s="4322" t="n"/>
      <c r="BJ12" s="4322" t="n"/>
      <c r="BK12" s="4327" t="n"/>
      <c r="BL12" s="4322" t="n"/>
      <c r="BM12" s="4322" t="n"/>
      <c r="BN12" s="4322" t="n"/>
      <c r="BO12" s="4322" t="n"/>
      <c r="BP12" s="4322" t="n"/>
      <c r="BQ12" s="4315" t="n"/>
      <c r="BR12" s="4328" t="n"/>
      <c r="BT12" s="4315" t="n"/>
      <c r="BU12" s="4315" t="n"/>
    </row>
    <row r="13" ht="12" customFormat="1" customHeight="1" s="4315">
      <c r="A13" s="4316" t="n"/>
      <c r="B13" s="4317" t="n"/>
      <c r="C13" s="4318" t="inlineStr">
        <is>
          <t>[Redacted]</t>
        </is>
      </c>
      <c r="D13" s="4319" t="n">
        <v>11027</v>
      </c>
      <c r="E13" s="4320" t="n"/>
      <c r="F13" s="4320" t="n"/>
      <c r="G13" s="4320" t="n"/>
      <c r="H13" s="4320" t="n"/>
      <c r="I13" s="4321" t="inlineStr">
        <is>
          <t>M</t>
        </is>
      </c>
      <c r="J13" s="4322" t="n"/>
      <c r="K13" s="4322" t="n"/>
      <c r="L13" s="4322" t="n"/>
      <c r="M13" s="4323" t="n"/>
      <c r="N13" s="4323" t="n"/>
      <c r="O13" s="4315" t="n"/>
      <c r="P13" s="4324" t="n"/>
      <c r="Q13" s="4324" t="n"/>
      <c r="R13" s="4324" t="n"/>
      <c r="S13" s="4325" t="n"/>
      <c r="T13" s="4325" t="n"/>
      <c r="U13" s="4315" t="n"/>
      <c r="V13" s="4322" t="n"/>
      <c r="W13" s="4322" t="n"/>
      <c r="X13" s="4322" t="n"/>
      <c r="Y13" s="4322" t="n"/>
      <c r="Z13" s="4322" t="n"/>
      <c r="AA13" s="4322" t="n"/>
      <c r="AB13" s="4322" t="n"/>
      <c r="AC13" s="4322" t="n"/>
      <c r="AD13" s="4322" t="n"/>
      <c r="AE13" s="4322" t="n"/>
      <c r="AF13" s="4322" t="n"/>
      <c r="AG13" s="4326" t="n"/>
      <c r="AH13" s="4322" t="n"/>
      <c r="AI13" s="4322" t="n"/>
      <c r="AJ13" s="4322" t="n"/>
      <c r="AK13" s="4322" t="n"/>
      <c r="AL13" s="4322" t="n"/>
      <c r="AM13" s="4322" t="n"/>
      <c r="AN13" s="4322" t="n"/>
      <c r="AO13" s="4322" t="n"/>
      <c r="AP13" s="4322" t="n"/>
      <c r="AQ13" s="4322" t="n"/>
      <c r="AR13" s="4322" t="n"/>
      <c r="AS13" s="4326" t="n"/>
      <c r="AT13" s="4322" t="n"/>
      <c r="AU13" s="4322" t="n"/>
      <c r="AV13" s="4322" t="n"/>
      <c r="AW13" s="4322" t="n"/>
      <c r="AX13" s="4322" t="n"/>
      <c r="AY13" s="4322" t="n"/>
      <c r="AZ13" s="4322" t="n"/>
      <c r="BA13" s="4322" t="n"/>
      <c r="BB13" s="4322" t="n"/>
      <c r="BC13" s="4322" t="n"/>
      <c r="BD13" s="4322" t="n"/>
      <c r="BE13" s="4326" t="n"/>
      <c r="BF13" s="4322" t="n"/>
      <c r="BG13" s="4322" t="n"/>
      <c r="BH13" s="4322" t="n"/>
      <c r="BI13" s="4322" t="n"/>
      <c r="BJ13" s="4322" t="n"/>
      <c r="BK13" s="4327" t="n"/>
      <c r="BL13" s="4322" t="n"/>
      <c r="BM13" s="4322" t="n"/>
      <c r="BN13" s="4322" t="n"/>
      <c r="BO13" s="4322" t="n"/>
      <c r="BP13" s="4322" t="n"/>
      <c r="BQ13" s="4315" t="n"/>
      <c r="BR13" s="4328" t="n"/>
      <c r="BT13" s="4315" t="n"/>
      <c r="BU13" s="4315" t="n"/>
    </row>
    <row r="14" ht="12" customFormat="1" customHeight="1" s="4315">
      <c r="A14" s="4316" t="n"/>
      <c r="B14" s="4317" t="n"/>
      <c r="C14" s="4318" t="inlineStr">
        <is>
          <t>[Redacted]</t>
        </is>
      </c>
      <c r="D14" s="4319" t="n">
        <v>11253</v>
      </c>
      <c r="E14" s="4320" t="n"/>
      <c r="F14" s="4320" t="n"/>
      <c r="G14" s="4320" t="n"/>
      <c r="H14" s="4320" t="n"/>
      <c r="I14" s="4321" t="inlineStr">
        <is>
          <t>M</t>
        </is>
      </c>
      <c r="J14" s="4322" t="n"/>
      <c r="K14" s="4322" t="n"/>
      <c r="L14" s="4322" t="n"/>
      <c r="M14" s="4323" t="n"/>
      <c r="N14" s="4323" t="n"/>
      <c r="O14" s="4315" t="n"/>
      <c r="P14" s="4324" t="n"/>
      <c r="Q14" s="4324" t="n"/>
      <c r="R14" s="4324" t="n"/>
      <c r="S14" s="4325" t="n"/>
      <c r="T14" s="4325" t="n"/>
      <c r="U14" s="4315" t="n"/>
      <c r="V14" s="4322" t="n"/>
      <c r="W14" s="4322" t="n"/>
      <c r="X14" s="4322" t="n"/>
      <c r="Y14" s="4322" t="n"/>
      <c r="Z14" s="4322" t="n"/>
      <c r="AA14" s="4322" t="n"/>
      <c r="AB14" s="4322" t="n"/>
      <c r="AC14" s="4322" t="n"/>
      <c r="AD14" s="4322" t="n"/>
      <c r="AE14" s="4322" t="n"/>
      <c r="AF14" s="4322" t="n"/>
      <c r="AG14" s="4326" t="n"/>
      <c r="AH14" s="4322" t="n"/>
      <c r="AI14" s="4322" t="n"/>
      <c r="AJ14" s="4322" t="n"/>
      <c r="AK14" s="4322" t="n"/>
      <c r="AL14" s="4322" t="n"/>
      <c r="AM14" s="4322" t="n"/>
      <c r="AN14" s="4322" t="n"/>
      <c r="AO14" s="4322" t="n"/>
      <c r="AP14" s="4322" t="n"/>
      <c r="AQ14" s="4322" t="n"/>
      <c r="AR14" s="4322" t="n"/>
      <c r="AS14" s="4326" t="n"/>
      <c r="AT14" s="4322" t="n"/>
      <c r="AU14" s="4322" t="n"/>
      <c r="AV14" s="4322" t="n"/>
      <c r="AW14" s="4322" t="n"/>
      <c r="AX14" s="4322" t="n"/>
      <c r="AY14" s="4322" t="n"/>
      <c r="AZ14" s="4322" t="n"/>
      <c r="BA14" s="4322" t="n"/>
      <c r="BB14" s="4322" t="n"/>
      <c r="BC14" s="4322" t="n"/>
      <c r="BD14" s="4322" t="n"/>
      <c r="BE14" s="4326" t="n"/>
      <c r="BF14" s="4322" t="n"/>
      <c r="BG14" s="4322" t="n"/>
      <c r="BH14" s="4322" t="n"/>
      <c r="BI14" s="4322" t="n"/>
      <c r="BJ14" s="4322" t="n"/>
      <c r="BK14" s="4327" t="n"/>
      <c r="BL14" s="4322" t="n"/>
      <c r="BM14" s="4322" t="n"/>
      <c r="BN14" s="4322" t="n"/>
      <c r="BO14" s="4322" t="n"/>
      <c r="BP14" s="4322" t="n"/>
      <c r="BQ14" s="4315" t="n"/>
      <c r="BR14" s="4328" t="n"/>
      <c r="BT14" s="4315" t="n"/>
      <c r="BU14" s="4315" t="n"/>
    </row>
    <row r="15" ht="12" customFormat="1" customHeight="1" s="4315">
      <c r="A15" s="4316" t="n"/>
      <c r="B15" s="4317" t="n"/>
      <c r="C15" s="4318" t="inlineStr">
        <is>
          <t>[Redacted]</t>
        </is>
      </c>
      <c r="D15" s="4319" t="n">
        <v>11064</v>
      </c>
      <c r="E15" s="4320" t="n"/>
      <c r="F15" s="4320" t="n"/>
      <c r="G15" s="4320" t="n"/>
      <c r="H15" s="4320" t="n"/>
      <c r="I15" s="4321" t="inlineStr">
        <is>
          <t>M</t>
        </is>
      </c>
      <c r="J15" s="4322" t="n"/>
      <c r="K15" s="4322" t="n"/>
      <c r="L15" s="4322" t="n"/>
      <c r="M15" s="4323" t="n"/>
      <c r="N15" s="4323" t="n"/>
      <c r="O15" s="4315" t="n"/>
      <c r="P15" s="4324" t="n"/>
      <c r="Q15" s="4324" t="n"/>
      <c r="R15" s="4324" t="n"/>
      <c r="S15" s="4325" t="n"/>
      <c r="T15" s="4325" t="n"/>
      <c r="U15" s="4315" t="n"/>
      <c r="V15" s="4322" t="n"/>
      <c r="W15" s="4322" t="n"/>
      <c r="X15" s="4322" t="n"/>
      <c r="Y15" s="4322" t="n"/>
      <c r="Z15" s="4322" t="n"/>
      <c r="AA15" s="4322" t="n"/>
      <c r="AB15" s="4322" t="n"/>
      <c r="AC15" s="4322" t="n"/>
      <c r="AD15" s="4322" t="n"/>
      <c r="AE15" s="4322" t="n"/>
      <c r="AF15" s="4322" t="n"/>
      <c r="AG15" s="4326" t="n"/>
      <c r="AH15" s="4322" t="n"/>
      <c r="AI15" s="4322" t="n"/>
      <c r="AJ15" s="4322" t="n"/>
      <c r="AK15" s="4322" t="n"/>
      <c r="AL15" s="4322" t="n"/>
      <c r="AM15" s="4322" t="n"/>
      <c r="AN15" s="4322" t="n"/>
      <c r="AO15" s="4322" t="n"/>
      <c r="AP15" s="4322" t="n"/>
      <c r="AQ15" s="4322" t="n"/>
      <c r="AR15" s="4322" t="n"/>
      <c r="AS15" s="4326" t="n"/>
      <c r="AT15" s="4322" t="n"/>
      <c r="AU15" s="4322" t="n"/>
      <c r="AV15" s="4322" t="n"/>
      <c r="AW15" s="4322" t="n"/>
      <c r="AX15" s="4322" t="n"/>
      <c r="AY15" s="4322" t="n"/>
      <c r="AZ15" s="4322" t="n"/>
      <c r="BA15" s="4322" t="n"/>
      <c r="BB15" s="4322" t="n"/>
      <c r="BC15" s="4322" t="n"/>
      <c r="BD15" s="4322" t="n"/>
      <c r="BE15" s="4326" t="n"/>
      <c r="BF15" s="4322" t="n"/>
      <c r="BG15" s="4322" t="n"/>
      <c r="BH15" s="4322" t="n"/>
      <c r="BI15" s="4322" t="n"/>
      <c r="BJ15" s="4322" t="n"/>
      <c r="BK15" s="4327" t="n"/>
      <c r="BL15" s="4322" t="n"/>
      <c r="BM15" s="4322" t="n"/>
      <c r="BN15" s="4322" t="n"/>
      <c r="BO15" s="4322" t="n"/>
      <c r="BP15" s="4322" t="n"/>
      <c r="BQ15" s="4315" t="n"/>
      <c r="BR15" s="4328" t="n"/>
      <c r="BT15" s="4315" t="n"/>
      <c r="BU15" s="4315" t="n"/>
    </row>
    <row r="16" ht="12" customFormat="1" customHeight="1" s="4315">
      <c r="A16" s="4316" t="n"/>
      <c r="B16" s="4317" t="n"/>
      <c r="C16" s="4318" t="inlineStr">
        <is>
          <t>[Redacted]</t>
        </is>
      </c>
      <c r="D16" s="4319" t="n">
        <v>11352</v>
      </c>
      <c r="E16" s="4320" t="n"/>
      <c r="F16" s="4320" t="n"/>
      <c r="G16" s="4320" t="n"/>
      <c r="H16" s="4320" t="n"/>
      <c r="I16" s="4321" t="inlineStr">
        <is>
          <t>M</t>
        </is>
      </c>
      <c r="J16" s="4322" t="n"/>
      <c r="K16" s="4322" t="n"/>
      <c r="L16" s="4322" t="n"/>
      <c r="M16" s="4323" t="n"/>
      <c r="N16" s="4323" t="n"/>
      <c r="O16" s="4315" t="n"/>
      <c r="P16" s="4324" t="n"/>
      <c r="Q16" s="4324" t="n"/>
      <c r="R16" s="4324" t="n"/>
      <c r="S16" s="4325" t="n"/>
      <c r="T16" s="4325" t="n"/>
      <c r="U16" s="4315" t="n"/>
      <c r="V16" s="4322" t="n"/>
      <c r="W16" s="4322" t="n"/>
      <c r="X16" s="4322" t="n"/>
      <c r="Y16" s="4322" t="n"/>
      <c r="Z16" s="4322" t="n"/>
      <c r="AA16" s="4322" t="n"/>
      <c r="AB16" s="4322" t="n"/>
      <c r="AC16" s="4322" t="n"/>
      <c r="AD16" s="4322" t="n"/>
      <c r="AE16" s="4322" t="n"/>
      <c r="AF16" s="4322" t="n"/>
      <c r="AG16" s="4326" t="n"/>
      <c r="AH16" s="4322" t="n"/>
      <c r="AI16" s="4322" t="n"/>
      <c r="AJ16" s="4322" t="n"/>
      <c r="AK16" s="4322" t="n"/>
      <c r="AL16" s="4322" t="n"/>
      <c r="AM16" s="4322" t="n"/>
      <c r="AN16" s="4322" t="n"/>
      <c r="AO16" s="4322" t="n"/>
      <c r="AP16" s="4322" t="n"/>
      <c r="AQ16" s="4322" t="n"/>
      <c r="AR16" s="4322" t="n"/>
      <c r="AS16" s="4326" t="n"/>
      <c r="AT16" s="4322" t="n"/>
      <c r="AU16" s="4322" t="n"/>
      <c r="AV16" s="4322" t="n"/>
      <c r="AW16" s="4322" t="n"/>
      <c r="AX16" s="4322" t="n"/>
      <c r="AY16" s="4322" t="n"/>
      <c r="AZ16" s="4322" t="n"/>
      <c r="BA16" s="4322" t="n"/>
      <c r="BB16" s="4322" t="n"/>
      <c r="BC16" s="4322" t="n"/>
      <c r="BD16" s="4322" t="n"/>
      <c r="BE16" s="4326" t="n"/>
      <c r="BF16" s="4322" t="n"/>
      <c r="BG16" s="4322" t="n"/>
      <c r="BH16" s="4322" t="n"/>
      <c r="BI16" s="4322" t="n"/>
      <c r="BJ16" s="4322" t="n"/>
      <c r="BK16" s="4327" t="n"/>
      <c r="BL16" s="4322" t="n"/>
      <c r="BM16" s="4322" t="n"/>
      <c r="BN16" s="4322" t="n"/>
      <c r="BO16" s="4322" t="n"/>
      <c r="BP16" s="4322" t="n"/>
      <c r="BQ16" s="4315" t="n"/>
      <c r="BR16" s="4328" t="n"/>
      <c r="BT16" s="4315" t="n"/>
      <c r="BU16" s="4315" t="n"/>
    </row>
    <row r="17" ht="12" customFormat="1" customHeight="1" s="4315">
      <c r="A17" s="4316" t="n"/>
      <c r="B17" s="4317" t="n"/>
      <c r="C17" s="4318" t="inlineStr">
        <is>
          <t>[Redacted]</t>
        </is>
      </c>
      <c r="D17" s="4319" t="n">
        <v>11231</v>
      </c>
      <c r="E17" s="4320" t="n"/>
      <c r="F17" s="4320" t="n"/>
      <c r="G17" s="4320" t="n"/>
      <c r="H17" s="4320" t="n"/>
      <c r="I17" s="4321" t="inlineStr">
        <is>
          <t>F</t>
        </is>
      </c>
      <c r="J17" s="4322" t="n"/>
      <c r="K17" s="4322" t="n"/>
      <c r="L17" s="4322" t="n"/>
      <c r="M17" s="4323" t="n"/>
      <c r="N17" s="4323" t="n"/>
      <c r="O17" s="4315" t="n"/>
      <c r="P17" s="4324" t="n"/>
      <c r="Q17" s="4324" t="n"/>
      <c r="R17" s="4324" t="n"/>
      <c r="S17" s="4325" t="n"/>
      <c r="T17" s="4325" t="n"/>
      <c r="U17" s="4315" t="n"/>
      <c r="V17" s="4322" t="n"/>
      <c r="W17" s="4322" t="n"/>
      <c r="X17" s="4322" t="n"/>
      <c r="Y17" s="4322" t="n"/>
      <c r="Z17" s="4322" t="n"/>
      <c r="AA17" s="4322" t="n"/>
      <c r="AB17" s="4322" t="n"/>
      <c r="AC17" s="4322" t="n"/>
      <c r="AD17" s="4322" t="n"/>
      <c r="AE17" s="4322" t="n"/>
      <c r="AF17" s="4322" t="n"/>
      <c r="AG17" s="4326" t="n"/>
      <c r="AH17" s="4322" t="n"/>
      <c r="AI17" s="4322" t="n"/>
      <c r="AJ17" s="4322" t="n"/>
      <c r="AK17" s="4322" t="n"/>
      <c r="AL17" s="4322" t="n"/>
      <c r="AM17" s="4322" t="n"/>
      <c r="AN17" s="4322" t="n"/>
      <c r="AO17" s="4322" t="n"/>
      <c r="AP17" s="4322" t="n"/>
      <c r="AQ17" s="4322" t="n"/>
      <c r="AR17" s="4322" t="n"/>
      <c r="AS17" s="4326" t="n"/>
      <c r="AT17" s="4322" t="n"/>
      <c r="AU17" s="4322" t="n"/>
      <c r="AV17" s="4322" t="n"/>
      <c r="AW17" s="4322" t="n"/>
      <c r="AX17" s="4322" t="n"/>
      <c r="AY17" s="4322" t="n"/>
      <c r="AZ17" s="4322" t="n"/>
      <c r="BA17" s="4322" t="n"/>
      <c r="BB17" s="4322" t="n"/>
      <c r="BC17" s="4322" t="n"/>
      <c r="BD17" s="4322" t="n"/>
      <c r="BE17" s="4326" t="n"/>
      <c r="BF17" s="4322" t="n"/>
      <c r="BG17" s="4322" t="n"/>
      <c r="BH17" s="4322" t="n"/>
      <c r="BI17" s="4322" t="n"/>
      <c r="BJ17" s="4322" t="n"/>
      <c r="BK17" s="4327" t="n"/>
      <c r="BL17" s="4322" t="n"/>
      <c r="BM17" s="4322" t="n"/>
      <c r="BN17" s="4322" t="n"/>
      <c r="BO17" s="4322" t="n"/>
      <c r="BP17" s="4322" t="n"/>
      <c r="BQ17" s="4315" t="n"/>
      <c r="BR17" s="4328" t="n"/>
      <c r="BT17" s="4315" t="n"/>
      <c r="BU17" s="4315" t="n"/>
    </row>
    <row r="18" ht="12" customFormat="1" customHeight="1" s="4315">
      <c r="A18" s="4316" t="n"/>
      <c r="B18" s="4317" t="n"/>
      <c r="C18" s="4318" t="inlineStr">
        <is>
          <t>[Redacted]</t>
        </is>
      </c>
      <c r="D18" s="4319" t="n">
        <v>11338</v>
      </c>
      <c r="E18" s="4320" t="n"/>
      <c r="F18" s="4320" t="n"/>
      <c r="G18" s="4320" t="n"/>
      <c r="H18" s="4320" t="n"/>
      <c r="I18" s="4321" t="inlineStr">
        <is>
          <t>M</t>
        </is>
      </c>
      <c r="J18" s="4322" t="n"/>
      <c r="K18" s="4322" t="n"/>
      <c r="L18" s="4322" t="n"/>
      <c r="M18" s="4323" t="n"/>
      <c r="N18" s="4323" t="n"/>
      <c r="O18" s="4315" t="n"/>
      <c r="P18" s="4324" t="n"/>
      <c r="Q18" s="4324" t="n"/>
      <c r="R18" s="4324" t="n"/>
      <c r="S18" s="4325" t="n"/>
      <c r="T18" s="4325" t="n"/>
      <c r="U18" s="4315" t="n"/>
      <c r="V18" s="4322" t="n"/>
      <c r="W18" s="4322" t="n"/>
      <c r="X18" s="4322" t="n"/>
      <c r="Y18" s="4322" t="n"/>
      <c r="Z18" s="4322" t="n"/>
      <c r="AA18" s="4322" t="n"/>
      <c r="AB18" s="4322" t="n"/>
      <c r="AC18" s="4322" t="n"/>
      <c r="AD18" s="4322" t="n"/>
      <c r="AE18" s="4322" t="n"/>
      <c r="AF18" s="4322" t="n"/>
      <c r="AG18" s="4326" t="n"/>
      <c r="AH18" s="4322" t="n"/>
      <c r="AI18" s="4322" t="n"/>
      <c r="AJ18" s="4322" t="n"/>
      <c r="AK18" s="4322" t="n"/>
      <c r="AL18" s="4322" t="n"/>
      <c r="AM18" s="4322" t="n"/>
      <c r="AN18" s="4322" t="n"/>
      <c r="AO18" s="4322" t="n"/>
      <c r="AP18" s="4322" t="n"/>
      <c r="AQ18" s="4322" t="n"/>
      <c r="AR18" s="4322" t="n"/>
      <c r="AS18" s="4326" t="n"/>
      <c r="AT18" s="4322" t="n"/>
      <c r="AU18" s="4322" t="n"/>
      <c r="AV18" s="4322" t="n"/>
      <c r="AW18" s="4322" t="n"/>
      <c r="AX18" s="4322" t="n"/>
      <c r="AY18" s="4322" t="n"/>
      <c r="AZ18" s="4322" t="n"/>
      <c r="BA18" s="4322" t="n"/>
      <c r="BB18" s="4322" t="n"/>
      <c r="BC18" s="4322" t="n"/>
      <c r="BD18" s="4322" t="n"/>
      <c r="BE18" s="4326" t="n"/>
      <c r="BF18" s="4322" t="n"/>
      <c r="BG18" s="4322" t="n"/>
      <c r="BH18" s="4322" t="n"/>
      <c r="BI18" s="4322" t="n"/>
      <c r="BJ18" s="4322" t="n"/>
      <c r="BK18" s="4327" t="n"/>
      <c r="BL18" s="4322" t="n"/>
      <c r="BM18" s="4322" t="n"/>
      <c r="BN18" s="4322" t="n"/>
      <c r="BO18" s="4322" t="n"/>
      <c r="BP18" s="4322" t="n"/>
      <c r="BQ18" s="4315" t="n"/>
      <c r="BR18" s="4328" t="n"/>
      <c r="BT18" s="4315" t="n"/>
      <c r="BU18" s="4315" t="n"/>
    </row>
    <row r="19" ht="12" customFormat="1" customHeight="1" s="4315">
      <c r="A19" s="4316" t="n"/>
      <c r="B19" s="4317" t="n"/>
      <c r="C19" s="4318" t="inlineStr">
        <is>
          <t>[Redacted]</t>
        </is>
      </c>
      <c r="D19" s="4319" t="n">
        <v>11323</v>
      </c>
      <c r="E19" s="4320" t="n"/>
      <c r="F19" s="4320" t="n"/>
      <c r="G19" s="4320" t="n"/>
      <c r="H19" s="4320" t="n"/>
      <c r="I19" s="4321" t="inlineStr">
        <is>
          <t>M</t>
        </is>
      </c>
      <c r="J19" s="4322" t="n"/>
      <c r="K19" s="4322" t="n"/>
      <c r="L19" s="4322" t="n"/>
      <c r="M19" s="4323" t="n"/>
      <c r="N19" s="4323" t="n"/>
      <c r="O19" s="4315" t="n"/>
      <c r="P19" s="4324" t="n"/>
      <c r="Q19" s="4324" t="n"/>
      <c r="R19" s="4324" t="n"/>
      <c r="S19" s="4325" t="n"/>
      <c r="T19" s="4325" t="n"/>
      <c r="U19" s="4315" t="n"/>
      <c r="V19" s="4322" t="n"/>
      <c r="W19" s="4322" t="n"/>
      <c r="X19" s="4322" t="n"/>
      <c r="Y19" s="4322" t="n"/>
      <c r="Z19" s="4322" t="n"/>
      <c r="AA19" s="4322" t="n"/>
      <c r="AB19" s="4322" t="n"/>
      <c r="AC19" s="4322" t="n"/>
      <c r="AD19" s="4322" t="n"/>
      <c r="AE19" s="4322" t="n"/>
      <c r="AF19" s="4322" t="n"/>
      <c r="AG19" s="4326" t="n"/>
      <c r="AH19" s="4322" t="n"/>
      <c r="AI19" s="4322" t="n"/>
      <c r="AJ19" s="4322" t="n"/>
      <c r="AK19" s="4322" t="n"/>
      <c r="AL19" s="4322" t="n"/>
      <c r="AM19" s="4322" t="n"/>
      <c r="AN19" s="4322" t="n"/>
      <c r="AO19" s="4322" t="n"/>
      <c r="AP19" s="4322" t="n"/>
      <c r="AQ19" s="4322" t="n"/>
      <c r="AR19" s="4322" t="n"/>
      <c r="AS19" s="4326" t="n"/>
      <c r="AT19" s="4322" t="n"/>
      <c r="AU19" s="4322" t="n"/>
      <c r="AV19" s="4322" t="n"/>
      <c r="AW19" s="4322" t="n"/>
      <c r="AX19" s="4322" t="n"/>
      <c r="AY19" s="4322" t="n"/>
      <c r="AZ19" s="4322" t="n"/>
      <c r="BA19" s="4322" t="n"/>
      <c r="BB19" s="4322" t="n"/>
      <c r="BC19" s="4322" t="n"/>
      <c r="BD19" s="4322" t="n"/>
      <c r="BE19" s="4326" t="n"/>
      <c r="BF19" s="4322" t="n"/>
      <c r="BG19" s="4322" t="n"/>
      <c r="BH19" s="4322" t="n"/>
      <c r="BI19" s="4322" t="n"/>
      <c r="BJ19" s="4322" t="n"/>
      <c r="BK19" s="4327" t="n"/>
      <c r="BL19" s="4322" t="n"/>
      <c r="BM19" s="4322" t="n"/>
      <c r="BN19" s="4322" t="n"/>
      <c r="BO19" s="4322" t="n"/>
      <c r="BP19" s="4322" t="n"/>
      <c r="BQ19" s="4315" t="n"/>
      <c r="BR19" s="4328" t="n"/>
      <c r="BT19" s="4315" t="n"/>
      <c r="BU19" s="4315" t="n"/>
    </row>
    <row r="20" ht="12" customFormat="1" customHeight="1" s="4315">
      <c r="A20" s="4316" t="n"/>
      <c r="B20" s="4317" t="n"/>
      <c r="C20" s="4318" t="inlineStr">
        <is>
          <t>[Redacted]</t>
        </is>
      </c>
      <c r="D20" s="4319" t="n">
        <v>11351</v>
      </c>
      <c r="E20" s="4320" t="n"/>
      <c r="F20" s="4320" t="n"/>
      <c r="G20" s="4320" t="n"/>
      <c r="H20" s="4320" t="n"/>
      <c r="I20" s="4321" t="inlineStr">
        <is>
          <t>F</t>
        </is>
      </c>
      <c r="J20" s="4322" t="n"/>
      <c r="K20" s="4322" t="n"/>
      <c r="L20" s="4322" t="n"/>
      <c r="M20" s="4323" t="n"/>
      <c r="N20" s="4323" t="n"/>
      <c r="O20" s="4315" t="n"/>
      <c r="P20" s="4324" t="n"/>
      <c r="Q20" s="4324" t="n"/>
      <c r="R20" s="4324" t="n"/>
      <c r="S20" s="4325" t="n"/>
      <c r="T20" s="4325" t="n"/>
      <c r="U20" s="4315" t="n"/>
      <c r="V20" s="4322" t="n"/>
      <c r="W20" s="4322" t="n"/>
      <c r="X20" s="4322" t="n"/>
      <c r="Y20" s="4322" t="n"/>
      <c r="Z20" s="4322" t="n"/>
      <c r="AA20" s="4322" t="n"/>
      <c r="AB20" s="4322" t="n"/>
      <c r="AC20" s="4322" t="n"/>
      <c r="AD20" s="4322" t="n"/>
      <c r="AE20" s="4322" t="n"/>
      <c r="AF20" s="4322" t="n"/>
      <c r="AG20" s="4326" t="n"/>
      <c r="AH20" s="4322" t="n"/>
      <c r="AI20" s="4322" t="n"/>
      <c r="AJ20" s="4322" t="n"/>
      <c r="AK20" s="4322" t="n"/>
      <c r="AL20" s="4322" t="n"/>
      <c r="AM20" s="4322" t="n"/>
      <c r="AN20" s="4322" t="n"/>
      <c r="AO20" s="4322" t="n"/>
      <c r="AP20" s="4322" t="n"/>
      <c r="AQ20" s="4322" t="n"/>
      <c r="AR20" s="4322" t="n"/>
      <c r="AS20" s="4326" t="n"/>
      <c r="AT20" s="4322" t="n"/>
      <c r="AU20" s="4322" t="n"/>
      <c r="AV20" s="4322" t="n"/>
      <c r="AW20" s="4322" t="n"/>
      <c r="AX20" s="4322" t="n"/>
      <c r="AY20" s="4322" t="n"/>
      <c r="AZ20" s="4322" t="n"/>
      <c r="BA20" s="4322" t="n"/>
      <c r="BB20" s="4322" t="n"/>
      <c r="BC20" s="4322" t="n"/>
      <c r="BD20" s="4322" t="n"/>
      <c r="BE20" s="4326" t="n"/>
      <c r="BF20" s="4322" t="n"/>
      <c r="BG20" s="4322" t="n"/>
      <c r="BH20" s="4322" t="n"/>
      <c r="BI20" s="4322" t="n"/>
      <c r="BJ20" s="4322" t="n"/>
      <c r="BK20" s="4327" t="n"/>
      <c r="BL20" s="4322" t="n"/>
      <c r="BM20" s="4322" t="n"/>
      <c r="BN20" s="4322" t="n"/>
      <c r="BO20" s="4322" t="n"/>
      <c r="BP20" s="4322" t="n"/>
      <c r="BQ20" s="4315" t="n"/>
      <c r="BR20" s="4328" t="n"/>
      <c r="BT20" s="4315" t="n"/>
      <c r="BU20" s="4315" t="n"/>
    </row>
    <row r="21" ht="12" customFormat="1" customHeight="1" s="4315">
      <c r="A21" s="4316" t="n"/>
      <c r="B21" s="4317" t="n"/>
      <c r="C21" s="4318" t="inlineStr">
        <is>
          <t>[Redacted]</t>
        </is>
      </c>
      <c r="D21" s="4319" t="n">
        <v>11058</v>
      </c>
      <c r="E21" s="4320" t="n"/>
      <c r="F21" s="4320" t="n"/>
      <c r="G21" s="4320" t="n"/>
      <c r="H21" s="4320" t="n"/>
      <c r="I21" s="4321" t="inlineStr">
        <is>
          <t>M</t>
        </is>
      </c>
      <c r="J21" s="4322" t="n"/>
      <c r="K21" s="4322" t="n"/>
      <c r="L21" s="4322" t="n"/>
      <c r="M21" s="4323" t="n"/>
      <c r="N21" s="4323" t="n"/>
      <c r="O21" s="4315" t="n"/>
      <c r="P21" s="4324" t="n"/>
      <c r="Q21" s="4324" t="n"/>
      <c r="R21" s="4324" t="n"/>
      <c r="S21" s="4325" t="n"/>
      <c r="T21" s="4325" t="n"/>
      <c r="U21" s="4315" t="n"/>
      <c r="V21" s="4322" t="n"/>
      <c r="W21" s="4322" t="n"/>
      <c r="X21" s="4322" t="n"/>
      <c r="Y21" s="4322" t="n"/>
      <c r="Z21" s="4322" t="n"/>
      <c r="AA21" s="4322" t="n"/>
      <c r="AB21" s="4322" t="n"/>
      <c r="AC21" s="4322" t="n"/>
      <c r="AD21" s="4322" t="n"/>
      <c r="AE21" s="4322" t="n"/>
      <c r="AF21" s="4322" t="n"/>
      <c r="AG21" s="4326" t="n"/>
      <c r="AH21" s="4322" t="n"/>
      <c r="AI21" s="4322" t="n"/>
      <c r="AJ21" s="4322" t="n"/>
      <c r="AK21" s="4322" t="n"/>
      <c r="AL21" s="4322" t="n"/>
      <c r="AM21" s="4322" t="n"/>
      <c r="AN21" s="4322" t="n"/>
      <c r="AO21" s="4322" t="n"/>
      <c r="AP21" s="4322" t="n"/>
      <c r="AQ21" s="4322" t="n"/>
      <c r="AR21" s="4322" t="n"/>
      <c r="AS21" s="4326" t="n"/>
      <c r="AT21" s="4322" t="n"/>
      <c r="AU21" s="4322" t="n"/>
      <c r="AV21" s="4322" t="n"/>
      <c r="AW21" s="4322" t="n"/>
      <c r="AX21" s="4322" t="n"/>
      <c r="AY21" s="4322" t="n"/>
      <c r="AZ21" s="4322" t="n"/>
      <c r="BA21" s="4322" t="n"/>
      <c r="BB21" s="4322" t="n"/>
      <c r="BC21" s="4322" t="n"/>
      <c r="BD21" s="4322" t="n"/>
      <c r="BE21" s="4326" t="n"/>
      <c r="BF21" s="4322" t="n"/>
      <c r="BG21" s="4322" t="n"/>
      <c r="BH21" s="4322" t="n"/>
      <c r="BI21" s="4322" t="n"/>
      <c r="BJ21" s="4322" t="n"/>
      <c r="BK21" s="4327" t="n"/>
      <c r="BL21" s="4322" t="n"/>
      <c r="BM21" s="4322" t="n"/>
      <c r="BN21" s="4322" t="n"/>
      <c r="BO21" s="4322" t="n"/>
      <c r="BP21" s="4322" t="n"/>
      <c r="BQ21" s="4315" t="n"/>
      <c r="BR21" s="4328" t="n"/>
      <c r="BT21" s="4315" t="n"/>
      <c r="BU21" s="4315" t="n"/>
    </row>
    <row r="22" ht="12" customFormat="1" customHeight="1" s="4315">
      <c r="A22" s="4316" t="n"/>
      <c r="B22" s="4317" t="n"/>
      <c r="C22" s="4318" t="inlineStr">
        <is>
          <t>[Redacted]</t>
        </is>
      </c>
      <c r="D22" s="4319" t="n">
        <v>11123</v>
      </c>
      <c r="E22" s="4320" t="n"/>
      <c r="F22" s="4320" t="n"/>
      <c r="G22" s="4320" t="n"/>
      <c r="H22" s="4320" t="n"/>
      <c r="I22" s="4321" t="inlineStr">
        <is>
          <t>F</t>
        </is>
      </c>
      <c r="J22" s="4322" t="n"/>
      <c r="K22" s="4322" t="n"/>
      <c r="L22" s="4322" t="n"/>
      <c r="M22" s="4323" t="n"/>
      <c r="N22" s="4323" t="n"/>
      <c r="O22" s="4315" t="n"/>
      <c r="P22" s="4324" t="n"/>
      <c r="Q22" s="4324" t="n"/>
      <c r="R22" s="4324" t="n"/>
      <c r="S22" s="4325" t="n"/>
      <c r="T22" s="4325" t="n"/>
      <c r="U22" s="4315" t="n"/>
      <c r="V22" s="4322" t="n"/>
      <c r="W22" s="4322" t="n"/>
      <c r="X22" s="4322" t="n"/>
      <c r="Y22" s="4322" t="n"/>
      <c r="Z22" s="4322" t="n"/>
      <c r="AA22" s="4322" t="n"/>
      <c r="AB22" s="4322" t="n"/>
      <c r="AC22" s="4322" t="n"/>
      <c r="AD22" s="4322" t="n"/>
      <c r="AE22" s="4322" t="n"/>
      <c r="AF22" s="4322" t="n"/>
      <c r="AG22" s="4326" t="n"/>
      <c r="AH22" s="4322" t="n"/>
      <c r="AI22" s="4322" t="n"/>
      <c r="AJ22" s="4322" t="n"/>
      <c r="AK22" s="4322" t="n"/>
      <c r="AL22" s="4322" t="n"/>
      <c r="AM22" s="4322" t="n"/>
      <c r="AN22" s="4322" t="n"/>
      <c r="AO22" s="4322" t="n"/>
      <c r="AP22" s="4322" t="n"/>
      <c r="AQ22" s="4322" t="n"/>
      <c r="AR22" s="4322" t="n"/>
      <c r="AS22" s="4326" t="n"/>
      <c r="AT22" s="4322" t="n"/>
      <c r="AU22" s="4322" t="n"/>
      <c r="AV22" s="4322" t="n"/>
      <c r="AW22" s="4322" t="n"/>
      <c r="AX22" s="4322" t="n"/>
      <c r="AY22" s="4322" t="n"/>
      <c r="AZ22" s="4322" t="n"/>
      <c r="BA22" s="4322" t="n"/>
      <c r="BB22" s="4322" t="n"/>
      <c r="BC22" s="4322" t="n"/>
      <c r="BD22" s="4322" t="n"/>
      <c r="BE22" s="4326" t="n"/>
      <c r="BF22" s="4322" t="n"/>
      <c r="BG22" s="4322" t="n"/>
      <c r="BH22" s="4322" t="n"/>
      <c r="BI22" s="4322" t="n"/>
      <c r="BJ22" s="4322" t="n"/>
      <c r="BK22" s="4327" t="n"/>
      <c r="BL22" s="4322" t="n"/>
      <c r="BM22" s="4322" t="n"/>
      <c r="BN22" s="4322" t="n"/>
      <c r="BO22" s="4322" t="n"/>
      <c r="BP22" s="4322" t="n"/>
      <c r="BQ22" s="4315" t="n"/>
      <c r="BR22" s="4328" t="n"/>
      <c r="BT22" s="4315" t="n"/>
      <c r="BU22" s="4315" t="n"/>
    </row>
    <row r="23" ht="12" customFormat="1" customHeight="1" s="4315">
      <c r="A23" s="4316" t="n"/>
      <c r="B23" s="4317" t="n"/>
      <c r="C23" s="4318" t="inlineStr">
        <is>
          <t>[Redacted]</t>
        </is>
      </c>
      <c r="D23" s="4319" t="n">
        <v>11190</v>
      </c>
      <c r="E23" s="4320" t="n"/>
      <c r="F23" s="4320" t="n"/>
      <c r="G23" s="4320" t="n"/>
      <c r="H23" s="4320" t="n"/>
      <c r="I23" s="4321" t="inlineStr">
        <is>
          <t>F</t>
        </is>
      </c>
      <c r="J23" s="4322" t="n"/>
      <c r="K23" s="4322" t="n"/>
      <c r="L23" s="4322" t="n"/>
      <c r="M23" s="4323" t="n"/>
      <c r="N23" s="4323" t="n"/>
      <c r="O23" s="4315" t="n"/>
      <c r="P23" s="4324" t="n"/>
      <c r="Q23" s="4324" t="n"/>
      <c r="R23" s="4324" t="n"/>
      <c r="S23" s="4325" t="n"/>
      <c r="T23" s="4325" t="n"/>
      <c r="U23" s="4315" t="n"/>
      <c r="V23" s="4322" t="n"/>
      <c r="W23" s="4322" t="n"/>
      <c r="X23" s="4322" t="n"/>
      <c r="Y23" s="4322" t="n"/>
      <c r="Z23" s="4322" t="n"/>
      <c r="AA23" s="4322" t="n"/>
      <c r="AB23" s="4322" t="n"/>
      <c r="AC23" s="4322" t="n"/>
      <c r="AD23" s="4322" t="n"/>
      <c r="AE23" s="4322" t="n"/>
      <c r="AF23" s="4322" t="n"/>
      <c r="AG23" s="4326" t="n"/>
      <c r="AH23" s="4322" t="n"/>
      <c r="AI23" s="4322" t="n"/>
      <c r="AJ23" s="4322" t="n"/>
      <c r="AK23" s="4322" t="n"/>
      <c r="AL23" s="4322" t="n"/>
      <c r="AM23" s="4322" t="n"/>
      <c r="AN23" s="4322" t="n"/>
      <c r="AO23" s="4322" t="n"/>
      <c r="AP23" s="4322" t="n"/>
      <c r="AQ23" s="4322" t="n"/>
      <c r="AR23" s="4322" t="n"/>
      <c r="AS23" s="4326" t="n"/>
      <c r="AT23" s="4322" t="n"/>
      <c r="AU23" s="4322" t="n"/>
      <c r="AV23" s="4322" t="n"/>
      <c r="AW23" s="4322" t="n"/>
      <c r="AX23" s="4322" t="n"/>
      <c r="AY23" s="4322" t="n"/>
      <c r="AZ23" s="4322" t="n"/>
      <c r="BA23" s="4322" t="n"/>
      <c r="BB23" s="4322" t="n"/>
      <c r="BC23" s="4322" t="n"/>
      <c r="BD23" s="4322" t="n"/>
      <c r="BE23" s="4326" t="n"/>
      <c r="BF23" s="4322" t="n"/>
      <c r="BG23" s="4322" t="n"/>
      <c r="BH23" s="4322" t="n"/>
      <c r="BI23" s="4322" t="n"/>
      <c r="BJ23" s="4322" t="n"/>
      <c r="BK23" s="4327" t="n"/>
      <c r="BL23" s="4322" t="n"/>
      <c r="BM23" s="4322" t="n"/>
      <c r="BN23" s="4322" t="n"/>
      <c r="BO23" s="4322" t="n"/>
      <c r="BP23" s="4322" t="n"/>
      <c r="BQ23" s="4315" t="n"/>
      <c r="BR23" s="4328" t="n"/>
      <c r="BT23" s="4315" t="n"/>
      <c r="BU23" s="4315" t="n"/>
    </row>
    <row r="24" ht="12" customFormat="1" customHeight="1" s="4315">
      <c r="A24" s="4316" t="n"/>
      <c r="B24" s="4317" t="n"/>
      <c r="C24" s="4318" t="inlineStr">
        <is>
          <t>[Redacted]</t>
        </is>
      </c>
      <c r="D24" s="4319" t="n">
        <v>11271</v>
      </c>
      <c r="E24" s="4320" t="n"/>
      <c r="F24" s="4320" t="n"/>
      <c r="G24" s="4320" t="n"/>
      <c r="H24" s="4320" t="n"/>
      <c r="I24" s="4321" t="inlineStr">
        <is>
          <t>F</t>
        </is>
      </c>
      <c r="J24" s="4322" t="n"/>
      <c r="K24" s="4322" t="n"/>
      <c r="L24" s="4322" t="n"/>
      <c r="M24" s="4323" t="n"/>
      <c r="N24" s="4323" t="n"/>
      <c r="O24" s="4315" t="n"/>
      <c r="P24" s="4324" t="n"/>
      <c r="Q24" s="4324" t="n"/>
      <c r="R24" s="4324" t="n"/>
      <c r="S24" s="4325" t="n"/>
      <c r="T24" s="4325" t="n"/>
      <c r="U24" s="4315" t="n"/>
      <c r="V24" s="4322" t="n"/>
      <c r="W24" s="4322" t="n"/>
      <c r="X24" s="4322" t="n"/>
      <c r="Y24" s="4322" t="n"/>
      <c r="Z24" s="4322" t="n"/>
      <c r="AA24" s="4322" t="n"/>
      <c r="AB24" s="4322" t="n"/>
      <c r="AC24" s="4322" t="n"/>
      <c r="AD24" s="4322" t="n"/>
      <c r="AE24" s="4322" t="n"/>
      <c r="AF24" s="4322" t="n"/>
      <c r="AG24" s="4326" t="n"/>
      <c r="AH24" s="4322" t="n"/>
      <c r="AI24" s="4322" t="n"/>
      <c r="AJ24" s="4322" t="n"/>
      <c r="AK24" s="4322" t="n"/>
      <c r="AL24" s="4322" t="n"/>
      <c r="AM24" s="4322" t="n"/>
      <c r="AN24" s="4322" t="n"/>
      <c r="AO24" s="4322" t="n"/>
      <c r="AP24" s="4322" t="n"/>
      <c r="AQ24" s="4322" t="n"/>
      <c r="AR24" s="4322" t="n"/>
      <c r="AS24" s="4326" t="n"/>
      <c r="AT24" s="4322" t="n"/>
      <c r="AU24" s="4322" t="n"/>
      <c r="AV24" s="4322" t="n"/>
      <c r="AW24" s="4322" t="n"/>
      <c r="AX24" s="4322" t="n"/>
      <c r="AY24" s="4322" t="n"/>
      <c r="AZ24" s="4322" t="n"/>
      <c r="BA24" s="4322" t="n"/>
      <c r="BB24" s="4322" t="n"/>
      <c r="BC24" s="4322" t="n"/>
      <c r="BD24" s="4322" t="n"/>
      <c r="BE24" s="4326" t="n"/>
      <c r="BF24" s="4322" t="n"/>
      <c r="BG24" s="4322" t="n"/>
      <c r="BH24" s="4322" t="n"/>
      <c r="BI24" s="4322" t="n"/>
      <c r="BJ24" s="4322" t="n"/>
      <c r="BK24" s="4327" t="n"/>
      <c r="BL24" s="4322" t="n"/>
      <c r="BM24" s="4322" t="n"/>
      <c r="BN24" s="4322" t="n"/>
      <c r="BO24" s="4322" t="n"/>
      <c r="BP24" s="4322" t="n"/>
      <c r="BQ24" s="4315" t="n"/>
      <c r="BR24" s="4328" t="n"/>
      <c r="BT24" s="4315" t="n"/>
      <c r="BU24" s="4315" t="n"/>
    </row>
    <row r="25" ht="12" customFormat="1" customHeight="1" s="4315">
      <c r="A25" s="4316" t="n"/>
      <c r="B25" s="4317" t="n"/>
      <c r="C25" s="4318" t="inlineStr">
        <is>
          <t>[Redacted]</t>
        </is>
      </c>
      <c r="D25" s="4319" t="n">
        <v>11260</v>
      </c>
      <c r="E25" s="4320" t="n"/>
      <c r="F25" s="4320" t="n"/>
      <c r="G25" s="4320" t="n"/>
      <c r="H25" s="4320" t="n"/>
      <c r="I25" s="4321" t="inlineStr">
        <is>
          <t>M</t>
        </is>
      </c>
      <c r="J25" s="4322" t="n"/>
      <c r="K25" s="4322" t="n"/>
      <c r="L25" s="4322" t="n"/>
      <c r="M25" s="4323" t="n"/>
      <c r="N25" s="4323" t="n"/>
      <c r="O25" s="4315" t="n"/>
      <c r="P25" s="4324" t="n"/>
      <c r="Q25" s="4324" t="n"/>
      <c r="R25" s="4324" t="n"/>
      <c r="S25" s="4325" t="n"/>
      <c r="T25" s="4325" t="n"/>
      <c r="U25" s="4315" t="n"/>
      <c r="V25" s="4322" t="n"/>
      <c r="W25" s="4322" t="n"/>
      <c r="X25" s="4322" t="n"/>
      <c r="Y25" s="4322" t="n"/>
      <c r="Z25" s="4322" t="n"/>
      <c r="AA25" s="4322" t="n"/>
      <c r="AB25" s="4322" t="n"/>
      <c r="AC25" s="4322" t="n"/>
      <c r="AD25" s="4322" t="n"/>
      <c r="AE25" s="4322" t="n"/>
      <c r="AF25" s="4322" t="n"/>
      <c r="AG25" s="4326" t="n"/>
      <c r="AH25" s="4322" t="n"/>
      <c r="AI25" s="4322" t="n"/>
      <c r="AJ25" s="4322" t="n"/>
      <c r="AK25" s="4322" t="n"/>
      <c r="AL25" s="4322" t="n"/>
      <c r="AM25" s="4322" t="n"/>
      <c r="AN25" s="4322" t="n"/>
      <c r="AO25" s="4322" t="n"/>
      <c r="AP25" s="4322" t="n"/>
      <c r="AQ25" s="4322" t="n"/>
      <c r="AR25" s="4322" t="n"/>
      <c r="AS25" s="4326" t="n"/>
      <c r="AT25" s="4322" t="n"/>
      <c r="AU25" s="4322" t="n"/>
      <c r="AV25" s="4322" t="n"/>
      <c r="AW25" s="4322" t="n"/>
      <c r="AX25" s="4322" t="n"/>
      <c r="AY25" s="4322" t="n"/>
      <c r="AZ25" s="4322" t="n"/>
      <c r="BA25" s="4322" t="n"/>
      <c r="BB25" s="4322" t="n"/>
      <c r="BC25" s="4322" t="n"/>
      <c r="BD25" s="4322" t="n"/>
      <c r="BE25" s="4326" t="n"/>
      <c r="BF25" s="4322" t="n"/>
      <c r="BG25" s="4322" t="n"/>
      <c r="BH25" s="4322" t="n"/>
      <c r="BI25" s="4322" t="n"/>
      <c r="BJ25" s="4322" t="n"/>
      <c r="BK25" s="4327" t="n"/>
      <c r="BL25" s="4322" t="n"/>
      <c r="BM25" s="4322" t="n"/>
      <c r="BN25" s="4322" t="n"/>
      <c r="BO25" s="4322" t="n"/>
      <c r="BP25" s="4322" t="n"/>
      <c r="BQ25" s="4315" t="n"/>
      <c r="BR25" s="4328" t="n"/>
      <c r="BT25" s="4315" t="n"/>
      <c r="BU25" s="4315" t="n"/>
    </row>
    <row r="26" ht="12" customFormat="1" customHeight="1" s="4315">
      <c r="A26" s="4316" t="n"/>
      <c r="B26" s="4317" t="n"/>
      <c r="C26" s="4318" t="inlineStr">
        <is>
          <t>[Redacted]</t>
        </is>
      </c>
      <c r="D26" s="4319" t="n">
        <v>11306</v>
      </c>
      <c r="E26" s="4320" t="n"/>
      <c r="F26" s="4320" t="n"/>
      <c r="G26" s="4320" t="n"/>
      <c r="H26" s="4320" t="n"/>
      <c r="I26" s="4321" t="inlineStr">
        <is>
          <t>M</t>
        </is>
      </c>
      <c r="J26" s="4322" t="n"/>
      <c r="K26" s="4322" t="n"/>
      <c r="L26" s="4322" t="n"/>
      <c r="M26" s="4323" t="n"/>
      <c r="N26" s="4323" t="n"/>
      <c r="O26" s="4315" t="n"/>
      <c r="P26" s="4324" t="n"/>
      <c r="Q26" s="4324" t="n"/>
      <c r="R26" s="4324" t="n"/>
      <c r="S26" s="4325" t="n"/>
      <c r="T26" s="4325" t="n"/>
      <c r="U26" s="4315" t="n"/>
      <c r="V26" s="4322" t="n"/>
      <c r="W26" s="4322" t="n"/>
      <c r="X26" s="4322" t="n"/>
      <c r="Y26" s="4322" t="n"/>
      <c r="Z26" s="4322" t="n"/>
      <c r="AA26" s="4322" t="n"/>
      <c r="AB26" s="4322" t="n"/>
      <c r="AC26" s="4322" t="n"/>
      <c r="AD26" s="4322" t="n"/>
      <c r="AE26" s="4322" t="n"/>
      <c r="AF26" s="4322" t="n"/>
      <c r="AG26" s="4326" t="n"/>
      <c r="AH26" s="4322" t="n"/>
      <c r="AI26" s="4322" t="n"/>
      <c r="AJ26" s="4322" t="n"/>
      <c r="AK26" s="4322" t="n"/>
      <c r="AL26" s="4322" t="n"/>
      <c r="AM26" s="4322" t="n"/>
      <c r="AN26" s="4322" t="n"/>
      <c r="AO26" s="4322" t="n"/>
      <c r="AP26" s="4322" t="n"/>
      <c r="AQ26" s="4322" t="n"/>
      <c r="AR26" s="4322" t="n"/>
      <c r="AS26" s="4326" t="n"/>
      <c r="AT26" s="4322" t="n"/>
      <c r="AU26" s="4322" t="n"/>
      <c r="AV26" s="4322" t="n"/>
      <c r="AW26" s="4322" t="n"/>
      <c r="AX26" s="4322" t="n"/>
      <c r="AY26" s="4322" t="n"/>
      <c r="AZ26" s="4322" t="n"/>
      <c r="BA26" s="4322" t="n"/>
      <c r="BB26" s="4322" t="n"/>
      <c r="BC26" s="4322" t="n"/>
      <c r="BD26" s="4322" t="n"/>
      <c r="BE26" s="4326" t="n"/>
      <c r="BF26" s="4322" t="n"/>
      <c r="BG26" s="4322" t="n"/>
      <c r="BH26" s="4322" t="n"/>
      <c r="BI26" s="4322" t="n"/>
      <c r="BJ26" s="4322" t="n"/>
      <c r="BK26" s="4327" t="n"/>
      <c r="BL26" s="4322" t="n"/>
      <c r="BM26" s="4322" t="n"/>
      <c r="BN26" s="4322" t="n"/>
      <c r="BO26" s="4322" t="n"/>
      <c r="BP26" s="4322" t="n"/>
      <c r="BQ26" s="4315" t="n"/>
      <c r="BR26" s="4328" t="n"/>
      <c r="BT26" s="4315" t="n"/>
      <c r="BU26" s="4315" t="n"/>
    </row>
    <row r="27" ht="12" customFormat="1" customHeight="1" s="4315">
      <c r="A27" s="4316" t="n"/>
      <c r="B27" s="4317" t="n"/>
      <c r="C27" s="4318" t="inlineStr">
        <is>
          <t>[Redacted]</t>
        </is>
      </c>
      <c r="D27" s="4319" t="n">
        <v>11230</v>
      </c>
      <c r="E27" s="4320" t="n"/>
      <c r="F27" s="4320" t="n"/>
      <c r="G27" s="4320" t="n"/>
      <c r="H27" s="4320" t="n"/>
      <c r="I27" s="4321" t="inlineStr">
        <is>
          <t>M</t>
        </is>
      </c>
      <c r="J27" s="4322" t="n"/>
      <c r="K27" s="4322" t="n"/>
      <c r="L27" s="4322" t="n"/>
      <c r="M27" s="4323" t="n"/>
      <c r="N27" s="4323" t="n"/>
      <c r="O27" s="4315" t="n"/>
      <c r="P27" s="4324" t="n"/>
      <c r="Q27" s="4324" t="n"/>
      <c r="R27" s="4324" t="n"/>
      <c r="S27" s="4325" t="n"/>
      <c r="T27" s="4325" t="n"/>
      <c r="U27" s="4315" t="n"/>
      <c r="V27" s="4322" t="n"/>
      <c r="W27" s="4322" t="n"/>
      <c r="X27" s="4322" t="n"/>
      <c r="Y27" s="4322" t="n"/>
      <c r="Z27" s="4322" t="n"/>
      <c r="AA27" s="4322" t="n"/>
      <c r="AB27" s="4322" t="n"/>
      <c r="AC27" s="4322" t="n"/>
      <c r="AD27" s="4322" t="n"/>
      <c r="AE27" s="4322" t="n"/>
      <c r="AF27" s="4322" t="n"/>
      <c r="AG27" s="4326" t="n"/>
      <c r="AH27" s="4322" t="n"/>
      <c r="AI27" s="4322" t="n"/>
      <c r="AJ27" s="4322" t="n"/>
      <c r="AK27" s="4322" t="n"/>
      <c r="AL27" s="4322" t="n"/>
      <c r="AM27" s="4322" t="n"/>
      <c r="AN27" s="4322" t="n"/>
      <c r="AO27" s="4322" t="n"/>
      <c r="AP27" s="4322" t="n"/>
      <c r="AQ27" s="4322" t="n"/>
      <c r="AR27" s="4322" t="n"/>
      <c r="AS27" s="4326" t="n"/>
      <c r="AT27" s="4322" t="n"/>
      <c r="AU27" s="4322" t="n"/>
      <c r="AV27" s="4322" t="n"/>
      <c r="AW27" s="4322" t="n"/>
      <c r="AX27" s="4322" t="n"/>
      <c r="AY27" s="4322" t="n"/>
      <c r="AZ27" s="4322" t="n"/>
      <c r="BA27" s="4322" t="n"/>
      <c r="BB27" s="4322" t="n"/>
      <c r="BC27" s="4322" t="n"/>
      <c r="BD27" s="4322" t="n"/>
      <c r="BE27" s="4326" t="n"/>
      <c r="BF27" s="4322" t="n"/>
      <c r="BG27" s="4322" t="n"/>
      <c r="BH27" s="4322" t="n"/>
      <c r="BI27" s="4322" t="n"/>
      <c r="BJ27" s="4322" t="n"/>
      <c r="BK27" s="4327" t="n"/>
      <c r="BL27" s="4322" t="n"/>
      <c r="BM27" s="4322" t="n"/>
      <c r="BN27" s="4322" t="n"/>
      <c r="BO27" s="4322" t="n"/>
      <c r="BP27" s="4322" t="n"/>
      <c r="BQ27" s="4315" t="n"/>
      <c r="BR27" s="4328" t="n"/>
      <c r="BT27" s="4315" t="n"/>
      <c r="BU27" s="4315" t="n"/>
    </row>
    <row r="28" ht="12" customFormat="1" customHeight="1" s="4315">
      <c r="A28" s="4316" t="n"/>
      <c r="B28" s="4317" t="n"/>
      <c r="C28" s="4318" t="inlineStr">
        <is>
          <t>[Redacted]</t>
        </is>
      </c>
      <c r="D28" s="4319" t="n">
        <v>11238</v>
      </c>
      <c r="E28" s="4320" t="n"/>
      <c r="F28" s="4320" t="n"/>
      <c r="G28" s="4320" t="n"/>
      <c r="H28" s="4320" t="n"/>
      <c r="I28" s="4321" t="inlineStr">
        <is>
          <t>M</t>
        </is>
      </c>
      <c r="J28" s="4322" t="n"/>
      <c r="K28" s="4322" t="n"/>
      <c r="L28" s="4322" t="n"/>
      <c r="M28" s="4323" t="n"/>
      <c r="N28" s="4323" t="n"/>
      <c r="O28" s="4315" t="n"/>
      <c r="P28" s="4324" t="n"/>
      <c r="Q28" s="4324" t="n"/>
      <c r="R28" s="4324" t="n"/>
      <c r="S28" s="4325" t="n"/>
      <c r="T28" s="4325" t="n"/>
      <c r="U28" s="4315" t="n"/>
      <c r="V28" s="4322" t="n"/>
      <c r="W28" s="4322" t="n"/>
      <c r="X28" s="4322" t="n"/>
      <c r="Y28" s="4322" t="n"/>
      <c r="Z28" s="4322" t="n"/>
      <c r="AA28" s="4322" t="n"/>
      <c r="AB28" s="4322" t="n"/>
      <c r="AC28" s="4322" t="n"/>
      <c r="AD28" s="4322" t="n"/>
      <c r="AE28" s="4322" t="n"/>
      <c r="AF28" s="4322" t="n"/>
      <c r="AG28" s="4326" t="n"/>
      <c r="AH28" s="4322" t="n"/>
      <c r="AI28" s="4322" t="n"/>
      <c r="AJ28" s="4322" t="n"/>
      <c r="AK28" s="4322" t="n"/>
      <c r="AL28" s="4322" t="n"/>
      <c r="AM28" s="4322" t="n"/>
      <c r="AN28" s="4322" t="n"/>
      <c r="AO28" s="4322" t="n"/>
      <c r="AP28" s="4322" t="n"/>
      <c r="AQ28" s="4322" t="n"/>
      <c r="AR28" s="4322" t="n"/>
      <c r="AS28" s="4326" t="n"/>
      <c r="AT28" s="4322" t="n"/>
      <c r="AU28" s="4322" t="n"/>
      <c r="AV28" s="4322" t="n"/>
      <c r="AW28" s="4322" t="n"/>
      <c r="AX28" s="4322" t="n"/>
      <c r="AY28" s="4322" t="n"/>
      <c r="AZ28" s="4322" t="n"/>
      <c r="BA28" s="4322" t="n"/>
      <c r="BB28" s="4322" t="n"/>
      <c r="BC28" s="4322" t="n"/>
      <c r="BD28" s="4322" t="n"/>
      <c r="BE28" s="4326" t="n"/>
      <c r="BF28" s="4322" t="n"/>
      <c r="BG28" s="4322" t="n"/>
      <c r="BH28" s="4322" t="n"/>
      <c r="BI28" s="4322" t="n"/>
      <c r="BJ28" s="4322" t="n"/>
      <c r="BK28" s="4327" t="n"/>
      <c r="BL28" s="4322" t="n"/>
      <c r="BM28" s="4322" t="n"/>
      <c r="BN28" s="4322" t="n"/>
      <c r="BO28" s="4322" t="n"/>
      <c r="BP28" s="4322" t="n"/>
      <c r="BQ28" s="4315" t="n"/>
      <c r="BR28" s="4328" t="n"/>
      <c r="BT28" s="4315" t="n"/>
      <c r="BU28" s="4315" t="n"/>
    </row>
    <row r="29" ht="12" customFormat="1" customHeight="1" s="4315">
      <c r="A29" s="4316" t="n"/>
      <c r="B29" s="4317" t="n"/>
      <c r="C29" s="4318" t="inlineStr">
        <is>
          <t>[Redacted]</t>
        </is>
      </c>
      <c r="D29" s="4319" t="n">
        <v>11102</v>
      </c>
      <c r="E29" s="4320" t="n"/>
      <c r="F29" s="4320" t="n"/>
      <c r="G29" s="4320" t="n"/>
      <c r="H29" s="4320" t="n"/>
      <c r="I29" s="4321" t="inlineStr">
        <is>
          <t>F</t>
        </is>
      </c>
      <c r="J29" s="4322" t="n"/>
      <c r="K29" s="4322" t="n"/>
      <c r="L29" s="4322" t="n"/>
      <c r="M29" s="4323" t="n"/>
      <c r="N29" s="4323" t="n"/>
      <c r="O29" s="4315" t="n"/>
      <c r="P29" s="4324" t="n"/>
      <c r="Q29" s="4324" t="n"/>
      <c r="R29" s="4324" t="n"/>
      <c r="S29" s="4325" t="n"/>
      <c r="T29" s="4325" t="n"/>
      <c r="U29" s="4315" t="n"/>
      <c r="V29" s="4322" t="n"/>
      <c r="W29" s="4322" t="n"/>
      <c r="X29" s="4322" t="n"/>
      <c r="Y29" s="4322" t="n"/>
      <c r="Z29" s="4322" t="n"/>
      <c r="AA29" s="4322" t="n"/>
      <c r="AB29" s="4322" t="n"/>
      <c r="AC29" s="4322" t="n"/>
      <c r="AD29" s="4322" t="n"/>
      <c r="AE29" s="4322" t="n"/>
      <c r="AF29" s="4322" t="n"/>
      <c r="AG29" s="4326" t="n"/>
      <c r="AH29" s="4322" t="n"/>
      <c r="AI29" s="4322" t="n"/>
      <c r="AJ29" s="4322" t="n"/>
      <c r="AK29" s="4322" t="n"/>
      <c r="AL29" s="4322" t="n"/>
      <c r="AM29" s="4322" t="n"/>
      <c r="AN29" s="4322" t="n"/>
      <c r="AO29" s="4322" t="n"/>
      <c r="AP29" s="4322" t="n"/>
      <c r="AQ29" s="4322" t="n"/>
      <c r="AR29" s="4322" t="n"/>
      <c r="AS29" s="4326" t="n"/>
      <c r="AT29" s="4322" t="n"/>
      <c r="AU29" s="4322" t="n"/>
      <c r="AV29" s="4322" t="n"/>
      <c r="AW29" s="4322" t="n"/>
      <c r="AX29" s="4322" t="n"/>
      <c r="AY29" s="4322" t="n"/>
      <c r="AZ29" s="4322" t="n"/>
      <c r="BA29" s="4322" t="n"/>
      <c r="BB29" s="4322" t="n"/>
      <c r="BC29" s="4322" t="n"/>
      <c r="BD29" s="4322" t="n"/>
      <c r="BE29" s="4326" t="n"/>
      <c r="BF29" s="4322" t="n"/>
      <c r="BG29" s="4322" t="n"/>
      <c r="BH29" s="4322" t="n"/>
      <c r="BI29" s="4322" t="n"/>
      <c r="BJ29" s="4322" t="n"/>
      <c r="BK29" s="4327" t="n"/>
      <c r="BL29" s="4322" t="n"/>
      <c r="BM29" s="4322" t="n"/>
      <c r="BN29" s="4322" t="n"/>
      <c r="BO29" s="4322" t="n"/>
      <c r="BP29" s="4322" t="n"/>
      <c r="BQ29" s="4315" t="n"/>
      <c r="BR29" s="4328" t="n"/>
      <c r="BT29" s="4315" t="n"/>
      <c r="BU29" s="4315" t="n"/>
    </row>
    <row r="30" ht="12" customFormat="1" customHeight="1" s="4315">
      <c r="A30" s="4316" t="n"/>
      <c r="B30" s="4317" t="n"/>
      <c r="C30" s="4318" t="inlineStr">
        <is>
          <t>[Redacted]</t>
        </is>
      </c>
      <c r="D30" s="4319" t="n">
        <v>11336</v>
      </c>
      <c r="E30" s="4320" t="n"/>
      <c r="F30" s="4320" t="n"/>
      <c r="G30" s="4320" t="n"/>
      <c r="H30" s="4320" t="n"/>
      <c r="I30" s="4321" t="inlineStr">
        <is>
          <t>M</t>
        </is>
      </c>
      <c r="J30" s="4322" t="n"/>
      <c r="K30" s="4322" t="n"/>
      <c r="L30" s="4322" t="n"/>
      <c r="M30" s="4323" t="n"/>
      <c r="N30" s="4323" t="n"/>
      <c r="O30" s="4315" t="n"/>
      <c r="P30" s="4324" t="n"/>
      <c r="Q30" s="4324" t="n"/>
      <c r="R30" s="4324" t="n"/>
      <c r="S30" s="4325" t="n"/>
      <c r="T30" s="4325" t="n"/>
      <c r="U30" s="4315" t="n"/>
      <c r="V30" s="4322" t="n"/>
      <c r="W30" s="4322" t="n"/>
      <c r="X30" s="4322" t="n"/>
      <c r="Y30" s="4322" t="n"/>
      <c r="Z30" s="4322" t="n"/>
      <c r="AA30" s="4322" t="n"/>
      <c r="AB30" s="4322" t="n"/>
      <c r="AC30" s="4322" t="n"/>
      <c r="AD30" s="4322" t="n"/>
      <c r="AE30" s="4322" t="n"/>
      <c r="AF30" s="4322" t="n"/>
      <c r="AG30" s="4326" t="n"/>
      <c r="AH30" s="4322" t="n"/>
      <c r="AI30" s="4322" t="n"/>
      <c r="AJ30" s="4322" t="n"/>
      <c r="AK30" s="4322" t="n"/>
      <c r="AL30" s="4322" t="n"/>
      <c r="AM30" s="4322" t="n"/>
      <c r="AN30" s="4322" t="n"/>
      <c r="AO30" s="4322" t="n"/>
      <c r="AP30" s="4322" t="n"/>
      <c r="AQ30" s="4322" t="n"/>
      <c r="AR30" s="4322" t="n"/>
      <c r="AS30" s="4326" t="n"/>
      <c r="AT30" s="4322" t="n"/>
      <c r="AU30" s="4322" t="n"/>
      <c r="AV30" s="4322" t="n"/>
      <c r="AW30" s="4322" t="n"/>
      <c r="AX30" s="4322" t="n"/>
      <c r="AY30" s="4322" t="n"/>
      <c r="AZ30" s="4322" t="n"/>
      <c r="BA30" s="4322" t="n"/>
      <c r="BB30" s="4322" t="n"/>
      <c r="BC30" s="4322" t="n"/>
      <c r="BD30" s="4322" t="n"/>
      <c r="BE30" s="4326" t="n"/>
      <c r="BF30" s="4322" t="n"/>
      <c r="BG30" s="4322" t="n"/>
      <c r="BH30" s="4322" t="n"/>
      <c r="BI30" s="4322" t="n"/>
      <c r="BJ30" s="4322" t="n"/>
      <c r="BK30" s="4327" t="n"/>
      <c r="BL30" s="4322" t="n"/>
      <c r="BM30" s="4322" t="n"/>
      <c r="BN30" s="4322" t="n"/>
      <c r="BO30" s="4322" t="n"/>
      <c r="BP30" s="4322" t="n"/>
      <c r="BQ30" s="4315" t="n"/>
      <c r="BR30" s="4328" t="n"/>
      <c r="BT30" s="4315" t="n"/>
      <c r="BU30" s="4315" t="n"/>
    </row>
    <row r="31" ht="12" customFormat="1" customHeight="1" s="4315">
      <c r="A31" s="4316" t="n"/>
      <c r="B31" s="4317" t="n"/>
      <c r="C31" s="4318" t="inlineStr">
        <is>
          <t>[Redacted]</t>
        </is>
      </c>
      <c r="D31" s="4319" t="n">
        <v>11162</v>
      </c>
      <c r="E31" s="4320" t="n"/>
      <c r="F31" s="4320" t="n"/>
      <c r="G31" s="4320" t="n"/>
      <c r="H31" s="4320" t="n"/>
      <c r="I31" s="4321" t="inlineStr">
        <is>
          <t>M</t>
        </is>
      </c>
      <c r="J31" s="4322" t="n"/>
      <c r="K31" s="4322" t="n"/>
      <c r="L31" s="4322" t="n"/>
      <c r="M31" s="4323" t="n"/>
      <c r="N31" s="4323" t="n"/>
      <c r="O31" s="4315" t="n"/>
      <c r="P31" s="4324" t="n"/>
      <c r="Q31" s="4324" t="n"/>
      <c r="R31" s="4324" t="n"/>
      <c r="S31" s="4325" t="n"/>
      <c r="T31" s="4325" t="n"/>
      <c r="U31" s="4315" t="n"/>
      <c r="V31" s="4322" t="n"/>
      <c r="W31" s="4322" t="n"/>
      <c r="X31" s="4322" t="n"/>
      <c r="Y31" s="4322" t="n"/>
      <c r="Z31" s="4322" t="n"/>
      <c r="AA31" s="4322" t="n"/>
      <c r="AB31" s="4322" t="n"/>
      <c r="AC31" s="4322" t="n"/>
      <c r="AD31" s="4322" t="n"/>
      <c r="AE31" s="4322" t="n"/>
      <c r="AF31" s="4322" t="n"/>
      <c r="AG31" s="4326" t="n"/>
      <c r="AH31" s="4322" t="n"/>
      <c r="AI31" s="4322" t="n"/>
      <c r="AJ31" s="4322" t="n"/>
      <c r="AK31" s="4322" t="n"/>
      <c r="AL31" s="4322" t="n"/>
      <c r="AM31" s="4322" t="n"/>
      <c r="AN31" s="4322" t="n"/>
      <c r="AO31" s="4322" t="n"/>
      <c r="AP31" s="4322" t="n"/>
      <c r="AQ31" s="4322" t="n"/>
      <c r="AR31" s="4322" t="n"/>
      <c r="AS31" s="4326" t="n"/>
      <c r="AT31" s="4322" t="n"/>
      <c r="AU31" s="4322" t="n"/>
      <c r="AV31" s="4322" t="n"/>
      <c r="AW31" s="4322" t="n"/>
      <c r="AX31" s="4322" t="n"/>
      <c r="AY31" s="4322" t="n"/>
      <c r="AZ31" s="4322" t="n"/>
      <c r="BA31" s="4322" t="n"/>
      <c r="BB31" s="4322" t="n"/>
      <c r="BC31" s="4322" t="n"/>
      <c r="BD31" s="4322" t="n"/>
      <c r="BE31" s="4326" t="n"/>
      <c r="BF31" s="4322" t="n"/>
      <c r="BG31" s="4322" t="n"/>
      <c r="BH31" s="4322" t="n"/>
      <c r="BI31" s="4322" t="n"/>
      <c r="BJ31" s="4322" t="n"/>
      <c r="BK31" s="4327" t="n"/>
      <c r="BL31" s="4322" t="n"/>
      <c r="BM31" s="4322" t="n"/>
      <c r="BN31" s="4322" t="n"/>
      <c r="BO31" s="4322" t="n"/>
      <c r="BP31" s="4322" t="n"/>
      <c r="BQ31" s="4315" t="n"/>
      <c r="BR31" s="4328" t="n"/>
      <c r="BT31" s="4315" t="n"/>
      <c r="BU31" s="4315" t="n"/>
    </row>
    <row r="32" ht="12" customFormat="1" customHeight="1" s="4315">
      <c r="A32" s="4316" t="n"/>
      <c r="B32" s="4317" t="n"/>
      <c r="C32" s="4318" t="inlineStr">
        <is>
          <t>[Redacted]</t>
        </is>
      </c>
      <c r="D32" s="4319" t="n">
        <v>11227</v>
      </c>
      <c r="E32" s="4320" t="n"/>
      <c r="F32" s="4320" t="n"/>
      <c r="G32" s="4320" t="n"/>
      <c r="H32" s="4320" t="n"/>
      <c r="I32" s="4321" t="inlineStr">
        <is>
          <t>M</t>
        </is>
      </c>
      <c r="J32" s="4322" t="n"/>
      <c r="K32" s="4322" t="n"/>
      <c r="L32" s="4322" t="n"/>
      <c r="M32" s="4323" t="n"/>
      <c r="N32" s="4323" t="n"/>
      <c r="O32" s="4315" t="n"/>
      <c r="P32" s="4324" t="n"/>
      <c r="Q32" s="4324" t="n"/>
      <c r="R32" s="4324" t="n"/>
      <c r="S32" s="4325" t="n"/>
      <c r="T32" s="4325" t="n"/>
      <c r="U32" s="4315" t="n"/>
      <c r="V32" s="4322" t="n"/>
      <c r="W32" s="4322" t="n"/>
      <c r="X32" s="4322" t="n"/>
      <c r="Y32" s="4322" t="n"/>
      <c r="Z32" s="4322" t="n"/>
      <c r="AA32" s="4322" t="n"/>
      <c r="AB32" s="4322" t="n"/>
      <c r="AC32" s="4322" t="n"/>
      <c r="AD32" s="4322" t="n"/>
      <c r="AE32" s="4322" t="n"/>
      <c r="AF32" s="4322" t="n"/>
      <c r="AG32" s="4326" t="n"/>
      <c r="AH32" s="4322" t="n"/>
      <c r="AI32" s="4322" t="n"/>
      <c r="AJ32" s="4322" t="n"/>
      <c r="AK32" s="4322" t="n"/>
      <c r="AL32" s="4322" t="n"/>
      <c r="AM32" s="4322" t="n"/>
      <c r="AN32" s="4322" t="n"/>
      <c r="AO32" s="4322" t="n"/>
      <c r="AP32" s="4322" t="n"/>
      <c r="AQ32" s="4322" t="n"/>
      <c r="AR32" s="4322" t="n"/>
      <c r="AS32" s="4326" t="n"/>
      <c r="AT32" s="4322" t="n"/>
      <c r="AU32" s="4322" t="n"/>
      <c r="AV32" s="4322" t="n"/>
      <c r="AW32" s="4322" t="n"/>
      <c r="AX32" s="4322" t="n"/>
      <c r="AY32" s="4322" t="n"/>
      <c r="AZ32" s="4322" t="n"/>
      <c r="BA32" s="4322" t="n"/>
      <c r="BB32" s="4322" t="n"/>
      <c r="BC32" s="4322" t="n"/>
      <c r="BD32" s="4322" t="n"/>
      <c r="BE32" s="4326" t="n"/>
      <c r="BF32" s="4322" t="n"/>
      <c r="BG32" s="4322" t="n"/>
      <c r="BH32" s="4322" t="n"/>
      <c r="BI32" s="4322" t="n"/>
      <c r="BJ32" s="4322" t="n"/>
      <c r="BK32" s="4327" t="n"/>
      <c r="BL32" s="4322" t="n"/>
      <c r="BM32" s="4322" t="n"/>
      <c r="BN32" s="4322" t="n"/>
      <c r="BO32" s="4322" t="n"/>
      <c r="BP32" s="4322" t="n"/>
      <c r="BQ32" s="4315" t="n"/>
      <c r="BR32" s="4328" t="n"/>
      <c r="BT32" s="4315" t="n"/>
      <c r="BU32" s="4315" t="n"/>
    </row>
    <row r="33" ht="12" customFormat="1" customHeight="1" s="4315">
      <c r="A33" s="4316" t="n"/>
      <c r="B33" s="4317" t="n"/>
      <c r="C33" s="4318" t="inlineStr">
        <is>
          <t>[Redacted]</t>
        </is>
      </c>
      <c r="D33" s="4319" t="n">
        <v>11203</v>
      </c>
      <c r="E33" s="4320" t="n"/>
      <c r="F33" s="4320" t="n"/>
      <c r="G33" s="4320" t="n"/>
      <c r="H33" s="4320" t="n"/>
      <c r="I33" s="4321" t="inlineStr">
        <is>
          <t>M</t>
        </is>
      </c>
      <c r="J33" s="4322" t="n"/>
      <c r="K33" s="4322" t="n"/>
      <c r="L33" s="4322" t="n"/>
      <c r="M33" s="4323" t="n"/>
      <c r="N33" s="4323" t="n"/>
      <c r="O33" s="4315" t="n"/>
      <c r="P33" s="4324" t="n"/>
      <c r="Q33" s="4324" t="n"/>
      <c r="R33" s="4324" t="n"/>
      <c r="S33" s="4325" t="n"/>
      <c r="T33" s="4325" t="n"/>
      <c r="U33" s="4315" t="n"/>
      <c r="V33" s="4322" t="n"/>
      <c r="W33" s="4322" t="n"/>
      <c r="X33" s="4322" t="n"/>
      <c r="Y33" s="4322" t="n"/>
      <c r="Z33" s="4322" t="n"/>
      <c r="AA33" s="4322" t="n"/>
      <c r="AB33" s="4322" t="n"/>
      <c r="AC33" s="4322" t="n"/>
      <c r="AD33" s="4322" t="n"/>
      <c r="AE33" s="4322" t="n"/>
      <c r="AF33" s="4322" t="n"/>
      <c r="AG33" s="4326" t="n"/>
      <c r="AH33" s="4322" t="n"/>
      <c r="AI33" s="4322" t="n"/>
      <c r="AJ33" s="4322" t="n"/>
      <c r="AK33" s="4322" t="n"/>
      <c r="AL33" s="4322" t="n"/>
      <c r="AM33" s="4322" t="n"/>
      <c r="AN33" s="4322" t="n"/>
      <c r="AO33" s="4322" t="n"/>
      <c r="AP33" s="4322" t="n"/>
      <c r="AQ33" s="4322" t="n"/>
      <c r="AR33" s="4322" t="n"/>
      <c r="AS33" s="4326" t="n"/>
      <c r="AT33" s="4322" t="n"/>
      <c r="AU33" s="4322" t="n"/>
      <c r="AV33" s="4322" t="n"/>
      <c r="AW33" s="4322" t="n"/>
      <c r="AX33" s="4322" t="n"/>
      <c r="AY33" s="4322" t="n"/>
      <c r="AZ33" s="4322" t="n"/>
      <c r="BA33" s="4322" t="n"/>
      <c r="BB33" s="4322" t="n"/>
      <c r="BC33" s="4322" t="n"/>
      <c r="BD33" s="4322" t="n"/>
      <c r="BE33" s="4326" t="n"/>
      <c r="BF33" s="4322" t="n"/>
      <c r="BG33" s="4322" t="n"/>
      <c r="BH33" s="4322" t="n"/>
      <c r="BI33" s="4322" t="n"/>
      <c r="BJ33" s="4322" t="n"/>
      <c r="BK33" s="4327" t="n"/>
      <c r="BL33" s="4322" t="n"/>
      <c r="BM33" s="4322" t="n"/>
      <c r="BN33" s="4322" t="n"/>
      <c r="BO33" s="4322" t="n"/>
      <c r="BP33" s="4322" t="n"/>
      <c r="BQ33" s="4315" t="n"/>
      <c r="BR33" s="4328" t="n"/>
      <c r="BT33" s="4315" t="n"/>
      <c r="BU33" s="4315" t="n"/>
    </row>
    <row r="34" ht="12" customFormat="1" customHeight="1" s="4315">
      <c r="A34" s="4316" t="n"/>
      <c r="B34" s="4317" t="n"/>
      <c r="C34" s="4318" t="inlineStr">
        <is>
          <t>[Redacted]</t>
        </is>
      </c>
      <c r="D34" s="4319" t="n">
        <v>11016</v>
      </c>
      <c r="E34" s="4320" t="n"/>
      <c r="F34" s="4320" t="n"/>
      <c r="G34" s="4320" t="n"/>
      <c r="H34" s="4320" t="n"/>
      <c r="I34" s="4321" t="inlineStr">
        <is>
          <t>M</t>
        </is>
      </c>
      <c r="J34" s="4322" t="n"/>
      <c r="K34" s="4322" t="n"/>
      <c r="L34" s="4322" t="n"/>
      <c r="M34" s="4323" t="n"/>
      <c r="N34" s="4323" t="n"/>
      <c r="O34" s="4315" t="n"/>
      <c r="P34" s="4324" t="n"/>
      <c r="Q34" s="4324" t="n"/>
      <c r="R34" s="4324" t="n"/>
      <c r="S34" s="4325" t="n"/>
      <c r="T34" s="4325" t="n"/>
      <c r="U34" s="4315" t="n"/>
      <c r="V34" s="4322" t="n"/>
      <c r="W34" s="4322" t="n"/>
      <c r="X34" s="4322" t="n"/>
      <c r="Y34" s="4322" t="n"/>
      <c r="Z34" s="4322" t="n"/>
      <c r="AA34" s="4322" t="n"/>
      <c r="AB34" s="4322" t="n"/>
      <c r="AC34" s="4322" t="n"/>
      <c r="AD34" s="4322" t="n"/>
      <c r="AE34" s="4322" t="n"/>
      <c r="AF34" s="4322" t="n"/>
      <c r="AG34" s="4326" t="n"/>
      <c r="AH34" s="4322" t="n"/>
      <c r="AI34" s="4322" t="n"/>
      <c r="AJ34" s="4322" t="n"/>
      <c r="AK34" s="4322" t="n"/>
      <c r="AL34" s="4322" t="n"/>
      <c r="AM34" s="4322" t="n"/>
      <c r="AN34" s="4322" t="n"/>
      <c r="AO34" s="4322" t="n"/>
      <c r="AP34" s="4322" t="n"/>
      <c r="AQ34" s="4322" t="n"/>
      <c r="AR34" s="4322" t="n"/>
      <c r="AS34" s="4326" t="n"/>
      <c r="AT34" s="4322" t="n"/>
      <c r="AU34" s="4322" t="n"/>
      <c r="AV34" s="4322" t="n"/>
      <c r="AW34" s="4322" t="n"/>
      <c r="AX34" s="4322" t="n"/>
      <c r="AY34" s="4322" t="n"/>
      <c r="AZ34" s="4322" t="n"/>
      <c r="BA34" s="4322" t="n"/>
      <c r="BB34" s="4322" t="n"/>
      <c r="BC34" s="4322" t="n"/>
      <c r="BD34" s="4322" t="n"/>
      <c r="BE34" s="4326" t="n"/>
      <c r="BF34" s="4322" t="n"/>
      <c r="BG34" s="4322" t="n"/>
      <c r="BH34" s="4322" t="n"/>
      <c r="BI34" s="4322" t="n"/>
      <c r="BJ34" s="4322" t="n"/>
      <c r="BK34" s="4327" t="n"/>
      <c r="BL34" s="4322" t="n"/>
      <c r="BM34" s="4322" t="n"/>
      <c r="BN34" s="4322" t="n"/>
      <c r="BO34" s="4322" t="n"/>
      <c r="BP34" s="4322" t="n"/>
      <c r="BQ34" s="4315" t="n"/>
      <c r="BR34" s="4328" t="n"/>
      <c r="BT34" s="4315" t="n"/>
      <c r="BU34" s="4315" t="n"/>
    </row>
    <row r="35" ht="12" customFormat="1" customHeight="1" s="4315">
      <c r="A35" s="4316" t="n"/>
      <c r="B35" s="4317" t="n"/>
      <c r="C35" s="4318" t="inlineStr">
        <is>
          <t>[Redacted]</t>
        </is>
      </c>
      <c r="D35" s="4319" t="n">
        <v>11005</v>
      </c>
      <c r="E35" s="4320" t="n"/>
      <c r="F35" s="4320" t="n"/>
      <c r="G35" s="4320" t="n"/>
      <c r="H35" s="4320" t="n"/>
      <c r="I35" s="4321" t="inlineStr">
        <is>
          <t>F</t>
        </is>
      </c>
      <c r="J35" s="4322" t="n"/>
      <c r="K35" s="4322" t="n"/>
      <c r="L35" s="4322" t="n"/>
      <c r="M35" s="4323" t="n"/>
      <c r="N35" s="4323" t="n"/>
      <c r="O35" s="4315" t="n"/>
      <c r="P35" s="4324" t="n"/>
      <c r="Q35" s="4324" t="n"/>
      <c r="R35" s="4324" t="n"/>
      <c r="S35" s="4325" t="n"/>
      <c r="T35" s="4325" t="n"/>
      <c r="U35" s="4315" t="n"/>
      <c r="V35" s="4322" t="n"/>
      <c r="W35" s="4322" t="n"/>
      <c r="X35" s="4322" t="n"/>
      <c r="Y35" s="4322" t="n"/>
      <c r="Z35" s="4322" t="n"/>
      <c r="AA35" s="4322" t="n"/>
      <c r="AB35" s="4322" t="n"/>
      <c r="AC35" s="4322" t="n"/>
      <c r="AD35" s="4322" t="n"/>
      <c r="AE35" s="4322" t="n"/>
      <c r="AF35" s="4322" t="n"/>
      <c r="AG35" s="4326" t="n"/>
      <c r="AH35" s="4322" t="n"/>
      <c r="AI35" s="4322" t="n"/>
      <c r="AJ35" s="4322" t="n"/>
      <c r="AK35" s="4322" t="n"/>
      <c r="AL35" s="4322" t="n"/>
      <c r="AM35" s="4322" t="n"/>
      <c r="AN35" s="4322" t="n"/>
      <c r="AO35" s="4322" t="n"/>
      <c r="AP35" s="4322" t="n"/>
      <c r="AQ35" s="4322" t="n"/>
      <c r="AR35" s="4322" t="n"/>
      <c r="AS35" s="4326" t="n"/>
      <c r="AT35" s="4322" t="n"/>
      <c r="AU35" s="4322" t="n"/>
      <c r="AV35" s="4322" t="n"/>
      <c r="AW35" s="4322" t="n"/>
      <c r="AX35" s="4322" t="n"/>
      <c r="AY35" s="4322" t="n"/>
      <c r="AZ35" s="4322" t="n"/>
      <c r="BA35" s="4322" t="n"/>
      <c r="BB35" s="4322" t="n"/>
      <c r="BC35" s="4322" t="n"/>
      <c r="BD35" s="4322" t="n"/>
      <c r="BE35" s="4326" t="n"/>
      <c r="BF35" s="4322" t="n"/>
      <c r="BG35" s="4322" t="n"/>
      <c r="BH35" s="4322" t="n"/>
      <c r="BI35" s="4322" t="n"/>
      <c r="BJ35" s="4322" t="n"/>
      <c r="BK35" s="4327" t="n"/>
      <c r="BL35" s="4322" t="n"/>
      <c r="BM35" s="4322" t="n"/>
      <c r="BN35" s="4322" t="n"/>
      <c r="BO35" s="4322" t="n"/>
      <c r="BP35" s="4322" t="n"/>
      <c r="BQ35" s="4315" t="n"/>
      <c r="BR35" s="4328" t="n"/>
      <c r="BT35" s="4315" t="n"/>
      <c r="BU35" s="4315" t="n"/>
    </row>
    <row r="36" ht="12" customFormat="1" customHeight="1" s="4315">
      <c r="A36" s="4316" t="n"/>
      <c r="B36" s="4317" t="n"/>
      <c r="C36" s="4318" t="inlineStr">
        <is>
          <t>[Redacted]</t>
        </is>
      </c>
      <c r="D36" s="4319" t="n">
        <v>11168</v>
      </c>
      <c r="E36" s="4320" t="n"/>
      <c r="F36" s="4320" t="n"/>
      <c r="G36" s="4320" t="n"/>
      <c r="H36" s="4320" t="n"/>
      <c r="I36" s="4321" t="inlineStr">
        <is>
          <t>F</t>
        </is>
      </c>
      <c r="J36" s="4322" t="n"/>
      <c r="K36" s="4322" t="n"/>
      <c r="L36" s="4322" t="n"/>
      <c r="M36" s="4323" t="n"/>
      <c r="N36" s="4323" t="n"/>
      <c r="O36" s="4315" t="n"/>
      <c r="P36" s="4324" t="n"/>
      <c r="Q36" s="4324" t="n"/>
      <c r="R36" s="4324" t="n"/>
      <c r="S36" s="4325" t="n"/>
      <c r="T36" s="4325" t="n"/>
      <c r="U36" s="4315" t="n"/>
      <c r="V36" s="4322" t="n"/>
      <c r="W36" s="4322" t="n"/>
      <c r="X36" s="4322" t="n"/>
      <c r="Y36" s="4322" t="n"/>
      <c r="Z36" s="4322" t="n"/>
      <c r="AA36" s="4322" t="n"/>
      <c r="AB36" s="4322" t="n"/>
      <c r="AC36" s="4322" t="n"/>
      <c r="AD36" s="4322" t="n"/>
      <c r="AE36" s="4322" t="n"/>
      <c r="AF36" s="4322" t="n"/>
      <c r="AG36" s="4326" t="n"/>
      <c r="AH36" s="4322" t="n"/>
      <c r="AI36" s="4322" t="n"/>
      <c r="AJ36" s="4322" t="n"/>
      <c r="AK36" s="4322" t="n"/>
      <c r="AL36" s="4322" t="n"/>
      <c r="AM36" s="4322" t="n"/>
      <c r="AN36" s="4322" t="n"/>
      <c r="AO36" s="4322" t="n"/>
      <c r="AP36" s="4322" t="n"/>
      <c r="AQ36" s="4322" t="n"/>
      <c r="AR36" s="4322" t="n"/>
      <c r="AS36" s="4326" t="n"/>
      <c r="AT36" s="4322" t="n"/>
      <c r="AU36" s="4322" t="n"/>
      <c r="AV36" s="4322" t="n"/>
      <c r="AW36" s="4322" t="n"/>
      <c r="AX36" s="4322" t="n"/>
      <c r="AY36" s="4322" t="n"/>
      <c r="AZ36" s="4322" t="n"/>
      <c r="BA36" s="4322" t="n"/>
      <c r="BB36" s="4322" t="n"/>
      <c r="BC36" s="4322" t="n"/>
      <c r="BD36" s="4322" t="n"/>
      <c r="BE36" s="4326" t="n"/>
      <c r="BF36" s="4322" t="n"/>
      <c r="BG36" s="4322" t="n"/>
      <c r="BH36" s="4322" t="n"/>
      <c r="BI36" s="4322" t="n"/>
      <c r="BJ36" s="4322" t="n"/>
      <c r="BK36" s="4327" t="n"/>
      <c r="BL36" s="4322" t="n"/>
      <c r="BM36" s="4322" t="n"/>
      <c r="BN36" s="4322" t="n"/>
      <c r="BO36" s="4322" t="n"/>
      <c r="BP36" s="4322" t="n"/>
      <c r="BQ36" s="4315" t="n"/>
      <c r="BR36" s="4328" t="n"/>
      <c r="BT36" s="4315" t="n"/>
      <c r="BU36" s="4315" t="n"/>
    </row>
    <row r="37" ht="12" customFormat="1" customHeight="1" s="4315">
      <c r="A37" s="4316" t="n"/>
      <c r="B37" s="4317" t="n"/>
      <c r="C37" s="4318" t="inlineStr">
        <is>
          <t>[Redacted]</t>
        </is>
      </c>
      <c r="D37" s="4319" t="n">
        <v>11371</v>
      </c>
      <c r="E37" s="4320" t="n"/>
      <c r="F37" s="4320" t="n"/>
      <c r="G37" s="4320" t="n"/>
      <c r="H37" s="4320" t="n"/>
      <c r="I37" s="4321" t="inlineStr">
        <is>
          <t>F</t>
        </is>
      </c>
      <c r="J37" s="4322" t="n"/>
      <c r="K37" s="4322" t="n"/>
      <c r="L37" s="4322" t="n"/>
      <c r="M37" s="4323" t="n"/>
      <c r="N37" s="4323" t="n"/>
      <c r="O37" s="4315" t="n"/>
      <c r="P37" s="4324" t="n"/>
      <c r="Q37" s="4324" t="n"/>
      <c r="R37" s="4324" t="n"/>
      <c r="S37" s="4325" t="n"/>
      <c r="T37" s="4325" t="n"/>
      <c r="U37" s="4315" t="n"/>
      <c r="V37" s="4322" t="n"/>
      <c r="W37" s="4322" t="n"/>
      <c r="X37" s="4322" t="n"/>
      <c r="Y37" s="4322" t="n"/>
      <c r="Z37" s="4322" t="n"/>
      <c r="AA37" s="4322" t="n"/>
      <c r="AB37" s="4322" t="n"/>
      <c r="AC37" s="4322" t="n"/>
      <c r="AD37" s="4322" t="n"/>
      <c r="AE37" s="4322" t="n"/>
      <c r="AF37" s="4322" t="n"/>
      <c r="AG37" s="4326" t="n"/>
      <c r="AH37" s="4322" t="n"/>
      <c r="AI37" s="4322" t="n"/>
      <c r="AJ37" s="4322" t="n"/>
      <c r="AK37" s="4322" t="n"/>
      <c r="AL37" s="4322" t="n"/>
      <c r="AM37" s="4322" t="n"/>
      <c r="AN37" s="4322" t="n"/>
      <c r="AO37" s="4322" t="n"/>
      <c r="AP37" s="4322" t="n"/>
      <c r="AQ37" s="4322" t="n"/>
      <c r="AR37" s="4322" t="n"/>
      <c r="AS37" s="4326" t="n"/>
      <c r="AT37" s="4322" t="n"/>
      <c r="AU37" s="4322" t="n"/>
      <c r="AV37" s="4322" t="n"/>
      <c r="AW37" s="4322" t="n"/>
      <c r="AX37" s="4322" t="n"/>
      <c r="AY37" s="4322" t="n"/>
      <c r="AZ37" s="4322" t="n"/>
      <c r="BA37" s="4322" t="n"/>
      <c r="BB37" s="4322" t="n"/>
      <c r="BC37" s="4322" t="n"/>
      <c r="BD37" s="4322" t="n"/>
      <c r="BE37" s="4326" t="n"/>
      <c r="BF37" s="4322" t="n"/>
      <c r="BG37" s="4322" t="n"/>
      <c r="BH37" s="4322" t="n"/>
      <c r="BI37" s="4322" t="n"/>
      <c r="BJ37" s="4322" t="n"/>
      <c r="BK37" s="4327" t="n"/>
      <c r="BL37" s="4322" t="n"/>
      <c r="BM37" s="4322" t="n"/>
      <c r="BN37" s="4322" t="n"/>
      <c r="BO37" s="4322" t="n"/>
      <c r="BP37" s="4322" t="n"/>
      <c r="BQ37" s="4315" t="n"/>
      <c r="BR37" s="4328" t="n"/>
      <c r="BT37" s="4315" t="n"/>
      <c r="BU37" s="4315" t="n"/>
    </row>
    <row r="38" ht="12" customFormat="1" customHeight="1" s="4315">
      <c r="A38" s="4316" t="n"/>
      <c r="B38" s="4317" t="n"/>
      <c r="C38" s="4318" t="inlineStr">
        <is>
          <t>[Redacted]</t>
        </is>
      </c>
      <c r="D38" s="4319" t="n">
        <v>11285</v>
      </c>
      <c r="E38" s="4320" t="n"/>
      <c r="F38" s="4320" t="n"/>
      <c r="G38" s="4320" t="n"/>
      <c r="H38" s="4320" t="n"/>
      <c r="I38" s="4321" t="inlineStr">
        <is>
          <t>M</t>
        </is>
      </c>
      <c r="J38" s="4322" t="n"/>
      <c r="K38" s="4322" t="n"/>
      <c r="L38" s="4322" t="n"/>
      <c r="M38" s="4323" t="n"/>
      <c r="N38" s="4323" t="n"/>
      <c r="O38" s="4315" t="n"/>
      <c r="P38" s="4324" t="n"/>
      <c r="Q38" s="4324" t="n"/>
      <c r="R38" s="4324" t="n"/>
      <c r="S38" s="4325" t="n"/>
      <c r="T38" s="4325" t="n"/>
      <c r="U38" s="4315" t="n"/>
      <c r="V38" s="4322" t="n"/>
      <c r="W38" s="4322" t="n"/>
      <c r="X38" s="4322" t="n"/>
      <c r="Y38" s="4322" t="n"/>
      <c r="Z38" s="4322" t="n"/>
      <c r="AA38" s="4322" t="n"/>
      <c r="AB38" s="4322" t="n"/>
      <c r="AC38" s="4322" t="n"/>
      <c r="AD38" s="4322" t="n"/>
      <c r="AE38" s="4322" t="n"/>
      <c r="AF38" s="4322" t="n"/>
      <c r="AG38" s="4326" t="n"/>
      <c r="AH38" s="4322" t="n"/>
      <c r="AI38" s="4322" t="n"/>
      <c r="AJ38" s="4322" t="n"/>
      <c r="AK38" s="4322" t="n"/>
      <c r="AL38" s="4322" t="n"/>
      <c r="AM38" s="4322" t="n"/>
      <c r="AN38" s="4322" t="n"/>
      <c r="AO38" s="4322" t="n"/>
      <c r="AP38" s="4322" t="n"/>
      <c r="AQ38" s="4322" t="n"/>
      <c r="AR38" s="4322" t="n"/>
      <c r="AS38" s="4326" t="n"/>
      <c r="AT38" s="4322" t="n"/>
      <c r="AU38" s="4322" t="n"/>
      <c r="AV38" s="4322" t="n"/>
      <c r="AW38" s="4322" t="n"/>
      <c r="AX38" s="4322" t="n"/>
      <c r="AY38" s="4322" t="n"/>
      <c r="AZ38" s="4322" t="n"/>
      <c r="BA38" s="4322" t="n"/>
      <c r="BB38" s="4322" t="n"/>
      <c r="BC38" s="4322" t="n"/>
      <c r="BD38" s="4322" t="n"/>
      <c r="BE38" s="4326" t="n"/>
      <c r="BF38" s="4322" t="n"/>
      <c r="BG38" s="4322" t="n"/>
      <c r="BH38" s="4322" t="n"/>
      <c r="BI38" s="4322" t="n"/>
      <c r="BJ38" s="4322" t="n"/>
      <c r="BK38" s="4327" t="n"/>
      <c r="BL38" s="4322" t="n"/>
      <c r="BM38" s="4322" t="n"/>
      <c r="BN38" s="4322" t="n"/>
      <c r="BO38" s="4322" t="n"/>
      <c r="BP38" s="4322" t="n"/>
      <c r="BQ38" s="4315" t="n"/>
      <c r="BR38" s="4328" t="n"/>
      <c r="BT38" s="4315" t="n"/>
      <c r="BU38" s="4315" t="n"/>
    </row>
    <row r="39" ht="12" customFormat="1" customHeight="1" s="4315">
      <c r="A39" s="4316" t="n"/>
      <c r="B39" s="4317" t="n"/>
      <c r="C39" s="4318" t="inlineStr">
        <is>
          <t>[Redacted]</t>
        </is>
      </c>
      <c r="D39" s="4319" t="n">
        <v>11322</v>
      </c>
      <c r="E39" s="4320" t="n"/>
      <c r="F39" s="4320" t="n"/>
      <c r="G39" s="4320" t="n"/>
      <c r="H39" s="4320" t="n"/>
      <c r="I39" s="4321" t="inlineStr">
        <is>
          <t>M</t>
        </is>
      </c>
      <c r="J39" s="4322" t="n"/>
      <c r="K39" s="4322" t="n"/>
      <c r="L39" s="4322" t="n"/>
      <c r="M39" s="4323" t="n"/>
      <c r="N39" s="4323" t="n"/>
      <c r="O39" s="4315" t="n"/>
      <c r="P39" s="4324" t="n"/>
      <c r="Q39" s="4324" t="n"/>
      <c r="R39" s="4324" t="n"/>
      <c r="S39" s="4325" t="n"/>
      <c r="T39" s="4325" t="n"/>
      <c r="U39" s="4315" t="n"/>
      <c r="V39" s="4322" t="n"/>
      <c r="W39" s="4322" t="n"/>
      <c r="X39" s="4322" t="n"/>
      <c r="Y39" s="4322" t="n"/>
      <c r="Z39" s="4322" t="n"/>
      <c r="AA39" s="4322" t="n"/>
      <c r="AB39" s="4322" t="n"/>
      <c r="AC39" s="4322" t="n"/>
      <c r="AD39" s="4322" t="n"/>
      <c r="AE39" s="4322" t="n"/>
      <c r="AF39" s="4322" t="n"/>
      <c r="AG39" s="4326" t="n"/>
      <c r="AH39" s="4322" t="n"/>
      <c r="AI39" s="4322" t="n"/>
      <c r="AJ39" s="4322" t="n"/>
      <c r="AK39" s="4322" t="n"/>
      <c r="AL39" s="4322" t="n"/>
      <c r="AM39" s="4322" t="n"/>
      <c r="AN39" s="4322" t="n"/>
      <c r="AO39" s="4322" t="n"/>
      <c r="AP39" s="4322" t="n"/>
      <c r="AQ39" s="4322" t="n"/>
      <c r="AR39" s="4322" t="n"/>
      <c r="AS39" s="4326" t="n"/>
      <c r="AT39" s="4322" t="n"/>
      <c r="AU39" s="4322" t="n"/>
      <c r="AV39" s="4322" t="n"/>
      <c r="AW39" s="4322" t="n"/>
      <c r="AX39" s="4322" t="n"/>
      <c r="AY39" s="4322" t="n"/>
      <c r="AZ39" s="4322" t="n"/>
      <c r="BA39" s="4322" t="n"/>
      <c r="BB39" s="4322" t="n"/>
      <c r="BC39" s="4322" t="n"/>
      <c r="BD39" s="4322" t="n"/>
      <c r="BE39" s="4326" t="n"/>
      <c r="BF39" s="4322" t="n"/>
      <c r="BG39" s="4322" t="n"/>
      <c r="BH39" s="4322" t="n"/>
      <c r="BI39" s="4322" t="n"/>
      <c r="BJ39" s="4322" t="n"/>
      <c r="BK39" s="4327" t="n"/>
      <c r="BL39" s="4322" t="n"/>
      <c r="BM39" s="4322" t="n"/>
      <c r="BN39" s="4322" t="n"/>
      <c r="BO39" s="4322" t="n"/>
      <c r="BP39" s="4322" t="n"/>
      <c r="BQ39" s="4315" t="n"/>
      <c r="BR39" s="4328" t="n"/>
      <c r="BT39" s="4315" t="n"/>
      <c r="BU39" s="4315" t="n"/>
    </row>
    <row r="40" ht="12" customFormat="1" customHeight="1" s="4315">
      <c r="A40" s="4316" t="n"/>
      <c r="B40" s="4317" t="n"/>
      <c r="C40" s="4318" t="inlineStr">
        <is>
          <t>[Redacted]</t>
        </is>
      </c>
      <c r="D40" s="4319" t="n">
        <v>11334</v>
      </c>
      <c r="E40" s="4320" t="n"/>
      <c r="F40" s="4320" t="n"/>
      <c r="G40" s="4320" t="n"/>
      <c r="H40" s="4320" t="n"/>
      <c r="I40" s="4321" t="inlineStr">
        <is>
          <t>M</t>
        </is>
      </c>
      <c r="J40" s="4322" t="n"/>
      <c r="K40" s="4322" t="n"/>
      <c r="L40" s="4322" t="n"/>
      <c r="M40" s="4323" t="n"/>
      <c r="N40" s="4323" t="n"/>
      <c r="O40" s="4315" t="n"/>
      <c r="P40" s="4324" t="n"/>
      <c r="Q40" s="4324" t="n"/>
      <c r="R40" s="4324" t="n"/>
      <c r="S40" s="4325" t="n"/>
      <c r="T40" s="4325" t="n"/>
      <c r="U40" s="4315" t="n"/>
      <c r="V40" s="4322" t="n"/>
      <c r="W40" s="4322" t="n"/>
      <c r="X40" s="4322" t="n"/>
      <c r="Y40" s="4322" t="n"/>
      <c r="Z40" s="4322" t="n"/>
      <c r="AA40" s="4322" t="n"/>
      <c r="AB40" s="4322" t="n"/>
      <c r="AC40" s="4322" t="n"/>
      <c r="AD40" s="4322" t="n"/>
      <c r="AE40" s="4322" t="n"/>
      <c r="AF40" s="4322" t="n"/>
      <c r="AG40" s="4326" t="n"/>
      <c r="AH40" s="4322" t="n"/>
      <c r="AI40" s="4322" t="n"/>
      <c r="AJ40" s="4322" t="n"/>
      <c r="AK40" s="4322" t="n"/>
      <c r="AL40" s="4322" t="n"/>
      <c r="AM40" s="4322" t="n"/>
      <c r="AN40" s="4322" t="n"/>
      <c r="AO40" s="4322" t="n"/>
      <c r="AP40" s="4322" t="n"/>
      <c r="AQ40" s="4322" t="n"/>
      <c r="AR40" s="4322" t="n"/>
      <c r="AS40" s="4326" t="n"/>
      <c r="AT40" s="4322" t="n"/>
      <c r="AU40" s="4322" t="n"/>
      <c r="AV40" s="4322" t="n"/>
      <c r="AW40" s="4322" t="n"/>
      <c r="AX40" s="4322" t="n"/>
      <c r="AY40" s="4322" t="n"/>
      <c r="AZ40" s="4322" t="n"/>
      <c r="BA40" s="4322" t="n"/>
      <c r="BB40" s="4322" t="n"/>
      <c r="BC40" s="4322" t="n"/>
      <c r="BD40" s="4322" t="n"/>
      <c r="BE40" s="4326" t="n"/>
      <c r="BF40" s="4322" t="n"/>
      <c r="BG40" s="4322" t="n"/>
      <c r="BH40" s="4322" t="n"/>
      <c r="BI40" s="4322" t="n"/>
      <c r="BJ40" s="4322" t="n"/>
      <c r="BK40" s="4327" t="n"/>
      <c r="BL40" s="4322" t="n"/>
      <c r="BM40" s="4322" t="n"/>
      <c r="BN40" s="4322" t="n"/>
      <c r="BO40" s="4322" t="n"/>
      <c r="BP40" s="4322" t="n"/>
      <c r="BQ40" s="4315" t="n"/>
      <c r="BR40" s="4328" t="n"/>
      <c r="BT40" s="4315" t="n"/>
      <c r="BU40" s="4315" t="n"/>
    </row>
    <row r="41" ht="12" customFormat="1" customHeight="1" s="4315">
      <c r="A41" s="4316" t="n"/>
      <c r="B41" s="4317" t="n"/>
      <c r="C41" s="4318" t="inlineStr">
        <is>
          <t>[Redacted]</t>
        </is>
      </c>
      <c r="D41" s="4319" t="n">
        <v>11165</v>
      </c>
      <c r="E41" s="4320" t="n"/>
      <c r="F41" s="4320" t="n"/>
      <c r="G41" s="4320" t="n"/>
      <c r="H41" s="4320" t="n"/>
      <c r="I41" s="4321" t="inlineStr">
        <is>
          <t>M</t>
        </is>
      </c>
      <c r="J41" s="4322" t="n"/>
      <c r="K41" s="4322" t="n"/>
      <c r="L41" s="4322" t="n"/>
      <c r="M41" s="4323" t="n"/>
      <c r="N41" s="4323" t="n"/>
      <c r="O41" s="4315" t="n"/>
      <c r="P41" s="4324" t="n"/>
      <c r="Q41" s="4324" t="n"/>
      <c r="R41" s="4324" t="n"/>
      <c r="S41" s="4325" t="n"/>
      <c r="T41" s="4325" t="n"/>
      <c r="U41" s="4315" t="n"/>
      <c r="V41" s="4322" t="n"/>
      <c r="W41" s="4322" t="n"/>
      <c r="X41" s="4322" t="n"/>
      <c r="Y41" s="4322" t="n"/>
      <c r="Z41" s="4322" t="n"/>
      <c r="AA41" s="4322" t="n"/>
      <c r="AB41" s="4322" t="n"/>
      <c r="AC41" s="4322" t="n"/>
      <c r="AD41" s="4322" t="n"/>
      <c r="AE41" s="4322" t="n"/>
      <c r="AF41" s="4322" t="n"/>
      <c r="AG41" s="4326" t="n"/>
      <c r="AH41" s="4322" t="n"/>
      <c r="AI41" s="4322" t="n"/>
      <c r="AJ41" s="4322" t="n"/>
      <c r="AK41" s="4322" t="n"/>
      <c r="AL41" s="4322" t="n"/>
      <c r="AM41" s="4322" t="n"/>
      <c r="AN41" s="4322" t="n"/>
      <c r="AO41" s="4322" t="n"/>
      <c r="AP41" s="4322" t="n"/>
      <c r="AQ41" s="4322" t="n"/>
      <c r="AR41" s="4322" t="n"/>
      <c r="AS41" s="4326" t="n"/>
      <c r="AT41" s="4322" t="n"/>
      <c r="AU41" s="4322" t="n"/>
      <c r="AV41" s="4322" t="n"/>
      <c r="AW41" s="4322" t="n"/>
      <c r="AX41" s="4322" t="n"/>
      <c r="AY41" s="4322" t="n"/>
      <c r="AZ41" s="4322" t="n"/>
      <c r="BA41" s="4322" t="n"/>
      <c r="BB41" s="4322" t="n"/>
      <c r="BC41" s="4322" t="n"/>
      <c r="BD41" s="4322" t="n"/>
      <c r="BE41" s="4326" t="n"/>
      <c r="BF41" s="4322" t="n"/>
      <c r="BG41" s="4322" t="n"/>
      <c r="BH41" s="4322" t="n"/>
      <c r="BI41" s="4322" t="n"/>
      <c r="BJ41" s="4322" t="n"/>
      <c r="BK41" s="4327" t="n"/>
      <c r="BL41" s="4322" t="n"/>
      <c r="BM41" s="4322" t="n"/>
      <c r="BN41" s="4322" t="n"/>
      <c r="BO41" s="4322" t="n"/>
      <c r="BP41" s="4322" t="n"/>
      <c r="BQ41" s="4315" t="n"/>
      <c r="BR41" s="4328" t="n"/>
      <c r="BT41" s="4315" t="n"/>
      <c r="BU41" s="4315" t="n"/>
    </row>
    <row r="42" ht="12" customFormat="1" customHeight="1" s="4315">
      <c r="A42" s="4316" t="n"/>
      <c r="B42" s="4317" t="n"/>
      <c r="C42" s="4318" t="inlineStr">
        <is>
          <t>[Redacted]</t>
        </is>
      </c>
      <c r="D42" s="4319" t="n">
        <v>11237</v>
      </c>
      <c r="E42" s="4320" t="n"/>
      <c r="F42" s="4320" t="n"/>
      <c r="G42" s="4320" t="n"/>
      <c r="H42" s="4320" t="n"/>
      <c r="I42" s="4321" t="inlineStr">
        <is>
          <t>F</t>
        </is>
      </c>
      <c r="J42" s="4322" t="n"/>
      <c r="K42" s="4322" t="n"/>
      <c r="L42" s="4322" t="n"/>
      <c r="M42" s="4323" t="n"/>
      <c r="N42" s="4323" t="n"/>
      <c r="O42" s="4315" t="n"/>
      <c r="P42" s="4324" t="n"/>
      <c r="Q42" s="4324" t="n"/>
      <c r="R42" s="4324" t="n"/>
      <c r="S42" s="4325" t="n"/>
      <c r="T42" s="4325" t="n"/>
      <c r="U42" s="4315" t="n"/>
      <c r="V42" s="4322" t="n"/>
      <c r="W42" s="4322" t="n"/>
      <c r="X42" s="4322" t="n"/>
      <c r="Y42" s="4322" t="n"/>
      <c r="Z42" s="4322" t="n"/>
      <c r="AA42" s="4322" t="n"/>
      <c r="AB42" s="4322" t="n"/>
      <c r="AC42" s="4322" t="n"/>
      <c r="AD42" s="4322" t="n"/>
      <c r="AE42" s="4322" t="n"/>
      <c r="AF42" s="4322" t="n"/>
      <c r="AG42" s="4326" t="n"/>
      <c r="AH42" s="4322" t="n"/>
      <c r="AI42" s="4322" t="n"/>
      <c r="AJ42" s="4322" t="n"/>
      <c r="AK42" s="4322" t="n"/>
      <c r="AL42" s="4322" t="n"/>
      <c r="AM42" s="4322" t="n"/>
      <c r="AN42" s="4322" t="n"/>
      <c r="AO42" s="4322" t="n"/>
      <c r="AP42" s="4322" t="n"/>
      <c r="AQ42" s="4322" t="n"/>
      <c r="AR42" s="4322" t="n"/>
      <c r="AS42" s="4326" t="n"/>
      <c r="AT42" s="4322" t="n"/>
      <c r="AU42" s="4322" t="n"/>
      <c r="AV42" s="4322" t="n"/>
      <c r="AW42" s="4322" t="n"/>
      <c r="AX42" s="4322" t="n"/>
      <c r="AY42" s="4322" t="n"/>
      <c r="AZ42" s="4322" t="n"/>
      <c r="BA42" s="4322" t="n"/>
      <c r="BB42" s="4322" t="n"/>
      <c r="BC42" s="4322" t="n"/>
      <c r="BD42" s="4322" t="n"/>
      <c r="BE42" s="4326" t="n"/>
      <c r="BF42" s="4322" t="n"/>
      <c r="BG42" s="4322" t="n"/>
      <c r="BH42" s="4322" t="n"/>
      <c r="BI42" s="4322" t="n"/>
      <c r="BJ42" s="4322" t="n"/>
      <c r="BK42" s="4327" t="n"/>
      <c r="BL42" s="4322" t="n"/>
      <c r="BM42" s="4322" t="n"/>
      <c r="BN42" s="4322" t="n"/>
      <c r="BO42" s="4322" t="n"/>
      <c r="BP42" s="4322" t="n"/>
      <c r="BQ42" s="4315" t="n"/>
      <c r="BR42" s="4328" t="n"/>
      <c r="BT42" s="4315" t="n"/>
      <c r="BU42" s="4315" t="n"/>
    </row>
    <row r="43" ht="12" customFormat="1" customHeight="1" s="4315">
      <c r="A43" s="4316" t="n"/>
      <c r="B43" s="4317" t="n"/>
      <c r="C43" s="4318" t="inlineStr">
        <is>
          <t>[Redacted]</t>
        </is>
      </c>
      <c r="D43" s="4319" t="n">
        <v>11329</v>
      </c>
      <c r="E43" s="4320" t="n"/>
      <c r="F43" s="4320" t="n"/>
      <c r="G43" s="4320" t="n"/>
      <c r="H43" s="4320" t="n"/>
      <c r="I43" s="4321" t="inlineStr">
        <is>
          <t>M</t>
        </is>
      </c>
      <c r="J43" s="4322" t="n"/>
      <c r="K43" s="4322" t="n"/>
      <c r="L43" s="4322" t="n"/>
      <c r="M43" s="4323" t="n"/>
      <c r="N43" s="4323" t="n"/>
      <c r="O43" s="4315" t="n"/>
      <c r="P43" s="4324" t="n"/>
      <c r="Q43" s="4324" t="n"/>
      <c r="R43" s="4324" t="n"/>
      <c r="S43" s="4325" t="n"/>
      <c r="T43" s="4325" t="n"/>
      <c r="U43" s="4315" t="n"/>
      <c r="V43" s="4322" t="n"/>
      <c r="W43" s="4322" t="n"/>
      <c r="X43" s="4322" t="n"/>
      <c r="Y43" s="4322" t="n"/>
      <c r="Z43" s="4322" t="n"/>
      <c r="AA43" s="4322" t="n"/>
      <c r="AB43" s="4322" t="n"/>
      <c r="AC43" s="4322" t="n"/>
      <c r="AD43" s="4322" t="n"/>
      <c r="AE43" s="4322" t="n"/>
      <c r="AF43" s="4322" t="n"/>
      <c r="AG43" s="4326" t="n"/>
      <c r="AH43" s="4322" t="n"/>
      <c r="AI43" s="4322" t="n"/>
      <c r="AJ43" s="4322" t="n"/>
      <c r="AK43" s="4322" t="n"/>
      <c r="AL43" s="4322" t="n"/>
      <c r="AM43" s="4322" t="n"/>
      <c r="AN43" s="4322" t="n"/>
      <c r="AO43" s="4322" t="n"/>
      <c r="AP43" s="4322" t="n"/>
      <c r="AQ43" s="4322" t="n"/>
      <c r="AR43" s="4322" t="n"/>
      <c r="AS43" s="4326" t="n"/>
      <c r="AT43" s="4322" t="n"/>
      <c r="AU43" s="4322" t="n"/>
      <c r="AV43" s="4322" t="n"/>
      <c r="AW43" s="4322" t="n"/>
      <c r="AX43" s="4322" t="n"/>
      <c r="AY43" s="4322" t="n"/>
      <c r="AZ43" s="4322" t="n"/>
      <c r="BA43" s="4322" t="n"/>
      <c r="BB43" s="4322" t="n"/>
      <c r="BC43" s="4322" t="n"/>
      <c r="BD43" s="4322" t="n"/>
      <c r="BE43" s="4326" t="n"/>
      <c r="BF43" s="4322" t="n"/>
      <c r="BG43" s="4322" t="n"/>
      <c r="BH43" s="4322" t="n"/>
      <c r="BI43" s="4322" t="n"/>
      <c r="BJ43" s="4322" t="n"/>
      <c r="BK43" s="4327" t="n"/>
      <c r="BL43" s="4322" t="n"/>
      <c r="BM43" s="4322" t="n"/>
      <c r="BN43" s="4322" t="n"/>
      <c r="BO43" s="4322" t="n"/>
      <c r="BP43" s="4322" t="n"/>
      <c r="BQ43" s="4315" t="n"/>
      <c r="BR43" s="4328" t="n"/>
      <c r="BT43" s="4315" t="n"/>
      <c r="BU43" s="4315" t="n"/>
    </row>
    <row r="44" ht="12" customFormat="1" customHeight="1" s="4315">
      <c r="A44" s="4316" t="n"/>
      <c r="B44" s="4317" t="n"/>
      <c r="C44" s="4318" t="inlineStr">
        <is>
          <t>[Redacted]</t>
        </is>
      </c>
      <c r="D44" s="4319" t="n">
        <v>11327</v>
      </c>
      <c r="E44" s="4320" t="n"/>
      <c r="F44" s="4320" t="n"/>
      <c r="G44" s="4320" t="n"/>
      <c r="H44" s="4320" t="n"/>
      <c r="I44" s="4321" t="inlineStr">
        <is>
          <t>M</t>
        </is>
      </c>
      <c r="J44" s="4322" t="n"/>
      <c r="K44" s="4322" t="n"/>
      <c r="L44" s="4322" t="n"/>
      <c r="M44" s="4323" t="n"/>
      <c r="N44" s="4323" t="n"/>
      <c r="O44" s="4315" t="n"/>
      <c r="P44" s="4324" t="n"/>
      <c r="Q44" s="4324" t="n"/>
      <c r="R44" s="4324" t="n"/>
      <c r="S44" s="4325" t="n"/>
      <c r="T44" s="4325" t="n"/>
      <c r="U44" s="4315" t="n"/>
      <c r="V44" s="4322" t="n"/>
      <c r="W44" s="4322" t="n"/>
      <c r="X44" s="4322" t="n"/>
      <c r="Y44" s="4322" t="n"/>
      <c r="Z44" s="4322" t="n"/>
      <c r="AA44" s="4322" t="n"/>
      <c r="AB44" s="4322" t="n"/>
      <c r="AC44" s="4322" t="n"/>
      <c r="AD44" s="4322" t="n"/>
      <c r="AE44" s="4322" t="n"/>
      <c r="AF44" s="4322" t="n"/>
      <c r="AG44" s="4326" t="n"/>
      <c r="AH44" s="4322" t="n"/>
      <c r="AI44" s="4322" t="n"/>
      <c r="AJ44" s="4322" t="n"/>
      <c r="AK44" s="4322" t="n"/>
      <c r="AL44" s="4322" t="n"/>
      <c r="AM44" s="4322" t="n"/>
      <c r="AN44" s="4322" t="n"/>
      <c r="AO44" s="4322" t="n"/>
      <c r="AP44" s="4322" t="n"/>
      <c r="AQ44" s="4322" t="n"/>
      <c r="AR44" s="4322" t="n"/>
      <c r="AS44" s="4326" t="n"/>
      <c r="AT44" s="4322" t="n"/>
      <c r="AU44" s="4322" t="n"/>
      <c r="AV44" s="4322" t="n"/>
      <c r="AW44" s="4322" t="n"/>
      <c r="AX44" s="4322" t="n"/>
      <c r="AY44" s="4322" t="n"/>
      <c r="AZ44" s="4322" t="n"/>
      <c r="BA44" s="4322" t="n"/>
      <c r="BB44" s="4322" t="n"/>
      <c r="BC44" s="4322" t="n"/>
      <c r="BD44" s="4322" t="n"/>
      <c r="BE44" s="4326" t="n"/>
      <c r="BF44" s="4322" t="n"/>
      <c r="BG44" s="4322" t="n"/>
      <c r="BH44" s="4322" t="n"/>
      <c r="BI44" s="4322" t="n"/>
      <c r="BJ44" s="4322" t="n"/>
      <c r="BK44" s="4327" t="n"/>
      <c r="BL44" s="4322" t="n"/>
      <c r="BM44" s="4322" t="n"/>
      <c r="BN44" s="4322" t="n"/>
      <c r="BO44" s="4322" t="n"/>
      <c r="BP44" s="4322" t="n"/>
      <c r="BQ44" s="4315" t="n"/>
      <c r="BR44" s="4328" t="n"/>
      <c r="BT44" s="4315" t="n"/>
      <c r="BU44" s="4315" t="n"/>
    </row>
    <row r="45" ht="12" customFormat="1" customHeight="1" s="4315">
      <c r="A45" s="4316" t="n"/>
      <c r="B45" s="4317" t="n"/>
      <c r="C45" s="4318" t="inlineStr">
        <is>
          <t>[Redacted]</t>
        </is>
      </c>
      <c r="D45" s="4319" t="n">
        <v>11250</v>
      </c>
      <c r="E45" s="4320" t="n"/>
      <c r="F45" s="4320" t="n"/>
      <c r="G45" s="4320" t="n"/>
      <c r="H45" s="4320" t="n"/>
      <c r="I45" s="4321" t="inlineStr">
        <is>
          <t>F</t>
        </is>
      </c>
      <c r="J45" s="4322" t="n"/>
      <c r="K45" s="4322" t="n"/>
      <c r="L45" s="4322" t="n"/>
      <c r="M45" s="4323" t="n"/>
      <c r="N45" s="4323" t="n"/>
      <c r="O45" s="4315" t="n"/>
      <c r="P45" s="4324" t="n"/>
      <c r="Q45" s="4324" t="n"/>
      <c r="R45" s="4324" t="n"/>
      <c r="S45" s="4325" t="n"/>
      <c r="T45" s="4325" t="n"/>
      <c r="U45" s="4315" t="n"/>
      <c r="V45" s="4322" t="n"/>
      <c r="W45" s="4322" t="n"/>
      <c r="X45" s="4322" t="n"/>
      <c r="Y45" s="4322" t="n"/>
      <c r="Z45" s="4322" t="n"/>
      <c r="AA45" s="4322" t="n"/>
      <c r="AB45" s="4322" t="n"/>
      <c r="AC45" s="4322" t="n"/>
      <c r="AD45" s="4322" t="n"/>
      <c r="AE45" s="4322" t="n"/>
      <c r="AF45" s="4322" t="n"/>
      <c r="AG45" s="4326" t="n"/>
      <c r="AH45" s="4322" t="n"/>
      <c r="AI45" s="4322" t="n"/>
      <c r="AJ45" s="4322" t="n"/>
      <c r="AK45" s="4322" t="n"/>
      <c r="AL45" s="4322" t="n"/>
      <c r="AM45" s="4322" t="n"/>
      <c r="AN45" s="4322" t="n"/>
      <c r="AO45" s="4322" t="n"/>
      <c r="AP45" s="4322" t="n"/>
      <c r="AQ45" s="4322" t="n"/>
      <c r="AR45" s="4322" t="n"/>
      <c r="AS45" s="4326" t="n"/>
      <c r="AT45" s="4322" t="n"/>
      <c r="AU45" s="4322" t="n"/>
      <c r="AV45" s="4322" t="n"/>
      <c r="AW45" s="4322" t="n"/>
      <c r="AX45" s="4322" t="n"/>
      <c r="AY45" s="4322" t="n"/>
      <c r="AZ45" s="4322" t="n"/>
      <c r="BA45" s="4322" t="n"/>
      <c r="BB45" s="4322" t="n"/>
      <c r="BC45" s="4322" t="n"/>
      <c r="BD45" s="4322" t="n"/>
      <c r="BE45" s="4326" t="n"/>
      <c r="BF45" s="4322" t="n"/>
      <c r="BG45" s="4322" t="n"/>
      <c r="BH45" s="4322" t="n"/>
      <c r="BI45" s="4322" t="n"/>
      <c r="BJ45" s="4322" t="n"/>
      <c r="BK45" s="4327" t="n"/>
      <c r="BL45" s="4322" t="n"/>
      <c r="BM45" s="4322" t="n"/>
      <c r="BN45" s="4322" t="n"/>
      <c r="BO45" s="4322" t="n"/>
      <c r="BP45" s="4322" t="n"/>
      <c r="BQ45" s="4315" t="n"/>
      <c r="BR45" s="4328" t="n"/>
      <c r="BT45" s="4315" t="n"/>
      <c r="BU45" s="4315" t="n"/>
    </row>
    <row r="46" ht="12" customFormat="1" customHeight="1" s="4315">
      <c r="A46" s="4316" t="n"/>
      <c r="B46" s="4317" t="n"/>
      <c r="C46" s="4318" t="inlineStr">
        <is>
          <t>[Redacted]</t>
        </is>
      </c>
      <c r="D46" s="4319" t="n">
        <v>11010</v>
      </c>
      <c r="E46" s="4320" t="n"/>
      <c r="F46" s="4320" t="n"/>
      <c r="G46" s="4320" t="n"/>
      <c r="H46" s="4320" t="n"/>
      <c r="I46" s="4321" t="inlineStr">
        <is>
          <t>M</t>
        </is>
      </c>
      <c r="J46" s="4322" t="n"/>
      <c r="K46" s="4322" t="n"/>
      <c r="L46" s="4322" t="n"/>
      <c r="M46" s="4323" t="n"/>
      <c r="N46" s="4323" t="n"/>
      <c r="O46" s="4315" t="n"/>
      <c r="P46" s="4324" t="n"/>
      <c r="Q46" s="4324" t="n"/>
      <c r="R46" s="4324" t="n"/>
      <c r="S46" s="4325" t="n"/>
      <c r="T46" s="4325" t="n"/>
      <c r="U46" s="4315" t="n"/>
      <c r="V46" s="4322" t="n"/>
      <c r="W46" s="4322" t="n"/>
      <c r="X46" s="4322" t="n"/>
      <c r="Y46" s="4322" t="n"/>
      <c r="Z46" s="4322" t="n"/>
      <c r="AA46" s="4322" t="n"/>
      <c r="AB46" s="4322" t="n"/>
      <c r="AC46" s="4322" t="n"/>
      <c r="AD46" s="4322" t="n"/>
      <c r="AE46" s="4322" t="n"/>
      <c r="AF46" s="4322" t="n"/>
      <c r="AG46" s="4326" t="n"/>
      <c r="AH46" s="4322" t="n"/>
      <c r="AI46" s="4322" t="n"/>
      <c r="AJ46" s="4322" t="n"/>
      <c r="AK46" s="4322" t="n"/>
      <c r="AL46" s="4322" t="n"/>
      <c r="AM46" s="4322" t="n"/>
      <c r="AN46" s="4322" t="n"/>
      <c r="AO46" s="4322" t="n"/>
      <c r="AP46" s="4322" t="n"/>
      <c r="AQ46" s="4322" t="n"/>
      <c r="AR46" s="4322" t="n"/>
      <c r="AS46" s="4326" t="n"/>
      <c r="AT46" s="4322" t="n"/>
      <c r="AU46" s="4322" t="n"/>
      <c r="AV46" s="4322" t="n"/>
      <c r="AW46" s="4322" t="n"/>
      <c r="AX46" s="4322" t="n"/>
      <c r="AY46" s="4322" t="n"/>
      <c r="AZ46" s="4322" t="n"/>
      <c r="BA46" s="4322" t="n"/>
      <c r="BB46" s="4322" t="n"/>
      <c r="BC46" s="4322" t="n"/>
      <c r="BD46" s="4322" t="n"/>
      <c r="BE46" s="4326" t="n"/>
      <c r="BF46" s="4322" t="n"/>
      <c r="BG46" s="4322" t="n"/>
      <c r="BH46" s="4322" t="n"/>
      <c r="BI46" s="4322" t="n"/>
      <c r="BJ46" s="4322" t="n"/>
      <c r="BK46" s="4327" t="n"/>
      <c r="BL46" s="4322" t="n"/>
      <c r="BM46" s="4322" t="n"/>
      <c r="BN46" s="4322" t="n"/>
      <c r="BO46" s="4322" t="n"/>
      <c r="BP46" s="4322" t="n"/>
      <c r="BQ46" s="4315" t="n"/>
      <c r="BR46" s="4328" t="n"/>
      <c r="BT46" s="4315" t="n"/>
      <c r="BU46" s="4315" t="n"/>
    </row>
    <row r="47" ht="12" customFormat="1" customHeight="1" s="4315">
      <c r="A47" s="4316" t="n"/>
      <c r="B47" s="4317" t="n"/>
      <c r="C47" s="4318" t="inlineStr">
        <is>
          <t>[Redacted]</t>
        </is>
      </c>
      <c r="D47" s="4319" t="n">
        <v>11272</v>
      </c>
      <c r="E47" s="4320" t="n"/>
      <c r="F47" s="4320" t="n"/>
      <c r="G47" s="4320" t="n"/>
      <c r="H47" s="4320" t="n"/>
      <c r="I47" s="4321" t="inlineStr">
        <is>
          <t>M</t>
        </is>
      </c>
      <c r="J47" s="4322" t="n"/>
      <c r="K47" s="4322" t="n"/>
      <c r="L47" s="4322" t="n"/>
      <c r="M47" s="4323" t="n"/>
      <c r="N47" s="4323" t="n"/>
      <c r="O47" s="4315" t="n"/>
      <c r="P47" s="4324" t="n"/>
      <c r="Q47" s="4324" t="n"/>
      <c r="R47" s="4324" t="n"/>
      <c r="S47" s="4325" t="n"/>
      <c r="T47" s="4325" t="n"/>
      <c r="U47" s="4315" t="n"/>
      <c r="V47" s="4322" t="n"/>
      <c r="W47" s="4322" t="n"/>
      <c r="X47" s="4322" t="n"/>
      <c r="Y47" s="4322" t="n"/>
      <c r="Z47" s="4322" t="n"/>
      <c r="AA47" s="4322" t="n"/>
      <c r="AB47" s="4322" t="n"/>
      <c r="AC47" s="4322" t="n"/>
      <c r="AD47" s="4322" t="n"/>
      <c r="AE47" s="4322" t="n"/>
      <c r="AF47" s="4322" t="n"/>
      <c r="AG47" s="4326" t="n"/>
      <c r="AH47" s="4322" t="n"/>
      <c r="AI47" s="4322" t="n"/>
      <c r="AJ47" s="4322" t="n"/>
      <c r="AK47" s="4322" t="n"/>
      <c r="AL47" s="4322" t="n"/>
      <c r="AM47" s="4322" t="n"/>
      <c r="AN47" s="4322" t="n"/>
      <c r="AO47" s="4322" t="n"/>
      <c r="AP47" s="4322" t="n"/>
      <c r="AQ47" s="4322" t="n"/>
      <c r="AR47" s="4322" t="n"/>
      <c r="AS47" s="4326" t="n"/>
      <c r="AT47" s="4322" t="n"/>
      <c r="AU47" s="4322" t="n"/>
      <c r="AV47" s="4322" t="n"/>
      <c r="AW47" s="4322" t="n"/>
      <c r="AX47" s="4322" t="n"/>
      <c r="AY47" s="4322" t="n"/>
      <c r="AZ47" s="4322" t="n"/>
      <c r="BA47" s="4322" t="n"/>
      <c r="BB47" s="4322" t="n"/>
      <c r="BC47" s="4322" t="n"/>
      <c r="BD47" s="4322" t="n"/>
      <c r="BE47" s="4326" t="n"/>
      <c r="BF47" s="4322" t="n"/>
      <c r="BG47" s="4322" t="n"/>
      <c r="BH47" s="4322" t="n"/>
      <c r="BI47" s="4322" t="n"/>
      <c r="BJ47" s="4322" t="n"/>
      <c r="BK47" s="4327" t="n"/>
      <c r="BL47" s="4322" t="n"/>
      <c r="BM47" s="4322" t="n"/>
      <c r="BN47" s="4322" t="n"/>
      <c r="BO47" s="4322" t="n"/>
      <c r="BP47" s="4322" t="n"/>
      <c r="BQ47" s="4315" t="n"/>
      <c r="BR47" s="4328" t="n"/>
      <c r="BT47" s="4315" t="n"/>
      <c r="BU47" s="4315" t="n"/>
    </row>
    <row r="48" ht="12" customFormat="1" customHeight="1" s="4315">
      <c r="A48" s="4316" t="n"/>
      <c r="B48" s="4317" t="n"/>
      <c r="C48" s="4318" t="inlineStr">
        <is>
          <t>[Redacted]</t>
        </is>
      </c>
      <c r="D48" s="4319" t="n">
        <v>11114</v>
      </c>
      <c r="E48" s="4320" t="n"/>
      <c r="F48" s="4320" t="n"/>
      <c r="G48" s="4320" t="n"/>
      <c r="H48" s="4320" t="n"/>
      <c r="I48" s="4321" t="inlineStr">
        <is>
          <t>F</t>
        </is>
      </c>
      <c r="J48" s="4322" t="n"/>
      <c r="K48" s="4322" t="n"/>
      <c r="L48" s="4322" t="n"/>
      <c r="M48" s="4323" t="n"/>
      <c r="N48" s="4323" t="n"/>
      <c r="O48" s="4315" t="n"/>
      <c r="P48" s="4324" t="n"/>
      <c r="Q48" s="4324" t="n"/>
      <c r="R48" s="4324" t="n"/>
      <c r="S48" s="4325" t="n"/>
      <c r="T48" s="4325" t="n"/>
      <c r="U48" s="4315" t="n"/>
      <c r="V48" s="4322" t="n"/>
      <c r="W48" s="4322" t="n"/>
      <c r="X48" s="4322" t="n"/>
      <c r="Y48" s="4322" t="n"/>
      <c r="Z48" s="4322" t="n"/>
      <c r="AA48" s="4322" t="n"/>
      <c r="AB48" s="4322" t="n"/>
      <c r="AC48" s="4322" t="n"/>
      <c r="AD48" s="4322" t="n"/>
      <c r="AE48" s="4322" t="n"/>
      <c r="AF48" s="4322" t="n"/>
      <c r="AG48" s="4326" t="n"/>
      <c r="AH48" s="4322" t="n"/>
      <c r="AI48" s="4322" t="n"/>
      <c r="AJ48" s="4322" t="n"/>
      <c r="AK48" s="4322" t="n"/>
      <c r="AL48" s="4322" t="n"/>
      <c r="AM48" s="4322" t="n"/>
      <c r="AN48" s="4322" t="n"/>
      <c r="AO48" s="4322" t="n"/>
      <c r="AP48" s="4322" t="n"/>
      <c r="AQ48" s="4322" t="n"/>
      <c r="AR48" s="4322" t="n"/>
      <c r="AS48" s="4326" t="n"/>
      <c r="AT48" s="4322" t="n"/>
      <c r="AU48" s="4322" t="n"/>
      <c r="AV48" s="4322" t="n"/>
      <c r="AW48" s="4322" t="n"/>
      <c r="AX48" s="4322" t="n"/>
      <c r="AY48" s="4322" t="n"/>
      <c r="AZ48" s="4322" t="n"/>
      <c r="BA48" s="4322" t="n"/>
      <c r="BB48" s="4322" t="n"/>
      <c r="BC48" s="4322" t="n"/>
      <c r="BD48" s="4322" t="n"/>
      <c r="BE48" s="4326" t="n"/>
      <c r="BF48" s="4322" t="n"/>
      <c r="BG48" s="4322" t="n"/>
      <c r="BH48" s="4322" t="n"/>
      <c r="BI48" s="4322" t="n"/>
      <c r="BJ48" s="4322" t="n"/>
      <c r="BK48" s="4327" t="n"/>
      <c r="BL48" s="4322" t="n"/>
      <c r="BM48" s="4322" t="n"/>
      <c r="BN48" s="4322" t="n"/>
      <c r="BO48" s="4322" t="n"/>
      <c r="BP48" s="4322" t="n"/>
      <c r="BQ48" s="4315" t="n"/>
      <c r="BR48" s="4328" t="n"/>
      <c r="BT48" s="4315" t="n"/>
      <c r="BU48" s="4315" t="n"/>
    </row>
    <row r="49" ht="12" customFormat="1" customHeight="1" s="4315">
      <c r="A49" s="4316" t="n"/>
      <c r="B49" s="4317" t="n"/>
      <c r="C49" s="4318" t="inlineStr">
        <is>
          <t>[Redacted]</t>
        </is>
      </c>
      <c r="D49" s="4319" t="n">
        <v>11020</v>
      </c>
      <c r="E49" s="4320" t="n"/>
      <c r="F49" s="4320" t="n"/>
      <c r="G49" s="4320" t="n"/>
      <c r="H49" s="4320" t="n"/>
      <c r="I49" s="4321" t="inlineStr">
        <is>
          <t>F</t>
        </is>
      </c>
      <c r="J49" s="4322" t="n"/>
      <c r="K49" s="4322" t="n"/>
      <c r="L49" s="4322" t="n"/>
      <c r="M49" s="4323" t="n"/>
      <c r="N49" s="4323" t="n"/>
      <c r="O49" s="4315" t="n"/>
      <c r="P49" s="4324" t="n"/>
      <c r="Q49" s="4324" t="n"/>
      <c r="R49" s="4324" t="n"/>
      <c r="S49" s="4325" t="n"/>
      <c r="T49" s="4325" t="n"/>
      <c r="U49" s="4315" t="n"/>
      <c r="V49" s="4322" t="n"/>
      <c r="W49" s="4322" t="n"/>
      <c r="X49" s="4322" t="n"/>
      <c r="Y49" s="4322" t="n"/>
      <c r="Z49" s="4322" t="n"/>
      <c r="AA49" s="4322" t="n"/>
      <c r="AB49" s="4322" t="n"/>
      <c r="AC49" s="4322" t="n"/>
      <c r="AD49" s="4322" t="n"/>
      <c r="AE49" s="4322" t="n"/>
      <c r="AF49" s="4322" t="n"/>
      <c r="AG49" s="4326" t="n"/>
      <c r="AH49" s="4322" t="n"/>
      <c r="AI49" s="4322" t="n"/>
      <c r="AJ49" s="4322" t="n"/>
      <c r="AK49" s="4322" t="n"/>
      <c r="AL49" s="4322" t="n"/>
      <c r="AM49" s="4322" t="n"/>
      <c r="AN49" s="4322" t="n"/>
      <c r="AO49" s="4322" t="n"/>
      <c r="AP49" s="4322" t="n"/>
      <c r="AQ49" s="4322" t="n"/>
      <c r="AR49" s="4322" t="n"/>
      <c r="AS49" s="4326" t="n"/>
      <c r="AT49" s="4322" t="n"/>
      <c r="AU49" s="4322" t="n"/>
      <c r="AV49" s="4322" t="n"/>
      <c r="AW49" s="4322" t="n"/>
      <c r="AX49" s="4322" t="n"/>
      <c r="AY49" s="4322" t="n"/>
      <c r="AZ49" s="4322" t="n"/>
      <c r="BA49" s="4322" t="n"/>
      <c r="BB49" s="4322" t="n"/>
      <c r="BC49" s="4322" t="n"/>
      <c r="BD49" s="4322" t="n"/>
      <c r="BE49" s="4326" t="n"/>
      <c r="BF49" s="4322" t="n"/>
      <c r="BG49" s="4322" t="n"/>
      <c r="BH49" s="4322" t="n"/>
      <c r="BI49" s="4322" t="n"/>
      <c r="BJ49" s="4322" t="n"/>
      <c r="BK49" s="4327" t="n"/>
      <c r="BL49" s="4322" t="n"/>
      <c r="BM49" s="4322" t="n"/>
      <c r="BN49" s="4322" t="n"/>
      <c r="BO49" s="4322" t="n"/>
      <c r="BP49" s="4322" t="n"/>
      <c r="BQ49" s="4315" t="n"/>
      <c r="BR49" s="4328" t="n"/>
      <c r="BT49" s="4315" t="n"/>
      <c r="BU49" s="4315" t="n"/>
    </row>
    <row r="50" ht="12" customFormat="1" customHeight="1" s="4315">
      <c r="A50" s="4316" t="n"/>
      <c r="B50" s="4317" t="n"/>
      <c r="C50" s="4318" t="inlineStr">
        <is>
          <t>[Redacted]</t>
        </is>
      </c>
      <c r="D50" s="4319" t="n">
        <v>11018</v>
      </c>
      <c r="E50" s="4320" t="n"/>
      <c r="F50" s="4320" t="n"/>
      <c r="G50" s="4320" t="n"/>
      <c r="H50" s="4320" t="n"/>
      <c r="I50" s="4321" t="inlineStr">
        <is>
          <t>M</t>
        </is>
      </c>
      <c r="J50" s="4322" t="n"/>
      <c r="K50" s="4322" t="n"/>
      <c r="L50" s="4322" t="n"/>
      <c r="M50" s="4323" t="n"/>
      <c r="N50" s="4323" t="n"/>
      <c r="O50" s="4315" t="n"/>
      <c r="P50" s="4324" t="n"/>
      <c r="Q50" s="4324" t="n"/>
      <c r="R50" s="4324" t="n"/>
      <c r="S50" s="4325" t="n"/>
      <c r="T50" s="4325" t="n"/>
      <c r="U50" s="4315" t="n"/>
      <c r="V50" s="4322" t="n"/>
      <c r="W50" s="4322" t="n"/>
      <c r="X50" s="4322" t="n"/>
      <c r="Y50" s="4322" t="n"/>
      <c r="Z50" s="4322" t="n"/>
      <c r="AA50" s="4322" t="n"/>
      <c r="AB50" s="4322" t="n"/>
      <c r="AC50" s="4322" t="n"/>
      <c r="AD50" s="4322" t="n"/>
      <c r="AE50" s="4322" t="n"/>
      <c r="AF50" s="4322" t="n"/>
      <c r="AG50" s="4326" t="n"/>
      <c r="AH50" s="4322" t="n"/>
      <c r="AI50" s="4322" t="n"/>
      <c r="AJ50" s="4322" t="n"/>
      <c r="AK50" s="4322" t="n"/>
      <c r="AL50" s="4322" t="n"/>
      <c r="AM50" s="4322" t="n"/>
      <c r="AN50" s="4322" t="n"/>
      <c r="AO50" s="4322" t="n"/>
      <c r="AP50" s="4322" t="n"/>
      <c r="AQ50" s="4322" t="n"/>
      <c r="AR50" s="4322" t="n"/>
      <c r="AS50" s="4326" t="n"/>
      <c r="AT50" s="4322" t="n"/>
      <c r="AU50" s="4322" t="n"/>
      <c r="AV50" s="4322" t="n"/>
      <c r="AW50" s="4322" t="n"/>
      <c r="AX50" s="4322" t="n"/>
      <c r="AY50" s="4322" t="n"/>
      <c r="AZ50" s="4322" t="n"/>
      <c r="BA50" s="4322" t="n"/>
      <c r="BB50" s="4322" t="n"/>
      <c r="BC50" s="4322" t="n"/>
      <c r="BD50" s="4322" t="n"/>
      <c r="BE50" s="4326" t="n"/>
      <c r="BF50" s="4322" t="n"/>
      <c r="BG50" s="4322" t="n"/>
      <c r="BH50" s="4322" t="n"/>
      <c r="BI50" s="4322" t="n"/>
      <c r="BJ50" s="4322" t="n"/>
      <c r="BK50" s="4327" t="n"/>
      <c r="BL50" s="4322" t="n"/>
      <c r="BM50" s="4322" t="n"/>
      <c r="BN50" s="4322" t="n"/>
      <c r="BO50" s="4322" t="n"/>
      <c r="BP50" s="4322" t="n"/>
      <c r="BQ50" s="4315" t="n"/>
      <c r="BR50" s="4328" t="n"/>
      <c r="BT50" s="4315" t="n"/>
      <c r="BU50" s="4315" t="n"/>
    </row>
    <row r="51" ht="12" customFormat="1" customHeight="1" s="4315">
      <c r="A51" s="4316" t="n"/>
      <c r="B51" s="4317" t="n"/>
      <c r="C51" s="4318" t="inlineStr">
        <is>
          <t>[Redacted]</t>
        </is>
      </c>
      <c r="D51" s="4319" t="n">
        <v>11029</v>
      </c>
      <c r="E51" s="4320" t="n"/>
      <c r="F51" s="4320" t="n"/>
      <c r="G51" s="4320" t="n"/>
      <c r="H51" s="4320" t="n"/>
      <c r="I51" s="4321" t="inlineStr">
        <is>
          <t>M</t>
        </is>
      </c>
      <c r="J51" s="4322" t="n"/>
      <c r="K51" s="4322" t="n"/>
      <c r="L51" s="4322" t="n"/>
      <c r="M51" s="4323" t="n"/>
      <c r="N51" s="4323" t="n"/>
      <c r="O51" s="4315" t="n"/>
      <c r="P51" s="4324" t="n"/>
      <c r="Q51" s="4324" t="n"/>
      <c r="R51" s="4324" t="n"/>
      <c r="S51" s="4325" t="n"/>
      <c r="T51" s="4325" t="n"/>
      <c r="U51" s="4315" t="n"/>
      <c r="V51" s="4322" t="n"/>
      <c r="W51" s="4322" t="n"/>
      <c r="X51" s="4322" t="n"/>
      <c r="Y51" s="4322" t="n"/>
      <c r="Z51" s="4322" t="n"/>
      <c r="AA51" s="4322" t="n"/>
      <c r="AB51" s="4322" t="n"/>
      <c r="AC51" s="4322" t="n"/>
      <c r="AD51" s="4322" t="n"/>
      <c r="AE51" s="4322" t="n"/>
      <c r="AF51" s="4322" t="n"/>
      <c r="AG51" s="4326" t="n"/>
      <c r="AH51" s="4322" t="n"/>
      <c r="AI51" s="4322" t="n"/>
      <c r="AJ51" s="4322" t="n"/>
      <c r="AK51" s="4322" t="n"/>
      <c r="AL51" s="4322" t="n"/>
      <c r="AM51" s="4322" t="n"/>
      <c r="AN51" s="4322" t="n"/>
      <c r="AO51" s="4322" t="n"/>
      <c r="AP51" s="4322" t="n"/>
      <c r="AQ51" s="4322" t="n"/>
      <c r="AR51" s="4322" t="n"/>
      <c r="AS51" s="4326" t="n"/>
      <c r="AT51" s="4322" t="n"/>
      <c r="AU51" s="4322" t="n"/>
      <c r="AV51" s="4322" t="n"/>
      <c r="AW51" s="4322" t="n"/>
      <c r="AX51" s="4322" t="n"/>
      <c r="AY51" s="4322" t="n"/>
      <c r="AZ51" s="4322" t="n"/>
      <c r="BA51" s="4322" t="n"/>
      <c r="BB51" s="4322" t="n"/>
      <c r="BC51" s="4322" t="n"/>
      <c r="BD51" s="4322" t="n"/>
      <c r="BE51" s="4326" t="n"/>
      <c r="BF51" s="4322" t="n"/>
      <c r="BG51" s="4322" t="n"/>
      <c r="BH51" s="4322" t="n"/>
      <c r="BI51" s="4322" t="n"/>
      <c r="BJ51" s="4322" t="n"/>
      <c r="BK51" s="4327" t="n"/>
      <c r="BL51" s="4322" t="n"/>
      <c r="BM51" s="4322" t="n"/>
      <c r="BN51" s="4322" t="n"/>
      <c r="BO51" s="4322" t="n"/>
      <c r="BP51" s="4322" t="n"/>
      <c r="BQ51" s="4315" t="n"/>
      <c r="BR51" s="4328" t="n"/>
      <c r="BT51" s="4315" t="n"/>
      <c r="BU51" s="4315" t="n"/>
    </row>
    <row r="52" ht="12" customFormat="1" customHeight="1" s="4315">
      <c r="A52" s="4316" t="n"/>
      <c r="B52" s="4317" t="n"/>
      <c r="C52" s="4318" t="inlineStr">
        <is>
          <t>[Redacted]</t>
        </is>
      </c>
      <c r="D52" s="4319" t="n">
        <v>11376</v>
      </c>
      <c r="E52" s="4320" t="n"/>
      <c r="F52" s="4320" t="n"/>
      <c r="G52" s="4320" t="n"/>
      <c r="H52" s="4320" t="n"/>
      <c r="I52" s="4321" t="inlineStr">
        <is>
          <t>F</t>
        </is>
      </c>
      <c r="J52" s="4322" t="n"/>
      <c r="K52" s="4322" t="n"/>
      <c r="L52" s="4322" t="n"/>
      <c r="M52" s="4323" t="n"/>
      <c r="N52" s="4323" t="n"/>
      <c r="O52" s="4315" t="n"/>
      <c r="P52" s="4324" t="n"/>
      <c r="Q52" s="4324" t="n"/>
      <c r="R52" s="4324" t="n"/>
      <c r="S52" s="4325" t="n"/>
      <c r="T52" s="4325" t="n"/>
      <c r="U52" s="4315" t="n"/>
      <c r="V52" s="4322" t="n"/>
      <c r="W52" s="4322" t="n"/>
      <c r="X52" s="4322" t="n"/>
      <c r="Y52" s="4322" t="n"/>
      <c r="Z52" s="4322" t="n"/>
      <c r="AA52" s="4322" t="n"/>
      <c r="AB52" s="4322" t="n"/>
      <c r="AC52" s="4322" t="n"/>
      <c r="AD52" s="4322" t="n"/>
      <c r="AE52" s="4322" t="n"/>
      <c r="AF52" s="4322" t="n"/>
      <c r="AG52" s="4326" t="n"/>
      <c r="AH52" s="4322" t="n"/>
      <c r="AI52" s="4322" t="n"/>
      <c r="AJ52" s="4322" t="n"/>
      <c r="AK52" s="4322" t="n"/>
      <c r="AL52" s="4322" t="n"/>
      <c r="AM52" s="4322" t="n"/>
      <c r="AN52" s="4322" t="n"/>
      <c r="AO52" s="4322" t="n"/>
      <c r="AP52" s="4322" t="n"/>
      <c r="AQ52" s="4322" t="n"/>
      <c r="AR52" s="4322" t="n"/>
      <c r="AS52" s="4326" t="n"/>
      <c r="AT52" s="4322" t="n"/>
      <c r="AU52" s="4322" t="n"/>
      <c r="AV52" s="4322" t="n"/>
      <c r="AW52" s="4322" t="n"/>
      <c r="AX52" s="4322" t="n"/>
      <c r="AY52" s="4322" t="n"/>
      <c r="AZ52" s="4322" t="n"/>
      <c r="BA52" s="4322" t="n"/>
      <c r="BB52" s="4322" t="n"/>
      <c r="BC52" s="4322" t="n"/>
      <c r="BD52" s="4322" t="n"/>
      <c r="BE52" s="4326" t="n"/>
      <c r="BF52" s="4322" t="n"/>
      <c r="BG52" s="4322" t="n"/>
      <c r="BH52" s="4322" t="n"/>
      <c r="BI52" s="4322" t="n"/>
      <c r="BJ52" s="4322" t="n"/>
      <c r="BK52" s="4327" t="n"/>
      <c r="BL52" s="4322" t="n"/>
      <c r="BM52" s="4322" t="n"/>
      <c r="BN52" s="4322" t="n"/>
      <c r="BO52" s="4322" t="n"/>
      <c r="BP52" s="4322" t="n"/>
      <c r="BQ52" s="4315" t="n"/>
      <c r="BR52" s="4328" t="n"/>
      <c r="BT52" s="4315" t="n"/>
      <c r="BU52" s="4315" t="n"/>
    </row>
    <row r="53" ht="12" customFormat="1" customHeight="1" s="4315">
      <c r="A53" s="4316" t="n"/>
      <c r="B53" s="4317" t="n"/>
      <c r="C53" s="4318" t="inlineStr">
        <is>
          <t>[Redacted]</t>
        </is>
      </c>
      <c r="D53" s="4319" t="n">
        <v>11069</v>
      </c>
      <c r="E53" s="4320" t="n"/>
      <c r="F53" s="4320" t="n"/>
      <c r="G53" s="4320" t="n"/>
      <c r="H53" s="4320" t="n"/>
      <c r="I53" s="4321" t="inlineStr">
        <is>
          <t>F</t>
        </is>
      </c>
      <c r="J53" s="4322" t="n"/>
      <c r="K53" s="4322" t="n"/>
      <c r="L53" s="4322" t="n"/>
      <c r="M53" s="4323" t="n"/>
      <c r="N53" s="4323" t="n"/>
      <c r="O53" s="4315" t="n"/>
      <c r="P53" s="4324" t="n"/>
      <c r="Q53" s="4324" t="n"/>
      <c r="R53" s="4324" t="n"/>
      <c r="S53" s="4325" t="n"/>
      <c r="T53" s="4325" t="n"/>
      <c r="U53" s="4315" t="n"/>
      <c r="V53" s="4322" t="n"/>
      <c r="W53" s="4322" t="n"/>
      <c r="X53" s="4322" t="n"/>
      <c r="Y53" s="4322" t="n"/>
      <c r="Z53" s="4322" t="n"/>
      <c r="AA53" s="4322" t="n"/>
      <c r="AB53" s="4322" t="n"/>
      <c r="AC53" s="4322" t="n"/>
      <c r="AD53" s="4322" t="n"/>
      <c r="AE53" s="4322" t="n"/>
      <c r="AF53" s="4322" t="n"/>
      <c r="AG53" s="4326" t="n"/>
      <c r="AH53" s="4322" t="n"/>
      <c r="AI53" s="4322" t="n"/>
      <c r="AJ53" s="4322" t="n"/>
      <c r="AK53" s="4322" t="n"/>
      <c r="AL53" s="4322" t="n"/>
      <c r="AM53" s="4322" t="n"/>
      <c r="AN53" s="4322" t="n"/>
      <c r="AO53" s="4322" t="n"/>
      <c r="AP53" s="4322" t="n"/>
      <c r="AQ53" s="4322" t="n"/>
      <c r="AR53" s="4322" t="n"/>
      <c r="AS53" s="4326" t="n"/>
      <c r="AT53" s="4322" t="n"/>
      <c r="AU53" s="4322" t="n"/>
      <c r="AV53" s="4322" t="n"/>
      <c r="AW53" s="4322" t="n"/>
      <c r="AX53" s="4322" t="n"/>
      <c r="AY53" s="4322" t="n"/>
      <c r="AZ53" s="4322" t="n"/>
      <c r="BA53" s="4322" t="n"/>
      <c r="BB53" s="4322" t="n"/>
      <c r="BC53" s="4322" t="n"/>
      <c r="BD53" s="4322" t="n"/>
      <c r="BE53" s="4326" t="n"/>
      <c r="BF53" s="4322" t="n"/>
      <c r="BG53" s="4322" t="n"/>
      <c r="BH53" s="4322" t="n"/>
      <c r="BI53" s="4322" t="n"/>
      <c r="BJ53" s="4322" t="n"/>
      <c r="BK53" s="4327" t="n"/>
      <c r="BL53" s="4322" t="n"/>
      <c r="BM53" s="4322" t="n"/>
      <c r="BN53" s="4322" t="n"/>
      <c r="BO53" s="4322" t="n"/>
      <c r="BP53" s="4322" t="n"/>
      <c r="BQ53" s="4315" t="n"/>
      <c r="BR53" s="4328" t="n"/>
      <c r="BT53" s="4315" t="n"/>
      <c r="BU53" s="4315" t="n"/>
    </row>
    <row r="54" ht="12" customFormat="1" customHeight="1" s="4315">
      <c r="A54" s="4316" t="n"/>
      <c r="B54" s="4317" t="n"/>
      <c r="C54" s="4318" t="inlineStr">
        <is>
          <t>[Redacted]</t>
        </is>
      </c>
      <c r="D54" s="4319" t="n">
        <v>11247</v>
      </c>
      <c r="E54" s="4320" t="n"/>
      <c r="F54" s="4320" t="n"/>
      <c r="G54" s="4320" t="n"/>
      <c r="H54" s="4320" t="n"/>
      <c r="I54" s="4321" t="inlineStr">
        <is>
          <t>M</t>
        </is>
      </c>
      <c r="J54" s="4322" t="n"/>
      <c r="K54" s="4322" t="n"/>
      <c r="L54" s="4322" t="n"/>
      <c r="M54" s="4323" t="n"/>
      <c r="N54" s="4323" t="n"/>
      <c r="O54" s="4315" t="n"/>
      <c r="P54" s="4324" t="n"/>
      <c r="Q54" s="4324" t="n"/>
      <c r="R54" s="4324" t="n"/>
      <c r="S54" s="4325" t="n"/>
      <c r="T54" s="4325" t="n"/>
      <c r="U54" s="4315" t="n"/>
      <c r="V54" s="4322" t="n"/>
      <c r="W54" s="4322" t="n"/>
      <c r="X54" s="4322" t="n"/>
      <c r="Y54" s="4322" t="n"/>
      <c r="Z54" s="4322" t="n"/>
      <c r="AA54" s="4322" t="n"/>
      <c r="AB54" s="4322" t="n"/>
      <c r="AC54" s="4322" t="n"/>
      <c r="AD54" s="4322" t="n"/>
      <c r="AE54" s="4322" t="n"/>
      <c r="AF54" s="4322" t="n"/>
      <c r="AG54" s="4326" t="n"/>
      <c r="AH54" s="4322" t="n"/>
      <c r="AI54" s="4322" t="n"/>
      <c r="AJ54" s="4322" t="n"/>
      <c r="AK54" s="4322" t="n"/>
      <c r="AL54" s="4322" t="n"/>
      <c r="AM54" s="4322" t="n"/>
      <c r="AN54" s="4322" t="n"/>
      <c r="AO54" s="4322" t="n"/>
      <c r="AP54" s="4322" t="n"/>
      <c r="AQ54" s="4322" t="n"/>
      <c r="AR54" s="4322" t="n"/>
      <c r="AS54" s="4326" t="n"/>
      <c r="AT54" s="4322" t="n"/>
      <c r="AU54" s="4322" t="n"/>
      <c r="AV54" s="4322" t="n"/>
      <c r="AW54" s="4322" t="n"/>
      <c r="AX54" s="4322" t="n"/>
      <c r="AY54" s="4322" t="n"/>
      <c r="AZ54" s="4322" t="n"/>
      <c r="BA54" s="4322" t="n"/>
      <c r="BB54" s="4322" t="n"/>
      <c r="BC54" s="4322" t="n"/>
      <c r="BD54" s="4322" t="n"/>
      <c r="BE54" s="4326" t="n"/>
      <c r="BF54" s="4322" t="n"/>
      <c r="BG54" s="4322" t="n"/>
      <c r="BH54" s="4322" t="n"/>
      <c r="BI54" s="4322" t="n"/>
      <c r="BJ54" s="4322" t="n"/>
      <c r="BK54" s="4327" t="n"/>
      <c r="BL54" s="4322" t="n"/>
      <c r="BM54" s="4322" t="n"/>
      <c r="BN54" s="4322" t="n"/>
      <c r="BO54" s="4322" t="n"/>
      <c r="BP54" s="4322" t="n"/>
      <c r="BQ54" s="4315" t="n"/>
      <c r="BR54" s="4328" t="n"/>
      <c r="BT54" s="4315" t="n"/>
      <c r="BU54" s="4315" t="n"/>
    </row>
    <row r="55" ht="12" customFormat="1" customHeight="1" s="4315">
      <c r="A55" s="4316" t="n"/>
      <c r="B55" s="4317" t="n"/>
      <c r="C55" s="4318" t="inlineStr">
        <is>
          <t>[Redacted]</t>
        </is>
      </c>
      <c r="D55" s="4319" t="n">
        <v>11088</v>
      </c>
      <c r="E55" s="4320" t="n"/>
      <c r="F55" s="4320" t="n"/>
      <c r="G55" s="4320" t="n"/>
      <c r="H55" s="4320" t="n"/>
      <c r="I55" s="4321" t="inlineStr">
        <is>
          <t>F</t>
        </is>
      </c>
      <c r="J55" s="4322" t="n"/>
      <c r="K55" s="4322" t="n"/>
      <c r="L55" s="4322" t="n"/>
      <c r="M55" s="4323" t="n"/>
      <c r="N55" s="4323" t="n"/>
      <c r="O55" s="4315" t="n"/>
      <c r="P55" s="4324" t="n"/>
      <c r="Q55" s="4324" t="n"/>
      <c r="R55" s="4324" t="n"/>
      <c r="S55" s="4325" t="n"/>
      <c r="T55" s="4325" t="n"/>
      <c r="U55" s="4315" t="n"/>
      <c r="V55" s="4322" t="n"/>
      <c r="W55" s="4322" t="n"/>
      <c r="X55" s="4322" t="n"/>
      <c r="Y55" s="4322" t="n"/>
      <c r="Z55" s="4322" t="n"/>
      <c r="AA55" s="4322" t="n"/>
      <c r="AB55" s="4322" t="n"/>
      <c r="AC55" s="4322" t="n"/>
      <c r="AD55" s="4322" t="n"/>
      <c r="AE55" s="4322" t="n"/>
      <c r="AF55" s="4322" t="n"/>
      <c r="AG55" s="4326" t="n"/>
      <c r="AH55" s="4322" t="n"/>
      <c r="AI55" s="4322" t="n"/>
      <c r="AJ55" s="4322" t="n"/>
      <c r="AK55" s="4322" t="n"/>
      <c r="AL55" s="4322" t="n"/>
      <c r="AM55" s="4322" t="n"/>
      <c r="AN55" s="4322" t="n"/>
      <c r="AO55" s="4322" t="n"/>
      <c r="AP55" s="4322" t="n"/>
      <c r="AQ55" s="4322" t="n"/>
      <c r="AR55" s="4322" t="n"/>
      <c r="AS55" s="4326" t="n"/>
      <c r="AT55" s="4322" t="n"/>
      <c r="AU55" s="4322" t="n"/>
      <c r="AV55" s="4322" t="n"/>
      <c r="AW55" s="4322" t="n"/>
      <c r="AX55" s="4322" t="n"/>
      <c r="AY55" s="4322" t="n"/>
      <c r="AZ55" s="4322" t="n"/>
      <c r="BA55" s="4322" t="n"/>
      <c r="BB55" s="4322" t="n"/>
      <c r="BC55" s="4322" t="n"/>
      <c r="BD55" s="4322" t="n"/>
      <c r="BE55" s="4326" t="n"/>
      <c r="BF55" s="4322" t="n"/>
      <c r="BG55" s="4322" t="n"/>
      <c r="BH55" s="4322" t="n"/>
      <c r="BI55" s="4322" t="n"/>
      <c r="BJ55" s="4322" t="n"/>
      <c r="BK55" s="4327" t="n"/>
      <c r="BL55" s="4322" t="n"/>
      <c r="BM55" s="4322" t="n"/>
      <c r="BN55" s="4322" t="n"/>
      <c r="BO55" s="4322" t="n"/>
      <c r="BP55" s="4322" t="n"/>
      <c r="BQ55" s="4315" t="n"/>
      <c r="BR55" s="4328" t="n"/>
      <c r="BT55" s="4315" t="n"/>
      <c r="BU55" s="4315" t="n"/>
    </row>
    <row r="56" ht="12" customFormat="1" customHeight="1" s="4315">
      <c r="A56" s="4316" t="n"/>
      <c r="B56" s="4317" t="n"/>
      <c r="C56" s="4318" t="inlineStr">
        <is>
          <t>[Redacted]</t>
        </is>
      </c>
      <c r="D56" s="4319" t="n">
        <v>11316</v>
      </c>
      <c r="E56" s="4320" t="n"/>
      <c r="F56" s="4320" t="n"/>
      <c r="G56" s="4320" t="n"/>
      <c r="H56" s="4320" t="n"/>
      <c r="I56" s="4321" t="inlineStr">
        <is>
          <t>F</t>
        </is>
      </c>
      <c r="J56" s="4322" t="n"/>
      <c r="K56" s="4322" t="n"/>
      <c r="L56" s="4322" t="n"/>
      <c r="M56" s="4323" t="n"/>
      <c r="N56" s="4323" t="n"/>
      <c r="O56" s="4315" t="n"/>
      <c r="P56" s="4324" t="n"/>
      <c r="Q56" s="4324" t="n"/>
      <c r="R56" s="4324" t="n"/>
      <c r="S56" s="4325" t="n"/>
      <c r="T56" s="4325" t="n"/>
      <c r="U56" s="4315" t="n"/>
      <c r="V56" s="4322" t="n"/>
      <c r="W56" s="4322" t="n"/>
      <c r="X56" s="4322" t="n"/>
      <c r="Y56" s="4322" t="n"/>
      <c r="Z56" s="4322" t="n"/>
      <c r="AA56" s="4322" t="n"/>
      <c r="AB56" s="4322" t="n"/>
      <c r="AC56" s="4322" t="n"/>
      <c r="AD56" s="4322" t="n"/>
      <c r="AE56" s="4322" t="n"/>
      <c r="AF56" s="4322" t="n"/>
      <c r="AG56" s="4326" t="n"/>
      <c r="AH56" s="4322" t="n"/>
      <c r="AI56" s="4322" t="n"/>
      <c r="AJ56" s="4322" t="n"/>
      <c r="AK56" s="4322" t="n"/>
      <c r="AL56" s="4322" t="n"/>
      <c r="AM56" s="4322" t="n"/>
      <c r="AN56" s="4322" t="n"/>
      <c r="AO56" s="4322" t="n"/>
      <c r="AP56" s="4322" t="n"/>
      <c r="AQ56" s="4322" t="n"/>
      <c r="AR56" s="4322" t="n"/>
      <c r="AS56" s="4326" t="n"/>
      <c r="AT56" s="4322" t="n"/>
      <c r="AU56" s="4322" t="n"/>
      <c r="AV56" s="4322" t="n"/>
      <c r="AW56" s="4322" t="n"/>
      <c r="AX56" s="4322" t="n"/>
      <c r="AY56" s="4322" t="n"/>
      <c r="AZ56" s="4322" t="n"/>
      <c r="BA56" s="4322" t="n"/>
      <c r="BB56" s="4322" t="n"/>
      <c r="BC56" s="4322" t="n"/>
      <c r="BD56" s="4322" t="n"/>
      <c r="BE56" s="4326" t="n"/>
      <c r="BF56" s="4322" t="n"/>
      <c r="BG56" s="4322" t="n"/>
      <c r="BH56" s="4322" t="n"/>
      <c r="BI56" s="4322" t="n"/>
      <c r="BJ56" s="4322" t="n"/>
      <c r="BK56" s="4327" t="n"/>
      <c r="BL56" s="4322" t="n"/>
      <c r="BM56" s="4322" t="n"/>
      <c r="BN56" s="4322" t="n"/>
      <c r="BO56" s="4322" t="n"/>
      <c r="BP56" s="4322" t="n"/>
      <c r="BQ56" s="4315" t="n"/>
      <c r="BR56" s="4328" t="n"/>
      <c r="BT56" s="4315" t="n"/>
      <c r="BU56" s="4315" t="n"/>
    </row>
    <row r="57" ht="12" customFormat="1" customHeight="1" s="4315">
      <c r="A57" s="4316" t="n"/>
      <c r="B57" s="4317" t="n"/>
      <c r="C57" s="4318" t="inlineStr">
        <is>
          <t>[Redacted]</t>
        </is>
      </c>
      <c r="D57" s="4319" t="n">
        <v>11217</v>
      </c>
      <c r="E57" s="4320" t="n"/>
      <c r="F57" s="4320" t="n"/>
      <c r="G57" s="4320" t="n"/>
      <c r="H57" s="4320" t="n"/>
      <c r="I57" s="4321" t="inlineStr">
        <is>
          <t>M</t>
        </is>
      </c>
      <c r="J57" s="4322" t="n"/>
      <c r="K57" s="4322" t="n"/>
      <c r="L57" s="4322" t="n"/>
      <c r="M57" s="4323" t="n"/>
      <c r="N57" s="4323" t="n"/>
      <c r="O57" s="4315" t="n"/>
      <c r="P57" s="4324" t="n"/>
      <c r="Q57" s="4324" t="n"/>
      <c r="R57" s="4324" t="n"/>
      <c r="S57" s="4325" t="n"/>
      <c r="T57" s="4325" t="n"/>
      <c r="U57" s="4315" t="n"/>
      <c r="V57" s="4322" t="n"/>
      <c r="W57" s="4322" t="n"/>
      <c r="X57" s="4322" t="n"/>
      <c r="Y57" s="4322" t="n"/>
      <c r="Z57" s="4322" t="n"/>
      <c r="AA57" s="4322" t="n"/>
      <c r="AB57" s="4322" t="n"/>
      <c r="AC57" s="4322" t="n"/>
      <c r="AD57" s="4322" t="n"/>
      <c r="AE57" s="4322" t="n"/>
      <c r="AF57" s="4322" t="n"/>
      <c r="AG57" s="4326" t="n"/>
      <c r="AH57" s="4322" t="n"/>
      <c r="AI57" s="4322" t="n"/>
      <c r="AJ57" s="4322" t="n"/>
      <c r="AK57" s="4322" t="n"/>
      <c r="AL57" s="4322" t="n"/>
      <c r="AM57" s="4322" t="n"/>
      <c r="AN57" s="4322" t="n"/>
      <c r="AO57" s="4322" t="n"/>
      <c r="AP57" s="4322" t="n"/>
      <c r="AQ57" s="4322" t="n"/>
      <c r="AR57" s="4322" t="n"/>
      <c r="AS57" s="4326" t="n"/>
      <c r="AT57" s="4322" t="n"/>
      <c r="AU57" s="4322" t="n"/>
      <c r="AV57" s="4322" t="n"/>
      <c r="AW57" s="4322" t="n"/>
      <c r="AX57" s="4322" t="n"/>
      <c r="AY57" s="4322" t="n"/>
      <c r="AZ57" s="4322" t="n"/>
      <c r="BA57" s="4322" t="n"/>
      <c r="BB57" s="4322" t="n"/>
      <c r="BC57" s="4322" t="n"/>
      <c r="BD57" s="4322" t="n"/>
      <c r="BE57" s="4326" t="n"/>
      <c r="BF57" s="4322" t="n"/>
      <c r="BG57" s="4322" t="n"/>
      <c r="BH57" s="4322" t="n"/>
      <c r="BI57" s="4322" t="n"/>
      <c r="BJ57" s="4322" t="n"/>
      <c r="BK57" s="4327" t="n"/>
      <c r="BL57" s="4322" t="n"/>
      <c r="BM57" s="4322" t="n"/>
      <c r="BN57" s="4322" t="n"/>
      <c r="BO57" s="4322" t="n"/>
      <c r="BP57" s="4322" t="n"/>
      <c r="BQ57" s="4315" t="n"/>
      <c r="BR57" s="4328" t="n"/>
      <c r="BT57" s="4315" t="n"/>
      <c r="BU57" s="4315" t="n"/>
    </row>
    <row r="58" ht="12" customFormat="1" customHeight="1" s="4315">
      <c r="A58" s="4316" t="n"/>
      <c r="B58" s="4317" t="n"/>
      <c r="C58" s="4318" t="inlineStr">
        <is>
          <t>[Redacted]</t>
        </is>
      </c>
      <c r="D58" s="4319" t="n">
        <v>11293</v>
      </c>
      <c r="E58" s="4320" t="n"/>
      <c r="F58" s="4320" t="n"/>
      <c r="G58" s="4320" t="n"/>
      <c r="H58" s="4320" t="n"/>
      <c r="I58" s="4321" t="inlineStr">
        <is>
          <t>F</t>
        </is>
      </c>
      <c r="J58" s="4322" t="n"/>
      <c r="K58" s="4322" t="n"/>
      <c r="L58" s="4322" t="n"/>
      <c r="M58" s="4323" t="n"/>
      <c r="N58" s="4323" t="n"/>
      <c r="O58" s="4315" t="n"/>
      <c r="P58" s="4324" t="n"/>
      <c r="Q58" s="4324" t="n"/>
      <c r="R58" s="4324" t="n"/>
      <c r="S58" s="4325" t="n"/>
      <c r="T58" s="4325" t="n"/>
      <c r="U58" s="4315" t="n"/>
      <c r="V58" s="4322" t="n"/>
      <c r="W58" s="4322" t="n"/>
      <c r="X58" s="4322" t="n"/>
      <c r="Y58" s="4322" t="n"/>
      <c r="Z58" s="4322" t="n"/>
      <c r="AA58" s="4322" t="n"/>
      <c r="AB58" s="4322" t="n"/>
      <c r="AC58" s="4322" t="n"/>
      <c r="AD58" s="4322" t="n"/>
      <c r="AE58" s="4322" t="n"/>
      <c r="AF58" s="4322" t="n"/>
      <c r="AG58" s="4326" t="n"/>
      <c r="AH58" s="4322" t="n"/>
      <c r="AI58" s="4322" t="n"/>
      <c r="AJ58" s="4322" t="n"/>
      <c r="AK58" s="4322" t="n"/>
      <c r="AL58" s="4322" t="n"/>
      <c r="AM58" s="4322" t="n"/>
      <c r="AN58" s="4322" t="n"/>
      <c r="AO58" s="4322" t="n"/>
      <c r="AP58" s="4322" t="n"/>
      <c r="AQ58" s="4322" t="n"/>
      <c r="AR58" s="4322" t="n"/>
      <c r="AS58" s="4326" t="n"/>
      <c r="AT58" s="4322" t="n"/>
      <c r="AU58" s="4322" t="n"/>
      <c r="AV58" s="4322" t="n"/>
      <c r="AW58" s="4322" t="n"/>
      <c r="AX58" s="4322" t="n"/>
      <c r="AY58" s="4322" t="n"/>
      <c r="AZ58" s="4322" t="n"/>
      <c r="BA58" s="4322" t="n"/>
      <c r="BB58" s="4322" t="n"/>
      <c r="BC58" s="4322" t="n"/>
      <c r="BD58" s="4322" t="n"/>
      <c r="BE58" s="4326" t="n"/>
      <c r="BF58" s="4322" t="n"/>
      <c r="BG58" s="4322" t="n"/>
      <c r="BH58" s="4322" t="n"/>
      <c r="BI58" s="4322" t="n"/>
      <c r="BJ58" s="4322" t="n"/>
      <c r="BK58" s="4327" t="n"/>
      <c r="BL58" s="4322" t="n"/>
      <c r="BM58" s="4322" t="n"/>
      <c r="BN58" s="4322" t="n"/>
      <c r="BO58" s="4322" t="n"/>
      <c r="BP58" s="4322" t="n"/>
      <c r="BQ58" s="4315" t="n"/>
      <c r="BR58" s="4328" t="n"/>
      <c r="BT58" s="4315" t="n"/>
      <c r="BU58" s="4315" t="n"/>
    </row>
    <row r="59" ht="12" customFormat="1" customHeight="1" s="4315">
      <c r="A59" s="4316" t="n"/>
      <c r="B59" s="4317" t="n"/>
      <c r="C59" s="4318" t="inlineStr">
        <is>
          <t>[Redacted]</t>
        </is>
      </c>
      <c r="D59" s="4319" t="n">
        <v>11248</v>
      </c>
      <c r="E59" s="4320" t="n"/>
      <c r="F59" s="4320" t="n"/>
      <c r="G59" s="4320" t="n"/>
      <c r="H59" s="4320" t="n"/>
      <c r="I59" s="4321" t="inlineStr">
        <is>
          <t>M</t>
        </is>
      </c>
      <c r="J59" s="4322" t="n"/>
      <c r="K59" s="4322" t="n"/>
      <c r="L59" s="4322" t="n"/>
      <c r="M59" s="4323" t="n"/>
      <c r="N59" s="4323" t="n"/>
      <c r="O59" s="4315" t="n"/>
      <c r="P59" s="4324" t="n"/>
      <c r="Q59" s="4324" t="n"/>
      <c r="R59" s="4324" t="n"/>
      <c r="S59" s="4325" t="n"/>
      <c r="T59" s="4325" t="n"/>
      <c r="U59" s="4315" t="n"/>
      <c r="V59" s="4322" t="n"/>
      <c r="W59" s="4322" t="n"/>
      <c r="X59" s="4322" t="n"/>
      <c r="Y59" s="4322" t="n"/>
      <c r="Z59" s="4322" t="n"/>
      <c r="AA59" s="4322" t="n"/>
      <c r="AB59" s="4322" t="n"/>
      <c r="AC59" s="4322" t="n"/>
      <c r="AD59" s="4322" t="n"/>
      <c r="AE59" s="4322" t="n"/>
      <c r="AF59" s="4322" t="n"/>
      <c r="AG59" s="4326" t="n"/>
      <c r="AH59" s="4322" t="n"/>
      <c r="AI59" s="4322" t="n"/>
      <c r="AJ59" s="4322" t="n"/>
      <c r="AK59" s="4322" t="n"/>
      <c r="AL59" s="4322" t="n"/>
      <c r="AM59" s="4322" t="n"/>
      <c r="AN59" s="4322" t="n"/>
      <c r="AO59" s="4322" t="n"/>
      <c r="AP59" s="4322" t="n"/>
      <c r="AQ59" s="4322" t="n"/>
      <c r="AR59" s="4322" t="n"/>
      <c r="AS59" s="4326" t="n"/>
      <c r="AT59" s="4322" t="n"/>
      <c r="AU59" s="4322" t="n"/>
      <c r="AV59" s="4322" t="n"/>
      <c r="AW59" s="4322" t="n"/>
      <c r="AX59" s="4322" t="n"/>
      <c r="AY59" s="4322" t="n"/>
      <c r="AZ59" s="4322" t="n"/>
      <c r="BA59" s="4322" t="n"/>
      <c r="BB59" s="4322" t="n"/>
      <c r="BC59" s="4322" t="n"/>
      <c r="BD59" s="4322" t="n"/>
      <c r="BE59" s="4326" t="n"/>
      <c r="BF59" s="4322" t="n"/>
      <c r="BG59" s="4322" t="n"/>
      <c r="BH59" s="4322" t="n"/>
      <c r="BI59" s="4322" t="n"/>
      <c r="BJ59" s="4322" t="n"/>
      <c r="BK59" s="4327" t="n"/>
      <c r="BL59" s="4322" t="n"/>
      <c r="BM59" s="4322" t="n"/>
      <c r="BN59" s="4322" t="n"/>
      <c r="BO59" s="4322" t="n"/>
      <c r="BP59" s="4322" t="n"/>
      <c r="BQ59" s="4315" t="n"/>
      <c r="BR59" s="4328" t="n"/>
      <c r="BT59" s="4315" t="n"/>
      <c r="BU59" s="4315" t="n"/>
    </row>
    <row r="60" ht="12" customFormat="1" customHeight="1" s="4315">
      <c r="A60" s="4316" t="n"/>
      <c r="B60" s="4317" t="n"/>
      <c r="C60" s="4318" t="inlineStr">
        <is>
          <t>[Redacted]</t>
        </is>
      </c>
      <c r="D60" s="4319" t="n">
        <v>11311</v>
      </c>
      <c r="E60" s="4320" t="n"/>
      <c r="F60" s="4320" t="n"/>
      <c r="G60" s="4320" t="n"/>
      <c r="H60" s="4320" t="n"/>
      <c r="I60" s="4321" t="inlineStr">
        <is>
          <t>F</t>
        </is>
      </c>
      <c r="J60" s="4322" t="n"/>
      <c r="K60" s="4322" t="n"/>
      <c r="L60" s="4322" t="n"/>
      <c r="M60" s="4323" t="n"/>
      <c r="N60" s="4323" t="n"/>
      <c r="O60" s="4315" t="n"/>
      <c r="P60" s="4324" t="n"/>
      <c r="Q60" s="4324" t="n"/>
      <c r="R60" s="4324" t="n"/>
      <c r="S60" s="4325" t="n"/>
      <c r="T60" s="4325" t="n"/>
      <c r="U60" s="4315" t="n"/>
      <c r="V60" s="4322" t="n"/>
      <c r="W60" s="4322" t="n"/>
      <c r="X60" s="4322" t="n"/>
      <c r="Y60" s="4322" t="n"/>
      <c r="Z60" s="4322" t="n"/>
      <c r="AA60" s="4322" t="n"/>
      <c r="AB60" s="4322" t="n"/>
      <c r="AC60" s="4322" t="n"/>
      <c r="AD60" s="4322" t="n"/>
      <c r="AE60" s="4322" t="n"/>
      <c r="AF60" s="4322" t="n"/>
      <c r="AG60" s="4326" t="n"/>
      <c r="AH60" s="4322" t="n"/>
      <c r="AI60" s="4322" t="n"/>
      <c r="AJ60" s="4322" t="n"/>
      <c r="AK60" s="4322" t="n"/>
      <c r="AL60" s="4322" t="n"/>
      <c r="AM60" s="4322" t="n"/>
      <c r="AN60" s="4322" t="n"/>
      <c r="AO60" s="4322" t="n"/>
      <c r="AP60" s="4322" t="n"/>
      <c r="AQ60" s="4322" t="n"/>
      <c r="AR60" s="4322" t="n"/>
      <c r="AS60" s="4326" t="n"/>
      <c r="AT60" s="4322" t="n"/>
      <c r="AU60" s="4322" t="n"/>
      <c r="AV60" s="4322" t="n"/>
      <c r="AW60" s="4322" t="n"/>
      <c r="AX60" s="4322" t="n"/>
      <c r="AY60" s="4322" t="n"/>
      <c r="AZ60" s="4322" t="n"/>
      <c r="BA60" s="4322" t="n"/>
      <c r="BB60" s="4322" t="n"/>
      <c r="BC60" s="4322" t="n"/>
      <c r="BD60" s="4322" t="n"/>
      <c r="BE60" s="4326" t="n"/>
      <c r="BF60" s="4322" t="n"/>
      <c r="BG60" s="4322" t="n"/>
      <c r="BH60" s="4322" t="n"/>
      <c r="BI60" s="4322" t="n"/>
      <c r="BJ60" s="4322" t="n"/>
      <c r="BK60" s="4327" t="n"/>
      <c r="BL60" s="4322" t="n"/>
      <c r="BM60" s="4322" t="n"/>
      <c r="BN60" s="4322" t="n"/>
      <c r="BO60" s="4322" t="n"/>
      <c r="BP60" s="4322" t="n"/>
      <c r="BQ60" s="4315" t="n"/>
      <c r="BR60" s="4328" t="n"/>
      <c r="BT60" s="4315" t="n"/>
      <c r="BU60" s="4315" t="n"/>
    </row>
    <row r="61" ht="12" customFormat="1" customHeight="1" s="4315">
      <c r="A61" s="4316" t="n"/>
      <c r="B61" s="4317" t="n"/>
      <c r="C61" s="4318" t="inlineStr">
        <is>
          <t>[Redacted]</t>
        </is>
      </c>
      <c r="D61" s="4319" t="n">
        <v>11359</v>
      </c>
      <c r="E61" s="4320" t="n"/>
      <c r="F61" s="4320" t="n"/>
      <c r="G61" s="4320" t="n"/>
      <c r="H61" s="4320" t="n"/>
      <c r="I61" s="4321" t="inlineStr">
        <is>
          <t>M</t>
        </is>
      </c>
      <c r="J61" s="4322" t="n"/>
      <c r="K61" s="4322" t="n"/>
      <c r="L61" s="4322" t="n"/>
      <c r="M61" s="4323" t="n"/>
      <c r="N61" s="4323" t="n"/>
      <c r="O61" s="4315" t="n"/>
      <c r="P61" s="4324" t="n"/>
      <c r="Q61" s="4324" t="n"/>
      <c r="R61" s="4324" t="n"/>
      <c r="S61" s="4325" t="n"/>
      <c r="T61" s="4325" t="n"/>
      <c r="U61" s="4315" t="n"/>
      <c r="V61" s="4322" t="n"/>
      <c r="W61" s="4322" t="n"/>
      <c r="X61" s="4322" t="n"/>
      <c r="Y61" s="4322" t="n"/>
      <c r="Z61" s="4322" t="n"/>
      <c r="AA61" s="4322" t="n"/>
      <c r="AB61" s="4322" t="n"/>
      <c r="AC61" s="4322" t="n"/>
      <c r="AD61" s="4322" t="n"/>
      <c r="AE61" s="4322" t="n"/>
      <c r="AF61" s="4322" t="n"/>
      <c r="AG61" s="4326" t="n"/>
      <c r="AH61" s="4322" t="n"/>
      <c r="AI61" s="4322" t="n"/>
      <c r="AJ61" s="4322" t="n"/>
      <c r="AK61" s="4322" t="n"/>
      <c r="AL61" s="4322" t="n"/>
      <c r="AM61" s="4322" t="n"/>
      <c r="AN61" s="4322" t="n"/>
      <c r="AO61" s="4322" t="n"/>
      <c r="AP61" s="4322" t="n"/>
      <c r="AQ61" s="4322" t="n"/>
      <c r="AR61" s="4322" t="n"/>
      <c r="AS61" s="4326" t="n"/>
      <c r="AT61" s="4322" t="n"/>
      <c r="AU61" s="4322" t="n"/>
      <c r="AV61" s="4322" t="n"/>
      <c r="AW61" s="4322" t="n"/>
      <c r="AX61" s="4322" t="n"/>
      <c r="AY61" s="4322" t="n"/>
      <c r="AZ61" s="4322" t="n"/>
      <c r="BA61" s="4322" t="n"/>
      <c r="BB61" s="4322" t="n"/>
      <c r="BC61" s="4322" t="n"/>
      <c r="BD61" s="4322" t="n"/>
      <c r="BE61" s="4326" t="n"/>
      <c r="BF61" s="4322" t="n"/>
      <c r="BG61" s="4322" t="n"/>
      <c r="BH61" s="4322" t="n"/>
      <c r="BI61" s="4322" t="n"/>
      <c r="BJ61" s="4322" t="n"/>
      <c r="BK61" s="4327" t="n"/>
      <c r="BL61" s="4322" t="n"/>
      <c r="BM61" s="4322" t="n"/>
      <c r="BN61" s="4322" t="n"/>
      <c r="BO61" s="4322" t="n"/>
      <c r="BP61" s="4322" t="n"/>
      <c r="BQ61" s="4315" t="n"/>
      <c r="BR61" s="4328" t="n"/>
      <c r="BT61" s="4315" t="n"/>
      <c r="BU61" s="4315" t="n"/>
    </row>
    <row r="62" ht="12" customFormat="1" customHeight="1" s="4315">
      <c r="A62" s="4316" t="n"/>
      <c r="B62" s="4317" t="n"/>
      <c r="C62" s="4318" t="inlineStr">
        <is>
          <t>[Redacted]</t>
        </is>
      </c>
      <c r="D62" s="4319" t="n">
        <v>11294</v>
      </c>
      <c r="E62" s="4320" t="n"/>
      <c r="F62" s="4320" t="n"/>
      <c r="G62" s="4320" t="n"/>
      <c r="H62" s="4320" t="n"/>
      <c r="I62" s="4321" t="inlineStr">
        <is>
          <t>F</t>
        </is>
      </c>
      <c r="J62" s="4322" t="n"/>
      <c r="K62" s="4322" t="n"/>
      <c r="L62" s="4322" t="n"/>
      <c r="M62" s="4323" t="n"/>
      <c r="N62" s="4323" t="n"/>
      <c r="O62" s="4315" t="n"/>
      <c r="P62" s="4324" t="n"/>
      <c r="Q62" s="4324" t="n"/>
      <c r="R62" s="4324" t="n"/>
      <c r="S62" s="4325" t="n"/>
      <c r="T62" s="4325" t="n"/>
      <c r="U62" s="4315" t="n"/>
      <c r="V62" s="4322" t="n"/>
      <c r="W62" s="4322" t="n"/>
      <c r="X62" s="4322" t="n"/>
      <c r="Y62" s="4322" t="n"/>
      <c r="Z62" s="4322" t="n"/>
      <c r="AA62" s="4322" t="n"/>
      <c r="AB62" s="4322" t="n"/>
      <c r="AC62" s="4322" t="n"/>
      <c r="AD62" s="4322" t="n"/>
      <c r="AE62" s="4322" t="n"/>
      <c r="AF62" s="4322" t="n"/>
      <c r="AG62" s="4326" t="n"/>
      <c r="AH62" s="4322" t="n"/>
      <c r="AI62" s="4322" t="n"/>
      <c r="AJ62" s="4322" t="n"/>
      <c r="AK62" s="4322" t="n"/>
      <c r="AL62" s="4322" t="n"/>
      <c r="AM62" s="4322" t="n"/>
      <c r="AN62" s="4322" t="n"/>
      <c r="AO62" s="4322" t="n"/>
      <c r="AP62" s="4322" t="n"/>
      <c r="AQ62" s="4322" t="n"/>
      <c r="AR62" s="4322" t="n"/>
      <c r="AS62" s="4326" t="n"/>
      <c r="AT62" s="4322" t="n"/>
      <c r="AU62" s="4322" t="n"/>
      <c r="AV62" s="4322" t="n"/>
      <c r="AW62" s="4322" t="n"/>
      <c r="AX62" s="4322" t="n"/>
      <c r="AY62" s="4322" t="n"/>
      <c r="AZ62" s="4322" t="n"/>
      <c r="BA62" s="4322" t="n"/>
      <c r="BB62" s="4322" t="n"/>
      <c r="BC62" s="4322" t="n"/>
      <c r="BD62" s="4322" t="n"/>
      <c r="BE62" s="4326" t="n"/>
      <c r="BF62" s="4322" t="n"/>
      <c r="BG62" s="4322" t="n"/>
      <c r="BH62" s="4322" t="n"/>
      <c r="BI62" s="4322" t="n"/>
      <c r="BJ62" s="4322" t="n"/>
      <c r="BK62" s="4327" t="n"/>
      <c r="BL62" s="4322" t="n"/>
      <c r="BM62" s="4322" t="n"/>
      <c r="BN62" s="4322" t="n"/>
      <c r="BO62" s="4322" t="n"/>
      <c r="BP62" s="4322" t="n"/>
      <c r="BQ62" s="4315" t="n"/>
      <c r="BR62" s="4328" t="n"/>
      <c r="BT62" s="4315" t="n"/>
      <c r="BU62" s="4315" t="n"/>
    </row>
    <row r="63" ht="12" customFormat="1" customHeight="1" s="4315">
      <c r="A63" s="4316" t="n"/>
      <c r="B63" s="4317" t="n"/>
      <c r="C63" s="4318" t="inlineStr">
        <is>
          <t>[Redacted]</t>
        </is>
      </c>
      <c r="D63" s="4319" t="n">
        <v>11353</v>
      </c>
      <c r="E63" s="4320" t="n"/>
      <c r="F63" s="4320" t="n"/>
      <c r="G63" s="4320" t="n"/>
      <c r="H63" s="4320" t="n"/>
      <c r="I63" s="4321" t="inlineStr">
        <is>
          <t>M</t>
        </is>
      </c>
      <c r="J63" s="4322" t="n"/>
      <c r="K63" s="4322" t="n"/>
      <c r="L63" s="4322" t="n"/>
      <c r="M63" s="4323" t="n"/>
      <c r="N63" s="4323" t="n"/>
      <c r="O63" s="4315" t="n"/>
      <c r="P63" s="4324" t="n"/>
      <c r="Q63" s="4324" t="n"/>
      <c r="R63" s="4324" t="n"/>
      <c r="S63" s="4325" t="n"/>
      <c r="T63" s="4325" t="n"/>
      <c r="U63" s="4315" t="n"/>
      <c r="V63" s="4322" t="n"/>
      <c r="W63" s="4322" t="n"/>
      <c r="X63" s="4322" t="n"/>
      <c r="Y63" s="4322" t="n"/>
      <c r="Z63" s="4322" t="n"/>
      <c r="AA63" s="4322" t="n"/>
      <c r="AB63" s="4322" t="n"/>
      <c r="AC63" s="4322" t="n"/>
      <c r="AD63" s="4322" t="n"/>
      <c r="AE63" s="4322" t="n"/>
      <c r="AF63" s="4322" t="n"/>
      <c r="AG63" s="4326" t="n"/>
      <c r="AH63" s="4322" t="n"/>
      <c r="AI63" s="4322" t="n"/>
      <c r="AJ63" s="4322" t="n"/>
      <c r="AK63" s="4322" t="n"/>
      <c r="AL63" s="4322" t="n"/>
      <c r="AM63" s="4322" t="n"/>
      <c r="AN63" s="4322" t="n"/>
      <c r="AO63" s="4322" t="n"/>
      <c r="AP63" s="4322" t="n"/>
      <c r="AQ63" s="4322" t="n"/>
      <c r="AR63" s="4322" t="n"/>
      <c r="AS63" s="4326" t="n"/>
      <c r="AT63" s="4322" t="n"/>
      <c r="AU63" s="4322" t="n"/>
      <c r="AV63" s="4322" t="n"/>
      <c r="AW63" s="4322" t="n"/>
      <c r="AX63" s="4322" t="n"/>
      <c r="AY63" s="4322" t="n"/>
      <c r="AZ63" s="4322" t="n"/>
      <c r="BA63" s="4322" t="n"/>
      <c r="BB63" s="4322" t="n"/>
      <c r="BC63" s="4322" t="n"/>
      <c r="BD63" s="4322" t="n"/>
      <c r="BE63" s="4326" t="n"/>
      <c r="BF63" s="4322" t="n"/>
      <c r="BG63" s="4322" t="n"/>
      <c r="BH63" s="4322" t="n"/>
      <c r="BI63" s="4322" t="n"/>
      <c r="BJ63" s="4322" t="n"/>
      <c r="BK63" s="4327" t="n"/>
      <c r="BL63" s="4322" t="n"/>
      <c r="BM63" s="4322" t="n"/>
      <c r="BN63" s="4322" t="n"/>
      <c r="BO63" s="4322" t="n"/>
      <c r="BP63" s="4322" t="n"/>
      <c r="BQ63" s="4315" t="n"/>
      <c r="BR63" s="4328" t="n"/>
      <c r="BT63" s="4315" t="n"/>
      <c r="BU63" s="4315" t="n"/>
    </row>
    <row r="64" ht="12" customFormat="1" customHeight="1" s="4315">
      <c r="A64" s="4316" t="n"/>
      <c r="B64" s="4317" t="n"/>
      <c r="C64" s="4318" t="inlineStr">
        <is>
          <t>[Redacted]</t>
        </is>
      </c>
      <c r="D64" s="4319" t="n">
        <v>11056</v>
      </c>
      <c r="E64" s="4320" t="n"/>
      <c r="F64" s="4320" t="n"/>
      <c r="G64" s="4320" t="n"/>
      <c r="H64" s="4320" t="n"/>
      <c r="I64" s="4321" t="inlineStr">
        <is>
          <t>F</t>
        </is>
      </c>
      <c r="J64" s="4322" t="n"/>
      <c r="K64" s="4322" t="n"/>
      <c r="L64" s="4322" t="n"/>
      <c r="M64" s="4323" t="n"/>
      <c r="N64" s="4323" t="n"/>
      <c r="O64" s="4315" t="n"/>
      <c r="P64" s="4324" t="n"/>
      <c r="Q64" s="4324" t="n"/>
      <c r="R64" s="4324" t="n"/>
      <c r="S64" s="4325" t="n"/>
      <c r="T64" s="4325" t="n"/>
      <c r="U64" s="4315" t="n"/>
      <c r="V64" s="4322" t="n"/>
      <c r="W64" s="4322" t="n"/>
      <c r="X64" s="4322" t="n"/>
      <c r="Y64" s="4322" t="n"/>
      <c r="Z64" s="4322" t="n"/>
      <c r="AA64" s="4322" t="n"/>
      <c r="AB64" s="4322" t="n"/>
      <c r="AC64" s="4322" t="n"/>
      <c r="AD64" s="4322" t="n"/>
      <c r="AE64" s="4322" t="n"/>
      <c r="AF64" s="4322" t="n"/>
      <c r="AG64" s="4326" t="n"/>
      <c r="AH64" s="4322" t="n"/>
      <c r="AI64" s="4322" t="n"/>
      <c r="AJ64" s="4322" t="n"/>
      <c r="AK64" s="4322" t="n"/>
      <c r="AL64" s="4322" t="n"/>
      <c r="AM64" s="4322" t="n"/>
      <c r="AN64" s="4322" t="n"/>
      <c r="AO64" s="4322" t="n"/>
      <c r="AP64" s="4322" t="n"/>
      <c r="AQ64" s="4322" t="n"/>
      <c r="AR64" s="4322" t="n"/>
      <c r="AS64" s="4326" t="n"/>
      <c r="AT64" s="4322" t="n"/>
      <c r="AU64" s="4322" t="n"/>
      <c r="AV64" s="4322" t="n"/>
      <c r="AW64" s="4322" t="n"/>
      <c r="AX64" s="4322" t="n"/>
      <c r="AY64" s="4322" t="n"/>
      <c r="AZ64" s="4322" t="n"/>
      <c r="BA64" s="4322" t="n"/>
      <c r="BB64" s="4322" t="n"/>
      <c r="BC64" s="4322" t="n"/>
      <c r="BD64" s="4322" t="n"/>
      <c r="BE64" s="4326" t="n"/>
      <c r="BF64" s="4322" t="n"/>
      <c r="BG64" s="4322" t="n"/>
      <c r="BH64" s="4322" t="n"/>
      <c r="BI64" s="4322" t="n"/>
      <c r="BJ64" s="4322" t="n"/>
      <c r="BK64" s="4327" t="n"/>
      <c r="BL64" s="4322" t="n"/>
      <c r="BM64" s="4322" t="n"/>
      <c r="BN64" s="4322" t="n"/>
      <c r="BO64" s="4322" t="n"/>
      <c r="BP64" s="4322" t="n"/>
      <c r="BQ64" s="4315" t="n"/>
      <c r="BR64" s="4328" t="n"/>
      <c r="BT64" s="4315" t="n"/>
      <c r="BU64" s="4315" t="n"/>
    </row>
    <row r="65" ht="12" customFormat="1" customHeight="1" s="4315">
      <c r="A65" s="4316" t="n"/>
      <c r="B65" s="4317" t="n"/>
      <c r="C65" s="4318" t="inlineStr">
        <is>
          <t>[Redacted]</t>
        </is>
      </c>
      <c r="D65" s="4319" t="n">
        <v>11187</v>
      </c>
      <c r="E65" s="4320" t="n"/>
      <c r="F65" s="4320" t="n"/>
      <c r="G65" s="4320" t="n"/>
      <c r="H65" s="4320" t="n"/>
      <c r="I65" s="4321" t="inlineStr">
        <is>
          <t>F</t>
        </is>
      </c>
      <c r="J65" s="4322" t="n"/>
      <c r="K65" s="4322" t="n"/>
      <c r="L65" s="4322" t="n"/>
      <c r="M65" s="4323" t="n"/>
      <c r="N65" s="4323" t="n"/>
      <c r="O65" s="4315" t="n"/>
      <c r="P65" s="4324" t="n"/>
      <c r="Q65" s="4324" t="n"/>
      <c r="R65" s="4324" t="n"/>
      <c r="S65" s="4325" t="n"/>
      <c r="T65" s="4325" t="n"/>
      <c r="U65" s="4315" t="n"/>
      <c r="V65" s="4322" t="n"/>
      <c r="W65" s="4322" t="n"/>
      <c r="X65" s="4322" t="n"/>
      <c r="Y65" s="4322" t="n"/>
      <c r="Z65" s="4322" t="n"/>
      <c r="AA65" s="4322" t="n"/>
      <c r="AB65" s="4322" t="n"/>
      <c r="AC65" s="4322" t="n"/>
      <c r="AD65" s="4322" t="n"/>
      <c r="AE65" s="4322" t="n"/>
      <c r="AF65" s="4322" t="n"/>
      <c r="AG65" s="4326" t="n"/>
      <c r="AH65" s="4322" t="n"/>
      <c r="AI65" s="4322" t="n"/>
      <c r="AJ65" s="4322" t="n"/>
      <c r="AK65" s="4322" t="n"/>
      <c r="AL65" s="4322" t="n"/>
      <c r="AM65" s="4322" t="n"/>
      <c r="AN65" s="4322" t="n"/>
      <c r="AO65" s="4322" t="n"/>
      <c r="AP65" s="4322" t="n"/>
      <c r="AQ65" s="4322" t="n"/>
      <c r="AR65" s="4322" t="n"/>
      <c r="AS65" s="4326" t="n"/>
      <c r="AT65" s="4322" t="n"/>
      <c r="AU65" s="4322" t="n"/>
      <c r="AV65" s="4322" t="n"/>
      <c r="AW65" s="4322" t="n"/>
      <c r="AX65" s="4322" t="n"/>
      <c r="AY65" s="4322" t="n"/>
      <c r="AZ65" s="4322" t="n"/>
      <c r="BA65" s="4322" t="n"/>
      <c r="BB65" s="4322" t="n"/>
      <c r="BC65" s="4322" t="n"/>
      <c r="BD65" s="4322" t="n"/>
      <c r="BE65" s="4326" t="n"/>
      <c r="BF65" s="4322" t="n"/>
      <c r="BG65" s="4322" t="n"/>
      <c r="BH65" s="4322" t="n"/>
      <c r="BI65" s="4322" t="n"/>
      <c r="BJ65" s="4322" t="n"/>
      <c r="BK65" s="4327" t="n"/>
      <c r="BL65" s="4322" t="n"/>
      <c r="BM65" s="4322" t="n"/>
      <c r="BN65" s="4322" t="n"/>
      <c r="BO65" s="4322" t="n"/>
      <c r="BP65" s="4322" t="n"/>
      <c r="BQ65" s="4315" t="n"/>
      <c r="BR65" s="4328" t="n"/>
      <c r="BT65" s="4315" t="n"/>
      <c r="BU65" s="4315" t="n"/>
    </row>
    <row r="66" ht="12" customFormat="1" customHeight="1" s="4315">
      <c r="A66" s="4316" t="n"/>
      <c r="B66" s="4317" t="n"/>
      <c r="C66" s="4318" t="inlineStr">
        <is>
          <t>[Redacted]</t>
        </is>
      </c>
      <c r="D66" s="4319" t="n">
        <v>11174</v>
      </c>
      <c r="E66" s="4320" t="n"/>
      <c r="F66" s="4320" t="n"/>
      <c r="G66" s="4320" t="n"/>
      <c r="H66" s="4320" t="n"/>
      <c r="I66" s="4321" t="inlineStr">
        <is>
          <t>F</t>
        </is>
      </c>
      <c r="J66" s="4322" t="n"/>
      <c r="K66" s="4322" t="n"/>
      <c r="L66" s="4322" t="n"/>
      <c r="M66" s="4323" t="n"/>
      <c r="N66" s="4323" t="n"/>
      <c r="O66" s="4315" t="n"/>
      <c r="P66" s="4324" t="n"/>
      <c r="Q66" s="4324" t="n"/>
      <c r="R66" s="4324" t="n"/>
      <c r="S66" s="4325" t="n"/>
      <c r="T66" s="4325" t="n"/>
      <c r="U66" s="4315" t="n"/>
      <c r="V66" s="4322" t="n"/>
      <c r="W66" s="4322" t="n"/>
      <c r="X66" s="4322" t="n"/>
      <c r="Y66" s="4322" t="n"/>
      <c r="Z66" s="4322" t="n"/>
      <c r="AA66" s="4322" t="n"/>
      <c r="AB66" s="4322" t="n"/>
      <c r="AC66" s="4322" t="n"/>
      <c r="AD66" s="4322" t="n"/>
      <c r="AE66" s="4322" t="n"/>
      <c r="AF66" s="4322" t="n"/>
      <c r="AG66" s="4326" t="n"/>
      <c r="AH66" s="4322" t="n"/>
      <c r="AI66" s="4322" t="n"/>
      <c r="AJ66" s="4322" t="n"/>
      <c r="AK66" s="4322" t="n"/>
      <c r="AL66" s="4322" t="n"/>
      <c r="AM66" s="4322" t="n"/>
      <c r="AN66" s="4322" t="n"/>
      <c r="AO66" s="4322" t="n"/>
      <c r="AP66" s="4322" t="n"/>
      <c r="AQ66" s="4322" t="n"/>
      <c r="AR66" s="4322" t="n"/>
      <c r="AS66" s="4326" t="n"/>
      <c r="AT66" s="4322" t="n"/>
      <c r="AU66" s="4322" t="n"/>
      <c r="AV66" s="4322" t="n"/>
      <c r="AW66" s="4322" t="n"/>
      <c r="AX66" s="4322" t="n"/>
      <c r="AY66" s="4322" t="n"/>
      <c r="AZ66" s="4322" t="n"/>
      <c r="BA66" s="4322" t="n"/>
      <c r="BB66" s="4322" t="n"/>
      <c r="BC66" s="4322" t="n"/>
      <c r="BD66" s="4322" t="n"/>
      <c r="BE66" s="4326" t="n"/>
      <c r="BF66" s="4322" t="n"/>
      <c r="BG66" s="4322" t="n"/>
      <c r="BH66" s="4322" t="n"/>
      <c r="BI66" s="4322" t="n"/>
      <c r="BJ66" s="4322" t="n"/>
      <c r="BK66" s="4327" t="n"/>
      <c r="BL66" s="4322" t="n"/>
      <c r="BM66" s="4322" t="n"/>
      <c r="BN66" s="4322" t="n"/>
      <c r="BO66" s="4322" t="n"/>
      <c r="BP66" s="4322" t="n"/>
      <c r="BQ66" s="4315" t="n"/>
      <c r="BR66" s="4328" t="n"/>
      <c r="BT66" s="4315" t="n"/>
      <c r="BU66" s="4315" t="n"/>
    </row>
    <row r="67" ht="12" customFormat="1" customHeight="1" s="4315">
      <c r="A67" s="4316" t="n"/>
      <c r="B67" s="4317" t="n"/>
      <c r="C67" s="4318" t="inlineStr">
        <is>
          <t>[Redacted]</t>
        </is>
      </c>
      <c r="D67" s="4319" t="n">
        <v>11312</v>
      </c>
      <c r="E67" s="4320" t="n"/>
      <c r="F67" s="4320" t="n"/>
      <c r="G67" s="4320" t="n"/>
      <c r="H67" s="4320" t="n"/>
      <c r="I67" s="4321" t="inlineStr">
        <is>
          <t>F</t>
        </is>
      </c>
      <c r="J67" s="4322" t="n"/>
      <c r="K67" s="4322" t="n"/>
      <c r="L67" s="4322" t="n"/>
      <c r="M67" s="4323" t="n"/>
      <c r="N67" s="4323" t="n"/>
      <c r="O67" s="4315" t="n"/>
      <c r="P67" s="4324" t="n"/>
      <c r="Q67" s="4324" t="n"/>
      <c r="R67" s="4324" t="n"/>
      <c r="S67" s="4325" t="n"/>
      <c r="T67" s="4325" t="n"/>
      <c r="U67" s="4315" t="n"/>
      <c r="V67" s="4322" t="n"/>
      <c r="W67" s="4322" t="n"/>
      <c r="X67" s="4322" t="n"/>
      <c r="Y67" s="4322" t="n"/>
      <c r="Z67" s="4322" t="n"/>
      <c r="AA67" s="4322" t="n"/>
      <c r="AB67" s="4322" t="n"/>
      <c r="AC67" s="4322" t="n"/>
      <c r="AD67" s="4322" t="n"/>
      <c r="AE67" s="4322" t="n"/>
      <c r="AF67" s="4322" t="n"/>
      <c r="AG67" s="4326" t="n"/>
      <c r="AH67" s="4322" t="n"/>
      <c r="AI67" s="4322" t="n"/>
      <c r="AJ67" s="4322" t="n"/>
      <c r="AK67" s="4322" t="n"/>
      <c r="AL67" s="4322" t="n"/>
      <c r="AM67" s="4322" t="n"/>
      <c r="AN67" s="4322" t="n"/>
      <c r="AO67" s="4322" t="n"/>
      <c r="AP67" s="4322" t="n"/>
      <c r="AQ67" s="4322" t="n"/>
      <c r="AR67" s="4322" t="n"/>
      <c r="AS67" s="4326" t="n"/>
      <c r="AT67" s="4322" t="n"/>
      <c r="AU67" s="4322" t="n"/>
      <c r="AV67" s="4322" t="n"/>
      <c r="AW67" s="4322" t="n"/>
      <c r="AX67" s="4322" t="n"/>
      <c r="AY67" s="4322" t="n"/>
      <c r="AZ67" s="4322" t="n"/>
      <c r="BA67" s="4322" t="n"/>
      <c r="BB67" s="4322" t="n"/>
      <c r="BC67" s="4322" t="n"/>
      <c r="BD67" s="4322" t="n"/>
      <c r="BE67" s="4326" t="n"/>
      <c r="BF67" s="4322" t="n"/>
      <c r="BG67" s="4322" t="n"/>
      <c r="BH67" s="4322" t="n"/>
      <c r="BI67" s="4322" t="n"/>
      <c r="BJ67" s="4322" t="n"/>
      <c r="BK67" s="4327" t="n"/>
      <c r="BL67" s="4322" t="n"/>
      <c r="BM67" s="4322" t="n"/>
      <c r="BN67" s="4322" t="n"/>
      <c r="BO67" s="4322" t="n"/>
      <c r="BP67" s="4322" t="n"/>
      <c r="BQ67" s="4315" t="n"/>
      <c r="BR67" s="4328" t="n"/>
      <c r="BT67" s="4315" t="n"/>
      <c r="BU67" s="4315" t="n"/>
    </row>
    <row r="68" ht="12" customFormat="1" customHeight="1" s="4315">
      <c r="A68" s="4316" t="n"/>
      <c r="B68" s="4317" t="n"/>
      <c r="C68" s="4318" t="inlineStr">
        <is>
          <t>[Redacted]</t>
        </is>
      </c>
      <c r="D68" s="4319" t="n">
        <v>11204</v>
      </c>
      <c r="E68" s="4320" t="n"/>
      <c r="F68" s="4320" t="n"/>
      <c r="G68" s="4320" t="n"/>
      <c r="H68" s="4320" t="n"/>
      <c r="I68" s="4321" t="inlineStr">
        <is>
          <t>F</t>
        </is>
      </c>
      <c r="J68" s="4322" t="n"/>
      <c r="K68" s="4322" t="n"/>
      <c r="L68" s="4322" t="n"/>
      <c r="M68" s="4323" t="n"/>
      <c r="N68" s="4323" t="n"/>
      <c r="O68" s="4315" t="n"/>
      <c r="P68" s="4324" t="n"/>
      <c r="Q68" s="4324" t="n"/>
      <c r="R68" s="4324" t="n"/>
      <c r="S68" s="4325" t="n"/>
      <c r="T68" s="4325" t="n"/>
      <c r="U68" s="4315" t="n"/>
      <c r="V68" s="4322" t="n"/>
      <c r="W68" s="4322" t="n"/>
      <c r="X68" s="4322" t="n"/>
      <c r="Y68" s="4322" t="n"/>
      <c r="Z68" s="4322" t="n"/>
      <c r="AA68" s="4322" t="n"/>
      <c r="AB68" s="4322" t="n"/>
      <c r="AC68" s="4322" t="n"/>
      <c r="AD68" s="4322" t="n"/>
      <c r="AE68" s="4322" t="n"/>
      <c r="AF68" s="4322" t="n"/>
      <c r="AG68" s="4326" t="n"/>
      <c r="AH68" s="4322" t="n"/>
      <c r="AI68" s="4322" t="n"/>
      <c r="AJ68" s="4322" t="n"/>
      <c r="AK68" s="4322" t="n"/>
      <c r="AL68" s="4322" t="n"/>
      <c r="AM68" s="4322" t="n"/>
      <c r="AN68" s="4322" t="n"/>
      <c r="AO68" s="4322" t="n"/>
      <c r="AP68" s="4322" t="n"/>
      <c r="AQ68" s="4322" t="n"/>
      <c r="AR68" s="4322" t="n"/>
      <c r="AS68" s="4326" t="n"/>
      <c r="AT68" s="4322" t="n"/>
      <c r="AU68" s="4322" t="n"/>
      <c r="AV68" s="4322" t="n"/>
      <c r="AW68" s="4322" t="n"/>
      <c r="AX68" s="4322" t="n"/>
      <c r="AY68" s="4322" t="n"/>
      <c r="AZ68" s="4322" t="n"/>
      <c r="BA68" s="4322" t="n"/>
      <c r="BB68" s="4322" t="n"/>
      <c r="BC68" s="4322" t="n"/>
      <c r="BD68" s="4322" t="n"/>
      <c r="BE68" s="4326" t="n"/>
      <c r="BF68" s="4322" t="n"/>
      <c r="BG68" s="4322" t="n"/>
      <c r="BH68" s="4322" t="n"/>
      <c r="BI68" s="4322" t="n"/>
      <c r="BJ68" s="4322" t="n"/>
      <c r="BK68" s="4327" t="n"/>
      <c r="BL68" s="4322" t="n"/>
      <c r="BM68" s="4322" t="n"/>
      <c r="BN68" s="4322" t="n"/>
      <c r="BO68" s="4322" t="n"/>
      <c r="BP68" s="4322" t="n"/>
      <c r="BQ68" s="4315" t="n"/>
      <c r="BR68" s="4328" t="n"/>
      <c r="BT68" s="4315" t="n"/>
      <c r="BU68" s="4315" t="n"/>
    </row>
    <row r="69" ht="12" customFormat="1" customHeight="1" s="4315">
      <c r="A69" s="4316" t="n"/>
      <c r="B69" s="4317" t="n"/>
      <c r="C69" s="4318" t="inlineStr">
        <is>
          <t>[Redacted]</t>
        </is>
      </c>
      <c r="D69" s="4319" t="n">
        <v>11228</v>
      </c>
      <c r="E69" s="4320" t="n"/>
      <c r="F69" s="4320" t="n"/>
      <c r="G69" s="4320" t="n"/>
      <c r="H69" s="4320" t="n"/>
      <c r="I69" s="4321" t="inlineStr">
        <is>
          <t>F</t>
        </is>
      </c>
      <c r="J69" s="4322" t="n"/>
      <c r="K69" s="4322" t="n"/>
      <c r="L69" s="4322" t="n"/>
      <c r="M69" s="4323" t="n"/>
      <c r="N69" s="4323" t="n"/>
      <c r="O69" s="4315" t="n"/>
      <c r="P69" s="4324" t="n"/>
      <c r="Q69" s="4324" t="n"/>
      <c r="R69" s="4324" t="n"/>
      <c r="S69" s="4325" t="n"/>
      <c r="T69" s="4325" t="n"/>
      <c r="U69" s="4315" t="n"/>
      <c r="V69" s="4322" t="n"/>
      <c r="W69" s="4322" t="n"/>
      <c r="X69" s="4322" t="n"/>
      <c r="Y69" s="4322" t="n"/>
      <c r="Z69" s="4322" t="n"/>
      <c r="AA69" s="4322" t="n"/>
      <c r="AB69" s="4322" t="n"/>
      <c r="AC69" s="4322" t="n"/>
      <c r="AD69" s="4322" t="n"/>
      <c r="AE69" s="4322" t="n"/>
      <c r="AF69" s="4322" t="n"/>
      <c r="AG69" s="4326" t="n"/>
      <c r="AH69" s="4322" t="n"/>
      <c r="AI69" s="4322" t="n"/>
      <c r="AJ69" s="4322" t="n"/>
      <c r="AK69" s="4322" t="n"/>
      <c r="AL69" s="4322" t="n"/>
      <c r="AM69" s="4322" t="n"/>
      <c r="AN69" s="4322" t="n"/>
      <c r="AO69" s="4322" t="n"/>
      <c r="AP69" s="4322" t="n"/>
      <c r="AQ69" s="4322" t="n"/>
      <c r="AR69" s="4322" t="n"/>
      <c r="AS69" s="4326" t="n"/>
      <c r="AT69" s="4322" t="n"/>
      <c r="AU69" s="4322" t="n"/>
      <c r="AV69" s="4322" t="n"/>
      <c r="AW69" s="4322" t="n"/>
      <c r="AX69" s="4322" t="n"/>
      <c r="AY69" s="4322" t="n"/>
      <c r="AZ69" s="4322" t="n"/>
      <c r="BA69" s="4322" t="n"/>
      <c r="BB69" s="4322" t="n"/>
      <c r="BC69" s="4322" t="n"/>
      <c r="BD69" s="4322" t="n"/>
      <c r="BE69" s="4326" t="n"/>
      <c r="BF69" s="4322" t="n"/>
      <c r="BG69" s="4322" t="n"/>
      <c r="BH69" s="4322" t="n"/>
      <c r="BI69" s="4322" t="n"/>
      <c r="BJ69" s="4322" t="n"/>
      <c r="BK69" s="4327" t="n"/>
      <c r="BL69" s="4322" t="n"/>
      <c r="BM69" s="4322" t="n"/>
      <c r="BN69" s="4322" t="n"/>
      <c r="BO69" s="4322" t="n"/>
      <c r="BP69" s="4322" t="n"/>
      <c r="BQ69" s="4315" t="n"/>
      <c r="BR69" s="4328" t="n"/>
      <c r="BT69" s="4315" t="n"/>
      <c r="BU69" s="4315" t="n"/>
    </row>
    <row r="70" ht="12" customFormat="1" customHeight="1" s="4315">
      <c r="A70" s="4316" t="n"/>
      <c r="B70" s="4317" t="n"/>
      <c r="C70" s="4318" t="inlineStr">
        <is>
          <t>[Redacted]</t>
        </is>
      </c>
      <c r="D70" s="4319" t="n">
        <v>11288</v>
      </c>
      <c r="E70" s="4320" t="n"/>
      <c r="F70" s="4320" t="n"/>
      <c r="G70" s="4320" t="n"/>
      <c r="H70" s="4320" t="n"/>
      <c r="I70" s="4321" t="inlineStr">
        <is>
          <t>M</t>
        </is>
      </c>
      <c r="J70" s="4322" t="n"/>
      <c r="K70" s="4322" t="n"/>
      <c r="L70" s="4322" t="n"/>
      <c r="M70" s="4323" t="n"/>
      <c r="N70" s="4323" t="n"/>
      <c r="O70" s="4315" t="n"/>
      <c r="P70" s="4324" t="n"/>
      <c r="Q70" s="4324" t="n"/>
      <c r="R70" s="4324" t="n"/>
      <c r="S70" s="4325" t="n"/>
      <c r="T70" s="4325" t="n"/>
      <c r="U70" s="4315" t="n"/>
      <c r="V70" s="4322" t="n"/>
      <c r="W70" s="4322" t="n"/>
      <c r="X70" s="4322" t="n"/>
      <c r="Y70" s="4322" t="n"/>
      <c r="Z70" s="4322" t="n"/>
      <c r="AA70" s="4322" t="n"/>
      <c r="AB70" s="4322" t="n"/>
      <c r="AC70" s="4322" t="n"/>
      <c r="AD70" s="4322" t="n"/>
      <c r="AE70" s="4322" t="n"/>
      <c r="AF70" s="4322" t="n"/>
      <c r="AG70" s="4326" t="n"/>
      <c r="AH70" s="4322" t="n"/>
      <c r="AI70" s="4322" t="n"/>
      <c r="AJ70" s="4322" t="n"/>
      <c r="AK70" s="4322" t="n"/>
      <c r="AL70" s="4322" t="n"/>
      <c r="AM70" s="4322" t="n"/>
      <c r="AN70" s="4322" t="n"/>
      <c r="AO70" s="4322" t="n"/>
      <c r="AP70" s="4322" t="n"/>
      <c r="AQ70" s="4322" t="n"/>
      <c r="AR70" s="4322" t="n"/>
      <c r="AS70" s="4326" t="n"/>
      <c r="AT70" s="4322" t="n"/>
      <c r="AU70" s="4322" t="n"/>
      <c r="AV70" s="4322" t="n"/>
      <c r="AW70" s="4322" t="n"/>
      <c r="AX70" s="4322" t="n"/>
      <c r="AY70" s="4322" t="n"/>
      <c r="AZ70" s="4322" t="n"/>
      <c r="BA70" s="4322" t="n"/>
      <c r="BB70" s="4322" t="n"/>
      <c r="BC70" s="4322" t="n"/>
      <c r="BD70" s="4322" t="n"/>
      <c r="BE70" s="4326" t="n"/>
      <c r="BF70" s="4322" t="n"/>
      <c r="BG70" s="4322" t="n"/>
      <c r="BH70" s="4322" t="n"/>
      <c r="BI70" s="4322" t="n"/>
      <c r="BJ70" s="4322" t="n"/>
      <c r="BK70" s="4327" t="n"/>
      <c r="BL70" s="4322" t="n"/>
      <c r="BM70" s="4322" t="n"/>
      <c r="BN70" s="4322" t="n"/>
      <c r="BO70" s="4322" t="n"/>
      <c r="BP70" s="4322" t="n"/>
      <c r="BQ70" s="4315" t="n"/>
      <c r="BR70" s="4328" t="n"/>
      <c r="BT70" s="4315" t="n"/>
      <c r="BU70" s="4315" t="n"/>
    </row>
    <row r="71" ht="12" customFormat="1" customHeight="1" s="4315">
      <c r="A71" s="4316" t="n"/>
      <c r="B71" s="4317" t="n"/>
      <c r="C71" s="4318" t="inlineStr">
        <is>
          <t>[Redacted]</t>
        </is>
      </c>
      <c r="D71" s="4319" t="n">
        <v>11320</v>
      </c>
      <c r="E71" s="4320" t="n"/>
      <c r="F71" s="4320" t="n"/>
      <c r="G71" s="4320" t="n"/>
      <c r="H71" s="4320" t="n"/>
      <c r="I71" s="4321" t="inlineStr">
        <is>
          <t>F</t>
        </is>
      </c>
      <c r="J71" s="4322" t="n"/>
      <c r="K71" s="4322" t="n"/>
      <c r="L71" s="4322" t="n"/>
      <c r="M71" s="4323" t="n"/>
      <c r="N71" s="4323" t="n"/>
      <c r="O71" s="4315" t="n"/>
      <c r="P71" s="4324" t="n"/>
      <c r="Q71" s="4324" t="n"/>
      <c r="R71" s="4324" t="n"/>
      <c r="S71" s="4325" t="n"/>
      <c r="T71" s="4325" t="n"/>
      <c r="U71" s="4315" t="n"/>
      <c r="V71" s="4322" t="n"/>
      <c r="W71" s="4322" t="n"/>
      <c r="X71" s="4322" t="n"/>
      <c r="Y71" s="4322" t="n"/>
      <c r="Z71" s="4322" t="n"/>
      <c r="AA71" s="4322" t="n"/>
      <c r="AB71" s="4322" t="n"/>
      <c r="AC71" s="4322" t="n"/>
      <c r="AD71" s="4322" t="n"/>
      <c r="AE71" s="4322" t="n"/>
      <c r="AF71" s="4322" t="n"/>
      <c r="AG71" s="4326" t="n"/>
      <c r="AH71" s="4322" t="n"/>
      <c r="AI71" s="4322" t="n"/>
      <c r="AJ71" s="4322" t="n"/>
      <c r="AK71" s="4322" t="n"/>
      <c r="AL71" s="4322" t="n"/>
      <c r="AM71" s="4322" t="n"/>
      <c r="AN71" s="4322" t="n"/>
      <c r="AO71" s="4322" t="n"/>
      <c r="AP71" s="4322" t="n"/>
      <c r="AQ71" s="4322" t="n"/>
      <c r="AR71" s="4322" t="n"/>
      <c r="AS71" s="4326" t="n"/>
      <c r="AT71" s="4322" t="n"/>
      <c r="AU71" s="4322" t="n"/>
      <c r="AV71" s="4322" t="n"/>
      <c r="AW71" s="4322" t="n"/>
      <c r="AX71" s="4322" t="n"/>
      <c r="AY71" s="4322" t="n"/>
      <c r="AZ71" s="4322" t="n"/>
      <c r="BA71" s="4322" t="n"/>
      <c r="BB71" s="4322" t="n"/>
      <c r="BC71" s="4322" t="n"/>
      <c r="BD71" s="4322" t="n"/>
      <c r="BE71" s="4326" t="n"/>
      <c r="BF71" s="4322" t="n"/>
      <c r="BG71" s="4322" t="n"/>
      <c r="BH71" s="4322" t="n"/>
      <c r="BI71" s="4322" t="n"/>
      <c r="BJ71" s="4322" t="n"/>
      <c r="BK71" s="4327" t="n"/>
      <c r="BL71" s="4322" t="n"/>
      <c r="BM71" s="4322" t="n"/>
      <c r="BN71" s="4322" t="n"/>
      <c r="BO71" s="4322" t="n"/>
      <c r="BP71" s="4322" t="n"/>
      <c r="BQ71" s="4315" t="n"/>
      <c r="BR71" s="4328" t="n"/>
      <c r="BT71" s="4315" t="n"/>
      <c r="BU71" s="4315" t="n"/>
    </row>
    <row r="72" ht="12" customFormat="1" customHeight="1" s="4315">
      <c r="A72" s="4316" t="n"/>
      <c r="B72" s="4317" t="n"/>
      <c r="C72" s="4318" t="inlineStr">
        <is>
          <t>[Redacted]</t>
        </is>
      </c>
      <c r="D72" s="4319" t="n">
        <v>11031</v>
      </c>
      <c r="E72" s="4320" t="n"/>
      <c r="F72" s="4320" t="n"/>
      <c r="G72" s="4320" t="n"/>
      <c r="H72" s="4320" t="n"/>
      <c r="I72" s="4321" t="inlineStr">
        <is>
          <t>M</t>
        </is>
      </c>
      <c r="J72" s="4322" t="n"/>
      <c r="K72" s="4322" t="n"/>
      <c r="L72" s="4322" t="n"/>
      <c r="M72" s="4323" t="n"/>
      <c r="N72" s="4323" t="n"/>
      <c r="O72" s="4315" t="n"/>
      <c r="P72" s="4324" t="n"/>
      <c r="Q72" s="4324" t="n"/>
      <c r="R72" s="4324" t="n"/>
      <c r="S72" s="4325" t="n"/>
      <c r="T72" s="4325" t="n"/>
      <c r="U72" s="4315" t="n"/>
      <c r="V72" s="4322" t="n"/>
      <c r="W72" s="4322" t="n"/>
      <c r="X72" s="4322" t="n"/>
      <c r="Y72" s="4322" t="n"/>
      <c r="Z72" s="4322" t="n"/>
      <c r="AA72" s="4322" t="n"/>
      <c r="AB72" s="4322" t="n"/>
      <c r="AC72" s="4322" t="n"/>
      <c r="AD72" s="4322" t="n"/>
      <c r="AE72" s="4322" t="n"/>
      <c r="AF72" s="4322" t="n"/>
      <c r="AG72" s="4326" t="n"/>
      <c r="AH72" s="4322" t="n"/>
      <c r="AI72" s="4322" t="n"/>
      <c r="AJ72" s="4322" t="n"/>
      <c r="AK72" s="4322" t="n"/>
      <c r="AL72" s="4322" t="n"/>
      <c r="AM72" s="4322" t="n"/>
      <c r="AN72" s="4322" t="n"/>
      <c r="AO72" s="4322" t="n"/>
      <c r="AP72" s="4322" t="n"/>
      <c r="AQ72" s="4322" t="n"/>
      <c r="AR72" s="4322" t="n"/>
      <c r="AS72" s="4326" t="n"/>
      <c r="AT72" s="4322" t="n"/>
      <c r="AU72" s="4322" t="n"/>
      <c r="AV72" s="4322" t="n"/>
      <c r="AW72" s="4322" t="n"/>
      <c r="AX72" s="4322" t="n"/>
      <c r="AY72" s="4322" t="n"/>
      <c r="AZ72" s="4322" t="n"/>
      <c r="BA72" s="4322" t="n"/>
      <c r="BB72" s="4322" t="n"/>
      <c r="BC72" s="4322" t="n"/>
      <c r="BD72" s="4322" t="n"/>
      <c r="BE72" s="4326" t="n"/>
      <c r="BF72" s="4322" t="n"/>
      <c r="BG72" s="4322" t="n"/>
      <c r="BH72" s="4322" t="n"/>
      <c r="BI72" s="4322" t="n"/>
      <c r="BJ72" s="4322" t="n"/>
      <c r="BK72" s="4327" t="n"/>
      <c r="BL72" s="4322" t="n"/>
      <c r="BM72" s="4322" t="n"/>
      <c r="BN72" s="4322" t="n"/>
      <c r="BO72" s="4322" t="n"/>
      <c r="BP72" s="4322" t="n"/>
      <c r="BQ72" s="4315" t="n"/>
      <c r="BR72" s="4328" t="n"/>
      <c r="BT72" s="4315" t="n"/>
      <c r="BU72" s="4315" t="n"/>
    </row>
    <row r="73" ht="12" customFormat="1" customHeight="1" s="4315">
      <c r="A73" s="4316" t="n"/>
      <c r="B73" s="4317" t="n"/>
      <c r="C73" s="4318" t="inlineStr">
        <is>
          <t>[Redacted]</t>
        </is>
      </c>
      <c r="D73" s="4319" t="n">
        <v>11350</v>
      </c>
      <c r="E73" s="4320" t="n"/>
      <c r="F73" s="4320" t="n"/>
      <c r="G73" s="4320" t="n"/>
      <c r="H73" s="4320" t="n"/>
      <c r="I73" s="4321" t="inlineStr">
        <is>
          <t>F</t>
        </is>
      </c>
      <c r="J73" s="4322" t="n"/>
      <c r="K73" s="4322" t="n"/>
      <c r="L73" s="4322" t="n"/>
      <c r="M73" s="4323" t="n"/>
      <c r="N73" s="4323" t="n"/>
      <c r="O73" s="4315" t="n"/>
      <c r="P73" s="4324" t="n"/>
      <c r="Q73" s="4324" t="n"/>
      <c r="R73" s="4324" t="n"/>
      <c r="S73" s="4325" t="n"/>
      <c r="T73" s="4325" t="n"/>
      <c r="U73" s="4315" t="n"/>
      <c r="V73" s="4322" t="n"/>
      <c r="W73" s="4322" t="n"/>
      <c r="X73" s="4322" t="n"/>
      <c r="Y73" s="4322" t="n"/>
      <c r="Z73" s="4322" t="n"/>
      <c r="AA73" s="4322" t="n"/>
      <c r="AB73" s="4322" t="n"/>
      <c r="AC73" s="4322" t="n"/>
      <c r="AD73" s="4322" t="n"/>
      <c r="AE73" s="4322" t="n"/>
      <c r="AF73" s="4322" t="n"/>
      <c r="AG73" s="4326" t="n"/>
      <c r="AH73" s="4322" t="n"/>
      <c r="AI73" s="4322" t="n"/>
      <c r="AJ73" s="4322" t="n"/>
      <c r="AK73" s="4322" t="n"/>
      <c r="AL73" s="4322" t="n"/>
      <c r="AM73" s="4322" t="n"/>
      <c r="AN73" s="4322" t="n"/>
      <c r="AO73" s="4322" t="n"/>
      <c r="AP73" s="4322" t="n"/>
      <c r="AQ73" s="4322" t="n"/>
      <c r="AR73" s="4322" t="n"/>
      <c r="AS73" s="4326" t="n"/>
      <c r="AT73" s="4322" t="n"/>
      <c r="AU73" s="4322" t="n"/>
      <c r="AV73" s="4322" t="n"/>
      <c r="AW73" s="4322" t="n"/>
      <c r="AX73" s="4322" t="n"/>
      <c r="AY73" s="4322" t="n"/>
      <c r="AZ73" s="4322" t="n"/>
      <c r="BA73" s="4322" t="n"/>
      <c r="BB73" s="4322" t="n"/>
      <c r="BC73" s="4322" t="n"/>
      <c r="BD73" s="4322" t="n"/>
      <c r="BE73" s="4326" t="n"/>
      <c r="BF73" s="4322" t="n"/>
      <c r="BG73" s="4322" t="n"/>
      <c r="BH73" s="4322" t="n"/>
      <c r="BI73" s="4322" t="n"/>
      <c r="BJ73" s="4322" t="n"/>
      <c r="BK73" s="4327" t="n"/>
      <c r="BL73" s="4322" t="n"/>
      <c r="BM73" s="4322" t="n"/>
      <c r="BN73" s="4322" t="n"/>
      <c r="BO73" s="4322" t="n"/>
      <c r="BP73" s="4322" t="n"/>
      <c r="BQ73" s="4315" t="n"/>
      <c r="BR73" s="4328" t="n"/>
      <c r="BT73" s="4315" t="n"/>
      <c r="BU73" s="4315" t="n"/>
    </row>
    <row r="74" ht="12" customFormat="1" customHeight="1" s="4315">
      <c r="A74" s="4316" t="n"/>
      <c r="B74" s="4317" t="n"/>
      <c r="C74" s="4318" t="inlineStr">
        <is>
          <t>[Redacted]</t>
        </is>
      </c>
      <c r="D74" s="4319" t="n">
        <v>11149</v>
      </c>
      <c r="E74" s="4320" t="n"/>
      <c r="F74" s="4320" t="n"/>
      <c r="G74" s="4320" t="n"/>
      <c r="H74" s="4320" t="n"/>
      <c r="I74" s="4321" t="inlineStr">
        <is>
          <t>F</t>
        </is>
      </c>
      <c r="J74" s="4322" t="n"/>
      <c r="K74" s="4322" t="n"/>
      <c r="L74" s="4322" t="n"/>
      <c r="M74" s="4323" t="n"/>
      <c r="N74" s="4323" t="n"/>
      <c r="O74" s="4315" t="n"/>
      <c r="P74" s="4324" t="n"/>
      <c r="Q74" s="4324" t="n"/>
      <c r="R74" s="4324" t="n"/>
      <c r="S74" s="4325" t="n"/>
      <c r="T74" s="4325" t="n"/>
      <c r="U74" s="4315" t="n"/>
      <c r="V74" s="4322" t="n"/>
      <c r="W74" s="4322" t="n"/>
      <c r="X74" s="4322" t="n"/>
      <c r="Y74" s="4322" t="n"/>
      <c r="Z74" s="4322" t="n"/>
      <c r="AA74" s="4322" t="n"/>
      <c r="AB74" s="4322" t="n"/>
      <c r="AC74" s="4322" t="n"/>
      <c r="AD74" s="4322" t="n"/>
      <c r="AE74" s="4322" t="n"/>
      <c r="AF74" s="4322" t="n"/>
      <c r="AG74" s="4326" t="n"/>
      <c r="AH74" s="4322" t="n"/>
      <c r="AI74" s="4322" t="n"/>
      <c r="AJ74" s="4322" t="n"/>
      <c r="AK74" s="4322" t="n"/>
      <c r="AL74" s="4322" t="n"/>
      <c r="AM74" s="4322" t="n"/>
      <c r="AN74" s="4322" t="n"/>
      <c r="AO74" s="4322" t="n"/>
      <c r="AP74" s="4322" t="n"/>
      <c r="AQ74" s="4322" t="n"/>
      <c r="AR74" s="4322" t="n"/>
      <c r="AS74" s="4326" t="n"/>
      <c r="AT74" s="4322" t="n"/>
      <c r="AU74" s="4322" t="n"/>
      <c r="AV74" s="4322" t="n"/>
      <c r="AW74" s="4322" t="n"/>
      <c r="AX74" s="4322" t="n"/>
      <c r="AY74" s="4322" t="n"/>
      <c r="AZ74" s="4322" t="n"/>
      <c r="BA74" s="4322" t="n"/>
      <c r="BB74" s="4322" t="n"/>
      <c r="BC74" s="4322" t="n"/>
      <c r="BD74" s="4322" t="n"/>
      <c r="BE74" s="4326" t="n"/>
      <c r="BF74" s="4322" t="n"/>
      <c r="BG74" s="4322" t="n"/>
      <c r="BH74" s="4322" t="n"/>
      <c r="BI74" s="4322" t="n"/>
      <c r="BJ74" s="4322" t="n"/>
      <c r="BK74" s="4327" t="n"/>
      <c r="BL74" s="4322" t="n"/>
      <c r="BM74" s="4322" t="n"/>
      <c r="BN74" s="4322" t="n"/>
      <c r="BO74" s="4322" t="n"/>
      <c r="BP74" s="4322" t="n"/>
      <c r="BQ74" s="4315" t="n"/>
      <c r="BR74" s="4328" t="n"/>
      <c r="BT74" s="4315" t="n"/>
      <c r="BU74" s="4315" t="n"/>
    </row>
    <row r="75" ht="12" customFormat="1" customHeight="1" s="4315">
      <c r="A75" s="4316" t="n"/>
      <c r="B75" s="4317" t="n"/>
      <c r="C75" s="4318" t="inlineStr">
        <is>
          <t>[Redacted]</t>
        </is>
      </c>
      <c r="D75" s="4319" t="n">
        <v>11390</v>
      </c>
      <c r="E75" s="4320" t="n"/>
      <c r="F75" s="4320" t="n"/>
      <c r="G75" s="4320" t="n"/>
      <c r="H75" s="4320" t="n"/>
      <c r="I75" s="4321" t="inlineStr">
        <is>
          <t>M</t>
        </is>
      </c>
      <c r="J75" s="4322" t="n"/>
      <c r="K75" s="4322" t="n"/>
      <c r="L75" s="4322" t="n"/>
      <c r="M75" s="4323" t="n"/>
      <c r="N75" s="4323" t="n"/>
      <c r="O75" s="4315" t="n"/>
      <c r="P75" s="4324" t="n"/>
      <c r="Q75" s="4324" t="n"/>
      <c r="R75" s="4324" t="n"/>
      <c r="S75" s="4325" t="n"/>
      <c r="T75" s="4325" t="n"/>
      <c r="U75" s="4315" t="n"/>
      <c r="V75" s="4322" t="n"/>
      <c r="W75" s="4322" t="n"/>
      <c r="X75" s="4322" t="n"/>
      <c r="Y75" s="4322" t="n"/>
      <c r="Z75" s="4322" t="n"/>
      <c r="AA75" s="4322" t="n"/>
      <c r="AB75" s="4322" t="n"/>
      <c r="AC75" s="4322" t="n"/>
      <c r="AD75" s="4322" t="n"/>
      <c r="AE75" s="4322" t="n"/>
      <c r="AF75" s="4322" t="n"/>
      <c r="AG75" s="4326" t="n"/>
      <c r="AH75" s="4322" t="n"/>
      <c r="AI75" s="4322" t="n"/>
      <c r="AJ75" s="4322" t="n"/>
      <c r="AK75" s="4322" t="n"/>
      <c r="AL75" s="4322" t="n"/>
      <c r="AM75" s="4322" t="n"/>
      <c r="AN75" s="4322" t="n"/>
      <c r="AO75" s="4322" t="n"/>
      <c r="AP75" s="4322" t="n"/>
      <c r="AQ75" s="4322" t="n"/>
      <c r="AR75" s="4322" t="n"/>
      <c r="AS75" s="4326" t="n"/>
      <c r="AT75" s="4322" t="n"/>
      <c r="AU75" s="4322" t="n"/>
      <c r="AV75" s="4322" t="n"/>
      <c r="AW75" s="4322" t="n"/>
      <c r="AX75" s="4322" t="n"/>
      <c r="AY75" s="4322" t="n"/>
      <c r="AZ75" s="4322" t="n"/>
      <c r="BA75" s="4322" t="n"/>
      <c r="BB75" s="4322" t="n"/>
      <c r="BC75" s="4322" t="n"/>
      <c r="BD75" s="4322" t="n"/>
      <c r="BE75" s="4326" t="n"/>
      <c r="BF75" s="4322" t="n"/>
      <c r="BG75" s="4322" t="n"/>
      <c r="BH75" s="4322" t="n"/>
      <c r="BI75" s="4322" t="n"/>
      <c r="BJ75" s="4322" t="n"/>
      <c r="BK75" s="4327" t="n"/>
      <c r="BL75" s="4322" t="n"/>
      <c r="BM75" s="4322" t="n"/>
      <c r="BN75" s="4322" t="n"/>
      <c r="BO75" s="4322" t="n"/>
      <c r="BP75" s="4322" t="n"/>
      <c r="BQ75" s="4315" t="n"/>
      <c r="BR75" s="4328" t="n"/>
      <c r="BT75" s="4315" t="n"/>
      <c r="BU75" s="4315" t="n"/>
    </row>
    <row r="76" ht="12" customFormat="1" customHeight="1" s="4315">
      <c r="A76" s="4316" t="n"/>
      <c r="B76" s="4317" t="n"/>
      <c r="C76" s="4318" t="inlineStr">
        <is>
          <t>[Redacted]</t>
        </is>
      </c>
      <c r="D76" s="4319" t="n">
        <v>11347</v>
      </c>
      <c r="E76" s="4320" t="n"/>
      <c r="F76" s="4320" t="n"/>
      <c r="G76" s="4320" t="n"/>
      <c r="H76" s="4320" t="n"/>
      <c r="I76" s="4321" t="inlineStr">
        <is>
          <t>F</t>
        </is>
      </c>
      <c r="J76" s="4322" t="n"/>
      <c r="K76" s="4322" t="n"/>
      <c r="L76" s="4322" t="n"/>
      <c r="M76" s="4323" t="n"/>
      <c r="N76" s="4323" t="n"/>
      <c r="O76" s="4315" t="n"/>
      <c r="P76" s="4324" t="n"/>
      <c r="Q76" s="4324" t="n"/>
      <c r="R76" s="4324" t="n"/>
      <c r="S76" s="4325" t="n"/>
      <c r="T76" s="4325" t="n"/>
      <c r="U76" s="4315" t="n"/>
      <c r="V76" s="4322" t="n"/>
      <c r="W76" s="4322" t="n"/>
      <c r="X76" s="4322" t="n"/>
      <c r="Y76" s="4322" t="n"/>
      <c r="Z76" s="4322" t="n"/>
      <c r="AA76" s="4322" t="n"/>
      <c r="AB76" s="4322" t="n"/>
      <c r="AC76" s="4322" t="n"/>
      <c r="AD76" s="4322" t="n"/>
      <c r="AE76" s="4322" t="n"/>
      <c r="AF76" s="4322" t="n"/>
      <c r="AG76" s="4326" t="n"/>
      <c r="AH76" s="4322" t="n"/>
      <c r="AI76" s="4322" t="n"/>
      <c r="AJ76" s="4322" t="n"/>
      <c r="AK76" s="4322" t="n"/>
      <c r="AL76" s="4322" t="n"/>
      <c r="AM76" s="4322" t="n"/>
      <c r="AN76" s="4322" t="n"/>
      <c r="AO76" s="4322" t="n"/>
      <c r="AP76" s="4322" t="n"/>
      <c r="AQ76" s="4322" t="n"/>
      <c r="AR76" s="4322" t="n"/>
      <c r="AS76" s="4326" t="n"/>
      <c r="AT76" s="4322" t="n"/>
      <c r="AU76" s="4322" t="n"/>
      <c r="AV76" s="4322" t="n"/>
      <c r="AW76" s="4322" t="n"/>
      <c r="AX76" s="4322" t="n"/>
      <c r="AY76" s="4322" t="n"/>
      <c r="AZ76" s="4322" t="n"/>
      <c r="BA76" s="4322" t="n"/>
      <c r="BB76" s="4322" t="n"/>
      <c r="BC76" s="4322" t="n"/>
      <c r="BD76" s="4322" t="n"/>
      <c r="BE76" s="4326" t="n"/>
      <c r="BF76" s="4322" t="n"/>
      <c r="BG76" s="4322" t="n"/>
      <c r="BH76" s="4322" t="n"/>
      <c r="BI76" s="4322" t="n"/>
      <c r="BJ76" s="4322" t="n"/>
      <c r="BK76" s="4327" t="n"/>
      <c r="BL76" s="4322" t="n"/>
      <c r="BM76" s="4322" t="n"/>
      <c r="BN76" s="4322" t="n"/>
      <c r="BO76" s="4322" t="n"/>
      <c r="BP76" s="4322" t="n"/>
      <c r="BQ76" s="4315" t="n"/>
      <c r="BR76" s="4328" t="n"/>
      <c r="BT76" s="4315" t="n"/>
      <c r="BU76" s="4315" t="n"/>
    </row>
    <row r="77" ht="12" customFormat="1" customHeight="1" s="4315">
      <c r="A77" s="4316" t="n"/>
      <c r="B77" s="4317" t="n"/>
      <c r="C77" s="4318" t="inlineStr">
        <is>
          <t>[Redacted]</t>
        </is>
      </c>
      <c r="D77" s="4319" t="n">
        <v>11368</v>
      </c>
      <c r="E77" s="4320" t="n"/>
      <c r="F77" s="4320" t="n"/>
      <c r="G77" s="4320" t="n"/>
      <c r="H77" s="4320" t="n"/>
      <c r="I77" s="4321" t="inlineStr">
        <is>
          <t>F</t>
        </is>
      </c>
      <c r="J77" s="4322" t="n"/>
      <c r="K77" s="4322" t="n"/>
      <c r="L77" s="4322" t="n"/>
      <c r="M77" s="4323" t="n"/>
      <c r="N77" s="4323" t="n"/>
      <c r="O77" s="4315" t="n"/>
      <c r="P77" s="4324" t="n"/>
      <c r="Q77" s="4324" t="n"/>
      <c r="R77" s="4324" t="n"/>
      <c r="S77" s="4325" t="n"/>
      <c r="T77" s="4325" t="n"/>
      <c r="U77" s="4315" t="n"/>
      <c r="V77" s="4322" t="n"/>
      <c r="W77" s="4322" t="n"/>
      <c r="X77" s="4322" t="n"/>
      <c r="Y77" s="4322" t="n"/>
      <c r="Z77" s="4322" t="n"/>
      <c r="AA77" s="4322" t="n"/>
      <c r="AB77" s="4322" t="n"/>
      <c r="AC77" s="4322" t="n"/>
      <c r="AD77" s="4322" t="n"/>
      <c r="AE77" s="4322" t="n"/>
      <c r="AF77" s="4322" t="n"/>
      <c r="AG77" s="4326" t="n"/>
      <c r="AH77" s="4322" t="n"/>
      <c r="AI77" s="4322" t="n"/>
      <c r="AJ77" s="4322" t="n"/>
      <c r="AK77" s="4322" t="n"/>
      <c r="AL77" s="4322" t="n"/>
      <c r="AM77" s="4322" t="n"/>
      <c r="AN77" s="4322" t="n"/>
      <c r="AO77" s="4322" t="n"/>
      <c r="AP77" s="4322" t="n"/>
      <c r="AQ77" s="4322" t="n"/>
      <c r="AR77" s="4322" t="n"/>
      <c r="AS77" s="4326" t="n"/>
      <c r="AT77" s="4322" t="n"/>
      <c r="AU77" s="4322" t="n"/>
      <c r="AV77" s="4322" t="n"/>
      <c r="AW77" s="4322" t="n"/>
      <c r="AX77" s="4322" t="n"/>
      <c r="AY77" s="4322" t="n"/>
      <c r="AZ77" s="4322" t="n"/>
      <c r="BA77" s="4322" t="n"/>
      <c r="BB77" s="4322" t="n"/>
      <c r="BC77" s="4322" t="n"/>
      <c r="BD77" s="4322" t="n"/>
      <c r="BE77" s="4326" t="n"/>
      <c r="BF77" s="4322" t="n"/>
      <c r="BG77" s="4322" t="n"/>
      <c r="BH77" s="4322" t="n"/>
      <c r="BI77" s="4322" t="n"/>
      <c r="BJ77" s="4322" t="n"/>
      <c r="BK77" s="4327" t="n"/>
      <c r="BL77" s="4322" t="n"/>
      <c r="BM77" s="4322" t="n"/>
      <c r="BN77" s="4322" t="n"/>
      <c r="BO77" s="4322" t="n"/>
      <c r="BP77" s="4322" t="n"/>
      <c r="BQ77" s="4315" t="n"/>
      <c r="BR77" s="4328" t="n"/>
      <c r="BT77" s="4315" t="n"/>
      <c r="BU77" s="4315" t="n"/>
    </row>
    <row r="78" ht="12" customFormat="1" customHeight="1" s="4315">
      <c r="A78" s="4316" t="n"/>
      <c r="B78" s="4317" t="n"/>
      <c r="C78" s="4318" t="inlineStr">
        <is>
          <t>[Redacted]</t>
        </is>
      </c>
      <c r="D78" s="4319" t="n">
        <v>11366</v>
      </c>
      <c r="E78" s="4320" t="n"/>
      <c r="F78" s="4320" t="n"/>
      <c r="G78" s="4320" t="n"/>
      <c r="H78" s="4320" t="n"/>
      <c r="I78" s="4321" t="inlineStr">
        <is>
          <t>F</t>
        </is>
      </c>
      <c r="J78" s="4322" t="n"/>
      <c r="K78" s="4322" t="n"/>
      <c r="L78" s="4322" t="n"/>
      <c r="M78" s="4323" t="n"/>
      <c r="N78" s="4323" t="n"/>
      <c r="O78" s="4315" t="n"/>
      <c r="P78" s="4324" t="n"/>
      <c r="Q78" s="4324" t="n"/>
      <c r="R78" s="4324" t="n"/>
      <c r="S78" s="4325" t="n"/>
      <c r="T78" s="4325" t="n"/>
      <c r="U78" s="4315" t="n"/>
      <c r="V78" s="4322" t="n"/>
      <c r="W78" s="4322" t="n"/>
      <c r="X78" s="4322" t="n"/>
      <c r="Y78" s="4322" t="n"/>
      <c r="Z78" s="4322" t="n"/>
      <c r="AA78" s="4322" t="n"/>
      <c r="AB78" s="4322" t="n"/>
      <c r="AC78" s="4322" t="n"/>
      <c r="AD78" s="4322" t="n"/>
      <c r="AE78" s="4322" t="n"/>
      <c r="AF78" s="4322" t="n"/>
      <c r="AG78" s="4326" t="n"/>
      <c r="AH78" s="4322" t="n"/>
      <c r="AI78" s="4322" t="n"/>
      <c r="AJ78" s="4322" t="n"/>
      <c r="AK78" s="4322" t="n"/>
      <c r="AL78" s="4322" t="n"/>
      <c r="AM78" s="4322" t="n"/>
      <c r="AN78" s="4322" t="n"/>
      <c r="AO78" s="4322" t="n"/>
      <c r="AP78" s="4322" t="n"/>
      <c r="AQ78" s="4322" t="n"/>
      <c r="AR78" s="4322" t="n"/>
      <c r="AS78" s="4326" t="n"/>
      <c r="AT78" s="4322" t="n"/>
      <c r="AU78" s="4322" t="n"/>
      <c r="AV78" s="4322" t="n"/>
      <c r="AW78" s="4322" t="n"/>
      <c r="AX78" s="4322" t="n"/>
      <c r="AY78" s="4322" t="n"/>
      <c r="AZ78" s="4322" t="n"/>
      <c r="BA78" s="4322" t="n"/>
      <c r="BB78" s="4322" t="n"/>
      <c r="BC78" s="4322" t="n"/>
      <c r="BD78" s="4322" t="n"/>
      <c r="BE78" s="4326" t="n"/>
      <c r="BF78" s="4322" t="n"/>
      <c r="BG78" s="4322" t="n"/>
      <c r="BH78" s="4322" t="n"/>
      <c r="BI78" s="4322" t="n"/>
      <c r="BJ78" s="4322" t="n"/>
      <c r="BK78" s="4327" t="n"/>
      <c r="BL78" s="4322" t="n"/>
      <c r="BM78" s="4322" t="n"/>
      <c r="BN78" s="4322" t="n"/>
      <c r="BO78" s="4322" t="n"/>
      <c r="BP78" s="4322" t="n"/>
      <c r="BQ78" s="4315" t="n"/>
      <c r="BR78" s="4328" t="n"/>
      <c r="BT78" s="4315" t="n"/>
      <c r="BU78" s="4315" t="n"/>
    </row>
    <row r="79" ht="12" customFormat="1" customHeight="1" s="4315">
      <c r="A79" s="4316" t="n"/>
      <c r="B79" s="4317" t="n"/>
      <c r="C79" s="4318" t="inlineStr">
        <is>
          <t>[Redacted]</t>
        </is>
      </c>
      <c r="D79" s="4319" t="n">
        <v>11362</v>
      </c>
      <c r="E79" s="4320" t="n"/>
      <c r="F79" s="4320" t="n"/>
      <c r="G79" s="4320" t="n"/>
      <c r="H79" s="4320" t="n"/>
      <c r="I79" s="4321" t="inlineStr">
        <is>
          <t>M</t>
        </is>
      </c>
      <c r="J79" s="4322" t="n"/>
      <c r="K79" s="4322" t="n"/>
      <c r="L79" s="4322" t="n"/>
      <c r="M79" s="4323" t="n"/>
      <c r="N79" s="4323" t="n"/>
      <c r="O79" s="4315" t="n"/>
      <c r="P79" s="4324" t="n"/>
      <c r="Q79" s="4324" t="n"/>
      <c r="R79" s="4324" t="n"/>
      <c r="S79" s="4325" t="n"/>
      <c r="T79" s="4325" t="n"/>
      <c r="U79" s="4315" t="n"/>
      <c r="V79" s="4322" t="n"/>
      <c r="W79" s="4322" t="n"/>
      <c r="X79" s="4322" t="n"/>
      <c r="Y79" s="4322" t="n"/>
      <c r="Z79" s="4322" t="n"/>
      <c r="AA79" s="4322" t="n"/>
      <c r="AB79" s="4322" t="n"/>
      <c r="AC79" s="4322" t="n"/>
      <c r="AD79" s="4322" t="n"/>
      <c r="AE79" s="4322" t="n"/>
      <c r="AF79" s="4322" t="n"/>
      <c r="AG79" s="4326" t="n"/>
      <c r="AH79" s="4322" t="n"/>
      <c r="AI79" s="4322" t="n"/>
      <c r="AJ79" s="4322" t="n"/>
      <c r="AK79" s="4322" t="n"/>
      <c r="AL79" s="4322" t="n"/>
      <c r="AM79" s="4322" t="n"/>
      <c r="AN79" s="4322" t="n"/>
      <c r="AO79" s="4322" t="n"/>
      <c r="AP79" s="4322" t="n"/>
      <c r="AQ79" s="4322" t="n"/>
      <c r="AR79" s="4322" t="n"/>
      <c r="AS79" s="4326" t="n"/>
      <c r="AT79" s="4322" t="n"/>
      <c r="AU79" s="4322" t="n"/>
      <c r="AV79" s="4322" t="n"/>
      <c r="AW79" s="4322" t="n"/>
      <c r="AX79" s="4322" t="n"/>
      <c r="AY79" s="4322" t="n"/>
      <c r="AZ79" s="4322" t="n"/>
      <c r="BA79" s="4322" t="n"/>
      <c r="BB79" s="4322" t="n"/>
      <c r="BC79" s="4322" t="n"/>
      <c r="BD79" s="4322" t="n"/>
      <c r="BE79" s="4326" t="n"/>
      <c r="BF79" s="4322" t="n"/>
      <c r="BG79" s="4322" t="n"/>
      <c r="BH79" s="4322" t="n"/>
      <c r="BI79" s="4322" t="n"/>
      <c r="BJ79" s="4322" t="n"/>
      <c r="BK79" s="4327" t="n"/>
      <c r="BL79" s="4322" t="n"/>
      <c r="BM79" s="4322" t="n"/>
      <c r="BN79" s="4322" t="n"/>
      <c r="BO79" s="4322" t="n"/>
      <c r="BP79" s="4322" t="n"/>
      <c r="BQ79" s="4315" t="n"/>
      <c r="BR79" s="4328" t="n"/>
      <c r="BT79" s="4315" t="n"/>
      <c r="BU79" s="4315" t="n"/>
    </row>
    <row r="80" ht="12" customFormat="1" customHeight="1" s="4315">
      <c r="A80" s="4316" t="n"/>
      <c r="B80" s="4317" t="n"/>
      <c r="C80" s="4318" t="inlineStr">
        <is>
          <t>[Redacted]</t>
        </is>
      </c>
      <c r="D80" s="4319" t="n">
        <v>11242</v>
      </c>
      <c r="E80" s="4320" t="n"/>
      <c r="F80" s="4320" t="n"/>
      <c r="G80" s="4320" t="n"/>
      <c r="H80" s="4320" t="n"/>
      <c r="I80" s="4321" t="inlineStr">
        <is>
          <t>M</t>
        </is>
      </c>
      <c r="J80" s="4322" t="n"/>
      <c r="K80" s="4322" t="n"/>
      <c r="L80" s="4322" t="n"/>
      <c r="M80" s="4323" t="n"/>
      <c r="N80" s="4323" t="n"/>
      <c r="O80" s="4315" t="n"/>
      <c r="P80" s="4324" t="n"/>
      <c r="Q80" s="4324" t="n"/>
      <c r="R80" s="4324" t="n"/>
      <c r="S80" s="4325" t="n"/>
      <c r="T80" s="4325" t="n"/>
      <c r="U80" s="4315" t="n"/>
      <c r="V80" s="4322" t="n"/>
      <c r="W80" s="4322" t="n"/>
      <c r="X80" s="4322" t="n"/>
      <c r="Y80" s="4322" t="n"/>
      <c r="Z80" s="4322" t="n"/>
      <c r="AA80" s="4322" t="n"/>
      <c r="AB80" s="4322" t="n"/>
      <c r="AC80" s="4322" t="n"/>
      <c r="AD80" s="4322" t="n"/>
      <c r="AE80" s="4322" t="n"/>
      <c r="AF80" s="4322" t="n"/>
      <c r="AG80" s="4326" t="n"/>
      <c r="AH80" s="4322" t="n"/>
      <c r="AI80" s="4322" t="n"/>
      <c r="AJ80" s="4322" t="n"/>
      <c r="AK80" s="4322" t="n"/>
      <c r="AL80" s="4322" t="n"/>
      <c r="AM80" s="4322" t="n"/>
      <c r="AN80" s="4322" t="n"/>
      <c r="AO80" s="4322" t="n"/>
      <c r="AP80" s="4322" t="n"/>
      <c r="AQ80" s="4322" t="n"/>
      <c r="AR80" s="4322" t="n"/>
      <c r="AS80" s="4326" t="n"/>
      <c r="AT80" s="4322" t="n"/>
      <c r="AU80" s="4322" t="n"/>
      <c r="AV80" s="4322" t="n"/>
      <c r="AW80" s="4322" t="n"/>
      <c r="AX80" s="4322" t="n"/>
      <c r="AY80" s="4322" t="n"/>
      <c r="AZ80" s="4322" t="n"/>
      <c r="BA80" s="4322" t="n"/>
      <c r="BB80" s="4322" t="n"/>
      <c r="BC80" s="4322" t="n"/>
      <c r="BD80" s="4322" t="n"/>
      <c r="BE80" s="4326" t="n"/>
      <c r="BF80" s="4322" t="n"/>
      <c r="BG80" s="4322" t="n"/>
      <c r="BH80" s="4322" t="n"/>
      <c r="BI80" s="4322" t="n"/>
      <c r="BJ80" s="4322" t="n"/>
      <c r="BK80" s="4327" t="n"/>
      <c r="BL80" s="4322" t="n"/>
      <c r="BM80" s="4322" t="n"/>
      <c r="BN80" s="4322" t="n"/>
      <c r="BO80" s="4322" t="n"/>
      <c r="BP80" s="4322" t="n"/>
      <c r="BQ80" s="4315" t="n"/>
      <c r="BR80" s="4328" t="n"/>
      <c r="BT80" s="4315" t="n"/>
      <c r="BU80" s="4315" t="n"/>
    </row>
    <row r="81" ht="12" customFormat="1" customHeight="1" s="4315">
      <c r="A81" s="4316" t="n"/>
      <c r="B81" s="4317" t="n"/>
      <c r="C81" s="4318" t="inlineStr">
        <is>
          <t>[Redacted]</t>
        </is>
      </c>
      <c r="D81" s="4319" t="n">
        <v>11196</v>
      </c>
      <c r="E81" s="4320" t="n"/>
      <c r="F81" s="4320" t="n"/>
      <c r="G81" s="4320" t="n"/>
      <c r="H81" s="4320" t="n"/>
      <c r="I81" s="4321" t="inlineStr">
        <is>
          <t>M</t>
        </is>
      </c>
      <c r="J81" s="4322" t="n"/>
      <c r="K81" s="4322" t="n"/>
      <c r="L81" s="4322" t="n"/>
      <c r="M81" s="4323" t="n"/>
      <c r="N81" s="4323" t="n"/>
      <c r="O81" s="4315" t="n"/>
      <c r="P81" s="4324" t="n"/>
      <c r="Q81" s="4324" t="n"/>
      <c r="R81" s="4324" t="n"/>
      <c r="S81" s="4325" t="n"/>
      <c r="T81" s="4325" t="n"/>
      <c r="U81" s="4315" t="n"/>
      <c r="V81" s="4322" t="n"/>
      <c r="W81" s="4322" t="n"/>
      <c r="X81" s="4322" t="n"/>
      <c r="Y81" s="4322" t="n"/>
      <c r="Z81" s="4322" t="n"/>
      <c r="AA81" s="4322" t="n"/>
      <c r="AB81" s="4322" t="n"/>
      <c r="AC81" s="4322" t="n"/>
      <c r="AD81" s="4322" t="n"/>
      <c r="AE81" s="4322" t="n"/>
      <c r="AF81" s="4322" t="n"/>
      <c r="AG81" s="4326" t="n"/>
      <c r="AH81" s="4322" t="n"/>
      <c r="AI81" s="4322" t="n"/>
      <c r="AJ81" s="4322" t="n"/>
      <c r="AK81" s="4322" t="n"/>
      <c r="AL81" s="4322" t="n"/>
      <c r="AM81" s="4322" t="n"/>
      <c r="AN81" s="4322" t="n"/>
      <c r="AO81" s="4322" t="n"/>
      <c r="AP81" s="4322" t="n"/>
      <c r="AQ81" s="4322" t="n"/>
      <c r="AR81" s="4322" t="n"/>
      <c r="AS81" s="4326" t="n"/>
      <c r="AT81" s="4322" t="n"/>
      <c r="AU81" s="4322" t="n"/>
      <c r="AV81" s="4322" t="n"/>
      <c r="AW81" s="4322" t="n"/>
      <c r="AX81" s="4322" t="n"/>
      <c r="AY81" s="4322" t="n"/>
      <c r="AZ81" s="4322" t="n"/>
      <c r="BA81" s="4322" t="n"/>
      <c r="BB81" s="4322" t="n"/>
      <c r="BC81" s="4322" t="n"/>
      <c r="BD81" s="4322" t="n"/>
      <c r="BE81" s="4326" t="n"/>
      <c r="BF81" s="4322" t="n"/>
      <c r="BG81" s="4322" t="n"/>
      <c r="BH81" s="4322" t="n"/>
      <c r="BI81" s="4322" t="n"/>
      <c r="BJ81" s="4322" t="n"/>
      <c r="BK81" s="4327" t="n"/>
      <c r="BL81" s="4322" t="n"/>
      <c r="BM81" s="4322" t="n"/>
      <c r="BN81" s="4322" t="n"/>
      <c r="BO81" s="4322" t="n"/>
      <c r="BP81" s="4322" t="n"/>
      <c r="BQ81" s="4315" t="n"/>
      <c r="BR81" s="4328" t="n"/>
      <c r="BT81" s="4315" t="n"/>
      <c r="BU81" s="4315" t="n"/>
    </row>
    <row r="82" ht="12" customFormat="1" customHeight="1" s="4315">
      <c r="A82" s="4316" t="n"/>
      <c r="B82" s="4317" t="n"/>
      <c r="C82" s="4318" t="inlineStr">
        <is>
          <t>[Redacted]</t>
        </is>
      </c>
      <c r="D82" s="4319" t="n">
        <v>11140</v>
      </c>
      <c r="E82" s="4320" t="n"/>
      <c r="F82" s="4320" t="n"/>
      <c r="G82" s="4320" t="n"/>
      <c r="H82" s="4320" t="n"/>
      <c r="I82" s="4321" t="inlineStr">
        <is>
          <t>F</t>
        </is>
      </c>
      <c r="J82" s="4322" t="n"/>
      <c r="K82" s="4322" t="n"/>
      <c r="L82" s="4322" t="n"/>
      <c r="M82" s="4323" t="n"/>
      <c r="N82" s="4323" t="n"/>
      <c r="O82" s="4315" t="n"/>
      <c r="P82" s="4324" t="n"/>
      <c r="Q82" s="4324" t="n"/>
      <c r="R82" s="4324" t="n"/>
      <c r="S82" s="4325" t="n"/>
      <c r="T82" s="4325" t="n"/>
      <c r="U82" s="4315" t="n"/>
      <c r="V82" s="4322" t="n"/>
      <c r="W82" s="4322" t="n"/>
      <c r="X82" s="4322" t="n"/>
      <c r="Y82" s="4322" t="n"/>
      <c r="Z82" s="4322" t="n"/>
      <c r="AA82" s="4322" t="n"/>
      <c r="AB82" s="4322" t="n"/>
      <c r="AC82" s="4322" t="n"/>
      <c r="AD82" s="4322" t="n"/>
      <c r="AE82" s="4322" t="n"/>
      <c r="AF82" s="4322" t="n"/>
      <c r="AG82" s="4326" t="n"/>
      <c r="AH82" s="4322" t="n"/>
      <c r="AI82" s="4322" t="n"/>
      <c r="AJ82" s="4322" t="n"/>
      <c r="AK82" s="4322" t="n"/>
      <c r="AL82" s="4322" t="n"/>
      <c r="AM82" s="4322" t="n"/>
      <c r="AN82" s="4322" t="n"/>
      <c r="AO82" s="4322" t="n"/>
      <c r="AP82" s="4322" t="n"/>
      <c r="AQ82" s="4322" t="n"/>
      <c r="AR82" s="4322" t="n"/>
      <c r="AS82" s="4326" t="n"/>
      <c r="AT82" s="4322" t="n"/>
      <c r="AU82" s="4322" t="n"/>
      <c r="AV82" s="4322" t="n"/>
      <c r="AW82" s="4322" t="n"/>
      <c r="AX82" s="4322" t="n"/>
      <c r="AY82" s="4322" t="n"/>
      <c r="AZ82" s="4322" t="n"/>
      <c r="BA82" s="4322" t="n"/>
      <c r="BB82" s="4322" t="n"/>
      <c r="BC82" s="4322" t="n"/>
      <c r="BD82" s="4322" t="n"/>
      <c r="BE82" s="4326" t="n"/>
      <c r="BF82" s="4322" t="n"/>
      <c r="BG82" s="4322" t="n"/>
      <c r="BH82" s="4322" t="n"/>
      <c r="BI82" s="4322" t="n"/>
      <c r="BJ82" s="4322" t="n"/>
      <c r="BK82" s="4327" t="n"/>
      <c r="BL82" s="4322" t="n"/>
      <c r="BM82" s="4322" t="n"/>
      <c r="BN82" s="4322" t="n"/>
      <c r="BO82" s="4322" t="n"/>
      <c r="BP82" s="4322" t="n"/>
      <c r="BQ82" s="4315" t="n"/>
      <c r="BR82" s="4328" t="n"/>
      <c r="BT82" s="4315" t="n"/>
      <c r="BU82" s="4315" t="n"/>
    </row>
    <row r="83" ht="12" customFormat="1" customHeight="1" s="4315">
      <c r="A83" s="4316" t="n"/>
      <c r="B83" s="4317" t="n"/>
      <c r="C83" s="4318" t="inlineStr">
        <is>
          <t>[Redacted]</t>
        </is>
      </c>
      <c r="D83" s="4319" t="n">
        <v>11177</v>
      </c>
      <c r="E83" s="4320" t="n"/>
      <c r="F83" s="4320" t="n"/>
      <c r="G83" s="4320" t="n"/>
      <c r="H83" s="4320" t="n"/>
      <c r="I83" s="4321" t="inlineStr">
        <is>
          <t>M</t>
        </is>
      </c>
      <c r="J83" s="4322" t="n"/>
      <c r="K83" s="4322" t="n"/>
      <c r="L83" s="4322" t="n"/>
      <c r="M83" s="4323" t="n"/>
      <c r="N83" s="4323" t="n"/>
      <c r="O83" s="4315" t="n"/>
      <c r="P83" s="4324" t="n"/>
      <c r="Q83" s="4324" t="n"/>
      <c r="R83" s="4324" t="n"/>
      <c r="S83" s="4325" t="n"/>
      <c r="T83" s="4325" t="n"/>
      <c r="U83" s="4315" t="n"/>
      <c r="V83" s="4322" t="n"/>
      <c r="W83" s="4322" t="n"/>
      <c r="X83" s="4322" t="n"/>
      <c r="Y83" s="4322" t="n"/>
      <c r="Z83" s="4322" t="n"/>
      <c r="AA83" s="4322" t="n"/>
      <c r="AB83" s="4322" t="n"/>
      <c r="AC83" s="4322" t="n"/>
      <c r="AD83" s="4322" t="n"/>
      <c r="AE83" s="4322" t="n"/>
      <c r="AF83" s="4322" t="n"/>
      <c r="AG83" s="4326" t="n"/>
      <c r="AH83" s="4322" t="n"/>
      <c r="AI83" s="4322" t="n"/>
      <c r="AJ83" s="4322" t="n"/>
      <c r="AK83" s="4322" t="n"/>
      <c r="AL83" s="4322" t="n"/>
      <c r="AM83" s="4322" t="n"/>
      <c r="AN83" s="4322" t="n"/>
      <c r="AO83" s="4322" t="n"/>
      <c r="AP83" s="4322" t="n"/>
      <c r="AQ83" s="4322" t="n"/>
      <c r="AR83" s="4322" t="n"/>
      <c r="AS83" s="4326" t="n"/>
      <c r="AT83" s="4322" t="n"/>
      <c r="AU83" s="4322" t="n"/>
      <c r="AV83" s="4322" t="n"/>
      <c r="AW83" s="4322" t="n"/>
      <c r="AX83" s="4322" t="n"/>
      <c r="AY83" s="4322" t="n"/>
      <c r="AZ83" s="4322" t="n"/>
      <c r="BA83" s="4322" t="n"/>
      <c r="BB83" s="4322" t="n"/>
      <c r="BC83" s="4322" t="n"/>
      <c r="BD83" s="4322" t="n"/>
      <c r="BE83" s="4326" t="n"/>
      <c r="BF83" s="4322" t="n"/>
      <c r="BG83" s="4322" t="n"/>
      <c r="BH83" s="4322" t="n"/>
      <c r="BI83" s="4322" t="n"/>
      <c r="BJ83" s="4322" t="n"/>
      <c r="BK83" s="4327" t="n"/>
      <c r="BL83" s="4322" t="n"/>
      <c r="BM83" s="4322" t="n"/>
      <c r="BN83" s="4322" t="n"/>
      <c r="BO83" s="4322" t="n"/>
      <c r="BP83" s="4322" t="n"/>
      <c r="BQ83" s="4315" t="n"/>
      <c r="BR83" s="4328" t="n"/>
      <c r="BT83" s="4315" t="n"/>
      <c r="BU83" s="4315" t="n"/>
    </row>
    <row r="84" ht="12" customFormat="1" customHeight="1" s="4315">
      <c r="A84" s="4316" t="n"/>
      <c r="B84" s="4317" t="n"/>
      <c r="C84" s="4318" t="inlineStr">
        <is>
          <t>[Redacted]</t>
        </is>
      </c>
      <c r="D84" s="4319" t="n">
        <v>11221</v>
      </c>
      <c r="E84" s="4320" t="n"/>
      <c r="F84" s="4320" t="n"/>
      <c r="G84" s="4320" t="n"/>
      <c r="H84" s="4320" t="n"/>
      <c r="I84" s="4321" t="inlineStr">
        <is>
          <t>F</t>
        </is>
      </c>
      <c r="J84" s="4322" t="n"/>
      <c r="K84" s="4322" t="n"/>
      <c r="L84" s="4322" t="n"/>
      <c r="M84" s="4323" t="n"/>
      <c r="N84" s="4323" t="n"/>
      <c r="O84" s="4315" t="n"/>
      <c r="P84" s="4324" t="n"/>
      <c r="Q84" s="4324" t="n"/>
      <c r="R84" s="4324" t="n"/>
      <c r="S84" s="4325" t="n"/>
      <c r="T84" s="4325" t="n"/>
      <c r="U84" s="4315" t="n"/>
      <c r="V84" s="4322" t="n"/>
      <c r="W84" s="4322" t="n"/>
      <c r="X84" s="4322" t="n"/>
      <c r="Y84" s="4322" t="n"/>
      <c r="Z84" s="4322" t="n"/>
      <c r="AA84" s="4322" t="n"/>
      <c r="AB84" s="4322" t="n"/>
      <c r="AC84" s="4322" t="n"/>
      <c r="AD84" s="4322" t="n"/>
      <c r="AE84" s="4322" t="n"/>
      <c r="AF84" s="4322" t="n"/>
      <c r="AG84" s="4326" t="n"/>
      <c r="AH84" s="4322" t="n"/>
      <c r="AI84" s="4322" t="n"/>
      <c r="AJ84" s="4322" t="n"/>
      <c r="AK84" s="4322" t="n"/>
      <c r="AL84" s="4322" t="n"/>
      <c r="AM84" s="4322" t="n"/>
      <c r="AN84" s="4322" t="n"/>
      <c r="AO84" s="4322" t="n"/>
      <c r="AP84" s="4322" t="n"/>
      <c r="AQ84" s="4322" t="n"/>
      <c r="AR84" s="4322" t="n"/>
      <c r="AS84" s="4326" t="n"/>
      <c r="AT84" s="4322" t="n"/>
      <c r="AU84" s="4322" t="n"/>
      <c r="AV84" s="4322" t="n"/>
      <c r="AW84" s="4322" t="n"/>
      <c r="AX84" s="4322" t="n"/>
      <c r="AY84" s="4322" t="n"/>
      <c r="AZ84" s="4322" t="n"/>
      <c r="BA84" s="4322" t="n"/>
      <c r="BB84" s="4322" t="n"/>
      <c r="BC84" s="4322" t="n"/>
      <c r="BD84" s="4322" t="n"/>
      <c r="BE84" s="4326" t="n"/>
      <c r="BF84" s="4322" t="n"/>
      <c r="BG84" s="4322" t="n"/>
      <c r="BH84" s="4322" t="n"/>
      <c r="BI84" s="4322" t="n"/>
      <c r="BJ84" s="4322" t="n"/>
      <c r="BK84" s="4327" t="n"/>
      <c r="BL84" s="4322" t="n"/>
      <c r="BM84" s="4322" t="n"/>
      <c r="BN84" s="4322" t="n"/>
      <c r="BO84" s="4322" t="n"/>
      <c r="BP84" s="4322" t="n"/>
      <c r="BQ84" s="4315" t="n"/>
      <c r="BR84" s="4328" t="n"/>
      <c r="BT84" s="4315" t="n"/>
      <c r="BU84" s="4315" t="n"/>
    </row>
    <row r="85" ht="12" customFormat="1" customHeight="1" s="4315">
      <c r="A85" s="4316" t="n"/>
      <c r="B85" s="4317" t="n"/>
      <c r="C85" s="4318" t="inlineStr">
        <is>
          <t>[Redacted]</t>
        </is>
      </c>
      <c r="D85" s="4319" t="n">
        <v>11317</v>
      </c>
      <c r="E85" s="4320" t="n"/>
      <c r="F85" s="4320" t="n"/>
      <c r="G85" s="4320" t="n"/>
      <c r="H85" s="4320" t="n"/>
      <c r="I85" s="4321" t="inlineStr">
        <is>
          <t>M</t>
        </is>
      </c>
      <c r="J85" s="4322" t="n"/>
      <c r="K85" s="4322" t="n"/>
      <c r="L85" s="4322" t="n"/>
      <c r="M85" s="4323" t="n"/>
      <c r="N85" s="4323" t="n"/>
      <c r="O85" s="4315" t="n"/>
      <c r="P85" s="4324" t="n"/>
      <c r="Q85" s="4324" t="n"/>
      <c r="R85" s="4324" t="n"/>
      <c r="S85" s="4324" t="n"/>
      <c r="T85" s="4324" t="n"/>
      <c r="U85" s="4315" t="n"/>
      <c r="V85" s="4322" t="n"/>
      <c r="W85" s="4322" t="n"/>
      <c r="X85" s="4322" t="n"/>
      <c r="Y85" s="4322" t="n"/>
      <c r="Z85" s="4322" t="n"/>
      <c r="AA85" s="4322" t="n"/>
      <c r="AB85" s="4322" t="n"/>
      <c r="AC85" s="4322" t="n"/>
      <c r="AD85" s="4322" t="n"/>
      <c r="AE85" s="4322" t="n"/>
      <c r="AF85" s="4322" t="n"/>
      <c r="AG85" s="4326" t="n"/>
      <c r="AH85" s="4322" t="n"/>
      <c r="AI85" s="4322" t="n"/>
      <c r="AJ85" s="4322" t="n"/>
      <c r="AK85" s="4322" t="n"/>
      <c r="AL85" s="4322" t="n"/>
      <c r="AM85" s="4322" t="n"/>
      <c r="AN85" s="4322" t="n"/>
      <c r="AO85" s="4322" t="n"/>
      <c r="AP85" s="4322" t="n"/>
      <c r="AQ85" s="4322" t="n"/>
      <c r="AR85" s="4322" t="n"/>
      <c r="AS85" s="4326" t="n"/>
      <c r="AT85" s="4322" t="n"/>
      <c r="AU85" s="4322" t="n"/>
      <c r="AV85" s="4322" t="n"/>
      <c r="AW85" s="4322" t="n"/>
      <c r="AX85" s="4322" t="n"/>
      <c r="AY85" s="4322" t="n"/>
      <c r="AZ85" s="4322" t="n"/>
      <c r="BA85" s="4322" t="n"/>
      <c r="BB85" s="4322" t="n"/>
      <c r="BC85" s="4322" t="n"/>
      <c r="BD85" s="4322" t="n"/>
      <c r="BE85" s="4326" t="n"/>
      <c r="BF85" s="4322" t="n"/>
      <c r="BG85" s="4322" t="n"/>
      <c r="BH85" s="4322" t="n"/>
      <c r="BI85" s="4322" t="n"/>
      <c r="BJ85" s="4322" t="n"/>
      <c r="BK85" s="4327" t="n"/>
      <c r="BL85" s="4322" t="n"/>
      <c r="BM85" s="4322" t="n"/>
      <c r="BN85" s="4322" t="n"/>
      <c r="BO85" s="4322" t="n"/>
      <c r="BP85" s="4322" t="n"/>
      <c r="BQ85" s="4315" t="n"/>
      <c r="BR85" s="4328" t="n"/>
      <c r="BT85" s="4315" t="n"/>
      <c r="BU85" s="4315" t="n"/>
    </row>
    <row r="86" ht="12" customFormat="1" customHeight="1" s="4315">
      <c r="A86" s="4316" t="n"/>
      <c r="B86" s="4317" t="n"/>
      <c r="C86" s="4318" t="inlineStr">
        <is>
          <t>[Redacted]</t>
        </is>
      </c>
      <c r="D86" s="4319" t="n">
        <v>11374</v>
      </c>
      <c r="E86" s="4320" t="n"/>
      <c r="F86" s="4320" t="n"/>
      <c r="G86" s="4320" t="n"/>
      <c r="H86" s="4320" t="n"/>
      <c r="I86" s="4321" t="inlineStr">
        <is>
          <t>M</t>
        </is>
      </c>
      <c r="J86" s="4322" t="n"/>
      <c r="K86" s="4322" t="n"/>
      <c r="L86" s="4322" t="n"/>
      <c r="M86" s="4323" t="n"/>
      <c r="N86" s="4323" t="n"/>
      <c r="O86" s="4315" t="n"/>
      <c r="P86" s="4324" t="n"/>
      <c r="Q86" s="4324" t="n"/>
      <c r="R86" s="4324" t="n"/>
      <c r="S86" s="4325" t="n"/>
      <c r="T86" s="4325" t="n"/>
      <c r="U86" s="4315" t="n"/>
      <c r="V86" s="4322" t="n"/>
      <c r="W86" s="4322" t="n"/>
      <c r="X86" s="4322" t="n"/>
      <c r="Y86" s="4322" t="n"/>
      <c r="Z86" s="4322" t="n"/>
      <c r="AA86" s="4322" t="n"/>
      <c r="AB86" s="4322" t="n"/>
      <c r="AC86" s="4322" t="n"/>
      <c r="AD86" s="4322" t="n"/>
      <c r="AE86" s="4322" t="n"/>
      <c r="AF86" s="4322" t="n"/>
      <c r="AG86" s="4326" t="n"/>
      <c r="AH86" s="4322" t="n"/>
      <c r="AI86" s="4322" t="n"/>
      <c r="AJ86" s="4322" t="n"/>
      <c r="AK86" s="4322" t="n"/>
      <c r="AL86" s="4322" t="n"/>
      <c r="AM86" s="4322" t="n"/>
      <c r="AN86" s="4322" t="n"/>
      <c r="AO86" s="4322" t="n"/>
      <c r="AP86" s="4322" t="n"/>
      <c r="AQ86" s="4322" t="n"/>
      <c r="AR86" s="4322" t="n"/>
      <c r="AS86" s="4326" t="n"/>
      <c r="AT86" s="4322" t="n"/>
      <c r="AU86" s="4322" t="n"/>
      <c r="AV86" s="4322" t="n"/>
      <c r="AW86" s="4322" t="n"/>
      <c r="AX86" s="4322" t="n"/>
      <c r="AY86" s="4322" t="n"/>
      <c r="AZ86" s="4322" t="n"/>
      <c r="BA86" s="4322" t="n"/>
      <c r="BB86" s="4322" t="n"/>
      <c r="BC86" s="4322" t="n"/>
      <c r="BD86" s="4322" t="n"/>
      <c r="BE86" s="4326" t="n"/>
      <c r="BF86" s="4322" t="n"/>
      <c r="BG86" s="4322" t="n"/>
      <c r="BH86" s="4322" t="n"/>
      <c r="BI86" s="4322" t="n"/>
      <c r="BJ86" s="4322" t="n"/>
      <c r="BK86" s="4327" t="n"/>
      <c r="BL86" s="4322" t="n"/>
      <c r="BM86" s="4322" t="n"/>
      <c r="BN86" s="4322" t="n"/>
      <c r="BO86" s="4322" t="n"/>
      <c r="BP86" s="4322" t="n"/>
      <c r="BQ86" s="4315" t="n"/>
      <c r="BR86" s="4328" t="n"/>
      <c r="BT86" s="4315" t="n"/>
      <c r="BU86" s="4315" t="n"/>
    </row>
    <row r="87" ht="12" customFormat="1" customHeight="1" s="4315">
      <c r="A87" s="4316" t="n"/>
      <c r="B87" s="4317" t="n"/>
      <c r="C87" s="4318" t="inlineStr">
        <is>
          <t>[Redacted]</t>
        </is>
      </c>
      <c r="D87" s="4319" t="n">
        <v>11370</v>
      </c>
      <c r="E87" s="4320" t="n"/>
      <c r="F87" s="4320" t="n"/>
      <c r="G87" s="4320" t="n"/>
      <c r="H87" s="4320" t="n"/>
      <c r="I87" s="4321" t="inlineStr">
        <is>
          <t>M</t>
        </is>
      </c>
      <c r="J87" s="4322" t="n"/>
      <c r="K87" s="4322" t="n"/>
      <c r="L87" s="4322" t="n"/>
      <c r="M87" s="4323" t="n"/>
      <c r="N87" s="4323" t="n"/>
      <c r="O87" s="4315" t="n"/>
      <c r="P87" s="4324" t="n"/>
      <c r="Q87" s="4324" t="n"/>
      <c r="R87" s="4324" t="n"/>
      <c r="S87" s="4325" t="n"/>
      <c r="T87" s="4325" t="n"/>
      <c r="U87" s="4315" t="n"/>
      <c r="V87" s="4322" t="n"/>
      <c r="W87" s="4322" t="n"/>
      <c r="X87" s="4322" t="n"/>
      <c r="Y87" s="4322" t="n"/>
      <c r="Z87" s="4322" t="n"/>
      <c r="AA87" s="4322" t="n"/>
      <c r="AB87" s="4322" t="n"/>
      <c r="AC87" s="4322" t="n"/>
      <c r="AD87" s="4322" t="n"/>
      <c r="AE87" s="4322" t="n"/>
      <c r="AF87" s="4322" t="n"/>
      <c r="AG87" s="4326" t="n"/>
      <c r="AH87" s="4322" t="n"/>
      <c r="AI87" s="4322" t="n"/>
      <c r="AJ87" s="4322" t="n"/>
      <c r="AK87" s="4322" t="n"/>
      <c r="AL87" s="4322" t="n"/>
      <c r="AM87" s="4322" t="n"/>
      <c r="AN87" s="4322" t="n"/>
      <c r="AO87" s="4322" t="n"/>
      <c r="AP87" s="4322" t="n"/>
      <c r="AQ87" s="4322" t="n"/>
      <c r="AR87" s="4322" t="n"/>
      <c r="AS87" s="4326" t="n"/>
      <c r="AT87" s="4322" t="n"/>
      <c r="AU87" s="4322" t="n"/>
      <c r="AV87" s="4322" t="n"/>
      <c r="AW87" s="4322" t="n"/>
      <c r="AX87" s="4322" t="n"/>
      <c r="AY87" s="4322" t="n"/>
      <c r="AZ87" s="4322" t="n"/>
      <c r="BA87" s="4322" t="n"/>
      <c r="BB87" s="4322" t="n"/>
      <c r="BC87" s="4322" t="n"/>
      <c r="BD87" s="4322" t="n"/>
      <c r="BE87" s="4326" t="n"/>
      <c r="BF87" s="4322" t="n"/>
      <c r="BG87" s="4322" t="n"/>
      <c r="BH87" s="4322" t="n"/>
      <c r="BI87" s="4322" t="n"/>
      <c r="BJ87" s="4322" t="n"/>
      <c r="BK87" s="4327" t="n"/>
      <c r="BL87" s="4322" t="n"/>
      <c r="BM87" s="4322" t="n"/>
      <c r="BN87" s="4322" t="n"/>
      <c r="BO87" s="4322" t="n"/>
      <c r="BP87" s="4322" t="n"/>
      <c r="BQ87" s="4315" t="n"/>
      <c r="BR87" s="4328" t="n"/>
      <c r="BT87" s="4315" t="n"/>
      <c r="BU87" s="4315" t="n"/>
    </row>
    <row r="88" ht="12" customFormat="1" customHeight="1" s="4315">
      <c r="A88" s="4316" t="n"/>
      <c r="B88" s="4317" t="n"/>
      <c r="C88" s="4318" t="inlineStr">
        <is>
          <t>[Redacted]</t>
        </is>
      </c>
      <c r="D88" s="4319" t="n">
        <v>11202</v>
      </c>
      <c r="E88" s="4320" t="n"/>
      <c r="F88" s="4320" t="n"/>
      <c r="G88" s="4320" t="n"/>
      <c r="H88" s="4320" t="n"/>
      <c r="I88" s="4321" t="inlineStr">
        <is>
          <t>F</t>
        </is>
      </c>
      <c r="J88" s="4322" t="n"/>
      <c r="K88" s="4322" t="n"/>
      <c r="L88" s="4322" t="n"/>
      <c r="M88" s="4323" t="n"/>
      <c r="N88" s="4323" t="n"/>
      <c r="O88" s="4315" t="n"/>
      <c r="P88" s="4324" t="n"/>
      <c r="Q88" s="4324" t="n"/>
      <c r="R88" s="4324" t="n"/>
      <c r="S88" s="4325" t="n"/>
      <c r="T88" s="4325" t="n"/>
      <c r="U88" s="4315" t="n"/>
      <c r="V88" s="4322" t="n"/>
      <c r="W88" s="4322" t="n"/>
      <c r="X88" s="4322" t="n"/>
      <c r="Y88" s="4322" t="n"/>
      <c r="Z88" s="4322" t="n"/>
      <c r="AA88" s="4322" t="n"/>
      <c r="AB88" s="4322" t="n"/>
      <c r="AC88" s="4322" t="n"/>
      <c r="AD88" s="4322" t="n"/>
      <c r="AE88" s="4322" t="n"/>
      <c r="AF88" s="4322" t="n"/>
      <c r="AG88" s="4326" t="n"/>
      <c r="AH88" s="4322" t="n"/>
      <c r="AI88" s="4322" t="n"/>
      <c r="AJ88" s="4322" t="n"/>
      <c r="AK88" s="4322" t="n"/>
      <c r="AL88" s="4322" t="n"/>
      <c r="AM88" s="4322" t="n"/>
      <c r="AN88" s="4322" t="n"/>
      <c r="AO88" s="4322" t="n"/>
      <c r="AP88" s="4322" t="n"/>
      <c r="AQ88" s="4322" t="n"/>
      <c r="AR88" s="4322" t="n"/>
      <c r="AS88" s="4326" t="n"/>
      <c r="AT88" s="4322" t="n"/>
      <c r="AU88" s="4322" t="n"/>
      <c r="AV88" s="4322" t="n"/>
      <c r="AW88" s="4322" t="n"/>
      <c r="AX88" s="4322" t="n"/>
      <c r="AY88" s="4322" t="n"/>
      <c r="AZ88" s="4322" t="n"/>
      <c r="BA88" s="4322" t="n"/>
      <c r="BB88" s="4322" t="n"/>
      <c r="BC88" s="4322" t="n"/>
      <c r="BD88" s="4322" t="n"/>
      <c r="BE88" s="4326" t="n"/>
      <c r="BF88" s="4322" t="n"/>
      <c r="BG88" s="4322" t="n"/>
      <c r="BH88" s="4322" t="n"/>
      <c r="BI88" s="4322" t="n"/>
      <c r="BJ88" s="4322" t="n"/>
      <c r="BK88" s="4327" t="n"/>
      <c r="BL88" s="4322" t="n"/>
      <c r="BM88" s="4322" t="n"/>
      <c r="BN88" s="4322" t="n"/>
      <c r="BO88" s="4322" t="n"/>
      <c r="BP88" s="4322" t="n"/>
      <c r="BQ88" s="4315" t="n"/>
      <c r="BR88" s="4328" t="n"/>
      <c r="BT88" s="4315" t="n"/>
      <c r="BU88" s="4315" t="n"/>
    </row>
    <row r="89" ht="12" customFormat="1" customHeight="1" s="4315">
      <c r="A89" s="4316" t="n"/>
      <c r="B89" s="4317" t="n"/>
      <c r="C89" s="4318" t="inlineStr">
        <is>
          <t>[Redacted]</t>
        </is>
      </c>
      <c r="D89" s="4319" t="n">
        <v>11313</v>
      </c>
      <c r="E89" s="4320" t="n"/>
      <c r="F89" s="4320" t="n"/>
      <c r="G89" s="4320" t="n"/>
      <c r="H89" s="4320" t="n"/>
      <c r="I89" s="4321" t="inlineStr">
        <is>
          <t>F</t>
        </is>
      </c>
      <c r="J89" s="4322" t="n"/>
      <c r="K89" s="4322" t="n"/>
      <c r="L89" s="4322" t="n"/>
      <c r="M89" s="4323" t="n"/>
      <c r="N89" s="4323" t="n"/>
      <c r="O89" s="4315" t="n"/>
      <c r="P89" s="4324" t="n"/>
      <c r="Q89" s="4324" t="n"/>
      <c r="R89" s="4324" t="n"/>
      <c r="S89" s="4325" t="n"/>
      <c r="T89" s="4325" t="n"/>
      <c r="U89" s="4315" t="n"/>
      <c r="V89" s="4322" t="n"/>
      <c r="W89" s="4322" t="n"/>
      <c r="X89" s="4322" t="n"/>
      <c r="Y89" s="4322" t="n"/>
      <c r="Z89" s="4322" t="n"/>
      <c r="AA89" s="4322" t="n"/>
      <c r="AB89" s="4322" t="n"/>
      <c r="AC89" s="4322" t="n"/>
      <c r="AD89" s="4322" t="n"/>
      <c r="AE89" s="4322" t="n"/>
      <c r="AF89" s="4322" t="n"/>
      <c r="AG89" s="4326" t="n"/>
      <c r="AH89" s="4322" t="n"/>
      <c r="AI89" s="4322" t="n"/>
      <c r="AJ89" s="4322" t="n"/>
      <c r="AK89" s="4322" t="n"/>
      <c r="AL89" s="4322" t="n"/>
      <c r="AM89" s="4322" t="n"/>
      <c r="AN89" s="4322" t="n"/>
      <c r="AO89" s="4322" t="n"/>
      <c r="AP89" s="4322" t="n"/>
      <c r="AQ89" s="4322" t="n"/>
      <c r="AR89" s="4322" t="n"/>
      <c r="AS89" s="4326" t="n"/>
      <c r="AT89" s="4322" t="n"/>
      <c r="AU89" s="4322" t="n"/>
      <c r="AV89" s="4322" t="n"/>
      <c r="AW89" s="4322" t="n"/>
      <c r="AX89" s="4322" t="n"/>
      <c r="AY89" s="4322" t="n"/>
      <c r="AZ89" s="4322" t="n"/>
      <c r="BA89" s="4322" t="n"/>
      <c r="BB89" s="4322" t="n"/>
      <c r="BC89" s="4322" t="n"/>
      <c r="BD89" s="4322" t="n"/>
      <c r="BE89" s="4326" t="n"/>
      <c r="BF89" s="4322" t="n"/>
      <c r="BG89" s="4322" t="n"/>
      <c r="BH89" s="4322" t="n"/>
      <c r="BI89" s="4322" t="n"/>
      <c r="BJ89" s="4322" t="n"/>
      <c r="BK89" s="4327" t="n"/>
      <c r="BL89" s="4322" t="n"/>
      <c r="BM89" s="4322" t="n"/>
      <c r="BN89" s="4322" t="n"/>
      <c r="BO89" s="4322" t="n"/>
      <c r="BP89" s="4322" t="n"/>
      <c r="BQ89" s="4315" t="n"/>
      <c r="BR89" s="4328" t="n"/>
      <c r="BT89" s="4315" t="n"/>
      <c r="BU89" s="4315" t="n"/>
    </row>
    <row r="90" ht="12" customFormat="1" customHeight="1" s="4315">
      <c r="A90" s="4316" t="n"/>
      <c r="B90" s="4317" t="n"/>
      <c r="C90" s="4318" t="inlineStr">
        <is>
          <t>[Redacted]</t>
        </is>
      </c>
      <c r="D90" s="4319" t="n">
        <v>11379</v>
      </c>
      <c r="E90" s="4320" t="n"/>
      <c r="F90" s="4320" t="n"/>
      <c r="G90" s="4320" t="n"/>
      <c r="H90" s="4320" t="n"/>
      <c r="I90" s="4321" t="inlineStr">
        <is>
          <t>M</t>
        </is>
      </c>
      <c r="J90" s="4322" t="n"/>
      <c r="K90" s="4322" t="n"/>
      <c r="L90" s="4322" t="n"/>
      <c r="M90" s="4323" t="n"/>
      <c r="N90" s="4323" t="n"/>
      <c r="O90" s="4315" t="n"/>
      <c r="P90" s="4324" t="n"/>
      <c r="Q90" s="4324" t="n"/>
      <c r="R90" s="4324" t="n"/>
      <c r="S90" s="4325" t="n"/>
      <c r="T90" s="4325" t="n"/>
      <c r="U90" s="4315" t="n"/>
      <c r="V90" s="4322" t="n"/>
      <c r="W90" s="4322" t="n"/>
      <c r="X90" s="4322" t="n"/>
      <c r="Y90" s="4322" t="n"/>
      <c r="Z90" s="4322" t="n"/>
      <c r="AA90" s="4322" t="n"/>
      <c r="AB90" s="4322" t="n"/>
      <c r="AC90" s="4322" t="n"/>
      <c r="AD90" s="4322" t="n"/>
      <c r="AE90" s="4322" t="n"/>
      <c r="AF90" s="4322" t="n"/>
      <c r="AG90" s="4326" t="n"/>
      <c r="AH90" s="4322" t="n"/>
      <c r="AI90" s="4322" t="n"/>
      <c r="AJ90" s="4322" t="n"/>
      <c r="AK90" s="4322" t="n"/>
      <c r="AL90" s="4322" t="n"/>
      <c r="AM90" s="4322" t="n"/>
      <c r="AN90" s="4322" t="n"/>
      <c r="AO90" s="4322" t="n"/>
      <c r="AP90" s="4322" t="n"/>
      <c r="AQ90" s="4322" t="n"/>
      <c r="AR90" s="4322" t="n"/>
      <c r="AS90" s="4326" t="n"/>
      <c r="AT90" s="4322" t="n"/>
      <c r="AU90" s="4322" t="n"/>
      <c r="AV90" s="4322" t="n"/>
      <c r="AW90" s="4322" t="n"/>
      <c r="AX90" s="4322" t="n"/>
      <c r="AY90" s="4322" t="n"/>
      <c r="AZ90" s="4322" t="n"/>
      <c r="BA90" s="4322" t="n"/>
      <c r="BB90" s="4322" t="n"/>
      <c r="BC90" s="4322" t="n"/>
      <c r="BD90" s="4322" t="n"/>
      <c r="BE90" s="4326" t="n"/>
      <c r="BF90" s="4322" t="n"/>
      <c r="BG90" s="4322" t="n"/>
      <c r="BH90" s="4322" t="n"/>
      <c r="BI90" s="4322" t="n"/>
      <c r="BJ90" s="4322" t="n"/>
      <c r="BK90" s="4327" t="n"/>
      <c r="BL90" s="4322" t="n"/>
      <c r="BM90" s="4322" t="n"/>
      <c r="BN90" s="4322" t="n"/>
      <c r="BO90" s="4322" t="n"/>
      <c r="BP90" s="4322" t="n"/>
      <c r="BQ90" s="4315" t="n"/>
      <c r="BR90" s="4328" t="n"/>
      <c r="BT90" s="4315" t="n"/>
      <c r="BU90" s="4315" t="n"/>
    </row>
    <row r="91" ht="12" customFormat="1" customHeight="1" s="4315">
      <c r="A91" s="4316" t="n"/>
      <c r="B91" s="4317" t="n"/>
      <c r="C91" s="4318" t="inlineStr">
        <is>
          <t>[Redacted]</t>
        </is>
      </c>
      <c r="D91" s="4319" t="n">
        <v>11265</v>
      </c>
      <c r="E91" s="4320" t="n"/>
      <c r="F91" s="4320" t="n"/>
      <c r="G91" s="4320" t="n"/>
      <c r="H91" s="4320" t="n"/>
      <c r="I91" s="4321" t="inlineStr">
        <is>
          <t>F</t>
        </is>
      </c>
      <c r="J91" s="4322" t="n"/>
      <c r="K91" s="4322" t="n"/>
      <c r="L91" s="4322" t="n"/>
      <c r="M91" s="4323" t="n"/>
      <c r="N91" s="4323" t="n"/>
      <c r="O91" s="4315" t="n"/>
      <c r="P91" s="4324" t="n"/>
      <c r="Q91" s="4324" t="n"/>
      <c r="R91" s="4324" t="n"/>
      <c r="S91" s="4325" t="n"/>
      <c r="T91" s="4325" t="n"/>
      <c r="U91" s="4315" t="n"/>
      <c r="V91" s="4322" t="n"/>
      <c r="W91" s="4322" t="n"/>
      <c r="X91" s="4322" t="n"/>
      <c r="Y91" s="4322" t="n"/>
      <c r="Z91" s="4322" t="n"/>
      <c r="AA91" s="4322" t="n"/>
      <c r="AB91" s="4322" t="n"/>
      <c r="AC91" s="4322" t="n"/>
      <c r="AD91" s="4322" t="n"/>
      <c r="AE91" s="4322" t="n"/>
      <c r="AF91" s="4322" t="n"/>
      <c r="AG91" s="4326" t="n"/>
      <c r="AH91" s="4322" t="n"/>
      <c r="AI91" s="4322" t="n"/>
      <c r="AJ91" s="4322" t="n"/>
      <c r="AK91" s="4322" t="n"/>
      <c r="AL91" s="4322" t="n"/>
      <c r="AM91" s="4322" t="n"/>
      <c r="AN91" s="4322" t="n"/>
      <c r="AO91" s="4322" t="n"/>
      <c r="AP91" s="4322" t="n"/>
      <c r="AQ91" s="4322" t="n"/>
      <c r="AR91" s="4322" t="n"/>
      <c r="AS91" s="4326" t="n"/>
      <c r="AT91" s="4322" t="n"/>
      <c r="AU91" s="4322" t="n"/>
      <c r="AV91" s="4322" t="n"/>
      <c r="AW91" s="4322" t="n"/>
      <c r="AX91" s="4322" t="n"/>
      <c r="AY91" s="4322" t="n"/>
      <c r="AZ91" s="4322" t="n"/>
      <c r="BA91" s="4322" t="n"/>
      <c r="BB91" s="4322" t="n"/>
      <c r="BC91" s="4322" t="n"/>
      <c r="BD91" s="4322" t="n"/>
      <c r="BE91" s="4326" t="n"/>
      <c r="BF91" s="4322" t="n"/>
      <c r="BG91" s="4322" t="n"/>
      <c r="BH91" s="4322" t="n"/>
      <c r="BI91" s="4322" t="n"/>
      <c r="BJ91" s="4322" t="n"/>
      <c r="BK91" s="4327" t="n"/>
      <c r="BL91" s="4322" t="n"/>
      <c r="BM91" s="4322" t="n"/>
      <c r="BN91" s="4322" t="n"/>
      <c r="BO91" s="4322" t="n"/>
      <c r="BP91" s="4322" t="n"/>
      <c r="BQ91" s="4315" t="n"/>
      <c r="BR91" s="4328" t="n"/>
      <c r="BT91" s="4315" t="n"/>
      <c r="BU91" s="4315" t="n"/>
    </row>
    <row r="92" ht="12" customFormat="1" customHeight="1" s="4315">
      <c r="A92" s="4316" t="n"/>
      <c r="B92" s="4317" t="n"/>
      <c r="C92" s="4318" t="inlineStr">
        <is>
          <t>[Redacted]</t>
        </is>
      </c>
      <c r="D92" s="4319" t="n">
        <v>11324</v>
      </c>
      <c r="E92" s="4320" t="n"/>
      <c r="F92" s="4320" t="n"/>
      <c r="G92" s="4320" t="n"/>
      <c r="H92" s="4320" t="n"/>
      <c r="I92" s="4321" t="inlineStr">
        <is>
          <t>M</t>
        </is>
      </c>
      <c r="J92" s="4322" t="n"/>
      <c r="K92" s="4322" t="n"/>
      <c r="L92" s="4322" t="n"/>
      <c r="M92" s="4323" t="n"/>
      <c r="N92" s="4323" t="n"/>
      <c r="O92" s="4315" t="n"/>
      <c r="P92" s="4324" t="n"/>
      <c r="Q92" s="4324" t="n"/>
      <c r="R92" s="4324" t="n"/>
      <c r="S92" s="4325" t="n"/>
      <c r="T92" s="4325" t="n"/>
      <c r="U92" s="4315" t="n"/>
      <c r="V92" s="4322" t="n"/>
      <c r="W92" s="4322" t="n"/>
      <c r="X92" s="4322" t="n"/>
      <c r="Y92" s="4322" t="n"/>
      <c r="Z92" s="4322" t="n"/>
      <c r="AA92" s="4322" t="n"/>
      <c r="AB92" s="4322" t="n"/>
      <c r="AC92" s="4322" t="n"/>
      <c r="AD92" s="4322" t="n"/>
      <c r="AE92" s="4322" t="n"/>
      <c r="AF92" s="4322" t="n"/>
      <c r="AG92" s="4326" t="n"/>
      <c r="AH92" s="4322" t="n"/>
      <c r="AI92" s="4322" t="n"/>
      <c r="AJ92" s="4322" t="n"/>
      <c r="AK92" s="4322" t="n"/>
      <c r="AL92" s="4322" t="n"/>
      <c r="AM92" s="4322" t="n"/>
      <c r="AN92" s="4322" t="n"/>
      <c r="AO92" s="4322" t="n"/>
      <c r="AP92" s="4322" t="n"/>
      <c r="AQ92" s="4322" t="n"/>
      <c r="AR92" s="4322" t="n"/>
      <c r="AS92" s="4326" t="n"/>
      <c r="AT92" s="4322" t="n"/>
      <c r="AU92" s="4322" t="n"/>
      <c r="AV92" s="4322" t="n"/>
      <c r="AW92" s="4322" t="n"/>
      <c r="AX92" s="4322" t="n"/>
      <c r="AY92" s="4322" t="n"/>
      <c r="AZ92" s="4322" t="n"/>
      <c r="BA92" s="4322" t="n"/>
      <c r="BB92" s="4322" t="n"/>
      <c r="BC92" s="4322" t="n"/>
      <c r="BD92" s="4322" t="n"/>
      <c r="BE92" s="4326" t="n"/>
      <c r="BF92" s="4322" t="n"/>
      <c r="BG92" s="4322" t="n"/>
      <c r="BH92" s="4322" t="n"/>
      <c r="BI92" s="4322" t="n"/>
      <c r="BJ92" s="4322" t="n"/>
      <c r="BK92" s="4327" t="n"/>
      <c r="BL92" s="4322" t="n"/>
      <c r="BM92" s="4322" t="n"/>
      <c r="BN92" s="4322" t="n"/>
      <c r="BO92" s="4322" t="n"/>
      <c r="BP92" s="4322" t="n"/>
      <c r="BQ92" s="4315" t="n"/>
      <c r="BR92" s="4328" t="n"/>
      <c r="BT92" s="4315" t="n"/>
      <c r="BU92" s="4315" t="n"/>
    </row>
    <row r="93" ht="12" customFormat="1" customHeight="1" s="4315">
      <c r="A93" s="4316" t="n"/>
      <c r="B93" s="4317" t="n"/>
      <c r="C93" s="4318" t="inlineStr">
        <is>
          <t>[Redacted]</t>
        </is>
      </c>
      <c r="D93" s="4319" t="n">
        <v>11330</v>
      </c>
      <c r="E93" s="4320" t="n"/>
      <c r="F93" s="4320" t="n"/>
      <c r="G93" s="4320" t="n"/>
      <c r="H93" s="4320" t="n"/>
      <c r="I93" s="4321" t="inlineStr">
        <is>
          <t>M</t>
        </is>
      </c>
      <c r="J93" s="4322" t="n"/>
      <c r="K93" s="4322" t="n"/>
      <c r="L93" s="4322" t="n"/>
      <c r="M93" s="4323" t="n"/>
      <c r="N93" s="4323" t="n"/>
      <c r="O93" s="4315" t="n"/>
      <c r="P93" s="4324" t="n"/>
      <c r="Q93" s="4324" t="n"/>
      <c r="R93" s="4324" t="n"/>
      <c r="S93" s="4325" t="n"/>
      <c r="T93" s="4325" t="n"/>
      <c r="U93" s="4315" t="n"/>
      <c r="V93" s="4322" t="n"/>
      <c r="W93" s="4322" t="n"/>
      <c r="X93" s="4322" t="n"/>
      <c r="Y93" s="4322" t="n"/>
      <c r="Z93" s="4322" t="n"/>
      <c r="AA93" s="4322" t="n"/>
      <c r="AB93" s="4322" t="n"/>
      <c r="AC93" s="4322" t="n"/>
      <c r="AD93" s="4322" t="n"/>
      <c r="AE93" s="4322" t="n"/>
      <c r="AF93" s="4322" t="n"/>
      <c r="AG93" s="4326" t="n"/>
      <c r="AH93" s="4322" t="n"/>
      <c r="AI93" s="4322" t="n"/>
      <c r="AJ93" s="4322" t="n"/>
      <c r="AK93" s="4322" t="n"/>
      <c r="AL93" s="4322" t="n"/>
      <c r="AM93" s="4322" t="n"/>
      <c r="AN93" s="4322" t="n"/>
      <c r="AO93" s="4322" t="n"/>
      <c r="AP93" s="4322" t="n"/>
      <c r="AQ93" s="4322" t="n"/>
      <c r="AR93" s="4322" t="n"/>
      <c r="AS93" s="4326" t="n"/>
      <c r="AT93" s="4322" t="n"/>
      <c r="AU93" s="4322" t="n"/>
      <c r="AV93" s="4322" t="n"/>
      <c r="AW93" s="4322" t="n"/>
      <c r="AX93" s="4322" t="n"/>
      <c r="AY93" s="4322" t="n"/>
      <c r="AZ93" s="4322" t="n"/>
      <c r="BA93" s="4322" t="n"/>
      <c r="BB93" s="4322" t="n"/>
      <c r="BC93" s="4322" t="n"/>
      <c r="BD93" s="4322" t="n"/>
      <c r="BE93" s="4326" t="n"/>
      <c r="BF93" s="4322" t="n"/>
      <c r="BG93" s="4322" t="n"/>
      <c r="BH93" s="4322" t="n"/>
      <c r="BI93" s="4322" t="n"/>
      <c r="BJ93" s="4322" t="n"/>
      <c r="BK93" s="4327" t="n"/>
      <c r="BL93" s="4322" t="n"/>
      <c r="BM93" s="4322" t="n"/>
      <c r="BN93" s="4322" t="n"/>
      <c r="BO93" s="4322" t="n"/>
      <c r="BP93" s="4322" t="n"/>
      <c r="BQ93" s="4315" t="n"/>
      <c r="BR93" s="4328" t="n"/>
      <c r="BT93" s="4315" t="n"/>
      <c r="BU93" s="4315" t="n"/>
    </row>
    <row r="94" ht="12" customFormat="1" customHeight="1" s="4315">
      <c r="A94" s="4316" t="n"/>
      <c r="B94" s="4317" t="n"/>
      <c r="C94" s="4318" t="inlineStr">
        <is>
          <t>[Redacted]</t>
        </is>
      </c>
      <c r="D94" s="4319" t="n">
        <v>11363</v>
      </c>
      <c r="E94" s="4320" t="n"/>
      <c r="F94" s="4320" t="n"/>
      <c r="G94" s="4320" t="n"/>
      <c r="H94" s="4320" t="n"/>
      <c r="I94" s="4321" t="inlineStr">
        <is>
          <t>F</t>
        </is>
      </c>
      <c r="J94" s="4322" t="n"/>
      <c r="K94" s="4322" t="n"/>
      <c r="L94" s="4322" t="n"/>
      <c r="M94" s="4323" t="n"/>
      <c r="N94" s="4323" t="n"/>
      <c r="O94" s="4315" t="n"/>
      <c r="P94" s="4324" t="n"/>
      <c r="Q94" s="4324" t="n"/>
      <c r="R94" s="4324" t="n"/>
      <c r="S94" s="4325" t="n"/>
      <c r="T94" s="4325" t="n"/>
      <c r="U94" s="4315" t="n"/>
      <c r="V94" s="4322" t="n"/>
      <c r="W94" s="4322" t="n"/>
      <c r="X94" s="4322" t="n"/>
      <c r="Y94" s="4322" t="n"/>
      <c r="Z94" s="4322" t="n"/>
      <c r="AA94" s="4322" t="n"/>
      <c r="AB94" s="4322" t="n"/>
      <c r="AC94" s="4322" t="n"/>
      <c r="AD94" s="4322" t="n"/>
      <c r="AE94" s="4322" t="n"/>
      <c r="AF94" s="4322" t="n"/>
      <c r="AG94" s="4326" t="n"/>
      <c r="AH94" s="4322" t="n"/>
      <c r="AI94" s="4322" t="n"/>
      <c r="AJ94" s="4322" t="n"/>
      <c r="AK94" s="4322" t="n"/>
      <c r="AL94" s="4322" t="n"/>
      <c r="AM94" s="4322" t="n"/>
      <c r="AN94" s="4322" t="n"/>
      <c r="AO94" s="4322" t="n"/>
      <c r="AP94" s="4322" t="n"/>
      <c r="AQ94" s="4322" t="n"/>
      <c r="AR94" s="4322" t="n"/>
      <c r="AS94" s="4326" t="n"/>
      <c r="AT94" s="4322" t="n"/>
      <c r="AU94" s="4322" t="n"/>
      <c r="AV94" s="4322" t="n"/>
      <c r="AW94" s="4322" t="n"/>
      <c r="AX94" s="4322" t="n"/>
      <c r="AY94" s="4322" t="n"/>
      <c r="AZ94" s="4322" t="n"/>
      <c r="BA94" s="4322" t="n"/>
      <c r="BB94" s="4322" t="n"/>
      <c r="BC94" s="4322" t="n"/>
      <c r="BD94" s="4322" t="n"/>
      <c r="BE94" s="4326" t="n"/>
      <c r="BF94" s="4322" t="n"/>
      <c r="BG94" s="4322" t="n"/>
      <c r="BH94" s="4322" t="n"/>
      <c r="BI94" s="4322" t="n"/>
      <c r="BJ94" s="4322" t="n"/>
      <c r="BK94" s="4327" t="n"/>
      <c r="BL94" s="4322" t="n"/>
      <c r="BM94" s="4322" t="n"/>
      <c r="BN94" s="4322" t="n"/>
      <c r="BO94" s="4322" t="n"/>
      <c r="BP94" s="4322" t="n"/>
      <c r="BQ94" s="4315" t="n"/>
      <c r="BR94" s="4328" t="n"/>
      <c r="BT94" s="4315" t="n"/>
      <c r="BU94" s="4315" t="n"/>
    </row>
    <row r="95" ht="12" customFormat="1" customHeight="1" s="4315">
      <c r="A95" s="4316" t="n"/>
      <c r="B95" s="4317" t="n"/>
      <c r="C95" s="4318" t="inlineStr">
        <is>
          <t>[Redacted]</t>
        </is>
      </c>
      <c r="D95" s="4319" t="n">
        <v>11344</v>
      </c>
      <c r="E95" s="4320" t="n"/>
      <c r="F95" s="4320" t="n"/>
      <c r="G95" s="4320" t="n"/>
      <c r="H95" s="4320" t="n"/>
      <c r="I95" s="4321" t="inlineStr">
        <is>
          <t>M</t>
        </is>
      </c>
      <c r="J95" s="4322" t="n"/>
      <c r="K95" s="4322" t="n"/>
      <c r="L95" s="4322" t="n"/>
      <c r="M95" s="4323" t="n"/>
      <c r="N95" s="4323" t="n"/>
      <c r="O95" s="4315" t="n"/>
      <c r="P95" s="4324" t="n"/>
      <c r="Q95" s="4324" t="n"/>
      <c r="R95" s="4324" t="n"/>
      <c r="S95" s="4325" t="n"/>
      <c r="T95" s="4325" t="n"/>
      <c r="U95" s="4315" t="n"/>
      <c r="V95" s="4322" t="n"/>
      <c r="W95" s="4322" t="n"/>
      <c r="X95" s="4322" t="n"/>
      <c r="Y95" s="4322" t="n"/>
      <c r="Z95" s="4322" t="n"/>
      <c r="AA95" s="4322" t="n"/>
      <c r="AB95" s="4322" t="n"/>
      <c r="AC95" s="4322" t="n"/>
      <c r="AD95" s="4322" t="n"/>
      <c r="AE95" s="4322" t="n"/>
      <c r="AF95" s="4322" t="n"/>
      <c r="AG95" s="4326" t="n"/>
      <c r="AH95" s="4322" t="n"/>
      <c r="AI95" s="4322" t="n"/>
      <c r="AJ95" s="4322" t="n"/>
      <c r="AK95" s="4322" t="n"/>
      <c r="AL95" s="4322" t="n"/>
      <c r="AM95" s="4322" t="n"/>
      <c r="AN95" s="4322" t="n"/>
      <c r="AO95" s="4322" t="n"/>
      <c r="AP95" s="4322" t="n"/>
      <c r="AQ95" s="4322" t="n"/>
      <c r="AR95" s="4322" t="n"/>
      <c r="AS95" s="4326" t="n"/>
      <c r="AT95" s="4322" t="n"/>
      <c r="AU95" s="4322" t="n"/>
      <c r="AV95" s="4322" t="n"/>
      <c r="AW95" s="4322" t="n"/>
      <c r="AX95" s="4322" t="n"/>
      <c r="AY95" s="4322" t="n"/>
      <c r="AZ95" s="4322" t="n"/>
      <c r="BA95" s="4322" t="n"/>
      <c r="BB95" s="4322" t="n"/>
      <c r="BC95" s="4322" t="n"/>
      <c r="BD95" s="4322" t="n"/>
      <c r="BE95" s="4326" t="n"/>
      <c r="BF95" s="4322" t="n"/>
      <c r="BG95" s="4322" t="n"/>
      <c r="BH95" s="4322" t="n"/>
      <c r="BI95" s="4322" t="n"/>
      <c r="BJ95" s="4322" t="n"/>
      <c r="BK95" s="4327" t="n"/>
      <c r="BL95" s="4322" t="n"/>
      <c r="BM95" s="4322" t="n"/>
      <c r="BN95" s="4322" t="n"/>
      <c r="BO95" s="4322" t="n"/>
      <c r="BP95" s="4322" t="n"/>
      <c r="BQ95" s="4315" t="n"/>
      <c r="BR95" s="4328" t="n"/>
      <c r="BT95" s="4315" t="n"/>
      <c r="BU95" s="4315" t="n"/>
    </row>
    <row r="96" ht="12" customFormat="1" customHeight="1" s="4315">
      <c r="A96" s="4316" t="n"/>
      <c r="B96" s="4317" t="n"/>
      <c r="C96" s="4318" t="inlineStr">
        <is>
          <t>[Redacted]</t>
        </is>
      </c>
      <c r="D96" s="4319" t="n">
        <v>11156</v>
      </c>
      <c r="E96" s="4320" t="n"/>
      <c r="F96" s="4320" t="n"/>
      <c r="G96" s="4320" t="n"/>
      <c r="H96" s="4320" t="n"/>
      <c r="I96" s="4321" t="inlineStr">
        <is>
          <t>F</t>
        </is>
      </c>
      <c r="J96" s="4322" t="n"/>
      <c r="K96" s="4322" t="n"/>
      <c r="L96" s="4322" t="n"/>
      <c r="M96" s="4323" t="n"/>
      <c r="N96" s="4323" t="n"/>
      <c r="O96" s="4315" t="n"/>
      <c r="P96" s="4324" t="n"/>
      <c r="Q96" s="4324" t="n"/>
      <c r="R96" s="4324" t="n"/>
      <c r="S96" s="4325" t="n"/>
      <c r="T96" s="4325" t="n"/>
      <c r="U96" s="4315" t="n"/>
      <c r="V96" s="4322" t="n"/>
      <c r="W96" s="4322" t="n"/>
      <c r="X96" s="4322" t="n"/>
      <c r="Y96" s="4322" t="n"/>
      <c r="Z96" s="4322" t="n"/>
      <c r="AA96" s="4322" t="n"/>
      <c r="AB96" s="4322" t="n"/>
      <c r="AC96" s="4322" t="n"/>
      <c r="AD96" s="4322" t="n"/>
      <c r="AE96" s="4322" t="n"/>
      <c r="AF96" s="4322" t="n"/>
      <c r="AG96" s="4326" t="n"/>
      <c r="AH96" s="4322" t="n"/>
      <c r="AI96" s="4322" t="n"/>
      <c r="AJ96" s="4322" t="n"/>
      <c r="AK96" s="4322" t="n"/>
      <c r="AL96" s="4322" t="n"/>
      <c r="AM96" s="4322" t="n"/>
      <c r="AN96" s="4322" t="n"/>
      <c r="AO96" s="4322" t="n"/>
      <c r="AP96" s="4322" t="n"/>
      <c r="AQ96" s="4322" t="n"/>
      <c r="AR96" s="4322" t="n"/>
      <c r="AS96" s="4326" t="n"/>
      <c r="AT96" s="4322" t="n"/>
      <c r="AU96" s="4322" t="n"/>
      <c r="AV96" s="4322" t="n"/>
      <c r="AW96" s="4322" t="n"/>
      <c r="AX96" s="4322" t="n"/>
      <c r="AY96" s="4322" t="n"/>
      <c r="AZ96" s="4322" t="n"/>
      <c r="BA96" s="4322" t="n"/>
      <c r="BB96" s="4322" t="n"/>
      <c r="BC96" s="4322" t="n"/>
      <c r="BD96" s="4322" t="n"/>
      <c r="BE96" s="4326" t="n"/>
      <c r="BF96" s="4322" t="n"/>
      <c r="BG96" s="4322" t="n"/>
      <c r="BH96" s="4322" t="n"/>
      <c r="BI96" s="4322" t="n"/>
      <c r="BJ96" s="4322" t="n"/>
      <c r="BK96" s="4327" t="n"/>
      <c r="BL96" s="4322" t="n"/>
      <c r="BM96" s="4322" t="n"/>
      <c r="BN96" s="4322" t="n"/>
      <c r="BO96" s="4322" t="n"/>
      <c r="BP96" s="4322" t="n"/>
      <c r="BQ96" s="4315" t="n"/>
      <c r="BR96" s="4328" t="n"/>
      <c r="BT96" s="4315" t="n"/>
      <c r="BU96" s="4315" t="n"/>
    </row>
    <row r="97" ht="12" customFormat="1" customHeight="1" s="4315">
      <c r="A97" s="4316" t="n"/>
      <c r="B97" s="4317" t="n"/>
      <c r="C97" s="4318" t="inlineStr">
        <is>
          <t>[Redacted]</t>
        </is>
      </c>
      <c r="D97" s="4319" t="n">
        <v>11049</v>
      </c>
      <c r="E97" s="4320" t="n"/>
      <c r="F97" s="4320" t="n"/>
      <c r="G97" s="4320" t="n"/>
      <c r="H97" s="4320" t="n"/>
      <c r="I97" s="4321" t="inlineStr">
        <is>
          <t>F</t>
        </is>
      </c>
      <c r="J97" s="4322" t="n"/>
      <c r="K97" s="4322" t="n"/>
      <c r="L97" s="4322" t="n"/>
      <c r="M97" s="4323" t="n"/>
      <c r="N97" s="4323" t="n"/>
      <c r="O97" s="4315" t="n"/>
      <c r="P97" s="4324" t="n"/>
      <c r="Q97" s="4324" t="n"/>
      <c r="R97" s="4324" t="n"/>
      <c r="S97" s="4325" t="n"/>
      <c r="T97" s="4325" t="n"/>
      <c r="U97" s="4315" t="n"/>
      <c r="V97" s="4322" t="n"/>
      <c r="W97" s="4322" t="n"/>
      <c r="X97" s="4322" t="n"/>
      <c r="Y97" s="4322" t="n"/>
      <c r="Z97" s="4322" t="n"/>
      <c r="AA97" s="4322" t="n"/>
      <c r="AB97" s="4322" t="n"/>
      <c r="AC97" s="4322" t="n"/>
      <c r="AD97" s="4322" t="n"/>
      <c r="AE97" s="4322" t="n"/>
      <c r="AF97" s="4322" t="n"/>
      <c r="AG97" s="4326" t="n"/>
      <c r="AH97" s="4322" t="n"/>
      <c r="AI97" s="4322" t="n"/>
      <c r="AJ97" s="4322" t="n"/>
      <c r="AK97" s="4322" t="n"/>
      <c r="AL97" s="4322" t="n"/>
      <c r="AM97" s="4322" t="n"/>
      <c r="AN97" s="4322" t="n"/>
      <c r="AO97" s="4322" t="n"/>
      <c r="AP97" s="4322" t="n"/>
      <c r="AQ97" s="4322" t="n"/>
      <c r="AR97" s="4322" t="n"/>
      <c r="AS97" s="4326" t="n"/>
      <c r="AT97" s="4322" t="n"/>
      <c r="AU97" s="4322" t="n"/>
      <c r="AV97" s="4322" t="n"/>
      <c r="AW97" s="4322" t="n"/>
      <c r="AX97" s="4322" t="n"/>
      <c r="AY97" s="4322" t="n"/>
      <c r="AZ97" s="4322" t="n"/>
      <c r="BA97" s="4322" t="n"/>
      <c r="BB97" s="4322" t="n"/>
      <c r="BC97" s="4322" t="n"/>
      <c r="BD97" s="4322" t="n"/>
      <c r="BE97" s="4326" t="n"/>
      <c r="BF97" s="4322" t="n"/>
      <c r="BG97" s="4322" t="n"/>
      <c r="BH97" s="4322" t="n"/>
      <c r="BI97" s="4322" t="n"/>
      <c r="BJ97" s="4322" t="n"/>
      <c r="BK97" s="4327" t="n"/>
      <c r="BL97" s="4322" t="n"/>
      <c r="BM97" s="4322" t="n"/>
      <c r="BN97" s="4322" t="n"/>
      <c r="BO97" s="4322" t="n"/>
      <c r="BP97" s="4322" t="n"/>
      <c r="BQ97" s="4315" t="n"/>
      <c r="BR97" s="4328" t="n"/>
      <c r="BT97" s="4315" t="n"/>
      <c r="BU97" s="4315" t="n"/>
    </row>
    <row r="98" ht="12" customFormat="1" customHeight="1" s="4315">
      <c r="A98" s="4316" t="n"/>
      <c r="B98" s="4317" t="n"/>
      <c r="C98" s="4318" t="inlineStr">
        <is>
          <t>[Redacted]</t>
        </is>
      </c>
      <c r="D98" s="4319" t="n">
        <v>11258</v>
      </c>
      <c r="E98" s="4320" t="n"/>
      <c r="F98" s="4320" t="n"/>
      <c r="G98" s="4320" t="n"/>
      <c r="H98" s="4320" t="n"/>
      <c r="I98" s="4321" t="inlineStr">
        <is>
          <t>F</t>
        </is>
      </c>
      <c r="J98" s="4322" t="n"/>
      <c r="K98" s="4322" t="n"/>
      <c r="L98" s="4322" t="n"/>
      <c r="M98" s="4323" t="n"/>
      <c r="N98" s="4323" t="n"/>
      <c r="O98" s="4315" t="n"/>
      <c r="P98" s="4324" t="n"/>
      <c r="Q98" s="4324" t="n"/>
      <c r="R98" s="4324" t="n"/>
      <c r="S98" s="4325" t="n"/>
      <c r="T98" s="4325" t="n"/>
      <c r="U98" s="4315" t="n"/>
      <c r="V98" s="4322" t="n"/>
      <c r="W98" s="4322" t="n"/>
      <c r="X98" s="4322" t="n"/>
      <c r="Y98" s="4322" t="n"/>
      <c r="Z98" s="4322" t="n"/>
      <c r="AA98" s="4322" t="n"/>
      <c r="AB98" s="4322" t="n"/>
      <c r="AC98" s="4322" t="n"/>
      <c r="AD98" s="4322" t="n"/>
      <c r="AE98" s="4322" t="n"/>
      <c r="AF98" s="4322" t="n"/>
      <c r="AG98" s="4326" t="n"/>
      <c r="AH98" s="4322" t="n"/>
      <c r="AI98" s="4322" t="n"/>
      <c r="AJ98" s="4322" t="n"/>
      <c r="AK98" s="4322" t="n"/>
      <c r="AL98" s="4322" t="n"/>
      <c r="AM98" s="4322" t="n"/>
      <c r="AN98" s="4322" t="n"/>
      <c r="AO98" s="4322" t="n"/>
      <c r="AP98" s="4322" t="n"/>
      <c r="AQ98" s="4322" t="n"/>
      <c r="AR98" s="4322" t="n"/>
      <c r="AS98" s="4326" t="n"/>
      <c r="AT98" s="4322" t="n"/>
      <c r="AU98" s="4322" t="n"/>
      <c r="AV98" s="4322" t="n"/>
      <c r="AW98" s="4322" t="n"/>
      <c r="AX98" s="4322" t="n"/>
      <c r="AY98" s="4322" t="n"/>
      <c r="AZ98" s="4322" t="n"/>
      <c r="BA98" s="4322" t="n"/>
      <c r="BB98" s="4322" t="n"/>
      <c r="BC98" s="4322" t="n"/>
      <c r="BD98" s="4322" t="n"/>
      <c r="BE98" s="4326" t="n"/>
      <c r="BF98" s="4322" t="n"/>
      <c r="BG98" s="4322" t="n"/>
      <c r="BH98" s="4322" t="n"/>
      <c r="BI98" s="4322" t="n"/>
      <c r="BJ98" s="4322" t="n"/>
      <c r="BK98" s="4327" t="n"/>
      <c r="BL98" s="4322" t="n"/>
      <c r="BM98" s="4322" t="n"/>
      <c r="BN98" s="4322" t="n"/>
      <c r="BO98" s="4322" t="n"/>
      <c r="BP98" s="4322" t="n"/>
      <c r="BQ98" s="4315" t="n"/>
      <c r="BR98" s="4328" t="n"/>
      <c r="BT98" s="4315" t="n"/>
      <c r="BU98" s="4315" t="n"/>
    </row>
    <row r="99" ht="12" customFormat="1" customHeight="1" s="4315">
      <c r="A99" s="4316" t="n"/>
      <c r="B99" s="4317" t="n"/>
      <c r="C99" s="4318" t="inlineStr">
        <is>
          <t>[Redacted]</t>
        </is>
      </c>
      <c r="D99" s="4319" t="n">
        <v>11361</v>
      </c>
      <c r="E99" s="4320" t="n"/>
      <c r="F99" s="4320" t="n"/>
      <c r="G99" s="4320" t="n"/>
      <c r="H99" s="4320" t="n"/>
      <c r="I99" s="4321" t="inlineStr">
        <is>
          <t>M</t>
        </is>
      </c>
      <c r="J99" s="4322" t="n"/>
      <c r="K99" s="4322" t="n"/>
      <c r="L99" s="4322" t="n"/>
      <c r="M99" s="4323" t="n"/>
      <c r="N99" s="4323" t="n"/>
      <c r="O99" s="4315" t="n"/>
      <c r="P99" s="4324" t="n"/>
      <c r="Q99" s="4324" t="n"/>
      <c r="R99" s="4324" t="n"/>
      <c r="S99" s="4325" t="n"/>
      <c r="T99" s="4325" t="n"/>
      <c r="U99" s="4315" t="n"/>
      <c r="V99" s="4322" t="n"/>
      <c r="W99" s="4322" t="n"/>
      <c r="X99" s="4322" t="n"/>
      <c r="Y99" s="4322" t="n"/>
      <c r="Z99" s="4322" t="n"/>
      <c r="AA99" s="4322" t="n"/>
      <c r="AB99" s="4322" t="n"/>
      <c r="AC99" s="4322" t="n"/>
      <c r="AD99" s="4322" t="n"/>
      <c r="AE99" s="4322" t="n"/>
      <c r="AF99" s="4322" t="n"/>
      <c r="AG99" s="4326" t="n"/>
      <c r="AH99" s="4322" t="n"/>
      <c r="AI99" s="4322" t="n"/>
      <c r="AJ99" s="4322" t="n"/>
      <c r="AK99" s="4322" t="n"/>
      <c r="AL99" s="4322" t="n"/>
      <c r="AM99" s="4322" t="n"/>
      <c r="AN99" s="4322" t="n"/>
      <c r="AO99" s="4322" t="n"/>
      <c r="AP99" s="4322" t="n"/>
      <c r="AQ99" s="4322" t="n"/>
      <c r="AR99" s="4322" t="n"/>
      <c r="AS99" s="4326" t="n"/>
      <c r="AT99" s="4322" t="n"/>
      <c r="AU99" s="4322" t="n"/>
      <c r="AV99" s="4322" t="n"/>
      <c r="AW99" s="4322" t="n"/>
      <c r="AX99" s="4322" t="n"/>
      <c r="AY99" s="4322" t="n"/>
      <c r="AZ99" s="4322" t="n"/>
      <c r="BA99" s="4322" t="n"/>
      <c r="BB99" s="4322" t="n"/>
      <c r="BC99" s="4322" t="n"/>
      <c r="BD99" s="4322" t="n"/>
      <c r="BE99" s="4326" t="n"/>
      <c r="BF99" s="4322" t="n"/>
      <c r="BG99" s="4322" t="n"/>
      <c r="BH99" s="4322" t="n"/>
      <c r="BI99" s="4322" t="n"/>
      <c r="BJ99" s="4322" t="n"/>
      <c r="BK99" s="4327" t="n"/>
      <c r="BL99" s="4322" t="n"/>
      <c r="BM99" s="4322" t="n"/>
      <c r="BN99" s="4322" t="n"/>
      <c r="BO99" s="4322" t="n"/>
      <c r="BP99" s="4322" t="n"/>
      <c r="BQ99" s="4315" t="n"/>
      <c r="BR99" s="4328" t="n"/>
      <c r="BT99" s="4315" t="n"/>
      <c r="BU99" s="4315" t="n"/>
    </row>
    <row r="100" ht="12" customFormat="1" customHeight="1" s="4315">
      <c r="A100" s="4316" t="n"/>
      <c r="B100" s="4317" t="n"/>
      <c r="C100" s="4318" t="inlineStr">
        <is>
          <t>[Redacted]</t>
        </is>
      </c>
      <c r="D100" s="4319" t="n">
        <v>11139</v>
      </c>
      <c r="E100" s="4320" t="n"/>
      <c r="F100" s="4320" t="n"/>
      <c r="G100" s="4320" t="n"/>
      <c r="H100" s="4320" t="n"/>
      <c r="I100" s="4321" t="inlineStr">
        <is>
          <t>M</t>
        </is>
      </c>
      <c r="J100" s="4322" t="n"/>
      <c r="K100" s="4322" t="n"/>
      <c r="L100" s="4322" t="n"/>
      <c r="M100" s="4323" t="n"/>
      <c r="N100" s="4323" t="n"/>
      <c r="O100" s="4315" t="n"/>
      <c r="P100" s="4324" t="n"/>
      <c r="Q100" s="4324" t="n"/>
      <c r="R100" s="4324" t="n"/>
      <c r="S100" s="4325" t="n"/>
      <c r="T100" s="4325" t="n"/>
      <c r="U100" s="4315" t="n"/>
      <c r="V100" s="4322" t="n"/>
      <c r="W100" s="4322" t="n"/>
      <c r="X100" s="4322" t="n"/>
      <c r="Y100" s="4322" t="n"/>
      <c r="Z100" s="4322" t="n"/>
      <c r="AA100" s="4322" t="n"/>
      <c r="AB100" s="4322" t="n"/>
      <c r="AC100" s="4322" t="n"/>
      <c r="AD100" s="4322" t="n"/>
      <c r="AE100" s="4322" t="n"/>
      <c r="AF100" s="4322" t="n"/>
      <c r="AG100" s="4326" t="n"/>
      <c r="AH100" s="4322" t="n"/>
      <c r="AI100" s="4322" t="n"/>
      <c r="AJ100" s="4322" t="n"/>
      <c r="AK100" s="4322" t="n"/>
      <c r="AL100" s="4322" t="n"/>
      <c r="AM100" s="4322" t="n"/>
      <c r="AN100" s="4322" t="n"/>
      <c r="AO100" s="4322" t="n"/>
      <c r="AP100" s="4322" t="n"/>
      <c r="AQ100" s="4322" t="n"/>
      <c r="AR100" s="4322" t="n"/>
      <c r="AS100" s="4326" t="n"/>
      <c r="AT100" s="4322" t="n"/>
      <c r="AU100" s="4322" t="n"/>
      <c r="AV100" s="4322" t="n"/>
      <c r="AW100" s="4322" t="n"/>
      <c r="AX100" s="4322" t="n"/>
      <c r="AY100" s="4322" t="n"/>
      <c r="AZ100" s="4322" t="n"/>
      <c r="BA100" s="4322" t="n"/>
      <c r="BB100" s="4322" t="n"/>
      <c r="BC100" s="4322" t="n"/>
      <c r="BD100" s="4322" t="n"/>
      <c r="BE100" s="4326" t="n"/>
      <c r="BF100" s="4322" t="n"/>
      <c r="BG100" s="4322" t="n"/>
      <c r="BH100" s="4322" t="n"/>
      <c r="BI100" s="4322" t="n"/>
      <c r="BJ100" s="4322" t="n"/>
      <c r="BK100" s="4327" t="n"/>
      <c r="BL100" s="4322" t="n"/>
      <c r="BM100" s="4322" t="n"/>
      <c r="BN100" s="4322" t="n"/>
      <c r="BO100" s="4322" t="n"/>
      <c r="BP100" s="4322" t="n"/>
      <c r="BQ100" s="4315" t="n"/>
      <c r="BR100" s="4328" t="n"/>
      <c r="BT100" s="4315" t="n"/>
      <c r="BU100" s="4315" t="n"/>
    </row>
    <row r="101" ht="12" customFormat="1" customHeight="1" s="4315">
      <c r="A101" s="4316" t="n"/>
      <c r="B101" s="4317" t="n"/>
      <c r="C101" s="4318" t="inlineStr">
        <is>
          <t>[Redacted]</t>
        </is>
      </c>
      <c r="D101" s="4319" t="n">
        <v>11332</v>
      </c>
      <c r="E101" s="4320" t="n"/>
      <c r="F101" s="4320" t="n"/>
      <c r="G101" s="4320" t="n"/>
      <c r="H101" s="4320" t="n"/>
      <c r="I101" s="4321" t="inlineStr">
        <is>
          <t>M</t>
        </is>
      </c>
      <c r="J101" s="4322" t="n"/>
      <c r="K101" s="4322" t="n"/>
      <c r="L101" s="4322" t="n"/>
      <c r="M101" s="4323" t="n"/>
      <c r="N101" s="4323" t="n"/>
      <c r="O101" s="4315" t="n"/>
      <c r="P101" s="4324" t="n"/>
      <c r="Q101" s="4324" t="n"/>
      <c r="R101" s="4324" t="n"/>
      <c r="S101" s="4325" t="n"/>
      <c r="T101" s="4325" t="n"/>
      <c r="U101" s="4315" t="n"/>
      <c r="V101" s="4322" t="n"/>
      <c r="W101" s="4322" t="n"/>
      <c r="X101" s="4322" t="n"/>
      <c r="Y101" s="4322" t="n"/>
      <c r="Z101" s="4322" t="n"/>
      <c r="AA101" s="4322" t="n"/>
      <c r="AB101" s="4322" t="n"/>
      <c r="AC101" s="4322" t="n"/>
      <c r="AD101" s="4322" t="n"/>
      <c r="AE101" s="4322" t="n"/>
      <c r="AF101" s="4322" t="n"/>
      <c r="AG101" s="4326" t="n"/>
      <c r="AH101" s="4322" t="n"/>
      <c r="AI101" s="4322" t="n"/>
      <c r="AJ101" s="4322" t="n"/>
      <c r="AK101" s="4322" t="n"/>
      <c r="AL101" s="4322" t="n"/>
      <c r="AM101" s="4322" t="n"/>
      <c r="AN101" s="4322" t="n"/>
      <c r="AO101" s="4322" t="n"/>
      <c r="AP101" s="4322" t="n"/>
      <c r="AQ101" s="4322" t="n"/>
      <c r="AR101" s="4322" t="n"/>
      <c r="AS101" s="4326" t="n"/>
      <c r="AT101" s="4322" t="n"/>
      <c r="AU101" s="4322" t="n"/>
      <c r="AV101" s="4322" t="n"/>
      <c r="AW101" s="4322" t="n"/>
      <c r="AX101" s="4322" t="n"/>
      <c r="AY101" s="4322" t="n"/>
      <c r="AZ101" s="4322" t="n"/>
      <c r="BA101" s="4322" t="n"/>
      <c r="BB101" s="4322" t="n"/>
      <c r="BC101" s="4322" t="n"/>
      <c r="BD101" s="4322" t="n"/>
      <c r="BE101" s="4326" t="n"/>
      <c r="BF101" s="4322" t="n"/>
      <c r="BG101" s="4322" t="n"/>
      <c r="BH101" s="4322" t="n"/>
      <c r="BI101" s="4322" t="n"/>
      <c r="BJ101" s="4322" t="n"/>
      <c r="BK101" s="4327" t="n"/>
      <c r="BL101" s="4322" t="n"/>
      <c r="BM101" s="4322" t="n"/>
      <c r="BN101" s="4322" t="n"/>
      <c r="BO101" s="4322" t="n"/>
      <c r="BP101" s="4322" t="n"/>
      <c r="BQ101" s="4315" t="n"/>
      <c r="BR101" s="4328" t="n"/>
      <c r="BT101" s="4315" t="n"/>
      <c r="BU101" s="4315" t="n"/>
    </row>
    <row r="102" ht="12" customFormat="1" customHeight="1" s="4315">
      <c r="A102" s="4316" t="n"/>
      <c r="B102" s="4317" t="n"/>
      <c r="C102" s="4318" t="inlineStr">
        <is>
          <t>[Redacted]</t>
        </is>
      </c>
      <c r="D102" s="4319" t="n">
        <v>11305</v>
      </c>
      <c r="E102" s="4320" t="n"/>
      <c r="F102" s="4320" t="n"/>
      <c r="G102" s="4320" t="n"/>
      <c r="H102" s="4320" t="n"/>
      <c r="I102" s="4321" t="inlineStr">
        <is>
          <t>F</t>
        </is>
      </c>
      <c r="J102" s="4322" t="n"/>
      <c r="K102" s="4322" t="n"/>
      <c r="L102" s="4322" t="n"/>
      <c r="M102" s="4323" t="n"/>
      <c r="N102" s="4323" t="n"/>
      <c r="O102" s="4315" t="n"/>
      <c r="P102" s="4324" t="n"/>
      <c r="Q102" s="4324" t="n"/>
      <c r="R102" s="4324" t="n"/>
      <c r="S102" s="4325" t="n"/>
      <c r="T102" s="4325" t="n"/>
      <c r="U102" s="4315" t="n"/>
      <c r="V102" s="4322" t="n"/>
      <c r="W102" s="4322" t="n"/>
      <c r="X102" s="4322" t="n"/>
      <c r="Y102" s="4322" t="n"/>
      <c r="Z102" s="4322" t="n"/>
      <c r="AA102" s="4322" t="n"/>
      <c r="AB102" s="4322" t="n"/>
      <c r="AC102" s="4322" t="n"/>
      <c r="AD102" s="4322" t="n"/>
      <c r="AE102" s="4322" t="n"/>
      <c r="AF102" s="4322" t="n"/>
      <c r="AG102" s="4326" t="n"/>
      <c r="AH102" s="4322" t="n"/>
      <c r="AI102" s="4322" t="n"/>
      <c r="AJ102" s="4322" t="n"/>
      <c r="AK102" s="4322" t="n"/>
      <c r="AL102" s="4322" t="n"/>
      <c r="AM102" s="4322" t="n"/>
      <c r="AN102" s="4322" t="n"/>
      <c r="AO102" s="4322" t="n"/>
      <c r="AP102" s="4322" t="n"/>
      <c r="AQ102" s="4322" t="n"/>
      <c r="AR102" s="4322" t="n"/>
      <c r="AS102" s="4326" t="n"/>
      <c r="AT102" s="4322" t="n"/>
      <c r="AU102" s="4322" t="n"/>
      <c r="AV102" s="4322" t="n"/>
      <c r="AW102" s="4322" t="n"/>
      <c r="AX102" s="4322" t="n"/>
      <c r="AY102" s="4322" t="n"/>
      <c r="AZ102" s="4322" t="n"/>
      <c r="BA102" s="4322" t="n"/>
      <c r="BB102" s="4322" t="n"/>
      <c r="BC102" s="4322" t="n"/>
      <c r="BD102" s="4322" t="n"/>
      <c r="BE102" s="4326" t="n"/>
      <c r="BF102" s="4322" t="n"/>
      <c r="BG102" s="4322" t="n"/>
      <c r="BH102" s="4322" t="n"/>
      <c r="BI102" s="4322" t="n"/>
      <c r="BJ102" s="4322" t="n"/>
      <c r="BK102" s="4327" t="n"/>
      <c r="BL102" s="4322" t="n"/>
      <c r="BM102" s="4322" t="n"/>
      <c r="BN102" s="4322" t="n"/>
      <c r="BO102" s="4322" t="n"/>
      <c r="BP102" s="4322" t="n"/>
      <c r="BQ102" s="4315" t="n"/>
      <c r="BR102" s="4328" t="n"/>
      <c r="BT102" s="4315" t="n"/>
      <c r="BU102" s="4315" t="n"/>
    </row>
    <row r="103" ht="12" customFormat="1" customHeight="1" s="4315">
      <c r="A103" s="4316" t="n"/>
      <c r="B103" s="4317" t="n"/>
      <c r="C103" s="4318" t="inlineStr">
        <is>
          <t>[Redacted]</t>
        </is>
      </c>
      <c r="D103" s="4319" t="n">
        <v>11234</v>
      </c>
      <c r="E103" s="4320" t="n"/>
      <c r="F103" s="4320" t="n"/>
      <c r="G103" s="4320" t="n"/>
      <c r="H103" s="4320" t="n"/>
      <c r="I103" s="4321" t="inlineStr">
        <is>
          <t>M</t>
        </is>
      </c>
      <c r="J103" s="4322" t="n"/>
      <c r="K103" s="4322" t="n"/>
      <c r="L103" s="4322" t="n"/>
      <c r="M103" s="4323" t="n"/>
      <c r="N103" s="4323" t="n"/>
      <c r="O103" s="4315" t="n"/>
      <c r="P103" s="4324" t="n"/>
      <c r="Q103" s="4324" t="n"/>
      <c r="R103" s="4324" t="n"/>
      <c r="S103" s="4325" t="n"/>
      <c r="T103" s="4325" t="n"/>
      <c r="U103" s="4315" t="n"/>
      <c r="V103" s="4322" t="n"/>
      <c r="W103" s="4322" t="n"/>
      <c r="X103" s="4322" t="n"/>
      <c r="Y103" s="4322" t="n"/>
      <c r="Z103" s="4322" t="n"/>
      <c r="AA103" s="4322" t="n"/>
      <c r="AB103" s="4322" t="n"/>
      <c r="AC103" s="4322" t="n"/>
      <c r="AD103" s="4322" t="n"/>
      <c r="AE103" s="4322" t="n"/>
      <c r="AF103" s="4322" t="n"/>
      <c r="AG103" s="4326" t="n"/>
      <c r="AH103" s="4322" t="n"/>
      <c r="AI103" s="4322" t="n"/>
      <c r="AJ103" s="4322" t="n"/>
      <c r="AK103" s="4322" t="n"/>
      <c r="AL103" s="4322" t="n"/>
      <c r="AM103" s="4322" t="n"/>
      <c r="AN103" s="4322" t="n"/>
      <c r="AO103" s="4322" t="n"/>
      <c r="AP103" s="4322" t="n"/>
      <c r="AQ103" s="4322" t="n"/>
      <c r="AR103" s="4322" t="n"/>
      <c r="AS103" s="4326" t="n"/>
      <c r="AT103" s="4322" t="n"/>
      <c r="AU103" s="4322" t="n"/>
      <c r="AV103" s="4322" t="n"/>
      <c r="AW103" s="4322" t="n"/>
      <c r="AX103" s="4322" t="n"/>
      <c r="AY103" s="4322" t="n"/>
      <c r="AZ103" s="4322" t="n"/>
      <c r="BA103" s="4322" t="n"/>
      <c r="BB103" s="4322" t="n"/>
      <c r="BC103" s="4322" t="n"/>
      <c r="BD103" s="4322" t="n"/>
      <c r="BE103" s="4326" t="n"/>
      <c r="BF103" s="4322" t="n"/>
      <c r="BG103" s="4322" t="n"/>
      <c r="BH103" s="4322" t="n"/>
      <c r="BI103" s="4322" t="n"/>
      <c r="BJ103" s="4322" t="n"/>
      <c r="BK103" s="4327" t="n"/>
      <c r="BL103" s="4322" t="n"/>
      <c r="BM103" s="4322" t="n"/>
      <c r="BN103" s="4322" t="n"/>
      <c r="BO103" s="4322" t="n"/>
      <c r="BP103" s="4322" t="n"/>
      <c r="BQ103" s="4315" t="n"/>
      <c r="BR103" s="4328" t="n"/>
      <c r="BT103" s="4315" t="n"/>
      <c r="BU103" s="4315" t="n"/>
    </row>
    <row r="104" ht="12" customFormat="1" customHeight="1" s="4315">
      <c r="A104" s="4316" t="n"/>
      <c r="B104" s="4317" t="n"/>
      <c r="C104" s="4318" t="inlineStr">
        <is>
          <t>[Redacted]</t>
        </is>
      </c>
      <c r="D104" s="4319" t="n">
        <v>11341</v>
      </c>
      <c r="E104" s="4320" t="n"/>
      <c r="F104" s="4320" t="n"/>
      <c r="G104" s="4320" t="n"/>
      <c r="H104" s="4320" t="n"/>
      <c r="I104" s="4321" t="inlineStr">
        <is>
          <t>M</t>
        </is>
      </c>
      <c r="J104" s="4322" t="n"/>
      <c r="K104" s="4322" t="n"/>
      <c r="L104" s="4322" t="n"/>
      <c r="M104" s="4323" t="n"/>
      <c r="N104" s="4323" t="n"/>
      <c r="O104" s="4315" t="n"/>
      <c r="P104" s="4324" t="n"/>
      <c r="Q104" s="4324" t="n"/>
      <c r="R104" s="4324" t="n"/>
      <c r="S104" s="4325" t="n"/>
      <c r="T104" s="4325" t="n"/>
      <c r="U104" s="4315" t="n"/>
      <c r="V104" s="4322" t="n"/>
      <c r="W104" s="4322" t="n"/>
      <c r="X104" s="4322" t="n"/>
      <c r="Y104" s="4322" t="n"/>
      <c r="Z104" s="4322" t="n"/>
      <c r="AA104" s="4322" t="n"/>
      <c r="AB104" s="4322" t="n"/>
      <c r="AC104" s="4322" t="n"/>
      <c r="AD104" s="4322" t="n"/>
      <c r="AE104" s="4322" t="n"/>
      <c r="AF104" s="4322" t="n"/>
      <c r="AG104" s="4326" t="n"/>
      <c r="AH104" s="4322" t="n"/>
      <c r="AI104" s="4322" t="n"/>
      <c r="AJ104" s="4322" t="n"/>
      <c r="AK104" s="4322" t="n"/>
      <c r="AL104" s="4322" t="n"/>
      <c r="AM104" s="4322" t="n"/>
      <c r="AN104" s="4322" t="n"/>
      <c r="AO104" s="4322" t="n"/>
      <c r="AP104" s="4322" t="n"/>
      <c r="AQ104" s="4322" t="n"/>
      <c r="AR104" s="4322" t="n"/>
      <c r="AS104" s="4326" t="n"/>
      <c r="AT104" s="4322" t="n"/>
      <c r="AU104" s="4322" t="n"/>
      <c r="AV104" s="4322" t="n"/>
      <c r="AW104" s="4322" t="n"/>
      <c r="AX104" s="4322" t="n"/>
      <c r="AY104" s="4322" t="n"/>
      <c r="AZ104" s="4322" t="n"/>
      <c r="BA104" s="4322" t="n"/>
      <c r="BB104" s="4322" t="n"/>
      <c r="BC104" s="4322" t="n"/>
      <c r="BD104" s="4322" t="n"/>
      <c r="BE104" s="4326" t="n"/>
      <c r="BF104" s="4322" t="n"/>
      <c r="BG104" s="4322" t="n"/>
      <c r="BH104" s="4322" t="n"/>
      <c r="BI104" s="4322" t="n"/>
      <c r="BJ104" s="4322" t="n"/>
      <c r="BK104" s="4327" t="n"/>
      <c r="BL104" s="4322" t="n"/>
      <c r="BM104" s="4322" t="n"/>
      <c r="BN104" s="4322" t="n"/>
      <c r="BO104" s="4322" t="n"/>
      <c r="BP104" s="4322" t="n"/>
      <c r="BQ104" s="4315" t="n"/>
      <c r="BR104" s="4328" t="n"/>
      <c r="BT104" s="4315" t="n"/>
      <c r="BU104" s="4315" t="n"/>
    </row>
    <row r="105" ht="12" customFormat="1" customHeight="1" s="4315">
      <c r="A105" s="4316" t="n"/>
      <c r="B105" s="4317" t="n"/>
      <c r="C105" s="4318" t="inlineStr">
        <is>
          <t>[Redacted]</t>
        </is>
      </c>
      <c r="D105" s="4319" t="n">
        <v>11184</v>
      </c>
      <c r="E105" s="4320" t="n"/>
      <c r="F105" s="4320" t="n"/>
      <c r="G105" s="4320" t="n"/>
      <c r="H105" s="4320" t="n"/>
      <c r="I105" s="4321" t="inlineStr">
        <is>
          <t>F</t>
        </is>
      </c>
      <c r="J105" s="4322" t="n"/>
      <c r="K105" s="4322" t="n"/>
      <c r="L105" s="4322" t="n"/>
      <c r="M105" s="4323" t="n"/>
      <c r="N105" s="4323" t="n"/>
      <c r="O105" s="4315" t="n"/>
      <c r="P105" s="4324" t="n"/>
      <c r="Q105" s="4324" t="n"/>
      <c r="R105" s="4324" t="n"/>
      <c r="S105" s="4325" t="n"/>
      <c r="T105" s="4325" t="n"/>
      <c r="U105" s="4315" t="n"/>
      <c r="V105" s="4322" t="n"/>
      <c r="W105" s="4322" t="n"/>
      <c r="X105" s="4322" t="n"/>
      <c r="Y105" s="4322" t="n"/>
      <c r="Z105" s="4322" t="n"/>
      <c r="AA105" s="4322" t="n"/>
      <c r="AB105" s="4322" t="n"/>
      <c r="AC105" s="4322" t="n"/>
      <c r="AD105" s="4322" t="n"/>
      <c r="AE105" s="4322" t="n"/>
      <c r="AF105" s="4322" t="n"/>
      <c r="AG105" s="4326" t="n"/>
      <c r="AH105" s="4322" t="n"/>
      <c r="AI105" s="4322" t="n"/>
      <c r="AJ105" s="4322" t="n"/>
      <c r="AK105" s="4322" t="n"/>
      <c r="AL105" s="4322" t="n"/>
      <c r="AM105" s="4322" t="n"/>
      <c r="AN105" s="4322" t="n"/>
      <c r="AO105" s="4322" t="n"/>
      <c r="AP105" s="4322" t="n"/>
      <c r="AQ105" s="4322" t="n"/>
      <c r="AR105" s="4322" t="n"/>
      <c r="AS105" s="4326" t="n"/>
      <c r="AT105" s="4322" t="n"/>
      <c r="AU105" s="4322" t="n"/>
      <c r="AV105" s="4322" t="n"/>
      <c r="AW105" s="4322" t="n"/>
      <c r="AX105" s="4322" t="n"/>
      <c r="AY105" s="4322" t="n"/>
      <c r="AZ105" s="4322" t="n"/>
      <c r="BA105" s="4322" t="n"/>
      <c r="BB105" s="4322" t="n"/>
      <c r="BC105" s="4322" t="n"/>
      <c r="BD105" s="4322" t="n"/>
      <c r="BE105" s="4326" t="n"/>
      <c r="BF105" s="4322" t="n"/>
      <c r="BG105" s="4322" t="n"/>
      <c r="BH105" s="4322" t="n"/>
      <c r="BI105" s="4322" t="n"/>
      <c r="BJ105" s="4322" t="n"/>
      <c r="BK105" s="4327" t="n"/>
      <c r="BL105" s="4322" t="n"/>
      <c r="BM105" s="4322" t="n"/>
      <c r="BN105" s="4322" t="n"/>
      <c r="BO105" s="4322" t="n"/>
      <c r="BP105" s="4322" t="n"/>
      <c r="BQ105" s="4315" t="n"/>
      <c r="BR105" s="4328" t="n"/>
      <c r="BT105" s="4315" t="n"/>
      <c r="BU105" s="4315" t="n"/>
    </row>
    <row r="106" ht="12" customFormat="1" customHeight="1" s="4315">
      <c r="A106" s="4316" t="n"/>
      <c r="B106" s="4317" t="n"/>
      <c r="C106" s="4318" t="inlineStr">
        <is>
          <t>[Redacted]</t>
        </is>
      </c>
      <c r="D106" s="4319" t="n">
        <v>11287</v>
      </c>
      <c r="E106" s="4320" t="n"/>
      <c r="F106" s="4320" t="n"/>
      <c r="G106" s="4320" t="n"/>
      <c r="H106" s="4320" t="n"/>
      <c r="I106" s="4321" t="inlineStr">
        <is>
          <t>M</t>
        </is>
      </c>
      <c r="J106" s="4322" t="n"/>
      <c r="K106" s="4322" t="n"/>
      <c r="L106" s="4322" t="n"/>
      <c r="M106" s="4323" t="n"/>
      <c r="N106" s="4323" t="n"/>
      <c r="O106" s="4315" t="n"/>
      <c r="P106" s="4324" t="n"/>
      <c r="Q106" s="4324" t="n"/>
      <c r="R106" s="4324" t="n"/>
      <c r="S106" s="4325" t="n"/>
      <c r="T106" s="4325" t="n"/>
      <c r="U106" s="4315" t="n"/>
      <c r="V106" s="4322" t="n"/>
      <c r="W106" s="4322" t="n"/>
      <c r="X106" s="4322" t="n"/>
      <c r="Y106" s="4322" t="n"/>
      <c r="Z106" s="4322" t="n"/>
      <c r="AA106" s="4322" t="n"/>
      <c r="AB106" s="4322" t="n"/>
      <c r="AC106" s="4322" t="n"/>
      <c r="AD106" s="4322" t="n"/>
      <c r="AE106" s="4322" t="n"/>
      <c r="AF106" s="4322" t="n"/>
      <c r="AG106" s="4326" t="n"/>
      <c r="AH106" s="4322" t="n"/>
      <c r="AI106" s="4322" t="n"/>
      <c r="AJ106" s="4322" t="n"/>
      <c r="AK106" s="4322" t="n"/>
      <c r="AL106" s="4322" t="n"/>
      <c r="AM106" s="4322" t="n"/>
      <c r="AN106" s="4322" t="n"/>
      <c r="AO106" s="4322" t="n"/>
      <c r="AP106" s="4322" t="n"/>
      <c r="AQ106" s="4322" t="n"/>
      <c r="AR106" s="4322" t="n"/>
      <c r="AS106" s="4326" t="n"/>
      <c r="AT106" s="4322" t="n"/>
      <c r="AU106" s="4322" t="n"/>
      <c r="AV106" s="4322" t="n"/>
      <c r="AW106" s="4322" t="n"/>
      <c r="AX106" s="4322" t="n"/>
      <c r="AY106" s="4322" t="n"/>
      <c r="AZ106" s="4322" t="n"/>
      <c r="BA106" s="4322" t="n"/>
      <c r="BB106" s="4322" t="n"/>
      <c r="BC106" s="4322" t="n"/>
      <c r="BD106" s="4322" t="n"/>
      <c r="BE106" s="4326" t="n"/>
      <c r="BF106" s="4322" t="n"/>
      <c r="BG106" s="4322" t="n"/>
      <c r="BH106" s="4322" t="n"/>
      <c r="BI106" s="4322" t="n"/>
      <c r="BJ106" s="4322" t="n"/>
      <c r="BK106" s="4327" t="n"/>
      <c r="BL106" s="4322" t="n"/>
      <c r="BM106" s="4322" t="n"/>
      <c r="BN106" s="4322" t="n"/>
      <c r="BO106" s="4322" t="n"/>
      <c r="BP106" s="4322" t="n"/>
      <c r="BQ106" s="4315" t="n"/>
      <c r="BR106" s="4328" t="n"/>
      <c r="BT106" s="4315" t="n"/>
      <c r="BU106" s="4315" t="n"/>
    </row>
    <row r="107" ht="12" customFormat="1" customHeight="1" s="4315">
      <c r="A107" s="4316" t="n"/>
      <c r="B107" s="4317" t="n"/>
      <c r="C107" s="4318" t="inlineStr">
        <is>
          <t>[Redacted]</t>
        </is>
      </c>
      <c r="D107" s="4319" t="n">
        <v>11296</v>
      </c>
      <c r="E107" s="4320" t="n"/>
      <c r="F107" s="4320" t="n"/>
      <c r="G107" s="4320" t="n"/>
      <c r="H107" s="4320" t="n"/>
      <c r="I107" s="4321" t="inlineStr">
        <is>
          <t>M</t>
        </is>
      </c>
      <c r="J107" s="4322" t="n"/>
      <c r="K107" s="4322" t="n"/>
      <c r="L107" s="4322" t="n"/>
      <c r="M107" s="4323" t="n"/>
      <c r="N107" s="4323" t="n"/>
      <c r="O107" s="4315" t="n"/>
      <c r="P107" s="4324" t="n"/>
      <c r="Q107" s="4324" t="n"/>
      <c r="R107" s="4324" t="n"/>
      <c r="S107" s="4325" t="n"/>
      <c r="T107" s="4325" t="n"/>
      <c r="U107" s="4315" t="n"/>
      <c r="V107" s="4322" t="n"/>
      <c r="W107" s="4322" t="n"/>
      <c r="X107" s="4322" t="n"/>
      <c r="Y107" s="4322" t="n"/>
      <c r="Z107" s="4322" t="n"/>
      <c r="AA107" s="4322" t="n"/>
      <c r="AB107" s="4322" t="n"/>
      <c r="AC107" s="4322" t="n"/>
      <c r="AD107" s="4322" t="n"/>
      <c r="AE107" s="4322" t="n"/>
      <c r="AF107" s="4322" t="n"/>
      <c r="AG107" s="4326" t="n"/>
      <c r="AH107" s="4322" t="n"/>
      <c r="AI107" s="4322" t="n"/>
      <c r="AJ107" s="4322" t="n"/>
      <c r="AK107" s="4322" t="n"/>
      <c r="AL107" s="4322" t="n"/>
      <c r="AM107" s="4322" t="n"/>
      <c r="AN107" s="4322" t="n"/>
      <c r="AO107" s="4322" t="n"/>
      <c r="AP107" s="4322" t="n"/>
      <c r="AQ107" s="4322" t="n"/>
      <c r="AR107" s="4322" t="n"/>
      <c r="AS107" s="4326" t="n"/>
      <c r="AT107" s="4322" t="n"/>
      <c r="AU107" s="4322" t="n"/>
      <c r="AV107" s="4322" t="n"/>
      <c r="AW107" s="4322" t="n"/>
      <c r="AX107" s="4322" t="n"/>
      <c r="AY107" s="4322" t="n"/>
      <c r="AZ107" s="4322" t="n"/>
      <c r="BA107" s="4322" t="n"/>
      <c r="BB107" s="4322" t="n"/>
      <c r="BC107" s="4322" t="n"/>
      <c r="BD107" s="4322" t="n"/>
      <c r="BE107" s="4326" t="n"/>
      <c r="BF107" s="4322" t="n"/>
      <c r="BG107" s="4322" t="n"/>
      <c r="BH107" s="4322" t="n"/>
      <c r="BI107" s="4322" t="n"/>
      <c r="BJ107" s="4322" t="n"/>
      <c r="BK107" s="4327" t="n"/>
      <c r="BL107" s="4322" t="n"/>
      <c r="BM107" s="4322" t="n"/>
      <c r="BN107" s="4322" t="n"/>
      <c r="BO107" s="4322" t="n"/>
      <c r="BP107" s="4322" t="n"/>
      <c r="BQ107" s="4315" t="n"/>
      <c r="BR107" s="4328" t="n"/>
      <c r="BT107" s="4315" t="n"/>
      <c r="BU107" s="4315" t="n"/>
    </row>
    <row r="108" ht="12" customFormat="1" customHeight="1" s="4315">
      <c r="A108" s="4316" t="n"/>
      <c r="B108" s="4317" t="n"/>
      <c r="C108" s="4330" t="inlineStr">
        <is>
          <t>[Redacted]</t>
        </is>
      </c>
      <c r="D108" s="4319" t="n">
        <v>11381</v>
      </c>
      <c r="E108" s="4320" t="n"/>
      <c r="F108" s="4320" t="n"/>
      <c r="G108" s="4320" t="n"/>
      <c r="H108" s="4320" t="n"/>
      <c r="I108" s="4321" t="inlineStr">
        <is>
          <t>F</t>
        </is>
      </c>
      <c r="J108" s="4322" t="n"/>
      <c r="K108" s="4322" t="n"/>
      <c r="L108" s="4322" t="n"/>
      <c r="M108" s="4323" t="n"/>
      <c r="N108" s="4323" t="n"/>
      <c r="O108" s="4315" t="n"/>
      <c r="P108" s="4324" t="n"/>
      <c r="Q108" s="4324" t="n"/>
      <c r="R108" s="4324" t="n"/>
      <c r="S108" s="4325" t="n"/>
      <c r="T108" s="4325" t="n"/>
      <c r="U108" s="4315" t="n"/>
      <c r="V108" s="4322" t="n"/>
      <c r="W108" s="4322" t="n"/>
      <c r="X108" s="4322" t="n"/>
      <c r="Y108" s="4322" t="n"/>
      <c r="Z108" s="4322" t="n"/>
      <c r="AA108" s="4322" t="n"/>
      <c r="AB108" s="4322" t="n"/>
      <c r="AC108" s="4322" t="n"/>
      <c r="AD108" s="4322" t="n"/>
      <c r="AE108" s="4322" t="n"/>
      <c r="AF108" s="4322" t="n"/>
      <c r="AG108" s="4326" t="n"/>
      <c r="AH108" s="4322" t="n"/>
      <c r="AI108" s="4322" t="n"/>
      <c r="AJ108" s="4322" t="n"/>
      <c r="AK108" s="4322" t="n"/>
      <c r="AL108" s="4322" t="n"/>
      <c r="AM108" s="4322" t="n"/>
      <c r="AN108" s="4322" t="n"/>
      <c r="AO108" s="4322" t="n"/>
      <c r="AP108" s="4322" t="n"/>
      <c r="AQ108" s="4322" t="n"/>
      <c r="AR108" s="4322" t="n"/>
      <c r="AS108" s="4326" t="n"/>
      <c r="AT108" s="4322" t="n"/>
      <c r="AU108" s="4322" t="n"/>
      <c r="AV108" s="4322" t="n"/>
      <c r="AW108" s="4322" t="n"/>
      <c r="AX108" s="4322" t="n"/>
      <c r="AY108" s="4322" t="n"/>
      <c r="AZ108" s="4322" t="n"/>
      <c r="BA108" s="4322" t="n"/>
      <c r="BB108" s="4322" t="n"/>
      <c r="BC108" s="4322" t="n"/>
      <c r="BD108" s="4322" t="n"/>
      <c r="BE108" s="4326" t="n"/>
      <c r="BF108" s="4322" t="n"/>
      <c r="BG108" s="4322" t="n"/>
      <c r="BH108" s="4322" t="n"/>
      <c r="BI108" s="4322" t="n"/>
      <c r="BJ108" s="4322" t="n"/>
      <c r="BK108" s="4327" t="n"/>
      <c r="BL108" s="4322" t="n"/>
      <c r="BM108" s="4322" t="n"/>
      <c r="BN108" s="4322" t="n"/>
      <c r="BO108" s="4322" t="n"/>
      <c r="BP108" s="4322" t="n"/>
      <c r="BQ108" s="4315" t="n"/>
      <c r="BR108" s="4328" t="inlineStr">
        <is>
          <t>&gt;&gt;This employee is terminated in Feb-24 but included in May-24 headcount source.</t>
        </is>
      </c>
      <c r="BT108" s="4315" t="n"/>
      <c r="BU108" s="4315" t="n"/>
    </row>
    <row r="109" ht="12" customFormat="1" customHeight="1" s="4315">
      <c r="A109" s="4316" t="n"/>
      <c r="B109" s="4317" t="n"/>
      <c r="C109" s="4318" t="inlineStr">
        <is>
          <t>[Redacted]</t>
        </is>
      </c>
      <c r="D109" s="4319" t="n">
        <v>11335</v>
      </c>
      <c r="E109" s="4320" t="n"/>
      <c r="F109" s="4320" t="n"/>
      <c r="G109" s="4320" t="n"/>
      <c r="H109" s="4320" t="n"/>
      <c r="I109" s="4321" t="inlineStr">
        <is>
          <t>F</t>
        </is>
      </c>
      <c r="J109" s="4322" t="n"/>
      <c r="K109" s="4322" t="n"/>
      <c r="L109" s="4322" t="n"/>
      <c r="M109" s="4323" t="n"/>
      <c r="N109" s="4323" t="n"/>
      <c r="O109" s="4315" t="n"/>
      <c r="P109" s="4324" t="n"/>
      <c r="Q109" s="4324" t="n"/>
      <c r="R109" s="4324" t="n"/>
      <c r="S109" s="4325" t="n"/>
      <c r="T109" s="4325" t="n"/>
      <c r="U109" s="4315" t="n"/>
      <c r="V109" s="4322" t="n"/>
      <c r="W109" s="4322" t="n"/>
      <c r="X109" s="4322" t="n"/>
      <c r="Y109" s="4322" t="n"/>
      <c r="Z109" s="4322" t="n"/>
      <c r="AA109" s="4322" t="n"/>
      <c r="AB109" s="4322" t="n"/>
      <c r="AC109" s="4322" t="n"/>
      <c r="AD109" s="4322" t="n"/>
      <c r="AE109" s="4322" t="n"/>
      <c r="AF109" s="4322" t="n"/>
      <c r="AG109" s="4326" t="n"/>
      <c r="AH109" s="4322" t="n"/>
      <c r="AI109" s="4322" t="n"/>
      <c r="AJ109" s="4322" t="n"/>
      <c r="AK109" s="4322" t="n"/>
      <c r="AL109" s="4322" t="n"/>
      <c r="AM109" s="4322" t="n"/>
      <c r="AN109" s="4322" t="n"/>
      <c r="AO109" s="4322" t="n"/>
      <c r="AP109" s="4322" t="n"/>
      <c r="AQ109" s="4322" t="n"/>
      <c r="AR109" s="4322" t="n"/>
      <c r="AS109" s="4326" t="n"/>
      <c r="AT109" s="4322" t="n"/>
      <c r="AU109" s="4322" t="n"/>
      <c r="AV109" s="4322" t="n"/>
      <c r="AW109" s="4322" t="n"/>
      <c r="AX109" s="4322" t="n"/>
      <c r="AY109" s="4322" t="n"/>
      <c r="AZ109" s="4322" t="n"/>
      <c r="BA109" s="4322" t="n"/>
      <c r="BB109" s="4322" t="n"/>
      <c r="BC109" s="4322" t="n"/>
      <c r="BD109" s="4322" t="n"/>
      <c r="BE109" s="4326" t="n"/>
      <c r="BF109" s="4322" t="n"/>
      <c r="BG109" s="4322" t="n"/>
      <c r="BH109" s="4322" t="n"/>
      <c r="BI109" s="4322" t="n"/>
      <c r="BJ109" s="4322" t="n"/>
      <c r="BK109" s="4327" t="n"/>
      <c r="BL109" s="4322" t="n"/>
      <c r="BM109" s="4322" t="n"/>
      <c r="BN109" s="4322" t="n"/>
      <c r="BO109" s="4322" t="n"/>
      <c r="BP109" s="4322" t="n"/>
      <c r="BQ109" s="4315" t="n"/>
      <c r="BR109" s="4328" t="n"/>
      <c r="BT109" s="4315" t="n"/>
      <c r="BU109" s="4315" t="n"/>
    </row>
    <row r="110" ht="12" customFormat="1" customHeight="1" s="4315">
      <c r="A110" s="4316" t="n"/>
      <c r="B110" s="4317" t="n"/>
      <c r="C110" s="4318" t="inlineStr">
        <is>
          <t>[Redacted]</t>
        </is>
      </c>
      <c r="D110" s="4319" t="n">
        <v>11256</v>
      </c>
      <c r="E110" s="4320" t="n"/>
      <c r="F110" s="4320" t="n"/>
      <c r="G110" s="4320" t="n"/>
      <c r="H110" s="4320" t="n"/>
      <c r="I110" s="4321" t="inlineStr">
        <is>
          <t>F</t>
        </is>
      </c>
      <c r="J110" s="4322" t="n"/>
      <c r="K110" s="4322" t="n"/>
      <c r="L110" s="4322" t="n"/>
      <c r="M110" s="4323" t="n"/>
      <c r="N110" s="4323" t="n"/>
      <c r="O110" s="4315" t="n"/>
      <c r="P110" s="4324" t="n"/>
      <c r="Q110" s="4324" t="n"/>
      <c r="R110" s="4324" t="n"/>
      <c r="S110" s="4325" t="n"/>
      <c r="T110" s="4325" t="n"/>
      <c r="U110" s="4315" t="n"/>
      <c r="V110" s="4322" t="n"/>
      <c r="W110" s="4322" t="n"/>
      <c r="X110" s="4322" t="n"/>
      <c r="Y110" s="4322" t="n"/>
      <c r="Z110" s="4322" t="n"/>
      <c r="AA110" s="4322" t="n"/>
      <c r="AB110" s="4322" t="n"/>
      <c r="AC110" s="4322" t="n"/>
      <c r="AD110" s="4322" t="n"/>
      <c r="AE110" s="4322" t="n"/>
      <c r="AF110" s="4322" t="n"/>
      <c r="AG110" s="4326" t="n"/>
      <c r="AH110" s="4322" t="n"/>
      <c r="AI110" s="4322" t="n"/>
      <c r="AJ110" s="4322" t="n"/>
      <c r="AK110" s="4322" t="n"/>
      <c r="AL110" s="4322" t="n"/>
      <c r="AM110" s="4322" t="n"/>
      <c r="AN110" s="4322" t="n"/>
      <c r="AO110" s="4322" t="n"/>
      <c r="AP110" s="4322" t="n"/>
      <c r="AQ110" s="4322" t="n"/>
      <c r="AR110" s="4322" t="n"/>
      <c r="AS110" s="4326" t="n"/>
      <c r="AT110" s="4322" t="n"/>
      <c r="AU110" s="4322" t="n"/>
      <c r="AV110" s="4322" t="n"/>
      <c r="AW110" s="4322" t="n"/>
      <c r="AX110" s="4322" t="n"/>
      <c r="AY110" s="4322" t="n"/>
      <c r="AZ110" s="4322" t="n"/>
      <c r="BA110" s="4322" t="n"/>
      <c r="BB110" s="4322" t="n"/>
      <c r="BC110" s="4322" t="n"/>
      <c r="BD110" s="4322" t="n"/>
      <c r="BE110" s="4326" t="n"/>
      <c r="BF110" s="4322" t="n"/>
      <c r="BG110" s="4322" t="n"/>
      <c r="BH110" s="4322" t="n"/>
      <c r="BI110" s="4322" t="n"/>
      <c r="BJ110" s="4322" t="n"/>
      <c r="BK110" s="4327" t="n"/>
      <c r="BL110" s="4322" t="n"/>
      <c r="BM110" s="4322" t="n"/>
      <c r="BN110" s="4322" t="n"/>
      <c r="BO110" s="4322" t="n"/>
      <c r="BP110" s="4322" t="n"/>
      <c r="BQ110" s="4315" t="n"/>
      <c r="BR110" s="4328" t="n"/>
      <c r="BT110" s="4315" t="n"/>
      <c r="BU110" s="4315" t="n"/>
    </row>
    <row r="111" ht="12" customFormat="1" customHeight="1" s="4315">
      <c r="A111" s="4316" t="n"/>
      <c r="B111" s="4317" t="n"/>
      <c r="C111" s="4318" t="inlineStr">
        <is>
          <t>[Redacted]</t>
        </is>
      </c>
      <c r="D111" s="4319" t="n">
        <v>11160</v>
      </c>
      <c r="E111" s="4320" t="n"/>
      <c r="F111" s="4320" t="n"/>
      <c r="G111" s="4320" t="n"/>
      <c r="H111" s="4320" t="n"/>
      <c r="I111" s="4321" t="inlineStr">
        <is>
          <t>M</t>
        </is>
      </c>
      <c r="J111" s="4322" t="n"/>
      <c r="K111" s="4322" t="n"/>
      <c r="L111" s="4322" t="n"/>
      <c r="M111" s="4323" t="n"/>
      <c r="N111" s="4323" t="n"/>
      <c r="O111" s="4315" t="n"/>
      <c r="P111" s="4324" t="n"/>
      <c r="Q111" s="4324" t="n"/>
      <c r="R111" s="4324" t="n"/>
      <c r="S111" s="4325" t="n"/>
      <c r="T111" s="4325" t="n"/>
      <c r="U111" s="4315" t="n"/>
      <c r="V111" s="4322" t="n"/>
      <c r="W111" s="4322" t="n"/>
      <c r="X111" s="4322" t="n"/>
      <c r="Y111" s="4322" t="n"/>
      <c r="Z111" s="4322" t="n"/>
      <c r="AA111" s="4322" t="n"/>
      <c r="AB111" s="4322" t="n"/>
      <c r="AC111" s="4322" t="n"/>
      <c r="AD111" s="4322" t="n"/>
      <c r="AE111" s="4322" t="n"/>
      <c r="AF111" s="4322" t="n"/>
      <c r="AG111" s="4326" t="n"/>
      <c r="AH111" s="4322" t="n"/>
      <c r="AI111" s="4322" t="n"/>
      <c r="AJ111" s="4322" t="n"/>
      <c r="AK111" s="4322" t="n"/>
      <c r="AL111" s="4322" t="n"/>
      <c r="AM111" s="4322" t="n"/>
      <c r="AN111" s="4322" t="n"/>
      <c r="AO111" s="4322" t="n"/>
      <c r="AP111" s="4322" t="n"/>
      <c r="AQ111" s="4322" t="n"/>
      <c r="AR111" s="4322" t="n"/>
      <c r="AS111" s="4326" t="n"/>
      <c r="AT111" s="4322" t="n"/>
      <c r="AU111" s="4322" t="n"/>
      <c r="AV111" s="4322" t="n"/>
      <c r="AW111" s="4322" t="n"/>
      <c r="AX111" s="4322" t="n"/>
      <c r="AY111" s="4322" t="n"/>
      <c r="AZ111" s="4322" t="n"/>
      <c r="BA111" s="4322" t="n"/>
      <c r="BB111" s="4322" t="n"/>
      <c r="BC111" s="4322" t="n"/>
      <c r="BD111" s="4322" t="n"/>
      <c r="BE111" s="4326" t="n"/>
      <c r="BF111" s="4322" t="n"/>
      <c r="BG111" s="4322" t="n"/>
      <c r="BH111" s="4322" t="n"/>
      <c r="BI111" s="4322" t="n"/>
      <c r="BJ111" s="4322" t="n"/>
      <c r="BK111" s="4327" t="n"/>
      <c r="BL111" s="4322" t="n"/>
      <c r="BM111" s="4322" t="n"/>
      <c r="BN111" s="4322" t="n"/>
      <c r="BO111" s="4322" t="n"/>
      <c r="BP111" s="4322" t="n"/>
      <c r="BQ111" s="4315" t="n"/>
      <c r="BR111" s="4328" t="n"/>
      <c r="BT111" s="4315" t="n"/>
      <c r="BU111" s="4315" t="n"/>
    </row>
    <row r="112" ht="12" customFormat="1" customHeight="1" s="4315">
      <c r="A112" s="4316" t="n"/>
      <c r="B112" s="4317" t="n"/>
      <c r="C112" s="4318" t="inlineStr">
        <is>
          <t>[Redacted]</t>
        </is>
      </c>
      <c r="D112" s="4319" t="n">
        <v>11223</v>
      </c>
      <c r="E112" s="4320" t="n"/>
      <c r="F112" s="4320" t="n"/>
      <c r="G112" s="4320" t="n"/>
      <c r="H112" s="4320" t="n"/>
      <c r="I112" s="4321" t="inlineStr">
        <is>
          <t>M</t>
        </is>
      </c>
      <c r="J112" s="4322" t="n"/>
      <c r="K112" s="4322" t="n"/>
      <c r="L112" s="4322" t="n"/>
      <c r="M112" s="4323" t="n"/>
      <c r="N112" s="4323" t="n"/>
      <c r="O112" s="4315" t="n"/>
      <c r="P112" s="4324" t="n"/>
      <c r="Q112" s="4324" t="n"/>
      <c r="R112" s="4324" t="n"/>
      <c r="S112" s="4325" t="n"/>
      <c r="T112" s="4325" t="n"/>
      <c r="U112" s="4315" t="n"/>
      <c r="V112" s="4322" t="n"/>
      <c r="W112" s="4322" t="n"/>
      <c r="X112" s="4322" t="n"/>
      <c r="Y112" s="4322" t="n"/>
      <c r="Z112" s="4322" t="n"/>
      <c r="AA112" s="4322" t="n"/>
      <c r="AB112" s="4322" t="n"/>
      <c r="AC112" s="4322" t="n"/>
      <c r="AD112" s="4322" t="n"/>
      <c r="AE112" s="4322" t="n"/>
      <c r="AF112" s="4322" t="n"/>
      <c r="AG112" s="4326" t="n"/>
      <c r="AH112" s="4322" t="n"/>
      <c r="AI112" s="4322" t="n"/>
      <c r="AJ112" s="4322" t="n"/>
      <c r="AK112" s="4322" t="n"/>
      <c r="AL112" s="4322" t="n"/>
      <c r="AM112" s="4322" t="n"/>
      <c r="AN112" s="4322" t="n"/>
      <c r="AO112" s="4322" t="n"/>
      <c r="AP112" s="4322" t="n"/>
      <c r="AQ112" s="4322" t="n"/>
      <c r="AR112" s="4322" t="n"/>
      <c r="AS112" s="4326" t="n"/>
      <c r="AT112" s="4322" t="n"/>
      <c r="AU112" s="4322" t="n"/>
      <c r="AV112" s="4322" t="n"/>
      <c r="AW112" s="4322" t="n"/>
      <c r="AX112" s="4322" t="n"/>
      <c r="AY112" s="4322" t="n"/>
      <c r="AZ112" s="4322" t="n"/>
      <c r="BA112" s="4322" t="n"/>
      <c r="BB112" s="4322" t="n"/>
      <c r="BC112" s="4322" t="n"/>
      <c r="BD112" s="4322" t="n"/>
      <c r="BE112" s="4326" t="n"/>
      <c r="BF112" s="4322" t="n"/>
      <c r="BG112" s="4322" t="n"/>
      <c r="BH112" s="4322" t="n"/>
      <c r="BI112" s="4322" t="n"/>
      <c r="BJ112" s="4322" t="n"/>
      <c r="BK112" s="4327" t="n"/>
      <c r="BL112" s="4322" t="n"/>
      <c r="BM112" s="4322" t="n"/>
      <c r="BN112" s="4322" t="n"/>
      <c r="BO112" s="4322" t="n"/>
      <c r="BP112" s="4322" t="n"/>
      <c r="BQ112" s="4315" t="n"/>
      <c r="BR112" s="4328" t="n"/>
      <c r="BT112" s="4315" t="n"/>
      <c r="BU112" s="4315" t="n"/>
    </row>
    <row r="113" ht="12" customFormat="1" customHeight="1" s="4315">
      <c r="A113" s="4316" t="n"/>
      <c r="B113" s="4317" t="n"/>
      <c r="C113" s="4318" t="inlineStr">
        <is>
          <t>[Redacted]</t>
        </is>
      </c>
      <c r="D113" s="4319" t="n">
        <v>11349</v>
      </c>
      <c r="E113" s="4320" t="n"/>
      <c r="F113" s="4320" t="n"/>
      <c r="G113" s="4320" t="n"/>
      <c r="H113" s="4320" t="n"/>
      <c r="I113" s="4321" t="inlineStr">
        <is>
          <t>M</t>
        </is>
      </c>
      <c r="J113" s="4322" t="n"/>
      <c r="K113" s="4322" t="n"/>
      <c r="L113" s="4322" t="n"/>
      <c r="M113" s="4323" t="n"/>
      <c r="N113" s="4323" t="n"/>
      <c r="O113" s="4315" t="n"/>
      <c r="P113" s="4324" t="n"/>
      <c r="Q113" s="4324" t="n"/>
      <c r="R113" s="4324" t="n"/>
      <c r="S113" s="4325" t="n"/>
      <c r="T113" s="4325" t="n"/>
      <c r="U113" s="4315" t="n"/>
      <c r="V113" s="4322" t="n"/>
      <c r="W113" s="4322" t="n"/>
      <c r="X113" s="4322" t="n"/>
      <c r="Y113" s="4322" t="n"/>
      <c r="Z113" s="4322" t="n"/>
      <c r="AA113" s="4322" t="n"/>
      <c r="AB113" s="4322" t="n"/>
      <c r="AC113" s="4322" t="n"/>
      <c r="AD113" s="4322" t="n"/>
      <c r="AE113" s="4322" t="n"/>
      <c r="AF113" s="4322" t="n"/>
      <c r="AG113" s="4326" t="n"/>
      <c r="AH113" s="4322" t="n"/>
      <c r="AI113" s="4322" t="n"/>
      <c r="AJ113" s="4322" t="n"/>
      <c r="AK113" s="4322" t="n"/>
      <c r="AL113" s="4322" t="n"/>
      <c r="AM113" s="4322" t="n"/>
      <c r="AN113" s="4322" t="n"/>
      <c r="AO113" s="4322" t="n"/>
      <c r="AP113" s="4322" t="n"/>
      <c r="AQ113" s="4322" t="n"/>
      <c r="AR113" s="4322" t="n"/>
      <c r="AS113" s="4326" t="n"/>
      <c r="AT113" s="4322" t="n"/>
      <c r="AU113" s="4322" t="n"/>
      <c r="AV113" s="4322" t="n"/>
      <c r="AW113" s="4322" t="n"/>
      <c r="AX113" s="4322" t="n"/>
      <c r="AY113" s="4322" t="n"/>
      <c r="AZ113" s="4322" t="n"/>
      <c r="BA113" s="4322" t="n"/>
      <c r="BB113" s="4322" t="n"/>
      <c r="BC113" s="4322" t="n"/>
      <c r="BD113" s="4322" t="n"/>
      <c r="BE113" s="4326" t="n"/>
      <c r="BF113" s="4322" t="n"/>
      <c r="BG113" s="4322" t="n"/>
      <c r="BH113" s="4322" t="n"/>
      <c r="BI113" s="4322" t="n"/>
      <c r="BJ113" s="4322" t="n"/>
      <c r="BK113" s="4327" t="n"/>
      <c r="BL113" s="4322" t="n"/>
      <c r="BM113" s="4322" t="n"/>
      <c r="BN113" s="4322" t="n"/>
      <c r="BO113" s="4322" t="n"/>
      <c r="BP113" s="4322" t="n"/>
      <c r="BQ113" s="4315" t="n"/>
      <c r="BR113" s="4328" t="n"/>
      <c r="BT113" s="4315" t="n"/>
      <c r="BU113" s="4315" t="n"/>
    </row>
    <row r="114" ht="12" customFormat="1" customHeight="1" s="4315">
      <c r="A114" s="4316" t="n"/>
      <c r="B114" s="4317" t="n"/>
      <c r="C114" s="4318" t="inlineStr">
        <is>
          <t>[Redacted]</t>
        </is>
      </c>
      <c r="D114" s="4319" t="n">
        <v>11235</v>
      </c>
      <c r="E114" s="4320" t="n"/>
      <c r="F114" s="4320" t="n"/>
      <c r="G114" s="4320" t="n"/>
      <c r="H114" s="4320" t="n"/>
      <c r="I114" s="4321" t="inlineStr">
        <is>
          <t>M</t>
        </is>
      </c>
      <c r="J114" s="4322" t="n"/>
      <c r="K114" s="4322" t="n"/>
      <c r="L114" s="4322" t="n"/>
      <c r="M114" s="4323" t="n"/>
      <c r="N114" s="4323" t="n"/>
      <c r="O114" s="4315" t="n"/>
      <c r="P114" s="4324" t="n"/>
      <c r="Q114" s="4324" t="n"/>
      <c r="R114" s="4324" t="n"/>
      <c r="S114" s="4325" t="n"/>
      <c r="T114" s="4325" t="n"/>
      <c r="U114" s="4315" t="n"/>
      <c r="V114" s="4322" t="n"/>
      <c r="W114" s="4322" t="n"/>
      <c r="X114" s="4322" t="n"/>
      <c r="Y114" s="4322" t="n"/>
      <c r="Z114" s="4322" t="n"/>
      <c r="AA114" s="4322" t="n"/>
      <c r="AB114" s="4322" t="n"/>
      <c r="AC114" s="4322" t="n"/>
      <c r="AD114" s="4322" t="n"/>
      <c r="AE114" s="4322" t="n"/>
      <c r="AF114" s="4322" t="n"/>
      <c r="AG114" s="4326" t="n"/>
      <c r="AH114" s="4322" t="n"/>
      <c r="AI114" s="4322" t="n"/>
      <c r="AJ114" s="4322" t="n"/>
      <c r="AK114" s="4322" t="n"/>
      <c r="AL114" s="4322" t="n"/>
      <c r="AM114" s="4322" t="n"/>
      <c r="AN114" s="4322" t="n"/>
      <c r="AO114" s="4322" t="n"/>
      <c r="AP114" s="4322" t="n"/>
      <c r="AQ114" s="4322" t="n"/>
      <c r="AR114" s="4322" t="n"/>
      <c r="AS114" s="4326" t="n"/>
      <c r="AT114" s="4322" t="n"/>
      <c r="AU114" s="4322" t="n"/>
      <c r="AV114" s="4322" t="n"/>
      <c r="AW114" s="4322" t="n"/>
      <c r="AX114" s="4322" t="n"/>
      <c r="AY114" s="4322" t="n"/>
      <c r="AZ114" s="4322" t="n"/>
      <c r="BA114" s="4322" t="n"/>
      <c r="BB114" s="4322" t="n"/>
      <c r="BC114" s="4322" t="n"/>
      <c r="BD114" s="4322" t="n"/>
      <c r="BE114" s="4326" t="n"/>
      <c r="BF114" s="4322" t="n"/>
      <c r="BG114" s="4322" t="n"/>
      <c r="BH114" s="4322" t="n"/>
      <c r="BI114" s="4322" t="n"/>
      <c r="BJ114" s="4322" t="n"/>
      <c r="BK114" s="4327" t="n"/>
      <c r="BL114" s="4322" t="n"/>
      <c r="BM114" s="4322" t="n"/>
      <c r="BN114" s="4322" t="n"/>
      <c r="BO114" s="4322" t="n"/>
      <c r="BP114" s="4322" t="n"/>
      <c r="BQ114" s="4315" t="n"/>
      <c r="BR114" s="4328" t="n"/>
      <c r="BT114" s="4315" t="n"/>
      <c r="BU114" s="4315" t="n"/>
    </row>
    <row r="115" ht="12" customFormat="1" customHeight="1" s="4315">
      <c r="A115" s="4316" t="n"/>
      <c r="B115" s="4317" t="n"/>
      <c r="C115" s="4318" t="inlineStr">
        <is>
          <t>[Redacted]</t>
        </is>
      </c>
      <c r="D115" s="4319" t="n">
        <v>11383</v>
      </c>
      <c r="E115" s="4320" t="n"/>
      <c r="F115" s="4320" t="n"/>
      <c r="G115" s="4320" t="n"/>
      <c r="H115" s="4320" t="n"/>
      <c r="I115" s="4321" t="inlineStr">
        <is>
          <t>M</t>
        </is>
      </c>
      <c r="J115" s="4322" t="n"/>
      <c r="K115" s="4322" t="n"/>
      <c r="L115" s="4322" t="n"/>
      <c r="M115" s="4323" t="n"/>
      <c r="N115" s="4323" t="n"/>
      <c r="O115" s="4315" t="n"/>
      <c r="P115" s="4324" t="n"/>
      <c r="Q115" s="4324" t="n"/>
      <c r="R115" s="4324" t="n"/>
      <c r="S115" s="4325" t="n"/>
      <c r="T115" s="4325" t="n"/>
      <c r="U115" s="4315" t="n"/>
      <c r="V115" s="4322" t="n"/>
      <c r="W115" s="4322" t="n"/>
      <c r="X115" s="4322" t="n"/>
      <c r="Y115" s="4322" t="n"/>
      <c r="Z115" s="4322" t="n"/>
      <c r="AA115" s="4322" t="n"/>
      <c r="AB115" s="4322" t="n"/>
      <c r="AC115" s="4322" t="n"/>
      <c r="AD115" s="4322" t="n"/>
      <c r="AE115" s="4322" t="n"/>
      <c r="AF115" s="4322" t="n"/>
      <c r="AG115" s="4326" t="n"/>
      <c r="AH115" s="4322" t="n"/>
      <c r="AI115" s="4322" t="n"/>
      <c r="AJ115" s="4322" t="n"/>
      <c r="AK115" s="4322" t="n"/>
      <c r="AL115" s="4322" t="n"/>
      <c r="AM115" s="4322" t="n"/>
      <c r="AN115" s="4322" t="n"/>
      <c r="AO115" s="4322" t="n"/>
      <c r="AP115" s="4322" t="n"/>
      <c r="AQ115" s="4322" t="n"/>
      <c r="AR115" s="4322" t="n"/>
      <c r="AS115" s="4326" t="n"/>
      <c r="AT115" s="4322" t="n"/>
      <c r="AU115" s="4322" t="n"/>
      <c r="AV115" s="4322" t="n"/>
      <c r="AW115" s="4322" t="n"/>
      <c r="AX115" s="4322" t="n"/>
      <c r="AY115" s="4322" t="n"/>
      <c r="AZ115" s="4322" t="n"/>
      <c r="BA115" s="4322" t="n"/>
      <c r="BB115" s="4322" t="n"/>
      <c r="BC115" s="4322" t="n"/>
      <c r="BD115" s="4322" t="n"/>
      <c r="BE115" s="4326" t="n"/>
      <c r="BF115" s="4322" t="n"/>
      <c r="BG115" s="4322" t="n"/>
      <c r="BH115" s="4322" t="n"/>
      <c r="BI115" s="4322" t="n"/>
      <c r="BJ115" s="4322" t="n"/>
      <c r="BK115" s="4327" t="n"/>
      <c r="BL115" s="4322" t="n"/>
      <c r="BM115" s="4322" t="n"/>
      <c r="BN115" s="4322" t="n"/>
      <c r="BO115" s="4322" t="n"/>
      <c r="BP115" s="4322" t="n"/>
      <c r="BQ115" s="4315" t="n"/>
      <c r="BR115" s="4328" t="n"/>
      <c r="BT115" s="4315" t="n"/>
      <c r="BU115" s="4315" t="n"/>
    </row>
    <row r="116" ht="12" customFormat="1" customHeight="1" s="4315">
      <c r="A116" s="4316" t="n"/>
      <c r="B116" s="4317" t="n"/>
      <c r="C116" s="4318" t="inlineStr">
        <is>
          <t>[Redacted]</t>
        </is>
      </c>
      <c r="D116" s="4319" t="n">
        <v>11364</v>
      </c>
      <c r="E116" s="4320" t="n"/>
      <c r="F116" s="4320" t="n"/>
      <c r="G116" s="4320" t="n"/>
      <c r="H116" s="4320" t="n"/>
      <c r="I116" s="4321" t="inlineStr">
        <is>
          <t>M</t>
        </is>
      </c>
      <c r="J116" s="4322" t="n"/>
      <c r="K116" s="4322" t="n"/>
      <c r="L116" s="4322" t="n"/>
      <c r="M116" s="4323" t="n"/>
      <c r="N116" s="4323" t="n"/>
      <c r="O116" s="4315" t="n"/>
      <c r="P116" s="4324" t="n"/>
      <c r="Q116" s="4324" t="n"/>
      <c r="R116" s="4324" t="n"/>
      <c r="S116" s="4325" t="n"/>
      <c r="T116" s="4325" t="n"/>
      <c r="U116" s="4315" t="n"/>
      <c r="V116" s="4322" t="n"/>
      <c r="W116" s="4322" t="n"/>
      <c r="X116" s="4322" t="n"/>
      <c r="Y116" s="4322" t="n"/>
      <c r="Z116" s="4322" t="n"/>
      <c r="AA116" s="4322" t="n"/>
      <c r="AB116" s="4322" t="n"/>
      <c r="AC116" s="4322" t="n"/>
      <c r="AD116" s="4322" t="n"/>
      <c r="AE116" s="4322" t="n"/>
      <c r="AF116" s="4322" t="n"/>
      <c r="AG116" s="4326" t="n"/>
      <c r="AH116" s="4322" t="n"/>
      <c r="AI116" s="4322" t="n"/>
      <c r="AJ116" s="4322" t="n"/>
      <c r="AK116" s="4322" t="n"/>
      <c r="AL116" s="4322" t="n"/>
      <c r="AM116" s="4322" t="n"/>
      <c r="AN116" s="4322" t="n"/>
      <c r="AO116" s="4322" t="n"/>
      <c r="AP116" s="4322" t="n"/>
      <c r="AQ116" s="4322" t="n"/>
      <c r="AR116" s="4322" t="n"/>
      <c r="AS116" s="4326" t="n"/>
      <c r="AT116" s="4322" t="n"/>
      <c r="AU116" s="4322" t="n"/>
      <c r="AV116" s="4322" t="n"/>
      <c r="AW116" s="4322" t="n"/>
      <c r="AX116" s="4322" t="n"/>
      <c r="AY116" s="4322" t="n"/>
      <c r="AZ116" s="4322" t="n"/>
      <c r="BA116" s="4322" t="n"/>
      <c r="BB116" s="4322" t="n"/>
      <c r="BC116" s="4322" t="n"/>
      <c r="BD116" s="4322" t="n"/>
      <c r="BE116" s="4326" t="n"/>
      <c r="BF116" s="4322" t="n"/>
      <c r="BG116" s="4322" t="n"/>
      <c r="BH116" s="4322" t="n"/>
      <c r="BI116" s="4322" t="n"/>
      <c r="BJ116" s="4322" t="n"/>
      <c r="BK116" s="4327" t="n"/>
      <c r="BL116" s="4322" t="n"/>
      <c r="BM116" s="4322" t="n"/>
      <c r="BN116" s="4322" t="n"/>
      <c r="BO116" s="4322" t="n"/>
      <c r="BP116" s="4322" t="n"/>
      <c r="BQ116" s="4315" t="n"/>
      <c r="BR116" s="4328" t="n"/>
      <c r="BT116" s="4315" t="n"/>
      <c r="BU116" s="4315" t="n"/>
    </row>
    <row r="117" ht="12" customFormat="1" customHeight="1" s="4315">
      <c r="A117" s="4316" t="n"/>
      <c r="B117" s="4317" t="n"/>
      <c r="C117" s="4318" t="inlineStr">
        <is>
          <t>[Redacted]</t>
        </is>
      </c>
      <c r="D117" s="4319" t="n">
        <v>11369</v>
      </c>
      <c r="E117" s="4320" t="n"/>
      <c r="F117" s="4320" t="n"/>
      <c r="G117" s="4320" t="n"/>
      <c r="H117" s="4320" t="n"/>
      <c r="I117" s="4321" t="inlineStr">
        <is>
          <t>M</t>
        </is>
      </c>
      <c r="J117" s="4322" t="n"/>
      <c r="K117" s="4322" t="n"/>
      <c r="L117" s="4322" t="n"/>
      <c r="M117" s="4323" t="n"/>
      <c r="N117" s="4323" t="n"/>
      <c r="O117" s="4315" t="n"/>
      <c r="P117" s="4324" t="n"/>
      <c r="Q117" s="4324" t="n"/>
      <c r="R117" s="4324" t="n"/>
      <c r="S117" s="4325" t="n"/>
      <c r="T117" s="4325" t="n"/>
      <c r="U117" s="4315" t="n"/>
      <c r="V117" s="4322" t="n"/>
      <c r="W117" s="4322" t="n"/>
      <c r="X117" s="4322" t="n"/>
      <c r="Y117" s="4322" t="n"/>
      <c r="Z117" s="4322" t="n"/>
      <c r="AA117" s="4322" t="n"/>
      <c r="AB117" s="4322" t="n"/>
      <c r="AC117" s="4322" t="n"/>
      <c r="AD117" s="4322" t="n"/>
      <c r="AE117" s="4322" t="n"/>
      <c r="AF117" s="4322" t="n"/>
      <c r="AG117" s="4326" t="n"/>
      <c r="AH117" s="4322" t="n"/>
      <c r="AI117" s="4322" t="n"/>
      <c r="AJ117" s="4322" t="n"/>
      <c r="AK117" s="4322" t="n"/>
      <c r="AL117" s="4322" t="n"/>
      <c r="AM117" s="4322" t="n"/>
      <c r="AN117" s="4322" t="n"/>
      <c r="AO117" s="4322" t="n"/>
      <c r="AP117" s="4322" t="n"/>
      <c r="AQ117" s="4322" t="n"/>
      <c r="AR117" s="4322" t="n"/>
      <c r="AS117" s="4326" t="n"/>
      <c r="AT117" s="4322" t="n"/>
      <c r="AU117" s="4322" t="n"/>
      <c r="AV117" s="4322" t="n"/>
      <c r="AW117" s="4322" t="n"/>
      <c r="AX117" s="4322" t="n"/>
      <c r="AY117" s="4322" t="n"/>
      <c r="AZ117" s="4322" t="n"/>
      <c r="BA117" s="4322" t="n"/>
      <c r="BB117" s="4322" t="n"/>
      <c r="BC117" s="4322" t="n"/>
      <c r="BD117" s="4322" t="n"/>
      <c r="BE117" s="4326" t="n"/>
      <c r="BF117" s="4322" t="n"/>
      <c r="BG117" s="4322" t="n"/>
      <c r="BH117" s="4322" t="n"/>
      <c r="BI117" s="4322" t="n"/>
      <c r="BJ117" s="4322" t="n"/>
      <c r="BK117" s="4327" t="n"/>
      <c r="BL117" s="4322" t="n"/>
      <c r="BM117" s="4322" t="n"/>
      <c r="BN117" s="4322" t="n"/>
      <c r="BO117" s="4322" t="n"/>
      <c r="BP117" s="4322" t="n"/>
      <c r="BQ117" s="4315" t="n"/>
      <c r="BR117" s="4328" t="n"/>
      <c r="BT117" s="4315" t="n"/>
      <c r="BU117" s="4315" t="n"/>
    </row>
    <row r="118" ht="12" customFormat="1" customHeight="1" s="4315">
      <c r="A118" s="4316" t="n"/>
      <c r="B118" s="4317" t="n"/>
      <c r="C118" s="4318" t="inlineStr">
        <is>
          <t>[Redacted]</t>
        </is>
      </c>
      <c r="D118" s="4319" t="n">
        <v>11380</v>
      </c>
      <c r="E118" s="4320" t="n"/>
      <c r="F118" s="4320" t="n"/>
      <c r="G118" s="4320" t="n"/>
      <c r="H118" s="4320" t="n"/>
      <c r="I118" s="4321" t="inlineStr">
        <is>
          <t>F</t>
        </is>
      </c>
      <c r="J118" s="4322" t="n"/>
      <c r="K118" s="4322" t="n"/>
      <c r="L118" s="4322" t="n"/>
      <c r="M118" s="4323" t="n"/>
      <c r="N118" s="4323" t="n"/>
      <c r="O118" s="4315" t="n"/>
      <c r="P118" s="4324" t="n"/>
      <c r="Q118" s="4324" t="n"/>
      <c r="R118" s="4324" t="n"/>
      <c r="S118" s="4325" t="n"/>
      <c r="T118" s="4325" t="n"/>
      <c r="U118" s="4315" t="n"/>
      <c r="V118" s="4322" t="n"/>
      <c r="W118" s="4322" t="n"/>
      <c r="X118" s="4322" t="n"/>
      <c r="Y118" s="4322" t="n"/>
      <c r="Z118" s="4322" t="n"/>
      <c r="AA118" s="4322" t="n"/>
      <c r="AB118" s="4322" t="n"/>
      <c r="AC118" s="4322" t="n"/>
      <c r="AD118" s="4322" t="n"/>
      <c r="AE118" s="4322" t="n"/>
      <c r="AF118" s="4322" t="n"/>
      <c r="AG118" s="4326" t="n"/>
      <c r="AH118" s="4322" t="n"/>
      <c r="AI118" s="4322" t="n"/>
      <c r="AJ118" s="4322" t="n"/>
      <c r="AK118" s="4322" t="n"/>
      <c r="AL118" s="4322" t="n"/>
      <c r="AM118" s="4322" t="n"/>
      <c r="AN118" s="4322" t="n"/>
      <c r="AO118" s="4322" t="n"/>
      <c r="AP118" s="4322" t="n"/>
      <c r="AQ118" s="4322" t="n"/>
      <c r="AR118" s="4322" t="n"/>
      <c r="AS118" s="4326" t="n"/>
      <c r="AT118" s="4322" t="n"/>
      <c r="AU118" s="4322" t="n"/>
      <c r="AV118" s="4322" t="n"/>
      <c r="AW118" s="4322" t="n"/>
      <c r="AX118" s="4322" t="n"/>
      <c r="AY118" s="4322" t="n"/>
      <c r="AZ118" s="4322" t="n"/>
      <c r="BA118" s="4322" t="n"/>
      <c r="BB118" s="4322" t="n"/>
      <c r="BC118" s="4322" t="n"/>
      <c r="BD118" s="4322" t="n"/>
      <c r="BE118" s="4326" t="n"/>
      <c r="BF118" s="4322" t="n"/>
      <c r="BG118" s="4322" t="n"/>
      <c r="BH118" s="4322" t="n"/>
      <c r="BI118" s="4322" t="n"/>
      <c r="BJ118" s="4322" t="n"/>
      <c r="BK118" s="4327" t="n"/>
      <c r="BL118" s="4322" t="n"/>
      <c r="BM118" s="4322" t="n"/>
      <c r="BN118" s="4322" t="n"/>
      <c r="BO118" s="4322" t="n"/>
      <c r="BP118" s="4322" t="n"/>
      <c r="BQ118" s="4315" t="n"/>
      <c r="BR118" s="4328" t="n"/>
      <c r="BT118" s="4315" t="n"/>
      <c r="BU118" s="4315" t="n"/>
    </row>
    <row r="119" ht="12" customFormat="1" customHeight="1" s="4315">
      <c r="A119" s="4316" t="n"/>
      <c r="B119" s="4317" t="n"/>
      <c r="C119" s="4318" t="inlineStr">
        <is>
          <t>[Redacted]</t>
        </is>
      </c>
      <c r="D119" s="4319" t="n">
        <v>11343</v>
      </c>
      <c r="E119" s="4320" t="n"/>
      <c r="F119" s="4320" t="n"/>
      <c r="G119" s="4320" t="n"/>
      <c r="H119" s="4320" t="n"/>
      <c r="I119" s="4321" t="inlineStr">
        <is>
          <t>F</t>
        </is>
      </c>
      <c r="J119" s="4322" t="n"/>
      <c r="K119" s="4322" t="n"/>
      <c r="L119" s="4322" t="n"/>
      <c r="M119" s="4323" t="n"/>
      <c r="N119" s="4323" t="n"/>
      <c r="O119" s="4315" t="n"/>
      <c r="P119" s="4324" t="n"/>
      <c r="Q119" s="4324" t="n"/>
      <c r="R119" s="4324" t="n"/>
      <c r="S119" s="4325" t="n"/>
      <c r="T119" s="4325" t="n"/>
      <c r="U119" s="4315" t="n"/>
      <c r="V119" s="4322" t="n"/>
      <c r="W119" s="4322" t="n"/>
      <c r="X119" s="4322" t="n"/>
      <c r="Y119" s="4322" t="n"/>
      <c r="Z119" s="4322" t="n"/>
      <c r="AA119" s="4322" t="n"/>
      <c r="AB119" s="4322" t="n"/>
      <c r="AC119" s="4322" t="n"/>
      <c r="AD119" s="4322" t="n"/>
      <c r="AE119" s="4322" t="n"/>
      <c r="AF119" s="4322" t="n"/>
      <c r="AG119" s="4326" t="n"/>
      <c r="AH119" s="4322" t="n"/>
      <c r="AI119" s="4322" t="n"/>
      <c r="AJ119" s="4322" t="n"/>
      <c r="AK119" s="4322" t="n"/>
      <c r="AL119" s="4322" t="n"/>
      <c r="AM119" s="4322" t="n"/>
      <c r="AN119" s="4322" t="n"/>
      <c r="AO119" s="4322" t="n"/>
      <c r="AP119" s="4322" t="n"/>
      <c r="AQ119" s="4322" t="n"/>
      <c r="AR119" s="4322" t="n"/>
      <c r="AS119" s="4326" t="n"/>
      <c r="AT119" s="4322" t="n"/>
      <c r="AU119" s="4322" t="n"/>
      <c r="AV119" s="4322" t="n"/>
      <c r="AW119" s="4322" t="n"/>
      <c r="AX119" s="4322" t="n"/>
      <c r="AY119" s="4322" t="n"/>
      <c r="AZ119" s="4322" t="n"/>
      <c r="BA119" s="4322" t="n"/>
      <c r="BB119" s="4322" t="n"/>
      <c r="BC119" s="4322" t="n"/>
      <c r="BD119" s="4322" t="n"/>
      <c r="BE119" s="4326" t="n"/>
      <c r="BF119" s="4322" t="n"/>
      <c r="BG119" s="4322" t="n"/>
      <c r="BH119" s="4322" t="n"/>
      <c r="BI119" s="4322" t="n"/>
      <c r="BJ119" s="4322" t="n"/>
      <c r="BK119" s="4327" t="n"/>
      <c r="BL119" s="4322" t="n"/>
      <c r="BM119" s="4322" t="n"/>
      <c r="BN119" s="4322" t="n"/>
      <c r="BO119" s="4322" t="n"/>
      <c r="BP119" s="4322" t="n"/>
      <c r="BQ119" s="4315" t="n"/>
      <c r="BR119" s="4328" t="n"/>
      <c r="BT119" s="4315" t="n"/>
      <c r="BU119" s="4315" t="n"/>
    </row>
    <row r="120" ht="12" customFormat="1" customHeight="1" s="4315">
      <c r="A120" s="4316" t="n"/>
      <c r="B120" s="4317" t="n"/>
      <c r="C120" s="4318" t="inlineStr">
        <is>
          <t>[Redacted]</t>
        </is>
      </c>
      <c r="D120" s="4319" t="n">
        <v>11255</v>
      </c>
      <c r="E120" s="4320" t="n"/>
      <c r="F120" s="4320" t="n"/>
      <c r="G120" s="4320" t="n"/>
      <c r="H120" s="4320" t="n"/>
      <c r="I120" s="4321" t="inlineStr">
        <is>
          <t>F</t>
        </is>
      </c>
      <c r="J120" s="4322" t="n"/>
      <c r="K120" s="4322" t="n"/>
      <c r="L120" s="4322" t="n"/>
      <c r="M120" s="4323" t="n"/>
      <c r="N120" s="4323" t="n"/>
      <c r="O120" s="4315" t="n"/>
      <c r="P120" s="4324" t="n"/>
      <c r="Q120" s="4324" t="n"/>
      <c r="R120" s="4324" t="n"/>
      <c r="S120" s="4325" t="n"/>
      <c r="T120" s="4325" t="n"/>
      <c r="U120" s="4315" t="n"/>
      <c r="V120" s="4322" t="n"/>
      <c r="W120" s="4322" t="n"/>
      <c r="X120" s="4322" t="n"/>
      <c r="Y120" s="4322" t="n"/>
      <c r="Z120" s="4322" t="n"/>
      <c r="AA120" s="4322" t="n"/>
      <c r="AB120" s="4322" t="n"/>
      <c r="AC120" s="4322" t="n"/>
      <c r="AD120" s="4322" t="n"/>
      <c r="AE120" s="4322" t="n"/>
      <c r="AF120" s="4322" t="n"/>
      <c r="AG120" s="4326" t="n"/>
      <c r="AH120" s="4322" t="n"/>
      <c r="AI120" s="4322" t="n"/>
      <c r="AJ120" s="4322" t="n"/>
      <c r="AK120" s="4322" t="n"/>
      <c r="AL120" s="4322" t="n"/>
      <c r="AM120" s="4322" t="n"/>
      <c r="AN120" s="4322" t="n"/>
      <c r="AO120" s="4322" t="n"/>
      <c r="AP120" s="4322" t="n"/>
      <c r="AQ120" s="4322" t="n"/>
      <c r="AR120" s="4322" t="n"/>
      <c r="AS120" s="4326" t="n"/>
      <c r="AT120" s="4322" t="n"/>
      <c r="AU120" s="4322" t="n"/>
      <c r="AV120" s="4322" t="n"/>
      <c r="AW120" s="4322" t="n"/>
      <c r="AX120" s="4322" t="n"/>
      <c r="AY120" s="4322" t="n"/>
      <c r="AZ120" s="4322" t="n"/>
      <c r="BA120" s="4322" t="n"/>
      <c r="BB120" s="4322" t="n"/>
      <c r="BC120" s="4322" t="n"/>
      <c r="BD120" s="4322" t="n"/>
      <c r="BE120" s="4326" t="n"/>
      <c r="BF120" s="4322" t="n"/>
      <c r="BG120" s="4322" t="n"/>
      <c r="BH120" s="4322" t="n"/>
      <c r="BI120" s="4322" t="n"/>
      <c r="BJ120" s="4322" t="n"/>
      <c r="BK120" s="4327" t="n"/>
      <c r="BL120" s="4322" t="n"/>
      <c r="BM120" s="4322" t="n"/>
      <c r="BN120" s="4322" t="n"/>
      <c r="BO120" s="4322" t="n"/>
      <c r="BP120" s="4322" t="n"/>
      <c r="BQ120" s="4315" t="n"/>
      <c r="BR120" s="4328" t="n"/>
      <c r="BT120" s="4315" t="n"/>
      <c r="BU120" s="4315" t="n"/>
    </row>
    <row r="121" ht="12" customFormat="1" customHeight="1" s="4315">
      <c r="A121" s="4316" t="n"/>
      <c r="B121" s="4317" t="n"/>
      <c r="C121" s="4318" t="inlineStr">
        <is>
          <t>[Redacted]</t>
        </is>
      </c>
      <c r="D121" s="4319" t="n">
        <v>11245</v>
      </c>
      <c r="E121" s="4320" t="n"/>
      <c r="F121" s="4320" t="n"/>
      <c r="G121" s="4320" t="n"/>
      <c r="H121" s="4320" t="n"/>
      <c r="I121" s="4321" t="inlineStr">
        <is>
          <t>F</t>
        </is>
      </c>
      <c r="J121" s="4322" t="n"/>
      <c r="K121" s="4322" t="n"/>
      <c r="L121" s="4322" t="n"/>
      <c r="M121" s="4323" t="n"/>
      <c r="N121" s="4323" t="n"/>
      <c r="O121" s="4315" t="n"/>
      <c r="P121" s="4324" t="n"/>
      <c r="Q121" s="4324" t="n"/>
      <c r="R121" s="4324" t="n"/>
      <c r="S121" s="4325" t="n"/>
      <c r="T121" s="4325" t="n"/>
      <c r="U121" s="4315" t="n"/>
      <c r="V121" s="4322" t="n"/>
      <c r="W121" s="4322" t="n"/>
      <c r="X121" s="4322" t="n"/>
      <c r="Y121" s="4322" t="n"/>
      <c r="Z121" s="4322" t="n"/>
      <c r="AA121" s="4322" t="n"/>
      <c r="AB121" s="4322" t="n"/>
      <c r="AC121" s="4322" t="n"/>
      <c r="AD121" s="4322" t="n"/>
      <c r="AE121" s="4322" t="n"/>
      <c r="AF121" s="4322" t="n"/>
      <c r="AG121" s="4326" t="n"/>
      <c r="AH121" s="4322" t="n"/>
      <c r="AI121" s="4322" t="n"/>
      <c r="AJ121" s="4322" t="n"/>
      <c r="AK121" s="4322" t="n"/>
      <c r="AL121" s="4322" t="n"/>
      <c r="AM121" s="4322" t="n"/>
      <c r="AN121" s="4322" t="n"/>
      <c r="AO121" s="4322" t="n"/>
      <c r="AP121" s="4322" t="n"/>
      <c r="AQ121" s="4322" t="n"/>
      <c r="AR121" s="4322" t="n"/>
      <c r="AS121" s="4326" t="n"/>
      <c r="AT121" s="4322" t="n"/>
      <c r="AU121" s="4322" t="n"/>
      <c r="AV121" s="4322" t="n"/>
      <c r="AW121" s="4322" t="n"/>
      <c r="AX121" s="4322" t="n"/>
      <c r="AY121" s="4322" t="n"/>
      <c r="AZ121" s="4322" t="n"/>
      <c r="BA121" s="4322" t="n"/>
      <c r="BB121" s="4322" t="n"/>
      <c r="BC121" s="4322" t="n"/>
      <c r="BD121" s="4322" t="n"/>
      <c r="BE121" s="4326" t="n"/>
      <c r="BF121" s="4322" t="n"/>
      <c r="BG121" s="4322" t="n"/>
      <c r="BH121" s="4322" t="n"/>
      <c r="BI121" s="4322" t="n"/>
      <c r="BJ121" s="4322" t="n"/>
      <c r="BK121" s="4327" t="n"/>
      <c r="BL121" s="4322" t="n"/>
      <c r="BM121" s="4322" t="n"/>
      <c r="BN121" s="4322" t="n"/>
      <c r="BO121" s="4322" t="n"/>
      <c r="BP121" s="4322" t="n"/>
      <c r="BQ121" s="4315" t="n"/>
      <c r="BR121" s="4328" t="n"/>
      <c r="BT121" s="4315" t="n"/>
      <c r="BU121" s="4315" t="n"/>
    </row>
    <row r="122" ht="12" customFormat="1" customHeight="1" s="4315">
      <c r="A122" s="4316" t="n"/>
      <c r="B122" s="4317" t="n"/>
      <c r="C122" s="4318" t="inlineStr">
        <is>
          <t>[Redacted]</t>
        </is>
      </c>
      <c r="D122" s="4319" t="n">
        <v>11314</v>
      </c>
      <c r="E122" s="4320" t="n"/>
      <c r="F122" s="4320" t="n"/>
      <c r="G122" s="4320" t="n"/>
      <c r="H122" s="4320" t="n"/>
      <c r="I122" s="4321" t="inlineStr">
        <is>
          <t>M</t>
        </is>
      </c>
      <c r="J122" s="4322" t="n"/>
      <c r="K122" s="4322" t="n"/>
      <c r="L122" s="4322" t="n"/>
      <c r="M122" s="4323" t="n"/>
      <c r="N122" s="4323" t="n"/>
      <c r="O122" s="4315" t="n"/>
      <c r="P122" s="4324" t="n"/>
      <c r="Q122" s="4324" t="n"/>
      <c r="R122" s="4324" t="n"/>
      <c r="S122" s="4325" t="n"/>
      <c r="T122" s="4325" t="n"/>
      <c r="U122" s="4315" t="n"/>
      <c r="V122" s="4322" t="n"/>
      <c r="W122" s="4322" t="n"/>
      <c r="X122" s="4322" t="n"/>
      <c r="Y122" s="4322" t="n"/>
      <c r="Z122" s="4322" t="n"/>
      <c r="AA122" s="4322" t="n"/>
      <c r="AB122" s="4322" t="n"/>
      <c r="AC122" s="4322" t="n"/>
      <c r="AD122" s="4322" t="n"/>
      <c r="AE122" s="4322" t="n"/>
      <c r="AF122" s="4322" t="n"/>
      <c r="AG122" s="4326" t="n"/>
      <c r="AH122" s="4322" t="n"/>
      <c r="AI122" s="4322" t="n"/>
      <c r="AJ122" s="4322" t="n"/>
      <c r="AK122" s="4322" t="n"/>
      <c r="AL122" s="4322" t="n"/>
      <c r="AM122" s="4322" t="n"/>
      <c r="AN122" s="4322" t="n"/>
      <c r="AO122" s="4322" t="n"/>
      <c r="AP122" s="4322" t="n"/>
      <c r="AQ122" s="4322" t="n"/>
      <c r="AR122" s="4322" t="n"/>
      <c r="AS122" s="4326" t="n"/>
      <c r="AT122" s="4322" t="n"/>
      <c r="AU122" s="4322" t="n"/>
      <c r="AV122" s="4322" t="n"/>
      <c r="AW122" s="4322" t="n"/>
      <c r="AX122" s="4322" t="n"/>
      <c r="AY122" s="4322" t="n"/>
      <c r="AZ122" s="4322" t="n"/>
      <c r="BA122" s="4322" t="n"/>
      <c r="BB122" s="4322" t="n"/>
      <c r="BC122" s="4322" t="n"/>
      <c r="BD122" s="4322" t="n"/>
      <c r="BE122" s="4326" t="n"/>
      <c r="BF122" s="4322" t="n"/>
      <c r="BG122" s="4322" t="n"/>
      <c r="BH122" s="4322" t="n"/>
      <c r="BI122" s="4322" t="n"/>
      <c r="BJ122" s="4322" t="n"/>
      <c r="BK122" s="4327" t="n"/>
      <c r="BL122" s="4322" t="n"/>
      <c r="BM122" s="4322" t="n"/>
      <c r="BN122" s="4322" t="n"/>
      <c r="BO122" s="4322" t="n"/>
      <c r="BP122" s="4322" t="n"/>
      <c r="BQ122" s="4315" t="n"/>
      <c r="BR122" s="4328" t="n"/>
      <c r="BT122" s="4315" t="n"/>
      <c r="BU122" s="4315" t="n"/>
    </row>
    <row r="123" ht="12" customFormat="1" customHeight="1" s="4315">
      <c r="A123" s="4316" t="n"/>
      <c r="B123" s="4317" t="n"/>
      <c r="C123" s="4318" t="inlineStr">
        <is>
          <t>[Redacted]</t>
        </is>
      </c>
      <c r="D123" s="4319" t="n">
        <v>11206</v>
      </c>
      <c r="E123" s="4320" t="n"/>
      <c r="F123" s="4320" t="n"/>
      <c r="G123" s="4320" t="n"/>
      <c r="H123" s="4320" t="n"/>
      <c r="I123" s="4321" t="inlineStr">
        <is>
          <t>F</t>
        </is>
      </c>
      <c r="J123" s="4322" t="n"/>
      <c r="K123" s="4322" t="n"/>
      <c r="L123" s="4322" t="n"/>
      <c r="M123" s="4323" t="n"/>
      <c r="N123" s="4323" t="n"/>
      <c r="O123" s="4315" t="n"/>
      <c r="P123" s="4324" t="n"/>
      <c r="Q123" s="4324" t="n"/>
      <c r="R123" s="4324" t="n"/>
      <c r="S123" s="4325" t="n"/>
      <c r="T123" s="4325" t="n"/>
      <c r="U123" s="4315" t="n"/>
      <c r="V123" s="4322" t="n"/>
      <c r="W123" s="4322" t="n"/>
      <c r="X123" s="4322" t="n"/>
      <c r="Y123" s="4322" t="n"/>
      <c r="Z123" s="4322" t="n"/>
      <c r="AA123" s="4322" t="n"/>
      <c r="AB123" s="4322" t="n"/>
      <c r="AC123" s="4322" t="n"/>
      <c r="AD123" s="4322" t="n"/>
      <c r="AE123" s="4322" t="n"/>
      <c r="AF123" s="4322" t="n"/>
      <c r="AG123" s="4326" t="n"/>
      <c r="AH123" s="4322" t="n"/>
      <c r="AI123" s="4322" t="n"/>
      <c r="AJ123" s="4322" t="n"/>
      <c r="AK123" s="4322" t="n"/>
      <c r="AL123" s="4322" t="n"/>
      <c r="AM123" s="4322" t="n"/>
      <c r="AN123" s="4322" t="n"/>
      <c r="AO123" s="4322" t="n"/>
      <c r="AP123" s="4322" t="n"/>
      <c r="AQ123" s="4322" t="n"/>
      <c r="AR123" s="4322" t="n"/>
      <c r="AS123" s="4326" t="n"/>
      <c r="AT123" s="4322" t="n"/>
      <c r="AU123" s="4322" t="n"/>
      <c r="AV123" s="4322" t="n"/>
      <c r="AW123" s="4322" t="n"/>
      <c r="AX123" s="4322" t="n"/>
      <c r="AY123" s="4322" t="n"/>
      <c r="AZ123" s="4322" t="n"/>
      <c r="BA123" s="4322" t="n"/>
      <c r="BB123" s="4322" t="n"/>
      <c r="BC123" s="4322" t="n"/>
      <c r="BD123" s="4322" t="n"/>
      <c r="BE123" s="4326" t="n"/>
      <c r="BF123" s="4322" t="n"/>
      <c r="BG123" s="4322" t="n"/>
      <c r="BH123" s="4322" t="n"/>
      <c r="BI123" s="4322" t="n"/>
      <c r="BJ123" s="4322" t="n"/>
      <c r="BK123" s="4327" t="n"/>
      <c r="BL123" s="4322" t="n"/>
      <c r="BM123" s="4322" t="n"/>
      <c r="BN123" s="4322" t="n"/>
      <c r="BO123" s="4322" t="n"/>
      <c r="BP123" s="4322" t="n"/>
      <c r="BQ123" s="4315" t="n"/>
      <c r="BR123" s="4328" t="n"/>
      <c r="BT123" s="4315" t="n"/>
      <c r="BU123" s="4315" t="n"/>
    </row>
    <row r="124" ht="12" customFormat="1" customHeight="1" s="4315">
      <c r="A124" s="4316" t="n"/>
      <c r="B124" s="4317" t="n"/>
      <c r="C124" s="4318" t="inlineStr">
        <is>
          <t>[Redacted]</t>
        </is>
      </c>
      <c r="D124" s="4319" t="n">
        <v>11386</v>
      </c>
      <c r="E124" s="4320" t="n"/>
      <c r="F124" s="4320" t="n"/>
      <c r="G124" s="4320" t="n"/>
      <c r="H124" s="4320" t="n"/>
      <c r="I124" s="4321" t="inlineStr">
        <is>
          <t>F</t>
        </is>
      </c>
      <c r="J124" s="4322" t="n"/>
      <c r="K124" s="4322" t="n"/>
      <c r="L124" s="4322" t="n"/>
      <c r="M124" s="4323" t="n"/>
      <c r="N124" s="4323" t="n"/>
      <c r="O124" s="4315" t="n"/>
      <c r="P124" s="4324" t="n"/>
      <c r="Q124" s="4324" t="n"/>
      <c r="R124" s="4324" t="n"/>
      <c r="S124" s="4325" t="n"/>
      <c r="T124" s="4325" t="n"/>
      <c r="U124" s="4315" t="n"/>
      <c r="V124" s="4322" t="n"/>
      <c r="W124" s="4322" t="n"/>
      <c r="X124" s="4322" t="n"/>
      <c r="Y124" s="4322" t="n"/>
      <c r="Z124" s="4322" t="n"/>
      <c r="AA124" s="4322" t="n"/>
      <c r="AB124" s="4322" t="n"/>
      <c r="AC124" s="4322" t="n"/>
      <c r="AD124" s="4322" t="n"/>
      <c r="AE124" s="4322" t="n"/>
      <c r="AF124" s="4322" t="n"/>
      <c r="AG124" s="4326" t="n"/>
      <c r="AH124" s="4322" t="n"/>
      <c r="AI124" s="4322" t="n"/>
      <c r="AJ124" s="4322" t="n"/>
      <c r="AK124" s="4322" t="n"/>
      <c r="AL124" s="4322" t="n"/>
      <c r="AM124" s="4322" t="n"/>
      <c r="AN124" s="4322" t="n"/>
      <c r="AO124" s="4322" t="n"/>
      <c r="AP124" s="4322" t="n"/>
      <c r="AQ124" s="4322" t="n"/>
      <c r="AR124" s="4322" t="n"/>
      <c r="AS124" s="4326" t="n"/>
      <c r="AT124" s="4322" t="n"/>
      <c r="AU124" s="4322" t="n"/>
      <c r="AV124" s="4322" t="n"/>
      <c r="AW124" s="4322" t="n"/>
      <c r="AX124" s="4322" t="n"/>
      <c r="AY124" s="4322" t="n"/>
      <c r="AZ124" s="4322" t="n"/>
      <c r="BA124" s="4322" t="n"/>
      <c r="BB124" s="4322" t="n"/>
      <c r="BC124" s="4322" t="n"/>
      <c r="BD124" s="4322" t="n"/>
      <c r="BE124" s="4326" t="n"/>
      <c r="BF124" s="4322" t="n"/>
      <c r="BG124" s="4322" t="n"/>
      <c r="BH124" s="4322" t="n"/>
      <c r="BI124" s="4322" t="n"/>
      <c r="BJ124" s="4322" t="n"/>
      <c r="BK124" s="4327" t="n"/>
      <c r="BL124" s="4322" t="n"/>
      <c r="BM124" s="4322" t="n"/>
      <c r="BN124" s="4322" t="n"/>
      <c r="BO124" s="4322" t="n"/>
      <c r="BP124" s="4322" t="n"/>
      <c r="BQ124" s="4315" t="n"/>
      <c r="BR124" s="4328" t="n"/>
      <c r="BT124" s="4315" t="n"/>
      <c r="BU124" s="4315" t="n"/>
    </row>
    <row r="125" ht="12" customFormat="1" customHeight="1" s="4315">
      <c r="A125" s="4316" t="n"/>
      <c r="B125" s="4317" t="n"/>
      <c r="C125" s="4318" t="inlineStr">
        <is>
          <t>[Redacted]</t>
        </is>
      </c>
      <c r="D125" s="4319" t="n">
        <v>11192</v>
      </c>
      <c r="E125" s="4320" t="n"/>
      <c r="F125" s="4320" t="n"/>
      <c r="G125" s="4320" t="n"/>
      <c r="H125" s="4320" t="n"/>
      <c r="I125" s="4321" t="inlineStr">
        <is>
          <t>M</t>
        </is>
      </c>
      <c r="J125" s="4322" t="n"/>
      <c r="K125" s="4322" t="n"/>
      <c r="L125" s="4322" t="n"/>
      <c r="M125" s="4323" t="n"/>
      <c r="N125" s="4323" t="n"/>
      <c r="O125" s="4315" t="n"/>
      <c r="P125" s="4324" t="n"/>
      <c r="Q125" s="4324" t="n"/>
      <c r="R125" s="4324" t="n"/>
      <c r="S125" s="4324" t="n"/>
      <c r="T125" s="4324" t="n"/>
      <c r="U125" s="4315" t="n"/>
      <c r="V125" s="4322" t="n"/>
      <c r="W125" s="4322" t="n"/>
      <c r="X125" s="4322" t="n"/>
      <c r="Y125" s="4322" t="n"/>
      <c r="Z125" s="4322" t="n"/>
      <c r="AA125" s="4322" t="n"/>
      <c r="AB125" s="4322" t="n"/>
      <c r="AC125" s="4322" t="n"/>
      <c r="AD125" s="4322" t="n"/>
      <c r="AE125" s="4322" t="n"/>
      <c r="AF125" s="4322" t="n"/>
      <c r="AG125" s="4326" t="n"/>
      <c r="AH125" s="4322" t="n"/>
      <c r="AI125" s="4322" t="n"/>
      <c r="AJ125" s="4322" t="n"/>
      <c r="AK125" s="4322" t="n"/>
      <c r="AL125" s="4322" t="n"/>
      <c r="AM125" s="4322" t="n"/>
      <c r="AN125" s="4322" t="n"/>
      <c r="AO125" s="4322" t="n"/>
      <c r="AP125" s="4322" t="n"/>
      <c r="AQ125" s="4322" t="n"/>
      <c r="AR125" s="4322" t="n"/>
      <c r="AS125" s="4326" t="n"/>
      <c r="AT125" s="4322" t="n"/>
      <c r="AU125" s="4322" t="n"/>
      <c r="AV125" s="4322" t="n"/>
      <c r="AW125" s="4322" t="n"/>
      <c r="AX125" s="4322" t="n"/>
      <c r="AY125" s="4322" t="n"/>
      <c r="AZ125" s="4322" t="n"/>
      <c r="BA125" s="4322" t="n"/>
      <c r="BB125" s="4322" t="n"/>
      <c r="BC125" s="4322" t="n"/>
      <c r="BD125" s="4322" t="n"/>
      <c r="BE125" s="4326" t="n"/>
      <c r="BF125" s="4322" t="n"/>
      <c r="BG125" s="4322" t="n"/>
      <c r="BH125" s="4322" t="n"/>
      <c r="BI125" s="4322" t="n"/>
      <c r="BJ125" s="4322" t="n"/>
      <c r="BK125" s="4327" t="n"/>
      <c r="BL125" s="4322" t="n"/>
      <c r="BM125" s="4322" t="n"/>
      <c r="BN125" s="4322" t="n"/>
      <c r="BO125" s="4322" t="n"/>
      <c r="BP125" s="4322" t="n"/>
      <c r="BQ125" s="4315" t="n"/>
      <c r="BR125" s="4328" t="n"/>
      <c r="BT125" s="4315" t="n"/>
      <c r="BU125" s="4315" t="n"/>
    </row>
    <row r="126" ht="12" customFormat="1" customHeight="1" s="4315">
      <c r="A126" s="4316" t="n"/>
      <c r="B126" s="4317" t="n"/>
      <c r="C126" s="4318" t="inlineStr">
        <is>
          <t>[Redacted]</t>
        </is>
      </c>
      <c r="D126" s="4319" t="n">
        <v>11388</v>
      </c>
      <c r="E126" s="4320" t="n"/>
      <c r="F126" s="4320" t="n"/>
      <c r="G126" s="4320" t="n"/>
      <c r="H126" s="4320" t="n"/>
      <c r="I126" s="4321" t="inlineStr">
        <is>
          <t>F</t>
        </is>
      </c>
      <c r="J126" s="4322" t="n"/>
      <c r="K126" s="4322" t="n"/>
      <c r="L126" s="4322" t="n"/>
      <c r="M126" s="4323" t="n"/>
      <c r="N126" s="4323" t="n"/>
      <c r="O126" s="4315" t="n"/>
      <c r="P126" s="4324" t="n"/>
      <c r="Q126" s="4324" t="n"/>
      <c r="R126" s="4324" t="n"/>
      <c r="S126" s="4325" t="n"/>
      <c r="T126" s="4325" t="n"/>
      <c r="U126" s="4315" t="n"/>
      <c r="V126" s="4322" t="n"/>
      <c r="W126" s="4322" t="n"/>
      <c r="X126" s="4322" t="n"/>
      <c r="Y126" s="4322" t="n"/>
      <c r="Z126" s="4322" t="n"/>
      <c r="AA126" s="4322" t="n"/>
      <c r="AB126" s="4322" t="n"/>
      <c r="AC126" s="4322" t="n"/>
      <c r="AD126" s="4322" t="n"/>
      <c r="AE126" s="4322" t="n"/>
      <c r="AF126" s="4322" t="n"/>
      <c r="AG126" s="4326" t="n"/>
      <c r="AH126" s="4322" t="n"/>
      <c r="AI126" s="4322" t="n"/>
      <c r="AJ126" s="4322" t="n"/>
      <c r="AK126" s="4322" t="n"/>
      <c r="AL126" s="4322" t="n"/>
      <c r="AM126" s="4322" t="n"/>
      <c r="AN126" s="4322" t="n"/>
      <c r="AO126" s="4322" t="n"/>
      <c r="AP126" s="4322" t="n"/>
      <c r="AQ126" s="4322" t="n"/>
      <c r="AR126" s="4322" t="n"/>
      <c r="AS126" s="4326" t="n"/>
      <c r="AT126" s="4322" t="n"/>
      <c r="AU126" s="4322" t="n"/>
      <c r="AV126" s="4322" t="n"/>
      <c r="AW126" s="4322" t="n"/>
      <c r="AX126" s="4322" t="n"/>
      <c r="AY126" s="4322" t="n"/>
      <c r="AZ126" s="4322" t="n"/>
      <c r="BA126" s="4322" t="n"/>
      <c r="BB126" s="4322" t="n"/>
      <c r="BC126" s="4322" t="n"/>
      <c r="BD126" s="4322" t="n"/>
      <c r="BE126" s="4326" t="n"/>
      <c r="BF126" s="4322" t="n"/>
      <c r="BG126" s="4322" t="n"/>
      <c r="BH126" s="4322" t="n"/>
      <c r="BI126" s="4322" t="n"/>
      <c r="BJ126" s="4322" t="n"/>
      <c r="BK126" s="4327" t="n"/>
      <c r="BL126" s="4322" t="n"/>
      <c r="BM126" s="4322" t="n"/>
      <c r="BN126" s="4322" t="n"/>
      <c r="BO126" s="4322" t="n"/>
      <c r="BP126" s="4322" t="n"/>
      <c r="BQ126" s="4315" t="n"/>
      <c r="BR126" s="4328" t="n"/>
      <c r="BT126" s="4315" t="n"/>
      <c r="BU126" s="4315" t="n"/>
    </row>
    <row r="127" ht="12" customFormat="1" customHeight="1" s="4315">
      <c r="A127" s="4316" t="n"/>
      <c r="B127" s="4317" t="n"/>
      <c r="C127" s="4318" t="inlineStr">
        <is>
          <t>[Redacted]</t>
        </is>
      </c>
      <c r="D127" s="4319" t="n">
        <v>11372</v>
      </c>
      <c r="E127" s="4320" t="n"/>
      <c r="F127" s="4320" t="n"/>
      <c r="G127" s="4320" t="n"/>
      <c r="H127" s="4320" t="n"/>
      <c r="I127" s="4321" t="inlineStr">
        <is>
          <t>F</t>
        </is>
      </c>
      <c r="J127" s="4322" t="n"/>
      <c r="K127" s="4322" t="n"/>
      <c r="L127" s="4322" t="n"/>
      <c r="M127" s="4323" t="n"/>
      <c r="N127" s="4323" t="n"/>
      <c r="O127" s="4315" t="n"/>
      <c r="P127" s="4324" t="n"/>
      <c r="Q127" s="4324" t="n"/>
      <c r="R127" s="4324" t="n"/>
      <c r="S127" s="4324" t="n"/>
      <c r="T127" s="4324" t="n"/>
      <c r="U127" s="4315" t="n"/>
      <c r="V127" s="4322" t="n"/>
      <c r="W127" s="4322" t="n"/>
      <c r="X127" s="4322" t="n"/>
      <c r="Y127" s="4322" t="n"/>
      <c r="Z127" s="4322" t="n"/>
      <c r="AA127" s="4322" t="n"/>
      <c r="AB127" s="4322" t="n"/>
      <c r="AC127" s="4322" t="n"/>
      <c r="AD127" s="4322" t="n"/>
      <c r="AE127" s="4322" t="n"/>
      <c r="AF127" s="4322" t="n"/>
      <c r="AG127" s="4326" t="n"/>
      <c r="AH127" s="4322" t="n"/>
      <c r="AI127" s="4322" t="n"/>
      <c r="AJ127" s="4322" t="n"/>
      <c r="AK127" s="4322" t="n"/>
      <c r="AL127" s="4322" t="n"/>
      <c r="AM127" s="4322" t="n"/>
      <c r="AN127" s="4322" t="n"/>
      <c r="AO127" s="4322" t="n"/>
      <c r="AP127" s="4322" t="n"/>
      <c r="AQ127" s="4322" t="n"/>
      <c r="AR127" s="4322" t="n"/>
      <c r="AS127" s="4326" t="n"/>
      <c r="AT127" s="4322" t="n"/>
      <c r="AU127" s="4322" t="n"/>
      <c r="AV127" s="4322" t="n"/>
      <c r="AW127" s="4322" t="n"/>
      <c r="AX127" s="4322" t="n"/>
      <c r="AY127" s="4322" t="n"/>
      <c r="AZ127" s="4322" t="n"/>
      <c r="BA127" s="4322" t="n"/>
      <c r="BB127" s="4322" t="n"/>
      <c r="BC127" s="4322" t="n"/>
      <c r="BD127" s="4322" t="n"/>
      <c r="BE127" s="4326" t="n"/>
      <c r="BF127" s="4322" t="n"/>
      <c r="BG127" s="4322" t="n"/>
      <c r="BH127" s="4322" t="n"/>
      <c r="BI127" s="4322" t="n"/>
      <c r="BJ127" s="4322" t="n"/>
      <c r="BK127" s="4327" t="n"/>
      <c r="BL127" s="4322" t="n"/>
      <c r="BM127" s="4322" t="n"/>
      <c r="BN127" s="4322" t="n"/>
      <c r="BO127" s="4322" t="n"/>
      <c r="BP127" s="4322" t="n"/>
      <c r="BQ127" s="4315" t="n"/>
      <c r="BR127" s="4328" t="n"/>
      <c r="BT127" s="4315" t="n"/>
      <c r="BU127" s="4315" t="n"/>
    </row>
    <row r="128" ht="12" customFormat="1" customHeight="1" s="4315">
      <c r="A128" s="4316" t="n"/>
      <c r="B128" s="4317" t="n"/>
      <c r="C128" s="4330" t="inlineStr">
        <is>
          <t>[Redacted]</t>
        </is>
      </c>
      <c r="D128" s="4319" t="n">
        <v>11243</v>
      </c>
      <c r="E128" s="4320" t="n"/>
      <c r="F128" s="4320" t="n"/>
      <c r="G128" s="4320" t="n"/>
      <c r="H128" s="4320" t="n"/>
      <c r="I128" s="4321" t="inlineStr">
        <is>
          <t>M</t>
        </is>
      </c>
      <c r="J128" s="4322" t="n"/>
      <c r="K128" s="4322" t="n"/>
      <c r="L128" s="4322" t="n"/>
      <c r="M128" s="4323" t="n"/>
      <c r="N128" s="4323" t="n"/>
      <c r="O128" s="4315" t="n"/>
      <c r="P128" s="4324" t="n"/>
      <c r="Q128" s="4324" t="n"/>
      <c r="R128" s="4324" t="n"/>
      <c r="S128" s="4325" t="n"/>
      <c r="T128" s="4325" t="n"/>
      <c r="U128" s="4315" t="n"/>
      <c r="V128" s="4322" t="n"/>
      <c r="W128" s="4322" t="n"/>
      <c r="X128" s="4322" t="n"/>
      <c r="Y128" s="4322" t="n"/>
      <c r="Z128" s="4322" t="n"/>
      <c r="AA128" s="4322" t="n"/>
      <c r="AB128" s="4322" t="n"/>
      <c r="AC128" s="4322" t="n"/>
      <c r="AD128" s="4322" t="n"/>
      <c r="AE128" s="4322" t="n"/>
      <c r="AF128" s="4322" t="n"/>
      <c r="AG128" s="4326" t="n"/>
      <c r="AH128" s="4322" t="n"/>
      <c r="AI128" s="4322" t="n"/>
      <c r="AJ128" s="4322" t="n"/>
      <c r="AK128" s="4322" t="n"/>
      <c r="AL128" s="4322" t="n"/>
      <c r="AM128" s="4322" t="n"/>
      <c r="AN128" s="4322" t="n"/>
      <c r="AO128" s="4322" t="n"/>
      <c r="AP128" s="4322" t="n"/>
      <c r="AQ128" s="4322" t="n"/>
      <c r="AR128" s="4322" t="n"/>
      <c r="AS128" s="4326" t="n"/>
      <c r="AT128" s="4322" t="n"/>
      <c r="AU128" s="4322" t="n"/>
      <c r="AV128" s="4322" t="n"/>
      <c r="AW128" s="4322" t="n"/>
      <c r="AX128" s="4322" t="n"/>
      <c r="AY128" s="4322" t="n"/>
      <c r="AZ128" s="4322" t="n"/>
      <c r="BA128" s="4322" t="n"/>
      <c r="BB128" s="4322" t="n"/>
      <c r="BC128" s="4322" t="n"/>
      <c r="BD128" s="4322" t="n"/>
      <c r="BE128" s="4326" t="n"/>
      <c r="BF128" s="4322" t="n"/>
      <c r="BG128" s="4322" t="n"/>
      <c r="BH128" s="4322" t="n"/>
      <c r="BI128" s="4322" t="n"/>
      <c r="BJ128" s="4322" t="n"/>
      <c r="BK128" s="4327" t="n"/>
      <c r="BL128" s="4322" t="n"/>
      <c r="BM128" s="4322" t="n"/>
      <c r="BN128" s="4322" t="n"/>
      <c r="BO128" s="4322" t="n"/>
      <c r="BP128" s="4322" t="n"/>
      <c r="BQ128" s="4315" t="n"/>
      <c r="BR128" s="4328" t="inlineStr">
        <is>
          <t>&gt;&gt;This employee is terminated in Jan-24 but included in May-24 headcount source.</t>
        </is>
      </c>
      <c r="BT128" s="4315" t="n"/>
      <c r="BU128" s="4315" t="n"/>
    </row>
    <row r="129" ht="12" customFormat="1" customHeight="1" s="4315">
      <c r="A129" s="4316" t="n"/>
      <c r="B129" s="4317" t="n"/>
      <c r="C129" s="4318" t="inlineStr">
        <is>
          <t>[Redacted]</t>
        </is>
      </c>
      <c r="D129" s="4319" t="n">
        <v>11387</v>
      </c>
      <c r="E129" s="4320" t="n"/>
      <c r="F129" s="4320" t="n"/>
      <c r="G129" s="4320" t="n"/>
      <c r="H129" s="4320" t="n"/>
      <c r="I129" s="4321" t="inlineStr">
        <is>
          <t>M</t>
        </is>
      </c>
      <c r="J129" s="4322" t="n"/>
      <c r="K129" s="4322" t="n"/>
      <c r="L129" s="4322" t="n"/>
      <c r="M129" s="4323" t="n"/>
      <c r="N129" s="4323" t="n"/>
      <c r="O129" s="4315" t="n"/>
      <c r="P129" s="4324" t="n"/>
      <c r="Q129" s="4324" t="n"/>
      <c r="R129" s="4324" t="n"/>
      <c r="S129" s="4325" t="n"/>
      <c r="T129" s="4325" t="n"/>
      <c r="U129" s="4315" t="n"/>
      <c r="V129" s="4322" t="n"/>
      <c r="W129" s="4322" t="n"/>
      <c r="X129" s="4322" t="n"/>
      <c r="Y129" s="4322" t="n"/>
      <c r="Z129" s="4322" t="n"/>
      <c r="AA129" s="4322" t="n"/>
      <c r="AB129" s="4322" t="n"/>
      <c r="AC129" s="4322" t="n"/>
      <c r="AD129" s="4322" t="n"/>
      <c r="AE129" s="4322" t="n"/>
      <c r="AF129" s="4322" t="n"/>
      <c r="AG129" s="4326" t="n"/>
      <c r="AH129" s="4322" t="n"/>
      <c r="AI129" s="4322" t="n"/>
      <c r="AJ129" s="4322" t="n"/>
      <c r="AK129" s="4322" t="n"/>
      <c r="AL129" s="4322" t="n"/>
      <c r="AM129" s="4322" t="n"/>
      <c r="AN129" s="4322" t="n"/>
      <c r="AO129" s="4322" t="n"/>
      <c r="AP129" s="4322" t="n"/>
      <c r="AQ129" s="4322" t="n"/>
      <c r="AR129" s="4322" t="n"/>
      <c r="AS129" s="4326" t="n"/>
      <c r="AT129" s="4322" t="n"/>
      <c r="AU129" s="4322" t="n"/>
      <c r="AV129" s="4322" t="n"/>
      <c r="AW129" s="4322" t="n"/>
      <c r="AX129" s="4322" t="n"/>
      <c r="AY129" s="4322" t="n"/>
      <c r="AZ129" s="4322" t="n"/>
      <c r="BA129" s="4322" t="n"/>
      <c r="BB129" s="4322" t="n"/>
      <c r="BC129" s="4322" t="n"/>
      <c r="BD129" s="4322" t="n"/>
      <c r="BE129" s="4326" t="n"/>
      <c r="BF129" s="4322" t="n"/>
      <c r="BG129" s="4322" t="n"/>
      <c r="BH129" s="4322" t="n"/>
      <c r="BI129" s="4322" t="n"/>
      <c r="BJ129" s="4322" t="n"/>
      <c r="BK129" s="4327" t="n"/>
      <c r="BL129" s="4322" t="n"/>
      <c r="BM129" s="4322" t="n"/>
      <c r="BN129" s="4322" t="n"/>
      <c r="BO129" s="4322" t="n"/>
      <c r="BP129" s="4322" t="n"/>
      <c r="BQ129" s="4315" t="n"/>
      <c r="BR129" s="4328" t="n"/>
      <c r="BT129" s="4315" t="n"/>
      <c r="BU129" s="4315" t="n"/>
    </row>
    <row r="130" ht="12" customFormat="1" customHeight="1" s="4315">
      <c r="A130" s="4316" t="n"/>
      <c r="B130" s="4317" t="n"/>
      <c r="C130" s="4318" t="inlineStr">
        <is>
          <t>[Redacted]</t>
        </is>
      </c>
      <c r="D130" s="4319" t="n">
        <v>11377</v>
      </c>
      <c r="E130" s="4320" t="n"/>
      <c r="F130" s="4320" t="n"/>
      <c r="G130" s="4320" t="n"/>
      <c r="H130" s="4320" t="n"/>
      <c r="I130" s="4321" t="inlineStr">
        <is>
          <t>M</t>
        </is>
      </c>
      <c r="J130" s="4322" t="n"/>
      <c r="K130" s="4322" t="n"/>
      <c r="L130" s="4322" t="n"/>
      <c r="M130" s="4323" t="n"/>
      <c r="N130" s="4323" t="n"/>
      <c r="O130" s="4315" t="n"/>
      <c r="P130" s="4324" t="n"/>
      <c r="Q130" s="4324" t="n"/>
      <c r="R130" s="4324" t="n"/>
      <c r="S130" s="4325" t="n"/>
      <c r="T130" s="4325" t="n"/>
      <c r="U130" s="4315" t="n"/>
      <c r="V130" s="4322" t="n"/>
      <c r="W130" s="4322" t="n"/>
      <c r="X130" s="4322" t="n"/>
      <c r="Y130" s="4322" t="n"/>
      <c r="Z130" s="4322" t="n"/>
      <c r="AA130" s="4322" t="n"/>
      <c r="AB130" s="4322" t="n"/>
      <c r="AC130" s="4322" t="n"/>
      <c r="AD130" s="4322" t="n"/>
      <c r="AE130" s="4322" t="n"/>
      <c r="AF130" s="4322" t="n"/>
      <c r="AG130" s="4326" t="n"/>
      <c r="AH130" s="4322" t="n"/>
      <c r="AI130" s="4322" t="n"/>
      <c r="AJ130" s="4322" t="n"/>
      <c r="AK130" s="4322" t="n"/>
      <c r="AL130" s="4322" t="n"/>
      <c r="AM130" s="4322" t="n"/>
      <c r="AN130" s="4322" t="n"/>
      <c r="AO130" s="4322" t="n"/>
      <c r="AP130" s="4322" t="n"/>
      <c r="AQ130" s="4322" t="n"/>
      <c r="AR130" s="4322" t="n"/>
      <c r="AS130" s="4326" t="n"/>
      <c r="AT130" s="4322" t="n"/>
      <c r="AU130" s="4322" t="n"/>
      <c r="AV130" s="4322" t="n"/>
      <c r="AW130" s="4322" t="n"/>
      <c r="AX130" s="4322" t="n"/>
      <c r="AY130" s="4322" t="n"/>
      <c r="AZ130" s="4322" t="n"/>
      <c r="BA130" s="4322" t="n"/>
      <c r="BB130" s="4322" t="n"/>
      <c r="BC130" s="4322" t="n"/>
      <c r="BD130" s="4322" t="n"/>
      <c r="BE130" s="4326" t="n"/>
      <c r="BF130" s="4322" t="n"/>
      <c r="BG130" s="4322" t="n"/>
      <c r="BH130" s="4322" t="n"/>
      <c r="BI130" s="4322" t="n"/>
      <c r="BJ130" s="4322" t="n"/>
      <c r="BK130" s="4327" t="n"/>
      <c r="BL130" s="4322" t="n"/>
      <c r="BM130" s="4322" t="n"/>
      <c r="BN130" s="4322" t="n"/>
      <c r="BO130" s="4322" t="n"/>
      <c r="BP130" s="4322" t="n"/>
      <c r="BQ130" s="4315" t="n"/>
      <c r="BR130" s="4328" t="n"/>
      <c r="BT130" s="4315" t="n"/>
      <c r="BU130" s="4315" t="n"/>
    </row>
    <row r="131" ht="12" customFormat="1" customHeight="1" s="4315">
      <c r="A131" s="4316" t="n"/>
      <c r="B131" s="4317" t="n"/>
      <c r="C131" s="4318" t="inlineStr">
        <is>
          <t>[Redacted]</t>
        </is>
      </c>
      <c r="D131" s="4319" t="n">
        <v>11382</v>
      </c>
      <c r="E131" s="4320" t="n"/>
      <c r="F131" s="4320" t="n"/>
      <c r="G131" s="4320" t="n"/>
      <c r="H131" s="4320" t="n"/>
      <c r="I131" s="4321" t="inlineStr">
        <is>
          <t>M</t>
        </is>
      </c>
      <c r="J131" s="4322" t="n"/>
      <c r="K131" s="4322" t="n"/>
      <c r="L131" s="4322" t="n"/>
      <c r="M131" s="4323" t="n"/>
      <c r="N131" s="4323" t="n"/>
      <c r="O131" s="4315" t="n"/>
      <c r="P131" s="4324" t="n"/>
      <c r="Q131" s="4324" t="n"/>
      <c r="R131" s="4324" t="n"/>
      <c r="S131" s="4325" t="n"/>
      <c r="T131" s="4325" t="n"/>
      <c r="U131" s="4315" t="n"/>
      <c r="V131" s="4322" t="n"/>
      <c r="W131" s="4322" t="n"/>
      <c r="X131" s="4322" t="n"/>
      <c r="Y131" s="4322" t="n"/>
      <c r="Z131" s="4322" t="n"/>
      <c r="AA131" s="4322" t="n"/>
      <c r="AB131" s="4322" t="n"/>
      <c r="AC131" s="4322" t="n"/>
      <c r="AD131" s="4322" t="n"/>
      <c r="AE131" s="4322" t="n"/>
      <c r="AF131" s="4322" t="n"/>
      <c r="AG131" s="4326" t="n"/>
      <c r="AH131" s="4322" t="n"/>
      <c r="AI131" s="4322" t="n"/>
      <c r="AJ131" s="4322" t="n"/>
      <c r="AK131" s="4322" t="n"/>
      <c r="AL131" s="4322" t="n"/>
      <c r="AM131" s="4322" t="n"/>
      <c r="AN131" s="4322" t="n"/>
      <c r="AO131" s="4322" t="n"/>
      <c r="AP131" s="4322" t="n"/>
      <c r="AQ131" s="4322" t="n"/>
      <c r="AR131" s="4322" t="n"/>
      <c r="AS131" s="4326" t="n"/>
      <c r="AT131" s="4322" t="n"/>
      <c r="AU131" s="4322" t="n"/>
      <c r="AV131" s="4322" t="n"/>
      <c r="AW131" s="4322" t="n"/>
      <c r="AX131" s="4322" t="n"/>
      <c r="AY131" s="4322" t="n"/>
      <c r="AZ131" s="4322" t="n"/>
      <c r="BA131" s="4322" t="n"/>
      <c r="BB131" s="4322" t="n"/>
      <c r="BC131" s="4322" t="n"/>
      <c r="BD131" s="4322" t="n"/>
      <c r="BE131" s="4326" t="n"/>
      <c r="BF131" s="4322" t="n"/>
      <c r="BG131" s="4322" t="n"/>
      <c r="BH131" s="4322" t="n"/>
      <c r="BI131" s="4322" t="n"/>
      <c r="BJ131" s="4322" t="n"/>
      <c r="BK131" s="4327" t="n"/>
      <c r="BL131" s="4322" t="n"/>
      <c r="BM131" s="4322" t="n"/>
      <c r="BN131" s="4322" t="n"/>
      <c r="BO131" s="4322" t="n"/>
      <c r="BP131" s="4322" t="n"/>
      <c r="BQ131" s="4315" t="n"/>
      <c r="BR131" s="4328" t="n"/>
      <c r="BT131" s="4315" t="n"/>
      <c r="BU131" s="4315" t="n"/>
    </row>
    <row r="132" ht="12" customFormat="1" customHeight="1" s="4315">
      <c r="A132" s="4316" t="n"/>
      <c r="B132" s="4317" t="n"/>
      <c r="C132" s="4318" t="inlineStr">
        <is>
          <t>[Redacted]</t>
        </is>
      </c>
      <c r="D132" s="4319" t="n">
        <v>11385</v>
      </c>
      <c r="E132" s="4320" t="n"/>
      <c r="F132" s="4320" t="n"/>
      <c r="G132" s="4320" t="n"/>
      <c r="H132" s="4320" t="n"/>
      <c r="I132" s="4321" t="inlineStr">
        <is>
          <t>F</t>
        </is>
      </c>
      <c r="J132" s="4322" t="n"/>
      <c r="K132" s="4322" t="n"/>
      <c r="L132" s="4322" t="n"/>
      <c r="M132" s="4323" t="n"/>
      <c r="N132" s="4323" t="n"/>
      <c r="O132" s="4315" t="n"/>
      <c r="P132" s="4324" t="n"/>
      <c r="Q132" s="4324" t="n"/>
      <c r="R132" s="4324" t="n"/>
      <c r="S132" s="4325" t="n"/>
      <c r="T132" s="4325" t="n"/>
      <c r="U132" s="4315" t="n"/>
      <c r="V132" s="4322" t="n"/>
      <c r="W132" s="4322" t="n"/>
      <c r="X132" s="4322" t="n"/>
      <c r="Y132" s="4322" t="n"/>
      <c r="Z132" s="4322" t="n"/>
      <c r="AA132" s="4322" t="n"/>
      <c r="AB132" s="4322" t="n"/>
      <c r="AC132" s="4322" t="n"/>
      <c r="AD132" s="4322" t="n"/>
      <c r="AE132" s="4322" t="n"/>
      <c r="AF132" s="4322" t="n"/>
      <c r="AG132" s="4326" t="n"/>
      <c r="AH132" s="4322" t="n"/>
      <c r="AI132" s="4322" t="n"/>
      <c r="AJ132" s="4322" t="n"/>
      <c r="AK132" s="4322" t="n"/>
      <c r="AL132" s="4322" t="n"/>
      <c r="AM132" s="4322" t="n"/>
      <c r="AN132" s="4322" t="n"/>
      <c r="AO132" s="4322" t="n"/>
      <c r="AP132" s="4322" t="n"/>
      <c r="AQ132" s="4322" t="n"/>
      <c r="AR132" s="4322" t="n"/>
      <c r="AS132" s="4326" t="n"/>
      <c r="AT132" s="4322" t="n"/>
      <c r="AU132" s="4322" t="n"/>
      <c r="AV132" s="4322" t="n"/>
      <c r="AW132" s="4322" t="n"/>
      <c r="AX132" s="4322" t="n"/>
      <c r="AY132" s="4322" t="n"/>
      <c r="AZ132" s="4322" t="n"/>
      <c r="BA132" s="4322" t="n"/>
      <c r="BB132" s="4322" t="n"/>
      <c r="BC132" s="4322" t="n"/>
      <c r="BD132" s="4322" t="n"/>
      <c r="BE132" s="4326" t="n"/>
      <c r="BF132" s="4322" t="n"/>
      <c r="BG132" s="4322" t="n"/>
      <c r="BH132" s="4322" t="n"/>
      <c r="BI132" s="4322" t="n"/>
      <c r="BJ132" s="4322" t="n"/>
      <c r="BK132" s="4327" t="n"/>
      <c r="BL132" s="4322" t="n"/>
      <c r="BM132" s="4322" t="n"/>
      <c r="BN132" s="4322" t="n"/>
      <c r="BO132" s="4322" t="n"/>
      <c r="BP132" s="4322" t="n"/>
      <c r="BQ132" s="4315" t="n"/>
      <c r="BR132" s="4328" t="n"/>
      <c r="BT132" s="4315" t="n"/>
      <c r="BU132" s="4315" t="n"/>
    </row>
    <row r="133" ht="12" customFormat="1" customHeight="1" s="4315">
      <c r="A133" s="4316" t="n"/>
      <c r="B133" s="4317" t="n"/>
      <c r="C133" s="4318" t="inlineStr">
        <is>
          <t>[Redacted]</t>
        </is>
      </c>
      <c r="D133" s="4319" t="n">
        <v>11384</v>
      </c>
      <c r="E133" s="4320" t="n"/>
      <c r="F133" s="4320" t="n"/>
      <c r="G133" s="4320" t="n"/>
      <c r="H133" s="4320" t="n"/>
      <c r="I133" s="4321" t="inlineStr">
        <is>
          <t>F</t>
        </is>
      </c>
      <c r="J133" s="4322" t="n"/>
      <c r="K133" s="4322" t="n"/>
      <c r="L133" s="4322" t="n"/>
      <c r="M133" s="4323" t="n"/>
      <c r="N133" s="4323" t="n"/>
      <c r="O133" s="4315" t="n"/>
      <c r="P133" s="4324" t="n"/>
      <c r="Q133" s="4324" t="n"/>
      <c r="R133" s="4324" t="n"/>
      <c r="S133" s="4325" t="n"/>
      <c r="T133" s="4325" t="n"/>
      <c r="U133" s="4315" t="n"/>
      <c r="V133" s="4322" t="n"/>
      <c r="W133" s="4322" t="n"/>
      <c r="X133" s="4322" t="n"/>
      <c r="Y133" s="4322" t="n"/>
      <c r="Z133" s="4322" t="n"/>
      <c r="AA133" s="4322" t="n"/>
      <c r="AB133" s="4322" t="n"/>
      <c r="AC133" s="4322" t="n"/>
      <c r="AD133" s="4322" t="n"/>
      <c r="AE133" s="4322" t="n"/>
      <c r="AF133" s="4322" t="n"/>
      <c r="AG133" s="4326" t="n"/>
      <c r="AH133" s="4322" t="n"/>
      <c r="AI133" s="4322" t="n"/>
      <c r="AJ133" s="4322" t="n"/>
      <c r="AK133" s="4322" t="n"/>
      <c r="AL133" s="4322" t="n"/>
      <c r="AM133" s="4322" t="n"/>
      <c r="AN133" s="4322" t="n"/>
      <c r="AO133" s="4322" t="n"/>
      <c r="AP133" s="4322" t="n"/>
      <c r="AQ133" s="4322" t="n"/>
      <c r="AR133" s="4322" t="n"/>
      <c r="AS133" s="4326" t="n"/>
      <c r="AT133" s="4322" t="n"/>
      <c r="AU133" s="4322" t="n"/>
      <c r="AV133" s="4322" t="n"/>
      <c r="AW133" s="4322" t="n"/>
      <c r="AX133" s="4322" t="n"/>
      <c r="AY133" s="4322" t="n"/>
      <c r="AZ133" s="4322" t="n"/>
      <c r="BA133" s="4322" t="n"/>
      <c r="BB133" s="4322" t="n"/>
      <c r="BC133" s="4322" t="n"/>
      <c r="BD133" s="4322" t="n"/>
      <c r="BE133" s="4326" t="n"/>
      <c r="BF133" s="4322" t="n"/>
      <c r="BG133" s="4322" t="n"/>
      <c r="BH133" s="4322" t="n"/>
      <c r="BI133" s="4322" t="n"/>
      <c r="BJ133" s="4322" t="n"/>
      <c r="BK133" s="4327" t="n"/>
      <c r="BL133" s="4322" t="n"/>
      <c r="BM133" s="4322" t="n"/>
      <c r="BN133" s="4322" t="n"/>
      <c r="BO133" s="4322" t="n"/>
      <c r="BP133" s="4322" t="n"/>
      <c r="BQ133" s="4315" t="n"/>
      <c r="BR133" s="4328" t="n"/>
      <c r="BT133" s="4315" t="n"/>
      <c r="BU133" s="4315" t="n"/>
    </row>
    <row r="134" ht="12" customFormat="1" customHeight="1" s="4315">
      <c r="A134" s="4316" t="n"/>
      <c r="B134" s="4317" t="n"/>
      <c r="C134" s="4318" t="inlineStr">
        <is>
          <t>[Redacted]</t>
        </is>
      </c>
      <c r="D134" s="4319" t="n">
        <v>11325</v>
      </c>
      <c r="E134" s="4320" t="n"/>
      <c r="F134" s="4320" t="n"/>
      <c r="G134" s="4320" t="n"/>
      <c r="H134" s="4320" t="n"/>
      <c r="I134" s="4321" t="inlineStr">
        <is>
          <t>M</t>
        </is>
      </c>
      <c r="J134" s="4322" t="n"/>
      <c r="K134" s="4322" t="n"/>
      <c r="L134" s="4322" t="n"/>
      <c r="M134" s="4323" t="n"/>
      <c r="N134" s="4323" t="n"/>
      <c r="O134" s="4315" t="n"/>
      <c r="P134" s="4324" t="n"/>
      <c r="Q134" s="4324" t="n"/>
      <c r="R134" s="4324" t="n"/>
      <c r="S134" s="4324" t="n"/>
      <c r="T134" s="4324" t="n"/>
      <c r="U134" s="4315" t="n"/>
      <c r="V134" s="4322" t="n"/>
      <c r="W134" s="4322" t="n"/>
      <c r="X134" s="4322" t="n"/>
      <c r="Y134" s="4322" t="n"/>
      <c r="Z134" s="4322" t="n"/>
      <c r="AA134" s="4322" t="n"/>
      <c r="AB134" s="4322" t="n"/>
      <c r="AC134" s="4322" t="n"/>
      <c r="AD134" s="4322" t="n"/>
      <c r="AE134" s="4322" t="n"/>
      <c r="AF134" s="4322" t="n"/>
      <c r="AG134" s="4326" t="n"/>
      <c r="AH134" s="4322" t="n"/>
      <c r="AI134" s="4322" t="n"/>
      <c r="AJ134" s="4322" t="n"/>
      <c r="AK134" s="4322" t="n"/>
      <c r="AL134" s="4322" t="n"/>
      <c r="AM134" s="4322" t="n"/>
      <c r="AN134" s="4322" t="n"/>
      <c r="AO134" s="4322" t="n"/>
      <c r="AP134" s="4322" t="n"/>
      <c r="AQ134" s="4322" t="n"/>
      <c r="AR134" s="4322" t="n"/>
      <c r="AS134" s="4326" t="n"/>
      <c r="AT134" s="4322" t="n"/>
      <c r="AU134" s="4322" t="n"/>
      <c r="AV134" s="4322" t="n"/>
      <c r="AW134" s="4322" t="n"/>
      <c r="AX134" s="4322" t="n"/>
      <c r="AY134" s="4322" t="n"/>
      <c r="AZ134" s="4322" t="n"/>
      <c r="BA134" s="4322" t="n"/>
      <c r="BB134" s="4322" t="n"/>
      <c r="BC134" s="4322" t="n"/>
      <c r="BD134" s="4322" t="n"/>
      <c r="BE134" s="4326" t="n"/>
      <c r="BF134" s="4322" t="n"/>
      <c r="BG134" s="4322" t="n"/>
      <c r="BH134" s="4322" t="n"/>
      <c r="BI134" s="4322" t="n"/>
      <c r="BJ134" s="4322" t="n"/>
      <c r="BK134" s="4327" t="n"/>
      <c r="BL134" s="4322" t="n"/>
      <c r="BM134" s="4322" t="n"/>
      <c r="BN134" s="4322" t="n"/>
      <c r="BO134" s="4322" t="n"/>
      <c r="BP134" s="4322" t="n"/>
      <c r="BQ134" s="4315" t="n"/>
      <c r="BR134" s="4328" t="n"/>
      <c r="BT134" s="4315" t="n"/>
      <c r="BU134" s="4315" t="n"/>
    </row>
    <row r="135" ht="12" customFormat="1" customHeight="1" s="4315">
      <c r="A135" s="4316" t="n"/>
      <c r="B135" s="4317" t="n"/>
      <c r="C135" s="4318" t="inlineStr">
        <is>
          <t>[Redacted]</t>
        </is>
      </c>
      <c r="D135" s="4319" t="n">
        <v>11167</v>
      </c>
      <c r="E135" s="4320" t="n"/>
      <c r="F135" s="4320" t="n"/>
      <c r="G135" s="4320" t="n"/>
      <c r="H135" s="4320" t="n"/>
      <c r="I135" s="4321" t="inlineStr">
        <is>
          <t>M</t>
        </is>
      </c>
      <c r="J135" s="4322" t="n"/>
      <c r="K135" s="4322" t="n"/>
      <c r="L135" s="4322" t="n"/>
      <c r="M135" s="4331" t="n"/>
      <c r="N135" s="4331" t="n"/>
      <c r="O135" s="4315" t="n"/>
      <c r="P135" s="4324" t="n"/>
      <c r="Q135" s="4324" t="n"/>
      <c r="R135" s="4324" t="n"/>
      <c r="S135" s="4324" t="n"/>
      <c r="T135" s="4324" t="n"/>
      <c r="U135" s="4315" t="n"/>
      <c r="V135" s="4322" t="n"/>
      <c r="W135" s="4322" t="n"/>
      <c r="X135" s="4322" t="n"/>
      <c r="Y135" s="4322" t="n"/>
      <c r="Z135" s="4322" t="n"/>
      <c r="AA135" s="4322" t="n"/>
      <c r="AB135" s="4322" t="n"/>
      <c r="AC135" s="4322" t="n"/>
      <c r="AD135" s="4322" t="n"/>
      <c r="AE135" s="4322" t="n"/>
      <c r="AF135" s="4322" t="n"/>
      <c r="AG135" s="4326" t="n"/>
      <c r="AH135" s="4322" t="n"/>
      <c r="AI135" s="4322" t="n"/>
      <c r="AJ135" s="4322" t="n"/>
      <c r="AK135" s="4322" t="n"/>
      <c r="AL135" s="4322" t="n"/>
      <c r="AM135" s="4322" t="n"/>
      <c r="AN135" s="4322" t="n"/>
      <c r="AO135" s="4322" t="n"/>
      <c r="AP135" s="4322" t="n"/>
      <c r="AQ135" s="4322" t="n"/>
      <c r="AR135" s="4322" t="n"/>
      <c r="AS135" s="4326" t="n"/>
      <c r="AT135" s="4322" t="n"/>
      <c r="AU135" s="4322" t="n"/>
      <c r="AV135" s="4322" t="n"/>
      <c r="AW135" s="4322" t="n"/>
      <c r="AX135" s="4322" t="n"/>
      <c r="AY135" s="4322" t="n"/>
      <c r="AZ135" s="4322" t="n"/>
      <c r="BA135" s="4322" t="n"/>
      <c r="BB135" s="4322" t="n"/>
      <c r="BC135" s="4322" t="n"/>
      <c r="BD135" s="4322" t="n"/>
      <c r="BE135" s="4326" t="n"/>
      <c r="BF135" s="4322" t="n"/>
      <c r="BG135" s="4322" t="n"/>
      <c r="BH135" s="4322" t="n"/>
      <c r="BI135" s="4322" t="n"/>
      <c r="BJ135" s="4322" t="n"/>
      <c r="BK135" s="4327" t="n"/>
      <c r="BL135" s="4322" t="n"/>
      <c r="BM135" s="4322" t="n"/>
      <c r="BN135" s="4322" t="n"/>
      <c r="BO135" s="4322" t="n"/>
      <c r="BP135" s="4322" t="n"/>
      <c r="BQ135" s="4315" t="n"/>
      <c r="BR135" s="4328" t="n"/>
      <c r="BT135" s="4315" t="n"/>
      <c r="BU135" s="4315" t="n"/>
    </row>
    <row r="136" ht="12" customFormat="1" customHeight="1" s="4315">
      <c r="A136" s="4316" t="n"/>
      <c r="B136" s="4317" t="n"/>
      <c r="C136" s="4318" t="inlineStr">
        <is>
          <t>[Redacted]</t>
        </is>
      </c>
      <c r="D136" s="4319" t="n">
        <v>11236</v>
      </c>
      <c r="E136" s="4320" t="n"/>
      <c r="F136" s="4320" t="n"/>
      <c r="G136" s="4320" t="n"/>
      <c r="H136" s="4320" t="n"/>
      <c r="I136" s="4321" t="inlineStr">
        <is>
          <t>M</t>
        </is>
      </c>
      <c r="J136" s="4322" t="n"/>
      <c r="K136" s="4322" t="n"/>
      <c r="L136" s="4322" t="n"/>
      <c r="M136" s="4323" t="n"/>
      <c r="N136" s="4323" t="n"/>
      <c r="O136" s="4315" t="n"/>
      <c r="P136" s="4324" t="n"/>
      <c r="Q136" s="4324" t="n"/>
      <c r="R136" s="4324" t="n"/>
      <c r="S136" s="4324" t="n"/>
      <c r="T136" s="4324" t="n"/>
      <c r="U136" s="4315" t="n"/>
      <c r="V136" s="4322" t="n"/>
      <c r="W136" s="4322" t="n"/>
      <c r="X136" s="4322" t="n"/>
      <c r="Y136" s="4322" t="n"/>
      <c r="Z136" s="4322" t="n"/>
      <c r="AA136" s="4322" t="n"/>
      <c r="AB136" s="4322" t="n"/>
      <c r="AC136" s="4322" t="n"/>
      <c r="AD136" s="4322" t="n"/>
      <c r="AE136" s="4322" t="n"/>
      <c r="AF136" s="4322" t="n"/>
      <c r="AG136" s="4326" t="n"/>
      <c r="AH136" s="4322" t="n"/>
      <c r="AI136" s="4322" t="n"/>
      <c r="AJ136" s="4322" t="n"/>
      <c r="AK136" s="4322" t="n"/>
      <c r="AL136" s="4322" t="n"/>
      <c r="AM136" s="4322" t="n"/>
      <c r="AN136" s="4322" t="n"/>
      <c r="AO136" s="4322" t="n"/>
      <c r="AP136" s="4322" t="n"/>
      <c r="AQ136" s="4322" t="n"/>
      <c r="AR136" s="4322" t="n"/>
      <c r="AS136" s="4326" t="n"/>
      <c r="AT136" s="4322" t="n"/>
      <c r="AU136" s="4322" t="n"/>
      <c r="AV136" s="4322" t="n"/>
      <c r="AW136" s="4322" t="n"/>
      <c r="AX136" s="4322" t="n"/>
      <c r="AY136" s="4322" t="n"/>
      <c r="AZ136" s="4322" t="n"/>
      <c r="BA136" s="4322" t="n"/>
      <c r="BB136" s="4322" t="n"/>
      <c r="BC136" s="4322" t="n"/>
      <c r="BD136" s="4322" t="n"/>
      <c r="BE136" s="4326" t="n"/>
      <c r="BF136" s="4322" t="n"/>
      <c r="BG136" s="4322" t="n"/>
      <c r="BH136" s="4322" t="n"/>
      <c r="BI136" s="4322" t="n"/>
      <c r="BJ136" s="4322" t="n"/>
      <c r="BK136" s="4327" t="n"/>
      <c r="BL136" s="4322" t="n"/>
      <c r="BM136" s="4322" t="n"/>
      <c r="BN136" s="4322" t="n"/>
      <c r="BO136" s="4322" t="n"/>
      <c r="BP136" s="4322" t="n"/>
      <c r="BQ136" s="4315" t="n"/>
      <c r="BR136" s="4328" t="n"/>
      <c r="BT136" s="4315" t="n"/>
      <c r="BU136" s="4315" t="n"/>
    </row>
    <row r="137" ht="12" customFormat="1" customHeight="1" s="4315">
      <c r="A137" s="4316" t="n"/>
      <c r="B137" s="4317" t="n"/>
      <c r="C137" s="4318" t="inlineStr">
        <is>
          <t>[Redacted]</t>
        </is>
      </c>
      <c r="D137" s="4319" t="n">
        <v>11300</v>
      </c>
      <c r="E137" s="4320" t="n"/>
      <c r="F137" s="4320" t="n"/>
      <c r="G137" s="4320" t="n"/>
      <c r="H137" s="4320" t="n"/>
      <c r="I137" s="4321" t="inlineStr">
        <is>
          <t>F</t>
        </is>
      </c>
      <c r="J137" s="4322" t="n"/>
      <c r="K137" s="4322" t="n"/>
      <c r="L137" s="4322" t="n"/>
      <c r="M137" s="4323" t="n"/>
      <c r="N137" s="4323" t="n"/>
      <c r="O137" s="4315" t="n"/>
      <c r="P137" s="4324" t="n"/>
      <c r="Q137" s="4324" t="n"/>
      <c r="R137" s="4324" t="n"/>
      <c r="S137" s="4324" t="n"/>
      <c r="T137" s="4324" t="n"/>
      <c r="U137" s="4315" t="n"/>
      <c r="V137" s="4322" t="n"/>
      <c r="W137" s="4322" t="n"/>
      <c r="X137" s="4322" t="n"/>
      <c r="Y137" s="4322" t="n"/>
      <c r="Z137" s="4322" t="n"/>
      <c r="AA137" s="4322" t="n"/>
      <c r="AB137" s="4322" t="n"/>
      <c r="AC137" s="4322" t="n"/>
      <c r="AD137" s="4322" t="n"/>
      <c r="AE137" s="4322" t="n"/>
      <c r="AF137" s="4322" t="n"/>
      <c r="AG137" s="4326" t="n"/>
      <c r="AH137" s="4322" t="n"/>
      <c r="AI137" s="4322" t="n"/>
      <c r="AJ137" s="4322" t="n"/>
      <c r="AK137" s="4322" t="n"/>
      <c r="AL137" s="4322" t="n"/>
      <c r="AM137" s="4322" t="n"/>
      <c r="AN137" s="4322" t="n"/>
      <c r="AO137" s="4322" t="n"/>
      <c r="AP137" s="4322" t="n"/>
      <c r="AQ137" s="4322" t="n"/>
      <c r="AR137" s="4322" t="n"/>
      <c r="AS137" s="4326" t="n"/>
      <c r="AT137" s="4322" t="n"/>
      <c r="AU137" s="4322" t="n"/>
      <c r="AV137" s="4322" t="n"/>
      <c r="AW137" s="4322" t="n"/>
      <c r="AX137" s="4322" t="n"/>
      <c r="AY137" s="4322" t="n"/>
      <c r="AZ137" s="4322" t="n"/>
      <c r="BA137" s="4322" t="n"/>
      <c r="BB137" s="4322" t="n"/>
      <c r="BC137" s="4322" t="n"/>
      <c r="BD137" s="4322" t="n"/>
      <c r="BE137" s="4326" t="n"/>
      <c r="BF137" s="4322" t="n"/>
      <c r="BG137" s="4322" t="n"/>
      <c r="BH137" s="4322" t="n"/>
      <c r="BI137" s="4322" t="n"/>
      <c r="BJ137" s="4322" t="n"/>
      <c r="BK137" s="4327" t="n"/>
      <c r="BL137" s="4322" t="n"/>
      <c r="BM137" s="4322" t="n"/>
      <c r="BN137" s="4322" t="n"/>
      <c r="BO137" s="4322" t="n"/>
      <c r="BP137" s="4322" t="n"/>
      <c r="BQ137" s="4315" t="n"/>
      <c r="BR137" s="4328" t="n"/>
      <c r="BT137" s="4315" t="n"/>
      <c r="BU137" s="4315" t="n"/>
    </row>
    <row r="138" ht="12" customFormat="1" customHeight="1" s="4315">
      <c r="A138" s="4316" t="n"/>
      <c r="B138" s="4317" t="n"/>
      <c r="C138" s="4318" t="inlineStr">
        <is>
          <t>[Redacted]</t>
        </is>
      </c>
      <c r="D138" s="4319" t="n">
        <v>11032</v>
      </c>
      <c r="E138" s="4320" t="n"/>
      <c r="F138" s="4320" t="n"/>
      <c r="G138" s="4320" t="n"/>
      <c r="H138" s="4320" t="n"/>
      <c r="I138" s="4321" t="inlineStr">
        <is>
          <t>F</t>
        </is>
      </c>
      <c r="J138" s="4322" t="n"/>
      <c r="K138" s="4322" t="n"/>
      <c r="L138" s="4322" t="n"/>
      <c r="M138" s="4323" t="n"/>
      <c r="N138" s="4323" t="n"/>
      <c r="O138" s="4315" t="n"/>
      <c r="P138" s="4324" t="n"/>
      <c r="Q138" s="4324" t="n"/>
      <c r="R138" s="4324" t="n"/>
      <c r="S138" s="4324" t="n"/>
      <c r="T138" s="4324" t="n"/>
      <c r="U138" s="4315" t="n"/>
      <c r="V138" s="4322" t="n"/>
      <c r="W138" s="4322" t="n"/>
      <c r="X138" s="4322" t="n"/>
      <c r="Y138" s="4322" t="n"/>
      <c r="Z138" s="4322" t="n"/>
      <c r="AA138" s="4322" t="n"/>
      <c r="AB138" s="4322" t="n"/>
      <c r="AC138" s="4322" t="n"/>
      <c r="AD138" s="4322" t="n"/>
      <c r="AE138" s="4322" t="n"/>
      <c r="AF138" s="4322" t="n"/>
      <c r="AG138" s="4326" t="n"/>
      <c r="AH138" s="4322" t="n"/>
      <c r="AI138" s="4322" t="n"/>
      <c r="AJ138" s="4322" t="n"/>
      <c r="AK138" s="4322" t="n"/>
      <c r="AL138" s="4322" t="n"/>
      <c r="AM138" s="4322" t="n"/>
      <c r="AN138" s="4322" t="n"/>
      <c r="AO138" s="4322" t="n"/>
      <c r="AP138" s="4322" t="n"/>
      <c r="AQ138" s="4322" t="n"/>
      <c r="AR138" s="4322" t="n"/>
      <c r="AS138" s="4326" t="n"/>
      <c r="AT138" s="4322" t="n"/>
      <c r="AU138" s="4322" t="n"/>
      <c r="AV138" s="4322" t="n"/>
      <c r="AW138" s="4322" t="n"/>
      <c r="AX138" s="4322" t="n"/>
      <c r="AY138" s="4322" t="n"/>
      <c r="AZ138" s="4322" t="n"/>
      <c r="BA138" s="4322" t="n"/>
      <c r="BB138" s="4322" t="n"/>
      <c r="BC138" s="4322" t="n"/>
      <c r="BD138" s="4322" t="n"/>
      <c r="BE138" s="4326" t="n"/>
      <c r="BF138" s="4322" t="n"/>
      <c r="BG138" s="4322" t="n"/>
      <c r="BH138" s="4322" t="n"/>
      <c r="BI138" s="4322" t="n"/>
      <c r="BJ138" s="4322" t="n"/>
      <c r="BK138" s="4327" t="n"/>
      <c r="BL138" s="4322" t="n"/>
      <c r="BM138" s="4322" t="n"/>
      <c r="BN138" s="4322" t="n"/>
      <c r="BO138" s="4322" t="n"/>
      <c r="BP138" s="4322" t="n"/>
      <c r="BQ138" s="4315" t="n"/>
      <c r="BR138" s="4328" t="n"/>
      <c r="BT138" s="4315" t="n"/>
      <c r="BU138" s="4315" t="n"/>
    </row>
    <row r="139" ht="12" customFormat="1" customHeight="1" s="4315">
      <c r="A139" s="4316" t="n"/>
      <c r="B139" s="4317" t="n"/>
      <c r="C139" s="4318" t="inlineStr">
        <is>
          <t>[Redacted]</t>
        </is>
      </c>
      <c r="D139" s="4319" t="n">
        <v>11009</v>
      </c>
      <c r="E139" s="4320" t="n"/>
      <c r="F139" s="4320" t="n"/>
      <c r="G139" s="4320" t="n"/>
      <c r="H139" s="4320" t="n"/>
      <c r="I139" s="4321" t="inlineStr">
        <is>
          <t>M</t>
        </is>
      </c>
      <c r="J139" s="4322" t="n"/>
      <c r="K139" s="4322" t="n"/>
      <c r="L139" s="4322" t="n"/>
      <c r="M139" s="4323" t="n"/>
      <c r="N139" s="4323" t="n"/>
      <c r="O139" s="4315" t="n"/>
      <c r="P139" s="4324" t="n"/>
      <c r="Q139" s="4324" t="n"/>
      <c r="R139" s="4324" t="n"/>
      <c r="S139" s="4324" t="n"/>
      <c r="T139" s="4324" t="n"/>
      <c r="U139" s="4315" t="n"/>
      <c r="V139" s="4322" t="n"/>
      <c r="W139" s="4322" t="n"/>
      <c r="X139" s="4322" t="n"/>
      <c r="Y139" s="4322" t="n"/>
      <c r="Z139" s="4322" t="n"/>
      <c r="AA139" s="4322" t="n"/>
      <c r="AB139" s="4322" t="n"/>
      <c r="AC139" s="4322" t="n"/>
      <c r="AD139" s="4322" t="n"/>
      <c r="AE139" s="4322" t="n"/>
      <c r="AF139" s="4322" t="n"/>
      <c r="AG139" s="4326" t="n"/>
      <c r="AH139" s="4322" t="n"/>
      <c r="AI139" s="4322" t="n"/>
      <c r="AJ139" s="4322" t="n"/>
      <c r="AK139" s="4322" t="n"/>
      <c r="AL139" s="4322" t="n"/>
      <c r="AM139" s="4322" t="n"/>
      <c r="AN139" s="4322" t="n"/>
      <c r="AO139" s="4322" t="n"/>
      <c r="AP139" s="4322" t="n"/>
      <c r="AQ139" s="4322" t="n"/>
      <c r="AR139" s="4322" t="n"/>
      <c r="AS139" s="4326" t="n"/>
      <c r="AT139" s="4322" t="n"/>
      <c r="AU139" s="4322" t="n"/>
      <c r="AV139" s="4322" t="n"/>
      <c r="AW139" s="4322" t="n"/>
      <c r="AX139" s="4322" t="n"/>
      <c r="AY139" s="4322" t="n"/>
      <c r="AZ139" s="4322" t="n"/>
      <c r="BA139" s="4322" t="n"/>
      <c r="BB139" s="4322" t="n"/>
      <c r="BC139" s="4322" t="n"/>
      <c r="BD139" s="4322" t="n"/>
      <c r="BE139" s="4326" t="n"/>
      <c r="BF139" s="4322" t="n"/>
      <c r="BG139" s="4322" t="n"/>
      <c r="BH139" s="4322" t="n"/>
      <c r="BI139" s="4322" t="n"/>
      <c r="BJ139" s="4322" t="n"/>
      <c r="BK139" s="4327" t="n"/>
      <c r="BL139" s="4322" t="n"/>
      <c r="BM139" s="4322" t="n"/>
      <c r="BN139" s="4322" t="n"/>
      <c r="BO139" s="4322" t="n"/>
      <c r="BP139" s="4322" t="n"/>
      <c r="BQ139" s="4315" t="n"/>
      <c r="BR139" s="4328" t="inlineStr">
        <is>
          <t>&gt;&gt;Employee is terminated in 29-Dec-22. Manually included headcount for Dec-22 as active for majority of the year,</t>
        </is>
      </c>
      <c r="BT139" s="4315" t="n"/>
      <c r="BU139" s="4315" t="n"/>
    </row>
    <row r="140" ht="12" customFormat="1" customHeight="1" s="4315">
      <c r="A140" s="4316" t="n"/>
      <c r="B140" s="4317" t="n"/>
      <c r="C140" s="4318" t="inlineStr">
        <is>
          <t>[Redacted]</t>
        </is>
      </c>
      <c r="D140" s="4319" t="n">
        <v>11126</v>
      </c>
      <c r="E140" s="4320" t="n"/>
      <c r="F140" s="4320" t="n"/>
      <c r="G140" s="4320" t="n"/>
      <c r="H140" s="4320" t="n"/>
      <c r="I140" s="4321" t="inlineStr">
        <is>
          <t>M</t>
        </is>
      </c>
      <c r="J140" s="4322" t="n"/>
      <c r="K140" s="4322" t="n"/>
      <c r="L140" s="4322" t="n"/>
      <c r="M140" s="4323" t="n"/>
      <c r="N140" s="4323" t="n"/>
      <c r="O140" s="4315" t="n"/>
      <c r="P140" s="4324" t="n"/>
      <c r="Q140" s="4324" t="n"/>
      <c r="R140" s="4324" t="n"/>
      <c r="S140" s="4324" t="n"/>
      <c r="T140" s="4324" t="n"/>
      <c r="U140" s="4315" t="n"/>
      <c r="V140" s="4322" t="n"/>
      <c r="W140" s="4322" t="n"/>
      <c r="X140" s="4322" t="n"/>
      <c r="Y140" s="4322" t="n"/>
      <c r="Z140" s="4322" t="n"/>
      <c r="AA140" s="4322" t="n"/>
      <c r="AB140" s="4322" t="n"/>
      <c r="AC140" s="4322" t="n"/>
      <c r="AD140" s="4322" t="n"/>
      <c r="AE140" s="4322" t="n"/>
      <c r="AF140" s="4322" t="n"/>
      <c r="AG140" s="4326" t="n"/>
      <c r="AH140" s="4322" t="n"/>
      <c r="AI140" s="4322" t="n"/>
      <c r="AJ140" s="4322" t="n"/>
      <c r="AK140" s="4322" t="n"/>
      <c r="AL140" s="4322" t="n"/>
      <c r="AM140" s="4322" t="n"/>
      <c r="AN140" s="4322" t="n"/>
      <c r="AO140" s="4322" t="n"/>
      <c r="AP140" s="4322" t="n"/>
      <c r="AQ140" s="4322" t="n"/>
      <c r="AR140" s="4322" t="n"/>
      <c r="AS140" s="4326" t="n"/>
      <c r="AT140" s="4322" t="n"/>
      <c r="AU140" s="4322" t="n"/>
      <c r="AV140" s="4322" t="n"/>
      <c r="AW140" s="4322" t="n"/>
      <c r="AX140" s="4322" t="n"/>
      <c r="AY140" s="4322" t="n"/>
      <c r="AZ140" s="4322" t="n"/>
      <c r="BA140" s="4322" t="n"/>
      <c r="BB140" s="4322" t="n"/>
      <c r="BC140" s="4322" t="n"/>
      <c r="BD140" s="4322" t="n"/>
      <c r="BE140" s="4326" t="n"/>
      <c r="BF140" s="4322" t="n"/>
      <c r="BG140" s="4322" t="n"/>
      <c r="BH140" s="4322" t="n"/>
      <c r="BI140" s="4322" t="n"/>
      <c r="BJ140" s="4322" t="n"/>
      <c r="BK140" s="4327" t="n"/>
      <c r="BL140" s="4322" t="n"/>
      <c r="BM140" s="4322" t="n"/>
      <c r="BN140" s="4322" t="n"/>
      <c r="BO140" s="4322" t="n"/>
      <c r="BP140" s="4322" t="n"/>
      <c r="BQ140" s="4315" t="n"/>
      <c r="BR140" s="4328" t="n"/>
      <c r="BT140" s="4315" t="n"/>
      <c r="BU140" s="4315" t="n"/>
    </row>
    <row r="141" ht="12" customFormat="1" customHeight="1" s="4315">
      <c r="A141" s="4316" t="n"/>
      <c r="B141" s="4317" t="n"/>
      <c r="C141" s="4318" t="inlineStr">
        <is>
          <t>[Redacted]</t>
        </is>
      </c>
      <c r="D141" s="4319" t="n">
        <v>11246</v>
      </c>
      <c r="E141" s="4320" t="n"/>
      <c r="F141" s="4320" t="n"/>
      <c r="G141" s="4320" t="n"/>
      <c r="H141" s="4320" t="n"/>
      <c r="I141" s="4321" t="inlineStr">
        <is>
          <t>F</t>
        </is>
      </c>
      <c r="J141" s="4322" t="n"/>
      <c r="K141" s="4322" t="n"/>
      <c r="L141" s="4322" t="n"/>
      <c r="M141" s="4323" t="n"/>
      <c r="N141" s="4323" t="n"/>
      <c r="O141" s="4315" t="n"/>
      <c r="P141" s="4324" t="n"/>
      <c r="Q141" s="4324" t="n"/>
      <c r="R141" s="4324" t="n"/>
      <c r="S141" s="4324" t="n"/>
      <c r="T141" s="4324" t="n"/>
      <c r="U141" s="4315" t="n"/>
      <c r="V141" s="4322" t="n"/>
      <c r="W141" s="4322" t="n"/>
      <c r="X141" s="4322" t="n"/>
      <c r="Y141" s="4322" t="n"/>
      <c r="Z141" s="4322" t="n"/>
      <c r="AA141" s="4322" t="n"/>
      <c r="AB141" s="4322" t="n"/>
      <c r="AC141" s="4322" t="n"/>
      <c r="AD141" s="4322" t="n"/>
      <c r="AE141" s="4322" t="n"/>
      <c r="AF141" s="4322" t="n"/>
      <c r="AG141" s="4326" t="n"/>
      <c r="AH141" s="4322" t="n"/>
      <c r="AI141" s="4322" t="n"/>
      <c r="AJ141" s="4322" t="n"/>
      <c r="AK141" s="4322" t="n"/>
      <c r="AL141" s="4322" t="n"/>
      <c r="AM141" s="4322" t="n"/>
      <c r="AN141" s="4322" t="n"/>
      <c r="AO141" s="4322" t="n"/>
      <c r="AP141" s="4322" t="n"/>
      <c r="AQ141" s="4322" t="n"/>
      <c r="AR141" s="4322" t="n"/>
      <c r="AS141" s="4326" t="n"/>
      <c r="AT141" s="4322" t="n"/>
      <c r="AU141" s="4322" t="n"/>
      <c r="AV141" s="4322" t="n"/>
      <c r="AW141" s="4322" t="n"/>
      <c r="AX141" s="4322" t="n"/>
      <c r="AY141" s="4322" t="n"/>
      <c r="AZ141" s="4322" t="n"/>
      <c r="BA141" s="4322" t="n"/>
      <c r="BB141" s="4322" t="n"/>
      <c r="BC141" s="4322" t="n"/>
      <c r="BD141" s="4322" t="n"/>
      <c r="BE141" s="4326" t="n"/>
      <c r="BF141" s="4322" t="n"/>
      <c r="BG141" s="4322" t="n"/>
      <c r="BH141" s="4322" t="n"/>
      <c r="BI141" s="4322" t="n"/>
      <c r="BJ141" s="4322" t="n"/>
      <c r="BK141" s="4327" t="n"/>
      <c r="BL141" s="4322" t="n"/>
      <c r="BM141" s="4322" t="n"/>
      <c r="BN141" s="4322" t="n"/>
      <c r="BO141" s="4322" t="n"/>
      <c r="BP141" s="4322" t="n"/>
      <c r="BQ141" s="4315" t="n"/>
      <c r="BR141" s="4328" t="n"/>
      <c r="BT141" s="4315" t="n"/>
      <c r="BU141" s="4315" t="n"/>
    </row>
    <row r="142" ht="12" customFormat="1" customHeight="1" s="4315">
      <c r="A142" s="4316" t="n"/>
      <c r="B142" s="4317" t="n"/>
      <c r="C142" s="4318" t="inlineStr">
        <is>
          <t>[Redacted]</t>
        </is>
      </c>
      <c r="D142" s="4319" t="n">
        <v>11283</v>
      </c>
      <c r="E142" s="4320" t="n"/>
      <c r="F142" s="4320" t="n"/>
      <c r="G142" s="4320" t="n"/>
      <c r="H142" s="4320" t="n"/>
      <c r="I142" s="4321" t="inlineStr">
        <is>
          <t>F</t>
        </is>
      </c>
      <c r="J142" s="4322" t="n"/>
      <c r="K142" s="4322" t="n"/>
      <c r="L142" s="4322" t="n"/>
      <c r="M142" s="4323" t="n"/>
      <c r="N142" s="4323" t="n"/>
      <c r="O142" s="4315" t="n"/>
      <c r="P142" s="4324" t="n"/>
      <c r="Q142" s="4324" t="n"/>
      <c r="R142" s="4324" t="n"/>
      <c r="S142" s="4324" t="n"/>
      <c r="T142" s="4324" t="n"/>
      <c r="U142" s="4315" t="n"/>
      <c r="V142" s="4322" t="n"/>
      <c r="W142" s="4322" t="n"/>
      <c r="X142" s="4322" t="n"/>
      <c r="Y142" s="4322" t="n"/>
      <c r="Z142" s="4322" t="n"/>
      <c r="AA142" s="4322" t="n"/>
      <c r="AB142" s="4322" t="n"/>
      <c r="AC142" s="4322" t="n"/>
      <c r="AD142" s="4322" t="n"/>
      <c r="AE142" s="4322" t="n"/>
      <c r="AF142" s="4322" t="n"/>
      <c r="AG142" s="4326" t="n"/>
      <c r="AH142" s="4322" t="n"/>
      <c r="AI142" s="4322" t="n"/>
      <c r="AJ142" s="4322" t="n"/>
      <c r="AK142" s="4322" t="n"/>
      <c r="AL142" s="4322" t="n"/>
      <c r="AM142" s="4322" t="n"/>
      <c r="AN142" s="4322" t="n"/>
      <c r="AO142" s="4322" t="n"/>
      <c r="AP142" s="4322" t="n"/>
      <c r="AQ142" s="4322" t="n"/>
      <c r="AR142" s="4322" t="n"/>
      <c r="AS142" s="4326" t="n"/>
      <c r="AT142" s="4322" t="n"/>
      <c r="AU142" s="4322" t="n"/>
      <c r="AV142" s="4322" t="n"/>
      <c r="AW142" s="4322" t="n"/>
      <c r="AX142" s="4322" t="n"/>
      <c r="AY142" s="4322" t="n"/>
      <c r="AZ142" s="4322" t="n"/>
      <c r="BA142" s="4322" t="n"/>
      <c r="BB142" s="4322" t="n"/>
      <c r="BC142" s="4322" t="n"/>
      <c r="BD142" s="4322" t="n"/>
      <c r="BE142" s="4326" t="n"/>
      <c r="BF142" s="4322" t="n"/>
      <c r="BG142" s="4322" t="n"/>
      <c r="BH142" s="4322" t="n"/>
      <c r="BI142" s="4322" t="n"/>
      <c r="BJ142" s="4322" t="n"/>
      <c r="BK142" s="4327" t="n"/>
      <c r="BL142" s="4322" t="n"/>
      <c r="BM142" s="4322" t="n"/>
      <c r="BN142" s="4322" t="n"/>
      <c r="BO142" s="4322" t="n"/>
      <c r="BP142" s="4322" t="n"/>
      <c r="BQ142" s="4315" t="n"/>
      <c r="BR142" s="4328" t="n"/>
      <c r="BT142" s="4315" t="n"/>
      <c r="BU142" s="4315" t="n"/>
    </row>
    <row r="143" ht="12" customFormat="1" customHeight="1" s="4315">
      <c r="A143" s="4316" t="n"/>
      <c r="B143" s="4317" t="n"/>
      <c r="C143" s="4318" t="inlineStr">
        <is>
          <t>[Redacted]</t>
        </is>
      </c>
      <c r="D143" s="4319" t="n">
        <v>11357</v>
      </c>
      <c r="E143" s="4320" t="n"/>
      <c r="F143" s="4320" t="n"/>
      <c r="G143" s="4320" t="n"/>
      <c r="H143" s="4320" t="n"/>
      <c r="I143" s="4321" t="inlineStr">
        <is>
          <t>F</t>
        </is>
      </c>
      <c r="J143" s="4322" t="n"/>
      <c r="K143" s="4322" t="n"/>
      <c r="L143" s="4322" t="n"/>
      <c r="M143" s="4323" t="n"/>
      <c r="N143" s="4323" t="n"/>
      <c r="O143" s="4315" t="n"/>
      <c r="P143" s="4324" t="n"/>
      <c r="Q143" s="4324" t="n"/>
      <c r="R143" s="4324" t="n"/>
      <c r="S143" s="4324" t="n"/>
      <c r="T143" s="4324" t="n"/>
      <c r="U143" s="4315" t="n"/>
      <c r="V143" s="4322" t="n"/>
      <c r="W143" s="4322" t="n"/>
      <c r="X143" s="4322" t="n"/>
      <c r="Y143" s="4322" t="n"/>
      <c r="Z143" s="4322" t="n"/>
      <c r="AA143" s="4322" t="n"/>
      <c r="AB143" s="4322" t="n"/>
      <c r="AC143" s="4322" t="n"/>
      <c r="AD143" s="4322" t="n"/>
      <c r="AE143" s="4322" t="n"/>
      <c r="AF143" s="4322" t="n"/>
      <c r="AG143" s="4326" t="n"/>
      <c r="AH143" s="4322" t="n"/>
      <c r="AI143" s="4322" t="n"/>
      <c r="AJ143" s="4322" t="n"/>
      <c r="AK143" s="4322" t="n"/>
      <c r="AL143" s="4322" t="n"/>
      <c r="AM143" s="4322" t="n"/>
      <c r="AN143" s="4322" t="n"/>
      <c r="AO143" s="4322" t="n"/>
      <c r="AP143" s="4322" t="n"/>
      <c r="AQ143" s="4322" t="n"/>
      <c r="AR143" s="4322" t="n"/>
      <c r="AS143" s="4326" t="n"/>
      <c r="AT143" s="4322" t="n"/>
      <c r="AU143" s="4322" t="n"/>
      <c r="AV143" s="4322" t="n"/>
      <c r="AW143" s="4322" t="n"/>
      <c r="AX143" s="4322" t="n"/>
      <c r="AY143" s="4322" t="n"/>
      <c r="AZ143" s="4322" t="n"/>
      <c r="BA143" s="4322" t="n"/>
      <c r="BB143" s="4322" t="n"/>
      <c r="BC143" s="4322" t="n"/>
      <c r="BD143" s="4322" t="n"/>
      <c r="BE143" s="4326" t="n"/>
      <c r="BF143" s="4322" t="n"/>
      <c r="BG143" s="4322" t="n"/>
      <c r="BH143" s="4322" t="n"/>
      <c r="BI143" s="4322" t="n"/>
      <c r="BJ143" s="4322" t="n"/>
      <c r="BK143" s="4327" t="n"/>
      <c r="BL143" s="4322" t="n"/>
      <c r="BM143" s="4322" t="n"/>
      <c r="BN143" s="4322" t="n"/>
      <c r="BO143" s="4322" t="n"/>
      <c r="BP143" s="4322" t="n"/>
      <c r="BQ143" s="4315" t="n"/>
      <c r="BR143" s="4328" t="n"/>
      <c r="BT143" s="4315" t="n"/>
      <c r="BU143" s="4315" t="n"/>
    </row>
    <row r="144" ht="12" customFormat="1" customHeight="1" s="4315">
      <c r="A144" s="4316" t="n"/>
      <c r="B144" s="4317" t="n"/>
      <c r="C144" s="4318" t="inlineStr">
        <is>
          <t>[Redacted]</t>
        </is>
      </c>
      <c r="D144" s="4319" t="n">
        <v>11014</v>
      </c>
      <c r="E144" s="4320" t="n"/>
      <c r="F144" s="4320" t="n"/>
      <c r="G144" s="4320" t="n"/>
      <c r="H144" s="4320" t="n"/>
      <c r="I144" s="4321" t="inlineStr">
        <is>
          <t>M</t>
        </is>
      </c>
      <c r="J144" s="4322" t="n"/>
      <c r="K144" s="4322" t="n"/>
      <c r="L144" s="4322" t="n"/>
      <c r="M144" s="4323" t="n"/>
      <c r="N144" s="4323" t="n"/>
      <c r="O144" s="4315" t="n"/>
      <c r="P144" s="4324" t="n"/>
      <c r="Q144" s="4324" t="n"/>
      <c r="R144" s="4324" t="n"/>
      <c r="S144" s="4324" t="n"/>
      <c r="T144" s="4324" t="n"/>
      <c r="U144" s="4315" t="n"/>
      <c r="V144" s="4322" t="n"/>
      <c r="W144" s="4322" t="n"/>
      <c r="X144" s="4322" t="n"/>
      <c r="Y144" s="4322" t="n"/>
      <c r="Z144" s="4322" t="n"/>
      <c r="AA144" s="4322" t="n"/>
      <c r="AB144" s="4322" t="n"/>
      <c r="AC144" s="4322" t="n"/>
      <c r="AD144" s="4322" t="n"/>
      <c r="AE144" s="4322" t="n"/>
      <c r="AF144" s="4322" t="n"/>
      <c r="AG144" s="4326" t="n"/>
      <c r="AH144" s="4322" t="n"/>
      <c r="AI144" s="4322" t="n"/>
      <c r="AJ144" s="4322" t="n"/>
      <c r="AK144" s="4322" t="n"/>
      <c r="AL144" s="4322" t="n"/>
      <c r="AM144" s="4322" t="n"/>
      <c r="AN144" s="4322" t="n"/>
      <c r="AO144" s="4322" t="n"/>
      <c r="AP144" s="4322" t="n"/>
      <c r="AQ144" s="4322" t="n"/>
      <c r="AR144" s="4322" t="n"/>
      <c r="AS144" s="4326" t="n"/>
      <c r="AT144" s="4322" t="n"/>
      <c r="AU144" s="4322" t="n"/>
      <c r="AV144" s="4322" t="n"/>
      <c r="AW144" s="4322" t="n"/>
      <c r="AX144" s="4322" t="n"/>
      <c r="AY144" s="4322" t="n"/>
      <c r="AZ144" s="4322" t="n"/>
      <c r="BA144" s="4322" t="n"/>
      <c r="BB144" s="4322" t="n"/>
      <c r="BC144" s="4322" t="n"/>
      <c r="BD144" s="4322" t="n"/>
      <c r="BE144" s="4326" t="n"/>
      <c r="BF144" s="4322" t="n"/>
      <c r="BG144" s="4322" t="n"/>
      <c r="BH144" s="4322" t="n"/>
      <c r="BI144" s="4322" t="n"/>
      <c r="BJ144" s="4322" t="n"/>
      <c r="BK144" s="4327" t="n"/>
      <c r="BL144" s="4322" t="n"/>
      <c r="BM144" s="4322" t="n"/>
      <c r="BN144" s="4322" t="n"/>
      <c r="BO144" s="4322" t="n"/>
      <c r="BP144" s="4322" t="n"/>
      <c r="BQ144" s="4315" t="n"/>
      <c r="BR144" s="4328" t="n"/>
      <c r="BT144" s="4315" t="n"/>
      <c r="BU144" s="4315" t="n"/>
    </row>
    <row r="145" ht="12" customFormat="1" customHeight="1" s="4315">
      <c r="A145" s="4316" t="n"/>
      <c r="B145" s="4317" t="n"/>
      <c r="C145" s="4318" t="inlineStr">
        <is>
          <t>[Redacted]</t>
        </is>
      </c>
      <c r="D145" s="4319" t="n">
        <v>11291</v>
      </c>
      <c r="E145" s="4320" t="n"/>
      <c r="F145" s="4320" t="n"/>
      <c r="G145" s="4320" t="n"/>
      <c r="H145" s="4320" t="n"/>
      <c r="I145" s="4321" t="inlineStr">
        <is>
          <t>F</t>
        </is>
      </c>
      <c r="J145" s="4322" t="n"/>
      <c r="K145" s="4322" t="n"/>
      <c r="L145" s="4322" t="n"/>
      <c r="M145" s="4323" t="n"/>
      <c r="N145" s="4323" t="n"/>
      <c r="O145" s="4315" t="n"/>
      <c r="P145" s="4324" t="n"/>
      <c r="Q145" s="4324" t="n"/>
      <c r="R145" s="4324" t="n"/>
      <c r="S145" s="4324" t="n"/>
      <c r="T145" s="4324" t="n"/>
      <c r="U145" s="4315" t="n"/>
      <c r="V145" s="4322" t="n"/>
      <c r="W145" s="4322" t="n"/>
      <c r="X145" s="4322" t="n"/>
      <c r="Y145" s="4322" t="n"/>
      <c r="Z145" s="4322" t="n"/>
      <c r="AA145" s="4322" t="n"/>
      <c r="AB145" s="4322" t="n"/>
      <c r="AC145" s="4322" t="n"/>
      <c r="AD145" s="4322" t="n"/>
      <c r="AE145" s="4322" t="n"/>
      <c r="AF145" s="4322" t="n"/>
      <c r="AG145" s="4326" t="n"/>
      <c r="AH145" s="4322" t="n"/>
      <c r="AI145" s="4322" t="n"/>
      <c r="AJ145" s="4322" t="n"/>
      <c r="AK145" s="4322" t="n"/>
      <c r="AL145" s="4322" t="n"/>
      <c r="AM145" s="4322" t="n"/>
      <c r="AN145" s="4322" t="n"/>
      <c r="AO145" s="4322" t="n"/>
      <c r="AP145" s="4322" t="n"/>
      <c r="AQ145" s="4322" t="n"/>
      <c r="AR145" s="4322" t="n"/>
      <c r="AS145" s="4326" t="n"/>
      <c r="AT145" s="4322" t="n"/>
      <c r="AU145" s="4322" t="n"/>
      <c r="AV145" s="4322" t="n"/>
      <c r="AW145" s="4322" t="n"/>
      <c r="AX145" s="4322" t="n"/>
      <c r="AY145" s="4322" t="n"/>
      <c r="AZ145" s="4322" t="n"/>
      <c r="BA145" s="4322" t="n"/>
      <c r="BB145" s="4322" t="n"/>
      <c r="BC145" s="4322" t="n"/>
      <c r="BD145" s="4322" t="n"/>
      <c r="BE145" s="4326" t="n"/>
      <c r="BF145" s="4322" t="n"/>
      <c r="BG145" s="4322" t="n"/>
      <c r="BH145" s="4322" t="n"/>
      <c r="BI145" s="4322" t="n"/>
      <c r="BJ145" s="4322" t="n"/>
      <c r="BK145" s="4327" t="n"/>
      <c r="BL145" s="4322" t="n"/>
      <c r="BM145" s="4322" t="n"/>
      <c r="BN145" s="4322" t="n"/>
      <c r="BO145" s="4322" t="n"/>
      <c r="BP145" s="4322" t="n"/>
      <c r="BQ145" s="4315" t="n"/>
      <c r="BR145" s="4328" t="n"/>
      <c r="BT145" s="4315" t="n"/>
      <c r="BU145" s="4315" t="n"/>
    </row>
    <row r="146" ht="12" customFormat="1" customHeight="1" s="4315">
      <c r="A146" s="4316" t="n"/>
      <c r="B146" s="4317" t="n"/>
      <c r="C146" s="4318" t="inlineStr">
        <is>
          <t>[Redacted]</t>
        </is>
      </c>
      <c r="D146" s="4319" t="n">
        <v>11068</v>
      </c>
      <c r="E146" s="4320" t="n"/>
      <c r="F146" s="4320" t="n"/>
      <c r="G146" s="4320" t="n"/>
      <c r="H146" s="4320" t="n"/>
      <c r="I146" s="4321" t="inlineStr">
        <is>
          <t>F</t>
        </is>
      </c>
      <c r="J146" s="4322" t="n"/>
      <c r="K146" s="4322" t="n"/>
      <c r="L146" s="4322" t="n"/>
      <c r="M146" s="4323" t="n"/>
      <c r="N146" s="4323" t="n"/>
      <c r="O146" s="4315" t="n"/>
      <c r="P146" s="4324" t="n"/>
      <c r="Q146" s="4324" t="n"/>
      <c r="R146" s="4324" t="n"/>
      <c r="S146" s="4324" t="n"/>
      <c r="T146" s="4324" t="n"/>
      <c r="U146" s="4315" t="n"/>
      <c r="V146" s="4322" t="n"/>
      <c r="W146" s="4322" t="n"/>
      <c r="X146" s="4322" t="n"/>
      <c r="Y146" s="4322" t="n"/>
      <c r="Z146" s="4322" t="n"/>
      <c r="AA146" s="4322" t="n"/>
      <c r="AB146" s="4322" t="n"/>
      <c r="AC146" s="4322" t="n"/>
      <c r="AD146" s="4322" t="n"/>
      <c r="AE146" s="4322" t="n"/>
      <c r="AF146" s="4322" t="n"/>
      <c r="AG146" s="4326" t="n"/>
      <c r="AH146" s="4322" t="n"/>
      <c r="AI146" s="4322" t="n"/>
      <c r="AJ146" s="4322" t="n"/>
      <c r="AK146" s="4322" t="n"/>
      <c r="AL146" s="4322" t="n"/>
      <c r="AM146" s="4322" t="n"/>
      <c r="AN146" s="4322" t="n"/>
      <c r="AO146" s="4322" t="n"/>
      <c r="AP146" s="4322" t="n"/>
      <c r="AQ146" s="4322" t="n"/>
      <c r="AR146" s="4322" t="n"/>
      <c r="AS146" s="4326" t="n"/>
      <c r="AT146" s="4322" t="n"/>
      <c r="AU146" s="4322" t="n"/>
      <c r="AV146" s="4322" t="n"/>
      <c r="AW146" s="4322" t="n"/>
      <c r="AX146" s="4322" t="n"/>
      <c r="AY146" s="4322" t="n"/>
      <c r="AZ146" s="4322" t="n"/>
      <c r="BA146" s="4322" t="n"/>
      <c r="BB146" s="4322" t="n"/>
      <c r="BC146" s="4322" t="n"/>
      <c r="BD146" s="4322" t="n"/>
      <c r="BE146" s="4326" t="n"/>
      <c r="BF146" s="4322" t="n"/>
      <c r="BG146" s="4322" t="n"/>
      <c r="BH146" s="4322" t="n"/>
      <c r="BI146" s="4322" t="n"/>
      <c r="BJ146" s="4322" t="n"/>
      <c r="BK146" s="4327" t="n"/>
      <c r="BL146" s="4322" t="n"/>
      <c r="BM146" s="4322" t="n"/>
      <c r="BN146" s="4322" t="n"/>
      <c r="BO146" s="4322" t="n"/>
      <c r="BP146" s="4322" t="n"/>
      <c r="BQ146" s="4315" t="n"/>
      <c r="BR146" s="4328" t="inlineStr">
        <is>
          <t>&gt;&gt;Termination date is missing for this employee. Assumed Nov-23 as excluded from Dec-23 headcount</t>
        </is>
      </c>
      <c r="BT146" s="4315" t="n"/>
      <c r="BU146" s="4315" t="n"/>
    </row>
    <row r="147" ht="12" customFormat="1" customHeight="1" s="4315">
      <c r="A147" s="4316" t="n"/>
      <c r="B147" s="4317" t="n"/>
      <c r="C147" s="4318" t="inlineStr">
        <is>
          <t>[Redacted]</t>
        </is>
      </c>
      <c r="D147" s="4319" t="n">
        <v>11308</v>
      </c>
      <c r="E147" s="4320" t="n"/>
      <c r="F147" s="4320" t="n"/>
      <c r="G147" s="4320" t="n"/>
      <c r="H147" s="4320" t="n"/>
      <c r="I147" s="4321" t="inlineStr">
        <is>
          <t>M</t>
        </is>
      </c>
      <c r="J147" s="4322" t="n"/>
      <c r="K147" s="4322" t="n"/>
      <c r="L147" s="4322" t="n"/>
      <c r="M147" s="4323" t="n"/>
      <c r="N147" s="4323" t="n"/>
      <c r="O147" s="4315" t="n"/>
      <c r="P147" s="4324" t="n"/>
      <c r="Q147" s="4324" t="n"/>
      <c r="R147" s="4324" t="n"/>
      <c r="S147" s="4324" t="n"/>
      <c r="T147" s="4324" t="n"/>
      <c r="U147" s="4315" t="n"/>
      <c r="V147" s="4322" t="n"/>
      <c r="W147" s="4322" t="n"/>
      <c r="X147" s="4322" t="n"/>
      <c r="Y147" s="4322" t="n"/>
      <c r="Z147" s="4322" t="n"/>
      <c r="AA147" s="4322" t="n"/>
      <c r="AB147" s="4322" t="n"/>
      <c r="AC147" s="4322" t="n"/>
      <c r="AD147" s="4322" t="n"/>
      <c r="AE147" s="4322" t="n"/>
      <c r="AF147" s="4322" t="n"/>
      <c r="AG147" s="4326" t="n"/>
      <c r="AH147" s="4322" t="n"/>
      <c r="AI147" s="4322" t="n"/>
      <c r="AJ147" s="4322" t="n"/>
      <c r="AK147" s="4322" t="n"/>
      <c r="AL147" s="4322" t="n"/>
      <c r="AM147" s="4322" t="n"/>
      <c r="AN147" s="4322" t="n"/>
      <c r="AO147" s="4322" t="n"/>
      <c r="AP147" s="4322" t="n"/>
      <c r="AQ147" s="4322" t="n"/>
      <c r="AR147" s="4322" t="n"/>
      <c r="AS147" s="4326" t="n"/>
      <c r="AT147" s="4322" t="n"/>
      <c r="AU147" s="4322" t="n"/>
      <c r="AV147" s="4322" t="n"/>
      <c r="AW147" s="4322" t="n"/>
      <c r="AX147" s="4322" t="n"/>
      <c r="AY147" s="4322" t="n"/>
      <c r="AZ147" s="4322" t="n"/>
      <c r="BA147" s="4322" t="n"/>
      <c r="BB147" s="4322" t="n"/>
      <c r="BC147" s="4322" t="n"/>
      <c r="BD147" s="4322" t="n"/>
      <c r="BE147" s="4326" t="n"/>
      <c r="BF147" s="4322" t="n"/>
      <c r="BG147" s="4322" t="n"/>
      <c r="BH147" s="4322" t="n"/>
      <c r="BI147" s="4322" t="n"/>
      <c r="BJ147" s="4322" t="n"/>
      <c r="BK147" s="4327" t="n"/>
      <c r="BL147" s="4322" t="n"/>
      <c r="BM147" s="4322" t="n"/>
      <c r="BN147" s="4322" t="n"/>
      <c r="BO147" s="4322" t="n"/>
      <c r="BP147" s="4322" t="n"/>
      <c r="BQ147" s="4315" t="n"/>
      <c r="BR147" s="4328" t="inlineStr">
        <is>
          <t>&gt;&gt;Termination date is missing for this employee. Assumed Nov-23 as excluded from Dec-23 headcount</t>
        </is>
      </c>
      <c r="BT147" s="4315" t="n"/>
      <c r="BU147" s="4315" t="n"/>
    </row>
    <row r="148" ht="12" customFormat="1" customHeight="1" s="4315">
      <c r="A148" s="4316" t="n"/>
      <c r="B148" s="4317" t="n"/>
      <c r="C148" s="4318" t="inlineStr">
        <is>
          <t>[Redacted]</t>
        </is>
      </c>
      <c r="D148" s="4319" t="n">
        <v>11274</v>
      </c>
      <c r="E148" s="4320" t="n"/>
      <c r="F148" s="4320" t="n"/>
      <c r="G148" s="4320" t="n"/>
      <c r="H148" s="4320" t="n"/>
      <c r="I148" s="4321" t="inlineStr">
        <is>
          <t>F</t>
        </is>
      </c>
      <c r="J148" s="4322" t="n"/>
      <c r="K148" s="4322" t="n"/>
      <c r="L148" s="4322" t="n"/>
      <c r="M148" s="4323" t="n"/>
      <c r="N148" s="4323" t="n"/>
      <c r="O148" s="4315" t="n"/>
      <c r="P148" s="4324" t="n"/>
      <c r="Q148" s="4324" t="n"/>
      <c r="R148" s="4324" t="n"/>
      <c r="S148" s="4324" t="n"/>
      <c r="T148" s="4324" t="n"/>
      <c r="U148" s="4315" t="n"/>
      <c r="V148" s="4322" t="n"/>
      <c r="W148" s="4322" t="n"/>
      <c r="X148" s="4322" t="n"/>
      <c r="Y148" s="4322" t="n"/>
      <c r="Z148" s="4322" t="n"/>
      <c r="AA148" s="4322" t="n"/>
      <c r="AB148" s="4322" t="n"/>
      <c r="AC148" s="4322" t="n"/>
      <c r="AD148" s="4322" t="n"/>
      <c r="AE148" s="4322" t="n"/>
      <c r="AF148" s="4322" t="n"/>
      <c r="AG148" s="4326" t="n"/>
      <c r="AH148" s="4322" t="n"/>
      <c r="AI148" s="4322" t="n"/>
      <c r="AJ148" s="4322" t="n"/>
      <c r="AK148" s="4322" t="n"/>
      <c r="AL148" s="4322" t="n"/>
      <c r="AM148" s="4322" t="n"/>
      <c r="AN148" s="4322" t="n"/>
      <c r="AO148" s="4322" t="n"/>
      <c r="AP148" s="4322" t="n"/>
      <c r="AQ148" s="4322" t="n"/>
      <c r="AR148" s="4322" t="n"/>
      <c r="AS148" s="4326" t="n"/>
      <c r="AT148" s="4322" t="n"/>
      <c r="AU148" s="4322" t="n"/>
      <c r="AV148" s="4322" t="n"/>
      <c r="AW148" s="4322" t="n"/>
      <c r="AX148" s="4322" t="n"/>
      <c r="AY148" s="4322" t="n"/>
      <c r="AZ148" s="4322" t="n"/>
      <c r="BA148" s="4322" t="n"/>
      <c r="BB148" s="4322" t="n"/>
      <c r="BC148" s="4322" t="n"/>
      <c r="BD148" s="4322" t="n"/>
      <c r="BE148" s="4326" t="n"/>
      <c r="BF148" s="4322" t="n"/>
      <c r="BG148" s="4322" t="n"/>
      <c r="BH148" s="4322" t="n"/>
      <c r="BI148" s="4322" t="n"/>
      <c r="BJ148" s="4322" t="n"/>
      <c r="BK148" s="4327" t="n"/>
      <c r="BL148" s="4322" t="n"/>
      <c r="BM148" s="4322" t="n"/>
      <c r="BN148" s="4322" t="n"/>
      <c r="BO148" s="4322" t="n"/>
      <c r="BP148" s="4322" t="n"/>
      <c r="BQ148" s="4315" t="n"/>
      <c r="BR148" s="4328" t="n"/>
      <c r="BT148" s="4315" t="n"/>
      <c r="BU148" s="4315" t="n"/>
    </row>
    <row r="149" ht="12" customFormat="1" customHeight="1" s="4315">
      <c r="A149" s="4316" t="n"/>
      <c r="B149" s="4317" t="n"/>
      <c r="C149" s="4318" t="inlineStr">
        <is>
          <t>[Redacted]</t>
        </is>
      </c>
      <c r="D149" s="4319" t="n">
        <v>11333</v>
      </c>
      <c r="E149" s="4320" t="n"/>
      <c r="F149" s="4320" t="n"/>
      <c r="G149" s="4320" t="n"/>
      <c r="H149" s="4320" t="n"/>
      <c r="I149" s="4321" t="inlineStr">
        <is>
          <t>M</t>
        </is>
      </c>
      <c r="J149" s="4322" t="n"/>
      <c r="K149" s="4322" t="n"/>
      <c r="L149" s="4322" t="n"/>
      <c r="M149" s="4323" t="n"/>
      <c r="N149" s="4323" t="n"/>
      <c r="O149" s="4315" t="n"/>
      <c r="P149" s="4324" t="n"/>
      <c r="Q149" s="4324" t="n"/>
      <c r="R149" s="4324" t="n"/>
      <c r="S149" s="4324" t="n"/>
      <c r="T149" s="4324" t="n"/>
      <c r="U149" s="4315" t="n"/>
      <c r="V149" s="4322" t="n"/>
      <c r="W149" s="4322" t="n"/>
      <c r="X149" s="4322" t="n"/>
      <c r="Y149" s="4322" t="n"/>
      <c r="Z149" s="4322" t="n"/>
      <c r="AA149" s="4322" t="n"/>
      <c r="AB149" s="4322" t="n"/>
      <c r="AC149" s="4322" t="n"/>
      <c r="AD149" s="4322" t="n"/>
      <c r="AE149" s="4322" t="n"/>
      <c r="AF149" s="4322" t="n"/>
      <c r="AG149" s="4326" t="n"/>
      <c r="AH149" s="4322" t="n"/>
      <c r="AI149" s="4322" t="n"/>
      <c r="AJ149" s="4322" t="n"/>
      <c r="AK149" s="4322" t="n"/>
      <c r="AL149" s="4322" t="n"/>
      <c r="AM149" s="4322" t="n"/>
      <c r="AN149" s="4322" t="n"/>
      <c r="AO149" s="4322" t="n"/>
      <c r="AP149" s="4322" t="n"/>
      <c r="AQ149" s="4322" t="n"/>
      <c r="AR149" s="4322" t="n"/>
      <c r="AS149" s="4326" t="n"/>
      <c r="AT149" s="4322" t="n"/>
      <c r="AU149" s="4322" t="n"/>
      <c r="AV149" s="4322" t="n"/>
      <c r="AW149" s="4322" t="n"/>
      <c r="AX149" s="4322" t="n"/>
      <c r="AY149" s="4322" t="n"/>
      <c r="AZ149" s="4322" t="n"/>
      <c r="BA149" s="4322" t="n"/>
      <c r="BB149" s="4322" t="n"/>
      <c r="BC149" s="4322" t="n"/>
      <c r="BD149" s="4322" t="n"/>
      <c r="BE149" s="4326" t="n"/>
      <c r="BF149" s="4322" t="n"/>
      <c r="BG149" s="4322" t="n"/>
      <c r="BH149" s="4322" t="n"/>
      <c r="BI149" s="4322" t="n"/>
      <c r="BJ149" s="4322" t="n"/>
      <c r="BK149" s="4327" t="n"/>
      <c r="BL149" s="4322" t="n"/>
      <c r="BM149" s="4322" t="n"/>
      <c r="BN149" s="4322" t="n"/>
      <c r="BO149" s="4322" t="n"/>
      <c r="BP149" s="4322" t="n"/>
      <c r="BQ149" s="4315" t="n"/>
      <c r="BR149" s="4328" t="n"/>
      <c r="BT149" s="4315" t="n"/>
      <c r="BU149" s="4315" t="n"/>
    </row>
    <row r="150" ht="12" customFormat="1" customHeight="1" s="4315">
      <c r="A150" s="4316" t="n"/>
      <c r="B150" s="4317" t="n"/>
      <c r="C150" s="4318" t="inlineStr">
        <is>
          <t>[Redacted]</t>
        </is>
      </c>
      <c r="D150" s="4319" t="n">
        <v>11251</v>
      </c>
      <c r="E150" s="4320" t="n"/>
      <c r="F150" s="4320" t="n"/>
      <c r="G150" s="4320" t="n"/>
      <c r="H150" s="4320" t="n"/>
      <c r="I150" s="4321" t="inlineStr">
        <is>
          <t>M</t>
        </is>
      </c>
      <c r="J150" s="4322" t="n"/>
      <c r="K150" s="4322" t="n"/>
      <c r="L150" s="4322" t="n"/>
      <c r="M150" s="4323" t="n"/>
      <c r="N150" s="4323" t="n"/>
      <c r="O150" s="4315" t="n"/>
      <c r="P150" s="4324" t="n"/>
      <c r="Q150" s="4324" t="n"/>
      <c r="R150" s="4324" t="n"/>
      <c r="S150" s="4324" t="n"/>
      <c r="T150" s="4324" t="n"/>
      <c r="U150" s="4315" t="n"/>
      <c r="V150" s="4322" t="n"/>
      <c r="W150" s="4322" t="n"/>
      <c r="X150" s="4322" t="n"/>
      <c r="Y150" s="4322" t="n"/>
      <c r="Z150" s="4322" t="n"/>
      <c r="AA150" s="4322" t="n"/>
      <c r="AB150" s="4322" t="n"/>
      <c r="AC150" s="4322" t="n"/>
      <c r="AD150" s="4322" t="n"/>
      <c r="AE150" s="4322" t="n"/>
      <c r="AF150" s="4322" t="n"/>
      <c r="AG150" s="4326" t="n"/>
      <c r="AH150" s="4322" t="n"/>
      <c r="AI150" s="4322" t="n"/>
      <c r="AJ150" s="4322" t="n"/>
      <c r="AK150" s="4322" t="n"/>
      <c r="AL150" s="4322" t="n"/>
      <c r="AM150" s="4322" t="n"/>
      <c r="AN150" s="4322" t="n"/>
      <c r="AO150" s="4322" t="n"/>
      <c r="AP150" s="4322" t="n"/>
      <c r="AQ150" s="4322" t="n"/>
      <c r="AR150" s="4322" t="n"/>
      <c r="AS150" s="4326" t="n"/>
      <c r="AT150" s="4322" t="n"/>
      <c r="AU150" s="4322" t="n"/>
      <c r="AV150" s="4322" t="n"/>
      <c r="AW150" s="4322" t="n"/>
      <c r="AX150" s="4322" t="n"/>
      <c r="AY150" s="4322" t="n"/>
      <c r="AZ150" s="4322" t="n"/>
      <c r="BA150" s="4322" t="n"/>
      <c r="BB150" s="4322" t="n"/>
      <c r="BC150" s="4322" t="n"/>
      <c r="BD150" s="4322" t="n"/>
      <c r="BE150" s="4326" t="n"/>
      <c r="BF150" s="4322" t="n"/>
      <c r="BG150" s="4322" t="n"/>
      <c r="BH150" s="4322" t="n"/>
      <c r="BI150" s="4322" t="n"/>
      <c r="BJ150" s="4322" t="n"/>
      <c r="BK150" s="4327" t="n"/>
      <c r="BL150" s="4322" t="n"/>
      <c r="BM150" s="4322" t="n"/>
      <c r="BN150" s="4322" t="n"/>
      <c r="BO150" s="4322" t="n"/>
      <c r="BP150" s="4322" t="n"/>
      <c r="BQ150" s="4315" t="n"/>
      <c r="BR150" s="4328" t="n"/>
      <c r="BT150" s="4315" t="n"/>
      <c r="BU150" s="4315" t="n"/>
    </row>
    <row r="151" ht="12" customFormat="1" customHeight="1" s="4315">
      <c r="A151" s="4316" t="n"/>
      <c r="B151" s="4317" t="n"/>
      <c r="C151" s="4318" t="inlineStr">
        <is>
          <t>[Redacted]</t>
        </is>
      </c>
      <c r="D151" s="4319" t="n">
        <v>11091</v>
      </c>
      <c r="E151" s="4320" t="n"/>
      <c r="F151" s="4320" t="n"/>
      <c r="G151" s="4320" t="n"/>
      <c r="H151" s="4320" t="n"/>
      <c r="I151" s="4321" t="inlineStr">
        <is>
          <t>F</t>
        </is>
      </c>
      <c r="J151" s="4322" t="n"/>
      <c r="K151" s="4322" t="n"/>
      <c r="L151" s="4322" t="n"/>
      <c r="M151" s="4323" t="n"/>
      <c r="N151" s="4323" t="n"/>
      <c r="O151" s="4315" t="n"/>
      <c r="P151" s="4324" t="n"/>
      <c r="Q151" s="4324" t="n"/>
      <c r="R151" s="4324" t="n"/>
      <c r="S151" s="4324" t="n"/>
      <c r="T151" s="4324" t="n"/>
      <c r="U151" s="4315" t="n"/>
      <c r="V151" s="4322" t="n"/>
      <c r="W151" s="4322" t="n"/>
      <c r="X151" s="4322" t="n"/>
      <c r="Y151" s="4322" t="n"/>
      <c r="Z151" s="4322" t="n"/>
      <c r="AA151" s="4322" t="n"/>
      <c r="AB151" s="4322" t="n"/>
      <c r="AC151" s="4322" t="n"/>
      <c r="AD151" s="4322" t="n"/>
      <c r="AE151" s="4322" t="n"/>
      <c r="AF151" s="4322" t="n"/>
      <c r="AG151" s="4326" t="n"/>
      <c r="AH151" s="4322" t="n"/>
      <c r="AI151" s="4322" t="n"/>
      <c r="AJ151" s="4322" t="n"/>
      <c r="AK151" s="4322" t="n"/>
      <c r="AL151" s="4322" t="n"/>
      <c r="AM151" s="4322" t="n"/>
      <c r="AN151" s="4322" t="n"/>
      <c r="AO151" s="4322" t="n"/>
      <c r="AP151" s="4322" t="n"/>
      <c r="AQ151" s="4322" t="n"/>
      <c r="AR151" s="4322" t="n"/>
      <c r="AS151" s="4326" t="n"/>
      <c r="AT151" s="4322" t="n"/>
      <c r="AU151" s="4322" t="n"/>
      <c r="AV151" s="4322" t="n"/>
      <c r="AW151" s="4322" t="n"/>
      <c r="AX151" s="4322" t="n"/>
      <c r="AY151" s="4322" t="n"/>
      <c r="AZ151" s="4322" t="n"/>
      <c r="BA151" s="4322" t="n"/>
      <c r="BB151" s="4322" t="n"/>
      <c r="BC151" s="4322" t="n"/>
      <c r="BD151" s="4322" t="n"/>
      <c r="BE151" s="4326" t="n"/>
      <c r="BF151" s="4322" t="n"/>
      <c r="BG151" s="4322" t="n"/>
      <c r="BH151" s="4322" t="n"/>
      <c r="BI151" s="4322" t="n"/>
      <c r="BJ151" s="4322" t="n"/>
      <c r="BK151" s="4327" t="n"/>
      <c r="BL151" s="4322" t="n"/>
      <c r="BM151" s="4322" t="n"/>
      <c r="BN151" s="4322" t="n"/>
      <c r="BO151" s="4322" t="n"/>
      <c r="BP151" s="4322" t="n"/>
      <c r="BQ151" s="4315" t="n"/>
      <c r="BR151" s="4328" t="n"/>
      <c r="BT151" s="4315" t="n"/>
      <c r="BU151" s="4315" t="n"/>
    </row>
    <row r="152" ht="12" customFormat="1" customHeight="1" s="4315">
      <c r="A152" s="4316" t="n"/>
      <c r="B152" s="4317" t="n"/>
      <c r="C152" s="4318" t="inlineStr">
        <is>
          <t>[Redacted]</t>
        </is>
      </c>
      <c r="D152" s="4319" t="n">
        <v>11307</v>
      </c>
      <c r="E152" s="4320" t="n"/>
      <c r="F152" s="4320" t="n"/>
      <c r="G152" s="4320" t="n"/>
      <c r="H152" s="4320" t="n"/>
      <c r="I152" s="4321" t="inlineStr">
        <is>
          <t>M</t>
        </is>
      </c>
      <c r="J152" s="4322" t="n"/>
      <c r="K152" s="4322" t="n"/>
      <c r="L152" s="4322" t="n"/>
      <c r="M152" s="4323" t="n"/>
      <c r="N152" s="4323" t="n"/>
      <c r="O152" s="4315" t="n"/>
      <c r="P152" s="4324" t="n"/>
      <c r="Q152" s="4324" t="n"/>
      <c r="R152" s="4324" t="n"/>
      <c r="S152" s="4324" t="n"/>
      <c r="T152" s="4324" t="n"/>
      <c r="U152" s="4315" t="n"/>
      <c r="V152" s="4322" t="n"/>
      <c r="W152" s="4322" t="n"/>
      <c r="X152" s="4322" t="n"/>
      <c r="Y152" s="4322" t="n"/>
      <c r="Z152" s="4322" t="n"/>
      <c r="AA152" s="4322" t="n"/>
      <c r="AB152" s="4322" t="n"/>
      <c r="AC152" s="4322" t="n"/>
      <c r="AD152" s="4322" t="n"/>
      <c r="AE152" s="4322" t="n"/>
      <c r="AF152" s="4322" t="n"/>
      <c r="AG152" s="4326" t="n"/>
      <c r="AH152" s="4322" t="n"/>
      <c r="AI152" s="4322" t="n"/>
      <c r="AJ152" s="4322" t="n"/>
      <c r="AK152" s="4322" t="n"/>
      <c r="AL152" s="4322" t="n"/>
      <c r="AM152" s="4322" t="n"/>
      <c r="AN152" s="4322" t="n"/>
      <c r="AO152" s="4322" t="n"/>
      <c r="AP152" s="4322" t="n"/>
      <c r="AQ152" s="4322" t="n"/>
      <c r="AR152" s="4322" t="n"/>
      <c r="AS152" s="4326" t="n"/>
      <c r="AT152" s="4322" t="n"/>
      <c r="AU152" s="4322" t="n"/>
      <c r="AV152" s="4322" t="n"/>
      <c r="AW152" s="4322" t="n"/>
      <c r="AX152" s="4322" t="n"/>
      <c r="AY152" s="4322" t="n"/>
      <c r="AZ152" s="4322" t="n"/>
      <c r="BA152" s="4322" t="n"/>
      <c r="BB152" s="4322" t="n"/>
      <c r="BC152" s="4322" t="n"/>
      <c r="BD152" s="4322" t="n"/>
      <c r="BE152" s="4326" t="n"/>
      <c r="BF152" s="4322" t="n"/>
      <c r="BG152" s="4322" t="n"/>
      <c r="BH152" s="4322" t="n"/>
      <c r="BI152" s="4322" t="n"/>
      <c r="BJ152" s="4322" t="n"/>
      <c r="BK152" s="4327" t="n"/>
      <c r="BL152" s="4322" t="n"/>
      <c r="BM152" s="4322" t="n"/>
      <c r="BN152" s="4322" t="n"/>
      <c r="BO152" s="4322" t="n"/>
      <c r="BP152" s="4322" t="n"/>
      <c r="BQ152" s="4315" t="n"/>
      <c r="BR152" s="4328" t="n"/>
      <c r="BT152" s="4315" t="n"/>
      <c r="BU152" s="4315" t="n"/>
    </row>
    <row r="153" ht="12" customFormat="1" customHeight="1" s="4315">
      <c r="A153" s="4316" t="n"/>
      <c r="B153" s="4317" t="n"/>
      <c r="C153" s="4318" t="inlineStr">
        <is>
          <t>[Redacted]</t>
        </is>
      </c>
      <c r="D153" s="4319" t="n">
        <v>11277</v>
      </c>
      <c r="E153" s="4320" t="n"/>
      <c r="F153" s="4320" t="n"/>
      <c r="G153" s="4320" t="n"/>
      <c r="H153" s="4320" t="n"/>
      <c r="I153" s="4321" t="inlineStr">
        <is>
          <t>M</t>
        </is>
      </c>
      <c r="J153" s="4322" t="n"/>
      <c r="K153" s="4322" t="n"/>
      <c r="L153" s="4322" t="n"/>
      <c r="M153" s="4323" t="n"/>
      <c r="N153" s="4323" t="n"/>
      <c r="O153" s="4315" t="n"/>
      <c r="P153" s="4324" t="n"/>
      <c r="Q153" s="4324" t="n"/>
      <c r="R153" s="4324" t="n"/>
      <c r="S153" s="4324" t="n"/>
      <c r="T153" s="4324" t="n"/>
      <c r="U153" s="4315" t="n"/>
      <c r="V153" s="4322" t="n"/>
      <c r="W153" s="4322" t="n"/>
      <c r="X153" s="4322" t="n"/>
      <c r="Y153" s="4322" t="n"/>
      <c r="Z153" s="4322" t="n"/>
      <c r="AA153" s="4322" t="n"/>
      <c r="AB153" s="4322" t="n"/>
      <c r="AC153" s="4322" t="n"/>
      <c r="AD153" s="4322" t="n"/>
      <c r="AE153" s="4322" t="n"/>
      <c r="AF153" s="4322" t="n"/>
      <c r="AG153" s="4326" t="n"/>
      <c r="AH153" s="4322" t="n"/>
      <c r="AI153" s="4322" t="n"/>
      <c r="AJ153" s="4322" t="n"/>
      <c r="AK153" s="4322" t="n"/>
      <c r="AL153" s="4322" t="n"/>
      <c r="AM153" s="4322" t="n"/>
      <c r="AN153" s="4322" t="n"/>
      <c r="AO153" s="4322" t="n"/>
      <c r="AP153" s="4322" t="n"/>
      <c r="AQ153" s="4322" t="n"/>
      <c r="AR153" s="4322" t="n"/>
      <c r="AS153" s="4326" t="n"/>
      <c r="AT153" s="4322" t="n"/>
      <c r="AU153" s="4322" t="n"/>
      <c r="AV153" s="4322" t="n"/>
      <c r="AW153" s="4322" t="n"/>
      <c r="AX153" s="4322" t="n"/>
      <c r="AY153" s="4322" t="n"/>
      <c r="AZ153" s="4322" t="n"/>
      <c r="BA153" s="4322" t="n"/>
      <c r="BB153" s="4322" t="n"/>
      <c r="BC153" s="4322" t="n"/>
      <c r="BD153" s="4322" t="n"/>
      <c r="BE153" s="4326" t="n"/>
      <c r="BF153" s="4322" t="n"/>
      <c r="BG153" s="4322" t="n"/>
      <c r="BH153" s="4322" t="n"/>
      <c r="BI153" s="4322" t="n"/>
      <c r="BJ153" s="4322" t="n"/>
      <c r="BK153" s="4327" t="n"/>
      <c r="BL153" s="4322" t="n"/>
      <c r="BM153" s="4322" t="n"/>
      <c r="BN153" s="4322" t="n"/>
      <c r="BO153" s="4322" t="n"/>
      <c r="BP153" s="4322" t="n"/>
      <c r="BQ153" s="4315" t="n"/>
      <c r="BR153" s="4328" t="n"/>
      <c r="BT153" s="4315" t="n"/>
      <c r="BU153" s="4315" t="n"/>
    </row>
    <row r="154" ht="12" customFormat="1" customHeight="1" s="4315">
      <c r="A154" s="4316" t="n"/>
      <c r="B154" s="4317" t="n"/>
      <c r="C154" s="4318" t="inlineStr">
        <is>
          <t>[Redacted]</t>
        </is>
      </c>
      <c r="D154" s="4319" t="n">
        <v>11019</v>
      </c>
      <c r="E154" s="4320" t="n"/>
      <c r="F154" s="4320" t="n"/>
      <c r="G154" s="4320" t="n"/>
      <c r="H154" s="4320" t="n"/>
      <c r="I154" s="4321" t="inlineStr">
        <is>
          <t>M</t>
        </is>
      </c>
      <c r="J154" s="4322" t="n"/>
      <c r="K154" s="4322" t="n"/>
      <c r="L154" s="4322" t="n"/>
      <c r="M154" s="4323" t="n"/>
      <c r="N154" s="4323" t="n"/>
      <c r="O154" s="4315" t="n"/>
      <c r="P154" s="4324" t="n"/>
      <c r="Q154" s="4324" t="n"/>
      <c r="R154" s="4324" t="n"/>
      <c r="S154" s="4324" t="n"/>
      <c r="T154" s="4324" t="n"/>
      <c r="U154" s="4315" t="n"/>
      <c r="V154" s="4322" t="n"/>
      <c r="W154" s="4322" t="n"/>
      <c r="X154" s="4322" t="n"/>
      <c r="Y154" s="4322" t="n"/>
      <c r="Z154" s="4322" t="n"/>
      <c r="AA154" s="4322" t="n"/>
      <c r="AB154" s="4322" t="n"/>
      <c r="AC154" s="4322" t="n"/>
      <c r="AD154" s="4322" t="n"/>
      <c r="AE154" s="4322" t="n"/>
      <c r="AF154" s="4322" t="n"/>
      <c r="AG154" s="4326" t="n"/>
      <c r="AH154" s="4322" t="n"/>
      <c r="AI154" s="4322" t="n"/>
      <c r="AJ154" s="4322" t="n"/>
      <c r="AK154" s="4322" t="n"/>
      <c r="AL154" s="4322" t="n"/>
      <c r="AM154" s="4322" t="n"/>
      <c r="AN154" s="4322" t="n"/>
      <c r="AO154" s="4322" t="n"/>
      <c r="AP154" s="4322" t="n"/>
      <c r="AQ154" s="4322" t="n"/>
      <c r="AR154" s="4322" t="n"/>
      <c r="AS154" s="4326" t="n"/>
      <c r="AT154" s="4322" t="n"/>
      <c r="AU154" s="4322" t="n"/>
      <c r="AV154" s="4322" t="n"/>
      <c r="AW154" s="4322" t="n"/>
      <c r="AX154" s="4322" t="n"/>
      <c r="AY154" s="4322" t="n"/>
      <c r="AZ154" s="4322" t="n"/>
      <c r="BA154" s="4322" t="n"/>
      <c r="BB154" s="4322" t="n"/>
      <c r="BC154" s="4322" t="n"/>
      <c r="BD154" s="4322" t="n"/>
      <c r="BE154" s="4326" t="n"/>
      <c r="BF154" s="4322" t="n"/>
      <c r="BG154" s="4322" t="n"/>
      <c r="BH154" s="4322" t="n"/>
      <c r="BI154" s="4322" t="n"/>
      <c r="BJ154" s="4322" t="n"/>
      <c r="BK154" s="4327" t="n"/>
      <c r="BL154" s="4322" t="n"/>
      <c r="BM154" s="4322" t="n"/>
      <c r="BN154" s="4322" t="n"/>
      <c r="BO154" s="4322" t="n"/>
      <c r="BP154" s="4322" t="n"/>
      <c r="BQ154" s="4315" t="n"/>
      <c r="BR154" s="4328" t="n"/>
      <c r="BT154" s="4315" t="n"/>
      <c r="BU154" s="4315" t="n"/>
    </row>
    <row r="155" ht="12" customFormat="1" customHeight="1" s="4315">
      <c r="A155" s="4316" t="n"/>
      <c r="B155" s="4317" t="n"/>
      <c r="C155" s="4318" t="inlineStr">
        <is>
          <t>[Redacted]</t>
        </is>
      </c>
      <c r="D155" s="4319" t="n">
        <v>11278</v>
      </c>
      <c r="E155" s="4320" t="n"/>
      <c r="F155" s="4320" t="n"/>
      <c r="G155" s="4320" t="n"/>
      <c r="H155" s="4320" t="n"/>
      <c r="I155" s="4321" t="inlineStr">
        <is>
          <t>M</t>
        </is>
      </c>
      <c r="J155" s="4322" t="n"/>
      <c r="K155" s="4322" t="n"/>
      <c r="L155" s="4322" t="n"/>
      <c r="M155" s="4323" t="n"/>
      <c r="N155" s="4323" t="n"/>
      <c r="O155" s="4315" t="n"/>
      <c r="P155" s="4324" t="n"/>
      <c r="Q155" s="4324" t="n"/>
      <c r="R155" s="4324" t="n"/>
      <c r="S155" s="4324" t="n"/>
      <c r="T155" s="4324" t="n"/>
      <c r="U155" s="4315" t="n"/>
      <c r="V155" s="4322" t="n"/>
      <c r="W155" s="4322" t="n"/>
      <c r="X155" s="4322" t="n"/>
      <c r="Y155" s="4322" t="n"/>
      <c r="Z155" s="4322" t="n"/>
      <c r="AA155" s="4322" t="n"/>
      <c r="AB155" s="4322" t="n"/>
      <c r="AC155" s="4322" t="n"/>
      <c r="AD155" s="4322" t="n"/>
      <c r="AE155" s="4322" t="n"/>
      <c r="AF155" s="4322" t="n"/>
      <c r="AG155" s="4326" t="n"/>
      <c r="AH155" s="4322" t="n"/>
      <c r="AI155" s="4322" t="n"/>
      <c r="AJ155" s="4322" t="n"/>
      <c r="AK155" s="4322" t="n"/>
      <c r="AL155" s="4322" t="n"/>
      <c r="AM155" s="4322" t="n"/>
      <c r="AN155" s="4322" t="n"/>
      <c r="AO155" s="4322" t="n"/>
      <c r="AP155" s="4322" t="n"/>
      <c r="AQ155" s="4322" t="n"/>
      <c r="AR155" s="4322" t="n"/>
      <c r="AS155" s="4326" t="n"/>
      <c r="AT155" s="4322" t="n"/>
      <c r="AU155" s="4322" t="n"/>
      <c r="AV155" s="4322" t="n"/>
      <c r="AW155" s="4322" t="n"/>
      <c r="AX155" s="4322" t="n"/>
      <c r="AY155" s="4322" t="n"/>
      <c r="AZ155" s="4322" t="n"/>
      <c r="BA155" s="4322" t="n"/>
      <c r="BB155" s="4322" t="n"/>
      <c r="BC155" s="4322" t="n"/>
      <c r="BD155" s="4322" t="n"/>
      <c r="BE155" s="4326" t="n"/>
      <c r="BF155" s="4322" t="n"/>
      <c r="BG155" s="4322" t="n"/>
      <c r="BH155" s="4322" t="n"/>
      <c r="BI155" s="4322" t="n"/>
      <c r="BJ155" s="4322" t="n"/>
      <c r="BK155" s="4327" t="n"/>
      <c r="BL155" s="4322" t="n"/>
      <c r="BM155" s="4322" t="n"/>
      <c r="BN155" s="4322" t="n"/>
      <c r="BO155" s="4322" t="n"/>
      <c r="BP155" s="4322" t="n"/>
      <c r="BQ155" s="4315" t="n"/>
      <c r="BR155" s="4328" t="n"/>
      <c r="BT155" s="4315" t="n"/>
      <c r="BU155" s="4315" t="n"/>
    </row>
    <row r="156" ht="12" customFormat="1" customHeight="1" s="4315">
      <c r="A156" s="4316" t="n"/>
      <c r="B156" s="4317" t="n"/>
      <c r="C156" s="4318" t="inlineStr">
        <is>
          <t>[Redacted]</t>
        </is>
      </c>
      <c r="D156" s="4319" t="n">
        <v>11282</v>
      </c>
      <c r="E156" s="4320" t="n"/>
      <c r="F156" s="4320" t="n"/>
      <c r="G156" s="4320" t="n"/>
      <c r="H156" s="4320" t="n"/>
      <c r="I156" s="4321" t="inlineStr">
        <is>
          <t>M</t>
        </is>
      </c>
      <c r="J156" s="4322" t="n"/>
      <c r="K156" s="4322" t="n"/>
      <c r="L156" s="4322" t="n"/>
      <c r="M156" s="4323" t="n"/>
      <c r="N156" s="4323" t="n"/>
      <c r="O156" s="4315" t="n"/>
      <c r="P156" s="4324" t="n"/>
      <c r="Q156" s="4324" t="n"/>
      <c r="R156" s="4324" t="n"/>
      <c r="S156" s="4324" t="n"/>
      <c r="T156" s="4324" t="n"/>
      <c r="U156" s="4315" t="n"/>
      <c r="V156" s="4322" t="n"/>
      <c r="W156" s="4322" t="n"/>
      <c r="X156" s="4322" t="n"/>
      <c r="Y156" s="4322" t="n"/>
      <c r="Z156" s="4322" t="n"/>
      <c r="AA156" s="4322" t="n"/>
      <c r="AB156" s="4322" t="n"/>
      <c r="AC156" s="4322" t="n"/>
      <c r="AD156" s="4322" t="n"/>
      <c r="AE156" s="4322" t="n"/>
      <c r="AF156" s="4322" t="n"/>
      <c r="AG156" s="4326" t="n"/>
      <c r="AH156" s="4322" t="n"/>
      <c r="AI156" s="4322" t="n"/>
      <c r="AJ156" s="4322" t="n"/>
      <c r="AK156" s="4322" t="n"/>
      <c r="AL156" s="4322" t="n"/>
      <c r="AM156" s="4322" t="n"/>
      <c r="AN156" s="4322" t="n"/>
      <c r="AO156" s="4322" t="n"/>
      <c r="AP156" s="4322" t="n"/>
      <c r="AQ156" s="4322" t="n"/>
      <c r="AR156" s="4322" t="n"/>
      <c r="AS156" s="4326" t="n"/>
      <c r="AT156" s="4322" t="n"/>
      <c r="AU156" s="4322" t="n"/>
      <c r="AV156" s="4322" t="n"/>
      <c r="AW156" s="4322" t="n"/>
      <c r="AX156" s="4322" t="n"/>
      <c r="AY156" s="4322" t="n"/>
      <c r="AZ156" s="4322" t="n"/>
      <c r="BA156" s="4322" t="n"/>
      <c r="BB156" s="4322" t="n"/>
      <c r="BC156" s="4322" t="n"/>
      <c r="BD156" s="4322" t="n"/>
      <c r="BE156" s="4326" t="n"/>
      <c r="BF156" s="4322" t="n"/>
      <c r="BG156" s="4322" t="n"/>
      <c r="BH156" s="4322" t="n"/>
      <c r="BI156" s="4322" t="n"/>
      <c r="BJ156" s="4322" t="n"/>
      <c r="BK156" s="4327" t="n"/>
      <c r="BL156" s="4322" t="n"/>
      <c r="BM156" s="4322" t="n"/>
      <c r="BN156" s="4322" t="n"/>
      <c r="BO156" s="4322" t="n"/>
      <c r="BP156" s="4322" t="n"/>
      <c r="BQ156" s="4315" t="n"/>
      <c r="BR156" s="4328" t="n"/>
      <c r="BT156" s="4315" t="n"/>
      <c r="BU156" s="4315" t="n"/>
    </row>
    <row r="157" ht="12" customFormat="1" customHeight="1" s="4315">
      <c r="A157" s="4316" t="n"/>
      <c r="B157" s="4317" t="n"/>
      <c r="C157" s="4318" t="inlineStr">
        <is>
          <t>[Redacted]</t>
        </is>
      </c>
      <c r="D157" s="4319" t="n">
        <v>11281</v>
      </c>
      <c r="E157" s="4320" t="n"/>
      <c r="F157" s="4320" t="n"/>
      <c r="G157" s="4320" t="n"/>
      <c r="H157" s="4320" t="n"/>
      <c r="I157" s="4321" t="inlineStr">
        <is>
          <t>F</t>
        </is>
      </c>
      <c r="J157" s="4322" t="n"/>
      <c r="K157" s="4322" t="n"/>
      <c r="L157" s="4322" t="n"/>
      <c r="M157" s="4323" t="n"/>
      <c r="N157" s="4323" t="n"/>
      <c r="O157" s="4315" t="n"/>
      <c r="P157" s="4324" t="n"/>
      <c r="Q157" s="4324" t="n"/>
      <c r="R157" s="4324" t="n"/>
      <c r="S157" s="4324" t="n"/>
      <c r="T157" s="4324" t="n"/>
      <c r="U157" s="4315" t="n"/>
      <c r="V157" s="4322" t="n"/>
      <c r="W157" s="4322" t="n"/>
      <c r="X157" s="4322" t="n"/>
      <c r="Y157" s="4322" t="n"/>
      <c r="Z157" s="4322" t="n"/>
      <c r="AA157" s="4322" t="n"/>
      <c r="AB157" s="4322" t="n"/>
      <c r="AC157" s="4322" t="n"/>
      <c r="AD157" s="4322" t="n"/>
      <c r="AE157" s="4322" t="n"/>
      <c r="AF157" s="4322" t="n"/>
      <c r="AG157" s="4326" t="n"/>
      <c r="AH157" s="4322" t="n"/>
      <c r="AI157" s="4322" t="n"/>
      <c r="AJ157" s="4322" t="n"/>
      <c r="AK157" s="4322" t="n"/>
      <c r="AL157" s="4322" t="n"/>
      <c r="AM157" s="4322" t="n"/>
      <c r="AN157" s="4322" t="n"/>
      <c r="AO157" s="4322" t="n"/>
      <c r="AP157" s="4322" t="n"/>
      <c r="AQ157" s="4322" t="n"/>
      <c r="AR157" s="4322" t="n"/>
      <c r="AS157" s="4326" t="n"/>
      <c r="AT157" s="4322" t="n"/>
      <c r="AU157" s="4322" t="n"/>
      <c r="AV157" s="4322" t="n"/>
      <c r="AW157" s="4322" t="n"/>
      <c r="AX157" s="4322" t="n"/>
      <c r="AY157" s="4322" t="n"/>
      <c r="AZ157" s="4322" t="n"/>
      <c r="BA157" s="4322" t="n"/>
      <c r="BB157" s="4322" t="n"/>
      <c r="BC157" s="4322" t="n"/>
      <c r="BD157" s="4322" t="n"/>
      <c r="BE157" s="4326" t="n"/>
      <c r="BF157" s="4322" t="n"/>
      <c r="BG157" s="4322" t="n"/>
      <c r="BH157" s="4322" t="n"/>
      <c r="BI157" s="4322" t="n"/>
      <c r="BJ157" s="4322" t="n"/>
      <c r="BK157" s="4327" t="n"/>
      <c r="BL157" s="4322" t="n"/>
      <c r="BM157" s="4322" t="n"/>
      <c r="BN157" s="4322" t="n"/>
      <c r="BO157" s="4322" t="n"/>
      <c r="BP157" s="4322" t="n"/>
      <c r="BQ157" s="4315" t="n"/>
      <c r="BR157" s="4328" t="n"/>
      <c r="BT157" s="4315" t="n"/>
      <c r="BU157" s="4315" t="n"/>
    </row>
    <row r="158" ht="12" customFormat="1" customHeight="1" s="4315">
      <c r="A158" s="4316" t="n"/>
      <c r="B158" s="4317" t="n"/>
      <c r="C158" s="4318" t="inlineStr">
        <is>
          <t>[Redacted]</t>
        </is>
      </c>
      <c r="D158" s="4319" t="n">
        <v>11358</v>
      </c>
      <c r="E158" s="4320" t="n"/>
      <c r="F158" s="4320" t="n"/>
      <c r="G158" s="4320" t="n"/>
      <c r="H158" s="4320" t="n"/>
      <c r="I158" s="4321" t="inlineStr">
        <is>
          <t>M</t>
        </is>
      </c>
      <c r="J158" s="4322" t="n"/>
      <c r="K158" s="4322" t="n"/>
      <c r="L158" s="4322" t="n"/>
      <c r="M158" s="4323" t="n"/>
      <c r="N158" s="4323" t="n"/>
      <c r="O158" s="4315" t="n"/>
      <c r="P158" s="4324" t="n"/>
      <c r="Q158" s="4324" t="n"/>
      <c r="R158" s="4324" t="n"/>
      <c r="S158" s="4324" t="n"/>
      <c r="T158" s="4324" t="n"/>
      <c r="U158" s="4315" t="n"/>
      <c r="V158" s="4322" t="n"/>
      <c r="W158" s="4322" t="n"/>
      <c r="X158" s="4322" t="n"/>
      <c r="Y158" s="4322" t="n"/>
      <c r="Z158" s="4322" t="n"/>
      <c r="AA158" s="4322" t="n"/>
      <c r="AB158" s="4322" t="n"/>
      <c r="AC158" s="4322" t="n"/>
      <c r="AD158" s="4322" t="n"/>
      <c r="AE158" s="4322" t="n"/>
      <c r="AF158" s="4322" t="n"/>
      <c r="AG158" s="4326" t="n"/>
      <c r="AH158" s="4322" t="n"/>
      <c r="AI158" s="4322" t="n"/>
      <c r="AJ158" s="4322" t="n"/>
      <c r="AK158" s="4322" t="n"/>
      <c r="AL158" s="4322" t="n"/>
      <c r="AM158" s="4322" t="n"/>
      <c r="AN158" s="4322" t="n"/>
      <c r="AO158" s="4322" t="n"/>
      <c r="AP158" s="4322" t="n"/>
      <c r="AQ158" s="4322" t="n"/>
      <c r="AR158" s="4322" t="n"/>
      <c r="AS158" s="4326" t="n"/>
      <c r="AT158" s="4322" t="n"/>
      <c r="AU158" s="4322" t="n"/>
      <c r="AV158" s="4322" t="n"/>
      <c r="AW158" s="4322" t="n"/>
      <c r="AX158" s="4322" t="n"/>
      <c r="AY158" s="4322" t="n"/>
      <c r="AZ158" s="4322" t="n"/>
      <c r="BA158" s="4322" t="n"/>
      <c r="BB158" s="4322" t="n"/>
      <c r="BC158" s="4322" t="n"/>
      <c r="BD158" s="4322" t="n"/>
      <c r="BE158" s="4326" t="n"/>
      <c r="BF158" s="4322" t="n"/>
      <c r="BG158" s="4322" t="n"/>
      <c r="BH158" s="4322" t="n"/>
      <c r="BI158" s="4322" t="n"/>
      <c r="BJ158" s="4322" t="n"/>
      <c r="BK158" s="4327" t="n"/>
      <c r="BL158" s="4322" t="n"/>
      <c r="BM158" s="4322" t="n"/>
      <c r="BN158" s="4322" t="n"/>
      <c r="BO158" s="4322" t="n"/>
      <c r="BP158" s="4322" t="n"/>
      <c r="BQ158" s="4315" t="n"/>
      <c r="BR158" s="4328" t="n"/>
      <c r="BT158" s="4315" t="n"/>
      <c r="BU158" s="4315" t="n"/>
    </row>
    <row r="159" ht="12" customFormat="1" customHeight="1" s="4315">
      <c r="A159" s="4316" t="n"/>
      <c r="B159" s="4317" t="n"/>
      <c r="C159" s="4318" t="inlineStr">
        <is>
          <t>[Redacted]</t>
        </is>
      </c>
      <c r="D159" s="4319" t="n">
        <v>11302</v>
      </c>
      <c r="E159" s="4320" t="n"/>
      <c r="F159" s="4320" t="n"/>
      <c r="G159" s="4320" t="n"/>
      <c r="H159" s="4320" t="n"/>
      <c r="I159" s="4321" t="inlineStr">
        <is>
          <t>M</t>
        </is>
      </c>
      <c r="J159" s="4322" t="n"/>
      <c r="K159" s="4322" t="n"/>
      <c r="L159" s="4322" t="n"/>
      <c r="M159" s="4323" t="n"/>
      <c r="N159" s="4323" t="n"/>
      <c r="O159" s="4315" t="n"/>
      <c r="P159" s="4324" t="n"/>
      <c r="Q159" s="4324" t="n"/>
      <c r="R159" s="4324" t="n"/>
      <c r="S159" s="4324" t="n"/>
      <c r="T159" s="4324" t="n"/>
      <c r="U159" s="4315" t="n"/>
      <c r="V159" s="4322" t="n"/>
      <c r="W159" s="4322" t="n"/>
      <c r="X159" s="4322" t="n"/>
      <c r="Y159" s="4322" t="n"/>
      <c r="Z159" s="4322" t="n"/>
      <c r="AA159" s="4322" t="n"/>
      <c r="AB159" s="4322" t="n"/>
      <c r="AC159" s="4322" t="n"/>
      <c r="AD159" s="4322" t="n"/>
      <c r="AE159" s="4322" t="n"/>
      <c r="AF159" s="4322" t="n"/>
      <c r="AG159" s="4326" t="n"/>
      <c r="AH159" s="4322" t="n"/>
      <c r="AI159" s="4322" t="n"/>
      <c r="AJ159" s="4322" t="n"/>
      <c r="AK159" s="4322" t="n"/>
      <c r="AL159" s="4322" t="n"/>
      <c r="AM159" s="4322" t="n"/>
      <c r="AN159" s="4322" t="n"/>
      <c r="AO159" s="4322" t="n"/>
      <c r="AP159" s="4322" t="n"/>
      <c r="AQ159" s="4322" t="n"/>
      <c r="AR159" s="4322" t="n"/>
      <c r="AS159" s="4326" t="n"/>
      <c r="AT159" s="4322" t="n"/>
      <c r="AU159" s="4322" t="n"/>
      <c r="AV159" s="4322" t="n"/>
      <c r="AW159" s="4322" t="n"/>
      <c r="AX159" s="4322" t="n"/>
      <c r="AY159" s="4322" t="n"/>
      <c r="AZ159" s="4322" t="n"/>
      <c r="BA159" s="4322" t="n"/>
      <c r="BB159" s="4322" t="n"/>
      <c r="BC159" s="4322" t="n"/>
      <c r="BD159" s="4322" t="n"/>
      <c r="BE159" s="4326" t="n"/>
      <c r="BF159" s="4322" t="n"/>
      <c r="BG159" s="4322" t="n"/>
      <c r="BH159" s="4322" t="n"/>
      <c r="BI159" s="4322" t="n"/>
      <c r="BJ159" s="4322" t="n"/>
      <c r="BK159" s="4327" t="n"/>
      <c r="BL159" s="4322" t="n"/>
      <c r="BM159" s="4322" t="n"/>
      <c r="BN159" s="4322" t="n"/>
      <c r="BO159" s="4322" t="n"/>
      <c r="BP159" s="4322" t="n"/>
      <c r="BQ159" s="4315" t="n"/>
      <c r="BR159" s="4328" t="n"/>
      <c r="BT159" s="4315" t="n"/>
      <c r="BU159" s="4315" t="n"/>
    </row>
    <row r="160" ht="12" customFormat="1" customHeight="1" s="4315">
      <c r="A160" s="4316" t="n"/>
      <c r="B160" s="4317" t="n"/>
      <c r="C160" s="4318" t="inlineStr">
        <is>
          <t>[Redacted]</t>
        </is>
      </c>
      <c r="D160" s="4319" t="n">
        <v>11295</v>
      </c>
      <c r="E160" s="4320" t="n"/>
      <c r="F160" s="4320" t="n"/>
      <c r="G160" s="4320" t="n"/>
      <c r="H160" s="4320" t="n"/>
      <c r="I160" s="4321" t="inlineStr">
        <is>
          <t>M</t>
        </is>
      </c>
      <c r="J160" s="4322" t="n"/>
      <c r="K160" s="4322" t="n"/>
      <c r="L160" s="4322" t="n"/>
      <c r="M160" s="4323" t="n"/>
      <c r="N160" s="4323" t="n"/>
      <c r="O160" s="4315" t="n"/>
      <c r="P160" s="4324" t="n"/>
      <c r="Q160" s="4324" t="n"/>
      <c r="R160" s="4324" t="n"/>
      <c r="S160" s="4324" t="n"/>
      <c r="T160" s="4324" t="n"/>
      <c r="U160" s="4315" t="n"/>
      <c r="V160" s="4322" t="n"/>
      <c r="W160" s="4322" t="n"/>
      <c r="X160" s="4322" t="n"/>
      <c r="Y160" s="4322" t="n"/>
      <c r="Z160" s="4322" t="n"/>
      <c r="AA160" s="4322" t="n"/>
      <c r="AB160" s="4322" t="n"/>
      <c r="AC160" s="4322" t="n"/>
      <c r="AD160" s="4322" t="n"/>
      <c r="AE160" s="4322" t="n"/>
      <c r="AF160" s="4322" t="n"/>
      <c r="AG160" s="4326" t="n"/>
      <c r="AH160" s="4322" t="n"/>
      <c r="AI160" s="4322" t="n"/>
      <c r="AJ160" s="4322" t="n"/>
      <c r="AK160" s="4322" t="n"/>
      <c r="AL160" s="4322" t="n"/>
      <c r="AM160" s="4322" t="n"/>
      <c r="AN160" s="4322" t="n"/>
      <c r="AO160" s="4322" t="n"/>
      <c r="AP160" s="4322" t="n"/>
      <c r="AQ160" s="4322" t="n"/>
      <c r="AR160" s="4322" t="n"/>
      <c r="AS160" s="4326" t="n"/>
      <c r="AT160" s="4322" t="n"/>
      <c r="AU160" s="4322" t="n"/>
      <c r="AV160" s="4322" t="n"/>
      <c r="AW160" s="4322" t="n"/>
      <c r="AX160" s="4322" t="n"/>
      <c r="AY160" s="4322" t="n"/>
      <c r="AZ160" s="4322" t="n"/>
      <c r="BA160" s="4322" t="n"/>
      <c r="BB160" s="4322" t="n"/>
      <c r="BC160" s="4322" t="n"/>
      <c r="BD160" s="4322" t="n"/>
      <c r="BE160" s="4326" t="n"/>
      <c r="BF160" s="4322" t="n"/>
      <c r="BG160" s="4322" t="n"/>
      <c r="BH160" s="4322" t="n"/>
      <c r="BI160" s="4322" t="n"/>
      <c r="BJ160" s="4322" t="n"/>
      <c r="BK160" s="4327" t="n"/>
      <c r="BL160" s="4322" t="n"/>
      <c r="BM160" s="4322" t="n"/>
      <c r="BN160" s="4322" t="n"/>
      <c r="BO160" s="4322" t="n"/>
      <c r="BP160" s="4322" t="n"/>
      <c r="BQ160" s="4315" t="n"/>
      <c r="BR160" s="4328" t="n"/>
      <c r="BT160" s="4315" t="n"/>
      <c r="BU160" s="4315" t="n"/>
    </row>
    <row r="161" ht="12" customFormat="1" customHeight="1" s="4315">
      <c r="A161" s="4316" t="n"/>
      <c r="B161" s="4317" t="n"/>
      <c r="C161" s="4318" t="inlineStr">
        <is>
          <t>[Redacted]</t>
        </is>
      </c>
      <c r="D161" s="4319" t="n">
        <v>11134</v>
      </c>
      <c r="E161" s="4320" t="n"/>
      <c r="F161" s="4320" t="n"/>
      <c r="G161" s="4320" t="n"/>
      <c r="H161" s="4320" t="n"/>
      <c r="I161" s="4321" t="inlineStr">
        <is>
          <t>M</t>
        </is>
      </c>
      <c r="J161" s="4322" t="n"/>
      <c r="K161" s="4322" t="n"/>
      <c r="L161" s="4322" t="n"/>
      <c r="M161" s="4323" t="n"/>
      <c r="N161" s="4323" t="n"/>
      <c r="O161" s="4315" t="n"/>
      <c r="P161" s="4324" t="n"/>
      <c r="Q161" s="4324" t="n"/>
      <c r="R161" s="4324" t="n"/>
      <c r="S161" s="4324" t="n"/>
      <c r="T161" s="4324" t="n"/>
      <c r="U161" s="4315" t="n"/>
      <c r="V161" s="4322" t="n"/>
      <c r="W161" s="4322" t="n"/>
      <c r="X161" s="4322" t="n"/>
      <c r="Y161" s="4322" t="n"/>
      <c r="Z161" s="4322" t="n"/>
      <c r="AA161" s="4322" t="n"/>
      <c r="AB161" s="4322" t="n"/>
      <c r="AC161" s="4322" t="n"/>
      <c r="AD161" s="4322" t="n"/>
      <c r="AE161" s="4322" t="n"/>
      <c r="AF161" s="4322" t="n"/>
      <c r="AG161" s="4326" t="n"/>
      <c r="AH161" s="4322" t="n"/>
      <c r="AI161" s="4322" t="n"/>
      <c r="AJ161" s="4322" t="n"/>
      <c r="AK161" s="4322" t="n"/>
      <c r="AL161" s="4322" t="n"/>
      <c r="AM161" s="4322" t="n"/>
      <c r="AN161" s="4322" t="n"/>
      <c r="AO161" s="4322" t="n"/>
      <c r="AP161" s="4322" t="n"/>
      <c r="AQ161" s="4322" t="n"/>
      <c r="AR161" s="4322" t="n"/>
      <c r="AS161" s="4326" t="n"/>
      <c r="AT161" s="4322" t="n"/>
      <c r="AU161" s="4322" t="n"/>
      <c r="AV161" s="4322" t="n"/>
      <c r="AW161" s="4322" t="n"/>
      <c r="AX161" s="4322" t="n"/>
      <c r="AY161" s="4322" t="n"/>
      <c r="AZ161" s="4322" t="n"/>
      <c r="BA161" s="4322" t="n"/>
      <c r="BB161" s="4322" t="n"/>
      <c r="BC161" s="4322" t="n"/>
      <c r="BD161" s="4322" t="n"/>
      <c r="BE161" s="4326" t="n"/>
      <c r="BF161" s="4322" t="n"/>
      <c r="BG161" s="4322" t="n"/>
      <c r="BH161" s="4322" t="n"/>
      <c r="BI161" s="4322" t="n"/>
      <c r="BJ161" s="4322" t="n"/>
      <c r="BK161" s="4327" t="n"/>
      <c r="BL161" s="4322" t="n"/>
      <c r="BM161" s="4322" t="n"/>
      <c r="BN161" s="4322" t="n"/>
      <c r="BO161" s="4322" t="n"/>
      <c r="BP161" s="4322" t="n"/>
      <c r="BQ161" s="4315" t="n"/>
      <c r="BR161" s="4328" t="n"/>
      <c r="BT161" s="4315" t="n"/>
      <c r="BU161" s="4315" t="n"/>
    </row>
    <row r="162" ht="12" customFormat="1" customHeight="1" s="4315">
      <c r="A162" s="4316" t="n"/>
      <c r="B162" s="4317" t="n"/>
      <c r="C162" s="4318" t="inlineStr">
        <is>
          <t>[Redacted]</t>
        </is>
      </c>
      <c r="D162" s="4319" t="n">
        <v>11301</v>
      </c>
      <c r="E162" s="4320" t="n"/>
      <c r="F162" s="4320" t="n"/>
      <c r="G162" s="4320" t="n"/>
      <c r="H162" s="4320" t="n"/>
      <c r="I162" s="4321" t="inlineStr">
        <is>
          <t>F</t>
        </is>
      </c>
      <c r="J162" s="4322" t="n"/>
      <c r="K162" s="4322" t="n"/>
      <c r="L162" s="4322" t="n"/>
      <c r="M162" s="4323" t="n"/>
      <c r="N162" s="4323" t="n"/>
      <c r="O162" s="4315" t="n"/>
      <c r="P162" s="4324" t="n"/>
      <c r="Q162" s="4324" t="n"/>
      <c r="R162" s="4324" t="n"/>
      <c r="S162" s="4324" t="n"/>
      <c r="T162" s="4324" t="n"/>
      <c r="U162" s="4315" t="n"/>
      <c r="V162" s="4322" t="n"/>
      <c r="W162" s="4322" t="n"/>
      <c r="X162" s="4322" t="n"/>
      <c r="Y162" s="4322" t="n"/>
      <c r="Z162" s="4322" t="n"/>
      <c r="AA162" s="4322" t="n"/>
      <c r="AB162" s="4322" t="n"/>
      <c r="AC162" s="4322" t="n"/>
      <c r="AD162" s="4322" t="n"/>
      <c r="AE162" s="4322" t="n"/>
      <c r="AF162" s="4322" t="n"/>
      <c r="AG162" s="4326" t="n"/>
      <c r="AH162" s="4322" t="n"/>
      <c r="AI162" s="4322" t="n"/>
      <c r="AJ162" s="4322" t="n"/>
      <c r="AK162" s="4322" t="n"/>
      <c r="AL162" s="4322" t="n"/>
      <c r="AM162" s="4322" t="n"/>
      <c r="AN162" s="4322" t="n"/>
      <c r="AO162" s="4322" t="n"/>
      <c r="AP162" s="4322" t="n"/>
      <c r="AQ162" s="4322" t="n"/>
      <c r="AR162" s="4322" t="n"/>
      <c r="AS162" s="4326" t="n"/>
      <c r="AT162" s="4322" t="n"/>
      <c r="AU162" s="4322" t="n"/>
      <c r="AV162" s="4322" t="n"/>
      <c r="AW162" s="4322" t="n"/>
      <c r="AX162" s="4322" t="n"/>
      <c r="AY162" s="4322" t="n"/>
      <c r="AZ162" s="4322" t="n"/>
      <c r="BA162" s="4322" t="n"/>
      <c r="BB162" s="4322" t="n"/>
      <c r="BC162" s="4322" t="n"/>
      <c r="BD162" s="4322" t="n"/>
      <c r="BE162" s="4326" t="n"/>
      <c r="BF162" s="4322" t="n"/>
      <c r="BG162" s="4322" t="n"/>
      <c r="BH162" s="4322" t="n"/>
      <c r="BI162" s="4322" t="n"/>
      <c r="BJ162" s="4322" t="n"/>
      <c r="BK162" s="4327" t="n"/>
      <c r="BL162" s="4322" t="n"/>
      <c r="BM162" s="4322" t="n"/>
      <c r="BN162" s="4322" t="n"/>
      <c r="BO162" s="4322" t="n"/>
      <c r="BP162" s="4322" t="n"/>
      <c r="BQ162" s="4315" t="n"/>
      <c r="BR162" s="4328" t="n"/>
      <c r="BT162" s="4315" t="n"/>
      <c r="BU162" s="4315" t="n"/>
    </row>
    <row r="163" ht="12" customFormat="1" customHeight="1" s="4315">
      <c r="A163" s="4316" t="n"/>
      <c r="B163" s="4317" t="n"/>
      <c r="C163" s="4318" t="inlineStr">
        <is>
          <t>[Redacted]</t>
        </is>
      </c>
      <c r="D163" s="4319" t="n">
        <v>11267</v>
      </c>
      <c r="E163" s="4320" t="n"/>
      <c r="F163" s="4320" t="n"/>
      <c r="G163" s="4320" t="n"/>
      <c r="H163" s="4320" t="n"/>
      <c r="I163" s="4321" t="inlineStr">
        <is>
          <t>F</t>
        </is>
      </c>
      <c r="J163" s="4322" t="n"/>
      <c r="K163" s="4322" t="n"/>
      <c r="L163" s="4322" t="n"/>
      <c r="M163" s="4323" t="n"/>
      <c r="N163" s="4323" t="n"/>
      <c r="O163" s="4315" t="n"/>
      <c r="P163" s="4324" t="n"/>
      <c r="Q163" s="4324" t="n"/>
      <c r="R163" s="4324" t="n"/>
      <c r="S163" s="4324" t="n"/>
      <c r="T163" s="4324" t="n"/>
      <c r="U163" s="4315" t="n"/>
      <c r="V163" s="4322" t="n"/>
      <c r="W163" s="4322" t="n"/>
      <c r="X163" s="4322" t="n"/>
      <c r="Y163" s="4322" t="n"/>
      <c r="Z163" s="4322" t="n"/>
      <c r="AA163" s="4322" t="n"/>
      <c r="AB163" s="4322" t="n"/>
      <c r="AC163" s="4322" t="n"/>
      <c r="AD163" s="4322" t="n"/>
      <c r="AE163" s="4322" t="n"/>
      <c r="AF163" s="4322" t="n"/>
      <c r="AG163" s="4326" t="n"/>
      <c r="AH163" s="4322" t="n"/>
      <c r="AI163" s="4322" t="n"/>
      <c r="AJ163" s="4322" t="n"/>
      <c r="AK163" s="4322" t="n"/>
      <c r="AL163" s="4322" t="n"/>
      <c r="AM163" s="4322" t="n"/>
      <c r="AN163" s="4322" t="n"/>
      <c r="AO163" s="4322" t="n"/>
      <c r="AP163" s="4322" t="n"/>
      <c r="AQ163" s="4322" t="n"/>
      <c r="AR163" s="4322" t="n"/>
      <c r="AS163" s="4326" t="n"/>
      <c r="AT163" s="4322" t="n"/>
      <c r="AU163" s="4322" t="n"/>
      <c r="AV163" s="4322" t="n"/>
      <c r="AW163" s="4322" t="n"/>
      <c r="AX163" s="4322" t="n"/>
      <c r="AY163" s="4322" t="n"/>
      <c r="AZ163" s="4322" t="n"/>
      <c r="BA163" s="4322" t="n"/>
      <c r="BB163" s="4322" t="n"/>
      <c r="BC163" s="4322" t="n"/>
      <c r="BD163" s="4322" t="n"/>
      <c r="BE163" s="4326" t="n"/>
      <c r="BF163" s="4322" t="n"/>
      <c r="BG163" s="4322" t="n"/>
      <c r="BH163" s="4322" t="n"/>
      <c r="BI163" s="4322" t="n"/>
      <c r="BJ163" s="4322" t="n"/>
      <c r="BK163" s="4327" t="n"/>
      <c r="BL163" s="4322" t="n"/>
      <c r="BM163" s="4322" t="n"/>
      <c r="BN163" s="4322" t="n"/>
      <c r="BO163" s="4322" t="n"/>
      <c r="BP163" s="4322" t="n"/>
      <c r="BQ163" s="4315" t="n"/>
      <c r="BR163" s="4328" t="n"/>
      <c r="BT163" s="4315" t="n"/>
      <c r="BU163" s="4315" t="n"/>
    </row>
    <row r="164" ht="12" customFormat="1" customHeight="1" s="4315">
      <c r="A164" s="4316" t="n"/>
      <c r="B164" s="4317" t="n"/>
      <c r="C164" s="4318" t="inlineStr">
        <is>
          <t>[Redacted]</t>
        </is>
      </c>
      <c r="D164" s="4319" t="n">
        <v>11321</v>
      </c>
      <c r="E164" s="4320" t="n"/>
      <c r="F164" s="4320" t="n"/>
      <c r="G164" s="4320" t="n"/>
      <c r="H164" s="4320" t="n"/>
      <c r="I164" s="4321" t="inlineStr">
        <is>
          <t>M</t>
        </is>
      </c>
      <c r="J164" s="4322" t="n"/>
      <c r="K164" s="4322" t="n"/>
      <c r="L164" s="4322" t="n"/>
      <c r="M164" s="4323" t="n"/>
      <c r="N164" s="4323" t="n"/>
      <c r="O164" s="4315" t="n"/>
      <c r="P164" s="4324" t="n"/>
      <c r="Q164" s="4324" t="n"/>
      <c r="R164" s="4324" t="n"/>
      <c r="S164" s="4324" t="n"/>
      <c r="T164" s="4324" t="n"/>
      <c r="U164" s="4315" t="n"/>
      <c r="V164" s="4322" t="n"/>
      <c r="W164" s="4322" t="n"/>
      <c r="X164" s="4322" t="n"/>
      <c r="Y164" s="4322" t="n"/>
      <c r="Z164" s="4322" t="n"/>
      <c r="AA164" s="4322" t="n"/>
      <c r="AB164" s="4322" t="n"/>
      <c r="AC164" s="4322" t="n"/>
      <c r="AD164" s="4322" t="n"/>
      <c r="AE164" s="4322" t="n"/>
      <c r="AF164" s="4322" t="n"/>
      <c r="AG164" s="4326" t="n"/>
      <c r="AH164" s="4322" t="n"/>
      <c r="AI164" s="4322" t="n"/>
      <c r="AJ164" s="4322" t="n"/>
      <c r="AK164" s="4322" t="n"/>
      <c r="AL164" s="4322" t="n"/>
      <c r="AM164" s="4322" t="n"/>
      <c r="AN164" s="4322" t="n"/>
      <c r="AO164" s="4322" t="n"/>
      <c r="AP164" s="4322" t="n"/>
      <c r="AQ164" s="4322" t="n"/>
      <c r="AR164" s="4322" t="n"/>
      <c r="AS164" s="4326" t="n"/>
      <c r="AT164" s="4322" t="n"/>
      <c r="AU164" s="4322" t="n"/>
      <c r="AV164" s="4322" t="n"/>
      <c r="AW164" s="4322" t="n"/>
      <c r="AX164" s="4322" t="n"/>
      <c r="AY164" s="4322" t="n"/>
      <c r="AZ164" s="4322" t="n"/>
      <c r="BA164" s="4322" t="n"/>
      <c r="BB164" s="4322" t="n"/>
      <c r="BC164" s="4322" t="n"/>
      <c r="BD164" s="4322" t="n"/>
      <c r="BE164" s="4326" t="n"/>
      <c r="BF164" s="4322" t="n"/>
      <c r="BG164" s="4322" t="n"/>
      <c r="BH164" s="4322" t="n"/>
      <c r="BI164" s="4322" t="n"/>
      <c r="BJ164" s="4322" t="n"/>
      <c r="BK164" s="4327" t="n"/>
      <c r="BL164" s="4322" t="n"/>
      <c r="BM164" s="4322" t="n"/>
      <c r="BN164" s="4322" t="n"/>
      <c r="BO164" s="4322" t="n"/>
      <c r="BP164" s="4322" t="n"/>
      <c r="BQ164" s="4315" t="n"/>
      <c r="BR164" s="4328" t="n"/>
      <c r="BT164" s="4315" t="n"/>
      <c r="BU164" s="4315" t="n"/>
    </row>
    <row r="165" ht="12" customFormat="1" customHeight="1" s="4315">
      <c r="A165" s="4316" t="n"/>
      <c r="B165" s="4317" t="n"/>
      <c r="C165" s="4318" t="inlineStr">
        <is>
          <t>[Redacted]</t>
        </is>
      </c>
      <c r="D165" s="4319" t="n">
        <v>11215</v>
      </c>
      <c r="E165" s="4320" t="n"/>
      <c r="F165" s="4320" t="n"/>
      <c r="G165" s="4320" t="n"/>
      <c r="H165" s="4320" t="n"/>
      <c r="I165" s="4321" t="inlineStr">
        <is>
          <t>F</t>
        </is>
      </c>
      <c r="J165" s="4322" t="n"/>
      <c r="K165" s="4322" t="n"/>
      <c r="L165" s="4322" t="n"/>
      <c r="M165" s="4323" t="n"/>
      <c r="N165" s="4323" t="n"/>
      <c r="O165" s="4315" t="n"/>
      <c r="P165" s="4324" t="n"/>
      <c r="Q165" s="4324" t="n"/>
      <c r="R165" s="4324" t="n"/>
      <c r="S165" s="4324" t="n"/>
      <c r="T165" s="4324" t="n"/>
      <c r="U165" s="4315" t="n"/>
      <c r="V165" s="4322" t="n"/>
      <c r="W165" s="4322" t="n"/>
      <c r="X165" s="4322" t="n"/>
      <c r="Y165" s="4322" t="n"/>
      <c r="Z165" s="4322" t="n"/>
      <c r="AA165" s="4322" t="n"/>
      <c r="AB165" s="4322" t="n"/>
      <c r="AC165" s="4322" t="n"/>
      <c r="AD165" s="4322" t="n"/>
      <c r="AE165" s="4322" t="n"/>
      <c r="AF165" s="4322" t="n"/>
      <c r="AG165" s="4326" t="n"/>
      <c r="AH165" s="4322" t="n"/>
      <c r="AI165" s="4322" t="n"/>
      <c r="AJ165" s="4322" t="n"/>
      <c r="AK165" s="4322" t="n"/>
      <c r="AL165" s="4322" t="n"/>
      <c r="AM165" s="4322" t="n"/>
      <c r="AN165" s="4322" t="n"/>
      <c r="AO165" s="4322" t="n"/>
      <c r="AP165" s="4322" t="n"/>
      <c r="AQ165" s="4322" t="n"/>
      <c r="AR165" s="4322" t="n"/>
      <c r="AS165" s="4326" t="n"/>
      <c r="AT165" s="4322" t="n"/>
      <c r="AU165" s="4322" t="n"/>
      <c r="AV165" s="4322" t="n"/>
      <c r="AW165" s="4322" t="n"/>
      <c r="AX165" s="4322" t="n"/>
      <c r="AY165" s="4322" t="n"/>
      <c r="AZ165" s="4322" t="n"/>
      <c r="BA165" s="4322" t="n"/>
      <c r="BB165" s="4322" t="n"/>
      <c r="BC165" s="4322" t="n"/>
      <c r="BD165" s="4322" t="n"/>
      <c r="BE165" s="4326" t="n"/>
      <c r="BF165" s="4322" t="n"/>
      <c r="BG165" s="4322" t="n"/>
      <c r="BH165" s="4322" t="n"/>
      <c r="BI165" s="4322" t="n"/>
      <c r="BJ165" s="4322" t="n"/>
      <c r="BK165" s="4327" t="n"/>
      <c r="BL165" s="4322" t="n"/>
      <c r="BM165" s="4322" t="n"/>
      <c r="BN165" s="4322" t="n"/>
      <c r="BO165" s="4322" t="n"/>
      <c r="BP165" s="4322" t="n"/>
      <c r="BQ165" s="4315" t="n"/>
      <c r="BR165" s="4328" t="n"/>
      <c r="BT165" s="4315" t="n"/>
      <c r="BU165" s="4315" t="n"/>
    </row>
    <row r="166" ht="12" customFormat="1" customHeight="1" s="4315">
      <c r="A166" s="4316" t="n"/>
      <c r="B166" s="4317" t="n"/>
      <c r="C166" s="4318" t="inlineStr">
        <is>
          <t>[Redacted]</t>
        </is>
      </c>
      <c r="D166" s="4319" t="n">
        <v>11284</v>
      </c>
      <c r="E166" s="4320" t="n"/>
      <c r="F166" s="4320" t="n"/>
      <c r="G166" s="4320" t="n"/>
      <c r="H166" s="4320" t="n"/>
      <c r="I166" s="4321" t="inlineStr">
        <is>
          <t>M</t>
        </is>
      </c>
      <c r="J166" s="4322" t="n"/>
      <c r="K166" s="4322" t="n"/>
      <c r="L166" s="4322" t="n"/>
      <c r="M166" s="4323" t="n"/>
      <c r="N166" s="4323" t="n"/>
      <c r="O166" s="4315" t="n"/>
      <c r="P166" s="4324" t="n"/>
      <c r="Q166" s="4324" t="n"/>
      <c r="R166" s="4324" t="n"/>
      <c r="S166" s="4324" t="n"/>
      <c r="T166" s="4324" t="n"/>
      <c r="U166" s="4315" t="n"/>
      <c r="V166" s="4322" t="n"/>
      <c r="W166" s="4322" t="n"/>
      <c r="X166" s="4322" t="n"/>
      <c r="Y166" s="4322" t="n"/>
      <c r="Z166" s="4322" t="n"/>
      <c r="AA166" s="4322" t="n"/>
      <c r="AB166" s="4322" t="n"/>
      <c r="AC166" s="4322" t="n"/>
      <c r="AD166" s="4322" t="n"/>
      <c r="AE166" s="4322" t="n"/>
      <c r="AF166" s="4322" t="n"/>
      <c r="AG166" s="4326" t="n"/>
      <c r="AH166" s="4322" t="n"/>
      <c r="AI166" s="4322" t="n"/>
      <c r="AJ166" s="4322" t="n"/>
      <c r="AK166" s="4322" t="n"/>
      <c r="AL166" s="4322" t="n"/>
      <c r="AM166" s="4322" t="n"/>
      <c r="AN166" s="4322" t="n"/>
      <c r="AO166" s="4322" t="n"/>
      <c r="AP166" s="4322" t="n"/>
      <c r="AQ166" s="4322" t="n"/>
      <c r="AR166" s="4322" t="n"/>
      <c r="AS166" s="4326" t="n"/>
      <c r="AT166" s="4322" t="n"/>
      <c r="AU166" s="4322" t="n"/>
      <c r="AV166" s="4322" t="n"/>
      <c r="AW166" s="4322" t="n"/>
      <c r="AX166" s="4322" t="n"/>
      <c r="AY166" s="4322" t="n"/>
      <c r="AZ166" s="4322" t="n"/>
      <c r="BA166" s="4322" t="n"/>
      <c r="BB166" s="4322" t="n"/>
      <c r="BC166" s="4322" t="n"/>
      <c r="BD166" s="4322" t="n"/>
      <c r="BE166" s="4326" t="n"/>
      <c r="BF166" s="4322" t="n"/>
      <c r="BG166" s="4322" t="n"/>
      <c r="BH166" s="4322" t="n"/>
      <c r="BI166" s="4322" t="n"/>
      <c r="BJ166" s="4322" t="n"/>
      <c r="BK166" s="4327" t="n"/>
      <c r="BL166" s="4322" t="n"/>
      <c r="BM166" s="4322" t="n"/>
      <c r="BN166" s="4322" t="n"/>
      <c r="BO166" s="4322" t="n"/>
      <c r="BP166" s="4322" t="n"/>
      <c r="BQ166" s="4315" t="n"/>
      <c r="BR166" s="4328" t="n"/>
      <c r="BT166" s="4315" t="n"/>
      <c r="BU166" s="4315" t="n"/>
      <c r="CA166" s="4315" t="n"/>
    </row>
    <row r="167" ht="12" customFormat="1" customHeight="1" s="4315">
      <c r="A167" s="4316" t="n"/>
      <c r="B167" s="4317" t="n"/>
      <c r="C167" s="4318" t="inlineStr">
        <is>
          <t>[Redacted]</t>
        </is>
      </c>
      <c r="D167" s="4319" t="n">
        <v>11355</v>
      </c>
      <c r="E167" s="4320" t="n"/>
      <c r="F167" s="4320" t="n"/>
      <c r="G167" s="4320" t="n"/>
      <c r="H167" s="4320" t="n"/>
      <c r="I167" s="4321" t="inlineStr">
        <is>
          <t>M</t>
        </is>
      </c>
      <c r="J167" s="4322" t="n"/>
      <c r="K167" s="4322" t="n"/>
      <c r="L167" s="4322" t="n"/>
      <c r="M167" s="4323" t="n"/>
      <c r="N167" s="4323" t="n"/>
      <c r="O167" s="4315" t="n"/>
      <c r="P167" s="4324" t="n"/>
      <c r="Q167" s="4324" t="n"/>
      <c r="R167" s="4324" t="n"/>
      <c r="S167" s="4324" t="n"/>
      <c r="T167" s="4324" t="n"/>
      <c r="U167" s="4315" t="n"/>
      <c r="V167" s="4322" t="n"/>
      <c r="W167" s="4322" t="n"/>
      <c r="X167" s="4322" t="n"/>
      <c r="Y167" s="4322" t="n"/>
      <c r="Z167" s="4322" t="n"/>
      <c r="AA167" s="4322" t="n"/>
      <c r="AB167" s="4322" t="n"/>
      <c r="AC167" s="4322" t="n"/>
      <c r="AD167" s="4322" t="n"/>
      <c r="AE167" s="4322" t="n"/>
      <c r="AF167" s="4322" t="n"/>
      <c r="AG167" s="4326" t="n"/>
      <c r="AH167" s="4322" t="n"/>
      <c r="AI167" s="4322" t="n"/>
      <c r="AJ167" s="4322" t="n"/>
      <c r="AK167" s="4322" t="n"/>
      <c r="AL167" s="4322" t="n"/>
      <c r="AM167" s="4322" t="n"/>
      <c r="AN167" s="4322" t="n"/>
      <c r="AO167" s="4322" t="n"/>
      <c r="AP167" s="4322" t="n"/>
      <c r="AQ167" s="4322" t="n"/>
      <c r="AR167" s="4322" t="n"/>
      <c r="AS167" s="4326" t="n"/>
      <c r="AT167" s="4322" t="n"/>
      <c r="AU167" s="4322" t="n"/>
      <c r="AV167" s="4322" t="n"/>
      <c r="AW167" s="4322" t="n"/>
      <c r="AX167" s="4322" t="n"/>
      <c r="AY167" s="4322" t="n"/>
      <c r="AZ167" s="4322" t="n"/>
      <c r="BA167" s="4322" t="n"/>
      <c r="BB167" s="4322" t="n"/>
      <c r="BC167" s="4322" t="n"/>
      <c r="BD167" s="4322" t="n"/>
      <c r="BE167" s="4326" t="n"/>
      <c r="BF167" s="4322" t="n"/>
      <c r="BG167" s="4322" t="n"/>
      <c r="BH167" s="4322" t="n"/>
      <c r="BI167" s="4322" t="n"/>
      <c r="BJ167" s="4322" t="n"/>
      <c r="BK167" s="4327" t="n"/>
      <c r="BL167" s="4322" t="n"/>
      <c r="BM167" s="4322" t="n"/>
      <c r="BN167" s="4322" t="n"/>
      <c r="BO167" s="4322" t="n"/>
      <c r="BP167" s="4322" t="n"/>
      <c r="BQ167" s="4315" t="n"/>
      <c r="BR167" s="4328" t="n"/>
      <c r="BT167" s="4315" t="n"/>
      <c r="BU167" s="4315" t="n"/>
    </row>
    <row r="168" ht="12" customFormat="1" customHeight="1" s="4315">
      <c r="A168" s="4316" t="n"/>
      <c r="B168" s="4317" t="n"/>
      <c r="C168" s="4318" t="inlineStr">
        <is>
          <t>[Redacted]</t>
        </is>
      </c>
      <c r="D168" s="4319" t="n">
        <v>11269</v>
      </c>
      <c r="E168" s="4320" t="n"/>
      <c r="F168" s="4320" t="n"/>
      <c r="G168" s="4320" t="n"/>
      <c r="H168" s="4320" t="n"/>
      <c r="I168" s="4321" t="inlineStr">
        <is>
          <t>M</t>
        </is>
      </c>
      <c r="J168" s="4322" t="n"/>
      <c r="K168" s="4322" t="n"/>
      <c r="L168" s="4322" t="n"/>
      <c r="M168" s="4323" t="n"/>
      <c r="N168" s="4323" t="n"/>
      <c r="O168" s="4315" t="n"/>
      <c r="P168" s="4324" t="n"/>
      <c r="Q168" s="4324" t="n"/>
      <c r="R168" s="4324" t="n"/>
      <c r="S168" s="4324" t="n"/>
      <c r="T168" s="4324" t="n"/>
      <c r="U168" s="4315" t="n"/>
      <c r="V168" s="4322" t="n"/>
      <c r="W168" s="4322" t="n"/>
      <c r="X168" s="4322" t="n"/>
      <c r="Y168" s="4322" t="n"/>
      <c r="Z168" s="4322" t="n"/>
      <c r="AA168" s="4322" t="n"/>
      <c r="AB168" s="4322" t="n"/>
      <c r="AC168" s="4322" t="n"/>
      <c r="AD168" s="4322" t="n"/>
      <c r="AE168" s="4322" t="n"/>
      <c r="AF168" s="4322" t="n"/>
      <c r="AG168" s="4326" t="n"/>
      <c r="AH168" s="4322" t="n"/>
      <c r="AI168" s="4322" t="n"/>
      <c r="AJ168" s="4322" t="n"/>
      <c r="AK168" s="4322" t="n"/>
      <c r="AL168" s="4322" t="n"/>
      <c r="AM168" s="4322" t="n"/>
      <c r="AN168" s="4322" t="n"/>
      <c r="AO168" s="4322" t="n"/>
      <c r="AP168" s="4322" t="n"/>
      <c r="AQ168" s="4322" t="n"/>
      <c r="AR168" s="4322" t="n"/>
      <c r="AS168" s="4326" t="n"/>
      <c r="AT168" s="4322" t="n"/>
      <c r="AU168" s="4322" t="n"/>
      <c r="AV168" s="4322" t="n"/>
      <c r="AW168" s="4322" t="n"/>
      <c r="AX168" s="4322" t="n"/>
      <c r="AY168" s="4322" t="n"/>
      <c r="AZ168" s="4322" t="n"/>
      <c r="BA168" s="4322" t="n"/>
      <c r="BB168" s="4322" t="n"/>
      <c r="BC168" s="4322" t="n"/>
      <c r="BD168" s="4322" t="n"/>
      <c r="BE168" s="4326" t="n"/>
      <c r="BF168" s="4322" t="n"/>
      <c r="BG168" s="4322" t="n"/>
      <c r="BH168" s="4322" t="n"/>
      <c r="BI168" s="4322" t="n"/>
      <c r="BJ168" s="4322" t="n"/>
      <c r="BK168" s="4327" t="n"/>
      <c r="BL168" s="4322" t="n"/>
      <c r="BM168" s="4322" t="n"/>
      <c r="BN168" s="4322" t="n"/>
      <c r="BO168" s="4322" t="n"/>
      <c r="BP168" s="4322" t="n"/>
      <c r="BQ168" s="4315" t="n"/>
      <c r="BR168" s="4328" t="n"/>
      <c r="BT168" s="4315" t="n"/>
      <c r="BU168" s="4315" t="n"/>
    </row>
    <row r="169" ht="12" customFormat="1" customHeight="1" s="4315">
      <c r="A169" s="4316" t="n"/>
      <c r="B169" s="4317" t="n"/>
      <c r="C169" s="4318" t="inlineStr">
        <is>
          <t>[Redacted]</t>
        </is>
      </c>
      <c r="D169" s="4319" t="n">
        <v>11252</v>
      </c>
      <c r="E169" s="4320" t="n"/>
      <c r="F169" s="4320" t="n"/>
      <c r="G169" s="4320" t="n"/>
      <c r="H169" s="4320" t="n"/>
      <c r="I169" s="4321" t="inlineStr">
        <is>
          <t>M</t>
        </is>
      </c>
      <c r="J169" s="4322" t="n"/>
      <c r="K169" s="4322" t="n"/>
      <c r="L169" s="4322" t="n"/>
      <c r="M169" s="4323" t="n"/>
      <c r="N169" s="4323" t="n"/>
      <c r="O169" s="4315" t="n"/>
      <c r="P169" s="4324" t="n"/>
      <c r="Q169" s="4324" t="n"/>
      <c r="R169" s="4324" t="n"/>
      <c r="S169" s="4324" t="n"/>
      <c r="T169" s="4324" t="n"/>
      <c r="U169" s="4315" t="n"/>
      <c r="V169" s="4322" t="n"/>
      <c r="W169" s="4322" t="n"/>
      <c r="X169" s="4322" t="n"/>
      <c r="Y169" s="4322" t="n"/>
      <c r="Z169" s="4322" t="n"/>
      <c r="AA169" s="4322" t="n"/>
      <c r="AB169" s="4322" t="n"/>
      <c r="AC169" s="4322" t="n"/>
      <c r="AD169" s="4322" t="n"/>
      <c r="AE169" s="4322" t="n"/>
      <c r="AF169" s="4322" t="n"/>
      <c r="AG169" s="4326" t="n"/>
      <c r="AH169" s="4322" t="n"/>
      <c r="AI169" s="4322" t="n"/>
      <c r="AJ169" s="4322" t="n"/>
      <c r="AK169" s="4322" t="n"/>
      <c r="AL169" s="4322" t="n"/>
      <c r="AM169" s="4322" t="n"/>
      <c r="AN169" s="4322" t="n"/>
      <c r="AO169" s="4322" t="n"/>
      <c r="AP169" s="4322" t="n"/>
      <c r="AQ169" s="4322" t="n"/>
      <c r="AR169" s="4322" t="n"/>
      <c r="AS169" s="4326" t="n"/>
      <c r="AT169" s="4322" t="n"/>
      <c r="AU169" s="4322" t="n"/>
      <c r="AV169" s="4322" t="n"/>
      <c r="AW169" s="4322" t="n"/>
      <c r="AX169" s="4322" t="n"/>
      <c r="AY169" s="4322" t="n"/>
      <c r="AZ169" s="4322" t="n"/>
      <c r="BA169" s="4322" t="n"/>
      <c r="BB169" s="4322" t="n"/>
      <c r="BC169" s="4322" t="n"/>
      <c r="BD169" s="4322" t="n"/>
      <c r="BE169" s="4326" t="n"/>
      <c r="BF169" s="4322" t="n"/>
      <c r="BG169" s="4322" t="n"/>
      <c r="BH169" s="4322" t="n"/>
      <c r="BI169" s="4322" t="n"/>
      <c r="BJ169" s="4322" t="n"/>
      <c r="BK169" s="4327" t="n"/>
      <c r="BL169" s="4322" t="n"/>
      <c r="BM169" s="4322" t="n"/>
      <c r="BN169" s="4322" t="n"/>
      <c r="BO169" s="4322" t="n"/>
      <c r="BP169" s="4322" t="n"/>
      <c r="BQ169" s="4315" t="n"/>
      <c r="BR169" s="4328" t="n"/>
      <c r="BT169" s="4315" t="n"/>
      <c r="BU169" s="4315" t="n"/>
    </row>
    <row r="170" ht="12" customFormat="1" customHeight="1" s="4315">
      <c r="A170" s="4316" t="n"/>
      <c r="B170" s="4317" t="n"/>
      <c r="C170" s="4318" t="inlineStr">
        <is>
          <t>[Redacted]</t>
        </is>
      </c>
      <c r="D170" s="4319" t="n">
        <v>11354</v>
      </c>
      <c r="E170" s="4320" t="n"/>
      <c r="F170" s="4320" t="n"/>
      <c r="G170" s="4320" t="n"/>
      <c r="H170" s="4320" t="n"/>
      <c r="I170" s="4321" t="inlineStr">
        <is>
          <t>M</t>
        </is>
      </c>
      <c r="J170" s="4322" t="n"/>
      <c r="K170" s="4322" t="n"/>
      <c r="L170" s="4322" t="n"/>
      <c r="M170" s="4323" t="n"/>
      <c r="N170" s="4323" t="n"/>
      <c r="O170" s="4315" t="n"/>
      <c r="P170" s="4324" t="n"/>
      <c r="Q170" s="4324" t="n"/>
      <c r="R170" s="4324" t="n"/>
      <c r="S170" s="4324" t="n"/>
      <c r="T170" s="4324" t="n"/>
      <c r="U170" s="4315" t="n"/>
      <c r="V170" s="4322" t="n"/>
      <c r="W170" s="4322" t="n"/>
      <c r="X170" s="4322" t="n"/>
      <c r="Y170" s="4322" t="n"/>
      <c r="Z170" s="4322" t="n"/>
      <c r="AA170" s="4322" t="n"/>
      <c r="AB170" s="4322" t="n"/>
      <c r="AC170" s="4322" t="n"/>
      <c r="AD170" s="4322" t="n"/>
      <c r="AE170" s="4322" t="n"/>
      <c r="AF170" s="4322" t="n"/>
      <c r="AG170" s="4326" t="n"/>
      <c r="AH170" s="4322" t="n"/>
      <c r="AI170" s="4322" t="n"/>
      <c r="AJ170" s="4322" t="n"/>
      <c r="AK170" s="4322" t="n"/>
      <c r="AL170" s="4322" t="n"/>
      <c r="AM170" s="4322" t="n"/>
      <c r="AN170" s="4322" t="n"/>
      <c r="AO170" s="4322" t="n"/>
      <c r="AP170" s="4322" t="n"/>
      <c r="AQ170" s="4322" t="n"/>
      <c r="AR170" s="4322" t="n"/>
      <c r="AS170" s="4326" t="n"/>
      <c r="AT170" s="4322" t="n"/>
      <c r="AU170" s="4322" t="n"/>
      <c r="AV170" s="4322" t="n"/>
      <c r="AW170" s="4322" t="n"/>
      <c r="AX170" s="4322" t="n"/>
      <c r="AY170" s="4322" t="n"/>
      <c r="AZ170" s="4322" t="n"/>
      <c r="BA170" s="4322" t="n"/>
      <c r="BB170" s="4322" t="n"/>
      <c r="BC170" s="4322" t="n"/>
      <c r="BD170" s="4322" t="n"/>
      <c r="BE170" s="4326" t="n"/>
      <c r="BF170" s="4322" t="n"/>
      <c r="BG170" s="4322" t="n"/>
      <c r="BH170" s="4322" t="n"/>
      <c r="BI170" s="4322" t="n"/>
      <c r="BJ170" s="4322" t="n"/>
      <c r="BK170" s="4327" t="n"/>
      <c r="BL170" s="4322" t="n"/>
      <c r="BM170" s="4322" t="n"/>
      <c r="BN170" s="4322" t="n"/>
      <c r="BO170" s="4322" t="n"/>
      <c r="BP170" s="4322" t="n"/>
      <c r="BQ170" s="4315" t="n"/>
      <c r="BR170" s="4328" t="n"/>
      <c r="BT170" s="4315" t="n"/>
      <c r="BU170" s="4315" t="n"/>
    </row>
    <row r="171" ht="12" customFormat="1" customHeight="1" s="4315">
      <c r="A171" s="4316" t="n"/>
      <c r="B171" s="4317" t="n"/>
      <c r="C171" s="4318" t="inlineStr">
        <is>
          <t>[Redacted]</t>
        </is>
      </c>
      <c r="D171" s="4319" t="n">
        <v>11356</v>
      </c>
      <c r="E171" s="4320" t="n"/>
      <c r="F171" s="4320" t="n"/>
      <c r="G171" s="4320" t="n"/>
      <c r="H171" s="4320" t="n"/>
      <c r="I171" s="4321" t="inlineStr">
        <is>
          <t>M</t>
        </is>
      </c>
      <c r="J171" s="4322" t="n"/>
      <c r="K171" s="4322" t="n"/>
      <c r="L171" s="4322" t="n"/>
      <c r="M171" s="4323" t="n"/>
      <c r="N171" s="4323" t="n"/>
      <c r="O171" s="4315" t="n"/>
      <c r="P171" s="4324" t="n"/>
      <c r="Q171" s="4324" t="n"/>
      <c r="R171" s="4324" t="n"/>
      <c r="S171" s="4324" t="n"/>
      <c r="T171" s="4324" t="n"/>
      <c r="U171" s="4315" t="n"/>
      <c r="V171" s="4322" t="n"/>
      <c r="W171" s="4322" t="n"/>
      <c r="X171" s="4322" t="n"/>
      <c r="Y171" s="4322" t="n"/>
      <c r="Z171" s="4322" t="n"/>
      <c r="AA171" s="4322" t="n"/>
      <c r="AB171" s="4322" t="n"/>
      <c r="AC171" s="4322" t="n"/>
      <c r="AD171" s="4322" t="n"/>
      <c r="AE171" s="4322" t="n"/>
      <c r="AF171" s="4322" t="n"/>
      <c r="AG171" s="4326" t="n"/>
      <c r="AH171" s="4322" t="n"/>
      <c r="AI171" s="4322" t="n"/>
      <c r="AJ171" s="4322" t="n"/>
      <c r="AK171" s="4322" t="n"/>
      <c r="AL171" s="4322" t="n"/>
      <c r="AM171" s="4322" t="n"/>
      <c r="AN171" s="4322" t="n"/>
      <c r="AO171" s="4322" t="n"/>
      <c r="AP171" s="4322" t="n"/>
      <c r="AQ171" s="4322" t="n"/>
      <c r="AR171" s="4322" t="n"/>
      <c r="AS171" s="4326" t="n"/>
      <c r="AT171" s="4322" t="n"/>
      <c r="AU171" s="4322" t="n"/>
      <c r="AV171" s="4322" t="n"/>
      <c r="AW171" s="4322" t="n"/>
      <c r="AX171" s="4322" t="n"/>
      <c r="AY171" s="4322" t="n"/>
      <c r="AZ171" s="4322" t="n"/>
      <c r="BA171" s="4322" t="n"/>
      <c r="BB171" s="4322" t="n"/>
      <c r="BC171" s="4322" t="n"/>
      <c r="BD171" s="4322" t="n"/>
      <c r="BE171" s="4326" t="n"/>
      <c r="BF171" s="4322" t="n"/>
      <c r="BG171" s="4322" t="n"/>
      <c r="BH171" s="4322" t="n"/>
      <c r="BI171" s="4322" t="n"/>
      <c r="BJ171" s="4322" t="n"/>
      <c r="BK171" s="4327" t="n"/>
      <c r="BL171" s="4322" t="n"/>
      <c r="BM171" s="4322" t="n"/>
      <c r="BN171" s="4322" t="n"/>
      <c r="BO171" s="4322" t="n"/>
      <c r="BP171" s="4322" t="n"/>
      <c r="BQ171" s="4315" t="n"/>
      <c r="BR171" s="4328" t="n"/>
      <c r="BT171" s="4315" t="n"/>
      <c r="BU171" s="4315" t="n"/>
    </row>
    <row r="172" ht="12" customFormat="1" customHeight="1" s="4315">
      <c r="A172" s="4316" t="n"/>
      <c r="B172" s="4317" t="n"/>
      <c r="C172" s="4318" t="inlineStr">
        <is>
          <t>[Redacted]</t>
        </is>
      </c>
      <c r="D172" s="4319" t="n">
        <v>11279</v>
      </c>
      <c r="E172" s="4320" t="n"/>
      <c r="F172" s="4320" t="n"/>
      <c r="G172" s="4320" t="n"/>
      <c r="H172" s="4320" t="n"/>
      <c r="I172" s="4321" t="inlineStr">
        <is>
          <t>F</t>
        </is>
      </c>
      <c r="J172" s="4322" t="n"/>
      <c r="K172" s="4322" t="n"/>
      <c r="L172" s="4322" t="n"/>
      <c r="M172" s="4323" t="n"/>
      <c r="N172" s="4323" t="n"/>
      <c r="O172" s="4315" t="n"/>
      <c r="P172" s="4324" t="n"/>
      <c r="Q172" s="4324" t="n"/>
      <c r="R172" s="4324" t="n"/>
      <c r="S172" s="4324" t="n"/>
      <c r="T172" s="4324" t="n"/>
      <c r="U172" s="4315" t="n"/>
      <c r="V172" s="4322" t="n"/>
      <c r="W172" s="4322" t="n"/>
      <c r="X172" s="4322" t="n"/>
      <c r="Y172" s="4322" t="n"/>
      <c r="Z172" s="4322" t="n"/>
      <c r="AA172" s="4322" t="n"/>
      <c r="AB172" s="4322" t="n"/>
      <c r="AC172" s="4322" t="n"/>
      <c r="AD172" s="4322" t="n"/>
      <c r="AE172" s="4322" t="n"/>
      <c r="AF172" s="4322" t="n"/>
      <c r="AG172" s="4326" t="n"/>
      <c r="AH172" s="4322" t="n"/>
      <c r="AI172" s="4322" t="n"/>
      <c r="AJ172" s="4322" t="n"/>
      <c r="AK172" s="4322" t="n"/>
      <c r="AL172" s="4322" t="n"/>
      <c r="AM172" s="4322" t="n"/>
      <c r="AN172" s="4322" t="n"/>
      <c r="AO172" s="4322" t="n"/>
      <c r="AP172" s="4322" t="n"/>
      <c r="AQ172" s="4322" t="n"/>
      <c r="AR172" s="4322" t="n"/>
      <c r="AS172" s="4326" t="n"/>
      <c r="AT172" s="4322" t="n"/>
      <c r="AU172" s="4322" t="n"/>
      <c r="AV172" s="4322" t="n"/>
      <c r="AW172" s="4322" t="n"/>
      <c r="AX172" s="4322" t="n"/>
      <c r="AY172" s="4322" t="n"/>
      <c r="AZ172" s="4322" t="n"/>
      <c r="BA172" s="4322" t="n"/>
      <c r="BB172" s="4322" t="n"/>
      <c r="BC172" s="4322" t="n"/>
      <c r="BD172" s="4322" t="n"/>
      <c r="BE172" s="4326" t="n"/>
      <c r="BF172" s="4322" t="n"/>
      <c r="BG172" s="4322" t="n"/>
      <c r="BH172" s="4322" t="n"/>
      <c r="BI172" s="4322" t="n"/>
      <c r="BJ172" s="4322" t="n"/>
      <c r="BK172" s="4327" t="n"/>
      <c r="BL172" s="4322" t="n"/>
      <c r="BM172" s="4322" t="n"/>
      <c r="BN172" s="4322" t="n"/>
      <c r="BO172" s="4322" t="n"/>
      <c r="BP172" s="4322" t="n"/>
      <c r="BQ172" s="4315" t="n"/>
      <c r="BR172" s="4328" t="n"/>
      <c r="BT172" s="4315" t="n"/>
      <c r="BU172" s="4315" t="n"/>
    </row>
    <row r="173" ht="12" customFormat="1" customHeight="1" s="4315">
      <c r="A173" s="4316" t="n"/>
      <c r="B173" s="4317" t="n"/>
      <c r="C173" s="4318" t="inlineStr">
        <is>
          <t>[Redacted]</t>
        </is>
      </c>
      <c r="D173" s="4319" t="n">
        <v>11279</v>
      </c>
      <c r="E173" s="4320" t="n"/>
      <c r="F173" s="4320" t="n"/>
      <c r="G173" s="4320" t="n"/>
      <c r="H173" s="4320" t="n"/>
      <c r="I173" s="4321" t="inlineStr">
        <is>
          <t>F</t>
        </is>
      </c>
      <c r="J173" s="4322" t="n"/>
      <c r="K173" s="4322" t="n"/>
      <c r="L173" s="4322" t="n"/>
      <c r="M173" s="4323" t="n"/>
      <c r="N173" s="4323" t="n"/>
      <c r="O173" s="4315" t="n"/>
      <c r="P173" s="4324" t="n"/>
      <c r="Q173" s="4324" t="n"/>
      <c r="R173" s="4324" t="n"/>
      <c r="S173" s="4325" t="n"/>
      <c r="T173" s="4325" t="n"/>
      <c r="U173" s="4315" t="n"/>
      <c r="V173" s="4322" t="n"/>
      <c r="W173" s="4322" t="n"/>
      <c r="X173" s="4322" t="n"/>
      <c r="Y173" s="4322" t="n"/>
      <c r="Z173" s="4322" t="n"/>
      <c r="AA173" s="4322" t="n"/>
      <c r="AB173" s="4322" t="n"/>
      <c r="AC173" s="4322" t="n"/>
      <c r="AD173" s="4322" t="n"/>
      <c r="AE173" s="4322" t="n"/>
      <c r="AF173" s="4322" t="n"/>
      <c r="AG173" s="4326" t="n"/>
      <c r="AH173" s="4322" t="n"/>
      <c r="AI173" s="4322" t="n"/>
      <c r="AJ173" s="4322" t="n"/>
      <c r="AK173" s="4322" t="n"/>
      <c r="AL173" s="4322" t="n"/>
      <c r="AM173" s="4322" t="n"/>
      <c r="AN173" s="4322" t="n"/>
      <c r="AO173" s="4322" t="n"/>
      <c r="AP173" s="4322" t="n"/>
      <c r="AQ173" s="4322" t="n"/>
      <c r="AR173" s="4322" t="n"/>
      <c r="AS173" s="4326" t="n"/>
      <c r="AT173" s="4322" t="n"/>
      <c r="AU173" s="4322" t="n"/>
      <c r="AV173" s="4322" t="n"/>
      <c r="AW173" s="4322" t="n"/>
      <c r="AX173" s="4322" t="n"/>
      <c r="AY173" s="4322" t="n"/>
      <c r="AZ173" s="4322" t="n"/>
      <c r="BA173" s="4322" t="n"/>
      <c r="BB173" s="4322" t="n"/>
      <c r="BC173" s="4322" t="n"/>
      <c r="BD173" s="4322" t="n"/>
      <c r="BE173" s="4326" t="n"/>
      <c r="BF173" s="4322" t="n"/>
      <c r="BG173" s="4322" t="n"/>
      <c r="BH173" s="4322" t="n"/>
      <c r="BI173" s="4322" t="n"/>
      <c r="BJ173" s="4322" t="n"/>
      <c r="BK173" s="4327" t="n"/>
      <c r="BL173" s="4322" t="n"/>
      <c r="BM173" s="4322" t="n"/>
      <c r="BN173" s="4322" t="n"/>
      <c r="BO173" s="4322" t="n"/>
      <c r="BP173" s="4322" t="n"/>
      <c r="BQ173" s="4315" t="n"/>
      <c r="BR173" s="4328" t="n"/>
      <c r="BT173" s="4315" t="n"/>
      <c r="BU173" s="4315" t="n"/>
    </row>
    <row r="174" ht="12" customFormat="1" customHeight="1" s="4315">
      <c r="A174" s="4316" t="n"/>
      <c r="B174" s="4317" t="n"/>
      <c r="C174" s="4318" t="inlineStr">
        <is>
          <t>[Redacted]</t>
        </is>
      </c>
      <c r="D174" s="4319" t="n">
        <v>11289</v>
      </c>
      <c r="E174" s="4320" t="n"/>
      <c r="F174" s="4320" t="n"/>
      <c r="G174" s="4320" t="n"/>
      <c r="H174" s="4320" t="n"/>
      <c r="I174" s="4321" t="n"/>
      <c r="J174" s="4322" t="n"/>
      <c r="K174" s="4322" t="n"/>
      <c r="L174" s="4322" t="n"/>
      <c r="M174" s="4323" t="n"/>
      <c r="N174" s="4323" t="n"/>
      <c r="O174" s="4315" t="n"/>
      <c r="P174" s="4324" t="n"/>
      <c r="Q174" s="4324" t="n"/>
      <c r="R174" s="4324" t="n"/>
      <c r="S174" s="4324" t="n"/>
      <c r="T174" s="4324" t="n"/>
      <c r="U174" s="4315" t="n"/>
      <c r="V174" s="4322" t="n"/>
      <c r="W174" s="4322" t="n"/>
      <c r="X174" s="4322" t="n"/>
      <c r="Y174" s="4322" t="n"/>
      <c r="Z174" s="4322" t="n"/>
      <c r="AA174" s="4322" t="n"/>
      <c r="AB174" s="4322" t="n"/>
      <c r="AC174" s="4322" t="n"/>
      <c r="AD174" s="4322" t="n"/>
      <c r="AE174" s="4322" t="n"/>
      <c r="AF174" s="4322" t="n"/>
      <c r="AG174" s="4326" t="n"/>
      <c r="AH174" s="4322" t="n"/>
      <c r="AI174" s="4322" t="n"/>
      <c r="AJ174" s="4322" t="n"/>
      <c r="AK174" s="4322" t="n"/>
      <c r="AL174" s="4322" t="n"/>
      <c r="AM174" s="4322" t="n"/>
      <c r="AN174" s="4322" t="n"/>
      <c r="AO174" s="4322" t="n"/>
      <c r="AP174" s="4322" t="n"/>
      <c r="AQ174" s="4322" t="n"/>
      <c r="AR174" s="4322" t="n"/>
      <c r="AS174" s="4326" t="n"/>
      <c r="AT174" s="4322" t="n"/>
      <c r="AU174" s="4322" t="n"/>
      <c r="AV174" s="4322" t="n"/>
      <c r="AW174" s="4322" t="n"/>
      <c r="AX174" s="4322" t="n"/>
      <c r="AY174" s="4322" t="n"/>
      <c r="AZ174" s="4322" t="n"/>
      <c r="BA174" s="4322" t="n"/>
      <c r="BB174" s="4322" t="n"/>
      <c r="BC174" s="4322" t="n"/>
      <c r="BD174" s="4322" t="n"/>
      <c r="BE174" s="4326" t="n"/>
      <c r="BF174" s="4322" t="n"/>
      <c r="BG174" s="4322" t="n"/>
      <c r="BH174" s="4322" t="n"/>
      <c r="BI174" s="4322" t="n"/>
      <c r="BJ174" s="4322" t="n"/>
      <c r="BK174" s="4327" t="n"/>
      <c r="BL174" s="4322" t="n"/>
      <c r="BM174" s="4322" t="n"/>
      <c r="BN174" s="4322" t="n"/>
      <c r="BO174" s="4322" t="n"/>
      <c r="BP174" s="4322" t="n"/>
      <c r="BQ174" s="4315" t="n"/>
      <c r="BR174" s="4328" t="n"/>
      <c r="BT174" s="4315" t="n"/>
      <c r="BU174" s="4315" t="n"/>
    </row>
    <row r="175" ht="12" customFormat="1" customHeight="1" s="4315">
      <c r="A175" s="4316" t="n"/>
      <c r="B175" s="4317" t="n"/>
      <c r="C175" s="4318" t="inlineStr">
        <is>
          <t>[Redacted]</t>
        </is>
      </c>
      <c r="D175" s="4319" t="n">
        <v>11201</v>
      </c>
      <c r="E175" s="4320" t="n"/>
      <c r="F175" s="4320" t="n"/>
      <c r="G175" s="4320" t="n"/>
      <c r="H175" s="4320" t="n"/>
      <c r="I175" s="4321" t="n"/>
      <c r="J175" s="4322" t="n"/>
      <c r="K175" s="4322" t="n"/>
      <c r="L175" s="4322" t="n"/>
      <c r="M175" s="4323" t="n"/>
      <c r="N175" s="4323" t="n"/>
      <c r="O175" s="4315" t="n"/>
      <c r="P175" s="4324" t="n"/>
      <c r="Q175" s="4324" t="n"/>
      <c r="R175" s="4324" t="n"/>
      <c r="S175" s="4324" t="n"/>
      <c r="T175" s="4324" t="n"/>
      <c r="U175" s="4315" t="n"/>
      <c r="V175" s="4322" t="n"/>
      <c r="W175" s="4322" t="n"/>
      <c r="X175" s="4322" t="n"/>
      <c r="Y175" s="4322" t="n"/>
      <c r="Z175" s="4322" t="n"/>
      <c r="AA175" s="4322" t="n"/>
      <c r="AB175" s="4322" t="n"/>
      <c r="AC175" s="4322" t="n"/>
      <c r="AD175" s="4322" t="n"/>
      <c r="AE175" s="4322" t="n"/>
      <c r="AF175" s="4322" t="n"/>
      <c r="AG175" s="4326" t="n"/>
      <c r="AH175" s="4322" t="n"/>
      <c r="AI175" s="4322" t="n"/>
      <c r="AJ175" s="4322" t="n"/>
      <c r="AK175" s="4322" t="n"/>
      <c r="AL175" s="4322" t="n"/>
      <c r="AM175" s="4322" t="n"/>
      <c r="AN175" s="4322" t="n"/>
      <c r="AO175" s="4322" t="n"/>
      <c r="AP175" s="4322" t="n"/>
      <c r="AQ175" s="4322" t="n"/>
      <c r="AR175" s="4322" t="n"/>
      <c r="AS175" s="4326" t="n"/>
      <c r="AT175" s="4322" t="n"/>
      <c r="AU175" s="4322" t="n"/>
      <c r="AV175" s="4322" t="n"/>
      <c r="AW175" s="4322" t="n"/>
      <c r="AX175" s="4322" t="n"/>
      <c r="AY175" s="4322" t="n"/>
      <c r="AZ175" s="4322" t="n"/>
      <c r="BA175" s="4322" t="n"/>
      <c r="BB175" s="4322" t="n"/>
      <c r="BC175" s="4322" t="n"/>
      <c r="BD175" s="4322" t="n"/>
      <c r="BE175" s="4326" t="n"/>
      <c r="BF175" s="4322" t="n"/>
      <c r="BG175" s="4322" t="n"/>
      <c r="BH175" s="4322" t="n"/>
      <c r="BI175" s="4322" t="n"/>
      <c r="BJ175" s="4322" t="n"/>
      <c r="BK175" s="4327" t="n"/>
      <c r="BL175" s="4322" t="n"/>
      <c r="BM175" s="4322" t="n"/>
      <c r="BN175" s="4322" t="n"/>
      <c r="BO175" s="4322" t="n"/>
      <c r="BP175" s="4322" t="n"/>
      <c r="BQ175" s="4315" t="n"/>
      <c r="BR175" s="4328" t="n"/>
      <c r="BT175" s="4315" t="n"/>
      <c r="BU175" s="4315" t="n"/>
    </row>
    <row r="176" ht="12" customFormat="1" customHeight="1" s="4315">
      <c r="A176" s="4316" t="n"/>
      <c r="B176" s="4317" t="n"/>
      <c r="C176" s="4318" t="inlineStr">
        <is>
          <t>[Redacted]</t>
        </is>
      </c>
      <c r="D176" s="4319" t="n">
        <v>11315</v>
      </c>
      <c r="E176" s="4320" t="n"/>
      <c r="F176" s="4320" t="n"/>
      <c r="G176" s="4320" t="n"/>
      <c r="H176" s="4320" t="n"/>
      <c r="I176" s="4321" t="n"/>
      <c r="J176" s="4322" t="n"/>
      <c r="K176" s="4322" t="n"/>
      <c r="L176" s="4322" t="n"/>
      <c r="M176" s="4323" t="n"/>
      <c r="N176" s="4323" t="n"/>
      <c r="O176" s="4315" t="n"/>
      <c r="P176" s="4324" t="n"/>
      <c r="Q176" s="4324" t="n"/>
      <c r="R176" s="4324" t="n"/>
      <c r="S176" s="4324" t="n"/>
      <c r="T176" s="4324" t="n"/>
      <c r="U176" s="4315" t="n"/>
      <c r="V176" s="4322" t="n"/>
      <c r="W176" s="4322" t="n"/>
      <c r="X176" s="4322" t="n"/>
      <c r="Y176" s="4322" t="n"/>
      <c r="Z176" s="4322" t="n"/>
      <c r="AA176" s="4322" t="n"/>
      <c r="AB176" s="4322" t="n"/>
      <c r="AC176" s="4322" t="n"/>
      <c r="AD176" s="4322" t="n"/>
      <c r="AE176" s="4322" t="n"/>
      <c r="AF176" s="4322" t="n"/>
      <c r="AG176" s="4326" t="n"/>
      <c r="AH176" s="4322" t="n"/>
      <c r="AI176" s="4322" t="n"/>
      <c r="AJ176" s="4322" t="n"/>
      <c r="AK176" s="4322" t="n"/>
      <c r="AL176" s="4322" t="n"/>
      <c r="AM176" s="4322" t="n"/>
      <c r="AN176" s="4322" t="n"/>
      <c r="AO176" s="4322" t="n"/>
      <c r="AP176" s="4322" t="n"/>
      <c r="AQ176" s="4322" t="n"/>
      <c r="AR176" s="4322" t="n"/>
      <c r="AS176" s="4326" t="n"/>
      <c r="AT176" s="4322" t="n"/>
      <c r="AU176" s="4322" t="n"/>
      <c r="AV176" s="4322" t="n"/>
      <c r="AW176" s="4322" t="n"/>
      <c r="AX176" s="4322" t="n"/>
      <c r="AY176" s="4322" t="n"/>
      <c r="AZ176" s="4322" t="n"/>
      <c r="BA176" s="4322" t="n"/>
      <c r="BB176" s="4322" t="n"/>
      <c r="BC176" s="4322" t="n"/>
      <c r="BD176" s="4322" t="n"/>
      <c r="BE176" s="4326" t="n"/>
      <c r="BF176" s="4322" t="n"/>
      <c r="BG176" s="4322" t="n"/>
      <c r="BH176" s="4322" t="n"/>
      <c r="BI176" s="4322" t="n"/>
      <c r="BJ176" s="4322" t="n"/>
      <c r="BK176" s="4327" t="n"/>
      <c r="BL176" s="4322" t="n"/>
      <c r="BM176" s="4322" t="n"/>
      <c r="BN176" s="4322" t="n"/>
      <c r="BO176" s="4322" t="n"/>
      <c r="BP176" s="4322" t="n"/>
      <c r="BQ176" s="4315" t="n"/>
      <c r="BR176" s="4328" t="n"/>
      <c r="BT176" s="4315" t="n"/>
      <c r="BU176" s="4315" t="n"/>
    </row>
    <row r="177" ht="12" customFormat="1" customHeight="1" s="4315">
      <c r="A177" s="4316" t="n"/>
      <c r="B177" s="4317" t="n"/>
      <c r="C177" s="4318" t="inlineStr">
        <is>
          <t>[Redacted]</t>
        </is>
      </c>
      <c r="D177" s="4319" t="n">
        <v>11045</v>
      </c>
      <c r="E177" s="4320" t="n"/>
      <c r="F177" s="4320" t="n"/>
      <c r="G177" s="4320" t="n"/>
      <c r="H177" s="4320" t="n"/>
      <c r="I177" s="4321" t="n"/>
      <c r="J177" s="4322" t="n"/>
      <c r="K177" s="4322" t="n"/>
      <c r="L177" s="4322" t="n"/>
      <c r="M177" s="4323" t="n"/>
      <c r="N177" s="4323" t="n"/>
      <c r="O177" s="4315" t="n"/>
      <c r="P177" s="4324" t="n"/>
      <c r="Q177" s="4324" t="n"/>
      <c r="R177" s="4324" t="n"/>
      <c r="S177" s="4324" t="n"/>
      <c r="T177" s="4324" t="n"/>
      <c r="U177" s="4315" t="n"/>
      <c r="V177" s="4322" t="n"/>
      <c r="W177" s="4322" t="n"/>
      <c r="X177" s="4322" t="n"/>
      <c r="Y177" s="4322" t="n"/>
      <c r="Z177" s="4322" t="n"/>
      <c r="AA177" s="4322" t="n"/>
      <c r="AB177" s="4322" t="n"/>
      <c r="AC177" s="4322" t="n"/>
      <c r="AD177" s="4322" t="n"/>
      <c r="AE177" s="4322" t="n"/>
      <c r="AF177" s="4322" t="n"/>
      <c r="AG177" s="4326" t="n"/>
      <c r="AH177" s="4322" t="n"/>
      <c r="AI177" s="4322" t="n"/>
      <c r="AJ177" s="4322" t="n"/>
      <c r="AK177" s="4322" t="n"/>
      <c r="AL177" s="4322" t="n"/>
      <c r="AM177" s="4322" t="n"/>
      <c r="AN177" s="4322" t="n"/>
      <c r="AO177" s="4322" t="n"/>
      <c r="AP177" s="4322" t="n"/>
      <c r="AQ177" s="4322" t="n"/>
      <c r="AR177" s="4322" t="n"/>
      <c r="AS177" s="4326" t="n"/>
      <c r="AT177" s="4322" t="n"/>
      <c r="AU177" s="4322" t="n"/>
      <c r="AV177" s="4322" t="n"/>
      <c r="AW177" s="4322" t="n"/>
      <c r="AX177" s="4322" t="n"/>
      <c r="AY177" s="4322" t="n"/>
      <c r="AZ177" s="4322" t="n"/>
      <c r="BA177" s="4322" t="n"/>
      <c r="BB177" s="4322" t="n"/>
      <c r="BC177" s="4322" t="n"/>
      <c r="BD177" s="4322" t="n"/>
      <c r="BE177" s="4326" t="n"/>
      <c r="BF177" s="4322" t="n"/>
      <c r="BG177" s="4322" t="n"/>
      <c r="BH177" s="4322" t="n"/>
      <c r="BI177" s="4322" t="n"/>
      <c r="BJ177" s="4322" t="n"/>
      <c r="BK177" s="4327" t="n"/>
      <c r="BL177" s="4322" t="n"/>
      <c r="BM177" s="4322" t="n"/>
      <c r="BN177" s="4322" t="n"/>
      <c r="BO177" s="4322" t="n"/>
      <c r="BP177" s="4322" t="n"/>
      <c r="BQ177" s="4315" t="n"/>
      <c r="BR177" s="4328" t="n"/>
      <c r="BT177" s="4315" t="n"/>
      <c r="BU177" s="4315" t="n"/>
    </row>
    <row r="178" ht="12" customFormat="1" customHeight="1" s="4315">
      <c r="A178" s="4316" t="n"/>
      <c r="B178" s="4317" t="n"/>
      <c r="C178" s="4318" t="inlineStr">
        <is>
          <t>[Redacted]</t>
        </is>
      </c>
      <c r="D178" s="4319" t="n">
        <v>11259</v>
      </c>
      <c r="E178" s="4320" t="n"/>
      <c r="F178" s="4320" t="n"/>
      <c r="G178" s="4320" t="n"/>
      <c r="H178" s="4320" t="n"/>
      <c r="I178" s="4321" t="n"/>
      <c r="J178" s="4322" t="n"/>
      <c r="K178" s="4322" t="n"/>
      <c r="L178" s="4322" t="n"/>
      <c r="M178" s="4323" t="n"/>
      <c r="N178" s="4323" t="n"/>
      <c r="O178" s="4315" t="n"/>
      <c r="P178" s="4324" t="n"/>
      <c r="Q178" s="4324" t="n"/>
      <c r="R178" s="4324" t="n"/>
      <c r="S178" s="4324" t="n"/>
      <c r="T178" s="4324" t="n"/>
      <c r="U178" s="4315" t="n"/>
      <c r="V178" s="4322" t="n"/>
      <c r="W178" s="4322" t="n"/>
      <c r="X178" s="4322" t="n"/>
      <c r="Y178" s="4322" t="n"/>
      <c r="Z178" s="4322" t="n"/>
      <c r="AA178" s="4322" t="n"/>
      <c r="AB178" s="4322" t="n"/>
      <c r="AC178" s="4322" t="n"/>
      <c r="AD178" s="4322" t="n"/>
      <c r="AE178" s="4322" t="n"/>
      <c r="AF178" s="4322" t="n"/>
      <c r="AG178" s="4326" t="n"/>
      <c r="AH178" s="4322" t="n"/>
      <c r="AI178" s="4322" t="n"/>
      <c r="AJ178" s="4322" t="n"/>
      <c r="AK178" s="4322" t="n"/>
      <c r="AL178" s="4322" t="n"/>
      <c r="AM178" s="4322" t="n"/>
      <c r="AN178" s="4322" t="n"/>
      <c r="AO178" s="4322" t="n"/>
      <c r="AP178" s="4322" t="n"/>
      <c r="AQ178" s="4322" t="n"/>
      <c r="AR178" s="4322" t="n"/>
      <c r="AS178" s="4326" t="n"/>
      <c r="AT178" s="4322" t="n"/>
      <c r="AU178" s="4322" t="n"/>
      <c r="AV178" s="4322" t="n"/>
      <c r="AW178" s="4322" t="n"/>
      <c r="AX178" s="4322" t="n"/>
      <c r="AY178" s="4322" t="n"/>
      <c r="AZ178" s="4322" t="n"/>
      <c r="BA178" s="4322" t="n"/>
      <c r="BB178" s="4322" t="n"/>
      <c r="BC178" s="4322" t="n"/>
      <c r="BD178" s="4322" t="n"/>
      <c r="BE178" s="4326" t="n"/>
      <c r="BF178" s="4322" t="n"/>
      <c r="BG178" s="4322" t="n"/>
      <c r="BH178" s="4322" t="n"/>
      <c r="BI178" s="4322" t="n"/>
      <c r="BJ178" s="4322" t="n"/>
      <c r="BK178" s="4327" t="n"/>
      <c r="BL178" s="4322" t="n"/>
      <c r="BM178" s="4322" t="n"/>
      <c r="BN178" s="4322" t="n"/>
      <c r="BO178" s="4322" t="n"/>
      <c r="BP178" s="4322" t="n"/>
      <c r="BQ178" s="4315" t="n"/>
      <c r="BR178" s="4328" t="n"/>
      <c r="BT178" s="4315" t="n"/>
      <c r="BU178" s="4315" t="n"/>
    </row>
    <row r="179" ht="12" customFormat="1" customHeight="1" s="4315">
      <c r="A179" s="4316" t="n"/>
      <c r="B179" s="4317" t="n"/>
      <c r="C179" s="4318" t="inlineStr">
        <is>
          <t>[Redacted]</t>
        </is>
      </c>
      <c r="D179" s="4319" t="n">
        <v>11266</v>
      </c>
      <c r="E179" s="4320" t="n"/>
      <c r="F179" s="4320" t="n"/>
      <c r="G179" s="4320" t="n"/>
      <c r="H179" s="4320" t="n"/>
      <c r="I179" s="4321" t="n"/>
      <c r="J179" s="4322" t="n"/>
      <c r="K179" s="4322" t="n"/>
      <c r="L179" s="4322" t="n"/>
      <c r="M179" s="4323" t="n"/>
      <c r="N179" s="4323" t="n"/>
      <c r="O179" s="4315" t="n"/>
      <c r="P179" s="4324" t="n"/>
      <c r="Q179" s="4324" t="n"/>
      <c r="R179" s="4324" t="n"/>
      <c r="S179" s="4324" t="n"/>
      <c r="T179" s="4324" t="n"/>
      <c r="U179" s="4315" t="n"/>
      <c r="V179" s="4322" t="n"/>
      <c r="W179" s="4322" t="n"/>
      <c r="X179" s="4322" t="n"/>
      <c r="Y179" s="4322" t="n"/>
      <c r="Z179" s="4322" t="n"/>
      <c r="AA179" s="4322" t="n"/>
      <c r="AB179" s="4322" t="n"/>
      <c r="AC179" s="4322" t="n"/>
      <c r="AD179" s="4322" t="n"/>
      <c r="AE179" s="4322" t="n"/>
      <c r="AF179" s="4322" t="n"/>
      <c r="AG179" s="4326" t="n"/>
      <c r="AH179" s="4322" t="n"/>
      <c r="AI179" s="4322" t="n"/>
      <c r="AJ179" s="4322" t="n"/>
      <c r="AK179" s="4322" t="n"/>
      <c r="AL179" s="4322" t="n"/>
      <c r="AM179" s="4322" t="n"/>
      <c r="AN179" s="4322" t="n"/>
      <c r="AO179" s="4322" t="n"/>
      <c r="AP179" s="4322" t="n"/>
      <c r="AQ179" s="4322" t="n"/>
      <c r="AR179" s="4322" t="n"/>
      <c r="AS179" s="4326" t="n"/>
      <c r="AT179" s="4322" t="n"/>
      <c r="AU179" s="4322" t="n"/>
      <c r="AV179" s="4322" t="n"/>
      <c r="AW179" s="4322" t="n"/>
      <c r="AX179" s="4322" t="n"/>
      <c r="AY179" s="4322" t="n"/>
      <c r="AZ179" s="4322" t="n"/>
      <c r="BA179" s="4322" t="n"/>
      <c r="BB179" s="4322" t="n"/>
      <c r="BC179" s="4322" t="n"/>
      <c r="BD179" s="4322" t="n"/>
      <c r="BE179" s="4326" t="n"/>
      <c r="BF179" s="4322" t="n"/>
      <c r="BG179" s="4322" t="n"/>
      <c r="BH179" s="4322" t="n"/>
      <c r="BI179" s="4322" t="n"/>
      <c r="BJ179" s="4322" t="n"/>
      <c r="BK179" s="4327" t="n"/>
      <c r="BL179" s="4322" t="n"/>
      <c r="BM179" s="4322" t="n"/>
      <c r="BN179" s="4322" t="n"/>
      <c r="BO179" s="4322" t="n"/>
      <c r="BP179" s="4322" t="n"/>
      <c r="BQ179" s="4315" t="n"/>
      <c r="BR179" s="4328" t="n"/>
      <c r="BT179" s="4315" t="n"/>
      <c r="BU179" s="4315" t="n"/>
    </row>
    <row r="180" ht="12" customFormat="1" customHeight="1" s="4315">
      <c r="A180" s="4316" t="n"/>
      <c r="B180" s="4317" t="n"/>
      <c r="C180" s="4318" t="inlineStr">
        <is>
          <t>[Redacted]</t>
        </is>
      </c>
      <c r="D180" s="4319" t="n">
        <v>11222</v>
      </c>
      <c r="E180" s="4320" t="n"/>
      <c r="F180" s="4320" t="n"/>
      <c r="G180" s="4320" t="n"/>
      <c r="H180" s="4320" t="n"/>
      <c r="I180" s="4321" t="n"/>
      <c r="J180" s="4322" t="n"/>
      <c r="K180" s="4322" t="n"/>
      <c r="L180" s="4322" t="n"/>
      <c r="M180" s="4323" t="n"/>
      <c r="N180" s="4323" t="n"/>
      <c r="O180" s="4315" t="n"/>
      <c r="P180" s="4324" t="n"/>
      <c r="Q180" s="4324" t="n"/>
      <c r="R180" s="4324" t="n"/>
      <c r="S180" s="4324" t="n"/>
      <c r="T180" s="4324" t="n"/>
      <c r="U180" s="4315" t="n"/>
      <c r="V180" s="4322" t="n"/>
      <c r="W180" s="4322" t="n"/>
      <c r="X180" s="4322" t="n"/>
      <c r="Y180" s="4322" t="n"/>
      <c r="Z180" s="4322" t="n"/>
      <c r="AA180" s="4322" t="n"/>
      <c r="AB180" s="4322" t="n"/>
      <c r="AC180" s="4322" t="n"/>
      <c r="AD180" s="4322" t="n"/>
      <c r="AE180" s="4322" t="n"/>
      <c r="AF180" s="4322" t="n"/>
      <c r="AG180" s="4326" t="n"/>
      <c r="AH180" s="4322" t="n"/>
      <c r="AI180" s="4322" t="n"/>
      <c r="AJ180" s="4322" t="n"/>
      <c r="AK180" s="4322" t="n"/>
      <c r="AL180" s="4322" t="n"/>
      <c r="AM180" s="4322" t="n"/>
      <c r="AN180" s="4322" t="n"/>
      <c r="AO180" s="4322" t="n"/>
      <c r="AP180" s="4322" t="n"/>
      <c r="AQ180" s="4322" t="n"/>
      <c r="AR180" s="4322" t="n"/>
      <c r="AS180" s="4326" t="n"/>
      <c r="AT180" s="4322" t="n"/>
      <c r="AU180" s="4322" t="n"/>
      <c r="AV180" s="4322" t="n"/>
      <c r="AW180" s="4322" t="n"/>
      <c r="AX180" s="4322" t="n"/>
      <c r="AY180" s="4322" t="n"/>
      <c r="AZ180" s="4322" t="n"/>
      <c r="BA180" s="4322" t="n"/>
      <c r="BB180" s="4322" t="n"/>
      <c r="BC180" s="4322" t="n"/>
      <c r="BD180" s="4322" t="n"/>
      <c r="BE180" s="4326" t="n"/>
      <c r="BF180" s="4322" t="n"/>
      <c r="BG180" s="4322" t="n"/>
      <c r="BH180" s="4322" t="n"/>
      <c r="BI180" s="4322" t="n"/>
      <c r="BJ180" s="4322" t="n"/>
      <c r="BK180" s="4327" t="n"/>
      <c r="BL180" s="4322" t="n"/>
      <c r="BM180" s="4322" t="n"/>
      <c r="BN180" s="4322" t="n"/>
      <c r="BO180" s="4322" t="n"/>
      <c r="BP180" s="4322" t="n"/>
      <c r="BQ180" s="4315" t="n"/>
      <c r="BR180" s="4328" t="n"/>
      <c r="BT180" s="4315" t="n"/>
      <c r="BU180" s="4315" t="n"/>
    </row>
    <row r="181" ht="12" customFormat="1" customHeight="1" s="4315">
      <c r="A181" s="4316" t="n"/>
      <c r="B181" s="4317" t="n"/>
      <c r="C181" s="4318" t="inlineStr">
        <is>
          <t>[Redacted]</t>
        </is>
      </c>
      <c r="D181" s="4319" t="n">
        <v>11191</v>
      </c>
      <c r="E181" s="4320" t="n"/>
      <c r="F181" s="4320" t="n"/>
      <c r="G181" s="4320" t="n"/>
      <c r="H181" s="4320" t="n"/>
      <c r="I181" s="4321" t="n"/>
      <c r="J181" s="4322" t="n"/>
      <c r="K181" s="4322" t="n"/>
      <c r="L181" s="4322" t="n"/>
      <c r="M181" s="4323" t="n"/>
      <c r="N181" s="4323" t="n"/>
      <c r="O181" s="4315" t="n"/>
      <c r="P181" s="4324" t="n"/>
      <c r="Q181" s="4324" t="n"/>
      <c r="R181" s="4324" t="n"/>
      <c r="S181" s="4324" t="n"/>
      <c r="T181" s="4324" t="n"/>
      <c r="U181" s="4315" t="n"/>
      <c r="V181" s="4322" t="n"/>
      <c r="W181" s="4322" t="n"/>
      <c r="X181" s="4322" t="n"/>
      <c r="Y181" s="4322" t="n"/>
      <c r="Z181" s="4322" t="n"/>
      <c r="AA181" s="4322" t="n"/>
      <c r="AB181" s="4322" t="n"/>
      <c r="AC181" s="4322" t="n"/>
      <c r="AD181" s="4322" t="n"/>
      <c r="AE181" s="4322" t="n"/>
      <c r="AF181" s="4322" t="n"/>
      <c r="AG181" s="4326" t="n"/>
      <c r="AH181" s="4322" t="n"/>
      <c r="AI181" s="4322" t="n"/>
      <c r="AJ181" s="4322" t="n"/>
      <c r="AK181" s="4322" t="n"/>
      <c r="AL181" s="4322" t="n"/>
      <c r="AM181" s="4322" t="n"/>
      <c r="AN181" s="4322" t="n"/>
      <c r="AO181" s="4322" t="n"/>
      <c r="AP181" s="4322" t="n"/>
      <c r="AQ181" s="4322" t="n"/>
      <c r="AR181" s="4322" t="n"/>
      <c r="AS181" s="4326" t="n"/>
      <c r="AT181" s="4322" t="n"/>
      <c r="AU181" s="4322" t="n"/>
      <c r="AV181" s="4322" t="n"/>
      <c r="AW181" s="4322" t="n"/>
      <c r="AX181" s="4322" t="n"/>
      <c r="AY181" s="4322" t="n"/>
      <c r="AZ181" s="4322" t="n"/>
      <c r="BA181" s="4322" t="n"/>
      <c r="BB181" s="4322" t="n"/>
      <c r="BC181" s="4322" t="n"/>
      <c r="BD181" s="4322" t="n"/>
      <c r="BE181" s="4326" t="n"/>
      <c r="BF181" s="4322" t="n"/>
      <c r="BG181" s="4322" t="n"/>
      <c r="BH181" s="4322" t="n"/>
      <c r="BI181" s="4322" t="n"/>
      <c r="BJ181" s="4322" t="n"/>
      <c r="BK181" s="4327" t="n"/>
      <c r="BL181" s="4322" t="n"/>
      <c r="BM181" s="4322" t="n"/>
      <c r="BN181" s="4322" t="n"/>
      <c r="BO181" s="4322" t="n"/>
      <c r="BP181" s="4322" t="n"/>
      <c r="BQ181" s="4315" t="n"/>
      <c r="BR181" s="4328" t="n"/>
      <c r="BT181" s="4315" t="n"/>
      <c r="BU181" s="4315" t="n"/>
    </row>
    <row r="182" ht="12" customFormat="1" customHeight="1" s="4315">
      <c r="A182" s="4316" t="n"/>
      <c r="B182" s="4317" t="n"/>
      <c r="C182" s="4318" t="inlineStr">
        <is>
          <t>[Redacted]</t>
        </is>
      </c>
      <c r="D182" s="4319" t="n">
        <v>11261</v>
      </c>
      <c r="E182" s="4320" t="n"/>
      <c r="F182" s="4320" t="n"/>
      <c r="G182" s="4320" t="n"/>
      <c r="H182" s="4320" t="n"/>
      <c r="I182" s="4321" t="n"/>
      <c r="J182" s="4322" t="n"/>
      <c r="K182" s="4322" t="n"/>
      <c r="L182" s="4322" t="n"/>
      <c r="M182" s="4323" t="n"/>
      <c r="N182" s="4323" t="n"/>
      <c r="O182" s="4315" t="n"/>
      <c r="P182" s="4324" t="n"/>
      <c r="Q182" s="4324" t="n"/>
      <c r="R182" s="4324" t="n"/>
      <c r="S182" s="4324" t="n"/>
      <c r="T182" s="4324" t="n"/>
      <c r="U182" s="4315" t="n"/>
      <c r="V182" s="4322" t="n"/>
      <c r="W182" s="4322" t="n"/>
      <c r="X182" s="4322" t="n"/>
      <c r="Y182" s="4322" t="n"/>
      <c r="Z182" s="4322" t="n"/>
      <c r="AA182" s="4322" t="n"/>
      <c r="AB182" s="4322" t="n"/>
      <c r="AC182" s="4322" t="n"/>
      <c r="AD182" s="4322" t="n"/>
      <c r="AE182" s="4322" t="n"/>
      <c r="AF182" s="4322" t="n"/>
      <c r="AG182" s="4326" t="n"/>
      <c r="AH182" s="4322" t="n"/>
      <c r="AI182" s="4322" t="n"/>
      <c r="AJ182" s="4322" t="n"/>
      <c r="AK182" s="4322" t="n"/>
      <c r="AL182" s="4322" t="n"/>
      <c r="AM182" s="4322" t="n"/>
      <c r="AN182" s="4322" t="n"/>
      <c r="AO182" s="4322" t="n"/>
      <c r="AP182" s="4322" t="n"/>
      <c r="AQ182" s="4322" t="n"/>
      <c r="AR182" s="4322" t="n"/>
      <c r="AS182" s="4326" t="n"/>
      <c r="AT182" s="4322" t="n"/>
      <c r="AU182" s="4322" t="n"/>
      <c r="AV182" s="4322" t="n"/>
      <c r="AW182" s="4322" t="n"/>
      <c r="AX182" s="4322" t="n"/>
      <c r="AY182" s="4322" t="n"/>
      <c r="AZ182" s="4322" t="n"/>
      <c r="BA182" s="4322" t="n"/>
      <c r="BB182" s="4322" t="n"/>
      <c r="BC182" s="4322" t="n"/>
      <c r="BD182" s="4322" t="n"/>
      <c r="BE182" s="4326" t="n"/>
      <c r="BF182" s="4322" t="n"/>
      <c r="BG182" s="4322" t="n"/>
      <c r="BH182" s="4322" t="n"/>
      <c r="BI182" s="4322" t="n"/>
      <c r="BJ182" s="4322" t="n"/>
      <c r="BK182" s="4327" t="n"/>
      <c r="BL182" s="4322" t="n"/>
      <c r="BM182" s="4322" t="n"/>
      <c r="BN182" s="4322" t="n"/>
      <c r="BO182" s="4322" t="n"/>
      <c r="BP182" s="4322" t="n"/>
      <c r="BQ182" s="4315" t="n"/>
      <c r="BR182" s="4328" t="n"/>
      <c r="BT182" s="4315" t="n"/>
      <c r="BU182" s="4315" t="n"/>
    </row>
    <row r="183" ht="12" customFormat="1" customHeight="1" s="4315">
      <c r="A183" s="4316" t="n"/>
      <c r="B183" s="4317" t="n"/>
      <c r="C183" s="4318" t="inlineStr">
        <is>
          <t>[Redacted]</t>
        </is>
      </c>
      <c r="D183" s="4319" t="n">
        <v>11303</v>
      </c>
      <c r="E183" s="4320" t="n"/>
      <c r="F183" s="4320" t="n"/>
      <c r="G183" s="4320" t="n"/>
      <c r="H183" s="4320" t="n"/>
      <c r="I183" s="4321" t="n"/>
      <c r="J183" s="4322" t="n"/>
      <c r="K183" s="4322" t="n"/>
      <c r="L183" s="4322" t="n"/>
      <c r="M183" s="4323" t="n"/>
      <c r="N183" s="4323" t="n"/>
      <c r="O183" s="4315" t="n"/>
      <c r="P183" s="4324" t="n"/>
      <c r="Q183" s="4324" t="n"/>
      <c r="R183" s="4324" t="n"/>
      <c r="S183" s="4324" t="n"/>
      <c r="T183" s="4324" t="n"/>
      <c r="U183" s="4315" t="n"/>
      <c r="V183" s="4322" t="n"/>
      <c r="W183" s="4322" t="n"/>
      <c r="X183" s="4322" t="n"/>
      <c r="Y183" s="4322" t="n"/>
      <c r="Z183" s="4322" t="n"/>
      <c r="AA183" s="4322" t="n"/>
      <c r="AB183" s="4322" t="n"/>
      <c r="AC183" s="4322" t="n"/>
      <c r="AD183" s="4322" t="n"/>
      <c r="AE183" s="4322" t="n"/>
      <c r="AF183" s="4322" t="n"/>
      <c r="AG183" s="4326" t="n"/>
      <c r="AH183" s="4322" t="n"/>
      <c r="AI183" s="4322" t="n"/>
      <c r="AJ183" s="4322" t="n"/>
      <c r="AK183" s="4322" t="n"/>
      <c r="AL183" s="4322" t="n"/>
      <c r="AM183" s="4322" t="n"/>
      <c r="AN183" s="4322" t="n"/>
      <c r="AO183" s="4322" t="n"/>
      <c r="AP183" s="4322" t="n"/>
      <c r="AQ183" s="4322" t="n"/>
      <c r="AR183" s="4322" t="n"/>
      <c r="AS183" s="4326" t="n"/>
      <c r="AT183" s="4322" t="n"/>
      <c r="AU183" s="4322" t="n"/>
      <c r="AV183" s="4322" t="n"/>
      <c r="AW183" s="4322" t="n"/>
      <c r="AX183" s="4322" t="n"/>
      <c r="AY183" s="4322" t="n"/>
      <c r="AZ183" s="4322" t="n"/>
      <c r="BA183" s="4322" t="n"/>
      <c r="BB183" s="4322" t="n"/>
      <c r="BC183" s="4322" t="n"/>
      <c r="BD183" s="4322" t="n"/>
      <c r="BE183" s="4326" t="n"/>
      <c r="BF183" s="4322" t="n"/>
      <c r="BG183" s="4322" t="n"/>
      <c r="BH183" s="4322" t="n"/>
      <c r="BI183" s="4322" t="n"/>
      <c r="BJ183" s="4322" t="n"/>
      <c r="BK183" s="4327" t="n"/>
      <c r="BL183" s="4322" t="n"/>
      <c r="BM183" s="4322" t="n"/>
      <c r="BN183" s="4322" t="n"/>
      <c r="BO183" s="4322" t="n"/>
      <c r="BP183" s="4322" t="n"/>
      <c r="BQ183" s="4315" t="n"/>
      <c r="BR183" s="4328" t="n"/>
      <c r="BT183" s="4315" t="n"/>
      <c r="BU183" s="4315" t="n"/>
    </row>
    <row r="184" ht="12" customFormat="1" customHeight="1" s="4315">
      <c r="A184" s="4316" t="n"/>
      <c r="B184" s="4317" t="n"/>
      <c r="C184" s="4318" t="inlineStr">
        <is>
          <t>[Redacted]</t>
        </is>
      </c>
      <c r="D184" s="4319" t="n">
        <v>11154</v>
      </c>
      <c r="E184" s="4320" t="n"/>
      <c r="F184" s="4320" t="n"/>
      <c r="G184" s="4320" t="n"/>
      <c r="H184" s="4320" t="n"/>
      <c r="I184" s="4321" t="n"/>
      <c r="J184" s="4322" t="n"/>
      <c r="K184" s="4322" t="n"/>
      <c r="L184" s="4322" t="n"/>
      <c r="M184" s="4323" t="n"/>
      <c r="N184" s="4323" t="n"/>
      <c r="O184" s="4315" t="n"/>
      <c r="P184" s="4324" t="n"/>
      <c r="Q184" s="4324" t="n"/>
      <c r="R184" s="4324" t="n"/>
      <c r="S184" s="4324" t="n"/>
      <c r="T184" s="4324" t="n"/>
      <c r="U184" s="4315" t="n"/>
      <c r="V184" s="4322" t="n"/>
      <c r="W184" s="4322" t="n"/>
      <c r="X184" s="4322" t="n"/>
      <c r="Y184" s="4322" t="n"/>
      <c r="Z184" s="4322" t="n"/>
      <c r="AA184" s="4322" t="n"/>
      <c r="AB184" s="4322" t="n"/>
      <c r="AC184" s="4322" t="n"/>
      <c r="AD184" s="4322" t="n"/>
      <c r="AE184" s="4322" t="n"/>
      <c r="AF184" s="4322" t="n"/>
      <c r="AG184" s="4326" t="n"/>
      <c r="AH184" s="4322" t="n"/>
      <c r="AI184" s="4322" t="n"/>
      <c r="AJ184" s="4322" t="n"/>
      <c r="AK184" s="4322" t="n"/>
      <c r="AL184" s="4322" t="n"/>
      <c r="AM184" s="4322" t="n"/>
      <c r="AN184" s="4322" t="n"/>
      <c r="AO184" s="4322" t="n"/>
      <c r="AP184" s="4322" t="n"/>
      <c r="AQ184" s="4322" t="n"/>
      <c r="AR184" s="4322" t="n"/>
      <c r="AS184" s="4326" t="n"/>
      <c r="AT184" s="4322" t="n"/>
      <c r="AU184" s="4322" t="n"/>
      <c r="AV184" s="4322" t="n"/>
      <c r="AW184" s="4322" t="n"/>
      <c r="AX184" s="4322" t="n"/>
      <c r="AY184" s="4322" t="n"/>
      <c r="AZ184" s="4322" t="n"/>
      <c r="BA184" s="4322" t="n"/>
      <c r="BB184" s="4322" t="n"/>
      <c r="BC184" s="4322" t="n"/>
      <c r="BD184" s="4322" t="n"/>
      <c r="BE184" s="4326" t="n"/>
      <c r="BF184" s="4322" t="n"/>
      <c r="BG184" s="4322" t="n"/>
      <c r="BH184" s="4322" t="n"/>
      <c r="BI184" s="4322" t="n"/>
      <c r="BJ184" s="4322" t="n"/>
      <c r="BK184" s="4327" t="n"/>
      <c r="BL184" s="4322" t="n"/>
      <c r="BM184" s="4322" t="n"/>
      <c r="BN184" s="4322" t="n"/>
      <c r="BO184" s="4322" t="n"/>
      <c r="BP184" s="4322" t="n"/>
      <c r="BQ184" s="4315" t="n"/>
      <c r="BR184" s="4328" t="n"/>
      <c r="BT184" s="4315" t="n"/>
      <c r="BU184" s="4315" t="n"/>
    </row>
    <row r="185" ht="12" customFormat="1" customHeight="1" s="4315">
      <c r="A185" s="4316" t="n"/>
      <c r="B185" s="4317" t="n"/>
      <c r="C185" s="4318" t="inlineStr">
        <is>
          <t>[Redacted]</t>
        </is>
      </c>
      <c r="D185" s="4319" t="n">
        <v>11208</v>
      </c>
      <c r="E185" s="4320" t="n"/>
      <c r="F185" s="4320" t="n"/>
      <c r="G185" s="4320" t="n"/>
      <c r="H185" s="4320" t="n"/>
      <c r="I185" s="4321" t="n"/>
      <c r="J185" s="4322" t="n"/>
      <c r="K185" s="4322" t="n"/>
      <c r="L185" s="4322" t="n"/>
      <c r="M185" s="4323" t="n"/>
      <c r="N185" s="4323" t="n"/>
      <c r="O185" s="4315" t="n"/>
      <c r="P185" s="4324" t="n"/>
      <c r="Q185" s="4324" t="n"/>
      <c r="R185" s="4324" t="n"/>
      <c r="S185" s="4324" t="n"/>
      <c r="T185" s="4324" t="n"/>
      <c r="U185" s="4315" t="n"/>
      <c r="V185" s="4322" t="n"/>
      <c r="W185" s="4322" t="n"/>
      <c r="X185" s="4322" t="n"/>
      <c r="Y185" s="4322" t="n"/>
      <c r="Z185" s="4322" t="n"/>
      <c r="AA185" s="4322" t="n"/>
      <c r="AB185" s="4322" t="n"/>
      <c r="AC185" s="4322" t="n"/>
      <c r="AD185" s="4322" t="n"/>
      <c r="AE185" s="4322" t="n"/>
      <c r="AF185" s="4322" t="n"/>
      <c r="AG185" s="4326" t="n"/>
      <c r="AH185" s="4322" t="n"/>
      <c r="AI185" s="4322" t="n"/>
      <c r="AJ185" s="4322" t="n"/>
      <c r="AK185" s="4322" t="n"/>
      <c r="AL185" s="4322" t="n"/>
      <c r="AM185" s="4322" t="n"/>
      <c r="AN185" s="4322" t="n"/>
      <c r="AO185" s="4322" t="n"/>
      <c r="AP185" s="4322" t="n"/>
      <c r="AQ185" s="4322" t="n"/>
      <c r="AR185" s="4322" t="n"/>
      <c r="AS185" s="4326" t="n"/>
      <c r="AT185" s="4322" t="n"/>
      <c r="AU185" s="4322" t="n"/>
      <c r="AV185" s="4322" t="n"/>
      <c r="AW185" s="4322" t="n"/>
      <c r="AX185" s="4322" t="n"/>
      <c r="AY185" s="4322" t="n"/>
      <c r="AZ185" s="4322" t="n"/>
      <c r="BA185" s="4322" t="n"/>
      <c r="BB185" s="4322" t="n"/>
      <c r="BC185" s="4322" t="n"/>
      <c r="BD185" s="4322" t="n"/>
      <c r="BE185" s="4326" t="n"/>
      <c r="BF185" s="4322" t="n"/>
      <c r="BG185" s="4322" t="n"/>
      <c r="BH185" s="4322" t="n"/>
      <c r="BI185" s="4322" t="n"/>
      <c r="BJ185" s="4322" t="n"/>
      <c r="BK185" s="4327" t="n"/>
      <c r="BL185" s="4322" t="n"/>
      <c r="BM185" s="4322" t="n"/>
      <c r="BN185" s="4322" t="n"/>
      <c r="BO185" s="4322" t="n"/>
      <c r="BP185" s="4322" t="n"/>
      <c r="BQ185" s="4315" t="n"/>
      <c r="BR185" s="4328" t="n"/>
      <c r="BT185" s="4315" t="n"/>
      <c r="BU185" s="4315" t="n"/>
    </row>
    <row r="186" ht="12" customFormat="1" customHeight="1" s="4315">
      <c r="A186" s="4316" t="n"/>
      <c r="B186" s="4317" t="n"/>
      <c r="C186" s="4318" t="inlineStr">
        <is>
          <t>[Redacted]</t>
        </is>
      </c>
      <c r="D186" s="4319" t="n">
        <v>11153</v>
      </c>
      <c r="E186" s="4320" t="n"/>
      <c r="F186" s="4320" t="n"/>
      <c r="G186" s="4320" t="n"/>
      <c r="H186" s="4320" t="n"/>
      <c r="I186" s="4321" t="n"/>
      <c r="J186" s="4322" t="n"/>
      <c r="K186" s="4322" t="n"/>
      <c r="L186" s="4322" t="n"/>
      <c r="M186" s="4323" t="n"/>
      <c r="N186" s="4323" t="n"/>
      <c r="O186" s="4315" t="n"/>
      <c r="P186" s="4324" t="n"/>
      <c r="Q186" s="4324" t="n"/>
      <c r="R186" s="4324" t="n"/>
      <c r="S186" s="4324" t="n"/>
      <c r="T186" s="4324" t="n"/>
      <c r="U186" s="4315" t="n"/>
      <c r="V186" s="4322" t="n"/>
      <c r="W186" s="4322" t="n"/>
      <c r="X186" s="4322" t="n"/>
      <c r="Y186" s="4322" t="n"/>
      <c r="Z186" s="4322" t="n"/>
      <c r="AA186" s="4322" t="n"/>
      <c r="AB186" s="4322" t="n"/>
      <c r="AC186" s="4322" t="n"/>
      <c r="AD186" s="4322" t="n"/>
      <c r="AE186" s="4322" t="n"/>
      <c r="AF186" s="4322" t="n"/>
      <c r="AG186" s="4326" t="n"/>
      <c r="AH186" s="4322" t="n"/>
      <c r="AI186" s="4322" t="n"/>
      <c r="AJ186" s="4322" t="n"/>
      <c r="AK186" s="4322" t="n"/>
      <c r="AL186" s="4322" t="n"/>
      <c r="AM186" s="4322" t="n"/>
      <c r="AN186" s="4322" t="n"/>
      <c r="AO186" s="4322" t="n"/>
      <c r="AP186" s="4322" t="n"/>
      <c r="AQ186" s="4322" t="n"/>
      <c r="AR186" s="4322" t="n"/>
      <c r="AS186" s="4326" t="n"/>
      <c r="AT186" s="4322" t="n"/>
      <c r="AU186" s="4322" t="n"/>
      <c r="AV186" s="4322" t="n"/>
      <c r="AW186" s="4322" t="n"/>
      <c r="AX186" s="4322" t="n"/>
      <c r="AY186" s="4322" t="n"/>
      <c r="AZ186" s="4322" t="n"/>
      <c r="BA186" s="4322" t="n"/>
      <c r="BB186" s="4322" t="n"/>
      <c r="BC186" s="4322" t="n"/>
      <c r="BD186" s="4322" t="n"/>
      <c r="BE186" s="4326" t="n"/>
      <c r="BF186" s="4322" t="n"/>
      <c r="BG186" s="4322" t="n"/>
      <c r="BH186" s="4322" t="n"/>
      <c r="BI186" s="4322" t="n"/>
      <c r="BJ186" s="4322" t="n"/>
      <c r="BK186" s="4327" t="n"/>
      <c r="BL186" s="4322" t="n"/>
      <c r="BM186" s="4322" t="n"/>
      <c r="BN186" s="4322" t="n"/>
      <c r="BO186" s="4322" t="n"/>
      <c r="BP186" s="4322" t="n"/>
      <c r="BQ186" s="4315" t="n"/>
      <c r="BR186" s="4328" t="n"/>
      <c r="BT186" s="4315" t="n"/>
      <c r="BU186" s="4315" t="n"/>
    </row>
    <row r="187" ht="12" customFormat="1" customHeight="1" s="4315">
      <c r="A187" s="4316" t="n"/>
      <c r="B187" s="4317" t="n"/>
      <c r="C187" s="4318" t="inlineStr">
        <is>
          <t>[Redacted]</t>
        </is>
      </c>
      <c r="D187" s="4319" t="n">
        <v>11292</v>
      </c>
      <c r="E187" s="4320" t="n"/>
      <c r="F187" s="4320" t="n"/>
      <c r="G187" s="4320" t="n"/>
      <c r="H187" s="4320" t="n"/>
      <c r="I187" s="4321" t="n"/>
      <c r="J187" s="4322" t="n"/>
      <c r="K187" s="4322" t="n"/>
      <c r="L187" s="4322" t="n"/>
      <c r="M187" s="4323" t="n"/>
      <c r="N187" s="4323" t="n"/>
      <c r="O187" s="4315" t="n"/>
      <c r="P187" s="4324" t="n"/>
      <c r="Q187" s="4324" t="n"/>
      <c r="R187" s="4324" t="n"/>
      <c r="S187" s="4324" t="n"/>
      <c r="T187" s="4324" t="n"/>
      <c r="U187" s="4315" t="n"/>
      <c r="V187" s="4322" t="n"/>
      <c r="W187" s="4322" t="n"/>
      <c r="X187" s="4322" t="n"/>
      <c r="Y187" s="4322" t="n"/>
      <c r="Z187" s="4322" t="n"/>
      <c r="AA187" s="4322" t="n"/>
      <c r="AB187" s="4322" t="n"/>
      <c r="AC187" s="4322" t="n"/>
      <c r="AD187" s="4322" t="n"/>
      <c r="AE187" s="4322" t="n"/>
      <c r="AF187" s="4322" t="n"/>
      <c r="AG187" s="4326" t="n"/>
      <c r="AH187" s="4322" t="n"/>
      <c r="AI187" s="4322" t="n"/>
      <c r="AJ187" s="4322" t="n"/>
      <c r="AK187" s="4322" t="n"/>
      <c r="AL187" s="4322" t="n"/>
      <c r="AM187" s="4322" t="n"/>
      <c r="AN187" s="4322" t="n"/>
      <c r="AO187" s="4322" t="n"/>
      <c r="AP187" s="4322" t="n"/>
      <c r="AQ187" s="4322" t="n"/>
      <c r="AR187" s="4322" t="n"/>
      <c r="AS187" s="4326" t="n"/>
      <c r="AT187" s="4322" t="n"/>
      <c r="AU187" s="4322" t="n"/>
      <c r="AV187" s="4322" t="n"/>
      <c r="AW187" s="4322" t="n"/>
      <c r="AX187" s="4322" t="n"/>
      <c r="AY187" s="4322" t="n"/>
      <c r="AZ187" s="4322" t="n"/>
      <c r="BA187" s="4322" t="n"/>
      <c r="BB187" s="4322" t="n"/>
      <c r="BC187" s="4322" t="n"/>
      <c r="BD187" s="4322" t="n"/>
      <c r="BE187" s="4326" t="n"/>
      <c r="BF187" s="4322" t="n"/>
      <c r="BG187" s="4322" t="n"/>
      <c r="BH187" s="4322" t="n"/>
      <c r="BI187" s="4322" t="n"/>
      <c r="BJ187" s="4322" t="n"/>
      <c r="BK187" s="4327" t="n"/>
      <c r="BL187" s="4322" t="n"/>
      <c r="BM187" s="4322" t="n"/>
      <c r="BN187" s="4322" t="n"/>
      <c r="BO187" s="4322" t="n"/>
      <c r="BP187" s="4322" t="n"/>
      <c r="BQ187" s="4315" t="n"/>
      <c r="BR187" s="4328" t="n"/>
      <c r="BT187" s="4315" t="n"/>
      <c r="BU187" s="4315" t="n"/>
    </row>
    <row r="188" ht="12" customFormat="1" customHeight="1" s="4315">
      <c r="A188" s="4316" t="n"/>
      <c r="B188" s="4317" t="n"/>
      <c r="C188" s="4318" t="inlineStr">
        <is>
          <t>[Redacted]</t>
        </is>
      </c>
      <c r="D188" s="4319" t="n">
        <v>11342</v>
      </c>
      <c r="E188" s="4320" t="n"/>
      <c r="F188" s="4320" t="n"/>
      <c r="G188" s="4320" t="n"/>
      <c r="H188" s="4320" t="n"/>
      <c r="I188" s="4321" t="n"/>
      <c r="J188" s="4322" t="n"/>
      <c r="K188" s="4322" t="n"/>
      <c r="L188" s="4322" t="n"/>
      <c r="M188" s="4323" t="n"/>
      <c r="N188" s="4323" t="n"/>
      <c r="O188" s="4315" t="n"/>
      <c r="P188" s="4324" t="n"/>
      <c r="Q188" s="4324" t="n"/>
      <c r="R188" s="4324" t="n"/>
      <c r="S188" s="4325" t="n"/>
      <c r="T188" s="4325" t="n"/>
      <c r="U188" s="4315" t="n"/>
      <c r="V188" s="4322" t="n"/>
      <c r="W188" s="4322" t="n"/>
      <c r="X188" s="4322" t="n"/>
      <c r="Y188" s="4322" t="n"/>
      <c r="Z188" s="4322" t="n"/>
      <c r="AA188" s="4322" t="n"/>
      <c r="AB188" s="4322" t="n"/>
      <c r="AC188" s="4322" t="n"/>
      <c r="AD188" s="4322" t="n"/>
      <c r="AE188" s="4322" t="n"/>
      <c r="AF188" s="4322" t="n"/>
      <c r="AG188" s="4326" t="n"/>
      <c r="AH188" s="4322" t="n"/>
      <c r="AI188" s="4322" t="n"/>
      <c r="AJ188" s="4322" t="n"/>
      <c r="AK188" s="4322" t="n"/>
      <c r="AL188" s="4322" t="n"/>
      <c r="AM188" s="4322" t="n"/>
      <c r="AN188" s="4322" t="n"/>
      <c r="AO188" s="4322" t="n"/>
      <c r="AP188" s="4322" t="n"/>
      <c r="AQ188" s="4322" t="n"/>
      <c r="AR188" s="4322" t="n"/>
      <c r="AS188" s="4326" t="n"/>
      <c r="AT188" s="4322" t="n"/>
      <c r="AU188" s="4322" t="n"/>
      <c r="AV188" s="4322" t="n"/>
      <c r="AW188" s="4322" t="n"/>
      <c r="AX188" s="4322" t="n"/>
      <c r="AY188" s="4322" t="n"/>
      <c r="AZ188" s="4322" t="n"/>
      <c r="BA188" s="4322" t="n"/>
      <c r="BB188" s="4322" t="n"/>
      <c r="BC188" s="4322" t="n"/>
      <c r="BD188" s="4322" t="n"/>
      <c r="BE188" s="4326" t="n"/>
      <c r="BF188" s="4322" t="n"/>
      <c r="BG188" s="4322" t="n"/>
      <c r="BH188" s="4322" t="n"/>
      <c r="BI188" s="4322" t="n"/>
      <c r="BJ188" s="4322" t="n"/>
      <c r="BK188" s="4327" t="n"/>
      <c r="BL188" s="4322" t="n"/>
      <c r="BM188" s="4322" t="n"/>
      <c r="BN188" s="4322" t="n"/>
      <c r="BO188" s="4322" t="n"/>
      <c r="BP188" s="4322" t="n"/>
      <c r="BQ188" s="4315" t="n"/>
      <c r="BR188" s="4328" t="inlineStr">
        <is>
          <t>&lt;&lt;Employee included in Termination file but not headcount. Excluded from analysis.</t>
        </is>
      </c>
      <c r="BT188" s="4315" t="n"/>
      <c r="BU188" s="4315" t="n"/>
    </row>
    <row r="189" ht="12" customFormat="1" customHeight="1" s="4315">
      <c r="A189" s="4316" t="n"/>
      <c r="B189" s="4317" t="n"/>
      <c r="C189" s="4318" t="inlineStr">
        <is>
          <t>[Redacted]</t>
        </is>
      </c>
      <c r="D189" s="4319" t="n">
        <v>11373</v>
      </c>
      <c r="E189" s="4320" t="n"/>
      <c r="F189" s="4320" t="n"/>
      <c r="G189" s="4320" t="n"/>
      <c r="H189" s="4320" t="n"/>
      <c r="I189" s="4321" t="n"/>
      <c r="J189" s="4322" t="n"/>
      <c r="K189" s="4322" t="n"/>
      <c r="L189" s="4322" t="n"/>
      <c r="M189" s="4323" t="n"/>
      <c r="N189" s="4323" t="n"/>
      <c r="O189" s="4315" t="n"/>
      <c r="P189" s="4324" t="n"/>
      <c r="Q189" s="4324" t="n"/>
      <c r="R189" s="4324" t="n"/>
      <c r="S189" s="4325" t="n"/>
      <c r="T189" s="4325" t="n"/>
      <c r="U189" s="4315" t="n"/>
      <c r="V189" s="4322" t="n"/>
      <c r="W189" s="4322" t="n"/>
      <c r="X189" s="4322" t="n"/>
      <c r="Y189" s="4322" t="n"/>
      <c r="Z189" s="4322" t="n"/>
      <c r="AA189" s="4322" t="n"/>
      <c r="AB189" s="4322" t="n"/>
      <c r="AC189" s="4322" t="n"/>
      <c r="AD189" s="4322" t="n"/>
      <c r="AE189" s="4322" t="n"/>
      <c r="AF189" s="4322" t="n"/>
      <c r="AG189" s="4326" t="n"/>
      <c r="AH189" s="4322" t="n"/>
      <c r="AI189" s="4322" t="n"/>
      <c r="AJ189" s="4322" t="n"/>
      <c r="AK189" s="4322" t="n"/>
      <c r="AL189" s="4322" t="n"/>
      <c r="AM189" s="4322" t="n"/>
      <c r="AN189" s="4322" t="n"/>
      <c r="AO189" s="4322" t="n"/>
      <c r="AP189" s="4322" t="n"/>
      <c r="AQ189" s="4322" t="n"/>
      <c r="AR189" s="4322" t="n"/>
      <c r="AS189" s="4326" t="n"/>
      <c r="AT189" s="4322" t="n"/>
      <c r="AU189" s="4322" t="n"/>
      <c r="AV189" s="4322" t="n"/>
      <c r="AW189" s="4322" t="n"/>
      <c r="AX189" s="4322" t="n"/>
      <c r="AY189" s="4322" t="n"/>
      <c r="AZ189" s="4322" t="n"/>
      <c r="BA189" s="4322" t="n"/>
      <c r="BB189" s="4322" t="n"/>
      <c r="BC189" s="4322" t="n"/>
      <c r="BD189" s="4322" t="n"/>
      <c r="BE189" s="4326" t="n"/>
      <c r="BF189" s="4322" t="n"/>
      <c r="BG189" s="4322" t="n"/>
      <c r="BH189" s="4322" t="n"/>
      <c r="BI189" s="4322" t="n"/>
      <c r="BJ189" s="4322" t="n"/>
      <c r="BK189" s="4327" t="n"/>
      <c r="BL189" s="4322" t="n"/>
      <c r="BM189" s="4322" t="n"/>
      <c r="BN189" s="4322" t="n"/>
      <c r="BO189" s="4322" t="n"/>
      <c r="BP189" s="4322" t="n"/>
      <c r="BQ189" s="4315" t="n"/>
      <c r="BR189" s="4328" t="inlineStr">
        <is>
          <t>&lt;&lt;Employee included in Termination file but not headcount. Excluded from analysis.</t>
        </is>
      </c>
      <c r="BT189" s="4315" t="n"/>
      <c r="BU189" s="4315" t="n"/>
    </row>
    <row r="190" ht="12" customFormat="1" customHeight="1" s="4315">
      <c r="A190" s="4316" t="n"/>
      <c r="B190" s="4317" t="n"/>
      <c r="C190" s="4318" t="inlineStr">
        <is>
          <t>[Redacted]</t>
        </is>
      </c>
      <c r="D190" s="4319" t="n">
        <v>11375</v>
      </c>
      <c r="E190" s="4320" t="n"/>
      <c r="F190" s="4320" t="n"/>
      <c r="G190" s="4320" t="n"/>
      <c r="H190" s="4320" t="n"/>
      <c r="I190" s="4321" t="n"/>
      <c r="J190" s="4322" t="n"/>
      <c r="K190" s="4322" t="n"/>
      <c r="L190" s="4322" t="n"/>
      <c r="M190" s="4323" t="n"/>
      <c r="N190" s="4323" t="n"/>
      <c r="O190" s="4315" t="n"/>
      <c r="P190" s="4324" t="n"/>
      <c r="Q190" s="4324" t="n"/>
      <c r="R190" s="4324" t="n"/>
      <c r="S190" s="4325" t="n"/>
      <c r="T190" s="4325" t="n"/>
      <c r="U190" s="4315" t="n"/>
      <c r="V190" s="4322" t="n"/>
      <c r="W190" s="4322" t="n"/>
      <c r="X190" s="4322" t="n"/>
      <c r="Y190" s="4322" t="n"/>
      <c r="Z190" s="4322" t="n"/>
      <c r="AA190" s="4322" t="n"/>
      <c r="AB190" s="4322" t="n"/>
      <c r="AC190" s="4322" t="n"/>
      <c r="AD190" s="4322" t="n"/>
      <c r="AE190" s="4322" t="n"/>
      <c r="AF190" s="4322" t="n"/>
      <c r="AG190" s="4326" t="n"/>
      <c r="AH190" s="4322" t="n"/>
      <c r="AI190" s="4322" t="n"/>
      <c r="AJ190" s="4322" t="n"/>
      <c r="AK190" s="4322" t="n"/>
      <c r="AL190" s="4322" t="n"/>
      <c r="AM190" s="4322" t="n"/>
      <c r="AN190" s="4322" t="n"/>
      <c r="AO190" s="4322" t="n"/>
      <c r="AP190" s="4322" t="n"/>
      <c r="AQ190" s="4322" t="n"/>
      <c r="AR190" s="4322" t="n"/>
      <c r="AS190" s="4326" t="n"/>
      <c r="AT190" s="4322" t="n"/>
      <c r="AU190" s="4322" t="n"/>
      <c r="AV190" s="4322" t="n"/>
      <c r="AW190" s="4322" t="n"/>
      <c r="AX190" s="4322" t="n"/>
      <c r="AY190" s="4322" t="n"/>
      <c r="AZ190" s="4322" t="n"/>
      <c r="BA190" s="4322" t="n"/>
      <c r="BB190" s="4322" t="n"/>
      <c r="BC190" s="4322" t="n"/>
      <c r="BD190" s="4322" t="n"/>
      <c r="BE190" s="4326" t="n"/>
      <c r="BF190" s="4322" t="n"/>
      <c r="BG190" s="4322" t="n"/>
      <c r="BH190" s="4322" t="n"/>
      <c r="BI190" s="4322" t="n"/>
      <c r="BJ190" s="4322" t="n"/>
      <c r="BK190" s="4327" t="n"/>
      <c r="BL190" s="4322" t="n"/>
      <c r="BM190" s="4322" t="n"/>
      <c r="BN190" s="4322" t="n"/>
      <c r="BO190" s="4322" t="n"/>
      <c r="BP190" s="4322" t="n"/>
      <c r="BQ190" s="4315" t="n"/>
      <c r="BR190" s="4328" t="inlineStr">
        <is>
          <t>&lt;&lt;Employee included in Termination file but not headcount. Excluded from analysis.</t>
        </is>
      </c>
      <c r="BT190" s="4315" t="n"/>
      <c r="BU190" s="4315" t="n"/>
    </row>
    <row r="191" ht="12" customFormat="1" customHeight="1" s="4315">
      <c r="A191" s="4316" t="n"/>
      <c r="B191" s="4317" t="n"/>
      <c r="C191" s="4318" t="inlineStr">
        <is>
          <t>[Redacted]</t>
        </is>
      </c>
      <c r="D191" s="4319" t="n">
        <v>11348</v>
      </c>
      <c r="E191" s="4320" t="n"/>
      <c r="F191" s="4320" t="n"/>
      <c r="G191" s="4320" t="n"/>
      <c r="H191" s="4320" t="n"/>
      <c r="I191" s="4321" t="inlineStr">
        <is>
          <t>M</t>
        </is>
      </c>
      <c r="J191" s="4322" t="n"/>
      <c r="K191" s="4322" t="n"/>
      <c r="L191" s="4322" t="n"/>
      <c r="M191" s="4323" t="n"/>
      <c r="N191" s="4323" t="n"/>
      <c r="O191" s="4315" t="n"/>
      <c r="P191" s="4324" t="n"/>
      <c r="Q191" s="4324" t="n"/>
      <c r="R191" s="4324" t="n"/>
      <c r="S191" s="4325" t="n"/>
      <c r="T191" s="4325" t="n"/>
      <c r="U191" s="4315" t="n"/>
      <c r="V191" s="4322" t="n"/>
      <c r="W191" s="4322" t="n"/>
      <c r="X191" s="4322" t="n"/>
      <c r="Y191" s="4322" t="n"/>
      <c r="Z191" s="4322" t="n"/>
      <c r="AA191" s="4322" t="n"/>
      <c r="AB191" s="4322" t="n"/>
      <c r="AC191" s="4322" t="n"/>
      <c r="AD191" s="4322" t="n"/>
      <c r="AE191" s="4322" t="n"/>
      <c r="AF191" s="4322" t="n"/>
      <c r="AG191" s="4326" t="n"/>
      <c r="AH191" s="4322" t="n"/>
      <c r="AI191" s="4322" t="n"/>
      <c r="AJ191" s="4322" t="n"/>
      <c r="AK191" s="4322" t="n"/>
      <c r="AL191" s="4322" t="n"/>
      <c r="AM191" s="4322" t="n"/>
      <c r="AN191" s="4322" t="n"/>
      <c r="AO191" s="4322" t="n"/>
      <c r="AP191" s="4322" t="n"/>
      <c r="AQ191" s="4322" t="n"/>
      <c r="AR191" s="4322" t="n"/>
      <c r="AS191" s="4326" t="n"/>
      <c r="AT191" s="4322" t="n"/>
      <c r="AU191" s="4322" t="n"/>
      <c r="AV191" s="4322" t="n"/>
      <c r="AW191" s="4322" t="n"/>
      <c r="AX191" s="4322" t="n"/>
      <c r="AY191" s="4322" t="n"/>
      <c r="AZ191" s="4322" t="n"/>
      <c r="BA191" s="4322" t="n"/>
      <c r="BB191" s="4322" t="n"/>
      <c r="BC191" s="4322" t="n"/>
      <c r="BD191" s="4322" t="n"/>
      <c r="BE191" s="4326" t="n"/>
      <c r="BF191" s="4322" t="n"/>
      <c r="BG191" s="4322" t="n"/>
      <c r="BH191" s="4322" t="n"/>
      <c r="BI191" s="4322" t="n"/>
      <c r="BJ191" s="4322" t="n"/>
      <c r="BK191" s="4327" t="n"/>
      <c r="BL191" s="4322" t="n"/>
      <c r="BM191" s="4322" t="n"/>
      <c r="BN191" s="4322" t="n"/>
      <c r="BO191" s="4322" t="n"/>
      <c r="BP191" s="4322" t="n"/>
      <c r="BQ191" s="4315" t="n"/>
      <c r="BR191" s="4328" t="n"/>
      <c r="BT191" s="4315" t="n"/>
      <c r="BU191" s="4315" t="n"/>
    </row>
    <row r="192" ht="12" customFormat="1" customHeight="1" s="4315">
      <c r="A192" s="4316" t="n"/>
      <c r="B192" s="4317" t="n"/>
      <c r="C192" s="4318" t="inlineStr">
        <is>
          <t>[Redacted]</t>
        </is>
      </c>
      <c r="D192" s="4319" t="n">
        <v>11393</v>
      </c>
      <c r="E192" s="4320" t="n"/>
      <c r="F192" s="4320" t="n"/>
      <c r="G192" s="4320" t="n"/>
      <c r="H192" s="4320" t="n"/>
      <c r="I192" s="4321" t="inlineStr">
        <is>
          <t>M</t>
        </is>
      </c>
      <c r="J192" s="4322" t="n"/>
      <c r="K192" s="4322" t="n"/>
      <c r="L192" s="4322" t="n"/>
      <c r="M192" s="4323" t="n"/>
      <c r="N192" s="4323" t="n"/>
      <c r="O192" s="4315" t="n"/>
      <c r="P192" s="4324" t="n"/>
      <c r="Q192" s="4324" t="n"/>
      <c r="R192" s="4324" t="n"/>
      <c r="S192" s="4325" t="n"/>
      <c r="T192" s="4325" t="n"/>
      <c r="U192" s="4315" t="n"/>
      <c r="V192" s="4322" t="n"/>
      <c r="W192" s="4322" t="n"/>
      <c r="X192" s="4322" t="n"/>
      <c r="Y192" s="4322" t="n"/>
      <c r="Z192" s="4322" t="n"/>
      <c r="AA192" s="4322" t="n"/>
      <c r="AB192" s="4322" t="n"/>
      <c r="AC192" s="4322" t="n"/>
      <c r="AD192" s="4322" t="n"/>
      <c r="AE192" s="4322" t="n"/>
      <c r="AF192" s="4322" t="n"/>
      <c r="AG192" s="4326" t="n"/>
      <c r="AH192" s="4322" t="n"/>
      <c r="AI192" s="4322" t="n"/>
      <c r="AJ192" s="4322" t="n"/>
      <c r="AK192" s="4322" t="n"/>
      <c r="AL192" s="4322" t="n"/>
      <c r="AM192" s="4322" t="n"/>
      <c r="AN192" s="4322" t="n"/>
      <c r="AO192" s="4322" t="n"/>
      <c r="AP192" s="4322" t="n"/>
      <c r="AQ192" s="4322" t="n"/>
      <c r="AR192" s="4322" t="n"/>
      <c r="AS192" s="4326" t="n"/>
      <c r="AT192" s="4322" t="n"/>
      <c r="AU192" s="4322" t="n"/>
      <c r="AV192" s="4322" t="n"/>
      <c r="AW192" s="4322" t="n"/>
      <c r="AX192" s="4322" t="n"/>
      <c r="AY192" s="4322" t="n"/>
      <c r="AZ192" s="4322" t="n"/>
      <c r="BA192" s="4322" t="n"/>
      <c r="BB192" s="4322" t="n"/>
      <c r="BC192" s="4322" t="n"/>
      <c r="BD192" s="4322" t="n"/>
      <c r="BE192" s="4326" t="n"/>
      <c r="BF192" s="4322" t="n"/>
      <c r="BG192" s="4322" t="n"/>
      <c r="BH192" s="4322" t="n"/>
      <c r="BI192" s="4322" t="n"/>
      <c r="BJ192" s="4322" t="n"/>
      <c r="BK192" s="4327" t="n"/>
      <c r="BL192" s="4322" t="n"/>
      <c r="BM192" s="4322" t="n"/>
      <c r="BN192" s="4322" t="n"/>
      <c r="BO192" s="4322" t="n"/>
      <c r="BP192" s="4322" t="n"/>
      <c r="BQ192" s="4315" t="n"/>
      <c r="BR192" s="4328" t="n"/>
      <c r="BT192" s="4315" t="n"/>
      <c r="BU192" s="4315" t="n"/>
    </row>
    <row r="193" ht="12" customFormat="1" customHeight="1" s="4315">
      <c r="A193" s="4316" t="n"/>
      <c r="B193" s="4317" t="n"/>
      <c r="C193" s="4318" t="inlineStr">
        <is>
          <t>[Redacted]</t>
        </is>
      </c>
      <c r="D193" s="4319" t="n">
        <v>11392</v>
      </c>
      <c r="E193" s="4320" t="n"/>
      <c r="F193" s="4320" t="n"/>
      <c r="G193" s="4320" t="n"/>
      <c r="H193" s="4320" t="n"/>
      <c r="I193" s="4321" t="inlineStr">
        <is>
          <t>F</t>
        </is>
      </c>
      <c r="J193" s="4322" t="n"/>
      <c r="K193" s="4322" t="n"/>
      <c r="L193" s="4322" t="n"/>
      <c r="M193" s="4323" t="n"/>
      <c r="N193" s="4323" t="n"/>
      <c r="O193" s="4315" t="n"/>
      <c r="P193" s="4324" t="n"/>
      <c r="Q193" s="4324" t="n"/>
      <c r="R193" s="4324" t="n"/>
      <c r="S193" s="4325" t="n"/>
      <c r="T193" s="4325" t="n"/>
      <c r="U193" s="4315" t="n"/>
      <c r="V193" s="4322" t="n"/>
      <c r="W193" s="4322" t="n"/>
      <c r="X193" s="4322" t="n"/>
      <c r="Y193" s="4322" t="n"/>
      <c r="Z193" s="4322" t="n"/>
      <c r="AA193" s="4322" t="n"/>
      <c r="AB193" s="4322" t="n"/>
      <c r="AC193" s="4322" t="n"/>
      <c r="AD193" s="4322" t="n"/>
      <c r="AE193" s="4322" t="n"/>
      <c r="AF193" s="4322" t="n"/>
      <c r="AG193" s="4326" t="n"/>
      <c r="AH193" s="4322" t="n"/>
      <c r="AI193" s="4322" t="n"/>
      <c r="AJ193" s="4322" t="n"/>
      <c r="AK193" s="4322" t="n"/>
      <c r="AL193" s="4322" t="n"/>
      <c r="AM193" s="4322" t="n"/>
      <c r="AN193" s="4322" t="n"/>
      <c r="AO193" s="4322" t="n"/>
      <c r="AP193" s="4322" t="n"/>
      <c r="AQ193" s="4322" t="n"/>
      <c r="AR193" s="4322" t="n"/>
      <c r="AS193" s="4326" t="n"/>
      <c r="AT193" s="4322" t="n"/>
      <c r="AU193" s="4322" t="n"/>
      <c r="AV193" s="4322" t="n"/>
      <c r="AW193" s="4322" t="n"/>
      <c r="AX193" s="4322" t="n"/>
      <c r="AY193" s="4322" t="n"/>
      <c r="AZ193" s="4322" t="n"/>
      <c r="BA193" s="4322" t="n"/>
      <c r="BB193" s="4322" t="n"/>
      <c r="BC193" s="4322" t="n"/>
      <c r="BD193" s="4322" t="n"/>
      <c r="BE193" s="4326" t="n"/>
      <c r="BF193" s="4322" t="n"/>
      <c r="BG193" s="4322" t="n"/>
      <c r="BH193" s="4322" t="n"/>
      <c r="BI193" s="4322" t="n"/>
      <c r="BJ193" s="4322" t="n"/>
      <c r="BK193" s="4327" t="n"/>
      <c r="BL193" s="4322" t="n"/>
      <c r="BM193" s="4322" t="n"/>
      <c r="BN193" s="4322" t="n"/>
      <c r="BO193" s="4322" t="n"/>
      <c r="BP193" s="4322" t="n"/>
      <c r="BQ193" s="4315" t="n"/>
      <c r="BR193" s="4328" t="n"/>
      <c r="BT193" s="4315" t="n"/>
      <c r="BU193" s="4315" t="n"/>
    </row>
    <row r="194" ht="12" customFormat="1" customHeight="1" s="4315">
      <c r="A194" s="4316" t="n"/>
      <c r="B194" s="4317" t="n"/>
      <c r="C194" s="4318" t="inlineStr">
        <is>
          <t>[Redacted]</t>
        </is>
      </c>
      <c r="D194" s="4319" t="n">
        <v>11391</v>
      </c>
      <c r="E194" s="4320" t="n"/>
      <c r="F194" s="4320" t="n"/>
      <c r="G194" s="4320" t="n"/>
      <c r="H194" s="4320" t="n"/>
      <c r="I194" s="4321" t="inlineStr">
        <is>
          <t>M</t>
        </is>
      </c>
      <c r="J194" s="4322" t="n"/>
      <c r="K194" s="4322" t="n"/>
      <c r="L194" s="4322" t="n"/>
      <c r="M194" s="4323" t="n"/>
      <c r="N194" s="4323" t="n"/>
      <c r="O194" s="4315" t="n"/>
      <c r="P194" s="4324" t="n"/>
      <c r="Q194" s="4324" t="n"/>
      <c r="R194" s="4324" t="n"/>
      <c r="S194" s="4325" t="n"/>
      <c r="T194" s="4325" t="n"/>
      <c r="U194" s="4315" t="n"/>
      <c r="V194" s="4322" t="n"/>
      <c r="W194" s="4322" t="n"/>
      <c r="X194" s="4322" t="n"/>
      <c r="Y194" s="4322" t="n"/>
      <c r="Z194" s="4322" t="n"/>
      <c r="AA194" s="4322" t="n"/>
      <c r="AB194" s="4322" t="n"/>
      <c r="AC194" s="4322" t="n"/>
      <c r="AD194" s="4322" t="n"/>
      <c r="AE194" s="4322" t="n"/>
      <c r="AF194" s="4322" t="n"/>
      <c r="AG194" s="4326" t="n"/>
      <c r="AH194" s="4322" t="n"/>
      <c r="AI194" s="4322" t="n"/>
      <c r="AJ194" s="4322" t="n"/>
      <c r="AK194" s="4322" t="n"/>
      <c r="AL194" s="4322" t="n"/>
      <c r="AM194" s="4322" t="n"/>
      <c r="AN194" s="4322" t="n"/>
      <c r="AO194" s="4322" t="n"/>
      <c r="AP194" s="4322" t="n"/>
      <c r="AQ194" s="4322" t="n"/>
      <c r="AR194" s="4322" t="n"/>
      <c r="AS194" s="4326" t="n"/>
      <c r="AT194" s="4322" t="n"/>
      <c r="AU194" s="4322" t="n"/>
      <c r="AV194" s="4322" t="n"/>
      <c r="AW194" s="4322" t="n"/>
      <c r="AX194" s="4322" t="n"/>
      <c r="AY194" s="4322" t="n"/>
      <c r="AZ194" s="4322" t="n"/>
      <c r="BA194" s="4322" t="n"/>
      <c r="BB194" s="4322" t="n"/>
      <c r="BC194" s="4322" t="n"/>
      <c r="BD194" s="4322" t="n"/>
      <c r="BE194" s="4326" t="n"/>
      <c r="BF194" s="4322" t="n"/>
      <c r="BG194" s="4322" t="n"/>
      <c r="BH194" s="4322" t="n"/>
      <c r="BI194" s="4322" t="n"/>
      <c r="BJ194" s="4322" t="n"/>
      <c r="BK194" s="4327" t="n"/>
      <c r="BL194" s="4322" t="n"/>
      <c r="BM194" s="4322" t="n"/>
      <c r="BN194" s="4322" t="n"/>
      <c r="BO194" s="4322" t="n"/>
      <c r="BP194" s="4322" t="n"/>
      <c r="BQ194" s="4315" t="n"/>
      <c r="BR194" s="4328" t="n"/>
      <c r="BT194" s="4315" t="n"/>
      <c r="BU194" s="4315" t="n"/>
    </row>
    <row r="195" ht="12" customFormat="1" customHeight="1" s="4315">
      <c r="A195" s="4316" t="n"/>
      <c r="B195" s="4317" t="n"/>
      <c r="C195" s="4318" t="inlineStr">
        <is>
          <t>[Redacted]</t>
        </is>
      </c>
      <c r="D195" s="4319" t="n">
        <v>11394</v>
      </c>
      <c r="E195" s="4320" t="n"/>
      <c r="F195" s="4320" t="n"/>
      <c r="G195" s="4320" t="n"/>
      <c r="H195" s="4320" t="n"/>
      <c r="I195" s="4321" t="inlineStr">
        <is>
          <t>M</t>
        </is>
      </c>
      <c r="J195" s="4323" t="n"/>
      <c r="K195" s="4323" t="n"/>
      <c r="L195" s="4323" t="n"/>
      <c r="M195" s="4323" t="n"/>
      <c r="N195" s="4323" t="n"/>
      <c r="O195" s="4315" t="n"/>
      <c r="P195" s="4324" t="n"/>
      <c r="Q195" s="4324" t="n"/>
      <c r="R195" s="4324" t="n"/>
      <c r="S195" s="4325" t="n"/>
      <c r="T195" s="4325" t="n"/>
      <c r="U195" s="4315" t="n"/>
      <c r="V195" s="4322" t="n"/>
      <c r="W195" s="4322" t="n"/>
      <c r="X195" s="4322" t="n"/>
      <c r="Y195" s="4322" t="n"/>
      <c r="Z195" s="4322" t="n"/>
      <c r="AA195" s="4322" t="n"/>
      <c r="AB195" s="4322" t="n"/>
      <c r="AC195" s="4322" t="n"/>
      <c r="AD195" s="4322" t="n"/>
      <c r="AE195" s="4322" t="n"/>
      <c r="AF195" s="4322" t="n"/>
      <c r="AG195" s="4326" t="n"/>
      <c r="AH195" s="4322" t="n"/>
      <c r="AI195" s="4322" t="n"/>
      <c r="AJ195" s="4322" t="n"/>
      <c r="AK195" s="4322" t="n"/>
      <c r="AL195" s="4322" t="n"/>
      <c r="AM195" s="4322" t="n"/>
      <c r="AN195" s="4322" t="n"/>
      <c r="AO195" s="4322" t="n"/>
      <c r="AP195" s="4322" t="n"/>
      <c r="AQ195" s="4322" t="n"/>
      <c r="AR195" s="4322" t="n"/>
      <c r="AS195" s="4326" t="n"/>
      <c r="AT195" s="4322" t="n"/>
      <c r="AU195" s="4322" t="n"/>
      <c r="AV195" s="4322" t="n"/>
      <c r="AW195" s="4322" t="n"/>
      <c r="AX195" s="4322" t="n"/>
      <c r="AY195" s="4322" t="n"/>
      <c r="AZ195" s="4322" t="n"/>
      <c r="BA195" s="4322" t="n"/>
      <c r="BB195" s="4322" t="n"/>
      <c r="BC195" s="4322" t="n"/>
      <c r="BD195" s="4322" t="n"/>
      <c r="BE195" s="4326" t="n"/>
      <c r="BF195" s="4322" t="n"/>
      <c r="BG195" s="4322" t="n"/>
      <c r="BH195" s="4322" t="n"/>
      <c r="BI195" s="4322" t="n"/>
      <c r="BJ195" s="4322" t="n"/>
      <c r="BK195" s="4327" t="n"/>
      <c r="BL195" s="4322" t="n"/>
      <c r="BM195" s="4322" t="n"/>
      <c r="BN195" s="4322" t="n"/>
      <c r="BO195" s="4322" t="n"/>
      <c r="BP195" s="4322" t="n"/>
      <c r="BQ195" s="4315" t="n"/>
      <c r="BR195" s="4328" t="n"/>
      <c r="BT195" s="4315" t="n"/>
      <c r="BU195" s="4315" t="n"/>
    </row>
    <row r="196" ht="12" customFormat="1" customHeight="1" s="4315">
      <c r="A196" s="4316" t="n"/>
      <c r="B196" s="4317" t="n"/>
      <c r="C196" s="4318" t="inlineStr">
        <is>
          <t>[Redacted]</t>
        </is>
      </c>
      <c r="D196" s="4319" t="n">
        <v>11395</v>
      </c>
      <c r="E196" s="4320" t="n"/>
      <c r="F196" s="4320" t="n"/>
      <c r="G196" s="4320" t="n"/>
      <c r="H196" s="4320" t="n"/>
      <c r="I196" s="4321" t="inlineStr">
        <is>
          <t>M</t>
        </is>
      </c>
      <c r="J196" s="4322" t="n"/>
      <c r="K196" s="4322" t="n"/>
      <c r="L196" s="4322" t="n"/>
      <c r="M196" s="4323" t="n"/>
      <c r="N196" s="4323" t="n"/>
      <c r="O196" s="4315" t="n"/>
      <c r="P196" s="4324" t="n"/>
      <c r="Q196" s="4324" t="n"/>
      <c r="R196" s="4324" t="n"/>
      <c r="S196" s="4325" t="n"/>
      <c r="T196" s="4325" t="n"/>
      <c r="U196" s="4315" t="n"/>
      <c r="V196" s="4322" t="n"/>
      <c r="W196" s="4322" t="n"/>
      <c r="X196" s="4322" t="n"/>
      <c r="Y196" s="4322" t="n"/>
      <c r="Z196" s="4322" t="n"/>
      <c r="AA196" s="4322" t="n"/>
      <c r="AB196" s="4322" t="n"/>
      <c r="AC196" s="4322" t="n"/>
      <c r="AD196" s="4322" t="n"/>
      <c r="AE196" s="4322" t="n"/>
      <c r="AF196" s="4322" t="n"/>
      <c r="AG196" s="4326" t="n"/>
      <c r="AH196" s="4322" t="n"/>
      <c r="AI196" s="4322" t="n"/>
      <c r="AJ196" s="4322" t="n"/>
      <c r="AK196" s="4322" t="n"/>
      <c r="AL196" s="4322" t="n"/>
      <c r="AM196" s="4322" t="n"/>
      <c r="AN196" s="4322" t="n"/>
      <c r="AO196" s="4322" t="n"/>
      <c r="AP196" s="4322" t="n"/>
      <c r="AQ196" s="4322" t="n"/>
      <c r="AR196" s="4322" t="n"/>
      <c r="AS196" s="4326" t="n"/>
      <c r="AT196" s="4322" t="n"/>
      <c r="AU196" s="4322" t="n"/>
      <c r="AV196" s="4322" t="n"/>
      <c r="AW196" s="4322" t="n"/>
      <c r="AX196" s="4322" t="n"/>
      <c r="AY196" s="4322" t="n"/>
      <c r="AZ196" s="4322" t="n"/>
      <c r="BA196" s="4322" t="n"/>
      <c r="BB196" s="4322" t="n"/>
      <c r="BC196" s="4322" t="n"/>
      <c r="BD196" s="4322" t="n"/>
      <c r="BE196" s="4326" t="n"/>
      <c r="BF196" s="4322" t="n"/>
      <c r="BG196" s="4322" t="n"/>
      <c r="BH196" s="4322" t="n"/>
      <c r="BI196" s="4322" t="n"/>
      <c r="BJ196" s="4322" t="n"/>
      <c r="BK196" s="4327" t="n"/>
      <c r="BL196" s="4322" t="n"/>
      <c r="BM196" s="4322" t="n"/>
      <c r="BN196" s="4322" t="n"/>
      <c r="BO196" s="4322" t="n"/>
      <c r="BP196" s="4322" t="n"/>
      <c r="BQ196" s="4315" t="n"/>
      <c r="BR196" s="4328" t="n"/>
      <c r="BT196" s="4315" t="n"/>
      <c r="BU196" s="4315" t="n"/>
    </row>
    <row r="197" ht="12" customFormat="1" customHeight="1" s="4315">
      <c r="A197" s="4316" t="n"/>
      <c r="B197" s="4317" t="n"/>
      <c r="C197" s="4318" t="inlineStr">
        <is>
          <t>[Redacted]</t>
        </is>
      </c>
      <c r="D197" s="4319" t="n">
        <v>11398</v>
      </c>
      <c r="E197" s="4320" t="n"/>
      <c r="F197" s="4320" t="n"/>
      <c r="G197" s="4320" t="n"/>
      <c r="H197" s="4320" t="n"/>
      <c r="I197" s="4321" t="inlineStr">
        <is>
          <t>F</t>
        </is>
      </c>
      <c r="J197" s="4322" t="n"/>
      <c r="K197" s="4322" t="n"/>
      <c r="L197" s="4322" t="n"/>
      <c r="M197" s="4323" t="n"/>
      <c r="N197" s="4323" t="n"/>
      <c r="O197" s="4315" t="n"/>
      <c r="P197" s="4324" t="n"/>
      <c r="Q197" s="4324" t="n"/>
      <c r="R197" s="4324" t="n"/>
      <c r="S197" s="4325" t="n"/>
      <c r="T197" s="4325" t="n"/>
      <c r="U197" s="4315" t="n"/>
      <c r="V197" s="4322" t="n"/>
      <c r="W197" s="4322" t="n"/>
      <c r="X197" s="4322" t="n"/>
      <c r="Y197" s="4322" t="n"/>
      <c r="Z197" s="4322" t="n"/>
      <c r="AA197" s="4322" t="n"/>
      <c r="AB197" s="4322" t="n"/>
      <c r="AC197" s="4322" t="n"/>
      <c r="AD197" s="4322" t="n"/>
      <c r="AE197" s="4322" t="n"/>
      <c r="AF197" s="4322" t="n"/>
      <c r="AG197" s="4326" t="n"/>
      <c r="AH197" s="4322" t="n"/>
      <c r="AI197" s="4322" t="n"/>
      <c r="AJ197" s="4322" t="n"/>
      <c r="AK197" s="4322" t="n"/>
      <c r="AL197" s="4322" t="n"/>
      <c r="AM197" s="4322" t="n"/>
      <c r="AN197" s="4322" t="n"/>
      <c r="AO197" s="4322" t="n"/>
      <c r="AP197" s="4322" t="n"/>
      <c r="AQ197" s="4322" t="n"/>
      <c r="AR197" s="4322" t="n"/>
      <c r="AS197" s="4326" t="n"/>
      <c r="AT197" s="4322" t="n"/>
      <c r="AU197" s="4322" t="n"/>
      <c r="AV197" s="4322" t="n"/>
      <c r="AW197" s="4322" t="n"/>
      <c r="AX197" s="4322" t="n"/>
      <c r="AY197" s="4322" t="n"/>
      <c r="AZ197" s="4322" t="n"/>
      <c r="BA197" s="4322" t="n"/>
      <c r="BB197" s="4322" t="n"/>
      <c r="BC197" s="4322" t="n"/>
      <c r="BD197" s="4322" t="n"/>
      <c r="BE197" s="4326" t="n"/>
      <c r="BF197" s="4322" t="n"/>
      <c r="BG197" s="4322" t="n"/>
      <c r="BH197" s="4322" t="n"/>
      <c r="BI197" s="4322" t="n"/>
      <c r="BJ197" s="4322" t="n"/>
      <c r="BK197" s="4327" t="n"/>
      <c r="BL197" s="4322" t="n"/>
      <c r="BM197" s="4322" t="n"/>
      <c r="BN197" s="4322" t="n"/>
      <c r="BO197" s="4322" t="n"/>
      <c r="BP197" s="4322" t="n"/>
      <c r="BQ197" s="4315" t="n"/>
      <c r="BR197" s="4328" t="n"/>
      <c r="BT197" s="4315" t="n"/>
      <c r="BU197" s="4315" t="n"/>
    </row>
    <row r="198" ht="12" customFormat="1" customHeight="1" s="4315">
      <c r="A198" s="4316" t="n"/>
      <c r="B198" s="4317" t="n"/>
      <c r="C198" s="4318" t="inlineStr">
        <is>
          <t>[Redacted]</t>
        </is>
      </c>
      <c r="D198" s="4319" t="n">
        <v>11396</v>
      </c>
      <c r="E198" s="4320" t="n"/>
      <c r="F198" s="4320" t="n"/>
      <c r="G198" s="4320" t="n"/>
      <c r="H198" s="4320" t="n"/>
      <c r="I198" s="4321" t="inlineStr">
        <is>
          <t>F</t>
        </is>
      </c>
      <c r="J198" s="4322" t="n"/>
      <c r="K198" s="4322" t="n"/>
      <c r="L198" s="4322" t="n"/>
      <c r="M198" s="4323" t="n"/>
      <c r="N198" s="4323" t="n"/>
      <c r="O198" s="4315" t="n"/>
      <c r="P198" s="4324" t="n"/>
      <c r="Q198" s="4324" t="n"/>
      <c r="R198" s="4324" t="n"/>
      <c r="S198" s="4325" t="n"/>
      <c r="T198" s="4325" t="n"/>
      <c r="U198" s="4315" t="n"/>
      <c r="V198" s="4322" t="n"/>
      <c r="W198" s="4322" t="n"/>
      <c r="X198" s="4322" t="n"/>
      <c r="Y198" s="4322" t="n"/>
      <c r="Z198" s="4322" t="n"/>
      <c r="AA198" s="4322" t="n"/>
      <c r="AB198" s="4322" t="n"/>
      <c r="AC198" s="4322" t="n"/>
      <c r="AD198" s="4322" t="n"/>
      <c r="AE198" s="4322" t="n"/>
      <c r="AF198" s="4322" t="n"/>
      <c r="AG198" s="4326" t="n"/>
      <c r="AH198" s="4322" t="n"/>
      <c r="AI198" s="4322" t="n"/>
      <c r="AJ198" s="4322" t="n"/>
      <c r="AK198" s="4322" t="n"/>
      <c r="AL198" s="4322" t="n"/>
      <c r="AM198" s="4322" t="n"/>
      <c r="AN198" s="4322" t="n"/>
      <c r="AO198" s="4322" t="n"/>
      <c r="AP198" s="4322" t="n"/>
      <c r="AQ198" s="4322" t="n"/>
      <c r="AR198" s="4322" t="n"/>
      <c r="AS198" s="4326" t="n"/>
      <c r="AT198" s="4322" t="n"/>
      <c r="AU198" s="4322" t="n"/>
      <c r="AV198" s="4322" t="n"/>
      <c r="AW198" s="4322" t="n"/>
      <c r="AX198" s="4322" t="n"/>
      <c r="AY198" s="4322" t="n"/>
      <c r="AZ198" s="4322" t="n"/>
      <c r="BA198" s="4322" t="n"/>
      <c r="BB198" s="4322" t="n"/>
      <c r="BC198" s="4322" t="n"/>
      <c r="BD198" s="4322" t="n"/>
      <c r="BE198" s="4326" t="n"/>
      <c r="BF198" s="4322" t="n"/>
      <c r="BG198" s="4322" t="n"/>
      <c r="BH198" s="4322" t="n"/>
      <c r="BI198" s="4322" t="n"/>
      <c r="BJ198" s="4322" t="n"/>
      <c r="BK198" s="4327" t="n"/>
      <c r="BL198" s="4322" t="n"/>
      <c r="BM198" s="4322" t="n"/>
      <c r="BN198" s="4322" t="n"/>
      <c r="BO198" s="4322" t="n"/>
      <c r="BP198" s="4322" t="n"/>
      <c r="BQ198" s="4315" t="n"/>
      <c r="BR198" s="4328" t="n"/>
      <c r="BT198" s="4315" t="n"/>
      <c r="BU198" s="4315" t="n"/>
    </row>
    <row r="199" ht="12" customFormat="1" customHeight="1" s="4332">
      <c r="A199" s="4333" t="n"/>
      <c r="C199" s="4334" t="inlineStr">
        <is>
          <t>Total</t>
        </is>
      </c>
      <c r="D199" s="4334" t="n"/>
      <c r="E199" s="4334" t="n"/>
      <c r="F199" s="4334" t="n"/>
      <c r="G199" s="4334" t="n"/>
      <c r="H199" s="4334" t="n"/>
      <c r="I199" s="4334" t="n"/>
      <c r="J199" s="4335">
        <f>SUM(J11:J198)</f>
        <v/>
      </c>
      <c r="K199" s="4335">
        <f>SUM(K11:K198)</f>
        <v/>
      </c>
      <c r="L199" s="4335">
        <f>SUM(L11:L198)</f>
        <v/>
      </c>
      <c r="M199" s="4336">
        <f>SUM(M11:M198)</f>
        <v/>
      </c>
      <c r="N199" s="4336">
        <f>SUM(N11:N198)</f>
        <v/>
      </c>
      <c r="P199" s="4335">
        <f>SUM(P11:P198)</f>
        <v/>
      </c>
      <c r="Q199" s="4335">
        <f>SUM(Q11:Q198)</f>
        <v/>
      </c>
      <c r="R199" s="4335">
        <f>SUM(R11:R198)</f>
        <v/>
      </c>
      <c r="S199" s="4336">
        <f>SUM(S11:S198)</f>
        <v/>
      </c>
      <c r="T199" s="4336">
        <f>SUM(T11:T198)</f>
        <v/>
      </c>
      <c r="V199" s="4335">
        <f>SUM(V11:V198)</f>
        <v/>
      </c>
      <c r="W199" s="4335">
        <f>SUM(W11:W198)</f>
        <v/>
      </c>
      <c r="X199" s="4335">
        <f>SUM(X11:X198)</f>
        <v/>
      </c>
      <c r="Y199" s="4335">
        <f>SUM(Y11:Y198)</f>
        <v/>
      </c>
      <c r="Z199" s="4335">
        <f>SUM(Z11:Z198)</f>
        <v/>
      </c>
      <c r="AA199" s="4335">
        <f>SUM(AA11:AA198)</f>
        <v/>
      </c>
      <c r="AB199" s="4335">
        <f>SUM(AB11:AB198)</f>
        <v/>
      </c>
      <c r="AC199" s="4335">
        <f>SUM(AC11:AC198)</f>
        <v/>
      </c>
      <c r="AD199" s="4335">
        <f>SUM(AD11:AD198)</f>
        <v/>
      </c>
      <c r="AE199" s="4335">
        <f>SUM(AE11:AE198)</f>
        <v/>
      </c>
      <c r="AF199" s="4335">
        <f>SUM(AF11:AF198)</f>
        <v/>
      </c>
      <c r="AG199" s="4337">
        <f>SUM(AG11:AG198)</f>
        <v/>
      </c>
      <c r="AH199" s="4335">
        <f>SUM(AH11:AH198)</f>
        <v/>
      </c>
      <c r="AI199" s="4335">
        <f>SUM(AI11:AI198)</f>
        <v/>
      </c>
      <c r="AJ199" s="4335">
        <f>SUM(AJ11:AJ198)</f>
        <v/>
      </c>
      <c r="AK199" s="4335">
        <f>SUM(AK11:AK198)</f>
        <v/>
      </c>
      <c r="AL199" s="4335">
        <f>SUM(AL11:AL198)</f>
        <v/>
      </c>
      <c r="AM199" s="4335">
        <f>SUM(AM11:AM198)</f>
        <v/>
      </c>
      <c r="AN199" s="4335">
        <f>SUM(AN11:AN198)</f>
        <v/>
      </c>
      <c r="AO199" s="4335">
        <f>SUM(AO11:AO198)</f>
        <v/>
      </c>
      <c r="AP199" s="4335">
        <f>SUM(AP11:AP198)</f>
        <v/>
      </c>
      <c r="AQ199" s="4335">
        <f>SUM(AQ11:AQ198)</f>
        <v/>
      </c>
      <c r="AR199" s="4335">
        <f>SUM(AR11:AR198)</f>
        <v/>
      </c>
      <c r="AS199" s="4337">
        <f>SUM(AS11:AS198)</f>
        <v/>
      </c>
      <c r="AT199" s="4335">
        <f>SUM(AT11:AT198)</f>
        <v/>
      </c>
      <c r="AU199" s="4335">
        <f>SUM(AU11:AU198)</f>
        <v/>
      </c>
      <c r="AV199" s="4335">
        <f>SUM(AV11:AV198)</f>
        <v/>
      </c>
      <c r="AW199" s="4335">
        <f>SUM(AW11:AW198)</f>
        <v/>
      </c>
      <c r="AX199" s="4335">
        <f>SUM(AX11:AX198)</f>
        <v/>
      </c>
      <c r="AY199" s="4335">
        <f>SUM(AY11:AY198)</f>
        <v/>
      </c>
      <c r="AZ199" s="4335">
        <f>SUM(AZ11:AZ198)</f>
        <v/>
      </c>
      <c r="BA199" s="4335">
        <f>SUM(BA11:BA198)</f>
        <v/>
      </c>
      <c r="BB199" s="4335">
        <f>SUM(BB11:BB198)</f>
        <v/>
      </c>
      <c r="BC199" s="4335">
        <f>SUM(BC11:BC198)</f>
        <v/>
      </c>
      <c r="BD199" s="4335">
        <f>SUM(BD11:BD198)</f>
        <v/>
      </c>
      <c r="BE199" s="4337">
        <f>SUM(BE11:BE198)</f>
        <v/>
      </c>
      <c r="BF199" s="4335">
        <f>SUM(BF11:BF198)</f>
        <v/>
      </c>
      <c r="BG199" s="4335">
        <f>SUM(BG11:BG198)</f>
        <v/>
      </c>
      <c r="BH199" s="4335">
        <f>SUM(BH11:BH198)</f>
        <v/>
      </c>
      <c r="BI199" s="4335">
        <f>SUM(BI11:BI198)</f>
        <v/>
      </c>
      <c r="BJ199" s="4338">
        <f>SUM(BJ11:BJ198)</f>
        <v/>
      </c>
      <c r="BK199" s="4339">
        <f>SUM(BK11:BK198)</f>
        <v/>
      </c>
      <c r="BL199" s="4335">
        <f>SUM(BL11:BL198)</f>
        <v/>
      </c>
      <c r="BM199" s="4335">
        <f>SUM(BM11:BM198)</f>
        <v/>
      </c>
      <c r="BN199" s="4335">
        <f>SUM(BN11:BN198)</f>
        <v/>
      </c>
      <c r="BO199" s="4335">
        <f>SUM(BO11:BO198)</f>
        <v/>
      </c>
      <c r="BP199" s="4335">
        <f>SUM(BP11:BP198)</f>
        <v/>
      </c>
      <c r="BR199" s="4340" t="n"/>
      <c r="BT199" s="4332" t="n"/>
      <c r="BU199" s="4332" t="n"/>
    </row>
    <row r="200" ht="12" customHeight="1" s="3710">
      <c r="V200" s="4341" t="n"/>
      <c r="AE200" s="4287" t="n"/>
      <c r="AF200" s="4287" t="n"/>
      <c r="AG200" s="4287" t="n"/>
      <c r="AH200" s="4287" t="n"/>
      <c r="AI200" s="4287" t="n"/>
      <c r="AJ200" s="4287" t="n"/>
      <c r="AK200" s="4287" t="n"/>
      <c r="AL200" s="4287" t="n"/>
      <c r="AM200" s="4287" t="n"/>
      <c r="AN200" s="4287" t="n"/>
      <c r="AO200" s="4287" t="n"/>
      <c r="AP200" s="4287" t="n"/>
      <c r="AQ200" s="4287" t="n"/>
      <c r="AR200" s="4287" t="n"/>
      <c r="AS200" s="4287" t="n"/>
      <c r="AT200" s="4287" t="n"/>
      <c r="AU200" s="4287" t="n"/>
      <c r="AV200" s="4287" t="n"/>
      <c r="AW200" s="4287" t="n"/>
      <c r="AX200" s="4287" t="n"/>
      <c r="AY200" s="4287" t="n"/>
      <c r="AZ200" s="4287" t="n"/>
      <c r="BA200" s="4287" t="n"/>
      <c r="BB200" s="4287" t="n"/>
      <c r="BC200" s="4287" t="n"/>
      <c r="BD200" s="4287" t="n"/>
      <c r="BE200" s="4287" t="n"/>
      <c r="BF200" s="4287" t="n"/>
      <c r="BG200" s="4287" t="n"/>
      <c r="BH200" s="4287" t="n"/>
      <c r="BI200" s="4287" t="n"/>
      <c r="BJ200" s="4287" t="n"/>
      <c r="BK200" s="4287" t="n"/>
      <c r="BL200" s="4287" t="n"/>
      <c r="BM200" s="4287" t="n"/>
      <c r="BN200" s="4287" t="n"/>
      <c r="BO200" s="4287" t="n"/>
      <c r="BT200" s="4287" t="n"/>
      <c r="BU200" s="4287" t="n"/>
    </row>
    <row r="201" hidden="1" outlineLevel="1" ht="12" customFormat="1" customHeight="1" s="4289">
      <c r="A201" s="4342" t="n"/>
      <c r="B201" s="4343" t="n"/>
      <c r="C201" s="4289" t="inlineStr">
        <is>
          <t>Source (Termination folder &gt; Turnover files)</t>
        </is>
      </c>
      <c r="D201" s="4344" t="n"/>
      <c r="E201" s="4343" t="n"/>
      <c r="F201" s="4343" t="n"/>
      <c r="G201" s="4343" t="n"/>
      <c r="H201" s="4343" t="n"/>
      <c r="I201" s="4343" t="n"/>
      <c r="J201" s="4345" t="n"/>
      <c r="K201" s="4345" t="n"/>
      <c r="L201" s="4345" t="n"/>
      <c r="M201" s="4345" t="n"/>
      <c r="N201" s="4345" t="n"/>
      <c r="P201" s="4346" t="n"/>
      <c r="Q201" s="4346" t="n"/>
      <c r="R201" s="4346" t="n"/>
      <c r="S201" s="4346" t="n"/>
      <c r="T201" s="4346" t="n"/>
      <c r="V201" s="4346" t="n"/>
      <c r="W201" s="4346" t="n"/>
      <c r="X201" s="4346" t="n"/>
      <c r="Y201" s="4346" t="n"/>
      <c r="Z201" s="4346" t="n"/>
      <c r="AA201" s="4346" t="n"/>
      <c r="AB201" s="4346" t="n"/>
      <c r="AC201" s="4346" t="n"/>
      <c r="AD201" s="4346" t="n"/>
      <c r="AE201" s="4346" t="n"/>
      <c r="AF201" s="4346" t="n"/>
      <c r="AG201" s="4346" t="n"/>
      <c r="AH201" s="4346" t="n"/>
      <c r="AI201" s="4346" t="n"/>
      <c r="AJ201" s="4346" t="n"/>
      <c r="AK201" s="4346" t="n"/>
      <c r="AL201" s="4346" t="n"/>
      <c r="AM201" s="4346" t="n"/>
      <c r="AN201" s="4346" t="n"/>
      <c r="AO201" s="4346" t="n"/>
      <c r="AP201" s="4346" t="n"/>
      <c r="AQ201" s="4346" t="n"/>
      <c r="AR201" s="4346" t="n"/>
      <c r="AS201" s="4346" t="n"/>
      <c r="AT201" s="4346" t="n"/>
      <c r="AU201" s="4346" t="n"/>
      <c r="AV201" s="4346" t="n"/>
      <c r="AW201" s="4346" t="n"/>
      <c r="AX201" s="4346" t="n"/>
      <c r="AY201" s="4346" t="n"/>
      <c r="AZ201" s="4346" t="n"/>
      <c r="BA201" s="4346" t="n"/>
      <c r="BB201" s="4346" t="n"/>
      <c r="BC201" s="4346" t="n"/>
      <c r="BD201" s="4346" t="n"/>
      <c r="BE201" s="4346" t="n"/>
      <c r="BF201" s="4346" t="n"/>
      <c r="BG201" s="4346" t="n"/>
      <c r="BH201" s="4346" t="n"/>
      <c r="BI201" s="4346" t="n"/>
      <c r="BJ201" s="4346" t="n"/>
      <c r="BK201" s="4346" t="n"/>
      <c r="BL201" s="4346" t="n"/>
      <c r="BM201" s="4346" t="n"/>
      <c r="BN201" s="4346" t="n"/>
      <c r="BO201" s="4346" t="n"/>
      <c r="BP201" s="4346" t="n"/>
      <c r="BT201" s="4289" t="n"/>
      <c r="BU201" s="4289" t="n"/>
    </row>
    <row r="202" hidden="1" outlineLevel="1" ht="12" customFormat="1" customHeight="1" s="4289">
      <c r="A202" s="4342" t="n"/>
      <c r="B202" s="4343" t="n"/>
      <c r="C202" s="4289" t="inlineStr">
        <is>
          <t>Check</t>
        </is>
      </c>
      <c r="D202" s="4344" t="n"/>
      <c r="E202" s="4343" t="n"/>
      <c r="F202" s="4343" t="n"/>
      <c r="G202" s="4343" t="n"/>
      <c r="H202" s="4343" t="n"/>
      <c r="I202" s="4343" t="n"/>
      <c r="J202" s="4345">
        <f>J201-J199</f>
        <v/>
      </c>
      <c r="K202" s="4345">
        <f>K201-K199</f>
        <v/>
      </c>
      <c r="L202" s="4345">
        <f>L201-L199</f>
        <v/>
      </c>
      <c r="M202" s="4345">
        <f>M201-M199</f>
        <v/>
      </c>
      <c r="N202" s="4345">
        <f>N201-N199</f>
        <v/>
      </c>
      <c r="P202" s="4346" t="n"/>
      <c r="Q202" s="4346" t="n"/>
      <c r="R202" s="4346" t="n"/>
      <c r="S202" s="4346" t="n"/>
      <c r="T202" s="4346" t="n"/>
      <c r="V202" s="4347" t="n"/>
      <c r="W202" s="4347" t="n"/>
      <c r="X202" s="4347" t="n"/>
      <c r="Y202" s="4347" t="n"/>
      <c r="Z202" s="4347" t="n"/>
      <c r="AA202" s="4347" t="n"/>
      <c r="AB202" s="4347" t="n"/>
      <c r="AC202" s="4347" t="n"/>
      <c r="AD202" s="4347" t="n"/>
      <c r="AE202" s="4347" t="n"/>
      <c r="AF202" s="4346" t="n"/>
      <c r="AG202" s="4347">
        <f>AG201-AG199</f>
        <v/>
      </c>
      <c r="AH202" s="4347" t="n"/>
      <c r="AI202" s="4346" t="n"/>
      <c r="AJ202" s="4347" t="n"/>
      <c r="AK202" s="4346" t="n"/>
      <c r="AL202" s="4347" t="n"/>
      <c r="AM202" s="4347" t="n"/>
      <c r="AN202" s="4347" t="n"/>
      <c r="AO202" s="4347" t="n"/>
      <c r="AP202" s="4347" t="n"/>
      <c r="AQ202" s="4347" t="n"/>
      <c r="AR202" s="4347" t="n"/>
      <c r="AS202" s="4347">
        <f>AS201-AS199</f>
        <v/>
      </c>
      <c r="AT202" s="4347" t="n"/>
      <c r="AU202" s="4347" t="n"/>
      <c r="AV202" s="4347" t="n"/>
      <c r="AW202" s="4347" t="n"/>
      <c r="AX202" s="4347" t="n"/>
      <c r="AY202" s="4347" t="n"/>
      <c r="AZ202" s="4347" t="n"/>
      <c r="BA202" s="4347" t="n"/>
      <c r="BB202" s="4347" t="n"/>
      <c r="BC202" s="4347" t="n"/>
      <c r="BD202" s="4347" t="n"/>
      <c r="BE202" s="4347">
        <f>BE201-BE199</f>
        <v/>
      </c>
      <c r="BF202" s="4347" t="n"/>
      <c r="BG202" s="4347" t="n"/>
      <c r="BH202" s="4347" t="n"/>
      <c r="BI202" s="4347" t="n"/>
      <c r="BJ202" s="4347">
        <f>BJ201-BJ199</f>
        <v/>
      </c>
      <c r="BK202" s="4347" t="n"/>
      <c r="BL202" s="4347" t="n"/>
      <c r="BM202" s="4347" t="n"/>
      <c r="BN202" s="4347" t="n"/>
      <c r="BO202" s="4347" t="n"/>
      <c r="BP202" s="4347" t="n"/>
    </row>
    <row r="203" ht="12" customHeight="1" s="3710">
      <c r="A203" s="4342" t="n"/>
      <c r="K203" s="4289" t="inlineStr">
        <is>
          <t>&gt;&gt;Variance as annualized salary is equated to previous year salary for employees terminated during the year</t>
        </is>
      </c>
      <c r="P203" s="4287" t="n"/>
      <c r="Q203" s="4289" t="n"/>
      <c r="R203" s="4287" t="n"/>
      <c r="S203" s="4287" t="n"/>
      <c r="T203" s="4287" t="n"/>
      <c r="AE203" s="4287" t="n"/>
      <c r="AF203" s="4287" t="n"/>
      <c r="AG203" s="4287" t="n"/>
      <c r="AH203" s="4287" t="n"/>
      <c r="AI203" s="4287" t="n"/>
      <c r="AJ203" s="4287" t="n"/>
      <c r="AK203" s="4287" t="n"/>
      <c r="AL203" s="4287" t="n"/>
      <c r="AM203" s="4287" t="n"/>
      <c r="AN203" s="4287" t="n"/>
      <c r="AO203" s="4287" t="n"/>
      <c r="AP203" s="4287" t="n"/>
      <c r="AQ203" s="4287" t="n"/>
      <c r="AR203" s="4287" t="n"/>
      <c r="AS203" s="4289" t="n"/>
      <c r="AT203" s="4287" t="n"/>
      <c r="AU203" s="4287" t="n"/>
      <c r="AV203" s="4287" t="n"/>
      <c r="AW203" s="4287" t="n"/>
      <c r="AX203" s="4287" t="n"/>
      <c r="AY203" s="4287" t="n"/>
      <c r="AZ203" s="4287" t="n"/>
      <c r="BA203" s="4287" t="n"/>
      <c r="BB203" s="4287" t="n"/>
      <c r="BC203" s="4287" t="n"/>
      <c r="BD203" s="4287" t="n"/>
      <c r="BE203" s="4287" t="n"/>
      <c r="BF203" s="4287" t="n"/>
      <c r="BG203" s="4287" t="n"/>
      <c r="BH203" s="4287" t="n"/>
      <c r="BI203" s="4287" t="n"/>
      <c r="BJ203" s="4287" t="n"/>
      <c r="BK203" s="4287" t="n"/>
      <c r="BL203" s="4287" t="n"/>
      <c r="BM203" s="4287" t="n"/>
      <c r="BN203" s="4287" t="n"/>
      <c r="BO203" s="4287" t="n"/>
    </row>
    <row r="204" ht="12" customHeight="1" s="3710">
      <c r="P204" s="4287" t="n"/>
      <c r="Q204" s="4287" t="n"/>
      <c r="R204" s="4287" t="n"/>
      <c r="S204" s="4287" t="n"/>
      <c r="T204" s="4287" t="n"/>
    </row>
    <row r="205" ht="12" customHeight="1" s="3710">
      <c r="P205" s="4287" t="n"/>
      <c r="Q205" s="4287" t="n"/>
      <c r="R205" s="4287" t="n"/>
      <c r="S205" s="4287" t="n"/>
      <c r="T205" s="4287" t="n"/>
    </row>
    <row r="206" ht="12" customHeight="1" s="3710"/>
  </sheetData>
  <conditionalFormatting sqref="D11:D198">
    <cfRule type="duplicateValues" rank="0" priority="2" equalAverage="0" aboveAverage="0" dxfId="7" text="" percent="0" bottom="0"/>
  </conditionalFormatting>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FF000000"/>
    <outlinePr summaryBelow="1" summaryRight="1"/>
    <pageSetUpPr fitToPage="0"/>
  </sheetPr>
  <dimension ref="A1:A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5703125" defaultRowHeight="11.25" customHeight="0" zeroHeight="0" outlineLevelRow="0"/>
  <cols>
    <col width="9.57" customWidth="1" style="4265" min="1" max="16384"/>
  </cols>
  <sheetData/>
  <printOptions horizontalCentered="0" verticalCentered="0" headings="0" gridLines="0" gridLinesSet="1"/>
  <pageMargins left="0.7" right="0.7" top="0.75" bottom="0.75" header="0.511811023622047" footer="0.3"/>
  <pageSetup orientation="portrait" paperSize="1" scale="100" fitToHeight="1" fitToWidth="1" pageOrder="downThenOver" blackAndWhite="0" draft="0" horizontalDpi="300" verticalDpi="300" copies="1"/>
  <headerFooter differentOddEven="0" differentFirst="0">
    <oddHeader/>
    <oddFooter>&amp;C&amp;"Arial,Bold"&amp;7 Document Classification: KPMG Confidential</oddFooter>
    <evenHeader/>
    <evenFooter/>
    <firstHeader/>
    <firstFooter/>
  </headerFooter>
</worksheet>
</file>

<file path=xl/worksheets/sheet17.xml><?xml version="1.0" encoding="utf-8"?>
<worksheet xmlns="http://schemas.openxmlformats.org/spreadsheetml/2006/main">
  <sheetPr filterMode="0">
    <outlinePr summaryBelow="1" summaryRight="1"/>
    <pageSetUpPr fitToPage="0"/>
  </sheetPr>
  <dimension ref="A1:H66"/>
  <sheetViews>
    <sheetView showFormulas="0" showGridLines="0" showRowColHeaders="1" showZeros="1" rightToLeft="0" tabSelected="0" showOutlineSymbols="1" defaultGridColor="1" view="normal" topLeftCell="A1" colorId="64" zoomScale="100" zoomScaleNormal="100" zoomScalePageLayoutView="100" workbookViewId="0">
      <pane xSplit="3" ySplit="8" topLeftCell="D9" activePane="bottomRight" state="frozen"/>
      <selection pane="topLeft" activeCell="A1" activeCellId="0" sqref="A1"/>
      <selection pane="topRight" activeCell="D1" activeCellId="0" sqref="D1"/>
      <selection pane="bottomLeft" activeCell="A9" activeCellId="0" sqref="A9"/>
      <selection pane="bottomRight" activeCell="A1" activeCellId="0" sqref="A1"/>
    </sheetView>
  </sheetViews>
  <sheetFormatPr baseColWidth="8" defaultColWidth="8.5703125" defaultRowHeight="15" customHeight="0" zeroHeight="0" outlineLevelRow="0"/>
  <cols>
    <col width="3.57" customWidth="1" style="4165" min="1" max="1"/>
    <col width="1.42" customWidth="1" style="3740" min="2" max="2"/>
    <col width="19.14" customWidth="1" style="3740" min="3" max="3"/>
    <col width="13.57" customWidth="1" style="4060" min="4" max="4"/>
    <col width="11.57" customWidth="1" style="3737" min="5" max="5"/>
    <col width="13.86" customWidth="1" style="3737" min="6" max="6"/>
    <col width="67.42" customWidth="1" style="3737" min="7" max="7"/>
    <col width="1.57" customWidth="1" style="3976" min="8" max="8"/>
    <col width="8.57" customWidth="1" style="3737" min="9" max="16384"/>
  </cols>
  <sheetData>
    <row r="1" ht="22.05" customFormat="1" customHeight="1" s="3737">
      <c r="A1" s="4166" t="n"/>
      <c r="B1" s="4552" t="inlineStr">
        <is>
          <t>Project Name</t>
        </is>
      </c>
      <c r="C1" s="4060" t="n"/>
    </row>
    <row r="2" ht="15" customFormat="1" customHeight="1" s="3737">
      <c r="A2" s="4170" t="n"/>
      <c r="B2" s="4553">
        <f>C7</f>
        <v/>
      </c>
      <c r="C2" s="4060" t="n"/>
    </row>
    <row r="3" ht="15" customFormat="1" customHeight="1" s="3737">
      <c r="A3" s="4170" t="n"/>
      <c r="B3" s="4554" t="inlineStr">
        <is>
          <t>Source: TBD</t>
        </is>
      </c>
      <c r="C3" s="4060" t="n"/>
    </row>
    <row r="4" ht="15" customFormat="1" customHeight="1" s="3737">
      <c r="A4" s="4170" t="n"/>
      <c r="B4" s="4555" t="inlineStr">
        <is>
          <t>WORKING DRAFT</t>
        </is>
      </c>
      <c r="C4" s="4060" t="n"/>
    </row>
    <row r="5" ht="15" customFormat="1" customHeight="1" s="3737">
      <c r="A5" s="4165" t="n"/>
      <c r="B5" s="4555" t="n"/>
      <c r="C5" s="4060" t="n"/>
    </row>
    <row r="6" ht="15" customFormat="1" customHeight="1" s="3737">
      <c r="A6" s="4165" t="n"/>
      <c r="B6" s="4555" t="n"/>
      <c r="C6" s="4060" t="n"/>
    </row>
    <row r="7" ht="19.5" customFormat="1" customHeight="1" s="3737">
      <c r="A7" s="4165" t="n"/>
      <c r="B7" s="4555" t="n"/>
      <c r="C7" s="4063" t="inlineStr">
        <is>
          <t>Top customers</t>
        </is>
      </c>
      <c r="D7" s="4063" t="n"/>
      <c r="E7" s="4063" t="n"/>
      <c r="F7" s="4063" t="n"/>
      <c r="G7" s="4064" t="n"/>
      <c r="H7" s="3976" t="n"/>
    </row>
    <row r="8" ht="19.4" customHeight="1" s="3710">
      <c r="B8" s="3753" t="n"/>
      <c r="C8" s="4081" t="inlineStr">
        <is>
          <t>#</t>
        </is>
      </c>
      <c r="D8" s="4348" t="inlineStr">
        <is>
          <t>Customer</t>
        </is>
      </c>
      <c r="E8" s="4349" t="inlineStr">
        <is>
          <t>Annual revenue</t>
        </is>
      </c>
      <c r="F8" s="4349" t="inlineStr">
        <is>
          <t>Maturity date</t>
        </is>
      </c>
      <c r="G8" s="4350" t="inlineStr">
        <is>
          <t>Existing Termination, Change of Control and/or Assignment Rights</t>
        </is>
      </c>
    </row>
    <row r="9" ht="15" customHeight="1" s="3710">
      <c r="B9" s="3891" t="n"/>
      <c r="C9" s="4351" t="n">
        <v>1</v>
      </c>
      <c r="D9" s="4351" t="inlineStr">
        <is>
          <t>Mobile TSP</t>
        </is>
      </c>
      <c r="E9" s="4352" t="inlineStr">
        <is>
          <t>$12.5M+</t>
        </is>
      </c>
      <c r="F9" s="4353" t="n">
        <v>45869</v>
      </c>
      <c r="G9" s="4352" t="inlineStr">
        <is>
          <t xml:space="preserve"> Change of Control clause exists</t>
        </is>
      </c>
    </row>
    <row r="10" ht="15" customHeight="1" s="3710">
      <c r="B10" s="3891" t="n"/>
      <c r="C10" s="4351">
        <f>C9+1</f>
        <v/>
      </c>
      <c r="D10" s="4351" t="inlineStr">
        <is>
          <t>Credit Union MSA</t>
        </is>
      </c>
      <c r="E10" s="4352" t="inlineStr">
        <is>
          <t>$15M+</t>
        </is>
      </c>
      <c r="F10" s="4353" t="n"/>
      <c r="G10" s="4352" t="inlineStr">
        <is>
          <t xml:space="preserve"> Change of Control clause exists</t>
        </is>
      </c>
    </row>
    <row r="11" ht="15" customHeight="1" s="3710">
      <c r="B11" s="3891" t="n"/>
      <c r="C11" s="4351">
        <f>C10+1</f>
        <v/>
      </c>
      <c r="D11" s="4351" t="inlineStr">
        <is>
          <t>Square</t>
        </is>
      </c>
      <c r="E11" s="4352" t="inlineStr">
        <is>
          <t>$1.7M</t>
        </is>
      </c>
      <c r="F11" s="4353" t="n"/>
      <c r="G11" s="4352" t="n"/>
    </row>
    <row r="12" ht="15" customHeight="1" s="3710">
      <c r="B12" s="3891" t="n"/>
      <c r="C12" s="4351">
        <f>C11+1</f>
        <v/>
      </c>
      <c r="D12" s="4351" t="inlineStr">
        <is>
          <t>Adyen</t>
        </is>
      </c>
      <c r="E12" s="4352" t="inlineStr">
        <is>
          <t>$1.6M</t>
        </is>
      </c>
      <c r="F12" s="4353" t="n"/>
      <c r="G12" s="4352" t="n"/>
    </row>
    <row r="13" ht="15" customHeight="1" s="3710">
      <c r="B13" s="3891" t="n"/>
      <c r="C13" s="4351">
        <f>C12+1</f>
        <v/>
      </c>
      <c r="D13" s="4351" t="inlineStr">
        <is>
          <t>Laurentian Bank</t>
        </is>
      </c>
      <c r="E13" s="4352" t="inlineStr">
        <is>
          <t>$700K+</t>
        </is>
      </c>
      <c r="F13" s="4353" t="n"/>
      <c r="G13" s="4352" t="n"/>
    </row>
    <row r="14" ht="15" customHeight="1" s="3710">
      <c r="B14" s="3891" t="n"/>
      <c r="C14" s="4351">
        <f>C13+1</f>
        <v/>
      </c>
      <c r="D14" s="4351" t="inlineStr">
        <is>
          <t>Stripe</t>
        </is>
      </c>
      <c r="E14" s="4352" t="inlineStr">
        <is>
          <t>$450K+</t>
        </is>
      </c>
      <c r="F14" s="4353" t="n"/>
      <c r="G14" s="4352" t="n"/>
    </row>
    <row r="15" ht="19.4" customHeight="1" s="3710">
      <c r="B15" s="3891" t="n"/>
      <c r="C15" s="4351">
        <f>C14+1</f>
        <v/>
      </c>
      <c r="D15" s="4351" t="inlineStr">
        <is>
          <t>Monex</t>
        </is>
      </c>
      <c r="E15" s="4352" t="inlineStr">
        <is>
          <t>$375K+</t>
        </is>
      </c>
      <c r="F15" s="4353" t="inlineStr">
        <is>
          <t>Jul-24</t>
        </is>
      </c>
      <c r="G15" s="4352" t="inlineStr">
        <is>
          <t>Currently in contract renewal discussions but client wants change of control rights in amended agreement</t>
        </is>
      </c>
    </row>
    <row r="16" ht="15" customHeight="1" s="3710">
      <c r="B16" s="3891" t="n"/>
      <c r="C16" s="4351">
        <f>C15+1</f>
        <v/>
      </c>
      <c r="D16" s="4351" t="inlineStr">
        <is>
          <t>Manulife Bank</t>
        </is>
      </c>
      <c r="E16" s="4352" t="inlineStr">
        <is>
          <t>$285K+</t>
        </is>
      </c>
      <c r="F16" s="4353" t="n"/>
      <c r="G16" s="4352" t="n"/>
    </row>
    <row r="17" ht="15" customHeight="1" s="3710">
      <c r="B17" s="3891" t="n"/>
      <c r="C17" s="4351">
        <f>C16+1</f>
        <v/>
      </c>
      <c r="D17" s="4351" t="inlineStr">
        <is>
          <t>ICICI Bank</t>
        </is>
      </c>
      <c r="E17" s="4352" t="inlineStr">
        <is>
          <t>$200K+</t>
        </is>
      </c>
      <c r="F17" s="4353" t="inlineStr">
        <is>
          <t>Oct-24</t>
        </is>
      </c>
      <c r="G17" s="4352" t="n"/>
    </row>
    <row r="18" ht="19.4" customHeight="1" s="3710">
      <c r="B18" s="3891" t="n"/>
      <c r="C18" s="4354">
        <f>C17+1</f>
        <v/>
      </c>
      <c r="D18" s="4354" t="inlineStr">
        <is>
          <t>Canadian Tire Bank</t>
        </is>
      </c>
      <c r="E18" s="4355" t="inlineStr">
        <is>
          <t>$150K+</t>
        </is>
      </c>
      <c r="F18" s="4356" t="inlineStr">
        <is>
          <t>Jun-22</t>
        </is>
      </c>
      <c r="G18" s="4355" t="n"/>
    </row>
    <row r="19" ht="15" customHeight="1" s="3710">
      <c r="B19" s="3891" t="n"/>
      <c r="C19" s="3891" t="n"/>
    </row>
    <row r="20" ht="12" customHeight="1" s="3710">
      <c r="B20" s="3891" t="n"/>
      <c r="C20" s="3891" t="n"/>
    </row>
    <row r="21" ht="19.5" customHeight="1" s="3710">
      <c r="B21" s="4555" t="n"/>
      <c r="C21" s="4357" t="inlineStr">
        <is>
          <t>Contract maturity waterfall</t>
        </is>
      </c>
      <c r="D21" s="4357" t="n"/>
      <c r="E21" s="4357" t="n"/>
      <c r="F21" s="4357" t="n"/>
      <c r="G21" s="4358" t="n"/>
    </row>
    <row r="22" ht="15" customHeight="1" s="3710">
      <c r="B22" s="3753" t="n"/>
      <c r="C22" s="4081" t="inlineStr">
        <is>
          <t>Switch clients</t>
        </is>
      </c>
      <c r="D22" s="4081" t="inlineStr">
        <is>
          <t>Annual volumes</t>
        </is>
      </c>
      <c r="E22" s="4081" t="inlineStr">
        <is>
          <t>Expiry date</t>
        </is>
      </c>
      <c r="F22" s="4081" t="inlineStr">
        <is>
          <t>Risk level to renew</t>
        </is>
      </c>
      <c r="G22" s="4081" t="inlineStr">
        <is>
          <t>Present status</t>
        </is>
      </c>
    </row>
    <row r="23" ht="15" customHeight="1" s="3710">
      <c r="B23" s="3891" t="n"/>
      <c r="C23" s="4359" t="inlineStr">
        <is>
          <t>Credit Union MSA</t>
        </is>
      </c>
      <c r="D23" s="4360" t="n"/>
      <c r="E23" s="4360" t="n"/>
      <c r="F23" s="4360" t="n"/>
      <c r="G23" s="4361" t="n"/>
    </row>
    <row r="24" ht="19.4" customHeight="1" s="3710">
      <c r="B24" s="3891" t="n"/>
      <c r="C24" s="4362" t="inlineStr">
        <is>
          <t>Over 200 credit unions coast to coast</t>
        </is>
      </c>
      <c r="D24" s="4360" t="inlineStr">
        <is>
          <t>600M+</t>
        </is>
      </c>
      <c r="E24" s="4360" t="inlineStr">
        <is>
          <t>April, 2031</t>
        </is>
      </c>
      <c r="F24" s="4360" t="inlineStr">
        <is>
          <t>Low</t>
        </is>
      </c>
      <c r="G24" s="4361" t="inlineStr">
        <is>
          <t>Recently renewed MSA for a 7-year term plus a 3-year option.</t>
        </is>
      </c>
    </row>
    <row r="25" ht="15" customHeight="1" s="3710">
      <c r="B25" s="3891" t="n"/>
      <c r="C25" s="4363" t="n"/>
      <c r="D25" s="4364" t="n"/>
      <c r="E25" s="4364" t="n"/>
      <c r="F25" s="4364" t="n"/>
      <c r="G25" s="4365" t="n"/>
    </row>
    <row r="26" ht="15" customHeight="1" s="3710">
      <c r="B26" s="3891" t="n"/>
      <c r="C26" s="4362" t="inlineStr">
        <is>
          <t>(Mobile TSP)</t>
        </is>
      </c>
      <c r="D26" s="4360" t="inlineStr">
        <is>
          <t>1.2B</t>
        </is>
      </c>
      <c r="E26" s="4360" t="inlineStr">
        <is>
          <t>July, 2025</t>
        </is>
      </c>
      <c r="F26" s="4360" t="inlineStr">
        <is>
          <t>Low</t>
        </is>
      </c>
      <c r="G26" s="4361" t="inlineStr">
        <is>
          <t>In the process of contract renewal discussions.</t>
        </is>
      </c>
    </row>
    <row r="27" ht="19.4" customHeight="1" s="3710">
      <c r="B27" s="3891" t="n"/>
      <c r="C27" s="4351" t="inlineStr">
        <is>
          <t>(NYCE POS)</t>
        </is>
      </c>
      <c r="D27" s="4352" t="inlineStr">
        <is>
          <t>285K</t>
        </is>
      </c>
      <c r="E27" s="4352" t="inlineStr">
        <is>
          <t>Auto-renewal</t>
        </is>
      </c>
      <c r="F27" s="4352" t="inlineStr">
        <is>
          <t>Low</t>
        </is>
      </c>
      <c r="G27" s="4366" t="inlineStr">
        <is>
          <t>Currently have auto-renewal clause, but working on a 3-year new renewal to include new business terms on price and compliance.</t>
        </is>
      </c>
    </row>
    <row r="28" ht="19.4" customHeight="1" s="3710">
      <c r="B28" s="3891" t="n"/>
      <c r="C28" s="4351" t="inlineStr">
        <is>
          <t>(CUP)</t>
        </is>
      </c>
      <c r="D28" s="4352" t="inlineStr">
        <is>
          <t>400K</t>
        </is>
      </c>
      <c r="E28" s="4352" t="inlineStr">
        <is>
          <t>Auto-renewal</t>
        </is>
      </c>
      <c r="F28" s="4352" t="inlineStr">
        <is>
          <t>Low</t>
        </is>
      </c>
      <c r="G28" s="4366" t="inlineStr">
        <is>
          <t>Currently have auto-renewal clause, but working on a 3-year new renewal to include new business terms on price and compliance.</t>
        </is>
      </c>
    </row>
    <row r="29" ht="19.4" customHeight="1" s="3710">
      <c r="B29" s="3891" t="n"/>
      <c r="C29" s="4351" t="inlineStr">
        <is>
          <t>(PULSE)</t>
        </is>
      </c>
      <c r="D29" s="4352" t="inlineStr">
        <is>
          <t>32K</t>
        </is>
      </c>
      <c r="E29" s="4352" t="inlineStr">
        <is>
          <t>Auto-renewal</t>
        </is>
      </c>
      <c r="F29" s="4352" t="inlineStr">
        <is>
          <t>Low</t>
        </is>
      </c>
      <c r="G29" s="4366" t="inlineStr">
        <is>
          <t>Currently have auto-renewal clause, but working on a 3-year new renewal to include new business terms on price and compliance.</t>
        </is>
      </c>
    </row>
    <row r="30" ht="15" customHeight="1" s="3710">
      <c r="B30" s="3891" t="n"/>
      <c r="C30" s="4363" t="inlineStr">
        <is>
          <t>Banks</t>
        </is>
      </c>
      <c r="D30" s="4364" t="n"/>
      <c r="E30" s="4364" t="n"/>
      <c r="F30" s="4364" t="n"/>
      <c r="G30" s="4365" t="n"/>
    </row>
    <row r="31" ht="15" customHeight="1" s="3710">
      <c r="B31" s="3891" t="n"/>
      <c r="C31" s="4362" t="inlineStr">
        <is>
          <t>Laurentian Bank</t>
        </is>
      </c>
      <c r="D31" s="4360" t="inlineStr">
        <is>
          <t>24M</t>
        </is>
      </c>
      <c r="E31" s="4367" t="inlineStr">
        <is>
          <t>June 30, 2024</t>
        </is>
      </c>
      <c r="F31" s="4360" t="inlineStr">
        <is>
          <t>Low</t>
        </is>
      </c>
      <c r="G31" s="4361" t="inlineStr">
        <is>
          <t>Currently in discussions for a 3-year renewal</t>
        </is>
      </c>
    </row>
    <row r="32" ht="19.4" customHeight="1" s="3710">
      <c r="B32" s="3891" t="n"/>
      <c r="C32" s="4351" t="inlineStr">
        <is>
          <t>Canadian Western Bank</t>
        </is>
      </c>
      <c r="D32" s="4352" t="inlineStr">
        <is>
          <t>2.8M</t>
        </is>
      </c>
      <c r="E32" s="4352" t="inlineStr">
        <is>
          <t>March, 2025</t>
        </is>
      </c>
      <c r="F32" s="4352" t="inlineStr">
        <is>
          <t>Low</t>
        </is>
      </c>
      <c r="G32" s="4366" t="inlineStr">
        <is>
          <t>Currently in auto-renewal, working on a 3-year new renewal to include new business terms on price and compliance.</t>
        </is>
      </c>
    </row>
    <row r="33" ht="19.4" customHeight="1" s="3710">
      <c r="B33" s="3891" t="n"/>
      <c r="C33" s="4351" t="inlineStr">
        <is>
          <t>Manulife Bank</t>
        </is>
      </c>
      <c r="D33" s="4352" t="inlineStr">
        <is>
          <t>9.6M</t>
        </is>
      </c>
      <c r="E33" s="4368" t="inlineStr">
        <is>
          <t>January 31, 2025</t>
        </is>
      </c>
      <c r="F33" s="4352" t="inlineStr">
        <is>
          <t>Low</t>
        </is>
      </c>
      <c r="G33" s="4366" t="inlineStr">
        <is>
          <t>Confirm status with Oliver &amp; Anthony</t>
        </is>
      </c>
    </row>
    <row r="34" ht="19.4" customHeight="1" s="3710">
      <c r="B34" s="3891" t="n"/>
      <c r="C34" s="4351" t="inlineStr">
        <is>
          <t>ICICI Bank</t>
        </is>
      </c>
      <c r="D34" s="4352" t="inlineStr">
        <is>
          <t>1.2M</t>
        </is>
      </c>
      <c r="E34" s="4352" t="inlineStr">
        <is>
          <t>October, 2024</t>
        </is>
      </c>
      <c r="F34" s="4352" t="inlineStr">
        <is>
          <t>Low</t>
        </is>
      </c>
      <c r="G34" s="4366" t="inlineStr">
        <is>
          <t>Currently have auto-renewal clause, but working on a 3-year new renewal to include new business terms on price and compliance.</t>
        </is>
      </c>
    </row>
    <row r="35" ht="19.4" customHeight="1" s="3710">
      <c r="B35" s="3891" t="n"/>
      <c r="C35" s="4351" t="inlineStr">
        <is>
          <t>First Nations Bank</t>
        </is>
      </c>
      <c r="D35" s="4352" t="inlineStr">
        <is>
          <t>240K</t>
        </is>
      </c>
      <c r="E35" s="4352" t="inlineStr">
        <is>
          <t>December, 2024</t>
        </is>
      </c>
      <c r="F35" s="4352" t="inlineStr">
        <is>
          <t>Low</t>
        </is>
      </c>
      <c r="G35" s="4366" t="inlineStr">
        <is>
          <t>Currently have auto-renewal clause, but working on a 3-year new renewal to include new business terms on price and compliance.</t>
        </is>
      </c>
    </row>
    <row r="36" ht="19.4" customHeight="1" s="3710">
      <c r="B36" s="3891" t="n"/>
      <c r="C36" s="4351" t="inlineStr">
        <is>
          <t>Shinhan Bank</t>
        </is>
      </c>
      <c r="D36" s="4352" t="inlineStr">
        <is>
          <t>100K</t>
        </is>
      </c>
      <c r="E36" s="4352" t="inlineStr">
        <is>
          <t>March, 2025</t>
        </is>
      </c>
      <c r="F36" s="4352" t="inlineStr">
        <is>
          <t>Low</t>
        </is>
      </c>
      <c r="G36" s="4366" t="inlineStr">
        <is>
          <t>Currently have auto-renewal clause, but working on a 3-year new renewal to include new business terms on price and compliance.</t>
        </is>
      </c>
    </row>
    <row r="37" ht="19.4" customHeight="1" s="3710">
      <c r="B37" s="3891" t="n"/>
      <c r="C37" s="4351" t="inlineStr">
        <is>
          <t>KEB Bank</t>
        </is>
      </c>
      <c r="D37" s="4352" t="inlineStr">
        <is>
          <t>240K</t>
        </is>
      </c>
      <c r="E37" s="4352" t="inlineStr">
        <is>
          <t>August, 2024</t>
        </is>
      </c>
      <c r="F37" s="4352" t="inlineStr">
        <is>
          <t>Low</t>
        </is>
      </c>
      <c r="G37" s="4366" t="inlineStr">
        <is>
          <t>Currently have auto-renewal clause, but working on a 3-year new renewal to include new business terms on price and compliance.</t>
        </is>
      </c>
    </row>
    <row r="38" ht="19.4" customHeight="1" s="3710">
      <c r="B38" s="3891" t="n"/>
      <c r="C38" s="4351" t="inlineStr">
        <is>
          <t>State Bank of India</t>
        </is>
      </c>
      <c r="D38" s="4352" t="inlineStr">
        <is>
          <t>100K</t>
        </is>
      </c>
      <c r="E38" s="4352" t="inlineStr">
        <is>
          <t>July, 2024</t>
        </is>
      </c>
      <c r="F38" s="4352" t="inlineStr">
        <is>
          <t>Low</t>
        </is>
      </c>
      <c r="G38" s="4366" t="inlineStr">
        <is>
          <t>Currently have auto-renewal clause, but working on a 3-year new renewal to include new business terms on price and compliance.</t>
        </is>
      </c>
    </row>
    <row r="39" ht="15" customHeight="1" s="3710">
      <c r="B39" s="3891" t="n"/>
      <c r="C39" s="4369" t="inlineStr">
        <is>
          <t>Host to Host, ISO Clients &amp; Acquirers</t>
        </is>
      </c>
      <c r="D39" s="4364" t="n"/>
      <c r="E39" s="4364" t="n"/>
      <c r="F39" s="4364" t="n"/>
      <c r="G39" s="4365" t="n"/>
    </row>
    <row r="40" ht="19.4" customHeight="1" s="3710">
      <c r="B40" s="3891" t="n"/>
      <c r="C40" s="4362" t="inlineStr">
        <is>
          <t>Adyen</t>
        </is>
      </c>
      <c r="D40" s="4360" t="inlineStr">
        <is>
          <t>100M</t>
        </is>
      </c>
      <c r="E40" s="4360" t="inlineStr">
        <is>
          <t>December, 2026</t>
        </is>
      </c>
      <c r="F40" s="4360" t="inlineStr">
        <is>
          <t>Low</t>
        </is>
      </c>
      <c r="G40" s="4361" t="inlineStr">
        <is>
          <t>Recently renewed agreement in December 2023.</t>
        </is>
      </c>
    </row>
    <row r="41" ht="15" customHeight="1" s="3710">
      <c r="B41" s="3891" t="n"/>
      <c r="C41" s="4351" t="inlineStr">
        <is>
          <t>Monex</t>
        </is>
      </c>
      <c r="D41" s="4352" t="inlineStr">
        <is>
          <t>21M</t>
        </is>
      </c>
      <c r="E41" s="4352" t="inlineStr">
        <is>
          <t>July, 2024</t>
        </is>
      </c>
      <c r="F41" s="4352" t="inlineStr">
        <is>
          <t>Low</t>
        </is>
      </c>
      <c r="G41" s="4366" t="inlineStr">
        <is>
          <t>Currently in discussions with the client for a 3-year term.</t>
        </is>
      </c>
    </row>
    <row r="42" ht="15" customHeight="1" s="3710">
      <c r="B42" s="3891" t="n"/>
      <c r="C42" s="4351" t="inlineStr">
        <is>
          <t>Square</t>
        </is>
      </c>
      <c r="D42" s="4352" t="inlineStr">
        <is>
          <t>130M</t>
        </is>
      </c>
      <c r="E42" s="4352" t="inlineStr">
        <is>
          <t>October, 2025</t>
        </is>
      </c>
      <c r="F42" s="4352" t="inlineStr">
        <is>
          <t>Low</t>
        </is>
      </c>
      <c r="G42" s="4366" t="n"/>
    </row>
    <row r="43" ht="19.4" customHeight="1" s="3710">
      <c r="B43" s="3891" t="n"/>
      <c r="C43" s="4351" t="inlineStr">
        <is>
          <t>WorldPay</t>
        </is>
      </c>
      <c r="D43" s="4352" t="inlineStr">
        <is>
          <t>4M</t>
        </is>
      </c>
      <c r="E43" s="4352" t="inlineStr">
        <is>
          <t>October, 2024</t>
        </is>
      </c>
      <c r="F43" s="4352" t="inlineStr">
        <is>
          <t>High</t>
        </is>
      </c>
      <c r="G43" s="4366" t="inlineStr">
        <is>
          <t>TBD</t>
        </is>
      </c>
    </row>
    <row r="44" ht="15" customHeight="1" s="3710">
      <c r="B44" s="3891" t="n"/>
      <c r="C44" s="4351" t="inlineStr">
        <is>
          <t>PSP Services</t>
        </is>
      </c>
      <c r="D44" s="4352" t="inlineStr">
        <is>
          <t>1.6M</t>
        </is>
      </c>
      <c r="E44" s="4352" t="inlineStr">
        <is>
          <t>August, 2026</t>
        </is>
      </c>
      <c r="F44" s="4352" t="inlineStr">
        <is>
          <t>Low</t>
        </is>
      </c>
      <c r="G44" s="4366" t="inlineStr">
        <is>
          <t>No foreseeable challenges or risks</t>
        </is>
      </c>
    </row>
    <row r="45" ht="19.4" customHeight="1" s="3710">
      <c r="B45" s="3891" t="n"/>
      <c r="C45" s="4351" t="inlineStr">
        <is>
          <t>Stanley Security (Manulife)</t>
        </is>
      </c>
      <c r="D45" s="4352" t="inlineStr">
        <is>
          <t>2M</t>
        </is>
      </c>
      <c r="E45" s="4352" t="inlineStr">
        <is>
          <t>June, 2024</t>
        </is>
      </c>
      <c r="F45" s="4352" t="inlineStr">
        <is>
          <t>Low</t>
        </is>
      </c>
      <c r="G45" s="4366" t="inlineStr">
        <is>
          <t>This agreement is currently in auto-renewal. We are opening up the agreement to amend pricing to address increasing costs in the service.</t>
        </is>
      </c>
    </row>
    <row r="46" ht="19.4" customHeight="1" s="3710">
      <c r="B46" s="3891" t="n"/>
      <c r="C46" s="4354" t="inlineStr">
        <is>
          <t>Stanley Security (Whitelabel)</t>
        </is>
      </c>
      <c r="D46" s="4355" t="inlineStr">
        <is>
          <t>160K</t>
        </is>
      </c>
      <c r="E46" s="4355" t="inlineStr">
        <is>
          <t>June, 2024</t>
        </is>
      </c>
      <c r="F46" s="4355" t="inlineStr">
        <is>
          <t>Low</t>
        </is>
      </c>
      <c r="G46" s="4370" t="inlineStr">
        <is>
          <t>This agreement is currently in auto-renewal. We are opening up the agreement to amend pricing to address increasing costs in the service.</t>
        </is>
      </c>
    </row>
    <row r="47" ht="15" customFormat="1" customHeight="1" s="4060">
      <c r="A47" s="4165" t="n"/>
      <c r="B47" s="3891" t="n"/>
      <c r="C47" s="3891" t="n"/>
      <c r="E47" s="3737" t="n"/>
      <c r="F47" s="3737" t="n"/>
      <c r="G47" s="3737" t="n"/>
      <c r="H47" s="3976" t="n"/>
    </row>
    <row r="48" ht="15" customFormat="1" customHeight="1" s="4060">
      <c r="A48" s="4165" t="n"/>
      <c r="B48" s="3891" t="n"/>
      <c r="C48" s="3891" t="n"/>
      <c r="E48" s="3737" t="n"/>
      <c r="F48" s="3737" t="n"/>
      <c r="G48" s="3737" t="n"/>
      <c r="H48" s="3976" t="n"/>
    </row>
    <row r="49" ht="15" customFormat="1" customHeight="1" s="4060">
      <c r="A49" s="4165" t="n"/>
      <c r="B49" s="3891" t="n"/>
      <c r="C49" s="3891" t="n"/>
      <c r="E49" s="3737" t="n"/>
      <c r="F49" s="3737" t="n"/>
      <c r="G49" s="3737" t="n"/>
      <c r="H49" s="3976" t="n"/>
    </row>
    <row r="50" ht="15" customFormat="1" customHeight="1" s="4060">
      <c r="A50" s="4165" t="n"/>
      <c r="B50" s="3891" t="n"/>
      <c r="C50" s="3891" t="n"/>
      <c r="E50" s="3737" t="n"/>
      <c r="F50" s="3737" t="n"/>
      <c r="G50" s="3737" t="n"/>
      <c r="H50" s="3976" t="n"/>
    </row>
    <row r="51" ht="15" customFormat="1" customHeight="1" s="4060">
      <c r="A51" s="4165" t="n"/>
      <c r="B51" s="3891" t="n"/>
      <c r="C51" s="3891" t="n"/>
      <c r="E51" s="3737" t="n"/>
      <c r="F51" s="3737" t="n"/>
      <c r="G51" s="3737" t="n"/>
      <c r="H51" s="3976" t="n"/>
    </row>
    <row r="52" ht="15" customFormat="1" customHeight="1" s="4060">
      <c r="A52" s="4165" t="n"/>
      <c r="B52" s="3891" t="n"/>
      <c r="C52" s="3891" t="n"/>
      <c r="E52" s="3737" t="n"/>
      <c r="F52" s="3737" t="n"/>
      <c r="G52" s="3737" t="n"/>
      <c r="H52" s="3976" t="n"/>
    </row>
    <row r="53" ht="15" customFormat="1" customHeight="1" s="4060">
      <c r="A53" s="4165" t="n"/>
      <c r="B53" s="3891" t="n"/>
      <c r="C53" s="3891" t="n"/>
      <c r="E53" s="3737" t="n"/>
      <c r="F53" s="3737" t="n"/>
      <c r="G53" s="3737" t="n"/>
      <c r="H53" s="3976" t="n"/>
    </row>
    <row r="54" ht="15" customFormat="1" customHeight="1" s="4060">
      <c r="A54" s="4165" t="n"/>
      <c r="B54" s="3891" t="n"/>
      <c r="C54" s="3891" t="n"/>
      <c r="E54" s="3737" t="n"/>
      <c r="F54" s="3737" t="n"/>
      <c r="G54" s="3737" t="n"/>
      <c r="H54" s="3976" t="n"/>
    </row>
    <row r="55" ht="15" customFormat="1" customHeight="1" s="4060">
      <c r="A55" s="4211" t="n"/>
      <c r="B55" s="3891" t="n"/>
      <c r="C55" s="3891" t="n"/>
      <c r="E55" s="3737" t="n"/>
      <c r="F55" s="3737" t="n"/>
      <c r="G55" s="3737" t="n"/>
      <c r="H55" s="3976" t="n"/>
    </row>
    <row r="56" ht="15" customFormat="1" customHeight="1" s="4060">
      <c r="A56" s="4211" t="n"/>
      <c r="B56" s="3891" t="n"/>
      <c r="C56" s="3891" t="n"/>
      <c r="E56" s="3737" t="n"/>
      <c r="F56" s="3737" t="n"/>
      <c r="G56" s="3737" t="n"/>
      <c r="H56" s="3976" t="n"/>
    </row>
    <row r="57" ht="15" customFormat="1" customHeight="1" s="4060">
      <c r="A57" s="4165" t="n"/>
      <c r="B57" s="3891" t="n"/>
      <c r="C57" s="3891" t="n"/>
      <c r="E57" s="3737" t="n"/>
      <c r="F57" s="3737" t="n"/>
      <c r="G57" s="3737" t="n"/>
      <c r="H57" s="3976" t="n"/>
    </row>
    <row r="58" ht="15" customFormat="1" customHeight="1" s="4060">
      <c r="A58" s="4165" t="n"/>
      <c r="B58" s="3891" t="n"/>
      <c r="C58" s="3891" t="n"/>
      <c r="E58" s="3737" t="n"/>
      <c r="F58" s="3737" t="n"/>
      <c r="G58" s="3737" t="n"/>
      <c r="H58" s="3976" t="n"/>
    </row>
    <row r="59" ht="15" customFormat="1" customHeight="1" s="4060">
      <c r="A59" s="4165" t="n"/>
      <c r="B59" s="3891" t="n"/>
      <c r="C59" s="3891" t="n"/>
      <c r="E59" s="3737" t="n"/>
      <c r="F59" s="3737" t="n"/>
      <c r="G59" s="3737" t="n"/>
      <c r="H59" s="3976" t="n"/>
    </row>
    <row r="60" ht="15" customFormat="1" customHeight="1" s="4060">
      <c r="A60" s="4165" t="n"/>
      <c r="B60" s="4044" t="n"/>
      <c r="C60" s="4044" t="n"/>
      <c r="E60" s="3737" t="n"/>
      <c r="F60" s="3737" t="n"/>
      <c r="G60" s="3737" t="n"/>
      <c r="H60" s="3976" t="n"/>
    </row>
    <row r="61" ht="15" customFormat="1" customHeight="1" s="4060">
      <c r="A61" s="4165" t="n"/>
      <c r="B61" s="4044" t="n"/>
      <c r="C61" s="4044" t="n"/>
      <c r="E61" s="3737" t="n"/>
      <c r="F61" s="3737" t="n"/>
      <c r="G61" s="3737" t="n"/>
      <c r="H61" s="3976" t="n"/>
    </row>
    <row r="62" ht="15" customFormat="1" customHeight="1" s="4060">
      <c r="A62" s="4165" t="n"/>
      <c r="B62" s="3891" t="n"/>
      <c r="C62" s="3891" t="n"/>
      <c r="E62" s="3737" t="n"/>
      <c r="F62" s="3737" t="n"/>
      <c r="G62" s="3737" t="n"/>
      <c r="H62" s="3976" t="n"/>
    </row>
    <row r="63" ht="15" customFormat="1" customHeight="1" s="4060">
      <c r="A63" s="4165" t="n"/>
      <c r="B63" s="3891" t="n"/>
      <c r="C63" s="3891" t="n"/>
      <c r="E63" s="3737" t="n"/>
      <c r="F63" s="3737" t="n"/>
      <c r="G63" s="3737" t="n"/>
      <c r="H63" s="3976" t="n"/>
    </row>
    <row r="64" ht="15" customFormat="1" customHeight="1" s="4060">
      <c r="A64" s="4165" t="n"/>
      <c r="B64" s="3891" t="n"/>
      <c r="C64" s="3891" t="n"/>
      <c r="E64" s="3737" t="n"/>
      <c r="F64" s="3737" t="n"/>
      <c r="G64" s="3737" t="n"/>
      <c r="H64" s="3976" t="n"/>
    </row>
    <row r="65" ht="15" customFormat="1" customHeight="1" s="4060">
      <c r="A65" s="4165" t="n"/>
      <c r="B65" s="3891" t="n"/>
      <c r="C65" s="3891" t="n"/>
      <c r="E65" s="3737" t="n"/>
      <c r="F65" s="3737" t="n"/>
      <c r="G65" s="3737" t="n"/>
      <c r="H65" s="3976" t="n"/>
    </row>
    <row r="66" ht="15" customFormat="1" customHeight="1" s="4060">
      <c r="A66" s="4165" t="n"/>
      <c r="B66" s="3891" t="n"/>
      <c r="C66" s="3891" t="n"/>
      <c r="E66" s="3737" t="n"/>
      <c r="F66" s="3737" t="n"/>
      <c r="G66" s="3737" t="n"/>
      <c r="H66" s="3976"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CT1597"/>
  <sheetViews>
    <sheetView showFormulas="0" showGridLines="0"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5703125" defaultRowHeight="15" customHeight="0" zeroHeight="0" outlineLevelRow="1"/>
  <cols>
    <col width="3.57" customWidth="1" style="4371" min="1" max="1"/>
    <col width="1.42" customWidth="1" style="4372" min="2" max="2"/>
    <col width="18.86" customWidth="1" style="4373" min="3" max="3"/>
    <col hidden="1" outlineLevel="1" width="5.42" customWidth="1" style="4373" min="4" max="4"/>
    <col hidden="1" outlineLevel="1" width="5.57" customWidth="1" style="4373" min="5" max="5"/>
    <col hidden="1" outlineLevel="1" width="5.42" customWidth="1" style="4373" min="6" max="7"/>
    <col hidden="1" outlineLevel="1" width="5.57" customWidth="1" style="4373" min="8" max="9"/>
    <col hidden="1" outlineLevel="1" width="5" customWidth="1" style="4373" min="10" max="10"/>
    <col hidden="1" outlineLevel="1" width="5.57" customWidth="1" style="4373" min="11" max="12"/>
    <col hidden="1" outlineLevel="1" width="5.42" customWidth="1" style="4373" min="13" max="13"/>
    <col hidden="1" outlineLevel="1" width="5.57" customWidth="1" style="4373" min="14" max="15"/>
    <col hidden="1" outlineLevel="1" width="5.42" customWidth="1" style="4373" min="16" max="16"/>
    <col hidden="1" outlineLevel="1" width="5.57" customWidth="1" style="4373" min="17" max="17"/>
    <col hidden="1" outlineLevel="1" width="5.42" customWidth="1" style="4373" min="18" max="19"/>
    <col hidden="1" outlineLevel="1" width="5.57" customWidth="1" style="4373" min="20" max="21"/>
    <col hidden="1" outlineLevel="1" width="5" customWidth="1" style="4373" min="22" max="22"/>
    <col hidden="1" outlineLevel="1" width="5.57" customWidth="1" style="4373" min="23" max="24"/>
    <col hidden="1" outlineLevel="1" width="5.42" customWidth="1" style="4373" min="25" max="25"/>
    <col hidden="1" outlineLevel="1" width="5.57" customWidth="1" style="4373" min="26" max="27"/>
    <col hidden="1" outlineLevel="1" width="5.42" customWidth="1" style="4373" min="28" max="28"/>
    <col hidden="1" outlineLevel="1" width="5.57" customWidth="1" style="4373" min="29" max="29"/>
    <col hidden="1" outlineLevel="1" width="5.42" customWidth="1" style="4373" min="30" max="31"/>
    <col hidden="1" outlineLevel="1" width="5.57" customWidth="1" style="4373" min="32" max="33"/>
    <col hidden="1" outlineLevel="1" width="5" customWidth="1" style="4373" min="34" max="34"/>
    <col hidden="1" outlineLevel="1" width="5.57" customWidth="1" style="4373" min="35" max="36"/>
    <col hidden="1" outlineLevel="1" width="5.42" customWidth="1" style="4373" min="37" max="37"/>
    <col hidden="1" outlineLevel="1" width="5.57" customWidth="1" style="4373" min="38" max="39"/>
    <col hidden="1" outlineLevel="1" width="5.42" customWidth="1" style="4373" min="40" max="40"/>
    <col hidden="1" outlineLevel="1" width="5.57" customWidth="1" style="4373" min="41" max="41"/>
    <col hidden="1" outlineLevel="1" width="5.42" customWidth="1" style="4373" min="42" max="43"/>
    <col hidden="1" outlineLevel="1" width="5.57" customWidth="1" style="4373" min="44" max="44"/>
    <col hidden="1" outlineLevel="1" width="5.57" customWidth="1" style="4373" min="45" max="45"/>
    <col width="8.15" customWidth="1" style="4373" min="46" max="50"/>
    <col width="1.42" customWidth="1" style="4373" min="51" max="51"/>
    <col hidden="1" outlineLevel="1" width="6.85" customWidth="1" style="4373" min="52" max="91"/>
    <col hidden="1" outlineLevel="1" width="6.85" customWidth="1" style="4373" min="92" max="92"/>
    <col hidden="1" outlineLevel="1" width="6.85" customWidth="1" style="4373" min="93" max="93"/>
    <col width="8.15" customWidth="1" style="4373" min="94" max="98"/>
    <col width="8.57" customWidth="1" style="4373" min="99" max="16384"/>
  </cols>
  <sheetData>
    <row r="1" ht="22.05" customHeight="1" s="3710">
      <c r="B1" s="4374" t="inlineStr">
        <is>
          <t>Project Name</t>
        </is>
      </c>
    </row>
    <row r="2" ht="12" customHeight="1" s="3710">
      <c r="B2" s="4375">
        <f>C7</f>
        <v/>
      </c>
    </row>
    <row r="3" ht="12" customHeight="1" s="3710">
      <c r="B3" s="4376" t="inlineStr">
        <is>
          <t>Source: TBD</t>
        </is>
      </c>
    </row>
    <row r="4" ht="12" customHeight="1" s="3710">
      <c r="B4" s="4377" t="inlineStr">
        <is>
          <t>WORKING DRAFT</t>
        </is>
      </c>
    </row>
    <row r="5" ht="12" customHeight="1" s="3710"/>
    <row r="6" ht="12" customHeight="1" s="3710"/>
    <row r="7" ht="19.5" customHeight="1" s="3710">
      <c r="C7" s="4378" t="inlineStr">
        <is>
          <t>Billings by customer group</t>
        </is>
      </c>
      <c r="D7" s="4379" t="n"/>
      <c r="E7" s="4379" t="n"/>
      <c r="F7" s="4379" t="n"/>
      <c r="G7" s="4379" t="n"/>
      <c r="H7" s="4379" t="n"/>
      <c r="I7" s="4379" t="n"/>
      <c r="J7" s="4379" t="n"/>
      <c r="K7" s="4379" t="n"/>
      <c r="L7" s="4379" t="n"/>
      <c r="M7" s="4379" t="n"/>
      <c r="N7" s="4379" t="n"/>
      <c r="O7" s="4379" t="n"/>
      <c r="P7" s="4379" t="n"/>
      <c r="Q7" s="4379" t="n"/>
      <c r="R7" s="4379" t="n"/>
      <c r="S7" s="4379" t="n"/>
      <c r="T7" s="4379" t="n"/>
      <c r="U7" s="4379" t="n"/>
      <c r="V7" s="4379" t="n"/>
      <c r="W7" s="4379" t="n"/>
      <c r="X7" s="4379" t="n"/>
      <c r="Y7" s="4379" t="n"/>
      <c r="Z7" s="4379" t="n"/>
      <c r="AA7" s="4379" t="n"/>
      <c r="AB7" s="4379" t="n"/>
      <c r="AC7" s="4379" t="n"/>
      <c r="AD7" s="4379" t="n"/>
      <c r="AE7" s="4379" t="n"/>
      <c r="AF7" s="4379" t="n"/>
      <c r="AG7" s="4379" t="n"/>
      <c r="AH7" s="4379" t="n"/>
      <c r="AI7" s="4379" t="n"/>
      <c r="AJ7" s="4379" t="n"/>
      <c r="AK7" s="4379" t="n"/>
      <c r="AL7" s="4379" t="n"/>
      <c r="AM7" s="4379" t="n"/>
      <c r="AN7" s="4379" t="n"/>
      <c r="AO7" s="4379" t="n"/>
      <c r="AP7" s="4379" t="n"/>
      <c r="AQ7" s="4379" t="n"/>
      <c r="AR7" s="4379" t="n"/>
      <c r="AS7" s="4379" t="n"/>
      <c r="AT7" s="4379" t="n"/>
      <c r="AU7" s="4379" t="n"/>
      <c r="AV7" s="4379" t="n"/>
      <c r="AW7" s="4379" t="n"/>
      <c r="AX7" s="4379" t="n"/>
      <c r="AZ7" s="4379" t="n"/>
      <c r="BA7" s="4379" t="n"/>
      <c r="BB7" s="4379" t="n"/>
      <c r="BC7" s="4379" t="n"/>
      <c r="BD7" s="4379" t="n"/>
      <c r="BE7" s="4379" t="n"/>
      <c r="BF7" s="4379" t="n"/>
      <c r="BG7" s="4379" t="n"/>
      <c r="BH7" s="4379" t="n"/>
      <c r="BI7" s="4379" t="n"/>
      <c r="BJ7" s="4379" t="n"/>
      <c r="BK7" s="4379" t="n"/>
      <c r="BL7" s="4379" t="n"/>
      <c r="BM7" s="4379" t="n"/>
      <c r="BN7" s="4379" t="n"/>
      <c r="BO7" s="4379" t="n"/>
      <c r="BP7" s="4379" t="n"/>
      <c r="BQ7" s="4379" t="n"/>
      <c r="BR7" s="4379" t="n"/>
      <c r="BS7" s="4379" t="n"/>
      <c r="BT7" s="4379" t="n"/>
      <c r="BU7" s="4379" t="n"/>
      <c r="BV7" s="4379" t="n"/>
      <c r="BW7" s="4379" t="n"/>
      <c r="BX7" s="4379" t="n"/>
      <c r="BY7" s="4379" t="n"/>
      <c r="BZ7" s="4379" t="n"/>
      <c r="CA7" s="4379" t="n"/>
      <c r="CB7" s="4379" t="n"/>
      <c r="CC7" s="4379" t="n"/>
      <c r="CD7" s="4379" t="n"/>
      <c r="CE7" s="4379" t="n"/>
      <c r="CF7" s="4379" t="n"/>
      <c r="CG7" s="4379" t="n"/>
      <c r="CH7" s="4379" t="n"/>
      <c r="CI7" s="4379" t="n"/>
      <c r="CJ7" s="4379" t="n"/>
      <c r="CK7" s="4379" t="n"/>
      <c r="CL7" s="4379" t="n"/>
      <c r="CM7" s="4379" t="n"/>
      <c r="CN7" s="4379" t="n"/>
      <c r="CO7" s="4379" t="n"/>
      <c r="CP7" s="4379" t="n"/>
      <c r="CQ7" s="4379" t="n"/>
      <c r="CR7" s="4379" t="n"/>
      <c r="CS7" s="4379" t="n"/>
      <c r="CT7" s="4379" t="n"/>
    </row>
    <row r="8" ht="12" customHeight="1" s="3710">
      <c r="C8" s="4380" t="n"/>
      <c r="D8" s="4381" t="inlineStr">
        <is>
          <t>Billings</t>
        </is>
      </c>
      <c r="E8" s="4382" t="n"/>
      <c r="F8" s="4382" t="n"/>
      <c r="G8" s="4382" t="n"/>
      <c r="H8" s="4382" t="n"/>
      <c r="I8" s="4382" t="n"/>
      <c r="J8" s="4382" t="n"/>
      <c r="K8" s="4382" t="n"/>
      <c r="L8" s="4382" t="n"/>
      <c r="M8" s="4382" t="n"/>
      <c r="N8" s="4382" t="n"/>
      <c r="O8" s="4383" t="n"/>
      <c r="P8" s="4381" t="inlineStr">
        <is>
          <t>Billings</t>
        </is>
      </c>
      <c r="Q8" s="4382" t="n"/>
      <c r="R8" s="4382" t="n"/>
      <c r="S8" s="4382" t="n"/>
      <c r="T8" s="4382" t="n"/>
      <c r="U8" s="4382" t="n"/>
      <c r="V8" s="4382" t="n"/>
      <c r="W8" s="4382" t="n"/>
      <c r="X8" s="4382" t="n"/>
      <c r="Y8" s="4382" t="n"/>
      <c r="Z8" s="4382" t="n"/>
      <c r="AA8" s="4383" t="n"/>
      <c r="AB8" s="4381" t="inlineStr">
        <is>
          <t>Billings</t>
        </is>
      </c>
      <c r="AC8" s="4382" t="n"/>
      <c r="AD8" s="4382" t="n"/>
      <c r="AE8" s="4382" t="n"/>
      <c r="AF8" s="4382" t="n"/>
      <c r="AG8" s="4382" t="n"/>
      <c r="AH8" s="4382" t="n"/>
      <c r="AI8" s="4382" t="n"/>
      <c r="AJ8" s="4382" t="n"/>
      <c r="AK8" s="4382" t="n"/>
      <c r="AL8" s="4382" t="n"/>
      <c r="AM8" s="4383" t="n"/>
      <c r="AN8" s="4381" t="inlineStr">
        <is>
          <t>Billings</t>
        </is>
      </c>
      <c r="AO8" s="4381" t="n"/>
      <c r="AP8" s="4381" t="n"/>
      <c r="AQ8" s="4381" t="n"/>
      <c r="AR8" s="4384" t="n"/>
      <c r="AS8" s="4385" t="n"/>
      <c r="AT8" s="4381" t="inlineStr">
        <is>
          <t>Billings</t>
        </is>
      </c>
      <c r="AU8" s="4381" t="n"/>
      <c r="AV8" s="4381" t="n"/>
      <c r="AW8" s="4382" t="n"/>
      <c r="AX8" s="4382" t="n"/>
      <c r="AZ8" s="4386" t="inlineStr">
        <is>
          <t>As a % of total</t>
        </is>
      </c>
      <c r="BA8" s="4387" t="n"/>
      <c r="BB8" s="4387" t="n"/>
      <c r="BC8" s="4387" t="n"/>
      <c r="BD8" s="4387" t="n"/>
      <c r="BE8" s="4387" t="n"/>
      <c r="BF8" s="4387" t="n"/>
      <c r="BG8" s="4387" t="n"/>
      <c r="BH8" s="4387" t="n"/>
      <c r="BI8" s="4387" t="n"/>
      <c r="BJ8" s="4387" t="n"/>
      <c r="BK8" s="4388" t="n"/>
      <c r="BL8" s="4386" t="inlineStr">
        <is>
          <t>As a % of total</t>
        </is>
      </c>
      <c r="BM8" s="4387" t="n"/>
      <c r="BN8" s="4387" t="n"/>
      <c r="BO8" s="4387" t="n"/>
      <c r="BP8" s="4387" t="n"/>
      <c r="BQ8" s="4387" t="n"/>
      <c r="BR8" s="4387" t="n"/>
      <c r="BS8" s="4387" t="n"/>
      <c r="BT8" s="4387" t="n"/>
      <c r="BU8" s="4387" t="n"/>
      <c r="BV8" s="4387" t="n"/>
      <c r="BW8" s="4388" t="n"/>
      <c r="BX8" s="4386" t="inlineStr">
        <is>
          <t>As a % of total</t>
        </is>
      </c>
      <c r="BY8" s="4387" t="n"/>
      <c r="BZ8" s="4387" t="n"/>
      <c r="CA8" s="4387" t="n"/>
      <c r="CB8" s="4387" t="n"/>
      <c r="CC8" s="4387" t="n"/>
      <c r="CD8" s="4387" t="n"/>
      <c r="CE8" s="4387" t="n"/>
      <c r="CF8" s="4387" t="n"/>
      <c r="CG8" s="4387" t="n"/>
      <c r="CH8" s="4387" t="n"/>
      <c r="CI8" s="4388" t="n"/>
      <c r="CJ8" s="4386" t="inlineStr">
        <is>
          <t>As a % of total</t>
        </is>
      </c>
      <c r="CK8" s="4386" t="n"/>
      <c r="CL8" s="4386" t="n"/>
      <c r="CM8" s="4386" t="n"/>
      <c r="CN8" s="4386" t="n"/>
      <c r="CO8" s="4389" t="n"/>
      <c r="CP8" s="4386" t="inlineStr">
        <is>
          <t>As a % of total</t>
        </is>
      </c>
      <c r="CQ8" s="4386" t="n"/>
      <c r="CR8" s="4386" t="n"/>
      <c r="CS8" s="4387" t="n"/>
      <c r="CT8" s="4387" t="n"/>
    </row>
    <row r="9" ht="21" customHeight="1" s="3710">
      <c r="A9" s="4390" t="n"/>
      <c r="B9" s="4391" t="n"/>
      <c r="C9" s="4380" t="inlineStr">
        <is>
          <t>Line of business</t>
        </is>
      </c>
      <c r="D9" s="4392" t="n">
        <v>44227</v>
      </c>
      <c r="E9" s="4392">
        <f>EOMONTH(D9,1)</f>
        <v/>
      </c>
      <c r="F9" s="4392">
        <f>EOMONTH(E9,1)</f>
        <v/>
      </c>
      <c r="G9" s="4392">
        <f>EOMONTH(F9,1)</f>
        <v/>
      </c>
      <c r="H9" s="4392">
        <f>EOMONTH(G9,1)</f>
        <v/>
      </c>
      <c r="I9" s="4392">
        <f>EOMONTH(H9,1)</f>
        <v/>
      </c>
      <c r="J9" s="4392">
        <f>EOMONTH(I9,1)</f>
        <v/>
      </c>
      <c r="K9" s="4392">
        <f>EOMONTH(J9,1)</f>
        <v/>
      </c>
      <c r="L9" s="4392">
        <f>EOMONTH(K9,1)</f>
        <v/>
      </c>
      <c r="M9" s="4392">
        <f>EOMONTH(L9,1)</f>
        <v/>
      </c>
      <c r="N9" s="4392">
        <f>EOMONTH(M9,1)</f>
        <v/>
      </c>
      <c r="O9" s="4393">
        <f>EOMONTH(N9,1)</f>
        <v/>
      </c>
      <c r="P9" s="4392">
        <f>EOMONTH(O9,1)</f>
        <v/>
      </c>
      <c r="Q9" s="4392">
        <f>EOMONTH(P9,1)</f>
        <v/>
      </c>
      <c r="R9" s="4392">
        <f>EOMONTH(Q9,1)</f>
        <v/>
      </c>
      <c r="S9" s="4392">
        <f>EOMONTH(R9,1)</f>
        <v/>
      </c>
      <c r="T9" s="4392">
        <f>EOMONTH(S9,1)</f>
        <v/>
      </c>
      <c r="U9" s="4392">
        <f>EOMONTH(T9,1)</f>
        <v/>
      </c>
      <c r="V9" s="4392">
        <f>EOMONTH(U9,1)</f>
        <v/>
      </c>
      <c r="W9" s="4392">
        <f>EOMONTH(V9,1)</f>
        <v/>
      </c>
      <c r="X9" s="4392">
        <f>EOMONTH(W9,1)</f>
        <v/>
      </c>
      <c r="Y9" s="4392">
        <f>EOMONTH(X9,1)</f>
        <v/>
      </c>
      <c r="Z9" s="4392">
        <f>EOMONTH(Y9,1)</f>
        <v/>
      </c>
      <c r="AA9" s="4393">
        <f>EOMONTH(Z9,1)</f>
        <v/>
      </c>
      <c r="AB9" s="4392">
        <f>EOMONTH(AA9,1)</f>
        <v/>
      </c>
      <c r="AC9" s="4392">
        <f>EOMONTH(AB9,1)</f>
        <v/>
      </c>
      <c r="AD9" s="4392">
        <f>EOMONTH(AC9,1)</f>
        <v/>
      </c>
      <c r="AE9" s="4392">
        <f>EOMONTH(AD9,1)</f>
        <v/>
      </c>
      <c r="AF9" s="4392">
        <f>EOMONTH(AE9,1)</f>
        <v/>
      </c>
      <c r="AG9" s="4392">
        <f>EOMONTH(AF9,1)</f>
        <v/>
      </c>
      <c r="AH9" s="4392">
        <f>EOMONTH(AG9,1)</f>
        <v/>
      </c>
      <c r="AI9" s="4392">
        <f>EOMONTH(AH9,1)</f>
        <v/>
      </c>
      <c r="AJ9" s="4392">
        <f>EOMONTH(AI9,1)</f>
        <v/>
      </c>
      <c r="AK9" s="4392">
        <f>EOMONTH(AJ9,1)</f>
        <v/>
      </c>
      <c r="AL9" s="4392">
        <f>EOMONTH(AK9,1)</f>
        <v/>
      </c>
      <c r="AM9" s="4393">
        <f>EOMONTH(AL9,1)</f>
        <v/>
      </c>
      <c r="AN9" s="4392">
        <f>EOMONTH(AM9,1)</f>
        <v/>
      </c>
      <c r="AO9" s="4392">
        <f>EOMONTH(AN9,1)</f>
        <v/>
      </c>
      <c r="AP9" s="4392">
        <f>EOMONTH(AO9,1)</f>
        <v/>
      </c>
      <c r="AQ9" s="4392">
        <f>EOMONTH(AP9,1)</f>
        <v/>
      </c>
      <c r="AR9" s="4392">
        <f>EOMONTH(AQ9,1)</f>
        <v/>
      </c>
      <c r="AS9" s="4393">
        <f>EOMONTH(AR9,1)</f>
        <v/>
      </c>
      <c r="AT9" s="4394" t="inlineStr">
        <is>
          <t>FY21</t>
        </is>
      </c>
      <c r="AU9" s="4395" t="inlineStr">
        <is>
          <t>FY22</t>
        </is>
      </c>
      <c r="AV9" s="4395" t="inlineStr">
        <is>
          <t>FY23</t>
        </is>
      </c>
      <c r="AW9" s="4396" t="inlineStr">
        <is>
          <t>TTM
 Apr-24</t>
        </is>
      </c>
      <c r="AX9" s="4397" t="inlineStr">
        <is>
          <t>TTM
 Jun-24</t>
        </is>
      </c>
      <c r="AZ9" s="4398" t="n">
        <v>44227</v>
      </c>
      <c r="BA9" s="4398" t="n">
        <v>44255</v>
      </c>
      <c r="BB9" s="4398" t="n">
        <v>44286</v>
      </c>
      <c r="BC9" s="4398" t="n">
        <v>44316</v>
      </c>
      <c r="BD9" s="4398" t="n">
        <v>44347</v>
      </c>
      <c r="BE9" s="4398" t="n">
        <v>44377</v>
      </c>
      <c r="BF9" s="4398" t="n">
        <v>44408</v>
      </c>
      <c r="BG9" s="4398" t="n">
        <v>44439</v>
      </c>
      <c r="BH9" s="4398" t="n">
        <v>44469</v>
      </c>
      <c r="BI9" s="4398" t="n">
        <v>44500</v>
      </c>
      <c r="BJ9" s="4398" t="n">
        <v>44530</v>
      </c>
      <c r="BK9" s="4399" t="n">
        <v>44561</v>
      </c>
      <c r="BL9" s="4398" t="n">
        <v>44592</v>
      </c>
      <c r="BM9" s="4398" t="n">
        <v>44620</v>
      </c>
      <c r="BN9" s="4398" t="n">
        <v>44651</v>
      </c>
      <c r="BO9" s="4398" t="n">
        <v>44681</v>
      </c>
      <c r="BP9" s="4398" t="n">
        <v>44712</v>
      </c>
      <c r="BQ9" s="4398" t="n">
        <v>44742</v>
      </c>
      <c r="BR9" s="4398" t="n">
        <v>44773</v>
      </c>
      <c r="BS9" s="4398" t="n">
        <v>44804</v>
      </c>
      <c r="BT9" s="4398" t="n">
        <v>44834</v>
      </c>
      <c r="BU9" s="4398" t="n">
        <v>44865</v>
      </c>
      <c r="BV9" s="4398" t="n">
        <v>44895</v>
      </c>
      <c r="BW9" s="4399" t="n">
        <v>44926</v>
      </c>
      <c r="BX9" s="4398" t="n">
        <v>44957</v>
      </c>
      <c r="BY9" s="4398" t="n">
        <v>44985</v>
      </c>
      <c r="BZ9" s="4398" t="n">
        <v>45016</v>
      </c>
      <c r="CA9" s="4398" t="n">
        <v>45046</v>
      </c>
      <c r="CB9" s="4398" t="n">
        <v>45077</v>
      </c>
      <c r="CC9" s="4398" t="n">
        <v>45107</v>
      </c>
      <c r="CD9" s="4398" t="n">
        <v>45138</v>
      </c>
      <c r="CE9" s="4398" t="n">
        <v>45169</v>
      </c>
      <c r="CF9" s="4398" t="n">
        <v>45199</v>
      </c>
      <c r="CG9" s="4398" t="n">
        <v>45230</v>
      </c>
      <c r="CH9" s="4398" t="n">
        <v>45260</v>
      </c>
      <c r="CI9" s="4399" t="n">
        <v>45291</v>
      </c>
      <c r="CJ9" s="4398" t="n">
        <v>45322</v>
      </c>
      <c r="CK9" s="4398" t="n">
        <v>45351</v>
      </c>
      <c r="CL9" s="4398" t="n">
        <v>45382</v>
      </c>
      <c r="CM9" s="4398" t="n">
        <v>45412</v>
      </c>
      <c r="CN9" s="4398" t="n">
        <v>45443</v>
      </c>
      <c r="CO9" s="4399">
        <f>EOMONTH(CN9,1)</f>
        <v/>
      </c>
      <c r="CP9" s="4399" t="inlineStr">
        <is>
          <t>FY21</t>
        </is>
      </c>
      <c r="CQ9" s="4399" t="inlineStr">
        <is>
          <t>FY22</t>
        </is>
      </c>
      <c r="CR9" s="4399" t="inlineStr">
        <is>
          <t>FY23</t>
        </is>
      </c>
      <c r="CS9" s="4400" t="inlineStr">
        <is>
          <t>TTM
 Apr-24</t>
        </is>
      </c>
      <c r="CT9" s="4401" t="inlineStr">
        <is>
          <t>TTM
 Jun-24</t>
        </is>
      </c>
    </row>
    <row r="10" ht="12" customHeight="1" s="3710">
      <c r="C10" s="4402" t="inlineStr">
        <is>
          <t>Credit union</t>
        </is>
      </c>
      <c r="D10" s="4403" t="n">
        <v>2047.34041</v>
      </c>
      <c r="E10" s="4403" t="n"/>
      <c r="F10" s="4403" t="n"/>
      <c r="G10" s="4403" t="n"/>
      <c r="H10" s="4403" t="n"/>
      <c r="I10" s="4403" t="n"/>
      <c r="J10" s="4403" t="n"/>
      <c r="K10" s="4403" t="n"/>
      <c r="L10" s="4403" t="n"/>
      <c r="M10" s="4403" t="n"/>
      <c r="N10" s="4403" t="n"/>
      <c r="O10" s="4404" t="n"/>
      <c r="P10" s="4403" t="n"/>
      <c r="Q10" s="4403" t="n"/>
      <c r="R10" s="4403" t="n"/>
      <c r="S10" s="4403" t="n"/>
      <c r="T10" s="4403" t="n"/>
      <c r="U10" s="4403" t="n"/>
      <c r="V10" s="4403" t="n"/>
      <c r="W10" s="4403" t="n"/>
      <c r="X10" s="4403" t="n"/>
      <c r="Y10" s="4403" t="n"/>
      <c r="Z10" s="4403" t="n"/>
      <c r="AA10" s="4404" t="n"/>
      <c r="AB10" s="4403" t="n"/>
      <c r="AC10" s="4403" t="n"/>
      <c r="AD10" s="4403" t="n"/>
      <c r="AE10" s="4403" t="n"/>
      <c r="AF10" s="4403" t="n"/>
      <c r="AG10" s="4403" t="n"/>
      <c r="AH10" s="4403" t="n"/>
      <c r="AI10" s="4403" t="n"/>
      <c r="AJ10" s="4403" t="n"/>
      <c r="AK10" s="4403" t="n"/>
      <c r="AL10" s="4403" t="n"/>
      <c r="AM10" s="4404" t="n"/>
      <c r="AN10" s="4403" t="n"/>
      <c r="AO10" s="4403" t="n"/>
      <c r="AP10" s="4403" t="n"/>
      <c r="AQ10" s="4403" t="n"/>
      <c r="AR10" s="4403" t="n"/>
      <c r="AS10" s="4405" t="n"/>
      <c r="AT10" s="4403" t="n"/>
      <c r="AU10" s="4403" t="n"/>
      <c r="AV10" s="4403" t="n"/>
      <c r="AW10" s="4403" t="n"/>
      <c r="AX10" s="4403" t="n"/>
      <c r="AZ10" s="4406" t="n"/>
      <c r="BA10" s="4407" t="n"/>
      <c r="BB10" s="4407" t="n"/>
      <c r="BC10" s="4407" t="n"/>
      <c r="BD10" s="4407" t="n"/>
      <c r="BE10" s="4407" t="n"/>
      <c r="BF10" s="4407" t="n"/>
      <c r="BG10" s="4407" t="n"/>
      <c r="BH10" s="4407" t="n"/>
      <c r="BI10" s="4407" t="n"/>
      <c r="BJ10" s="4407" t="n"/>
      <c r="BK10" s="4408" t="n"/>
      <c r="BL10" s="4407" t="n"/>
      <c r="BM10" s="4407" t="n"/>
      <c r="BN10" s="4407" t="n"/>
      <c r="BO10" s="4407" t="n"/>
      <c r="BP10" s="4407" t="n"/>
      <c r="BQ10" s="4407" t="n"/>
      <c r="BR10" s="4407" t="n"/>
      <c r="BS10" s="4407" t="n"/>
      <c r="BT10" s="4407" t="n"/>
      <c r="BU10" s="4407" t="n"/>
      <c r="BV10" s="4407" t="n"/>
      <c r="BW10" s="4408" t="n"/>
      <c r="BX10" s="4407" t="n"/>
      <c r="BY10" s="4407" t="n"/>
      <c r="BZ10" s="4407" t="n"/>
      <c r="CA10" s="4407" t="n"/>
      <c r="CB10" s="4407" t="n"/>
      <c r="CC10" s="4407" t="n"/>
      <c r="CD10" s="4407" t="n"/>
      <c r="CE10" s="4407" t="n"/>
      <c r="CF10" s="4407" t="n"/>
      <c r="CG10" s="4407" t="n"/>
      <c r="CH10" s="4407" t="n"/>
      <c r="CI10" s="4408" t="n"/>
      <c r="CJ10" s="4407" t="n"/>
      <c r="CK10" s="4407" t="n"/>
      <c r="CL10" s="4407" t="n"/>
      <c r="CM10" s="4407" t="n"/>
      <c r="CN10" s="4407" t="n"/>
      <c r="CO10" s="4409" t="n"/>
      <c r="CP10" s="4407" t="n"/>
      <c r="CQ10" s="4407" t="n"/>
      <c r="CR10" s="4407" t="n"/>
      <c r="CS10" s="4407" t="n"/>
      <c r="CT10" s="4407" t="n"/>
    </row>
    <row r="11" ht="12" customHeight="1" s="3710">
      <c r="C11" s="4402" t="n"/>
      <c r="D11" s="4403" t="n">
        <v>645.28246</v>
      </c>
      <c r="E11" s="4403" t="n"/>
      <c r="F11" s="4403" t="n"/>
      <c r="G11" s="4403" t="n"/>
      <c r="H11" s="4403" t="n"/>
      <c r="I11" s="4403" t="n"/>
      <c r="J11" s="4403" t="n"/>
      <c r="K11" s="4403" t="n"/>
      <c r="L11" s="4403" t="n"/>
      <c r="M11" s="4403" t="n"/>
      <c r="N11" s="4403" t="n"/>
      <c r="O11" s="4404" t="n"/>
      <c r="P11" s="4403" t="n"/>
      <c r="Q11" s="4403" t="n"/>
      <c r="R11" s="4403" t="n"/>
      <c r="S11" s="4403" t="n"/>
      <c r="T11" s="4403" t="n"/>
      <c r="U11" s="4403" t="n"/>
      <c r="V11" s="4403" t="n"/>
      <c r="W11" s="4403" t="n"/>
      <c r="X11" s="4403" t="n"/>
      <c r="Y11" s="4403" t="n"/>
      <c r="Z11" s="4403" t="n"/>
      <c r="AA11" s="4404" t="n"/>
      <c r="AB11" s="4403" t="n"/>
      <c r="AC11" s="4403" t="n"/>
      <c r="AD11" s="4403" t="n"/>
      <c r="AE11" s="4403" t="n"/>
      <c r="AF11" s="4403" t="n"/>
      <c r="AG11" s="4403" t="n"/>
      <c r="AH11" s="4403" t="n"/>
      <c r="AI11" s="4403" t="n"/>
      <c r="AJ11" s="4403" t="n"/>
      <c r="AK11" s="4403" t="n"/>
      <c r="AL11" s="4403" t="n"/>
      <c r="AM11" s="4404" t="n"/>
      <c r="AN11" s="4403" t="n"/>
      <c r="AO11" s="4403" t="n"/>
      <c r="AP11" s="4403" t="n"/>
      <c r="AQ11" s="4403" t="n"/>
      <c r="AR11" s="4403" t="n"/>
      <c r="AS11" s="4405" t="n"/>
      <c r="AT11" s="4403" t="n"/>
      <c r="AU11" s="4403" t="n"/>
      <c r="AV11" s="4403" t="n"/>
      <c r="AW11" s="4403" t="n"/>
      <c r="AX11" s="4403" t="n"/>
      <c r="AZ11" s="4407" t="n"/>
      <c r="BA11" s="4407" t="n"/>
      <c r="BB11" s="4407" t="n"/>
      <c r="BC11" s="4407" t="n"/>
      <c r="BD11" s="4407" t="n"/>
      <c r="BE11" s="4407" t="n"/>
      <c r="BF11" s="4407" t="n"/>
      <c r="BG11" s="4407" t="n"/>
      <c r="BH11" s="4407" t="n"/>
      <c r="BI11" s="4407" t="n"/>
      <c r="BJ11" s="4407" t="n"/>
      <c r="BK11" s="4408" t="n"/>
      <c r="BL11" s="4407" t="n"/>
      <c r="BM11" s="4407" t="n"/>
      <c r="BN11" s="4407" t="n"/>
      <c r="BO11" s="4407" t="n"/>
      <c r="BP11" s="4407" t="n"/>
      <c r="BQ11" s="4407" t="n"/>
      <c r="BR11" s="4407" t="n"/>
      <c r="BS11" s="4407" t="n"/>
      <c r="BT11" s="4407" t="n"/>
      <c r="BU11" s="4407" t="n"/>
      <c r="BV11" s="4407" t="n"/>
      <c r="BW11" s="4408" t="n"/>
      <c r="BX11" s="4407" t="n"/>
      <c r="BY11" s="4407" t="n"/>
      <c r="BZ11" s="4407" t="n"/>
      <c r="CA11" s="4407" t="n"/>
      <c r="CB11" s="4407" t="n"/>
      <c r="CC11" s="4407" t="n"/>
      <c r="CD11" s="4407" t="n"/>
      <c r="CE11" s="4407" t="n"/>
      <c r="CF11" s="4407" t="n"/>
      <c r="CG11" s="4407" t="n"/>
      <c r="CH11" s="4407" t="n"/>
      <c r="CI11" s="4408" t="n"/>
      <c r="CJ11" s="4407" t="n"/>
      <c r="CK11" s="4407" t="n"/>
      <c r="CL11" s="4407" t="n"/>
      <c r="CM11" s="4407" t="n"/>
      <c r="CN11" s="4407" t="n"/>
      <c r="CO11" s="4409" t="n"/>
      <c r="CP11" s="4407" t="n"/>
      <c r="CQ11" s="4407" t="n"/>
      <c r="CR11" s="4407" t="n"/>
      <c r="CS11" s="4407" t="n"/>
      <c r="CT11" s="4407" t="n"/>
    </row>
    <row r="12" ht="12" customHeight="1" s="3710">
      <c r="C12" s="4402" t="inlineStr">
        <is>
          <t>Retail host-to-host</t>
        </is>
      </c>
      <c r="D12" s="4403" t="n">
        <v>305.29657</v>
      </c>
      <c r="E12" s="4403" t="n"/>
      <c r="F12" s="4403" t="n"/>
      <c r="G12" s="4403" t="n"/>
      <c r="H12" s="4403" t="n"/>
      <c r="I12" s="4403" t="n"/>
      <c r="J12" s="4403" t="n"/>
      <c r="K12" s="4403" t="n"/>
      <c r="L12" s="4403" t="n"/>
      <c r="M12" s="4403" t="n"/>
      <c r="N12" s="4403" t="n"/>
      <c r="O12" s="4404" t="n"/>
      <c r="P12" s="4403" t="n"/>
      <c r="Q12" s="4403" t="n"/>
      <c r="R12" s="4403" t="n"/>
      <c r="S12" s="4403" t="n"/>
      <c r="T12" s="4403" t="n"/>
      <c r="U12" s="4403" t="n"/>
      <c r="V12" s="4403" t="n"/>
      <c r="W12" s="4403" t="n"/>
      <c r="X12" s="4403" t="n"/>
      <c r="Y12" s="4403" t="n"/>
      <c r="Z12" s="4403" t="n"/>
      <c r="AA12" s="4404" t="n"/>
      <c r="AB12" s="4403" t="n"/>
      <c r="AC12" s="4403" t="n"/>
      <c r="AD12" s="4403" t="n"/>
      <c r="AE12" s="4403" t="n"/>
      <c r="AF12" s="4403" t="n"/>
      <c r="AG12" s="4403" t="n"/>
      <c r="AH12" s="4403" t="n"/>
      <c r="AI12" s="4403" t="n"/>
      <c r="AJ12" s="4403" t="n"/>
      <c r="AK12" s="4403" t="n"/>
      <c r="AL12" s="4403" t="n"/>
      <c r="AM12" s="4404" t="n"/>
      <c r="AN12" s="4403" t="n"/>
      <c r="AO12" s="4403" t="n"/>
      <c r="AP12" s="4403" t="n"/>
      <c r="AQ12" s="4403" t="n"/>
      <c r="AR12" s="4403" t="n"/>
      <c r="AS12" s="4405" t="n"/>
      <c r="AT12" s="4403" t="n"/>
      <c r="AU12" s="4403" t="n"/>
      <c r="AV12" s="4403" t="n"/>
      <c r="AW12" s="4403" t="n"/>
      <c r="AX12" s="4403" t="n"/>
      <c r="AZ12" s="4407" t="n"/>
      <c r="BA12" s="4407" t="n"/>
      <c r="BB12" s="4407" t="n"/>
      <c r="BC12" s="4407" t="n"/>
      <c r="BD12" s="4407" t="n"/>
      <c r="BE12" s="4407" t="n"/>
      <c r="BF12" s="4407" t="n"/>
      <c r="BG12" s="4407" t="n"/>
      <c r="BH12" s="4407" t="n"/>
      <c r="BI12" s="4407" t="n"/>
      <c r="BJ12" s="4407" t="n"/>
      <c r="BK12" s="4408" t="n"/>
      <c r="BL12" s="4407" t="n"/>
      <c r="BM12" s="4407" t="n"/>
      <c r="BN12" s="4407" t="n"/>
      <c r="BO12" s="4407" t="n"/>
      <c r="BP12" s="4407" t="n"/>
      <c r="BQ12" s="4407" t="n"/>
      <c r="BR12" s="4407" t="n"/>
      <c r="BS12" s="4407" t="n"/>
      <c r="BT12" s="4407" t="n"/>
      <c r="BU12" s="4407" t="n"/>
      <c r="BV12" s="4407" t="n"/>
      <c r="BW12" s="4408" t="n"/>
      <c r="BX12" s="4407" t="n"/>
      <c r="BY12" s="4407" t="n"/>
      <c r="BZ12" s="4407" t="n"/>
      <c r="CA12" s="4407" t="n"/>
      <c r="CB12" s="4407" t="n"/>
      <c r="CC12" s="4407" t="n"/>
      <c r="CD12" s="4407" t="n"/>
      <c r="CE12" s="4407" t="n"/>
      <c r="CF12" s="4407" t="n"/>
      <c r="CG12" s="4407" t="n"/>
      <c r="CH12" s="4407" t="n"/>
      <c r="CI12" s="4408" t="n"/>
      <c r="CJ12" s="4407" t="n"/>
      <c r="CK12" s="4407" t="n"/>
      <c r="CL12" s="4407" t="n"/>
      <c r="CM12" s="4407" t="n"/>
      <c r="CN12" s="4407" t="n"/>
      <c r="CO12" s="4409" t="n"/>
      <c r="CP12" s="4407" t="n"/>
      <c r="CQ12" s="4407" t="n"/>
      <c r="CR12" s="4407" t="n"/>
      <c r="CS12" s="4407" t="n"/>
      <c r="CT12" s="4407" t="n"/>
    </row>
    <row r="13" ht="12" customHeight="1" s="3710">
      <c r="C13" s="4402" t="inlineStr">
        <is>
          <t>Banks</t>
        </is>
      </c>
      <c r="D13" s="4403" t="n">
        <v>296.85858</v>
      </c>
      <c r="E13" s="4403" t="n"/>
      <c r="F13" s="4403" t="n"/>
      <c r="G13" s="4403" t="n"/>
      <c r="H13" s="4403" t="n"/>
      <c r="I13" s="4403" t="n"/>
      <c r="J13" s="4403" t="n"/>
      <c r="K13" s="4403" t="n"/>
      <c r="L13" s="4403" t="n"/>
      <c r="M13" s="4403" t="n"/>
      <c r="N13" s="4403" t="n"/>
      <c r="O13" s="4404" t="n"/>
      <c r="P13" s="4403" t="n"/>
      <c r="Q13" s="4403" t="n"/>
      <c r="R13" s="4403" t="n"/>
      <c r="S13" s="4403" t="n"/>
      <c r="T13" s="4403" t="n"/>
      <c r="U13" s="4403" t="n"/>
      <c r="V13" s="4403" t="n"/>
      <c r="W13" s="4403" t="n"/>
      <c r="X13" s="4403" t="n"/>
      <c r="Y13" s="4403" t="n"/>
      <c r="Z13" s="4403" t="n"/>
      <c r="AA13" s="4404" t="n"/>
      <c r="AB13" s="4403" t="n"/>
      <c r="AC13" s="4403" t="n"/>
      <c r="AD13" s="4403" t="n"/>
      <c r="AE13" s="4403" t="n"/>
      <c r="AF13" s="4403" t="n"/>
      <c r="AG13" s="4403" t="n"/>
      <c r="AH13" s="4403" t="n"/>
      <c r="AI13" s="4403" t="n"/>
      <c r="AJ13" s="4403" t="n"/>
      <c r="AK13" s="4403" t="n"/>
      <c r="AL13" s="4403" t="n"/>
      <c r="AM13" s="4404" t="n"/>
      <c r="AN13" s="4403" t="n"/>
      <c r="AO13" s="4403" t="n"/>
      <c r="AP13" s="4403" t="n"/>
      <c r="AQ13" s="4403" t="n"/>
      <c r="AR13" s="4403" t="n"/>
      <c r="AS13" s="4405" t="n"/>
      <c r="AT13" s="4403" t="n"/>
      <c r="AU13" s="4403" t="n"/>
      <c r="AV13" s="4403" t="n"/>
      <c r="AW13" s="4403" t="n"/>
      <c r="AX13" s="4403" t="n"/>
      <c r="AZ13" s="4407" t="n"/>
      <c r="BA13" s="4407" t="n"/>
      <c r="BB13" s="4407" t="n"/>
      <c r="BC13" s="4407" t="n"/>
      <c r="BD13" s="4407" t="n"/>
      <c r="BE13" s="4407" t="n"/>
      <c r="BF13" s="4407" t="n"/>
      <c r="BG13" s="4407" t="n"/>
      <c r="BH13" s="4407" t="n"/>
      <c r="BI13" s="4407" t="n"/>
      <c r="BJ13" s="4407" t="n"/>
      <c r="BK13" s="4408" t="n"/>
      <c r="BL13" s="4407" t="n"/>
      <c r="BM13" s="4407" t="n"/>
      <c r="BN13" s="4407" t="n"/>
      <c r="BO13" s="4407" t="n"/>
      <c r="BP13" s="4407" t="n"/>
      <c r="BQ13" s="4407" t="n"/>
      <c r="BR13" s="4407" t="n"/>
      <c r="BS13" s="4407" t="n"/>
      <c r="BT13" s="4407" t="n"/>
      <c r="BU13" s="4407" t="n"/>
      <c r="BV13" s="4407" t="n"/>
      <c r="BW13" s="4408" t="n"/>
      <c r="BX13" s="4407" t="n"/>
      <c r="BY13" s="4407" t="n"/>
      <c r="BZ13" s="4407" t="n"/>
      <c r="CA13" s="4407" t="n"/>
      <c r="CB13" s="4407" t="n"/>
      <c r="CC13" s="4407" t="n"/>
      <c r="CD13" s="4407" t="n"/>
      <c r="CE13" s="4407" t="n"/>
      <c r="CF13" s="4407" t="n"/>
      <c r="CG13" s="4407" t="n"/>
      <c r="CH13" s="4407" t="n"/>
      <c r="CI13" s="4408" t="n"/>
      <c r="CJ13" s="4407" t="n"/>
      <c r="CK13" s="4407" t="n"/>
      <c r="CL13" s="4407" t="n"/>
      <c r="CM13" s="4407" t="n"/>
      <c r="CN13" s="4407" t="n"/>
      <c r="CO13" s="4409" t="n"/>
      <c r="CP13" s="4407" t="n"/>
      <c r="CQ13" s="4407" t="n"/>
      <c r="CR13" s="4407" t="n"/>
      <c r="CS13" s="4407" t="n"/>
      <c r="CT13" s="4407" t="n"/>
    </row>
    <row r="14" ht="12" customHeight="1" s="3710">
      <c r="C14" s="4402" t="inlineStr">
        <is>
          <t>Partners serving customer</t>
        </is>
      </c>
      <c r="D14" s="4403" t="n">
        <v>2.56536</v>
      </c>
      <c r="E14" s="4403" t="n"/>
      <c r="F14" s="4403" t="n"/>
      <c r="G14" s="4403" t="n"/>
      <c r="H14" s="4403" t="n"/>
      <c r="I14" s="4403" t="n"/>
      <c r="J14" s="4403" t="n"/>
      <c r="K14" s="4403" t="n"/>
      <c r="L14" s="4403" t="n"/>
      <c r="M14" s="4403" t="n"/>
      <c r="N14" s="4403" t="n"/>
      <c r="O14" s="4404" t="n"/>
      <c r="P14" s="4403" t="n"/>
      <c r="Q14" s="4403" t="n"/>
      <c r="R14" s="4403" t="n"/>
      <c r="S14" s="4403" t="n"/>
      <c r="T14" s="4403" t="n"/>
      <c r="U14" s="4403" t="n"/>
      <c r="V14" s="4403" t="n"/>
      <c r="W14" s="4403" t="n"/>
      <c r="X14" s="4403" t="n"/>
      <c r="Y14" s="4403" t="n"/>
      <c r="Z14" s="4403" t="n"/>
      <c r="AA14" s="4404" t="n"/>
      <c r="AB14" s="4403" t="n"/>
      <c r="AC14" s="4403" t="n"/>
      <c r="AD14" s="4403" t="n"/>
      <c r="AE14" s="4403" t="n"/>
      <c r="AF14" s="4403" t="n"/>
      <c r="AG14" s="4403" t="n"/>
      <c r="AH14" s="4403" t="n"/>
      <c r="AI14" s="4403" t="n"/>
      <c r="AJ14" s="4403" t="n"/>
      <c r="AK14" s="4403" t="n"/>
      <c r="AL14" s="4403" t="n"/>
      <c r="AM14" s="4404" t="n"/>
      <c r="AN14" s="4403" t="n"/>
      <c r="AO14" s="4403" t="n"/>
      <c r="AP14" s="4403" t="n"/>
      <c r="AQ14" s="4403" t="n"/>
      <c r="AR14" s="4403" t="n"/>
      <c r="AS14" s="4405" t="n"/>
      <c r="AT14" s="4403" t="n"/>
      <c r="AU14" s="4403" t="n"/>
      <c r="AV14" s="4403" t="n"/>
      <c r="AW14" s="4403" t="n"/>
      <c r="AX14" s="4403" t="n"/>
      <c r="AZ14" s="4407" t="n"/>
      <c r="BA14" s="4407" t="n"/>
      <c r="BB14" s="4407" t="n"/>
      <c r="BC14" s="4407" t="n"/>
      <c r="BD14" s="4407" t="n"/>
      <c r="BE14" s="4407" t="n"/>
      <c r="BF14" s="4407" t="n"/>
      <c r="BG14" s="4407" t="n"/>
      <c r="BH14" s="4407" t="n"/>
      <c r="BI14" s="4407" t="n"/>
      <c r="BJ14" s="4407" t="n"/>
      <c r="BK14" s="4408" t="n"/>
      <c r="BL14" s="4407" t="n"/>
      <c r="BM14" s="4407" t="n"/>
      <c r="BN14" s="4407" t="n"/>
      <c r="BO14" s="4407" t="n"/>
      <c r="BP14" s="4407" t="n"/>
      <c r="BQ14" s="4407" t="n"/>
      <c r="BR14" s="4407" t="n"/>
      <c r="BS14" s="4407" t="n"/>
      <c r="BT14" s="4407" t="n"/>
      <c r="BU14" s="4407" t="n"/>
      <c r="BV14" s="4407" t="n"/>
      <c r="BW14" s="4408" t="n"/>
      <c r="BX14" s="4407" t="n"/>
      <c r="BY14" s="4407" t="n"/>
      <c r="BZ14" s="4407" t="n"/>
      <c r="CA14" s="4407" t="n"/>
      <c r="CB14" s="4407" t="n"/>
      <c r="CC14" s="4407" t="n"/>
      <c r="CD14" s="4407" t="n"/>
      <c r="CE14" s="4407" t="n"/>
      <c r="CF14" s="4407" t="n"/>
      <c r="CG14" s="4407" t="n"/>
      <c r="CH14" s="4407" t="n"/>
      <c r="CI14" s="4408" t="n"/>
      <c r="CJ14" s="4407" t="n"/>
      <c r="CK14" s="4407" t="n"/>
      <c r="CL14" s="4407" t="n"/>
      <c r="CM14" s="4407" t="n"/>
      <c r="CN14" s="4407" t="n"/>
      <c r="CO14" s="4409" t="n"/>
      <c r="CP14" s="4407" t="n"/>
      <c r="CQ14" s="4407" t="n"/>
      <c r="CR14" s="4407" t="n"/>
      <c r="CS14" s="4407" t="n"/>
      <c r="CT14" s="4407" t="n"/>
    </row>
    <row r="15" ht="12" customHeight="1" s="3710">
      <c r="C15" s="4402" t="inlineStr">
        <is>
          <t>Retail ISO</t>
        </is>
      </c>
      <c r="D15" s="4403" t="n">
        <v>51.15826</v>
      </c>
      <c r="E15" s="4403" t="n"/>
      <c r="F15" s="4403" t="n"/>
      <c r="G15" s="4403" t="n"/>
      <c r="H15" s="4403" t="n"/>
      <c r="I15" s="4403" t="n"/>
      <c r="J15" s="4403" t="n"/>
      <c r="K15" s="4403" t="n"/>
      <c r="L15" s="4403" t="n"/>
      <c r="M15" s="4403" t="n"/>
      <c r="N15" s="4403" t="n"/>
      <c r="O15" s="4404" t="n"/>
      <c r="P15" s="4403" t="n"/>
      <c r="Q15" s="4403" t="n"/>
      <c r="R15" s="4403" t="n"/>
      <c r="S15" s="4403" t="n"/>
      <c r="T15" s="4403" t="n"/>
      <c r="U15" s="4403" t="n"/>
      <c r="V15" s="4403" t="n"/>
      <c r="W15" s="4403" t="n"/>
      <c r="X15" s="4403" t="n"/>
      <c r="Y15" s="4403" t="n"/>
      <c r="Z15" s="4403" t="n"/>
      <c r="AA15" s="4404" t="n"/>
      <c r="AB15" s="4403" t="n"/>
      <c r="AC15" s="4403" t="n"/>
      <c r="AD15" s="4403" t="n"/>
      <c r="AE15" s="4403" t="n"/>
      <c r="AF15" s="4403" t="n"/>
      <c r="AG15" s="4403" t="n"/>
      <c r="AH15" s="4403" t="n"/>
      <c r="AI15" s="4403" t="n"/>
      <c r="AJ15" s="4403" t="n"/>
      <c r="AK15" s="4403" t="n"/>
      <c r="AL15" s="4403" t="n"/>
      <c r="AM15" s="4404" t="n"/>
      <c r="AN15" s="4403" t="n"/>
      <c r="AO15" s="4403" t="n"/>
      <c r="AP15" s="4403" t="n"/>
      <c r="AQ15" s="4403" t="n"/>
      <c r="AR15" s="4403" t="n"/>
      <c r="AS15" s="4405" t="n"/>
      <c r="AT15" s="4403" t="n"/>
      <c r="AU15" s="4403" t="n"/>
      <c r="AV15" s="4403" t="n"/>
      <c r="AW15" s="4403" t="n"/>
      <c r="AX15" s="4403" t="n"/>
      <c r="AZ15" s="4407" t="n"/>
      <c r="BA15" s="4407" t="n"/>
      <c r="BB15" s="4407" t="n"/>
      <c r="BC15" s="4407" t="n"/>
      <c r="BD15" s="4407" t="n"/>
      <c r="BE15" s="4407" t="n"/>
      <c r="BF15" s="4407" t="n"/>
      <c r="BG15" s="4407" t="n"/>
      <c r="BH15" s="4407" t="n"/>
      <c r="BI15" s="4407" t="n"/>
      <c r="BJ15" s="4407" t="n"/>
      <c r="BK15" s="4408" t="n"/>
      <c r="BL15" s="4407" t="n"/>
      <c r="BM15" s="4407" t="n"/>
      <c r="BN15" s="4407" t="n"/>
      <c r="BO15" s="4407" t="n"/>
      <c r="BP15" s="4407" t="n"/>
      <c r="BQ15" s="4407" t="n"/>
      <c r="BR15" s="4407" t="n"/>
      <c r="BS15" s="4407" t="n"/>
      <c r="BT15" s="4407" t="n"/>
      <c r="BU15" s="4407" t="n"/>
      <c r="BV15" s="4407" t="n"/>
      <c r="BW15" s="4408" t="n"/>
      <c r="BX15" s="4407" t="n"/>
      <c r="BY15" s="4407" t="n"/>
      <c r="BZ15" s="4407" t="n"/>
      <c r="CA15" s="4407" t="n"/>
      <c r="CB15" s="4407" t="n"/>
      <c r="CC15" s="4407" t="n"/>
      <c r="CD15" s="4407" t="n"/>
      <c r="CE15" s="4407" t="n"/>
      <c r="CF15" s="4407" t="n"/>
      <c r="CG15" s="4407" t="n"/>
      <c r="CH15" s="4407" t="n"/>
      <c r="CI15" s="4408" t="n"/>
      <c r="CJ15" s="4407" t="n"/>
      <c r="CK15" s="4407" t="n"/>
      <c r="CL15" s="4407" t="n"/>
      <c r="CM15" s="4407" t="n"/>
      <c r="CN15" s="4407" t="n"/>
      <c r="CO15" s="4409" t="n"/>
      <c r="CP15" s="4407" t="n"/>
      <c r="CQ15" s="4407" t="n"/>
      <c r="CR15" s="4407" t="n"/>
      <c r="CS15" s="4407" t="n"/>
      <c r="CT15" s="4407" t="n"/>
    </row>
    <row r="16" ht="12" customHeight="1" s="3710">
      <c r="C16" s="4402" t="inlineStr">
        <is>
          <t>Digital</t>
        </is>
      </c>
      <c r="D16" s="4403" t="n">
        <v>0</v>
      </c>
      <c r="E16" s="4403" t="n"/>
      <c r="F16" s="4403" t="n"/>
      <c r="G16" s="4403" t="n"/>
      <c r="H16" s="4403" t="n"/>
      <c r="I16" s="4403" t="n"/>
      <c r="J16" s="4403" t="n"/>
      <c r="K16" s="4403" t="n"/>
      <c r="L16" s="4403" t="n"/>
      <c r="M16" s="4403" t="n"/>
      <c r="N16" s="4403" t="n"/>
      <c r="O16" s="4404" t="n"/>
      <c r="P16" s="4403" t="n"/>
      <c r="Q16" s="4403" t="n"/>
      <c r="R16" s="4403" t="n"/>
      <c r="S16" s="4403" t="n"/>
      <c r="T16" s="4403" t="n"/>
      <c r="U16" s="4403" t="n"/>
      <c r="V16" s="4403" t="n"/>
      <c r="W16" s="4403" t="n"/>
      <c r="X16" s="4403" t="n"/>
      <c r="Y16" s="4403" t="n"/>
      <c r="Z16" s="4403" t="n"/>
      <c r="AA16" s="4404" t="n"/>
      <c r="AB16" s="4403" t="n"/>
      <c r="AC16" s="4403" t="n"/>
      <c r="AD16" s="4403" t="n"/>
      <c r="AE16" s="4403" t="n"/>
      <c r="AF16" s="4403" t="n"/>
      <c r="AG16" s="4403" t="n"/>
      <c r="AH16" s="4403" t="n"/>
      <c r="AI16" s="4403" t="n"/>
      <c r="AJ16" s="4403" t="n"/>
      <c r="AK16" s="4403" t="n"/>
      <c r="AL16" s="4403" t="n"/>
      <c r="AM16" s="4404" t="n"/>
      <c r="AN16" s="4403" t="n"/>
      <c r="AO16" s="4403" t="n"/>
      <c r="AP16" s="4403" t="n"/>
      <c r="AQ16" s="4403" t="n"/>
      <c r="AR16" s="4403" t="n"/>
      <c r="AS16" s="4405" t="n"/>
      <c r="AT16" s="4403" t="n"/>
      <c r="AU16" s="4403" t="n"/>
      <c r="AV16" s="4403" t="n"/>
      <c r="AW16" s="4403" t="n"/>
      <c r="AX16" s="4403" t="n"/>
      <c r="AZ16" s="4407" t="n"/>
      <c r="BA16" s="4407" t="n"/>
      <c r="BB16" s="4407" t="n"/>
      <c r="BC16" s="4407" t="n"/>
      <c r="BD16" s="4407" t="n"/>
      <c r="BE16" s="4407" t="n"/>
      <c r="BF16" s="4407" t="n"/>
      <c r="BG16" s="4407" t="n"/>
      <c r="BH16" s="4407" t="n"/>
      <c r="BI16" s="4407" t="n"/>
      <c r="BJ16" s="4407" t="n"/>
      <c r="BK16" s="4408" t="n"/>
      <c r="BL16" s="4407" t="n"/>
      <c r="BM16" s="4407" t="n"/>
      <c r="BN16" s="4407" t="n"/>
      <c r="BO16" s="4407" t="n"/>
      <c r="BP16" s="4407" t="n"/>
      <c r="BQ16" s="4407" t="n"/>
      <c r="BR16" s="4407" t="n"/>
      <c r="BS16" s="4407" t="n"/>
      <c r="BT16" s="4407" t="n"/>
      <c r="BU16" s="4407" t="n"/>
      <c r="BV16" s="4407" t="n"/>
      <c r="BW16" s="4408" t="n"/>
      <c r="BX16" s="4407" t="n"/>
      <c r="BY16" s="4407" t="n"/>
      <c r="BZ16" s="4407" t="n"/>
      <c r="CA16" s="4407" t="n"/>
      <c r="CB16" s="4407" t="n"/>
      <c r="CC16" s="4407" t="n"/>
      <c r="CD16" s="4407" t="n"/>
      <c r="CE16" s="4407" t="n"/>
      <c r="CF16" s="4407" t="n"/>
      <c r="CG16" s="4407" t="n"/>
      <c r="CH16" s="4407" t="n"/>
      <c r="CI16" s="4408" t="n"/>
      <c r="CJ16" s="4407" t="n"/>
      <c r="CK16" s="4407" t="n"/>
      <c r="CL16" s="4407" t="n"/>
      <c r="CM16" s="4407" t="n"/>
      <c r="CN16" s="4407" t="n"/>
      <c r="CO16" s="4409" t="n"/>
      <c r="CP16" s="4407" t="n"/>
      <c r="CQ16" s="4407" t="n"/>
      <c r="CR16" s="4407" t="n"/>
      <c r="CS16" s="4407" t="n"/>
      <c r="CT16" s="4407" t="n"/>
    </row>
    <row r="17" ht="12" customHeight="1" s="3710">
      <c r="C17" s="4402" t="inlineStr">
        <is>
          <t>White label ATM</t>
        </is>
      </c>
      <c r="D17" s="4403" t="n">
        <v>20.76152</v>
      </c>
      <c r="E17" s="4403" t="n"/>
      <c r="F17" s="4403" t="n"/>
      <c r="G17" s="4403" t="n"/>
      <c r="H17" s="4403" t="n"/>
      <c r="I17" s="4403" t="n"/>
      <c r="J17" s="4403" t="n"/>
      <c r="K17" s="4403" t="n"/>
      <c r="L17" s="4403" t="n"/>
      <c r="M17" s="4403" t="n"/>
      <c r="N17" s="4403" t="n"/>
      <c r="O17" s="4404" t="n"/>
      <c r="P17" s="4403" t="n"/>
      <c r="Q17" s="4403" t="n"/>
      <c r="R17" s="4403" t="n"/>
      <c r="S17" s="4403" t="n"/>
      <c r="T17" s="4403" t="n"/>
      <c r="U17" s="4403" t="n"/>
      <c r="V17" s="4403" t="n"/>
      <c r="W17" s="4403" t="n"/>
      <c r="X17" s="4403" t="n"/>
      <c r="Y17" s="4403" t="n"/>
      <c r="Z17" s="4403" t="n"/>
      <c r="AA17" s="4404" t="n"/>
      <c r="AB17" s="4403" t="n"/>
      <c r="AC17" s="4403" t="n"/>
      <c r="AD17" s="4403" t="n"/>
      <c r="AE17" s="4403" t="n"/>
      <c r="AF17" s="4403" t="n"/>
      <c r="AG17" s="4403" t="n"/>
      <c r="AH17" s="4403" t="n"/>
      <c r="AI17" s="4403" t="n"/>
      <c r="AJ17" s="4403" t="n"/>
      <c r="AK17" s="4403" t="n"/>
      <c r="AL17" s="4403" t="n"/>
      <c r="AM17" s="4404" t="n"/>
      <c r="AN17" s="4403" t="n"/>
      <c r="AO17" s="4403" t="n"/>
      <c r="AP17" s="4403" t="n"/>
      <c r="AQ17" s="4403" t="n"/>
      <c r="AR17" s="4403" t="n"/>
      <c r="AS17" s="4405" t="n"/>
      <c r="AT17" s="4403" t="n"/>
      <c r="AU17" s="4403" t="n"/>
      <c r="AV17" s="4403" t="n"/>
      <c r="AW17" s="4403" t="n"/>
      <c r="AX17" s="4403" t="n"/>
      <c r="AZ17" s="4407" t="n"/>
      <c r="BA17" s="4407" t="n"/>
      <c r="BB17" s="4407" t="n"/>
      <c r="BC17" s="4407" t="n"/>
      <c r="BD17" s="4407" t="n"/>
      <c r="BE17" s="4407" t="n"/>
      <c r="BF17" s="4407" t="n"/>
      <c r="BG17" s="4407" t="n"/>
      <c r="BH17" s="4407" t="n"/>
      <c r="BI17" s="4407" t="n"/>
      <c r="BJ17" s="4407" t="n"/>
      <c r="BK17" s="4408" t="n"/>
      <c r="BL17" s="4407" t="n"/>
      <c r="BM17" s="4407" t="n"/>
      <c r="BN17" s="4407" t="n"/>
      <c r="BO17" s="4407" t="n"/>
      <c r="BP17" s="4407" t="n"/>
      <c r="BQ17" s="4407" t="n"/>
      <c r="BR17" s="4407" t="n"/>
      <c r="BS17" s="4407" t="n"/>
      <c r="BT17" s="4407" t="n"/>
      <c r="BU17" s="4407" t="n"/>
      <c r="BV17" s="4407" t="n"/>
      <c r="BW17" s="4408" t="n"/>
      <c r="BX17" s="4407" t="n"/>
      <c r="BY17" s="4407" t="n"/>
      <c r="BZ17" s="4407" t="n"/>
      <c r="CA17" s="4407" t="n"/>
      <c r="CB17" s="4407" t="n"/>
      <c r="CC17" s="4407" t="n"/>
      <c r="CD17" s="4407" t="n"/>
      <c r="CE17" s="4407" t="n"/>
      <c r="CF17" s="4407" t="n"/>
      <c r="CG17" s="4407" t="n"/>
      <c r="CH17" s="4407" t="n"/>
      <c r="CI17" s="4408" t="n"/>
      <c r="CJ17" s="4407" t="n"/>
      <c r="CK17" s="4407" t="n"/>
      <c r="CL17" s="4407" t="n"/>
      <c r="CM17" s="4407" t="n"/>
      <c r="CN17" s="4407" t="n"/>
      <c r="CO17" s="4409" t="n"/>
      <c r="CP17" s="4407" t="n"/>
      <c r="CQ17" s="4407" t="n"/>
      <c r="CR17" s="4407" t="n"/>
      <c r="CS17" s="4407" t="n"/>
      <c r="CT17" s="4407" t="n"/>
    </row>
    <row r="18" hidden="1" outlineLevel="1" ht="12" customHeight="1" s="3710">
      <c r="C18" s="4410" t="inlineStr">
        <is>
          <t>Sublet of office space</t>
        </is>
      </c>
      <c r="D18" s="4403" t="n">
        <v>0</v>
      </c>
      <c r="E18" s="4403" t="n"/>
      <c r="F18" s="4403" t="n"/>
      <c r="G18" s="4403" t="n"/>
      <c r="H18" s="4403" t="n"/>
      <c r="I18" s="4403" t="n"/>
      <c r="J18" s="4403" t="n"/>
      <c r="K18" s="4403" t="n"/>
      <c r="L18" s="4403" t="n"/>
      <c r="M18" s="4403" t="n"/>
      <c r="N18" s="4403" t="n"/>
      <c r="O18" s="4404" t="n"/>
      <c r="P18" s="4403" t="n"/>
      <c r="Q18" s="4403" t="n"/>
      <c r="R18" s="4403" t="n"/>
      <c r="S18" s="4403" t="n"/>
      <c r="T18" s="4403" t="n"/>
      <c r="U18" s="4403" t="n"/>
      <c r="V18" s="4403" t="n"/>
      <c r="W18" s="4403" t="n"/>
      <c r="X18" s="4403" t="n"/>
      <c r="Y18" s="4403" t="n"/>
      <c r="Z18" s="4403" t="n"/>
      <c r="AA18" s="4404" t="n"/>
      <c r="AB18" s="4403" t="n"/>
      <c r="AC18" s="4403" t="n"/>
      <c r="AD18" s="4403" t="n"/>
      <c r="AE18" s="4403" t="n"/>
      <c r="AF18" s="4403" t="n"/>
      <c r="AG18" s="4403" t="n"/>
      <c r="AH18" s="4403" t="n"/>
      <c r="AI18" s="4403" t="n"/>
      <c r="AJ18" s="4403" t="n"/>
      <c r="AK18" s="4403" t="n"/>
      <c r="AL18" s="4403" t="n"/>
      <c r="AM18" s="4404" t="n"/>
      <c r="AN18" s="4403" t="n"/>
      <c r="AO18" s="4403" t="n"/>
      <c r="AP18" s="4403" t="n"/>
      <c r="AQ18" s="4403" t="n"/>
      <c r="AR18" s="4403" t="n"/>
      <c r="AS18" s="4405" t="n"/>
      <c r="AT18" s="4403" t="n"/>
      <c r="AU18" s="4403" t="n"/>
      <c r="AV18" s="4403" t="n"/>
      <c r="AW18" s="4403" t="n"/>
      <c r="AX18" s="4403" t="n"/>
      <c r="AZ18" s="4407" t="n"/>
      <c r="BA18" s="4407" t="n"/>
      <c r="BB18" s="4407" t="n"/>
      <c r="BC18" s="4407" t="n"/>
      <c r="BD18" s="4407" t="n"/>
      <c r="BE18" s="4407" t="n"/>
      <c r="BF18" s="4407" t="n"/>
      <c r="BG18" s="4407" t="n"/>
      <c r="BH18" s="4407" t="n"/>
      <c r="BI18" s="4407" t="n"/>
      <c r="BJ18" s="4407" t="n"/>
      <c r="BK18" s="4408" t="n"/>
      <c r="BL18" s="4407" t="n"/>
      <c r="BM18" s="4407" t="n"/>
      <c r="BN18" s="4407" t="n"/>
      <c r="BO18" s="4407" t="n"/>
      <c r="BP18" s="4407" t="n"/>
      <c r="BQ18" s="4407" t="n"/>
      <c r="BR18" s="4407" t="n"/>
      <c r="BS18" s="4407" t="n"/>
      <c r="BT18" s="4407" t="n"/>
      <c r="BU18" s="4407" t="n"/>
      <c r="BV18" s="4407" t="n"/>
      <c r="BW18" s="4408" t="n"/>
      <c r="BX18" s="4407" t="n"/>
      <c r="BY18" s="4407" t="n"/>
      <c r="BZ18" s="4407" t="n"/>
      <c r="CA18" s="4407" t="n"/>
      <c r="CB18" s="4407" t="n"/>
      <c r="CC18" s="4407" t="n"/>
      <c r="CD18" s="4407" t="n"/>
      <c r="CE18" s="4407" t="n"/>
      <c r="CF18" s="4407" t="n"/>
      <c r="CG18" s="4407" t="n"/>
      <c r="CH18" s="4407" t="n"/>
      <c r="CI18" s="4408" t="n"/>
      <c r="CJ18" s="4407" t="n"/>
      <c r="CK18" s="4407" t="n"/>
      <c r="CL18" s="4407" t="n"/>
      <c r="CM18" s="4407" t="n"/>
      <c r="CN18" s="4407" t="n"/>
      <c r="CO18" s="4409" t="n"/>
      <c r="CP18" s="4407" t="n"/>
      <c r="CQ18" s="4407" t="n"/>
      <c r="CR18" s="4407" t="n"/>
      <c r="CS18" s="4407" t="n"/>
      <c r="CT18" s="4407" t="n"/>
    </row>
    <row r="19" hidden="1" outlineLevel="1" ht="12" customHeight="1" s="3710">
      <c r="C19" s="4411" t="inlineStr">
        <is>
          <t>Banks other</t>
        </is>
      </c>
      <c r="D19" s="4412" t="n">
        <v>0</v>
      </c>
      <c r="E19" s="4412" t="n"/>
      <c r="F19" s="4412" t="n"/>
      <c r="G19" s="4412" t="n"/>
      <c r="H19" s="4412" t="n"/>
      <c r="I19" s="4412" t="n"/>
      <c r="J19" s="4412" t="n"/>
      <c r="K19" s="4412" t="n"/>
      <c r="L19" s="4412" t="n"/>
      <c r="M19" s="4412" t="n"/>
      <c r="N19" s="4412" t="n"/>
      <c r="O19" s="4413" t="n"/>
      <c r="P19" s="4412" t="n"/>
      <c r="Q19" s="4412" t="n"/>
      <c r="R19" s="4412" t="n"/>
      <c r="S19" s="4412" t="n"/>
      <c r="T19" s="4412" t="n"/>
      <c r="U19" s="4412" t="n"/>
      <c r="V19" s="4412" t="n"/>
      <c r="W19" s="4412" t="n"/>
      <c r="X19" s="4412" t="n"/>
      <c r="Y19" s="4412" t="n"/>
      <c r="Z19" s="4412" t="n"/>
      <c r="AA19" s="4413" t="n"/>
      <c r="AB19" s="4412" t="n"/>
      <c r="AC19" s="4412" t="n"/>
      <c r="AD19" s="4412" t="n"/>
      <c r="AE19" s="4412" t="n"/>
      <c r="AF19" s="4412" t="n"/>
      <c r="AG19" s="4412" t="n"/>
      <c r="AH19" s="4412" t="n"/>
      <c r="AI19" s="4412" t="n"/>
      <c r="AJ19" s="4412" t="n"/>
      <c r="AK19" s="4412" t="n"/>
      <c r="AL19" s="4412" t="n"/>
      <c r="AM19" s="4413" t="n"/>
      <c r="AN19" s="4412" t="n"/>
      <c r="AO19" s="4412" t="n"/>
      <c r="AP19" s="4412" t="n"/>
      <c r="AQ19" s="4412" t="n"/>
      <c r="AR19" s="4412" t="n"/>
      <c r="AS19" s="4414" t="n"/>
      <c r="AT19" s="4412" t="n"/>
      <c r="AU19" s="4412" t="n"/>
      <c r="AV19" s="4412" t="n"/>
      <c r="AW19" s="4412" t="n"/>
      <c r="AX19" s="4412" t="n"/>
      <c r="AZ19" s="4415" t="n"/>
      <c r="BA19" s="4415" t="n"/>
      <c r="BB19" s="4415" t="n"/>
      <c r="BC19" s="4415" t="n"/>
      <c r="BD19" s="4415" t="n"/>
      <c r="BE19" s="4415" t="n"/>
      <c r="BF19" s="4415" t="n"/>
      <c r="BG19" s="4415" t="n"/>
      <c r="BH19" s="4415" t="n"/>
      <c r="BI19" s="4415" t="n"/>
      <c r="BJ19" s="4415" t="n"/>
      <c r="BK19" s="4416" t="n"/>
      <c r="BL19" s="4415" t="n"/>
      <c r="BM19" s="4415" t="n"/>
      <c r="BN19" s="4415" t="n"/>
      <c r="BO19" s="4415" t="n"/>
      <c r="BP19" s="4415" t="n"/>
      <c r="BQ19" s="4415" t="n"/>
      <c r="BR19" s="4415" t="n"/>
      <c r="BS19" s="4415" t="n"/>
      <c r="BT19" s="4415" t="n"/>
      <c r="BU19" s="4415" t="n"/>
      <c r="BV19" s="4415" t="n"/>
      <c r="BW19" s="4416" t="n"/>
      <c r="BX19" s="4415" t="n"/>
      <c r="BY19" s="4415" t="n"/>
      <c r="BZ19" s="4415" t="n"/>
      <c r="CA19" s="4415" t="n"/>
      <c r="CB19" s="4415" t="n"/>
      <c r="CC19" s="4415" t="n"/>
      <c r="CD19" s="4415" t="n"/>
      <c r="CE19" s="4415" t="n"/>
      <c r="CF19" s="4415" t="n"/>
      <c r="CG19" s="4415" t="n"/>
      <c r="CH19" s="4415" t="n"/>
      <c r="CI19" s="4416" t="n"/>
      <c r="CJ19" s="4415" t="n"/>
      <c r="CK19" s="4415" t="n"/>
      <c r="CL19" s="4415" t="n"/>
      <c r="CM19" s="4415" t="n"/>
      <c r="CN19" s="4415" t="n"/>
      <c r="CO19" s="4417" t="n"/>
      <c r="CP19" s="4415" t="n"/>
      <c r="CQ19" s="4415" t="n"/>
      <c r="CR19" s="4415" t="n"/>
      <c r="CS19" s="4415" t="n"/>
      <c r="CT19" s="4415" t="n"/>
    </row>
    <row r="20" ht="12" customHeight="1" s="3710">
      <c r="C20" s="4402" t="inlineStr">
        <is>
          <t>Other</t>
        </is>
      </c>
      <c r="D20" s="4403">
        <f>SUM(D18:D19)</f>
        <v/>
      </c>
      <c r="E20" s="4403" t="n"/>
      <c r="F20" s="4403" t="n"/>
      <c r="G20" s="4403" t="n"/>
      <c r="H20" s="4403" t="n"/>
      <c r="I20" s="4403" t="n"/>
      <c r="J20" s="4403" t="n"/>
      <c r="K20" s="4403" t="n"/>
      <c r="L20" s="4403" t="n"/>
      <c r="M20" s="4403" t="n"/>
      <c r="N20" s="4403" t="n"/>
      <c r="O20" s="4404" t="n"/>
      <c r="P20" s="4403" t="n"/>
      <c r="Q20" s="4403" t="n"/>
      <c r="R20" s="4403" t="n"/>
      <c r="S20" s="4403" t="n"/>
      <c r="T20" s="4403" t="n"/>
      <c r="U20" s="4403" t="n"/>
      <c r="V20" s="4403" t="n"/>
      <c r="W20" s="4403" t="n"/>
      <c r="X20" s="4403" t="n"/>
      <c r="Y20" s="4403" t="n"/>
      <c r="Z20" s="4403" t="n"/>
      <c r="AA20" s="4404" t="n"/>
      <c r="AB20" s="4403" t="n"/>
      <c r="AC20" s="4403" t="n"/>
      <c r="AD20" s="4403" t="n"/>
      <c r="AE20" s="4403" t="n"/>
      <c r="AF20" s="4403" t="n"/>
      <c r="AG20" s="4403" t="n"/>
      <c r="AH20" s="4403" t="n"/>
      <c r="AI20" s="4403" t="n"/>
      <c r="AJ20" s="4403" t="n"/>
      <c r="AK20" s="4403" t="n"/>
      <c r="AL20" s="4403" t="n"/>
      <c r="AM20" s="4404" t="n"/>
      <c r="AN20" s="4403" t="n"/>
      <c r="AO20" s="4403" t="n"/>
      <c r="AP20" s="4403" t="n"/>
      <c r="AQ20" s="4403" t="n"/>
      <c r="AR20" s="4403" t="n"/>
      <c r="AS20" s="4405" t="n"/>
      <c r="AT20" s="4403" t="n"/>
      <c r="AU20" s="4403" t="n"/>
      <c r="AV20" s="4403" t="n"/>
      <c r="AW20" s="4403" t="n"/>
      <c r="AX20" s="4403" t="n"/>
      <c r="AZ20" s="4407" t="n"/>
      <c r="BA20" s="4407" t="n"/>
      <c r="BB20" s="4407" t="n"/>
      <c r="BC20" s="4407" t="n"/>
      <c r="BD20" s="4407" t="n"/>
      <c r="BE20" s="4407" t="n"/>
      <c r="BF20" s="4407" t="n"/>
      <c r="BG20" s="4407" t="n"/>
      <c r="BH20" s="4407" t="n"/>
      <c r="BI20" s="4407" t="n"/>
      <c r="BJ20" s="4407" t="n"/>
      <c r="BK20" s="4408" t="n"/>
      <c r="BL20" s="4407" t="n"/>
      <c r="BM20" s="4407" t="n"/>
      <c r="BN20" s="4407" t="n"/>
      <c r="BO20" s="4407" t="n"/>
      <c r="BP20" s="4407" t="n"/>
      <c r="BQ20" s="4407" t="n"/>
      <c r="BR20" s="4407" t="n"/>
      <c r="BS20" s="4407" t="n"/>
      <c r="BT20" s="4407" t="n"/>
      <c r="BU20" s="4407" t="n"/>
      <c r="BV20" s="4407" t="n"/>
      <c r="BW20" s="4408" t="n"/>
      <c r="BX20" s="4407" t="n"/>
      <c r="BY20" s="4407" t="n"/>
      <c r="BZ20" s="4407" t="n"/>
      <c r="CA20" s="4407" t="n"/>
      <c r="CB20" s="4407" t="n"/>
      <c r="CC20" s="4407" t="n"/>
      <c r="CD20" s="4407" t="n"/>
      <c r="CE20" s="4407" t="n"/>
      <c r="CF20" s="4407" t="n"/>
      <c r="CG20" s="4407" t="n"/>
      <c r="CH20" s="4407" t="n"/>
      <c r="CI20" s="4408" t="n"/>
      <c r="CJ20" s="4407" t="n"/>
      <c r="CK20" s="4407" t="n"/>
      <c r="CL20" s="4407" t="n"/>
      <c r="CM20" s="4407" t="n"/>
      <c r="CN20" s="4407" t="n"/>
      <c r="CO20" s="4409" t="n"/>
      <c r="CP20" s="4407" t="n"/>
      <c r="CQ20" s="4407" t="n"/>
      <c r="CR20" s="4407" t="n"/>
      <c r="CS20" s="4407" t="n"/>
      <c r="CT20" s="4407" t="n"/>
    </row>
    <row r="21" ht="12" customHeight="1" s="3710">
      <c r="C21" s="4418" t="inlineStr">
        <is>
          <t>Total</t>
        </is>
      </c>
      <c r="D21" s="4419">
        <f>SUM(D10:D17,D20)</f>
        <v/>
      </c>
      <c r="E21" s="4419">
        <f>SUM(E10:E17,E20)</f>
        <v/>
      </c>
      <c r="F21" s="4419">
        <f>SUM(F10:F17,F20)</f>
        <v/>
      </c>
      <c r="G21" s="4419">
        <f>SUM(G10:G17,G20)</f>
        <v/>
      </c>
      <c r="H21" s="4419">
        <f>SUM(H10:H17,H20)</f>
        <v/>
      </c>
      <c r="I21" s="4419">
        <f>SUM(I10:I17,I20)</f>
        <v/>
      </c>
      <c r="J21" s="4419">
        <f>SUM(J10:J17,J20)</f>
        <v/>
      </c>
      <c r="K21" s="4419">
        <f>SUM(K10:K17,K20)</f>
        <v/>
      </c>
      <c r="L21" s="4419">
        <f>SUM(L10:L17,L20)</f>
        <v/>
      </c>
      <c r="M21" s="4419">
        <f>SUM(M10:M17,M20)</f>
        <v/>
      </c>
      <c r="N21" s="4419">
        <f>SUM(N10:N17,N20)</f>
        <v/>
      </c>
      <c r="O21" s="4420">
        <f>SUM(O10:O17,O20)</f>
        <v/>
      </c>
      <c r="P21" s="4419">
        <f>SUM(P10:P17,P20)</f>
        <v/>
      </c>
      <c r="Q21" s="4419">
        <f>SUM(Q10:Q17,Q20)</f>
        <v/>
      </c>
      <c r="R21" s="4419">
        <f>SUM(R10:R17,R20)</f>
        <v/>
      </c>
      <c r="S21" s="4419">
        <f>SUM(S10:S17,S20)</f>
        <v/>
      </c>
      <c r="T21" s="4419">
        <f>SUM(T10:T17,T20)</f>
        <v/>
      </c>
      <c r="U21" s="4419">
        <f>SUM(U10:U17,U20)</f>
        <v/>
      </c>
      <c r="V21" s="4419">
        <f>SUM(V10:V17,V20)</f>
        <v/>
      </c>
      <c r="W21" s="4419">
        <f>SUM(W10:W17,W20)</f>
        <v/>
      </c>
      <c r="X21" s="4419">
        <f>SUM(X10:X17,X20)</f>
        <v/>
      </c>
      <c r="Y21" s="4419">
        <f>SUM(Y10:Y17,Y20)</f>
        <v/>
      </c>
      <c r="Z21" s="4419">
        <f>SUM(Z10:Z17,Z20)</f>
        <v/>
      </c>
      <c r="AA21" s="4420">
        <f>SUM(AA10:AA17,AA20)</f>
        <v/>
      </c>
      <c r="AB21" s="4419">
        <f>SUM(AB10:AB17,AB20)</f>
        <v/>
      </c>
      <c r="AC21" s="4419">
        <f>SUM(AC10:AC17,AC20)</f>
        <v/>
      </c>
      <c r="AD21" s="4419">
        <f>SUM(AD10:AD17,AD20)</f>
        <v/>
      </c>
      <c r="AE21" s="4419">
        <f>SUM(AE10:AE17,AE20)</f>
        <v/>
      </c>
      <c r="AF21" s="4419">
        <f>SUM(AF10:AF17,AF20)</f>
        <v/>
      </c>
      <c r="AG21" s="4419">
        <f>SUM(AG10:AG17,AG20)</f>
        <v/>
      </c>
      <c r="AH21" s="4419">
        <f>SUM(AH10:AH17,AH20)</f>
        <v/>
      </c>
      <c r="AI21" s="4419">
        <f>SUM(AI10:AI17,AI20)</f>
        <v/>
      </c>
      <c r="AJ21" s="4419">
        <f>SUM(AJ10:AJ17,AJ20)</f>
        <v/>
      </c>
      <c r="AK21" s="4419">
        <f>SUM(AK10:AK17,AK20)</f>
        <v/>
      </c>
      <c r="AL21" s="4419">
        <f>SUM(AL10:AL17,AL20)</f>
        <v/>
      </c>
      <c r="AM21" s="4420">
        <f>SUM(AM10:AM17,AM20)</f>
        <v/>
      </c>
      <c r="AN21" s="4419">
        <f>SUM(AN10:AN17,AN20)</f>
        <v/>
      </c>
      <c r="AO21" s="4419">
        <f>SUM(AO10:AO17,AO20)</f>
        <v/>
      </c>
      <c r="AP21" s="4419">
        <f>SUM(AP10:AP17,AP20)</f>
        <v/>
      </c>
      <c r="AQ21" s="4419">
        <f>SUM(AQ10:AQ17,AQ20)</f>
        <v/>
      </c>
      <c r="AR21" s="4419">
        <f>SUM(AR10:AR17,AR20)</f>
        <v/>
      </c>
      <c r="AS21" s="4421">
        <f>SUM(AS10:AS17,AS20)</f>
        <v/>
      </c>
      <c r="AT21" s="4419">
        <f>SUM(AT10:AT17,AT20)</f>
        <v/>
      </c>
      <c r="AU21" s="4419">
        <f>SUM(AU10:AU17,AU20)</f>
        <v/>
      </c>
      <c r="AV21" s="4419">
        <f>SUM(AV10:AV17,AV20)</f>
        <v/>
      </c>
      <c r="AW21" s="4419">
        <f>SUM(AW10:AW17,AW20)</f>
        <v/>
      </c>
      <c r="AX21" s="4419">
        <f>SUM(AX10:AX17,AX20)</f>
        <v/>
      </c>
      <c r="AZ21" s="4422">
        <f>IFERROR(D21/D$21,0)</f>
        <v/>
      </c>
      <c r="BA21" s="4422">
        <f>IFERROR(E21/E$21,0)</f>
        <v/>
      </c>
      <c r="BB21" s="4422">
        <f>IFERROR(F21/F$21,0)</f>
        <v/>
      </c>
      <c r="BC21" s="4422">
        <f>IFERROR(G21/G$21,0)</f>
        <v/>
      </c>
      <c r="BD21" s="4422">
        <f>IFERROR(H21/H$21,0)</f>
        <v/>
      </c>
      <c r="BE21" s="4422">
        <f>IFERROR(I21/I$21,0)</f>
        <v/>
      </c>
      <c r="BF21" s="4422">
        <f>IFERROR(J21/J$21,0)</f>
        <v/>
      </c>
      <c r="BG21" s="4422">
        <f>IFERROR(K21/K$21,0)</f>
        <v/>
      </c>
      <c r="BH21" s="4422">
        <f>IFERROR(L21/L$21,0)</f>
        <v/>
      </c>
      <c r="BI21" s="4422">
        <f>IFERROR(M21/M$21,0)</f>
        <v/>
      </c>
      <c r="BJ21" s="4422">
        <f>IFERROR(N21/N$21,0)</f>
        <v/>
      </c>
      <c r="BK21" s="4423">
        <f>IFERROR(O21/O$21,0)</f>
        <v/>
      </c>
      <c r="BL21" s="4422">
        <f>IFERROR(P21/P$21,0)</f>
        <v/>
      </c>
      <c r="BM21" s="4422">
        <f>IFERROR(Q21/Q$21,0)</f>
        <v/>
      </c>
      <c r="BN21" s="4422">
        <f>IFERROR(R21/R$21,0)</f>
        <v/>
      </c>
      <c r="BO21" s="4422">
        <f>IFERROR(S21/S$21,0)</f>
        <v/>
      </c>
      <c r="BP21" s="4422">
        <f>IFERROR(T21/T$21,0)</f>
        <v/>
      </c>
      <c r="BQ21" s="4422">
        <f>IFERROR(U21/U$21,0)</f>
        <v/>
      </c>
      <c r="BR21" s="4422">
        <f>IFERROR(V21/V$21,0)</f>
        <v/>
      </c>
      <c r="BS21" s="4422">
        <f>IFERROR(W21/W$21,0)</f>
        <v/>
      </c>
      <c r="BT21" s="4422">
        <f>IFERROR(X21/X$21,0)</f>
        <v/>
      </c>
      <c r="BU21" s="4422">
        <f>IFERROR(Y21/Y$21,0)</f>
        <v/>
      </c>
      <c r="BV21" s="4422">
        <f>IFERROR(Z21/Z$21,0)</f>
        <v/>
      </c>
      <c r="BW21" s="4423">
        <f>IFERROR(AA21/AA$21,0)</f>
        <v/>
      </c>
      <c r="BX21" s="4422">
        <f>IFERROR(AB21/AB$21,0)</f>
        <v/>
      </c>
      <c r="BY21" s="4422">
        <f>IFERROR(AC21/AC$21,0)</f>
        <v/>
      </c>
      <c r="BZ21" s="4422">
        <f>IFERROR(AD21/AD$21,0)</f>
        <v/>
      </c>
      <c r="CA21" s="4422">
        <f>IFERROR(AE21/AE$21,0)</f>
        <v/>
      </c>
      <c r="CB21" s="4422">
        <f>IFERROR(AF21/AF$21,0)</f>
        <v/>
      </c>
      <c r="CC21" s="4422">
        <f>IFERROR(AG21/AG$21,0)</f>
        <v/>
      </c>
      <c r="CD21" s="4422">
        <f>IFERROR(AH21/AH$21,0)</f>
        <v/>
      </c>
      <c r="CE21" s="4422">
        <f>IFERROR(AI21/AI$21,0)</f>
        <v/>
      </c>
      <c r="CF21" s="4422">
        <f>IFERROR(AJ21/AJ$21,0)</f>
        <v/>
      </c>
      <c r="CG21" s="4422">
        <f>IFERROR(AK21/AK$21,0)</f>
        <v/>
      </c>
      <c r="CH21" s="4422">
        <f>IFERROR(AL21/AL$21,0)</f>
        <v/>
      </c>
      <c r="CI21" s="4423">
        <f>IFERROR(AM21/AM$21,0)</f>
        <v/>
      </c>
      <c r="CJ21" s="4422">
        <f>IFERROR(AN21/AN$21,0)</f>
        <v/>
      </c>
      <c r="CK21" s="4422">
        <f>IFERROR(AO21/AO$21,0)</f>
        <v/>
      </c>
      <c r="CL21" s="4422">
        <f>IFERROR(AP21/AP$21,0)</f>
        <v/>
      </c>
      <c r="CM21" s="4422">
        <f>IFERROR(AQ21/AQ$21,0)</f>
        <v/>
      </c>
      <c r="CN21" s="4422">
        <f>IFERROR(AR21/AR$21,0)</f>
        <v/>
      </c>
      <c r="CO21" s="4424">
        <f>IFERROR(AS21/AS$21,0)</f>
        <v/>
      </c>
      <c r="CP21" s="4422">
        <f>IFERROR(AT21/AT$21,0)</f>
        <v/>
      </c>
      <c r="CQ21" s="4422">
        <f>IFERROR(AU21/AU$21,0)</f>
        <v/>
      </c>
      <c r="CR21" s="4422">
        <f>IFERROR(AV21/AV$21,0)</f>
        <v/>
      </c>
      <c r="CS21" s="4422">
        <f>IFERROR(AW21/AW$21,0)</f>
        <v/>
      </c>
      <c r="CT21" s="4422">
        <f>IFERROR(AX21/AX$21,0)</f>
        <v/>
      </c>
    </row>
    <row r="22" ht="12" customHeight="1" s="3710"/>
    <row r="23" hidden="1" outlineLevel="1" ht="12" customFormat="1" customHeight="1" s="4425">
      <c r="A23" s="4426" t="n"/>
      <c r="B23" s="4427" t="n"/>
      <c r="C23" s="4425" t="inlineStr">
        <is>
          <t>Per source</t>
        </is>
      </c>
      <c r="D23" s="4428" t="n">
        <v>3369.26316</v>
      </c>
      <c r="E23" s="4428" t="n"/>
      <c r="F23" s="4428" t="n"/>
      <c r="G23" s="4428" t="n"/>
      <c r="H23" s="4428" t="n"/>
      <c r="I23" s="4428" t="n"/>
      <c r="J23" s="4428" t="n"/>
      <c r="K23" s="4428" t="n"/>
      <c r="L23" s="4428" t="n"/>
      <c r="M23" s="4428" t="n"/>
      <c r="N23" s="4428" t="n"/>
      <c r="O23" s="4428" t="n"/>
      <c r="P23" s="4428" t="n"/>
      <c r="Q23" s="4428" t="n"/>
      <c r="R23" s="4428" t="n"/>
      <c r="S23" s="4428" t="n"/>
      <c r="T23" s="4428" t="n"/>
      <c r="U23" s="4428" t="n"/>
      <c r="V23" s="4428" t="n"/>
      <c r="W23" s="4428" t="n"/>
      <c r="X23" s="4428" t="n"/>
      <c r="Y23" s="4428" t="n"/>
      <c r="Z23" s="4428" t="n"/>
      <c r="AA23" s="4428" t="n"/>
      <c r="AB23" s="4428" t="n"/>
      <c r="AC23" s="4428" t="n"/>
      <c r="AD23" s="4428" t="n"/>
      <c r="AE23" s="4428" t="n"/>
      <c r="AF23" s="4428" t="n"/>
      <c r="AG23" s="4428" t="n"/>
      <c r="AH23" s="4428" t="n"/>
      <c r="AI23" s="4428" t="n"/>
      <c r="AJ23" s="4428" t="n"/>
      <c r="AK23" s="4428" t="n"/>
      <c r="AL23" s="4428" t="n"/>
      <c r="AM23" s="4428" t="n"/>
      <c r="AN23" s="4428" t="n"/>
      <c r="AO23" s="4428" t="n"/>
      <c r="AP23" s="4428" t="n"/>
      <c r="AQ23" s="4428" t="n"/>
      <c r="AR23" s="4428" t="n"/>
      <c r="AS23" s="4428" t="n"/>
      <c r="AT23" s="4429" t="n"/>
      <c r="AU23" s="4429" t="n"/>
      <c r="AV23" s="4429" t="n"/>
      <c r="AW23" s="4429" t="n"/>
      <c r="AX23" s="4429" t="n"/>
      <c r="CN23" s="4425" t="n"/>
    </row>
    <row r="24" hidden="1" outlineLevel="1" ht="12" customFormat="1" customHeight="1" s="4425">
      <c r="A24" s="4426" t="n"/>
      <c r="B24" s="4427" t="n"/>
      <c r="C24" s="4425" t="inlineStr">
        <is>
          <t>Check</t>
        </is>
      </c>
      <c r="D24" s="4429">
        <f>D23-D21</f>
        <v/>
      </c>
      <c r="E24" s="4429">
        <f>E23-E21</f>
        <v/>
      </c>
      <c r="F24" s="4429">
        <f>F23-F21</f>
        <v/>
      </c>
      <c r="G24" s="4429">
        <f>G23-G21</f>
        <v/>
      </c>
      <c r="H24" s="4429">
        <f>H23-H21</f>
        <v/>
      </c>
      <c r="I24" s="4429">
        <f>I23-I21</f>
        <v/>
      </c>
      <c r="J24" s="4429">
        <f>J23-J21</f>
        <v/>
      </c>
      <c r="K24" s="4429">
        <f>K23-K21</f>
        <v/>
      </c>
      <c r="L24" s="4429">
        <f>L23-L21</f>
        <v/>
      </c>
      <c r="M24" s="4429">
        <f>M23-M21</f>
        <v/>
      </c>
      <c r="N24" s="4429">
        <f>N23-N21</f>
        <v/>
      </c>
      <c r="O24" s="4429">
        <f>O23-O21</f>
        <v/>
      </c>
      <c r="P24" s="4429">
        <f>P23-P21</f>
        <v/>
      </c>
      <c r="Q24" s="4429">
        <f>Q23-Q21</f>
        <v/>
      </c>
      <c r="R24" s="4429">
        <f>R23-R21</f>
        <v/>
      </c>
      <c r="S24" s="4429">
        <f>S23-S21</f>
        <v/>
      </c>
      <c r="T24" s="4429">
        <f>T23-T21</f>
        <v/>
      </c>
      <c r="U24" s="4429">
        <f>U23-U21</f>
        <v/>
      </c>
      <c r="V24" s="4429">
        <f>V23-V21</f>
        <v/>
      </c>
      <c r="W24" s="4429">
        <f>W23-W21</f>
        <v/>
      </c>
      <c r="X24" s="4429">
        <f>X23-X21</f>
        <v/>
      </c>
      <c r="Y24" s="4429">
        <f>Y23-Y21</f>
        <v/>
      </c>
      <c r="Z24" s="4429">
        <f>Z23-Z21</f>
        <v/>
      </c>
      <c r="AA24" s="4429">
        <f>AA23-AA21</f>
        <v/>
      </c>
      <c r="AB24" s="4429">
        <f>AB23-AB21</f>
        <v/>
      </c>
      <c r="AC24" s="4429">
        <f>AC23-AC21</f>
        <v/>
      </c>
      <c r="AD24" s="4429">
        <f>AD23-AD21</f>
        <v/>
      </c>
      <c r="AE24" s="4429">
        <f>AE23-AE21</f>
        <v/>
      </c>
      <c r="AF24" s="4429">
        <f>AF23-AF21</f>
        <v/>
      </c>
      <c r="AG24" s="4429">
        <f>AG23-AG21</f>
        <v/>
      </c>
      <c r="AH24" s="4429">
        <f>AH23-AH21</f>
        <v/>
      </c>
      <c r="AI24" s="4429">
        <f>AI23-AI21</f>
        <v/>
      </c>
      <c r="AJ24" s="4429">
        <f>AJ23-AJ21</f>
        <v/>
      </c>
      <c r="AK24" s="4429">
        <f>AK23-AK21</f>
        <v/>
      </c>
      <c r="AL24" s="4429">
        <f>AL23-AL21</f>
        <v/>
      </c>
      <c r="AM24" s="4429">
        <f>AM23-AM21</f>
        <v/>
      </c>
      <c r="AN24" s="4429">
        <f>AN23-AN21</f>
        <v/>
      </c>
      <c r="AO24" s="4429">
        <f>AO23-AO21</f>
        <v/>
      </c>
      <c r="AP24" s="4429">
        <f>AP23-AP21</f>
        <v/>
      </c>
      <c r="AQ24" s="4429">
        <f>AQ23-AQ21</f>
        <v/>
      </c>
      <c r="AR24" s="4429">
        <f>AR23-AR21</f>
        <v/>
      </c>
      <c r="AS24" s="4429">
        <f>AS23-AS21</f>
        <v/>
      </c>
      <c r="AT24" s="4429">
        <f>AT23-AT21</f>
        <v/>
      </c>
      <c r="AU24" s="4429">
        <f>AU23-AU21</f>
        <v/>
      </c>
      <c r="AV24" s="4429">
        <f>AV23-AV21</f>
        <v/>
      </c>
      <c r="AW24" s="4429">
        <f>AW23-AW21</f>
        <v/>
      </c>
      <c r="AX24" s="4429">
        <f>AX23-AX21</f>
        <v/>
      </c>
      <c r="CN24" s="4425" t="n"/>
    </row>
    <row r="25" ht="12" customHeight="1" s="3710">
      <c r="C25" s="4425" t="n"/>
      <c r="D25" s="4425" t="n"/>
      <c r="E25" s="4425" t="n"/>
      <c r="F25" s="4425" t="n"/>
      <c r="G25" s="4425" t="n"/>
      <c r="H25" s="4425" t="n"/>
      <c r="I25" s="4425" t="n"/>
      <c r="J25" s="4425" t="n"/>
      <c r="K25" s="4425" t="n"/>
      <c r="L25" s="4425" t="n"/>
      <c r="M25" s="4425" t="n"/>
      <c r="N25" s="4425" t="n"/>
      <c r="O25" s="4425" t="n"/>
      <c r="P25" s="4425" t="n"/>
      <c r="Q25" s="4425" t="n"/>
      <c r="R25" s="4425" t="n"/>
      <c r="S25" s="4425" t="n"/>
      <c r="T25" s="4425" t="n"/>
      <c r="U25" s="4425" t="n"/>
      <c r="V25" s="4425" t="n"/>
      <c r="W25" s="4425" t="n"/>
      <c r="X25" s="4425" t="n"/>
      <c r="Y25" s="4425" t="n"/>
      <c r="Z25" s="4425" t="n"/>
      <c r="AA25" s="4425" t="n"/>
      <c r="AB25" s="4425" t="n"/>
      <c r="AC25" s="4425" t="n"/>
      <c r="AD25" s="4425" t="n"/>
      <c r="AE25" s="4425" t="n"/>
      <c r="AF25" s="4425" t="n"/>
      <c r="AG25" s="4425" t="n"/>
      <c r="AH25" s="4425" t="n"/>
      <c r="AI25" s="4425" t="n"/>
      <c r="AJ25" s="4425" t="n"/>
      <c r="AK25" s="4425" t="n"/>
      <c r="AL25" s="4425" t="n"/>
      <c r="AM25" s="4425" t="n"/>
      <c r="AN25" s="4425" t="n"/>
      <c r="AO25" s="4425" t="n"/>
      <c r="AP25" s="4425" t="n"/>
      <c r="AQ25" s="4425" t="n"/>
      <c r="AR25" s="4425" t="n"/>
      <c r="AS25" s="4425" t="n"/>
      <c r="AT25" s="4425" t="n"/>
      <c r="AU25" s="4425" t="n"/>
      <c r="AV25" s="4425" t="n"/>
      <c r="AW25" s="4425" t="n"/>
      <c r="AX25" s="4425" t="n"/>
    </row>
    <row r="26" ht="12" customHeight="1" s="3710"/>
    <row r="27" ht="12" customHeight="1" s="3710"/>
    <row r="28" ht="12" customHeight="1" s="3710"/>
    <row r="29" ht="12" customHeight="1" s="3710"/>
    <row r="30" ht="12" customHeight="1" s="3710"/>
    <row r="31" ht="12" customHeight="1" s="3710"/>
    <row r="32" ht="12" customHeight="1" s="3710"/>
    <row r="33" ht="12" customHeight="1" s="3710"/>
    <row r="34" ht="12" customHeight="1" s="3710"/>
    <row r="35" ht="12" customHeight="1" s="3710"/>
    <row r="36" ht="12" customHeight="1" s="3710"/>
    <row r="37" ht="12" customHeight="1" s="3710"/>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ht="15" customHeight="1" s="3710">
      <c r="A1319" s="4390" t="n"/>
      <c r="B1319" s="4391" t="n"/>
    </row>
    <row r="1320" ht="15" customHeight="1" s="3710">
      <c r="B1320" s="4372" t="inlineStr">
        <is>
          <t>Customer</t>
        </is>
      </c>
    </row>
    <row r="1321" ht="15" customHeight="1" s="3710">
      <c r="B1321" s="4372" t="inlineStr">
        <is>
          <t>Uni Financial Services and Technology Inc.</t>
        </is>
      </c>
    </row>
    <row r="1322" ht="15" customHeight="1" s="3710">
      <c r="B1322" s="4372" t="inlineStr">
        <is>
          <t>Uni Financial Services and Technology Inc.</t>
        </is>
      </c>
    </row>
    <row r="1323" ht="15" customHeight="1" s="3710">
      <c r="B1323" s="4372" t="inlineStr">
        <is>
          <t>Uni Financial Services and Technology Inc.</t>
        </is>
      </c>
    </row>
    <row r="1324" ht="15" customHeight="1" s="3710">
      <c r="B1324" s="4372" t="inlineStr">
        <is>
          <t>Uni Financial Services and Technology Inc.</t>
        </is>
      </c>
    </row>
    <row r="1325" ht="15" customHeight="1" s="3710">
      <c r="B1325" s="4372" t="inlineStr">
        <is>
          <t>Uni Financial Services and Technology Inc.</t>
        </is>
      </c>
    </row>
    <row r="1326" ht="15" customHeight="1" s="3710">
      <c r="B1326" s="4372" t="inlineStr">
        <is>
          <t>Uni Financial Services and Technology Inc.</t>
        </is>
      </c>
    </row>
    <row r="1327" ht="15" customHeight="1" s="3710">
      <c r="B1327" s="4372" t="inlineStr">
        <is>
          <t>Uni Financial Services and Technology Inc.</t>
        </is>
      </c>
    </row>
    <row r="1328" ht="15" customHeight="1" s="3710">
      <c r="B1328" s="4372" t="inlineStr">
        <is>
          <t>Uni Financial Services and Technology Inc.</t>
        </is>
      </c>
    </row>
    <row r="1329" ht="15" customHeight="1" s="3710">
      <c r="B1329" s="4372" t="inlineStr">
        <is>
          <t>Uni Financial Services and Technology Inc.</t>
        </is>
      </c>
    </row>
    <row r="1330" ht="15" customHeight="1" s="3710">
      <c r="B1330" s="4372" t="inlineStr">
        <is>
          <t>Uni Financial Services and Technology Inc.</t>
        </is>
      </c>
    </row>
    <row r="1331" ht="15" customHeight="1" s="3710">
      <c r="B1331" s="4372" t="inlineStr">
        <is>
          <t>Uni Financial Services and Technology Inc.</t>
        </is>
      </c>
    </row>
    <row r="1332" ht="15" customHeight="1" s="3710">
      <c r="B1332" s="4372" t="inlineStr">
        <is>
          <t>Uni Financial Services and Technology Inc.</t>
        </is>
      </c>
    </row>
    <row r="1333" ht="15" customHeight="1" s="3710">
      <c r="B1333" s="4372" t="inlineStr">
        <is>
          <t>Uni Financial Services and Technology Inc.</t>
        </is>
      </c>
    </row>
    <row r="1334" ht="15" customHeight="1" s="3710">
      <c r="B1334" s="4372" t="inlineStr">
        <is>
          <t>Uni Financial Services and Technology Inc.</t>
        </is>
      </c>
    </row>
    <row r="1335" ht="15" customHeight="1" s="3710">
      <c r="B1335" s="4372" t="inlineStr">
        <is>
          <t>Uni Financial Services and Technology Inc.</t>
        </is>
      </c>
    </row>
    <row r="1336" ht="15" customHeight="1" s="3710">
      <c r="B1336" s="4372" t="inlineStr">
        <is>
          <t>Uni Financial Services and Technology Inc.</t>
        </is>
      </c>
    </row>
    <row r="1337" ht="15" customHeight="1" s="3710">
      <c r="B1337" s="4372" t="inlineStr">
        <is>
          <t>Uni Financial Services and Technology Inc.</t>
        </is>
      </c>
    </row>
    <row r="1338" ht="15" customHeight="1" s="3710">
      <c r="B1338" s="4372" t="inlineStr">
        <is>
          <t>Uni Financial Services and Technology Inc.</t>
        </is>
      </c>
    </row>
    <row r="1339" ht="15" customHeight="1" s="3710">
      <c r="B1339" s="4372" t="inlineStr">
        <is>
          <t>Uni Financial Services and Technology Inc.</t>
        </is>
      </c>
    </row>
    <row r="1340" ht="15" customHeight="1" s="3710">
      <c r="B1340" s="4372" t="inlineStr">
        <is>
          <t>Uni Financial Services and Technology Inc.</t>
        </is>
      </c>
    </row>
    <row r="1341" ht="15" customHeight="1" s="3710">
      <c r="B1341" s="4372" t="inlineStr">
        <is>
          <t>Uni Financial Services and Technology Inc.</t>
        </is>
      </c>
    </row>
    <row r="1342" ht="15" customHeight="1" s="3710">
      <c r="B1342" s="4372" t="inlineStr">
        <is>
          <t>Uni Financial Services and Technology Inc.</t>
        </is>
      </c>
    </row>
    <row r="1343" ht="15" customHeight="1" s="3710">
      <c r="B1343" s="4372" t="inlineStr">
        <is>
          <t>Uni Financial Services and Technology Inc.</t>
        </is>
      </c>
    </row>
    <row r="1344" ht="15" customHeight="1" s="3710">
      <c r="B1344" s="4372" t="inlineStr">
        <is>
          <t>Uni Financial Services and Technology Inc.</t>
        </is>
      </c>
    </row>
    <row r="1345" ht="15" customHeight="1" s="3710">
      <c r="B1345" s="4372" t="inlineStr">
        <is>
          <t>Uni Financial Services and Technology Inc.</t>
        </is>
      </c>
    </row>
    <row r="1346" ht="15" customHeight="1" s="3710">
      <c r="B1346" s="4372" t="inlineStr">
        <is>
          <t>Uni Financial Services and Technology Inc.</t>
        </is>
      </c>
    </row>
    <row r="1347" ht="15" customHeight="1" s="3710">
      <c r="B1347" s="4372" t="inlineStr">
        <is>
          <t>Uni Financial Services and Technology Inc.</t>
        </is>
      </c>
    </row>
    <row r="1348" ht="15" customHeight="1" s="3710">
      <c r="B1348" s="4372" t="inlineStr">
        <is>
          <t>Uni Financial Services and Technology Inc.</t>
        </is>
      </c>
    </row>
    <row r="1349" ht="15" customHeight="1" s="3710">
      <c r="B1349" s="4372" t="inlineStr">
        <is>
          <t>Uni Financial Services and Technology Inc.</t>
        </is>
      </c>
    </row>
    <row r="1350" ht="15" customHeight="1" s="3710">
      <c r="B1350" s="4372" t="inlineStr">
        <is>
          <t>Uni Financial Services and Technology Inc.</t>
        </is>
      </c>
    </row>
    <row r="1351" ht="15" customHeight="1" s="3710">
      <c r="B1351" s="4372" t="inlineStr">
        <is>
          <t>Uni Financial Services and Technology Inc.</t>
        </is>
      </c>
    </row>
    <row r="1352" ht="15" customHeight="1" s="3710">
      <c r="B1352" s="4372" t="inlineStr">
        <is>
          <t>Uni Financial Services and Technology Inc.</t>
        </is>
      </c>
    </row>
    <row r="1353" ht="15" customHeight="1" s="3710">
      <c r="B1353" s="4372" t="inlineStr">
        <is>
          <t>Uni Financial Services and Technology Inc.</t>
        </is>
      </c>
    </row>
    <row r="1354" ht="15" customHeight="1" s="3710">
      <c r="B1354" s="4372" t="inlineStr">
        <is>
          <t>Uni Financial Services and Technology Inc.</t>
        </is>
      </c>
    </row>
    <row r="1355" ht="15" customHeight="1" s="3710">
      <c r="B1355" s="4372" t="inlineStr">
        <is>
          <t>Uni Financial Services and Technology Inc.</t>
        </is>
      </c>
    </row>
    <row r="1356" ht="15" customHeight="1" s="3710">
      <c r="B1356" s="4372" t="inlineStr">
        <is>
          <t>Uni Financial Services and Technology Inc.</t>
        </is>
      </c>
    </row>
    <row r="1357" ht="15" customHeight="1" s="3710">
      <c r="B1357" s="4372" t="inlineStr">
        <is>
          <t>Uni Financial Services and Technology Inc.</t>
        </is>
      </c>
    </row>
    <row r="1358" ht="15" customHeight="1" s="3710">
      <c r="B1358" s="4372" t="inlineStr">
        <is>
          <t>Uni Financial Services and Technology Inc.</t>
        </is>
      </c>
    </row>
    <row r="1359" ht="15" customHeight="1" s="3710">
      <c r="B1359" s="4372" t="inlineStr">
        <is>
          <t>Uni Financial Services and Technology Inc.</t>
        </is>
      </c>
    </row>
    <row r="1360" ht="15" customHeight="1" s="3710">
      <c r="B1360" s="4372" t="inlineStr">
        <is>
          <t>Uni Financial Services and Technology Inc.</t>
        </is>
      </c>
    </row>
    <row r="1361" ht="15" customHeight="1" s="3710">
      <c r="B1361" s="4372" t="inlineStr">
        <is>
          <t>Uni Financial Services and Technology Inc.</t>
        </is>
      </c>
    </row>
    <row r="1362" ht="15" customHeight="1" s="3710">
      <c r="B1362" s="4372" t="inlineStr">
        <is>
          <t>Uni Financial Services and Technology Inc.</t>
        </is>
      </c>
    </row>
    <row r="1363" ht="15" customHeight="1" s="3710">
      <c r="B1363" s="4372" t="inlineStr">
        <is>
          <t>Uni Financial Services and Technology Inc.</t>
        </is>
      </c>
    </row>
    <row r="1364" ht="15" customHeight="1" s="3710">
      <c r="B1364" s="4372" t="inlineStr">
        <is>
          <t>Uni Financial Services and Technology Inc.</t>
        </is>
      </c>
    </row>
    <row r="1365" ht="15" customHeight="1" s="3710">
      <c r="B1365" s="4372" t="inlineStr">
        <is>
          <t>Uni Financial Services and Technology Inc.</t>
        </is>
      </c>
    </row>
    <row r="1366" ht="15" customHeight="1" s="3710">
      <c r="B1366" s="4372" t="inlineStr">
        <is>
          <t>Uni Financial Services and Technology Inc.</t>
        </is>
      </c>
    </row>
    <row r="1367" ht="15" customHeight="1" s="3710">
      <c r="B1367" s="4372" t="inlineStr">
        <is>
          <t>Uni Financial Services and Technology Inc.</t>
        </is>
      </c>
    </row>
    <row r="1368" ht="15" customHeight="1" s="3710">
      <c r="B1368" s="4372" t="inlineStr">
        <is>
          <t>Uni Financial Services and Technology Inc.</t>
        </is>
      </c>
    </row>
    <row r="1369" ht="15" customHeight="1" s="3710">
      <c r="B1369" s="4372" t="inlineStr">
        <is>
          <t>Uni Financial Services and Technology Inc.</t>
        </is>
      </c>
    </row>
    <row r="1370" ht="15" customHeight="1" s="3710">
      <c r="B1370" s="4372" t="inlineStr">
        <is>
          <t>Uni Financial Services and Technology Inc.</t>
        </is>
      </c>
    </row>
    <row r="1371" ht="15" customHeight="1" s="3710">
      <c r="B1371" s="4372" t="inlineStr">
        <is>
          <t>Uni Financial Services and Technology Inc.</t>
        </is>
      </c>
    </row>
    <row r="1372" ht="15" customHeight="1" s="3710">
      <c r="B1372" s="4372" t="inlineStr">
        <is>
          <t>Uni Financial Services and Technology Inc.</t>
        </is>
      </c>
    </row>
    <row r="1373" ht="15" customHeight="1" s="3710">
      <c r="B1373" s="4372" t="inlineStr">
        <is>
          <t>Uni Financial Services and Technology Inc.</t>
        </is>
      </c>
    </row>
    <row r="1374" ht="15" customHeight="1" s="3710">
      <c r="B1374" s="4372" t="inlineStr">
        <is>
          <t>Uni Financial Services and Technology Inc.</t>
        </is>
      </c>
    </row>
    <row r="1375" ht="15" customHeight="1" s="3710">
      <c r="B1375" s="4372" t="inlineStr">
        <is>
          <t>Uni Financial Services and Technology Inc.</t>
        </is>
      </c>
    </row>
    <row r="1376" ht="15" customHeight="1" s="3710">
      <c r="B1376" s="4372" t="inlineStr">
        <is>
          <t>Uni Financial Services and Technology Inc.</t>
        </is>
      </c>
    </row>
    <row r="1377" ht="15" customHeight="1" s="3710">
      <c r="B1377" s="4372" t="inlineStr">
        <is>
          <t>Uni Financial Services and Technology Inc.</t>
        </is>
      </c>
    </row>
    <row r="1378" ht="15" customHeight="1" s="3710">
      <c r="B1378" s="4372" t="inlineStr">
        <is>
          <t>Uni Financial Services and Technology Inc.</t>
        </is>
      </c>
    </row>
    <row r="1379" ht="15" customHeight="1" s="3710">
      <c r="B1379" s="4372" t="inlineStr">
        <is>
          <t>Uni Financial Services and Technology Inc.</t>
        </is>
      </c>
    </row>
    <row r="1380" ht="15" customHeight="1" s="3710">
      <c r="B1380" s="4372" t="inlineStr">
        <is>
          <t>Uni Financial Services and Technology Inc.</t>
        </is>
      </c>
    </row>
    <row r="1381" ht="15" customHeight="1" s="3710">
      <c r="B1381" s="4372" t="inlineStr">
        <is>
          <t>Uni Financial Services and Technology Inc.</t>
        </is>
      </c>
    </row>
    <row r="1382" ht="15" customHeight="1" s="3710">
      <c r="B1382" s="4372" t="inlineStr">
        <is>
          <t>Uni Financial Services and Technology Inc.</t>
        </is>
      </c>
    </row>
    <row r="1383" ht="15" customHeight="1" s="3710">
      <c r="B1383" s="4372" t="inlineStr">
        <is>
          <t>Uni Financial Services and Technology Inc.</t>
        </is>
      </c>
    </row>
    <row r="1384" ht="15" customHeight="1" s="3710">
      <c r="B1384" s="4372" t="inlineStr">
        <is>
          <t>Uni Financial Services and Technology Inc.</t>
        </is>
      </c>
    </row>
    <row r="1385" ht="15" customHeight="1" s="3710">
      <c r="B1385" s="4372" t="inlineStr">
        <is>
          <t>Uni Financial Services and Technology Inc.</t>
        </is>
      </c>
    </row>
    <row r="1386" ht="15" customHeight="1" s="3710">
      <c r="B1386" s="4372" t="inlineStr">
        <is>
          <t>Uni Financial Services and Technology Inc.</t>
        </is>
      </c>
    </row>
    <row r="1387" ht="15" customHeight="1" s="3710">
      <c r="B1387" s="4372" t="inlineStr">
        <is>
          <t>Uni Financial Services and Technology Inc.</t>
        </is>
      </c>
    </row>
    <row r="1388" ht="15" customHeight="1" s="3710">
      <c r="B1388" s="4372" t="inlineStr">
        <is>
          <t>Uni Financial Services and Technology Inc.</t>
        </is>
      </c>
    </row>
    <row r="1389"/>
    <row r="1390" ht="15" customHeight="1" s="3710">
      <c r="B1390" s="4372" t="inlineStr">
        <is>
          <t>Caisse Populaire Alliance Limitee</t>
        </is>
      </c>
    </row>
    <row r="1391" ht="15" customHeight="1" s="3710">
      <c r="B1391" s="4372" t="inlineStr">
        <is>
          <t>Caisse Populaire Alliance Limitee</t>
        </is>
      </c>
    </row>
    <row r="1392" ht="15" customHeight="1" s="3710">
      <c r="B1392" s="4372" t="inlineStr">
        <is>
          <t>Caisse Populaire Alliance Limitee</t>
        </is>
      </c>
    </row>
    <row r="1393" ht="15" customHeight="1" s="3710">
      <c r="B1393" s="4372" t="inlineStr">
        <is>
          <t>Caisse Populaire Alliance Limitee</t>
        </is>
      </c>
    </row>
    <row r="1394" ht="15" customHeight="1" s="3710">
      <c r="B1394" s="4372" t="inlineStr">
        <is>
          <t>Caisse Populaire Alliance Limitee</t>
        </is>
      </c>
    </row>
    <row r="1395" ht="15" customHeight="1" s="3710">
      <c r="B1395" s="4372" t="inlineStr">
        <is>
          <t>Caisse Populaire Alliance Limitee</t>
        </is>
      </c>
    </row>
    <row r="1396" ht="15" customHeight="1" s="3710">
      <c r="B1396" s="4372" t="inlineStr">
        <is>
          <t>Caisse Populaire Alliance Limitee</t>
        </is>
      </c>
    </row>
    <row r="1397" ht="15" customHeight="1" s="3710">
      <c r="B1397" s="4372" t="inlineStr">
        <is>
          <t>Caisse Populaire Alliance Limitee</t>
        </is>
      </c>
    </row>
    <row r="1398" ht="15" customHeight="1" s="3710">
      <c r="B1398" s="4372" t="inlineStr">
        <is>
          <t>Caisse Populaire Alliance Limitee</t>
        </is>
      </c>
    </row>
    <row r="1399" ht="15" customHeight="1" s="3710">
      <c r="B1399" s="4372" t="inlineStr">
        <is>
          <t>Caisse Populaire Alliance Limitee</t>
        </is>
      </c>
    </row>
    <row r="1400" ht="15" customHeight="1" s="3710">
      <c r="B1400" s="4372" t="inlineStr">
        <is>
          <t>Caisse Populaire Alliance Limitee</t>
        </is>
      </c>
    </row>
    <row r="1401" ht="15" customHeight="1" s="3710">
      <c r="B1401" s="4372" t="inlineStr">
        <is>
          <t>Caisse Populaire Alliance Limitee</t>
        </is>
      </c>
    </row>
    <row r="1402" ht="15" customHeight="1" s="3710">
      <c r="B1402" s="4372" t="inlineStr">
        <is>
          <t>Caisse Populaire Alliance Limitee</t>
        </is>
      </c>
    </row>
    <row r="1403" ht="15" customHeight="1" s="3710">
      <c r="B1403" s="4372" t="inlineStr">
        <is>
          <t>Caisse Populaire Alliance Limitee</t>
        </is>
      </c>
    </row>
    <row r="1404" ht="15" customHeight="1" s="3710">
      <c r="B1404" s="4372" t="inlineStr">
        <is>
          <t>Caisse Populaire Alliance Limitee</t>
        </is>
      </c>
    </row>
    <row r="1405" ht="15" customHeight="1" s="3710">
      <c r="B1405" s="4372" t="inlineStr">
        <is>
          <t>Caisse Populaire Alliance Limitee</t>
        </is>
      </c>
    </row>
    <row r="1406" ht="15" customHeight="1" s="3710">
      <c r="B1406" s="4372" t="inlineStr">
        <is>
          <t>Caisse Populaire Alliance Limitee</t>
        </is>
      </c>
    </row>
    <row r="1407" ht="15" customHeight="1" s="3710">
      <c r="B1407" s="4372" t="inlineStr">
        <is>
          <t>Caisse Populaire Alliance Limitee</t>
        </is>
      </c>
    </row>
    <row r="1408" ht="15" customHeight="1" s="3710">
      <c r="B1408" s="4372" t="inlineStr">
        <is>
          <t>Caisse Populaire Alliance Limitee</t>
        </is>
      </c>
    </row>
    <row r="1409" ht="15" customHeight="1" s="3710">
      <c r="B1409" s="4372" t="inlineStr">
        <is>
          <t>Caisse Populaire Alliance Limitee</t>
        </is>
      </c>
    </row>
    <row r="1410" ht="15" customHeight="1" s="3710">
      <c r="B1410" s="4372" t="inlineStr">
        <is>
          <t>Caisse Populaire Alliance Limitee</t>
        </is>
      </c>
    </row>
    <row r="1411" ht="15" customHeight="1" s="3710">
      <c r="B1411" s="4372" t="inlineStr">
        <is>
          <t>Caisse Populaire Alliance Limitee</t>
        </is>
      </c>
    </row>
    <row r="1412" ht="15" customHeight="1" s="3710">
      <c r="B1412" s="4372" t="inlineStr">
        <is>
          <t>Caisse Populaire Alliance Limitee</t>
        </is>
      </c>
    </row>
    <row r="1413" ht="15" customHeight="1" s="3710">
      <c r="B1413" s="4372" t="inlineStr">
        <is>
          <t>Caisse Populaire Alliance Limitee</t>
        </is>
      </c>
    </row>
    <row r="1414" ht="15" customHeight="1" s="3710">
      <c r="B1414" s="4372" t="inlineStr">
        <is>
          <t>Caisse Populaire Alliance Limitee</t>
        </is>
      </c>
    </row>
    <row r="1415" ht="15" customHeight="1" s="3710">
      <c r="B1415" s="4372" t="inlineStr">
        <is>
          <t>Caisse Populaire Alliance Limitee</t>
        </is>
      </c>
    </row>
    <row r="1416" ht="15" customHeight="1" s="3710">
      <c r="B1416" s="4372" t="inlineStr">
        <is>
          <t>Caisse Populaire Alliance Limitee</t>
        </is>
      </c>
    </row>
    <row r="1417" ht="15" customHeight="1" s="3710">
      <c r="B1417" s="4372" t="inlineStr">
        <is>
          <t>Caisse Populaire Alliance Limitee</t>
        </is>
      </c>
    </row>
    <row r="1418" ht="15" customHeight="1" s="3710">
      <c r="B1418" s="4372" t="inlineStr">
        <is>
          <t>Caisse Populaire Alliance Limitee</t>
        </is>
      </c>
    </row>
    <row r="1419" ht="15" customHeight="1" s="3710">
      <c r="B1419" s="4372" t="inlineStr">
        <is>
          <t>Caisse Populaire Alliance Limitee</t>
        </is>
      </c>
    </row>
    <row r="1420" ht="15" customHeight="1" s="3710">
      <c r="B1420" s="4372" t="inlineStr">
        <is>
          <t>Caisse Populaire Alliance Limitee</t>
        </is>
      </c>
    </row>
    <row r="1421" ht="15" customHeight="1" s="3710">
      <c r="B1421" s="4372" t="inlineStr">
        <is>
          <t>Caisse Populaire Alliance Limitee</t>
        </is>
      </c>
    </row>
    <row r="1422" ht="15" customHeight="1" s="3710">
      <c r="B1422" s="4372" t="inlineStr">
        <is>
          <t>Caisse Populaire Alliance Limitee</t>
        </is>
      </c>
    </row>
    <row r="1423" ht="15" customHeight="1" s="3710">
      <c r="B1423" s="4372" t="inlineStr">
        <is>
          <t>Caisse Populaire Alliance Limitee</t>
        </is>
      </c>
    </row>
    <row r="1424" ht="15" customHeight="1" s="3710">
      <c r="B1424" s="4372" t="inlineStr">
        <is>
          <t>Caisse Populaire Alliance Limitee</t>
        </is>
      </c>
    </row>
    <row r="1425" ht="15" customHeight="1" s="3710">
      <c r="B1425" s="4372" t="inlineStr">
        <is>
          <t>Caisse Populaire Alliance Limitee</t>
        </is>
      </c>
    </row>
    <row r="1426" ht="15" customHeight="1" s="3710">
      <c r="B1426" s="4372" t="inlineStr">
        <is>
          <t>Caisse Populaire Alliance Limitee</t>
        </is>
      </c>
    </row>
    <row r="1427" ht="15" customHeight="1" s="3710">
      <c r="B1427" s="4372" t="inlineStr">
        <is>
          <t>Caisse Populaire Alliance Limitee</t>
        </is>
      </c>
    </row>
    <row r="1428" ht="15" customHeight="1" s="3710">
      <c r="B1428" s="4372" t="inlineStr">
        <is>
          <t>Caisse Populaire Alliance Limitee</t>
        </is>
      </c>
    </row>
    <row r="1429" ht="15" customHeight="1" s="3710">
      <c r="B1429" s="4372" t="inlineStr">
        <is>
          <t>Caisse Populaire Alliance Limitee</t>
        </is>
      </c>
    </row>
    <row r="1430" ht="15" customHeight="1" s="3710">
      <c r="B1430" s="4372" t="inlineStr">
        <is>
          <t>Caisse Populaire Alliance Limitee</t>
        </is>
      </c>
    </row>
    <row r="1431" ht="15" customHeight="1" s="3710">
      <c r="B1431" s="4372" t="inlineStr">
        <is>
          <t>Caisse Populaire Alliance Limitee</t>
        </is>
      </c>
    </row>
    <row r="1432" ht="15" customHeight="1" s="3710">
      <c r="B1432" s="4372" t="inlineStr">
        <is>
          <t>Caisse Populaire Alliance Limitee</t>
        </is>
      </c>
    </row>
    <row r="1433" ht="15" customHeight="1" s="3710">
      <c r="B1433" s="4372" t="inlineStr">
        <is>
          <t>Caisse Populaire Alliance Limitee</t>
        </is>
      </c>
    </row>
    <row r="1434" ht="15" customHeight="1" s="3710">
      <c r="B1434" s="4372" t="inlineStr">
        <is>
          <t>Caisse Populaire Alliance Limitee</t>
        </is>
      </c>
    </row>
    <row r="1435" ht="15" customHeight="1" s="3710">
      <c r="B1435" s="4372" t="inlineStr">
        <is>
          <t>Caisse Populaire Alliance Limitee</t>
        </is>
      </c>
    </row>
    <row r="1436" ht="15" customHeight="1" s="3710">
      <c r="B1436" s="4372" t="inlineStr">
        <is>
          <t>Caisse Populaire Alliance Limitee</t>
        </is>
      </c>
    </row>
    <row r="1437" ht="15" customHeight="1" s="3710">
      <c r="B1437" s="4372" t="inlineStr">
        <is>
          <t>Caisse Populaire Alliance Limitee</t>
        </is>
      </c>
    </row>
    <row r="1438" ht="15" customHeight="1" s="3710">
      <c r="B1438" s="4372" t="inlineStr">
        <is>
          <t>Caisse Populaire Alliance Limitee</t>
        </is>
      </c>
    </row>
    <row r="1439" ht="15" customHeight="1" s="3710">
      <c r="B1439" s="4372" t="inlineStr">
        <is>
          <t>Caisse Populaire Alliance Limitee</t>
        </is>
      </c>
    </row>
    <row r="1440" ht="15" customHeight="1" s="3710">
      <c r="B1440" s="4372" t="inlineStr">
        <is>
          <t>Caisse Populaire Alliance Limitee</t>
        </is>
      </c>
    </row>
    <row r="1441" ht="15" customHeight="1" s="3710">
      <c r="B1441" s="4372" t="inlineStr">
        <is>
          <t>Caisse Populaire Alliance Limitee</t>
        </is>
      </c>
    </row>
    <row r="1442" ht="15" customHeight="1" s="3710">
      <c r="B1442" s="4372" t="inlineStr">
        <is>
          <t>Caisse Populaire Alliance Limitee</t>
        </is>
      </c>
    </row>
    <row r="1443" ht="15" customHeight="1" s="3710">
      <c r="B1443" s="4372" t="inlineStr">
        <is>
          <t>Caisse Populaire Alliance Limitee</t>
        </is>
      </c>
    </row>
    <row r="1444" ht="15" customHeight="1" s="3710">
      <c r="B1444" s="4372" t="inlineStr">
        <is>
          <t>Caisse Populaire Alliance Limitee</t>
        </is>
      </c>
    </row>
    <row r="1445" ht="15" customHeight="1" s="3710">
      <c r="B1445" s="4372" t="inlineStr">
        <is>
          <t>Caisse Populaire Alliance Limitee</t>
        </is>
      </c>
    </row>
    <row r="1446" ht="15" customHeight="1" s="3710">
      <c r="B1446" s="4372" t="inlineStr">
        <is>
          <t>Caisse Populaire Alliance Limitee</t>
        </is>
      </c>
    </row>
    <row r="1447" ht="15" customHeight="1" s="3710">
      <c r="B1447" s="4372" t="inlineStr">
        <is>
          <t>Caisse Populaire Alliance Limitee</t>
        </is>
      </c>
    </row>
    <row r="1448" ht="15" customHeight="1" s="3710">
      <c r="B1448" s="4372" t="inlineStr">
        <is>
          <t>Caisse Populaire Alliance Limitee</t>
        </is>
      </c>
    </row>
    <row r="1449" ht="15" customHeight="1" s="3710">
      <c r="B1449" s="4372" t="inlineStr">
        <is>
          <t>Caisse Populaire Alliance Limitee</t>
        </is>
      </c>
    </row>
    <row r="1450" ht="15" customHeight="1" s="3710">
      <c r="B1450" s="4372" t="inlineStr">
        <is>
          <t>Caisse Populaire Alliance Limitee</t>
        </is>
      </c>
    </row>
    <row r="1451" ht="15" customHeight="1" s="3710">
      <c r="B1451" s="4372" t="inlineStr">
        <is>
          <t>Caisse Populaire Alliance Limitee</t>
        </is>
      </c>
    </row>
    <row r="1452" ht="15" customHeight="1" s="3710">
      <c r="B1452" s="4372" t="inlineStr">
        <is>
          <t>Caisse Populaire Alliance Limitee</t>
        </is>
      </c>
    </row>
    <row r="1453" ht="15" customHeight="1" s="3710">
      <c r="B1453" s="4372" t="inlineStr">
        <is>
          <t>Caisse Populaire Alliance Limitee</t>
        </is>
      </c>
    </row>
    <row r="1454" ht="15" customHeight="1" s="3710">
      <c r="B1454" s="4372" t="inlineStr">
        <is>
          <t>Caisse Populaire Alliance Limitee</t>
        </is>
      </c>
    </row>
    <row r="1455" ht="15" customHeight="1" s="3710">
      <c r="B1455" s="4372" t="inlineStr">
        <is>
          <t>Caisse Populaire Alliance Limitee</t>
        </is>
      </c>
    </row>
    <row r="1456" ht="15" customHeight="1" s="3710">
      <c r="B1456" s="4372" t="inlineStr">
        <is>
          <t>Caisse Populaire Alliance Limitee</t>
        </is>
      </c>
    </row>
    <row r="1457" ht="15" customHeight="1" s="3710">
      <c r="B1457" s="4372" t="inlineStr">
        <is>
          <t>Caisse Populaire Alliance Limitee</t>
        </is>
      </c>
    </row>
    <row r="1458" ht="15" customHeight="1" s="3710">
      <c r="B1458" s="4372" t="inlineStr">
        <is>
          <t>Caisse Populaire Alliance Limitee</t>
        </is>
      </c>
    </row>
    <row r="1459" ht="15" customHeight="1" s="3710">
      <c r="B1459" s="4372" t="inlineStr">
        <is>
          <t>Caisse Populaire Alliance Limitee</t>
        </is>
      </c>
    </row>
    <row r="1460" ht="15" customHeight="1" s="3710">
      <c r="B1460" s="4372" t="inlineStr">
        <is>
          <t>Caisse Populaire Alliance Limitee</t>
        </is>
      </c>
    </row>
    <row r="1461" ht="15" customHeight="1" s="3710">
      <c r="B1461" s="4372" t="inlineStr">
        <is>
          <t>Caisse Populaire Alliance Limitee</t>
        </is>
      </c>
    </row>
    <row r="1462" ht="15" customHeight="1" s="3710">
      <c r="B1462" s="4372" t="inlineStr">
        <is>
          <t>Caisse Populaire Alliance Limitee</t>
        </is>
      </c>
    </row>
    <row r="1463"/>
    <row r="1464" ht="15" customHeight="1" s="3710">
      <c r="B1464" s="4372" t="inlineStr">
        <is>
          <t>FirstOntario Credit Union Limited</t>
        </is>
      </c>
    </row>
    <row r="1465" ht="15" customHeight="1" s="3710">
      <c r="B1465" s="4372" t="inlineStr">
        <is>
          <t>FirstOntario Credit Union Limited</t>
        </is>
      </c>
    </row>
    <row r="1466" ht="15" customHeight="1" s="3710">
      <c r="B1466" s="4372" t="inlineStr">
        <is>
          <t>FirstOntario Credit Union Limited</t>
        </is>
      </c>
    </row>
    <row r="1467" ht="15" customHeight="1" s="3710">
      <c r="B1467" s="4372" t="inlineStr">
        <is>
          <t>FirstOntario Credit Union Limited</t>
        </is>
      </c>
    </row>
    <row r="1468" ht="15" customHeight="1" s="3710">
      <c r="B1468" s="4372" t="inlineStr">
        <is>
          <t>FirstOntario Credit Union Limited</t>
        </is>
      </c>
    </row>
    <row r="1469" ht="15" customHeight="1" s="3710">
      <c r="B1469" s="4372" t="inlineStr">
        <is>
          <t>FirstOntario Credit Union Limited</t>
        </is>
      </c>
    </row>
    <row r="1470" ht="15" customHeight="1" s="3710">
      <c r="B1470" s="4372" t="inlineStr">
        <is>
          <t>FirstOntario Credit Union Limited</t>
        </is>
      </c>
    </row>
    <row r="1471" ht="15" customHeight="1" s="3710">
      <c r="B1471" s="4372" t="inlineStr">
        <is>
          <t>FirstOntario Credit Union Limited</t>
        </is>
      </c>
    </row>
    <row r="1472" ht="15" customHeight="1" s="3710">
      <c r="B1472" s="4372" t="inlineStr">
        <is>
          <t>FirstOntario Credit Union Limited</t>
        </is>
      </c>
    </row>
    <row r="1473" ht="15" customHeight="1" s="3710">
      <c r="B1473" s="4372" t="inlineStr">
        <is>
          <t>FirstOntario Credit Union Limited</t>
        </is>
      </c>
    </row>
    <row r="1474" ht="15" customHeight="1" s="3710">
      <c r="B1474" s="4372" t="inlineStr">
        <is>
          <t>FirstOntario Credit Union Limited</t>
        </is>
      </c>
    </row>
    <row r="1475" ht="15" customHeight="1" s="3710">
      <c r="B1475" s="4372" t="inlineStr">
        <is>
          <t>FirstOntario Credit Union Limited</t>
        </is>
      </c>
    </row>
    <row r="1476" ht="15" customHeight="1" s="3710">
      <c r="B1476" s="4372" t="inlineStr">
        <is>
          <t>FirstOntario Credit Union Limited</t>
        </is>
      </c>
    </row>
    <row r="1477" ht="15" customHeight="1" s="3710">
      <c r="B1477" s="4372" t="inlineStr">
        <is>
          <t>FirstOntario Credit Union Limited</t>
        </is>
      </c>
    </row>
    <row r="1478" ht="15" customHeight="1" s="3710">
      <c r="B1478" s="4372" t="inlineStr">
        <is>
          <t>FirstOntario Credit Union Limited</t>
        </is>
      </c>
    </row>
    <row r="1479" ht="15" customHeight="1" s="3710">
      <c r="B1479" s="4372" t="inlineStr">
        <is>
          <t>FirstOntario Credit Union Limited</t>
        </is>
      </c>
    </row>
    <row r="1480" ht="15" customHeight="1" s="3710">
      <c r="B1480" s="4372" t="inlineStr">
        <is>
          <t>FirstOntario Credit Union Limited</t>
        </is>
      </c>
    </row>
    <row r="1481" ht="15" customHeight="1" s="3710">
      <c r="B1481" s="4372" t="inlineStr">
        <is>
          <t>FirstOntario Credit Union Limited</t>
        </is>
      </c>
    </row>
    <row r="1482" ht="15" customHeight="1" s="3710">
      <c r="B1482" s="4372" t="inlineStr">
        <is>
          <t>FirstOntario Credit Union Limited</t>
        </is>
      </c>
    </row>
    <row r="1483" ht="15" customHeight="1" s="3710">
      <c r="B1483" s="4372" t="inlineStr">
        <is>
          <t>FirstOntario Credit Union Limited</t>
        </is>
      </c>
    </row>
    <row r="1484" ht="15" customHeight="1" s="3710">
      <c r="B1484" s="4372" t="inlineStr">
        <is>
          <t>FirstOntario Credit Union Limited</t>
        </is>
      </c>
    </row>
    <row r="1485" ht="15" customHeight="1" s="3710">
      <c r="B1485" s="4372" t="inlineStr">
        <is>
          <t>FirstOntario Credit Union Limited</t>
        </is>
      </c>
    </row>
    <row r="1486" ht="15" customHeight="1" s="3710">
      <c r="B1486" s="4372" t="inlineStr">
        <is>
          <t>FirstOntario Credit Union Limited</t>
        </is>
      </c>
    </row>
    <row r="1487" ht="15" customHeight="1" s="3710">
      <c r="B1487" s="4372" t="inlineStr">
        <is>
          <t>FirstOntario Credit Union Limited</t>
        </is>
      </c>
    </row>
    <row r="1488" ht="15" customHeight="1" s="3710">
      <c r="B1488" s="4372" t="inlineStr">
        <is>
          <t>FirstOntario Credit Union Limited</t>
        </is>
      </c>
    </row>
    <row r="1489" ht="15" customHeight="1" s="3710">
      <c r="B1489" s="4372" t="inlineStr">
        <is>
          <t>FirstOntario Credit Union Limited</t>
        </is>
      </c>
    </row>
    <row r="1490" ht="15" customHeight="1" s="3710">
      <c r="B1490" s="4372" t="inlineStr">
        <is>
          <t>FirstOntario Credit Union Limited</t>
        </is>
      </c>
    </row>
    <row r="1491" ht="15" customHeight="1" s="3710">
      <c r="B1491" s="4372" t="inlineStr">
        <is>
          <t>FirstOntario Credit Union Limited</t>
        </is>
      </c>
    </row>
    <row r="1492" ht="15" customHeight="1" s="3710">
      <c r="B1492" s="4372" t="inlineStr">
        <is>
          <t>FirstOntario Credit Union Limited</t>
        </is>
      </c>
    </row>
    <row r="1493" ht="15" customHeight="1" s="3710">
      <c r="B1493" s="4372" t="inlineStr">
        <is>
          <t>FirstOntario Credit Union Limited</t>
        </is>
      </c>
    </row>
    <row r="1494" ht="15" customHeight="1" s="3710">
      <c r="B1494" s="4372" t="inlineStr">
        <is>
          <t>FirstOntario Credit Union Limited</t>
        </is>
      </c>
    </row>
    <row r="1495" ht="15" customHeight="1" s="3710">
      <c r="B1495" s="4372" t="inlineStr">
        <is>
          <t>FirstOntario Credit Union Limited</t>
        </is>
      </c>
    </row>
    <row r="1496" ht="15" customHeight="1" s="3710">
      <c r="B1496" s="4372" t="inlineStr">
        <is>
          <t>FirstOntario Credit Union Limited</t>
        </is>
      </c>
    </row>
    <row r="1497" ht="15" customHeight="1" s="3710">
      <c r="B1497" s="4372" t="inlineStr">
        <is>
          <t>FirstOntario Credit Union Limited</t>
        </is>
      </c>
    </row>
    <row r="1498" ht="15" customHeight="1" s="3710">
      <c r="B1498" s="4372" t="inlineStr">
        <is>
          <t>FirstOntario Credit Union Limited</t>
        </is>
      </c>
    </row>
    <row r="1499" ht="15" customHeight="1" s="3710">
      <c r="B1499" s="4372" t="inlineStr">
        <is>
          <t>FirstOntario Credit Union Limited</t>
        </is>
      </c>
    </row>
    <row r="1500" ht="15" customHeight="1" s="3710">
      <c r="B1500" s="4372" t="inlineStr">
        <is>
          <t>FirstOntario Credit Union Limited</t>
        </is>
      </c>
    </row>
    <row r="1501" ht="15" customHeight="1" s="3710">
      <c r="B1501" s="4372" t="inlineStr">
        <is>
          <t>FirstOntario Credit Union Limited</t>
        </is>
      </c>
    </row>
    <row r="1502" ht="15" customHeight="1" s="3710">
      <c r="B1502" s="4372" t="inlineStr">
        <is>
          <t>FirstOntario Credit Union Limited</t>
        </is>
      </c>
    </row>
    <row r="1503" ht="15" customHeight="1" s="3710">
      <c r="B1503" s="4372" t="inlineStr">
        <is>
          <t>FirstOntario Credit Union Limited</t>
        </is>
      </c>
    </row>
    <row r="1504" ht="15" customHeight="1" s="3710">
      <c r="B1504" s="4372" t="inlineStr">
        <is>
          <t>FirstOntario Credit Union Limited</t>
        </is>
      </c>
    </row>
    <row r="1505" ht="15" customHeight="1" s="3710">
      <c r="B1505" s="4372" t="inlineStr">
        <is>
          <t>FirstOntario Credit Union Limited</t>
        </is>
      </c>
    </row>
    <row r="1506" ht="15" customHeight="1" s="3710">
      <c r="B1506" s="4372" t="inlineStr">
        <is>
          <t>FirstOntario Credit Union Limited</t>
        </is>
      </c>
    </row>
    <row r="1507" ht="15" customHeight="1" s="3710">
      <c r="B1507" s="4372" t="inlineStr">
        <is>
          <t>FirstOntario Credit Union Limited</t>
        </is>
      </c>
    </row>
    <row r="1508" ht="15" customHeight="1" s="3710">
      <c r="B1508" s="4372" t="inlineStr">
        <is>
          <t>FirstOntario Credit Union Limited</t>
        </is>
      </c>
    </row>
    <row r="1509" ht="15" customHeight="1" s="3710">
      <c r="B1509" s="4372" t="inlineStr">
        <is>
          <t>FirstOntario Credit Union Limited</t>
        </is>
      </c>
    </row>
    <row r="1510" ht="15" customHeight="1" s="3710">
      <c r="B1510" s="4372" t="inlineStr">
        <is>
          <t>FirstOntario Credit Union Limited</t>
        </is>
      </c>
    </row>
    <row r="1511" ht="15" customHeight="1" s="3710">
      <c r="B1511" s="4372" t="inlineStr">
        <is>
          <t>FirstOntario Credit Union Limited</t>
        </is>
      </c>
    </row>
    <row r="1512" ht="15" customHeight="1" s="3710">
      <c r="B1512" s="4372" t="inlineStr">
        <is>
          <t>FirstOntario Credit Union Limited</t>
        </is>
      </c>
    </row>
    <row r="1513" ht="15" customHeight="1" s="3710">
      <c r="B1513" s="4372" t="inlineStr">
        <is>
          <t>FirstOntario Credit Union Limited</t>
        </is>
      </c>
    </row>
    <row r="1514" ht="15" customHeight="1" s="3710">
      <c r="B1514" s="4372" t="inlineStr">
        <is>
          <t>FirstOntario Credit Union Limited</t>
        </is>
      </c>
    </row>
    <row r="1515" ht="15" customHeight="1" s="3710">
      <c r="B1515" s="4372" t="inlineStr">
        <is>
          <t>FirstOntario Credit Union Limited</t>
        </is>
      </c>
    </row>
    <row r="1516" ht="15" customHeight="1" s="3710">
      <c r="B1516" s="4372" t="inlineStr">
        <is>
          <t>FirstOntario Credit Union Limited</t>
        </is>
      </c>
    </row>
    <row r="1517" ht="15" customHeight="1" s="3710">
      <c r="B1517" s="4372" t="inlineStr">
        <is>
          <t>FirstOntario Credit Union Limited</t>
        </is>
      </c>
    </row>
    <row r="1518" ht="15" customHeight="1" s="3710">
      <c r="B1518" s="4372" t="inlineStr">
        <is>
          <t>FirstOntario Credit Union Limited</t>
        </is>
      </c>
    </row>
    <row r="1519" ht="15" customHeight="1" s="3710">
      <c r="B1519" s="4372" t="inlineStr">
        <is>
          <t>FirstOntario Credit Union Limited</t>
        </is>
      </c>
    </row>
    <row r="1520" ht="15" customHeight="1" s="3710">
      <c r="B1520" s="4372" t="inlineStr">
        <is>
          <t>FirstOntario Credit Union Limited</t>
        </is>
      </c>
    </row>
    <row r="1521" ht="15" customHeight="1" s="3710">
      <c r="B1521" s="4372" t="inlineStr">
        <is>
          <t>FirstOntario Credit Union Limited</t>
        </is>
      </c>
    </row>
    <row r="1522" ht="15" customHeight="1" s="3710">
      <c r="B1522" s="4372" t="inlineStr">
        <is>
          <t>FirstOntario Credit Union Limited</t>
        </is>
      </c>
    </row>
    <row r="1523" ht="15" customHeight="1" s="3710">
      <c r="B1523" s="4372" t="inlineStr">
        <is>
          <t>FirstOntario Credit Union Limited</t>
        </is>
      </c>
    </row>
    <row r="1524" ht="15" customHeight="1" s="3710">
      <c r="B1524" s="4372" t="inlineStr">
        <is>
          <t>FirstOntario Credit Union Limited</t>
        </is>
      </c>
    </row>
    <row r="1525" ht="15" customHeight="1" s="3710">
      <c r="B1525" s="4372" t="inlineStr">
        <is>
          <t>FirstOntario Credit Union Limited</t>
        </is>
      </c>
    </row>
    <row r="1526" ht="15" customHeight="1" s="3710">
      <c r="B1526" s="4372" t="inlineStr">
        <is>
          <t>FirstOntario Credit Union Limited</t>
        </is>
      </c>
    </row>
    <row r="1527" ht="15" customHeight="1" s="3710">
      <c r="B1527" s="4372" t="inlineStr">
        <is>
          <t>FirstOntario Credit Union Limited</t>
        </is>
      </c>
    </row>
    <row r="1528" ht="15" customHeight="1" s="3710">
      <c r="B1528" s="4372" t="inlineStr">
        <is>
          <t>FirstOntario Credit Union Limited</t>
        </is>
      </c>
    </row>
    <row r="1529" ht="15" customHeight="1" s="3710">
      <c r="B1529" s="4372" t="inlineStr">
        <is>
          <t>FirstOntario Credit Union Limited</t>
        </is>
      </c>
    </row>
    <row r="1530" ht="15" customHeight="1" s="3710">
      <c r="B1530" s="4372" t="inlineStr">
        <is>
          <t>FirstOntario Credit Union Limited</t>
        </is>
      </c>
    </row>
    <row r="1531"/>
    <row r="1532" ht="15" customHeight="1" s="3710">
      <c r="B1532" s="4372" t="inlineStr">
        <is>
          <t>Healthcare &amp; Municipal Employees’ Credit Union</t>
        </is>
      </c>
    </row>
    <row r="1533" ht="15" customHeight="1" s="3710">
      <c r="B1533" s="4372" t="inlineStr">
        <is>
          <t>Healthcare &amp; Municipal Employees’ Credit Union</t>
        </is>
      </c>
    </row>
    <row r="1534" ht="15" customHeight="1" s="3710">
      <c r="B1534" s="4372" t="inlineStr">
        <is>
          <t>Healthcare &amp; Municipal Employees’ Credit Union</t>
        </is>
      </c>
    </row>
    <row r="1535" ht="15" customHeight="1" s="3710">
      <c r="B1535" s="4372" t="inlineStr">
        <is>
          <t>Healthcare &amp; Municipal Employees’ Credit Union</t>
        </is>
      </c>
    </row>
    <row r="1536" ht="15" customHeight="1" s="3710">
      <c r="B1536" s="4372" t="inlineStr">
        <is>
          <t>Healthcare &amp; Municipal Employees’ Credit Union</t>
        </is>
      </c>
    </row>
    <row r="1537" ht="15" customHeight="1" s="3710">
      <c r="B1537" s="4372" t="inlineStr">
        <is>
          <t>Healthcare &amp; Municipal Employees’ Credit Union</t>
        </is>
      </c>
    </row>
    <row r="1538" ht="15" customHeight="1" s="3710">
      <c r="B1538" s="4372" t="inlineStr">
        <is>
          <t>Healthcare &amp; Municipal Employees’ Credit Union</t>
        </is>
      </c>
    </row>
    <row r="1539" ht="15" customHeight="1" s="3710">
      <c r="B1539" s="4372" t="inlineStr">
        <is>
          <t>Healthcare &amp; Municipal Employees’ Credit Union</t>
        </is>
      </c>
    </row>
    <row r="1540" ht="15" customHeight="1" s="3710">
      <c r="B1540" s="4372" t="inlineStr">
        <is>
          <t>Healthcare &amp; Municipal Employees’ Credit Union</t>
        </is>
      </c>
    </row>
    <row r="1541" ht="15" customHeight="1" s="3710">
      <c r="B1541" s="4372" t="inlineStr">
        <is>
          <t>Healthcare &amp; Municipal Employees’ Credit Union</t>
        </is>
      </c>
    </row>
    <row r="1542" ht="15" customHeight="1" s="3710">
      <c r="B1542" s="4372" t="inlineStr">
        <is>
          <t>Healthcare &amp; Municipal Employees’ Credit Union</t>
        </is>
      </c>
    </row>
    <row r="1543" ht="15" customHeight="1" s="3710">
      <c r="B1543" s="4372" t="inlineStr">
        <is>
          <t>Healthcare &amp; Municipal Employees’ Credit Union</t>
        </is>
      </c>
    </row>
    <row r="1544" ht="15" customHeight="1" s="3710">
      <c r="B1544" s="4372" t="inlineStr">
        <is>
          <t>Healthcare &amp; Municipal Employees’ Credit Union</t>
        </is>
      </c>
    </row>
    <row r="1545" ht="15" customHeight="1" s="3710">
      <c r="B1545" s="4372" t="inlineStr">
        <is>
          <t>Healthcare &amp; Municipal Employees’ Credit Union</t>
        </is>
      </c>
    </row>
    <row r="1546" ht="15" customHeight="1" s="3710">
      <c r="B1546" s="4372" t="inlineStr">
        <is>
          <t>Healthcare &amp; Municipal Employees’ Credit Union</t>
        </is>
      </c>
    </row>
    <row r="1547" ht="15" customHeight="1" s="3710">
      <c r="B1547" s="4372" t="inlineStr">
        <is>
          <t>Healthcare &amp; Municipal Employees’ Credit Union</t>
        </is>
      </c>
    </row>
    <row r="1548" ht="15" customHeight="1" s="3710">
      <c r="B1548" s="4372" t="inlineStr">
        <is>
          <t>Healthcare &amp; Municipal Employees’ Credit Union</t>
        </is>
      </c>
    </row>
    <row r="1549" ht="15" customHeight="1" s="3710">
      <c r="B1549" s="4372" t="inlineStr">
        <is>
          <t>Healthcare &amp; Municipal Employees’ Credit Union</t>
        </is>
      </c>
    </row>
    <row r="1550" ht="15" customHeight="1" s="3710">
      <c r="B1550" s="4372" t="inlineStr">
        <is>
          <t>Healthcare &amp; Municipal Employees’ Credit Union</t>
        </is>
      </c>
    </row>
    <row r="1551" ht="15" customHeight="1" s="3710">
      <c r="B1551" s="4372" t="inlineStr">
        <is>
          <t>Healthcare &amp; Municipal Employees’ Credit Union</t>
        </is>
      </c>
    </row>
    <row r="1552" ht="15" customHeight="1" s="3710">
      <c r="B1552" s="4372" t="inlineStr">
        <is>
          <t>Healthcare &amp; Municipal Employees’ Credit Union</t>
        </is>
      </c>
    </row>
    <row r="1553" ht="15" customHeight="1" s="3710">
      <c r="B1553" s="4372" t="inlineStr">
        <is>
          <t>Healthcare &amp; Municipal Employees’ Credit Union</t>
        </is>
      </c>
    </row>
    <row r="1554" ht="15" customHeight="1" s="3710">
      <c r="B1554" s="4372" t="inlineStr">
        <is>
          <t>Healthcare &amp; Municipal Employees’ Credit Union</t>
        </is>
      </c>
    </row>
    <row r="1555" ht="15" customHeight="1" s="3710">
      <c r="B1555" s="4372" t="inlineStr">
        <is>
          <t>Healthcare &amp; Municipal Employees’ Credit Union</t>
        </is>
      </c>
    </row>
    <row r="1556" ht="15" customHeight="1" s="3710">
      <c r="B1556" s="4372" t="inlineStr">
        <is>
          <t>Healthcare &amp; Municipal Employees’ Credit Union</t>
        </is>
      </c>
    </row>
    <row r="1557" ht="15" customHeight="1" s="3710">
      <c r="B1557" s="4372" t="inlineStr">
        <is>
          <t>Healthcare &amp; Municipal Employees’ Credit Union</t>
        </is>
      </c>
    </row>
    <row r="1558" ht="15" customHeight="1" s="3710">
      <c r="B1558" s="4372" t="inlineStr">
        <is>
          <t>Healthcare &amp; Municipal Employees’ Credit Union</t>
        </is>
      </c>
    </row>
    <row r="1559" ht="15" customHeight="1" s="3710">
      <c r="B1559" s="4372" t="inlineStr">
        <is>
          <t>Healthcare &amp; Municipal Employees’ Credit Union</t>
        </is>
      </c>
    </row>
    <row r="1560" ht="15" customHeight="1" s="3710">
      <c r="B1560" s="4372" t="inlineStr">
        <is>
          <t>Healthcare &amp; Municipal Employees’ Credit Union</t>
        </is>
      </c>
    </row>
    <row r="1561" ht="15" customHeight="1" s="3710">
      <c r="B1561" s="4372" t="inlineStr">
        <is>
          <t>Healthcare &amp; Municipal Employees’ Credit Union</t>
        </is>
      </c>
    </row>
    <row r="1562" ht="15" customHeight="1" s="3710">
      <c r="B1562" s="4372" t="inlineStr">
        <is>
          <t>Healthcare &amp; Municipal Employees’ Credit Union</t>
        </is>
      </c>
    </row>
    <row r="1563" ht="15" customHeight="1" s="3710">
      <c r="B1563" s="4372" t="inlineStr">
        <is>
          <t>Healthcare &amp; Municipal Employees’ Credit Union</t>
        </is>
      </c>
    </row>
    <row r="1564" ht="15" customHeight="1" s="3710">
      <c r="B1564" s="4372" t="inlineStr">
        <is>
          <t>Healthcare &amp; Municipal Employees’ Credit Union</t>
        </is>
      </c>
    </row>
    <row r="1565" ht="15" customHeight="1" s="3710">
      <c r="B1565" s="4372" t="inlineStr">
        <is>
          <t>Healthcare &amp; Municipal Employees’ Credit Union</t>
        </is>
      </c>
    </row>
    <row r="1566" ht="15" customHeight="1" s="3710">
      <c r="B1566" s="4372" t="inlineStr">
        <is>
          <t>Healthcare &amp; Municipal Employees’ Credit Union</t>
        </is>
      </c>
    </row>
    <row r="1567" ht="15" customHeight="1" s="3710">
      <c r="B1567" s="4372" t="inlineStr">
        <is>
          <t>Healthcare &amp; Municipal Employees’ Credit Union</t>
        </is>
      </c>
    </row>
    <row r="1568" ht="15" customHeight="1" s="3710">
      <c r="B1568" s="4372" t="inlineStr">
        <is>
          <t>Healthcare &amp; Municipal Employees’ Credit Union</t>
        </is>
      </c>
    </row>
    <row r="1569" ht="15" customHeight="1" s="3710">
      <c r="B1569" s="4372" t="inlineStr">
        <is>
          <t>Healthcare &amp; Municipal Employees’ Credit Union</t>
        </is>
      </c>
    </row>
    <row r="1570" ht="15" customHeight="1" s="3710">
      <c r="B1570" s="4372" t="inlineStr">
        <is>
          <t>Healthcare &amp; Municipal Employees’ Credit Union</t>
        </is>
      </c>
    </row>
    <row r="1571" ht="15" customHeight="1" s="3710">
      <c r="B1571" s="4372" t="inlineStr">
        <is>
          <t>Healthcare &amp; Municipal Employees’ Credit Union</t>
        </is>
      </c>
    </row>
    <row r="1572" ht="15" customHeight="1" s="3710">
      <c r="B1572" s="4372" t="inlineStr">
        <is>
          <t>Healthcare &amp; Municipal Employees’ Credit Union</t>
        </is>
      </c>
    </row>
    <row r="1573" ht="15" customHeight="1" s="3710">
      <c r="B1573" s="4372" t="inlineStr">
        <is>
          <t>Healthcare &amp; Municipal Employees’ Credit Union</t>
        </is>
      </c>
    </row>
    <row r="1574" ht="15" customHeight="1" s="3710">
      <c r="B1574" s="4372" t="inlineStr">
        <is>
          <t>Healthcare &amp; Municipal Employees’ Credit Union</t>
        </is>
      </c>
    </row>
    <row r="1575" ht="15" customHeight="1" s="3710">
      <c r="B1575" s="4372" t="inlineStr">
        <is>
          <t>Healthcare &amp; Municipal Employees’ Credit Union</t>
        </is>
      </c>
    </row>
    <row r="1576" ht="15" customHeight="1" s="3710">
      <c r="B1576" s="4372" t="inlineStr">
        <is>
          <t>Healthcare &amp; Municipal Employees’ Credit Union</t>
        </is>
      </c>
    </row>
    <row r="1577" ht="15" customHeight="1" s="3710">
      <c r="B1577" s="4372" t="inlineStr">
        <is>
          <t>Healthcare &amp; Municipal Employees’ Credit Union</t>
        </is>
      </c>
    </row>
    <row r="1578" ht="15" customHeight="1" s="3710">
      <c r="B1578" s="4372" t="inlineStr">
        <is>
          <t>Healthcare &amp; Municipal Employees’ Credit Union</t>
        </is>
      </c>
    </row>
    <row r="1579" ht="15" customHeight="1" s="3710">
      <c r="B1579" s="4372" t="inlineStr">
        <is>
          <t>Healthcare &amp; Municipal Employees’ Credit Union</t>
        </is>
      </c>
    </row>
    <row r="1580" ht="15" customHeight="1" s="3710">
      <c r="B1580" s="4372" t="inlineStr">
        <is>
          <t>Healthcare &amp; Municipal Employees’ Credit Union</t>
        </is>
      </c>
    </row>
    <row r="1581" ht="15" customHeight="1" s="3710">
      <c r="B1581" s="4372" t="inlineStr">
        <is>
          <t>Healthcare &amp; Municipal Employees’ Credit Union</t>
        </is>
      </c>
    </row>
    <row r="1582" ht="15" customHeight="1" s="3710">
      <c r="B1582" s="4372" t="inlineStr">
        <is>
          <t>Healthcare &amp; Municipal Employees’ Credit Union</t>
        </is>
      </c>
    </row>
    <row r="1583" ht="15" customHeight="1" s="3710">
      <c r="B1583" s="4372" t="inlineStr">
        <is>
          <t>Healthcare &amp; Municipal Employees’ Credit Union</t>
        </is>
      </c>
    </row>
    <row r="1584"/>
    <row r="1585"/>
    <row r="1586"/>
    <row r="1587"/>
    <row r="1588"/>
    <row r="1589"/>
    <row r="1590"/>
    <row r="1591" ht="15" customHeight="1" s="3710">
      <c r="A1591" s="4426" t="n"/>
      <c r="B1591" s="4427" t="n"/>
    </row>
    <row r="1592" ht="15" customHeight="1" s="3710">
      <c r="A1592" s="4426" t="n"/>
      <c r="B1592" s="4427" t="n"/>
    </row>
    <row r="1593"/>
    <row r="1594"/>
    <row r="1595"/>
    <row r="1596" ht="15" customHeight="1" s="3710">
      <c r="A1596" s="4426" t="n"/>
      <c r="B1596" s="4427" t="n"/>
    </row>
    <row r="1597" ht="15" customHeight="1" s="3710">
      <c r="A1597" s="4426" t="n"/>
      <c r="B1597" s="4427"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19.xml><?xml version="1.0" encoding="utf-8"?>
<worksheet xmlns="http://schemas.openxmlformats.org/spreadsheetml/2006/main">
  <sheetPr filterMode="0">
    <tabColor rgb="FF000000"/>
    <outlinePr summaryBelow="1" summaryRight="1"/>
    <pageSetUpPr fitToPage="0"/>
  </sheetPr>
  <dimension ref="A1:A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5703125" defaultRowHeight="11.25" customHeight="0" zeroHeight="0" outlineLevelRow="0"/>
  <cols>
    <col width="9.57" customWidth="1" style="4265" min="1" max="16384"/>
  </cols>
  <sheetData/>
  <printOptions horizontalCentered="0" verticalCentered="0" headings="0" gridLines="0" gridLinesSet="1"/>
  <pageMargins left="0.7" right="0.7" top="0.75" bottom="0.75" header="0.511811023622047" footer="0.3"/>
  <pageSetup orientation="portrait" paperSize="1" scale="100" fitToHeight="1" fitToWidth="1" pageOrder="downThenOver" blackAndWhite="0" draft="0" horizontalDpi="300" verticalDpi="300" copies="1"/>
  <headerFooter differentOddEven="0" differentFirst="0">
    <oddHeader/>
    <oddFooter>&amp;C&amp;"Arial,Bold"&amp;7 Document Classification: KPMG Confidential</oddFooter>
    <evenHeader/>
    <evenFooter/>
    <firstHeader/>
    <firstFooter/>
  </headerFooter>
</worksheet>
</file>

<file path=xl/worksheets/sheet20.xml><?xml version="1.0" encoding="utf-8"?>
<worksheet xmlns="http://schemas.openxmlformats.org/spreadsheetml/2006/main">
  <sheetPr filterMode="0">
    <outlinePr summaryBelow="1" summaryRight="1"/>
    <pageSetUpPr fitToPage="0"/>
  </sheetPr>
  <dimension ref="A1:M58"/>
  <sheetViews>
    <sheetView showFormulas="0" showGridLines="0"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5703125" defaultRowHeight="11.25" customHeight="0" zeroHeight="0" outlineLevelRow="1"/>
  <cols>
    <col width="3.57" customWidth="1" style="4170" min="1" max="1"/>
    <col width="1.42" customWidth="1" style="3740" min="2" max="2"/>
    <col width="39.14" customWidth="1" style="3743" min="3" max="3"/>
    <col width="8.42" customWidth="1" style="3743" min="4" max="5"/>
    <col width="6.85" customWidth="1" style="3743" min="6" max="6"/>
    <col width="8.42" customWidth="1" style="3743" min="7" max="8"/>
    <col width="6.85" customWidth="1" style="3743" min="9" max="9"/>
    <col width="8.42" customWidth="1" style="3743" min="10" max="11"/>
    <col width="6.85" customWidth="1" style="3743" min="12" max="12"/>
    <col width="8.57" customWidth="1" style="3743" min="13" max="16384"/>
  </cols>
  <sheetData>
    <row r="1" ht="22.05" customHeight="1" s="3710">
      <c r="A1" s="4166" t="n"/>
      <c r="B1" s="4552" t="inlineStr">
        <is>
          <t>Project Name</t>
        </is>
      </c>
    </row>
    <row r="2" ht="11.45" customHeight="1" s="3710">
      <c r="B2" s="4553">
        <f>C7</f>
        <v/>
      </c>
    </row>
    <row r="3" ht="11.25" customHeight="1" s="3710">
      <c r="B3" s="4554" t="inlineStr">
        <is>
          <t>Source: TBD</t>
        </is>
      </c>
    </row>
    <row r="4" ht="11.25" customHeight="1" s="3710">
      <c r="B4" s="4555" t="inlineStr">
        <is>
          <t>WORKING DRAFT</t>
        </is>
      </c>
    </row>
    <row r="5" ht="11.25" customHeight="1" s="3710">
      <c r="B5" s="3753" t="n"/>
    </row>
    <row r="6" ht="11.25" customHeight="1" s="3710">
      <c r="B6" s="3753" t="n"/>
    </row>
    <row r="7" ht="19.5" customFormat="1" customHeight="1" s="3743">
      <c r="A7" s="4170" t="n"/>
      <c r="B7" s="3903" t="n"/>
      <c r="C7" s="4556" t="inlineStr">
        <is>
          <t>Income statement reconciliation</t>
        </is>
      </c>
      <c r="D7" s="4175" t="n"/>
      <c r="E7" s="4175" t="n"/>
      <c r="F7" s="4175" t="n"/>
      <c r="G7" s="4175" t="n"/>
      <c r="H7" s="4175" t="n"/>
      <c r="I7" s="4175" t="n"/>
      <c r="J7" s="4175" t="n"/>
      <c r="K7" s="4175" t="n"/>
      <c r="L7" s="4175" t="n"/>
    </row>
    <row r="8" ht="12" customHeight="1" s="3710">
      <c r="B8" s="3903" t="n"/>
      <c r="C8" s="4557" t="n"/>
      <c r="D8" s="4181" t="inlineStr">
        <is>
          <t>FY21</t>
        </is>
      </c>
      <c r="E8" s="4181" t="n"/>
      <c r="F8" s="4430" t="n"/>
      <c r="G8" s="4181" t="inlineStr">
        <is>
          <t>FY22</t>
        </is>
      </c>
      <c r="H8" s="4181" t="n"/>
      <c r="I8" s="4430" t="n"/>
      <c r="J8" s="4181" t="inlineStr">
        <is>
          <t>FY23</t>
        </is>
      </c>
      <c r="K8" s="4181" t="n"/>
      <c r="L8" s="4181" t="n"/>
    </row>
    <row r="9" ht="37.3" customHeight="1" s="3710">
      <c r="B9" s="3903" t="n"/>
      <c r="C9" s="4557" t="inlineStr">
        <is>
          <t>$'000</t>
        </is>
      </c>
      <c r="D9" s="4431" t="inlineStr">
        <is>
          <t>Audited 
financial 
statements</t>
        </is>
      </c>
      <c r="E9" s="4431" t="inlineStr">
        <is>
          <t>Internal financial 
statements</t>
        </is>
      </c>
      <c r="F9" s="4432" t="inlineStr">
        <is>
          <t>Variance</t>
        </is>
      </c>
      <c r="G9" s="4431" t="inlineStr">
        <is>
          <t>Audited 
financial 
statements</t>
        </is>
      </c>
      <c r="H9" s="4431" t="inlineStr">
        <is>
          <t>Internal financial 
statements</t>
        </is>
      </c>
      <c r="I9" s="4432" t="inlineStr">
        <is>
          <t>Variance</t>
        </is>
      </c>
      <c r="J9" s="4431" t="inlineStr">
        <is>
          <t>Audited 
financial 
statements</t>
        </is>
      </c>
      <c r="K9" s="4431" t="inlineStr">
        <is>
          <t>Internal financial 
statements</t>
        </is>
      </c>
      <c r="L9" s="4433" t="inlineStr">
        <is>
          <t>Variance</t>
        </is>
      </c>
    </row>
    <row r="10" ht="12" customHeight="1" s="3710">
      <c r="A10" s="4434" t="n"/>
      <c r="B10" s="3891" t="n"/>
      <c r="C10" s="4435" t="inlineStr">
        <is>
          <t>Revenue</t>
        </is>
      </c>
      <c r="D10" s="4436" t="n">
        <v>40398</v>
      </c>
      <c r="E10" s="4436" t="n"/>
      <c r="F10" s="4437" t="n"/>
      <c r="G10" s="4436" t="n"/>
      <c r="H10" s="4436" t="n"/>
      <c r="I10" s="4437" t="n"/>
      <c r="J10" s="4436" t="n"/>
      <c r="K10" s="4436" t="n"/>
      <c r="L10" s="4438" t="n"/>
    </row>
    <row r="11" hidden="1" outlineLevel="1" ht="12" customHeight="1" s="3710">
      <c r="B11" s="3891" t="n"/>
      <c r="C11" s="4439" t="inlineStr">
        <is>
          <t>Compensation</t>
        </is>
      </c>
      <c r="D11" s="4436" t="n">
        <v>-12443</v>
      </c>
      <c r="E11" s="4436" t="n"/>
      <c r="F11" s="4437" t="n"/>
      <c r="G11" s="4436" t="n"/>
      <c r="H11" s="4436" t="n"/>
      <c r="I11" s="4437" t="n"/>
      <c r="J11" s="4436" t="n"/>
      <c r="K11" s="4436" t="n"/>
      <c r="L11" s="4438" t="n"/>
    </row>
    <row r="12" hidden="1" outlineLevel="1" ht="12" customHeight="1" s="3710">
      <c r="B12" s="3891" t="n"/>
      <c r="C12" s="4439" t="inlineStr">
        <is>
          <t>Cost of goods sold</t>
        </is>
      </c>
      <c r="D12" s="4436" t="n">
        <v>-7600</v>
      </c>
      <c r="E12" s="4436" t="n"/>
      <c r="F12" s="4437" t="n"/>
      <c r="G12" s="4436" t="n"/>
      <c r="H12" s="4436" t="n"/>
      <c r="I12" s="4437" t="n"/>
      <c r="J12" s="4436" t="n"/>
      <c r="K12" s="4436" t="n"/>
      <c r="L12" s="4438" t="n"/>
    </row>
    <row r="13" hidden="1" outlineLevel="1" ht="12" customHeight="1" s="3710">
      <c r="B13" s="3891" t="n"/>
      <c r="C13" s="4439" t="inlineStr">
        <is>
          <t>Data processing and equipment</t>
        </is>
      </c>
      <c r="D13" s="4436" t="n">
        <v>-5720</v>
      </c>
      <c r="E13" s="4436" t="n"/>
      <c r="F13" s="4437" t="n"/>
      <c r="G13" s="4436" t="n"/>
      <c r="H13" s="4436" t="n"/>
      <c r="I13" s="4437" t="n"/>
      <c r="J13" s="4436" t="n"/>
      <c r="K13" s="4436" t="n"/>
      <c r="L13" s="4438" t="n"/>
    </row>
    <row r="14" hidden="1" outlineLevel="1" ht="12" customHeight="1" s="3710">
      <c r="B14" s="3891" t="n"/>
      <c r="C14" s="4439" t="inlineStr">
        <is>
          <t>Contracted staffing and services</t>
        </is>
      </c>
      <c r="D14" s="4436" t="n">
        <v>-1807</v>
      </c>
      <c r="E14" s="4436" t="n"/>
      <c r="F14" s="4437" t="n"/>
      <c r="G14" s="4436" t="n"/>
      <c r="H14" s="4436" t="n"/>
      <c r="I14" s="4437" t="n"/>
      <c r="J14" s="4436" t="n"/>
      <c r="K14" s="4436" t="n"/>
      <c r="L14" s="4438" t="n"/>
    </row>
    <row r="15" hidden="1" outlineLevel="1" ht="12" customHeight="1" s="3710">
      <c r="B15" s="3891" t="n"/>
      <c r="C15" s="4439" t="inlineStr">
        <is>
          <t>Occupancy and office</t>
        </is>
      </c>
      <c r="D15" s="4436" t="n">
        <v>-617</v>
      </c>
      <c r="E15" s="4436" t="n"/>
      <c r="F15" s="4437" t="n"/>
      <c r="G15" s="4436" t="n"/>
      <c r="H15" s="4436" t="n"/>
      <c r="I15" s="4437" t="n"/>
      <c r="J15" s="4436" t="n"/>
      <c r="K15" s="4436" t="n"/>
      <c r="L15" s="4438" t="n"/>
    </row>
    <row r="16" hidden="1" outlineLevel="1" ht="12" customHeight="1" s="3710">
      <c r="B16" s="3891" t="n"/>
      <c r="C16" s="4439" t="inlineStr">
        <is>
          <t>Marketing, travel and other</t>
        </is>
      </c>
      <c r="D16" s="4436" t="n">
        <v>-551</v>
      </c>
      <c r="E16" s="4436" t="n"/>
      <c r="F16" s="4437" t="n"/>
      <c r="G16" s="4436" t="n"/>
      <c r="H16" s="4436" t="n"/>
      <c r="I16" s="4437" t="n"/>
      <c r="J16" s="4436" t="n"/>
      <c r="K16" s="4436" t="n"/>
      <c r="L16" s="4438" t="n"/>
    </row>
    <row r="17" hidden="1" outlineLevel="1" ht="12" customHeight="1" s="3710">
      <c r="B17" s="3891" t="n"/>
      <c r="C17" s="4439" t="inlineStr">
        <is>
          <t>Amortization of property and equipment</t>
        </is>
      </c>
      <c r="D17" s="4436" t="n">
        <v>-1406</v>
      </c>
      <c r="E17" s="4436" t="n"/>
      <c r="F17" s="4437" t="n"/>
      <c r="G17" s="4436" t="n"/>
      <c r="H17" s="4436" t="n"/>
      <c r="I17" s="4437" t="n"/>
      <c r="J17" s="4436" t="n"/>
      <c r="K17" s="4436" t="n"/>
      <c r="L17" s="4438" t="n"/>
    </row>
    <row r="18" hidden="1" outlineLevel="1" ht="12" customHeight="1" s="3710">
      <c r="B18" s="3891" t="n"/>
      <c r="C18" s="4439" t="inlineStr">
        <is>
          <t>Amortization of intangible assets</t>
        </is>
      </c>
      <c r="D18" s="4436" t="n">
        <v>-1971</v>
      </c>
      <c r="E18" s="4436" t="n"/>
      <c r="F18" s="4437" t="n"/>
      <c r="G18" s="4436" t="n"/>
      <c r="H18" s="4436" t="n"/>
      <c r="I18" s="4437" t="n"/>
      <c r="J18" s="4436" t="n"/>
      <c r="K18" s="4436" t="n"/>
      <c r="L18" s="4438" t="n"/>
    </row>
    <row r="19" hidden="1" outlineLevel="1" ht="12" customHeight="1" s="3710">
      <c r="B19" s="3891" t="n"/>
      <c r="C19" s="4439" t="inlineStr">
        <is>
          <t>Capitalized Development Costs</t>
        </is>
      </c>
      <c r="D19" s="4436" t="n">
        <v>0</v>
      </c>
      <c r="E19" s="4436" t="n"/>
      <c r="F19" s="4437" t="n"/>
      <c r="G19" s="4436" t="n"/>
      <c r="H19" s="4436" t="n"/>
      <c r="I19" s="4437" t="n"/>
      <c r="J19" s="4436" t="n"/>
      <c r="K19" s="4436" t="n"/>
      <c r="L19" s="4438" t="n"/>
    </row>
    <row r="20" hidden="1" outlineLevel="1" ht="12" customHeight="1" s="3710">
      <c r="B20" s="3891" t="n"/>
      <c r="C20" s="4440" t="inlineStr">
        <is>
          <t>Interest expense on leases</t>
        </is>
      </c>
      <c r="D20" s="4441" t="n">
        <v>-108</v>
      </c>
      <c r="E20" s="4441" t="n"/>
      <c r="F20" s="4442" t="n"/>
      <c r="G20" s="4441" t="n"/>
      <c r="H20" s="4441" t="n"/>
      <c r="I20" s="4442" t="n"/>
      <c r="J20" s="4441" t="n"/>
      <c r="K20" s="4441" t="n"/>
      <c r="L20" s="4443" t="n"/>
    </row>
    <row r="21" ht="12" customHeight="1" s="3710">
      <c r="B21" s="3891" t="n"/>
      <c r="C21" s="4444" t="inlineStr">
        <is>
          <t>Operating expenses</t>
        </is>
      </c>
      <c r="D21" s="4441">
        <f>SUM(D11:D20)</f>
        <v/>
      </c>
      <c r="E21" s="4441" t="n"/>
      <c r="F21" s="4442" t="n"/>
      <c r="G21" s="4441" t="n"/>
      <c r="H21" s="4441" t="n"/>
      <c r="I21" s="4442" t="n"/>
      <c r="J21" s="4441" t="n"/>
      <c r="K21" s="4441" t="n"/>
      <c r="L21" s="4443" t="n"/>
    </row>
    <row r="22" ht="12" customHeight="1" s="3710">
      <c r="B22" s="3891" t="n"/>
      <c r="C22" s="4445" t="inlineStr">
        <is>
          <t>Operating income</t>
        </is>
      </c>
      <c r="D22" s="4446">
        <f>SUM(D21,D10)</f>
        <v/>
      </c>
      <c r="E22" s="4446" t="n"/>
      <c r="F22" s="4447" t="n"/>
      <c r="G22" s="4446" t="n"/>
      <c r="H22" s="4446" t="n"/>
      <c r="I22" s="4447" t="n"/>
      <c r="J22" s="4446" t="n"/>
      <c r="K22" s="4446" t="n"/>
      <c r="L22" s="4448" t="n"/>
    </row>
    <row r="23" ht="12" customHeight="1" s="3710">
      <c r="B23" s="3891" t="n"/>
      <c r="C23" s="4444" t="inlineStr">
        <is>
          <t>Interest income</t>
        </is>
      </c>
      <c r="D23" s="4441" t="n">
        <v>23</v>
      </c>
      <c r="E23" s="4441" t="n"/>
      <c r="F23" s="4442" t="n"/>
      <c r="G23" s="4441" t="n"/>
      <c r="H23" s="4441" t="n"/>
      <c r="I23" s="4442" t="n"/>
      <c r="J23" s="4441" t="n"/>
      <c r="K23" s="4441" t="n"/>
      <c r="L23" s="4443" t="n"/>
    </row>
    <row r="24" ht="12" customHeight="1" s="3710">
      <c r="B24" s="3891" t="n"/>
      <c r="C24" s="4445" t="inlineStr">
        <is>
          <t>Income before income tax</t>
        </is>
      </c>
      <c r="D24" s="4446">
        <f>SUM(D23,D22)</f>
        <v/>
      </c>
      <c r="E24" s="4446" t="n"/>
      <c r="F24" s="4447" t="n"/>
      <c r="G24" s="4446" t="n"/>
      <c r="H24" s="4446" t="n"/>
      <c r="I24" s="4447" t="n"/>
      <c r="J24" s="4446" t="n"/>
      <c r="K24" s="4446" t="n"/>
      <c r="L24" s="4448" t="n"/>
    </row>
    <row r="25" ht="12" customHeight="1" s="3710">
      <c r="B25" s="3891" t="n"/>
      <c r="C25" s="4444" t="inlineStr">
        <is>
          <t>Income tax expense</t>
        </is>
      </c>
      <c r="D25" s="4441" t="n">
        <v>-2150</v>
      </c>
      <c r="E25" s="4441" t="n"/>
      <c r="F25" s="4442" t="n"/>
      <c r="G25" s="4441" t="n"/>
      <c r="H25" s="4441" t="n"/>
      <c r="I25" s="4442" t="n"/>
      <c r="J25" s="4441" t="n"/>
      <c r="K25" s="4441" t="n"/>
      <c r="L25" s="4443" t="n"/>
    </row>
    <row r="26" ht="12" customHeight="1" s="3710">
      <c r="A26" s="4434" t="n"/>
      <c r="B26" s="3891" t="n"/>
      <c r="C26" s="4449" t="inlineStr">
        <is>
          <t>Net income for the year</t>
        </is>
      </c>
      <c r="D26" s="4450">
        <f>SUM(D24:D25)</f>
        <v/>
      </c>
      <c r="E26" s="4450" t="n"/>
      <c r="F26" s="4451" t="n"/>
      <c r="G26" s="4450" t="n"/>
      <c r="H26" s="4450" t="n"/>
      <c r="I26" s="4451" t="n"/>
      <c r="J26" s="4450" t="n"/>
      <c r="K26" s="4450" t="n"/>
      <c r="L26" s="4452" t="n"/>
    </row>
    <row r="27" ht="3.6" customHeight="1" s="3710">
      <c r="B27" s="3891" t="n"/>
      <c r="C27" s="4453" t="n"/>
      <c r="F27" s="4454" t="n"/>
      <c r="I27" s="4454" t="n"/>
      <c r="L27" s="4455" t="n"/>
    </row>
    <row r="28" ht="12" customHeight="1" s="3710">
      <c r="B28" s="3891" t="n"/>
      <c r="C28" s="4453" t="inlineStr">
        <is>
          <t>Other comprehensive income</t>
        </is>
      </c>
      <c r="F28" s="4454" t="n"/>
      <c r="I28" s="4454" t="n"/>
      <c r="L28" s="4455" t="n"/>
    </row>
    <row r="29" ht="12" customHeight="1" s="3710">
      <c r="B29" s="3891" t="n"/>
      <c r="C29" s="4017" t="inlineStr">
        <is>
          <t>Increase in fair value through other comprehensive income</t>
        </is>
      </c>
      <c r="D29" s="4456" t="n">
        <v>179</v>
      </c>
      <c r="E29" s="4456" t="n"/>
      <c r="F29" s="4457" t="n"/>
      <c r="G29" s="4458" t="n"/>
      <c r="H29" s="4458" t="n"/>
      <c r="I29" s="4459" t="n"/>
      <c r="J29" s="4458" t="n"/>
      <c r="K29" s="4458" t="n"/>
      <c r="L29" s="4460" t="n"/>
      <c r="M29" s="3743" t="n"/>
    </row>
    <row r="30" ht="12" customHeight="1" s="3710">
      <c r="B30" s="3891" t="n"/>
      <c r="C30" s="4461" t="inlineStr">
        <is>
          <t>Related income tax expense</t>
        </is>
      </c>
      <c r="D30" s="4462" t="n">
        <v>-24</v>
      </c>
      <c r="E30" s="4462" t="n"/>
      <c r="F30" s="4463" t="n"/>
      <c r="G30" s="4464" t="n"/>
      <c r="H30" s="4464" t="n"/>
      <c r="I30" s="4465" t="n"/>
      <c r="J30" s="4464" t="n"/>
      <c r="K30" s="4464" t="n"/>
      <c r="L30" s="4466" t="n"/>
    </row>
    <row r="31" ht="12" customHeight="1" s="3710">
      <c r="B31" s="3891" t="n"/>
      <c r="C31" s="3743" t="inlineStr">
        <is>
          <t>Equity investments measured at FVTOCI</t>
        </is>
      </c>
      <c r="D31" s="4456">
        <f>SUM(D29:D30)</f>
        <v/>
      </c>
      <c r="E31" s="4456" t="n"/>
      <c r="F31" s="4457" t="n"/>
      <c r="G31" s="4458" t="n"/>
      <c r="H31" s="4458" t="n"/>
      <c r="I31" s="4459" t="n"/>
      <c r="J31" s="4458" t="n"/>
      <c r="K31" s="4458" t="n"/>
      <c r="L31" s="4460" t="n"/>
      <c r="M31" s="3743" t="n"/>
    </row>
    <row r="32" ht="12" customHeight="1" s="3710">
      <c r="B32" s="3891" t="n"/>
      <c r="C32" s="4467" t="inlineStr">
        <is>
          <t>Net income and comprehensive income for the year</t>
        </is>
      </c>
      <c r="D32" s="4468">
        <f>SUM(D31,D26)</f>
        <v/>
      </c>
      <c r="E32" s="4468" t="n"/>
      <c r="F32" s="4469" t="n"/>
      <c r="G32" s="4468" t="n"/>
      <c r="H32" s="4468" t="n"/>
      <c r="I32" s="4469" t="n"/>
      <c r="J32" s="4468" t="n"/>
      <c r="K32" s="4468" t="n"/>
      <c r="L32" s="4470" t="n"/>
    </row>
    <row r="33" ht="12" customHeight="1" s="3710">
      <c r="B33" s="3891" t="n"/>
      <c r="C33" s="4168" t="inlineStr">
        <is>
          <t>Notes:</t>
        </is>
      </c>
    </row>
    <row r="34" ht="12" customHeight="1" s="3710">
      <c r="B34" s="3891" t="n"/>
      <c r="C34" s="3743" t="inlineStr">
        <is>
          <t>TBD</t>
        </is>
      </c>
    </row>
    <row r="35" ht="12" customHeight="1" s="3710">
      <c r="B35" s="3891" t="n"/>
      <c r="C35" s="3743" t="inlineStr">
        <is>
          <t>TBD</t>
        </is>
      </c>
    </row>
    <row r="36" ht="12" customHeight="1" s="3710">
      <c r="B36" s="3891" t="n"/>
    </row>
    <row r="37" hidden="1" outlineLevel="1" ht="12" customFormat="1" customHeight="1" s="4168">
      <c r="A37" s="4471" t="n"/>
      <c r="B37" s="4044" t="n"/>
      <c r="C37" s="4472" t="inlineStr">
        <is>
          <t>Net income as per source</t>
        </is>
      </c>
      <c r="D37" s="4473" t="n">
        <v>6048</v>
      </c>
      <c r="E37" s="4473" t="n"/>
      <c r="F37" s="4473" t="n"/>
      <c r="G37" s="4473" t="n"/>
      <c r="H37" s="4473" t="n"/>
      <c r="I37" s="4473" t="n"/>
      <c r="J37" s="4473" t="n"/>
      <c r="K37" s="4473" t="n"/>
      <c r="L37" s="4473" t="n"/>
    </row>
    <row r="38" hidden="1" outlineLevel="1" ht="12" customFormat="1" customHeight="1" s="4168">
      <c r="A38" s="4471" t="n"/>
      <c r="B38" s="4044" t="n"/>
      <c r="C38" s="4472" t="inlineStr">
        <is>
          <t>Check</t>
        </is>
      </c>
      <c r="D38" s="4473">
        <f>D37-D26</f>
        <v/>
      </c>
      <c r="E38" s="4473">
        <f>E37-E26</f>
        <v/>
      </c>
      <c r="F38" s="4473">
        <f>F37-F26</f>
        <v/>
      </c>
      <c r="G38" s="4473">
        <f>G37-G26</f>
        <v/>
      </c>
      <c r="H38" s="4473">
        <f>H37-H26</f>
        <v/>
      </c>
      <c r="I38" s="4473">
        <f>I37-I26</f>
        <v/>
      </c>
      <c r="J38" s="4473">
        <f>J37-J26</f>
        <v/>
      </c>
      <c r="K38" s="4473">
        <f>K37-K26</f>
        <v/>
      </c>
      <c r="L38" s="4473">
        <f>L37-L26</f>
        <v/>
      </c>
    </row>
    <row r="39" ht="12" customHeight="1" s="3710">
      <c r="A39" s="4471" t="n"/>
      <c r="B39" s="4044" t="n"/>
      <c r="C39" s="4435" t="n"/>
      <c r="D39" s="4436" t="n"/>
      <c r="F39" s="4436" t="n"/>
      <c r="G39" s="4436" t="n"/>
      <c r="I39" s="4436" t="n"/>
      <c r="J39" s="4436" t="n"/>
      <c r="L39" s="4436" t="n"/>
    </row>
    <row r="40" ht="12" customHeight="1" s="3710">
      <c r="A40" s="4471" t="n"/>
      <c r="B40" s="4044" t="n"/>
    </row>
    <row r="41" ht="12" customHeight="1" s="3710">
      <c r="B41" s="3891" t="n"/>
    </row>
    <row r="42" ht="12" customHeight="1" s="3710">
      <c r="B42" s="3891" t="n"/>
    </row>
    <row r="43" ht="12" customHeight="1" s="3710">
      <c r="B43" s="3891" t="n"/>
    </row>
    <row r="44" ht="11.25" customHeight="1" s="3710">
      <c r="B44" s="3891" t="n"/>
    </row>
    <row r="45" ht="11.25" customHeight="1" s="3710">
      <c r="B45" s="3891" t="n"/>
    </row>
    <row r="46" ht="11.25" customHeight="1" s="3710">
      <c r="B46" s="3891" t="n"/>
    </row>
    <row r="47" ht="11.25" customHeight="1" s="3710">
      <c r="B47" s="3891" t="n"/>
    </row>
    <row r="48" ht="11.25" customHeight="1" s="3710">
      <c r="B48" s="3891" t="n"/>
    </row>
    <row r="49" ht="11.25" customHeight="1" s="3710">
      <c r="B49" s="3891" t="n"/>
    </row>
    <row r="50" ht="11.25" customHeight="1" s="3710">
      <c r="B50" s="3891" t="n"/>
    </row>
    <row r="51" ht="11.25" customHeight="1" s="3710">
      <c r="B51" s="3891" t="n"/>
    </row>
    <row r="52" ht="11.25" customHeight="1" s="3710">
      <c r="B52" s="3891" t="n"/>
    </row>
    <row r="53" ht="11.25" customHeight="1" s="3710">
      <c r="B53" s="3891" t="n"/>
    </row>
    <row r="54" ht="11.25" customHeight="1" s="3710">
      <c r="B54" s="3891" t="n"/>
    </row>
    <row r="55" ht="11.25" customHeight="1" s="3710">
      <c r="B55" s="3891" t="n"/>
    </row>
    <row r="56" ht="11.25" customHeight="1" s="3710">
      <c r="B56" s="3891" t="n"/>
    </row>
    <row r="57" ht="11.25" customHeight="1" s="3710">
      <c r="B57" s="3891" t="n"/>
    </row>
    <row r="58" ht="11.25" customHeight="1" s="3710">
      <c r="B58" s="389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N64"/>
  <sheetViews>
    <sheetView showFormulas="0" showGridLines="0"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5703125" defaultRowHeight="11.25" customHeight="0" zeroHeight="0" outlineLevelRow="1"/>
  <cols>
    <col width="3.57" customWidth="1" style="4170" min="1" max="1"/>
    <col width="1.42" customWidth="1" style="3740" min="2" max="2"/>
    <col width="30.57" customWidth="1" style="3743" min="3" max="3"/>
    <col width="8.42" customWidth="1" style="3743" min="4" max="5"/>
    <col width="6.85" customWidth="1" style="3743" min="6" max="6"/>
    <col width="8.42" customWidth="1" style="3743" min="7" max="7"/>
    <col width="9.140000000000001" customWidth="1" style="3743" min="8" max="8"/>
    <col width="6.85" customWidth="1" style="3743" min="9" max="9"/>
    <col width="8.42" customWidth="1" style="3743" min="10" max="10"/>
    <col width="9.57" customWidth="1" style="3743" min="11" max="11"/>
    <col width="6.85" customWidth="1" style="3743" min="12" max="12"/>
    <col width="1.42" customWidth="1" style="4168" min="13" max="13"/>
    <col width="40.85" customWidth="1" style="4169" min="14" max="14"/>
    <col width="10.57" customWidth="1" style="3743" min="15" max="15"/>
    <col width="9.859999999999999" customWidth="1" style="3743" min="16" max="16"/>
    <col width="8.57" customWidth="1" style="3743" min="17" max="16384"/>
  </cols>
  <sheetData>
    <row r="1" ht="22.05" customHeight="1" s="3710">
      <c r="A1" s="4166" t="n"/>
      <c r="B1" s="4552" t="inlineStr">
        <is>
          <t>Project Name</t>
        </is>
      </c>
    </row>
    <row r="2" ht="11.45" customHeight="1" s="3710">
      <c r="B2" s="4553">
        <f>C7</f>
        <v/>
      </c>
    </row>
    <row r="3" ht="11.25" customHeight="1" s="3710">
      <c r="B3" s="4554" t="inlineStr">
        <is>
          <t>Source: TBD</t>
        </is>
      </c>
    </row>
    <row r="4" ht="11.25" customHeight="1" s="3710">
      <c r="B4" s="4555" t="inlineStr">
        <is>
          <t>WORKING DRAFT</t>
        </is>
      </c>
    </row>
    <row r="5" ht="11.25" customHeight="1" s="3710">
      <c r="B5" s="3753" t="n"/>
    </row>
    <row r="6" ht="11.25" customHeight="1" s="3710">
      <c r="B6" s="3753" t="n"/>
    </row>
    <row r="7" ht="19.5" customFormat="1" customHeight="1" s="3743">
      <c r="A7" s="4170" t="n"/>
      <c r="B7" s="3903" t="n"/>
      <c r="C7" s="4556" t="inlineStr">
        <is>
          <t>Balance sheet reconciliation</t>
        </is>
      </c>
      <c r="D7" s="4175" t="n"/>
      <c r="E7" s="4175" t="n"/>
      <c r="F7" s="4175" t="n"/>
      <c r="G7" s="4175" t="n"/>
      <c r="H7" s="4175" t="n"/>
      <c r="I7" s="4175" t="n"/>
      <c r="J7" s="4175" t="n"/>
      <c r="K7" s="4175" t="n"/>
      <c r="L7" s="4175" t="n"/>
      <c r="M7" s="4168" t="n"/>
      <c r="N7" s="4474" t="n"/>
    </row>
    <row r="8" ht="12" customHeight="1" s="3710">
      <c r="B8" s="3903" t="n"/>
      <c r="C8" s="4557" t="n"/>
      <c r="D8" s="4179" t="n">
        <v>44561</v>
      </c>
      <c r="E8" s="4179" t="n"/>
      <c r="F8" s="4179" t="n"/>
      <c r="G8" s="4475" t="n">
        <v>44926</v>
      </c>
      <c r="H8" s="4179" t="n"/>
      <c r="I8" s="4475" t="n"/>
      <c r="J8" s="4475" t="n">
        <v>45291</v>
      </c>
      <c r="K8" s="4179" t="n"/>
      <c r="L8" s="4475" t="n"/>
      <c r="N8" s="4476" t="n"/>
    </row>
    <row r="9" ht="37.3" customHeight="1" s="3710">
      <c r="B9" s="3903" t="n"/>
      <c r="C9" s="4557" t="inlineStr">
        <is>
          <t>$'000</t>
        </is>
      </c>
      <c r="D9" s="4477" t="inlineStr">
        <is>
          <t>Audited 
financial 
statements</t>
        </is>
      </c>
      <c r="E9" s="4478" t="inlineStr">
        <is>
          <t>Internal financial 
statements</t>
        </is>
      </c>
      <c r="F9" s="4432" t="inlineStr">
        <is>
          <t>Variance</t>
        </is>
      </c>
      <c r="G9" s="4477" t="inlineStr">
        <is>
          <t>Audited 
financial 
statements</t>
        </is>
      </c>
      <c r="H9" s="4478" t="inlineStr">
        <is>
          <t>Internal financial 
statements</t>
        </is>
      </c>
      <c r="I9" s="4432" t="inlineStr">
        <is>
          <t>Variance</t>
        </is>
      </c>
      <c r="J9" s="4477" t="inlineStr">
        <is>
          <t>Audited 
financial 
statements</t>
        </is>
      </c>
      <c r="K9" s="4478" t="inlineStr">
        <is>
          <t>Internal financial 
statements</t>
        </is>
      </c>
      <c r="L9" s="4432" t="inlineStr">
        <is>
          <t>Variance</t>
        </is>
      </c>
      <c r="N9" s="4479" t="inlineStr">
        <is>
          <t>Management Comments</t>
        </is>
      </c>
    </row>
    <row r="10" ht="12" customHeight="1" s="3710">
      <c r="B10" s="3891" t="n"/>
      <c r="C10" s="4480" t="inlineStr">
        <is>
          <t>Assets</t>
        </is>
      </c>
      <c r="D10" s="4436" t="n"/>
      <c r="E10" s="4481" t="n"/>
      <c r="F10" s="4436" t="n"/>
      <c r="G10" s="4482" t="n"/>
      <c r="H10" s="4483" t="n"/>
      <c r="I10" s="4484" t="n"/>
      <c r="J10" s="4482" t="n"/>
      <c r="K10" s="4483" t="n"/>
      <c r="L10" s="4484" t="n"/>
      <c r="N10" s="4485" t="n"/>
    </row>
    <row r="11" hidden="1" outlineLevel="1" ht="12" customHeight="1" s="3710">
      <c r="A11" s="4434" t="n"/>
      <c r="B11" s="3891" t="n"/>
      <c r="C11" s="4439" t="inlineStr">
        <is>
          <t>Cash and cash equivalents</t>
        </is>
      </c>
      <c r="D11" s="4436" t="n">
        <v>10743</v>
      </c>
      <c r="E11" s="4481" t="n"/>
      <c r="F11" s="4436" t="n"/>
      <c r="G11" s="4486" t="n"/>
      <c r="H11" s="4481" t="n"/>
      <c r="I11" s="4438" t="n"/>
      <c r="J11" s="4486" t="n"/>
      <c r="K11" s="4481" t="n"/>
      <c r="L11" s="4438" t="n"/>
      <c r="N11" s="4472" t="n"/>
    </row>
    <row r="12" hidden="1" outlineLevel="1" ht="12" customHeight="1" s="3710">
      <c r="B12" s="3891" t="n"/>
      <c r="C12" s="4439" t="inlineStr">
        <is>
          <t>Items in transit</t>
        </is>
      </c>
      <c r="D12" s="4436" t="n">
        <v>12326</v>
      </c>
      <c r="E12" s="4481" t="n"/>
      <c r="F12" s="4436" t="n"/>
      <c r="G12" s="4486" t="n"/>
      <c r="H12" s="4481" t="n"/>
      <c r="I12" s="4438" t="n"/>
      <c r="J12" s="4486" t="n"/>
      <c r="K12" s="4481" t="n"/>
      <c r="L12" s="4438" t="n"/>
      <c r="N12" s="4472" t="n"/>
    </row>
    <row r="13" hidden="1" outlineLevel="1" ht="12" customHeight="1" s="3710">
      <c r="B13" s="3891" t="n"/>
      <c r="C13" s="4439" t="inlineStr">
        <is>
          <t>Accounts receivable and other receivables</t>
        </is>
      </c>
      <c r="D13" s="4436" t="n">
        <v>8044</v>
      </c>
      <c r="E13" s="4481" t="n"/>
      <c r="F13" s="4436" t="n"/>
      <c r="G13" s="4486" t="n"/>
      <c r="H13" s="4481" t="n"/>
      <c r="I13" s="4438" t="n"/>
      <c r="J13" s="4486" t="n"/>
      <c r="K13" s="4481" t="n"/>
      <c r="L13" s="4438" t="n"/>
      <c r="N13" s="4472" t="n"/>
    </row>
    <row r="14" hidden="1" outlineLevel="1" ht="12" customHeight="1" s="3710">
      <c r="B14" s="3891" t="n"/>
      <c r="C14" s="4439" t="inlineStr">
        <is>
          <t>Unbilled revenue</t>
        </is>
      </c>
      <c r="D14" s="4436" t="n">
        <v>934</v>
      </c>
      <c r="E14" s="4481" t="n"/>
      <c r="F14" s="4436" t="n"/>
      <c r="G14" s="4486" t="n"/>
      <c r="H14" s="4481" t="n"/>
      <c r="I14" s="4438" t="n"/>
      <c r="J14" s="4486" t="n"/>
      <c r="K14" s="4481" t="n"/>
      <c r="L14" s="4438" t="n"/>
      <c r="N14" s="4472" t="n"/>
    </row>
    <row r="15" hidden="1" outlineLevel="1" ht="12" customHeight="1" s="3710">
      <c r="B15" s="3891" t="n"/>
      <c r="C15" s="4440" t="inlineStr">
        <is>
          <t>Prepaid and other assets</t>
        </is>
      </c>
      <c r="D15" s="4441" t="n">
        <v>3653</v>
      </c>
      <c r="E15" s="4487" t="n"/>
      <c r="F15" s="4441" t="n"/>
      <c r="G15" s="4488" t="n"/>
      <c r="H15" s="4487" t="n"/>
      <c r="I15" s="4443" t="n"/>
      <c r="J15" s="4488" t="n"/>
      <c r="K15" s="4487" t="n"/>
      <c r="L15" s="4443" t="n"/>
      <c r="N15" s="4489" t="n"/>
    </row>
    <row r="16" ht="12" customHeight="1" s="3710">
      <c r="B16" s="3891" t="n"/>
      <c r="C16" s="4490" t="inlineStr">
        <is>
          <t>Current assets</t>
        </is>
      </c>
      <c r="D16" s="4436">
        <f>SUM(D11:D15)</f>
        <v/>
      </c>
      <c r="E16" s="4481" t="n"/>
      <c r="F16" s="4436" t="n"/>
      <c r="G16" s="4486" t="n"/>
      <c r="H16" s="4481" t="n"/>
      <c r="I16" s="4438" t="n"/>
      <c r="J16" s="4486" t="n"/>
      <c r="K16" s="4481" t="n"/>
      <c r="L16" s="4438" t="n"/>
      <c r="N16" s="4472" t="n"/>
    </row>
    <row r="17" hidden="1" outlineLevel="1" ht="12" customHeight="1" s="3710">
      <c r="B17" s="3891" t="n"/>
      <c r="C17" s="4439" t="inlineStr">
        <is>
          <t>Intangible assets</t>
        </is>
      </c>
      <c r="D17" s="4436" t="n">
        <v>8092</v>
      </c>
      <c r="E17" s="4481" t="n"/>
      <c r="F17" s="4436" t="n"/>
      <c r="G17" s="4486" t="n"/>
      <c r="H17" s="4481" t="n"/>
      <c r="I17" s="4438" t="n"/>
      <c r="J17" s="4491" t="n"/>
      <c r="K17" s="4481" t="n"/>
      <c r="L17" s="4438" t="n"/>
      <c r="N17" s="4472" t="n"/>
    </row>
    <row r="18" hidden="1" outlineLevel="1" ht="12" customHeight="1" s="3710">
      <c r="B18" s="3891" t="n"/>
      <c r="C18" s="4439" t="inlineStr">
        <is>
          <t>Property and equipment</t>
        </is>
      </c>
      <c r="D18" s="4436" t="n">
        <v>4217</v>
      </c>
      <c r="E18" s="4481" t="n"/>
      <c r="F18" s="4436" t="n"/>
      <c r="G18" s="4486" t="n"/>
      <c r="H18" s="4481" t="n"/>
      <c r="I18" s="4438" t="n"/>
      <c r="J18" s="4491" t="n"/>
      <c r="K18" s="4481" t="n"/>
      <c r="L18" s="4438" t="n"/>
      <c r="N18" s="4472" t="n"/>
    </row>
    <row r="19" hidden="1" outlineLevel="1" ht="12" customHeight="1" s="3710">
      <c r="B19" s="3891" t="n"/>
      <c r="C19" s="4439" t="inlineStr">
        <is>
          <t>Deferred implementation costs</t>
        </is>
      </c>
      <c r="D19" s="4436" t="n">
        <v>980</v>
      </c>
      <c r="E19" s="4481" t="n"/>
      <c r="F19" s="4436" t="n"/>
      <c r="G19" s="4486" t="n"/>
      <c r="H19" s="4481" t="n"/>
      <c r="I19" s="4438" t="n"/>
      <c r="J19" s="4491" t="n"/>
      <c r="K19" s="4481" t="n"/>
      <c r="L19" s="4438" t="n"/>
      <c r="N19" s="4472" t="n"/>
    </row>
    <row r="20" hidden="1" outlineLevel="1" ht="12" customHeight="1" s="3710">
      <c r="B20" s="3891" t="n"/>
      <c r="C20" s="4439" t="inlineStr">
        <is>
          <t>Prepaid and other assets</t>
        </is>
      </c>
      <c r="D20" s="4436" t="n">
        <v>2211</v>
      </c>
      <c r="E20" s="4481" t="n"/>
      <c r="F20" s="4436" t="n"/>
      <c r="G20" s="4486" t="n"/>
      <c r="H20" s="4481" t="n"/>
      <c r="I20" s="4438" t="n"/>
      <c r="J20" s="4486" t="n"/>
      <c r="K20" s="4481" t="n"/>
      <c r="L20" s="4438" t="n"/>
      <c r="N20" s="4472" t="n"/>
    </row>
    <row r="21" hidden="1" outlineLevel="1" ht="12" customHeight="1" s="3710">
      <c r="B21" s="3891" t="n"/>
      <c r="C21" s="4439" t="inlineStr">
        <is>
          <t>Investments</t>
        </is>
      </c>
      <c r="D21" s="4436" t="n">
        <v>941</v>
      </c>
      <c r="E21" s="4481" t="n"/>
      <c r="F21" s="4436" t="n"/>
      <c r="G21" s="4486" t="n"/>
      <c r="H21" s="4481" t="n"/>
      <c r="I21" s="4438" t="n"/>
      <c r="J21" s="4486" t="n"/>
      <c r="K21" s="4481" t="n"/>
      <c r="L21" s="4438" t="n"/>
      <c r="N21" s="4472" t="n"/>
    </row>
    <row r="22" hidden="1" outlineLevel="1" ht="12" customHeight="1" s="3710">
      <c r="B22" s="3891" t="n"/>
      <c r="C22" s="4440" t="inlineStr">
        <is>
          <t>Goodwill</t>
        </is>
      </c>
      <c r="D22" s="4441" t="n">
        <v>7695</v>
      </c>
      <c r="E22" s="4487" t="n"/>
      <c r="F22" s="4441" t="n"/>
      <c r="G22" s="4488" t="n"/>
      <c r="H22" s="4487" t="n"/>
      <c r="I22" s="4443" t="n"/>
      <c r="J22" s="4488" t="n"/>
      <c r="K22" s="4487" t="n"/>
      <c r="L22" s="4443" t="n"/>
      <c r="N22" s="4489" t="n"/>
    </row>
    <row r="23" ht="12" customHeight="1" s="3710">
      <c r="B23" s="3891" t="n"/>
      <c r="C23" s="4444" t="inlineStr">
        <is>
          <t>Non-current assets</t>
        </is>
      </c>
      <c r="D23" s="4441">
        <f>SUM(D17:D22)</f>
        <v/>
      </c>
      <c r="E23" s="4487" t="n"/>
      <c r="F23" s="4441" t="n"/>
      <c r="G23" s="4488" t="n"/>
      <c r="H23" s="4487" t="n"/>
      <c r="I23" s="4443" t="n"/>
      <c r="J23" s="4488" t="n"/>
      <c r="K23" s="4487" t="n"/>
      <c r="L23" s="4443" t="n"/>
      <c r="N23" s="4489" t="n"/>
    </row>
    <row r="24" ht="12" customHeight="1" s="3710">
      <c r="B24" s="3891" t="n"/>
      <c r="C24" s="4492" t="inlineStr">
        <is>
          <t>Assets</t>
        </is>
      </c>
      <c r="D24" s="4493">
        <f>SUM(D23,D16)</f>
        <v/>
      </c>
      <c r="E24" s="4494" t="n"/>
      <c r="F24" s="4493" t="n"/>
      <c r="G24" s="4495" t="n"/>
      <c r="H24" s="4494" t="n"/>
      <c r="I24" s="4496" t="n"/>
      <c r="J24" s="4495" t="n"/>
      <c r="K24" s="4494" t="n"/>
      <c r="L24" s="4496" t="n"/>
      <c r="N24" s="4497" t="n"/>
    </row>
    <row r="25" ht="12" customHeight="1" s="3710">
      <c r="B25" s="3891" t="n"/>
      <c r="C25" s="4480" t="inlineStr">
        <is>
          <t>Liabilities and Shareholder's equity</t>
        </is>
      </c>
      <c r="D25" s="4436" t="n"/>
      <c r="E25" s="4481" t="n"/>
      <c r="F25" s="4436" t="n"/>
      <c r="G25" s="4486" t="n"/>
      <c r="H25" s="4481" t="n"/>
      <c r="I25" s="4438" t="n"/>
      <c r="J25" s="4486" t="n"/>
      <c r="K25" s="4481" t="n"/>
      <c r="L25" s="4438" t="n"/>
      <c r="N25" s="4472" t="n"/>
    </row>
    <row r="26" hidden="1" outlineLevel="1" ht="12" customHeight="1" s="3710">
      <c r="B26" s="3891" t="n"/>
      <c r="C26" s="4439" t="inlineStr">
        <is>
          <t>Accounts payable and accrued liabilities</t>
        </is>
      </c>
      <c r="D26" s="4436" t="n">
        <v>-4281</v>
      </c>
      <c r="E26" s="4481" t="n"/>
      <c r="F26" s="4436" t="n"/>
      <c r="G26" s="4486" t="n"/>
      <c r="H26" s="4481" t="n"/>
      <c r="I26" s="4438" t="n"/>
      <c r="J26" s="4486" t="n"/>
      <c r="K26" s="4481" t="n"/>
      <c r="L26" s="4438" t="n"/>
      <c r="N26" s="4472" t="n"/>
    </row>
    <row r="27" hidden="1" outlineLevel="1" ht="12" customHeight="1" s="3710">
      <c r="B27" s="3891" t="n"/>
      <c r="C27" s="4439" t="inlineStr">
        <is>
          <t>Payments held for third-party remittance</t>
        </is>
      </c>
      <c r="D27" s="4436" t="n">
        <v>-12260</v>
      </c>
      <c r="E27" s="4481" t="n"/>
      <c r="F27" s="4436" t="n"/>
      <c r="G27" s="4486" t="n"/>
      <c r="H27" s="4481" t="n"/>
      <c r="I27" s="4438" t="n"/>
      <c r="J27" s="4486" t="n"/>
      <c r="K27" s="4481" t="n"/>
      <c r="L27" s="4438" t="n"/>
      <c r="N27" s="4472" t="n"/>
    </row>
    <row r="28" hidden="1" outlineLevel="1" ht="12" customHeight="1" s="3710">
      <c r="B28" s="3891" t="n"/>
      <c r="C28" s="4439" t="inlineStr">
        <is>
          <t>Contract liabilities</t>
        </is>
      </c>
      <c r="D28" s="4436" t="n">
        <v>-2183</v>
      </c>
      <c r="E28" s="4481" t="n"/>
      <c r="F28" s="4436" t="n"/>
      <c r="G28" s="4486" t="n"/>
      <c r="H28" s="4481" t="n"/>
      <c r="I28" s="4438" t="n"/>
      <c r="J28" s="4486" t="n"/>
      <c r="K28" s="4481" t="n"/>
      <c r="L28" s="4438" t="n"/>
      <c r="N28" s="4472" t="n"/>
    </row>
    <row r="29" hidden="1" outlineLevel="1" ht="12" customHeight="1" s="3710">
      <c r="B29" s="3891" t="n"/>
      <c r="C29" s="4439" t="inlineStr">
        <is>
          <t>Current tax liability</t>
        </is>
      </c>
      <c r="D29" s="4436" t="n">
        <v>-359</v>
      </c>
      <c r="E29" s="4481" t="n"/>
      <c r="F29" s="4436" t="n"/>
      <c r="G29" s="4486" t="n"/>
      <c r="H29" s="4481" t="n"/>
      <c r="I29" s="4438" t="n"/>
      <c r="J29" s="4486" t="n"/>
      <c r="K29" s="4481" t="n"/>
      <c r="L29" s="4438" t="n"/>
      <c r="N29" s="4472" t="n"/>
    </row>
    <row r="30" hidden="1" outlineLevel="1" ht="12" customHeight="1" s="3710">
      <c r="B30" s="3891" t="n"/>
      <c r="C30" s="4439" t="inlineStr">
        <is>
          <t>Current portion of lease liabilities</t>
        </is>
      </c>
      <c r="D30" s="4436" t="n">
        <v>-1164</v>
      </c>
      <c r="E30" s="4481" t="n"/>
      <c r="F30" s="4436" t="n"/>
      <c r="G30" s="4486" t="n"/>
      <c r="H30" s="4481" t="n"/>
      <c r="I30" s="4438" t="n"/>
      <c r="J30" s="4486" t="n"/>
      <c r="K30" s="4481" t="n"/>
      <c r="L30" s="4438" t="n"/>
      <c r="N30" s="4472" t="n"/>
    </row>
    <row r="31" hidden="1" outlineLevel="1" ht="12" customHeight="1" s="3710">
      <c r="B31" s="3891" t="n"/>
      <c r="C31" s="4440" t="inlineStr">
        <is>
          <t>Shareholder dividends payable</t>
        </is>
      </c>
      <c r="D31" s="4441" t="n">
        <v>0</v>
      </c>
      <c r="E31" s="4487" t="n"/>
      <c r="F31" s="4441" t="n"/>
      <c r="G31" s="4488" t="n"/>
      <c r="H31" s="4487" t="n"/>
      <c r="I31" s="4443" t="n"/>
      <c r="J31" s="4488" t="n"/>
      <c r="K31" s="4487" t="n"/>
      <c r="L31" s="4443" t="n"/>
      <c r="N31" s="4489" t="n"/>
    </row>
    <row r="32" ht="12" customHeight="1" s="3710">
      <c r="B32" s="3891" t="n"/>
      <c r="C32" s="4490" t="inlineStr">
        <is>
          <t>Current liabilities</t>
        </is>
      </c>
      <c r="D32" s="4436">
        <f>SUM(D26:D31)</f>
        <v/>
      </c>
      <c r="E32" s="4481" t="n"/>
      <c r="F32" s="4436" t="n"/>
      <c r="G32" s="4486" t="n"/>
      <c r="H32" s="4481" t="n"/>
      <c r="I32" s="4438" t="n"/>
      <c r="J32" s="4486" t="n"/>
      <c r="K32" s="4481" t="n"/>
      <c r="L32" s="4438" t="n"/>
      <c r="N32" s="4472" t="n"/>
    </row>
    <row r="33" hidden="1" outlineLevel="1" ht="12" customHeight="1" s="3710">
      <c r="B33" s="3891" t="n"/>
      <c r="C33" s="4439" t="inlineStr">
        <is>
          <t>Deferred tax liabilities</t>
        </is>
      </c>
      <c r="D33" s="4436" t="n">
        <v>-1695</v>
      </c>
      <c r="E33" s="4481" t="n"/>
      <c r="F33" s="4436" t="n"/>
      <c r="G33" s="4486" t="n"/>
      <c r="H33" s="4481" t="n"/>
      <c r="I33" s="4438" t="n"/>
      <c r="J33" s="4486" t="n"/>
      <c r="K33" s="4481" t="n"/>
      <c r="L33" s="4438" t="n"/>
      <c r="N33" s="4472" t="n"/>
    </row>
    <row r="34" hidden="1" outlineLevel="1" ht="12" customHeight="1" s="3710">
      <c r="A34" s="4471" t="n"/>
      <c r="B34" s="4044" t="n"/>
      <c r="C34" s="4439" t="inlineStr">
        <is>
          <t>Lease liabilities</t>
        </is>
      </c>
      <c r="D34" s="4436" t="n">
        <v>-3595</v>
      </c>
      <c r="E34" s="4481" t="n"/>
      <c r="F34" s="4436" t="n"/>
      <c r="G34" s="4486" t="n"/>
      <c r="H34" s="4481" t="n"/>
      <c r="I34" s="4438" t="n"/>
      <c r="J34" s="4486" t="n"/>
      <c r="K34" s="4481" t="n"/>
      <c r="L34" s="4438" t="n"/>
      <c r="N34" s="4472" t="n"/>
    </row>
    <row r="35" hidden="1" outlineLevel="1" ht="12" customHeight="1" s="3710">
      <c r="A35" s="4471" t="n"/>
      <c r="B35" s="4044" t="n"/>
      <c r="C35" s="4439" t="inlineStr">
        <is>
          <t>Long-term employee benefits</t>
        </is>
      </c>
      <c r="D35" s="4436" t="n">
        <v>-328</v>
      </c>
      <c r="E35" s="4481" t="n"/>
      <c r="F35" s="4436" t="n"/>
      <c r="G35" s="4486" t="n"/>
      <c r="H35" s="4481" t="n"/>
      <c r="I35" s="4438" t="n"/>
      <c r="J35" s="4486" t="n"/>
      <c r="K35" s="4481" t="n"/>
      <c r="L35" s="4438" t="n"/>
      <c r="N35" s="4472" t="n"/>
    </row>
    <row r="36" hidden="1" outlineLevel="1" ht="12" customHeight="1" s="3710">
      <c r="B36" s="3891" t="n"/>
      <c r="C36" s="4440" t="inlineStr">
        <is>
          <t>Contract liabilities</t>
        </is>
      </c>
      <c r="D36" s="4441" t="n">
        <v>-4037</v>
      </c>
      <c r="E36" s="4487" t="n"/>
      <c r="F36" s="4441" t="n"/>
      <c r="G36" s="4488" t="n"/>
      <c r="H36" s="4487" t="n"/>
      <c r="I36" s="4443" t="n"/>
      <c r="J36" s="4488" t="n"/>
      <c r="K36" s="4487" t="n"/>
      <c r="L36" s="4443" t="n"/>
      <c r="N36" s="4489" t="n"/>
    </row>
    <row r="37" ht="12" customHeight="1" s="3710">
      <c r="B37" s="3891" t="n"/>
      <c r="C37" s="4444" t="inlineStr">
        <is>
          <t>Non-current liabilities</t>
        </is>
      </c>
      <c r="D37" s="4441">
        <f>SUM(D33:D36)</f>
        <v/>
      </c>
      <c r="E37" s="4487" t="n"/>
      <c r="F37" s="4441" t="n"/>
      <c r="G37" s="4488" t="n"/>
      <c r="H37" s="4487" t="n"/>
      <c r="I37" s="4443" t="n"/>
      <c r="J37" s="4488" t="n"/>
      <c r="K37" s="4487" t="n"/>
      <c r="L37" s="4443" t="n"/>
      <c r="N37" s="4489" t="n"/>
    </row>
    <row r="38" ht="12" customHeight="1" s="3710">
      <c r="B38" s="4498" t="n"/>
      <c r="C38" s="4435" t="inlineStr">
        <is>
          <t>Liabilities</t>
        </is>
      </c>
      <c r="D38" s="4436">
        <f>SUM(D37,D32)</f>
        <v/>
      </c>
      <c r="E38" s="4481" t="n"/>
      <c r="F38" s="4436" t="n"/>
      <c r="G38" s="4486" t="n"/>
      <c r="H38" s="4481" t="n"/>
      <c r="I38" s="4438" t="n"/>
      <c r="J38" s="4486" t="n"/>
      <c r="K38" s="4481" t="n"/>
      <c r="L38" s="4438" t="n"/>
      <c r="N38" s="4472" t="n"/>
    </row>
    <row r="39" ht="12" customHeight="1" s="3710">
      <c r="B39" s="3891" t="n"/>
      <c r="C39" s="4499" t="inlineStr">
        <is>
          <t>Shareholders' deficiency</t>
        </is>
      </c>
      <c r="D39" s="4441" t="n">
        <v>-29934</v>
      </c>
      <c r="E39" s="4487" t="n"/>
      <c r="F39" s="4441" t="n"/>
      <c r="G39" s="4488" t="n"/>
      <c r="H39" s="4487" t="n"/>
      <c r="I39" s="4443" t="n"/>
      <c r="J39" s="4488" t="n"/>
      <c r="K39" s="4487" t="n"/>
      <c r="L39" s="4443" t="n"/>
      <c r="N39" s="4489" t="n"/>
    </row>
    <row r="40" ht="12" customHeight="1" s="3710">
      <c r="B40" s="3891" t="n"/>
      <c r="C40" s="4449" t="inlineStr">
        <is>
          <t>Liabilities and shareholders' deficiency</t>
        </is>
      </c>
      <c r="D40" s="4450">
        <f>SUM(D38:D39)</f>
        <v/>
      </c>
      <c r="E40" s="4500" t="n"/>
      <c r="F40" s="4450" t="n"/>
      <c r="G40" s="4501" t="n"/>
      <c r="H40" s="4500" t="n"/>
      <c r="I40" s="4452" t="n"/>
      <c r="J40" s="4501" t="n"/>
      <c r="K40" s="4500" t="n"/>
      <c r="L40" s="4452" t="n"/>
      <c r="N40" s="4502" t="n"/>
    </row>
    <row r="41" ht="12" customHeight="1" s="3710">
      <c r="B41" s="3891" t="n"/>
      <c r="C41" s="4503" t="n"/>
    </row>
    <row r="42" hidden="1" outlineLevel="1" ht="12" customHeight="1" s="3710">
      <c r="B42" s="3891" t="n"/>
      <c r="C42" s="4472" t="inlineStr">
        <is>
          <t>Audit check</t>
        </is>
      </c>
      <c r="D42" s="4473">
        <f>D40+D24</f>
        <v/>
      </c>
      <c r="E42" s="4473">
        <f>E40+E24</f>
        <v/>
      </c>
      <c r="F42" s="4473">
        <f>E42-D42</f>
        <v/>
      </c>
      <c r="G42" s="4473">
        <f>G40+G24</f>
        <v/>
      </c>
      <c r="H42" s="4473">
        <f>H40+H24</f>
        <v/>
      </c>
      <c r="I42" s="4473">
        <f>H42-G42</f>
        <v/>
      </c>
      <c r="J42" s="4473">
        <f>J40+J24</f>
        <v/>
      </c>
      <c r="K42" s="4473">
        <f>K40+K24</f>
        <v/>
      </c>
      <c r="L42" s="4473">
        <f>K42-J42</f>
        <v/>
      </c>
      <c r="N42" s="4472" t="n"/>
    </row>
    <row r="43" hidden="1" outlineLevel="1" ht="12" customHeight="1" s="3710">
      <c r="B43" s="3891" t="n"/>
      <c r="C43" s="4472" t="inlineStr">
        <is>
          <t>Assets as per source</t>
        </is>
      </c>
      <c r="D43" s="4473" t="n">
        <v>59836</v>
      </c>
      <c r="E43" s="4473" t="n"/>
      <c r="F43" s="4473" t="n"/>
      <c r="G43" s="4473" t="n"/>
      <c r="H43" s="4473" t="n"/>
      <c r="I43" s="4473" t="n"/>
      <c r="J43" s="4473" t="n"/>
      <c r="K43" s="4473" t="n"/>
      <c r="L43" s="4473" t="n"/>
      <c r="N43" s="4472" t="n"/>
    </row>
    <row r="44" hidden="1" outlineLevel="1" ht="12" customHeight="1" s="3710">
      <c r="B44" s="3891" t="n"/>
      <c r="C44" s="4472" t="inlineStr">
        <is>
          <t>Check</t>
        </is>
      </c>
      <c r="D44" s="4473">
        <f>D43-D24</f>
        <v/>
      </c>
      <c r="E44" s="4504">
        <f>E43-E24</f>
        <v/>
      </c>
      <c r="F44" s="4473">
        <f>E44-D44</f>
        <v/>
      </c>
      <c r="G44" s="4473">
        <f>G43-G24</f>
        <v/>
      </c>
      <c r="H44" s="4504">
        <f>H43-H24</f>
        <v/>
      </c>
      <c r="I44" s="4504">
        <f>I43-I24</f>
        <v/>
      </c>
      <c r="J44" s="4504">
        <f>J43-J24</f>
        <v/>
      </c>
      <c r="K44" s="4504">
        <f>K43-K24</f>
        <v/>
      </c>
      <c r="L44" s="4504" t="n"/>
      <c r="N44" s="4168" t="n"/>
    </row>
    <row r="45" ht="12" customHeight="1" s="3710">
      <c r="B45" s="3891" t="n"/>
    </row>
    <row r="46" ht="12" customHeight="1" s="3710">
      <c r="B46" s="3891" t="n"/>
    </row>
    <row r="47" ht="12" customHeight="1" s="3710">
      <c r="B47" s="3891" t="n"/>
    </row>
    <row r="48" ht="12" customHeight="1" s="3710">
      <c r="B48" s="3891" t="n"/>
    </row>
    <row r="49" ht="11.25" customHeight="1" s="3710">
      <c r="B49" s="3891" t="n"/>
    </row>
    <row r="50" ht="11.25" customHeight="1" s="3710">
      <c r="B50" s="3891" t="n"/>
    </row>
    <row r="51" ht="11.25" customHeight="1" s="3710">
      <c r="B51" s="3891" t="n"/>
    </row>
    <row r="52" ht="11.25" customHeight="1" s="3710">
      <c r="B52" s="3891" t="n"/>
    </row>
    <row r="53" ht="11.25" customHeight="1" s="3710">
      <c r="B53" s="3891" t="n"/>
    </row>
    <row r="54" ht="11.25" customHeight="1" s="3710">
      <c r="B54" s="3891" t="n"/>
    </row>
    <row r="55" ht="11.25" customHeight="1" s="3710">
      <c r="B55" s="3891" t="n"/>
    </row>
    <row r="56" ht="11.25" customHeight="1" s="3710">
      <c r="B56" s="3891" t="n"/>
    </row>
    <row r="57" ht="11.25" customHeight="1" s="3710">
      <c r="B57" s="3891" t="n"/>
    </row>
    <row r="58" ht="11.25" customHeight="1" s="3710">
      <c r="B58" s="3891" t="n"/>
    </row>
    <row r="59" ht="11.25" customHeight="1" s="3710">
      <c r="B59" s="3891" t="n"/>
    </row>
    <row r="60" ht="11.25" customHeight="1" s="3710">
      <c r="B60" s="3891" t="n"/>
    </row>
    <row r="61" ht="11.25" customHeight="1" s="3710">
      <c r="B61" s="3891" t="n"/>
    </row>
    <row r="62" ht="11.25" customHeight="1" s="3710">
      <c r="B62" s="3891" t="n"/>
    </row>
    <row r="63" ht="11.25" customHeight="1" s="3710">
      <c r="B63" s="3891" t="n"/>
    </row>
    <row r="64" ht="11.25" customHeight="1" s="3710">
      <c r="B64" s="389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AF47"/>
  <sheetViews>
    <sheetView showFormulas="0" showGridLines="0" showRowColHeaders="1" showZeros="1" rightToLeft="0" tabSelected="0" showOutlineSymbols="1" defaultGridColor="1" view="normal" topLeftCell="A1" colorId="64" zoomScale="100" zoomScaleNormal="100" zoomScalePageLayoutView="100" workbookViewId="0">
      <pane xSplit="3" ySplit="10" topLeftCell="D28" activePane="bottomRight" state="frozen"/>
      <selection pane="topLeft" activeCell="A1" activeCellId="0" sqref="A1"/>
      <selection pane="topRight" activeCell="D1" activeCellId="0" sqref="D1"/>
      <selection pane="bottomLeft" activeCell="A28" activeCellId="0" sqref="A28"/>
      <selection pane="bottomRight" activeCell="A1" activeCellId="0" sqref="A1"/>
    </sheetView>
  </sheetViews>
  <sheetFormatPr baseColWidth="8" defaultColWidth="8.5703125" defaultRowHeight="11.25" customHeight="0" zeroHeight="0" outlineLevelRow="2"/>
  <cols>
    <col width="3.57" customWidth="1" style="4059" min="1" max="1"/>
    <col width="1.57" customWidth="1" style="4060" min="2" max="2"/>
    <col width="42.29" customWidth="1" style="3737" min="3" max="3"/>
    <col width="7.57" customWidth="1" style="3737" min="4" max="5"/>
    <col hidden="1" outlineLevel="1" width="11.14" customWidth="1" style="3737" min="6" max="6"/>
    <col hidden="1" outlineLevel="1" width="8.42" customWidth="1" style="3737" min="7" max="8"/>
    <col hidden="1" outlineLevel="1" width="10.14" customWidth="1" style="3737" min="9" max="9"/>
    <col hidden="1" outlineLevel="1" width="12.57" customWidth="1" style="3737" min="10" max="12"/>
    <col hidden="1" outlineLevel="1" width="13.86" customWidth="1" style="3737" min="13" max="13"/>
    <col width="7" customWidth="1" style="3737" min="14" max="14"/>
    <col width="8" customWidth="1" style="3737" min="15" max="15"/>
    <col width="7.57" customWidth="1" style="3737" min="16" max="17"/>
    <col hidden="1" outlineLevel="1" width="11.14" customWidth="1" style="3737" min="18" max="18"/>
    <col hidden="1" outlineLevel="1" width="8.42" customWidth="1" style="3737" min="19" max="19"/>
    <col hidden="1" outlineLevel="1" width="8.42" customWidth="1" style="3737" min="20" max="20"/>
    <col hidden="1" outlineLevel="1" width="8.42" customWidth="1" style="3737" min="21" max="21"/>
    <col width="6.57" customWidth="1" style="3737" min="22" max="22"/>
    <col width="8" customWidth="1" style="3737" min="23" max="23"/>
    <col width="7.57" customWidth="1" style="3737" min="24" max="25"/>
    <col hidden="1" outlineLevel="1" width="11.14" customWidth="1" style="3737" min="26" max="26"/>
    <col hidden="1" outlineLevel="1" width="8.42" customWidth="1" style="3737" min="27" max="28"/>
    <col width="6.57" customWidth="1" style="3737" min="29" max="29"/>
    <col width="8" customWidth="1" style="3737" min="30" max="30"/>
    <col width="1.57" customWidth="1" style="3737" min="31" max="31"/>
    <col hidden="1" outlineLevel="1" width="48.14" customWidth="1" style="4505" min="32" max="32"/>
    <col width="8.57" customWidth="1" style="3737" min="33" max="16384"/>
  </cols>
  <sheetData>
    <row r="1" ht="22.05" customFormat="1" customHeight="1" s="4506">
      <c r="A1" s="4166" t="n"/>
      <c r="B1" s="4552" t="inlineStr">
        <is>
          <t>Project Name</t>
        </is>
      </c>
      <c r="J1" s="4506" t="n"/>
      <c r="K1" s="4506" t="n"/>
      <c r="L1" s="4506" t="n"/>
      <c r="M1" s="4506" t="n"/>
      <c r="T1" s="4506" t="n"/>
      <c r="U1" s="4506" t="n"/>
      <c r="AF1" s="4507" t="n"/>
    </row>
    <row r="2" ht="11.45" customFormat="1" customHeight="1" s="4506">
      <c r="A2" s="4170" t="n"/>
      <c r="B2" s="4553">
        <f>C7</f>
        <v/>
      </c>
      <c r="J2" s="4506" t="n"/>
      <c r="K2" s="4506" t="n"/>
      <c r="L2" s="4506" t="n"/>
      <c r="M2" s="4506" t="n"/>
      <c r="T2" s="4506" t="n"/>
      <c r="U2" s="4506" t="n"/>
      <c r="AF2" s="4507" t="n"/>
    </row>
    <row r="3" ht="11.25" customFormat="1" customHeight="1" s="4506">
      <c r="A3" s="4170" t="n"/>
      <c r="B3" s="4554" t="inlineStr">
        <is>
          <t>Source: TBD</t>
        </is>
      </c>
      <c r="J3" s="4506" t="n"/>
      <c r="K3" s="4506" t="n"/>
      <c r="L3" s="4506" t="n"/>
      <c r="M3" s="4506" t="n"/>
      <c r="T3" s="4506" t="n"/>
      <c r="U3" s="4506" t="n"/>
      <c r="AF3" s="4507" t="n"/>
    </row>
    <row r="4" ht="11.25" customFormat="1" customHeight="1" s="4506">
      <c r="A4" s="4170" t="n"/>
      <c r="B4" s="4555" t="inlineStr">
        <is>
          <t>WORKING DRAFT</t>
        </is>
      </c>
      <c r="J4" s="4506" t="n"/>
      <c r="K4" s="4506" t="n"/>
      <c r="L4" s="4506" t="n"/>
      <c r="M4" s="4506" t="n"/>
      <c r="T4" s="4506" t="n"/>
      <c r="U4" s="4506" t="n"/>
      <c r="AF4" s="4507" t="n"/>
    </row>
    <row r="5"/>
    <row r="6" ht="11.25" customHeight="1" s="3710">
      <c r="C6" s="4508" t="inlineStr">
        <is>
          <t>Pending commentary on FY21 reclass adjustments from Management</t>
        </is>
      </c>
    </row>
    <row r="7" ht="19.5" customFormat="1" customHeight="1" s="3737">
      <c r="A7" s="4059" t="n"/>
      <c r="B7" s="4060" t="n"/>
      <c r="C7" s="4063" t="n"/>
      <c r="D7" s="4064" t="n"/>
      <c r="E7" s="4064" t="n"/>
      <c r="F7" s="4064" t="n"/>
      <c r="G7" s="4064" t="n"/>
      <c r="H7" s="4064" t="n"/>
      <c r="I7" s="4064" t="n"/>
      <c r="J7" s="4064" t="n"/>
      <c r="K7" s="4064" t="n"/>
      <c r="L7" s="4064" t="n"/>
      <c r="M7" s="4064" t="n"/>
      <c r="N7" s="4064" t="n"/>
      <c r="O7" s="4064" t="n"/>
      <c r="P7" s="4064" t="n"/>
      <c r="Q7" s="4064" t="n"/>
      <c r="R7" s="4064" t="n"/>
      <c r="S7" s="4064" t="n"/>
      <c r="T7" s="4064" t="n"/>
      <c r="U7" s="4064" t="n"/>
      <c r="V7" s="4064" t="n"/>
      <c r="W7" s="4064" t="n"/>
      <c r="X7" s="4064" t="n"/>
      <c r="Y7" s="4064" t="n"/>
      <c r="Z7" s="4064" t="n"/>
      <c r="AA7" s="4064" t="n"/>
      <c r="AB7" s="4064" t="n"/>
      <c r="AC7" s="4064" t="n"/>
      <c r="AD7" s="4064" t="n"/>
      <c r="AF7" s="4509" t="inlineStr">
        <is>
          <t>Questions/Comments</t>
        </is>
      </c>
    </row>
    <row r="8" ht="11.25" customHeight="1" s="3710">
      <c r="C8" s="4081" t="n"/>
      <c r="D8" s="4510" t="n"/>
      <c r="E8" s="4510" t="inlineStr">
        <is>
          <t>FY21</t>
        </is>
      </c>
      <c r="F8" s="4510" t="n"/>
      <c r="G8" s="4510" t="n"/>
      <c r="H8" s="4510" t="n"/>
      <c r="I8" s="4510" t="n"/>
      <c r="J8" s="4510" t="n"/>
      <c r="K8" s="4510" t="n"/>
      <c r="L8" s="4510" t="n"/>
      <c r="M8" s="4510" t="n"/>
      <c r="N8" s="4510" t="n"/>
      <c r="O8" s="4511" t="n"/>
      <c r="P8" s="4510" t="n"/>
      <c r="Q8" s="4510" t="inlineStr">
        <is>
          <t>FY22</t>
        </is>
      </c>
      <c r="R8" s="4510" t="n"/>
      <c r="S8" s="4510" t="n"/>
      <c r="T8" s="4510" t="n"/>
      <c r="U8" s="4510" t="n"/>
      <c r="V8" s="4510" t="n"/>
      <c r="W8" s="4511" t="n"/>
      <c r="X8" s="4510" t="n"/>
      <c r="Y8" s="4510" t="inlineStr">
        <is>
          <t>FY23</t>
        </is>
      </c>
      <c r="Z8" s="4510" t="n"/>
      <c r="AA8" s="4510" t="n"/>
      <c r="AB8" s="4510" t="n"/>
      <c r="AC8" s="4510" t="n"/>
      <c r="AD8" s="4510" t="n"/>
      <c r="AF8" s="4512" t="n"/>
    </row>
    <row r="9" ht="11.25" customHeight="1" s="3710">
      <c r="C9" s="4081" t="n"/>
      <c r="D9" s="4513" t="inlineStr">
        <is>
          <t>[A]</t>
        </is>
      </c>
      <c r="E9" s="4513" t="inlineStr">
        <is>
          <t>[B]</t>
        </is>
      </c>
      <c r="F9" s="4513" t="inlineStr">
        <is>
          <t> </t>
        </is>
      </c>
      <c r="G9" s="4513" t="n"/>
      <c r="H9" s="4513" t="n"/>
      <c r="I9" s="4513" t="n"/>
      <c r="J9" s="4513" t="n"/>
      <c r="K9" s="4513" t="n"/>
      <c r="L9" s="4513" t="n"/>
      <c r="M9" s="4513" t="n"/>
      <c r="N9" s="4513" t="inlineStr">
        <is>
          <t>[C]</t>
        </is>
      </c>
      <c r="O9" s="4514" t="inlineStr">
        <is>
          <t>[A-(B+C)]</t>
        </is>
      </c>
      <c r="P9" s="4513" t="inlineStr">
        <is>
          <t>[A]</t>
        </is>
      </c>
      <c r="Q9" s="4513" t="inlineStr">
        <is>
          <t>[B]</t>
        </is>
      </c>
      <c r="R9" s="4513" t="inlineStr">
        <is>
          <t> </t>
        </is>
      </c>
      <c r="S9" s="4513" t="n"/>
      <c r="T9" s="4513" t="n"/>
      <c r="U9" s="4513" t="n"/>
      <c r="V9" s="4513" t="inlineStr">
        <is>
          <t>[C]</t>
        </is>
      </c>
      <c r="W9" s="4514" t="inlineStr">
        <is>
          <t>[A-(B+C)]</t>
        </is>
      </c>
      <c r="X9" s="4513" t="inlineStr">
        <is>
          <t>[A]</t>
        </is>
      </c>
      <c r="Y9" s="4513" t="inlineStr">
        <is>
          <t>[B]</t>
        </is>
      </c>
      <c r="Z9" s="4513" t="inlineStr">
        <is>
          <t> </t>
        </is>
      </c>
      <c r="AA9" s="4513" t="n"/>
      <c r="AB9" s="4513" t="n"/>
      <c r="AC9" s="4513" t="inlineStr">
        <is>
          <t>[C]</t>
        </is>
      </c>
      <c r="AD9" s="4514" t="inlineStr">
        <is>
          <t>[A-(B+C)]</t>
        </is>
      </c>
      <c r="AF9" s="4515" t="n"/>
    </row>
    <row r="10" ht="55.2" customHeight="1" s="3710">
      <c r="C10" s="4081" t="n"/>
      <c r="D10" s="4516" t="inlineStr">
        <is>
          <t>Audited 
financial 
statements</t>
        </is>
      </c>
      <c r="E10" s="4516" t="inlineStr">
        <is>
          <t>Internal financial 
statements</t>
        </is>
      </c>
      <c r="F10" s="4516" t="inlineStr">
        <is>
          <t>1. Reclass loss on disposal of PPE</t>
        </is>
      </c>
      <c r="G10" s="4516" t="inlineStr">
        <is>
          <t>2. Reclass change in AP for PPE</t>
        </is>
      </c>
      <c r="H10" s="4516" t="inlineStr">
        <is>
          <t>3. Reclass items in transit</t>
        </is>
      </c>
      <c r="I10" s="4516" t="inlineStr">
        <is>
          <t>4. Reclass amortization of PPE and intangibles</t>
        </is>
      </c>
      <c r="J10" s="4516" t="inlineStr">
        <is>
          <t>5. Reclass Deferred revenue to employee benefits</t>
        </is>
      </c>
      <c r="K10" s="4516" t="inlineStr">
        <is>
          <t>6. Reclass capitalized development costs to intangible assets</t>
        </is>
      </c>
      <c r="L10" s="4516" t="inlineStr">
        <is>
          <t>7. Reclass OCI on shares</t>
        </is>
      </c>
      <c r="M10" s="4431" t="inlineStr">
        <is>
          <t>8. Reclass acquisition of assets, prepaids, and lease liabilities</t>
        </is>
      </c>
      <c r="N10" s="4431" t="inlineStr">
        <is>
          <t>Reclass entries</t>
        </is>
      </c>
      <c r="O10" s="4432" t="inlineStr">
        <is>
          <t>Variance</t>
        </is>
      </c>
      <c r="P10" s="4516" t="inlineStr">
        <is>
          <t>Audited 
financial 
statements</t>
        </is>
      </c>
      <c r="Q10" s="4516" t="inlineStr">
        <is>
          <t>Internal financial 
statements</t>
        </is>
      </c>
      <c r="R10" s="4516" t="inlineStr">
        <is>
          <t>1. Reclass loss on disposal of PPE</t>
        </is>
      </c>
      <c r="S10" s="4516" t="inlineStr">
        <is>
          <t>2. Reclass change in AP for PPE</t>
        </is>
      </c>
      <c r="T10" s="4516" t="inlineStr">
        <is>
          <t>3. Reclass items in transit</t>
        </is>
      </c>
      <c r="U10" s="4516" t="inlineStr">
        <is>
          <t>4. Reclass PPE and intangibles</t>
        </is>
      </c>
      <c r="V10" s="4431" t="inlineStr">
        <is>
          <t>Reclass entries</t>
        </is>
      </c>
      <c r="W10" s="4432" t="inlineStr">
        <is>
          <t>Variance</t>
        </is>
      </c>
      <c r="X10" s="4517" t="inlineStr">
        <is>
          <t>Audited 
financial 
statements</t>
        </is>
      </c>
      <c r="Y10" s="4516" t="inlineStr">
        <is>
          <t>Internal financial 
statements</t>
        </is>
      </c>
      <c r="Z10" s="4516" t="inlineStr">
        <is>
          <t>1. Reclass loss on disposal of PPE</t>
        </is>
      </c>
      <c r="AA10" s="4516" t="inlineStr">
        <is>
          <t>2. Reclass change in AP for PPE</t>
        </is>
      </c>
      <c r="AB10" s="4431" t="inlineStr">
        <is>
          <t>3. Reclass items in transit</t>
        </is>
      </c>
      <c r="AC10" s="4431" t="inlineStr">
        <is>
          <t>Reclass entries</t>
        </is>
      </c>
      <c r="AD10" s="4432" t="inlineStr">
        <is>
          <t>Variance</t>
        </is>
      </c>
      <c r="AF10" s="4518" t="n"/>
    </row>
    <row r="11" hidden="1" outlineLevel="1" ht="12" customHeight="1" s="3710">
      <c r="C11" s="4242" t="n"/>
      <c r="D11" s="4519" t="n"/>
      <c r="E11" s="4158" t="n"/>
      <c r="F11" s="4158" t="n"/>
      <c r="G11" s="4158" t="n"/>
      <c r="H11" s="4158" t="n"/>
      <c r="I11" s="4158" t="n"/>
      <c r="J11" s="4158" t="n"/>
      <c r="K11" s="4158" t="n"/>
      <c r="L11" s="4158" t="n"/>
      <c r="M11" s="4159" t="n"/>
      <c r="N11" s="4159" t="n"/>
      <c r="O11" s="4160" t="n"/>
      <c r="P11" s="4519" t="n"/>
      <c r="Q11" s="4158" t="n"/>
      <c r="R11" s="4158" t="n"/>
      <c r="S11" s="4158" t="n"/>
      <c r="T11" s="4158" t="n"/>
      <c r="U11" s="4159" t="n"/>
      <c r="V11" s="4159" t="n"/>
      <c r="W11" s="4160" t="n"/>
      <c r="X11" s="4520" t="n"/>
      <c r="Y11" s="4158" t="n"/>
      <c r="Z11" s="4158" t="n"/>
      <c r="AA11" s="4158" t="n"/>
      <c r="AB11" s="4159" t="n"/>
      <c r="AC11" s="4159" t="n"/>
      <c r="AD11" s="4521" t="n"/>
      <c r="AF11" s="4522" t="n"/>
    </row>
    <row r="12" hidden="1" outlineLevel="1" ht="11.25" customHeight="1" s="3710">
      <c r="C12" s="4108" t="n"/>
      <c r="D12" s="4519" t="n">
        <v>6048</v>
      </c>
      <c r="E12" s="4158" t="n"/>
      <c r="F12" s="4158" t="n"/>
      <c r="G12" s="4158" t="n"/>
      <c r="H12" s="4158" t="n"/>
      <c r="I12" s="4158" t="n"/>
      <c r="J12" s="4158" t="n"/>
      <c r="K12" s="4158" t="n"/>
      <c r="L12" s="4158" t="n"/>
      <c r="M12" s="4159" t="n"/>
      <c r="N12" s="4159" t="n"/>
      <c r="O12" s="4523" t="n"/>
      <c r="P12" s="4519" t="n"/>
      <c r="Q12" s="4158" t="n"/>
      <c r="R12" s="4158" t="n"/>
      <c r="S12" s="4158" t="n"/>
      <c r="T12" s="4158" t="n"/>
      <c r="U12" s="4159" t="n"/>
      <c r="V12" s="4159" t="n"/>
      <c r="W12" s="4524" t="n"/>
      <c r="X12" s="4520" t="n"/>
      <c r="Y12" s="4158" t="n"/>
      <c r="Z12" s="4158" t="n"/>
      <c r="AA12" s="4158" t="n"/>
      <c r="AB12" s="4159" t="n"/>
      <c r="AC12" s="4159" t="n"/>
      <c r="AD12" s="4521" t="n"/>
      <c r="AF12" s="4522" t="n"/>
    </row>
    <row r="13" hidden="1" outlineLevel="1" ht="12" customHeight="1" s="3710">
      <c r="C13" s="4246" t="n"/>
      <c r="D13" s="4519" t="n"/>
      <c r="E13" s="4158" t="n"/>
      <c r="F13" s="4158" t="n"/>
      <c r="G13" s="4158" t="n"/>
      <c r="H13" s="4158" t="n"/>
      <c r="I13" s="4158" t="n"/>
      <c r="J13" s="4158" t="n"/>
      <c r="K13" s="4158" t="n"/>
      <c r="L13" s="4158" t="n"/>
      <c r="M13" s="4159" t="n"/>
      <c r="N13" s="4159" t="n"/>
      <c r="O13" s="4524" t="n"/>
      <c r="P13" s="4519" t="n"/>
      <c r="Q13" s="4158" t="n"/>
      <c r="R13" s="4158" t="n"/>
      <c r="S13" s="4158" t="n"/>
      <c r="T13" s="4158" t="n"/>
      <c r="U13" s="4159" t="n"/>
      <c r="V13" s="4159" t="n"/>
      <c r="W13" s="4524" t="n"/>
      <c r="X13" s="4520" t="n"/>
      <c r="Y13" s="4158" t="n"/>
      <c r="Z13" s="4158" t="n"/>
      <c r="AA13" s="4158" t="n"/>
      <c r="AB13" s="4159" t="n"/>
      <c r="AC13" s="4159" t="n"/>
      <c r="AD13" s="4521" t="n"/>
      <c r="AF13" s="4522" t="n"/>
    </row>
    <row r="14" hidden="1" outlineLevel="1" ht="12" customHeight="1" s="3710">
      <c r="C14" s="4108" t="n"/>
      <c r="D14" s="4519" t="n">
        <v>1406</v>
      </c>
      <c r="E14" s="4158" t="n"/>
      <c r="F14" s="4158" t="n"/>
      <c r="G14" s="4158" t="n"/>
      <c r="H14" s="4158" t="n"/>
      <c r="I14" s="4158" t="n"/>
      <c r="J14" s="4158" t="n"/>
      <c r="K14" s="4158" t="n"/>
      <c r="L14" s="4158" t="n"/>
      <c r="M14" s="4159" t="n"/>
      <c r="N14" s="4159" t="n"/>
      <c r="O14" s="4524" t="n"/>
      <c r="P14" s="4519" t="n"/>
      <c r="Q14" s="4158" t="n"/>
      <c r="R14" s="4158" t="n"/>
      <c r="S14" s="4158" t="n"/>
      <c r="T14" s="4158" t="n"/>
      <c r="U14" s="4159" t="n"/>
      <c r="V14" s="4159" t="n"/>
      <c r="W14" s="4524" t="n"/>
      <c r="X14" s="4520" t="n"/>
      <c r="Y14" s="4158" t="n"/>
      <c r="Z14" s="4158" t="n"/>
      <c r="AA14" s="4158" t="n"/>
      <c r="AB14" s="4159" t="n"/>
      <c r="AC14" s="4159" t="n"/>
      <c r="AD14" s="4521" t="n"/>
      <c r="AF14" s="4522" t="n"/>
    </row>
    <row r="15" hidden="1" outlineLevel="1" ht="12" customHeight="1" s="3710">
      <c r="C15" s="4108" t="n"/>
      <c r="D15" s="4525" t="n">
        <v>1971</v>
      </c>
      <c r="E15" s="4094" t="n"/>
      <c r="F15" s="4158" t="n"/>
      <c r="G15" s="4158" t="n"/>
      <c r="H15" s="4158" t="n"/>
      <c r="I15" s="4158" t="n"/>
      <c r="J15" s="4158" t="n"/>
      <c r="K15" s="4158" t="n"/>
      <c r="L15" s="4158" t="n"/>
      <c r="M15" s="4159" t="n"/>
      <c r="N15" s="4159" t="n"/>
      <c r="O15" s="4524" t="n"/>
      <c r="P15" s="4519" t="n"/>
      <c r="Q15" s="4158" t="n"/>
      <c r="R15" s="4158" t="n"/>
      <c r="S15" s="4158" t="n"/>
      <c r="T15" s="4158" t="n"/>
      <c r="U15" s="4159" t="n"/>
      <c r="V15" s="4159" t="n"/>
      <c r="W15" s="4524" t="n"/>
      <c r="X15" s="4520" t="n"/>
      <c r="Y15" s="4158" t="n"/>
      <c r="Z15" s="4158" t="n"/>
      <c r="AA15" s="4158" t="n"/>
      <c r="AB15" s="4159" t="n"/>
      <c r="AC15" s="4159" t="n"/>
      <c r="AD15" s="4521" t="n"/>
      <c r="AF15" s="4522" t="n"/>
    </row>
    <row r="16" hidden="1" outlineLevel="1" ht="11.25" customHeight="1" s="3710">
      <c r="C16" s="4108" t="n"/>
      <c r="D16" s="4525" t="n">
        <v>-82</v>
      </c>
      <c r="E16" s="4094" t="n"/>
      <c r="F16" s="4158" t="n"/>
      <c r="G16" s="4158" t="n"/>
      <c r="H16" s="4158" t="n"/>
      <c r="I16" s="4158" t="n"/>
      <c r="J16" s="4158" t="n"/>
      <c r="K16" s="4158" t="n"/>
      <c r="L16" s="4158" t="n"/>
      <c r="M16" s="4159" t="n"/>
      <c r="N16" s="4159" t="n"/>
      <c r="O16" s="4524" t="n"/>
      <c r="P16" s="4519" t="n"/>
      <c r="Q16" s="4158" t="n"/>
      <c r="R16" s="4158" t="n"/>
      <c r="S16" s="4158" t="n"/>
      <c r="T16" s="4158" t="n"/>
      <c r="U16" s="4159" t="n"/>
      <c r="V16" s="4159" t="n"/>
      <c r="W16" s="4524" t="n"/>
      <c r="X16" s="4520" t="n"/>
      <c r="Y16" s="4158" t="n"/>
      <c r="Z16" s="4158" t="n"/>
      <c r="AA16" s="4158" t="n"/>
      <c r="AB16" s="4159" t="n"/>
      <c r="AC16" s="4159" t="n"/>
      <c r="AD16" s="4521" t="n"/>
      <c r="AF16" s="4522" t="n"/>
    </row>
    <row r="17" hidden="1" outlineLevel="1" ht="12" customHeight="1" s="3710">
      <c r="C17" s="4108" t="n"/>
      <c r="D17" s="4525" t="n">
        <v>1</v>
      </c>
      <c r="E17" s="4094" t="n"/>
      <c r="F17" s="4158" t="n"/>
      <c r="G17" s="4158" t="n"/>
      <c r="H17" s="4158" t="n"/>
      <c r="I17" s="4158" t="n"/>
      <c r="J17" s="4158" t="n"/>
      <c r="K17" s="4158" t="n"/>
      <c r="L17" s="4158" t="n"/>
      <c r="M17" s="4159" t="n"/>
      <c r="N17" s="4159" t="n"/>
      <c r="O17" s="4523" t="n"/>
      <c r="P17" s="4519" t="n"/>
      <c r="Q17" s="4158" t="n"/>
      <c r="R17" s="4158" t="n"/>
      <c r="S17" s="4158" t="n"/>
      <c r="T17" s="4158" t="n"/>
      <c r="U17" s="4159" t="n"/>
      <c r="V17" s="4159" t="n"/>
      <c r="W17" s="4524" t="n"/>
      <c r="X17" s="4520" t="n"/>
      <c r="Y17" s="4158" t="n"/>
      <c r="Z17" s="4158" t="n"/>
      <c r="AA17" s="4158" t="n"/>
      <c r="AB17" s="4159" t="n"/>
      <c r="AC17" s="4159" t="n"/>
      <c r="AD17" s="4521" t="n"/>
      <c r="AF17" s="4526" t="n"/>
    </row>
    <row r="18" hidden="1" outlineLevel="1" ht="12" customHeight="1" s="3710">
      <c r="C18" s="4246" t="n"/>
      <c r="D18" s="4519" t="n"/>
      <c r="E18" s="4158" t="n"/>
      <c r="F18" s="4158" t="n"/>
      <c r="G18" s="4158" t="n"/>
      <c r="H18" s="4158" t="n"/>
      <c r="I18" s="4158" t="n"/>
      <c r="J18" s="4158" t="n"/>
      <c r="K18" s="4158" t="n"/>
      <c r="L18" s="4158" t="n"/>
      <c r="M18" s="4159" t="n"/>
      <c r="N18" s="4159" t="n"/>
      <c r="O18" s="4523" t="n"/>
      <c r="P18" s="4519" t="n"/>
      <c r="Q18" s="4158" t="n"/>
      <c r="R18" s="4158" t="n"/>
      <c r="S18" s="4158" t="n"/>
      <c r="T18" s="4158" t="n"/>
      <c r="U18" s="4159" t="n"/>
      <c r="V18" s="4159" t="n"/>
      <c r="W18" s="4524" t="n"/>
      <c r="X18" s="4520" t="n"/>
      <c r="Y18" s="4158" t="n"/>
      <c r="Z18" s="4158" t="n"/>
      <c r="AA18" s="4158" t="n"/>
      <c r="AB18" s="4159" t="n"/>
      <c r="AC18" s="4159" t="n"/>
      <c r="AD18" s="4521" t="n"/>
      <c r="AF18" s="4522" t="n"/>
    </row>
    <row r="19" hidden="1" outlineLevel="2" ht="12" customHeight="1" s="3710">
      <c r="C19" s="4092" t="n"/>
      <c r="D19" s="4519" t="n">
        <v>-827</v>
      </c>
      <c r="E19" s="4158" t="n"/>
      <c r="F19" s="4158" t="n"/>
      <c r="G19" s="4158" t="n"/>
      <c r="H19" s="4158" t="n"/>
      <c r="I19" s="4158" t="n"/>
      <c r="J19" s="4158" t="n"/>
      <c r="K19" s="4158" t="n"/>
      <c r="L19" s="4158" t="n"/>
      <c r="M19" s="4159" t="n"/>
      <c r="N19" s="4159" t="n"/>
      <c r="O19" s="4523" t="n"/>
      <c r="P19" s="4519" t="n"/>
      <c r="Q19" s="4158" t="n"/>
      <c r="R19" s="4158" t="n"/>
      <c r="S19" s="4158" t="n"/>
      <c r="T19" s="4158" t="n"/>
      <c r="U19" s="4159" t="n"/>
      <c r="V19" s="4159" t="n"/>
      <c r="W19" s="4524" t="n"/>
      <c r="X19" s="4527" t="n"/>
      <c r="Y19" s="4158" t="n"/>
      <c r="Z19" s="4158" t="n"/>
      <c r="AA19" s="4158" t="n"/>
      <c r="AB19" s="4159" t="n"/>
      <c r="AC19" s="4159" t="n"/>
      <c r="AD19" s="4521" t="n"/>
      <c r="AF19" s="4522" t="n"/>
    </row>
    <row r="20" hidden="1" outlineLevel="2" ht="37.3" customHeight="1" s="3710">
      <c r="C20" s="4092" t="n"/>
      <c r="D20" s="4519" t="n">
        <v>584</v>
      </c>
      <c r="E20" s="4158" t="n"/>
      <c r="F20" s="4158" t="n"/>
      <c r="G20" s="4158" t="n"/>
      <c r="H20" s="4158" t="n"/>
      <c r="I20" s="4158" t="n"/>
      <c r="J20" s="4158" t="n"/>
      <c r="K20" s="4158" t="n"/>
      <c r="L20" s="4158" t="n"/>
      <c r="M20" s="4095" t="n"/>
      <c r="N20" s="4159" t="n"/>
      <c r="O20" s="4523" t="n"/>
      <c r="P20" s="4519" t="n"/>
      <c r="Q20" s="4158" t="n"/>
      <c r="R20" s="4158" t="n"/>
      <c r="S20" s="4158" t="n"/>
      <c r="T20" s="4158" t="n"/>
      <c r="U20" s="4159" t="n"/>
      <c r="V20" s="4159" t="n"/>
      <c r="W20" s="4524" t="n"/>
      <c r="X20" s="4527" t="n"/>
      <c r="Y20" s="4158" t="n"/>
      <c r="Z20" s="4158" t="n"/>
      <c r="AA20" s="4158" t="n"/>
      <c r="AB20" s="4159" t="n"/>
      <c r="AC20" s="4159" t="n"/>
      <c r="AD20" s="4521" t="n"/>
      <c r="AF20" s="4528" t="n"/>
    </row>
    <row r="21" hidden="1" outlineLevel="2" ht="12" customHeight="1" s="3710">
      <c r="C21" s="4092" t="n"/>
      <c r="D21" s="4519" t="n">
        <v>303</v>
      </c>
      <c r="E21" s="4158" t="n"/>
      <c r="F21" s="4158" t="n"/>
      <c r="G21" s="4158" t="n"/>
      <c r="H21" s="4158" t="n"/>
      <c r="I21" s="4158" t="n"/>
      <c r="J21" s="4158" t="n"/>
      <c r="K21" s="4158" t="n"/>
      <c r="L21" s="4158" t="n"/>
      <c r="M21" s="4095" t="n"/>
      <c r="N21" s="4159" t="n"/>
      <c r="O21" s="4523" t="n"/>
      <c r="P21" s="4519" t="n"/>
      <c r="Q21" s="4158" t="n"/>
      <c r="R21" s="4158" t="n"/>
      <c r="S21" s="4158" t="n"/>
      <c r="T21" s="4158" t="n"/>
      <c r="U21" s="4159" t="n"/>
      <c r="V21" s="4159" t="n"/>
      <c r="W21" s="4524" t="n"/>
      <c r="X21" s="4527" t="n"/>
      <c r="Y21" s="4158" t="n"/>
      <c r="Z21" s="4158" t="n"/>
      <c r="AA21" s="4158" t="n"/>
      <c r="AB21" s="4159" t="n"/>
      <c r="AC21" s="4159" t="n"/>
      <c r="AD21" s="4521" t="n"/>
      <c r="AF21" s="4522" t="n"/>
    </row>
    <row r="22" hidden="1" outlineLevel="2" ht="12" customHeight="1" s="3710">
      <c r="C22" s="4092" t="n"/>
      <c r="D22" s="4519" t="n">
        <v>352</v>
      </c>
      <c r="E22" s="4158" t="n"/>
      <c r="F22" s="4158" t="n"/>
      <c r="G22" s="4158" t="n"/>
      <c r="H22" s="4158" t="n"/>
      <c r="I22" s="4158" t="n"/>
      <c r="J22" s="4158" t="n"/>
      <c r="K22" s="4158" t="n"/>
      <c r="L22" s="4158" t="n"/>
      <c r="M22" s="4095" t="n"/>
      <c r="N22" s="4159" t="n"/>
      <c r="O22" s="4523" t="n"/>
      <c r="P22" s="4519" t="n"/>
      <c r="Q22" s="4158" t="n"/>
      <c r="R22" s="4158" t="n"/>
      <c r="S22" s="4158" t="n"/>
      <c r="T22" s="4158" t="n"/>
      <c r="U22" s="4159" t="n"/>
      <c r="V22" s="4159" t="n"/>
      <c r="W22" s="4524" t="n"/>
      <c r="X22" s="4520" t="n"/>
      <c r="Y22" s="4158" t="n"/>
      <c r="Z22" s="4158" t="n"/>
      <c r="AA22" s="4158" t="n"/>
      <c r="AB22" s="4159" t="n"/>
      <c r="AC22" s="4159" t="n"/>
      <c r="AD22" s="4521" t="n"/>
      <c r="AF22" s="4522" t="n"/>
    </row>
    <row r="23" hidden="1" outlineLevel="2" ht="12" customHeight="1" s="3710">
      <c r="C23" s="4092" t="n"/>
      <c r="D23" s="4519" t="n">
        <v>114</v>
      </c>
      <c r="E23" s="4158" t="n"/>
      <c r="F23" s="4158" t="n"/>
      <c r="G23" s="4158" t="n"/>
      <c r="H23" s="4158" t="n"/>
      <c r="I23" s="4158" t="n"/>
      <c r="J23" s="4158" t="n"/>
      <c r="K23" s="4158" t="n"/>
      <c r="L23" s="4158" t="n"/>
      <c r="M23" s="4095" t="n"/>
      <c r="N23" s="4159" t="n"/>
      <c r="O23" s="4523" t="n"/>
      <c r="P23" s="4519" t="n"/>
      <c r="Q23" s="4158" t="n"/>
      <c r="R23" s="4158" t="n"/>
      <c r="S23" s="4158" t="n"/>
      <c r="T23" s="4158" t="n"/>
      <c r="U23" s="4159" t="n"/>
      <c r="V23" s="4159" t="n"/>
      <c r="W23" s="4524" t="n"/>
      <c r="X23" s="4520" t="n"/>
      <c r="Y23" s="4158" t="n"/>
      <c r="Z23" s="4158" t="n"/>
      <c r="AA23" s="4158" t="n"/>
      <c r="AB23" s="4159" t="n"/>
      <c r="AC23" s="4159" t="n"/>
      <c r="AD23" s="4521" t="n"/>
      <c r="AF23" s="4522" t="n"/>
    </row>
    <row r="24" hidden="1" outlineLevel="2" ht="12" customHeight="1" s="3710">
      <c r="C24" s="4092" t="n"/>
      <c r="D24" s="4519" t="n">
        <v>147</v>
      </c>
      <c r="E24" s="4158" t="n"/>
      <c r="F24" s="4158" t="n"/>
      <c r="G24" s="4158" t="n"/>
      <c r="H24" s="4158" t="n"/>
      <c r="I24" s="4158" t="n"/>
      <c r="J24" s="4158" t="n"/>
      <c r="K24" s="4158" t="n"/>
      <c r="L24" s="4158" t="n"/>
      <c r="M24" s="4095" t="n"/>
      <c r="N24" s="4159" t="n"/>
      <c r="O24" s="4523" t="n"/>
      <c r="P24" s="4519" t="n"/>
      <c r="Q24" s="4158" t="n"/>
      <c r="R24" s="4158" t="n"/>
      <c r="S24" s="4158" t="n"/>
      <c r="T24" s="4158" t="n"/>
      <c r="U24" s="4159" t="n"/>
      <c r="V24" s="4159" t="n"/>
      <c r="W24" s="4524" t="n"/>
      <c r="X24" s="4520" t="n"/>
      <c r="Y24" s="4158" t="n"/>
      <c r="Z24" s="4158" t="n"/>
      <c r="AA24" s="4158" t="n"/>
      <c r="AB24" s="4159" t="n"/>
      <c r="AC24" s="4159" t="n"/>
      <c r="AD24" s="4521" t="n"/>
      <c r="AF24" s="4522" t="n"/>
    </row>
    <row r="25" hidden="1" outlineLevel="2" ht="12" customHeight="1" s="3710">
      <c r="C25" s="4092" t="n"/>
      <c r="D25" s="4519" t="n">
        <v>492</v>
      </c>
      <c r="E25" s="4158" t="n"/>
      <c r="F25" s="4158" t="n"/>
      <c r="G25" s="4158" t="n"/>
      <c r="H25" s="4158" t="n"/>
      <c r="I25" s="4158" t="n"/>
      <c r="J25" s="4158" t="n"/>
      <c r="K25" s="4158" t="n"/>
      <c r="L25" s="4158" t="n"/>
      <c r="M25" s="4095" t="n"/>
      <c r="N25" s="4159" t="n"/>
      <c r="O25" s="4523" t="n"/>
      <c r="P25" s="4519" t="n"/>
      <c r="Q25" s="4158" t="n"/>
      <c r="R25" s="4158" t="n"/>
      <c r="S25" s="4158" t="n"/>
      <c r="T25" s="4158" t="n"/>
      <c r="U25" s="4159" t="n"/>
      <c r="V25" s="4159" t="n"/>
      <c r="W25" s="4524" t="n"/>
      <c r="X25" s="4520" t="n"/>
      <c r="Y25" s="4158" t="n"/>
      <c r="Z25" s="4158" t="n"/>
      <c r="AA25" s="4158" t="n"/>
      <c r="AB25" s="4159" t="n"/>
      <c r="AC25" s="4159" t="n"/>
      <c r="AD25" s="4521" t="n"/>
      <c r="AF25" s="4522" t="n"/>
    </row>
    <row r="26" hidden="1" outlineLevel="2" ht="12" customHeight="1" s="3710">
      <c r="C26" s="4100" t="n"/>
      <c r="D26" s="4529" t="n">
        <v>5733</v>
      </c>
      <c r="E26" s="4130" t="n"/>
      <c r="F26" s="4130" t="n"/>
      <c r="G26" s="4130" t="n"/>
      <c r="H26" s="4130" t="n"/>
      <c r="I26" s="4130" t="n"/>
      <c r="J26" s="4130" t="n"/>
      <c r="K26" s="4130" t="n"/>
      <c r="L26" s="4130" t="n"/>
      <c r="M26" s="4103" t="n"/>
      <c r="N26" s="4131" t="n"/>
      <c r="O26" s="4530" t="n"/>
      <c r="P26" s="4529" t="n"/>
      <c r="Q26" s="4130" t="n"/>
      <c r="R26" s="4130" t="n"/>
      <c r="S26" s="4130" t="n"/>
      <c r="T26" s="4130" t="n"/>
      <c r="U26" s="4131" t="n"/>
      <c r="V26" s="4131" t="n"/>
      <c r="W26" s="4531" t="n"/>
      <c r="X26" s="4532" t="n"/>
      <c r="Y26" s="4130" t="n"/>
      <c r="Z26" s="4130" t="n"/>
      <c r="AA26" s="4130" t="n"/>
      <c r="AB26" s="4131" t="n"/>
      <c r="AC26" s="4131" t="n"/>
      <c r="AD26" s="4533" t="n"/>
      <c r="AF26" s="4534" t="n"/>
    </row>
    <row r="27" hidden="1" outlineLevel="1" ht="12" customHeight="1" s="3710">
      <c r="C27" s="4150" t="n"/>
      <c r="D27" s="4529">
        <f>SUM(D19:D26)</f>
        <v/>
      </c>
      <c r="E27" s="4130" t="n"/>
      <c r="F27" s="4130" t="n"/>
      <c r="G27" s="4130" t="n"/>
      <c r="H27" s="4130" t="n"/>
      <c r="I27" s="4130" t="n"/>
      <c r="J27" s="4130" t="n"/>
      <c r="K27" s="4130" t="n"/>
      <c r="L27" s="4130" t="n"/>
      <c r="M27" s="4103" t="n"/>
      <c r="N27" s="4131" t="n"/>
      <c r="O27" s="4530" t="n"/>
      <c r="P27" s="4529" t="n"/>
      <c r="Q27" s="4130" t="n"/>
      <c r="R27" s="4130" t="n"/>
      <c r="S27" s="4130" t="n"/>
      <c r="T27" s="4130" t="n"/>
      <c r="U27" s="4131" t="n"/>
      <c r="V27" s="4131" t="n"/>
      <c r="W27" s="4531" t="n"/>
      <c r="X27" s="4532" t="n"/>
      <c r="Y27" s="4130" t="n"/>
      <c r="Z27" s="4130" t="n"/>
      <c r="AA27" s="4130" t="n"/>
      <c r="AB27" s="4131" t="n"/>
      <c r="AC27" s="4131" t="n"/>
      <c r="AD27" s="4533" t="n"/>
      <c r="AF27" s="4534" t="n"/>
    </row>
    <row r="28" ht="12" customHeight="1" s="3710">
      <c r="C28" s="4093" t="n"/>
      <c r="D28" s="4519">
        <f>SUM(D27,D12:D17)</f>
        <v/>
      </c>
      <c r="E28" s="4158" t="n"/>
      <c r="F28" s="4158" t="n"/>
      <c r="G28" s="4158" t="n"/>
      <c r="H28" s="4158" t="n"/>
      <c r="I28" s="4158" t="n"/>
      <c r="J28" s="4158" t="n"/>
      <c r="K28" s="4158" t="n"/>
      <c r="L28" s="4158" t="n"/>
      <c r="M28" s="4095" t="n"/>
      <c r="N28" s="4159" t="n"/>
      <c r="O28" s="4523" t="n"/>
      <c r="P28" s="4519" t="n"/>
      <c r="Q28" s="4158" t="n"/>
      <c r="R28" s="4158" t="n"/>
      <c r="S28" s="4158" t="n"/>
      <c r="T28" s="4158" t="n"/>
      <c r="U28" s="4159" t="n"/>
      <c r="V28" s="4159" t="n"/>
      <c r="W28" s="4524" t="n"/>
      <c r="X28" s="4520" t="n"/>
      <c r="Y28" s="4158" t="n"/>
      <c r="Z28" s="4158" t="n"/>
      <c r="AA28" s="4158" t="n"/>
      <c r="AB28" s="4159" t="n"/>
      <c r="AC28" s="4159" t="n"/>
      <c r="AD28" s="4521" t="n"/>
      <c r="AF28" s="4522" t="n"/>
    </row>
    <row r="29" hidden="1" outlineLevel="1" ht="12" customHeight="1" s="3710">
      <c r="C29" s="4242" t="n"/>
      <c r="D29" s="4519" t="n"/>
      <c r="E29" s="4158" t="n"/>
      <c r="F29" s="4158" t="n"/>
      <c r="G29" s="4158" t="n"/>
      <c r="H29" s="4158" t="n"/>
      <c r="I29" s="4158" t="n"/>
      <c r="J29" s="4158" t="n"/>
      <c r="K29" s="4158" t="n"/>
      <c r="L29" s="4158" t="n"/>
      <c r="M29" s="4095" t="n"/>
      <c r="N29" s="4159" t="n"/>
      <c r="O29" s="4523" t="n"/>
      <c r="P29" s="4519" t="n"/>
      <c r="Q29" s="4158" t="n"/>
      <c r="R29" s="4158" t="n"/>
      <c r="S29" s="4158" t="n"/>
      <c r="T29" s="4158" t="n"/>
      <c r="U29" s="4159" t="n"/>
      <c r="V29" s="4159" t="n"/>
      <c r="W29" s="4524" t="n"/>
      <c r="X29" s="4520" t="n"/>
      <c r="Y29" s="4158" t="n"/>
      <c r="Z29" s="4158" t="n"/>
      <c r="AA29" s="4158" t="n"/>
      <c r="AB29" s="4159" t="n"/>
      <c r="AC29" s="4159" t="n"/>
      <c r="AD29" s="4521" t="n"/>
      <c r="AF29" s="4522" t="n"/>
    </row>
    <row r="30" hidden="1" outlineLevel="1" ht="12" customHeight="1" s="3710">
      <c r="C30" s="4108" t="n"/>
      <c r="D30" s="4519" t="n">
        <v>-3724</v>
      </c>
      <c r="E30" s="4158" t="n"/>
      <c r="F30" s="4158" t="n"/>
      <c r="G30" s="4158" t="n"/>
      <c r="H30" s="4158" t="n"/>
      <c r="I30" s="4158" t="n"/>
      <c r="J30" s="4158" t="n"/>
      <c r="K30" s="4158" t="n"/>
      <c r="L30" s="4158" t="n"/>
      <c r="M30" s="4095" t="n"/>
      <c r="N30" s="4159" t="n"/>
      <c r="O30" s="4523" t="n"/>
      <c r="P30" s="4519" t="n"/>
      <c r="Q30" s="4158" t="n"/>
      <c r="R30" s="4158" t="n"/>
      <c r="S30" s="4158" t="n"/>
      <c r="T30" s="4158" t="n"/>
      <c r="U30" s="4159" t="n"/>
      <c r="V30" s="4159" t="n"/>
      <c r="W30" s="4524" t="n"/>
      <c r="X30" s="4520" t="n"/>
      <c r="Y30" s="4158" t="n"/>
      <c r="Z30" s="4158" t="n"/>
      <c r="AA30" s="4158" t="n"/>
      <c r="AB30" s="4159" t="n"/>
      <c r="AC30" s="4159" t="n"/>
      <c r="AD30" s="4521" t="n"/>
      <c r="AF30" s="4522" t="n"/>
    </row>
    <row r="31" hidden="1" outlineLevel="1" ht="12" customHeight="1" s="3710">
      <c r="C31" s="4108" t="n"/>
      <c r="D31" s="4519" t="n">
        <v>-628</v>
      </c>
      <c r="E31" s="4158" t="n"/>
      <c r="F31" s="4158" t="n"/>
      <c r="G31" s="4158" t="n"/>
      <c r="H31" s="4158" t="n"/>
      <c r="I31" s="4158" t="n"/>
      <c r="J31" s="4158" t="n"/>
      <c r="K31" s="4158" t="n"/>
      <c r="L31" s="4158" t="n"/>
      <c r="M31" s="4095" t="n"/>
      <c r="N31" s="4159" t="n"/>
      <c r="O31" s="4523" t="n"/>
      <c r="P31" s="4519" t="n"/>
      <c r="Q31" s="4158" t="n"/>
      <c r="R31" s="4158" t="n"/>
      <c r="S31" s="4158" t="n"/>
      <c r="T31" s="4158" t="n"/>
      <c r="U31" s="4159" t="n"/>
      <c r="V31" s="4159" t="n"/>
      <c r="W31" s="4524" t="n"/>
      <c r="X31" s="4520" t="n"/>
      <c r="Y31" s="4158" t="n"/>
      <c r="Z31" s="4158" t="n"/>
      <c r="AA31" s="4158" t="n"/>
      <c r="AB31" s="4159" t="n"/>
      <c r="AC31" s="4159" t="n"/>
      <c r="AD31" s="4521" t="n"/>
      <c r="AF31" s="4522" t="n"/>
    </row>
    <row r="32" hidden="1" outlineLevel="1" ht="12" customHeight="1" s="3710">
      <c r="C32" s="4108" t="n"/>
      <c r="D32" s="4519" t="n">
        <v>0</v>
      </c>
      <c r="E32" s="4158" t="n"/>
      <c r="F32" s="4158" t="n"/>
      <c r="G32" s="4158" t="n"/>
      <c r="H32" s="4158" t="n"/>
      <c r="I32" s="4158" t="n"/>
      <c r="J32" s="4158" t="n"/>
      <c r="K32" s="4158" t="n"/>
      <c r="L32" s="4158" t="n"/>
      <c r="M32" s="4095" t="n"/>
      <c r="N32" s="4159" t="n"/>
      <c r="O32" s="4523" t="n"/>
      <c r="P32" s="4519" t="n"/>
      <c r="Q32" s="4158" t="n"/>
      <c r="R32" s="4158" t="n"/>
      <c r="S32" s="4158" t="n"/>
      <c r="T32" s="4158" t="n"/>
      <c r="U32" s="4159" t="n"/>
      <c r="V32" s="4159" t="n"/>
      <c r="W32" s="4524" t="n"/>
      <c r="X32" s="4520" t="n"/>
      <c r="Y32" s="4158" t="n"/>
      <c r="Z32" s="4158" t="n"/>
      <c r="AA32" s="4158" t="n"/>
      <c r="AB32" s="4159" t="n"/>
      <c r="AC32" s="4159" t="n"/>
      <c r="AD32" s="4521" t="n"/>
      <c r="AF32" s="4522" t="n"/>
    </row>
    <row r="33" hidden="1" outlineLevel="1" ht="12" customHeight="1" s="3710">
      <c r="C33" s="4108" t="n"/>
      <c r="D33" s="4519" t="n">
        <v>-75</v>
      </c>
      <c r="E33" s="4158" t="n"/>
      <c r="F33" s="4158" t="n"/>
      <c r="G33" s="4158" t="n"/>
      <c r="H33" s="4158" t="n"/>
      <c r="I33" s="4158" t="n"/>
      <c r="J33" s="4158" t="n"/>
      <c r="K33" s="4158" t="n"/>
      <c r="L33" s="4158" t="n"/>
      <c r="M33" s="4095" t="n"/>
      <c r="N33" s="4159" t="n"/>
      <c r="O33" s="4523" t="n"/>
      <c r="P33" s="4519" t="n"/>
      <c r="Q33" s="4158" t="n"/>
      <c r="R33" s="4158" t="n"/>
      <c r="S33" s="4158" t="n"/>
      <c r="T33" s="4158" t="n"/>
      <c r="U33" s="4159" t="n"/>
      <c r="V33" s="4159" t="n"/>
      <c r="W33" s="4524" t="n"/>
      <c r="X33" s="4520" t="n"/>
      <c r="Y33" s="4158" t="n"/>
      <c r="Z33" s="4158" t="n"/>
      <c r="AA33" s="4158" t="n"/>
      <c r="AB33" s="4159" t="n"/>
      <c r="AC33" s="4159" t="n"/>
      <c r="AD33" s="4521" t="n"/>
      <c r="AF33" s="4522" t="n"/>
    </row>
    <row r="34" hidden="1" outlineLevel="1" ht="12" customHeight="1" s="3710">
      <c r="C34" s="4150" t="n"/>
      <c r="D34" s="4529" t="n">
        <v>100</v>
      </c>
      <c r="E34" s="4130" t="n"/>
      <c r="F34" s="4130" t="n"/>
      <c r="G34" s="4130" t="n"/>
      <c r="H34" s="4130" t="n"/>
      <c r="I34" s="4130" t="n"/>
      <c r="J34" s="4130" t="n"/>
      <c r="K34" s="4130" t="n"/>
      <c r="L34" s="4130" t="n"/>
      <c r="M34" s="4103" t="n"/>
      <c r="N34" s="4131" t="n"/>
      <c r="O34" s="4530" t="n"/>
      <c r="P34" s="4529" t="n"/>
      <c r="Q34" s="4130" t="n"/>
      <c r="R34" s="4130" t="n"/>
      <c r="S34" s="4130" t="n"/>
      <c r="T34" s="4130" t="n"/>
      <c r="U34" s="4131" t="n"/>
      <c r="V34" s="4131" t="n"/>
      <c r="W34" s="4531" t="n"/>
      <c r="X34" s="4532" t="n"/>
      <c r="Y34" s="4130" t="n"/>
      <c r="Z34" s="4130" t="n"/>
      <c r="AA34" s="4130" t="n"/>
      <c r="AB34" s="4131" t="n"/>
      <c r="AC34" s="4131" t="n"/>
      <c r="AD34" s="4533" t="n"/>
      <c r="AF34" s="4534" t="n"/>
    </row>
    <row r="35" ht="12" customHeight="1" s="3710">
      <c r="C35" s="4093" t="n"/>
      <c r="D35" s="4519">
        <f>SUM(D30:D34)</f>
        <v/>
      </c>
      <c r="E35" s="4158" t="n"/>
      <c r="F35" s="4158" t="n"/>
      <c r="G35" s="4158" t="n"/>
      <c r="H35" s="4158" t="n"/>
      <c r="I35" s="4158" t="n"/>
      <c r="J35" s="4158" t="n"/>
      <c r="K35" s="4158" t="n"/>
      <c r="L35" s="4158" t="n"/>
      <c r="M35" s="4095" t="n"/>
      <c r="N35" s="4159" t="n"/>
      <c r="O35" s="4523" t="n"/>
      <c r="P35" s="4519" t="n"/>
      <c r="Q35" s="4158" t="n"/>
      <c r="R35" s="4158" t="n"/>
      <c r="S35" s="4158" t="n"/>
      <c r="T35" s="4158" t="n"/>
      <c r="U35" s="4159" t="n"/>
      <c r="V35" s="4159" t="n"/>
      <c r="W35" s="4524" t="n"/>
      <c r="X35" s="4520" t="n"/>
      <c r="Y35" s="4158" t="n"/>
      <c r="Z35" s="4158" t="n"/>
      <c r="AA35" s="4158" t="n"/>
      <c r="AB35" s="4159" t="n"/>
      <c r="AC35" s="4159" t="n"/>
      <c r="AD35" s="4521" t="n"/>
      <c r="AF35" s="4522" t="n"/>
    </row>
    <row r="36" hidden="1" outlineLevel="1" ht="12" customHeight="1" s="3710">
      <c r="C36" s="4242" t="n"/>
      <c r="D36" s="4519" t="n"/>
      <c r="E36" s="4158" t="n"/>
      <c r="F36" s="4158" t="n"/>
      <c r="G36" s="4158" t="n"/>
      <c r="H36" s="4158" t="n"/>
      <c r="I36" s="4158" t="n"/>
      <c r="J36" s="4158" t="n"/>
      <c r="K36" s="4158" t="n"/>
      <c r="L36" s="4158" t="n"/>
      <c r="M36" s="4095" t="n"/>
      <c r="N36" s="4159" t="n"/>
      <c r="O36" s="4523" t="n"/>
      <c r="P36" s="4519" t="n"/>
      <c r="Q36" s="4158" t="n"/>
      <c r="R36" s="4158" t="n"/>
      <c r="S36" s="4158" t="n"/>
      <c r="T36" s="4158" t="n"/>
      <c r="U36" s="4159" t="n"/>
      <c r="V36" s="4159" t="n"/>
      <c r="W36" s="4524" t="n"/>
      <c r="X36" s="4520" t="n"/>
      <c r="Y36" s="4158" t="n"/>
      <c r="Z36" s="4158" t="n"/>
      <c r="AA36" s="4158" t="n"/>
      <c r="AB36" s="4159" t="n"/>
      <c r="AC36" s="4159" t="n"/>
      <c r="AD36" s="4521" t="n"/>
      <c r="AF36" s="4522" t="n"/>
    </row>
    <row r="37" hidden="1" outlineLevel="1" ht="12" customHeight="1" s="3710">
      <c r="C37" s="4108" t="n"/>
      <c r="D37" s="4519" t="n">
        <v>-1183</v>
      </c>
      <c r="E37" s="4158" t="n"/>
      <c r="F37" s="4158" t="n"/>
      <c r="G37" s="4158" t="n"/>
      <c r="H37" s="4158" t="n"/>
      <c r="I37" s="4158" t="n"/>
      <c r="J37" s="4158" t="n"/>
      <c r="K37" s="4158" t="n"/>
      <c r="L37" s="4158" t="n"/>
      <c r="M37" s="4095" t="n"/>
      <c r="N37" s="4159" t="n"/>
      <c r="O37" s="4523" t="n"/>
      <c r="P37" s="4519" t="n"/>
      <c r="Q37" s="4158" t="n"/>
      <c r="R37" s="4158" t="n"/>
      <c r="S37" s="4158" t="n"/>
      <c r="T37" s="4158" t="n"/>
      <c r="U37" s="4159" t="n"/>
      <c r="V37" s="4159" t="n"/>
      <c r="W37" s="4524" t="n"/>
      <c r="X37" s="4520" t="n"/>
      <c r="Y37" s="4158" t="n"/>
      <c r="Z37" s="4158" t="n"/>
      <c r="AA37" s="4158" t="n"/>
      <c r="AB37" s="4159" t="n"/>
      <c r="AC37" s="4159" t="n"/>
      <c r="AD37" s="4521" t="n"/>
      <c r="AF37" s="4522" t="n"/>
    </row>
    <row r="38" hidden="1" outlineLevel="1" ht="12" customHeight="1" s="3710">
      <c r="C38" s="4108" t="n"/>
      <c r="D38" s="4519" t="n">
        <v>-5650</v>
      </c>
      <c r="E38" s="4158" t="n"/>
      <c r="F38" s="4158" t="n"/>
      <c r="G38" s="4158" t="n"/>
      <c r="H38" s="4158" t="n"/>
      <c r="I38" s="4158" t="n"/>
      <c r="J38" s="4158" t="n"/>
      <c r="K38" s="4158" t="n"/>
      <c r="L38" s="4158" t="n"/>
      <c r="M38" s="4159" t="n"/>
      <c r="N38" s="4159" t="n"/>
      <c r="O38" s="4523" t="n"/>
      <c r="P38" s="4519" t="n"/>
      <c r="Q38" s="4158" t="n"/>
      <c r="R38" s="4158" t="n"/>
      <c r="S38" s="4158" t="n"/>
      <c r="T38" s="4158" t="n"/>
      <c r="U38" s="4159" t="n"/>
      <c r="V38" s="4159" t="n"/>
      <c r="W38" s="4524" t="n"/>
      <c r="X38" s="4520" t="n"/>
      <c r="Y38" s="4158" t="n"/>
      <c r="Z38" s="4158" t="n"/>
      <c r="AA38" s="4158" t="n"/>
      <c r="AB38" s="4159" t="n"/>
      <c r="AC38" s="4159" t="n"/>
      <c r="AD38" s="4521" t="n"/>
      <c r="AF38" s="4522" t="n"/>
    </row>
    <row r="39" hidden="1" outlineLevel="1" ht="12" customFormat="1" customHeight="1" s="3737">
      <c r="A39" s="4059" t="n"/>
      <c r="B39" s="4060" t="n"/>
      <c r="C39" s="4150" t="n"/>
      <c r="D39" s="4529" t="n">
        <v>-1350</v>
      </c>
      <c r="E39" s="4130" t="n"/>
      <c r="F39" s="4130" t="n"/>
      <c r="G39" s="4130" t="n"/>
      <c r="H39" s="4130" t="n"/>
      <c r="I39" s="4130" t="n"/>
      <c r="J39" s="4130" t="n"/>
      <c r="K39" s="4130" t="n"/>
      <c r="L39" s="4130" t="n"/>
      <c r="M39" s="4131" t="n"/>
      <c r="N39" s="4131" t="n"/>
      <c r="O39" s="4530" t="n"/>
      <c r="P39" s="4529" t="n"/>
      <c r="Q39" s="4130" t="n"/>
      <c r="R39" s="4130" t="n"/>
      <c r="S39" s="4130" t="n"/>
      <c r="T39" s="4130" t="n"/>
      <c r="U39" s="4131" t="n"/>
      <c r="V39" s="4131" t="n"/>
      <c r="W39" s="4531" t="n"/>
      <c r="X39" s="4532" t="n"/>
      <c r="Y39" s="4130" t="n"/>
      <c r="Z39" s="4130" t="n"/>
      <c r="AA39" s="4130" t="n"/>
      <c r="AB39" s="4131" t="n"/>
      <c r="AC39" s="4131" t="n"/>
      <c r="AD39" s="4533" t="n"/>
      <c r="AF39" s="4534" t="n"/>
    </row>
    <row r="40" ht="12" customHeight="1" s="3710">
      <c r="C40" s="4101" t="n"/>
      <c r="D40" s="4529">
        <f>SUM(D37:D39)</f>
        <v/>
      </c>
      <c r="E40" s="4130" t="n"/>
      <c r="F40" s="4130" t="n"/>
      <c r="G40" s="4130" t="n"/>
      <c r="H40" s="4130" t="n"/>
      <c r="I40" s="4130" t="n"/>
      <c r="J40" s="4130" t="n"/>
      <c r="K40" s="4130" t="n"/>
      <c r="L40" s="4130" t="n"/>
      <c r="M40" s="4131" t="n"/>
      <c r="N40" s="4131" t="n"/>
      <c r="O40" s="4531" t="n"/>
      <c r="P40" s="4529" t="n"/>
      <c r="Q40" s="4130" t="n"/>
      <c r="R40" s="4130" t="n"/>
      <c r="S40" s="4130" t="n"/>
      <c r="T40" s="4130" t="n"/>
      <c r="U40" s="4131" t="n"/>
      <c r="V40" s="4131" t="n"/>
      <c r="W40" s="4531" t="n"/>
      <c r="X40" s="4532" t="n"/>
      <c r="Y40" s="4130" t="n"/>
      <c r="Z40" s="4130" t="n"/>
      <c r="AA40" s="4130" t="n"/>
      <c r="AB40" s="4131" t="n"/>
      <c r="AC40" s="4131" t="n"/>
      <c r="AD40" s="4533" t="n"/>
      <c r="AF40" s="4534" t="n"/>
    </row>
    <row r="41" ht="12" customHeight="1" s="3710">
      <c r="C41" s="4093" t="n"/>
      <c r="D41" s="4519">
        <f>SUM(D40,D35,D28)</f>
        <v/>
      </c>
      <c r="E41" s="4158" t="n"/>
      <c r="F41" s="4158" t="n"/>
      <c r="G41" s="4158" t="n"/>
      <c r="H41" s="4158" t="n"/>
      <c r="I41" s="4158" t="n"/>
      <c r="J41" s="4158" t="n"/>
      <c r="K41" s="4158" t="n"/>
      <c r="L41" s="4158" t="n"/>
      <c r="M41" s="4159" t="n"/>
      <c r="N41" s="4159" t="n"/>
      <c r="O41" s="4524" t="n"/>
      <c r="P41" s="4519" t="n"/>
      <c r="Q41" s="4158" t="n"/>
      <c r="R41" s="4158" t="n"/>
      <c r="S41" s="4158" t="n"/>
      <c r="T41" s="4158" t="n"/>
      <c r="U41" s="4159" t="n"/>
      <c r="V41" s="4159" t="n"/>
      <c r="W41" s="4524" t="n"/>
      <c r="X41" s="4520" t="n"/>
      <c r="Y41" s="4158" t="n"/>
      <c r="Z41" s="4158" t="n"/>
      <c r="AA41" s="4158" t="n"/>
      <c r="AB41" s="4159" t="n"/>
      <c r="AC41" s="4159" t="n"/>
      <c r="AD41" s="4521" t="n"/>
      <c r="AF41" s="4522" t="n"/>
    </row>
    <row r="42" ht="12" customHeight="1" s="3710">
      <c r="C42" s="4101" t="n"/>
      <c r="D42" s="4519" t="n">
        <v>19337</v>
      </c>
      <c r="E42" s="4158" t="n"/>
      <c r="F42" s="4130" t="n"/>
      <c r="G42" s="4130" t="n"/>
      <c r="H42" s="4130" t="n"/>
      <c r="I42" s="4130" t="n"/>
      <c r="J42" s="4130" t="n"/>
      <c r="K42" s="4130" t="n"/>
      <c r="L42" s="4130" t="n"/>
      <c r="M42" s="4131" t="n"/>
      <c r="N42" s="4131" t="n"/>
      <c r="O42" s="4531" t="n"/>
      <c r="P42" s="4519" t="n"/>
      <c r="Q42" s="4158" t="n"/>
      <c r="R42" s="4130" t="n"/>
      <c r="S42" s="4130" t="n"/>
      <c r="T42" s="4130" t="n"/>
      <c r="U42" s="4131" t="n"/>
      <c r="V42" s="4131" t="n"/>
      <c r="W42" s="4531" t="n"/>
      <c r="X42" s="4532" t="n"/>
      <c r="Y42" s="4130" t="n"/>
      <c r="Z42" s="4130" t="n"/>
      <c r="AA42" s="4130" t="n"/>
      <c r="AB42" s="4131" t="n"/>
      <c r="AC42" s="4131" t="n"/>
      <c r="AD42" s="4533" t="n"/>
      <c r="AF42" s="4534" t="n"/>
    </row>
    <row r="43" ht="12" customHeight="1" s="3710">
      <c r="C43" s="4151" t="n"/>
      <c r="D43" s="4535">
        <f>SUM(D41:D42)</f>
        <v/>
      </c>
      <c r="E43" s="4535" t="n"/>
      <c r="F43" s="4152" t="n"/>
      <c r="G43" s="4152" t="n"/>
      <c r="H43" s="4152" t="n"/>
      <c r="I43" s="4152" t="n"/>
      <c r="J43" s="4152" t="n"/>
      <c r="K43" s="4152" t="n"/>
      <c r="L43" s="4152" t="n"/>
      <c r="M43" s="4153" t="n"/>
      <c r="N43" s="4153" t="n"/>
      <c r="O43" s="4536" t="n"/>
      <c r="P43" s="4535" t="n"/>
      <c r="Q43" s="4535" t="n"/>
      <c r="R43" s="4152" t="n"/>
      <c r="S43" s="4152" t="n"/>
      <c r="T43" s="4152" t="n"/>
      <c r="U43" s="4153" t="n"/>
      <c r="V43" s="4153" t="n"/>
      <c r="W43" s="4536" t="n"/>
      <c r="X43" s="4537" t="n"/>
      <c r="Y43" s="4152" t="n"/>
      <c r="Z43" s="4152" t="n"/>
      <c r="AA43" s="4152" t="n"/>
      <c r="AB43" s="4153" t="n"/>
      <c r="AC43" s="4153" t="n"/>
      <c r="AD43" s="4538" t="n"/>
      <c r="AF43" s="4539" t="n"/>
    </row>
    <row r="44" ht="12" customHeight="1" s="3710"/>
    <row r="45" hidden="1" outlineLevel="1" ht="12" customFormat="1" customHeight="1" s="4261">
      <c r="A45" s="4066" t="n"/>
      <c r="B45" s="4067" t="n"/>
      <c r="C45" s="4065" t="n"/>
      <c r="D45" s="4261" t="n">
        <v>23069</v>
      </c>
      <c r="E45" s="4261" t="n"/>
      <c r="H45" s="4261" t="n"/>
      <c r="J45" s="4261" t="n"/>
      <c r="K45" s="4261" t="n"/>
      <c r="L45" s="4261" t="n"/>
      <c r="M45" s="4261" t="n"/>
      <c r="N45" s="4261" t="n"/>
      <c r="O45" s="4261" t="n"/>
      <c r="P45" s="4261" t="n"/>
      <c r="Q45" s="4261" t="n"/>
      <c r="T45" s="4261" t="n"/>
      <c r="V45" s="4261" t="n"/>
      <c r="W45" s="4261" t="n"/>
      <c r="X45" s="4261" t="n"/>
      <c r="Y45" s="4261" t="n"/>
      <c r="AC45" s="4261" t="n"/>
      <c r="AD45" s="4261" t="n"/>
      <c r="AF45" s="4540" t="n"/>
    </row>
    <row r="46" hidden="1" outlineLevel="1" ht="12" customFormat="1" customHeight="1" s="4261">
      <c r="A46" s="4066" t="n"/>
      <c r="B46" s="4067" t="n"/>
      <c r="C46" s="4065" t="n"/>
      <c r="D46" s="4261">
        <f>D43-D45</f>
        <v/>
      </c>
      <c r="E46" s="4261">
        <f>E43-E45</f>
        <v/>
      </c>
      <c r="J46" s="4261" t="n"/>
      <c r="K46" s="4261" t="n"/>
      <c r="L46" s="4261" t="n"/>
      <c r="M46" s="4261" t="n"/>
      <c r="N46" s="4261">
        <f>N43-N45</f>
        <v/>
      </c>
      <c r="O46" s="4261">
        <f>O43-O45</f>
        <v/>
      </c>
      <c r="P46" s="4261">
        <f>P43-P45</f>
        <v/>
      </c>
      <c r="Q46" s="4261">
        <f>Q43-Q45</f>
        <v/>
      </c>
      <c r="T46" s="4261" t="n"/>
      <c r="V46" s="4261">
        <f>V43-V45</f>
        <v/>
      </c>
      <c r="W46" s="4261">
        <f>W43-W45</f>
        <v/>
      </c>
      <c r="X46" s="4261">
        <f>X43-X45</f>
        <v/>
      </c>
      <c r="Y46" s="4261">
        <f>Y43-Y45</f>
        <v/>
      </c>
      <c r="AC46" s="4261">
        <f>AC43-AC45</f>
        <v/>
      </c>
      <c r="AD46" s="4261">
        <f>AD43-AD45</f>
        <v/>
      </c>
      <c r="AF46" s="4540" t="n"/>
    </row>
    <row r="47" ht="12" customHeight="1" s="3710">
      <c r="X47" s="4061" t="n"/>
    </row>
    <row r="48" ht="12" customHeight="1" s="3710"/>
    <row r="49" ht="12" customHeight="1" s="3710"/>
    <row r="50" ht="12" customHeight="1" s="3710"/>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GC76"/>
  <sheetViews>
    <sheetView showFormulas="0" showGridLines="0" showRowColHeaders="1" showZeros="1" rightToLeft="0" tabSelected="0" showOutlineSymbols="1" defaultGridColor="1" view="normal" topLeftCell="A1" colorId="64" zoomScale="100" zoomScaleNormal="100" zoomScalePageLayoutView="100" workbookViewId="0">
      <pane xSplit="5" ySplit="8" topLeftCell="F9" activePane="bottomRight" state="frozen"/>
      <selection pane="topLeft" activeCell="A1" activeCellId="0" sqref="A1"/>
      <selection pane="topRight" activeCell="F1" activeCellId="0" sqref="F1"/>
      <selection pane="bottomLeft" activeCell="A9" activeCellId="0" sqref="A9"/>
      <selection pane="bottomRight" activeCell="A1" activeCellId="0" sqref="A1"/>
    </sheetView>
  </sheetViews>
  <sheetFormatPr baseColWidth="8" defaultColWidth="8.859375" defaultRowHeight="15" customHeight="0" zeroHeight="0" outlineLevelRow="2"/>
  <cols>
    <col width="3.57" customWidth="1" style="4051" min="1" max="1"/>
    <col width="1.57" customWidth="1" style="4060" min="2" max="2"/>
    <col width="33.42" customWidth="1" style="3737" min="3" max="3"/>
    <col hidden="1" outlineLevel="2" width="27.15" customWidth="1" style="4060" min="4" max="4"/>
    <col hidden="1" outlineLevel="2" width="29.14" customWidth="1" style="4060" min="5" max="5"/>
    <col hidden="1" outlineLevel="1" collapsed="1" width="7.71" customWidth="1" style="4541" min="6" max="6"/>
    <col hidden="1" outlineLevel="1" width="7.71" customWidth="1" style="4541" min="7" max="44"/>
    <col hidden="1" outlineLevel="1" width="7.71" customWidth="1" style="4541" min="45" max="45"/>
    <col hidden="1" outlineLevel="1" width="7.71" customWidth="1" style="4541" min="46" max="47"/>
    <col width="7.71" customWidth="1" style="4541" min="48" max="52"/>
    <col width="1.57" customWidth="1" style="4541" min="53" max="53"/>
    <col width="56.42" customWidth="1" style="4541" min="54" max="54"/>
    <col width="8.859999999999999" customWidth="1" style="4541" min="55" max="16384"/>
  </cols>
  <sheetData>
    <row r="1" ht="22.05" customFormat="1" customHeight="1" s="3737">
      <c r="A1" s="4051" t="n"/>
      <c r="B1" s="4053" t="inlineStr">
        <is>
          <t>Project Name</t>
        </is>
      </c>
      <c r="C1" s="4505" t="n"/>
      <c r="D1" s="4542" t="n"/>
      <c r="E1" s="4542" t="n"/>
      <c r="F1" s="4543" t="n"/>
      <c r="G1" s="4543" t="n"/>
      <c r="H1" s="4543" t="n"/>
      <c r="I1" s="4543" t="n"/>
      <c r="J1" s="4544" t="n"/>
      <c r="AS1" s="3737" t="n"/>
    </row>
    <row r="2" ht="15" customFormat="1" customHeight="1" s="3737">
      <c r="A2" s="4051" t="n"/>
      <c r="B2" s="4055">
        <f>C7</f>
        <v/>
      </c>
      <c r="C2" s="4505" t="n"/>
      <c r="D2" s="4542" t="n"/>
      <c r="E2" s="4542" t="n"/>
      <c r="F2" s="4543" t="n"/>
      <c r="G2" s="4543" t="n"/>
      <c r="H2" s="4543" t="n"/>
      <c r="I2" s="4543" t="n"/>
      <c r="J2" s="4544" t="n"/>
      <c r="AS2" s="3737" t="n"/>
    </row>
    <row r="3" ht="15" customFormat="1" customHeight="1" s="3737">
      <c r="A3" s="4051" t="n"/>
      <c r="B3" s="3750" t="inlineStr">
        <is>
          <t>Source: TBD</t>
        </is>
      </c>
      <c r="C3" s="4505" t="n"/>
      <c r="D3" s="4542" t="n"/>
      <c r="E3" s="4542" t="n"/>
      <c r="F3" s="4543" t="n"/>
      <c r="G3" s="4543" t="n"/>
      <c r="H3" s="4543" t="n"/>
      <c r="I3" s="4543" t="n"/>
      <c r="J3" s="4544" t="n"/>
      <c r="AS3" s="3737" t="n"/>
    </row>
    <row r="4" ht="15" customFormat="1" customHeight="1" s="3737">
      <c r="A4" s="4051" t="n"/>
      <c r="B4" s="4057" t="inlineStr">
        <is>
          <t>WORKING DRAFT</t>
        </is>
      </c>
      <c r="C4" s="4505" t="n"/>
      <c r="D4" s="4542" t="n"/>
      <c r="E4" s="4542" t="n"/>
      <c r="F4" s="4543" t="n"/>
      <c r="G4" s="4543" t="n"/>
      <c r="H4" s="4543" t="n"/>
      <c r="I4" s="4543" t="n"/>
      <c r="J4" s="4544" t="n"/>
      <c r="AS4" s="3737" t="n"/>
    </row>
    <row r="5" ht="15" customFormat="1" customHeight="1" s="3737">
      <c r="A5" s="4051" t="n"/>
      <c r="B5" s="4060" t="n"/>
      <c r="C5" s="3737" t="n"/>
      <c r="D5" s="4060" t="n"/>
      <c r="E5" s="4060" t="n"/>
      <c r="AS5" s="3737" t="n"/>
    </row>
    <row r="6" ht="15" customFormat="1" customHeight="1" s="3737">
      <c r="A6" s="4051" t="n"/>
      <c r="B6" s="4060" t="n"/>
      <c r="C6" s="3737" t="n"/>
      <c r="D6" s="4060" t="n"/>
      <c r="E6" s="4060" t="n"/>
      <c r="AS6" s="3737" t="n"/>
    </row>
    <row r="7" ht="19.5" customFormat="1" customHeight="1" s="3737">
      <c r="A7" s="4051" t="n"/>
      <c r="B7" s="4060" t="n"/>
      <c r="C7" s="4063" t="inlineStr">
        <is>
          <t>Billing report reconciliation</t>
        </is>
      </c>
      <c r="D7" s="4063" t="n"/>
      <c r="E7" s="4063" t="n"/>
      <c r="F7" s="4064" t="n"/>
      <c r="G7" s="4064" t="n"/>
      <c r="H7" s="4064" t="n"/>
      <c r="I7" s="4064" t="n"/>
      <c r="J7" s="4064" t="n"/>
      <c r="K7" s="4064" t="n"/>
      <c r="L7" s="4064" t="n"/>
      <c r="M7" s="4064" t="n"/>
      <c r="N7" s="4064" t="n"/>
      <c r="O7" s="4064" t="n"/>
      <c r="P7" s="4064" t="n"/>
      <c r="Q7" s="4064" t="n"/>
      <c r="R7" s="4064" t="n"/>
      <c r="S7" s="4064" t="n"/>
      <c r="T7" s="4064" t="n"/>
      <c r="U7" s="4064" t="n"/>
      <c r="V7" s="4064" t="n"/>
      <c r="W7" s="4064" t="n"/>
      <c r="X7" s="4064" t="n"/>
      <c r="Y7" s="4064" t="n"/>
      <c r="Z7" s="4064" t="n"/>
      <c r="AA7" s="4064" t="n"/>
      <c r="AB7" s="4064" t="n"/>
      <c r="AC7" s="4064" t="n"/>
      <c r="AD7" s="4064" t="n"/>
      <c r="AE7" s="4064" t="n"/>
      <c r="AF7" s="4064" t="n"/>
      <c r="AG7" s="4064" t="n"/>
      <c r="AH7" s="4064" t="n"/>
      <c r="AI7" s="4064" t="n"/>
      <c r="AJ7" s="4064" t="n"/>
      <c r="AK7" s="4064" t="n"/>
      <c r="AL7" s="4064" t="n"/>
      <c r="AM7" s="4064" t="n"/>
      <c r="AN7" s="4064" t="n"/>
      <c r="AO7" s="4064" t="n"/>
      <c r="AP7" s="4064" t="n"/>
      <c r="AQ7" s="4064" t="n"/>
      <c r="AR7" s="4064" t="n"/>
      <c r="AS7" s="4064" t="n"/>
      <c r="AT7" s="4064" t="n"/>
      <c r="AU7" s="4064" t="n"/>
      <c r="AV7" s="4064" t="n"/>
      <c r="AW7" s="4064" t="n"/>
      <c r="AX7" s="4064" t="n"/>
      <c r="AY7" s="4064" t="n"/>
      <c r="AZ7" s="4064" t="n"/>
      <c r="BB7" s="4064" t="inlineStr">
        <is>
          <t>Comments</t>
        </is>
      </c>
    </row>
    <row r="8" ht="19.4" customFormat="1" customHeight="1" s="3737">
      <c r="A8" s="4051" t="n"/>
      <c r="B8" s="4060" t="n"/>
      <c r="C8" s="4081" t="inlineStr">
        <is>
          <t>$'000</t>
        </is>
      </c>
      <c r="D8" s="4081" t="inlineStr">
        <is>
          <t>Revenue Type</t>
        </is>
      </c>
      <c r="E8" s="4081" t="inlineStr">
        <is>
          <t>GL Account</t>
        </is>
      </c>
      <c r="F8" s="4082">
        <f>ctl_month_start</f>
        <v/>
      </c>
      <c r="G8" s="4082">
        <f>EDATE(ctl_month_start,1)</f>
        <v/>
      </c>
      <c r="H8" s="4082">
        <f>EDATE(ctl_month_start,2)</f>
        <v/>
      </c>
      <c r="I8" s="4082">
        <f>EDATE(ctl_month_start,3)</f>
        <v/>
      </c>
      <c r="J8" s="4082">
        <f>EDATE(ctl_month_start,4)</f>
        <v/>
      </c>
      <c r="K8" s="4082">
        <f>EDATE(ctl_month_start,5)</f>
        <v/>
      </c>
      <c r="L8" s="4082">
        <f>EDATE(ctl_month_start,6)</f>
        <v/>
      </c>
      <c r="M8" s="4082">
        <f>EDATE(ctl_month_start,7)</f>
        <v/>
      </c>
      <c r="N8" s="4082">
        <f>EDATE(ctl_month_start,8)</f>
        <v/>
      </c>
      <c r="O8" s="4082">
        <f>EDATE(ctl_month_start,9)</f>
        <v/>
      </c>
      <c r="P8" s="4082">
        <f>EDATE(ctl_month_start,10)</f>
        <v/>
      </c>
      <c r="Q8" s="4082">
        <f>EDATE(ctl_month_start,11)</f>
        <v/>
      </c>
      <c r="R8" s="4082">
        <f>EDATE(ctl_month_start,12)</f>
        <v/>
      </c>
      <c r="S8" s="4082">
        <f>EDATE(ctl_month_start,13)</f>
        <v/>
      </c>
      <c r="T8" s="4082">
        <f>EDATE(ctl_month_start,14)</f>
        <v/>
      </c>
      <c r="U8" s="4082">
        <f>EDATE(ctl_month_start,15)</f>
        <v/>
      </c>
      <c r="V8" s="4082">
        <f>EDATE(ctl_month_start,16)</f>
        <v/>
      </c>
      <c r="W8" s="4082">
        <f>EDATE(ctl_month_start,17)</f>
        <v/>
      </c>
      <c r="X8" s="4082">
        <f>EDATE(ctl_month_start,18)</f>
        <v/>
      </c>
      <c r="Y8" s="4082">
        <f>EDATE(ctl_month_start,19)</f>
        <v/>
      </c>
      <c r="Z8" s="4082">
        <f>EDATE(ctl_month_start,20)</f>
        <v/>
      </c>
      <c r="AA8" s="4082">
        <f>EDATE(ctl_month_start,21)</f>
        <v/>
      </c>
      <c r="AB8" s="4082">
        <f>EDATE(ctl_month_start,22)</f>
        <v/>
      </c>
      <c r="AC8" s="4082">
        <f>EDATE(ctl_month_start,23)</f>
        <v/>
      </c>
      <c r="AD8" s="4082">
        <f>EDATE(ctl_month_start,24)</f>
        <v/>
      </c>
      <c r="AE8" s="4082">
        <f>EDATE(ctl_month_start,25)</f>
        <v/>
      </c>
      <c r="AF8" s="4082">
        <f>EDATE(ctl_month_start,26)</f>
        <v/>
      </c>
      <c r="AG8" s="4082">
        <f>EDATE(ctl_month_start,27)</f>
        <v/>
      </c>
      <c r="AH8" s="4082">
        <f>EDATE(ctl_month_start,28)</f>
        <v/>
      </c>
      <c r="AI8" s="4082">
        <f>EDATE(ctl_month_start,29)</f>
        <v/>
      </c>
      <c r="AJ8" s="4082">
        <f>EDATE(ctl_month_start,30)</f>
        <v/>
      </c>
      <c r="AK8" s="4082">
        <f>EDATE(ctl_month_start,31)</f>
        <v/>
      </c>
      <c r="AL8" s="4082">
        <f>EDATE(ctl_month_start,32)</f>
        <v/>
      </c>
      <c r="AM8" s="4082">
        <f>EDATE(ctl_month_start,33)</f>
        <v/>
      </c>
      <c r="AN8" s="4082">
        <f>EDATE(ctl_month_start,34)</f>
        <v/>
      </c>
      <c r="AO8" s="4082">
        <f>EDATE(ctl_month_start,35)</f>
        <v/>
      </c>
      <c r="AP8" s="4082" t="n"/>
      <c r="AQ8" s="4082" t="n"/>
      <c r="AR8" s="4082" t="n"/>
      <c r="AS8" s="4082" t="n"/>
      <c r="AT8" s="4082" t="n"/>
      <c r="AU8" s="4083" t="n"/>
      <c r="AV8" s="4083" t="n"/>
      <c r="AW8" s="4084" t="n"/>
      <c r="AX8" s="4084" t="n"/>
      <c r="AY8" s="4267" t="n"/>
      <c r="AZ8" s="4267" t="n"/>
      <c r="BB8" s="4084" t="n"/>
    </row>
    <row r="9" hidden="1" outlineLevel="1" ht="12" customHeight="1" s="3710">
      <c r="C9" s="4092" t="inlineStr">
        <is>
          <t>Revenue from Billing Invoices &amp; Credits</t>
        </is>
      </c>
      <c r="D9" s="4093" t="inlineStr">
        <is>
          <t>billing</t>
        </is>
      </c>
      <c r="E9" s="4093" t="inlineStr">
        <is>
          <t>various</t>
        </is>
      </c>
      <c r="F9" s="4158" t="n"/>
      <c r="G9" s="4158" t="n"/>
      <c r="H9" s="4158" t="n"/>
      <c r="I9" s="4158" t="n"/>
      <c r="J9" s="4158" t="n"/>
      <c r="K9" s="4158" t="n"/>
      <c r="L9" s="4158" t="n"/>
      <c r="M9" s="4158" t="n"/>
      <c r="N9" s="4158" t="n"/>
      <c r="O9" s="4158" t="n"/>
      <c r="P9" s="4158" t="n"/>
      <c r="Q9" s="4159" t="n"/>
      <c r="R9" s="4158" t="n"/>
      <c r="S9" s="4158" t="n"/>
      <c r="T9" s="4158" t="n"/>
      <c r="U9" s="4158" t="n"/>
      <c r="V9" s="4158" t="n"/>
      <c r="W9" s="4158" t="n"/>
      <c r="X9" s="4158" t="n"/>
      <c r="Y9" s="4158" t="n"/>
      <c r="Z9" s="4158" t="n"/>
      <c r="AA9" s="4158" t="n"/>
      <c r="AB9" s="4158" t="n"/>
      <c r="AC9" s="4159" t="n"/>
      <c r="AD9" s="4158" t="n"/>
      <c r="AE9" s="4158" t="n"/>
      <c r="AF9" s="4158" t="n"/>
      <c r="AG9" s="4158" t="n"/>
      <c r="AH9" s="4158" t="n"/>
      <c r="AI9" s="4545" t="n"/>
      <c r="AJ9" s="4158" t="n"/>
      <c r="AK9" s="4158" t="n"/>
      <c r="AL9" s="4158" t="n"/>
      <c r="AM9" s="4158" t="n"/>
      <c r="AN9" s="4158" t="n"/>
      <c r="AO9" s="4159" t="n"/>
      <c r="AP9" s="4158" t="n">
        <v>5734.25311</v>
      </c>
      <c r="AQ9" s="4158" t="n">
        <v>5860.77529</v>
      </c>
      <c r="AR9" s="4158" t="n">
        <v>6592.42705</v>
      </c>
      <c r="AS9" s="4158" t="n">
        <v>5780.07897</v>
      </c>
      <c r="AT9" s="4158" t="n">
        <v>6260.6559</v>
      </c>
      <c r="AU9" s="4160" t="n">
        <v>6237.65012</v>
      </c>
      <c r="AV9" s="4158">
        <f>SUM(F9:Q9)</f>
        <v/>
      </c>
      <c r="AW9" s="4158">
        <f>SUM(R9:AC9)</f>
        <v/>
      </c>
      <c r="AX9" s="4158">
        <f>SUM(AD9:AO9)</f>
        <v/>
      </c>
      <c r="AY9" s="4158">
        <f>SUM(AH9:AS9)</f>
        <v/>
      </c>
      <c r="AZ9" s="4158">
        <f>SUM(AJ9:AU9)</f>
        <v/>
      </c>
      <c r="BB9" s="4158" t="n"/>
    </row>
    <row r="10" hidden="1" outlineLevel="1" ht="12" customHeight="1" s="3710">
      <c r="C10" s="4092" t="inlineStr">
        <is>
          <t>Unreconcilable differences</t>
        </is>
      </c>
      <c r="D10" s="4093" t="n"/>
      <c r="E10" s="4093" t="n"/>
      <c r="F10" s="4158" t="n"/>
      <c r="G10" s="4158" t="n"/>
      <c r="H10" s="4158" t="n"/>
      <c r="I10" s="4158" t="n"/>
      <c r="J10" s="4158" t="n"/>
      <c r="K10" s="4158" t="n"/>
      <c r="L10" s="4158" t="n"/>
      <c r="M10" s="4158" t="n"/>
      <c r="N10" s="4158" t="n"/>
      <c r="O10" s="4158" t="n"/>
      <c r="P10" s="4158" t="n"/>
      <c r="Q10" s="4159" t="n"/>
      <c r="R10" s="4158" t="n"/>
      <c r="S10" s="4158" t="n"/>
      <c r="T10" s="4158" t="n"/>
      <c r="U10" s="4158" t="n"/>
      <c r="V10" s="4158" t="n"/>
      <c r="W10" s="4158" t="n"/>
      <c r="X10" s="4158" t="n"/>
      <c r="Y10" s="4158" t="n"/>
      <c r="Z10" s="4158" t="n"/>
      <c r="AA10" s="4158" t="n"/>
      <c r="AB10" s="4158" t="n"/>
      <c r="AC10" s="4159" t="n"/>
      <c r="AD10" s="4158" t="n"/>
      <c r="AE10" s="4158" t="n"/>
      <c r="AF10" s="4158" t="n"/>
      <c r="AG10" s="4158" t="n"/>
      <c r="AH10" s="4158" t="n"/>
      <c r="AI10" s="4545" t="n"/>
      <c r="AJ10" s="4158" t="n"/>
      <c r="AK10" s="4158" t="n"/>
      <c r="AL10" s="4158" t="n"/>
      <c r="AM10" s="4158" t="n"/>
      <c r="AN10" s="4158" t="n"/>
      <c r="AO10" s="4159" t="n"/>
      <c r="AP10" s="4158" t="n">
        <v>-0.600000000001273</v>
      </c>
      <c r="AQ10" s="4158" t="n">
        <v>0</v>
      </c>
      <c r="AR10" s="4158" t="n">
        <v>0</v>
      </c>
      <c r="AS10" s="4158" t="n">
        <v>3.11295000000064</v>
      </c>
      <c r="AT10" s="4158" t="n">
        <v>9.46801999999934</v>
      </c>
      <c r="AU10" s="4160" t="n">
        <v>-5.6525500000007</v>
      </c>
      <c r="AV10" s="4158">
        <f>SUM(F10:Q10)</f>
        <v/>
      </c>
      <c r="AW10" s="4158">
        <f>SUM(R10:AC10)</f>
        <v/>
      </c>
      <c r="AX10" s="4158">
        <f>SUM(AD10:AO10)</f>
        <v/>
      </c>
      <c r="AY10" s="4158">
        <f>SUM(AH10:AS10)</f>
        <v/>
      </c>
      <c r="AZ10" s="4158">
        <f>SUM(AJ10:AU10)</f>
        <v/>
      </c>
      <c r="BB10" s="4158" t="n"/>
    </row>
    <row r="11" hidden="1" outlineLevel="1" ht="12" customHeight="1" s="3710">
      <c r="C11" s="4092" t="inlineStr">
        <is>
          <t>Adjustment to billing in Great Plains G/L</t>
        </is>
      </c>
      <c r="D11" s="4093" t="n"/>
      <c r="E11" s="4093" t="n"/>
      <c r="F11" s="4158" t="n"/>
      <c r="G11" s="4158" t="n"/>
      <c r="H11" s="4158" t="n"/>
      <c r="I11" s="4158" t="n"/>
      <c r="J11" s="4158" t="n"/>
      <c r="K11" s="4158" t="n"/>
      <c r="L11" s="4158" t="n"/>
      <c r="M11" s="4158" t="n"/>
      <c r="N11" s="4158" t="n"/>
      <c r="O11" s="4158" t="n"/>
      <c r="P11" s="4158" t="n"/>
      <c r="Q11" s="4159" t="n"/>
      <c r="R11" s="4158" t="n"/>
      <c r="S11" s="4158" t="n"/>
      <c r="T11" s="4158" t="n"/>
      <c r="U11" s="4158" t="n"/>
      <c r="V11" s="4158" t="n"/>
      <c r="W11" s="4158" t="n"/>
      <c r="X11" s="4158" t="n"/>
      <c r="Y11" s="4158" t="n"/>
      <c r="Z11" s="4158" t="n"/>
      <c r="AA11" s="4158" t="n"/>
      <c r="AB11" s="4158" t="n"/>
      <c r="AC11" s="4159" t="n"/>
      <c r="AD11" s="4158" t="n"/>
      <c r="AE11" s="4158" t="n"/>
      <c r="AF11" s="4158" t="n"/>
      <c r="AG11" s="4158" t="n"/>
      <c r="AH11" s="4158" t="n"/>
      <c r="AI11" s="4158" t="n"/>
      <c r="AJ11" s="4158" t="n"/>
      <c r="AK11" s="4158" t="n"/>
      <c r="AL11" s="4158" t="n"/>
      <c r="AM11" s="4158" t="n"/>
      <c r="AN11" s="4158" t="n"/>
      <c r="AO11" s="4159" t="n"/>
      <c r="AP11" s="4158" t="n">
        <v>0</v>
      </c>
      <c r="AQ11" s="4158" t="n">
        <v>0</v>
      </c>
      <c r="AR11" s="4158" t="n">
        <v>0</v>
      </c>
      <c r="AS11" s="4158" t="n">
        <v>0</v>
      </c>
      <c r="AT11" s="4158" t="n">
        <v>0</v>
      </c>
      <c r="AU11" s="4160" t="n">
        <v>-2.77773</v>
      </c>
      <c r="AV11" s="4158">
        <f>SUM(F11:Q11)</f>
        <v/>
      </c>
      <c r="AW11" s="4158">
        <f>SUM(R11:AC11)</f>
        <v/>
      </c>
      <c r="AX11" s="4158">
        <f>SUM(AD11:AO11)</f>
        <v/>
      </c>
      <c r="AY11" s="4158">
        <f>SUM(AH11:AS11)</f>
        <v/>
      </c>
      <c r="AZ11" s="4158">
        <f>SUM(AJ11:AU11)</f>
        <v/>
      </c>
      <c r="BB11" s="4158" t="n"/>
    </row>
    <row r="12" hidden="1" outlineLevel="1" ht="12" customHeight="1" s="3710">
      <c r="C12" s="4100" t="inlineStr">
        <is>
          <t>Chase residuals applied to A/R for CHASE ISO's</t>
        </is>
      </c>
      <c r="D12" s="4101" t="inlineStr">
        <is>
          <t>Chase Residual</t>
        </is>
      </c>
      <c r="E12" s="4101" t="inlineStr">
        <is>
          <t>3025-411139-1012-301</t>
        </is>
      </c>
      <c r="F12" s="4130" t="n"/>
      <c r="G12" s="4130" t="n"/>
      <c r="H12" s="4130" t="n"/>
      <c r="I12" s="4130" t="n"/>
      <c r="J12" s="4130" t="n"/>
      <c r="K12" s="4130" t="n"/>
      <c r="L12" s="4130" t="n"/>
      <c r="M12" s="4130" t="n"/>
      <c r="N12" s="4130" t="n"/>
      <c r="O12" s="4130" t="n"/>
      <c r="P12" s="4130" t="n"/>
      <c r="Q12" s="4131" t="n"/>
      <c r="R12" s="4130" t="n"/>
      <c r="S12" s="4130" t="n"/>
      <c r="T12" s="4130" t="n"/>
      <c r="U12" s="4130" t="n"/>
      <c r="V12" s="4130" t="n"/>
      <c r="W12" s="4130" t="n"/>
      <c r="X12" s="4130" t="n"/>
      <c r="Y12" s="4130" t="n"/>
      <c r="Z12" s="4130" t="n"/>
      <c r="AA12" s="4130" t="n"/>
      <c r="AB12" s="4130" t="n"/>
      <c r="AC12" s="4131" t="n"/>
      <c r="AD12" s="4130" t="n"/>
      <c r="AE12" s="4130" t="n"/>
      <c r="AF12" s="4130" t="n"/>
      <c r="AG12" s="4130" t="n"/>
      <c r="AH12" s="4130" t="n"/>
      <c r="AI12" s="4130" t="n"/>
      <c r="AJ12" s="4130" t="n"/>
      <c r="AK12" s="4130" t="n"/>
      <c r="AL12" s="4130" t="n"/>
      <c r="AM12" s="4130" t="n"/>
      <c r="AN12" s="4130" t="n"/>
      <c r="AO12" s="4131" t="n"/>
      <c r="AP12" s="4130" t="n">
        <v>0</v>
      </c>
      <c r="AQ12" s="4130" t="n">
        <v>0</v>
      </c>
      <c r="AR12" s="4130" t="n">
        <v>0</v>
      </c>
      <c r="AS12" s="4130" t="n">
        <v>0</v>
      </c>
      <c r="AT12" s="4130" t="n">
        <v>0</v>
      </c>
      <c r="AU12" s="4132" t="n">
        <v>0</v>
      </c>
      <c r="AV12" s="4130">
        <f>SUM(F12:Q12)</f>
        <v/>
      </c>
      <c r="AW12" s="4130">
        <f>SUM(R12:AC12)</f>
        <v/>
      </c>
      <c r="AX12" s="4130">
        <f>SUM(AD12:AO12)</f>
        <v/>
      </c>
      <c r="AY12" s="4130">
        <f>SUM(AH12:AS12)</f>
        <v/>
      </c>
      <c r="AZ12" s="4130">
        <f>SUM(AJ12:AU12)</f>
        <v/>
      </c>
      <c r="BB12" s="4130" t="n"/>
    </row>
    <row r="13" ht="12" customHeight="1" s="3710">
      <c r="C13" s="4546" t="inlineStr">
        <is>
          <t>Billed revenue</t>
        </is>
      </c>
      <c r="D13" s="4093" t="n"/>
      <c r="E13" s="4093" t="n"/>
      <c r="F13" s="4158" t="n"/>
      <c r="G13" s="4158" t="n"/>
      <c r="H13" s="4158" t="n"/>
      <c r="I13" s="4158" t="n"/>
      <c r="J13" s="4158" t="n"/>
      <c r="K13" s="4158" t="n"/>
      <c r="L13" s="4158" t="n"/>
      <c r="M13" s="4158" t="n"/>
      <c r="N13" s="4158" t="n"/>
      <c r="O13" s="4158" t="n"/>
      <c r="P13" s="4158" t="n"/>
      <c r="Q13" s="4159" t="n"/>
      <c r="R13" s="4158" t="n"/>
      <c r="S13" s="4158" t="n"/>
      <c r="T13" s="4158" t="n"/>
      <c r="U13" s="4158" t="n"/>
      <c r="V13" s="4158" t="n"/>
      <c r="W13" s="4158" t="n"/>
      <c r="X13" s="4158" t="n"/>
      <c r="Y13" s="4158" t="n"/>
      <c r="Z13" s="4158" t="n"/>
      <c r="AA13" s="4158" t="n"/>
      <c r="AB13" s="4158" t="n"/>
      <c r="AC13" s="4159" t="n"/>
      <c r="AD13" s="4158" t="n"/>
      <c r="AE13" s="4158" t="n"/>
      <c r="AF13" s="4158" t="n"/>
      <c r="AG13" s="4158" t="n"/>
      <c r="AH13" s="4158" t="n"/>
      <c r="AI13" s="4158" t="n"/>
      <c r="AJ13" s="4158" t="n"/>
      <c r="AK13" s="4158" t="n"/>
      <c r="AL13" s="4158" t="n"/>
      <c r="AM13" s="4158" t="n"/>
      <c r="AN13" s="4158" t="n"/>
      <c r="AO13" s="4159" t="n"/>
      <c r="AP13" s="4158">
        <f>SUM(AP9:AP12)</f>
        <v/>
      </c>
      <c r="AQ13" s="4158">
        <f>SUM(AQ9:AQ12)</f>
        <v/>
      </c>
      <c r="AR13" s="4158">
        <f>SUM(AR9:AR12)</f>
        <v/>
      </c>
      <c r="AS13" s="4158">
        <f>SUM(AS9:AS12)</f>
        <v/>
      </c>
      <c r="AT13" s="4158">
        <f>SUM(AT9:AT12)</f>
        <v/>
      </c>
      <c r="AU13" s="4160">
        <f>SUM(AU9:AU12)</f>
        <v/>
      </c>
      <c r="AV13" s="4158">
        <f>SUM(AV9:AV12)</f>
        <v/>
      </c>
      <c r="AW13" s="4158">
        <f>SUM(AW9:AW12)</f>
        <v/>
      </c>
      <c r="AX13" s="4158">
        <f>SUM(AX9:AX12)</f>
        <v/>
      </c>
      <c r="AY13" s="4158">
        <f>SUM(AY9:AY12)</f>
        <v/>
      </c>
      <c r="AZ13" s="4158">
        <f>SUM(AZ9:AZ12)</f>
        <v/>
      </c>
      <c r="BB13" s="4158" t="n"/>
    </row>
    <row r="14" hidden="1" outlineLevel="2" ht="12" customHeight="1" s="3710">
      <c r="C14" s="4127" t="inlineStr">
        <is>
          <t>OIF (cirrus, plus, visa) transferred in</t>
        </is>
      </c>
      <c r="D14" s="4093" t="inlineStr">
        <is>
          <t>OIF Revenue</t>
        </is>
      </c>
      <c r="E14" s="4093" t="inlineStr">
        <is>
          <t>3025-411140-1014-601</t>
        </is>
      </c>
      <c r="F14" s="4158" t="n"/>
      <c r="G14" s="4158" t="n"/>
      <c r="H14" s="4158" t="n"/>
      <c r="I14" s="4158" t="n"/>
      <c r="J14" s="4158" t="n"/>
      <c r="K14" s="4158" t="n"/>
      <c r="L14" s="4158" t="n"/>
      <c r="M14" s="4158" t="n"/>
      <c r="N14" s="4158" t="n"/>
      <c r="O14" s="4158" t="n"/>
      <c r="P14" s="4158" t="n"/>
      <c r="Q14" s="4159" t="n"/>
      <c r="R14" s="4158" t="n"/>
      <c r="S14" s="4158" t="n"/>
      <c r="T14" s="4158" t="n"/>
      <c r="U14" s="4158" t="n"/>
      <c r="V14" s="4158" t="n"/>
      <c r="W14" s="4158" t="n"/>
      <c r="X14" s="4158" t="n"/>
      <c r="Y14" s="4158" t="n"/>
      <c r="Z14" s="4158" t="n"/>
      <c r="AA14" s="4158" t="n"/>
      <c r="AB14" s="4158" t="n"/>
      <c r="AC14" s="4159" t="n"/>
      <c r="AD14" s="4158" t="n"/>
      <c r="AE14" s="4158" t="n"/>
      <c r="AF14" s="4158" t="n"/>
      <c r="AG14" s="4158" t="n"/>
      <c r="AH14" s="4158" t="n"/>
      <c r="AI14" s="4158" t="n"/>
      <c r="AJ14" s="4158" t="n"/>
      <c r="AK14" s="4158" t="n"/>
      <c r="AL14" s="4158" t="n"/>
      <c r="AM14" s="4158" t="n"/>
      <c r="AN14" s="4158" t="n"/>
      <c r="AO14" s="4159" t="n"/>
      <c r="AP14" s="4158" t="n">
        <v>79.36412</v>
      </c>
      <c r="AQ14" s="4158" t="n">
        <v>94.75906999999999</v>
      </c>
      <c r="AR14" s="4158" t="n">
        <v>102.80226</v>
      </c>
      <c r="AS14" s="4158" t="n">
        <v>92.64949</v>
      </c>
      <c r="AT14" s="4158" t="n">
        <v>61.56961</v>
      </c>
      <c r="AU14" s="4160" t="n">
        <v>45.97162</v>
      </c>
      <c r="AV14" s="4158">
        <f>SUM(F14:Q14)</f>
        <v/>
      </c>
      <c r="AW14" s="4158">
        <f>SUM(R14:AC14)</f>
        <v/>
      </c>
      <c r="AX14" s="4158">
        <f>SUM(AD14:AO14)</f>
        <v/>
      </c>
      <c r="AY14" s="4158">
        <f>SUM(AH14:AS14)</f>
        <v/>
      </c>
      <c r="AZ14" s="4158">
        <f>SUM(AJ14:AU14)</f>
        <v/>
      </c>
      <c r="BB14" s="4158" t="n"/>
    </row>
    <row r="15" hidden="1" outlineLevel="2" ht="12" customHeight="1" s="3710">
      <c r="C15" s="4127" t="inlineStr">
        <is>
          <t>OIF (maestro) transferred in</t>
        </is>
      </c>
      <c r="D15" s="4093" t="inlineStr">
        <is>
          <t>OIF Revenue</t>
        </is>
      </c>
      <c r="E15" s="4093" t="inlineStr">
        <is>
          <t>3025-411141-1014-601</t>
        </is>
      </c>
      <c r="F15" s="4158" t="n"/>
      <c r="G15" s="4158" t="n"/>
      <c r="H15" s="4158" t="n"/>
      <c r="I15" s="4158" t="n"/>
      <c r="J15" s="4158" t="n"/>
      <c r="K15" s="4158" t="n"/>
      <c r="L15" s="4158" t="n"/>
      <c r="M15" s="4158" t="n"/>
      <c r="N15" s="4158" t="n"/>
      <c r="O15" s="4158" t="n"/>
      <c r="P15" s="4158" t="n"/>
      <c r="Q15" s="4159" t="n"/>
      <c r="R15" s="4158" t="n"/>
      <c r="S15" s="4158" t="n"/>
      <c r="T15" s="4158" t="n"/>
      <c r="U15" s="4158" t="n"/>
      <c r="V15" s="4158" t="n"/>
      <c r="W15" s="4158" t="n"/>
      <c r="X15" s="4158" t="n"/>
      <c r="Y15" s="4158" t="n"/>
      <c r="Z15" s="4158" t="n"/>
      <c r="AA15" s="4158" t="n"/>
      <c r="AB15" s="4158" t="n"/>
      <c r="AC15" s="4159" t="n"/>
      <c r="AD15" s="4158" t="n"/>
      <c r="AE15" s="4158" t="n"/>
      <c r="AF15" s="4158" t="n"/>
      <c r="AG15" s="4158" t="n"/>
      <c r="AH15" s="4158" t="n"/>
      <c r="AI15" s="4158" t="n"/>
      <c r="AJ15" s="4158" t="n"/>
      <c r="AK15" s="4158" t="n"/>
      <c r="AL15" s="4158" t="n"/>
      <c r="AM15" s="4158" t="n"/>
      <c r="AN15" s="4158" t="n"/>
      <c r="AO15" s="4159" t="n"/>
      <c r="AP15" s="4158" t="n">
        <v>10.57025</v>
      </c>
      <c r="AQ15" s="4158" t="n">
        <v>9.465070000000001</v>
      </c>
      <c r="AR15" s="4158" t="n">
        <v>10.6718</v>
      </c>
      <c r="AS15" s="4158" t="n">
        <v>12.13184</v>
      </c>
      <c r="AT15" s="4158" t="n">
        <v>11.02461</v>
      </c>
      <c r="AU15" s="4160" t="n">
        <v>9.52834</v>
      </c>
      <c r="AV15" s="4158">
        <f>SUM(F15:Q15)</f>
        <v/>
      </c>
      <c r="AW15" s="4158">
        <f>SUM(R15:AC15)</f>
        <v/>
      </c>
      <c r="AX15" s="4158">
        <f>SUM(AD15:AO15)</f>
        <v/>
      </c>
      <c r="AY15" s="4158">
        <f>SUM(AH15:AS15)</f>
        <v/>
      </c>
      <c r="AZ15" s="4158">
        <f>SUM(AJ15:AU15)</f>
        <v/>
      </c>
      <c r="BB15" s="4158" t="n"/>
    </row>
    <row r="16" hidden="1" outlineLevel="2" ht="12" customHeight="1" s="3710">
      <c r="C16" s="4127" t="inlineStr">
        <is>
          <t>DCC (Dynamic Currency conversion)</t>
        </is>
      </c>
      <c r="D16" s="4093" t="inlineStr">
        <is>
          <t>DCC Revenue</t>
        </is>
      </c>
      <c r="E16" s="4093" t="inlineStr">
        <is>
          <t>3025-411143-1017-201</t>
        </is>
      </c>
      <c r="F16" s="4158" t="n"/>
      <c r="G16" s="4158" t="n"/>
      <c r="H16" s="4158" t="n"/>
      <c r="I16" s="4158" t="n"/>
      <c r="J16" s="4158" t="n"/>
      <c r="K16" s="4158" t="n"/>
      <c r="L16" s="4158" t="n"/>
      <c r="M16" s="4158" t="n"/>
      <c r="N16" s="4158" t="n"/>
      <c r="O16" s="4158" t="n"/>
      <c r="P16" s="4158" t="n"/>
      <c r="Q16" s="4159" t="n"/>
      <c r="R16" s="4158" t="n"/>
      <c r="S16" s="4158" t="n"/>
      <c r="T16" s="4158" t="n"/>
      <c r="U16" s="4158" t="n"/>
      <c r="V16" s="4158" t="n"/>
      <c r="W16" s="4158" t="n"/>
      <c r="X16" s="4158" t="n"/>
      <c r="Y16" s="4158" t="n"/>
      <c r="Z16" s="4158" t="n"/>
      <c r="AA16" s="4158" t="n"/>
      <c r="AB16" s="4158" t="n"/>
      <c r="AC16" s="4159" t="n"/>
      <c r="AD16" s="4158" t="n"/>
      <c r="AE16" s="4158" t="n"/>
      <c r="AF16" s="4158" t="n"/>
      <c r="AG16" s="4158" t="n"/>
      <c r="AH16" s="4158" t="n"/>
      <c r="AI16" s="4158" t="n"/>
      <c r="AJ16" s="4158" t="n"/>
      <c r="AK16" s="4158" t="n"/>
      <c r="AL16" s="4158" t="n"/>
      <c r="AM16" s="4158" t="n"/>
      <c r="AN16" s="4158" t="n"/>
      <c r="AO16" s="4159" t="n"/>
      <c r="AP16" s="4158" t="n">
        <v>1.28488</v>
      </c>
      <c r="AQ16" s="4158" t="n">
        <v>1.07785</v>
      </c>
      <c r="AR16" s="4158" t="n">
        <v>0.80397</v>
      </c>
      <c r="AS16" s="4158" t="n">
        <v>0.9967</v>
      </c>
      <c r="AT16" s="4158" t="n">
        <v>1.07978</v>
      </c>
      <c r="AU16" s="4160" t="n">
        <v>1.29786</v>
      </c>
      <c r="AV16" s="4158">
        <f>SUM(F16:Q16)</f>
        <v/>
      </c>
      <c r="AW16" s="4158">
        <f>SUM(R16:AC16)</f>
        <v/>
      </c>
      <c r="AX16" s="4158">
        <f>SUM(AD16:AO16)</f>
        <v/>
      </c>
      <c r="AY16" s="4158">
        <f>SUM(AH16:AS16)</f>
        <v/>
      </c>
      <c r="AZ16" s="4158">
        <f>SUM(AJ16:AU16)</f>
        <v/>
      </c>
      <c r="BB16" s="4158" t="n"/>
    </row>
    <row r="17" hidden="1" outlineLevel="2" ht="12" customHeight="1" s="3710">
      <c r="C17" s="4127" t="inlineStr">
        <is>
          <t>Debit Mastercard Maestro Fees</t>
        </is>
      </c>
      <c r="D17" s="4093" t="inlineStr">
        <is>
          <t>DMC OIF</t>
        </is>
      </c>
      <c r="E17" s="4093" t="inlineStr">
        <is>
          <t>3025-411142-1014-601</t>
        </is>
      </c>
      <c r="F17" s="4158" t="n"/>
      <c r="G17" s="4158" t="n"/>
      <c r="H17" s="4158" t="n"/>
      <c r="I17" s="4158" t="n"/>
      <c r="J17" s="4158" t="n"/>
      <c r="K17" s="4158" t="n"/>
      <c r="L17" s="4158" t="n"/>
      <c r="M17" s="4158" t="n"/>
      <c r="N17" s="4158" t="n"/>
      <c r="O17" s="4158" t="n"/>
      <c r="P17" s="4158" t="n"/>
      <c r="Q17" s="4159" t="n"/>
      <c r="R17" s="4158" t="n"/>
      <c r="S17" s="4158" t="n"/>
      <c r="T17" s="4158" t="n"/>
      <c r="U17" s="4158" t="n"/>
      <c r="V17" s="4158" t="n"/>
      <c r="W17" s="4158" t="n"/>
      <c r="X17" s="4158" t="n"/>
      <c r="Y17" s="4158" t="n"/>
      <c r="Z17" s="4158" t="n"/>
      <c r="AA17" s="4158" t="n"/>
      <c r="AB17" s="4158" t="n"/>
      <c r="AC17" s="4159" t="n"/>
      <c r="AD17" s="4158" t="n"/>
      <c r="AE17" s="4158" t="n"/>
      <c r="AF17" s="4158" t="n"/>
      <c r="AG17" s="4158" t="n"/>
      <c r="AH17" s="4158" t="n"/>
      <c r="AI17" s="4158" t="n"/>
      <c r="AJ17" s="4158" t="n"/>
      <c r="AK17" s="4158" t="n"/>
      <c r="AL17" s="4158" t="n"/>
      <c r="AM17" s="4158" t="n"/>
      <c r="AN17" s="4158" t="n"/>
      <c r="AO17" s="4159" t="n"/>
      <c r="AP17" s="4158" t="n">
        <v>9.27732</v>
      </c>
      <c r="AQ17" s="4158" t="n">
        <v>10.70728</v>
      </c>
      <c r="AR17" s="4158" t="n">
        <v>12.60981</v>
      </c>
      <c r="AS17" s="4158" t="n">
        <v>11.62518</v>
      </c>
      <c r="AT17" s="4158" t="n">
        <v>8.68172</v>
      </c>
      <c r="AU17" s="4160" t="n">
        <v>5.77285</v>
      </c>
      <c r="AV17" s="4158">
        <f>SUM(F17:Q17)</f>
        <v/>
      </c>
      <c r="AW17" s="4158">
        <f>SUM(R17:AC17)</f>
        <v/>
      </c>
      <c r="AX17" s="4158">
        <f>SUM(AD17:AO17)</f>
        <v/>
      </c>
      <c r="AY17" s="4158">
        <f>SUM(AH17:AS17)</f>
        <v/>
      </c>
      <c r="AZ17" s="4158">
        <f>SUM(AJ17:AU17)</f>
        <v/>
      </c>
      <c r="BB17" s="4158" t="n"/>
    </row>
    <row r="18" hidden="1" outlineLevel="2" ht="12" customHeight="1" s="3710">
      <c r="C18" s="4127" t="inlineStr">
        <is>
          <t>Interchange Revenue</t>
        </is>
      </c>
      <c r="D18" s="4093" t="inlineStr">
        <is>
          <t>Revenue Issuer Interchange - Co-badged- Visa Debit and MC</t>
        </is>
      </c>
      <c r="E18" s="4093" t="inlineStr">
        <is>
          <t>3025-411144-1014-601</t>
        </is>
      </c>
      <c r="F18" s="4158" t="n"/>
      <c r="G18" s="4158" t="n"/>
      <c r="H18" s="4158" t="n"/>
      <c r="I18" s="4158" t="n"/>
      <c r="J18" s="4158" t="n"/>
      <c r="K18" s="4158" t="n"/>
      <c r="L18" s="4158" t="n"/>
      <c r="M18" s="4158" t="n"/>
      <c r="N18" s="4158" t="n"/>
      <c r="O18" s="4158" t="n"/>
      <c r="P18" s="4158" t="n"/>
      <c r="Q18" s="4159" t="n"/>
      <c r="R18" s="4158" t="n"/>
      <c r="S18" s="4158" t="n"/>
      <c r="T18" s="4158" t="n"/>
      <c r="U18" s="4158" t="n"/>
      <c r="V18" s="4158" t="n"/>
      <c r="W18" s="4158" t="n"/>
      <c r="X18" s="4158" t="n"/>
      <c r="Y18" s="4158" t="n"/>
      <c r="Z18" s="4158" t="n"/>
      <c r="AA18" s="4158" t="n"/>
      <c r="AB18" s="4158" t="n"/>
      <c r="AC18" s="4159" t="n"/>
      <c r="AD18" s="4158" t="n"/>
      <c r="AE18" s="4158" t="n"/>
      <c r="AF18" s="4158" t="n"/>
      <c r="AG18" s="4158" t="n"/>
      <c r="AH18" s="4158" t="n"/>
      <c r="AI18" s="4158" t="n"/>
      <c r="AJ18" s="4158" t="n"/>
      <c r="AK18" s="4158" t="n"/>
      <c r="AL18" s="4158" t="n"/>
      <c r="AM18" s="4158" t="n"/>
      <c r="AN18" s="4158" t="n"/>
      <c r="AO18" s="4159" t="n"/>
      <c r="AP18" s="4158" t="n">
        <v>28.33276</v>
      </c>
      <c r="AQ18" s="4158" t="n">
        <v>25.47204</v>
      </c>
      <c r="AR18" s="4158" t="n">
        <v>16.67217</v>
      </c>
      <c r="AS18" s="4158" t="n">
        <v>19.61633</v>
      </c>
      <c r="AT18" s="4158" t="n">
        <v>19.70171</v>
      </c>
      <c r="AU18" s="4160" t="n">
        <v>20.55462</v>
      </c>
      <c r="AV18" s="4158">
        <f>SUM(F18:Q18)</f>
        <v/>
      </c>
      <c r="AW18" s="4158">
        <f>SUM(R18:AC18)</f>
        <v/>
      </c>
      <c r="AX18" s="4158">
        <f>SUM(AD18:AO18)</f>
        <v/>
      </c>
      <c r="AY18" s="4158">
        <f>SUM(AH18:AS18)</f>
        <v/>
      </c>
      <c r="AZ18" s="4158">
        <f>SUM(AJ18:AU18)</f>
        <v/>
      </c>
      <c r="BB18" s="4158" t="n"/>
    </row>
    <row r="19" hidden="1" outlineLevel="2" ht="12" customHeight="1" s="3710">
      <c r="C19" s="4127" t="inlineStr">
        <is>
          <t>DMA OIF Revenue</t>
        </is>
      </c>
      <c r="D19" s="4093" t="inlineStr">
        <is>
          <t>DMA OIF Revenue</t>
        </is>
      </c>
      <c r="E19" s="4093" t="inlineStr">
        <is>
          <t>3025-411149-1014-601</t>
        </is>
      </c>
      <c r="F19" s="4158" t="n"/>
      <c r="G19" s="4158" t="n"/>
      <c r="H19" s="4158" t="n"/>
      <c r="I19" s="4158" t="n"/>
      <c r="J19" s="4158" t="n"/>
      <c r="K19" s="4158" t="n"/>
      <c r="L19" s="4158" t="n"/>
      <c r="M19" s="4158" t="n"/>
      <c r="N19" s="4158" t="n"/>
      <c r="O19" s="4158" t="n"/>
      <c r="P19" s="4158" t="n"/>
      <c r="Q19" s="4159" t="n"/>
      <c r="R19" s="4158" t="n"/>
      <c r="S19" s="4158" t="n"/>
      <c r="T19" s="4158" t="n"/>
      <c r="U19" s="4158" t="n"/>
      <c r="V19" s="4158" t="n"/>
      <c r="W19" s="4158" t="n"/>
      <c r="X19" s="4158" t="n"/>
      <c r="Y19" s="4158" t="n"/>
      <c r="Z19" s="4158" t="n"/>
      <c r="AA19" s="4158" t="n"/>
      <c r="AB19" s="4158" t="n"/>
      <c r="AC19" s="4159" t="n"/>
      <c r="AD19" s="4158" t="n"/>
      <c r="AE19" s="4158" t="n"/>
      <c r="AF19" s="4158" t="n"/>
      <c r="AG19" s="4158" t="n"/>
      <c r="AH19" s="4158" t="n"/>
      <c r="AI19" s="4158" t="n"/>
      <c r="AJ19" s="4158" t="n"/>
      <c r="AK19" s="4158" t="n"/>
      <c r="AL19" s="4158" t="n"/>
      <c r="AM19" s="4158" t="n"/>
      <c r="AN19" s="4158" t="n"/>
      <c r="AO19" s="4159" t="n"/>
      <c r="AP19" s="4158" t="n">
        <v>17.9535</v>
      </c>
      <c r="AQ19" s="4158" t="n">
        <v>19.78337</v>
      </c>
      <c r="AR19" s="4158" t="n">
        <v>20.35154</v>
      </c>
      <c r="AS19" s="4158" t="n">
        <v>24.55392</v>
      </c>
      <c r="AT19" s="4158" t="n">
        <v>23.02233</v>
      </c>
      <c r="AU19" s="4160" t="n">
        <v>21.64082</v>
      </c>
      <c r="AV19" s="4158">
        <f>SUM(F19:Q19)</f>
        <v/>
      </c>
      <c r="AW19" s="4158">
        <f>SUM(R19:AC19)</f>
        <v/>
      </c>
      <c r="AX19" s="4158">
        <f>SUM(AD19:AO19)</f>
        <v/>
      </c>
      <c r="AY19" s="4158">
        <f>SUM(AH19:AS19)</f>
        <v/>
      </c>
      <c r="AZ19" s="4158">
        <f>SUM(AJ19:AU19)</f>
        <v/>
      </c>
      <c r="BB19" s="4158" t="n"/>
    </row>
    <row r="20" hidden="1" outlineLevel="2" ht="12" customHeight="1" s="3710">
      <c r="C20" s="4127" t="inlineStr">
        <is>
          <t>Debit Visa</t>
        </is>
      </c>
      <c r="D20" s="4093" t="inlineStr">
        <is>
          <t>Debit Visa</t>
        </is>
      </c>
      <c r="E20" s="4093" t="inlineStr">
        <is>
          <t>3025-411147-1014-601</t>
        </is>
      </c>
      <c r="F20" s="4158" t="n"/>
      <c r="G20" s="4158" t="n"/>
      <c r="H20" s="4158" t="n"/>
      <c r="I20" s="4158" t="n"/>
      <c r="J20" s="4158" t="n"/>
      <c r="K20" s="4158" t="n"/>
      <c r="L20" s="4158" t="n"/>
      <c r="M20" s="4158" t="n"/>
      <c r="N20" s="4158" t="n"/>
      <c r="O20" s="4158" t="n"/>
      <c r="P20" s="4158" t="n"/>
      <c r="Q20" s="4159" t="n"/>
      <c r="R20" s="4158" t="n"/>
      <c r="S20" s="4158" t="n"/>
      <c r="T20" s="4158" t="n"/>
      <c r="U20" s="4158" t="n"/>
      <c r="V20" s="4158" t="n"/>
      <c r="W20" s="4158" t="n"/>
      <c r="X20" s="4158" t="n"/>
      <c r="Y20" s="4158" t="n"/>
      <c r="Z20" s="4158" t="n"/>
      <c r="AA20" s="4158" t="n"/>
      <c r="AB20" s="4158" t="n"/>
      <c r="AC20" s="4159" t="n"/>
      <c r="AD20" s="4158" t="n"/>
      <c r="AE20" s="4158" t="n"/>
      <c r="AF20" s="4158" t="n"/>
      <c r="AG20" s="4158" t="n"/>
      <c r="AH20" s="4158" t="n"/>
      <c r="AI20" s="4158" t="n"/>
      <c r="AJ20" s="4158" t="n"/>
      <c r="AK20" s="4158" t="n"/>
      <c r="AL20" s="4158" t="n"/>
      <c r="AM20" s="4158" t="n"/>
      <c r="AN20" s="4158" t="n"/>
      <c r="AO20" s="4159" t="n"/>
      <c r="AP20" s="4158" t="n">
        <v>2.59426</v>
      </c>
      <c r="AQ20" s="4158" t="n">
        <v>2.97035</v>
      </c>
      <c r="AR20" s="4158" t="n">
        <v>3.22513</v>
      </c>
      <c r="AS20" s="4158" t="n">
        <v>5.12286</v>
      </c>
      <c r="AT20" s="4158" t="n">
        <v>6.2616</v>
      </c>
      <c r="AU20" s="4160" t="n">
        <v>5.85365</v>
      </c>
      <c r="AV20" s="4158">
        <f>SUM(F20:Q20)</f>
        <v/>
      </c>
      <c r="AW20" s="4158">
        <f>SUM(R20:AC20)</f>
        <v/>
      </c>
      <c r="AX20" s="4158">
        <f>SUM(AD20:AO20)</f>
        <v/>
      </c>
      <c r="AY20" s="4158">
        <f>SUM(AH20:AS20)</f>
        <v/>
      </c>
      <c r="AZ20" s="4158">
        <f>SUM(AJ20:AU20)</f>
        <v/>
      </c>
      <c r="BB20" s="4158" t="n"/>
    </row>
    <row r="21" hidden="1" outlineLevel="2" ht="12" customHeight="1" s="3710">
      <c r="C21" s="4127" t="inlineStr">
        <is>
          <t>Issuer Interchange - Co-badged- Debit MC</t>
        </is>
      </c>
      <c r="D21" s="4093" t="inlineStr">
        <is>
          <t>Issuer Interchange - Co-badged- Debit MC</t>
        </is>
      </c>
      <c r="E21" s="4093" t="inlineStr">
        <is>
          <t>3025-411148-1014-601</t>
        </is>
      </c>
      <c r="F21" s="4158" t="n"/>
      <c r="G21" s="4158" t="n"/>
      <c r="H21" s="4158" t="n"/>
      <c r="I21" s="4158" t="n"/>
      <c r="J21" s="4158" t="n"/>
      <c r="K21" s="4158" t="n"/>
      <c r="L21" s="4158" t="n"/>
      <c r="M21" s="4158" t="n"/>
      <c r="N21" s="4158" t="n"/>
      <c r="O21" s="4158" t="n"/>
      <c r="P21" s="4158" t="n"/>
      <c r="Q21" s="4159" t="n"/>
      <c r="R21" s="4158" t="n"/>
      <c r="S21" s="4158" t="n"/>
      <c r="T21" s="4158" t="n"/>
      <c r="U21" s="4158" t="n"/>
      <c r="V21" s="4158" t="n"/>
      <c r="W21" s="4158" t="n"/>
      <c r="X21" s="4158" t="n"/>
      <c r="Y21" s="4158" t="n"/>
      <c r="Z21" s="4158" t="n"/>
      <c r="AA21" s="4158" t="n"/>
      <c r="AB21" s="4158" t="n"/>
      <c r="AC21" s="4159" t="n"/>
      <c r="AD21" s="4158" t="n"/>
      <c r="AE21" s="4158" t="n"/>
      <c r="AF21" s="4158" t="n"/>
      <c r="AG21" s="4158" t="n"/>
      <c r="AH21" s="4158" t="n"/>
      <c r="AI21" s="4158" t="n"/>
      <c r="AJ21" s="4158" t="n"/>
      <c r="AK21" s="4158" t="n"/>
      <c r="AL21" s="4158" t="n"/>
      <c r="AM21" s="4158" t="n"/>
      <c r="AN21" s="4158" t="n"/>
      <c r="AO21" s="4159" t="n"/>
      <c r="AP21" s="4158" t="n">
        <v>31.23219</v>
      </c>
      <c r="AQ21" s="4158" t="n">
        <v>26.54396</v>
      </c>
      <c r="AR21" s="4158" t="n">
        <v>26.54871</v>
      </c>
      <c r="AS21" s="4158" t="n">
        <v>32.46535</v>
      </c>
      <c r="AT21" s="4158" t="n">
        <v>31.51868</v>
      </c>
      <c r="AU21" s="4160" t="n">
        <v>35.97752</v>
      </c>
      <c r="AV21" s="4158">
        <f>SUM(F21:Q21)</f>
        <v/>
      </c>
      <c r="AW21" s="4158">
        <f>SUM(R21:AC21)</f>
        <v/>
      </c>
      <c r="AX21" s="4158">
        <f>SUM(AD21:AO21)</f>
        <v/>
      </c>
      <c r="AY21" s="4158">
        <f>SUM(AH21:AS21)</f>
        <v/>
      </c>
      <c r="AZ21" s="4158">
        <f>SUM(AJ21:AU21)</f>
        <v/>
      </c>
      <c r="BB21" s="4158" t="n"/>
    </row>
    <row r="22" hidden="1" outlineLevel="2" ht="12" customHeight="1" s="3710">
      <c r="C22" s="4127" t="inlineStr">
        <is>
          <t>MAP Program fees collected from Merchants</t>
        </is>
      </c>
      <c r="D22" s="4093" t="inlineStr">
        <is>
          <t>MAP Revenue</t>
        </is>
      </c>
      <c r="E22" s="4093" t="inlineStr">
        <is>
          <t>3025-411103-1012-301/411104-1012-301/411107-1012-301/483104-1012-301</t>
        </is>
      </c>
      <c r="F22" s="4158" t="n"/>
      <c r="G22" s="4158" t="n"/>
      <c r="H22" s="4158" t="n"/>
      <c r="I22" s="4158" t="n"/>
      <c r="J22" s="4158" t="n"/>
      <c r="K22" s="4158" t="n"/>
      <c r="L22" s="4158" t="n"/>
      <c r="M22" s="4158" t="n"/>
      <c r="N22" s="4158" t="n"/>
      <c r="O22" s="4158" t="n"/>
      <c r="P22" s="4158" t="n"/>
      <c r="Q22" s="4159" t="n"/>
      <c r="R22" s="4158" t="n"/>
      <c r="S22" s="4158" t="n"/>
      <c r="T22" s="4158" t="n"/>
      <c r="U22" s="4158" t="n"/>
      <c r="V22" s="4158" t="n"/>
      <c r="W22" s="4158" t="n"/>
      <c r="X22" s="4158" t="n"/>
      <c r="Y22" s="4158" t="n"/>
      <c r="Z22" s="4158" t="n"/>
      <c r="AA22" s="4158" t="n"/>
      <c r="AB22" s="4158" t="n"/>
      <c r="AC22" s="4159" t="n"/>
      <c r="AD22" s="4158" t="n"/>
      <c r="AE22" s="4158" t="n"/>
      <c r="AF22" s="4158" t="n"/>
      <c r="AG22" s="4158" t="n"/>
      <c r="AH22" s="4158" t="n"/>
      <c r="AI22" s="4158" t="n"/>
      <c r="AJ22" s="4158" t="n"/>
      <c r="AK22" s="4158" t="n"/>
      <c r="AL22" s="4158" t="n"/>
      <c r="AM22" s="4158" t="n"/>
      <c r="AN22" s="4158" t="n"/>
      <c r="AO22" s="4159" t="n"/>
      <c r="AP22" s="4158" t="n">
        <v>0</v>
      </c>
      <c r="AQ22" s="4158" t="n">
        <v>0</v>
      </c>
      <c r="AR22" s="4158" t="n">
        <v>0</v>
      </c>
      <c r="AS22" s="4158" t="n">
        <v>0</v>
      </c>
      <c r="AT22" s="4158" t="n">
        <v>0</v>
      </c>
      <c r="AU22" s="4160" t="n">
        <v>0</v>
      </c>
      <c r="AV22" s="4158">
        <f>SUM(F22:Q22)</f>
        <v/>
      </c>
      <c r="AW22" s="4158">
        <f>SUM(R22:AC22)</f>
        <v/>
      </c>
      <c r="AX22" s="4158">
        <f>SUM(AD22:AO22)</f>
        <v/>
      </c>
      <c r="AY22" s="4158">
        <f>SUM(AH22:AS22)</f>
        <v/>
      </c>
      <c r="AZ22" s="4158">
        <f>SUM(AJ22:AU22)</f>
        <v/>
      </c>
      <c r="BB22" s="4158" t="n"/>
    </row>
    <row r="23" hidden="1" outlineLevel="2" ht="12" customHeight="1" s="3710">
      <c r="C23" s="4128" t="inlineStr">
        <is>
          <t>Revenue Issuer Interchange - Co-badged- Visa Debit and MC</t>
        </is>
      </c>
      <c r="D23" s="4101" t="n"/>
      <c r="E23" s="4101" t="inlineStr">
        <is>
          <t>3025-411144-1014-601</t>
        </is>
      </c>
      <c r="F23" s="4130" t="n"/>
      <c r="G23" s="4130" t="n"/>
      <c r="H23" s="4130" t="n"/>
      <c r="I23" s="4130" t="n"/>
      <c r="J23" s="4130" t="n"/>
      <c r="K23" s="4130" t="n"/>
      <c r="L23" s="4130" t="n"/>
      <c r="M23" s="4130" t="n"/>
      <c r="N23" s="4130" t="n"/>
      <c r="O23" s="4130" t="n"/>
      <c r="P23" s="4130" t="n"/>
      <c r="Q23" s="4131" t="n"/>
      <c r="R23" s="4130" t="n"/>
      <c r="S23" s="4130" t="n"/>
      <c r="T23" s="4130" t="n"/>
      <c r="U23" s="4130" t="n"/>
      <c r="V23" s="4130" t="n"/>
      <c r="W23" s="4130" t="n"/>
      <c r="X23" s="4130" t="n"/>
      <c r="Y23" s="4130" t="n"/>
      <c r="Z23" s="4130" t="n"/>
      <c r="AA23" s="4130" t="n"/>
      <c r="AB23" s="4130" t="n"/>
      <c r="AC23" s="4131" t="n"/>
      <c r="AD23" s="4130" t="n"/>
      <c r="AE23" s="4130" t="n"/>
      <c r="AF23" s="4130" t="n"/>
      <c r="AG23" s="4130" t="n"/>
      <c r="AH23" s="4130" t="n"/>
      <c r="AI23" s="4130" t="n"/>
      <c r="AJ23" s="4130" t="n"/>
      <c r="AK23" s="4130" t="n"/>
      <c r="AL23" s="4130" t="n"/>
      <c r="AM23" s="4130" t="n"/>
      <c r="AN23" s="4130" t="n"/>
      <c r="AO23" s="4131" t="n"/>
      <c r="AP23" s="4130" t="n">
        <v>0</v>
      </c>
      <c r="AQ23" s="4130" t="n">
        <v>0</v>
      </c>
      <c r="AR23" s="4130" t="n">
        <v>0</v>
      </c>
      <c r="AS23" s="4130" t="n">
        <v>0</v>
      </c>
      <c r="AT23" s="4130" t="n">
        <v>0</v>
      </c>
      <c r="AU23" s="4132" t="n">
        <v>0</v>
      </c>
      <c r="AV23" s="4130">
        <f>SUM(F23:Q23)</f>
        <v/>
      </c>
      <c r="AW23" s="4130">
        <f>SUM(R23:AC23)</f>
        <v/>
      </c>
      <c r="AX23" s="4130">
        <f>SUM(AD23:AO23)</f>
        <v/>
      </c>
      <c r="AY23" s="4130">
        <f>SUM(AH23:AS23)</f>
        <v/>
      </c>
      <c r="AZ23" s="4130">
        <f>SUM(AJ23:AU23)</f>
        <v/>
      </c>
      <c r="BB23" s="4158" t="n"/>
    </row>
    <row r="24" hidden="1" outlineLevel="1" collapsed="1" ht="12" customHeight="1" s="3710">
      <c r="C24" s="4092" t="inlineStr">
        <is>
          <t>OIF, Interchange, DCC</t>
        </is>
      </c>
      <c r="D24" s="4093" t="n"/>
      <c r="E24" s="4093" t="n"/>
      <c r="F24" s="4158" t="n"/>
      <c r="G24" s="4158" t="n"/>
      <c r="H24" s="4158" t="n"/>
      <c r="I24" s="4158" t="n"/>
      <c r="J24" s="4158" t="n"/>
      <c r="K24" s="4158" t="n"/>
      <c r="L24" s="4158" t="n"/>
      <c r="M24" s="4158" t="n"/>
      <c r="N24" s="4158" t="n"/>
      <c r="O24" s="4158" t="n"/>
      <c r="P24" s="4158" t="n"/>
      <c r="Q24" s="4159" t="n"/>
      <c r="R24" s="4158" t="n"/>
      <c r="S24" s="4158" t="n"/>
      <c r="T24" s="4158" t="n"/>
      <c r="U24" s="4158" t="n"/>
      <c r="V24" s="4158" t="n"/>
      <c r="W24" s="4158" t="n"/>
      <c r="X24" s="4158" t="n"/>
      <c r="Y24" s="4158" t="n"/>
      <c r="Z24" s="4158" t="n"/>
      <c r="AA24" s="4158" t="n"/>
      <c r="AB24" s="4158" t="n"/>
      <c r="AC24" s="4159" t="n"/>
      <c r="AD24" s="4158" t="n"/>
      <c r="AE24" s="4158" t="n"/>
      <c r="AF24" s="4158" t="n"/>
      <c r="AG24" s="4158" t="n"/>
      <c r="AH24" s="4158" t="n"/>
      <c r="AI24" s="4158" t="n"/>
      <c r="AJ24" s="4158" t="n"/>
      <c r="AK24" s="4158" t="n"/>
      <c r="AL24" s="4158" t="n"/>
      <c r="AM24" s="4158" t="n"/>
      <c r="AN24" s="4158" t="n"/>
      <c r="AO24" s="4159" t="n"/>
      <c r="AP24" s="4158">
        <f>SUM(AP14:AP23)</f>
        <v/>
      </c>
      <c r="AQ24" s="4158">
        <f>SUM(AQ14:AQ23)</f>
        <v/>
      </c>
      <c r="AR24" s="4158">
        <f>SUM(AR14:AR23)</f>
        <v/>
      </c>
      <c r="AS24" s="4158">
        <f>SUM(AS14:AS23)</f>
        <v/>
      </c>
      <c r="AT24" s="4158">
        <f>SUM(AT14:AT23)</f>
        <v/>
      </c>
      <c r="AU24" s="4160">
        <f>SUM(AU14:AU23)</f>
        <v/>
      </c>
      <c r="AV24" s="4158">
        <f>SUM(AV14:AV23)</f>
        <v/>
      </c>
      <c r="AW24" s="4158">
        <f>SUM(AW14:AW23)</f>
        <v/>
      </c>
      <c r="AX24" s="4158">
        <f>SUM(AX14:AX23)</f>
        <v/>
      </c>
      <c r="AY24" s="4158">
        <f>SUM(AY14:AY23)</f>
        <v/>
      </c>
      <c r="AZ24" s="4158">
        <f>SUM(AZ14:AZ23)</f>
        <v/>
      </c>
      <c r="BB24" s="4158" t="n"/>
    </row>
    <row r="25" hidden="1" outlineLevel="2" ht="12" customHeight="1" s="3710">
      <c r="C25" s="4127" t="inlineStr">
        <is>
          <t>Flash Interchange (net) transferred in (received)</t>
        </is>
      </c>
      <c r="D25" s="4093" t="inlineStr">
        <is>
          <t>Flash Revenue</t>
        </is>
      </c>
      <c r="E25" s="4093" t="inlineStr">
        <is>
          <t>3025-483104-10xx-xxx</t>
        </is>
      </c>
      <c r="F25" s="4158" t="n"/>
      <c r="G25" s="4158" t="n"/>
      <c r="H25" s="4158" t="n"/>
      <c r="I25" s="4158" t="n"/>
      <c r="J25" s="4158" t="n"/>
      <c r="K25" s="4158" t="n"/>
      <c r="L25" s="4158" t="n"/>
      <c r="M25" s="4158" t="n"/>
      <c r="N25" s="4158" t="n"/>
      <c r="O25" s="4158" t="n"/>
      <c r="P25" s="4158" t="n"/>
      <c r="Q25" s="4159" t="n"/>
      <c r="R25" s="4158" t="n"/>
      <c r="S25" s="4158" t="n"/>
      <c r="T25" s="4158" t="n"/>
      <c r="U25" s="4158" t="n"/>
      <c r="V25" s="4158" t="n"/>
      <c r="W25" s="4158" t="n"/>
      <c r="X25" s="4158" t="n"/>
      <c r="Y25" s="4158" t="n"/>
      <c r="Z25" s="4158" t="n"/>
      <c r="AA25" s="4158" t="n"/>
      <c r="AB25" s="4158" t="n"/>
      <c r="AC25" s="4159" t="n"/>
      <c r="AD25" s="4158" t="n"/>
      <c r="AE25" s="4158" t="n"/>
      <c r="AF25" s="4158" t="n"/>
      <c r="AG25" s="4158" t="n"/>
      <c r="AH25" s="4158" t="n"/>
      <c r="AI25" s="4158" t="n"/>
      <c r="AJ25" s="4158" t="n"/>
      <c r="AK25" s="4158" t="n"/>
      <c r="AL25" s="4158" t="n"/>
      <c r="AM25" s="4158" t="n"/>
      <c r="AN25" s="4158" t="n"/>
      <c r="AO25" s="4159" t="n"/>
      <c r="AP25" s="4158" t="n">
        <v>-603.15072</v>
      </c>
      <c r="AQ25" s="4158" t="n">
        <v>-485.22279</v>
      </c>
      <c r="AR25" s="4158" t="n">
        <v>-516.32093</v>
      </c>
      <c r="AS25" s="4158" t="n">
        <v>-600.1333</v>
      </c>
      <c r="AT25" s="4158" t="n">
        <v>-594.86176</v>
      </c>
      <c r="AU25" s="4160" t="n">
        <v>-668.56398</v>
      </c>
      <c r="AV25" s="4158">
        <f>SUM(F25:Q25)</f>
        <v/>
      </c>
      <c r="AW25" s="4158">
        <f>SUM(R25:AC25)</f>
        <v/>
      </c>
      <c r="AX25" s="4158">
        <f>SUM(AD25:AO25)</f>
        <v/>
      </c>
      <c r="AY25" s="4158">
        <f>SUM(AH25:AS25)</f>
        <v/>
      </c>
      <c r="AZ25" s="4158">
        <f>SUM(AJ25:AU25)</f>
        <v/>
      </c>
      <c r="BB25" s="4158" t="n"/>
    </row>
    <row r="26" hidden="1" outlineLevel="2" ht="12" customHeight="1" s="3710">
      <c r="C26" s="4128" t="inlineStr">
        <is>
          <t>Flash Revenue - Adjustment for Square/Block back-billing</t>
        </is>
      </c>
      <c r="D26" s="4101" t="inlineStr">
        <is>
          <t>Flash Revenue - Adjustment for Square/Block back-billing</t>
        </is>
      </c>
      <c r="E26" s="4101" t="n"/>
      <c r="F26" s="4130" t="n"/>
      <c r="G26" s="4130" t="n"/>
      <c r="H26" s="4130" t="n"/>
      <c r="I26" s="4130" t="n"/>
      <c r="J26" s="4130" t="n"/>
      <c r="K26" s="4130" t="n"/>
      <c r="L26" s="4130" t="n"/>
      <c r="M26" s="4130" t="n"/>
      <c r="N26" s="4130" t="n"/>
      <c r="O26" s="4130" t="n"/>
      <c r="P26" s="4130" t="n"/>
      <c r="Q26" s="4131" t="n"/>
      <c r="R26" s="4130" t="n"/>
      <c r="S26" s="4130" t="n"/>
      <c r="T26" s="4130" t="n"/>
      <c r="U26" s="4130" t="n"/>
      <c r="V26" s="4130" t="n"/>
      <c r="W26" s="4130" t="n"/>
      <c r="X26" s="4130" t="n"/>
      <c r="Y26" s="4130" t="n"/>
      <c r="Z26" s="4130" t="n"/>
      <c r="AA26" s="4130" t="n"/>
      <c r="AB26" s="4130" t="n"/>
      <c r="AC26" s="4131" t="n"/>
      <c r="AD26" s="4130" t="n"/>
      <c r="AE26" s="4130" t="n"/>
      <c r="AF26" s="4130" t="n"/>
      <c r="AG26" s="4130" t="n"/>
      <c r="AH26" s="4130" t="n"/>
      <c r="AI26" s="4130" t="n"/>
      <c r="AJ26" s="4130" t="n"/>
      <c r="AK26" s="4130" t="n"/>
      <c r="AL26" s="4130" t="n"/>
      <c r="AM26" s="4130" t="n"/>
      <c r="AN26" s="4130" t="n"/>
      <c r="AO26" s="4131" t="n"/>
      <c r="AP26" s="4130" t="n">
        <v>0</v>
      </c>
      <c r="AQ26" s="4130" t="n">
        <v>0</v>
      </c>
      <c r="AR26" s="4130" t="n">
        <v>0</v>
      </c>
      <c r="AS26" s="4130" t="n">
        <v>0</v>
      </c>
      <c r="AT26" s="4130" t="n">
        <v>0</v>
      </c>
      <c r="AU26" s="4132" t="n">
        <v>0</v>
      </c>
      <c r="AV26" s="4130">
        <f>SUM(F26:Q26)</f>
        <v/>
      </c>
      <c r="AW26" s="4130">
        <f>SUM(R26:AC26)</f>
        <v/>
      </c>
      <c r="AX26" s="4130">
        <f>SUM(AD26:AO26)</f>
        <v/>
      </c>
      <c r="AY26" s="4130">
        <f>SUM(AH26:AS26)</f>
        <v/>
      </c>
      <c r="AZ26" s="4130">
        <f>SUM(AJ26:AU26)</f>
        <v/>
      </c>
      <c r="BB26" s="4130" t="n"/>
    </row>
    <row r="27" hidden="1" outlineLevel="1" collapsed="1" ht="12" customHeight="1" s="3710">
      <c r="C27" s="4100" t="inlineStr">
        <is>
          <t>flash and In-app interchange</t>
        </is>
      </c>
      <c r="D27" s="4101" t="n"/>
      <c r="E27" s="4101" t="n"/>
      <c r="F27" s="4130" t="n"/>
      <c r="G27" s="4130" t="n"/>
      <c r="H27" s="4130" t="n"/>
      <c r="I27" s="4130" t="n"/>
      <c r="J27" s="4130" t="n"/>
      <c r="K27" s="4130" t="n"/>
      <c r="L27" s="4130" t="n"/>
      <c r="M27" s="4130" t="n"/>
      <c r="N27" s="4130" t="n"/>
      <c r="O27" s="4130" t="n"/>
      <c r="P27" s="4130" t="n"/>
      <c r="Q27" s="4131" t="n"/>
      <c r="R27" s="4130" t="n"/>
      <c r="S27" s="4130" t="n"/>
      <c r="T27" s="4130" t="n"/>
      <c r="U27" s="4130" t="n"/>
      <c r="V27" s="4130" t="n"/>
      <c r="W27" s="4130" t="n"/>
      <c r="X27" s="4130" t="n"/>
      <c r="Y27" s="4130" t="n"/>
      <c r="Z27" s="4130" t="n"/>
      <c r="AA27" s="4130" t="n"/>
      <c r="AB27" s="4130" t="n"/>
      <c r="AC27" s="4131" t="n"/>
      <c r="AD27" s="4130" t="n"/>
      <c r="AE27" s="4130" t="n"/>
      <c r="AF27" s="4130" t="n"/>
      <c r="AG27" s="4130" t="n"/>
      <c r="AH27" s="4130" t="n"/>
      <c r="AI27" s="4130" t="n"/>
      <c r="AJ27" s="4130" t="n"/>
      <c r="AK27" s="4130" t="n"/>
      <c r="AL27" s="4130" t="n"/>
      <c r="AM27" s="4130" t="n"/>
      <c r="AN27" s="4130" t="n"/>
      <c r="AO27" s="4131" t="n"/>
      <c r="AP27" s="4130">
        <f>SUM(AP25:AP26)</f>
        <v/>
      </c>
      <c r="AQ27" s="4130">
        <f>SUM(AQ25:AQ26)</f>
        <v/>
      </c>
      <c r="AR27" s="4130">
        <f>SUM(AR25:AR26)</f>
        <v/>
      </c>
      <c r="AS27" s="4130">
        <f>SUM(AS25:AS26)</f>
        <v/>
      </c>
      <c r="AT27" s="4130">
        <f>SUM(AT25:AT26)</f>
        <v/>
      </c>
      <c r="AU27" s="4132">
        <f>SUM(AU25:AU26)</f>
        <v/>
      </c>
      <c r="AV27" s="4130">
        <f>SUM(AV25:AV26)</f>
        <v/>
      </c>
      <c r="AW27" s="4130">
        <f>SUM(AW25:AW26)</f>
        <v/>
      </c>
      <c r="AX27" s="4130">
        <f>SUM(AX25:AX26)</f>
        <v/>
      </c>
      <c r="AY27" s="4130">
        <f>SUM(AY25:AY26)</f>
        <v/>
      </c>
      <c r="AZ27" s="4130">
        <f>SUM(AZ25:AZ26)</f>
        <v/>
      </c>
      <c r="BB27" s="4158" t="n"/>
    </row>
    <row r="28" ht="12" customHeight="1" s="3710">
      <c r="C28" s="4546" t="inlineStr">
        <is>
          <t>Revenue from settlement1</t>
        </is>
      </c>
      <c r="D28" s="4093" t="n"/>
      <c r="E28" s="4093" t="n"/>
      <c r="F28" s="4158" t="n"/>
      <c r="G28" s="4158" t="n"/>
      <c r="H28" s="4158" t="n"/>
      <c r="I28" s="4158" t="n"/>
      <c r="J28" s="4158" t="n"/>
      <c r="K28" s="4158" t="n"/>
      <c r="L28" s="4158" t="n"/>
      <c r="M28" s="4158" t="n"/>
      <c r="N28" s="4158" t="n"/>
      <c r="O28" s="4158" t="n"/>
      <c r="P28" s="4158" t="n"/>
      <c r="Q28" s="4159" t="n"/>
      <c r="R28" s="4158" t="n"/>
      <c r="S28" s="4158" t="n"/>
      <c r="T28" s="4158" t="n"/>
      <c r="U28" s="4158" t="n"/>
      <c r="V28" s="4158" t="n"/>
      <c r="W28" s="4158" t="n"/>
      <c r="X28" s="4158" t="n"/>
      <c r="Y28" s="4158" t="n"/>
      <c r="Z28" s="4158" t="n"/>
      <c r="AA28" s="4158" t="n"/>
      <c r="AB28" s="4158" t="n"/>
      <c r="AC28" s="4159" t="n"/>
      <c r="AD28" s="4158" t="n"/>
      <c r="AE28" s="4158" t="n"/>
      <c r="AF28" s="4158" t="n"/>
      <c r="AG28" s="4158" t="n"/>
      <c r="AH28" s="4158" t="n"/>
      <c r="AI28" s="4158" t="n"/>
      <c r="AJ28" s="4158" t="n"/>
      <c r="AK28" s="4158" t="n"/>
      <c r="AL28" s="4158" t="n"/>
      <c r="AM28" s="4158" t="n"/>
      <c r="AN28" s="4158" t="n"/>
      <c r="AO28" s="4159" t="n"/>
      <c r="AP28" s="4158">
        <f>SUM(AP27,AP24)</f>
        <v/>
      </c>
      <c r="AQ28" s="4158">
        <f>SUM(AQ27,AQ24)</f>
        <v/>
      </c>
      <c r="AR28" s="4158">
        <f>SUM(AR27,AR24)</f>
        <v/>
      </c>
      <c r="AS28" s="4158">
        <f>SUM(AS27,AS24)</f>
        <v/>
      </c>
      <c r="AT28" s="4158">
        <f>SUM(AT27,AT24)</f>
        <v/>
      </c>
      <c r="AU28" s="4160">
        <f>SUM(AU27,AU24)</f>
        <v/>
      </c>
      <c r="AV28" s="4158">
        <f>SUM(AV27,AV24)</f>
        <v/>
      </c>
      <c r="AW28" s="4158">
        <f>SUM(AW27,AW24)</f>
        <v/>
      </c>
      <c r="AX28" s="4158">
        <f>SUM(AX27,AX24)</f>
        <v/>
      </c>
      <c r="AY28" s="4158">
        <f>SUM(AY27,AY24)</f>
        <v/>
      </c>
      <c r="AZ28" s="4158">
        <f>SUM(AZ27,AZ24)</f>
        <v/>
      </c>
      <c r="BB28" s="4158" t="n"/>
    </row>
    <row r="29" hidden="1" outlineLevel="1" ht="12" customHeight="1" s="3710">
      <c r="C29" s="4092" t="inlineStr">
        <is>
          <t>Subtract Increase in Total Deferred Rev</t>
        </is>
      </c>
      <c r="D29" s="4093" t="inlineStr">
        <is>
          <t>Deferred Revenue</t>
        </is>
      </c>
      <c r="E29" s="4093" t="inlineStr">
        <is>
          <t>3025-240101-10xx-xxx</t>
        </is>
      </c>
      <c r="F29" s="4158" t="n"/>
      <c r="G29" s="4158" t="n"/>
      <c r="H29" s="4158" t="n"/>
      <c r="I29" s="4158" t="n"/>
      <c r="J29" s="4158" t="n"/>
      <c r="K29" s="4158" t="n"/>
      <c r="L29" s="4158" t="n"/>
      <c r="M29" s="4158" t="n"/>
      <c r="N29" s="4158" t="n"/>
      <c r="O29" s="4158" t="n"/>
      <c r="P29" s="4158" t="n"/>
      <c r="Q29" s="4159" t="n"/>
      <c r="R29" s="4158" t="n"/>
      <c r="S29" s="4158" t="n"/>
      <c r="T29" s="4158" t="n"/>
      <c r="U29" s="4158" t="n"/>
      <c r="V29" s="4158" t="n"/>
      <c r="W29" s="4158" t="n"/>
      <c r="X29" s="4158" t="n"/>
      <c r="Y29" s="4158" t="n"/>
      <c r="Z29" s="4158" t="n"/>
      <c r="AA29" s="4158" t="n"/>
      <c r="AB29" s="4158" t="n"/>
      <c r="AC29" s="4159" t="n"/>
      <c r="AD29" s="4158" t="n"/>
      <c r="AE29" s="4158" t="n"/>
      <c r="AF29" s="4158" t="n"/>
      <c r="AG29" s="4158" t="n"/>
      <c r="AH29" s="4158" t="n"/>
      <c r="AI29" s="4158" t="n"/>
      <c r="AJ29" s="4158" t="n"/>
      <c r="AK29" s="4158" t="n"/>
      <c r="AL29" s="4158" t="n"/>
      <c r="AM29" s="4158" t="n"/>
      <c r="AN29" s="4158" t="n"/>
      <c r="AO29" s="4159" t="n"/>
      <c r="AP29" s="4158" t="n">
        <v>16.74751</v>
      </c>
      <c r="AQ29" s="4158" t="n">
        <v>-237.52999</v>
      </c>
      <c r="AR29" s="4158" t="n">
        <v>-225.11889</v>
      </c>
      <c r="AS29" s="4158" t="n">
        <v>-93.72734</v>
      </c>
      <c r="AT29" s="4158" t="n">
        <v>206.90202</v>
      </c>
      <c r="AU29" s="4160" t="n">
        <v>77.71222</v>
      </c>
      <c r="AV29" s="4158">
        <f>SUM(F29:Q29)</f>
        <v/>
      </c>
      <c r="AW29" s="4158">
        <f>SUM(R29:AC29)</f>
        <v/>
      </c>
      <c r="AX29" s="4158">
        <f>SUM(AD29:AO29)</f>
        <v/>
      </c>
      <c r="AY29" s="4158">
        <f>SUM(AH29:AS29)</f>
        <v/>
      </c>
      <c r="AZ29" s="4158">
        <f>SUM(AJ29:AU29)</f>
        <v/>
      </c>
      <c r="BB29" s="4158" t="n"/>
    </row>
    <row r="30" hidden="1" outlineLevel="1" ht="12" customHeight="1" s="3710">
      <c r="C30" s="4092" t="inlineStr">
        <is>
          <t>Subtract Increase in Total Contract Liability ST</t>
        </is>
      </c>
      <c r="D30" s="4093" t="inlineStr">
        <is>
          <t>Contract Liability</t>
        </is>
      </c>
      <c r="E30" s="4093" t="inlineStr">
        <is>
          <t>3025-241515-10xx-xxx</t>
        </is>
      </c>
      <c r="F30" s="4158" t="n"/>
      <c r="G30" s="4158" t="n"/>
      <c r="H30" s="4158" t="n"/>
      <c r="I30" s="4158" t="n"/>
      <c r="J30" s="4158" t="n"/>
      <c r="K30" s="4158" t="n"/>
      <c r="L30" s="4158" t="n"/>
      <c r="M30" s="4158" t="n"/>
      <c r="N30" s="4158" t="n"/>
      <c r="O30" s="4158" t="n"/>
      <c r="P30" s="4158" t="n"/>
      <c r="Q30" s="4159" t="n"/>
      <c r="R30" s="4158" t="n"/>
      <c r="S30" s="4158" t="n"/>
      <c r="T30" s="4158" t="n"/>
      <c r="U30" s="4158" t="n"/>
      <c r="V30" s="4158" t="n"/>
      <c r="W30" s="4158" t="n"/>
      <c r="X30" s="4158" t="n"/>
      <c r="Y30" s="4158" t="n"/>
      <c r="Z30" s="4158" t="n"/>
      <c r="AA30" s="4158" t="n"/>
      <c r="AB30" s="4158" t="n"/>
      <c r="AC30" s="4159" t="n"/>
      <c r="AD30" s="4158" t="n"/>
      <c r="AE30" s="4158" t="n"/>
      <c r="AF30" s="4158" t="n"/>
      <c r="AG30" s="4158" t="n"/>
      <c r="AH30" s="4158" t="n"/>
      <c r="AI30" s="4158" t="n"/>
      <c r="AJ30" s="4158" t="n"/>
      <c r="AK30" s="4158" t="n"/>
      <c r="AL30" s="4158" t="n"/>
      <c r="AM30" s="4158" t="n"/>
      <c r="AN30" s="4158" t="n"/>
      <c r="AO30" s="4159" t="n"/>
      <c r="AP30" s="4158" t="n">
        <v>151.72657</v>
      </c>
      <c r="AQ30" s="4158" t="n">
        <v>217.23089</v>
      </c>
      <c r="AR30" s="4158" t="n">
        <v>-28.48575</v>
      </c>
      <c r="AS30" s="4158" t="n">
        <v>259.58413</v>
      </c>
      <c r="AT30" s="4158" t="n">
        <v>88.90243</v>
      </c>
      <c r="AU30" s="4160" t="n">
        <v>577.08376</v>
      </c>
      <c r="AV30" s="4158">
        <f>SUM(F30:Q30)</f>
        <v/>
      </c>
      <c r="AW30" s="4158">
        <f>SUM(R30:AC30)</f>
        <v/>
      </c>
      <c r="AX30" s="4158">
        <f>SUM(AD30:AO30)</f>
        <v/>
      </c>
      <c r="AY30" s="4158">
        <f>SUM(AH30:AS30)</f>
        <v/>
      </c>
      <c r="AZ30" s="4158">
        <f>SUM(AJ30:AU30)</f>
        <v/>
      </c>
      <c r="BB30" s="4158" t="n"/>
    </row>
    <row r="31" hidden="1" outlineLevel="1" ht="12" customHeight="1" s="3710">
      <c r="C31" s="4092" t="inlineStr">
        <is>
          <t>Subtract Increase in Total Contract Liability LT</t>
        </is>
      </c>
      <c r="D31" s="4093" t="inlineStr">
        <is>
          <t>Contract Liability-non current</t>
        </is>
      </c>
      <c r="E31" s="4093" t="inlineStr">
        <is>
          <t>3025-281515-xxx</t>
        </is>
      </c>
      <c r="F31" s="4158" t="n"/>
      <c r="G31" s="4158" t="n"/>
      <c r="H31" s="4158" t="n"/>
      <c r="I31" s="4158" t="n"/>
      <c r="J31" s="4158" t="n"/>
      <c r="K31" s="4158" t="n"/>
      <c r="L31" s="4158" t="n"/>
      <c r="M31" s="4158" t="n"/>
      <c r="N31" s="4158" t="n"/>
      <c r="O31" s="4158" t="n"/>
      <c r="P31" s="4158" t="n"/>
      <c r="Q31" s="4159" t="n"/>
      <c r="R31" s="4158" t="n"/>
      <c r="S31" s="4158" t="n"/>
      <c r="T31" s="4158" t="n"/>
      <c r="U31" s="4158" t="n"/>
      <c r="V31" s="4158" t="n"/>
      <c r="W31" s="4158" t="n"/>
      <c r="X31" s="4158" t="n"/>
      <c r="Y31" s="4158" t="n"/>
      <c r="Z31" s="4158" t="n"/>
      <c r="AA31" s="4158" t="n"/>
      <c r="AB31" s="4158" t="n"/>
      <c r="AC31" s="4159" t="n"/>
      <c r="AD31" s="4158" t="n"/>
      <c r="AE31" s="4158" t="n"/>
      <c r="AF31" s="4158" t="n"/>
      <c r="AG31" s="4158" t="n"/>
      <c r="AH31" s="4158" t="n"/>
      <c r="AI31" s="4158" t="n"/>
      <c r="AJ31" s="4158" t="n"/>
      <c r="AK31" s="4158" t="n"/>
      <c r="AL31" s="4158" t="n"/>
      <c r="AM31" s="4158" t="n"/>
      <c r="AN31" s="4158" t="n"/>
      <c r="AO31" s="4159" t="n"/>
      <c r="AP31" s="4158" t="n">
        <v>104</v>
      </c>
      <c r="AQ31" s="4158" t="n">
        <v>-7.94568</v>
      </c>
      <c r="AR31" s="4158" t="n">
        <v>66.86716</v>
      </c>
      <c r="AS31" s="4158" t="n">
        <v>-360.42034</v>
      </c>
      <c r="AT31" s="4158" t="n">
        <v>-106.51567</v>
      </c>
      <c r="AU31" s="4160" t="n">
        <v>-474.72778</v>
      </c>
      <c r="AV31" s="4158">
        <f>SUM(F31:Q31)</f>
        <v/>
      </c>
      <c r="AW31" s="4158">
        <f>SUM(R31:AC31)</f>
        <v/>
      </c>
      <c r="AX31" s="4158">
        <f>SUM(AD31:AO31)</f>
        <v/>
      </c>
      <c r="AY31" s="4158">
        <f>SUM(AH31:AS31)</f>
        <v/>
      </c>
      <c r="AZ31" s="4158">
        <f>SUM(AJ31:AU31)</f>
        <v/>
      </c>
      <c r="BB31" s="4158" t="n"/>
    </row>
    <row r="32" hidden="1" outlineLevel="1" ht="12" customHeight="1" s="3710">
      <c r="C32" s="4092" t="inlineStr">
        <is>
          <t>Cost Amort 18&amp;PY Q1 (JE#113011) not part of revenue</t>
        </is>
      </c>
      <c r="D32" s="4093" t="n"/>
      <c r="E32" s="4093" t="inlineStr">
        <is>
          <t>241515-1011-101</t>
        </is>
      </c>
      <c r="F32" s="4158" t="n"/>
      <c r="G32" s="4158" t="n"/>
      <c r="H32" s="4158" t="n"/>
      <c r="I32" s="4158" t="n"/>
      <c r="J32" s="4158" t="n"/>
      <c r="K32" s="4158" t="n"/>
      <c r="L32" s="4158" t="n"/>
      <c r="M32" s="4158" t="n"/>
      <c r="N32" s="4158" t="n"/>
      <c r="O32" s="4158" t="n"/>
      <c r="P32" s="4158" t="n"/>
      <c r="Q32" s="4159" t="n"/>
      <c r="R32" s="4158" t="n"/>
      <c r="S32" s="4158" t="n"/>
      <c r="T32" s="4158" t="n"/>
      <c r="U32" s="4158" t="n"/>
      <c r="V32" s="4158" t="n"/>
      <c r="W32" s="4158" t="n"/>
      <c r="X32" s="4158" t="n"/>
      <c r="Y32" s="4158" t="n"/>
      <c r="Z32" s="4158" t="n"/>
      <c r="AA32" s="4158" t="n"/>
      <c r="AB32" s="4158" t="n"/>
      <c r="AC32" s="4159" t="n"/>
      <c r="AD32" s="4158" t="n"/>
      <c r="AE32" s="4158" t="n"/>
      <c r="AF32" s="4158" t="n"/>
      <c r="AG32" s="4158" t="n"/>
      <c r="AH32" s="4158" t="n"/>
      <c r="AI32" s="4158" t="n"/>
      <c r="AJ32" s="4158" t="n"/>
      <c r="AK32" s="4158" t="n"/>
      <c r="AL32" s="4158" t="n"/>
      <c r="AM32" s="4158" t="n"/>
      <c r="AN32" s="4158" t="n"/>
      <c r="AO32" s="4159" t="n"/>
      <c r="AP32" s="4158" t="n">
        <v>0</v>
      </c>
      <c r="AQ32" s="4158" t="n">
        <v>0</v>
      </c>
      <c r="AR32" s="4158" t="n">
        <v>14.26491</v>
      </c>
      <c r="AS32" s="4158" t="n">
        <v>4.75497</v>
      </c>
      <c r="AT32" s="4158" t="n">
        <v>4.75497</v>
      </c>
      <c r="AU32" s="4160" t="n">
        <v>0</v>
      </c>
      <c r="AV32" s="4158">
        <f>SUM(F32:Q32)</f>
        <v/>
      </c>
      <c r="AW32" s="4158">
        <f>SUM(R32:AC32)</f>
        <v/>
      </c>
      <c r="AX32" s="4158">
        <f>SUM(AD32:AO32)</f>
        <v/>
      </c>
      <c r="AY32" s="4158">
        <f>SUM(AH32:AS32)</f>
        <v/>
      </c>
      <c r="AZ32" s="4158">
        <f>SUM(AJ32:AU32)</f>
        <v/>
      </c>
      <c r="BB32" s="4158" t="n"/>
    </row>
    <row r="33" hidden="1" outlineLevel="1" ht="12" customHeight="1" s="3710">
      <c r="C33" s="4092" t="inlineStr">
        <is>
          <t>Square Rebate accrued in COGS-1012</t>
        </is>
      </c>
      <c r="D33" s="4093" t="n"/>
      <c r="E33" s="4093" t="n"/>
      <c r="F33" s="4158" t="n"/>
      <c r="G33" s="4158" t="n"/>
      <c r="H33" s="4158" t="n"/>
      <c r="I33" s="4158" t="n"/>
      <c r="J33" s="4158" t="n"/>
      <c r="K33" s="4158" t="n"/>
      <c r="L33" s="4158" t="n"/>
      <c r="M33" s="4158" t="n"/>
      <c r="N33" s="4158" t="n"/>
      <c r="O33" s="4158" t="n"/>
      <c r="P33" s="4158" t="n"/>
      <c r="Q33" s="4159" t="n"/>
      <c r="R33" s="4158" t="n"/>
      <c r="S33" s="4158" t="n"/>
      <c r="T33" s="4158" t="n"/>
      <c r="U33" s="4158" t="n"/>
      <c r="V33" s="4158" t="n"/>
      <c r="W33" s="4158" t="n"/>
      <c r="X33" s="4158" t="n"/>
      <c r="Y33" s="4158" t="n"/>
      <c r="Z33" s="4158" t="n"/>
      <c r="AA33" s="4158" t="n"/>
      <c r="AB33" s="4158" t="n"/>
      <c r="AC33" s="4159" t="n"/>
      <c r="AD33" s="4158" t="n"/>
      <c r="AE33" s="4158" t="n"/>
      <c r="AF33" s="4158" t="n"/>
      <c r="AG33" s="4158" t="n"/>
      <c r="AH33" s="4158" t="n"/>
      <c r="AI33" s="4158" t="n"/>
      <c r="AJ33" s="4158" t="n"/>
      <c r="AK33" s="4158" t="n"/>
      <c r="AL33" s="4158" t="n"/>
      <c r="AM33" s="4158" t="n"/>
      <c r="AN33" s="4158" t="n"/>
      <c r="AO33" s="4159" t="n"/>
      <c r="AP33" s="4158" t="n">
        <v>0</v>
      </c>
      <c r="AQ33" s="4158" t="n">
        <v>0</v>
      </c>
      <c r="AR33" s="4158" t="n">
        <v>0</v>
      </c>
      <c r="AS33" s="4158" t="n">
        <v>0</v>
      </c>
      <c r="AT33" s="4158" t="n">
        <v>0</v>
      </c>
      <c r="AU33" s="4160" t="n">
        <v>0</v>
      </c>
      <c r="AV33" s="4158">
        <f>SUM(F33:Q33)</f>
        <v/>
      </c>
      <c r="AW33" s="4158">
        <f>SUM(R33:AC33)</f>
        <v/>
      </c>
      <c r="AX33" s="4158">
        <f>SUM(AD33:AO33)</f>
        <v/>
      </c>
      <c r="AY33" s="4158">
        <f>SUM(AH33:AS33)</f>
        <v/>
      </c>
      <c r="AZ33" s="4158">
        <f>SUM(AJ33:AU33)</f>
        <v/>
      </c>
      <c r="BB33" s="4158" t="n"/>
    </row>
    <row r="34" hidden="1" outlineLevel="1" ht="12" customHeight="1" s="3710">
      <c r="C34" s="4100" t="inlineStr">
        <is>
          <t>Contract Assets - re: IFRS15 Entries for 2018</t>
        </is>
      </c>
      <c r="D34" s="4101" t="inlineStr">
        <is>
          <t>Contract Assets Current IFRS15</t>
        </is>
      </c>
      <c r="E34" s="4101" t="inlineStr">
        <is>
          <t>3025-148015-1011/1017/1019</t>
        </is>
      </c>
      <c r="F34" s="4130" t="n"/>
      <c r="G34" s="4130" t="n"/>
      <c r="H34" s="4130" t="n"/>
      <c r="I34" s="4130" t="n"/>
      <c r="J34" s="4130" t="n"/>
      <c r="K34" s="4130" t="n"/>
      <c r="L34" s="4130" t="n"/>
      <c r="M34" s="4130" t="n"/>
      <c r="N34" s="4130" t="n"/>
      <c r="O34" s="4130" t="n"/>
      <c r="P34" s="4130" t="n"/>
      <c r="Q34" s="4131" t="n"/>
      <c r="R34" s="4130" t="n"/>
      <c r="S34" s="4130" t="n"/>
      <c r="T34" s="4130" t="n"/>
      <c r="U34" s="4130" t="n"/>
      <c r="V34" s="4130" t="n"/>
      <c r="W34" s="4130" t="n"/>
      <c r="X34" s="4130" t="n"/>
      <c r="Y34" s="4130" t="n"/>
      <c r="Z34" s="4130" t="n"/>
      <c r="AA34" s="4130" t="n"/>
      <c r="AB34" s="4130" t="n"/>
      <c r="AC34" s="4131" t="n"/>
      <c r="AD34" s="4130" t="n"/>
      <c r="AE34" s="4130" t="n"/>
      <c r="AF34" s="4130" t="n"/>
      <c r="AG34" s="4130" t="n"/>
      <c r="AH34" s="4130" t="n"/>
      <c r="AI34" s="4130" t="n"/>
      <c r="AJ34" s="4130" t="n"/>
      <c r="AK34" s="4130" t="n"/>
      <c r="AL34" s="4130" t="n"/>
      <c r="AM34" s="4130" t="n"/>
      <c r="AN34" s="4130" t="n"/>
      <c r="AO34" s="4131" t="n"/>
      <c r="AP34" s="4130" t="n">
        <v>0</v>
      </c>
      <c r="AQ34" s="4130" t="n">
        <v>0</v>
      </c>
      <c r="AR34" s="4130" t="n">
        <v>0</v>
      </c>
      <c r="AS34" s="4130" t="n">
        <v>0</v>
      </c>
      <c r="AT34" s="4130" t="n">
        <v>0</v>
      </c>
      <c r="AU34" s="4132" t="n">
        <v>0</v>
      </c>
      <c r="AV34" s="4130">
        <f>SUM(F34:Q34)</f>
        <v/>
      </c>
      <c r="AW34" s="4130">
        <f>SUM(R34:AC34)</f>
        <v/>
      </c>
      <c r="AX34" s="4130">
        <f>SUM(AD34:AO34)</f>
        <v/>
      </c>
      <c r="AY34" s="4130">
        <f>SUM(AH34:AS34)</f>
        <v/>
      </c>
      <c r="AZ34" s="4130">
        <f>SUM(AJ34:AU34)</f>
        <v/>
      </c>
      <c r="BB34" s="4130" t="n"/>
    </row>
    <row r="35" ht="12" customHeight="1" s="3710">
      <c r="C35" s="4108" t="inlineStr">
        <is>
          <t>Revenue from deferred revenue</t>
        </is>
      </c>
      <c r="D35" s="4093" t="n"/>
      <c r="E35" s="4093" t="n"/>
      <c r="F35" s="4158" t="n"/>
      <c r="G35" s="4158" t="n"/>
      <c r="H35" s="4158" t="n"/>
      <c r="I35" s="4158" t="n"/>
      <c r="J35" s="4158" t="n"/>
      <c r="K35" s="4158" t="n"/>
      <c r="L35" s="4158" t="n"/>
      <c r="M35" s="4158" t="n"/>
      <c r="N35" s="4158" t="n"/>
      <c r="O35" s="4158" t="n"/>
      <c r="P35" s="4158" t="n"/>
      <c r="Q35" s="4159" t="n"/>
      <c r="R35" s="4158" t="n"/>
      <c r="S35" s="4158" t="n"/>
      <c r="T35" s="4158" t="n"/>
      <c r="U35" s="4158" t="n"/>
      <c r="V35" s="4158" t="n"/>
      <c r="W35" s="4158" t="n"/>
      <c r="X35" s="4158" t="n"/>
      <c r="Y35" s="4158" t="n"/>
      <c r="Z35" s="4158" t="n"/>
      <c r="AA35" s="4158" t="n"/>
      <c r="AB35" s="4158" t="n"/>
      <c r="AC35" s="4159" t="n"/>
      <c r="AD35" s="4158" t="n"/>
      <c r="AE35" s="4158" t="n"/>
      <c r="AF35" s="4158" t="n"/>
      <c r="AG35" s="4158" t="n"/>
      <c r="AH35" s="4158" t="n"/>
      <c r="AI35" s="4158" t="n"/>
      <c r="AJ35" s="4158" t="n"/>
      <c r="AK35" s="4158" t="n"/>
      <c r="AL35" s="4158" t="n"/>
      <c r="AM35" s="4158" t="n"/>
      <c r="AN35" s="4158" t="n"/>
      <c r="AO35" s="4159" t="n"/>
      <c r="AP35" s="4158">
        <f>SUM(AP29:AP34)</f>
        <v/>
      </c>
      <c r="AQ35" s="4158">
        <f>SUM(AQ29:AQ34)</f>
        <v/>
      </c>
      <c r="AR35" s="4158">
        <f>SUM(AR29:AR34)</f>
        <v/>
      </c>
      <c r="AS35" s="4158">
        <f>SUM(AS29:AS34)</f>
        <v/>
      </c>
      <c r="AT35" s="4158">
        <f>SUM(AT29:AT34)</f>
        <v/>
      </c>
      <c r="AU35" s="4160">
        <f>SUM(AU29:AU34)</f>
        <v/>
      </c>
      <c r="AV35" s="4158">
        <f>SUM(AV29:AV34)</f>
        <v/>
      </c>
      <c r="AW35" s="4158">
        <f>SUM(AW29:AW34)</f>
        <v/>
      </c>
      <c r="AX35" s="4158">
        <f>SUM(AX29:AX34)</f>
        <v/>
      </c>
      <c r="AY35" s="4158">
        <f>SUM(AY29:AY34)</f>
        <v/>
      </c>
      <c r="AZ35" s="4158">
        <f>SUM(AZ29:AZ34)</f>
        <v/>
      </c>
      <c r="BB35" s="4158" t="n"/>
    </row>
    <row r="36" hidden="1" outlineLevel="1" ht="12" customHeight="1" s="3710">
      <c r="C36" s="4092" t="inlineStr">
        <is>
          <t>Add Total Increase to Accrued A/R</t>
        </is>
      </c>
      <c r="D36" s="4093" t="inlineStr">
        <is>
          <t>Accruals for CU &amp; Banks</t>
        </is>
      </c>
      <c r="E36" s="4093" t="inlineStr">
        <is>
          <t>various revenue a/c OR 3025-120201-1003-999</t>
        </is>
      </c>
      <c r="F36" s="4158" t="n"/>
      <c r="G36" s="4158" t="n"/>
      <c r="H36" s="4158" t="n"/>
      <c r="I36" s="4158" t="n"/>
      <c r="J36" s="4158" t="n"/>
      <c r="K36" s="4158" t="n"/>
      <c r="L36" s="4158" t="n"/>
      <c r="M36" s="4158" t="n"/>
      <c r="N36" s="4158" t="n"/>
      <c r="O36" s="4158" t="n"/>
      <c r="P36" s="4158" t="n"/>
      <c r="Q36" s="4159" t="n"/>
      <c r="R36" s="4158" t="n"/>
      <c r="S36" s="4158" t="n"/>
      <c r="T36" s="4158" t="n"/>
      <c r="U36" s="4158" t="n"/>
      <c r="V36" s="4158" t="n"/>
      <c r="W36" s="4158" t="n"/>
      <c r="X36" s="4158" t="n"/>
      <c r="Y36" s="4158" t="n"/>
      <c r="Z36" s="4158" t="n"/>
      <c r="AA36" s="4158" t="n"/>
      <c r="AB36" s="4158" t="n"/>
      <c r="AC36" s="4159" t="n"/>
      <c r="AD36" s="4158" t="n"/>
      <c r="AE36" s="4158" t="n"/>
      <c r="AF36" s="4158" t="n"/>
      <c r="AG36" s="4158" t="n"/>
      <c r="AH36" s="4158" t="n"/>
      <c r="AI36" s="4158" t="n"/>
      <c r="AJ36" s="4158" t="n"/>
      <c r="AK36" s="4158" t="n"/>
      <c r="AL36" s="4158" t="n"/>
      <c r="AM36" s="4158" t="n"/>
      <c r="AN36" s="4158" t="n"/>
      <c r="AO36" s="4159" t="n"/>
      <c r="AP36" s="4158" t="n">
        <v>86.16759999999999</v>
      </c>
      <c r="AQ36" s="4158" t="n">
        <v>999.8139</v>
      </c>
      <c r="AR36" s="4158" t="n">
        <v>-707.93738</v>
      </c>
      <c r="AS36" s="4158" t="n">
        <v>470.53656</v>
      </c>
      <c r="AT36" s="4158" t="n">
        <v>-6.8002</v>
      </c>
      <c r="AU36" s="4160" t="n">
        <v>135.53362</v>
      </c>
      <c r="AV36" s="4158">
        <f>SUM(F36:Q36)</f>
        <v/>
      </c>
      <c r="AW36" s="4158">
        <f>SUM(R36:AC36)</f>
        <v/>
      </c>
      <c r="AX36" s="4158">
        <f>SUM(AD36:AO36)</f>
        <v/>
      </c>
      <c r="AY36" s="4158">
        <f>SUM(AH36:AS36)</f>
        <v/>
      </c>
      <c r="AZ36" s="4158">
        <f>SUM(AJ36:AU36)</f>
        <v/>
      </c>
      <c r="BB36" s="4158" t="n"/>
    </row>
    <row r="37" hidden="1" outlineLevel="1" ht="12" customHeight="1" s="3710">
      <c r="C37" s="4092" t="inlineStr">
        <is>
          <t>Less: Threshold EXC Interchange</t>
        </is>
      </c>
      <c r="D37" s="4093" t="n"/>
      <c r="E37" s="4093" t="n"/>
      <c r="F37" s="4158" t="n"/>
      <c r="G37" s="4158" t="n"/>
      <c r="H37" s="4158" t="n"/>
      <c r="I37" s="4158" t="n"/>
      <c r="J37" s="4158" t="n"/>
      <c r="K37" s="4158" t="n"/>
      <c r="L37" s="4158" t="n"/>
      <c r="M37" s="4158" t="n"/>
      <c r="N37" s="4158" t="n"/>
      <c r="O37" s="4158" t="n"/>
      <c r="P37" s="4158" t="n"/>
      <c r="Q37" s="4159" t="n"/>
      <c r="R37" s="4158" t="n"/>
      <c r="S37" s="4158" t="n"/>
      <c r="T37" s="4158" t="n"/>
      <c r="U37" s="4158" t="n"/>
      <c r="V37" s="4158" t="n"/>
      <c r="W37" s="4158" t="n"/>
      <c r="X37" s="4158" t="n"/>
      <c r="Y37" s="4158" t="n"/>
      <c r="Z37" s="4158" t="n"/>
      <c r="AA37" s="4158" t="n"/>
      <c r="AB37" s="4158" t="n"/>
      <c r="AC37" s="4159" t="n"/>
      <c r="AD37" s="4158" t="n"/>
      <c r="AE37" s="4158" t="n"/>
      <c r="AF37" s="4158" t="n"/>
      <c r="AG37" s="4158" t="n"/>
      <c r="AH37" s="4158" t="n"/>
      <c r="AI37" s="4158" t="n"/>
      <c r="AJ37" s="4158" t="n"/>
      <c r="AK37" s="4158" t="n"/>
      <c r="AL37" s="4158" t="n"/>
      <c r="AM37" s="4158" t="n"/>
      <c r="AN37" s="4158" t="n"/>
      <c r="AO37" s="4159" t="n"/>
      <c r="AP37" s="4158" t="n">
        <v>0</v>
      </c>
      <c r="AQ37" s="4158" t="n">
        <v>0</v>
      </c>
      <c r="AR37" s="4158" t="n">
        <v>0</v>
      </c>
      <c r="AS37" s="4158" t="n">
        <v>0</v>
      </c>
      <c r="AT37" s="4158" t="n">
        <v>0</v>
      </c>
      <c r="AU37" s="4160" t="n">
        <v>0</v>
      </c>
      <c r="AV37" s="4158">
        <f>SUM(F37:Q37)</f>
        <v/>
      </c>
      <c r="AW37" s="4158">
        <f>SUM(R37:AC37)</f>
        <v/>
      </c>
      <c r="AX37" s="4158">
        <f>SUM(AD37:AO37)</f>
        <v/>
      </c>
      <c r="AY37" s="4158">
        <f>SUM(AH37:AS37)</f>
        <v/>
      </c>
      <c r="AZ37" s="4158">
        <f>SUM(AJ37:AU37)</f>
        <v/>
      </c>
      <c r="BB37" s="4158" t="n"/>
    </row>
    <row r="38" hidden="1" outlineLevel="1" ht="12" customHeight="1" s="3710">
      <c r="C38" s="4092" t="inlineStr">
        <is>
          <t>Less: Reclass &amp; adj</t>
        </is>
      </c>
      <c r="D38" s="4093" t="inlineStr">
        <is>
          <t>IFRS15 ADJ to Revenue Accrued</t>
        </is>
      </c>
      <c r="E38" s="4093" t="inlineStr">
        <is>
          <t>120201-1000, 120201-1001, 120215-1015</t>
        </is>
      </c>
      <c r="F38" s="4158" t="n"/>
      <c r="G38" s="4158" t="n"/>
      <c r="H38" s="4158" t="n"/>
      <c r="I38" s="4158" t="n"/>
      <c r="J38" s="4158" t="n"/>
      <c r="K38" s="4158" t="n"/>
      <c r="L38" s="4158" t="n"/>
      <c r="M38" s="4158" t="n"/>
      <c r="N38" s="4158" t="n"/>
      <c r="O38" s="4158" t="n"/>
      <c r="P38" s="4158" t="n"/>
      <c r="Q38" s="4159" t="n"/>
      <c r="R38" s="4158" t="n"/>
      <c r="S38" s="4158" t="n"/>
      <c r="T38" s="4158" t="n"/>
      <c r="U38" s="4158" t="n"/>
      <c r="V38" s="4158" t="n"/>
      <c r="W38" s="4158" t="n"/>
      <c r="X38" s="4158" t="n"/>
      <c r="Y38" s="4158" t="n"/>
      <c r="Z38" s="4158" t="n"/>
      <c r="AA38" s="4158" t="n"/>
      <c r="AB38" s="4158" t="n"/>
      <c r="AC38" s="4159" t="n"/>
      <c r="AD38" s="4158" t="n"/>
      <c r="AE38" s="4158" t="n"/>
      <c r="AF38" s="4158" t="n"/>
      <c r="AG38" s="4158" t="n"/>
      <c r="AH38" s="4158" t="n"/>
      <c r="AI38" s="4158" t="n"/>
      <c r="AJ38" s="4158" t="n"/>
      <c r="AK38" s="4158" t="n"/>
      <c r="AL38" s="4158" t="n"/>
      <c r="AM38" s="4158" t="n"/>
      <c r="AN38" s="4158" t="n"/>
      <c r="AO38" s="4159" t="n"/>
      <c r="AP38" s="4158" t="n">
        <v>0</v>
      </c>
      <c r="AQ38" s="4158" t="n">
        <v>0</v>
      </c>
      <c r="AR38" s="4158" t="n">
        <v>0</v>
      </c>
      <c r="AS38" s="4158" t="n">
        <v>0</v>
      </c>
      <c r="AT38" s="4158" t="n">
        <v>0</v>
      </c>
      <c r="AU38" s="4160" t="n">
        <v>0</v>
      </c>
      <c r="AV38" s="4158">
        <f>SUM(F38:Q38)</f>
        <v/>
      </c>
      <c r="AW38" s="4158">
        <f>SUM(R38:AC38)</f>
        <v/>
      </c>
      <c r="AX38" s="4158">
        <f>SUM(AD38:AO38)</f>
        <v/>
      </c>
      <c r="AY38" s="4158">
        <f>SUM(AH38:AS38)</f>
        <v/>
      </c>
      <c r="AZ38" s="4158">
        <f>SUM(AJ38:AU38)</f>
        <v/>
      </c>
      <c r="BB38" s="4158" t="n"/>
    </row>
    <row r="39" hidden="1" outlineLevel="1" ht="12" customHeight="1" s="3710">
      <c r="C39" s="4092" t="inlineStr">
        <is>
          <t>Add Increase to Accrued Merchant Services</t>
        </is>
      </c>
      <c r="D39" s="4093" t="inlineStr">
        <is>
          <t>Accruals for ISO</t>
        </is>
      </c>
      <c r="E39" s="4093" t="inlineStr">
        <is>
          <t>various revenue a/c / 3025-120301-1012-301</t>
        </is>
      </c>
      <c r="F39" s="4158" t="n"/>
      <c r="G39" s="4158" t="n"/>
      <c r="H39" s="4158" t="n"/>
      <c r="I39" s="4158" t="n"/>
      <c r="J39" s="4158" t="n"/>
      <c r="K39" s="4158" t="n"/>
      <c r="L39" s="4158" t="n"/>
      <c r="M39" s="4158" t="n"/>
      <c r="N39" s="4158" t="n"/>
      <c r="O39" s="4158" t="n"/>
      <c r="P39" s="4158" t="n"/>
      <c r="Q39" s="4159" t="n"/>
      <c r="R39" s="4158" t="n"/>
      <c r="S39" s="4158" t="n"/>
      <c r="T39" s="4158" t="n"/>
      <c r="U39" s="4158" t="n"/>
      <c r="V39" s="4158" t="n"/>
      <c r="W39" s="4158" t="n"/>
      <c r="X39" s="4158" t="n"/>
      <c r="Y39" s="4158" t="n"/>
      <c r="Z39" s="4158" t="n"/>
      <c r="AA39" s="4158" t="n"/>
      <c r="AB39" s="4158" t="n"/>
      <c r="AC39" s="4159" t="n"/>
      <c r="AD39" s="4158" t="n"/>
      <c r="AE39" s="4158" t="n"/>
      <c r="AF39" s="4158" t="n"/>
      <c r="AG39" s="4158" t="n"/>
      <c r="AH39" s="4158" t="n"/>
      <c r="AI39" s="4158" t="n"/>
      <c r="AJ39" s="4158" t="n"/>
      <c r="AK39" s="4158" t="n"/>
      <c r="AL39" s="4158" t="n"/>
      <c r="AM39" s="4158" t="n"/>
      <c r="AN39" s="4158" t="n"/>
      <c r="AO39" s="4159" t="n"/>
      <c r="AP39" s="4158" t="n">
        <v>-69.81782</v>
      </c>
      <c r="AQ39" s="4158" t="n">
        <v>32.26076</v>
      </c>
      <c r="AR39" s="4158" t="n">
        <v>50.9113</v>
      </c>
      <c r="AS39" s="4158" t="n">
        <v>-0.06562999999999999</v>
      </c>
      <c r="AT39" s="4158" t="n">
        <v>51.81592</v>
      </c>
      <c r="AU39" s="4160" t="n">
        <v>6.80462</v>
      </c>
      <c r="AV39" s="4158">
        <f>SUM(F39:Q39)</f>
        <v/>
      </c>
      <c r="AW39" s="4158">
        <f>SUM(R39:AC39)</f>
        <v/>
      </c>
      <c r="AX39" s="4158">
        <f>SUM(AD39:AO39)</f>
        <v/>
      </c>
      <c r="AY39" s="4158">
        <f>SUM(AH39:AS39)</f>
        <v/>
      </c>
      <c r="AZ39" s="4158">
        <f>SUM(AJ39:AU39)</f>
        <v/>
      </c>
      <c r="BB39" s="4158" t="n"/>
    </row>
    <row r="40" hidden="1" outlineLevel="1" ht="12" customHeight="1" s="3710">
      <c r="C40" s="4092" t="inlineStr">
        <is>
          <t>Add Increase to Chase Annual Fees</t>
        </is>
      </c>
      <c r="D40" s="4093" t="n"/>
      <c r="E40" s="4093" t="n"/>
      <c r="F40" s="4158" t="n"/>
      <c r="G40" s="4158" t="n"/>
      <c r="H40" s="4158" t="n"/>
      <c r="I40" s="4158" t="n"/>
      <c r="J40" s="4158" t="n"/>
      <c r="K40" s="4158" t="n"/>
      <c r="L40" s="4158" t="n"/>
      <c r="M40" s="4158" t="n"/>
      <c r="N40" s="4158" t="n"/>
      <c r="O40" s="4158" t="n"/>
      <c r="P40" s="4158" t="n"/>
      <c r="Q40" s="4159" t="n"/>
      <c r="R40" s="4158" t="n"/>
      <c r="S40" s="4158" t="n"/>
      <c r="T40" s="4158" t="n"/>
      <c r="U40" s="4158" t="n"/>
      <c r="V40" s="4158" t="n"/>
      <c r="W40" s="4158" t="n"/>
      <c r="X40" s="4158" t="n"/>
      <c r="Y40" s="4158" t="n"/>
      <c r="Z40" s="4158" t="n"/>
      <c r="AA40" s="4158" t="n"/>
      <c r="AB40" s="4158" t="n"/>
      <c r="AC40" s="4159" t="n"/>
      <c r="AD40" s="4158" t="n"/>
      <c r="AE40" s="4158" t="n"/>
      <c r="AF40" s="4158" t="n"/>
      <c r="AG40" s="4158" t="n"/>
      <c r="AH40" s="4158" t="n"/>
      <c r="AI40" s="4158" t="n"/>
      <c r="AJ40" s="4158" t="n"/>
      <c r="AK40" s="4158" t="n"/>
      <c r="AL40" s="4158" t="n"/>
      <c r="AM40" s="4158" t="n"/>
      <c r="AN40" s="4158" t="n"/>
      <c r="AO40" s="4159" t="n"/>
      <c r="AP40" s="4158" t="n">
        <v>0</v>
      </c>
      <c r="AQ40" s="4158" t="n">
        <v>0</v>
      </c>
      <c r="AR40" s="4158" t="n">
        <v>0</v>
      </c>
      <c r="AS40" s="4158" t="n">
        <v>0</v>
      </c>
      <c r="AT40" s="4158" t="n">
        <v>0</v>
      </c>
      <c r="AU40" s="4160" t="n">
        <v>0</v>
      </c>
      <c r="AV40" s="4158">
        <f>SUM(F40:Q40)</f>
        <v/>
      </c>
      <c r="AW40" s="4158">
        <f>SUM(R40:AC40)</f>
        <v/>
      </c>
      <c r="AX40" s="4158">
        <f>SUM(AD40:AO40)</f>
        <v/>
      </c>
      <c r="AY40" s="4158">
        <f>SUM(AH40:AS40)</f>
        <v/>
      </c>
      <c r="AZ40" s="4158">
        <f>SUM(AJ40:AU40)</f>
        <v/>
      </c>
      <c r="BB40" s="4158" t="n"/>
    </row>
    <row r="41" hidden="1" outlineLevel="1" ht="12" customHeight="1" s="3710">
      <c r="C41" s="4092" t="inlineStr">
        <is>
          <t>Add Increase to Chase Residuals Recv.</t>
        </is>
      </c>
      <c r="D41" s="4093" t="inlineStr">
        <is>
          <t>Chase Residual</t>
        </is>
      </c>
      <c r="E41" s="4093" t="n"/>
      <c r="F41" s="4158" t="n"/>
      <c r="G41" s="4158" t="n"/>
      <c r="H41" s="4158" t="n"/>
      <c r="I41" s="4158" t="n"/>
      <c r="J41" s="4158" t="n"/>
      <c r="K41" s="4158" t="n"/>
      <c r="L41" s="4158" t="n"/>
      <c r="M41" s="4158" t="n"/>
      <c r="N41" s="4158" t="n"/>
      <c r="O41" s="4158" t="n"/>
      <c r="P41" s="4158" t="n"/>
      <c r="Q41" s="4159" t="n"/>
      <c r="R41" s="4158" t="n"/>
      <c r="S41" s="4158" t="n"/>
      <c r="T41" s="4158" t="n"/>
      <c r="U41" s="4158" t="n"/>
      <c r="V41" s="4158" t="n"/>
      <c r="W41" s="4158" t="n"/>
      <c r="X41" s="4158" t="n"/>
      <c r="Y41" s="4158" t="n"/>
      <c r="Z41" s="4158" t="n"/>
      <c r="AA41" s="4158" t="n"/>
      <c r="AB41" s="4158" t="n"/>
      <c r="AC41" s="4159" t="n"/>
      <c r="AD41" s="4158" t="n"/>
      <c r="AE41" s="4158" t="n"/>
      <c r="AF41" s="4158" t="n"/>
      <c r="AG41" s="4158" t="n"/>
      <c r="AH41" s="4158" t="n"/>
      <c r="AI41" s="4158" t="n"/>
      <c r="AJ41" s="4158" t="n"/>
      <c r="AK41" s="4158" t="n"/>
      <c r="AL41" s="4158" t="n"/>
      <c r="AM41" s="4158" t="n"/>
      <c r="AN41" s="4158" t="n"/>
      <c r="AO41" s="4159" t="n"/>
      <c r="AP41" s="4158" t="n">
        <v>0</v>
      </c>
      <c r="AQ41" s="4158" t="n">
        <v>0</v>
      </c>
      <c r="AR41" s="4158" t="n">
        <v>0</v>
      </c>
      <c r="AS41" s="4158" t="n">
        <v>0</v>
      </c>
      <c r="AT41" s="4158" t="n">
        <v>0</v>
      </c>
      <c r="AU41" s="4160" t="n">
        <v>0</v>
      </c>
      <c r="AV41" s="4158">
        <f>SUM(F41:Q41)</f>
        <v/>
      </c>
      <c r="AW41" s="4158">
        <f>SUM(R41:AC41)</f>
        <v/>
      </c>
      <c r="AX41" s="4158">
        <f>SUM(AD41:AO41)</f>
        <v/>
      </c>
      <c r="AY41" s="4158">
        <f>SUM(AH41:AS41)</f>
        <v/>
      </c>
      <c r="AZ41" s="4158">
        <f>SUM(AJ41:AU41)</f>
        <v/>
      </c>
      <c r="BB41" s="4158" t="n"/>
    </row>
    <row r="42" hidden="1" outlineLevel="1" ht="12" customHeight="1" s="3710">
      <c r="C42" s="4092" t="inlineStr">
        <is>
          <t>Add Increase to ACCR Chase referral rev Q2-2</t>
        </is>
      </c>
      <c r="D42" s="4093" t="n"/>
      <c r="E42" s="4093" t="n"/>
      <c r="F42" s="4158" t="n"/>
      <c r="G42" s="4158" t="n"/>
      <c r="H42" s="4158" t="n"/>
      <c r="I42" s="4158" t="n"/>
      <c r="J42" s="4158" t="n"/>
      <c r="K42" s="4158" t="n"/>
      <c r="L42" s="4158" t="n"/>
      <c r="M42" s="4158" t="n"/>
      <c r="N42" s="4158" t="n"/>
      <c r="O42" s="4158" t="n"/>
      <c r="P42" s="4158" t="n"/>
      <c r="Q42" s="4159" t="n"/>
      <c r="R42" s="4158" t="n"/>
      <c r="S42" s="4158" t="n"/>
      <c r="T42" s="4158" t="n"/>
      <c r="U42" s="4158" t="n"/>
      <c r="V42" s="4158" t="n"/>
      <c r="W42" s="4158" t="n"/>
      <c r="X42" s="4158" t="n"/>
      <c r="Y42" s="4158" t="n"/>
      <c r="Z42" s="4158" t="n"/>
      <c r="AA42" s="4158" t="n"/>
      <c r="AB42" s="4158" t="n"/>
      <c r="AC42" s="4159" t="n"/>
      <c r="AD42" s="4158" t="n"/>
      <c r="AE42" s="4158" t="n"/>
      <c r="AF42" s="4158" t="n"/>
      <c r="AG42" s="4158" t="n"/>
      <c r="AH42" s="4158" t="n"/>
      <c r="AI42" s="4158" t="n"/>
      <c r="AJ42" s="4158" t="n"/>
      <c r="AK42" s="4158" t="n"/>
      <c r="AL42" s="4158" t="n"/>
      <c r="AM42" s="4158" t="n"/>
      <c r="AN42" s="4158" t="n"/>
      <c r="AO42" s="4159" t="n"/>
      <c r="AP42" s="4158" t="n">
        <v>0</v>
      </c>
      <c r="AQ42" s="4158" t="n">
        <v>0</v>
      </c>
      <c r="AR42" s="4158" t="n">
        <v>0</v>
      </c>
      <c r="AS42" s="4158" t="n">
        <v>0</v>
      </c>
      <c r="AT42" s="4158" t="n">
        <v>0</v>
      </c>
      <c r="AU42" s="4160" t="n">
        <v>0</v>
      </c>
      <c r="AV42" s="4158">
        <f>SUM(F42:Q42)</f>
        <v/>
      </c>
      <c r="AW42" s="4158">
        <f>SUM(R42:AC42)</f>
        <v/>
      </c>
      <c r="AX42" s="4158">
        <f>SUM(AD42:AO42)</f>
        <v/>
      </c>
      <c r="AY42" s="4158">
        <f>SUM(AH42:AS42)</f>
        <v/>
      </c>
      <c r="AZ42" s="4158">
        <f>SUM(AJ42:AU42)</f>
        <v/>
      </c>
      <c r="BB42" s="4158" t="n"/>
    </row>
    <row r="43" hidden="1" outlineLevel="1" ht="12" customHeight="1" s="3710">
      <c r="C43" s="4092" t="inlineStr">
        <is>
          <t>Add Increase to Accrued CHASE Receivable - to pay</t>
        </is>
      </c>
      <c r="D43" s="4093" t="inlineStr">
        <is>
          <t>Chase Residual</t>
        </is>
      </c>
      <c r="E43" s="4093" t="n"/>
      <c r="F43" s="4158" t="n"/>
      <c r="G43" s="4158" t="n"/>
      <c r="H43" s="4158" t="n"/>
      <c r="I43" s="4158" t="n"/>
      <c r="J43" s="4158" t="n"/>
      <c r="K43" s="4158" t="n"/>
      <c r="L43" s="4158" t="n"/>
      <c r="M43" s="4158" t="n"/>
      <c r="N43" s="4158" t="n"/>
      <c r="O43" s="4158" t="n"/>
      <c r="P43" s="4158" t="n"/>
      <c r="Q43" s="4159" t="n"/>
      <c r="R43" s="4158" t="n"/>
      <c r="S43" s="4158" t="n"/>
      <c r="T43" s="4158" t="n"/>
      <c r="U43" s="4158" t="n"/>
      <c r="V43" s="4158" t="n"/>
      <c r="W43" s="4158" t="n"/>
      <c r="X43" s="4158" t="n"/>
      <c r="Y43" s="4158" t="n"/>
      <c r="Z43" s="4158" t="n"/>
      <c r="AA43" s="4158" t="n"/>
      <c r="AB43" s="4158" t="n"/>
      <c r="AC43" s="4159" t="n"/>
      <c r="AD43" s="4158" t="n"/>
      <c r="AE43" s="4158" t="n"/>
      <c r="AF43" s="4158" t="n"/>
      <c r="AG43" s="4158" t="n"/>
      <c r="AH43" s="4158" t="n"/>
      <c r="AI43" s="4158" t="n"/>
      <c r="AJ43" s="4158" t="n"/>
      <c r="AK43" s="4158" t="n"/>
      <c r="AL43" s="4158" t="n"/>
      <c r="AM43" s="4158" t="n"/>
      <c r="AN43" s="4158" t="n"/>
      <c r="AO43" s="4159" t="n"/>
      <c r="AP43" s="4158" t="n">
        <v>0</v>
      </c>
      <c r="AQ43" s="4158" t="n">
        <v>0</v>
      </c>
      <c r="AR43" s="4158" t="n">
        <v>0</v>
      </c>
      <c r="AS43" s="4158" t="n">
        <v>0</v>
      </c>
      <c r="AT43" s="4158" t="n">
        <v>0</v>
      </c>
      <c r="AU43" s="4160" t="n">
        <v>0</v>
      </c>
      <c r="AV43" s="4158">
        <f>SUM(F43:Q43)</f>
        <v/>
      </c>
      <c r="AW43" s="4158">
        <f>SUM(R43:AC43)</f>
        <v/>
      </c>
      <c r="AX43" s="4158">
        <f>SUM(AD43:AO43)</f>
        <v/>
      </c>
      <c r="AY43" s="4158">
        <f>SUM(AH43:AS43)</f>
        <v/>
      </c>
      <c r="AZ43" s="4158">
        <f>SUM(AJ43:AU43)</f>
        <v/>
      </c>
      <c r="BB43" s="4158" t="n"/>
    </row>
    <row r="44" hidden="1" outlineLevel="1" ht="12" customHeight="1" s="3710">
      <c r="C44" s="4092" t="inlineStr">
        <is>
          <t>Residual - Entegra rejects</t>
        </is>
      </c>
      <c r="D44" s="4093" t="inlineStr">
        <is>
          <t>Chase Residual</t>
        </is>
      </c>
      <c r="E44" s="4093" t="n"/>
      <c r="F44" s="4158" t="n"/>
      <c r="G44" s="4158" t="n"/>
      <c r="H44" s="4158" t="n"/>
      <c r="I44" s="4158" t="n"/>
      <c r="J44" s="4158" t="n"/>
      <c r="K44" s="4158" t="n"/>
      <c r="L44" s="4158" t="n"/>
      <c r="M44" s="4158" t="n"/>
      <c r="N44" s="4158" t="n"/>
      <c r="O44" s="4158" t="n"/>
      <c r="P44" s="4158" t="n"/>
      <c r="Q44" s="4159" t="n"/>
      <c r="R44" s="4158" t="n"/>
      <c r="S44" s="4158" t="n"/>
      <c r="T44" s="4158" t="n"/>
      <c r="U44" s="4158" t="n"/>
      <c r="V44" s="4158" t="n"/>
      <c r="W44" s="4158" t="n"/>
      <c r="X44" s="4158" t="n"/>
      <c r="Y44" s="4158" t="n"/>
      <c r="Z44" s="4158" t="n"/>
      <c r="AA44" s="4158" t="n"/>
      <c r="AB44" s="4158" t="n"/>
      <c r="AC44" s="4159" t="n"/>
      <c r="AD44" s="4158" t="n"/>
      <c r="AE44" s="4158" t="n"/>
      <c r="AF44" s="4158" t="n"/>
      <c r="AG44" s="4158" t="n"/>
      <c r="AH44" s="4158" t="n"/>
      <c r="AI44" s="4158" t="n"/>
      <c r="AJ44" s="4158" t="n"/>
      <c r="AK44" s="4158" t="n"/>
      <c r="AL44" s="4158" t="n"/>
      <c r="AM44" s="4158" t="n"/>
      <c r="AN44" s="4158" t="n"/>
      <c r="AO44" s="4159" t="n"/>
      <c r="AP44" s="4158" t="n">
        <v>0</v>
      </c>
      <c r="AQ44" s="4158" t="n">
        <v>0.06185</v>
      </c>
      <c r="AR44" s="4158" t="n">
        <v>0</v>
      </c>
      <c r="AS44" s="4158" t="n">
        <v>0</v>
      </c>
      <c r="AT44" s="4158" t="n">
        <v>0</v>
      </c>
      <c r="AU44" s="4160" t="n">
        <v>0</v>
      </c>
      <c r="AV44" s="4158">
        <f>SUM(F44:Q44)</f>
        <v/>
      </c>
      <c r="AW44" s="4158">
        <f>SUM(R44:AC44)</f>
        <v/>
      </c>
      <c r="AX44" s="4158">
        <f>SUM(AD44:AO44)</f>
        <v/>
      </c>
      <c r="AY44" s="4158">
        <f>SUM(AH44:AS44)</f>
        <v/>
      </c>
      <c r="AZ44" s="4158">
        <f>SUM(AJ44:AU44)</f>
        <v/>
      </c>
      <c r="BB44" s="4158" t="n"/>
    </row>
    <row r="45" hidden="1" outlineLevel="1" ht="12" customHeight="1" s="3710">
      <c r="C45" s="4092" t="inlineStr">
        <is>
          <t>Adjustment to Other Accrued A/R</t>
        </is>
      </c>
      <c r="D45" s="4093" t="n"/>
      <c r="E45" s="4093" t="n"/>
      <c r="F45" s="4158" t="n"/>
      <c r="G45" s="4158" t="n"/>
      <c r="H45" s="4158" t="n"/>
      <c r="I45" s="4158" t="n"/>
      <c r="J45" s="4158" t="n"/>
      <c r="K45" s="4158" t="n"/>
      <c r="L45" s="4158" t="n"/>
      <c r="M45" s="4158" t="n"/>
      <c r="N45" s="4158" t="n"/>
      <c r="O45" s="4158" t="n"/>
      <c r="P45" s="4158" t="n"/>
      <c r="Q45" s="4159" t="n"/>
      <c r="R45" s="4158" t="n"/>
      <c r="S45" s="4158" t="n"/>
      <c r="T45" s="4158" t="n"/>
      <c r="U45" s="4158" t="n"/>
      <c r="V45" s="4158" t="n"/>
      <c r="W45" s="4158" t="n"/>
      <c r="X45" s="4158" t="n"/>
      <c r="Y45" s="4158" t="n"/>
      <c r="Z45" s="4158" t="n"/>
      <c r="AA45" s="4158" t="n"/>
      <c r="AB45" s="4158" t="n"/>
      <c r="AC45" s="4159" t="n"/>
      <c r="AD45" s="4158" t="n"/>
      <c r="AE45" s="4158" t="n"/>
      <c r="AF45" s="4158" t="n"/>
      <c r="AG45" s="4158" t="n"/>
      <c r="AH45" s="4158" t="n"/>
      <c r="AI45" s="4158" t="n"/>
      <c r="AJ45" s="4158" t="n"/>
      <c r="AK45" s="4158" t="n"/>
      <c r="AL45" s="4158" t="n"/>
      <c r="AM45" s="4158" t="n"/>
      <c r="AN45" s="4158" t="n"/>
      <c r="AO45" s="4159" t="n"/>
      <c r="AP45" s="4158" t="n">
        <v>0</v>
      </c>
      <c r="AQ45" s="4158" t="n">
        <v>0</v>
      </c>
      <c r="AR45" s="4158" t="n">
        <v>0</v>
      </c>
      <c r="AS45" s="4158" t="n">
        <v>0</v>
      </c>
      <c r="AT45" s="4158" t="n">
        <v>0</v>
      </c>
      <c r="AU45" s="4160" t="n">
        <v>0</v>
      </c>
      <c r="AV45" s="4158">
        <f>SUM(F45:Q45)</f>
        <v/>
      </c>
      <c r="AW45" s="4158">
        <f>SUM(R45:AC45)</f>
        <v/>
      </c>
      <c r="AX45" s="4158">
        <f>SUM(AD45:AO45)</f>
        <v/>
      </c>
      <c r="AY45" s="4158">
        <f>SUM(AH45:AS45)</f>
        <v/>
      </c>
      <c r="AZ45" s="4158">
        <f>SUM(AJ45:AU45)</f>
        <v/>
      </c>
      <c r="BB45" s="4158" t="n"/>
    </row>
    <row r="46" hidden="1" outlineLevel="1" ht="12" customHeight="1" s="3710">
      <c r="C46" s="4100" t="inlineStr">
        <is>
          <t>Subtract Residuals paying Accrued A/R</t>
        </is>
      </c>
      <c r="D46" s="4101" t="inlineStr">
        <is>
          <t>Chase Residual</t>
        </is>
      </c>
      <c r="E46" s="4101" t="n"/>
      <c r="F46" s="4130" t="n"/>
      <c r="G46" s="4130" t="n"/>
      <c r="H46" s="4130" t="n"/>
      <c r="I46" s="4130" t="n"/>
      <c r="J46" s="4130" t="n"/>
      <c r="K46" s="4130" t="n"/>
      <c r="L46" s="4130" t="n"/>
      <c r="M46" s="4130" t="n"/>
      <c r="N46" s="4130" t="n"/>
      <c r="O46" s="4130" t="n"/>
      <c r="P46" s="4130" t="n"/>
      <c r="Q46" s="4131" t="n"/>
      <c r="R46" s="4130" t="n"/>
      <c r="S46" s="4130" t="n"/>
      <c r="T46" s="4130" t="n"/>
      <c r="U46" s="4130" t="n"/>
      <c r="V46" s="4130" t="n"/>
      <c r="W46" s="4130" t="n"/>
      <c r="X46" s="4130" t="n"/>
      <c r="Y46" s="4130" t="n"/>
      <c r="Z46" s="4130" t="n"/>
      <c r="AA46" s="4130" t="n"/>
      <c r="AB46" s="4130" t="n"/>
      <c r="AC46" s="4131" t="n"/>
      <c r="AD46" s="4130" t="n"/>
      <c r="AE46" s="4130" t="n"/>
      <c r="AF46" s="4130" t="n"/>
      <c r="AG46" s="4130" t="n"/>
      <c r="AH46" s="4130" t="n"/>
      <c r="AI46" s="4130" t="n"/>
      <c r="AJ46" s="4130" t="n"/>
      <c r="AK46" s="4130" t="n"/>
      <c r="AL46" s="4130" t="n"/>
      <c r="AM46" s="4130" t="n"/>
      <c r="AN46" s="4130" t="n"/>
      <c r="AO46" s="4131" t="n"/>
      <c r="AP46" s="4130" t="n">
        <v>0</v>
      </c>
      <c r="AQ46" s="4130" t="n">
        <v>0</v>
      </c>
      <c r="AR46" s="4130" t="n">
        <v>0</v>
      </c>
      <c r="AS46" s="4130" t="n">
        <v>0</v>
      </c>
      <c r="AT46" s="4130" t="n">
        <v>0</v>
      </c>
      <c r="AU46" s="4132" t="n">
        <v>0</v>
      </c>
      <c r="AV46" s="4130">
        <f>SUM(F46:Q46)</f>
        <v/>
      </c>
      <c r="AW46" s="4130">
        <f>SUM(R46:AC46)</f>
        <v/>
      </c>
      <c r="AX46" s="4130">
        <f>SUM(AD46:AO46)</f>
        <v/>
      </c>
      <c r="AY46" s="4130">
        <f>SUM(AH46:AS46)</f>
        <v/>
      </c>
      <c r="AZ46" s="4130">
        <f>SUM(AJ46:AU46)</f>
        <v/>
      </c>
      <c r="BB46" s="4130" t="n"/>
    </row>
    <row r="47" ht="12" customHeight="1" s="3710">
      <c r="C47" s="4108" t="inlineStr">
        <is>
          <t>Revenue - accrued accounts receivable accounts</t>
        </is>
      </c>
      <c r="D47" s="4093" t="n"/>
      <c r="E47" s="4093" t="n"/>
      <c r="F47" s="4158" t="n"/>
      <c r="G47" s="4158" t="n"/>
      <c r="H47" s="4158" t="n"/>
      <c r="I47" s="4158" t="n"/>
      <c r="J47" s="4158" t="n"/>
      <c r="K47" s="4158" t="n"/>
      <c r="L47" s="4158" t="n"/>
      <c r="M47" s="4158" t="n"/>
      <c r="N47" s="4158" t="n"/>
      <c r="O47" s="4158" t="n"/>
      <c r="P47" s="4158" t="n"/>
      <c r="Q47" s="4159" t="n"/>
      <c r="R47" s="4158" t="n"/>
      <c r="S47" s="4158" t="n"/>
      <c r="T47" s="4158" t="n"/>
      <c r="U47" s="4158" t="n"/>
      <c r="V47" s="4158" t="n"/>
      <c r="W47" s="4158" t="n"/>
      <c r="X47" s="4158" t="n"/>
      <c r="Y47" s="4158" t="n"/>
      <c r="Z47" s="4158" t="n"/>
      <c r="AA47" s="4158" t="n"/>
      <c r="AB47" s="4158" t="n"/>
      <c r="AC47" s="4159" t="n"/>
      <c r="AD47" s="4158" t="n"/>
      <c r="AE47" s="4158" t="n"/>
      <c r="AF47" s="4158" t="n"/>
      <c r="AG47" s="4158" t="n"/>
      <c r="AH47" s="4158" t="n"/>
      <c r="AI47" s="4158" t="n"/>
      <c r="AJ47" s="4158" t="n"/>
      <c r="AK47" s="4158" t="n"/>
      <c r="AL47" s="4158" t="n"/>
      <c r="AM47" s="4158" t="n"/>
      <c r="AN47" s="4158" t="n"/>
      <c r="AO47" s="4159" t="n"/>
      <c r="AP47" s="4158">
        <f>SUM(AP36:AP46)</f>
        <v/>
      </c>
      <c r="AQ47" s="4158">
        <f>SUM(AQ36:AQ46)</f>
        <v/>
      </c>
      <c r="AR47" s="4158">
        <f>SUM(AR36:AR46)</f>
        <v/>
      </c>
      <c r="AS47" s="4158">
        <f>SUM(AS36:AS46)</f>
        <v/>
      </c>
      <c r="AT47" s="4158">
        <f>SUM(AT36:AT46)</f>
        <v/>
      </c>
      <c r="AU47" s="4160">
        <f>SUM(AU36:AU46)</f>
        <v/>
      </c>
      <c r="AV47" s="4158">
        <f>SUM(AV36:AV46)</f>
        <v/>
      </c>
      <c r="AW47" s="4158">
        <f>SUM(AW36:AW46)</f>
        <v/>
      </c>
      <c r="AX47" s="4158">
        <f>SUM(AX36:AX46)</f>
        <v/>
      </c>
      <c r="AY47" s="4158">
        <f>SUM(AY36:AY46)</f>
        <v/>
      </c>
      <c r="AZ47" s="4158">
        <f>SUM(AZ36:AZ46)</f>
        <v/>
      </c>
      <c r="BB47" s="4158" t="n"/>
    </row>
    <row r="48" hidden="1" outlineLevel="1" ht="12" customHeight="1" s="3710">
      <c r="C48" s="4092" t="inlineStr">
        <is>
          <t>Add Cash received from Chase</t>
        </is>
      </c>
      <c r="D48" s="4093" t="inlineStr">
        <is>
          <t>Chase Residual</t>
        </is>
      </c>
      <c r="E48" s="4093" t="inlineStr">
        <is>
          <t>3025-411139-1012-301</t>
        </is>
      </c>
      <c r="F48" s="4158" t="n"/>
      <c r="G48" s="4158" t="n"/>
      <c r="H48" s="4158" t="n"/>
      <c r="I48" s="4158" t="n"/>
      <c r="J48" s="4158" t="n"/>
      <c r="K48" s="4158" t="n"/>
      <c r="L48" s="4158" t="n"/>
      <c r="M48" s="4158" t="n"/>
      <c r="N48" s="4158" t="n"/>
      <c r="O48" s="4158" t="n"/>
      <c r="P48" s="4158" t="n"/>
      <c r="Q48" s="4159" t="n"/>
      <c r="R48" s="4158" t="n"/>
      <c r="S48" s="4158" t="n"/>
      <c r="T48" s="4158" t="n"/>
      <c r="U48" s="4158" t="n"/>
      <c r="V48" s="4158" t="n"/>
      <c r="W48" s="4158" t="n"/>
      <c r="X48" s="4158" t="n"/>
      <c r="Y48" s="4158" t="n"/>
      <c r="Z48" s="4158" t="n"/>
      <c r="AA48" s="4158" t="n"/>
      <c r="AB48" s="4158" t="n"/>
      <c r="AC48" s="4159" t="n"/>
      <c r="AD48" s="4158" t="n"/>
      <c r="AE48" s="4158" t="n"/>
      <c r="AF48" s="4158" t="n"/>
      <c r="AG48" s="4158" t="n"/>
      <c r="AH48" s="4158" t="n"/>
      <c r="AI48" s="4158" t="n"/>
      <c r="AJ48" s="4158" t="n"/>
      <c r="AK48" s="4158" t="n"/>
      <c r="AL48" s="4158" t="n"/>
      <c r="AM48" s="4158" t="n"/>
      <c r="AN48" s="4158" t="n"/>
      <c r="AO48" s="4159" t="n"/>
      <c r="AP48" s="4158" t="n">
        <v>0</v>
      </c>
      <c r="AQ48" s="4158" t="n">
        <v>0</v>
      </c>
      <c r="AR48" s="4158" t="n">
        <v>0</v>
      </c>
      <c r="AS48" s="4158" t="n">
        <v>0</v>
      </c>
      <c r="AT48" s="4158" t="n">
        <v>2.43246</v>
      </c>
      <c r="AU48" s="4160" t="n">
        <v>0</v>
      </c>
      <c r="AV48" s="4158">
        <f>SUM(F48:Q48)</f>
        <v/>
      </c>
      <c r="AW48" s="4158">
        <f>SUM(R48:AC48)</f>
        <v/>
      </c>
      <c r="AX48" s="4158">
        <f>SUM(AD48:AO48)</f>
        <v/>
      </c>
      <c r="AY48" s="4158">
        <f>SUM(AH48:AS48)</f>
        <v/>
      </c>
      <c r="AZ48" s="4158">
        <f>SUM(AJ48:AU48)</f>
        <v/>
      </c>
      <c r="BB48" s="4158" t="n"/>
    </row>
    <row r="49" hidden="1" outlineLevel="1" ht="12" customHeight="1" s="3710">
      <c r="C49" s="4092" t="inlineStr">
        <is>
          <t>Referral fee Q4 2023</t>
        </is>
      </c>
      <c r="D49" s="4093" t="inlineStr">
        <is>
          <t>Chase Residual</t>
        </is>
      </c>
      <c r="E49" s="4093" t="n"/>
      <c r="F49" s="4158" t="n"/>
      <c r="G49" s="4158" t="n"/>
      <c r="H49" s="4158" t="n"/>
      <c r="I49" s="4158" t="n"/>
      <c r="J49" s="4158" t="n"/>
      <c r="K49" s="4158" t="n"/>
      <c r="L49" s="4158" t="n"/>
      <c r="M49" s="4158" t="n"/>
      <c r="N49" s="4158" t="n"/>
      <c r="O49" s="4158" t="n"/>
      <c r="P49" s="4158" t="n"/>
      <c r="Q49" s="4159" t="n"/>
      <c r="R49" s="4158" t="n"/>
      <c r="S49" s="4158" t="n"/>
      <c r="T49" s="4158" t="n"/>
      <c r="U49" s="4158" t="n"/>
      <c r="V49" s="4158" t="n"/>
      <c r="W49" s="4158" t="n"/>
      <c r="X49" s="4158" t="n"/>
      <c r="Y49" s="4158" t="n"/>
      <c r="Z49" s="4158" t="n"/>
      <c r="AA49" s="4158" t="n"/>
      <c r="AB49" s="4158" t="n"/>
      <c r="AC49" s="4159" t="n"/>
      <c r="AD49" s="4158" t="n"/>
      <c r="AE49" s="4158" t="n"/>
      <c r="AF49" s="4158" t="n"/>
      <c r="AG49" s="4158" t="n"/>
      <c r="AH49" s="4158" t="n"/>
      <c r="AI49" s="4158" t="n"/>
      <c r="AJ49" s="4158" t="n"/>
      <c r="AK49" s="4158" t="n"/>
      <c r="AL49" s="4158" t="n"/>
      <c r="AM49" s="4158" t="n"/>
      <c r="AN49" s="4158" t="n"/>
      <c r="AO49" s="4159" t="n"/>
      <c r="AP49" s="4158" t="n">
        <v>0</v>
      </c>
      <c r="AQ49" s="4158" t="n">
        <v>1.93586</v>
      </c>
      <c r="AR49" s="4158" t="n">
        <v>0.69881</v>
      </c>
      <c r="AS49" s="4158" t="n">
        <v>0</v>
      </c>
      <c r="AT49" s="4158" t="n">
        <v>0</v>
      </c>
      <c r="AU49" s="4160" t="n">
        <v>-0.82591</v>
      </c>
      <c r="AV49" s="4158">
        <f>SUM(F49:Q49)</f>
        <v/>
      </c>
      <c r="AW49" s="4158">
        <f>SUM(R49:AC49)</f>
        <v/>
      </c>
      <c r="AX49" s="4158">
        <f>SUM(AD49:AO49)</f>
        <v/>
      </c>
      <c r="AY49" s="4158">
        <f>SUM(AH49:AS49)</f>
        <v/>
      </c>
      <c r="AZ49" s="4158">
        <f>SUM(AJ49:AU49)</f>
        <v/>
      </c>
      <c r="BB49" s="4158" t="n"/>
    </row>
    <row r="50" hidden="1" outlineLevel="1" ht="12" customHeight="1" s="3710">
      <c r="C50" s="4092" t="inlineStr">
        <is>
          <t>Subtract cash paid out to ISO's &amp; CU's- residuals</t>
        </is>
      </c>
      <c r="D50" s="4093" t="inlineStr">
        <is>
          <t>Chase Residual</t>
        </is>
      </c>
      <c r="E50" s="4093" t="inlineStr">
        <is>
          <t>3025-411139-1012-301</t>
        </is>
      </c>
      <c r="F50" s="4158" t="n"/>
      <c r="G50" s="4158" t="n"/>
      <c r="H50" s="4158" t="n"/>
      <c r="I50" s="4158" t="n"/>
      <c r="J50" s="4158" t="n"/>
      <c r="K50" s="4158" t="n"/>
      <c r="L50" s="4158" t="n"/>
      <c r="M50" s="4158" t="n"/>
      <c r="N50" s="4158" t="n"/>
      <c r="O50" s="4158" t="n"/>
      <c r="P50" s="4158" t="n"/>
      <c r="Q50" s="4159" t="n"/>
      <c r="R50" s="4158" t="n"/>
      <c r="S50" s="4158" t="n"/>
      <c r="T50" s="4158" t="n"/>
      <c r="U50" s="4158" t="n"/>
      <c r="V50" s="4158" t="n"/>
      <c r="W50" s="4158" t="n"/>
      <c r="X50" s="4158" t="n"/>
      <c r="Y50" s="4158" t="n"/>
      <c r="Z50" s="4158" t="n"/>
      <c r="AA50" s="4158" t="n"/>
      <c r="AB50" s="4158" t="n"/>
      <c r="AC50" s="4159" t="n"/>
      <c r="AD50" s="4158" t="n"/>
      <c r="AE50" s="4158" t="n"/>
      <c r="AF50" s="4158" t="n"/>
      <c r="AG50" s="4158" t="n"/>
      <c r="AH50" s="4158" t="n"/>
      <c r="AI50" s="4158" t="n"/>
      <c r="AJ50" s="4158" t="n"/>
      <c r="AK50" s="4158" t="n"/>
      <c r="AL50" s="4158" t="n"/>
      <c r="AM50" s="4158" t="n"/>
      <c r="AN50" s="4158" t="n"/>
      <c r="AO50" s="4159" t="n"/>
      <c r="AP50" s="4158" t="n">
        <v>0</v>
      </c>
      <c r="AQ50" s="4158" t="n">
        <v>0</v>
      </c>
      <c r="AR50" s="4158" t="n">
        <v>-0.69883</v>
      </c>
      <c r="AS50" s="4158" t="n">
        <v>0</v>
      </c>
      <c r="AT50" s="4158" t="n">
        <v>0</v>
      </c>
      <c r="AU50" s="4160" t="n">
        <v>0</v>
      </c>
      <c r="AV50" s="4158">
        <f>SUM(F50:Q50)</f>
        <v/>
      </c>
      <c r="AW50" s="4158">
        <f>SUM(R50:AC50)</f>
        <v/>
      </c>
      <c r="AX50" s="4158">
        <f>SUM(AD50:AO50)</f>
        <v/>
      </c>
      <c r="AY50" s="4158">
        <f>SUM(AH50:AS50)</f>
        <v/>
      </c>
      <c r="AZ50" s="4158">
        <f>SUM(AJ50:AU50)</f>
        <v/>
      </c>
      <c r="BB50" s="4158" t="n"/>
    </row>
    <row r="51" hidden="1" outlineLevel="1" ht="12" customHeight="1" s="3710">
      <c r="C51" s="4092" t="inlineStr">
        <is>
          <t>Add Old Accrued Liability for CHASE (see column A&amp;B)</t>
        </is>
      </c>
      <c r="D51" s="4093" t="inlineStr">
        <is>
          <t>Chase Residual</t>
        </is>
      </c>
      <c r="E51" s="4093" t="inlineStr">
        <is>
          <t>3025-411139-1012-301 in 214112</t>
        </is>
      </c>
      <c r="F51" s="4158" t="n"/>
      <c r="G51" s="4158" t="n"/>
      <c r="H51" s="4158" t="n"/>
      <c r="I51" s="4158" t="n"/>
      <c r="J51" s="4158" t="n"/>
      <c r="K51" s="4158" t="n"/>
      <c r="L51" s="4158" t="n"/>
      <c r="M51" s="4158" t="n"/>
      <c r="N51" s="4158" t="n"/>
      <c r="O51" s="4158" t="n"/>
      <c r="P51" s="4158" t="n"/>
      <c r="Q51" s="4159" t="n"/>
      <c r="R51" s="4158" t="n"/>
      <c r="S51" s="4158" t="n"/>
      <c r="T51" s="4158" t="n"/>
      <c r="U51" s="4158" t="n"/>
      <c r="V51" s="4158" t="n"/>
      <c r="W51" s="4158" t="n"/>
      <c r="X51" s="4158" t="n"/>
      <c r="Y51" s="4158" t="n"/>
      <c r="Z51" s="4158" t="n"/>
      <c r="AA51" s="4158" t="n"/>
      <c r="AB51" s="4158" t="n"/>
      <c r="AC51" s="4159" t="n"/>
      <c r="AD51" s="4158" t="n"/>
      <c r="AE51" s="4158" t="n"/>
      <c r="AF51" s="4158" t="n"/>
      <c r="AG51" s="4158" t="n"/>
      <c r="AH51" s="4158" t="n"/>
      <c r="AI51" s="4158" t="n"/>
      <c r="AJ51" s="4158" t="n"/>
      <c r="AK51" s="4158" t="n"/>
      <c r="AL51" s="4158" t="n"/>
      <c r="AM51" s="4158" t="n"/>
      <c r="AN51" s="4158" t="n"/>
      <c r="AO51" s="4159" t="n"/>
      <c r="AP51" s="4158" t="n">
        <v>0</v>
      </c>
      <c r="AQ51" s="4158" t="n">
        <v>2e-05</v>
      </c>
      <c r="AR51" s="4158" t="n">
        <v>0</v>
      </c>
      <c r="AS51" s="4158" t="n">
        <v>0</v>
      </c>
      <c r="AT51" s="4158" t="n">
        <v>0</v>
      </c>
      <c r="AU51" s="4160" t="n">
        <v>1.62381</v>
      </c>
      <c r="AV51" s="4158">
        <f>SUM(F51:Q51)</f>
        <v/>
      </c>
      <c r="AW51" s="4158">
        <f>SUM(R51:AC51)</f>
        <v/>
      </c>
      <c r="AX51" s="4158">
        <f>SUM(AD51:AO51)</f>
        <v/>
      </c>
      <c r="AY51" s="4158">
        <f>SUM(AH51:AS51)</f>
        <v/>
      </c>
      <c r="AZ51" s="4158">
        <f>SUM(AJ51:AU51)</f>
        <v/>
      </c>
      <c r="BB51" s="4158" t="n"/>
    </row>
    <row r="52" hidden="1" outlineLevel="1" ht="12" customHeight="1" s="3710">
      <c r="C52" s="4092" t="inlineStr">
        <is>
          <t>Subtract New Accrued Liability for Chase (see column A&amp;B)</t>
        </is>
      </c>
      <c r="D52" s="4093" t="inlineStr">
        <is>
          <t>Chase Residual</t>
        </is>
      </c>
      <c r="E52" s="4093" t="inlineStr">
        <is>
          <t>3025-411139-1012-301 in 214112</t>
        </is>
      </c>
      <c r="F52" s="4158" t="n"/>
      <c r="G52" s="4158" t="n"/>
      <c r="H52" s="4158" t="n"/>
      <c r="I52" s="4158" t="n"/>
      <c r="J52" s="4158" t="n"/>
      <c r="K52" s="4158" t="n"/>
      <c r="L52" s="4158" t="n"/>
      <c r="M52" s="4158" t="n"/>
      <c r="N52" s="4158" t="n"/>
      <c r="O52" s="4158" t="n"/>
      <c r="P52" s="4158" t="n"/>
      <c r="Q52" s="4159" t="n"/>
      <c r="R52" s="4158" t="n"/>
      <c r="S52" s="4158" t="n"/>
      <c r="T52" s="4158" t="n"/>
      <c r="U52" s="4158" t="n"/>
      <c r="V52" s="4158" t="n"/>
      <c r="W52" s="4158" t="n"/>
      <c r="X52" s="4158" t="n"/>
      <c r="Y52" s="4158" t="n"/>
      <c r="Z52" s="4158" t="n"/>
      <c r="AA52" s="4158" t="n"/>
      <c r="AB52" s="4158" t="n"/>
      <c r="AC52" s="4159" t="n"/>
      <c r="AD52" s="4158" t="n"/>
      <c r="AE52" s="4158" t="n"/>
      <c r="AF52" s="4158" t="n"/>
      <c r="AG52" s="4158" t="n"/>
      <c r="AH52" s="4158" t="n"/>
      <c r="AI52" s="4158" t="n"/>
      <c r="AJ52" s="4158" t="n"/>
      <c r="AK52" s="4158" t="n"/>
      <c r="AL52" s="4158" t="n"/>
      <c r="AM52" s="4158" t="n"/>
      <c r="AN52" s="4158" t="n"/>
      <c r="AO52" s="4159" t="n"/>
      <c r="AP52" s="4158" t="n">
        <v>0</v>
      </c>
      <c r="AQ52" s="4158" t="n">
        <v>-2.10434</v>
      </c>
      <c r="AR52" s="4158" t="n">
        <v>0</v>
      </c>
      <c r="AS52" s="4158" t="n">
        <v>0</v>
      </c>
      <c r="AT52" s="4158" t="n">
        <v>-1.62381</v>
      </c>
      <c r="AU52" s="4160" t="n">
        <v>-0.79792</v>
      </c>
      <c r="AV52" s="4158">
        <f>SUM(F52:Q52)</f>
        <v/>
      </c>
      <c r="AW52" s="4158">
        <f>SUM(R52:AC52)</f>
        <v/>
      </c>
      <c r="AX52" s="4158">
        <f>SUM(AD52:AO52)</f>
        <v/>
      </c>
      <c r="AY52" s="4158">
        <f>SUM(AH52:AS52)</f>
        <v/>
      </c>
      <c r="AZ52" s="4158">
        <f>SUM(AJ52:AU52)</f>
        <v/>
      </c>
      <c r="BB52" s="4158" t="n"/>
    </row>
    <row r="53" hidden="1" outlineLevel="1" ht="12" customHeight="1" s="3710">
      <c r="C53" s="4100" t="inlineStr">
        <is>
          <t>Reclass sales tax on chase</t>
        </is>
      </c>
      <c r="D53" s="4101" t="inlineStr">
        <is>
          <t>Chase Residual</t>
        </is>
      </c>
      <c r="E53" s="4101" t="inlineStr">
        <is>
          <t>3025-411139-1012-301</t>
        </is>
      </c>
      <c r="F53" s="4130" t="n"/>
      <c r="G53" s="4130" t="n"/>
      <c r="H53" s="4130" t="n"/>
      <c r="I53" s="4130" t="n"/>
      <c r="J53" s="4130" t="n"/>
      <c r="K53" s="4130" t="n"/>
      <c r="L53" s="4130" t="n"/>
      <c r="M53" s="4130" t="n"/>
      <c r="N53" s="4130" t="n"/>
      <c r="O53" s="4130" t="n"/>
      <c r="P53" s="4130" t="n"/>
      <c r="Q53" s="4131" t="n"/>
      <c r="R53" s="4130" t="n"/>
      <c r="S53" s="4130" t="n"/>
      <c r="T53" s="4130" t="n"/>
      <c r="U53" s="4130" t="n"/>
      <c r="V53" s="4130" t="n"/>
      <c r="W53" s="4130" t="n"/>
      <c r="X53" s="4130" t="n"/>
      <c r="Y53" s="4130" t="n"/>
      <c r="Z53" s="4130" t="n"/>
      <c r="AA53" s="4130" t="n"/>
      <c r="AB53" s="4130" t="n"/>
      <c r="AC53" s="4131" t="n"/>
      <c r="AD53" s="4130" t="n"/>
      <c r="AE53" s="4130" t="n"/>
      <c r="AF53" s="4130" t="n"/>
      <c r="AG53" s="4130" t="n"/>
      <c r="AH53" s="4130" t="n"/>
      <c r="AI53" s="4130" t="n"/>
      <c r="AJ53" s="4130" t="n"/>
      <c r="AK53" s="4130" t="n"/>
      <c r="AL53" s="4130" t="n"/>
      <c r="AM53" s="4130" t="n"/>
      <c r="AN53" s="4130" t="n"/>
      <c r="AO53" s="4131" t="n"/>
      <c r="AP53" s="4130" t="n">
        <v>0</v>
      </c>
      <c r="AQ53" s="4130" t="n">
        <v>0</v>
      </c>
      <c r="AR53" s="4130" t="n">
        <v>0</v>
      </c>
      <c r="AS53" s="4130" t="n">
        <v>0</v>
      </c>
      <c r="AT53" s="4130" t="n">
        <v>0</v>
      </c>
      <c r="AU53" s="4132" t="n">
        <v>0</v>
      </c>
      <c r="AV53" s="4130">
        <f>SUM(F53:Q53)</f>
        <v/>
      </c>
      <c r="AW53" s="4130">
        <f>SUM(R53:AC53)</f>
        <v/>
      </c>
      <c r="AX53" s="4130">
        <f>SUM(AD53:AO53)</f>
        <v/>
      </c>
      <c r="AY53" s="4130">
        <f>SUM(AH53:AS53)</f>
        <v/>
      </c>
      <c r="AZ53" s="4130">
        <f>SUM(AJ53:AU53)</f>
        <v/>
      </c>
      <c r="BB53" s="4130" t="n"/>
    </row>
    <row r="54" ht="12" customHeight="1" s="3710">
      <c r="C54" s="4108" t="inlineStr">
        <is>
          <t>Chase residual</t>
        </is>
      </c>
      <c r="D54" s="4093" t="n"/>
      <c r="E54" s="4093" t="n"/>
      <c r="F54" s="4158" t="n"/>
      <c r="G54" s="4158" t="n"/>
      <c r="H54" s="4158" t="n"/>
      <c r="I54" s="4158" t="n"/>
      <c r="J54" s="4158" t="n"/>
      <c r="K54" s="4158" t="n"/>
      <c r="L54" s="4158" t="n"/>
      <c r="M54" s="4158" t="n"/>
      <c r="N54" s="4158" t="n"/>
      <c r="O54" s="4158" t="n"/>
      <c r="P54" s="4158" t="n"/>
      <c r="Q54" s="4159" t="n"/>
      <c r="R54" s="4158" t="n"/>
      <c r="S54" s="4158" t="n"/>
      <c r="T54" s="4158" t="n"/>
      <c r="U54" s="4158" t="n"/>
      <c r="V54" s="4158" t="n"/>
      <c r="W54" s="4158" t="n"/>
      <c r="X54" s="4158" t="n"/>
      <c r="Y54" s="4158" t="n"/>
      <c r="Z54" s="4158" t="n"/>
      <c r="AA54" s="4158" t="n"/>
      <c r="AB54" s="4158" t="n"/>
      <c r="AC54" s="4159" t="n"/>
      <c r="AD54" s="4158" t="n"/>
      <c r="AE54" s="4158" t="n"/>
      <c r="AF54" s="4158" t="n"/>
      <c r="AG54" s="4158" t="n"/>
      <c r="AH54" s="4158" t="n"/>
      <c r="AI54" s="4158" t="n"/>
      <c r="AJ54" s="4158" t="n"/>
      <c r="AK54" s="4158" t="n"/>
      <c r="AL54" s="4158" t="n"/>
      <c r="AM54" s="4158" t="n"/>
      <c r="AN54" s="4158" t="n"/>
      <c r="AO54" s="4159" t="n"/>
      <c r="AP54" s="4158">
        <f>SUM(AP48:AP53)</f>
        <v/>
      </c>
      <c r="AQ54" s="4158">
        <f>SUM(AQ48:AQ53)</f>
        <v/>
      </c>
      <c r="AR54" s="4158">
        <f>SUM(AR48:AR53)</f>
        <v/>
      </c>
      <c r="AS54" s="4158">
        <f>SUM(AS48:AS53)</f>
        <v/>
      </c>
      <c r="AT54" s="4158">
        <f>SUM(AT48:AT53)</f>
        <v/>
      </c>
      <c r="AU54" s="4160">
        <f>SUM(AU48:AU53)</f>
        <v/>
      </c>
      <c r="AV54" s="4158">
        <f>SUM(AV48:AV53)</f>
        <v/>
      </c>
      <c r="AW54" s="4158">
        <f>SUM(AW48:AW53)</f>
        <v/>
      </c>
      <c r="AX54" s="4158">
        <f>SUM(AX48:AX53)</f>
        <v/>
      </c>
      <c r="AY54" s="4158">
        <f>SUM(AY48:AY53)</f>
        <v/>
      </c>
      <c r="AZ54" s="4158">
        <f>SUM(AZ48:AZ53)</f>
        <v/>
      </c>
      <c r="BB54" s="4158" t="n"/>
    </row>
    <row r="55" hidden="1" outlineLevel="1" ht="12" customHeight="1" s="3710">
      <c r="C55" s="4092" t="inlineStr">
        <is>
          <t>OIF Rev Change in month in Settlement Accrual</t>
        </is>
      </c>
      <c r="D55" s="4093" t="inlineStr">
        <is>
          <t>OIF Revenue, DCC (ACCR DCC, CIR,DMC, VDA, ICI VISA) exclude VISA accruals and DMA FEE</t>
        </is>
      </c>
      <c r="E55" s="4093" t="inlineStr">
        <is>
          <t>3025-411140-1014-601/3025-411141-1014-601</t>
        </is>
      </c>
      <c r="F55" s="4158" t="n"/>
      <c r="G55" s="4158" t="n"/>
      <c r="H55" s="4158" t="n"/>
      <c r="I55" s="4158" t="n"/>
      <c r="J55" s="4158" t="n"/>
      <c r="K55" s="4158" t="n"/>
      <c r="L55" s="4158" t="n"/>
      <c r="M55" s="4158" t="n"/>
      <c r="N55" s="4158" t="n"/>
      <c r="O55" s="4158" t="n"/>
      <c r="P55" s="4158" t="n"/>
      <c r="Q55" s="4159" t="n"/>
      <c r="R55" s="4158" t="n"/>
      <c r="S55" s="4158" t="n"/>
      <c r="T55" s="4158" t="n"/>
      <c r="U55" s="4158" t="n"/>
      <c r="V55" s="4158" t="n"/>
      <c r="W55" s="4158" t="n"/>
      <c r="X55" s="4158" t="n"/>
      <c r="Y55" s="4158" t="n"/>
      <c r="Z55" s="4158" t="n"/>
      <c r="AA55" s="4158" t="n"/>
      <c r="AB55" s="4158" t="n"/>
      <c r="AC55" s="4159" t="n"/>
      <c r="AD55" s="4158" t="n"/>
      <c r="AE55" s="4158" t="n"/>
      <c r="AF55" s="4158" t="n"/>
      <c r="AG55" s="4158" t="n"/>
      <c r="AH55" s="4158" t="n"/>
      <c r="AI55" s="4158" t="n"/>
      <c r="AJ55" s="4158" t="n"/>
      <c r="AK55" s="4158" t="n"/>
      <c r="AL55" s="4158" t="n"/>
      <c r="AM55" s="4158" t="n"/>
      <c r="AN55" s="4158" t="n"/>
      <c r="AO55" s="4159" t="n"/>
      <c r="AP55" s="4158" t="n">
        <v>20.68259</v>
      </c>
      <c r="AQ55" s="4158" t="n">
        <v>10.24</v>
      </c>
      <c r="AR55" s="4158" t="n">
        <v>-10.94403</v>
      </c>
      <c r="AS55" s="4158" t="n">
        <v>-49.31054</v>
      </c>
      <c r="AT55" s="4158" t="n">
        <v>-1.62986</v>
      </c>
      <c r="AU55" s="4160" t="n">
        <v>-10.92999</v>
      </c>
      <c r="AV55" s="4158">
        <f>SUM(F55:Q55)</f>
        <v/>
      </c>
      <c r="AW55" s="4158">
        <f>SUM(R55:AC55)</f>
        <v/>
      </c>
      <c r="AX55" s="4158">
        <f>SUM(AD55:AO55)</f>
        <v/>
      </c>
      <c r="AY55" s="4158">
        <f>SUM(AH55:AS55)</f>
        <v/>
      </c>
      <c r="AZ55" s="4158">
        <f>SUM(AJ55:AU55)</f>
        <v/>
      </c>
      <c r="BB55" s="4158" t="n"/>
    </row>
    <row r="56" hidden="1" outlineLevel="1" ht="12" customHeight="1" s="3710">
      <c r="C56" s="4100">
        <f>D56</f>
        <v/>
      </c>
      <c r="D56" s="4101" t="inlineStr">
        <is>
          <t>OIF Revenue, MAE, Visa, DMA, VDA, ICI VISA</t>
        </is>
      </c>
      <c r="E56" s="4101" t="n"/>
      <c r="F56" s="4130" t="n"/>
      <c r="G56" s="4130" t="n"/>
      <c r="H56" s="4130" t="n"/>
      <c r="I56" s="4130" t="n"/>
      <c r="J56" s="4130" t="n"/>
      <c r="K56" s="4130" t="n"/>
      <c r="L56" s="4130" t="n"/>
      <c r="M56" s="4130" t="n"/>
      <c r="N56" s="4130" t="n"/>
      <c r="O56" s="4130" t="n"/>
      <c r="P56" s="4130" t="n"/>
      <c r="Q56" s="4131" t="n"/>
      <c r="R56" s="4130" t="n"/>
      <c r="S56" s="4130" t="n"/>
      <c r="T56" s="4130" t="n"/>
      <c r="U56" s="4130" t="n"/>
      <c r="V56" s="4130" t="n"/>
      <c r="W56" s="4130" t="n"/>
      <c r="X56" s="4130" t="n"/>
      <c r="Y56" s="4130" t="n"/>
      <c r="Z56" s="4130" t="n"/>
      <c r="AA56" s="4130" t="n"/>
      <c r="AB56" s="4130" t="n"/>
      <c r="AC56" s="4131" t="n"/>
      <c r="AD56" s="4130" t="n"/>
      <c r="AE56" s="4130" t="n"/>
      <c r="AF56" s="4130" t="n"/>
      <c r="AG56" s="4130" t="n"/>
      <c r="AH56" s="4130" t="n"/>
      <c r="AI56" s="4130" t="n"/>
      <c r="AJ56" s="4130" t="n"/>
      <c r="AK56" s="4130" t="n"/>
      <c r="AL56" s="4130" t="n"/>
      <c r="AM56" s="4130" t="n"/>
      <c r="AN56" s="4130" t="n"/>
      <c r="AO56" s="4131" t="n"/>
      <c r="AP56" s="4130" t="n">
        <v>-9.9274</v>
      </c>
      <c r="AQ56" s="4130" t="n">
        <v>-7.33361</v>
      </c>
      <c r="AR56" s="4130" t="n">
        <v>9.759869999999999</v>
      </c>
      <c r="AS56" s="4130" t="n">
        <v>19.83332</v>
      </c>
      <c r="AT56" s="4130" t="n">
        <v>-5.83647</v>
      </c>
      <c r="AU56" s="4132" t="n">
        <v>-12.4693</v>
      </c>
      <c r="AV56" s="4130">
        <f>SUM(F56:Q56)</f>
        <v/>
      </c>
      <c r="AW56" s="4130">
        <f>SUM(R56:AC56)</f>
        <v/>
      </c>
      <c r="AX56" s="4130">
        <f>SUM(AD56:AO56)</f>
        <v/>
      </c>
      <c r="AY56" s="4130">
        <f>SUM(AH56:AS56)</f>
        <v/>
      </c>
      <c r="AZ56" s="4130">
        <f>SUM(AJ56:AU56)</f>
        <v/>
      </c>
      <c r="BB56" s="4130" t="n"/>
    </row>
    <row r="57" ht="12" customHeight="1" s="3710">
      <c r="C57" s="4108" t="inlineStr">
        <is>
          <t>Revenue accruals in settlement liability</t>
        </is>
      </c>
      <c r="D57" s="4093" t="n"/>
      <c r="E57" s="4093" t="n"/>
      <c r="F57" s="4158" t="n"/>
      <c r="G57" s="4158" t="n"/>
      <c r="H57" s="4158" t="n"/>
      <c r="I57" s="4158" t="n"/>
      <c r="J57" s="4158" t="n"/>
      <c r="K57" s="4158" t="n"/>
      <c r="L57" s="4158" t="n"/>
      <c r="M57" s="4158" t="n"/>
      <c r="N57" s="4158" t="n"/>
      <c r="O57" s="4158" t="n"/>
      <c r="P57" s="4158" t="n"/>
      <c r="Q57" s="4159" t="n"/>
      <c r="R57" s="4158" t="n"/>
      <c r="S57" s="4158" t="n"/>
      <c r="T57" s="4158" t="n"/>
      <c r="U57" s="4158" t="n"/>
      <c r="V57" s="4158" t="n"/>
      <c r="W57" s="4158" t="n"/>
      <c r="X57" s="4158" t="n"/>
      <c r="Y57" s="4158" t="n"/>
      <c r="Z57" s="4158" t="n"/>
      <c r="AA57" s="4158" t="n"/>
      <c r="AB57" s="4158" t="n"/>
      <c r="AC57" s="4159" t="n"/>
      <c r="AD57" s="4158" t="n"/>
      <c r="AE57" s="4158" t="n"/>
      <c r="AF57" s="4158" t="n"/>
      <c r="AG57" s="4158" t="n"/>
      <c r="AH57" s="4158" t="n"/>
      <c r="AI57" s="4158" t="n"/>
      <c r="AJ57" s="4158" t="n"/>
      <c r="AK57" s="4158" t="n"/>
      <c r="AL57" s="4158" t="n"/>
      <c r="AM57" s="4158" t="n"/>
      <c r="AN57" s="4158" t="n"/>
      <c r="AO57" s="4159" t="n"/>
      <c r="AP57" s="4158">
        <f>SUM(AP55:AP56)</f>
        <v/>
      </c>
      <c r="AQ57" s="4158">
        <f>SUM(AQ55:AQ56)</f>
        <v/>
      </c>
      <c r="AR57" s="4158">
        <f>SUM(AR55:AR56)</f>
        <v/>
      </c>
      <c r="AS57" s="4158">
        <f>SUM(AS55:AS56)</f>
        <v/>
      </c>
      <c r="AT57" s="4158">
        <f>SUM(AT55:AT56)</f>
        <v/>
      </c>
      <c r="AU57" s="4160">
        <f>SUM(AU55:AU56)</f>
        <v/>
      </c>
      <c r="AV57" s="4158">
        <f>SUM(AV55:AV56)</f>
        <v/>
      </c>
      <c r="AW57" s="4158">
        <f>SUM(AW55:AW56)</f>
        <v/>
      </c>
      <c r="AX57" s="4158">
        <f>SUM(AX55:AX56)</f>
        <v/>
      </c>
      <c r="AY57" s="4158">
        <f>SUM(AY55:AY56)</f>
        <v/>
      </c>
      <c r="AZ57" s="4158">
        <f>SUM(AZ55:AZ56)</f>
        <v/>
      </c>
      <c r="BB57" s="4158" t="n"/>
    </row>
    <row r="58" hidden="1" outlineLevel="1" ht="12" customFormat="1" customHeight="1" s="4541">
      <c r="A58" s="4051" t="n"/>
      <c r="B58" s="4060" t="n"/>
      <c r="C58" s="4092" t="inlineStr">
        <is>
          <t>Plus: Writeoffs to AR Provision</t>
        </is>
      </c>
      <c r="D58" s="4093" t="n"/>
      <c r="E58" s="4093" t="inlineStr">
        <is>
          <t>various revenue a/c / 3025-125101-1003-999</t>
        </is>
      </c>
      <c r="F58" s="4158" t="n"/>
      <c r="G58" s="4158" t="n"/>
      <c r="H58" s="4158" t="n"/>
      <c r="I58" s="4158" t="n"/>
      <c r="J58" s="4158" t="n"/>
      <c r="K58" s="4158" t="n"/>
      <c r="L58" s="4158" t="n"/>
      <c r="M58" s="4158" t="n"/>
      <c r="N58" s="4158" t="n"/>
      <c r="O58" s="4158" t="n"/>
      <c r="P58" s="4158" t="n"/>
      <c r="Q58" s="4159" t="n"/>
      <c r="R58" s="4158" t="n"/>
      <c r="S58" s="4158" t="n"/>
      <c r="T58" s="4158" t="n"/>
      <c r="U58" s="4158" t="n"/>
      <c r="V58" s="4158" t="n"/>
      <c r="W58" s="4158" t="n"/>
      <c r="X58" s="4158" t="n"/>
      <c r="Y58" s="4158" t="n"/>
      <c r="Z58" s="4158" t="n"/>
      <c r="AA58" s="4158" t="n"/>
      <c r="AB58" s="4158" t="n"/>
      <c r="AC58" s="4159" t="n"/>
      <c r="AD58" s="4158" t="n"/>
      <c r="AE58" s="4158" t="n"/>
      <c r="AF58" s="4158" t="n"/>
      <c r="AG58" s="4158" t="n"/>
      <c r="AH58" s="4158" t="n"/>
      <c r="AI58" s="4158" t="n"/>
      <c r="AJ58" s="4158" t="n"/>
      <c r="AK58" s="4158" t="n"/>
      <c r="AL58" s="4158" t="n"/>
      <c r="AM58" s="4158" t="n"/>
      <c r="AN58" s="4158" t="n"/>
      <c r="AO58" s="4159" t="n"/>
      <c r="AP58" s="4158" t="n">
        <v>0</v>
      </c>
      <c r="AQ58" s="4158" t="n">
        <v>0</v>
      </c>
      <c r="AR58" s="4158" t="n">
        <v>0</v>
      </c>
      <c r="AS58" s="4158" t="n">
        <v>0</v>
      </c>
      <c r="AT58" s="4158" t="n">
        <v>0</v>
      </c>
      <c r="AU58" s="4160" t="n">
        <v>0</v>
      </c>
      <c r="AV58" s="4158">
        <f>SUM(F58:Q58)</f>
        <v/>
      </c>
      <c r="AW58" s="4158">
        <f>SUM(R58:AC58)</f>
        <v/>
      </c>
      <c r="AX58" s="4158">
        <f>SUM(AD58:AO58)</f>
        <v/>
      </c>
      <c r="AY58" s="4158">
        <f>SUM(AH58:AS58)</f>
        <v/>
      </c>
      <c r="AZ58" s="4158">
        <f>SUM(AJ58:AU58)</f>
        <v/>
      </c>
      <c r="BB58" s="4158" t="n"/>
    </row>
    <row r="59" hidden="1" outlineLevel="1" ht="12" customHeight="1" s="3710">
      <c r="C59" s="4092" t="inlineStr">
        <is>
          <t>Misc Adjustments</t>
        </is>
      </c>
      <c r="D59" s="4093" t="inlineStr">
        <is>
          <t>Reclass between Def Rev &amp; Accrued A/P</t>
        </is>
      </c>
      <c r="E59" s="4093" t="inlineStr">
        <is>
          <t>3025-214102-1017-201</t>
        </is>
      </c>
      <c r="F59" s="4158" t="n"/>
      <c r="G59" s="4158" t="n"/>
      <c r="H59" s="4158" t="n"/>
      <c r="I59" s="4158" t="n"/>
      <c r="J59" s="4158" t="n"/>
      <c r="K59" s="4158" t="n"/>
      <c r="L59" s="4158" t="n"/>
      <c r="M59" s="4158" t="n"/>
      <c r="N59" s="4158" t="n"/>
      <c r="O59" s="4158" t="n"/>
      <c r="P59" s="4158" t="n"/>
      <c r="Q59" s="4159" t="n"/>
      <c r="R59" s="4158" t="n"/>
      <c r="S59" s="4158" t="n"/>
      <c r="T59" s="4158" t="n"/>
      <c r="U59" s="4158" t="n"/>
      <c r="V59" s="4158" t="n"/>
      <c r="W59" s="4158" t="n"/>
      <c r="X59" s="4158" t="n"/>
      <c r="Y59" s="4158" t="n"/>
      <c r="Z59" s="4158" t="n"/>
      <c r="AA59" s="4158" t="n"/>
      <c r="AB59" s="4158" t="n"/>
      <c r="AC59" s="4159" t="n"/>
      <c r="AD59" s="4158" t="n"/>
      <c r="AE59" s="4158" t="n"/>
      <c r="AF59" s="4158" t="n"/>
      <c r="AG59" s="4158" t="n"/>
      <c r="AH59" s="4158" t="n"/>
      <c r="AI59" s="4158" t="n"/>
      <c r="AJ59" s="4158" t="n"/>
      <c r="AK59" s="4158" t="n"/>
      <c r="AL59" s="4158" t="n"/>
      <c r="AM59" s="4158" t="n"/>
      <c r="AN59" s="4158" t="n"/>
      <c r="AO59" s="4159" t="n"/>
      <c r="AP59" s="4158" t="n">
        <v>0</v>
      </c>
      <c r="AQ59" s="4158" t="n">
        <v>0</v>
      </c>
      <c r="AR59" s="4158" t="n">
        <v>0</v>
      </c>
      <c r="AS59" s="4158" t="n">
        <v>0</v>
      </c>
      <c r="AT59" s="4158" t="n">
        <v>0</v>
      </c>
      <c r="AU59" s="4160" t="n">
        <v>0</v>
      </c>
      <c r="AV59" s="4158">
        <f>SUM(F59:Q59)</f>
        <v/>
      </c>
      <c r="AW59" s="4158">
        <f>SUM(R59:AC59)</f>
        <v/>
      </c>
      <c r="AX59" s="4158">
        <f>SUM(AD59:AO59)</f>
        <v/>
      </c>
      <c r="AY59" s="4158">
        <f>SUM(AH59:AS59)</f>
        <v/>
      </c>
      <c r="AZ59" s="4158">
        <f>SUM(AJ59:AU59)</f>
        <v/>
      </c>
      <c r="BB59" s="4158" t="n"/>
    </row>
    <row r="60" hidden="1" outlineLevel="1" ht="12" customHeight="1" s="3710">
      <c r="C60" s="4100" t="inlineStr">
        <is>
          <t>Credit received from ACI for Mobile outage</t>
        </is>
      </c>
      <c r="D60" s="4101" t="n"/>
      <c r="E60" s="4101" t="n"/>
      <c r="F60" s="4130" t="n"/>
      <c r="G60" s="4130" t="n"/>
      <c r="H60" s="4130" t="n"/>
      <c r="I60" s="4130" t="n"/>
      <c r="J60" s="4130" t="n"/>
      <c r="K60" s="4130" t="n"/>
      <c r="L60" s="4130" t="n"/>
      <c r="M60" s="4130" t="n"/>
      <c r="N60" s="4130" t="n"/>
      <c r="O60" s="4130" t="n"/>
      <c r="P60" s="4130" t="n"/>
      <c r="Q60" s="4131" t="n"/>
      <c r="R60" s="4130" t="n"/>
      <c r="S60" s="4130" t="n"/>
      <c r="T60" s="4130" t="n"/>
      <c r="U60" s="4130" t="n"/>
      <c r="V60" s="4130" t="n"/>
      <c r="W60" s="4130" t="n"/>
      <c r="X60" s="4130" t="n"/>
      <c r="Y60" s="4130" t="n"/>
      <c r="Z60" s="4130" t="n"/>
      <c r="AA60" s="4130" t="n"/>
      <c r="AB60" s="4130" t="n"/>
      <c r="AC60" s="4131" t="n"/>
      <c r="AD60" s="4130" t="n"/>
      <c r="AE60" s="4130" t="n"/>
      <c r="AF60" s="4130" t="n"/>
      <c r="AG60" s="4130" t="n"/>
      <c r="AH60" s="4130" t="n"/>
      <c r="AI60" s="4130" t="n"/>
      <c r="AJ60" s="4130" t="n"/>
      <c r="AK60" s="4130" t="n"/>
      <c r="AL60" s="4130" t="n"/>
      <c r="AM60" s="4130" t="n"/>
      <c r="AN60" s="4130" t="n"/>
      <c r="AO60" s="4131" t="n"/>
      <c r="AP60" s="4130" t="n">
        <v>0</v>
      </c>
      <c r="AQ60" s="4130" t="n">
        <v>0</v>
      </c>
      <c r="AR60" s="4130" t="n">
        <v>0</v>
      </c>
      <c r="AS60" s="4130" t="n">
        <v>0</v>
      </c>
      <c r="AT60" s="4130" t="n">
        <v>0</v>
      </c>
      <c r="AU60" s="4132" t="n">
        <v>0</v>
      </c>
      <c r="AV60" s="4130">
        <f>SUM(F60:Q60)</f>
        <v/>
      </c>
      <c r="AW60" s="4130">
        <f>SUM(R60:AC60)</f>
        <v/>
      </c>
      <c r="AX60" s="4130">
        <f>SUM(AD60:AO60)</f>
        <v/>
      </c>
      <c r="AY60" s="4130">
        <f>SUM(AH60:AS60)</f>
        <v/>
      </c>
      <c r="AZ60" s="4130">
        <f>SUM(AJ60:AU60)</f>
        <v/>
      </c>
      <c r="BB60" s="4130" t="n"/>
    </row>
    <row r="61" ht="12" customHeight="1" s="3710">
      <c r="C61" s="4150" t="inlineStr">
        <is>
          <t>Adjustments per accounts receivable provision</t>
        </is>
      </c>
      <c r="D61" s="4101" t="n"/>
      <c r="E61" s="4101" t="n"/>
      <c r="F61" s="4130" t="n"/>
      <c r="G61" s="4130" t="n"/>
      <c r="H61" s="4130" t="n"/>
      <c r="I61" s="4130" t="n"/>
      <c r="J61" s="4130" t="n"/>
      <c r="K61" s="4130" t="n"/>
      <c r="L61" s="4130" t="n"/>
      <c r="M61" s="4130" t="n"/>
      <c r="N61" s="4130" t="n"/>
      <c r="O61" s="4130" t="n"/>
      <c r="P61" s="4130" t="n"/>
      <c r="Q61" s="4131" t="n"/>
      <c r="R61" s="4130" t="n"/>
      <c r="S61" s="4130" t="n"/>
      <c r="T61" s="4130" t="n"/>
      <c r="U61" s="4130" t="n"/>
      <c r="V61" s="4130" t="n"/>
      <c r="W61" s="4130" t="n"/>
      <c r="X61" s="4130" t="n"/>
      <c r="Y61" s="4130" t="n"/>
      <c r="Z61" s="4130" t="n"/>
      <c r="AA61" s="4130" t="n"/>
      <c r="AB61" s="4130" t="n"/>
      <c r="AC61" s="4131" t="n"/>
      <c r="AD61" s="4130" t="n"/>
      <c r="AE61" s="4130" t="n"/>
      <c r="AF61" s="4130" t="n"/>
      <c r="AG61" s="4130" t="n"/>
      <c r="AH61" s="4130" t="n"/>
      <c r="AI61" s="4130" t="n"/>
      <c r="AJ61" s="4130" t="n"/>
      <c r="AK61" s="4130" t="n"/>
      <c r="AL61" s="4130" t="n"/>
      <c r="AM61" s="4130" t="n"/>
      <c r="AN61" s="4130" t="n"/>
      <c r="AO61" s="4131" t="n"/>
      <c r="AP61" s="4130">
        <f>SUM(AP58:AP60)</f>
        <v/>
      </c>
      <c r="AQ61" s="4130">
        <f>SUM(AQ58:AQ60)</f>
        <v/>
      </c>
      <c r="AR61" s="4130">
        <f>SUM(AR58:AR60)</f>
        <v/>
      </c>
      <c r="AS61" s="4130">
        <f>SUM(AS58:AS60)</f>
        <v/>
      </c>
      <c r="AT61" s="4130">
        <f>SUM(AT58:AT60)</f>
        <v/>
      </c>
      <c r="AU61" s="4132">
        <f>SUM(AU58:AU60)</f>
        <v/>
      </c>
      <c r="AV61" s="4130">
        <f>SUM(AV58:AV60)</f>
        <v/>
      </c>
      <c r="AW61" s="4130">
        <f>SUM(AW58:AW60)</f>
        <v/>
      </c>
      <c r="AX61" s="4130">
        <f>SUM(AX58:AX60)</f>
        <v/>
      </c>
      <c r="AY61" s="4130">
        <f>SUM(AY58:AY60)</f>
        <v/>
      </c>
      <c r="AZ61" s="4130">
        <f>SUM(AZ58:AZ60)</f>
        <v/>
      </c>
      <c r="BB61" s="4130" t="n"/>
    </row>
    <row r="62" ht="12" customHeight="1" s="3710">
      <c r="C62" s="4093" t="inlineStr">
        <is>
          <t>Revenue recognized per biilling details</t>
        </is>
      </c>
      <c r="D62" s="4093" t="n"/>
      <c r="E62" s="4093" t="n"/>
      <c r="F62" s="4158" t="n"/>
      <c r="G62" s="4158" t="n"/>
      <c r="H62" s="4158" t="n"/>
      <c r="I62" s="4158" t="n"/>
      <c r="J62" s="4158" t="n"/>
      <c r="K62" s="4158" t="n"/>
      <c r="L62" s="4158" t="n"/>
      <c r="M62" s="4158" t="n"/>
      <c r="N62" s="4158" t="n"/>
      <c r="O62" s="4158" t="n"/>
      <c r="P62" s="4158" t="n"/>
      <c r="Q62" s="4159" t="n"/>
      <c r="R62" s="4158" t="n"/>
      <c r="S62" s="4158" t="n"/>
      <c r="T62" s="4158" t="n"/>
      <c r="U62" s="4158" t="n"/>
      <c r="V62" s="4158" t="n"/>
      <c r="W62" s="4158" t="n"/>
      <c r="X62" s="4158" t="n"/>
      <c r="Y62" s="4158" t="n"/>
      <c r="Z62" s="4158" t="n"/>
      <c r="AA62" s="4158" t="n"/>
      <c r="AB62" s="4158" t="n"/>
      <c r="AC62" s="4159" t="n"/>
      <c r="AD62" s="4158" t="n"/>
      <c r="AE62" s="4158" t="n"/>
      <c r="AF62" s="4158" t="n"/>
      <c r="AG62" s="4158" t="n"/>
      <c r="AH62" s="4158" t="n"/>
      <c r="AI62" s="4158" t="n"/>
      <c r="AJ62" s="4158" t="n"/>
      <c r="AK62" s="4158" t="n"/>
      <c r="AL62" s="4158" t="n"/>
      <c r="AM62" s="4158" t="n"/>
      <c r="AN62" s="4158" t="n"/>
      <c r="AO62" s="4159" t="n"/>
      <c r="AP62" s="4158">
        <f>SUM(AP47,AP35,AP57,AP28,AP54,AP61,AP13)</f>
        <v/>
      </c>
      <c r="AQ62" s="4158">
        <f>SUM(AQ47,AQ35,AQ57,AQ28,AQ54,AQ61,AQ13)</f>
        <v/>
      </c>
      <c r="AR62" s="4158">
        <f>SUM(AR47,AR35,AR57,AR28,AR54,AR61,AR13)</f>
        <v/>
      </c>
      <c r="AS62" s="4158">
        <f>SUM(AS47,AS35,AS57,AS28,AS54,AS61,AS13)</f>
        <v/>
      </c>
      <c r="AT62" s="4158">
        <f>SUM(AT47,AT35,AT57,AT28,AT54,AT61,AT13)</f>
        <v/>
      </c>
      <c r="AU62" s="4160">
        <f>SUM(AU47,AU35,AU57,AU28,AU54,AU61,AU13)</f>
        <v/>
      </c>
      <c r="AV62" s="4158">
        <f>SUM(AV47,AV35,AV57,AV28,AV54,AV61,AV13)</f>
        <v/>
      </c>
      <c r="AW62" s="4158">
        <f>SUM(AW47,AW35,AW57,AW28,AW54,AW61,AW13)</f>
        <v/>
      </c>
      <c r="AX62" s="4158">
        <f>SUM(AX47,AX35,AX57,AX28,AX54,AX61,AX13)</f>
        <v/>
      </c>
      <c r="AY62" s="4158">
        <f>SUM(AY47,AY35,AY57,AY28,AY54,AY61,AY13)</f>
        <v/>
      </c>
      <c r="AZ62" s="4158">
        <f>SUM(AZ47,AZ35,AZ57,AZ28,AZ54,AZ61,AZ13)</f>
        <v/>
      </c>
      <c r="BB62" s="4158" t="n"/>
    </row>
    <row r="63" ht="12" customHeight="1" s="3710">
      <c r="C63" s="4093" t="inlineStr">
        <is>
          <t>Revenue from financials &amp; revenue by LOB</t>
        </is>
      </c>
      <c r="D63" s="4093" t="n"/>
      <c r="E63" s="4093" t="n"/>
      <c r="F63" s="4158" t="n"/>
      <c r="G63" s="4158" t="n"/>
      <c r="H63" s="4158" t="n"/>
      <c r="I63" s="4158" t="n"/>
      <c r="J63" s="4158" t="n"/>
      <c r="K63" s="4158" t="n"/>
      <c r="L63" s="4158" t="n"/>
      <c r="M63" s="4158" t="n"/>
      <c r="N63" s="4158" t="n"/>
      <c r="O63" s="4158" t="n"/>
      <c r="P63" s="4158" t="n"/>
      <c r="Q63" s="4159" t="n"/>
      <c r="R63" s="4158" t="n"/>
      <c r="S63" s="4158" t="n"/>
      <c r="T63" s="4158" t="n"/>
      <c r="U63" s="4158" t="n"/>
      <c r="V63" s="4158" t="n"/>
      <c r="W63" s="4158" t="n"/>
      <c r="X63" s="4158" t="n"/>
      <c r="Y63" s="4158" t="n"/>
      <c r="Z63" s="4158" t="n"/>
      <c r="AA63" s="4158" t="n"/>
      <c r="AB63" s="4158" t="n"/>
      <c r="AC63" s="4159" t="n"/>
      <c r="AD63" s="4158" t="n"/>
      <c r="AE63" s="4158" t="n"/>
      <c r="AF63" s="4158" t="n"/>
      <c r="AG63" s="4158" t="n"/>
      <c r="AH63" s="4158" t="n"/>
      <c r="AI63" s="4158" t="n"/>
      <c r="AJ63" s="4158" t="n"/>
      <c r="AK63" s="4158" t="n"/>
      <c r="AL63" s="4158" t="n"/>
      <c r="AM63" s="4158" t="n"/>
      <c r="AN63" s="4158" t="n"/>
      <c r="AO63" s="4159" t="n"/>
      <c r="AP63" s="4158">
        <f>'Income statement'!AP117</f>
        <v/>
      </c>
      <c r="AQ63" s="4158">
        <f>'Income statement'!AQ117</f>
        <v/>
      </c>
      <c r="AR63" s="4158">
        <f>'Income statement'!AR117</f>
        <v/>
      </c>
      <c r="AS63" s="4158">
        <f>'Income statement'!AS117</f>
        <v/>
      </c>
      <c r="AT63" s="4158">
        <f>'Income statement'!AT117</f>
        <v/>
      </c>
      <c r="AU63" s="4160">
        <f>'Income statement'!AU117</f>
        <v/>
      </c>
      <c r="AV63" s="4158">
        <f>SUM(F63:Q63)</f>
        <v/>
      </c>
      <c r="AW63" s="4158">
        <f>SUM(R63:AC63)</f>
        <v/>
      </c>
      <c r="AX63" s="4158">
        <f>SUM(AD63:AO63)</f>
        <v/>
      </c>
      <c r="AY63" s="4158">
        <f>SUM(AH63:AS63)</f>
        <v/>
      </c>
      <c r="AZ63" s="4158">
        <f>SUM(AJ63:AU63)</f>
        <v/>
      </c>
      <c r="BB63" s="4158" t="n"/>
    </row>
    <row r="64" ht="15" customFormat="1" customHeight="1" s="4541">
      <c r="A64" s="4051" t="n"/>
      <c r="B64" s="4060" t="n"/>
      <c r="C64" s="4093" t="inlineStr">
        <is>
          <t>Unreconcilable differences2</t>
        </is>
      </c>
      <c r="D64" s="4093" t="n"/>
      <c r="E64" s="4093" t="n"/>
      <c r="F64" s="4158" t="n"/>
      <c r="G64" s="4158" t="n"/>
      <c r="H64" s="4158" t="n"/>
      <c r="I64" s="4158" t="n"/>
      <c r="J64" s="4158" t="n"/>
      <c r="K64" s="4158" t="n"/>
      <c r="L64" s="4158" t="n"/>
      <c r="M64" s="4158" t="n"/>
      <c r="N64" s="4158" t="n"/>
      <c r="O64" s="4158" t="n"/>
      <c r="P64" s="4158" t="n"/>
      <c r="Q64" s="4159" t="n"/>
      <c r="R64" s="4158" t="n"/>
      <c r="S64" s="4158" t="n"/>
      <c r="T64" s="4158" t="n"/>
      <c r="U64" s="4158" t="n"/>
      <c r="V64" s="4158" t="n"/>
      <c r="W64" s="4158" t="n"/>
      <c r="X64" s="4158" t="n"/>
      <c r="Y64" s="4158" t="n"/>
      <c r="Z64" s="4158" t="n"/>
      <c r="AA64" s="4158" t="n"/>
      <c r="AB64" s="4158" t="n"/>
      <c r="AC64" s="4159" t="n"/>
      <c r="AD64" s="4158" t="n"/>
      <c r="AE64" s="4158" t="n"/>
      <c r="AF64" s="4158" t="n"/>
      <c r="AG64" s="4158" t="n"/>
      <c r="AH64" s="4158" t="n"/>
      <c r="AI64" s="4158" t="n"/>
      <c r="AJ64" s="4158" t="n"/>
      <c r="AK64" s="4158" t="n"/>
      <c r="AL64" s="4158" t="n"/>
      <c r="AM64" s="4158" t="n"/>
      <c r="AN64" s="4158" t="n"/>
      <c r="AO64" s="4159" t="n"/>
      <c r="AP64" s="4158">
        <f>AP10</f>
        <v/>
      </c>
      <c r="AQ64" s="4158">
        <f>AQ10</f>
        <v/>
      </c>
      <c r="AR64" s="4158">
        <f>AR10</f>
        <v/>
      </c>
      <c r="AS64" s="4158">
        <f>AS10</f>
        <v/>
      </c>
      <c r="AT64" s="4158">
        <f>AT10</f>
        <v/>
      </c>
      <c r="AU64" s="4160">
        <f>AU10</f>
        <v/>
      </c>
      <c r="AV64" s="4158">
        <f>SUM(F64:Q64)</f>
        <v/>
      </c>
      <c r="AW64" s="4158">
        <f>SUM(R64:AC64)</f>
        <v/>
      </c>
      <c r="AX64" s="4158">
        <f>SUM(AD64:AO64)</f>
        <v/>
      </c>
      <c r="AY64" s="4158">
        <f>SUM(AH64:AS64)</f>
        <v/>
      </c>
      <c r="AZ64" s="4158">
        <f>SUM(AJ64:AU64)</f>
        <v/>
      </c>
      <c r="BB64" s="4158" t="n"/>
    </row>
    <row r="65" ht="12" customHeight="1" s="3710">
      <c r="C65" s="4547" t="inlineStr">
        <is>
          <t>Variance</t>
        </is>
      </c>
      <c r="D65" s="4547" t="n"/>
      <c r="E65" s="4547" t="n"/>
      <c r="F65" s="4535">
        <f t="array" ref="F65:F65">SUM(F62,-F63:F64)</f>
        <v/>
      </c>
      <c r="G65" s="4535">
        <f t="array" ref="G65:G65">SUM(G62,-G63:G64)</f>
        <v/>
      </c>
      <c r="H65" s="4535">
        <f t="array" ref="H65:H65">SUM(H62,-H63:H64)</f>
        <v/>
      </c>
      <c r="I65" s="4535">
        <f t="array" ref="I65:I65">SUM(I62,-I63:I64)</f>
        <v/>
      </c>
      <c r="J65" s="4535">
        <f t="array" ref="J65:J65">SUM(J62,-J63:J64)</f>
        <v/>
      </c>
      <c r="K65" s="4535">
        <f t="array" ref="K65:K65">SUM(K62,-K63:K64)</f>
        <v/>
      </c>
      <c r="L65" s="4535">
        <f t="array" ref="L65:L65">SUM(L62,-L63:L64)</f>
        <v/>
      </c>
      <c r="M65" s="4535">
        <f t="array" ref="M65:M65">SUM(M62,-M63:M64)</f>
        <v/>
      </c>
      <c r="N65" s="4535">
        <f t="array" ref="N65:N65">SUM(N62,-N63:N64)</f>
        <v/>
      </c>
      <c r="O65" s="4535">
        <f t="array" ref="O65:O65">SUM(O62,-O63:O64)</f>
        <v/>
      </c>
      <c r="P65" s="4535">
        <f t="array" ref="P65:P65">SUM(P62,-P63:P64)</f>
        <v/>
      </c>
      <c r="Q65" s="4548">
        <f t="array" ref="Q65:Q65">SUM(Q62,-Q63:Q64)</f>
        <v/>
      </c>
      <c r="R65" s="4535">
        <f t="array" ref="R65:R65">SUM(R62,-R63:R64)</f>
        <v/>
      </c>
      <c r="S65" s="4535">
        <f t="array" ref="S65:S65">SUM(S62,-S63:S64)</f>
        <v/>
      </c>
      <c r="T65" s="4535">
        <f t="array" ref="T65:T65">SUM(T62,-T63:T64)</f>
        <v/>
      </c>
      <c r="U65" s="4535">
        <f t="array" ref="U65:U65">SUM(U62,-U63:U64)</f>
        <v/>
      </c>
      <c r="V65" s="4535">
        <f t="array" ref="V65:V65">SUM(V62,-V63:V64)</f>
        <v/>
      </c>
      <c r="W65" s="4535">
        <f t="array" ref="W65:W65">SUM(W62,-W63:W64)</f>
        <v/>
      </c>
      <c r="X65" s="4535">
        <f t="array" ref="X65:X65">SUM(X62,-X63:X64)</f>
        <v/>
      </c>
      <c r="Y65" s="4535">
        <f t="array" ref="Y65:Y65">SUM(Y62,-Y63:Y64)</f>
        <v/>
      </c>
      <c r="Z65" s="4535">
        <f t="array" ref="Z65:Z65">SUM(Z62,-Z63:Z64)</f>
        <v/>
      </c>
      <c r="AA65" s="4535">
        <f t="array" ref="AA65:AA65">SUM(AA62,-AA63:AA64)</f>
        <v/>
      </c>
      <c r="AB65" s="4535">
        <f t="array" ref="AB65:AB65">SUM(AB62,-AB63:AB64)</f>
        <v/>
      </c>
      <c r="AC65" s="4548">
        <f t="array" ref="AC65:AC65">SUM(AC62,-AC63:AC64)</f>
        <v/>
      </c>
      <c r="AD65" s="4535">
        <f t="array" ref="AD65:AD65">SUM(AD62,-AD63:AD64)</f>
        <v/>
      </c>
      <c r="AE65" s="4535">
        <f t="array" ref="AE65:AE65">SUM(AE62,-AE63:AE64)</f>
        <v/>
      </c>
      <c r="AF65" s="4535">
        <f t="array" ref="AF65:AF65">SUM(AF62,-AF63:AF64)</f>
        <v/>
      </c>
      <c r="AG65" s="4535">
        <f t="array" ref="AG65:AG65">SUM(AG62,-AG63:AG64)</f>
        <v/>
      </c>
      <c r="AH65" s="4535">
        <f t="array" ref="AH65:AH65">SUM(AH62,-AH63:AH64)</f>
        <v/>
      </c>
      <c r="AI65" s="4535">
        <f t="array" ref="AI65:AI65">SUM(AI62,-AI63:AI64)</f>
        <v/>
      </c>
      <c r="AJ65" s="4535">
        <f t="array" ref="AJ65:AJ65">SUM(AJ62,-AJ63:AJ64)</f>
        <v/>
      </c>
      <c r="AK65" s="4535">
        <f t="array" ref="AK65:AK65">SUM(AK62,-AK63:AK64)</f>
        <v/>
      </c>
      <c r="AL65" s="4535">
        <f t="array" ref="AL65:AL65">SUM(AL62,-AL63:AL64)</f>
        <v/>
      </c>
      <c r="AM65" s="4535">
        <f t="array" ref="AM65:AM65">SUM(AM62,-AM63:AM64)</f>
        <v/>
      </c>
      <c r="AN65" s="4535">
        <f t="array" ref="AN65:AN65">SUM(AN62,-AN63:AN64)</f>
        <v/>
      </c>
      <c r="AO65" s="4548">
        <f t="array" ref="AO65:AO65">SUM(AO62,-AO63:AO64)</f>
        <v/>
      </c>
      <c r="AP65" s="4535">
        <f t="array" ref="AP65:AP65">SUM(AP62,-AP63:AP64)</f>
        <v/>
      </c>
      <c r="AQ65" s="4535">
        <f t="array" ref="AQ65:AQ65">SUM(AQ62,-AQ63:AQ64)</f>
        <v/>
      </c>
      <c r="AR65" s="4535">
        <f t="array" ref="AR65:AR65">SUM(AR62,-AR63:AR64)</f>
        <v/>
      </c>
      <c r="AS65" s="4535">
        <f t="array" ref="AS65:AS65">SUM(AS62,-AS63:AS64)</f>
        <v/>
      </c>
      <c r="AT65" s="4535">
        <f t="array" ref="AT65:AT65">SUM(AT62,-AT63:AT64)</f>
        <v/>
      </c>
      <c r="AU65" s="4549">
        <f t="array" ref="AU65:AU65">SUM(AU62,-AU63:AU64)</f>
        <v/>
      </c>
      <c r="AV65" s="4535">
        <f t="array" ref="AV65:AV65">SUM(AV62,-AV63:AV64)</f>
        <v/>
      </c>
      <c r="AW65" s="4535">
        <f t="array" ref="AW65:AW65">SUM(AW62,-AW63:AW64)</f>
        <v/>
      </c>
      <c r="AX65" s="4535">
        <f t="array" ref="AX65:AX65">SUM(AX62,-AX63:AX64)</f>
        <v/>
      </c>
      <c r="AY65" s="4535">
        <f t="array" ref="AY65:AY65">SUM(AY62,-AY63:AY64)</f>
        <v/>
      </c>
      <c r="AZ65" s="4535">
        <f t="array" ref="AZ65:AZ65">SUM(AZ62,-AZ63:AZ64)</f>
        <v/>
      </c>
      <c r="BB65" s="4535" t="n"/>
    </row>
    <row r="66" ht="12" customHeight="1" s="3710">
      <c r="C66" s="4065" t="inlineStr">
        <is>
          <t>TBD</t>
        </is>
      </c>
    </row>
    <row r="67" hidden="1" outlineLevel="1" ht="12" customFormat="1" customHeight="1" s="4261">
      <c r="A67" s="4051" t="n"/>
      <c r="B67" s="4067" t="n"/>
      <c r="C67" s="4065" t="inlineStr">
        <is>
          <t>Per source</t>
        </is>
      </c>
      <c r="D67" s="4067" t="n"/>
      <c r="E67" s="4067" t="n"/>
      <c r="F67" s="4261" t="n"/>
      <c r="G67" s="4261" t="n"/>
      <c r="H67" s="4261" t="n"/>
      <c r="I67" s="4261" t="n"/>
      <c r="J67" s="4261" t="n"/>
      <c r="K67" s="4261" t="n"/>
      <c r="L67" s="4261" t="n"/>
      <c r="M67" s="4261" t="n"/>
      <c r="N67" s="4261" t="n"/>
      <c r="O67" s="4261" t="n"/>
      <c r="P67" s="4261" t="n"/>
      <c r="Q67" s="4261" t="n"/>
      <c r="R67" s="4261" t="n"/>
      <c r="S67" s="4261" t="n"/>
      <c r="T67" s="4261" t="n"/>
      <c r="U67" s="4261" t="n"/>
      <c r="V67" s="4261" t="n"/>
      <c r="W67" s="4261" t="n"/>
      <c r="X67" s="4261" t="n"/>
      <c r="Y67" s="4261" t="n"/>
      <c r="Z67" s="4261" t="n"/>
      <c r="AA67" s="4261" t="n"/>
      <c r="AB67" s="4261" t="n"/>
      <c r="AC67" s="4261" t="n"/>
      <c r="AD67" s="4261" t="n"/>
      <c r="AE67" s="4261" t="n"/>
      <c r="AF67" s="4261" t="n"/>
      <c r="AG67" s="4261" t="n"/>
      <c r="AH67" s="4261" t="n"/>
      <c r="AI67" s="4261" t="n"/>
      <c r="AJ67" s="4261" t="n"/>
      <c r="AK67" s="4261" t="n"/>
      <c r="AL67" s="4261" t="n"/>
      <c r="AM67" s="4261" t="n"/>
      <c r="AN67" s="4261" t="n"/>
      <c r="AO67" s="4261" t="n"/>
      <c r="AP67" s="4261" t="n">
        <v>5611.29072</v>
      </c>
      <c r="AQ67" s="4261" t="n">
        <v>6572.96115</v>
      </c>
      <c r="AR67" s="4261" t="n">
        <v>5439.10868</v>
      </c>
      <c r="AS67" s="4261" t="n">
        <v>5630.29247</v>
      </c>
      <c r="AT67" s="4261" t="n">
        <v>6061.05597</v>
      </c>
      <c r="AU67" s="4261" t="n">
        <v>6011.91282</v>
      </c>
      <c r="AV67" s="4261">
        <f>SUM(F67:Q67)</f>
        <v/>
      </c>
      <c r="AW67" s="4261">
        <f>SUM(R67:AC67)</f>
        <v/>
      </c>
      <c r="AX67" s="4261">
        <f>SUM(AD67:AO67)</f>
        <v/>
      </c>
      <c r="AY67" s="4261">
        <f>SUM(AH67:AS67)</f>
        <v/>
      </c>
      <c r="AZ67" s="4261">
        <f>SUM(AJ67:AU67)</f>
        <v/>
      </c>
    </row>
    <row r="68" hidden="1" outlineLevel="1" ht="12" customFormat="1" customHeight="1" s="4261">
      <c r="A68" s="4051" t="n"/>
      <c r="B68" s="4067" t="n"/>
      <c r="C68" s="4065" t="inlineStr">
        <is>
          <t>Check</t>
        </is>
      </c>
      <c r="D68" s="4067" t="n"/>
      <c r="E68" s="4067" t="n"/>
      <c r="F68" s="4261">
        <f>F67-F62</f>
        <v/>
      </c>
      <c r="G68" s="4261">
        <f>G67-G62</f>
        <v/>
      </c>
      <c r="H68" s="4261">
        <f>H67-H62</f>
        <v/>
      </c>
      <c r="I68" s="4261">
        <f>I67-I62</f>
        <v/>
      </c>
      <c r="J68" s="4261">
        <f>J67-J62</f>
        <v/>
      </c>
      <c r="K68" s="4261">
        <f>K67-K62</f>
        <v/>
      </c>
      <c r="L68" s="4261">
        <f>L67-L62</f>
        <v/>
      </c>
      <c r="M68" s="4261">
        <f>M67-M62</f>
        <v/>
      </c>
      <c r="N68" s="4261">
        <f>N67-N62</f>
        <v/>
      </c>
      <c r="O68" s="4261">
        <f>O67-O62</f>
        <v/>
      </c>
      <c r="P68" s="4261">
        <f>P67-P62</f>
        <v/>
      </c>
      <c r="Q68" s="4261">
        <f>Q67-Q62</f>
        <v/>
      </c>
      <c r="R68" s="4261">
        <f>R67-R62</f>
        <v/>
      </c>
      <c r="S68" s="4261">
        <f>S67-S62</f>
        <v/>
      </c>
      <c r="T68" s="4261">
        <f>T67-T62</f>
        <v/>
      </c>
      <c r="U68" s="4261">
        <f>U67-U62</f>
        <v/>
      </c>
      <c r="V68" s="4261">
        <f>V67-V62</f>
        <v/>
      </c>
      <c r="W68" s="4261">
        <f>W67-W62</f>
        <v/>
      </c>
      <c r="X68" s="4261">
        <f>X67-X62</f>
        <v/>
      </c>
      <c r="Y68" s="4261">
        <f>Y67-Y62</f>
        <v/>
      </c>
      <c r="Z68" s="4261">
        <f>Z67-Z62</f>
        <v/>
      </c>
      <c r="AA68" s="4261">
        <f>AA67-AA62</f>
        <v/>
      </c>
      <c r="AB68" s="4261">
        <f>AB67-AB62</f>
        <v/>
      </c>
      <c r="AC68" s="4261">
        <f>AC67-AC62</f>
        <v/>
      </c>
      <c r="AD68" s="4261">
        <f>AD67-AD62</f>
        <v/>
      </c>
      <c r="AE68" s="4261">
        <f>AE67-AE62</f>
        <v/>
      </c>
      <c r="AF68" s="4261">
        <f>AF67-AF62</f>
        <v/>
      </c>
      <c r="AG68" s="4261">
        <f>AG67-AG62</f>
        <v/>
      </c>
      <c r="AH68" s="4261">
        <f>AH67-AH62</f>
        <v/>
      </c>
      <c r="AI68" s="4261">
        <f>AI67-AI62</f>
        <v/>
      </c>
      <c r="AJ68" s="4261">
        <f>AJ67-AJ62</f>
        <v/>
      </c>
      <c r="AK68" s="4261">
        <f>AK67-AK62</f>
        <v/>
      </c>
      <c r="AL68" s="4261">
        <f>AL67-AL62</f>
        <v/>
      </c>
      <c r="AM68" s="4261">
        <f>AM67-AM62</f>
        <v/>
      </c>
      <c r="AN68" s="4261">
        <f>AN67-AN62</f>
        <v/>
      </c>
      <c r="AO68" s="4261">
        <f>AO67-AO62</f>
        <v/>
      </c>
      <c r="AP68" s="4261">
        <f>AP67-AP62</f>
        <v/>
      </c>
      <c r="AQ68" s="4261">
        <f>AQ67-AQ62</f>
        <v/>
      </c>
      <c r="AR68" s="4261">
        <f>AR67-AR62</f>
        <v/>
      </c>
      <c r="AS68" s="4261">
        <f>AS67-AS62</f>
        <v/>
      </c>
      <c r="AT68" s="4261">
        <f>AT67-AT62</f>
        <v/>
      </c>
      <c r="AU68" s="4261">
        <f>AU67-AU62</f>
        <v/>
      </c>
      <c r="AV68" s="4261">
        <f>AV67-AV62</f>
        <v/>
      </c>
      <c r="AW68" s="4261">
        <f>AW67-AW62</f>
        <v/>
      </c>
      <c r="AX68" s="4261">
        <f>AX67-AX62</f>
        <v/>
      </c>
      <c r="AY68" s="4261">
        <f>AY67-AY62</f>
        <v/>
      </c>
      <c r="AZ68" s="4261">
        <f>AZ67-AZ62</f>
        <v/>
      </c>
      <c r="BB68" s="4261" t="n"/>
    </row>
    <row r="69" hidden="1" outlineLevel="1" ht="12" customFormat="1" customHeight="1" s="4261">
      <c r="A69" s="4051" t="n"/>
      <c r="B69" s="4067" t="n"/>
      <c r="C69" s="4065" t="inlineStr">
        <is>
          <t>Revenue by LOB</t>
        </is>
      </c>
      <c r="D69" s="4067" t="n"/>
      <c r="E69" s="4067" t="n"/>
      <c r="F69" s="4261" t="n"/>
      <c r="G69" s="4261" t="n"/>
      <c r="H69" s="4261" t="n"/>
      <c r="I69" s="4261" t="n"/>
      <c r="J69" s="4261" t="n"/>
      <c r="K69" s="4261" t="n"/>
      <c r="L69" s="4261" t="n"/>
      <c r="M69" s="4261" t="n"/>
      <c r="N69" s="4261" t="n"/>
      <c r="O69" s="4261" t="n"/>
      <c r="P69" s="4261" t="n"/>
      <c r="Q69" s="4261" t="n"/>
      <c r="R69" s="4261" t="n"/>
      <c r="S69" s="4261" t="n"/>
      <c r="T69" s="4261" t="n"/>
      <c r="U69" s="4261" t="n"/>
      <c r="V69" s="4261" t="n"/>
      <c r="W69" s="4261" t="n"/>
      <c r="X69" s="4261" t="n"/>
      <c r="Y69" s="4261" t="n"/>
      <c r="Z69" s="4261" t="n"/>
      <c r="AA69" s="4261" t="n"/>
      <c r="AB69" s="4261" t="n"/>
      <c r="AC69" s="4261" t="n"/>
      <c r="AD69" s="4261" t="n"/>
      <c r="AE69" s="4261" t="n"/>
      <c r="AF69" s="4261" t="n"/>
      <c r="AG69" s="4261" t="n"/>
      <c r="AH69" s="4261" t="n"/>
      <c r="AI69" s="4261" t="n"/>
      <c r="AJ69" s="4261" t="n"/>
      <c r="AK69" s="4261" t="n"/>
      <c r="AL69" s="4261" t="n"/>
      <c r="AM69" s="4261" t="n"/>
      <c r="AN69" s="4261" t="n"/>
      <c r="AO69" s="4261" t="n"/>
      <c r="AP69" s="4550" t="n"/>
      <c r="AQ69" s="4550" t="n"/>
      <c r="AR69" s="4550" t="n"/>
      <c r="AS69" s="4550" t="n"/>
      <c r="AT69" s="4550" t="n"/>
      <c r="AU69" s="4550" t="n"/>
      <c r="AV69" s="4261">
        <f>SUM(F69:Q69)</f>
        <v/>
      </c>
      <c r="AW69" s="4261">
        <f>SUM(R69:AC69)</f>
        <v/>
      </c>
      <c r="AX69" s="4261">
        <f>SUM(AD69:AO69)</f>
        <v/>
      </c>
      <c r="AY69" s="4550" t="n"/>
      <c r="AZ69" s="4550" t="n"/>
    </row>
    <row r="70" hidden="1" outlineLevel="1" ht="12" customFormat="1" customHeight="1" s="4261">
      <c r="A70" s="4051" t="n"/>
      <c r="B70" s="4067" t="n"/>
      <c r="C70" s="4065" t="inlineStr">
        <is>
          <t>Check</t>
        </is>
      </c>
      <c r="D70" s="4067" t="n"/>
      <c r="E70" s="4067" t="n"/>
      <c r="F70" s="4261">
        <f>F69-F63</f>
        <v/>
      </c>
      <c r="G70" s="4261">
        <f>G69-G63</f>
        <v/>
      </c>
      <c r="H70" s="4261">
        <f>H69-H63</f>
        <v/>
      </c>
      <c r="I70" s="4261">
        <f>I69-I63</f>
        <v/>
      </c>
      <c r="J70" s="4261">
        <f>J69-J63</f>
        <v/>
      </c>
      <c r="K70" s="4261">
        <f>K69-K63</f>
        <v/>
      </c>
      <c r="L70" s="4261">
        <f>L69-L63</f>
        <v/>
      </c>
      <c r="M70" s="4261">
        <f>M69-M63</f>
        <v/>
      </c>
      <c r="N70" s="4261">
        <f>N69-N63</f>
        <v/>
      </c>
      <c r="O70" s="4261">
        <f>O69-O63</f>
        <v/>
      </c>
      <c r="P70" s="4261">
        <f>P69-P63</f>
        <v/>
      </c>
      <c r="Q70" s="4261">
        <f>Q69-Q63</f>
        <v/>
      </c>
      <c r="R70" s="4261">
        <f>R69-R63</f>
        <v/>
      </c>
      <c r="S70" s="4261">
        <f>S69-S63</f>
        <v/>
      </c>
      <c r="T70" s="4261">
        <f>T69-T63</f>
        <v/>
      </c>
      <c r="U70" s="4261">
        <f>U69-U63</f>
        <v/>
      </c>
      <c r="V70" s="4261">
        <f>V69-V63</f>
        <v/>
      </c>
      <c r="W70" s="4261">
        <f>W69-W63</f>
        <v/>
      </c>
      <c r="X70" s="4261">
        <f>X69-X63</f>
        <v/>
      </c>
      <c r="Y70" s="4261">
        <f>Y69-Y63</f>
        <v/>
      </c>
      <c r="Z70" s="4261">
        <f>Z69-Z63</f>
        <v/>
      </c>
      <c r="AA70" s="4261">
        <f>AA69-AA63</f>
        <v/>
      </c>
      <c r="AB70" s="4261">
        <f>AB69-AB63</f>
        <v/>
      </c>
      <c r="AC70" s="4261">
        <f>AC69-AC63</f>
        <v/>
      </c>
      <c r="AD70" s="4261">
        <f>AD69-AD63</f>
        <v/>
      </c>
      <c r="AE70" s="4261">
        <f>AE69-AE63</f>
        <v/>
      </c>
      <c r="AF70" s="4261">
        <f>AF69-AF63</f>
        <v/>
      </c>
      <c r="AG70" s="4261">
        <f>AG69-AG63</f>
        <v/>
      </c>
      <c r="AH70" s="4261">
        <f>AH69-AH63</f>
        <v/>
      </c>
      <c r="AI70" s="4261">
        <f>AI69-AI63</f>
        <v/>
      </c>
      <c r="AJ70" s="4261">
        <f>AJ69-AJ63</f>
        <v/>
      </c>
      <c r="AK70" s="4261">
        <f>AK69-AK63</f>
        <v/>
      </c>
      <c r="AL70" s="4261">
        <f>AL69-AL63</f>
        <v/>
      </c>
      <c r="AM70" s="4261">
        <f>AM69-AM63</f>
        <v/>
      </c>
      <c r="AN70" s="4261">
        <f>AN69-AN63</f>
        <v/>
      </c>
      <c r="AO70" s="4261">
        <f>AO69-AO63</f>
        <v/>
      </c>
      <c r="AP70" s="4550" t="n"/>
      <c r="AQ70" s="4550" t="n"/>
      <c r="AR70" s="4550" t="n"/>
      <c r="AS70" s="4550" t="n"/>
      <c r="AT70" s="4550" t="n"/>
      <c r="AU70" s="4550" t="n"/>
      <c r="AV70" s="4261">
        <f>SUM(F70:Q70)</f>
        <v/>
      </c>
      <c r="AW70" s="4261">
        <f>SUM(R70:AC70)</f>
        <v/>
      </c>
      <c r="AX70" s="4261">
        <f>SUM(AD70:AO70)</f>
        <v/>
      </c>
      <c r="AY70" s="4550" t="n"/>
      <c r="AZ70" s="4550" t="n"/>
    </row>
    <row r="71" hidden="1" outlineLevel="1" ht="12" customFormat="1" customHeight="1" s="4261">
      <c r="A71" s="4551" t="n"/>
      <c r="B71" s="4067" t="n"/>
      <c r="C71" s="4065" t="inlineStr">
        <is>
          <t>Billed revenue extract - PBI</t>
        </is>
      </c>
      <c r="D71" s="4067" t="n"/>
      <c r="E71" s="4067" t="n"/>
      <c r="F71" s="4261" t="n"/>
      <c r="G71" s="4261" t="n"/>
      <c r="H71" s="4261" t="n"/>
      <c r="I71" s="4261" t="n"/>
      <c r="J71" s="4261" t="n"/>
      <c r="K71" s="4261" t="n"/>
      <c r="L71" s="4261" t="n"/>
      <c r="M71" s="4261" t="n"/>
      <c r="N71" s="4261" t="n"/>
      <c r="O71" s="4261" t="n"/>
      <c r="P71" s="4261" t="n"/>
      <c r="Q71" s="4261" t="n"/>
      <c r="R71" s="4261" t="n"/>
      <c r="S71" s="4261" t="n"/>
      <c r="T71" s="4261" t="n"/>
      <c r="U71" s="4261" t="n"/>
      <c r="V71" s="4261" t="n"/>
      <c r="W71" s="4261" t="n"/>
      <c r="X71" s="4261" t="n"/>
      <c r="Y71" s="4261" t="n"/>
      <c r="Z71" s="4261" t="n"/>
      <c r="AA71" s="4261" t="n"/>
      <c r="AB71" s="4261" t="n"/>
      <c r="AC71" s="4261" t="n"/>
      <c r="AD71" s="4261" t="n"/>
      <c r="AE71" s="4261" t="n"/>
      <c r="AF71" s="4261" t="n"/>
      <c r="AG71" s="4261" t="n"/>
      <c r="AH71" s="4261" t="n"/>
      <c r="AI71" s="4261" t="n"/>
      <c r="AJ71" s="4261" t="n"/>
      <c r="AK71" s="4261" t="n"/>
      <c r="AL71" s="4261" t="n"/>
      <c r="AM71" s="4261" t="n"/>
      <c r="AN71" s="4261" t="n"/>
      <c r="AO71" s="4261" t="n"/>
      <c r="AP71" s="4261" t="n">
        <v>5733.65311</v>
      </c>
      <c r="AQ71" s="4261" t="n">
        <v>5860.77529</v>
      </c>
      <c r="AR71" s="4261" t="n">
        <v>6592.42705</v>
      </c>
      <c r="AS71" s="4261" t="n">
        <v>5783.19192</v>
      </c>
      <c r="AT71" s="4261" t="n">
        <v>6270.12392</v>
      </c>
      <c r="AU71" s="4261" t="n">
        <v>6229.21984</v>
      </c>
      <c r="AV71" s="4261">
        <f>SUM(F71:Q71)</f>
        <v/>
      </c>
      <c r="AW71" s="4261">
        <f>SUM(R71:AC71)</f>
        <v/>
      </c>
      <c r="AX71" s="4261">
        <f>SUM(AD71:AO71)</f>
        <v/>
      </c>
      <c r="AY71" s="4261">
        <f>SUM(AH71:AS71)</f>
        <v/>
      </c>
      <c r="AZ71" s="4261">
        <f>SUM(AJ71:AU71)</f>
        <v/>
      </c>
    </row>
    <row r="72" hidden="1" outlineLevel="1" ht="12" customFormat="1" customHeight="1" s="4261">
      <c r="A72" s="4551" t="n"/>
      <c r="B72" s="4067" t="n"/>
      <c r="C72" s="4065" t="inlineStr">
        <is>
          <t>Check</t>
        </is>
      </c>
      <c r="D72" s="4067" t="n"/>
      <c r="E72" s="4067" t="n"/>
      <c r="F72" s="4261">
        <f>F71-F13</f>
        <v/>
      </c>
      <c r="G72" s="4261">
        <f>G71-G13</f>
        <v/>
      </c>
      <c r="H72" s="4261">
        <f>H71-H13</f>
        <v/>
      </c>
      <c r="I72" s="4261">
        <f>I71-I13</f>
        <v/>
      </c>
      <c r="J72" s="4261">
        <f>J71-J13</f>
        <v/>
      </c>
      <c r="K72" s="4261">
        <f>K71-K13</f>
        <v/>
      </c>
      <c r="L72" s="4261">
        <f>L71-L13</f>
        <v/>
      </c>
      <c r="M72" s="4261">
        <f>M71-M13</f>
        <v/>
      </c>
      <c r="N72" s="4261">
        <f>N71-N13</f>
        <v/>
      </c>
      <c r="O72" s="4261">
        <f>O71-O13</f>
        <v/>
      </c>
      <c r="P72" s="4261">
        <f>P71-P13</f>
        <v/>
      </c>
      <c r="Q72" s="4261">
        <f>Q71-Q13</f>
        <v/>
      </c>
      <c r="R72" s="4261">
        <f>R71-R13</f>
        <v/>
      </c>
      <c r="S72" s="4261">
        <f>S71-S13</f>
        <v/>
      </c>
      <c r="T72" s="4261">
        <f>T71-T13</f>
        <v/>
      </c>
      <c r="U72" s="4261">
        <f>U71-U13</f>
        <v/>
      </c>
      <c r="V72" s="4261">
        <f>V71-V13</f>
        <v/>
      </c>
      <c r="W72" s="4261">
        <f>W71-W13</f>
        <v/>
      </c>
      <c r="X72" s="4261">
        <f>X71-X13</f>
        <v/>
      </c>
      <c r="Y72" s="4261">
        <f>Y71-Y13</f>
        <v/>
      </c>
      <c r="Z72" s="4261">
        <f>Z71-Z13</f>
        <v/>
      </c>
      <c r="AA72" s="4261">
        <f>AA71-AA13</f>
        <v/>
      </c>
      <c r="AB72" s="4261">
        <f>AB71-AB13</f>
        <v/>
      </c>
      <c r="AC72" s="4261">
        <f>AC71-AC13</f>
        <v/>
      </c>
      <c r="AD72" s="4261">
        <f>AD71-AD13</f>
        <v/>
      </c>
      <c r="AE72" s="4261">
        <f>AE71-AE13</f>
        <v/>
      </c>
      <c r="AF72" s="4261">
        <f>AF71-AF13</f>
        <v/>
      </c>
      <c r="AG72" s="4261">
        <f>AG71-AG13</f>
        <v/>
      </c>
      <c r="AH72" s="4261">
        <f>AH71-AH13</f>
        <v/>
      </c>
      <c r="AI72" s="4261">
        <f>AI71-AI13</f>
        <v/>
      </c>
      <c r="AJ72" s="4261">
        <f>AJ71-AJ13</f>
        <v/>
      </c>
      <c r="AK72" s="4261">
        <f>AK71-AK13</f>
        <v/>
      </c>
      <c r="AL72" s="4261">
        <f>AL71-AL13</f>
        <v/>
      </c>
      <c r="AM72" s="4261">
        <f>AM71-AM13</f>
        <v/>
      </c>
      <c r="AN72" s="4261">
        <f>AN71-AN13</f>
        <v/>
      </c>
      <c r="AO72" s="4261">
        <f>AO71-AO13</f>
        <v/>
      </c>
      <c r="AP72" s="4261">
        <f>AP71-AP13</f>
        <v/>
      </c>
      <c r="AQ72" s="4261">
        <f>AQ71-AQ13</f>
        <v/>
      </c>
      <c r="AR72" s="4261">
        <f>AR71-AR13</f>
        <v/>
      </c>
      <c r="AS72" s="4261">
        <f>AS71-AS13</f>
        <v/>
      </c>
      <c r="AT72" s="4261">
        <f>AT71-AT13</f>
        <v/>
      </c>
      <c r="AU72" s="4261">
        <f>AU71-AU13</f>
        <v/>
      </c>
      <c r="AV72" s="4261">
        <f>SUM(F72:Q72)</f>
        <v/>
      </c>
      <c r="AW72" s="4261">
        <f>SUM(R72:AC72)</f>
        <v/>
      </c>
      <c r="AX72" s="4261">
        <f>SUM(AD72:AO72)</f>
        <v/>
      </c>
      <c r="AY72" s="4261">
        <f>SUM(AH72:AS72)</f>
        <v/>
      </c>
      <c r="AZ72" s="4261">
        <f>SUM(AJ72:AU72)</f>
        <v/>
      </c>
    </row>
    <row r="73" hidden="1" outlineLevel="1" ht="12" customFormat="1" customHeight="1" s="4261">
      <c r="A73" s="4551" t="n"/>
      <c r="B73" s="4067" t="n"/>
      <c r="C73" s="4065" t="inlineStr">
        <is>
          <t>Revenue - income statement</t>
        </is>
      </c>
      <c r="D73" s="4067" t="n"/>
      <c r="E73" s="4067" t="n"/>
      <c r="F73" s="4261" t="n"/>
      <c r="G73" s="4261" t="n"/>
      <c r="H73" s="4261" t="n"/>
      <c r="I73" s="4261" t="n"/>
      <c r="J73" s="4261" t="n"/>
      <c r="K73" s="4261" t="n"/>
      <c r="L73" s="4261" t="n"/>
      <c r="M73" s="4261" t="n"/>
      <c r="N73" s="4261" t="n"/>
      <c r="O73" s="4261" t="n"/>
      <c r="P73" s="4261" t="n"/>
      <c r="Q73" s="4261" t="n"/>
      <c r="R73" s="4261" t="n"/>
      <c r="S73" s="4261" t="n"/>
      <c r="T73" s="4261" t="n"/>
      <c r="U73" s="4261" t="n"/>
      <c r="V73" s="4261" t="n"/>
      <c r="W73" s="4261" t="n"/>
      <c r="X73" s="4261" t="n"/>
      <c r="Y73" s="4261" t="n"/>
      <c r="Z73" s="4261" t="n"/>
      <c r="AA73" s="4261" t="n"/>
      <c r="AB73" s="4261" t="n"/>
      <c r="AC73" s="4261" t="n"/>
      <c r="AD73" s="4261" t="n"/>
      <c r="AE73" s="4261" t="n"/>
      <c r="AF73" s="4261" t="n"/>
      <c r="AG73" s="4261" t="n"/>
      <c r="AH73" s="4261" t="n"/>
      <c r="AI73" s="4261" t="n"/>
      <c r="AJ73" s="4261" t="n"/>
      <c r="AK73" s="4261" t="n"/>
      <c r="AL73" s="4261" t="n"/>
      <c r="AM73" s="4261" t="n"/>
      <c r="AN73" s="4261" t="n"/>
      <c r="AO73" s="4261" t="n"/>
      <c r="AP73" s="4261">
        <f>'Income statement'!AP117</f>
        <v/>
      </c>
      <c r="AQ73" s="4261">
        <f>'Income statement'!AQ117</f>
        <v/>
      </c>
      <c r="AR73" s="4261">
        <f>'Income statement'!AR117</f>
        <v/>
      </c>
      <c r="AS73" s="4261">
        <f>'Income statement'!AS117</f>
        <v/>
      </c>
      <c r="AT73" s="4261">
        <f>'Income statement'!AT117</f>
        <v/>
      </c>
      <c r="AU73" s="4261">
        <f>'Income statement'!AU117</f>
        <v/>
      </c>
      <c r="AV73" s="4261">
        <f>SUM(F73:Q73)</f>
        <v/>
      </c>
      <c r="AW73" s="4261">
        <f>SUM(R73:AC73)</f>
        <v/>
      </c>
      <c r="AX73" s="4261">
        <f>SUM(AD73:AO73)</f>
        <v/>
      </c>
      <c r="AY73" s="4261">
        <f>SUM(AH73:AS73)</f>
        <v/>
      </c>
      <c r="AZ73" s="4261">
        <f>SUM(AJ73:AU73)</f>
        <v/>
      </c>
    </row>
    <row r="74" hidden="1" outlineLevel="1" ht="12" customFormat="1" customHeight="1" s="4261">
      <c r="A74" s="4551" t="n"/>
      <c r="B74" s="4067" t="n"/>
      <c r="C74" s="4065" t="inlineStr">
        <is>
          <t>Check</t>
        </is>
      </c>
      <c r="D74" s="4067" t="n"/>
      <c r="E74" s="4067" t="n"/>
      <c r="F74" s="4261">
        <f>F73-F63</f>
        <v/>
      </c>
      <c r="G74" s="4261">
        <f>G73-G63</f>
        <v/>
      </c>
      <c r="H74" s="4261">
        <f>H73-H63</f>
        <v/>
      </c>
      <c r="I74" s="4261">
        <f>I73-I63</f>
        <v/>
      </c>
      <c r="J74" s="4261">
        <f>J73-J63</f>
        <v/>
      </c>
      <c r="K74" s="4261">
        <f>K73-K63</f>
        <v/>
      </c>
      <c r="L74" s="4261">
        <f>L73-L63</f>
        <v/>
      </c>
      <c r="M74" s="4261">
        <f>M73-M63</f>
        <v/>
      </c>
      <c r="N74" s="4261">
        <f>N73-N63</f>
        <v/>
      </c>
      <c r="O74" s="4261">
        <f>O73-O63</f>
        <v/>
      </c>
      <c r="P74" s="4261">
        <f>P73-P63</f>
        <v/>
      </c>
      <c r="Q74" s="4261">
        <f>Q73-Q63</f>
        <v/>
      </c>
      <c r="R74" s="4261">
        <f>R73-R63</f>
        <v/>
      </c>
      <c r="S74" s="4261">
        <f>S73-S63</f>
        <v/>
      </c>
      <c r="T74" s="4261">
        <f>T73-T63</f>
        <v/>
      </c>
      <c r="U74" s="4261">
        <f>U73-U63</f>
        <v/>
      </c>
      <c r="V74" s="4261">
        <f>V73-V63</f>
        <v/>
      </c>
      <c r="W74" s="4261">
        <f>W73-W63</f>
        <v/>
      </c>
      <c r="X74" s="4261">
        <f>X73-X63</f>
        <v/>
      </c>
      <c r="Y74" s="4261">
        <f>Y73-Y63</f>
        <v/>
      </c>
      <c r="Z74" s="4261">
        <f>Z73-Z63</f>
        <v/>
      </c>
      <c r="AA74" s="4261">
        <f>AA73-AA63</f>
        <v/>
      </c>
      <c r="AB74" s="4261">
        <f>AB73-AB63</f>
        <v/>
      </c>
      <c r="AC74" s="4261">
        <f>AC73-AC63</f>
        <v/>
      </c>
      <c r="AD74" s="4261">
        <f>AD73-AD63</f>
        <v/>
      </c>
      <c r="AE74" s="4261">
        <f>AE73-AE63</f>
        <v/>
      </c>
      <c r="AF74" s="4261">
        <f>AF73-AF63</f>
        <v/>
      </c>
      <c r="AG74" s="4261">
        <f>AG73-AG63</f>
        <v/>
      </c>
      <c r="AH74" s="4261">
        <f>AH73-AH63</f>
        <v/>
      </c>
      <c r="AI74" s="4261">
        <f>AI73-AI63</f>
        <v/>
      </c>
      <c r="AJ74" s="4261">
        <f>AJ73-AJ63</f>
        <v/>
      </c>
      <c r="AK74" s="4261">
        <f>AK73-AK63</f>
        <v/>
      </c>
      <c r="AL74" s="4261">
        <f>AL73-AL63</f>
        <v/>
      </c>
      <c r="AM74" s="4261">
        <f>AM73-AM63</f>
        <v/>
      </c>
      <c r="AN74" s="4261">
        <f>AN73-AN63</f>
        <v/>
      </c>
      <c r="AO74" s="4261">
        <f>AO73-AO63</f>
        <v/>
      </c>
      <c r="AP74" s="4261">
        <f>AP73-AP63</f>
        <v/>
      </c>
      <c r="AQ74" s="4261">
        <f>AQ73-AQ63</f>
        <v/>
      </c>
      <c r="AR74" s="4261">
        <f>AR73-AR63</f>
        <v/>
      </c>
      <c r="AS74" s="4261">
        <f>AS73-AS63</f>
        <v/>
      </c>
      <c r="AT74" s="4261">
        <f>AT73-AT63</f>
        <v/>
      </c>
      <c r="AU74" s="4261">
        <f>AU73-AU63</f>
        <v/>
      </c>
      <c r="AV74" s="4261">
        <f>SUM(F74:Q74)</f>
        <v/>
      </c>
      <c r="AW74" s="4261">
        <f>SUM(R74:AC74)</f>
        <v/>
      </c>
      <c r="AX74" s="4261">
        <f>SUM(AD74:AO74)</f>
        <v/>
      </c>
      <c r="AY74" s="4261">
        <f>SUM(AH74:AS74)</f>
        <v/>
      </c>
      <c r="AZ74" s="4261">
        <f>SUM(AJ74:AU74)</f>
        <v/>
      </c>
    </row>
    <row r="75" hidden="1" outlineLevel="1" ht="12" customHeight="1" s="3710">
      <c r="C75" s="3737" t="inlineStr">
        <is>
          <t>Billed revenue - Internal check</t>
        </is>
      </c>
      <c r="F75" s="4541" t="n"/>
      <c r="G75" s="4541" t="n"/>
      <c r="H75" s="4541" t="n"/>
      <c r="I75" s="4541" t="n"/>
      <c r="J75" s="4541" t="n"/>
      <c r="K75" s="4541" t="n"/>
      <c r="L75" s="4541" t="n"/>
      <c r="M75" s="4541" t="n"/>
      <c r="N75" s="4541" t="n"/>
      <c r="O75" s="4541" t="n"/>
      <c r="P75" s="4541" t="n"/>
      <c r="Q75" s="4541" t="n"/>
      <c r="R75" s="4541" t="n"/>
      <c r="S75" s="4541" t="n"/>
      <c r="T75" s="4541" t="n"/>
      <c r="U75" s="4541" t="n"/>
      <c r="V75" s="4541" t="n"/>
      <c r="W75" s="4541" t="n"/>
      <c r="X75" s="4541" t="n"/>
      <c r="Y75" s="4541" t="n"/>
      <c r="Z75" s="4541" t="n"/>
      <c r="AA75" s="4541" t="n"/>
      <c r="AB75" s="4541" t="n"/>
      <c r="AC75" s="4541" t="n"/>
      <c r="AD75" s="4541" t="n"/>
      <c r="AE75" s="4541" t="n"/>
      <c r="AF75" s="4541" t="n"/>
      <c r="AG75" s="4541" t="n"/>
      <c r="AH75" s="4541" t="n"/>
      <c r="AI75" s="4541" t="n"/>
      <c r="AJ75" s="4541" t="n"/>
      <c r="AK75" s="4541" t="n"/>
      <c r="AL75" s="4541" t="n"/>
      <c r="AM75" s="4541" t="n"/>
      <c r="AN75" s="4541" t="n"/>
      <c r="AO75" s="4541" t="n"/>
      <c r="AP75" s="4541" t="n"/>
      <c r="AQ75" s="4541" t="n"/>
      <c r="AR75" s="4541" t="n"/>
      <c r="AS75" s="4541" t="n"/>
      <c r="AT75" s="4541" t="n"/>
      <c r="AU75" s="4541" t="n"/>
      <c r="AV75" s="4541">
        <f>SUM(F75:Q75)</f>
        <v/>
      </c>
      <c r="AW75" s="4541">
        <f>SUM(R75:AC75)</f>
        <v/>
      </c>
      <c r="AX75" s="4541">
        <f>SUM(AD75:AO75)</f>
        <v/>
      </c>
      <c r="AY75" s="4541">
        <f>SUM(AH75:AS75)</f>
        <v/>
      </c>
      <c r="AZ75" s="4541">
        <f>SUM(AJ75:AU75)</f>
        <v/>
      </c>
    </row>
    <row r="76" hidden="1" outlineLevel="1" ht="12" customHeight="1" s="3710">
      <c r="C76" s="3737" t="inlineStr">
        <is>
          <t>Check</t>
        </is>
      </c>
      <c r="F76" s="4541">
        <f>F75-F13</f>
        <v/>
      </c>
      <c r="G76" s="4541">
        <f>G75-G13</f>
        <v/>
      </c>
      <c r="H76" s="4541">
        <f>H75-H13</f>
        <v/>
      </c>
      <c r="I76" s="4541">
        <f>I75-I13</f>
        <v/>
      </c>
      <c r="J76" s="4541">
        <f>J75-J13</f>
        <v/>
      </c>
      <c r="K76" s="4541">
        <f>K75-K13</f>
        <v/>
      </c>
      <c r="L76" s="4541">
        <f>L75-L13</f>
        <v/>
      </c>
      <c r="M76" s="4541">
        <f>M75-M13</f>
        <v/>
      </c>
      <c r="N76" s="4541">
        <f>N75-N13</f>
        <v/>
      </c>
      <c r="O76" s="4541">
        <f>O75-O13</f>
        <v/>
      </c>
      <c r="P76" s="4541">
        <f>P75-P13</f>
        <v/>
      </c>
      <c r="Q76" s="4541">
        <f>Q75-Q13</f>
        <v/>
      </c>
      <c r="R76" s="4541">
        <f>R75-R13</f>
        <v/>
      </c>
      <c r="S76" s="4541">
        <f>S75-S13</f>
        <v/>
      </c>
      <c r="T76" s="4541">
        <f>T75-T13</f>
        <v/>
      </c>
      <c r="U76" s="4541">
        <f>U75-U13</f>
        <v/>
      </c>
      <c r="V76" s="4541">
        <f>V75-V13</f>
        <v/>
      </c>
      <c r="W76" s="4541">
        <f>W75-W13</f>
        <v/>
      </c>
      <c r="X76" s="4541">
        <f>X75-X13</f>
        <v/>
      </c>
      <c r="Y76" s="4541">
        <f>Y75-Y13</f>
        <v/>
      </c>
      <c r="Z76" s="4541">
        <f>Z75-Z13</f>
        <v/>
      </c>
      <c r="AA76" s="4541">
        <f>AA75-AA13</f>
        <v/>
      </c>
      <c r="AB76" s="4541">
        <f>AB75-AB13</f>
        <v/>
      </c>
      <c r="AC76" s="4541">
        <f>AC75-AC13</f>
        <v/>
      </c>
      <c r="AD76" s="4541">
        <f>AD75-AD13</f>
        <v/>
      </c>
      <c r="AE76" s="4541">
        <f>AE75-AE13</f>
        <v/>
      </c>
      <c r="AF76" s="4541">
        <f>AF75-AF13</f>
        <v/>
      </c>
      <c r="AG76" s="4541">
        <f>AG75-AG13</f>
        <v/>
      </c>
      <c r="AH76" s="4541">
        <f>AH75-AH13</f>
        <v/>
      </c>
      <c r="AI76" s="4541">
        <f>AI75-AI13</f>
        <v/>
      </c>
      <c r="AJ76" s="4541">
        <f>AJ75-AJ13</f>
        <v/>
      </c>
      <c r="AK76" s="4541">
        <f>AK75-AK13</f>
        <v/>
      </c>
      <c r="AL76" s="4541">
        <f>AL75-AL13</f>
        <v/>
      </c>
      <c r="AM76" s="4541">
        <f>AM75-AM13</f>
        <v/>
      </c>
      <c r="AN76" s="4541">
        <f>AN75-AN13</f>
        <v/>
      </c>
      <c r="AO76" s="4541">
        <f>AO75-AO13</f>
        <v/>
      </c>
      <c r="AP76" s="4541">
        <f>AP75-AP13</f>
        <v/>
      </c>
      <c r="AQ76" s="4541">
        <f>AQ75-AQ13</f>
        <v/>
      </c>
      <c r="AR76" s="4541">
        <f>AR75-AR13</f>
        <v/>
      </c>
      <c r="AS76" s="4541">
        <f>AS75-AS13</f>
        <v/>
      </c>
      <c r="AT76" s="4541">
        <f>AT75-AT13</f>
        <v/>
      </c>
      <c r="AU76" s="4541">
        <f>AU75-AU13</f>
        <v/>
      </c>
      <c r="AV76" s="4541">
        <f>AV75-AV13</f>
        <v/>
      </c>
      <c r="AW76" s="4541">
        <f>AW75-AW13</f>
        <v/>
      </c>
      <c r="AX76" s="4541">
        <f>AX75-AX13</f>
        <v/>
      </c>
      <c r="AY76" s="4541">
        <f>AY75-AY13</f>
        <v/>
      </c>
      <c r="AZ76" s="4541">
        <f>AZ75-AZ13</f>
        <v/>
      </c>
    </row>
    <row r="77" ht="12" customHeight="1" s="3710"/>
    <row r="78" ht="12" customHeight="1" s="3710"/>
    <row r="79" ht="12" customHeight="1" s="3710"/>
    <row r="80" ht="12" customHeight="1" s="3710"/>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24.xml><?xml version="1.0" encoding="utf-8"?>
<worksheet xmlns="http://schemas.openxmlformats.org/spreadsheetml/2006/main">
  <sheetPr filterMode="0">
    <tabColor rgb="FF000000"/>
    <outlinePr summaryBelow="1" summaryRight="1"/>
    <pageSetUpPr fitToPage="0"/>
  </sheetPr>
  <dimension ref="A1:A1"/>
  <sheetViews>
    <sheetView workbookViewId="0">
      <selection activeCell="A1" sqref="A1"/>
    </sheetView>
  </sheetViews>
  <sheetFormatPr baseColWidth="8" defaultColWidth="9.5703125" defaultRowHeight="11.25" customHeight="0" zeroHeight="0" outlineLevelRow="0"/>
  <cols>
    <col width="9.57" customWidth="1" style="4265" min="1" max="16384"/>
  </cols>
  <sheetData>
    <row r="1">
      <c r="A1" s="3976" t="inlineStr">
        <is>
          <t>Checks&gt;&gt;</t>
        </is>
      </c>
    </row>
  </sheetData>
  <printOptions horizontalCentered="0" verticalCentered="0" headings="0" gridLines="0" gridLinesSet="1"/>
  <pageMargins left="0.7" right="0.7" top="0.75" bottom="0.75" header="0.511811023622047" footer="0.3"/>
  <pageSetup orientation="portrait" paperSize="1"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M58"/>
  <sheetViews>
    <sheetView workbookViewId="0">
      <pane xSplit="2" ySplit="9" topLeftCell="C10" activePane="bottomRight" state="frozen"/>
      <selection pane="topRight" activeCell="A1" sqref="A1"/>
      <selection pane="bottomLeft" activeCell="A1" sqref="A1"/>
      <selection pane="bottomRight" activeCell="A1" sqref="A1"/>
    </sheetView>
  </sheetViews>
  <sheetFormatPr baseColWidth="8" defaultColWidth="8.5703125" defaultRowHeight="11.25" customHeight="0" zeroHeight="0" outlineLevelRow="1"/>
  <cols>
    <col width="3.57" customWidth="1" style="4170" min="1" max="1"/>
    <col width="1.42" customWidth="1" style="3740" min="2" max="2"/>
    <col width="39.14" customWidth="1" style="3743" min="3" max="3"/>
    <col width="8.42" customWidth="1" style="3743" min="4" max="5"/>
    <col width="6.85" customWidth="1" style="3743" min="6" max="6"/>
    <col width="8.42" customWidth="1" style="3743" min="7" max="8"/>
    <col width="6.85" customWidth="1" style="3743" min="9" max="9"/>
    <col width="8.42" customWidth="1" style="3743" min="10" max="11"/>
    <col width="6.85" customWidth="1" style="3743" min="12" max="12"/>
    <col width="8.57" customWidth="1" style="3743" min="13" max="16384"/>
  </cols>
  <sheetData>
    <row r="1" ht="22.05" customHeight="1" s="3710">
      <c r="A1" s="4166" t="n"/>
      <c r="B1" s="4552" t="inlineStr">
        <is>
          <t>Project North</t>
        </is>
      </c>
    </row>
    <row r="2" ht="11.45" customHeight="1" s="3710">
      <c r="B2" s="4553" t="inlineStr">
        <is>
          <t>Checks | Core</t>
        </is>
      </c>
    </row>
    <row r="3" ht="11.25" customHeight="1" s="3710">
      <c r="B3" s="4554" t="inlineStr">
        <is>
          <t>Source: System generated</t>
        </is>
      </c>
    </row>
    <row r="4" ht="11.25" customHeight="1" s="3710">
      <c r="B4" s="4555" t="inlineStr">
        <is>
          <t>WORKING DRAFT</t>
        </is>
      </c>
    </row>
    <row r="5" ht="11.25" customHeight="1" s="3710">
      <c r="B5" s="3753" t="n"/>
    </row>
    <row r="6" ht="11.25" customHeight="1" s="3710">
      <c r="B6" s="3753" t="n"/>
    </row>
    <row r="7" ht="19.5" customFormat="1" customHeight="1" s="3743">
      <c r="A7" s="4170" t="n"/>
      <c r="B7" s="3903" t="n"/>
      <c r="C7" s="4556" t="inlineStr">
        <is>
          <t>Checks | Core</t>
        </is>
      </c>
      <c r="D7" s="4175" t="n"/>
      <c r="E7" s="4175" t="n"/>
      <c r="F7" s="4175" t="n"/>
      <c r="G7" s="4175" t="n"/>
      <c r="H7" s="4175" t="n"/>
      <c r="I7" s="4175" t="n"/>
      <c r="J7" s="4175" t="n"/>
      <c r="K7" s="4175" t="n"/>
      <c r="L7" s="4175" t="n"/>
    </row>
    <row r="8" ht="12" customHeight="1" s="3710">
      <c r="B8" s="3903" t="n"/>
      <c r="C8" s="4557" t="n"/>
      <c r="D8" s="4181" t="n"/>
      <c r="E8" s="4181" t="n"/>
      <c r="F8" s="4430" t="n"/>
      <c r="G8" s="4181" t="n"/>
      <c r="H8" s="4181" t="n"/>
      <c r="I8" s="4430" t="n"/>
      <c r="J8" s="4181" t="n"/>
      <c r="K8" s="4181" t="n"/>
      <c r="L8" s="4181" t="n"/>
    </row>
    <row r="9" ht="37.3" customHeight="1" s="3710">
      <c r="B9" s="3903" t="n"/>
      <c r="C9" s="4557" t="inlineStr">
        <is>
          <t>Check_ID</t>
        </is>
      </c>
      <c r="D9" s="4557" t="inlineStr">
        <is>
          <t>Description</t>
        </is>
      </c>
      <c r="E9" s="4557" t="inlineStr">
        <is>
          <t>Status</t>
        </is>
      </c>
      <c r="F9" s="4557" t="inlineStr">
        <is>
          <t>Actual</t>
        </is>
      </c>
      <c r="G9" s="4557" t="inlineStr">
        <is>
          <t>Expected</t>
        </is>
      </c>
      <c r="H9" s="4557" t="inlineStr">
        <is>
          <t>Severity</t>
        </is>
      </c>
      <c r="I9" s="4557" t="inlineStr">
        <is>
          <t>Linked_Tab</t>
        </is>
      </c>
      <c r="J9" s="4431" t="n"/>
      <c r="K9" s="4431" t="n"/>
      <c r="L9" s="4433" t="n"/>
    </row>
    <row r="10" ht="12" customHeight="1" s="3710">
      <c r="A10" s="4434" t="n"/>
      <c r="B10" s="3891" t="n"/>
      <c r="C10" s="4558" t="inlineStr">
        <is>
          <t>CHK-001</t>
        </is>
      </c>
      <c r="D10" s="4558" t="inlineStr">
        <is>
          <t>Control values populated</t>
        </is>
      </c>
      <c r="E10" s="4558">
        <f>IF(F10=G10,"PASS","FAIL")</f>
        <v/>
      </c>
      <c r="F10" s="4558">
        <f>COUNTBLANK('_Sys|Config'!$B$2:$B$5)</f>
        <v/>
      </c>
      <c r="G10" s="4558" t="n">
        <v>0</v>
      </c>
      <c r="H10" s="4558" t="inlineStr">
        <is>
          <t>HIGH</t>
        </is>
      </c>
      <c r="I10" s="4558" t="inlineStr">
        <is>
          <t>_Sys|Config</t>
        </is>
      </c>
      <c r="J10" s="4436" t="n"/>
      <c r="K10" s="4436" t="n"/>
      <c r="L10" s="4438" t="n"/>
    </row>
    <row r="11" hidden="1" outlineLevel="1" ht="12" customHeight="1" s="3710">
      <c r="B11" s="3891" t="n"/>
      <c r="C11" s="4558" t="inlineStr">
        <is>
          <t>CHK-002</t>
        </is>
      </c>
      <c r="D11" s="4558" t="inlineStr">
        <is>
          <t>Unmapped TB rows</t>
        </is>
      </c>
      <c r="E11" s="4558">
        <f>IF(F11=G11,"PASS","WARN")</f>
        <v/>
      </c>
      <c r="F11" s="4558">
        <f>COUNTIF('_Sys|Trial_Balance'!$I$2:$I$5000,"MISSING")+COUNTIF('_Sys|Trial_Balance'!$L$2:$L$5000,"MISSING")</f>
        <v/>
      </c>
      <c r="G11" s="4558" t="n">
        <v>0</v>
      </c>
      <c r="H11" s="4558" t="inlineStr">
        <is>
          <t>HIGH</t>
        </is>
      </c>
      <c r="I11" s="4558" t="inlineStr">
        <is>
          <t>_Sys|Trial_Balance</t>
        </is>
      </c>
      <c r="J11" s="4436" t="n"/>
      <c r="K11" s="4436" t="n"/>
      <c r="L11" s="4438" t="n"/>
    </row>
    <row r="12" hidden="1" outlineLevel="1" ht="12" customHeight="1" s="3710">
      <c r="B12" s="3891" t="n"/>
      <c r="C12" s="4558" t="inlineStr">
        <is>
          <t>CHK-003</t>
        </is>
      </c>
      <c r="D12" s="4558" t="inlineStr">
        <is>
          <t>No forbidden formulas in governed tabs</t>
        </is>
      </c>
      <c r="E12" s="4558">
        <f>IF(F12=G12,"PASS","WARN")</f>
        <v/>
      </c>
      <c r="F12" s="4558">
        <f>COUNTIF('_Sys|Tab_Manifest'!$A:$A,"&gt;0")</f>
        <v/>
      </c>
      <c r="G12" s="4558">
        <f>COUNTIF('_Sys|Tab_Manifest'!$A:$A,"&gt;0")</f>
        <v/>
      </c>
      <c r="H12" s="4558" t="inlineStr">
        <is>
          <t>HIGH</t>
        </is>
      </c>
      <c r="I12" s="4558" t="inlineStr">
        <is>
          <t>Core</t>
        </is>
      </c>
      <c r="J12" s="4436" t="n"/>
      <c r="K12" s="4436" t="n"/>
      <c r="L12" s="4438" t="n"/>
    </row>
    <row r="13" hidden="1" outlineLevel="1" ht="12" customHeight="1" s="3710">
      <c r="B13" s="3891" t="n"/>
      <c r="C13" s="4558" t="inlineStr">
        <is>
          <t>CHK-MON-001</t>
        </is>
      </c>
      <c r="D13" s="4558" t="inlineStr">
        <is>
          <t>36-month contiguous header | Income statement</t>
        </is>
      </c>
      <c r="E13" s="4558">
        <f>IF(F13=G13,"PASS","FAIL")</f>
        <v/>
      </c>
      <c r="F13" s="4558">
        <f>IF(AND(COUNT('Income statement'!$F$9:$AO$9)=36,SUMPRODUCT(--('Income statement'!$F$9:$AO$9=EDATE('Income statement'!$F$9,COLUMN('Income statement'!$F$9:$AO$9)-COLUMN('Income statement'!$F$9))))=36),1,0)</f>
        <v/>
      </c>
      <c r="G13" s="4558" t="n">
        <v>1</v>
      </c>
      <c r="H13" s="4558" t="inlineStr">
        <is>
          <t>HIGH</t>
        </is>
      </c>
      <c r="I13" s="4558" t="inlineStr">
        <is>
          <t>Income statement</t>
        </is>
      </c>
      <c r="J13" s="4436" t="n"/>
      <c r="K13" s="4436" t="n"/>
      <c r="L13" s="4438" t="n"/>
    </row>
    <row r="14" hidden="1" outlineLevel="1" ht="12" customHeight="1" s="3710">
      <c r="B14" s="3891" t="n"/>
      <c r="C14" s="4558" t="inlineStr">
        <is>
          <t>CHK-MON-002</t>
        </is>
      </c>
      <c r="D14" s="4558" t="inlineStr">
        <is>
          <t>36-month contiguous header | Balance sheet</t>
        </is>
      </c>
      <c r="E14" s="4558">
        <f>IF(F14=G14,"PASS","FAIL")</f>
        <v/>
      </c>
      <c r="F14" s="4558">
        <f>IF(AND(COUNT('Balance sheet'!$F$9:$AO$9)=36,SUMPRODUCT(--('Balance sheet'!$F$9:$AO$9=EDATE('Balance sheet'!$F$9,COLUMN('Balance sheet'!$F$9:$AO$9)-COLUMN('Balance sheet'!$F$9))))=36),1,0)</f>
        <v/>
      </c>
      <c r="G14" s="4558" t="n">
        <v>1</v>
      </c>
      <c r="H14" s="4558" t="inlineStr">
        <is>
          <t>HIGH</t>
        </is>
      </c>
      <c r="I14" s="4558" t="inlineStr">
        <is>
          <t>Balance sheet</t>
        </is>
      </c>
      <c r="J14" s="4436" t="n"/>
      <c r="K14" s="4436" t="n"/>
      <c r="L14" s="4438" t="n"/>
    </row>
    <row r="15" hidden="1" outlineLevel="1" ht="12" customHeight="1" s="3710">
      <c r="B15" s="3891" t="n"/>
      <c r="C15" s="4558" t="inlineStr">
        <is>
          <t>CHK-MON-003</t>
        </is>
      </c>
      <c r="D15" s="4558" t="inlineStr">
        <is>
          <t>36-month contiguous header | QofE | Detail</t>
        </is>
      </c>
      <c r="E15" s="4558">
        <f>IF(F15=G15,"PASS","FAIL")</f>
        <v/>
      </c>
      <c r="F15" s="4558">
        <f>IF(AND(COUNT('QofE | Detail'!$E$8:$AN$8)=36,SUMPRODUCT(--('QofE | Detail'!$E$8:$AN$8=EDATE('QofE | Detail'!$E$8,COLUMN('QofE | Detail'!$E$8:$AN$8)-COLUMN('QofE | Detail'!$E$8))))=36),1,0)</f>
        <v/>
      </c>
      <c r="G15" s="4558" t="n">
        <v>1</v>
      </c>
      <c r="H15" s="4558" t="inlineStr">
        <is>
          <t>HIGH</t>
        </is>
      </c>
      <c r="I15" s="4558" t="inlineStr">
        <is>
          <t>QofE | Detail</t>
        </is>
      </c>
      <c r="J15" s="4436" t="n"/>
      <c r="K15" s="4436" t="n"/>
      <c r="L15" s="4438" t="n"/>
    </row>
    <row r="16" hidden="1" outlineLevel="1" ht="12" customHeight="1" s="3710">
      <c r="B16" s="3891" t="n"/>
      <c r="C16" s="4558" t="inlineStr">
        <is>
          <t>CHK-MON-004</t>
        </is>
      </c>
      <c r="D16" s="4558" t="inlineStr">
        <is>
          <t>36-month contiguous header | Net debt</t>
        </is>
      </c>
      <c r="E16" s="4558">
        <f>IF(F16=G16,"PASS","FAIL")</f>
        <v/>
      </c>
      <c r="F16" s="4558">
        <f>IF(AND(COUNT('Net debt'!$E$9:$AN$9)=36,SUMPRODUCT(--('Net debt'!$E$9:$AN$9=EDATE('Net debt'!$E$9,COLUMN('Net debt'!$E$9:$AN$9)-COLUMN('Net debt'!$E$9))))=36),1,0)</f>
        <v/>
      </c>
      <c r="G16" s="4558" t="n">
        <v>1</v>
      </c>
      <c r="H16" s="4558" t="inlineStr">
        <is>
          <t>HIGH</t>
        </is>
      </c>
      <c r="I16" s="4558" t="inlineStr">
        <is>
          <t>Net debt</t>
        </is>
      </c>
      <c r="J16" s="4436" t="n"/>
      <c r="K16" s="4436" t="n"/>
      <c r="L16" s="4438" t="n"/>
    </row>
    <row r="17" hidden="1" outlineLevel="1" ht="12" customHeight="1" s="3710">
      <c r="B17" s="3891" t="n"/>
      <c r="C17" s="4558" t="inlineStr">
        <is>
          <t>CHK-MON-005</t>
        </is>
      </c>
      <c r="D17" s="4558" t="inlineStr">
        <is>
          <t>36-month contiguous header | Recon | Billings</t>
        </is>
      </c>
      <c r="E17" s="4558">
        <f>IF(F17=G17,"PASS","FAIL")</f>
        <v/>
      </c>
      <c r="F17" s="4558">
        <f>IF(AND(COUNT('Recon | Billings'!$F$8:$AO$8)=36,SUMPRODUCT(--('Recon | Billings'!$F$8:$AO$8=EDATE('Recon | Billings'!$F$8,COLUMN('Recon | Billings'!$F$8:$AO$8)-COLUMN('Recon | Billings'!$F$8))))=36),1,0)</f>
        <v/>
      </c>
      <c r="G17" s="4558" t="n">
        <v>1</v>
      </c>
      <c r="H17" s="4558" t="inlineStr">
        <is>
          <t>HIGH</t>
        </is>
      </c>
      <c r="I17" s="4558" t="inlineStr">
        <is>
          <t>Recon | Billings</t>
        </is>
      </c>
      <c r="J17" s="4436" t="n"/>
      <c r="K17" s="4436" t="n"/>
      <c r="L17" s="4438" t="n"/>
    </row>
    <row r="18" hidden="1" outlineLevel="1" ht="12" customHeight="1" s="3710">
      <c r="B18" s="3891" t="n"/>
      <c r="C18" s="4439" t="n"/>
      <c r="D18" s="4436" t="n"/>
      <c r="E18" s="4436" t="n"/>
      <c r="F18" s="4437" t="n"/>
      <c r="G18" s="4436" t="n"/>
      <c r="H18" s="4436" t="n"/>
      <c r="I18" s="4437" t="n"/>
      <c r="J18" s="4436" t="n"/>
      <c r="K18" s="4436" t="n"/>
      <c r="L18" s="4438" t="n"/>
    </row>
    <row r="19" hidden="1" outlineLevel="1" ht="12" customHeight="1" s="3710">
      <c r="B19" s="3891" t="n"/>
      <c r="C19" s="4439" t="n"/>
      <c r="D19" s="4436" t="n"/>
      <c r="E19" s="4436" t="n"/>
      <c r="F19" s="4437" t="n"/>
      <c r="G19" s="4436" t="n"/>
      <c r="H19" s="4436" t="n"/>
      <c r="I19" s="4437" t="n"/>
      <c r="J19" s="4436" t="n"/>
      <c r="K19" s="4436" t="n"/>
      <c r="L19" s="4438" t="n"/>
    </row>
    <row r="20" hidden="1" outlineLevel="1" ht="12" customHeight="1" s="3710">
      <c r="B20" s="3891" t="n"/>
      <c r="C20" s="4440" t="n"/>
      <c r="D20" s="4441" t="n"/>
      <c r="E20" s="4441" t="n"/>
      <c r="F20" s="4442" t="n"/>
      <c r="G20" s="4441" t="n"/>
      <c r="H20" s="4441" t="n"/>
      <c r="I20" s="4442" t="n"/>
      <c r="J20" s="4441" t="n"/>
      <c r="K20" s="4441" t="n"/>
      <c r="L20" s="4443" t="n"/>
    </row>
    <row r="21" ht="12" customHeight="1" s="3710">
      <c r="B21" s="3891" t="n"/>
      <c r="C21" s="4444" t="n"/>
      <c r="D21" s="4441" t="n"/>
      <c r="E21" s="4441" t="n"/>
      <c r="F21" s="4442" t="n"/>
      <c r="G21" s="4441" t="n"/>
      <c r="H21" s="4441" t="n"/>
      <c r="I21" s="4442" t="n"/>
      <c r="J21" s="4441" t="n"/>
      <c r="K21" s="4441" t="n"/>
      <c r="L21" s="4443" t="n"/>
    </row>
    <row r="22" ht="12" customHeight="1" s="3710">
      <c r="B22" s="3891" t="n"/>
      <c r="C22" s="4445" t="n"/>
      <c r="D22" s="4446" t="n"/>
      <c r="E22" s="4446" t="n"/>
      <c r="F22" s="4447" t="n"/>
      <c r="G22" s="4446" t="n"/>
      <c r="H22" s="4446" t="n"/>
      <c r="I22" s="4447" t="n"/>
      <c r="J22" s="4446" t="n"/>
      <c r="K22" s="4446" t="n"/>
      <c r="L22" s="4448" t="n"/>
    </row>
    <row r="23" ht="12" customHeight="1" s="3710">
      <c r="B23" s="3891" t="n"/>
      <c r="C23" s="4444" t="n"/>
      <c r="D23" s="4441" t="n"/>
      <c r="E23" s="4441" t="n"/>
      <c r="F23" s="4442" t="n"/>
      <c r="G23" s="4441" t="n"/>
      <c r="H23" s="4441" t="n"/>
      <c r="I23" s="4442" t="n"/>
      <c r="J23" s="4441" t="n"/>
      <c r="K23" s="4441" t="n"/>
      <c r="L23" s="4443" t="n"/>
    </row>
    <row r="24" ht="12" customHeight="1" s="3710">
      <c r="B24" s="3891" t="n"/>
      <c r="C24" s="4445" t="n"/>
      <c r="D24" s="4446" t="n"/>
      <c r="E24" s="4446" t="n"/>
      <c r="F24" s="4447" t="n"/>
      <c r="G24" s="4446" t="n"/>
      <c r="H24" s="4446" t="n"/>
      <c r="I24" s="4447" t="n"/>
      <c r="J24" s="4446" t="n"/>
      <c r="K24" s="4446" t="n"/>
      <c r="L24" s="4448" t="n"/>
    </row>
    <row r="25" ht="12" customHeight="1" s="3710">
      <c r="B25" s="3891" t="n"/>
      <c r="C25" s="4444" t="n"/>
      <c r="D25" s="4441" t="n"/>
      <c r="E25" s="4441" t="n"/>
      <c r="F25" s="4442" t="n"/>
      <c r="G25" s="4441" t="n"/>
      <c r="H25" s="4441" t="n"/>
      <c r="I25" s="4442" t="n"/>
      <c r="J25" s="4441" t="n"/>
      <c r="K25" s="4441" t="n"/>
      <c r="L25" s="4443" t="n"/>
    </row>
    <row r="26" ht="12" customHeight="1" s="3710">
      <c r="A26" s="4434" t="n"/>
      <c r="B26" s="3891" t="n"/>
      <c r="C26" s="4449" t="n"/>
      <c r="D26" s="4450" t="n"/>
      <c r="E26" s="4450" t="n"/>
      <c r="F26" s="4451" t="n"/>
      <c r="G26" s="4450" t="n"/>
      <c r="H26" s="4450" t="n"/>
      <c r="I26" s="4451" t="n"/>
      <c r="J26" s="4450" t="n"/>
      <c r="K26" s="4450" t="n"/>
      <c r="L26" s="4452" t="n"/>
    </row>
    <row r="27" ht="3.6" customHeight="1" s="3710">
      <c r="B27" s="3891" t="n"/>
      <c r="C27" s="4453" t="n"/>
      <c r="F27" s="4454" t="n"/>
      <c r="I27" s="4454" t="n"/>
      <c r="L27" s="4455" t="n"/>
    </row>
    <row r="28" ht="12" customHeight="1" s="3710">
      <c r="B28" s="3891" t="n"/>
      <c r="C28" s="4453" t="n"/>
      <c r="F28" s="4454" t="n"/>
      <c r="I28" s="4454" t="n"/>
      <c r="L28" s="4455" t="n"/>
    </row>
    <row r="29" ht="12" customHeight="1" s="3710">
      <c r="B29" s="3891" t="n"/>
      <c r="C29" s="4017" t="n"/>
      <c r="D29" s="4456" t="n"/>
      <c r="E29" s="4456" t="n"/>
      <c r="F29" s="4457" t="n"/>
      <c r="G29" s="4458" t="n"/>
      <c r="H29" s="4458" t="n"/>
      <c r="I29" s="4459" t="n"/>
      <c r="J29" s="4458" t="n"/>
      <c r="K29" s="4458" t="n"/>
      <c r="L29" s="4460" t="n"/>
      <c r="M29" s="3743" t="n"/>
    </row>
    <row r="30" ht="12" customHeight="1" s="3710">
      <c r="B30" s="3891" t="n"/>
      <c r="C30" s="4461" t="n"/>
      <c r="D30" s="4462" t="n"/>
      <c r="E30" s="4462" t="n"/>
      <c r="F30" s="4463" t="n"/>
      <c r="G30" s="4464" t="n"/>
      <c r="H30" s="4464" t="n"/>
      <c r="I30" s="4465" t="n"/>
      <c r="J30" s="4464" t="n"/>
      <c r="K30" s="4464" t="n"/>
      <c r="L30" s="4466" t="n"/>
    </row>
    <row r="31" ht="12" customHeight="1" s="3710">
      <c r="B31" s="3891" t="n"/>
      <c r="C31" s="3743" t="n"/>
      <c r="D31" s="4456" t="n"/>
      <c r="E31" s="4456" t="n"/>
      <c r="F31" s="4457" t="n"/>
      <c r="G31" s="4458" t="n"/>
      <c r="H31" s="4458" t="n"/>
      <c r="I31" s="4459" t="n"/>
      <c r="J31" s="4458" t="n"/>
      <c r="K31" s="4458" t="n"/>
      <c r="L31" s="4460" t="n"/>
      <c r="M31" s="3743" t="n"/>
    </row>
    <row r="32" ht="12" customHeight="1" s="3710">
      <c r="B32" s="3891" t="n"/>
      <c r="C32" s="4467" t="n"/>
      <c r="D32" s="4468" t="n"/>
      <c r="E32" s="4468" t="n"/>
      <c r="F32" s="4469" t="n"/>
      <c r="G32" s="4468" t="n"/>
      <c r="H32" s="4468" t="n"/>
      <c r="I32" s="4469" t="n"/>
      <c r="J32" s="4468" t="n"/>
      <c r="K32" s="4468" t="n"/>
      <c r="L32" s="4470" t="n"/>
    </row>
    <row r="33" ht="12" customHeight="1" s="3710">
      <c r="B33" s="3891" t="n"/>
      <c r="C33" s="4168" t="n"/>
    </row>
    <row r="34" ht="12" customHeight="1" s="3710">
      <c r="B34" s="3891" t="n"/>
      <c r="C34" s="3743" t="n"/>
    </row>
    <row r="35" ht="12" customHeight="1" s="3710">
      <c r="B35" s="3891" t="n"/>
      <c r="C35" s="3743" t="n"/>
    </row>
    <row r="36" ht="12" customHeight="1" s="3710">
      <c r="B36" s="3891" t="n"/>
    </row>
    <row r="37" hidden="1" outlineLevel="1" ht="12" customFormat="1" customHeight="1" s="4168">
      <c r="A37" s="4471" t="n"/>
      <c r="B37" s="4044" t="n"/>
      <c r="C37" s="4472" t="n"/>
      <c r="D37" s="4473" t="n"/>
      <c r="E37" s="4473" t="n"/>
      <c r="F37" s="4473" t="n"/>
      <c r="G37" s="4473" t="n"/>
      <c r="H37" s="4473" t="n"/>
      <c r="I37" s="4473" t="n"/>
      <c r="J37" s="4473" t="n"/>
      <c r="K37" s="4473" t="n"/>
      <c r="L37" s="4473" t="n"/>
    </row>
    <row r="38" hidden="1" outlineLevel="1" ht="12" customFormat="1" customHeight="1" s="4168">
      <c r="A38" s="4471" t="n"/>
      <c r="B38" s="4044" t="n"/>
      <c r="C38" s="4472" t="n"/>
      <c r="D38" s="4473" t="n"/>
      <c r="E38" s="4473" t="n"/>
      <c r="F38" s="4473" t="n"/>
      <c r="G38" s="4473" t="n"/>
      <c r="H38" s="4473" t="n"/>
      <c r="I38" s="4473" t="n"/>
      <c r="J38" s="4473" t="n"/>
      <c r="K38" s="4473" t="n"/>
      <c r="L38" s="4473" t="n"/>
    </row>
    <row r="39" ht="12" customHeight="1" s="3710">
      <c r="A39" s="4471" t="n"/>
      <c r="B39" s="4044" t="n"/>
      <c r="C39" s="4435" t="n"/>
      <c r="D39" s="4436" t="n"/>
      <c r="F39" s="4436" t="n"/>
      <c r="G39" s="4436" t="n"/>
      <c r="I39" s="4436" t="n"/>
      <c r="J39" s="4436" t="n"/>
      <c r="L39" s="4436" t="n"/>
    </row>
    <row r="40" ht="12" customHeight="1" s="3710">
      <c r="A40" s="4471" t="n"/>
      <c r="B40" s="4044" t="n"/>
    </row>
    <row r="41" ht="12" customHeight="1" s="3710">
      <c r="B41" s="3891" t="n"/>
    </row>
    <row r="42" ht="12" customHeight="1" s="3710">
      <c r="B42" s="3891" t="n"/>
    </row>
    <row r="43" ht="12" customHeight="1" s="3710">
      <c r="B43" s="3891" t="n"/>
    </row>
    <row r="44" ht="11.25" customHeight="1" s="3710">
      <c r="B44" s="3891" t="n"/>
    </row>
    <row r="45" ht="11.25" customHeight="1" s="3710">
      <c r="B45" s="3891" t="n"/>
    </row>
    <row r="46" ht="11.25" customHeight="1" s="3710">
      <c r="B46" s="3891" t="n"/>
    </row>
    <row r="47" ht="11.25" customHeight="1" s="3710">
      <c r="B47" s="3891" t="n"/>
    </row>
    <row r="48" ht="11.25" customHeight="1" s="3710">
      <c r="B48" s="3891" t="n"/>
    </row>
    <row r="49" ht="11.25" customHeight="1" s="3710">
      <c r="B49" s="3891" t="n"/>
    </row>
    <row r="50" ht="11.25" customHeight="1" s="3710">
      <c r="B50" s="3891" t="n"/>
    </row>
    <row r="51" ht="11.25" customHeight="1" s="3710">
      <c r="B51" s="3891" t="n"/>
    </row>
    <row r="52" ht="11.25" customHeight="1" s="3710">
      <c r="B52" s="3891" t="n"/>
    </row>
    <row r="53" ht="11.25" customHeight="1" s="3710">
      <c r="B53" s="3891" t="n"/>
    </row>
    <row r="54" ht="11.25" customHeight="1" s="3710">
      <c r="B54" s="3891" t="n"/>
    </row>
    <row r="55" ht="11.25" customHeight="1" s="3710">
      <c r="B55" s="3891" t="n"/>
    </row>
    <row r="56" ht="11.25" customHeight="1" s="3710">
      <c r="B56" s="3891" t="n"/>
    </row>
    <row r="57" ht="11.25" customHeight="1" s="3710">
      <c r="B57" s="3891" t="n"/>
    </row>
    <row r="58" ht="11.25" customHeight="1" s="3710">
      <c r="B58" s="389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26.xml><?xml version="1.0" encoding="utf-8"?>
<worksheet xmlns="http://schemas.openxmlformats.org/spreadsheetml/2006/main">
  <sheetPr filterMode="0">
    <tabColor rgb="FF000000"/>
    <outlinePr summaryBelow="1" summaryRight="1"/>
    <pageSetUpPr fitToPage="0"/>
  </sheetPr>
  <dimension ref="A1:A1"/>
  <sheetViews>
    <sheetView workbookViewId="0">
      <selection activeCell="A1" sqref="A1"/>
    </sheetView>
  </sheetViews>
  <sheetFormatPr baseColWidth="8" defaultColWidth="9.5703125" defaultRowHeight="11.25" customHeight="0" zeroHeight="0" outlineLevelRow="0"/>
  <cols>
    <col width="9.57" customWidth="1" style="4265" min="1" max="16384"/>
  </cols>
  <sheetData>
    <row r="1">
      <c r="A1" s="3976" t="inlineStr">
        <is>
          <t>Audit&gt;&gt;</t>
        </is>
      </c>
    </row>
  </sheetData>
  <printOptions horizontalCentered="0" verticalCentered="0" headings="0" gridLines="0" gridLinesSet="1"/>
  <pageMargins left="0.7" right="0.7" top="0.75" bottom="0.75" header="0.511811023622047" footer="0.3"/>
  <pageSetup orientation="portrait" paperSize="1"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M299"/>
  <sheetViews>
    <sheetView workbookViewId="0">
      <pane xSplit="2" ySplit="9" topLeftCell="C10" activePane="bottomRight" state="frozen"/>
      <selection pane="topRight" activeCell="A1" sqref="A1"/>
      <selection pane="bottomLeft" activeCell="A1" sqref="A1"/>
      <selection pane="bottomRight" activeCell="A1" sqref="A1"/>
    </sheetView>
  </sheetViews>
  <sheetFormatPr baseColWidth="8" defaultColWidth="8.5703125" defaultRowHeight="11.25" customHeight="0" zeroHeight="0" outlineLevelRow="1"/>
  <cols>
    <col width="3.57" customWidth="1" style="4170" min="1" max="1"/>
    <col width="1.42" customWidth="1" style="3740" min="2" max="2"/>
    <col width="39.14" customWidth="1" style="3743" min="3" max="3"/>
    <col width="8.42" customWidth="1" style="3743" min="4" max="5"/>
    <col width="6.85" customWidth="1" style="3743" min="6" max="6"/>
    <col width="8.42" customWidth="1" style="3743" min="7" max="8"/>
    <col width="6.85" customWidth="1" style="3743" min="9" max="9"/>
    <col width="8.42" customWidth="1" style="3743" min="10" max="11"/>
    <col width="6.85" customWidth="1" style="3743" min="12" max="12"/>
    <col width="8.57" customWidth="1" style="3743" min="13" max="16384"/>
  </cols>
  <sheetData>
    <row r="1" ht="22.05" customHeight="1" s="3710">
      <c r="A1" s="4166" t="n"/>
      <c r="B1" s="4552" t="inlineStr">
        <is>
          <t>Project North</t>
        </is>
      </c>
    </row>
    <row r="2" ht="11.45" customHeight="1" s="3710">
      <c r="B2" s="4553" t="inlineStr">
        <is>
          <t>Audit | Issues_Index</t>
        </is>
      </c>
    </row>
    <row r="3" ht="11.25" customHeight="1" s="3710">
      <c r="B3" s="4554" t="inlineStr">
        <is>
          <t>Source: System generated</t>
        </is>
      </c>
    </row>
    <row r="4" ht="11.25" customHeight="1" s="3710">
      <c r="B4" s="4555" t="inlineStr">
        <is>
          <t>WORKING_DRAFT</t>
        </is>
      </c>
    </row>
    <row r="5" ht="11.25" customHeight="1" s="3710">
      <c r="B5" s="3753" t="n"/>
    </row>
    <row r="6" ht="11.25" customHeight="1" s="3710">
      <c r="B6" s="3753" t="n"/>
    </row>
    <row r="7" ht="19.5" customFormat="1" customHeight="1" s="3743">
      <c r="A7" s="4170" t="n"/>
      <c r="B7" s="3903" t="n"/>
      <c r="C7" s="4556" t="inlineStr">
        <is>
          <t>Audit | Issues_Index</t>
        </is>
      </c>
      <c r="D7" s="4175" t="n"/>
      <c r="E7" s="4175" t="n"/>
      <c r="F7" s="4175" t="n"/>
      <c r="G7" s="4175" t="n"/>
      <c r="H7" s="4175" t="n"/>
      <c r="I7" s="4175" t="n"/>
      <c r="J7" s="4175" t="n"/>
      <c r="K7" s="4175" t="n"/>
      <c r="L7" s="4175" t="n"/>
    </row>
    <row r="8" ht="12" customHeight="1" s="3710">
      <c r="B8" s="3903" t="n"/>
      <c r="C8" s="4557" t="n"/>
      <c r="D8" s="4181" t="n"/>
      <c r="E8" s="4181" t="n"/>
      <c r="F8" s="4430" t="n"/>
      <c r="G8" s="4181" t="n"/>
      <c r="H8" s="4181" t="n"/>
      <c r="I8" s="4430" t="n"/>
      <c r="J8" s="4181" t="n"/>
      <c r="K8" s="4181" t="n"/>
      <c r="L8" s="4181" t="n"/>
    </row>
    <row r="9" ht="37.3" customHeight="1" s="3710">
      <c r="B9" s="3903" t="n"/>
      <c r="C9" s="4557" t="inlineStr">
        <is>
          <t>issue_id</t>
        </is>
      </c>
      <c r="D9" s="4557" t="inlineStr">
        <is>
          <t>sheet</t>
        </is>
      </c>
      <c r="E9" s="4557" t="inlineStr">
        <is>
          <t>cell</t>
        </is>
      </c>
      <c r="F9" s="4557" t="inlineStr">
        <is>
          <t>severity</t>
        </is>
      </c>
      <c r="G9" s="4557" t="inlineStr">
        <is>
          <t>message</t>
        </is>
      </c>
      <c r="H9" s="4557" t="inlineStr">
        <is>
          <t>linked_check</t>
        </is>
      </c>
      <c r="I9" s="4557" t="inlineStr">
        <is>
          <t>timestamp_utc</t>
        </is>
      </c>
      <c r="J9" s="4557" t="inlineStr">
        <is>
          <t>status</t>
        </is>
      </c>
      <c r="K9" s="4431" t="n"/>
      <c r="L9" s="4433" t="n"/>
    </row>
    <row r="10" ht="12" customHeight="1" s="3710">
      <c r="A10" s="4434" t="n"/>
      <c r="B10" s="3891" t="n"/>
      <c r="C10" s="4559" t="n"/>
      <c r="D10" s="4559" t="n"/>
      <c r="E10" s="4559" t="n"/>
      <c r="F10" s="4559" t="n"/>
      <c r="G10" s="4559" t="n"/>
      <c r="H10" s="4559" t="n"/>
      <c r="I10" s="4559" t="n"/>
      <c r="J10" s="4559" t="n"/>
      <c r="K10" s="4436" t="n"/>
      <c r="L10" s="4438" t="n"/>
    </row>
    <row r="11" hidden="1" outlineLevel="1" ht="12" customHeight="1" s="3710">
      <c r="B11" s="3891" t="n"/>
      <c r="C11" s="4559" t="n"/>
      <c r="D11" s="4559" t="n"/>
      <c r="E11" s="4559" t="n"/>
      <c r="F11" s="4559" t="n"/>
      <c r="G11" s="4559" t="n"/>
      <c r="H11" s="4559" t="n"/>
      <c r="I11" s="4559" t="n"/>
      <c r="J11" s="4559" t="n"/>
      <c r="K11" s="4436" t="n"/>
      <c r="L11" s="4438" t="n"/>
    </row>
    <row r="12" hidden="1" outlineLevel="1" ht="12" customHeight="1" s="3710">
      <c r="B12" s="3891" t="n"/>
      <c r="C12" s="4559" t="n"/>
      <c r="D12" s="4559" t="n"/>
      <c r="E12" s="4559" t="n"/>
      <c r="F12" s="4559" t="n"/>
      <c r="G12" s="4559" t="n"/>
      <c r="H12" s="4559" t="n"/>
      <c r="I12" s="4559" t="n"/>
      <c r="J12" s="4559" t="n"/>
      <c r="K12" s="4436" t="n"/>
      <c r="L12" s="4438" t="n"/>
    </row>
    <row r="13" hidden="1" outlineLevel="1" ht="12" customHeight="1" s="3710">
      <c r="B13" s="3891" t="n"/>
      <c r="C13" s="4559" t="n"/>
      <c r="D13" s="4559" t="n"/>
      <c r="E13" s="4559" t="n"/>
      <c r="F13" s="4559" t="n"/>
      <c r="G13" s="4559" t="n"/>
      <c r="H13" s="4559" t="n"/>
      <c r="I13" s="4559" t="n"/>
      <c r="J13" s="4559" t="n"/>
      <c r="K13" s="4436" t="n"/>
      <c r="L13" s="4438" t="n"/>
    </row>
    <row r="14" hidden="1" outlineLevel="1" ht="12" customHeight="1" s="3710">
      <c r="B14" s="3891" t="n"/>
      <c r="C14" s="4559" t="n"/>
      <c r="D14" s="4559" t="n"/>
      <c r="E14" s="4559" t="n"/>
      <c r="F14" s="4559" t="n"/>
      <c r="G14" s="4559" t="n"/>
      <c r="H14" s="4559" t="n"/>
      <c r="I14" s="4559" t="n"/>
      <c r="J14" s="4559" t="n"/>
      <c r="K14" s="4436" t="n"/>
      <c r="L14" s="4438" t="n"/>
    </row>
    <row r="15" hidden="1" outlineLevel="1" ht="12" customHeight="1" s="3710">
      <c r="B15" s="3891" t="n"/>
      <c r="C15" s="4559" t="n"/>
      <c r="D15" s="4559" t="n"/>
      <c r="E15" s="4559" t="n"/>
      <c r="F15" s="4559" t="n"/>
      <c r="G15" s="4559" t="n"/>
      <c r="H15" s="4559" t="n"/>
      <c r="I15" s="4559" t="n"/>
      <c r="J15" s="4559" t="n"/>
      <c r="K15" s="4436" t="n"/>
      <c r="L15" s="4438" t="n"/>
    </row>
    <row r="16" hidden="1" outlineLevel="1" ht="12" customHeight="1" s="3710">
      <c r="B16" s="3891" t="n"/>
      <c r="C16" s="4559" t="n"/>
      <c r="D16" s="4559" t="n"/>
      <c r="E16" s="4559" t="n"/>
      <c r="F16" s="4559" t="n"/>
      <c r="G16" s="4559" t="n"/>
      <c r="H16" s="4559" t="n"/>
      <c r="I16" s="4559" t="n"/>
      <c r="J16" s="4559" t="n"/>
      <c r="K16" s="4436" t="n"/>
      <c r="L16" s="4438" t="n"/>
    </row>
    <row r="17" hidden="1" outlineLevel="1" ht="12" customHeight="1" s="3710">
      <c r="B17" s="3891" t="n"/>
      <c r="C17" s="4559" t="n"/>
      <c r="D17" s="4559" t="n"/>
      <c r="E17" s="4559" t="n"/>
      <c r="F17" s="4559" t="n"/>
      <c r="G17" s="4559" t="n"/>
      <c r="H17" s="4559" t="n"/>
      <c r="I17" s="4559" t="n"/>
      <c r="J17" s="4559" t="n"/>
      <c r="K17" s="4436" t="n"/>
      <c r="L17" s="4438" t="n"/>
    </row>
    <row r="18" hidden="1" outlineLevel="1" ht="12" customHeight="1" s="3710">
      <c r="B18" s="3891" t="n"/>
      <c r="C18" s="4559" t="n"/>
      <c r="D18" s="4559" t="n"/>
      <c r="E18" s="4559" t="n"/>
      <c r="F18" s="4559" t="n"/>
      <c r="G18" s="4559" t="n"/>
      <c r="H18" s="4559" t="n"/>
      <c r="I18" s="4559" t="n"/>
      <c r="J18" s="4559" t="n"/>
      <c r="K18" s="4436" t="n"/>
      <c r="L18" s="4438" t="n"/>
    </row>
    <row r="19" hidden="1" outlineLevel="1" ht="12" customHeight="1" s="3710">
      <c r="B19" s="3891" t="n"/>
      <c r="C19" s="4559" t="n"/>
      <c r="D19" s="4559" t="n"/>
      <c r="E19" s="4559" t="n"/>
      <c r="F19" s="4559" t="n"/>
      <c r="G19" s="4559" t="n"/>
      <c r="H19" s="4559" t="n"/>
      <c r="I19" s="4559" t="n"/>
      <c r="J19" s="4559" t="n"/>
      <c r="K19" s="4436" t="n"/>
      <c r="L19" s="4438" t="n"/>
    </row>
    <row r="20" hidden="1" outlineLevel="1" ht="12" customHeight="1" s="3710">
      <c r="B20" s="3891" t="n"/>
      <c r="C20" s="4559" t="n"/>
      <c r="D20" s="4559" t="n"/>
      <c r="E20" s="4559" t="n"/>
      <c r="F20" s="4559" t="n"/>
      <c r="G20" s="4559" t="n"/>
      <c r="H20" s="4559" t="n"/>
      <c r="I20" s="4559" t="n"/>
      <c r="J20" s="4559" t="n"/>
      <c r="K20" s="4441" t="n"/>
      <c r="L20" s="4443" t="n"/>
    </row>
    <row r="21" ht="12" customHeight="1" s="3710">
      <c r="B21" s="3891" t="n"/>
      <c r="C21" s="4559" t="n"/>
      <c r="D21" s="4559" t="n"/>
      <c r="E21" s="4559" t="n"/>
      <c r="F21" s="4559" t="n"/>
      <c r="G21" s="4559" t="n"/>
      <c r="H21" s="4559" t="n"/>
      <c r="I21" s="4559" t="n"/>
      <c r="J21" s="4559" t="n"/>
      <c r="K21" s="4441" t="n"/>
      <c r="L21" s="4443" t="n"/>
    </row>
    <row r="22" ht="12" customHeight="1" s="3710">
      <c r="B22" s="3891" t="n"/>
      <c r="C22" s="4559" t="n"/>
      <c r="D22" s="4559" t="n"/>
      <c r="E22" s="4559" t="n"/>
      <c r="F22" s="4559" t="n"/>
      <c r="G22" s="4559" t="n"/>
      <c r="H22" s="4559" t="n"/>
      <c r="I22" s="4559" t="n"/>
      <c r="J22" s="4559" t="n"/>
      <c r="K22" s="4446" t="n"/>
      <c r="L22" s="4448" t="n"/>
    </row>
    <row r="23" ht="12" customHeight="1" s="3710">
      <c r="B23" s="3891" t="n"/>
      <c r="C23" s="4559" t="n"/>
      <c r="D23" s="4559" t="n"/>
      <c r="E23" s="4559" t="n"/>
      <c r="F23" s="4559" t="n"/>
      <c r="G23" s="4559" t="n"/>
      <c r="H23" s="4559" t="n"/>
      <c r="I23" s="4559" t="n"/>
      <c r="J23" s="4559" t="n"/>
      <c r="K23" s="4441" t="n"/>
      <c r="L23" s="4443" t="n"/>
    </row>
    <row r="24" ht="12" customHeight="1" s="3710">
      <c r="B24" s="3891" t="n"/>
      <c r="C24" s="4559" t="n"/>
      <c r="D24" s="4559" t="n"/>
      <c r="E24" s="4559" t="n"/>
      <c r="F24" s="4559" t="n"/>
      <c r="G24" s="4559" t="n"/>
      <c r="H24" s="4559" t="n"/>
      <c r="I24" s="4559" t="n"/>
      <c r="J24" s="4559" t="n"/>
      <c r="K24" s="4446" t="n"/>
      <c r="L24" s="4448" t="n"/>
    </row>
    <row r="25" ht="12" customHeight="1" s="3710">
      <c r="B25" s="3891" t="n"/>
      <c r="C25" s="4559" t="n"/>
      <c r="D25" s="4559" t="n"/>
      <c r="E25" s="4559" t="n"/>
      <c r="F25" s="4559" t="n"/>
      <c r="G25" s="4559" t="n"/>
      <c r="H25" s="4559" t="n"/>
      <c r="I25" s="4559" t="n"/>
      <c r="J25" s="4559" t="n"/>
      <c r="K25" s="4441" t="n"/>
      <c r="L25" s="4443" t="n"/>
    </row>
    <row r="26" ht="12" customHeight="1" s="3710">
      <c r="A26" s="4434" t="n"/>
      <c r="B26" s="3891" t="n"/>
      <c r="C26" s="4559" t="n"/>
      <c r="D26" s="4559" t="n"/>
      <c r="E26" s="4559" t="n"/>
      <c r="F26" s="4559" t="n"/>
      <c r="G26" s="4559" t="n"/>
      <c r="H26" s="4559" t="n"/>
      <c r="I26" s="4559" t="n"/>
      <c r="J26" s="4559" t="n"/>
      <c r="K26" s="4450" t="n"/>
      <c r="L26" s="4452" t="n"/>
    </row>
    <row r="27" ht="3.6" customHeight="1" s="3710">
      <c r="B27" s="3891" t="n"/>
      <c r="C27" s="4559" t="n"/>
      <c r="D27" s="4559" t="n"/>
      <c r="E27" s="4559" t="n"/>
      <c r="F27" s="4559" t="n"/>
      <c r="G27" s="4559" t="n"/>
      <c r="H27" s="4559" t="n"/>
      <c r="I27" s="4559" t="n"/>
      <c r="J27" s="4559" t="n"/>
      <c r="L27" s="4455" t="n"/>
    </row>
    <row r="28" ht="12" customHeight="1" s="3710">
      <c r="B28" s="3891" t="n"/>
      <c r="C28" s="4559" t="n"/>
      <c r="D28" s="4559" t="n"/>
      <c r="E28" s="4559" t="n"/>
      <c r="F28" s="4559" t="n"/>
      <c r="G28" s="4559" t="n"/>
      <c r="H28" s="4559" t="n"/>
      <c r="I28" s="4559" t="n"/>
      <c r="J28" s="4559" t="n"/>
      <c r="L28" s="4455" t="n"/>
    </row>
    <row r="29" ht="12" customHeight="1" s="3710">
      <c r="B29" s="3891" t="n"/>
      <c r="C29" s="4559" t="n"/>
      <c r="D29" s="4559" t="n"/>
      <c r="E29" s="4559" t="n"/>
      <c r="F29" s="4559" t="n"/>
      <c r="G29" s="4559" t="n"/>
      <c r="H29" s="4559" t="n"/>
      <c r="I29" s="4559" t="n"/>
      <c r="J29" s="4559" t="n"/>
      <c r="K29" s="4458" t="n"/>
      <c r="L29" s="4460" t="n"/>
      <c r="M29" s="3743" t="n"/>
    </row>
    <row r="30" ht="12" customHeight="1" s="3710">
      <c r="B30" s="3891" t="n"/>
      <c r="C30" s="4559" t="n"/>
      <c r="D30" s="4559" t="n"/>
      <c r="E30" s="4559" t="n"/>
      <c r="F30" s="4559" t="n"/>
      <c r="G30" s="4559" t="n"/>
      <c r="H30" s="4559" t="n"/>
      <c r="I30" s="4559" t="n"/>
      <c r="J30" s="4559" t="n"/>
      <c r="K30" s="4464" t="n"/>
      <c r="L30" s="4466" t="n"/>
    </row>
    <row r="31" ht="12" customHeight="1" s="3710">
      <c r="B31" s="3891" t="n"/>
      <c r="C31" s="4559" t="n"/>
      <c r="D31" s="4559" t="n"/>
      <c r="E31" s="4559" t="n"/>
      <c r="F31" s="4559" t="n"/>
      <c r="G31" s="4559" t="n"/>
      <c r="H31" s="4559" t="n"/>
      <c r="I31" s="4559" t="n"/>
      <c r="J31" s="4559" t="n"/>
      <c r="K31" s="4458" t="n"/>
      <c r="L31" s="4460" t="n"/>
      <c r="M31" s="3743" t="n"/>
    </row>
    <row r="32" ht="12" customHeight="1" s="3710">
      <c r="B32" s="3891" t="n"/>
      <c r="C32" s="4559" t="n"/>
      <c r="D32" s="4559" t="n"/>
      <c r="E32" s="4559" t="n"/>
      <c r="F32" s="4559" t="n"/>
      <c r="G32" s="4559" t="n"/>
      <c r="H32" s="4559" t="n"/>
      <c r="I32" s="4559" t="n"/>
      <c r="J32" s="4559" t="n"/>
      <c r="K32" s="4468" t="n"/>
      <c r="L32" s="4470" t="n"/>
    </row>
    <row r="33" ht="12" customHeight="1" s="3710">
      <c r="B33" s="3891" t="n"/>
      <c r="C33" s="4559" t="n"/>
      <c r="D33" s="4559" t="n"/>
      <c r="E33" s="4559" t="n"/>
      <c r="F33" s="4559" t="n"/>
      <c r="G33" s="4559" t="n"/>
      <c r="H33" s="4559" t="n"/>
      <c r="I33" s="4559" t="n"/>
      <c r="J33" s="4559" t="n"/>
    </row>
    <row r="34" ht="12" customHeight="1" s="3710">
      <c r="B34" s="3891" t="n"/>
      <c r="C34" s="4559" t="n"/>
      <c r="D34" s="4559" t="n"/>
      <c r="E34" s="4559" t="n"/>
      <c r="F34" s="4559" t="n"/>
      <c r="G34" s="4559" t="n"/>
      <c r="H34" s="4559" t="n"/>
      <c r="I34" s="4559" t="n"/>
      <c r="J34" s="4559" t="n"/>
    </row>
    <row r="35" ht="12" customHeight="1" s="3710">
      <c r="B35" s="3891" t="n"/>
      <c r="C35" s="4559" t="n"/>
      <c r="D35" s="4559" t="n"/>
      <c r="E35" s="4559" t="n"/>
      <c r="F35" s="4559" t="n"/>
      <c r="G35" s="4559" t="n"/>
      <c r="H35" s="4559" t="n"/>
      <c r="I35" s="4559" t="n"/>
      <c r="J35" s="4559" t="n"/>
    </row>
    <row r="36" ht="12" customHeight="1" s="3710">
      <c r="B36" s="3891" t="n"/>
      <c r="C36" s="4559" t="n"/>
      <c r="D36" s="4559" t="n"/>
      <c r="E36" s="4559" t="n"/>
      <c r="F36" s="4559" t="n"/>
      <c r="G36" s="4559" t="n"/>
      <c r="H36" s="4559" t="n"/>
      <c r="I36" s="4559" t="n"/>
      <c r="J36" s="4559" t="n"/>
    </row>
    <row r="37" hidden="1" outlineLevel="1" ht="12" customFormat="1" customHeight="1" s="4168">
      <c r="A37" s="4471" t="n"/>
      <c r="B37" s="4044" t="n"/>
      <c r="C37" s="4559" t="n"/>
      <c r="D37" s="4559" t="n"/>
      <c r="E37" s="4559" t="n"/>
      <c r="F37" s="4559" t="n"/>
      <c r="G37" s="4559" t="n"/>
      <c r="H37" s="4559" t="n"/>
      <c r="I37" s="4559" t="n"/>
      <c r="J37" s="4559" t="n"/>
      <c r="K37" s="4473" t="n"/>
      <c r="L37" s="4473" t="n"/>
    </row>
    <row r="38" hidden="1" outlineLevel="1" ht="12" customFormat="1" customHeight="1" s="4168">
      <c r="A38" s="4471" t="n"/>
      <c r="B38" s="4044" t="n"/>
      <c r="C38" s="4559" t="n"/>
      <c r="D38" s="4559" t="n"/>
      <c r="E38" s="4559" t="n"/>
      <c r="F38" s="4559" t="n"/>
      <c r="G38" s="4559" t="n"/>
      <c r="H38" s="4559" t="n"/>
      <c r="I38" s="4559" t="n"/>
      <c r="J38" s="4559" t="n"/>
      <c r="K38" s="4473" t="n"/>
      <c r="L38" s="4473" t="n"/>
    </row>
    <row r="39" ht="12" customHeight="1" s="3710">
      <c r="A39" s="4471" t="n"/>
      <c r="B39" s="4044" t="n"/>
      <c r="C39" s="4559" t="n"/>
      <c r="D39" s="4559" t="n"/>
      <c r="E39" s="4559" t="n"/>
      <c r="F39" s="4559" t="n"/>
      <c r="G39" s="4559" t="n"/>
      <c r="H39" s="4559" t="n"/>
      <c r="I39" s="4559" t="n"/>
      <c r="J39" s="4559" t="n"/>
      <c r="L39" s="4436" t="n"/>
    </row>
    <row r="40" ht="12" customHeight="1" s="3710">
      <c r="A40" s="4471" t="n"/>
      <c r="B40" s="4044" t="n"/>
      <c r="C40" s="4559" t="n"/>
      <c r="D40" s="4559" t="n"/>
      <c r="E40" s="4559" t="n"/>
      <c r="F40" s="4559" t="n"/>
      <c r="G40" s="4559" t="n"/>
      <c r="H40" s="4559" t="n"/>
      <c r="I40" s="4559" t="n"/>
      <c r="J40" s="4559" t="n"/>
    </row>
    <row r="41" ht="12" customHeight="1" s="3710">
      <c r="B41" s="3891" t="n"/>
      <c r="C41" s="4559" t="n"/>
      <c r="D41" s="4559" t="n"/>
      <c r="E41" s="4559" t="n"/>
      <c r="F41" s="4559" t="n"/>
      <c r="G41" s="4559" t="n"/>
      <c r="H41" s="4559" t="n"/>
      <c r="I41" s="4559" t="n"/>
      <c r="J41" s="4559" t="n"/>
    </row>
    <row r="42" ht="12" customHeight="1" s="3710">
      <c r="B42" s="3891" t="n"/>
      <c r="C42" s="4559" t="n"/>
      <c r="D42" s="4559" t="n"/>
      <c r="E42" s="4559" t="n"/>
      <c r="F42" s="4559" t="n"/>
      <c r="G42" s="4559" t="n"/>
      <c r="H42" s="4559" t="n"/>
      <c r="I42" s="4559" t="n"/>
      <c r="J42" s="4559" t="n"/>
    </row>
    <row r="43" ht="12" customHeight="1" s="3710">
      <c r="B43" s="3891" t="n"/>
      <c r="C43" s="4559" t="n"/>
      <c r="D43" s="4559" t="n"/>
      <c r="E43" s="4559" t="n"/>
      <c r="F43" s="4559" t="n"/>
      <c r="G43" s="4559" t="n"/>
      <c r="H43" s="4559" t="n"/>
      <c r="I43" s="4559" t="n"/>
      <c r="J43" s="4559" t="n"/>
    </row>
    <row r="44" ht="11.25" customHeight="1" s="3710">
      <c r="B44" s="3891" t="n"/>
      <c r="C44" s="4559" t="n"/>
      <c r="D44" s="4559" t="n"/>
      <c r="E44" s="4559" t="n"/>
      <c r="F44" s="4559" t="n"/>
      <c r="G44" s="4559" t="n"/>
      <c r="H44" s="4559" t="n"/>
      <c r="I44" s="4559" t="n"/>
      <c r="J44" s="4559" t="n"/>
    </row>
    <row r="45" ht="11.25" customHeight="1" s="3710">
      <c r="B45" s="3891" t="n"/>
      <c r="C45" s="4559" t="n"/>
      <c r="D45" s="4559" t="n"/>
      <c r="E45" s="4559" t="n"/>
      <c r="F45" s="4559" t="n"/>
      <c r="G45" s="4559" t="n"/>
      <c r="H45" s="4559" t="n"/>
      <c r="I45" s="4559" t="n"/>
      <c r="J45" s="4559" t="n"/>
    </row>
    <row r="46" ht="11.25" customHeight="1" s="3710">
      <c r="B46" s="3891" t="n"/>
      <c r="C46" s="4559" t="n"/>
      <c r="D46" s="4559" t="n"/>
      <c r="E46" s="4559" t="n"/>
      <c r="F46" s="4559" t="n"/>
      <c r="G46" s="4559" t="n"/>
      <c r="H46" s="4559" t="n"/>
      <c r="I46" s="4559" t="n"/>
      <c r="J46" s="4559" t="n"/>
    </row>
    <row r="47" ht="11.25" customHeight="1" s="3710">
      <c r="B47" s="3891" t="n"/>
      <c r="C47" s="4559" t="n"/>
      <c r="D47" s="4559" t="n"/>
      <c r="E47" s="4559" t="n"/>
      <c r="F47" s="4559" t="n"/>
      <c r="G47" s="4559" t="n"/>
      <c r="H47" s="4559" t="n"/>
      <c r="I47" s="4559" t="n"/>
      <c r="J47" s="4559" t="n"/>
    </row>
    <row r="48" ht="11.25" customHeight="1" s="3710">
      <c r="B48" s="3891" t="n"/>
      <c r="C48" s="4559" t="n"/>
      <c r="D48" s="4559" t="n"/>
      <c r="E48" s="4559" t="n"/>
      <c r="F48" s="4559" t="n"/>
      <c r="G48" s="4559" t="n"/>
      <c r="H48" s="4559" t="n"/>
      <c r="I48" s="4559" t="n"/>
      <c r="J48" s="4559" t="n"/>
    </row>
    <row r="49" ht="11.25" customHeight="1" s="3710">
      <c r="B49" s="3891" t="n"/>
      <c r="C49" s="4559" t="n"/>
      <c r="D49" s="4559" t="n"/>
      <c r="E49" s="4559" t="n"/>
      <c r="F49" s="4559" t="n"/>
      <c r="G49" s="4559" t="n"/>
      <c r="H49" s="4559" t="n"/>
      <c r="I49" s="4559" t="n"/>
      <c r="J49" s="4559" t="n"/>
    </row>
    <row r="50" ht="11.25" customHeight="1" s="3710">
      <c r="B50" s="3891" t="n"/>
      <c r="C50" s="4559" t="n"/>
      <c r="D50" s="4559" t="n"/>
      <c r="E50" s="4559" t="n"/>
      <c r="F50" s="4559" t="n"/>
      <c r="G50" s="4559" t="n"/>
      <c r="H50" s="4559" t="n"/>
      <c r="I50" s="4559" t="n"/>
      <c r="J50" s="4559" t="n"/>
    </row>
    <row r="51" ht="11.25" customHeight="1" s="3710">
      <c r="B51" s="3891" t="n"/>
      <c r="C51" s="4559" t="n"/>
      <c r="D51" s="4559" t="n"/>
      <c r="E51" s="4559" t="n"/>
      <c r="F51" s="4559" t="n"/>
      <c r="G51" s="4559" t="n"/>
      <c r="H51" s="4559" t="n"/>
      <c r="I51" s="4559" t="n"/>
      <c r="J51" s="4559" t="n"/>
    </row>
    <row r="52" ht="11.25" customHeight="1" s="3710">
      <c r="B52" s="3891" t="n"/>
      <c r="C52" s="4559" t="n"/>
      <c r="D52" s="4559" t="n"/>
      <c r="E52" s="4559" t="n"/>
      <c r="F52" s="4559" t="n"/>
      <c r="G52" s="4559" t="n"/>
      <c r="H52" s="4559" t="n"/>
      <c r="I52" s="4559" t="n"/>
      <c r="J52" s="4559" t="n"/>
    </row>
    <row r="53" ht="11.25" customHeight="1" s="3710">
      <c r="B53" s="3891" t="n"/>
      <c r="C53" s="4559" t="n"/>
      <c r="D53" s="4559" t="n"/>
      <c r="E53" s="4559" t="n"/>
      <c r="F53" s="4559" t="n"/>
      <c r="G53" s="4559" t="n"/>
      <c r="H53" s="4559" t="n"/>
      <c r="I53" s="4559" t="n"/>
      <c r="J53" s="4559" t="n"/>
    </row>
    <row r="54" ht="11.25" customHeight="1" s="3710">
      <c r="B54" s="3891" t="n"/>
      <c r="C54" s="4559" t="n"/>
      <c r="D54" s="4559" t="n"/>
      <c r="E54" s="4559" t="n"/>
      <c r="F54" s="4559" t="n"/>
      <c r="G54" s="4559" t="n"/>
      <c r="H54" s="4559" t="n"/>
      <c r="I54" s="4559" t="n"/>
      <c r="J54" s="4559" t="n"/>
    </row>
    <row r="55" ht="11.25" customHeight="1" s="3710">
      <c r="B55" s="3891" t="n"/>
      <c r="C55" s="4559" t="n"/>
      <c r="D55" s="4559" t="n"/>
      <c r="E55" s="4559" t="n"/>
      <c r="F55" s="4559" t="n"/>
      <c r="G55" s="4559" t="n"/>
      <c r="H55" s="4559" t="n"/>
      <c r="I55" s="4559" t="n"/>
      <c r="J55" s="4559" t="n"/>
    </row>
    <row r="56" ht="11.25" customHeight="1" s="3710">
      <c r="B56" s="3891" t="n"/>
      <c r="C56" s="4559" t="n"/>
      <c r="D56" s="4559" t="n"/>
      <c r="E56" s="4559" t="n"/>
      <c r="F56" s="4559" t="n"/>
      <c r="G56" s="4559" t="n"/>
      <c r="H56" s="4559" t="n"/>
      <c r="I56" s="4559" t="n"/>
      <c r="J56" s="4559" t="n"/>
    </row>
    <row r="57" ht="11.25" customHeight="1" s="3710">
      <c r="B57" s="3891" t="n"/>
      <c r="C57" s="4559" t="n"/>
      <c r="D57" s="4559" t="n"/>
      <c r="E57" s="4559" t="n"/>
      <c r="F57" s="4559" t="n"/>
      <c r="G57" s="4559" t="n"/>
      <c r="H57" s="4559" t="n"/>
      <c r="I57" s="4559" t="n"/>
      <c r="J57" s="4559" t="n"/>
    </row>
    <row r="58" ht="11.25" customHeight="1" s="3710">
      <c r="B58" s="3891" t="n"/>
      <c r="C58" s="4559" t="n"/>
      <c r="D58" s="4559" t="n"/>
      <c r="E58" s="4559" t="n"/>
      <c r="F58" s="4559" t="n"/>
      <c r="G58" s="4559" t="n"/>
      <c r="H58" s="4559" t="n"/>
      <c r="I58" s="4559" t="n"/>
      <c r="J58" s="4559" t="n"/>
    </row>
    <row r="59">
      <c r="C59" s="4559" t="n"/>
      <c r="D59" s="4559" t="n"/>
      <c r="E59" s="4559" t="n"/>
      <c r="F59" s="4559" t="n"/>
      <c r="G59" s="4559" t="n"/>
      <c r="H59" s="4559" t="n"/>
      <c r="I59" s="4559" t="n"/>
      <c r="J59" s="4559" t="n"/>
    </row>
    <row r="60">
      <c r="C60" s="4559" t="n"/>
      <c r="D60" s="4559" t="n"/>
      <c r="E60" s="4559" t="n"/>
      <c r="F60" s="4559" t="n"/>
      <c r="G60" s="4559" t="n"/>
      <c r="H60" s="4559" t="n"/>
      <c r="I60" s="4559" t="n"/>
      <c r="J60" s="4559" t="n"/>
    </row>
    <row r="61">
      <c r="C61" s="4559" t="n"/>
      <c r="D61" s="4559" t="n"/>
      <c r="E61" s="4559" t="n"/>
      <c r="F61" s="4559" t="n"/>
      <c r="G61" s="4559" t="n"/>
      <c r="H61" s="4559" t="n"/>
      <c r="I61" s="4559" t="n"/>
      <c r="J61" s="4559" t="n"/>
    </row>
    <row r="62">
      <c r="C62" s="4559" t="n"/>
      <c r="D62" s="4559" t="n"/>
      <c r="E62" s="4559" t="n"/>
      <c r="F62" s="4559" t="n"/>
      <c r="G62" s="4559" t="n"/>
      <c r="H62" s="4559" t="n"/>
      <c r="I62" s="4559" t="n"/>
      <c r="J62" s="4559" t="n"/>
    </row>
    <row r="63">
      <c r="C63" s="4559" t="n"/>
      <c r="D63" s="4559" t="n"/>
      <c r="E63" s="4559" t="n"/>
      <c r="F63" s="4559" t="n"/>
      <c r="G63" s="4559" t="n"/>
      <c r="H63" s="4559" t="n"/>
      <c r="I63" s="4559" t="n"/>
      <c r="J63" s="4559" t="n"/>
    </row>
    <row r="64">
      <c r="C64" s="4559" t="n"/>
      <c r="D64" s="4559" t="n"/>
      <c r="E64" s="4559" t="n"/>
      <c r="F64" s="4559" t="n"/>
      <c r="G64" s="4559" t="n"/>
      <c r="H64" s="4559" t="n"/>
      <c r="I64" s="4559" t="n"/>
      <c r="J64" s="4559" t="n"/>
    </row>
    <row r="65">
      <c r="C65" s="4559" t="n"/>
      <c r="D65" s="4559" t="n"/>
      <c r="E65" s="4559" t="n"/>
      <c r="F65" s="4559" t="n"/>
      <c r="G65" s="4559" t="n"/>
      <c r="H65" s="4559" t="n"/>
      <c r="I65" s="4559" t="n"/>
      <c r="J65" s="4559" t="n"/>
    </row>
    <row r="66">
      <c r="C66" s="4559" t="n"/>
      <c r="D66" s="4559" t="n"/>
      <c r="E66" s="4559" t="n"/>
      <c r="F66" s="4559" t="n"/>
      <c r="G66" s="4559" t="n"/>
      <c r="H66" s="4559" t="n"/>
      <c r="I66" s="4559" t="n"/>
      <c r="J66" s="4559" t="n"/>
    </row>
    <row r="67">
      <c r="C67" s="4559" t="n"/>
      <c r="D67" s="4559" t="n"/>
      <c r="E67" s="4559" t="n"/>
      <c r="F67" s="4559" t="n"/>
      <c r="G67" s="4559" t="n"/>
      <c r="H67" s="4559" t="n"/>
      <c r="I67" s="4559" t="n"/>
      <c r="J67" s="4559" t="n"/>
    </row>
    <row r="68">
      <c r="C68" s="4559" t="n"/>
      <c r="D68" s="4559" t="n"/>
      <c r="E68" s="4559" t="n"/>
      <c r="F68" s="4559" t="n"/>
      <c r="G68" s="4559" t="n"/>
      <c r="H68" s="4559" t="n"/>
      <c r="I68" s="4559" t="n"/>
      <c r="J68" s="4559" t="n"/>
    </row>
    <row r="69">
      <c r="C69" s="4559" t="n"/>
      <c r="D69" s="4559" t="n"/>
      <c r="E69" s="4559" t="n"/>
      <c r="F69" s="4559" t="n"/>
      <c r="G69" s="4559" t="n"/>
      <c r="H69" s="4559" t="n"/>
      <c r="I69" s="4559" t="n"/>
      <c r="J69" s="4559" t="n"/>
    </row>
    <row r="70">
      <c r="C70" s="4559" t="n"/>
      <c r="D70" s="4559" t="n"/>
      <c r="E70" s="4559" t="n"/>
      <c r="F70" s="4559" t="n"/>
      <c r="G70" s="4559" t="n"/>
      <c r="H70" s="4559" t="n"/>
      <c r="I70" s="4559" t="n"/>
      <c r="J70" s="4559" t="n"/>
    </row>
    <row r="71">
      <c r="C71" s="4559" t="n"/>
      <c r="D71" s="4559" t="n"/>
      <c r="E71" s="4559" t="n"/>
      <c r="F71" s="4559" t="n"/>
      <c r="G71" s="4559" t="n"/>
      <c r="H71" s="4559" t="n"/>
      <c r="I71" s="4559" t="n"/>
      <c r="J71" s="4559" t="n"/>
    </row>
    <row r="72">
      <c r="C72" s="4559" t="n"/>
      <c r="D72" s="4559" t="n"/>
      <c r="E72" s="4559" t="n"/>
      <c r="F72" s="4559" t="n"/>
      <c r="G72" s="4559" t="n"/>
      <c r="H72" s="4559" t="n"/>
      <c r="I72" s="4559" t="n"/>
      <c r="J72" s="4559" t="n"/>
    </row>
    <row r="73">
      <c r="C73" s="4559" t="n"/>
      <c r="D73" s="4559" t="n"/>
      <c r="E73" s="4559" t="n"/>
      <c r="F73" s="4559" t="n"/>
      <c r="G73" s="4559" t="n"/>
      <c r="H73" s="4559" t="n"/>
      <c r="I73" s="4559" t="n"/>
      <c r="J73" s="4559" t="n"/>
    </row>
    <row r="74">
      <c r="C74" s="4559" t="n"/>
      <c r="D74" s="4559" t="n"/>
      <c r="E74" s="4559" t="n"/>
      <c r="F74" s="4559" t="n"/>
      <c r="G74" s="4559" t="n"/>
      <c r="H74" s="4559" t="n"/>
      <c r="I74" s="4559" t="n"/>
      <c r="J74" s="4559" t="n"/>
    </row>
    <row r="75">
      <c r="C75" s="4559" t="n"/>
      <c r="D75" s="4559" t="n"/>
      <c r="E75" s="4559" t="n"/>
      <c r="F75" s="4559" t="n"/>
      <c r="G75" s="4559" t="n"/>
      <c r="H75" s="4559" t="n"/>
      <c r="I75" s="4559" t="n"/>
      <c r="J75" s="4559" t="n"/>
    </row>
    <row r="76">
      <c r="C76" s="4559" t="n"/>
      <c r="D76" s="4559" t="n"/>
      <c r="E76" s="4559" t="n"/>
      <c r="F76" s="4559" t="n"/>
      <c r="G76" s="4559" t="n"/>
      <c r="H76" s="4559" t="n"/>
      <c r="I76" s="4559" t="n"/>
      <c r="J76" s="4559" t="n"/>
    </row>
    <row r="77">
      <c r="C77" s="4559" t="n"/>
      <c r="D77" s="4559" t="n"/>
      <c r="E77" s="4559" t="n"/>
      <c r="F77" s="4559" t="n"/>
      <c r="G77" s="4559" t="n"/>
      <c r="H77" s="4559" t="n"/>
      <c r="I77" s="4559" t="n"/>
      <c r="J77" s="4559" t="n"/>
    </row>
    <row r="78">
      <c r="C78" s="4559" t="n"/>
      <c r="D78" s="4559" t="n"/>
      <c r="E78" s="4559" t="n"/>
      <c r="F78" s="4559" t="n"/>
      <c r="G78" s="4559" t="n"/>
      <c r="H78" s="4559" t="n"/>
      <c r="I78" s="4559" t="n"/>
      <c r="J78" s="4559" t="n"/>
    </row>
    <row r="79">
      <c r="C79" s="4559" t="n"/>
      <c r="D79" s="4559" t="n"/>
      <c r="E79" s="4559" t="n"/>
      <c r="F79" s="4559" t="n"/>
      <c r="G79" s="4559" t="n"/>
      <c r="H79" s="4559" t="n"/>
      <c r="I79" s="4559" t="n"/>
      <c r="J79" s="4559" t="n"/>
    </row>
    <row r="80">
      <c r="C80" s="4559" t="n"/>
      <c r="D80" s="4559" t="n"/>
      <c r="E80" s="4559" t="n"/>
      <c r="F80" s="4559" t="n"/>
      <c r="G80" s="4559" t="n"/>
      <c r="H80" s="4559" t="n"/>
      <c r="I80" s="4559" t="n"/>
      <c r="J80" s="4559" t="n"/>
    </row>
    <row r="81">
      <c r="C81" s="4559" t="n"/>
      <c r="D81" s="4559" t="n"/>
      <c r="E81" s="4559" t="n"/>
      <c r="F81" s="4559" t="n"/>
      <c r="G81" s="4559" t="n"/>
      <c r="H81" s="4559" t="n"/>
      <c r="I81" s="4559" t="n"/>
      <c r="J81" s="4559" t="n"/>
    </row>
    <row r="82">
      <c r="C82" s="4559" t="n"/>
      <c r="D82" s="4559" t="n"/>
      <c r="E82" s="4559" t="n"/>
      <c r="F82" s="4559" t="n"/>
      <c r="G82" s="4559" t="n"/>
      <c r="H82" s="4559" t="n"/>
      <c r="I82" s="4559" t="n"/>
      <c r="J82" s="4559" t="n"/>
    </row>
    <row r="83">
      <c r="C83" s="4559" t="n"/>
      <c r="D83" s="4559" t="n"/>
      <c r="E83" s="4559" t="n"/>
      <c r="F83" s="4559" t="n"/>
      <c r="G83" s="4559" t="n"/>
      <c r="H83" s="4559" t="n"/>
      <c r="I83" s="4559" t="n"/>
      <c r="J83" s="4559" t="n"/>
    </row>
    <row r="84">
      <c r="C84" s="4559" t="n"/>
      <c r="D84" s="4559" t="n"/>
      <c r="E84" s="4559" t="n"/>
      <c r="F84" s="4559" t="n"/>
      <c r="G84" s="4559" t="n"/>
      <c r="H84" s="4559" t="n"/>
      <c r="I84" s="4559" t="n"/>
      <c r="J84" s="4559" t="n"/>
    </row>
    <row r="85">
      <c r="C85" s="4559" t="n"/>
      <c r="D85" s="4559" t="n"/>
      <c r="E85" s="4559" t="n"/>
      <c r="F85" s="4559" t="n"/>
      <c r="G85" s="4559" t="n"/>
      <c r="H85" s="4559" t="n"/>
      <c r="I85" s="4559" t="n"/>
      <c r="J85" s="4559" t="n"/>
    </row>
    <row r="86">
      <c r="C86" s="4559" t="n"/>
      <c r="D86" s="4559" t="n"/>
      <c r="E86" s="4559" t="n"/>
      <c r="F86" s="4559" t="n"/>
      <c r="G86" s="4559" t="n"/>
      <c r="H86" s="4559" t="n"/>
      <c r="I86" s="4559" t="n"/>
      <c r="J86" s="4559" t="n"/>
    </row>
    <row r="87">
      <c r="C87" s="4559" t="n"/>
      <c r="D87" s="4559" t="n"/>
      <c r="E87" s="4559" t="n"/>
      <c r="F87" s="4559" t="n"/>
      <c r="G87" s="4559" t="n"/>
      <c r="H87" s="4559" t="n"/>
      <c r="I87" s="4559" t="n"/>
      <c r="J87" s="4559" t="n"/>
    </row>
    <row r="88">
      <c r="C88" s="4559" t="n"/>
      <c r="D88" s="4559" t="n"/>
      <c r="E88" s="4559" t="n"/>
      <c r="F88" s="4559" t="n"/>
      <c r="G88" s="4559" t="n"/>
      <c r="H88" s="4559" t="n"/>
      <c r="I88" s="4559" t="n"/>
      <c r="J88" s="4559" t="n"/>
    </row>
    <row r="89">
      <c r="C89" s="4559" t="n"/>
      <c r="D89" s="4559" t="n"/>
      <c r="E89" s="4559" t="n"/>
      <c r="F89" s="4559" t="n"/>
      <c r="G89" s="4559" t="n"/>
      <c r="H89" s="4559" t="n"/>
      <c r="I89" s="4559" t="n"/>
      <c r="J89" s="4559" t="n"/>
    </row>
    <row r="90">
      <c r="C90" s="4559" t="n"/>
      <c r="D90" s="4559" t="n"/>
      <c r="E90" s="4559" t="n"/>
      <c r="F90" s="4559" t="n"/>
      <c r="G90" s="4559" t="n"/>
      <c r="H90" s="4559" t="n"/>
      <c r="I90" s="4559" t="n"/>
      <c r="J90" s="4559" t="n"/>
    </row>
    <row r="91">
      <c r="C91" s="4559" t="n"/>
      <c r="D91" s="4559" t="n"/>
      <c r="E91" s="4559" t="n"/>
      <c r="F91" s="4559" t="n"/>
      <c r="G91" s="4559" t="n"/>
      <c r="H91" s="4559" t="n"/>
      <c r="I91" s="4559" t="n"/>
      <c r="J91" s="4559" t="n"/>
    </row>
    <row r="92">
      <c r="C92" s="4559" t="n"/>
      <c r="D92" s="4559" t="n"/>
      <c r="E92" s="4559" t="n"/>
      <c r="F92" s="4559" t="n"/>
      <c r="G92" s="4559" t="n"/>
      <c r="H92" s="4559" t="n"/>
      <c r="I92" s="4559" t="n"/>
      <c r="J92" s="4559" t="n"/>
    </row>
    <row r="93">
      <c r="C93" s="4559" t="n"/>
      <c r="D93" s="4559" t="n"/>
      <c r="E93" s="4559" t="n"/>
      <c r="F93" s="4559" t="n"/>
      <c r="G93" s="4559" t="n"/>
      <c r="H93" s="4559" t="n"/>
      <c r="I93" s="4559" t="n"/>
      <c r="J93" s="4559" t="n"/>
    </row>
    <row r="94">
      <c r="C94" s="4559" t="n"/>
      <c r="D94" s="4559" t="n"/>
      <c r="E94" s="4559" t="n"/>
      <c r="F94" s="4559" t="n"/>
      <c r="G94" s="4559" t="n"/>
      <c r="H94" s="4559" t="n"/>
      <c r="I94" s="4559" t="n"/>
      <c r="J94" s="4559" t="n"/>
    </row>
    <row r="95">
      <c r="C95" s="4559" t="n"/>
      <c r="D95" s="4559" t="n"/>
      <c r="E95" s="4559" t="n"/>
      <c r="F95" s="4559" t="n"/>
      <c r="G95" s="4559" t="n"/>
      <c r="H95" s="4559" t="n"/>
      <c r="I95" s="4559" t="n"/>
      <c r="J95" s="4559" t="n"/>
    </row>
    <row r="96">
      <c r="C96" s="4559" t="n"/>
      <c r="D96" s="4559" t="n"/>
      <c r="E96" s="4559" t="n"/>
      <c r="F96" s="4559" t="n"/>
      <c r="G96" s="4559" t="n"/>
      <c r="H96" s="4559" t="n"/>
      <c r="I96" s="4559" t="n"/>
      <c r="J96" s="4559" t="n"/>
    </row>
    <row r="97">
      <c r="C97" s="4559" t="n"/>
      <c r="D97" s="4559" t="n"/>
      <c r="E97" s="4559" t="n"/>
      <c r="F97" s="4559" t="n"/>
      <c r="G97" s="4559" t="n"/>
      <c r="H97" s="4559" t="n"/>
      <c r="I97" s="4559" t="n"/>
      <c r="J97" s="4559" t="n"/>
    </row>
    <row r="98">
      <c r="C98" s="4559" t="n"/>
      <c r="D98" s="4559" t="n"/>
      <c r="E98" s="4559" t="n"/>
      <c r="F98" s="4559" t="n"/>
      <c r="G98" s="4559" t="n"/>
      <c r="H98" s="4559" t="n"/>
      <c r="I98" s="4559" t="n"/>
      <c r="J98" s="4559" t="n"/>
    </row>
    <row r="99">
      <c r="C99" s="4559" t="n"/>
      <c r="D99" s="4559" t="n"/>
      <c r="E99" s="4559" t="n"/>
      <c r="F99" s="4559" t="n"/>
      <c r="G99" s="4559" t="n"/>
      <c r="H99" s="4559" t="n"/>
      <c r="I99" s="4559" t="n"/>
      <c r="J99" s="4559" t="n"/>
    </row>
    <row r="100">
      <c r="C100" s="4559" t="n"/>
      <c r="D100" s="4559" t="n"/>
      <c r="E100" s="4559" t="n"/>
      <c r="F100" s="4559" t="n"/>
      <c r="G100" s="4559" t="n"/>
      <c r="H100" s="4559" t="n"/>
      <c r="I100" s="4559" t="n"/>
      <c r="J100" s="4559" t="n"/>
    </row>
    <row r="101">
      <c r="C101" s="4559" t="n"/>
      <c r="D101" s="4559" t="n"/>
      <c r="E101" s="4559" t="n"/>
      <c r="F101" s="4559" t="n"/>
      <c r="G101" s="4559" t="n"/>
      <c r="H101" s="4559" t="n"/>
      <c r="I101" s="4559" t="n"/>
      <c r="J101" s="4559" t="n"/>
    </row>
    <row r="102">
      <c r="C102" s="4559" t="n"/>
      <c r="D102" s="4559" t="n"/>
      <c r="E102" s="4559" t="n"/>
      <c r="F102" s="4559" t="n"/>
      <c r="G102" s="4559" t="n"/>
      <c r="H102" s="4559" t="n"/>
      <c r="I102" s="4559" t="n"/>
      <c r="J102" s="4559" t="n"/>
    </row>
    <row r="103">
      <c r="C103" s="4559" t="n"/>
      <c r="D103" s="4559" t="n"/>
      <c r="E103" s="4559" t="n"/>
      <c r="F103" s="4559" t="n"/>
      <c r="G103" s="4559" t="n"/>
      <c r="H103" s="4559" t="n"/>
      <c r="I103" s="4559" t="n"/>
      <c r="J103" s="4559" t="n"/>
    </row>
    <row r="104">
      <c r="C104" s="4559" t="n"/>
      <c r="D104" s="4559" t="n"/>
      <c r="E104" s="4559" t="n"/>
      <c r="F104" s="4559" t="n"/>
      <c r="G104" s="4559" t="n"/>
      <c r="H104" s="4559" t="n"/>
      <c r="I104" s="4559" t="n"/>
      <c r="J104" s="4559" t="n"/>
    </row>
    <row r="105">
      <c r="C105" s="4559" t="n"/>
      <c r="D105" s="4559" t="n"/>
      <c r="E105" s="4559" t="n"/>
      <c r="F105" s="4559" t="n"/>
      <c r="G105" s="4559" t="n"/>
      <c r="H105" s="4559" t="n"/>
      <c r="I105" s="4559" t="n"/>
      <c r="J105" s="4559" t="n"/>
    </row>
    <row r="106">
      <c r="C106" s="4559" t="n"/>
      <c r="D106" s="4559" t="n"/>
      <c r="E106" s="4559" t="n"/>
      <c r="F106" s="4559" t="n"/>
      <c r="G106" s="4559" t="n"/>
      <c r="H106" s="4559" t="n"/>
      <c r="I106" s="4559" t="n"/>
      <c r="J106" s="4559" t="n"/>
    </row>
    <row r="107">
      <c r="C107" s="4559" t="n"/>
      <c r="D107" s="4559" t="n"/>
      <c r="E107" s="4559" t="n"/>
      <c r="F107" s="4559" t="n"/>
      <c r="G107" s="4559" t="n"/>
      <c r="H107" s="4559" t="n"/>
      <c r="I107" s="4559" t="n"/>
      <c r="J107" s="4559" t="n"/>
    </row>
    <row r="108">
      <c r="C108" s="4559" t="n"/>
      <c r="D108" s="4559" t="n"/>
      <c r="E108" s="4559" t="n"/>
      <c r="F108" s="4559" t="n"/>
      <c r="G108" s="4559" t="n"/>
      <c r="H108" s="4559" t="n"/>
      <c r="I108" s="4559" t="n"/>
      <c r="J108" s="4559" t="n"/>
    </row>
    <row r="109">
      <c r="C109" s="4559" t="n"/>
      <c r="D109" s="4559" t="n"/>
      <c r="E109" s="4559" t="n"/>
      <c r="F109" s="4559" t="n"/>
      <c r="G109" s="4559" t="n"/>
      <c r="H109" s="4559" t="n"/>
      <c r="I109" s="4559" t="n"/>
      <c r="J109" s="4559" t="n"/>
    </row>
    <row r="110">
      <c r="C110" s="4559" t="n"/>
      <c r="D110" s="4559" t="n"/>
      <c r="E110" s="4559" t="n"/>
      <c r="F110" s="4559" t="n"/>
      <c r="G110" s="4559" t="n"/>
      <c r="H110" s="4559" t="n"/>
      <c r="I110" s="4559" t="n"/>
      <c r="J110" s="4559" t="n"/>
    </row>
    <row r="111">
      <c r="C111" s="4559" t="n"/>
      <c r="D111" s="4559" t="n"/>
      <c r="E111" s="4559" t="n"/>
      <c r="F111" s="4559" t="n"/>
      <c r="G111" s="4559" t="n"/>
      <c r="H111" s="4559" t="n"/>
      <c r="I111" s="4559" t="n"/>
      <c r="J111" s="4559" t="n"/>
    </row>
    <row r="112">
      <c r="C112" s="4559" t="n"/>
      <c r="D112" s="4559" t="n"/>
      <c r="E112" s="4559" t="n"/>
      <c r="F112" s="4559" t="n"/>
      <c r="G112" s="4559" t="n"/>
      <c r="H112" s="4559" t="n"/>
      <c r="I112" s="4559" t="n"/>
      <c r="J112" s="4559" t="n"/>
    </row>
    <row r="113">
      <c r="C113" s="4559" t="n"/>
      <c r="D113" s="4559" t="n"/>
      <c r="E113" s="4559" t="n"/>
      <c r="F113" s="4559" t="n"/>
      <c r="G113" s="4559" t="n"/>
      <c r="H113" s="4559" t="n"/>
      <c r="I113" s="4559" t="n"/>
      <c r="J113" s="4559" t="n"/>
    </row>
    <row r="114">
      <c r="C114" s="4559" t="n"/>
      <c r="D114" s="4559" t="n"/>
      <c r="E114" s="4559" t="n"/>
      <c r="F114" s="4559" t="n"/>
      <c r="G114" s="4559" t="n"/>
      <c r="H114" s="4559" t="n"/>
      <c r="I114" s="4559" t="n"/>
      <c r="J114" s="4559" t="n"/>
    </row>
    <row r="115">
      <c r="C115" s="4559" t="n"/>
      <c r="D115" s="4559" t="n"/>
      <c r="E115" s="4559" t="n"/>
      <c r="F115" s="4559" t="n"/>
      <c r="G115" s="4559" t="n"/>
      <c r="H115" s="4559" t="n"/>
      <c r="I115" s="4559" t="n"/>
      <c r="J115" s="4559" t="n"/>
    </row>
    <row r="116">
      <c r="C116" s="4559" t="n"/>
      <c r="D116" s="4559" t="n"/>
      <c r="E116" s="4559" t="n"/>
      <c r="F116" s="4559" t="n"/>
      <c r="G116" s="4559" t="n"/>
      <c r="H116" s="4559" t="n"/>
      <c r="I116" s="4559" t="n"/>
      <c r="J116" s="4559" t="n"/>
    </row>
    <row r="117">
      <c r="C117" s="4559" t="n"/>
      <c r="D117" s="4559" t="n"/>
      <c r="E117" s="4559" t="n"/>
      <c r="F117" s="4559" t="n"/>
      <c r="G117" s="4559" t="n"/>
      <c r="H117" s="4559" t="n"/>
      <c r="I117" s="4559" t="n"/>
      <c r="J117" s="4559" t="n"/>
    </row>
    <row r="118">
      <c r="C118" s="4559" t="n"/>
      <c r="D118" s="4559" t="n"/>
      <c r="E118" s="4559" t="n"/>
      <c r="F118" s="4559" t="n"/>
      <c r="G118" s="4559" t="n"/>
      <c r="H118" s="4559" t="n"/>
      <c r="I118" s="4559" t="n"/>
      <c r="J118" s="4559" t="n"/>
    </row>
    <row r="119">
      <c r="C119" s="4559" t="n"/>
      <c r="D119" s="4559" t="n"/>
      <c r="E119" s="4559" t="n"/>
      <c r="F119" s="4559" t="n"/>
      <c r="G119" s="4559" t="n"/>
      <c r="H119" s="4559" t="n"/>
      <c r="I119" s="4559" t="n"/>
      <c r="J119" s="4559" t="n"/>
    </row>
    <row r="120">
      <c r="C120" s="4559" t="n"/>
      <c r="D120" s="4559" t="n"/>
      <c r="E120" s="4559" t="n"/>
      <c r="F120" s="4559" t="n"/>
      <c r="G120" s="4559" t="n"/>
      <c r="H120" s="4559" t="n"/>
      <c r="I120" s="4559" t="n"/>
      <c r="J120" s="4559" t="n"/>
    </row>
    <row r="121">
      <c r="C121" s="4559" t="n"/>
      <c r="D121" s="4559" t="n"/>
      <c r="E121" s="4559" t="n"/>
      <c r="F121" s="4559" t="n"/>
      <c r="G121" s="4559" t="n"/>
      <c r="H121" s="4559" t="n"/>
      <c r="I121" s="4559" t="n"/>
      <c r="J121" s="4559" t="n"/>
    </row>
    <row r="122">
      <c r="C122" s="4559" t="n"/>
      <c r="D122" s="4559" t="n"/>
      <c r="E122" s="4559" t="n"/>
      <c r="F122" s="4559" t="n"/>
      <c r="G122" s="4559" t="n"/>
      <c r="H122" s="4559" t="n"/>
      <c r="I122" s="4559" t="n"/>
      <c r="J122" s="4559" t="n"/>
    </row>
    <row r="123">
      <c r="C123" s="4559" t="n"/>
      <c r="D123" s="4559" t="n"/>
      <c r="E123" s="4559" t="n"/>
      <c r="F123" s="4559" t="n"/>
      <c r="G123" s="4559" t="n"/>
      <c r="H123" s="4559" t="n"/>
      <c r="I123" s="4559" t="n"/>
      <c r="J123" s="4559" t="n"/>
    </row>
    <row r="124">
      <c r="C124" s="4559" t="n"/>
      <c r="D124" s="4559" t="n"/>
      <c r="E124" s="4559" t="n"/>
      <c r="F124" s="4559" t="n"/>
      <c r="G124" s="4559" t="n"/>
      <c r="H124" s="4559" t="n"/>
      <c r="I124" s="4559" t="n"/>
      <c r="J124" s="4559" t="n"/>
    </row>
    <row r="125">
      <c r="C125" s="4559" t="n"/>
      <c r="D125" s="4559" t="n"/>
      <c r="E125" s="4559" t="n"/>
      <c r="F125" s="4559" t="n"/>
      <c r="G125" s="4559" t="n"/>
      <c r="H125" s="4559" t="n"/>
      <c r="I125" s="4559" t="n"/>
      <c r="J125" s="4559" t="n"/>
    </row>
    <row r="126">
      <c r="C126" s="4559" t="n"/>
      <c r="D126" s="4559" t="n"/>
      <c r="E126" s="4559" t="n"/>
      <c r="F126" s="4559" t="n"/>
      <c r="G126" s="4559" t="n"/>
      <c r="H126" s="4559" t="n"/>
      <c r="I126" s="4559" t="n"/>
      <c r="J126" s="4559" t="n"/>
    </row>
    <row r="127">
      <c r="C127" s="4559" t="n"/>
      <c r="D127" s="4559" t="n"/>
      <c r="E127" s="4559" t="n"/>
      <c r="F127" s="4559" t="n"/>
      <c r="G127" s="4559" t="n"/>
      <c r="H127" s="4559" t="n"/>
      <c r="I127" s="4559" t="n"/>
      <c r="J127" s="4559" t="n"/>
    </row>
    <row r="128">
      <c r="C128" s="4559" t="n"/>
      <c r="D128" s="4559" t="n"/>
      <c r="E128" s="4559" t="n"/>
      <c r="F128" s="4559" t="n"/>
      <c r="G128" s="4559" t="n"/>
      <c r="H128" s="4559" t="n"/>
      <c r="I128" s="4559" t="n"/>
      <c r="J128" s="4559" t="n"/>
    </row>
    <row r="129">
      <c r="C129" s="4559" t="n"/>
      <c r="D129" s="4559" t="n"/>
      <c r="E129" s="4559" t="n"/>
      <c r="F129" s="4559" t="n"/>
      <c r="G129" s="4559" t="n"/>
      <c r="H129" s="4559" t="n"/>
      <c r="I129" s="4559" t="n"/>
      <c r="J129" s="4559" t="n"/>
    </row>
    <row r="130">
      <c r="C130" s="4559" t="n"/>
      <c r="D130" s="4559" t="n"/>
      <c r="E130" s="4559" t="n"/>
      <c r="F130" s="4559" t="n"/>
      <c r="G130" s="4559" t="n"/>
      <c r="H130" s="4559" t="n"/>
      <c r="I130" s="4559" t="n"/>
      <c r="J130" s="4559" t="n"/>
    </row>
    <row r="131">
      <c r="C131" s="4559" t="n"/>
      <c r="D131" s="4559" t="n"/>
      <c r="E131" s="4559" t="n"/>
      <c r="F131" s="4559" t="n"/>
      <c r="G131" s="4559" t="n"/>
      <c r="H131" s="4559" t="n"/>
      <c r="I131" s="4559" t="n"/>
      <c r="J131" s="4559" t="n"/>
    </row>
    <row r="132">
      <c r="C132" s="4559" t="n"/>
      <c r="D132" s="4559" t="n"/>
      <c r="E132" s="4559" t="n"/>
      <c r="F132" s="4559" t="n"/>
      <c r="G132" s="4559" t="n"/>
      <c r="H132" s="4559" t="n"/>
      <c r="I132" s="4559" t="n"/>
      <c r="J132" s="4559" t="n"/>
    </row>
    <row r="133">
      <c r="C133" s="4559" t="n"/>
      <c r="D133" s="4559" t="n"/>
      <c r="E133" s="4559" t="n"/>
      <c r="F133" s="4559" t="n"/>
      <c r="G133" s="4559" t="n"/>
      <c r="H133" s="4559" t="n"/>
      <c r="I133" s="4559" t="n"/>
      <c r="J133" s="4559" t="n"/>
    </row>
    <row r="134">
      <c r="C134" s="4559" t="n"/>
      <c r="D134" s="4559" t="n"/>
      <c r="E134" s="4559" t="n"/>
      <c r="F134" s="4559" t="n"/>
      <c r="G134" s="4559" t="n"/>
      <c r="H134" s="4559" t="n"/>
      <c r="I134" s="4559" t="n"/>
      <c r="J134" s="4559" t="n"/>
    </row>
    <row r="135">
      <c r="C135" s="4559" t="n"/>
      <c r="D135" s="4559" t="n"/>
      <c r="E135" s="4559" t="n"/>
      <c r="F135" s="4559" t="n"/>
      <c r="G135" s="4559" t="n"/>
      <c r="H135" s="4559" t="n"/>
      <c r="I135" s="4559" t="n"/>
      <c r="J135" s="4559" t="n"/>
    </row>
    <row r="136">
      <c r="C136" s="4559" t="n"/>
      <c r="D136" s="4559" t="n"/>
      <c r="E136" s="4559" t="n"/>
      <c r="F136" s="4559" t="n"/>
      <c r="G136" s="4559" t="n"/>
      <c r="H136" s="4559" t="n"/>
      <c r="I136" s="4559" t="n"/>
      <c r="J136" s="4559" t="n"/>
    </row>
    <row r="137">
      <c r="C137" s="4559" t="n"/>
      <c r="D137" s="4559" t="n"/>
      <c r="E137" s="4559" t="n"/>
      <c r="F137" s="4559" t="n"/>
      <c r="G137" s="4559" t="n"/>
      <c r="H137" s="4559" t="n"/>
      <c r="I137" s="4559" t="n"/>
      <c r="J137" s="4559" t="n"/>
    </row>
    <row r="138">
      <c r="C138" s="4559" t="n"/>
      <c r="D138" s="4559" t="n"/>
      <c r="E138" s="4559" t="n"/>
      <c r="F138" s="4559" t="n"/>
      <c r="G138" s="4559" t="n"/>
      <c r="H138" s="4559" t="n"/>
      <c r="I138" s="4559" t="n"/>
      <c r="J138" s="4559" t="n"/>
    </row>
    <row r="139">
      <c r="C139" s="4559" t="n"/>
      <c r="D139" s="4559" t="n"/>
      <c r="E139" s="4559" t="n"/>
      <c r="F139" s="4559" t="n"/>
      <c r="G139" s="4559" t="n"/>
      <c r="H139" s="4559" t="n"/>
      <c r="I139" s="4559" t="n"/>
      <c r="J139" s="4559" t="n"/>
    </row>
    <row r="140">
      <c r="C140" s="4559" t="n"/>
      <c r="D140" s="4559" t="n"/>
      <c r="E140" s="4559" t="n"/>
      <c r="F140" s="4559" t="n"/>
      <c r="G140" s="4559" t="n"/>
      <c r="H140" s="4559" t="n"/>
      <c r="I140" s="4559" t="n"/>
      <c r="J140" s="4559" t="n"/>
    </row>
    <row r="141">
      <c r="C141" s="4559" t="n"/>
      <c r="D141" s="4559" t="n"/>
      <c r="E141" s="4559" t="n"/>
      <c r="F141" s="4559" t="n"/>
      <c r="G141" s="4559" t="n"/>
      <c r="H141" s="4559" t="n"/>
      <c r="I141" s="4559" t="n"/>
      <c r="J141" s="4559" t="n"/>
    </row>
    <row r="142">
      <c r="C142" s="4559" t="n"/>
      <c r="D142" s="4559" t="n"/>
      <c r="E142" s="4559" t="n"/>
      <c r="F142" s="4559" t="n"/>
      <c r="G142" s="4559" t="n"/>
      <c r="H142" s="4559" t="n"/>
      <c r="I142" s="4559" t="n"/>
      <c r="J142" s="4559" t="n"/>
    </row>
    <row r="143">
      <c r="C143" s="4559" t="n"/>
      <c r="D143" s="4559" t="n"/>
      <c r="E143" s="4559" t="n"/>
      <c r="F143" s="4559" t="n"/>
      <c r="G143" s="4559" t="n"/>
      <c r="H143" s="4559" t="n"/>
      <c r="I143" s="4559" t="n"/>
      <c r="J143" s="4559" t="n"/>
    </row>
    <row r="144">
      <c r="C144" s="4559" t="n"/>
      <c r="D144" s="4559" t="n"/>
      <c r="E144" s="4559" t="n"/>
      <c r="F144" s="4559" t="n"/>
      <c r="G144" s="4559" t="n"/>
      <c r="H144" s="4559" t="n"/>
      <c r="I144" s="4559" t="n"/>
      <c r="J144" s="4559" t="n"/>
    </row>
    <row r="145">
      <c r="C145" s="4559" t="n"/>
      <c r="D145" s="4559" t="n"/>
      <c r="E145" s="4559" t="n"/>
      <c r="F145" s="4559" t="n"/>
      <c r="G145" s="4559" t="n"/>
      <c r="H145" s="4559" t="n"/>
      <c r="I145" s="4559" t="n"/>
      <c r="J145" s="4559" t="n"/>
    </row>
    <row r="146">
      <c r="C146" s="4559" t="n"/>
      <c r="D146" s="4559" t="n"/>
      <c r="E146" s="4559" t="n"/>
      <c r="F146" s="4559" t="n"/>
      <c r="G146" s="4559" t="n"/>
      <c r="H146" s="4559" t="n"/>
      <c r="I146" s="4559" t="n"/>
      <c r="J146" s="4559" t="n"/>
    </row>
    <row r="147">
      <c r="C147" s="4559" t="n"/>
      <c r="D147" s="4559" t="n"/>
      <c r="E147" s="4559" t="n"/>
      <c r="F147" s="4559" t="n"/>
      <c r="G147" s="4559" t="n"/>
      <c r="H147" s="4559" t="n"/>
      <c r="I147" s="4559" t="n"/>
      <c r="J147" s="4559" t="n"/>
    </row>
    <row r="148">
      <c r="C148" s="4559" t="n"/>
      <c r="D148" s="4559" t="n"/>
      <c r="E148" s="4559" t="n"/>
      <c r="F148" s="4559" t="n"/>
      <c r="G148" s="4559" t="n"/>
      <c r="H148" s="4559" t="n"/>
      <c r="I148" s="4559" t="n"/>
      <c r="J148" s="4559" t="n"/>
    </row>
    <row r="149">
      <c r="C149" s="4559" t="n"/>
      <c r="D149" s="4559" t="n"/>
      <c r="E149" s="4559" t="n"/>
      <c r="F149" s="4559" t="n"/>
      <c r="G149" s="4559" t="n"/>
      <c r="H149" s="4559" t="n"/>
      <c r="I149" s="4559" t="n"/>
      <c r="J149" s="4559" t="n"/>
    </row>
    <row r="150">
      <c r="C150" s="4559" t="n"/>
      <c r="D150" s="4559" t="n"/>
      <c r="E150" s="4559" t="n"/>
      <c r="F150" s="4559" t="n"/>
      <c r="G150" s="4559" t="n"/>
      <c r="H150" s="4559" t="n"/>
      <c r="I150" s="4559" t="n"/>
      <c r="J150" s="4559" t="n"/>
    </row>
    <row r="151">
      <c r="C151" s="4559" t="n"/>
      <c r="D151" s="4559" t="n"/>
      <c r="E151" s="4559" t="n"/>
      <c r="F151" s="4559" t="n"/>
      <c r="G151" s="4559" t="n"/>
      <c r="H151" s="4559" t="n"/>
      <c r="I151" s="4559" t="n"/>
      <c r="J151" s="4559" t="n"/>
    </row>
    <row r="152">
      <c r="C152" s="4559" t="n"/>
      <c r="D152" s="4559" t="n"/>
      <c r="E152" s="4559" t="n"/>
      <c r="F152" s="4559" t="n"/>
      <c r="G152" s="4559" t="n"/>
      <c r="H152" s="4559" t="n"/>
      <c r="I152" s="4559" t="n"/>
      <c r="J152" s="4559" t="n"/>
    </row>
    <row r="153">
      <c r="C153" s="4559" t="n"/>
      <c r="D153" s="4559" t="n"/>
      <c r="E153" s="4559" t="n"/>
      <c r="F153" s="4559" t="n"/>
      <c r="G153" s="4559" t="n"/>
      <c r="H153" s="4559" t="n"/>
      <c r="I153" s="4559" t="n"/>
      <c r="J153" s="4559" t="n"/>
    </row>
    <row r="154">
      <c r="C154" s="4559" t="n"/>
      <c r="D154" s="4559" t="n"/>
      <c r="E154" s="4559" t="n"/>
      <c r="F154" s="4559" t="n"/>
      <c r="G154" s="4559" t="n"/>
      <c r="H154" s="4559" t="n"/>
      <c r="I154" s="4559" t="n"/>
      <c r="J154" s="4559" t="n"/>
    </row>
    <row r="155">
      <c r="C155" s="4559" t="n"/>
      <c r="D155" s="4559" t="n"/>
      <c r="E155" s="4559" t="n"/>
      <c r="F155" s="4559" t="n"/>
      <c r="G155" s="4559" t="n"/>
      <c r="H155" s="4559" t="n"/>
      <c r="I155" s="4559" t="n"/>
      <c r="J155" s="4559" t="n"/>
    </row>
    <row r="156">
      <c r="C156" s="4559" t="n"/>
      <c r="D156" s="4559" t="n"/>
      <c r="E156" s="4559" t="n"/>
      <c r="F156" s="4559" t="n"/>
      <c r="G156" s="4559" t="n"/>
      <c r="H156" s="4559" t="n"/>
      <c r="I156" s="4559" t="n"/>
      <c r="J156" s="4559" t="n"/>
    </row>
    <row r="157">
      <c r="C157" s="4559" t="n"/>
      <c r="D157" s="4559" t="n"/>
      <c r="E157" s="4559" t="n"/>
      <c r="F157" s="4559" t="n"/>
      <c r="G157" s="4559" t="n"/>
      <c r="H157" s="4559" t="n"/>
      <c r="I157" s="4559" t="n"/>
      <c r="J157" s="4559" t="n"/>
    </row>
    <row r="158">
      <c r="C158" s="4559" t="n"/>
      <c r="D158" s="4559" t="n"/>
      <c r="E158" s="4559" t="n"/>
      <c r="F158" s="4559" t="n"/>
      <c r="G158" s="4559" t="n"/>
      <c r="H158" s="4559" t="n"/>
      <c r="I158" s="4559" t="n"/>
      <c r="J158" s="4559" t="n"/>
    </row>
    <row r="159">
      <c r="C159" s="4559" t="n"/>
      <c r="D159" s="4559" t="n"/>
      <c r="E159" s="4559" t="n"/>
      <c r="F159" s="4559" t="n"/>
      <c r="G159" s="4559" t="n"/>
      <c r="H159" s="4559" t="n"/>
      <c r="I159" s="4559" t="n"/>
      <c r="J159" s="4559" t="n"/>
    </row>
    <row r="160">
      <c r="C160" s="4559" t="n"/>
      <c r="D160" s="4559" t="n"/>
      <c r="E160" s="4559" t="n"/>
      <c r="F160" s="4559" t="n"/>
      <c r="G160" s="4559" t="n"/>
      <c r="H160" s="4559" t="n"/>
      <c r="I160" s="4559" t="n"/>
      <c r="J160" s="4559" t="n"/>
    </row>
    <row r="161">
      <c r="C161" s="4559" t="n"/>
      <c r="D161" s="4559" t="n"/>
      <c r="E161" s="4559" t="n"/>
      <c r="F161" s="4559" t="n"/>
      <c r="G161" s="4559" t="n"/>
      <c r="H161" s="4559" t="n"/>
      <c r="I161" s="4559" t="n"/>
      <c r="J161" s="4559" t="n"/>
    </row>
    <row r="162">
      <c r="C162" s="4559" t="n"/>
      <c r="D162" s="4559" t="n"/>
      <c r="E162" s="4559" t="n"/>
      <c r="F162" s="4559" t="n"/>
      <c r="G162" s="4559" t="n"/>
      <c r="H162" s="4559" t="n"/>
      <c r="I162" s="4559" t="n"/>
      <c r="J162" s="4559" t="n"/>
    </row>
    <row r="163">
      <c r="C163" s="4559" t="n"/>
      <c r="D163" s="4559" t="n"/>
      <c r="E163" s="4559" t="n"/>
      <c r="F163" s="4559" t="n"/>
      <c r="G163" s="4559" t="n"/>
      <c r="H163" s="4559" t="n"/>
      <c r="I163" s="4559" t="n"/>
      <c r="J163" s="4559" t="n"/>
    </row>
    <row r="164">
      <c r="C164" s="4559" t="n"/>
      <c r="D164" s="4559" t="n"/>
      <c r="E164" s="4559" t="n"/>
      <c r="F164" s="4559" t="n"/>
      <c r="G164" s="4559" t="n"/>
      <c r="H164" s="4559" t="n"/>
      <c r="I164" s="4559" t="n"/>
      <c r="J164" s="4559" t="n"/>
    </row>
    <row r="165">
      <c r="C165" s="4559" t="n"/>
      <c r="D165" s="4559" t="n"/>
      <c r="E165" s="4559" t="n"/>
      <c r="F165" s="4559" t="n"/>
      <c r="G165" s="4559" t="n"/>
      <c r="H165" s="4559" t="n"/>
      <c r="I165" s="4559" t="n"/>
      <c r="J165" s="4559" t="n"/>
    </row>
    <row r="166">
      <c r="C166" s="4559" t="n"/>
      <c r="D166" s="4559" t="n"/>
      <c r="E166" s="4559" t="n"/>
      <c r="F166" s="4559" t="n"/>
      <c r="G166" s="4559" t="n"/>
      <c r="H166" s="4559" t="n"/>
      <c r="I166" s="4559" t="n"/>
      <c r="J166" s="4559" t="n"/>
    </row>
    <row r="167">
      <c r="C167" s="4559" t="n"/>
      <c r="D167" s="4559" t="n"/>
      <c r="E167" s="4559" t="n"/>
      <c r="F167" s="4559" t="n"/>
      <c r="G167" s="4559" t="n"/>
      <c r="H167" s="4559" t="n"/>
      <c r="I167" s="4559" t="n"/>
      <c r="J167" s="4559" t="n"/>
    </row>
    <row r="168">
      <c r="C168" s="4559" t="n"/>
      <c r="D168" s="4559" t="n"/>
      <c r="E168" s="4559" t="n"/>
      <c r="F168" s="4559" t="n"/>
      <c r="G168" s="4559" t="n"/>
      <c r="H168" s="4559" t="n"/>
      <c r="I168" s="4559" t="n"/>
      <c r="J168" s="4559" t="n"/>
    </row>
    <row r="169">
      <c r="C169" s="4559" t="n"/>
      <c r="D169" s="4559" t="n"/>
      <c r="E169" s="4559" t="n"/>
      <c r="F169" s="4559" t="n"/>
      <c r="G169" s="4559" t="n"/>
      <c r="H169" s="4559" t="n"/>
      <c r="I169" s="4559" t="n"/>
      <c r="J169" s="4559" t="n"/>
    </row>
    <row r="170">
      <c r="C170" s="4559" t="n"/>
      <c r="D170" s="4559" t="n"/>
      <c r="E170" s="4559" t="n"/>
      <c r="F170" s="4559" t="n"/>
      <c r="G170" s="4559" t="n"/>
      <c r="H170" s="4559" t="n"/>
      <c r="I170" s="4559" t="n"/>
      <c r="J170" s="4559" t="n"/>
    </row>
    <row r="171">
      <c r="C171" s="4559" t="n"/>
      <c r="D171" s="4559" t="n"/>
      <c r="E171" s="4559" t="n"/>
      <c r="F171" s="4559" t="n"/>
      <c r="G171" s="4559" t="n"/>
      <c r="H171" s="4559" t="n"/>
      <c r="I171" s="4559" t="n"/>
      <c r="J171" s="4559" t="n"/>
    </row>
    <row r="172">
      <c r="C172" s="4559" t="n"/>
      <c r="D172" s="4559" t="n"/>
      <c r="E172" s="4559" t="n"/>
      <c r="F172" s="4559" t="n"/>
      <c r="G172" s="4559" t="n"/>
      <c r="H172" s="4559" t="n"/>
      <c r="I172" s="4559" t="n"/>
      <c r="J172" s="4559" t="n"/>
    </row>
    <row r="173">
      <c r="C173" s="4559" t="n"/>
      <c r="D173" s="4559" t="n"/>
      <c r="E173" s="4559" t="n"/>
      <c r="F173" s="4559" t="n"/>
      <c r="G173" s="4559" t="n"/>
      <c r="H173" s="4559" t="n"/>
      <c r="I173" s="4559" t="n"/>
      <c r="J173" s="4559" t="n"/>
    </row>
    <row r="174">
      <c r="C174" s="4559" t="n"/>
      <c r="D174" s="4559" t="n"/>
      <c r="E174" s="4559" t="n"/>
      <c r="F174" s="4559" t="n"/>
      <c r="G174" s="4559" t="n"/>
      <c r="H174" s="4559" t="n"/>
      <c r="I174" s="4559" t="n"/>
      <c r="J174" s="4559" t="n"/>
    </row>
    <row r="175">
      <c r="C175" s="4559" t="n"/>
      <c r="D175" s="4559" t="n"/>
      <c r="E175" s="4559" t="n"/>
      <c r="F175" s="4559" t="n"/>
      <c r="G175" s="4559" t="n"/>
      <c r="H175" s="4559" t="n"/>
      <c r="I175" s="4559" t="n"/>
      <c r="J175" s="4559" t="n"/>
    </row>
    <row r="176">
      <c r="C176" s="4559" t="n"/>
      <c r="D176" s="4559" t="n"/>
      <c r="E176" s="4559" t="n"/>
      <c r="F176" s="4559" t="n"/>
      <c r="G176" s="4559" t="n"/>
      <c r="H176" s="4559" t="n"/>
      <c r="I176" s="4559" t="n"/>
      <c r="J176" s="4559" t="n"/>
    </row>
    <row r="177">
      <c r="C177" s="4559" t="n"/>
      <c r="D177" s="4559" t="n"/>
      <c r="E177" s="4559" t="n"/>
      <c r="F177" s="4559" t="n"/>
      <c r="G177" s="4559" t="n"/>
      <c r="H177" s="4559" t="n"/>
      <c r="I177" s="4559" t="n"/>
      <c r="J177" s="4559" t="n"/>
    </row>
    <row r="178">
      <c r="C178" s="4559" t="n"/>
      <c r="D178" s="4559" t="n"/>
      <c r="E178" s="4559" t="n"/>
      <c r="F178" s="4559" t="n"/>
      <c r="G178" s="4559" t="n"/>
      <c r="H178" s="4559" t="n"/>
      <c r="I178" s="4559" t="n"/>
      <c r="J178" s="4559" t="n"/>
    </row>
    <row r="179">
      <c r="C179" s="4559" t="n"/>
      <c r="D179" s="4559" t="n"/>
      <c r="E179" s="4559" t="n"/>
      <c r="F179" s="4559" t="n"/>
      <c r="G179" s="4559" t="n"/>
      <c r="H179" s="4559" t="n"/>
      <c r="I179" s="4559" t="n"/>
      <c r="J179" s="4559" t="n"/>
    </row>
    <row r="180">
      <c r="C180" s="4559" t="n"/>
      <c r="D180" s="4559" t="n"/>
      <c r="E180" s="4559" t="n"/>
      <c r="F180" s="4559" t="n"/>
      <c r="G180" s="4559" t="n"/>
      <c r="H180" s="4559" t="n"/>
      <c r="I180" s="4559" t="n"/>
      <c r="J180" s="4559" t="n"/>
    </row>
    <row r="181">
      <c r="C181" s="4559" t="n"/>
      <c r="D181" s="4559" t="n"/>
      <c r="E181" s="4559" t="n"/>
      <c r="F181" s="4559" t="n"/>
      <c r="G181" s="4559" t="n"/>
      <c r="H181" s="4559" t="n"/>
      <c r="I181" s="4559" t="n"/>
      <c r="J181" s="4559" t="n"/>
    </row>
    <row r="182">
      <c r="C182" s="4559" t="n"/>
      <c r="D182" s="4559" t="n"/>
      <c r="E182" s="4559" t="n"/>
      <c r="F182" s="4559" t="n"/>
      <c r="G182" s="4559" t="n"/>
      <c r="H182" s="4559" t="n"/>
      <c r="I182" s="4559" t="n"/>
      <c r="J182" s="4559" t="n"/>
    </row>
    <row r="183">
      <c r="C183" s="4559" t="n"/>
      <c r="D183" s="4559" t="n"/>
      <c r="E183" s="4559" t="n"/>
      <c r="F183" s="4559" t="n"/>
      <c r="G183" s="4559" t="n"/>
      <c r="H183" s="4559" t="n"/>
      <c r="I183" s="4559" t="n"/>
      <c r="J183" s="4559" t="n"/>
    </row>
    <row r="184">
      <c r="C184" s="4559" t="n"/>
      <c r="D184" s="4559" t="n"/>
      <c r="E184" s="4559" t="n"/>
      <c r="F184" s="4559" t="n"/>
      <c r="G184" s="4559" t="n"/>
      <c r="H184" s="4559" t="n"/>
      <c r="I184" s="4559" t="n"/>
      <c r="J184" s="4559" t="n"/>
    </row>
    <row r="185">
      <c r="C185" s="4559" t="n"/>
      <c r="D185" s="4559" t="n"/>
      <c r="E185" s="4559" t="n"/>
      <c r="F185" s="4559" t="n"/>
      <c r="G185" s="4559" t="n"/>
      <c r="H185" s="4559" t="n"/>
      <c r="I185" s="4559" t="n"/>
      <c r="J185" s="4559" t="n"/>
    </row>
    <row r="186">
      <c r="C186" s="4559" t="n"/>
      <c r="D186" s="4559" t="n"/>
      <c r="E186" s="4559" t="n"/>
      <c r="F186" s="4559" t="n"/>
      <c r="G186" s="4559" t="n"/>
      <c r="H186" s="4559" t="n"/>
      <c r="I186" s="4559" t="n"/>
      <c r="J186" s="4559" t="n"/>
    </row>
    <row r="187">
      <c r="C187" s="4559" t="n"/>
      <c r="D187" s="4559" t="n"/>
      <c r="E187" s="4559" t="n"/>
      <c r="F187" s="4559" t="n"/>
      <c r="G187" s="4559" t="n"/>
      <c r="H187" s="4559" t="n"/>
      <c r="I187" s="4559" t="n"/>
      <c r="J187" s="4559" t="n"/>
    </row>
    <row r="188">
      <c r="C188" s="4559" t="n"/>
      <c r="D188" s="4559" t="n"/>
      <c r="E188" s="4559" t="n"/>
      <c r="F188" s="4559" t="n"/>
      <c r="G188" s="4559" t="n"/>
      <c r="H188" s="4559" t="n"/>
      <c r="I188" s="4559" t="n"/>
      <c r="J188" s="4559" t="n"/>
    </row>
    <row r="189">
      <c r="C189" s="4559" t="n"/>
      <c r="D189" s="4559" t="n"/>
      <c r="E189" s="4559" t="n"/>
      <c r="F189" s="4559" t="n"/>
      <c r="G189" s="4559" t="n"/>
      <c r="H189" s="4559" t="n"/>
      <c r="I189" s="4559" t="n"/>
      <c r="J189" s="4559" t="n"/>
    </row>
    <row r="190">
      <c r="C190" s="4559" t="n"/>
      <c r="D190" s="4559" t="n"/>
      <c r="E190" s="4559" t="n"/>
      <c r="F190" s="4559" t="n"/>
      <c r="G190" s="4559" t="n"/>
      <c r="H190" s="4559" t="n"/>
      <c r="I190" s="4559" t="n"/>
      <c r="J190" s="4559" t="n"/>
    </row>
    <row r="191">
      <c r="C191" s="4559" t="n"/>
      <c r="D191" s="4559" t="n"/>
      <c r="E191" s="4559" t="n"/>
      <c r="F191" s="4559" t="n"/>
      <c r="G191" s="4559" t="n"/>
      <c r="H191" s="4559" t="n"/>
      <c r="I191" s="4559" t="n"/>
      <c r="J191" s="4559" t="n"/>
    </row>
    <row r="192">
      <c r="C192" s="4559" t="n"/>
      <c r="D192" s="4559" t="n"/>
      <c r="E192" s="4559" t="n"/>
      <c r="F192" s="4559" t="n"/>
      <c r="G192" s="4559" t="n"/>
      <c r="H192" s="4559" t="n"/>
      <c r="I192" s="4559" t="n"/>
      <c r="J192" s="4559" t="n"/>
    </row>
    <row r="193">
      <c r="C193" s="4559" t="n"/>
      <c r="D193" s="4559" t="n"/>
      <c r="E193" s="4559" t="n"/>
      <c r="F193" s="4559" t="n"/>
      <c r="G193" s="4559" t="n"/>
      <c r="H193" s="4559" t="n"/>
      <c r="I193" s="4559" t="n"/>
      <c r="J193" s="4559" t="n"/>
    </row>
    <row r="194">
      <c r="C194" s="4559" t="n"/>
      <c r="D194" s="4559" t="n"/>
      <c r="E194" s="4559" t="n"/>
      <c r="F194" s="4559" t="n"/>
      <c r="G194" s="4559" t="n"/>
      <c r="H194" s="4559" t="n"/>
      <c r="I194" s="4559" t="n"/>
      <c r="J194" s="4559" t="n"/>
    </row>
    <row r="195">
      <c r="C195" s="4559" t="n"/>
      <c r="D195" s="4559" t="n"/>
      <c r="E195" s="4559" t="n"/>
      <c r="F195" s="4559" t="n"/>
      <c r="G195" s="4559" t="n"/>
      <c r="H195" s="4559" t="n"/>
      <c r="I195" s="4559" t="n"/>
      <c r="J195" s="4559" t="n"/>
    </row>
    <row r="196">
      <c r="C196" s="4559" t="n"/>
      <c r="D196" s="4559" t="n"/>
      <c r="E196" s="4559" t="n"/>
      <c r="F196" s="4559" t="n"/>
      <c r="G196" s="4559" t="n"/>
      <c r="H196" s="4559" t="n"/>
      <c r="I196" s="4559" t="n"/>
      <c r="J196" s="4559" t="n"/>
    </row>
    <row r="197">
      <c r="C197" s="4559" t="n"/>
      <c r="D197" s="4559" t="n"/>
      <c r="E197" s="4559" t="n"/>
      <c r="F197" s="4559" t="n"/>
      <c r="G197" s="4559" t="n"/>
      <c r="H197" s="4559" t="n"/>
      <c r="I197" s="4559" t="n"/>
      <c r="J197" s="4559" t="n"/>
    </row>
    <row r="198">
      <c r="C198" s="4559" t="n"/>
      <c r="D198" s="4559" t="n"/>
      <c r="E198" s="4559" t="n"/>
      <c r="F198" s="4559" t="n"/>
      <c r="G198" s="4559" t="n"/>
      <c r="H198" s="4559" t="n"/>
      <c r="I198" s="4559" t="n"/>
      <c r="J198" s="4559" t="n"/>
    </row>
    <row r="199">
      <c r="C199" s="4559" t="n"/>
      <c r="D199" s="4559" t="n"/>
      <c r="E199" s="4559" t="n"/>
      <c r="F199" s="4559" t="n"/>
      <c r="G199" s="4559" t="n"/>
      <c r="H199" s="4559" t="n"/>
      <c r="I199" s="4559" t="n"/>
      <c r="J199" s="4559" t="n"/>
    </row>
    <row r="200">
      <c r="C200" s="4559" t="n"/>
      <c r="D200" s="4559" t="n"/>
      <c r="E200" s="4559" t="n"/>
      <c r="F200" s="4559" t="n"/>
      <c r="G200" s="4559" t="n"/>
      <c r="H200" s="4559" t="n"/>
      <c r="I200" s="4559" t="n"/>
      <c r="J200" s="4559" t="n"/>
    </row>
    <row r="201">
      <c r="C201" s="4559" t="n"/>
      <c r="D201" s="4559" t="n"/>
      <c r="E201" s="4559" t="n"/>
      <c r="F201" s="4559" t="n"/>
      <c r="G201" s="4559" t="n"/>
      <c r="H201" s="4559" t="n"/>
      <c r="I201" s="4559" t="n"/>
      <c r="J201" s="4559" t="n"/>
    </row>
    <row r="202">
      <c r="C202" s="4559" t="n"/>
      <c r="D202" s="4559" t="n"/>
      <c r="E202" s="4559" t="n"/>
      <c r="F202" s="4559" t="n"/>
      <c r="G202" s="4559" t="n"/>
      <c r="H202" s="4559" t="n"/>
      <c r="I202" s="4559" t="n"/>
      <c r="J202" s="4559" t="n"/>
    </row>
    <row r="203">
      <c r="C203" s="4559" t="n"/>
      <c r="D203" s="4559" t="n"/>
      <c r="E203" s="4559" t="n"/>
      <c r="F203" s="4559" t="n"/>
      <c r="G203" s="4559" t="n"/>
      <c r="H203" s="4559" t="n"/>
      <c r="I203" s="4559" t="n"/>
      <c r="J203" s="4559" t="n"/>
    </row>
    <row r="204">
      <c r="C204" s="4559" t="n"/>
      <c r="D204" s="4559" t="n"/>
      <c r="E204" s="4559" t="n"/>
      <c r="F204" s="4559" t="n"/>
      <c r="G204" s="4559" t="n"/>
      <c r="H204" s="4559" t="n"/>
      <c r="I204" s="4559" t="n"/>
      <c r="J204" s="4559" t="n"/>
    </row>
    <row r="205">
      <c r="C205" s="4559" t="n"/>
      <c r="D205" s="4559" t="n"/>
      <c r="E205" s="4559" t="n"/>
      <c r="F205" s="4559" t="n"/>
      <c r="G205" s="4559" t="n"/>
      <c r="H205" s="4559" t="n"/>
      <c r="I205" s="4559" t="n"/>
      <c r="J205" s="4559" t="n"/>
    </row>
    <row r="206">
      <c r="C206" s="4559" t="n"/>
      <c r="D206" s="4559" t="n"/>
      <c r="E206" s="4559" t="n"/>
      <c r="F206" s="4559" t="n"/>
      <c r="G206" s="4559" t="n"/>
      <c r="H206" s="4559" t="n"/>
      <c r="I206" s="4559" t="n"/>
      <c r="J206" s="4559" t="n"/>
    </row>
    <row r="207">
      <c r="C207" s="4559" t="n"/>
      <c r="D207" s="4559" t="n"/>
      <c r="E207" s="4559" t="n"/>
      <c r="F207" s="4559" t="n"/>
      <c r="G207" s="4559" t="n"/>
      <c r="H207" s="4559" t="n"/>
      <c r="I207" s="4559" t="n"/>
      <c r="J207" s="4559" t="n"/>
    </row>
    <row r="208">
      <c r="C208" s="4559" t="n"/>
      <c r="D208" s="4559" t="n"/>
      <c r="E208" s="4559" t="n"/>
      <c r="F208" s="4559" t="n"/>
      <c r="G208" s="4559" t="n"/>
      <c r="H208" s="4559" t="n"/>
      <c r="I208" s="4559" t="n"/>
      <c r="J208" s="4559" t="n"/>
    </row>
    <row r="209">
      <c r="C209" s="4559" t="n"/>
      <c r="D209" s="4559" t="n"/>
      <c r="E209" s="4559" t="n"/>
      <c r="F209" s="4559" t="n"/>
      <c r="G209" s="4559" t="n"/>
      <c r="H209" s="4559" t="n"/>
      <c r="I209" s="4559" t="n"/>
      <c r="J209" s="4559" t="n"/>
    </row>
    <row r="210">
      <c r="C210" s="4559" t="n"/>
      <c r="D210" s="4559" t="n"/>
      <c r="E210" s="4559" t="n"/>
      <c r="F210" s="4559" t="n"/>
      <c r="G210" s="4559" t="n"/>
      <c r="H210" s="4559" t="n"/>
      <c r="I210" s="4559" t="n"/>
      <c r="J210" s="4559" t="n"/>
    </row>
    <row r="211">
      <c r="C211" s="4559" t="n"/>
      <c r="D211" s="4559" t="n"/>
      <c r="E211" s="4559" t="n"/>
      <c r="F211" s="4559" t="n"/>
      <c r="G211" s="4559" t="n"/>
      <c r="H211" s="4559" t="n"/>
      <c r="I211" s="4559" t="n"/>
      <c r="J211" s="4559" t="n"/>
    </row>
    <row r="212">
      <c r="C212" s="4559" t="n"/>
      <c r="D212" s="4559" t="n"/>
      <c r="E212" s="4559" t="n"/>
      <c r="F212" s="4559" t="n"/>
      <c r="G212" s="4559" t="n"/>
      <c r="H212" s="4559" t="n"/>
      <c r="I212" s="4559" t="n"/>
      <c r="J212" s="4559" t="n"/>
    </row>
    <row r="213">
      <c r="C213" s="4559" t="n"/>
      <c r="D213" s="4559" t="n"/>
      <c r="E213" s="4559" t="n"/>
      <c r="F213" s="4559" t="n"/>
      <c r="G213" s="4559" t="n"/>
      <c r="H213" s="4559" t="n"/>
      <c r="I213" s="4559" t="n"/>
      <c r="J213" s="4559" t="n"/>
    </row>
    <row r="214">
      <c r="C214" s="4559" t="n"/>
      <c r="D214" s="4559" t="n"/>
      <c r="E214" s="4559" t="n"/>
      <c r="F214" s="4559" t="n"/>
      <c r="G214" s="4559" t="n"/>
      <c r="H214" s="4559" t="n"/>
      <c r="I214" s="4559" t="n"/>
      <c r="J214" s="4559" t="n"/>
    </row>
    <row r="215">
      <c r="C215" s="4559" t="n"/>
      <c r="D215" s="4559" t="n"/>
      <c r="E215" s="4559" t="n"/>
      <c r="F215" s="4559" t="n"/>
      <c r="G215" s="4559" t="n"/>
      <c r="H215" s="4559" t="n"/>
      <c r="I215" s="4559" t="n"/>
      <c r="J215" s="4559" t="n"/>
    </row>
    <row r="216">
      <c r="C216" s="4559" t="n"/>
      <c r="D216" s="4559" t="n"/>
      <c r="E216" s="4559" t="n"/>
      <c r="F216" s="4559" t="n"/>
      <c r="G216" s="4559" t="n"/>
      <c r="H216" s="4559" t="n"/>
      <c r="I216" s="4559" t="n"/>
      <c r="J216" s="4559" t="n"/>
    </row>
    <row r="217">
      <c r="C217" s="4559" t="n"/>
      <c r="D217" s="4559" t="n"/>
      <c r="E217" s="4559" t="n"/>
      <c r="F217" s="4559" t="n"/>
      <c r="G217" s="4559" t="n"/>
      <c r="H217" s="4559" t="n"/>
      <c r="I217" s="4559" t="n"/>
      <c r="J217" s="4559" t="n"/>
    </row>
    <row r="218">
      <c r="C218" s="4559" t="n"/>
      <c r="D218" s="4559" t="n"/>
      <c r="E218" s="4559" t="n"/>
      <c r="F218" s="4559" t="n"/>
      <c r="G218" s="4559" t="n"/>
      <c r="H218" s="4559" t="n"/>
      <c r="I218" s="4559" t="n"/>
      <c r="J218" s="4559" t="n"/>
    </row>
    <row r="219">
      <c r="C219" s="4559" t="n"/>
      <c r="D219" s="4559" t="n"/>
      <c r="E219" s="4559" t="n"/>
      <c r="F219" s="4559" t="n"/>
      <c r="G219" s="4559" t="n"/>
      <c r="H219" s="4559" t="n"/>
      <c r="I219" s="4559" t="n"/>
      <c r="J219" s="4559" t="n"/>
    </row>
    <row r="220">
      <c r="C220" s="4559" t="n"/>
      <c r="D220" s="4559" t="n"/>
      <c r="E220" s="4559" t="n"/>
      <c r="F220" s="4559" t="n"/>
      <c r="G220" s="4559" t="n"/>
      <c r="H220" s="4559" t="n"/>
      <c r="I220" s="4559" t="n"/>
      <c r="J220" s="4559" t="n"/>
    </row>
    <row r="221">
      <c r="C221" s="4559" t="n"/>
      <c r="D221" s="4559" t="n"/>
      <c r="E221" s="4559" t="n"/>
      <c r="F221" s="4559" t="n"/>
      <c r="G221" s="4559" t="n"/>
      <c r="H221" s="4559" t="n"/>
      <c r="I221" s="4559" t="n"/>
      <c r="J221" s="4559" t="n"/>
    </row>
    <row r="222">
      <c r="C222" s="4559" t="n"/>
      <c r="D222" s="4559" t="n"/>
      <c r="E222" s="4559" t="n"/>
      <c r="F222" s="4559" t="n"/>
      <c r="G222" s="4559" t="n"/>
      <c r="H222" s="4559" t="n"/>
      <c r="I222" s="4559" t="n"/>
      <c r="J222" s="4559" t="n"/>
    </row>
    <row r="223">
      <c r="C223" s="4559" t="n"/>
      <c r="D223" s="4559" t="n"/>
      <c r="E223" s="4559" t="n"/>
      <c r="F223" s="4559" t="n"/>
      <c r="G223" s="4559" t="n"/>
      <c r="H223" s="4559" t="n"/>
      <c r="I223" s="4559" t="n"/>
      <c r="J223" s="4559" t="n"/>
    </row>
    <row r="224">
      <c r="C224" s="4559" t="n"/>
      <c r="D224" s="4559" t="n"/>
      <c r="E224" s="4559" t="n"/>
      <c r="F224" s="4559" t="n"/>
      <c r="G224" s="4559" t="n"/>
      <c r="H224" s="4559" t="n"/>
      <c r="I224" s="4559" t="n"/>
      <c r="J224" s="4559" t="n"/>
    </row>
    <row r="225">
      <c r="C225" s="4559" t="n"/>
      <c r="D225" s="4559" t="n"/>
      <c r="E225" s="4559" t="n"/>
      <c r="F225" s="4559" t="n"/>
      <c r="G225" s="4559" t="n"/>
      <c r="H225" s="4559" t="n"/>
      <c r="I225" s="4559" t="n"/>
      <c r="J225" s="4559" t="n"/>
    </row>
    <row r="226">
      <c r="C226" s="4559" t="n"/>
      <c r="D226" s="4559" t="n"/>
      <c r="E226" s="4559" t="n"/>
      <c r="F226" s="4559" t="n"/>
      <c r="G226" s="4559" t="n"/>
      <c r="H226" s="4559" t="n"/>
      <c r="I226" s="4559" t="n"/>
      <c r="J226" s="4559" t="n"/>
    </row>
    <row r="227">
      <c r="C227" s="4559" t="n"/>
      <c r="D227" s="4559" t="n"/>
      <c r="E227" s="4559" t="n"/>
      <c r="F227" s="4559" t="n"/>
      <c r="G227" s="4559" t="n"/>
      <c r="H227" s="4559" t="n"/>
      <c r="I227" s="4559" t="n"/>
      <c r="J227" s="4559" t="n"/>
    </row>
    <row r="228">
      <c r="C228" s="4559" t="n"/>
      <c r="D228" s="4559" t="n"/>
      <c r="E228" s="4559" t="n"/>
      <c r="F228" s="4559" t="n"/>
      <c r="G228" s="4559" t="n"/>
      <c r="H228" s="4559" t="n"/>
      <c r="I228" s="4559" t="n"/>
      <c r="J228" s="4559" t="n"/>
    </row>
    <row r="229">
      <c r="C229" s="4559" t="n"/>
      <c r="D229" s="4559" t="n"/>
      <c r="E229" s="4559" t="n"/>
      <c r="F229" s="4559" t="n"/>
      <c r="G229" s="4559" t="n"/>
      <c r="H229" s="4559" t="n"/>
      <c r="I229" s="4559" t="n"/>
      <c r="J229" s="4559" t="n"/>
    </row>
    <row r="230">
      <c r="C230" s="4559" t="n"/>
      <c r="D230" s="4559" t="n"/>
      <c r="E230" s="4559" t="n"/>
      <c r="F230" s="4559" t="n"/>
      <c r="G230" s="4559" t="n"/>
      <c r="H230" s="4559" t="n"/>
      <c r="I230" s="4559" t="n"/>
      <c r="J230" s="4559" t="n"/>
    </row>
    <row r="231">
      <c r="C231" s="4559" t="n"/>
      <c r="D231" s="4559" t="n"/>
      <c r="E231" s="4559" t="n"/>
      <c r="F231" s="4559" t="n"/>
      <c r="G231" s="4559" t="n"/>
      <c r="H231" s="4559" t="n"/>
      <c r="I231" s="4559" t="n"/>
      <c r="J231" s="4559" t="n"/>
    </row>
    <row r="232">
      <c r="C232" s="4559" t="n"/>
      <c r="D232" s="4559" t="n"/>
      <c r="E232" s="4559" t="n"/>
      <c r="F232" s="4559" t="n"/>
      <c r="G232" s="4559" t="n"/>
      <c r="H232" s="4559" t="n"/>
      <c r="I232" s="4559" t="n"/>
      <c r="J232" s="4559" t="n"/>
    </row>
    <row r="233">
      <c r="C233" s="4559" t="n"/>
      <c r="D233" s="4559" t="n"/>
      <c r="E233" s="4559" t="n"/>
      <c r="F233" s="4559" t="n"/>
      <c r="G233" s="4559" t="n"/>
      <c r="H233" s="4559" t="n"/>
      <c r="I233" s="4559" t="n"/>
      <c r="J233" s="4559" t="n"/>
    </row>
    <row r="234">
      <c r="C234" s="4559" t="n"/>
      <c r="D234" s="4559" t="n"/>
      <c r="E234" s="4559" t="n"/>
      <c r="F234" s="4559" t="n"/>
      <c r="G234" s="4559" t="n"/>
      <c r="H234" s="4559" t="n"/>
      <c r="I234" s="4559" t="n"/>
      <c r="J234" s="4559" t="n"/>
    </row>
    <row r="235">
      <c r="C235" s="4559" t="n"/>
      <c r="D235" s="4559" t="n"/>
      <c r="E235" s="4559" t="n"/>
      <c r="F235" s="4559" t="n"/>
      <c r="G235" s="4559" t="n"/>
      <c r="H235" s="4559" t="n"/>
      <c r="I235" s="4559" t="n"/>
      <c r="J235" s="4559" t="n"/>
    </row>
    <row r="236">
      <c r="C236" s="4559" t="n"/>
      <c r="D236" s="4559" t="n"/>
      <c r="E236" s="4559" t="n"/>
      <c r="F236" s="4559" t="n"/>
      <c r="G236" s="4559" t="n"/>
      <c r="H236" s="4559" t="n"/>
      <c r="I236" s="4559" t="n"/>
      <c r="J236" s="4559" t="n"/>
    </row>
    <row r="237">
      <c r="C237" s="4559" t="n"/>
      <c r="D237" s="4559" t="n"/>
      <c r="E237" s="4559" t="n"/>
      <c r="F237" s="4559" t="n"/>
      <c r="G237" s="4559" t="n"/>
      <c r="H237" s="4559" t="n"/>
      <c r="I237" s="4559" t="n"/>
      <c r="J237" s="4559" t="n"/>
    </row>
    <row r="238">
      <c r="C238" s="4559" t="n"/>
      <c r="D238" s="4559" t="n"/>
      <c r="E238" s="4559" t="n"/>
      <c r="F238" s="4559" t="n"/>
      <c r="G238" s="4559" t="n"/>
      <c r="H238" s="4559" t="n"/>
      <c r="I238" s="4559" t="n"/>
      <c r="J238" s="4559" t="n"/>
    </row>
    <row r="239">
      <c r="C239" s="4559" t="n"/>
      <c r="D239" s="4559" t="n"/>
      <c r="E239" s="4559" t="n"/>
      <c r="F239" s="4559" t="n"/>
      <c r="G239" s="4559" t="n"/>
      <c r="H239" s="4559" t="n"/>
      <c r="I239" s="4559" t="n"/>
      <c r="J239" s="4559" t="n"/>
    </row>
    <row r="240">
      <c r="C240" s="4559" t="n"/>
      <c r="D240" s="4559" t="n"/>
      <c r="E240" s="4559" t="n"/>
      <c r="F240" s="4559" t="n"/>
      <c r="G240" s="4559" t="n"/>
      <c r="H240" s="4559" t="n"/>
      <c r="I240" s="4559" t="n"/>
      <c r="J240" s="4559" t="n"/>
    </row>
    <row r="241">
      <c r="C241" s="4559" t="n"/>
      <c r="D241" s="4559" t="n"/>
      <c r="E241" s="4559" t="n"/>
      <c r="F241" s="4559" t="n"/>
      <c r="G241" s="4559" t="n"/>
      <c r="H241" s="4559" t="n"/>
      <c r="I241" s="4559" t="n"/>
      <c r="J241" s="4559" t="n"/>
    </row>
    <row r="242">
      <c r="C242" s="4559" t="n"/>
      <c r="D242" s="4559" t="n"/>
      <c r="E242" s="4559" t="n"/>
      <c r="F242" s="4559" t="n"/>
      <c r="G242" s="4559" t="n"/>
      <c r="H242" s="4559" t="n"/>
      <c r="I242" s="4559" t="n"/>
      <c r="J242" s="4559" t="n"/>
    </row>
    <row r="243">
      <c r="C243" s="4559" t="n"/>
      <c r="D243" s="4559" t="n"/>
      <c r="E243" s="4559" t="n"/>
      <c r="F243" s="4559" t="n"/>
      <c r="G243" s="4559" t="n"/>
      <c r="H243" s="4559" t="n"/>
      <c r="I243" s="4559" t="n"/>
      <c r="J243" s="4559" t="n"/>
    </row>
    <row r="244">
      <c r="C244" s="4559" t="n"/>
      <c r="D244" s="4559" t="n"/>
      <c r="E244" s="4559" t="n"/>
      <c r="F244" s="4559" t="n"/>
      <c r="G244" s="4559" t="n"/>
      <c r="H244" s="4559" t="n"/>
      <c r="I244" s="4559" t="n"/>
      <c r="J244" s="4559" t="n"/>
    </row>
    <row r="245">
      <c r="C245" s="4559" t="n"/>
      <c r="D245" s="4559" t="n"/>
      <c r="E245" s="4559" t="n"/>
      <c r="F245" s="4559" t="n"/>
      <c r="G245" s="4559" t="n"/>
      <c r="H245" s="4559" t="n"/>
      <c r="I245" s="4559" t="n"/>
      <c r="J245" s="4559" t="n"/>
    </row>
    <row r="246">
      <c r="C246" s="4559" t="n"/>
      <c r="D246" s="4559" t="n"/>
      <c r="E246" s="4559" t="n"/>
      <c r="F246" s="4559" t="n"/>
      <c r="G246" s="4559" t="n"/>
      <c r="H246" s="4559" t="n"/>
      <c r="I246" s="4559" t="n"/>
      <c r="J246" s="4559" t="n"/>
    </row>
    <row r="247">
      <c r="C247" s="4559" t="n"/>
      <c r="D247" s="4559" t="n"/>
      <c r="E247" s="4559" t="n"/>
      <c r="F247" s="4559" t="n"/>
      <c r="G247" s="4559" t="n"/>
      <c r="H247" s="4559" t="n"/>
      <c r="I247" s="4559" t="n"/>
      <c r="J247" s="4559" t="n"/>
    </row>
    <row r="248">
      <c r="C248" s="4559" t="n"/>
      <c r="D248" s="4559" t="n"/>
      <c r="E248" s="4559" t="n"/>
      <c r="F248" s="4559" t="n"/>
      <c r="G248" s="4559" t="n"/>
      <c r="H248" s="4559" t="n"/>
      <c r="I248" s="4559" t="n"/>
      <c r="J248" s="4559" t="n"/>
    </row>
    <row r="249">
      <c r="C249" s="4559" t="n"/>
      <c r="D249" s="4559" t="n"/>
      <c r="E249" s="4559" t="n"/>
      <c r="F249" s="4559" t="n"/>
      <c r="G249" s="4559" t="n"/>
      <c r="H249" s="4559" t="n"/>
      <c r="I249" s="4559" t="n"/>
      <c r="J249" s="4559" t="n"/>
    </row>
    <row r="250">
      <c r="C250" s="4559" t="n"/>
      <c r="D250" s="4559" t="n"/>
      <c r="E250" s="4559" t="n"/>
      <c r="F250" s="4559" t="n"/>
      <c r="G250" s="4559" t="n"/>
      <c r="H250" s="4559" t="n"/>
      <c r="I250" s="4559" t="n"/>
      <c r="J250" s="4559" t="n"/>
    </row>
    <row r="251">
      <c r="C251" s="4559" t="n"/>
      <c r="D251" s="4559" t="n"/>
      <c r="E251" s="4559" t="n"/>
      <c r="F251" s="4559" t="n"/>
      <c r="G251" s="4559" t="n"/>
      <c r="H251" s="4559" t="n"/>
      <c r="I251" s="4559" t="n"/>
      <c r="J251" s="4559" t="n"/>
    </row>
    <row r="252">
      <c r="C252" s="4559" t="n"/>
      <c r="D252" s="4559" t="n"/>
      <c r="E252" s="4559" t="n"/>
      <c r="F252" s="4559" t="n"/>
      <c r="G252" s="4559" t="n"/>
      <c r="H252" s="4559" t="n"/>
      <c r="I252" s="4559" t="n"/>
      <c r="J252" s="4559" t="n"/>
    </row>
    <row r="253">
      <c r="C253" s="4559" t="n"/>
      <c r="D253" s="4559" t="n"/>
      <c r="E253" s="4559" t="n"/>
      <c r="F253" s="4559" t="n"/>
      <c r="G253" s="4559" t="n"/>
      <c r="H253" s="4559" t="n"/>
      <c r="I253" s="4559" t="n"/>
      <c r="J253" s="4559" t="n"/>
    </row>
    <row r="254">
      <c r="C254" s="4559" t="n"/>
      <c r="D254" s="4559" t="n"/>
      <c r="E254" s="4559" t="n"/>
      <c r="F254" s="4559" t="n"/>
      <c r="G254" s="4559" t="n"/>
      <c r="H254" s="4559" t="n"/>
      <c r="I254" s="4559" t="n"/>
      <c r="J254" s="4559" t="n"/>
    </row>
    <row r="255">
      <c r="C255" s="4559" t="n"/>
      <c r="D255" s="4559" t="n"/>
      <c r="E255" s="4559" t="n"/>
      <c r="F255" s="4559" t="n"/>
      <c r="G255" s="4559" t="n"/>
      <c r="H255" s="4559" t="n"/>
      <c r="I255" s="4559" t="n"/>
      <c r="J255" s="4559" t="n"/>
    </row>
    <row r="256">
      <c r="C256" s="4559" t="n"/>
      <c r="D256" s="4559" t="n"/>
      <c r="E256" s="4559" t="n"/>
      <c r="F256" s="4559" t="n"/>
      <c r="G256" s="4559" t="n"/>
      <c r="H256" s="4559" t="n"/>
      <c r="I256" s="4559" t="n"/>
      <c r="J256" s="4559" t="n"/>
    </row>
    <row r="257">
      <c r="C257" s="4559" t="n"/>
      <c r="D257" s="4559" t="n"/>
      <c r="E257" s="4559" t="n"/>
      <c r="F257" s="4559" t="n"/>
      <c r="G257" s="4559" t="n"/>
      <c r="H257" s="4559" t="n"/>
      <c r="I257" s="4559" t="n"/>
      <c r="J257" s="4559" t="n"/>
    </row>
    <row r="258">
      <c r="C258" s="4559" t="n"/>
      <c r="D258" s="4559" t="n"/>
      <c r="E258" s="4559" t="n"/>
      <c r="F258" s="4559" t="n"/>
      <c r="G258" s="4559" t="n"/>
      <c r="H258" s="4559" t="n"/>
      <c r="I258" s="4559" t="n"/>
      <c r="J258" s="4559" t="n"/>
    </row>
    <row r="259">
      <c r="C259" s="4559" t="n"/>
      <c r="D259" s="4559" t="n"/>
      <c r="E259" s="4559" t="n"/>
      <c r="F259" s="4559" t="n"/>
      <c r="G259" s="4559" t="n"/>
      <c r="H259" s="4559" t="n"/>
      <c r="I259" s="4559" t="n"/>
      <c r="J259" s="4559" t="n"/>
    </row>
    <row r="260">
      <c r="C260" s="4559" t="n"/>
      <c r="D260" s="4559" t="n"/>
      <c r="E260" s="4559" t="n"/>
      <c r="F260" s="4559" t="n"/>
      <c r="G260" s="4559" t="n"/>
      <c r="H260" s="4559" t="n"/>
      <c r="I260" s="4559" t="n"/>
      <c r="J260" s="4559" t="n"/>
    </row>
    <row r="261">
      <c r="C261" s="4559" t="n"/>
      <c r="D261" s="4559" t="n"/>
      <c r="E261" s="4559" t="n"/>
      <c r="F261" s="4559" t="n"/>
      <c r="G261" s="4559" t="n"/>
      <c r="H261" s="4559" t="n"/>
      <c r="I261" s="4559" t="n"/>
      <c r="J261" s="4559" t="n"/>
    </row>
    <row r="262">
      <c r="C262" s="4559" t="n"/>
      <c r="D262" s="4559" t="n"/>
      <c r="E262" s="4559" t="n"/>
      <c r="F262" s="4559" t="n"/>
      <c r="G262" s="4559" t="n"/>
      <c r="H262" s="4559" t="n"/>
      <c r="I262" s="4559" t="n"/>
      <c r="J262" s="4559" t="n"/>
    </row>
    <row r="263">
      <c r="C263" s="4559" t="n"/>
      <c r="D263" s="4559" t="n"/>
      <c r="E263" s="4559" t="n"/>
      <c r="F263" s="4559" t="n"/>
      <c r="G263" s="4559" t="n"/>
      <c r="H263" s="4559" t="n"/>
      <c r="I263" s="4559" t="n"/>
      <c r="J263" s="4559" t="n"/>
    </row>
    <row r="264">
      <c r="C264" s="4559" t="n"/>
      <c r="D264" s="4559" t="n"/>
      <c r="E264" s="4559" t="n"/>
      <c r="F264" s="4559" t="n"/>
      <c r="G264" s="4559" t="n"/>
      <c r="H264" s="4559" t="n"/>
      <c r="I264" s="4559" t="n"/>
      <c r="J264" s="4559" t="n"/>
    </row>
    <row r="265">
      <c r="C265" s="4559" t="n"/>
      <c r="D265" s="4559" t="n"/>
      <c r="E265" s="4559" t="n"/>
      <c r="F265" s="4559" t="n"/>
      <c r="G265" s="4559" t="n"/>
      <c r="H265" s="4559" t="n"/>
      <c r="I265" s="4559" t="n"/>
      <c r="J265" s="4559" t="n"/>
    </row>
    <row r="266">
      <c r="C266" s="4559" t="n"/>
      <c r="D266" s="4559" t="n"/>
      <c r="E266" s="4559" t="n"/>
      <c r="F266" s="4559" t="n"/>
      <c r="G266" s="4559" t="n"/>
      <c r="H266" s="4559" t="n"/>
      <c r="I266" s="4559" t="n"/>
      <c r="J266" s="4559" t="n"/>
    </row>
    <row r="267">
      <c r="C267" s="4559" t="n"/>
      <c r="D267" s="4559" t="n"/>
      <c r="E267" s="4559" t="n"/>
      <c r="F267" s="4559" t="n"/>
      <c r="G267" s="4559" t="n"/>
      <c r="H267" s="4559" t="n"/>
      <c r="I267" s="4559" t="n"/>
      <c r="J267" s="4559" t="n"/>
    </row>
    <row r="268">
      <c r="C268" s="4559" t="n"/>
      <c r="D268" s="4559" t="n"/>
      <c r="E268" s="4559" t="n"/>
      <c r="F268" s="4559" t="n"/>
      <c r="G268" s="4559" t="n"/>
      <c r="H268" s="4559" t="n"/>
      <c r="I268" s="4559" t="n"/>
      <c r="J268" s="4559" t="n"/>
    </row>
    <row r="269">
      <c r="C269" s="4559" t="n"/>
      <c r="D269" s="4559" t="n"/>
      <c r="E269" s="4559" t="n"/>
      <c r="F269" s="4559" t="n"/>
      <c r="G269" s="4559" t="n"/>
      <c r="H269" s="4559" t="n"/>
      <c r="I269" s="4559" t="n"/>
      <c r="J269" s="4559" t="n"/>
    </row>
    <row r="270">
      <c r="C270" s="4559" t="n"/>
      <c r="D270" s="4559" t="n"/>
      <c r="E270" s="4559" t="n"/>
      <c r="F270" s="4559" t="n"/>
      <c r="G270" s="4559" t="n"/>
      <c r="H270" s="4559" t="n"/>
      <c r="I270" s="4559" t="n"/>
      <c r="J270" s="4559" t="n"/>
    </row>
    <row r="271">
      <c r="C271" s="4559" t="n"/>
      <c r="D271" s="4559" t="n"/>
      <c r="E271" s="4559" t="n"/>
      <c r="F271" s="4559" t="n"/>
      <c r="G271" s="4559" t="n"/>
      <c r="H271" s="4559" t="n"/>
      <c r="I271" s="4559" t="n"/>
      <c r="J271" s="4559" t="n"/>
    </row>
    <row r="272">
      <c r="C272" s="4559" t="n"/>
      <c r="D272" s="4559" t="n"/>
      <c r="E272" s="4559" t="n"/>
      <c r="F272" s="4559" t="n"/>
      <c r="G272" s="4559" t="n"/>
      <c r="H272" s="4559" t="n"/>
      <c r="I272" s="4559" t="n"/>
      <c r="J272" s="4559" t="n"/>
    </row>
    <row r="273">
      <c r="C273" s="4559" t="n"/>
      <c r="D273" s="4559" t="n"/>
      <c r="E273" s="4559" t="n"/>
      <c r="F273" s="4559" t="n"/>
      <c r="G273" s="4559" t="n"/>
      <c r="H273" s="4559" t="n"/>
      <c r="I273" s="4559" t="n"/>
      <c r="J273" s="4559" t="n"/>
    </row>
    <row r="274">
      <c r="C274" s="4559" t="n"/>
      <c r="D274" s="4559" t="n"/>
      <c r="E274" s="4559" t="n"/>
      <c r="F274" s="4559" t="n"/>
      <c r="G274" s="4559" t="n"/>
      <c r="H274" s="4559" t="n"/>
      <c r="I274" s="4559" t="n"/>
      <c r="J274" s="4559" t="n"/>
    </row>
    <row r="275">
      <c r="C275" s="4559" t="n"/>
      <c r="D275" s="4559" t="n"/>
      <c r="E275" s="4559" t="n"/>
      <c r="F275" s="4559" t="n"/>
      <c r="G275" s="4559" t="n"/>
      <c r="H275" s="4559" t="n"/>
      <c r="I275" s="4559" t="n"/>
      <c r="J275" s="4559" t="n"/>
    </row>
    <row r="276">
      <c r="C276" s="4559" t="n"/>
      <c r="D276" s="4559" t="n"/>
      <c r="E276" s="4559" t="n"/>
      <c r="F276" s="4559" t="n"/>
      <c r="G276" s="4559" t="n"/>
      <c r="H276" s="4559" t="n"/>
      <c r="I276" s="4559" t="n"/>
      <c r="J276" s="4559" t="n"/>
    </row>
    <row r="277">
      <c r="C277" s="4559" t="n"/>
      <c r="D277" s="4559" t="n"/>
      <c r="E277" s="4559" t="n"/>
      <c r="F277" s="4559" t="n"/>
      <c r="G277" s="4559" t="n"/>
      <c r="H277" s="4559" t="n"/>
      <c r="I277" s="4559" t="n"/>
      <c r="J277" s="4559" t="n"/>
    </row>
    <row r="278">
      <c r="C278" s="4559" t="n"/>
      <c r="D278" s="4559" t="n"/>
      <c r="E278" s="4559" t="n"/>
      <c r="F278" s="4559" t="n"/>
      <c r="G278" s="4559" t="n"/>
      <c r="H278" s="4559" t="n"/>
      <c r="I278" s="4559" t="n"/>
      <c r="J278" s="4559" t="n"/>
    </row>
    <row r="279">
      <c r="C279" s="4559" t="n"/>
      <c r="D279" s="4559" t="n"/>
      <c r="E279" s="4559" t="n"/>
      <c r="F279" s="4559" t="n"/>
      <c r="G279" s="4559" t="n"/>
      <c r="H279" s="4559" t="n"/>
      <c r="I279" s="4559" t="n"/>
      <c r="J279" s="4559" t="n"/>
    </row>
    <row r="280">
      <c r="C280" s="4559" t="n"/>
      <c r="D280" s="4559" t="n"/>
      <c r="E280" s="4559" t="n"/>
      <c r="F280" s="4559" t="n"/>
      <c r="G280" s="4559" t="n"/>
      <c r="H280" s="4559" t="n"/>
      <c r="I280" s="4559" t="n"/>
      <c r="J280" s="4559" t="n"/>
    </row>
    <row r="281">
      <c r="C281" s="4559" t="n"/>
      <c r="D281" s="4559" t="n"/>
      <c r="E281" s="4559" t="n"/>
      <c r="F281" s="4559" t="n"/>
      <c r="G281" s="4559" t="n"/>
      <c r="H281" s="4559" t="n"/>
      <c r="I281" s="4559" t="n"/>
      <c r="J281" s="4559" t="n"/>
    </row>
    <row r="282">
      <c r="C282" s="4559" t="n"/>
      <c r="D282" s="4559" t="n"/>
      <c r="E282" s="4559" t="n"/>
      <c r="F282" s="4559" t="n"/>
      <c r="G282" s="4559" t="n"/>
      <c r="H282" s="4559" t="n"/>
      <c r="I282" s="4559" t="n"/>
      <c r="J282" s="4559" t="n"/>
    </row>
    <row r="283">
      <c r="C283" s="4559" t="n"/>
      <c r="D283" s="4559" t="n"/>
      <c r="E283" s="4559" t="n"/>
      <c r="F283" s="4559" t="n"/>
      <c r="G283" s="4559" t="n"/>
      <c r="H283" s="4559" t="n"/>
      <c r="I283" s="4559" t="n"/>
      <c r="J283" s="4559" t="n"/>
    </row>
    <row r="284">
      <c r="C284" s="4559" t="n"/>
      <c r="D284" s="4559" t="n"/>
      <c r="E284" s="4559" t="n"/>
      <c r="F284" s="4559" t="n"/>
      <c r="G284" s="4559" t="n"/>
      <c r="H284" s="4559" t="n"/>
      <c r="I284" s="4559" t="n"/>
      <c r="J284" s="4559" t="n"/>
    </row>
    <row r="285">
      <c r="C285" s="4559" t="n"/>
      <c r="D285" s="4559" t="n"/>
      <c r="E285" s="4559" t="n"/>
      <c r="F285" s="4559" t="n"/>
      <c r="G285" s="4559" t="n"/>
      <c r="H285" s="4559" t="n"/>
      <c r="I285" s="4559" t="n"/>
      <c r="J285" s="4559" t="n"/>
    </row>
    <row r="286">
      <c r="C286" s="4559" t="n"/>
      <c r="D286" s="4559" t="n"/>
      <c r="E286" s="4559" t="n"/>
      <c r="F286" s="4559" t="n"/>
      <c r="G286" s="4559" t="n"/>
      <c r="H286" s="4559" t="n"/>
      <c r="I286" s="4559" t="n"/>
      <c r="J286" s="4559" t="n"/>
    </row>
    <row r="287">
      <c r="C287" s="4559" t="n"/>
      <c r="D287" s="4559" t="n"/>
      <c r="E287" s="4559" t="n"/>
      <c r="F287" s="4559" t="n"/>
      <c r="G287" s="4559" t="n"/>
      <c r="H287" s="4559" t="n"/>
      <c r="I287" s="4559" t="n"/>
      <c r="J287" s="4559" t="n"/>
    </row>
    <row r="288">
      <c r="C288" s="4559" t="n"/>
      <c r="D288" s="4559" t="n"/>
      <c r="E288" s="4559" t="n"/>
      <c r="F288" s="4559" t="n"/>
      <c r="G288" s="4559" t="n"/>
      <c r="H288" s="4559" t="n"/>
      <c r="I288" s="4559" t="n"/>
      <c r="J288" s="4559" t="n"/>
    </row>
    <row r="289">
      <c r="C289" s="4559" t="n"/>
      <c r="D289" s="4559" t="n"/>
      <c r="E289" s="4559" t="n"/>
      <c r="F289" s="4559" t="n"/>
      <c r="G289" s="4559" t="n"/>
      <c r="H289" s="4559" t="n"/>
      <c r="I289" s="4559" t="n"/>
      <c r="J289" s="4559" t="n"/>
    </row>
    <row r="290">
      <c r="C290" s="4559" t="n"/>
      <c r="D290" s="4559" t="n"/>
      <c r="E290" s="4559" t="n"/>
      <c r="F290" s="4559" t="n"/>
      <c r="G290" s="4559" t="n"/>
      <c r="H290" s="4559" t="n"/>
      <c r="I290" s="4559" t="n"/>
      <c r="J290" s="4559" t="n"/>
    </row>
    <row r="291">
      <c r="C291" s="4559" t="n"/>
      <c r="D291" s="4559" t="n"/>
      <c r="E291" s="4559" t="n"/>
      <c r="F291" s="4559" t="n"/>
      <c r="G291" s="4559" t="n"/>
      <c r="H291" s="4559" t="n"/>
      <c r="I291" s="4559" t="n"/>
      <c r="J291" s="4559" t="n"/>
    </row>
    <row r="292">
      <c r="C292" s="4559" t="n"/>
      <c r="D292" s="4559" t="n"/>
      <c r="E292" s="4559" t="n"/>
      <c r="F292" s="4559" t="n"/>
      <c r="G292" s="4559" t="n"/>
      <c r="H292" s="4559" t="n"/>
      <c r="I292" s="4559" t="n"/>
      <c r="J292" s="4559" t="n"/>
    </row>
    <row r="293">
      <c r="C293" s="4559" t="n"/>
      <c r="D293" s="4559" t="n"/>
      <c r="E293" s="4559" t="n"/>
      <c r="F293" s="4559" t="n"/>
      <c r="G293" s="4559" t="n"/>
      <c r="H293" s="4559" t="n"/>
      <c r="I293" s="4559" t="n"/>
      <c r="J293" s="4559" t="n"/>
    </row>
    <row r="294">
      <c r="C294" s="4559" t="n"/>
      <c r="D294" s="4559" t="n"/>
      <c r="E294" s="4559" t="n"/>
      <c r="F294" s="4559" t="n"/>
      <c r="G294" s="4559" t="n"/>
      <c r="H294" s="4559" t="n"/>
      <c r="I294" s="4559" t="n"/>
      <c r="J294" s="4559" t="n"/>
    </row>
    <row r="295">
      <c r="C295" s="4559" t="n"/>
      <c r="D295" s="4559" t="n"/>
      <c r="E295" s="4559" t="n"/>
      <c r="F295" s="4559" t="n"/>
      <c r="G295" s="4559" t="n"/>
      <c r="H295" s="4559" t="n"/>
      <c r="I295" s="4559" t="n"/>
      <c r="J295" s="4559" t="n"/>
    </row>
    <row r="296">
      <c r="C296" s="4559" t="n"/>
      <c r="D296" s="4559" t="n"/>
      <c r="E296" s="4559" t="n"/>
      <c r="F296" s="4559" t="n"/>
      <c r="G296" s="4559" t="n"/>
      <c r="H296" s="4559" t="n"/>
      <c r="I296" s="4559" t="n"/>
      <c r="J296" s="4559" t="n"/>
    </row>
    <row r="297">
      <c r="C297" s="4559" t="n"/>
      <c r="D297" s="4559" t="n"/>
      <c r="E297" s="4559" t="n"/>
      <c r="F297" s="4559" t="n"/>
      <c r="G297" s="4559" t="n"/>
      <c r="H297" s="4559" t="n"/>
      <c r="I297" s="4559" t="n"/>
      <c r="J297" s="4559" t="n"/>
    </row>
    <row r="298">
      <c r="C298" s="4559" t="n"/>
      <c r="D298" s="4559" t="n"/>
      <c r="E298" s="4559" t="n"/>
      <c r="F298" s="4559" t="n"/>
      <c r="G298" s="4559" t="n"/>
      <c r="H298" s="4559" t="n"/>
      <c r="I298" s="4559" t="n"/>
      <c r="J298" s="4559" t="n"/>
    </row>
    <row r="299">
      <c r="C299" s="4559" t="n"/>
      <c r="D299" s="4559" t="n"/>
      <c r="E299" s="4559" t="n"/>
      <c r="F299" s="4559" t="n"/>
      <c r="G299" s="4559" t="n"/>
      <c r="H299" s="4559" t="n"/>
      <c r="I299" s="4559" t="n"/>
      <c r="J299" s="4559"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M299"/>
  <sheetViews>
    <sheetView workbookViewId="0">
      <pane xSplit="2" ySplit="9" topLeftCell="C10" activePane="bottomRight" state="frozen"/>
      <selection pane="topRight" activeCell="A1" sqref="A1"/>
      <selection pane="bottomLeft" activeCell="A1" sqref="A1"/>
      <selection pane="bottomRight" activeCell="A1" sqref="A1"/>
    </sheetView>
  </sheetViews>
  <sheetFormatPr baseColWidth="8" defaultColWidth="8.5703125" defaultRowHeight="11.25" customHeight="0" zeroHeight="0" outlineLevelRow="1"/>
  <cols>
    <col width="3.57" customWidth="1" style="4170" min="1" max="1"/>
    <col width="1.42" customWidth="1" style="3740" min="2" max="2"/>
    <col width="39.14" customWidth="1" style="3743" min="3" max="3"/>
    <col width="8.42" customWidth="1" style="3743" min="4" max="5"/>
    <col width="6.85" customWidth="1" style="3743" min="6" max="6"/>
    <col width="8.42" customWidth="1" style="3743" min="7" max="8"/>
    <col width="6.85" customWidth="1" style="3743" min="9" max="9"/>
    <col width="8.42" customWidth="1" style="3743" min="10" max="11"/>
    <col width="6.85" customWidth="1" style="3743" min="12" max="12"/>
    <col width="8.57" customWidth="1" style="3743" min="13" max="16384"/>
  </cols>
  <sheetData>
    <row r="1" ht="22.05" customHeight="1" s="3710">
      <c r="A1" s="4166" t="n"/>
      <c r="B1" s="4552" t="inlineStr">
        <is>
          <t>Project North</t>
        </is>
      </c>
    </row>
    <row r="2" ht="11.45" customHeight="1" s="3710">
      <c r="B2" s="4553" t="inlineStr">
        <is>
          <t>Audit | Run_Log</t>
        </is>
      </c>
    </row>
    <row r="3" ht="11.25" customHeight="1" s="3710">
      <c r="B3" s="4554" t="inlineStr">
        <is>
          <t>Source: System generated</t>
        </is>
      </c>
    </row>
    <row r="4" ht="11.25" customHeight="1" s="3710">
      <c r="B4" s="4555" t="inlineStr">
        <is>
          <t>WORKING_DRAFT</t>
        </is>
      </c>
    </row>
    <row r="5" ht="11.25" customHeight="1" s="3710">
      <c r="B5" s="3753" t="n"/>
    </row>
    <row r="6" ht="11.25" customHeight="1" s="3710">
      <c r="B6" s="3753" t="n"/>
    </row>
    <row r="7" ht="19.5" customFormat="1" customHeight="1" s="3743">
      <c r="A7" s="4170" t="n"/>
      <c r="B7" s="3903" t="n"/>
      <c r="C7" s="4556" t="inlineStr">
        <is>
          <t>Audit | Run_Log</t>
        </is>
      </c>
      <c r="D7" s="4175" t="n"/>
      <c r="E7" s="4175" t="n"/>
      <c r="F7" s="4175" t="n"/>
      <c r="G7" s="4175" t="n"/>
      <c r="H7" s="4175" t="n"/>
      <c r="I7" s="4175" t="n"/>
      <c r="J7" s="4175" t="n"/>
      <c r="K7" s="4175" t="n"/>
      <c r="L7" s="4175" t="n"/>
    </row>
    <row r="8" ht="12" customHeight="1" s="3710">
      <c r="B8" s="3903" t="n"/>
      <c r="C8" s="4557" t="n"/>
      <c r="D8" s="4181" t="n"/>
      <c r="E8" s="4181" t="n"/>
      <c r="F8" s="4430" t="n"/>
      <c r="G8" s="4181" t="n"/>
      <c r="H8" s="4181" t="n"/>
      <c r="I8" s="4430" t="n"/>
      <c r="J8" s="4181" t="n"/>
      <c r="K8" s="4181" t="n"/>
      <c r="L8" s="4181" t="n"/>
    </row>
    <row r="9" ht="37.3" customHeight="1" s="3710">
      <c r="B9" s="3903" t="n"/>
      <c r="C9" s="4557" t="inlineStr">
        <is>
          <t>run_id</t>
        </is>
      </c>
      <c r="D9" s="4557" t="inlineStr">
        <is>
          <t>timestamp_utc</t>
        </is>
      </c>
      <c r="E9" s="4557" t="inlineStr">
        <is>
          <t>mode</t>
        </is>
      </c>
      <c r="F9" s="4557" t="inlineStr">
        <is>
          <t>tabs_touched</t>
        </is>
      </c>
      <c r="G9" s="4557" t="inlineStr">
        <is>
          <t>checks_pass</t>
        </is>
      </c>
      <c r="H9" s="4557" t="inlineStr">
        <is>
          <t>checks_warn</t>
        </is>
      </c>
      <c r="I9" s="4557" t="inlineStr">
        <is>
          <t>checks_fail</t>
        </is>
      </c>
      <c r="J9" s="4557" t="inlineStr">
        <is>
          <t>operator</t>
        </is>
      </c>
      <c r="K9" s="4431" t="n"/>
      <c r="L9" s="4433" t="n"/>
    </row>
    <row r="10" ht="12" customHeight="1" s="3710">
      <c r="A10" s="4434" t="n"/>
      <c r="B10" s="3891" t="n"/>
      <c r="C10" s="4559" t="n"/>
      <c r="D10" s="4559" t="n"/>
      <c r="E10" s="4559" t="n"/>
      <c r="F10" s="4559" t="n"/>
      <c r="G10" s="4559" t="n"/>
      <c r="H10" s="4559" t="n"/>
      <c r="I10" s="4559" t="n"/>
      <c r="J10" s="4559" t="n"/>
      <c r="K10" s="4436" t="n"/>
      <c r="L10" s="4438" t="n"/>
    </row>
    <row r="11" hidden="1" outlineLevel="1" ht="12" customHeight="1" s="3710">
      <c r="B11" s="3891" t="n"/>
      <c r="C11" s="4559" t="n"/>
      <c r="D11" s="4559" t="n"/>
      <c r="E11" s="4559" t="n"/>
      <c r="F11" s="4559" t="n"/>
      <c r="G11" s="4559" t="n"/>
      <c r="H11" s="4559" t="n"/>
      <c r="I11" s="4559" t="n"/>
      <c r="J11" s="4559" t="n"/>
      <c r="K11" s="4436" t="n"/>
      <c r="L11" s="4438" t="n"/>
    </row>
    <row r="12" hidden="1" outlineLevel="1" ht="12" customHeight="1" s="3710">
      <c r="B12" s="3891" t="n"/>
      <c r="C12" s="4559" t="n"/>
      <c r="D12" s="4559" t="n"/>
      <c r="E12" s="4559" t="n"/>
      <c r="F12" s="4559" t="n"/>
      <c r="G12" s="4559" t="n"/>
      <c r="H12" s="4559" t="n"/>
      <c r="I12" s="4559" t="n"/>
      <c r="J12" s="4559" t="n"/>
      <c r="K12" s="4436" t="n"/>
      <c r="L12" s="4438" t="n"/>
    </row>
    <row r="13" hidden="1" outlineLevel="1" ht="12" customHeight="1" s="3710">
      <c r="B13" s="3891" t="n"/>
      <c r="C13" s="4559" t="n"/>
      <c r="D13" s="4559" t="n"/>
      <c r="E13" s="4559" t="n"/>
      <c r="F13" s="4559" t="n"/>
      <c r="G13" s="4559" t="n"/>
      <c r="H13" s="4559" t="n"/>
      <c r="I13" s="4559" t="n"/>
      <c r="J13" s="4559" t="n"/>
      <c r="K13" s="4436" t="n"/>
      <c r="L13" s="4438" t="n"/>
    </row>
    <row r="14" hidden="1" outlineLevel="1" ht="12" customHeight="1" s="3710">
      <c r="B14" s="3891" t="n"/>
      <c r="C14" s="4559" t="n"/>
      <c r="D14" s="4559" t="n"/>
      <c r="E14" s="4559" t="n"/>
      <c r="F14" s="4559" t="n"/>
      <c r="G14" s="4559" t="n"/>
      <c r="H14" s="4559" t="n"/>
      <c r="I14" s="4559" t="n"/>
      <c r="J14" s="4559" t="n"/>
      <c r="K14" s="4436" t="n"/>
      <c r="L14" s="4438" t="n"/>
    </row>
    <row r="15" hidden="1" outlineLevel="1" ht="12" customHeight="1" s="3710">
      <c r="B15" s="3891" t="n"/>
      <c r="C15" s="4559" t="n"/>
      <c r="D15" s="4559" t="n"/>
      <c r="E15" s="4559" t="n"/>
      <c r="F15" s="4559" t="n"/>
      <c r="G15" s="4559" t="n"/>
      <c r="H15" s="4559" t="n"/>
      <c r="I15" s="4559" t="n"/>
      <c r="J15" s="4559" t="n"/>
      <c r="K15" s="4436" t="n"/>
      <c r="L15" s="4438" t="n"/>
    </row>
    <row r="16" hidden="1" outlineLevel="1" ht="12" customHeight="1" s="3710">
      <c r="B16" s="3891" t="n"/>
      <c r="C16" s="4559" t="n"/>
      <c r="D16" s="4559" t="n"/>
      <c r="E16" s="4559" t="n"/>
      <c r="F16" s="4559" t="n"/>
      <c r="G16" s="4559" t="n"/>
      <c r="H16" s="4559" t="n"/>
      <c r="I16" s="4559" t="n"/>
      <c r="J16" s="4559" t="n"/>
      <c r="K16" s="4436" t="n"/>
      <c r="L16" s="4438" t="n"/>
    </row>
    <row r="17" hidden="1" outlineLevel="1" ht="12" customHeight="1" s="3710">
      <c r="B17" s="3891" t="n"/>
      <c r="C17" s="4559" t="n"/>
      <c r="D17" s="4559" t="n"/>
      <c r="E17" s="4559" t="n"/>
      <c r="F17" s="4559" t="n"/>
      <c r="G17" s="4559" t="n"/>
      <c r="H17" s="4559" t="n"/>
      <c r="I17" s="4559" t="n"/>
      <c r="J17" s="4559" t="n"/>
      <c r="K17" s="4436" t="n"/>
      <c r="L17" s="4438" t="n"/>
    </row>
    <row r="18" hidden="1" outlineLevel="1" ht="12" customHeight="1" s="3710">
      <c r="B18" s="3891" t="n"/>
      <c r="C18" s="4559" t="n"/>
      <c r="D18" s="4559" t="n"/>
      <c r="E18" s="4559" t="n"/>
      <c r="F18" s="4559" t="n"/>
      <c r="G18" s="4559" t="n"/>
      <c r="H18" s="4559" t="n"/>
      <c r="I18" s="4559" t="n"/>
      <c r="J18" s="4559" t="n"/>
      <c r="K18" s="4436" t="n"/>
      <c r="L18" s="4438" t="n"/>
    </row>
    <row r="19" hidden="1" outlineLevel="1" ht="12" customHeight="1" s="3710">
      <c r="B19" s="3891" t="n"/>
      <c r="C19" s="4559" t="n"/>
      <c r="D19" s="4559" t="n"/>
      <c r="E19" s="4559" t="n"/>
      <c r="F19" s="4559" t="n"/>
      <c r="G19" s="4559" t="n"/>
      <c r="H19" s="4559" t="n"/>
      <c r="I19" s="4559" t="n"/>
      <c r="J19" s="4559" t="n"/>
      <c r="K19" s="4436" t="n"/>
      <c r="L19" s="4438" t="n"/>
    </row>
    <row r="20" hidden="1" outlineLevel="1" ht="12" customHeight="1" s="3710">
      <c r="B20" s="3891" t="n"/>
      <c r="C20" s="4559" t="n"/>
      <c r="D20" s="4559" t="n"/>
      <c r="E20" s="4559" t="n"/>
      <c r="F20" s="4559" t="n"/>
      <c r="G20" s="4559" t="n"/>
      <c r="H20" s="4559" t="n"/>
      <c r="I20" s="4559" t="n"/>
      <c r="J20" s="4559" t="n"/>
      <c r="K20" s="4441" t="n"/>
      <c r="L20" s="4443" t="n"/>
    </row>
    <row r="21" ht="12" customHeight="1" s="3710">
      <c r="B21" s="3891" t="n"/>
      <c r="C21" s="4559" t="n"/>
      <c r="D21" s="4559" t="n"/>
      <c r="E21" s="4559" t="n"/>
      <c r="F21" s="4559" t="n"/>
      <c r="G21" s="4559" t="n"/>
      <c r="H21" s="4559" t="n"/>
      <c r="I21" s="4559" t="n"/>
      <c r="J21" s="4559" t="n"/>
      <c r="K21" s="4441" t="n"/>
      <c r="L21" s="4443" t="n"/>
    </row>
    <row r="22" ht="12" customHeight="1" s="3710">
      <c r="B22" s="3891" t="n"/>
      <c r="C22" s="4559" t="n"/>
      <c r="D22" s="4559" t="n"/>
      <c r="E22" s="4559" t="n"/>
      <c r="F22" s="4559" t="n"/>
      <c r="G22" s="4559" t="n"/>
      <c r="H22" s="4559" t="n"/>
      <c r="I22" s="4559" t="n"/>
      <c r="J22" s="4559" t="n"/>
      <c r="K22" s="4446" t="n"/>
      <c r="L22" s="4448" t="n"/>
    </row>
    <row r="23" ht="12" customHeight="1" s="3710">
      <c r="B23" s="3891" t="n"/>
      <c r="C23" s="4559" t="n"/>
      <c r="D23" s="4559" t="n"/>
      <c r="E23" s="4559" t="n"/>
      <c r="F23" s="4559" t="n"/>
      <c r="G23" s="4559" t="n"/>
      <c r="H23" s="4559" t="n"/>
      <c r="I23" s="4559" t="n"/>
      <c r="J23" s="4559" t="n"/>
      <c r="K23" s="4441" t="n"/>
      <c r="L23" s="4443" t="n"/>
    </row>
    <row r="24" ht="12" customHeight="1" s="3710">
      <c r="B24" s="3891" t="n"/>
      <c r="C24" s="4559" t="n"/>
      <c r="D24" s="4559" t="n"/>
      <c r="E24" s="4559" t="n"/>
      <c r="F24" s="4559" t="n"/>
      <c r="G24" s="4559" t="n"/>
      <c r="H24" s="4559" t="n"/>
      <c r="I24" s="4559" t="n"/>
      <c r="J24" s="4559" t="n"/>
      <c r="K24" s="4446" t="n"/>
      <c r="L24" s="4448" t="n"/>
    </row>
    <row r="25" ht="12" customHeight="1" s="3710">
      <c r="B25" s="3891" t="n"/>
      <c r="C25" s="4559" t="n"/>
      <c r="D25" s="4559" t="n"/>
      <c r="E25" s="4559" t="n"/>
      <c r="F25" s="4559" t="n"/>
      <c r="G25" s="4559" t="n"/>
      <c r="H25" s="4559" t="n"/>
      <c r="I25" s="4559" t="n"/>
      <c r="J25" s="4559" t="n"/>
      <c r="K25" s="4441" t="n"/>
      <c r="L25" s="4443" t="n"/>
    </row>
    <row r="26" ht="12" customHeight="1" s="3710">
      <c r="A26" s="4434" t="n"/>
      <c r="B26" s="3891" t="n"/>
      <c r="C26" s="4559" t="n"/>
      <c r="D26" s="4559" t="n"/>
      <c r="E26" s="4559" t="n"/>
      <c r="F26" s="4559" t="n"/>
      <c r="G26" s="4559" t="n"/>
      <c r="H26" s="4559" t="n"/>
      <c r="I26" s="4559" t="n"/>
      <c r="J26" s="4559" t="n"/>
      <c r="K26" s="4450" t="n"/>
      <c r="L26" s="4452" t="n"/>
    </row>
    <row r="27" ht="3.6" customHeight="1" s="3710">
      <c r="B27" s="3891" t="n"/>
      <c r="C27" s="4559" t="n"/>
      <c r="D27" s="4559" t="n"/>
      <c r="E27" s="4559" t="n"/>
      <c r="F27" s="4559" t="n"/>
      <c r="G27" s="4559" t="n"/>
      <c r="H27" s="4559" t="n"/>
      <c r="I27" s="4559" t="n"/>
      <c r="J27" s="4559" t="n"/>
      <c r="L27" s="4455" t="n"/>
    </row>
    <row r="28" ht="12" customHeight="1" s="3710">
      <c r="B28" s="3891" t="n"/>
      <c r="C28" s="4559" t="n"/>
      <c r="D28" s="4559" t="n"/>
      <c r="E28" s="4559" t="n"/>
      <c r="F28" s="4559" t="n"/>
      <c r="G28" s="4559" t="n"/>
      <c r="H28" s="4559" t="n"/>
      <c r="I28" s="4559" t="n"/>
      <c r="J28" s="4559" t="n"/>
      <c r="L28" s="4455" t="n"/>
    </row>
    <row r="29" ht="12" customHeight="1" s="3710">
      <c r="B29" s="3891" t="n"/>
      <c r="C29" s="4559" t="n"/>
      <c r="D29" s="4559" t="n"/>
      <c r="E29" s="4559" t="n"/>
      <c r="F29" s="4559" t="n"/>
      <c r="G29" s="4559" t="n"/>
      <c r="H29" s="4559" t="n"/>
      <c r="I29" s="4559" t="n"/>
      <c r="J29" s="4559" t="n"/>
      <c r="K29" s="4458" t="n"/>
      <c r="L29" s="4460" t="n"/>
      <c r="M29" s="3743" t="n"/>
    </row>
    <row r="30" ht="12" customHeight="1" s="3710">
      <c r="B30" s="3891" t="n"/>
      <c r="C30" s="4559" t="n"/>
      <c r="D30" s="4559" t="n"/>
      <c r="E30" s="4559" t="n"/>
      <c r="F30" s="4559" t="n"/>
      <c r="G30" s="4559" t="n"/>
      <c r="H30" s="4559" t="n"/>
      <c r="I30" s="4559" t="n"/>
      <c r="J30" s="4559" t="n"/>
      <c r="K30" s="4464" t="n"/>
      <c r="L30" s="4466" t="n"/>
    </row>
    <row r="31" ht="12" customHeight="1" s="3710">
      <c r="B31" s="3891" t="n"/>
      <c r="C31" s="4559" t="n"/>
      <c r="D31" s="4559" t="n"/>
      <c r="E31" s="4559" t="n"/>
      <c r="F31" s="4559" t="n"/>
      <c r="G31" s="4559" t="n"/>
      <c r="H31" s="4559" t="n"/>
      <c r="I31" s="4559" t="n"/>
      <c r="J31" s="4559" t="n"/>
      <c r="K31" s="4458" t="n"/>
      <c r="L31" s="4460" t="n"/>
      <c r="M31" s="3743" t="n"/>
    </row>
    <row r="32" ht="12" customHeight="1" s="3710">
      <c r="B32" s="3891" t="n"/>
      <c r="C32" s="4559" t="n"/>
      <c r="D32" s="4559" t="n"/>
      <c r="E32" s="4559" t="n"/>
      <c r="F32" s="4559" t="n"/>
      <c r="G32" s="4559" t="n"/>
      <c r="H32" s="4559" t="n"/>
      <c r="I32" s="4559" t="n"/>
      <c r="J32" s="4559" t="n"/>
      <c r="K32" s="4468" t="n"/>
      <c r="L32" s="4470" t="n"/>
    </row>
    <row r="33" ht="12" customHeight="1" s="3710">
      <c r="B33" s="3891" t="n"/>
      <c r="C33" s="4559" t="n"/>
      <c r="D33" s="4559" t="n"/>
      <c r="E33" s="4559" t="n"/>
      <c r="F33" s="4559" t="n"/>
      <c r="G33" s="4559" t="n"/>
      <c r="H33" s="4559" t="n"/>
      <c r="I33" s="4559" t="n"/>
      <c r="J33" s="4559" t="n"/>
    </row>
    <row r="34" ht="12" customHeight="1" s="3710">
      <c r="B34" s="3891" t="n"/>
      <c r="C34" s="4559" t="n"/>
      <c r="D34" s="4559" t="n"/>
      <c r="E34" s="4559" t="n"/>
      <c r="F34" s="4559" t="n"/>
      <c r="G34" s="4559" t="n"/>
      <c r="H34" s="4559" t="n"/>
      <c r="I34" s="4559" t="n"/>
      <c r="J34" s="4559" t="n"/>
    </row>
    <row r="35" ht="12" customHeight="1" s="3710">
      <c r="B35" s="3891" t="n"/>
      <c r="C35" s="4559" t="n"/>
      <c r="D35" s="4559" t="n"/>
      <c r="E35" s="4559" t="n"/>
      <c r="F35" s="4559" t="n"/>
      <c r="G35" s="4559" t="n"/>
      <c r="H35" s="4559" t="n"/>
      <c r="I35" s="4559" t="n"/>
      <c r="J35" s="4559" t="n"/>
    </row>
    <row r="36" ht="12" customHeight="1" s="3710">
      <c r="B36" s="3891" t="n"/>
      <c r="C36" s="4559" t="n"/>
      <c r="D36" s="4559" t="n"/>
      <c r="E36" s="4559" t="n"/>
      <c r="F36" s="4559" t="n"/>
      <c r="G36" s="4559" t="n"/>
      <c r="H36" s="4559" t="n"/>
      <c r="I36" s="4559" t="n"/>
      <c r="J36" s="4559" t="n"/>
    </row>
    <row r="37" hidden="1" outlineLevel="1" ht="12" customFormat="1" customHeight="1" s="4168">
      <c r="A37" s="4471" t="n"/>
      <c r="B37" s="4044" t="n"/>
      <c r="C37" s="4559" t="n"/>
      <c r="D37" s="4559" t="n"/>
      <c r="E37" s="4559" t="n"/>
      <c r="F37" s="4559" t="n"/>
      <c r="G37" s="4559" t="n"/>
      <c r="H37" s="4559" t="n"/>
      <c r="I37" s="4559" t="n"/>
      <c r="J37" s="4559" t="n"/>
      <c r="K37" s="4473" t="n"/>
      <c r="L37" s="4473" t="n"/>
    </row>
    <row r="38" hidden="1" outlineLevel="1" ht="12" customFormat="1" customHeight="1" s="4168">
      <c r="A38" s="4471" t="n"/>
      <c r="B38" s="4044" t="n"/>
      <c r="C38" s="4559" t="n"/>
      <c r="D38" s="4559" t="n"/>
      <c r="E38" s="4559" t="n"/>
      <c r="F38" s="4559" t="n"/>
      <c r="G38" s="4559" t="n"/>
      <c r="H38" s="4559" t="n"/>
      <c r="I38" s="4559" t="n"/>
      <c r="J38" s="4559" t="n"/>
      <c r="K38" s="4473" t="n"/>
      <c r="L38" s="4473" t="n"/>
    </row>
    <row r="39" ht="12" customHeight="1" s="3710">
      <c r="A39" s="4471" t="n"/>
      <c r="B39" s="4044" t="n"/>
      <c r="C39" s="4559" t="n"/>
      <c r="D39" s="4559" t="n"/>
      <c r="E39" s="4559" t="n"/>
      <c r="F39" s="4559" t="n"/>
      <c r="G39" s="4559" t="n"/>
      <c r="H39" s="4559" t="n"/>
      <c r="I39" s="4559" t="n"/>
      <c r="J39" s="4559" t="n"/>
      <c r="L39" s="4436" t="n"/>
    </row>
    <row r="40" ht="12" customHeight="1" s="3710">
      <c r="A40" s="4471" t="n"/>
      <c r="B40" s="4044" t="n"/>
      <c r="C40" s="4559" t="n"/>
      <c r="D40" s="4559" t="n"/>
      <c r="E40" s="4559" t="n"/>
      <c r="F40" s="4559" t="n"/>
      <c r="G40" s="4559" t="n"/>
      <c r="H40" s="4559" t="n"/>
      <c r="I40" s="4559" t="n"/>
      <c r="J40" s="4559" t="n"/>
    </row>
    <row r="41" ht="12" customHeight="1" s="3710">
      <c r="B41" s="3891" t="n"/>
      <c r="C41" s="4559" t="n"/>
      <c r="D41" s="4559" t="n"/>
      <c r="E41" s="4559" t="n"/>
      <c r="F41" s="4559" t="n"/>
      <c r="G41" s="4559" t="n"/>
      <c r="H41" s="4559" t="n"/>
      <c r="I41" s="4559" t="n"/>
      <c r="J41" s="4559" t="n"/>
    </row>
    <row r="42" ht="12" customHeight="1" s="3710">
      <c r="B42" s="3891" t="n"/>
      <c r="C42" s="4559" t="n"/>
      <c r="D42" s="4559" t="n"/>
      <c r="E42" s="4559" t="n"/>
      <c r="F42" s="4559" t="n"/>
      <c r="G42" s="4559" t="n"/>
      <c r="H42" s="4559" t="n"/>
      <c r="I42" s="4559" t="n"/>
      <c r="J42" s="4559" t="n"/>
    </row>
    <row r="43" ht="12" customHeight="1" s="3710">
      <c r="B43" s="3891" t="n"/>
      <c r="C43" s="4559" t="n"/>
      <c r="D43" s="4559" t="n"/>
      <c r="E43" s="4559" t="n"/>
      <c r="F43" s="4559" t="n"/>
      <c r="G43" s="4559" t="n"/>
      <c r="H43" s="4559" t="n"/>
      <c r="I43" s="4559" t="n"/>
      <c r="J43" s="4559" t="n"/>
    </row>
    <row r="44" ht="11.25" customHeight="1" s="3710">
      <c r="B44" s="3891" t="n"/>
      <c r="C44" s="4559" t="n"/>
      <c r="D44" s="4559" t="n"/>
      <c r="E44" s="4559" t="n"/>
      <c r="F44" s="4559" t="n"/>
      <c r="G44" s="4559" t="n"/>
      <c r="H44" s="4559" t="n"/>
      <c r="I44" s="4559" t="n"/>
      <c r="J44" s="4559" t="n"/>
    </row>
    <row r="45" ht="11.25" customHeight="1" s="3710">
      <c r="B45" s="3891" t="n"/>
      <c r="C45" s="4559" t="n"/>
      <c r="D45" s="4559" t="n"/>
      <c r="E45" s="4559" t="n"/>
      <c r="F45" s="4559" t="n"/>
      <c r="G45" s="4559" t="n"/>
      <c r="H45" s="4559" t="n"/>
      <c r="I45" s="4559" t="n"/>
      <c r="J45" s="4559" t="n"/>
    </row>
    <row r="46" ht="11.25" customHeight="1" s="3710">
      <c r="B46" s="3891" t="n"/>
      <c r="C46" s="4559" t="n"/>
      <c r="D46" s="4559" t="n"/>
      <c r="E46" s="4559" t="n"/>
      <c r="F46" s="4559" t="n"/>
      <c r="G46" s="4559" t="n"/>
      <c r="H46" s="4559" t="n"/>
      <c r="I46" s="4559" t="n"/>
      <c r="J46" s="4559" t="n"/>
    </row>
    <row r="47" ht="11.25" customHeight="1" s="3710">
      <c r="B47" s="3891" t="n"/>
      <c r="C47" s="4559" t="n"/>
      <c r="D47" s="4559" t="n"/>
      <c r="E47" s="4559" t="n"/>
      <c r="F47" s="4559" t="n"/>
      <c r="G47" s="4559" t="n"/>
      <c r="H47" s="4559" t="n"/>
      <c r="I47" s="4559" t="n"/>
      <c r="J47" s="4559" t="n"/>
    </row>
    <row r="48" ht="11.25" customHeight="1" s="3710">
      <c r="B48" s="3891" t="n"/>
      <c r="C48" s="4559" t="n"/>
      <c r="D48" s="4559" t="n"/>
      <c r="E48" s="4559" t="n"/>
      <c r="F48" s="4559" t="n"/>
      <c r="G48" s="4559" t="n"/>
      <c r="H48" s="4559" t="n"/>
      <c r="I48" s="4559" t="n"/>
      <c r="J48" s="4559" t="n"/>
    </row>
    <row r="49" ht="11.25" customHeight="1" s="3710">
      <c r="B49" s="3891" t="n"/>
      <c r="C49" s="4559" t="n"/>
      <c r="D49" s="4559" t="n"/>
      <c r="E49" s="4559" t="n"/>
      <c r="F49" s="4559" t="n"/>
      <c r="G49" s="4559" t="n"/>
      <c r="H49" s="4559" t="n"/>
      <c r="I49" s="4559" t="n"/>
      <c r="J49" s="4559" t="n"/>
    </row>
    <row r="50" ht="11.25" customHeight="1" s="3710">
      <c r="B50" s="3891" t="n"/>
      <c r="C50" s="4559" t="n"/>
      <c r="D50" s="4559" t="n"/>
      <c r="E50" s="4559" t="n"/>
      <c r="F50" s="4559" t="n"/>
      <c r="G50" s="4559" t="n"/>
      <c r="H50" s="4559" t="n"/>
      <c r="I50" s="4559" t="n"/>
      <c r="J50" s="4559" t="n"/>
    </row>
    <row r="51" ht="11.25" customHeight="1" s="3710">
      <c r="B51" s="3891" t="n"/>
      <c r="C51" s="4559" t="n"/>
      <c r="D51" s="4559" t="n"/>
      <c r="E51" s="4559" t="n"/>
      <c r="F51" s="4559" t="n"/>
      <c r="G51" s="4559" t="n"/>
      <c r="H51" s="4559" t="n"/>
      <c r="I51" s="4559" t="n"/>
      <c r="J51" s="4559" t="n"/>
    </row>
    <row r="52" ht="11.25" customHeight="1" s="3710">
      <c r="B52" s="3891" t="n"/>
      <c r="C52" s="4559" t="n"/>
      <c r="D52" s="4559" t="n"/>
      <c r="E52" s="4559" t="n"/>
      <c r="F52" s="4559" t="n"/>
      <c r="G52" s="4559" t="n"/>
      <c r="H52" s="4559" t="n"/>
      <c r="I52" s="4559" t="n"/>
      <c r="J52" s="4559" t="n"/>
    </row>
    <row r="53" ht="11.25" customHeight="1" s="3710">
      <c r="B53" s="3891" t="n"/>
      <c r="C53" s="4559" t="n"/>
      <c r="D53" s="4559" t="n"/>
      <c r="E53" s="4559" t="n"/>
      <c r="F53" s="4559" t="n"/>
      <c r="G53" s="4559" t="n"/>
      <c r="H53" s="4559" t="n"/>
      <c r="I53" s="4559" t="n"/>
      <c r="J53" s="4559" t="n"/>
    </row>
    <row r="54" ht="11.25" customHeight="1" s="3710">
      <c r="B54" s="3891" t="n"/>
      <c r="C54" s="4559" t="n"/>
      <c r="D54" s="4559" t="n"/>
      <c r="E54" s="4559" t="n"/>
      <c r="F54" s="4559" t="n"/>
      <c r="G54" s="4559" t="n"/>
      <c r="H54" s="4559" t="n"/>
      <c r="I54" s="4559" t="n"/>
      <c r="J54" s="4559" t="n"/>
    </row>
    <row r="55" ht="11.25" customHeight="1" s="3710">
      <c r="B55" s="3891" t="n"/>
      <c r="C55" s="4559" t="n"/>
      <c r="D55" s="4559" t="n"/>
      <c r="E55" s="4559" t="n"/>
      <c r="F55" s="4559" t="n"/>
      <c r="G55" s="4559" t="n"/>
      <c r="H55" s="4559" t="n"/>
      <c r="I55" s="4559" t="n"/>
      <c r="J55" s="4559" t="n"/>
    </row>
    <row r="56" ht="11.25" customHeight="1" s="3710">
      <c r="B56" s="3891" t="n"/>
      <c r="C56" s="4559" t="n"/>
      <c r="D56" s="4559" t="n"/>
      <c r="E56" s="4559" t="n"/>
      <c r="F56" s="4559" t="n"/>
      <c r="G56" s="4559" t="n"/>
      <c r="H56" s="4559" t="n"/>
      <c r="I56" s="4559" t="n"/>
      <c r="J56" s="4559" t="n"/>
    </row>
    <row r="57" ht="11.25" customHeight="1" s="3710">
      <c r="B57" s="3891" t="n"/>
      <c r="C57" s="4559" t="n"/>
      <c r="D57" s="4559" t="n"/>
      <c r="E57" s="4559" t="n"/>
      <c r="F57" s="4559" t="n"/>
      <c r="G57" s="4559" t="n"/>
      <c r="H57" s="4559" t="n"/>
      <c r="I57" s="4559" t="n"/>
      <c r="J57" s="4559" t="n"/>
    </row>
    <row r="58" ht="11.25" customHeight="1" s="3710">
      <c r="B58" s="3891" t="n"/>
      <c r="C58" s="4559" t="n"/>
      <c r="D58" s="4559" t="n"/>
      <c r="E58" s="4559" t="n"/>
      <c r="F58" s="4559" t="n"/>
      <c r="G58" s="4559" t="n"/>
      <c r="H58" s="4559" t="n"/>
      <c r="I58" s="4559" t="n"/>
      <c r="J58" s="4559" t="n"/>
    </row>
    <row r="59">
      <c r="C59" s="4559" t="n"/>
      <c r="D59" s="4559" t="n"/>
      <c r="E59" s="4559" t="n"/>
      <c r="F59" s="4559" t="n"/>
      <c r="G59" s="4559" t="n"/>
      <c r="H59" s="4559" t="n"/>
      <c r="I59" s="4559" t="n"/>
      <c r="J59" s="4559" t="n"/>
    </row>
    <row r="60">
      <c r="C60" s="4559" t="n"/>
      <c r="D60" s="4559" t="n"/>
      <c r="E60" s="4559" t="n"/>
      <c r="F60" s="4559" t="n"/>
      <c r="G60" s="4559" t="n"/>
      <c r="H60" s="4559" t="n"/>
      <c r="I60" s="4559" t="n"/>
      <c r="J60" s="4559" t="n"/>
    </row>
    <row r="61">
      <c r="C61" s="4559" t="n"/>
      <c r="D61" s="4559" t="n"/>
      <c r="E61" s="4559" t="n"/>
      <c r="F61" s="4559" t="n"/>
      <c r="G61" s="4559" t="n"/>
      <c r="H61" s="4559" t="n"/>
      <c r="I61" s="4559" t="n"/>
      <c r="J61" s="4559" t="n"/>
    </row>
    <row r="62">
      <c r="C62" s="4559" t="n"/>
      <c r="D62" s="4559" t="n"/>
      <c r="E62" s="4559" t="n"/>
      <c r="F62" s="4559" t="n"/>
      <c r="G62" s="4559" t="n"/>
      <c r="H62" s="4559" t="n"/>
      <c r="I62" s="4559" t="n"/>
      <c r="J62" s="4559" t="n"/>
    </row>
    <row r="63">
      <c r="C63" s="4559" t="n"/>
      <c r="D63" s="4559" t="n"/>
      <c r="E63" s="4559" t="n"/>
      <c r="F63" s="4559" t="n"/>
      <c r="G63" s="4559" t="n"/>
      <c r="H63" s="4559" t="n"/>
      <c r="I63" s="4559" t="n"/>
      <c r="J63" s="4559" t="n"/>
    </row>
    <row r="64">
      <c r="C64" s="4559" t="n"/>
      <c r="D64" s="4559" t="n"/>
      <c r="E64" s="4559" t="n"/>
      <c r="F64" s="4559" t="n"/>
      <c r="G64" s="4559" t="n"/>
      <c r="H64" s="4559" t="n"/>
      <c r="I64" s="4559" t="n"/>
      <c r="J64" s="4559" t="n"/>
    </row>
    <row r="65">
      <c r="C65" s="4559" t="n"/>
      <c r="D65" s="4559" t="n"/>
      <c r="E65" s="4559" t="n"/>
      <c r="F65" s="4559" t="n"/>
      <c r="G65" s="4559" t="n"/>
      <c r="H65" s="4559" t="n"/>
      <c r="I65" s="4559" t="n"/>
      <c r="J65" s="4559" t="n"/>
    </row>
    <row r="66">
      <c r="C66" s="4559" t="n"/>
      <c r="D66" s="4559" t="n"/>
      <c r="E66" s="4559" t="n"/>
      <c r="F66" s="4559" t="n"/>
      <c r="G66" s="4559" t="n"/>
      <c r="H66" s="4559" t="n"/>
      <c r="I66" s="4559" t="n"/>
      <c r="J66" s="4559" t="n"/>
    </row>
    <row r="67">
      <c r="C67" s="4559" t="n"/>
      <c r="D67" s="4559" t="n"/>
      <c r="E67" s="4559" t="n"/>
      <c r="F67" s="4559" t="n"/>
      <c r="G67" s="4559" t="n"/>
      <c r="H67" s="4559" t="n"/>
      <c r="I67" s="4559" t="n"/>
      <c r="J67" s="4559" t="n"/>
    </row>
    <row r="68">
      <c r="C68" s="4559" t="n"/>
      <c r="D68" s="4559" t="n"/>
      <c r="E68" s="4559" t="n"/>
      <c r="F68" s="4559" t="n"/>
      <c r="G68" s="4559" t="n"/>
      <c r="H68" s="4559" t="n"/>
      <c r="I68" s="4559" t="n"/>
      <c r="J68" s="4559" t="n"/>
    </row>
    <row r="69">
      <c r="C69" s="4559" t="n"/>
      <c r="D69" s="4559" t="n"/>
      <c r="E69" s="4559" t="n"/>
      <c r="F69" s="4559" t="n"/>
      <c r="G69" s="4559" t="n"/>
      <c r="H69" s="4559" t="n"/>
      <c r="I69" s="4559" t="n"/>
      <c r="J69" s="4559" t="n"/>
    </row>
    <row r="70">
      <c r="C70" s="4559" t="n"/>
      <c r="D70" s="4559" t="n"/>
      <c r="E70" s="4559" t="n"/>
      <c r="F70" s="4559" t="n"/>
      <c r="G70" s="4559" t="n"/>
      <c r="H70" s="4559" t="n"/>
      <c r="I70" s="4559" t="n"/>
      <c r="J70" s="4559" t="n"/>
    </row>
    <row r="71">
      <c r="C71" s="4559" t="n"/>
      <c r="D71" s="4559" t="n"/>
      <c r="E71" s="4559" t="n"/>
      <c r="F71" s="4559" t="n"/>
      <c r="G71" s="4559" t="n"/>
      <c r="H71" s="4559" t="n"/>
      <c r="I71" s="4559" t="n"/>
      <c r="J71" s="4559" t="n"/>
    </row>
    <row r="72">
      <c r="C72" s="4559" t="n"/>
      <c r="D72" s="4559" t="n"/>
      <c r="E72" s="4559" t="n"/>
      <c r="F72" s="4559" t="n"/>
      <c r="G72" s="4559" t="n"/>
      <c r="H72" s="4559" t="n"/>
      <c r="I72" s="4559" t="n"/>
      <c r="J72" s="4559" t="n"/>
    </row>
    <row r="73">
      <c r="C73" s="4559" t="n"/>
      <c r="D73" s="4559" t="n"/>
      <c r="E73" s="4559" t="n"/>
      <c r="F73" s="4559" t="n"/>
      <c r="G73" s="4559" t="n"/>
      <c r="H73" s="4559" t="n"/>
      <c r="I73" s="4559" t="n"/>
      <c r="J73" s="4559" t="n"/>
    </row>
    <row r="74">
      <c r="C74" s="4559" t="n"/>
      <c r="D74" s="4559" t="n"/>
      <c r="E74" s="4559" t="n"/>
      <c r="F74" s="4559" t="n"/>
      <c r="G74" s="4559" t="n"/>
      <c r="H74" s="4559" t="n"/>
      <c r="I74" s="4559" t="n"/>
      <c r="J74" s="4559" t="n"/>
    </row>
    <row r="75">
      <c r="C75" s="4559" t="n"/>
      <c r="D75" s="4559" t="n"/>
      <c r="E75" s="4559" t="n"/>
      <c r="F75" s="4559" t="n"/>
      <c r="G75" s="4559" t="n"/>
      <c r="H75" s="4559" t="n"/>
      <c r="I75" s="4559" t="n"/>
      <c r="J75" s="4559" t="n"/>
    </row>
    <row r="76">
      <c r="C76" s="4559" t="n"/>
      <c r="D76" s="4559" t="n"/>
      <c r="E76" s="4559" t="n"/>
      <c r="F76" s="4559" t="n"/>
      <c r="G76" s="4559" t="n"/>
      <c r="H76" s="4559" t="n"/>
      <c r="I76" s="4559" t="n"/>
      <c r="J76" s="4559" t="n"/>
    </row>
    <row r="77">
      <c r="C77" s="4559" t="n"/>
      <c r="D77" s="4559" t="n"/>
      <c r="E77" s="4559" t="n"/>
      <c r="F77" s="4559" t="n"/>
      <c r="G77" s="4559" t="n"/>
      <c r="H77" s="4559" t="n"/>
      <c r="I77" s="4559" t="n"/>
      <c r="J77" s="4559" t="n"/>
    </row>
    <row r="78">
      <c r="C78" s="4559" t="n"/>
      <c r="D78" s="4559" t="n"/>
      <c r="E78" s="4559" t="n"/>
      <c r="F78" s="4559" t="n"/>
      <c r="G78" s="4559" t="n"/>
      <c r="H78" s="4559" t="n"/>
      <c r="I78" s="4559" t="n"/>
      <c r="J78" s="4559" t="n"/>
    </row>
    <row r="79">
      <c r="C79" s="4559" t="n"/>
      <c r="D79" s="4559" t="n"/>
      <c r="E79" s="4559" t="n"/>
      <c r="F79" s="4559" t="n"/>
      <c r="G79" s="4559" t="n"/>
      <c r="H79" s="4559" t="n"/>
      <c r="I79" s="4559" t="n"/>
      <c r="J79" s="4559" t="n"/>
    </row>
    <row r="80">
      <c r="C80" s="4559" t="n"/>
      <c r="D80" s="4559" t="n"/>
      <c r="E80" s="4559" t="n"/>
      <c r="F80" s="4559" t="n"/>
      <c r="G80" s="4559" t="n"/>
      <c r="H80" s="4559" t="n"/>
      <c r="I80" s="4559" t="n"/>
      <c r="J80" s="4559" t="n"/>
    </row>
    <row r="81">
      <c r="C81" s="4559" t="n"/>
      <c r="D81" s="4559" t="n"/>
      <c r="E81" s="4559" t="n"/>
      <c r="F81" s="4559" t="n"/>
      <c r="G81" s="4559" t="n"/>
      <c r="H81" s="4559" t="n"/>
      <c r="I81" s="4559" t="n"/>
      <c r="J81" s="4559" t="n"/>
    </row>
    <row r="82">
      <c r="C82" s="4559" t="n"/>
      <c r="D82" s="4559" t="n"/>
      <c r="E82" s="4559" t="n"/>
      <c r="F82" s="4559" t="n"/>
      <c r="G82" s="4559" t="n"/>
      <c r="H82" s="4559" t="n"/>
      <c r="I82" s="4559" t="n"/>
      <c r="J82" s="4559" t="n"/>
    </row>
    <row r="83">
      <c r="C83" s="4559" t="n"/>
      <c r="D83" s="4559" t="n"/>
      <c r="E83" s="4559" t="n"/>
      <c r="F83" s="4559" t="n"/>
      <c r="G83" s="4559" t="n"/>
      <c r="H83" s="4559" t="n"/>
      <c r="I83" s="4559" t="n"/>
      <c r="J83" s="4559" t="n"/>
    </row>
    <row r="84">
      <c r="C84" s="4559" t="n"/>
      <c r="D84" s="4559" t="n"/>
      <c r="E84" s="4559" t="n"/>
      <c r="F84" s="4559" t="n"/>
      <c r="G84" s="4559" t="n"/>
      <c r="H84" s="4559" t="n"/>
      <c r="I84" s="4559" t="n"/>
      <c r="J84" s="4559" t="n"/>
    </row>
    <row r="85">
      <c r="C85" s="4559" t="n"/>
      <c r="D85" s="4559" t="n"/>
      <c r="E85" s="4559" t="n"/>
      <c r="F85" s="4559" t="n"/>
      <c r="G85" s="4559" t="n"/>
      <c r="H85" s="4559" t="n"/>
      <c r="I85" s="4559" t="n"/>
      <c r="J85" s="4559" t="n"/>
    </row>
    <row r="86">
      <c r="C86" s="4559" t="n"/>
      <c r="D86" s="4559" t="n"/>
      <c r="E86" s="4559" t="n"/>
      <c r="F86" s="4559" t="n"/>
      <c r="G86" s="4559" t="n"/>
      <c r="H86" s="4559" t="n"/>
      <c r="I86" s="4559" t="n"/>
      <c r="J86" s="4559" t="n"/>
    </row>
    <row r="87">
      <c r="C87" s="4559" t="n"/>
      <c r="D87" s="4559" t="n"/>
      <c r="E87" s="4559" t="n"/>
      <c r="F87" s="4559" t="n"/>
      <c r="G87" s="4559" t="n"/>
      <c r="H87" s="4559" t="n"/>
      <c r="I87" s="4559" t="n"/>
      <c r="J87" s="4559" t="n"/>
    </row>
    <row r="88">
      <c r="C88" s="4559" t="n"/>
      <c r="D88" s="4559" t="n"/>
      <c r="E88" s="4559" t="n"/>
      <c r="F88" s="4559" t="n"/>
      <c r="G88" s="4559" t="n"/>
      <c r="H88" s="4559" t="n"/>
      <c r="I88" s="4559" t="n"/>
      <c r="J88" s="4559" t="n"/>
    </row>
    <row r="89">
      <c r="C89" s="4559" t="n"/>
      <c r="D89" s="4559" t="n"/>
      <c r="E89" s="4559" t="n"/>
      <c r="F89" s="4559" t="n"/>
      <c r="G89" s="4559" t="n"/>
      <c r="H89" s="4559" t="n"/>
      <c r="I89" s="4559" t="n"/>
      <c r="J89" s="4559" t="n"/>
    </row>
    <row r="90">
      <c r="C90" s="4559" t="n"/>
      <c r="D90" s="4559" t="n"/>
      <c r="E90" s="4559" t="n"/>
      <c r="F90" s="4559" t="n"/>
      <c r="G90" s="4559" t="n"/>
      <c r="H90" s="4559" t="n"/>
      <c r="I90" s="4559" t="n"/>
      <c r="J90" s="4559" t="n"/>
    </row>
    <row r="91">
      <c r="C91" s="4559" t="n"/>
      <c r="D91" s="4559" t="n"/>
      <c r="E91" s="4559" t="n"/>
      <c r="F91" s="4559" t="n"/>
      <c r="G91" s="4559" t="n"/>
      <c r="H91" s="4559" t="n"/>
      <c r="I91" s="4559" t="n"/>
      <c r="J91" s="4559" t="n"/>
    </row>
    <row r="92">
      <c r="C92" s="4559" t="n"/>
      <c r="D92" s="4559" t="n"/>
      <c r="E92" s="4559" t="n"/>
      <c r="F92" s="4559" t="n"/>
      <c r="G92" s="4559" t="n"/>
      <c r="H92" s="4559" t="n"/>
      <c r="I92" s="4559" t="n"/>
      <c r="J92" s="4559" t="n"/>
    </row>
    <row r="93">
      <c r="C93" s="4559" t="n"/>
      <c r="D93" s="4559" t="n"/>
      <c r="E93" s="4559" t="n"/>
      <c r="F93" s="4559" t="n"/>
      <c r="G93" s="4559" t="n"/>
      <c r="H93" s="4559" t="n"/>
      <c r="I93" s="4559" t="n"/>
      <c r="J93" s="4559" t="n"/>
    </row>
    <row r="94">
      <c r="C94" s="4559" t="n"/>
      <c r="D94" s="4559" t="n"/>
      <c r="E94" s="4559" t="n"/>
      <c r="F94" s="4559" t="n"/>
      <c r="G94" s="4559" t="n"/>
      <c r="H94" s="4559" t="n"/>
      <c r="I94" s="4559" t="n"/>
      <c r="J94" s="4559" t="n"/>
    </row>
    <row r="95">
      <c r="C95" s="4559" t="n"/>
      <c r="D95" s="4559" t="n"/>
      <c r="E95" s="4559" t="n"/>
      <c r="F95" s="4559" t="n"/>
      <c r="G95" s="4559" t="n"/>
      <c r="H95" s="4559" t="n"/>
      <c r="I95" s="4559" t="n"/>
      <c r="J95" s="4559" t="n"/>
    </row>
    <row r="96">
      <c r="C96" s="4559" t="n"/>
      <c r="D96" s="4559" t="n"/>
      <c r="E96" s="4559" t="n"/>
      <c r="F96" s="4559" t="n"/>
      <c r="G96" s="4559" t="n"/>
      <c r="H96" s="4559" t="n"/>
      <c r="I96" s="4559" t="n"/>
      <c r="J96" s="4559" t="n"/>
    </row>
    <row r="97">
      <c r="C97" s="4559" t="n"/>
      <c r="D97" s="4559" t="n"/>
      <c r="E97" s="4559" t="n"/>
      <c r="F97" s="4559" t="n"/>
      <c r="G97" s="4559" t="n"/>
      <c r="H97" s="4559" t="n"/>
      <c r="I97" s="4559" t="n"/>
      <c r="J97" s="4559" t="n"/>
    </row>
    <row r="98">
      <c r="C98" s="4559" t="n"/>
      <c r="D98" s="4559" t="n"/>
      <c r="E98" s="4559" t="n"/>
      <c r="F98" s="4559" t="n"/>
      <c r="G98" s="4559" t="n"/>
      <c r="H98" s="4559" t="n"/>
      <c r="I98" s="4559" t="n"/>
      <c r="J98" s="4559" t="n"/>
    </row>
    <row r="99">
      <c r="C99" s="4559" t="n"/>
      <c r="D99" s="4559" t="n"/>
      <c r="E99" s="4559" t="n"/>
      <c r="F99" s="4559" t="n"/>
      <c r="G99" s="4559" t="n"/>
      <c r="H99" s="4559" t="n"/>
      <c r="I99" s="4559" t="n"/>
      <c r="J99" s="4559" t="n"/>
    </row>
    <row r="100">
      <c r="C100" s="4559" t="n"/>
      <c r="D100" s="4559" t="n"/>
      <c r="E100" s="4559" t="n"/>
      <c r="F100" s="4559" t="n"/>
      <c r="G100" s="4559" t="n"/>
      <c r="H100" s="4559" t="n"/>
      <c r="I100" s="4559" t="n"/>
      <c r="J100" s="4559" t="n"/>
    </row>
    <row r="101">
      <c r="C101" s="4559" t="n"/>
      <c r="D101" s="4559" t="n"/>
      <c r="E101" s="4559" t="n"/>
      <c r="F101" s="4559" t="n"/>
      <c r="G101" s="4559" t="n"/>
      <c r="H101" s="4559" t="n"/>
      <c r="I101" s="4559" t="n"/>
      <c r="J101" s="4559" t="n"/>
    </row>
    <row r="102">
      <c r="C102" s="4559" t="n"/>
      <c r="D102" s="4559" t="n"/>
      <c r="E102" s="4559" t="n"/>
      <c r="F102" s="4559" t="n"/>
      <c r="G102" s="4559" t="n"/>
      <c r="H102" s="4559" t="n"/>
      <c r="I102" s="4559" t="n"/>
      <c r="J102" s="4559" t="n"/>
    </row>
    <row r="103">
      <c r="C103" s="4559" t="n"/>
      <c r="D103" s="4559" t="n"/>
      <c r="E103" s="4559" t="n"/>
      <c r="F103" s="4559" t="n"/>
      <c r="G103" s="4559" t="n"/>
      <c r="H103" s="4559" t="n"/>
      <c r="I103" s="4559" t="n"/>
      <c r="J103" s="4559" t="n"/>
    </row>
    <row r="104">
      <c r="C104" s="4559" t="n"/>
      <c r="D104" s="4559" t="n"/>
      <c r="E104" s="4559" t="n"/>
      <c r="F104" s="4559" t="n"/>
      <c r="G104" s="4559" t="n"/>
      <c r="H104" s="4559" t="n"/>
      <c r="I104" s="4559" t="n"/>
      <c r="J104" s="4559" t="n"/>
    </row>
    <row r="105">
      <c r="C105" s="4559" t="n"/>
      <c r="D105" s="4559" t="n"/>
      <c r="E105" s="4559" t="n"/>
      <c r="F105" s="4559" t="n"/>
      <c r="G105" s="4559" t="n"/>
      <c r="H105" s="4559" t="n"/>
      <c r="I105" s="4559" t="n"/>
      <c r="J105" s="4559" t="n"/>
    </row>
    <row r="106">
      <c r="C106" s="4559" t="n"/>
      <c r="D106" s="4559" t="n"/>
      <c r="E106" s="4559" t="n"/>
      <c r="F106" s="4559" t="n"/>
      <c r="G106" s="4559" t="n"/>
      <c r="H106" s="4559" t="n"/>
      <c r="I106" s="4559" t="n"/>
      <c r="J106" s="4559" t="n"/>
    </row>
    <row r="107">
      <c r="C107" s="4559" t="n"/>
      <c r="D107" s="4559" t="n"/>
      <c r="E107" s="4559" t="n"/>
      <c r="F107" s="4559" t="n"/>
      <c r="G107" s="4559" t="n"/>
      <c r="H107" s="4559" t="n"/>
      <c r="I107" s="4559" t="n"/>
      <c r="J107" s="4559" t="n"/>
    </row>
    <row r="108">
      <c r="C108" s="4559" t="n"/>
      <c r="D108" s="4559" t="n"/>
      <c r="E108" s="4559" t="n"/>
      <c r="F108" s="4559" t="n"/>
      <c r="G108" s="4559" t="n"/>
      <c r="H108" s="4559" t="n"/>
      <c r="I108" s="4559" t="n"/>
      <c r="J108" s="4559" t="n"/>
    </row>
    <row r="109">
      <c r="C109" s="4559" t="n"/>
      <c r="D109" s="4559" t="n"/>
      <c r="E109" s="4559" t="n"/>
      <c r="F109" s="4559" t="n"/>
      <c r="G109" s="4559" t="n"/>
      <c r="H109" s="4559" t="n"/>
      <c r="I109" s="4559" t="n"/>
      <c r="J109" s="4559" t="n"/>
    </row>
    <row r="110">
      <c r="C110" s="4559" t="n"/>
      <c r="D110" s="4559" t="n"/>
      <c r="E110" s="4559" t="n"/>
      <c r="F110" s="4559" t="n"/>
      <c r="G110" s="4559" t="n"/>
      <c r="H110" s="4559" t="n"/>
      <c r="I110" s="4559" t="n"/>
      <c r="J110" s="4559" t="n"/>
    </row>
    <row r="111">
      <c r="C111" s="4559" t="n"/>
      <c r="D111" s="4559" t="n"/>
      <c r="E111" s="4559" t="n"/>
      <c r="F111" s="4559" t="n"/>
      <c r="G111" s="4559" t="n"/>
      <c r="H111" s="4559" t="n"/>
      <c r="I111" s="4559" t="n"/>
      <c r="J111" s="4559" t="n"/>
    </row>
    <row r="112">
      <c r="C112" s="4559" t="n"/>
      <c r="D112" s="4559" t="n"/>
      <c r="E112" s="4559" t="n"/>
      <c r="F112" s="4559" t="n"/>
      <c r="G112" s="4559" t="n"/>
      <c r="H112" s="4559" t="n"/>
      <c r="I112" s="4559" t="n"/>
      <c r="J112" s="4559" t="n"/>
    </row>
    <row r="113">
      <c r="C113" s="4559" t="n"/>
      <c r="D113" s="4559" t="n"/>
      <c r="E113" s="4559" t="n"/>
      <c r="F113" s="4559" t="n"/>
      <c r="G113" s="4559" t="n"/>
      <c r="H113" s="4559" t="n"/>
      <c r="I113" s="4559" t="n"/>
      <c r="J113" s="4559" t="n"/>
    </row>
    <row r="114">
      <c r="C114" s="4559" t="n"/>
      <c r="D114" s="4559" t="n"/>
      <c r="E114" s="4559" t="n"/>
      <c r="F114" s="4559" t="n"/>
      <c r="G114" s="4559" t="n"/>
      <c r="H114" s="4559" t="n"/>
      <c r="I114" s="4559" t="n"/>
      <c r="J114" s="4559" t="n"/>
    </row>
    <row r="115">
      <c r="C115" s="4559" t="n"/>
      <c r="D115" s="4559" t="n"/>
      <c r="E115" s="4559" t="n"/>
      <c r="F115" s="4559" t="n"/>
      <c r="G115" s="4559" t="n"/>
      <c r="H115" s="4559" t="n"/>
      <c r="I115" s="4559" t="n"/>
      <c r="J115" s="4559" t="n"/>
    </row>
    <row r="116">
      <c r="C116" s="4559" t="n"/>
      <c r="D116" s="4559" t="n"/>
      <c r="E116" s="4559" t="n"/>
      <c r="F116" s="4559" t="n"/>
      <c r="G116" s="4559" t="n"/>
      <c r="H116" s="4559" t="n"/>
      <c r="I116" s="4559" t="n"/>
      <c r="J116" s="4559" t="n"/>
    </row>
    <row r="117">
      <c r="C117" s="4559" t="n"/>
      <c r="D117" s="4559" t="n"/>
      <c r="E117" s="4559" t="n"/>
      <c r="F117" s="4559" t="n"/>
      <c r="G117" s="4559" t="n"/>
      <c r="H117" s="4559" t="n"/>
      <c r="I117" s="4559" t="n"/>
      <c r="J117" s="4559" t="n"/>
    </row>
    <row r="118">
      <c r="C118" s="4559" t="n"/>
      <c r="D118" s="4559" t="n"/>
      <c r="E118" s="4559" t="n"/>
      <c r="F118" s="4559" t="n"/>
      <c r="G118" s="4559" t="n"/>
      <c r="H118" s="4559" t="n"/>
      <c r="I118" s="4559" t="n"/>
      <c r="J118" s="4559" t="n"/>
    </row>
    <row r="119">
      <c r="C119" s="4559" t="n"/>
      <c r="D119" s="4559" t="n"/>
      <c r="E119" s="4559" t="n"/>
      <c r="F119" s="4559" t="n"/>
      <c r="G119" s="4559" t="n"/>
      <c r="H119" s="4559" t="n"/>
      <c r="I119" s="4559" t="n"/>
      <c r="J119" s="4559" t="n"/>
    </row>
    <row r="120">
      <c r="C120" s="4559" t="n"/>
      <c r="D120" s="4559" t="n"/>
      <c r="E120" s="4559" t="n"/>
      <c r="F120" s="4559" t="n"/>
      <c r="G120" s="4559" t="n"/>
      <c r="H120" s="4559" t="n"/>
      <c r="I120" s="4559" t="n"/>
      <c r="J120" s="4559" t="n"/>
    </row>
    <row r="121">
      <c r="C121" s="4559" t="n"/>
      <c r="D121" s="4559" t="n"/>
      <c r="E121" s="4559" t="n"/>
      <c r="F121" s="4559" t="n"/>
      <c r="G121" s="4559" t="n"/>
      <c r="H121" s="4559" t="n"/>
      <c r="I121" s="4559" t="n"/>
      <c r="J121" s="4559" t="n"/>
    </row>
    <row r="122">
      <c r="C122" s="4559" t="n"/>
      <c r="D122" s="4559" t="n"/>
      <c r="E122" s="4559" t="n"/>
      <c r="F122" s="4559" t="n"/>
      <c r="G122" s="4559" t="n"/>
      <c r="H122" s="4559" t="n"/>
      <c r="I122" s="4559" t="n"/>
      <c r="J122" s="4559" t="n"/>
    </row>
    <row r="123">
      <c r="C123" s="4559" t="n"/>
      <c r="D123" s="4559" t="n"/>
      <c r="E123" s="4559" t="n"/>
      <c r="F123" s="4559" t="n"/>
      <c r="G123" s="4559" t="n"/>
      <c r="H123" s="4559" t="n"/>
      <c r="I123" s="4559" t="n"/>
      <c r="J123" s="4559" t="n"/>
    </row>
    <row r="124">
      <c r="C124" s="4559" t="n"/>
      <c r="D124" s="4559" t="n"/>
      <c r="E124" s="4559" t="n"/>
      <c r="F124" s="4559" t="n"/>
      <c r="G124" s="4559" t="n"/>
      <c r="H124" s="4559" t="n"/>
      <c r="I124" s="4559" t="n"/>
      <c r="J124" s="4559" t="n"/>
    </row>
    <row r="125">
      <c r="C125" s="4559" t="n"/>
      <c r="D125" s="4559" t="n"/>
      <c r="E125" s="4559" t="n"/>
      <c r="F125" s="4559" t="n"/>
      <c r="G125" s="4559" t="n"/>
      <c r="H125" s="4559" t="n"/>
      <c r="I125" s="4559" t="n"/>
      <c r="J125" s="4559" t="n"/>
    </row>
    <row r="126">
      <c r="C126" s="4559" t="n"/>
      <c r="D126" s="4559" t="n"/>
      <c r="E126" s="4559" t="n"/>
      <c r="F126" s="4559" t="n"/>
      <c r="G126" s="4559" t="n"/>
      <c r="H126" s="4559" t="n"/>
      <c r="I126" s="4559" t="n"/>
      <c r="J126" s="4559" t="n"/>
    </row>
    <row r="127">
      <c r="C127" s="4559" t="n"/>
      <c r="D127" s="4559" t="n"/>
      <c r="E127" s="4559" t="n"/>
      <c r="F127" s="4559" t="n"/>
      <c r="G127" s="4559" t="n"/>
      <c r="H127" s="4559" t="n"/>
      <c r="I127" s="4559" t="n"/>
      <c r="J127" s="4559" t="n"/>
    </row>
    <row r="128">
      <c r="C128" s="4559" t="n"/>
      <c r="D128" s="4559" t="n"/>
      <c r="E128" s="4559" t="n"/>
      <c r="F128" s="4559" t="n"/>
      <c r="G128" s="4559" t="n"/>
      <c r="H128" s="4559" t="n"/>
      <c r="I128" s="4559" t="n"/>
      <c r="J128" s="4559" t="n"/>
    </row>
    <row r="129">
      <c r="C129" s="4559" t="n"/>
      <c r="D129" s="4559" t="n"/>
      <c r="E129" s="4559" t="n"/>
      <c r="F129" s="4559" t="n"/>
      <c r="G129" s="4559" t="n"/>
      <c r="H129" s="4559" t="n"/>
      <c r="I129" s="4559" t="n"/>
      <c r="J129" s="4559" t="n"/>
    </row>
    <row r="130">
      <c r="C130" s="4559" t="n"/>
      <c r="D130" s="4559" t="n"/>
      <c r="E130" s="4559" t="n"/>
      <c r="F130" s="4559" t="n"/>
      <c r="G130" s="4559" t="n"/>
      <c r="H130" s="4559" t="n"/>
      <c r="I130" s="4559" t="n"/>
      <c r="J130" s="4559" t="n"/>
    </row>
    <row r="131">
      <c r="C131" s="4559" t="n"/>
      <c r="D131" s="4559" t="n"/>
      <c r="E131" s="4559" t="n"/>
      <c r="F131" s="4559" t="n"/>
      <c r="G131" s="4559" t="n"/>
      <c r="H131" s="4559" t="n"/>
      <c r="I131" s="4559" t="n"/>
      <c r="J131" s="4559" t="n"/>
    </row>
    <row r="132">
      <c r="C132" s="4559" t="n"/>
      <c r="D132" s="4559" t="n"/>
      <c r="E132" s="4559" t="n"/>
      <c r="F132" s="4559" t="n"/>
      <c r="G132" s="4559" t="n"/>
      <c r="H132" s="4559" t="n"/>
      <c r="I132" s="4559" t="n"/>
      <c r="J132" s="4559" t="n"/>
    </row>
    <row r="133">
      <c r="C133" s="4559" t="n"/>
      <c r="D133" s="4559" t="n"/>
      <c r="E133" s="4559" t="n"/>
      <c r="F133" s="4559" t="n"/>
      <c r="G133" s="4559" t="n"/>
      <c r="H133" s="4559" t="n"/>
      <c r="I133" s="4559" t="n"/>
      <c r="J133" s="4559" t="n"/>
    </row>
    <row r="134">
      <c r="C134" s="4559" t="n"/>
      <c r="D134" s="4559" t="n"/>
      <c r="E134" s="4559" t="n"/>
      <c r="F134" s="4559" t="n"/>
      <c r="G134" s="4559" t="n"/>
      <c r="H134" s="4559" t="n"/>
      <c r="I134" s="4559" t="n"/>
      <c r="J134" s="4559" t="n"/>
    </row>
    <row r="135">
      <c r="C135" s="4559" t="n"/>
      <c r="D135" s="4559" t="n"/>
      <c r="E135" s="4559" t="n"/>
      <c r="F135" s="4559" t="n"/>
      <c r="G135" s="4559" t="n"/>
      <c r="H135" s="4559" t="n"/>
      <c r="I135" s="4559" t="n"/>
      <c r="J135" s="4559" t="n"/>
    </row>
    <row r="136">
      <c r="C136" s="4559" t="n"/>
      <c r="D136" s="4559" t="n"/>
      <c r="E136" s="4559" t="n"/>
      <c r="F136" s="4559" t="n"/>
      <c r="G136" s="4559" t="n"/>
      <c r="H136" s="4559" t="n"/>
      <c r="I136" s="4559" t="n"/>
      <c r="J136" s="4559" t="n"/>
    </row>
    <row r="137">
      <c r="C137" s="4559" t="n"/>
      <c r="D137" s="4559" t="n"/>
      <c r="E137" s="4559" t="n"/>
      <c r="F137" s="4559" t="n"/>
      <c r="G137" s="4559" t="n"/>
      <c r="H137" s="4559" t="n"/>
      <c r="I137" s="4559" t="n"/>
      <c r="J137" s="4559" t="n"/>
    </row>
    <row r="138">
      <c r="C138" s="4559" t="n"/>
      <c r="D138" s="4559" t="n"/>
      <c r="E138" s="4559" t="n"/>
      <c r="F138" s="4559" t="n"/>
      <c r="G138" s="4559" t="n"/>
      <c r="H138" s="4559" t="n"/>
      <c r="I138" s="4559" t="n"/>
      <c r="J138" s="4559" t="n"/>
    </row>
    <row r="139">
      <c r="C139" s="4559" t="n"/>
      <c r="D139" s="4559" t="n"/>
      <c r="E139" s="4559" t="n"/>
      <c r="F139" s="4559" t="n"/>
      <c r="G139" s="4559" t="n"/>
      <c r="H139" s="4559" t="n"/>
      <c r="I139" s="4559" t="n"/>
      <c r="J139" s="4559" t="n"/>
    </row>
    <row r="140">
      <c r="C140" s="4559" t="n"/>
      <c r="D140" s="4559" t="n"/>
      <c r="E140" s="4559" t="n"/>
      <c r="F140" s="4559" t="n"/>
      <c r="G140" s="4559" t="n"/>
      <c r="H140" s="4559" t="n"/>
      <c r="I140" s="4559" t="n"/>
      <c r="J140" s="4559" t="n"/>
    </row>
    <row r="141">
      <c r="C141" s="4559" t="n"/>
      <c r="D141" s="4559" t="n"/>
      <c r="E141" s="4559" t="n"/>
      <c r="F141" s="4559" t="n"/>
      <c r="G141" s="4559" t="n"/>
      <c r="H141" s="4559" t="n"/>
      <c r="I141" s="4559" t="n"/>
      <c r="J141" s="4559" t="n"/>
    </row>
    <row r="142">
      <c r="C142" s="4559" t="n"/>
      <c r="D142" s="4559" t="n"/>
      <c r="E142" s="4559" t="n"/>
      <c r="F142" s="4559" t="n"/>
      <c r="G142" s="4559" t="n"/>
      <c r="H142" s="4559" t="n"/>
      <c r="I142" s="4559" t="n"/>
      <c r="J142" s="4559" t="n"/>
    </row>
    <row r="143">
      <c r="C143" s="4559" t="n"/>
      <c r="D143" s="4559" t="n"/>
      <c r="E143" s="4559" t="n"/>
      <c r="F143" s="4559" t="n"/>
      <c r="G143" s="4559" t="n"/>
      <c r="H143" s="4559" t="n"/>
      <c r="I143" s="4559" t="n"/>
      <c r="J143" s="4559" t="n"/>
    </row>
    <row r="144">
      <c r="C144" s="4559" t="n"/>
      <c r="D144" s="4559" t="n"/>
      <c r="E144" s="4559" t="n"/>
      <c r="F144" s="4559" t="n"/>
      <c r="G144" s="4559" t="n"/>
      <c r="H144" s="4559" t="n"/>
      <c r="I144" s="4559" t="n"/>
      <c r="J144" s="4559" t="n"/>
    </row>
    <row r="145">
      <c r="C145" s="4559" t="n"/>
      <c r="D145" s="4559" t="n"/>
      <c r="E145" s="4559" t="n"/>
      <c r="F145" s="4559" t="n"/>
      <c r="G145" s="4559" t="n"/>
      <c r="H145" s="4559" t="n"/>
      <c r="I145" s="4559" t="n"/>
      <c r="J145" s="4559" t="n"/>
    </row>
    <row r="146">
      <c r="C146" s="4559" t="n"/>
      <c r="D146" s="4559" t="n"/>
      <c r="E146" s="4559" t="n"/>
      <c r="F146" s="4559" t="n"/>
      <c r="G146" s="4559" t="n"/>
      <c r="H146" s="4559" t="n"/>
      <c r="I146" s="4559" t="n"/>
      <c r="J146" s="4559" t="n"/>
    </row>
    <row r="147">
      <c r="C147" s="4559" t="n"/>
      <c r="D147" s="4559" t="n"/>
      <c r="E147" s="4559" t="n"/>
      <c r="F147" s="4559" t="n"/>
      <c r="G147" s="4559" t="n"/>
      <c r="H147" s="4559" t="n"/>
      <c r="I147" s="4559" t="n"/>
      <c r="J147" s="4559" t="n"/>
    </row>
    <row r="148">
      <c r="C148" s="4559" t="n"/>
      <c r="D148" s="4559" t="n"/>
      <c r="E148" s="4559" t="n"/>
      <c r="F148" s="4559" t="n"/>
      <c r="G148" s="4559" t="n"/>
      <c r="H148" s="4559" t="n"/>
      <c r="I148" s="4559" t="n"/>
      <c r="J148" s="4559" t="n"/>
    </row>
    <row r="149">
      <c r="C149" s="4559" t="n"/>
      <c r="D149" s="4559" t="n"/>
      <c r="E149" s="4559" t="n"/>
      <c r="F149" s="4559" t="n"/>
      <c r="G149" s="4559" t="n"/>
      <c r="H149" s="4559" t="n"/>
      <c r="I149" s="4559" t="n"/>
      <c r="J149" s="4559" t="n"/>
    </row>
    <row r="150">
      <c r="C150" s="4559" t="n"/>
      <c r="D150" s="4559" t="n"/>
      <c r="E150" s="4559" t="n"/>
      <c r="F150" s="4559" t="n"/>
      <c r="G150" s="4559" t="n"/>
      <c r="H150" s="4559" t="n"/>
      <c r="I150" s="4559" t="n"/>
      <c r="J150" s="4559" t="n"/>
    </row>
    <row r="151">
      <c r="C151" s="4559" t="n"/>
      <c r="D151" s="4559" t="n"/>
      <c r="E151" s="4559" t="n"/>
      <c r="F151" s="4559" t="n"/>
      <c r="G151" s="4559" t="n"/>
      <c r="H151" s="4559" t="n"/>
      <c r="I151" s="4559" t="n"/>
      <c r="J151" s="4559" t="n"/>
    </row>
    <row r="152">
      <c r="C152" s="4559" t="n"/>
      <c r="D152" s="4559" t="n"/>
      <c r="E152" s="4559" t="n"/>
      <c r="F152" s="4559" t="n"/>
      <c r="G152" s="4559" t="n"/>
      <c r="H152" s="4559" t="n"/>
      <c r="I152" s="4559" t="n"/>
      <c r="J152" s="4559" t="n"/>
    </row>
    <row r="153">
      <c r="C153" s="4559" t="n"/>
      <c r="D153" s="4559" t="n"/>
      <c r="E153" s="4559" t="n"/>
      <c r="F153" s="4559" t="n"/>
      <c r="G153" s="4559" t="n"/>
      <c r="H153" s="4559" t="n"/>
      <c r="I153" s="4559" t="n"/>
      <c r="J153" s="4559" t="n"/>
    </row>
    <row r="154">
      <c r="C154" s="4559" t="n"/>
      <c r="D154" s="4559" t="n"/>
      <c r="E154" s="4559" t="n"/>
      <c r="F154" s="4559" t="n"/>
      <c r="G154" s="4559" t="n"/>
      <c r="H154" s="4559" t="n"/>
      <c r="I154" s="4559" t="n"/>
      <c r="J154" s="4559" t="n"/>
    </row>
    <row r="155">
      <c r="C155" s="4559" t="n"/>
      <c r="D155" s="4559" t="n"/>
      <c r="E155" s="4559" t="n"/>
      <c r="F155" s="4559" t="n"/>
      <c r="G155" s="4559" t="n"/>
      <c r="H155" s="4559" t="n"/>
      <c r="I155" s="4559" t="n"/>
      <c r="J155" s="4559" t="n"/>
    </row>
    <row r="156">
      <c r="C156" s="4559" t="n"/>
      <c r="D156" s="4559" t="n"/>
      <c r="E156" s="4559" t="n"/>
      <c r="F156" s="4559" t="n"/>
      <c r="G156" s="4559" t="n"/>
      <c r="H156" s="4559" t="n"/>
      <c r="I156" s="4559" t="n"/>
      <c r="J156" s="4559" t="n"/>
    </row>
    <row r="157">
      <c r="C157" s="4559" t="n"/>
      <c r="D157" s="4559" t="n"/>
      <c r="E157" s="4559" t="n"/>
      <c r="F157" s="4559" t="n"/>
      <c r="G157" s="4559" t="n"/>
      <c r="H157" s="4559" t="n"/>
      <c r="I157" s="4559" t="n"/>
      <c r="J157" s="4559" t="n"/>
    </row>
    <row r="158">
      <c r="C158" s="4559" t="n"/>
      <c r="D158" s="4559" t="n"/>
      <c r="E158" s="4559" t="n"/>
      <c r="F158" s="4559" t="n"/>
      <c r="G158" s="4559" t="n"/>
      <c r="H158" s="4559" t="n"/>
      <c r="I158" s="4559" t="n"/>
      <c r="J158" s="4559" t="n"/>
    </row>
    <row r="159">
      <c r="C159" s="4559" t="n"/>
      <c r="D159" s="4559" t="n"/>
      <c r="E159" s="4559" t="n"/>
      <c r="F159" s="4559" t="n"/>
      <c r="G159" s="4559" t="n"/>
      <c r="H159" s="4559" t="n"/>
      <c r="I159" s="4559" t="n"/>
      <c r="J159" s="4559" t="n"/>
    </row>
    <row r="160">
      <c r="C160" s="4559" t="n"/>
      <c r="D160" s="4559" t="n"/>
      <c r="E160" s="4559" t="n"/>
      <c r="F160" s="4559" t="n"/>
      <c r="G160" s="4559" t="n"/>
      <c r="H160" s="4559" t="n"/>
      <c r="I160" s="4559" t="n"/>
      <c r="J160" s="4559" t="n"/>
    </row>
    <row r="161">
      <c r="C161" s="4559" t="n"/>
      <c r="D161" s="4559" t="n"/>
      <c r="E161" s="4559" t="n"/>
      <c r="F161" s="4559" t="n"/>
      <c r="G161" s="4559" t="n"/>
      <c r="H161" s="4559" t="n"/>
      <c r="I161" s="4559" t="n"/>
      <c r="J161" s="4559" t="n"/>
    </row>
    <row r="162">
      <c r="C162" s="4559" t="n"/>
      <c r="D162" s="4559" t="n"/>
      <c r="E162" s="4559" t="n"/>
      <c r="F162" s="4559" t="n"/>
      <c r="G162" s="4559" t="n"/>
      <c r="H162" s="4559" t="n"/>
      <c r="I162" s="4559" t="n"/>
      <c r="J162" s="4559" t="n"/>
    </row>
    <row r="163">
      <c r="C163" s="4559" t="n"/>
      <c r="D163" s="4559" t="n"/>
      <c r="E163" s="4559" t="n"/>
      <c r="F163" s="4559" t="n"/>
      <c r="G163" s="4559" t="n"/>
      <c r="H163" s="4559" t="n"/>
      <c r="I163" s="4559" t="n"/>
      <c r="J163" s="4559" t="n"/>
    </row>
    <row r="164">
      <c r="C164" s="4559" t="n"/>
      <c r="D164" s="4559" t="n"/>
      <c r="E164" s="4559" t="n"/>
      <c r="F164" s="4559" t="n"/>
      <c r="G164" s="4559" t="n"/>
      <c r="H164" s="4559" t="n"/>
      <c r="I164" s="4559" t="n"/>
      <c r="J164" s="4559" t="n"/>
    </row>
    <row r="165">
      <c r="C165" s="4559" t="n"/>
      <c r="D165" s="4559" t="n"/>
      <c r="E165" s="4559" t="n"/>
      <c r="F165" s="4559" t="n"/>
      <c r="G165" s="4559" t="n"/>
      <c r="H165" s="4559" t="n"/>
      <c r="I165" s="4559" t="n"/>
      <c r="J165" s="4559" t="n"/>
    </row>
    <row r="166">
      <c r="C166" s="4559" t="n"/>
      <c r="D166" s="4559" t="n"/>
      <c r="E166" s="4559" t="n"/>
      <c r="F166" s="4559" t="n"/>
      <c r="G166" s="4559" t="n"/>
      <c r="H166" s="4559" t="n"/>
      <c r="I166" s="4559" t="n"/>
      <c r="J166" s="4559" t="n"/>
    </row>
    <row r="167">
      <c r="C167" s="4559" t="n"/>
      <c r="D167" s="4559" t="n"/>
      <c r="E167" s="4559" t="n"/>
      <c r="F167" s="4559" t="n"/>
      <c r="G167" s="4559" t="n"/>
      <c r="H167" s="4559" t="n"/>
      <c r="I167" s="4559" t="n"/>
      <c r="J167" s="4559" t="n"/>
    </row>
    <row r="168">
      <c r="C168" s="4559" t="n"/>
      <c r="D168" s="4559" t="n"/>
      <c r="E168" s="4559" t="n"/>
      <c r="F168" s="4559" t="n"/>
      <c r="G168" s="4559" t="n"/>
      <c r="H168" s="4559" t="n"/>
      <c r="I168" s="4559" t="n"/>
      <c r="J168" s="4559" t="n"/>
    </row>
    <row r="169">
      <c r="C169" s="4559" t="n"/>
      <c r="D169" s="4559" t="n"/>
      <c r="E169" s="4559" t="n"/>
      <c r="F169" s="4559" t="n"/>
      <c r="G169" s="4559" t="n"/>
      <c r="H169" s="4559" t="n"/>
      <c r="I169" s="4559" t="n"/>
      <c r="J169" s="4559" t="n"/>
    </row>
    <row r="170">
      <c r="C170" s="4559" t="n"/>
      <c r="D170" s="4559" t="n"/>
      <c r="E170" s="4559" t="n"/>
      <c r="F170" s="4559" t="n"/>
      <c r="G170" s="4559" t="n"/>
      <c r="H170" s="4559" t="n"/>
      <c r="I170" s="4559" t="n"/>
      <c r="J170" s="4559" t="n"/>
    </row>
    <row r="171">
      <c r="C171" s="4559" t="n"/>
      <c r="D171" s="4559" t="n"/>
      <c r="E171" s="4559" t="n"/>
      <c r="F171" s="4559" t="n"/>
      <c r="G171" s="4559" t="n"/>
      <c r="H171" s="4559" t="n"/>
      <c r="I171" s="4559" t="n"/>
      <c r="J171" s="4559" t="n"/>
    </row>
    <row r="172">
      <c r="C172" s="4559" t="n"/>
      <c r="D172" s="4559" t="n"/>
      <c r="E172" s="4559" t="n"/>
      <c r="F172" s="4559" t="n"/>
      <c r="G172" s="4559" t="n"/>
      <c r="H172" s="4559" t="n"/>
      <c r="I172" s="4559" t="n"/>
      <c r="J172" s="4559" t="n"/>
    </row>
    <row r="173">
      <c r="C173" s="4559" t="n"/>
      <c r="D173" s="4559" t="n"/>
      <c r="E173" s="4559" t="n"/>
      <c r="F173" s="4559" t="n"/>
      <c r="G173" s="4559" t="n"/>
      <c r="H173" s="4559" t="n"/>
      <c r="I173" s="4559" t="n"/>
      <c r="J173" s="4559" t="n"/>
    </row>
    <row r="174">
      <c r="C174" s="4559" t="n"/>
      <c r="D174" s="4559" t="n"/>
      <c r="E174" s="4559" t="n"/>
      <c r="F174" s="4559" t="n"/>
      <c r="G174" s="4559" t="n"/>
      <c r="H174" s="4559" t="n"/>
      <c r="I174" s="4559" t="n"/>
      <c r="J174" s="4559" t="n"/>
    </row>
    <row r="175">
      <c r="C175" s="4559" t="n"/>
      <c r="D175" s="4559" t="n"/>
      <c r="E175" s="4559" t="n"/>
      <c r="F175" s="4559" t="n"/>
      <c r="G175" s="4559" t="n"/>
      <c r="H175" s="4559" t="n"/>
      <c r="I175" s="4559" t="n"/>
      <c r="J175" s="4559" t="n"/>
    </row>
    <row r="176">
      <c r="C176" s="4559" t="n"/>
      <c r="D176" s="4559" t="n"/>
      <c r="E176" s="4559" t="n"/>
      <c r="F176" s="4559" t="n"/>
      <c r="G176" s="4559" t="n"/>
      <c r="H176" s="4559" t="n"/>
      <c r="I176" s="4559" t="n"/>
      <c r="J176" s="4559" t="n"/>
    </row>
    <row r="177">
      <c r="C177" s="4559" t="n"/>
      <c r="D177" s="4559" t="n"/>
      <c r="E177" s="4559" t="n"/>
      <c r="F177" s="4559" t="n"/>
      <c r="G177" s="4559" t="n"/>
      <c r="H177" s="4559" t="n"/>
      <c r="I177" s="4559" t="n"/>
      <c r="J177" s="4559" t="n"/>
    </row>
    <row r="178">
      <c r="C178" s="4559" t="n"/>
      <c r="D178" s="4559" t="n"/>
      <c r="E178" s="4559" t="n"/>
      <c r="F178" s="4559" t="n"/>
      <c r="G178" s="4559" t="n"/>
      <c r="H178" s="4559" t="n"/>
      <c r="I178" s="4559" t="n"/>
      <c r="J178" s="4559" t="n"/>
    </row>
    <row r="179">
      <c r="C179" s="4559" t="n"/>
      <c r="D179" s="4559" t="n"/>
      <c r="E179" s="4559" t="n"/>
      <c r="F179" s="4559" t="n"/>
      <c r="G179" s="4559" t="n"/>
      <c r="H179" s="4559" t="n"/>
      <c r="I179" s="4559" t="n"/>
      <c r="J179" s="4559" t="n"/>
    </row>
    <row r="180">
      <c r="C180" s="4559" t="n"/>
      <c r="D180" s="4559" t="n"/>
      <c r="E180" s="4559" t="n"/>
      <c r="F180" s="4559" t="n"/>
      <c r="G180" s="4559" t="n"/>
      <c r="H180" s="4559" t="n"/>
      <c r="I180" s="4559" t="n"/>
      <c r="J180" s="4559" t="n"/>
    </row>
    <row r="181">
      <c r="C181" s="4559" t="n"/>
      <c r="D181" s="4559" t="n"/>
      <c r="E181" s="4559" t="n"/>
      <c r="F181" s="4559" t="n"/>
      <c r="G181" s="4559" t="n"/>
      <c r="H181" s="4559" t="n"/>
      <c r="I181" s="4559" t="n"/>
      <c r="J181" s="4559" t="n"/>
    </row>
    <row r="182">
      <c r="C182" s="4559" t="n"/>
      <c r="D182" s="4559" t="n"/>
      <c r="E182" s="4559" t="n"/>
      <c r="F182" s="4559" t="n"/>
      <c r="G182" s="4559" t="n"/>
      <c r="H182" s="4559" t="n"/>
      <c r="I182" s="4559" t="n"/>
      <c r="J182" s="4559" t="n"/>
    </row>
    <row r="183">
      <c r="C183" s="4559" t="n"/>
      <c r="D183" s="4559" t="n"/>
      <c r="E183" s="4559" t="n"/>
      <c r="F183" s="4559" t="n"/>
      <c r="G183" s="4559" t="n"/>
      <c r="H183" s="4559" t="n"/>
      <c r="I183" s="4559" t="n"/>
      <c r="J183" s="4559" t="n"/>
    </row>
    <row r="184">
      <c r="C184" s="4559" t="n"/>
      <c r="D184" s="4559" t="n"/>
      <c r="E184" s="4559" t="n"/>
      <c r="F184" s="4559" t="n"/>
      <c r="G184" s="4559" t="n"/>
      <c r="H184" s="4559" t="n"/>
      <c r="I184" s="4559" t="n"/>
      <c r="J184" s="4559" t="n"/>
    </row>
    <row r="185">
      <c r="C185" s="4559" t="n"/>
      <c r="D185" s="4559" t="n"/>
      <c r="E185" s="4559" t="n"/>
      <c r="F185" s="4559" t="n"/>
      <c r="G185" s="4559" t="n"/>
      <c r="H185" s="4559" t="n"/>
      <c r="I185" s="4559" t="n"/>
      <c r="J185" s="4559" t="n"/>
    </row>
    <row r="186">
      <c r="C186" s="4559" t="n"/>
      <c r="D186" s="4559" t="n"/>
      <c r="E186" s="4559" t="n"/>
      <c r="F186" s="4559" t="n"/>
      <c r="G186" s="4559" t="n"/>
      <c r="H186" s="4559" t="n"/>
      <c r="I186" s="4559" t="n"/>
      <c r="J186" s="4559" t="n"/>
    </row>
    <row r="187">
      <c r="C187" s="4559" t="n"/>
      <c r="D187" s="4559" t="n"/>
      <c r="E187" s="4559" t="n"/>
      <c r="F187" s="4559" t="n"/>
      <c r="G187" s="4559" t="n"/>
      <c r="H187" s="4559" t="n"/>
      <c r="I187" s="4559" t="n"/>
      <c r="J187" s="4559" t="n"/>
    </row>
    <row r="188">
      <c r="C188" s="4559" t="n"/>
      <c r="D188" s="4559" t="n"/>
      <c r="E188" s="4559" t="n"/>
      <c r="F188" s="4559" t="n"/>
      <c r="G188" s="4559" t="n"/>
      <c r="H188" s="4559" t="n"/>
      <c r="I188" s="4559" t="n"/>
      <c r="J188" s="4559" t="n"/>
    </row>
    <row r="189">
      <c r="C189" s="4559" t="n"/>
      <c r="D189" s="4559" t="n"/>
      <c r="E189" s="4559" t="n"/>
      <c r="F189" s="4559" t="n"/>
      <c r="G189" s="4559" t="n"/>
      <c r="H189" s="4559" t="n"/>
      <c r="I189" s="4559" t="n"/>
      <c r="J189" s="4559" t="n"/>
    </row>
    <row r="190">
      <c r="C190" s="4559" t="n"/>
      <c r="D190" s="4559" t="n"/>
      <c r="E190" s="4559" t="n"/>
      <c r="F190" s="4559" t="n"/>
      <c r="G190" s="4559" t="n"/>
      <c r="H190" s="4559" t="n"/>
      <c r="I190" s="4559" t="n"/>
      <c r="J190" s="4559" t="n"/>
    </row>
    <row r="191">
      <c r="C191" s="4559" t="n"/>
      <c r="D191" s="4559" t="n"/>
      <c r="E191" s="4559" t="n"/>
      <c r="F191" s="4559" t="n"/>
      <c r="G191" s="4559" t="n"/>
      <c r="H191" s="4559" t="n"/>
      <c r="I191" s="4559" t="n"/>
      <c r="J191" s="4559" t="n"/>
    </row>
    <row r="192">
      <c r="C192" s="4559" t="n"/>
      <c r="D192" s="4559" t="n"/>
      <c r="E192" s="4559" t="n"/>
      <c r="F192" s="4559" t="n"/>
      <c r="G192" s="4559" t="n"/>
      <c r="H192" s="4559" t="n"/>
      <c r="I192" s="4559" t="n"/>
      <c r="J192" s="4559" t="n"/>
    </row>
    <row r="193">
      <c r="C193" s="4559" t="n"/>
      <c r="D193" s="4559" t="n"/>
      <c r="E193" s="4559" t="n"/>
      <c r="F193" s="4559" t="n"/>
      <c r="G193" s="4559" t="n"/>
      <c r="H193" s="4559" t="n"/>
      <c r="I193" s="4559" t="n"/>
      <c r="J193" s="4559" t="n"/>
    </row>
    <row r="194">
      <c r="C194" s="4559" t="n"/>
      <c r="D194" s="4559" t="n"/>
      <c r="E194" s="4559" t="n"/>
      <c r="F194" s="4559" t="n"/>
      <c r="G194" s="4559" t="n"/>
      <c r="H194" s="4559" t="n"/>
      <c r="I194" s="4559" t="n"/>
      <c r="J194" s="4559" t="n"/>
    </row>
    <row r="195">
      <c r="C195" s="4559" t="n"/>
      <c r="D195" s="4559" t="n"/>
      <c r="E195" s="4559" t="n"/>
      <c r="F195" s="4559" t="n"/>
      <c r="G195" s="4559" t="n"/>
      <c r="H195" s="4559" t="n"/>
      <c r="I195" s="4559" t="n"/>
      <c r="J195" s="4559" t="n"/>
    </row>
    <row r="196">
      <c r="C196" s="4559" t="n"/>
      <c r="D196" s="4559" t="n"/>
      <c r="E196" s="4559" t="n"/>
      <c r="F196" s="4559" t="n"/>
      <c r="G196" s="4559" t="n"/>
      <c r="H196" s="4559" t="n"/>
      <c r="I196" s="4559" t="n"/>
      <c r="J196" s="4559" t="n"/>
    </row>
    <row r="197">
      <c r="C197" s="4559" t="n"/>
      <c r="D197" s="4559" t="n"/>
      <c r="E197" s="4559" t="n"/>
      <c r="F197" s="4559" t="n"/>
      <c r="G197" s="4559" t="n"/>
      <c r="H197" s="4559" t="n"/>
      <c r="I197" s="4559" t="n"/>
      <c r="J197" s="4559" t="n"/>
    </row>
    <row r="198">
      <c r="C198" s="4559" t="n"/>
      <c r="D198" s="4559" t="n"/>
      <c r="E198" s="4559" t="n"/>
      <c r="F198" s="4559" t="n"/>
      <c r="G198" s="4559" t="n"/>
      <c r="H198" s="4559" t="n"/>
      <c r="I198" s="4559" t="n"/>
      <c r="J198" s="4559" t="n"/>
    </row>
    <row r="199">
      <c r="C199" s="4559" t="n"/>
      <c r="D199" s="4559" t="n"/>
      <c r="E199" s="4559" t="n"/>
      <c r="F199" s="4559" t="n"/>
      <c r="G199" s="4559" t="n"/>
      <c r="H199" s="4559" t="n"/>
      <c r="I199" s="4559" t="n"/>
      <c r="J199" s="4559" t="n"/>
    </row>
    <row r="200">
      <c r="C200" s="4559" t="n"/>
      <c r="D200" s="4559" t="n"/>
      <c r="E200" s="4559" t="n"/>
      <c r="F200" s="4559" t="n"/>
      <c r="G200" s="4559" t="n"/>
      <c r="H200" s="4559" t="n"/>
      <c r="I200" s="4559" t="n"/>
      <c r="J200" s="4559" t="n"/>
    </row>
    <row r="201">
      <c r="C201" s="4559" t="n"/>
      <c r="D201" s="4559" t="n"/>
      <c r="E201" s="4559" t="n"/>
      <c r="F201" s="4559" t="n"/>
      <c r="G201" s="4559" t="n"/>
      <c r="H201" s="4559" t="n"/>
      <c r="I201" s="4559" t="n"/>
      <c r="J201" s="4559" t="n"/>
    </row>
    <row r="202">
      <c r="C202" s="4559" t="n"/>
      <c r="D202" s="4559" t="n"/>
      <c r="E202" s="4559" t="n"/>
      <c r="F202" s="4559" t="n"/>
      <c r="G202" s="4559" t="n"/>
      <c r="H202" s="4559" t="n"/>
      <c r="I202" s="4559" t="n"/>
      <c r="J202" s="4559" t="n"/>
    </row>
    <row r="203">
      <c r="C203" s="4559" t="n"/>
      <c r="D203" s="4559" t="n"/>
      <c r="E203" s="4559" t="n"/>
      <c r="F203" s="4559" t="n"/>
      <c r="G203" s="4559" t="n"/>
      <c r="H203" s="4559" t="n"/>
      <c r="I203" s="4559" t="n"/>
      <c r="J203" s="4559" t="n"/>
    </row>
    <row r="204">
      <c r="C204" s="4559" t="n"/>
      <c r="D204" s="4559" t="n"/>
      <c r="E204" s="4559" t="n"/>
      <c r="F204" s="4559" t="n"/>
      <c r="G204" s="4559" t="n"/>
      <c r="H204" s="4559" t="n"/>
      <c r="I204" s="4559" t="n"/>
      <c r="J204" s="4559" t="n"/>
    </row>
    <row r="205">
      <c r="C205" s="4559" t="n"/>
      <c r="D205" s="4559" t="n"/>
      <c r="E205" s="4559" t="n"/>
      <c r="F205" s="4559" t="n"/>
      <c r="G205" s="4559" t="n"/>
      <c r="H205" s="4559" t="n"/>
      <c r="I205" s="4559" t="n"/>
      <c r="J205" s="4559" t="n"/>
    </row>
    <row r="206">
      <c r="C206" s="4559" t="n"/>
      <c r="D206" s="4559" t="n"/>
      <c r="E206" s="4559" t="n"/>
      <c r="F206" s="4559" t="n"/>
      <c r="G206" s="4559" t="n"/>
      <c r="H206" s="4559" t="n"/>
      <c r="I206" s="4559" t="n"/>
      <c r="J206" s="4559" t="n"/>
    </row>
    <row r="207">
      <c r="C207" s="4559" t="n"/>
      <c r="D207" s="4559" t="n"/>
      <c r="E207" s="4559" t="n"/>
      <c r="F207" s="4559" t="n"/>
      <c r="G207" s="4559" t="n"/>
      <c r="H207" s="4559" t="n"/>
      <c r="I207" s="4559" t="n"/>
      <c r="J207" s="4559" t="n"/>
    </row>
    <row r="208">
      <c r="C208" s="4559" t="n"/>
      <c r="D208" s="4559" t="n"/>
      <c r="E208" s="4559" t="n"/>
      <c r="F208" s="4559" t="n"/>
      <c r="G208" s="4559" t="n"/>
      <c r="H208" s="4559" t="n"/>
      <c r="I208" s="4559" t="n"/>
      <c r="J208" s="4559" t="n"/>
    </row>
    <row r="209">
      <c r="C209" s="4559" t="n"/>
      <c r="D209" s="4559" t="n"/>
      <c r="E209" s="4559" t="n"/>
      <c r="F209" s="4559" t="n"/>
      <c r="G209" s="4559" t="n"/>
      <c r="H209" s="4559" t="n"/>
      <c r="I209" s="4559" t="n"/>
      <c r="J209" s="4559" t="n"/>
    </row>
    <row r="210">
      <c r="C210" s="4559" t="n"/>
      <c r="D210" s="4559" t="n"/>
      <c r="E210" s="4559" t="n"/>
      <c r="F210" s="4559" t="n"/>
      <c r="G210" s="4559" t="n"/>
      <c r="H210" s="4559" t="n"/>
      <c r="I210" s="4559" t="n"/>
      <c r="J210" s="4559" t="n"/>
    </row>
    <row r="211">
      <c r="C211" s="4559" t="n"/>
      <c r="D211" s="4559" t="n"/>
      <c r="E211" s="4559" t="n"/>
      <c r="F211" s="4559" t="n"/>
      <c r="G211" s="4559" t="n"/>
      <c r="H211" s="4559" t="n"/>
      <c r="I211" s="4559" t="n"/>
      <c r="J211" s="4559" t="n"/>
    </row>
    <row r="212">
      <c r="C212" s="4559" t="n"/>
      <c r="D212" s="4559" t="n"/>
      <c r="E212" s="4559" t="n"/>
      <c r="F212" s="4559" t="n"/>
      <c r="G212" s="4559" t="n"/>
      <c r="H212" s="4559" t="n"/>
      <c r="I212" s="4559" t="n"/>
      <c r="J212" s="4559" t="n"/>
    </row>
    <row r="213">
      <c r="C213" s="4559" t="n"/>
      <c r="D213" s="4559" t="n"/>
      <c r="E213" s="4559" t="n"/>
      <c r="F213" s="4559" t="n"/>
      <c r="G213" s="4559" t="n"/>
      <c r="H213" s="4559" t="n"/>
      <c r="I213" s="4559" t="n"/>
      <c r="J213" s="4559" t="n"/>
    </row>
    <row r="214">
      <c r="C214" s="4559" t="n"/>
      <c r="D214" s="4559" t="n"/>
      <c r="E214" s="4559" t="n"/>
      <c r="F214" s="4559" t="n"/>
      <c r="G214" s="4559" t="n"/>
      <c r="H214" s="4559" t="n"/>
      <c r="I214" s="4559" t="n"/>
      <c r="J214" s="4559" t="n"/>
    </row>
    <row r="215">
      <c r="C215" s="4559" t="n"/>
      <c r="D215" s="4559" t="n"/>
      <c r="E215" s="4559" t="n"/>
      <c r="F215" s="4559" t="n"/>
      <c r="G215" s="4559" t="n"/>
      <c r="H215" s="4559" t="n"/>
      <c r="I215" s="4559" t="n"/>
      <c r="J215" s="4559" t="n"/>
    </row>
    <row r="216">
      <c r="C216" s="4559" t="n"/>
      <c r="D216" s="4559" t="n"/>
      <c r="E216" s="4559" t="n"/>
      <c r="F216" s="4559" t="n"/>
      <c r="G216" s="4559" t="n"/>
      <c r="H216" s="4559" t="n"/>
      <c r="I216" s="4559" t="n"/>
      <c r="J216" s="4559" t="n"/>
    </row>
    <row r="217">
      <c r="C217" s="4559" t="n"/>
      <c r="D217" s="4559" t="n"/>
      <c r="E217" s="4559" t="n"/>
      <c r="F217" s="4559" t="n"/>
      <c r="G217" s="4559" t="n"/>
      <c r="H217" s="4559" t="n"/>
      <c r="I217" s="4559" t="n"/>
      <c r="J217" s="4559" t="n"/>
    </row>
    <row r="218">
      <c r="C218" s="4559" t="n"/>
      <c r="D218" s="4559" t="n"/>
      <c r="E218" s="4559" t="n"/>
      <c r="F218" s="4559" t="n"/>
      <c r="G218" s="4559" t="n"/>
      <c r="H218" s="4559" t="n"/>
      <c r="I218" s="4559" t="n"/>
      <c r="J218" s="4559" t="n"/>
    </row>
    <row r="219">
      <c r="C219" s="4559" t="n"/>
      <c r="D219" s="4559" t="n"/>
      <c r="E219" s="4559" t="n"/>
      <c r="F219" s="4559" t="n"/>
      <c r="G219" s="4559" t="n"/>
      <c r="H219" s="4559" t="n"/>
      <c r="I219" s="4559" t="n"/>
      <c r="J219" s="4559" t="n"/>
    </row>
    <row r="220">
      <c r="C220" s="4559" t="n"/>
      <c r="D220" s="4559" t="n"/>
      <c r="E220" s="4559" t="n"/>
      <c r="F220" s="4559" t="n"/>
      <c r="G220" s="4559" t="n"/>
      <c r="H220" s="4559" t="n"/>
      <c r="I220" s="4559" t="n"/>
      <c r="J220" s="4559" t="n"/>
    </row>
    <row r="221">
      <c r="C221" s="4559" t="n"/>
      <c r="D221" s="4559" t="n"/>
      <c r="E221" s="4559" t="n"/>
      <c r="F221" s="4559" t="n"/>
      <c r="G221" s="4559" t="n"/>
      <c r="H221" s="4559" t="n"/>
      <c r="I221" s="4559" t="n"/>
      <c r="J221" s="4559" t="n"/>
    </row>
    <row r="222">
      <c r="C222" s="4559" t="n"/>
      <c r="D222" s="4559" t="n"/>
      <c r="E222" s="4559" t="n"/>
      <c r="F222" s="4559" t="n"/>
      <c r="G222" s="4559" t="n"/>
      <c r="H222" s="4559" t="n"/>
      <c r="I222" s="4559" t="n"/>
      <c r="J222" s="4559" t="n"/>
    </row>
    <row r="223">
      <c r="C223" s="4559" t="n"/>
      <c r="D223" s="4559" t="n"/>
      <c r="E223" s="4559" t="n"/>
      <c r="F223" s="4559" t="n"/>
      <c r="G223" s="4559" t="n"/>
      <c r="H223" s="4559" t="n"/>
      <c r="I223" s="4559" t="n"/>
      <c r="J223" s="4559" t="n"/>
    </row>
    <row r="224">
      <c r="C224" s="4559" t="n"/>
      <c r="D224" s="4559" t="n"/>
      <c r="E224" s="4559" t="n"/>
      <c r="F224" s="4559" t="n"/>
      <c r="G224" s="4559" t="n"/>
      <c r="H224" s="4559" t="n"/>
      <c r="I224" s="4559" t="n"/>
      <c r="J224" s="4559" t="n"/>
    </row>
    <row r="225">
      <c r="C225" s="4559" t="n"/>
      <c r="D225" s="4559" t="n"/>
      <c r="E225" s="4559" t="n"/>
      <c r="F225" s="4559" t="n"/>
      <c r="G225" s="4559" t="n"/>
      <c r="H225" s="4559" t="n"/>
      <c r="I225" s="4559" t="n"/>
      <c r="J225" s="4559" t="n"/>
    </row>
    <row r="226">
      <c r="C226" s="4559" t="n"/>
      <c r="D226" s="4559" t="n"/>
      <c r="E226" s="4559" t="n"/>
      <c r="F226" s="4559" t="n"/>
      <c r="G226" s="4559" t="n"/>
      <c r="H226" s="4559" t="n"/>
      <c r="I226" s="4559" t="n"/>
      <c r="J226" s="4559" t="n"/>
    </row>
    <row r="227">
      <c r="C227" s="4559" t="n"/>
      <c r="D227" s="4559" t="n"/>
      <c r="E227" s="4559" t="n"/>
      <c r="F227" s="4559" t="n"/>
      <c r="G227" s="4559" t="n"/>
      <c r="H227" s="4559" t="n"/>
      <c r="I227" s="4559" t="n"/>
      <c r="J227" s="4559" t="n"/>
    </row>
    <row r="228">
      <c r="C228" s="4559" t="n"/>
      <c r="D228" s="4559" t="n"/>
      <c r="E228" s="4559" t="n"/>
      <c r="F228" s="4559" t="n"/>
      <c r="G228" s="4559" t="n"/>
      <c r="H228" s="4559" t="n"/>
      <c r="I228" s="4559" t="n"/>
      <c r="J228" s="4559" t="n"/>
    </row>
    <row r="229">
      <c r="C229" s="4559" t="n"/>
      <c r="D229" s="4559" t="n"/>
      <c r="E229" s="4559" t="n"/>
      <c r="F229" s="4559" t="n"/>
      <c r="G229" s="4559" t="n"/>
      <c r="H229" s="4559" t="n"/>
      <c r="I229" s="4559" t="n"/>
      <c r="J229" s="4559" t="n"/>
    </row>
    <row r="230">
      <c r="C230" s="4559" t="n"/>
      <c r="D230" s="4559" t="n"/>
      <c r="E230" s="4559" t="n"/>
      <c r="F230" s="4559" t="n"/>
      <c r="G230" s="4559" t="n"/>
      <c r="H230" s="4559" t="n"/>
      <c r="I230" s="4559" t="n"/>
      <c r="J230" s="4559" t="n"/>
    </row>
    <row r="231">
      <c r="C231" s="4559" t="n"/>
      <c r="D231" s="4559" t="n"/>
      <c r="E231" s="4559" t="n"/>
      <c r="F231" s="4559" t="n"/>
      <c r="G231" s="4559" t="n"/>
      <c r="H231" s="4559" t="n"/>
      <c r="I231" s="4559" t="n"/>
      <c r="J231" s="4559" t="n"/>
    </row>
    <row r="232">
      <c r="C232" s="4559" t="n"/>
      <c r="D232" s="4559" t="n"/>
      <c r="E232" s="4559" t="n"/>
      <c r="F232" s="4559" t="n"/>
      <c r="G232" s="4559" t="n"/>
      <c r="H232" s="4559" t="n"/>
      <c r="I232" s="4559" t="n"/>
      <c r="J232" s="4559" t="n"/>
    </row>
    <row r="233">
      <c r="C233" s="4559" t="n"/>
      <c r="D233" s="4559" t="n"/>
      <c r="E233" s="4559" t="n"/>
      <c r="F233" s="4559" t="n"/>
      <c r="G233" s="4559" t="n"/>
      <c r="H233" s="4559" t="n"/>
      <c r="I233" s="4559" t="n"/>
      <c r="J233" s="4559" t="n"/>
    </row>
    <row r="234">
      <c r="C234" s="4559" t="n"/>
      <c r="D234" s="4559" t="n"/>
      <c r="E234" s="4559" t="n"/>
      <c r="F234" s="4559" t="n"/>
      <c r="G234" s="4559" t="n"/>
      <c r="H234" s="4559" t="n"/>
      <c r="I234" s="4559" t="n"/>
      <c r="J234" s="4559" t="n"/>
    </row>
    <row r="235">
      <c r="C235" s="4559" t="n"/>
      <c r="D235" s="4559" t="n"/>
      <c r="E235" s="4559" t="n"/>
      <c r="F235" s="4559" t="n"/>
      <c r="G235" s="4559" t="n"/>
      <c r="H235" s="4559" t="n"/>
      <c r="I235" s="4559" t="n"/>
      <c r="J235" s="4559" t="n"/>
    </row>
    <row r="236">
      <c r="C236" s="4559" t="n"/>
      <c r="D236" s="4559" t="n"/>
      <c r="E236" s="4559" t="n"/>
      <c r="F236" s="4559" t="n"/>
      <c r="G236" s="4559" t="n"/>
      <c r="H236" s="4559" t="n"/>
      <c r="I236" s="4559" t="n"/>
      <c r="J236" s="4559" t="n"/>
    </row>
    <row r="237">
      <c r="C237" s="4559" t="n"/>
      <c r="D237" s="4559" t="n"/>
      <c r="E237" s="4559" t="n"/>
      <c r="F237" s="4559" t="n"/>
      <c r="G237" s="4559" t="n"/>
      <c r="H237" s="4559" t="n"/>
      <c r="I237" s="4559" t="n"/>
      <c r="J237" s="4559" t="n"/>
    </row>
    <row r="238">
      <c r="C238" s="4559" t="n"/>
      <c r="D238" s="4559" t="n"/>
      <c r="E238" s="4559" t="n"/>
      <c r="F238" s="4559" t="n"/>
      <c r="G238" s="4559" t="n"/>
      <c r="H238" s="4559" t="n"/>
      <c r="I238" s="4559" t="n"/>
      <c r="J238" s="4559" t="n"/>
    </row>
    <row r="239">
      <c r="C239" s="4559" t="n"/>
      <c r="D239" s="4559" t="n"/>
      <c r="E239" s="4559" t="n"/>
      <c r="F239" s="4559" t="n"/>
      <c r="G239" s="4559" t="n"/>
      <c r="H239" s="4559" t="n"/>
      <c r="I239" s="4559" t="n"/>
      <c r="J239" s="4559" t="n"/>
    </row>
    <row r="240">
      <c r="C240" s="4559" t="n"/>
      <c r="D240" s="4559" t="n"/>
      <c r="E240" s="4559" t="n"/>
      <c r="F240" s="4559" t="n"/>
      <c r="G240" s="4559" t="n"/>
      <c r="H240" s="4559" t="n"/>
      <c r="I240" s="4559" t="n"/>
      <c r="J240" s="4559" t="n"/>
    </row>
    <row r="241">
      <c r="C241" s="4559" t="n"/>
      <c r="D241" s="4559" t="n"/>
      <c r="E241" s="4559" t="n"/>
      <c r="F241" s="4559" t="n"/>
      <c r="G241" s="4559" t="n"/>
      <c r="H241" s="4559" t="n"/>
      <c r="I241" s="4559" t="n"/>
      <c r="J241" s="4559" t="n"/>
    </row>
    <row r="242">
      <c r="C242" s="4559" t="n"/>
      <c r="D242" s="4559" t="n"/>
      <c r="E242" s="4559" t="n"/>
      <c r="F242" s="4559" t="n"/>
      <c r="G242" s="4559" t="n"/>
      <c r="H242" s="4559" t="n"/>
      <c r="I242" s="4559" t="n"/>
      <c r="J242" s="4559" t="n"/>
    </row>
    <row r="243">
      <c r="C243" s="4559" t="n"/>
      <c r="D243" s="4559" t="n"/>
      <c r="E243" s="4559" t="n"/>
      <c r="F243" s="4559" t="n"/>
      <c r="G243" s="4559" t="n"/>
      <c r="H243" s="4559" t="n"/>
      <c r="I243" s="4559" t="n"/>
      <c r="J243" s="4559" t="n"/>
    </row>
    <row r="244">
      <c r="C244" s="4559" t="n"/>
      <c r="D244" s="4559" t="n"/>
      <c r="E244" s="4559" t="n"/>
      <c r="F244" s="4559" t="n"/>
      <c r="G244" s="4559" t="n"/>
      <c r="H244" s="4559" t="n"/>
      <c r="I244" s="4559" t="n"/>
      <c r="J244" s="4559" t="n"/>
    </row>
    <row r="245">
      <c r="C245" s="4559" t="n"/>
      <c r="D245" s="4559" t="n"/>
      <c r="E245" s="4559" t="n"/>
      <c r="F245" s="4559" t="n"/>
      <c r="G245" s="4559" t="n"/>
      <c r="H245" s="4559" t="n"/>
      <c r="I245" s="4559" t="n"/>
      <c r="J245" s="4559" t="n"/>
    </row>
    <row r="246">
      <c r="C246" s="4559" t="n"/>
      <c r="D246" s="4559" t="n"/>
      <c r="E246" s="4559" t="n"/>
      <c r="F246" s="4559" t="n"/>
      <c r="G246" s="4559" t="n"/>
      <c r="H246" s="4559" t="n"/>
      <c r="I246" s="4559" t="n"/>
      <c r="J246" s="4559" t="n"/>
    </row>
    <row r="247">
      <c r="C247" s="4559" t="n"/>
      <c r="D247" s="4559" t="n"/>
      <c r="E247" s="4559" t="n"/>
      <c r="F247" s="4559" t="n"/>
      <c r="G247" s="4559" t="n"/>
      <c r="H247" s="4559" t="n"/>
      <c r="I247" s="4559" t="n"/>
      <c r="J247" s="4559" t="n"/>
    </row>
    <row r="248">
      <c r="C248" s="4559" t="n"/>
      <c r="D248" s="4559" t="n"/>
      <c r="E248" s="4559" t="n"/>
      <c r="F248" s="4559" t="n"/>
      <c r="G248" s="4559" t="n"/>
      <c r="H248" s="4559" t="n"/>
      <c r="I248" s="4559" t="n"/>
      <c r="J248" s="4559" t="n"/>
    </row>
    <row r="249">
      <c r="C249" s="4559" t="n"/>
      <c r="D249" s="4559" t="n"/>
      <c r="E249" s="4559" t="n"/>
      <c r="F249" s="4559" t="n"/>
      <c r="G249" s="4559" t="n"/>
      <c r="H249" s="4559" t="n"/>
      <c r="I249" s="4559" t="n"/>
      <c r="J249" s="4559" t="n"/>
    </row>
    <row r="250">
      <c r="C250" s="4559" t="n"/>
      <c r="D250" s="4559" t="n"/>
      <c r="E250" s="4559" t="n"/>
      <c r="F250" s="4559" t="n"/>
      <c r="G250" s="4559" t="n"/>
      <c r="H250" s="4559" t="n"/>
      <c r="I250" s="4559" t="n"/>
      <c r="J250" s="4559" t="n"/>
    </row>
    <row r="251">
      <c r="C251" s="4559" t="n"/>
      <c r="D251" s="4559" t="n"/>
      <c r="E251" s="4559" t="n"/>
      <c r="F251" s="4559" t="n"/>
      <c r="G251" s="4559" t="n"/>
      <c r="H251" s="4559" t="n"/>
      <c r="I251" s="4559" t="n"/>
      <c r="J251" s="4559" t="n"/>
    </row>
    <row r="252">
      <c r="C252" s="4559" t="n"/>
      <c r="D252" s="4559" t="n"/>
      <c r="E252" s="4559" t="n"/>
      <c r="F252" s="4559" t="n"/>
      <c r="G252" s="4559" t="n"/>
      <c r="H252" s="4559" t="n"/>
      <c r="I252" s="4559" t="n"/>
      <c r="J252" s="4559" t="n"/>
    </row>
    <row r="253">
      <c r="C253" s="4559" t="n"/>
      <c r="D253" s="4559" t="n"/>
      <c r="E253" s="4559" t="n"/>
      <c r="F253" s="4559" t="n"/>
      <c r="G253" s="4559" t="n"/>
      <c r="H253" s="4559" t="n"/>
      <c r="I253" s="4559" t="n"/>
      <c r="J253" s="4559" t="n"/>
    </row>
    <row r="254">
      <c r="C254" s="4559" t="n"/>
      <c r="D254" s="4559" t="n"/>
      <c r="E254" s="4559" t="n"/>
      <c r="F254" s="4559" t="n"/>
      <c r="G254" s="4559" t="n"/>
      <c r="H254" s="4559" t="n"/>
      <c r="I254" s="4559" t="n"/>
      <c r="J254" s="4559" t="n"/>
    </row>
    <row r="255">
      <c r="C255" s="4559" t="n"/>
      <c r="D255" s="4559" t="n"/>
      <c r="E255" s="4559" t="n"/>
      <c r="F255" s="4559" t="n"/>
      <c r="G255" s="4559" t="n"/>
      <c r="H255" s="4559" t="n"/>
      <c r="I255" s="4559" t="n"/>
      <c r="J255" s="4559" t="n"/>
    </row>
    <row r="256">
      <c r="C256" s="4559" t="n"/>
      <c r="D256" s="4559" t="n"/>
      <c r="E256" s="4559" t="n"/>
      <c r="F256" s="4559" t="n"/>
      <c r="G256" s="4559" t="n"/>
      <c r="H256" s="4559" t="n"/>
      <c r="I256" s="4559" t="n"/>
      <c r="J256" s="4559" t="n"/>
    </row>
    <row r="257">
      <c r="C257" s="4559" t="n"/>
      <c r="D257" s="4559" t="n"/>
      <c r="E257" s="4559" t="n"/>
      <c r="F257" s="4559" t="n"/>
      <c r="G257" s="4559" t="n"/>
      <c r="H257" s="4559" t="n"/>
      <c r="I257" s="4559" t="n"/>
      <c r="J257" s="4559" t="n"/>
    </row>
    <row r="258">
      <c r="C258" s="4559" t="n"/>
      <c r="D258" s="4559" t="n"/>
      <c r="E258" s="4559" t="n"/>
      <c r="F258" s="4559" t="n"/>
      <c r="G258" s="4559" t="n"/>
      <c r="H258" s="4559" t="n"/>
      <c r="I258" s="4559" t="n"/>
      <c r="J258" s="4559" t="n"/>
    </row>
    <row r="259">
      <c r="C259" s="4559" t="n"/>
      <c r="D259" s="4559" t="n"/>
      <c r="E259" s="4559" t="n"/>
      <c r="F259" s="4559" t="n"/>
      <c r="G259" s="4559" t="n"/>
      <c r="H259" s="4559" t="n"/>
      <c r="I259" s="4559" t="n"/>
      <c r="J259" s="4559" t="n"/>
    </row>
    <row r="260">
      <c r="C260" s="4559" t="n"/>
      <c r="D260" s="4559" t="n"/>
      <c r="E260" s="4559" t="n"/>
      <c r="F260" s="4559" t="n"/>
      <c r="G260" s="4559" t="n"/>
      <c r="H260" s="4559" t="n"/>
      <c r="I260" s="4559" t="n"/>
      <c r="J260" s="4559" t="n"/>
    </row>
    <row r="261">
      <c r="C261" s="4559" t="n"/>
      <c r="D261" s="4559" t="n"/>
      <c r="E261" s="4559" t="n"/>
      <c r="F261" s="4559" t="n"/>
      <c r="G261" s="4559" t="n"/>
      <c r="H261" s="4559" t="n"/>
      <c r="I261" s="4559" t="n"/>
      <c r="J261" s="4559" t="n"/>
    </row>
    <row r="262">
      <c r="C262" s="4559" t="n"/>
      <c r="D262" s="4559" t="n"/>
      <c r="E262" s="4559" t="n"/>
      <c r="F262" s="4559" t="n"/>
      <c r="G262" s="4559" t="n"/>
      <c r="H262" s="4559" t="n"/>
      <c r="I262" s="4559" t="n"/>
      <c r="J262" s="4559" t="n"/>
    </row>
    <row r="263">
      <c r="C263" s="4559" t="n"/>
      <c r="D263" s="4559" t="n"/>
      <c r="E263" s="4559" t="n"/>
      <c r="F263" s="4559" t="n"/>
      <c r="G263" s="4559" t="n"/>
      <c r="H263" s="4559" t="n"/>
      <c r="I263" s="4559" t="n"/>
      <c r="J263" s="4559" t="n"/>
    </row>
    <row r="264">
      <c r="C264" s="4559" t="n"/>
      <c r="D264" s="4559" t="n"/>
      <c r="E264" s="4559" t="n"/>
      <c r="F264" s="4559" t="n"/>
      <c r="G264" s="4559" t="n"/>
      <c r="H264" s="4559" t="n"/>
      <c r="I264" s="4559" t="n"/>
      <c r="J264" s="4559" t="n"/>
    </row>
    <row r="265">
      <c r="C265" s="4559" t="n"/>
      <c r="D265" s="4559" t="n"/>
      <c r="E265" s="4559" t="n"/>
      <c r="F265" s="4559" t="n"/>
      <c r="G265" s="4559" t="n"/>
      <c r="H265" s="4559" t="n"/>
      <c r="I265" s="4559" t="n"/>
      <c r="J265" s="4559" t="n"/>
    </row>
    <row r="266">
      <c r="C266" s="4559" t="n"/>
      <c r="D266" s="4559" t="n"/>
      <c r="E266" s="4559" t="n"/>
      <c r="F266" s="4559" t="n"/>
      <c r="G266" s="4559" t="n"/>
      <c r="H266" s="4559" t="n"/>
      <c r="I266" s="4559" t="n"/>
      <c r="J266" s="4559" t="n"/>
    </row>
    <row r="267">
      <c r="C267" s="4559" t="n"/>
      <c r="D267" s="4559" t="n"/>
      <c r="E267" s="4559" t="n"/>
      <c r="F267" s="4559" t="n"/>
      <c r="G267" s="4559" t="n"/>
      <c r="H267" s="4559" t="n"/>
      <c r="I267" s="4559" t="n"/>
      <c r="J267" s="4559" t="n"/>
    </row>
    <row r="268">
      <c r="C268" s="4559" t="n"/>
      <c r="D268" s="4559" t="n"/>
      <c r="E268" s="4559" t="n"/>
      <c r="F268" s="4559" t="n"/>
      <c r="G268" s="4559" t="n"/>
      <c r="H268" s="4559" t="n"/>
      <c r="I268" s="4559" t="n"/>
      <c r="J268" s="4559" t="n"/>
    </row>
    <row r="269">
      <c r="C269" s="4559" t="n"/>
      <c r="D269" s="4559" t="n"/>
      <c r="E269" s="4559" t="n"/>
      <c r="F269" s="4559" t="n"/>
      <c r="G269" s="4559" t="n"/>
      <c r="H269" s="4559" t="n"/>
      <c r="I269" s="4559" t="n"/>
      <c r="J269" s="4559" t="n"/>
    </row>
    <row r="270">
      <c r="C270" s="4559" t="n"/>
      <c r="D270" s="4559" t="n"/>
      <c r="E270" s="4559" t="n"/>
      <c r="F270" s="4559" t="n"/>
      <c r="G270" s="4559" t="n"/>
      <c r="H270" s="4559" t="n"/>
      <c r="I270" s="4559" t="n"/>
      <c r="J270" s="4559" t="n"/>
    </row>
    <row r="271">
      <c r="C271" s="4559" t="n"/>
      <c r="D271" s="4559" t="n"/>
      <c r="E271" s="4559" t="n"/>
      <c r="F271" s="4559" t="n"/>
      <c r="G271" s="4559" t="n"/>
      <c r="H271" s="4559" t="n"/>
      <c r="I271" s="4559" t="n"/>
      <c r="J271" s="4559" t="n"/>
    </row>
    <row r="272">
      <c r="C272" s="4559" t="n"/>
      <c r="D272" s="4559" t="n"/>
      <c r="E272" s="4559" t="n"/>
      <c r="F272" s="4559" t="n"/>
      <c r="G272" s="4559" t="n"/>
      <c r="H272" s="4559" t="n"/>
      <c r="I272" s="4559" t="n"/>
      <c r="J272" s="4559" t="n"/>
    </row>
    <row r="273">
      <c r="C273" s="4559" t="n"/>
      <c r="D273" s="4559" t="n"/>
      <c r="E273" s="4559" t="n"/>
      <c r="F273" s="4559" t="n"/>
      <c r="G273" s="4559" t="n"/>
      <c r="H273" s="4559" t="n"/>
      <c r="I273" s="4559" t="n"/>
      <c r="J273" s="4559" t="n"/>
    </row>
    <row r="274">
      <c r="C274" s="4559" t="n"/>
      <c r="D274" s="4559" t="n"/>
      <c r="E274" s="4559" t="n"/>
      <c r="F274" s="4559" t="n"/>
      <c r="G274" s="4559" t="n"/>
      <c r="H274" s="4559" t="n"/>
      <c r="I274" s="4559" t="n"/>
      <c r="J274" s="4559" t="n"/>
    </row>
    <row r="275">
      <c r="C275" s="4559" t="n"/>
      <c r="D275" s="4559" t="n"/>
      <c r="E275" s="4559" t="n"/>
      <c r="F275" s="4559" t="n"/>
      <c r="G275" s="4559" t="n"/>
      <c r="H275" s="4559" t="n"/>
      <c r="I275" s="4559" t="n"/>
      <c r="J275" s="4559" t="n"/>
    </row>
    <row r="276">
      <c r="C276" s="4559" t="n"/>
      <c r="D276" s="4559" t="n"/>
      <c r="E276" s="4559" t="n"/>
      <c r="F276" s="4559" t="n"/>
      <c r="G276" s="4559" t="n"/>
      <c r="H276" s="4559" t="n"/>
      <c r="I276" s="4559" t="n"/>
      <c r="J276" s="4559" t="n"/>
    </row>
    <row r="277">
      <c r="C277" s="4559" t="n"/>
      <c r="D277" s="4559" t="n"/>
      <c r="E277" s="4559" t="n"/>
      <c r="F277" s="4559" t="n"/>
      <c r="G277" s="4559" t="n"/>
      <c r="H277" s="4559" t="n"/>
      <c r="I277" s="4559" t="n"/>
      <c r="J277" s="4559" t="n"/>
    </row>
    <row r="278">
      <c r="C278" s="4559" t="n"/>
      <c r="D278" s="4559" t="n"/>
      <c r="E278" s="4559" t="n"/>
      <c r="F278" s="4559" t="n"/>
      <c r="G278" s="4559" t="n"/>
      <c r="H278" s="4559" t="n"/>
      <c r="I278" s="4559" t="n"/>
      <c r="J278" s="4559" t="n"/>
    </row>
    <row r="279">
      <c r="C279" s="4559" t="n"/>
      <c r="D279" s="4559" t="n"/>
      <c r="E279" s="4559" t="n"/>
      <c r="F279" s="4559" t="n"/>
      <c r="G279" s="4559" t="n"/>
      <c r="H279" s="4559" t="n"/>
      <c r="I279" s="4559" t="n"/>
      <c r="J279" s="4559" t="n"/>
    </row>
    <row r="280">
      <c r="C280" s="4559" t="n"/>
      <c r="D280" s="4559" t="n"/>
      <c r="E280" s="4559" t="n"/>
      <c r="F280" s="4559" t="n"/>
      <c r="G280" s="4559" t="n"/>
      <c r="H280" s="4559" t="n"/>
      <c r="I280" s="4559" t="n"/>
      <c r="J280" s="4559" t="n"/>
    </row>
    <row r="281">
      <c r="C281" s="4559" t="n"/>
      <c r="D281" s="4559" t="n"/>
      <c r="E281" s="4559" t="n"/>
      <c r="F281" s="4559" t="n"/>
      <c r="G281" s="4559" t="n"/>
      <c r="H281" s="4559" t="n"/>
      <c r="I281" s="4559" t="n"/>
      <c r="J281" s="4559" t="n"/>
    </row>
    <row r="282">
      <c r="C282" s="4559" t="n"/>
      <c r="D282" s="4559" t="n"/>
      <c r="E282" s="4559" t="n"/>
      <c r="F282" s="4559" t="n"/>
      <c r="G282" s="4559" t="n"/>
      <c r="H282" s="4559" t="n"/>
      <c r="I282" s="4559" t="n"/>
      <c r="J282" s="4559" t="n"/>
    </row>
    <row r="283">
      <c r="C283" s="4559" t="n"/>
      <c r="D283" s="4559" t="n"/>
      <c r="E283" s="4559" t="n"/>
      <c r="F283" s="4559" t="n"/>
      <c r="G283" s="4559" t="n"/>
      <c r="H283" s="4559" t="n"/>
      <c r="I283" s="4559" t="n"/>
      <c r="J283" s="4559" t="n"/>
    </row>
    <row r="284">
      <c r="C284" s="4559" t="n"/>
      <c r="D284" s="4559" t="n"/>
      <c r="E284" s="4559" t="n"/>
      <c r="F284" s="4559" t="n"/>
      <c r="G284" s="4559" t="n"/>
      <c r="H284" s="4559" t="n"/>
      <c r="I284" s="4559" t="n"/>
      <c r="J284" s="4559" t="n"/>
    </row>
    <row r="285">
      <c r="C285" s="4559" t="n"/>
      <c r="D285" s="4559" t="n"/>
      <c r="E285" s="4559" t="n"/>
      <c r="F285" s="4559" t="n"/>
      <c r="G285" s="4559" t="n"/>
      <c r="H285" s="4559" t="n"/>
      <c r="I285" s="4559" t="n"/>
      <c r="J285" s="4559" t="n"/>
    </row>
    <row r="286">
      <c r="C286" s="4559" t="n"/>
      <c r="D286" s="4559" t="n"/>
      <c r="E286" s="4559" t="n"/>
      <c r="F286" s="4559" t="n"/>
      <c r="G286" s="4559" t="n"/>
      <c r="H286" s="4559" t="n"/>
      <c r="I286" s="4559" t="n"/>
      <c r="J286" s="4559" t="n"/>
    </row>
    <row r="287">
      <c r="C287" s="4559" t="n"/>
      <c r="D287" s="4559" t="n"/>
      <c r="E287" s="4559" t="n"/>
      <c r="F287" s="4559" t="n"/>
      <c r="G287" s="4559" t="n"/>
      <c r="H287" s="4559" t="n"/>
      <c r="I287" s="4559" t="n"/>
      <c r="J287" s="4559" t="n"/>
    </row>
    <row r="288">
      <c r="C288" s="4559" t="n"/>
      <c r="D288" s="4559" t="n"/>
      <c r="E288" s="4559" t="n"/>
      <c r="F288" s="4559" t="n"/>
      <c r="G288" s="4559" t="n"/>
      <c r="H288" s="4559" t="n"/>
      <c r="I288" s="4559" t="n"/>
      <c r="J288" s="4559" t="n"/>
    </row>
    <row r="289">
      <c r="C289" s="4559" t="n"/>
      <c r="D289" s="4559" t="n"/>
      <c r="E289" s="4559" t="n"/>
      <c r="F289" s="4559" t="n"/>
      <c r="G289" s="4559" t="n"/>
      <c r="H289" s="4559" t="n"/>
      <c r="I289" s="4559" t="n"/>
      <c r="J289" s="4559" t="n"/>
    </row>
    <row r="290">
      <c r="C290" s="4559" t="n"/>
      <c r="D290" s="4559" t="n"/>
      <c r="E290" s="4559" t="n"/>
      <c r="F290" s="4559" t="n"/>
      <c r="G290" s="4559" t="n"/>
      <c r="H290" s="4559" t="n"/>
      <c r="I290" s="4559" t="n"/>
      <c r="J290" s="4559" t="n"/>
    </row>
    <row r="291">
      <c r="C291" s="4559" t="n"/>
      <c r="D291" s="4559" t="n"/>
      <c r="E291" s="4559" t="n"/>
      <c r="F291" s="4559" t="n"/>
      <c r="G291" s="4559" t="n"/>
      <c r="H291" s="4559" t="n"/>
      <c r="I291" s="4559" t="n"/>
      <c r="J291" s="4559" t="n"/>
    </row>
    <row r="292">
      <c r="C292" s="4559" t="n"/>
      <c r="D292" s="4559" t="n"/>
      <c r="E292" s="4559" t="n"/>
      <c r="F292" s="4559" t="n"/>
      <c r="G292" s="4559" t="n"/>
      <c r="H292" s="4559" t="n"/>
      <c r="I292" s="4559" t="n"/>
      <c r="J292" s="4559" t="n"/>
    </row>
    <row r="293">
      <c r="C293" s="4559" t="n"/>
      <c r="D293" s="4559" t="n"/>
      <c r="E293" s="4559" t="n"/>
      <c r="F293" s="4559" t="n"/>
      <c r="G293" s="4559" t="n"/>
      <c r="H293" s="4559" t="n"/>
      <c r="I293" s="4559" t="n"/>
      <c r="J293" s="4559" t="n"/>
    </row>
    <row r="294">
      <c r="C294" s="4559" t="n"/>
      <c r="D294" s="4559" t="n"/>
      <c r="E294" s="4559" t="n"/>
      <c r="F294" s="4559" t="n"/>
      <c r="G294" s="4559" t="n"/>
      <c r="H294" s="4559" t="n"/>
      <c r="I294" s="4559" t="n"/>
      <c r="J294" s="4559" t="n"/>
    </row>
    <row r="295">
      <c r="C295" s="4559" t="n"/>
      <c r="D295" s="4559" t="n"/>
      <c r="E295" s="4559" t="n"/>
      <c r="F295" s="4559" t="n"/>
      <c r="G295" s="4559" t="n"/>
      <c r="H295" s="4559" t="n"/>
      <c r="I295" s="4559" t="n"/>
      <c r="J295" s="4559" t="n"/>
    </row>
    <row r="296">
      <c r="C296" s="4559" t="n"/>
      <c r="D296" s="4559" t="n"/>
      <c r="E296" s="4559" t="n"/>
      <c r="F296" s="4559" t="n"/>
      <c r="G296" s="4559" t="n"/>
      <c r="H296" s="4559" t="n"/>
      <c r="I296" s="4559" t="n"/>
      <c r="J296" s="4559" t="n"/>
    </row>
    <row r="297">
      <c r="C297" s="4559" t="n"/>
      <c r="D297" s="4559" t="n"/>
      <c r="E297" s="4559" t="n"/>
      <c r="F297" s="4559" t="n"/>
      <c r="G297" s="4559" t="n"/>
      <c r="H297" s="4559" t="n"/>
      <c r="I297" s="4559" t="n"/>
      <c r="J297" s="4559" t="n"/>
    </row>
    <row r="298">
      <c r="C298" s="4559" t="n"/>
      <c r="D298" s="4559" t="n"/>
      <c r="E298" s="4559" t="n"/>
      <c r="F298" s="4559" t="n"/>
      <c r="G298" s="4559" t="n"/>
      <c r="H298" s="4559" t="n"/>
      <c r="I298" s="4559" t="n"/>
      <c r="J298" s="4559" t="n"/>
    </row>
    <row r="299">
      <c r="C299" s="4559" t="n"/>
      <c r="D299" s="4559" t="n"/>
      <c r="E299" s="4559" t="n"/>
      <c r="F299" s="4559" t="n"/>
      <c r="G299" s="4559" t="n"/>
      <c r="H299" s="4559" t="n"/>
      <c r="I299" s="4559" t="n"/>
      <c r="J299" s="4559"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29.xml><?xml version="1.0" encoding="utf-8"?>
<worksheet xmlns="http://schemas.openxmlformats.org/spreadsheetml/2006/main">
  <sheetPr>
    <outlinePr summaryBelow="1" summaryRight="1"/>
    <pageSetUpPr/>
  </sheetPr>
  <dimension ref="A1:L5000"/>
  <sheetViews>
    <sheetView workbookViewId="0">
      <pane ySplit="1" topLeftCell="A2" activePane="bottomLeft" state="frozen"/>
      <selection pane="bottomLeft" activeCell="A1" sqref="A1"/>
    </sheetView>
  </sheetViews>
  <sheetFormatPr baseColWidth="8" defaultRowHeight="15"/>
  <cols>
    <col width="14" customWidth="1" style="3710" min="1" max="1"/>
    <col width="14" customWidth="1" style="3710" min="2" max="2"/>
    <col width="28" customWidth="1" style="3710" min="3" max="3"/>
    <col width="14" customWidth="1" style="3710" min="4" max="4"/>
    <col width="12" customWidth="1" style="3710" min="5" max="5"/>
    <col width="24" customWidth="1" style="3710" min="6" max="6"/>
    <col width="18" customWidth="1" style="3710" min="7" max="7"/>
    <col width="16" customWidth="1" style="3710" min="8" max="8"/>
    <col width="20" customWidth="1" style="3710" min="9" max="9"/>
    <col width="12" customWidth="1" style="3710" min="10" max="10"/>
    <col width="14" customWidth="1" style="3710" min="11" max="11"/>
    <col width="20" customWidth="1" style="3710" min="12" max="12"/>
  </cols>
  <sheetData>
    <row r="1">
      <c r="A1" s="4560" t="inlineStr">
        <is>
          <t>period_end</t>
        </is>
      </c>
      <c r="B1" s="4560" t="inlineStr">
        <is>
          <t>account_code</t>
        </is>
      </c>
      <c r="C1" s="4560" t="inlineStr">
        <is>
          <t>account_name</t>
        </is>
      </c>
      <c r="D1" s="4560" t="inlineStr">
        <is>
          <t>amount</t>
        </is>
      </c>
      <c r="E1" s="4560" t="inlineStr">
        <is>
          <t>entity</t>
        </is>
      </c>
      <c r="F1" s="4560" t="inlineStr">
        <is>
          <t>source_file</t>
        </is>
      </c>
      <c r="G1" s="4560" t="inlineStr">
        <is>
          <t>source_tab</t>
        </is>
      </c>
      <c r="H1" s="4560" t="inlineStr">
        <is>
          <t>note</t>
        </is>
      </c>
      <c r="I1" s="4560" t="inlineStr">
        <is>
          <t>map_line</t>
        </is>
      </c>
      <c r="J1" s="4560" t="inlineStr">
        <is>
          <t>map_sign</t>
        </is>
      </c>
      <c r="K1" s="4560" t="inlineStr">
        <is>
          <t>signed_amount</t>
        </is>
      </c>
      <c r="L1" s="4560" t="inlineStr">
        <is>
          <t>map_statement_type</t>
        </is>
      </c>
    </row>
    <row r="2">
      <c r="A2" s="4561" t="n"/>
      <c r="B2" s="4561" t="n"/>
      <c r="C2" s="4561" t="n"/>
      <c r="D2" s="4561" t="n"/>
      <c r="E2" s="4561" t="n"/>
      <c r="F2" s="4561" t="n"/>
      <c r="G2" s="4561" t="n"/>
      <c r="H2" s="4561" t="n"/>
      <c r="I2" s="4562">
        <f>XLOOKUP(B2,'_Sys|Line_Map'!$A:$A,'_Sys|Line_Map'!$C:$C,"MISSING",0)</f>
        <v/>
      </c>
      <c r="J2" s="4562">
        <f>XLOOKUP(B2,'_Sys|Line_Map'!$A:$A,'_Sys|Line_Map'!$D:$D,1,0)</f>
        <v/>
      </c>
      <c r="K2" s="4562">
        <f>IF(D2="","",D2*J2)</f>
        <v/>
      </c>
      <c r="L2" s="4562">
        <f>XLOOKUP(B2,'_Sys|Line_Map'!$A:$A,'_Sys|Line_Map'!$B:$B,"MISSING",0)</f>
        <v/>
      </c>
    </row>
    <row r="3">
      <c r="A3" s="4561" t="n"/>
      <c r="B3" s="4561" t="n"/>
      <c r="C3" s="4561" t="n"/>
      <c r="D3" s="4561" t="n"/>
      <c r="E3" s="4561" t="n"/>
      <c r="F3" s="4561" t="n"/>
      <c r="G3" s="4561" t="n"/>
      <c r="H3" s="4561" t="n"/>
      <c r="I3" s="4562">
        <f>XLOOKUP(B3,'_Sys|Line_Map'!$A:$A,'_Sys|Line_Map'!$C:$C,"MISSING",0)</f>
        <v/>
      </c>
      <c r="J3" s="4562">
        <f>XLOOKUP(B3,'_Sys|Line_Map'!$A:$A,'_Sys|Line_Map'!$D:$D,1,0)</f>
        <v/>
      </c>
      <c r="K3" s="4562">
        <f>IF(D3="","",D3*J3)</f>
        <v/>
      </c>
      <c r="L3" s="4562">
        <f>XLOOKUP(B3,'_Sys|Line_Map'!$A:$A,'_Sys|Line_Map'!$B:$B,"MISSING",0)</f>
        <v/>
      </c>
    </row>
    <row r="4">
      <c r="A4" s="4561" t="n"/>
      <c r="B4" s="4561" t="n"/>
      <c r="C4" s="4561" t="n"/>
      <c r="D4" s="4561" t="n"/>
      <c r="E4" s="4561" t="n"/>
      <c r="F4" s="4561" t="n"/>
      <c r="G4" s="4561" t="n"/>
      <c r="H4" s="4561" t="n"/>
      <c r="I4" s="4562">
        <f>XLOOKUP(B4,'_Sys|Line_Map'!$A:$A,'_Sys|Line_Map'!$C:$C,"MISSING",0)</f>
        <v/>
      </c>
      <c r="J4" s="4562">
        <f>XLOOKUP(B4,'_Sys|Line_Map'!$A:$A,'_Sys|Line_Map'!$D:$D,1,0)</f>
        <v/>
      </c>
      <c r="K4" s="4562">
        <f>IF(D4="","",D4*J4)</f>
        <v/>
      </c>
      <c r="L4" s="4562">
        <f>XLOOKUP(B4,'_Sys|Line_Map'!$A:$A,'_Sys|Line_Map'!$B:$B,"MISSING",0)</f>
        <v/>
      </c>
    </row>
    <row r="5">
      <c r="A5" s="4561" t="n"/>
      <c r="B5" s="4561" t="n"/>
      <c r="C5" s="4561" t="n"/>
      <c r="D5" s="4561" t="n"/>
      <c r="E5" s="4561" t="n"/>
      <c r="F5" s="4561" t="n"/>
      <c r="G5" s="4561" t="n"/>
      <c r="H5" s="4561" t="n"/>
      <c r="I5" s="4562">
        <f>XLOOKUP(B5,'_Sys|Line_Map'!$A:$A,'_Sys|Line_Map'!$C:$C,"MISSING",0)</f>
        <v/>
      </c>
      <c r="J5" s="4562">
        <f>XLOOKUP(B5,'_Sys|Line_Map'!$A:$A,'_Sys|Line_Map'!$D:$D,1,0)</f>
        <v/>
      </c>
      <c r="K5" s="4562">
        <f>IF(D5="","",D5*J5)</f>
        <v/>
      </c>
      <c r="L5" s="4562">
        <f>XLOOKUP(B5,'_Sys|Line_Map'!$A:$A,'_Sys|Line_Map'!$B:$B,"MISSING",0)</f>
        <v/>
      </c>
    </row>
    <row r="6">
      <c r="A6" s="4561" t="n"/>
      <c r="B6" s="4561" t="n"/>
      <c r="C6" s="4561" t="n"/>
      <c r="D6" s="4561" t="n"/>
      <c r="E6" s="4561" t="n"/>
      <c r="F6" s="4561" t="n"/>
      <c r="G6" s="4561" t="n"/>
      <c r="H6" s="4561" t="n"/>
      <c r="I6" s="4562">
        <f>XLOOKUP(B6,'_Sys|Line_Map'!$A:$A,'_Sys|Line_Map'!$C:$C,"MISSING",0)</f>
        <v/>
      </c>
      <c r="J6" s="4562">
        <f>XLOOKUP(B6,'_Sys|Line_Map'!$A:$A,'_Sys|Line_Map'!$D:$D,1,0)</f>
        <v/>
      </c>
      <c r="K6" s="4562">
        <f>IF(D6="","",D6*J6)</f>
        <v/>
      </c>
      <c r="L6" s="4562">
        <f>XLOOKUP(B6,'_Sys|Line_Map'!$A:$A,'_Sys|Line_Map'!$B:$B,"MISSING",0)</f>
        <v/>
      </c>
    </row>
    <row r="7">
      <c r="A7" s="4561" t="n"/>
      <c r="B7" s="4561" t="n"/>
      <c r="C7" s="4561" t="n"/>
      <c r="D7" s="4561" t="n"/>
      <c r="E7" s="4561" t="n"/>
      <c r="F7" s="4561" t="n"/>
      <c r="G7" s="4561" t="n"/>
      <c r="H7" s="4561" t="n"/>
      <c r="I7" s="4562">
        <f>XLOOKUP(B7,'_Sys|Line_Map'!$A:$A,'_Sys|Line_Map'!$C:$C,"MISSING",0)</f>
        <v/>
      </c>
      <c r="J7" s="4562">
        <f>XLOOKUP(B7,'_Sys|Line_Map'!$A:$A,'_Sys|Line_Map'!$D:$D,1,0)</f>
        <v/>
      </c>
      <c r="K7" s="4562">
        <f>IF(D7="","",D7*J7)</f>
        <v/>
      </c>
      <c r="L7" s="4562">
        <f>XLOOKUP(B7,'_Sys|Line_Map'!$A:$A,'_Sys|Line_Map'!$B:$B,"MISSING",0)</f>
        <v/>
      </c>
    </row>
    <row r="8">
      <c r="A8" s="4561" t="n"/>
      <c r="B8" s="4561" t="n"/>
      <c r="C8" s="4561" t="n"/>
      <c r="D8" s="4561" t="n"/>
      <c r="E8" s="4561" t="n"/>
      <c r="F8" s="4561" t="n"/>
      <c r="G8" s="4561" t="n"/>
      <c r="H8" s="4561" t="n"/>
      <c r="I8" s="4562">
        <f>XLOOKUP(B8,'_Sys|Line_Map'!$A:$A,'_Sys|Line_Map'!$C:$C,"MISSING",0)</f>
        <v/>
      </c>
      <c r="J8" s="4562">
        <f>XLOOKUP(B8,'_Sys|Line_Map'!$A:$A,'_Sys|Line_Map'!$D:$D,1,0)</f>
        <v/>
      </c>
      <c r="K8" s="4562">
        <f>IF(D8="","",D8*J8)</f>
        <v/>
      </c>
      <c r="L8" s="4562">
        <f>XLOOKUP(B8,'_Sys|Line_Map'!$A:$A,'_Sys|Line_Map'!$B:$B,"MISSING",0)</f>
        <v/>
      </c>
    </row>
    <row r="9">
      <c r="A9" s="4561" t="n"/>
      <c r="B9" s="4561" t="n"/>
      <c r="C9" s="4561" t="n"/>
      <c r="D9" s="4561" t="n"/>
      <c r="E9" s="4561" t="n"/>
      <c r="F9" s="4561" t="n"/>
      <c r="G9" s="4561" t="n"/>
      <c r="H9" s="4561" t="n"/>
      <c r="I9" s="4562">
        <f>XLOOKUP(B9,'_Sys|Line_Map'!$A:$A,'_Sys|Line_Map'!$C:$C,"MISSING",0)</f>
        <v/>
      </c>
      <c r="J9" s="4562">
        <f>XLOOKUP(B9,'_Sys|Line_Map'!$A:$A,'_Sys|Line_Map'!$D:$D,1,0)</f>
        <v/>
      </c>
      <c r="K9" s="4562">
        <f>IF(D9="","",D9*J9)</f>
        <v/>
      </c>
      <c r="L9" s="4562">
        <f>XLOOKUP(B9,'_Sys|Line_Map'!$A:$A,'_Sys|Line_Map'!$B:$B,"MISSING",0)</f>
        <v/>
      </c>
    </row>
    <row r="10">
      <c r="A10" s="4561" t="n"/>
      <c r="B10" s="4561" t="n"/>
      <c r="C10" s="4561" t="n"/>
      <c r="D10" s="4561" t="n"/>
      <c r="E10" s="4561" t="n"/>
      <c r="F10" s="4561" t="n"/>
      <c r="G10" s="4561" t="n"/>
      <c r="H10" s="4561" t="n"/>
      <c r="I10" s="4562">
        <f>XLOOKUP(B10,'_Sys|Line_Map'!$A:$A,'_Sys|Line_Map'!$C:$C,"MISSING",0)</f>
        <v/>
      </c>
      <c r="J10" s="4562">
        <f>XLOOKUP(B10,'_Sys|Line_Map'!$A:$A,'_Sys|Line_Map'!$D:$D,1,0)</f>
        <v/>
      </c>
      <c r="K10" s="4562">
        <f>IF(D10="","",D10*J10)</f>
        <v/>
      </c>
      <c r="L10" s="4562">
        <f>XLOOKUP(B10,'_Sys|Line_Map'!$A:$A,'_Sys|Line_Map'!$B:$B,"MISSING",0)</f>
        <v/>
      </c>
    </row>
    <row r="11">
      <c r="A11" s="4561" t="n"/>
      <c r="B11" s="4561" t="n"/>
      <c r="C11" s="4561" t="n"/>
      <c r="D11" s="4561" t="n"/>
      <c r="E11" s="4561" t="n"/>
      <c r="F11" s="4561" t="n"/>
      <c r="G11" s="4561" t="n"/>
      <c r="H11" s="4561" t="n"/>
      <c r="I11" s="4562">
        <f>XLOOKUP(B11,'_Sys|Line_Map'!$A:$A,'_Sys|Line_Map'!$C:$C,"MISSING",0)</f>
        <v/>
      </c>
      <c r="J11" s="4562">
        <f>XLOOKUP(B11,'_Sys|Line_Map'!$A:$A,'_Sys|Line_Map'!$D:$D,1,0)</f>
        <v/>
      </c>
      <c r="K11" s="4562">
        <f>IF(D11="","",D11*J11)</f>
        <v/>
      </c>
      <c r="L11" s="4562">
        <f>XLOOKUP(B11,'_Sys|Line_Map'!$A:$A,'_Sys|Line_Map'!$B:$B,"MISSING",0)</f>
        <v/>
      </c>
    </row>
    <row r="12">
      <c r="A12" s="4561" t="n"/>
      <c r="B12" s="4561" t="n"/>
      <c r="C12" s="4561" t="n"/>
      <c r="D12" s="4561" t="n"/>
      <c r="E12" s="4561" t="n"/>
      <c r="F12" s="4561" t="n"/>
      <c r="G12" s="4561" t="n"/>
      <c r="H12" s="4561" t="n"/>
      <c r="I12" s="4562">
        <f>XLOOKUP(B12,'_Sys|Line_Map'!$A:$A,'_Sys|Line_Map'!$C:$C,"MISSING",0)</f>
        <v/>
      </c>
      <c r="J12" s="4562">
        <f>XLOOKUP(B12,'_Sys|Line_Map'!$A:$A,'_Sys|Line_Map'!$D:$D,1,0)</f>
        <v/>
      </c>
      <c r="K12" s="4562">
        <f>IF(D12="","",D12*J12)</f>
        <v/>
      </c>
      <c r="L12" s="4562">
        <f>XLOOKUP(B12,'_Sys|Line_Map'!$A:$A,'_Sys|Line_Map'!$B:$B,"MISSING",0)</f>
        <v/>
      </c>
    </row>
    <row r="13">
      <c r="A13" s="4561" t="n"/>
      <c r="B13" s="4561" t="n"/>
      <c r="C13" s="4561" t="n"/>
      <c r="D13" s="4561" t="n"/>
      <c r="E13" s="4561" t="n"/>
      <c r="F13" s="4561" t="n"/>
      <c r="G13" s="4561" t="n"/>
      <c r="H13" s="4561" t="n"/>
      <c r="I13" s="4562">
        <f>XLOOKUP(B13,'_Sys|Line_Map'!$A:$A,'_Sys|Line_Map'!$C:$C,"MISSING",0)</f>
        <v/>
      </c>
      <c r="J13" s="4562">
        <f>XLOOKUP(B13,'_Sys|Line_Map'!$A:$A,'_Sys|Line_Map'!$D:$D,1,0)</f>
        <v/>
      </c>
      <c r="K13" s="4562">
        <f>IF(D13="","",D13*J13)</f>
        <v/>
      </c>
      <c r="L13" s="4562">
        <f>XLOOKUP(B13,'_Sys|Line_Map'!$A:$A,'_Sys|Line_Map'!$B:$B,"MISSING",0)</f>
        <v/>
      </c>
    </row>
    <row r="14">
      <c r="A14" s="4561" t="n"/>
      <c r="B14" s="4561" t="n"/>
      <c r="C14" s="4561" t="n"/>
      <c r="D14" s="4561" t="n"/>
      <c r="E14" s="4561" t="n"/>
      <c r="F14" s="4561" t="n"/>
      <c r="G14" s="4561" t="n"/>
      <c r="H14" s="4561" t="n"/>
      <c r="I14" s="4562">
        <f>XLOOKUP(B14,'_Sys|Line_Map'!$A:$A,'_Sys|Line_Map'!$C:$C,"MISSING",0)</f>
        <v/>
      </c>
      <c r="J14" s="4562">
        <f>XLOOKUP(B14,'_Sys|Line_Map'!$A:$A,'_Sys|Line_Map'!$D:$D,1,0)</f>
        <v/>
      </c>
      <c r="K14" s="4562">
        <f>IF(D14="","",D14*J14)</f>
        <v/>
      </c>
      <c r="L14" s="4562">
        <f>XLOOKUP(B14,'_Sys|Line_Map'!$A:$A,'_Sys|Line_Map'!$B:$B,"MISSING",0)</f>
        <v/>
      </c>
    </row>
    <row r="15">
      <c r="A15" s="4561" t="n"/>
      <c r="B15" s="4561" t="n"/>
      <c r="C15" s="4561" t="n"/>
      <c r="D15" s="4561" t="n"/>
      <c r="E15" s="4561" t="n"/>
      <c r="F15" s="4561" t="n"/>
      <c r="G15" s="4561" t="n"/>
      <c r="H15" s="4561" t="n"/>
      <c r="I15" s="4562">
        <f>XLOOKUP(B15,'_Sys|Line_Map'!$A:$A,'_Sys|Line_Map'!$C:$C,"MISSING",0)</f>
        <v/>
      </c>
      <c r="J15" s="4562">
        <f>XLOOKUP(B15,'_Sys|Line_Map'!$A:$A,'_Sys|Line_Map'!$D:$D,1,0)</f>
        <v/>
      </c>
      <c r="K15" s="4562">
        <f>IF(D15="","",D15*J15)</f>
        <v/>
      </c>
      <c r="L15" s="4562">
        <f>XLOOKUP(B15,'_Sys|Line_Map'!$A:$A,'_Sys|Line_Map'!$B:$B,"MISSING",0)</f>
        <v/>
      </c>
    </row>
    <row r="16">
      <c r="A16" s="4561" t="n"/>
      <c r="B16" s="4561" t="n"/>
      <c r="C16" s="4561" t="n"/>
      <c r="D16" s="4561" t="n"/>
      <c r="E16" s="4561" t="n"/>
      <c r="F16" s="4561" t="n"/>
      <c r="G16" s="4561" t="n"/>
      <c r="H16" s="4561" t="n"/>
      <c r="I16" s="4562">
        <f>XLOOKUP(B16,'_Sys|Line_Map'!$A:$A,'_Sys|Line_Map'!$C:$C,"MISSING",0)</f>
        <v/>
      </c>
      <c r="J16" s="4562">
        <f>XLOOKUP(B16,'_Sys|Line_Map'!$A:$A,'_Sys|Line_Map'!$D:$D,1,0)</f>
        <v/>
      </c>
      <c r="K16" s="4562">
        <f>IF(D16="","",D16*J16)</f>
        <v/>
      </c>
      <c r="L16" s="4562">
        <f>XLOOKUP(B16,'_Sys|Line_Map'!$A:$A,'_Sys|Line_Map'!$B:$B,"MISSING",0)</f>
        <v/>
      </c>
    </row>
    <row r="17">
      <c r="A17" s="4561" t="n"/>
      <c r="B17" s="4561" t="n"/>
      <c r="C17" s="4561" t="n"/>
      <c r="D17" s="4561" t="n"/>
      <c r="E17" s="4561" t="n"/>
      <c r="F17" s="4561" t="n"/>
      <c r="G17" s="4561" t="n"/>
      <c r="H17" s="4561" t="n"/>
      <c r="I17" s="4562">
        <f>XLOOKUP(B17,'_Sys|Line_Map'!$A:$A,'_Sys|Line_Map'!$C:$C,"MISSING",0)</f>
        <v/>
      </c>
      <c r="J17" s="4562">
        <f>XLOOKUP(B17,'_Sys|Line_Map'!$A:$A,'_Sys|Line_Map'!$D:$D,1,0)</f>
        <v/>
      </c>
      <c r="K17" s="4562">
        <f>IF(D17="","",D17*J17)</f>
        <v/>
      </c>
      <c r="L17" s="4562">
        <f>XLOOKUP(B17,'_Sys|Line_Map'!$A:$A,'_Sys|Line_Map'!$B:$B,"MISSING",0)</f>
        <v/>
      </c>
    </row>
    <row r="18">
      <c r="A18" s="4561" t="n"/>
      <c r="B18" s="4561" t="n"/>
      <c r="C18" s="4561" t="n"/>
      <c r="D18" s="4561" t="n"/>
      <c r="E18" s="4561" t="n"/>
      <c r="F18" s="4561" t="n"/>
      <c r="G18" s="4561" t="n"/>
      <c r="H18" s="4561" t="n"/>
      <c r="I18" s="4562">
        <f>XLOOKUP(B18,'_Sys|Line_Map'!$A:$A,'_Sys|Line_Map'!$C:$C,"MISSING",0)</f>
        <v/>
      </c>
      <c r="J18" s="4562">
        <f>XLOOKUP(B18,'_Sys|Line_Map'!$A:$A,'_Sys|Line_Map'!$D:$D,1,0)</f>
        <v/>
      </c>
      <c r="K18" s="4562">
        <f>IF(D18="","",D18*J18)</f>
        <v/>
      </c>
      <c r="L18" s="4562">
        <f>XLOOKUP(B18,'_Sys|Line_Map'!$A:$A,'_Sys|Line_Map'!$B:$B,"MISSING",0)</f>
        <v/>
      </c>
    </row>
    <row r="19">
      <c r="A19" s="4561" t="n"/>
      <c r="B19" s="4561" t="n"/>
      <c r="C19" s="4561" t="n"/>
      <c r="D19" s="4561" t="n"/>
      <c r="E19" s="4561" t="n"/>
      <c r="F19" s="4561" t="n"/>
      <c r="G19" s="4561" t="n"/>
      <c r="H19" s="4561" t="n"/>
      <c r="I19" s="4562">
        <f>XLOOKUP(B19,'_Sys|Line_Map'!$A:$A,'_Sys|Line_Map'!$C:$C,"MISSING",0)</f>
        <v/>
      </c>
      <c r="J19" s="4562">
        <f>XLOOKUP(B19,'_Sys|Line_Map'!$A:$A,'_Sys|Line_Map'!$D:$D,1,0)</f>
        <v/>
      </c>
      <c r="K19" s="4562">
        <f>IF(D19="","",D19*J19)</f>
        <v/>
      </c>
      <c r="L19" s="4562">
        <f>XLOOKUP(B19,'_Sys|Line_Map'!$A:$A,'_Sys|Line_Map'!$B:$B,"MISSING",0)</f>
        <v/>
      </c>
    </row>
    <row r="20">
      <c r="A20" s="4561" t="n"/>
      <c r="B20" s="4561" t="n"/>
      <c r="C20" s="4561" t="n"/>
      <c r="D20" s="4561" t="n"/>
      <c r="E20" s="4561" t="n"/>
      <c r="F20" s="4561" t="n"/>
      <c r="G20" s="4561" t="n"/>
      <c r="H20" s="4561" t="n"/>
      <c r="I20" s="4562">
        <f>XLOOKUP(B20,'_Sys|Line_Map'!$A:$A,'_Sys|Line_Map'!$C:$C,"MISSING",0)</f>
        <v/>
      </c>
      <c r="J20" s="4562">
        <f>XLOOKUP(B20,'_Sys|Line_Map'!$A:$A,'_Sys|Line_Map'!$D:$D,1,0)</f>
        <v/>
      </c>
      <c r="K20" s="4562">
        <f>IF(D20="","",D20*J20)</f>
        <v/>
      </c>
      <c r="L20" s="4562">
        <f>XLOOKUP(B20,'_Sys|Line_Map'!$A:$A,'_Sys|Line_Map'!$B:$B,"MISSING",0)</f>
        <v/>
      </c>
    </row>
    <row r="21">
      <c r="A21" s="4561" t="n"/>
      <c r="B21" s="4561" t="n"/>
      <c r="C21" s="4561" t="n"/>
      <c r="D21" s="4561" t="n"/>
      <c r="E21" s="4561" t="n"/>
      <c r="F21" s="4561" t="n"/>
      <c r="G21" s="4561" t="n"/>
      <c r="H21" s="4561" t="n"/>
      <c r="I21" s="4562">
        <f>XLOOKUP(B21,'_Sys|Line_Map'!$A:$A,'_Sys|Line_Map'!$C:$C,"MISSING",0)</f>
        <v/>
      </c>
      <c r="J21" s="4562">
        <f>XLOOKUP(B21,'_Sys|Line_Map'!$A:$A,'_Sys|Line_Map'!$D:$D,1,0)</f>
        <v/>
      </c>
      <c r="K21" s="4562">
        <f>IF(D21="","",D21*J21)</f>
        <v/>
      </c>
      <c r="L21" s="4562">
        <f>XLOOKUP(B21,'_Sys|Line_Map'!$A:$A,'_Sys|Line_Map'!$B:$B,"MISSING",0)</f>
        <v/>
      </c>
    </row>
    <row r="22">
      <c r="A22" s="4561" t="n"/>
      <c r="B22" s="4561" t="n"/>
      <c r="C22" s="4561" t="n"/>
      <c r="D22" s="4561" t="n"/>
      <c r="E22" s="4561" t="n"/>
      <c r="F22" s="4561" t="n"/>
      <c r="G22" s="4561" t="n"/>
      <c r="H22" s="4561" t="n"/>
      <c r="I22" s="4562">
        <f>XLOOKUP(B22,'_Sys|Line_Map'!$A:$A,'_Sys|Line_Map'!$C:$C,"MISSING",0)</f>
        <v/>
      </c>
      <c r="J22" s="4562">
        <f>XLOOKUP(B22,'_Sys|Line_Map'!$A:$A,'_Sys|Line_Map'!$D:$D,1,0)</f>
        <v/>
      </c>
      <c r="K22" s="4562">
        <f>IF(D22="","",D22*J22)</f>
        <v/>
      </c>
      <c r="L22" s="4562">
        <f>XLOOKUP(B22,'_Sys|Line_Map'!$A:$A,'_Sys|Line_Map'!$B:$B,"MISSING",0)</f>
        <v/>
      </c>
    </row>
    <row r="23">
      <c r="A23" s="4561" t="n"/>
      <c r="B23" s="4561" t="n"/>
      <c r="C23" s="4561" t="n"/>
      <c r="D23" s="4561" t="n"/>
      <c r="E23" s="4561" t="n"/>
      <c r="F23" s="4561" t="n"/>
      <c r="G23" s="4561" t="n"/>
      <c r="H23" s="4561" t="n"/>
      <c r="I23" s="4562">
        <f>XLOOKUP(B23,'_Sys|Line_Map'!$A:$A,'_Sys|Line_Map'!$C:$C,"MISSING",0)</f>
        <v/>
      </c>
      <c r="J23" s="4562">
        <f>XLOOKUP(B23,'_Sys|Line_Map'!$A:$A,'_Sys|Line_Map'!$D:$D,1,0)</f>
        <v/>
      </c>
      <c r="K23" s="4562">
        <f>IF(D23="","",D23*J23)</f>
        <v/>
      </c>
      <c r="L23" s="4562">
        <f>XLOOKUP(B23,'_Sys|Line_Map'!$A:$A,'_Sys|Line_Map'!$B:$B,"MISSING",0)</f>
        <v/>
      </c>
    </row>
    <row r="24">
      <c r="A24" s="4561" t="n"/>
      <c r="B24" s="4561" t="n"/>
      <c r="C24" s="4561" t="n"/>
      <c r="D24" s="4561" t="n"/>
      <c r="E24" s="4561" t="n"/>
      <c r="F24" s="4561" t="n"/>
      <c r="G24" s="4561" t="n"/>
      <c r="H24" s="4561" t="n"/>
      <c r="I24" s="4562">
        <f>XLOOKUP(B24,'_Sys|Line_Map'!$A:$A,'_Sys|Line_Map'!$C:$C,"MISSING",0)</f>
        <v/>
      </c>
      <c r="J24" s="4562">
        <f>XLOOKUP(B24,'_Sys|Line_Map'!$A:$A,'_Sys|Line_Map'!$D:$D,1,0)</f>
        <v/>
      </c>
      <c r="K24" s="4562">
        <f>IF(D24="","",D24*J24)</f>
        <v/>
      </c>
      <c r="L24" s="4562">
        <f>XLOOKUP(B24,'_Sys|Line_Map'!$A:$A,'_Sys|Line_Map'!$B:$B,"MISSING",0)</f>
        <v/>
      </c>
    </row>
    <row r="25">
      <c r="A25" s="4561" t="n"/>
      <c r="B25" s="4561" t="n"/>
      <c r="C25" s="4561" t="n"/>
      <c r="D25" s="4561" t="n"/>
      <c r="E25" s="4561" t="n"/>
      <c r="F25" s="4561" t="n"/>
      <c r="G25" s="4561" t="n"/>
      <c r="H25" s="4561" t="n"/>
      <c r="I25" s="4562">
        <f>XLOOKUP(B25,'_Sys|Line_Map'!$A:$A,'_Sys|Line_Map'!$C:$C,"MISSING",0)</f>
        <v/>
      </c>
      <c r="J25" s="4562">
        <f>XLOOKUP(B25,'_Sys|Line_Map'!$A:$A,'_Sys|Line_Map'!$D:$D,1,0)</f>
        <v/>
      </c>
      <c r="K25" s="4562">
        <f>IF(D25="","",D25*J25)</f>
        <v/>
      </c>
      <c r="L25" s="4562">
        <f>XLOOKUP(B25,'_Sys|Line_Map'!$A:$A,'_Sys|Line_Map'!$B:$B,"MISSING",0)</f>
        <v/>
      </c>
    </row>
    <row r="26">
      <c r="A26" s="4561" t="n"/>
      <c r="B26" s="4561" t="n"/>
      <c r="C26" s="4561" t="n"/>
      <c r="D26" s="4561" t="n"/>
      <c r="E26" s="4561" t="n"/>
      <c r="F26" s="4561" t="n"/>
      <c r="G26" s="4561" t="n"/>
      <c r="H26" s="4561" t="n"/>
      <c r="I26" s="4562">
        <f>XLOOKUP(B26,'_Sys|Line_Map'!$A:$A,'_Sys|Line_Map'!$C:$C,"MISSING",0)</f>
        <v/>
      </c>
      <c r="J26" s="4562">
        <f>XLOOKUP(B26,'_Sys|Line_Map'!$A:$A,'_Sys|Line_Map'!$D:$D,1,0)</f>
        <v/>
      </c>
      <c r="K26" s="4562">
        <f>IF(D26="","",D26*J26)</f>
        <v/>
      </c>
      <c r="L26" s="4562">
        <f>XLOOKUP(B26,'_Sys|Line_Map'!$A:$A,'_Sys|Line_Map'!$B:$B,"MISSING",0)</f>
        <v/>
      </c>
    </row>
    <row r="27">
      <c r="A27" s="4561" t="n"/>
      <c r="B27" s="4561" t="n"/>
      <c r="C27" s="4561" t="n"/>
      <c r="D27" s="4561" t="n"/>
      <c r="E27" s="4561" t="n"/>
      <c r="F27" s="4561" t="n"/>
      <c r="G27" s="4561" t="n"/>
      <c r="H27" s="4561" t="n"/>
      <c r="I27" s="4562">
        <f>XLOOKUP(B27,'_Sys|Line_Map'!$A:$A,'_Sys|Line_Map'!$C:$C,"MISSING",0)</f>
        <v/>
      </c>
      <c r="J27" s="4562">
        <f>XLOOKUP(B27,'_Sys|Line_Map'!$A:$A,'_Sys|Line_Map'!$D:$D,1,0)</f>
        <v/>
      </c>
      <c r="K27" s="4562">
        <f>IF(D27="","",D27*J27)</f>
        <v/>
      </c>
      <c r="L27" s="4562">
        <f>XLOOKUP(B27,'_Sys|Line_Map'!$A:$A,'_Sys|Line_Map'!$B:$B,"MISSING",0)</f>
        <v/>
      </c>
    </row>
    <row r="28">
      <c r="A28" s="4561" t="n"/>
      <c r="B28" s="4561" t="n"/>
      <c r="C28" s="4561" t="n"/>
      <c r="D28" s="4561" t="n"/>
      <c r="E28" s="4561" t="n"/>
      <c r="F28" s="4561" t="n"/>
      <c r="G28" s="4561" t="n"/>
      <c r="H28" s="4561" t="n"/>
      <c r="I28" s="4562">
        <f>XLOOKUP(B28,'_Sys|Line_Map'!$A:$A,'_Sys|Line_Map'!$C:$C,"MISSING",0)</f>
        <v/>
      </c>
      <c r="J28" s="4562">
        <f>XLOOKUP(B28,'_Sys|Line_Map'!$A:$A,'_Sys|Line_Map'!$D:$D,1,0)</f>
        <v/>
      </c>
      <c r="K28" s="4562">
        <f>IF(D28="","",D28*J28)</f>
        <v/>
      </c>
      <c r="L28" s="4562">
        <f>XLOOKUP(B28,'_Sys|Line_Map'!$A:$A,'_Sys|Line_Map'!$B:$B,"MISSING",0)</f>
        <v/>
      </c>
    </row>
    <row r="29">
      <c r="A29" s="4561" t="n"/>
      <c r="B29" s="4561" t="n"/>
      <c r="C29" s="4561" t="n"/>
      <c r="D29" s="4561" t="n"/>
      <c r="E29" s="4561" t="n"/>
      <c r="F29" s="4561" t="n"/>
      <c r="G29" s="4561" t="n"/>
      <c r="H29" s="4561" t="n"/>
      <c r="I29" s="4562">
        <f>XLOOKUP(B29,'_Sys|Line_Map'!$A:$A,'_Sys|Line_Map'!$C:$C,"MISSING",0)</f>
        <v/>
      </c>
      <c r="J29" s="4562">
        <f>XLOOKUP(B29,'_Sys|Line_Map'!$A:$A,'_Sys|Line_Map'!$D:$D,1,0)</f>
        <v/>
      </c>
      <c r="K29" s="4562">
        <f>IF(D29="","",D29*J29)</f>
        <v/>
      </c>
      <c r="L29" s="4562">
        <f>XLOOKUP(B29,'_Sys|Line_Map'!$A:$A,'_Sys|Line_Map'!$B:$B,"MISSING",0)</f>
        <v/>
      </c>
    </row>
    <row r="30">
      <c r="A30" s="4561" t="n"/>
      <c r="B30" s="4561" t="n"/>
      <c r="C30" s="4561" t="n"/>
      <c r="D30" s="4561" t="n"/>
      <c r="E30" s="4561" t="n"/>
      <c r="F30" s="4561" t="n"/>
      <c r="G30" s="4561" t="n"/>
      <c r="H30" s="4561" t="n"/>
      <c r="I30" s="4562">
        <f>XLOOKUP(B30,'_Sys|Line_Map'!$A:$A,'_Sys|Line_Map'!$C:$C,"MISSING",0)</f>
        <v/>
      </c>
      <c r="J30" s="4562">
        <f>XLOOKUP(B30,'_Sys|Line_Map'!$A:$A,'_Sys|Line_Map'!$D:$D,1,0)</f>
        <v/>
      </c>
      <c r="K30" s="4562">
        <f>IF(D30="","",D30*J30)</f>
        <v/>
      </c>
      <c r="L30" s="4562">
        <f>XLOOKUP(B30,'_Sys|Line_Map'!$A:$A,'_Sys|Line_Map'!$B:$B,"MISSING",0)</f>
        <v/>
      </c>
    </row>
    <row r="31">
      <c r="A31" s="4561" t="n"/>
      <c r="B31" s="4561" t="n"/>
      <c r="C31" s="4561" t="n"/>
      <c r="D31" s="4561" t="n"/>
      <c r="E31" s="4561" t="n"/>
      <c r="F31" s="4561" t="n"/>
      <c r="G31" s="4561" t="n"/>
      <c r="H31" s="4561" t="n"/>
      <c r="I31" s="4562">
        <f>XLOOKUP(B31,'_Sys|Line_Map'!$A:$A,'_Sys|Line_Map'!$C:$C,"MISSING",0)</f>
        <v/>
      </c>
      <c r="J31" s="4562">
        <f>XLOOKUP(B31,'_Sys|Line_Map'!$A:$A,'_Sys|Line_Map'!$D:$D,1,0)</f>
        <v/>
      </c>
      <c r="K31" s="4562">
        <f>IF(D31="","",D31*J31)</f>
        <v/>
      </c>
      <c r="L31" s="4562">
        <f>XLOOKUP(B31,'_Sys|Line_Map'!$A:$A,'_Sys|Line_Map'!$B:$B,"MISSING",0)</f>
        <v/>
      </c>
    </row>
    <row r="32">
      <c r="A32" s="4561" t="n"/>
      <c r="B32" s="4561" t="n"/>
      <c r="C32" s="4561" t="n"/>
      <c r="D32" s="4561" t="n"/>
      <c r="E32" s="4561" t="n"/>
      <c r="F32" s="4561" t="n"/>
      <c r="G32" s="4561" t="n"/>
      <c r="H32" s="4561" t="n"/>
      <c r="I32" s="4562">
        <f>XLOOKUP(B32,'_Sys|Line_Map'!$A:$A,'_Sys|Line_Map'!$C:$C,"MISSING",0)</f>
        <v/>
      </c>
      <c r="J32" s="4562">
        <f>XLOOKUP(B32,'_Sys|Line_Map'!$A:$A,'_Sys|Line_Map'!$D:$D,1,0)</f>
        <v/>
      </c>
      <c r="K32" s="4562">
        <f>IF(D32="","",D32*J32)</f>
        <v/>
      </c>
      <c r="L32" s="4562">
        <f>XLOOKUP(B32,'_Sys|Line_Map'!$A:$A,'_Sys|Line_Map'!$B:$B,"MISSING",0)</f>
        <v/>
      </c>
    </row>
    <row r="33">
      <c r="A33" s="4561" t="n"/>
      <c r="B33" s="4561" t="n"/>
      <c r="C33" s="4561" t="n"/>
      <c r="D33" s="4561" t="n"/>
      <c r="E33" s="4561" t="n"/>
      <c r="F33" s="4561" t="n"/>
      <c r="G33" s="4561" t="n"/>
      <c r="H33" s="4561" t="n"/>
      <c r="I33" s="4562">
        <f>XLOOKUP(B33,'_Sys|Line_Map'!$A:$A,'_Sys|Line_Map'!$C:$C,"MISSING",0)</f>
        <v/>
      </c>
      <c r="J33" s="4562">
        <f>XLOOKUP(B33,'_Sys|Line_Map'!$A:$A,'_Sys|Line_Map'!$D:$D,1,0)</f>
        <v/>
      </c>
      <c r="K33" s="4562">
        <f>IF(D33="","",D33*J33)</f>
        <v/>
      </c>
      <c r="L33" s="4562">
        <f>XLOOKUP(B33,'_Sys|Line_Map'!$A:$A,'_Sys|Line_Map'!$B:$B,"MISSING",0)</f>
        <v/>
      </c>
    </row>
    <row r="34">
      <c r="A34" s="4561" t="n"/>
      <c r="B34" s="4561" t="n"/>
      <c r="C34" s="4561" t="n"/>
      <c r="D34" s="4561" t="n"/>
      <c r="E34" s="4561" t="n"/>
      <c r="F34" s="4561" t="n"/>
      <c r="G34" s="4561" t="n"/>
      <c r="H34" s="4561" t="n"/>
      <c r="I34" s="4562">
        <f>XLOOKUP(B34,'_Sys|Line_Map'!$A:$A,'_Sys|Line_Map'!$C:$C,"MISSING",0)</f>
        <v/>
      </c>
      <c r="J34" s="4562">
        <f>XLOOKUP(B34,'_Sys|Line_Map'!$A:$A,'_Sys|Line_Map'!$D:$D,1,0)</f>
        <v/>
      </c>
      <c r="K34" s="4562">
        <f>IF(D34="","",D34*J34)</f>
        <v/>
      </c>
      <c r="L34" s="4562">
        <f>XLOOKUP(B34,'_Sys|Line_Map'!$A:$A,'_Sys|Line_Map'!$B:$B,"MISSING",0)</f>
        <v/>
      </c>
    </row>
    <row r="35">
      <c r="A35" s="4561" t="n"/>
      <c r="B35" s="4561" t="n"/>
      <c r="C35" s="4561" t="n"/>
      <c r="D35" s="4561" t="n"/>
      <c r="E35" s="4561" t="n"/>
      <c r="F35" s="4561" t="n"/>
      <c r="G35" s="4561" t="n"/>
      <c r="H35" s="4561" t="n"/>
      <c r="I35" s="4562">
        <f>XLOOKUP(B35,'_Sys|Line_Map'!$A:$A,'_Sys|Line_Map'!$C:$C,"MISSING",0)</f>
        <v/>
      </c>
      <c r="J35" s="4562">
        <f>XLOOKUP(B35,'_Sys|Line_Map'!$A:$A,'_Sys|Line_Map'!$D:$D,1,0)</f>
        <v/>
      </c>
      <c r="K35" s="4562">
        <f>IF(D35="","",D35*J35)</f>
        <v/>
      </c>
      <c r="L35" s="4562">
        <f>XLOOKUP(B35,'_Sys|Line_Map'!$A:$A,'_Sys|Line_Map'!$B:$B,"MISSING",0)</f>
        <v/>
      </c>
    </row>
    <row r="36">
      <c r="A36" s="4561" t="n"/>
      <c r="B36" s="4561" t="n"/>
      <c r="C36" s="4561" t="n"/>
      <c r="D36" s="4561" t="n"/>
      <c r="E36" s="4561" t="n"/>
      <c r="F36" s="4561" t="n"/>
      <c r="G36" s="4561" t="n"/>
      <c r="H36" s="4561" t="n"/>
      <c r="I36" s="4562">
        <f>XLOOKUP(B36,'_Sys|Line_Map'!$A:$A,'_Sys|Line_Map'!$C:$C,"MISSING",0)</f>
        <v/>
      </c>
      <c r="J36" s="4562">
        <f>XLOOKUP(B36,'_Sys|Line_Map'!$A:$A,'_Sys|Line_Map'!$D:$D,1,0)</f>
        <v/>
      </c>
      <c r="K36" s="4562">
        <f>IF(D36="","",D36*J36)</f>
        <v/>
      </c>
      <c r="L36" s="4562">
        <f>XLOOKUP(B36,'_Sys|Line_Map'!$A:$A,'_Sys|Line_Map'!$B:$B,"MISSING",0)</f>
        <v/>
      </c>
    </row>
    <row r="37">
      <c r="A37" s="4561" t="n"/>
      <c r="B37" s="4561" t="n"/>
      <c r="C37" s="4561" t="n"/>
      <c r="D37" s="4561" t="n"/>
      <c r="E37" s="4561" t="n"/>
      <c r="F37" s="4561" t="n"/>
      <c r="G37" s="4561" t="n"/>
      <c r="H37" s="4561" t="n"/>
      <c r="I37" s="4562">
        <f>XLOOKUP(B37,'_Sys|Line_Map'!$A:$A,'_Sys|Line_Map'!$C:$C,"MISSING",0)</f>
        <v/>
      </c>
      <c r="J37" s="4562">
        <f>XLOOKUP(B37,'_Sys|Line_Map'!$A:$A,'_Sys|Line_Map'!$D:$D,1,0)</f>
        <v/>
      </c>
      <c r="K37" s="4562">
        <f>IF(D37="","",D37*J37)</f>
        <v/>
      </c>
      <c r="L37" s="4562">
        <f>XLOOKUP(B37,'_Sys|Line_Map'!$A:$A,'_Sys|Line_Map'!$B:$B,"MISSING",0)</f>
        <v/>
      </c>
    </row>
    <row r="38">
      <c r="A38" s="4561" t="n"/>
      <c r="B38" s="4561" t="n"/>
      <c r="C38" s="4561" t="n"/>
      <c r="D38" s="4561" t="n"/>
      <c r="E38" s="4561" t="n"/>
      <c r="F38" s="4561" t="n"/>
      <c r="G38" s="4561" t="n"/>
      <c r="H38" s="4561" t="n"/>
      <c r="I38" s="4562">
        <f>XLOOKUP(B38,'_Sys|Line_Map'!$A:$A,'_Sys|Line_Map'!$C:$C,"MISSING",0)</f>
        <v/>
      </c>
      <c r="J38" s="4562">
        <f>XLOOKUP(B38,'_Sys|Line_Map'!$A:$A,'_Sys|Line_Map'!$D:$D,1,0)</f>
        <v/>
      </c>
      <c r="K38" s="4562">
        <f>IF(D38="","",D38*J38)</f>
        <v/>
      </c>
      <c r="L38" s="4562">
        <f>XLOOKUP(B38,'_Sys|Line_Map'!$A:$A,'_Sys|Line_Map'!$B:$B,"MISSING",0)</f>
        <v/>
      </c>
    </row>
    <row r="39">
      <c r="A39" s="4561" t="n"/>
      <c r="B39" s="4561" t="n"/>
      <c r="C39" s="4561" t="n"/>
      <c r="D39" s="4561" t="n"/>
      <c r="E39" s="4561" t="n"/>
      <c r="F39" s="4561" t="n"/>
      <c r="G39" s="4561" t="n"/>
      <c r="H39" s="4561" t="n"/>
      <c r="I39" s="4562">
        <f>XLOOKUP(B39,'_Sys|Line_Map'!$A:$A,'_Sys|Line_Map'!$C:$C,"MISSING",0)</f>
        <v/>
      </c>
      <c r="J39" s="4562">
        <f>XLOOKUP(B39,'_Sys|Line_Map'!$A:$A,'_Sys|Line_Map'!$D:$D,1,0)</f>
        <v/>
      </c>
      <c r="K39" s="4562">
        <f>IF(D39="","",D39*J39)</f>
        <v/>
      </c>
      <c r="L39" s="4562">
        <f>XLOOKUP(B39,'_Sys|Line_Map'!$A:$A,'_Sys|Line_Map'!$B:$B,"MISSING",0)</f>
        <v/>
      </c>
    </row>
    <row r="40">
      <c r="A40" s="4561" t="n"/>
      <c r="B40" s="4561" t="n"/>
      <c r="C40" s="4561" t="n"/>
      <c r="D40" s="4561" t="n"/>
      <c r="E40" s="4561" t="n"/>
      <c r="F40" s="4561" t="n"/>
      <c r="G40" s="4561" t="n"/>
      <c r="H40" s="4561" t="n"/>
      <c r="I40" s="4562">
        <f>XLOOKUP(B40,'_Sys|Line_Map'!$A:$A,'_Sys|Line_Map'!$C:$C,"MISSING",0)</f>
        <v/>
      </c>
      <c r="J40" s="4562">
        <f>XLOOKUP(B40,'_Sys|Line_Map'!$A:$A,'_Sys|Line_Map'!$D:$D,1,0)</f>
        <v/>
      </c>
      <c r="K40" s="4562">
        <f>IF(D40="","",D40*J40)</f>
        <v/>
      </c>
      <c r="L40" s="4562">
        <f>XLOOKUP(B40,'_Sys|Line_Map'!$A:$A,'_Sys|Line_Map'!$B:$B,"MISSING",0)</f>
        <v/>
      </c>
    </row>
    <row r="41">
      <c r="A41" s="4561" t="n"/>
      <c r="B41" s="4561" t="n"/>
      <c r="C41" s="4561" t="n"/>
      <c r="D41" s="4561" t="n"/>
      <c r="E41" s="4561" t="n"/>
      <c r="F41" s="4561" t="n"/>
      <c r="G41" s="4561" t="n"/>
      <c r="H41" s="4561" t="n"/>
      <c r="I41" s="4562">
        <f>XLOOKUP(B41,'_Sys|Line_Map'!$A:$A,'_Sys|Line_Map'!$C:$C,"MISSING",0)</f>
        <v/>
      </c>
      <c r="J41" s="4562">
        <f>XLOOKUP(B41,'_Sys|Line_Map'!$A:$A,'_Sys|Line_Map'!$D:$D,1,0)</f>
        <v/>
      </c>
      <c r="K41" s="4562">
        <f>IF(D41="","",D41*J41)</f>
        <v/>
      </c>
      <c r="L41" s="4562">
        <f>XLOOKUP(B41,'_Sys|Line_Map'!$A:$A,'_Sys|Line_Map'!$B:$B,"MISSING",0)</f>
        <v/>
      </c>
    </row>
    <row r="42">
      <c r="A42" s="4561" t="n"/>
      <c r="B42" s="4561" t="n"/>
      <c r="C42" s="4561" t="n"/>
      <c r="D42" s="4561" t="n"/>
      <c r="E42" s="4561" t="n"/>
      <c r="F42" s="4561" t="n"/>
      <c r="G42" s="4561" t="n"/>
      <c r="H42" s="4561" t="n"/>
      <c r="I42" s="4562">
        <f>XLOOKUP(B42,'_Sys|Line_Map'!$A:$A,'_Sys|Line_Map'!$C:$C,"MISSING",0)</f>
        <v/>
      </c>
      <c r="J42" s="4562">
        <f>XLOOKUP(B42,'_Sys|Line_Map'!$A:$A,'_Sys|Line_Map'!$D:$D,1,0)</f>
        <v/>
      </c>
      <c r="K42" s="4562">
        <f>IF(D42="","",D42*J42)</f>
        <v/>
      </c>
      <c r="L42" s="4562">
        <f>XLOOKUP(B42,'_Sys|Line_Map'!$A:$A,'_Sys|Line_Map'!$B:$B,"MISSING",0)</f>
        <v/>
      </c>
    </row>
    <row r="43">
      <c r="A43" s="4561" t="n"/>
      <c r="B43" s="4561" t="n"/>
      <c r="C43" s="4561" t="n"/>
      <c r="D43" s="4561" t="n"/>
      <c r="E43" s="4561" t="n"/>
      <c r="F43" s="4561" t="n"/>
      <c r="G43" s="4561" t="n"/>
      <c r="H43" s="4561" t="n"/>
      <c r="I43" s="4562">
        <f>XLOOKUP(B43,'_Sys|Line_Map'!$A:$A,'_Sys|Line_Map'!$C:$C,"MISSING",0)</f>
        <v/>
      </c>
      <c r="J43" s="4562">
        <f>XLOOKUP(B43,'_Sys|Line_Map'!$A:$A,'_Sys|Line_Map'!$D:$D,1,0)</f>
        <v/>
      </c>
      <c r="K43" s="4562">
        <f>IF(D43="","",D43*J43)</f>
        <v/>
      </c>
      <c r="L43" s="4562">
        <f>XLOOKUP(B43,'_Sys|Line_Map'!$A:$A,'_Sys|Line_Map'!$B:$B,"MISSING",0)</f>
        <v/>
      </c>
    </row>
    <row r="44">
      <c r="A44" s="4561" t="n"/>
      <c r="B44" s="4561" t="n"/>
      <c r="C44" s="4561" t="n"/>
      <c r="D44" s="4561" t="n"/>
      <c r="E44" s="4561" t="n"/>
      <c r="F44" s="4561" t="n"/>
      <c r="G44" s="4561" t="n"/>
      <c r="H44" s="4561" t="n"/>
      <c r="I44" s="4562">
        <f>XLOOKUP(B44,'_Sys|Line_Map'!$A:$A,'_Sys|Line_Map'!$C:$C,"MISSING",0)</f>
        <v/>
      </c>
      <c r="J44" s="4562">
        <f>XLOOKUP(B44,'_Sys|Line_Map'!$A:$A,'_Sys|Line_Map'!$D:$D,1,0)</f>
        <v/>
      </c>
      <c r="K44" s="4562">
        <f>IF(D44="","",D44*J44)</f>
        <v/>
      </c>
      <c r="L44" s="4562">
        <f>XLOOKUP(B44,'_Sys|Line_Map'!$A:$A,'_Sys|Line_Map'!$B:$B,"MISSING",0)</f>
        <v/>
      </c>
    </row>
    <row r="45">
      <c r="A45" s="4561" t="n"/>
      <c r="B45" s="4561" t="n"/>
      <c r="C45" s="4561" t="n"/>
      <c r="D45" s="4561" t="n"/>
      <c r="E45" s="4561" t="n"/>
      <c r="F45" s="4561" t="n"/>
      <c r="G45" s="4561" t="n"/>
      <c r="H45" s="4561" t="n"/>
      <c r="I45" s="4562">
        <f>XLOOKUP(B45,'_Sys|Line_Map'!$A:$A,'_Sys|Line_Map'!$C:$C,"MISSING",0)</f>
        <v/>
      </c>
      <c r="J45" s="4562">
        <f>XLOOKUP(B45,'_Sys|Line_Map'!$A:$A,'_Sys|Line_Map'!$D:$D,1,0)</f>
        <v/>
      </c>
      <c r="K45" s="4562">
        <f>IF(D45="","",D45*J45)</f>
        <v/>
      </c>
      <c r="L45" s="4562">
        <f>XLOOKUP(B45,'_Sys|Line_Map'!$A:$A,'_Sys|Line_Map'!$B:$B,"MISSING",0)</f>
        <v/>
      </c>
    </row>
    <row r="46">
      <c r="A46" s="4561" t="n"/>
      <c r="B46" s="4561" t="n"/>
      <c r="C46" s="4561" t="n"/>
      <c r="D46" s="4561" t="n"/>
      <c r="E46" s="4561" t="n"/>
      <c r="F46" s="4561" t="n"/>
      <c r="G46" s="4561" t="n"/>
      <c r="H46" s="4561" t="n"/>
      <c r="I46" s="4562">
        <f>XLOOKUP(B46,'_Sys|Line_Map'!$A:$A,'_Sys|Line_Map'!$C:$C,"MISSING",0)</f>
        <v/>
      </c>
      <c r="J46" s="4562">
        <f>XLOOKUP(B46,'_Sys|Line_Map'!$A:$A,'_Sys|Line_Map'!$D:$D,1,0)</f>
        <v/>
      </c>
      <c r="K46" s="4562">
        <f>IF(D46="","",D46*J46)</f>
        <v/>
      </c>
      <c r="L46" s="4562">
        <f>XLOOKUP(B46,'_Sys|Line_Map'!$A:$A,'_Sys|Line_Map'!$B:$B,"MISSING",0)</f>
        <v/>
      </c>
    </row>
    <row r="47">
      <c r="A47" s="4561" t="n"/>
      <c r="B47" s="4561" t="n"/>
      <c r="C47" s="4561" t="n"/>
      <c r="D47" s="4561" t="n"/>
      <c r="E47" s="4561" t="n"/>
      <c r="F47" s="4561" t="n"/>
      <c r="G47" s="4561" t="n"/>
      <c r="H47" s="4561" t="n"/>
      <c r="I47" s="4562">
        <f>XLOOKUP(B47,'_Sys|Line_Map'!$A:$A,'_Sys|Line_Map'!$C:$C,"MISSING",0)</f>
        <v/>
      </c>
      <c r="J47" s="4562">
        <f>XLOOKUP(B47,'_Sys|Line_Map'!$A:$A,'_Sys|Line_Map'!$D:$D,1,0)</f>
        <v/>
      </c>
      <c r="K47" s="4562">
        <f>IF(D47="","",D47*J47)</f>
        <v/>
      </c>
      <c r="L47" s="4562">
        <f>XLOOKUP(B47,'_Sys|Line_Map'!$A:$A,'_Sys|Line_Map'!$B:$B,"MISSING",0)</f>
        <v/>
      </c>
    </row>
    <row r="48">
      <c r="A48" s="4561" t="n"/>
      <c r="B48" s="4561" t="n"/>
      <c r="C48" s="4561" t="n"/>
      <c r="D48" s="4561" t="n"/>
      <c r="E48" s="4561" t="n"/>
      <c r="F48" s="4561" t="n"/>
      <c r="G48" s="4561" t="n"/>
      <c r="H48" s="4561" t="n"/>
      <c r="I48" s="4562">
        <f>XLOOKUP(B48,'_Sys|Line_Map'!$A:$A,'_Sys|Line_Map'!$C:$C,"MISSING",0)</f>
        <v/>
      </c>
      <c r="J48" s="4562">
        <f>XLOOKUP(B48,'_Sys|Line_Map'!$A:$A,'_Sys|Line_Map'!$D:$D,1,0)</f>
        <v/>
      </c>
      <c r="K48" s="4562">
        <f>IF(D48="","",D48*J48)</f>
        <v/>
      </c>
      <c r="L48" s="4562">
        <f>XLOOKUP(B48,'_Sys|Line_Map'!$A:$A,'_Sys|Line_Map'!$B:$B,"MISSING",0)</f>
        <v/>
      </c>
    </row>
    <row r="49">
      <c r="A49" s="4561" t="n"/>
      <c r="B49" s="4561" t="n"/>
      <c r="C49" s="4561" t="n"/>
      <c r="D49" s="4561" t="n"/>
      <c r="E49" s="4561" t="n"/>
      <c r="F49" s="4561" t="n"/>
      <c r="G49" s="4561" t="n"/>
      <c r="H49" s="4561" t="n"/>
      <c r="I49" s="4562">
        <f>XLOOKUP(B49,'_Sys|Line_Map'!$A:$A,'_Sys|Line_Map'!$C:$C,"MISSING",0)</f>
        <v/>
      </c>
      <c r="J49" s="4562">
        <f>XLOOKUP(B49,'_Sys|Line_Map'!$A:$A,'_Sys|Line_Map'!$D:$D,1,0)</f>
        <v/>
      </c>
      <c r="K49" s="4562">
        <f>IF(D49="","",D49*J49)</f>
        <v/>
      </c>
      <c r="L49" s="4562">
        <f>XLOOKUP(B49,'_Sys|Line_Map'!$A:$A,'_Sys|Line_Map'!$B:$B,"MISSING",0)</f>
        <v/>
      </c>
    </row>
    <row r="50">
      <c r="A50" s="4561" t="n"/>
      <c r="B50" s="4561" t="n"/>
      <c r="C50" s="4561" t="n"/>
      <c r="D50" s="4561" t="n"/>
      <c r="E50" s="4561" t="n"/>
      <c r="F50" s="4561" t="n"/>
      <c r="G50" s="4561" t="n"/>
      <c r="H50" s="4561" t="n"/>
      <c r="I50" s="4562">
        <f>XLOOKUP(B50,'_Sys|Line_Map'!$A:$A,'_Sys|Line_Map'!$C:$C,"MISSING",0)</f>
        <v/>
      </c>
      <c r="J50" s="4562">
        <f>XLOOKUP(B50,'_Sys|Line_Map'!$A:$A,'_Sys|Line_Map'!$D:$D,1,0)</f>
        <v/>
      </c>
      <c r="K50" s="4562">
        <f>IF(D50="","",D50*J50)</f>
        <v/>
      </c>
      <c r="L50" s="4562">
        <f>XLOOKUP(B50,'_Sys|Line_Map'!$A:$A,'_Sys|Line_Map'!$B:$B,"MISSING",0)</f>
        <v/>
      </c>
    </row>
    <row r="51">
      <c r="A51" s="4561" t="n"/>
      <c r="B51" s="4561" t="n"/>
      <c r="C51" s="4561" t="n"/>
      <c r="D51" s="4561" t="n"/>
      <c r="E51" s="4561" t="n"/>
      <c r="F51" s="4561" t="n"/>
      <c r="G51" s="4561" t="n"/>
      <c r="H51" s="4561" t="n"/>
      <c r="I51" s="4562">
        <f>XLOOKUP(B51,'_Sys|Line_Map'!$A:$A,'_Sys|Line_Map'!$C:$C,"MISSING",0)</f>
        <v/>
      </c>
      <c r="J51" s="4562">
        <f>XLOOKUP(B51,'_Sys|Line_Map'!$A:$A,'_Sys|Line_Map'!$D:$D,1,0)</f>
        <v/>
      </c>
      <c r="K51" s="4562">
        <f>IF(D51="","",D51*J51)</f>
        <v/>
      </c>
      <c r="L51" s="4562">
        <f>XLOOKUP(B51,'_Sys|Line_Map'!$A:$A,'_Sys|Line_Map'!$B:$B,"MISSING",0)</f>
        <v/>
      </c>
    </row>
    <row r="52">
      <c r="A52" s="4561" t="n"/>
      <c r="B52" s="4561" t="n"/>
      <c r="C52" s="4561" t="n"/>
      <c r="D52" s="4561" t="n"/>
      <c r="E52" s="4561" t="n"/>
      <c r="F52" s="4561" t="n"/>
      <c r="G52" s="4561" t="n"/>
      <c r="H52" s="4561" t="n"/>
      <c r="I52" s="4562">
        <f>XLOOKUP(B52,'_Sys|Line_Map'!$A:$A,'_Sys|Line_Map'!$C:$C,"MISSING",0)</f>
        <v/>
      </c>
      <c r="J52" s="4562">
        <f>XLOOKUP(B52,'_Sys|Line_Map'!$A:$A,'_Sys|Line_Map'!$D:$D,1,0)</f>
        <v/>
      </c>
      <c r="K52" s="4562">
        <f>IF(D52="","",D52*J52)</f>
        <v/>
      </c>
      <c r="L52" s="4562">
        <f>XLOOKUP(B52,'_Sys|Line_Map'!$A:$A,'_Sys|Line_Map'!$B:$B,"MISSING",0)</f>
        <v/>
      </c>
    </row>
    <row r="53">
      <c r="A53" s="4561" t="n"/>
      <c r="B53" s="4561" t="n"/>
      <c r="C53" s="4561" t="n"/>
      <c r="D53" s="4561" t="n"/>
      <c r="E53" s="4561" t="n"/>
      <c r="F53" s="4561" t="n"/>
      <c r="G53" s="4561" t="n"/>
      <c r="H53" s="4561" t="n"/>
      <c r="I53" s="4562">
        <f>XLOOKUP(B53,'_Sys|Line_Map'!$A:$A,'_Sys|Line_Map'!$C:$C,"MISSING",0)</f>
        <v/>
      </c>
      <c r="J53" s="4562">
        <f>XLOOKUP(B53,'_Sys|Line_Map'!$A:$A,'_Sys|Line_Map'!$D:$D,1,0)</f>
        <v/>
      </c>
      <c r="K53" s="4562">
        <f>IF(D53="","",D53*J53)</f>
        <v/>
      </c>
      <c r="L53" s="4562">
        <f>XLOOKUP(B53,'_Sys|Line_Map'!$A:$A,'_Sys|Line_Map'!$B:$B,"MISSING",0)</f>
        <v/>
      </c>
    </row>
    <row r="54">
      <c r="A54" s="4561" t="n"/>
      <c r="B54" s="4561" t="n"/>
      <c r="C54" s="4561" t="n"/>
      <c r="D54" s="4561" t="n"/>
      <c r="E54" s="4561" t="n"/>
      <c r="F54" s="4561" t="n"/>
      <c r="G54" s="4561" t="n"/>
      <c r="H54" s="4561" t="n"/>
      <c r="I54" s="4562">
        <f>XLOOKUP(B54,'_Sys|Line_Map'!$A:$A,'_Sys|Line_Map'!$C:$C,"MISSING",0)</f>
        <v/>
      </c>
      <c r="J54" s="4562">
        <f>XLOOKUP(B54,'_Sys|Line_Map'!$A:$A,'_Sys|Line_Map'!$D:$D,1,0)</f>
        <v/>
      </c>
      <c r="K54" s="4562">
        <f>IF(D54="","",D54*J54)</f>
        <v/>
      </c>
      <c r="L54" s="4562">
        <f>XLOOKUP(B54,'_Sys|Line_Map'!$A:$A,'_Sys|Line_Map'!$B:$B,"MISSING",0)</f>
        <v/>
      </c>
    </row>
    <row r="55">
      <c r="A55" s="4561" t="n"/>
      <c r="B55" s="4561" t="n"/>
      <c r="C55" s="4561" t="n"/>
      <c r="D55" s="4561" t="n"/>
      <c r="E55" s="4561" t="n"/>
      <c r="F55" s="4561" t="n"/>
      <c r="G55" s="4561" t="n"/>
      <c r="H55" s="4561" t="n"/>
      <c r="I55" s="4562">
        <f>XLOOKUP(B55,'_Sys|Line_Map'!$A:$A,'_Sys|Line_Map'!$C:$C,"MISSING",0)</f>
        <v/>
      </c>
      <c r="J55" s="4562">
        <f>XLOOKUP(B55,'_Sys|Line_Map'!$A:$A,'_Sys|Line_Map'!$D:$D,1,0)</f>
        <v/>
      </c>
      <c r="K55" s="4562">
        <f>IF(D55="","",D55*J55)</f>
        <v/>
      </c>
      <c r="L55" s="4562">
        <f>XLOOKUP(B55,'_Sys|Line_Map'!$A:$A,'_Sys|Line_Map'!$B:$B,"MISSING",0)</f>
        <v/>
      </c>
    </row>
    <row r="56">
      <c r="A56" s="4561" t="n"/>
      <c r="B56" s="4561" t="n"/>
      <c r="C56" s="4561" t="n"/>
      <c r="D56" s="4561" t="n"/>
      <c r="E56" s="4561" t="n"/>
      <c r="F56" s="4561" t="n"/>
      <c r="G56" s="4561" t="n"/>
      <c r="H56" s="4561" t="n"/>
      <c r="I56" s="4562">
        <f>XLOOKUP(B56,'_Sys|Line_Map'!$A:$A,'_Sys|Line_Map'!$C:$C,"MISSING",0)</f>
        <v/>
      </c>
      <c r="J56" s="4562">
        <f>XLOOKUP(B56,'_Sys|Line_Map'!$A:$A,'_Sys|Line_Map'!$D:$D,1,0)</f>
        <v/>
      </c>
      <c r="K56" s="4562">
        <f>IF(D56="","",D56*J56)</f>
        <v/>
      </c>
      <c r="L56" s="4562">
        <f>XLOOKUP(B56,'_Sys|Line_Map'!$A:$A,'_Sys|Line_Map'!$B:$B,"MISSING",0)</f>
        <v/>
      </c>
    </row>
    <row r="57">
      <c r="A57" s="4561" t="n"/>
      <c r="B57" s="4561" t="n"/>
      <c r="C57" s="4561" t="n"/>
      <c r="D57" s="4561" t="n"/>
      <c r="E57" s="4561" t="n"/>
      <c r="F57" s="4561" t="n"/>
      <c r="G57" s="4561" t="n"/>
      <c r="H57" s="4561" t="n"/>
      <c r="I57" s="4562">
        <f>XLOOKUP(B57,'_Sys|Line_Map'!$A:$A,'_Sys|Line_Map'!$C:$C,"MISSING",0)</f>
        <v/>
      </c>
      <c r="J57" s="4562">
        <f>XLOOKUP(B57,'_Sys|Line_Map'!$A:$A,'_Sys|Line_Map'!$D:$D,1,0)</f>
        <v/>
      </c>
      <c r="K57" s="4562">
        <f>IF(D57="","",D57*J57)</f>
        <v/>
      </c>
      <c r="L57" s="4562">
        <f>XLOOKUP(B57,'_Sys|Line_Map'!$A:$A,'_Sys|Line_Map'!$B:$B,"MISSING",0)</f>
        <v/>
      </c>
    </row>
    <row r="58">
      <c r="A58" s="4561" t="n"/>
      <c r="B58" s="4561" t="n"/>
      <c r="C58" s="4561" t="n"/>
      <c r="D58" s="4561" t="n"/>
      <c r="E58" s="4561" t="n"/>
      <c r="F58" s="4561" t="n"/>
      <c r="G58" s="4561" t="n"/>
      <c r="H58" s="4561" t="n"/>
      <c r="I58" s="4562">
        <f>XLOOKUP(B58,'_Sys|Line_Map'!$A:$A,'_Sys|Line_Map'!$C:$C,"MISSING",0)</f>
        <v/>
      </c>
      <c r="J58" s="4562">
        <f>XLOOKUP(B58,'_Sys|Line_Map'!$A:$A,'_Sys|Line_Map'!$D:$D,1,0)</f>
        <v/>
      </c>
      <c r="K58" s="4562">
        <f>IF(D58="","",D58*J58)</f>
        <v/>
      </c>
      <c r="L58" s="4562">
        <f>XLOOKUP(B58,'_Sys|Line_Map'!$A:$A,'_Sys|Line_Map'!$B:$B,"MISSING",0)</f>
        <v/>
      </c>
    </row>
    <row r="59">
      <c r="A59" s="4561" t="n"/>
      <c r="B59" s="4561" t="n"/>
      <c r="C59" s="4561" t="n"/>
      <c r="D59" s="4561" t="n"/>
      <c r="E59" s="4561" t="n"/>
      <c r="F59" s="4561" t="n"/>
      <c r="G59" s="4561" t="n"/>
      <c r="H59" s="4561" t="n"/>
      <c r="I59" s="4562">
        <f>XLOOKUP(B59,'_Sys|Line_Map'!$A:$A,'_Sys|Line_Map'!$C:$C,"MISSING",0)</f>
        <v/>
      </c>
      <c r="J59" s="4562">
        <f>XLOOKUP(B59,'_Sys|Line_Map'!$A:$A,'_Sys|Line_Map'!$D:$D,1,0)</f>
        <v/>
      </c>
      <c r="K59" s="4562">
        <f>IF(D59="","",D59*J59)</f>
        <v/>
      </c>
      <c r="L59" s="4562">
        <f>XLOOKUP(B59,'_Sys|Line_Map'!$A:$A,'_Sys|Line_Map'!$B:$B,"MISSING",0)</f>
        <v/>
      </c>
    </row>
    <row r="60">
      <c r="A60" s="4561" t="n"/>
      <c r="B60" s="4561" t="n"/>
      <c r="C60" s="4561" t="n"/>
      <c r="D60" s="4561" t="n"/>
      <c r="E60" s="4561" t="n"/>
      <c r="F60" s="4561" t="n"/>
      <c r="G60" s="4561" t="n"/>
      <c r="H60" s="4561" t="n"/>
      <c r="I60" s="4562">
        <f>XLOOKUP(B60,'_Sys|Line_Map'!$A:$A,'_Sys|Line_Map'!$C:$C,"MISSING",0)</f>
        <v/>
      </c>
      <c r="J60" s="4562">
        <f>XLOOKUP(B60,'_Sys|Line_Map'!$A:$A,'_Sys|Line_Map'!$D:$D,1,0)</f>
        <v/>
      </c>
      <c r="K60" s="4562">
        <f>IF(D60="","",D60*J60)</f>
        <v/>
      </c>
      <c r="L60" s="4562">
        <f>XLOOKUP(B60,'_Sys|Line_Map'!$A:$A,'_Sys|Line_Map'!$B:$B,"MISSING",0)</f>
        <v/>
      </c>
    </row>
    <row r="61">
      <c r="A61" s="4561" t="n"/>
      <c r="B61" s="4561" t="n"/>
      <c r="C61" s="4561" t="n"/>
      <c r="D61" s="4561" t="n"/>
      <c r="E61" s="4561" t="n"/>
      <c r="F61" s="4561" t="n"/>
      <c r="G61" s="4561" t="n"/>
      <c r="H61" s="4561" t="n"/>
      <c r="I61" s="4562">
        <f>XLOOKUP(B61,'_Sys|Line_Map'!$A:$A,'_Sys|Line_Map'!$C:$C,"MISSING",0)</f>
        <v/>
      </c>
      <c r="J61" s="4562">
        <f>XLOOKUP(B61,'_Sys|Line_Map'!$A:$A,'_Sys|Line_Map'!$D:$D,1,0)</f>
        <v/>
      </c>
      <c r="K61" s="4562">
        <f>IF(D61="","",D61*J61)</f>
        <v/>
      </c>
      <c r="L61" s="4562">
        <f>XLOOKUP(B61,'_Sys|Line_Map'!$A:$A,'_Sys|Line_Map'!$B:$B,"MISSING",0)</f>
        <v/>
      </c>
    </row>
    <row r="62">
      <c r="A62" s="4561" t="n"/>
      <c r="B62" s="4561" t="n"/>
      <c r="C62" s="4561" t="n"/>
      <c r="D62" s="4561" t="n"/>
      <c r="E62" s="4561" t="n"/>
      <c r="F62" s="4561" t="n"/>
      <c r="G62" s="4561" t="n"/>
      <c r="H62" s="4561" t="n"/>
      <c r="I62" s="4562">
        <f>XLOOKUP(B62,'_Sys|Line_Map'!$A:$A,'_Sys|Line_Map'!$C:$C,"MISSING",0)</f>
        <v/>
      </c>
      <c r="J62" s="4562">
        <f>XLOOKUP(B62,'_Sys|Line_Map'!$A:$A,'_Sys|Line_Map'!$D:$D,1,0)</f>
        <v/>
      </c>
      <c r="K62" s="4562">
        <f>IF(D62="","",D62*J62)</f>
        <v/>
      </c>
      <c r="L62" s="4562">
        <f>XLOOKUP(B62,'_Sys|Line_Map'!$A:$A,'_Sys|Line_Map'!$B:$B,"MISSING",0)</f>
        <v/>
      </c>
    </row>
    <row r="63">
      <c r="A63" s="4561" t="n"/>
      <c r="B63" s="4561" t="n"/>
      <c r="C63" s="4561" t="n"/>
      <c r="D63" s="4561" t="n"/>
      <c r="E63" s="4561" t="n"/>
      <c r="F63" s="4561" t="n"/>
      <c r="G63" s="4561" t="n"/>
      <c r="H63" s="4561" t="n"/>
      <c r="I63" s="4562">
        <f>XLOOKUP(B63,'_Sys|Line_Map'!$A:$A,'_Sys|Line_Map'!$C:$C,"MISSING",0)</f>
        <v/>
      </c>
      <c r="J63" s="4562">
        <f>XLOOKUP(B63,'_Sys|Line_Map'!$A:$A,'_Sys|Line_Map'!$D:$D,1,0)</f>
        <v/>
      </c>
      <c r="K63" s="4562">
        <f>IF(D63="","",D63*J63)</f>
        <v/>
      </c>
      <c r="L63" s="4562">
        <f>XLOOKUP(B63,'_Sys|Line_Map'!$A:$A,'_Sys|Line_Map'!$B:$B,"MISSING",0)</f>
        <v/>
      </c>
    </row>
    <row r="64">
      <c r="A64" s="4561" t="n"/>
      <c r="B64" s="4561" t="n"/>
      <c r="C64" s="4561" t="n"/>
      <c r="D64" s="4561" t="n"/>
      <c r="E64" s="4561" t="n"/>
      <c r="F64" s="4561" t="n"/>
      <c r="G64" s="4561" t="n"/>
      <c r="H64" s="4561" t="n"/>
      <c r="I64" s="4562">
        <f>XLOOKUP(B64,'_Sys|Line_Map'!$A:$A,'_Sys|Line_Map'!$C:$C,"MISSING",0)</f>
        <v/>
      </c>
      <c r="J64" s="4562">
        <f>XLOOKUP(B64,'_Sys|Line_Map'!$A:$A,'_Sys|Line_Map'!$D:$D,1,0)</f>
        <v/>
      </c>
      <c r="K64" s="4562">
        <f>IF(D64="","",D64*J64)</f>
        <v/>
      </c>
      <c r="L64" s="4562">
        <f>XLOOKUP(B64,'_Sys|Line_Map'!$A:$A,'_Sys|Line_Map'!$B:$B,"MISSING",0)</f>
        <v/>
      </c>
    </row>
    <row r="65">
      <c r="A65" s="4561" t="n"/>
      <c r="B65" s="4561" t="n"/>
      <c r="C65" s="4561" t="n"/>
      <c r="D65" s="4561" t="n"/>
      <c r="E65" s="4561" t="n"/>
      <c r="F65" s="4561" t="n"/>
      <c r="G65" s="4561" t="n"/>
      <c r="H65" s="4561" t="n"/>
      <c r="I65" s="4562">
        <f>XLOOKUP(B65,'_Sys|Line_Map'!$A:$A,'_Sys|Line_Map'!$C:$C,"MISSING",0)</f>
        <v/>
      </c>
      <c r="J65" s="4562">
        <f>XLOOKUP(B65,'_Sys|Line_Map'!$A:$A,'_Sys|Line_Map'!$D:$D,1,0)</f>
        <v/>
      </c>
      <c r="K65" s="4562">
        <f>IF(D65="","",D65*J65)</f>
        <v/>
      </c>
      <c r="L65" s="4562">
        <f>XLOOKUP(B65,'_Sys|Line_Map'!$A:$A,'_Sys|Line_Map'!$B:$B,"MISSING",0)</f>
        <v/>
      </c>
    </row>
    <row r="66">
      <c r="A66" s="4561" t="n"/>
      <c r="B66" s="4561" t="n"/>
      <c r="C66" s="4561" t="n"/>
      <c r="D66" s="4561" t="n"/>
      <c r="E66" s="4561" t="n"/>
      <c r="F66" s="4561" t="n"/>
      <c r="G66" s="4561" t="n"/>
      <c r="H66" s="4561" t="n"/>
      <c r="I66" s="4562">
        <f>XLOOKUP(B66,'_Sys|Line_Map'!$A:$A,'_Sys|Line_Map'!$C:$C,"MISSING",0)</f>
        <v/>
      </c>
      <c r="J66" s="4562">
        <f>XLOOKUP(B66,'_Sys|Line_Map'!$A:$A,'_Sys|Line_Map'!$D:$D,1,0)</f>
        <v/>
      </c>
      <c r="K66" s="4562">
        <f>IF(D66="","",D66*J66)</f>
        <v/>
      </c>
      <c r="L66" s="4562">
        <f>XLOOKUP(B66,'_Sys|Line_Map'!$A:$A,'_Sys|Line_Map'!$B:$B,"MISSING",0)</f>
        <v/>
      </c>
    </row>
    <row r="67">
      <c r="A67" s="4561" t="n"/>
      <c r="B67" s="4561" t="n"/>
      <c r="C67" s="4561" t="n"/>
      <c r="D67" s="4561" t="n"/>
      <c r="E67" s="4561" t="n"/>
      <c r="F67" s="4561" t="n"/>
      <c r="G67" s="4561" t="n"/>
      <c r="H67" s="4561" t="n"/>
      <c r="I67" s="4562">
        <f>XLOOKUP(B67,'_Sys|Line_Map'!$A:$A,'_Sys|Line_Map'!$C:$C,"MISSING",0)</f>
        <v/>
      </c>
      <c r="J67" s="4562">
        <f>XLOOKUP(B67,'_Sys|Line_Map'!$A:$A,'_Sys|Line_Map'!$D:$D,1,0)</f>
        <v/>
      </c>
      <c r="K67" s="4562">
        <f>IF(D67="","",D67*J67)</f>
        <v/>
      </c>
      <c r="L67" s="4562">
        <f>XLOOKUP(B67,'_Sys|Line_Map'!$A:$A,'_Sys|Line_Map'!$B:$B,"MISSING",0)</f>
        <v/>
      </c>
    </row>
    <row r="68">
      <c r="A68" s="4561" t="n"/>
      <c r="B68" s="4561" t="n"/>
      <c r="C68" s="4561" t="n"/>
      <c r="D68" s="4561" t="n"/>
      <c r="E68" s="4561" t="n"/>
      <c r="F68" s="4561" t="n"/>
      <c r="G68" s="4561" t="n"/>
      <c r="H68" s="4561" t="n"/>
      <c r="I68" s="4562">
        <f>XLOOKUP(B68,'_Sys|Line_Map'!$A:$A,'_Sys|Line_Map'!$C:$C,"MISSING",0)</f>
        <v/>
      </c>
      <c r="J68" s="4562">
        <f>XLOOKUP(B68,'_Sys|Line_Map'!$A:$A,'_Sys|Line_Map'!$D:$D,1,0)</f>
        <v/>
      </c>
      <c r="K68" s="4562">
        <f>IF(D68="","",D68*J68)</f>
        <v/>
      </c>
      <c r="L68" s="4562">
        <f>XLOOKUP(B68,'_Sys|Line_Map'!$A:$A,'_Sys|Line_Map'!$B:$B,"MISSING",0)</f>
        <v/>
      </c>
    </row>
    <row r="69">
      <c r="A69" s="4561" t="n"/>
      <c r="B69" s="4561" t="n"/>
      <c r="C69" s="4561" t="n"/>
      <c r="D69" s="4561" t="n"/>
      <c r="E69" s="4561" t="n"/>
      <c r="F69" s="4561" t="n"/>
      <c r="G69" s="4561" t="n"/>
      <c r="H69" s="4561" t="n"/>
      <c r="I69" s="4562">
        <f>XLOOKUP(B69,'_Sys|Line_Map'!$A:$A,'_Sys|Line_Map'!$C:$C,"MISSING",0)</f>
        <v/>
      </c>
      <c r="J69" s="4562">
        <f>XLOOKUP(B69,'_Sys|Line_Map'!$A:$A,'_Sys|Line_Map'!$D:$D,1,0)</f>
        <v/>
      </c>
      <c r="K69" s="4562">
        <f>IF(D69="","",D69*J69)</f>
        <v/>
      </c>
      <c r="L69" s="4562">
        <f>XLOOKUP(B69,'_Sys|Line_Map'!$A:$A,'_Sys|Line_Map'!$B:$B,"MISSING",0)</f>
        <v/>
      </c>
    </row>
    <row r="70">
      <c r="A70" s="4561" t="n"/>
      <c r="B70" s="4561" t="n"/>
      <c r="C70" s="4561" t="n"/>
      <c r="D70" s="4561" t="n"/>
      <c r="E70" s="4561" t="n"/>
      <c r="F70" s="4561" t="n"/>
      <c r="G70" s="4561" t="n"/>
      <c r="H70" s="4561" t="n"/>
      <c r="I70" s="4562">
        <f>XLOOKUP(B70,'_Sys|Line_Map'!$A:$A,'_Sys|Line_Map'!$C:$C,"MISSING",0)</f>
        <v/>
      </c>
      <c r="J70" s="4562">
        <f>XLOOKUP(B70,'_Sys|Line_Map'!$A:$A,'_Sys|Line_Map'!$D:$D,1,0)</f>
        <v/>
      </c>
      <c r="K70" s="4562">
        <f>IF(D70="","",D70*J70)</f>
        <v/>
      </c>
      <c r="L70" s="4562">
        <f>XLOOKUP(B70,'_Sys|Line_Map'!$A:$A,'_Sys|Line_Map'!$B:$B,"MISSING",0)</f>
        <v/>
      </c>
    </row>
    <row r="71">
      <c r="A71" s="4561" t="n"/>
      <c r="B71" s="4561" t="n"/>
      <c r="C71" s="4561" t="n"/>
      <c r="D71" s="4561" t="n"/>
      <c r="E71" s="4561" t="n"/>
      <c r="F71" s="4561" t="n"/>
      <c r="G71" s="4561" t="n"/>
      <c r="H71" s="4561" t="n"/>
      <c r="I71" s="4562">
        <f>XLOOKUP(B71,'_Sys|Line_Map'!$A:$A,'_Sys|Line_Map'!$C:$C,"MISSING",0)</f>
        <v/>
      </c>
      <c r="J71" s="4562">
        <f>XLOOKUP(B71,'_Sys|Line_Map'!$A:$A,'_Sys|Line_Map'!$D:$D,1,0)</f>
        <v/>
      </c>
      <c r="K71" s="4562">
        <f>IF(D71="","",D71*J71)</f>
        <v/>
      </c>
      <c r="L71" s="4562">
        <f>XLOOKUP(B71,'_Sys|Line_Map'!$A:$A,'_Sys|Line_Map'!$B:$B,"MISSING",0)</f>
        <v/>
      </c>
    </row>
    <row r="72">
      <c r="A72" s="4561" t="n"/>
      <c r="B72" s="4561" t="n"/>
      <c r="C72" s="4561" t="n"/>
      <c r="D72" s="4561" t="n"/>
      <c r="E72" s="4561" t="n"/>
      <c r="F72" s="4561" t="n"/>
      <c r="G72" s="4561" t="n"/>
      <c r="H72" s="4561" t="n"/>
      <c r="I72" s="4562">
        <f>XLOOKUP(B72,'_Sys|Line_Map'!$A:$A,'_Sys|Line_Map'!$C:$C,"MISSING",0)</f>
        <v/>
      </c>
      <c r="J72" s="4562">
        <f>XLOOKUP(B72,'_Sys|Line_Map'!$A:$A,'_Sys|Line_Map'!$D:$D,1,0)</f>
        <v/>
      </c>
      <c r="K72" s="4562">
        <f>IF(D72="","",D72*J72)</f>
        <v/>
      </c>
      <c r="L72" s="4562">
        <f>XLOOKUP(B72,'_Sys|Line_Map'!$A:$A,'_Sys|Line_Map'!$B:$B,"MISSING",0)</f>
        <v/>
      </c>
    </row>
    <row r="73">
      <c r="A73" s="4561" t="n"/>
      <c r="B73" s="4561" t="n"/>
      <c r="C73" s="4561" t="n"/>
      <c r="D73" s="4561" t="n"/>
      <c r="E73" s="4561" t="n"/>
      <c r="F73" s="4561" t="n"/>
      <c r="G73" s="4561" t="n"/>
      <c r="H73" s="4561" t="n"/>
      <c r="I73" s="4562">
        <f>XLOOKUP(B73,'_Sys|Line_Map'!$A:$A,'_Sys|Line_Map'!$C:$C,"MISSING",0)</f>
        <v/>
      </c>
      <c r="J73" s="4562">
        <f>XLOOKUP(B73,'_Sys|Line_Map'!$A:$A,'_Sys|Line_Map'!$D:$D,1,0)</f>
        <v/>
      </c>
      <c r="K73" s="4562">
        <f>IF(D73="","",D73*J73)</f>
        <v/>
      </c>
      <c r="L73" s="4562">
        <f>XLOOKUP(B73,'_Sys|Line_Map'!$A:$A,'_Sys|Line_Map'!$B:$B,"MISSING",0)</f>
        <v/>
      </c>
    </row>
    <row r="74">
      <c r="A74" s="4561" t="n"/>
      <c r="B74" s="4561" t="n"/>
      <c r="C74" s="4561" t="n"/>
      <c r="D74" s="4561" t="n"/>
      <c r="E74" s="4561" t="n"/>
      <c r="F74" s="4561" t="n"/>
      <c r="G74" s="4561" t="n"/>
      <c r="H74" s="4561" t="n"/>
      <c r="I74" s="4562">
        <f>XLOOKUP(B74,'_Sys|Line_Map'!$A:$A,'_Sys|Line_Map'!$C:$C,"MISSING",0)</f>
        <v/>
      </c>
      <c r="J74" s="4562">
        <f>XLOOKUP(B74,'_Sys|Line_Map'!$A:$A,'_Sys|Line_Map'!$D:$D,1,0)</f>
        <v/>
      </c>
      <c r="K74" s="4562">
        <f>IF(D74="","",D74*J74)</f>
        <v/>
      </c>
      <c r="L74" s="4562">
        <f>XLOOKUP(B74,'_Sys|Line_Map'!$A:$A,'_Sys|Line_Map'!$B:$B,"MISSING",0)</f>
        <v/>
      </c>
    </row>
    <row r="75">
      <c r="A75" s="4561" t="n"/>
      <c r="B75" s="4561" t="n"/>
      <c r="C75" s="4561" t="n"/>
      <c r="D75" s="4561" t="n"/>
      <c r="E75" s="4561" t="n"/>
      <c r="F75" s="4561" t="n"/>
      <c r="G75" s="4561" t="n"/>
      <c r="H75" s="4561" t="n"/>
      <c r="I75" s="4562">
        <f>XLOOKUP(B75,'_Sys|Line_Map'!$A:$A,'_Sys|Line_Map'!$C:$C,"MISSING",0)</f>
        <v/>
      </c>
      <c r="J75" s="4562">
        <f>XLOOKUP(B75,'_Sys|Line_Map'!$A:$A,'_Sys|Line_Map'!$D:$D,1,0)</f>
        <v/>
      </c>
      <c r="K75" s="4562">
        <f>IF(D75="","",D75*J75)</f>
        <v/>
      </c>
      <c r="L75" s="4562">
        <f>XLOOKUP(B75,'_Sys|Line_Map'!$A:$A,'_Sys|Line_Map'!$B:$B,"MISSING",0)</f>
        <v/>
      </c>
    </row>
    <row r="76">
      <c r="A76" s="4561" t="n"/>
      <c r="B76" s="4561" t="n"/>
      <c r="C76" s="4561" t="n"/>
      <c r="D76" s="4561" t="n"/>
      <c r="E76" s="4561" t="n"/>
      <c r="F76" s="4561" t="n"/>
      <c r="G76" s="4561" t="n"/>
      <c r="H76" s="4561" t="n"/>
      <c r="I76" s="4562">
        <f>XLOOKUP(B76,'_Sys|Line_Map'!$A:$A,'_Sys|Line_Map'!$C:$C,"MISSING",0)</f>
        <v/>
      </c>
      <c r="J76" s="4562">
        <f>XLOOKUP(B76,'_Sys|Line_Map'!$A:$A,'_Sys|Line_Map'!$D:$D,1,0)</f>
        <v/>
      </c>
      <c r="K76" s="4562">
        <f>IF(D76="","",D76*J76)</f>
        <v/>
      </c>
      <c r="L76" s="4562">
        <f>XLOOKUP(B76,'_Sys|Line_Map'!$A:$A,'_Sys|Line_Map'!$B:$B,"MISSING",0)</f>
        <v/>
      </c>
    </row>
    <row r="77">
      <c r="A77" s="4561" t="n"/>
      <c r="B77" s="4561" t="n"/>
      <c r="C77" s="4561" t="n"/>
      <c r="D77" s="4561" t="n"/>
      <c r="E77" s="4561" t="n"/>
      <c r="F77" s="4561" t="n"/>
      <c r="G77" s="4561" t="n"/>
      <c r="H77" s="4561" t="n"/>
      <c r="I77" s="4562">
        <f>XLOOKUP(B77,'_Sys|Line_Map'!$A:$A,'_Sys|Line_Map'!$C:$C,"MISSING",0)</f>
        <v/>
      </c>
      <c r="J77" s="4562">
        <f>XLOOKUP(B77,'_Sys|Line_Map'!$A:$A,'_Sys|Line_Map'!$D:$D,1,0)</f>
        <v/>
      </c>
      <c r="K77" s="4562">
        <f>IF(D77="","",D77*J77)</f>
        <v/>
      </c>
      <c r="L77" s="4562">
        <f>XLOOKUP(B77,'_Sys|Line_Map'!$A:$A,'_Sys|Line_Map'!$B:$B,"MISSING",0)</f>
        <v/>
      </c>
    </row>
    <row r="78">
      <c r="A78" s="4561" t="n"/>
      <c r="B78" s="4561" t="n"/>
      <c r="C78" s="4561" t="n"/>
      <c r="D78" s="4561" t="n"/>
      <c r="E78" s="4561" t="n"/>
      <c r="F78" s="4561" t="n"/>
      <c r="G78" s="4561" t="n"/>
      <c r="H78" s="4561" t="n"/>
      <c r="I78" s="4562">
        <f>XLOOKUP(B78,'_Sys|Line_Map'!$A:$A,'_Sys|Line_Map'!$C:$C,"MISSING",0)</f>
        <v/>
      </c>
      <c r="J78" s="4562">
        <f>XLOOKUP(B78,'_Sys|Line_Map'!$A:$A,'_Sys|Line_Map'!$D:$D,1,0)</f>
        <v/>
      </c>
      <c r="K78" s="4562">
        <f>IF(D78="","",D78*J78)</f>
        <v/>
      </c>
      <c r="L78" s="4562">
        <f>XLOOKUP(B78,'_Sys|Line_Map'!$A:$A,'_Sys|Line_Map'!$B:$B,"MISSING",0)</f>
        <v/>
      </c>
    </row>
    <row r="79">
      <c r="A79" s="4561" t="n"/>
      <c r="B79" s="4561" t="n"/>
      <c r="C79" s="4561" t="n"/>
      <c r="D79" s="4561" t="n"/>
      <c r="E79" s="4561" t="n"/>
      <c r="F79" s="4561" t="n"/>
      <c r="G79" s="4561" t="n"/>
      <c r="H79" s="4561" t="n"/>
      <c r="I79" s="4562">
        <f>XLOOKUP(B79,'_Sys|Line_Map'!$A:$A,'_Sys|Line_Map'!$C:$C,"MISSING",0)</f>
        <v/>
      </c>
      <c r="J79" s="4562">
        <f>XLOOKUP(B79,'_Sys|Line_Map'!$A:$A,'_Sys|Line_Map'!$D:$D,1,0)</f>
        <v/>
      </c>
      <c r="K79" s="4562">
        <f>IF(D79="","",D79*J79)</f>
        <v/>
      </c>
      <c r="L79" s="4562">
        <f>XLOOKUP(B79,'_Sys|Line_Map'!$A:$A,'_Sys|Line_Map'!$B:$B,"MISSING",0)</f>
        <v/>
      </c>
    </row>
    <row r="80">
      <c r="A80" s="4561" t="n"/>
      <c r="B80" s="4561" t="n"/>
      <c r="C80" s="4561" t="n"/>
      <c r="D80" s="4561" t="n"/>
      <c r="E80" s="4561" t="n"/>
      <c r="F80" s="4561" t="n"/>
      <c r="G80" s="4561" t="n"/>
      <c r="H80" s="4561" t="n"/>
      <c r="I80" s="4562">
        <f>XLOOKUP(B80,'_Sys|Line_Map'!$A:$A,'_Sys|Line_Map'!$C:$C,"MISSING",0)</f>
        <v/>
      </c>
      <c r="J80" s="4562">
        <f>XLOOKUP(B80,'_Sys|Line_Map'!$A:$A,'_Sys|Line_Map'!$D:$D,1,0)</f>
        <v/>
      </c>
      <c r="K80" s="4562">
        <f>IF(D80="","",D80*J80)</f>
        <v/>
      </c>
      <c r="L80" s="4562">
        <f>XLOOKUP(B80,'_Sys|Line_Map'!$A:$A,'_Sys|Line_Map'!$B:$B,"MISSING",0)</f>
        <v/>
      </c>
    </row>
    <row r="81">
      <c r="A81" s="4561" t="n"/>
      <c r="B81" s="4561" t="n"/>
      <c r="C81" s="4561" t="n"/>
      <c r="D81" s="4561" t="n"/>
      <c r="E81" s="4561" t="n"/>
      <c r="F81" s="4561" t="n"/>
      <c r="G81" s="4561" t="n"/>
      <c r="H81" s="4561" t="n"/>
      <c r="I81" s="4562">
        <f>XLOOKUP(B81,'_Sys|Line_Map'!$A:$A,'_Sys|Line_Map'!$C:$C,"MISSING",0)</f>
        <v/>
      </c>
      <c r="J81" s="4562">
        <f>XLOOKUP(B81,'_Sys|Line_Map'!$A:$A,'_Sys|Line_Map'!$D:$D,1,0)</f>
        <v/>
      </c>
      <c r="K81" s="4562">
        <f>IF(D81="","",D81*J81)</f>
        <v/>
      </c>
      <c r="L81" s="4562">
        <f>XLOOKUP(B81,'_Sys|Line_Map'!$A:$A,'_Sys|Line_Map'!$B:$B,"MISSING",0)</f>
        <v/>
      </c>
    </row>
    <row r="82">
      <c r="A82" s="4561" t="n"/>
      <c r="B82" s="4561" t="n"/>
      <c r="C82" s="4561" t="n"/>
      <c r="D82" s="4561" t="n"/>
      <c r="E82" s="4561" t="n"/>
      <c r="F82" s="4561" t="n"/>
      <c r="G82" s="4561" t="n"/>
      <c r="H82" s="4561" t="n"/>
      <c r="I82" s="4562">
        <f>XLOOKUP(B82,'_Sys|Line_Map'!$A:$A,'_Sys|Line_Map'!$C:$C,"MISSING",0)</f>
        <v/>
      </c>
      <c r="J82" s="4562">
        <f>XLOOKUP(B82,'_Sys|Line_Map'!$A:$A,'_Sys|Line_Map'!$D:$D,1,0)</f>
        <v/>
      </c>
      <c r="K82" s="4562">
        <f>IF(D82="","",D82*J82)</f>
        <v/>
      </c>
      <c r="L82" s="4562">
        <f>XLOOKUP(B82,'_Sys|Line_Map'!$A:$A,'_Sys|Line_Map'!$B:$B,"MISSING",0)</f>
        <v/>
      </c>
    </row>
    <row r="83">
      <c r="A83" s="4561" t="n"/>
      <c r="B83" s="4561" t="n"/>
      <c r="C83" s="4561" t="n"/>
      <c r="D83" s="4561" t="n"/>
      <c r="E83" s="4561" t="n"/>
      <c r="F83" s="4561" t="n"/>
      <c r="G83" s="4561" t="n"/>
      <c r="H83" s="4561" t="n"/>
      <c r="I83" s="4562">
        <f>XLOOKUP(B83,'_Sys|Line_Map'!$A:$A,'_Sys|Line_Map'!$C:$C,"MISSING",0)</f>
        <v/>
      </c>
      <c r="J83" s="4562">
        <f>XLOOKUP(B83,'_Sys|Line_Map'!$A:$A,'_Sys|Line_Map'!$D:$D,1,0)</f>
        <v/>
      </c>
      <c r="K83" s="4562">
        <f>IF(D83="","",D83*J83)</f>
        <v/>
      </c>
      <c r="L83" s="4562">
        <f>XLOOKUP(B83,'_Sys|Line_Map'!$A:$A,'_Sys|Line_Map'!$B:$B,"MISSING",0)</f>
        <v/>
      </c>
    </row>
    <row r="84">
      <c r="A84" s="4561" t="n"/>
      <c r="B84" s="4561" t="n"/>
      <c r="C84" s="4561" t="n"/>
      <c r="D84" s="4561" t="n"/>
      <c r="E84" s="4561" t="n"/>
      <c r="F84" s="4561" t="n"/>
      <c r="G84" s="4561" t="n"/>
      <c r="H84" s="4561" t="n"/>
      <c r="I84" s="4562">
        <f>XLOOKUP(B84,'_Sys|Line_Map'!$A:$A,'_Sys|Line_Map'!$C:$C,"MISSING",0)</f>
        <v/>
      </c>
      <c r="J84" s="4562">
        <f>XLOOKUP(B84,'_Sys|Line_Map'!$A:$A,'_Sys|Line_Map'!$D:$D,1,0)</f>
        <v/>
      </c>
      <c r="K84" s="4562">
        <f>IF(D84="","",D84*J84)</f>
        <v/>
      </c>
      <c r="L84" s="4562">
        <f>XLOOKUP(B84,'_Sys|Line_Map'!$A:$A,'_Sys|Line_Map'!$B:$B,"MISSING",0)</f>
        <v/>
      </c>
    </row>
    <row r="85">
      <c r="A85" s="4561" t="n"/>
      <c r="B85" s="4561" t="n"/>
      <c r="C85" s="4561" t="n"/>
      <c r="D85" s="4561" t="n"/>
      <c r="E85" s="4561" t="n"/>
      <c r="F85" s="4561" t="n"/>
      <c r="G85" s="4561" t="n"/>
      <c r="H85" s="4561" t="n"/>
      <c r="I85" s="4562">
        <f>XLOOKUP(B85,'_Sys|Line_Map'!$A:$A,'_Sys|Line_Map'!$C:$C,"MISSING",0)</f>
        <v/>
      </c>
      <c r="J85" s="4562">
        <f>XLOOKUP(B85,'_Sys|Line_Map'!$A:$A,'_Sys|Line_Map'!$D:$D,1,0)</f>
        <v/>
      </c>
      <c r="K85" s="4562">
        <f>IF(D85="","",D85*J85)</f>
        <v/>
      </c>
      <c r="L85" s="4562">
        <f>XLOOKUP(B85,'_Sys|Line_Map'!$A:$A,'_Sys|Line_Map'!$B:$B,"MISSING",0)</f>
        <v/>
      </c>
    </row>
    <row r="86">
      <c r="A86" s="4561" t="n"/>
      <c r="B86" s="4561" t="n"/>
      <c r="C86" s="4561" t="n"/>
      <c r="D86" s="4561" t="n"/>
      <c r="E86" s="4561" t="n"/>
      <c r="F86" s="4561" t="n"/>
      <c r="G86" s="4561" t="n"/>
      <c r="H86" s="4561" t="n"/>
      <c r="I86" s="4562">
        <f>XLOOKUP(B86,'_Sys|Line_Map'!$A:$A,'_Sys|Line_Map'!$C:$C,"MISSING",0)</f>
        <v/>
      </c>
      <c r="J86" s="4562">
        <f>XLOOKUP(B86,'_Sys|Line_Map'!$A:$A,'_Sys|Line_Map'!$D:$D,1,0)</f>
        <v/>
      </c>
      <c r="K86" s="4562">
        <f>IF(D86="","",D86*J86)</f>
        <v/>
      </c>
      <c r="L86" s="4562">
        <f>XLOOKUP(B86,'_Sys|Line_Map'!$A:$A,'_Sys|Line_Map'!$B:$B,"MISSING",0)</f>
        <v/>
      </c>
    </row>
    <row r="87">
      <c r="A87" s="4561" t="n"/>
      <c r="B87" s="4561" t="n"/>
      <c r="C87" s="4561" t="n"/>
      <c r="D87" s="4561" t="n"/>
      <c r="E87" s="4561" t="n"/>
      <c r="F87" s="4561" t="n"/>
      <c r="G87" s="4561" t="n"/>
      <c r="H87" s="4561" t="n"/>
      <c r="I87" s="4562">
        <f>XLOOKUP(B87,'_Sys|Line_Map'!$A:$A,'_Sys|Line_Map'!$C:$C,"MISSING",0)</f>
        <v/>
      </c>
      <c r="J87" s="4562">
        <f>XLOOKUP(B87,'_Sys|Line_Map'!$A:$A,'_Sys|Line_Map'!$D:$D,1,0)</f>
        <v/>
      </c>
      <c r="K87" s="4562">
        <f>IF(D87="","",D87*J87)</f>
        <v/>
      </c>
      <c r="L87" s="4562">
        <f>XLOOKUP(B87,'_Sys|Line_Map'!$A:$A,'_Sys|Line_Map'!$B:$B,"MISSING",0)</f>
        <v/>
      </c>
    </row>
    <row r="88">
      <c r="A88" s="4561" t="n"/>
      <c r="B88" s="4561" t="n"/>
      <c r="C88" s="4561" t="n"/>
      <c r="D88" s="4561" t="n"/>
      <c r="E88" s="4561" t="n"/>
      <c r="F88" s="4561" t="n"/>
      <c r="G88" s="4561" t="n"/>
      <c r="H88" s="4561" t="n"/>
      <c r="I88" s="4562">
        <f>XLOOKUP(B88,'_Sys|Line_Map'!$A:$A,'_Sys|Line_Map'!$C:$C,"MISSING",0)</f>
        <v/>
      </c>
      <c r="J88" s="4562">
        <f>XLOOKUP(B88,'_Sys|Line_Map'!$A:$A,'_Sys|Line_Map'!$D:$D,1,0)</f>
        <v/>
      </c>
      <c r="K88" s="4562">
        <f>IF(D88="","",D88*J88)</f>
        <v/>
      </c>
      <c r="L88" s="4562">
        <f>XLOOKUP(B88,'_Sys|Line_Map'!$A:$A,'_Sys|Line_Map'!$B:$B,"MISSING",0)</f>
        <v/>
      </c>
    </row>
    <row r="89">
      <c r="A89" s="4561" t="n"/>
      <c r="B89" s="4561" t="n"/>
      <c r="C89" s="4561" t="n"/>
      <c r="D89" s="4561" t="n"/>
      <c r="E89" s="4561" t="n"/>
      <c r="F89" s="4561" t="n"/>
      <c r="G89" s="4561" t="n"/>
      <c r="H89" s="4561" t="n"/>
      <c r="I89" s="4562">
        <f>XLOOKUP(B89,'_Sys|Line_Map'!$A:$A,'_Sys|Line_Map'!$C:$C,"MISSING",0)</f>
        <v/>
      </c>
      <c r="J89" s="4562">
        <f>XLOOKUP(B89,'_Sys|Line_Map'!$A:$A,'_Sys|Line_Map'!$D:$D,1,0)</f>
        <v/>
      </c>
      <c r="K89" s="4562">
        <f>IF(D89="","",D89*J89)</f>
        <v/>
      </c>
      <c r="L89" s="4562">
        <f>XLOOKUP(B89,'_Sys|Line_Map'!$A:$A,'_Sys|Line_Map'!$B:$B,"MISSING",0)</f>
        <v/>
      </c>
    </row>
    <row r="90">
      <c r="A90" s="4561" t="n"/>
      <c r="B90" s="4561" t="n"/>
      <c r="C90" s="4561" t="n"/>
      <c r="D90" s="4561" t="n"/>
      <c r="E90" s="4561" t="n"/>
      <c r="F90" s="4561" t="n"/>
      <c r="G90" s="4561" t="n"/>
      <c r="H90" s="4561" t="n"/>
      <c r="I90" s="4562">
        <f>XLOOKUP(B90,'_Sys|Line_Map'!$A:$A,'_Sys|Line_Map'!$C:$C,"MISSING",0)</f>
        <v/>
      </c>
      <c r="J90" s="4562">
        <f>XLOOKUP(B90,'_Sys|Line_Map'!$A:$A,'_Sys|Line_Map'!$D:$D,1,0)</f>
        <v/>
      </c>
      <c r="K90" s="4562">
        <f>IF(D90="","",D90*J90)</f>
        <v/>
      </c>
      <c r="L90" s="4562">
        <f>XLOOKUP(B90,'_Sys|Line_Map'!$A:$A,'_Sys|Line_Map'!$B:$B,"MISSING",0)</f>
        <v/>
      </c>
    </row>
    <row r="91">
      <c r="A91" s="4561" t="n"/>
      <c r="B91" s="4561" t="n"/>
      <c r="C91" s="4561" t="n"/>
      <c r="D91" s="4561" t="n"/>
      <c r="E91" s="4561" t="n"/>
      <c r="F91" s="4561" t="n"/>
      <c r="G91" s="4561" t="n"/>
      <c r="H91" s="4561" t="n"/>
      <c r="I91" s="4562">
        <f>XLOOKUP(B91,'_Sys|Line_Map'!$A:$A,'_Sys|Line_Map'!$C:$C,"MISSING",0)</f>
        <v/>
      </c>
      <c r="J91" s="4562">
        <f>XLOOKUP(B91,'_Sys|Line_Map'!$A:$A,'_Sys|Line_Map'!$D:$D,1,0)</f>
        <v/>
      </c>
      <c r="K91" s="4562">
        <f>IF(D91="","",D91*J91)</f>
        <v/>
      </c>
      <c r="L91" s="4562">
        <f>XLOOKUP(B91,'_Sys|Line_Map'!$A:$A,'_Sys|Line_Map'!$B:$B,"MISSING",0)</f>
        <v/>
      </c>
    </row>
    <row r="92">
      <c r="A92" s="4561" t="n"/>
      <c r="B92" s="4561" t="n"/>
      <c r="C92" s="4561" t="n"/>
      <c r="D92" s="4561" t="n"/>
      <c r="E92" s="4561" t="n"/>
      <c r="F92" s="4561" t="n"/>
      <c r="G92" s="4561" t="n"/>
      <c r="H92" s="4561" t="n"/>
      <c r="I92" s="4562">
        <f>XLOOKUP(B92,'_Sys|Line_Map'!$A:$A,'_Sys|Line_Map'!$C:$C,"MISSING",0)</f>
        <v/>
      </c>
      <c r="J92" s="4562">
        <f>XLOOKUP(B92,'_Sys|Line_Map'!$A:$A,'_Sys|Line_Map'!$D:$D,1,0)</f>
        <v/>
      </c>
      <c r="K92" s="4562">
        <f>IF(D92="","",D92*J92)</f>
        <v/>
      </c>
      <c r="L92" s="4562">
        <f>XLOOKUP(B92,'_Sys|Line_Map'!$A:$A,'_Sys|Line_Map'!$B:$B,"MISSING",0)</f>
        <v/>
      </c>
    </row>
    <row r="93">
      <c r="A93" s="4561" t="n"/>
      <c r="B93" s="4561" t="n"/>
      <c r="C93" s="4561" t="n"/>
      <c r="D93" s="4561" t="n"/>
      <c r="E93" s="4561" t="n"/>
      <c r="F93" s="4561" t="n"/>
      <c r="G93" s="4561" t="n"/>
      <c r="H93" s="4561" t="n"/>
      <c r="I93" s="4562">
        <f>XLOOKUP(B93,'_Sys|Line_Map'!$A:$A,'_Sys|Line_Map'!$C:$C,"MISSING",0)</f>
        <v/>
      </c>
      <c r="J93" s="4562">
        <f>XLOOKUP(B93,'_Sys|Line_Map'!$A:$A,'_Sys|Line_Map'!$D:$D,1,0)</f>
        <v/>
      </c>
      <c r="K93" s="4562">
        <f>IF(D93="","",D93*J93)</f>
        <v/>
      </c>
      <c r="L93" s="4562">
        <f>XLOOKUP(B93,'_Sys|Line_Map'!$A:$A,'_Sys|Line_Map'!$B:$B,"MISSING",0)</f>
        <v/>
      </c>
    </row>
    <row r="94">
      <c r="A94" s="4561" t="n"/>
      <c r="B94" s="4561" t="n"/>
      <c r="C94" s="4561" t="n"/>
      <c r="D94" s="4561" t="n"/>
      <c r="E94" s="4561" t="n"/>
      <c r="F94" s="4561" t="n"/>
      <c r="G94" s="4561" t="n"/>
      <c r="H94" s="4561" t="n"/>
      <c r="I94" s="4562">
        <f>XLOOKUP(B94,'_Sys|Line_Map'!$A:$A,'_Sys|Line_Map'!$C:$C,"MISSING",0)</f>
        <v/>
      </c>
      <c r="J94" s="4562">
        <f>XLOOKUP(B94,'_Sys|Line_Map'!$A:$A,'_Sys|Line_Map'!$D:$D,1,0)</f>
        <v/>
      </c>
      <c r="K94" s="4562">
        <f>IF(D94="","",D94*J94)</f>
        <v/>
      </c>
      <c r="L94" s="4562">
        <f>XLOOKUP(B94,'_Sys|Line_Map'!$A:$A,'_Sys|Line_Map'!$B:$B,"MISSING",0)</f>
        <v/>
      </c>
    </row>
    <row r="95">
      <c r="A95" s="4561" t="n"/>
      <c r="B95" s="4561" t="n"/>
      <c r="C95" s="4561" t="n"/>
      <c r="D95" s="4561" t="n"/>
      <c r="E95" s="4561" t="n"/>
      <c r="F95" s="4561" t="n"/>
      <c r="G95" s="4561" t="n"/>
      <c r="H95" s="4561" t="n"/>
      <c r="I95" s="4562">
        <f>XLOOKUP(B95,'_Sys|Line_Map'!$A:$A,'_Sys|Line_Map'!$C:$C,"MISSING",0)</f>
        <v/>
      </c>
      <c r="J95" s="4562">
        <f>XLOOKUP(B95,'_Sys|Line_Map'!$A:$A,'_Sys|Line_Map'!$D:$D,1,0)</f>
        <v/>
      </c>
      <c r="K95" s="4562">
        <f>IF(D95="","",D95*J95)</f>
        <v/>
      </c>
      <c r="L95" s="4562">
        <f>XLOOKUP(B95,'_Sys|Line_Map'!$A:$A,'_Sys|Line_Map'!$B:$B,"MISSING",0)</f>
        <v/>
      </c>
    </row>
    <row r="96">
      <c r="A96" s="4561" t="n"/>
      <c r="B96" s="4561" t="n"/>
      <c r="C96" s="4561" t="n"/>
      <c r="D96" s="4561" t="n"/>
      <c r="E96" s="4561" t="n"/>
      <c r="F96" s="4561" t="n"/>
      <c r="G96" s="4561" t="n"/>
      <c r="H96" s="4561" t="n"/>
      <c r="I96" s="4562">
        <f>XLOOKUP(B96,'_Sys|Line_Map'!$A:$A,'_Sys|Line_Map'!$C:$C,"MISSING",0)</f>
        <v/>
      </c>
      <c r="J96" s="4562">
        <f>XLOOKUP(B96,'_Sys|Line_Map'!$A:$A,'_Sys|Line_Map'!$D:$D,1,0)</f>
        <v/>
      </c>
      <c r="K96" s="4562">
        <f>IF(D96="","",D96*J96)</f>
        <v/>
      </c>
      <c r="L96" s="4562">
        <f>XLOOKUP(B96,'_Sys|Line_Map'!$A:$A,'_Sys|Line_Map'!$B:$B,"MISSING",0)</f>
        <v/>
      </c>
    </row>
    <row r="97">
      <c r="A97" s="4561" t="n"/>
      <c r="B97" s="4561" t="n"/>
      <c r="C97" s="4561" t="n"/>
      <c r="D97" s="4561" t="n"/>
      <c r="E97" s="4561" t="n"/>
      <c r="F97" s="4561" t="n"/>
      <c r="G97" s="4561" t="n"/>
      <c r="H97" s="4561" t="n"/>
      <c r="I97" s="4562">
        <f>XLOOKUP(B97,'_Sys|Line_Map'!$A:$A,'_Sys|Line_Map'!$C:$C,"MISSING",0)</f>
        <v/>
      </c>
      <c r="J97" s="4562">
        <f>XLOOKUP(B97,'_Sys|Line_Map'!$A:$A,'_Sys|Line_Map'!$D:$D,1,0)</f>
        <v/>
      </c>
      <c r="K97" s="4562">
        <f>IF(D97="","",D97*J97)</f>
        <v/>
      </c>
      <c r="L97" s="4562">
        <f>XLOOKUP(B97,'_Sys|Line_Map'!$A:$A,'_Sys|Line_Map'!$B:$B,"MISSING",0)</f>
        <v/>
      </c>
    </row>
    <row r="98">
      <c r="A98" s="4561" t="n"/>
      <c r="B98" s="4561" t="n"/>
      <c r="C98" s="4561" t="n"/>
      <c r="D98" s="4561" t="n"/>
      <c r="E98" s="4561" t="n"/>
      <c r="F98" s="4561" t="n"/>
      <c r="G98" s="4561" t="n"/>
      <c r="H98" s="4561" t="n"/>
      <c r="I98" s="4562">
        <f>XLOOKUP(B98,'_Sys|Line_Map'!$A:$A,'_Sys|Line_Map'!$C:$C,"MISSING",0)</f>
        <v/>
      </c>
      <c r="J98" s="4562">
        <f>XLOOKUP(B98,'_Sys|Line_Map'!$A:$A,'_Sys|Line_Map'!$D:$D,1,0)</f>
        <v/>
      </c>
      <c r="K98" s="4562">
        <f>IF(D98="","",D98*J98)</f>
        <v/>
      </c>
      <c r="L98" s="4562">
        <f>XLOOKUP(B98,'_Sys|Line_Map'!$A:$A,'_Sys|Line_Map'!$B:$B,"MISSING",0)</f>
        <v/>
      </c>
    </row>
    <row r="99">
      <c r="A99" s="4561" t="n"/>
      <c r="B99" s="4561" t="n"/>
      <c r="C99" s="4561" t="n"/>
      <c r="D99" s="4561" t="n"/>
      <c r="E99" s="4561" t="n"/>
      <c r="F99" s="4561" t="n"/>
      <c r="G99" s="4561" t="n"/>
      <c r="H99" s="4561" t="n"/>
      <c r="I99" s="4562">
        <f>XLOOKUP(B99,'_Sys|Line_Map'!$A:$A,'_Sys|Line_Map'!$C:$C,"MISSING",0)</f>
        <v/>
      </c>
      <c r="J99" s="4562">
        <f>XLOOKUP(B99,'_Sys|Line_Map'!$A:$A,'_Sys|Line_Map'!$D:$D,1,0)</f>
        <v/>
      </c>
      <c r="K99" s="4562">
        <f>IF(D99="","",D99*J99)</f>
        <v/>
      </c>
      <c r="L99" s="4562">
        <f>XLOOKUP(B99,'_Sys|Line_Map'!$A:$A,'_Sys|Line_Map'!$B:$B,"MISSING",0)</f>
        <v/>
      </c>
    </row>
    <row r="100">
      <c r="A100" s="4561" t="n"/>
      <c r="B100" s="4561" t="n"/>
      <c r="C100" s="4561" t="n"/>
      <c r="D100" s="4561" t="n"/>
      <c r="E100" s="4561" t="n"/>
      <c r="F100" s="4561" t="n"/>
      <c r="G100" s="4561" t="n"/>
      <c r="H100" s="4561" t="n"/>
      <c r="I100" s="4562">
        <f>XLOOKUP(B100,'_Sys|Line_Map'!$A:$A,'_Sys|Line_Map'!$C:$C,"MISSING",0)</f>
        <v/>
      </c>
      <c r="J100" s="4562">
        <f>XLOOKUP(B100,'_Sys|Line_Map'!$A:$A,'_Sys|Line_Map'!$D:$D,1,0)</f>
        <v/>
      </c>
      <c r="K100" s="4562">
        <f>IF(D100="","",D100*J100)</f>
        <v/>
      </c>
      <c r="L100" s="4562">
        <f>XLOOKUP(B100,'_Sys|Line_Map'!$A:$A,'_Sys|Line_Map'!$B:$B,"MISSING",0)</f>
        <v/>
      </c>
    </row>
    <row r="101">
      <c r="A101" s="4561" t="n"/>
      <c r="B101" s="4561" t="n"/>
      <c r="C101" s="4561" t="n"/>
      <c r="D101" s="4561" t="n"/>
      <c r="E101" s="4561" t="n"/>
      <c r="F101" s="4561" t="n"/>
      <c r="G101" s="4561" t="n"/>
      <c r="H101" s="4561" t="n"/>
      <c r="I101" s="4562">
        <f>XLOOKUP(B101,'_Sys|Line_Map'!$A:$A,'_Sys|Line_Map'!$C:$C,"MISSING",0)</f>
        <v/>
      </c>
      <c r="J101" s="4562">
        <f>XLOOKUP(B101,'_Sys|Line_Map'!$A:$A,'_Sys|Line_Map'!$D:$D,1,0)</f>
        <v/>
      </c>
      <c r="K101" s="4562">
        <f>IF(D101="","",D101*J101)</f>
        <v/>
      </c>
      <c r="L101" s="4562">
        <f>XLOOKUP(B101,'_Sys|Line_Map'!$A:$A,'_Sys|Line_Map'!$B:$B,"MISSING",0)</f>
        <v/>
      </c>
    </row>
    <row r="102">
      <c r="A102" s="4561" t="n"/>
      <c r="B102" s="4561" t="n"/>
      <c r="C102" s="4561" t="n"/>
      <c r="D102" s="4561" t="n"/>
      <c r="E102" s="4561" t="n"/>
      <c r="F102" s="4561" t="n"/>
      <c r="G102" s="4561" t="n"/>
      <c r="H102" s="4561" t="n"/>
      <c r="I102" s="4562">
        <f>XLOOKUP(B102,'_Sys|Line_Map'!$A:$A,'_Sys|Line_Map'!$C:$C,"MISSING",0)</f>
        <v/>
      </c>
      <c r="J102" s="4562">
        <f>XLOOKUP(B102,'_Sys|Line_Map'!$A:$A,'_Sys|Line_Map'!$D:$D,1,0)</f>
        <v/>
      </c>
      <c r="K102" s="4562">
        <f>IF(D102="","",D102*J102)</f>
        <v/>
      </c>
      <c r="L102" s="4562">
        <f>XLOOKUP(B102,'_Sys|Line_Map'!$A:$A,'_Sys|Line_Map'!$B:$B,"MISSING",0)</f>
        <v/>
      </c>
    </row>
    <row r="103">
      <c r="A103" s="4561" t="n"/>
      <c r="B103" s="4561" t="n"/>
      <c r="C103" s="4561" t="n"/>
      <c r="D103" s="4561" t="n"/>
      <c r="E103" s="4561" t="n"/>
      <c r="F103" s="4561" t="n"/>
      <c r="G103" s="4561" t="n"/>
      <c r="H103" s="4561" t="n"/>
      <c r="I103" s="4562">
        <f>XLOOKUP(B103,'_Sys|Line_Map'!$A:$A,'_Sys|Line_Map'!$C:$C,"MISSING",0)</f>
        <v/>
      </c>
      <c r="J103" s="4562">
        <f>XLOOKUP(B103,'_Sys|Line_Map'!$A:$A,'_Sys|Line_Map'!$D:$D,1,0)</f>
        <v/>
      </c>
      <c r="K103" s="4562">
        <f>IF(D103="","",D103*J103)</f>
        <v/>
      </c>
      <c r="L103" s="4562">
        <f>XLOOKUP(B103,'_Sys|Line_Map'!$A:$A,'_Sys|Line_Map'!$B:$B,"MISSING",0)</f>
        <v/>
      </c>
    </row>
    <row r="104">
      <c r="A104" s="4561" t="n"/>
      <c r="B104" s="4561" t="n"/>
      <c r="C104" s="4561" t="n"/>
      <c r="D104" s="4561" t="n"/>
      <c r="E104" s="4561" t="n"/>
      <c r="F104" s="4561" t="n"/>
      <c r="G104" s="4561" t="n"/>
      <c r="H104" s="4561" t="n"/>
      <c r="I104" s="4562">
        <f>XLOOKUP(B104,'_Sys|Line_Map'!$A:$A,'_Sys|Line_Map'!$C:$C,"MISSING",0)</f>
        <v/>
      </c>
      <c r="J104" s="4562">
        <f>XLOOKUP(B104,'_Sys|Line_Map'!$A:$A,'_Sys|Line_Map'!$D:$D,1,0)</f>
        <v/>
      </c>
      <c r="K104" s="4562">
        <f>IF(D104="","",D104*J104)</f>
        <v/>
      </c>
      <c r="L104" s="4562">
        <f>XLOOKUP(B104,'_Sys|Line_Map'!$A:$A,'_Sys|Line_Map'!$B:$B,"MISSING",0)</f>
        <v/>
      </c>
    </row>
    <row r="105">
      <c r="A105" s="4561" t="n"/>
      <c r="B105" s="4561" t="n"/>
      <c r="C105" s="4561" t="n"/>
      <c r="D105" s="4561" t="n"/>
      <c r="E105" s="4561" t="n"/>
      <c r="F105" s="4561" t="n"/>
      <c r="G105" s="4561" t="n"/>
      <c r="H105" s="4561" t="n"/>
      <c r="I105" s="4562">
        <f>XLOOKUP(B105,'_Sys|Line_Map'!$A:$A,'_Sys|Line_Map'!$C:$C,"MISSING",0)</f>
        <v/>
      </c>
      <c r="J105" s="4562">
        <f>XLOOKUP(B105,'_Sys|Line_Map'!$A:$A,'_Sys|Line_Map'!$D:$D,1,0)</f>
        <v/>
      </c>
      <c r="K105" s="4562">
        <f>IF(D105="","",D105*J105)</f>
        <v/>
      </c>
      <c r="L105" s="4562">
        <f>XLOOKUP(B105,'_Sys|Line_Map'!$A:$A,'_Sys|Line_Map'!$B:$B,"MISSING",0)</f>
        <v/>
      </c>
    </row>
    <row r="106">
      <c r="A106" s="4561" t="n"/>
      <c r="B106" s="4561" t="n"/>
      <c r="C106" s="4561" t="n"/>
      <c r="D106" s="4561" t="n"/>
      <c r="E106" s="4561" t="n"/>
      <c r="F106" s="4561" t="n"/>
      <c r="G106" s="4561" t="n"/>
      <c r="H106" s="4561" t="n"/>
      <c r="I106" s="4562">
        <f>XLOOKUP(B106,'_Sys|Line_Map'!$A:$A,'_Sys|Line_Map'!$C:$C,"MISSING",0)</f>
        <v/>
      </c>
      <c r="J106" s="4562">
        <f>XLOOKUP(B106,'_Sys|Line_Map'!$A:$A,'_Sys|Line_Map'!$D:$D,1,0)</f>
        <v/>
      </c>
      <c r="K106" s="4562">
        <f>IF(D106="","",D106*J106)</f>
        <v/>
      </c>
      <c r="L106" s="4562">
        <f>XLOOKUP(B106,'_Sys|Line_Map'!$A:$A,'_Sys|Line_Map'!$B:$B,"MISSING",0)</f>
        <v/>
      </c>
    </row>
    <row r="107">
      <c r="A107" s="4561" t="n"/>
      <c r="B107" s="4561" t="n"/>
      <c r="C107" s="4561" t="n"/>
      <c r="D107" s="4561" t="n"/>
      <c r="E107" s="4561" t="n"/>
      <c r="F107" s="4561" t="n"/>
      <c r="G107" s="4561" t="n"/>
      <c r="H107" s="4561" t="n"/>
      <c r="I107" s="4562">
        <f>XLOOKUP(B107,'_Sys|Line_Map'!$A:$A,'_Sys|Line_Map'!$C:$C,"MISSING",0)</f>
        <v/>
      </c>
      <c r="J107" s="4562">
        <f>XLOOKUP(B107,'_Sys|Line_Map'!$A:$A,'_Sys|Line_Map'!$D:$D,1,0)</f>
        <v/>
      </c>
      <c r="K107" s="4562">
        <f>IF(D107="","",D107*J107)</f>
        <v/>
      </c>
      <c r="L107" s="4562">
        <f>XLOOKUP(B107,'_Sys|Line_Map'!$A:$A,'_Sys|Line_Map'!$B:$B,"MISSING",0)</f>
        <v/>
      </c>
    </row>
    <row r="108">
      <c r="A108" s="4561" t="n"/>
      <c r="B108" s="4561" t="n"/>
      <c r="C108" s="4561" t="n"/>
      <c r="D108" s="4561" t="n"/>
      <c r="E108" s="4561" t="n"/>
      <c r="F108" s="4561" t="n"/>
      <c r="G108" s="4561" t="n"/>
      <c r="H108" s="4561" t="n"/>
      <c r="I108" s="4562">
        <f>XLOOKUP(B108,'_Sys|Line_Map'!$A:$A,'_Sys|Line_Map'!$C:$C,"MISSING",0)</f>
        <v/>
      </c>
      <c r="J108" s="4562">
        <f>XLOOKUP(B108,'_Sys|Line_Map'!$A:$A,'_Sys|Line_Map'!$D:$D,1,0)</f>
        <v/>
      </c>
      <c r="K108" s="4562">
        <f>IF(D108="","",D108*J108)</f>
        <v/>
      </c>
      <c r="L108" s="4562">
        <f>XLOOKUP(B108,'_Sys|Line_Map'!$A:$A,'_Sys|Line_Map'!$B:$B,"MISSING",0)</f>
        <v/>
      </c>
    </row>
    <row r="109">
      <c r="A109" s="4561" t="n"/>
      <c r="B109" s="4561" t="n"/>
      <c r="C109" s="4561" t="n"/>
      <c r="D109" s="4561" t="n"/>
      <c r="E109" s="4561" t="n"/>
      <c r="F109" s="4561" t="n"/>
      <c r="G109" s="4561" t="n"/>
      <c r="H109" s="4561" t="n"/>
      <c r="I109" s="4562">
        <f>XLOOKUP(B109,'_Sys|Line_Map'!$A:$A,'_Sys|Line_Map'!$C:$C,"MISSING",0)</f>
        <v/>
      </c>
      <c r="J109" s="4562">
        <f>XLOOKUP(B109,'_Sys|Line_Map'!$A:$A,'_Sys|Line_Map'!$D:$D,1,0)</f>
        <v/>
      </c>
      <c r="K109" s="4562">
        <f>IF(D109="","",D109*J109)</f>
        <v/>
      </c>
      <c r="L109" s="4562">
        <f>XLOOKUP(B109,'_Sys|Line_Map'!$A:$A,'_Sys|Line_Map'!$B:$B,"MISSING",0)</f>
        <v/>
      </c>
    </row>
    <row r="110">
      <c r="A110" s="4561" t="n"/>
      <c r="B110" s="4561" t="n"/>
      <c r="C110" s="4561" t="n"/>
      <c r="D110" s="4561" t="n"/>
      <c r="E110" s="4561" t="n"/>
      <c r="F110" s="4561" t="n"/>
      <c r="G110" s="4561" t="n"/>
      <c r="H110" s="4561" t="n"/>
      <c r="I110" s="4562">
        <f>XLOOKUP(B110,'_Sys|Line_Map'!$A:$A,'_Sys|Line_Map'!$C:$C,"MISSING",0)</f>
        <v/>
      </c>
      <c r="J110" s="4562">
        <f>XLOOKUP(B110,'_Sys|Line_Map'!$A:$A,'_Sys|Line_Map'!$D:$D,1,0)</f>
        <v/>
      </c>
      <c r="K110" s="4562">
        <f>IF(D110="","",D110*J110)</f>
        <v/>
      </c>
      <c r="L110" s="4562">
        <f>XLOOKUP(B110,'_Sys|Line_Map'!$A:$A,'_Sys|Line_Map'!$B:$B,"MISSING",0)</f>
        <v/>
      </c>
    </row>
    <row r="111">
      <c r="A111" s="4561" t="n"/>
      <c r="B111" s="4561" t="n"/>
      <c r="C111" s="4561" t="n"/>
      <c r="D111" s="4561" t="n"/>
      <c r="E111" s="4561" t="n"/>
      <c r="F111" s="4561" t="n"/>
      <c r="G111" s="4561" t="n"/>
      <c r="H111" s="4561" t="n"/>
      <c r="I111" s="4562">
        <f>XLOOKUP(B111,'_Sys|Line_Map'!$A:$A,'_Sys|Line_Map'!$C:$C,"MISSING",0)</f>
        <v/>
      </c>
      <c r="J111" s="4562">
        <f>XLOOKUP(B111,'_Sys|Line_Map'!$A:$A,'_Sys|Line_Map'!$D:$D,1,0)</f>
        <v/>
      </c>
      <c r="K111" s="4562">
        <f>IF(D111="","",D111*J111)</f>
        <v/>
      </c>
      <c r="L111" s="4562">
        <f>XLOOKUP(B111,'_Sys|Line_Map'!$A:$A,'_Sys|Line_Map'!$B:$B,"MISSING",0)</f>
        <v/>
      </c>
    </row>
    <row r="112">
      <c r="A112" s="4561" t="n"/>
      <c r="B112" s="4561" t="n"/>
      <c r="C112" s="4561" t="n"/>
      <c r="D112" s="4561" t="n"/>
      <c r="E112" s="4561" t="n"/>
      <c r="F112" s="4561" t="n"/>
      <c r="G112" s="4561" t="n"/>
      <c r="H112" s="4561" t="n"/>
      <c r="I112" s="4562">
        <f>XLOOKUP(B112,'_Sys|Line_Map'!$A:$A,'_Sys|Line_Map'!$C:$C,"MISSING",0)</f>
        <v/>
      </c>
      <c r="J112" s="4562">
        <f>XLOOKUP(B112,'_Sys|Line_Map'!$A:$A,'_Sys|Line_Map'!$D:$D,1,0)</f>
        <v/>
      </c>
      <c r="K112" s="4562">
        <f>IF(D112="","",D112*J112)</f>
        <v/>
      </c>
      <c r="L112" s="4562">
        <f>XLOOKUP(B112,'_Sys|Line_Map'!$A:$A,'_Sys|Line_Map'!$B:$B,"MISSING",0)</f>
        <v/>
      </c>
    </row>
    <row r="113">
      <c r="A113" s="4561" t="n"/>
      <c r="B113" s="4561" t="n"/>
      <c r="C113" s="4561" t="n"/>
      <c r="D113" s="4561" t="n"/>
      <c r="E113" s="4561" t="n"/>
      <c r="F113" s="4561" t="n"/>
      <c r="G113" s="4561" t="n"/>
      <c r="H113" s="4561" t="n"/>
      <c r="I113" s="4562">
        <f>XLOOKUP(B113,'_Sys|Line_Map'!$A:$A,'_Sys|Line_Map'!$C:$C,"MISSING",0)</f>
        <v/>
      </c>
      <c r="J113" s="4562">
        <f>XLOOKUP(B113,'_Sys|Line_Map'!$A:$A,'_Sys|Line_Map'!$D:$D,1,0)</f>
        <v/>
      </c>
      <c r="K113" s="4562">
        <f>IF(D113="","",D113*J113)</f>
        <v/>
      </c>
      <c r="L113" s="4562">
        <f>XLOOKUP(B113,'_Sys|Line_Map'!$A:$A,'_Sys|Line_Map'!$B:$B,"MISSING",0)</f>
        <v/>
      </c>
    </row>
    <row r="114">
      <c r="A114" s="4561" t="n"/>
      <c r="B114" s="4561" t="n"/>
      <c r="C114" s="4561" t="n"/>
      <c r="D114" s="4561" t="n"/>
      <c r="E114" s="4561" t="n"/>
      <c r="F114" s="4561" t="n"/>
      <c r="G114" s="4561" t="n"/>
      <c r="H114" s="4561" t="n"/>
      <c r="I114" s="4562">
        <f>XLOOKUP(B114,'_Sys|Line_Map'!$A:$A,'_Sys|Line_Map'!$C:$C,"MISSING",0)</f>
        <v/>
      </c>
      <c r="J114" s="4562">
        <f>XLOOKUP(B114,'_Sys|Line_Map'!$A:$A,'_Sys|Line_Map'!$D:$D,1,0)</f>
        <v/>
      </c>
      <c r="K114" s="4562">
        <f>IF(D114="","",D114*J114)</f>
        <v/>
      </c>
      <c r="L114" s="4562">
        <f>XLOOKUP(B114,'_Sys|Line_Map'!$A:$A,'_Sys|Line_Map'!$B:$B,"MISSING",0)</f>
        <v/>
      </c>
    </row>
    <row r="115">
      <c r="A115" s="4561" t="n"/>
      <c r="B115" s="4561" t="n"/>
      <c r="C115" s="4561" t="n"/>
      <c r="D115" s="4561" t="n"/>
      <c r="E115" s="4561" t="n"/>
      <c r="F115" s="4561" t="n"/>
      <c r="G115" s="4561" t="n"/>
      <c r="H115" s="4561" t="n"/>
      <c r="I115" s="4562">
        <f>XLOOKUP(B115,'_Sys|Line_Map'!$A:$A,'_Sys|Line_Map'!$C:$C,"MISSING",0)</f>
        <v/>
      </c>
      <c r="J115" s="4562">
        <f>XLOOKUP(B115,'_Sys|Line_Map'!$A:$A,'_Sys|Line_Map'!$D:$D,1,0)</f>
        <v/>
      </c>
      <c r="K115" s="4562">
        <f>IF(D115="","",D115*J115)</f>
        <v/>
      </c>
      <c r="L115" s="4562">
        <f>XLOOKUP(B115,'_Sys|Line_Map'!$A:$A,'_Sys|Line_Map'!$B:$B,"MISSING",0)</f>
        <v/>
      </c>
    </row>
    <row r="116">
      <c r="A116" s="4561" t="n"/>
      <c r="B116" s="4561" t="n"/>
      <c r="C116" s="4561" t="n"/>
      <c r="D116" s="4561" t="n"/>
      <c r="E116" s="4561" t="n"/>
      <c r="F116" s="4561" t="n"/>
      <c r="G116" s="4561" t="n"/>
      <c r="H116" s="4561" t="n"/>
      <c r="I116" s="4562">
        <f>XLOOKUP(B116,'_Sys|Line_Map'!$A:$A,'_Sys|Line_Map'!$C:$C,"MISSING",0)</f>
        <v/>
      </c>
      <c r="J116" s="4562">
        <f>XLOOKUP(B116,'_Sys|Line_Map'!$A:$A,'_Sys|Line_Map'!$D:$D,1,0)</f>
        <v/>
      </c>
      <c r="K116" s="4562">
        <f>IF(D116="","",D116*J116)</f>
        <v/>
      </c>
      <c r="L116" s="4562">
        <f>XLOOKUP(B116,'_Sys|Line_Map'!$A:$A,'_Sys|Line_Map'!$B:$B,"MISSING",0)</f>
        <v/>
      </c>
    </row>
    <row r="117">
      <c r="A117" s="4561" t="n"/>
      <c r="B117" s="4561" t="n"/>
      <c r="C117" s="4561" t="n"/>
      <c r="D117" s="4561" t="n"/>
      <c r="E117" s="4561" t="n"/>
      <c r="F117" s="4561" t="n"/>
      <c r="G117" s="4561" t="n"/>
      <c r="H117" s="4561" t="n"/>
      <c r="I117" s="4562">
        <f>XLOOKUP(B117,'_Sys|Line_Map'!$A:$A,'_Sys|Line_Map'!$C:$C,"MISSING",0)</f>
        <v/>
      </c>
      <c r="J117" s="4562">
        <f>XLOOKUP(B117,'_Sys|Line_Map'!$A:$A,'_Sys|Line_Map'!$D:$D,1,0)</f>
        <v/>
      </c>
      <c r="K117" s="4562">
        <f>IF(D117="","",D117*J117)</f>
        <v/>
      </c>
      <c r="L117" s="4562">
        <f>XLOOKUP(B117,'_Sys|Line_Map'!$A:$A,'_Sys|Line_Map'!$B:$B,"MISSING",0)</f>
        <v/>
      </c>
    </row>
    <row r="118">
      <c r="A118" s="4561" t="n"/>
      <c r="B118" s="4561" t="n"/>
      <c r="C118" s="4561" t="n"/>
      <c r="D118" s="4561" t="n"/>
      <c r="E118" s="4561" t="n"/>
      <c r="F118" s="4561" t="n"/>
      <c r="G118" s="4561" t="n"/>
      <c r="H118" s="4561" t="n"/>
      <c r="I118" s="4562">
        <f>XLOOKUP(B118,'_Sys|Line_Map'!$A:$A,'_Sys|Line_Map'!$C:$C,"MISSING",0)</f>
        <v/>
      </c>
      <c r="J118" s="4562">
        <f>XLOOKUP(B118,'_Sys|Line_Map'!$A:$A,'_Sys|Line_Map'!$D:$D,1,0)</f>
        <v/>
      </c>
      <c r="K118" s="4562">
        <f>IF(D118="","",D118*J118)</f>
        <v/>
      </c>
      <c r="L118" s="4562">
        <f>XLOOKUP(B118,'_Sys|Line_Map'!$A:$A,'_Sys|Line_Map'!$B:$B,"MISSING",0)</f>
        <v/>
      </c>
    </row>
    <row r="119">
      <c r="A119" s="4561" t="n"/>
      <c r="B119" s="4561" t="n"/>
      <c r="C119" s="4561" t="n"/>
      <c r="D119" s="4561" t="n"/>
      <c r="E119" s="4561" t="n"/>
      <c r="F119" s="4561" t="n"/>
      <c r="G119" s="4561" t="n"/>
      <c r="H119" s="4561" t="n"/>
      <c r="I119" s="4562">
        <f>XLOOKUP(B119,'_Sys|Line_Map'!$A:$A,'_Sys|Line_Map'!$C:$C,"MISSING",0)</f>
        <v/>
      </c>
      <c r="J119" s="4562">
        <f>XLOOKUP(B119,'_Sys|Line_Map'!$A:$A,'_Sys|Line_Map'!$D:$D,1,0)</f>
        <v/>
      </c>
      <c r="K119" s="4562">
        <f>IF(D119="","",D119*J119)</f>
        <v/>
      </c>
      <c r="L119" s="4562">
        <f>XLOOKUP(B119,'_Sys|Line_Map'!$A:$A,'_Sys|Line_Map'!$B:$B,"MISSING",0)</f>
        <v/>
      </c>
    </row>
    <row r="120">
      <c r="A120" s="4561" t="n"/>
      <c r="B120" s="4561" t="n"/>
      <c r="C120" s="4561" t="n"/>
      <c r="D120" s="4561" t="n"/>
      <c r="E120" s="4561" t="n"/>
      <c r="F120" s="4561" t="n"/>
      <c r="G120" s="4561" t="n"/>
      <c r="H120" s="4561" t="n"/>
      <c r="I120" s="4562">
        <f>XLOOKUP(B120,'_Sys|Line_Map'!$A:$A,'_Sys|Line_Map'!$C:$C,"MISSING",0)</f>
        <v/>
      </c>
      <c r="J120" s="4562">
        <f>XLOOKUP(B120,'_Sys|Line_Map'!$A:$A,'_Sys|Line_Map'!$D:$D,1,0)</f>
        <v/>
      </c>
      <c r="K120" s="4562">
        <f>IF(D120="","",D120*J120)</f>
        <v/>
      </c>
      <c r="L120" s="4562">
        <f>XLOOKUP(B120,'_Sys|Line_Map'!$A:$A,'_Sys|Line_Map'!$B:$B,"MISSING",0)</f>
        <v/>
      </c>
    </row>
    <row r="121">
      <c r="A121" s="4561" t="n"/>
      <c r="B121" s="4561" t="n"/>
      <c r="C121" s="4561" t="n"/>
      <c r="D121" s="4561" t="n"/>
      <c r="E121" s="4561" t="n"/>
      <c r="F121" s="4561" t="n"/>
      <c r="G121" s="4561" t="n"/>
      <c r="H121" s="4561" t="n"/>
      <c r="I121" s="4562">
        <f>XLOOKUP(B121,'_Sys|Line_Map'!$A:$A,'_Sys|Line_Map'!$C:$C,"MISSING",0)</f>
        <v/>
      </c>
      <c r="J121" s="4562">
        <f>XLOOKUP(B121,'_Sys|Line_Map'!$A:$A,'_Sys|Line_Map'!$D:$D,1,0)</f>
        <v/>
      </c>
      <c r="K121" s="4562">
        <f>IF(D121="","",D121*J121)</f>
        <v/>
      </c>
      <c r="L121" s="4562">
        <f>XLOOKUP(B121,'_Sys|Line_Map'!$A:$A,'_Sys|Line_Map'!$B:$B,"MISSING",0)</f>
        <v/>
      </c>
    </row>
    <row r="122">
      <c r="A122" s="4561" t="n"/>
      <c r="B122" s="4561" t="n"/>
      <c r="C122" s="4561" t="n"/>
      <c r="D122" s="4561" t="n"/>
      <c r="E122" s="4561" t="n"/>
      <c r="F122" s="4561" t="n"/>
      <c r="G122" s="4561" t="n"/>
      <c r="H122" s="4561" t="n"/>
      <c r="I122" s="4562">
        <f>XLOOKUP(B122,'_Sys|Line_Map'!$A:$A,'_Sys|Line_Map'!$C:$C,"MISSING",0)</f>
        <v/>
      </c>
      <c r="J122" s="4562">
        <f>XLOOKUP(B122,'_Sys|Line_Map'!$A:$A,'_Sys|Line_Map'!$D:$D,1,0)</f>
        <v/>
      </c>
      <c r="K122" s="4562">
        <f>IF(D122="","",D122*J122)</f>
        <v/>
      </c>
      <c r="L122" s="4562">
        <f>XLOOKUP(B122,'_Sys|Line_Map'!$A:$A,'_Sys|Line_Map'!$B:$B,"MISSING",0)</f>
        <v/>
      </c>
    </row>
    <row r="123">
      <c r="A123" s="4561" t="n"/>
      <c r="B123" s="4561" t="n"/>
      <c r="C123" s="4561" t="n"/>
      <c r="D123" s="4561" t="n"/>
      <c r="E123" s="4561" t="n"/>
      <c r="F123" s="4561" t="n"/>
      <c r="G123" s="4561" t="n"/>
      <c r="H123" s="4561" t="n"/>
      <c r="I123" s="4562">
        <f>XLOOKUP(B123,'_Sys|Line_Map'!$A:$A,'_Sys|Line_Map'!$C:$C,"MISSING",0)</f>
        <v/>
      </c>
      <c r="J123" s="4562">
        <f>XLOOKUP(B123,'_Sys|Line_Map'!$A:$A,'_Sys|Line_Map'!$D:$D,1,0)</f>
        <v/>
      </c>
      <c r="K123" s="4562">
        <f>IF(D123="","",D123*J123)</f>
        <v/>
      </c>
      <c r="L123" s="4562">
        <f>XLOOKUP(B123,'_Sys|Line_Map'!$A:$A,'_Sys|Line_Map'!$B:$B,"MISSING",0)</f>
        <v/>
      </c>
    </row>
    <row r="124">
      <c r="A124" s="4561" t="n"/>
      <c r="B124" s="4561" t="n"/>
      <c r="C124" s="4561" t="n"/>
      <c r="D124" s="4561" t="n"/>
      <c r="E124" s="4561" t="n"/>
      <c r="F124" s="4561" t="n"/>
      <c r="G124" s="4561" t="n"/>
      <c r="H124" s="4561" t="n"/>
      <c r="I124" s="4562">
        <f>XLOOKUP(B124,'_Sys|Line_Map'!$A:$A,'_Sys|Line_Map'!$C:$C,"MISSING",0)</f>
        <v/>
      </c>
      <c r="J124" s="4562">
        <f>XLOOKUP(B124,'_Sys|Line_Map'!$A:$A,'_Sys|Line_Map'!$D:$D,1,0)</f>
        <v/>
      </c>
      <c r="K124" s="4562">
        <f>IF(D124="","",D124*J124)</f>
        <v/>
      </c>
      <c r="L124" s="4562">
        <f>XLOOKUP(B124,'_Sys|Line_Map'!$A:$A,'_Sys|Line_Map'!$B:$B,"MISSING",0)</f>
        <v/>
      </c>
    </row>
    <row r="125">
      <c r="A125" s="4561" t="n"/>
      <c r="B125" s="4561" t="n"/>
      <c r="C125" s="4561" t="n"/>
      <c r="D125" s="4561" t="n"/>
      <c r="E125" s="4561" t="n"/>
      <c r="F125" s="4561" t="n"/>
      <c r="G125" s="4561" t="n"/>
      <c r="H125" s="4561" t="n"/>
      <c r="I125" s="4562">
        <f>XLOOKUP(B125,'_Sys|Line_Map'!$A:$A,'_Sys|Line_Map'!$C:$C,"MISSING",0)</f>
        <v/>
      </c>
      <c r="J125" s="4562">
        <f>XLOOKUP(B125,'_Sys|Line_Map'!$A:$A,'_Sys|Line_Map'!$D:$D,1,0)</f>
        <v/>
      </c>
      <c r="K125" s="4562">
        <f>IF(D125="","",D125*J125)</f>
        <v/>
      </c>
      <c r="L125" s="4562">
        <f>XLOOKUP(B125,'_Sys|Line_Map'!$A:$A,'_Sys|Line_Map'!$B:$B,"MISSING",0)</f>
        <v/>
      </c>
    </row>
    <row r="126">
      <c r="A126" s="4561" t="n"/>
      <c r="B126" s="4561" t="n"/>
      <c r="C126" s="4561" t="n"/>
      <c r="D126" s="4561" t="n"/>
      <c r="E126" s="4561" t="n"/>
      <c r="F126" s="4561" t="n"/>
      <c r="G126" s="4561" t="n"/>
      <c r="H126" s="4561" t="n"/>
      <c r="I126" s="4562">
        <f>XLOOKUP(B126,'_Sys|Line_Map'!$A:$A,'_Sys|Line_Map'!$C:$C,"MISSING",0)</f>
        <v/>
      </c>
      <c r="J126" s="4562">
        <f>XLOOKUP(B126,'_Sys|Line_Map'!$A:$A,'_Sys|Line_Map'!$D:$D,1,0)</f>
        <v/>
      </c>
      <c r="K126" s="4562">
        <f>IF(D126="","",D126*J126)</f>
        <v/>
      </c>
      <c r="L126" s="4562">
        <f>XLOOKUP(B126,'_Sys|Line_Map'!$A:$A,'_Sys|Line_Map'!$B:$B,"MISSING",0)</f>
        <v/>
      </c>
    </row>
    <row r="127">
      <c r="A127" s="4561" t="n"/>
      <c r="B127" s="4561" t="n"/>
      <c r="C127" s="4561" t="n"/>
      <c r="D127" s="4561" t="n"/>
      <c r="E127" s="4561" t="n"/>
      <c r="F127" s="4561" t="n"/>
      <c r="G127" s="4561" t="n"/>
      <c r="H127" s="4561" t="n"/>
      <c r="I127" s="4562">
        <f>XLOOKUP(B127,'_Sys|Line_Map'!$A:$A,'_Sys|Line_Map'!$C:$C,"MISSING",0)</f>
        <v/>
      </c>
      <c r="J127" s="4562">
        <f>XLOOKUP(B127,'_Sys|Line_Map'!$A:$A,'_Sys|Line_Map'!$D:$D,1,0)</f>
        <v/>
      </c>
      <c r="K127" s="4562">
        <f>IF(D127="","",D127*J127)</f>
        <v/>
      </c>
      <c r="L127" s="4562">
        <f>XLOOKUP(B127,'_Sys|Line_Map'!$A:$A,'_Sys|Line_Map'!$B:$B,"MISSING",0)</f>
        <v/>
      </c>
    </row>
    <row r="128">
      <c r="A128" s="4561" t="n"/>
      <c r="B128" s="4561" t="n"/>
      <c r="C128" s="4561" t="n"/>
      <c r="D128" s="4561" t="n"/>
      <c r="E128" s="4561" t="n"/>
      <c r="F128" s="4561" t="n"/>
      <c r="G128" s="4561" t="n"/>
      <c r="H128" s="4561" t="n"/>
      <c r="I128" s="4562">
        <f>XLOOKUP(B128,'_Sys|Line_Map'!$A:$A,'_Sys|Line_Map'!$C:$C,"MISSING",0)</f>
        <v/>
      </c>
      <c r="J128" s="4562">
        <f>XLOOKUP(B128,'_Sys|Line_Map'!$A:$A,'_Sys|Line_Map'!$D:$D,1,0)</f>
        <v/>
      </c>
      <c r="K128" s="4562">
        <f>IF(D128="","",D128*J128)</f>
        <v/>
      </c>
      <c r="L128" s="4562">
        <f>XLOOKUP(B128,'_Sys|Line_Map'!$A:$A,'_Sys|Line_Map'!$B:$B,"MISSING",0)</f>
        <v/>
      </c>
    </row>
    <row r="129">
      <c r="A129" s="4561" t="n"/>
      <c r="B129" s="4561" t="n"/>
      <c r="C129" s="4561" t="n"/>
      <c r="D129" s="4561" t="n"/>
      <c r="E129" s="4561" t="n"/>
      <c r="F129" s="4561" t="n"/>
      <c r="G129" s="4561" t="n"/>
      <c r="H129" s="4561" t="n"/>
      <c r="I129" s="4562">
        <f>XLOOKUP(B129,'_Sys|Line_Map'!$A:$A,'_Sys|Line_Map'!$C:$C,"MISSING",0)</f>
        <v/>
      </c>
      <c r="J129" s="4562">
        <f>XLOOKUP(B129,'_Sys|Line_Map'!$A:$A,'_Sys|Line_Map'!$D:$D,1,0)</f>
        <v/>
      </c>
      <c r="K129" s="4562">
        <f>IF(D129="","",D129*J129)</f>
        <v/>
      </c>
      <c r="L129" s="4562">
        <f>XLOOKUP(B129,'_Sys|Line_Map'!$A:$A,'_Sys|Line_Map'!$B:$B,"MISSING",0)</f>
        <v/>
      </c>
    </row>
    <row r="130">
      <c r="A130" s="4561" t="n"/>
      <c r="B130" s="4561" t="n"/>
      <c r="C130" s="4561" t="n"/>
      <c r="D130" s="4561" t="n"/>
      <c r="E130" s="4561" t="n"/>
      <c r="F130" s="4561" t="n"/>
      <c r="G130" s="4561" t="n"/>
      <c r="H130" s="4561" t="n"/>
      <c r="I130" s="4562">
        <f>XLOOKUP(B130,'_Sys|Line_Map'!$A:$A,'_Sys|Line_Map'!$C:$C,"MISSING",0)</f>
        <v/>
      </c>
      <c r="J130" s="4562">
        <f>XLOOKUP(B130,'_Sys|Line_Map'!$A:$A,'_Sys|Line_Map'!$D:$D,1,0)</f>
        <v/>
      </c>
      <c r="K130" s="4562">
        <f>IF(D130="","",D130*J130)</f>
        <v/>
      </c>
      <c r="L130" s="4562">
        <f>XLOOKUP(B130,'_Sys|Line_Map'!$A:$A,'_Sys|Line_Map'!$B:$B,"MISSING",0)</f>
        <v/>
      </c>
    </row>
    <row r="131">
      <c r="A131" s="4561" t="n"/>
      <c r="B131" s="4561" t="n"/>
      <c r="C131" s="4561" t="n"/>
      <c r="D131" s="4561" t="n"/>
      <c r="E131" s="4561" t="n"/>
      <c r="F131" s="4561" t="n"/>
      <c r="G131" s="4561" t="n"/>
      <c r="H131" s="4561" t="n"/>
      <c r="I131" s="4562">
        <f>XLOOKUP(B131,'_Sys|Line_Map'!$A:$A,'_Sys|Line_Map'!$C:$C,"MISSING",0)</f>
        <v/>
      </c>
      <c r="J131" s="4562">
        <f>XLOOKUP(B131,'_Sys|Line_Map'!$A:$A,'_Sys|Line_Map'!$D:$D,1,0)</f>
        <v/>
      </c>
      <c r="K131" s="4562">
        <f>IF(D131="","",D131*J131)</f>
        <v/>
      </c>
      <c r="L131" s="4562">
        <f>XLOOKUP(B131,'_Sys|Line_Map'!$A:$A,'_Sys|Line_Map'!$B:$B,"MISSING",0)</f>
        <v/>
      </c>
    </row>
    <row r="132">
      <c r="A132" s="4561" t="n"/>
      <c r="B132" s="4561" t="n"/>
      <c r="C132" s="4561" t="n"/>
      <c r="D132" s="4561" t="n"/>
      <c r="E132" s="4561" t="n"/>
      <c r="F132" s="4561" t="n"/>
      <c r="G132" s="4561" t="n"/>
      <c r="H132" s="4561" t="n"/>
      <c r="I132" s="4562">
        <f>XLOOKUP(B132,'_Sys|Line_Map'!$A:$A,'_Sys|Line_Map'!$C:$C,"MISSING",0)</f>
        <v/>
      </c>
      <c r="J132" s="4562">
        <f>XLOOKUP(B132,'_Sys|Line_Map'!$A:$A,'_Sys|Line_Map'!$D:$D,1,0)</f>
        <v/>
      </c>
      <c r="K132" s="4562">
        <f>IF(D132="","",D132*J132)</f>
        <v/>
      </c>
      <c r="L132" s="4562">
        <f>XLOOKUP(B132,'_Sys|Line_Map'!$A:$A,'_Sys|Line_Map'!$B:$B,"MISSING",0)</f>
        <v/>
      </c>
    </row>
    <row r="133">
      <c r="A133" s="4561" t="n"/>
      <c r="B133" s="4561" t="n"/>
      <c r="C133" s="4561" t="n"/>
      <c r="D133" s="4561" t="n"/>
      <c r="E133" s="4561" t="n"/>
      <c r="F133" s="4561" t="n"/>
      <c r="G133" s="4561" t="n"/>
      <c r="H133" s="4561" t="n"/>
      <c r="I133" s="4562">
        <f>XLOOKUP(B133,'_Sys|Line_Map'!$A:$A,'_Sys|Line_Map'!$C:$C,"MISSING",0)</f>
        <v/>
      </c>
      <c r="J133" s="4562">
        <f>XLOOKUP(B133,'_Sys|Line_Map'!$A:$A,'_Sys|Line_Map'!$D:$D,1,0)</f>
        <v/>
      </c>
      <c r="K133" s="4562">
        <f>IF(D133="","",D133*J133)</f>
        <v/>
      </c>
      <c r="L133" s="4562">
        <f>XLOOKUP(B133,'_Sys|Line_Map'!$A:$A,'_Sys|Line_Map'!$B:$B,"MISSING",0)</f>
        <v/>
      </c>
    </row>
    <row r="134">
      <c r="A134" s="4561" t="n"/>
      <c r="B134" s="4561" t="n"/>
      <c r="C134" s="4561" t="n"/>
      <c r="D134" s="4561" t="n"/>
      <c r="E134" s="4561" t="n"/>
      <c r="F134" s="4561" t="n"/>
      <c r="G134" s="4561" t="n"/>
      <c r="H134" s="4561" t="n"/>
      <c r="I134" s="4562">
        <f>XLOOKUP(B134,'_Sys|Line_Map'!$A:$A,'_Sys|Line_Map'!$C:$C,"MISSING",0)</f>
        <v/>
      </c>
      <c r="J134" s="4562">
        <f>XLOOKUP(B134,'_Sys|Line_Map'!$A:$A,'_Sys|Line_Map'!$D:$D,1,0)</f>
        <v/>
      </c>
      <c r="K134" s="4562">
        <f>IF(D134="","",D134*J134)</f>
        <v/>
      </c>
      <c r="L134" s="4562">
        <f>XLOOKUP(B134,'_Sys|Line_Map'!$A:$A,'_Sys|Line_Map'!$B:$B,"MISSING",0)</f>
        <v/>
      </c>
    </row>
    <row r="135">
      <c r="A135" s="4561" t="n"/>
      <c r="B135" s="4561" t="n"/>
      <c r="C135" s="4561" t="n"/>
      <c r="D135" s="4561" t="n"/>
      <c r="E135" s="4561" t="n"/>
      <c r="F135" s="4561" t="n"/>
      <c r="G135" s="4561" t="n"/>
      <c r="H135" s="4561" t="n"/>
      <c r="I135" s="4562">
        <f>XLOOKUP(B135,'_Sys|Line_Map'!$A:$A,'_Sys|Line_Map'!$C:$C,"MISSING",0)</f>
        <v/>
      </c>
      <c r="J135" s="4562">
        <f>XLOOKUP(B135,'_Sys|Line_Map'!$A:$A,'_Sys|Line_Map'!$D:$D,1,0)</f>
        <v/>
      </c>
      <c r="K135" s="4562">
        <f>IF(D135="","",D135*J135)</f>
        <v/>
      </c>
      <c r="L135" s="4562">
        <f>XLOOKUP(B135,'_Sys|Line_Map'!$A:$A,'_Sys|Line_Map'!$B:$B,"MISSING",0)</f>
        <v/>
      </c>
    </row>
    <row r="136">
      <c r="A136" s="4561" t="n"/>
      <c r="B136" s="4561" t="n"/>
      <c r="C136" s="4561" t="n"/>
      <c r="D136" s="4561" t="n"/>
      <c r="E136" s="4561" t="n"/>
      <c r="F136" s="4561" t="n"/>
      <c r="G136" s="4561" t="n"/>
      <c r="H136" s="4561" t="n"/>
      <c r="I136" s="4562">
        <f>XLOOKUP(B136,'_Sys|Line_Map'!$A:$A,'_Sys|Line_Map'!$C:$C,"MISSING",0)</f>
        <v/>
      </c>
      <c r="J136" s="4562">
        <f>XLOOKUP(B136,'_Sys|Line_Map'!$A:$A,'_Sys|Line_Map'!$D:$D,1,0)</f>
        <v/>
      </c>
      <c r="K136" s="4562">
        <f>IF(D136="","",D136*J136)</f>
        <v/>
      </c>
      <c r="L136" s="4562">
        <f>XLOOKUP(B136,'_Sys|Line_Map'!$A:$A,'_Sys|Line_Map'!$B:$B,"MISSING",0)</f>
        <v/>
      </c>
    </row>
    <row r="137">
      <c r="A137" s="4561" t="n"/>
      <c r="B137" s="4561" t="n"/>
      <c r="C137" s="4561" t="n"/>
      <c r="D137" s="4561" t="n"/>
      <c r="E137" s="4561" t="n"/>
      <c r="F137" s="4561" t="n"/>
      <c r="G137" s="4561" t="n"/>
      <c r="H137" s="4561" t="n"/>
      <c r="I137" s="4562">
        <f>XLOOKUP(B137,'_Sys|Line_Map'!$A:$A,'_Sys|Line_Map'!$C:$C,"MISSING",0)</f>
        <v/>
      </c>
      <c r="J137" s="4562">
        <f>XLOOKUP(B137,'_Sys|Line_Map'!$A:$A,'_Sys|Line_Map'!$D:$D,1,0)</f>
        <v/>
      </c>
      <c r="K137" s="4562">
        <f>IF(D137="","",D137*J137)</f>
        <v/>
      </c>
      <c r="L137" s="4562">
        <f>XLOOKUP(B137,'_Sys|Line_Map'!$A:$A,'_Sys|Line_Map'!$B:$B,"MISSING",0)</f>
        <v/>
      </c>
    </row>
    <row r="138">
      <c r="A138" s="4561" t="n"/>
      <c r="B138" s="4561" t="n"/>
      <c r="C138" s="4561" t="n"/>
      <c r="D138" s="4561" t="n"/>
      <c r="E138" s="4561" t="n"/>
      <c r="F138" s="4561" t="n"/>
      <c r="G138" s="4561" t="n"/>
      <c r="H138" s="4561" t="n"/>
      <c r="I138" s="4562">
        <f>XLOOKUP(B138,'_Sys|Line_Map'!$A:$A,'_Sys|Line_Map'!$C:$C,"MISSING",0)</f>
        <v/>
      </c>
      <c r="J138" s="4562">
        <f>XLOOKUP(B138,'_Sys|Line_Map'!$A:$A,'_Sys|Line_Map'!$D:$D,1,0)</f>
        <v/>
      </c>
      <c r="K138" s="4562">
        <f>IF(D138="","",D138*J138)</f>
        <v/>
      </c>
      <c r="L138" s="4562">
        <f>XLOOKUP(B138,'_Sys|Line_Map'!$A:$A,'_Sys|Line_Map'!$B:$B,"MISSING",0)</f>
        <v/>
      </c>
    </row>
    <row r="139">
      <c r="A139" s="4561" t="n"/>
      <c r="B139" s="4561" t="n"/>
      <c r="C139" s="4561" t="n"/>
      <c r="D139" s="4561" t="n"/>
      <c r="E139" s="4561" t="n"/>
      <c r="F139" s="4561" t="n"/>
      <c r="G139" s="4561" t="n"/>
      <c r="H139" s="4561" t="n"/>
      <c r="I139" s="4562">
        <f>XLOOKUP(B139,'_Sys|Line_Map'!$A:$A,'_Sys|Line_Map'!$C:$C,"MISSING",0)</f>
        <v/>
      </c>
      <c r="J139" s="4562">
        <f>XLOOKUP(B139,'_Sys|Line_Map'!$A:$A,'_Sys|Line_Map'!$D:$D,1,0)</f>
        <v/>
      </c>
      <c r="K139" s="4562">
        <f>IF(D139="","",D139*J139)</f>
        <v/>
      </c>
      <c r="L139" s="4562">
        <f>XLOOKUP(B139,'_Sys|Line_Map'!$A:$A,'_Sys|Line_Map'!$B:$B,"MISSING",0)</f>
        <v/>
      </c>
    </row>
    <row r="140">
      <c r="A140" s="4561" t="n"/>
      <c r="B140" s="4561" t="n"/>
      <c r="C140" s="4561" t="n"/>
      <c r="D140" s="4561" t="n"/>
      <c r="E140" s="4561" t="n"/>
      <c r="F140" s="4561" t="n"/>
      <c r="G140" s="4561" t="n"/>
      <c r="H140" s="4561" t="n"/>
      <c r="I140" s="4562">
        <f>XLOOKUP(B140,'_Sys|Line_Map'!$A:$A,'_Sys|Line_Map'!$C:$C,"MISSING",0)</f>
        <v/>
      </c>
      <c r="J140" s="4562">
        <f>XLOOKUP(B140,'_Sys|Line_Map'!$A:$A,'_Sys|Line_Map'!$D:$D,1,0)</f>
        <v/>
      </c>
      <c r="K140" s="4562">
        <f>IF(D140="","",D140*J140)</f>
        <v/>
      </c>
      <c r="L140" s="4562">
        <f>XLOOKUP(B140,'_Sys|Line_Map'!$A:$A,'_Sys|Line_Map'!$B:$B,"MISSING",0)</f>
        <v/>
      </c>
    </row>
    <row r="141">
      <c r="A141" s="4561" t="n"/>
      <c r="B141" s="4561" t="n"/>
      <c r="C141" s="4561" t="n"/>
      <c r="D141" s="4561" t="n"/>
      <c r="E141" s="4561" t="n"/>
      <c r="F141" s="4561" t="n"/>
      <c r="G141" s="4561" t="n"/>
      <c r="H141" s="4561" t="n"/>
      <c r="I141" s="4562">
        <f>XLOOKUP(B141,'_Sys|Line_Map'!$A:$A,'_Sys|Line_Map'!$C:$C,"MISSING",0)</f>
        <v/>
      </c>
      <c r="J141" s="4562">
        <f>XLOOKUP(B141,'_Sys|Line_Map'!$A:$A,'_Sys|Line_Map'!$D:$D,1,0)</f>
        <v/>
      </c>
      <c r="K141" s="4562">
        <f>IF(D141="","",D141*J141)</f>
        <v/>
      </c>
      <c r="L141" s="4562">
        <f>XLOOKUP(B141,'_Sys|Line_Map'!$A:$A,'_Sys|Line_Map'!$B:$B,"MISSING",0)</f>
        <v/>
      </c>
    </row>
    <row r="142">
      <c r="A142" s="4561" t="n"/>
      <c r="B142" s="4561" t="n"/>
      <c r="C142" s="4561" t="n"/>
      <c r="D142" s="4561" t="n"/>
      <c r="E142" s="4561" t="n"/>
      <c r="F142" s="4561" t="n"/>
      <c r="G142" s="4561" t="n"/>
      <c r="H142" s="4561" t="n"/>
      <c r="I142" s="4562">
        <f>XLOOKUP(B142,'_Sys|Line_Map'!$A:$A,'_Sys|Line_Map'!$C:$C,"MISSING",0)</f>
        <v/>
      </c>
      <c r="J142" s="4562">
        <f>XLOOKUP(B142,'_Sys|Line_Map'!$A:$A,'_Sys|Line_Map'!$D:$D,1,0)</f>
        <v/>
      </c>
      <c r="K142" s="4562">
        <f>IF(D142="","",D142*J142)</f>
        <v/>
      </c>
      <c r="L142" s="4562">
        <f>XLOOKUP(B142,'_Sys|Line_Map'!$A:$A,'_Sys|Line_Map'!$B:$B,"MISSING",0)</f>
        <v/>
      </c>
    </row>
    <row r="143">
      <c r="A143" s="4561" t="n"/>
      <c r="B143" s="4561" t="n"/>
      <c r="C143" s="4561" t="n"/>
      <c r="D143" s="4561" t="n"/>
      <c r="E143" s="4561" t="n"/>
      <c r="F143" s="4561" t="n"/>
      <c r="G143" s="4561" t="n"/>
      <c r="H143" s="4561" t="n"/>
      <c r="I143" s="4562">
        <f>XLOOKUP(B143,'_Sys|Line_Map'!$A:$A,'_Sys|Line_Map'!$C:$C,"MISSING",0)</f>
        <v/>
      </c>
      <c r="J143" s="4562">
        <f>XLOOKUP(B143,'_Sys|Line_Map'!$A:$A,'_Sys|Line_Map'!$D:$D,1,0)</f>
        <v/>
      </c>
      <c r="K143" s="4562">
        <f>IF(D143="","",D143*J143)</f>
        <v/>
      </c>
      <c r="L143" s="4562">
        <f>XLOOKUP(B143,'_Sys|Line_Map'!$A:$A,'_Sys|Line_Map'!$B:$B,"MISSING",0)</f>
        <v/>
      </c>
    </row>
    <row r="144">
      <c r="A144" s="4561" t="n"/>
      <c r="B144" s="4561" t="n"/>
      <c r="C144" s="4561" t="n"/>
      <c r="D144" s="4561" t="n"/>
      <c r="E144" s="4561" t="n"/>
      <c r="F144" s="4561" t="n"/>
      <c r="G144" s="4561" t="n"/>
      <c r="H144" s="4561" t="n"/>
      <c r="I144" s="4562">
        <f>XLOOKUP(B144,'_Sys|Line_Map'!$A:$A,'_Sys|Line_Map'!$C:$C,"MISSING",0)</f>
        <v/>
      </c>
      <c r="J144" s="4562">
        <f>XLOOKUP(B144,'_Sys|Line_Map'!$A:$A,'_Sys|Line_Map'!$D:$D,1,0)</f>
        <v/>
      </c>
      <c r="K144" s="4562">
        <f>IF(D144="","",D144*J144)</f>
        <v/>
      </c>
      <c r="L144" s="4562">
        <f>XLOOKUP(B144,'_Sys|Line_Map'!$A:$A,'_Sys|Line_Map'!$B:$B,"MISSING",0)</f>
        <v/>
      </c>
    </row>
    <row r="145">
      <c r="A145" s="4561" t="n"/>
      <c r="B145" s="4561" t="n"/>
      <c r="C145" s="4561" t="n"/>
      <c r="D145" s="4561" t="n"/>
      <c r="E145" s="4561" t="n"/>
      <c r="F145" s="4561" t="n"/>
      <c r="G145" s="4561" t="n"/>
      <c r="H145" s="4561" t="n"/>
      <c r="I145" s="4562">
        <f>XLOOKUP(B145,'_Sys|Line_Map'!$A:$A,'_Sys|Line_Map'!$C:$C,"MISSING",0)</f>
        <v/>
      </c>
      <c r="J145" s="4562">
        <f>XLOOKUP(B145,'_Sys|Line_Map'!$A:$A,'_Sys|Line_Map'!$D:$D,1,0)</f>
        <v/>
      </c>
      <c r="K145" s="4562">
        <f>IF(D145="","",D145*J145)</f>
        <v/>
      </c>
      <c r="L145" s="4562">
        <f>XLOOKUP(B145,'_Sys|Line_Map'!$A:$A,'_Sys|Line_Map'!$B:$B,"MISSING",0)</f>
        <v/>
      </c>
    </row>
    <row r="146">
      <c r="A146" s="4561" t="n"/>
      <c r="B146" s="4561" t="n"/>
      <c r="C146" s="4561" t="n"/>
      <c r="D146" s="4561" t="n"/>
      <c r="E146" s="4561" t="n"/>
      <c r="F146" s="4561" t="n"/>
      <c r="G146" s="4561" t="n"/>
      <c r="H146" s="4561" t="n"/>
      <c r="I146" s="4562">
        <f>XLOOKUP(B146,'_Sys|Line_Map'!$A:$A,'_Sys|Line_Map'!$C:$C,"MISSING",0)</f>
        <v/>
      </c>
      <c r="J146" s="4562">
        <f>XLOOKUP(B146,'_Sys|Line_Map'!$A:$A,'_Sys|Line_Map'!$D:$D,1,0)</f>
        <v/>
      </c>
      <c r="K146" s="4562">
        <f>IF(D146="","",D146*J146)</f>
        <v/>
      </c>
      <c r="L146" s="4562">
        <f>XLOOKUP(B146,'_Sys|Line_Map'!$A:$A,'_Sys|Line_Map'!$B:$B,"MISSING",0)</f>
        <v/>
      </c>
    </row>
    <row r="147">
      <c r="A147" s="4561" t="n"/>
      <c r="B147" s="4561" t="n"/>
      <c r="C147" s="4561" t="n"/>
      <c r="D147" s="4561" t="n"/>
      <c r="E147" s="4561" t="n"/>
      <c r="F147" s="4561" t="n"/>
      <c r="G147" s="4561" t="n"/>
      <c r="H147" s="4561" t="n"/>
      <c r="I147" s="4562">
        <f>XLOOKUP(B147,'_Sys|Line_Map'!$A:$A,'_Sys|Line_Map'!$C:$C,"MISSING",0)</f>
        <v/>
      </c>
      <c r="J147" s="4562">
        <f>XLOOKUP(B147,'_Sys|Line_Map'!$A:$A,'_Sys|Line_Map'!$D:$D,1,0)</f>
        <v/>
      </c>
      <c r="K147" s="4562">
        <f>IF(D147="","",D147*J147)</f>
        <v/>
      </c>
      <c r="L147" s="4562">
        <f>XLOOKUP(B147,'_Sys|Line_Map'!$A:$A,'_Sys|Line_Map'!$B:$B,"MISSING",0)</f>
        <v/>
      </c>
    </row>
    <row r="148">
      <c r="A148" s="4561" t="n"/>
      <c r="B148" s="4561" t="n"/>
      <c r="C148" s="4561" t="n"/>
      <c r="D148" s="4561" t="n"/>
      <c r="E148" s="4561" t="n"/>
      <c r="F148" s="4561" t="n"/>
      <c r="G148" s="4561" t="n"/>
      <c r="H148" s="4561" t="n"/>
      <c r="I148" s="4562">
        <f>XLOOKUP(B148,'_Sys|Line_Map'!$A:$A,'_Sys|Line_Map'!$C:$C,"MISSING",0)</f>
        <v/>
      </c>
      <c r="J148" s="4562">
        <f>XLOOKUP(B148,'_Sys|Line_Map'!$A:$A,'_Sys|Line_Map'!$D:$D,1,0)</f>
        <v/>
      </c>
      <c r="K148" s="4562">
        <f>IF(D148="","",D148*J148)</f>
        <v/>
      </c>
      <c r="L148" s="4562">
        <f>XLOOKUP(B148,'_Sys|Line_Map'!$A:$A,'_Sys|Line_Map'!$B:$B,"MISSING",0)</f>
        <v/>
      </c>
    </row>
    <row r="149">
      <c r="A149" s="4561" t="n"/>
      <c r="B149" s="4561" t="n"/>
      <c r="C149" s="4561" t="n"/>
      <c r="D149" s="4561" t="n"/>
      <c r="E149" s="4561" t="n"/>
      <c r="F149" s="4561" t="n"/>
      <c r="G149" s="4561" t="n"/>
      <c r="H149" s="4561" t="n"/>
      <c r="I149" s="4562">
        <f>XLOOKUP(B149,'_Sys|Line_Map'!$A:$A,'_Sys|Line_Map'!$C:$C,"MISSING",0)</f>
        <v/>
      </c>
      <c r="J149" s="4562">
        <f>XLOOKUP(B149,'_Sys|Line_Map'!$A:$A,'_Sys|Line_Map'!$D:$D,1,0)</f>
        <v/>
      </c>
      <c r="K149" s="4562">
        <f>IF(D149="","",D149*J149)</f>
        <v/>
      </c>
      <c r="L149" s="4562">
        <f>XLOOKUP(B149,'_Sys|Line_Map'!$A:$A,'_Sys|Line_Map'!$B:$B,"MISSING",0)</f>
        <v/>
      </c>
    </row>
    <row r="150">
      <c r="A150" s="4561" t="n"/>
      <c r="B150" s="4561" t="n"/>
      <c r="C150" s="4561" t="n"/>
      <c r="D150" s="4561" t="n"/>
      <c r="E150" s="4561" t="n"/>
      <c r="F150" s="4561" t="n"/>
      <c r="G150" s="4561" t="n"/>
      <c r="H150" s="4561" t="n"/>
      <c r="I150" s="4562">
        <f>XLOOKUP(B150,'_Sys|Line_Map'!$A:$A,'_Sys|Line_Map'!$C:$C,"MISSING",0)</f>
        <v/>
      </c>
      <c r="J150" s="4562">
        <f>XLOOKUP(B150,'_Sys|Line_Map'!$A:$A,'_Sys|Line_Map'!$D:$D,1,0)</f>
        <v/>
      </c>
      <c r="K150" s="4562">
        <f>IF(D150="","",D150*J150)</f>
        <v/>
      </c>
      <c r="L150" s="4562">
        <f>XLOOKUP(B150,'_Sys|Line_Map'!$A:$A,'_Sys|Line_Map'!$B:$B,"MISSING",0)</f>
        <v/>
      </c>
    </row>
    <row r="151">
      <c r="A151" s="4561" t="n"/>
      <c r="B151" s="4561" t="n"/>
      <c r="C151" s="4561" t="n"/>
      <c r="D151" s="4561" t="n"/>
      <c r="E151" s="4561" t="n"/>
      <c r="F151" s="4561" t="n"/>
      <c r="G151" s="4561" t="n"/>
      <c r="H151" s="4561" t="n"/>
      <c r="I151" s="4562">
        <f>XLOOKUP(B151,'_Sys|Line_Map'!$A:$A,'_Sys|Line_Map'!$C:$C,"MISSING",0)</f>
        <v/>
      </c>
      <c r="J151" s="4562">
        <f>XLOOKUP(B151,'_Sys|Line_Map'!$A:$A,'_Sys|Line_Map'!$D:$D,1,0)</f>
        <v/>
      </c>
      <c r="K151" s="4562">
        <f>IF(D151="","",D151*J151)</f>
        <v/>
      </c>
      <c r="L151" s="4562">
        <f>XLOOKUP(B151,'_Sys|Line_Map'!$A:$A,'_Sys|Line_Map'!$B:$B,"MISSING",0)</f>
        <v/>
      </c>
    </row>
    <row r="152">
      <c r="A152" s="4561" t="n"/>
      <c r="B152" s="4561" t="n"/>
      <c r="C152" s="4561" t="n"/>
      <c r="D152" s="4561" t="n"/>
      <c r="E152" s="4561" t="n"/>
      <c r="F152" s="4561" t="n"/>
      <c r="G152" s="4561" t="n"/>
      <c r="H152" s="4561" t="n"/>
      <c r="I152" s="4562">
        <f>XLOOKUP(B152,'_Sys|Line_Map'!$A:$A,'_Sys|Line_Map'!$C:$C,"MISSING",0)</f>
        <v/>
      </c>
      <c r="J152" s="4562">
        <f>XLOOKUP(B152,'_Sys|Line_Map'!$A:$A,'_Sys|Line_Map'!$D:$D,1,0)</f>
        <v/>
      </c>
      <c r="K152" s="4562">
        <f>IF(D152="","",D152*J152)</f>
        <v/>
      </c>
      <c r="L152" s="4562">
        <f>XLOOKUP(B152,'_Sys|Line_Map'!$A:$A,'_Sys|Line_Map'!$B:$B,"MISSING",0)</f>
        <v/>
      </c>
    </row>
    <row r="153">
      <c r="A153" s="4561" t="n"/>
      <c r="B153" s="4561" t="n"/>
      <c r="C153" s="4561" t="n"/>
      <c r="D153" s="4561" t="n"/>
      <c r="E153" s="4561" t="n"/>
      <c r="F153" s="4561" t="n"/>
      <c r="G153" s="4561" t="n"/>
      <c r="H153" s="4561" t="n"/>
      <c r="I153" s="4562">
        <f>XLOOKUP(B153,'_Sys|Line_Map'!$A:$A,'_Sys|Line_Map'!$C:$C,"MISSING",0)</f>
        <v/>
      </c>
      <c r="J153" s="4562">
        <f>XLOOKUP(B153,'_Sys|Line_Map'!$A:$A,'_Sys|Line_Map'!$D:$D,1,0)</f>
        <v/>
      </c>
      <c r="K153" s="4562">
        <f>IF(D153="","",D153*J153)</f>
        <v/>
      </c>
      <c r="L153" s="4562">
        <f>XLOOKUP(B153,'_Sys|Line_Map'!$A:$A,'_Sys|Line_Map'!$B:$B,"MISSING",0)</f>
        <v/>
      </c>
    </row>
    <row r="154">
      <c r="A154" s="4561" t="n"/>
      <c r="B154" s="4561" t="n"/>
      <c r="C154" s="4561" t="n"/>
      <c r="D154" s="4561" t="n"/>
      <c r="E154" s="4561" t="n"/>
      <c r="F154" s="4561" t="n"/>
      <c r="G154" s="4561" t="n"/>
      <c r="H154" s="4561" t="n"/>
      <c r="I154" s="4562">
        <f>XLOOKUP(B154,'_Sys|Line_Map'!$A:$A,'_Sys|Line_Map'!$C:$C,"MISSING",0)</f>
        <v/>
      </c>
      <c r="J154" s="4562">
        <f>XLOOKUP(B154,'_Sys|Line_Map'!$A:$A,'_Sys|Line_Map'!$D:$D,1,0)</f>
        <v/>
      </c>
      <c r="K154" s="4562">
        <f>IF(D154="","",D154*J154)</f>
        <v/>
      </c>
      <c r="L154" s="4562">
        <f>XLOOKUP(B154,'_Sys|Line_Map'!$A:$A,'_Sys|Line_Map'!$B:$B,"MISSING",0)</f>
        <v/>
      </c>
    </row>
    <row r="155">
      <c r="A155" s="4561" t="n"/>
      <c r="B155" s="4561" t="n"/>
      <c r="C155" s="4561" t="n"/>
      <c r="D155" s="4561" t="n"/>
      <c r="E155" s="4561" t="n"/>
      <c r="F155" s="4561" t="n"/>
      <c r="G155" s="4561" t="n"/>
      <c r="H155" s="4561" t="n"/>
      <c r="I155" s="4562">
        <f>XLOOKUP(B155,'_Sys|Line_Map'!$A:$A,'_Sys|Line_Map'!$C:$C,"MISSING",0)</f>
        <v/>
      </c>
      <c r="J155" s="4562">
        <f>XLOOKUP(B155,'_Sys|Line_Map'!$A:$A,'_Sys|Line_Map'!$D:$D,1,0)</f>
        <v/>
      </c>
      <c r="K155" s="4562">
        <f>IF(D155="","",D155*J155)</f>
        <v/>
      </c>
      <c r="L155" s="4562">
        <f>XLOOKUP(B155,'_Sys|Line_Map'!$A:$A,'_Sys|Line_Map'!$B:$B,"MISSING",0)</f>
        <v/>
      </c>
    </row>
    <row r="156">
      <c r="A156" s="4561" t="n"/>
      <c r="B156" s="4561" t="n"/>
      <c r="C156" s="4561" t="n"/>
      <c r="D156" s="4561" t="n"/>
      <c r="E156" s="4561" t="n"/>
      <c r="F156" s="4561" t="n"/>
      <c r="G156" s="4561" t="n"/>
      <c r="H156" s="4561" t="n"/>
      <c r="I156" s="4562">
        <f>XLOOKUP(B156,'_Sys|Line_Map'!$A:$A,'_Sys|Line_Map'!$C:$C,"MISSING",0)</f>
        <v/>
      </c>
      <c r="J156" s="4562">
        <f>XLOOKUP(B156,'_Sys|Line_Map'!$A:$A,'_Sys|Line_Map'!$D:$D,1,0)</f>
        <v/>
      </c>
      <c r="K156" s="4562">
        <f>IF(D156="","",D156*J156)</f>
        <v/>
      </c>
      <c r="L156" s="4562">
        <f>XLOOKUP(B156,'_Sys|Line_Map'!$A:$A,'_Sys|Line_Map'!$B:$B,"MISSING",0)</f>
        <v/>
      </c>
    </row>
    <row r="157">
      <c r="A157" s="4561" t="n"/>
      <c r="B157" s="4561" t="n"/>
      <c r="C157" s="4561" t="n"/>
      <c r="D157" s="4561" t="n"/>
      <c r="E157" s="4561" t="n"/>
      <c r="F157" s="4561" t="n"/>
      <c r="G157" s="4561" t="n"/>
      <c r="H157" s="4561" t="n"/>
      <c r="I157" s="4562">
        <f>XLOOKUP(B157,'_Sys|Line_Map'!$A:$A,'_Sys|Line_Map'!$C:$C,"MISSING",0)</f>
        <v/>
      </c>
      <c r="J157" s="4562">
        <f>XLOOKUP(B157,'_Sys|Line_Map'!$A:$A,'_Sys|Line_Map'!$D:$D,1,0)</f>
        <v/>
      </c>
      <c r="K157" s="4562">
        <f>IF(D157="","",D157*J157)</f>
        <v/>
      </c>
      <c r="L157" s="4562">
        <f>XLOOKUP(B157,'_Sys|Line_Map'!$A:$A,'_Sys|Line_Map'!$B:$B,"MISSING",0)</f>
        <v/>
      </c>
    </row>
    <row r="158">
      <c r="A158" s="4561" t="n"/>
      <c r="B158" s="4561" t="n"/>
      <c r="C158" s="4561" t="n"/>
      <c r="D158" s="4561" t="n"/>
      <c r="E158" s="4561" t="n"/>
      <c r="F158" s="4561" t="n"/>
      <c r="G158" s="4561" t="n"/>
      <c r="H158" s="4561" t="n"/>
      <c r="I158" s="4562">
        <f>XLOOKUP(B158,'_Sys|Line_Map'!$A:$A,'_Sys|Line_Map'!$C:$C,"MISSING",0)</f>
        <v/>
      </c>
      <c r="J158" s="4562">
        <f>XLOOKUP(B158,'_Sys|Line_Map'!$A:$A,'_Sys|Line_Map'!$D:$D,1,0)</f>
        <v/>
      </c>
      <c r="K158" s="4562">
        <f>IF(D158="","",D158*J158)</f>
        <v/>
      </c>
      <c r="L158" s="4562">
        <f>XLOOKUP(B158,'_Sys|Line_Map'!$A:$A,'_Sys|Line_Map'!$B:$B,"MISSING",0)</f>
        <v/>
      </c>
    </row>
    <row r="159">
      <c r="A159" s="4561" t="n"/>
      <c r="B159" s="4561" t="n"/>
      <c r="C159" s="4561" t="n"/>
      <c r="D159" s="4561" t="n"/>
      <c r="E159" s="4561" t="n"/>
      <c r="F159" s="4561" t="n"/>
      <c r="G159" s="4561" t="n"/>
      <c r="H159" s="4561" t="n"/>
      <c r="I159" s="4562">
        <f>XLOOKUP(B159,'_Sys|Line_Map'!$A:$A,'_Sys|Line_Map'!$C:$C,"MISSING",0)</f>
        <v/>
      </c>
      <c r="J159" s="4562">
        <f>XLOOKUP(B159,'_Sys|Line_Map'!$A:$A,'_Sys|Line_Map'!$D:$D,1,0)</f>
        <v/>
      </c>
      <c r="K159" s="4562">
        <f>IF(D159="","",D159*J159)</f>
        <v/>
      </c>
      <c r="L159" s="4562">
        <f>XLOOKUP(B159,'_Sys|Line_Map'!$A:$A,'_Sys|Line_Map'!$B:$B,"MISSING",0)</f>
        <v/>
      </c>
    </row>
    <row r="160">
      <c r="A160" s="4561" t="n"/>
      <c r="B160" s="4561" t="n"/>
      <c r="C160" s="4561" t="n"/>
      <c r="D160" s="4561" t="n"/>
      <c r="E160" s="4561" t="n"/>
      <c r="F160" s="4561" t="n"/>
      <c r="G160" s="4561" t="n"/>
      <c r="H160" s="4561" t="n"/>
      <c r="I160" s="4562">
        <f>XLOOKUP(B160,'_Sys|Line_Map'!$A:$A,'_Sys|Line_Map'!$C:$C,"MISSING",0)</f>
        <v/>
      </c>
      <c r="J160" s="4562">
        <f>XLOOKUP(B160,'_Sys|Line_Map'!$A:$A,'_Sys|Line_Map'!$D:$D,1,0)</f>
        <v/>
      </c>
      <c r="K160" s="4562">
        <f>IF(D160="","",D160*J160)</f>
        <v/>
      </c>
      <c r="L160" s="4562">
        <f>XLOOKUP(B160,'_Sys|Line_Map'!$A:$A,'_Sys|Line_Map'!$B:$B,"MISSING",0)</f>
        <v/>
      </c>
    </row>
    <row r="161">
      <c r="A161" s="4561" t="n"/>
      <c r="B161" s="4561" t="n"/>
      <c r="C161" s="4561" t="n"/>
      <c r="D161" s="4561" t="n"/>
      <c r="E161" s="4561" t="n"/>
      <c r="F161" s="4561" t="n"/>
      <c r="G161" s="4561" t="n"/>
      <c r="H161" s="4561" t="n"/>
      <c r="I161" s="4562">
        <f>XLOOKUP(B161,'_Sys|Line_Map'!$A:$A,'_Sys|Line_Map'!$C:$C,"MISSING",0)</f>
        <v/>
      </c>
      <c r="J161" s="4562">
        <f>XLOOKUP(B161,'_Sys|Line_Map'!$A:$A,'_Sys|Line_Map'!$D:$D,1,0)</f>
        <v/>
      </c>
      <c r="K161" s="4562">
        <f>IF(D161="","",D161*J161)</f>
        <v/>
      </c>
      <c r="L161" s="4562">
        <f>XLOOKUP(B161,'_Sys|Line_Map'!$A:$A,'_Sys|Line_Map'!$B:$B,"MISSING",0)</f>
        <v/>
      </c>
    </row>
    <row r="162">
      <c r="A162" s="4561" t="n"/>
      <c r="B162" s="4561" t="n"/>
      <c r="C162" s="4561" t="n"/>
      <c r="D162" s="4561" t="n"/>
      <c r="E162" s="4561" t="n"/>
      <c r="F162" s="4561" t="n"/>
      <c r="G162" s="4561" t="n"/>
      <c r="H162" s="4561" t="n"/>
      <c r="I162" s="4562">
        <f>XLOOKUP(B162,'_Sys|Line_Map'!$A:$A,'_Sys|Line_Map'!$C:$C,"MISSING",0)</f>
        <v/>
      </c>
      <c r="J162" s="4562">
        <f>XLOOKUP(B162,'_Sys|Line_Map'!$A:$A,'_Sys|Line_Map'!$D:$D,1,0)</f>
        <v/>
      </c>
      <c r="K162" s="4562">
        <f>IF(D162="","",D162*J162)</f>
        <v/>
      </c>
      <c r="L162" s="4562">
        <f>XLOOKUP(B162,'_Sys|Line_Map'!$A:$A,'_Sys|Line_Map'!$B:$B,"MISSING",0)</f>
        <v/>
      </c>
    </row>
    <row r="163">
      <c r="A163" s="4561" t="n"/>
      <c r="B163" s="4561" t="n"/>
      <c r="C163" s="4561" t="n"/>
      <c r="D163" s="4561" t="n"/>
      <c r="E163" s="4561" t="n"/>
      <c r="F163" s="4561" t="n"/>
      <c r="G163" s="4561" t="n"/>
      <c r="H163" s="4561" t="n"/>
      <c r="I163" s="4562">
        <f>XLOOKUP(B163,'_Sys|Line_Map'!$A:$A,'_Sys|Line_Map'!$C:$C,"MISSING",0)</f>
        <v/>
      </c>
      <c r="J163" s="4562">
        <f>XLOOKUP(B163,'_Sys|Line_Map'!$A:$A,'_Sys|Line_Map'!$D:$D,1,0)</f>
        <v/>
      </c>
      <c r="K163" s="4562">
        <f>IF(D163="","",D163*J163)</f>
        <v/>
      </c>
      <c r="L163" s="4562">
        <f>XLOOKUP(B163,'_Sys|Line_Map'!$A:$A,'_Sys|Line_Map'!$B:$B,"MISSING",0)</f>
        <v/>
      </c>
    </row>
    <row r="164">
      <c r="A164" s="4561" t="n"/>
      <c r="B164" s="4561" t="n"/>
      <c r="C164" s="4561" t="n"/>
      <c r="D164" s="4561" t="n"/>
      <c r="E164" s="4561" t="n"/>
      <c r="F164" s="4561" t="n"/>
      <c r="G164" s="4561" t="n"/>
      <c r="H164" s="4561" t="n"/>
      <c r="I164" s="4562">
        <f>XLOOKUP(B164,'_Sys|Line_Map'!$A:$A,'_Sys|Line_Map'!$C:$C,"MISSING",0)</f>
        <v/>
      </c>
      <c r="J164" s="4562">
        <f>XLOOKUP(B164,'_Sys|Line_Map'!$A:$A,'_Sys|Line_Map'!$D:$D,1,0)</f>
        <v/>
      </c>
      <c r="K164" s="4562">
        <f>IF(D164="","",D164*J164)</f>
        <v/>
      </c>
      <c r="L164" s="4562">
        <f>XLOOKUP(B164,'_Sys|Line_Map'!$A:$A,'_Sys|Line_Map'!$B:$B,"MISSING",0)</f>
        <v/>
      </c>
    </row>
    <row r="165">
      <c r="A165" s="4561" t="n"/>
      <c r="B165" s="4561" t="n"/>
      <c r="C165" s="4561" t="n"/>
      <c r="D165" s="4561" t="n"/>
      <c r="E165" s="4561" t="n"/>
      <c r="F165" s="4561" t="n"/>
      <c r="G165" s="4561" t="n"/>
      <c r="H165" s="4561" t="n"/>
      <c r="I165" s="4562">
        <f>XLOOKUP(B165,'_Sys|Line_Map'!$A:$A,'_Sys|Line_Map'!$C:$C,"MISSING",0)</f>
        <v/>
      </c>
      <c r="J165" s="4562">
        <f>XLOOKUP(B165,'_Sys|Line_Map'!$A:$A,'_Sys|Line_Map'!$D:$D,1,0)</f>
        <v/>
      </c>
      <c r="K165" s="4562">
        <f>IF(D165="","",D165*J165)</f>
        <v/>
      </c>
      <c r="L165" s="4562">
        <f>XLOOKUP(B165,'_Sys|Line_Map'!$A:$A,'_Sys|Line_Map'!$B:$B,"MISSING",0)</f>
        <v/>
      </c>
    </row>
    <row r="166">
      <c r="A166" s="4561" t="n"/>
      <c r="B166" s="4561" t="n"/>
      <c r="C166" s="4561" t="n"/>
      <c r="D166" s="4561" t="n"/>
      <c r="E166" s="4561" t="n"/>
      <c r="F166" s="4561" t="n"/>
      <c r="G166" s="4561" t="n"/>
      <c r="H166" s="4561" t="n"/>
      <c r="I166" s="4562">
        <f>XLOOKUP(B166,'_Sys|Line_Map'!$A:$A,'_Sys|Line_Map'!$C:$C,"MISSING",0)</f>
        <v/>
      </c>
      <c r="J166" s="4562">
        <f>XLOOKUP(B166,'_Sys|Line_Map'!$A:$A,'_Sys|Line_Map'!$D:$D,1,0)</f>
        <v/>
      </c>
      <c r="K166" s="4562">
        <f>IF(D166="","",D166*J166)</f>
        <v/>
      </c>
      <c r="L166" s="4562">
        <f>XLOOKUP(B166,'_Sys|Line_Map'!$A:$A,'_Sys|Line_Map'!$B:$B,"MISSING",0)</f>
        <v/>
      </c>
    </row>
    <row r="167">
      <c r="A167" s="4561" t="n"/>
      <c r="B167" s="4561" t="n"/>
      <c r="C167" s="4561" t="n"/>
      <c r="D167" s="4561" t="n"/>
      <c r="E167" s="4561" t="n"/>
      <c r="F167" s="4561" t="n"/>
      <c r="G167" s="4561" t="n"/>
      <c r="H167" s="4561" t="n"/>
      <c r="I167" s="4562">
        <f>XLOOKUP(B167,'_Sys|Line_Map'!$A:$A,'_Sys|Line_Map'!$C:$C,"MISSING",0)</f>
        <v/>
      </c>
      <c r="J167" s="4562">
        <f>XLOOKUP(B167,'_Sys|Line_Map'!$A:$A,'_Sys|Line_Map'!$D:$D,1,0)</f>
        <v/>
      </c>
      <c r="K167" s="4562">
        <f>IF(D167="","",D167*J167)</f>
        <v/>
      </c>
      <c r="L167" s="4562">
        <f>XLOOKUP(B167,'_Sys|Line_Map'!$A:$A,'_Sys|Line_Map'!$B:$B,"MISSING",0)</f>
        <v/>
      </c>
    </row>
    <row r="168">
      <c r="A168" s="4561" t="n"/>
      <c r="B168" s="4561" t="n"/>
      <c r="C168" s="4561" t="n"/>
      <c r="D168" s="4561" t="n"/>
      <c r="E168" s="4561" t="n"/>
      <c r="F168" s="4561" t="n"/>
      <c r="G168" s="4561" t="n"/>
      <c r="H168" s="4561" t="n"/>
      <c r="I168" s="4562">
        <f>XLOOKUP(B168,'_Sys|Line_Map'!$A:$A,'_Sys|Line_Map'!$C:$C,"MISSING",0)</f>
        <v/>
      </c>
      <c r="J168" s="4562">
        <f>XLOOKUP(B168,'_Sys|Line_Map'!$A:$A,'_Sys|Line_Map'!$D:$D,1,0)</f>
        <v/>
      </c>
      <c r="K168" s="4562">
        <f>IF(D168="","",D168*J168)</f>
        <v/>
      </c>
      <c r="L168" s="4562">
        <f>XLOOKUP(B168,'_Sys|Line_Map'!$A:$A,'_Sys|Line_Map'!$B:$B,"MISSING",0)</f>
        <v/>
      </c>
    </row>
    <row r="169">
      <c r="A169" s="4561" t="n"/>
      <c r="B169" s="4561" t="n"/>
      <c r="C169" s="4561" t="n"/>
      <c r="D169" s="4561" t="n"/>
      <c r="E169" s="4561" t="n"/>
      <c r="F169" s="4561" t="n"/>
      <c r="G169" s="4561" t="n"/>
      <c r="H169" s="4561" t="n"/>
      <c r="I169" s="4562">
        <f>XLOOKUP(B169,'_Sys|Line_Map'!$A:$A,'_Sys|Line_Map'!$C:$C,"MISSING",0)</f>
        <v/>
      </c>
      <c r="J169" s="4562">
        <f>XLOOKUP(B169,'_Sys|Line_Map'!$A:$A,'_Sys|Line_Map'!$D:$D,1,0)</f>
        <v/>
      </c>
      <c r="K169" s="4562">
        <f>IF(D169="","",D169*J169)</f>
        <v/>
      </c>
      <c r="L169" s="4562">
        <f>XLOOKUP(B169,'_Sys|Line_Map'!$A:$A,'_Sys|Line_Map'!$B:$B,"MISSING",0)</f>
        <v/>
      </c>
    </row>
    <row r="170">
      <c r="A170" s="4561" t="n"/>
      <c r="B170" s="4561" t="n"/>
      <c r="C170" s="4561" t="n"/>
      <c r="D170" s="4561" t="n"/>
      <c r="E170" s="4561" t="n"/>
      <c r="F170" s="4561" t="n"/>
      <c r="G170" s="4561" t="n"/>
      <c r="H170" s="4561" t="n"/>
      <c r="I170" s="4562">
        <f>XLOOKUP(B170,'_Sys|Line_Map'!$A:$A,'_Sys|Line_Map'!$C:$C,"MISSING",0)</f>
        <v/>
      </c>
      <c r="J170" s="4562">
        <f>XLOOKUP(B170,'_Sys|Line_Map'!$A:$A,'_Sys|Line_Map'!$D:$D,1,0)</f>
        <v/>
      </c>
      <c r="K170" s="4562">
        <f>IF(D170="","",D170*J170)</f>
        <v/>
      </c>
      <c r="L170" s="4562">
        <f>XLOOKUP(B170,'_Sys|Line_Map'!$A:$A,'_Sys|Line_Map'!$B:$B,"MISSING",0)</f>
        <v/>
      </c>
    </row>
    <row r="171">
      <c r="A171" s="4561" t="n"/>
      <c r="B171" s="4561" t="n"/>
      <c r="C171" s="4561" t="n"/>
      <c r="D171" s="4561" t="n"/>
      <c r="E171" s="4561" t="n"/>
      <c r="F171" s="4561" t="n"/>
      <c r="G171" s="4561" t="n"/>
      <c r="H171" s="4561" t="n"/>
      <c r="I171" s="4562">
        <f>XLOOKUP(B171,'_Sys|Line_Map'!$A:$A,'_Sys|Line_Map'!$C:$C,"MISSING",0)</f>
        <v/>
      </c>
      <c r="J171" s="4562">
        <f>XLOOKUP(B171,'_Sys|Line_Map'!$A:$A,'_Sys|Line_Map'!$D:$D,1,0)</f>
        <v/>
      </c>
      <c r="K171" s="4562">
        <f>IF(D171="","",D171*J171)</f>
        <v/>
      </c>
      <c r="L171" s="4562">
        <f>XLOOKUP(B171,'_Sys|Line_Map'!$A:$A,'_Sys|Line_Map'!$B:$B,"MISSING",0)</f>
        <v/>
      </c>
    </row>
    <row r="172">
      <c r="A172" s="4561" t="n"/>
      <c r="B172" s="4561" t="n"/>
      <c r="C172" s="4561" t="n"/>
      <c r="D172" s="4561" t="n"/>
      <c r="E172" s="4561" t="n"/>
      <c r="F172" s="4561" t="n"/>
      <c r="G172" s="4561" t="n"/>
      <c r="H172" s="4561" t="n"/>
      <c r="I172" s="4562">
        <f>XLOOKUP(B172,'_Sys|Line_Map'!$A:$A,'_Sys|Line_Map'!$C:$C,"MISSING",0)</f>
        <v/>
      </c>
      <c r="J172" s="4562">
        <f>XLOOKUP(B172,'_Sys|Line_Map'!$A:$A,'_Sys|Line_Map'!$D:$D,1,0)</f>
        <v/>
      </c>
      <c r="K172" s="4562">
        <f>IF(D172="","",D172*J172)</f>
        <v/>
      </c>
      <c r="L172" s="4562">
        <f>XLOOKUP(B172,'_Sys|Line_Map'!$A:$A,'_Sys|Line_Map'!$B:$B,"MISSING",0)</f>
        <v/>
      </c>
    </row>
    <row r="173">
      <c r="A173" s="4561" t="n"/>
      <c r="B173" s="4561" t="n"/>
      <c r="C173" s="4561" t="n"/>
      <c r="D173" s="4561" t="n"/>
      <c r="E173" s="4561" t="n"/>
      <c r="F173" s="4561" t="n"/>
      <c r="G173" s="4561" t="n"/>
      <c r="H173" s="4561" t="n"/>
      <c r="I173" s="4562">
        <f>XLOOKUP(B173,'_Sys|Line_Map'!$A:$A,'_Sys|Line_Map'!$C:$C,"MISSING",0)</f>
        <v/>
      </c>
      <c r="J173" s="4562">
        <f>XLOOKUP(B173,'_Sys|Line_Map'!$A:$A,'_Sys|Line_Map'!$D:$D,1,0)</f>
        <v/>
      </c>
      <c r="K173" s="4562">
        <f>IF(D173="","",D173*J173)</f>
        <v/>
      </c>
      <c r="L173" s="4562">
        <f>XLOOKUP(B173,'_Sys|Line_Map'!$A:$A,'_Sys|Line_Map'!$B:$B,"MISSING",0)</f>
        <v/>
      </c>
    </row>
    <row r="174">
      <c r="A174" s="4561" t="n"/>
      <c r="B174" s="4561" t="n"/>
      <c r="C174" s="4561" t="n"/>
      <c r="D174" s="4561" t="n"/>
      <c r="E174" s="4561" t="n"/>
      <c r="F174" s="4561" t="n"/>
      <c r="G174" s="4561" t="n"/>
      <c r="H174" s="4561" t="n"/>
      <c r="I174" s="4562">
        <f>XLOOKUP(B174,'_Sys|Line_Map'!$A:$A,'_Sys|Line_Map'!$C:$C,"MISSING",0)</f>
        <v/>
      </c>
      <c r="J174" s="4562">
        <f>XLOOKUP(B174,'_Sys|Line_Map'!$A:$A,'_Sys|Line_Map'!$D:$D,1,0)</f>
        <v/>
      </c>
      <c r="K174" s="4562">
        <f>IF(D174="","",D174*J174)</f>
        <v/>
      </c>
      <c r="L174" s="4562">
        <f>XLOOKUP(B174,'_Sys|Line_Map'!$A:$A,'_Sys|Line_Map'!$B:$B,"MISSING",0)</f>
        <v/>
      </c>
    </row>
    <row r="175">
      <c r="A175" s="4561" t="n"/>
      <c r="B175" s="4561" t="n"/>
      <c r="C175" s="4561" t="n"/>
      <c r="D175" s="4561" t="n"/>
      <c r="E175" s="4561" t="n"/>
      <c r="F175" s="4561" t="n"/>
      <c r="G175" s="4561" t="n"/>
      <c r="H175" s="4561" t="n"/>
      <c r="I175" s="4562">
        <f>XLOOKUP(B175,'_Sys|Line_Map'!$A:$A,'_Sys|Line_Map'!$C:$C,"MISSING",0)</f>
        <v/>
      </c>
      <c r="J175" s="4562">
        <f>XLOOKUP(B175,'_Sys|Line_Map'!$A:$A,'_Sys|Line_Map'!$D:$D,1,0)</f>
        <v/>
      </c>
      <c r="K175" s="4562">
        <f>IF(D175="","",D175*J175)</f>
        <v/>
      </c>
      <c r="L175" s="4562">
        <f>XLOOKUP(B175,'_Sys|Line_Map'!$A:$A,'_Sys|Line_Map'!$B:$B,"MISSING",0)</f>
        <v/>
      </c>
    </row>
    <row r="176">
      <c r="A176" s="4561" t="n"/>
      <c r="B176" s="4561" t="n"/>
      <c r="C176" s="4561" t="n"/>
      <c r="D176" s="4561" t="n"/>
      <c r="E176" s="4561" t="n"/>
      <c r="F176" s="4561" t="n"/>
      <c r="G176" s="4561" t="n"/>
      <c r="H176" s="4561" t="n"/>
      <c r="I176" s="4562">
        <f>XLOOKUP(B176,'_Sys|Line_Map'!$A:$A,'_Sys|Line_Map'!$C:$C,"MISSING",0)</f>
        <v/>
      </c>
      <c r="J176" s="4562">
        <f>XLOOKUP(B176,'_Sys|Line_Map'!$A:$A,'_Sys|Line_Map'!$D:$D,1,0)</f>
        <v/>
      </c>
      <c r="K176" s="4562">
        <f>IF(D176="","",D176*J176)</f>
        <v/>
      </c>
      <c r="L176" s="4562">
        <f>XLOOKUP(B176,'_Sys|Line_Map'!$A:$A,'_Sys|Line_Map'!$B:$B,"MISSING",0)</f>
        <v/>
      </c>
    </row>
    <row r="177">
      <c r="A177" s="4561" t="n"/>
      <c r="B177" s="4561" t="n"/>
      <c r="C177" s="4561" t="n"/>
      <c r="D177" s="4561" t="n"/>
      <c r="E177" s="4561" t="n"/>
      <c r="F177" s="4561" t="n"/>
      <c r="G177" s="4561" t="n"/>
      <c r="H177" s="4561" t="n"/>
      <c r="I177" s="4562">
        <f>XLOOKUP(B177,'_Sys|Line_Map'!$A:$A,'_Sys|Line_Map'!$C:$C,"MISSING",0)</f>
        <v/>
      </c>
      <c r="J177" s="4562">
        <f>XLOOKUP(B177,'_Sys|Line_Map'!$A:$A,'_Sys|Line_Map'!$D:$D,1,0)</f>
        <v/>
      </c>
      <c r="K177" s="4562">
        <f>IF(D177="","",D177*J177)</f>
        <v/>
      </c>
      <c r="L177" s="4562">
        <f>XLOOKUP(B177,'_Sys|Line_Map'!$A:$A,'_Sys|Line_Map'!$B:$B,"MISSING",0)</f>
        <v/>
      </c>
    </row>
    <row r="178">
      <c r="A178" s="4561" t="n"/>
      <c r="B178" s="4561" t="n"/>
      <c r="C178" s="4561" t="n"/>
      <c r="D178" s="4561" t="n"/>
      <c r="E178" s="4561" t="n"/>
      <c r="F178" s="4561" t="n"/>
      <c r="G178" s="4561" t="n"/>
      <c r="H178" s="4561" t="n"/>
      <c r="I178" s="4562">
        <f>XLOOKUP(B178,'_Sys|Line_Map'!$A:$A,'_Sys|Line_Map'!$C:$C,"MISSING",0)</f>
        <v/>
      </c>
      <c r="J178" s="4562">
        <f>XLOOKUP(B178,'_Sys|Line_Map'!$A:$A,'_Sys|Line_Map'!$D:$D,1,0)</f>
        <v/>
      </c>
      <c r="K178" s="4562">
        <f>IF(D178="","",D178*J178)</f>
        <v/>
      </c>
      <c r="L178" s="4562">
        <f>XLOOKUP(B178,'_Sys|Line_Map'!$A:$A,'_Sys|Line_Map'!$B:$B,"MISSING",0)</f>
        <v/>
      </c>
    </row>
    <row r="179">
      <c r="A179" s="4561" t="n"/>
      <c r="B179" s="4561" t="n"/>
      <c r="C179" s="4561" t="n"/>
      <c r="D179" s="4561" t="n"/>
      <c r="E179" s="4561" t="n"/>
      <c r="F179" s="4561" t="n"/>
      <c r="G179" s="4561" t="n"/>
      <c r="H179" s="4561" t="n"/>
      <c r="I179" s="4562">
        <f>XLOOKUP(B179,'_Sys|Line_Map'!$A:$A,'_Sys|Line_Map'!$C:$C,"MISSING",0)</f>
        <v/>
      </c>
      <c r="J179" s="4562">
        <f>XLOOKUP(B179,'_Sys|Line_Map'!$A:$A,'_Sys|Line_Map'!$D:$D,1,0)</f>
        <v/>
      </c>
      <c r="K179" s="4562">
        <f>IF(D179="","",D179*J179)</f>
        <v/>
      </c>
      <c r="L179" s="4562">
        <f>XLOOKUP(B179,'_Sys|Line_Map'!$A:$A,'_Sys|Line_Map'!$B:$B,"MISSING",0)</f>
        <v/>
      </c>
    </row>
    <row r="180">
      <c r="A180" s="4561" t="n"/>
      <c r="B180" s="4561" t="n"/>
      <c r="C180" s="4561" t="n"/>
      <c r="D180" s="4561" t="n"/>
      <c r="E180" s="4561" t="n"/>
      <c r="F180" s="4561" t="n"/>
      <c r="G180" s="4561" t="n"/>
      <c r="H180" s="4561" t="n"/>
      <c r="I180" s="4562">
        <f>XLOOKUP(B180,'_Sys|Line_Map'!$A:$A,'_Sys|Line_Map'!$C:$C,"MISSING",0)</f>
        <v/>
      </c>
      <c r="J180" s="4562">
        <f>XLOOKUP(B180,'_Sys|Line_Map'!$A:$A,'_Sys|Line_Map'!$D:$D,1,0)</f>
        <v/>
      </c>
      <c r="K180" s="4562">
        <f>IF(D180="","",D180*J180)</f>
        <v/>
      </c>
      <c r="L180" s="4562">
        <f>XLOOKUP(B180,'_Sys|Line_Map'!$A:$A,'_Sys|Line_Map'!$B:$B,"MISSING",0)</f>
        <v/>
      </c>
    </row>
    <row r="181">
      <c r="A181" s="4561" t="n"/>
      <c r="B181" s="4561" t="n"/>
      <c r="C181" s="4561" t="n"/>
      <c r="D181" s="4561" t="n"/>
      <c r="E181" s="4561" t="n"/>
      <c r="F181" s="4561" t="n"/>
      <c r="G181" s="4561" t="n"/>
      <c r="H181" s="4561" t="n"/>
      <c r="I181" s="4562">
        <f>XLOOKUP(B181,'_Sys|Line_Map'!$A:$A,'_Sys|Line_Map'!$C:$C,"MISSING",0)</f>
        <v/>
      </c>
      <c r="J181" s="4562">
        <f>XLOOKUP(B181,'_Sys|Line_Map'!$A:$A,'_Sys|Line_Map'!$D:$D,1,0)</f>
        <v/>
      </c>
      <c r="K181" s="4562">
        <f>IF(D181="","",D181*J181)</f>
        <v/>
      </c>
      <c r="L181" s="4562">
        <f>XLOOKUP(B181,'_Sys|Line_Map'!$A:$A,'_Sys|Line_Map'!$B:$B,"MISSING",0)</f>
        <v/>
      </c>
    </row>
    <row r="182">
      <c r="A182" s="4561" t="n"/>
      <c r="B182" s="4561" t="n"/>
      <c r="C182" s="4561" t="n"/>
      <c r="D182" s="4561" t="n"/>
      <c r="E182" s="4561" t="n"/>
      <c r="F182" s="4561" t="n"/>
      <c r="G182" s="4561" t="n"/>
      <c r="H182" s="4561" t="n"/>
      <c r="I182" s="4562">
        <f>XLOOKUP(B182,'_Sys|Line_Map'!$A:$A,'_Sys|Line_Map'!$C:$C,"MISSING",0)</f>
        <v/>
      </c>
      <c r="J182" s="4562">
        <f>XLOOKUP(B182,'_Sys|Line_Map'!$A:$A,'_Sys|Line_Map'!$D:$D,1,0)</f>
        <v/>
      </c>
      <c r="K182" s="4562">
        <f>IF(D182="","",D182*J182)</f>
        <v/>
      </c>
      <c r="L182" s="4562">
        <f>XLOOKUP(B182,'_Sys|Line_Map'!$A:$A,'_Sys|Line_Map'!$B:$B,"MISSING",0)</f>
        <v/>
      </c>
    </row>
    <row r="183">
      <c r="A183" s="4561" t="n"/>
      <c r="B183" s="4561" t="n"/>
      <c r="C183" s="4561" t="n"/>
      <c r="D183" s="4561" t="n"/>
      <c r="E183" s="4561" t="n"/>
      <c r="F183" s="4561" t="n"/>
      <c r="G183" s="4561" t="n"/>
      <c r="H183" s="4561" t="n"/>
      <c r="I183" s="4562">
        <f>XLOOKUP(B183,'_Sys|Line_Map'!$A:$A,'_Sys|Line_Map'!$C:$C,"MISSING",0)</f>
        <v/>
      </c>
      <c r="J183" s="4562">
        <f>XLOOKUP(B183,'_Sys|Line_Map'!$A:$A,'_Sys|Line_Map'!$D:$D,1,0)</f>
        <v/>
      </c>
      <c r="K183" s="4562">
        <f>IF(D183="","",D183*J183)</f>
        <v/>
      </c>
      <c r="L183" s="4562">
        <f>XLOOKUP(B183,'_Sys|Line_Map'!$A:$A,'_Sys|Line_Map'!$B:$B,"MISSING",0)</f>
        <v/>
      </c>
    </row>
    <row r="184">
      <c r="A184" s="4561" t="n"/>
      <c r="B184" s="4561" t="n"/>
      <c r="C184" s="4561" t="n"/>
      <c r="D184" s="4561" t="n"/>
      <c r="E184" s="4561" t="n"/>
      <c r="F184" s="4561" t="n"/>
      <c r="G184" s="4561" t="n"/>
      <c r="H184" s="4561" t="n"/>
      <c r="I184" s="4562">
        <f>XLOOKUP(B184,'_Sys|Line_Map'!$A:$A,'_Sys|Line_Map'!$C:$C,"MISSING",0)</f>
        <v/>
      </c>
      <c r="J184" s="4562">
        <f>XLOOKUP(B184,'_Sys|Line_Map'!$A:$A,'_Sys|Line_Map'!$D:$D,1,0)</f>
        <v/>
      </c>
      <c r="K184" s="4562">
        <f>IF(D184="","",D184*J184)</f>
        <v/>
      </c>
      <c r="L184" s="4562">
        <f>XLOOKUP(B184,'_Sys|Line_Map'!$A:$A,'_Sys|Line_Map'!$B:$B,"MISSING",0)</f>
        <v/>
      </c>
    </row>
    <row r="185">
      <c r="A185" s="4561" t="n"/>
      <c r="B185" s="4561" t="n"/>
      <c r="C185" s="4561" t="n"/>
      <c r="D185" s="4561" t="n"/>
      <c r="E185" s="4561" t="n"/>
      <c r="F185" s="4561" t="n"/>
      <c r="G185" s="4561" t="n"/>
      <c r="H185" s="4561" t="n"/>
      <c r="I185" s="4562">
        <f>XLOOKUP(B185,'_Sys|Line_Map'!$A:$A,'_Sys|Line_Map'!$C:$C,"MISSING",0)</f>
        <v/>
      </c>
      <c r="J185" s="4562">
        <f>XLOOKUP(B185,'_Sys|Line_Map'!$A:$A,'_Sys|Line_Map'!$D:$D,1,0)</f>
        <v/>
      </c>
      <c r="K185" s="4562">
        <f>IF(D185="","",D185*J185)</f>
        <v/>
      </c>
      <c r="L185" s="4562">
        <f>XLOOKUP(B185,'_Sys|Line_Map'!$A:$A,'_Sys|Line_Map'!$B:$B,"MISSING",0)</f>
        <v/>
      </c>
    </row>
    <row r="186">
      <c r="A186" s="4561" t="n"/>
      <c r="B186" s="4561" t="n"/>
      <c r="C186" s="4561" t="n"/>
      <c r="D186" s="4561" t="n"/>
      <c r="E186" s="4561" t="n"/>
      <c r="F186" s="4561" t="n"/>
      <c r="G186" s="4561" t="n"/>
      <c r="H186" s="4561" t="n"/>
      <c r="I186" s="4562">
        <f>XLOOKUP(B186,'_Sys|Line_Map'!$A:$A,'_Sys|Line_Map'!$C:$C,"MISSING",0)</f>
        <v/>
      </c>
      <c r="J186" s="4562">
        <f>XLOOKUP(B186,'_Sys|Line_Map'!$A:$A,'_Sys|Line_Map'!$D:$D,1,0)</f>
        <v/>
      </c>
      <c r="K186" s="4562">
        <f>IF(D186="","",D186*J186)</f>
        <v/>
      </c>
      <c r="L186" s="4562">
        <f>XLOOKUP(B186,'_Sys|Line_Map'!$A:$A,'_Sys|Line_Map'!$B:$B,"MISSING",0)</f>
        <v/>
      </c>
    </row>
    <row r="187">
      <c r="A187" s="4561" t="n"/>
      <c r="B187" s="4561" t="n"/>
      <c r="C187" s="4561" t="n"/>
      <c r="D187" s="4561" t="n"/>
      <c r="E187" s="4561" t="n"/>
      <c r="F187" s="4561" t="n"/>
      <c r="G187" s="4561" t="n"/>
      <c r="H187" s="4561" t="n"/>
      <c r="I187" s="4562">
        <f>XLOOKUP(B187,'_Sys|Line_Map'!$A:$A,'_Sys|Line_Map'!$C:$C,"MISSING",0)</f>
        <v/>
      </c>
      <c r="J187" s="4562">
        <f>XLOOKUP(B187,'_Sys|Line_Map'!$A:$A,'_Sys|Line_Map'!$D:$D,1,0)</f>
        <v/>
      </c>
      <c r="K187" s="4562">
        <f>IF(D187="","",D187*J187)</f>
        <v/>
      </c>
      <c r="L187" s="4562">
        <f>XLOOKUP(B187,'_Sys|Line_Map'!$A:$A,'_Sys|Line_Map'!$B:$B,"MISSING",0)</f>
        <v/>
      </c>
    </row>
    <row r="188">
      <c r="A188" s="4561" t="n"/>
      <c r="B188" s="4561" t="n"/>
      <c r="C188" s="4561" t="n"/>
      <c r="D188" s="4561" t="n"/>
      <c r="E188" s="4561" t="n"/>
      <c r="F188" s="4561" t="n"/>
      <c r="G188" s="4561" t="n"/>
      <c r="H188" s="4561" t="n"/>
      <c r="I188" s="4562">
        <f>XLOOKUP(B188,'_Sys|Line_Map'!$A:$A,'_Sys|Line_Map'!$C:$C,"MISSING",0)</f>
        <v/>
      </c>
      <c r="J188" s="4562">
        <f>XLOOKUP(B188,'_Sys|Line_Map'!$A:$A,'_Sys|Line_Map'!$D:$D,1,0)</f>
        <v/>
      </c>
      <c r="K188" s="4562">
        <f>IF(D188="","",D188*J188)</f>
        <v/>
      </c>
      <c r="L188" s="4562">
        <f>XLOOKUP(B188,'_Sys|Line_Map'!$A:$A,'_Sys|Line_Map'!$B:$B,"MISSING",0)</f>
        <v/>
      </c>
    </row>
    <row r="189">
      <c r="A189" s="4561" t="n"/>
      <c r="B189" s="4561" t="n"/>
      <c r="C189" s="4561" t="n"/>
      <c r="D189" s="4561" t="n"/>
      <c r="E189" s="4561" t="n"/>
      <c r="F189" s="4561" t="n"/>
      <c r="G189" s="4561" t="n"/>
      <c r="H189" s="4561" t="n"/>
      <c r="I189" s="4562">
        <f>XLOOKUP(B189,'_Sys|Line_Map'!$A:$A,'_Sys|Line_Map'!$C:$C,"MISSING",0)</f>
        <v/>
      </c>
      <c r="J189" s="4562">
        <f>XLOOKUP(B189,'_Sys|Line_Map'!$A:$A,'_Sys|Line_Map'!$D:$D,1,0)</f>
        <v/>
      </c>
      <c r="K189" s="4562">
        <f>IF(D189="","",D189*J189)</f>
        <v/>
      </c>
      <c r="L189" s="4562">
        <f>XLOOKUP(B189,'_Sys|Line_Map'!$A:$A,'_Sys|Line_Map'!$B:$B,"MISSING",0)</f>
        <v/>
      </c>
    </row>
    <row r="190">
      <c r="A190" s="4561" t="n"/>
      <c r="B190" s="4561" t="n"/>
      <c r="C190" s="4561" t="n"/>
      <c r="D190" s="4561" t="n"/>
      <c r="E190" s="4561" t="n"/>
      <c r="F190" s="4561" t="n"/>
      <c r="G190" s="4561" t="n"/>
      <c r="H190" s="4561" t="n"/>
      <c r="I190" s="4562">
        <f>XLOOKUP(B190,'_Sys|Line_Map'!$A:$A,'_Sys|Line_Map'!$C:$C,"MISSING",0)</f>
        <v/>
      </c>
      <c r="J190" s="4562">
        <f>XLOOKUP(B190,'_Sys|Line_Map'!$A:$A,'_Sys|Line_Map'!$D:$D,1,0)</f>
        <v/>
      </c>
      <c r="K190" s="4562">
        <f>IF(D190="","",D190*J190)</f>
        <v/>
      </c>
      <c r="L190" s="4562">
        <f>XLOOKUP(B190,'_Sys|Line_Map'!$A:$A,'_Sys|Line_Map'!$B:$B,"MISSING",0)</f>
        <v/>
      </c>
    </row>
    <row r="191">
      <c r="A191" s="4561" t="n"/>
      <c r="B191" s="4561" t="n"/>
      <c r="C191" s="4561" t="n"/>
      <c r="D191" s="4561" t="n"/>
      <c r="E191" s="4561" t="n"/>
      <c r="F191" s="4561" t="n"/>
      <c r="G191" s="4561" t="n"/>
      <c r="H191" s="4561" t="n"/>
      <c r="I191" s="4562">
        <f>XLOOKUP(B191,'_Sys|Line_Map'!$A:$A,'_Sys|Line_Map'!$C:$C,"MISSING",0)</f>
        <v/>
      </c>
      <c r="J191" s="4562">
        <f>XLOOKUP(B191,'_Sys|Line_Map'!$A:$A,'_Sys|Line_Map'!$D:$D,1,0)</f>
        <v/>
      </c>
      <c r="K191" s="4562">
        <f>IF(D191="","",D191*J191)</f>
        <v/>
      </c>
      <c r="L191" s="4562">
        <f>XLOOKUP(B191,'_Sys|Line_Map'!$A:$A,'_Sys|Line_Map'!$B:$B,"MISSING",0)</f>
        <v/>
      </c>
    </row>
    <row r="192">
      <c r="A192" s="4561" t="n"/>
      <c r="B192" s="4561" t="n"/>
      <c r="C192" s="4561" t="n"/>
      <c r="D192" s="4561" t="n"/>
      <c r="E192" s="4561" t="n"/>
      <c r="F192" s="4561" t="n"/>
      <c r="G192" s="4561" t="n"/>
      <c r="H192" s="4561" t="n"/>
      <c r="I192" s="4562">
        <f>XLOOKUP(B192,'_Sys|Line_Map'!$A:$A,'_Sys|Line_Map'!$C:$C,"MISSING",0)</f>
        <v/>
      </c>
      <c r="J192" s="4562">
        <f>XLOOKUP(B192,'_Sys|Line_Map'!$A:$A,'_Sys|Line_Map'!$D:$D,1,0)</f>
        <v/>
      </c>
      <c r="K192" s="4562">
        <f>IF(D192="","",D192*J192)</f>
        <v/>
      </c>
      <c r="L192" s="4562">
        <f>XLOOKUP(B192,'_Sys|Line_Map'!$A:$A,'_Sys|Line_Map'!$B:$B,"MISSING",0)</f>
        <v/>
      </c>
    </row>
    <row r="193">
      <c r="A193" s="4561" t="n"/>
      <c r="B193" s="4561" t="n"/>
      <c r="C193" s="4561" t="n"/>
      <c r="D193" s="4561" t="n"/>
      <c r="E193" s="4561" t="n"/>
      <c r="F193" s="4561" t="n"/>
      <c r="G193" s="4561" t="n"/>
      <c r="H193" s="4561" t="n"/>
      <c r="I193" s="4562">
        <f>XLOOKUP(B193,'_Sys|Line_Map'!$A:$A,'_Sys|Line_Map'!$C:$C,"MISSING",0)</f>
        <v/>
      </c>
      <c r="J193" s="4562">
        <f>XLOOKUP(B193,'_Sys|Line_Map'!$A:$A,'_Sys|Line_Map'!$D:$D,1,0)</f>
        <v/>
      </c>
      <c r="K193" s="4562">
        <f>IF(D193="","",D193*J193)</f>
        <v/>
      </c>
      <c r="L193" s="4562">
        <f>XLOOKUP(B193,'_Sys|Line_Map'!$A:$A,'_Sys|Line_Map'!$B:$B,"MISSING",0)</f>
        <v/>
      </c>
    </row>
    <row r="194">
      <c r="A194" s="4561" t="n"/>
      <c r="B194" s="4561" t="n"/>
      <c r="C194" s="4561" t="n"/>
      <c r="D194" s="4561" t="n"/>
      <c r="E194" s="4561" t="n"/>
      <c r="F194" s="4561" t="n"/>
      <c r="G194" s="4561" t="n"/>
      <c r="H194" s="4561" t="n"/>
      <c r="I194" s="4562">
        <f>XLOOKUP(B194,'_Sys|Line_Map'!$A:$A,'_Sys|Line_Map'!$C:$C,"MISSING",0)</f>
        <v/>
      </c>
      <c r="J194" s="4562">
        <f>XLOOKUP(B194,'_Sys|Line_Map'!$A:$A,'_Sys|Line_Map'!$D:$D,1,0)</f>
        <v/>
      </c>
      <c r="K194" s="4562">
        <f>IF(D194="","",D194*J194)</f>
        <v/>
      </c>
      <c r="L194" s="4562">
        <f>XLOOKUP(B194,'_Sys|Line_Map'!$A:$A,'_Sys|Line_Map'!$B:$B,"MISSING",0)</f>
        <v/>
      </c>
    </row>
    <row r="195">
      <c r="A195" s="4561" t="n"/>
      <c r="B195" s="4561" t="n"/>
      <c r="C195" s="4561" t="n"/>
      <c r="D195" s="4561" t="n"/>
      <c r="E195" s="4561" t="n"/>
      <c r="F195" s="4561" t="n"/>
      <c r="G195" s="4561" t="n"/>
      <c r="H195" s="4561" t="n"/>
      <c r="I195" s="4562">
        <f>XLOOKUP(B195,'_Sys|Line_Map'!$A:$A,'_Sys|Line_Map'!$C:$C,"MISSING",0)</f>
        <v/>
      </c>
      <c r="J195" s="4562">
        <f>XLOOKUP(B195,'_Sys|Line_Map'!$A:$A,'_Sys|Line_Map'!$D:$D,1,0)</f>
        <v/>
      </c>
      <c r="K195" s="4562">
        <f>IF(D195="","",D195*J195)</f>
        <v/>
      </c>
      <c r="L195" s="4562">
        <f>XLOOKUP(B195,'_Sys|Line_Map'!$A:$A,'_Sys|Line_Map'!$B:$B,"MISSING",0)</f>
        <v/>
      </c>
    </row>
    <row r="196">
      <c r="A196" s="4561" t="n"/>
      <c r="B196" s="4561" t="n"/>
      <c r="C196" s="4561" t="n"/>
      <c r="D196" s="4561" t="n"/>
      <c r="E196" s="4561" t="n"/>
      <c r="F196" s="4561" t="n"/>
      <c r="G196" s="4561" t="n"/>
      <c r="H196" s="4561" t="n"/>
      <c r="I196" s="4562">
        <f>XLOOKUP(B196,'_Sys|Line_Map'!$A:$A,'_Sys|Line_Map'!$C:$C,"MISSING",0)</f>
        <v/>
      </c>
      <c r="J196" s="4562">
        <f>XLOOKUP(B196,'_Sys|Line_Map'!$A:$A,'_Sys|Line_Map'!$D:$D,1,0)</f>
        <v/>
      </c>
      <c r="K196" s="4562">
        <f>IF(D196="","",D196*J196)</f>
        <v/>
      </c>
      <c r="L196" s="4562">
        <f>XLOOKUP(B196,'_Sys|Line_Map'!$A:$A,'_Sys|Line_Map'!$B:$B,"MISSING",0)</f>
        <v/>
      </c>
    </row>
    <row r="197">
      <c r="A197" s="4561" t="n"/>
      <c r="B197" s="4561" t="n"/>
      <c r="C197" s="4561" t="n"/>
      <c r="D197" s="4561" t="n"/>
      <c r="E197" s="4561" t="n"/>
      <c r="F197" s="4561" t="n"/>
      <c r="G197" s="4561" t="n"/>
      <c r="H197" s="4561" t="n"/>
      <c r="I197" s="4562">
        <f>XLOOKUP(B197,'_Sys|Line_Map'!$A:$A,'_Sys|Line_Map'!$C:$C,"MISSING",0)</f>
        <v/>
      </c>
      <c r="J197" s="4562">
        <f>XLOOKUP(B197,'_Sys|Line_Map'!$A:$A,'_Sys|Line_Map'!$D:$D,1,0)</f>
        <v/>
      </c>
      <c r="K197" s="4562">
        <f>IF(D197="","",D197*J197)</f>
        <v/>
      </c>
      <c r="L197" s="4562">
        <f>XLOOKUP(B197,'_Sys|Line_Map'!$A:$A,'_Sys|Line_Map'!$B:$B,"MISSING",0)</f>
        <v/>
      </c>
    </row>
    <row r="198">
      <c r="A198" s="4561" t="n"/>
      <c r="B198" s="4561" t="n"/>
      <c r="C198" s="4561" t="n"/>
      <c r="D198" s="4561" t="n"/>
      <c r="E198" s="4561" t="n"/>
      <c r="F198" s="4561" t="n"/>
      <c r="G198" s="4561" t="n"/>
      <c r="H198" s="4561" t="n"/>
      <c r="I198" s="4562">
        <f>XLOOKUP(B198,'_Sys|Line_Map'!$A:$A,'_Sys|Line_Map'!$C:$C,"MISSING",0)</f>
        <v/>
      </c>
      <c r="J198" s="4562">
        <f>XLOOKUP(B198,'_Sys|Line_Map'!$A:$A,'_Sys|Line_Map'!$D:$D,1,0)</f>
        <v/>
      </c>
      <c r="K198" s="4562">
        <f>IF(D198="","",D198*J198)</f>
        <v/>
      </c>
      <c r="L198" s="4562">
        <f>XLOOKUP(B198,'_Sys|Line_Map'!$A:$A,'_Sys|Line_Map'!$B:$B,"MISSING",0)</f>
        <v/>
      </c>
    </row>
    <row r="199">
      <c r="A199" s="4561" t="n"/>
      <c r="B199" s="4561" t="n"/>
      <c r="C199" s="4561" t="n"/>
      <c r="D199" s="4561" t="n"/>
      <c r="E199" s="4561" t="n"/>
      <c r="F199" s="4561" t="n"/>
      <c r="G199" s="4561" t="n"/>
      <c r="H199" s="4561" t="n"/>
      <c r="I199" s="4562">
        <f>XLOOKUP(B199,'_Sys|Line_Map'!$A:$A,'_Sys|Line_Map'!$C:$C,"MISSING",0)</f>
        <v/>
      </c>
      <c r="J199" s="4562">
        <f>XLOOKUP(B199,'_Sys|Line_Map'!$A:$A,'_Sys|Line_Map'!$D:$D,1,0)</f>
        <v/>
      </c>
      <c r="K199" s="4562">
        <f>IF(D199="","",D199*J199)</f>
        <v/>
      </c>
      <c r="L199" s="4562">
        <f>XLOOKUP(B199,'_Sys|Line_Map'!$A:$A,'_Sys|Line_Map'!$B:$B,"MISSING",0)</f>
        <v/>
      </c>
    </row>
    <row r="200">
      <c r="A200" s="4561" t="n"/>
      <c r="B200" s="4561" t="n"/>
      <c r="C200" s="4561" t="n"/>
      <c r="D200" s="4561" t="n"/>
      <c r="E200" s="4561" t="n"/>
      <c r="F200" s="4561" t="n"/>
      <c r="G200" s="4561" t="n"/>
      <c r="H200" s="4561" t="n"/>
      <c r="I200" s="4562">
        <f>XLOOKUP(B200,'_Sys|Line_Map'!$A:$A,'_Sys|Line_Map'!$C:$C,"MISSING",0)</f>
        <v/>
      </c>
      <c r="J200" s="4562">
        <f>XLOOKUP(B200,'_Sys|Line_Map'!$A:$A,'_Sys|Line_Map'!$D:$D,1,0)</f>
        <v/>
      </c>
      <c r="K200" s="4562">
        <f>IF(D200="","",D200*J200)</f>
        <v/>
      </c>
      <c r="L200" s="4562">
        <f>XLOOKUP(B200,'_Sys|Line_Map'!$A:$A,'_Sys|Line_Map'!$B:$B,"MISSING",0)</f>
        <v/>
      </c>
    </row>
    <row r="201">
      <c r="A201" s="4561" t="n"/>
      <c r="B201" s="4561" t="n"/>
      <c r="C201" s="4561" t="n"/>
      <c r="D201" s="4561" t="n"/>
      <c r="E201" s="4561" t="n"/>
      <c r="F201" s="4561" t="n"/>
      <c r="G201" s="4561" t="n"/>
      <c r="H201" s="4561" t="n"/>
      <c r="I201" s="4562">
        <f>XLOOKUP(B201,'_Sys|Line_Map'!$A:$A,'_Sys|Line_Map'!$C:$C,"MISSING",0)</f>
        <v/>
      </c>
      <c r="J201" s="4562">
        <f>XLOOKUP(B201,'_Sys|Line_Map'!$A:$A,'_Sys|Line_Map'!$D:$D,1,0)</f>
        <v/>
      </c>
      <c r="K201" s="4562">
        <f>IF(D201="","",D201*J201)</f>
        <v/>
      </c>
      <c r="L201" s="4562">
        <f>XLOOKUP(B201,'_Sys|Line_Map'!$A:$A,'_Sys|Line_Map'!$B:$B,"MISSING",0)</f>
        <v/>
      </c>
    </row>
    <row r="202">
      <c r="A202" s="4561" t="n"/>
      <c r="B202" s="4561" t="n"/>
      <c r="C202" s="4561" t="n"/>
      <c r="D202" s="4561" t="n"/>
      <c r="E202" s="4561" t="n"/>
      <c r="F202" s="4561" t="n"/>
      <c r="G202" s="4561" t="n"/>
      <c r="H202" s="4561" t="n"/>
      <c r="I202" s="4562">
        <f>XLOOKUP(B202,'_Sys|Line_Map'!$A:$A,'_Sys|Line_Map'!$C:$C,"MISSING",0)</f>
        <v/>
      </c>
      <c r="J202" s="4562">
        <f>XLOOKUP(B202,'_Sys|Line_Map'!$A:$A,'_Sys|Line_Map'!$D:$D,1,0)</f>
        <v/>
      </c>
      <c r="K202" s="4562">
        <f>IF(D202="","",D202*J202)</f>
        <v/>
      </c>
      <c r="L202" s="4562">
        <f>XLOOKUP(B202,'_Sys|Line_Map'!$A:$A,'_Sys|Line_Map'!$B:$B,"MISSING",0)</f>
        <v/>
      </c>
    </row>
    <row r="203">
      <c r="A203" s="4561" t="n"/>
      <c r="B203" s="4561" t="n"/>
      <c r="C203" s="4561" t="n"/>
      <c r="D203" s="4561" t="n"/>
      <c r="E203" s="4561" t="n"/>
      <c r="F203" s="4561" t="n"/>
      <c r="G203" s="4561" t="n"/>
      <c r="H203" s="4561" t="n"/>
      <c r="I203" s="4562">
        <f>XLOOKUP(B203,'_Sys|Line_Map'!$A:$A,'_Sys|Line_Map'!$C:$C,"MISSING",0)</f>
        <v/>
      </c>
      <c r="J203" s="4562">
        <f>XLOOKUP(B203,'_Sys|Line_Map'!$A:$A,'_Sys|Line_Map'!$D:$D,1,0)</f>
        <v/>
      </c>
      <c r="K203" s="4562">
        <f>IF(D203="","",D203*J203)</f>
        <v/>
      </c>
      <c r="L203" s="4562">
        <f>XLOOKUP(B203,'_Sys|Line_Map'!$A:$A,'_Sys|Line_Map'!$B:$B,"MISSING",0)</f>
        <v/>
      </c>
    </row>
    <row r="204">
      <c r="A204" s="4561" t="n"/>
      <c r="B204" s="4561" t="n"/>
      <c r="C204" s="4561" t="n"/>
      <c r="D204" s="4561" t="n"/>
      <c r="E204" s="4561" t="n"/>
      <c r="F204" s="4561" t="n"/>
      <c r="G204" s="4561" t="n"/>
      <c r="H204" s="4561" t="n"/>
      <c r="I204" s="4562">
        <f>XLOOKUP(B204,'_Sys|Line_Map'!$A:$A,'_Sys|Line_Map'!$C:$C,"MISSING",0)</f>
        <v/>
      </c>
      <c r="J204" s="4562">
        <f>XLOOKUP(B204,'_Sys|Line_Map'!$A:$A,'_Sys|Line_Map'!$D:$D,1,0)</f>
        <v/>
      </c>
      <c r="K204" s="4562">
        <f>IF(D204="","",D204*J204)</f>
        <v/>
      </c>
      <c r="L204" s="4562">
        <f>XLOOKUP(B204,'_Sys|Line_Map'!$A:$A,'_Sys|Line_Map'!$B:$B,"MISSING",0)</f>
        <v/>
      </c>
    </row>
    <row r="205">
      <c r="A205" s="4561" t="n"/>
      <c r="B205" s="4561" t="n"/>
      <c r="C205" s="4561" t="n"/>
      <c r="D205" s="4561" t="n"/>
      <c r="E205" s="4561" t="n"/>
      <c r="F205" s="4561" t="n"/>
      <c r="G205" s="4561" t="n"/>
      <c r="H205" s="4561" t="n"/>
      <c r="I205" s="4562">
        <f>XLOOKUP(B205,'_Sys|Line_Map'!$A:$A,'_Sys|Line_Map'!$C:$C,"MISSING",0)</f>
        <v/>
      </c>
      <c r="J205" s="4562">
        <f>XLOOKUP(B205,'_Sys|Line_Map'!$A:$A,'_Sys|Line_Map'!$D:$D,1,0)</f>
        <v/>
      </c>
      <c r="K205" s="4562">
        <f>IF(D205="","",D205*J205)</f>
        <v/>
      </c>
      <c r="L205" s="4562">
        <f>XLOOKUP(B205,'_Sys|Line_Map'!$A:$A,'_Sys|Line_Map'!$B:$B,"MISSING",0)</f>
        <v/>
      </c>
    </row>
    <row r="206">
      <c r="A206" s="4561" t="n"/>
      <c r="B206" s="4561" t="n"/>
      <c r="C206" s="4561" t="n"/>
      <c r="D206" s="4561" t="n"/>
      <c r="E206" s="4561" t="n"/>
      <c r="F206" s="4561" t="n"/>
      <c r="G206" s="4561" t="n"/>
      <c r="H206" s="4561" t="n"/>
      <c r="I206" s="4562">
        <f>XLOOKUP(B206,'_Sys|Line_Map'!$A:$A,'_Sys|Line_Map'!$C:$C,"MISSING",0)</f>
        <v/>
      </c>
      <c r="J206" s="4562">
        <f>XLOOKUP(B206,'_Sys|Line_Map'!$A:$A,'_Sys|Line_Map'!$D:$D,1,0)</f>
        <v/>
      </c>
      <c r="K206" s="4562">
        <f>IF(D206="","",D206*J206)</f>
        <v/>
      </c>
      <c r="L206" s="4562">
        <f>XLOOKUP(B206,'_Sys|Line_Map'!$A:$A,'_Sys|Line_Map'!$B:$B,"MISSING",0)</f>
        <v/>
      </c>
    </row>
    <row r="207">
      <c r="A207" s="4561" t="n"/>
      <c r="B207" s="4561" t="n"/>
      <c r="C207" s="4561" t="n"/>
      <c r="D207" s="4561" t="n"/>
      <c r="E207" s="4561" t="n"/>
      <c r="F207" s="4561" t="n"/>
      <c r="G207" s="4561" t="n"/>
      <c r="H207" s="4561" t="n"/>
      <c r="I207" s="4562">
        <f>XLOOKUP(B207,'_Sys|Line_Map'!$A:$A,'_Sys|Line_Map'!$C:$C,"MISSING",0)</f>
        <v/>
      </c>
      <c r="J207" s="4562">
        <f>XLOOKUP(B207,'_Sys|Line_Map'!$A:$A,'_Sys|Line_Map'!$D:$D,1,0)</f>
        <v/>
      </c>
      <c r="K207" s="4562">
        <f>IF(D207="","",D207*J207)</f>
        <v/>
      </c>
      <c r="L207" s="4562">
        <f>XLOOKUP(B207,'_Sys|Line_Map'!$A:$A,'_Sys|Line_Map'!$B:$B,"MISSING",0)</f>
        <v/>
      </c>
    </row>
    <row r="208">
      <c r="A208" s="4561" t="n"/>
      <c r="B208" s="4561" t="n"/>
      <c r="C208" s="4561" t="n"/>
      <c r="D208" s="4561" t="n"/>
      <c r="E208" s="4561" t="n"/>
      <c r="F208" s="4561" t="n"/>
      <c r="G208" s="4561" t="n"/>
      <c r="H208" s="4561" t="n"/>
      <c r="I208" s="4562">
        <f>XLOOKUP(B208,'_Sys|Line_Map'!$A:$A,'_Sys|Line_Map'!$C:$C,"MISSING",0)</f>
        <v/>
      </c>
      <c r="J208" s="4562">
        <f>XLOOKUP(B208,'_Sys|Line_Map'!$A:$A,'_Sys|Line_Map'!$D:$D,1,0)</f>
        <v/>
      </c>
      <c r="K208" s="4562">
        <f>IF(D208="","",D208*J208)</f>
        <v/>
      </c>
      <c r="L208" s="4562">
        <f>XLOOKUP(B208,'_Sys|Line_Map'!$A:$A,'_Sys|Line_Map'!$B:$B,"MISSING",0)</f>
        <v/>
      </c>
    </row>
    <row r="209">
      <c r="A209" s="4561" t="n"/>
      <c r="B209" s="4561" t="n"/>
      <c r="C209" s="4561" t="n"/>
      <c r="D209" s="4561" t="n"/>
      <c r="E209" s="4561" t="n"/>
      <c r="F209" s="4561" t="n"/>
      <c r="G209" s="4561" t="n"/>
      <c r="H209" s="4561" t="n"/>
      <c r="I209" s="4562">
        <f>XLOOKUP(B209,'_Sys|Line_Map'!$A:$A,'_Sys|Line_Map'!$C:$C,"MISSING",0)</f>
        <v/>
      </c>
      <c r="J209" s="4562">
        <f>XLOOKUP(B209,'_Sys|Line_Map'!$A:$A,'_Sys|Line_Map'!$D:$D,1,0)</f>
        <v/>
      </c>
      <c r="K209" s="4562">
        <f>IF(D209="","",D209*J209)</f>
        <v/>
      </c>
      <c r="L209" s="4562">
        <f>XLOOKUP(B209,'_Sys|Line_Map'!$A:$A,'_Sys|Line_Map'!$B:$B,"MISSING",0)</f>
        <v/>
      </c>
    </row>
    <row r="210">
      <c r="A210" s="4561" t="n"/>
      <c r="B210" s="4561" t="n"/>
      <c r="C210" s="4561" t="n"/>
      <c r="D210" s="4561" t="n"/>
      <c r="E210" s="4561" t="n"/>
      <c r="F210" s="4561" t="n"/>
      <c r="G210" s="4561" t="n"/>
      <c r="H210" s="4561" t="n"/>
      <c r="I210" s="4562">
        <f>XLOOKUP(B210,'_Sys|Line_Map'!$A:$A,'_Sys|Line_Map'!$C:$C,"MISSING",0)</f>
        <v/>
      </c>
      <c r="J210" s="4562">
        <f>XLOOKUP(B210,'_Sys|Line_Map'!$A:$A,'_Sys|Line_Map'!$D:$D,1,0)</f>
        <v/>
      </c>
      <c r="K210" s="4562">
        <f>IF(D210="","",D210*J210)</f>
        <v/>
      </c>
      <c r="L210" s="4562">
        <f>XLOOKUP(B210,'_Sys|Line_Map'!$A:$A,'_Sys|Line_Map'!$B:$B,"MISSING",0)</f>
        <v/>
      </c>
    </row>
    <row r="211">
      <c r="A211" s="4561" t="n"/>
      <c r="B211" s="4561" t="n"/>
      <c r="C211" s="4561" t="n"/>
      <c r="D211" s="4561" t="n"/>
      <c r="E211" s="4561" t="n"/>
      <c r="F211" s="4561" t="n"/>
      <c r="G211" s="4561" t="n"/>
      <c r="H211" s="4561" t="n"/>
      <c r="I211" s="4562">
        <f>XLOOKUP(B211,'_Sys|Line_Map'!$A:$A,'_Sys|Line_Map'!$C:$C,"MISSING",0)</f>
        <v/>
      </c>
      <c r="J211" s="4562">
        <f>XLOOKUP(B211,'_Sys|Line_Map'!$A:$A,'_Sys|Line_Map'!$D:$D,1,0)</f>
        <v/>
      </c>
      <c r="K211" s="4562">
        <f>IF(D211="","",D211*J211)</f>
        <v/>
      </c>
      <c r="L211" s="4562">
        <f>XLOOKUP(B211,'_Sys|Line_Map'!$A:$A,'_Sys|Line_Map'!$B:$B,"MISSING",0)</f>
        <v/>
      </c>
    </row>
    <row r="212">
      <c r="A212" s="4561" t="n"/>
      <c r="B212" s="4561" t="n"/>
      <c r="C212" s="4561" t="n"/>
      <c r="D212" s="4561" t="n"/>
      <c r="E212" s="4561" t="n"/>
      <c r="F212" s="4561" t="n"/>
      <c r="G212" s="4561" t="n"/>
      <c r="H212" s="4561" t="n"/>
      <c r="I212" s="4562">
        <f>XLOOKUP(B212,'_Sys|Line_Map'!$A:$A,'_Sys|Line_Map'!$C:$C,"MISSING",0)</f>
        <v/>
      </c>
      <c r="J212" s="4562">
        <f>XLOOKUP(B212,'_Sys|Line_Map'!$A:$A,'_Sys|Line_Map'!$D:$D,1,0)</f>
        <v/>
      </c>
      <c r="K212" s="4562">
        <f>IF(D212="","",D212*J212)</f>
        <v/>
      </c>
      <c r="L212" s="4562">
        <f>XLOOKUP(B212,'_Sys|Line_Map'!$A:$A,'_Sys|Line_Map'!$B:$B,"MISSING",0)</f>
        <v/>
      </c>
    </row>
    <row r="213">
      <c r="A213" s="4561" t="n"/>
      <c r="B213" s="4561" t="n"/>
      <c r="C213" s="4561" t="n"/>
      <c r="D213" s="4561" t="n"/>
      <c r="E213" s="4561" t="n"/>
      <c r="F213" s="4561" t="n"/>
      <c r="G213" s="4561" t="n"/>
      <c r="H213" s="4561" t="n"/>
      <c r="I213" s="4562">
        <f>XLOOKUP(B213,'_Sys|Line_Map'!$A:$A,'_Sys|Line_Map'!$C:$C,"MISSING",0)</f>
        <v/>
      </c>
      <c r="J213" s="4562">
        <f>XLOOKUP(B213,'_Sys|Line_Map'!$A:$A,'_Sys|Line_Map'!$D:$D,1,0)</f>
        <v/>
      </c>
      <c r="K213" s="4562">
        <f>IF(D213="","",D213*J213)</f>
        <v/>
      </c>
      <c r="L213" s="4562">
        <f>XLOOKUP(B213,'_Sys|Line_Map'!$A:$A,'_Sys|Line_Map'!$B:$B,"MISSING",0)</f>
        <v/>
      </c>
    </row>
    <row r="214">
      <c r="A214" s="4561" t="n"/>
      <c r="B214" s="4561" t="n"/>
      <c r="C214" s="4561" t="n"/>
      <c r="D214" s="4561" t="n"/>
      <c r="E214" s="4561" t="n"/>
      <c r="F214" s="4561" t="n"/>
      <c r="G214" s="4561" t="n"/>
      <c r="H214" s="4561" t="n"/>
      <c r="I214" s="4562">
        <f>XLOOKUP(B214,'_Sys|Line_Map'!$A:$A,'_Sys|Line_Map'!$C:$C,"MISSING",0)</f>
        <v/>
      </c>
      <c r="J214" s="4562">
        <f>XLOOKUP(B214,'_Sys|Line_Map'!$A:$A,'_Sys|Line_Map'!$D:$D,1,0)</f>
        <v/>
      </c>
      <c r="K214" s="4562">
        <f>IF(D214="","",D214*J214)</f>
        <v/>
      </c>
      <c r="L214" s="4562">
        <f>XLOOKUP(B214,'_Sys|Line_Map'!$A:$A,'_Sys|Line_Map'!$B:$B,"MISSING",0)</f>
        <v/>
      </c>
    </row>
    <row r="215">
      <c r="A215" s="4561" t="n"/>
      <c r="B215" s="4561" t="n"/>
      <c r="C215" s="4561" t="n"/>
      <c r="D215" s="4561" t="n"/>
      <c r="E215" s="4561" t="n"/>
      <c r="F215" s="4561" t="n"/>
      <c r="G215" s="4561" t="n"/>
      <c r="H215" s="4561" t="n"/>
      <c r="I215" s="4562">
        <f>XLOOKUP(B215,'_Sys|Line_Map'!$A:$A,'_Sys|Line_Map'!$C:$C,"MISSING",0)</f>
        <v/>
      </c>
      <c r="J215" s="4562">
        <f>XLOOKUP(B215,'_Sys|Line_Map'!$A:$A,'_Sys|Line_Map'!$D:$D,1,0)</f>
        <v/>
      </c>
      <c r="K215" s="4562">
        <f>IF(D215="","",D215*J215)</f>
        <v/>
      </c>
      <c r="L215" s="4562">
        <f>XLOOKUP(B215,'_Sys|Line_Map'!$A:$A,'_Sys|Line_Map'!$B:$B,"MISSING",0)</f>
        <v/>
      </c>
    </row>
    <row r="216">
      <c r="A216" s="4561" t="n"/>
      <c r="B216" s="4561" t="n"/>
      <c r="C216" s="4561" t="n"/>
      <c r="D216" s="4561" t="n"/>
      <c r="E216" s="4561" t="n"/>
      <c r="F216" s="4561" t="n"/>
      <c r="G216" s="4561" t="n"/>
      <c r="H216" s="4561" t="n"/>
      <c r="I216" s="4562">
        <f>XLOOKUP(B216,'_Sys|Line_Map'!$A:$A,'_Sys|Line_Map'!$C:$C,"MISSING",0)</f>
        <v/>
      </c>
      <c r="J216" s="4562">
        <f>XLOOKUP(B216,'_Sys|Line_Map'!$A:$A,'_Sys|Line_Map'!$D:$D,1,0)</f>
        <v/>
      </c>
      <c r="K216" s="4562">
        <f>IF(D216="","",D216*J216)</f>
        <v/>
      </c>
      <c r="L216" s="4562">
        <f>XLOOKUP(B216,'_Sys|Line_Map'!$A:$A,'_Sys|Line_Map'!$B:$B,"MISSING",0)</f>
        <v/>
      </c>
    </row>
    <row r="217">
      <c r="A217" s="4561" t="n"/>
      <c r="B217" s="4561" t="n"/>
      <c r="C217" s="4561" t="n"/>
      <c r="D217" s="4561" t="n"/>
      <c r="E217" s="4561" t="n"/>
      <c r="F217" s="4561" t="n"/>
      <c r="G217" s="4561" t="n"/>
      <c r="H217" s="4561" t="n"/>
      <c r="I217" s="4562">
        <f>XLOOKUP(B217,'_Sys|Line_Map'!$A:$A,'_Sys|Line_Map'!$C:$C,"MISSING",0)</f>
        <v/>
      </c>
      <c r="J217" s="4562">
        <f>XLOOKUP(B217,'_Sys|Line_Map'!$A:$A,'_Sys|Line_Map'!$D:$D,1,0)</f>
        <v/>
      </c>
      <c r="K217" s="4562">
        <f>IF(D217="","",D217*J217)</f>
        <v/>
      </c>
      <c r="L217" s="4562">
        <f>XLOOKUP(B217,'_Sys|Line_Map'!$A:$A,'_Sys|Line_Map'!$B:$B,"MISSING",0)</f>
        <v/>
      </c>
    </row>
    <row r="218">
      <c r="A218" s="4561" t="n"/>
      <c r="B218" s="4561" t="n"/>
      <c r="C218" s="4561" t="n"/>
      <c r="D218" s="4561" t="n"/>
      <c r="E218" s="4561" t="n"/>
      <c r="F218" s="4561" t="n"/>
      <c r="G218" s="4561" t="n"/>
      <c r="H218" s="4561" t="n"/>
      <c r="I218" s="4562">
        <f>XLOOKUP(B218,'_Sys|Line_Map'!$A:$A,'_Sys|Line_Map'!$C:$C,"MISSING",0)</f>
        <v/>
      </c>
      <c r="J218" s="4562">
        <f>XLOOKUP(B218,'_Sys|Line_Map'!$A:$A,'_Sys|Line_Map'!$D:$D,1,0)</f>
        <v/>
      </c>
      <c r="K218" s="4562">
        <f>IF(D218="","",D218*J218)</f>
        <v/>
      </c>
      <c r="L218" s="4562">
        <f>XLOOKUP(B218,'_Sys|Line_Map'!$A:$A,'_Sys|Line_Map'!$B:$B,"MISSING",0)</f>
        <v/>
      </c>
    </row>
    <row r="219">
      <c r="A219" s="4561" t="n"/>
      <c r="B219" s="4561" t="n"/>
      <c r="C219" s="4561" t="n"/>
      <c r="D219" s="4561" t="n"/>
      <c r="E219" s="4561" t="n"/>
      <c r="F219" s="4561" t="n"/>
      <c r="G219" s="4561" t="n"/>
      <c r="H219" s="4561" t="n"/>
      <c r="I219" s="4562">
        <f>XLOOKUP(B219,'_Sys|Line_Map'!$A:$A,'_Sys|Line_Map'!$C:$C,"MISSING",0)</f>
        <v/>
      </c>
      <c r="J219" s="4562">
        <f>XLOOKUP(B219,'_Sys|Line_Map'!$A:$A,'_Sys|Line_Map'!$D:$D,1,0)</f>
        <v/>
      </c>
      <c r="K219" s="4562">
        <f>IF(D219="","",D219*J219)</f>
        <v/>
      </c>
      <c r="L219" s="4562">
        <f>XLOOKUP(B219,'_Sys|Line_Map'!$A:$A,'_Sys|Line_Map'!$B:$B,"MISSING",0)</f>
        <v/>
      </c>
    </row>
    <row r="220">
      <c r="A220" s="4561" t="n"/>
      <c r="B220" s="4561" t="n"/>
      <c r="C220" s="4561" t="n"/>
      <c r="D220" s="4561" t="n"/>
      <c r="E220" s="4561" t="n"/>
      <c r="F220" s="4561" t="n"/>
      <c r="G220" s="4561" t="n"/>
      <c r="H220" s="4561" t="n"/>
      <c r="I220" s="4562">
        <f>XLOOKUP(B220,'_Sys|Line_Map'!$A:$A,'_Sys|Line_Map'!$C:$C,"MISSING",0)</f>
        <v/>
      </c>
      <c r="J220" s="4562">
        <f>XLOOKUP(B220,'_Sys|Line_Map'!$A:$A,'_Sys|Line_Map'!$D:$D,1,0)</f>
        <v/>
      </c>
      <c r="K220" s="4562">
        <f>IF(D220="","",D220*J220)</f>
        <v/>
      </c>
      <c r="L220" s="4562">
        <f>XLOOKUP(B220,'_Sys|Line_Map'!$A:$A,'_Sys|Line_Map'!$B:$B,"MISSING",0)</f>
        <v/>
      </c>
    </row>
    <row r="221">
      <c r="A221" s="4561" t="n"/>
      <c r="B221" s="4561" t="n"/>
      <c r="C221" s="4561" t="n"/>
      <c r="D221" s="4561" t="n"/>
      <c r="E221" s="4561" t="n"/>
      <c r="F221" s="4561" t="n"/>
      <c r="G221" s="4561" t="n"/>
      <c r="H221" s="4561" t="n"/>
      <c r="I221" s="4562">
        <f>XLOOKUP(B221,'_Sys|Line_Map'!$A:$A,'_Sys|Line_Map'!$C:$C,"MISSING",0)</f>
        <v/>
      </c>
      <c r="J221" s="4562">
        <f>XLOOKUP(B221,'_Sys|Line_Map'!$A:$A,'_Sys|Line_Map'!$D:$D,1,0)</f>
        <v/>
      </c>
      <c r="K221" s="4562">
        <f>IF(D221="","",D221*J221)</f>
        <v/>
      </c>
      <c r="L221" s="4562">
        <f>XLOOKUP(B221,'_Sys|Line_Map'!$A:$A,'_Sys|Line_Map'!$B:$B,"MISSING",0)</f>
        <v/>
      </c>
    </row>
    <row r="222">
      <c r="A222" s="4561" t="n"/>
      <c r="B222" s="4561" t="n"/>
      <c r="C222" s="4561" t="n"/>
      <c r="D222" s="4561" t="n"/>
      <c r="E222" s="4561" t="n"/>
      <c r="F222" s="4561" t="n"/>
      <c r="G222" s="4561" t="n"/>
      <c r="H222" s="4561" t="n"/>
      <c r="I222" s="4562">
        <f>XLOOKUP(B222,'_Sys|Line_Map'!$A:$A,'_Sys|Line_Map'!$C:$C,"MISSING",0)</f>
        <v/>
      </c>
      <c r="J222" s="4562">
        <f>XLOOKUP(B222,'_Sys|Line_Map'!$A:$A,'_Sys|Line_Map'!$D:$D,1,0)</f>
        <v/>
      </c>
      <c r="K222" s="4562">
        <f>IF(D222="","",D222*J222)</f>
        <v/>
      </c>
      <c r="L222" s="4562">
        <f>XLOOKUP(B222,'_Sys|Line_Map'!$A:$A,'_Sys|Line_Map'!$B:$B,"MISSING",0)</f>
        <v/>
      </c>
    </row>
    <row r="223">
      <c r="A223" s="4561" t="n"/>
      <c r="B223" s="4561" t="n"/>
      <c r="C223" s="4561" t="n"/>
      <c r="D223" s="4561" t="n"/>
      <c r="E223" s="4561" t="n"/>
      <c r="F223" s="4561" t="n"/>
      <c r="G223" s="4561" t="n"/>
      <c r="H223" s="4561" t="n"/>
      <c r="I223" s="4562">
        <f>XLOOKUP(B223,'_Sys|Line_Map'!$A:$A,'_Sys|Line_Map'!$C:$C,"MISSING",0)</f>
        <v/>
      </c>
      <c r="J223" s="4562">
        <f>XLOOKUP(B223,'_Sys|Line_Map'!$A:$A,'_Sys|Line_Map'!$D:$D,1,0)</f>
        <v/>
      </c>
      <c r="K223" s="4562">
        <f>IF(D223="","",D223*J223)</f>
        <v/>
      </c>
      <c r="L223" s="4562">
        <f>XLOOKUP(B223,'_Sys|Line_Map'!$A:$A,'_Sys|Line_Map'!$B:$B,"MISSING",0)</f>
        <v/>
      </c>
    </row>
    <row r="224">
      <c r="A224" s="4561" t="n"/>
      <c r="B224" s="4561" t="n"/>
      <c r="C224" s="4561" t="n"/>
      <c r="D224" s="4561" t="n"/>
      <c r="E224" s="4561" t="n"/>
      <c r="F224" s="4561" t="n"/>
      <c r="G224" s="4561" t="n"/>
      <c r="H224" s="4561" t="n"/>
      <c r="I224" s="4562">
        <f>XLOOKUP(B224,'_Sys|Line_Map'!$A:$A,'_Sys|Line_Map'!$C:$C,"MISSING",0)</f>
        <v/>
      </c>
      <c r="J224" s="4562">
        <f>XLOOKUP(B224,'_Sys|Line_Map'!$A:$A,'_Sys|Line_Map'!$D:$D,1,0)</f>
        <v/>
      </c>
      <c r="K224" s="4562">
        <f>IF(D224="","",D224*J224)</f>
        <v/>
      </c>
      <c r="L224" s="4562">
        <f>XLOOKUP(B224,'_Sys|Line_Map'!$A:$A,'_Sys|Line_Map'!$B:$B,"MISSING",0)</f>
        <v/>
      </c>
    </row>
    <row r="225">
      <c r="A225" s="4561" t="n"/>
      <c r="B225" s="4561" t="n"/>
      <c r="C225" s="4561" t="n"/>
      <c r="D225" s="4561" t="n"/>
      <c r="E225" s="4561" t="n"/>
      <c r="F225" s="4561" t="n"/>
      <c r="G225" s="4561" t="n"/>
      <c r="H225" s="4561" t="n"/>
      <c r="I225" s="4562">
        <f>XLOOKUP(B225,'_Sys|Line_Map'!$A:$A,'_Sys|Line_Map'!$C:$C,"MISSING",0)</f>
        <v/>
      </c>
      <c r="J225" s="4562">
        <f>XLOOKUP(B225,'_Sys|Line_Map'!$A:$A,'_Sys|Line_Map'!$D:$D,1,0)</f>
        <v/>
      </c>
      <c r="K225" s="4562">
        <f>IF(D225="","",D225*J225)</f>
        <v/>
      </c>
      <c r="L225" s="4562">
        <f>XLOOKUP(B225,'_Sys|Line_Map'!$A:$A,'_Sys|Line_Map'!$B:$B,"MISSING",0)</f>
        <v/>
      </c>
    </row>
    <row r="226">
      <c r="A226" s="4561" t="n"/>
      <c r="B226" s="4561" t="n"/>
      <c r="C226" s="4561" t="n"/>
      <c r="D226" s="4561" t="n"/>
      <c r="E226" s="4561" t="n"/>
      <c r="F226" s="4561" t="n"/>
      <c r="G226" s="4561" t="n"/>
      <c r="H226" s="4561" t="n"/>
      <c r="I226" s="4562">
        <f>XLOOKUP(B226,'_Sys|Line_Map'!$A:$A,'_Sys|Line_Map'!$C:$C,"MISSING",0)</f>
        <v/>
      </c>
      <c r="J226" s="4562">
        <f>XLOOKUP(B226,'_Sys|Line_Map'!$A:$A,'_Sys|Line_Map'!$D:$D,1,0)</f>
        <v/>
      </c>
      <c r="K226" s="4562">
        <f>IF(D226="","",D226*J226)</f>
        <v/>
      </c>
      <c r="L226" s="4562">
        <f>XLOOKUP(B226,'_Sys|Line_Map'!$A:$A,'_Sys|Line_Map'!$B:$B,"MISSING",0)</f>
        <v/>
      </c>
    </row>
    <row r="227">
      <c r="A227" s="4561" t="n"/>
      <c r="B227" s="4561" t="n"/>
      <c r="C227" s="4561" t="n"/>
      <c r="D227" s="4561" t="n"/>
      <c r="E227" s="4561" t="n"/>
      <c r="F227" s="4561" t="n"/>
      <c r="G227" s="4561" t="n"/>
      <c r="H227" s="4561" t="n"/>
      <c r="I227" s="4562">
        <f>XLOOKUP(B227,'_Sys|Line_Map'!$A:$A,'_Sys|Line_Map'!$C:$C,"MISSING",0)</f>
        <v/>
      </c>
      <c r="J227" s="4562">
        <f>XLOOKUP(B227,'_Sys|Line_Map'!$A:$A,'_Sys|Line_Map'!$D:$D,1,0)</f>
        <v/>
      </c>
      <c r="K227" s="4562">
        <f>IF(D227="","",D227*J227)</f>
        <v/>
      </c>
      <c r="L227" s="4562">
        <f>XLOOKUP(B227,'_Sys|Line_Map'!$A:$A,'_Sys|Line_Map'!$B:$B,"MISSING",0)</f>
        <v/>
      </c>
    </row>
    <row r="228">
      <c r="A228" s="4561" t="n"/>
      <c r="B228" s="4561" t="n"/>
      <c r="C228" s="4561" t="n"/>
      <c r="D228" s="4561" t="n"/>
      <c r="E228" s="4561" t="n"/>
      <c r="F228" s="4561" t="n"/>
      <c r="G228" s="4561" t="n"/>
      <c r="H228" s="4561" t="n"/>
      <c r="I228" s="4562">
        <f>XLOOKUP(B228,'_Sys|Line_Map'!$A:$A,'_Sys|Line_Map'!$C:$C,"MISSING",0)</f>
        <v/>
      </c>
      <c r="J228" s="4562">
        <f>XLOOKUP(B228,'_Sys|Line_Map'!$A:$A,'_Sys|Line_Map'!$D:$D,1,0)</f>
        <v/>
      </c>
      <c r="K228" s="4562">
        <f>IF(D228="","",D228*J228)</f>
        <v/>
      </c>
      <c r="L228" s="4562">
        <f>XLOOKUP(B228,'_Sys|Line_Map'!$A:$A,'_Sys|Line_Map'!$B:$B,"MISSING",0)</f>
        <v/>
      </c>
    </row>
    <row r="229">
      <c r="A229" s="4561" t="n"/>
      <c r="B229" s="4561" t="n"/>
      <c r="C229" s="4561" t="n"/>
      <c r="D229" s="4561" t="n"/>
      <c r="E229" s="4561" t="n"/>
      <c r="F229" s="4561" t="n"/>
      <c r="G229" s="4561" t="n"/>
      <c r="H229" s="4561" t="n"/>
      <c r="I229" s="4562">
        <f>XLOOKUP(B229,'_Sys|Line_Map'!$A:$A,'_Sys|Line_Map'!$C:$C,"MISSING",0)</f>
        <v/>
      </c>
      <c r="J229" s="4562">
        <f>XLOOKUP(B229,'_Sys|Line_Map'!$A:$A,'_Sys|Line_Map'!$D:$D,1,0)</f>
        <v/>
      </c>
      <c r="K229" s="4562">
        <f>IF(D229="","",D229*J229)</f>
        <v/>
      </c>
      <c r="L229" s="4562">
        <f>XLOOKUP(B229,'_Sys|Line_Map'!$A:$A,'_Sys|Line_Map'!$B:$B,"MISSING",0)</f>
        <v/>
      </c>
    </row>
    <row r="230">
      <c r="A230" s="4561" t="n"/>
      <c r="B230" s="4561" t="n"/>
      <c r="C230" s="4561" t="n"/>
      <c r="D230" s="4561" t="n"/>
      <c r="E230" s="4561" t="n"/>
      <c r="F230" s="4561" t="n"/>
      <c r="G230" s="4561" t="n"/>
      <c r="H230" s="4561" t="n"/>
      <c r="I230" s="4562">
        <f>XLOOKUP(B230,'_Sys|Line_Map'!$A:$A,'_Sys|Line_Map'!$C:$C,"MISSING",0)</f>
        <v/>
      </c>
      <c r="J230" s="4562">
        <f>XLOOKUP(B230,'_Sys|Line_Map'!$A:$A,'_Sys|Line_Map'!$D:$D,1,0)</f>
        <v/>
      </c>
      <c r="K230" s="4562">
        <f>IF(D230="","",D230*J230)</f>
        <v/>
      </c>
      <c r="L230" s="4562">
        <f>XLOOKUP(B230,'_Sys|Line_Map'!$A:$A,'_Sys|Line_Map'!$B:$B,"MISSING",0)</f>
        <v/>
      </c>
    </row>
    <row r="231">
      <c r="A231" s="4561" t="n"/>
      <c r="B231" s="4561" t="n"/>
      <c r="C231" s="4561" t="n"/>
      <c r="D231" s="4561" t="n"/>
      <c r="E231" s="4561" t="n"/>
      <c r="F231" s="4561" t="n"/>
      <c r="G231" s="4561" t="n"/>
      <c r="H231" s="4561" t="n"/>
      <c r="I231" s="4562">
        <f>XLOOKUP(B231,'_Sys|Line_Map'!$A:$A,'_Sys|Line_Map'!$C:$C,"MISSING",0)</f>
        <v/>
      </c>
      <c r="J231" s="4562">
        <f>XLOOKUP(B231,'_Sys|Line_Map'!$A:$A,'_Sys|Line_Map'!$D:$D,1,0)</f>
        <v/>
      </c>
      <c r="K231" s="4562">
        <f>IF(D231="","",D231*J231)</f>
        <v/>
      </c>
      <c r="L231" s="4562">
        <f>XLOOKUP(B231,'_Sys|Line_Map'!$A:$A,'_Sys|Line_Map'!$B:$B,"MISSING",0)</f>
        <v/>
      </c>
    </row>
    <row r="232">
      <c r="A232" s="4561" t="n"/>
      <c r="B232" s="4561" t="n"/>
      <c r="C232" s="4561" t="n"/>
      <c r="D232" s="4561" t="n"/>
      <c r="E232" s="4561" t="n"/>
      <c r="F232" s="4561" t="n"/>
      <c r="G232" s="4561" t="n"/>
      <c r="H232" s="4561" t="n"/>
      <c r="I232" s="4562">
        <f>XLOOKUP(B232,'_Sys|Line_Map'!$A:$A,'_Sys|Line_Map'!$C:$C,"MISSING",0)</f>
        <v/>
      </c>
      <c r="J232" s="4562">
        <f>XLOOKUP(B232,'_Sys|Line_Map'!$A:$A,'_Sys|Line_Map'!$D:$D,1,0)</f>
        <v/>
      </c>
      <c r="K232" s="4562">
        <f>IF(D232="","",D232*J232)</f>
        <v/>
      </c>
      <c r="L232" s="4562">
        <f>XLOOKUP(B232,'_Sys|Line_Map'!$A:$A,'_Sys|Line_Map'!$B:$B,"MISSING",0)</f>
        <v/>
      </c>
    </row>
    <row r="233">
      <c r="A233" s="4561" t="n"/>
      <c r="B233" s="4561" t="n"/>
      <c r="C233" s="4561" t="n"/>
      <c r="D233" s="4561" t="n"/>
      <c r="E233" s="4561" t="n"/>
      <c r="F233" s="4561" t="n"/>
      <c r="G233" s="4561" t="n"/>
      <c r="H233" s="4561" t="n"/>
      <c r="I233" s="4562">
        <f>XLOOKUP(B233,'_Sys|Line_Map'!$A:$A,'_Sys|Line_Map'!$C:$C,"MISSING",0)</f>
        <v/>
      </c>
      <c r="J233" s="4562">
        <f>XLOOKUP(B233,'_Sys|Line_Map'!$A:$A,'_Sys|Line_Map'!$D:$D,1,0)</f>
        <v/>
      </c>
      <c r="K233" s="4562">
        <f>IF(D233="","",D233*J233)</f>
        <v/>
      </c>
      <c r="L233" s="4562">
        <f>XLOOKUP(B233,'_Sys|Line_Map'!$A:$A,'_Sys|Line_Map'!$B:$B,"MISSING",0)</f>
        <v/>
      </c>
    </row>
    <row r="234">
      <c r="A234" s="4561" t="n"/>
      <c r="B234" s="4561" t="n"/>
      <c r="C234" s="4561" t="n"/>
      <c r="D234" s="4561" t="n"/>
      <c r="E234" s="4561" t="n"/>
      <c r="F234" s="4561" t="n"/>
      <c r="G234" s="4561" t="n"/>
      <c r="H234" s="4561" t="n"/>
      <c r="I234" s="4562">
        <f>XLOOKUP(B234,'_Sys|Line_Map'!$A:$A,'_Sys|Line_Map'!$C:$C,"MISSING",0)</f>
        <v/>
      </c>
      <c r="J234" s="4562">
        <f>XLOOKUP(B234,'_Sys|Line_Map'!$A:$A,'_Sys|Line_Map'!$D:$D,1,0)</f>
        <v/>
      </c>
      <c r="K234" s="4562">
        <f>IF(D234="","",D234*J234)</f>
        <v/>
      </c>
      <c r="L234" s="4562">
        <f>XLOOKUP(B234,'_Sys|Line_Map'!$A:$A,'_Sys|Line_Map'!$B:$B,"MISSING",0)</f>
        <v/>
      </c>
    </row>
    <row r="235">
      <c r="A235" s="4561" t="n"/>
      <c r="B235" s="4561" t="n"/>
      <c r="C235" s="4561" t="n"/>
      <c r="D235" s="4561" t="n"/>
      <c r="E235" s="4561" t="n"/>
      <c r="F235" s="4561" t="n"/>
      <c r="G235" s="4561" t="n"/>
      <c r="H235" s="4561" t="n"/>
      <c r="I235" s="4562">
        <f>XLOOKUP(B235,'_Sys|Line_Map'!$A:$A,'_Sys|Line_Map'!$C:$C,"MISSING",0)</f>
        <v/>
      </c>
      <c r="J235" s="4562">
        <f>XLOOKUP(B235,'_Sys|Line_Map'!$A:$A,'_Sys|Line_Map'!$D:$D,1,0)</f>
        <v/>
      </c>
      <c r="K235" s="4562">
        <f>IF(D235="","",D235*J235)</f>
        <v/>
      </c>
      <c r="L235" s="4562">
        <f>XLOOKUP(B235,'_Sys|Line_Map'!$A:$A,'_Sys|Line_Map'!$B:$B,"MISSING",0)</f>
        <v/>
      </c>
    </row>
    <row r="236">
      <c r="A236" s="4561" t="n"/>
      <c r="B236" s="4561" t="n"/>
      <c r="C236" s="4561" t="n"/>
      <c r="D236" s="4561" t="n"/>
      <c r="E236" s="4561" t="n"/>
      <c r="F236" s="4561" t="n"/>
      <c r="G236" s="4561" t="n"/>
      <c r="H236" s="4561" t="n"/>
      <c r="I236" s="4562">
        <f>XLOOKUP(B236,'_Sys|Line_Map'!$A:$A,'_Sys|Line_Map'!$C:$C,"MISSING",0)</f>
        <v/>
      </c>
      <c r="J236" s="4562">
        <f>XLOOKUP(B236,'_Sys|Line_Map'!$A:$A,'_Sys|Line_Map'!$D:$D,1,0)</f>
        <v/>
      </c>
      <c r="K236" s="4562">
        <f>IF(D236="","",D236*J236)</f>
        <v/>
      </c>
      <c r="L236" s="4562">
        <f>XLOOKUP(B236,'_Sys|Line_Map'!$A:$A,'_Sys|Line_Map'!$B:$B,"MISSING",0)</f>
        <v/>
      </c>
    </row>
    <row r="237">
      <c r="A237" s="4561" t="n"/>
      <c r="B237" s="4561" t="n"/>
      <c r="C237" s="4561" t="n"/>
      <c r="D237" s="4561" t="n"/>
      <c r="E237" s="4561" t="n"/>
      <c r="F237" s="4561" t="n"/>
      <c r="G237" s="4561" t="n"/>
      <c r="H237" s="4561" t="n"/>
      <c r="I237" s="4562">
        <f>XLOOKUP(B237,'_Sys|Line_Map'!$A:$A,'_Sys|Line_Map'!$C:$C,"MISSING",0)</f>
        <v/>
      </c>
      <c r="J237" s="4562">
        <f>XLOOKUP(B237,'_Sys|Line_Map'!$A:$A,'_Sys|Line_Map'!$D:$D,1,0)</f>
        <v/>
      </c>
      <c r="K237" s="4562">
        <f>IF(D237="","",D237*J237)</f>
        <v/>
      </c>
      <c r="L237" s="4562">
        <f>XLOOKUP(B237,'_Sys|Line_Map'!$A:$A,'_Sys|Line_Map'!$B:$B,"MISSING",0)</f>
        <v/>
      </c>
    </row>
    <row r="238">
      <c r="A238" s="4561" t="n"/>
      <c r="B238" s="4561" t="n"/>
      <c r="C238" s="4561" t="n"/>
      <c r="D238" s="4561" t="n"/>
      <c r="E238" s="4561" t="n"/>
      <c r="F238" s="4561" t="n"/>
      <c r="G238" s="4561" t="n"/>
      <c r="H238" s="4561" t="n"/>
      <c r="I238" s="4562">
        <f>XLOOKUP(B238,'_Sys|Line_Map'!$A:$A,'_Sys|Line_Map'!$C:$C,"MISSING",0)</f>
        <v/>
      </c>
      <c r="J238" s="4562">
        <f>XLOOKUP(B238,'_Sys|Line_Map'!$A:$A,'_Sys|Line_Map'!$D:$D,1,0)</f>
        <v/>
      </c>
      <c r="K238" s="4562">
        <f>IF(D238="","",D238*J238)</f>
        <v/>
      </c>
      <c r="L238" s="4562">
        <f>XLOOKUP(B238,'_Sys|Line_Map'!$A:$A,'_Sys|Line_Map'!$B:$B,"MISSING",0)</f>
        <v/>
      </c>
    </row>
    <row r="239">
      <c r="A239" s="4561" t="n"/>
      <c r="B239" s="4561" t="n"/>
      <c r="C239" s="4561" t="n"/>
      <c r="D239" s="4561" t="n"/>
      <c r="E239" s="4561" t="n"/>
      <c r="F239" s="4561" t="n"/>
      <c r="G239" s="4561" t="n"/>
      <c r="H239" s="4561" t="n"/>
      <c r="I239" s="4562">
        <f>XLOOKUP(B239,'_Sys|Line_Map'!$A:$A,'_Sys|Line_Map'!$C:$C,"MISSING",0)</f>
        <v/>
      </c>
      <c r="J239" s="4562">
        <f>XLOOKUP(B239,'_Sys|Line_Map'!$A:$A,'_Sys|Line_Map'!$D:$D,1,0)</f>
        <v/>
      </c>
      <c r="K239" s="4562">
        <f>IF(D239="","",D239*J239)</f>
        <v/>
      </c>
      <c r="L239" s="4562">
        <f>XLOOKUP(B239,'_Sys|Line_Map'!$A:$A,'_Sys|Line_Map'!$B:$B,"MISSING",0)</f>
        <v/>
      </c>
    </row>
    <row r="240">
      <c r="A240" s="4561" t="n"/>
      <c r="B240" s="4561" t="n"/>
      <c r="C240" s="4561" t="n"/>
      <c r="D240" s="4561" t="n"/>
      <c r="E240" s="4561" t="n"/>
      <c r="F240" s="4561" t="n"/>
      <c r="G240" s="4561" t="n"/>
      <c r="H240" s="4561" t="n"/>
      <c r="I240" s="4562">
        <f>XLOOKUP(B240,'_Sys|Line_Map'!$A:$A,'_Sys|Line_Map'!$C:$C,"MISSING",0)</f>
        <v/>
      </c>
      <c r="J240" s="4562">
        <f>XLOOKUP(B240,'_Sys|Line_Map'!$A:$A,'_Sys|Line_Map'!$D:$D,1,0)</f>
        <v/>
      </c>
      <c r="K240" s="4562">
        <f>IF(D240="","",D240*J240)</f>
        <v/>
      </c>
      <c r="L240" s="4562">
        <f>XLOOKUP(B240,'_Sys|Line_Map'!$A:$A,'_Sys|Line_Map'!$B:$B,"MISSING",0)</f>
        <v/>
      </c>
    </row>
    <row r="241">
      <c r="A241" s="4561" t="n"/>
      <c r="B241" s="4561" t="n"/>
      <c r="C241" s="4561" t="n"/>
      <c r="D241" s="4561" t="n"/>
      <c r="E241" s="4561" t="n"/>
      <c r="F241" s="4561" t="n"/>
      <c r="G241" s="4561" t="n"/>
      <c r="H241" s="4561" t="n"/>
      <c r="I241" s="4562">
        <f>XLOOKUP(B241,'_Sys|Line_Map'!$A:$A,'_Sys|Line_Map'!$C:$C,"MISSING",0)</f>
        <v/>
      </c>
      <c r="J241" s="4562">
        <f>XLOOKUP(B241,'_Sys|Line_Map'!$A:$A,'_Sys|Line_Map'!$D:$D,1,0)</f>
        <v/>
      </c>
      <c r="K241" s="4562">
        <f>IF(D241="","",D241*J241)</f>
        <v/>
      </c>
      <c r="L241" s="4562">
        <f>XLOOKUP(B241,'_Sys|Line_Map'!$A:$A,'_Sys|Line_Map'!$B:$B,"MISSING",0)</f>
        <v/>
      </c>
    </row>
    <row r="242">
      <c r="A242" s="4561" t="n"/>
      <c r="B242" s="4561" t="n"/>
      <c r="C242" s="4561" t="n"/>
      <c r="D242" s="4561" t="n"/>
      <c r="E242" s="4561" t="n"/>
      <c r="F242" s="4561" t="n"/>
      <c r="G242" s="4561" t="n"/>
      <c r="H242" s="4561" t="n"/>
      <c r="I242" s="4562">
        <f>XLOOKUP(B242,'_Sys|Line_Map'!$A:$A,'_Sys|Line_Map'!$C:$C,"MISSING",0)</f>
        <v/>
      </c>
      <c r="J242" s="4562">
        <f>XLOOKUP(B242,'_Sys|Line_Map'!$A:$A,'_Sys|Line_Map'!$D:$D,1,0)</f>
        <v/>
      </c>
      <c r="K242" s="4562">
        <f>IF(D242="","",D242*J242)</f>
        <v/>
      </c>
      <c r="L242" s="4562">
        <f>XLOOKUP(B242,'_Sys|Line_Map'!$A:$A,'_Sys|Line_Map'!$B:$B,"MISSING",0)</f>
        <v/>
      </c>
    </row>
    <row r="243">
      <c r="A243" s="4561" t="n"/>
      <c r="B243" s="4561" t="n"/>
      <c r="C243" s="4561" t="n"/>
      <c r="D243" s="4561" t="n"/>
      <c r="E243" s="4561" t="n"/>
      <c r="F243" s="4561" t="n"/>
      <c r="G243" s="4561" t="n"/>
      <c r="H243" s="4561" t="n"/>
      <c r="I243" s="4562">
        <f>XLOOKUP(B243,'_Sys|Line_Map'!$A:$A,'_Sys|Line_Map'!$C:$C,"MISSING",0)</f>
        <v/>
      </c>
      <c r="J243" s="4562">
        <f>XLOOKUP(B243,'_Sys|Line_Map'!$A:$A,'_Sys|Line_Map'!$D:$D,1,0)</f>
        <v/>
      </c>
      <c r="K243" s="4562">
        <f>IF(D243="","",D243*J243)</f>
        <v/>
      </c>
      <c r="L243" s="4562">
        <f>XLOOKUP(B243,'_Sys|Line_Map'!$A:$A,'_Sys|Line_Map'!$B:$B,"MISSING",0)</f>
        <v/>
      </c>
    </row>
    <row r="244">
      <c r="A244" s="4561" t="n"/>
      <c r="B244" s="4561" t="n"/>
      <c r="C244" s="4561" t="n"/>
      <c r="D244" s="4561" t="n"/>
      <c r="E244" s="4561" t="n"/>
      <c r="F244" s="4561" t="n"/>
      <c r="G244" s="4561" t="n"/>
      <c r="H244" s="4561" t="n"/>
      <c r="I244" s="4562">
        <f>XLOOKUP(B244,'_Sys|Line_Map'!$A:$A,'_Sys|Line_Map'!$C:$C,"MISSING",0)</f>
        <v/>
      </c>
      <c r="J244" s="4562">
        <f>XLOOKUP(B244,'_Sys|Line_Map'!$A:$A,'_Sys|Line_Map'!$D:$D,1,0)</f>
        <v/>
      </c>
      <c r="K244" s="4562">
        <f>IF(D244="","",D244*J244)</f>
        <v/>
      </c>
      <c r="L244" s="4562">
        <f>XLOOKUP(B244,'_Sys|Line_Map'!$A:$A,'_Sys|Line_Map'!$B:$B,"MISSING",0)</f>
        <v/>
      </c>
    </row>
    <row r="245">
      <c r="A245" s="4561" t="n"/>
      <c r="B245" s="4561" t="n"/>
      <c r="C245" s="4561" t="n"/>
      <c r="D245" s="4561" t="n"/>
      <c r="E245" s="4561" t="n"/>
      <c r="F245" s="4561" t="n"/>
      <c r="G245" s="4561" t="n"/>
      <c r="H245" s="4561" t="n"/>
      <c r="I245" s="4562">
        <f>XLOOKUP(B245,'_Sys|Line_Map'!$A:$A,'_Sys|Line_Map'!$C:$C,"MISSING",0)</f>
        <v/>
      </c>
      <c r="J245" s="4562">
        <f>XLOOKUP(B245,'_Sys|Line_Map'!$A:$A,'_Sys|Line_Map'!$D:$D,1,0)</f>
        <v/>
      </c>
      <c r="K245" s="4562">
        <f>IF(D245="","",D245*J245)</f>
        <v/>
      </c>
      <c r="L245" s="4562">
        <f>XLOOKUP(B245,'_Sys|Line_Map'!$A:$A,'_Sys|Line_Map'!$B:$B,"MISSING",0)</f>
        <v/>
      </c>
    </row>
    <row r="246">
      <c r="A246" s="4561" t="n"/>
      <c r="B246" s="4561" t="n"/>
      <c r="C246" s="4561" t="n"/>
      <c r="D246" s="4561" t="n"/>
      <c r="E246" s="4561" t="n"/>
      <c r="F246" s="4561" t="n"/>
      <c r="G246" s="4561" t="n"/>
      <c r="H246" s="4561" t="n"/>
      <c r="I246" s="4562">
        <f>XLOOKUP(B246,'_Sys|Line_Map'!$A:$A,'_Sys|Line_Map'!$C:$C,"MISSING",0)</f>
        <v/>
      </c>
      <c r="J246" s="4562">
        <f>XLOOKUP(B246,'_Sys|Line_Map'!$A:$A,'_Sys|Line_Map'!$D:$D,1,0)</f>
        <v/>
      </c>
      <c r="K246" s="4562">
        <f>IF(D246="","",D246*J246)</f>
        <v/>
      </c>
      <c r="L246" s="4562">
        <f>XLOOKUP(B246,'_Sys|Line_Map'!$A:$A,'_Sys|Line_Map'!$B:$B,"MISSING",0)</f>
        <v/>
      </c>
    </row>
    <row r="247">
      <c r="A247" s="4561" t="n"/>
      <c r="B247" s="4561" t="n"/>
      <c r="C247" s="4561" t="n"/>
      <c r="D247" s="4561" t="n"/>
      <c r="E247" s="4561" t="n"/>
      <c r="F247" s="4561" t="n"/>
      <c r="G247" s="4561" t="n"/>
      <c r="H247" s="4561" t="n"/>
      <c r="I247" s="4562">
        <f>XLOOKUP(B247,'_Sys|Line_Map'!$A:$A,'_Sys|Line_Map'!$C:$C,"MISSING",0)</f>
        <v/>
      </c>
      <c r="J247" s="4562">
        <f>XLOOKUP(B247,'_Sys|Line_Map'!$A:$A,'_Sys|Line_Map'!$D:$D,1,0)</f>
        <v/>
      </c>
      <c r="K247" s="4562">
        <f>IF(D247="","",D247*J247)</f>
        <v/>
      </c>
      <c r="L247" s="4562">
        <f>XLOOKUP(B247,'_Sys|Line_Map'!$A:$A,'_Sys|Line_Map'!$B:$B,"MISSING",0)</f>
        <v/>
      </c>
    </row>
    <row r="248">
      <c r="A248" s="4561" t="n"/>
      <c r="B248" s="4561" t="n"/>
      <c r="C248" s="4561" t="n"/>
      <c r="D248" s="4561" t="n"/>
      <c r="E248" s="4561" t="n"/>
      <c r="F248" s="4561" t="n"/>
      <c r="G248" s="4561" t="n"/>
      <c r="H248" s="4561" t="n"/>
      <c r="I248" s="4562">
        <f>XLOOKUP(B248,'_Sys|Line_Map'!$A:$A,'_Sys|Line_Map'!$C:$C,"MISSING",0)</f>
        <v/>
      </c>
      <c r="J248" s="4562">
        <f>XLOOKUP(B248,'_Sys|Line_Map'!$A:$A,'_Sys|Line_Map'!$D:$D,1,0)</f>
        <v/>
      </c>
      <c r="K248" s="4562">
        <f>IF(D248="","",D248*J248)</f>
        <v/>
      </c>
      <c r="L248" s="4562">
        <f>XLOOKUP(B248,'_Sys|Line_Map'!$A:$A,'_Sys|Line_Map'!$B:$B,"MISSING",0)</f>
        <v/>
      </c>
    </row>
    <row r="249">
      <c r="A249" s="4561" t="n"/>
      <c r="B249" s="4561" t="n"/>
      <c r="C249" s="4561" t="n"/>
      <c r="D249" s="4561" t="n"/>
      <c r="E249" s="4561" t="n"/>
      <c r="F249" s="4561" t="n"/>
      <c r="G249" s="4561" t="n"/>
      <c r="H249" s="4561" t="n"/>
      <c r="I249" s="4562">
        <f>XLOOKUP(B249,'_Sys|Line_Map'!$A:$A,'_Sys|Line_Map'!$C:$C,"MISSING",0)</f>
        <v/>
      </c>
      <c r="J249" s="4562">
        <f>XLOOKUP(B249,'_Sys|Line_Map'!$A:$A,'_Sys|Line_Map'!$D:$D,1,0)</f>
        <v/>
      </c>
      <c r="K249" s="4562">
        <f>IF(D249="","",D249*J249)</f>
        <v/>
      </c>
      <c r="L249" s="4562">
        <f>XLOOKUP(B249,'_Sys|Line_Map'!$A:$A,'_Sys|Line_Map'!$B:$B,"MISSING",0)</f>
        <v/>
      </c>
    </row>
    <row r="250">
      <c r="A250" s="4561" t="n"/>
      <c r="B250" s="4561" t="n"/>
      <c r="C250" s="4561" t="n"/>
      <c r="D250" s="4561" t="n"/>
      <c r="E250" s="4561" t="n"/>
      <c r="F250" s="4561" t="n"/>
      <c r="G250" s="4561" t="n"/>
      <c r="H250" s="4561" t="n"/>
      <c r="I250" s="4562">
        <f>XLOOKUP(B250,'_Sys|Line_Map'!$A:$A,'_Sys|Line_Map'!$C:$C,"MISSING",0)</f>
        <v/>
      </c>
      <c r="J250" s="4562">
        <f>XLOOKUP(B250,'_Sys|Line_Map'!$A:$A,'_Sys|Line_Map'!$D:$D,1,0)</f>
        <v/>
      </c>
      <c r="K250" s="4562">
        <f>IF(D250="","",D250*J250)</f>
        <v/>
      </c>
      <c r="L250" s="4562">
        <f>XLOOKUP(B250,'_Sys|Line_Map'!$A:$A,'_Sys|Line_Map'!$B:$B,"MISSING",0)</f>
        <v/>
      </c>
    </row>
    <row r="251">
      <c r="A251" s="4561" t="n"/>
      <c r="B251" s="4561" t="n"/>
      <c r="C251" s="4561" t="n"/>
      <c r="D251" s="4561" t="n"/>
      <c r="E251" s="4561" t="n"/>
      <c r="F251" s="4561" t="n"/>
      <c r="G251" s="4561" t="n"/>
      <c r="H251" s="4561" t="n"/>
      <c r="I251" s="4562">
        <f>XLOOKUP(B251,'_Sys|Line_Map'!$A:$A,'_Sys|Line_Map'!$C:$C,"MISSING",0)</f>
        <v/>
      </c>
      <c r="J251" s="4562">
        <f>XLOOKUP(B251,'_Sys|Line_Map'!$A:$A,'_Sys|Line_Map'!$D:$D,1,0)</f>
        <v/>
      </c>
      <c r="K251" s="4562">
        <f>IF(D251="","",D251*J251)</f>
        <v/>
      </c>
      <c r="L251" s="4562">
        <f>XLOOKUP(B251,'_Sys|Line_Map'!$A:$A,'_Sys|Line_Map'!$B:$B,"MISSING",0)</f>
        <v/>
      </c>
    </row>
    <row r="252">
      <c r="A252" s="4561" t="n"/>
      <c r="B252" s="4561" t="n"/>
      <c r="C252" s="4561" t="n"/>
      <c r="D252" s="4561" t="n"/>
      <c r="E252" s="4561" t="n"/>
      <c r="F252" s="4561" t="n"/>
      <c r="G252" s="4561" t="n"/>
      <c r="H252" s="4561" t="n"/>
      <c r="I252" s="4562">
        <f>XLOOKUP(B252,'_Sys|Line_Map'!$A:$A,'_Sys|Line_Map'!$C:$C,"MISSING",0)</f>
        <v/>
      </c>
      <c r="J252" s="4562">
        <f>XLOOKUP(B252,'_Sys|Line_Map'!$A:$A,'_Sys|Line_Map'!$D:$D,1,0)</f>
        <v/>
      </c>
      <c r="K252" s="4562">
        <f>IF(D252="","",D252*J252)</f>
        <v/>
      </c>
      <c r="L252" s="4562">
        <f>XLOOKUP(B252,'_Sys|Line_Map'!$A:$A,'_Sys|Line_Map'!$B:$B,"MISSING",0)</f>
        <v/>
      </c>
    </row>
    <row r="253">
      <c r="A253" s="4561" t="n"/>
      <c r="B253" s="4561" t="n"/>
      <c r="C253" s="4561" t="n"/>
      <c r="D253" s="4561" t="n"/>
      <c r="E253" s="4561" t="n"/>
      <c r="F253" s="4561" t="n"/>
      <c r="G253" s="4561" t="n"/>
      <c r="H253" s="4561" t="n"/>
      <c r="I253" s="4562">
        <f>XLOOKUP(B253,'_Sys|Line_Map'!$A:$A,'_Sys|Line_Map'!$C:$C,"MISSING",0)</f>
        <v/>
      </c>
      <c r="J253" s="4562">
        <f>XLOOKUP(B253,'_Sys|Line_Map'!$A:$A,'_Sys|Line_Map'!$D:$D,1,0)</f>
        <v/>
      </c>
      <c r="K253" s="4562">
        <f>IF(D253="","",D253*J253)</f>
        <v/>
      </c>
      <c r="L253" s="4562">
        <f>XLOOKUP(B253,'_Sys|Line_Map'!$A:$A,'_Sys|Line_Map'!$B:$B,"MISSING",0)</f>
        <v/>
      </c>
    </row>
    <row r="254">
      <c r="A254" s="4561" t="n"/>
      <c r="B254" s="4561" t="n"/>
      <c r="C254" s="4561" t="n"/>
      <c r="D254" s="4561" t="n"/>
      <c r="E254" s="4561" t="n"/>
      <c r="F254" s="4561" t="n"/>
      <c r="G254" s="4561" t="n"/>
      <c r="H254" s="4561" t="n"/>
      <c r="I254" s="4562">
        <f>XLOOKUP(B254,'_Sys|Line_Map'!$A:$A,'_Sys|Line_Map'!$C:$C,"MISSING",0)</f>
        <v/>
      </c>
      <c r="J254" s="4562">
        <f>XLOOKUP(B254,'_Sys|Line_Map'!$A:$A,'_Sys|Line_Map'!$D:$D,1,0)</f>
        <v/>
      </c>
      <c r="K254" s="4562">
        <f>IF(D254="","",D254*J254)</f>
        <v/>
      </c>
      <c r="L254" s="4562">
        <f>XLOOKUP(B254,'_Sys|Line_Map'!$A:$A,'_Sys|Line_Map'!$B:$B,"MISSING",0)</f>
        <v/>
      </c>
    </row>
    <row r="255">
      <c r="A255" s="4561" t="n"/>
      <c r="B255" s="4561" t="n"/>
      <c r="C255" s="4561" t="n"/>
      <c r="D255" s="4561" t="n"/>
      <c r="E255" s="4561" t="n"/>
      <c r="F255" s="4561" t="n"/>
      <c r="G255" s="4561" t="n"/>
      <c r="H255" s="4561" t="n"/>
      <c r="I255" s="4562">
        <f>XLOOKUP(B255,'_Sys|Line_Map'!$A:$A,'_Sys|Line_Map'!$C:$C,"MISSING",0)</f>
        <v/>
      </c>
      <c r="J255" s="4562">
        <f>XLOOKUP(B255,'_Sys|Line_Map'!$A:$A,'_Sys|Line_Map'!$D:$D,1,0)</f>
        <v/>
      </c>
      <c r="K255" s="4562">
        <f>IF(D255="","",D255*J255)</f>
        <v/>
      </c>
      <c r="L255" s="4562">
        <f>XLOOKUP(B255,'_Sys|Line_Map'!$A:$A,'_Sys|Line_Map'!$B:$B,"MISSING",0)</f>
        <v/>
      </c>
    </row>
    <row r="256">
      <c r="A256" s="4561" t="n"/>
      <c r="B256" s="4561" t="n"/>
      <c r="C256" s="4561" t="n"/>
      <c r="D256" s="4561" t="n"/>
      <c r="E256" s="4561" t="n"/>
      <c r="F256" s="4561" t="n"/>
      <c r="G256" s="4561" t="n"/>
      <c r="H256" s="4561" t="n"/>
      <c r="I256" s="4562">
        <f>XLOOKUP(B256,'_Sys|Line_Map'!$A:$A,'_Sys|Line_Map'!$C:$C,"MISSING",0)</f>
        <v/>
      </c>
      <c r="J256" s="4562">
        <f>XLOOKUP(B256,'_Sys|Line_Map'!$A:$A,'_Sys|Line_Map'!$D:$D,1,0)</f>
        <v/>
      </c>
      <c r="K256" s="4562">
        <f>IF(D256="","",D256*J256)</f>
        <v/>
      </c>
      <c r="L256" s="4562">
        <f>XLOOKUP(B256,'_Sys|Line_Map'!$A:$A,'_Sys|Line_Map'!$B:$B,"MISSING",0)</f>
        <v/>
      </c>
    </row>
    <row r="257">
      <c r="A257" s="4561" t="n"/>
      <c r="B257" s="4561" t="n"/>
      <c r="C257" s="4561" t="n"/>
      <c r="D257" s="4561" t="n"/>
      <c r="E257" s="4561" t="n"/>
      <c r="F257" s="4561" t="n"/>
      <c r="G257" s="4561" t="n"/>
      <c r="H257" s="4561" t="n"/>
      <c r="I257" s="4562">
        <f>XLOOKUP(B257,'_Sys|Line_Map'!$A:$A,'_Sys|Line_Map'!$C:$C,"MISSING",0)</f>
        <v/>
      </c>
      <c r="J257" s="4562">
        <f>XLOOKUP(B257,'_Sys|Line_Map'!$A:$A,'_Sys|Line_Map'!$D:$D,1,0)</f>
        <v/>
      </c>
      <c r="K257" s="4562">
        <f>IF(D257="","",D257*J257)</f>
        <v/>
      </c>
      <c r="L257" s="4562">
        <f>XLOOKUP(B257,'_Sys|Line_Map'!$A:$A,'_Sys|Line_Map'!$B:$B,"MISSING",0)</f>
        <v/>
      </c>
    </row>
    <row r="258">
      <c r="A258" s="4561" t="n"/>
      <c r="B258" s="4561" t="n"/>
      <c r="C258" s="4561" t="n"/>
      <c r="D258" s="4561" t="n"/>
      <c r="E258" s="4561" t="n"/>
      <c r="F258" s="4561" t="n"/>
      <c r="G258" s="4561" t="n"/>
      <c r="H258" s="4561" t="n"/>
      <c r="I258" s="4562">
        <f>XLOOKUP(B258,'_Sys|Line_Map'!$A:$A,'_Sys|Line_Map'!$C:$C,"MISSING",0)</f>
        <v/>
      </c>
      <c r="J258" s="4562">
        <f>XLOOKUP(B258,'_Sys|Line_Map'!$A:$A,'_Sys|Line_Map'!$D:$D,1,0)</f>
        <v/>
      </c>
      <c r="K258" s="4562">
        <f>IF(D258="","",D258*J258)</f>
        <v/>
      </c>
      <c r="L258" s="4562">
        <f>XLOOKUP(B258,'_Sys|Line_Map'!$A:$A,'_Sys|Line_Map'!$B:$B,"MISSING",0)</f>
        <v/>
      </c>
    </row>
    <row r="259">
      <c r="A259" s="4561" t="n"/>
      <c r="B259" s="4561" t="n"/>
      <c r="C259" s="4561" t="n"/>
      <c r="D259" s="4561" t="n"/>
      <c r="E259" s="4561" t="n"/>
      <c r="F259" s="4561" t="n"/>
      <c r="G259" s="4561" t="n"/>
      <c r="H259" s="4561" t="n"/>
      <c r="I259" s="4562">
        <f>XLOOKUP(B259,'_Sys|Line_Map'!$A:$A,'_Sys|Line_Map'!$C:$C,"MISSING",0)</f>
        <v/>
      </c>
      <c r="J259" s="4562">
        <f>XLOOKUP(B259,'_Sys|Line_Map'!$A:$A,'_Sys|Line_Map'!$D:$D,1,0)</f>
        <v/>
      </c>
      <c r="K259" s="4562">
        <f>IF(D259="","",D259*J259)</f>
        <v/>
      </c>
      <c r="L259" s="4562">
        <f>XLOOKUP(B259,'_Sys|Line_Map'!$A:$A,'_Sys|Line_Map'!$B:$B,"MISSING",0)</f>
        <v/>
      </c>
    </row>
    <row r="260">
      <c r="A260" s="4561" t="n"/>
      <c r="B260" s="4561" t="n"/>
      <c r="C260" s="4561" t="n"/>
      <c r="D260" s="4561" t="n"/>
      <c r="E260" s="4561" t="n"/>
      <c r="F260" s="4561" t="n"/>
      <c r="G260" s="4561" t="n"/>
      <c r="H260" s="4561" t="n"/>
      <c r="I260" s="4562">
        <f>XLOOKUP(B260,'_Sys|Line_Map'!$A:$A,'_Sys|Line_Map'!$C:$C,"MISSING",0)</f>
        <v/>
      </c>
      <c r="J260" s="4562">
        <f>XLOOKUP(B260,'_Sys|Line_Map'!$A:$A,'_Sys|Line_Map'!$D:$D,1,0)</f>
        <v/>
      </c>
      <c r="K260" s="4562">
        <f>IF(D260="","",D260*J260)</f>
        <v/>
      </c>
      <c r="L260" s="4562">
        <f>XLOOKUP(B260,'_Sys|Line_Map'!$A:$A,'_Sys|Line_Map'!$B:$B,"MISSING",0)</f>
        <v/>
      </c>
    </row>
    <row r="261">
      <c r="A261" s="4561" t="n"/>
      <c r="B261" s="4561" t="n"/>
      <c r="C261" s="4561" t="n"/>
      <c r="D261" s="4561" t="n"/>
      <c r="E261" s="4561" t="n"/>
      <c r="F261" s="4561" t="n"/>
      <c r="G261" s="4561" t="n"/>
      <c r="H261" s="4561" t="n"/>
      <c r="I261" s="4562">
        <f>XLOOKUP(B261,'_Sys|Line_Map'!$A:$A,'_Sys|Line_Map'!$C:$C,"MISSING",0)</f>
        <v/>
      </c>
      <c r="J261" s="4562">
        <f>XLOOKUP(B261,'_Sys|Line_Map'!$A:$A,'_Sys|Line_Map'!$D:$D,1,0)</f>
        <v/>
      </c>
      <c r="K261" s="4562">
        <f>IF(D261="","",D261*J261)</f>
        <v/>
      </c>
      <c r="L261" s="4562">
        <f>XLOOKUP(B261,'_Sys|Line_Map'!$A:$A,'_Sys|Line_Map'!$B:$B,"MISSING",0)</f>
        <v/>
      </c>
    </row>
    <row r="262">
      <c r="A262" s="4561" t="n"/>
      <c r="B262" s="4561" t="n"/>
      <c r="C262" s="4561" t="n"/>
      <c r="D262" s="4561" t="n"/>
      <c r="E262" s="4561" t="n"/>
      <c r="F262" s="4561" t="n"/>
      <c r="G262" s="4561" t="n"/>
      <c r="H262" s="4561" t="n"/>
      <c r="I262" s="4562">
        <f>XLOOKUP(B262,'_Sys|Line_Map'!$A:$A,'_Sys|Line_Map'!$C:$C,"MISSING",0)</f>
        <v/>
      </c>
      <c r="J262" s="4562">
        <f>XLOOKUP(B262,'_Sys|Line_Map'!$A:$A,'_Sys|Line_Map'!$D:$D,1,0)</f>
        <v/>
      </c>
      <c r="K262" s="4562">
        <f>IF(D262="","",D262*J262)</f>
        <v/>
      </c>
      <c r="L262" s="4562">
        <f>XLOOKUP(B262,'_Sys|Line_Map'!$A:$A,'_Sys|Line_Map'!$B:$B,"MISSING",0)</f>
        <v/>
      </c>
    </row>
    <row r="263">
      <c r="A263" s="4561" t="n"/>
      <c r="B263" s="4561" t="n"/>
      <c r="C263" s="4561" t="n"/>
      <c r="D263" s="4561" t="n"/>
      <c r="E263" s="4561" t="n"/>
      <c r="F263" s="4561" t="n"/>
      <c r="G263" s="4561" t="n"/>
      <c r="H263" s="4561" t="n"/>
      <c r="I263" s="4562">
        <f>XLOOKUP(B263,'_Sys|Line_Map'!$A:$A,'_Sys|Line_Map'!$C:$C,"MISSING",0)</f>
        <v/>
      </c>
      <c r="J263" s="4562">
        <f>XLOOKUP(B263,'_Sys|Line_Map'!$A:$A,'_Sys|Line_Map'!$D:$D,1,0)</f>
        <v/>
      </c>
      <c r="K263" s="4562">
        <f>IF(D263="","",D263*J263)</f>
        <v/>
      </c>
      <c r="L263" s="4562">
        <f>XLOOKUP(B263,'_Sys|Line_Map'!$A:$A,'_Sys|Line_Map'!$B:$B,"MISSING",0)</f>
        <v/>
      </c>
    </row>
    <row r="264">
      <c r="A264" s="4561" t="n"/>
      <c r="B264" s="4561" t="n"/>
      <c r="C264" s="4561" t="n"/>
      <c r="D264" s="4561" t="n"/>
      <c r="E264" s="4561" t="n"/>
      <c r="F264" s="4561" t="n"/>
      <c r="G264" s="4561" t="n"/>
      <c r="H264" s="4561" t="n"/>
      <c r="I264" s="4562">
        <f>XLOOKUP(B264,'_Sys|Line_Map'!$A:$A,'_Sys|Line_Map'!$C:$C,"MISSING",0)</f>
        <v/>
      </c>
      <c r="J264" s="4562">
        <f>XLOOKUP(B264,'_Sys|Line_Map'!$A:$A,'_Sys|Line_Map'!$D:$D,1,0)</f>
        <v/>
      </c>
      <c r="K264" s="4562">
        <f>IF(D264="","",D264*J264)</f>
        <v/>
      </c>
      <c r="L264" s="4562">
        <f>XLOOKUP(B264,'_Sys|Line_Map'!$A:$A,'_Sys|Line_Map'!$B:$B,"MISSING",0)</f>
        <v/>
      </c>
    </row>
    <row r="265">
      <c r="A265" s="4561" t="n"/>
      <c r="B265" s="4561" t="n"/>
      <c r="C265" s="4561" t="n"/>
      <c r="D265" s="4561" t="n"/>
      <c r="E265" s="4561" t="n"/>
      <c r="F265" s="4561" t="n"/>
      <c r="G265" s="4561" t="n"/>
      <c r="H265" s="4561" t="n"/>
      <c r="I265" s="4562">
        <f>XLOOKUP(B265,'_Sys|Line_Map'!$A:$A,'_Sys|Line_Map'!$C:$C,"MISSING",0)</f>
        <v/>
      </c>
      <c r="J265" s="4562">
        <f>XLOOKUP(B265,'_Sys|Line_Map'!$A:$A,'_Sys|Line_Map'!$D:$D,1,0)</f>
        <v/>
      </c>
      <c r="K265" s="4562">
        <f>IF(D265="","",D265*J265)</f>
        <v/>
      </c>
      <c r="L265" s="4562">
        <f>XLOOKUP(B265,'_Sys|Line_Map'!$A:$A,'_Sys|Line_Map'!$B:$B,"MISSING",0)</f>
        <v/>
      </c>
    </row>
    <row r="266">
      <c r="A266" s="4561" t="n"/>
      <c r="B266" s="4561" t="n"/>
      <c r="C266" s="4561" t="n"/>
      <c r="D266" s="4561" t="n"/>
      <c r="E266" s="4561" t="n"/>
      <c r="F266" s="4561" t="n"/>
      <c r="G266" s="4561" t="n"/>
      <c r="H266" s="4561" t="n"/>
      <c r="I266" s="4562">
        <f>XLOOKUP(B266,'_Sys|Line_Map'!$A:$A,'_Sys|Line_Map'!$C:$C,"MISSING",0)</f>
        <v/>
      </c>
      <c r="J266" s="4562">
        <f>XLOOKUP(B266,'_Sys|Line_Map'!$A:$A,'_Sys|Line_Map'!$D:$D,1,0)</f>
        <v/>
      </c>
      <c r="K266" s="4562">
        <f>IF(D266="","",D266*J266)</f>
        <v/>
      </c>
      <c r="L266" s="4562">
        <f>XLOOKUP(B266,'_Sys|Line_Map'!$A:$A,'_Sys|Line_Map'!$B:$B,"MISSING",0)</f>
        <v/>
      </c>
    </row>
    <row r="267">
      <c r="A267" s="4561" t="n"/>
      <c r="B267" s="4561" t="n"/>
      <c r="C267" s="4561" t="n"/>
      <c r="D267" s="4561" t="n"/>
      <c r="E267" s="4561" t="n"/>
      <c r="F267" s="4561" t="n"/>
      <c r="G267" s="4561" t="n"/>
      <c r="H267" s="4561" t="n"/>
      <c r="I267" s="4562">
        <f>XLOOKUP(B267,'_Sys|Line_Map'!$A:$A,'_Sys|Line_Map'!$C:$C,"MISSING",0)</f>
        <v/>
      </c>
      <c r="J267" s="4562">
        <f>XLOOKUP(B267,'_Sys|Line_Map'!$A:$A,'_Sys|Line_Map'!$D:$D,1,0)</f>
        <v/>
      </c>
      <c r="K267" s="4562">
        <f>IF(D267="","",D267*J267)</f>
        <v/>
      </c>
      <c r="L267" s="4562">
        <f>XLOOKUP(B267,'_Sys|Line_Map'!$A:$A,'_Sys|Line_Map'!$B:$B,"MISSING",0)</f>
        <v/>
      </c>
    </row>
    <row r="268">
      <c r="A268" s="4561" t="n"/>
      <c r="B268" s="4561" t="n"/>
      <c r="C268" s="4561" t="n"/>
      <c r="D268" s="4561" t="n"/>
      <c r="E268" s="4561" t="n"/>
      <c r="F268" s="4561" t="n"/>
      <c r="G268" s="4561" t="n"/>
      <c r="H268" s="4561" t="n"/>
      <c r="I268" s="4562">
        <f>XLOOKUP(B268,'_Sys|Line_Map'!$A:$A,'_Sys|Line_Map'!$C:$C,"MISSING",0)</f>
        <v/>
      </c>
      <c r="J268" s="4562">
        <f>XLOOKUP(B268,'_Sys|Line_Map'!$A:$A,'_Sys|Line_Map'!$D:$D,1,0)</f>
        <v/>
      </c>
      <c r="K268" s="4562">
        <f>IF(D268="","",D268*J268)</f>
        <v/>
      </c>
      <c r="L268" s="4562">
        <f>XLOOKUP(B268,'_Sys|Line_Map'!$A:$A,'_Sys|Line_Map'!$B:$B,"MISSING",0)</f>
        <v/>
      </c>
    </row>
    <row r="269">
      <c r="A269" s="4561" t="n"/>
      <c r="B269" s="4561" t="n"/>
      <c r="C269" s="4561" t="n"/>
      <c r="D269" s="4561" t="n"/>
      <c r="E269" s="4561" t="n"/>
      <c r="F269" s="4561" t="n"/>
      <c r="G269" s="4561" t="n"/>
      <c r="H269" s="4561" t="n"/>
      <c r="I269" s="4562">
        <f>XLOOKUP(B269,'_Sys|Line_Map'!$A:$A,'_Sys|Line_Map'!$C:$C,"MISSING",0)</f>
        <v/>
      </c>
      <c r="J269" s="4562">
        <f>XLOOKUP(B269,'_Sys|Line_Map'!$A:$A,'_Sys|Line_Map'!$D:$D,1,0)</f>
        <v/>
      </c>
      <c r="K269" s="4562">
        <f>IF(D269="","",D269*J269)</f>
        <v/>
      </c>
      <c r="L269" s="4562">
        <f>XLOOKUP(B269,'_Sys|Line_Map'!$A:$A,'_Sys|Line_Map'!$B:$B,"MISSING",0)</f>
        <v/>
      </c>
    </row>
    <row r="270">
      <c r="A270" s="4561" t="n"/>
      <c r="B270" s="4561" t="n"/>
      <c r="C270" s="4561" t="n"/>
      <c r="D270" s="4561" t="n"/>
      <c r="E270" s="4561" t="n"/>
      <c r="F270" s="4561" t="n"/>
      <c r="G270" s="4561" t="n"/>
      <c r="H270" s="4561" t="n"/>
      <c r="I270" s="4562">
        <f>XLOOKUP(B270,'_Sys|Line_Map'!$A:$A,'_Sys|Line_Map'!$C:$C,"MISSING",0)</f>
        <v/>
      </c>
      <c r="J270" s="4562">
        <f>XLOOKUP(B270,'_Sys|Line_Map'!$A:$A,'_Sys|Line_Map'!$D:$D,1,0)</f>
        <v/>
      </c>
      <c r="K270" s="4562">
        <f>IF(D270="","",D270*J270)</f>
        <v/>
      </c>
      <c r="L270" s="4562">
        <f>XLOOKUP(B270,'_Sys|Line_Map'!$A:$A,'_Sys|Line_Map'!$B:$B,"MISSING",0)</f>
        <v/>
      </c>
    </row>
    <row r="271">
      <c r="A271" s="4561" t="n"/>
      <c r="B271" s="4561" t="n"/>
      <c r="C271" s="4561" t="n"/>
      <c r="D271" s="4561" t="n"/>
      <c r="E271" s="4561" t="n"/>
      <c r="F271" s="4561" t="n"/>
      <c r="G271" s="4561" t="n"/>
      <c r="H271" s="4561" t="n"/>
      <c r="I271" s="4562">
        <f>XLOOKUP(B271,'_Sys|Line_Map'!$A:$A,'_Sys|Line_Map'!$C:$C,"MISSING",0)</f>
        <v/>
      </c>
      <c r="J271" s="4562">
        <f>XLOOKUP(B271,'_Sys|Line_Map'!$A:$A,'_Sys|Line_Map'!$D:$D,1,0)</f>
        <v/>
      </c>
      <c r="K271" s="4562">
        <f>IF(D271="","",D271*J271)</f>
        <v/>
      </c>
      <c r="L271" s="4562">
        <f>XLOOKUP(B271,'_Sys|Line_Map'!$A:$A,'_Sys|Line_Map'!$B:$B,"MISSING",0)</f>
        <v/>
      </c>
    </row>
    <row r="272">
      <c r="A272" s="4561" t="n"/>
      <c r="B272" s="4561" t="n"/>
      <c r="C272" s="4561" t="n"/>
      <c r="D272" s="4561" t="n"/>
      <c r="E272" s="4561" t="n"/>
      <c r="F272" s="4561" t="n"/>
      <c r="G272" s="4561" t="n"/>
      <c r="H272" s="4561" t="n"/>
      <c r="I272" s="4562">
        <f>XLOOKUP(B272,'_Sys|Line_Map'!$A:$A,'_Sys|Line_Map'!$C:$C,"MISSING",0)</f>
        <v/>
      </c>
      <c r="J272" s="4562">
        <f>XLOOKUP(B272,'_Sys|Line_Map'!$A:$A,'_Sys|Line_Map'!$D:$D,1,0)</f>
        <v/>
      </c>
      <c r="K272" s="4562">
        <f>IF(D272="","",D272*J272)</f>
        <v/>
      </c>
      <c r="L272" s="4562">
        <f>XLOOKUP(B272,'_Sys|Line_Map'!$A:$A,'_Sys|Line_Map'!$B:$B,"MISSING",0)</f>
        <v/>
      </c>
    </row>
    <row r="273">
      <c r="A273" s="4561" t="n"/>
      <c r="B273" s="4561" t="n"/>
      <c r="C273" s="4561" t="n"/>
      <c r="D273" s="4561" t="n"/>
      <c r="E273" s="4561" t="n"/>
      <c r="F273" s="4561" t="n"/>
      <c r="G273" s="4561" t="n"/>
      <c r="H273" s="4561" t="n"/>
      <c r="I273" s="4562">
        <f>XLOOKUP(B273,'_Sys|Line_Map'!$A:$A,'_Sys|Line_Map'!$C:$C,"MISSING",0)</f>
        <v/>
      </c>
      <c r="J273" s="4562">
        <f>XLOOKUP(B273,'_Sys|Line_Map'!$A:$A,'_Sys|Line_Map'!$D:$D,1,0)</f>
        <v/>
      </c>
      <c r="K273" s="4562">
        <f>IF(D273="","",D273*J273)</f>
        <v/>
      </c>
      <c r="L273" s="4562">
        <f>XLOOKUP(B273,'_Sys|Line_Map'!$A:$A,'_Sys|Line_Map'!$B:$B,"MISSING",0)</f>
        <v/>
      </c>
    </row>
    <row r="274">
      <c r="A274" s="4561" t="n"/>
      <c r="B274" s="4561" t="n"/>
      <c r="C274" s="4561" t="n"/>
      <c r="D274" s="4561" t="n"/>
      <c r="E274" s="4561" t="n"/>
      <c r="F274" s="4561" t="n"/>
      <c r="G274" s="4561" t="n"/>
      <c r="H274" s="4561" t="n"/>
      <c r="I274" s="4562">
        <f>XLOOKUP(B274,'_Sys|Line_Map'!$A:$A,'_Sys|Line_Map'!$C:$C,"MISSING",0)</f>
        <v/>
      </c>
      <c r="J274" s="4562">
        <f>XLOOKUP(B274,'_Sys|Line_Map'!$A:$A,'_Sys|Line_Map'!$D:$D,1,0)</f>
        <v/>
      </c>
      <c r="K274" s="4562">
        <f>IF(D274="","",D274*J274)</f>
        <v/>
      </c>
      <c r="L274" s="4562">
        <f>XLOOKUP(B274,'_Sys|Line_Map'!$A:$A,'_Sys|Line_Map'!$B:$B,"MISSING",0)</f>
        <v/>
      </c>
    </row>
    <row r="275">
      <c r="A275" s="4561" t="n"/>
      <c r="B275" s="4561" t="n"/>
      <c r="C275" s="4561" t="n"/>
      <c r="D275" s="4561" t="n"/>
      <c r="E275" s="4561" t="n"/>
      <c r="F275" s="4561" t="n"/>
      <c r="G275" s="4561" t="n"/>
      <c r="H275" s="4561" t="n"/>
      <c r="I275" s="4562">
        <f>XLOOKUP(B275,'_Sys|Line_Map'!$A:$A,'_Sys|Line_Map'!$C:$C,"MISSING",0)</f>
        <v/>
      </c>
      <c r="J275" s="4562">
        <f>XLOOKUP(B275,'_Sys|Line_Map'!$A:$A,'_Sys|Line_Map'!$D:$D,1,0)</f>
        <v/>
      </c>
      <c r="K275" s="4562">
        <f>IF(D275="","",D275*J275)</f>
        <v/>
      </c>
      <c r="L275" s="4562">
        <f>XLOOKUP(B275,'_Sys|Line_Map'!$A:$A,'_Sys|Line_Map'!$B:$B,"MISSING",0)</f>
        <v/>
      </c>
    </row>
    <row r="276">
      <c r="A276" s="4561" t="n"/>
      <c r="B276" s="4561" t="n"/>
      <c r="C276" s="4561" t="n"/>
      <c r="D276" s="4561" t="n"/>
      <c r="E276" s="4561" t="n"/>
      <c r="F276" s="4561" t="n"/>
      <c r="G276" s="4561" t="n"/>
      <c r="H276" s="4561" t="n"/>
      <c r="I276" s="4562">
        <f>XLOOKUP(B276,'_Sys|Line_Map'!$A:$A,'_Sys|Line_Map'!$C:$C,"MISSING",0)</f>
        <v/>
      </c>
      <c r="J276" s="4562">
        <f>XLOOKUP(B276,'_Sys|Line_Map'!$A:$A,'_Sys|Line_Map'!$D:$D,1,0)</f>
        <v/>
      </c>
      <c r="K276" s="4562">
        <f>IF(D276="","",D276*J276)</f>
        <v/>
      </c>
      <c r="L276" s="4562">
        <f>XLOOKUP(B276,'_Sys|Line_Map'!$A:$A,'_Sys|Line_Map'!$B:$B,"MISSING",0)</f>
        <v/>
      </c>
    </row>
    <row r="277">
      <c r="A277" s="4561" t="n"/>
      <c r="B277" s="4561" t="n"/>
      <c r="C277" s="4561" t="n"/>
      <c r="D277" s="4561" t="n"/>
      <c r="E277" s="4561" t="n"/>
      <c r="F277" s="4561" t="n"/>
      <c r="G277" s="4561" t="n"/>
      <c r="H277" s="4561" t="n"/>
      <c r="I277" s="4562">
        <f>XLOOKUP(B277,'_Sys|Line_Map'!$A:$A,'_Sys|Line_Map'!$C:$C,"MISSING",0)</f>
        <v/>
      </c>
      <c r="J277" s="4562">
        <f>XLOOKUP(B277,'_Sys|Line_Map'!$A:$A,'_Sys|Line_Map'!$D:$D,1,0)</f>
        <v/>
      </c>
      <c r="K277" s="4562">
        <f>IF(D277="","",D277*J277)</f>
        <v/>
      </c>
      <c r="L277" s="4562">
        <f>XLOOKUP(B277,'_Sys|Line_Map'!$A:$A,'_Sys|Line_Map'!$B:$B,"MISSING",0)</f>
        <v/>
      </c>
    </row>
    <row r="278">
      <c r="A278" s="4561" t="n"/>
      <c r="B278" s="4561" t="n"/>
      <c r="C278" s="4561" t="n"/>
      <c r="D278" s="4561" t="n"/>
      <c r="E278" s="4561" t="n"/>
      <c r="F278" s="4561" t="n"/>
      <c r="G278" s="4561" t="n"/>
      <c r="H278" s="4561" t="n"/>
      <c r="I278" s="4562">
        <f>XLOOKUP(B278,'_Sys|Line_Map'!$A:$A,'_Sys|Line_Map'!$C:$C,"MISSING",0)</f>
        <v/>
      </c>
      <c r="J278" s="4562">
        <f>XLOOKUP(B278,'_Sys|Line_Map'!$A:$A,'_Sys|Line_Map'!$D:$D,1,0)</f>
        <v/>
      </c>
      <c r="K278" s="4562">
        <f>IF(D278="","",D278*J278)</f>
        <v/>
      </c>
      <c r="L278" s="4562">
        <f>XLOOKUP(B278,'_Sys|Line_Map'!$A:$A,'_Sys|Line_Map'!$B:$B,"MISSING",0)</f>
        <v/>
      </c>
    </row>
    <row r="279">
      <c r="A279" s="4561" t="n"/>
      <c r="B279" s="4561" t="n"/>
      <c r="C279" s="4561" t="n"/>
      <c r="D279" s="4561" t="n"/>
      <c r="E279" s="4561" t="n"/>
      <c r="F279" s="4561" t="n"/>
      <c r="G279" s="4561" t="n"/>
      <c r="H279" s="4561" t="n"/>
      <c r="I279" s="4562">
        <f>XLOOKUP(B279,'_Sys|Line_Map'!$A:$A,'_Sys|Line_Map'!$C:$C,"MISSING",0)</f>
        <v/>
      </c>
      <c r="J279" s="4562">
        <f>XLOOKUP(B279,'_Sys|Line_Map'!$A:$A,'_Sys|Line_Map'!$D:$D,1,0)</f>
        <v/>
      </c>
      <c r="K279" s="4562">
        <f>IF(D279="","",D279*J279)</f>
        <v/>
      </c>
      <c r="L279" s="4562">
        <f>XLOOKUP(B279,'_Sys|Line_Map'!$A:$A,'_Sys|Line_Map'!$B:$B,"MISSING",0)</f>
        <v/>
      </c>
    </row>
    <row r="280">
      <c r="A280" s="4561" t="n"/>
      <c r="B280" s="4561" t="n"/>
      <c r="C280" s="4561" t="n"/>
      <c r="D280" s="4561" t="n"/>
      <c r="E280" s="4561" t="n"/>
      <c r="F280" s="4561" t="n"/>
      <c r="G280" s="4561" t="n"/>
      <c r="H280" s="4561" t="n"/>
      <c r="I280" s="4562">
        <f>XLOOKUP(B280,'_Sys|Line_Map'!$A:$A,'_Sys|Line_Map'!$C:$C,"MISSING",0)</f>
        <v/>
      </c>
      <c r="J280" s="4562">
        <f>XLOOKUP(B280,'_Sys|Line_Map'!$A:$A,'_Sys|Line_Map'!$D:$D,1,0)</f>
        <v/>
      </c>
      <c r="K280" s="4562">
        <f>IF(D280="","",D280*J280)</f>
        <v/>
      </c>
      <c r="L280" s="4562">
        <f>XLOOKUP(B280,'_Sys|Line_Map'!$A:$A,'_Sys|Line_Map'!$B:$B,"MISSING",0)</f>
        <v/>
      </c>
    </row>
    <row r="281">
      <c r="A281" s="4561" t="n"/>
      <c r="B281" s="4561" t="n"/>
      <c r="C281" s="4561" t="n"/>
      <c r="D281" s="4561" t="n"/>
      <c r="E281" s="4561" t="n"/>
      <c r="F281" s="4561" t="n"/>
      <c r="G281" s="4561" t="n"/>
      <c r="H281" s="4561" t="n"/>
      <c r="I281" s="4562">
        <f>XLOOKUP(B281,'_Sys|Line_Map'!$A:$A,'_Sys|Line_Map'!$C:$C,"MISSING",0)</f>
        <v/>
      </c>
      <c r="J281" s="4562">
        <f>XLOOKUP(B281,'_Sys|Line_Map'!$A:$A,'_Sys|Line_Map'!$D:$D,1,0)</f>
        <v/>
      </c>
      <c r="K281" s="4562">
        <f>IF(D281="","",D281*J281)</f>
        <v/>
      </c>
      <c r="L281" s="4562">
        <f>XLOOKUP(B281,'_Sys|Line_Map'!$A:$A,'_Sys|Line_Map'!$B:$B,"MISSING",0)</f>
        <v/>
      </c>
    </row>
    <row r="282">
      <c r="A282" s="4561" t="n"/>
      <c r="B282" s="4561" t="n"/>
      <c r="C282" s="4561" t="n"/>
      <c r="D282" s="4561" t="n"/>
      <c r="E282" s="4561" t="n"/>
      <c r="F282" s="4561" t="n"/>
      <c r="G282" s="4561" t="n"/>
      <c r="H282" s="4561" t="n"/>
      <c r="I282" s="4562">
        <f>XLOOKUP(B282,'_Sys|Line_Map'!$A:$A,'_Sys|Line_Map'!$C:$C,"MISSING",0)</f>
        <v/>
      </c>
      <c r="J282" s="4562">
        <f>XLOOKUP(B282,'_Sys|Line_Map'!$A:$A,'_Sys|Line_Map'!$D:$D,1,0)</f>
        <v/>
      </c>
      <c r="K282" s="4562">
        <f>IF(D282="","",D282*J282)</f>
        <v/>
      </c>
      <c r="L282" s="4562">
        <f>XLOOKUP(B282,'_Sys|Line_Map'!$A:$A,'_Sys|Line_Map'!$B:$B,"MISSING",0)</f>
        <v/>
      </c>
    </row>
    <row r="283">
      <c r="A283" s="4561" t="n"/>
      <c r="B283" s="4561" t="n"/>
      <c r="C283" s="4561" t="n"/>
      <c r="D283" s="4561" t="n"/>
      <c r="E283" s="4561" t="n"/>
      <c r="F283" s="4561" t="n"/>
      <c r="G283" s="4561" t="n"/>
      <c r="H283" s="4561" t="n"/>
      <c r="I283" s="4562">
        <f>XLOOKUP(B283,'_Sys|Line_Map'!$A:$A,'_Sys|Line_Map'!$C:$C,"MISSING",0)</f>
        <v/>
      </c>
      <c r="J283" s="4562">
        <f>XLOOKUP(B283,'_Sys|Line_Map'!$A:$A,'_Sys|Line_Map'!$D:$D,1,0)</f>
        <v/>
      </c>
      <c r="K283" s="4562">
        <f>IF(D283="","",D283*J283)</f>
        <v/>
      </c>
      <c r="L283" s="4562">
        <f>XLOOKUP(B283,'_Sys|Line_Map'!$A:$A,'_Sys|Line_Map'!$B:$B,"MISSING",0)</f>
        <v/>
      </c>
    </row>
    <row r="284">
      <c r="A284" s="4561" t="n"/>
      <c r="B284" s="4561" t="n"/>
      <c r="C284" s="4561" t="n"/>
      <c r="D284" s="4561" t="n"/>
      <c r="E284" s="4561" t="n"/>
      <c r="F284" s="4561" t="n"/>
      <c r="G284" s="4561" t="n"/>
      <c r="H284" s="4561" t="n"/>
      <c r="I284" s="4562">
        <f>XLOOKUP(B284,'_Sys|Line_Map'!$A:$A,'_Sys|Line_Map'!$C:$C,"MISSING",0)</f>
        <v/>
      </c>
      <c r="J284" s="4562">
        <f>XLOOKUP(B284,'_Sys|Line_Map'!$A:$A,'_Sys|Line_Map'!$D:$D,1,0)</f>
        <v/>
      </c>
      <c r="K284" s="4562">
        <f>IF(D284="","",D284*J284)</f>
        <v/>
      </c>
      <c r="L284" s="4562">
        <f>XLOOKUP(B284,'_Sys|Line_Map'!$A:$A,'_Sys|Line_Map'!$B:$B,"MISSING",0)</f>
        <v/>
      </c>
    </row>
    <row r="285">
      <c r="A285" s="4561" t="n"/>
      <c r="B285" s="4561" t="n"/>
      <c r="C285" s="4561" t="n"/>
      <c r="D285" s="4561" t="n"/>
      <c r="E285" s="4561" t="n"/>
      <c r="F285" s="4561" t="n"/>
      <c r="G285" s="4561" t="n"/>
      <c r="H285" s="4561" t="n"/>
      <c r="I285" s="4562">
        <f>XLOOKUP(B285,'_Sys|Line_Map'!$A:$A,'_Sys|Line_Map'!$C:$C,"MISSING",0)</f>
        <v/>
      </c>
      <c r="J285" s="4562">
        <f>XLOOKUP(B285,'_Sys|Line_Map'!$A:$A,'_Sys|Line_Map'!$D:$D,1,0)</f>
        <v/>
      </c>
      <c r="K285" s="4562">
        <f>IF(D285="","",D285*J285)</f>
        <v/>
      </c>
      <c r="L285" s="4562">
        <f>XLOOKUP(B285,'_Sys|Line_Map'!$A:$A,'_Sys|Line_Map'!$B:$B,"MISSING",0)</f>
        <v/>
      </c>
    </row>
    <row r="286">
      <c r="A286" s="4561" t="n"/>
      <c r="B286" s="4561" t="n"/>
      <c r="C286" s="4561" t="n"/>
      <c r="D286" s="4561" t="n"/>
      <c r="E286" s="4561" t="n"/>
      <c r="F286" s="4561" t="n"/>
      <c r="G286" s="4561" t="n"/>
      <c r="H286" s="4561" t="n"/>
      <c r="I286" s="4562">
        <f>XLOOKUP(B286,'_Sys|Line_Map'!$A:$A,'_Sys|Line_Map'!$C:$C,"MISSING",0)</f>
        <v/>
      </c>
      <c r="J286" s="4562">
        <f>XLOOKUP(B286,'_Sys|Line_Map'!$A:$A,'_Sys|Line_Map'!$D:$D,1,0)</f>
        <v/>
      </c>
      <c r="K286" s="4562">
        <f>IF(D286="","",D286*J286)</f>
        <v/>
      </c>
      <c r="L286" s="4562">
        <f>XLOOKUP(B286,'_Sys|Line_Map'!$A:$A,'_Sys|Line_Map'!$B:$B,"MISSING",0)</f>
        <v/>
      </c>
    </row>
    <row r="287">
      <c r="A287" s="4561" t="n"/>
      <c r="B287" s="4561" t="n"/>
      <c r="C287" s="4561" t="n"/>
      <c r="D287" s="4561" t="n"/>
      <c r="E287" s="4561" t="n"/>
      <c r="F287" s="4561" t="n"/>
      <c r="G287" s="4561" t="n"/>
      <c r="H287" s="4561" t="n"/>
      <c r="I287" s="4562">
        <f>XLOOKUP(B287,'_Sys|Line_Map'!$A:$A,'_Sys|Line_Map'!$C:$C,"MISSING",0)</f>
        <v/>
      </c>
      <c r="J287" s="4562">
        <f>XLOOKUP(B287,'_Sys|Line_Map'!$A:$A,'_Sys|Line_Map'!$D:$D,1,0)</f>
        <v/>
      </c>
      <c r="K287" s="4562">
        <f>IF(D287="","",D287*J287)</f>
        <v/>
      </c>
      <c r="L287" s="4562">
        <f>XLOOKUP(B287,'_Sys|Line_Map'!$A:$A,'_Sys|Line_Map'!$B:$B,"MISSING",0)</f>
        <v/>
      </c>
    </row>
    <row r="288">
      <c r="A288" s="4561" t="n"/>
      <c r="B288" s="4561" t="n"/>
      <c r="C288" s="4561" t="n"/>
      <c r="D288" s="4561" t="n"/>
      <c r="E288" s="4561" t="n"/>
      <c r="F288" s="4561" t="n"/>
      <c r="G288" s="4561" t="n"/>
      <c r="H288" s="4561" t="n"/>
      <c r="I288" s="4562">
        <f>XLOOKUP(B288,'_Sys|Line_Map'!$A:$A,'_Sys|Line_Map'!$C:$C,"MISSING",0)</f>
        <v/>
      </c>
      <c r="J288" s="4562">
        <f>XLOOKUP(B288,'_Sys|Line_Map'!$A:$A,'_Sys|Line_Map'!$D:$D,1,0)</f>
        <v/>
      </c>
      <c r="K288" s="4562">
        <f>IF(D288="","",D288*J288)</f>
        <v/>
      </c>
      <c r="L288" s="4562">
        <f>XLOOKUP(B288,'_Sys|Line_Map'!$A:$A,'_Sys|Line_Map'!$B:$B,"MISSING",0)</f>
        <v/>
      </c>
    </row>
    <row r="289">
      <c r="A289" s="4561" t="n"/>
      <c r="B289" s="4561" t="n"/>
      <c r="C289" s="4561" t="n"/>
      <c r="D289" s="4561" t="n"/>
      <c r="E289" s="4561" t="n"/>
      <c r="F289" s="4561" t="n"/>
      <c r="G289" s="4561" t="n"/>
      <c r="H289" s="4561" t="n"/>
      <c r="I289" s="4562">
        <f>XLOOKUP(B289,'_Sys|Line_Map'!$A:$A,'_Sys|Line_Map'!$C:$C,"MISSING",0)</f>
        <v/>
      </c>
      <c r="J289" s="4562">
        <f>XLOOKUP(B289,'_Sys|Line_Map'!$A:$A,'_Sys|Line_Map'!$D:$D,1,0)</f>
        <v/>
      </c>
      <c r="K289" s="4562">
        <f>IF(D289="","",D289*J289)</f>
        <v/>
      </c>
      <c r="L289" s="4562">
        <f>XLOOKUP(B289,'_Sys|Line_Map'!$A:$A,'_Sys|Line_Map'!$B:$B,"MISSING",0)</f>
        <v/>
      </c>
    </row>
    <row r="290">
      <c r="A290" s="4561" t="n"/>
      <c r="B290" s="4561" t="n"/>
      <c r="C290" s="4561" t="n"/>
      <c r="D290" s="4561" t="n"/>
      <c r="E290" s="4561" t="n"/>
      <c r="F290" s="4561" t="n"/>
      <c r="G290" s="4561" t="n"/>
      <c r="H290" s="4561" t="n"/>
      <c r="I290" s="4562">
        <f>XLOOKUP(B290,'_Sys|Line_Map'!$A:$A,'_Sys|Line_Map'!$C:$C,"MISSING",0)</f>
        <v/>
      </c>
      <c r="J290" s="4562">
        <f>XLOOKUP(B290,'_Sys|Line_Map'!$A:$A,'_Sys|Line_Map'!$D:$D,1,0)</f>
        <v/>
      </c>
      <c r="K290" s="4562">
        <f>IF(D290="","",D290*J290)</f>
        <v/>
      </c>
      <c r="L290" s="4562">
        <f>XLOOKUP(B290,'_Sys|Line_Map'!$A:$A,'_Sys|Line_Map'!$B:$B,"MISSING",0)</f>
        <v/>
      </c>
    </row>
    <row r="291">
      <c r="A291" s="4561" t="n"/>
      <c r="B291" s="4561" t="n"/>
      <c r="C291" s="4561" t="n"/>
      <c r="D291" s="4561" t="n"/>
      <c r="E291" s="4561" t="n"/>
      <c r="F291" s="4561" t="n"/>
      <c r="G291" s="4561" t="n"/>
      <c r="H291" s="4561" t="n"/>
      <c r="I291" s="4562">
        <f>XLOOKUP(B291,'_Sys|Line_Map'!$A:$A,'_Sys|Line_Map'!$C:$C,"MISSING",0)</f>
        <v/>
      </c>
      <c r="J291" s="4562">
        <f>XLOOKUP(B291,'_Sys|Line_Map'!$A:$A,'_Sys|Line_Map'!$D:$D,1,0)</f>
        <v/>
      </c>
      <c r="K291" s="4562">
        <f>IF(D291="","",D291*J291)</f>
        <v/>
      </c>
      <c r="L291" s="4562">
        <f>XLOOKUP(B291,'_Sys|Line_Map'!$A:$A,'_Sys|Line_Map'!$B:$B,"MISSING",0)</f>
        <v/>
      </c>
    </row>
    <row r="292">
      <c r="A292" s="4561" t="n"/>
      <c r="B292" s="4561" t="n"/>
      <c r="C292" s="4561" t="n"/>
      <c r="D292" s="4561" t="n"/>
      <c r="E292" s="4561" t="n"/>
      <c r="F292" s="4561" t="n"/>
      <c r="G292" s="4561" t="n"/>
      <c r="H292" s="4561" t="n"/>
      <c r="I292" s="4562">
        <f>XLOOKUP(B292,'_Sys|Line_Map'!$A:$A,'_Sys|Line_Map'!$C:$C,"MISSING",0)</f>
        <v/>
      </c>
      <c r="J292" s="4562">
        <f>XLOOKUP(B292,'_Sys|Line_Map'!$A:$A,'_Sys|Line_Map'!$D:$D,1,0)</f>
        <v/>
      </c>
      <c r="K292" s="4562">
        <f>IF(D292="","",D292*J292)</f>
        <v/>
      </c>
      <c r="L292" s="4562">
        <f>XLOOKUP(B292,'_Sys|Line_Map'!$A:$A,'_Sys|Line_Map'!$B:$B,"MISSING",0)</f>
        <v/>
      </c>
    </row>
    <row r="293">
      <c r="A293" s="4561" t="n"/>
      <c r="B293" s="4561" t="n"/>
      <c r="C293" s="4561" t="n"/>
      <c r="D293" s="4561" t="n"/>
      <c r="E293" s="4561" t="n"/>
      <c r="F293" s="4561" t="n"/>
      <c r="G293" s="4561" t="n"/>
      <c r="H293" s="4561" t="n"/>
      <c r="I293" s="4562">
        <f>XLOOKUP(B293,'_Sys|Line_Map'!$A:$A,'_Sys|Line_Map'!$C:$C,"MISSING",0)</f>
        <v/>
      </c>
      <c r="J293" s="4562">
        <f>XLOOKUP(B293,'_Sys|Line_Map'!$A:$A,'_Sys|Line_Map'!$D:$D,1,0)</f>
        <v/>
      </c>
      <c r="K293" s="4562">
        <f>IF(D293="","",D293*J293)</f>
        <v/>
      </c>
      <c r="L293" s="4562">
        <f>XLOOKUP(B293,'_Sys|Line_Map'!$A:$A,'_Sys|Line_Map'!$B:$B,"MISSING",0)</f>
        <v/>
      </c>
    </row>
    <row r="294">
      <c r="A294" s="4561" t="n"/>
      <c r="B294" s="4561" t="n"/>
      <c r="C294" s="4561" t="n"/>
      <c r="D294" s="4561" t="n"/>
      <c r="E294" s="4561" t="n"/>
      <c r="F294" s="4561" t="n"/>
      <c r="G294" s="4561" t="n"/>
      <c r="H294" s="4561" t="n"/>
      <c r="I294" s="4562">
        <f>XLOOKUP(B294,'_Sys|Line_Map'!$A:$A,'_Sys|Line_Map'!$C:$C,"MISSING",0)</f>
        <v/>
      </c>
      <c r="J294" s="4562">
        <f>XLOOKUP(B294,'_Sys|Line_Map'!$A:$A,'_Sys|Line_Map'!$D:$D,1,0)</f>
        <v/>
      </c>
      <c r="K294" s="4562">
        <f>IF(D294="","",D294*J294)</f>
        <v/>
      </c>
      <c r="L294" s="4562">
        <f>XLOOKUP(B294,'_Sys|Line_Map'!$A:$A,'_Sys|Line_Map'!$B:$B,"MISSING",0)</f>
        <v/>
      </c>
    </row>
    <row r="295">
      <c r="A295" s="4561" t="n"/>
      <c r="B295" s="4561" t="n"/>
      <c r="C295" s="4561" t="n"/>
      <c r="D295" s="4561" t="n"/>
      <c r="E295" s="4561" t="n"/>
      <c r="F295" s="4561" t="n"/>
      <c r="G295" s="4561" t="n"/>
      <c r="H295" s="4561" t="n"/>
      <c r="I295" s="4562">
        <f>XLOOKUP(B295,'_Sys|Line_Map'!$A:$A,'_Sys|Line_Map'!$C:$C,"MISSING",0)</f>
        <v/>
      </c>
      <c r="J295" s="4562">
        <f>XLOOKUP(B295,'_Sys|Line_Map'!$A:$A,'_Sys|Line_Map'!$D:$D,1,0)</f>
        <v/>
      </c>
      <c r="K295" s="4562">
        <f>IF(D295="","",D295*J295)</f>
        <v/>
      </c>
      <c r="L295" s="4562">
        <f>XLOOKUP(B295,'_Sys|Line_Map'!$A:$A,'_Sys|Line_Map'!$B:$B,"MISSING",0)</f>
        <v/>
      </c>
    </row>
    <row r="296">
      <c r="A296" s="4561" t="n"/>
      <c r="B296" s="4561" t="n"/>
      <c r="C296" s="4561" t="n"/>
      <c r="D296" s="4561" t="n"/>
      <c r="E296" s="4561" t="n"/>
      <c r="F296" s="4561" t="n"/>
      <c r="G296" s="4561" t="n"/>
      <c r="H296" s="4561" t="n"/>
      <c r="I296" s="4562">
        <f>XLOOKUP(B296,'_Sys|Line_Map'!$A:$A,'_Sys|Line_Map'!$C:$C,"MISSING",0)</f>
        <v/>
      </c>
      <c r="J296" s="4562">
        <f>XLOOKUP(B296,'_Sys|Line_Map'!$A:$A,'_Sys|Line_Map'!$D:$D,1,0)</f>
        <v/>
      </c>
      <c r="K296" s="4562">
        <f>IF(D296="","",D296*J296)</f>
        <v/>
      </c>
      <c r="L296" s="4562">
        <f>XLOOKUP(B296,'_Sys|Line_Map'!$A:$A,'_Sys|Line_Map'!$B:$B,"MISSING",0)</f>
        <v/>
      </c>
    </row>
    <row r="297">
      <c r="A297" s="4561" t="n"/>
      <c r="B297" s="4561" t="n"/>
      <c r="C297" s="4561" t="n"/>
      <c r="D297" s="4561" t="n"/>
      <c r="E297" s="4561" t="n"/>
      <c r="F297" s="4561" t="n"/>
      <c r="G297" s="4561" t="n"/>
      <c r="H297" s="4561" t="n"/>
      <c r="I297" s="4562">
        <f>XLOOKUP(B297,'_Sys|Line_Map'!$A:$A,'_Sys|Line_Map'!$C:$C,"MISSING",0)</f>
        <v/>
      </c>
      <c r="J297" s="4562">
        <f>XLOOKUP(B297,'_Sys|Line_Map'!$A:$A,'_Sys|Line_Map'!$D:$D,1,0)</f>
        <v/>
      </c>
      <c r="K297" s="4562">
        <f>IF(D297="","",D297*J297)</f>
        <v/>
      </c>
      <c r="L297" s="4562">
        <f>XLOOKUP(B297,'_Sys|Line_Map'!$A:$A,'_Sys|Line_Map'!$B:$B,"MISSING",0)</f>
        <v/>
      </c>
    </row>
    <row r="298">
      <c r="A298" s="4561" t="n"/>
      <c r="B298" s="4561" t="n"/>
      <c r="C298" s="4561" t="n"/>
      <c r="D298" s="4561" t="n"/>
      <c r="E298" s="4561" t="n"/>
      <c r="F298" s="4561" t="n"/>
      <c r="G298" s="4561" t="n"/>
      <c r="H298" s="4561" t="n"/>
      <c r="I298" s="4562">
        <f>XLOOKUP(B298,'_Sys|Line_Map'!$A:$A,'_Sys|Line_Map'!$C:$C,"MISSING",0)</f>
        <v/>
      </c>
      <c r="J298" s="4562">
        <f>XLOOKUP(B298,'_Sys|Line_Map'!$A:$A,'_Sys|Line_Map'!$D:$D,1,0)</f>
        <v/>
      </c>
      <c r="K298" s="4562">
        <f>IF(D298="","",D298*J298)</f>
        <v/>
      </c>
      <c r="L298" s="4562">
        <f>XLOOKUP(B298,'_Sys|Line_Map'!$A:$A,'_Sys|Line_Map'!$B:$B,"MISSING",0)</f>
        <v/>
      </c>
    </row>
    <row r="299">
      <c r="A299" s="4561" t="n"/>
      <c r="B299" s="4561" t="n"/>
      <c r="C299" s="4561" t="n"/>
      <c r="D299" s="4561" t="n"/>
      <c r="E299" s="4561" t="n"/>
      <c r="F299" s="4561" t="n"/>
      <c r="G299" s="4561" t="n"/>
      <c r="H299" s="4561" t="n"/>
      <c r="I299" s="4562">
        <f>XLOOKUP(B299,'_Sys|Line_Map'!$A:$A,'_Sys|Line_Map'!$C:$C,"MISSING",0)</f>
        <v/>
      </c>
      <c r="J299" s="4562">
        <f>XLOOKUP(B299,'_Sys|Line_Map'!$A:$A,'_Sys|Line_Map'!$D:$D,1,0)</f>
        <v/>
      </c>
      <c r="K299" s="4562">
        <f>IF(D299="","",D299*J299)</f>
        <v/>
      </c>
      <c r="L299" s="4562">
        <f>XLOOKUP(B299,'_Sys|Line_Map'!$A:$A,'_Sys|Line_Map'!$B:$B,"MISSING",0)</f>
        <v/>
      </c>
    </row>
    <row r="300">
      <c r="A300" s="4561" t="n"/>
      <c r="B300" s="4561" t="n"/>
      <c r="C300" s="4561" t="n"/>
      <c r="D300" s="4561" t="n"/>
      <c r="E300" s="4561" t="n"/>
      <c r="F300" s="4561" t="n"/>
      <c r="G300" s="4561" t="n"/>
      <c r="H300" s="4561" t="n"/>
      <c r="I300" s="4562">
        <f>XLOOKUP(B300,'_Sys|Line_Map'!$A:$A,'_Sys|Line_Map'!$C:$C,"MISSING",0)</f>
        <v/>
      </c>
      <c r="J300" s="4562">
        <f>XLOOKUP(B300,'_Sys|Line_Map'!$A:$A,'_Sys|Line_Map'!$D:$D,1,0)</f>
        <v/>
      </c>
      <c r="K300" s="4562">
        <f>IF(D300="","",D300*J300)</f>
        <v/>
      </c>
      <c r="L300" s="4562">
        <f>XLOOKUP(B300,'_Sys|Line_Map'!$A:$A,'_Sys|Line_Map'!$B:$B,"MISSING",0)</f>
        <v/>
      </c>
    </row>
    <row r="301">
      <c r="A301" s="4561" t="n"/>
      <c r="B301" s="4561" t="n"/>
      <c r="C301" s="4561" t="n"/>
      <c r="D301" s="4561" t="n"/>
      <c r="E301" s="4561" t="n"/>
      <c r="F301" s="4561" t="n"/>
      <c r="G301" s="4561" t="n"/>
      <c r="H301" s="4561" t="n"/>
      <c r="I301" s="4562">
        <f>XLOOKUP(B301,'_Sys|Line_Map'!$A:$A,'_Sys|Line_Map'!$C:$C,"MISSING",0)</f>
        <v/>
      </c>
      <c r="J301" s="4562">
        <f>XLOOKUP(B301,'_Sys|Line_Map'!$A:$A,'_Sys|Line_Map'!$D:$D,1,0)</f>
        <v/>
      </c>
      <c r="K301" s="4562">
        <f>IF(D301="","",D301*J301)</f>
        <v/>
      </c>
      <c r="L301" s="4562">
        <f>XLOOKUP(B301,'_Sys|Line_Map'!$A:$A,'_Sys|Line_Map'!$B:$B,"MISSING",0)</f>
        <v/>
      </c>
    </row>
    <row r="302">
      <c r="A302" s="4561" t="n"/>
      <c r="B302" s="4561" t="n"/>
      <c r="C302" s="4561" t="n"/>
      <c r="D302" s="4561" t="n"/>
      <c r="E302" s="4561" t="n"/>
      <c r="F302" s="4561" t="n"/>
      <c r="G302" s="4561" t="n"/>
      <c r="H302" s="4561" t="n"/>
      <c r="I302" s="4562">
        <f>XLOOKUP(B302,'_Sys|Line_Map'!$A:$A,'_Sys|Line_Map'!$C:$C,"MISSING",0)</f>
        <v/>
      </c>
      <c r="J302" s="4562">
        <f>XLOOKUP(B302,'_Sys|Line_Map'!$A:$A,'_Sys|Line_Map'!$D:$D,1,0)</f>
        <v/>
      </c>
      <c r="K302" s="4562">
        <f>IF(D302="","",D302*J302)</f>
        <v/>
      </c>
      <c r="L302" s="4562">
        <f>XLOOKUP(B302,'_Sys|Line_Map'!$A:$A,'_Sys|Line_Map'!$B:$B,"MISSING",0)</f>
        <v/>
      </c>
    </row>
    <row r="303">
      <c r="A303" s="4561" t="n"/>
      <c r="B303" s="4561" t="n"/>
      <c r="C303" s="4561" t="n"/>
      <c r="D303" s="4561" t="n"/>
      <c r="E303" s="4561" t="n"/>
      <c r="F303" s="4561" t="n"/>
      <c r="G303" s="4561" t="n"/>
      <c r="H303" s="4561" t="n"/>
      <c r="I303" s="4562">
        <f>XLOOKUP(B303,'_Sys|Line_Map'!$A:$A,'_Sys|Line_Map'!$C:$C,"MISSING",0)</f>
        <v/>
      </c>
      <c r="J303" s="4562">
        <f>XLOOKUP(B303,'_Sys|Line_Map'!$A:$A,'_Sys|Line_Map'!$D:$D,1,0)</f>
        <v/>
      </c>
      <c r="K303" s="4562">
        <f>IF(D303="","",D303*J303)</f>
        <v/>
      </c>
      <c r="L303" s="4562">
        <f>XLOOKUP(B303,'_Sys|Line_Map'!$A:$A,'_Sys|Line_Map'!$B:$B,"MISSING",0)</f>
        <v/>
      </c>
    </row>
    <row r="304">
      <c r="A304" s="4561" t="n"/>
      <c r="B304" s="4561" t="n"/>
      <c r="C304" s="4561" t="n"/>
      <c r="D304" s="4561" t="n"/>
      <c r="E304" s="4561" t="n"/>
      <c r="F304" s="4561" t="n"/>
      <c r="G304" s="4561" t="n"/>
      <c r="H304" s="4561" t="n"/>
      <c r="I304" s="4562">
        <f>XLOOKUP(B304,'_Sys|Line_Map'!$A:$A,'_Sys|Line_Map'!$C:$C,"MISSING",0)</f>
        <v/>
      </c>
      <c r="J304" s="4562">
        <f>XLOOKUP(B304,'_Sys|Line_Map'!$A:$A,'_Sys|Line_Map'!$D:$D,1,0)</f>
        <v/>
      </c>
      <c r="K304" s="4562">
        <f>IF(D304="","",D304*J304)</f>
        <v/>
      </c>
      <c r="L304" s="4562">
        <f>XLOOKUP(B304,'_Sys|Line_Map'!$A:$A,'_Sys|Line_Map'!$B:$B,"MISSING",0)</f>
        <v/>
      </c>
    </row>
    <row r="305">
      <c r="A305" s="4561" t="n"/>
      <c r="B305" s="4561" t="n"/>
      <c r="C305" s="4561" t="n"/>
      <c r="D305" s="4561" t="n"/>
      <c r="E305" s="4561" t="n"/>
      <c r="F305" s="4561" t="n"/>
      <c r="G305" s="4561" t="n"/>
      <c r="H305" s="4561" t="n"/>
      <c r="I305" s="4562">
        <f>XLOOKUP(B305,'_Sys|Line_Map'!$A:$A,'_Sys|Line_Map'!$C:$C,"MISSING",0)</f>
        <v/>
      </c>
      <c r="J305" s="4562">
        <f>XLOOKUP(B305,'_Sys|Line_Map'!$A:$A,'_Sys|Line_Map'!$D:$D,1,0)</f>
        <v/>
      </c>
      <c r="K305" s="4562">
        <f>IF(D305="","",D305*J305)</f>
        <v/>
      </c>
      <c r="L305" s="4562">
        <f>XLOOKUP(B305,'_Sys|Line_Map'!$A:$A,'_Sys|Line_Map'!$B:$B,"MISSING",0)</f>
        <v/>
      </c>
    </row>
    <row r="306">
      <c r="A306" s="4561" t="n"/>
      <c r="B306" s="4561" t="n"/>
      <c r="C306" s="4561" t="n"/>
      <c r="D306" s="4561" t="n"/>
      <c r="E306" s="4561" t="n"/>
      <c r="F306" s="4561" t="n"/>
      <c r="G306" s="4561" t="n"/>
      <c r="H306" s="4561" t="n"/>
      <c r="I306" s="4562">
        <f>XLOOKUP(B306,'_Sys|Line_Map'!$A:$A,'_Sys|Line_Map'!$C:$C,"MISSING",0)</f>
        <v/>
      </c>
      <c r="J306" s="4562">
        <f>XLOOKUP(B306,'_Sys|Line_Map'!$A:$A,'_Sys|Line_Map'!$D:$D,1,0)</f>
        <v/>
      </c>
      <c r="K306" s="4562">
        <f>IF(D306="","",D306*J306)</f>
        <v/>
      </c>
      <c r="L306" s="4562">
        <f>XLOOKUP(B306,'_Sys|Line_Map'!$A:$A,'_Sys|Line_Map'!$B:$B,"MISSING",0)</f>
        <v/>
      </c>
    </row>
    <row r="307">
      <c r="A307" s="4561" t="n"/>
      <c r="B307" s="4561" t="n"/>
      <c r="C307" s="4561" t="n"/>
      <c r="D307" s="4561" t="n"/>
      <c r="E307" s="4561" t="n"/>
      <c r="F307" s="4561" t="n"/>
      <c r="G307" s="4561" t="n"/>
      <c r="H307" s="4561" t="n"/>
      <c r="I307" s="4562">
        <f>XLOOKUP(B307,'_Sys|Line_Map'!$A:$A,'_Sys|Line_Map'!$C:$C,"MISSING",0)</f>
        <v/>
      </c>
      <c r="J307" s="4562">
        <f>XLOOKUP(B307,'_Sys|Line_Map'!$A:$A,'_Sys|Line_Map'!$D:$D,1,0)</f>
        <v/>
      </c>
      <c r="K307" s="4562">
        <f>IF(D307="","",D307*J307)</f>
        <v/>
      </c>
      <c r="L307" s="4562">
        <f>XLOOKUP(B307,'_Sys|Line_Map'!$A:$A,'_Sys|Line_Map'!$B:$B,"MISSING",0)</f>
        <v/>
      </c>
    </row>
    <row r="308">
      <c r="A308" s="4561" t="n"/>
      <c r="B308" s="4561" t="n"/>
      <c r="C308" s="4561" t="n"/>
      <c r="D308" s="4561" t="n"/>
      <c r="E308" s="4561" t="n"/>
      <c r="F308" s="4561" t="n"/>
      <c r="G308" s="4561" t="n"/>
      <c r="H308" s="4561" t="n"/>
      <c r="I308" s="4562">
        <f>XLOOKUP(B308,'_Sys|Line_Map'!$A:$A,'_Sys|Line_Map'!$C:$C,"MISSING",0)</f>
        <v/>
      </c>
      <c r="J308" s="4562">
        <f>XLOOKUP(B308,'_Sys|Line_Map'!$A:$A,'_Sys|Line_Map'!$D:$D,1,0)</f>
        <v/>
      </c>
      <c r="K308" s="4562">
        <f>IF(D308="","",D308*J308)</f>
        <v/>
      </c>
      <c r="L308" s="4562">
        <f>XLOOKUP(B308,'_Sys|Line_Map'!$A:$A,'_Sys|Line_Map'!$B:$B,"MISSING",0)</f>
        <v/>
      </c>
    </row>
    <row r="309">
      <c r="A309" s="4561" t="n"/>
      <c r="B309" s="4561" t="n"/>
      <c r="C309" s="4561" t="n"/>
      <c r="D309" s="4561" t="n"/>
      <c r="E309" s="4561" t="n"/>
      <c r="F309" s="4561" t="n"/>
      <c r="G309" s="4561" t="n"/>
      <c r="H309" s="4561" t="n"/>
      <c r="I309" s="4562">
        <f>XLOOKUP(B309,'_Sys|Line_Map'!$A:$A,'_Sys|Line_Map'!$C:$C,"MISSING",0)</f>
        <v/>
      </c>
      <c r="J309" s="4562">
        <f>XLOOKUP(B309,'_Sys|Line_Map'!$A:$A,'_Sys|Line_Map'!$D:$D,1,0)</f>
        <v/>
      </c>
      <c r="K309" s="4562">
        <f>IF(D309="","",D309*J309)</f>
        <v/>
      </c>
      <c r="L309" s="4562">
        <f>XLOOKUP(B309,'_Sys|Line_Map'!$A:$A,'_Sys|Line_Map'!$B:$B,"MISSING",0)</f>
        <v/>
      </c>
    </row>
    <row r="310">
      <c r="A310" s="4561" t="n"/>
      <c r="B310" s="4561" t="n"/>
      <c r="C310" s="4561" t="n"/>
      <c r="D310" s="4561" t="n"/>
      <c r="E310" s="4561" t="n"/>
      <c r="F310" s="4561" t="n"/>
      <c r="G310" s="4561" t="n"/>
      <c r="H310" s="4561" t="n"/>
      <c r="I310" s="4562">
        <f>XLOOKUP(B310,'_Sys|Line_Map'!$A:$A,'_Sys|Line_Map'!$C:$C,"MISSING",0)</f>
        <v/>
      </c>
      <c r="J310" s="4562">
        <f>XLOOKUP(B310,'_Sys|Line_Map'!$A:$A,'_Sys|Line_Map'!$D:$D,1,0)</f>
        <v/>
      </c>
      <c r="K310" s="4562">
        <f>IF(D310="","",D310*J310)</f>
        <v/>
      </c>
      <c r="L310" s="4562">
        <f>XLOOKUP(B310,'_Sys|Line_Map'!$A:$A,'_Sys|Line_Map'!$B:$B,"MISSING",0)</f>
        <v/>
      </c>
    </row>
    <row r="311">
      <c r="A311" s="4561" t="n"/>
      <c r="B311" s="4561" t="n"/>
      <c r="C311" s="4561" t="n"/>
      <c r="D311" s="4561" t="n"/>
      <c r="E311" s="4561" t="n"/>
      <c r="F311" s="4561" t="n"/>
      <c r="G311" s="4561" t="n"/>
      <c r="H311" s="4561" t="n"/>
      <c r="I311" s="4562">
        <f>XLOOKUP(B311,'_Sys|Line_Map'!$A:$A,'_Sys|Line_Map'!$C:$C,"MISSING",0)</f>
        <v/>
      </c>
      <c r="J311" s="4562">
        <f>XLOOKUP(B311,'_Sys|Line_Map'!$A:$A,'_Sys|Line_Map'!$D:$D,1,0)</f>
        <v/>
      </c>
      <c r="K311" s="4562">
        <f>IF(D311="","",D311*J311)</f>
        <v/>
      </c>
      <c r="L311" s="4562">
        <f>XLOOKUP(B311,'_Sys|Line_Map'!$A:$A,'_Sys|Line_Map'!$B:$B,"MISSING",0)</f>
        <v/>
      </c>
    </row>
    <row r="312">
      <c r="A312" s="4561" t="n"/>
      <c r="B312" s="4561" t="n"/>
      <c r="C312" s="4561" t="n"/>
      <c r="D312" s="4561" t="n"/>
      <c r="E312" s="4561" t="n"/>
      <c r="F312" s="4561" t="n"/>
      <c r="G312" s="4561" t="n"/>
      <c r="H312" s="4561" t="n"/>
      <c r="I312" s="4562">
        <f>XLOOKUP(B312,'_Sys|Line_Map'!$A:$A,'_Sys|Line_Map'!$C:$C,"MISSING",0)</f>
        <v/>
      </c>
      <c r="J312" s="4562">
        <f>XLOOKUP(B312,'_Sys|Line_Map'!$A:$A,'_Sys|Line_Map'!$D:$D,1,0)</f>
        <v/>
      </c>
      <c r="K312" s="4562">
        <f>IF(D312="","",D312*J312)</f>
        <v/>
      </c>
      <c r="L312" s="4562">
        <f>XLOOKUP(B312,'_Sys|Line_Map'!$A:$A,'_Sys|Line_Map'!$B:$B,"MISSING",0)</f>
        <v/>
      </c>
    </row>
    <row r="313">
      <c r="A313" s="4561" t="n"/>
      <c r="B313" s="4561" t="n"/>
      <c r="C313" s="4561" t="n"/>
      <c r="D313" s="4561" t="n"/>
      <c r="E313" s="4561" t="n"/>
      <c r="F313" s="4561" t="n"/>
      <c r="G313" s="4561" t="n"/>
      <c r="H313" s="4561" t="n"/>
      <c r="I313" s="4562">
        <f>XLOOKUP(B313,'_Sys|Line_Map'!$A:$A,'_Sys|Line_Map'!$C:$C,"MISSING",0)</f>
        <v/>
      </c>
      <c r="J313" s="4562">
        <f>XLOOKUP(B313,'_Sys|Line_Map'!$A:$A,'_Sys|Line_Map'!$D:$D,1,0)</f>
        <v/>
      </c>
      <c r="K313" s="4562">
        <f>IF(D313="","",D313*J313)</f>
        <v/>
      </c>
      <c r="L313" s="4562">
        <f>XLOOKUP(B313,'_Sys|Line_Map'!$A:$A,'_Sys|Line_Map'!$B:$B,"MISSING",0)</f>
        <v/>
      </c>
    </row>
    <row r="314">
      <c r="A314" s="4561" t="n"/>
      <c r="B314" s="4561" t="n"/>
      <c r="C314" s="4561" t="n"/>
      <c r="D314" s="4561" t="n"/>
      <c r="E314" s="4561" t="n"/>
      <c r="F314" s="4561" t="n"/>
      <c r="G314" s="4561" t="n"/>
      <c r="H314" s="4561" t="n"/>
      <c r="I314" s="4562">
        <f>XLOOKUP(B314,'_Sys|Line_Map'!$A:$A,'_Sys|Line_Map'!$C:$C,"MISSING",0)</f>
        <v/>
      </c>
      <c r="J314" s="4562">
        <f>XLOOKUP(B314,'_Sys|Line_Map'!$A:$A,'_Sys|Line_Map'!$D:$D,1,0)</f>
        <v/>
      </c>
      <c r="K314" s="4562">
        <f>IF(D314="","",D314*J314)</f>
        <v/>
      </c>
      <c r="L314" s="4562">
        <f>XLOOKUP(B314,'_Sys|Line_Map'!$A:$A,'_Sys|Line_Map'!$B:$B,"MISSING",0)</f>
        <v/>
      </c>
    </row>
    <row r="315">
      <c r="A315" s="4561" t="n"/>
      <c r="B315" s="4561" t="n"/>
      <c r="C315" s="4561" t="n"/>
      <c r="D315" s="4561" t="n"/>
      <c r="E315" s="4561" t="n"/>
      <c r="F315" s="4561" t="n"/>
      <c r="G315" s="4561" t="n"/>
      <c r="H315" s="4561" t="n"/>
      <c r="I315" s="4562">
        <f>XLOOKUP(B315,'_Sys|Line_Map'!$A:$A,'_Sys|Line_Map'!$C:$C,"MISSING",0)</f>
        <v/>
      </c>
      <c r="J315" s="4562">
        <f>XLOOKUP(B315,'_Sys|Line_Map'!$A:$A,'_Sys|Line_Map'!$D:$D,1,0)</f>
        <v/>
      </c>
      <c r="K315" s="4562">
        <f>IF(D315="","",D315*J315)</f>
        <v/>
      </c>
      <c r="L315" s="4562">
        <f>XLOOKUP(B315,'_Sys|Line_Map'!$A:$A,'_Sys|Line_Map'!$B:$B,"MISSING",0)</f>
        <v/>
      </c>
    </row>
    <row r="316">
      <c r="A316" s="4561" t="n"/>
      <c r="B316" s="4561" t="n"/>
      <c r="C316" s="4561" t="n"/>
      <c r="D316" s="4561" t="n"/>
      <c r="E316" s="4561" t="n"/>
      <c r="F316" s="4561" t="n"/>
      <c r="G316" s="4561" t="n"/>
      <c r="H316" s="4561" t="n"/>
      <c r="I316" s="4562">
        <f>XLOOKUP(B316,'_Sys|Line_Map'!$A:$A,'_Sys|Line_Map'!$C:$C,"MISSING",0)</f>
        <v/>
      </c>
      <c r="J316" s="4562">
        <f>XLOOKUP(B316,'_Sys|Line_Map'!$A:$A,'_Sys|Line_Map'!$D:$D,1,0)</f>
        <v/>
      </c>
      <c r="K316" s="4562">
        <f>IF(D316="","",D316*J316)</f>
        <v/>
      </c>
      <c r="L316" s="4562">
        <f>XLOOKUP(B316,'_Sys|Line_Map'!$A:$A,'_Sys|Line_Map'!$B:$B,"MISSING",0)</f>
        <v/>
      </c>
    </row>
    <row r="317">
      <c r="A317" s="4561" t="n"/>
      <c r="B317" s="4561" t="n"/>
      <c r="C317" s="4561" t="n"/>
      <c r="D317" s="4561" t="n"/>
      <c r="E317" s="4561" t="n"/>
      <c r="F317" s="4561" t="n"/>
      <c r="G317" s="4561" t="n"/>
      <c r="H317" s="4561" t="n"/>
      <c r="I317" s="4562">
        <f>XLOOKUP(B317,'_Sys|Line_Map'!$A:$A,'_Sys|Line_Map'!$C:$C,"MISSING",0)</f>
        <v/>
      </c>
      <c r="J317" s="4562">
        <f>XLOOKUP(B317,'_Sys|Line_Map'!$A:$A,'_Sys|Line_Map'!$D:$D,1,0)</f>
        <v/>
      </c>
      <c r="K317" s="4562">
        <f>IF(D317="","",D317*J317)</f>
        <v/>
      </c>
      <c r="L317" s="4562">
        <f>XLOOKUP(B317,'_Sys|Line_Map'!$A:$A,'_Sys|Line_Map'!$B:$B,"MISSING",0)</f>
        <v/>
      </c>
    </row>
    <row r="318">
      <c r="A318" s="4561" t="n"/>
      <c r="B318" s="4561" t="n"/>
      <c r="C318" s="4561" t="n"/>
      <c r="D318" s="4561" t="n"/>
      <c r="E318" s="4561" t="n"/>
      <c r="F318" s="4561" t="n"/>
      <c r="G318" s="4561" t="n"/>
      <c r="H318" s="4561" t="n"/>
      <c r="I318" s="4562">
        <f>XLOOKUP(B318,'_Sys|Line_Map'!$A:$A,'_Sys|Line_Map'!$C:$C,"MISSING",0)</f>
        <v/>
      </c>
      <c r="J318" s="4562">
        <f>XLOOKUP(B318,'_Sys|Line_Map'!$A:$A,'_Sys|Line_Map'!$D:$D,1,0)</f>
        <v/>
      </c>
      <c r="K318" s="4562">
        <f>IF(D318="","",D318*J318)</f>
        <v/>
      </c>
      <c r="L318" s="4562">
        <f>XLOOKUP(B318,'_Sys|Line_Map'!$A:$A,'_Sys|Line_Map'!$B:$B,"MISSING",0)</f>
        <v/>
      </c>
    </row>
    <row r="319">
      <c r="A319" s="4561" t="n"/>
      <c r="B319" s="4561" t="n"/>
      <c r="C319" s="4561" t="n"/>
      <c r="D319" s="4561" t="n"/>
      <c r="E319" s="4561" t="n"/>
      <c r="F319" s="4561" t="n"/>
      <c r="G319" s="4561" t="n"/>
      <c r="H319" s="4561" t="n"/>
      <c r="I319" s="4562">
        <f>XLOOKUP(B319,'_Sys|Line_Map'!$A:$A,'_Sys|Line_Map'!$C:$C,"MISSING",0)</f>
        <v/>
      </c>
      <c r="J319" s="4562">
        <f>XLOOKUP(B319,'_Sys|Line_Map'!$A:$A,'_Sys|Line_Map'!$D:$D,1,0)</f>
        <v/>
      </c>
      <c r="K319" s="4562">
        <f>IF(D319="","",D319*J319)</f>
        <v/>
      </c>
      <c r="L319" s="4562">
        <f>XLOOKUP(B319,'_Sys|Line_Map'!$A:$A,'_Sys|Line_Map'!$B:$B,"MISSING",0)</f>
        <v/>
      </c>
    </row>
    <row r="320">
      <c r="A320" s="4561" t="n"/>
      <c r="B320" s="4561" t="n"/>
      <c r="C320" s="4561" t="n"/>
      <c r="D320" s="4561" t="n"/>
      <c r="E320" s="4561" t="n"/>
      <c r="F320" s="4561" t="n"/>
      <c r="G320" s="4561" t="n"/>
      <c r="H320" s="4561" t="n"/>
      <c r="I320" s="4562">
        <f>XLOOKUP(B320,'_Sys|Line_Map'!$A:$A,'_Sys|Line_Map'!$C:$C,"MISSING",0)</f>
        <v/>
      </c>
      <c r="J320" s="4562">
        <f>XLOOKUP(B320,'_Sys|Line_Map'!$A:$A,'_Sys|Line_Map'!$D:$D,1,0)</f>
        <v/>
      </c>
      <c r="K320" s="4562">
        <f>IF(D320="","",D320*J320)</f>
        <v/>
      </c>
      <c r="L320" s="4562">
        <f>XLOOKUP(B320,'_Sys|Line_Map'!$A:$A,'_Sys|Line_Map'!$B:$B,"MISSING",0)</f>
        <v/>
      </c>
    </row>
    <row r="321">
      <c r="A321" s="4561" t="n"/>
      <c r="B321" s="4561" t="n"/>
      <c r="C321" s="4561" t="n"/>
      <c r="D321" s="4561" t="n"/>
      <c r="E321" s="4561" t="n"/>
      <c r="F321" s="4561" t="n"/>
      <c r="G321" s="4561" t="n"/>
      <c r="H321" s="4561" t="n"/>
      <c r="I321" s="4562">
        <f>XLOOKUP(B321,'_Sys|Line_Map'!$A:$A,'_Sys|Line_Map'!$C:$C,"MISSING",0)</f>
        <v/>
      </c>
      <c r="J321" s="4562">
        <f>XLOOKUP(B321,'_Sys|Line_Map'!$A:$A,'_Sys|Line_Map'!$D:$D,1,0)</f>
        <v/>
      </c>
      <c r="K321" s="4562">
        <f>IF(D321="","",D321*J321)</f>
        <v/>
      </c>
      <c r="L321" s="4562">
        <f>XLOOKUP(B321,'_Sys|Line_Map'!$A:$A,'_Sys|Line_Map'!$B:$B,"MISSING",0)</f>
        <v/>
      </c>
    </row>
    <row r="322">
      <c r="A322" s="4561" t="n"/>
      <c r="B322" s="4561" t="n"/>
      <c r="C322" s="4561" t="n"/>
      <c r="D322" s="4561" t="n"/>
      <c r="E322" s="4561" t="n"/>
      <c r="F322" s="4561" t="n"/>
      <c r="G322" s="4561" t="n"/>
      <c r="H322" s="4561" t="n"/>
      <c r="I322" s="4562">
        <f>XLOOKUP(B322,'_Sys|Line_Map'!$A:$A,'_Sys|Line_Map'!$C:$C,"MISSING",0)</f>
        <v/>
      </c>
      <c r="J322" s="4562">
        <f>XLOOKUP(B322,'_Sys|Line_Map'!$A:$A,'_Sys|Line_Map'!$D:$D,1,0)</f>
        <v/>
      </c>
      <c r="K322" s="4562">
        <f>IF(D322="","",D322*J322)</f>
        <v/>
      </c>
      <c r="L322" s="4562">
        <f>XLOOKUP(B322,'_Sys|Line_Map'!$A:$A,'_Sys|Line_Map'!$B:$B,"MISSING",0)</f>
        <v/>
      </c>
    </row>
    <row r="323">
      <c r="A323" s="4561" t="n"/>
      <c r="B323" s="4561" t="n"/>
      <c r="C323" s="4561" t="n"/>
      <c r="D323" s="4561" t="n"/>
      <c r="E323" s="4561" t="n"/>
      <c r="F323" s="4561" t="n"/>
      <c r="G323" s="4561" t="n"/>
      <c r="H323" s="4561" t="n"/>
      <c r="I323" s="4562">
        <f>XLOOKUP(B323,'_Sys|Line_Map'!$A:$A,'_Sys|Line_Map'!$C:$C,"MISSING",0)</f>
        <v/>
      </c>
      <c r="J323" s="4562">
        <f>XLOOKUP(B323,'_Sys|Line_Map'!$A:$A,'_Sys|Line_Map'!$D:$D,1,0)</f>
        <v/>
      </c>
      <c r="K323" s="4562">
        <f>IF(D323="","",D323*J323)</f>
        <v/>
      </c>
      <c r="L323" s="4562">
        <f>XLOOKUP(B323,'_Sys|Line_Map'!$A:$A,'_Sys|Line_Map'!$B:$B,"MISSING",0)</f>
        <v/>
      </c>
    </row>
    <row r="324">
      <c r="A324" s="4561" t="n"/>
      <c r="B324" s="4561" t="n"/>
      <c r="C324" s="4561" t="n"/>
      <c r="D324" s="4561" t="n"/>
      <c r="E324" s="4561" t="n"/>
      <c r="F324" s="4561" t="n"/>
      <c r="G324" s="4561" t="n"/>
      <c r="H324" s="4561" t="n"/>
      <c r="I324" s="4562">
        <f>XLOOKUP(B324,'_Sys|Line_Map'!$A:$A,'_Sys|Line_Map'!$C:$C,"MISSING",0)</f>
        <v/>
      </c>
      <c r="J324" s="4562">
        <f>XLOOKUP(B324,'_Sys|Line_Map'!$A:$A,'_Sys|Line_Map'!$D:$D,1,0)</f>
        <v/>
      </c>
      <c r="K324" s="4562">
        <f>IF(D324="","",D324*J324)</f>
        <v/>
      </c>
      <c r="L324" s="4562">
        <f>XLOOKUP(B324,'_Sys|Line_Map'!$A:$A,'_Sys|Line_Map'!$B:$B,"MISSING",0)</f>
        <v/>
      </c>
    </row>
    <row r="325">
      <c r="A325" s="4561" t="n"/>
      <c r="B325" s="4561" t="n"/>
      <c r="C325" s="4561" t="n"/>
      <c r="D325" s="4561" t="n"/>
      <c r="E325" s="4561" t="n"/>
      <c r="F325" s="4561" t="n"/>
      <c r="G325" s="4561" t="n"/>
      <c r="H325" s="4561" t="n"/>
      <c r="I325" s="4562">
        <f>XLOOKUP(B325,'_Sys|Line_Map'!$A:$A,'_Sys|Line_Map'!$C:$C,"MISSING",0)</f>
        <v/>
      </c>
      <c r="J325" s="4562">
        <f>XLOOKUP(B325,'_Sys|Line_Map'!$A:$A,'_Sys|Line_Map'!$D:$D,1,0)</f>
        <v/>
      </c>
      <c r="K325" s="4562">
        <f>IF(D325="","",D325*J325)</f>
        <v/>
      </c>
      <c r="L325" s="4562">
        <f>XLOOKUP(B325,'_Sys|Line_Map'!$A:$A,'_Sys|Line_Map'!$B:$B,"MISSING",0)</f>
        <v/>
      </c>
    </row>
    <row r="326">
      <c r="A326" s="4561" t="n"/>
      <c r="B326" s="4561" t="n"/>
      <c r="C326" s="4561" t="n"/>
      <c r="D326" s="4561" t="n"/>
      <c r="E326" s="4561" t="n"/>
      <c r="F326" s="4561" t="n"/>
      <c r="G326" s="4561" t="n"/>
      <c r="H326" s="4561" t="n"/>
      <c r="I326" s="4562">
        <f>XLOOKUP(B326,'_Sys|Line_Map'!$A:$A,'_Sys|Line_Map'!$C:$C,"MISSING",0)</f>
        <v/>
      </c>
      <c r="J326" s="4562">
        <f>XLOOKUP(B326,'_Sys|Line_Map'!$A:$A,'_Sys|Line_Map'!$D:$D,1,0)</f>
        <v/>
      </c>
      <c r="K326" s="4562">
        <f>IF(D326="","",D326*J326)</f>
        <v/>
      </c>
      <c r="L326" s="4562">
        <f>XLOOKUP(B326,'_Sys|Line_Map'!$A:$A,'_Sys|Line_Map'!$B:$B,"MISSING",0)</f>
        <v/>
      </c>
    </row>
    <row r="327">
      <c r="A327" s="4561" t="n"/>
      <c r="B327" s="4561" t="n"/>
      <c r="C327" s="4561" t="n"/>
      <c r="D327" s="4561" t="n"/>
      <c r="E327" s="4561" t="n"/>
      <c r="F327" s="4561" t="n"/>
      <c r="G327" s="4561" t="n"/>
      <c r="H327" s="4561" t="n"/>
      <c r="I327" s="4562">
        <f>XLOOKUP(B327,'_Sys|Line_Map'!$A:$A,'_Sys|Line_Map'!$C:$C,"MISSING",0)</f>
        <v/>
      </c>
      <c r="J327" s="4562">
        <f>XLOOKUP(B327,'_Sys|Line_Map'!$A:$A,'_Sys|Line_Map'!$D:$D,1,0)</f>
        <v/>
      </c>
      <c r="K327" s="4562">
        <f>IF(D327="","",D327*J327)</f>
        <v/>
      </c>
      <c r="L327" s="4562">
        <f>XLOOKUP(B327,'_Sys|Line_Map'!$A:$A,'_Sys|Line_Map'!$B:$B,"MISSING",0)</f>
        <v/>
      </c>
    </row>
    <row r="328">
      <c r="A328" s="4561" t="n"/>
      <c r="B328" s="4561" t="n"/>
      <c r="C328" s="4561" t="n"/>
      <c r="D328" s="4561" t="n"/>
      <c r="E328" s="4561" t="n"/>
      <c r="F328" s="4561" t="n"/>
      <c r="G328" s="4561" t="n"/>
      <c r="H328" s="4561" t="n"/>
      <c r="I328" s="4562">
        <f>XLOOKUP(B328,'_Sys|Line_Map'!$A:$A,'_Sys|Line_Map'!$C:$C,"MISSING",0)</f>
        <v/>
      </c>
      <c r="J328" s="4562">
        <f>XLOOKUP(B328,'_Sys|Line_Map'!$A:$A,'_Sys|Line_Map'!$D:$D,1,0)</f>
        <v/>
      </c>
      <c r="K328" s="4562">
        <f>IF(D328="","",D328*J328)</f>
        <v/>
      </c>
      <c r="L328" s="4562">
        <f>XLOOKUP(B328,'_Sys|Line_Map'!$A:$A,'_Sys|Line_Map'!$B:$B,"MISSING",0)</f>
        <v/>
      </c>
    </row>
    <row r="329">
      <c r="A329" s="4561" t="n"/>
      <c r="B329" s="4561" t="n"/>
      <c r="C329" s="4561" t="n"/>
      <c r="D329" s="4561" t="n"/>
      <c r="E329" s="4561" t="n"/>
      <c r="F329" s="4561" t="n"/>
      <c r="G329" s="4561" t="n"/>
      <c r="H329" s="4561" t="n"/>
      <c r="I329" s="4562">
        <f>XLOOKUP(B329,'_Sys|Line_Map'!$A:$A,'_Sys|Line_Map'!$C:$C,"MISSING",0)</f>
        <v/>
      </c>
      <c r="J329" s="4562">
        <f>XLOOKUP(B329,'_Sys|Line_Map'!$A:$A,'_Sys|Line_Map'!$D:$D,1,0)</f>
        <v/>
      </c>
      <c r="K329" s="4562">
        <f>IF(D329="","",D329*J329)</f>
        <v/>
      </c>
      <c r="L329" s="4562">
        <f>XLOOKUP(B329,'_Sys|Line_Map'!$A:$A,'_Sys|Line_Map'!$B:$B,"MISSING",0)</f>
        <v/>
      </c>
    </row>
    <row r="330">
      <c r="A330" s="4561" t="n"/>
      <c r="B330" s="4561" t="n"/>
      <c r="C330" s="4561" t="n"/>
      <c r="D330" s="4561" t="n"/>
      <c r="E330" s="4561" t="n"/>
      <c r="F330" s="4561" t="n"/>
      <c r="G330" s="4561" t="n"/>
      <c r="H330" s="4561" t="n"/>
      <c r="I330" s="4562">
        <f>XLOOKUP(B330,'_Sys|Line_Map'!$A:$A,'_Sys|Line_Map'!$C:$C,"MISSING",0)</f>
        <v/>
      </c>
      <c r="J330" s="4562">
        <f>XLOOKUP(B330,'_Sys|Line_Map'!$A:$A,'_Sys|Line_Map'!$D:$D,1,0)</f>
        <v/>
      </c>
      <c r="K330" s="4562">
        <f>IF(D330="","",D330*J330)</f>
        <v/>
      </c>
      <c r="L330" s="4562">
        <f>XLOOKUP(B330,'_Sys|Line_Map'!$A:$A,'_Sys|Line_Map'!$B:$B,"MISSING",0)</f>
        <v/>
      </c>
    </row>
    <row r="331">
      <c r="A331" s="4561" t="n"/>
      <c r="B331" s="4561" t="n"/>
      <c r="C331" s="4561" t="n"/>
      <c r="D331" s="4561" t="n"/>
      <c r="E331" s="4561" t="n"/>
      <c r="F331" s="4561" t="n"/>
      <c r="G331" s="4561" t="n"/>
      <c r="H331" s="4561" t="n"/>
      <c r="I331" s="4562">
        <f>XLOOKUP(B331,'_Sys|Line_Map'!$A:$A,'_Sys|Line_Map'!$C:$C,"MISSING",0)</f>
        <v/>
      </c>
      <c r="J331" s="4562">
        <f>XLOOKUP(B331,'_Sys|Line_Map'!$A:$A,'_Sys|Line_Map'!$D:$D,1,0)</f>
        <v/>
      </c>
      <c r="K331" s="4562">
        <f>IF(D331="","",D331*J331)</f>
        <v/>
      </c>
      <c r="L331" s="4562">
        <f>XLOOKUP(B331,'_Sys|Line_Map'!$A:$A,'_Sys|Line_Map'!$B:$B,"MISSING",0)</f>
        <v/>
      </c>
    </row>
    <row r="332">
      <c r="A332" s="4561" t="n"/>
      <c r="B332" s="4561" t="n"/>
      <c r="C332" s="4561" t="n"/>
      <c r="D332" s="4561" t="n"/>
      <c r="E332" s="4561" t="n"/>
      <c r="F332" s="4561" t="n"/>
      <c r="G332" s="4561" t="n"/>
      <c r="H332" s="4561" t="n"/>
      <c r="I332" s="4562">
        <f>XLOOKUP(B332,'_Sys|Line_Map'!$A:$A,'_Sys|Line_Map'!$C:$C,"MISSING",0)</f>
        <v/>
      </c>
      <c r="J332" s="4562">
        <f>XLOOKUP(B332,'_Sys|Line_Map'!$A:$A,'_Sys|Line_Map'!$D:$D,1,0)</f>
        <v/>
      </c>
      <c r="K332" s="4562">
        <f>IF(D332="","",D332*J332)</f>
        <v/>
      </c>
      <c r="L332" s="4562">
        <f>XLOOKUP(B332,'_Sys|Line_Map'!$A:$A,'_Sys|Line_Map'!$B:$B,"MISSING",0)</f>
        <v/>
      </c>
    </row>
    <row r="333">
      <c r="A333" s="4561" t="n"/>
      <c r="B333" s="4561" t="n"/>
      <c r="C333" s="4561" t="n"/>
      <c r="D333" s="4561" t="n"/>
      <c r="E333" s="4561" t="n"/>
      <c r="F333" s="4561" t="n"/>
      <c r="G333" s="4561" t="n"/>
      <c r="H333" s="4561" t="n"/>
      <c r="I333" s="4562">
        <f>XLOOKUP(B333,'_Sys|Line_Map'!$A:$A,'_Sys|Line_Map'!$C:$C,"MISSING",0)</f>
        <v/>
      </c>
      <c r="J333" s="4562">
        <f>XLOOKUP(B333,'_Sys|Line_Map'!$A:$A,'_Sys|Line_Map'!$D:$D,1,0)</f>
        <v/>
      </c>
      <c r="K333" s="4562">
        <f>IF(D333="","",D333*J333)</f>
        <v/>
      </c>
      <c r="L333" s="4562">
        <f>XLOOKUP(B333,'_Sys|Line_Map'!$A:$A,'_Sys|Line_Map'!$B:$B,"MISSING",0)</f>
        <v/>
      </c>
    </row>
    <row r="334">
      <c r="A334" s="4561" t="n"/>
      <c r="B334" s="4561" t="n"/>
      <c r="C334" s="4561" t="n"/>
      <c r="D334" s="4561" t="n"/>
      <c r="E334" s="4561" t="n"/>
      <c r="F334" s="4561" t="n"/>
      <c r="G334" s="4561" t="n"/>
      <c r="H334" s="4561" t="n"/>
      <c r="I334" s="4562">
        <f>XLOOKUP(B334,'_Sys|Line_Map'!$A:$A,'_Sys|Line_Map'!$C:$C,"MISSING",0)</f>
        <v/>
      </c>
      <c r="J334" s="4562">
        <f>XLOOKUP(B334,'_Sys|Line_Map'!$A:$A,'_Sys|Line_Map'!$D:$D,1,0)</f>
        <v/>
      </c>
      <c r="K334" s="4562">
        <f>IF(D334="","",D334*J334)</f>
        <v/>
      </c>
      <c r="L334" s="4562">
        <f>XLOOKUP(B334,'_Sys|Line_Map'!$A:$A,'_Sys|Line_Map'!$B:$B,"MISSING",0)</f>
        <v/>
      </c>
    </row>
    <row r="335">
      <c r="A335" s="4561" t="n"/>
      <c r="B335" s="4561" t="n"/>
      <c r="C335" s="4561" t="n"/>
      <c r="D335" s="4561" t="n"/>
      <c r="E335" s="4561" t="n"/>
      <c r="F335" s="4561" t="n"/>
      <c r="G335" s="4561" t="n"/>
      <c r="H335" s="4561" t="n"/>
      <c r="I335" s="4562">
        <f>XLOOKUP(B335,'_Sys|Line_Map'!$A:$A,'_Sys|Line_Map'!$C:$C,"MISSING",0)</f>
        <v/>
      </c>
      <c r="J335" s="4562">
        <f>XLOOKUP(B335,'_Sys|Line_Map'!$A:$A,'_Sys|Line_Map'!$D:$D,1,0)</f>
        <v/>
      </c>
      <c r="K335" s="4562">
        <f>IF(D335="","",D335*J335)</f>
        <v/>
      </c>
      <c r="L335" s="4562">
        <f>XLOOKUP(B335,'_Sys|Line_Map'!$A:$A,'_Sys|Line_Map'!$B:$B,"MISSING",0)</f>
        <v/>
      </c>
    </row>
    <row r="336">
      <c r="A336" s="4561" t="n"/>
      <c r="B336" s="4561" t="n"/>
      <c r="C336" s="4561" t="n"/>
      <c r="D336" s="4561" t="n"/>
      <c r="E336" s="4561" t="n"/>
      <c r="F336" s="4561" t="n"/>
      <c r="G336" s="4561" t="n"/>
      <c r="H336" s="4561" t="n"/>
      <c r="I336" s="4562">
        <f>XLOOKUP(B336,'_Sys|Line_Map'!$A:$A,'_Sys|Line_Map'!$C:$C,"MISSING",0)</f>
        <v/>
      </c>
      <c r="J336" s="4562">
        <f>XLOOKUP(B336,'_Sys|Line_Map'!$A:$A,'_Sys|Line_Map'!$D:$D,1,0)</f>
        <v/>
      </c>
      <c r="K336" s="4562">
        <f>IF(D336="","",D336*J336)</f>
        <v/>
      </c>
      <c r="L336" s="4562">
        <f>XLOOKUP(B336,'_Sys|Line_Map'!$A:$A,'_Sys|Line_Map'!$B:$B,"MISSING",0)</f>
        <v/>
      </c>
    </row>
    <row r="337">
      <c r="A337" s="4561" t="n"/>
      <c r="B337" s="4561" t="n"/>
      <c r="C337" s="4561" t="n"/>
      <c r="D337" s="4561" t="n"/>
      <c r="E337" s="4561" t="n"/>
      <c r="F337" s="4561" t="n"/>
      <c r="G337" s="4561" t="n"/>
      <c r="H337" s="4561" t="n"/>
      <c r="I337" s="4562">
        <f>XLOOKUP(B337,'_Sys|Line_Map'!$A:$A,'_Sys|Line_Map'!$C:$C,"MISSING",0)</f>
        <v/>
      </c>
      <c r="J337" s="4562">
        <f>XLOOKUP(B337,'_Sys|Line_Map'!$A:$A,'_Sys|Line_Map'!$D:$D,1,0)</f>
        <v/>
      </c>
      <c r="K337" s="4562">
        <f>IF(D337="","",D337*J337)</f>
        <v/>
      </c>
      <c r="L337" s="4562">
        <f>XLOOKUP(B337,'_Sys|Line_Map'!$A:$A,'_Sys|Line_Map'!$B:$B,"MISSING",0)</f>
        <v/>
      </c>
    </row>
    <row r="338">
      <c r="A338" s="4561" t="n"/>
      <c r="B338" s="4561" t="n"/>
      <c r="C338" s="4561" t="n"/>
      <c r="D338" s="4561" t="n"/>
      <c r="E338" s="4561" t="n"/>
      <c r="F338" s="4561" t="n"/>
      <c r="G338" s="4561" t="n"/>
      <c r="H338" s="4561" t="n"/>
      <c r="I338" s="4562">
        <f>XLOOKUP(B338,'_Sys|Line_Map'!$A:$A,'_Sys|Line_Map'!$C:$C,"MISSING",0)</f>
        <v/>
      </c>
      <c r="J338" s="4562">
        <f>XLOOKUP(B338,'_Sys|Line_Map'!$A:$A,'_Sys|Line_Map'!$D:$D,1,0)</f>
        <v/>
      </c>
      <c r="K338" s="4562">
        <f>IF(D338="","",D338*J338)</f>
        <v/>
      </c>
      <c r="L338" s="4562">
        <f>XLOOKUP(B338,'_Sys|Line_Map'!$A:$A,'_Sys|Line_Map'!$B:$B,"MISSING",0)</f>
        <v/>
      </c>
    </row>
    <row r="339">
      <c r="A339" s="4561" t="n"/>
      <c r="B339" s="4561" t="n"/>
      <c r="C339" s="4561" t="n"/>
      <c r="D339" s="4561" t="n"/>
      <c r="E339" s="4561" t="n"/>
      <c r="F339" s="4561" t="n"/>
      <c r="G339" s="4561" t="n"/>
      <c r="H339" s="4561" t="n"/>
      <c r="I339" s="4562">
        <f>XLOOKUP(B339,'_Sys|Line_Map'!$A:$A,'_Sys|Line_Map'!$C:$C,"MISSING",0)</f>
        <v/>
      </c>
      <c r="J339" s="4562">
        <f>XLOOKUP(B339,'_Sys|Line_Map'!$A:$A,'_Sys|Line_Map'!$D:$D,1,0)</f>
        <v/>
      </c>
      <c r="K339" s="4562">
        <f>IF(D339="","",D339*J339)</f>
        <v/>
      </c>
      <c r="L339" s="4562">
        <f>XLOOKUP(B339,'_Sys|Line_Map'!$A:$A,'_Sys|Line_Map'!$B:$B,"MISSING",0)</f>
        <v/>
      </c>
    </row>
    <row r="340">
      <c r="A340" s="4561" t="n"/>
      <c r="B340" s="4561" t="n"/>
      <c r="C340" s="4561" t="n"/>
      <c r="D340" s="4561" t="n"/>
      <c r="E340" s="4561" t="n"/>
      <c r="F340" s="4561" t="n"/>
      <c r="G340" s="4561" t="n"/>
      <c r="H340" s="4561" t="n"/>
      <c r="I340" s="4562">
        <f>XLOOKUP(B340,'_Sys|Line_Map'!$A:$A,'_Sys|Line_Map'!$C:$C,"MISSING",0)</f>
        <v/>
      </c>
      <c r="J340" s="4562">
        <f>XLOOKUP(B340,'_Sys|Line_Map'!$A:$A,'_Sys|Line_Map'!$D:$D,1,0)</f>
        <v/>
      </c>
      <c r="K340" s="4562">
        <f>IF(D340="","",D340*J340)</f>
        <v/>
      </c>
      <c r="L340" s="4562">
        <f>XLOOKUP(B340,'_Sys|Line_Map'!$A:$A,'_Sys|Line_Map'!$B:$B,"MISSING",0)</f>
        <v/>
      </c>
    </row>
    <row r="341">
      <c r="A341" s="4561" t="n"/>
      <c r="B341" s="4561" t="n"/>
      <c r="C341" s="4561" t="n"/>
      <c r="D341" s="4561" t="n"/>
      <c r="E341" s="4561" t="n"/>
      <c r="F341" s="4561" t="n"/>
      <c r="G341" s="4561" t="n"/>
      <c r="H341" s="4561" t="n"/>
      <c r="I341" s="4562">
        <f>XLOOKUP(B341,'_Sys|Line_Map'!$A:$A,'_Sys|Line_Map'!$C:$C,"MISSING",0)</f>
        <v/>
      </c>
      <c r="J341" s="4562">
        <f>XLOOKUP(B341,'_Sys|Line_Map'!$A:$A,'_Sys|Line_Map'!$D:$D,1,0)</f>
        <v/>
      </c>
      <c r="K341" s="4562">
        <f>IF(D341="","",D341*J341)</f>
        <v/>
      </c>
      <c r="L341" s="4562">
        <f>XLOOKUP(B341,'_Sys|Line_Map'!$A:$A,'_Sys|Line_Map'!$B:$B,"MISSING",0)</f>
        <v/>
      </c>
    </row>
    <row r="342">
      <c r="A342" s="4561" t="n"/>
      <c r="B342" s="4561" t="n"/>
      <c r="C342" s="4561" t="n"/>
      <c r="D342" s="4561" t="n"/>
      <c r="E342" s="4561" t="n"/>
      <c r="F342" s="4561" t="n"/>
      <c r="G342" s="4561" t="n"/>
      <c r="H342" s="4561" t="n"/>
      <c r="I342" s="4562">
        <f>XLOOKUP(B342,'_Sys|Line_Map'!$A:$A,'_Sys|Line_Map'!$C:$C,"MISSING",0)</f>
        <v/>
      </c>
      <c r="J342" s="4562">
        <f>XLOOKUP(B342,'_Sys|Line_Map'!$A:$A,'_Sys|Line_Map'!$D:$D,1,0)</f>
        <v/>
      </c>
      <c r="K342" s="4562">
        <f>IF(D342="","",D342*J342)</f>
        <v/>
      </c>
      <c r="L342" s="4562">
        <f>XLOOKUP(B342,'_Sys|Line_Map'!$A:$A,'_Sys|Line_Map'!$B:$B,"MISSING",0)</f>
        <v/>
      </c>
    </row>
    <row r="343">
      <c r="A343" s="4561" t="n"/>
      <c r="B343" s="4561" t="n"/>
      <c r="C343" s="4561" t="n"/>
      <c r="D343" s="4561" t="n"/>
      <c r="E343" s="4561" t="n"/>
      <c r="F343" s="4561" t="n"/>
      <c r="G343" s="4561" t="n"/>
      <c r="H343" s="4561" t="n"/>
      <c r="I343" s="4562">
        <f>XLOOKUP(B343,'_Sys|Line_Map'!$A:$A,'_Sys|Line_Map'!$C:$C,"MISSING",0)</f>
        <v/>
      </c>
      <c r="J343" s="4562">
        <f>XLOOKUP(B343,'_Sys|Line_Map'!$A:$A,'_Sys|Line_Map'!$D:$D,1,0)</f>
        <v/>
      </c>
      <c r="K343" s="4562">
        <f>IF(D343="","",D343*J343)</f>
        <v/>
      </c>
      <c r="L343" s="4562">
        <f>XLOOKUP(B343,'_Sys|Line_Map'!$A:$A,'_Sys|Line_Map'!$B:$B,"MISSING",0)</f>
        <v/>
      </c>
    </row>
    <row r="344">
      <c r="A344" s="4561" t="n"/>
      <c r="B344" s="4561" t="n"/>
      <c r="C344" s="4561" t="n"/>
      <c r="D344" s="4561" t="n"/>
      <c r="E344" s="4561" t="n"/>
      <c r="F344" s="4561" t="n"/>
      <c r="G344" s="4561" t="n"/>
      <c r="H344" s="4561" t="n"/>
      <c r="I344" s="4562">
        <f>XLOOKUP(B344,'_Sys|Line_Map'!$A:$A,'_Sys|Line_Map'!$C:$C,"MISSING",0)</f>
        <v/>
      </c>
      <c r="J344" s="4562">
        <f>XLOOKUP(B344,'_Sys|Line_Map'!$A:$A,'_Sys|Line_Map'!$D:$D,1,0)</f>
        <v/>
      </c>
      <c r="K344" s="4562">
        <f>IF(D344="","",D344*J344)</f>
        <v/>
      </c>
      <c r="L344" s="4562">
        <f>XLOOKUP(B344,'_Sys|Line_Map'!$A:$A,'_Sys|Line_Map'!$B:$B,"MISSING",0)</f>
        <v/>
      </c>
    </row>
    <row r="345">
      <c r="A345" s="4561" t="n"/>
      <c r="B345" s="4561" t="n"/>
      <c r="C345" s="4561" t="n"/>
      <c r="D345" s="4561" t="n"/>
      <c r="E345" s="4561" t="n"/>
      <c r="F345" s="4561" t="n"/>
      <c r="G345" s="4561" t="n"/>
      <c r="H345" s="4561" t="n"/>
      <c r="I345" s="4562">
        <f>XLOOKUP(B345,'_Sys|Line_Map'!$A:$A,'_Sys|Line_Map'!$C:$C,"MISSING",0)</f>
        <v/>
      </c>
      <c r="J345" s="4562">
        <f>XLOOKUP(B345,'_Sys|Line_Map'!$A:$A,'_Sys|Line_Map'!$D:$D,1,0)</f>
        <v/>
      </c>
      <c r="K345" s="4562">
        <f>IF(D345="","",D345*J345)</f>
        <v/>
      </c>
      <c r="L345" s="4562">
        <f>XLOOKUP(B345,'_Sys|Line_Map'!$A:$A,'_Sys|Line_Map'!$B:$B,"MISSING",0)</f>
        <v/>
      </c>
    </row>
    <row r="346">
      <c r="A346" s="4561" t="n"/>
      <c r="B346" s="4561" t="n"/>
      <c r="C346" s="4561" t="n"/>
      <c r="D346" s="4561" t="n"/>
      <c r="E346" s="4561" t="n"/>
      <c r="F346" s="4561" t="n"/>
      <c r="G346" s="4561" t="n"/>
      <c r="H346" s="4561" t="n"/>
      <c r="I346" s="4562">
        <f>XLOOKUP(B346,'_Sys|Line_Map'!$A:$A,'_Sys|Line_Map'!$C:$C,"MISSING",0)</f>
        <v/>
      </c>
      <c r="J346" s="4562">
        <f>XLOOKUP(B346,'_Sys|Line_Map'!$A:$A,'_Sys|Line_Map'!$D:$D,1,0)</f>
        <v/>
      </c>
      <c r="K346" s="4562">
        <f>IF(D346="","",D346*J346)</f>
        <v/>
      </c>
      <c r="L346" s="4562">
        <f>XLOOKUP(B346,'_Sys|Line_Map'!$A:$A,'_Sys|Line_Map'!$B:$B,"MISSING",0)</f>
        <v/>
      </c>
    </row>
    <row r="347">
      <c r="A347" s="4561" t="n"/>
      <c r="B347" s="4561" t="n"/>
      <c r="C347" s="4561" t="n"/>
      <c r="D347" s="4561" t="n"/>
      <c r="E347" s="4561" t="n"/>
      <c r="F347" s="4561" t="n"/>
      <c r="G347" s="4561" t="n"/>
      <c r="H347" s="4561" t="n"/>
      <c r="I347" s="4562">
        <f>XLOOKUP(B347,'_Sys|Line_Map'!$A:$A,'_Sys|Line_Map'!$C:$C,"MISSING",0)</f>
        <v/>
      </c>
      <c r="J347" s="4562">
        <f>XLOOKUP(B347,'_Sys|Line_Map'!$A:$A,'_Sys|Line_Map'!$D:$D,1,0)</f>
        <v/>
      </c>
      <c r="K347" s="4562">
        <f>IF(D347="","",D347*J347)</f>
        <v/>
      </c>
      <c r="L347" s="4562">
        <f>XLOOKUP(B347,'_Sys|Line_Map'!$A:$A,'_Sys|Line_Map'!$B:$B,"MISSING",0)</f>
        <v/>
      </c>
    </row>
    <row r="348">
      <c r="A348" s="4561" t="n"/>
      <c r="B348" s="4561" t="n"/>
      <c r="C348" s="4561" t="n"/>
      <c r="D348" s="4561" t="n"/>
      <c r="E348" s="4561" t="n"/>
      <c r="F348" s="4561" t="n"/>
      <c r="G348" s="4561" t="n"/>
      <c r="H348" s="4561" t="n"/>
      <c r="I348" s="4562">
        <f>XLOOKUP(B348,'_Sys|Line_Map'!$A:$A,'_Sys|Line_Map'!$C:$C,"MISSING",0)</f>
        <v/>
      </c>
      <c r="J348" s="4562">
        <f>XLOOKUP(B348,'_Sys|Line_Map'!$A:$A,'_Sys|Line_Map'!$D:$D,1,0)</f>
        <v/>
      </c>
      <c r="K348" s="4562">
        <f>IF(D348="","",D348*J348)</f>
        <v/>
      </c>
      <c r="L348" s="4562">
        <f>XLOOKUP(B348,'_Sys|Line_Map'!$A:$A,'_Sys|Line_Map'!$B:$B,"MISSING",0)</f>
        <v/>
      </c>
    </row>
    <row r="349">
      <c r="A349" s="4561" t="n"/>
      <c r="B349" s="4561" t="n"/>
      <c r="C349" s="4561" t="n"/>
      <c r="D349" s="4561" t="n"/>
      <c r="E349" s="4561" t="n"/>
      <c r="F349" s="4561" t="n"/>
      <c r="G349" s="4561" t="n"/>
      <c r="H349" s="4561" t="n"/>
      <c r="I349" s="4562">
        <f>XLOOKUP(B349,'_Sys|Line_Map'!$A:$A,'_Sys|Line_Map'!$C:$C,"MISSING",0)</f>
        <v/>
      </c>
      <c r="J349" s="4562">
        <f>XLOOKUP(B349,'_Sys|Line_Map'!$A:$A,'_Sys|Line_Map'!$D:$D,1,0)</f>
        <v/>
      </c>
      <c r="K349" s="4562">
        <f>IF(D349="","",D349*J349)</f>
        <v/>
      </c>
      <c r="L349" s="4562">
        <f>XLOOKUP(B349,'_Sys|Line_Map'!$A:$A,'_Sys|Line_Map'!$B:$B,"MISSING",0)</f>
        <v/>
      </c>
    </row>
    <row r="350">
      <c r="A350" s="4561" t="n"/>
      <c r="B350" s="4561" t="n"/>
      <c r="C350" s="4561" t="n"/>
      <c r="D350" s="4561" t="n"/>
      <c r="E350" s="4561" t="n"/>
      <c r="F350" s="4561" t="n"/>
      <c r="G350" s="4561" t="n"/>
      <c r="H350" s="4561" t="n"/>
      <c r="I350" s="4562">
        <f>XLOOKUP(B350,'_Sys|Line_Map'!$A:$A,'_Sys|Line_Map'!$C:$C,"MISSING",0)</f>
        <v/>
      </c>
      <c r="J350" s="4562">
        <f>XLOOKUP(B350,'_Sys|Line_Map'!$A:$A,'_Sys|Line_Map'!$D:$D,1,0)</f>
        <v/>
      </c>
      <c r="K350" s="4562">
        <f>IF(D350="","",D350*J350)</f>
        <v/>
      </c>
      <c r="L350" s="4562">
        <f>XLOOKUP(B350,'_Sys|Line_Map'!$A:$A,'_Sys|Line_Map'!$B:$B,"MISSING",0)</f>
        <v/>
      </c>
    </row>
    <row r="351">
      <c r="A351" s="4561" t="n"/>
      <c r="B351" s="4561" t="n"/>
      <c r="C351" s="4561" t="n"/>
      <c r="D351" s="4561" t="n"/>
      <c r="E351" s="4561" t="n"/>
      <c r="F351" s="4561" t="n"/>
      <c r="G351" s="4561" t="n"/>
      <c r="H351" s="4561" t="n"/>
      <c r="I351" s="4562">
        <f>XLOOKUP(B351,'_Sys|Line_Map'!$A:$A,'_Sys|Line_Map'!$C:$C,"MISSING",0)</f>
        <v/>
      </c>
      <c r="J351" s="4562">
        <f>XLOOKUP(B351,'_Sys|Line_Map'!$A:$A,'_Sys|Line_Map'!$D:$D,1,0)</f>
        <v/>
      </c>
      <c r="K351" s="4562">
        <f>IF(D351="","",D351*J351)</f>
        <v/>
      </c>
      <c r="L351" s="4562">
        <f>XLOOKUP(B351,'_Sys|Line_Map'!$A:$A,'_Sys|Line_Map'!$B:$B,"MISSING",0)</f>
        <v/>
      </c>
    </row>
    <row r="352">
      <c r="A352" s="4561" t="n"/>
      <c r="B352" s="4561" t="n"/>
      <c r="C352" s="4561" t="n"/>
      <c r="D352" s="4561" t="n"/>
      <c r="E352" s="4561" t="n"/>
      <c r="F352" s="4561" t="n"/>
      <c r="G352" s="4561" t="n"/>
      <c r="H352" s="4561" t="n"/>
      <c r="I352" s="4562">
        <f>XLOOKUP(B352,'_Sys|Line_Map'!$A:$A,'_Sys|Line_Map'!$C:$C,"MISSING",0)</f>
        <v/>
      </c>
      <c r="J352" s="4562">
        <f>XLOOKUP(B352,'_Sys|Line_Map'!$A:$A,'_Sys|Line_Map'!$D:$D,1,0)</f>
        <v/>
      </c>
      <c r="K352" s="4562">
        <f>IF(D352="","",D352*J352)</f>
        <v/>
      </c>
      <c r="L352" s="4562">
        <f>XLOOKUP(B352,'_Sys|Line_Map'!$A:$A,'_Sys|Line_Map'!$B:$B,"MISSING",0)</f>
        <v/>
      </c>
    </row>
    <row r="353">
      <c r="A353" s="4561" t="n"/>
      <c r="B353" s="4561" t="n"/>
      <c r="C353" s="4561" t="n"/>
      <c r="D353" s="4561" t="n"/>
      <c r="E353" s="4561" t="n"/>
      <c r="F353" s="4561" t="n"/>
      <c r="G353" s="4561" t="n"/>
      <c r="H353" s="4561" t="n"/>
      <c r="I353" s="4562">
        <f>XLOOKUP(B353,'_Sys|Line_Map'!$A:$A,'_Sys|Line_Map'!$C:$C,"MISSING",0)</f>
        <v/>
      </c>
      <c r="J353" s="4562">
        <f>XLOOKUP(B353,'_Sys|Line_Map'!$A:$A,'_Sys|Line_Map'!$D:$D,1,0)</f>
        <v/>
      </c>
      <c r="K353" s="4562">
        <f>IF(D353="","",D353*J353)</f>
        <v/>
      </c>
      <c r="L353" s="4562">
        <f>XLOOKUP(B353,'_Sys|Line_Map'!$A:$A,'_Sys|Line_Map'!$B:$B,"MISSING",0)</f>
        <v/>
      </c>
    </row>
    <row r="354">
      <c r="A354" s="4561" t="n"/>
      <c r="B354" s="4561" t="n"/>
      <c r="C354" s="4561" t="n"/>
      <c r="D354" s="4561" t="n"/>
      <c r="E354" s="4561" t="n"/>
      <c r="F354" s="4561" t="n"/>
      <c r="G354" s="4561" t="n"/>
      <c r="H354" s="4561" t="n"/>
      <c r="I354" s="4562">
        <f>XLOOKUP(B354,'_Sys|Line_Map'!$A:$A,'_Sys|Line_Map'!$C:$C,"MISSING",0)</f>
        <v/>
      </c>
      <c r="J354" s="4562">
        <f>XLOOKUP(B354,'_Sys|Line_Map'!$A:$A,'_Sys|Line_Map'!$D:$D,1,0)</f>
        <v/>
      </c>
      <c r="K354" s="4562">
        <f>IF(D354="","",D354*J354)</f>
        <v/>
      </c>
      <c r="L354" s="4562">
        <f>XLOOKUP(B354,'_Sys|Line_Map'!$A:$A,'_Sys|Line_Map'!$B:$B,"MISSING",0)</f>
        <v/>
      </c>
    </row>
    <row r="355">
      <c r="A355" s="4561" t="n"/>
      <c r="B355" s="4561" t="n"/>
      <c r="C355" s="4561" t="n"/>
      <c r="D355" s="4561" t="n"/>
      <c r="E355" s="4561" t="n"/>
      <c r="F355" s="4561" t="n"/>
      <c r="G355" s="4561" t="n"/>
      <c r="H355" s="4561" t="n"/>
      <c r="I355" s="4562">
        <f>XLOOKUP(B355,'_Sys|Line_Map'!$A:$A,'_Sys|Line_Map'!$C:$C,"MISSING",0)</f>
        <v/>
      </c>
      <c r="J355" s="4562">
        <f>XLOOKUP(B355,'_Sys|Line_Map'!$A:$A,'_Sys|Line_Map'!$D:$D,1,0)</f>
        <v/>
      </c>
      <c r="K355" s="4562">
        <f>IF(D355="","",D355*J355)</f>
        <v/>
      </c>
      <c r="L355" s="4562">
        <f>XLOOKUP(B355,'_Sys|Line_Map'!$A:$A,'_Sys|Line_Map'!$B:$B,"MISSING",0)</f>
        <v/>
      </c>
    </row>
    <row r="356">
      <c r="A356" s="4561" t="n"/>
      <c r="B356" s="4561" t="n"/>
      <c r="C356" s="4561" t="n"/>
      <c r="D356" s="4561" t="n"/>
      <c r="E356" s="4561" t="n"/>
      <c r="F356" s="4561" t="n"/>
      <c r="G356" s="4561" t="n"/>
      <c r="H356" s="4561" t="n"/>
      <c r="I356" s="4562">
        <f>XLOOKUP(B356,'_Sys|Line_Map'!$A:$A,'_Sys|Line_Map'!$C:$C,"MISSING",0)</f>
        <v/>
      </c>
      <c r="J356" s="4562">
        <f>XLOOKUP(B356,'_Sys|Line_Map'!$A:$A,'_Sys|Line_Map'!$D:$D,1,0)</f>
        <v/>
      </c>
      <c r="K356" s="4562">
        <f>IF(D356="","",D356*J356)</f>
        <v/>
      </c>
      <c r="L356" s="4562">
        <f>XLOOKUP(B356,'_Sys|Line_Map'!$A:$A,'_Sys|Line_Map'!$B:$B,"MISSING",0)</f>
        <v/>
      </c>
    </row>
    <row r="357">
      <c r="A357" s="4561" t="n"/>
      <c r="B357" s="4561" t="n"/>
      <c r="C357" s="4561" t="n"/>
      <c r="D357" s="4561" t="n"/>
      <c r="E357" s="4561" t="n"/>
      <c r="F357" s="4561" t="n"/>
      <c r="G357" s="4561" t="n"/>
      <c r="H357" s="4561" t="n"/>
      <c r="I357" s="4562">
        <f>XLOOKUP(B357,'_Sys|Line_Map'!$A:$A,'_Sys|Line_Map'!$C:$C,"MISSING",0)</f>
        <v/>
      </c>
      <c r="J357" s="4562">
        <f>XLOOKUP(B357,'_Sys|Line_Map'!$A:$A,'_Sys|Line_Map'!$D:$D,1,0)</f>
        <v/>
      </c>
      <c r="K357" s="4562">
        <f>IF(D357="","",D357*J357)</f>
        <v/>
      </c>
      <c r="L357" s="4562">
        <f>XLOOKUP(B357,'_Sys|Line_Map'!$A:$A,'_Sys|Line_Map'!$B:$B,"MISSING",0)</f>
        <v/>
      </c>
    </row>
    <row r="358">
      <c r="A358" s="4561" t="n"/>
      <c r="B358" s="4561" t="n"/>
      <c r="C358" s="4561" t="n"/>
      <c r="D358" s="4561" t="n"/>
      <c r="E358" s="4561" t="n"/>
      <c r="F358" s="4561" t="n"/>
      <c r="G358" s="4561" t="n"/>
      <c r="H358" s="4561" t="n"/>
      <c r="I358" s="4562">
        <f>XLOOKUP(B358,'_Sys|Line_Map'!$A:$A,'_Sys|Line_Map'!$C:$C,"MISSING",0)</f>
        <v/>
      </c>
      <c r="J358" s="4562">
        <f>XLOOKUP(B358,'_Sys|Line_Map'!$A:$A,'_Sys|Line_Map'!$D:$D,1,0)</f>
        <v/>
      </c>
      <c r="K358" s="4562">
        <f>IF(D358="","",D358*J358)</f>
        <v/>
      </c>
      <c r="L358" s="4562">
        <f>XLOOKUP(B358,'_Sys|Line_Map'!$A:$A,'_Sys|Line_Map'!$B:$B,"MISSING",0)</f>
        <v/>
      </c>
    </row>
    <row r="359">
      <c r="A359" s="4561" t="n"/>
      <c r="B359" s="4561" t="n"/>
      <c r="C359" s="4561" t="n"/>
      <c r="D359" s="4561" t="n"/>
      <c r="E359" s="4561" t="n"/>
      <c r="F359" s="4561" t="n"/>
      <c r="G359" s="4561" t="n"/>
      <c r="H359" s="4561" t="n"/>
      <c r="I359" s="4562">
        <f>XLOOKUP(B359,'_Sys|Line_Map'!$A:$A,'_Sys|Line_Map'!$C:$C,"MISSING",0)</f>
        <v/>
      </c>
      <c r="J359" s="4562">
        <f>XLOOKUP(B359,'_Sys|Line_Map'!$A:$A,'_Sys|Line_Map'!$D:$D,1,0)</f>
        <v/>
      </c>
      <c r="K359" s="4562">
        <f>IF(D359="","",D359*J359)</f>
        <v/>
      </c>
      <c r="L359" s="4562">
        <f>XLOOKUP(B359,'_Sys|Line_Map'!$A:$A,'_Sys|Line_Map'!$B:$B,"MISSING",0)</f>
        <v/>
      </c>
    </row>
    <row r="360">
      <c r="A360" s="4561" t="n"/>
      <c r="B360" s="4561" t="n"/>
      <c r="C360" s="4561" t="n"/>
      <c r="D360" s="4561" t="n"/>
      <c r="E360" s="4561" t="n"/>
      <c r="F360" s="4561" t="n"/>
      <c r="G360" s="4561" t="n"/>
      <c r="H360" s="4561" t="n"/>
      <c r="I360" s="4562">
        <f>XLOOKUP(B360,'_Sys|Line_Map'!$A:$A,'_Sys|Line_Map'!$C:$C,"MISSING",0)</f>
        <v/>
      </c>
      <c r="J360" s="4562">
        <f>XLOOKUP(B360,'_Sys|Line_Map'!$A:$A,'_Sys|Line_Map'!$D:$D,1,0)</f>
        <v/>
      </c>
      <c r="K360" s="4562">
        <f>IF(D360="","",D360*J360)</f>
        <v/>
      </c>
      <c r="L360" s="4562">
        <f>XLOOKUP(B360,'_Sys|Line_Map'!$A:$A,'_Sys|Line_Map'!$B:$B,"MISSING",0)</f>
        <v/>
      </c>
    </row>
    <row r="361">
      <c r="A361" s="4561" t="n"/>
      <c r="B361" s="4561" t="n"/>
      <c r="C361" s="4561" t="n"/>
      <c r="D361" s="4561" t="n"/>
      <c r="E361" s="4561" t="n"/>
      <c r="F361" s="4561" t="n"/>
      <c r="G361" s="4561" t="n"/>
      <c r="H361" s="4561" t="n"/>
      <c r="I361" s="4562">
        <f>XLOOKUP(B361,'_Sys|Line_Map'!$A:$A,'_Sys|Line_Map'!$C:$C,"MISSING",0)</f>
        <v/>
      </c>
      <c r="J361" s="4562">
        <f>XLOOKUP(B361,'_Sys|Line_Map'!$A:$A,'_Sys|Line_Map'!$D:$D,1,0)</f>
        <v/>
      </c>
      <c r="K361" s="4562">
        <f>IF(D361="","",D361*J361)</f>
        <v/>
      </c>
      <c r="L361" s="4562">
        <f>XLOOKUP(B361,'_Sys|Line_Map'!$A:$A,'_Sys|Line_Map'!$B:$B,"MISSING",0)</f>
        <v/>
      </c>
    </row>
    <row r="362">
      <c r="A362" s="4561" t="n"/>
      <c r="B362" s="4561" t="n"/>
      <c r="C362" s="4561" t="n"/>
      <c r="D362" s="4561" t="n"/>
      <c r="E362" s="4561" t="n"/>
      <c r="F362" s="4561" t="n"/>
      <c r="G362" s="4561" t="n"/>
      <c r="H362" s="4561" t="n"/>
      <c r="I362" s="4562">
        <f>XLOOKUP(B362,'_Sys|Line_Map'!$A:$A,'_Sys|Line_Map'!$C:$C,"MISSING",0)</f>
        <v/>
      </c>
      <c r="J362" s="4562">
        <f>XLOOKUP(B362,'_Sys|Line_Map'!$A:$A,'_Sys|Line_Map'!$D:$D,1,0)</f>
        <v/>
      </c>
      <c r="K362" s="4562">
        <f>IF(D362="","",D362*J362)</f>
        <v/>
      </c>
      <c r="L362" s="4562">
        <f>XLOOKUP(B362,'_Sys|Line_Map'!$A:$A,'_Sys|Line_Map'!$B:$B,"MISSING",0)</f>
        <v/>
      </c>
    </row>
    <row r="363">
      <c r="A363" s="4561" t="n"/>
      <c r="B363" s="4561" t="n"/>
      <c r="C363" s="4561" t="n"/>
      <c r="D363" s="4561" t="n"/>
      <c r="E363" s="4561" t="n"/>
      <c r="F363" s="4561" t="n"/>
      <c r="G363" s="4561" t="n"/>
      <c r="H363" s="4561" t="n"/>
      <c r="I363" s="4562">
        <f>XLOOKUP(B363,'_Sys|Line_Map'!$A:$A,'_Sys|Line_Map'!$C:$C,"MISSING",0)</f>
        <v/>
      </c>
      <c r="J363" s="4562">
        <f>XLOOKUP(B363,'_Sys|Line_Map'!$A:$A,'_Sys|Line_Map'!$D:$D,1,0)</f>
        <v/>
      </c>
      <c r="K363" s="4562">
        <f>IF(D363="","",D363*J363)</f>
        <v/>
      </c>
      <c r="L363" s="4562">
        <f>XLOOKUP(B363,'_Sys|Line_Map'!$A:$A,'_Sys|Line_Map'!$B:$B,"MISSING",0)</f>
        <v/>
      </c>
    </row>
    <row r="364">
      <c r="A364" s="4561" t="n"/>
      <c r="B364" s="4561" t="n"/>
      <c r="C364" s="4561" t="n"/>
      <c r="D364" s="4561" t="n"/>
      <c r="E364" s="4561" t="n"/>
      <c r="F364" s="4561" t="n"/>
      <c r="G364" s="4561" t="n"/>
      <c r="H364" s="4561" t="n"/>
      <c r="I364" s="4562">
        <f>XLOOKUP(B364,'_Sys|Line_Map'!$A:$A,'_Sys|Line_Map'!$C:$C,"MISSING",0)</f>
        <v/>
      </c>
      <c r="J364" s="4562">
        <f>XLOOKUP(B364,'_Sys|Line_Map'!$A:$A,'_Sys|Line_Map'!$D:$D,1,0)</f>
        <v/>
      </c>
      <c r="K364" s="4562">
        <f>IF(D364="","",D364*J364)</f>
        <v/>
      </c>
      <c r="L364" s="4562">
        <f>XLOOKUP(B364,'_Sys|Line_Map'!$A:$A,'_Sys|Line_Map'!$B:$B,"MISSING",0)</f>
        <v/>
      </c>
    </row>
    <row r="365">
      <c r="A365" s="4561" t="n"/>
      <c r="B365" s="4561" t="n"/>
      <c r="C365" s="4561" t="n"/>
      <c r="D365" s="4561" t="n"/>
      <c r="E365" s="4561" t="n"/>
      <c r="F365" s="4561" t="n"/>
      <c r="G365" s="4561" t="n"/>
      <c r="H365" s="4561" t="n"/>
      <c r="I365" s="4562">
        <f>XLOOKUP(B365,'_Sys|Line_Map'!$A:$A,'_Sys|Line_Map'!$C:$C,"MISSING",0)</f>
        <v/>
      </c>
      <c r="J365" s="4562">
        <f>XLOOKUP(B365,'_Sys|Line_Map'!$A:$A,'_Sys|Line_Map'!$D:$D,1,0)</f>
        <v/>
      </c>
      <c r="K365" s="4562">
        <f>IF(D365="","",D365*J365)</f>
        <v/>
      </c>
      <c r="L365" s="4562">
        <f>XLOOKUP(B365,'_Sys|Line_Map'!$A:$A,'_Sys|Line_Map'!$B:$B,"MISSING",0)</f>
        <v/>
      </c>
    </row>
    <row r="366">
      <c r="A366" s="4561" t="n"/>
      <c r="B366" s="4561" t="n"/>
      <c r="C366" s="4561" t="n"/>
      <c r="D366" s="4561" t="n"/>
      <c r="E366" s="4561" t="n"/>
      <c r="F366" s="4561" t="n"/>
      <c r="G366" s="4561" t="n"/>
      <c r="H366" s="4561" t="n"/>
      <c r="I366" s="4562">
        <f>XLOOKUP(B366,'_Sys|Line_Map'!$A:$A,'_Sys|Line_Map'!$C:$C,"MISSING",0)</f>
        <v/>
      </c>
      <c r="J366" s="4562">
        <f>XLOOKUP(B366,'_Sys|Line_Map'!$A:$A,'_Sys|Line_Map'!$D:$D,1,0)</f>
        <v/>
      </c>
      <c r="K366" s="4562">
        <f>IF(D366="","",D366*J366)</f>
        <v/>
      </c>
      <c r="L366" s="4562">
        <f>XLOOKUP(B366,'_Sys|Line_Map'!$A:$A,'_Sys|Line_Map'!$B:$B,"MISSING",0)</f>
        <v/>
      </c>
    </row>
    <row r="367">
      <c r="A367" s="4561" t="n"/>
      <c r="B367" s="4561" t="n"/>
      <c r="C367" s="4561" t="n"/>
      <c r="D367" s="4561" t="n"/>
      <c r="E367" s="4561" t="n"/>
      <c r="F367" s="4561" t="n"/>
      <c r="G367" s="4561" t="n"/>
      <c r="H367" s="4561" t="n"/>
      <c r="I367" s="4562">
        <f>XLOOKUP(B367,'_Sys|Line_Map'!$A:$A,'_Sys|Line_Map'!$C:$C,"MISSING",0)</f>
        <v/>
      </c>
      <c r="J367" s="4562">
        <f>XLOOKUP(B367,'_Sys|Line_Map'!$A:$A,'_Sys|Line_Map'!$D:$D,1,0)</f>
        <v/>
      </c>
      <c r="K367" s="4562">
        <f>IF(D367="","",D367*J367)</f>
        <v/>
      </c>
      <c r="L367" s="4562">
        <f>XLOOKUP(B367,'_Sys|Line_Map'!$A:$A,'_Sys|Line_Map'!$B:$B,"MISSING",0)</f>
        <v/>
      </c>
    </row>
    <row r="368">
      <c r="A368" s="4561" t="n"/>
      <c r="B368" s="4561" t="n"/>
      <c r="C368" s="4561" t="n"/>
      <c r="D368" s="4561" t="n"/>
      <c r="E368" s="4561" t="n"/>
      <c r="F368" s="4561" t="n"/>
      <c r="G368" s="4561" t="n"/>
      <c r="H368" s="4561" t="n"/>
      <c r="I368" s="4562">
        <f>XLOOKUP(B368,'_Sys|Line_Map'!$A:$A,'_Sys|Line_Map'!$C:$C,"MISSING",0)</f>
        <v/>
      </c>
      <c r="J368" s="4562">
        <f>XLOOKUP(B368,'_Sys|Line_Map'!$A:$A,'_Sys|Line_Map'!$D:$D,1,0)</f>
        <v/>
      </c>
      <c r="K368" s="4562">
        <f>IF(D368="","",D368*J368)</f>
        <v/>
      </c>
      <c r="L368" s="4562">
        <f>XLOOKUP(B368,'_Sys|Line_Map'!$A:$A,'_Sys|Line_Map'!$B:$B,"MISSING",0)</f>
        <v/>
      </c>
    </row>
    <row r="369">
      <c r="A369" s="4561" t="n"/>
      <c r="B369" s="4561" t="n"/>
      <c r="C369" s="4561" t="n"/>
      <c r="D369" s="4561" t="n"/>
      <c r="E369" s="4561" t="n"/>
      <c r="F369" s="4561" t="n"/>
      <c r="G369" s="4561" t="n"/>
      <c r="H369" s="4561" t="n"/>
      <c r="I369" s="4562">
        <f>XLOOKUP(B369,'_Sys|Line_Map'!$A:$A,'_Sys|Line_Map'!$C:$C,"MISSING",0)</f>
        <v/>
      </c>
      <c r="J369" s="4562">
        <f>XLOOKUP(B369,'_Sys|Line_Map'!$A:$A,'_Sys|Line_Map'!$D:$D,1,0)</f>
        <v/>
      </c>
      <c r="K369" s="4562">
        <f>IF(D369="","",D369*J369)</f>
        <v/>
      </c>
      <c r="L369" s="4562">
        <f>XLOOKUP(B369,'_Sys|Line_Map'!$A:$A,'_Sys|Line_Map'!$B:$B,"MISSING",0)</f>
        <v/>
      </c>
    </row>
    <row r="370">
      <c r="A370" s="4561" t="n"/>
      <c r="B370" s="4561" t="n"/>
      <c r="C370" s="4561" t="n"/>
      <c r="D370" s="4561" t="n"/>
      <c r="E370" s="4561" t="n"/>
      <c r="F370" s="4561" t="n"/>
      <c r="G370" s="4561" t="n"/>
      <c r="H370" s="4561" t="n"/>
      <c r="I370" s="4562">
        <f>XLOOKUP(B370,'_Sys|Line_Map'!$A:$A,'_Sys|Line_Map'!$C:$C,"MISSING",0)</f>
        <v/>
      </c>
      <c r="J370" s="4562">
        <f>XLOOKUP(B370,'_Sys|Line_Map'!$A:$A,'_Sys|Line_Map'!$D:$D,1,0)</f>
        <v/>
      </c>
      <c r="K370" s="4562">
        <f>IF(D370="","",D370*J370)</f>
        <v/>
      </c>
      <c r="L370" s="4562">
        <f>XLOOKUP(B370,'_Sys|Line_Map'!$A:$A,'_Sys|Line_Map'!$B:$B,"MISSING",0)</f>
        <v/>
      </c>
    </row>
    <row r="371">
      <c r="A371" s="4561" t="n"/>
      <c r="B371" s="4561" t="n"/>
      <c r="C371" s="4561" t="n"/>
      <c r="D371" s="4561" t="n"/>
      <c r="E371" s="4561" t="n"/>
      <c r="F371" s="4561" t="n"/>
      <c r="G371" s="4561" t="n"/>
      <c r="H371" s="4561" t="n"/>
      <c r="I371" s="4562">
        <f>XLOOKUP(B371,'_Sys|Line_Map'!$A:$A,'_Sys|Line_Map'!$C:$C,"MISSING",0)</f>
        <v/>
      </c>
      <c r="J371" s="4562">
        <f>XLOOKUP(B371,'_Sys|Line_Map'!$A:$A,'_Sys|Line_Map'!$D:$D,1,0)</f>
        <v/>
      </c>
      <c r="K371" s="4562">
        <f>IF(D371="","",D371*J371)</f>
        <v/>
      </c>
      <c r="L371" s="4562">
        <f>XLOOKUP(B371,'_Sys|Line_Map'!$A:$A,'_Sys|Line_Map'!$B:$B,"MISSING",0)</f>
        <v/>
      </c>
    </row>
    <row r="372">
      <c r="A372" s="4561" t="n"/>
      <c r="B372" s="4561" t="n"/>
      <c r="C372" s="4561" t="n"/>
      <c r="D372" s="4561" t="n"/>
      <c r="E372" s="4561" t="n"/>
      <c r="F372" s="4561" t="n"/>
      <c r="G372" s="4561" t="n"/>
      <c r="H372" s="4561" t="n"/>
      <c r="I372" s="4562">
        <f>XLOOKUP(B372,'_Sys|Line_Map'!$A:$A,'_Sys|Line_Map'!$C:$C,"MISSING",0)</f>
        <v/>
      </c>
      <c r="J372" s="4562">
        <f>XLOOKUP(B372,'_Sys|Line_Map'!$A:$A,'_Sys|Line_Map'!$D:$D,1,0)</f>
        <v/>
      </c>
      <c r="K372" s="4562">
        <f>IF(D372="","",D372*J372)</f>
        <v/>
      </c>
      <c r="L372" s="4562">
        <f>XLOOKUP(B372,'_Sys|Line_Map'!$A:$A,'_Sys|Line_Map'!$B:$B,"MISSING",0)</f>
        <v/>
      </c>
    </row>
    <row r="373">
      <c r="A373" s="4561" t="n"/>
      <c r="B373" s="4561" t="n"/>
      <c r="C373" s="4561" t="n"/>
      <c r="D373" s="4561" t="n"/>
      <c r="E373" s="4561" t="n"/>
      <c r="F373" s="4561" t="n"/>
      <c r="G373" s="4561" t="n"/>
      <c r="H373" s="4561" t="n"/>
      <c r="I373" s="4562">
        <f>XLOOKUP(B373,'_Sys|Line_Map'!$A:$A,'_Sys|Line_Map'!$C:$C,"MISSING",0)</f>
        <v/>
      </c>
      <c r="J373" s="4562">
        <f>XLOOKUP(B373,'_Sys|Line_Map'!$A:$A,'_Sys|Line_Map'!$D:$D,1,0)</f>
        <v/>
      </c>
      <c r="K373" s="4562">
        <f>IF(D373="","",D373*J373)</f>
        <v/>
      </c>
      <c r="L373" s="4562">
        <f>XLOOKUP(B373,'_Sys|Line_Map'!$A:$A,'_Sys|Line_Map'!$B:$B,"MISSING",0)</f>
        <v/>
      </c>
    </row>
    <row r="374">
      <c r="A374" s="4561" t="n"/>
      <c r="B374" s="4561" t="n"/>
      <c r="C374" s="4561" t="n"/>
      <c r="D374" s="4561" t="n"/>
      <c r="E374" s="4561" t="n"/>
      <c r="F374" s="4561" t="n"/>
      <c r="G374" s="4561" t="n"/>
      <c r="H374" s="4561" t="n"/>
      <c r="I374" s="4562">
        <f>XLOOKUP(B374,'_Sys|Line_Map'!$A:$A,'_Sys|Line_Map'!$C:$C,"MISSING",0)</f>
        <v/>
      </c>
      <c r="J374" s="4562">
        <f>XLOOKUP(B374,'_Sys|Line_Map'!$A:$A,'_Sys|Line_Map'!$D:$D,1,0)</f>
        <v/>
      </c>
      <c r="K374" s="4562">
        <f>IF(D374="","",D374*J374)</f>
        <v/>
      </c>
      <c r="L374" s="4562">
        <f>XLOOKUP(B374,'_Sys|Line_Map'!$A:$A,'_Sys|Line_Map'!$B:$B,"MISSING",0)</f>
        <v/>
      </c>
    </row>
    <row r="375">
      <c r="A375" s="4561" t="n"/>
      <c r="B375" s="4561" t="n"/>
      <c r="C375" s="4561" t="n"/>
      <c r="D375" s="4561" t="n"/>
      <c r="E375" s="4561" t="n"/>
      <c r="F375" s="4561" t="n"/>
      <c r="G375" s="4561" t="n"/>
      <c r="H375" s="4561" t="n"/>
      <c r="I375" s="4562">
        <f>XLOOKUP(B375,'_Sys|Line_Map'!$A:$A,'_Sys|Line_Map'!$C:$C,"MISSING",0)</f>
        <v/>
      </c>
      <c r="J375" s="4562">
        <f>XLOOKUP(B375,'_Sys|Line_Map'!$A:$A,'_Sys|Line_Map'!$D:$D,1,0)</f>
        <v/>
      </c>
      <c r="K375" s="4562">
        <f>IF(D375="","",D375*J375)</f>
        <v/>
      </c>
      <c r="L375" s="4562">
        <f>XLOOKUP(B375,'_Sys|Line_Map'!$A:$A,'_Sys|Line_Map'!$B:$B,"MISSING",0)</f>
        <v/>
      </c>
    </row>
    <row r="376">
      <c r="A376" s="4561" t="n"/>
      <c r="B376" s="4561" t="n"/>
      <c r="C376" s="4561" t="n"/>
      <c r="D376" s="4561" t="n"/>
      <c r="E376" s="4561" t="n"/>
      <c r="F376" s="4561" t="n"/>
      <c r="G376" s="4561" t="n"/>
      <c r="H376" s="4561" t="n"/>
      <c r="I376" s="4562">
        <f>XLOOKUP(B376,'_Sys|Line_Map'!$A:$A,'_Sys|Line_Map'!$C:$C,"MISSING",0)</f>
        <v/>
      </c>
      <c r="J376" s="4562">
        <f>XLOOKUP(B376,'_Sys|Line_Map'!$A:$A,'_Sys|Line_Map'!$D:$D,1,0)</f>
        <v/>
      </c>
      <c r="K376" s="4562">
        <f>IF(D376="","",D376*J376)</f>
        <v/>
      </c>
      <c r="L376" s="4562">
        <f>XLOOKUP(B376,'_Sys|Line_Map'!$A:$A,'_Sys|Line_Map'!$B:$B,"MISSING",0)</f>
        <v/>
      </c>
    </row>
    <row r="377">
      <c r="A377" s="4561" t="n"/>
      <c r="B377" s="4561" t="n"/>
      <c r="C377" s="4561" t="n"/>
      <c r="D377" s="4561" t="n"/>
      <c r="E377" s="4561" t="n"/>
      <c r="F377" s="4561" t="n"/>
      <c r="G377" s="4561" t="n"/>
      <c r="H377" s="4561" t="n"/>
      <c r="I377" s="4562">
        <f>XLOOKUP(B377,'_Sys|Line_Map'!$A:$A,'_Sys|Line_Map'!$C:$C,"MISSING",0)</f>
        <v/>
      </c>
      <c r="J377" s="4562">
        <f>XLOOKUP(B377,'_Sys|Line_Map'!$A:$A,'_Sys|Line_Map'!$D:$D,1,0)</f>
        <v/>
      </c>
      <c r="K377" s="4562">
        <f>IF(D377="","",D377*J377)</f>
        <v/>
      </c>
      <c r="L377" s="4562">
        <f>XLOOKUP(B377,'_Sys|Line_Map'!$A:$A,'_Sys|Line_Map'!$B:$B,"MISSING",0)</f>
        <v/>
      </c>
    </row>
    <row r="378">
      <c r="A378" s="4561" t="n"/>
      <c r="B378" s="4561" t="n"/>
      <c r="C378" s="4561" t="n"/>
      <c r="D378" s="4561" t="n"/>
      <c r="E378" s="4561" t="n"/>
      <c r="F378" s="4561" t="n"/>
      <c r="G378" s="4561" t="n"/>
      <c r="H378" s="4561" t="n"/>
      <c r="I378" s="4562">
        <f>XLOOKUP(B378,'_Sys|Line_Map'!$A:$A,'_Sys|Line_Map'!$C:$C,"MISSING",0)</f>
        <v/>
      </c>
      <c r="J378" s="4562">
        <f>XLOOKUP(B378,'_Sys|Line_Map'!$A:$A,'_Sys|Line_Map'!$D:$D,1,0)</f>
        <v/>
      </c>
      <c r="K378" s="4562">
        <f>IF(D378="","",D378*J378)</f>
        <v/>
      </c>
      <c r="L378" s="4562">
        <f>XLOOKUP(B378,'_Sys|Line_Map'!$A:$A,'_Sys|Line_Map'!$B:$B,"MISSING",0)</f>
        <v/>
      </c>
    </row>
    <row r="379">
      <c r="A379" s="4561" t="n"/>
      <c r="B379" s="4561" t="n"/>
      <c r="C379" s="4561" t="n"/>
      <c r="D379" s="4561" t="n"/>
      <c r="E379" s="4561" t="n"/>
      <c r="F379" s="4561" t="n"/>
      <c r="G379" s="4561" t="n"/>
      <c r="H379" s="4561" t="n"/>
      <c r="I379" s="4562">
        <f>XLOOKUP(B379,'_Sys|Line_Map'!$A:$A,'_Sys|Line_Map'!$C:$C,"MISSING",0)</f>
        <v/>
      </c>
      <c r="J379" s="4562">
        <f>XLOOKUP(B379,'_Sys|Line_Map'!$A:$A,'_Sys|Line_Map'!$D:$D,1,0)</f>
        <v/>
      </c>
      <c r="K379" s="4562">
        <f>IF(D379="","",D379*J379)</f>
        <v/>
      </c>
      <c r="L379" s="4562">
        <f>XLOOKUP(B379,'_Sys|Line_Map'!$A:$A,'_Sys|Line_Map'!$B:$B,"MISSING",0)</f>
        <v/>
      </c>
    </row>
    <row r="380">
      <c r="A380" s="4561" t="n"/>
      <c r="B380" s="4561" t="n"/>
      <c r="C380" s="4561" t="n"/>
      <c r="D380" s="4561" t="n"/>
      <c r="E380" s="4561" t="n"/>
      <c r="F380" s="4561" t="n"/>
      <c r="G380" s="4561" t="n"/>
      <c r="H380" s="4561" t="n"/>
      <c r="I380" s="4562">
        <f>XLOOKUP(B380,'_Sys|Line_Map'!$A:$A,'_Sys|Line_Map'!$C:$C,"MISSING",0)</f>
        <v/>
      </c>
      <c r="J380" s="4562">
        <f>XLOOKUP(B380,'_Sys|Line_Map'!$A:$A,'_Sys|Line_Map'!$D:$D,1,0)</f>
        <v/>
      </c>
      <c r="K380" s="4562">
        <f>IF(D380="","",D380*J380)</f>
        <v/>
      </c>
      <c r="L380" s="4562">
        <f>XLOOKUP(B380,'_Sys|Line_Map'!$A:$A,'_Sys|Line_Map'!$B:$B,"MISSING",0)</f>
        <v/>
      </c>
    </row>
    <row r="381">
      <c r="A381" s="4561" t="n"/>
      <c r="B381" s="4561" t="n"/>
      <c r="C381" s="4561" t="n"/>
      <c r="D381" s="4561" t="n"/>
      <c r="E381" s="4561" t="n"/>
      <c r="F381" s="4561" t="n"/>
      <c r="G381" s="4561" t="n"/>
      <c r="H381" s="4561" t="n"/>
      <c r="I381" s="4562">
        <f>XLOOKUP(B381,'_Sys|Line_Map'!$A:$A,'_Sys|Line_Map'!$C:$C,"MISSING",0)</f>
        <v/>
      </c>
      <c r="J381" s="4562">
        <f>XLOOKUP(B381,'_Sys|Line_Map'!$A:$A,'_Sys|Line_Map'!$D:$D,1,0)</f>
        <v/>
      </c>
      <c r="K381" s="4562">
        <f>IF(D381="","",D381*J381)</f>
        <v/>
      </c>
      <c r="L381" s="4562">
        <f>XLOOKUP(B381,'_Sys|Line_Map'!$A:$A,'_Sys|Line_Map'!$B:$B,"MISSING",0)</f>
        <v/>
      </c>
    </row>
    <row r="382">
      <c r="A382" s="4561" t="n"/>
      <c r="B382" s="4561" t="n"/>
      <c r="C382" s="4561" t="n"/>
      <c r="D382" s="4561" t="n"/>
      <c r="E382" s="4561" t="n"/>
      <c r="F382" s="4561" t="n"/>
      <c r="G382" s="4561" t="n"/>
      <c r="H382" s="4561" t="n"/>
      <c r="I382" s="4562">
        <f>XLOOKUP(B382,'_Sys|Line_Map'!$A:$A,'_Sys|Line_Map'!$C:$C,"MISSING",0)</f>
        <v/>
      </c>
      <c r="J382" s="4562">
        <f>XLOOKUP(B382,'_Sys|Line_Map'!$A:$A,'_Sys|Line_Map'!$D:$D,1,0)</f>
        <v/>
      </c>
      <c r="K382" s="4562">
        <f>IF(D382="","",D382*J382)</f>
        <v/>
      </c>
      <c r="L382" s="4562">
        <f>XLOOKUP(B382,'_Sys|Line_Map'!$A:$A,'_Sys|Line_Map'!$B:$B,"MISSING",0)</f>
        <v/>
      </c>
    </row>
    <row r="383">
      <c r="A383" s="4561" t="n"/>
      <c r="B383" s="4561" t="n"/>
      <c r="C383" s="4561" t="n"/>
      <c r="D383" s="4561" t="n"/>
      <c r="E383" s="4561" t="n"/>
      <c r="F383" s="4561" t="n"/>
      <c r="G383" s="4561" t="n"/>
      <c r="H383" s="4561" t="n"/>
      <c r="I383" s="4562">
        <f>XLOOKUP(B383,'_Sys|Line_Map'!$A:$A,'_Sys|Line_Map'!$C:$C,"MISSING",0)</f>
        <v/>
      </c>
      <c r="J383" s="4562">
        <f>XLOOKUP(B383,'_Sys|Line_Map'!$A:$A,'_Sys|Line_Map'!$D:$D,1,0)</f>
        <v/>
      </c>
      <c r="K383" s="4562">
        <f>IF(D383="","",D383*J383)</f>
        <v/>
      </c>
      <c r="L383" s="4562">
        <f>XLOOKUP(B383,'_Sys|Line_Map'!$A:$A,'_Sys|Line_Map'!$B:$B,"MISSING",0)</f>
        <v/>
      </c>
    </row>
    <row r="384">
      <c r="A384" s="4561" t="n"/>
      <c r="B384" s="4561" t="n"/>
      <c r="C384" s="4561" t="n"/>
      <c r="D384" s="4561" t="n"/>
      <c r="E384" s="4561" t="n"/>
      <c r="F384" s="4561" t="n"/>
      <c r="G384" s="4561" t="n"/>
      <c r="H384" s="4561" t="n"/>
      <c r="I384" s="4562">
        <f>XLOOKUP(B384,'_Sys|Line_Map'!$A:$A,'_Sys|Line_Map'!$C:$C,"MISSING",0)</f>
        <v/>
      </c>
      <c r="J384" s="4562">
        <f>XLOOKUP(B384,'_Sys|Line_Map'!$A:$A,'_Sys|Line_Map'!$D:$D,1,0)</f>
        <v/>
      </c>
      <c r="K384" s="4562">
        <f>IF(D384="","",D384*J384)</f>
        <v/>
      </c>
      <c r="L384" s="4562">
        <f>XLOOKUP(B384,'_Sys|Line_Map'!$A:$A,'_Sys|Line_Map'!$B:$B,"MISSING",0)</f>
        <v/>
      </c>
    </row>
    <row r="385">
      <c r="A385" s="4561" t="n"/>
      <c r="B385" s="4561" t="n"/>
      <c r="C385" s="4561" t="n"/>
      <c r="D385" s="4561" t="n"/>
      <c r="E385" s="4561" t="n"/>
      <c r="F385" s="4561" t="n"/>
      <c r="G385" s="4561" t="n"/>
      <c r="H385" s="4561" t="n"/>
      <c r="I385" s="4562">
        <f>XLOOKUP(B385,'_Sys|Line_Map'!$A:$A,'_Sys|Line_Map'!$C:$C,"MISSING",0)</f>
        <v/>
      </c>
      <c r="J385" s="4562">
        <f>XLOOKUP(B385,'_Sys|Line_Map'!$A:$A,'_Sys|Line_Map'!$D:$D,1,0)</f>
        <v/>
      </c>
      <c r="K385" s="4562">
        <f>IF(D385="","",D385*J385)</f>
        <v/>
      </c>
      <c r="L385" s="4562">
        <f>XLOOKUP(B385,'_Sys|Line_Map'!$A:$A,'_Sys|Line_Map'!$B:$B,"MISSING",0)</f>
        <v/>
      </c>
    </row>
    <row r="386">
      <c r="A386" s="4561" t="n"/>
      <c r="B386" s="4561" t="n"/>
      <c r="C386" s="4561" t="n"/>
      <c r="D386" s="4561" t="n"/>
      <c r="E386" s="4561" t="n"/>
      <c r="F386" s="4561" t="n"/>
      <c r="G386" s="4561" t="n"/>
      <c r="H386" s="4561" t="n"/>
      <c r="I386" s="4562">
        <f>XLOOKUP(B386,'_Sys|Line_Map'!$A:$A,'_Sys|Line_Map'!$C:$C,"MISSING",0)</f>
        <v/>
      </c>
      <c r="J386" s="4562">
        <f>XLOOKUP(B386,'_Sys|Line_Map'!$A:$A,'_Sys|Line_Map'!$D:$D,1,0)</f>
        <v/>
      </c>
      <c r="K386" s="4562">
        <f>IF(D386="","",D386*J386)</f>
        <v/>
      </c>
      <c r="L386" s="4562">
        <f>XLOOKUP(B386,'_Sys|Line_Map'!$A:$A,'_Sys|Line_Map'!$B:$B,"MISSING",0)</f>
        <v/>
      </c>
    </row>
    <row r="387">
      <c r="A387" s="4561" t="n"/>
      <c r="B387" s="4561" t="n"/>
      <c r="C387" s="4561" t="n"/>
      <c r="D387" s="4561" t="n"/>
      <c r="E387" s="4561" t="n"/>
      <c r="F387" s="4561" t="n"/>
      <c r="G387" s="4561" t="n"/>
      <c r="H387" s="4561" t="n"/>
      <c r="I387" s="4562">
        <f>XLOOKUP(B387,'_Sys|Line_Map'!$A:$A,'_Sys|Line_Map'!$C:$C,"MISSING",0)</f>
        <v/>
      </c>
      <c r="J387" s="4562">
        <f>XLOOKUP(B387,'_Sys|Line_Map'!$A:$A,'_Sys|Line_Map'!$D:$D,1,0)</f>
        <v/>
      </c>
      <c r="K387" s="4562">
        <f>IF(D387="","",D387*J387)</f>
        <v/>
      </c>
      <c r="L387" s="4562">
        <f>XLOOKUP(B387,'_Sys|Line_Map'!$A:$A,'_Sys|Line_Map'!$B:$B,"MISSING",0)</f>
        <v/>
      </c>
    </row>
    <row r="388">
      <c r="A388" s="4561" t="n"/>
      <c r="B388" s="4561" t="n"/>
      <c r="C388" s="4561" t="n"/>
      <c r="D388" s="4561" t="n"/>
      <c r="E388" s="4561" t="n"/>
      <c r="F388" s="4561" t="n"/>
      <c r="G388" s="4561" t="n"/>
      <c r="H388" s="4561" t="n"/>
      <c r="I388" s="4562">
        <f>XLOOKUP(B388,'_Sys|Line_Map'!$A:$A,'_Sys|Line_Map'!$C:$C,"MISSING",0)</f>
        <v/>
      </c>
      <c r="J388" s="4562">
        <f>XLOOKUP(B388,'_Sys|Line_Map'!$A:$A,'_Sys|Line_Map'!$D:$D,1,0)</f>
        <v/>
      </c>
      <c r="K388" s="4562">
        <f>IF(D388="","",D388*J388)</f>
        <v/>
      </c>
      <c r="L388" s="4562">
        <f>XLOOKUP(B388,'_Sys|Line_Map'!$A:$A,'_Sys|Line_Map'!$B:$B,"MISSING",0)</f>
        <v/>
      </c>
    </row>
    <row r="389">
      <c r="A389" s="4561" t="n"/>
      <c r="B389" s="4561" t="n"/>
      <c r="C389" s="4561" t="n"/>
      <c r="D389" s="4561" t="n"/>
      <c r="E389" s="4561" t="n"/>
      <c r="F389" s="4561" t="n"/>
      <c r="G389" s="4561" t="n"/>
      <c r="H389" s="4561" t="n"/>
      <c r="I389" s="4562">
        <f>XLOOKUP(B389,'_Sys|Line_Map'!$A:$A,'_Sys|Line_Map'!$C:$C,"MISSING",0)</f>
        <v/>
      </c>
      <c r="J389" s="4562">
        <f>XLOOKUP(B389,'_Sys|Line_Map'!$A:$A,'_Sys|Line_Map'!$D:$D,1,0)</f>
        <v/>
      </c>
      <c r="K389" s="4562">
        <f>IF(D389="","",D389*J389)</f>
        <v/>
      </c>
      <c r="L389" s="4562">
        <f>XLOOKUP(B389,'_Sys|Line_Map'!$A:$A,'_Sys|Line_Map'!$B:$B,"MISSING",0)</f>
        <v/>
      </c>
    </row>
    <row r="390">
      <c r="A390" s="4561" t="n"/>
      <c r="B390" s="4561" t="n"/>
      <c r="C390" s="4561" t="n"/>
      <c r="D390" s="4561" t="n"/>
      <c r="E390" s="4561" t="n"/>
      <c r="F390" s="4561" t="n"/>
      <c r="G390" s="4561" t="n"/>
      <c r="H390" s="4561" t="n"/>
      <c r="I390" s="4562">
        <f>XLOOKUP(B390,'_Sys|Line_Map'!$A:$A,'_Sys|Line_Map'!$C:$C,"MISSING",0)</f>
        <v/>
      </c>
      <c r="J390" s="4562">
        <f>XLOOKUP(B390,'_Sys|Line_Map'!$A:$A,'_Sys|Line_Map'!$D:$D,1,0)</f>
        <v/>
      </c>
      <c r="K390" s="4562">
        <f>IF(D390="","",D390*J390)</f>
        <v/>
      </c>
      <c r="L390" s="4562">
        <f>XLOOKUP(B390,'_Sys|Line_Map'!$A:$A,'_Sys|Line_Map'!$B:$B,"MISSING",0)</f>
        <v/>
      </c>
    </row>
    <row r="391">
      <c r="A391" s="4561" t="n"/>
      <c r="B391" s="4561" t="n"/>
      <c r="C391" s="4561" t="n"/>
      <c r="D391" s="4561" t="n"/>
      <c r="E391" s="4561" t="n"/>
      <c r="F391" s="4561" t="n"/>
      <c r="G391" s="4561" t="n"/>
      <c r="H391" s="4561" t="n"/>
      <c r="I391" s="4562">
        <f>XLOOKUP(B391,'_Sys|Line_Map'!$A:$A,'_Sys|Line_Map'!$C:$C,"MISSING",0)</f>
        <v/>
      </c>
      <c r="J391" s="4562">
        <f>XLOOKUP(B391,'_Sys|Line_Map'!$A:$A,'_Sys|Line_Map'!$D:$D,1,0)</f>
        <v/>
      </c>
      <c r="K391" s="4562">
        <f>IF(D391="","",D391*J391)</f>
        <v/>
      </c>
      <c r="L391" s="4562">
        <f>XLOOKUP(B391,'_Sys|Line_Map'!$A:$A,'_Sys|Line_Map'!$B:$B,"MISSING",0)</f>
        <v/>
      </c>
    </row>
    <row r="392">
      <c r="A392" s="4561" t="n"/>
      <c r="B392" s="4561" t="n"/>
      <c r="C392" s="4561" t="n"/>
      <c r="D392" s="4561" t="n"/>
      <c r="E392" s="4561" t="n"/>
      <c r="F392" s="4561" t="n"/>
      <c r="G392" s="4561" t="n"/>
      <c r="H392" s="4561" t="n"/>
      <c r="I392" s="4562">
        <f>XLOOKUP(B392,'_Sys|Line_Map'!$A:$A,'_Sys|Line_Map'!$C:$C,"MISSING",0)</f>
        <v/>
      </c>
      <c r="J392" s="4562">
        <f>XLOOKUP(B392,'_Sys|Line_Map'!$A:$A,'_Sys|Line_Map'!$D:$D,1,0)</f>
        <v/>
      </c>
      <c r="K392" s="4562">
        <f>IF(D392="","",D392*J392)</f>
        <v/>
      </c>
      <c r="L392" s="4562">
        <f>XLOOKUP(B392,'_Sys|Line_Map'!$A:$A,'_Sys|Line_Map'!$B:$B,"MISSING",0)</f>
        <v/>
      </c>
    </row>
    <row r="393">
      <c r="A393" s="4561" t="n"/>
      <c r="B393" s="4561" t="n"/>
      <c r="C393" s="4561" t="n"/>
      <c r="D393" s="4561" t="n"/>
      <c r="E393" s="4561" t="n"/>
      <c r="F393" s="4561" t="n"/>
      <c r="G393" s="4561" t="n"/>
      <c r="H393" s="4561" t="n"/>
      <c r="I393" s="4562">
        <f>XLOOKUP(B393,'_Sys|Line_Map'!$A:$A,'_Sys|Line_Map'!$C:$C,"MISSING",0)</f>
        <v/>
      </c>
      <c r="J393" s="4562">
        <f>XLOOKUP(B393,'_Sys|Line_Map'!$A:$A,'_Sys|Line_Map'!$D:$D,1,0)</f>
        <v/>
      </c>
      <c r="K393" s="4562">
        <f>IF(D393="","",D393*J393)</f>
        <v/>
      </c>
      <c r="L393" s="4562">
        <f>XLOOKUP(B393,'_Sys|Line_Map'!$A:$A,'_Sys|Line_Map'!$B:$B,"MISSING",0)</f>
        <v/>
      </c>
    </row>
    <row r="394">
      <c r="A394" s="4561" t="n"/>
      <c r="B394" s="4561" t="n"/>
      <c r="C394" s="4561" t="n"/>
      <c r="D394" s="4561" t="n"/>
      <c r="E394" s="4561" t="n"/>
      <c r="F394" s="4561" t="n"/>
      <c r="G394" s="4561" t="n"/>
      <c r="H394" s="4561" t="n"/>
      <c r="I394" s="4562">
        <f>XLOOKUP(B394,'_Sys|Line_Map'!$A:$A,'_Sys|Line_Map'!$C:$C,"MISSING",0)</f>
        <v/>
      </c>
      <c r="J394" s="4562">
        <f>XLOOKUP(B394,'_Sys|Line_Map'!$A:$A,'_Sys|Line_Map'!$D:$D,1,0)</f>
        <v/>
      </c>
      <c r="K394" s="4562">
        <f>IF(D394="","",D394*J394)</f>
        <v/>
      </c>
      <c r="L394" s="4562">
        <f>XLOOKUP(B394,'_Sys|Line_Map'!$A:$A,'_Sys|Line_Map'!$B:$B,"MISSING",0)</f>
        <v/>
      </c>
    </row>
    <row r="395">
      <c r="A395" s="4561" t="n"/>
      <c r="B395" s="4561" t="n"/>
      <c r="C395" s="4561" t="n"/>
      <c r="D395" s="4561" t="n"/>
      <c r="E395" s="4561" t="n"/>
      <c r="F395" s="4561" t="n"/>
      <c r="G395" s="4561" t="n"/>
      <c r="H395" s="4561" t="n"/>
      <c r="I395" s="4562">
        <f>XLOOKUP(B395,'_Sys|Line_Map'!$A:$A,'_Sys|Line_Map'!$C:$C,"MISSING",0)</f>
        <v/>
      </c>
      <c r="J395" s="4562">
        <f>XLOOKUP(B395,'_Sys|Line_Map'!$A:$A,'_Sys|Line_Map'!$D:$D,1,0)</f>
        <v/>
      </c>
      <c r="K395" s="4562">
        <f>IF(D395="","",D395*J395)</f>
        <v/>
      </c>
      <c r="L395" s="4562">
        <f>XLOOKUP(B395,'_Sys|Line_Map'!$A:$A,'_Sys|Line_Map'!$B:$B,"MISSING",0)</f>
        <v/>
      </c>
    </row>
    <row r="396">
      <c r="A396" s="4561" t="n"/>
      <c r="B396" s="4561" t="n"/>
      <c r="C396" s="4561" t="n"/>
      <c r="D396" s="4561" t="n"/>
      <c r="E396" s="4561" t="n"/>
      <c r="F396" s="4561" t="n"/>
      <c r="G396" s="4561" t="n"/>
      <c r="H396" s="4561" t="n"/>
      <c r="I396" s="4562">
        <f>XLOOKUP(B396,'_Sys|Line_Map'!$A:$A,'_Sys|Line_Map'!$C:$C,"MISSING",0)</f>
        <v/>
      </c>
      <c r="J396" s="4562">
        <f>XLOOKUP(B396,'_Sys|Line_Map'!$A:$A,'_Sys|Line_Map'!$D:$D,1,0)</f>
        <v/>
      </c>
      <c r="K396" s="4562">
        <f>IF(D396="","",D396*J396)</f>
        <v/>
      </c>
      <c r="L396" s="4562">
        <f>XLOOKUP(B396,'_Sys|Line_Map'!$A:$A,'_Sys|Line_Map'!$B:$B,"MISSING",0)</f>
        <v/>
      </c>
    </row>
    <row r="397">
      <c r="A397" s="4561" t="n"/>
      <c r="B397" s="4561" t="n"/>
      <c r="C397" s="4561" t="n"/>
      <c r="D397" s="4561" t="n"/>
      <c r="E397" s="4561" t="n"/>
      <c r="F397" s="4561" t="n"/>
      <c r="G397" s="4561" t="n"/>
      <c r="H397" s="4561" t="n"/>
      <c r="I397" s="4562">
        <f>XLOOKUP(B397,'_Sys|Line_Map'!$A:$A,'_Sys|Line_Map'!$C:$C,"MISSING",0)</f>
        <v/>
      </c>
      <c r="J397" s="4562">
        <f>XLOOKUP(B397,'_Sys|Line_Map'!$A:$A,'_Sys|Line_Map'!$D:$D,1,0)</f>
        <v/>
      </c>
      <c r="K397" s="4562">
        <f>IF(D397="","",D397*J397)</f>
        <v/>
      </c>
      <c r="L397" s="4562">
        <f>XLOOKUP(B397,'_Sys|Line_Map'!$A:$A,'_Sys|Line_Map'!$B:$B,"MISSING",0)</f>
        <v/>
      </c>
    </row>
    <row r="398">
      <c r="A398" s="4561" t="n"/>
      <c r="B398" s="4561" t="n"/>
      <c r="C398" s="4561" t="n"/>
      <c r="D398" s="4561" t="n"/>
      <c r="E398" s="4561" t="n"/>
      <c r="F398" s="4561" t="n"/>
      <c r="G398" s="4561" t="n"/>
      <c r="H398" s="4561" t="n"/>
      <c r="I398" s="4562">
        <f>XLOOKUP(B398,'_Sys|Line_Map'!$A:$A,'_Sys|Line_Map'!$C:$C,"MISSING",0)</f>
        <v/>
      </c>
      <c r="J398" s="4562">
        <f>XLOOKUP(B398,'_Sys|Line_Map'!$A:$A,'_Sys|Line_Map'!$D:$D,1,0)</f>
        <v/>
      </c>
      <c r="K398" s="4562">
        <f>IF(D398="","",D398*J398)</f>
        <v/>
      </c>
      <c r="L398" s="4562">
        <f>XLOOKUP(B398,'_Sys|Line_Map'!$A:$A,'_Sys|Line_Map'!$B:$B,"MISSING",0)</f>
        <v/>
      </c>
    </row>
    <row r="399">
      <c r="A399" s="4561" t="n"/>
      <c r="B399" s="4561" t="n"/>
      <c r="C399" s="4561" t="n"/>
      <c r="D399" s="4561" t="n"/>
      <c r="E399" s="4561" t="n"/>
      <c r="F399" s="4561" t="n"/>
      <c r="G399" s="4561" t="n"/>
      <c r="H399" s="4561" t="n"/>
      <c r="I399" s="4562">
        <f>XLOOKUP(B399,'_Sys|Line_Map'!$A:$A,'_Sys|Line_Map'!$C:$C,"MISSING",0)</f>
        <v/>
      </c>
      <c r="J399" s="4562">
        <f>XLOOKUP(B399,'_Sys|Line_Map'!$A:$A,'_Sys|Line_Map'!$D:$D,1,0)</f>
        <v/>
      </c>
      <c r="K399" s="4562">
        <f>IF(D399="","",D399*J399)</f>
        <v/>
      </c>
      <c r="L399" s="4562">
        <f>XLOOKUP(B399,'_Sys|Line_Map'!$A:$A,'_Sys|Line_Map'!$B:$B,"MISSING",0)</f>
        <v/>
      </c>
    </row>
    <row r="400">
      <c r="A400" s="4561" t="n"/>
      <c r="B400" s="4561" t="n"/>
      <c r="C400" s="4561" t="n"/>
      <c r="D400" s="4561" t="n"/>
      <c r="E400" s="4561" t="n"/>
      <c r="F400" s="4561" t="n"/>
      <c r="G400" s="4561" t="n"/>
      <c r="H400" s="4561" t="n"/>
      <c r="I400" s="4562">
        <f>XLOOKUP(B400,'_Sys|Line_Map'!$A:$A,'_Sys|Line_Map'!$C:$C,"MISSING",0)</f>
        <v/>
      </c>
      <c r="J400" s="4562">
        <f>XLOOKUP(B400,'_Sys|Line_Map'!$A:$A,'_Sys|Line_Map'!$D:$D,1,0)</f>
        <v/>
      </c>
      <c r="K400" s="4562">
        <f>IF(D400="","",D400*J400)</f>
        <v/>
      </c>
      <c r="L400" s="4562">
        <f>XLOOKUP(B400,'_Sys|Line_Map'!$A:$A,'_Sys|Line_Map'!$B:$B,"MISSING",0)</f>
        <v/>
      </c>
    </row>
    <row r="401">
      <c r="A401" s="4561" t="n"/>
      <c r="B401" s="4561" t="n"/>
      <c r="C401" s="4561" t="n"/>
      <c r="D401" s="4561" t="n"/>
      <c r="E401" s="4561" t="n"/>
      <c r="F401" s="4561" t="n"/>
      <c r="G401" s="4561" t="n"/>
      <c r="H401" s="4561" t="n"/>
      <c r="I401" s="4562">
        <f>XLOOKUP(B401,'_Sys|Line_Map'!$A:$A,'_Sys|Line_Map'!$C:$C,"MISSING",0)</f>
        <v/>
      </c>
      <c r="J401" s="4562">
        <f>XLOOKUP(B401,'_Sys|Line_Map'!$A:$A,'_Sys|Line_Map'!$D:$D,1,0)</f>
        <v/>
      </c>
      <c r="K401" s="4562">
        <f>IF(D401="","",D401*J401)</f>
        <v/>
      </c>
      <c r="L401" s="4562">
        <f>XLOOKUP(B401,'_Sys|Line_Map'!$A:$A,'_Sys|Line_Map'!$B:$B,"MISSING",0)</f>
        <v/>
      </c>
    </row>
    <row r="402">
      <c r="A402" s="4561" t="n"/>
      <c r="B402" s="4561" t="n"/>
      <c r="C402" s="4561" t="n"/>
      <c r="D402" s="4561" t="n"/>
      <c r="E402" s="4561" t="n"/>
      <c r="F402" s="4561" t="n"/>
      <c r="G402" s="4561" t="n"/>
      <c r="H402" s="4561" t="n"/>
      <c r="I402" s="4562">
        <f>XLOOKUP(B402,'_Sys|Line_Map'!$A:$A,'_Sys|Line_Map'!$C:$C,"MISSING",0)</f>
        <v/>
      </c>
      <c r="J402" s="4562">
        <f>XLOOKUP(B402,'_Sys|Line_Map'!$A:$A,'_Sys|Line_Map'!$D:$D,1,0)</f>
        <v/>
      </c>
      <c r="K402" s="4562">
        <f>IF(D402="","",D402*J402)</f>
        <v/>
      </c>
      <c r="L402" s="4562">
        <f>XLOOKUP(B402,'_Sys|Line_Map'!$A:$A,'_Sys|Line_Map'!$B:$B,"MISSING",0)</f>
        <v/>
      </c>
    </row>
    <row r="403">
      <c r="A403" s="4561" t="n"/>
      <c r="B403" s="4561" t="n"/>
      <c r="C403" s="4561" t="n"/>
      <c r="D403" s="4561" t="n"/>
      <c r="E403" s="4561" t="n"/>
      <c r="F403" s="4561" t="n"/>
      <c r="G403" s="4561" t="n"/>
      <c r="H403" s="4561" t="n"/>
      <c r="I403" s="4562">
        <f>XLOOKUP(B403,'_Sys|Line_Map'!$A:$A,'_Sys|Line_Map'!$C:$C,"MISSING",0)</f>
        <v/>
      </c>
      <c r="J403" s="4562">
        <f>XLOOKUP(B403,'_Sys|Line_Map'!$A:$A,'_Sys|Line_Map'!$D:$D,1,0)</f>
        <v/>
      </c>
      <c r="K403" s="4562">
        <f>IF(D403="","",D403*J403)</f>
        <v/>
      </c>
      <c r="L403" s="4562">
        <f>XLOOKUP(B403,'_Sys|Line_Map'!$A:$A,'_Sys|Line_Map'!$B:$B,"MISSING",0)</f>
        <v/>
      </c>
    </row>
    <row r="404">
      <c r="A404" s="4561" t="n"/>
      <c r="B404" s="4561" t="n"/>
      <c r="C404" s="4561" t="n"/>
      <c r="D404" s="4561" t="n"/>
      <c r="E404" s="4561" t="n"/>
      <c r="F404" s="4561" t="n"/>
      <c r="G404" s="4561" t="n"/>
      <c r="H404" s="4561" t="n"/>
      <c r="I404" s="4562">
        <f>XLOOKUP(B404,'_Sys|Line_Map'!$A:$A,'_Sys|Line_Map'!$C:$C,"MISSING",0)</f>
        <v/>
      </c>
      <c r="J404" s="4562">
        <f>XLOOKUP(B404,'_Sys|Line_Map'!$A:$A,'_Sys|Line_Map'!$D:$D,1,0)</f>
        <v/>
      </c>
      <c r="K404" s="4562">
        <f>IF(D404="","",D404*J404)</f>
        <v/>
      </c>
      <c r="L404" s="4562">
        <f>XLOOKUP(B404,'_Sys|Line_Map'!$A:$A,'_Sys|Line_Map'!$B:$B,"MISSING",0)</f>
        <v/>
      </c>
    </row>
    <row r="405">
      <c r="A405" s="4561" t="n"/>
      <c r="B405" s="4561" t="n"/>
      <c r="C405" s="4561" t="n"/>
      <c r="D405" s="4561" t="n"/>
      <c r="E405" s="4561" t="n"/>
      <c r="F405" s="4561" t="n"/>
      <c r="G405" s="4561" t="n"/>
      <c r="H405" s="4561" t="n"/>
      <c r="I405" s="4562">
        <f>XLOOKUP(B405,'_Sys|Line_Map'!$A:$A,'_Sys|Line_Map'!$C:$C,"MISSING",0)</f>
        <v/>
      </c>
      <c r="J405" s="4562">
        <f>XLOOKUP(B405,'_Sys|Line_Map'!$A:$A,'_Sys|Line_Map'!$D:$D,1,0)</f>
        <v/>
      </c>
      <c r="K405" s="4562">
        <f>IF(D405="","",D405*J405)</f>
        <v/>
      </c>
      <c r="L405" s="4562">
        <f>XLOOKUP(B405,'_Sys|Line_Map'!$A:$A,'_Sys|Line_Map'!$B:$B,"MISSING",0)</f>
        <v/>
      </c>
    </row>
    <row r="406">
      <c r="A406" s="4561" t="n"/>
      <c r="B406" s="4561" t="n"/>
      <c r="C406" s="4561" t="n"/>
      <c r="D406" s="4561" t="n"/>
      <c r="E406" s="4561" t="n"/>
      <c r="F406" s="4561" t="n"/>
      <c r="G406" s="4561" t="n"/>
      <c r="H406" s="4561" t="n"/>
      <c r="I406" s="4562">
        <f>XLOOKUP(B406,'_Sys|Line_Map'!$A:$A,'_Sys|Line_Map'!$C:$C,"MISSING",0)</f>
        <v/>
      </c>
      <c r="J406" s="4562">
        <f>XLOOKUP(B406,'_Sys|Line_Map'!$A:$A,'_Sys|Line_Map'!$D:$D,1,0)</f>
        <v/>
      </c>
      <c r="K406" s="4562">
        <f>IF(D406="","",D406*J406)</f>
        <v/>
      </c>
      <c r="L406" s="4562">
        <f>XLOOKUP(B406,'_Sys|Line_Map'!$A:$A,'_Sys|Line_Map'!$B:$B,"MISSING",0)</f>
        <v/>
      </c>
    </row>
    <row r="407">
      <c r="A407" s="4561" t="n"/>
      <c r="B407" s="4561" t="n"/>
      <c r="C407" s="4561" t="n"/>
      <c r="D407" s="4561" t="n"/>
      <c r="E407" s="4561" t="n"/>
      <c r="F407" s="4561" t="n"/>
      <c r="G407" s="4561" t="n"/>
      <c r="H407" s="4561" t="n"/>
      <c r="I407" s="4562">
        <f>XLOOKUP(B407,'_Sys|Line_Map'!$A:$A,'_Sys|Line_Map'!$C:$C,"MISSING",0)</f>
        <v/>
      </c>
      <c r="J407" s="4562">
        <f>XLOOKUP(B407,'_Sys|Line_Map'!$A:$A,'_Sys|Line_Map'!$D:$D,1,0)</f>
        <v/>
      </c>
      <c r="K407" s="4562">
        <f>IF(D407="","",D407*J407)</f>
        <v/>
      </c>
      <c r="L407" s="4562">
        <f>XLOOKUP(B407,'_Sys|Line_Map'!$A:$A,'_Sys|Line_Map'!$B:$B,"MISSING",0)</f>
        <v/>
      </c>
    </row>
    <row r="408">
      <c r="A408" s="4561" t="n"/>
      <c r="B408" s="4561" t="n"/>
      <c r="C408" s="4561" t="n"/>
      <c r="D408" s="4561" t="n"/>
      <c r="E408" s="4561" t="n"/>
      <c r="F408" s="4561" t="n"/>
      <c r="G408" s="4561" t="n"/>
      <c r="H408" s="4561" t="n"/>
      <c r="I408" s="4562">
        <f>XLOOKUP(B408,'_Sys|Line_Map'!$A:$A,'_Sys|Line_Map'!$C:$C,"MISSING",0)</f>
        <v/>
      </c>
      <c r="J408" s="4562">
        <f>XLOOKUP(B408,'_Sys|Line_Map'!$A:$A,'_Sys|Line_Map'!$D:$D,1,0)</f>
        <v/>
      </c>
      <c r="K408" s="4562">
        <f>IF(D408="","",D408*J408)</f>
        <v/>
      </c>
      <c r="L408" s="4562">
        <f>XLOOKUP(B408,'_Sys|Line_Map'!$A:$A,'_Sys|Line_Map'!$B:$B,"MISSING",0)</f>
        <v/>
      </c>
    </row>
    <row r="409">
      <c r="A409" s="4561" t="n"/>
      <c r="B409" s="4561" t="n"/>
      <c r="C409" s="4561" t="n"/>
      <c r="D409" s="4561" t="n"/>
      <c r="E409" s="4561" t="n"/>
      <c r="F409" s="4561" t="n"/>
      <c r="G409" s="4561" t="n"/>
      <c r="H409" s="4561" t="n"/>
      <c r="I409" s="4562">
        <f>XLOOKUP(B409,'_Sys|Line_Map'!$A:$A,'_Sys|Line_Map'!$C:$C,"MISSING",0)</f>
        <v/>
      </c>
      <c r="J409" s="4562">
        <f>XLOOKUP(B409,'_Sys|Line_Map'!$A:$A,'_Sys|Line_Map'!$D:$D,1,0)</f>
        <v/>
      </c>
      <c r="K409" s="4562">
        <f>IF(D409="","",D409*J409)</f>
        <v/>
      </c>
      <c r="L409" s="4562">
        <f>XLOOKUP(B409,'_Sys|Line_Map'!$A:$A,'_Sys|Line_Map'!$B:$B,"MISSING",0)</f>
        <v/>
      </c>
    </row>
    <row r="410">
      <c r="A410" s="4561" t="n"/>
      <c r="B410" s="4561" t="n"/>
      <c r="C410" s="4561" t="n"/>
      <c r="D410" s="4561" t="n"/>
      <c r="E410" s="4561" t="n"/>
      <c r="F410" s="4561" t="n"/>
      <c r="G410" s="4561" t="n"/>
      <c r="H410" s="4561" t="n"/>
      <c r="I410" s="4562">
        <f>XLOOKUP(B410,'_Sys|Line_Map'!$A:$A,'_Sys|Line_Map'!$C:$C,"MISSING",0)</f>
        <v/>
      </c>
      <c r="J410" s="4562">
        <f>XLOOKUP(B410,'_Sys|Line_Map'!$A:$A,'_Sys|Line_Map'!$D:$D,1,0)</f>
        <v/>
      </c>
      <c r="K410" s="4562">
        <f>IF(D410="","",D410*J410)</f>
        <v/>
      </c>
      <c r="L410" s="4562">
        <f>XLOOKUP(B410,'_Sys|Line_Map'!$A:$A,'_Sys|Line_Map'!$B:$B,"MISSING",0)</f>
        <v/>
      </c>
    </row>
    <row r="411">
      <c r="A411" s="4561" t="n"/>
      <c r="B411" s="4561" t="n"/>
      <c r="C411" s="4561" t="n"/>
      <c r="D411" s="4561" t="n"/>
      <c r="E411" s="4561" t="n"/>
      <c r="F411" s="4561" t="n"/>
      <c r="G411" s="4561" t="n"/>
      <c r="H411" s="4561" t="n"/>
      <c r="I411" s="4562">
        <f>XLOOKUP(B411,'_Sys|Line_Map'!$A:$A,'_Sys|Line_Map'!$C:$C,"MISSING",0)</f>
        <v/>
      </c>
      <c r="J411" s="4562">
        <f>XLOOKUP(B411,'_Sys|Line_Map'!$A:$A,'_Sys|Line_Map'!$D:$D,1,0)</f>
        <v/>
      </c>
      <c r="K411" s="4562">
        <f>IF(D411="","",D411*J411)</f>
        <v/>
      </c>
      <c r="L411" s="4562">
        <f>XLOOKUP(B411,'_Sys|Line_Map'!$A:$A,'_Sys|Line_Map'!$B:$B,"MISSING",0)</f>
        <v/>
      </c>
    </row>
    <row r="412">
      <c r="A412" s="4561" t="n"/>
      <c r="B412" s="4561" t="n"/>
      <c r="C412" s="4561" t="n"/>
      <c r="D412" s="4561" t="n"/>
      <c r="E412" s="4561" t="n"/>
      <c r="F412" s="4561" t="n"/>
      <c r="G412" s="4561" t="n"/>
      <c r="H412" s="4561" t="n"/>
      <c r="I412" s="4562">
        <f>XLOOKUP(B412,'_Sys|Line_Map'!$A:$A,'_Sys|Line_Map'!$C:$C,"MISSING",0)</f>
        <v/>
      </c>
      <c r="J412" s="4562">
        <f>XLOOKUP(B412,'_Sys|Line_Map'!$A:$A,'_Sys|Line_Map'!$D:$D,1,0)</f>
        <v/>
      </c>
      <c r="K412" s="4562">
        <f>IF(D412="","",D412*J412)</f>
        <v/>
      </c>
      <c r="L412" s="4562">
        <f>XLOOKUP(B412,'_Sys|Line_Map'!$A:$A,'_Sys|Line_Map'!$B:$B,"MISSING",0)</f>
        <v/>
      </c>
    </row>
    <row r="413">
      <c r="A413" s="4561" t="n"/>
      <c r="B413" s="4561" t="n"/>
      <c r="C413" s="4561" t="n"/>
      <c r="D413" s="4561" t="n"/>
      <c r="E413" s="4561" t="n"/>
      <c r="F413" s="4561" t="n"/>
      <c r="G413" s="4561" t="n"/>
      <c r="H413" s="4561" t="n"/>
      <c r="I413" s="4562">
        <f>XLOOKUP(B413,'_Sys|Line_Map'!$A:$A,'_Sys|Line_Map'!$C:$C,"MISSING",0)</f>
        <v/>
      </c>
      <c r="J413" s="4562">
        <f>XLOOKUP(B413,'_Sys|Line_Map'!$A:$A,'_Sys|Line_Map'!$D:$D,1,0)</f>
        <v/>
      </c>
      <c r="K413" s="4562">
        <f>IF(D413="","",D413*J413)</f>
        <v/>
      </c>
      <c r="L413" s="4562">
        <f>XLOOKUP(B413,'_Sys|Line_Map'!$A:$A,'_Sys|Line_Map'!$B:$B,"MISSING",0)</f>
        <v/>
      </c>
    </row>
    <row r="414">
      <c r="A414" s="4561" t="n"/>
      <c r="B414" s="4561" t="n"/>
      <c r="C414" s="4561" t="n"/>
      <c r="D414" s="4561" t="n"/>
      <c r="E414" s="4561" t="n"/>
      <c r="F414" s="4561" t="n"/>
      <c r="G414" s="4561" t="n"/>
      <c r="H414" s="4561" t="n"/>
      <c r="I414" s="4562">
        <f>XLOOKUP(B414,'_Sys|Line_Map'!$A:$A,'_Sys|Line_Map'!$C:$C,"MISSING",0)</f>
        <v/>
      </c>
      <c r="J414" s="4562">
        <f>XLOOKUP(B414,'_Sys|Line_Map'!$A:$A,'_Sys|Line_Map'!$D:$D,1,0)</f>
        <v/>
      </c>
      <c r="K414" s="4562">
        <f>IF(D414="","",D414*J414)</f>
        <v/>
      </c>
      <c r="L414" s="4562">
        <f>XLOOKUP(B414,'_Sys|Line_Map'!$A:$A,'_Sys|Line_Map'!$B:$B,"MISSING",0)</f>
        <v/>
      </c>
    </row>
    <row r="415">
      <c r="A415" s="4561" t="n"/>
      <c r="B415" s="4561" t="n"/>
      <c r="C415" s="4561" t="n"/>
      <c r="D415" s="4561" t="n"/>
      <c r="E415" s="4561" t="n"/>
      <c r="F415" s="4561" t="n"/>
      <c r="G415" s="4561" t="n"/>
      <c r="H415" s="4561" t="n"/>
      <c r="I415" s="4562">
        <f>XLOOKUP(B415,'_Sys|Line_Map'!$A:$A,'_Sys|Line_Map'!$C:$C,"MISSING",0)</f>
        <v/>
      </c>
      <c r="J415" s="4562">
        <f>XLOOKUP(B415,'_Sys|Line_Map'!$A:$A,'_Sys|Line_Map'!$D:$D,1,0)</f>
        <v/>
      </c>
      <c r="K415" s="4562">
        <f>IF(D415="","",D415*J415)</f>
        <v/>
      </c>
      <c r="L415" s="4562">
        <f>XLOOKUP(B415,'_Sys|Line_Map'!$A:$A,'_Sys|Line_Map'!$B:$B,"MISSING",0)</f>
        <v/>
      </c>
    </row>
    <row r="416">
      <c r="A416" s="4561" t="n"/>
      <c r="B416" s="4561" t="n"/>
      <c r="C416" s="4561" t="n"/>
      <c r="D416" s="4561" t="n"/>
      <c r="E416" s="4561" t="n"/>
      <c r="F416" s="4561" t="n"/>
      <c r="G416" s="4561" t="n"/>
      <c r="H416" s="4561" t="n"/>
      <c r="I416" s="4562">
        <f>XLOOKUP(B416,'_Sys|Line_Map'!$A:$A,'_Sys|Line_Map'!$C:$C,"MISSING",0)</f>
        <v/>
      </c>
      <c r="J416" s="4562">
        <f>XLOOKUP(B416,'_Sys|Line_Map'!$A:$A,'_Sys|Line_Map'!$D:$D,1,0)</f>
        <v/>
      </c>
      <c r="K416" s="4562">
        <f>IF(D416="","",D416*J416)</f>
        <v/>
      </c>
      <c r="L416" s="4562">
        <f>XLOOKUP(B416,'_Sys|Line_Map'!$A:$A,'_Sys|Line_Map'!$B:$B,"MISSING",0)</f>
        <v/>
      </c>
    </row>
    <row r="417">
      <c r="A417" s="4561" t="n"/>
      <c r="B417" s="4561" t="n"/>
      <c r="C417" s="4561" t="n"/>
      <c r="D417" s="4561" t="n"/>
      <c r="E417" s="4561" t="n"/>
      <c r="F417" s="4561" t="n"/>
      <c r="G417" s="4561" t="n"/>
      <c r="H417" s="4561" t="n"/>
      <c r="I417" s="4562">
        <f>XLOOKUP(B417,'_Sys|Line_Map'!$A:$A,'_Sys|Line_Map'!$C:$C,"MISSING",0)</f>
        <v/>
      </c>
      <c r="J417" s="4562">
        <f>XLOOKUP(B417,'_Sys|Line_Map'!$A:$A,'_Sys|Line_Map'!$D:$D,1,0)</f>
        <v/>
      </c>
      <c r="K417" s="4562">
        <f>IF(D417="","",D417*J417)</f>
        <v/>
      </c>
      <c r="L417" s="4562">
        <f>XLOOKUP(B417,'_Sys|Line_Map'!$A:$A,'_Sys|Line_Map'!$B:$B,"MISSING",0)</f>
        <v/>
      </c>
    </row>
    <row r="418">
      <c r="A418" s="4561" t="n"/>
      <c r="B418" s="4561" t="n"/>
      <c r="C418" s="4561" t="n"/>
      <c r="D418" s="4561" t="n"/>
      <c r="E418" s="4561" t="n"/>
      <c r="F418" s="4561" t="n"/>
      <c r="G418" s="4561" t="n"/>
      <c r="H418" s="4561" t="n"/>
      <c r="I418" s="4562">
        <f>XLOOKUP(B418,'_Sys|Line_Map'!$A:$A,'_Sys|Line_Map'!$C:$C,"MISSING",0)</f>
        <v/>
      </c>
      <c r="J418" s="4562">
        <f>XLOOKUP(B418,'_Sys|Line_Map'!$A:$A,'_Sys|Line_Map'!$D:$D,1,0)</f>
        <v/>
      </c>
      <c r="K418" s="4562">
        <f>IF(D418="","",D418*J418)</f>
        <v/>
      </c>
      <c r="L418" s="4562">
        <f>XLOOKUP(B418,'_Sys|Line_Map'!$A:$A,'_Sys|Line_Map'!$B:$B,"MISSING",0)</f>
        <v/>
      </c>
    </row>
    <row r="419">
      <c r="A419" s="4561" t="n"/>
      <c r="B419" s="4561" t="n"/>
      <c r="C419" s="4561" t="n"/>
      <c r="D419" s="4561" t="n"/>
      <c r="E419" s="4561" t="n"/>
      <c r="F419" s="4561" t="n"/>
      <c r="G419" s="4561" t="n"/>
      <c r="H419" s="4561" t="n"/>
      <c r="I419" s="4562">
        <f>XLOOKUP(B419,'_Sys|Line_Map'!$A:$A,'_Sys|Line_Map'!$C:$C,"MISSING",0)</f>
        <v/>
      </c>
      <c r="J419" s="4562">
        <f>XLOOKUP(B419,'_Sys|Line_Map'!$A:$A,'_Sys|Line_Map'!$D:$D,1,0)</f>
        <v/>
      </c>
      <c r="K419" s="4562">
        <f>IF(D419="","",D419*J419)</f>
        <v/>
      </c>
      <c r="L419" s="4562">
        <f>XLOOKUP(B419,'_Sys|Line_Map'!$A:$A,'_Sys|Line_Map'!$B:$B,"MISSING",0)</f>
        <v/>
      </c>
    </row>
    <row r="420">
      <c r="A420" s="4561" t="n"/>
      <c r="B420" s="4561" t="n"/>
      <c r="C420" s="4561" t="n"/>
      <c r="D420" s="4561" t="n"/>
      <c r="E420" s="4561" t="n"/>
      <c r="F420" s="4561" t="n"/>
      <c r="G420" s="4561" t="n"/>
      <c r="H420" s="4561" t="n"/>
      <c r="I420" s="4562">
        <f>XLOOKUP(B420,'_Sys|Line_Map'!$A:$A,'_Sys|Line_Map'!$C:$C,"MISSING",0)</f>
        <v/>
      </c>
      <c r="J420" s="4562">
        <f>XLOOKUP(B420,'_Sys|Line_Map'!$A:$A,'_Sys|Line_Map'!$D:$D,1,0)</f>
        <v/>
      </c>
      <c r="K420" s="4562">
        <f>IF(D420="","",D420*J420)</f>
        <v/>
      </c>
      <c r="L420" s="4562">
        <f>XLOOKUP(B420,'_Sys|Line_Map'!$A:$A,'_Sys|Line_Map'!$B:$B,"MISSING",0)</f>
        <v/>
      </c>
    </row>
    <row r="421">
      <c r="A421" s="4561" t="n"/>
      <c r="B421" s="4561" t="n"/>
      <c r="C421" s="4561" t="n"/>
      <c r="D421" s="4561" t="n"/>
      <c r="E421" s="4561" t="n"/>
      <c r="F421" s="4561" t="n"/>
      <c r="G421" s="4561" t="n"/>
      <c r="H421" s="4561" t="n"/>
      <c r="I421" s="4562">
        <f>XLOOKUP(B421,'_Sys|Line_Map'!$A:$A,'_Sys|Line_Map'!$C:$C,"MISSING",0)</f>
        <v/>
      </c>
      <c r="J421" s="4562">
        <f>XLOOKUP(B421,'_Sys|Line_Map'!$A:$A,'_Sys|Line_Map'!$D:$D,1,0)</f>
        <v/>
      </c>
      <c r="K421" s="4562">
        <f>IF(D421="","",D421*J421)</f>
        <v/>
      </c>
      <c r="L421" s="4562">
        <f>XLOOKUP(B421,'_Sys|Line_Map'!$A:$A,'_Sys|Line_Map'!$B:$B,"MISSING",0)</f>
        <v/>
      </c>
    </row>
    <row r="422">
      <c r="A422" s="4561" t="n"/>
      <c r="B422" s="4561" t="n"/>
      <c r="C422" s="4561" t="n"/>
      <c r="D422" s="4561" t="n"/>
      <c r="E422" s="4561" t="n"/>
      <c r="F422" s="4561" t="n"/>
      <c r="G422" s="4561" t="n"/>
      <c r="H422" s="4561" t="n"/>
      <c r="I422" s="4562">
        <f>XLOOKUP(B422,'_Sys|Line_Map'!$A:$A,'_Sys|Line_Map'!$C:$C,"MISSING",0)</f>
        <v/>
      </c>
      <c r="J422" s="4562">
        <f>XLOOKUP(B422,'_Sys|Line_Map'!$A:$A,'_Sys|Line_Map'!$D:$D,1,0)</f>
        <v/>
      </c>
      <c r="K422" s="4562">
        <f>IF(D422="","",D422*J422)</f>
        <v/>
      </c>
      <c r="L422" s="4562">
        <f>XLOOKUP(B422,'_Sys|Line_Map'!$A:$A,'_Sys|Line_Map'!$B:$B,"MISSING",0)</f>
        <v/>
      </c>
    </row>
    <row r="423">
      <c r="A423" s="4561" t="n"/>
      <c r="B423" s="4561" t="n"/>
      <c r="C423" s="4561" t="n"/>
      <c r="D423" s="4561" t="n"/>
      <c r="E423" s="4561" t="n"/>
      <c r="F423" s="4561" t="n"/>
      <c r="G423" s="4561" t="n"/>
      <c r="H423" s="4561" t="n"/>
      <c r="I423" s="4562">
        <f>XLOOKUP(B423,'_Sys|Line_Map'!$A:$A,'_Sys|Line_Map'!$C:$C,"MISSING",0)</f>
        <v/>
      </c>
      <c r="J423" s="4562">
        <f>XLOOKUP(B423,'_Sys|Line_Map'!$A:$A,'_Sys|Line_Map'!$D:$D,1,0)</f>
        <v/>
      </c>
      <c r="K423" s="4562">
        <f>IF(D423="","",D423*J423)</f>
        <v/>
      </c>
      <c r="L423" s="4562">
        <f>XLOOKUP(B423,'_Sys|Line_Map'!$A:$A,'_Sys|Line_Map'!$B:$B,"MISSING",0)</f>
        <v/>
      </c>
    </row>
    <row r="424">
      <c r="A424" s="4561" t="n"/>
      <c r="B424" s="4561" t="n"/>
      <c r="C424" s="4561" t="n"/>
      <c r="D424" s="4561" t="n"/>
      <c r="E424" s="4561" t="n"/>
      <c r="F424" s="4561" t="n"/>
      <c r="G424" s="4561" t="n"/>
      <c r="H424" s="4561" t="n"/>
      <c r="I424" s="4562">
        <f>XLOOKUP(B424,'_Sys|Line_Map'!$A:$A,'_Sys|Line_Map'!$C:$C,"MISSING",0)</f>
        <v/>
      </c>
      <c r="J424" s="4562">
        <f>XLOOKUP(B424,'_Sys|Line_Map'!$A:$A,'_Sys|Line_Map'!$D:$D,1,0)</f>
        <v/>
      </c>
      <c r="K424" s="4562">
        <f>IF(D424="","",D424*J424)</f>
        <v/>
      </c>
      <c r="L424" s="4562">
        <f>XLOOKUP(B424,'_Sys|Line_Map'!$A:$A,'_Sys|Line_Map'!$B:$B,"MISSING",0)</f>
        <v/>
      </c>
    </row>
    <row r="425">
      <c r="A425" s="4561" t="n"/>
      <c r="B425" s="4561" t="n"/>
      <c r="C425" s="4561" t="n"/>
      <c r="D425" s="4561" t="n"/>
      <c r="E425" s="4561" t="n"/>
      <c r="F425" s="4561" t="n"/>
      <c r="G425" s="4561" t="n"/>
      <c r="H425" s="4561" t="n"/>
      <c r="I425" s="4562">
        <f>XLOOKUP(B425,'_Sys|Line_Map'!$A:$A,'_Sys|Line_Map'!$C:$C,"MISSING",0)</f>
        <v/>
      </c>
      <c r="J425" s="4562">
        <f>XLOOKUP(B425,'_Sys|Line_Map'!$A:$A,'_Sys|Line_Map'!$D:$D,1,0)</f>
        <v/>
      </c>
      <c r="K425" s="4562">
        <f>IF(D425="","",D425*J425)</f>
        <v/>
      </c>
      <c r="L425" s="4562">
        <f>XLOOKUP(B425,'_Sys|Line_Map'!$A:$A,'_Sys|Line_Map'!$B:$B,"MISSING",0)</f>
        <v/>
      </c>
    </row>
    <row r="426">
      <c r="A426" s="4561" t="n"/>
      <c r="B426" s="4561" t="n"/>
      <c r="C426" s="4561" t="n"/>
      <c r="D426" s="4561" t="n"/>
      <c r="E426" s="4561" t="n"/>
      <c r="F426" s="4561" t="n"/>
      <c r="G426" s="4561" t="n"/>
      <c r="H426" s="4561" t="n"/>
      <c r="I426" s="4562">
        <f>XLOOKUP(B426,'_Sys|Line_Map'!$A:$A,'_Sys|Line_Map'!$C:$C,"MISSING",0)</f>
        <v/>
      </c>
      <c r="J426" s="4562">
        <f>XLOOKUP(B426,'_Sys|Line_Map'!$A:$A,'_Sys|Line_Map'!$D:$D,1,0)</f>
        <v/>
      </c>
      <c r="K426" s="4562">
        <f>IF(D426="","",D426*J426)</f>
        <v/>
      </c>
      <c r="L426" s="4562">
        <f>XLOOKUP(B426,'_Sys|Line_Map'!$A:$A,'_Sys|Line_Map'!$B:$B,"MISSING",0)</f>
        <v/>
      </c>
    </row>
    <row r="427">
      <c r="A427" s="4561" t="n"/>
      <c r="B427" s="4561" t="n"/>
      <c r="C427" s="4561" t="n"/>
      <c r="D427" s="4561" t="n"/>
      <c r="E427" s="4561" t="n"/>
      <c r="F427" s="4561" t="n"/>
      <c r="G427" s="4561" t="n"/>
      <c r="H427" s="4561" t="n"/>
      <c r="I427" s="4562">
        <f>XLOOKUP(B427,'_Sys|Line_Map'!$A:$A,'_Sys|Line_Map'!$C:$C,"MISSING",0)</f>
        <v/>
      </c>
      <c r="J427" s="4562">
        <f>XLOOKUP(B427,'_Sys|Line_Map'!$A:$A,'_Sys|Line_Map'!$D:$D,1,0)</f>
        <v/>
      </c>
      <c r="K427" s="4562">
        <f>IF(D427="","",D427*J427)</f>
        <v/>
      </c>
      <c r="L427" s="4562">
        <f>XLOOKUP(B427,'_Sys|Line_Map'!$A:$A,'_Sys|Line_Map'!$B:$B,"MISSING",0)</f>
        <v/>
      </c>
    </row>
    <row r="428">
      <c r="A428" s="4561" t="n"/>
      <c r="B428" s="4561" t="n"/>
      <c r="C428" s="4561" t="n"/>
      <c r="D428" s="4561" t="n"/>
      <c r="E428" s="4561" t="n"/>
      <c r="F428" s="4561" t="n"/>
      <c r="G428" s="4561" t="n"/>
      <c r="H428" s="4561" t="n"/>
      <c r="I428" s="4562">
        <f>XLOOKUP(B428,'_Sys|Line_Map'!$A:$A,'_Sys|Line_Map'!$C:$C,"MISSING",0)</f>
        <v/>
      </c>
      <c r="J428" s="4562">
        <f>XLOOKUP(B428,'_Sys|Line_Map'!$A:$A,'_Sys|Line_Map'!$D:$D,1,0)</f>
        <v/>
      </c>
      <c r="K428" s="4562">
        <f>IF(D428="","",D428*J428)</f>
        <v/>
      </c>
      <c r="L428" s="4562">
        <f>XLOOKUP(B428,'_Sys|Line_Map'!$A:$A,'_Sys|Line_Map'!$B:$B,"MISSING",0)</f>
        <v/>
      </c>
    </row>
    <row r="429">
      <c r="A429" s="4561" t="n"/>
      <c r="B429" s="4561" t="n"/>
      <c r="C429" s="4561" t="n"/>
      <c r="D429" s="4561" t="n"/>
      <c r="E429" s="4561" t="n"/>
      <c r="F429" s="4561" t="n"/>
      <c r="G429" s="4561" t="n"/>
      <c r="H429" s="4561" t="n"/>
      <c r="I429" s="4562">
        <f>XLOOKUP(B429,'_Sys|Line_Map'!$A:$A,'_Sys|Line_Map'!$C:$C,"MISSING",0)</f>
        <v/>
      </c>
      <c r="J429" s="4562">
        <f>XLOOKUP(B429,'_Sys|Line_Map'!$A:$A,'_Sys|Line_Map'!$D:$D,1,0)</f>
        <v/>
      </c>
      <c r="K429" s="4562">
        <f>IF(D429="","",D429*J429)</f>
        <v/>
      </c>
      <c r="L429" s="4562">
        <f>XLOOKUP(B429,'_Sys|Line_Map'!$A:$A,'_Sys|Line_Map'!$B:$B,"MISSING",0)</f>
        <v/>
      </c>
    </row>
    <row r="430">
      <c r="A430" s="4561" t="n"/>
      <c r="B430" s="4561" t="n"/>
      <c r="C430" s="4561" t="n"/>
      <c r="D430" s="4561" t="n"/>
      <c r="E430" s="4561" t="n"/>
      <c r="F430" s="4561" t="n"/>
      <c r="G430" s="4561" t="n"/>
      <c r="H430" s="4561" t="n"/>
      <c r="I430" s="4562">
        <f>XLOOKUP(B430,'_Sys|Line_Map'!$A:$A,'_Sys|Line_Map'!$C:$C,"MISSING",0)</f>
        <v/>
      </c>
      <c r="J430" s="4562">
        <f>XLOOKUP(B430,'_Sys|Line_Map'!$A:$A,'_Sys|Line_Map'!$D:$D,1,0)</f>
        <v/>
      </c>
      <c r="K430" s="4562">
        <f>IF(D430="","",D430*J430)</f>
        <v/>
      </c>
      <c r="L430" s="4562">
        <f>XLOOKUP(B430,'_Sys|Line_Map'!$A:$A,'_Sys|Line_Map'!$B:$B,"MISSING",0)</f>
        <v/>
      </c>
    </row>
    <row r="431">
      <c r="A431" s="4561" t="n"/>
      <c r="B431" s="4561" t="n"/>
      <c r="C431" s="4561" t="n"/>
      <c r="D431" s="4561" t="n"/>
      <c r="E431" s="4561" t="n"/>
      <c r="F431" s="4561" t="n"/>
      <c r="G431" s="4561" t="n"/>
      <c r="H431" s="4561" t="n"/>
      <c r="I431" s="4562">
        <f>XLOOKUP(B431,'_Sys|Line_Map'!$A:$A,'_Sys|Line_Map'!$C:$C,"MISSING",0)</f>
        <v/>
      </c>
      <c r="J431" s="4562">
        <f>XLOOKUP(B431,'_Sys|Line_Map'!$A:$A,'_Sys|Line_Map'!$D:$D,1,0)</f>
        <v/>
      </c>
      <c r="K431" s="4562">
        <f>IF(D431="","",D431*J431)</f>
        <v/>
      </c>
      <c r="L431" s="4562">
        <f>XLOOKUP(B431,'_Sys|Line_Map'!$A:$A,'_Sys|Line_Map'!$B:$B,"MISSING",0)</f>
        <v/>
      </c>
    </row>
    <row r="432">
      <c r="A432" s="4561" t="n"/>
      <c r="B432" s="4561" t="n"/>
      <c r="C432" s="4561" t="n"/>
      <c r="D432" s="4561" t="n"/>
      <c r="E432" s="4561" t="n"/>
      <c r="F432" s="4561" t="n"/>
      <c r="G432" s="4561" t="n"/>
      <c r="H432" s="4561" t="n"/>
      <c r="I432" s="4562">
        <f>XLOOKUP(B432,'_Sys|Line_Map'!$A:$A,'_Sys|Line_Map'!$C:$C,"MISSING",0)</f>
        <v/>
      </c>
      <c r="J432" s="4562">
        <f>XLOOKUP(B432,'_Sys|Line_Map'!$A:$A,'_Sys|Line_Map'!$D:$D,1,0)</f>
        <v/>
      </c>
      <c r="K432" s="4562">
        <f>IF(D432="","",D432*J432)</f>
        <v/>
      </c>
      <c r="L432" s="4562">
        <f>XLOOKUP(B432,'_Sys|Line_Map'!$A:$A,'_Sys|Line_Map'!$B:$B,"MISSING",0)</f>
        <v/>
      </c>
    </row>
    <row r="433">
      <c r="A433" s="4561" t="n"/>
      <c r="B433" s="4561" t="n"/>
      <c r="C433" s="4561" t="n"/>
      <c r="D433" s="4561" t="n"/>
      <c r="E433" s="4561" t="n"/>
      <c r="F433" s="4561" t="n"/>
      <c r="G433" s="4561" t="n"/>
      <c r="H433" s="4561" t="n"/>
      <c r="I433" s="4562">
        <f>XLOOKUP(B433,'_Sys|Line_Map'!$A:$A,'_Sys|Line_Map'!$C:$C,"MISSING",0)</f>
        <v/>
      </c>
      <c r="J433" s="4562">
        <f>XLOOKUP(B433,'_Sys|Line_Map'!$A:$A,'_Sys|Line_Map'!$D:$D,1,0)</f>
        <v/>
      </c>
      <c r="K433" s="4562">
        <f>IF(D433="","",D433*J433)</f>
        <v/>
      </c>
      <c r="L433" s="4562">
        <f>XLOOKUP(B433,'_Sys|Line_Map'!$A:$A,'_Sys|Line_Map'!$B:$B,"MISSING",0)</f>
        <v/>
      </c>
    </row>
    <row r="434">
      <c r="A434" s="4561" t="n"/>
      <c r="B434" s="4561" t="n"/>
      <c r="C434" s="4561" t="n"/>
      <c r="D434" s="4561" t="n"/>
      <c r="E434" s="4561" t="n"/>
      <c r="F434" s="4561" t="n"/>
      <c r="G434" s="4561" t="n"/>
      <c r="H434" s="4561" t="n"/>
      <c r="I434" s="4562">
        <f>XLOOKUP(B434,'_Sys|Line_Map'!$A:$A,'_Sys|Line_Map'!$C:$C,"MISSING",0)</f>
        <v/>
      </c>
      <c r="J434" s="4562">
        <f>XLOOKUP(B434,'_Sys|Line_Map'!$A:$A,'_Sys|Line_Map'!$D:$D,1,0)</f>
        <v/>
      </c>
      <c r="K434" s="4562">
        <f>IF(D434="","",D434*J434)</f>
        <v/>
      </c>
      <c r="L434" s="4562">
        <f>XLOOKUP(B434,'_Sys|Line_Map'!$A:$A,'_Sys|Line_Map'!$B:$B,"MISSING",0)</f>
        <v/>
      </c>
    </row>
    <row r="435">
      <c r="A435" s="4561" t="n"/>
      <c r="B435" s="4561" t="n"/>
      <c r="C435" s="4561" t="n"/>
      <c r="D435" s="4561" t="n"/>
      <c r="E435" s="4561" t="n"/>
      <c r="F435" s="4561" t="n"/>
      <c r="G435" s="4561" t="n"/>
      <c r="H435" s="4561" t="n"/>
      <c r="I435" s="4562">
        <f>XLOOKUP(B435,'_Sys|Line_Map'!$A:$A,'_Sys|Line_Map'!$C:$C,"MISSING",0)</f>
        <v/>
      </c>
      <c r="J435" s="4562">
        <f>XLOOKUP(B435,'_Sys|Line_Map'!$A:$A,'_Sys|Line_Map'!$D:$D,1,0)</f>
        <v/>
      </c>
      <c r="K435" s="4562">
        <f>IF(D435="","",D435*J435)</f>
        <v/>
      </c>
      <c r="L435" s="4562">
        <f>XLOOKUP(B435,'_Sys|Line_Map'!$A:$A,'_Sys|Line_Map'!$B:$B,"MISSING",0)</f>
        <v/>
      </c>
    </row>
    <row r="436">
      <c r="A436" s="4561" t="n"/>
      <c r="B436" s="4561" t="n"/>
      <c r="C436" s="4561" t="n"/>
      <c r="D436" s="4561" t="n"/>
      <c r="E436" s="4561" t="n"/>
      <c r="F436" s="4561" t="n"/>
      <c r="G436" s="4561" t="n"/>
      <c r="H436" s="4561" t="n"/>
      <c r="I436" s="4562">
        <f>XLOOKUP(B436,'_Sys|Line_Map'!$A:$A,'_Sys|Line_Map'!$C:$C,"MISSING",0)</f>
        <v/>
      </c>
      <c r="J436" s="4562">
        <f>XLOOKUP(B436,'_Sys|Line_Map'!$A:$A,'_Sys|Line_Map'!$D:$D,1,0)</f>
        <v/>
      </c>
      <c r="K436" s="4562">
        <f>IF(D436="","",D436*J436)</f>
        <v/>
      </c>
      <c r="L436" s="4562">
        <f>XLOOKUP(B436,'_Sys|Line_Map'!$A:$A,'_Sys|Line_Map'!$B:$B,"MISSING",0)</f>
        <v/>
      </c>
    </row>
    <row r="437">
      <c r="A437" s="4561" t="n"/>
      <c r="B437" s="4561" t="n"/>
      <c r="C437" s="4561" t="n"/>
      <c r="D437" s="4561" t="n"/>
      <c r="E437" s="4561" t="n"/>
      <c r="F437" s="4561" t="n"/>
      <c r="G437" s="4561" t="n"/>
      <c r="H437" s="4561" t="n"/>
      <c r="I437" s="4562">
        <f>XLOOKUP(B437,'_Sys|Line_Map'!$A:$A,'_Sys|Line_Map'!$C:$C,"MISSING",0)</f>
        <v/>
      </c>
      <c r="J437" s="4562">
        <f>XLOOKUP(B437,'_Sys|Line_Map'!$A:$A,'_Sys|Line_Map'!$D:$D,1,0)</f>
        <v/>
      </c>
      <c r="K437" s="4562">
        <f>IF(D437="","",D437*J437)</f>
        <v/>
      </c>
      <c r="L437" s="4562">
        <f>XLOOKUP(B437,'_Sys|Line_Map'!$A:$A,'_Sys|Line_Map'!$B:$B,"MISSING",0)</f>
        <v/>
      </c>
    </row>
    <row r="438">
      <c r="A438" s="4561" t="n"/>
      <c r="B438" s="4561" t="n"/>
      <c r="C438" s="4561" t="n"/>
      <c r="D438" s="4561" t="n"/>
      <c r="E438" s="4561" t="n"/>
      <c r="F438" s="4561" t="n"/>
      <c r="G438" s="4561" t="n"/>
      <c r="H438" s="4561" t="n"/>
      <c r="I438" s="4562">
        <f>XLOOKUP(B438,'_Sys|Line_Map'!$A:$A,'_Sys|Line_Map'!$C:$C,"MISSING",0)</f>
        <v/>
      </c>
      <c r="J438" s="4562">
        <f>XLOOKUP(B438,'_Sys|Line_Map'!$A:$A,'_Sys|Line_Map'!$D:$D,1,0)</f>
        <v/>
      </c>
      <c r="K438" s="4562">
        <f>IF(D438="","",D438*J438)</f>
        <v/>
      </c>
      <c r="L438" s="4562">
        <f>XLOOKUP(B438,'_Sys|Line_Map'!$A:$A,'_Sys|Line_Map'!$B:$B,"MISSING",0)</f>
        <v/>
      </c>
    </row>
    <row r="439">
      <c r="A439" s="4561" t="n"/>
      <c r="B439" s="4561" t="n"/>
      <c r="C439" s="4561" t="n"/>
      <c r="D439" s="4561" t="n"/>
      <c r="E439" s="4561" t="n"/>
      <c r="F439" s="4561" t="n"/>
      <c r="G439" s="4561" t="n"/>
      <c r="H439" s="4561" t="n"/>
      <c r="I439" s="4562">
        <f>XLOOKUP(B439,'_Sys|Line_Map'!$A:$A,'_Sys|Line_Map'!$C:$C,"MISSING",0)</f>
        <v/>
      </c>
      <c r="J439" s="4562">
        <f>XLOOKUP(B439,'_Sys|Line_Map'!$A:$A,'_Sys|Line_Map'!$D:$D,1,0)</f>
        <v/>
      </c>
      <c r="K439" s="4562">
        <f>IF(D439="","",D439*J439)</f>
        <v/>
      </c>
      <c r="L439" s="4562">
        <f>XLOOKUP(B439,'_Sys|Line_Map'!$A:$A,'_Sys|Line_Map'!$B:$B,"MISSING",0)</f>
        <v/>
      </c>
    </row>
    <row r="440">
      <c r="A440" s="4561" t="n"/>
      <c r="B440" s="4561" t="n"/>
      <c r="C440" s="4561" t="n"/>
      <c r="D440" s="4561" t="n"/>
      <c r="E440" s="4561" t="n"/>
      <c r="F440" s="4561" t="n"/>
      <c r="G440" s="4561" t="n"/>
      <c r="H440" s="4561" t="n"/>
      <c r="I440" s="4562">
        <f>XLOOKUP(B440,'_Sys|Line_Map'!$A:$A,'_Sys|Line_Map'!$C:$C,"MISSING",0)</f>
        <v/>
      </c>
      <c r="J440" s="4562">
        <f>XLOOKUP(B440,'_Sys|Line_Map'!$A:$A,'_Sys|Line_Map'!$D:$D,1,0)</f>
        <v/>
      </c>
      <c r="K440" s="4562">
        <f>IF(D440="","",D440*J440)</f>
        <v/>
      </c>
      <c r="L440" s="4562">
        <f>XLOOKUP(B440,'_Sys|Line_Map'!$A:$A,'_Sys|Line_Map'!$B:$B,"MISSING",0)</f>
        <v/>
      </c>
    </row>
    <row r="441">
      <c r="A441" s="4561" t="n"/>
      <c r="B441" s="4561" t="n"/>
      <c r="C441" s="4561" t="n"/>
      <c r="D441" s="4561" t="n"/>
      <c r="E441" s="4561" t="n"/>
      <c r="F441" s="4561" t="n"/>
      <c r="G441" s="4561" t="n"/>
      <c r="H441" s="4561" t="n"/>
      <c r="I441" s="4562">
        <f>XLOOKUP(B441,'_Sys|Line_Map'!$A:$A,'_Sys|Line_Map'!$C:$C,"MISSING",0)</f>
        <v/>
      </c>
      <c r="J441" s="4562">
        <f>XLOOKUP(B441,'_Sys|Line_Map'!$A:$A,'_Sys|Line_Map'!$D:$D,1,0)</f>
        <v/>
      </c>
      <c r="K441" s="4562">
        <f>IF(D441="","",D441*J441)</f>
        <v/>
      </c>
      <c r="L441" s="4562">
        <f>XLOOKUP(B441,'_Sys|Line_Map'!$A:$A,'_Sys|Line_Map'!$B:$B,"MISSING",0)</f>
        <v/>
      </c>
    </row>
    <row r="442">
      <c r="A442" s="4561" t="n"/>
      <c r="B442" s="4561" t="n"/>
      <c r="C442" s="4561" t="n"/>
      <c r="D442" s="4561" t="n"/>
      <c r="E442" s="4561" t="n"/>
      <c r="F442" s="4561" t="n"/>
      <c r="G442" s="4561" t="n"/>
      <c r="H442" s="4561" t="n"/>
      <c r="I442" s="4562">
        <f>XLOOKUP(B442,'_Sys|Line_Map'!$A:$A,'_Sys|Line_Map'!$C:$C,"MISSING",0)</f>
        <v/>
      </c>
      <c r="J442" s="4562">
        <f>XLOOKUP(B442,'_Sys|Line_Map'!$A:$A,'_Sys|Line_Map'!$D:$D,1,0)</f>
        <v/>
      </c>
      <c r="K442" s="4562">
        <f>IF(D442="","",D442*J442)</f>
        <v/>
      </c>
      <c r="L442" s="4562">
        <f>XLOOKUP(B442,'_Sys|Line_Map'!$A:$A,'_Sys|Line_Map'!$B:$B,"MISSING",0)</f>
        <v/>
      </c>
    </row>
    <row r="443">
      <c r="A443" s="4561" t="n"/>
      <c r="B443" s="4561" t="n"/>
      <c r="C443" s="4561" t="n"/>
      <c r="D443" s="4561" t="n"/>
      <c r="E443" s="4561" t="n"/>
      <c r="F443" s="4561" t="n"/>
      <c r="G443" s="4561" t="n"/>
      <c r="H443" s="4561" t="n"/>
      <c r="I443" s="4562">
        <f>XLOOKUP(B443,'_Sys|Line_Map'!$A:$A,'_Sys|Line_Map'!$C:$C,"MISSING",0)</f>
        <v/>
      </c>
      <c r="J443" s="4562">
        <f>XLOOKUP(B443,'_Sys|Line_Map'!$A:$A,'_Sys|Line_Map'!$D:$D,1,0)</f>
        <v/>
      </c>
      <c r="K443" s="4562">
        <f>IF(D443="","",D443*J443)</f>
        <v/>
      </c>
      <c r="L443" s="4562">
        <f>XLOOKUP(B443,'_Sys|Line_Map'!$A:$A,'_Sys|Line_Map'!$B:$B,"MISSING",0)</f>
        <v/>
      </c>
    </row>
    <row r="444">
      <c r="A444" s="4561" t="n"/>
      <c r="B444" s="4561" t="n"/>
      <c r="C444" s="4561" t="n"/>
      <c r="D444" s="4561" t="n"/>
      <c r="E444" s="4561" t="n"/>
      <c r="F444" s="4561" t="n"/>
      <c r="G444" s="4561" t="n"/>
      <c r="H444" s="4561" t="n"/>
      <c r="I444" s="4562">
        <f>XLOOKUP(B444,'_Sys|Line_Map'!$A:$A,'_Sys|Line_Map'!$C:$C,"MISSING",0)</f>
        <v/>
      </c>
      <c r="J444" s="4562">
        <f>XLOOKUP(B444,'_Sys|Line_Map'!$A:$A,'_Sys|Line_Map'!$D:$D,1,0)</f>
        <v/>
      </c>
      <c r="K444" s="4562">
        <f>IF(D444="","",D444*J444)</f>
        <v/>
      </c>
      <c r="L444" s="4562">
        <f>XLOOKUP(B444,'_Sys|Line_Map'!$A:$A,'_Sys|Line_Map'!$B:$B,"MISSING",0)</f>
        <v/>
      </c>
    </row>
    <row r="445">
      <c r="A445" s="4561" t="n"/>
      <c r="B445" s="4561" t="n"/>
      <c r="C445" s="4561" t="n"/>
      <c r="D445" s="4561" t="n"/>
      <c r="E445" s="4561" t="n"/>
      <c r="F445" s="4561" t="n"/>
      <c r="G445" s="4561" t="n"/>
      <c r="H445" s="4561" t="n"/>
      <c r="I445" s="4562">
        <f>XLOOKUP(B445,'_Sys|Line_Map'!$A:$A,'_Sys|Line_Map'!$C:$C,"MISSING",0)</f>
        <v/>
      </c>
      <c r="J445" s="4562">
        <f>XLOOKUP(B445,'_Sys|Line_Map'!$A:$A,'_Sys|Line_Map'!$D:$D,1,0)</f>
        <v/>
      </c>
      <c r="K445" s="4562">
        <f>IF(D445="","",D445*J445)</f>
        <v/>
      </c>
      <c r="L445" s="4562">
        <f>XLOOKUP(B445,'_Sys|Line_Map'!$A:$A,'_Sys|Line_Map'!$B:$B,"MISSING",0)</f>
        <v/>
      </c>
    </row>
    <row r="446">
      <c r="A446" s="4561" t="n"/>
      <c r="B446" s="4561" t="n"/>
      <c r="C446" s="4561" t="n"/>
      <c r="D446" s="4561" t="n"/>
      <c r="E446" s="4561" t="n"/>
      <c r="F446" s="4561" t="n"/>
      <c r="G446" s="4561" t="n"/>
      <c r="H446" s="4561" t="n"/>
      <c r="I446" s="4562">
        <f>XLOOKUP(B446,'_Sys|Line_Map'!$A:$A,'_Sys|Line_Map'!$C:$C,"MISSING",0)</f>
        <v/>
      </c>
      <c r="J446" s="4562">
        <f>XLOOKUP(B446,'_Sys|Line_Map'!$A:$A,'_Sys|Line_Map'!$D:$D,1,0)</f>
        <v/>
      </c>
      <c r="K446" s="4562">
        <f>IF(D446="","",D446*J446)</f>
        <v/>
      </c>
      <c r="L446" s="4562">
        <f>XLOOKUP(B446,'_Sys|Line_Map'!$A:$A,'_Sys|Line_Map'!$B:$B,"MISSING",0)</f>
        <v/>
      </c>
    </row>
    <row r="447">
      <c r="A447" s="4561" t="n"/>
      <c r="B447" s="4561" t="n"/>
      <c r="C447" s="4561" t="n"/>
      <c r="D447" s="4561" t="n"/>
      <c r="E447" s="4561" t="n"/>
      <c r="F447" s="4561" t="n"/>
      <c r="G447" s="4561" t="n"/>
      <c r="H447" s="4561" t="n"/>
      <c r="I447" s="4562">
        <f>XLOOKUP(B447,'_Sys|Line_Map'!$A:$A,'_Sys|Line_Map'!$C:$C,"MISSING",0)</f>
        <v/>
      </c>
      <c r="J447" s="4562">
        <f>XLOOKUP(B447,'_Sys|Line_Map'!$A:$A,'_Sys|Line_Map'!$D:$D,1,0)</f>
        <v/>
      </c>
      <c r="K447" s="4562">
        <f>IF(D447="","",D447*J447)</f>
        <v/>
      </c>
      <c r="L447" s="4562">
        <f>XLOOKUP(B447,'_Sys|Line_Map'!$A:$A,'_Sys|Line_Map'!$B:$B,"MISSING",0)</f>
        <v/>
      </c>
    </row>
    <row r="448">
      <c r="A448" s="4561" t="n"/>
      <c r="B448" s="4561" t="n"/>
      <c r="C448" s="4561" t="n"/>
      <c r="D448" s="4561" t="n"/>
      <c r="E448" s="4561" t="n"/>
      <c r="F448" s="4561" t="n"/>
      <c r="G448" s="4561" t="n"/>
      <c r="H448" s="4561" t="n"/>
      <c r="I448" s="4562">
        <f>XLOOKUP(B448,'_Sys|Line_Map'!$A:$A,'_Sys|Line_Map'!$C:$C,"MISSING",0)</f>
        <v/>
      </c>
      <c r="J448" s="4562">
        <f>XLOOKUP(B448,'_Sys|Line_Map'!$A:$A,'_Sys|Line_Map'!$D:$D,1,0)</f>
        <v/>
      </c>
      <c r="K448" s="4562">
        <f>IF(D448="","",D448*J448)</f>
        <v/>
      </c>
      <c r="L448" s="4562">
        <f>XLOOKUP(B448,'_Sys|Line_Map'!$A:$A,'_Sys|Line_Map'!$B:$B,"MISSING",0)</f>
        <v/>
      </c>
    </row>
    <row r="449">
      <c r="A449" s="4561" t="n"/>
      <c r="B449" s="4561" t="n"/>
      <c r="C449" s="4561" t="n"/>
      <c r="D449" s="4561" t="n"/>
      <c r="E449" s="4561" t="n"/>
      <c r="F449" s="4561" t="n"/>
      <c r="G449" s="4561" t="n"/>
      <c r="H449" s="4561" t="n"/>
      <c r="I449" s="4562">
        <f>XLOOKUP(B449,'_Sys|Line_Map'!$A:$A,'_Sys|Line_Map'!$C:$C,"MISSING",0)</f>
        <v/>
      </c>
      <c r="J449" s="4562">
        <f>XLOOKUP(B449,'_Sys|Line_Map'!$A:$A,'_Sys|Line_Map'!$D:$D,1,0)</f>
        <v/>
      </c>
      <c r="K449" s="4562">
        <f>IF(D449="","",D449*J449)</f>
        <v/>
      </c>
      <c r="L449" s="4562">
        <f>XLOOKUP(B449,'_Sys|Line_Map'!$A:$A,'_Sys|Line_Map'!$B:$B,"MISSING",0)</f>
        <v/>
      </c>
    </row>
    <row r="450">
      <c r="A450" s="4561" t="n"/>
      <c r="B450" s="4561" t="n"/>
      <c r="C450" s="4561" t="n"/>
      <c r="D450" s="4561" t="n"/>
      <c r="E450" s="4561" t="n"/>
      <c r="F450" s="4561" t="n"/>
      <c r="G450" s="4561" t="n"/>
      <c r="H450" s="4561" t="n"/>
      <c r="I450" s="4562">
        <f>XLOOKUP(B450,'_Sys|Line_Map'!$A:$A,'_Sys|Line_Map'!$C:$C,"MISSING",0)</f>
        <v/>
      </c>
      <c r="J450" s="4562">
        <f>XLOOKUP(B450,'_Sys|Line_Map'!$A:$A,'_Sys|Line_Map'!$D:$D,1,0)</f>
        <v/>
      </c>
      <c r="K450" s="4562">
        <f>IF(D450="","",D450*J450)</f>
        <v/>
      </c>
      <c r="L450" s="4562">
        <f>XLOOKUP(B450,'_Sys|Line_Map'!$A:$A,'_Sys|Line_Map'!$B:$B,"MISSING",0)</f>
        <v/>
      </c>
    </row>
    <row r="451">
      <c r="A451" s="4561" t="n"/>
      <c r="B451" s="4561" t="n"/>
      <c r="C451" s="4561" t="n"/>
      <c r="D451" s="4561" t="n"/>
      <c r="E451" s="4561" t="n"/>
      <c r="F451" s="4561" t="n"/>
      <c r="G451" s="4561" t="n"/>
      <c r="H451" s="4561" t="n"/>
      <c r="I451" s="4562">
        <f>XLOOKUP(B451,'_Sys|Line_Map'!$A:$A,'_Sys|Line_Map'!$C:$C,"MISSING",0)</f>
        <v/>
      </c>
      <c r="J451" s="4562">
        <f>XLOOKUP(B451,'_Sys|Line_Map'!$A:$A,'_Sys|Line_Map'!$D:$D,1,0)</f>
        <v/>
      </c>
      <c r="K451" s="4562">
        <f>IF(D451="","",D451*J451)</f>
        <v/>
      </c>
      <c r="L451" s="4562">
        <f>XLOOKUP(B451,'_Sys|Line_Map'!$A:$A,'_Sys|Line_Map'!$B:$B,"MISSING",0)</f>
        <v/>
      </c>
    </row>
    <row r="452">
      <c r="A452" s="4561" t="n"/>
      <c r="B452" s="4561" t="n"/>
      <c r="C452" s="4561" t="n"/>
      <c r="D452" s="4561" t="n"/>
      <c r="E452" s="4561" t="n"/>
      <c r="F452" s="4561" t="n"/>
      <c r="G452" s="4561" t="n"/>
      <c r="H452" s="4561" t="n"/>
      <c r="I452" s="4562">
        <f>XLOOKUP(B452,'_Sys|Line_Map'!$A:$A,'_Sys|Line_Map'!$C:$C,"MISSING",0)</f>
        <v/>
      </c>
      <c r="J452" s="4562">
        <f>XLOOKUP(B452,'_Sys|Line_Map'!$A:$A,'_Sys|Line_Map'!$D:$D,1,0)</f>
        <v/>
      </c>
      <c r="K452" s="4562">
        <f>IF(D452="","",D452*J452)</f>
        <v/>
      </c>
      <c r="L452" s="4562">
        <f>XLOOKUP(B452,'_Sys|Line_Map'!$A:$A,'_Sys|Line_Map'!$B:$B,"MISSING",0)</f>
        <v/>
      </c>
    </row>
    <row r="453">
      <c r="A453" s="4561" t="n"/>
      <c r="B453" s="4561" t="n"/>
      <c r="C453" s="4561" t="n"/>
      <c r="D453" s="4561" t="n"/>
      <c r="E453" s="4561" t="n"/>
      <c r="F453" s="4561" t="n"/>
      <c r="G453" s="4561" t="n"/>
      <c r="H453" s="4561" t="n"/>
      <c r="I453" s="4562">
        <f>XLOOKUP(B453,'_Sys|Line_Map'!$A:$A,'_Sys|Line_Map'!$C:$C,"MISSING",0)</f>
        <v/>
      </c>
      <c r="J453" s="4562">
        <f>XLOOKUP(B453,'_Sys|Line_Map'!$A:$A,'_Sys|Line_Map'!$D:$D,1,0)</f>
        <v/>
      </c>
      <c r="K453" s="4562">
        <f>IF(D453="","",D453*J453)</f>
        <v/>
      </c>
      <c r="L453" s="4562">
        <f>XLOOKUP(B453,'_Sys|Line_Map'!$A:$A,'_Sys|Line_Map'!$B:$B,"MISSING",0)</f>
        <v/>
      </c>
    </row>
    <row r="454">
      <c r="A454" s="4561" t="n"/>
      <c r="B454" s="4561" t="n"/>
      <c r="C454" s="4561" t="n"/>
      <c r="D454" s="4561" t="n"/>
      <c r="E454" s="4561" t="n"/>
      <c r="F454" s="4561" t="n"/>
      <c r="G454" s="4561" t="n"/>
      <c r="H454" s="4561" t="n"/>
      <c r="I454" s="4562">
        <f>XLOOKUP(B454,'_Sys|Line_Map'!$A:$A,'_Sys|Line_Map'!$C:$C,"MISSING",0)</f>
        <v/>
      </c>
      <c r="J454" s="4562">
        <f>XLOOKUP(B454,'_Sys|Line_Map'!$A:$A,'_Sys|Line_Map'!$D:$D,1,0)</f>
        <v/>
      </c>
      <c r="K454" s="4562">
        <f>IF(D454="","",D454*J454)</f>
        <v/>
      </c>
      <c r="L454" s="4562">
        <f>XLOOKUP(B454,'_Sys|Line_Map'!$A:$A,'_Sys|Line_Map'!$B:$B,"MISSING",0)</f>
        <v/>
      </c>
    </row>
    <row r="455">
      <c r="A455" s="4561" t="n"/>
      <c r="B455" s="4561" t="n"/>
      <c r="C455" s="4561" t="n"/>
      <c r="D455" s="4561" t="n"/>
      <c r="E455" s="4561" t="n"/>
      <c r="F455" s="4561" t="n"/>
      <c r="G455" s="4561" t="n"/>
      <c r="H455" s="4561" t="n"/>
      <c r="I455" s="4562">
        <f>XLOOKUP(B455,'_Sys|Line_Map'!$A:$A,'_Sys|Line_Map'!$C:$C,"MISSING",0)</f>
        <v/>
      </c>
      <c r="J455" s="4562">
        <f>XLOOKUP(B455,'_Sys|Line_Map'!$A:$A,'_Sys|Line_Map'!$D:$D,1,0)</f>
        <v/>
      </c>
      <c r="K455" s="4562">
        <f>IF(D455="","",D455*J455)</f>
        <v/>
      </c>
      <c r="L455" s="4562">
        <f>XLOOKUP(B455,'_Sys|Line_Map'!$A:$A,'_Sys|Line_Map'!$B:$B,"MISSING",0)</f>
        <v/>
      </c>
    </row>
    <row r="456">
      <c r="A456" s="4561" t="n"/>
      <c r="B456" s="4561" t="n"/>
      <c r="C456" s="4561" t="n"/>
      <c r="D456" s="4561" t="n"/>
      <c r="E456" s="4561" t="n"/>
      <c r="F456" s="4561" t="n"/>
      <c r="G456" s="4561" t="n"/>
      <c r="H456" s="4561" t="n"/>
      <c r="I456" s="4562">
        <f>XLOOKUP(B456,'_Sys|Line_Map'!$A:$A,'_Sys|Line_Map'!$C:$C,"MISSING",0)</f>
        <v/>
      </c>
      <c r="J456" s="4562">
        <f>XLOOKUP(B456,'_Sys|Line_Map'!$A:$A,'_Sys|Line_Map'!$D:$D,1,0)</f>
        <v/>
      </c>
      <c r="K456" s="4562">
        <f>IF(D456="","",D456*J456)</f>
        <v/>
      </c>
      <c r="L456" s="4562">
        <f>XLOOKUP(B456,'_Sys|Line_Map'!$A:$A,'_Sys|Line_Map'!$B:$B,"MISSING",0)</f>
        <v/>
      </c>
    </row>
    <row r="457">
      <c r="A457" s="4561" t="n"/>
      <c r="B457" s="4561" t="n"/>
      <c r="C457" s="4561" t="n"/>
      <c r="D457" s="4561" t="n"/>
      <c r="E457" s="4561" t="n"/>
      <c r="F457" s="4561" t="n"/>
      <c r="G457" s="4561" t="n"/>
      <c r="H457" s="4561" t="n"/>
      <c r="I457" s="4562">
        <f>XLOOKUP(B457,'_Sys|Line_Map'!$A:$A,'_Sys|Line_Map'!$C:$C,"MISSING",0)</f>
        <v/>
      </c>
      <c r="J457" s="4562">
        <f>XLOOKUP(B457,'_Sys|Line_Map'!$A:$A,'_Sys|Line_Map'!$D:$D,1,0)</f>
        <v/>
      </c>
      <c r="K457" s="4562">
        <f>IF(D457="","",D457*J457)</f>
        <v/>
      </c>
      <c r="L457" s="4562">
        <f>XLOOKUP(B457,'_Sys|Line_Map'!$A:$A,'_Sys|Line_Map'!$B:$B,"MISSING",0)</f>
        <v/>
      </c>
    </row>
    <row r="458">
      <c r="A458" s="4561" t="n"/>
      <c r="B458" s="4561" t="n"/>
      <c r="C458" s="4561" t="n"/>
      <c r="D458" s="4561" t="n"/>
      <c r="E458" s="4561" t="n"/>
      <c r="F458" s="4561" t="n"/>
      <c r="G458" s="4561" t="n"/>
      <c r="H458" s="4561" t="n"/>
      <c r="I458" s="4562">
        <f>XLOOKUP(B458,'_Sys|Line_Map'!$A:$A,'_Sys|Line_Map'!$C:$C,"MISSING",0)</f>
        <v/>
      </c>
      <c r="J458" s="4562">
        <f>XLOOKUP(B458,'_Sys|Line_Map'!$A:$A,'_Sys|Line_Map'!$D:$D,1,0)</f>
        <v/>
      </c>
      <c r="K458" s="4562">
        <f>IF(D458="","",D458*J458)</f>
        <v/>
      </c>
      <c r="L458" s="4562">
        <f>XLOOKUP(B458,'_Sys|Line_Map'!$A:$A,'_Sys|Line_Map'!$B:$B,"MISSING",0)</f>
        <v/>
      </c>
    </row>
    <row r="459">
      <c r="A459" s="4561" t="n"/>
      <c r="B459" s="4561" t="n"/>
      <c r="C459" s="4561" t="n"/>
      <c r="D459" s="4561" t="n"/>
      <c r="E459" s="4561" t="n"/>
      <c r="F459" s="4561" t="n"/>
      <c r="G459" s="4561" t="n"/>
      <c r="H459" s="4561" t="n"/>
      <c r="I459" s="4562">
        <f>XLOOKUP(B459,'_Sys|Line_Map'!$A:$A,'_Sys|Line_Map'!$C:$C,"MISSING",0)</f>
        <v/>
      </c>
      <c r="J459" s="4562">
        <f>XLOOKUP(B459,'_Sys|Line_Map'!$A:$A,'_Sys|Line_Map'!$D:$D,1,0)</f>
        <v/>
      </c>
      <c r="K459" s="4562">
        <f>IF(D459="","",D459*J459)</f>
        <v/>
      </c>
      <c r="L459" s="4562">
        <f>XLOOKUP(B459,'_Sys|Line_Map'!$A:$A,'_Sys|Line_Map'!$B:$B,"MISSING",0)</f>
        <v/>
      </c>
    </row>
    <row r="460">
      <c r="A460" s="4561" t="n"/>
      <c r="B460" s="4561" t="n"/>
      <c r="C460" s="4561" t="n"/>
      <c r="D460" s="4561" t="n"/>
      <c r="E460" s="4561" t="n"/>
      <c r="F460" s="4561" t="n"/>
      <c r="G460" s="4561" t="n"/>
      <c r="H460" s="4561" t="n"/>
      <c r="I460" s="4562">
        <f>XLOOKUP(B460,'_Sys|Line_Map'!$A:$A,'_Sys|Line_Map'!$C:$C,"MISSING",0)</f>
        <v/>
      </c>
      <c r="J460" s="4562">
        <f>XLOOKUP(B460,'_Sys|Line_Map'!$A:$A,'_Sys|Line_Map'!$D:$D,1,0)</f>
        <v/>
      </c>
      <c r="K460" s="4562">
        <f>IF(D460="","",D460*J460)</f>
        <v/>
      </c>
      <c r="L460" s="4562">
        <f>XLOOKUP(B460,'_Sys|Line_Map'!$A:$A,'_Sys|Line_Map'!$B:$B,"MISSING",0)</f>
        <v/>
      </c>
    </row>
    <row r="461">
      <c r="A461" s="4561" t="n"/>
      <c r="B461" s="4561" t="n"/>
      <c r="C461" s="4561" t="n"/>
      <c r="D461" s="4561" t="n"/>
      <c r="E461" s="4561" t="n"/>
      <c r="F461" s="4561" t="n"/>
      <c r="G461" s="4561" t="n"/>
      <c r="H461" s="4561" t="n"/>
      <c r="I461" s="4562">
        <f>XLOOKUP(B461,'_Sys|Line_Map'!$A:$A,'_Sys|Line_Map'!$C:$C,"MISSING",0)</f>
        <v/>
      </c>
      <c r="J461" s="4562">
        <f>XLOOKUP(B461,'_Sys|Line_Map'!$A:$A,'_Sys|Line_Map'!$D:$D,1,0)</f>
        <v/>
      </c>
      <c r="K461" s="4562">
        <f>IF(D461="","",D461*J461)</f>
        <v/>
      </c>
      <c r="L461" s="4562">
        <f>XLOOKUP(B461,'_Sys|Line_Map'!$A:$A,'_Sys|Line_Map'!$B:$B,"MISSING",0)</f>
        <v/>
      </c>
    </row>
    <row r="462">
      <c r="A462" s="4561" t="n"/>
      <c r="B462" s="4561" t="n"/>
      <c r="C462" s="4561" t="n"/>
      <c r="D462" s="4561" t="n"/>
      <c r="E462" s="4561" t="n"/>
      <c r="F462" s="4561" t="n"/>
      <c r="G462" s="4561" t="n"/>
      <c r="H462" s="4561" t="n"/>
      <c r="I462" s="4562">
        <f>XLOOKUP(B462,'_Sys|Line_Map'!$A:$A,'_Sys|Line_Map'!$C:$C,"MISSING",0)</f>
        <v/>
      </c>
      <c r="J462" s="4562">
        <f>XLOOKUP(B462,'_Sys|Line_Map'!$A:$A,'_Sys|Line_Map'!$D:$D,1,0)</f>
        <v/>
      </c>
      <c r="K462" s="4562">
        <f>IF(D462="","",D462*J462)</f>
        <v/>
      </c>
      <c r="L462" s="4562">
        <f>XLOOKUP(B462,'_Sys|Line_Map'!$A:$A,'_Sys|Line_Map'!$B:$B,"MISSING",0)</f>
        <v/>
      </c>
    </row>
    <row r="463">
      <c r="A463" s="4561" t="n"/>
      <c r="B463" s="4561" t="n"/>
      <c r="C463" s="4561" t="n"/>
      <c r="D463" s="4561" t="n"/>
      <c r="E463" s="4561" t="n"/>
      <c r="F463" s="4561" t="n"/>
      <c r="G463" s="4561" t="n"/>
      <c r="H463" s="4561" t="n"/>
      <c r="I463" s="4562">
        <f>XLOOKUP(B463,'_Sys|Line_Map'!$A:$A,'_Sys|Line_Map'!$C:$C,"MISSING",0)</f>
        <v/>
      </c>
      <c r="J463" s="4562">
        <f>XLOOKUP(B463,'_Sys|Line_Map'!$A:$A,'_Sys|Line_Map'!$D:$D,1,0)</f>
        <v/>
      </c>
      <c r="K463" s="4562">
        <f>IF(D463="","",D463*J463)</f>
        <v/>
      </c>
      <c r="L463" s="4562">
        <f>XLOOKUP(B463,'_Sys|Line_Map'!$A:$A,'_Sys|Line_Map'!$B:$B,"MISSING",0)</f>
        <v/>
      </c>
    </row>
    <row r="464">
      <c r="A464" s="4561" t="n"/>
      <c r="B464" s="4561" t="n"/>
      <c r="C464" s="4561" t="n"/>
      <c r="D464" s="4561" t="n"/>
      <c r="E464" s="4561" t="n"/>
      <c r="F464" s="4561" t="n"/>
      <c r="G464" s="4561" t="n"/>
      <c r="H464" s="4561" t="n"/>
      <c r="I464" s="4562">
        <f>XLOOKUP(B464,'_Sys|Line_Map'!$A:$A,'_Sys|Line_Map'!$C:$C,"MISSING",0)</f>
        <v/>
      </c>
      <c r="J464" s="4562">
        <f>XLOOKUP(B464,'_Sys|Line_Map'!$A:$A,'_Sys|Line_Map'!$D:$D,1,0)</f>
        <v/>
      </c>
      <c r="K464" s="4562">
        <f>IF(D464="","",D464*J464)</f>
        <v/>
      </c>
      <c r="L464" s="4562">
        <f>XLOOKUP(B464,'_Sys|Line_Map'!$A:$A,'_Sys|Line_Map'!$B:$B,"MISSING",0)</f>
        <v/>
      </c>
    </row>
    <row r="465">
      <c r="A465" s="4561" t="n"/>
      <c r="B465" s="4561" t="n"/>
      <c r="C465" s="4561" t="n"/>
      <c r="D465" s="4561" t="n"/>
      <c r="E465" s="4561" t="n"/>
      <c r="F465" s="4561" t="n"/>
      <c r="G465" s="4561" t="n"/>
      <c r="H465" s="4561" t="n"/>
      <c r="I465" s="4562">
        <f>XLOOKUP(B465,'_Sys|Line_Map'!$A:$A,'_Sys|Line_Map'!$C:$C,"MISSING",0)</f>
        <v/>
      </c>
      <c r="J465" s="4562">
        <f>XLOOKUP(B465,'_Sys|Line_Map'!$A:$A,'_Sys|Line_Map'!$D:$D,1,0)</f>
        <v/>
      </c>
      <c r="K465" s="4562">
        <f>IF(D465="","",D465*J465)</f>
        <v/>
      </c>
      <c r="L465" s="4562">
        <f>XLOOKUP(B465,'_Sys|Line_Map'!$A:$A,'_Sys|Line_Map'!$B:$B,"MISSING",0)</f>
        <v/>
      </c>
    </row>
    <row r="466">
      <c r="A466" s="4561" t="n"/>
      <c r="B466" s="4561" t="n"/>
      <c r="C466" s="4561" t="n"/>
      <c r="D466" s="4561" t="n"/>
      <c r="E466" s="4561" t="n"/>
      <c r="F466" s="4561" t="n"/>
      <c r="G466" s="4561" t="n"/>
      <c r="H466" s="4561" t="n"/>
      <c r="I466" s="4562">
        <f>XLOOKUP(B466,'_Sys|Line_Map'!$A:$A,'_Sys|Line_Map'!$C:$C,"MISSING",0)</f>
        <v/>
      </c>
      <c r="J466" s="4562">
        <f>XLOOKUP(B466,'_Sys|Line_Map'!$A:$A,'_Sys|Line_Map'!$D:$D,1,0)</f>
        <v/>
      </c>
      <c r="K466" s="4562">
        <f>IF(D466="","",D466*J466)</f>
        <v/>
      </c>
      <c r="L466" s="4562">
        <f>XLOOKUP(B466,'_Sys|Line_Map'!$A:$A,'_Sys|Line_Map'!$B:$B,"MISSING",0)</f>
        <v/>
      </c>
    </row>
    <row r="467">
      <c r="A467" s="4561" t="n"/>
      <c r="B467" s="4561" t="n"/>
      <c r="C467" s="4561" t="n"/>
      <c r="D467" s="4561" t="n"/>
      <c r="E467" s="4561" t="n"/>
      <c r="F467" s="4561" t="n"/>
      <c r="G467" s="4561" t="n"/>
      <c r="H467" s="4561" t="n"/>
      <c r="I467" s="4562">
        <f>XLOOKUP(B467,'_Sys|Line_Map'!$A:$A,'_Sys|Line_Map'!$C:$C,"MISSING",0)</f>
        <v/>
      </c>
      <c r="J467" s="4562">
        <f>XLOOKUP(B467,'_Sys|Line_Map'!$A:$A,'_Sys|Line_Map'!$D:$D,1,0)</f>
        <v/>
      </c>
      <c r="K467" s="4562">
        <f>IF(D467="","",D467*J467)</f>
        <v/>
      </c>
      <c r="L467" s="4562">
        <f>XLOOKUP(B467,'_Sys|Line_Map'!$A:$A,'_Sys|Line_Map'!$B:$B,"MISSING",0)</f>
        <v/>
      </c>
    </row>
    <row r="468">
      <c r="A468" s="4561" t="n"/>
      <c r="B468" s="4561" t="n"/>
      <c r="C468" s="4561" t="n"/>
      <c r="D468" s="4561" t="n"/>
      <c r="E468" s="4561" t="n"/>
      <c r="F468" s="4561" t="n"/>
      <c r="G468" s="4561" t="n"/>
      <c r="H468" s="4561" t="n"/>
      <c r="I468" s="4562">
        <f>XLOOKUP(B468,'_Sys|Line_Map'!$A:$A,'_Sys|Line_Map'!$C:$C,"MISSING",0)</f>
        <v/>
      </c>
      <c r="J468" s="4562">
        <f>XLOOKUP(B468,'_Sys|Line_Map'!$A:$A,'_Sys|Line_Map'!$D:$D,1,0)</f>
        <v/>
      </c>
      <c r="K468" s="4562">
        <f>IF(D468="","",D468*J468)</f>
        <v/>
      </c>
      <c r="L468" s="4562">
        <f>XLOOKUP(B468,'_Sys|Line_Map'!$A:$A,'_Sys|Line_Map'!$B:$B,"MISSING",0)</f>
        <v/>
      </c>
    </row>
    <row r="469">
      <c r="A469" s="4561" t="n"/>
      <c r="B469" s="4561" t="n"/>
      <c r="C469" s="4561" t="n"/>
      <c r="D469" s="4561" t="n"/>
      <c r="E469" s="4561" t="n"/>
      <c r="F469" s="4561" t="n"/>
      <c r="G469" s="4561" t="n"/>
      <c r="H469" s="4561" t="n"/>
      <c r="I469" s="4562">
        <f>XLOOKUP(B469,'_Sys|Line_Map'!$A:$A,'_Sys|Line_Map'!$C:$C,"MISSING",0)</f>
        <v/>
      </c>
      <c r="J469" s="4562">
        <f>XLOOKUP(B469,'_Sys|Line_Map'!$A:$A,'_Sys|Line_Map'!$D:$D,1,0)</f>
        <v/>
      </c>
      <c r="K469" s="4562">
        <f>IF(D469="","",D469*J469)</f>
        <v/>
      </c>
      <c r="L469" s="4562">
        <f>XLOOKUP(B469,'_Sys|Line_Map'!$A:$A,'_Sys|Line_Map'!$B:$B,"MISSING",0)</f>
        <v/>
      </c>
    </row>
    <row r="470">
      <c r="A470" s="4561" t="n"/>
      <c r="B470" s="4561" t="n"/>
      <c r="C470" s="4561" t="n"/>
      <c r="D470" s="4561" t="n"/>
      <c r="E470" s="4561" t="n"/>
      <c r="F470" s="4561" t="n"/>
      <c r="G470" s="4561" t="n"/>
      <c r="H470" s="4561" t="n"/>
      <c r="I470" s="4562">
        <f>XLOOKUP(B470,'_Sys|Line_Map'!$A:$A,'_Sys|Line_Map'!$C:$C,"MISSING",0)</f>
        <v/>
      </c>
      <c r="J470" s="4562">
        <f>XLOOKUP(B470,'_Sys|Line_Map'!$A:$A,'_Sys|Line_Map'!$D:$D,1,0)</f>
        <v/>
      </c>
      <c r="K470" s="4562">
        <f>IF(D470="","",D470*J470)</f>
        <v/>
      </c>
      <c r="L470" s="4562">
        <f>XLOOKUP(B470,'_Sys|Line_Map'!$A:$A,'_Sys|Line_Map'!$B:$B,"MISSING",0)</f>
        <v/>
      </c>
    </row>
    <row r="471">
      <c r="A471" s="4561" t="n"/>
      <c r="B471" s="4561" t="n"/>
      <c r="C471" s="4561" t="n"/>
      <c r="D471" s="4561" t="n"/>
      <c r="E471" s="4561" t="n"/>
      <c r="F471" s="4561" t="n"/>
      <c r="G471" s="4561" t="n"/>
      <c r="H471" s="4561" t="n"/>
      <c r="I471" s="4562">
        <f>XLOOKUP(B471,'_Sys|Line_Map'!$A:$A,'_Sys|Line_Map'!$C:$C,"MISSING",0)</f>
        <v/>
      </c>
      <c r="J471" s="4562">
        <f>XLOOKUP(B471,'_Sys|Line_Map'!$A:$A,'_Sys|Line_Map'!$D:$D,1,0)</f>
        <v/>
      </c>
      <c r="K471" s="4562">
        <f>IF(D471="","",D471*J471)</f>
        <v/>
      </c>
      <c r="L471" s="4562">
        <f>XLOOKUP(B471,'_Sys|Line_Map'!$A:$A,'_Sys|Line_Map'!$B:$B,"MISSING",0)</f>
        <v/>
      </c>
    </row>
    <row r="472">
      <c r="A472" s="4561" t="n"/>
      <c r="B472" s="4561" t="n"/>
      <c r="C472" s="4561" t="n"/>
      <c r="D472" s="4561" t="n"/>
      <c r="E472" s="4561" t="n"/>
      <c r="F472" s="4561" t="n"/>
      <c r="G472" s="4561" t="n"/>
      <c r="H472" s="4561" t="n"/>
      <c r="I472" s="4562">
        <f>XLOOKUP(B472,'_Sys|Line_Map'!$A:$A,'_Sys|Line_Map'!$C:$C,"MISSING",0)</f>
        <v/>
      </c>
      <c r="J472" s="4562">
        <f>XLOOKUP(B472,'_Sys|Line_Map'!$A:$A,'_Sys|Line_Map'!$D:$D,1,0)</f>
        <v/>
      </c>
      <c r="K472" s="4562">
        <f>IF(D472="","",D472*J472)</f>
        <v/>
      </c>
      <c r="L472" s="4562">
        <f>XLOOKUP(B472,'_Sys|Line_Map'!$A:$A,'_Sys|Line_Map'!$B:$B,"MISSING",0)</f>
        <v/>
      </c>
    </row>
    <row r="473">
      <c r="A473" s="4561" t="n"/>
      <c r="B473" s="4561" t="n"/>
      <c r="C473" s="4561" t="n"/>
      <c r="D473" s="4561" t="n"/>
      <c r="E473" s="4561" t="n"/>
      <c r="F473" s="4561" t="n"/>
      <c r="G473" s="4561" t="n"/>
      <c r="H473" s="4561" t="n"/>
      <c r="I473" s="4562">
        <f>XLOOKUP(B473,'_Sys|Line_Map'!$A:$A,'_Sys|Line_Map'!$C:$C,"MISSING",0)</f>
        <v/>
      </c>
      <c r="J473" s="4562">
        <f>XLOOKUP(B473,'_Sys|Line_Map'!$A:$A,'_Sys|Line_Map'!$D:$D,1,0)</f>
        <v/>
      </c>
      <c r="K473" s="4562">
        <f>IF(D473="","",D473*J473)</f>
        <v/>
      </c>
      <c r="L473" s="4562">
        <f>XLOOKUP(B473,'_Sys|Line_Map'!$A:$A,'_Sys|Line_Map'!$B:$B,"MISSING",0)</f>
        <v/>
      </c>
    </row>
    <row r="474">
      <c r="A474" s="4561" t="n"/>
      <c r="B474" s="4561" t="n"/>
      <c r="C474" s="4561" t="n"/>
      <c r="D474" s="4561" t="n"/>
      <c r="E474" s="4561" t="n"/>
      <c r="F474" s="4561" t="n"/>
      <c r="G474" s="4561" t="n"/>
      <c r="H474" s="4561" t="n"/>
      <c r="I474" s="4562">
        <f>XLOOKUP(B474,'_Sys|Line_Map'!$A:$A,'_Sys|Line_Map'!$C:$C,"MISSING",0)</f>
        <v/>
      </c>
      <c r="J474" s="4562">
        <f>XLOOKUP(B474,'_Sys|Line_Map'!$A:$A,'_Sys|Line_Map'!$D:$D,1,0)</f>
        <v/>
      </c>
      <c r="K474" s="4562">
        <f>IF(D474="","",D474*J474)</f>
        <v/>
      </c>
      <c r="L474" s="4562">
        <f>XLOOKUP(B474,'_Sys|Line_Map'!$A:$A,'_Sys|Line_Map'!$B:$B,"MISSING",0)</f>
        <v/>
      </c>
    </row>
    <row r="475">
      <c r="A475" s="4561" t="n"/>
      <c r="B475" s="4561" t="n"/>
      <c r="C475" s="4561" t="n"/>
      <c r="D475" s="4561" t="n"/>
      <c r="E475" s="4561" t="n"/>
      <c r="F475" s="4561" t="n"/>
      <c r="G475" s="4561" t="n"/>
      <c r="H475" s="4561" t="n"/>
      <c r="I475" s="4562">
        <f>XLOOKUP(B475,'_Sys|Line_Map'!$A:$A,'_Sys|Line_Map'!$C:$C,"MISSING",0)</f>
        <v/>
      </c>
      <c r="J475" s="4562">
        <f>XLOOKUP(B475,'_Sys|Line_Map'!$A:$A,'_Sys|Line_Map'!$D:$D,1,0)</f>
        <v/>
      </c>
      <c r="K475" s="4562">
        <f>IF(D475="","",D475*J475)</f>
        <v/>
      </c>
      <c r="L475" s="4562">
        <f>XLOOKUP(B475,'_Sys|Line_Map'!$A:$A,'_Sys|Line_Map'!$B:$B,"MISSING",0)</f>
        <v/>
      </c>
    </row>
    <row r="476">
      <c r="A476" s="4561" t="n"/>
      <c r="B476" s="4561" t="n"/>
      <c r="C476" s="4561" t="n"/>
      <c r="D476" s="4561" t="n"/>
      <c r="E476" s="4561" t="n"/>
      <c r="F476" s="4561" t="n"/>
      <c r="G476" s="4561" t="n"/>
      <c r="H476" s="4561" t="n"/>
      <c r="I476" s="4562">
        <f>XLOOKUP(B476,'_Sys|Line_Map'!$A:$A,'_Sys|Line_Map'!$C:$C,"MISSING",0)</f>
        <v/>
      </c>
      <c r="J476" s="4562">
        <f>XLOOKUP(B476,'_Sys|Line_Map'!$A:$A,'_Sys|Line_Map'!$D:$D,1,0)</f>
        <v/>
      </c>
      <c r="K476" s="4562">
        <f>IF(D476="","",D476*J476)</f>
        <v/>
      </c>
      <c r="L476" s="4562">
        <f>XLOOKUP(B476,'_Sys|Line_Map'!$A:$A,'_Sys|Line_Map'!$B:$B,"MISSING",0)</f>
        <v/>
      </c>
    </row>
    <row r="477">
      <c r="A477" s="4561" t="n"/>
      <c r="B477" s="4561" t="n"/>
      <c r="C477" s="4561" t="n"/>
      <c r="D477" s="4561" t="n"/>
      <c r="E477" s="4561" t="n"/>
      <c r="F477" s="4561" t="n"/>
      <c r="G477" s="4561" t="n"/>
      <c r="H477" s="4561" t="n"/>
      <c r="I477" s="4562">
        <f>XLOOKUP(B477,'_Sys|Line_Map'!$A:$A,'_Sys|Line_Map'!$C:$C,"MISSING",0)</f>
        <v/>
      </c>
      <c r="J477" s="4562">
        <f>XLOOKUP(B477,'_Sys|Line_Map'!$A:$A,'_Sys|Line_Map'!$D:$D,1,0)</f>
        <v/>
      </c>
      <c r="K477" s="4562">
        <f>IF(D477="","",D477*J477)</f>
        <v/>
      </c>
      <c r="L477" s="4562">
        <f>XLOOKUP(B477,'_Sys|Line_Map'!$A:$A,'_Sys|Line_Map'!$B:$B,"MISSING",0)</f>
        <v/>
      </c>
    </row>
    <row r="478">
      <c r="A478" s="4561" t="n"/>
      <c r="B478" s="4561" t="n"/>
      <c r="C478" s="4561" t="n"/>
      <c r="D478" s="4561" t="n"/>
      <c r="E478" s="4561" t="n"/>
      <c r="F478" s="4561" t="n"/>
      <c r="G478" s="4561" t="n"/>
      <c r="H478" s="4561" t="n"/>
      <c r="I478" s="4562">
        <f>XLOOKUP(B478,'_Sys|Line_Map'!$A:$A,'_Sys|Line_Map'!$C:$C,"MISSING",0)</f>
        <v/>
      </c>
      <c r="J478" s="4562">
        <f>XLOOKUP(B478,'_Sys|Line_Map'!$A:$A,'_Sys|Line_Map'!$D:$D,1,0)</f>
        <v/>
      </c>
      <c r="K478" s="4562">
        <f>IF(D478="","",D478*J478)</f>
        <v/>
      </c>
      <c r="L478" s="4562">
        <f>XLOOKUP(B478,'_Sys|Line_Map'!$A:$A,'_Sys|Line_Map'!$B:$B,"MISSING",0)</f>
        <v/>
      </c>
    </row>
    <row r="479">
      <c r="A479" s="4561" t="n"/>
      <c r="B479" s="4561" t="n"/>
      <c r="C479" s="4561" t="n"/>
      <c r="D479" s="4561" t="n"/>
      <c r="E479" s="4561" t="n"/>
      <c r="F479" s="4561" t="n"/>
      <c r="G479" s="4561" t="n"/>
      <c r="H479" s="4561" t="n"/>
      <c r="I479" s="4562">
        <f>XLOOKUP(B479,'_Sys|Line_Map'!$A:$A,'_Sys|Line_Map'!$C:$C,"MISSING",0)</f>
        <v/>
      </c>
      <c r="J479" s="4562">
        <f>XLOOKUP(B479,'_Sys|Line_Map'!$A:$A,'_Sys|Line_Map'!$D:$D,1,0)</f>
        <v/>
      </c>
      <c r="K479" s="4562">
        <f>IF(D479="","",D479*J479)</f>
        <v/>
      </c>
      <c r="L479" s="4562">
        <f>XLOOKUP(B479,'_Sys|Line_Map'!$A:$A,'_Sys|Line_Map'!$B:$B,"MISSING",0)</f>
        <v/>
      </c>
    </row>
    <row r="480">
      <c r="A480" s="4561" t="n"/>
      <c r="B480" s="4561" t="n"/>
      <c r="C480" s="4561" t="n"/>
      <c r="D480" s="4561" t="n"/>
      <c r="E480" s="4561" t="n"/>
      <c r="F480" s="4561" t="n"/>
      <c r="G480" s="4561" t="n"/>
      <c r="H480" s="4561" t="n"/>
      <c r="I480" s="4562">
        <f>XLOOKUP(B480,'_Sys|Line_Map'!$A:$A,'_Sys|Line_Map'!$C:$C,"MISSING",0)</f>
        <v/>
      </c>
      <c r="J480" s="4562">
        <f>XLOOKUP(B480,'_Sys|Line_Map'!$A:$A,'_Sys|Line_Map'!$D:$D,1,0)</f>
        <v/>
      </c>
      <c r="K480" s="4562">
        <f>IF(D480="","",D480*J480)</f>
        <v/>
      </c>
      <c r="L480" s="4562">
        <f>XLOOKUP(B480,'_Sys|Line_Map'!$A:$A,'_Sys|Line_Map'!$B:$B,"MISSING",0)</f>
        <v/>
      </c>
    </row>
    <row r="481">
      <c r="A481" s="4561" t="n"/>
      <c r="B481" s="4561" t="n"/>
      <c r="C481" s="4561" t="n"/>
      <c r="D481" s="4561" t="n"/>
      <c r="E481" s="4561" t="n"/>
      <c r="F481" s="4561" t="n"/>
      <c r="G481" s="4561" t="n"/>
      <c r="H481" s="4561" t="n"/>
      <c r="I481" s="4562">
        <f>XLOOKUP(B481,'_Sys|Line_Map'!$A:$A,'_Sys|Line_Map'!$C:$C,"MISSING",0)</f>
        <v/>
      </c>
      <c r="J481" s="4562">
        <f>XLOOKUP(B481,'_Sys|Line_Map'!$A:$A,'_Sys|Line_Map'!$D:$D,1,0)</f>
        <v/>
      </c>
      <c r="K481" s="4562">
        <f>IF(D481="","",D481*J481)</f>
        <v/>
      </c>
      <c r="L481" s="4562">
        <f>XLOOKUP(B481,'_Sys|Line_Map'!$A:$A,'_Sys|Line_Map'!$B:$B,"MISSING",0)</f>
        <v/>
      </c>
    </row>
    <row r="482">
      <c r="A482" s="4561" t="n"/>
      <c r="B482" s="4561" t="n"/>
      <c r="C482" s="4561" t="n"/>
      <c r="D482" s="4561" t="n"/>
      <c r="E482" s="4561" t="n"/>
      <c r="F482" s="4561" t="n"/>
      <c r="G482" s="4561" t="n"/>
      <c r="H482" s="4561" t="n"/>
      <c r="I482" s="4562">
        <f>XLOOKUP(B482,'_Sys|Line_Map'!$A:$A,'_Sys|Line_Map'!$C:$C,"MISSING",0)</f>
        <v/>
      </c>
      <c r="J482" s="4562">
        <f>XLOOKUP(B482,'_Sys|Line_Map'!$A:$A,'_Sys|Line_Map'!$D:$D,1,0)</f>
        <v/>
      </c>
      <c r="K482" s="4562">
        <f>IF(D482="","",D482*J482)</f>
        <v/>
      </c>
      <c r="L482" s="4562">
        <f>XLOOKUP(B482,'_Sys|Line_Map'!$A:$A,'_Sys|Line_Map'!$B:$B,"MISSING",0)</f>
        <v/>
      </c>
    </row>
    <row r="483">
      <c r="A483" s="4561" t="n"/>
      <c r="B483" s="4561" t="n"/>
      <c r="C483" s="4561" t="n"/>
      <c r="D483" s="4561" t="n"/>
      <c r="E483" s="4561" t="n"/>
      <c r="F483" s="4561" t="n"/>
      <c r="G483" s="4561" t="n"/>
      <c r="H483" s="4561" t="n"/>
      <c r="I483" s="4562">
        <f>XLOOKUP(B483,'_Sys|Line_Map'!$A:$A,'_Sys|Line_Map'!$C:$C,"MISSING",0)</f>
        <v/>
      </c>
      <c r="J483" s="4562">
        <f>XLOOKUP(B483,'_Sys|Line_Map'!$A:$A,'_Sys|Line_Map'!$D:$D,1,0)</f>
        <v/>
      </c>
      <c r="K483" s="4562">
        <f>IF(D483="","",D483*J483)</f>
        <v/>
      </c>
      <c r="L483" s="4562">
        <f>XLOOKUP(B483,'_Sys|Line_Map'!$A:$A,'_Sys|Line_Map'!$B:$B,"MISSING",0)</f>
        <v/>
      </c>
    </row>
    <row r="484">
      <c r="A484" s="4561" t="n"/>
      <c r="B484" s="4561" t="n"/>
      <c r="C484" s="4561" t="n"/>
      <c r="D484" s="4561" t="n"/>
      <c r="E484" s="4561" t="n"/>
      <c r="F484" s="4561" t="n"/>
      <c r="G484" s="4561" t="n"/>
      <c r="H484" s="4561" t="n"/>
      <c r="I484" s="4562">
        <f>XLOOKUP(B484,'_Sys|Line_Map'!$A:$A,'_Sys|Line_Map'!$C:$C,"MISSING",0)</f>
        <v/>
      </c>
      <c r="J484" s="4562">
        <f>XLOOKUP(B484,'_Sys|Line_Map'!$A:$A,'_Sys|Line_Map'!$D:$D,1,0)</f>
        <v/>
      </c>
      <c r="K484" s="4562">
        <f>IF(D484="","",D484*J484)</f>
        <v/>
      </c>
      <c r="L484" s="4562">
        <f>XLOOKUP(B484,'_Sys|Line_Map'!$A:$A,'_Sys|Line_Map'!$B:$B,"MISSING",0)</f>
        <v/>
      </c>
    </row>
    <row r="485">
      <c r="A485" s="4561" t="n"/>
      <c r="B485" s="4561" t="n"/>
      <c r="C485" s="4561" t="n"/>
      <c r="D485" s="4561" t="n"/>
      <c r="E485" s="4561" t="n"/>
      <c r="F485" s="4561" t="n"/>
      <c r="G485" s="4561" t="n"/>
      <c r="H485" s="4561" t="n"/>
      <c r="I485" s="4562">
        <f>XLOOKUP(B485,'_Sys|Line_Map'!$A:$A,'_Sys|Line_Map'!$C:$C,"MISSING",0)</f>
        <v/>
      </c>
      <c r="J485" s="4562">
        <f>XLOOKUP(B485,'_Sys|Line_Map'!$A:$A,'_Sys|Line_Map'!$D:$D,1,0)</f>
        <v/>
      </c>
      <c r="K485" s="4562">
        <f>IF(D485="","",D485*J485)</f>
        <v/>
      </c>
      <c r="L485" s="4562">
        <f>XLOOKUP(B485,'_Sys|Line_Map'!$A:$A,'_Sys|Line_Map'!$B:$B,"MISSING",0)</f>
        <v/>
      </c>
    </row>
    <row r="486">
      <c r="A486" s="4561" t="n"/>
      <c r="B486" s="4561" t="n"/>
      <c r="C486" s="4561" t="n"/>
      <c r="D486" s="4561" t="n"/>
      <c r="E486" s="4561" t="n"/>
      <c r="F486" s="4561" t="n"/>
      <c r="G486" s="4561" t="n"/>
      <c r="H486" s="4561" t="n"/>
      <c r="I486" s="4562">
        <f>XLOOKUP(B486,'_Sys|Line_Map'!$A:$A,'_Sys|Line_Map'!$C:$C,"MISSING",0)</f>
        <v/>
      </c>
      <c r="J486" s="4562">
        <f>XLOOKUP(B486,'_Sys|Line_Map'!$A:$A,'_Sys|Line_Map'!$D:$D,1,0)</f>
        <v/>
      </c>
      <c r="K486" s="4562">
        <f>IF(D486="","",D486*J486)</f>
        <v/>
      </c>
      <c r="L486" s="4562">
        <f>XLOOKUP(B486,'_Sys|Line_Map'!$A:$A,'_Sys|Line_Map'!$B:$B,"MISSING",0)</f>
        <v/>
      </c>
    </row>
    <row r="487">
      <c r="A487" s="4561" t="n"/>
      <c r="B487" s="4561" t="n"/>
      <c r="C487" s="4561" t="n"/>
      <c r="D487" s="4561" t="n"/>
      <c r="E487" s="4561" t="n"/>
      <c r="F487" s="4561" t="n"/>
      <c r="G487" s="4561" t="n"/>
      <c r="H487" s="4561" t="n"/>
      <c r="I487" s="4562">
        <f>XLOOKUP(B487,'_Sys|Line_Map'!$A:$A,'_Sys|Line_Map'!$C:$C,"MISSING",0)</f>
        <v/>
      </c>
      <c r="J487" s="4562">
        <f>XLOOKUP(B487,'_Sys|Line_Map'!$A:$A,'_Sys|Line_Map'!$D:$D,1,0)</f>
        <v/>
      </c>
      <c r="K487" s="4562">
        <f>IF(D487="","",D487*J487)</f>
        <v/>
      </c>
      <c r="L487" s="4562">
        <f>XLOOKUP(B487,'_Sys|Line_Map'!$A:$A,'_Sys|Line_Map'!$B:$B,"MISSING",0)</f>
        <v/>
      </c>
    </row>
    <row r="488">
      <c r="A488" s="4561" t="n"/>
      <c r="B488" s="4561" t="n"/>
      <c r="C488" s="4561" t="n"/>
      <c r="D488" s="4561" t="n"/>
      <c r="E488" s="4561" t="n"/>
      <c r="F488" s="4561" t="n"/>
      <c r="G488" s="4561" t="n"/>
      <c r="H488" s="4561" t="n"/>
      <c r="I488" s="4562">
        <f>XLOOKUP(B488,'_Sys|Line_Map'!$A:$A,'_Sys|Line_Map'!$C:$C,"MISSING",0)</f>
        <v/>
      </c>
      <c r="J488" s="4562">
        <f>XLOOKUP(B488,'_Sys|Line_Map'!$A:$A,'_Sys|Line_Map'!$D:$D,1,0)</f>
        <v/>
      </c>
      <c r="K488" s="4562">
        <f>IF(D488="","",D488*J488)</f>
        <v/>
      </c>
      <c r="L488" s="4562">
        <f>XLOOKUP(B488,'_Sys|Line_Map'!$A:$A,'_Sys|Line_Map'!$B:$B,"MISSING",0)</f>
        <v/>
      </c>
    </row>
    <row r="489">
      <c r="A489" s="4561" t="n"/>
      <c r="B489" s="4561" t="n"/>
      <c r="C489" s="4561" t="n"/>
      <c r="D489" s="4561" t="n"/>
      <c r="E489" s="4561" t="n"/>
      <c r="F489" s="4561" t="n"/>
      <c r="G489" s="4561" t="n"/>
      <c r="H489" s="4561" t="n"/>
      <c r="I489" s="4562">
        <f>XLOOKUP(B489,'_Sys|Line_Map'!$A:$A,'_Sys|Line_Map'!$C:$C,"MISSING",0)</f>
        <v/>
      </c>
      <c r="J489" s="4562">
        <f>XLOOKUP(B489,'_Sys|Line_Map'!$A:$A,'_Sys|Line_Map'!$D:$D,1,0)</f>
        <v/>
      </c>
      <c r="K489" s="4562">
        <f>IF(D489="","",D489*J489)</f>
        <v/>
      </c>
      <c r="L489" s="4562">
        <f>XLOOKUP(B489,'_Sys|Line_Map'!$A:$A,'_Sys|Line_Map'!$B:$B,"MISSING",0)</f>
        <v/>
      </c>
    </row>
    <row r="490">
      <c r="A490" s="4561" t="n"/>
      <c r="B490" s="4561" t="n"/>
      <c r="C490" s="4561" t="n"/>
      <c r="D490" s="4561" t="n"/>
      <c r="E490" s="4561" t="n"/>
      <c r="F490" s="4561" t="n"/>
      <c r="G490" s="4561" t="n"/>
      <c r="H490" s="4561" t="n"/>
      <c r="I490" s="4562">
        <f>XLOOKUP(B490,'_Sys|Line_Map'!$A:$A,'_Sys|Line_Map'!$C:$C,"MISSING",0)</f>
        <v/>
      </c>
      <c r="J490" s="4562">
        <f>XLOOKUP(B490,'_Sys|Line_Map'!$A:$A,'_Sys|Line_Map'!$D:$D,1,0)</f>
        <v/>
      </c>
      <c r="K490" s="4562">
        <f>IF(D490="","",D490*J490)</f>
        <v/>
      </c>
      <c r="L490" s="4562">
        <f>XLOOKUP(B490,'_Sys|Line_Map'!$A:$A,'_Sys|Line_Map'!$B:$B,"MISSING",0)</f>
        <v/>
      </c>
    </row>
    <row r="491">
      <c r="A491" s="4561" t="n"/>
      <c r="B491" s="4561" t="n"/>
      <c r="C491" s="4561" t="n"/>
      <c r="D491" s="4561" t="n"/>
      <c r="E491" s="4561" t="n"/>
      <c r="F491" s="4561" t="n"/>
      <c r="G491" s="4561" t="n"/>
      <c r="H491" s="4561" t="n"/>
      <c r="I491" s="4562">
        <f>XLOOKUP(B491,'_Sys|Line_Map'!$A:$A,'_Sys|Line_Map'!$C:$C,"MISSING",0)</f>
        <v/>
      </c>
      <c r="J491" s="4562">
        <f>XLOOKUP(B491,'_Sys|Line_Map'!$A:$A,'_Sys|Line_Map'!$D:$D,1,0)</f>
        <v/>
      </c>
      <c r="K491" s="4562">
        <f>IF(D491="","",D491*J491)</f>
        <v/>
      </c>
      <c r="L491" s="4562">
        <f>XLOOKUP(B491,'_Sys|Line_Map'!$A:$A,'_Sys|Line_Map'!$B:$B,"MISSING",0)</f>
        <v/>
      </c>
    </row>
    <row r="492">
      <c r="A492" s="4561" t="n"/>
      <c r="B492" s="4561" t="n"/>
      <c r="C492" s="4561" t="n"/>
      <c r="D492" s="4561" t="n"/>
      <c r="E492" s="4561" t="n"/>
      <c r="F492" s="4561" t="n"/>
      <c r="G492" s="4561" t="n"/>
      <c r="H492" s="4561" t="n"/>
      <c r="I492" s="4562">
        <f>XLOOKUP(B492,'_Sys|Line_Map'!$A:$A,'_Sys|Line_Map'!$C:$C,"MISSING",0)</f>
        <v/>
      </c>
      <c r="J492" s="4562">
        <f>XLOOKUP(B492,'_Sys|Line_Map'!$A:$A,'_Sys|Line_Map'!$D:$D,1,0)</f>
        <v/>
      </c>
      <c r="K492" s="4562">
        <f>IF(D492="","",D492*J492)</f>
        <v/>
      </c>
      <c r="L492" s="4562">
        <f>XLOOKUP(B492,'_Sys|Line_Map'!$A:$A,'_Sys|Line_Map'!$B:$B,"MISSING",0)</f>
        <v/>
      </c>
    </row>
    <row r="493">
      <c r="A493" s="4561" t="n"/>
      <c r="B493" s="4561" t="n"/>
      <c r="C493" s="4561" t="n"/>
      <c r="D493" s="4561" t="n"/>
      <c r="E493" s="4561" t="n"/>
      <c r="F493" s="4561" t="n"/>
      <c r="G493" s="4561" t="n"/>
      <c r="H493" s="4561" t="n"/>
      <c r="I493" s="4562">
        <f>XLOOKUP(B493,'_Sys|Line_Map'!$A:$A,'_Sys|Line_Map'!$C:$C,"MISSING",0)</f>
        <v/>
      </c>
      <c r="J493" s="4562">
        <f>XLOOKUP(B493,'_Sys|Line_Map'!$A:$A,'_Sys|Line_Map'!$D:$D,1,0)</f>
        <v/>
      </c>
      <c r="K493" s="4562">
        <f>IF(D493="","",D493*J493)</f>
        <v/>
      </c>
      <c r="L493" s="4562">
        <f>XLOOKUP(B493,'_Sys|Line_Map'!$A:$A,'_Sys|Line_Map'!$B:$B,"MISSING",0)</f>
        <v/>
      </c>
    </row>
    <row r="494">
      <c r="A494" s="4561" t="n"/>
      <c r="B494" s="4561" t="n"/>
      <c r="C494" s="4561" t="n"/>
      <c r="D494" s="4561" t="n"/>
      <c r="E494" s="4561" t="n"/>
      <c r="F494" s="4561" t="n"/>
      <c r="G494" s="4561" t="n"/>
      <c r="H494" s="4561" t="n"/>
      <c r="I494" s="4562">
        <f>XLOOKUP(B494,'_Sys|Line_Map'!$A:$A,'_Sys|Line_Map'!$C:$C,"MISSING",0)</f>
        <v/>
      </c>
      <c r="J494" s="4562">
        <f>XLOOKUP(B494,'_Sys|Line_Map'!$A:$A,'_Sys|Line_Map'!$D:$D,1,0)</f>
        <v/>
      </c>
      <c r="K494" s="4562">
        <f>IF(D494="","",D494*J494)</f>
        <v/>
      </c>
      <c r="L494" s="4562">
        <f>XLOOKUP(B494,'_Sys|Line_Map'!$A:$A,'_Sys|Line_Map'!$B:$B,"MISSING",0)</f>
        <v/>
      </c>
    </row>
    <row r="495">
      <c r="A495" s="4561" t="n"/>
      <c r="B495" s="4561" t="n"/>
      <c r="C495" s="4561" t="n"/>
      <c r="D495" s="4561" t="n"/>
      <c r="E495" s="4561" t="n"/>
      <c r="F495" s="4561" t="n"/>
      <c r="G495" s="4561" t="n"/>
      <c r="H495" s="4561" t="n"/>
      <c r="I495" s="4562">
        <f>XLOOKUP(B495,'_Sys|Line_Map'!$A:$A,'_Sys|Line_Map'!$C:$C,"MISSING",0)</f>
        <v/>
      </c>
      <c r="J495" s="4562">
        <f>XLOOKUP(B495,'_Sys|Line_Map'!$A:$A,'_Sys|Line_Map'!$D:$D,1,0)</f>
        <v/>
      </c>
      <c r="K495" s="4562">
        <f>IF(D495="","",D495*J495)</f>
        <v/>
      </c>
      <c r="L495" s="4562">
        <f>XLOOKUP(B495,'_Sys|Line_Map'!$A:$A,'_Sys|Line_Map'!$B:$B,"MISSING",0)</f>
        <v/>
      </c>
    </row>
    <row r="496">
      <c r="A496" s="4561" t="n"/>
      <c r="B496" s="4561" t="n"/>
      <c r="C496" s="4561" t="n"/>
      <c r="D496" s="4561" t="n"/>
      <c r="E496" s="4561" t="n"/>
      <c r="F496" s="4561" t="n"/>
      <c r="G496" s="4561" t="n"/>
      <c r="H496" s="4561" t="n"/>
      <c r="I496" s="4562">
        <f>XLOOKUP(B496,'_Sys|Line_Map'!$A:$A,'_Sys|Line_Map'!$C:$C,"MISSING",0)</f>
        <v/>
      </c>
      <c r="J496" s="4562">
        <f>XLOOKUP(B496,'_Sys|Line_Map'!$A:$A,'_Sys|Line_Map'!$D:$D,1,0)</f>
        <v/>
      </c>
      <c r="K496" s="4562">
        <f>IF(D496="","",D496*J496)</f>
        <v/>
      </c>
      <c r="L496" s="4562">
        <f>XLOOKUP(B496,'_Sys|Line_Map'!$A:$A,'_Sys|Line_Map'!$B:$B,"MISSING",0)</f>
        <v/>
      </c>
    </row>
    <row r="497">
      <c r="A497" s="4561" t="n"/>
      <c r="B497" s="4561" t="n"/>
      <c r="C497" s="4561" t="n"/>
      <c r="D497" s="4561" t="n"/>
      <c r="E497" s="4561" t="n"/>
      <c r="F497" s="4561" t="n"/>
      <c r="G497" s="4561" t="n"/>
      <c r="H497" s="4561" t="n"/>
      <c r="I497" s="4562">
        <f>XLOOKUP(B497,'_Sys|Line_Map'!$A:$A,'_Sys|Line_Map'!$C:$C,"MISSING",0)</f>
        <v/>
      </c>
      <c r="J497" s="4562">
        <f>XLOOKUP(B497,'_Sys|Line_Map'!$A:$A,'_Sys|Line_Map'!$D:$D,1,0)</f>
        <v/>
      </c>
      <c r="K497" s="4562">
        <f>IF(D497="","",D497*J497)</f>
        <v/>
      </c>
      <c r="L497" s="4562">
        <f>XLOOKUP(B497,'_Sys|Line_Map'!$A:$A,'_Sys|Line_Map'!$B:$B,"MISSING",0)</f>
        <v/>
      </c>
    </row>
    <row r="498">
      <c r="A498" s="4561" t="n"/>
      <c r="B498" s="4561" t="n"/>
      <c r="C498" s="4561" t="n"/>
      <c r="D498" s="4561" t="n"/>
      <c r="E498" s="4561" t="n"/>
      <c r="F498" s="4561" t="n"/>
      <c r="G498" s="4561" t="n"/>
      <c r="H498" s="4561" t="n"/>
      <c r="I498" s="4562">
        <f>XLOOKUP(B498,'_Sys|Line_Map'!$A:$A,'_Sys|Line_Map'!$C:$C,"MISSING",0)</f>
        <v/>
      </c>
      <c r="J498" s="4562">
        <f>XLOOKUP(B498,'_Sys|Line_Map'!$A:$A,'_Sys|Line_Map'!$D:$D,1,0)</f>
        <v/>
      </c>
      <c r="K498" s="4562">
        <f>IF(D498="","",D498*J498)</f>
        <v/>
      </c>
      <c r="L498" s="4562">
        <f>XLOOKUP(B498,'_Sys|Line_Map'!$A:$A,'_Sys|Line_Map'!$B:$B,"MISSING",0)</f>
        <v/>
      </c>
    </row>
    <row r="499">
      <c r="A499" s="4561" t="n"/>
      <c r="B499" s="4561" t="n"/>
      <c r="C499" s="4561" t="n"/>
      <c r="D499" s="4561" t="n"/>
      <c r="E499" s="4561" t="n"/>
      <c r="F499" s="4561" t="n"/>
      <c r="G499" s="4561" t="n"/>
      <c r="H499" s="4561" t="n"/>
      <c r="I499" s="4562">
        <f>XLOOKUP(B499,'_Sys|Line_Map'!$A:$A,'_Sys|Line_Map'!$C:$C,"MISSING",0)</f>
        <v/>
      </c>
      <c r="J499" s="4562">
        <f>XLOOKUP(B499,'_Sys|Line_Map'!$A:$A,'_Sys|Line_Map'!$D:$D,1,0)</f>
        <v/>
      </c>
      <c r="K499" s="4562">
        <f>IF(D499="","",D499*J499)</f>
        <v/>
      </c>
      <c r="L499" s="4562">
        <f>XLOOKUP(B499,'_Sys|Line_Map'!$A:$A,'_Sys|Line_Map'!$B:$B,"MISSING",0)</f>
        <v/>
      </c>
    </row>
    <row r="500">
      <c r="A500" s="4561" t="n"/>
      <c r="B500" s="4561" t="n"/>
      <c r="C500" s="4561" t="n"/>
      <c r="D500" s="4561" t="n"/>
      <c r="E500" s="4561" t="n"/>
      <c r="F500" s="4561" t="n"/>
      <c r="G500" s="4561" t="n"/>
      <c r="H500" s="4561" t="n"/>
      <c r="I500" s="4562">
        <f>XLOOKUP(B500,'_Sys|Line_Map'!$A:$A,'_Sys|Line_Map'!$C:$C,"MISSING",0)</f>
        <v/>
      </c>
      <c r="J500" s="4562">
        <f>XLOOKUP(B500,'_Sys|Line_Map'!$A:$A,'_Sys|Line_Map'!$D:$D,1,0)</f>
        <v/>
      </c>
      <c r="K500" s="4562">
        <f>IF(D500="","",D500*J500)</f>
        <v/>
      </c>
      <c r="L500" s="4562">
        <f>XLOOKUP(B500,'_Sys|Line_Map'!$A:$A,'_Sys|Line_Map'!$B:$B,"MISSING",0)</f>
        <v/>
      </c>
    </row>
    <row r="501">
      <c r="A501" s="4561" t="n"/>
      <c r="B501" s="4561" t="n"/>
      <c r="C501" s="4561" t="n"/>
      <c r="D501" s="4561" t="n"/>
      <c r="E501" s="4561" t="n"/>
      <c r="F501" s="4561" t="n"/>
      <c r="G501" s="4561" t="n"/>
      <c r="H501" s="4561" t="n"/>
      <c r="I501" s="4562">
        <f>XLOOKUP(B501,'_Sys|Line_Map'!$A:$A,'_Sys|Line_Map'!$C:$C,"MISSING",0)</f>
        <v/>
      </c>
      <c r="J501" s="4562">
        <f>XLOOKUP(B501,'_Sys|Line_Map'!$A:$A,'_Sys|Line_Map'!$D:$D,1,0)</f>
        <v/>
      </c>
      <c r="K501" s="4562">
        <f>IF(D501="","",D501*J501)</f>
        <v/>
      </c>
      <c r="L501" s="4562">
        <f>XLOOKUP(B501,'_Sys|Line_Map'!$A:$A,'_Sys|Line_Map'!$B:$B,"MISSING",0)</f>
        <v/>
      </c>
    </row>
    <row r="502">
      <c r="A502" s="4561" t="n"/>
      <c r="B502" s="4561" t="n"/>
      <c r="C502" s="4561" t="n"/>
      <c r="D502" s="4561" t="n"/>
      <c r="E502" s="4561" t="n"/>
      <c r="F502" s="4561" t="n"/>
      <c r="G502" s="4561" t="n"/>
      <c r="H502" s="4561" t="n"/>
      <c r="I502" s="4562">
        <f>XLOOKUP(B502,'_Sys|Line_Map'!$A:$A,'_Sys|Line_Map'!$C:$C,"MISSING",0)</f>
        <v/>
      </c>
      <c r="J502" s="4562">
        <f>XLOOKUP(B502,'_Sys|Line_Map'!$A:$A,'_Sys|Line_Map'!$D:$D,1,0)</f>
        <v/>
      </c>
      <c r="K502" s="4562">
        <f>IF(D502="","",D502*J502)</f>
        <v/>
      </c>
      <c r="L502" s="4562">
        <f>XLOOKUP(B502,'_Sys|Line_Map'!$A:$A,'_Sys|Line_Map'!$B:$B,"MISSING",0)</f>
        <v/>
      </c>
    </row>
    <row r="503">
      <c r="A503" s="4561" t="n"/>
      <c r="B503" s="4561" t="n"/>
      <c r="C503" s="4561" t="n"/>
      <c r="D503" s="4561" t="n"/>
      <c r="E503" s="4561" t="n"/>
      <c r="F503" s="4561" t="n"/>
      <c r="G503" s="4561" t="n"/>
      <c r="H503" s="4561" t="n"/>
      <c r="I503" s="4562">
        <f>XLOOKUP(B503,'_Sys|Line_Map'!$A:$A,'_Sys|Line_Map'!$C:$C,"MISSING",0)</f>
        <v/>
      </c>
      <c r="J503" s="4562">
        <f>XLOOKUP(B503,'_Sys|Line_Map'!$A:$A,'_Sys|Line_Map'!$D:$D,1,0)</f>
        <v/>
      </c>
      <c r="K503" s="4562">
        <f>IF(D503="","",D503*J503)</f>
        <v/>
      </c>
      <c r="L503" s="4562">
        <f>XLOOKUP(B503,'_Sys|Line_Map'!$A:$A,'_Sys|Line_Map'!$B:$B,"MISSING",0)</f>
        <v/>
      </c>
    </row>
    <row r="504">
      <c r="A504" s="4561" t="n"/>
      <c r="B504" s="4561" t="n"/>
      <c r="C504" s="4561" t="n"/>
      <c r="D504" s="4561" t="n"/>
      <c r="E504" s="4561" t="n"/>
      <c r="F504" s="4561" t="n"/>
      <c r="G504" s="4561" t="n"/>
      <c r="H504" s="4561" t="n"/>
      <c r="I504" s="4562">
        <f>XLOOKUP(B504,'_Sys|Line_Map'!$A:$A,'_Sys|Line_Map'!$C:$C,"MISSING",0)</f>
        <v/>
      </c>
      <c r="J504" s="4562">
        <f>XLOOKUP(B504,'_Sys|Line_Map'!$A:$A,'_Sys|Line_Map'!$D:$D,1,0)</f>
        <v/>
      </c>
      <c r="K504" s="4562">
        <f>IF(D504="","",D504*J504)</f>
        <v/>
      </c>
      <c r="L504" s="4562">
        <f>XLOOKUP(B504,'_Sys|Line_Map'!$A:$A,'_Sys|Line_Map'!$B:$B,"MISSING",0)</f>
        <v/>
      </c>
    </row>
    <row r="505">
      <c r="A505" s="4561" t="n"/>
      <c r="B505" s="4561" t="n"/>
      <c r="C505" s="4561" t="n"/>
      <c r="D505" s="4561" t="n"/>
      <c r="E505" s="4561" t="n"/>
      <c r="F505" s="4561" t="n"/>
      <c r="G505" s="4561" t="n"/>
      <c r="H505" s="4561" t="n"/>
      <c r="I505" s="4562">
        <f>XLOOKUP(B505,'_Sys|Line_Map'!$A:$A,'_Sys|Line_Map'!$C:$C,"MISSING",0)</f>
        <v/>
      </c>
      <c r="J505" s="4562">
        <f>XLOOKUP(B505,'_Sys|Line_Map'!$A:$A,'_Sys|Line_Map'!$D:$D,1,0)</f>
        <v/>
      </c>
      <c r="K505" s="4562">
        <f>IF(D505="","",D505*J505)</f>
        <v/>
      </c>
      <c r="L505" s="4562">
        <f>XLOOKUP(B505,'_Sys|Line_Map'!$A:$A,'_Sys|Line_Map'!$B:$B,"MISSING",0)</f>
        <v/>
      </c>
    </row>
    <row r="506">
      <c r="A506" s="4561" t="n"/>
      <c r="B506" s="4561" t="n"/>
      <c r="C506" s="4561" t="n"/>
      <c r="D506" s="4561" t="n"/>
      <c r="E506" s="4561" t="n"/>
      <c r="F506" s="4561" t="n"/>
      <c r="G506" s="4561" t="n"/>
      <c r="H506" s="4561" t="n"/>
      <c r="I506" s="4562">
        <f>XLOOKUP(B506,'_Sys|Line_Map'!$A:$A,'_Sys|Line_Map'!$C:$C,"MISSING",0)</f>
        <v/>
      </c>
      <c r="J506" s="4562">
        <f>XLOOKUP(B506,'_Sys|Line_Map'!$A:$A,'_Sys|Line_Map'!$D:$D,1,0)</f>
        <v/>
      </c>
      <c r="K506" s="4562">
        <f>IF(D506="","",D506*J506)</f>
        <v/>
      </c>
      <c r="L506" s="4562">
        <f>XLOOKUP(B506,'_Sys|Line_Map'!$A:$A,'_Sys|Line_Map'!$B:$B,"MISSING",0)</f>
        <v/>
      </c>
    </row>
    <row r="507">
      <c r="A507" s="4561" t="n"/>
      <c r="B507" s="4561" t="n"/>
      <c r="C507" s="4561" t="n"/>
      <c r="D507" s="4561" t="n"/>
      <c r="E507" s="4561" t="n"/>
      <c r="F507" s="4561" t="n"/>
      <c r="G507" s="4561" t="n"/>
      <c r="H507" s="4561" t="n"/>
      <c r="I507" s="4562">
        <f>XLOOKUP(B507,'_Sys|Line_Map'!$A:$A,'_Sys|Line_Map'!$C:$C,"MISSING",0)</f>
        <v/>
      </c>
      <c r="J507" s="4562">
        <f>XLOOKUP(B507,'_Sys|Line_Map'!$A:$A,'_Sys|Line_Map'!$D:$D,1,0)</f>
        <v/>
      </c>
      <c r="K507" s="4562">
        <f>IF(D507="","",D507*J507)</f>
        <v/>
      </c>
      <c r="L507" s="4562">
        <f>XLOOKUP(B507,'_Sys|Line_Map'!$A:$A,'_Sys|Line_Map'!$B:$B,"MISSING",0)</f>
        <v/>
      </c>
    </row>
    <row r="508">
      <c r="A508" s="4561" t="n"/>
      <c r="B508" s="4561" t="n"/>
      <c r="C508" s="4561" t="n"/>
      <c r="D508" s="4561" t="n"/>
      <c r="E508" s="4561" t="n"/>
      <c r="F508" s="4561" t="n"/>
      <c r="G508" s="4561" t="n"/>
      <c r="H508" s="4561" t="n"/>
      <c r="I508" s="4562">
        <f>XLOOKUP(B508,'_Sys|Line_Map'!$A:$A,'_Sys|Line_Map'!$C:$C,"MISSING",0)</f>
        <v/>
      </c>
      <c r="J508" s="4562">
        <f>XLOOKUP(B508,'_Sys|Line_Map'!$A:$A,'_Sys|Line_Map'!$D:$D,1,0)</f>
        <v/>
      </c>
      <c r="K508" s="4562">
        <f>IF(D508="","",D508*J508)</f>
        <v/>
      </c>
      <c r="L508" s="4562">
        <f>XLOOKUP(B508,'_Sys|Line_Map'!$A:$A,'_Sys|Line_Map'!$B:$B,"MISSING",0)</f>
        <v/>
      </c>
    </row>
    <row r="509">
      <c r="A509" s="4561" t="n"/>
      <c r="B509" s="4561" t="n"/>
      <c r="C509" s="4561" t="n"/>
      <c r="D509" s="4561" t="n"/>
      <c r="E509" s="4561" t="n"/>
      <c r="F509" s="4561" t="n"/>
      <c r="G509" s="4561" t="n"/>
      <c r="H509" s="4561" t="n"/>
      <c r="I509" s="4562">
        <f>XLOOKUP(B509,'_Sys|Line_Map'!$A:$A,'_Sys|Line_Map'!$C:$C,"MISSING",0)</f>
        <v/>
      </c>
      <c r="J509" s="4562">
        <f>XLOOKUP(B509,'_Sys|Line_Map'!$A:$A,'_Sys|Line_Map'!$D:$D,1,0)</f>
        <v/>
      </c>
      <c r="K509" s="4562">
        <f>IF(D509="","",D509*J509)</f>
        <v/>
      </c>
      <c r="L509" s="4562">
        <f>XLOOKUP(B509,'_Sys|Line_Map'!$A:$A,'_Sys|Line_Map'!$B:$B,"MISSING",0)</f>
        <v/>
      </c>
    </row>
    <row r="510">
      <c r="A510" s="4561" t="n"/>
      <c r="B510" s="4561" t="n"/>
      <c r="C510" s="4561" t="n"/>
      <c r="D510" s="4561" t="n"/>
      <c r="E510" s="4561" t="n"/>
      <c r="F510" s="4561" t="n"/>
      <c r="G510" s="4561" t="n"/>
      <c r="H510" s="4561" t="n"/>
      <c r="I510" s="4562">
        <f>XLOOKUP(B510,'_Sys|Line_Map'!$A:$A,'_Sys|Line_Map'!$C:$C,"MISSING",0)</f>
        <v/>
      </c>
      <c r="J510" s="4562">
        <f>XLOOKUP(B510,'_Sys|Line_Map'!$A:$A,'_Sys|Line_Map'!$D:$D,1,0)</f>
        <v/>
      </c>
      <c r="K510" s="4562">
        <f>IF(D510="","",D510*J510)</f>
        <v/>
      </c>
      <c r="L510" s="4562">
        <f>XLOOKUP(B510,'_Sys|Line_Map'!$A:$A,'_Sys|Line_Map'!$B:$B,"MISSING",0)</f>
        <v/>
      </c>
    </row>
    <row r="511">
      <c r="A511" s="4561" t="n"/>
      <c r="B511" s="4561" t="n"/>
      <c r="C511" s="4561" t="n"/>
      <c r="D511" s="4561" t="n"/>
      <c r="E511" s="4561" t="n"/>
      <c r="F511" s="4561" t="n"/>
      <c r="G511" s="4561" t="n"/>
      <c r="H511" s="4561" t="n"/>
      <c r="I511" s="4562">
        <f>XLOOKUP(B511,'_Sys|Line_Map'!$A:$A,'_Sys|Line_Map'!$C:$C,"MISSING",0)</f>
        <v/>
      </c>
      <c r="J511" s="4562">
        <f>XLOOKUP(B511,'_Sys|Line_Map'!$A:$A,'_Sys|Line_Map'!$D:$D,1,0)</f>
        <v/>
      </c>
      <c r="K511" s="4562">
        <f>IF(D511="","",D511*J511)</f>
        <v/>
      </c>
      <c r="L511" s="4562">
        <f>XLOOKUP(B511,'_Sys|Line_Map'!$A:$A,'_Sys|Line_Map'!$B:$B,"MISSING",0)</f>
        <v/>
      </c>
    </row>
    <row r="512">
      <c r="A512" s="4561" t="n"/>
      <c r="B512" s="4561" t="n"/>
      <c r="C512" s="4561" t="n"/>
      <c r="D512" s="4561" t="n"/>
      <c r="E512" s="4561" t="n"/>
      <c r="F512" s="4561" t="n"/>
      <c r="G512" s="4561" t="n"/>
      <c r="H512" s="4561" t="n"/>
      <c r="I512" s="4562">
        <f>XLOOKUP(B512,'_Sys|Line_Map'!$A:$A,'_Sys|Line_Map'!$C:$C,"MISSING",0)</f>
        <v/>
      </c>
      <c r="J512" s="4562">
        <f>XLOOKUP(B512,'_Sys|Line_Map'!$A:$A,'_Sys|Line_Map'!$D:$D,1,0)</f>
        <v/>
      </c>
      <c r="K512" s="4562">
        <f>IF(D512="","",D512*J512)</f>
        <v/>
      </c>
      <c r="L512" s="4562">
        <f>XLOOKUP(B512,'_Sys|Line_Map'!$A:$A,'_Sys|Line_Map'!$B:$B,"MISSING",0)</f>
        <v/>
      </c>
    </row>
    <row r="513">
      <c r="A513" s="4561" t="n"/>
      <c r="B513" s="4561" t="n"/>
      <c r="C513" s="4561" t="n"/>
      <c r="D513" s="4561" t="n"/>
      <c r="E513" s="4561" t="n"/>
      <c r="F513" s="4561" t="n"/>
      <c r="G513" s="4561" t="n"/>
      <c r="H513" s="4561" t="n"/>
      <c r="I513" s="4562">
        <f>XLOOKUP(B513,'_Sys|Line_Map'!$A:$A,'_Sys|Line_Map'!$C:$C,"MISSING",0)</f>
        <v/>
      </c>
      <c r="J513" s="4562">
        <f>XLOOKUP(B513,'_Sys|Line_Map'!$A:$A,'_Sys|Line_Map'!$D:$D,1,0)</f>
        <v/>
      </c>
      <c r="K513" s="4562">
        <f>IF(D513="","",D513*J513)</f>
        <v/>
      </c>
      <c r="L513" s="4562">
        <f>XLOOKUP(B513,'_Sys|Line_Map'!$A:$A,'_Sys|Line_Map'!$B:$B,"MISSING",0)</f>
        <v/>
      </c>
    </row>
    <row r="514">
      <c r="A514" s="4561" t="n"/>
      <c r="B514" s="4561" t="n"/>
      <c r="C514" s="4561" t="n"/>
      <c r="D514" s="4561" t="n"/>
      <c r="E514" s="4561" t="n"/>
      <c r="F514" s="4561" t="n"/>
      <c r="G514" s="4561" t="n"/>
      <c r="H514" s="4561" t="n"/>
      <c r="I514" s="4562">
        <f>XLOOKUP(B514,'_Sys|Line_Map'!$A:$A,'_Sys|Line_Map'!$C:$C,"MISSING",0)</f>
        <v/>
      </c>
      <c r="J514" s="4562">
        <f>XLOOKUP(B514,'_Sys|Line_Map'!$A:$A,'_Sys|Line_Map'!$D:$D,1,0)</f>
        <v/>
      </c>
      <c r="K514" s="4562">
        <f>IF(D514="","",D514*J514)</f>
        <v/>
      </c>
      <c r="L514" s="4562">
        <f>XLOOKUP(B514,'_Sys|Line_Map'!$A:$A,'_Sys|Line_Map'!$B:$B,"MISSING",0)</f>
        <v/>
      </c>
    </row>
    <row r="515">
      <c r="A515" s="4561" t="n"/>
      <c r="B515" s="4561" t="n"/>
      <c r="C515" s="4561" t="n"/>
      <c r="D515" s="4561" t="n"/>
      <c r="E515" s="4561" t="n"/>
      <c r="F515" s="4561" t="n"/>
      <c r="G515" s="4561" t="n"/>
      <c r="H515" s="4561" t="n"/>
      <c r="I515" s="4562">
        <f>XLOOKUP(B515,'_Sys|Line_Map'!$A:$A,'_Sys|Line_Map'!$C:$C,"MISSING",0)</f>
        <v/>
      </c>
      <c r="J515" s="4562">
        <f>XLOOKUP(B515,'_Sys|Line_Map'!$A:$A,'_Sys|Line_Map'!$D:$D,1,0)</f>
        <v/>
      </c>
      <c r="K515" s="4562">
        <f>IF(D515="","",D515*J515)</f>
        <v/>
      </c>
      <c r="L515" s="4562">
        <f>XLOOKUP(B515,'_Sys|Line_Map'!$A:$A,'_Sys|Line_Map'!$B:$B,"MISSING",0)</f>
        <v/>
      </c>
    </row>
    <row r="516">
      <c r="A516" s="4561" t="n"/>
      <c r="B516" s="4561" t="n"/>
      <c r="C516" s="4561" t="n"/>
      <c r="D516" s="4561" t="n"/>
      <c r="E516" s="4561" t="n"/>
      <c r="F516" s="4561" t="n"/>
      <c r="G516" s="4561" t="n"/>
      <c r="H516" s="4561" t="n"/>
      <c r="I516" s="4562">
        <f>XLOOKUP(B516,'_Sys|Line_Map'!$A:$A,'_Sys|Line_Map'!$C:$C,"MISSING",0)</f>
        <v/>
      </c>
      <c r="J516" s="4562">
        <f>XLOOKUP(B516,'_Sys|Line_Map'!$A:$A,'_Sys|Line_Map'!$D:$D,1,0)</f>
        <v/>
      </c>
      <c r="K516" s="4562">
        <f>IF(D516="","",D516*J516)</f>
        <v/>
      </c>
      <c r="L516" s="4562">
        <f>XLOOKUP(B516,'_Sys|Line_Map'!$A:$A,'_Sys|Line_Map'!$B:$B,"MISSING",0)</f>
        <v/>
      </c>
    </row>
    <row r="517">
      <c r="A517" s="4561" t="n"/>
      <c r="B517" s="4561" t="n"/>
      <c r="C517" s="4561" t="n"/>
      <c r="D517" s="4561" t="n"/>
      <c r="E517" s="4561" t="n"/>
      <c r="F517" s="4561" t="n"/>
      <c r="G517" s="4561" t="n"/>
      <c r="H517" s="4561" t="n"/>
      <c r="I517" s="4562">
        <f>XLOOKUP(B517,'_Sys|Line_Map'!$A:$A,'_Sys|Line_Map'!$C:$C,"MISSING",0)</f>
        <v/>
      </c>
      <c r="J517" s="4562">
        <f>XLOOKUP(B517,'_Sys|Line_Map'!$A:$A,'_Sys|Line_Map'!$D:$D,1,0)</f>
        <v/>
      </c>
      <c r="K517" s="4562">
        <f>IF(D517="","",D517*J517)</f>
        <v/>
      </c>
      <c r="L517" s="4562">
        <f>XLOOKUP(B517,'_Sys|Line_Map'!$A:$A,'_Sys|Line_Map'!$B:$B,"MISSING",0)</f>
        <v/>
      </c>
    </row>
    <row r="518">
      <c r="A518" s="4561" t="n"/>
      <c r="B518" s="4561" t="n"/>
      <c r="C518" s="4561" t="n"/>
      <c r="D518" s="4561" t="n"/>
      <c r="E518" s="4561" t="n"/>
      <c r="F518" s="4561" t="n"/>
      <c r="G518" s="4561" t="n"/>
      <c r="H518" s="4561" t="n"/>
      <c r="I518" s="4562">
        <f>XLOOKUP(B518,'_Sys|Line_Map'!$A:$A,'_Sys|Line_Map'!$C:$C,"MISSING",0)</f>
        <v/>
      </c>
      <c r="J518" s="4562">
        <f>XLOOKUP(B518,'_Sys|Line_Map'!$A:$A,'_Sys|Line_Map'!$D:$D,1,0)</f>
        <v/>
      </c>
      <c r="K518" s="4562">
        <f>IF(D518="","",D518*J518)</f>
        <v/>
      </c>
      <c r="L518" s="4562">
        <f>XLOOKUP(B518,'_Sys|Line_Map'!$A:$A,'_Sys|Line_Map'!$B:$B,"MISSING",0)</f>
        <v/>
      </c>
    </row>
    <row r="519">
      <c r="A519" s="4561" t="n"/>
      <c r="B519" s="4561" t="n"/>
      <c r="C519" s="4561" t="n"/>
      <c r="D519" s="4561" t="n"/>
      <c r="E519" s="4561" t="n"/>
      <c r="F519" s="4561" t="n"/>
      <c r="G519" s="4561" t="n"/>
      <c r="H519" s="4561" t="n"/>
      <c r="I519" s="4562">
        <f>XLOOKUP(B519,'_Sys|Line_Map'!$A:$A,'_Sys|Line_Map'!$C:$C,"MISSING",0)</f>
        <v/>
      </c>
      <c r="J519" s="4562">
        <f>XLOOKUP(B519,'_Sys|Line_Map'!$A:$A,'_Sys|Line_Map'!$D:$D,1,0)</f>
        <v/>
      </c>
      <c r="K519" s="4562">
        <f>IF(D519="","",D519*J519)</f>
        <v/>
      </c>
      <c r="L519" s="4562">
        <f>XLOOKUP(B519,'_Sys|Line_Map'!$A:$A,'_Sys|Line_Map'!$B:$B,"MISSING",0)</f>
        <v/>
      </c>
    </row>
    <row r="520">
      <c r="A520" s="4561" t="n"/>
      <c r="B520" s="4561" t="n"/>
      <c r="C520" s="4561" t="n"/>
      <c r="D520" s="4561" t="n"/>
      <c r="E520" s="4561" t="n"/>
      <c r="F520" s="4561" t="n"/>
      <c r="G520" s="4561" t="n"/>
      <c r="H520" s="4561" t="n"/>
      <c r="I520" s="4562">
        <f>XLOOKUP(B520,'_Sys|Line_Map'!$A:$A,'_Sys|Line_Map'!$C:$C,"MISSING",0)</f>
        <v/>
      </c>
      <c r="J520" s="4562">
        <f>XLOOKUP(B520,'_Sys|Line_Map'!$A:$A,'_Sys|Line_Map'!$D:$D,1,0)</f>
        <v/>
      </c>
      <c r="K520" s="4562">
        <f>IF(D520="","",D520*J520)</f>
        <v/>
      </c>
      <c r="L520" s="4562">
        <f>XLOOKUP(B520,'_Sys|Line_Map'!$A:$A,'_Sys|Line_Map'!$B:$B,"MISSING",0)</f>
        <v/>
      </c>
    </row>
    <row r="521">
      <c r="A521" s="4561" t="n"/>
      <c r="B521" s="4561" t="n"/>
      <c r="C521" s="4561" t="n"/>
      <c r="D521" s="4561" t="n"/>
      <c r="E521" s="4561" t="n"/>
      <c r="F521" s="4561" t="n"/>
      <c r="G521" s="4561" t="n"/>
      <c r="H521" s="4561" t="n"/>
      <c r="I521" s="4562">
        <f>XLOOKUP(B521,'_Sys|Line_Map'!$A:$A,'_Sys|Line_Map'!$C:$C,"MISSING",0)</f>
        <v/>
      </c>
      <c r="J521" s="4562">
        <f>XLOOKUP(B521,'_Sys|Line_Map'!$A:$A,'_Sys|Line_Map'!$D:$D,1,0)</f>
        <v/>
      </c>
      <c r="K521" s="4562">
        <f>IF(D521="","",D521*J521)</f>
        <v/>
      </c>
      <c r="L521" s="4562">
        <f>XLOOKUP(B521,'_Sys|Line_Map'!$A:$A,'_Sys|Line_Map'!$B:$B,"MISSING",0)</f>
        <v/>
      </c>
    </row>
    <row r="522">
      <c r="A522" s="4561" t="n"/>
      <c r="B522" s="4561" t="n"/>
      <c r="C522" s="4561" t="n"/>
      <c r="D522" s="4561" t="n"/>
      <c r="E522" s="4561" t="n"/>
      <c r="F522" s="4561" t="n"/>
      <c r="G522" s="4561" t="n"/>
      <c r="H522" s="4561" t="n"/>
      <c r="I522" s="4562">
        <f>XLOOKUP(B522,'_Sys|Line_Map'!$A:$A,'_Sys|Line_Map'!$C:$C,"MISSING",0)</f>
        <v/>
      </c>
      <c r="J522" s="4562">
        <f>XLOOKUP(B522,'_Sys|Line_Map'!$A:$A,'_Sys|Line_Map'!$D:$D,1,0)</f>
        <v/>
      </c>
      <c r="K522" s="4562">
        <f>IF(D522="","",D522*J522)</f>
        <v/>
      </c>
      <c r="L522" s="4562">
        <f>XLOOKUP(B522,'_Sys|Line_Map'!$A:$A,'_Sys|Line_Map'!$B:$B,"MISSING",0)</f>
        <v/>
      </c>
    </row>
    <row r="523">
      <c r="A523" s="4561" t="n"/>
      <c r="B523" s="4561" t="n"/>
      <c r="C523" s="4561" t="n"/>
      <c r="D523" s="4561" t="n"/>
      <c r="E523" s="4561" t="n"/>
      <c r="F523" s="4561" t="n"/>
      <c r="G523" s="4561" t="n"/>
      <c r="H523" s="4561" t="n"/>
      <c r="I523" s="4562">
        <f>XLOOKUP(B523,'_Sys|Line_Map'!$A:$A,'_Sys|Line_Map'!$C:$C,"MISSING",0)</f>
        <v/>
      </c>
      <c r="J523" s="4562">
        <f>XLOOKUP(B523,'_Sys|Line_Map'!$A:$A,'_Sys|Line_Map'!$D:$D,1,0)</f>
        <v/>
      </c>
      <c r="K523" s="4562">
        <f>IF(D523="","",D523*J523)</f>
        <v/>
      </c>
      <c r="L523" s="4562">
        <f>XLOOKUP(B523,'_Sys|Line_Map'!$A:$A,'_Sys|Line_Map'!$B:$B,"MISSING",0)</f>
        <v/>
      </c>
    </row>
    <row r="524">
      <c r="A524" s="4561" t="n"/>
      <c r="B524" s="4561" t="n"/>
      <c r="C524" s="4561" t="n"/>
      <c r="D524" s="4561" t="n"/>
      <c r="E524" s="4561" t="n"/>
      <c r="F524" s="4561" t="n"/>
      <c r="G524" s="4561" t="n"/>
      <c r="H524" s="4561" t="n"/>
      <c r="I524" s="4562">
        <f>XLOOKUP(B524,'_Sys|Line_Map'!$A:$A,'_Sys|Line_Map'!$C:$C,"MISSING",0)</f>
        <v/>
      </c>
      <c r="J524" s="4562">
        <f>XLOOKUP(B524,'_Sys|Line_Map'!$A:$A,'_Sys|Line_Map'!$D:$D,1,0)</f>
        <v/>
      </c>
      <c r="K524" s="4562">
        <f>IF(D524="","",D524*J524)</f>
        <v/>
      </c>
      <c r="L524" s="4562">
        <f>XLOOKUP(B524,'_Sys|Line_Map'!$A:$A,'_Sys|Line_Map'!$B:$B,"MISSING",0)</f>
        <v/>
      </c>
    </row>
    <row r="525">
      <c r="A525" s="4561" t="n"/>
      <c r="B525" s="4561" t="n"/>
      <c r="C525" s="4561" t="n"/>
      <c r="D525" s="4561" t="n"/>
      <c r="E525" s="4561" t="n"/>
      <c r="F525" s="4561" t="n"/>
      <c r="G525" s="4561" t="n"/>
      <c r="H525" s="4561" t="n"/>
      <c r="I525" s="4562">
        <f>XLOOKUP(B525,'_Sys|Line_Map'!$A:$A,'_Sys|Line_Map'!$C:$C,"MISSING",0)</f>
        <v/>
      </c>
      <c r="J525" s="4562">
        <f>XLOOKUP(B525,'_Sys|Line_Map'!$A:$A,'_Sys|Line_Map'!$D:$D,1,0)</f>
        <v/>
      </c>
      <c r="K525" s="4562">
        <f>IF(D525="","",D525*J525)</f>
        <v/>
      </c>
      <c r="L525" s="4562">
        <f>XLOOKUP(B525,'_Sys|Line_Map'!$A:$A,'_Sys|Line_Map'!$B:$B,"MISSING",0)</f>
        <v/>
      </c>
    </row>
    <row r="526">
      <c r="A526" s="4561" t="n"/>
      <c r="B526" s="4561" t="n"/>
      <c r="C526" s="4561" t="n"/>
      <c r="D526" s="4561" t="n"/>
      <c r="E526" s="4561" t="n"/>
      <c r="F526" s="4561" t="n"/>
      <c r="G526" s="4561" t="n"/>
      <c r="H526" s="4561" t="n"/>
      <c r="I526" s="4562">
        <f>XLOOKUP(B526,'_Sys|Line_Map'!$A:$A,'_Sys|Line_Map'!$C:$C,"MISSING",0)</f>
        <v/>
      </c>
      <c r="J526" s="4562">
        <f>XLOOKUP(B526,'_Sys|Line_Map'!$A:$A,'_Sys|Line_Map'!$D:$D,1,0)</f>
        <v/>
      </c>
      <c r="K526" s="4562">
        <f>IF(D526="","",D526*J526)</f>
        <v/>
      </c>
      <c r="L526" s="4562">
        <f>XLOOKUP(B526,'_Sys|Line_Map'!$A:$A,'_Sys|Line_Map'!$B:$B,"MISSING",0)</f>
        <v/>
      </c>
    </row>
    <row r="527">
      <c r="A527" s="4561" t="n"/>
      <c r="B527" s="4561" t="n"/>
      <c r="C527" s="4561" t="n"/>
      <c r="D527" s="4561" t="n"/>
      <c r="E527" s="4561" t="n"/>
      <c r="F527" s="4561" t="n"/>
      <c r="G527" s="4561" t="n"/>
      <c r="H527" s="4561" t="n"/>
      <c r="I527" s="4562">
        <f>XLOOKUP(B527,'_Sys|Line_Map'!$A:$A,'_Sys|Line_Map'!$C:$C,"MISSING",0)</f>
        <v/>
      </c>
      <c r="J527" s="4562">
        <f>XLOOKUP(B527,'_Sys|Line_Map'!$A:$A,'_Sys|Line_Map'!$D:$D,1,0)</f>
        <v/>
      </c>
      <c r="K527" s="4562">
        <f>IF(D527="","",D527*J527)</f>
        <v/>
      </c>
      <c r="L527" s="4562">
        <f>XLOOKUP(B527,'_Sys|Line_Map'!$A:$A,'_Sys|Line_Map'!$B:$B,"MISSING",0)</f>
        <v/>
      </c>
    </row>
    <row r="528">
      <c r="A528" s="4561" t="n"/>
      <c r="B528" s="4561" t="n"/>
      <c r="C528" s="4561" t="n"/>
      <c r="D528" s="4561" t="n"/>
      <c r="E528" s="4561" t="n"/>
      <c r="F528" s="4561" t="n"/>
      <c r="G528" s="4561" t="n"/>
      <c r="H528" s="4561" t="n"/>
      <c r="I528" s="4562">
        <f>XLOOKUP(B528,'_Sys|Line_Map'!$A:$A,'_Sys|Line_Map'!$C:$C,"MISSING",0)</f>
        <v/>
      </c>
      <c r="J528" s="4562">
        <f>XLOOKUP(B528,'_Sys|Line_Map'!$A:$A,'_Sys|Line_Map'!$D:$D,1,0)</f>
        <v/>
      </c>
      <c r="K528" s="4562">
        <f>IF(D528="","",D528*J528)</f>
        <v/>
      </c>
      <c r="L528" s="4562">
        <f>XLOOKUP(B528,'_Sys|Line_Map'!$A:$A,'_Sys|Line_Map'!$B:$B,"MISSING",0)</f>
        <v/>
      </c>
    </row>
    <row r="529">
      <c r="A529" s="4561" t="n"/>
      <c r="B529" s="4561" t="n"/>
      <c r="C529" s="4561" t="n"/>
      <c r="D529" s="4561" t="n"/>
      <c r="E529" s="4561" t="n"/>
      <c r="F529" s="4561" t="n"/>
      <c r="G529" s="4561" t="n"/>
      <c r="H529" s="4561" t="n"/>
      <c r="I529" s="4562">
        <f>XLOOKUP(B529,'_Sys|Line_Map'!$A:$A,'_Sys|Line_Map'!$C:$C,"MISSING",0)</f>
        <v/>
      </c>
      <c r="J529" s="4562">
        <f>XLOOKUP(B529,'_Sys|Line_Map'!$A:$A,'_Sys|Line_Map'!$D:$D,1,0)</f>
        <v/>
      </c>
      <c r="K529" s="4562">
        <f>IF(D529="","",D529*J529)</f>
        <v/>
      </c>
      <c r="L529" s="4562">
        <f>XLOOKUP(B529,'_Sys|Line_Map'!$A:$A,'_Sys|Line_Map'!$B:$B,"MISSING",0)</f>
        <v/>
      </c>
    </row>
    <row r="530">
      <c r="A530" s="4561" t="n"/>
      <c r="B530" s="4561" t="n"/>
      <c r="C530" s="4561" t="n"/>
      <c r="D530" s="4561" t="n"/>
      <c r="E530" s="4561" t="n"/>
      <c r="F530" s="4561" t="n"/>
      <c r="G530" s="4561" t="n"/>
      <c r="H530" s="4561" t="n"/>
      <c r="I530" s="4562">
        <f>XLOOKUP(B530,'_Sys|Line_Map'!$A:$A,'_Sys|Line_Map'!$C:$C,"MISSING",0)</f>
        <v/>
      </c>
      <c r="J530" s="4562">
        <f>XLOOKUP(B530,'_Sys|Line_Map'!$A:$A,'_Sys|Line_Map'!$D:$D,1,0)</f>
        <v/>
      </c>
      <c r="K530" s="4562">
        <f>IF(D530="","",D530*J530)</f>
        <v/>
      </c>
      <c r="L530" s="4562">
        <f>XLOOKUP(B530,'_Sys|Line_Map'!$A:$A,'_Sys|Line_Map'!$B:$B,"MISSING",0)</f>
        <v/>
      </c>
    </row>
    <row r="531">
      <c r="A531" s="4561" t="n"/>
      <c r="B531" s="4561" t="n"/>
      <c r="C531" s="4561" t="n"/>
      <c r="D531" s="4561" t="n"/>
      <c r="E531" s="4561" t="n"/>
      <c r="F531" s="4561" t="n"/>
      <c r="G531" s="4561" t="n"/>
      <c r="H531" s="4561" t="n"/>
      <c r="I531" s="4562">
        <f>XLOOKUP(B531,'_Sys|Line_Map'!$A:$A,'_Sys|Line_Map'!$C:$C,"MISSING",0)</f>
        <v/>
      </c>
      <c r="J531" s="4562">
        <f>XLOOKUP(B531,'_Sys|Line_Map'!$A:$A,'_Sys|Line_Map'!$D:$D,1,0)</f>
        <v/>
      </c>
      <c r="K531" s="4562">
        <f>IF(D531="","",D531*J531)</f>
        <v/>
      </c>
      <c r="L531" s="4562">
        <f>XLOOKUP(B531,'_Sys|Line_Map'!$A:$A,'_Sys|Line_Map'!$B:$B,"MISSING",0)</f>
        <v/>
      </c>
    </row>
    <row r="532">
      <c r="A532" s="4561" t="n"/>
      <c r="B532" s="4561" t="n"/>
      <c r="C532" s="4561" t="n"/>
      <c r="D532" s="4561" t="n"/>
      <c r="E532" s="4561" t="n"/>
      <c r="F532" s="4561" t="n"/>
      <c r="G532" s="4561" t="n"/>
      <c r="H532" s="4561" t="n"/>
      <c r="I532" s="4562">
        <f>XLOOKUP(B532,'_Sys|Line_Map'!$A:$A,'_Sys|Line_Map'!$C:$C,"MISSING",0)</f>
        <v/>
      </c>
      <c r="J532" s="4562">
        <f>XLOOKUP(B532,'_Sys|Line_Map'!$A:$A,'_Sys|Line_Map'!$D:$D,1,0)</f>
        <v/>
      </c>
      <c r="K532" s="4562">
        <f>IF(D532="","",D532*J532)</f>
        <v/>
      </c>
      <c r="L532" s="4562">
        <f>XLOOKUP(B532,'_Sys|Line_Map'!$A:$A,'_Sys|Line_Map'!$B:$B,"MISSING",0)</f>
        <v/>
      </c>
    </row>
    <row r="533">
      <c r="A533" s="4561" t="n"/>
      <c r="B533" s="4561" t="n"/>
      <c r="C533" s="4561" t="n"/>
      <c r="D533" s="4561" t="n"/>
      <c r="E533" s="4561" t="n"/>
      <c r="F533" s="4561" t="n"/>
      <c r="G533" s="4561" t="n"/>
      <c r="H533" s="4561" t="n"/>
      <c r="I533" s="4562">
        <f>XLOOKUP(B533,'_Sys|Line_Map'!$A:$A,'_Sys|Line_Map'!$C:$C,"MISSING",0)</f>
        <v/>
      </c>
      <c r="J533" s="4562">
        <f>XLOOKUP(B533,'_Sys|Line_Map'!$A:$A,'_Sys|Line_Map'!$D:$D,1,0)</f>
        <v/>
      </c>
      <c r="K533" s="4562">
        <f>IF(D533="","",D533*J533)</f>
        <v/>
      </c>
      <c r="L533" s="4562">
        <f>XLOOKUP(B533,'_Sys|Line_Map'!$A:$A,'_Sys|Line_Map'!$B:$B,"MISSING",0)</f>
        <v/>
      </c>
    </row>
    <row r="534">
      <c r="A534" s="4561" t="n"/>
      <c r="B534" s="4561" t="n"/>
      <c r="C534" s="4561" t="n"/>
      <c r="D534" s="4561" t="n"/>
      <c r="E534" s="4561" t="n"/>
      <c r="F534" s="4561" t="n"/>
      <c r="G534" s="4561" t="n"/>
      <c r="H534" s="4561" t="n"/>
      <c r="I534" s="4562">
        <f>XLOOKUP(B534,'_Sys|Line_Map'!$A:$A,'_Sys|Line_Map'!$C:$C,"MISSING",0)</f>
        <v/>
      </c>
      <c r="J534" s="4562">
        <f>XLOOKUP(B534,'_Sys|Line_Map'!$A:$A,'_Sys|Line_Map'!$D:$D,1,0)</f>
        <v/>
      </c>
      <c r="K534" s="4562">
        <f>IF(D534="","",D534*J534)</f>
        <v/>
      </c>
      <c r="L534" s="4562">
        <f>XLOOKUP(B534,'_Sys|Line_Map'!$A:$A,'_Sys|Line_Map'!$B:$B,"MISSING",0)</f>
        <v/>
      </c>
    </row>
    <row r="535">
      <c r="A535" s="4561" t="n"/>
      <c r="B535" s="4561" t="n"/>
      <c r="C535" s="4561" t="n"/>
      <c r="D535" s="4561" t="n"/>
      <c r="E535" s="4561" t="n"/>
      <c r="F535" s="4561" t="n"/>
      <c r="G535" s="4561" t="n"/>
      <c r="H535" s="4561" t="n"/>
      <c r="I535" s="4562">
        <f>XLOOKUP(B535,'_Sys|Line_Map'!$A:$A,'_Sys|Line_Map'!$C:$C,"MISSING",0)</f>
        <v/>
      </c>
      <c r="J535" s="4562">
        <f>XLOOKUP(B535,'_Sys|Line_Map'!$A:$A,'_Sys|Line_Map'!$D:$D,1,0)</f>
        <v/>
      </c>
      <c r="K535" s="4562">
        <f>IF(D535="","",D535*J535)</f>
        <v/>
      </c>
      <c r="L535" s="4562">
        <f>XLOOKUP(B535,'_Sys|Line_Map'!$A:$A,'_Sys|Line_Map'!$B:$B,"MISSING",0)</f>
        <v/>
      </c>
    </row>
    <row r="536">
      <c r="A536" s="4561" t="n"/>
      <c r="B536" s="4561" t="n"/>
      <c r="C536" s="4561" t="n"/>
      <c r="D536" s="4561" t="n"/>
      <c r="E536" s="4561" t="n"/>
      <c r="F536" s="4561" t="n"/>
      <c r="G536" s="4561" t="n"/>
      <c r="H536" s="4561" t="n"/>
      <c r="I536" s="4562">
        <f>XLOOKUP(B536,'_Sys|Line_Map'!$A:$A,'_Sys|Line_Map'!$C:$C,"MISSING",0)</f>
        <v/>
      </c>
      <c r="J536" s="4562">
        <f>XLOOKUP(B536,'_Sys|Line_Map'!$A:$A,'_Sys|Line_Map'!$D:$D,1,0)</f>
        <v/>
      </c>
      <c r="K536" s="4562">
        <f>IF(D536="","",D536*J536)</f>
        <v/>
      </c>
      <c r="L536" s="4562">
        <f>XLOOKUP(B536,'_Sys|Line_Map'!$A:$A,'_Sys|Line_Map'!$B:$B,"MISSING",0)</f>
        <v/>
      </c>
    </row>
    <row r="537">
      <c r="A537" s="4561" t="n"/>
      <c r="B537" s="4561" t="n"/>
      <c r="C537" s="4561" t="n"/>
      <c r="D537" s="4561" t="n"/>
      <c r="E537" s="4561" t="n"/>
      <c r="F537" s="4561" t="n"/>
      <c r="G537" s="4561" t="n"/>
      <c r="H537" s="4561" t="n"/>
      <c r="I537" s="4562">
        <f>XLOOKUP(B537,'_Sys|Line_Map'!$A:$A,'_Sys|Line_Map'!$C:$C,"MISSING",0)</f>
        <v/>
      </c>
      <c r="J537" s="4562">
        <f>XLOOKUP(B537,'_Sys|Line_Map'!$A:$A,'_Sys|Line_Map'!$D:$D,1,0)</f>
        <v/>
      </c>
      <c r="K537" s="4562">
        <f>IF(D537="","",D537*J537)</f>
        <v/>
      </c>
      <c r="L537" s="4562">
        <f>XLOOKUP(B537,'_Sys|Line_Map'!$A:$A,'_Sys|Line_Map'!$B:$B,"MISSING",0)</f>
        <v/>
      </c>
    </row>
    <row r="538">
      <c r="A538" s="4561" t="n"/>
      <c r="B538" s="4561" t="n"/>
      <c r="C538" s="4561" t="n"/>
      <c r="D538" s="4561" t="n"/>
      <c r="E538" s="4561" t="n"/>
      <c r="F538" s="4561" t="n"/>
      <c r="G538" s="4561" t="n"/>
      <c r="H538" s="4561" t="n"/>
      <c r="I538" s="4562">
        <f>XLOOKUP(B538,'_Sys|Line_Map'!$A:$A,'_Sys|Line_Map'!$C:$C,"MISSING",0)</f>
        <v/>
      </c>
      <c r="J538" s="4562">
        <f>XLOOKUP(B538,'_Sys|Line_Map'!$A:$A,'_Sys|Line_Map'!$D:$D,1,0)</f>
        <v/>
      </c>
      <c r="K538" s="4562">
        <f>IF(D538="","",D538*J538)</f>
        <v/>
      </c>
      <c r="L538" s="4562">
        <f>XLOOKUP(B538,'_Sys|Line_Map'!$A:$A,'_Sys|Line_Map'!$B:$B,"MISSING",0)</f>
        <v/>
      </c>
    </row>
    <row r="539">
      <c r="A539" s="4561" t="n"/>
      <c r="B539" s="4561" t="n"/>
      <c r="C539" s="4561" t="n"/>
      <c r="D539" s="4561" t="n"/>
      <c r="E539" s="4561" t="n"/>
      <c r="F539" s="4561" t="n"/>
      <c r="G539" s="4561" t="n"/>
      <c r="H539" s="4561" t="n"/>
      <c r="I539" s="4562">
        <f>XLOOKUP(B539,'_Sys|Line_Map'!$A:$A,'_Sys|Line_Map'!$C:$C,"MISSING",0)</f>
        <v/>
      </c>
      <c r="J539" s="4562">
        <f>XLOOKUP(B539,'_Sys|Line_Map'!$A:$A,'_Sys|Line_Map'!$D:$D,1,0)</f>
        <v/>
      </c>
      <c r="K539" s="4562">
        <f>IF(D539="","",D539*J539)</f>
        <v/>
      </c>
      <c r="L539" s="4562">
        <f>XLOOKUP(B539,'_Sys|Line_Map'!$A:$A,'_Sys|Line_Map'!$B:$B,"MISSING",0)</f>
        <v/>
      </c>
    </row>
    <row r="540">
      <c r="A540" s="4561" t="n"/>
      <c r="B540" s="4561" t="n"/>
      <c r="C540" s="4561" t="n"/>
      <c r="D540" s="4561" t="n"/>
      <c r="E540" s="4561" t="n"/>
      <c r="F540" s="4561" t="n"/>
      <c r="G540" s="4561" t="n"/>
      <c r="H540" s="4561" t="n"/>
      <c r="I540" s="4562">
        <f>XLOOKUP(B540,'_Sys|Line_Map'!$A:$A,'_Sys|Line_Map'!$C:$C,"MISSING",0)</f>
        <v/>
      </c>
      <c r="J540" s="4562">
        <f>XLOOKUP(B540,'_Sys|Line_Map'!$A:$A,'_Sys|Line_Map'!$D:$D,1,0)</f>
        <v/>
      </c>
      <c r="K540" s="4562">
        <f>IF(D540="","",D540*J540)</f>
        <v/>
      </c>
      <c r="L540" s="4562">
        <f>XLOOKUP(B540,'_Sys|Line_Map'!$A:$A,'_Sys|Line_Map'!$B:$B,"MISSING",0)</f>
        <v/>
      </c>
    </row>
    <row r="541">
      <c r="A541" s="4561" t="n"/>
      <c r="B541" s="4561" t="n"/>
      <c r="C541" s="4561" t="n"/>
      <c r="D541" s="4561" t="n"/>
      <c r="E541" s="4561" t="n"/>
      <c r="F541" s="4561" t="n"/>
      <c r="G541" s="4561" t="n"/>
      <c r="H541" s="4561" t="n"/>
      <c r="I541" s="4562">
        <f>XLOOKUP(B541,'_Sys|Line_Map'!$A:$A,'_Sys|Line_Map'!$C:$C,"MISSING",0)</f>
        <v/>
      </c>
      <c r="J541" s="4562">
        <f>XLOOKUP(B541,'_Sys|Line_Map'!$A:$A,'_Sys|Line_Map'!$D:$D,1,0)</f>
        <v/>
      </c>
      <c r="K541" s="4562">
        <f>IF(D541="","",D541*J541)</f>
        <v/>
      </c>
      <c r="L541" s="4562">
        <f>XLOOKUP(B541,'_Sys|Line_Map'!$A:$A,'_Sys|Line_Map'!$B:$B,"MISSING",0)</f>
        <v/>
      </c>
    </row>
    <row r="542">
      <c r="A542" s="4561" t="n"/>
      <c r="B542" s="4561" t="n"/>
      <c r="C542" s="4561" t="n"/>
      <c r="D542" s="4561" t="n"/>
      <c r="E542" s="4561" t="n"/>
      <c r="F542" s="4561" t="n"/>
      <c r="G542" s="4561" t="n"/>
      <c r="H542" s="4561" t="n"/>
      <c r="I542" s="4562">
        <f>XLOOKUP(B542,'_Sys|Line_Map'!$A:$A,'_Sys|Line_Map'!$C:$C,"MISSING",0)</f>
        <v/>
      </c>
      <c r="J542" s="4562">
        <f>XLOOKUP(B542,'_Sys|Line_Map'!$A:$A,'_Sys|Line_Map'!$D:$D,1,0)</f>
        <v/>
      </c>
      <c r="K542" s="4562">
        <f>IF(D542="","",D542*J542)</f>
        <v/>
      </c>
      <c r="L542" s="4562">
        <f>XLOOKUP(B542,'_Sys|Line_Map'!$A:$A,'_Sys|Line_Map'!$B:$B,"MISSING",0)</f>
        <v/>
      </c>
    </row>
    <row r="543">
      <c r="A543" s="4561" t="n"/>
      <c r="B543" s="4561" t="n"/>
      <c r="C543" s="4561" t="n"/>
      <c r="D543" s="4561" t="n"/>
      <c r="E543" s="4561" t="n"/>
      <c r="F543" s="4561" t="n"/>
      <c r="G543" s="4561" t="n"/>
      <c r="H543" s="4561" t="n"/>
      <c r="I543" s="4562">
        <f>XLOOKUP(B543,'_Sys|Line_Map'!$A:$A,'_Sys|Line_Map'!$C:$C,"MISSING",0)</f>
        <v/>
      </c>
      <c r="J543" s="4562">
        <f>XLOOKUP(B543,'_Sys|Line_Map'!$A:$A,'_Sys|Line_Map'!$D:$D,1,0)</f>
        <v/>
      </c>
      <c r="K543" s="4562">
        <f>IF(D543="","",D543*J543)</f>
        <v/>
      </c>
      <c r="L543" s="4562">
        <f>XLOOKUP(B543,'_Sys|Line_Map'!$A:$A,'_Sys|Line_Map'!$B:$B,"MISSING",0)</f>
        <v/>
      </c>
    </row>
    <row r="544">
      <c r="A544" s="4561" t="n"/>
      <c r="B544" s="4561" t="n"/>
      <c r="C544" s="4561" t="n"/>
      <c r="D544" s="4561" t="n"/>
      <c r="E544" s="4561" t="n"/>
      <c r="F544" s="4561" t="n"/>
      <c r="G544" s="4561" t="n"/>
      <c r="H544" s="4561" t="n"/>
      <c r="I544" s="4562">
        <f>XLOOKUP(B544,'_Sys|Line_Map'!$A:$A,'_Sys|Line_Map'!$C:$C,"MISSING",0)</f>
        <v/>
      </c>
      <c r="J544" s="4562">
        <f>XLOOKUP(B544,'_Sys|Line_Map'!$A:$A,'_Sys|Line_Map'!$D:$D,1,0)</f>
        <v/>
      </c>
      <c r="K544" s="4562">
        <f>IF(D544="","",D544*J544)</f>
        <v/>
      </c>
      <c r="L544" s="4562">
        <f>XLOOKUP(B544,'_Sys|Line_Map'!$A:$A,'_Sys|Line_Map'!$B:$B,"MISSING",0)</f>
        <v/>
      </c>
    </row>
    <row r="545">
      <c r="A545" s="4561" t="n"/>
      <c r="B545" s="4561" t="n"/>
      <c r="C545" s="4561" t="n"/>
      <c r="D545" s="4561" t="n"/>
      <c r="E545" s="4561" t="n"/>
      <c r="F545" s="4561" t="n"/>
      <c r="G545" s="4561" t="n"/>
      <c r="H545" s="4561" t="n"/>
      <c r="I545" s="4562">
        <f>XLOOKUP(B545,'_Sys|Line_Map'!$A:$A,'_Sys|Line_Map'!$C:$C,"MISSING",0)</f>
        <v/>
      </c>
      <c r="J545" s="4562">
        <f>XLOOKUP(B545,'_Sys|Line_Map'!$A:$A,'_Sys|Line_Map'!$D:$D,1,0)</f>
        <v/>
      </c>
      <c r="K545" s="4562">
        <f>IF(D545="","",D545*J545)</f>
        <v/>
      </c>
      <c r="L545" s="4562">
        <f>XLOOKUP(B545,'_Sys|Line_Map'!$A:$A,'_Sys|Line_Map'!$B:$B,"MISSING",0)</f>
        <v/>
      </c>
    </row>
    <row r="546">
      <c r="A546" s="4561" t="n"/>
      <c r="B546" s="4561" t="n"/>
      <c r="C546" s="4561" t="n"/>
      <c r="D546" s="4561" t="n"/>
      <c r="E546" s="4561" t="n"/>
      <c r="F546" s="4561" t="n"/>
      <c r="G546" s="4561" t="n"/>
      <c r="H546" s="4561" t="n"/>
      <c r="I546" s="4562">
        <f>XLOOKUP(B546,'_Sys|Line_Map'!$A:$A,'_Sys|Line_Map'!$C:$C,"MISSING",0)</f>
        <v/>
      </c>
      <c r="J546" s="4562">
        <f>XLOOKUP(B546,'_Sys|Line_Map'!$A:$A,'_Sys|Line_Map'!$D:$D,1,0)</f>
        <v/>
      </c>
      <c r="K546" s="4562">
        <f>IF(D546="","",D546*J546)</f>
        <v/>
      </c>
      <c r="L546" s="4562">
        <f>XLOOKUP(B546,'_Sys|Line_Map'!$A:$A,'_Sys|Line_Map'!$B:$B,"MISSING",0)</f>
        <v/>
      </c>
    </row>
    <row r="547">
      <c r="A547" s="4561" t="n"/>
      <c r="B547" s="4561" t="n"/>
      <c r="C547" s="4561" t="n"/>
      <c r="D547" s="4561" t="n"/>
      <c r="E547" s="4561" t="n"/>
      <c r="F547" s="4561" t="n"/>
      <c r="G547" s="4561" t="n"/>
      <c r="H547" s="4561" t="n"/>
      <c r="I547" s="4562">
        <f>XLOOKUP(B547,'_Sys|Line_Map'!$A:$A,'_Sys|Line_Map'!$C:$C,"MISSING",0)</f>
        <v/>
      </c>
      <c r="J547" s="4562">
        <f>XLOOKUP(B547,'_Sys|Line_Map'!$A:$A,'_Sys|Line_Map'!$D:$D,1,0)</f>
        <v/>
      </c>
      <c r="K547" s="4562">
        <f>IF(D547="","",D547*J547)</f>
        <v/>
      </c>
      <c r="L547" s="4562">
        <f>XLOOKUP(B547,'_Sys|Line_Map'!$A:$A,'_Sys|Line_Map'!$B:$B,"MISSING",0)</f>
        <v/>
      </c>
    </row>
    <row r="548">
      <c r="A548" s="4561" t="n"/>
      <c r="B548" s="4561" t="n"/>
      <c r="C548" s="4561" t="n"/>
      <c r="D548" s="4561" t="n"/>
      <c r="E548" s="4561" t="n"/>
      <c r="F548" s="4561" t="n"/>
      <c r="G548" s="4561" t="n"/>
      <c r="H548" s="4561" t="n"/>
      <c r="I548" s="4562">
        <f>XLOOKUP(B548,'_Sys|Line_Map'!$A:$A,'_Sys|Line_Map'!$C:$C,"MISSING",0)</f>
        <v/>
      </c>
      <c r="J548" s="4562">
        <f>XLOOKUP(B548,'_Sys|Line_Map'!$A:$A,'_Sys|Line_Map'!$D:$D,1,0)</f>
        <v/>
      </c>
      <c r="K548" s="4562">
        <f>IF(D548="","",D548*J548)</f>
        <v/>
      </c>
      <c r="L548" s="4562">
        <f>XLOOKUP(B548,'_Sys|Line_Map'!$A:$A,'_Sys|Line_Map'!$B:$B,"MISSING",0)</f>
        <v/>
      </c>
    </row>
    <row r="549">
      <c r="A549" s="4561" t="n"/>
      <c r="B549" s="4561" t="n"/>
      <c r="C549" s="4561" t="n"/>
      <c r="D549" s="4561" t="n"/>
      <c r="E549" s="4561" t="n"/>
      <c r="F549" s="4561" t="n"/>
      <c r="G549" s="4561" t="n"/>
      <c r="H549" s="4561" t="n"/>
      <c r="I549" s="4562">
        <f>XLOOKUP(B549,'_Sys|Line_Map'!$A:$A,'_Sys|Line_Map'!$C:$C,"MISSING",0)</f>
        <v/>
      </c>
      <c r="J549" s="4562">
        <f>XLOOKUP(B549,'_Sys|Line_Map'!$A:$A,'_Sys|Line_Map'!$D:$D,1,0)</f>
        <v/>
      </c>
      <c r="K549" s="4562">
        <f>IF(D549="","",D549*J549)</f>
        <v/>
      </c>
      <c r="L549" s="4562">
        <f>XLOOKUP(B549,'_Sys|Line_Map'!$A:$A,'_Sys|Line_Map'!$B:$B,"MISSING",0)</f>
        <v/>
      </c>
    </row>
    <row r="550">
      <c r="A550" s="4561" t="n"/>
      <c r="B550" s="4561" t="n"/>
      <c r="C550" s="4561" t="n"/>
      <c r="D550" s="4561" t="n"/>
      <c r="E550" s="4561" t="n"/>
      <c r="F550" s="4561" t="n"/>
      <c r="G550" s="4561" t="n"/>
      <c r="H550" s="4561" t="n"/>
      <c r="I550" s="4562">
        <f>XLOOKUP(B550,'_Sys|Line_Map'!$A:$A,'_Sys|Line_Map'!$C:$C,"MISSING",0)</f>
        <v/>
      </c>
      <c r="J550" s="4562">
        <f>XLOOKUP(B550,'_Sys|Line_Map'!$A:$A,'_Sys|Line_Map'!$D:$D,1,0)</f>
        <v/>
      </c>
      <c r="K550" s="4562">
        <f>IF(D550="","",D550*J550)</f>
        <v/>
      </c>
      <c r="L550" s="4562">
        <f>XLOOKUP(B550,'_Sys|Line_Map'!$A:$A,'_Sys|Line_Map'!$B:$B,"MISSING",0)</f>
        <v/>
      </c>
    </row>
    <row r="551">
      <c r="A551" s="4561" t="n"/>
      <c r="B551" s="4561" t="n"/>
      <c r="C551" s="4561" t="n"/>
      <c r="D551" s="4561" t="n"/>
      <c r="E551" s="4561" t="n"/>
      <c r="F551" s="4561" t="n"/>
      <c r="G551" s="4561" t="n"/>
      <c r="H551" s="4561" t="n"/>
      <c r="I551" s="4562">
        <f>XLOOKUP(B551,'_Sys|Line_Map'!$A:$A,'_Sys|Line_Map'!$C:$C,"MISSING",0)</f>
        <v/>
      </c>
      <c r="J551" s="4562">
        <f>XLOOKUP(B551,'_Sys|Line_Map'!$A:$A,'_Sys|Line_Map'!$D:$D,1,0)</f>
        <v/>
      </c>
      <c r="K551" s="4562">
        <f>IF(D551="","",D551*J551)</f>
        <v/>
      </c>
      <c r="L551" s="4562">
        <f>XLOOKUP(B551,'_Sys|Line_Map'!$A:$A,'_Sys|Line_Map'!$B:$B,"MISSING",0)</f>
        <v/>
      </c>
    </row>
    <row r="552">
      <c r="A552" s="4561" t="n"/>
      <c r="B552" s="4561" t="n"/>
      <c r="C552" s="4561" t="n"/>
      <c r="D552" s="4561" t="n"/>
      <c r="E552" s="4561" t="n"/>
      <c r="F552" s="4561" t="n"/>
      <c r="G552" s="4561" t="n"/>
      <c r="H552" s="4561" t="n"/>
      <c r="I552" s="4562">
        <f>XLOOKUP(B552,'_Sys|Line_Map'!$A:$A,'_Sys|Line_Map'!$C:$C,"MISSING",0)</f>
        <v/>
      </c>
      <c r="J552" s="4562">
        <f>XLOOKUP(B552,'_Sys|Line_Map'!$A:$A,'_Sys|Line_Map'!$D:$D,1,0)</f>
        <v/>
      </c>
      <c r="K552" s="4562">
        <f>IF(D552="","",D552*J552)</f>
        <v/>
      </c>
      <c r="L552" s="4562">
        <f>XLOOKUP(B552,'_Sys|Line_Map'!$A:$A,'_Sys|Line_Map'!$B:$B,"MISSING",0)</f>
        <v/>
      </c>
    </row>
    <row r="553">
      <c r="A553" s="4561" t="n"/>
      <c r="B553" s="4561" t="n"/>
      <c r="C553" s="4561" t="n"/>
      <c r="D553" s="4561" t="n"/>
      <c r="E553" s="4561" t="n"/>
      <c r="F553" s="4561" t="n"/>
      <c r="G553" s="4561" t="n"/>
      <c r="H553" s="4561" t="n"/>
      <c r="I553" s="4562">
        <f>XLOOKUP(B553,'_Sys|Line_Map'!$A:$A,'_Sys|Line_Map'!$C:$C,"MISSING",0)</f>
        <v/>
      </c>
      <c r="J553" s="4562">
        <f>XLOOKUP(B553,'_Sys|Line_Map'!$A:$A,'_Sys|Line_Map'!$D:$D,1,0)</f>
        <v/>
      </c>
      <c r="K553" s="4562">
        <f>IF(D553="","",D553*J553)</f>
        <v/>
      </c>
      <c r="L553" s="4562">
        <f>XLOOKUP(B553,'_Sys|Line_Map'!$A:$A,'_Sys|Line_Map'!$B:$B,"MISSING",0)</f>
        <v/>
      </c>
    </row>
    <row r="554">
      <c r="A554" s="4561" t="n"/>
      <c r="B554" s="4561" t="n"/>
      <c r="C554" s="4561" t="n"/>
      <c r="D554" s="4561" t="n"/>
      <c r="E554" s="4561" t="n"/>
      <c r="F554" s="4561" t="n"/>
      <c r="G554" s="4561" t="n"/>
      <c r="H554" s="4561" t="n"/>
      <c r="I554" s="4562">
        <f>XLOOKUP(B554,'_Sys|Line_Map'!$A:$A,'_Sys|Line_Map'!$C:$C,"MISSING",0)</f>
        <v/>
      </c>
      <c r="J554" s="4562">
        <f>XLOOKUP(B554,'_Sys|Line_Map'!$A:$A,'_Sys|Line_Map'!$D:$D,1,0)</f>
        <v/>
      </c>
      <c r="K554" s="4562">
        <f>IF(D554="","",D554*J554)</f>
        <v/>
      </c>
      <c r="L554" s="4562">
        <f>XLOOKUP(B554,'_Sys|Line_Map'!$A:$A,'_Sys|Line_Map'!$B:$B,"MISSING",0)</f>
        <v/>
      </c>
    </row>
    <row r="555">
      <c r="A555" s="4561" t="n"/>
      <c r="B555" s="4561" t="n"/>
      <c r="C555" s="4561" t="n"/>
      <c r="D555" s="4561" t="n"/>
      <c r="E555" s="4561" t="n"/>
      <c r="F555" s="4561" t="n"/>
      <c r="G555" s="4561" t="n"/>
      <c r="H555" s="4561" t="n"/>
      <c r="I555" s="4562">
        <f>XLOOKUP(B555,'_Sys|Line_Map'!$A:$A,'_Sys|Line_Map'!$C:$C,"MISSING",0)</f>
        <v/>
      </c>
      <c r="J555" s="4562">
        <f>XLOOKUP(B555,'_Sys|Line_Map'!$A:$A,'_Sys|Line_Map'!$D:$D,1,0)</f>
        <v/>
      </c>
      <c r="K555" s="4562">
        <f>IF(D555="","",D555*J555)</f>
        <v/>
      </c>
      <c r="L555" s="4562">
        <f>XLOOKUP(B555,'_Sys|Line_Map'!$A:$A,'_Sys|Line_Map'!$B:$B,"MISSING",0)</f>
        <v/>
      </c>
    </row>
    <row r="556">
      <c r="A556" s="4561" t="n"/>
      <c r="B556" s="4561" t="n"/>
      <c r="C556" s="4561" t="n"/>
      <c r="D556" s="4561" t="n"/>
      <c r="E556" s="4561" t="n"/>
      <c r="F556" s="4561" t="n"/>
      <c r="G556" s="4561" t="n"/>
      <c r="H556" s="4561" t="n"/>
      <c r="I556" s="4562">
        <f>XLOOKUP(B556,'_Sys|Line_Map'!$A:$A,'_Sys|Line_Map'!$C:$C,"MISSING",0)</f>
        <v/>
      </c>
      <c r="J556" s="4562">
        <f>XLOOKUP(B556,'_Sys|Line_Map'!$A:$A,'_Sys|Line_Map'!$D:$D,1,0)</f>
        <v/>
      </c>
      <c r="K556" s="4562">
        <f>IF(D556="","",D556*J556)</f>
        <v/>
      </c>
      <c r="L556" s="4562">
        <f>XLOOKUP(B556,'_Sys|Line_Map'!$A:$A,'_Sys|Line_Map'!$B:$B,"MISSING",0)</f>
        <v/>
      </c>
    </row>
    <row r="557">
      <c r="A557" s="4561" t="n"/>
      <c r="B557" s="4561" t="n"/>
      <c r="C557" s="4561" t="n"/>
      <c r="D557" s="4561" t="n"/>
      <c r="E557" s="4561" t="n"/>
      <c r="F557" s="4561" t="n"/>
      <c r="G557" s="4561" t="n"/>
      <c r="H557" s="4561" t="n"/>
      <c r="I557" s="4562">
        <f>XLOOKUP(B557,'_Sys|Line_Map'!$A:$A,'_Sys|Line_Map'!$C:$C,"MISSING",0)</f>
        <v/>
      </c>
      <c r="J557" s="4562">
        <f>XLOOKUP(B557,'_Sys|Line_Map'!$A:$A,'_Sys|Line_Map'!$D:$D,1,0)</f>
        <v/>
      </c>
      <c r="K557" s="4562">
        <f>IF(D557="","",D557*J557)</f>
        <v/>
      </c>
      <c r="L557" s="4562">
        <f>XLOOKUP(B557,'_Sys|Line_Map'!$A:$A,'_Sys|Line_Map'!$B:$B,"MISSING",0)</f>
        <v/>
      </c>
    </row>
    <row r="558">
      <c r="A558" s="4561" t="n"/>
      <c r="B558" s="4561" t="n"/>
      <c r="C558" s="4561" t="n"/>
      <c r="D558" s="4561" t="n"/>
      <c r="E558" s="4561" t="n"/>
      <c r="F558" s="4561" t="n"/>
      <c r="G558" s="4561" t="n"/>
      <c r="H558" s="4561" t="n"/>
      <c r="I558" s="4562">
        <f>XLOOKUP(B558,'_Sys|Line_Map'!$A:$A,'_Sys|Line_Map'!$C:$C,"MISSING",0)</f>
        <v/>
      </c>
      <c r="J558" s="4562">
        <f>XLOOKUP(B558,'_Sys|Line_Map'!$A:$A,'_Sys|Line_Map'!$D:$D,1,0)</f>
        <v/>
      </c>
      <c r="K558" s="4562">
        <f>IF(D558="","",D558*J558)</f>
        <v/>
      </c>
      <c r="L558" s="4562">
        <f>XLOOKUP(B558,'_Sys|Line_Map'!$A:$A,'_Sys|Line_Map'!$B:$B,"MISSING",0)</f>
        <v/>
      </c>
    </row>
    <row r="559">
      <c r="A559" s="4561" t="n"/>
      <c r="B559" s="4561" t="n"/>
      <c r="C559" s="4561" t="n"/>
      <c r="D559" s="4561" t="n"/>
      <c r="E559" s="4561" t="n"/>
      <c r="F559" s="4561" t="n"/>
      <c r="G559" s="4561" t="n"/>
      <c r="H559" s="4561" t="n"/>
      <c r="I559" s="4562">
        <f>XLOOKUP(B559,'_Sys|Line_Map'!$A:$A,'_Sys|Line_Map'!$C:$C,"MISSING",0)</f>
        <v/>
      </c>
      <c r="J559" s="4562">
        <f>XLOOKUP(B559,'_Sys|Line_Map'!$A:$A,'_Sys|Line_Map'!$D:$D,1,0)</f>
        <v/>
      </c>
      <c r="K559" s="4562">
        <f>IF(D559="","",D559*J559)</f>
        <v/>
      </c>
      <c r="L559" s="4562">
        <f>XLOOKUP(B559,'_Sys|Line_Map'!$A:$A,'_Sys|Line_Map'!$B:$B,"MISSING",0)</f>
        <v/>
      </c>
    </row>
    <row r="560">
      <c r="A560" s="4561" t="n"/>
      <c r="B560" s="4561" t="n"/>
      <c r="C560" s="4561" t="n"/>
      <c r="D560" s="4561" t="n"/>
      <c r="E560" s="4561" t="n"/>
      <c r="F560" s="4561" t="n"/>
      <c r="G560" s="4561" t="n"/>
      <c r="H560" s="4561" t="n"/>
      <c r="I560" s="4562">
        <f>XLOOKUP(B560,'_Sys|Line_Map'!$A:$A,'_Sys|Line_Map'!$C:$C,"MISSING",0)</f>
        <v/>
      </c>
      <c r="J560" s="4562">
        <f>XLOOKUP(B560,'_Sys|Line_Map'!$A:$A,'_Sys|Line_Map'!$D:$D,1,0)</f>
        <v/>
      </c>
      <c r="K560" s="4562">
        <f>IF(D560="","",D560*J560)</f>
        <v/>
      </c>
      <c r="L560" s="4562">
        <f>XLOOKUP(B560,'_Sys|Line_Map'!$A:$A,'_Sys|Line_Map'!$B:$B,"MISSING",0)</f>
        <v/>
      </c>
    </row>
    <row r="561">
      <c r="A561" s="4561" t="n"/>
      <c r="B561" s="4561" t="n"/>
      <c r="C561" s="4561" t="n"/>
      <c r="D561" s="4561" t="n"/>
      <c r="E561" s="4561" t="n"/>
      <c r="F561" s="4561" t="n"/>
      <c r="G561" s="4561" t="n"/>
      <c r="H561" s="4561" t="n"/>
      <c r="I561" s="4562">
        <f>XLOOKUP(B561,'_Sys|Line_Map'!$A:$A,'_Sys|Line_Map'!$C:$C,"MISSING",0)</f>
        <v/>
      </c>
      <c r="J561" s="4562">
        <f>XLOOKUP(B561,'_Sys|Line_Map'!$A:$A,'_Sys|Line_Map'!$D:$D,1,0)</f>
        <v/>
      </c>
      <c r="K561" s="4562">
        <f>IF(D561="","",D561*J561)</f>
        <v/>
      </c>
      <c r="L561" s="4562">
        <f>XLOOKUP(B561,'_Sys|Line_Map'!$A:$A,'_Sys|Line_Map'!$B:$B,"MISSING",0)</f>
        <v/>
      </c>
    </row>
    <row r="562">
      <c r="A562" s="4561" t="n"/>
      <c r="B562" s="4561" t="n"/>
      <c r="C562" s="4561" t="n"/>
      <c r="D562" s="4561" t="n"/>
      <c r="E562" s="4561" t="n"/>
      <c r="F562" s="4561" t="n"/>
      <c r="G562" s="4561" t="n"/>
      <c r="H562" s="4561" t="n"/>
      <c r="I562" s="4562">
        <f>XLOOKUP(B562,'_Sys|Line_Map'!$A:$A,'_Sys|Line_Map'!$C:$C,"MISSING",0)</f>
        <v/>
      </c>
      <c r="J562" s="4562">
        <f>XLOOKUP(B562,'_Sys|Line_Map'!$A:$A,'_Sys|Line_Map'!$D:$D,1,0)</f>
        <v/>
      </c>
      <c r="K562" s="4562">
        <f>IF(D562="","",D562*J562)</f>
        <v/>
      </c>
      <c r="L562" s="4562">
        <f>XLOOKUP(B562,'_Sys|Line_Map'!$A:$A,'_Sys|Line_Map'!$B:$B,"MISSING",0)</f>
        <v/>
      </c>
    </row>
    <row r="563">
      <c r="A563" s="4561" t="n"/>
      <c r="B563" s="4561" t="n"/>
      <c r="C563" s="4561" t="n"/>
      <c r="D563" s="4561" t="n"/>
      <c r="E563" s="4561" t="n"/>
      <c r="F563" s="4561" t="n"/>
      <c r="G563" s="4561" t="n"/>
      <c r="H563" s="4561" t="n"/>
      <c r="I563" s="4562">
        <f>XLOOKUP(B563,'_Sys|Line_Map'!$A:$A,'_Sys|Line_Map'!$C:$C,"MISSING",0)</f>
        <v/>
      </c>
      <c r="J563" s="4562">
        <f>XLOOKUP(B563,'_Sys|Line_Map'!$A:$A,'_Sys|Line_Map'!$D:$D,1,0)</f>
        <v/>
      </c>
      <c r="K563" s="4562">
        <f>IF(D563="","",D563*J563)</f>
        <v/>
      </c>
      <c r="L563" s="4562">
        <f>XLOOKUP(B563,'_Sys|Line_Map'!$A:$A,'_Sys|Line_Map'!$B:$B,"MISSING",0)</f>
        <v/>
      </c>
    </row>
    <row r="564">
      <c r="A564" s="4561" t="n"/>
      <c r="B564" s="4561" t="n"/>
      <c r="C564" s="4561" t="n"/>
      <c r="D564" s="4561" t="n"/>
      <c r="E564" s="4561" t="n"/>
      <c r="F564" s="4561" t="n"/>
      <c r="G564" s="4561" t="n"/>
      <c r="H564" s="4561" t="n"/>
      <c r="I564" s="4562">
        <f>XLOOKUP(B564,'_Sys|Line_Map'!$A:$A,'_Sys|Line_Map'!$C:$C,"MISSING",0)</f>
        <v/>
      </c>
      <c r="J564" s="4562">
        <f>XLOOKUP(B564,'_Sys|Line_Map'!$A:$A,'_Sys|Line_Map'!$D:$D,1,0)</f>
        <v/>
      </c>
      <c r="K564" s="4562">
        <f>IF(D564="","",D564*J564)</f>
        <v/>
      </c>
      <c r="L564" s="4562">
        <f>XLOOKUP(B564,'_Sys|Line_Map'!$A:$A,'_Sys|Line_Map'!$B:$B,"MISSING",0)</f>
        <v/>
      </c>
    </row>
    <row r="565">
      <c r="A565" s="4561" t="n"/>
      <c r="B565" s="4561" t="n"/>
      <c r="C565" s="4561" t="n"/>
      <c r="D565" s="4561" t="n"/>
      <c r="E565" s="4561" t="n"/>
      <c r="F565" s="4561" t="n"/>
      <c r="G565" s="4561" t="n"/>
      <c r="H565" s="4561" t="n"/>
      <c r="I565" s="4562">
        <f>XLOOKUP(B565,'_Sys|Line_Map'!$A:$A,'_Sys|Line_Map'!$C:$C,"MISSING",0)</f>
        <v/>
      </c>
      <c r="J565" s="4562">
        <f>XLOOKUP(B565,'_Sys|Line_Map'!$A:$A,'_Sys|Line_Map'!$D:$D,1,0)</f>
        <v/>
      </c>
      <c r="K565" s="4562">
        <f>IF(D565="","",D565*J565)</f>
        <v/>
      </c>
      <c r="L565" s="4562">
        <f>XLOOKUP(B565,'_Sys|Line_Map'!$A:$A,'_Sys|Line_Map'!$B:$B,"MISSING",0)</f>
        <v/>
      </c>
    </row>
    <row r="566">
      <c r="A566" s="4561" t="n"/>
      <c r="B566" s="4561" t="n"/>
      <c r="C566" s="4561" t="n"/>
      <c r="D566" s="4561" t="n"/>
      <c r="E566" s="4561" t="n"/>
      <c r="F566" s="4561" t="n"/>
      <c r="G566" s="4561" t="n"/>
      <c r="H566" s="4561" t="n"/>
      <c r="I566" s="4562">
        <f>XLOOKUP(B566,'_Sys|Line_Map'!$A:$A,'_Sys|Line_Map'!$C:$C,"MISSING",0)</f>
        <v/>
      </c>
      <c r="J566" s="4562">
        <f>XLOOKUP(B566,'_Sys|Line_Map'!$A:$A,'_Sys|Line_Map'!$D:$D,1,0)</f>
        <v/>
      </c>
      <c r="K566" s="4562">
        <f>IF(D566="","",D566*J566)</f>
        <v/>
      </c>
      <c r="L566" s="4562">
        <f>XLOOKUP(B566,'_Sys|Line_Map'!$A:$A,'_Sys|Line_Map'!$B:$B,"MISSING",0)</f>
        <v/>
      </c>
    </row>
    <row r="567">
      <c r="A567" s="4561" t="n"/>
      <c r="B567" s="4561" t="n"/>
      <c r="C567" s="4561" t="n"/>
      <c r="D567" s="4561" t="n"/>
      <c r="E567" s="4561" t="n"/>
      <c r="F567" s="4561" t="n"/>
      <c r="G567" s="4561" t="n"/>
      <c r="H567" s="4561" t="n"/>
      <c r="I567" s="4562">
        <f>XLOOKUP(B567,'_Sys|Line_Map'!$A:$A,'_Sys|Line_Map'!$C:$C,"MISSING",0)</f>
        <v/>
      </c>
      <c r="J567" s="4562">
        <f>XLOOKUP(B567,'_Sys|Line_Map'!$A:$A,'_Sys|Line_Map'!$D:$D,1,0)</f>
        <v/>
      </c>
      <c r="K567" s="4562">
        <f>IF(D567="","",D567*J567)</f>
        <v/>
      </c>
      <c r="L567" s="4562">
        <f>XLOOKUP(B567,'_Sys|Line_Map'!$A:$A,'_Sys|Line_Map'!$B:$B,"MISSING",0)</f>
        <v/>
      </c>
    </row>
    <row r="568">
      <c r="A568" s="4561" t="n"/>
      <c r="B568" s="4561" t="n"/>
      <c r="C568" s="4561" t="n"/>
      <c r="D568" s="4561" t="n"/>
      <c r="E568" s="4561" t="n"/>
      <c r="F568" s="4561" t="n"/>
      <c r="G568" s="4561" t="n"/>
      <c r="H568" s="4561" t="n"/>
      <c r="I568" s="4562">
        <f>XLOOKUP(B568,'_Sys|Line_Map'!$A:$A,'_Sys|Line_Map'!$C:$C,"MISSING",0)</f>
        <v/>
      </c>
      <c r="J568" s="4562">
        <f>XLOOKUP(B568,'_Sys|Line_Map'!$A:$A,'_Sys|Line_Map'!$D:$D,1,0)</f>
        <v/>
      </c>
      <c r="K568" s="4562">
        <f>IF(D568="","",D568*J568)</f>
        <v/>
      </c>
      <c r="L568" s="4562">
        <f>XLOOKUP(B568,'_Sys|Line_Map'!$A:$A,'_Sys|Line_Map'!$B:$B,"MISSING",0)</f>
        <v/>
      </c>
    </row>
    <row r="569">
      <c r="A569" s="4561" t="n"/>
      <c r="B569" s="4561" t="n"/>
      <c r="C569" s="4561" t="n"/>
      <c r="D569" s="4561" t="n"/>
      <c r="E569" s="4561" t="n"/>
      <c r="F569" s="4561" t="n"/>
      <c r="G569" s="4561" t="n"/>
      <c r="H569" s="4561" t="n"/>
      <c r="I569" s="4562">
        <f>XLOOKUP(B569,'_Sys|Line_Map'!$A:$A,'_Sys|Line_Map'!$C:$C,"MISSING",0)</f>
        <v/>
      </c>
      <c r="J569" s="4562">
        <f>XLOOKUP(B569,'_Sys|Line_Map'!$A:$A,'_Sys|Line_Map'!$D:$D,1,0)</f>
        <v/>
      </c>
      <c r="K569" s="4562">
        <f>IF(D569="","",D569*J569)</f>
        <v/>
      </c>
      <c r="L569" s="4562">
        <f>XLOOKUP(B569,'_Sys|Line_Map'!$A:$A,'_Sys|Line_Map'!$B:$B,"MISSING",0)</f>
        <v/>
      </c>
    </row>
    <row r="570">
      <c r="A570" s="4561" t="n"/>
      <c r="B570" s="4561" t="n"/>
      <c r="C570" s="4561" t="n"/>
      <c r="D570" s="4561" t="n"/>
      <c r="E570" s="4561" t="n"/>
      <c r="F570" s="4561" t="n"/>
      <c r="G570" s="4561" t="n"/>
      <c r="H570" s="4561" t="n"/>
      <c r="I570" s="4562">
        <f>XLOOKUP(B570,'_Sys|Line_Map'!$A:$A,'_Sys|Line_Map'!$C:$C,"MISSING",0)</f>
        <v/>
      </c>
      <c r="J570" s="4562">
        <f>XLOOKUP(B570,'_Sys|Line_Map'!$A:$A,'_Sys|Line_Map'!$D:$D,1,0)</f>
        <v/>
      </c>
      <c r="K570" s="4562">
        <f>IF(D570="","",D570*J570)</f>
        <v/>
      </c>
      <c r="L570" s="4562">
        <f>XLOOKUP(B570,'_Sys|Line_Map'!$A:$A,'_Sys|Line_Map'!$B:$B,"MISSING",0)</f>
        <v/>
      </c>
    </row>
    <row r="571">
      <c r="A571" s="4561" t="n"/>
      <c r="B571" s="4561" t="n"/>
      <c r="C571" s="4561" t="n"/>
      <c r="D571" s="4561" t="n"/>
      <c r="E571" s="4561" t="n"/>
      <c r="F571" s="4561" t="n"/>
      <c r="G571" s="4561" t="n"/>
      <c r="H571" s="4561" t="n"/>
      <c r="I571" s="4562">
        <f>XLOOKUP(B571,'_Sys|Line_Map'!$A:$A,'_Sys|Line_Map'!$C:$C,"MISSING",0)</f>
        <v/>
      </c>
      <c r="J571" s="4562">
        <f>XLOOKUP(B571,'_Sys|Line_Map'!$A:$A,'_Sys|Line_Map'!$D:$D,1,0)</f>
        <v/>
      </c>
      <c r="K571" s="4562">
        <f>IF(D571="","",D571*J571)</f>
        <v/>
      </c>
      <c r="L571" s="4562">
        <f>XLOOKUP(B571,'_Sys|Line_Map'!$A:$A,'_Sys|Line_Map'!$B:$B,"MISSING",0)</f>
        <v/>
      </c>
    </row>
    <row r="572">
      <c r="A572" s="4561" t="n"/>
      <c r="B572" s="4561" t="n"/>
      <c r="C572" s="4561" t="n"/>
      <c r="D572" s="4561" t="n"/>
      <c r="E572" s="4561" t="n"/>
      <c r="F572" s="4561" t="n"/>
      <c r="G572" s="4561" t="n"/>
      <c r="H572" s="4561" t="n"/>
      <c r="I572" s="4562">
        <f>XLOOKUP(B572,'_Sys|Line_Map'!$A:$A,'_Sys|Line_Map'!$C:$C,"MISSING",0)</f>
        <v/>
      </c>
      <c r="J572" s="4562">
        <f>XLOOKUP(B572,'_Sys|Line_Map'!$A:$A,'_Sys|Line_Map'!$D:$D,1,0)</f>
        <v/>
      </c>
      <c r="K572" s="4562">
        <f>IF(D572="","",D572*J572)</f>
        <v/>
      </c>
      <c r="L572" s="4562">
        <f>XLOOKUP(B572,'_Sys|Line_Map'!$A:$A,'_Sys|Line_Map'!$B:$B,"MISSING",0)</f>
        <v/>
      </c>
    </row>
    <row r="573">
      <c r="A573" s="4561" t="n"/>
      <c r="B573" s="4561" t="n"/>
      <c r="C573" s="4561" t="n"/>
      <c r="D573" s="4561" t="n"/>
      <c r="E573" s="4561" t="n"/>
      <c r="F573" s="4561" t="n"/>
      <c r="G573" s="4561" t="n"/>
      <c r="H573" s="4561" t="n"/>
      <c r="I573" s="4562">
        <f>XLOOKUP(B573,'_Sys|Line_Map'!$A:$A,'_Sys|Line_Map'!$C:$C,"MISSING",0)</f>
        <v/>
      </c>
      <c r="J573" s="4562">
        <f>XLOOKUP(B573,'_Sys|Line_Map'!$A:$A,'_Sys|Line_Map'!$D:$D,1,0)</f>
        <v/>
      </c>
      <c r="K573" s="4562">
        <f>IF(D573="","",D573*J573)</f>
        <v/>
      </c>
      <c r="L573" s="4562">
        <f>XLOOKUP(B573,'_Sys|Line_Map'!$A:$A,'_Sys|Line_Map'!$B:$B,"MISSING",0)</f>
        <v/>
      </c>
    </row>
    <row r="574">
      <c r="A574" s="4561" t="n"/>
      <c r="B574" s="4561" t="n"/>
      <c r="C574" s="4561" t="n"/>
      <c r="D574" s="4561" t="n"/>
      <c r="E574" s="4561" t="n"/>
      <c r="F574" s="4561" t="n"/>
      <c r="G574" s="4561" t="n"/>
      <c r="H574" s="4561" t="n"/>
      <c r="I574" s="4562">
        <f>XLOOKUP(B574,'_Sys|Line_Map'!$A:$A,'_Sys|Line_Map'!$C:$C,"MISSING",0)</f>
        <v/>
      </c>
      <c r="J574" s="4562">
        <f>XLOOKUP(B574,'_Sys|Line_Map'!$A:$A,'_Sys|Line_Map'!$D:$D,1,0)</f>
        <v/>
      </c>
      <c r="K574" s="4562">
        <f>IF(D574="","",D574*J574)</f>
        <v/>
      </c>
      <c r="L574" s="4562">
        <f>XLOOKUP(B574,'_Sys|Line_Map'!$A:$A,'_Sys|Line_Map'!$B:$B,"MISSING",0)</f>
        <v/>
      </c>
    </row>
    <row r="575">
      <c r="A575" s="4561" t="n"/>
      <c r="B575" s="4561" t="n"/>
      <c r="C575" s="4561" t="n"/>
      <c r="D575" s="4561" t="n"/>
      <c r="E575" s="4561" t="n"/>
      <c r="F575" s="4561" t="n"/>
      <c r="G575" s="4561" t="n"/>
      <c r="H575" s="4561" t="n"/>
      <c r="I575" s="4562">
        <f>XLOOKUP(B575,'_Sys|Line_Map'!$A:$A,'_Sys|Line_Map'!$C:$C,"MISSING",0)</f>
        <v/>
      </c>
      <c r="J575" s="4562">
        <f>XLOOKUP(B575,'_Sys|Line_Map'!$A:$A,'_Sys|Line_Map'!$D:$D,1,0)</f>
        <v/>
      </c>
      <c r="K575" s="4562">
        <f>IF(D575="","",D575*J575)</f>
        <v/>
      </c>
      <c r="L575" s="4562">
        <f>XLOOKUP(B575,'_Sys|Line_Map'!$A:$A,'_Sys|Line_Map'!$B:$B,"MISSING",0)</f>
        <v/>
      </c>
    </row>
    <row r="576">
      <c r="A576" s="4561" t="n"/>
      <c r="B576" s="4561" t="n"/>
      <c r="C576" s="4561" t="n"/>
      <c r="D576" s="4561" t="n"/>
      <c r="E576" s="4561" t="n"/>
      <c r="F576" s="4561" t="n"/>
      <c r="G576" s="4561" t="n"/>
      <c r="H576" s="4561" t="n"/>
      <c r="I576" s="4562">
        <f>XLOOKUP(B576,'_Sys|Line_Map'!$A:$A,'_Sys|Line_Map'!$C:$C,"MISSING",0)</f>
        <v/>
      </c>
      <c r="J576" s="4562">
        <f>XLOOKUP(B576,'_Sys|Line_Map'!$A:$A,'_Sys|Line_Map'!$D:$D,1,0)</f>
        <v/>
      </c>
      <c r="K576" s="4562">
        <f>IF(D576="","",D576*J576)</f>
        <v/>
      </c>
      <c r="L576" s="4562">
        <f>XLOOKUP(B576,'_Sys|Line_Map'!$A:$A,'_Sys|Line_Map'!$B:$B,"MISSING",0)</f>
        <v/>
      </c>
    </row>
    <row r="577">
      <c r="A577" s="4561" t="n"/>
      <c r="B577" s="4561" t="n"/>
      <c r="C577" s="4561" t="n"/>
      <c r="D577" s="4561" t="n"/>
      <c r="E577" s="4561" t="n"/>
      <c r="F577" s="4561" t="n"/>
      <c r="G577" s="4561" t="n"/>
      <c r="H577" s="4561" t="n"/>
      <c r="I577" s="4562">
        <f>XLOOKUP(B577,'_Sys|Line_Map'!$A:$A,'_Sys|Line_Map'!$C:$C,"MISSING",0)</f>
        <v/>
      </c>
      <c r="J577" s="4562">
        <f>XLOOKUP(B577,'_Sys|Line_Map'!$A:$A,'_Sys|Line_Map'!$D:$D,1,0)</f>
        <v/>
      </c>
      <c r="K577" s="4562">
        <f>IF(D577="","",D577*J577)</f>
        <v/>
      </c>
      <c r="L577" s="4562">
        <f>XLOOKUP(B577,'_Sys|Line_Map'!$A:$A,'_Sys|Line_Map'!$B:$B,"MISSING",0)</f>
        <v/>
      </c>
    </row>
    <row r="578">
      <c r="A578" s="4561" t="n"/>
      <c r="B578" s="4561" t="n"/>
      <c r="C578" s="4561" t="n"/>
      <c r="D578" s="4561" t="n"/>
      <c r="E578" s="4561" t="n"/>
      <c r="F578" s="4561" t="n"/>
      <c r="G578" s="4561" t="n"/>
      <c r="H578" s="4561" t="n"/>
      <c r="I578" s="4562">
        <f>XLOOKUP(B578,'_Sys|Line_Map'!$A:$A,'_Sys|Line_Map'!$C:$C,"MISSING",0)</f>
        <v/>
      </c>
      <c r="J578" s="4562">
        <f>XLOOKUP(B578,'_Sys|Line_Map'!$A:$A,'_Sys|Line_Map'!$D:$D,1,0)</f>
        <v/>
      </c>
      <c r="K578" s="4562">
        <f>IF(D578="","",D578*J578)</f>
        <v/>
      </c>
      <c r="L578" s="4562">
        <f>XLOOKUP(B578,'_Sys|Line_Map'!$A:$A,'_Sys|Line_Map'!$B:$B,"MISSING",0)</f>
        <v/>
      </c>
    </row>
    <row r="579">
      <c r="A579" s="4561" t="n"/>
      <c r="B579" s="4561" t="n"/>
      <c r="C579" s="4561" t="n"/>
      <c r="D579" s="4561" t="n"/>
      <c r="E579" s="4561" t="n"/>
      <c r="F579" s="4561" t="n"/>
      <c r="G579" s="4561" t="n"/>
      <c r="H579" s="4561" t="n"/>
      <c r="I579" s="4562">
        <f>XLOOKUP(B579,'_Sys|Line_Map'!$A:$A,'_Sys|Line_Map'!$C:$C,"MISSING",0)</f>
        <v/>
      </c>
      <c r="J579" s="4562">
        <f>XLOOKUP(B579,'_Sys|Line_Map'!$A:$A,'_Sys|Line_Map'!$D:$D,1,0)</f>
        <v/>
      </c>
      <c r="K579" s="4562">
        <f>IF(D579="","",D579*J579)</f>
        <v/>
      </c>
      <c r="L579" s="4562">
        <f>XLOOKUP(B579,'_Sys|Line_Map'!$A:$A,'_Sys|Line_Map'!$B:$B,"MISSING",0)</f>
        <v/>
      </c>
    </row>
    <row r="580">
      <c r="A580" s="4561" t="n"/>
      <c r="B580" s="4561" t="n"/>
      <c r="C580" s="4561" t="n"/>
      <c r="D580" s="4561" t="n"/>
      <c r="E580" s="4561" t="n"/>
      <c r="F580" s="4561" t="n"/>
      <c r="G580" s="4561" t="n"/>
      <c r="H580" s="4561" t="n"/>
      <c r="I580" s="4562">
        <f>XLOOKUP(B580,'_Sys|Line_Map'!$A:$A,'_Sys|Line_Map'!$C:$C,"MISSING",0)</f>
        <v/>
      </c>
      <c r="J580" s="4562">
        <f>XLOOKUP(B580,'_Sys|Line_Map'!$A:$A,'_Sys|Line_Map'!$D:$D,1,0)</f>
        <v/>
      </c>
      <c r="K580" s="4562">
        <f>IF(D580="","",D580*J580)</f>
        <v/>
      </c>
      <c r="L580" s="4562">
        <f>XLOOKUP(B580,'_Sys|Line_Map'!$A:$A,'_Sys|Line_Map'!$B:$B,"MISSING",0)</f>
        <v/>
      </c>
    </row>
    <row r="581">
      <c r="A581" s="4561" t="n"/>
      <c r="B581" s="4561" t="n"/>
      <c r="C581" s="4561" t="n"/>
      <c r="D581" s="4561" t="n"/>
      <c r="E581" s="4561" t="n"/>
      <c r="F581" s="4561" t="n"/>
      <c r="G581" s="4561" t="n"/>
      <c r="H581" s="4561" t="n"/>
      <c r="I581" s="4562">
        <f>XLOOKUP(B581,'_Sys|Line_Map'!$A:$A,'_Sys|Line_Map'!$C:$C,"MISSING",0)</f>
        <v/>
      </c>
      <c r="J581" s="4562">
        <f>XLOOKUP(B581,'_Sys|Line_Map'!$A:$A,'_Sys|Line_Map'!$D:$D,1,0)</f>
        <v/>
      </c>
      <c r="K581" s="4562">
        <f>IF(D581="","",D581*J581)</f>
        <v/>
      </c>
      <c r="L581" s="4562">
        <f>XLOOKUP(B581,'_Sys|Line_Map'!$A:$A,'_Sys|Line_Map'!$B:$B,"MISSING",0)</f>
        <v/>
      </c>
    </row>
    <row r="582">
      <c r="A582" s="4561" t="n"/>
      <c r="B582" s="4561" t="n"/>
      <c r="C582" s="4561" t="n"/>
      <c r="D582" s="4561" t="n"/>
      <c r="E582" s="4561" t="n"/>
      <c r="F582" s="4561" t="n"/>
      <c r="G582" s="4561" t="n"/>
      <c r="H582" s="4561" t="n"/>
      <c r="I582" s="4562">
        <f>XLOOKUP(B582,'_Sys|Line_Map'!$A:$A,'_Sys|Line_Map'!$C:$C,"MISSING",0)</f>
        <v/>
      </c>
      <c r="J582" s="4562">
        <f>XLOOKUP(B582,'_Sys|Line_Map'!$A:$A,'_Sys|Line_Map'!$D:$D,1,0)</f>
        <v/>
      </c>
      <c r="K582" s="4562">
        <f>IF(D582="","",D582*J582)</f>
        <v/>
      </c>
      <c r="L582" s="4562">
        <f>XLOOKUP(B582,'_Sys|Line_Map'!$A:$A,'_Sys|Line_Map'!$B:$B,"MISSING",0)</f>
        <v/>
      </c>
    </row>
    <row r="583">
      <c r="A583" s="4561" t="n"/>
      <c r="B583" s="4561" t="n"/>
      <c r="C583" s="4561" t="n"/>
      <c r="D583" s="4561" t="n"/>
      <c r="E583" s="4561" t="n"/>
      <c r="F583" s="4561" t="n"/>
      <c r="G583" s="4561" t="n"/>
      <c r="H583" s="4561" t="n"/>
      <c r="I583" s="4562">
        <f>XLOOKUP(B583,'_Sys|Line_Map'!$A:$A,'_Sys|Line_Map'!$C:$C,"MISSING",0)</f>
        <v/>
      </c>
      <c r="J583" s="4562">
        <f>XLOOKUP(B583,'_Sys|Line_Map'!$A:$A,'_Sys|Line_Map'!$D:$D,1,0)</f>
        <v/>
      </c>
      <c r="K583" s="4562">
        <f>IF(D583="","",D583*J583)</f>
        <v/>
      </c>
      <c r="L583" s="4562">
        <f>XLOOKUP(B583,'_Sys|Line_Map'!$A:$A,'_Sys|Line_Map'!$B:$B,"MISSING",0)</f>
        <v/>
      </c>
    </row>
    <row r="584">
      <c r="A584" s="4561" t="n"/>
      <c r="B584" s="4561" t="n"/>
      <c r="C584" s="4561" t="n"/>
      <c r="D584" s="4561" t="n"/>
      <c r="E584" s="4561" t="n"/>
      <c r="F584" s="4561" t="n"/>
      <c r="G584" s="4561" t="n"/>
      <c r="H584" s="4561" t="n"/>
      <c r="I584" s="4562">
        <f>XLOOKUP(B584,'_Sys|Line_Map'!$A:$A,'_Sys|Line_Map'!$C:$C,"MISSING",0)</f>
        <v/>
      </c>
      <c r="J584" s="4562">
        <f>XLOOKUP(B584,'_Sys|Line_Map'!$A:$A,'_Sys|Line_Map'!$D:$D,1,0)</f>
        <v/>
      </c>
      <c r="K584" s="4562">
        <f>IF(D584="","",D584*J584)</f>
        <v/>
      </c>
      <c r="L584" s="4562">
        <f>XLOOKUP(B584,'_Sys|Line_Map'!$A:$A,'_Sys|Line_Map'!$B:$B,"MISSING",0)</f>
        <v/>
      </c>
    </row>
    <row r="585">
      <c r="A585" s="4561" t="n"/>
      <c r="B585" s="4561" t="n"/>
      <c r="C585" s="4561" t="n"/>
      <c r="D585" s="4561" t="n"/>
      <c r="E585" s="4561" t="n"/>
      <c r="F585" s="4561" t="n"/>
      <c r="G585" s="4561" t="n"/>
      <c r="H585" s="4561" t="n"/>
      <c r="I585" s="4562">
        <f>XLOOKUP(B585,'_Sys|Line_Map'!$A:$A,'_Sys|Line_Map'!$C:$C,"MISSING",0)</f>
        <v/>
      </c>
      <c r="J585" s="4562">
        <f>XLOOKUP(B585,'_Sys|Line_Map'!$A:$A,'_Sys|Line_Map'!$D:$D,1,0)</f>
        <v/>
      </c>
      <c r="K585" s="4562">
        <f>IF(D585="","",D585*J585)</f>
        <v/>
      </c>
      <c r="L585" s="4562">
        <f>XLOOKUP(B585,'_Sys|Line_Map'!$A:$A,'_Sys|Line_Map'!$B:$B,"MISSING",0)</f>
        <v/>
      </c>
    </row>
    <row r="586">
      <c r="A586" s="4561" t="n"/>
      <c r="B586" s="4561" t="n"/>
      <c r="C586" s="4561" t="n"/>
      <c r="D586" s="4561" t="n"/>
      <c r="E586" s="4561" t="n"/>
      <c r="F586" s="4561" t="n"/>
      <c r="G586" s="4561" t="n"/>
      <c r="H586" s="4561" t="n"/>
      <c r="I586" s="4562">
        <f>XLOOKUP(B586,'_Sys|Line_Map'!$A:$A,'_Sys|Line_Map'!$C:$C,"MISSING",0)</f>
        <v/>
      </c>
      <c r="J586" s="4562">
        <f>XLOOKUP(B586,'_Sys|Line_Map'!$A:$A,'_Sys|Line_Map'!$D:$D,1,0)</f>
        <v/>
      </c>
      <c r="K586" s="4562">
        <f>IF(D586="","",D586*J586)</f>
        <v/>
      </c>
      <c r="L586" s="4562">
        <f>XLOOKUP(B586,'_Sys|Line_Map'!$A:$A,'_Sys|Line_Map'!$B:$B,"MISSING",0)</f>
        <v/>
      </c>
    </row>
    <row r="587">
      <c r="A587" s="4561" t="n"/>
      <c r="B587" s="4561" t="n"/>
      <c r="C587" s="4561" t="n"/>
      <c r="D587" s="4561" t="n"/>
      <c r="E587" s="4561" t="n"/>
      <c r="F587" s="4561" t="n"/>
      <c r="G587" s="4561" t="n"/>
      <c r="H587" s="4561" t="n"/>
      <c r="I587" s="4562">
        <f>XLOOKUP(B587,'_Sys|Line_Map'!$A:$A,'_Sys|Line_Map'!$C:$C,"MISSING",0)</f>
        <v/>
      </c>
      <c r="J587" s="4562">
        <f>XLOOKUP(B587,'_Sys|Line_Map'!$A:$A,'_Sys|Line_Map'!$D:$D,1,0)</f>
        <v/>
      </c>
      <c r="K587" s="4562">
        <f>IF(D587="","",D587*J587)</f>
        <v/>
      </c>
      <c r="L587" s="4562">
        <f>XLOOKUP(B587,'_Sys|Line_Map'!$A:$A,'_Sys|Line_Map'!$B:$B,"MISSING",0)</f>
        <v/>
      </c>
    </row>
    <row r="588">
      <c r="A588" s="4561" t="n"/>
      <c r="B588" s="4561" t="n"/>
      <c r="C588" s="4561" t="n"/>
      <c r="D588" s="4561" t="n"/>
      <c r="E588" s="4561" t="n"/>
      <c r="F588" s="4561" t="n"/>
      <c r="G588" s="4561" t="n"/>
      <c r="H588" s="4561" t="n"/>
      <c r="I588" s="4562">
        <f>XLOOKUP(B588,'_Sys|Line_Map'!$A:$A,'_Sys|Line_Map'!$C:$C,"MISSING",0)</f>
        <v/>
      </c>
      <c r="J588" s="4562">
        <f>XLOOKUP(B588,'_Sys|Line_Map'!$A:$A,'_Sys|Line_Map'!$D:$D,1,0)</f>
        <v/>
      </c>
      <c r="K588" s="4562">
        <f>IF(D588="","",D588*J588)</f>
        <v/>
      </c>
      <c r="L588" s="4562">
        <f>XLOOKUP(B588,'_Sys|Line_Map'!$A:$A,'_Sys|Line_Map'!$B:$B,"MISSING",0)</f>
        <v/>
      </c>
    </row>
    <row r="589">
      <c r="A589" s="4561" t="n"/>
      <c r="B589" s="4561" t="n"/>
      <c r="C589" s="4561" t="n"/>
      <c r="D589" s="4561" t="n"/>
      <c r="E589" s="4561" t="n"/>
      <c r="F589" s="4561" t="n"/>
      <c r="G589" s="4561" t="n"/>
      <c r="H589" s="4561" t="n"/>
      <c r="I589" s="4562">
        <f>XLOOKUP(B589,'_Sys|Line_Map'!$A:$A,'_Sys|Line_Map'!$C:$C,"MISSING",0)</f>
        <v/>
      </c>
      <c r="J589" s="4562">
        <f>XLOOKUP(B589,'_Sys|Line_Map'!$A:$A,'_Sys|Line_Map'!$D:$D,1,0)</f>
        <v/>
      </c>
      <c r="K589" s="4562">
        <f>IF(D589="","",D589*J589)</f>
        <v/>
      </c>
      <c r="L589" s="4562">
        <f>XLOOKUP(B589,'_Sys|Line_Map'!$A:$A,'_Sys|Line_Map'!$B:$B,"MISSING",0)</f>
        <v/>
      </c>
    </row>
    <row r="590">
      <c r="A590" s="4561" t="n"/>
      <c r="B590" s="4561" t="n"/>
      <c r="C590" s="4561" t="n"/>
      <c r="D590" s="4561" t="n"/>
      <c r="E590" s="4561" t="n"/>
      <c r="F590" s="4561" t="n"/>
      <c r="G590" s="4561" t="n"/>
      <c r="H590" s="4561" t="n"/>
      <c r="I590" s="4562">
        <f>XLOOKUP(B590,'_Sys|Line_Map'!$A:$A,'_Sys|Line_Map'!$C:$C,"MISSING",0)</f>
        <v/>
      </c>
      <c r="J590" s="4562">
        <f>XLOOKUP(B590,'_Sys|Line_Map'!$A:$A,'_Sys|Line_Map'!$D:$D,1,0)</f>
        <v/>
      </c>
      <c r="K590" s="4562">
        <f>IF(D590="","",D590*J590)</f>
        <v/>
      </c>
      <c r="L590" s="4562">
        <f>XLOOKUP(B590,'_Sys|Line_Map'!$A:$A,'_Sys|Line_Map'!$B:$B,"MISSING",0)</f>
        <v/>
      </c>
    </row>
    <row r="591">
      <c r="A591" s="4561" t="n"/>
      <c r="B591" s="4561" t="n"/>
      <c r="C591" s="4561" t="n"/>
      <c r="D591" s="4561" t="n"/>
      <c r="E591" s="4561" t="n"/>
      <c r="F591" s="4561" t="n"/>
      <c r="G591" s="4561" t="n"/>
      <c r="H591" s="4561" t="n"/>
      <c r="I591" s="4562">
        <f>XLOOKUP(B591,'_Sys|Line_Map'!$A:$A,'_Sys|Line_Map'!$C:$C,"MISSING",0)</f>
        <v/>
      </c>
      <c r="J591" s="4562">
        <f>XLOOKUP(B591,'_Sys|Line_Map'!$A:$A,'_Sys|Line_Map'!$D:$D,1,0)</f>
        <v/>
      </c>
      <c r="K591" s="4562">
        <f>IF(D591="","",D591*J591)</f>
        <v/>
      </c>
      <c r="L591" s="4562">
        <f>XLOOKUP(B591,'_Sys|Line_Map'!$A:$A,'_Sys|Line_Map'!$B:$B,"MISSING",0)</f>
        <v/>
      </c>
    </row>
    <row r="592">
      <c r="A592" s="4561" t="n"/>
      <c r="B592" s="4561" t="n"/>
      <c r="C592" s="4561" t="n"/>
      <c r="D592" s="4561" t="n"/>
      <c r="E592" s="4561" t="n"/>
      <c r="F592" s="4561" t="n"/>
      <c r="G592" s="4561" t="n"/>
      <c r="H592" s="4561" t="n"/>
      <c r="I592" s="4562">
        <f>XLOOKUP(B592,'_Sys|Line_Map'!$A:$A,'_Sys|Line_Map'!$C:$C,"MISSING",0)</f>
        <v/>
      </c>
      <c r="J592" s="4562">
        <f>XLOOKUP(B592,'_Sys|Line_Map'!$A:$A,'_Sys|Line_Map'!$D:$D,1,0)</f>
        <v/>
      </c>
      <c r="K592" s="4562">
        <f>IF(D592="","",D592*J592)</f>
        <v/>
      </c>
      <c r="L592" s="4562">
        <f>XLOOKUP(B592,'_Sys|Line_Map'!$A:$A,'_Sys|Line_Map'!$B:$B,"MISSING",0)</f>
        <v/>
      </c>
    </row>
    <row r="593">
      <c r="A593" s="4561" t="n"/>
      <c r="B593" s="4561" t="n"/>
      <c r="C593" s="4561" t="n"/>
      <c r="D593" s="4561" t="n"/>
      <c r="E593" s="4561" t="n"/>
      <c r="F593" s="4561" t="n"/>
      <c r="G593" s="4561" t="n"/>
      <c r="H593" s="4561" t="n"/>
      <c r="I593" s="4562">
        <f>XLOOKUP(B593,'_Sys|Line_Map'!$A:$A,'_Sys|Line_Map'!$C:$C,"MISSING",0)</f>
        <v/>
      </c>
      <c r="J593" s="4562">
        <f>XLOOKUP(B593,'_Sys|Line_Map'!$A:$A,'_Sys|Line_Map'!$D:$D,1,0)</f>
        <v/>
      </c>
      <c r="K593" s="4562">
        <f>IF(D593="","",D593*J593)</f>
        <v/>
      </c>
      <c r="L593" s="4562">
        <f>XLOOKUP(B593,'_Sys|Line_Map'!$A:$A,'_Sys|Line_Map'!$B:$B,"MISSING",0)</f>
        <v/>
      </c>
    </row>
    <row r="594">
      <c r="A594" s="4561" t="n"/>
      <c r="B594" s="4561" t="n"/>
      <c r="C594" s="4561" t="n"/>
      <c r="D594" s="4561" t="n"/>
      <c r="E594" s="4561" t="n"/>
      <c r="F594" s="4561" t="n"/>
      <c r="G594" s="4561" t="n"/>
      <c r="H594" s="4561" t="n"/>
      <c r="I594" s="4562">
        <f>XLOOKUP(B594,'_Sys|Line_Map'!$A:$A,'_Sys|Line_Map'!$C:$C,"MISSING",0)</f>
        <v/>
      </c>
      <c r="J594" s="4562">
        <f>XLOOKUP(B594,'_Sys|Line_Map'!$A:$A,'_Sys|Line_Map'!$D:$D,1,0)</f>
        <v/>
      </c>
      <c r="K594" s="4562">
        <f>IF(D594="","",D594*J594)</f>
        <v/>
      </c>
      <c r="L594" s="4562">
        <f>XLOOKUP(B594,'_Sys|Line_Map'!$A:$A,'_Sys|Line_Map'!$B:$B,"MISSING",0)</f>
        <v/>
      </c>
    </row>
    <row r="595">
      <c r="A595" s="4561" t="n"/>
      <c r="B595" s="4561" t="n"/>
      <c r="C595" s="4561" t="n"/>
      <c r="D595" s="4561" t="n"/>
      <c r="E595" s="4561" t="n"/>
      <c r="F595" s="4561" t="n"/>
      <c r="G595" s="4561" t="n"/>
      <c r="H595" s="4561" t="n"/>
      <c r="I595" s="4562">
        <f>XLOOKUP(B595,'_Sys|Line_Map'!$A:$A,'_Sys|Line_Map'!$C:$C,"MISSING",0)</f>
        <v/>
      </c>
      <c r="J595" s="4562">
        <f>XLOOKUP(B595,'_Sys|Line_Map'!$A:$A,'_Sys|Line_Map'!$D:$D,1,0)</f>
        <v/>
      </c>
      <c r="K595" s="4562">
        <f>IF(D595="","",D595*J595)</f>
        <v/>
      </c>
      <c r="L595" s="4562">
        <f>XLOOKUP(B595,'_Sys|Line_Map'!$A:$A,'_Sys|Line_Map'!$B:$B,"MISSING",0)</f>
        <v/>
      </c>
    </row>
    <row r="596">
      <c r="A596" s="4561" t="n"/>
      <c r="B596" s="4561" t="n"/>
      <c r="C596" s="4561" t="n"/>
      <c r="D596" s="4561" t="n"/>
      <c r="E596" s="4561" t="n"/>
      <c r="F596" s="4561" t="n"/>
      <c r="G596" s="4561" t="n"/>
      <c r="H596" s="4561" t="n"/>
      <c r="I596" s="4562">
        <f>XLOOKUP(B596,'_Sys|Line_Map'!$A:$A,'_Sys|Line_Map'!$C:$C,"MISSING",0)</f>
        <v/>
      </c>
      <c r="J596" s="4562">
        <f>XLOOKUP(B596,'_Sys|Line_Map'!$A:$A,'_Sys|Line_Map'!$D:$D,1,0)</f>
        <v/>
      </c>
      <c r="K596" s="4562">
        <f>IF(D596="","",D596*J596)</f>
        <v/>
      </c>
      <c r="L596" s="4562">
        <f>XLOOKUP(B596,'_Sys|Line_Map'!$A:$A,'_Sys|Line_Map'!$B:$B,"MISSING",0)</f>
        <v/>
      </c>
    </row>
    <row r="597">
      <c r="A597" s="4561" t="n"/>
      <c r="B597" s="4561" t="n"/>
      <c r="C597" s="4561" t="n"/>
      <c r="D597" s="4561" t="n"/>
      <c r="E597" s="4561" t="n"/>
      <c r="F597" s="4561" t="n"/>
      <c r="G597" s="4561" t="n"/>
      <c r="H597" s="4561" t="n"/>
      <c r="I597" s="4562">
        <f>XLOOKUP(B597,'_Sys|Line_Map'!$A:$A,'_Sys|Line_Map'!$C:$C,"MISSING",0)</f>
        <v/>
      </c>
      <c r="J597" s="4562">
        <f>XLOOKUP(B597,'_Sys|Line_Map'!$A:$A,'_Sys|Line_Map'!$D:$D,1,0)</f>
        <v/>
      </c>
      <c r="K597" s="4562">
        <f>IF(D597="","",D597*J597)</f>
        <v/>
      </c>
      <c r="L597" s="4562">
        <f>XLOOKUP(B597,'_Sys|Line_Map'!$A:$A,'_Sys|Line_Map'!$B:$B,"MISSING",0)</f>
        <v/>
      </c>
    </row>
    <row r="598">
      <c r="A598" s="4561" t="n"/>
      <c r="B598" s="4561" t="n"/>
      <c r="C598" s="4561" t="n"/>
      <c r="D598" s="4561" t="n"/>
      <c r="E598" s="4561" t="n"/>
      <c r="F598" s="4561" t="n"/>
      <c r="G598" s="4561" t="n"/>
      <c r="H598" s="4561" t="n"/>
      <c r="I598" s="4562">
        <f>XLOOKUP(B598,'_Sys|Line_Map'!$A:$A,'_Sys|Line_Map'!$C:$C,"MISSING",0)</f>
        <v/>
      </c>
      <c r="J598" s="4562">
        <f>XLOOKUP(B598,'_Sys|Line_Map'!$A:$A,'_Sys|Line_Map'!$D:$D,1,0)</f>
        <v/>
      </c>
      <c r="K598" s="4562">
        <f>IF(D598="","",D598*J598)</f>
        <v/>
      </c>
      <c r="L598" s="4562">
        <f>XLOOKUP(B598,'_Sys|Line_Map'!$A:$A,'_Sys|Line_Map'!$B:$B,"MISSING",0)</f>
        <v/>
      </c>
    </row>
    <row r="599">
      <c r="A599" s="4561" t="n"/>
      <c r="B599" s="4561" t="n"/>
      <c r="C599" s="4561" t="n"/>
      <c r="D599" s="4561" t="n"/>
      <c r="E599" s="4561" t="n"/>
      <c r="F599" s="4561" t="n"/>
      <c r="G599" s="4561" t="n"/>
      <c r="H599" s="4561" t="n"/>
      <c r="I599" s="4562">
        <f>XLOOKUP(B599,'_Sys|Line_Map'!$A:$A,'_Sys|Line_Map'!$C:$C,"MISSING",0)</f>
        <v/>
      </c>
      <c r="J599" s="4562">
        <f>XLOOKUP(B599,'_Sys|Line_Map'!$A:$A,'_Sys|Line_Map'!$D:$D,1,0)</f>
        <v/>
      </c>
      <c r="K599" s="4562">
        <f>IF(D599="","",D599*J599)</f>
        <v/>
      </c>
      <c r="L599" s="4562">
        <f>XLOOKUP(B599,'_Sys|Line_Map'!$A:$A,'_Sys|Line_Map'!$B:$B,"MISSING",0)</f>
        <v/>
      </c>
    </row>
    <row r="600">
      <c r="A600" s="4561" t="n"/>
      <c r="B600" s="4561" t="n"/>
      <c r="C600" s="4561" t="n"/>
      <c r="D600" s="4561" t="n"/>
      <c r="E600" s="4561" t="n"/>
      <c r="F600" s="4561" t="n"/>
      <c r="G600" s="4561" t="n"/>
      <c r="H600" s="4561" t="n"/>
      <c r="I600" s="4562">
        <f>XLOOKUP(B600,'_Sys|Line_Map'!$A:$A,'_Sys|Line_Map'!$C:$C,"MISSING",0)</f>
        <v/>
      </c>
      <c r="J600" s="4562">
        <f>XLOOKUP(B600,'_Sys|Line_Map'!$A:$A,'_Sys|Line_Map'!$D:$D,1,0)</f>
        <v/>
      </c>
      <c r="K600" s="4562">
        <f>IF(D600="","",D600*J600)</f>
        <v/>
      </c>
      <c r="L600" s="4562">
        <f>XLOOKUP(B600,'_Sys|Line_Map'!$A:$A,'_Sys|Line_Map'!$B:$B,"MISSING",0)</f>
        <v/>
      </c>
    </row>
    <row r="601">
      <c r="A601" s="4561" t="n"/>
      <c r="B601" s="4561" t="n"/>
      <c r="C601" s="4561" t="n"/>
      <c r="D601" s="4561" t="n"/>
      <c r="E601" s="4561" t="n"/>
      <c r="F601" s="4561" t="n"/>
      <c r="G601" s="4561" t="n"/>
      <c r="H601" s="4561" t="n"/>
      <c r="I601" s="4562">
        <f>XLOOKUP(B601,'_Sys|Line_Map'!$A:$A,'_Sys|Line_Map'!$C:$C,"MISSING",0)</f>
        <v/>
      </c>
      <c r="J601" s="4562">
        <f>XLOOKUP(B601,'_Sys|Line_Map'!$A:$A,'_Sys|Line_Map'!$D:$D,1,0)</f>
        <v/>
      </c>
      <c r="K601" s="4562">
        <f>IF(D601="","",D601*J601)</f>
        <v/>
      </c>
      <c r="L601" s="4562">
        <f>XLOOKUP(B601,'_Sys|Line_Map'!$A:$A,'_Sys|Line_Map'!$B:$B,"MISSING",0)</f>
        <v/>
      </c>
    </row>
    <row r="602">
      <c r="A602" s="4561" t="n"/>
      <c r="B602" s="4561" t="n"/>
      <c r="C602" s="4561" t="n"/>
      <c r="D602" s="4561" t="n"/>
      <c r="E602" s="4561" t="n"/>
      <c r="F602" s="4561" t="n"/>
      <c r="G602" s="4561" t="n"/>
      <c r="H602" s="4561" t="n"/>
      <c r="I602" s="4562">
        <f>XLOOKUP(B602,'_Sys|Line_Map'!$A:$A,'_Sys|Line_Map'!$C:$C,"MISSING",0)</f>
        <v/>
      </c>
      <c r="J602" s="4562">
        <f>XLOOKUP(B602,'_Sys|Line_Map'!$A:$A,'_Sys|Line_Map'!$D:$D,1,0)</f>
        <v/>
      </c>
      <c r="K602" s="4562">
        <f>IF(D602="","",D602*J602)</f>
        <v/>
      </c>
      <c r="L602" s="4562">
        <f>XLOOKUP(B602,'_Sys|Line_Map'!$A:$A,'_Sys|Line_Map'!$B:$B,"MISSING",0)</f>
        <v/>
      </c>
    </row>
    <row r="603">
      <c r="A603" s="4561" t="n"/>
      <c r="B603" s="4561" t="n"/>
      <c r="C603" s="4561" t="n"/>
      <c r="D603" s="4561" t="n"/>
      <c r="E603" s="4561" t="n"/>
      <c r="F603" s="4561" t="n"/>
      <c r="G603" s="4561" t="n"/>
      <c r="H603" s="4561" t="n"/>
      <c r="I603" s="4562">
        <f>XLOOKUP(B603,'_Sys|Line_Map'!$A:$A,'_Sys|Line_Map'!$C:$C,"MISSING",0)</f>
        <v/>
      </c>
      <c r="J603" s="4562">
        <f>XLOOKUP(B603,'_Sys|Line_Map'!$A:$A,'_Sys|Line_Map'!$D:$D,1,0)</f>
        <v/>
      </c>
      <c r="K603" s="4562">
        <f>IF(D603="","",D603*J603)</f>
        <v/>
      </c>
      <c r="L603" s="4562">
        <f>XLOOKUP(B603,'_Sys|Line_Map'!$A:$A,'_Sys|Line_Map'!$B:$B,"MISSING",0)</f>
        <v/>
      </c>
    </row>
    <row r="604">
      <c r="A604" s="4561" t="n"/>
      <c r="B604" s="4561" t="n"/>
      <c r="C604" s="4561" t="n"/>
      <c r="D604" s="4561" t="n"/>
      <c r="E604" s="4561" t="n"/>
      <c r="F604" s="4561" t="n"/>
      <c r="G604" s="4561" t="n"/>
      <c r="H604" s="4561" t="n"/>
      <c r="I604" s="4562">
        <f>XLOOKUP(B604,'_Sys|Line_Map'!$A:$A,'_Sys|Line_Map'!$C:$C,"MISSING",0)</f>
        <v/>
      </c>
      <c r="J604" s="4562">
        <f>XLOOKUP(B604,'_Sys|Line_Map'!$A:$A,'_Sys|Line_Map'!$D:$D,1,0)</f>
        <v/>
      </c>
      <c r="K604" s="4562">
        <f>IF(D604="","",D604*J604)</f>
        <v/>
      </c>
      <c r="L604" s="4562">
        <f>XLOOKUP(B604,'_Sys|Line_Map'!$A:$A,'_Sys|Line_Map'!$B:$B,"MISSING",0)</f>
        <v/>
      </c>
    </row>
    <row r="605">
      <c r="A605" s="4561" t="n"/>
      <c r="B605" s="4561" t="n"/>
      <c r="C605" s="4561" t="n"/>
      <c r="D605" s="4561" t="n"/>
      <c r="E605" s="4561" t="n"/>
      <c r="F605" s="4561" t="n"/>
      <c r="G605" s="4561" t="n"/>
      <c r="H605" s="4561" t="n"/>
      <c r="I605" s="4562">
        <f>XLOOKUP(B605,'_Sys|Line_Map'!$A:$A,'_Sys|Line_Map'!$C:$C,"MISSING",0)</f>
        <v/>
      </c>
      <c r="J605" s="4562">
        <f>XLOOKUP(B605,'_Sys|Line_Map'!$A:$A,'_Sys|Line_Map'!$D:$D,1,0)</f>
        <v/>
      </c>
      <c r="K605" s="4562">
        <f>IF(D605="","",D605*J605)</f>
        <v/>
      </c>
      <c r="L605" s="4562">
        <f>XLOOKUP(B605,'_Sys|Line_Map'!$A:$A,'_Sys|Line_Map'!$B:$B,"MISSING",0)</f>
        <v/>
      </c>
    </row>
    <row r="606">
      <c r="A606" s="4561" t="n"/>
      <c r="B606" s="4561" t="n"/>
      <c r="C606" s="4561" t="n"/>
      <c r="D606" s="4561" t="n"/>
      <c r="E606" s="4561" t="n"/>
      <c r="F606" s="4561" t="n"/>
      <c r="G606" s="4561" t="n"/>
      <c r="H606" s="4561" t="n"/>
      <c r="I606" s="4562">
        <f>XLOOKUP(B606,'_Sys|Line_Map'!$A:$A,'_Sys|Line_Map'!$C:$C,"MISSING",0)</f>
        <v/>
      </c>
      <c r="J606" s="4562">
        <f>XLOOKUP(B606,'_Sys|Line_Map'!$A:$A,'_Sys|Line_Map'!$D:$D,1,0)</f>
        <v/>
      </c>
      <c r="K606" s="4562">
        <f>IF(D606="","",D606*J606)</f>
        <v/>
      </c>
      <c r="L606" s="4562">
        <f>XLOOKUP(B606,'_Sys|Line_Map'!$A:$A,'_Sys|Line_Map'!$B:$B,"MISSING",0)</f>
        <v/>
      </c>
    </row>
    <row r="607">
      <c r="A607" s="4561" t="n"/>
      <c r="B607" s="4561" t="n"/>
      <c r="C607" s="4561" t="n"/>
      <c r="D607" s="4561" t="n"/>
      <c r="E607" s="4561" t="n"/>
      <c r="F607" s="4561" t="n"/>
      <c r="G607" s="4561" t="n"/>
      <c r="H607" s="4561" t="n"/>
      <c r="I607" s="4562">
        <f>XLOOKUP(B607,'_Sys|Line_Map'!$A:$A,'_Sys|Line_Map'!$C:$C,"MISSING",0)</f>
        <v/>
      </c>
      <c r="J607" s="4562">
        <f>XLOOKUP(B607,'_Sys|Line_Map'!$A:$A,'_Sys|Line_Map'!$D:$D,1,0)</f>
        <v/>
      </c>
      <c r="K607" s="4562">
        <f>IF(D607="","",D607*J607)</f>
        <v/>
      </c>
      <c r="L607" s="4562">
        <f>XLOOKUP(B607,'_Sys|Line_Map'!$A:$A,'_Sys|Line_Map'!$B:$B,"MISSING",0)</f>
        <v/>
      </c>
    </row>
    <row r="608">
      <c r="A608" s="4561" t="n"/>
      <c r="B608" s="4561" t="n"/>
      <c r="C608" s="4561" t="n"/>
      <c r="D608" s="4561" t="n"/>
      <c r="E608" s="4561" t="n"/>
      <c r="F608" s="4561" t="n"/>
      <c r="G608" s="4561" t="n"/>
      <c r="H608" s="4561" t="n"/>
      <c r="I608" s="4562">
        <f>XLOOKUP(B608,'_Sys|Line_Map'!$A:$A,'_Sys|Line_Map'!$C:$C,"MISSING",0)</f>
        <v/>
      </c>
      <c r="J608" s="4562">
        <f>XLOOKUP(B608,'_Sys|Line_Map'!$A:$A,'_Sys|Line_Map'!$D:$D,1,0)</f>
        <v/>
      </c>
      <c r="K608" s="4562">
        <f>IF(D608="","",D608*J608)</f>
        <v/>
      </c>
      <c r="L608" s="4562">
        <f>XLOOKUP(B608,'_Sys|Line_Map'!$A:$A,'_Sys|Line_Map'!$B:$B,"MISSING",0)</f>
        <v/>
      </c>
    </row>
    <row r="609">
      <c r="A609" s="4561" t="n"/>
      <c r="B609" s="4561" t="n"/>
      <c r="C609" s="4561" t="n"/>
      <c r="D609" s="4561" t="n"/>
      <c r="E609" s="4561" t="n"/>
      <c r="F609" s="4561" t="n"/>
      <c r="G609" s="4561" t="n"/>
      <c r="H609" s="4561" t="n"/>
      <c r="I609" s="4562">
        <f>XLOOKUP(B609,'_Sys|Line_Map'!$A:$A,'_Sys|Line_Map'!$C:$C,"MISSING",0)</f>
        <v/>
      </c>
      <c r="J609" s="4562">
        <f>XLOOKUP(B609,'_Sys|Line_Map'!$A:$A,'_Sys|Line_Map'!$D:$D,1,0)</f>
        <v/>
      </c>
      <c r="K609" s="4562">
        <f>IF(D609="","",D609*J609)</f>
        <v/>
      </c>
      <c r="L609" s="4562">
        <f>XLOOKUP(B609,'_Sys|Line_Map'!$A:$A,'_Sys|Line_Map'!$B:$B,"MISSING",0)</f>
        <v/>
      </c>
    </row>
    <row r="610">
      <c r="A610" s="4561" t="n"/>
      <c r="B610" s="4561" t="n"/>
      <c r="C610" s="4561" t="n"/>
      <c r="D610" s="4561" t="n"/>
      <c r="E610" s="4561" t="n"/>
      <c r="F610" s="4561" t="n"/>
      <c r="G610" s="4561" t="n"/>
      <c r="H610" s="4561" t="n"/>
      <c r="I610" s="4562">
        <f>XLOOKUP(B610,'_Sys|Line_Map'!$A:$A,'_Sys|Line_Map'!$C:$C,"MISSING",0)</f>
        <v/>
      </c>
      <c r="J610" s="4562">
        <f>XLOOKUP(B610,'_Sys|Line_Map'!$A:$A,'_Sys|Line_Map'!$D:$D,1,0)</f>
        <v/>
      </c>
      <c r="K610" s="4562">
        <f>IF(D610="","",D610*J610)</f>
        <v/>
      </c>
      <c r="L610" s="4562">
        <f>XLOOKUP(B610,'_Sys|Line_Map'!$A:$A,'_Sys|Line_Map'!$B:$B,"MISSING",0)</f>
        <v/>
      </c>
    </row>
    <row r="611">
      <c r="A611" s="4561" t="n"/>
      <c r="B611" s="4561" t="n"/>
      <c r="C611" s="4561" t="n"/>
      <c r="D611" s="4561" t="n"/>
      <c r="E611" s="4561" t="n"/>
      <c r="F611" s="4561" t="n"/>
      <c r="G611" s="4561" t="n"/>
      <c r="H611" s="4561" t="n"/>
      <c r="I611" s="4562">
        <f>XLOOKUP(B611,'_Sys|Line_Map'!$A:$A,'_Sys|Line_Map'!$C:$C,"MISSING",0)</f>
        <v/>
      </c>
      <c r="J611" s="4562">
        <f>XLOOKUP(B611,'_Sys|Line_Map'!$A:$A,'_Sys|Line_Map'!$D:$D,1,0)</f>
        <v/>
      </c>
      <c r="K611" s="4562">
        <f>IF(D611="","",D611*J611)</f>
        <v/>
      </c>
      <c r="L611" s="4562">
        <f>XLOOKUP(B611,'_Sys|Line_Map'!$A:$A,'_Sys|Line_Map'!$B:$B,"MISSING",0)</f>
        <v/>
      </c>
    </row>
    <row r="612">
      <c r="A612" s="4561" t="n"/>
      <c r="B612" s="4561" t="n"/>
      <c r="C612" s="4561" t="n"/>
      <c r="D612" s="4561" t="n"/>
      <c r="E612" s="4561" t="n"/>
      <c r="F612" s="4561" t="n"/>
      <c r="G612" s="4561" t="n"/>
      <c r="H612" s="4561" t="n"/>
      <c r="I612" s="4562">
        <f>XLOOKUP(B612,'_Sys|Line_Map'!$A:$A,'_Sys|Line_Map'!$C:$C,"MISSING",0)</f>
        <v/>
      </c>
      <c r="J612" s="4562">
        <f>XLOOKUP(B612,'_Sys|Line_Map'!$A:$A,'_Sys|Line_Map'!$D:$D,1,0)</f>
        <v/>
      </c>
      <c r="K612" s="4562">
        <f>IF(D612="","",D612*J612)</f>
        <v/>
      </c>
      <c r="L612" s="4562">
        <f>XLOOKUP(B612,'_Sys|Line_Map'!$A:$A,'_Sys|Line_Map'!$B:$B,"MISSING",0)</f>
        <v/>
      </c>
    </row>
    <row r="613">
      <c r="A613" s="4561" t="n"/>
      <c r="B613" s="4561" t="n"/>
      <c r="C613" s="4561" t="n"/>
      <c r="D613" s="4561" t="n"/>
      <c r="E613" s="4561" t="n"/>
      <c r="F613" s="4561" t="n"/>
      <c r="G613" s="4561" t="n"/>
      <c r="H613" s="4561" t="n"/>
      <c r="I613" s="4562">
        <f>XLOOKUP(B613,'_Sys|Line_Map'!$A:$A,'_Sys|Line_Map'!$C:$C,"MISSING",0)</f>
        <v/>
      </c>
      <c r="J613" s="4562">
        <f>XLOOKUP(B613,'_Sys|Line_Map'!$A:$A,'_Sys|Line_Map'!$D:$D,1,0)</f>
        <v/>
      </c>
      <c r="K613" s="4562">
        <f>IF(D613="","",D613*J613)</f>
        <v/>
      </c>
      <c r="L613" s="4562">
        <f>XLOOKUP(B613,'_Sys|Line_Map'!$A:$A,'_Sys|Line_Map'!$B:$B,"MISSING",0)</f>
        <v/>
      </c>
    </row>
    <row r="614">
      <c r="A614" s="4561" t="n"/>
      <c r="B614" s="4561" t="n"/>
      <c r="C614" s="4561" t="n"/>
      <c r="D614" s="4561" t="n"/>
      <c r="E614" s="4561" t="n"/>
      <c r="F614" s="4561" t="n"/>
      <c r="G614" s="4561" t="n"/>
      <c r="H614" s="4561" t="n"/>
      <c r="I614" s="4562">
        <f>XLOOKUP(B614,'_Sys|Line_Map'!$A:$A,'_Sys|Line_Map'!$C:$C,"MISSING",0)</f>
        <v/>
      </c>
      <c r="J614" s="4562">
        <f>XLOOKUP(B614,'_Sys|Line_Map'!$A:$A,'_Sys|Line_Map'!$D:$D,1,0)</f>
        <v/>
      </c>
      <c r="K614" s="4562">
        <f>IF(D614="","",D614*J614)</f>
        <v/>
      </c>
      <c r="L614" s="4562">
        <f>XLOOKUP(B614,'_Sys|Line_Map'!$A:$A,'_Sys|Line_Map'!$B:$B,"MISSING",0)</f>
        <v/>
      </c>
    </row>
    <row r="615">
      <c r="A615" s="4561" t="n"/>
      <c r="B615" s="4561" t="n"/>
      <c r="C615" s="4561" t="n"/>
      <c r="D615" s="4561" t="n"/>
      <c r="E615" s="4561" t="n"/>
      <c r="F615" s="4561" t="n"/>
      <c r="G615" s="4561" t="n"/>
      <c r="H615" s="4561" t="n"/>
      <c r="I615" s="4562">
        <f>XLOOKUP(B615,'_Sys|Line_Map'!$A:$A,'_Sys|Line_Map'!$C:$C,"MISSING",0)</f>
        <v/>
      </c>
      <c r="J615" s="4562">
        <f>XLOOKUP(B615,'_Sys|Line_Map'!$A:$A,'_Sys|Line_Map'!$D:$D,1,0)</f>
        <v/>
      </c>
      <c r="K615" s="4562">
        <f>IF(D615="","",D615*J615)</f>
        <v/>
      </c>
      <c r="L615" s="4562">
        <f>XLOOKUP(B615,'_Sys|Line_Map'!$A:$A,'_Sys|Line_Map'!$B:$B,"MISSING",0)</f>
        <v/>
      </c>
    </row>
    <row r="616">
      <c r="A616" s="4561" t="n"/>
      <c r="B616" s="4561" t="n"/>
      <c r="C616" s="4561" t="n"/>
      <c r="D616" s="4561" t="n"/>
      <c r="E616" s="4561" t="n"/>
      <c r="F616" s="4561" t="n"/>
      <c r="G616" s="4561" t="n"/>
      <c r="H616" s="4561" t="n"/>
      <c r="I616" s="4562">
        <f>XLOOKUP(B616,'_Sys|Line_Map'!$A:$A,'_Sys|Line_Map'!$C:$C,"MISSING",0)</f>
        <v/>
      </c>
      <c r="J616" s="4562">
        <f>XLOOKUP(B616,'_Sys|Line_Map'!$A:$A,'_Sys|Line_Map'!$D:$D,1,0)</f>
        <v/>
      </c>
      <c r="K616" s="4562">
        <f>IF(D616="","",D616*J616)</f>
        <v/>
      </c>
      <c r="L616" s="4562">
        <f>XLOOKUP(B616,'_Sys|Line_Map'!$A:$A,'_Sys|Line_Map'!$B:$B,"MISSING",0)</f>
        <v/>
      </c>
    </row>
    <row r="617">
      <c r="A617" s="4561" t="n"/>
      <c r="B617" s="4561" t="n"/>
      <c r="C617" s="4561" t="n"/>
      <c r="D617" s="4561" t="n"/>
      <c r="E617" s="4561" t="n"/>
      <c r="F617" s="4561" t="n"/>
      <c r="G617" s="4561" t="n"/>
      <c r="H617" s="4561" t="n"/>
      <c r="I617" s="4562">
        <f>XLOOKUP(B617,'_Sys|Line_Map'!$A:$A,'_Sys|Line_Map'!$C:$C,"MISSING",0)</f>
        <v/>
      </c>
      <c r="J617" s="4562">
        <f>XLOOKUP(B617,'_Sys|Line_Map'!$A:$A,'_Sys|Line_Map'!$D:$D,1,0)</f>
        <v/>
      </c>
      <c r="K617" s="4562">
        <f>IF(D617="","",D617*J617)</f>
        <v/>
      </c>
      <c r="L617" s="4562">
        <f>XLOOKUP(B617,'_Sys|Line_Map'!$A:$A,'_Sys|Line_Map'!$B:$B,"MISSING",0)</f>
        <v/>
      </c>
    </row>
    <row r="618">
      <c r="A618" s="4561" t="n"/>
      <c r="B618" s="4561" t="n"/>
      <c r="C618" s="4561" t="n"/>
      <c r="D618" s="4561" t="n"/>
      <c r="E618" s="4561" t="n"/>
      <c r="F618" s="4561" t="n"/>
      <c r="G618" s="4561" t="n"/>
      <c r="H618" s="4561" t="n"/>
      <c r="I618" s="4562">
        <f>XLOOKUP(B618,'_Sys|Line_Map'!$A:$A,'_Sys|Line_Map'!$C:$C,"MISSING",0)</f>
        <v/>
      </c>
      <c r="J618" s="4562">
        <f>XLOOKUP(B618,'_Sys|Line_Map'!$A:$A,'_Sys|Line_Map'!$D:$D,1,0)</f>
        <v/>
      </c>
      <c r="K618" s="4562">
        <f>IF(D618="","",D618*J618)</f>
        <v/>
      </c>
      <c r="L618" s="4562">
        <f>XLOOKUP(B618,'_Sys|Line_Map'!$A:$A,'_Sys|Line_Map'!$B:$B,"MISSING",0)</f>
        <v/>
      </c>
    </row>
    <row r="619">
      <c r="A619" s="4561" t="n"/>
      <c r="B619" s="4561" t="n"/>
      <c r="C619" s="4561" t="n"/>
      <c r="D619" s="4561" t="n"/>
      <c r="E619" s="4561" t="n"/>
      <c r="F619" s="4561" t="n"/>
      <c r="G619" s="4561" t="n"/>
      <c r="H619" s="4561" t="n"/>
      <c r="I619" s="4562">
        <f>XLOOKUP(B619,'_Sys|Line_Map'!$A:$A,'_Sys|Line_Map'!$C:$C,"MISSING",0)</f>
        <v/>
      </c>
      <c r="J619" s="4562">
        <f>XLOOKUP(B619,'_Sys|Line_Map'!$A:$A,'_Sys|Line_Map'!$D:$D,1,0)</f>
        <v/>
      </c>
      <c r="K619" s="4562">
        <f>IF(D619="","",D619*J619)</f>
        <v/>
      </c>
      <c r="L619" s="4562">
        <f>XLOOKUP(B619,'_Sys|Line_Map'!$A:$A,'_Sys|Line_Map'!$B:$B,"MISSING",0)</f>
        <v/>
      </c>
    </row>
    <row r="620">
      <c r="A620" s="4561" t="n"/>
      <c r="B620" s="4561" t="n"/>
      <c r="C620" s="4561" t="n"/>
      <c r="D620" s="4561" t="n"/>
      <c r="E620" s="4561" t="n"/>
      <c r="F620" s="4561" t="n"/>
      <c r="G620" s="4561" t="n"/>
      <c r="H620" s="4561" t="n"/>
      <c r="I620" s="4562">
        <f>XLOOKUP(B620,'_Sys|Line_Map'!$A:$A,'_Sys|Line_Map'!$C:$C,"MISSING",0)</f>
        <v/>
      </c>
      <c r="J620" s="4562">
        <f>XLOOKUP(B620,'_Sys|Line_Map'!$A:$A,'_Sys|Line_Map'!$D:$D,1,0)</f>
        <v/>
      </c>
      <c r="K620" s="4562">
        <f>IF(D620="","",D620*J620)</f>
        <v/>
      </c>
      <c r="L620" s="4562">
        <f>XLOOKUP(B620,'_Sys|Line_Map'!$A:$A,'_Sys|Line_Map'!$B:$B,"MISSING",0)</f>
        <v/>
      </c>
    </row>
    <row r="621">
      <c r="A621" s="4561" t="n"/>
      <c r="B621" s="4561" t="n"/>
      <c r="C621" s="4561" t="n"/>
      <c r="D621" s="4561" t="n"/>
      <c r="E621" s="4561" t="n"/>
      <c r="F621" s="4561" t="n"/>
      <c r="G621" s="4561" t="n"/>
      <c r="H621" s="4561" t="n"/>
      <c r="I621" s="4562">
        <f>XLOOKUP(B621,'_Sys|Line_Map'!$A:$A,'_Sys|Line_Map'!$C:$C,"MISSING",0)</f>
        <v/>
      </c>
      <c r="J621" s="4562">
        <f>XLOOKUP(B621,'_Sys|Line_Map'!$A:$A,'_Sys|Line_Map'!$D:$D,1,0)</f>
        <v/>
      </c>
      <c r="K621" s="4562">
        <f>IF(D621="","",D621*J621)</f>
        <v/>
      </c>
      <c r="L621" s="4562">
        <f>XLOOKUP(B621,'_Sys|Line_Map'!$A:$A,'_Sys|Line_Map'!$B:$B,"MISSING",0)</f>
        <v/>
      </c>
    </row>
    <row r="622">
      <c r="A622" s="4561" t="n"/>
      <c r="B622" s="4561" t="n"/>
      <c r="C622" s="4561" t="n"/>
      <c r="D622" s="4561" t="n"/>
      <c r="E622" s="4561" t="n"/>
      <c r="F622" s="4561" t="n"/>
      <c r="G622" s="4561" t="n"/>
      <c r="H622" s="4561" t="n"/>
      <c r="I622" s="4562">
        <f>XLOOKUP(B622,'_Sys|Line_Map'!$A:$A,'_Sys|Line_Map'!$C:$C,"MISSING",0)</f>
        <v/>
      </c>
      <c r="J622" s="4562">
        <f>XLOOKUP(B622,'_Sys|Line_Map'!$A:$A,'_Sys|Line_Map'!$D:$D,1,0)</f>
        <v/>
      </c>
      <c r="K622" s="4562">
        <f>IF(D622="","",D622*J622)</f>
        <v/>
      </c>
      <c r="L622" s="4562">
        <f>XLOOKUP(B622,'_Sys|Line_Map'!$A:$A,'_Sys|Line_Map'!$B:$B,"MISSING",0)</f>
        <v/>
      </c>
    </row>
    <row r="623">
      <c r="A623" s="4561" t="n"/>
      <c r="B623" s="4561" t="n"/>
      <c r="C623" s="4561" t="n"/>
      <c r="D623" s="4561" t="n"/>
      <c r="E623" s="4561" t="n"/>
      <c r="F623" s="4561" t="n"/>
      <c r="G623" s="4561" t="n"/>
      <c r="H623" s="4561" t="n"/>
      <c r="I623" s="4562">
        <f>XLOOKUP(B623,'_Sys|Line_Map'!$A:$A,'_Sys|Line_Map'!$C:$C,"MISSING",0)</f>
        <v/>
      </c>
      <c r="J623" s="4562">
        <f>XLOOKUP(B623,'_Sys|Line_Map'!$A:$A,'_Sys|Line_Map'!$D:$D,1,0)</f>
        <v/>
      </c>
      <c r="K623" s="4562">
        <f>IF(D623="","",D623*J623)</f>
        <v/>
      </c>
      <c r="L623" s="4562">
        <f>XLOOKUP(B623,'_Sys|Line_Map'!$A:$A,'_Sys|Line_Map'!$B:$B,"MISSING",0)</f>
        <v/>
      </c>
    </row>
    <row r="624">
      <c r="A624" s="4561" t="n"/>
      <c r="B624" s="4561" t="n"/>
      <c r="C624" s="4561" t="n"/>
      <c r="D624" s="4561" t="n"/>
      <c r="E624" s="4561" t="n"/>
      <c r="F624" s="4561" t="n"/>
      <c r="G624" s="4561" t="n"/>
      <c r="H624" s="4561" t="n"/>
      <c r="I624" s="4562">
        <f>XLOOKUP(B624,'_Sys|Line_Map'!$A:$A,'_Sys|Line_Map'!$C:$C,"MISSING",0)</f>
        <v/>
      </c>
      <c r="J624" s="4562">
        <f>XLOOKUP(B624,'_Sys|Line_Map'!$A:$A,'_Sys|Line_Map'!$D:$D,1,0)</f>
        <v/>
      </c>
      <c r="K624" s="4562">
        <f>IF(D624="","",D624*J624)</f>
        <v/>
      </c>
      <c r="L624" s="4562">
        <f>XLOOKUP(B624,'_Sys|Line_Map'!$A:$A,'_Sys|Line_Map'!$B:$B,"MISSING",0)</f>
        <v/>
      </c>
    </row>
    <row r="625">
      <c r="A625" s="4561" t="n"/>
      <c r="B625" s="4561" t="n"/>
      <c r="C625" s="4561" t="n"/>
      <c r="D625" s="4561" t="n"/>
      <c r="E625" s="4561" t="n"/>
      <c r="F625" s="4561" t="n"/>
      <c r="G625" s="4561" t="n"/>
      <c r="H625" s="4561" t="n"/>
      <c r="I625" s="4562">
        <f>XLOOKUP(B625,'_Sys|Line_Map'!$A:$A,'_Sys|Line_Map'!$C:$C,"MISSING",0)</f>
        <v/>
      </c>
      <c r="J625" s="4562">
        <f>XLOOKUP(B625,'_Sys|Line_Map'!$A:$A,'_Sys|Line_Map'!$D:$D,1,0)</f>
        <v/>
      </c>
      <c r="K625" s="4562">
        <f>IF(D625="","",D625*J625)</f>
        <v/>
      </c>
      <c r="L625" s="4562">
        <f>XLOOKUP(B625,'_Sys|Line_Map'!$A:$A,'_Sys|Line_Map'!$B:$B,"MISSING",0)</f>
        <v/>
      </c>
    </row>
    <row r="626">
      <c r="A626" s="4561" t="n"/>
      <c r="B626" s="4561" t="n"/>
      <c r="C626" s="4561" t="n"/>
      <c r="D626" s="4561" t="n"/>
      <c r="E626" s="4561" t="n"/>
      <c r="F626" s="4561" t="n"/>
      <c r="G626" s="4561" t="n"/>
      <c r="H626" s="4561" t="n"/>
      <c r="I626" s="4562">
        <f>XLOOKUP(B626,'_Sys|Line_Map'!$A:$A,'_Sys|Line_Map'!$C:$C,"MISSING",0)</f>
        <v/>
      </c>
      <c r="J626" s="4562">
        <f>XLOOKUP(B626,'_Sys|Line_Map'!$A:$A,'_Sys|Line_Map'!$D:$D,1,0)</f>
        <v/>
      </c>
      <c r="K626" s="4562">
        <f>IF(D626="","",D626*J626)</f>
        <v/>
      </c>
      <c r="L626" s="4562">
        <f>XLOOKUP(B626,'_Sys|Line_Map'!$A:$A,'_Sys|Line_Map'!$B:$B,"MISSING",0)</f>
        <v/>
      </c>
    </row>
    <row r="627">
      <c r="A627" s="4561" t="n"/>
      <c r="B627" s="4561" t="n"/>
      <c r="C627" s="4561" t="n"/>
      <c r="D627" s="4561" t="n"/>
      <c r="E627" s="4561" t="n"/>
      <c r="F627" s="4561" t="n"/>
      <c r="G627" s="4561" t="n"/>
      <c r="H627" s="4561" t="n"/>
      <c r="I627" s="4562">
        <f>XLOOKUP(B627,'_Sys|Line_Map'!$A:$A,'_Sys|Line_Map'!$C:$C,"MISSING",0)</f>
        <v/>
      </c>
      <c r="J627" s="4562">
        <f>XLOOKUP(B627,'_Sys|Line_Map'!$A:$A,'_Sys|Line_Map'!$D:$D,1,0)</f>
        <v/>
      </c>
      <c r="K627" s="4562">
        <f>IF(D627="","",D627*J627)</f>
        <v/>
      </c>
      <c r="L627" s="4562">
        <f>XLOOKUP(B627,'_Sys|Line_Map'!$A:$A,'_Sys|Line_Map'!$B:$B,"MISSING",0)</f>
        <v/>
      </c>
    </row>
    <row r="628">
      <c r="A628" s="4561" t="n"/>
      <c r="B628" s="4561" t="n"/>
      <c r="C628" s="4561" t="n"/>
      <c r="D628" s="4561" t="n"/>
      <c r="E628" s="4561" t="n"/>
      <c r="F628" s="4561" t="n"/>
      <c r="G628" s="4561" t="n"/>
      <c r="H628" s="4561" t="n"/>
      <c r="I628" s="4562">
        <f>XLOOKUP(B628,'_Sys|Line_Map'!$A:$A,'_Sys|Line_Map'!$C:$C,"MISSING",0)</f>
        <v/>
      </c>
      <c r="J628" s="4562">
        <f>XLOOKUP(B628,'_Sys|Line_Map'!$A:$A,'_Sys|Line_Map'!$D:$D,1,0)</f>
        <v/>
      </c>
      <c r="K628" s="4562">
        <f>IF(D628="","",D628*J628)</f>
        <v/>
      </c>
      <c r="L628" s="4562">
        <f>XLOOKUP(B628,'_Sys|Line_Map'!$A:$A,'_Sys|Line_Map'!$B:$B,"MISSING",0)</f>
        <v/>
      </c>
    </row>
    <row r="629">
      <c r="A629" s="4561" t="n"/>
      <c r="B629" s="4561" t="n"/>
      <c r="C629" s="4561" t="n"/>
      <c r="D629" s="4561" t="n"/>
      <c r="E629" s="4561" t="n"/>
      <c r="F629" s="4561" t="n"/>
      <c r="G629" s="4561" t="n"/>
      <c r="H629" s="4561" t="n"/>
      <c r="I629" s="4562">
        <f>XLOOKUP(B629,'_Sys|Line_Map'!$A:$A,'_Sys|Line_Map'!$C:$C,"MISSING",0)</f>
        <v/>
      </c>
      <c r="J629" s="4562">
        <f>XLOOKUP(B629,'_Sys|Line_Map'!$A:$A,'_Sys|Line_Map'!$D:$D,1,0)</f>
        <v/>
      </c>
      <c r="K629" s="4562">
        <f>IF(D629="","",D629*J629)</f>
        <v/>
      </c>
      <c r="L629" s="4562">
        <f>XLOOKUP(B629,'_Sys|Line_Map'!$A:$A,'_Sys|Line_Map'!$B:$B,"MISSING",0)</f>
        <v/>
      </c>
    </row>
    <row r="630">
      <c r="A630" s="4561" t="n"/>
      <c r="B630" s="4561" t="n"/>
      <c r="C630" s="4561" t="n"/>
      <c r="D630" s="4561" t="n"/>
      <c r="E630" s="4561" t="n"/>
      <c r="F630" s="4561" t="n"/>
      <c r="G630" s="4561" t="n"/>
      <c r="H630" s="4561" t="n"/>
      <c r="I630" s="4562">
        <f>XLOOKUP(B630,'_Sys|Line_Map'!$A:$A,'_Sys|Line_Map'!$C:$C,"MISSING",0)</f>
        <v/>
      </c>
      <c r="J630" s="4562">
        <f>XLOOKUP(B630,'_Sys|Line_Map'!$A:$A,'_Sys|Line_Map'!$D:$D,1,0)</f>
        <v/>
      </c>
      <c r="K630" s="4562">
        <f>IF(D630="","",D630*J630)</f>
        <v/>
      </c>
      <c r="L630" s="4562">
        <f>XLOOKUP(B630,'_Sys|Line_Map'!$A:$A,'_Sys|Line_Map'!$B:$B,"MISSING",0)</f>
        <v/>
      </c>
    </row>
    <row r="631">
      <c r="A631" s="4561" t="n"/>
      <c r="B631" s="4561" t="n"/>
      <c r="C631" s="4561" t="n"/>
      <c r="D631" s="4561" t="n"/>
      <c r="E631" s="4561" t="n"/>
      <c r="F631" s="4561" t="n"/>
      <c r="G631" s="4561" t="n"/>
      <c r="H631" s="4561" t="n"/>
      <c r="I631" s="4562">
        <f>XLOOKUP(B631,'_Sys|Line_Map'!$A:$A,'_Sys|Line_Map'!$C:$C,"MISSING",0)</f>
        <v/>
      </c>
      <c r="J631" s="4562">
        <f>XLOOKUP(B631,'_Sys|Line_Map'!$A:$A,'_Sys|Line_Map'!$D:$D,1,0)</f>
        <v/>
      </c>
      <c r="K631" s="4562">
        <f>IF(D631="","",D631*J631)</f>
        <v/>
      </c>
      <c r="L631" s="4562">
        <f>XLOOKUP(B631,'_Sys|Line_Map'!$A:$A,'_Sys|Line_Map'!$B:$B,"MISSING",0)</f>
        <v/>
      </c>
    </row>
    <row r="632">
      <c r="A632" s="4561" t="n"/>
      <c r="B632" s="4561" t="n"/>
      <c r="C632" s="4561" t="n"/>
      <c r="D632" s="4561" t="n"/>
      <c r="E632" s="4561" t="n"/>
      <c r="F632" s="4561" t="n"/>
      <c r="G632" s="4561" t="n"/>
      <c r="H632" s="4561" t="n"/>
      <c r="I632" s="4562">
        <f>XLOOKUP(B632,'_Sys|Line_Map'!$A:$A,'_Sys|Line_Map'!$C:$C,"MISSING",0)</f>
        <v/>
      </c>
      <c r="J632" s="4562">
        <f>XLOOKUP(B632,'_Sys|Line_Map'!$A:$A,'_Sys|Line_Map'!$D:$D,1,0)</f>
        <v/>
      </c>
      <c r="K632" s="4562">
        <f>IF(D632="","",D632*J632)</f>
        <v/>
      </c>
      <c r="L632" s="4562">
        <f>XLOOKUP(B632,'_Sys|Line_Map'!$A:$A,'_Sys|Line_Map'!$B:$B,"MISSING",0)</f>
        <v/>
      </c>
    </row>
    <row r="633">
      <c r="A633" s="4561" t="n"/>
      <c r="B633" s="4561" t="n"/>
      <c r="C633" s="4561" t="n"/>
      <c r="D633" s="4561" t="n"/>
      <c r="E633" s="4561" t="n"/>
      <c r="F633" s="4561" t="n"/>
      <c r="G633" s="4561" t="n"/>
      <c r="H633" s="4561" t="n"/>
      <c r="I633" s="4562">
        <f>XLOOKUP(B633,'_Sys|Line_Map'!$A:$A,'_Sys|Line_Map'!$C:$C,"MISSING",0)</f>
        <v/>
      </c>
      <c r="J633" s="4562">
        <f>XLOOKUP(B633,'_Sys|Line_Map'!$A:$A,'_Sys|Line_Map'!$D:$D,1,0)</f>
        <v/>
      </c>
      <c r="K633" s="4562">
        <f>IF(D633="","",D633*J633)</f>
        <v/>
      </c>
      <c r="L633" s="4562">
        <f>XLOOKUP(B633,'_Sys|Line_Map'!$A:$A,'_Sys|Line_Map'!$B:$B,"MISSING",0)</f>
        <v/>
      </c>
    </row>
    <row r="634">
      <c r="A634" s="4561" t="n"/>
      <c r="B634" s="4561" t="n"/>
      <c r="C634" s="4561" t="n"/>
      <c r="D634" s="4561" t="n"/>
      <c r="E634" s="4561" t="n"/>
      <c r="F634" s="4561" t="n"/>
      <c r="G634" s="4561" t="n"/>
      <c r="H634" s="4561" t="n"/>
      <c r="I634" s="4562">
        <f>XLOOKUP(B634,'_Sys|Line_Map'!$A:$A,'_Sys|Line_Map'!$C:$C,"MISSING",0)</f>
        <v/>
      </c>
      <c r="J634" s="4562">
        <f>XLOOKUP(B634,'_Sys|Line_Map'!$A:$A,'_Sys|Line_Map'!$D:$D,1,0)</f>
        <v/>
      </c>
      <c r="K634" s="4562">
        <f>IF(D634="","",D634*J634)</f>
        <v/>
      </c>
      <c r="L634" s="4562">
        <f>XLOOKUP(B634,'_Sys|Line_Map'!$A:$A,'_Sys|Line_Map'!$B:$B,"MISSING",0)</f>
        <v/>
      </c>
    </row>
    <row r="635">
      <c r="A635" s="4561" t="n"/>
      <c r="B635" s="4561" t="n"/>
      <c r="C635" s="4561" t="n"/>
      <c r="D635" s="4561" t="n"/>
      <c r="E635" s="4561" t="n"/>
      <c r="F635" s="4561" t="n"/>
      <c r="G635" s="4561" t="n"/>
      <c r="H635" s="4561" t="n"/>
      <c r="I635" s="4562">
        <f>XLOOKUP(B635,'_Sys|Line_Map'!$A:$A,'_Sys|Line_Map'!$C:$C,"MISSING",0)</f>
        <v/>
      </c>
      <c r="J635" s="4562">
        <f>XLOOKUP(B635,'_Sys|Line_Map'!$A:$A,'_Sys|Line_Map'!$D:$D,1,0)</f>
        <v/>
      </c>
      <c r="K635" s="4562">
        <f>IF(D635="","",D635*J635)</f>
        <v/>
      </c>
      <c r="L635" s="4562">
        <f>XLOOKUP(B635,'_Sys|Line_Map'!$A:$A,'_Sys|Line_Map'!$B:$B,"MISSING",0)</f>
        <v/>
      </c>
    </row>
    <row r="636">
      <c r="A636" s="4561" t="n"/>
      <c r="B636" s="4561" t="n"/>
      <c r="C636" s="4561" t="n"/>
      <c r="D636" s="4561" t="n"/>
      <c r="E636" s="4561" t="n"/>
      <c r="F636" s="4561" t="n"/>
      <c r="G636" s="4561" t="n"/>
      <c r="H636" s="4561" t="n"/>
      <c r="I636" s="4562">
        <f>XLOOKUP(B636,'_Sys|Line_Map'!$A:$A,'_Sys|Line_Map'!$C:$C,"MISSING",0)</f>
        <v/>
      </c>
      <c r="J636" s="4562">
        <f>XLOOKUP(B636,'_Sys|Line_Map'!$A:$A,'_Sys|Line_Map'!$D:$D,1,0)</f>
        <v/>
      </c>
      <c r="K636" s="4562">
        <f>IF(D636="","",D636*J636)</f>
        <v/>
      </c>
      <c r="L636" s="4562">
        <f>XLOOKUP(B636,'_Sys|Line_Map'!$A:$A,'_Sys|Line_Map'!$B:$B,"MISSING",0)</f>
        <v/>
      </c>
    </row>
    <row r="637">
      <c r="A637" s="4561" t="n"/>
      <c r="B637" s="4561" t="n"/>
      <c r="C637" s="4561" t="n"/>
      <c r="D637" s="4561" t="n"/>
      <c r="E637" s="4561" t="n"/>
      <c r="F637" s="4561" t="n"/>
      <c r="G637" s="4561" t="n"/>
      <c r="H637" s="4561" t="n"/>
      <c r="I637" s="4562">
        <f>XLOOKUP(B637,'_Sys|Line_Map'!$A:$A,'_Sys|Line_Map'!$C:$C,"MISSING",0)</f>
        <v/>
      </c>
      <c r="J637" s="4562">
        <f>XLOOKUP(B637,'_Sys|Line_Map'!$A:$A,'_Sys|Line_Map'!$D:$D,1,0)</f>
        <v/>
      </c>
      <c r="K637" s="4562">
        <f>IF(D637="","",D637*J637)</f>
        <v/>
      </c>
      <c r="L637" s="4562">
        <f>XLOOKUP(B637,'_Sys|Line_Map'!$A:$A,'_Sys|Line_Map'!$B:$B,"MISSING",0)</f>
        <v/>
      </c>
    </row>
    <row r="638">
      <c r="A638" s="4561" t="n"/>
      <c r="B638" s="4561" t="n"/>
      <c r="C638" s="4561" t="n"/>
      <c r="D638" s="4561" t="n"/>
      <c r="E638" s="4561" t="n"/>
      <c r="F638" s="4561" t="n"/>
      <c r="G638" s="4561" t="n"/>
      <c r="H638" s="4561" t="n"/>
      <c r="I638" s="4562">
        <f>XLOOKUP(B638,'_Sys|Line_Map'!$A:$A,'_Sys|Line_Map'!$C:$C,"MISSING",0)</f>
        <v/>
      </c>
      <c r="J638" s="4562">
        <f>XLOOKUP(B638,'_Sys|Line_Map'!$A:$A,'_Sys|Line_Map'!$D:$D,1,0)</f>
        <v/>
      </c>
      <c r="K638" s="4562">
        <f>IF(D638="","",D638*J638)</f>
        <v/>
      </c>
      <c r="L638" s="4562">
        <f>XLOOKUP(B638,'_Sys|Line_Map'!$A:$A,'_Sys|Line_Map'!$B:$B,"MISSING",0)</f>
        <v/>
      </c>
    </row>
    <row r="639">
      <c r="A639" s="4561" t="n"/>
      <c r="B639" s="4561" t="n"/>
      <c r="C639" s="4561" t="n"/>
      <c r="D639" s="4561" t="n"/>
      <c r="E639" s="4561" t="n"/>
      <c r="F639" s="4561" t="n"/>
      <c r="G639" s="4561" t="n"/>
      <c r="H639" s="4561" t="n"/>
      <c r="I639" s="4562">
        <f>XLOOKUP(B639,'_Sys|Line_Map'!$A:$A,'_Sys|Line_Map'!$C:$C,"MISSING",0)</f>
        <v/>
      </c>
      <c r="J639" s="4562">
        <f>XLOOKUP(B639,'_Sys|Line_Map'!$A:$A,'_Sys|Line_Map'!$D:$D,1,0)</f>
        <v/>
      </c>
      <c r="K639" s="4562">
        <f>IF(D639="","",D639*J639)</f>
        <v/>
      </c>
      <c r="L639" s="4562">
        <f>XLOOKUP(B639,'_Sys|Line_Map'!$A:$A,'_Sys|Line_Map'!$B:$B,"MISSING",0)</f>
        <v/>
      </c>
    </row>
    <row r="640">
      <c r="A640" s="4561" t="n"/>
      <c r="B640" s="4561" t="n"/>
      <c r="C640" s="4561" t="n"/>
      <c r="D640" s="4561" t="n"/>
      <c r="E640" s="4561" t="n"/>
      <c r="F640" s="4561" t="n"/>
      <c r="G640" s="4561" t="n"/>
      <c r="H640" s="4561" t="n"/>
      <c r="I640" s="4562">
        <f>XLOOKUP(B640,'_Sys|Line_Map'!$A:$A,'_Sys|Line_Map'!$C:$C,"MISSING",0)</f>
        <v/>
      </c>
      <c r="J640" s="4562">
        <f>XLOOKUP(B640,'_Sys|Line_Map'!$A:$A,'_Sys|Line_Map'!$D:$D,1,0)</f>
        <v/>
      </c>
      <c r="K640" s="4562">
        <f>IF(D640="","",D640*J640)</f>
        <v/>
      </c>
      <c r="L640" s="4562">
        <f>XLOOKUP(B640,'_Sys|Line_Map'!$A:$A,'_Sys|Line_Map'!$B:$B,"MISSING",0)</f>
        <v/>
      </c>
    </row>
    <row r="641">
      <c r="A641" s="4561" t="n"/>
      <c r="B641" s="4561" t="n"/>
      <c r="C641" s="4561" t="n"/>
      <c r="D641" s="4561" t="n"/>
      <c r="E641" s="4561" t="n"/>
      <c r="F641" s="4561" t="n"/>
      <c r="G641" s="4561" t="n"/>
      <c r="H641" s="4561" t="n"/>
      <c r="I641" s="4562">
        <f>XLOOKUP(B641,'_Sys|Line_Map'!$A:$A,'_Sys|Line_Map'!$C:$C,"MISSING",0)</f>
        <v/>
      </c>
      <c r="J641" s="4562">
        <f>XLOOKUP(B641,'_Sys|Line_Map'!$A:$A,'_Sys|Line_Map'!$D:$D,1,0)</f>
        <v/>
      </c>
      <c r="K641" s="4562">
        <f>IF(D641="","",D641*J641)</f>
        <v/>
      </c>
      <c r="L641" s="4562">
        <f>XLOOKUP(B641,'_Sys|Line_Map'!$A:$A,'_Sys|Line_Map'!$B:$B,"MISSING",0)</f>
        <v/>
      </c>
    </row>
    <row r="642">
      <c r="A642" s="4561" t="n"/>
      <c r="B642" s="4561" t="n"/>
      <c r="C642" s="4561" t="n"/>
      <c r="D642" s="4561" t="n"/>
      <c r="E642" s="4561" t="n"/>
      <c r="F642" s="4561" t="n"/>
      <c r="G642" s="4561" t="n"/>
      <c r="H642" s="4561" t="n"/>
      <c r="I642" s="4562">
        <f>XLOOKUP(B642,'_Sys|Line_Map'!$A:$A,'_Sys|Line_Map'!$C:$C,"MISSING",0)</f>
        <v/>
      </c>
      <c r="J642" s="4562">
        <f>XLOOKUP(B642,'_Sys|Line_Map'!$A:$A,'_Sys|Line_Map'!$D:$D,1,0)</f>
        <v/>
      </c>
      <c r="K642" s="4562">
        <f>IF(D642="","",D642*J642)</f>
        <v/>
      </c>
      <c r="L642" s="4562">
        <f>XLOOKUP(B642,'_Sys|Line_Map'!$A:$A,'_Sys|Line_Map'!$B:$B,"MISSING",0)</f>
        <v/>
      </c>
    </row>
    <row r="643">
      <c r="A643" s="4561" t="n"/>
      <c r="B643" s="4561" t="n"/>
      <c r="C643" s="4561" t="n"/>
      <c r="D643" s="4561" t="n"/>
      <c r="E643" s="4561" t="n"/>
      <c r="F643" s="4561" t="n"/>
      <c r="G643" s="4561" t="n"/>
      <c r="H643" s="4561" t="n"/>
      <c r="I643" s="4562">
        <f>XLOOKUP(B643,'_Sys|Line_Map'!$A:$A,'_Sys|Line_Map'!$C:$C,"MISSING",0)</f>
        <v/>
      </c>
      <c r="J643" s="4562">
        <f>XLOOKUP(B643,'_Sys|Line_Map'!$A:$A,'_Sys|Line_Map'!$D:$D,1,0)</f>
        <v/>
      </c>
      <c r="K643" s="4562">
        <f>IF(D643="","",D643*J643)</f>
        <v/>
      </c>
      <c r="L643" s="4562">
        <f>XLOOKUP(B643,'_Sys|Line_Map'!$A:$A,'_Sys|Line_Map'!$B:$B,"MISSING",0)</f>
        <v/>
      </c>
    </row>
    <row r="644">
      <c r="A644" s="4561" t="n"/>
      <c r="B644" s="4561" t="n"/>
      <c r="C644" s="4561" t="n"/>
      <c r="D644" s="4561" t="n"/>
      <c r="E644" s="4561" t="n"/>
      <c r="F644" s="4561" t="n"/>
      <c r="G644" s="4561" t="n"/>
      <c r="H644" s="4561" t="n"/>
      <c r="I644" s="4562">
        <f>XLOOKUP(B644,'_Sys|Line_Map'!$A:$A,'_Sys|Line_Map'!$C:$C,"MISSING",0)</f>
        <v/>
      </c>
      <c r="J644" s="4562">
        <f>XLOOKUP(B644,'_Sys|Line_Map'!$A:$A,'_Sys|Line_Map'!$D:$D,1,0)</f>
        <v/>
      </c>
      <c r="K644" s="4562">
        <f>IF(D644="","",D644*J644)</f>
        <v/>
      </c>
      <c r="L644" s="4562">
        <f>XLOOKUP(B644,'_Sys|Line_Map'!$A:$A,'_Sys|Line_Map'!$B:$B,"MISSING",0)</f>
        <v/>
      </c>
    </row>
    <row r="645">
      <c r="A645" s="4561" t="n"/>
      <c r="B645" s="4561" t="n"/>
      <c r="C645" s="4561" t="n"/>
      <c r="D645" s="4561" t="n"/>
      <c r="E645" s="4561" t="n"/>
      <c r="F645" s="4561" t="n"/>
      <c r="G645" s="4561" t="n"/>
      <c r="H645" s="4561" t="n"/>
      <c r="I645" s="4562">
        <f>XLOOKUP(B645,'_Sys|Line_Map'!$A:$A,'_Sys|Line_Map'!$C:$C,"MISSING",0)</f>
        <v/>
      </c>
      <c r="J645" s="4562">
        <f>XLOOKUP(B645,'_Sys|Line_Map'!$A:$A,'_Sys|Line_Map'!$D:$D,1,0)</f>
        <v/>
      </c>
      <c r="K645" s="4562">
        <f>IF(D645="","",D645*J645)</f>
        <v/>
      </c>
      <c r="L645" s="4562">
        <f>XLOOKUP(B645,'_Sys|Line_Map'!$A:$A,'_Sys|Line_Map'!$B:$B,"MISSING",0)</f>
        <v/>
      </c>
    </row>
    <row r="646">
      <c r="A646" s="4561" t="n"/>
      <c r="B646" s="4561" t="n"/>
      <c r="C646" s="4561" t="n"/>
      <c r="D646" s="4561" t="n"/>
      <c r="E646" s="4561" t="n"/>
      <c r="F646" s="4561" t="n"/>
      <c r="G646" s="4561" t="n"/>
      <c r="H646" s="4561" t="n"/>
      <c r="I646" s="4562">
        <f>XLOOKUP(B646,'_Sys|Line_Map'!$A:$A,'_Sys|Line_Map'!$C:$C,"MISSING",0)</f>
        <v/>
      </c>
      <c r="J646" s="4562">
        <f>XLOOKUP(B646,'_Sys|Line_Map'!$A:$A,'_Sys|Line_Map'!$D:$D,1,0)</f>
        <v/>
      </c>
      <c r="K646" s="4562">
        <f>IF(D646="","",D646*J646)</f>
        <v/>
      </c>
      <c r="L646" s="4562">
        <f>XLOOKUP(B646,'_Sys|Line_Map'!$A:$A,'_Sys|Line_Map'!$B:$B,"MISSING",0)</f>
        <v/>
      </c>
    </row>
    <row r="647">
      <c r="A647" s="4561" t="n"/>
      <c r="B647" s="4561" t="n"/>
      <c r="C647" s="4561" t="n"/>
      <c r="D647" s="4561" t="n"/>
      <c r="E647" s="4561" t="n"/>
      <c r="F647" s="4561" t="n"/>
      <c r="G647" s="4561" t="n"/>
      <c r="H647" s="4561" t="n"/>
      <c r="I647" s="4562">
        <f>XLOOKUP(B647,'_Sys|Line_Map'!$A:$A,'_Sys|Line_Map'!$C:$C,"MISSING",0)</f>
        <v/>
      </c>
      <c r="J647" s="4562">
        <f>XLOOKUP(B647,'_Sys|Line_Map'!$A:$A,'_Sys|Line_Map'!$D:$D,1,0)</f>
        <v/>
      </c>
      <c r="K647" s="4562">
        <f>IF(D647="","",D647*J647)</f>
        <v/>
      </c>
      <c r="L647" s="4562">
        <f>XLOOKUP(B647,'_Sys|Line_Map'!$A:$A,'_Sys|Line_Map'!$B:$B,"MISSING",0)</f>
        <v/>
      </c>
    </row>
    <row r="648">
      <c r="A648" s="4561" t="n"/>
      <c r="B648" s="4561" t="n"/>
      <c r="C648" s="4561" t="n"/>
      <c r="D648" s="4561" t="n"/>
      <c r="E648" s="4561" t="n"/>
      <c r="F648" s="4561" t="n"/>
      <c r="G648" s="4561" t="n"/>
      <c r="H648" s="4561" t="n"/>
      <c r="I648" s="4562">
        <f>XLOOKUP(B648,'_Sys|Line_Map'!$A:$A,'_Sys|Line_Map'!$C:$C,"MISSING",0)</f>
        <v/>
      </c>
      <c r="J648" s="4562">
        <f>XLOOKUP(B648,'_Sys|Line_Map'!$A:$A,'_Sys|Line_Map'!$D:$D,1,0)</f>
        <v/>
      </c>
      <c r="K648" s="4562">
        <f>IF(D648="","",D648*J648)</f>
        <v/>
      </c>
      <c r="L648" s="4562">
        <f>XLOOKUP(B648,'_Sys|Line_Map'!$A:$A,'_Sys|Line_Map'!$B:$B,"MISSING",0)</f>
        <v/>
      </c>
    </row>
    <row r="649">
      <c r="A649" s="4561" t="n"/>
      <c r="B649" s="4561" t="n"/>
      <c r="C649" s="4561" t="n"/>
      <c r="D649" s="4561" t="n"/>
      <c r="E649" s="4561" t="n"/>
      <c r="F649" s="4561" t="n"/>
      <c r="G649" s="4561" t="n"/>
      <c r="H649" s="4561" t="n"/>
      <c r="I649" s="4562">
        <f>XLOOKUP(B649,'_Sys|Line_Map'!$A:$A,'_Sys|Line_Map'!$C:$C,"MISSING",0)</f>
        <v/>
      </c>
      <c r="J649" s="4562">
        <f>XLOOKUP(B649,'_Sys|Line_Map'!$A:$A,'_Sys|Line_Map'!$D:$D,1,0)</f>
        <v/>
      </c>
      <c r="K649" s="4562">
        <f>IF(D649="","",D649*J649)</f>
        <v/>
      </c>
      <c r="L649" s="4562">
        <f>XLOOKUP(B649,'_Sys|Line_Map'!$A:$A,'_Sys|Line_Map'!$B:$B,"MISSING",0)</f>
        <v/>
      </c>
    </row>
    <row r="650">
      <c r="A650" s="4561" t="n"/>
      <c r="B650" s="4561" t="n"/>
      <c r="C650" s="4561" t="n"/>
      <c r="D650" s="4561" t="n"/>
      <c r="E650" s="4561" t="n"/>
      <c r="F650" s="4561" t="n"/>
      <c r="G650" s="4561" t="n"/>
      <c r="H650" s="4561" t="n"/>
      <c r="I650" s="4562">
        <f>XLOOKUP(B650,'_Sys|Line_Map'!$A:$A,'_Sys|Line_Map'!$C:$C,"MISSING",0)</f>
        <v/>
      </c>
      <c r="J650" s="4562">
        <f>XLOOKUP(B650,'_Sys|Line_Map'!$A:$A,'_Sys|Line_Map'!$D:$D,1,0)</f>
        <v/>
      </c>
      <c r="K650" s="4562">
        <f>IF(D650="","",D650*J650)</f>
        <v/>
      </c>
      <c r="L650" s="4562">
        <f>XLOOKUP(B650,'_Sys|Line_Map'!$A:$A,'_Sys|Line_Map'!$B:$B,"MISSING",0)</f>
        <v/>
      </c>
    </row>
    <row r="651">
      <c r="A651" s="4561" t="n"/>
      <c r="B651" s="4561" t="n"/>
      <c r="C651" s="4561" t="n"/>
      <c r="D651" s="4561" t="n"/>
      <c r="E651" s="4561" t="n"/>
      <c r="F651" s="4561" t="n"/>
      <c r="G651" s="4561" t="n"/>
      <c r="H651" s="4561" t="n"/>
      <c r="I651" s="4562">
        <f>XLOOKUP(B651,'_Sys|Line_Map'!$A:$A,'_Sys|Line_Map'!$C:$C,"MISSING",0)</f>
        <v/>
      </c>
      <c r="J651" s="4562">
        <f>XLOOKUP(B651,'_Sys|Line_Map'!$A:$A,'_Sys|Line_Map'!$D:$D,1,0)</f>
        <v/>
      </c>
      <c r="K651" s="4562">
        <f>IF(D651="","",D651*J651)</f>
        <v/>
      </c>
      <c r="L651" s="4562">
        <f>XLOOKUP(B651,'_Sys|Line_Map'!$A:$A,'_Sys|Line_Map'!$B:$B,"MISSING",0)</f>
        <v/>
      </c>
    </row>
    <row r="652">
      <c r="A652" s="4561" t="n"/>
      <c r="B652" s="4561" t="n"/>
      <c r="C652" s="4561" t="n"/>
      <c r="D652" s="4561" t="n"/>
      <c r="E652" s="4561" t="n"/>
      <c r="F652" s="4561" t="n"/>
      <c r="G652" s="4561" t="n"/>
      <c r="H652" s="4561" t="n"/>
      <c r="I652" s="4562">
        <f>XLOOKUP(B652,'_Sys|Line_Map'!$A:$A,'_Sys|Line_Map'!$C:$C,"MISSING",0)</f>
        <v/>
      </c>
      <c r="J652" s="4562">
        <f>XLOOKUP(B652,'_Sys|Line_Map'!$A:$A,'_Sys|Line_Map'!$D:$D,1,0)</f>
        <v/>
      </c>
      <c r="K652" s="4562">
        <f>IF(D652="","",D652*J652)</f>
        <v/>
      </c>
      <c r="L652" s="4562">
        <f>XLOOKUP(B652,'_Sys|Line_Map'!$A:$A,'_Sys|Line_Map'!$B:$B,"MISSING",0)</f>
        <v/>
      </c>
    </row>
    <row r="653">
      <c r="A653" s="4561" t="n"/>
      <c r="B653" s="4561" t="n"/>
      <c r="C653" s="4561" t="n"/>
      <c r="D653" s="4561" t="n"/>
      <c r="E653" s="4561" t="n"/>
      <c r="F653" s="4561" t="n"/>
      <c r="G653" s="4561" t="n"/>
      <c r="H653" s="4561" t="n"/>
      <c r="I653" s="4562">
        <f>XLOOKUP(B653,'_Sys|Line_Map'!$A:$A,'_Sys|Line_Map'!$C:$C,"MISSING",0)</f>
        <v/>
      </c>
      <c r="J653" s="4562">
        <f>XLOOKUP(B653,'_Sys|Line_Map'!$A:$A,'_Sys|Line_Map'!$D:$D,1,0)</f>
        <v/>
      </c>
      <c r="K653" s="4562">
        <f>IF(D653="","",D653*J653)</f>
        <v/>
      </c>
      <c r="L653" s="4562">
        <f>XLOOKUP(B653,'_Sys|Line_Map'!$A:$A,'_Sys|Line_Map'!$B:$B,"MISSING",0)</f>
        <v/>
      </c>
    </row>
    <row r="654">
      <c r="A654" s="4561" t="n"/>
      <c r="B654" s="4561" t="n"/>
      <c r="C654" s="4561" t="n"/>
      <c r="D654" s="4561" t="n"/>
      <c r="E654" s="4561" t="n"/>
      <c r="F654" s="4561" t="n"/>
      <c r="G654" s="4561" t="n"/>
      <c r="H654" s="4561" t="n"/>
      <c r="I654" s="4562">
        <f>XLOOKUP(B654,'_Sys|Line_Map'!$A:$A,'_Sys|Line_Map'!$C:$C,"MISSING",0)</f>
        <v/>
      </c>
      <c r="J654" s="4562">
        <f>XLOOKUP(B654,'_Sys|Line_Map'!$A:$A,'_Sys|Line_Map'!$D:$D,1,0)</f>
        <v/>
      </c>
      <c r="K654" s="4562">
        <f>IF(D654="","",D654*J654)</f>
        <v/>
      </c>
      <c r="L654" s="4562">
        <f>XLOOKUP(B654,'_Sys|Line_Map'!$A:$A,'_Sys|Line_Map'!$B:$B,"MISSING",0)</f>
        <v/>
      </c>
    </row>
    <row r="655">
      <c r="A655" s="4561" t="n"/>
      <c r="B655" s="4561" t="n"/>
      <c r="C655" s="4561" t="n"/>
      <c r="D655" s="4561" t="n"/>
      <c r="E655" s="4561" t="n"/>
      <c r="F655" s="4561" t="n"/>
      <c r="G655" s="4561" t="n"/>
      <c r="H655" s="4561" t="n"/>
      <c r="I655" s="4562">
        <f>XLOOKUP(B655,'_Sys|Line_Map'!$A:$A,'_Sys|Line_Map'!$C:$C,"MISSING",0)</f>
        <v/>
      </c>
      <c r="J655" s="4562">
        <f>XLOOKUP(B655,'_Sys|Line_Map'!$A:$A,'_Sys|Line_Map'!$D:$D,1,0)</f>
        <v/>
      </c>
      <c r="K655" s="4562">
        <f>IF(D655="","",D655*J655)</f>
        <v/>
      </c>
      <c r="L655" s="4562">
        <f>XLOOKUP(B655,'_Sys|Line_Map'!$A:$A,'_Sys|Line_Map'!$B:$B,"MISSING",0)</f>
        <v/>
      </c>
    </row>
    <row r="656">
      <c r="A656" s="4561" t="n"/>
      <c r="B656" s="4561" t="n"/>
      <c r="C656" s="4561" t="n"/>
      <c r="D656" s="4561" t="n"/>
      <c r="E656" s="4561" t="n"/>
      <c r="F656" s="4561" t="n"/>
      <c r="G656" s="4561" t="n"/>
      <c r="H656" s="4561" t="n"/>
      <c r="I656" s="4562">
        <f>XLOOKUP(B656,'_Sys|Line_Map'!$A:$A,'_Sys|Line_Map'!$C:$C,"MISSING",0)</f>
        <v/>
      </c>
      <c r="J656" s="4562">
        <f>XLOOKUP(B656,'_Sys|Line_Map'!$A:$A,'_Sys|Line_Map'!$D:$D,1,0)</f>
        <v/>
      </c>
      <c r="K656" s="4562">
        <f>IF(D656="","",D656*J656)</f>
        <v/>
      </c>
      <c r="L656" s="4562">
        <f>XLOOKUP(B656,'_Sys|Line_Map'!$A:$A,'_Sys|Line_Map'!$B:$B,"MISSING",0)</f>
        <v/>
      </c>
    </row>
    <row r="657">
      <c r="A657" s="4561" t="n"/>
      <c r="B657" s="4561" t="n"/>
      <c r="C657" s="4561" t="n"/>
      <c r="D657" s="4561" t="n"/>
      <c r="E657" s="4561" t="n"/>
      <c r="F657" s="4561" t="n"/>
      <c r="G657" s="4561" t="n"/>
      <c r="H657" s="4561" t="n"/>
      <c r="I657" s="4562">
        <f>XLOOKUP(B657,'_Sys|Line_Map'!$A:$A,'_Sys|Line_Map'!$C:$C,"MISSING",0)</f>
        <v/>
      </c>
      <c r="J657" s="4562">
        <f>XLOOKUP(B657,'_Sys|Line_Map'!$A:$A,'_Sys|Line_Map'!$D:$D,1,0)</f>
        <v/>
      </c>
      <c r="K657" s="4562">
        <f>IF(D657="","",D657*J657)</f>
        <v/>
      </c>
      <c r="L657" s="4562">
        <f>XLOOKUP(B657,'_Sys|Line_Map'!$A:$A,'_Sys|Line_Map'!$B:$B,"MISSING",0)</f>
        <v/>
      </c>
    </row>
    <row r="658">
      <c r="A658" s="4561" t="n"/>
      <c r="B658" s="4561" t="n"/>
      <c r="C658" s="4561" t="n"/>
      <c r="D658" s="4561" t="n"/>
      <c r="E658" s="4561" t="n"/>
      <c r="F658" s="4561" t="n"/>
      <c r="G658" s="4561" t="n"/>
      <c r="H658" s="4561" t="n"/>
      <c r="I658" s="4562">
        <f>XLOOKUP(B658,'_Sys|Line_Map'!$A:$A,'_Sys|Line_Map'!$C:$C,"MISSING",0)</f>
        <v/>
      </c>
      <c r="J658" s="4562">
        <f>XLOOKUP(B658,'_Sys|Line_Map'!$A:$A,'_Sys|Line_Map'!$D:$D,1,0)</f>
        <v/>
      </c>
      <c r="K658" s="4562">
        <f>IF(D658="","",D658*J658)</f>
        <v/>
      </c>
      <c r="L658" s="4562">
        <f>XLOOKUP(B658,'_Sys|Line_Map'!$A:$A,'_Sys|Line_Map'!$B:$B,"MISSING",0)</f>
        <v/>
      </c>
    </row>
    <row r="659">
      <c r="A659" s="4561" t="n"/>
      <c r="B659" s="4561" t="n"/>
      <c r="C659" s="4561" t="n"/>
      <c r="D659" s="4561" t="n"/>
      <c r="E659" s="4561" t="n"/>
      <c r="F659" s="4561" t="n"/>
      <c r="G659" s="4561" t="n"/>
      <c r="H659" s="4561" t="n"/>
      <c r="I659" s="4562">
        <f>XLOOKUP(B659,'_Sys|Line_Map'!$A:$A,'_Sys|Line_Map'!$C:$C,"MISSING",0)</f>
        <v/>
      </c>
      <c r="J659" s="4562">
        <f>XLOOKUP(B659,'_Sys|Line_Map'!$A:$A,'_Sys|Line_Map'!$D:$D,1,0)</f>
        <v/>
      </c>
      <c r="K659" s="4562">
        <f>IF(D659="","",D659*J659)</f>
        <v/>
      </c>
      <c r="L659" s="4562">
        <f>XLOOKUP(B659,'_Sys|Line_Map'!$A:$A,'_Sys|Line_Map'!$B:$B,"MISSING",0)</f>
        <v/>
      </c>
    </row>
    <row r="660">
      <c r="A660" s="4561" t="n"/>
      <c r="B660" s="4561" t="n"/>
      <c r="C660" s="4561" t="n"/>
      <c r="D660" s="4561" t="n"/>
      <c r="E660" s="4561" t="n"/>
      <c r="F660" s="4561" t="n"/>
      <c r="G660" s="4561" t="n"/>
      <c r="H660" s="4561" t="n"/>
      <c r="I660" s="4562">
        <f>XLOOKUP(B660,'_Sys|Line_Map'!$A:$A,'_Sys|Line_Map'!$C:$C,"MISSING",0)</f>
        <v/>
      </c>
      <c r="J660" s="4562">
        <f>XLOOKUP(B660,'_Sys|Line_Map'!$A:$A,'_Sys|Line_Map'!$D:$D,1,0)</f>
        <v/>
      </c>
      <c r="K660" s="4562">
        <f>IF(D660="","",D660*J660)</f>
        <v/>
      </c>
      <c r="L660" s="4562">
        <f>XLOOKUP(B660,'_Sys|Line_Map'!$A:$A,'_Sys|Line_Map'!$B:$B,"MISSING",0)</f>
        <v/>
      </c>
    </row>
    <row r="661">
      <c r="A661" s="4561" t="n"/>
      <c r="B661" s="4561" t="n"/>
      <c r="C661" s="4561" t="n"/>
      <c r="D661" s="4561" t="n"/>
      <c r="E661" s="4561" t="n"/>
      <c r="F661" s="4561" t="n"/>
      <c r="G661" s="4561" t="n"/>
      <c r="H661" s="4561" t="n"/>
      <c r="I661" s="4562">
        <f>XLOOKUP(B661,'_Sys|Line_Map'!$A:$A,'_Sys|Line_Map'!$C:$C,"MISSING",0)</f>
        <v/>
      </c>
      <c r="J661" s="4562">
        <f>XLOOKUP(B661,'_Sys|Line_Map'!$A:$A,'_Sys|Line_Map'!$D:$D,1,0)</f>
        <v/>
      </c>
      <c r="K661" s="4562">
        <f>IF(D661="","",D661*J661)</f>
        <v/>
      </c>
      <c r="L661" s="4562">
        <f>XLOOKUP(B661,'_Sys|Line_Map'!$A:$A,'_Sys|Line_Map'!$B:$B,"MISSING",0)</f>
        <v/>
      </c>
    </row>
    <row r="662">
      <c r="A662" s="4561" t="n"/>
      <c r="B662" s="4561" t="n"/>
      <c r="C662" s="4561" t="n"/>
      <c r="D662" s="4561" t="n"/>
      <c r="E662" s="4561" t="n"/>
      <c r="F662" s="4561" t="n"/>
      <c r="G662" s="4561" t="n"/>
      <c r="H662" s="4561" t="n"/>
      <c r="I662" s="4562">
        <f>XLOOKUP(B662,'_Sys|Line_Map'!$A:$A,'_Sys|Line_Map'!$C:$C,"MISSING",0)</f>
        <v/>
      </c>
      <c r="J662" s="4562">
        <f>XLOOKUP(B662,'_Sys|Line_Map'!$A:$A,'_Sys|Line_Map'!$D:$D,1,0)</f>
        <v/>
      </c>
      <c r="K662" s="4562">
        <f>IF(D662="","",D662*J662)</f>
        <v/>
      </c>
      <c r="L662" s="4562">
        <f>XLOOKUP(B662,'_Sys|Line_Map'!$A:$A,'_Sys|Line_Map'!$B:$B,"MISSING",0)</f>
        <v/>
      </c>
    </row>
    <row r="663">
      <c r="A663" s="4561" t="n"/>
      <c r="B663" s="4561" t="n"/>
      <c r="C663" s="4561" t="n"/>
      <c r="D663" s="4561" t="n"/>
      <c r="E663" s="4561" t="n"/>
      <c r="F663" s="4561" t="n"/>
      <c r="G663" s="4561" t="n"/>
      <c r="H663" s="4561" t="n"/>
      <c r="I663" s="4562">
        <f>XLOOKUP(B663,'_Sys|Line_Map'!$A:$A,'_Sys|Line_Map'!$C:$C,"MISSING",0)</f>
        <v/>
      </c>
      <c r="J663" s="4562">
        <f>XLOOKUP(B663,'_Sys|Line_Map'!$A:$A,'_Sys|Line_Map'!$D:$D,1,0)</f>
        <v/>
      </c>
      <c r="K663" s="4562">
        <f>IF(D663="","",D663*J663)</f>
        <v/>
      </c>
      <c r="L663" s="4562">
        <f>XLOOKUP(B663,'_Sys|Line_Map'!$A:$A,'_Sys|Line_Map'!$B:$B,"MISSING",0)</f>
        <v/>
      </c>
    </row>
    <row r="664">
      <c r="A664" s="4561" t="n"/>
      <c r="B664" s="4561" t="n"/>
      <c r="C664" s="4561" t="n"/>
      <c r="D664" s="4561" t="n"/>
      <c r="E664" s="4561" t="n"/>
      <c r="F664" s="4561" t="n"/>
      <c r="G664" s="4561" t="n"/>
      <c r="H664" s="4561" t="n"/>
      <c r="I664" s="4562">
        <f>XLOOKUP(B664,'_Sys|Line_Map'!$A:$A,'_Sys|Line_Map'!$C:$C,"MISSING",0)</f>
        <v/>
      </c>
      <c r="J664" s="4562">
        <f>XLOOKUP(B664,'_Sys|Line_Map'!$A:$A,'_Sys|Line_Map'!$D:$D,1,0)</f>
        <v/>
      </c>
      <c r="K664" s="4562">
        <f>IF(D664="","",D664*J664)</f>
        <v/>
      </c>
      <c r="L664" s="4562">
        <f>XLOOKUP(B664,'_Sys|Line_Map'!$A:$A,'_Sys|Line_Map'!$B:$B,"MISSING",0)</f>
        <v/>
      </c>
    </row>
    <row r="665">
      <c r="A665" s="4561" t="n"/>
      <c r="B665" s="4561" t="n"/>
      <c r="C665" s="4561" t="n"/>
      <c r="D665" s="4561" t="n"/>
      <c r="E665" s="4561" t="n"/>
      <c r="F665" s="4561" t="n"/>
      <c r="G665" s="4561" t="n"/>
      <c r="H665" s="4561" t="n"/>
      <c r="I665" s="4562">
        <f>XLOOKUP(B665,'_Sys|Line_Map'!$A:$A,'_Sys|Line_Map'!$C:$C,"MISSING",0)</f>
        <v/>
      </c>
      <c r="J665" s="4562">
        <f>XLOOKUP(B665,'_Sys|Line_Map'!$A:$A,'_Sys|Line_Map'!$D:$D,1,0)</f>
        <v/>
      </c>
      <c r="K665" s="4562">
        <f>IF(D665="","",D665*J665)</f>
        <v/>
      </c>
      <c r="L665" s="4562">
        <f>XLOOKUP(B665,'_Sys|Line_Map'!$A:$A,'_Sys|Line_Map'!$B:$B,"MISSING",0)</f>
        <v/>
      </c>
    </row>
    <row r="666">
      <c r="A666" s="4561" t="n"/>
      <c r="B666" s="4561" t="n"/>
      <c r="C666" s="4561" t="n"/>
      <c r="D666" s="4561" t="n"/>
      <c r="E666" s="4561" t="n"/>
      <c r="F666" s="4561" t="n"/>
      <c r="G666" s="4561" t="n"/>
      <c r="H666" s="4561" t="n"/>
      <c r="I666" s="4562">
        <f>XLOOKUP(B666,'_Sys|Line_Map'!$A:$A,'_Sys|Line_Map'!$C:$C,"MISSING",0)</f>
        <v/>
      </c>
      <c r="J666" s="4562">
        <f>XLOOKUP(B666,'_Sys|Line_Map'!$A:$A,'_Sys|Line_Map'!$D:$D,1,0)</f>
        <v/>
      </c>
      <c r="K666" s="4562">
        <f>IF(D666="","",D666*J666)</f>
        <v/>
      </c>
      <c r="L666" s="4562">
        <f>XLOOKUP(B666,'_Sys|Line_Map'!$A:$A,'_Sys|Line_Map'!$B:$B,"MISSING",0)</f>
        <v/>
      </c>
    </row>
    <row r="667">
      <c r="A667" s="4561" t="n"/>
      <c r="B667" s="4561" t="n"/>
      <c r="C667" s="4561" t="n"/>
      <c r="D667" s="4561" t="n"/>
      <c r="E667" s="4561" t="n"/>
      <c r="F667" s="4561" t="n"/>
      <c r="G667" s="4561" t="n"/>
      <c r="H667" s="4561" t="n"/>
      <c r="I667" s="4562">
        <f>XLOOKUP(B667,'_Sys|Line_Map'!$A:$A,'_Sys|Line_Map'!$C:$C,"MISSING",0)</f>
        <v/>
      </c>
      <c r="J667" s="4562">
        <f>XLOOKUP(B667,'_Sys|Line_Map'!$A:$A,'_Sys|Line_Map'!$D:$D,1,0)</f>
        <v/>
      </c>
      <c r="K667" s="4562">
        <f>IF(D667="","",D667*J667)</f>
        <v/>
      </c>
      <c r="L667" s="4562">
        <f>XLOOKUP(B667,'_Sys|Line_Map'!$A:$A,'_Sys|Line_Map'!$B:$B,"MISSING",0)</f>
        <v/>
      </c>
    </row>
    <row r="668">
      <c r="A668" s="4561" t="n"/>
      <c r="B668" s="4561" t="n"/>
      <c r="C668" s="4561" t="n"/>
      <c r="D668" s="4561" t="n"/>
      <c r="E668" s="4561" t="n"/>
      <c r="F668" s="4561" t="n"/>
      <c r="G668" s="4561" t="n"/>
      <c r="H668" s="4561" t="n"/>
      <c r="I668" s="4562">
        <f>XLOOKUP(B668,'_Sys|Line_Map'!$A:$A,'_Sys|Line_Map'!$C:$C,"MISSING",0)</f>
        <v/>
      </c>
      <c r="J668" s="4562">
        <f>XLOOKUP(B668,'_Sys|Line_Map'!$A:$A,'_Sys|Line_Map'!$D:$D,1,0)</f>
        <v/>
      </c>
      <c r="K668" s="4562">
        <f>IF(D668="","",D668*J668)</f>
        <v/>
      </c>
      <c r="L668" s="4562">
        <f>XLOOKUP(B668,'_Sys|Line_Map'!$A:$A,'_Sys|Line_Map'!$B:$B,"MISSING",0)</f>
        <v/>
      </c>
    </row>
    <row r="669">
      <c r="A669" s="4561" t="n"/>
      <c r="B669" s="4561" t="n"/>
      <c r="C669" s="4561" t="n"/>
      <c r="D669" s="4561" t="n"/>
      <c r="E669" s="4561" t="n"/>
      <c r="F669" s="4561" t="n"/>
      <c r="G669" s="4561" t="n"/>
      <c r="H669" s="4561" t="n"/>
      <c r="I669" s="4562">
        <f>XLOOKUP(B669,'_Sys|Line_Map'!$A:$A,'_Sys|Line_Map'!$C:$C,"MISSING",0)</f>
        <v/>
      </c>
      <c r="J669" s="4562">
        <f>XLOOKUP(B669,'_Sys|Line_Map'!$A:$A,'_Sys|Line_Map'!$D:$D,1,0)</f>
        <v/>
      </c>
      <c r="K669" s="4562">
        <f>IF(D669="","",D669*J669)</f>
        <v/>
      </c>
      <c r="L669" s="4562">
        <f>XLOOKUP(B669,'_Sys|Line_Map'!$A:$A,'_Sys|Line_Map'!$B:$B,"MISSING",0)</f>
        <v/>
      </c>
    </row>
    <row r="670">
      <c r="A670" s="4561" t="n"/>
      <c r="B670" s="4561" t="n"/>
      <c r="C670" s="4561" t="n"/>
      <c r="D670" s="4561" t="n"/>
      <c r="E670" s="4561" t="n"/>
      <c r="F670" s="4561" t="n"/>
      <c r="G670" s="4561" t="n"/>
      <c r="H670" s="4561" t="n"/>
      <c r="I670" s="4562">
        <f>XLOOKUP(B670,'_Sys|Line_Map'!$A:$A,'_Sys|Line_Map'!$C:$C,"MISSING",0)</f>
        <v/>
      </c>
      <c r="J670" s="4562">
        <f>XLOOKUP(B670,'_Sys|Line_Map'!$A:$A,'_Sys|Line_Map'!$D:$D,1,0)</f>
        <v/>
      </c>
      <c r="K670" s="4562">
        <f>IF(D670="","",D670*J670)</f>
        <v/>
      </c>
      <c r="L670" s="4562">
        <f>XLOOKUP(B670,'_Sys|Line_Map'!$A:$A,'_Sys|Line_Map'!$B:$B,"MISSING",0)</f>
        <v/>
      </c>
    </row>
    <row r="671">
      <c r="A671" s="4561" t="n"/>
      <c r="B671" s="4561" t="n"/>
      <c r="C671" s="4561" t="n"/>
      <c r="D671" s="4561" t="n"/>
      <c r="E671" s="4561" t="n"/>
      <c r="F671" s="4561" t="n"/>
      <c r="G671" s="4561" t="n"/>
      <c r="H671" s="4561" t="n"/>
      <c r="I671" s="4562">
        <f>XLOOKUP(B671,'_Sys|Line_Map'!$A:$A,'_Sys|Line_Map'!$C:$C,"MISSING",0)</f>
        <v/>
      </c>
      <c r="J671" s="4562">
        <f>XLOOKUP(B671,'_Sys|Line_Map'!$A:$A,'_Sys|Line_Map'!$D:$D,1,0)</f>
        <v/>
      </c>
      <c r="K671" s="4562">
        <f>IF(D671="","",D671*J671)</f>
        <v/>
      </c>
      <c r="L671" s="4562">
        <f>XLOOKUP(B671,'_Sys|Line_Map'!$A:$A,'_Sys|Line_Map'!$B:$B,"MISSING",0)</f>
        <v/>
      </c>
    </row>
    <row r="672">
      <c r="A672" s="4561" t="n"/>
      <c r="B672" s="4561" t="n"/>
      <c r="C672" s="4561" t="n"/>
      <c r="D672" s="4561" t="n"/>
      <c r="E672" s="4561" t="n"/>
      <c r="F672" s="4561" t="n"/>
      <c r="G672" s="4561" t="n"/>
      <c r="H672" s="4561" t="n"/>
      <c r="I672" s="4562">
        <f>XLOOKUP(B672,'_Sys|Line_Map'!$A:$A,'_Sys|Line_Map'!$C:$C,"MISSING",0)</f>
        <v/>
      </c>
      <c r="J672" s="4562">
        <f>XLOOKUP(B672,'_Sys|Line_Map'!$A:$A,'_Sys|Line_Map'!$D:$D,1,0)</f>
        <v/>
      </c>
      <c r="K672" s="4562">
        <f>IF(D672="","",D672*J672)</f>
        <v/>
      </c>
      <c r="L672" s="4562">
        <f>XLOOKUP(B672,'_Sys|Line_Map'!$A:$A,'_Sys|Line_Map'!$B:$B,"MISSING",0)</f>
        <v/>
      </c>
    </row>
    <row r="673">
      <c r="A673" s="4561" t="n"/>
      <c r="B673" s="4561" t="n"/>
      <c r="C673" s="4561" t="n"/>
      <c r="D673" s="4561" t="n"/>
      <c r="E673" s="4561" t="n"/>
      <c r="F673" s="4561" t="n"/>
      <c r="G673" s="4561" t="n"/>
      <c r="H673" s="4561" t="n"/>
      <c r="I673" s="4562">
        <f>XLOOKUP(B673,'_Sys|Line_Map'!$A:$A,'_Sys|Line_Map'!$C:$C,"MISSING",0)</f>
        <v/>
      </c>
      <c r="J673" s="4562">
        <f>XLOOKUP(B673,'_Sys|Line_Map'!$A:$A,'_Sys|Line_Map'!$D:$D,1,0)</f>
        <v/>
      </c>
      <c r="K673" s="4562">
        <f>IF(D673="","",D673*J673)</f>
        <v/>
      </c>
      <c r="L673" s="4562">
        <f>XLOOKUP(B673,'_Sys|Line_Map'!$A:$A,'_Sys|Line_Map'!$B:$B,"MISSING",0)</f>
        <v/>
      </c>
    </row>
    <row r="674">
      <c r="A674" s="4561" t="n"/>
      <c r="B674" s="4561" t="n"/>
      <c r="C674" s="4561" t="n"/>
      <c r="D674" s="4561" t="n"/>
      <c r="E674" s="4561" t="n"/>
      <c r="F674" s="4561" t="n"/>
      <c r="G674" s="4561" t="n"/>
      <c r="H674" s="4561" t="n"/>
      <c r="I674" s="4562">
        <f>XLOOKUP(B674,'_Sys|Line_Map'!$A:$A,'_Sys|Line_Map'!$C:$C,"MISSING",0)</f>
        <v/>
      </c>
      <c r="J674" s="4562">
        <f>XLOOKUP(B674,'_Sys|Line_Map'!$A:$A,'_Sys|Line_Map'!$D:$D,1,0)</f>
        <v/>
      </c>
      <c r="K674" s="4562">
        <f>IF(D674="","",D674*J674)</f>
        <v/>
      </c>
      <c r="L674" s="4562">
        <f>XLOOKUP(B674,'_Sys|Line_Map'!$A:$A,'_Sys|Line_Map'!$B:$B,"MISSING",0)</f>
        <v/>
      </c>
    </row>
    <row r="675">
      <c r="A675" s="4561" t="n"/>
      <c r="B675" s="4561" t="n"/>
      <c r="C675" s="4561" t="n"/>
      <c r="D675" s="4561" t="n"/>
      <c r="E675" s="4561" t="n"/>
      <c r="F675" s="4561" t="n"/>
      <c r="G675" s="4561" t="n"/>
      <c r="H675" s="4561" t="n"/>
      <c r="I675" s="4562">
        <f>XLOOKUP(B675,'_Sys|Line_Map'!$A:$A,'_Sys|Line_Map'!$C:$C,"MISSING",0)</f>
        <v/>
      </c>
      <c r="J675" s="4562">
        <f>XLOOKUP(B675,'_Sys|Line_Map'!$A:$A,'_Sys|Line_Map'!$D:$D,1,0)</f>
        <v/>
      </c>
      <c r="K675" s="4562">
        <f>IF(D675="","",D675*J675)</f>
        <v/>
      </c>
      <c r="L675" s="4562">
        <f>XLOOKUP(B675,'_Sys|Line_Map'!$A:$A,'_Sys|Line_Map'!$B:$B,"MISSING",0)</f>
        <v/>
      </c>
    </row>
    <row r="676">
      <c r="A676" s="4561" t="n"/>
      <c r="B676" s="4561" t="n"/>
      <c r="C676" s="4561" t="n"/>
      <c r="D676" s="4561" t="n"/>
      <c r="E676" s="4561" t="n"/>
      <c r="F676" s="4561" t="n"/>
      <c r="G676" s="4561" t="n"/>
      <c r="H676" s="4561" t="n"/>
      <c r="I676" s="4562">
        <f>XLOOKUP(B676,'_Sys|Line_Map'!$A:$A,'_Sys|Line_Map'!$C:$C,"MISSING",0)</f>
        <v/>
      </c>
      <c r="J676" s="4562">
        <f>XLOOKUP(B676,'_Sys|Line_Map'!$A:$A,'_Sys|Line_Map'!$D:$D,1,0)</f>
        <v/>
      </c>
      <c r="K676" s="4562">
        <f>IF(D676="","",D676*J676)</f>
        <v/>
      </c>
      <c r="L676" s="4562">
        <f>XLOOKUP(B676,'_Sys|Line_Map'!$A:$A,'_Sys|Line_Map'!$B:$B,"MISSING",0)</f>
        <v/>
      </c>
    </row>
    <row r="677">
      <c r="A677" s="4561" t="n"/>
      <c r="B677" s="4561" t="n"/>
      <c r="C677" s="4561" t="n"/>
      <c r="D677" s="4561" t="n"/>
      <c r="E677" s="4561" t="n"/>
      <c r="F677" s="4561" t="n"/>
      <c r="G677" s="4561" t="n"/>
      <c r="H677" s="4561" t="n"/>
      <c r="I677" s="4562">
        <f>XLOOKUP(B677,'_Sys|Line_Map'!$A:$A,'_Sys|Line_Map'!$C:$C,"MISSING",0)</f>
        <v/>
      </c>
      <c r="J677" s="4562">
        <f>XLOOKUP(B677,'_Sys|Line_Map'!$A:$A,'_Sys|Line_Map'!$D:$D,1,0)</f>
        <v/>
      </c>
      <c r="K677" s="4562">
        <f>IF(D677="","",D677*J677)</f>
        <v/>
      </c>
      <c r="L677" s="4562">
        <f>XLOOKUP(B677,'_Sys|Line_Map'!$A:$A,'_Sys|Line_Map'!$B:$B,"MISSING",0)</f>
        <v/>
      </c>
    </row>
    <row r="678">
      <c r="A678" s="4561" t="n"/>
      <c r="B678" s="4561" t="n"/>
      <c r="C678" s="4561" t="n"/>
      <c r="D678" s="4561" t="n"/>
      <c r="E678" s="4561" t="n"/>
      <c r="F678" s="4561" t="n"/>
      <c r="G678" s="4561" t="n"/>
      <c r="H678" s="4561" t="n"/>
      <c r="I678" s="4562">
        <f>XLOOKUP(B678,'_Sys|Line_Map'!$A:$A,'_Sys|Line_Map'!$C:$C,"MISSING",0)</f>
        <v/>
      </c>
      <c r="J678" s="4562">
        <f>XLOOKUP(B678,'_Sys|Line_Map'!$A:$A,'_Sys|Line_Map'!$D:$D,1,0)</f>
        <v/>
      </c>
      <c r="K678" s="4562">
        <f>IF(D678="","",D678*J678)</f>
        <v/>
      </c>
      <c r="L678" s="4562">
        <f>XLOOKUP(B678,'_Sys|Line_Map'!$A:$A,'_Sys|Line_Map'!$B:$B,"MISSING",0)</f>
        <v/>
      </c>
    </row>
    <row r="679">
      <c r="A679" s="4561" t="n"/>
      <c r="B679" s="4561" t="n"/>
      <c r="C679" s="4561" t="n"/>
      <c r="D679" s="4561" t="n"/>
      <c r="E679" s="4561" t="n"/>
      <c r="F679" s="4561" t="n"/>
      <c r="G679" s="4561" t="n"/>
      <c r="H679" s="4561" t="n"/>
      <c r="I679" s="4562">
        <f>XLOOKUP(B679,'_Sys|Line_Map'!$A:$A,'_Sys|Line_Map'!$C:$C,"MISSING",0)</f>
        <v/>
      </c>
      <c r="J679" s="4562">
        <f>XLOOKUP(B679,'_Sys|Line_Map'!$A:$A,'_Sys|Line_Map'!$D:$D,1,0)</f>
        <v/>
      </c>
      <c r="K679" s="4562">
        <f>IF(D679="","",D679*J679)</f>
        <v/>
      </c>
      <c r="L679" s="4562">
        <f>XLOOKUP(B679,'_Sys|Line_Map'!$A:$A,'_Sys|Line_Map'!$B:$B,"MISSING",0)</f>
        <v/>
      </c>
    </row>
    <row r="680">
      <c r="A680" s="4561" t="n"/>
      <c r="B680" s="4561" t="n"/>
      <c r="C680" s="4561" t="n"/>
      <c r="D680" s="4561" t="n"/>
      <c r="E680" s="4561" t="n"/>
      <c r="F680" s="4561" t="n"/>
      <c r="G680" s="4561" t="n"/>
      <c r="H680" s="4561" t="n"/>
      <c r="I680" s="4562">
        <f>XLOOKUP(B680,'_Sys|Line_Map'!$A:$A,'_Sys|Line_Map'!$C:$C,"MISSING",0)</f>
        <v/>
      </c>
      <c r="J680" s="4562">
        <f>XLOOKUP(B680,'_Sys|Line_Map'!$A:$A,'_Sys|Line_Map'!$D:$D,1,0)</f>
        <v/>
      </c>
      <c r="K680" s="4562">
        <f>IF(D680="","",D680*J680)</f>
        <v/>
      </c>
      <c r="L680" s="4562">
        <f>XLOOKUP(B680,'_Sys|Line_Map'!$A:$A,'_Sys|Line_Map'!$B:$B,"MISSING",0)</f>
        <v/>
      </c>
    </row>
    <row r="681">
      <c r="A681" s="4561" t="n"/>
      <c r="B681" s="4561" t="n"/>
      <c r="C681" s="4561" t="n"/>
      <c r="D681" s="4561" t="n"/>
      <c r="E681" s="4561" t="n"/>
      <c r="F681" s="4561" t="n"/>
      <c r="G681" s="4561" t="n"/>
      <c r="H681" s="4561" t="n"/>
      <c r="I681" s="4562">
        <f>XLOOKUP(B681,'_Sys|Line_Map'!$A:$A,'_Sys|Line_Map'!$C:$C,"MISSING",0)</f>
        <v/>
      </c>
      <c r="J681" s="4562">
        <f>XLOOKUP(B681,'_Sys|Line_Map'!$A:$A,'_Sys|Line_Map'!$D:$D,1,0)</f>
        <v/>
      </c>
      <c r="K681" s="4562">
        <f>IF(D681="","",D681*J681)</f>
        <v/>
      </c>
      <c r="L681" s="4562">
        <f>XLOOKUP(B681,'_Sys|Line_Map'!$A:$A,'_Sys|Line_Map'!$B:$B,"MISSING",0)</f>
        <v/>
      </c>
    </row>
    <row r="682">
      <c r="A682" s="4561" t="n"/>
      <c r="B682" s="4561" t="n"/>
      <c r="C682" s="4561" t="n"/>
      <c r="D682" s="4561" t="n"/>
      <c r="E682" s="4561" t="n"/>
      <c r="F682" s="4561" t="n"/>
      <c r="G682" s="4561" t="n"/>
      <c r="H682" s="4561" t="n"/>
      <c r="I682" s="4562">
        <f>XLOOKUP(B682,'_Sys|Line_Map'!$A:$A,'_Sys|Line_Map'!$C:$C,"MISSING",0)</f>
        <v/>
      </c>
      <c r="J682" s="4562">
        <f>XLOOKUP(B682,'_Sys|Line_Map'!$A:$A,'_Sys|Line_Map'!$D:$D,1,0)</f>
        <v/>
      </c>
      <c r="K682" s="4562">
        <f>IF(D682="","",D682*J682)</f>
        <v/>
      </c>
      <c r="L682" s="4562">
        <f>XLOOKUP(B682,'_Sys|Line_Map'!$A:$A,'_Sys|Line_Map'!$B:$B,"MISSING",0)</f>
        <v/>
      </c>
    </row>
    <row r="683">
      <c r="A683" s="4561" t="n"/>
      <c r="B683" s="4561" t="n"/>
      <c r="C683" s="4561" t="n"/>
      <c r="D683" s="4561" t="n"/>
      <c r="E683" s="4561" t="n"/>
      <c r="F683" s="4561" t="n"/>
      <c r="G683" s="4561" t="n"/>
      <c r="H683" s="4561" t="n"/>
      <c r="I683" s="4562">
        <f>XLOOKUP(B683,'_Sys|Line_Map'!$A:$A,'_Sys|Line_Map'!$C:$C,"MISSING",0)</f>
        <v/>
      </c>
      <c r="J683" s="4562">
        <f>XLOOKUP(B683,'_Sys|Line_Map'!$A:$A,'_Sys|Line_Map'!$D:$D,1,0)</f>
        <v/>
      </c>
      <c r="K683" s="4562">
        <f>IF(D683="","",D683*J683)</f>
        <v/>
      </c>
      <c r="L683" s="4562">
        <f>XLOOKUP(B683,'_Sys|Line_Map'!$A:$A,'_Sys|Line_Map'!$B:$B,"MISSING",0)</f>
        <v/>
      </c>
    </row>
    <row r="684">
      <c r="A684" s="4561" t="n"/>
      <c r="B684" s="4561" t="n"/>
      <c r="C684" s="4561" t="n"/>
      <c r="D684" s="4561" t="n"/>
      <c r="E684" s="4561" t="n"/>
      <c r="F684" s="4561" t="n"/>
      <c r="G684" s="4561" t="n"/>
      <c r="H684" s="4561" t="n"/>
      <c r="I684" s="4562">
        <f>XLOOKUP(B684,'_Sys|Line_Map'!$A:$A,'_Sys|Line_Map'!$C:$C,"MISSING",0)</f>
        <v/>
      </c>
      <c r="J684" s="4562">
        <f>XLOOKUP(B684,'_Sys|Line_Map'!$A:$A,'_Sys|Line_Map'!$D:$D,1,0)</f>
        <v/>
      </c>
      <c r="K684" s="4562">
        <f>IF(D684="","",D684*J684)</f>
        <v/>
      </c>
      <c r="L684" s="4562">
        <f>XLOOKUP(B684,'_Sys|Line_Map'!$A:$A,'_Sys|Line_Map'!$B:$B,"MISSING",0)</f>
        <v/>
      </c>
    </row>
    <row r="685">
      <c r="A685" s="4561" t="n"/>
      <c r="B685" s="4561" t="n"/>
      <c r="C685" s="4561" t="n"/>
      <c r="D685" s="4561" t="n"/>
      <c r="E685" s="4561" t="n"/>
      <c r="F685" s="4561" t="n"/>
      <c r="G685" s="4561" t="n"/>
      <c r="H685" s="4561" t="n"/>
      <c r="I685" s="4562">
        <f>XLOOKUP(B685,'_Sys|Line_Map'!$A:$A,'_Sys|Line_Map'!$C:$C,"MISSING",0)</f>
        <v/>
      </c>
      <c r="J685" s="4562">
        <f>XLOOKUP(B685,'_Sys|Line_Map'!$A:$A,'_Sys|Line_Map'!$D:$D,1,0)</f>
        <v/>
      </c>
      <c r="K685" s="4562">
        <f>IF(D685="","",D685*J685)</f>
        <v/>
      </c>
      <c r="L685" s="4562">
        <f>XLOOKUP(B685,'_Sys|Line_Map'!$A:$A,'_Sys|Line_Map'!$B:$B,"MISSING",0)</f>
        <v/>
      </c>
    </row>
    <row r="686">
      <c r="A686" s="4561" t="n"/>
      <c r="B686" s="4561" t="n"/>
      <c r="C686" s="4561" t="n"/>
      <c r="D686" s="4561" t="n"/>
      <c r="E686" s="4561" t="n"/>
      <c r="F686" s="4561" t="n"/>
      <c r="G686" s="4561" t="n"/>
      <c r="H686" s="4561" t="n"/>
      <c r="I686" s="4562">
        <f>XLOOKUP(B686,'_Sys|Line_Map'!$A:$A,'_Sys|Line_Map'!$C:$C,"MISSING",0)</f>
        <v/>
      </c>
      <c r="J686" s="4562">
        <f>XLOOKUP(B686,'_Sys|Line_Map'!$A:$A,'_Sys|Line_Map'!$D:$D,1,0)</f>
        <v/>
      </c>
      <c r="K686" s="4562">
        <f>IF(D686="","",D686*J686)</f>
        <v/>
      </c>
      <c r="L686" s="4562">
        <f>XLOOKUP(B686,'_Sys|Line_Map'!$A:$A,'_Sys|Line_Map'!$B:$B,"MISSING",0)</f>
        <v/>
      </c>
    </row>
    <row r="687">
      <c r="A687" s="4561" t="n"/>
      <c r="B687" s="4561" t="n"/>
      <c r="C687" s="4561" t="n"/>
      <c r="D687" s="4561" t="n"/>
      <c r="E687" s="4561" t="n"/>
      <c r="F687" s="4561" t="n"/>
      <c r="G687" s="4561" t="n"/>
      <c r="H687" s="4561" t="n"/>
      <c r="I687" s="4562">
        <f>XLOOKUP(B687,'_Sys|Line_Map'!$A:$A,'_Sys|Line_Map'!$C:$C,"MISSING",0)</f>
        <v/>
      </c>
      <c r="J687" s="4562">
        <f>XLOOKUP(B687,'_Sys|Line_Map'!$A:$A,'_Sys|Line_Map'!$D:$D,1,0)</f>
        <v/>
      </c>
      <c r="K687" s="4562">
        <f>IF(D687="","",D687*J687)</f>
        <v/>
      </c>
      <c r="L687" s="4562">
        <f>XLOOKUP(B687,'_Sys|Line_Map'!$A:$A,'_Sys|Line_Map'!$B:$B,"MISSING",0)</f>
        <v/>
      </c>
    </row>
    <row r="688">
      <c r="A688" s="4561" t="n"/>
      <c r="B688" s="4561" t="n"/>
      <c r="C688" s="4561" t="n"/>
      <c r="D688" s="4561" t="n"/>
      <c r="E688" s="4561" t="n"/>
      <c r="F688" s="4561" t="n"/>
      <c r="G688" s="4561" t="n"/>
      <c r="H688" s="4561" t="n"/>
      <c r="I688" s="4562">
        <f>XLOOKUP(B688,'_Sys|Line_Map'!$A:$A,'_Sys|Line_Map'!$C:$C,"MISSING",0)</f>
        <v/>
      </c>
      <c r="J688" s="4562">
        <f>XLOOKUP(B688,'_Sys|Line_Map'!$A:$A,'_Sys|Line_Map'!$D:$D,1,0)</f>
        <v/>
      </c>
      <c r="K688" s="4562">
        <f>IF(D688="","",D688*J688)</f>
        <v/>
      </c>
      <c r="L688" s="4562">
        <f>XLOOKUP(B688,'_Sys|Line_Map'!$A:$A,'_Sys|Line_Map'!$B:$B,"MISSING",0)</f>
        <v/>
      </c>
    </row>
    <row r="689">
      <c r="A689" s="4561" t="n"/>
      <c r="B689" s="4561" t="n"/>
      <c r="C689" s="4561" t="n"/>
      <c r="D689" s="4561" t="n"/>
      <c r="E689" s="4561" t="n"/>
      <c r="F689" s="4561" t="n"/>
      <c r="G689" s="4561" t="n"/>
      <c r="H689" s="4561" t="n"/>
      <c r="I689" s="4562">
        <f>XLOOKUP(B689,'_Sys|Line_Map'!$A:$A,'_Sys|Line_Map'!$C:$C,"MISSING",0)</f>
        <v/>
      </c>
      <c r="J689" s="4562">
        <f>XLOOKUP(B689,'_Sys|Line_Map'!$A:$A,'_Sys|Line_Map'!$D:$D,1,0)</f>
        <v/>
      </c>
      <c r="K689" s="4562">
        <f>IF(D689="","",D689*J689)</f>
        <v/>
      </c>
      <c r="L689" s="4562">
        <f>XLOOKUP(B689,'_Sys|Line_Map'!$A:$A,'_Sys|Line_Map'!$B:$B,"MISSING",0)</f>
        <v/>
      </c>
    </row>
    <row r="690">
      <c r="A690" s="4561" t="n"/>
      <c r="B690" s="4561" t="n"/>
      <c r="C690" s="4561" t="n"/>
      <c r="D690" s="4561" t="n"/>
      <c r="E690" s="4561" t="n"/>
      <c r="F690" s="4561" t="n"/>
      <c r="G690" s="4561" t="n"/>
      <c r="H690" s="4561" t="n"/>
      <c r="I690" s="4562">
        <f>XLOOKUP(B690,'_Sys|Line_Map'!$A:$A,'_Sys|Line_Map'!$C:$C,"MISSING",0)</f>
        <v/>
      </c>
      <c r="J690" s="4562">
        <f>XLOOKUP(B690,'_Sys|Line_Map'!$A:$A,'_Sys|Line_Map'!$D:$D,1,0)</f>
        <v/>
      </c>
      <c r="K690" s="4562">
        <f>IF(D690="","",D690*J690)</f>
        <v/>
      </c>
      <c r="L690" s="4562">
        <f>XLOOKUP(B690,'_Sys|Line_Map'!$A:$A,'_Sys|Line_Map'!$B:$B,"MISSING",0)</f>
        <v/>
      </c>
    </row>
    <row r="691">
      <c r="A691" s="4561" t="n"/>
      <c r="B691" s="4561" t="n"/>
      <c r="C691" s="4561" t="n"/>
      <c r="D691" s="4561" t="n"/>
      <c r="E691" s="4561" t="n"/>
      <c r="F691" s="4561" t="n"/>
      <c r="G691" s="4561" t="n"/>
      <c r="H691" s="4561" t="n"/>
      <c r="I691" s="4562">
        <f>XLOOKUP(B691,'_Sys|Line_Map'!$A:$A,'_Sys|Line_Map'!$C:$C,"MISSING",0)</f>
        <v/>
      </c>
      <c r="J691" s="4562">
        <f>XLOOKUP(B691,'_Sys|Line_Map'!$A:$A,'_Sys|Line_Map'!$D:$D,1,0)</f>
        <v/>
      </c>
      <c r="K691" s="4562">
        <f>IF(D691="","",D691*J691)</f>
        <v/>
      </c>
      <c r="L691" s="4562">
        <f>XLOOKUP(B691,'_Sys|Line_Map'!$A:$A,'_Sys|Line_Map'!$B:$B,"MISSING",0)</f>
        <v/>
      </c>
    </row>
    <row r="692">
      <c r="A692" s="4561" t="n"/>
      <c r="B692" s="4561" t="n"/>
      <c r="C692" s="4561" t="n"/>
      <c r="D692" s="4561" t="n"/>
      <c r="E692" s="4561" t="n"/>
      <c r="F692" s="4561" t="n"/>
      <c r="G692" s="4561" t="n"/>
      <c r="H692" s="4561" t="n"/>
      <c r="I692" s="4562">
        <f>XLOOKUP(B692,'_Sys|Line_Map'!$A:$A,'_Sys|Line_Map'!$C:$C,"MISSING",0)</f>
        <v/>
      </c>
      <c r="J692" s="4562">
        <f>XLOOKUP(B692,'_Sys|Line_Map'!$A:$A,'_Sys|Line_Map'!$D:$D,1,0)</f>
        <v/>
      </c>
      <c r="K692" s="4562">
        <f>IF(D692="","",D692*J692)</f>
        <v/>
      </c>
      <c r="L692" s="4562">
        <f>XLOOKUP(B692,'_Sys|Line_Map'!$A:$A,'_Sys|Line_Map'!$B:$B,"MISSING",0)</f>
        <v/>
      </c>
    </row>
    <row r="693">
      <c r="A693" s="4561" t="n"/>
      <c r="B693" s="4561" t="n"/>
      <c r="C693" s="4561" t="n"/>
      <c r="D693" s="4561" t="n"/>
      <c r="E693" s="4561" t="n"/>
      <c r="F693" s="4561" t="n"/>
      <c r="G693" s="4561" t="n"/>
      <c r="H693" s="4561" t="n"/>
      <c r="I693" s="4562">
        <f>XLOOKUP(B693,'_Sys|Line_Map'!$A:$A,'_Sys|Line_Map'!$C:$C,"MISSING",0)</f>
        <v/>
      </c>
      <c r="J693" s="4562">
        <f>XLOOKUP(B693,'_Sys|Line_Map'!$A:$A,'_Sys|Line_Map'!$D:$D,1,0)</f>
        <v/>
      </c>
      <c r="K693" s="4562">
        <f>IF(D693="","",D693*J693)</f>
        <v/>
      </c>
      <c r="L693" s="4562">
        <f>XLOOKUP(B693,'_Sys|Line_Map'!$A:$A,'_Sys|Line_Map'!$B:$B,"MISSING",0)</f>
        <v/>
      </c>
    </row>
    <row r="694">
      <c r="A694" s="4561" t="n"/>
      <c r="B694" s="4561" t="n"/>
      <c r="C694" s="4561" t="n"/>
      <c r="D694" s="4561" t="n"/>
      <c r="E694" s="4561" t="n"/>
      <c r="F694" s="4561" t="n"/>
      <c r="G694" s="4561" t="n"/>
      <c r="H694" s="4561" t="n"/>
      <c r="I694" s="4562">
        <f>XLOOKUP(B694,'_Sys|Line_Map'!$A:$A,'_Sys|Line_Map'!$C:$C,"MISSING",0)</f>
        <v/>
      </c>
      <c r="J694" s="4562">
        <f>XLOOKUP(B694,'_Sys|Line_Map'!$A:$A,'_Sys|Line_Map'!$D:$D,1,0)</f>
        <v/>
      </c>
      <c r="K694" s="4562">
        <f>IF(D694="","",D694*J694)</f>
        <v/>
      </c>
      <c r="L694" s="4562">
        <f>XLOOKUP(B694,'_Sys|Line_Map'!$A:$A,'_Sys|Line_Map'!$B:$B,"MISSING",0)</f>
        <v/>
      </c>
    </row>
    <row r="695">
      <c r="A695" s="4561" t="n"/>
      <c r="B695" s="4561" t="n"/>
      <c r="C695" s="4561" t="n"/>
      <c r="D695" s="4561" t="n"/>
      <c r="E695" s="4561" t="n"/>
      <c r="F695" s="4561" t="n"/>
      <c r="G695" s="4561" t="n"/>
      <c r="H695" s="4561" t="n"/>
      <c r="I695" s="4562">
        <f>XLOOKUP(B695,'_Sys|Line_Map'!$A:$A,'_Sys|Line_Map'!$C:$C,"MISSING",0)</f>
        <v/>
      </c>
      <c r="J695" s="4562">
        <f>XLOOKUP(B695,'_Sys|Line_Map'!$A:$A,'_Sys|Line_Map'!$D:$D,1,0)</f>
        <v/>
      </c>
      <c r="K695" s="4562">
        <f>IF(D695="","",D695*J695)</f>
        <v/>
      </c>
      <c r="L695" s="4562">
        <f>XLOOKUP(B695,'_Sys|Line_Map'!$A:$A,'_Sys|Line_Map'!$B:$B,"MISSING",0)</f>
        <v/>
      </c>
    </row>
    <row r="696">
      <c r="A696" s="4561" t="n"/>
      <c r="B696" s="4561" t="n"/>
      <c r="C696" s="4561" t="n"/>
      <c r="D696" s="4561" t="n"/>
      <c r="E696" s="4561" t="n"/>
      <c r="F696" s="4561" t="n"/>
      <c r="G696" s="4561" t="n"/>
      <c r="H696" s="4561" t="n"/>
      <c r="I696" s="4562">
        <f>XLOOKUP(B696,'_Sys|Line_Map'!$A:$A,'_Sys|Line_Map'!$C:$C,"MISSING",0)</f>
        <v/>
      </c>
      <c r="J696" s="4562">
        <f>XLOOKUP(B696,'_Sys|Line_Map'!$A:$A,'_Sys|Line_Map'!$D:$D,1,0)</f>
        <v/>
      </c>
      <c r="K696" s="4562">
        <f>IF(D696="","",D696*J696)</f>
        <v/>
      </c>
      <c r="L696" s="4562">
        <f>XLOOKUP(B696,'_Sys|Line_Map'!$A:$A,'_Sys|Line_Map'!$B:$B,"MISSING",0)</f>
        <v/>
      </c>
    </row>
    <row r="697">
      <c r="A697" s="4561" t="n"/>
      <c r="B697" s="4561" t="n"/>
      <c r="C697" s="4561" t="n"/>
      <c r="D697" s="4561" t="n"/>
      <c r="E697" s="4561" t="n"/>
      <c r="F697" s="4561" t="n"/>
      <c r="G697" s="4561" t="n"/>
      <c r="H697" s="4561" t="n"/>
      <c r="I697" s="4562">
        <f>XLOOKUP(B697,'_Sys|Line_Map'!$A:$A,'_Sys|Line_Map'!$C:$C,"MISSING",0)</f>
        <v/>
      </c>
      <c r="J697" s="4562">
        <f>XLOOKUP(B697,'_Sys|Line_Map'!$A:$A,'_Sys|Line_Map'!$D:$D,1,0)</f>
        <v/>
      </c>
      <c r="K697" s="4562">
        <f>IF(D697="","",D697*J697)</f>
        <v/>
      </c>
      <c r="L697" s="4562">
        <f>XLOOKUP(B697,'_Sys|Line_Map'!$A:$A,'_Sys|Line_Map'!$B:$B,"MISSING",0)</f>
        <v/>
      </c>
    </row>
    <row r="698">
      <c r="A698" s="4561" t="n"/>
      <c r="B698" s="4561" t="n"/>
      <c r="C698" s="4561" t="n"/>
      <c r="D698" s="4561" t="n"/>
      <c r="E698" s="4561" t="n"/>
      <c r="F698" s="4561" t="n"/>
      <c r="G698" s="4561" t="n"/>
      <c r="H698" s="4561" t="n"/>
      <c r="I698" s="4562">
        <f>XLOOKUP(B698,'_Sys|Line_Map'!$A:$A,'_Sys|Line_Map'!$C:$C,"MISSING",0)</f>
        <v/>
      </c>
      <c r="J698" s="4562">
        <f>XLOOKUP(B698,'_Sys|Line_Map'!$A:$A,'_Sys|Line_Map'!$D:$D,1,0)</f>
        <v/>
      </c>
      <c r="K698" s="4562">
        <f>IF(D698="","",D698*J698)</f>
        <v/>
      </c>
      <c r="L698" s="4562">
        <f>XLOOKUP(B698,'_Sys|Line_Map'!$A:$A,'_Sys|Line_Map'!$B:$B,"MISSING",0)</f>
        <v/>
      </c>
    </row>
    <row r="699">
      <c r="A699" s="4561" t="n"/>
      <c r="B699" s="4561" t="n"/>
      <c r="C699" s="4561" t="n"/>
      <c r="D699" s="4561" t="n"/>
      <c r="E699" s="4561" t="n"/>
      <c r="F699" s="4561" t="n"/>
      <c r="G699" s="4561" t="n"/>
      <c r="H699" s="4561" t="n"/>
      <c r="I699" s="4562">
        <f>XLOOKUP(B699,'_Sys|Line_Map'!$A:$A,'_Sys|Line_Map'!$C:$C,"MISSING",0)</f>
        <v/>
      </c>
      <c r="J699" s="4562">
        <f>XLOOKUP(B699,'_Sys|Line_Map'!$A:$A,'_Sys|Line_Map'!$D:$D,1,0)</f>
        <v/>
      </c>
      <c r="K699" s="4562">
        <f>IF(D699="","",D699*J699)</f>
        <v/>
      </c>
      <c r="L699" s="4562">
        <f>XLOOKUP(B699,'_Sys|Line_Map'!$A:$A,'_Sys|Line_Map'!$B:$B,"MISSING",0)</f>
        <v/>
      </c>
    </row>
    <row r="700">
      <c r="A700" s="4561" t="n"/>
      <c r="B700" s="4561" t="n"/>
      <c r="C700" s="4561" t="n"/>
      <c r="D700" s="4561" t="n"/>
      <c r="E700" s="4561" t="n"/>
      <c r="F700" s="4561" t="n"/>
      <c r="G700" s="4561" t="n"/>
      <c r="H700" s="4561" t="n"/>
      <c r="I700" s="4562">
        <f>XLOOKUP(B700,'_Sys|Line_Map'!$A:$A,'_Sys|Line_Map'!$C:$C,"MISSING",0)</f>
        <v/>
      </c>
      <c r="J700" s="4562">
        <f>XLOOKUP(B700,'_Sys|Line_Map'!$A:$A,'_Sys|Line_Map'!$D:$D,1,0)</f>
        <v/>
      </c>
      <c r="K700" s="4562">
        <f>IF(D700="","",D700*J700)</f>
        <v/>
      </c>
      <c r="L700" s="4562">
        <f>XLOOKUP(B700,'_Sys|Line_Map'!$A:$A,'_Sys|Line_Map'!$B:$B,"MISSING",0)</f>
        <v/>
      </c>
    </row>
    <row r="701">
      <c r="A701" s="4561" t="n"/>
      <c r="B701" s="4561" t="n"/>
      <c r="C701" s="4561" t="n"/>
      <c r="D701" s="4561" t="n"/>
      <c r="E701" s="4561" t="n"/>
      <c r="F701" s="4561" t="n"/>
      <c r="G701" s="4561" t="n"/>
      <c r="H701" s="4561" t="n"/>
      <c r="I701" s="4562">
        <f>XLOOKUP(B701,'_Sys|Line_Map'!$A:$A,'_Sys|Line_Map'!$C:$C,"MISSING",0)</f>
        <v/>
      </c>
      <c r="J701" s="4562">
        <f>XLOOKUP(B701,'_Sys|Line_Map'!$A:$A,'_Sys|Line_Map'!$D:$D,1,0)</f>
        <v/>
      </c>
      <c r="K701" s="4562">
        <f>IF(D701="","",D701*J701)</f>
        <v/>
      </c>
      <c r="L701" s="4562">
        <f>XLOOKUP(B701,'_Sys|Line_Map'!$A:$A,'_Sys|Line_Map'!$B:$B,"MISSING",0)</f>
        <v/>
      </c>
    </row>
    <row r="702">
      <c r="A702" s="4561" t="n"/>
      <c r="B702" s="4561" t="n"/>
      <c r="C702" s="4561" t="n"/>
      <c r="D702" s="4561" t="n"/>
      <c r="E702" s="4561" t="n"/>
      <c r="F702" s="4561" t="n"/>
      <c r="G702" s="4561" t="n"/>
      <c r="H702" s="4561" t="n"/>
      <c r="I702" s="4562">
        <f>XLOOKUP(B702,'_Sys|Line_Map'!$A:$A,'_Sys|Line_Map'!$C:$C,"MISSING",0)</f>
        <v/>
      </c>
      <c r="J702" s="4562">
        <f>XLOOKUP(B702,'_Sys|Line_Map'!$A:$A,'_Sys|Line_Map'!$D:$D,1,0)</f>
        <v/>
      </c>
      <c r="K702" s="4562">
        <f>IF(D702="","",D702*J702)</f>
        <v/>
      </c>
      <c r="L702" s="4562">
        <f>XLOOKUP(B702,'_Sys|Line_Map'!$A:$A,'_Sys|Line_Map'!$B:$B,"MISSING",0)</f>
        <v/>
      </c>
    </row>
    <row r="703">
      <c r="A703" s="4561" t="n"/>
      <c r="B703" s="4561" t="n"/>
      <c r="C703" s="4561" t="n"/>
      <c r="D703" s="4561" t="n"/>
      <c r="E703" s="4561" t="n"/>
      <c r="F703" s="4561" t="n"/>
      <c r="G703" s="4561" t="n"/>
      <c r="H703" s="4561" t="n"/>
      <c r="I703" s="4562">
        <f>XLOOKUP(B703,'_Sys|Line_Map'!$A:$A,'_Sys|Line_Map'!$C:$C,"MISSING",0)</f>
        <v/>
      </c>
      <c r="J703" s="4562">
        <f>XLOOKUP(B703,'_Sys|Line_Map'!$A:$A,'_Sys|Line_Map'!$D:$D,1,0)</f>
        <v/>
      </c>
      <c r="K703" s="4562">
        <f>IF(D703="","",D703*J703)</f>
        <v/>
      </c>
      <c r="L703" s="4562">
        <f>XLOOKUP(B703,'_Sys|Line_Map'!$A:$A,'_Sys|Line_Map'!$B:$B,"MISSING",0)</f>
        <v/>
      </c>
    </row>
    <row r="704">
      <c r="A704" s="4561" t="n"/>
      <c r="B704" s="4561" t="n"/>
      <c r="C704" s="4561" t="n"/>
      <c r="D704" s="4561" t="n"/>
      <c r="E704" s="4561" t="n"/>
      <c r="F704" s="4561" t="n"/>
      <c r="G704" s="4561" t="n"/>
      <c r="H704" s="4561" t="n"/>
      <c r="I704" s="4562">
        <f>XLOOKUP(B704,'_Sys|Line_Map'!$A:$A,'_Sys|Line_Map'!$C:$C,"MISSING",0)</f>
        <v/>
      </c>
      <c r="J704" s="4562">
        <f>XLOOKUP(B704,'_Sys|Line_Map'!$A:$A,'_Sys|Line_Map'!$D:$D,1,0)</f>
        <v/>
      </c>
      <c r="K704" s="4562">
        <f>IF(D704="","",D704*J704)</f>
        <v/>
      </c>
      <c r="L704" s="4562">
        <f>XLOOKUP(B704,'_Sys|Line_Map'!$A:$A,'_Sys|Line_Map'!$B:$B,"MISSING",0)</f>
        <v/>
      </c>
    </row>
    <row r="705">
      <c r="A705" s="4561" t="n"/>
      <c r="B705" s="4561" t="n"/>
      <c r="C705" s="4561" t="n"/>
      <c r="D705" s="4561" t="n"/>
      <c r="E705" s="4561" t="n"/>
      <c r="F705" s="4561" t="n"/>
      <c r="G705" s="4561" t="n"/>
      <c r="H705" s="4561" t="n"/>
      <c r="I705" s="4562">
        <f>XLOOKUP(B705,'_Sys|Line_Map'!$A:$A,'_Sys|Line_Map'!$C:$C,"MISSING",0)</f>
        <v/>
      </c>
      <c r="J705" s="4562">
        <f>XLOOKUP(B705,'_Sys|Line_Map'!$A:$A,'_Sys|Line_Map'!$D:$D,1,0)</f>
        <v/>
      </c>
      <c r="K705" s="4562">
        <f>IF(D705="","",D705*J705)</f>
        <v/>
      </c>
      <c r="L705" s="4562">
        <f>XLOOKUP(B705,'_Sys|Line_Map'!$A:$A,'_Sys|Line_Map'!$B:$B,"MISSING",0)</f>
        <v/>
      </c>
    </row>
    <row r="706">
      <c r="A706" s="4561" t="n"/>
      <c r="B706" s="4561" t="n"/>
      <c r="C706" s="4561" t="n"/>
      <c r="D706" s="4561" t="n"/>
      <c r="E706" s="4561" t="n"/>
      <c r="F706" s="4561" t="n"/>
      <c r="G706" s="4561" t="n"/>
      <c r="H706" s="4561" t="n"/>
      <c r="I706" s="4562">
        <f>XLOOKUP(B706,'_Sys|Line_Map'!$A:$A,'_Sys|Line_Map'!$C:$C,"MISSING",0)</f>
        <v/>
      </c>
      <c r="J706" s="4562">
        <f>XLOOKUP(B706,'_Sys|Line_Map'!$A:$A,'_Sys|Line_Map'!$D:$D,1,0)</f>
        <v/>
      </c>
      <c r="K706" s="4562">
        <f>IF(D706="","",D706*J706)</f>
        <v/>
      </c>
      <c r="L706" s="4562">
        <f>XLOOKUP(B706,'_Sys|Line_Map'!$A:$A,'_Sys|Line_Map'!$B:$B,"MISSING",0)</f>
        <v/>
      </c>
    </row>
    <row r="707">
      <c r="A707" s="4561" t="n"/>
      <c r="B707" s="4561" t="n"/>
      <c r="C707" s="4561" t="n"/>
      <c r="D707" s="4561" t="n"/>
      <c r="E707" s="4561" t="n"/>
      <c r="F707" s="4561" t="n"/>
      <c r="G707" s="4561" t="n"/>
      <c r="H707" s="4561" t="n"/>
      <c r="I707" s="4562">
        <f>XLOOKUP(B707,'_Sys|Line_Map'!$A:$A,'_Sys|Line_Map'!$C:$C,"MISSING",0)</f>
        <v/>
      </c>
      <c r="J707" s="4562">
        <f>XLOOKUP(B707,'_Sys|Line_Map'!$A:$A,'_Sys|Line_Map'!$D:$D,1,0)</f>
        <v/>
      </c>
      <c r="K707" s="4562">
        <f>IF(D707="","",D707*J707)</f>
        <v/>
      </c>
      <c r="L707" s="4562">
        <f>XLOOKUP(B707,'_Sys|Line_Map'!$A:$A,'_Sys|Line_Map'!$B:$B,"MISSING",0)</f>
        <v/>
      </c>
    </row>
    <row r="708">
      <c r="A708" s="4561" t="n"/>
      <c r="B708" s="4561" t="n"/>
      <c r="C708" s="4561" t="n"/>
      <c r="D708" s="4561" t="n"/>
      <c r="E708" s="4561" t="n"/>
      <c r="F708" s="4561" t="n"/>
      <c r="G708" s="4561" t="n"/>
      <c r="H708" s="4561" t="n"/>
      <c r="I708" s="4562">
        <f>XLOOKUP(B708,'_Sys|Line_Map'!$A:$A,'_Sys|Line_Map'!$C:$C,"MISSING",0)</f>
        <v/>
      </c>
      <c r="J708" s="4562">
        <f>XLOOKUP(B708,'_Sys|Line_Map'!$A:$A,'_Sys|Line_Map'!$D:$D,1,0)</f>
        <v/>
      </c>
      <c r="K708" s="4562">
        <f>IF(D708="","",D708*J708)</f>
        <v/>
      </c>
      <c r="L708" s="4562">
        <f>XLOOKUP(B708,'_Sys|Line_Map'!$A:$A,'_Sys|Line_Map'!$B:$B,"MISSING",0)</f>
        <v/>
      </c>
    </row>
    <row r="709">
      <c r="A709" s="4561" t="n"/>
      <c r="B709" s="4561" t="n"/>
      <c r="C709" s="4561" t="n"/>
      <c r="D709" s="4561" t="n"/>
      <c r="E709" s="4561" t="n"/>
      <c r="F709" s="4561" t="n"/>
      <c r="G709" s="4561" t="n"/>
      <c r="H709" s="4561" t="n"/>
      <c r="I709" s="4562">
        <f>XLOOKUP(B709,'_Sys|Line_Map'!$A:$A,'_Sys|Line_Map'!$C:$C,"MISSING",0)</f>
        <v/>
      </c>
      <c r="J709" s="4562">
        <f>XLOOKUP(B709,'_Sys|Line_Map'!$A:$A,'_Sys|Line_Map'!$D:$D,1,0)</f>
        <v/>
      </c>
      <c r="K709" s="4562">
        <f>IF(D709="","",D709*J709)</f>
        <v/>
      </c>
      <c r="L709" s="4562">
        <f>XLOOKUP(B709,'_Sys|Line_Map'!$A:$A,'_Sys|Line_Map'!$B:$B,"MISSING",0)</f>
        <v/>
      </c>
    </row>
    <row r="710">
      <c r="A710" s="4561" t="n"/>
      <c r="B710" s="4561" t="n"/>
      <c r="C710" s="4561" t="n"/>
      <c r="D710" s="4561" t="n"/>
      <c r="E710" s="4561" t="n"/>
      <c r="F710" s="4561" t="n"/>
      <c r="G710" s="4561" t="n"/>
      <c r="H710" s="4561" t="n"/>
      <c r="I710" s="4562">
        <f>XLOOKUP(B710,'_Sys|Line_Map'!$A:$A,'_Sys|Line_Map'!$C:$C,"MISSING",0)</f>
        <v/>
      </c>
      <c r="J710" s="4562">
        <f>XLOOKUP(B710,'_Sys|Line_Map'!$A:$A,'_Sys|Line_Map'!$D:$D,1,0)</f>
        <v/>
      </c>
      <c r="K710" s="4562">
        <f>IF(D710="","",D710*J710)</f>
        <v/>
      </c>
      <c r="L710" s="4562">
        <f>XLOOKUP(B710,'_Sys|Line_Map'!$A:$A,'_Sys|Line_Map'!$B:$B,"MISSING",0)</f>
        <v/>
      </c>
    </row>
    <row r="711">
      <c r="A711" s="4561" t="n"/>
      <c r="B711" s="4561" t="n"/>
      <c r="C711" s="4561" t="n"/>
      <c r="D711" s="4561" t="n"/>
      <c r="E711" s="4561" t="n"/>
      <c r="F711" s="4561" t="n"/>
      <c r="G711" s="4561" t="n"/>
      <c r="H711" s="4561" t="n"/>
      <c r="I711" s="4562">
        <f>XLOOKUP(B711,'_Sys|Line_Map'!$A:$A,'_Sys|Line_Map'!$C:$C,"MISSING",0)</f>
        <v/>
      </c>
      <c r="J711" s="4562">
        <f>XLOOKUP(B711,'_Sys|Line_Map'!$A:$A,'_Sys|Line_Map'!$D:$D,1,0)</f>
        <v/>
      </c>
      <c r="K711" s="4562">
        <f>IF(D711="","",D711*J711)</f>
        <v/>
      </c>
      <c r="L711" s="4562">
        <f>XLOOKUP(B711,'_Sys|Line_Map'!$A:$A,'_Sys|Line_Map'!$B:$B,"MISSING",0)</f>
        <v/>
      </c>
    </row>
    <row r="712">
      <c r="A712" s="4561" t="n"/>
      <c r="B712" s="4561" t="n"/>
      <c r="C712" s="4561" t="n"/>
      <c r="D712" s="4561" t="n"/>
      <c r="E712" s="4561" t="n"/>
      <c r="F712" s="4561" t="n"/>
      <c r="G712" s="4561" t="n"/>
      <c r="H712" s="4561" t="n"/>
      <c r="I712" s="4562">
        <f>XLOOKUP(B712,'_Sys|Line_Map'!$A:$A,'_Sys|Line_Map'!$C:$C,"MISSING",0)</f>
        <v/>
      </c>
      <c r="J712" s="4562">
        <f>XLOOKUP(B712,'_Sys|Line_Map'!$A:$A,'_Sys|Line_Map'!$D:$D,1,0)</f>
        <v/>
      </c>
      <c r="K712" s="4562">
        <f>IF(D712="","",D712*J712)</f>
        <v/>
      </c>
      <c r="L712" s="4562">
        <f>XLOOKUP(B712,'_Sys|Line_Map'!$A:$A,'_Sys|Line_Map'!$B:$B,"MISSING",0)</f>
        <v/>
      </c>
    </row>
    <row r="713">
      <c r="A713" s="4561" t="n"/>
      <c r="B713" s="4561" t="n"/>
      <c r="C713" s="4561" t="n"/>
      <c r="D713" s="4561" t="n"/>
      <c r="E713" s="4561" t="n"/>
      <c r="F713" s="4561" t="n"/>
      <c r="G713" s="4561" t="n"/>
      <c r="H713" s="4561" t="n"/>
      <c r="I713" s="4562">
        <f>XLOOKUP(B713,'_Sys|Line_Map'!$A:$A,'_Sys|Line_Map'!$C:$C,"MISSING",0)</f>
        <v/>
      </c>
      <c r="J713" s="4562">
        <f>XLOOKUP(B713,'_Sys|Line_Map'!$A:$A,'_Sys|Line_Map'!$D:$D,1,0)</f>
        <v/>
      </c>
      <c r="K713" s="4562">
        <f>IF(D713="","",D713*J713)</f>
        <v/>
      </c>
      <c r="L713" s="4562">
        <f>XLOOKUP(B713,'_Sys|Line_Map'!$A:$A,'_Sys|Line_Map'!$B:$B,"MISSING",0)</f>
        <v/>
      </c>
    </row>
    <row r="714">
      <c r="A714" s="4561" t="n"/>
      <c r="B714" s="4561" t="n"/>
      <c r="C714" s="4561" t="n"/>
      <c r="D714" s="4561" t="n"/>
      <c r="E714" s="4561" t="n"/>
      <c r="F714" s="4561" t="n"/>
      <c r="G714" s="4561" t="n"/>
      <c r="H714" s="4561" t="n"/>
      <c r="I714" s="4562">
        <f>XLOOKUP(B714,'_Sys|Line_Map'!$A:$A,'_Sys|Line_Map'!$C:$C,"MISSING",0)</f>
        <v/>
      </c>
      <c r="J714" s="4562">
        <f>XLOOKUP(B714,'_Sys|Line_Map'!$A:$A,'_Sys|Line_Map'!$D:$D,1,0)</f>
        <v/>
      </c>
      <c r="K714" s="4562">
        <f>IF(D714="","",D714*J714)</f>
        <v/>
      </c>
      <c r="L714" s="4562">
        <f>XLOOKUP(B714,'_Sys|Line_Map'!$A:$A,'_Sys|Line_Map'!$B:$B,"MISSING",0)</f>
        <v/>
      </c>
    </row>
    <row r="715">
      <c r="A715" s="4561" t="n"/>
      <c r="B715" s="4561" t="n"/>
      <c r="C715" s="4561" t="n"/>
      <c r="D715" s="4561" t="n"/>
      <c r="E715" s="4561" t="n"/>
      <c r="F715" s="4561" t="n"/>
      <c r="G715" s="4561" t="n"/>
      <c r="H715" s="4561" t="n"/>
      <c r="I715" s="4562">
        <f>XLOOKUP(B715,'_Sys|Line_Map'!$A:$A,'_Sys|Line_Map'!$C:$C,"MISSING",0)</f>
        <v/>
      </c>
      <c r="J715" s="4562">
        <f>XLOOKUP(B715,'_Sys|Line_Map'!$A:$A,'_Sys|Line_Map'!$D:$D,1,0)</f>
        <v/>
      </c>
      <c r="K715" s="4562">
        <f>IF(D715="","",D715*J715)</f>
        <v/>
      </c>
      <c r="L715" s="4562">
        <f>XLOOKUP(B715,'_Sys|Line_Map'!$A:$A,'_Sys|Line_Map'!$B:$B,"MISSING",0)</f>
        <v/>
      </c>
    </row>
    <row r="716">
      <c r="A716" s="4561" t="n"/>
      <c r="B716" s="4561" t="n"/>
      <c r="C716" s="4561" t="n"/>
      <c r="D716" s="4561" t="n"/>
      <c r="E716" s="4561" t="n"/>
      <c r="F716" s="4561" t="n"/>
      <c r="G716" s="4561" t="n"/>
      <c r="H716" s="4561" t="n"/>
      <c r="I716" s="4562">
        <f>XLOOKUP(B716,'_Sys|Line_Map'!$A:$A,'_Sys|Line_Map'!$C:$C,"MISSING",0)</f>
        <v/>
      </c>
      <c r="J716" s="4562">
        <f>XLOOKUP(B716,'_Sys|Line_Map'!$A:$A,'_Sys|Line_Map'!$D:$D,1,0)</f>
        <v/>
      </c>
      <c r="K716" s="4562">
        <f>IF(D716="","",D716*J716)</f>
        <v/>
      </c>
      <c r="L716" s="4562">
        <f>XLOOKUP(B716,'_Sys|Line_Map'!$A:$A,'_Sys|Line_Map'!$B:$B,"MISSING",0)</f>
        <v/>
      </c>
    </row>
    <row r="717">
      <c r="A717" s="4561" t="n"/>
      <c r="B717" s="4561" t="n"/>
      <c r="C717" s="4561" t="n"/>
      <c r="D717" s="4561" t="n"/>
      <c r="E717" s="4561" t="n"/>
      <c r="F717" s="4561" t="n"/>
      <c r="G717" s="4561" t="n"/>
      <c r="H717" s="4561" t="n"/>
      <c r="I717" s="4562">
        <f>XLOOKUP(B717,'_Sys|Line_Map'!$A:$A,'_Sys|Line_Map'!$C:$C,"MISSING",0)</f>
        <v/>
      </c>
      <c r="J717" s="4562">
        <f>XLOOKUP(B717,'_Sys|Line_Map'!$A:$A,'_Sys|Line_Map'!$D:$D,1,0)</f>
        <v/>
      </c>
      <c r="K717" s="4562">
        <f>IF(D717="","",D717*J717)</f>
        <v/>
      </c>
      <c r="L717" s="4562">
        <f>XLOOKUP(B717,'_Sys|Line_Map'!$A:$A,'_Sys|Line_Map'!$B:$B,"MISSING",0)</f>
        <v/>
      </c>
    </row>
    <row r="718">
      <c r="A718" s="4561" t="n"/>
      <c r="B718" s="4561" t="n"/>
      <c r="C718" s="4561" t="n"/>
      <c r="D718" s="4561" t="n"/>
      <c r="E718" s="4561" t="n"/>
      <c r="F718" s="4561" t="n"/>
      <c r="G718" s="4561" t="n"/>
      <c r="H718" s="4561" t="n"/>
      <c r="I718" s="4562">
        <f>XLOOKUP(B718,'_Sys|Line_Map'!$A:$A,'_Sys|Line_Map'!$C:$C,"MISSING",0)</f>
        <v/>
      </c>
      <c r="J718" s="4562">
        <f>XLOOKUP(B718,'_Sys|Line_Map'!$A:$A,'_Sys|Line_Map'!$D:$D,1,0)</f>
        <v/>
      </c>
      <c r="K718" s="4562">
        <f>IF(D718="","",D718*J718)</f>
        <v/>
      </c>
      <c r="L718" s="4562">
        <f>XLOOKUP(B718,'_Sys|Line_Map'!$A:$A,'_Sys|Line_Map'!$B:$B,"MISSING",0)</f>
        <v/>
      </c>
    </row>
    <row r="719">
      <c r="A719" s="4561" t="n"/>
      <c r="B719" s="4561" t="n"/>
      <c r="C719" s="4561" t="n"/>
      <c r="D719" s="4561" t="n"/>
      <c r="E719" s="4561" t="n"/>
      <c r="F719" s="4561" t="n"/>
      <c r="G719" s="4561" t="n"/>
      <c r="H719" s="4561" t="n"/>
      <c r="I719" s="4562">
        <f>XLOOKUP(B719,'_Sys|Line_Map'!$A:$A,'_Sys|Line_Map'!$C:$C,"MISSING",0)</f>
        <v/>
      </c>
      <c r="J719" s="4562">
        <f>XLOOKUP(B719,'_Sys|Line_Map'!$A:$A,'_Sys|Line_Map'!$D:$D,1,0)</f>
        <v/>
      </c>
      <c r="K719" s="4562">
        <f>IF(D719="","",D719*J719)</f>
        <v/>
      </c>
      <c r="L719" s="4562">
        <f>XLOOKUP(B719,'_Sys|Line_Map'!$A:$A,'_Sys|Line_Map'!$B:$B,"MISSING",0)</f>
        <v/>
      </c>
    </row>
    <row r="720">
      <c r="A720" s="4561" t="n"/>
      <c r="B720" s="4561" t="n"/>
      <c r="C720" s="4561" t="n"/>
      <c r="D720" s="4561" t="n"/>
      <c r="E720" s="4561" t="n"/>
      <c r="F720" s="4561" t="n"/>
      <c r="G720" s="4561" t="n"/>
      <c r="H720" s="4561" t="n"/>
      <c r="I720" s="4562">
        <f>XLOOKUP(B720,'_Sys|Line_Map'!$A:$A,'_Sys|Line_Map'!$C:$C,"MISSING",0)</f>
        <v/>
      </c>
      <c r="J720" s="4562">
        <f>XLOOKUP(B720,'_Sys|Line_Map'!$A:$A,'_Sys|Line_Map'!$D:$D,1,0)</f>
        <v/>
      </c>
      <c r="K720" s="4562">
        <f>IF(D720="","",D720*J720)</f>
        <v/>
      </c>
      <c r="L720" s="4562">
        <f>XLOOKUP(B720,'_Sys|Line_Map'!$A:$A,'_Sys|Line_Map'!$B:$B,"MISSING",0)</f>
        <v/>
      </c>
    </row>
    <row r="721">
      <c r="A721" s="4561" t="n"/>
      <c r="B721" s="4561" t="n"/>
      <c r="C721" s="4561" t="n"/>
      <c r="D721" s="4561" t="n"/>
      <c r="E721" s="4561" t="n"/>
      <c r="F721" s="4561" t="n"/>
      <c r="G721" s="4561" t="n"/>
      <c r="H721" s="4561" t="n"/>
      <c r="I721" s="4562">
        <f>XLOOKUP(B721,'_Sys|Line_Map'!$A:$A,'_Sys|Line_Map'!$C:$C,"MISSING",0)</f>
        <v/>
      </c>
      <c r="J721" s="4562">
        <f>XLOOKUP(B721,'_Sys|Line_Map'!$A:$A,'_Sys|Line_Map'!$D:$D,1,0)</f>
        <v/>
      </c>
      <c r="K721" s="4562">
        <f>IF(D721="","",D721*J721)</f>
        <v/>
      </c>
      <c r="L721" s="4562">
        <f>XLOOKUP(B721,'_Sys|Line_Map'!$A:$A,'_Sys|Line_Map'!$B:$B,"MISSING",0)</f>
        <v/>
      </c>
    </row>
    <row r="722">
      <c r="A722" s="4561" t="n"/>
      <c r="B722" s="4561" t="n"/>
      <c r="C722" s="4561" t="n"/>
      <c r="D722" s="4561" t="n"/>
      <c r="E722" s="4561" t="n"/>
      <c r="F722" s="4561" t="n"/>
      <c r="G722" s="4561" t="n"/>
      <c r="H722" s="4561" t="n"/>
      <c r="I722" s="4562">
        <f>XLOOKUP(B722,'_Sys|Line_Map'!$A:$A,'_Sys|Line_Map'!$C:$C,"MISSING",0)</f>
        <v/>
      </c>
      <c r="J722" s="4562">
        <f>XLOOKUP(B722,'_Sys|Line_Map'!$A:$A,'_Sys|Line_Map'!$D:$D,1,0)</f>
        <v/>
      </c>
      <c r="K722" s="4562">
        <f>IF(D722="","",D722*J722)</f>
        <v/>
      </c>
      <c r="L722" s="4562">
        <f>XLOOKUP(B722,'_Sys|Line_Map'!$A:$A,'_Sys|Line_Map'!$B:$B,"MISSING",0)</f>
        <v/>
      </c>
    </row>
    <row r="723">
      <c r="A723" s="4561" t="n"/>
      <c r="B723" s="4561" t="n"/>
      <c r="C723" s="4561" t="n"/>
      <c r="D723" s="4561" t="n"/>
      <c r="E723" s="4561" t="n"/>
      <c r="F723" s="4561" t="n"/>
      <c r="G723" s="4561" t="n"/>
      <c r="H723" s="4561" t="n"/>
      <c r="I723" s="4562">
        <f>XLOOKUP(B723,'_Sys|Line_Map'!$A:$A,'_Sys|Line_Map'!$C:$C,"MISSING",0)</f>
        <v/>
      </c>
      <c r="J723" s="4562">
        <f>XLOOKUP(B723,'_Sys|Line_Map'!$A:$A,'_Sys|Line_Map'!$D:$D,1,0)</f>
        <v/>
      </c>
      <c r="K723" s="4562">
        <f>IF(D723="","",D723*J723)</f>
        <v/>
      </c>
      <c r="L723" s="4562">
        <f>XLOOKUP(B723,'_Sys|Line_Map'!$A:$A,'_Sys|Line_Map'!$B:$B,"MISSING",0)</f>
        <v/>
      </c>
    </row>
    <row r="724">
      <c r="A724" s="4561" t="n"/>
      <c r="B724" s="4561" t="n"/>
      <c r="C724" s="4561" t="n"/>
      <c r="D724" s="4561" t="n"/>
      <c r="E724" s="4561" t="n"/>
      <c r="F724" s="4561" t="n"/>
      <c r="G724" s="4561" t="n"/>
      <c r="H724" s="4561" t="n"/>
      <c r="I724" s="4562">
        <f>XLOOKUP(B724,'_Sys|Line_Map'!$A:$A,'_Sys|Line_Map'!$C:$C,"MISSING",0)</f>
        <v/>
      </c>
      <c r="J724" s="4562">
        <f>XLOOKUP(B724,'_Sys|Line_Map'!$A:$A,'_Sys|Line_Map'!$D:$D,1,0)</f>
        <v/>
      </c>
      <c r="K724" s="4562">
        <f>IF(D724="","",D724*J724)</f>
        <v/>
      </c>
      <c r="L724" s="4562">
        <f>XLOOKUP(B724,'_Sys|Line_Map'!$A:$A,'_Sys|Line_Map'!$B:$B,"MISSING",0)</f>
        <v/>
      </c>
    </row>
    <row r="725">
      <c r="A725" s="4561" t="n"/>
      <c r="B725" s="4561" t="n"/>
      <c r="C725" s="4561" t="n"/>
      <c r="D725" s="4561" t="n"/>
      <c r="E725" s="4561" t="n"/>
      <c r="F725" s="4561" t="n"/>
      <c r="G725" s="4561" t="n"/>
      <c r="H725" s="4561" t="n"/>
      <c r="I725" s="4562">
        <f>XLOOKUP(B725,'_Sys|Line_Map'!$A:$A,'_Sys|Line_Map'!$C:$C,"MISSING",0)</f>
        <v/>
      </c>
      <c r="J725" s="4562">
        <f>XLOOKUP(B725,'_Sys|Line_Map'!$A:$A,'_Sys|Line_Map'!$D:$D,1,0)</f>
        <v/>
      </c>
      <c r="K725" s="4562">
        <f>IF(D725="","",D725*J725)</f>
        <v/>
      </c>
      <c r="L725" s="4562">
        <f>XLOOKUP(B725,'_Sys|Line_Map'!$A:$A,'_Sys|Line_Map'!$B:$B,"MISSING",0)</f>
        <v/>
      </c>
    </row>
    <row r="726">
      <c r="A726" s="4561" t="n"/>
      <c r="B726" s="4561" t="n"/>
      <c r="C726" s="4561" t="n"/>
      <c r="D726" s="4561" t="n"/>
      <c r="E726" s="4561" t="n"/>
      <c r="F726" s="4561" t="n"/>
      <c r="G726" s="4561" t="n"/>
      <c r="H726" s="4561" t="n"/>
      <c r="I726" s="4562">
        <f>XLOOKUP(B726,'_Sys|Line_Map'!$A:$A,'_Sys|Line_Map'!$C:$C,"MISSING",0)</f>
        <v/>
      </c>
      <c r="J726" s="4562">
        <f>XLOOKUP(B726,'_Sys|Line_Map'!$A:$A,'_Sys|Line_Map'!$D:$D,1,0)</f>
        <v/>
      </c>
      <c r="K726" s="4562">
        <f>IF(D726="","",D726*J726)</f>
        <v/>
      </c>
      <c r="L726" s="4562">
        <f>XLOOKUP(B726,'_Sys|Line_Map'!$A:$A,'_Sys|Line_Map'!$B:$B,"MISSING",0)</f>
        <v/>
      </c>
    </row>
    <row r="727">
      <c r="A727" s="4561" t="n"/>
      <c r="B727" s="4561" t="n"/>
      <c r="C727" s="4561" t="n"/>
      <c r="D727" s="4561" t="n"/>
      <c r="E727" s="4561" t="n"/>
      <c r="F727" s="4561" t="n"/>
      <c r="G727" s="4561" t="n"/>
      <c r="H727" s="4561" t="n"/>
      <c r="I727" s="4562">
        <f>XLOOKUP(B727,'_Sys|Line_Map'!$A:$A,'_Sys|Line_Map'!$C:$C,"MISSING",0)</f>
        <v/>
      </c>
      <c r="J727" s="4562">
        <f>XLOOKUP(B727,'_Sys|Line_Map'!$A:$A,'_Sys|Line_Map'!$D:$D,1,0)</f>
        <v/>
      </c>
      <c r="K727" s="4562">
        <f>IF(D727="","",D727*J727)</f>
        <v/>
      </c>
      <c r="L727" s="4562">
        <f>XLOOKUP(B727,'_Sys|Line_Map'!$A:$A,'_Sys|Line_Map'!$B:$B,"MISSING",0)</f>
        <v/>
      </c>
    </row>
    <row r="728">
      <c r="A728" s="4561" t="n"/>
      <c r="B728" s="4561" t="n"/>
      <c r="C728" s="4561" t="n"/>
      <c r="D728" s="4561" t="n"/>
      <c r="E728" s="4561" t="n"/>
      <c r="F728" s="4561" t="n"/>
      <c r="G728" s="4561" t="n"/>
      <c r="H728" s="4561" t="n"/>
      <c r="I728" s="4562">
        <f>XLOOKUP(B728,'_Sys|Line_Map'!$A:$A,'_Sys|Line_Map'!$C:$C,"MISSING",0)</f>
        <v/>
      </c>
      <c r="J728" s="4562">
        <f>XLOOKUP(B728,'_Sys|Line_Map'!$A:$A,'_Sys|Line_Map'!$D:$D,1,0)</f>
        <v/>
      </c>
      <c r="K728" s="4562">
        <f>IF(D728="","",D728*J728)</f>
        <v/>
      </c>
      <c r="L728" s="4562">
        <f>XLOOKUP(B728,'_Sys|Line_Map'!$A:$A,'_Sys|Line_Map'!$B:$B,"MISSING",0)</f>
        <v/>
      </c>
    </row>
    <row r="729">
      <c r="A729" s="4561" t="n"/>
      <c r="B729" s="4561" t="n"/>
      <c r="C729" s="4561" t="n"/>
      <c r="D729" s="4561" t="n"/>
      <c r="E729" s="4561" t="n"/>
      <c r="F729" s="4561" t="n"/>
      <c r="G729" s="4561" t="n"/>
      <c r="H729" s="4561" t="n"/>
      <c r="I729" s="4562">
        <f>XLOOKUP(B729,'_Sys|Line_Map'!$A:$A,'_Sys|Line_Map'!$C:$C,"MISSING",0)</f>
        <v/>
      </c>
      <c r="J729" s="4562">
        <f>XLOOKUP(B729,'_Sys|Line_Map'!$A:$A,'_Sys|Line_Map'!$D:$D,1,0)</f>
        <v/>
      </c>
      <c r="K729" s="4562">
        <f>IF(D729="","",D729*J729)</f>
        <v/>
      </c>
      <c r="L729" s="4562">
        <f>XLOOKUP(B729,'_Sys|Line_Map'!$A:$A,'_Sys|Line_Map'!$B:$B,"MISSING",0)</f>
        <v/>
      </c>
    </row>
    <row r="730">
      <c r="A730" s="4561" t="n"/>
      <c r="B730" s="4561" t="n"/>
      <c r="C730" s="4561" t="n"/>
      <c r="D730" s="4561" t="n"/>
      <c r="E730" s="4561" t="n"/>
      <c r="F730" s="4561" t="n"/>
      <c r="G730" s="4561" t="n"/>
      <c r="H730" s="4561" t="n"/>
      <c r="I730" s="4562">
        <f>XLOOKUP(B730,'_Sys|Line_Map'!$A:$A,'_Sys|Line_Map'!$C:$C,"MISSING",0)</f>
        <v/>
      </c>
      <c r="J730" s="4562">
        <f>XLOOKUP(B730,'_Sys|Line_Map'!$A:$A,'_Sys|Line_Map'!$D:$D,1,0)</f>
        <v/>
      </c>
      <c r="K730" s="4562">
        <f>IF(D730="","",D730*J730)</f>
        <v/>
      </c>
      <c r="L730" s="4562">
        <f>XLOOKUP(B730,'_Sys|Line_Map'!$A:$A,'_Sys|Line_Map'!$B:$B,"MISSING",0)</f>
        <v/>
      </c>
    </row>
    <row r="731">
      <c r="A731" s="4561" t="n"/>
      <c r="B731" s="4561" t="n"/>
      <c r="C731" s="4561" t="n"/>
      <c r="D731" s="4561" t="n"/>
      <c r="E731" s="4561" t="n"/>
      <c r="F731" s="4561" t="n"/>
      <c r="G731" s="4561" t="n"/>
      <c r="H731" s="4561" t="n"/>
      <c r="I731" s="4562">
        <f>XLOOKUP(B731,'_Sys|Line_Map'!$A:$A,'_Sys|Line_Map'!$C:$C,"MISSING",0)</f>
        <v/>
      </c>
      <c r="J731" s="4562">
        <f>XLOOKUP(B731,'_Sys|Line_Map'!$A:$A,'_Sys|Line_Map'!$D:$D,1,0)</f>
        <v/>
      </c>
      <c r="K731" s="4562">
        <f>IF(D731="","",D731*J731)</f>
        <v/>
      </c>
      <c r="L731" s="4562">
        <f>XLOOKUP(B731,'_Sys|Line_Map'!$A:$A,'_Sys|Line_Map'!$B:$B,"MISSING",0)</f>
        <v/>
      </c>
    </row>
    <row r="732">
      <c r="A732" s="4561" t="n"/>
      <c r="B732" s="4561" t="n"/>
      <c r="C732" s="4561" t="n"/>
      <c r="D732" s="4561" t="n"/>
      <c r="E732" s="4561" t="n"/>
      <c r="F732" s="4561" t="n"/>
      <c r="G732" s="4561" t="n"/>
      <c r="H732" s="4561" t="n"/>
      <c r="I732" s="4562">
        <f>XLOOKUP(B732,'_Sys|Line_Map'!$A:$A,'_Sys|Line_Map'!$C:$C,"MISSING",0)</f>
        <v/>
      </c>
      <c r="J732" s="4562">
        <f>XLOOKUP(B732,'_Sys|Line_Map'!$A:$A,'_Sys|Line_Map'!$D:$D,1,0)</f>
        <v/>
      </c>
      <c r="K732" s="4562">
        <f>IF(D732="","",D732*J732)</f>
        <v/>
      </c>
      <c r="L732" s="4562">
        <f>XLOOKUP(B732,'_Sys|Line_Map'!$A:$A,'_Sys|Line_Map'!$B:$B,"MISSING",0)</f>
        <v/>
      </c>
    </row>
    <row r="733">
      <c r="A733" s="4561" t="n"/>
      <c r="B733" s="4561" t="n"/>
      <c r="C733" s="4561" t="n"/>
      <c r="D733" s="4561" t="n"/>
      <c r="E733" s="4561" t="n"/>
      <c r="F733" s="4561" t="n"/>
      <c r="G733" s="4561" t="n"/>
      <c r="H733" s="4561" t="n"/>
      <c r="I733" s="4562">
        <f>XLOOKUP(B733,'_Sys|Line_Map'!$A:$A,'_Sys|Line_Map'!$C:$C,"MISSING",0)</f>
        <v/>
      </c>
      <c r="J733" s="4562">
        <f>XLOOKUP(B733,'_Sys|Line_Map'!$A:$A,'_Sys|Line_Map'!$D:$D,1,0)</f>
        <v/>
      </c>
      <c r="K733" s="4562">
        <f>IF(D733="","",D733*J733)</f>
        <v/>
      </c>
      <c r="L733" s="4562">
        <f>XLOOKUP(B733,'_Sys|Line_Map'!$A:$A,'_Sys|Line_Map'!$B:$B,"MISSING",0)</f>
        <v/>
      </c>
    </row>
    <row r="734">
      <c r="A734" s="4561" t="n"/>
      <c r="B734" s="4561" t="n"/>
      <c r="C734" s="4561" t="n"/>
      <c r="D734" s="4561" t="n"/>
      <c r="E734" s="4561" t="n"/>
      <c r="F734" s="4561" t="n"/>
      <c r="G734" s="4561" t="n"/>
      <c r="H734" s="4561" t="n"/>
      <c r="I734" s="4562">
        <f>XLOOKUP(B734,'_Sys|Line_Map'!$A:$A,'_Sys|Line_Map'!$C:$C,"MISSING",0)</f>
        <v/>
      </c>
      <c r="J734" s="4562">
        <f>XLOOKUP(B734,'_Sys|Line_Map'!$A:$A,'_Sys|Line_Map'!$D:$D,1,0)</f>
        <v/>
      </c>
      <c r="K734" s="4562">
        <f>IF(D734="","",D734*J734)</f>
        <v/>
      </c>
      <c r="L734" s="4562">
        <f>XLOOKUP(B734,'_Sys|Line_Map'!$A:$A,'_Sys|Line_Map'!$B:$B,"MISSING",0)</f>
        <v/>
      </c>
    </row>
    <row r="735">
      <c r="A735" s="4561" t="n"/>
      <c r="B735" s="4561" t="n"/>
      <c r="C735" s="4561" t="n"/>
      <c r="D735" s="4561" t="n"/>
      <c r="E735" s="4561" t="n"/>
      <c r="F735" s="4561" t="n"/>
      <c r="G735" s="4561" t="n"/>
      <c r="H735" s="4561" t="n"/>
      <c r="I735" s="4562">
        <f>XLOOKUP(B735,'_Sys|Line_Map'!$A:$A,'_Sys|Line_Map'!$C:$C,"MISSING",0)</f>
        <v/>
      </c>
      <c r="J735" s="4562">
        <f>XLOOKUP(B735,'_Sys|Line_Map'!$A:$A,'_Sys|Line_Map'!$D:$D,1,0)</f>
        <v/>
      </c>
      <c r="K735" s="4562">
        <f>IF(D735="","",D735*J735)</f>
        <v/>
      </c>
      <c r="L735" s="4562">
        <f>XLOOKUP(B735,'_Sys|Line_Map'!$A:$A,'_Sys|Line_Map'!$B:$B,"MISSING",0)</f>
        <v/>
      </c>
    </row>
    <row r="736">
      <c r="A736" s="4561" t="n"/>
      <c r="B736" s="4561" t="n"/>
      <c r="C736" s="4561" t="n"/>
      <c r="D736" s="4561" t="n"/>
      <c r="E736" s="4561" t="n"/>
      <c r="F736" s="4561" t="n"/>
      <c r="G736" s="4561" t="n"/>
      <c r="H736" s="4561" t="n"/>
      <c r="I736" s="4562">
        <f>XLOOKUP(B736,'_Sys|Line_Map'!$A:$A,'_Sys|Line_Map'!$C:$C,"MISSING",0)</f>
        <v/>
      </c>
      <c r="J736" s="4562">
        <f>XLOOKUP(B736,'_Sys|Line_Map'!$A:$A,'_Sys|Line_Map'!$D:$D,1,0)</f>
        <v/>
      </c>
      <c r="K736" s="4562">
        <f>IF(D736="","",D736*J736)</f>
        <v/>
      </c>
      <c r="L736" s="4562">
        <f>XLOOKUP(B736,'_Sys|Line_Map'!$A:$A,'_Sys|Line_Map'!$B:$B,"MISSING",0)</f>
        <v/>
      </c>
    </row>
    <row r="737">
      <c r="A737" s="4561" t="n"/>
      <c r="B737" s="4561" t="n"/>
      <c r="C737" s="4561" t="n"/>
      <c r="D737" s="4561" t="n"/>
      <c r="E737" s="4561" t="n"/>
      <c r="F737" s="4561" t="n"/>
      <c r="G737" s="4561" t="n"/>
      <c r="H737" s="4561" t="n"/>
      <c r="I737" s="4562">
        <f>XLOOKUP(B737,'_Sys|Line_Map'!$A:$A,'_Sys|Line_Map'!$C:$C,"MISSING",0)</f>
        <v/>
      </c>
      <c r="J737" s="4562">
        <f>XLOOKUP(B737,'_Sys|Line_Map'!$A:$A,'_Sys|Line_Map'!$D:$D,1,0)</f>
        <v/>
      </c>
      <c r="K737" s="4562">
        <f>IF(D737="","",D737*J737)</f>
        <v/>
      </c>
      <c r="L737" s="4562">
        <f>XLOOKUP(B737,'_Sys|Line_Map'!$A:$A,'_Sys|Line_Map'!$B:$B,"MISSING",0)</f>
        <v/>
      </c>
    </row>
    <row r="738">
      <c r="A738" s="4561" t="n"/>
      <c r="B738" s="4561" t="n"/>
      <c r="C738" s="4561" t="n"/>
      <c r="D738" s="4561" t="n"/>
      <c r="E738" s="4561" t="n"/>
      <c r="F738" s="4561" t="n"/>
      <c r="G738" s="4561" t="n"/>
      <c r="H738" s="4561" t="n"/>
      <c r="I738" s="4562">
        <f>XLOOKUP(B738,'_Sys|Line_Map'!$A:$A,'_Sys|Line_Map'!$C:$C,"MISSING",0)</f>
        <v/>
      </c>
      <c r="J738" s="4562">
        <f>XLOOKUP(B738,'_Sys|Line_Map'!$A:$A,'_Sys|Line_Map'!$D:$D,1,0)</f>
        <v/>
      </c>
      <c r="K738" s="4562">
        <f>IF(D738="","",D738*J738)</f>
        <v/>
      </c>
      <c r="L738" s="4562">
        <f>XLOOKUP(B738,'_Sys|Line_Map'!$A:$A,'_Sys|Line_Map'!$B:$B,"MISSING",0)</f>
        <v/>
      </c>
    </row>
    <row r="739">
      <c r="A739" s="4561" t="n"/>
      <c r="B739" s="4561" t="n"/>
      <c r="C739" s="4561" t="n"/>
      <c r="D739" s="4561" t="n"/>
      <c r="E739" s="4561" t="n"/>
      <c r="F739" s="4561" t="n"/>
      <c r="G739" s="4561" t="n"/>
      <c r="H739" s="4561" t="n"/>
      <c r="I739" s="4562">
        <f>XLOOKUP(B739,'_Sys|Line_Map'!$A:$A,'_Sys|Line_Map'!$C:$C,"MISSING",0)</f>
        <v/>
      </c>
      <c r="J739" s="4562">
        <f>XLOOKUP(B739,'_Sys|Line_Map'!$A:$A,'_Sys|Line_Map'!$D:$D,1,0)</f>
        <v/>
      </c>
      <c r="K739" s="4562">
        <f>IF(D739="","",D739*J739)</f>
        <v/>
      </c>
      <c r="L739" s="4562">
        <f>XLOOKUP(B739,'_Sys|Line_Map'!$A:$A,'_Sys|Line_Map'!$B:$B,"MISSING",0)</f>
        <v/>
      </c>
    </row>
    <row r="740">
      <c r="A740" s="4561" t="n"/>
      <c r="B740" s="4561" t="n"/>
      <c r="C740" s="4561" t="n"/>
      <c r="D740" s="4561" t="n"/>
      <c r="E740" s="4561" t="n"/>
      <c r="F740" s="4561" t="n"/>
      <c r="G740" s="4561" t="n"/>
      <c r="H740" s="4561" t="n"/>
      <c r="I740" s="4562">
        <f>XLOOKUP(B740,'_Sys|Line_Map'!$A:$A,'_Sys|Line_Map'!$C:$C,"MISSING",0)</f>
        <v/>
      </c>
      <c r="J740" s="4562">
        <f>XLOOKUP(B740,'_Sys|Line_Map'!$A:$A,'_Sys|Line_Map'!$D:$D,1,0)</f>
        <v/>
      </c>
      <c r="K740" s="4562">
        <f>IF(D740="","",D740*J740)</f>
        <v/>
      </c>
      <c r="L740" s="4562">
        <f>XLOOKUP(B740,'_Sys|Line_Map'!$A:$A,'_Sys|Line_Map'!$B:$B,"MISSING",0)</f>
        <v/>
      </c>
    </row>
    <row r="741">
      <c r="A741" s="4561" t="n"/>
      <c r="B741" s="4561" t="n"/>
      <c r="C741" s="4561" t="n"/>
      <c r="D741" s="4561" t="n"/>
      <c r="E741" s="4561" t="n"/>
      <c r="F741" s="4561" t="n"/>
      <c r="G741" s="4561" t="n"/>
      <c r="H741" s="4561" t="n"/>
      <c r="I741" s="4562">
        <f>XLOOKUP(B741,'_Sys|Line_Map'!$A:$A,'_Sys|Line_Map'!$C:$C,"MISSING",0)</f>
        <v/>
      </c>
      <c r="J741" s="4562">
        <f>XLOOKUP(B741,'_Sys|Line_Map'!$A:$A,'_Sys|Line_Map'!$D:$D,1,0)</f>
        <v/>
      </c>
      <c r="K741" s="4562">
        <f>IF(D741="","",D741*J741)</f>
        <v/>
      </c>
      <c r="L741" s="4562">
        <f>XLOOKUP(B741,'_Sys|Line_Map'!$A:$A,'_Sys|Line_Map'!$B:$B,"MISSING",0)</f>
        <v/>
      </c>
    </row>
    <row r="742">
      <c r="A742" s="4561" t="n"/>
      <c r="B742" s="4561" t="n"/>
      <c r="C742" s="4561" t="n"/>
      <c r="D742" s="4561" t="n"/>
      <c r="E742" s="4561" t="n"/>
      <c r="F742" s="4561" t="n"/>
      <c r="G742" s="4561" t="n"/>
      <c r="H742" s="4561" t="n"/>
      <c r="I742" s="4562">
        <f>XLOOKUP(B742,'_Sys|Line_Map'!$A:$A,'_Sys|Line_Map'!$C:$C,"MISSING",0)</f>
        <v/>
      </c>
      <c r="J742" s="4562">
        <f>XLOOKUP(B742,'_Sys|Line_Map'!$A:$A,'_Sys|Line_Map'!$D:$D,1,0)</f>
        <v/>
      </c>
      <c r="K742" s="4562">
        <f>IF(D742="","",D742*J742)</f>
        <v/>
      </c>
      <c r="L742" s="4562">
        <f>XLOOKUP(B742,'_Sys|Line_Map'!$A:$A,'_Sys|Line_Map'!$B:$B,"MISSING",0)</f>
        <v/>
      </c>
    </row>
    <row r="743">
      <c r="A743" s="4561" t="n"/>
      <c r="B743" s="4561" t="n"/>
      <c r="C743" s="4561" t="n"/>
      <c r="D743" s="4561" t="n"/>
      <c r="E743" s="4561" t="n"/>
      <c r="F743" s="4561" t="n"/>
      <c r="G743" s="4561" t="n"/>
      <c r="H743" s="4561" t="n"/>
      <c r="I743" s="4562">
        <f>XLOOKUP(B743,'_Sys|Line_Map'!$A:$A,'_Sys|Line_Map'!$C:$C,"MISSING",0)</f>
        <v/>
      </c>
      <c r="J743" s="4562">
        <f>XLOOKUP(B743,'_Sys|Line_Map'!$A:$A,'_Sys|Line_Map'!$D:$D,1,0)</f>
        <v/>
      </c>
      <c r="K743" s="4562">
        <f>IF(D743="","",D743*J743)</f>
        <v/>
      </c>
      <c r="L743" s="4562">
        <f>XLOOKUP(B743,'_Sys|Line_Map'!$A:$A,'_Sys|Line_Map'!$B:$B,"MISSING",0)</f>
        <v/>
      </c>
    </row>
    <row r="744">
      <c r="A744" s="4561" t="n"/>
      <c r="B744" s="4561" t="n"/>
      <c r="C744" s="4561" t="n"/>
      <c r="D744" s="4561" t="n"/>
      <c r="E744" s="4561" t="n"/>
      <c r="F744" s="4561" t="n"/>
      <c r="G744" s="4561" t="n"/>
      <c r="H744" s="4561" t="n"/>
      <c r="I744" s="4562">
        <f>XLOOKUP(B744,'_Sys|Line_Map'!$A:$A,'_Sys|Line_Map'!$C:$C,"MISSING",0)</f>
        <v/>
      </c>
      <c r="J744" s="4562">
        <f>XLOOKUP(B744,'_Sys|Line_Map'!$A:$A,'_Sys|Line_Map'!$D:$D,1,0)</f>
        <v/>
      </c>
      <c r="K744" s="4562">
        <f>IF(D744="","",D744*J744)</f>
        <v/>
      </c>
      <c r="L744" s="4562">
        <f>XLOOKUP(B744,'_Sys|Line_Map'!$A:$A,'_Sys|Line_Map'!$B:$B,"MISSING",0)</f>
        <v/>
      </c>
    </row>
    <row r="745">
      <c r="A745" s="4561" t="n"/>
      <c r="B745" s="4561" t="n"/>
      <c r="C745" s="4561" t="n"/>
      <c r="D745" s="4561" t="n"/>
      <c r="E745" s="4561" t="n"/>
      <c r="F745" s="4561" t="n"/>
      <c r="G745" s="4561" t="n"/>
      <c r="H745" s="4561" t="n"/>
      <c r="I745" s="4562">
        <f>XLOOKUP(B745,'_Sys|Line_Map'!$A:$A,'_Sys|Line_Map'!$C:$C,"MISSING",0)</f>
        <v/>
      </c>
      <c r="J745" s="4562">
        <f>XLOOKUP(B745,'_Sys|Line_Map'!$A:$A,'_Sys|Line_Map'!$D:$D,1,0)</f>
        <v/>
      </c>
      <c r="K745" s="4562">
        <f>IF(D745="","",D745*J745)</f>
        <v/>
      </c>
      <c r="L745" s="4562">
        <f>XLOOKUP(B745,'_Sys|Line_Map'!$A:$A,'_Sys|Line_Map'!$B:$B,"MISSING",0)</f>
        <v/>
      </c>
    </row>
    <row r="746">
      <c r="A746" s="4561" t="n"/>
      <c r="B746" s="4561" t="n"/>
      <c r="C746" s="4561" t="n"/>
      <c r="D746" s="4561" t="n"/>
      <c r="E746" s="4561" t="n"/>
      <c r="F746" s="4561" t="n"/>
      <c r="G746" s="4561" t="n"/>
      <c r="H746" s="4561" t="n"/>
      <c r="I746" s="4562">
        <f>XLOOKUP(B746,'_Sys|Line_Map'!$A:$A,'_Sys|Line_Map'!$C:$C,"MISSING",0)</f>
        <v/>
      </c>
      <c r="J746" s="4562">
        <f>XLOOKUP(B746,'_Sys|Line_Map'!$A:$A,'_Sys|Line_Map'!$D:$D,1,0)</f>
        <v/>
      </c>
      <c r="K746" s="4562">
        <f>IF(D746="","",D746*J746)</f>
        <v/>
      </c>
      <c r="L746" s="4562">
        <f>XLOOKUP(B746,'_Sys|Line_Map'!$A:$A,'_Sys|Line_Map'!$B:$B,"MISSING",0)</f>
        <v/>
      </c>
    </row>
    <row r="747">
      <c r="A747" s="4561" t="n"/>
      <c r="B747" s="4561" t="n"/>
      <c r="C747" s="4561" t="n"/>
      <c r="D747" s="4561" t="n"/>
      <c r="E747" s="4561" t="n"/>
      <c r="F747" s="4561" t="n"/>
      <c r="G747" s="4561" t="n"/>
      <c r="H747" s="4561" t="n"/>
      <c r="I747" s="4562">
        <f>XLOOKUP(B747,'_Sys|Line_Map'!$A:$A,'_Sys|Line_Map'!$C:$C,"MISSING",0)</f>
        <v/>
      </c>
      <c r="J747" s="4562">
        <f>XLOOKUP(B747,'_Sys|Line_Map'!$A:$A,'_Sys|Line_Map'!$D:$D,1,0)</f>
        <v/>
      </c>
      <c r="K747" s="4562">
        <f>IF(D747="","",D747*J747)</f>
        <v/>
      </c>
      <c r="L747" s="4562">
        <f>XLOOKUP(B747,'_Sys|Line_Map'!$A:$A,'_Sys|Line_Map'!$B:$B,"MISSING",0)</f>
        <v/>
      </c>
    </row>
    <row r="748">
      <c r="A748" s="4561" t="n"/>
      <c r="B748" s="4561" t="n"/>
      <c r="C748" s="4561" t="n"/>
      <c r="D748" s="4561" t="n"/>
      <c r="E748" s="4561" t="n"/>
      <c r="F748" s="4561" t="n"/>
      <c r="G748" s="4561" t="n"/>
      <c r="H748" s="4561" t="n"/>
      <c r="I748" s="4562">
        <f>XLOOKUP(B748,'_Sys|Line_Map'!$A:$A,'_Sys|Line_Map'!$C:$C,"MISSING",0)</f>
        <v/>
      </c>
      <c r="J748" s="4562">
        <f>XLOOKUP(B748,'_Sys|Line_Map'!$A:$A,'_Sys|Line_Map'!$D:$D,1,0)</f>
        <v/>
      </c>
      <c r="K748" s="4562">
        <f>IF(D748="","",D748*J748)</f>
        <v/>
      </c>
      <c r="L748" s="4562">
        <f>XLOOKUP(B748,'_Sys|Line_Map'!$A:$A,'_Sys|Line_Map'!$B:$B,"MISSING",0)</f>
        <v/>
      </c>
    </row>
    <row r="749">
      <c r="A749" s="4561" t="n"/>
      <c r="B749" s="4561" t="n"/>
      <c r="C749" s="4561" t="n"/>
      <c r="D749" s="4561" t="n"/>
      <c r="E749" s="4561" t="n"/>
      <c r="F749" s="4561" t="n"/>
      <c r="G749" s="4561" t="n"/>
      <c r="H749" s="4561" t="n"/>
      <c r="I749" s="4562">
        <f>XLOOKUP(B749,'_Sys|Line_Map'!$A:$A,'_Sys|Line_Map'!$C:$C,"MISSING",0)</f>
        <v/>
      </c>
      <c r="J749" s="4562">
        <f>XLOOKUP(B749,'_Sys|Line_Map'!$A:$A,'_Sys|Line_Map'!$D:$D,1,0)</f>
        <v/>
      </c>
      <c r="K749" s="4562">
        <f>IF(D749="","",D749*J749)</f>
        <v/>
      </c>
      <c r="L749" s="4562">
        <f>XLOOKUP(B749,'_Sys|Line_Map'!$A:$A,'_Sys|Line_Map'!$B:$B,"MISSING",0)</f>
        <v/>
      </c>
    </row>
    <row r="750">
      <c r="A750" s="4561" t="n"/>
      <c r="B750" s="4561" t="n"/>
      <c r="C750" s="4561" t="n"/>
      <c r="D750" s="4561" t="n"/>
      <c r="E750" s="4561" t="n"/>
      <c r="F750" s="4561" t="n"/>
      <c r="G750" s="4561" t="n"/>
      <c r="H750" s="4561" t="n"/>
      <c r="I750" s="4562">
        <f>XLOOKUP(B750,'_Sys|Line_Map'!$A:$A,'_Sys|Line_Map'!$C:$C,"MISSING",0)</f>
        <v/>
      </c>
      <c r="J750" s="4562">
        <f>XLOOKUP(B750,'_Sys|Line_Map'!$A:$A,'_Sys|Line_Map'!$D:$D,1,0)</f>
        <v/>
      </c>
      <c r="K750" s="4562">
        <f>IF(D750="","",D750*J750)</f>
        <v/>
      </c>
      <c r="L750" s="4562">
        <f>XLOOKUP(B750,'_Sys|Line_Map'!$A:$A,'_Sys|Line_Map'!$B:$B,"MISSING",0)</f>
        <v/>
      </c>
    </row>
    <row r="751">
      <c r="A751" s="4561" t="n"/>
      <c r="B751" s="4561" t="n"/>
      <c r="C751" s="4561" t="n"/>
      <c r="D751" s="4561" t="n"/>
      <c r="E751" s="4561" t="n"/>
      <c r="F751" s="4561" t="n"/>
      <c r="G751" s="4561" t="n"/>
      <c r="H751" s="4561" t="n"/>
      <c r="I751" s="4562">
        <f>XLOOKUP(B751,'_Sys|Line_Map'!$A:$A,'_Sys|Line_Map'!$C:$C,"MISSING",0)</f>
        <v/>
      </c>
      <c r="J751" s="4562">
        <f>XLOOKUP(B751,'_Sys|Line_Map'!$A:$A,'_Sys|Line_Map'!$D:$D,1,0)</f>
        <v/>
      </c>
      <c r="K751" s="4562">
        <f>IF(D751="","",D751*J751)</f>
        <v/>
      </c>
      <c r="L751" s="4562">
        <f>XLOOKUP(B751,'_Sys|Line_Map'!$A:$A,'_Sys|Line_Map'!$B:$B,"MISSING",0)</f>
        <v/>
      </c>
    </row>
    <row r="752">
      <c r="A752" s="4561" t="n"/>
      <c r="B752" s="4561" t="n"/>
      <c r="C752" s="4561" t="n"/>
      <c r="D752" s="4561" t="n"/>
      <c r="E752" s="4561" t="n"/>
      <c r="F752" s="4561" t="n"/>
      <c r="G752" s="4561" t="n"/>
      <c r="H752" s="4561" t="n"/>
      <c r="I752" s="4562">
        <f>XLOOKUP(B752,'_Sys|Line_Map'!$A:$A,'_Sys|Line_Map'!$C:$C,"MISSING",0)</f>
        <v/>
      </c>
      <c r="J752" s="4562">
        <f>XLOOKUP(B752,'_Sys|Line_Map'!$A:$A,'_Sys|Line_Map'!$D:$D,1,0)</f>
        <v/>
      </c>
      <c r="K752" s="4562">
        <f>IF(D752="","",D752*J752)</f>
        <v/>
      </c>
      <c r="L752" s="4562">
        <f>XLOOKUP(B752,'_Sys|Line_Map'!$A:$A,'_Sys|Line_Map'!$B:$B,"MISSING",0)</f>
        <v/>
      </c>
    </row>
    <row r="753">
      <c r="A753" s="4561" t="n"/>
      <c r="B753" s="4561" t="n"/>
      <c r="C753" s="4561" t="n"/>
      <c r="D753" s="4561" t="n"/>
      <c r="E753" s="4561" t="n"/>
      <c r="F753" s="4561" t="n"/>
      <c r="G753" s="4561" t="n"/>
      <c r="H753" s="4561" t="n"/>
      <c r="I753" s="4562">
        <f>XLOOKUP(B753,'_Sys|Line_Map'!$A:$A,'_Sys|Line_Map'!$C:$C,"MISSING",0)</f>
        <v/>
      </c>
      <c r="J753" s="4562">
        <f>XLOOKUP(B753,'_Sys|Line_Map'!$A:$A,'_Sys|Line_Map'!$D:$D,1,0)</f>
        <v/>
      </c>
      <c r="K753" s="4562">
        <f>IF(D753="","",D753*J753)</f>
        <v/>
      </c>
      <c r="L753" s="4562">
        <f>XLOOKUP(B753,'_Sys|Line_Map'!$A:$A,'_Sys|Line_Map'!$B:$B,"MISSING",0)</f>
        <v/>
      </c>
    </row>
    <row r="754">
      <c r="A754" s="4561" t="n"/>
      <c r="B754" s="4561" t="n"/>
      <c r="C754" s="4561" t="n"/>
      <c r="D754" s="4561" t="n"/>
      <c r="E754" s="4561" t="n"/>
      <c r="F754" s="4561" t="n"/>
      <c r="G754" s="4561" t="n"/>
      <c r="H754" s="4561" t="n"/>
      <c r="I754" s="4562">
        <f>XLOOKUP(B754,'_Sys|Line_Map'!$A:$A,'_Sys|Line_Map'!$C:$C,"MISSING",0)</f>
        <v/>
      </c>
      <c r="J754" s="4562">
        <f>XLOOKUP(B754,'_Sys|Line_Map'!$A:$A,'_Sys|Line_Map'!$D:$D,1,0)</f>
        <v/>
      </c>
      <c r="K754" s="4562">
        <f>IF(D754="","",D754*J754)</f>
        <v/>
      </c>
      <c r="L754" s="4562">
        <f>XLOOKUP(B754,'_Sys|Line_Map'!$A:$A,'_Sys|Line_Map'!$B:$B,"MISSING",0)</f>
        <v/>
      </c>
    </row>
    <row r="755">
      <c r="A755" s="4561" t="n"/>
      <c r="B755" s="4561" t="n"/>
      <c r="C755" s="4561" t="n"/>
      <c r="D755" s="4561" t="n"/>
      <c r="E755" s="4561" t="n"/>
      <c r="F755" s="4561" t="n"/>
      <c r="G755" s="4561" t="n"/>
      <c r="H755" s="4561" t="n"/>
      <c r="I755" s="4562">
        <f>XLOOKUP(B755,'_Sys|Line_Map'!$A:$A,'_Sys|Line_Map'!$C:$C,"MISSING",0)</f>
        <v/>
      </c>
      <c r="J755" s="4562">
        <f>XLOOKUP(B755,'_Sys|Line_Map'!$A:$A,'_Sys|Line_Map'!$D:$D,1,0)</f>
        <v/>
      </c>
      <c r="K755" s="4562">
        <f>IF(D755="","",D755*J755)</f>
        <v/>
      </c>
      <c r="L755" s="4562">
        <f>XLOOKUP(B755,'_Sys|Line_Map'!$A:$A,'_Sys|Line_Map'!$B:$B,"MISSING",0)</f>
        <v/>
      </c>
    </row>
    <row r="756">
      <c r="A756" s="4561" t="n"/>
      <c r="B756" s="4561" t="n"/>
      <c r="C756" s="4561" t="n"/>
      <c r="D756" s="4561" t="n"/>
      <c r="E756" s="4561" t="n"/>
      <c r="F756" s="4561" t="n"/>
      <c r="G756" s="4561" t="n"/>
      <c r="H756" s="4561" t="n"/>
      <c r="I756" s="4562">
        <f>XLOOKUP(B756,'_Sys|Line_Map'!$A:$A,'_Sys|Line_Map'!$C:$C,"MISSING",0)</f>
        <v/>
      </c>
      <c r="J756" s="4562">
        <f>XLOOKUP(B756,'_Sys|Line_Map'!$A:$A,'_Sys|Line_Map'!$D:$D,1,0)</f>
        <v/>
      </c>
      <c r="K756" s="4562">
        <f>IF(D756="","",D756*J756)</f>
        <v/>
      </c>
      <c r="L756" s="4562">
        <f>XLOOKUP(B756,'_Sys|Line_Map'!$A:$A,'_Sys|Line_Map'!$B:$B,"MISSING",0)</f>
        <v/>
      </c>
    </row>
    <row r="757">
      <c r="A757" s="4561" t="n"/>
      <c r="B757" s="4561" t="n"/>
      <c r="C757" s="4561" t="n"/>
      <c r="D757" s="4561" t="n"/>
      <c r="E757" s="4561" t="n"/>
      <c r="F757" s="4561" t="n"/>
      <c r="G757" s="4561" t="n"/>
      <c r="H757" s="4561" t="n"/>
      <c r="I757" s="4562">
        <f>XLOOKUP(B757,'_Sys|Line_Map'!$A:$A,'_Sys|Line_Map'!$C:$C,"MISSING",0)</f>
        <v/>
      </c>
      <c r="J757" s="4562">
        <f>XLOOKUP(B757,'_Sys|Line_Map'!$A:$A,'_Sys|Line_Map'!$D:$D,1,0)</f>
        <v/>
      </c>
      <c r="K757" s="4562">
        <f>IF(D757="","",D757*J757)</f>
        <v/>
      </c>
      <c r="L757" s="4562">
        <f>XLOOKUP(B757,'_Sys|Line_Map'!$A:$A,'_Sys|Line_Map'!$B:$B,"MISSING",0)</f>
        <v/>
      </c>
    </row>
    <row r="758">
      <c r="A758" s="4561" t="n"/>
      <c r="B758" s="4561" t="n"/>
      <c r="C758" s="4561" t="n"/>
      <c r="D758" s="4561" t="n"/>
      <c r="E758" s="4561" t="n"/>
      <c r="F758" s="4561" t="n"/>
      <c r="G758" s="4561" t="n"/>
      <c r="H758" s="4561" t="n"/>
      <c r="I758" s="4562">
        <f>XLOOKUP(B758,'_Sys|Line_Map'!$A:$A,'_Sys|Line_Map'!$C:$C,"MISSING",0)</f>
        <v/>
      </c>
      <c r="J758" s="4562">
        <f>XLOOKUP(B758,'_Sys|Line_Map'!$A:$A,'_Sys|Line_Map'!$D:$D,1,0)</f>
        <v/>
      </c>
      <c r="K758" s="4562">
        <f>IF(D758="","",D758*J758)</f>
        <v/>
      </c>
      <c r="L758" s="4562">
        <f>XLOOKUP(B758,'_Sys|Line_Map'!$A:$A,'_Sys|Line_Map'!$B:$B,"MISSING",0)</f>
        <v/>
      </c>
    </row>
    <row r="759">
      <c r="A759" s="4561" t="n"/>
      <c r="B759" s="4561" t="n"/>
      <c r="C759" s="4561" t="n"/>
      <c r="D759" s="4561" t="n"/>
      <c r="E759" s="4561" t="n"/>
      <c r="F759" s="4561" t="n"/>
      <c r="G759" s="4561" t="n"/>
      <c r="H759" s="4561" t="n"/>
      <c r="I759" s="4562">
        <f>XLOOKUP(B759,'_Sys|Line_Map'!$A:$A,'_Sys|Line_Map'!$C:$C,"MISSING",0)</f>
        <v/>
      </c>
      <c r="J759" s="4562">
        <f>XLOOKUP(B759,'_Sys|Line_Map'!$A:$A,'_Sys|Line_Map'!$D:$D,1,0)</f>
        <v/>
      </c>
      <c r="K759" s="4562">
        <f>IF(D759="","",D759*J759)</f>
        <v/>
      </c>
      <c r="L759" s="4562">
        <f>XLOOKUP(B759,'_Sys|Line_Map'!$A:$A,'_Sys|Line_Map'!$B:$B,"MISSING",0)</f>
        <v/>
      </c>
    </row>
    <row r="760">
      <c r="A760" s="4561" t="n"/>
      <c r="B760" s="4561" t="n"/>
      <c r="C760" s="4561" t="n"/>
      <c r="D760" s="4561" t="n"/>
      <c r="E760" s="4561" t="n"/>
      <c r="F760" s="4561" t="n"/>
      <c r="G760" s="4561" t="n"/>
      <c r="H760" s="4561" t="n"/>
      <c r="I760" s="4562">
        <f>XLOOKUP(B760,'_Sys|Line_Map'!$A:$A,'_Sys|Line_Map'!$C:$C,"MISSING",0)</f>
        <v/>
      </c>
      <c r="J760" s="4562">
        <f>XLOOKUP(B760,'_Sys|Line_Map'!$A:$A,'_Sys|Line_Map'!$D:$D,1,0)</f>
        <v/>
      </c>
      <c r="K760" s="4562">
        <f>IF(D760="","",D760*J760)</f>
        <v/>
      </c>
      <c r="L760" s="4562">
        <f>XLOOKUP(B760,'_Sys|Line_Map'!$A:$A,'_Sys|Line_Map'!$B:$B,"MISSING",0)</f>
        <v/>
      </c>
    </row>
    <row r="761">
      <c r="A761" s="4561" t="n"/>
      <c r="B761" s="4561" t="n"/>
      <c r="C761" s="4561" t="n"/>
      <c r="D761" s="4561" t="n"/>
      <c r="E761" s="4561" t="n"/>
      <c r="F761" s="4561" t="n"/>
      <c r="G761" s="4561" t="n"/>
      <c r="H761" s="4561" t="n"/>
      <c r="I761" s="4562">
        <f>XLOOKUP(B761,'_Sys|Line_Map'!$A:$A,'_Sys|Line_Map'!$C:$C,"MISSING",0)</f>
        <v/>
      </c>
      <c r="J761" s="4562">
        <f>XLOOKUP(B761,'_Sys|Line_Map'!$A:$A,'_Sys|Line_Map'!$D:$D,1,0)</f>
        <v/>
      </c>
      <c r="K761" s="4562">
        <f>IF(D761="","",D761*J761)</f>
        <v/>
      </c>
      <c r="L761" s="4562">
        <f>XLOOKUP(B761,'_Sys|Line_Map'!$A:$A,'_Sys|Line_Map'!$B:$B,"MISSING",0)</f>
        <v/>
      </c>
    </row>
    <row r="762">
      <c r="A762" s="4561" t="n"/>
      <c r="B762" s="4561" t="n"/>
      <c r="C762" s="4561" t="n"/>
      <c r="D762" s="4561" t="n"/>
      <c r="E762" s="4561" t="n"/>
      <c r="F762" s="4561" t="n"/>
      <c r="G762" s="4561" t="n"/>
      <c r="H762" s="4561" t="n"/>
      <c r="I762" s="4562">
        <f>XLOOKUP(B762,'_Sys|Line_Map'!$A:$A,'_Sys|Line_Map'!$C:$C,"MISSING",0)</f>
        <v/>
      </c>
      <c r="J762" s="4562">
        <f>XLOOKUP(B762,'_Sys|Line_Map'!$A:$A,'_Sys|Line_Map'!$D:$D,1,0)</f>
        <v/>
      </c>
      <c r="K762" s="4562">
        <f>IF(D762="","",D762*J762)</f>
        <v/>
      </c>
      <c r="L762" s="4562">
        <f>XLOOKUP(B762,'_Sys|Line_Map'!$A:$A,'_Sys|Line_Map'!$B:$B,"MISSING",0)</f>
        <v/>
      </c>
    </row>
    <row r="763">
      <c r="A763" s="4561" t="n"/>
      <c r="B763" s="4561" t="n"/>
      <c r="C763" s="4561" t="n"/>
      <c r="D763" s="4561" t="n"/>
      <c r="E763" s="4561" t="n"/>
      <c r="F763" s="4561" t="n"/>
      <c r="G763" s="4561" t="n"/>
      <c r="H763" s="4561" t="n"/>
      <c r="I763" s="4562">
        <f>XLOOKUP(B763,'_Sys|Line_Map'!$A:$A,'_Sys|Line_Map'!$C:$C,"MISSING",0)</f>
        <v/>
      </c>
      <c r="J763" s="4562">
        <f>XLOOKUP(B763,'_Sys|Line_Map'!$A:$A,'_Sys|Line_Map'!$D:$D,1,0)</f>
        <v/>
      </c>
      <c r="K763" s="4562">
        <f>IF(D763="","",D763*J763)</f>
        <v/>
      </c>
      <c r="L763" s="4562">
        <f>XLOOKUP(B763,'_Sys|Line_Map'!$A:$A,'_Sys|Line_Map'!$B:$B,"MISSING",0)</f>
        <v/>
      </c>
    </row>
    <row r="764">
      <c r="A764" s="4561" t="n"/>
      <c r="B764" s="4561" t="n"/>
      <c r="C764" s="4561" t="n"/>
      <c r="D764" s="4561" t="n"/>
      <c r="E764" s="4561" t="n"/>
      <c r="F764" s="4561" t="n"/>
      <c r="G764" s="4561" t="n"/>
      <c r="H764" s="4561" t="n"/>
      <c r="I764" s="4562">
        <f>XLOOKUP(B764,'_Sys|Line_Map'!$A:$A,'_Sys|Line_Map'!$C:$C,"MISSING",0)</f>
        <v/>
      </c>
      <c r="J764" s="4562">
        <f>XLOOKUP(B764,'_Sys|Line_Map'!$A:$A,'_Sys|Line_Map'!$D:$D,1,0)</f>
        <v/>
      </c>
      <c r="K764" s="4562">
        <f>IF(D764="","",D764*J764)</f>
        <v/>
      </c>
      <c r="L764" s="4562">
        <f>XLOOKUP(B764,'_Sys|Line_Map'!$A:$A,'_Sys|Line_Map'!$B:$B,"MISSING",0)</f>
        <v/>
      </c>
    </row>
    <row r="765">
      <c r="A765" s="4561" t="n"/>
      <c r="B765" s="4561" t="n"/>
      <c r="C765" s="4561" t="n"/>
      <c r="D765" s="4561" t="n"/>
      <c r="E765" s="4561" t="n"/>
      <c r="F765" s="4561" t="n"/>
      <c r="G765" s="4561" t="n"/>
      <c r="H765" s="4561" t="n"/>
      <c r="I765" s="4562">
        <f>XLOOKUP(B765,'_Sys|Line_Map'!$A:$A,'_Sys|Line_Map'!$C:$C,"MISSING",0)</f>
        <v/>
      </c>
      <c r="J765" s="4562">
        <f>XLOOKUP(B765,'_Sys|Line_Map'!$A:$A,'_Sys|Line_Map'!$D:$D,1,0)</f>
        <v/>
      </c>
      <c r="K765" s="4562">
        <f>IF(D765="","",D765*J765)</f>
        <v/>
      </c>
      <c r="L765" s="4562">
        <f>XLOOKUP(B765,'_Sys|Line_Map'!$A:$A,'_Sys|Line_Map'!$B:$B,"MISSING",0)</f>
        <v/>
      </c>
    </row>
    <row r="766">
      <c r="A766" s="4561" t="n"/>
      <c r="B766" s="4561" t="n"/>
      <c r="C766" s="4561" t="n"/>
      <c r="D766" s="4561" t="n"/>
      <c r="E766" s="4561" t="n"/>
      <c r="F766" s="4561" t="n"/>
      <c r="G766" s="4561" t="n"/>
      <c r="H766" s="4561" t="n"/>
      <c r="I766" s="4562">
        <f>XLOOKUP(B766,'_Sys|Line_Map'!$A:$A,'_Sys|Line_Map'!$C:$C,"MISSING",0)</f>
        <v/>
      </c>
      <c r="J766" s="4562">
        <f>XLOOKUP(B766,'_Sys|Line_Map'!$A:$A,'_Sys|Line_Map'!$D:$D,1,0)</f>
        <v/>
      </c>
      <c r="K766" s="4562">
        <f>IF(D766="","",D766*J766)</f>
        <v/>
      </c>
      <c r="L766" s="4562">
        <f>XLOOKUP(B766,'_Sys|Line_Map'!$A:$A,'_Sys|Line_Map'!$B:$B,"MISSING",0)</f>
        <v/>
      </c>
    </row>
    <row r="767">
      <c r="A767" s="4561" t="n"/>
      <c r="B767" s="4561" t="n"/>
      <c r="C767" s="4561" t="n"/>
      <c r="D767" s="4561" t="n"/>
      <c r="E767" s="4561" t="n"/>
      <c r="F767" s="4561" t="n"/>
      <c r="G767" s="4561" t="n"/>
      <c r="H767" s="4561" t="n"/>
      <c r="I767" s="4562">
        <f>XLOOKUP(B767,'_Sys|Line_Map'!$A:$A,'_Sys|Line_Map'!$C:$C,"MISSING",0)</f>
        <v/>
      </c>
      <c r="J767" s="4562">
        <f>XLOOKUP(B767,'_Sys|Line_Map'!$A:$A,'_Sys|Line_Map'!$D:$D,1,0)</f>
        <v/>
      </c>
      <c r="K767" s="4562">
        <f>IF(D767="","",D767*J767)</f>
        <v/>
      </c>
      <c r="L767" s="4562">
        <f>XLOOKUP(B767,'_Sys|Line_Map'!$A:$A,'_Sys|Line_Map'!$B:$B,"MISSING",0)</f>
        <v/>
      </c>
    </row>
    <row r="768">
      <c r="A768" s="4561" t="n"/>
      <c r="B768" s="4561" t="n"/>
      <c r="C768" s="4561" t="n"/>
      <c r="D768" s="4561" t="n"/>
      <c r="E768" s="4561" t="n"/>
      <c r="F768" s="4561" t="n"/>
      <c r="G768" s="4561" t="n"/>
      <c r="H768" s="4561" t="n"/>
      <c r="I768" s="4562">
        <f>XLOOKUP(B768,'_Sys|Line_Map'!$A:$A,'_Sys|Line_Map'!$C:$C,"MISSING",0)</f>
        <v/>
      </c>
      <c r="J768" s="4562">
        <f>XLOOKUP(B768,'_Sys|Line_Map'!$A:$A,'_Sys|Line_Map'!$D:$D,1,0)</f>
        <v/>
      </c>
      <c r="K768" s="4562">
        <f>IF(D768="","",D768*J768)</f>
        <v/>
      </c>
      <c r="L768" s="4562">
        <f>XLOOKUP(B768,'_Sys|Line_Map'!$A:$A,'_Sys|Line_Map'!$B:$B,"MISSING",0)</f>
        <v/>
      </c>
    </row>
    <row r="769">
      <c r="A769" s="4561" t="n"/>
      <c r="B769" s="4561" t="n"/>
      <c r="C769" s="4561" t="n"/>
      <c r="D769" s="4561" t="n"/>
      <c r="E769" s="4561" t="n"/>
      <c r="F769" s="4561" t="n"/>
      <c r="G769" s="4561" t="n"/>
      <c r="H769" s="4561" t="n"/>
      <c r="I769" s="4562">
        <f>XLOOKUP(B769,'_Sys|Line_Map'!$A:$A,'_Sys|Line_Map'!$C:$C,"MISSING",0)</f>
        <v/>
      </c>
      <c r="J769" s="4562">
        <f>XLOOKUP(B769,'_Sys|Line_Map'!$A:$A,'_Sys|Line_Map'!$D:$D,1,0)</f>
        <v/>
      </c>
      <c r="K769" s="4562">
        <f>IF(D769="","",D769*J769)</f>
        <v/>
      </c>
      <c r="L769" s="4562">
        <f>XLOOKUP(B769,'_Sys|Line_Map'!$A:$A,'_Sys|Line_Map'!$B:$B,"MISSING",0)</f>
        <v/>
      </c>
    </row>
    <row r="770">
      <c r="A770" s="4561" t="n"/>
      <c r="B770" s="4561" t="n"/>
      <c r="C770" s="4561" t="n"/>
      <c r="D770" s="4561" t="n"/>
      <c r="E770" s="4561" t="n"/>
      <c r="F770" s="4561" t="n"/>
      <c r="G770" s="4561" t="n"/>
      <c r="H770" s="4561" t="n"/>
      <c r="I770" s="4562">
        <f>XLOOKUP(B770,'_Sys|Line_Map'!$A:$A,'_Sys|Line_Map'!$C:$C,"MISSING",0)</f>
        <v/>
      </c>
      <c r="J770" s="4562">
        <f>XLOOKUP(B770,'_Sys|Line_Map'!$A:$A,'_Sys|Line_Map'!$D:$D,1,0)</f>
        <v/>
      </c>
      <c r="K770" s="4562">
        <f>IF(D770="","",D770*J770)</f>
        <v/>
      </c>
      <c r="L770" s="4562">
        <f>XLOOKUP(B770,'_Sys|Line_Map'!$A:$A,'_Sys|Line_Map'!$B:$B,"MISSING",0)</f>
        <v/>
      </c>
    </row>
    <row r="771">
      <c r="A771" s="4561" t="n"/>
      <c r="B771" s="4561" t="n"/>
      <c r="C771" s="4561" t="n"/>
      <c r="D771" s="4561" t="n"/>
      <c r="E771" s="4561" t="n"/>
      <c r="F771" s="4561" t="n"/>
      <c r="G771" s="4561" t="n"/>
      <c r="H771" s="4561" t="n"/>
      <c r="I771" s="4562">
        <f>XLOOKUP(B771,'_Sys|Line_Map'!$A:$A,'_Sys|Line_Map'!$C:$C,"MISSING",0)</f>
        <v/>
      </c>
      <c r="J771" s="4562">
        <f>XLOOKUP(B771,'_Sys|Line_Map'!$A:$A,'_Sys|Line_Map'!$D:$D,1,0)</f>
        <v/>
      </c>
      <c r="K771" s="4562">
        <f>IF(D771="","",D771*J771)</f>
        <v/>
      </c>
      <c r="L771" s="4562">
        <f>XLOOKUP(B771,'_Sys|Line_Map'!$A:$A,'_Sys|Line_Map'!$B:$B,"MISSING",0)</f>
        <v/>
      </c>
    </row>
    <row r="772">
      <c r="A772" s="4561" t="n"/>
      <c r="B772" s="4561" t="n"/>
      <c r="C772" s="4561" t="n"/>
      <c r="D772" s="4561" t="n"/>
      <c r="E772" s="4561" t="n"/>
      <c r="F772" s="4561" t="n"/>
      <c r="G772" s="4561" t="n"/>
      <c r="H772" s="4561" t="n"/>
      <c r="I772" s="4562">
        <f>XLOOKUP(B772,'_Sys|Line_Map'!$A:$A,'_Sys|Line_Map'!$C:$C,"MISSING",0)</f>
        <v/>
      </c>
      <c r="J772" s="4562">
        <f>XLOOKUP(B772,'_Sys|Line_Map'!$A:$A,'_Sys|Line_Map'!$D:$D,1,0)</f>
        <v/>
      </c>
      <c r="K772" s="4562">
        <f>IF(D772="","",D772*J772)</f>
        <v/>
      </c>
      <c r="L772" s="4562">
        <f>XLOOKUP(B772,'_Sys|Line_Map'!$A:$A,'_Sys|Line_Map'!$B:$B,"MISSING",0)</f>
        <v/>
      </c>
    </row>
    <row r="773">
      <c r="A773" s="4561" t="n"/>
      <c r="B773" s="4561" t="n"/>
      <c r="C773" s="4561" t="n"/>
      <c r="D773" s="4561" t="n"/>
      <c r="E773" s="4561" t="n"/>
      <c r="F773" s="4561" t="n"/>
      <c r="G773" s="4561" t="n"/>
      <c r="H773" s="4561" t="n"/>
      <c r="I773" s="4562">
        <f>XLOOKUP(B773,'_Sys|Line_Map'!$A:$A,'_Sys|Line_Map'!$C:$C,"MISSING",0)</f>
        <v/>
      </c>
      <c r="J773" s="4562">
        <f>XLOOKUP(B773,'_Sys|Line_Map'!$A:$A,'_Sys|Line_Map'!$D:$D,1,0)</f>
        <v/>
      </c>
      <c r="K773" s="4562">
        <f>IF(D773="","",D773*J773)</f>
        <v/>
      </c>
      <c r="L773" s="4562">
        <f>XLOOKUP(B773,'_Sys|Line_Map'!$A:$A,'_Sys|Line_Map'!$B:$B,"MISSING",0)</f>
        <v/>
      </c>
    </row>
    <row r="774">
      <c r="A774" s="4561" t="n"/>
      <c r="B774" s="4561" t="n"/>
      <c r="C774" s="4561" t="n"/>
      <c r="D774" s="4561" t="n"/>
      <c r="E774" s="4561" t="n"/>
      <c r="F774" s="4561" t="n"/>
      <c r="G774" s="4561" t="n"/>
      <c r="H774" s="4561" t="n"/>
      <c r="I774" s="4562">
        <f>XLOOKUP(B774,'_Sys|Line_Map'!$A:$A,'_Sys|Line_Map'!$C:$C,"MISSING",0)</f>
        <v/>
      </c>
      <c r="J774" s="4562">
        <f>XLOOKUP(B774,'_Sys|Line_Map'!$A:$A,'_Sys|Line_Map'!$D:$D,1,0)</f>
        <v/>
      </c>
      <c r="K774" s="4562">
        <f>IF(D774="","",D774*J774)</f>
        <v/>
      </c>
      <c r="L774" s="4562">
        <f>XLOOKUP(B774,'_Sys|Line_Map'!$A:$A,'_Sys|Line_Map'!$B:$B,"MISSING",0)</f>
        <v/>
      </c>
    </row>
    <row r="775">
      <c r="A775" s="4561" t="n"/>
      <c r="B775" s="4561" t="n"/>
      <c r="C775" s="4561" t="n"/>
      <c r="D775" s="4561" t="n"/>
      <c r="E775" s="4561" t="n"/>
      <c r="F775" s="4561" t="n"/>
      <c r="G775" s="4561" t="n"/>
      <c r="H775" s="4561" t="n"/>
      <c r="I775" s="4562">
        <f>XLOOKUP(B775,'_Sys|Line_Map'!$A:$A,'_Sys|Line_Map'!$C:$C,"MISSING",0)</f>
        <v/>
      </c>
      <c r="J775" s="4562">
        <f>XLOOKUP(B775,'_Sys|Line_Map'!$A:$A,'_Sys|Line_Map'!$D:$D,1,0)</f>
        <v/>
      </c>
      <c r="K775" s="4562">
        <f>IF(D775="","",D775*J775)</f>
        <v/>
      </c>
      <c r="L775" s="4562">
        <f>XLOOKUP(B775,'_Sys|Line_Map'!$A:$A,'_Sys|Line_Map'!$B:$B,"MISSING",0)</f>
        <v/>
      </c>
    </row>
    <row r="776">
      <c r="A776" s="4561" t="n"/>
      <c r="B776" s="4561" t="n"/>
      <c r="C776" s="4561" t="n"/>
      <c r="D776" s="4561" t="n"/>
      <c r="E776" s="4561" t="n"/>
      <c r="F776" s="4561" t="n"/>
      <c r="G776" s="4561" t="n"/>
      <c r="H776" s="4561" t="n"/>
      <c r="I776" s="4562">
        <f>XLOOKUP(B776,'_Sys|Line_Map'!$A:$A,'_Sys|Line_Map'!$C:$C,"MISSING",0)</f>
        <v/>
      </c>
      <c r="J776" s="4562">
        <f>XLOOKUP(B776,'_Sys|Line_Map'!$A:$A,'_Sys|Line_Map'!$D:$D,1,0)</f>
        <v/>
      </c>
      <c r="K776" s="4562">
        <f>IF(D776="","",D776*J776)</f>
        <v/>
      </c>
      <c r="L776" s="4562">
        <f>XLOOKUP(B776,'_Sys|Line_Map'!$A:$A,'_Sys|Line_Map'!$B:$B,"MISSING",0)</f>
        <v/>
      </c>
    </row>
    <row r="777">
      <c r="A777" s="4561" t="n"/>
      <c r="B777" s="4561" t="n"/>
      <c r="C777" s="4561" t="n"/>
      <c r="D777" s="4561" t="n"/>
      <c r="E777" s="4561" t="n"/>
      <c r="F777" s="4561" t="n"/>
      <c r="G777" s="4561" t="n"/>
      <c r="H777" s="4561" t="n"/>
      <c r="I777" s="4562">
        <f>XLOOKUP(B777,'_Sys|Line_Map'!$A:$A,'_Sys|Line_Map'!$C:$C,"MISSING",0)</f>
        <v/>
      </c>
      <c r="J777" s="4562">
        <f>XLOOKUP(B777,'_Sys|Line_Map'!$A:$A,'_Sys|Line_Map'!$D:$D,1,0)</f>
        <v/>
      </c>
      <c r="K777" s="4562">
        <f>IF(D777="","",D777*J777)</f>
        <v/>
      </c>
      <c r="L777" s="4562">
        <f>XLOOKUP(B777,'_Sys|Line_Map'!$A:$A,'_Sys|Line_Map'!$B:$B,"MISSING",0)</f>
        <v/>
      </c>
    </row>
    <row r="778">
      <c r="A778" s="4561" t="n"/>
      <c r="B778" s="4561" t="n"/>
      <c r="C778" s="4561" t="n"/>
      <c r="D778" s="4561" t="n"/>
      <c r="E778" s="4561" t="n"/>
      <c r="F778" s="4561" t="n"/>
      <c r="G778" s="4561" t="n"/>
      <c r="H778" s="4561" t="n"/>
      <c r="I778" s="4562">
        <f>XLOOKUP(B778,'_Sys|Line_Map'!$A:$A,'_Sys|Line_Map'!$C:$C,"MISSING",0)</f>
        <v/>
      </c>
      <c r="J778" s="4562">
        <f>XLOOKUP(B778,'_Sys|Line_Map'!$A:$A,'_Sys|Line_Map'!$D:$D,1,0)</f>
        <v/>
      </c>
      <c r="K778" s="4562">
        <f>IF(D778="","",D778*J778)</f>
        <v/>
      </c>
      <c r="L778" s="4562">
        <f>XLOOKUP(B778,'_Sys|Line_Map'!$A:$A,'_Sys|Line_Map'!$B:$B,"MISSING",0)</f>
        <v/>
      </c>
    </row>
    <row r="779">
      <c r="A779" s="4561" t="n"/>
      <c r="B779" s="4561" t="n"/>
      <c r="C779" s="4561" t="n"/>
      <c r="D779" s="4561" t="n"/>
      <c r="E779" s="4561" t="n"/>
      <c r="F779" s="4561" t="n"/>
      <c r="G779" s="4561" t="n"/>
      <c r="H779" s="4561" t="n"/>
      <c r="I779" s="4562">
        <f>XLOOKUP(B779,'_Sys|Line_Map'!$A:$A,'_Sys|Line_Map'!$C:$C,"MISSING",0)</f>
        <v/>
      </c>
      <c r="J779" s="4562">
        <f>XLOOKUP(B779,'_Sys|Line_Map'!$A:$A,'_Sys|Line_Map'!$D:$D,1,0)</f>
        <v/>
      </c>
      <c r="K779" s="4562">
        <f>IF(D779="","",D779*J779)</f>
        <v/>
      </c>
      <c r="L779" s="4562">
        <f>XLOOKUP(B779,'_Sys|Line_Map'!$A:$A,'_Sys|Line_Map'!$B:$B,"MISSING",0)</f>
        <v/>
      </c>
    </row>
    <row r="780">
      <c r="A780" s="4561" t="n"/>
      <c r="B780" s="4561" t="n"/>
      <c r="C780" s="4561" t="n"/>
      <c r="D780" s="4561" t="n"/>
      <c r="E780" s="4561" t="n"/>
      <c r="F780" s="4561" t="n"/>
      <c r="G780" s="4561" t="n"/>
      <c r="H780" s="4561" t="n"/>
      <c r="I780" s="4562">
        <f>XLOOKUP(B780,'_Sys|Line_Map'!$A:$A,'_Sys|Line_Map'!$C:$C,"MISSING",0)</f>
        <v/>
      </c>
      <c r="J780" s="4562">
        <f>XLOOKUP(B780,'_Sys|Line_Map'!$A:$A,'_Sys|Line_Map'!$D:$D,1,0)</f>
        <v/>
      </c>
      <c r="K780" s="4562">
        <f>IF(D780="","",D780*J780)</f>
        <v/>
      </c>
      <c r="L780" s="4562">
        <f>XLOOKUP(B780,'_Sys|Line_Map'!$A:$A,'_Sys|Line_Map'!$B:$B,"MISSING",0)</f>
        <v/>
      </c>
    </row>
    <row r="781">
      <c r="A781" s="4561" t="n"/>
      <c r="B781" s="4561" t="n"/>
      <c r="C781" s="4561" t="n"/>
      <c r="D781" s="4561" t="n"/>
      <c r="E781" s="4561" t="n"/>
      <c r="F781" s="4561" t="n"/>
      <c r="G781" s="4561" t="n"/>
      <c r="H781" s="4561" t="n"/>
      <c r="I781" s="4562">
        <f>XLOOKUP(B781,'_Sys|Line_Map'!$A:$A,'_Sys|Line_Map'!$C:$C,"MISSING",0)</f>
        <v/>
      </c>
      <c r="J781" s="4562">
        <f>XLOOKUP(B781,'_Sys|Line_Map'!$A:$A,'_Sys|Line_Map'!$D:$D,1,0)</f>
        <v/>
      </c>
      <c r="K781" s="4562">
        <f>IF(D781="","",D781*J781)</f>
        <v/>
      </c>
      <c r="L781" s="4562">
        <f>XLOOKUP(B781,'_Sys|Line_Map'!$A:$A,'_Sys|Line_Map'!$B:$B,"MISSING",0)</f>
        <v/>
      </c>
    </row>
    <row r="782">
      <c r="A782" s="4561" t="n"/>
      <c r="B782" s="4561" t="n"/>
      <c r="C782" s="4561" t="n"/>
      <c r="D782" s="4561" t="n"/>
      <c r="E782" s="4561" t="n"/>
      <c r="F782" s="4561" t="n"/>
      <c r="G782" s="4561" t="n"/>
      <c r="H782" s="4561" t="n"/>
      <c r="I782" s="4562">
        <f>XLOOKUP(B782,'_Sys|Line_Map'!$A:$A,'_Sys|Line_Map'!$C:$C,"MISSING",0)</f>
        <v/>
      </c>
      <c r="J782" s="4562">
        <f>XLOOKUP(B782,'_Sys|Line_Map'!$A:$A,'_Sys|Line_Map'!$D:$D,1,0)</f>
        <v/>
      </c>
      <c r="K782" s="4562">
        <f>IF(D782="","",D782*J782)</f>
        <v/>
      </c>
      <c r="L782" s="4562">
        <f>XLOOKUP(B782,'_Sys|Line_Map'!$A:$A,'_Sys|Line_Map'!$B:$B,"MISSING",0)</f>
        <v/>
      </c>
    </row>
    <row r="783">
      <c r="A783" s="4561" t="n"/>
      <c r="B783" s="4561" t="n"/>
      <c r="C783" s="4561" t="n"/>
      <c r="D783" s="4561" t="n"/>
      <c r="E783" s="4561" t="n"/>
      <c r="F783" s="4561" t="n"/>
      <c r="G783" s="4561" t="n"/>
      <c r="H783" s="4561" t="n"/>
      <c r="I783" s="4562">
        <f>XLOOKUP(B783,'_Sys|Line_Map'!$A:$A,'_Sys|Line_Map'!$C:$C,"MISSING",0)</f>
        <v/>
      </c>
      <c r="J783" s="4562">
        <f>XLOOKUP(B783,'_Sys|Line_Map'!$A:$A,'_Sys|Line_Map'!$D:$D,1,0)</f>
        <v/>
      </c>
      <c r="K783" s="4562">
        <f>IF(D783="","",D783*J783)</f>
        <v/>
      </c>
      <c r="L783" s="4562">
        <f>XLOOKUP(B783,'_Sys|Line_Map'!$A:$A,'_Sys|Line_Map'!$B:$B,"MISSING",0)</f>
        <v/>
      </c>
    </row>
    <row r="784">
      <c r="A784" s="4561" t="n"/>
      <c r="B784" s="4561" t="n"/>
      <c r="C784" s="4561" t="n"/>
      <c r="D784" s="4561" t="n"/>
      <c r="E784" s="4561" t="n"/>
      <c r="F784" s="4561" t="n"/>
      <c r="G784" s="4561" t="n"/>
      <c r="H784" s="4561" t="n"/>
      <c r="I784" s="4562">
        <f>XLOOKUP(B784,'_Sys|Line_Map'!$A:$A,'_Sys|Line_Map'!$C:$C,"MISSING",0)</f>
        <v/>
      </c>
      <c r="J784" s="4562">
        <f>XLOOKUP(B784,'_Sys|Line_Map'!$A:$A,'_Sys|Line_Map'!$D:$D,1,0)</f>
        <v/>
      </c>
      <c r="K784" s="4562">
        <f>IF(D784="","",D784*J784)</f>
        <v/>
      </c>
      <c r="L784" s="4562">
        <f>XLOOKUP(B784,'_Sys|Line_Map'!$A:$A,'_Sys|Line_Map'!$B:$B,"MISSING",0)</f>
        <v/>
      </c>
    </row>
    <row r="785">
      <c r="A785" s="4561" t="n"/>
      <c r="B785" s="4561" t="n"/>
      <c r="C785" s="4561" t="n"/>
      <c r="D785" s="4561" t="n"/>
      <c r="E785" s="4561" t="n"/>
      <c r="F785" s="4561" t="n"/>
      <c r="G785" s="4561" t="n"/>
      <c r="H785" s="4561" t="n"/>
      <c r="I785" s="4562">
        <f>XLOOKUP(B785,'_Sys|Line_Map'!$A:$A,'_Sys|Line_Map'!$C:$C,"MISSING",0)</f>
        <v/>
      </c>
      <c r="J785" s="4562">
        <f>XLOOKUP(B785,'_Sys|Line_Map'!$A:$A,'_Sys|Line_Map'!$D:$D,1,0)</f>
        <v/>
      </c>
      <c r="K785" s="4562">
        <f>IF(D785="","",D785*J785)</f>
        <v/>
      </c>
      <c r="L785" s="4562">
        <f>XLOOKUP(B785,'_Sys|Line_Map'!$A:$A,'_Sys|Line_Map'!$B:$B,"MISSING",0)</f>
        <v/>
      </c>
    </row>
    <row r="786">
      <c r="A786" s="4561" t="n"/>
      <c r="B786" s="4561" t="n"/>
      <c r="C786" s="4561" t="n"/>
      <c r="D786" s="4561" t="n"/>
      <c r="E786" s="4561" t="n"/>
      <c r="F786" s="4561" t="n"/>
      <c r="G786" s="4561" t="n"/>
      <c r="H786" s="4561" t="n"/>
      <c r="I786" s="4562">
        <f>XLOOKUP(B786,'_Sys|Line_Map'!$A:$A,'_Sys|Line_Map'!$C:$C,"MISSING",0)</f>
        <v/>
      </c>
      <c r="J786" s="4562">
        <f>XLOOKUP(B786,'_Sys|Line_Map'!$A:$A,'_Sys|Line_Map'!$D:$D,1,0)</f>
        <v/>
      </c>
      <c r="K786" s="4562">
        <f>IF(D786="","",D786*J786)</f>
        <v/>
      </c>
      <c r="L786" s="4562">
        <f>XLOOKUP(B786,'_Sys|Line_Map'!$A:$A,'_Sys|Line_Map'!$B:$B,"MISSING",0)</f>
        <v/>
      </c>
    </row>
    <row r="787">
      <c r="A787" s="4561" t="n"/>
      <c r="B787" s="4561" t="n"/>
      <c r="C787" s="4561" t="n"/>
      <c r="D787" s="4561" t="n"/>
      <c r="E787" s="4561" t="n"/>
      <c r="F787" s="4561" t="n"/>
      <c r="G787" s="4561" t="n"/>
      <c r="H787" s="4561" t="n"/>
      <c r="I787" s="4562">
        <f>XLOOKUP(B787,'_Sys|Line_Map'!$A:$A,'_Sys|Line_Map'!$C:$C,"MISSING",0)</f>
        <v/>
      </c>
      <c r="J787" s="4562">
        <f>XLOOKUP(B787,'_Sys|Line_Map'!$A:$A,'_Sys|Line_Map'!$D:$D,1,0)</f>
        <v/>
      </c>
      <c r="K787" s="4562">
        <f>IF(D787="","",D787*J787)</f>
        <v/>
      </c>
      <c r="L787" s="4562">
        <f>XLOOKUP(B787,'_Sys|Line_Map'!$A:$A,'_Sys|Line_Map'!$B:$B,"MISSING",0)</f>
        <v/>
      </c>
    </row>
    <row r="788">
      <c r="A788" s="4561" t="n"/>
      <c r="B788" s="4561" t="n"/>
      <c r="C788" s="4561" t="n"/>
      <c r="D788" s="4561" t="n"/>
      <c r="E788" s="4561" t="n"/>
      <c r="F788" s="4561" t="n"/>
      <c r="G788" s="4561" t="n"/>
      <c r="H788" s="4561" t="n"/>
      <c r="I788" s="4562">
        <f>XLOOKUP(B788,'_Sys|Line_Map'!$A:$A,'_Sys|Line_Map'!$C:$C,"MISSING",0)</f>
        <v/>
      </c>
      <c r="J788" s="4562">
        <f>XLOOKUP(B788,'_Sys|Line_Map'!$A:$A,'_Sys|Line_Map'!$D:$D,1,0)</f>
        <v/>
      </c>
      <c r="K788" s="4562">
        <f>IF(D788="","",D788*J788)</f>
        <v/>
      </c>
      <c r="L788" s="4562">
        <f>XLOOKUP(B788,'_Sys|Line_Map'!$A:$A,'_Sys|Line_Map'!$B:$B,"MISSING",0)</f>
        <v/>
      </c>
    </row>
    <row r="789">
      <c r="A789" s="4561" t="n"/>
      <c r="B789" s="4561" t="n"/>
      <c r="C789" s="4561" t="n"/>
      <c r="D789" s="4561" t="n"/>
      <c r="E789" s="4561" t="n"/>
      <c r="F789" s="4561" t="n"/>
      <c r="G789" s="4561" t="n"/>
      <c r="H789" s="4561" t="n"/>
      <c r="I789" s="4562">
        <f>XLOOKUP(B789,'_Sys|Line_Map'!$A:$A,'_Sys|Line_Map'!$C:$C,"MISSING",0)</f>
        <v/>
      </c>
      <c r="J789" s="4562">
        <f>XLOOKUP(B789,'_Sys|Line_Map'!$A:$A,'_Sys|Line_Map'!$D:$D,1,0)</f>
        <v/>
      </c>
      <c r="K789" s="4562">
        <f>IF(D789="","",D789*J789)</f>
        <v/>
      </c>
      <c r="L789" s="4562">
        <f>XLOOKUP(B789,'_Sys|Line_Map'!$A:$A,'_Sys|Line_Map'!$B:$B,"MISSING",0)</f>
        <v/>
      </c>
    </row>
    <row r="790">
      <c r="A790" s="4561" t="n"/>
      <c r="B790" s="4561" t="n"/>
      <c r="C790" s="4561" t="n"/>
      <c r="D790" s="4561" t="n"/>
      <c r="E790" s="4561" t="n"/>
      <c r="F790" s="4561" t="n"/>
      <c r="G790" s="4561" t="n"/>
      <c r="H790" s="4561" t="n"/>
      <c r="I790" s="4562">
        <f>XLOOKUP(B790,'_Sys|Line_Map'!$A:$A,'_Sys|Line_Map'!$C:$C,"MISSING",0)</f>
        <v/>
      </c>
      <c r="J790" s="4562">
        <f>XLOOKUP(B790,'_Sys|Line_Map'!$A:$A,'_Sys|Line_Map'!$D:$D,1,0)</f>
        <v/>
      </c>
      <c r="K790" s="4562">
        <f>IF(D790="","",D790*J790)</f>
        <v/>
      </c>
      <c r="L790" s="4562">
        <f>XLOOKUP(B790,'_Sys|Line_Map'!$A:$A,'_Sys|Line_Map'!$B:$B,"MISSING",0)</f>
        <v/>
      </c>
    </row>
    <row r="791">
      <c r="A791" s="4561" t="n"/>
      <c r="B791" s="4561" t="n"/>
      <c r="C791" s="4561" t="n"/>
      <c r="D791" s="4561" t="n"/>
      <c r="E791" s="4561" t="n"/>
      <c r="F791" s="4561" t="n"/>
      <c r="G791" s="4561" t="n"/>
      <c r="H791" s="4561" t="n"/>
      <c r="I791" s="4562">
        <f>XLOOKUP(B791,'_Sys|Line_Map'!$A:$A,'_Sys|Line_Map'!$C:$C,"MISSING",0)</f>
        <v/>
      </c>
      <c r="J791" s="4562">
        <f>XLOOKUP(B791,'_Sys|Line_Map'!$A:$A,'_Sys|Line_Map'!$D:$D,1,0)</f>
        <v/>
      </c>
      <c r="K791" s="4562">
        <f>IF(D791="","",D791*J791)</f>
        <v/>
      </c>
      <c r="L791" s="4562">
        <f>XLOOKUP(B791,'_Sys|Line_Map'!$A:$A,'_Sys|Line_Map'!$B:$B,"MISSING",0)</f>
        <v/>
      </c>
    </row>
    <row r="792">
      <c r="A792" s="4561" t="n"/>
      <c r="B792" s="4561" t="n"/>
      <c r="C792" s="4561" t="n"/>
      <c r="D792" s="4561" t="n"/>
      <c r="E792" s="4561" t="n"/>
      <c r="F792" s="4561" t="n"/>
      <c r="G792" s="4561" t="n"/>
      <c r="H792" s="4561" t="n"/>
      <c r="I792" s="4562">
        <f>XLOOKUP(B792,'_Sys|Line_Map'!$A:$A,'_Sys|Line_Map'!$C:$C,"MISSING",0)</f>
        <v/>
      </c>
      <c r="J792" s="4562">
        <f>XLOOKUP(B792,'_Sys|Line_Map'!$A:$A,'_Sys|Line_Map'!$D:$D,1,0)</f>
        <v/>
      </c>
      <c r="K792" s="4562">
        <f>IF(D792="","",D792*J792)</f>
        <v/>
      </c>
      <c r="L792" s="4562">
        <f>XLOOKUP(B792,'_Sys|Line_Map'!$A:$A,'_Sys|Line_Map'!$B:$B,"MISSING",0)</f>
        <v/>
      </c>
    </row>
    <row r="793">
      <c r="A793" s="4561" t="n"/>
      <c r="B793" s="4561" t="n"/>
      <c r="C793" s="4561" t="n"/>
      <c r="D793" s="4561" t="n"/>
      <c r="E793" s="4561" t="n"/>
      <c r="F793" s="4561" t="n"/>
      <c r="G793" s="4561" t="n"/>
      <c r="H793" s="4561" t="n"/>
      <c r="I793" s="4562">
        <f>XLOOKUP(B793,'_Sys|Line_Map'!$A:$A,'_Sys|Line_Map'!$C:$C,"MISSING",0)</f>
        <v/>
      </c>
      <c r="J793" s="4562">
        <f>XLOOKUP(B793,'_Sys|Line_Map'!$A:$A,'_Sys|Line_Map'!$D:$D,1,0)</f>
        <v/>
      </c>
      <c r="K793" s="4562">
        <f>IF(D793="","",D793*J793)</f>
        <v/>
      </c>
      <c r="L793" s="4562">
        <f>XLOOKUP(B793,'_Sys|Line_Map'!$A:$A,'_Sys|Line_Map'!$B:$B,"MISSING",0)</f>
        <v/>
      </c>
    </row>
    <row r="794">
      <c r="A794" s="4561" t="n"/>
      <c r="B794" s="4561" t="n"/>
      <c r="C794" s="4561" t="n"/>
      <c r="D794" s="4561" t="n"/>
      <c r="E794" s="4561" t="n"/>
      <c r="F794" s="4561" t="n"/>
      <c r="G794" s="4561" t="n"/>
      <c r="H794" s="4561" t="n"/>
      <c r="I794" s="4562">
        <f>XLOOKUP(B794,'_Sys|Line_Map'!$A:$A,'_Sys|Line_Map'!$C:$C,"MISSING",0)</f>
        <v/>
      </c>
      <c r="J794" s="4562">
        <f>XLOOKUP(B794,'_Sys|Line_Map'!$A:$A,'_Sys|Line_Map'!$D:$D,1,0)</f>
        <v/>
      </c>
      <c r="K794" s="4562">
        <f>IF(D794="","",D794*J794)</f>
        <v/>
      </c>
      <c r="L794" s="4562">
        <f>XLOOKUP(B794,'_Sys|Line_Map'!$A:$A,'_Sys|Line_Map'!$B:$B,"MISSING",0)</f>
        <v/>
      </c>
    </row>
    <row r="795">
      <c r="A795" s="4561" t="n"/>
      <c r="B795" s="4561" t="n"/>
      <c r="C795" s="4561" t="n"/>
      <c r="D795" s="4561" t="n"/>
      <c r="E795" s="4561" t="n"/>
      <c r="F795" s="4561" t="n"/>
      <c r="G795" s="4561" t="n"/>
      <c r="H795" s="4561" t="n"/>
      <c r="I795" s="4562">
        <f>XLOOKUP(B795,'_Sys|Line_Map'!$A:$A,'_Sys|Line_Map'!$C:$C,"MISSING",0)</f>
        <v/>
      </c>
      <c r="J795" s="4562">
        <f>XLOOKUP(B795,'_Sys|Line_Map'!$A:$A,'_Sys|Line_Map'!$D:$D,1,0)</f>
        <v/>
      </c>
      <c r="K795" s="4562">
        <f>IF(D795="","",D795*J795)</f>
        <v/>
      </c>
      <c r="L795" s="4562">
        <f>XLOOKUP(B795,'_Sys|Line_Map'!$A:$A,'_Sys|Line_Map'!$B:$B,"MISSING",0)</f>
        <v/>
      </c>
    </row>
    <row r="796">
      <c r="A796" s="4561" t="n"/>
      <c r="B796" s="4561" t="n"/>
      <c r="C796" s="4561" t="n"/>
      <c r="D796" s="4561" t="n"/>
      <c r="E796" s="4561" t="n"/>
      <c r="F796" s="4561" t="n"/>
      <c r="G796" s="4561" t="n"/>
      <c r="H796" s="4561" t="n"/>
      <c r="I796" s="4562">
        <f>XLOOKUP(B796,'_Sys|Line_Map'!$A:$A,'_Sys|Line_Map'!$C:$C,"MISSING",0)</f>
        <v/>
      </c>
      <c r="J796" s="4562">
        <f>XLOOKUP(B796,'_Sys|Line_Map'!$A:$A,'_Sys|Line_Map'!$D:$D,1,0)</f>
        <v/>
      </c>
      <c r="K796" s="4562">
        <f>IF(D796="","",D796*J796)</f>
        <v/>
      </c>
      <c r="L796" s="4562">
        <f>XLOOKUP(B796,'_Sys|Line_Map'!$A:$A,'_Sys|Line_Map'!$B:$B,"MISSING",0)</f>
        <v/>
      </c>
    </row>
    <row r="797">
      <c r="A797" s="4561" t="n"/>
      <c r="B797" s="4561" t="n"/>
      <c r="C797" s="4561" t="n"/>
      <c r="D797" s="4561" t="n"/>
      <c r="E797" s="4561" t="n"/>
      <c r="F797" s="4561" t="n"/>
      <c r="G797" s="4561" t="n"/>
      <c r="H797" s="4561" t="n"/>
      <c r="I797" s="4562">
        <f>XLOOKUP(B797,'_Sys|Line_Map'!$A:$A,'_Sys|Line_Map'!$C:$C,"MISSING",0)</f>
        <v/>
      </c>
      <c r="J797" s="4562">
        <f>XLOOKUP(B797,'_Sys|Line_Map'!$A:$A,'_Sys|Line_Map'!$D:$D,1,0)</f>
        <v/>
      </c>
      <c r="K797" s="4562">
        <f>IF(D797="","",D797*J797)</f>
        <v/>
      </c>
      <c r="L797" s="4562">
        <f>XLOOKUP(B797,'_Sys|Line_Map'!$A:$A,'_Sys|Line_Map'!$B:$B,"MISSING",0)</f>
        <v/>
      </c>
    </row>
    <row r="798">
      <c r="A798" s="4561" t="n"/>
      <c r="B798" s="4561" t="n"/>
      <c r="C798" s="4561" t="n"/>
      <c r="D798" s="4561" t="n"/>
      <c r="E798" s="4561" t="n"/>
      <c r="F798" s="4561" t="n"/>
      <c r="G798" s="4561" t="n"/>
      <c r="H798" s="4561" t="n"/>
      <c r="I798" s="4562">
        <f>XLOOKUP(B798,'_Sys|Line_Map'!$A:$A,'_Sys|Line_Map'!$C:$C,"MISSING",0)</f>
        <v/>
      </c>
      <c r="J798" s="4562">
        <f>XLOOKUP(B798,'_Sys|Line_Map'!$A:$A,'_Sys|Line_Map'!$D:$D,1,0)</f>
        <v/>
      </c>
      <c r="K798" s="4562">
        <f>IF(D798="","",D798*J798)</f>
        <v/>
      </c>
      <c r="L798" s="4562">
        <f>XLOOKUP(B798,'_Sys|Line_Map'!$A:$A,'_Sys|Line_Map'!$B:$B,"MISSING",0)</f>
        <v/>
      </c>
    </row>
    <row r="799">
      <c r="A799" s="4561" t="n"/>
      <c r="B799" s="4561" t="n"/>
      <c r="C799" s="4561" t="n"/>
      <c r="D799" s="4561" t="n"/>
      <c r="E799" s="4561" t="n"/>
      <c r="F799" s="4561" t="n"/>
      <c r="G799" s="4561" t="n"/>
      <c r="H799" s="4561" t="n"/>
      <c r="I799" s="4562">
        <f>XLOOKUP(B799,'_Sys|Line_Map'!$A:$A,'_Sys|Line_Map'!$C:$C,"MISSING",0)</f>
        <v/>
      </c>
      <c r="J799" s="4562">
        <f>XLOOKUP(B799,'_Sys|Line_Map'!$A:$A,'_Sys|Line_Map'!$D:$D,1,0)</f>
        <v/>
      </c>
      <c r="K799" s="4562">
        <f>IF(D799="","",D799*J799)</f>
        <v/>
      </c>
      <c r="L799" s="4562">
        <f>XLOOKUP(B799,'_Sys|Line_Map'!$A:$A,'_Sys|Line_Map'!$B:$B,"MISSING",0)</f>
        <v/>
      </c>
    </row>
    <row r="800">
      <c r="A800" s="4561" t="n"/>
      <c r="B800" s="4561" t="n"/>
      <c r="C800" s="4561" t="n"/>
      <c r="D800" s="4561" t="n"/>
      <c r="E800" s="4561" t="n"/>
      <c r="F800" s="4561" t="n"/>
      <c r="G800" s="4561" t="n"/>
      <c r="H800" s="4561" t="n"/>
      <c r="I800" s="4562">
        <f>XLOOKUP(B800,'_Sys|Line_Map'!$A:$A,'_Sys|Line_Map'!$C:$C,"MISSING",0)</f>
        <v/>
      </c>
      <c r="J800" s="4562">
        <f>XLOOKUP(B800,'_Sys|Line_Map'!$A:$A,'_Sys|Line_Map'!$D:$D,1,0)</f>
        <v/>
      </c>
      <c r="K800" s="4562">
        <f>IF(D800="","",D800*J800)</f>
        <v/>
      </c>
      <c r="L800" s="4562">
        <f>XLOOKUP(B800,'_Sys|Line_Map'!$A:$A,'_Sys|Line_Map'!$B:$B,"MISSING",0)</f>
        <v/>
      </c>
    </row>
    <row r="801">
      <c r="A801" s="4561" t="n"/>
      <c r="B801" s="4561" t="n"/>
      <c r="C801" s="4561" t="n"/>
      <c r="D801" s="4561" t="n"/>
      <c r="E801" s="4561" t="n"/>
      <c r="F801" s="4561" t="n"/>
      <c r="G801" s="4561" t="n"/>
      <c r="H801" s="4561" t="n"/>
      <c r="I801" s="4562">
        <f>XLOOKUP(B801,'_Sys|Line_Map'!$A:$A,'_Sys|Line_Map'!$C:$C,"MISSING",0)</f>
        <v/>
      </c>
      <c r="J801" s="4562">
        <f>XLOOKUP(B801,'_Sys|Line_Map'!$A:$A,'_Sys|Line_Map'!$D:$D,1,0)</f>
        <v/>
      </c>
      <c r="K801" s="4562">
        <f>IF(D801="","",D801*J801)</f>
        <v/>
      </c>
      <c r="L801" s="4562">
        <f>XLOOKUP(B801,'_Sys|Line_Map'!$A:$A,'_Sys|Line_Map'!$B:$B,"MISSING",0)</f>
        <v/>
      </c>
    </row>
    <row r="802">
      <c r="A802" s="4561" t="n"/>
      <c r="B802" s="4561" t="n"/>
      <c r="C802" s="4561" t="n"/>
      <c r="D802" s="4561" t="n"/>
      <c r="E802" s="4561" t="n"/>
      <c r="F802" s="4561" t="n"/>
      <c r="G802" s="4561" t="n"/>
      <c r="H802" s="4561" t="n"/>
      <c r="I802" s="4562">
        <f>XLOOKUP(B802,'_Sys|Line_Map'!$A:$A,'_Sys|Line_Map'!$C:$C,"MISSING",0)</f>
        <v/>
      </c>
      <c r="J802" s="4562">
        <f>XLOOKUP(B802,'_Sys|Line_Map'!$A:$A,'_Sys|Line_Map'!$D:$D,1,0)</f>
        <v/>
      </c>
      <c r="K802" s="4562">
        <f>IF(D802="","",D802*J802)</f>
        <v/>
      </c>
      <c r="L802" s="4562">
        <f>XLOOKUP(B802,'_Sys|Line_Map'!$A:$A,'_Sys|Line_Map'!$B:$B,"MISSING",0)</f>
        <v/>
      </c>
    </row>
    <row r="803">
      <c r="A803" s="4561" t="n"/>
      <c r="B803" s="4561" t="n"/>
      <c r="C803" s="4561" t="n"/>
      <c r="D803" s="4561" t="n"/>
      <c r="E803" s="4561" t="n"/>
      <c r="F803" s="4561" t="n"/>
      <c r="G803" s="4561" t="n"/>
      <c r="H803" s="4561" t="n"/>
      <c r="I803" s="4562">
        <f>XLOOKUP(B803,'_Sys|Line_Map'!$A:$A,'_Sys|Line_Map'!$C:$C,"MISSING",0)</f>
        <v/>
      </c>
      <c r="J803" s="4562">
        <f>XLOOKUP(B803,'_Sys|Line_Map'!$A:$A,'_Sys|Line_Map'!$D:$D,1,0)</f>
        <v/>
      </c>
      <c r="K803" s="4562">
        <f>IF(D803="","",D803*J803)</f>
        <v/>
      </c>
      <c r="L803" s="4562">
        <f>XLOOKUP(B803,'_Sys|Line_Map'!$A:$A,'_Sys|Line_Map'!$B:$B,"MISSING",0)</f>
        <v/>
      </c>
    </row>
    <row r="804">
      <c r="A804" s="4561" t="n"/>
      <c r="B804" s="4561" t="n"/>
      <c r="C804" s="4561" t="n"/>
      <c r="D804" s="4561" t="n"/>
      <c r="E804" s="4561" t="n"/>
      <c r="F804" s="4561" t="n"/>
      <c r="G804" s="4561" t="n"/>
      <c r="H804" s="4561" t="n"/>
      <c r="I804" s="4562">
        <f>XLOOKUP(B804,'_Sys|Line_Map'!$A:$A,'_Sys|Line_Map'!$C:$C,"MISSING",0)</f>
        <v/>
      </c>
      <c r="J804" s="4562">
        <f>XLOOKUP(B804,'_Sys|Line_Map'!$A:$A,'_Sys|Line_Map'!$D:$D,1,0)</f>
        <v/>
      </c>
      <c r="K804" s="4562">
        <f>IF(D804="","",D804*J804)</f>
        <v/>
      </c>
      <c r="L804" s="4562">
        <f>XLOOKUP(B804,'_Sys|Line_Map'!$A:$A,'_Sys|Line_Map'!$B:$B,"MISSING",0)</f>
        <v/>
      </c>
    </row>
    <row r="805">
      <c r="A805" s="4561" t="n"/>
      <c r="B805" s="4561" t="n"/>
      <c r="C805" s="4561" t="n"/>
      <c r="D805" s="4561" t="n"/>
      <c r="E805" s="4561" t="n"/>
      <c r="F805" s="4561" t="n"/>
      <c r="G805" s="4561" t="n"/>
      <c r="H805" s="4561" t="n"/>
      <c r="I805" s="4562">
        <f>XLOOKUP(B805,'_Sys|Line_Map'!$A:$A,'_Sys|Line_Map'!$C:$C,"MISSING",0)</f>
        <v/>
      </c>
      <c r="J805" s="4562">
        <f>XLOOKUP(B805,'_Sys|Line_Map'!$A:$A,'_Sys|Line_Map'!$D:$D,1,0)</f>
        <v/>
      </c>
      <c r="K805" s="4562">
        <f>IF(D805="","",D805*J805)</f>
        <v/>
      </c>
      <c r="L805" s="4562">
        <f>XLOOKUP(B805,'_Sys|Line_Map'!$A:$A,'_Sys|Line_Map'!$B:$B,"MISSING",0)</f>
        <v/>
      </c>
    </row>
    <row r="806">
      <c r="A806" s="4561" t="n"/>
      <c r="B806" s="4561" t="n"/>
      <c r="C806" s="4561" t="n"/>
      <c r="D806" s="4561" t="n"/>
      <c r="E806" s="4561" t="n"/>
      <c r="F806" s="4561" t="n"/>
      <c r="G806" s="4561" t="n"/>
      <c r="H806" s="4561" t="n"/>
      <c r="I806" s="4562">
        <f>XLOOKUP(B806,'_Sys|Line_Map'!$A:$A,'_Sys|Line_Map'!$C:$C,"MISSING",0)</f>
        <v/>
      </c>
      <c r="J806" s="4562">
        <f>XLOOKUP(B806,'_Sys|Line_Map'!$A:$A,'_Sys|Line_Map'!$D:$D,1,0)</f>
        <v/>
      </c>
      <c r="K806" s="4562">
        <f>IF(D806="","",D806*J806)</f>
        <v/>
      </c>
      <c r="L806" s="4562">
        <f>XLOOKUP(B806,'_Sys|Line_Map'!$A:$A,'_Sys|Line_Map'!$B:$B,"MISSING",0)</f>
        <v/>
      </c>
    </row>
    <row r="807">
      <c r="A807" s="4561" t="n"/>
      <c r="B807" s="4561" t="n"/>
      <c r="C807" s="4561" t="n"/>
      <c r="D807" s="4561" t="n"/>
      <c r="E807" s="4561" t="n"/>
      <c r="F807" s="4561" t="n"/>
      <c r="G807" s="4561" t="n"/>
      <c r="H807" s="4561" t="n"/>
      <c r="I807" s="4562">
        <f>XLOOKUP(B807,'_Sys|Line_Map'!$A:$A,'_Sys|Line_Map'!$C:$C,"MISSING",0)</f>
        <v/>
      </c>
      <c r="J807" s="4562">
        <f>XLOOKUP(B807,'_Sys|Line_Map'!$A:$A,'_Sys|Line_Map'!$D:$D,1,0)</f>
        <v/>
      </c>
      <c r="K807" s="4562">
        <f>IF(D807="","",D807*J807)</f>
        <v/>
      </c>
      <c r="L807" s="4562">
        <f>XLOOKUP(B807,'_Sys|Line_Map'!$A:$A,'_Sys|Line_Map'!$B:$B,"MISSING",0)</f>
        <v/>
      </c>
    </row>
    <row r="808">
      <c r="A808" s="4561" t="n"/>
      <c r="B808" s="4561" t="n"/>
      <c r="C808" s="4561" t="n"/>
      <c r="D808" s="4561" t="n"/>
      <c r="E808" s="4561" t="n"/>
      <c r="F808" s="4561" t="n"/>
      <c r="G808" s="4561" t="n"/>
      <c r="H808" s="4561" t="n"/>
      <c r="I808" s="4562">
        <f>XLOOKUP(B808,'_Sys|Line_Map'!$A:$A,'_Sys|Line_Map'!$C:$C,"MISSING",0)</f>
        <v/>
      </c>
      <c r="J808" s="4562">
        <f>XLOOKUP(B808,'_Sys|Line_Map'!$A:$A,'_Sys|Line_Map'!$D:$D,1,0)</f>
        <v/>
      </c>
      <c r="K808" s="4562">
        <f>IF(D808="","",D808*J808)</f>
        <v/>
      </c>
      <c r="L808" s="4562">
        <f>XLOOKUP(B808,'_Sys|Line_Map'!$A:$A,'_Sys|Line_Map'!$B:$B,"MISSING",0)</f>
        <v/>
      </c>
    </row>
    <row r="809">
      <c r="A809" s="4561" t="n"/>
      <c r="B809" s="4561" t="n"/>
      <c r="C809" s="4561" t="n"/>
      <c r="D809" s="4561" t="n"/>
      <c r="E809" s="4561" t="n"/>
      <c r="F809" s="4561" t="n"/>
      <c r="G809" s="4561" t="n"/>
      <c r="H809" s="4561" t="n"/>
      <c r="I809" s="4562">
        <f>XLOOKUP(B809,'_Sys|Line_Map'!$A:$A,'_Sys|Line_Map'!$C:$C,"MISSING",0)</f>
        <v/>
      </c>
      <c r="J809" s="4562">
        <f>XLOOKUP(B809,'_Sys|Line_Map'!$A:$A,'_Sys|Line_Map'!$D:$D,1,0)</f>
        <v/>
      </c>
      <c r="K809" s="4562">
        <f>IF(D809="","",D809*J809)</f>
        <v/>
      </c>
      <c r="L809" s="4562">
        <f>XLOOKUP(B809,'_Sys|Line_Map'!$A:$A,'_Sys|Line_Map'!$B:$B,"MISSING",0)</f>
        <v/>
      </c>
    </row>
    <row r="810">
      <c r="A810" s="4561" t="n"/>
      <c r="B810" s="4561" t="n"/>
      <c r="C810" s="4561" t="n"/>
      <c r="D810" s="4561" t="n"/>
      <c r="E810" s="4561" t="n"/>
      <c r="F810" s="4561" t="n"/>
      <c r="G810" s="4561" t="n"/>
      <c r="H810" s="4561" t="n"/>
      <c r="I810" s="4562">
        <f>XLOOKUP(B810,'_Sys|Line_Map'!$A:$A,'_Sys|Line_Map'!$C:$C,"MISSING",0)</f>
        <v/>
      </c>
      <c r="J810" s="4562">
        <f>XLOOKUP(B810,'_Sys|Line_Map'!$A:$A,'_Sys|Line_Map'!$D:$D,1,0)</f>
        <v/>
      </c>
      <c r="K810" s="4562">
        <f>IF(D810="","",D810*J810)</f>
        <v/>
      </c>
      <c r="L810" s="4562">
        <f>XLOOKUP(B810,'_Sys|Line_Map'!$A:$A,'_Sys|Line_Map'!$B:$B,"MISSING",0)</f>
        <v/>
      </c>
    </row>
    <row r="811">
      <c r="A811" s="4561" t="n"/>
      <c r="B811" s="4561" t="n"/>
      <c r="C811" s="4561" t="n"/>
      <c r="D811" s="4561" t="n"/>
      <c r="E811" s="4561" t="n"/>
      <c r="F811" s="4561" t="n"/>
      <c r="G811" s="4561" t="n"/>
      <c r="H811" s="4561" t="n"/>
      <c r="I811" s="4562">
        <f>XLOOKUP(B811,'_Sys|Line_Map'!$A:$A,'_Sys|Line_Map'!$C:$C,"MISSING",0)</f>
        <v/>
      </c>
      <c r="J811" s="4562">
        <f>XLOOKUP(B811,'_Sys|Line_Map'!$A:$A,'_Sys|Line_Map'!$D:$D,1,0)</f>
        <v/>
      </c>
      <c r="K811" s="4562">
        <f>IF(D811="","",D811*J811)</f>
        <v/>
      </c>
      <c r="L811" s="4562">
        <f>XLOOKUP(B811,'_Sys|Line_Map'!$A:$A,'_Sys|Line_Map'!$B:$B,"MISSING",0)</f>
        <v/>
      </c>
    </row>
    <row r="812">
      <c r="A812" s="4561" t="n"/>
      <c r="B812" s="4561" t="n"/>
      <c r="C812" s="4561" t="n"/>
      <c r="D812" s="4561" t="n"/>
      <c r="E812" s="4561" t="n"/>
      <c r="F812" s="4561" t="n"/>
      <c r="G812" s="4561" t="n"/>
      <c r="H812" s="4561" t="n"/>
      <c r="I812" s="4562">
        <f>XLOOKUP(B812,'_Sys|Line_Map'!$A:$A,'_Sys|Line_Map'!$C:$C,"MISSING",0)</f>
        <v/>
      </c>
      <c r="J812" s="4562">
        <f>XLOOKUP(B812,'_Sys|Line_Map'!$A:$A,'_Sys|Line_Map'!$D:$D,1,0)</f>
        <v/>
      </c>
      <c r="K812" s="4562">
        <f>IF(D812="","",D812*J812)</f>
        <v/>
      </c>
      <c r="L812" s="4562">
        <f>XLOOKUP(B812,'_Sys|Line_Map'!$A:$A,'_Sys|Line_Map'!$B:$B,"MISSING",0)</f>
        <v/>
      </c>
    </row>
    <row r="813">
      <c r="A813" s="4561" t="n"/>
      <c r="B813" s="4561" t="n"/>
      <c r="C813" s="4561" t="n"/>
      <c r="D813" s="4561" t="n"/>
      <c r="E813" s="4561" t="n"/>
      <c r="F813" s="4561" t="n"/>
      <c r="G813" s="4561" t="n"/>
      <c r="H813" s="4561" t="n"/>
      <c r="I813" s="4562">
        <f>XLOOKUP(B813,'_Sys|Line_Map'!$A:$A,'_Sys|Line_Map'!$C:$C,"MISSING",0)</f>
        <v/>
      </c>
      <c r="J813" s="4562">
        <f>XLOOKUP(B813,'_Sys|Line_Map'!$A:$A,'_Sys|Line_Map'!$D:$D,1,0)</f>
        <v/>
      </c>
      <c r="K813" s="4562">
        <f>IF(D813="","",D813*J813)</f>
        <v/>
      </c>
      <c r="L813" s="4562">
        <f>XLOOKUP(B813,'_Sys|Line_Map'!$A:$A,'_Sys|Line_Map'!$B:$B,"MISSING",0)</f>
        <v/>
      </c>
    </row>
    <row r="814">
      <c r="A814" s="4561" t="n"/>
      <c r="B814" s="4561" t="n"/>
      <c r="C814" s="4561" t="n"/>
      <c r="D814" s="4561" t="n"/>
      <c r="E814" s="4561" t="n"/>
      <c r="F814" s="4561" t="n"/>
      <c r="G814" s="4561" t="n"/>
      <c r="H814" s="4561" t="n"/>
      <c r="I814" s="4562">
        <f>XLOOKUP(B814,'_Sys|Line_Map'!$A:$A,'_Sys|Line_Map'!$C:$C,"MISSING",0)</f>
        <v/>
      </c>
      <c r="J814" s="4562">
        <f>XLOOKUP(B814,'_Sys|Line_Map'!$A:$A,'_Sys|Line_Map'!$D:$D,1,0)</f>
        <v/>
      </c>
      <c r="K814" s="4562">
        <f>IF(D814="","",D814*J814)</f>
        <v/>
      </c>
      <c r="L814" s="4562">
        <f>XLOOKUP(B814,'_Sys|Line_Map'!$A:$A,'_Sys|Line_Map'!$B:$B,"MISSING",0)</f>
        <v/>
      </c>
    </row>
    <row r="815">
      <c r="A815" s="4561" t="n"/>
      <c r="B815" s="4561" t="n"/>
      <c r="C815" s="4561" t="n"/>
      <c r="D815" s="4561" t="n"/>
      <c r="E815" s="4561" t="n"/>
      <c r="F815" s="4561" t="n"/>
      <c r="G815" s="4561" t="n"/>
      <c r="H815" s="4561" t="n"/>
      <c r="I815" s="4562">
        <f>XLOOKUP(B815,'_Sys|Line_Map'!$A:$A,'_Sys|Line_Map'!$C:$C,"MISSING",0)</f>
        <v/>
      </c>
      <c r="J815" s="4562">
        <f>XLOOKUP(B815,'_Sys|Line_Map'!$A:$A,'_Sys|Line_Map'!$D:$D,1,0)</f>
        <v/>
      </c>
      <c r="K815" s="4562">
        <f>IF(D815="","",D815*J815)</f>
        <v/>
      </c>
      <c r="L815" s="4562">
        <f>XLOOKUP(B815,'_Sys|Line_Map'!$A:$A,'_Sys|Line_Map'!$B:$B,"MISSING",0)</f>
        <v/>
      </c>
    </row>
    <row r="816">
      <c r="A816" s="4561" t="n"/>
      <c r="B816" s="4561" t="n"/>
      <c r="C816" s="4561" t="n"/>
      <c r="D816" s="4561" t="n"/>
      <c r="E816" s="4561" t="n"/>
      <c r="F816" s="4561" t="n"/>
      <c r="G816" s="4561" t="n"/>
      <c r="H816" s="4561" t="n"/>
      <c r="I816" s="4562">
        <f>XLOOKUP(B816,'_Sys|Line_Map'!$A:$A,'_Sys|Line_Map'!$C:$C,"MISSING",0)</f>
        <v/>
      </c>
      <c r="J816" s="4562">
        <f>XLOOKUP(B816,'_Sys|Line_Map'!$A:$A,'_Sys|Line_Map'!$D:$D,1,0)</f>
        <v/>
      </c>
      <c r="K816" s="4562">
        <f>IF(D816="","",D816*J816)</f>
        <v/>
      </c>
      <c r="L816" s="4562">
        <f>XLOOKUP(B816,'_Sys|Line_Map'!$A:$A,'_Sys|Line_Map'!$B:$B,"MISSING",0)</f>
        <v/>
      </c>
    </row>
    <row r="817">
      <c r="A817" s="4561" t="n"/>
      <c r="B817" s="4561" t="n"/>
      <c r="C817" s="4561" t="n"/>
      <c r="D817" s="4561" t="n"/>
      <c r="E817" s="4561" t="n"/>
      <c r="F817" s="4561" t="n"/>
      <c r="G817" s="4561" t="n"/>
      <c r="H817" s="4561" t="n"/>
      <c r="I817" s="4562">
        <f>XLOOKUP(B817,'_Sys|Line_Map'!$A:$A,'_Sys|Line_Map'!$C:$C,"MISSING",0)</f>
        <v/>
      </c>
      <c r="J817" s="4562">
        <f>XLOOKUP(B817,'_Sys|Line_Map'!$A:$A,'_Sys|Line_Map'!$D:$D,1,0)</f>
        <v/>
      </c>
      <c r="K817" s="4562">
        <f>IF(D817="","",D817*J817)</f>
        <v/>
      </c>
      <c r="L817" s="4562">
        <f>XLOOKUP(B817,'_Sys|Line_Map'!$A:$A,'_Sys|Line_Map'!$B:$B,"MISSING",0)</f>
        <v/>
      </c>
    </row>
    <row r="818">
      <c r="A818" s="4561" t="n"/>
      <c r="B818" s="4561" t="n"/>
      <c r="C818" s="4561" t="n"/>
      <c r="D818" s="4561" t="n"/>
      <c r="E818" s="4561" t="n"/>
      <c r="F818" s="4561" t="n"/>
      <c r="G818" s="4561" t="n"/>
      <c r="H818" s="4561" t="n"/>
      <c r="I818" s="4562">
        <f>XLOOKUP(B818,'_Sys|Line_Map'!$A:$A,'_Sys|Line_Map'!$C:$C,"MISSING",0)</f>
        <v/>
      </c>
      <c r="J818" s="4562">
        <f>XLOOKUP(B818,'_Sys|Line_Map'!$A:$A,'_Sys|Line_Map'!$D:$D,1,0)</f>
        <v/>
      </c>
      <c r="K818" s="4562">
        <f>IF(D818="","",D818*J818)</f>
        <v/>
      </c>
      <c r="L818" s="4562">
        <f>XLOOKUP(B818,'_Sys|Line_Map'!$A:$A,'_Sys|Line_Map'!$B:$B,"MISSING",0)</f>
        <v/>
      </c>
    </row>
    <row r="819">
      <c r="A819" s="4561" t="n"/>
      <c r="B819" s="4561" t="n"/>
      <c r="C819" s="4561" t="n"/>
      <c r="D819" s="4561" t="n"/>
      <c r="E819" s="4561" t="n"/>
      <c r="F819" s="4561" t="n"/>
      <c r="G819" s="4561" t="n"/>
      <c r="H819" s="4561" t="n"/>
      <c r="I819" s="4562">
        <f>XLOOKUP(B819,'_Sys|Line_Map'!$A:$A,'_Sys|Line_Map'!$C:$C,"MISSING",0)</f>
        <v/>
      </c>
      <c r="J819" s="4562">
        <f>XLOOKUP(B819,'_Sys|Line_Map'!$A:$A,'_Sys|Line_Map'!$D:$D,1,0)</f>
        <v/>
      </c>
      <c r="K819" s="4562">
        <f>IF(D819="","",D819*J819)</f>
        <v/>
      </c>
      <c r="L819" s="4562">
        <f>XLOOKUP(B819,'_Sys|Line_Map'!$A:$A,'_Sys|Line_Map'!$B:$B,"MISSING",0)</f>
        <v/>
      </c>
    </row>
    <row r="820">
      <c r="A820" s="4561" t="n"/>
      <c r="B820" s="4561" t="n"/>
      <c r="C820" s="4561" t="n"/>
      <c r="D820" s="4561" t="n"/>
      <c r="E820" s="4561" t="n"/>
      <c r="F820" s="4561" t="n"/>
      <c r="G820" s="4561" t="n"/>
      <c r="H820" s="4561" t="n"/>
      <c r="I820" s="4562">
        <f>XLOOKUP(B820,'_Sys|Line_Map'!$A:$A,'_Sys|Line_Map'!$C:$C,"MISSING",0)</f>
        <v/>
      </c>
      <c r="J820" s="4562">
        <f>XLOOKUP(B820,'_Sys|Line_Map'!$A:$A,'_Sys|Line_Map'!$D:$D,1,0)</f>
        <v/>
      </c>
      <c r="K820" s="4562">
        <f>IF(D820="","",D820*J820)</f>
        <v/>
      </c>
      <c r="L820" s="4562">
        <f>XLOOKUP(B820,'_Sys|Line_Map'!$A:$A,'_Sys|Line_Map'!$B:$B,"MISSING",0)</f>
        <v/>
      </c>
    </row>
    <row r="821">
      <c r="A821" s="4561" t="n"/>
      <c r="B821" s="4561" t="n"/>
      <c r="C821" s="4561" t="n"/>
      <c r="D821" s="4561" t="n"/>
      <c r="E821" s="4561" t="n"/>
      <c r="F821" s="4561" t="n"/>
      <c r="G821" s="4561" t="n"/>
      <c r="H821" s="4561" t="n"/>
      <c r="I821" s="4562">
        <f>XLOOKUP(B821,'_Sys|Line_Map'!$A:$A,'_Sys|Line_Map'!$C:$C,"MISSING",0)</f>
        <v/>
      </c>
      <c r="J821" s="4562">
        <f>XLOOKUP(B821,'_Sys|Line_Map'!$A:$A,'_Sys|Line_Map'!$D:$D,1,0)</f>
        <v/>
      </c>
      <c r="K821" s="4562">
        <f>IF(D821="","",D821*J821)</f>
        <v/>
      </c>
      <c r="L821" s="4562">
        <f>XLOOKUP(B821,'_Sys|Line_Map'!$A:$A,'_Sys|Line_Map'!$B:$B,"MISSING",0)</f>
        <v/>
      </c>
    </row>
    <row r="822">
      <c r="A822" s="4561" t="n"/>
      <c r="B822" s="4561" t="n"/>
      <c r="C822" s="4561" t="n"/>
      <c r="D822" s="4561" t="n"/>
      <c r="E822" s="4561" t="n"/>
      <c r="F822" s="4561" t="n"/>
      <c r="G822" s="4561" t="n"/>
      <c r="H822" s="4561" t="n"/>
      <c r="I822" s="4562">
        <f>XLOOKUP(B822,'_Sys|Line_Map'!$A:$A,'_Sys|Line_Map'!$C:$C,"MISSING",0)</f>
        <v/>
      </c>
      <c r="J822" s="4562">
        <f>XLOOKUP(B822,'_Sys|Line_Map'!$A:$A,'_Sys|Line_Map'!$D:$D,1,0)</f>
        <v/>
      </c>
      <c r="K822" s="4562">
        <f>IF(D822="","",D822*J822)</f>
        <v/>
      </c>
      <c r="L822" s="4562">
        <f>XLOOKUP(B822,'_Sys|Line_Map'!$A:$A,'_Sys|Line_Map'!$B:$B,"MISSING",0)</f>
        <v/>
      </c>
    </row>
    <row r="823">
      <c r="A823" s="4561" t="n"/>
      <c r="B823" s="4561" t="n"/>
      <c r="C823" s="4561" t="n"/>
      <c r="D823" s="4561" t="n"/>
      <c r="E823" s="4561" t="n"/>
      <c r="F823" s="4561" t="n"/>
      <c r="G823" s="4561" t="n"/>
      <c r="H823" s="4561" t="n"/>
      <c r="I823" s="4562">
        <f>XLOOKUP(B823,'_Sys|Line_Map'!$A:$A,'_Sys|Line_Map'!$C:$C,"MISSING",0)</f>
        <v/>
      </c>
      <c r="J823" s="4562">
        <f>XLOOKUP(B823,'_Sys|Line_Map'!$A:$A,'_Sys|Line_Map'!$D:$D,1,0)</f>
        <v/>
      </c>
      <c r="K823" s="4562">
        <f>IF(D823="","",D823*J823)</f>
        <v/>
      </c>
      <c r="L823" s="4562">
        <f>XLOOKUP(B823,'_Sys|Line_Map'!$A:$A,'_Sys|Line_Map'!$B:$B,"MISSING",0)</f>
        <v/>
      </c>
    </row>
    <row r="824">
      <c r="A824" s="4561" t="n"/>
      <c r="B824" s="4561" t="n"/>
      <c r="C824" s="4561" t="n"/>
      <c r="D824" s="4561" t="n"/>
      <c r="E824" s="4561" t="n"/>
      <c r="F824" s="4561" t="n"/>
      <c r="G824" s="4561" t="n"/>
      <c r="H824" s="4561" t="n"/>
      <c r="I824" s="4562">
        <f>XLOOKUP(B824,'_Sys|Line_Map'!$A:$A,'_Sys|Line_Map'!$C:$C,"MISSING",0)</f>
        <v/>
      </c>
      <c r="J824" s="4562">
        <f>XLOOKUP(B824,'_Sys|Line_Map'!$A:$A,'_Sys|Line_Map'!$D:$D,1,0)</f>
        <v/>
      </c>
      <c r="K824" s="4562">
        <f>IF(D824="","",D824*J824)</f>
        <v/>
      </c>
      <c r="L824" s="4562">
        <f>XLOOKUP(B824,'_Sys|Line_Map'!$A:$A,'_Sys|Line_Map'!$B:$B,"MISSING",0)</f>
        <v/>
      </c>
    </row>
    <row r="825">
      <c r="A825" s="4561" t="n"/>
      <c r="B825" s="4561" t="n"/>
      <c r="C825" s="4561" t="n"/>
      <c r="D825" s="4561" t="n"/>
      <c r="E825" s="4561" t="n"/>
      <c r="F825" s="4561" t="n"/>
      <c r="G825" s="4561" t="n"/>
      <c r="H825" s="4561" t="n"/>
      <c r="I825" s="4562">
        <f>XLOOKUP(B825,'_Sys|Line_Map'!$A:$A,'_Sys|Line_Map'!$C:$C,"MISSING",0)</f>
        <v/>
      </c>
      <c r="J825" s="4562">
        <f>XLOOKUP(B825,'_Sys|Line_Map'!$A:$A,'_Sys|Line_Map'!$D:$D,1,0)</f>
        <v/>
      </c>
      <c r="K825" s="4562">
        <f>IF(D825="","",D825*J825)</f>
        <v/>
      </c>
      <c r="L825" s="4562">
        <f>XLOOKUP(B825,'_Sys|Line_Map'!$A:$A,'_Sys|Line_Map'!$B:$B,"MISSING",0)</f>
        <v/>
      </c>
    </row>
    <row r="826">
      <c r="A826" s="4561" t="n"/>
      <c r="B826" s="4561" t="n"/>
      <c r="C826" s="4561" t="n"/>
      <c r="D826" s="4561" t="n"/>
      <c r="E826" s="4561" t="n"/>
      <c r="F826" s="4561" t="n"/>
      <c r="G826" s="4561" t="n"/>
      <c r="H826" s="4561" t="n"/>
      <c r="I826" s="4562">
        <f>XLOOKUP(B826,'_Sys|Line_Map'!$A:$A,'_Sys|Line_Map'!$C:$C,"MISSING",0)</f>
        <v/>
      </c>
      <c r="J826" s="4562">
        <f>XLOOKUP(B826,'_Sys|Line_Map'!$A:$A,'_Sys|Line_Map'!$D:$D,1,0)</f>
        <v/>
      </c>
      <c r="K826" s="4562">
        <f>IF(D826="","",D826*J826)</f>
        <v/>
      </c>
      <c r="L826" s="4562">
        <f>XLOOKUP(B826,'_Sys|Line_Map'!$A:$A,'_Sys|Line_Map'!$B:$B,"MISSING",0)</f>
        <v/>
      </c>
    </row>
    <row r="827">
      <c r="A827" s="4561" t="n"/>
      <c r="B827" s="4561" t="n"/>
      <c r="C827" s="4561" t="n"/>
      <c r="D827" s="4561" t="n"/>
      <c r="E827" s="4561" t="n"/>
      <c r="F827" s="4561" t="n"/>
      <c r="G827" s="4561" t="n"/>
      <c r="H827" s="4561" t="n"/>
      <c r="I827" s="4562">
        <f>XLOOKUP(B827,'_Sys|Line_Map'!$A:$A,'_Sys|Line_Map'!$C:$C,"MISSING",0)</f>
        <v/>
      </c>
      <c r="J827" s="4562">
        <f>XLOOKUP(B827,'_Sys|Line_Map'!$A:$A,'_Sys|Line_Map'!$D:$D,1,0)</f>
        <v/>
      </c>
      <c r="K827" s="4562">
        <f>IF(D827="","",D827*J827)</f>
        <v/>
      </c>
      <c r="L827" s="4562">
        <f>XLOOKUP(B827,'_Sys|Line_Map'!$A:$A,'_Sys|Line_Map'!$B:$B,"MISSING",0)</f>
        <v/>
      </c>
    </row>
    <row r="828">
      <c r="A828" s="4561" t="n"/>
      <c r="B828" s="4561" t="n"/>
      <c r="C828" s="4561" t="n"/>
      <c r="D828" s="4561" t="n"/>
      <c r="E828" s="4561" t="n"/>
      <c r="F828" s="4561" t="n"/>
      <c r="G828" s="4561" t="n"/>
      <c r="H828" s="4561" t="n"/>
      <c r="I828" s="4562">
        <f>XLOOKUP(B828,'_Sys|Line_Map'!$A:$A,'_Sys|Line_Map'!$C:$C,"MISSING",0)</f>
        <v/>
      </c>
      <c r="J828" s="4562">
        <f>XLOOKUP(B828,'_Sys|Line_Map'!$A:$A,'_Sys|Line_Map'!$D:$D,1,0)</f>
        <v/>
      </c>
      <c r="K828" s="4562">
        <f>IF(D828="","",D828*J828)</f>
        <v/>
      </c>
      <c r="L828" s="4562">
        <f>XLOOKUP(B828,'_Sys|Line_Map'!$A:$A,'_Sys|Line_Map'!$B:$B,"MISSING",0)</f>
        <v/>
      </c>
    </row>
    <row r="829">
      <c r="A829" s="4561" t="n"/>
      <c r="B829" s="4561" t="n"/>
      <c r="C829" s="4561" t="n"/>
      <c r="D829" s="4561" t="n"/>
      <c r="E829" s="4561" t="n"/>
      <c r="F829" s="4561" t="n"/>
      <c r="G829" s="4561" t="n"/>
      <c r="H829" s="4561" t="n"/>
      <c r="I829" s="4562">
        <f>XLOOKUP(B829,'_Sys|Line_Map'!$A:$A,'_Sys|Line_Map'!$C:$C,"MISSING",0)</f>
        <v/>
      </c>
      <c r="J829" s="4562">
        <f>XLOOKUP(B829,'_Sys|Line_Map'!$A:$A,'_Sys|Line_Map'!$D:$D,1,0)</f>
        <v/>
      </c>
      <c r="K829" s="4562">
        <f>IF(D829="","",D829*J829)</f>
        <v/>
      </c>
      <c r="L829" s="4562">
        <f>XLOOKUP(B829,'_Sys|Line_Map'!$A:$A,'_Sys|Line_Map'!$B:$B,"MISSING",0)</f>
        <v/>
      </c>
    </row>
    <row r="830">
      <c r="A830" s="4561" t="n"/>
      <c r="B830" s="4561" t="n"/>
      <c r="C830" s="4561" t="n"/>
      <c r="D830" s="4561" t="n"/>
      <c r="E830" s="4561" t="n"/>
      <c r="F830" s="4561" t="n"/>
      <c r="G830" s="4561" t="n"/>
      <c r="H830" s="4561" t="n"/>
      <c r="I830" s="4562">
        <f>XLOOKUP(B830,'_Sys|Line_Map'!$A:$A,'_Sys|Line_Map'!$C:$C,"MISSING",0)</f>
        <v/>
      </c>
      <c r="J830" s="4562">
        <f>XLOOKUP(B830,'_Sys|Line_Map'!$A:$A,'_Sys|Line_Map'!$D:$D,1,0)</f>
        <v/>
      </c>
      <c r="K830" s="4562">
        <f>IF(D830="","",D830*J830)</f>
        <v/>
      </c>
      <c r="L830" s="4562">
        <f>XLOOKUP(B830,'_Sys|Line_Map'!$A:$A,'_Sys|Line_Map'!$B:$B,"MISSING",0)</f>
        <v/>
      </c>
    </row>
    <row r="831">
      <c r="A831" s="4561" t="n"/>
      <c r="B831" s="4561" t="n"/>
      <c r="C831" s="4561" t="n"/>
      <c r="D831" s="4561" t="n"/>
      <c r="E831" s="4561" t="n"/>
      <c r="F831" s="4561" t="n"/>
      <c r="G831" s="4561" t="n"/>
      <c r="H831" s="4561" t="n"/>
      <c r="I831" s="4562">
        <f>XLOOKUP(B831,'_Sys|Line_Map'!$A:$A,'_Sys|Line_Map'!$C:$C,"MISSING",0)</f>
        <v/>
      </c>
      <c r="J831" s="4562">
        <f>XLOOKUP(B831,'_Sys|Line_Map'!$A:$A,'_Sys|Line_Map'!$D:$D,1,0)</f>
        <v/>
      </c>
      <c r="K831" s="4562">
        <f>IF(D831="","",D831*J831)</f>
        <v/>
      </c>
      <c r="L831" s="4562">
        <f>XLOOKUP(B831,'_Sys|Line_Map'!$A:$A,'_Sys|Line_Map'!$B:$B,"MISSING",0)</f>
        <v/>
      </c>
    </row>
    <row r="832">
      <c r="A832" s="4561" t="n"/>
      <c r="B832" s="4561" t="n"/>
      <c r="C832" s="4561" t="n"/>
      <c r="D832" s="4561" t="n"/>
      <c r="E832" s="4561" t="n"/>
      <c r="F832" s="4561" t="n"/>
      <c r="G832" s="4561" t="n"/>
      <c r="H832" s="4561" t="n"/>
      <c r="I832" s="4562">
        <f>XLOOKUP(B832,'_Sys|Line_Map'!$A:$A,'_Sys|Line_Map'!$C:$C,"MISSING",0)</f>
        <v/>
      </c>
      <c r="J832" s="4562">
        <f>XLOOKUP(B832,'_Sys|Line_Map'!$A:$A,'_Sys|Line_Map'!$D:$D,1,0)</f>
        <v/>
      </c>
      <c r="K832" s="4562">
        <f>IF(D832="","",D832*J832)</f>
        <v/>
      </c>
      <c r="L832" s="4562">
        <f>XLOOKUP(B832,'_Sys|Line_Map'!$A:$A,'_Sys|Line_Map'!$B:$B,"MISSING",0)</f>
        <v/>
      </c>
    </row>
    <row r="833">
      <c r="A833" s="4561" t="n"/>
      <c r="B833" s="4561" t="n"/>
      <c r="C833" s="4561" t="n"/>
      <c r="D833" s="4561" t="n"/>
      <c r="E833" s="4561" t="n"/>
      <c r="F833" s="4561" t="n"/>
      <c r="G833" s="4561" t="n"/>
      <c r="H833" s="4561" t="n"/>
      <c r="I833" s="4562">
        <f>XLOOKUP(B833,'_Sys|Line_Map'!$A:$A,'_Sys|Line_Map'!$C:$C,"MISSING",0)</f>
        <v/>
      </c>
      <c r="J833" s="4562">
        <f>XLOOKUP(B833,'_Sys|Line_Map'!$A:$A,'_Sys|Line_Map'!$D:$D,1,0)</f>
        <v/>
      </c>
      <c r="K833" s="4562">
        <f>IF(D833="","",D833*J833)</f>
        <v/>
      </c>
      <c r="L833" s="4562">
        <f>XLOOKUP(B833,'_Sys|Line_Map'!$A:$A,'_Sys|Line_Map'!$B:$B,"MISSING",0)</f>
        <v/>
      </c>
    </row>
    <row r="834">
      <c r="A834" s="4561" t="n"/>
      <c r="B834" s="4561" t="n"/>
      <c r="C834" s="4561" t="n"/>
      <c r="D834" s="4561" t="n"/>
      <c r="E834" s="4561" t="n"/>
      <c r="F834" s="4561" t="n"/>
      <c r="G834" s="4561" t="n"/>
      <c r="H834" s="4561" t="n"/>
      <c r="I834" s="4562">
        <f>XLOOKUP(B834,'_Sys|Line_Map'!$A:$A,'_Sys|Line_Map'!$C:$C,"MISSING",0)</f>
        <v/>
      </c>
      <c r="J834" s="4562">
        <f>XLOOKUP(B834,'_Sys|Line_Map'!$A:$A,'_Sys|Line_Map'!$D:$D,1,0)</f>
        <v/>
      </c>
      <c r="K834" s="4562">
        <f>IF(D834="","",D834*J834)</f>
        <v/>
      </c>
      <c r="L834" s="4562">
        <f>XLOOKUP(B834,'_Sys|Line_Map'!$A:$A,'_Sys|Line_Map'!$B:$B,"MISSING",0)</f>
        <v/>
      </c>
    </row>
    <row r="835">
      <c r="A835" s="4561" t="n"/>
      <c r="B835" s="4561" t="n"/>
      <c r="C835" s="4561" t="n"/>
      <c r="D835" s="4561" t="n"/>
      <c r="E835" s="4561" t="n"/>
      <c r="F835" s="4561" t="n"/>
      <c r="G835" s="4561" t="n"/>
      <c r="H835" s="4561" t="n"/>
      <c r="I835" s="4562">
        <f>XLOOKUP(B835,'_Sys|Line_Map'!$A:$A,'_Sys|Line_Map'!$C:$C,"MISSING",0)</f>
        <v/>
      </c>
      <c r="J835" s="4562">
        <f>XLOOKUP(B835,'_Sys|Line_Map'!$A:$A,'_Sys|Line_Map'!$D:$D,1,0)</f>
        <v/>
      </c>
      <c r="K835" s="4562">
        <f>IF(D835="","",D835*J835)</f>
        <v/>
      </c>
      <c r="L835" s="4562">
        <f>XLOOKUP(B835,'_Sys|Line_Map'!$A:$A,'_Sys|Line_Map'!$B:$B,"MISSING",0)</f>
        <v/>
      </c>
    </row>
    <row r="836">
      <c r="A836" s="4561" t="n"/>
      <c r="B836" s="4561" t="n"/>
      <c r="C836" s="4561" t="n"/>
      <c r="D836" s="4561" t="n"/>
      <c r="E836" s="4561" t="n"/>
      <c r="F836" s="4561" t="n"/>
      <c r="G836" s="4561" t="n"/>
      <c r="H836" s="4561" t="n"/>
      <c r="I836" s="4562">
        <f>XLOOKUP(B836,'_Sys|Line_Map'!$A:$A,'_Sys|Line_Map'!$C:$C,"MISSING",0)</f>
        <v/>
      </c>
      <c r="J836" s="4562">
        <f>XLOOKUP(B836,'_Sys|Line_Map'!$A:$A,'_Sys|Line_Map'!$D:$D,1,0)</f>
        <v/>
      </c>
      <c r="K836" s="4562">
        <f>IF(D836="","",D836*J836)</f>
        <v/>
      </c>
      <c r="L836" s="4562">
        <f>XLOOKUP(B836,'_Sys|Line_Map'!$A:$A,'_Sys|Line_Map'!$B:$B,"MISSING",0)</f>
        <v/>
      </c>
    </row>
    <row r="837">
      <c r="A837" s="4561" t="n"/>
      <c r="B837" s="4561" t="n"/>
      <c r="C837" s="4561" t="n"/>
      <c r="D837" s="4561" t="n"/>
      <c r="E837" s="4561" t="n"/>
      <c r="F837" s="4561" t="n"/>
      <c r="G837" s="4561" t="n"/>
      <c r="H837" s="4561" t="n"/>
      <c r="I837" s="4562">
        <f>XLOOKUP(B837,'_Sys|Line_Map'!$A:$A,'_Sys|Line_Map'!$C:$C,"MISSING",0)</f>
        <v/>
      </c>
      <c r="J837" s="4562">
        <f>XLOOKUP(B837,'_Sys|Line_Map'!$A:$A,'_Sys|Line_Map'!$D:$D,1,0)</f>
        <v/>
      </c>
      <c r="K837" s="4562">
        <f>IF(D837="","",D837*J837)</f>
        <v/>
      </c>
      <c r="L837" s="4562">
        <f>XLOOKUP(B837,'_Sys|Line_Map'!$A:$A,'_Sys|Line_Map'!$B:$B,"MISSING",0)</f>
        <v/>
      </c>
    </row>
    <row r="838">
      <c r="A838" s="4561" t="n"/>
      <c r="B838" s="4561" t="n"/>
      <c r="C838" s="4561" t="n"/>
      <c r="D838" s="4561" t="n"/>
      <c r="E838" s="4561" t="n"/>
      <c r="F838" s="4561" t="n"/>
      <c r="G838" s="4561" t="n"/>
      <c r="H838" s="4561" t="n"/>
      <c r="I838" s="4562">
        <f>XLOOKUP(B838,'_Sys|Line_Map'!$A:$A,'_Sys|Line_Map'!$C:$C,"MISSING",0)</f>
        <v/>
      </c>
      <c r="J838" s="4562">
        <f>XLOOKUP(B838,'_Sys|Line_Map'!$A:$A,'_Sys|Line_Map'!$D:$D,1,0)</f>
        <v/>
      </c>
      <c r="K838" s="4562">
        <f>IF(D838="","",D838*J838)</f>
        <v/>
      </c>
      <c r="L838" s="4562">
        <f>XLOOKUP(B838,'_Sys|Line_Map'!$A:$A,'_Sys|Line_Map'!$B:$B,"MISSING",0)</f>
        <v/>
      </c>
    </row>
    <row r="839">
      <c r="A839" s="4561" t="n"/>
      <c r="B839" s="4561" t="n"/>
      <c r="C839" s="4561" t="n"/>
      <c r="D839" s="4561" t="n"/>
      <c r="E839" s="4561" t="n"/>
      <c r="F839" s="4561" t="n"/>
      <c r="G839" s="4561" t="n"/>
      <c r="H839" s="4561" t="n"/>
      <c r="I839" s="4562">
        <f>XLOOKUP(B839,'_Sys|Line_Map'!$A:$A,'_Sys|Line_Map'!$C:$C,"MISSING",0)</f>
        <v/>
      </c>
      <c r="J839" s="4562">
        <f>XLOOKUP(B839,'_Sys|Line_Map'!$A:$A,'_Sys|Line_Map'!$D:$D,1,0)</f>
        <v/>
      </c>
      <c r="K839" s="4562">
        <f>IF(D839="","",D839*J839)</f>
        <v/>
      </c>
      <c r="L839" s="4562">
        <f>XLOOKUP(B839,'_Sys|Line_Map'!$A:$A,'_Sys|Line_Map'!$B:$B,"MISSING",0)</f>
        <v/>
      </c>
    </row>
    <row r="840">
      <c r="A840" s="4561" t="n"/>
      <c r="B840" s="4561" t="n"/>
      <c r="C840" s="4561" t="n"/>
      <c r="D840" s="4561" t="n"/>
      <c r="E840" s="4561" t="n"/>
      <c r="F840" s="4561" t="n"/>
      <c r="G840" s="4561" t="n"/>
      <c r="H840" s="4561" t="n"/>
      <c r="I840" s="4562">
        <f>XLOOKUP(B840,'_Sys|Line_Map'!$A:$A,'_Sys|Line_Map'!$C:$C,"MISSING",0)</f>
        <v/>
      </c>
      <c r="J840" s="4562">
        <f>XLOOKUP(B840,'_Sys|Line_Map'!$A:$A,'_Sys|Line_Map'!$D:$D,1,0)</f>
        <v/>
      </c>
      <c r="K840" s="4562">
        <f>IF(D840="","",D840*J840)</f>
        <v/>
      </c>
      <c r="L840" s="4562">
        <f>XLOOKUP(B840,'_Sys|Line_Map'!$A:$A,'_Sys|Line_Map'!$B:$B,"MISSING",0)</f>
        <v/>
      </c>
    </row>
    <row r="841">
      <c r="A841" s="4561" t="n"/>
      <c r="B841" s="4561" t="n"/>
      <c r="C841" s="4561" t="n"/>
      <c r="D841" s="4561" t="n"/>
      <c r="E841" s="4561" t="n"/>
      <c r="F841" s="4561" t="n"/>
      <c r="G841" s="4561" t="n"/>
      <c r="H841" s="4561" t="n"/>
      <c r="I841" s="4562">
        <f>XLOOKUP(B841,'_Sys|Line_Map'!$A:$A,'_Sys|Line_Map'!$C:$C,"MISSING",0)</f>
        <v/>
      </c>
      <c r="J841" s="4562">
        <f>XLOOKUP(B841,'_Sys|Line_Map'!$A:$A,'_Sys|Line_Map'!$D:$D,1,0)</f>
        <v/>
      </c>
      <c r="K841" s="4562">
        <f>IF(D841="","",D841*J841)</f>
        <v/>
      </c>
      <c r="L841" s="4562">
        <f>XLOOKUP(B841,'_Sys|Line_Map'!$A:$A,'_Sys|Line_Map'!$B:$B,"MISSING",0)</f>
        <v/>
      </c>
    </row>
    <row r="842">
      <c r="A842" s="4561" t="n"/>
      <c r="B842" s="4561" t="n"/>
      <c r="C842" s="4561" t="n"/>
      <c r="D842" s="4561" t="n"/>
      <c r="E842" s="4561" t="n"/>
      <c r="F842" s="4561" t="n"/>
      <c r="G842" s="4561" t="n"/>
      <c r="H842" s="4561" t="n"/>
      <c r="I842" s="4562">
        <f>XLOOKUP(B842,'_Sys|Line_Map'!$A:$A,'_Sys|Line_Map'!$C:$C,"MISSING",0)</f>
        <v/>
      </c>
      <c r="J842" s="4562">
        <f>XLOOKUP(B842,'_Sys|Line_Map'!$A:$A,'_Sys|Line_Map'!$D:$D,1,0)</f>
        <v/>
      </c>
      <c r="K842" s="4562">
        <f>IF(D842="","",D842*J842)</f>
        <v/>
      </c>
      <c r="L842" s="4562">
        <f>XLOOKUP(B842,'_Sys|Line_Map'!$A:$A,'_Sys|Line_Map'!$B:$B,"MISSING",0)</f>
        <v/>
      </c>
    </row>
    <row r="843">
      <c r="A843" s="4561" t="n"/>
      <c r="B843" s="4561" t="n"/>
      <c r="C843" s="4561" t="n"/>
      <c r="D843" s="4561" t="n"/>
      <c r="E843" s="4561" t="n"/>
      <c r="F843" s="4561" t="n"/>
      <c r="G843" s="4561" t="n"/>
      <c r="H843" s="4561" t="n"/>
      <c r="I843" s="4562">
        <f>XLOOKUP(B843,'_Sys|Line_Map'!$A:$A,'_Sys|Line_Map'!$C:$C,"MISSING",0)</f>
        <v/>
      </c>
      <c r="J843" s="4562">
        <f>XLOOKUP(B843,'_Sys|Line_Map'!$A:$A,'_Sys|Line_Map'!$D:$D,1,0)</f>
        <v/>
      </c>
      <c r="K843" s="4562">
        <f>IF(D843="","",D843*J843)</f>
        <v/>
      </c>
      <c r="L843" s="4562">
        <f>XLOOKUP(B843,'_Sys|Line_Map'!$A:$A,'_Sys|Line_Map'!$B:$B,"MISSING",0)</f>
        <v/>
      </c>
    </row>
    <row r="844">
      <c r="A844" s="4561" t="n"/>
      <c r="B844" s="4561" t="n"/>
      <c r="C844" s="4561" t="n"/>
      <c r="D844" s="4561" t="n"/>
      <c r="E844" s="4561" t="n"/>
      <c r="F844" s="4561" t="n"/>
      <c r="G844" s="4561" t="n"/>
      <c r="H844" s="4561" t="n"/>
      <c r="I844" s="4562">
        <f>XLOOKUP(B844,'_Sys|Line_Map'!$A:$A,'_Sys|Line_Map'!$C:$C,"MISSING",0)</f>
        <v/>
      </c>
      <c r="J844" s="4562">
        <f>XLOOKUP(B844,'_Sys|Line_Map'!$A:$A,'_Sys|Line_Map'!$D:$D,1,0)</f>
        <v/>
      </c>
      <c r="K844" s="4562">
        <f>IF(D844="","",D844*J844)</f>
        <v/>
      </c>
      <c r="L844" s="4562">
        <f>XLOOKUP(B844,'_Sys|Line_Map'!$A:$A,'_Sys|Line_Map'!$B:$B,"MISSING",0)</f>
        <v/>
      </c>
    </row>
    <row r="845">
      <c r="A845" s="4561" t="n"/>
      <c r="B845" s="4561" t="n"/>
      <c r="C845" s="4561" t="n"/>
      <c r="D845" s="4561" t="n"/>
      <c r="E845" s="4561" t="n"/>
      <c r="F845" s="4561" t="n"/>
      <c r="G845" s="4561" t="n"/>
      <c r="H845" s="4561" t="n"/>
      <c r="I845" s="4562">
        <f>XLOOKUP(B845,'_Sys|Line_Map'!$A:$A,'_Sys|Line_Map'!$C:$C,"MISSING",0)</f>
        <v/>
      </c>
      <c r="J845" s="4562">
        <f>XLOOKUP(B845,'_Sys|Line_Map'!$A:$A,'_Sys|Line_Map'!$D:$D,1,0)</f>
        <v/>
      </c>
      <c r="K845" s="4562">
        <f>IF(D845="","",D845*J845)</f>
        <v/>
      </c>
      <c r="L845" s="4562">
        <f>XLOOKUP(B845,'_Sys|Line_Map'!$A:$A,'_Sys|Line_Map'!$B:$B,"MISSING",0)</f>
        <v/>
      </c>
    </row>
    <row r="846">
      <c r="A846" s="4561" t="n"/>
      <c r="B846" s="4561" t="n"/>
      <c r="C846" s="4561" t="n"/>
      <c r="D846" s="4561" t="n"/>
      <c r="E846" s="4561" t="n"/>
      <c r="F846" s="4561" t="n"/>
      <c r="G846" s="4561" t="n"/>
      <c r="H846" s="4561" t="n"/>
      <c r="I846" s="4562">
        <f>XLOOKUP(B846,'_Sys|Line_Map'!$A:$A,'_Sys|Line_Map'!$C:$C,"MISSING",0)</f>
        <v/>
      </c>
      <c r="J846" s="4562">
        <f>XLOOKUP(B846,'_Sys|Line_Map'!$A:$A,'_Sys|Line_Map'!$D:$D,1,0)</f>
        <v/>
      </c>
      <c r="K846" s="4562">
        <f>IF(D846="","",D846*J846)</f>
        <v/>
      </c>
      <c r="L846" s="4562">
        <f>XLOOKUP(B846,'_Sys|Line_Map'!$A:$A,'_Sys|Line_Map'!$B:$B,"MISSING",0)</f>
        <v/>
      </c>
    </row>
    <row r="847">
      <c r="A847" s="4561" t="n"/>
      <c r="B847" s="4561" t="n"/>
      <c r="C847" s="4561" t="n"/>
      <c r="D847" s="4561" t="n"/>
      <c r="E847" s="4561" t="n"/>
      <c r="F847" s="4561" t="n"/>
      <c r="G847" s="4561" t="n"/>
      <c r="H847" s="4561" t="n"/>
      <c r="I847" s="4562">
        <f>XLOOKUP(B847,'_Sys|Line_Map'!$A:$A,'_Sys|Line_Map'!$C:$C,"MISSING",0)</f>
        <v/>
      </c>
      <c r="J847" s="4562">
        <f>XLOOKUP(B847,'_Sys|Line_Map'!$A:$A,'_Sys|Line_Map'!$D:$D,1,0)</f>
        <v/>
      </c>
      <c r="K847" s="4562">
        <f>IF(D847="","",D847*J847)</f>
        <v/>
      </c>
      <c r="L847" s="4562">
        <f>XLOOKUP(B847,'_Sys|Line_Map'!$A:$A,'_Sys|Line_Map'!$B:$B,"MISSING",0)</f>
        <v/>
      </c>
    </row>
    <row r="848">
      <c r="A848" s="4561" t="n"/>
      <c r="B848" s="4561" t="n"/>
      <c r="C848" s="4561" t="n"/>
      <c r="D848" s="4561" t="n"/>
      <c r="E848" s="4561" t="n"/>
      <c r="F848" s="4561" t="n"/>
      <c r="G848" s="4561" t="n"/>
      <c r="H848" s="4561" t="n"/>
      <c r="I848" s="4562">
        <f>XLOOKUP(B848,'_Sys|Line_Map'!$A:$A,'_Sys|Line_Map'!$C:$C,"MISSING",0)</f>
        <v/>
      </c>
      <c r="J848" s="4562">
        <f>XLOOKUP(B848,'_Sys|Line_Map'!$A:$A,'_Sys|Line_Map'!$D:$D,1,0)</f>
        <v/>
      </c>
      <c r="K848" s="4562">
        <f>IF(D848="","",D848*J848)</f>
        <v/>
      </c>
      <c r="L848" s="4562">
        <f>XLOOKUP(B848,'_Sys|Line_Map'!$A:$A,'_Sys|Line_Map'!$B:$B,"MISSING",0)</f>
        <v/>
      </c>
    </row>
    <row r="849">
      <c r="A849" s="4561" t="n"/>
      <c r="B849" s="4561" t="n"/>
      <c r="C849" s="4561" t="n"/>
      <c r="D849" s="4561" t="n"/>
      <c r="E849" s="4561" t="n"/>
      <c r="F849" s="4561" t="n"/>
      <c r="G849" s="4561" t="n"/>
      <c r="H849" s="4561" t="n"/>
      <c r="I849" s="4562">
        <f>XLOOKUP(B849,'_Sys|Line_Map'!$A:$A,'_Sys|Line_Map'!$C:$C,"MISSING",0)</f>
        <v/>
      </c>
      <c r="J849" s="4562">
        <f>XLOOKUP(B849,'_Sys|Line_Map'!$A:$A,'_Sys|Line_Map'!$D:$D,1,0)</f>
        <v/>
      </c>
      <c r="K849" s="4562">
        <f>IF(D849="","",D849*J849)</f>
        <v/>
      </c>
      <c r="L849" s="4562">
        <f>XLOOKUP(B849,'_Sys|Line_Map'!$A:$A,'_Sys|Line_Map'!$B:$B,"MISSING",0)</f>
        <v/>
      </c>
    </row>
    <row r="850">
      <c r="A850" s="4561" t="n"/>
      <c r="B850" s="4561" t="n"/>
      <c r="C850" s="4561" t="n"/>
      <c r="D850" s="4561" t="n"/>
      <c r="E850" s="4561" t="n"/>
      <c r="F850" s="4561" t="n"/>
      <c r="G850" s="4561" t="n"/>
      <c r="H850" s="4561" t="n"/>
      <c r="I850" s="4562">
        <f>XLOOKUP(B850,'_Sys|Line_Map'!$A:$A,'_Sys|Line_Map'!$C:$C,"MISSING",0)</f>
        <v/>
      </c>
      <c r="J850" s="4562">
        <f>XLOOKUP(B850,'_Sys|Line_Map'!$A:$A,'_Sys|Line_Map'!$D:$D,1,0)</f>
        <v/>
      </c>
      <c r="K850" s="4562">
        <f>IF(D850="","",D850*J850)</f>
        <v/>
      </c>
      <c r="L850" s="4562">
        <f>XLOOKUP(B850,'_Sys|Line_Map'!$A:$A,'_Sys|Line_Map'!$B:$B,"MISSING",0)</f>
        <v/>
      </c>
    </row>
    <row r="851">
      <c r="A851" s="4561" t="n"/>
      <c r="B851" s="4561" t="n"/>
      <c r="C851" s="4561" t="n"/>
      <c r="D851" s="4561" t="n"/>
      <c r="E851" s="4561" t="n"/>
      <c r="F851" s="4561" t="n"/>
      <c r="G851" s="4561" t="n"/>
      <c r="H851" s="4561" t="n"/>
      <c r="I851" s="4562">
        <f>XLOOKUP(B851,'_Sys|Line_Map'!$A:$A,'_Sys|Line_Map'!$C:$C,"MISSING",0)</f>
        <v/>
      </c>
      <c r="J851" s="4562">
        <f>XLOOKUP(B851,'_Sys|Line_Map'!$A:$A,'_Sys|Line_Map'!$D:$D,1,0)</f>
        <v/>
      </c>
      <c r="K851" s="4562">
        <f>IF(D851="","",D851*J851)</f>
        <v/>
      </c>
      <c r="L851" s="4562">
        <f>XLOOKUP(B851,'_Sys|Line_Map'!$A:$A,'_Sys|Line_Map'!$B:$B,"MISSING",0)</f>
        <v/>
      </c>
    </row>
    <row r="852">
      <c r="A852" s="4561" t="n"/>
      <c r="B852" s="4561" t="n"/>
      <c r="C852" s="4561" t="n"/>
      <c r="D852" s="4561" t="n"/>
      <c r="E852" s="4561" t="n"/>
      <c r="F852" s="4561" t="n"/>
      <c r="G852" s="4561" t="n"/>
      <c r="H852" s="4561" t="n"/>
      <c r="I852" s="4562">
        <f>XLOOKUP(B852,'_Sys|Line_Map'!$A:$A,'_Sys|Line_Map'!$C:$C,"MISSING",0)</f>
        <v/>
      </c>
      <c r="J852" s="4562">
        <f>XLOOKUP(B852,'_Sys|Line_Map'!$A:$A,'_Sys|Line_Map'!$D:$D,1,0)</f>
        <v/>
      </c>
      <c r="K852" s="4562">
        <f>IF(D852="","",D852*J852)</f>
        <v/>
      </c>
      <c r="L852" s="4562">
        <f>XLOOKUP(B852,'_Sys|Line_Map'!$A:$A,'_Sys|Line_Map'!$B:$B,"MISSING",0)</f>
        <v/>
      </c>
    </row>
    <row r="853">
      <c r="A853" s="4561" t="n"/>
      <c r="B853" s="4561" t="n"/>
      <c r="C853" s="4561" t="n"/>
      <c r="D853" s="4561" t="n"/>
      <c r="E853" s="4561" t="n"/>
      <c r="F853" s="4561" t="n"/>
      <c r="G853" s="4561" t="n"/>
      <c r="H853" s="4561" t="n"/>
      <c r="I853" s="4562">
        <f>XLOOKUP(B853,'_Sys|Line_Map'!$A:$A,'_Sys|Line_Map'!$C:$C,"MISSING",0)</f>
        <v/>
      </c>
      <c r="J853" s="4562">
        <f>XLOOKUP(B853,'_Sys|Line_Map'!$A:$A,'_Sys|Line_Map'!$D:$D,1,0)</f>
        <v/>
      </c>
      <c r="K853" s="4562">
        <f>IF(D853="","",D853*J853)</f>
        <v/>
      </c>
      <c r="L853" s="4562">
        <f>XLOOKUP(B853,'_Sys|Line_Map'!$A:$A,'_Sys|Line_Map'!$B:$B,"MISSING",0)</f>
        <v/>
      </c>
    </row>
    <row r="854">
      <c r="A854" s="4561" t="n"/>
      <c r="B854" s="4561" t="n"/>
      <c r="C854" s="4561" t="n"/>
      <c r="D854" s="4561" t="n"/>
      <c r="E854" s="4561" t="n"/>
      <c r="F854" s="4561" t="n"/>
      <c r="G854" s="4561" t="n"/>
      <c r="H854" s="4561" t="n"/>
      <c r="I854" s="4562">
        <f>XLOOKUP(B854,'_Sys|Line_Map'!$A:$A,'_Sys|Line_Map'!$C:$C,"MISSING",0)</f>
        <v/>
      </c>
      <c r="J854" s="4562">
        <f>XLOOKUP(B854,'_Sys|Line_Map'!$A:$A,'_Sys|Line_Map'!$D:$D,1,0)</f>
        <v/>
      </c>
      <c r="K854" s="4562">
        <f>IF(D854="","",D854*J854)</f>
        <v/>
      </c>
      <c r="L854" s="4562">
        <f>XLOOKUP(B854,'_Sys|Line_Map'!$A:$A,'_Sys|Line_Map'!$B:$B,"MISSING",0)</f>
        <v/>
      </c>
    </row>
    <row r="855">
      <c r="A855" s="4561" t="n"/>
      <c r="B855" s="4561" t="n"/>
      <c r="C855" s="4561" t="n"/>
      <c r="D855" s="4561" t="n"/>
      <c r="E855" s="4561" t="n"/>
      <c r="F855" s="4561" t="n"/>
      <c r="G855" s="4561" t="n"/>
      <c r="H855" s="4561" t="n"/>
      <c r="I855" s="4562">
        <f>XLOOKUP(B855,'_Sys|Line_Map'!$A:$A,'_Sys|Line_Map'!$C:$C,"MISSING",0)</f>
        <v/>
      </c>
      <c r="J855" s="4562">
        <f>XLOOKUP(B855,'_Sys|Line_Map'!$A:$A,'_Sys|Line_Map'!$D:$D,1,0)</f>
        <v/>
      </c>
      <c r="K855" s="4562">
        <f>IF(D855="","",D855*J855)</f>
        <v/>
      </c>
      <c r="L855" s="4562">
        <f>XLOOKUP(B855,'_Sys|Line_Map'!$A:$A,'_Sys|Line_Map'!$B:$B,"MISSING",0)</f>
        <v/>
      </c>
    </row>
    <row r="856">
      <c r="A856" s="4561" t="n"/>
      <c r="B856" s="4561" t="n"/>
      <c r="C856" s="4561" t="n"/>
      <c r="D856" s="4561" t="n"/>
      <c r="E856" s="4561" t="n"/>
      <c r="F856" s="4561" t="n"/>
      <c r="G856" s="4561" t="n"/>
      <c r="H856" s="4561" t="n"/>
      <c r="I856" s="4562">
        <f>XLOOKUP(B856,'_Sys|Line_Map'!$A:$A,'_Sys|Line_Map'!$C:$C,"MISSING",0)</f>
        <v/>
      </c>
      <c r="J856" s="4562">
        <f>XLOOKUP(B856,'_Sys|Line_Map'!$A:$A,'_Sys|Line_Map'!$D:$D,1,0)</f>
        <v/>
      </c>
      <c r="K856" s="4562">
        <f>IF(D856="","",D856*J856)</f>
        <v/>
      </c>
      <c r="L856" s="4562">
        <f>XLOOKUP(B856,'_Sys|Line_Map'!$A:$A,'_Sys|Line_Map'!$B:$B,"MISSING",0)</f>
        <v/>
      </c>
    </row>
    <row r="857">
      <c r="A857" s="4561" t="n"/>
      <c r="B857" s="4561" t="n"/>
      <c r="C857" s="4561" t="n"/>
      <c r="D857" s="4561" t="n"/>
      <c r="E857" s="4561" t="n"/>
      <c r="F857" s="4561" t="n"/>
      <c r="G857" s="4561" t="n"/>
      <c r="H857" s="4561" t="n"/>
      <c r="I857" s="4562">
        <f>XLOOKUP(B857,'_Sys|Line_Map'!$A:$A,'_Sys|Line_Map'!$C:$C,"MISSING",0)</f>
        <v/>
      </c>
      <c r="J857" s="4562">
        <f>XLOOKUP(B857,'_Sys|Line_Map'!$A:$A,'_Sys|Line_Map'!$D:$D,1,0)</f>
        <v/>
      </c>
      <c r="K857" s="4562">
        <f>IF(D857="","",D857*J857)</f>
        <v/>
      </c>
      <c r="L857" s="4562">
        <f>XLOOKUP(B857,'_Sys|Line_Map'!$A:$A,'_Sys|Line_Map'!$B:$B,"MISSING",0)</f>
        <v/>
      </c>
    </row>
    <row r="858">
      <c r="A858" s="4561" t="n"/>
      <c r="B858" s="4561" t="n"/>
      <c r="C858" s="4561" t="n"/>
      <c r="D858" s="4561" t="n"/>
      <c r="E858" s="4561" t="n"/>
      <c r="F858" s="4561" t="n"/>
      <c r="G858" s="4561" t="n"/>
      <c r="H858" s="4561" t="n"/>
      <c r="I858" s="4562">
        <f>XLOOKUP(B858,'_Sys|Line_Map'!$A:$A,'_Sys|Line_Map'!$C:$C,"MISSING",0)</f>
        <v/>
      </c>
      <c r="J858" s="4562">
        <f>XLOOKUP(B858,'_Sys|Line_Map'!$A:$A,'_Sys|Line_Map'!$D:$D,1,0)</f>
        <v/>
      </c>
      <c r="K858" s="4562">
        <f>IF(D858="","",D858*J858)</f>
        <v/>
      </c>
      <c r="L858" s="4562">
        <f>XLOOKUP(B858,'_Sys|Line_Map'!$A:$A,'_Sys|Line_Map'!$B:$B,"MISSING",0)</f>
        <v/>
      </c>
    </row>
    <row r="859">
      <c r="A859" s="4561" t="n"/>
      <c r="B859" s="4561" t="n"/>
      <c r="C859" s="4561" t="n"/>
      <c r="D859" s="4561" t="n"/>
      <c r="E859" s="4561" t="n"/>
      <c r="F859" s="4561" t="n"/>
      <c r="G859" s="4561" t="n"/>
      <c r="H859" s="4561" t="n"/>
      <c r="I859" s="4562">
        <f>XLOOKUP(B859,'_Sys|Line_Map'!$A:$A,'_Sys|Line_Map'!$C:$C,"MISSING",0)</f>
        <v/>
      </c>
      <c r="J859" s="4562">
        <f>XLOOKUP(B859,'_Sys|Line_Map'!$A:$A,'_Sys|Line_Map'!$D:$D,1,0)</f>
        <v/>
      </c>
      <c r="K859" s="4562">
        <f>IF(D859="","",D859*J859)</f>
        <v/>
      </c>
      <c r="L859" s="4562">
        <f>XLOOKUP(B859,'_Sys|Line_Map'!$A:$A,'_Sys|Line_Map'!$B:$B,"MISSING",0)</f>
        <v/>
      </c>
    </row>
    <row r="860">
      <c r="A860" s="4561" t="n"/>
      <c r="B860" s="4561" t="n"/>
      <c r="C860" s="4561" t="n"/>
      <c r="D860" s="4561" t="n"/>
      <c r="E860" s="4561" t="n"/>
      <c r="F860" s="4561" t="n"/>
      <c r="G860" s="4561" t="n"/>
      <c r="H860" s="4561" t="n"/>
      <c r="I860" s="4562">
        <f>XLOOKUP(B860,'_Sys|Line_Map'!$A:$A,'_Sys|Line_Map'!$C:$C,"MISSING",0)</f>
        <v/>
      </c>
      <c r="J860" s="4562">
        <f>XLOOKUP(B860,'_Sys|Line_Map'!$A:$A,'_Sys|Line_Map'!$D:$D,1,0)</f>
        <v/>
      </c>
      <c r="K860" s="4562">
        <f>IF(D860="","",D860*J860)</f>
        <v/>
      </c>
      <c r="L860" s="4562">
        <f>XLOOKUP(B860,'_Sys|Line_Map'!$A:$A,'_Sys|Line_Map'!$B:$B,"MISSING",0)</f>
        <v/>
      </c>
    </row>
    <row r="861">
      <c r="A861" s="4561" t="n"/>
      <c r="B861" s="4561" t="n"/>
      <c r="C861" s="4561" t="n"/>
      <c r="D861" s="4561" t="n"/>
      <c r="E861" s="4561" t="n"/>
      <c r="F861" s="4561" t="n"/>
      <c r="G861" s="4561" t="n"/>
      <c r="H861" s="4561" t="n"/>
      <c r="I861" s="4562">
        <f>XLOOKUP(B861,'_Sys|Line_Map'!$A:$A,'_Sys|Line_Map'!$C:$C,"MISSING",0)</f>
        <v/>
      </c>
      <c r="J861" s="4562">
        <f>XLOOKUP(B861,'_Sys|Line_Map'!$A:$A,'_Sys|Line_Map'!$D:$D,1,0)</f>
        <v/>
      </c>
      <c r="K861" s="4562">
        <f>IF(D861="","",D861*J861)</f>
        <v/>
      </c>
      <c r="L861" s="4562">
        <f>XLOOKUP(B861,'_Sys|Line_Map'!$A:$A,'_Sys|Line_Map'!$B:$B,"MISSING",0)</f>
        <v/>
      </c>
    </row>
    <row r="862">
      <c r="A862" s="4561" t="n"/>
      <c r="B862" s="4561" t="n"/>
      <c r="C862" s="4561" t="n"/>
      <c r="D862" s="4561" t="n"/>
      <c r="E862" s="4561" t="n"/>
      <c r="F862" s="4561" t="n"/>
      <c r="G862" s="4561" t="n"/>
      <c r="H862" s="4561" t="n"/>
      <c r="I862" s="4562">
        <f>XLOOKUP(B862,'_Sys|Line_Map'!$A:$A,'_Sys|Line_Map'!$C:$C,"MISSING",0)</f>
        <v/>
      </c>
      <c r="J862" s="4562">
        <f>XLOOKUP(B862,'_Sys|Line_Map'!$A:$A,'_Sys|Line_Map'!$D:$D,1,0)</f>
        <v/>
      </c>
      <c r="K862" s="4562">
        <f>IF(D862="","",D862*J862)</f>
        <v/>
      </c>
      <c r="L862" s="4562">
        <f>XLOOKUP(B862,'_Sys|Line_Map'!$A:$A,'_Sys|Line_Map'!$B:$B,"MISSING",0)</f>
        <v/>
      </c>
    </row>
    <row r="863">
      <c r="A863" s="4561" t="n"/>
      <c r="B863" s="4561" t="n"/>
      <c r="C863" s="4561" t="n"/>
      <c r="D863" s="4561" t="n"/>
      <c r="E863" s="4561" t="n"/>
      <c r="F863" s="4561" t="n"/>
      <c r="G863" s="4561" t="n"/>
      <c r="H863" s="4561" t="n"/>
      <c r="I863" s="4562">
        <f>XLOOKUP(B863,'_Sys|Line_Map'!$A:$A,'_Sys|Line_Map'!$C:$C,"MISSING",0)</f>
        <v/>
      </c>
      <c r="J863" s="4562">
        <f>XLOOKUP(B863,'_Sys|Line_Map'!$A:$A,'_Sys|Line_Map'!$D:$D,1,0)</f>
        <v/>
      </c>
      <c r="K863" s="4562">
        <f>IF(D863="","",D863*J863)</f>
        <v/>
      </c>
      <c r="L863" s="4562">
        <f>XLOOKUP(B863,'_Sys|Line_Map'!$A:$A,'_Sys|Line_Map'!$B:$B,"MISSING",0)</f>
        <v/>
      </c>
    </row>
    <row r="864">
      <c r="A864" s="4561" t="n"/>
      <c r="B864" s="4561" t="n"/>
      <c r="C864" s="4561" t="n"/>
      <c r="D864" s="4561" t="n"/>
      <c r="E864" s="4561" t="n"/>
      <c r="F864" s="4561" t="n"/>
      <c r="G864" s="4561" t="n"/>
      <c r="H864" s="4561" t="n"/>
      <c r="I864" s="4562">
        <f>XLOOKUP(B864,'_Sys|Line_Map'!$A:$A,'_Sys|Line_Map'!$C:$C,"MISSING",0)</f>
        <v/>
      </c>
      <c r="J864" s="4562">
        <f>XLOOKUP(B864,'_Sys|Line_Map'!$A:$A,'_Sys|Line_Map'!$D:$D,1,0)</f>
        <v/>
      </c>
      <c r="K864" s="4562">
        <f>IF(D864="","",D864*J864)</f>
        <v/>
      </c>
      <c r="L864" s="4562">
        <f>XLOOKUP(B864,'_Sys|Line_Map'!$A:$A,'_Sys|Line_Map'!$B:$B,"MISSING",0)</f>
        <v/>
      </c>
    </row>
    <row r="865">
      <c r="A865" s="4561" t="n"/>
      <c r="B865" s="4561" t="n"/>
      <c r="C865" s="4561" t="n"/>
      <c r="D865" s="4561" t="n"/>
      <c r="E865" s="4561" t="n"/>
      <c r="F865" s="4561" t="n"/>
      <c r="G865" s="4561" t="n"/>
      <c r="H865" s="4561" t="n"/>
      <c r="I865" s="4562">
        <f>XLOOKUP(B865,'_Sys|Line_Map'!$A:$A,'_Sys|Line_Map'!$C:$C,"MISSING",0)</f>
        <v/>
      </c>
      <c r="J865" s="4562">
        <f>XLOOKUP(B865,'_Sys|Line_Map'!$A:$A,'_Sys|Line_Map'!$D:$D,1,0)</f>
        <v/>
      </c>
      <c r="K865" s="4562">
        <f>IF(D865="","",D865*J865)</f>
        <v/>
      </c>
      <c r="L865" s="4562">
        <f>XLOOKUP(B865,'_Sys|Line_Map'!$A:$A,'_Sys|Line_Map'!$B:$B,"MISSING",0)</f>
        <v/>
      </c>
    </row>
    <row r="866">
      <c r="A866" s="4561" t="n"/>
      <c r="B866" s="4561" t="n"/>
      <c r="C866" s="4561" t="n"/>
      <c r="D866" s="4561" t="n"/>
      <c r="E866" s="4561" t="n"/>
      <c r="F866" s="4561" t="n"/>
      <c r="G866" s="4561" t="n"/>
      <c r="H866" s="4561" t="n"/>
      <c r="I866" s="4562">
        <f>XLOOKUP(B866,'_Sys|Line_Map'!$A:$A,'_Sys|Line_Map'!$C:$C,"MISSING",0)</f>
        <v/>
      </c>
      <c r="J866" s="4562">
        <f>XLOOKUP(B866,'_Sys|Line_Map'!$A:$A,'_Sys|Line_Map'!$D:$D,1,0)</f>
        <v/>
      </c>
      <c r="K866" s="4562">
        <f>IF(D866="","",D866*J866)</f>
        <v/>
      </c>
      <c r="L866" s="4562">
        <f>XLOOKUP(B866,'_Sys|Line_Map'!$A:$A,'_Sys|Line_Map'!$B:$B,"MISSING",0)</f>
        <v/>
      </c>
    </row>
    <row r="867">
      <c r="A867" s="4561" t="n"/>
      <c r="B867" s="4561" t="n"/>
      <c r="C867" s="4561" t="n"/>
      <c r="D867" s="4561" t="n"/>
      <c r="E867" s="4561" t="n"/>
      <c r="F867" s="4561" t="n"/>
      <c r="G867" s="4561" t="n"/>
      <c r="H867" s="4561" t="n"/>
      <c r="I867" s="4562">
        <f>XLOOKUP(B867,'_Sys|Line_Map'!$A:$A,'_Sys|Line_Map'!$C:$C,"MISSING",0)</f>
        <v/>
      </c>
      <c r="J867" s="4562">
        <f>XLOOKUP(B867,'_Sys|Line_Map'!$A:$A,'_Sys|Line_Map'!$D:$D,1,0)</f>
        <v/>
      </c>
      <c r="K867" s="4562">
        <f>IF(D867="","",D867*J867)</f>
        <v/>
      </c>
      <c r="L867" s="4562">
        <f>XLOOKUP(B867,'_Sys|Line_Map'!$A:$A,'_Sys|Line_Map'!$B:$B,"MISSING",0)</f>
        <v/>
      </c>
    </row>
    <row r="868">
      <c r="A868" s="4561" t="n"/>
      <c r="B868" s="4561" t="n"/>
      <c r="C868" s="4561" t="n"/>
      <c r="D868" s="4561" t="n"/>
      <c r="E868" s="4561" t="n"/>
      <c r="F868" s="4561" t="n"/>
      <c r="G868" s="4561" t="n"/>
      <c r="H868" s="4561" t="n"/>
      <c r="I868" s="4562">
        <f>XLOOKUP(B868,'_Sys|Line_Map'!$A:$A,'_Sys|Line_Map'!$C:$C,"MISSING",0)</f>
        <v/>
      </c>
      <c r="J868" s="4562">
        <f>XLOOKUP(B868,'_Sys|Line_Map'!$A:$A,'_Sys|Line_Map'!$D:$D,1,0)</f>
        <v/>
      </c>
      <c r="K868" s="4562">
        <f>IF(D868="","",D868*J868)</f>
        <v/>
      </c>
      <c r="L868" s="4562">
        <f>XLOOKUP(B868,'_Sys|Line_Map'!$A:$A,'_Sys|Line_Map'!$B:$B,"MISSING",0)</f>
        <v/>
      </c>
    </row>
    <row r="869">
      <c r="A869" s="4561" t="n"/>
      <c r="B869" s="4561" t="n"/>
      <c r="C869" s="4561" t="n"/>
      <c r="D869" s="4561" t="n"/>
      <c r="E869" s="4561" t="n"/>
      <c r="F869" s="4561" t="n"/>
      <c r="G869" s="4561" t="n"/>
      <c r="H869" s="4561" t="n"/>
      <c r="I869" s="4562">
        <f>XLOOKUP(B869,'_Sys|Line_Map'!$A:$A,'_Sys|Line_Map'!$C:$C,"MISSING",0)</f>
        <v/>
      </c>
      <c r="J869" s="4562">
        <f>XLOOKUP(B869,'_Sys|Line_Map'!$A:$A,'_Sys|Line_Map'!$D:$D,1,0)</f>
        <v/>
      </c>
      <c r="K869" s="4562">
        <f>IF(D869="","",D869*J869)</f>
        <v/>
      </c>
      <c r="L869" s="4562">
        <f>XLOOKUP(B869,'_Sys|Line_Map'!$A:$A,'_Sys|Line_Map'!$B:$B,"MISSING",0)</f>
        <v/>
      </c>
    </row>
    <row r="870">
      <c r="A870" s="4561" t="n"/>
      <c r="B870" s="4561" t="n"/>
      <c r="C870" s="4561" t="n"/>
      <c r="D870" s="4561" t="n"/>
      <c r="E870" s="4561" t="n"/>
      <c r="F870" s="4561" t="n"/>
      <c r="G870" s="4561" t="n"/>
      <c r="H870" s="4561" t="n"/>
      <c r="I870" s="4562">
        <f>XLOOKUP(B870,'_Sys|Line_Map'!$A:$A,'_Sys|Line_Map'!$C:$C,"MISSING",0)</f>
        <v/>
      </c>
      <c r="J870" s="4562">
        <f>XLOOKUP(B870,'_Sys|Line_Map'!$A:$A,'_Sys|Line_Map'!$D:$D,1,0)</f>
        <v/>
      </c>
      <c r="K870" s="4562">
        <f>IF(D870="","",D870*J870)</f>
        <v/>
      </c>
      <c r="L870" s="4562">
        <f>XLOOKUP(B870,'_Sys|Line_Map'!$A:$A,'_Sys|Line_Map'!$B:$B,"MISSING",0)</f>
        <v/>
      </c>
    </row>
    <row r="871">
      <c r="A871" s="4561" t="n"/>
      <c r="B871" s="4561" t="n"/>
      <c r="C871" s="4561" t="n"/>
      <c r="D871" s="4561" t="n"/>
      <c r="E871" s="4561" t="n"/>
      <c r="F871" s="4561" t="n"/>
      <c r="G871" s="4561" t="n"/>
      <c r="H871" s="4561" t="n"/>
      <c r="I871" s="4562">
        <f>XLOOKUP(B871,'_Sys|Line_Map'!$A:$A,'_Sys|Line_Map'!$C:$C,"MISSING",0)</f>
        <v/>
      </c>
      <c r="J871" s="4562">
        <f>XLOOKUP(B871,'_Sys|Line_Map'!$A:$A,'_Sys|Line_Map'!$D:$D,1,0)</f>
        <v/>
      </c>
      <c r="K871" s="4562">
        <f>IF(D871="","",D871*J871)</f>
        <v/>
      </c>
      <c r="L871" s="4562">
        <f>XLOOKUP(B871,'_Sys|Line_Map'!$A:$A,'_Sys|Line_Map'!$B:$B,"MISSING",0)</f>
        <v/>
      </c>
    </row>
    <row r="872">
      <c r="A872" s="4561" t="n"/>
      <c r="B872" s="4561" t="n"/>
      <c r="C872" s="4561" t="n"/>
      <c r="D872" s="4561" t="n"/>
      <c r="E872" s="4561" t="n"/>
      <c r="F872" s="4561" t="n"/>
      <c r="G872" s="4561" t="n"/>
      <c r="H872" s="4561" t="n"/>
      <c r="I872" s="4562">
        <f>XLOOKUP(B872,'_Sys|Line_Map'!$A:$A,'_Sys|Line_Map'!$C:$C,"MISSING",0)</f>
        <v/>
      </c>
      <c r="J872" s="4562">
        <f>XLOOKUP(B872,'_Sys|Line_Map'!$A:$A,'_Sys|Line_Map'!$D:$D,1,0)</f>
        <v/>
      </c>
      <c r="K872" s="4562">
        <f>IF(D872="","",D872*J872)</f>
        <v/>
      </c>
      <c r="L872" s="4562">
        <f>XLOOKUP(B872,'_Sys|Line_Map'!$A:$A,'_Sys|Line_Map'!$B:$B,"MISSING",0)</f>
        <v/>
      </c>
    </row>
    <row r="873">
      <c r="A873" s="4561" t="n"/>
      <c r="B873" s="4561" t="n"/>
      <c r="C873" s="4561" t="n"/>
      <c r="D873" s="4561" t="n"/>
      <c r="E873" s="4561" t="n"/>
      <c r="F873" s="4561" t="n"/>
      <c r="G873" s="4561" t="n"/>
      <c r="H873" s="4561" t="n"/>
      <c r="I873" s="4562">
        <f>XLOOKUP(B873,'_Sys|Line_Map'!$A:$A,'_Sys|Line_Map'!$C:$C,"MISSING",0)</f>
        <v/>
      </c>
      <c r="J873" s="4562">
        <f>XLOOKUP(B873,'_Sys|Line_Map'!$A:$A,'_Sys|Line_Map'!$D:$D,1,0)</f>
        <v/>
      </c>
      <c r="K873" s="4562">
        <f>IF(D873="","",D873*J873)</f>
        <v/>
      </c>
      <c r="L873" s="4562">
        <f>XLOOKUP(B873,'_Sys|Line_Map'!$A:$A,'_Sys|Line_Map'!$B:$B,"MISSING",0)</f>
        <v/>
      </c>
    </row>
    <row r="874">
      <c r="A874" s="4561" t="n"/>
      <c r="B874" s="4561" t="n"/>
      <c r="C874" s="4561" t="n"/>
      <c r="D874" s="4561" t="n"/>
      <c r="E874" s="4561" t="n"/>
      <c r="F874" s="4561" t="n"/>
      <c r="G874" s="4561" t="n"/>
      <c r="H874" s="4561" t="n"/>
      <c r="I874" s="4562">
        <f>XLOOKUP(B874,'_Sys|Line_Map'!$A:$A,'_Sys|Line_Map'!$C:$C,"MISSING",0)</f>
        <v/>
      </c>
      <c r="J874" s="4562">
        <f>XLOOKUP(B874,'_Sys|Line_Map'!$A:$A,'_Sys|Line_Map'!$D:$D,1,0)</f>
        <v/>
      </c>
      <c r="K874" s="4562">
        <f>IF(D874="","",D874*J874)</f>
        <v/>
      </c>
      <c r="L874" s="4562">
        <f>XLOOKUP(B874,'_Sys|Line_Map'!$A:$A,'_Sys|Line_Map'!$B:$B,"MISSING",0)</f>
        <v/>
      </c>
    </row>
    <row r="875">
      <c r="A875" s="4561" t="n"/>
      <c r="B875" s="4561" t="n"/>
      <c r="C875" s="4561" t="n"/>
      <c r="D875" s="4561" t="n"/>
      <c r="E875" s="4561" t="n"/>
      <c r="F875" s="4561" t="n"/>
      <c r="G875" s="4561" t="n"/>
      <c r="H875" s="4561" t="n"/>
      <c r="I875" s="4562">
        <f>XLOOKUP(B875,'_Sys|Line_Map'!$A:$A,'_Sys|Line_Map'!$C:$C,"MISSING",0)</f>
        <v/>
      </c>
      <c r="J875" s="4562">
        <f>XLOOKUP(B875,'_Sys|Line_Map'!$A:$A,'_Sys|Line_Map'!$D:$D,1,0)</f>
        <v/>
      </c>
      <c r="K875" s="4562">
        <f>IF(D875="","",D875*J875)</f>
        <v/>
      </c>
      <c r="L875" s="4562">
        <f>XLOOKUP(B875,'_Sys|Line_Map'!$A:$A,'_Sys|Line_Map'!$B:$B,"MISSING",0)</f>
        <v/>
      </c>
    </row>
    <row r="876">
      <c r="A876" s="4561" t="n"/>
      <c r="B876" s="4561" t="n"/>
      <c r="C876" s="4561" t="n"/>
      <c r="D876" s="4561" t="n"/>
      <c r="E876" s="4561" t="n"/>
      <c r="F876" s="4561" t="n"/>
      <c r="G876" s="4561" t="n"/>
      <c r="H876" s="4561" t="n"/>
      <c r="I876" s="4562">
        <f>XLOOKUP(B876,'_Sys|Line_Map'!$A:$A,'_Sys|Line_Map'!$C:$C,"MISSING",0)</f>
        <v/>
      </c>
      <c r="J876" s="4562">
        <f>XLOOKUP(B876,'_Sys|Line_Map'!$A:$A,'_Sys|Line_Map'!$D:$D,1,0)</f>
        <v/>
      </c>
      <c r="K876" s="4562">
        <f>IF(D876="","",D876*J876)</f>
        <v/>
      </c>
      <c r="L876" s="4562">
        <f>XLOOKUP(B876,'_Sys|Line_Map'!$A:$A,'_Sys|Line_Map'!$B:$B,"MISSING",0)</f>
        <v/>
      </c>
    </row>
    <row r="877">
      <c r="A877" s="4561" t="n"/>
      <c r="B877" s="4561" t="n"/>
      <c r="C877" s="4561" t="n"/>
      <c r="D877" s="4561" t="n"/>
      <c r="E877" s="4561" t="n"/>
      <c r="F877" s="4561" t="n"/>
      <c r="G877" s="4561" t="n"/>
      <c r="H877" s="4561" t="n"/>
      <c r="I877" s="4562">
        <f>XLOOKUP(B877,'_Sys|Line_Map'!$A:$A,'_Sys|Line_Map'!$C:$C,"MISSING",0)</f>
        <v/>
      </c>
      <c r="J877" s="4562">
        <f>XLOOKUP(B877,'_Sys|Line_Map'!$A:$A,'_Sys|Line_Map'!$D:$D,1,0)</f>
        <v/>
      </c>
      <c r="K877" s="4562">
        <f>IF(D877="","",D877*J877)</f>
        <v/>
      </c>
      <c r="L877" s="4562">
        <f>XLOOKUP(B877,'_Sys|Line_Map'!$A:$A,'_Sys|Line_Map'!$B:$B,"MISSING",0)</f>
        <v/>
      </c>
    </row>
    <row r="878">
      <c r="A878" s="4561" t="n"/>
      <c r="B878" s="4561" t="n"/>
      <c r="C878" s="4561" t="n"/>
      <c r="D878" s="4561" t="n"/>
      <c r="E878" s="4561" t="n"/>
      <c r="F878" s="4561" t="n"/>
      <c r="G878" s="4561" t="n"/>
      <c r="H878" s="4561" t="n"/>
      <c r="I878" s="4562">
        <f>XLOOKUP(B878,'_Sys|Line_Map'!$A:$A,'_Sys|Line_Map'!$C:$C,"MISSING",0)</f>
        <v/>
      </c>
      <c r="J878" s="4562">
        <f>XLOOKUP(B878,'_Sys|Line_Map'!$A:$A,'_Sys|Line_Map'!$D:$D,1,0)</f>
        <v/>
      </c>
      <c r="K878" s="4562">
        <f>IF(D878="","",D878*J878)</f>
        <v/>
      </c>
      <c r="L878" s="4562">
        <f>XLOOKUP(B878,'_Sys|Line_Map'!$A:$A,'_Sys|Line_Map'!$B:$B,"MISSING",0)</f>
        <v/>
      </c>
    </row>
    <row r="879">
      <c r="A879" s="4561" t="n"/>
      <c r="B879" s="4561" t="n"/>
      <c r="C879" s="4561" t="n"/>
      <c r="D879" s="4561" t="n"/>
      <c r="E879" s="4561" t="n"/>
      <c r="F879" s="4561" t="n"/>
      <c r="G879" s="4561" t="n"/>
      <c r="H879" s="4561" t="n"/>
      <c r="I879" s="4562">
        <f>XLOOKUP(B879,'_Sys|Line_Map'!$A:$A,'_Sys|Line_Map'!$C:$C,"MISSING",0)</f>
        <v/>
      </c>
      <c r="J879" s="4562">
        <f>XLOOKUP(B879,'_Sys|Line_Map'!$A:$A,'_Sys|Line_Map'!$D:$D,1,0)</f>
        <v/>
      </c>
      <c r="K879" s="4562">
        <f>IF(D879="","",D879*J879)</f>
        <v/>
      </c>
      <c r="L879" s="4562">
        <f>XLOOKUP(B879,'_Sys|Line_Map'!$A:$A,'_Sys|Line_Map'!$B:$B,"MISSING",0)</f>
        <v/>
      </c>
    </row>
    <row r="880">
      <c r="A880" s="4561" t="n"/>
      <c r="B880" s="4561" t="n"/>
      <c r="C880" s="4561" t="n"/>
      <c r="D880" s="4561" t="n"/>
      <c r="E880" s="4561" t="n"/>
      <c r="F880" s="4561" t="n"/>
      <c r="G880" s="4561" t="n"/>
      <c r="H880" s="4561" t="n"/>
      <c r="I880" s="4562">
        <f>XLOOKUP(B880,'_Sys|Line_Map'!$A:$A,'_Sys|Line_Map'!$C:$C,"MISSING",0)</f>
        <v/>
      </c>
      <c r="J880" s="4562">
        <f>XLOOKUP(B880,'_Sys|Line_Map'!$A:$A,'_Sys|Line_Map'!$D:$D,1,0)</f>
        <v/>
      </c>
      <c r="K880" s="4562">
        <f>IF(D880="","",D880*J880)</f>
        <v/>
      </c>
      <c r="L880" s="4562">
        <f>XLOOKUP(B880,'_Sys|Line_Map'!$A:$A,'_Sys|Line_Map'!$B:$B,"MISSING",0)</f>
        <v/>
      </c>
    </row>
    <row r="881">
      <c r="A881" s="4561" t="n"/>
      <c r="B881" s="4561" t="n"/>
      <c r="C881" s="4561" t="n"/>
      <c r="D881" s="4561" t="n"/>
      <c r="E881" s="4561" t="n"/>
      <c r="F881" s="4561" t="n"/>
      <c r="G881" s="4561" t="n"/>
      <c r="H881" s="4561" t="n"/>
      <c r="I881" s="4562">
        <f>XLOOKUP(B881,'_Sys|Line_Map'!$A:$A,'_Sys|Line_Map'!$C:$C,"MISSING",0)</f>
        <v/>
      </c>
      <c r="J881" s="4562">
        <f>XLOOKUP(B881,'_Sys|Line_Map'!$A:$A,'_Sys|Line_Map'!$D:$D,1,0)</f>
        <v/>
      </c>
      <c r="K881" s="4562">
        <f>IF(D881="","",D881*J881)</f>
        <v/>
      </c>
      <c r="L881" s="4562">
        <f>XLOOKUP(B881,'_Sys|Line_Map'!$A:$A,'_Sys|Line_Map'!$B:$B,"MISSING",0)</f>
        <v/>
      </c>
    </row>
    <row r="882">
      <c r="A882" s="4561" t="n"/>
      <c r="B882" s="4561" t="n"/>
      <c r="C882" s="4561" t="n"/>
      <c r="D882" s="4561" t="n"/>
      <c r="E882" s="4561" t="n"/>
      <c r="F882" s="4561" t="n"/>
      <c r="G882" s="4561" t="n"/>
      <c r="H882" s="4561" t="n"/>
      <c r="I882" s="4562">
        <f>XLOOKUP(B882,'_Sys|Line_Map'!$A:$A,'_Sys|Line_Map'!$C:$C,"MISSING",0)</f>
        <v/>
      </c>
      <c r="J882" s="4562">
        <f>XLOOKUP(B882,'_Sys|Line_Map'!$A:$A,'_Sys|Line_Map'!$D:$D,1,0)</f>
        <v/>
      </c>
      <c r="K882" s="4562">
        <f>IF(D882="","",D882*J882)</f>
        <v/>
      </c>
      <c r="L882" s="4562">
        <f>XLOOKUP(B882,'_Sys|Line_Map'!$A:$A,'_Sys|Line_Map'!$B:$B,"MISSING",0)</f>
        <v/>
      </c>
    </row>
    <row r="883">
      <c r="A883" s="4561" t="n"/>
      <c r="B883" s="4561" t="n"/>
      <c r="C883" s="4561" t="n"/>
      <c r="D883" s="4561" t="n"/>
      <c r="E883" s="4561" t="n"/>
      <c r="F883" s="4561" t="n"/>
      <c r="G883" s="4561" t="n"/>
      <c r="H883" s="4561" t="n"/>
      <c r="I883" s="4562">
        <f>XLOOKUP(B883,'_Sys|Line_Map'!$A:$A,'_Sys|Line_Map'!$C:$C,"MISSING",0)</f>
        <v/>
      </c>
      <c r="J883" s="4562">
        <f>XLOOKUP(B883,'_Sys|Line_Map'!$A:$A,'_Sys|Line_Map'!$D:$D,1,0)</f>
        <v/>
      </c>
      <c r="K883" s="4562">
        <f>IF(D883="","",D883*J883)</f>
        <v/>
      </c>
      <c r="L883" s="4562">
        <f>XLOOKUP(B883,'_Sys|Line_Map'!$A:$A,'_Sys|Line_Map'!$B:$B,"MISSING",0)</f>
        <v/>
      </c>
    </row>
    <row r="884">
      <c r="A884" s="4561" t="n"/>
      <c r="B884" s="4561" t="n"/>
      <c r="C884" s="4561" t="n"/>
      <c r="D884" s="4561" t="n"/>
      <c r="E884" s="4561" t="n"/>
      <c r="F884" s="4561" t="n"/>
      <c r="G884" s="4561" t="n"/>
      <c r="H884" s="4561" t="n"/>
      <c r="I884" s="4562">
        <f>XLOOKUP(B884,'_Sys|Line_Map'!$A:$A,'_Sys|Line_Map'!$C:$C,"MISSING",0)</f>
        <v/>
      </c>
      <c r="J884" s="4562">
        <f>XLOOKUP(B884,'_Sys|Line_Map'!$A:$A,'_Sys|Line_Map'!$D:$D,1,0)</f>
        <v/>
      </c>
      <c r="K884" s="4562">
        <f>IF(D884="","",D884*J884)</f>
        <v/>
      </c>
      <c r="L884" s="4562">
        <f>XLOOKUP(B884,'_Sys|Line_Map'!$A:$A,'_Sys|Line_Map'!$B:$B,"MISSING",0)</f>
        <v/>
      </c>
    </row>
    <row r="885">
      <c r="A885" s="4561" t="n"/>
      <c r="B885" s="4561" t="n"/>
      <c r="C885" s="4561" t="n"/>
      <c r="D885" s="4561" t="n"/>
      <c r="E885" s="4561" t="n"/>
      <c r="F885" s="4561" t="n"/>
      <c r="G885" s="4561" t="n"/>
      <c r="H885" s="4561" t="n"/>
      <c r="I885" s="4562">
        <f>XLOOKUP(B885,'_Sys|Line_Map'!$A:$A,'_Sys|Line_Map'!$C:$C,"MISSING",0)</f>
        <v/>
      </c>
      <c r="J885" s="4562">
        <f>XLOOKUP(B885,'_Sys|Line_Map'!$A:$A,'_Sys|Line_Map'!$D:$D,1,0)</f>
        <v/>
      </c>
      <c r="K885" s="4562">
        <f>IF(D885="","",D885*J885)</f>
        <v/>
      </c>
      <c r="L885" s="4562">
        <f>XLOOKUP(B885,'_Sys|Line_Map'!$A:$A,'_Sys|Line_Map'!$B:$B,"MISSING",0)</f>
        <v/>
      </c>
    </row>
    <row r="886">
      <c r="A886" s="4561" t="n"/>
      <c r="B886" s="4561" t="n"/>
      <c r="C886" s="4561" t="n"/>
      <c r="D886" s="4561" t="n"/>
      <c r="E886" s="4561" t="n"/>
      <c r="F886" s="4561" t="n"/>
      <c r="G886" s="4561" t="n"/>
      <c r="H886" s="4561" t="n"/>
      <c r="I886" s="4562">
        <f>XLOOKUP(B886,'_Sys|Line_Map'!$A:$A,'_Sys|Line_Map'!$C:$C,"MISSING",0)</f>
        <v/>
      </c>
      <c r="J886" s="4562">
        <f>XLOOKUP(B886,'_Sys|Line_Map'!$A:$A,'_Sys|Line_Map'!$D:$D,1,0)</f>
        <v/>
      </c>
      <c r="K886" s="4562">
        <f>IF(D886="","",D886*J886)</f>
        <v/>
      </c>
      <c r="L886" s="4562">
        <f>XLOOKUP(B886,'_Sys|Line_Map'!$A:$A,'_Sys|Line_Map'!$B:$B,"MISSING",0)</f>
        <v/>
      </c>
    </row>
    <row r="887">
      <c r="A887" s="4561" t="n"/>
      <c r="B887" s="4561" t="n"/>
      <c r="C887" s="4561" t="n"/>
      <c r="D887" s="4561" t="n"/>
      <c r="E887" s="4561" t="n"/>
      <c r="F887" s="4561" t="n"/>
      <c r="G887" s="4561" t="n"/>
      <c r="H887" s="4561" t="n"/>
      <c r="I887" s="4562">
        <f>XLOOKUP(B887,'_Sys|Line_Map'!$A:$A,'_Sys|Line_Map'!$C:$C,"MISSING",0)</f>
        <v/>
      </c>
      <c r="J887" s="4562">
        <f>XLOOKUP(B887,'_Sys|Line_Map'!$A:$A,'_Sys|Line_Map'!$D:$D,1,0)</f>
        <v/>
      </c>
      <c r="K887" s="4562">
        <f>IF(D887="","",D887*J887)</f>
        <v/>
      </c>
      <c r="L887" s="4562">
        <f>XLOOKUP(B887,'_Sys|Line_Map'!$A:$A,'_Sys|Line_Map'!$B:$B,"MISSING",0)</f>
        <v/>
      </c>
    </row>
    <row r="888">
      <c r="A888" s="4561" t="n"/>
      <c r="B888" s="4561" t="n"/>
      <c r="C888" s="4561" t="n"/>
      <c r="D888" s="4561" t="n"/>
      <c r="E888" s="4561" t="n"/>
      <c r="F888" s="4561" t="n"/>
      <c r="G888" s="4561" t="n"/>
      <c r="H888" s="4561" t="n"/>
      <c r="I888" s="4562">
        <f>XLOOKUP(B888,'_Sys|Line_Map'!$A:$A,'_Sys|Line_Map'!$C:$C,"MISSING",0)</f>
        <v/>
      </c>
      <c r="J888" s="4562">
        <f>XLOOKUP(B888,'_Sys|Line_Map'!$A:$A,'_Sys|Line_Map'!$D:$D,1,0)</f>
        <v/>
      </c>
      <c r="K888" s="4562">
        <f>IF(D888="","",D888*J888)</f>
        <v/>
      </c>
      <c r="L888" s="4562">
        <f>XLOOKUP(B888,'_Sys|Line_Map'!$A:$A,'_Sys|Line_Map'!$B:$B,"MISSING",0)</f>
        <v/>
      </c>
    </row>
    <row r="889">
      <c r="A889" s="4561" t="n"/>
      <c r="B889" s="4561" t="n"/>
      <c r="C889" s="4561" t="n"/>
      <c r="D889" s="4561" t="n"/>
      <c r="E889" s="4561" t="n"/>
      <c r="F889" s="4561" t="n"/>
      <c r="G889" s="4561" t="n"/>
      <c r="H889" s="4561" t="n"/>
      <c r="I889" s="4562">
        <f>XLOOKUP(B889,'_Sys|Line_Map'!$A:$A,'_Sys|Line_Map'!$C:$C,"MISSING",0)</f>
        <v/>
      </c>
      <c r="J889" s="4562">
        <f>XLOOKUP(B889,'_Sys|Line_Map'!$A:$A,'_Sys|Line_Map'!$D:$D,1,0)</f>
        <v/>
      </c>
      <c r="K889" s="4562">
        <f>IF(D889="","",D889*J889)</f>
        <v/>
      </c>
      <c r="L889" s="4562">
        <f>XLOOKUP(B889,'_Sys|Line_Map'!$A:$A,'_Sys|Line_Map'!$B:$B,"MISSING",0)</f>
        <v/>
      </c>
    </row>
    <row r="890">
      <c r="A890" s="4561" t="n"/>
      <c r="B890" s="4561" t="n"/>
      <c r="C890" s="4561" t="n"/>
      <c r="D890" s="4561" t="n"/>
      <c r="E890" s="4561" t="n"/>
      <c r="F890" s="4561" t="n"/>
      <c r="G890" s="4561" t="n"/>
      <c r="H890" s="4561" t="n"/>
      <c r="I890" s="4562">
        <f>XLOOKUP(B890,'_Sys|Line_Map'!$A:$A,'_Sys|Line_Map'!$C:$C,"MISSING",0)</f>
        <v/>
      </c>
      <c r="J890" s="4562">
        <f>XLOOKUP(B890,'_Sys|Line_Map'!$A:$A,'_Sys|Line_Map'!$D:$D,1,0)</f>
        <v/>
      </c>
      <c r="K890" s="4562">
        <f>IF(D890="","",D890*J890)</f>
        <v/>
      </c>
      <c r="L890" s="4562">
        <f>XLOOKUP(B890,'_Sys|Line_Map'!$A:$A,'_Sys|Line_Map'!$B:$B,"MISSING",0)</f>
        <v/>
      </c>
    </row>
    <row r="891">
      <c r="A891" s="4561" t="n"/>
      <c r="B891" s="4561" t="n"/>
      <c r="C891" s="4561" t="n"/>
      <c r="D891" s="4561" t="n"/>
      <c r="E891" s="4561" t="n"/>
      <c r="F891" s="4561" t="n"/>
      <c r="G891" s="4561" t="n"/>
      <c r="H891" s="4561" t="n"/>
      <c r="I891" s="4562">
        <f>XLOOKUP(B891,'_Sys|Line_Map'!$A:$A,'_Sys|Line_Map'!$C:$C,"MISSING",0)</f>
        <v/>
      </c>
      <c r="J891" s="4562">
        <f>XLOOKUP(B891,'_Sys|Line_Map'!$A:$A,'_Sys|Line_Map'!$D:$D,1,0)</f>
        <v/>
      </c>
      <c r="K891" s="4562">
        <f>IF(D891="","",D891*J891)</f>
        <v/>
      </c>
      <c r="L891" s="4562">
        <f>XLOOKUP(B891,'_Sys|Line_Map'!$A:$A,'_Sys|Line_Map'!$B:$B,"MISSING",0)</f>
        <v/>
      </c>
    </row>
    <row r="892">
      <c r="A892" s="4561" t="n"/>
      <c r="B892" s="4561" t="n"/>
      <c r="C892" s="4561" t="n"/>
      <c r="D892" s="4561" t="n"/>
      <c r="E892" s="4561" t="n"/>
      <c r="F892" s="4561" t="n"/>
      <c r="G892" s="4561" t="n"/>
      <c r="H892" s="4561" t="n"/>
      <c r="I892" s="4562">
        <f>XLOOKUP(B892,'_Sys|Line_Map'!$A:$A,'_Sys|Line_Map'!$C:$C,"MISSING",0)</f>
        <v/>
      </c>
      <c r="J892" s="4562">
        <f>XLOOKUP(B892,'_Sys|Line_Map'!$A:$A,'_Sys|Line_Map'!$D:$D,1,0)</f>
        <v/>
      </c>
      <c r="K892" s="4562">
        <f>IF(D892="","",D892*J892)</f>
        <v/>
      </c>
      <c r="L892" s="4562">
        <f>XLOOKUP(B892,'_Sys|Line_Map'!$A:$A,'_Sys|Line_Map'!$B:$B,"MISSING",0)</f>
        <v/>
      </c>
    </row>
    <row r="893">
      <c r="A893" s="4561" t="n"/>
      <c r="B893" s="4561" t="n"/>
      <c r="C893" s="4561" t="n"/>
      <c r="D893" s="4561" t="n"/>
      <c r="E893" s="4561" t="n"/>
      <c r="F893" s="4561" t="n"/>
      <c r="G893" s="4561" t="n"/>
      <c r="H893" s="4561" t="n"/>
      <c r="I893" s="4562">
        <f>XLOOKUP(B893,'_Sys|Line_Map'!$A:$A,'_Sys|Line_Map'!$C:$C,"MISSING",0)</f>
        <v/>
      </c>
      <c r="J893" s="4562">
        <f>XLOOKUP(B893,'_Sys|Line_Map'!$A:$A,'_Sys|Line_Map'!$D:$D,1,0)</f>
        <v/>
      </c>
      <c r="K893" s="4562">
        <f>IF(D893="","",D893*J893)</f>
        <v/>
      </c>
      <c r="L893" s="4562">
        <f>XLOOKUP(B893,'_Sys|Line_Map'!$A:$A,'_Sys|Line_Map'!$B:$B,"MISSING",0)</f>
        <v/>
      </c>
    </row>
    <row r="894">
      <c r="A894" s="4561" t="n"/>
      <c r="B894" s="4561" t="n"/>
      <c r="C894" s="4561" t="n"/>
      <c r="D894" s="4561" t="n"/>
      <c r="E894" s="4561" t="n"/>
      <c r="F894" s="4561" t="n"/>
      <c r="G894" s="4561" t="n"/>
      <c r="H894" s="4561" t="n"/>
      <c r="I894" s="4562">
        <f>XLOOKUP(B894,'_Sys|Line_Map'!$A:$A,'_Sys|Line_Map'!$C:$C,"MISSING",0)</f>
        <v/>
      </c>
      <c r="J894" s="4562">
        <f>XLOOKUP(B894,'_Sys|Line_Map'!$A:$A,'_Sys|Line_Map'!$D:$D,1,0)</f>
        <v/>
      </c>
      <c r="K894" s="4562">
        <f>IF(D894="","",D894*J894)</f>
        <v/>
      </c>
      <c r="L894" s="4562">
        <f>XLOOKUP(B894,'_Sys|Line_Map'!$A:$A,'_Sys|Line_Map'!$B:$B,"MISSING",0)</f>
        <v/>
      </c>
    </row>
    <row r="895">
      <c r="A895" s="4561" t="n"/>
      <c r="B895" s="4561" t="n"/>
      <c r="C895" s="4561" t="n"/>
      <c r="D895" s="4561" t="n"/>
      <c r="E895" s="4561" t="n"/>
      <c r="F895" s="4561" t="n"/>
      <c r="G895" s="4561" t="n"/>
      <c r="H895" s="4561" t="n"/>
      <c r="I895" s="4562">
        <f>XLOOKUP(B895,'_Sys|Line_Map'!$A:$A,'_Sys|Line_Map'!$C:$C,"MISSING",0)</f>
        <v/>
      </c>
      <c r="J895" s="4562">
        <f>XLOOKUP(B895,'_Sys|Line_Map'!$A:$A,'_Sys|Line_Map'!$D:$D,1,0)</f>
        <v/>
      </c>
      <c r="K895" s="4562">
        <f>IF(D895="","",D895*J895)</f>
        <v/>
      </c>
      <c r="L895" s="4562">
        <f>XLOOKUP(B895,'_Sys|Line_Map'!$A:$A,'_Sys|Line_Map'!$B:$B,"MISSING",0)</f>
        <v/>
      </c>
    </row>
    <row r="896">
      <c r="A896" s="4561" t="n"/>
      <c r="B896" s="4561" t="n"/>
      <c r="C896" s="4561" t="n"/>
      <c r="D896" s="4561" t="n"/>
      <c r="E896" s="4561" t="n"/>
      <c r="F896" s="4561" t="n"/>
      <c r="G896" s="4561" t="n"/>
      <c r="H896" s="4561" t="n"/>
      <c r="I896" s="4562">
        <f>XLOOKUP(B896,'_Sys|Line_Map'!$A:$A,'_Sys|Line_Map'!$C:$C,"MISSING",0)</f>
        <v/>
      </c>
      <c r="J896" s="4562">
        <f>XLOOKUP(B896,'_Sys|Line_Map'!$A:$A,'_Sys|Line_Map'!$D:$D,1,0)</f>
        <v/>
      </c>
      <c r="K896" s="4562">
        <f>IF(D896="","",D896*J896)</f>
        <v/>
      </c>
      <c r="L896" s="4562">
        <f>XLOOKUP(B896,'_Sys|Line_Map'!$A:$A,'_Sys|Line_Map'!$B:$B,"MISSING",0)</f>
        <v/>
      </c>
    </row>
    <row r="897">
      <c r="A897" s="4561" t="n"/>
      <c r="B897" s="4561" t="n"/>
      <c r="C897" s="4561" t="n"/>
      <c r="D897" s="4561" t="n"/>
      <c r="E897" s="4561" t="n"/>
      <c r="F897" s="4561" t="n"/>
      <c r="G897" s="4561" t="n"/>
      <c r="H897" s="4561" t="n"/>
      <c r="I897" s="4562">
        <f>XLOOKUP(B897,'_Sys|Line_Map'!$A:$A,'_Sys|Line_Map'!$C:$C,"MISSING",0)</f>
        <v/>
      </c>
      <c r="J897" s="4562">
        <f>XLOOKUP(B897,'_Sys|Line_Map'!$A:$A,'_Sys|Line_Map'!$D:$D,1,0)</f>
        <v/>
      </c>
      <c r="K897" s="4562">
        <f>IF(D897="","",D897*J897)</f>
        <v/>
      </c>
      <c r="L897" s="4562">
        <f>XLOOKUP(B897,'_Sys|Line_Map'!$A:$A,'_Sys|Line_Map'!$B:$B,"MISSING",0)</f>
        <v/>
      </c>
    </row>
    <row r="898">
      <c r="A898" s="4561" t="n"/>
      <c r="B898" s="4561" t="n"/>
      <c r="C898" s="4561" t="n"/>
      <c r="D898" s="4561" t="n"/>
      <c r="E898" s="4561" t="n"/>
      <c r="F898" s="4561" t="n"/>
      <c r="G898" s="4561" t="n"/>
      <c r="H898" s="4561" t="n"/>
      <c r="I898" s="4562">
        <f>XLOOKUP(B898,'_Sys|Line_Map'!$A:$A,'_Sys|Line_Map'!$C:$C,"MISSING",0)</f>
        <v/>
      </c>
      <c r="J898" s="4562">
        <f>XLOOKUP(B898,'_Sys|Line_Map'!$A:$A,'_Sys|Line_Map'!$D:$D,1,0)</f>
        <v/>
      </c>
      <c r="K898" s="4562">
        <f>IF(D898="","",D898*J898)</f>
        <v/>
      </c>
      <c r="L898" s="4562">
        <f>XLOOKUP(B898,'_Sys|Line_Map'!$A:$A,'_Sys|Line_Map'!$B:$B,"MISSING",0)</f>
        <v/>
      </c>
    </row>
    <row r="899">
      <c r="A899" s="4561" t="n"/>
      <c r="B899" s="4561" t="n"/>
      <c r="C899" s="4561" t="n"/>
      <c r="D899" s="4561" t="n"/>
      <c r="E899" s="4561" t="n"/>
      <c r="F899" s="4561" t="n"/>
      <c r="G899" s="4561" t="n"/>
      <c r="H899" s="4561" t="n"/>
      <c r="I899" s="4562">
        <f>XLOOKUP(B899,'_Sys|Line_Map'!$A:$A,'_Sys|Line_Map'!$C:$C,"MISSING",0)</f>
        <v/>
      </c>
      <c r="J899" s="4562">
        <f>XLOOKUP(B899,'_Sys|Line_Map'!$A:$A,'_Sys|Line_Map'!$D:$D,1,0)</f>
        <v/>
      </c>
      <c r="K899" s="4562">
        <f>IF(D899="","",D899*J899)</f>
        <v/>
      </c>
      <c r="L899" s="4562">
        <f>XLOOKUP(B899,'_Sys|Line_Map'!$A:$A,'_Sys|Line_Map'!$B:$B,"MISSING",0)</f>
        <v/>
      </c>
    </row>
    <row r="900">
      <c r="A900" s="4561" t="n"/>
      <c r="B900" s="4561" t="n"/>
      <c r="C900" s="4561" t="n"/>
      <c r="D900" s="4561" t="n"/>
      <c r="E900" s="4561" t="n"/>
      <c r="F900" s="4561" t="n"/>
      <c r="G900" s="4561" t="n"/>
      <c r="H900" s="4561" t="n"/>
      <c r="I900" s="4562">
        <f>XLOOKUP(B900,'_Sys|Line_Map'!$A:$A,'_Sys|Line_Map'!$C:$C,"MISSING",0)</f>
        <v/>
      </c>
      <c r="J900" s="4562">
        <f>XLOOKUP(B900,'_Sys|Line_Map'!$A:$A,'_Sys|Line_Map'!$D:$D,1,0)</f>
        <v/>
      </c>
      <c r="K900" s="4562">
        <f>IF(D900="","",D900*J900)</f>
        <v/>
      </c>
      <c r="L900" s="4562">
        <f>XLOOKUP(B900,'_Sys|Line_Map'!$A:$A,'_Sys|Line_Map'!$B:$B,"MISSING",0)</f>
        <v/>
      </c>
    </row>
    <row r="901">
      <c r="A901" s="4561" t="n"/>
      <c r="B901" s="4561" t="n"/>
      <c r="C901" s="4561" t="n"/>
      <c r="D901" s="4561" t="n"/>
      <c r="E901" s="4561" t="n"/>
      <c r="F901" s="4561" t="n"/>
      <c r="G901" s="4561" t="n"/>
      <c r="H901" s="4561" t="n"/>
      <c r="I901" s="4562">
        <f>XLOOKUP(B901,'_Sys|Line_Map'!$A:$A,'_Sys|Line_Map'!$C:$C,"MISSING",0)</f>
        <v/>
      </c>
      <c r="J901" s="4562">
        <f>XLOOKUP(B901,'_Sys|Line_Map'!$A:$A,'_Sys|Line_Map'!$D:$D,1,0)</f>
        <v/>
      </c>
      <c r="K901" s="4562">
        <f>IF(D901="","",D901*J901)</f>
        <v/>
      </c>
      <c r="L901" s="4562">
        <f>XLOOKUP(B901,'_Sys|Line_Map'!$A:$A,'_Sys|Line_Map'!$B:$B,"MISSING",0)</f>
        <v/>
      </c>
    </row>
    <row r="902">
      <c r="A902" s="4561" t="n"/>
      <c r="B902" s="4561" t="n"/>
      <c r="C902" s="4561" t="n"/>
      <c r="D902" s="4561" t="n"/>
      <c r="E902" s="4561" t="n"/>
      <c r="F902" s="4561" t="n"/>
      <c r="G902" s="4561" t="n"/>
      <c r="H902" s="4561" t="n"/>
      <c r="I902" s="4562">
        <f>XLOOKUP(B902,'_Sys|Line_Map'!$A:$A,'_Sys|Line_Map'!$C:$C,"MISSING",0)</f>
        <v/>
      </c>
      <c r="J902" s="4562">
        <f>XLOOKUP(B902,'_Sys|Line_Map'!$A:$A,'_Sys|Line_Map'!$D:$D,1,0)</f>
        <v/>
      </c>
      <c r="K902" s="4562">
        <f>IF(D902="","",D902*J902)</f>
        <v/>
      </c>
      <c r="L902" s="4562">
        <f>XLOOKUP(B902,'_Sys|Line_Map'!$A:$A,'_Sys|Line_Map'!$B:$B,"MISSING",0)</f>
        <v/>
      </c>
    </row>
    <row r="903">
      <c r="A903" s="4561" t="n"/>
      <c r="B903" s="4561" t="n"/>
      <c r="C903" s="4561" t="n"/>
      <c r="D903" s="4561" t="n"/>
      <c r="E903" s="4561" t="n"/>
      <c r="F903" s="4561" t="n"/>
      <c r="G903" s="4561" t="n"/>
      <c r="H903" s="4561" t="n"/>
      <c r="I903" s="4562">
        <f>XLOOKUP(B903,'_Sys|Line_Map'!$A:$A,'_Sys|Line_Map'!$C:$C,"MISSING",0)</f>
        <v/>
      </c>
      <c r="J903" s="4562">
        <f>XLOOKUP(B903,'_Sys|Line_Map'!$A:$A,'_Sys|Line_Map'!$D:$D,1,0)</f>
        <v/>
      </c>
      <c r="K903" s="4562">
        <f>IF(D903="","",D903*J903)</f>
        <v/>
      </c>
      <c r="L903" s="4562">
        <f>XLOOKUP(B903,'_Sys|Line_Map'!$A:$A,'_Sys|Line_Map'!$B:$B,"MISSING",0)</f>
        <v/>
      </c>
    </row>
    <row r="904">
      <c r="A904" s="4561" t="n"/>
      <c r="B904" s="4561" t="n"/>
      <c r="C904" s="4561" t="n"/>
      <c r="D904" s="4561" t="n"/>
      <c r="E904" s="4561" t="n"/>
      <c r="F904" s="4561" t="n"/>
      <c r="G904" s="4561" t="n"/>
      <c r="H904" s="4561" t="n"/>
      <c r="I904" s="4562">
        <f>XLOOKUP(B904,'_Sys|Line_Map'!$A:$A,'_Sys|Line_Map'!$C:$C,"MISSING",0)</f>
        <v/>
      </c>
      <c r="J904" s="4562">
        <f>XLOOKUP(B904,'_Sys|Line_Map'!$A:$A,'_Sys|Line_Map'!$D:$D,1,0)</f>
        <v/>
      </c>
      <c r="K904" s="4562">
        <f>IF(D904="","",D904*J904)</f>
        <v/>
      </c>
      <c r="L904" s="4562">
        <f>XLOOKUP(B904,'_Sys|Line_Map'!$A:$A,'_Sys|Line_Map'!$B:$B,"MISSING",0)</f>
        <v/>
      </c>
    </row>
    <row r="905">
      <c r="A905" s="4561" t="n"/>
      <c r="B905" s="4561" t="n"/>
      <c r="C905" s="4561" t="n"/>
      <c r="D905" s="4561" t="n"/>
      <c r="E905" s="4561" t="n"/>
      <c r="F905" s="4561" t="n"/>
      <c r="G905" s="4561" t="n"/>
      <c r="H905" s="4561" t="n"/>
      <c r="I905" s="4562">
        <f>XLOOKUP(B905,'_Sys|Line_Map'!$A:$A,'_Sys|Line_Map'!$C:$C,"MISSING",0)</f>
        <v/>
      </c>
      <c r="J905" s="4562">
        <f>XLOOKUP(B905,'_Sys|Line_Map'!$A:$A,'_Sys|Line_Map'!$D:$D,1,0)</f>
        <v/>
      </c>
      <c r="K905" s="4562">
        <f>IF(D905="","",D905*J905)</f>
        <v/>
      </c>
      <c r="L905" s="4562">
        <f>XLOOKUP(B905,'_Sys|Line_Map'!$A:$A,'_Sys|Line_Map'!$B:$B,"MISSING",0)</f>
        <v/>
      </c>
    </row>
    <row r="906">
      <c r="A906" s="4561" t="n"/>
      <c r="B906" s="4561" t="n"/>
      <c r="C906" s="4561" t="n"/>
      <c r="D906" s="4561" t="n"/>
      <c r="E906" s="4561" t="n"/>
      <c r="F906" s="4561" t="n"/>
      <c r="G906" s="4561" t="n"/>
      <c r="H906" s="4561" t="n"/>
      <c r="I906" s="4562">
        <f>XLOOKUP(B906,'_Sys|Line_Map'!$A:$A,'_Sys|Line_Map'!$C:$C,"MISSING",0)</f>
        <v/>
      </c>
      <c r="J906" s="4562">
        <f>XLOOKUP(B906,'_Sys|Line_Map'!$A:$A,'_Sys|Line_Map'!$D:$D,1,0)</f>
        <v/>
      </c>
      <c r="K906" s="4562">
        <f>IF(D906="","",D906*J906)</f>
        <v/>
      </c>
      <c r="L906" s="4562">
        <f>XLOOKUP(B906,'_Sys|Line_Map'!$A:$A,'_Sys|Line_Map'!$B:$B,"MISSING",0)</f>
        <v/>
      </c>
    </row>
    <row r="907">
      <c r="A907" s="4561" t="n"/>
      <c r="B907" s="4561" t="n"/>
      <c r="C907" s="4561" t="n"/>
      <c r="D907" s="4561" t="n"/>
      <c r="E907" s="4561" t="n"/>
      <c r="F907" s="4561" t="n"/>
      <c r="G907" s="4561" t="n"/>
      <c r="H907" s="4561" t="n"/>
      <c r="I907" s="4562">
        <f>XLOOKUP(B907,'_Sys|Line_Map'!$A:$A,'_Sys|Line_Map'!$C:$C,"MISSING",0)</f>
        <v/>
      </c>
      <c r="J907" s="4562">
        <f>XLOOKUP(B907,'_Sys|Line_Map'!$A:$A,'_Sys|Line_Map'!$D:$D,1,0)</f>
        <v/>
      </c>
      <c r="K907" s="4562">
        <f>IF(D907="","",D907*J907)</f>
        <v/>
      </c>
      <c r="L907" s="4562">
        <f>XLOOKUP(B907,'_Sys|Line_Map'!$A:$A,'_Sys|Line_Map'!$B:$B,"MISSING",0)</f>
        <v/>
      </c>
    </row>
    <row r="908">
      <c r="A908" s="4561" t="n"/>
      <c r="B908" s="4561" t="n"/>
      <c r="C908" s="4561" t="n"/>
      <c r="D908" s="4561" t="n"/>
      <c r="E908" s="4561" t="n"/>
      <c r="F908" s="4561" t="n"/>
      <c r="G908" s="4561" t="n"/>
      <c r="H908" s="4561" t="n"/>
      <c r="I908" s="4562">
        <f>XLOOKUP(B908,'_Sys|Line_Map'!$A:$A,'_Sys|Line_Map'!$C:$C,"MISSING",0)</f>
        <v/>
      </c>
      <c r="J908" s="4562">
        <f>XLOOKUP(B908,'_Sys|Line_Map'!$A:$A,'_Sys|Line_Map'!$D:$D,1,0)</f>
        <v/>
      </c>
      <c r="K908" s="4562">
        <f>IF(D908="","",D908*J908)</f>
        <v/>
      </c>
      <c r="L908" s="4562">
        <f>XLOOKUP(B908,'_Sys|Line_Map'!$A:$A,'_Sys|Line_Map'!$B:$B,"MISSING",0)</f>
        <v/>
      </c>
    </row>
    <row r="909">
      <c r="A909" s="4561" t="n"/>
      <c r="B909" s="4561" t="n"/>
      <c r="C909" s="4561" t="n"/>
      <c r="D909" s="4561" t="n"/>
      <c r="E909" s="4561" t="n"/>
      <c r="F909" s="4561" t="n"/>
      <c r="G909" s="4561" t="n"/>
      <c r="H909" s="4561" t="n"/>
      <c r="I909" s="4562">
        <f>XLOOKUP(B909,'_Sys|Line_Map'!$A:$A,'_Sys|Line_Map'!$C:$C,"MISSING",0)</f>
        <v/>
      </c>
      <c r="J909" s="4562">
        <f>XLOOKUP(B909,'_Sys|Line_Map'!$A:$A,'_Sys|Line_Map'!$D:$D,1,0)</f>
        <v/>
      </c>
      <c r="K909" s="4562">
        <f>IF(D909="","",D909*J909)</f>
        <v/>
      </c>
      <c r="L909" s="4562">
        <f>XLOOKUP(B909,'_Sys|Line_Map'!$A:$A,'_Sys|Line_Map'!$B:$B,"MISSING",0)</f>
        <v/>
      </c>
    </row>
    <row r="910">
      <c r="A910" s="4561" t="n"/>
      <c r="B910" s="4561" t="n"/>
      <c r="C910" s="4561" t="n"/>
      <c r="D910" s="4561" t="n"/>
      <c r="E910" s="4561" t="n"/>
      <c r="F910" s="4561" t="n"/>
      <c r="G910" s="4561" t="n"/>
      <c r="H910" s="4561" t="n"/>
      <c r="I910" s="4562">
        <f>XLOOKUP(B910,'_Sys|Line_Map'!$A:$A,'_Sys|Line_Map'!$C:$C,"MISSING",0)</f>
        <v/>
      </c>
      <c r="J910" s="4562">
        <f>XLOOKUP(B910,'_Sys|Line_Map'!$A:$A,'_Sys|Line_Map'!$D:$D,1,0)</f>
        <v/>
      </c>
      <c r="K910" s="4562">
        <f>IF(D910="","",D910*J910)</f>
        <v/>
      </c>
      <c r="L910" s="4562">
        <f>XLOOKUP(B910,'_Sys|Line_Map'!$A:$A,'_Sys|Line_Map'!$B:$B,"MISSING",0)</f>
        <v/>
      </c>
    </row>
    <row r="911">
      <c r="A911" s="4561" t="n"/>
      <c r="B911" s="4561" t="n"/>
      <c r="C911" s="4561" t="n"/>
      <c r="D911" s="4561" t="n"/>
      <c r="E911" s="4561" t="n"/>
      <c r="F911" s="4561" t="n"/>
      <c r="G911" s="4561" t="n"/>
      <c r="H911" s="4561" t="n"/>
      <c r="I911" s="4562">
        <f>XLOOKUP(B911,'_Sys|Line_Map'!$A:$A,'_Sys|Line_Map'!$C:$C,"MISSING",0)</f>
        <v/>
      </c>
      <c r="J911" s="4562">
        <f>XLOOKUP(B911,'_Sys|Line_Map'!$A:$A,'_Sys|Line_Map'!$D:$D,1,0)</f>
        <v/>
      </c>
      <c r="K911" s="4562">
        <f>IF(D911="","",D911*J911)</f>
        <v/>
      </c>
      <c r="L911" s="4562">
        <f>XLOOKUP(B911,'_Sys|Line_Map'!$A:$A,'_Sys|Line_Map'!$B:$B,"MISSING",0)</f>
        <v/>
      </c>
    </row>
    <row r="912">
      <c r="A912" s="4561" t="n"/>
      <c r="B912" s="4561" t="n"/>
      <c r="C912" s="4561" t="n"/>
      <c r="D912" s="4561" t="n"/>
      <c r="E912" s="4561" t="n"/>
      <c r="F912" s="4561" t="n"/>
      <c r="G912" s="4561" t="n"/>
      <c r="H912" s="4561" t="n"/>
      <c r="I912" s="4562">
        <f>XLOOKUP(B912,'_Sys|Line_Map'!$A:$A,'_Sys|Line_Map'!$C:$C,"MISSING",0)</f>
        <v/>
      </c>
      <c r="J912" s="4562">
        <f>XLOOKUP(B912,'_Sys|Line_Map'!$A:$A,'_Sys|Line_Map'!$D:$D,1,0)</f>
        <v/>
      </c>
      <c r="K912" s="4562">
        <f>IF(D912="","",D912*J912)</f>
        <v/>
      </c>
      <c r="L912" s="4562">
        <f>XLOOKUP(B912,'_Sys|Line_Map'!$A:$A,'_Sys|Line_Map'!$B:$B,"MISSING",0)</f>
        <v/>
      </c>
    </row>
    <row r="913">
      <c r="A913" s="4561" t="n"/>
      <c r="B913" s="4561" t="n"/>
      <c r="C913" s="4561" t="n"/>
      <c r="D913" s="4561" t="n"/>
      <c r="E913" s="4561" t="n"/>
      <c r="F913" s="4561" t="n"/>
      <c r="G913" s="4561" t="n"/>
      <c r="H913" s="4561" t="n"/>
      <c r="I913" s="4562">
        <f>XLOOKUP(B913,'_Sys|Line_Map'!$A:$A,'_Sys|Line_Map'!$C:$C,"MISSING",0)</f>
        <v/>
      </c>
      <c r="J913" s="4562">
        <f>XLOOKUP(B913,'_Sys|Line_Map'!$A:$A,'_Sys|Line_Map'!$D:$D,1,0)</f>
        <v/>
      </c>
      <c r="K913" s="4562">
        <f>IF(D913="","",D913*J913)</f>
        <v/>
      </c>
      <c r="L913" s="4562">
        <f>XLOOKUP(B913,'_Sys|Line_Map'!$A:$A,'_Sys|Line_Map'!$B:$B,"MISSING",0)</f>
        <v/>
      </c>
    </row>
    <row r="914">
      <c r="A914" s="4561" t="n"/>
      <c r="B914" s="4561" t="n"/>
      <c r="C914" s="4561" t="n"/>
      <c r="D914" s="4561" t="n"/>
      <c r="E914" s="4561" t="n"/>
      <c r="F914" s="4561" t="n"/>
      <c r="G914" s="4561" t="n"/>
      <c r="H914" s="4561" t="n"/>
      <c r="I914" s="4562">
        <f>XLOOKUP(B914,'_Sys|Line_Map'!$A:$A,'_Sys|Line_Map'!$C:$C,"MISSING",0)</f>
        <v/>
      </c>
      <c r="J914" s="4562">
        <f>XLOOKUP(B914,'_Sys|Line_Map'!$A:$A,'_Sys|Line_Map'!$D:$D,1,0)</f>
        <v/>
      </c>
      <c r="K914" s="4562">
        <f>IF(D914="","",D914*J914)</f>
        <v/>
      </c>
      <c r="L914" s="4562">
        <f>XLOOKUP(B914,'_Sys|Line_Map'!$A:$A,'_Sys|Line_Map'!$B:$B,"MISSING",0)</f>
        <v/>
      </c>
    </row>
    <row r="915">
      <c r="A915" s="4561" t="n"/>
      <c r="B915" s="4561" t="n"/>
      <c r="C915" s="4561" t="n"/>
      <c r="D915" s="4561" t="n"/>
      <c r="E915" s="4561" t="n"/>
      <c r="F915" s="4561" t="n"/>
      <c r="G915" s="4561" t="n"/>
      <c r="H915" s="4561" t="n"/>
      <c r="I915" s="4562">
        <f>XLOOKUP(B915,'_Sys|Line_Map'!$A:$A,'_Sys|Line_Map'!$C:$C,"MISSING",0)</f>
        <v/>
      </c>
      <c r="J915" s="4562">
        <f>XLOOKUP(B915,'_Sys|Line_Map'!$A:$A,'_Sys|Line_Map'!$D:$D,1,0)</f>
        <v/>
      </c>
      <c r="K915" s="4562">
        <f>IF(D915="","",D915*J915)</f>
        <v/>
      </c>
      <c r="L915" s="4562">
        <f>XLOOKUP(B915,'_Sys|Line_Map'!$A:$A,'_Sys|Line_Map'!$B:$B,"MISSING",0)</f>
        <v/>
      </c>
    </row>
    <row r="916">
      <c r="A916" s="4561" t="n"/>
      <c r="B916" s="4561" t="n"/>
      <c r="C916" s="4561" t="n"/>
      <c r="D916" s="4561" t="n"/>
      <c r="E916" s="4561" t="n"/>
      <c r="F916" s="4561" t="n"/>
      <c r="G916" s="4561" t="n"/>
      <c r="H916" s="4561" t="n"/>
      <c r="I916" s="4562">
        <f>XLOOKUP(B916,'_Sys|Line_Map'!$A:$A,'_Sys|Line_Map'!$C:$C,"MISSING",0)</f>
        <v/>
      </c>
      <c r="J916" s="4562">
        <f>XLOOKUP(B916,'_Sys|Line_Map'!$A:$A,'_Sys|Line_Map'!$D:$D,1,0)</f>
        <v/>
      </c>
      <c r="K916" s="4562">
        <f>IF(D916="","",D916*J916)</f>
        <v/>
      </c>
      <c r="L916" s="4562">
        <f>XLOOKUP(B916,'_Sys|Line_Map'!$A:$A,'_Sys|Line_Map'!$B:$B,"MISSING",0)</f>
        <v/>
      </c>
    </row>
    <row r="917">
      <c r="A917" s="4561" t="n"/>
      <c r="B917" s="4561" t="n"/>
      <c r="C917" s="4561" t="n"/>
      <c r="D917" s="4561" t="n"/>
      <c r="E917" s="4561" t="n"/>
      <c r="F917" s="4561" t="n"/>
      <c r="G917" s="4561" t="n"/>
      <c r="H917" s="4561" t="n"/>
      <c r="I917" s="4562">
        <f>XLOOKUP(B917,'_Sys|Line_Map'!$A:$A,'_Sys|Line_Map'!$C:$C,"MISSING",0)</f>
        <v/>
      </c>
      <c r="J917" s="4562">
        <f>XLOOKUP(B917,'_Sys|Line_Map'!$A:$A,'_Sys|Line_Map'!$D:$D,1,0)</f>
        <v/>
      </c>
      <c r="K917" s="4562">
        <f>IF(D917="","",D917*J917)</f>
        <v/>
      </c>
      <c r="L917" s="4562">
        <f>XLOOKUP(B917,'_Sys|Line_Map'!$A:$A,'_Sys|Line_Map'!$B:$B,"MISSING",0)</f>
        <v/>
      </c>
    </row>
    <row r="918">
      <c r="A918" s="4561" t="n"/>
      <c r="B918" s="4561" t="n"/>
      <c r="C918" s="4561" t="n"/>
      <c r="D918" s="4561" t="n"/>
      <c r="E918" s="4561" t="n"/>
      <c r="F918" s="4561" t="n"/>
      <c r="G918" s="4561" t="n"/>
      <c r="H918" s="4561" t="n"/>
      <c r="I918" s="4562">
        <f>XLOOKUP(B918,'_Sys|Line_Map'!$A:$A,'_Sys|Line_Map'!$C:$C,"MISSING",0)</f>
        <v/>
      </c>
      <c r="J918" s="4562">
        <f>XLOOKUP(B918,'_Sys|Line_Map'!$A:$A,'_Sys|Line_Map'!$D:$D,1,0)</f>
        <v/>
      </c>
      <c r="K918" s="4562">
        <f>IF(D918="","",D918*J918)</f>
        <v/>
      </c>
      <c r="L918" s="4562">
        <f>XLOOKUP(B918,'_Sys|Line_Map'!$A:$A,'_Sys|Line_Map'!$B:$B,"MISSING",0)</f>
        <v/>
      </c>
    </row>
    <row r="919">
      <c r="A919" s="4561" t="n"/>
      <c r="B919" s="4561" t="n"/>
      <c r="C919" s="4561" t="n"/>
      <c r="D919" s="4561" t="n"/>
      <c r="E919" s="4561" t="n"/>
      <c r="F919" s="4561" t="n"/>
      <c r="G919" s="4561" t="n"/>
      <c r="H919" s="4561" t="n"/>
      <c r="I919" s="4562">
        <f>XLOOKUP(B919,'_Sys|Line_Map'!$A:$A,'_Sys|Line_Map'!$C:$C,"MISSING",0)</f>
        <v/>
      </c>
      <c r="J919" s="4562">
        <f>XLOOKUP(B919,'_Sys|Line_Map'!$A:$A,'_Sys|Line_Map'!$D:$D,1,0)</f>
        <v/>
      </c>
      <c r="K919" s="4562">
        <f>IF(D919="","",D919*J919)</f>
        <v/>
      </c>
      <c r="L919" s="4562">
        <f>XLOOKUP(B919,'_Sys|Line_Map'!$A:$A,'_Sys|Line_Map'!$B:$B,"MISSING",0)</f>
        <v/>
      </c>
    </row>
    <row r="920">
      <c r="A920" s="4561" t="n"/>
      <c r="B920" s="4561" t="n"/>
      <c r="C920" s="4561" t="n"/>
      <c r="D920" s="4561" t="n"/>
      <c r="E920" s="4561" t="n"/>
      <c r="F920" s="4561" t="n"/>
      <c r="G920" s="4561" t="n"/>
      <c r="H920" s="4561" t="n"/>
      <c r="I920" s="4562">
        <f>XLOOKUP(B920,'_Sys|Line_Map'!$A:$A,'_Sys|Line_Map'!$C:$C,"MISSING",0)</f>
        <v/>
      </c>
      <c r="J920" s="4562">
        <f>XLOOKUP(B920,'_Sys|Line_Map'!$A:$A,'_Sys|Line_Map'!$D:$D,1,0)</f>
        <v/>
      </c>
      <c r="K920" s="4562">
        <f>IF(D920="","",D920*J920)</f>
        <v/>
      </c>
      <c r="L920" s="4562">
        <f>XLOOKUP(B920,'_Sys|Line_Map'!$A:$A,'_Sys|Line_Map'!$B:$B,"MISSING",0)</f>
        <v/>
      </c>
    </row>
    <row r="921">
      <c r="A921" s="4561" t="n"/>
      <c r="B921" s="4561" t="n"/>
      <c r="C921" s="4561" t="n"/>
      <c r="D921" s="4561" t="n"/>
      <c r="E921" s="4561" t="n"/>
      <c r="F921" s="4561" t="n"/>
      <c r="G921" s="4561" t="n"/>
      <c r="H921" s="4561" t="n"/>
      <c r="I921" s="4562">
        <f>XLOOKUP(B921,'_Sys|Line_Map'!$A:$A,'_Sys|Line_Map'!$C:$C,"MISSING",0)</f>
        <v/>
      </c>
      <c r="J921" s="4562">
        <f>XLOOKUP(B921,'_Sys|Line_Map'!$A:$A,'_Sys|Line_Map'!$D:$D,1,0)</f>
        <v/>
      </c>
      <c r="K921" s="4562">
        <f>IF(D921="","",D921*J921)</f>
        <v/>
      </c>
      <c r="L921" s="4562">
        <f>XLOOKUP(B921,'_Sys|Line_Map'!$A:$A,'_Sys|Line_Map'!$B:$B,"MISSING",0)</f>
        <v/>
      </c>
    </row>
    <row r="922">
      <c r="A922" s="4561" t="n"/>
      <c r="B922" s="4561" t="n"/>
      <c r="C922" s="4561" t="n"/>
      <c r="D922" s="4561" t="n"/>
      <c r="E922" s="4561" t="n"/>
      <c r="F922" s="4561" t="n"/>
      <c r="G922" s="4561" t="n"/>
      <c r="H922" s="4561" t="n"/>
      <c r="I922" s="4562">
        <f>XLOOKUP(B922,'_Sys|Line_Map'!$A:$A,'_Sys|Line_Map'!$C:$C,"MISSING",0)</f>
        <v/>
      </c>
      <c r="J922" s="4562">
        <f>XLOOKUP(B922,'_Sys|Line_Map'!$A:$A,'_Sys|Line_Map'!$D:$D,1,0)</f>
        <v/>
      </c>
      <c r="K922" s="4562">
        <f>IF(D922="","",D922*J922)</f>
        <v/>
      </c>
      <c r="L922" s="4562">
        <f>XLOOKUP(B922,'_Sys|Line_Map'!$A:$A,'_Sys|Line_Map'!$B:$B,"MISSING",0)</f>
        <v/>
      </c>
    </row>
    <row r="923">
      <c r="A923" s="4561" t="n"/>
      <c r="B923" s="4561" t="n"/>
      <c r="C923" s="4561" t="n"/>
      <c r="D923" s="4561" t="n"/>
      <c r="E923" s="4561" t="n"/>
      <c r="F923" s="4561" t="n"/>
      <c r="G923" s="4561" t="n"/>
      <c r="H923" s="4561" t="n"/>
      <c r="I923" s="4562">
        <f>XLOOKUP(B923,'_Sys|Line_Map'!$A:$A,'_Sys|Line_Map'!$C:$C,"MISSING",0)</f>
        <v/>
      </c>
      <c r="J923" s="4562">
        <f>XLOOKUP(B923,'_Sys|Line_Map'!$A:$A,'_Sys|Line_Map'!$D:$D,1,0)</f>
        <v/>
      </c>
      <c r="K923" s="4562">
        <f>IF(D923="","",D923*J923)</f>
        <v/>
      </c>
      <c r="L923" s="4562">
        <f>XLOOKUP(B923,'_Sys|Line_Map'!$A:$A,'_Sys|Line_Map'!$B:$B,"MISSING",0)</f>
        <v/>
      </c>
    </row>
    <row r="924">
      <c r="A924" s="4561" t="n"/>
      <c r="B924" s="4561" t="n"/>
      <c r="C924" s="4561" t="n"/>
      <c r="D924" s="4561" t="n"/>
      <c r="E924" s="4561" t="n"/>
      <c r="F924" s="4561" t="n"/>
      <c r="G924" s="4561" t="n"/>
      <c r="H924" s="4561" t="n"/>
      <c r="I924" s="4562">
        <f>XLOOKUP(B924,'_Sys|Line_Map'!$A:$A,'_Sys|Line_Map'!$C:$C,"MISSING",0)</f>
        <v/>
      </c>
      <c r="J924" s="4562">
        <f>XLOOKUP(B924,'_Sys|Line_Map'!$A:$A,'_Sys|Line_Map'!$D:$D,1,0)</f>
        <v/>
      </c>
      <c r="K924" s="4562">
        <f>IF(D924="","",D924*J924)</f>
        <v/>
      </c>
      <c r="L924" s="4562">
        <f>XLOOKUP(B924,'_Sys|Line_Map'!$A:$A,'_Sys|Line_Map'!$B:$B,"MISSING",0)</f>
        <v/>
      </c>
    </row>
    <row r="925">
      <c r="A925" s="4561" t="n"/>
      <c r="B925" s="4561" t="n"/>
      <c r="C925" s="4561" t="n"/>
      <c r="D925" s="4561" t="n"/>
      <c r="E925" s="4561" t="n"/>
      <c r="F925" s="4561" t="n"/>
      <c r="G925" s="4561" t="n"/>
      <c r="H925" s="4561" t="n"/>
      <c r="I925" s="4562">
        <f>XLOOKUP(B925,'_Sys|Line_Map'!$A:$A,'_Sys|Line_Map'!$C:$C,"MISSING",0)</f>
        <v/>
      </c>
      <c r="J925" s="4562">
        <f>XLOOKUP(B925,'_Sys|Line_Map'!$A:$A,'_Sys|Line_Map'!$D:$D,1,0)</f>
        <v/>
      </c>
      <c r="K925" s="4562">
        <f>IF(D925="","",D925*J925)</f>
        <v/>
      </c>
      <c r="L925" s="4562">
        <f>XLOOKUP(B925,'_Sys|Line_Map'!$A:$A,'_Sys|Line_Map'!$B:$B,"MISSING",0)</f>
        <v/>
      </c>
    </row>
    <row r="926">
      <c r="A926" s="4561" t="n"/>
      <c r="B926" s="4561" t="n"/>
      <c r="C926" s="4561" t="n"/>
      <c r="D926" s="4561" t="n"/>
      <c r="E926" s="4561" t="n"/>
      <c r="F926" s="4561" t="n"/>
      <c r="G926" s="4561" t="n"/>
      <c r="H926" s="4561" t="n"/>
      <c r="I926" s="4562">
        <f>XLOOKUP(B926,'_Sys|Line_Map'!$A:$A,'_Sys|Line_Map'!$C:$C,"MISSING",0)</f>
        <v/>
      </c>
      <c r="J926" s="4562">
        <f>XLOOKUP(B926,'_Sys|Line_Map'!$A:$A,'_Sys|Line_Map'!$D:$D,1,0)</f>
        <v/>
      </c>
      <c r="K926" s="4562">
        <f>IF(D926="","",D926*J926)</f>
        <v/>
      </c>
      <c r="L926" s="4562">
        <f>XLOOKUP(B926,'_Sys|Line_Map'!$A:$A,'_Sys|Line_Map'!$B:$B,"MISSING",0)</f>
        <v/>
      </c>
    </row>
    <row r="927">
      <c r="A927" s="4561" t="n"/>
      <c r="B927" s="4561" t="n"/>
      <c r="C927" s="4561" t="n"/>
      <c r="D927" s="4561" t="n"/>
      <c r="E927" s="4561" t="n"/>
      <c r="F927" s="4561" t="n"/>
      <c r="G927" s="4561" t="n"/>
      <c r="H927" s="4561" t="n"/>
      <c r="I927" s="4562">
        <f>XLOOKUP(B927,'_Sys|Line_Map'!$A:$A,'_Sys|Line_Map'!$C:$C,"MISSING",0)</f>
        <v/>
      </c>
      <c r="J927" s="4562">
        <f>XLOOKUP(B927,'_Sys|Line_Map'!$A:$A,'_Sys|Line_Map'!$D:$D,1,0)</f>
        <v/>
      </c>
      <c r="K927" s="4562">
        <f>IF(D927="","",D927*J927)</f>
        <v/>
      </c>
      <c r="L927" s="4562">
        <f>XLOOKUP(B927,'_Sys|Line_Map'!$A:$A,'_Sys|Line_Map'!$B:$B,"MISSING",0)</f>
        <v/>
      </c>
    </row>
    <row r="928">
      <c r="A928" s="4561" t="n"/>
      <c r="B928" s="4561" t="n"/>
      <c r="C928" s="4561" t="n"/>
      <c r="D928" s="4561" t="n"/>
      <c r="E928" s="4561" t="n"/>
      <c r="F928" s="4561" t="n"/>
      <c r="G928" s="4561" t="n"/>
      <c r="H928" s="4561" t="n"/>
      <c r="I928" s="4562">
        <f>XLOOKUP(B928,'_Sys|Line_Map'!$A:$A,'_Sys|Line_Map'!$C:$C,"MISSING",0)</f>
        <v/>
      </c>
      <c r="J928" s="4562">
        <f>XLOOKUP(B928,'_Sys|Line_Map'!$A:$A,'_Sys|Line_Map'!$D:$D,1,0)</f>
        <v/>
      </c>
      <c r="K928" s="4562">
        <f>IF(D928="","",D928*J928)</f>
        <v/>
      </c>
      <c r="L928" s="4562">
        <f>XLOOKUP(B928,'_Sys|Line_Map'!$A:$A,'_Sys|Line_Map'!$B:$B,"MISSING",0)</f>
        <v/>
      </c>
    </row>
    <row r="929">
      <c r="A929" s="4561" t="n"/>
      <c r="B929" s="4561" t="n"/>
      <c r="C929" s="4561" t="n"/>
      <c r="D929" s="4561" t="n"/>
      <c r="E929" s="4561" t="n"/>
      <c r="F929" s="4561" t="n"/>
      <c r="G929" s="4561" t="n"/>
      <c r="H929" s="4561" t="n"/>
      <c r="I929" s="4562">
        <f>XLOOKUP(B929,'_Sys|Line_Map'!$A:$A,'_Sys|Line_Map'!$C:$C,"MISSING",0)</f>
        <v/>
      </c>
      <c r="J929" s="4562">
        <f>XLOOKUP(B929,'_Sys|Line_Map'!$A:$A,'_Sys|Line_Map'!$D:$D,1,0)</f>
        <v/>
      </c>
      <c r="K929" s="4562">
        <f>IF(D929="","",D929*J929)</f>
        <v/>
      </c>
      <c r="L929" s="4562">
        <f>XLOOKUP(B929,'_Sys|Line_Map'!$A:$A,'_Sys|Line_Map'!$B:$B,"MISSING",0)</f>
        <v/>
      </c>
    </row>
    <row r="930">
      <c r="A930" s="4561" t="n"/>
      <c r="B930" s="4561" t="n"/>
      <c r="C930" s="4561" t="n"/>
      <c r="D930" s="4561" t="n"/>
      <c r="E930" s="4561" t="n"/>
      <c r="F930" s="4561" t="n"/>
      <c r="G930" s="4561" t="n"/>
      <c r="H930" s="4561" t="n"/>
      <c r="I930" s="4562">
        <f>XLOOKUP(B930,'_Sys|Line_Map'!$A:$A,'_Sys|Line_Map'!$C:$C,"MISSING",0)</f>
        <v/>
      </c>
      <c r="J930" s="4562">
        <f>XLOOKUP(B930,'_Sys|Line_Map'!$A:$A,'_Sys|Line_Map'!$D:$D,1,0)</f>
        <v/>
      </c>
      <c r="K930" s="4562">
        <f>IF(D930="","",D930*J930)</f>
        <v/>
      </c>
      <c r="L930" s="4562">
        <f>XLOOKUP(B930,'_Sys|Line_Map'!$A:$A,'_Sys|Line_Map'!$B:$B,"MISSING",0)</f>
        <v/>
      </c>
    </row>
    <row r="931">
      <c r="A931" s="4561" t="n"/>
      <c r="B931" s="4561" t="n"/>
      <c r="C931" s="4561" t="n"/>
      <c r="D931" s="4561" t="n"/>
      <c r="E931" s="4561" t="n"/>
      <c r="F931" s="4561" t="n"/>
      <c r="G931" s="4561" t="n"/>
      <c r="H931" s="4561" t="n"/>
      <c r="I931" s="4562">
        <f>XLOOKUP(B931,'_Sys|Line_Map'!$A:$A,'_Sys|Line_Map'!$C:$C,"MISSING",0)</f>
        <v/>
      </c>
      <c r="J931" s="4562">
        <f>XLOOKUP(B931,'_Sys|Line_Map'!$A:$A,'_Sys|Line_Map'!$D:$D,1,0)</f>
        <v/>
      </c>
      <c r="K931" s="4562">
        <f>IF(D931="","",D931*J931)</f>
        <v/>
      </c>
      <c r="L931" s="4562">
        <f>XLOOKUP(B931,'_Sys|Line_Map'!$A:$A,'_Sys|Line_Map'!$B:$B,"MISSING",0)</f>
        <v/>
      </c>
    </row>
    <row r="932">
      <c r="A932" s="4561" t="n"/>
      <c r="B932" s="4561" t="n"/>
      <c r="C932" s="4561" t="n"/>
      <c r="D932" s="4561" t="n"/>
      <c r="E932" s="4561" t="n"/>
      <c r="F932" s="4561" t="n"/>
      <c r="G932" s="4561" t="n"/>
      <c r="H932" s="4561" t="n"/>
      <c r="I932" s="4562">
        <f>XLOOKUP(B932,'_Sys|Line_Map'!$A:$A,'_Sys|Line_Map'!$C:$C,"MISSING",0)</f>
        <v/>
      </c>
      <c r="J932" s="4562">
        <f>XLOOKUP(B932,'_Sys|Line_Map'!$A:$A,'_Sys|Line_Map'!$D:$D,1,0)</f>
        <v/>
      </c>
      <c r="K932" s="4562">
        <f>IF(D932="","",D932*J932)</f>
        <v/>
      </c>
      <c r="L932" s="4562">
        <f>XLOOKUP(B932,'_Sys|Line_Map'!$A:$A,'_Sys|Line_Map'!$B:$B,"MISSING",0)</f>
        <v/>
      </c>
    </row>
    <row r="933">
      <c r="A933" s="4561" t="n"/>
      <c r="B933" s="4561" t="n"/>
      <c r="C933" s="4561" t="n"/>
      <c r="D933" s="4561" t="n"/>
      <c r="E933" s="4561" t="n"/>
      <c r="F933" s="4561" t="n"/>
      <c r="G933" s="4561" t="n"/>
      <c r="H933" s="4561" t="n"/>
      <c r="I933" s="4562">
        <f>XLOOKUP(B933,'_Sys|Line_Map'!$A:$A,'_Sys|Line_Map'!$C:$C,"MISSING",0)</f>
        <v/>
      </c>
      <c r="J933" s="4562">
        <f>XLOOKUP(B933,'_Sys|Line_Map'!$A:$A,'_Sys|Line_Map'!$D:$D,1,0)</f>
        <v/>
      </c>
      <c r="K933" s="4562">
        <f>IF(D933="","",D933*J933)</f>
        <v/>
      </c>
      <c r="L933" s="4562">
        <f>XLOOKUP(B933,'_Sys|Line_Map'!$A:$A,'_Sys|Line_Map'!$B:$B,"MISSING",0)</f>
        <v/>
      </c>
    </row>
    <row r="934">
      <c r="A934" s="4561" t="n"/>
      <c r="B934" s="4561" t="n"/>
      <c r="C934" s="4561" t="n"/>
      <c r="D934" s="4561" t="n"/>
      <c r="E934" s="4561" t="n"/>
      <c r="F934" s="4561" t="n"/>
      <c r="G934" s="4561" t="n"/>
      <c r="H934" s="4561" t="n"/>
      <c r="I934" s="4562">
        <f>XLOOKUP(B934,'_Sys|Line_Map'!$A:$A,'_Sys|Line_Map'!$C:$C,"MISSING",0)</f>
        <v/>
      </c>
      <c r="J934" s="4562">
        <f>XLOOKUP(B934,'_Sys|Line_Map'!$A:$A,'_Sys|Line_Map'!$D:$D,1,0)</f>
        <v/>
      </c>
      <c r="K934" s="4562">
        <f>IF(D934="","",D934*J934)</f>
        <v/>
      </c>
      <c r="L934" s="4562">
        <f>XLOOKUP(B934,'_Sys|Line_Map'!$A:$A,'_Sys|Line_Map'!$B:$B,"MISSING",0)</f>
        <v/>
      </c>
    </row>
    <row r="935">
      <c r="A935" s="4561" t="n"/>
      <c r="B935" s="4561" t="n"/>
      <c r="C935" s="4561" t="n"/>
      <c r="D935" s="4561" t="n"/>
      <c r="E935" s="4561" t="n"/>
      <c r="F935" s="4561" t="n"/>
      <c r="G935" s="4561" t="n"/>
      <c r="H935" s="4561" t="n"/>
      <c r="I935" s="4562">
        <f>XLOOKUP(B935,'_Sys|Line_Map'!$A:$A,'_Sys|Line_Map'!$C:$C,"MISSING",0)</f>
        <v/>
      </c>
      <c r="J935" s="4562">
        <f>XLOOKUP(B935,'_Sys|Line_Map'!$A:$A,'_Sys|Line_Map'!$D:$D,1,0)</f>
        <v/>
      </c>
      <c r="K935" s="4562">
        <f>IF(D935="","",D935*J935)</f>
        <v/>
      </c>
      <c r="L935" s="4562">
        <f>XLOOKUP(B935,'_Sys|Line_Map'!$A:$A,'_Sys|Line_Map'!$B:$B,"MISSING",0)</f>
        <v/>
      </c>
    </row>
    <row r="936">
      <c r="A936" s="4561" t="n"/>
      <c r="B936" s="4561" t="n"/>
      <c r="C936" s="4561" t="n"/>
      <c r="D936" s="4561" t="n"/>
      <c r="E936" s="4561" t="n"/>
      <c r="F936" s="4561" t="n"/>
      <c r="G936" s="4561" t="n"/>
      <c r="H936" s="4561" t="n"/>
      <c r="I936" s="4562">
        <f>XLOOKUP(B936,'_Sys|Line_Map'!$A:$A,'_Sys|Line_Map'!$C:$C,"MISSING",0)</f>
        <v/>
      </c>
      <c r="J936" s="4562">
        <f>XLOOKUP(B936,'_Sys|Line_Map'!$A:$A,'_Sys|Line_Map'!$D:$D,1,0)</f>
        <v/>
      </c>
      <c r="K936" s="4562">
        <f>IF(D936="","",D936*J936)</f>
        <v/>
      </c>
      <c r="L936" s="4562">
        <f>XLOOKUP(B936,'_Sys|Line_Map'!$A:$A,'_Sys|Line_Map'!$B:$B,"MISSING",0)</f>
        <v/>
      </c>
    </row>
    <row r="937">
      <c r="A937" s="4561" t="n"/>
      <c r="B937" s="4561" t="n"/>
      <c r="C937" s="4561" t="n"/>
      <c r="D937" s="4561" t="n"/>
      <c r="E937" s="4561" t="n"/>
      <c r="F937" s="4561" t="n"/>
      <c r="G937" s="4561" t="n"/>
      <c r="H937" s="4561" t="n"/>
      <c r="I937" s="4562">
        <f>XLOOKUP(B937,'_Sys|Line_Map'!$A:$A,'_Sys|Line_Map'!$C:$C,"MISSING",0)</f>
        <v/>
      </c>
      <c r="J937" s="4562">
        <f>XLOOKUP(B937,'_Sys|Line_Map'!$A:$A,'_Sys|Line_Map'!$D:$D,1,0)</f>
        <v/>
      </c>
      <c r="K937" s="4562">
        <f>IF(D937="","",D937*J937)</f>
        <v/>
      </c>
      <c r="L937" s="4562">
        <f>XLOOKUP(B937,'_Sys|Line_Map'!$A:$A,'_Sys|Line_Map'!$B:$B,"MISSING",0)</f>
        <v/>
      </c>
    </row>
    <row r="938">
      <c r="A938" s="4561" t="n"/>
      <c r="B938" s="4561" t="n"/>
      <c r="C938" s="4561" t="n"/>
      <c r="D938" s="4561" t="n"/>
      <c r="E938" s="4561" t="n"/>
      <c r="F938" s="4561" t="n"/>
      <c r="G938" s="4561" t="n"/>
      <c r="H938" s="4561" t="n"/>
      <c r="I938" s="4562">
        <f>XLOOKUP(B938,'_Sys|Line_Map'!$A:$A,'_Sys|Line_Map'!$C:$C,"MISSING",0)</f>
        <v/>
      </c>
      <c r="J938" s="4562">
        <f>XLOOKUP(B938,'_Sys|Line_Map'!$A:$A,'_Sys|Line_Map'!$D:$D,1,0)</f>
        <v/>
      </c>
      <c r="K938" s="4562">
        <f>IF(D938="","",D938*J938)</f>
        <v/>
      </c>
      <c r="L938" s="4562">
        <f>XLOOKUP(B938,'_Sys|Line_Map'!$A:$A,'_Sys|Line_Map'!$B:$B,"MISSING",0)</f>
        <v/>
      </c>
    </row>
    <row r="939">
      <c r="A939" s="4561" t="n"/>
      <c r="B939" s="4561" t="n"/>
      <c r="C939" s="4561" t="n"/>
      <c r="D939" s="4561" t="n"/>
      <c r="E939" s="4561" t="n"/>
      <c r="F939" s="4561" t="n"/>
      <c r="G939" s="4561" t="n"/>
      <c r="H939" s="4561" t="n"/>
      <c r="I939" s="4562">
        <f>XLOOKUP(B939,'_Sys|Line_Map'!$A:$A,'_Sys|Line_Map'!$C:$C,"MISSING",0)</f>
        <v/>
      </c>
      <c r="J939" s="4562">
        <f>XLOOKUP(B939,'_Sys|Line_Map'!$A:$A,'_Sys|Line_Map'!$D:$D,1,0)</f>
        <v/>
      </c>
      <c r="K939" s="4562">
        <f>IF(D939="","",D939*J939)</f>
        <v/>
      </c>
      <c r="L939" s="4562">
        <f>XLOOKUP(B939,'_Sys|Line_Map'!$A:$A,'_Sys|Line_Map'!$B:$B,"MISSING",0)</f>
        <v/>
      </c>
    </row>
    <row r="940">
      <c r="A940" s="4561" t="n"/>
      <c r="B940" s="4561" t="n"/>
      <c r="C940" s="4561" t="n"/>
      <c r="D940" s="4561" t="n"/>
      <c r="E940" s="4561" t="n"/>
      <c r="F940" s="4561" t="n"/>
      <c r="G940" s="4561" t="n"/>
      <c r="H940" s="4561" t="n"/>
      <c r="I940" s="4562">
        <f>XLOOKUP(B940,'_Sys|Line_Map'!$A:$A,'_Sys|Line_Map'!$C:$C,"MISSING",0)</f>
        <v/>
      </c>
      <c r="J940" s="4562">
        <f>XLOOKUP(B940,'_Sys|Line_Map'!$A:$A,'_Sys|Line_Map'!$D:$D,1,0)</f>
        <v/>
      </c>
      <c r="K940" s="4562">
        <f>IF(D940="","",D940*J940)</f>
        <v/>
      </c>
      <c r="L940" s="4562">
        <f>XLOOKUP(B940,'_Sys|Line_Map'!$A:$A,'_Sys|Line_Map'!$B:$B,"MISSING",0)</f>
        <v/>
      </c>
    </row>
    <row r="941">
      <c r="A941" s="4561" t="n"/>
      <c r="B941" s="4561" t="n"/>
      <c r="C941" s="4561" t="n"/>
      <c r="D941" s="4561" t="n"/>
      <c r="E941" s="4561" t="n"/>
      <c r="F941" s="4561" t="n"/>
      <c r="G941" s="4561" t="n"/>
      <c r="H941" s="4561" t="n"/>
      <c r="I941" s="4562">
        <f>XLOOKUP(B941,'_Sys|Line_Map'!$A:$A,'_Sys|Line_Map'!$C:$C,"MISSING",0)</f>
        <v/>
      </c>
      <c r="J941" s="4562">
        <f>XLOOKUP(B941,'_Sys|Line_Map'!$A:$A,'_Sys|Line_Map'!$D:$D,1,0)</f>
        <v/>
      </c>
      <c r="K941" s="4562">
        <f>IF(D941="","",D941*J941)</f>
        <v/>
      </c>
      <c r="L941" s="4562">
        <f>XLOOKUP(B941,'_Sys|Line_Map'!$A:$A,'_Sys|Line_Map'!$B:$B,"MISSING",0)</f>
        <v/>
      </c>
    </row>
    <row r="942">
      <c r="A942" s="4561" t="n"/>
      <c r="B942" s="4561" t="n"/>
      <c r="C942" s="4561" t="n"/>
      <c r="D942" s="4561" t="n"/>
      <c r="E942" s="4561" t="n"/>
      <c r="F942" s="4561" t="n"/>
      <c r="G942" s="4561" t="n"/>
      <c r="H942" s="4561" t="n"/>
      <c r="I942" s="4562">
        <f>XLOOKUP(B942,'_Sys|Line_Map'!$A:$A,'_Sys|Line_Map'!$C:$C,"MISSING",0)</f>
        <v/>
      </c>
      <c r="J942" s="4562">
        <f>XLOOKUP(B942,'_Sys|Line_Map'!$A:$A,'_Sys|Line_Map'!$D:$D,1,0)</f>
        <v/>
      </c>
      <c r="K942" s="4562">
        <f>IF(D942="","",D942*J942)</f>
        <v/>
      </c>
      <c r="L942" s="4562">
        <f>XLOOKUP(B942,'_Sys|Line_Map'!$A:$A,'_Sys|Line_Map'!$B:$B,"MISSING",0)</f>
        <v/>
      </c>
    </row>
    <row r="943">
      <c r="A943" s="4561" t="n"/>
      <c r="B943" s="4561" t="n"/>
      <c r="C943" s="4561" t="n"/>
      <c r="D943" s="4561" t="n"/>
      <c r="E943" s="4561" t="n"/>
      <c r="F943" s="4561" t="n"/>
      <c r="G943" s="4561" t="n"/>
      <c r="H943" s="4561" t="n"/>
      <c r="I943" s="4562">
        <f>XLOOKUP(B943,'_Sys|Line_Map'!$A:$A,'_Sys|Line_Map'!$C:$C,"MISSING",0)</f>
        <v/>
      </c>
      <c r="J943" s="4562">
        <f>XLOOKUP(B943,'_Sys|Line_Map'!$A:$A,'_Sys|Line_Map'!$D:$D,1,0)</f>
        <v/>
      </c>
      <c r="K943" s="4562">
        <f>IF(D943="","",D943*J943)</f>
        <v/>
      </c>
      <c r="L943" s="4562">
        <f>XLOOKUP(B943,'_Sys|Line_Map'!$A:$A,'_Sys|Line_Map'!$B:$B,"MISSING",0)</f>
        <v/>
      </c>
    </row>
    <row r="944">
      <c r="A944" s="4561" t="n"/>
      <c r="B944" s="4561" t="n"/>
      <c r="C944" s="4561" t="n"/>
      <c r="D944" s="4561" t="n"/>
      <c r="E944" s="4561" t="n"/>
      <c r="F944" s="4561" t="n"/>
      <c r="G944" s="4561" t="n"/>
      <c r="H944" s="4561" t="n"/>
      <c r="I944" s="4562">
        <f>XLOOKUP(B944,'_Sys|Line_Map'!$A:$A,'_Sys|Line_Map'!$C:$C,"MISSING",0)</f>
        <v/>
      </c>
      <c r="J944" s="4562">
        <f>XLOOKUP(B944,'_Sys|Line_Map'!$A:$A,'_Sys|Line_Map'!$D:$D,1,0)</f>
        <v/>
      </c>
      <c r="K944" s="4562">
        <f>IF(D944="","",D944*J944)</f>
        <v/>
      </c>
      <c r="L944" s="4562">
        <f>XLOOKUP(B944,'_Sys|Line_Map'!$A:$A,'_Sys|Line_Map'!$B:$B,"MISSING",0)</f>
        <v/>
      </c>
    </row>
    <row r="945">
      <c r="A945" s="4561" t="n"/>
      <c r="B945" s="4561" t="n"/>
      <c r="C945" s="4561" t="n"/>
      <c r="D945" s="4561" t="n"/>
      <c r="E945" s="4561" t="n"/>
      <c r="F945" s="4561" t="n"/>
      <c r="G945" s="4561" t="n"/>
      <c r="H945" s="4561" t="n"/>
      <c r="I945" s="4562">
        <f>XLOOKUP(B945,'_Sys|Line_Map'!$A:$A,'_Sys|Line_Map'!$C:$C,"MISSING",0)</f>
        <v/>
      </c>
      <c r="J945" s="4562">
        <f>XLOOKUP(B945,'_Sys|Line_Map'!$A:$A,'_Sys|Line_Map'!$D:$D,1,0)</f>
        <v/>
      </c>
      <c r="K945" s="4562">
        <f>IF(D945="","",D945*J945)</f>
        <v/>
      </c>
      <c r="L945" s="4562">
        <f>XLOOKUP(B945,'_Sys|Line_Map'!$A:$A,'_Sys|Line_Map'!$B:$B,"MISSING",0)</f>
        <v/>
      </c>
    </row>
    <row r="946">
      <c r="A946" s="4561" t="n"/>
      <c r="B946" s="4561" t="n"/>
      <c r="C946" s="4561" t="n"/>
      <c r="D946" s="4561" t="n"/>
      <c r="E946" s="4561" t="n"/>
      <c r="F946" s="4561" t="n"/>
      <c r="G946" s="4561" t="n"/>
      <c r="H946" s="4561" t="n"/>
      <c r="I946" s="4562">
        <f>XLOOKUP(B946,'_Sys|Line_Map'!$A:$A,'_Sys|Line_Map'!$C:$C,"MISSING",0)</f>
        <v/>
      </c>
      <c r="J946" s="4562">
        <f>XLOOKUP(B946,'_Sys|Line_Map'!$A:$A,'_Sys|Line_Map'!$D:$D,1,0)</f>
        <v/>
      </c>
      <c r="K946" s="4562">
        <f>IF(D946="","",D946*J946)</f>
        <v/>
      </c>
      <c r="L946" s="4562">
        <f>XLOOKUP(B946,'_Sys|Line_Map'!$A:$A,'_Sys|Line_Map'!$B:$B,"MISSING",0)</f>
        <v/>
      </c>
    </row>
    <row r="947">
      <c r="A947" s="4561" t="n"/>
      <c r="B947" s="4561" t="n"/>
      <c r="C947" s="4561" t="n"/>
      <c r="D947" s="4561" t="n"/>
      <c r="E947" s="4561" t="n"/>
      <c r="F947" s="4561" t="n"/>
      <c r="G947" s="4561" t="n"/>
      <c r="H947" s="4561" t="n"/>
      <c r="I947" s="4562">
        <f>XLOOKUP(B947,'_Sys|Line_Map'!$A:$A,'_Sys|Line_Map'!$C:$C,"MISSING",0)</f>
        <v/>
      </c>
      <c r="J947" s="4562">
        <f>XLOOKUP(B947,'_Sys|Line_Map'!$A:$A,'_Sys|Line_Map'!$D:$D,1,0)</f>
        <v/>
      </c>
      <c r="K947" s="4562">
        <f>IF(D947="","",D947*J947)</f>
        <v/>
      </c>
      <c r="L947" s="4562">
        <f>XLOOKUP(B947,'_Sys|Line_Map'!$A:$A,'_Sys|Line_Map'!$B:$B,"MISSING",0)</f>
        <v/>
      </c>
    </row>
    <row r="948">
      <c r="A948" s="4561" t="n"/>
      <c r="B948" s="4561" t="n"/>
      <c r="C948" s="4561" t="n"/>
      <c r="D948" s="4561" t="n"/>
      <c r="E948" s="4561" t="n"/>
      <c r="F948" s="4561" t="n"/>
      <c r="G948" s="4561" t="n"/>
      <c r="H948" s="4561" t="n"/>
      <c r="I948" s="4562">
        <f>XLOOKUP(B948,'_Sys|Line_Map'!$A:$A,'_Sys|Line_Map'!$C:$C,"MISSING",0)</f>
        <v/>
      </c>
      <c r="J948" s="4562">
        <f>XLOOKUP(B948,'_Sys|Line_Map'!$A:$A,'_Sys|Line_Map'!$D:$D,1,0)</f>
        <v/>
      </c>
      <c r="K948" s="4562">
        <f>IF(D948="","",D948*J948)</f>
        <v/>
      </c>
      <c r="L948" s="4562">
        <f>XLOOKUP(B948,'_Sys|Line_Map'!$A:$A,'_Sys|Line_Map'!$B:$B,"MISSING",0)</f>
        <v/>
      </c>
    </row>
    <row r="949">
      <c r="A949" s="4561" t="n"/>
      <c r="B949" s="4561" t="n"/>
      <c r="C949" s="4561" t="n"/>
      <c r="D949" s="4561" t="n"/>
      <c r="E949" s="4561" t="n"/>
      <c r="F949" s="4561" t="n"/>
      <c r="G949" s="4561" t="n"/>
      <c r="H949" s="4561" t="n"/>
      <c r="I949" s="4562">
        <f>XLOOKUP(B949,'_Sys|Line_Map'!$A:$A,'_Sys|Line_Map'!$C:$C,"MISSING",0)</f>
        <v/>
      </c>
      <c r="J949" s="4562">
        <f>XLOOKUP(B949,'_Sys|Line_Map'!$A:$A,'_Sys|Line_Map'!$D:$D,1,0)</f>
        <v/>
      </c>
      <c r="K949" s="4562">
        <f>IF(D949="","",D949*J949)</f>
        <v/>
      </c>
      <c r="L949" s="4562">
        <f>XLOOKUP(B949,'_Sys|Line_Map'!$A:$A,'_Sys|Line_Map'!$B:$B,"MISSING",0)</f>
        <v/>
      </c>
    </row>
    <row r="950">
      <c r="A950" s="4561" t="n"/>
      <c r="B950" s="4561" t="n"/>
      <c r="C950" s="4561" t="n"/>
      <c r="D950" s="4561" t="n"/>
      <c r="E950" s="4561" t="n"/>
      <c r="F950" s="4561" t="n"/>
      <c r="G950" s="4561" t="n"/>
      <c r="H950" s="4561" t="n"/>
      <c r="I950" s="4562">
        <f>XLOOKUP(B950,'_Sys|Line_Map'!$A:$A,'_Sys|Line_Map'!$C:$C,"MISSING",0)</f>
        <v/>
      </c>
      <c r="J950" s="4562">
        <f>XLOOKUP(B950,'_Sys|Line_Map'!$A:$A,'_Sys|Line_Map'!$D:$D,1,0)</f>
        <v/>
      </c>
      <c r="K950" s="4562">
        <f>IF(D950="","",D950*J950)</f>
        <v/>
      </c>
      <c r="L950" s="4562">
        <f>XLOOKUP(B950,'_Sys|Line_Map'!$A:$A,'_Sys|Line_Map'!$B:$B,"MISSING",0)</f>
        <v/>
      </c>
    </row>
    <row r="951">
      <c r="A951" s="4561" t="n"/>
      <c r="B951" s="4561" t="n"/>
      <c r="C951" s="4561" t="n"/>
      <c r="D951" s="4561" t="n"/>
      <c r="E951" s="4561" t="n"/>
      <c r="F951" s="4561" t="n"/>
      <c r="G951" s="4561" t="n"/>
      <c r="H951" s="4561" t="n"/>
      <c r="I951" s="4562">
        <f>XLOOKUP(B951,'_Sys|Line_Map'!$A:$A,'_Sys|Line_Map'!$C:$C,"MISSING",0)</f>
        <v/>
      </c>
      <c r="J951" s="4562">
        <f>XLOOKUP(B951,'_Sys|Line_Map'!$A:$A,'_Sys|Line_Map'!$D:$D,1,0)</f>
        <v/>
      </c>
      <c r="K951" s="4562">
        <f>IF(D951="","",D951*J951)</f>
        <v/>
      </c>
      <c r="L951" s="4562">
        <f>XLOOKUP(B951,'_Sys|Line_Map'!$A:$A,'_Sys|Line_Map'!$B:$B,"MISSING",0)</f>
        <v/>
      </c>
    </row>
    <row r="952">
      <c r="A952" s="4561" t="n"/>
      <c r="B952" s="4561" t="n"/>
      <c r="C952" s="4561" t="n"/>
      <c r="D952" s="4561" t="n"/>
      <c r="E952" s="4561" t="n"/>
      <c r="F952" s="4561" t="n"/>
      <c r="G952" s="4561" t="n"/>
      <c r="H952" s="4561" t="n"/>
      <c r="I952" s="4562">
        <f>XLOOKUP(B952,'_Sys|Line_Map'!$A:$A,'_Sys|Line_Map'!$C:$C,"MISSING",0)</f>
        <v/>
      </c>
      <c r="J952" s="4562">
        <f>XLOOKUP(B952,'_Sys|Line_Map'!$A:$A,'_Sys|Line_Map'!$D:$D,1,0)</f>
        <v/>
      </c>
      <c r="K952" s="4562">
        <f>IF(D952="","",D952*J952)</f>
        <v/>
      </c>
      <c r="L952" s="4562">
        <f>XLOOKUP(B952,'_Sys|Line_Map'!$A:$A,'_Sys|Line_Map'!$B:$B,"MISSING",0)</f>
        <v/>
      </c>
    </row>
    <row r="953">
      <c r="A953" s="4561" t="n"/>
      <c r="B953" s="4561" t="n"/>
      <c r="C953" s="4561" t="n"/>
      <c r="D953" s="4561" t="n"/>
      <c r="E953" s="4561" t="n"/>
      <c r="F953" s="4561" t="n"/>
      <c r="G953" s="4561" t="n"/>
      <c r="H953" s="4561" t="n"/>
      <c r="I953" s="4562">
        <f>XLOOKUP(B953,'_Sys|Line_Map'!$A:$A,'_Sys|Line_Map'!$C:$C,"MISSING",0)</f>
        <v/>
      </c>
      <c r="J953" s="4562">
        <f>XLOOKUP(B953,'_Sys|Line_Map'!$A:$A,'_Sys|Line_Map'!$D:$D,1,0)</f>
        <v/>
      </c>
      <c r="K953" s="4562">
        <f>IF(D953="","",D953*J953)</f>
        <v/>
      </c>
      <c r="L953" s="4562">
        <f>XLOOKUP(B953,'_Sys|Line_Map'!$A:$A,'_Sys|Line_Map'!$B:$B,"MISSING",0)</f>
        <v/>
      </c>
    </row>
    <row r="954">
      <c r="A954" s="4561" t="n"/>
      <c r="B954" s="4561" t="n"/>
      <c r="C954" s="4561" t="n"/>
      <c r="D954" s="4561" t="n"/>
      <c r="E954" s="4561" t="n"/>
      <c r="F954" s="4561" t="n"/>
      <c r="G954" s="4561" t="n"/>
      <c r="H954" s="4561" t="n"/>
      <c r="I954" s="4562">
        <f>XLOOKUP(B954,'_Sys|Line_Map'!$A:$A,'_Sys|Line_Map'!$C:$C,"MISSING",0)</f>
        <v/>
      </c>
      <c r="J954" s="4562">
        <f>XLOOKUP(B954,'_Sys|Line_Map'!$A:$A,'_Sys|Line_Map'!$D:$D,1,0)</f>
        <v/>
      </c>
      <c r="K954" s="4562">
        <f>IF(D954="","",D954*J954)</f>
        <v/>
      </c>
      <c r="L954" s="4562">
        <f>XLOOKUP(B954,'_Sys|Line_Map'!$A:$A,'_Sys|Line_Map'!$B:$B,"MISSING",0)</f>
        <v/>
      </c>
    </row>
    <row r="955">
      <c r="A955" s="4561" t="n"/>
      <c r="B955" s="4561" t="n"/>
      <c r="C955" s="4561" t="n"/>
      <c r="D955" s="4561" t="n"/>
      <c r="E955" s="4561" t="n"/>
      <c r="F955" s="4561" t="n"/>
      <c r="G955" s="4561" t="n"/>
      <c r="H955" s="4561" t="n"/>
      <c r="I955" s="4562">
        <f>XLOOKUP(B955,'_Sys|Line_Map'!$A:$A,'_Sys|Line_Map'!$C:$C,"MISSING",0)</f>
        <v/>
      </c>
      <c r="J955" s="4562">
        <f>XLOOKUP(B955,'_Sys|Line_Map'!$A:$A,'_Sys|Line_Map'!$D:$D,1,0)</f>
        <v/>
      </c>
      <c r="K955" s="4562">
        <f>IF(D955="","",D955*J955)</f>
        <v/>
      </c>
      <c r="L955" s="4562">
        <f>XLOOKUP(B955,'_Sys|Line_Map'!$A:$A,'_Sys|Line_Map'!$B:$B,"MISSING",0)</f>
        <v/>
      </c>
    </row>
    <row r="956">
      <c r="A956" s="4561" t="n"/>
      <c r="B956" s="4561" t="n"/>
      <c r="C956" s="4561" t="n"/>
      <c r="D956" s="4561" t="n"/>
      <c r="E956" s="4561" t="n"/>
      <c r="F956" s="4561" t="n"/>
      <c r="G956" s="4561" t="n"/>
      <c r="H956" s="4561" t="n"/>
      <c r="I956" s="4562">
        <f>XLOOKUP(B956,'_Sys|Line_Map'!$A:$A,'_Sys|Line_Map'!$C:$C,"MISSING",0)</f>
        <v/>
      </c>
      <c r="J956" s="4562">
        <f>XLOOKUP(B956,'_Sys|Line_Map'!$A:$A,'_Sys|Line_Map'!$D:$D,1,0)</f>
        <v/>
      </c>
      <c r="K956" s="4562">
        <f>IF(D956="","",D956*J956)</f>
        <v/>
      </c>
      <c r="L956" s="4562">
        <f>XLOOKUP(B956,'_Sys|Line_Map'!$A:$A,'_Sys|Line_Map'!$B:$B,"MISSING",0)</f>
        <v/>
      </c>
    </row>
    <row r="957">
      <c r="A957" s="4561" t="n"/>
      <c r="B957" s="4561" t="n"/>
      <c r="C957" s="4561" t="n"/>
      <c r="D957" s="4561" t="n"/>
      <c r="E957" s="4561" t="n"/>
      <c r="F957" s="4561" t="n"/>
      <c r="G957" s="4561" t="n"/>
      <c r="H957" s="4561" t="n"/>
      <c r="I957" s="4562">
        <f>XLOOKUP(B957,'_Sys|Line_Map'!$A:$A,'_Sys|Line_Map'!$C:$C,"MISSING",0)</f>
        <v/>
      </c>
      <c r="J957" s="4562">
        <f>XLOOKUP(B957,'_Sys|Line_Map'!$A:$A,'_Sys|Line_Map'!$D:$D,1,0)</f>
        <v/>
      </c>
      <c r="K957" s="4562">
        <f>IF(D957="","",D957*J957)</f>
        <v/>
      </c>
      <c r="L957" s="4562">
        <f>XLOOKUP(B957,'_Sys|Line_Map'!$A:$A,'_Sys|Line_Map'!$B:$B,"MISSING",0)</f>
        <v/>
      </c>
    </row>
    <row r="958">
      <c r="A958" s="4561" t="n"/>
      <c r="B958" s="4561" t="n"/>
      <c r="C958" s="4561" t="n"/>
      <c r="D958" s="4561" t="n"/>
      <c r="E958" s="4561" t="n"/>
      <c r="F958" s="4561" t="n"/>
      <c r="G958" s="4561" t="n"/>
      <c r="H958" s="4561" t="n"/>
      <c r="I958" s="4562">
        <f>XLOOKUP(B958,'_Sys|Line_Map'!$A:$A,'_Sys|Line_Map'!$C:$C,"MISSING",0)</f>
        <v/>
      </c>
      <c r="J958" s="4562">
        <f>XLOOKUP(B958,'_Sys|Line_Map'!$A:$A,'_Sys|Line_Map'!$D:$D,1,0)</f>
        <v/>
      </c>
      <c r="K958" s="4562">
        <f>IF(D958="","",D958*J958)</f>
        <v/>
      </c>
      <c r="L958" s="4562">
        <f>XLOOKUP(B958,'_Sys|Line_Map'!$A:$A,'_Sys|Line_Map'!$B:$B,"MISSING",0)</f>
        <v/>
      </c>
    </row>
    <row r="959">
      <c r="A959" s="4561" t="n"/>
      <c r="B959" s="4561" t="n"/>
      <c r="C959" s="4561" t="n"/>
      <c r="D959" s="4561" t="n"/>
      <c r="E959" s="4561" t="n"/>
      <c r="F959" s="4561" t="n"/>
      <c r="G959" s="4561" t="n"/>
      <c r="H959" s="4561" t="n"/>
      <c r="I959" s="4562">
        <f>XLOOKUP(B959,'_Sys|Line_Map'!$A:$A,'_Sys|Line_Map'!$C:$C,"MISSING",0)</f>
        <v/>
      </c>
      <c r="J959" s="4562">
        <f>XLOOKUP(B959,'_Sys|Line_Map'!$A:$A,'_Sys|Line_Map'!$D:$D,1,0)</f>
        <v/>
      </c>
      <c r="K959" s="4562">
        <f>IF(D959="","",D959*J959)</f>
        <v/>
      </c>
      <c r="L959" s="4562">
        <f>XLOOKUP(B959,'_Sys|Line_Map'!$A:$A,'_Sys|Line_Map'!$B:$B,"MISSING",0)</f>
        <v/>
      </c>
    </row>
    <row r="960">
      <c r="A960" s="4561" t="n"/>
      <c r="B960" s="4561" t="n"/>
      <c r="C960" s="4561" t="n"/>
      <c r="D960" s="4561" t="n"/>
      <c r="E960" s="4561" t="n"/>
      <c r="F960" s="4561" t="n"/>
      <c r="G960" s="4561" t="n"/>
      <c r="H960" s="4561" t="n"/>
      <c r="I960" s="4562">
        <f>XLOOKUP(B960,'_Sys|Line_Map'!$A:$A,'_Sys|Line_Map'!$C:$C,"MISSING",0)</f>
        <v/>
      </c>
      <c r="J960" s="4562">
        <f>XLOOKUP(B960,'_Sys|Line_Map'!$A:$A,'_Sys|Line_Map'!$D:$D,1,0)</f>
        <v/>
      </c>
      <c r="K960" s="4562">
        <f>IF(D960="","",D960*J960)</f>
        <v/>
      </c>
      <c r="L960" s="4562">
        <f>XLOOKUP(B960,'_Sys|Line_Map'!$A:$A,'_Sys|Line_Map'!$B:$B,"MISSING",0)</f>
        <v/>
      </c>
    </row>
    <row r="961">
      <c r="A961" s="4561" t="n"/>
      <c r="B961" s="4561" t="n"/>
      <c r="C961" s="4561" t="n"/>
      <c r="D961" s="4561" t="n"/>
      <c r="E961" s="4561" t="n"/>
      <c r="F961" s="4561" t="n"/>
      <c r="G961" s="4561" t="n"/>
      <c r="H961" s="4561" t="n"/>
      <c r="I961" s="4562">
        <f>XLOOKUP(B961,'_Sys|Line_Map'!$A:$A,'_Sys|Line_Map'!$C:$C,"MISSING",0)</f>
        <v/>
      </c>
      <c r="J961" s="4562">
        <f>XLOOKUP(B961,'_Sys|Line_Map'!$A:$A,'_Sys|Line_Map'!$D:$D,1,0)</f>
        <v/>
      </c>
      <c r="K961" s="4562">
        <f>IF(D961="","",D961*J961)</f>
        <v/>
      </c>
      <c r="L961" s="4562">
        <f>XLOOKUP(B961,'_Sys|Line_Map'!$A:$A,'_Sys|Line_Map'!$B:$B,"MISSING",0)</f>
        <v/>
      </c>
    </row>
    <row r="962">
      <c r="A962" s="4561" t="n"/>
      <c r="B962" s="4561" t="n"/>
      <c r="C962" s="4561" t="n"/>
      <c r="D962" s="4561" t="n"/>
      <c r="E962" s="4561" t="n"/>
      <c r="F962" s="4561" t="n"/>
      <c r="G962" s="4561" t="n"/>
      <c r="H962" s="4561" t="n"/>
      <c r="I962" s="4562">
        <f>XLOOKUP(B962,'_Sys|Line_Map'!$A:$A,'_Sys|Line_Map'!$C:$C,"MISSING",0)</f>
        <v/>
      </c>
      <c r="J962" s="4562">
        <f>XLOOKUP(B962,'_Sys|Line_Map'!$A:$A,'_Sys|Line_Map'!$D:$D,1,0)</f>
        <v/>
      </c>
      <c r="K962" s="4562">
        <f>IF(D962="","",D962*J962)</f>
        <v/>
      </c>
      <c r="L962" s="4562">
        <f>XLOOKUP(B962,'_Sys|Line_Map'!$A:$A,'_Sys|Line_Map'!$B:$B,"MISSING",0)</f>
        <v/>
      </c>
    </row>
    <row r="963">
      <c r="A963" s="4561" t="n"/>
      <c r="B963" s="4561" t="n"/>
      <c r="C963" s="4561" t="n"/>
      <c r="D963" s="4561" t="n"/>
      <c r="E963" s="4561" t="n"/>
      <c r="F963" s="4561" t="n"/>
      <c r="G963" s="4561" t="n"/>
      <c r="H963" s="4561" t="n"/>
      <c r="I963" s="4562">
        <f>XLOOKUP(B963,'_Sys|Line_Map'!$A:$A,'_Sys|Line_Map'!$C:$C,"MISSING",0)</f>
        <v/>
      </c>
      <c r="J963" s="4562">
        <f>XLOOKUP(B963,'_Sys|Line_Map'!$A:$A,'_Sys|Line_Map'!$D:$D,1,0)</f>
        <v/>
      </c>
      <c r="K963" s="4562">
        <f>IF(D963="","",D963*J963)</f>
        <v/>
      </c>
      <c r="L963" s="4562">
        <f>XLOOKUP(B963,'_Sys|Line_Map'!$A:$A,'_Sys|Line_Map'!$B:$B,"MISSING",0)</f>
        <v/>
      </c>
    </row>
    <row r="964">
      <c r="A964" s="4561" t="n"/>
      <c r="B964" s="4561" t="n"/>
      <c r="C964" s="4561" t="n"/>
      <c r="D964" s="4561" t="n"/>
      <c r="E964" s="4561" t="n"/>
      <c r="F964" s="4561" t="n"/>
      <c r="G964" s="4561" t="n"/>
      <c r="H964" s="4561" t="n"/>
      <c r="I964" s="4562">
        <f>XLOOKUP(B964,'_Sys|Line_Map'!$A:$A,'_Sys|Line_Map'!$C:$C,"MISSING",0)</f>
        <v/>
      </c>
      <c r="J964" s="4562">
        <f>XLOOKUP(B964,'_Sys|Line_Map'!$A:$A,'_Sys|Line_Map'!$D:$D,1,0)</f>
        <v/>
      </c>
      <c r="K964" s="4562">
        <f>IF(D964="","",D964*J964)</f>
        <v/>
      </c>
      <c r="L964" s="4562">
        <f>XLOOKUP(B964,'_Sys|Line_Map'!$A:$A,'_Sys|Line_Map'!$B:$B,"MISSING",0)</f>
        <v/>
      </c>
    </row>
    <row r="965">
      <c r="A965" s="4561" t="n"/>
      <c r="B965" s="4561" t="n"/>
      <c r="C965" s="4561" t="n"/>
      <c r="D965" s="4561" t="n"/>
      <c r="E965" s="4561" t="n"/>
      <c r="F965" s="4561" t="n"/>
      <c r="G965" s="4561" t="n"/>
      <c r="H965" s="4561" t="n"/>
      <c r="I965" s="4562">
        <f>XLOOKUP(B965,'_Sys|Line_Map'!$A:$A,'_Sys|Line_Map'!$C:$C,"MISSING",0)</f>
        <v/>
      </c>
      <c r="J965" s="4562">
        <f>XLOOKUP(B965,'_Sys|Line_Map'!$A:$A,'_Sys|Line_Map'!$D:$D,1,0)</f>
        <v/>
      </c>
      <c r="K965" s="4562">
        <f>IF(D965="","",D965*J965)</f>
        <v/>
      </c>
      <c r="L965" s="4562">
        <f>XLOOKUP(B965,'_Sys|Line_Map'!$A:$A,'_Sys|Line_Map'!$B:$B,"MISSING",0)</f>
        <v/>
      </c>
    </row>
    <row r="966">
      <c r="A966" s="4561" t="n"/>
      <c r="B966" s="4561" t="n"/>
      <c r="C966" s="4561" t="n"/>
      <c r="D966" s="4561" t="n"/>
      <c r="E966" s="4561" t="n"/>
      <c r="F966" s="4561" t="n"/>
      <c r="G966" s="4561" t="n"/>
      <c r="H966" s="4561" t="n"/>
      <c r="I966" s="4562">
        <f>XLOOKUP(B966,'_Sys|Line_Map'!$A:$A,'_Sys|Line_Map'!$C:$C,"MISSING",0)</f>
        <v/>
      </c>
      <c r="J966" s="4562">
        <f>XLOOKUP(B966,'_Sys|Line_Map'!$A:$A,'_Sys|Line_Map'!$D:$D,1,0)</f>
        <v/>
      </c>
      <c r="K966" s="4562">
        <f>IF(D966="","",D966*J966)</f>
        <v/>
      </c>
      <c r="L966" s="4562">
        <f>XLOOKUP(B966,'_Sys|Line_Map'!$A:$A,'_Sys|Line_Map'!$B:$B,"MISSING",0)</f>
        <v/>
      </c>
    </row>
    <row r="967">
      <c r="A967" s="4561" t="n"/>
      <c r="B967" s="4561" t="n"/>
      <c r="C967" s="4561" t="n"/>
      <c r="D967" s="4561" t="n"/>
      <c r="E967" s="4561" t="n"/>
      <c r="F967" s="4561" t="n"/>
      <c r="G967" s="4561" t="n"/>
      <c r="H967" s="4561" t="n"/>
      <c r="I967" s="4562">
        <f>XLOOKUP(B967,'_Sys|Line_Map'!$A:$A,'_Sys|Line_Map'!$C:$C,"MISSING",0)</f>
        <v/>
      </c>
      <c r="J967" s="4562">
        <f>XLOOKUP(B967,'_Sys|Line_Map'!$A:$A,'_Sys|Line_Map'!$D:$D,1,0)</f>
        <v/>
      </c>
      <c r="K967" s="4562">
        <f>IF(D967="","",D967*J967)</f>
        <v/>
      </c>
      <c r="L967" s="4562">
        <f>XLOOKUP(B967,'_Sys|Line_Map'!$A:$A,'_Sys|Line_Map'!$B:$B,"MISSING",0)</f>
        <v/>
      </c>
    </row>
    <row r="968">
      <c r="A968" s="4561" t="n"/>
      <c r="B968" s="4561" t="n"/>
      <c r="C968" s="4561" t="n"/>
      <c r="D968" s="4561" t="n"/>
      <c r="E968" s="4561" t="n"/>
      <c r="F968" s="4561" t="n"/>
      <c r="G968" s="4561" t="n"/>
      <c r="H968" s="4561" t="n"/>
      <c r="I968" s="4562">
        <f>XLOOKUP(B968,'_Sys|Line_Map'!$A:$A,'_Sys|Line_Map'!$C:$C,"MISSING",0)</f>
        <v/>
      </c>
      <c r="J968" s="4562">
        <f>XLOOKUP(B968,'_Sys|Line_Map'!$A:$A,'_Sys|Line_Map'!$D:$D,1,0)</f>
        <v/>
      </c>
      <c r="K968" s="4562">
        <f>IF(D968="","",D968*J968)</f>
        <v/>
      </c>
      <c r="L968" s="4562">
        <f>XLOOKUP(B968,'_Sys|Line_Map'!$A:$A,'_Sys|Line_Map'!$B:$B,"MISSING",0)</f>
        <v/>
      </c>
    </row>
    <row r="969">
      <c r="A969" s="4561" t="n"/>
      <c r="B969" s="4561" t="n"/>
      <c r="C969" s="4561" t="n"/>
      <c r="D969" s="4561" t="n"/>
      <c r="E969" s="4561" t="n"/>
      <c r="F969" s="4561" t="n"/>
      <c r="G969" s="4561" t="n"/>
      <c r="H969" s="4561" t="n"/>
      <c r="I969" s="4562">
        <f>XLOOKUP(B969,'_Sys|Line_Map'!$A:$A,'_Sys|Line_Map'!$C:$C,"MISSING",0)</f>
        <v/>
      </c>
      <c r="J969" s="4562">
        <f>XLOOKUP(B969,'_Sys|Line_Map'!$A:$A,'_Sys|Line_Map'!$D:$D,1,0)</f>
        <v/>
      </c>
      <c r="K969" s="4562">
        <f>IF(D969="","",D969*J969)</f>
        <v/>
      </c>
      <c r="L969" s="4562">
        <f>XLOOKUP(B969,'_Sys|Line_Map'!$A:$A,'_Sys|Line_Map'!$B:$B,"MISSING",0)</f>
        <v/>
      </c>
    </row>
    <row r="970">
      <c r="A970" s="4561" t="n"/>
      <c r="B970" s="4561" t="n"/>
      <c r="C970" s="4561" t="n"/>
      <c r="D970" s="4561" t="n"/>
      <c r="E970" s="4561" t="n"/>
      <c r="F970" s="4561" t="n"/>
      <c r="G970" s="4561" t="n"/>
      <c r="H970" s="4561" t="n"/>
      <c r="I970" s="4562">
        <f>XLOOKUP(B970,'_Sys|Line_Map'!$A:$A,'_Sys|Line_Map'!$C:$C,"MISSING",0)</f>
        <v/>
      </c>
      <c r="J970" s="4562">
        <f>XLOOKUP(B970,'_Sys|Line_Map'!$A:$A,'_Sys|Line_Map'!$D:$D,1,0)</f>
        <v/>
      </c>
      <c r="K970" s="4562">
        <f>IF(D970="","",D970*J970)</f>
        <v/>
      </c>
      <c r="L970" s="4562">
        <f>XLOOKUP(B970,'_Sys|Line_Map'!$A:$A,'_Sys|Line_Map'!$B:$B,"MISSING",0)</f>
        <v/>
      </c>
    </row>
    <row r="971">
      <c r="A971" s="4561" t="n"/>
      <c r="B971" s="4561" t="n"/>
      <c r="C971" s="4561" t="n"/>
      <c r="D971" s="4561" t="n"/>
      <c r="E971" s="4561" t="n"/>
      <c r="F971" s="4561" t="n"/>
      <c r="G971" s="4561" t="n"/>
      <c r="H971" s="4561" t="n"/>
      <c r="I971" s="4562">
        <f>XLOOKUP(B971,'_Sys|Line_Map'!$A:$A,'_Sys|Line_Map'!$C:$C,"MISSING",0)</f>
        <v/>
      </c>
      <c r="J971" s="4562">
        <f>XLOOKUP(B971,'_Sys|Line_Map'!$A:$A,'_Sys|Line_Map'!$D:$D,1,0)</f>
        <v/>
      </c>
      <c r="K971" s="4562">
        <f>IF(D971="","",D971*J971)</f>
        <v/>
      </c>
      <c r="L971" s="4562">
        <f>XLOOKUP(B971,'_Sys|Line_Map'!$A:$A,'_Sys|Line_Map'!$B:$B,"MISSING",0)</f>
        <v/>
      </c>
    </row>
    <row r="972">
      <c r="A972" s="4561" t="n"/>
      <c r="B972" s="4561" t="n"/>
      <c r="C972" s="4561" t="n"/>
      <c r="D972" s="4561" t="n"/>
      <c r="E972" s="4561" t="n"/>
      <c r="F972" s="4561" t="n"/>
      <c r="G972" s="4561" t="n"/>
      <c r="H972" s="4561" t="n"/>
      <c r="I972" s="4562">
        <f>XLOOKUP(B972,'_Sys|Line_Map'!$A:$A,'_Sys|Line_Map'!$C:$C,"MISSING",0)</f>
        <v/>
      </c>
      <c r="J972" s="4562">
        <f>XLOOKUP(B972,'_Sys|Line_Map'!$A:$A,'_Sys|Line_Map'!$D:$D,1,0)</f>
        <v/>
      </c>
      <c r="K972" s="4562">
        <f>IF(D972="","",D972*J972)</f>
        <v/>
      </c>
      <c r="L972" s="4562">
        <f>XLOOKUP(B972,'_Sys|Line_Map'!$A:$A,'_Sys|Line_Map'!$B:$B,"MISSING",0)</f>
        <v/>
      </c>
    </row>
    <row r="973">
      <c r="A973" s="4561" t="n"/>
      <c r="B973" s="4561" t="n"/>
      <c r="C973" s="4561" t="n"/>
      <c r="D973" s="4561" t="n"/>
      <c r="E973" s="4561" t="n"/>
      <c r="F973" s="4561" t="n"/>
      <c r="G973" s="4561" t="n"/>
      <c r="H973" s="4561" t="n"/>
      <c r="I973" s="4562">
        <f>XLOOKUP(B973,'_Sys|Line_Map'!$A:$A,'_Sys|Line_Map'!$C:$C,"MISSING",0)</f>
        <v/>
      </c>
      <c r="J973" s="4562">
        <f>XLOOKUP(B973,'_Sys|Line_Map'!$A:$A,'_Sys|Line_Map'!$D:$D,1,0)</f>
        <v/>
      </c>
      <c r="K973" s="4562">
        <f>IF(D973="","",D973*J973)</f>
        <v/>
      </c>
      <c r="L973" s="4562">
        <f>XLOOKUP(B973,'_Sys|Line_Map'!$A:$A,'_Sys|Line_Map'!$B:$B,"MISSING",0)</f>
        <v/>
      </c>
    </row>
    <row r="974">
      <c r="A974" s="4561" t="n"/>
      <c r="B974" s="4561" t="n"/>
      <c r="C974" s="4561" t="n"/>
      <c r="D974" s="4561" t="n"/>
      <c r="E974" s="4561" t="n"/>
      <c r="F974" s="4561" t="n"/>
      <c r="G974" s="4561" t="n"/>
      <c r="H974" s="4561" t="n"/>
      <c r="I974" s="4562">
        <f>XLOOKUP(B974,'_Sys|Line_Map'!$A:$A,'_Sys|Line_Map'!$C:$C,"MISSING",0)</f>
        <v/>
      </c>
      <c r="J974" s="4562">
        <f>XLOOKUP(B974,'_Sys|Line_Map'!$A:$A,'_Sys|Line_Map'!$D:$D,1,0)</f>
        <v/>
      </c>
      <c r="K974" s="4562">
        <f>IF(D974="","",D974*J974)</f>
        <v/>
      </c>
      <c r="L974" s="4562">
        <f>XLOOKUP(B974,'_Sys|Line_Map'!$A:$A,'_Sys|Line_Map'!$B:$B,"MISSING",0)</f>
        <v/>
      </c>
    </row>
    <row r="975">
      <c r="A975" s="4561" t="n"/>
      <c r="B975" s="4561" t="n"/>
      <c r="C975" s="4561" t="n"/>
      <c r="D975" s="4561" t="n"/>
      <c r="E975" s="4561" t="n"/>
      <c r="F975" s="4561" t="n"/>
      <c r="G975" s="4561" t="n"/>
      <c r="H975" s="4561" t="n"/>
      <c r="I975" s="4562">
        <f>XLOOKUP(B975,'_Sys|Line_Map'!$A:$A,'_Sys|Line_Map'!$C:$C,"MISSING",0)</f>
        <v/>
      </c>
      <c r="J975" s="4562">
        <f>XLOOKUP(B975,'_Sys|Line_Map'!$A:$A,'_Sys|Line_Map'!$D:$D,1,0)</f>
        <v/>
      </c>
      <c r="K975" s="4562">
        <f>IF(D975="","",D975*J975)</f>
        <v/>
      </c>
      <c r="L975" s="4562">
        <f>XLOOKUP(B975,'_Sys|Line_Map'!$A:$A,'_Sys|Line_Map'!$B:$B,"MISSING",0)</f>
        <v/>
      </c>
    </row>
    <row r="976">
      <c r="A976" s="4561" t="n"/>
      <c r="B976" s="4561" t="n"/>
      <c r="C976" s="4561" t="n"/>
      <c r="D976" s="4561" t="n"/>
      <c r="E976" s="4561" t="n"/>
      <c r="F976" s="4561" t="n"/>
      <c r="G976" s="4561" t="n"/>
      <c r="H976" s="4561" t="n"/>
      <c r="I976" s="4562">
        <f>XLOOKUP(B976,'_Sys|Line_Map'!$A:$A,'_Sys|Line_Map'!$C:$C,"MISSING",0)</f>
        <v/>
      </c>
      <c r="J976" s="4562">
        <f>XLOOKUP(B976,'_Sys|Line_Map'!$A:$A,'_Sys|Line_Map'!$D:$D,1,0)</f>
        <v/>
      </c>
      <c r="K976" s="4562">
        <f>IF(D976="","",D976*J976)</f>
        <v/>
      </c>
      <c r="L976" s="4562">
        <f>XLOOKUP(B976,'_Sys|Line_Map'!$A:$A,'_Sys|Line_Map'!$B:$B,"MISSING",0)</f>
        <v/>
      </c>
    </row>
    <row r="977">
      <c r="A977" s="4561" t="n"/>
      <c r="B977" s="4561" t="n"/>
      <c r="C977" s="4561" t="n"/>
      <c r="D977" s="4561" t="n"/>
      <c r="E977" s="4561" t="n"/>
      <c r="F977" s="4561" t="n"/>
      <c r="G977" s="4561" t="n"/>
      <c r="H977" s="4561" t="n"/>
      <c r="I977" s="4562">
        <f>XLOOKUP(B977,'_Sys|Line_Map'!$A:$A,'_Sys|Line_Map'!$C:$C,"MISSING",0)</f>
        <v/>
      </c>
      <c r="J977" s="4562">
        <f>XLOOKUP(B977,'_Sys|Line_Map'!$A:$A,'_Sys|Line_Map'!$D:$D,1,0)</f>
        <v/>
      </c>
      <c r="K977" s="4562">
        <f>IF(D977="","",D977*J977)</f>
        <v/>
      </c>
      <c r="L977" s="4562">
        <f>XLOOKUP(B977,'_Sys|Line_Map'!$A:$A,'_Sys|Line_Map'!$B:$B,"MISSING",0)</f>
        <v/>
      </c>
    </row>
    <row r="978">
      <c r="A978" s="4561" t="n"/>
      <c r="B978" s="4561" t="n"/>
      <c r="C978" s="4561" t="n"/>
      <c r="D978" s="4561" t="n"/>
      <c r="E978" s="4561" t="n"/>
      <c r="F978" s="4561" t="n"/>
      <c r="G978" s="4561" t="n"/>
      <c r="H978" s="4561" t="n"/>
      <c r="I978" s="4562">
        <f>XLOOKUP(B978,'_Sys|Line_Map'!$A:$A,'_Sys|Line_Map'!$C:$C,"MISSING",0)</f>
        <v/>
      </c>
      <c r="J978" s="4562">
        <f>XLOOKUP(B978,'_Sys|Line_Map'!$A:$A,'_Sys|Line_Map'!$D:$D,1,0)</f>
        <v/>
      </c>
      <c r="K978" s="4562">
        <f>IF(D978="","",D978*J978)</f>
        <v/>
      </c>
      <c r="L978" s="4562">
        <f>XLOOKUP(B978,'_Sys|Line_Map'!$A:$A,'_Sys|Line_Map'!$B:$B,"MISSING",0)</f>
        <v/>
      </c>
    </row>
    <row r="979">
      <c r="A979" s="4561" t="n"/>
      <c r="B979" s="4561" t="n"/>
      <c r="C979" s="4561" t="n"/>
      <c r="D979" s="4561" t="n"/>
      <c r="E979" s="4561" t="n"/>
      <c r="F979" s="4561" t="n"/>
      <c r="G979" s="4561" t="n"/>
      <c r="H979" s="4561" t="n"/>
      <c r="I979" s="4562">
        <f>XLOOKUP(B979,'_Sys|Line_Map'!$A:$A,'_Sys|Line_Map'!$C:$C,"MISSING",0)</f>
        <v/>
      </c>
      <c r="J979" s="4562">
        <f>XLOOKUP(B979,'_Sys|Line_Map'!$A:$A,'_Sys|Line_Map'!$D:$D,1,0)</f>
        <v/>
      </c>
      <c r="K979" s="4562">
        <f>IF(D979="","",D979*J979)</f>
        <v/>
      </c>
      <c r="L979" s="4562">
        <f>XLOOKUP(B979,'_Sys|Line_Map'!$A:$A,'_Sys|Line_Map'!$B:$B,"MISSING",0)</f>
        <v/>
      </c>
    </row>
    <row r="980">
      <c r="A980" s="4561" t="n"/>
      <c r="B980" s="4561" t="n"/>
      <c r="C980" s="4561" t="n"/>
      <c r="D980" s="4561" t="n"/>
      <c r="E980" s="4561" t="n"/>
      <c r="F980" s="4561" t="n"/>
      <c r="G980" s="4561" t="n"/>
      <c r="H980" s="4561" t="n"/>
      <c r="I980" s="4562">
        <f>XLOOKUP(B980,'_Sys|Line_Map'!$A:$A,'_Sys|Line_Map'!$C:$C,"MISSING",0)</f>
        <v/>
      </c>
      <c r="J980" s="4562">
        <f>XLOOKUP(B980,'_Sys|Line_Map'!$A:$A,'_Sys|Line_Map'!$D:$D,1,0)</f>
        <v/>
      </c>
      <c r="K980" s="4562">
        <f>IF(D980="","",D980*J980)</f>
        <v/>
      </c>
      <c r="L980" s="4562">
        <f>XLOOKUP(B980,'_Sys|Line_Map'!$A:$A,'_Sys|Line_Map'!$B:$B,"MISSING",0)</f>
        <v/>
      </c>
    </row>
    <row r="981">
      <c r="A981" s="4561" t="n"/>
      <c r="B981" s="4561" t="n"/>
      <c r="C981" s="4561" t="n"/>
      <c r="D981" s="4561" t="n"/>
      <c r="E981" s="4561" t="n"/>
      <c r="F981" s="4561" t="n"/>
      <c r="G981" s="4561" t="n"/>
      <c r="H981" s="4561" t="n"/>
      <c r="I981" s="4562">
        <f>XLOOKUP(B981,'_Sys|Line_Map'!$A:$A,'_Sys|Line_Map'!$C:$C,"MISSING",0)</f>
        <v/>
      </c>
      <c r="J981" s="4562">
        <f>XLOOKUP(B981,'_Sys|Line_Map'!$A:$A,'_Sys|Line_Map'!$D:$D,1,0)</f>
        <v/>
      </c>
      <c r="K981" s="4562">
        <f>IF(D981="","",D981*J981)</f>
        <v/>
      </c>
      <c r="L981" s="4562">
        <f>XLOOKUP(B981,'_Sys|Line_Map'!$A:$A,'_Sys|Line_Map'!$B:$B,"MISSING",0)</f>
        <v/>
      </c>
    </row>
    <row r="982">
      <c r="A982" s="4561" t="n"/>
      <c r="B982" s="4561" t="n"/>
      <c r="C982" s="4561" t="n"/>
      <c r="D982" s="4561" t="n"/>
      <c r="E982" s="4561" t="n"/>
      <c r="F982" s="4561" t="n"/>
      <c r="G982" s="4561" t="n"/>
      <c r="H982" s="4561" t="n"/>
      <c r="I982" s="4562">
        <f>XLOOKUP(B982,'_Sys|Line_Map'!$A:$A,'_Sys|Line_Map'!$C:$C,"MISSING",0)</f>
        <v/>
      </c>
      <c r="J982" s="4562">
        <f>XLOOKUP(B982,'_Sys|Line_Map'!$A:$A,'_Sys|Line_Map'!$D:$D,1,0)</f>
        <v/>
      </c>
      <c r="K982" s="4562">
        <f>IF(D982="","",D982*J982)</f>
        <v/>
      </c>
      <c r="L982" s="4562">
        <f>XLOOKUP(B982,'_Sys|Line_Map'!$A:$A,'_Sys|Line_Map'!$B:$B,"MISSING",0)</f>
        <v/>
      </c>
    </row>
    <row r="983">
      <c r="A983" s="4561" t="n"/>
      <c r="B983" s="4561" t="n"/>
      <c r="C983" s="4561" t="n"/>
      <c r="D983" s="4561" t="n"/>
      <c r="E983" s="4561" t="n"/>
      <c r="F983" s="4561" t="n"/>
      <c r="G983" s="4561" t="n"/>
      <c r="H983" s="4561" t="n"/>
      <c r="I983" s="4562">
        <f>XLOOKUP(B983,'_Sys|Line_Map'!$A:$A,'_Sys|Line_Map'!$C:$C,"MISSING",0)</f>
        <v/>
      </c>
      <c r="J983" s="4562">
        <f>XLOOKUP(B983,'_Sys|Line_Map'!$A:$A,'_Sys|Line_Map'!$D:$D,1,0)</f>
        <v/>
      </c>
      <c r="K983" s="4562">
        <f>IF(D983="","",D983*J983)</f>
        <v/>
      </c>
      <c r="L983" s="4562">
        <f>XLOOKUP(B983,'_Sys|Line_Map'!$A:$A,'_Sys|Line_Map'!$B:$B,"MISSING",0)</f>
        <v/>
      </c>
    </row>
    <row r="984">
      <c r="A984" s="4561" t="n"/>
      <c r="B984" s="4561" t="n"/>
      <c r="C984" s="4561" t="n"/>
      <c r="D984" s="4561" t="n"/>
      <c r="E984" s="4561" t="n"/>
      <c r="F984" s="4561" t="n"/>
      <c r="G984" s="4561" t="n"/>
      <c r="H984" s="4561" t="n"/>
      <c r="I984" s="4562">
        <f>XLOOKUP(B984,'_Sys|Line_Map'!$A:$A,'_Sys|Line_Map'!$C:$C,"MISSING",0)</f>
        <v/>
      </c>
      <c r="J984" s="4562">
        <f>XLOOKUP(B984,'_Sys|Line_Map'!$A:$A,'_Sys|Line_Map'!$D:$D,1,0)</f>
        <v/>
      </c>
      <c r="K984" s="4562">
        <f>IF(D984="","",D984*J984)</f>
        <v/>
      </c>
      <c r="L984" s="4562">
        <f>XLOOKUP(B984,'_Sys|Line_Map'!$A:$A,'_Sys|Line_Map'!$B:$B,"MISSING",0)</f>
        <v/>
      </c>
    </row>
    <row r="985">
      <c r="A985" s="4561" t="n"/>
      <c r="B985" s="4561" t="n"/>
      <c r="C985" s="4561" t="n"/>
      <c r="D985" s="4561" t="n"/>
      <c r="E985" s="4561" t="n"/>
      <c r="F985" s="4561" t="n"/>
      <c r="G985" s="4561" t="n"/>
      <c r="H985" s="4561" t="n"/>
      <c r="I985" s="4562">
        <f>XLOOKUP(B985,'_Sys|Line_Map'!$A:$A,'_Sys|Line_Map'!$C:$C,"MISSING",0)</f>
        <v/>
      </c>
      <c r="J985" s="4562">
        <f>XLOOKUP(B985,'_Sys|Line_Map'!$A:$A,'_Sys|Line_Map'!$D:$D,1,0)</f>
        <v/>
      </c>
      <c r="K985" s="4562">
        <f>IF(D985="","",D985*J985)</f>
        <v/>
      </c>
      <c r="L985" s="4562">
        <f>XLOOKUP(B985,'_Sys|Line_Map'!$A:$A,'_Sys|Line_Map'!$B:$B,"MISSING",0)</f>
        <v/>
      </c>
    </row>
    <row r="986">
      <c r="A986" s="4561" t="n"/>
      <c r="B986" s="4561" t="n"/>
      <c r="C986" s="4561" t="n"/>
      <c r="D986" s="4561" t="n"/>
      <c r="E986" s="4561" t="n"/>
      <c r="F986" s="4561" t="n"/>
      <c r="G986" s="4561" t="n"/>
      <c r="H986" s="4561" t="n"/>
      <c r="I986" s="4562">
        <f>XLOOKUP(B986,'_Sys|Line_Map'!$A:$A,'_Sys|Line_Map'!$C:$C,"MISSING",0)</f>
        <v/>
      </c>
      <c r="J986" s="4562">
        <f>XLOOKUP(B986,'_Sys|Line_Map'!$A:$A,'_Sys|Line_Map'!$D:$D,1,0)</f>
        <v/>
      </c>
      <c r="K986" s="4562">
        <f>IF(D986="","",D986*J986)</f>
        <v/>
      </c>
      <c r="L986" s="4562">
        <f>XLOOKUP(B986,'_Sys|Line_Map'!$A:$A,'_Sys|Line_Map'!$B:$B,"MISSING",0)</f>
        <v/>
      </c>
    </row>
    <row r="987">
      <c r="A987" s="4561" t="n"/>
      <c r="B987" s="4561" t="n"/>
      <c r="C987" s="4561" t="n"/>
      <c r="D987" s="4561" t="n"/>
      <c r="E987" s="4561" t="n"/>
      <c r="F987" s="4561" t="n"/>
      <c r="G987" s="4561" t="n"/>
      <c r="H987" s="4561" t="n"/>
      <c r="I987" s="4562">
        <f>XLOOKUP(B987,'_Sys|Line_Map'!$A:$A,'_Sys|Line_Map'!$C:$C,"MISSING",0)</f>
        <v/>
      </c>
      <c r="J987" s="4562">
        <f>XLOOKUP(B987,'_Sys|Line_Map'!$A:$A,'_Sys|Line_Map'!$D:$D,1,0)</f>
        <v/>
      </c>
      <c r="K987" s="4562">
        <f>IF(D987="","",D987*J987)</f>
        <v/>
      </c>
      <c r="L987" s="4562">
        <f>XLOOKUP(B987,'_Sys|Line_Map'!$A:$A,'_Sys|Line_Map'!$B:$B,"MISSING",0)</f>
        <v/>
      </c>
    </row>
    <row r="988">
      <c r="A988" s="4561" t="n"/>
      <c r="B988" s="4561" t="n"/>
      <c r="C988" s="4561" t="n"/>
      <c r="D988" s="4561" t="n"/>
      <c r="E988" s="4561" t="n"/>
      <c r="F988" s="4561" t="n"/>
      <c r="G988" s="4561" t="n"/>
      <c r="H988" s="4561" t="n"/>
      <c r="I988" s="4562">
        <f>XLOOKUP(B988,'_Sys|Line_Map'!$A:$A,'_Sys|Line_Map'!$C:$C,"MISSING",0)</f>
        <v/>
      </c>
      <c r="J988" s="4562">
        <f>XLOOKUP(B988,'_Sys|Line_Map'!$A:$A,'_Sys|Line_Map'!$D:$D,1,0)</f>
        <v/>
      </c>
      <c r="K988" s="4562">
        <f>IF(D988="","",D988*J988)</f>
        <v/>
      </c>
      <c r="L988" s="4562">
        <f>XLOOKUP(B988,'_Sys|Line_Map'!$A:$A,'_Sys|Line_Map'!$B:$B,"MISSING",0)</f>
        <v/>
      </c>
    </row>
    <row r="989">
      <c r="A989" s="4561" t="n"/>
      <c r="B989" s="4561" t="n"/>
      <c r="C989" s="4561" t="n"/>
      <c r="D989" s="4561" t="n"/>
      <c r="E989" s="4561" t="n"/>
      <c r="F989" s="4561" t="n"/>
      <c r="G989" s="4561" t="n"/>
      <c r="H989" s="4561" t="n"/>
      <c r="I989" s="4562">
        <f>XLOOKUP(B989,'_Sys|Line_Map'!$A:$A,'_Sys|Line_Map'!$C:$C,"MISSING",0)</f>
        <v/>
      </c>
      <c r="J989" s="4562">
        <f>XLOOKUP(B989,'_Sys|Line_Map'!$A:$A,'_Sys|Line_Map'!$D:$D,1,0)</f>
        <v/>
      </c>
      <c r="K989" s="4562">
        <f>IF(D989="","",D989*J989)</f>
        <v/>
      </c>
      <c r="L989" s="4562">
        <f>XLOOKUP(B989,'_Sys|Line_Map'!$A:$A,'_Sys|Line_Map'!$B:$B,"MISSING",0)</f>
        <v/>
      </c>
    </row>
    <row r="990">
      <c r="A990" s="4561" t="n"/>
      <c r="B990" s="4561" t="n"/>
      <c r="C990" s="4561" t="n"/>
      <c r="D990" s="4561" t="n"/>
      <c r="E990" s="4561" t="n"/>
      <c r="F990" s="4561" t="n"/>
      <c r="G990" s="4561" t="n"/>
      <c r="H990" s="4561" t="n"/>
      <c r="I990" s="4562">
        <f>XLOOKUP(B990,'_Sys|Line_Map'!$A:$A,'_Sys|Line_Map'!$C:$C,"MISSING",0)</f>
        <v/>
      </c>
      <c r="J990" s="4562">
        <f>XLOOKUP(B990,'_Sys|Line_Map'!$A:$A,'_Sys|Line_Map'!$D:$D,1,0)</f>
        <v/>
      </c>
      <c r="K990" s="4562">
        <f>IF(D990="","",D990*J990)</f>
        <v/>
      </c>
      <c r="L990" s="4562">
        <f>XLOOKUP(B990,'_Sys|Line_Map'!$A:$A,'_Sys|Line_Map'!$B:$B,"MISSING",0)</f>
        <v/>
      </c>
    </row>
    <row r="991">
      <c r="A991" s="4561" t="n"/>
      <c r="B991" s="4561" t="n"/>
      <c r="C991" s="4561" t="n"/>
      <c r="D991" s="4561" t="n"/>
      <c r="E991" s="4561" t="n"/>
      <c r="F991" s="4561" t="n"/>
      <c r="G991" s="4561" t="n"/>
      <c r="H991" s="4561" t="n"/>
      <c r="I991" s="4562">
        <f>XLOOKUP(B991,'_Sys|Line_Map'!$A:$A,'_Sys|Line_Map'!$C:$C,"MISSING",0)</f>
        <v/>
      </c>
      <c r="J991" s="4562">
        <f>XLOOKUP(B991,'_Sys|Line_Map'!$A:$A,'_Sys|Line_Map'!$D:$D,1,0)</f>
        <v/>
      </c>
      <c r="K991" s="4562">
        <f>IF(D991="","",D991*J991)</f>
        <v/>
      </c>
      <c r="L991" s="4562">
        <f>XLOOKUP(B991,'_Sys|Line_Map'!$A:$A,'_Sys|Line_Map'!$B:$B,"MISSING",0)</f>
        <v/>
      </c>
    </row>
    <row r="992">
      <c r="A992" s="4561" t="n"/>
      <c r="B992" s="4561" t="n"/>
      <c r="C992" s="4561" t="n"/>
      <c r="D992" s="4561" t="n"/>
      <c r="E992" s="4561" t="n"/>
      <c r="F992" s="4561" t="n"/>
      <c r="G992" s="4561" t="n"/>
      <c r="H992" s="4561" t="n"/>
      <c r="I992" s="4562">
        <f>XLOOKUP(B992,'_Sys|Line_Map'!$A:$A,'_Sys|Line_Map'!$C:$C,"MISSING",0)</f>
        <v/>
      </c>
      <c r="J992" s="4562">
        <f>XLOOKUP(B992,'_Sys|Line_Map'!$A:$A,'_Sys|Line_Map'!$D:$D,1,0)</f>
        <v/>
      </c>
      <c r="K992" s="4562">
        <f>IF(D992="","",D992*J992)</f>
        <v/>
      </c>
      <c r="L992" s="4562">
        <f>XLOOKUP(B992,'_Sys|Line_Map'!$A:$A,'_Sys|Line_Map'!$B:$B,"MISSING",0)</f>
        <v/>
      </c>
    </row>
    <row r="993">
      <c r="A993" s="4561" t="n"/>
      <c r="B993" s="4561" t="n"/>
      <c r="C993" s="4561" t="n"/>
      <c r="D993" s="4561" t="n"/>
      <c r="E993" s="4561" t="n"/>
      <c r="F993" s="4561" t="n"/>
      <c r="G993" s="4561" t="n"/>
      <c r="H993" s="4561" t="n"/>
      <c r="I993" s="4562">
        <f>XLOOKUP(B993,'_Sys|Line_Map'!$A:$A,'_Sys|Line_Map'!$C:$C,"MISSING",0)</f>
        <v/>
      </c>
      <c r="J993" s="4562">
        <f>XLOOKUP(B993,'_Sys|Line_Map'!$A:$A,'_Sys|Line_Map'!$D:$D,1,0)</f>
        <v/>
      </c>
      <c r="K993" s="4562">
        <f>IF(D993="","",D993*J993)</f>
        <v/>
      </c>
      <c r="L993" s="4562">
        <f>XLOOKUP(B993,'_Sys|Line_Map'!$A:$A,'_Sys|Line_Map'!$B:$B,"MISSING",0)</f>
        <v/>
      </c>
    </row>
    <row r="994">
      <c r="A994" s="4561" t="n"/>
      <c r="B994" s="4561" t="n"/>
      <c r="C994" s="4561" t="n"/>
      <c r="D994" s="4561" t="n"/>
      <c r="E994" s="4561" t="n"/>
      <c r="F994" s="4561" t="n"/>
      <c r="G994" s="4561" t="n"/>
      <c r="H994" s="4561" t="n"/>
      <c r="I994" s="4562">
        <f>XLOOKUP(B994,'_Sys|Line_Map'!$A:$A,'_Sys|Line_Map'!$C:$C,"MISSING",0)</f>
        <v/>
      </c>
      <c r="J994" s="4562">
        <f>XLOOKUP(B994,'_Sys|Line_Map'!$A:$A,'_Sys|Line_Map'!$D:$D,1,0)</f>
        <v/>
      </c>
      <c r="K994" s="4562">
        <f>IF(D994="","",D994*J994)</f>
        <v/>
      </c>
      <c r="L994" s="4562">
        <f>XLOOKUP(B994,'_Sys|Line_Map'!$A:$A,'_Sys|Line_Map'!$B:$B,"MISSING",0)</f>
        <v/>
      </c>
    </row>
    <row r="995">
      <c r="A995" s="4561" t="n"/>
      <c r="B995" s="4561" t="n"/>
      <c r="C995" s="4561" t="n"/>
      <c r="D995" s="4561" t="n"/>
      <c r="E995" s="4561" t="n"/>
      <c r="F995" s="4561" t="n"/>
      <c r="G995" s="4561" t="n"/>
      <c r="H995" s="4561" t="n"/>
      <c r="I995" s="4562">
        <f>XLOOKUP(B995,'_Sys|Line_Map'!$A:$A,'_Sys|Line_Map'!$C:$C,"MISSING",0)</f>
        <v/>
      </c>
      <c r="J995" s="4562">
        <f>XLOOKUP(B995,'_Sys|Line_Map'!$A:$A,'_Sys|Line_Map'!$D:$D,1,0)</f>
        <v/>
      </c>
      <c r="K995" s="4562">
        <f>IF(D995="","",D995*J995)</f>
        <v/>
      </c>
      <c r="L995" s="4562">
        <f>XLOOKUP(B995,'_Sys|Line_Map'!$A:$A,'_Sys|Line_Map'!$B:$B,"MISSING",0)</f>
        <v/>
      </c>
    </row>
    <row r="996">
      <c r="A996" s="4561" t="n"/>
      <c r="B996" s="4561" t="n"/>
      <c r="C996" s="4561" t="n"/>
      <c r="D996" s="4561" t="n"/>
      <c r="E996" s="4561" t="n"/>
      <c r="F996" s="4561" t="n"/>
      <c r="G996" s="4561" t="n"/>
      <c r="H996" s="4561" t="n"/>
      <c r="I996" s="4562">
        <f>XLOOKUP(B996,'_Sys|Line_Map'!$A:$A,'_Sys|Line_Map'!$C:$C,"MISSING",0)</f>
        <v/>
      </c>
      <c r="J996" s="4562">
        <f>XLOOKUP(B996,'_Sys|Line_Map'!$A:$A,'_Sys|Line_Map'!$D:$D,1,0)</f>
        <v/>
      </c>
      <c r="K996" s="4562">
        <f>IF(D996="","",D996*J996)</f>
        <v/>
      </c>
      <c r="L996" s="4562">
        <f>XLOOKUP(B996,'_Sys|Line_Map'!$A:$A,'_Sys|Line_Map'!$B:$B,"MISSING",0)</f>
        <v/>
      </c>
    </row>
    <row r="997">
      <c r="A997" s="4561" t="n"/>
      <c r="B997" s="4561" t="n"/>
      <c r="C997" s="4561" t="n"/>
      <c r="D997" s="4561" t="n"/>
      <c r="E997" s="4561" t="n"/>
      <c r="F997" s="4561" t="n"/>
      <c r="G997" s="4561" t="n"/>
      <c r="H997" s="4561" t="n"/>
      <c r="I997" s="4562">
        <f>XLOOKUP(B997,'_Sys|Line_Map'!$A:$A,'_Sys|Line_Map'!$C:$C,"MISSING",0)</f>
        <v/>
      </c>
      <c r="J997" s="4562">
        <f>XLOOKUP(B997,'_Sys|Line_Map'!$A:$A,'_Sys|Line_Map'!$D:$D,1,0)</f>
        <v/>
      </c>
      <c r="K997" s="4562">
        <f>IF(D997="","",D997*J997)</f>
        <v/>
      </c>
      <c r="L997" s="4562">
        <f>XLOOKUP(B997,'_Sys|Line_Map'!$A:$A,'_Sys|Line_Map'!$B:$B,"MISSING",0)</f>
        <v/>
      </c>
    </row>
    <row r="998">
      <c r="A998" s="4561" t="n"/>
      <c r="B998" s="4561" t="n"/>
      <c r="C998" s="4561" t="n"/>
      <c r="D998" s="4561" t="n"/>
      <c r="E998" s="4561" t="n"/>
      <c r="F998" s="4561" t="n"/>
      <c r="G998" s="4561" t="n"/>
      <c r="H998" s="4561" t="n"/>
      <c r="I998" s="4562">
        <f>XLOOKUP(B998,'_Sys|Line_Map'!$A:$A,'_Sys|Line_Map'!$C:$C,"MISSING",0)</f>
        <v/>
      </c>
      <c r="J998" s="4562">
        <f>XLOOKUP(B998,'_Sys|Line_Map'!$A:$A,'_Sys|Line_Map'!$D:$D,1,0)</f>
        <v/>
      </c>
      <c r="K998" s="4562">
        <f>IF(D998="","",D998*J998)</f>
        <v/>
      </c>
      <c r="L998" s="4562">
        <f>XLOOKUP(B998,'_Sys|Line_Map'!$A:$A,'_Sys|Line_Map'!$B:$B,"MISSING",0)</f>
        <v/>
      </c>
    </row>
    <row r="999">
      <c r="A999" s="4561" t="n"/>
      <c r="B999" s="4561" t="n"/>
      <c r="C999" s="4561" t="n"/>
      <c r="D999" s="4561" t="n"/>
      <c r="E999" s="4561" t="n"/>
      <c r="F999" s="4561" t="n"/>
      <c r="G999" s="4561" t="n"/>
      <c r="H999" s="4561" t="n"/>
      <c r="I999" s="4562">
        <f>XLOOKUP(B999,'_Sys|Line_Map'!$A:$A,'_Sys|Line_Map'!$C:$C,"MISSING",0)</f>
        <v/>
      </c>
      <c r="J999" s="4562">
        <f>XLOOKUP(B999,'_Sys|Line_Map'!$A:$A,'_Sys|Line_Map'!$D:$D,1,0)</f>
        <v/>
      </c>
      <c r="K999" s="4562">
        <f>IF(D999="","",D999*J999)</f>
        <v/>
      </c>
      <c r="L999" s="4562">
        <f>XLOOKUP(B999,'_Sys|Line_Map'!$A:$A,'_Sys|Line_Map'!$B:$B,"MISSING",0)</f>
        <v/>
      </c>
    </row>
    <row r="1000">
      <c r="A1000" s="4561" t="n"/>
      <c r="B1000" s="4561" t="n"/>
      <c r="C1000" s="4561" t="n"/>
      <c r="D1000" s="4561" t="n"/>
      <c r="E1000" s="4561" t="n"/>
      <c r="F1000" s="4561" t="n"/>
      <c r="G1000" s="4561" t="n"/>
      <c r="H1000" s="4561" t="n"/>
      <c r="I1000" s="4562">
        <f>XLOOKUP(B1000,'_Sys|Line_Map'!$A:$A,'_Sys|Line_Map'!$C:$C,"MISSING",0)</f>
        <v/>
      </c>
      <c r="J1000" s="4562">
        <f>XLOOKUP(B1000,'_Sys|Line_Map'!$A:$A,'_Sys|Line_Map'!$D:$D,1,0)</f>
        <v/>
      </c>
      <c r="K1000" s="4562">
        <f>IF(D1000="","",D1000*J1000)</f>
        <v/>
      </c>
      <c r="L1000" s="4562">
        <f>XLOOKUP(B1000,'_Sys|Line_Map'!$A:$A,'_Sys|Line_Map'!$B:$B,"MISSING",0)</f>
        <v/>
      </c>
    </row>
    <row r="1001">
      <c r="A1001" s="4561" t="n"/>
      <c r="B1001" s="4561" t="n"/>
      <c r="C1001" s="4561" t="n"/>
      <c r="D1001" s="4561" t="n"/>
      <c r="E1001" s="4561" t="n"/>
      <c r="F1001" s="4561" t="n"/>
      <c r="G1001" s="4561" t="n"/>
      <c r="H1001" s="4561" t="n"/>
      <c r="I1001" s="4562">
        <f>XLOOKUP(B1001,'_Sys|Line_Map'!$A:$A,'_Sys|Line_Map'!$C:$C,"MISSING",0)</f>
        <v/>
      </c>
      <c r="J1001" s="4562">
        <f>XLOOKUP(B1001,'_Sys|Line_Map'!$A:$A,'_Sys|Line_Map'!$D:$D,1,0)</f>
        <v/>
      </c>
      <c r="K1001" s="4562">
        <f>IF(D1001="","",D1001*J1001)</f>
        <v/>
      </c>
      <c r="L1001" s="4562">
        <f>XLOOKUP(B1001,'_Sys|Line_Map'!$A:$A,'_Sys|Line_Map'!$B:$B,"MISSING",0)</f>
        <v/>
      </c>
    </row>
    <row r="1002">
      <c r="A1002" s="4561" t="n"/>
      <c r="B1002" s="4561" t="n"/>
      <c r="C1002" s="4561" t="n"/>
      <c r="D1002" s="4561" t="n"/>
      <c r="E1002" s="4561" t="n"/>
      <c r="F1002" s="4561" t="n"/>
      <c r="G1002" s="4561" t="n"/>
      <c r="H1002" s="4561" t="n"/>
      <c r="I1002" s="4562">
        <f>XLOOKUP(B1002,'_Sys|Line_Map'!$A:$A,'_Sys|Line_Map'!$C:$C,"MISSING",0)</f>
        <v/>
      </c>
      <c r="J1002" s="4562">
        <f>XLOOKUP(B1002,'_Sys|Line_Map'!$A:$A,'_Sys|Line_Map'!$D:$D,1,0)</f>
        <v/>
      </c>
      <c r="K1002" s="4562">
        <f>IF(D1002="","",D1002*J1002)</f>
        <v/>
      </c>
      <c r="L1002" s="4562">
        <f>XLOOKUP(B1002,'_Sys|Line_Map'!$A:$A,'_Sys|Line_Map'!$B:$B,"MISSING",0)</f>
        <v/>
      </c>
    </row>
    <row r="1003">
      <c r="A1003" s="4561" t="n"/>
      <c r="B1003" s="4561" t="n"/>
      <c r="C1003" s="4561" t="n"/>
      <c r="D1003" s="4561" t="n"/>
      <c r="E1003" s="4561" t="n"/>
      <c r="F1003" s="4561" t="n"/>
      <c r="G1003" s="4561" t="n"/>
      <c r="H1003" s="4561" t="n"/>
      <c r="I1003" s="4562">
        <f>XLOOKUP(B1003,'_Sys|Line_Map'!$A:$A,'_Sys|Line_Map'!$C:$C,"MISSING",0)</f>
        <v/>
      </c>
      <c r="J1003" s="4562">
        <f>XLOOKUP(B1003,'_Sys|Line_Map'!$A:$A,'_Sys|Line_Map'!$D:$D,1,0)</f>
        <v/>
      </c>
      <c r="K1003" s="4562">
        <f>IF(D1003="","",D1003*J1003)</f>
        <v/>
      </c>
      <c r="L1003" s="4562">
        <f>XLOOKUP(B1003,'_Sys|Line_Map'!$A:$A,'_Sys|Line_Map'!$B:$B,"MISSING",0)</f>
        <v/>
      </c>
    </row>
    <row r="1004">
      <c r="A1004" s="4561" t="n"/>
      <c r="B1004" s="4561" t="n"/>
      <c r="C1004" s="4561" t="n"/>
      <c r="D1004" s="4561" t="n"/>
      <c r="E1004" s="4561" t="n"/>
      <c r="F1004" s="4561" t="n"/>
      <c r="G1004" s="4561" t="n"/>
      <c r="H1004" s="4561" t="n"/>
      <c r="I1004" s="4562">
        <f>XLOOKUP(B1004,'_Sys|Line_Map'!$A:$A,'_Sys|Line_Map'!$C:$C,"MISSING",0)</f>
        <v/>
      </c>
      <c r="J1004" s="4562">
        <f>XLOOKUP(B1004,'_Sys|Line_Map'!$A:$A,'_Sys|Line_Map'!$D:$D,1,0)</f>
        <v/>
      </c>
      <c r="K1004" s="4562">
        <f>IF(D1004="","",D1004*J1004)</f>
        <v/>
      </c>
      <c r="L1004" s="4562">
        <f>XLOOKUP(B1004,'_Sys|Line_Map'!$A:$A,'_Sys|Line_Map'!$B:$B,"MISSING",0)</f>
        <v/>
      </c>
    </row>
    <row r="1005">
      <c r="A1005" s="4561" t="n"/>
      <c r="B1005" s="4561" t="n"/>
      <c r="C1005" s="4561" t="n"/>
      <c r="D1005" s="4561" t="n"/>
      <c r="E1005" s="4561" t="n"/>
      <c r="F1005" s="4561" t="n"/>
      <c r="G1005" s="4561" t="n"/>
      <c r="H1005" s="4561" t="n"/>
      <c r="I1005" s="4562">
        <f>XLOOKUP(B1005,'_Sys|Line_Map'!$A:$A,'_Sys|Line_Map'!$C:$C,"MISSING",0)</f>
        <v/>
      </c>
      <c r="J1005" s="4562">
        <f>XLOOKUP(B1005,'_Sys|Line_Map'!$A:$A,'_Sys|Line_Map'!$D:$D,1,0)</f>
        <v/>
      </c>
      <c r="K1005" s="4562">
        <f>IF(D1005="","",D1005*J1005)</f>
        <v/>
      </c>
      <c r="L1005" s="4562">
        <f>XLOOKUP(B1005,'_Sys|Line_Map'!$A:$A,'_Sys|Line_Map'!$B:$B,"MISSING",0)</f>
        <v/>
      </c>
    </row>
    <row r="1006">
      <c r="A1006" s="4561" t="n"/>
      <c r="B1006" s="4561" t="n"/>
      <c r="C1006" s="4561" t="n"/>
      <c r="D1006" s="4561" t="n"/>
      <c r="E1006" s="4561" t="n"/>
      <c r="F1006" s="4561" t="n"/>
      <c r="G1006" s="4561" t="n"/>
      <c r="H1006" s="4561" t="n"/>
      <c r="I1006" s="4562">
        <f>XLOOKUP(B1006,'_Sys|Line_Map'!$A:$A,'_Sys|Line_Map'!$C:$C,"MISSING",0)</f>
        <v/>
      </c>
      <c r="J1006" s="4562">
        <f>XLOOKUP(B1006,'_Sys|Line_Map'!$A:$A,'_Sys|Line_Map'!$D:$D,1,0)</f>
        <v/>
      </c>
      <c r="K1006" s="4562">
        <f>IF(D1006="","",D1006*J1006)</f>
        <v/>
      </c>
      <c r="L1006" s="4562">
        <f>XLOOKUP(B1006,'_Sys|Line_Map'!$A:$A,'_Sys|Line_Map'!$B:$B,"MISSING",0)</f>
        <v/>
      </c>
    </row>
    <row r="1007">
      <c r="A1007" s="4561" t="n"/>
      <c r="B1007" s="4561" t="n"/>
      <c r="C1007" s="4561" t="n"/>
      <c r="D1007" s="4561" t="n"/>
      <c r="E1007" s="4561" t="n"/>
      <c r="F1007" s="4561" t="n"/>
      <c r="G1007" s="4561" t="n"/>
      <c r="H1007" s="4561" t="n"/>
      <c r="I1007" s="4562">
        <f>XLOOKUP(B1007,'_Sys|Line_Map'!$A:$A,'_Sys|Line_Map'!$C:$C,"MISSING",0)</f>
        <v/>
      </c>
      <c r="J1007" s="4562">
        <f>XLOOKUP(B1007,'_Sys|Line_Map'!$A:$A,'_Sys|Line_Map'!$D:$D,1,0)</f>
        <v/>
      </c>
      <c r="K1007" s="4562">
        <f>IF(D1007="","",D1007*J1007)</f>
        <v/>
      </c>
      <c r="L1007" s="4562">
        <f>XLOOKUP(B1007,'_Sys|Line_Map'!$A:$A,'_Sys|Line_Map'!$B:$B,"MISSING",0)</f>
        <v/>
      </c>
    </row>
    <row r="1008">
      <c r="A1008" s="4561" t="n"/>
      <c r="B1008" s="4561" t="n"/>
      <c r="C1008" s="4561" t="n"/>
      <c r="D1008" s="4561" t="n"/>
      <c r="E1008" s="4561" t="n"/>
      <c r="F1008" s="4561" t="n"/>
      <c r="G1008" s="4561" t="n"/>
      <c r="H1008" s="4561" t="n"/>
      <c r="I1008" s="4562">
        <f>XLOOKUP(B1008,'_Sys|Line_Map'!$A:$A,'_Sys|Line_Map'!$C:$C,"MISSING",0)</f>
        <v/>
      </c>
      <c r="J1008" s="4562">
        <f>XLOOKUP(B1008,'_Sys|Line_Map'!$A:$A,'_Sys|Line_Map'!$D:$D,1,0)</f>
        <v/>
      </c>
      <c r="K1008" s="4562">
        <f>IF(D1008="","",D1008*J1008)</f>
        <v/>
      </c>
      <c r="L1008" s="4562">
        <f>XLOOKUP(B1008,'_Sys|Line_Map'!$A:$A,'_Sys|Line_Map'!$B:$B,"MISSING",0)</f>
        <v/>
      </c>
    </row>
    <row r="1009">
      <c r="A1009" s="4561" t="n"/>
      <c r="B1009" s="4561" t="n"/>
      <c r="C1009" s="4561" t="n"/>
      <c r="D1009" s="4561" t="n"/>
      <c r="E1009" s="4561" t="n"/>
      <c r="F1009" s="4561" t="n"/>
      <c r="G1009" s="4561" t="n"/>
      <c r="H1009" s="4561" t="n"/>
      <c r="I1009" s="4562">
        <f>XLOOKUP(B1009,'_Sys|Line_Map'!$A:$A,'_Sys|Line_Map'!$C:$C,"MISSING",0)</f>
        <v/>
      </c>
      <c r="J1009" s="4562">
        <f>XLOOKUP(B1009,'_Sys|Line_Map'!$A:$A,'_Sys|Line_Map'!$D:$D,1,0)</f>
        <v/>
      </c>
      <c r="K1009" s="4562">
        <f>IF(D1009="","",D1009*J1009)</f>
        <v/>
      </c>
      <c r="L1009" s="4562">
        <f>XLOOKUP(B1009,'_Sys|Line_Map'!$A:$A,'_Sys|Line_Map'!$B:$B,"MISSING",0)</f>
        <v/>
      </c>
    </row>
    <row r="1010">
      <c r="A1010" s="4561" t="n"/>
      <c r="B1010" s="4561" t="n"/>
      <c r="C1010" s="4561" t="n"/>
      <c r="D1010" s="4561" t="n"/>
      <c r="E1010" s="4561" t="n"/>
      <c r="F1010" s="4561" t="n"/>
      <c r="G1010" s="4561" t="n"/>
      <c r="H1010" s="4561" t="n"/>
      <c r="I1010" s="4562">
        <f>XLOOKUP(B1010,'_Sys|Line_Map'!$A:$A,'_Sys|Line_Map'!$C:$C,"MISSING",0)</f>
        <v/>
      </c>
      <c r="J1010" s="4562">
        <f>XLOOKUP(B1010,'_Sys|Line_Map'!$A:$A,'_Sys|Line_Map'!$D:$D,1,0)</f>
        <v/>
      </c>
      <c r="K1010" s="4562">
        <f>IF(D1010="","",D1010*J1010)</f>
        <v/>
      </c>
      <c r="L1010" s="4562">
        <f>XLOOKUP(B1010,'_Sys|Line_Map'!$A:$A,'_Sys|Line_Map'!$B:$B,"MISSING",0)</f>
        <v/>
      </c>
    </row>
    <row r="1011">
      <c r="A1011" s="4561" t="n"/>
      <c r="B1011" s="4561" t="n"/>
      <c r="C1011" s="4561" t="n"/>
      <c r="D1011" s="4561" t="n"/>
      <c r="E1011" s="4561" t="n"/>
      <c r="F1011" s="4561" t="n"/>
      <c r="G1011" s="4561" t="n"/>
      <c r="H1011" s="4561" t="n"/>
      <c r="I1011" s="4562">
        <f>XLOOKUP(B1011,'_Sys|Line_Map'!$A:$A,'_Sys|Line_Map'!$C:$C,"MISSING",0)</f>
        <v/>
      </c>
      <c r="J1011" s="4562">
        <f>XLOOKUP(B1011,'_Sys|Line_Map'!$A:$A,'_Sys|Line_Map'!$D:$D,1,0)</f>
        <v/>
      </c>
      <c r="K1011" s="4562">
        <f>IF(D1011="","",D1011*J1011)</f>
        <v/>
      </c>
      <c r="L1011" s="4562">
        <f>XLOOKUP(B1011,'_Sys|Line_Map'!$A:$A,'_Sys|Line_Map'!$B:$B,"MISSING",0)</f>
        <v/>
      </c>
    </row>
    <row r="1012">
      <c r="A1012" s="4561" t="n"/>
      <c r="B1012" s="4561" t="n"/>
      <c r="C1012" s="4561" t="n"/>
      <c r="D1012" s="4561" t="n"/>
      <c r="E1012" s="4561" t="n"/>
      <c r="F1012" s="4561" t="n"/>
      <c r="G1012" s="4561" t="n"/>
      <c r="H1012" s="4561" t="n"/>
      <c r="I1012" s="4562">
        <f>XLOOKUP(B1012,'_Sys|Line_Map'!$A:$A,'_Sys|Line_Map'!$C:$C,"MISSING",0)</f>
        <v/>
      </c>
      <c r="J1012" s="4562">
        <f>XLOOKUP(B1012,'_Sys|Line_Map'!$A:$A,'_Sys|Line_Map'!$D:$D,1,0)</f>
        <v/>
      </c>
      <c r="K1012" s="4562">
        <f>IF(D1012="","",D1012*J1012)</f>
        <v/>
      </c>
      <c r="L1012" s="4562">
        <f>XLOOKUP(B1012,'_Sys|Line_Map'!$A:$A,'_Sys|Line_Map'!$B:$B,"MISSING",0)</f>
        <v/>
      </c>
    </row>
    <row r="1013">
      <c r="A1013" s="4561" t="n"/>
      <c r="B1013" s="4561" t="n"/>
      <c r="C1013" s="4561" t="n"/>
      <c r="D1013" s="4561" t="n"/>
      <c r="E1013" s="4561" t="n"/>
      <c r="F1013" s="4561" t="n"/>
      <c r="G1013" s="4561" t="n"/>
      <c r="H1013" s="4561" t="n"/>
      <c r="I1013" s="4562">
        <f>XLOOKUP(B1013,'_Sys|Line_Map'!$A:$A,'_Sys|Line_Map'!$C:$C,"MISSING",0)</f>
        <v/>
      </c>
      <c r="J1013" s="4562">
        <f>XLOOKUP(B1013,'_Sys|Line_Map'!$A:$A,'_Sys|Line_Map'!$D:$D,1,0)</f>
        <v/>
      </c>
      <c r="K1013" s="4562">
        <f>IF(D1013="","",D1013*J1013)</f>
        <v/>
      </c>
      <c r="L1013" s="4562">
        <f>XLOOKUP(B1013,'_Sys|Line_Map'!$A:$A,'_Sys|Line_Map'!$B:$B,"MISSING",0)</f>
        <v/>
      </c>
    </row>
    <row r="1014">
      <c r="A1014" s="4561" t="n"/>
      <c r="B1014" s="4561" t="n"/>
      <c r="C1014" s="4561" t="n"/>
      <c r="D1014" s="4561" t="n"/>
      <c r="E1014" s="4561" t="n"/>
      <c r="F1014" s="4561" t="n"/>
      <c r="G1014" s="4561" t="n"/>
      <c r="H1014" s="4561" t="n"/>
      <c r="I1014" s="4562">
        <f>XLOOKUP(B1014,'_Sys|Line_Map'!$A:$A,'_Sys|Line_Map'!$C:$C,"MISSING",0)</f>
        <v/>
      </c>
      <c r="J1014" s="4562">
        <f>XLOOKUP(B1014,'_Sys|Line_Map'!$A:$A,'_Sys|Line_Map'!$D:$D,1,0)</f>
        <v/>
      </c>
      <c r="K1014" s="4562">
        <f>IF(D1014="","",D1014*J1014)</f>
        <v/>
      </c>
      <c r="L1014" s="4562">
        <f>XLOOKUP(B1014,'_Sys|Line_Map'!$A:$A,'_Sys|Line_Map'!$B:$B,"MISSING",0)</f>
        <v/>
      </c>
    </row>
    <row r="1015">
      <c r="A1015" s="4561" t="n"/>
      <c r="B1015" s="4561" t="n"/>
      <c r="C1015" s="4561" t="n"/>
      <c r="D1015" s="4561" t="n"/>
      <c r="E1015" s="4561" t="n"/>
      <c r="F1015" s="4561" t="n"/>
      <c r="G1015" s="4561" t="n"/>
      <c r="H1015" s="4561" t="n"/>
      <c r="I1015" s="4562">
        <f>XLOOKUP(B1015,'_Sys|Line_Map'!$A:$A,'_Sys|Line_Map'!$C:$C,"MISSING",0)</f>
        <v/>
      </c>
      <c r="J1015" s="4562">
        <f>XLOOKUP(B1015,'_Sys|Line_Map'!$A:$A,'_Sys|Line_Map'!$D:$D,1,0)</f>
        <v/>
      </c>
      <c r="K1015" s="4562">
        <f>IF(D1015="","",D1015*J1015)</f>
        <v/>
      </c>
      <c r="L1015" s="4562">
        <f>XLOOKUP(B1015,'_Sys|Line_Map'!$A:$A,'_Sys|Line_Map'!$B:$B,"MISSING",0)</f>
        <v/>
      </c>
    </row>
    <row r="1016">
      <c r="A1016" s="4561" t="n"/>
      <c r="B1016" s="4561" t="n"/>
      <c r="C1016" s="4561" t="n"/>
      <c r="D1016" s="4561" t="n"/>
      <c r="E1016" s="4561" t="n"/>
      <c r="F1016" s="4561" t="n"/>
      <c r="G1016" s="4561" t="n"/>
      <c r="H1016" s="4561" t="n"/>
      <c r="I1016" s="4562">
        <f>XLOOKUP(B1016,'_Sys|Line_Map'!$A:$A,'_Sys|Line_Map'!$C:$C,"MISSING",0)</f>
        <v/>
      </c>
      <c r="J1016" s="4562">
        <f>XLOOKUP(B1016,'_Sys|Line_Map'!$A:$A,'_Sys|Line_Map'!$D:$D,1,0)</f>
        <v/>
      </c>
      <c r="K1016" s="4562">
        <f>IF(D1016="","",D1016*J1016)</f>
        <v/>
      </c>
      <c r="L1016" s="4562">
        <f>XLOOKUP(B1016,'_Sys|Line_Map'!$A:$A,'_Sys|Line_Map'!$B:$B,"MISSING",0)</f>
        <v/>
      </c>
    </row>
    <row r="1017">
      <c r="A1017" s="4561" t="n"/>
      <c r="B1017" s="4561" t="n"/>
      <c r="C1017" s="4561" t="n"/>
      <c r="D1017" s="4561" t="n"/>
      <c r="E1017" s="4561" t="n"/>
      <c r="F1017" s="4561" t="n"/>
      <c r="G1017" s="4561" t="n"/>
      <c r="H1017" s="4561" t="n"/>
      <c r="I1017" s="4562">
        <f>XLOOKUP(B1017,'_Sys|Line_Map'!$A:$A,'_Sys|Line_Map'!$C:$C,"MISSING",0)</f>
        <v/>
      </c>
      <c r="J1017" s="4562">
        <f>XLOOKUP(B1017,'_Sys|Line_Map'!$A:$A,'_Sys|Line_Map'!$D:$D,1,0)</f>
        <v/>
      </c>
      <c r="K1017" s="4562">
        <f>IF(D1017="","",D1017*J1017)</f>
        <v/>
      </c>
      <c r="L1017" s="4562">
        <f>XLOOKUP(B1017,'_Sys|Line_Map'!$A:$A,'_Sys|Line_Map'!$B:$B,"MISSING",0)</f>
        <v/>
      </c>
    </row>
    <row r="1018">
      <c r="A1018" s="4561" t="n"/>
      <c r="B1018" s="4561" t="n"/>
      <c r="C1018" s="4561" t="n"/>
      <c r="D1018" s="4561" t="n"/>
      <c r="E1018" s="4561" t="n"/>
      <c r="F1018" s="4561" t="n"/>
      <c r="G1018" s="4561" t="n"/>
      <c r="H1018" s="4561" t="n"/>
      <c r="I1018" s="4562">
        <f>XLOOKUP(B1018,'_Sys|Line_Map'!$A:$A,'_Sys|Line_Map'!$C:$C,"MISSING",0)</f>
        <v/>
      </c>
      <c r="J1018" s="4562">
        <f>XLOOKUP(B1018,'_Sys|Line_Map'!$A:$A,'_Sys|Line_Map'!$D:$D,1,0)</f>
        <v/>
      </c>
      <c r="K1018" s="4562">
        <f>IF(D1018="","",D1018*J1018)</f>
        <v/>
      </c>
      <c r="L1018" s="4562">
        <f>XLOOKUP(B1018,'_Sys|Line_Map'!$A:$A,'_Sys|Line_Map'!$B:$B,"MISSING",0)</f>
        <v/>
      </c>
    </row>
    <row r="1019">
      <c r="A1019" s="4561" t="n"/>
      <c r="B1019" s="4561" t="n"/>
      <c r="C1019" s="4561" t="n"/>
      <c r="D1019" s="4561" t="n"/>
      <c r="E1019" s="4561" t="n"/>
      <c r="F1019" s="4561" t="n"/>
      <c r="G1019" s="4561" t="n"/>
      <c r="H1019" s="4561" t="n"/>
      <c r="I1019" s="4562">
        <f>XLOOKUP(B1019,'_Sys|Line_Map'!$A:$A,'_Sys|Line_Map'!$C:$C,"MISSING",0)</f>
        <v/>
      </c>
      <c r="J1019" s="4562">
        <f>XLOOKUP(B1019,'_Sys|Line_Map'!$A:$A,'_Sys|Line_Map'!$D:$D,1,0)</f>
        <v/>
      </c>
      <c r="K1019" s="4562">
        <f>IF(D1019="","",D1019*J1019)</f>
        <v/>
      </c>
      <c r="L1019" s="4562">
        <f>XLOOKUP(B1019,'_Sys|Line_Map'!$A:$A,'_Sys|Line_Map'!$B:$B,"MISSING",0)</f>
        <v/>
      </c>
    </row>
    <row r="1020">
      <c r="A1020" s="4561" t="n"/>
      <c r="B1020" s="4561" t="n"/>
      <c r="C1020" s="4561" t="n"/>
      <c r="D1020" s="4561" t="n"/>
      <c r="E1020" s="4561" t="n"/>
      <c r="F1020" s="4561" t="n"/>
      <c r="G1020" s="4561" t="n"/>
      <c r="H1020" s="4561" t="n"/>
      <c r="I1020" s="4562">
        <f>XLOOKUP(B1020,'_Sys|Line_Map'!$A:$A,'_Sys|Line_Map'!$C:$C,"MISSING",0)</f>
        <v/>
      </c>
      <c r="J1020" s="4562">
        <f>XLOOKUP(B1020,'_Sys|Line_Map'!$A:$A,'_Sys|Line_Map'!$D:$D,1,0)</f>
        <v/>
      </c>
      <c r="K1020" s="4562">
        <f>IF(D1020="","",D1020*J1020)</f>
        <v/>
      </c>
      <c r="L1020" s="4562">
        <f>XLOOKUP(B1020,'_Sys|Line_Map'!$A:$A,'_Sys|Line_Map'!$B:$B,"MISSING",0)</f>
        <v/>
      </c>
    </row>
    <row r="1021">
      <c r="A1021" s="4561" t="n"/>
      <c r="B1021" s="4561" t="n"/>
      <c r="C1021" s="4561" t="n"/>
      <c r="D1021" s="4561" t="n"/>
      <c r="E1021" s="4561" t="n"/>
      <c r="F1021" s="4561" t="n"/>
      <c r="G1021" s="4561" t="n"/>
      <c r="H1021" s="4561" t="n"/>
      <c r="I1021" s="4562">
        <f>XLOOKUP(B1021,'_Sys|Line_Map'!$A:$A,'_Sys|Line_Map'!$C:$C,"MISSING",0)</f>
        <v/>
      </c>
      <c r="J1021" s="4562">
        <f>XLOOKUP(B1021,'_Sys|Line_Map'!$A:$A,'_Sys|Line_Map'!$D:$D,1,0)</f>
        <v/>
      </c>
      <c r="K1021" s="4562">
        <f>IF(D1021="","",D1021*J1021)</f>
        <v/>
      </c>
      <c r="L1021" s="4562">
        <f>XLOOKUP(B1021,'_Sys|Line_Map'!$A:$A,'_Sys|Line_Map'!$B:$B,"MISSING",0)</f>
        <v/>
      </c>
    </row>
    <row r="1022">
      <c r="A1022" s="4561" t="n"/>
      <c r="B1022" s="4561" t="n"/>
      <c r="C1022" s="4561" t="n"/>
      <c r="D1022" s="4561" t="n"/>
      <c r="E1022" s="4561" t="n"/>
      <c r="F1022" s="4561" t="n"/>
      <c r="G1022" s="4561" t="n"/>
      <c r="H1022" s="4561" t="n"/>
      <c r="I1022" s="4562">
        <f>XLOOKUP(B1022,'_Sys|Line_Map'!$A:$A,'_Sys|Line_Map'!$C:$C,"MISSING",0)</f>
        <v/>
      </c>
      <c r="J1022" s="4562">
        <f>XLOOKUP(B1022,'_Sys|Line_Map'!$A:$A,'_Sys|Line_Map'!$D:$D,1,0)</f>
        <v/>
      </c>
      <c r="K1022" s="4562">
        <f>IF(D1022="","",D1022*J1022)</f>
        <v/>
      </c>
      <c r="L1022" s="4562">
        <f>XLOOKUP(B1022,'_Sys|Line_Map'!$A:$A,'_Sys|Line_Map'!$B:$B,"MISSING",0)</f>
        <v/>
      </c>
    </row>
    <row r="1023">
      <c r="A1023" s="4561" t="n"/>
      <c r="B1023" s="4561" t="n"/>
      <c r="C1023" s="4561" t="n"/>
      <c r="D1023" s="4561" t="n"/>
      <c r="E1023" s="4561" t="n"/>
      <c r="F1023" s="4561" t="n"/>
      <c r="G1023" s="4561" t="n"/>
      <c r="H1023" s="4561" t="n"/>
      <c r="I1023" s="4562">
        <f>XLOOKUP(B1023,'_Sys|Line_Map'!$A:$A,'_Sys|Line_Map'!$C:$C,"MISSING",0)</f>
        <v/>
      </c>
      <c r="J1023" s="4562">
        <f>XLOOKUP(B1023,'_Sys|Line_Map'!$A:$A,'_Sys|Line_Map'!$D:$D,1,0)</f>
        <v/>
      </c>
      <c r="K1023" s="4562">
        <f>IF(D1023="","",D1023*J1023)</f>
        <v/>
      </c>
      <c r="L1023" s="4562">
        <f>XLOOKUP(B1023,'_Sys|Line_Map'!$A:$A,'_Sys|Line_Map'!$B:$B,"MISSING",0)</f>
        <v/>
      </c>
    </row>
    <row r="1024">
      <c r="A1024" s="4561" t="n"/>
      <c r="B1024" s="4561" t="n"/>
      <c r="C1024" s="4561" t="n"/>
      <c r="D1024" s="4561" t="n"/>
      <c r="E1024" s="4561" t="n"/>
      <c r="F1024" s="4561" t="n"/>
      <c r="G1024" s="4561" t="n"/>
      <c r="H1024" s="4561" t="n"/>
      <c r="I1024" s="4562">
        <f>XLOOKUP(B1024,'_Sys|Line_Map'!$A:$A,'_Sys|Line_Map'!$C:$C,"MISSING",0)</f>
        <v/>
      </c>
      <c r="J1024" s="4562">
        <f>XLOOKUP(B1024,'_Sys|Line_Map'!$A:$A,'_Sys|Line_Map'!$D:$D,1,0)</f>
        <v/>
      </c>
      <c r="K1024" s="4562">
        <f>IF(D1024="","",D1024*J1024)</f>
        <v/>
      </c>
      <c r="L1024" s="4562">
        <f>XLOOKUP(B1024,'_Sys|Line_Map'!$A:$A,'_Sys|Line_Map'!$B:$B,"MISSING",0)</f>
        <v/>
      </c>
    </row>
    <row r="1025">
      <c r="A1025" s="4561" t="n"/>
      <c r="B1025" s="4561" t="n"/>
      <c r="C1025" s="4561" t="n"/>
      <c r="D1025" s="4561" t="n"/>
      <c r="E1025" s="4561" t="n"/>
      <c r="F1025" s="4561" t="n"/>
      <c r="G1025" s="4561" t="n"/>
      <c r="H1025" s="4561" t="n"/>
      <c r="I1025" s="4562">
        <f>XLOOKUP(B1025,'_Sys|Line_Map'!$A:$A,'_Sys|Line_Map'!$C:$C,"MISSING",0)</f>
        <v/>
      </c>
      <c r="J1025" s="4562">
        <f>XLOOKUP(B1025,'_Sys|Line_Map'!$A:$A,'_Sys|Line_Map'!$D:$D,1,0)</f>
        <v/>
      </c>
      <c r="K1025" s="4562">
        <f>IF(D1025="","",D1025*J1025)</f>
        <v/>
      </c>
      <c r="L1025" s="4562">
        <f>XLOOKUP(B1025,'_Sys|Line_Map'!$A:$A,'_Sys|Line_Map'!$B:$B,"MISSING",0)</f>
        <v/>
      </c>
    </row>
    <row r="1026">
      <c r="A1026" s="4561" t="n"/>
      <c r="B1026" s="4561" t="n"/>
      <c r="C1026" s="4561" t="n"/>
      <c r="D1026" s="4561" t="n"/>
      <c r="E1026" s="4561" t="n"/>
      <c r="F1026" s="4561" t="n"/>
      <c r="G1026" s="4561" t="n"/>
      <c r="H1026" s="4561" t="n"/>
      <c r="I1026" s="4562">
        <f>XLOOKUP(B1026,'_Sys|Line_Map'!$A:$A,'_Sys|Line_Map'!$C:$C,"MISSING",0)</f>
        <v/>
      </c>
      <c r="J1026" s="4562">
        <f>XLOOKUP(B1026,'_Sys|Line_Map'!$A:$A,'_Sys|Line_Map'!$D:$D,1,0)</f>
        <v/>
      </c>
      <c r="K1026" s="4562">
        <f>IF(D1026="","",D1026*J1026)</f>
        <v/>
      </c>
      <c r="L1026" s="4562">
        <f>XLOOKUP(B1026,'_Sys|Line_Map'!$A:$A,'_Sys|Line_Map'!$B:$B,"MISSING",0)</f>
        <v/>
      </c>
    </row>
    <row r="1027">
      <c r="A1027" s="4561" t="n"/>
      <c r="B1027" s="4561" t="n"/>
      <c r="C1027" s="4561" t="n"/>
      <c r="D1027" s="4561" t="n"/>
      <c r="E1027" s="4561" t="n"/>
      <c r="F1027" s="4561" t="n"/>
      <c r="G1027" s="4561" t="n"/>
      <c r="H1027" s="4561" t="n"/>
      <c r="I1027" s="4562">
        <f>XLOOKUP(B1027,'_Sys|Line_Map'!$A:$A,'_Sys|Line_Map'!$C:$C,"MISSING",0)</f>
        <v/>
      </c>
      <c r="J1027" s="4562">
        <f>XLOOKUP(B1027,'_Sys|Line_Map'!$A:$A,'_Sys|Line_Map'!$D:$D,1,0)</f>
        <v/>
      </c>
      <c r="K1027" s="4562">
        <f>IF(D1027="","",D1027*J1027)</f>
        <v/>
      </c>
      <c r="L1027" s="4562">
        <f>XLOOKUP(B1027,'_Sys|Line_Map'!$A:$A,'_Sys|Line_Map'!$B:$B,"MISSING",0)</f>
        <v/>
      </c>
    </row>
    <row r="1028">
      <c r="A1028" s="4561" t="n"/>
      <c r="B1028" s="4561" t="n"/>
      <c r="C1028" s="4561" t="n"/>
      <c r="D1028" s="4561" t="n"/>
      <c r="E1028" s="4561" t="n"/>
      <c r="F1028" s="4561" t="n"/>
      <c r="G1028" s="4561" t="n"/>
      <c r="H1028" s="4561" t="n"/>
      <c r="I1028" s="4562">
        <f>XLOOKUP(B1028,'_Sys|Line_Map'!$A:$A,'_Sys|Line_Map'!$C:$C,"MISSING",0)</f>
        <v/>
      </c>
      <c r="J1028" s="4562">
        <f>XLOOKUP(B1028,'_Sys|Line_Map'!$A:$A,'_Sys|Line_Map'!$D:$D,1,0)</f>
        <v/>
      </c>
      <c r="K1028" s="4562">
        <f>IF(D1028="","",D1028*J1028)</f>
        <v/>
      </c>
      <c r="L1028" s="4562">
        <f>XLOOKUP(B1028,'_Sys|Line_Map'!$A:$A,'_Sys|Line_Map'!$B:$B,"MISSING",0)</f>
        <v/>
      </c>
    </row>
    <row r="1029">
      <c r="A1029" s="4561" t="n"/>
      <c r="B1029" s="4561" t="n"/>
      <c r="C1029" s="4561" t="n"/>
      <c r="D1029" s="4561" t="n"/>
      <c r="E1029" s="4561" t="n"/>
      <c r="F1029" s="4561" t="n"/>
      <c r="G1029" s="4561" t="n"/>
      <c r="H1029" s="4561" t="n"/>
      <c r="I1029" s="4562">
        <f>XLOOKUP(B1029,'_Sys|Line_Map'!$A:$A,'_Sys|Line_Map'!$C:$C,"MISSING",0)</f>
        <v/>
      </c>
      <c r="J1029" s="4562">
        <f>XLOOKUP(B1029,'_Sys|Line_Map'!$A:$A,'_Sys|Line_Map'!$D:$D,1,0)</f>
        <v/>
      </c>
      <c r="K1029" s="4562">
        <f>IF(D1029="","",D1029*J1029)</f>
        <v/>
      </c>
      <c r="L1029" s="4562">
        <f>XLOOKUP(B1029,'_Sys|Line_Map'!$A:$A,'_Sys|Line_Map'!$B:$B,"MISSING",0)</f>
        <v/>
      </c>
    </row>
    <row r="1030">
      <c r="A1030" s="4561" t="n"/>
      <c r="B1030" s="4561" t="n"/>
      <c r="C1030" s="4561" t="n"/>
      <c r="D1030" s="4561" t="n"/>
      <c r="E1030" s="4561" t="n"/>
      <c r="F1030" s="4561" t="n"/>
      <c r="G1030" s="4561" t="n"/>
      <c r="H1030" s="4561" t="n"/>
      <c r="I1030" s="4562">
        <f>XLOOKUP(B1030,'_Sys|Line_Map'!$A:$A,'_Sys|Line_Map'!$C:$C,"MISSING",0)</f>
        <v/>
      </c>
      <c r="J1030" s="4562">
        <f>XLOOKUP(B1030,'_Sys|Line_Map'!$A:$A,'_Sys|Line_Map'!$D:$D,1,0)</f>
        <v/>
      </c>
      <c r="K1030" s="4562">
        <f>IF(D1030="","",D1030*J1030)</f>
        <v/>
      </c>
      <c r="L1030" s="4562">
        <f>XLOOKUP(B1030,'_Sys|Line_Map'!$A:$A,'_Sys|Line_Map'!$B:$B,"MISSING",0)</f>
        <v/>
      </c>
    </row>
    <row r="1031">
      <c r="A1031" s="4561" t="n"/>
      <c r="B1031" s="4561" t="n"/>
      <c r="C1031" s="4561" t="n"/>
      <c r="D1031" s="4561" t="n"/>
      <c r="E1031" s="4561" t="n"/>
      <c r="F1031" s="4561" t="n"/>
      <c r="G1031" s="4561" t="n"/>
      <c r="H1031" s="4561" t="n"/>
      <c r="I1031" s="4562">
        <f>XLOOKUP(B1031,'_Sys|Line_Map'!$A:$A,'_Sys|Line_Map'!$C:$C,"MISSING",0)</f>
        <v/>
      </c>
      <c r="J1031" s="4562">
        <f>XLOOKUP(B1031,'_Sys|Line_Map'!$A:$A,'_Sys|Line_Map'!$D:$D,1,0)</f>
        <v/>
      </c>
      <c r="K1031" s="4562">
        <f>IF(D1031="","",D1031*J1031)</f>
        <v/>
      </c>
      <c r="L1031" s="4562">
        <f>XLOOKUP(B1031,'_Sys|Line_Map'!$A:$A,'_Sys|Line_Map'!$B:$B,"MISSING",0)</f>
        <v/>
      </c>
    </row>
    <row r="1032">
      <c r="A1032" s="4561" t="n"/>
      <c r="B1032" s="4561" t="n"/>
      <c r="C1032" s="4561" t="n"/>
      <c r="D1032" s="4561" t="n"/>
      <c r="E1032" s="4561" t="n"/>
      <c r="F1032" s="4561" t="n"/>
      <c r="G1032" s="4561" t="n"/>
      <c r="H1032" s="4561" t="n"/>
      <c r="I1032" s="4562">
        <f>XLOOKUP(B1032,'_Sys|Line_Map'!$A:$A,'_Sys|Line_Map'!$C:$C,"MISSING",0)</f>
        <v/>
      </c>
      <c r="J1032" s="4562">
        <f>XLOOKUP(B1032,'_Sys|Line_Map'!$A:$A,'_Sys|Line_Map'!$D:$D,1,0)</f>
        <v/>
      </c>
      <c r="K1032" s="4562">
        <f>IF(D1032="","",D1032*J1032)</f>
        <v/>
      </c>
      <c r="L1032" s="4562">
        <f>XLOOKUP(B1032,'_Sys|Line_Map'!$A:$A,'_Sys|Line_Map'!$B:$B,"MISSING",0)</f>
        <v/>
      </c>
    </row>
    <row r="1033">
      <c r="A1033" s="4561" t="n"/>
      <c r="B1033" s="4561" t="n"/>
      <c r="C1033" s="4561" t="n"/>
      <c r="D1033" s="4561" t="n"/>
      <c r="E1033" s="4561" t="n"/>
      <c r="F1033" s="4561" t="n"/>
      <c r="G1033" s="4561" t="n"/>
      <c r="H1033" s="4561" t="n"/>
      <c r="I1033" s="4562">
        <f>XLOOKUP(B1033,'_Sys|Line_Map'!$A:$A,'_Sys|Line_Map'!$C:$C,"MISSING",0)</f>
        <v/>
      </c>
      <c r="J1033" s="4562">
        <f>XLOOKUP(B1033,'_Sys|Line_Map'!$A:$A,'_Sys|Line_Map'!$D:$D,1,0)</f>
        <v/>
      </c>
      <c r="K1033" s="4562">
        <f>IF(D1033="","",D1033*J1033)</f>
        <v/>
      </c>
      <c r="L1033" s="4562">
        <f>XLOOKUP(B1033,'_Sys|Line_Map'!$A:$A,'_Sys|Line_Map'!$B:$B,"MISSING",0)</f>
        <v/>
      </c>
    </row>
    <row r="1034">
      <c r="A1034" s="4561" t="n"/>
      <c r="B1034" s="4561" t="n"/>
      <c r="C1034" s="4561" t="n"/>
      <c r="D1034" s="4561" t="n"/>
      <c r="E1034" s="4561" t="n"/>
      <c r="F1034" s="4561" t="n"/>
      <c r="G1034" s="4561" t="n"/>
      <c r="H1034" s="4561" t="n"/>
      <c r="I1034" s="4562">
        <f>XLOOKUP(B1034,'_Sys|Line_Map'!$A:$A,'_Sys|Line_Map'!$C:$C,"MISSING",0)</f>
        <v/>
      </c>
      <c r="J1034" s="4562">
        <f>XLOOKUP(B1034,'_Sys|Line_Map'!$A:$A,'_Sys|Line_Map'!$D:$D,1,0)</f>
        <v/>
      </c>
      <c r="K1034" s="4562">
        <f>IF(D1034="","",D1034*J1034)</f>
        <v/>
      </c>
      <c r="L1034" s="4562">
        <f>XLOOKUP(B1034,'_Sys|Line_Map'!$A:$A,'_Sys|Line_Map'!$B:$B,"MISSING",0)</f>
        <v/>
      </c>
    </row>
    <row r="1035">
      <c r="A1035" s="4561" t="n"/>
      <c r="B1035" s="4561" t="n"/>
      <c r="C1035" s="4561" t="n"/>
      <c r="D1035" s="4561" t="n"/>
      <c r="E1035" s="4561" t="n"/>
      <c r="F1035" s="4561" t="n"/>
      <c r="G1035" s="4561" t="n"/>
      <c r="H1035" s="4561" t="n"/>
      <c r="I1035" s="4562">
        <f>XLOOKUP(B1035,'_Sys|Line_Map'!$A:$A,'_Sys|Line_Map'!$C:$C,"MISSING",0)</f>
        <v/>
      </c>
      <c r="J1035" s="4562">
        <f>XLOOKUP(B1035,'_Sys|Line_Map'!$A:$A,'_Sys|Line_Map'!$D:$D,1,0)</f>
        <v/>
      </c>
      <c r="K1035" s="4562">
        <f>IF(D1035="","",D1035*J1035)</f>
        <v/>
      </c>
      <c r="L1035" s="4562">
        <f>XLOOKUP(B1035,'_Sys|Line_Map'!$A:$A,'_Sys|Line_Map'!$B:$B,"MISSING",0)</f>
        <v/>
      </c>
    </row>
    <row r="1036">
      <c r="A1036" s="4561" t="n"/>
      <c r="B1036" s="4561" t="n"/>
      <c r="C1036" s="4561" t="n"/>
      <c r="D1036" s="4561" t="n"/>
      <c r="E1036" s="4561" t="n"/>
      <c r="F1036" s="4561" t="n"/>
      <c r="G1036" s="4561" t="n"/>
      <c r="H1036" s="4561" t="n"/>
      <c r="I1036" s="4562">
        <f>XLOOKUP(B1036,'_Sys|Line_Map'!$A:$A,'_Sys|Line_Map'!$C:$C,"MISSING",0)</f>
        <v/>
      </c>
      <c r="J1036" s="4562">
        <f>XLOOKUP(B1036,'_Sys|Line_Map'!$A:$A,'_Sys|Line_Map'!$D:$D,1,0)</f>
        <v/>
      </c>
      <c r="K1036" s="4562">
        <f>IF(D1036="","",D1036*J1036)</f>
        <v/>
      </c>
      <c r="L1036" s="4562">
        <f>XLOOKUP(B1036,'_Sys|Line_Map'!$A:$A,'_Sys|Line_Map'!$B:$B,"MISSING",0)</f>
        <v/>
      </c>
    </row>
    <row r="1037">
      <c r="A1037" s="4561" t="n"/>
      <c r="B1037" s="4561" t="n"/>
      <c r="C1037" s="4561" t="n"/>
      <c r="D1037" s="4561" t="n"/>
      <c r="E1037" s="4561" t="n"/>
      <c r="F1037" s="4561" t="n"/>
      <c r="G1037" s="4561" t="n"/>
      <c r="H1037" s="4561" t="n"/>
      <c r="I1037" s="4562">
        <f>XLOOKUP(B1037,'_Sys|Line_Map'!$A:$A,'_Sys|Line_Map'!$C:$C,"MISSING",0)</f>
        <v/>
      </c>
      <c r="J1037" s="4562">
        <f>XLOOKUP(B1037,'_Sys|Line_Map'!$A:$A,'_Sys|Line_Map'!$D:$D,1,0)</f>
        <v/>
      </c>
      <c r="K1037" s="4562">
        <f>IF(D1037="","",D1037*J1037)</f>
        <v/>
      </c>
      <c r="L1037" s="4562">
        <f>XLOOKUP(B1037,'_Sys|Line_Map'!$A:$A,'_Sys|Line_Map'!$B:$B,"MISSING",0)</f>
        <v/>
      </c>
    </row>
    <row r="1038">
      <c r="A1038" s="4561" t="n"/>
      <c r="B1038" s="4561" t="n"/>
      <c r="C1038" s="4561" t="n"/>
      <c r="D1038" s="4561" t="n"/>
      <c r="E1038" s="4561" t="n"/>
      <c r="F1038" s="4561" t="n"/>
      <c r="G1038" s="4561" t="n"/>
      <c r="H1038" s="4561" t="n"/>
      <c r="I1038" s="4562">
        <f>XLOOKUP(B1038,'_Sys|Line_Map'!$A:$A,'_Sys|Line_Map'!$C:$C,"MISSING",0)</f>
        <v/>
      </c>
      <c r="J1038" s="4562">
        <f>XLOOKUP(B1038,'_Sys|Line_Map'!$A:$A,'_Sys|Line_Map'!$D:$D,1,0)</f>
        <v/>
      </c>
      <c r="K1038" s="4562">
        <f>IF(D1038="","",D1038*J1038)</f>
        <v/>
      </c>
      <c r="L1038" s="4562">
        <f>XLOOKUP(B1038,'_Sys|Line_Map'!$A:$A,'_Sys|Line_Map'!$B:$B,"MISSING",0)</f>
        <v/>
      </c>
    </row>
    <row r="1039">
      <c r="A1039" s="4561" t="n"/>
      <c r="B1039" s="4561" t="n"/>
      <c r="C1039" s="4561" t="n"/>
      <c r="D1039" s="4561" t="n"/>
      <c r="E1039" s="4561" t="n"/>
      <c r="F1039" s="4561" t="n"/>
      <c r="G1039" s="4561" t="n"/>
      <c r="H1039" s="4561" t="n"/>
      <c r="I1039" s="4562">
        <f>XLOOKUP(B1039,'_Sys|Line_Map'!$A:$A,'_Sys|Line_Map'!$C:$C,"MISSING",0)</f>
        <v/>
      </c>
      <c r="J1039" s="4562">
        <f>XLOOKUP(B1039,'_Sys|Line_Map'!$A:$A,'_Sys|Line_Map'!$D:$D,1,0)</f>
        <v/>
      </c>
      <c r="K1039" s="4562">
        <f>IF(D1039="","",D1039*J1039)</f>
        <v/>
      </c>
      <c r="L1039" s="4562">
        <f>XLOOKUP(B1039,'_Sys|Line_Map'!$A:$A,'_Sys|Line_Map'!$B:$B,"MISSING",0)</f>
        <v/>
      </c>
    </row>
    <row r="1040">
      <c r="A1040" s="4561" t="n"/>
      <c r="B1040" s="4561" t="n"/>
      <c r="C1040" s="4561" t="n"/>
      <c r="D1040" s="4561" t="n"/>
      <c r="E1040" s="4561" t="n"/>
      <c r="F1040" s="4561" t="n"/>
      <c r="G1040" s="4561" t="n"/>
      <c r="H1040" s="4561" t="n"/>
      <c r="I1040" s="4562">
        <f>XLOOKUP(B1040,'_Sys|Line_Map'!$A:$A,'_Sys|Line_Map'!$C:$C,"MISSING",0)</f>
        <v/>
      </c>
      <c r="J1040" s="4562">
        <f>XLOOKUP(B1040,'_Sys|Line_Map'!$A:$A,'_Sys|Line_Map'!$D:$D,1,0)</f>
        <v/>
      </c>
      <c r="K1040" s="4562">
        <f>IF(D1040="","",D1040*J1040)</f>
        <v/>
      </c>
      <c r="L1040" s="4562">
        <f>XLOOKUP(B1040,'_Sys|Line_Map'!$A:$A,'_Sys|Line_Map'!$B:$B,"MISSING",0)</f>
        <v/>
      </c>
    </row>
    <row r="1041">
      <c r="A1041" s="4561" t="n"/>
      <c r="B1041" s="4561" t="n"/>
      <c r="C1041" s="4561" t="n"/>
      <c r="D1041" s="4561" t="n"/>
      <c r="E1041" s="4561" t="n"/>
      <c r="F1041" s="4561" t="n"/>
      <c r="G1041" s="4561" t="n"/>
      <c r="H1041" s="4561" t="n"/>
      <c r="I1041" s="4562">
        <f>XLOOKUP(B1041,'_Sys|Line_Map'!$A:$A,'_Sys|Line_Map'!$C:$C,"MISSING",0)</f>
        <v/>
      </c>
      <c r="J1041" s="4562">
        <f>XLOOKUP(B1041,'_Sys|Line_Map'!$A:$A,'_Sys|Line_Map'!$D:$D,1,0)</f>
        <v/>
      </c>
      <c r="K1041" s="4562">
        <f>IF(D1041="","",D1041*J1041)</f>
        <v/>
      </c>
      <c r="L1041" s="4562">
        <f>XLOOKUP(B1041,'_Sys|Line_Map'!$A:$A,'_Sys|Line_Map'!$B:$B,"MISSING",0)</f>
        <v/>
      </c>
    </row>
    <row r="1042">
      <c r="A1042" s="4561" t="n"/>
      <c r="B1042" s="4561" t="n"/>
      <c r="C1042" s="4561" t="n"/>
      <c r="D1042" s="4561" t="n"/>
      <c r="E1042" s="4561" t="n"/>
      <c r="F1042" s="4561" t="n"/>
      <c r="G1042" s="4561" t="n"/>
      <c r="H1042" s="4561" t="n"/>
      <c r="I1042" s="4562">
        <f>XLOOKUP(B1042,'_Sys|Line_Map'!$A:$A,'_Sys|Line_Map'!$C:$C,"MISSING",0)</f>
        <v/>
      </c>
      <c r="J1042" s="4562">
        <f>XLOOKUP(B1042,'_Sys|Line_Map'!$A:$A,'_Sys|Line_Map'!$D:$D,1,0)</f>
        <v/>
      </c>
      <c r="K1042" s="4562">
        <f>IF(D1042="","",D1042*J1042)</f>
        <v/>
      </c>
      <c r="L1042" s="4562">
        <f>XLOOKUP(B1042,'_Sys|Line_Map'!$A:$A,'_Sys|Line_Map'!$B:$B,"MISSING",0)</f>
        <v/>
      </c>
    </row>
    <row r="1043">
      <c r="A1043" s="4561" t="n"/>
      <c r="B1043" s="4561" t="n"/>
      <c r="C1043" s="4561" t="n"/>
      <c r="D1043" s="4561" t="n"/>
      <c r="E1043" s="4561" t="n"/>
      <c r="F1043" s="4561" t="n"/>
      <c r="G1043" s="4561" t="n"/>
      <c r="H1043" s="4561" t="n"/>
      <c r="I1043" s="4562">
        <f>XLOOKUP(B1043,'_Sys|Line_Map'!$A:$A,'_Sys|Line_Map'!$C:$C,"MISSING",0)</f>
        <v/>
      </c>
      <c r="J1043" s="4562">
        <f>XLOOKUP(B1043,'_Sys|Line_Map'!$A:$A,'_Sys|Line_Map'!$D:$D,1,0)</f>
        <v/>
      </c>
      <c r="K1043" s="4562">
        <f>IF(D1043="","",D1043*J1043)</f>
        <v/>
      </c>
      <c r="L1043" s="4562">
        <f>XLOOKUP(B1043,'_Sys|Line_Map'!$A:$A,'_Sys|Line_Map'!$B:$B,"MISSING",0)</f>
        <v/>
      </c>
    </row>
    <row r="1044">
      <c r="A1044" s="4561" t="n"/>
      <c r="B1044" s="4561" t="n"/>
      <c r="C1044" s="4561" t="n"/>
      <c r="D1044" s="4561" t="n"/>
      <c r="E1044" s="4561" t="n"/>
      <c r="F1044" s="4561" t="n"/>
      <c r="G1044" s="4561" t="n"/>
      <c r="H1044" s="4561" t="n"/>
      <c r="I1044" s="4562">
        <f>XLOOKUP(B1044,'_Sys|Line_Map'!$A:$A,'_Sys|Line_Map'!$C:$C,"MISSING",0)</f>
        <v/>
      </c>
      <c r="J1044" s="4562">
        <f>XLOOKUP(B1044,'_Sys|Line_Map'!$A:$A,'_Sys|Line_Map'!$D:$D,1,0)</f>
        <v/>
      </c>
      <c r="K1044" s="4562">
        <f>IF(D1044="","",D1044*J1044)</f>
        <v/>
      </c>
      <c r="L1044" s="4562">
        <f>XLOOKUP(B1044,'_Sys|Line_Map'!$A:$A,'_Sys|Line_Map'!$B:$B,"MISSING",0)</f>
        <v/>
      </c>
    </row>
    <row r="1045">
      <c r="A1045" s="4561" t="n"/>
      <c r="B1045" s="4561" t="n"/>
      <c r="C1045" s="4561" t="n"/>
      <c r="D1045" s="4561" t="n"/>
      <c r="E1045" s="4561" t="n"/>
      <c r="F1045" s="4561" t="n"/>
      <c r="G1045" s="4561" t="n"/>
      <c r="H1045" s="4561" t="n"/>
      <c r="I1045" s="4562">
        <f>XLOOKUP(B1045,'_Sys|Line_Map'!$A:$A,'_Sys|Line_Map'!$C:$C,"MISSING",0)</f>
        <v/>
      </c>
      <c r="J1045" s="4562">
        <f>XLOOKUP(B1045,'_Sys|Line_Map'!$A:$A,'_Sys|Line_Map'!$D:$D,1,0)</f>
        <v/>
      </c>
      <c r="K1045" s="4562">
        <f>IF(D1045="","",D1045*J1045)</f>
        <v/>
      </c>
      <c r="L1045" s="4562">
        <f>XLOOKUP(B1045,'_Sys|Line_Map'!$A:$A,'_Sys|Line_Map'!$B:$B,"MISSING",0)</f>
        <v/>
      </c>
    </row>
    <row r="1046">
      <c r="A1046" s="4561" t="n"/>
      <c r="B1046" s="4561" t="n"/>
      <c r="C1046" s="4561" t="n"/>
      <c r="D1046" s="4561" t="n"/>
      <c r="E1046" s="4561" t="n"/>
      <c r="F1046" s="4561" t="n"/>
      <c r="G1046" s="4561" t="n"/>
      <c r="H1046" s="4561" t="n"/>
      <c r="I1046" s="4562">
        <f>XLOOKUP(B1046,'_Sys|Line_Map'!$A:$A,'_Sys|Line_Map'!$C:$C,"MISSING",0)</f>
        <v/>
      </c>
      <c r="J1046" s="4562">
        <f>XLOOKUP(B1046,'_Sys|Line_Map'!$A:$A,'_Sys|Line_Map'!$D:$D,1,0)</f>
        <v/>
      </c>
      <c r="K1046" s="4562">
        <f>IF(D1046="","",D1046*J1046)</f>
        <v/>
      </c>
      <c r="L1046" s="4562">
        <f>XLOOKUP(B1046,'_Sys|Line_Map'!$A:$A,'_Sys|Line_Map'!$B:$B,"MISSING",0)</f>
        <v/>
      </c>
    </row>
    <row r="1047">
      <c r="A1047" s="4561" t="n"/>
      <c r="B1047" s="4561" t="n"/>
      <c r="C1047" s="4561" t="n"/>
      <c r="D1047" s="4561" t="n"/>
      <c r="E1047" s="4561" t="n"/>
      <c r="F1047" s="4561" t="n"/>
      <c r="G1047" s="4561" t="n"/>
      <c r="H1047" s="4561" t="n"/>
      <c r="I1047" s="4562">
        <f>XLOOKUP(B1047,'_Sys|Line_Map'!$A:$A,'_Sys|Line_Map'!$C:$C,"MISSING",0)</f>
        <v/>
      </c>
      <c r="J1047" s="4562">
        <f>XLOOKUP(B1047,'_Sys|Line_Map'!$A:$A,'_Sys|Line_Map'!$D:$D,1,0)</f>
        <v/>
      </c>
      <c r="K1047" s="4562">
        <f>IF(D1047="","",D1047*J1047)</f>
        <v/>
      </c>
      <c r="L1047" s="4562">
        <f>XLOOKUP(B1047,'_Sys|Line_Map'!$A:$A,'_Sys|Line_Map'!$B:$B,"MISSING",0)</f>
        <v/>
      </c>
    </row>
    <row r="1048">
      <c r="A1048" s="4561" t="n"/>
      <c r="B1048" s="4561" t="n"/>
      <c r="C1048" s="4561" t="n"/>
      <c r="D1048" s="4561" t="n"/>
      <c r="E1048" s="4561" t="n"/>
      <c r="F1048" s="4561" t="n"/>
      <c r="G1048" s="4561" t="n"/>
      <c r="H1048" s="4561" t="n"/>
      <c r="I1048" s="4562">
        <f>XLOOKUP(B1048,'_Sys|Line_Map'!$A:$A,'_Sys|Line_Map'!$C:$C,"MISSING",0)</f>
        <v/>
      </c>
      <c r="J1048" s="4562">
        <f>XLOOKUP(B1048,'_Sys|Line_Map'!$A:$A,'_Sys|Line_Map'!$D:$D,1,0)</f>
        <v/>
      </c>
      <c r="K1048" s="4562">
        <f>IF(D1048="","",D1048*J1048)</f>
        <v/>
      </c>
      <c r="L1048" s="4562">
        <f>XLOOKUP(B1048,'_Sys|Line_Map'!$A:$A,'_Sys|Line_Map'!$B:$B,"MISSING",0)</f>
        <v/>
      </c>
    </row>
    <row r="1049">
      <c r="A1049" s="4561" t="n"/>
      <c r="B1049" s="4561" t="n"/>
      <c r="C1049" s="4561" t="n"/>
      <c r="D1049" s="4561" t="n"/>
      <c r="E1049" s="4561" t="n"/>
      <c r="F1049" s="4561" t="n"/>
      <c r="G1049" s="4561" t="n"/>
      <c r="H1049" s="4561" t="n"/>
      <c r="I1049" s="4562">
        <f>XLOOKUP(B1049,'_Sys|Line_Map'!$A:$A,'_Sys|Line_Map'!$C:$C,"MISSING",0)</f>
        <v/>
      </c>
      <c r="J1049" s="4562">
        <f>XLOOKUP(B1049,'_Sys|Line_Map'!$A:$A,'_Sys|Line_Map'!$D:$D,1,0)</f>
        <v/>
      </c>
      <c r="K1049" s="4562">
        <f>IF(D1049="","",D1049*J1049)</f>
        <v/>
      </c>
      <c r="L1049" s="4562">
        <f>XLOOKUP(B1049,'_Sys|Line_Map'!$A:$A,'_Sys|Line_Map'!$B:$B,"MISSING",0)</f>
        <v/>
      </c>
    </row>
    <row r="1050">
      <c r="A1050" s="4561" t="n"/>
      <c r="B1050" s="4561" t="n"/>
      <c r="C1050" s="4561" t="n"/>
      <c r="D1050" s="4561" t="n"/>
      <c r="E1050" s="4561" t="n"/>
      <c r="F1050" s="4561" t="n"/>
      <c r="G1050" s="4561" t="n"/>
      <c r="H1050" s="4561" t="n"/>
      <c r="I1050" s="4562">
        <f>XLOOKUP(B1050,'_Sys|Line_Map'!$A:$A,'_Sys|Line_Map'!$C:$C,"MISSING",0)</f>
        <v/>
      </c>
      <c r="J1050" s="4562">
        <f>XLOOKUP(B1050,'_Sys|Line_Map'!$A:$A,'_Sys|Line_Map'!$D:$D,1,0)</f>
        <v/>
      </c>
      <c r="K1050" s="4562">
        <f>IF(D1050="","",D1050*J1050)</f>
        <v/>
      </c>
      <c r="L1050" s="4562">
        <f>XLOOKUP(B1050,'_Sys|Line_Map'!$A:$A,'_Sys|Line_Map'!$B:$B,"MISSING",0)</f>
        <v/>
      </c>
    </row>
    <row r="1051">
      <c r="A1051" s="4561" t="n"/>
      <c r="B1051" s="4561" t="n"/>
      <c r="C1051" s="4561" t="n"/>
      <c r="D1051" s="4561" t="n"/>
      <c r="E1051" s="4561" t="n"/>
      <c r="F1051" s="4561" t="n"/>
      <c r="G1051" s="4561" t="n"/>
      <c r="H1051" s="4561" t="n"/>
      <c r="I1051" s="4562">
        <f>XLOOKUP(B1051,'_Sys|Line_Map'!$A:$A,'_Sys|Line_Map'!$C:$C,"MISSING",0)</f>
        <v/>
      </c>
      <c r="J1051" s="4562">
        <f>XLOOKUP(B1051,'_Sys|Line_Map'!$A:$A,'_Sys|Line_Map'!$D:$D,1,0)</f>
        <v/>
      </c>
      <c r="K1051" s="4562">
        <f>IF(D1051="","",D1051*J1051)</f>
        <v/>
      </c>
      <c r="L1051" s="4562">
        <f>XLOOKUP(B1051,'_Sys|Line_Map'!$A:$A,'_Sys|Line_Map'!$B:$B,"MISSING",0)</f>
        <v/>
      </c>
    </row>
    <row r="1052">
      <c r="A1052" s="4561" t="n"/>
      <c r="B1052" s="4561" t="n"/>
      <c r="C1052" s="4561" t="n"/>
      <c r="D1052" s="4561" t="n"/>
      <c r="E1052" s="4561" t="n"/>
      <c r="F1052" s="4561" t="n"/>
      <c r="G1052" s="4561" t="n"/>
      <c r="H1052" s="4561" t="n"/>
      <c r="I1052" s="4562">
        <f>XLOOKUP(B1052,'_Sys|Line_Map'!$A:$A,'_Sys|Line_Map'!$C:$C,"MISSING",0)</f>
        <v/>
      </c>
      <c r="J1052" s="4562">
        <f>XLOOKUP(B1052,'_Sys|Line_Map'!$A:$A,'_Sys|Line_Map'!$D:$D,1,0)</f>
        <v/>
      </c>
      <c r="K1052" s="4562">
        <f>IF(D1052="","",D1052*J1052)</f>
        <v/>
      </c>
      <c r="L1052" s="4562">
        <f>XLOOKUP(B1052,'_Sys|Line_Map'!$A:$A,'_Sys|Line_Map'!$B:$B,"MISSING",0)</f>
        <v/>
      </c>
    </row>
    <row r="1053">
      <c r="A1053" s="4561" t="n"/>
      <c r="B1053" s="4561" t="n"/>
      <c r="C1053" s="4561" t="n"/>
      <c r="D1053" s="4561" t="n"/>
      <c r="E1053" s="4561" t="n"/>
      <c r="F1053" s="4561" t="n"/>
      <c r="G1053" s="4561" t="n"/>
      <c r="H1053" s="4561" t="n"/>
      <c r="I1053" s="4562">
        <f>XLOOKUP(B1053,'_Sys|Line_Map'!$A:$A,'_Sys|Line_Map'!$C:$C,"MISSING",0)</f>
        <v/>
      </c>
      <c r="J1053" s="4562">
        <f>XLOOKUP(B1053,'_Sys|Line_Map'!$A:$A,'_Sys|Line_Map'!$D:$D,1,0)</f>
        <v/>
      </c>
      <c r="K1053" s="4562">
        <f>IF(D1053="","",D1053*J1053)</f>
        <v/>
      </c>
      <c r="L1053" s="4562">
        <f>XLOOKUP(B1053,'_Sys|Line_Map'!$A:$A,'_Sys|Line_Map'!$B:$B,"MISSING",0)</f>
        <v/>
      </c>
    </row>
    <row r="1054">
      <c r="A1054" s="4561" t="n"/>
      <c r="B1054" s="4561" t="n"/>
      <c r="C1054" s="4561" t="n"/>
      <c r="D1054" s="4561" t="n"/>
      <c r="E1054" s="4561" t="n"/>
      <c r="F1054" s="4561" t="n"/>
      <c r="G1054" s="4561" t="n"/>
      <c r="H1054" s="4561" t="n"/>
      <c r="I1054" s="4562">
        <f>XLOOKUP(B1054,'_Sys|Line_Map'!$A:$A,'_Sys|Line_Map'!$C:$C,"MISSING",0)</f>
        <v/>
      </c>
      <c r="J1054" s="4562">
        <f>XLOOKUP(B1054,'_Sys|Line_Map'!$A:$A,'_Sys|Line_Map'!$D:$D,1,0)</f>
        <v/>
      </c>
      <c r="K1054" s="4562">
        <f>IF(D1054="","",D1054*J1054)</f>
        <v/>
      </c>
      <c r="L1054" s="4562">
        <f>XLOOKUP(B1054,'_Sys|Line_Map'!$A:$A,'_Sys|Line_Map'!$B:$B,"MISSING",0)</f>
        <v/>
      </c>
    </row>
    <row r="1055">
      <c r="A1055" s="4561" t="n"/>
      <c r="B1055" s="4561" t="n"/>
      <c r="C1055" s="4561" t="n"/>
      <c r="D1055" s="4561" t="n"/>
      <c r="E1055" s="4561" t="n"/>
      <c r="F1055" s="4561" t="n"/>
      <c r="G1055" s="4561" t="n"/>
      <c r="H1055" s="4561" t="n"/>
      <c r="I1055" s="4562">
        <f>XLOOKUP(B1055,'_Sys|Line_Map'!$A:$A,'_Sys|Line_Map'!$C:$C,"MISSING",0)</f>
        <v/>
      </c>
      <c r="J1055" s="4562">
        <f>XLOOKUP(B1055,'_Sys|Line_Map'!$A:$A,'_Sys|Line_Map'!$D:$D,1,0)</f>
        <v/>
      </c>
      <c r="K1055" s="4562">
        <f>IF(D1055="","",D1055*J1055)</f>
        <v/>
      </c>
      <c r="L1055" s="4562">
        <f>XLOOKUP(B1055,'_Sys|Line_Map'!$A:$A,'_Sys|Line_Map'!$B:$B,"MISSING",0)</f>
        <v/>
      </c>
    </row>
    <row r="1056">
      <c r="A1056" s="4561" t="n"/>
      <c r="B1056" s="4561" t="n"/>
      <c r="C1056" s="4561" t="n"/>
      <c r="D1056" s="4561" t="n"/>
      <c r="E1056" s="4561" t="n"/>
      <c r="F1056" s="4561" t="n"/>
      <c r="G1056" s="4561" t="n"/>
      <c r="H1056" s="4561" t="n"/>
      <c r="I1056" s="4562">
        <f>XLOOKUP(B1056,'_Sys|Line_Map'!$A:$A,'_Sys|Line_Map'!$C:$C,"MISSING",0)</f>
        <v/>
      </c>
      <c r="J1056" s="4562">
        <f>XLOOKUP(B1056,'_Sys|Line_Map'!$A:$A,'_Sys|Line_Map'!$D:$D,1,0)</f>
        <v/>
      </c>
      <c r="K1056" s="4562">
        <f>IF(D1056="","",D1056*J1056)</f>
        <v/>
      </c>
      <c r="L1056" s="4562">
        <f>XLOOKUP(B1056,'_Sys|Line_Map'!$A:$A,'_Sys|Line_Map'!$B:$B,"MISSING",0)</f>
        <v/>
      </c>
    </row>
    <row r="1057">
      <c r="A1057" s="4561" t="n"/>
      <c r="B1057" s="4561" t="n"/>
      <c r="C1057" s="4561" t="n"/>
      <c r="D1057" s="4561" t="n"/>
      <c r="E1057" s="4561" t="n"/>
      <c r="F1057" s="4561" t="n"/>
      <c r="G1057" s="4561" t="n"/>
      <c r="H1057" s="4561" t="n"/>
      <c r="I1057" s="4562">
        <f>XLOOKUP(B1057,'_Sys|Line_Map'!$A:$A,'_Sys|Line_Map'!$C:$C,"MISSING",0)</f>
        <v/>
      </c>
      <c r="J1057" s="4562">
        <f>XLOOKUP(B1057,'_Sys|Line_Map'!$A:$A,'_Sys|Line_Map'!$D:$D,1,0)</f>
        <v/>
      </c>
      <c r="K1057" s="4562">
        <f>IF(D1057="","",D1057*J1057)</f>
        <v/>
      </c>
      <c r="L1057" s="4562">
        <f>XLOOKUP(B1057,'_Sys|Line_Map'!$A:$A,'_Sys|Line_Map'!$B:$B,"MISSING",0)</f>
        <v/>
      </c>
    </row>
    <row r="1058">
      <c r="A1058" s="4561" t="n"/>
      <c r="B1058" s="4561" t="n"/>
      <c r="C1058" s="4561" t="n"/>
      <c r="D1058" s="4561" t="n"/>
      <c r="E1058" s="4561" t="n"/>
      <c r="F1058" s="4561" t="n"/>
      <c r="G1058" s="4561" t="n"/>
      <c r="H1058" s="4561" t="n"/>
      <c r="I1058" s="4562">
        <f>XLOOKUP(B1058,'_Sys|Line_Map'!$A:$A,'_Sys|Line_Map'!$C:$C,"MISSING",0)</f>
        <v/>
      </c>
      <c r="J1058" s="4562">
        <f>XLOOKUP(B1058,'_Sys|Line_Map'!$A:$A,'_Sys|Line_Map'!$D:$D,1,0)</f>
        <v/>
      </c>
      <c r="K1058" s="4562">
        <f>IF(D1058="","",D1058*J1058)</f>
        <v/>
      </c>
      <c r="L1058" s="4562">
        <f>XLOOKUP(B1058,'_Sys|Line_Map'!$A:$A,'_Sys|Line_Map'!$B:$B,"MISSING",0)</f>
        <v/>
      </c>
    </row>
    <row r="1059">
      <c r="A1059" s="4561" t="n"/>
      <c r="B1059" s="4561" t="n"/>
      <c r="C1059" s="4561" t="n"/>
      <c r="D1059" s="4561" t="n"/>
      <c r="E1059" s="4561" t="n"/>
      <c r="F1059" s="4561" t="n"/>
      <c r="G1059" s="4561" t="n"/>
      <c r="H1059" s="4561" t="n"/>
      <c r="I1059" s="4562">
        <f>XLOOKUP(B1059,'_Sys|Line_Map'!$A:$A,'_Sys|Line_Map'!$C:$C,"MISSING",0)</f>
        <v/>
      </c>
      <c r="J1059" s="4562">
        <f>XLOOKUP(B1059,'_Sys|Line_Map'!$A:$A,'_Sys|Line_Map'!$D:$D,1,0)</f>
        <v/>
      </c>
      <c r="K1059" s="4562">
        <f>IF(D1059="","",D1059*J1059)</f>
        <v/>
      </c>
      <c r="L1059" s="4562">
        <f>XLOOKUP(B1059,'_Sys|Line_Map'!$A:$A,'_Sys|Line_Map'!$B:$B,"MISSING",0)</f>
        <v/>
      </c>
    </row>
    <row r="1060">
      <c r="A1060" s="4561" t="n"/>
      <c r="B1060" s="4561" t="n"/>
      <c r="C1060" s="4561" t="n"/>
      <c r="D1060" s="4561" t="n"/>
      <c r="E1060" s="4561" t="n"/>
      <c r="F1060" s="4561" t="n"/>
      <c r="G1060" s="4561" t="n"/>
      <c r="H1060" s="4561" t="n"/>
      <c r="I1060" s="4562">
        <f>XLOOKUP(B1060,'_Sys|Line_Map'!$A:$A,'_Sys|Line_Map'!$C:$C,"MISSING",0)</f>
        <v/>
      </c>
      <c r="J1060" s="4562">
        <f>XLOOKUP(B1060,'_Sys|Line_Map'!$A:$A,'_Sys|Line_Map'!$D:$D,1,0)</f>
        <v/>
      </c>
      <c r="K1060" s="4562">
        <f>IF(D1060="","",D1060*J1060)</f>
        <v/>
      </c>
      <c r="L1060" s="4562">
        <f>XLOOKUP(B1060,'_Sys|Line_Map'!$A:$A,'_Sys|Line_Map'!$B:$B,"MISSING",0)</f>
        <v/>
      </c>
    </row>
    <row r="1061">
      <c r="A1061" s="4561" t="n"/>
      <c r="B1061" s="4561" t="n"/>
      <c r="C1061" s="4561" t="n"/>
      <c r="D1061" s="4561" t="n"/>
      <c r="E1061" s="4561" t="n"/>
      <c r="F1061" s="4561" t="n"/>
      <c r="G1061" s="4561" t="n"/>
      <c r="H1061" s="4561" t="n"/>
      <c r="I1061" s="4562">
        <f>XLOOKUP(B1061,'_Sys|Line_Map'!$A:$A,'_Sys|Line_Map'!$C:$C,"MISSING",0)</f>
        <v/>
      </c>
      <c r="J1061" s="4562">
        <f>XLOOKUP(B1061,'_Sys|Line_Map'!$A:$A,'_Sys|Line_Map'!$D:$D,1,0)</f>
        <v/>
      </c>
      <c r="K1061" s="4562">
        <f>IF(D1061="","",D1061*J1061)</f>
        <v/>
      </c>
      <c r="L1061" s="4562">
        <f>XLOOKUP(B1061,'_Sys|Line_Map'!$A:$A,'_Sys|Line_Map'!$B:$B,"MISSING",0)</f>
        <v/>
      </c>
    </row>
    <row r="1062">
      <c r="A1062" s="4561" t="n"/>
      <c r="B1062" s="4561" t="n"/>
      <c r="C1062" s="4561" t="n"/>
      <c r="D1062" s="4561" t="n"/>
      <c r="E1062" s="4561" t="n"/>
      <c r="F1062" s="4561" t="n"/>
      <c r="G1062" s="4561" t="n"/>
      <c r="H1062" s="4561" t="n"/>
      <c r="I1062" s="4562">
        <f>XLOOKUP(B1062,'_Sys|Line_Map'!$A:$A,'_Sys|Line_Map'!$C:$C,"MISSING",0)</f>
        <v/>
      </c>
      <c r="J1062" s="4562">
        <f>XLOOKUP(B1062,'_Sys|Line_Map'!$A:$A,'_Sys|Line_Map'!$D:$D,1,0)</f>
        <v/>
      </c>
      <c r="K1062" s="4562">
        <f>IF(D1062="","",D1062*J1062)</f>
        <v/>
      </c>
      <c r="L1062" s="4562">
        <f>XLOOKUP(B1062,'_Sys|Line_Map'!$A:$A,'_Sys|Line_Map'!$B:$B,"MISSING",0)</f>
        <v/>
      </c>
    </row>
    <row r="1063">
      <c r="A1063" s="4561" t="n"/>
      <c r="B1063" s="4561" t="n"/>
      <c r="C1063" s="4561" t="n"/>
      <c r="D1063" s="4561" t="n"/>
      <c r="E1063" s="4561" t="n"/>
      <c r="F1063" s="4561" t="n"/>
      <c r="G1063" s="4561" t="n"/>
      <c r="H1063" s="4561" t="n"/>
      <c r="I1063" s="4562">
        <f>XLOOKUP(B1063,'_Sys|Line_Map'!$A:$A,'_Sys|Line_Map'!$C:$C,"MISSING",0)</f>
        <v/>
      </c>
      <c r="J1063" s="4562">
        <f>XLOOKUP(B1063,'_Sys|Line_Map'!$A:$A,'_Sys|Line_Map'!$D:$D,1,0)</f>
        <v/>
      </c>
      <c r="K1063" s="4562">
        <f>IF(D1063="","",D1063*J1063)</f>
        <v/>
      </c>
      <c r="L1063" s="4562">
        <f>XLOOKUP(B1063,'_Sys|Line_Map'!$A:$A,'_Sys|Line_Map'!$B:$B,"MISSING",0)</f>
        <v/>
      </c>
    </row>
    <row r="1064">
      <c r="A1064" s="4561" t="n"/>
      <c r="B1064" s="4561" t="n"/>
      <c r="C1064" s="4561" t="n"/>
      <c r="D1064" s="4561" t="n"/>
      <c r="E1064" s="4561" t="n"/>
      <c r="F1064" s="4561" t="n"/>
      <c r="G1064" s="4561" t="n"/>
      <c r="H1064" s="4561" t="n"/>
      <c r="I1064" s="4562">
        <f>XLOOKUP(B1064,'_Sys|Line_Map'!$A:$A,'_Sys|Line_Map'!$C:$C,"MISSING",0)</f>
        <v/>
      </c>
      <c r="J1064" s="4562">
        <f>XLOOKUP(B1064,'_Sys|Line_Map'!$A:$A,'_Sys|Line_Map'!$D:$D,1,0)</f>
        <v/>
      </c>
      <c r="K1064" s="4562">
        <f>IF(D1064="","",D1064*J1064)</f>
        <v/>
      </c>
      <c r="L1064" s="4562">
        <f>XLOOKUP(B1064,'_Sys|Line_Map'!$A:$A,'_Sys|Line_Map'!$B:$B,"MISSING",0)</f>
        <v/>
      </c>
    </row>
    <row r="1065">
      <c r="A1065" s="4561" t="n"/>
      <c r="B1065" s="4561" t="n"/>
      <c r="C1065" s="4561" t="n"/>
      <c r="D1065" s="4561" t="n"/>
      <c r="E1065" s="4561" t="n"/>
      <c r="F1065" s="4561" t="n"/>
      <c r="G1065" s="4561" t="n"/>
      <c r="H1065" s="4561" t="n"/>
      <c r="I1065" s="4562">
        <f>XLOOKUP(B1065,'_Sys|Line_Map'!$A:$A,'_Sys|Line_Map'!$C:$C,"MISSING",0)</f>
        <v/>
      </c>
      <c r="J1065" s="4562">
        <f>XLOOKUP(B1065,'_Sys|Line_Map'!$A:$A,'_Sys|Line_Map'!$D:$D,1,0)</f>
        <v/>
      </c>
      <c r="K1065" s="4562">
        <f>IF(D1065="","",D1065*J1065)</f>
        <v/>
      </c>
      <c r="L1065" s="4562">
        <f>XLOOKUP(B1065,'_Sys|Line_Map'!$A:$A,'_Sys|Line_Map'!$B:$B,"MISSING",0)</f>
        <v/>
      </c>
    </row>
    <row r="1066">
      <c r="A1066" s="4561" t="n"/>
      <c r="B1066" s="4561" t="n"/>
      <c r="C1066" s="4561" t="n"/>
      <c r="D1066" s="4561" t="n"/>
      <c r="E1066" s="4561" t="n"/>
      <c r="F1066" s="4561" t="n"/>
      <c r="G1066" s="4561" t="n"/>
      <c r="H1066" s="4561" t="n"/>
      <c r="I1066" s="4562">
        <f>XLOOKUP(B1066,'_Sys|Line_Map'!$A:$A,'_Sys|Line_Map'!$C:$C,"MISSING",0)</f>
        <v/>
      </c>
      <c r="J1066" s="4562">
        <f>XLOOKUP(B1066,'_Sys|Line_Map'!$A:$A,'_Sys|Line_Map'!$D:$D,1,0)</f>
        <v/>
      </c>
      <c r="K1066" s="4562">
        <f>IF(D1066="","",D1066*J1066)</f>
        <v/>
      </c>
      <c r="L1066" s="4562">
        <f>XLOOKUP(B1066,'_Sys|Line_Map'!$A:$A,'_Sys|Line_Map'!$B:$B,"MISSING",0)</f>
        <v/>
      </c>
    </row>
    <row r="1067">
      <c r="A1067" s="4561" t="n"/>
      <c r="B1067" s="4561" t="n"/>
      <c r="C1067" s="4561" t="n"/>
      <c r="D1067" s="4561" t="n"/>
      <c r="E1067" s="4561" t="n"/>
      <c r="F1067" s="4561" t="n"/>
      <c r="G1067" s="4561" t="n"/>
      <c r="H1067" s="4561" t="n"/>
      <c r="I1067" s="4562">
        <f>XLOOKUP(B1067,'_Sys|Line_Map'!$A:$A,'_Sys|Line_Map'!$C:$C,"MISSING",0)</f>
        <v/>
      </c>
      <c r="J1067" s="4562">
        <f>XLOOKUP(B1067,'_Sys|Line_Map'!$A:$A,'_Sys|Line_Map'!$D:$D,1,0)</f>
        <v/>
      </c>
      <c r="K1067" s="4562">
        <f>IF(D1067="","",D1067*J1067)</f>
        <v/>
      </c>
      <c r="L1067" s="4562">
        <f>XLOOKUP(B1067,'_Sys|Line_Map'!$A:$A,'_Sys|Line_Map'!$B:$B,"MISSING",0)</f>
        <v/>
      </c>
    </row>
    <row r="1068">
      <c r="A1068" s="4561" t="n"/>
      <c r="B1068" s="4561" t="n"/>
      <c r="C1068" s="4561" t="n"/>
      <c r="D1068" s="4561" t="n"/>
      <c r="E1068" s="4561" t="n"/>
      <c r="F1068" s="4561" t="n"/>
      <c r="G1068" s="4561" t="n"/>
      <c r="H1068" s="4561" t="n"/>
      <c r="I1068" s="4562">
        <f>XLOOKUP(B1068,'_Sys|Line_Map'!$A:$A,'_Sys|Line_Map'!$C:$C,"MISSING",0)</f>
        <v/>
      </c>
      <c r="J1068" s="4562">
        <f>XLOOKUP(B1068,'_Sys|Line_Map'!$A:$A,'_Sys|Line_Map'!$D:$D,1,0)</f>
        <v/>
      </c>
      <c r="K1068" s="4562">
        <f>IF(D1068="","",D1068*J1068)</f>
        <v/>
      </c>
      <c r="L1068" s="4562">
        <f>XLOOKUP(B1068,'_Sys|Line_Map'!$A:$A,'_Sys|Line_Map'!$B:$B,"MISSING",0)</f>
        <v/>
      </c>
    </row>
    <row r="1069">
      <c r="A1069" s="4561" t="n"/>
      <c r="B1069" s="4561" t="n"/>
      <c r="C1069" s="4561" t="n"/>
      <c r="D1069" s="4561" t="n"/>
      <c r="E1069" s="4561" t="n"/>
      <c r="F1069" s="4561" t="n"/>
      <c r="G1069" s="4561" t="n"/>
      <c r="H1069" s="4561" t="n"/>
      <c r="I1069" s="4562">
        <f>XLOOKUP(B1069,'_Sys|Line_Map'!$A:$A,'_Sys|Line_Map'!$C:$C,"MISSING",0)</f>
        <v/>
      </c>
      <c r="J1069" s="4562">
        <f>XLOOKUP(B1069,'_Sys|Line_Map'!$A:$A,'_Sys|Line_Map'!$D:$D,1,0)</f>
        <v/>
      </c>
      <c r="K1069" s="4562">
        <f>IF(D1069="","",D1069*J1069)</f>
        <v/>
      </c>
      <c r="L1069" s="4562">
        <f>XLOOKUP(B1069,'_Sys|Line_Map'!$A:$A,'_Sys|Line_Map'!$B:$B,"MISSING",0)</f>
        <v/>
      </c>
    </row>
    <row r="1070">
      <c r="A1070" s="4561" t="n"/>
      <c r="B1070" s="4561" t="n"/>
      <c r="C1070" s="4561" t="n"/>
      <c r="D1070" s="4561" t="n"/>
      <c r="E1070" s="4561" t="n"/>
      <c r="F1070" s="4561" t="n"/>
      <c r="G1070" s="4561" t="n"/>
      <c r="H1070" s="4561" t="n"/>
      <c r="I1070" s="4562">
        <f>XLOOKUP(B1070,'_Sys|Line_Map'!$A:$A,'_Sys|Line_Map'!$C:$C,"MISSING",0)</f>
        <v/>
      </c>
      <c r="J1070" s="4562">
        <f>XLOOKUP(B1070,'_Sys|Line_Map'!$A:$A,'_Sys|Line_Map'!$D:$D,1,0)</f>
        <v/>
      </c>
      <c r="K1070" s="4562">
        <f>IF(D1070="","",D1070*J1070)</f>
        <v/>
      </c>
      <c r="L1070" s="4562">
        <f>XLOOKUP(B1070,'_Sys|Line_Map'!$A:$A,'_Sys|Line_Map'!$B:$B,"MISSING",0)</f>
        <v/>
      </c>
    </row>
    <row r="1071">
      <c r="A1071" s="4561" t="n"/>
      <c r="B1071" s="4561" t="n"/>
      <c r="C1071" s="4561" t="n"/>
      <c r="D1071" s="4561" t="n"/>
      <c r="E1071" s="4561" t="n"/>
      <c r="F1071" s="4561" t="n"/>
      <c r="G1071" s="4561" t="n"/>
      <c r="H1071" s="4561" t="n"/>
      <c r="I1071" s="4562">
        <f>XLOOKUP(B1071,'_Sys|Line_Map'!$A:$A,'_Sys|Line_Map'!$C:$C,"MISSING",0)</f>
        <v/>
      </c>
      <c r="J1071" s="4562">
        <f>XLOOKUP(B1071,'_Sys|Line_Map'!$A:$A,'_Sys|Line_Map'!$D:$D,1,0)</f>
        <v/>
      </c>
      <c r="K1071" s="4562">
        <f>IF(D1071="","",D1071*J1071)</f>
        <v/>
      </c>
      <c r="L1071" s="4562">
        <f>XLOOKUP(B1071,'_Sys|Line_Map'!$A:$A,'_Sys|Line_Map'!$B:$B,"MISSING",0)</f>
        <v/>
      </c>
    </row>
    <row r="1072">
      <c r="A1072" s="4561" t="n"/>
      <c r="B1072" s="4561" t="n"/>
      <c r="C1072" s="4561" t="n"/>
      <c r="D1072" s="4561" t="n"/>
      <c r="E1072" s="4561" t="n"/>
      <c r="F1072" s="4561" t="n"/>
      <c r="G1072" s="4561" t="n"/>
      <c r="H1072" s="4561" t="n"/>
      <c r="I1072" s="4562">
        <f>XLOOKUP(B1072,'_Sys|Line_Map'!$A:$A,'_Sys|Line_Map'!$C:$C,"MISSING",0)</f>
        <v/>
      </c>
      <c r="J1072" s="4562">
        <f>XLOOKUP(B1072,'_Sys|Line_Map'!$A:$A,'_Sys|Line_Map'!$D:$D,1,0)</f>
        <v/>
      </c>
      <c r="K1072" s="4562">
        <f>IF(D1072="","",D1072*J1072)</f>
        <v/>
      </c>
      <c r="L1072" s="4562">
        <f>XLOOKUP(B1072,'_Sys|Line_Map'!$A:$A,'_Sys|Line_Map'!$B:$B,"MISSING",0)</f>
        <v/>
      </c>
    </row>
    <row r="1073">
      <c r="A1073" s="4561" t="n"/>
      <c r="B1073" s="4561" t="n"/>
      <c r="C1073" s="4561" t="n"/>
      <c r="D1073" s="4561" t="n"/>
      <c r="E1073" s="4561" t="n"/>
      <c r="F1073" s="4561" t="n"/>
      <c r="G1073" s="4561" t="n"/>
      <c r="H1073" s="4561" t="n"/>
      <c r="I1073" s="4562">
        <f>XLOOKUP(B1073,'_Sys|Line_Map'!$A:$A,'_Sys|Line_Map'!$C:$C,"MISSING",0)</f>
        <v/>
      </c>
      <c r="J1073" s="4562">
        <f>XLOOKUP(B1073,'_Sys|Line_Map'!$A:$A,'_Sys|Line_Map'!$D:$D,1,0)</f>
        <v/>
      </c>
      <c r="K1073" s="4562">
        <f>IF(D1073="","",D1073*J1073)</f>
        <v/>
      </c>
      <c r="L1073" s="4562">
        <f>XLOOKUP(B1073,'_Sys|Line_Map'!$A:$A,'_Sys|Line_Map'!$B:$B,"MISSING",0)</f>
        <v/>
      </c>
    </row>
    <row r="1074">
      <c r="A1074" s="4561" t="n"/>
      <c r="B1074" s="4561" t="n"/>
      <c r="C1074" s="4561" t="n"/>
      <c r="D1074" s="4561" t="n"/>
      <c r="E1074" s="4561" t="n"/>
      <c r="F1074" s="4561" t="n"/>
      <c r="G1074" s="4561" t="n"/>
      <c r="H1074" s="4561" t="n"/>
      <c r="I1074" s="4562">
        <f>XLOOKUP(B1074,'_Sys|Line_Map'!$A:$A,'_Sys|Line_Map'!$C:$C,"MISSING",0)</f>
        <v/>
      </c>
      <c r="J1074" s="4562">
        <f>XLOOKUP(B1074,'_Sys|Line_Map'!$A:$A,'_Sys|Line_Map'!$D:$D,1,0)</f>
        <v/>
      </c>
      <c r="K1074" s="4562">
        <f>IF(D1074="","",D1074*J1074)</f>
        <v/>
      </c>
      <c r="L1074" s="4562">
        <f>XLOOKUP(B1074,'_Sys|Line_Map'!$A:$A,'_Sys|Line_Map'!$B:$B,"MISSING",0)</f>
        <v/>
      </c>
    </row>
    <row r="1075">
      <c r="A1075" s="4561" t="n"/>
      <c r="B1075" s="4561" t="n"/>
      <c r="C1075" s="4561" t="n"/>
      <c r="D1075" s="4561" t="n"/>
      <c r="E1075" s="4561" t="n"/>
      <c r="F1075" s="4561" t="n"/>
      <c r="G1075" s="4561" t="n"/>
      <c r="H1075" s="4561" t="n"/>
      <c r="I1075" s="4562">
        <f>XLOOKUP(B1075,'_Sys|Line_Map'!$A:$A,'_Sys|Line_Map'!$C:$C,"MISSING",0)</f>
        <v/>
      </c>
      <c r="J1075" s="4562">
        <f>XLOOKUP(B1075,'_Sys|Line_Map'!$A:$A,'_Sys|Line_Map'!$D:$D,1,0)</f>
        <v/>
      </c>
      <c r="K1075" s="4562">
        <f>IF(D1075="","",D1075*J1075)</f>
        <v/>
      </c>
      <c r="L1075" s="4562">
        <f>XLOOKUP(B1075,'_Sys|Line_Map'!$A:$A,'_Sys|Line_Map'!$B:$B,"MISSING",0)</f>
        <v/>
      </c>
    </row>
    <row r="1076">
      <c r="A1076" s="4561" t="n"/>
      <c r="B1076" s="4561" t="n"/>
      <c r="C1076" s="4561" t="n"/>
      <c r="D1076" s="4561" t="n"/>
      <c r="E1076" s="4561" t="n"/>
      <c r="F1076" s="4561" t="n"/>
      <c r="G1076" s="4561" t="n"/>
      <c r="H1076" s="4561" t="n"/>
      <c r="I1076" s="4562">
        <f>XLOOKUP(B1076,'_Sys|Line_Map'!$A:$A,'_Sys|Line_Map'!$C:$C,"MISSING",0)</f>
        <v/>
      </c>
      <c r="J1076" s="4562">
        <f>XLOOKUP(B1076,'_Sys|Line_Map'!$A:$A,'_Sys|Line_Map'!$D:$D,1,0)</f>
        <v/>
      </c>
      <c r="K1076" s="4562">
        <f>IF(D1076="","",D1076*J1076)</f>
        <v/>
      </c>
      <c r="L1076" s="4562">
        <f>XLOOKUP(B1076,'_Sys|Line_Map'!$A:$A,'_Sys|Line_Map'!$B:$B,"MISSING",0)</f>
        <v/>
      </c>
    </row>
    <row r="1077">
      <c r="A1077" s="4561" t="n"/>
      <c r="B1077" s="4561" t="n"/>
      <c r="C1077" s="4561" t="n"/>
      <c r="D1077" s="4561" t="n"/>
      <c r="E1077" s="4561" t="n"/>
      <c r="F1077" s="4561" t="n"/>
      <c r="G1077" s="4561" t="n"/>
      <c r="H1077" s="4561" t="n"/>
      <c r="I1077" s="4562">
        <f>XLOOKUP(B1077,'_Sys|Line_Map'!$A:$A,'_Sys|Line_Map'!$C:$C,"MISSING",0)</f>
        <v/>
      </c>
      <c r="J1077" s="4562">
        <f>XLOOKUP(B1077,'_Sys|Line_Map'!$A:$A,'_Sys|Line_Map'!$D:$D,1,0)</f>
        <v/>
      </c>
      <c r="K1077" s="4562">
        <f>IF(D1077="","",D1077*J1077)</f>
        <v/>
      </c>
      <c r="L1077" s="4562">
        <f>XLOOKUP(B1077,'_Sys|Line_Map'!$A:$A,'_Sys|Line_Map'!$B:$B,"MISSING",0)</f>
        <v/>
      </c>
    </row>
    <row r="1078">
      <c r="A1078" s="4561" t="n"/>
      <c r="B1078" s="4561" t="n"/>
      <c r="C1078" s="4561" t="n"/>
      <c r="D1078" s="4561" t="n"/>
      <c r="E1078" s="4561" t="n"/>
      <c r="F1078" s="4561" t="n"/>
      <c r="G1078" s="4561" t="n"/>
      <c r="H1078" s="4561" t="n"/>
      <c r="I1078" s="4562">
        <f>XLOOKUP(B1078,'_Sys|Line_Map'!$A:$A,'_Sys|Line_Map'!$C:$C,"MISSING",0)</f>
        <v/>
      </c>
      <c r="J1078" s="4562">
        <f>XLOOKUP(B1078,'_Sys|Line_Map'!$A:$A,'_Sys|Line_Map'!$D:$D,1,0)</f>
        <v/>
      </c>
      <c r="K1078" s="4562">
        <f>IF(D1078="","",D1078*J1078)</f>
        <v/>
      </c>
      <c r="L1078" s="4562">
        <f>XLOOKUP(B1078,'_Sys|Line_Map'!$A:$A,'_Sys|Line_Map'!$B:$B,"MISSING",0)</f>
        <v/>
      </c>
    </row>
    <row r="1079">
      <c r="A1079" s="4561" t="n"/>
      <c r="B1079" s="4561" t="n"/>
      <c r="C1079" s="4561" t="n"/>
      <c r="D1079" s="4561" t="n"/>
      <c r="E1079" s="4561" t="n"/>
      <c r="F1079" s="4561" t="n"/>
      <c r="G1079" s="4561" t="n"/>
      <c r="H1079" s="4561" t="n"/>
      <c r="I1079" s="4562">
        <f>XLOOKUP(B1079,'_Sys|Line_Map'!$A:$A,'_Sys|Line_Map'!$C:$C,"MISSING",0)</f>
        <v/>
      </c>
      <c r="J1079" s="4562">
        <f>XLOOKUP(B1079,'_Sys|Line_Map'!$A:$A,'_Sys|Line_Map'!$D:$D,1,0)</f>
        <v/>
      </c>
      <c r="K1079" s="4562">
        <f>IF(D1079="","",D1079*J1079)</f>
        <v/>
      </c>
      <c r="L1079" s="4562">
        <f>XLOOKUP(B1079,'_Sys|Line_Map'!$A:$A,'_Sys|Line_Map'!$B:$B,"MISSING",0)</f>
        <v/>
      </c>
    </row>
    <row r="1080">
      <c r="A1080" s="4561" t="n"/>
      <c r="B1080" s="4561" t="n"/>
      <c r="C1080" s="4561" t="n"/>
      <c r="D1080" s="4561" t="n"/>
      <c r="E1080" s="4561" t="n"/>
      <c r="F1080" s="4561" t="n"/>
      <c r="G1080" s="4561" t="n"/>
      <c r="H1080" s="4561" t="n"/>
      <c r="I1080" s="4562">
        <f>XLOOKUP(B1080,'_Sys|Line_Map'!$A:$A,'_Sys|Line_Map'!$C:$C,"MISSING",0)</f>
        <v/>
      </c>
      <c r="J1080" s="4562">
        <f>XLOOKUP(B1080,'_Sys|Line_Map'!$A:$A,'_Sys|Line_Map'!$D:$D,1,0)</f>
        <v/>
      </c>
      <c r="K1080" s="4562">
        <f>IF(D1080="","",D1080*J1080)</f>
        <v/>
      </c>
      <c r="L1080" s="4562">
        <f>XLOOKUP(B1080,'_Sys|Line_Map'!$A:$A,'_Sys|Line_Map'!$B:$B,"MISSING",0)</f>
        <v/>
      </c>
    </row>
    <row r="1081">
      <c r="A1081" s="4561" t="n"/>
      <c r="B1081" s="4561" t="n"/>
      <c r="C1081" s="4561" t="n"/>
      <c r="D1081" s="4561" t="n"/>
      <c r="E1081" s="4561" t="n"/>
      <c r="F1081" s="4561" t="n"/>
      <c r="G1081" s="4561" t="n"/>
      <c r="H1081" s="4561" t="n"/>
      <c r="I1081" s="4562">
        <f>XLOOKUP(B1081,'_Sys|Line_Map'!$A:$A,'_Sys|Line_Map'!$C:$C,"MISSING",0)</f>
        <v/>
      </c>
      <c r="J1081" s="4562">
        <f>XLOOKUP(B1081,'_Sys|Line_Map'!$A:$A,'_Sys|Line_Map'!$D:$D,1,0)</f>
        <v/>
      </c>
      <c r="K1081" s="4562">
        <f>IF(D1081="","",D1081*J1081)</f>
        <v/>
      </c>
      <c r="L1081" s="4562">
        <f>XLOOKUP(B1081,'_Sys|Line_Map'!$A:$A,'_Sys|Line_Map'!$B:$B,"MISSING",0)</f>
        <v/>
      </c>
    </row>
    <row r="1082">
      <c r="A1082" s="4561" t="n"/>
      <c r="B1082" s="4561" t="n"/>
      <c r="C1082" s="4561" t="n"/>
      <c r="D1082" s="4561" t="n"/>
      <c r="E1082" s="4561" t="n"/>
      <c r="F1082" s="4561" t="n"/>
      <c r="G1082" s="4561" t="n"/>
      <c r="H1082" s="4561" t="n"/>
      <c r="I1082" s="4562">
        <f>XLOOKUP(B1082,'_Sys|Line_Map'!$A:$A,'_Sys|Line_Map'!$C:$C,"MISSING",0)</f>
        <v/>
      </c>
      <c r="J1082" s="4562">
        <f>XLOOKUP(B1082,'_Sys|Line_Map'!$A:$A,'_Sys|Line_Map'!$D:$D,1,0)</f>
        <v/>
      </c>
      <c r="K1082" s="4562">
        <f>IF(D1082="","",D1082*J1082)</f>
        <v/>
      </c>
      <c r="L1082" s="4562">
        <f>XLOOKUP(B1082,'_Sys|Line_Map'!$A:$A,'_Sys|Line_Map'!$B:$B,"MISSING",0)</f>
        <v/>
      </c>
    </row>
    <row r="1083">
      <c r="A1083" s="4561" t="n"/>
      <c r="B1083" s="4561" t="n"/>
      <c r="C1083" s="4561" t="n"/>
      <c r="D1083" s="4561" t="n"/>
      <c r="E1083" s="4561" t="n"/>
      <c r="F1083" s="4561" t="n"/>
      <c r="G1083" s="4561" t="n"/>
      <c r="H1083" s="4561" t="n"/>
      <c r="I1083" s="4562">
        <f>XLOOKUP(B1083,'_Sys|Line_Map'!$A:$A,'_Sys|Line_Map'!$C:$C,"MISSING",0)</f>
        <v/>
      </c>
      <c r="J1083" s="4562">
        <f>XLOOKUP(B1083,'_Sys|Line_Map'!$A:$A,'_Sys|Line_Map'!$D:$D,1,0)</f>
        <v/>
      </c>
      <c r="K1083" s="4562">
        <f>IF(D1083="","",D1083*J1083)</f>
        <v/>
      </c>
      <c r="L1083" s="4562">
        <f>XLOOKUP(B1083,'_Sys|Line_Map'!$A:$A,'_Sys|Line_Map'!$B:$B,"MISSING",0)</f>
        <v/>
      </c>
    </row>
    <row r="1084">
      <c r="A1084" s="4561" t="n"/>
      <c r="B1084" s="4561" t="n"/>
      <c r="C1084" s="4561" t="n"/>
      <c r="D1084" s="4561" t="n"/>
      <c r="E1084" s="4561" t="n"/>
      <c r="F1084" s="4561" t="n"/>
      <c r="G1084" s="4561" t="n"/>
      <c r="H1084" s="4561" t="n"/>
      <c r="I1084" s="4562">
        <f>XLOOKUP(B1084,'_Sys|Line_Map'!$A:$A,'_Sys|Line_Map'!$C:$C,"MISSING",0)</f>
        <v/>
      </c>
      <c r="J1084" s="4562">
        <f>XLOOKUP(B1084,'_Sys|Line_Map'!$A:$A,'_Sys|Line_Map'!$D:$D,1,0)</f>
        <v/>
      </c>
      <c r="K1084" s="4562">
        <f>IF(D1084="","",D1084*J1084)</f>
        <v/>
      </c>
      <c r="L1084" s="4562">
        <f>XLOOKUP(B1084,'_Sys|Line_Map'!$A:$A,'_Sys|Line_Map'!$B:$B,"MISSING",0)</f>
        <v/>
      </c>
    </row>
    <row r="1085">
      <c r="A1085" s="4561" t="n"/>
      <c r="B1085" s="4561" t="n"/>
      <c r="C1085" s="4561" t="n"/>
      <c r="D1085" s="4561" t="n"/>
      <c r="E1085" s="4561" t="n"/>
      <c r="F1085" s="4561" t="n"/>
      <c r="G1085" s="4561" t="n"/>
      <c r="H1085" s="4561" t="n"/>
      <c r="I1085" s="4562">
        <f>XLOOKUP(B1085,'_Sys|Line_Map'!$A:$A,'_Sys|Line_Map'!$C:$C,"MISSING",0)</f>
        <v/>
      </c>
      <c r="J1085" s="4562">
        <f>XLOOKUP(B1085,'_Sys|Line_Map'!$A:$A,'_Sys|Line_Map'!$D:$D,1,0)</f>
        <v/>
      </c>
      <c r="K1085" s="4562">
        <f>IF(D1085="","",D1085*J1085)</f>
        <v/>
      </c>
      <c r="L1085" s="4562">
        <f>XLOOKUP(B1085,'_Sys|Line_Map'!$A:$A,'_Sys|Line_Map'!$B:$B,"MISSING",0)</f>
        <v/>
      </c>
    </row>
    <row r="1086">
      <c r="A1086" s="4561" t="n"/>
      <c r="B1086" s="4561" t="n"/>
      <c r="C1086" s="4561" t="n"/>
      <c r="D1086" s="4561" t="n"/>
      <c r="E1086" s="4561" t="n"/>
      <c r="F1086" s="4561" t="n"/>
      <c r="G1086" s="4561" t="n"/>
      <c r="H1086" s="4561" t="n"/>
      <c r="I1086" s="4562">
        <f>XLOOKUP(B1086,'_Sys|Line_Map'!$A:$A,'_Sys|Line_Map'!$C:$C,"MISSING",0)</f>
        <v/>
      </c>
      <c r="J1086" s="4562">
        <f>XLOOKUP(B1086,'_Sys|Line_Map'!$A:$A,'_Sys|Line_Map'!$D:$D,1,0)</f>
        <v/>
      </c>
      <c r="K1086" s="4562">
        <f>IF(D1086="","",D1086*J1086)</f>
        <v/>
      </c>
      <c r="L1086" s="4562">
        <f>XLOOKUP(B1086,'_Sys|Line_Map'!$A:$A,'_Sys|Line_Map'!$B:$B,"MISSING",0)</f>
        <v/>
      </c>
    </row>
    <row r="1087">
      <c r="A1087" s="4561" t="n"/>
      <c r="B1087" s="4561" t="n"/>
      <c r="C1087" s="4561" t="n"/>
      <c r="D1087" s="4561" t="n"/>
      <c r="E1087" s="4561" t="n"/>
      <c r="F1087" s="4561" t="n"/>
      <c r="G1087" s="4561" t="n"/>
      <c r="H1087" s="4561" t="n"/>
      <c r="I1087" s="4562">
        <f>XLOOKUP(B1087,'_Sys|Line_Map'!$A:$A,'_Sys|Line_Map'!$C:$C,"MISSING",0)</f>
        <v/>
      </c>
      <c r="J1087" s="4562">
        <f>XLOOKUP(B1087,'_Sys|Line_Map'!$A:$A,'_Sys|Line_Map'!$D:$D,1,0)</f>
        <v/>
      </c>
      <c r="K1087" s="4562">
        <f>IF(D1087="","",D1087*J1087)</f>
        <v/>
      </c>
      <c r="L1087" s="4562">
        <f>XLOOKUP(B1087,'_Sys|Line_Map'!$A:$A,'_Sys|Line_Map'!$B:$B,"MISSING",0)</f>
        <v/>
      </c>
    </row>
    <row r="1088">
      <c r="A1088" s="4561" t="n"/>
      <c r="B1088" s="4561" t="n"/>
      <c r="C1088" s="4561" t="n"/>
      <c r="D1088" s="4561" t="n"/>
      <c r="E1088" s="4561" t="n"/>
      <c r="F1088" s="4561" t="n"/>
      <c r="G1088" s="4561" t="n"/>
      <c r="H1088" s="4561" t="n"/>
      <c r="I1088" s="4562">
        <f>XLOOKUP(B1088,'_Sys|Line_Map'!$A:$A,'_Sys|Line_Map'!$C:$C,"MISSING",0)</f>
        <v/>
      </c>
      <c r="J1088" s="4562">
        <f>XLOOKUP(B1088,'_Sys|Line_Map'!$A:$A,'_Sys|Line_Map'!$D:$D,1,0)</f>
        <v/>
      </c>
      <c r="K1088" s="4562">
        <f>IF(D1088="","",D1088*J1088)</f>
        <v/>
      </c>
      <c r="L1088" s="4562">
        <f>XLOOKUP(B1088,'_Sys|Line_Map'!$A:$A,'_Sys|Line_Map'!$B:$B,"MISSING",0)</f>
        <v/>
      </c>
    </row>
    <row r="1089">
      <c r="A1089" s="4561" t="n"/>
      <c r="B1089" s="4561" t="n"/>
      <c r="C1089" s="4561" t="n"/>
      <c r="D1089" s="4561" t="n"/>
      <c r="E1089" s="4561" t="n"/>
      <c r="F1089" s="4561" t="n"/>
      <c r="G1089" s="4561" t="n"/>
      <c r="H1089" s="4561" t="n"/>
      <c r="I1089" s="4562">
        <f>XLOOKUP(B1089,'_Sys|Line_Map'!$A:$A,'_Sys|Line_Map'!$C:$C,"MISSING",0)</f>
        <v/>
      </c>
      <c r="J1089" s="4562">
        <f>XLOOKUP(B1089,'_Sys|Line_Map'!$A:$A,'_Sys|Line_Map'!$D:$D,1,0)</f>
        <v/>
      </c>
      <c r="K1089" s="4562">
        <f>IF(D1089="","",D1089*J1089)</f>
        <v/>
      </c>
      <c r="L1089" s="4562">
        <f>XLOOKUP(B1089,'_Sys|Line_Map'!$A:$A,'_Sys|Line_Map'!$B:$B,"MISSING",0)</f>
        <v/>
      </c>
    </row>
    <row r="1090">
      <c r="A1090" s="4561" t="n"/>
      <c r="B1090" s="4561" t="n"/>
      <c r="C1090" s="4561" t="n"/>
      <c r="D1090" s="4561" t="n"/>
      <c r="E1090" s="4561" t="n"/>
      <c r="F1090" s="4561" t="n"/>
      <c r="G1090" s="4561" t="n"/>
      <c r="H1090" s="4561" t="n"/>
      <c r="I1090" s="4562">
        <f>XLOOKUP(B1090,'_Sys|Line_Map'!$A:$A,'_Sys|Line_Map'!$C:$C,"MISSING",0)</f>
        <v/>
      </c>
      <c r="J1090" s="4562">
        <f>XLOOKUP(B1090,'_Sys|Line_Map'!$A:$A,'_Sys|Line_Map'!$D:$D,1,0)</f>
        <v/>
      </c>
      <c r="K1090" s="4562">
        <f>IF(D1090="","",D1090*J1090)</f>
        <v/>
      </c>
      <c r="L1090" s="4562">
        <f>XLOOKUP(B1090,'_Sys|Line_Map'!$A:$A,'_Sys|Line_Map'!$B:$B,"MISSING",0)</f>
        <v/>
      </c>
    </row>
    <row r="1091">
      <c r="A1091" s="4561" t="n"/>
      <c r="B1091" s="4561" t="n"/>
      <c r="C1091" s="4561" t="n"/>
      <c r="D1091" s="4561" t="n"/>
      <c r="E1091" s="4561" t="n"/>
      <c r="F1091" s="4561" t="n"/>
      <c r="G1091" s="4561" t="n"/>
      <c r="H1091" s="4561" t="n"/>
      <c r="I1091" s="4562">
        <f>XLOOKUP(B1091,'_Sys|Line_Map'!$A:$A,'_Sys|Line_Map'!$C:$C,"MISSING",0)</f>
        <v/>
      </c>
      <c r="J1091" s="4562">
        <f>XLOOKUP(B1091,'_Sys|Line_Map'!$A:$A,'_Sys|Line_Map'!$D:$D,1,0)</f>
        <v/>
      </c>
      <c r="K1091" s="4562">
        <f>IF(D1091="","",D1091*J1091)</f>
        <v/>
      </c>
      <c r="L1091" s="4562">
        <f>XLOOKUP(B1091,'_Sys|Line_Map'!$A:$A,'_Sys|Line_Map'!$B:$B,"MISSING",0)</f>
        <v/>
      </c>
    </row>
    <row r="1092">
      <c r="A1092" s="4561" t="n"/>
      <c r="B1092" s="4561" t="n"/>
      <c r="C1092" s="4561" t="n"/>
      <c r="D1092" s="4561" t="n"/>
      <c r="E1092" s="4561" t="n"/>
      <c r="F1092" s="4561" t="n"/>
      <c r="G1092" s="4561" t="n"/>
      <c r="H1092" s="4561" t="n"/>
      <c r="I1092" s="4562">
        <f>XLOOKUP(B1092,'_Sys|Line_Map'!$A:$A,'_Sys|Line_Map'!$C:$C,"MISSING",0)</f>
        <v/>
      </c>
      <c r="J1092" s="4562">
        <f>XLOOKUP(B1092,'_Sys|Line_Map'!$A:$A,'_Sys|Line_Map'!$D:$D,1,0)</f>
        <v/>
      </c>
      <c r="K1092" s="4562">
        <f>IF(D1092="","",D1092*J1092)</f>
        <v/>
      </c>
      <c r="L1092" s="4562">
        <f>XLOOKUP(B1092,'_Sys|Line_Map'!$A:$A,'_Sys|Line_Map'!$B:$B,"MISSING",0)</f>
        <v/>
      </c>
    </row>
    <row r="1093">
      <c r="A1093" s="4561" t="n"/>
      <c r="B1093" s="4561" t="n"/>
      <c r="C1093" s="4561" t="n"/>
      <c r="D1093" s="4561" t="n"/>
      <c r="E1093" s="4561" t="n"/>
      <c r="F1093" s="4561" t="n"/>
      <c r="G1093" s="4561" t="n"/>
      <c r="H1093" s="4561" t="n"/>
      <c r="I1093" s="4562">
        <f>XLOOKUP(B1093,'_Sys|Line_Map'!$A:$A,'_Sys|Line_Map'!$C:$C,"MISSING",0)</f>
        <v/>
      </c>
      <c r="J1093" s="4562">
        <f>XLOOKUP(B1093,'_Sys|Line_Map'!$A:$A,'_Sys|Line_Map'!$D:$D,1,0)</f>
        <v/>
      </c>
      <c r="K1093" s="4562">
        <f>IF(D1093="","",D1093*J1093)</f>
        <v/>
      </c>
      <c r="L1093" s="4562">
        <f>XLOOKUP(B1093,'_Sys|Line_Map'!$A:$A,'_Sys|Line_Map'!$B:$B,"MISSING",0)</f>
        <v/>
      </c>
    </row>
    <row r="1094">
      <c r="A1094" s="4561" t="n"/>
      <c r="B1094" s="4561" t="n"/>
      <c r="C1094" s="4561" t="n"/>
      <c r="D1094" s="4561" t="n"/>
      <c r="E1094" s="4561" t="n"/>
      <c r="F1094" s="4561" t="n"/>
      <c r="G1094" s="4561" t="n"/>
      <c r="H1094" s="4561" t="n"/>
      <c r="I1094" s="4562">
        <f>XLOOKUP(B1094,'_Sys|Line_Map'!$A:$A,'_Sys|Line_Map'!$C:$C,"MISSING",0)</f>
        <v/>
      </c>
      <c r="J1094" s="4562">
        <f>XLOOKUP(B1094,'_Sys|Line_Map'!$A:$A,'_Sys|Line_Map'!$D:$D,1,0)</f>
        <v/>
      </c>
      <c r="K1094" s="4562">
        <f>IF(D1094="","",D1094*J1094)</f>
        <v/>
      </c>
      <c r="L1094" s="4562">
        <f>XLOOKUP(B1094,'_Sys|Line_Map'!$A:$A,'_Sys|Line_Map'!$B:$B,"MISSING",0)</f>
        <v/>
      </c>
    </row>
    <row r="1095">
      <c r="A1095" s="4561" t="n"/>
      <c r="B1095" s="4561" t="n"/>
      <c r="C1095" s="4561" t="n"/>
      <c r="D1095" s="4561" t="n"/>
      <c r="E1095" s="4561" t="n"/>
      <c r="F1095" s="4561" t="n"/>
      <c r="G1095" s="4561" t="n"/>
      <c r="H1095" s="4561" t="n"/>
      <c r="I1095" s="4562">
        <f>XLOOKUP(B1095,'_Sys|Line_Map'!$A:$A,'_Sys|Line_Map'!$C:$C,"MISSING",0)</f>
        <v/>
      </c>
      <c r="J1095" s="4562">
        <f>XLOOKUP(B1095,'_Sys|Line_Map'!$A:$A,'_Sys|Line_Map'!$D:$D,1,0)</f>
        <v/>
      </c>
      <c r="K1095" s="4562">
        <f>IF(D1095="","",D1095*J1095)</f>
        <v/>
      </c>
      <c r="L1095" s="4562">
        <f>XLOOKUP(B1095,'_Sys|Line_Map'!$A:$A,'_Sys|Line_Map'!$B:$B,"MISSING",0)</f>
        <v/>
      </c>
    </row>
    <row r="1096">
      <c r="A1096" s="4561" t="n"/>
      <c r="B1096" s="4561" t="n"/>
      <c r="C1096" s="4561" t="n"/>
      <c r="D1096" s="4561" t="n"/>
      <c r="E1096" s="4561" t="n"/>
      <c r="F1096" s="4561" t="n"/>
      <c r="G1096" s="4561" t="n"/>
      <c r="H1096" s="4561" t="n"/>
      <c r="I1096" s="4562">
        <f>XLOOKUP(B1096,'_Sys|Line_Map'!$A:$A,'_Sys|Line_Map'!$C:$C,"MISSING",0)</f>
        <v/>
      </c>
      <c r="J1096" s="4562">
        <f>XLOOKUP(B1096,'_Sys|Line_Map'!$A:$A,'_Sys|Line_Map'!$D:$D,1,0)</f>
        <v/>
      </c>
      <c r="K1096" s="4562">
        <f>IF(D1096="","",D1096*J1096)</f>
        <v/>
      </c>
      <c r="L1096" s="4562">
        <f>XLOOKUP(B1096,'_Sys|Line_Map'!$A:$A,'_Sys|Line_Map'!$B:$B,"MISSING",0)</f>
        <v/>
      </c>
    </row>
    <row r="1097">
      <c r="A1097" s="4561" t="n"/>
      <c r="B1097" s="4561" t="n"/>
      <c r="C1097" s="4561" t="n"/>
      <c r="D1097" s="4561" t="n"/>
      <c r="E1097" s="4561" t="n"/>
      <c r="F1097" s="4561" t="n"/>
      <c r="G1097" s="4561" t="n"/>
      <c r="H1097" s="4561" t="n"/>
      <c r="I1097" s="4562">
        <f>XLOOKUP(B1097,'_Sys|Line_Map'!$A:$A,'_Sys|Line_Map'!$C:$C,"MISSING",0)</f>
        <v/>
      </c>
      <c r="J1097" s="4562">
        <f>XLOOKUP(B1097,'_Sys|Line_Map'!$A:$A,'_Sys|Line_Map'!$D:$D,1,0)</f>
        <v/>
      </c>
      <c r="K1097" s="4562">
        <f>IF(D1097="","",D1097*J1097)</f>
        <v/>
      </c>
      <c r="L1097" s="4562">
        <f>XLOOKUP(B1097,'_Sys|Line_Map'!$A:$A,'_Sys|Line_Map'!$B:$B,"MISSING",0)</f>
        <v/>
      </c>
    </row>
    <row r="1098">
      <c r="A1098" s="4561" t="n"/>
      <c r="B1098" s="4561" t="n"/>
      <c r="C1098" s="4561" t="n"/>
      <c r="D1098" s="4561" t="n"/>
      <c r="E1098" s="4561" t="n"/>
      <c r="F1098" s="4561" t="n"/>
      <c r="G1098" s="4561" t="n"/>
      <c r="H1098" s="4561" t="n"/>
      <c r="I1098" s="4562">
        <f>XLOOKUP(B1098,'_Sys|Line_Map'!$A:$A,'_Sys|Line_Map'!$C:$C,"MISSING",0)</f>
        <v/>
      </c>
      <c r="J1098" s="4562">
        <f>XLOOKUP(B1098,'_Sys|Line_Map'!$A:$A,'_Sys|Line_Map'!$D:$D,1,0)</f>
        <v/>
      </c>
      <c r="K1098" s="4562">
        <f>IF(D1098="","",D1098*J1098)</f>
        <v/>
      </c>
      <c r="L1098" s="4562">
        <f>XLOOKUP(B1098,'_Sys|Line_Map'!$A:$A,'_Sys|Line_Map'!$B:$B,"MISSING",0)</f>
        <v/>
      </c>
    </row>
    <row r="1099">
      <c r="A1099" s="4561" t="n"/>
      <c r="B1099" s="4561" t="n"/>
      <c r="C1099" s="4561" t="n"/>
      <c r="D1099" s="4561" t="n"/>
      <c r="E1099" s="4561" t="n"/>
      <c r="F1099" s="4561" t="n"/>
      <c r="G1099" s="4561" t="n"/>
      <c r="H1099" s="4561" t="n"/>
      <c r="I1099" s="4562">
        <f>XLOOKUP(B1099,'_Sys|Line_Map'!$A:$A,'_Sys|Line_Map'!$C:$C,"MISSING",0)</f>
        <v/>
      </c>
      <c r="J1099" s="4562">
        <f>XLOOKUP(B1099,'_Sys|Line_Map'!$A:$A,'_Sys|Line_Map'!$D:$D,1,0)</f>
        <v/>
      </c>
      <c r="K1099" s="4562">
        <f>IF(D1099="","",D1099*J1099)</f>
        <v/>
      </c>
      <c r="L1099" s="4562">
        <f>XLOOKUP(B1099,'_Sys|Line_Map'!$A:$A,'_Sys|Line_Map'!$B:$B,"MISSING",0)</f>
        <v/>
      </c>
    </row>
    <row r="1100">
      <c r="A1100" s="4561" t="n"/>
      <c r="B1100" s="4561" t="n"/>
      <c r="C1100" s="4561" t="n"/>
      <c r="D1100" s="4561" t="n"/>
      <c r="E1100" s="4561" t="n"/>
      <c r="F1100" s="4561" t="n"/>
      <c r="G1100" s="4561" t="n"/>
      <c r="H1100" s="4561" t="n"/>
      <c r="I1100" s="4562">
        <f>XLOOKUP(B1100,'_Sys|Line_Map'!$A:$A,'_Sys|Line_Map'!$C:$C,"MISSING",0)</f>
        <v/>
      </c>
      <c r="J1100" s="4562">
        <f>XLOOKUP(B1100,'_Sys|Line_Map'!$A:$A,'_Sys|Line_Map'!$D:$D,1,0)</f>
        <v/>
      </c>
      <c r="K1100" s="4562">
        <f>IF(D1100="","",D1100*J1100)</f>
        <v/>
      </c>
      <c r="L1100" s="4562">
        <f>XLOOKUP(B1100,'_Sys|Line_Map'!$A:$A,'_Sys|Line_Map'!$B:$B,"MISSING",0)</f>
        <v/>
      </c>
    </row>
    <row r="1101">
      <c r="A1101" s="4561" t="n"/>
      <c r="B1101" s="4561" t="n"/>
      <c r="C1101" s="4561" t="n"/>
      <c r="D1101" s="4561" t="n"/>
      <c r="E1101" s="4561" t="n"/>
      <c r="F1101" s="4561" t="n"/>
      <c r="G1101" s="4561" t="n"/>
      <c r="H1101" s="4561" t="n"/>
      <c r="I1101" s="4562">
        <f>XLOOKUP(B1101,'_Sys|Line_Map'!$A:$A,'_Sys|Line_Map'!$C:$C,"MISSING",0)</f>
        <v/>
      </c>
      <c r="J1101" s="4562">
        <f>XLOOKUP(B1101,'_Sys|Line_Map'!$A:$A,'_Sys|Line_Map'!$D:$D,1,0)</f>
        <v/>
      </c>
      <c r="K1101" s="4562">
        <f>IF(D1101="","",D1101*J1101)</f>
        <v/>
      </c>
      <c r="L1101" s="4562">
        <f>XLOOKUP(B1101,'_Sys|Line_Map'!$A:$A,'_Sys|Line_Map'!$B:$B,"MISSING",0)</f>
        <v/>
      </c>
    </row>
    <row r="1102">
      <c r="A1102" s="4561" t="n"/>
      <c r="B1102" s="4561" t="n"/>
      <c r="C1102" s="4561" t="n"/>
      <c r="D1102" s="4561" t="n"/>
      <c r="E1102" s="4561" t="n"/>
      <c r="F1102" s="4561" t="n"/>
      <c r="G1102" s="4561" t="n"/>
      <c r="H1102" s="4561" t="n"/>
      <c r="I1102" s="4562">
        <f>XLOOKUP(B1102,'_Sys|Line_Map'!$A:$A,'_Sys|Line_Map'!$C:$C,"MISSING",0)</f>
        <v/>
      </c>
      <c r="J1102" s="4562">
        <f>XLOOKUP(B1102,'_Sys|Line_Map'!$A:$A,'_Sys|Line_Map'!$D:$D,1,0)</f>
        <v/>
      </c>
      <c r="K1102" s="4562">
        <f>IF(D1102="","",D1102*J1102)</f>
        <v/>
      </c>
      <c r="L1102" s="4562">
        <f>XLOOKUP(B1102,'_Sys|Line_Map'!$A:$A,'_Sys|Line_Map'!$B:$B,"MISSING",0)</f>
        <v/>
      </c>
    </row>
    <row r="1103">
      <c r="A1103" s="4561" t="n"/>
      <c r="B1103" s="4561" t="n"/>
      <c r="C1103" s="4561" t="n"/>
      <c r="D1103" s="4561" t="n"/>
      <c r="E1103" s="4561" t="n"/>
      <c r="F1103" s="4561" t="n"/>
      <c r="G1103" s="4561" t="n"/>
      <c r="H1103" s="4561" t="n"/>
      <c r="I1103" s="4562">
        <f>XLOOKUP(B1103,'_Sys|Line_Map'!$A:$A,'_Sys|Line_Map'!$C:$C,"MISSING",0)</f>
        <v/>
      </c>
      <c r="J1103" s="4562">
        <f>XLOOKUP(B1103,'_Sys|Line_Map'!$A:$A,'_Sys|Line_Map'!$D:$D,1,0)</f>
        <v/>
      </c>
      <c r="K1103" s="4562">
        <f>IF(D1103="","",D1103*J1103)</f>
        <v/>
      </c>
      <c r="L1103" s="4562">
        <f>XLOOKUP(B1103,'_Sys|Line_Map'!$A:$A,'_Sys|Line_Map'!$B:$B,"MISSING",0)</f>
        <v/>
      </c>
    </row>
    <row r="1104">
      <c r="A1104" s="4561" t="n"/>
      <c r="B1104" s="4561" t="n"/>
      <c r="C1104" s="4561" t="n"/>
      <c r="D1104" s="4561" t="n"/>
      <c r="E1104" s="4561" t="n"/>
      <c r="F1104" s="4561" t="n"/>
      <c r="G1104" s="4561" t="n"/>
      <c r="H1104" s="4561" t="n"/>
      <c r="I1104" s="4562">
        <f>XLOOKUP(B1104,'_Sys|Line_Map'!$A:$A,'_Sys|Line_Map'!$C:$C,"MISSING",0)</f>
        <v/>
      </c>
      <c r="J1104" s="4562">
        <f>XLOOKUP(B1104,'_Sys|Line_Map'!$A:$A,'_Sys|Line_Map'!$D:$D,1,0)</f>
        <v/>
      </c>
      <c r="K1104" s="4562">
        <f>IF(D1104="","",D1104*J1104)</f>
        <v/>
      </c>
      <c r="L1104" s="4562">
        <f>XLOOKUP(B1104,'_Sys|Line_Map'!$A:$A,'_Sys|Line_Map'!$B:$B,"MISSING",0)</f>
        <v/>
      </c>
    </row>
    <row r="1105">
      <c r="A1105" s="4561" t="n"/>
      <c r="B1105" s="4561" t="n"/>
      <c r="C1105" s="4561" t="n"/>
      <c r="D1105" s="4561" t="n"/>
      <c r="E1105" s="4561" t="n"/>
      <c r="F1105" s="4561" t="n"/>
      <c r="G1105" s="4561" t="n"/>
      <c r="H1105" s="4561" t="n"/>
      <c r="I1105" s="4562">
        <f>XLOOKUP(B1105,'_Sys|Line_Map'!$A:$A,'_Sys|Line_Map'!$C:$C,"MISSING",0)</f>
        <v/>
      </c>
      <c r="J1105" s="4562">
        <f>XLOOKUP(B1105,'_Sys|Line_Map'!$A:$A,'_Sys|Line_Map'!$D:$D,1,0)</f>
        <v/>
      </c>
      <c r="K1105" s="4562">
        <f>IF(D1105="","",D1105*J1105)</f>
        <v/>
      </c>
      <c r="L1105" s="4562">
        <f>XLOOKUP(B1105,'_Sys|Line_Map'!$A:$A,'_Sys|Line_Map'!$B:$B,"MISSING",0)</f>
        <v/>
      </c>
    </row>
    <row r="1106">
      <c r="A1106" s="4561" t="n"/>
      <c r="B1106" s="4561" t="n"/>
      <c r="C1106" s="4561" t="n"/>
      <c r="D1106" s="4561" t="n"/>
      <c r="E1106" s="4561" t="n"/>
      <c r="F1106" s="4561" t="n"/>
      <c r="G1106" s="4561" t="n"/>
      <c r="H1106" s="4561" t="n"/>
      <c r="I1106" s="4562">
        <f>XLOOKUP(B1106,'_Sys|Line_Map'!$A:$A,'_Sys|Line_Map'!$C:$C,"MISSING",0)</f>
        <v/>
      </c>
      <c r="J1106" s="4562">
        <f>XLOOKUP(B1106,'_Sys|Line_Map'!$A:$A,'_Sys|Line_Map'!$D:$D,1,0)</f>
        <v/>
      </c>
      <c r="K1106" s="4562">
        <f>IF(D1106="","",D1106*J1106)</f>
        <v/>
      </c>
      <c r="L1106" s="4562">
        <f>XLOOKUP(B1106,'_Sys|Line_Map'!$A:$A,'_Sys|Line_Map'!$B:$B,"MISSING",0)</f>
        <v/>
      </c>
    </row>
    <row r="1107">
      <c r="A1107" s="4561" t="n"/>
      <c r="B1107" s="4561" t="n"/>
      <c r="C1107" s="4561" t="n"/>
      <c r="D1107" s="4561" t="n"/>
      <c r="E1107" s="4561" t="n"/>
      <c r="F1107" s="4561" t="n"/>
      <c r="G1107" s="4561" t="n"/>
      <c r="H1107" s="4561" t="n"/>
      <c r="I1107" s="4562">
        <f>XLOOKUP(B1107,'_Sys|Line_Map'!$A:$A,'_Sys|Line_Map'!$C:$C,"MISSING",0)</f>
        <v/>
      </c>
      <c r="J1107" s="4562">
        <f>XLOOKUP(B1107,'_Sys|Line_Map'!$A:$A,'_Sys|Line_Map'!$D:$D,1,0)</f>
        <v/>
      </c>
      <c r="K1107" s="4562">
        <f>IF(D1107="","",D1107*J1107)</f>
        <v/>
      </c>
      <c r="L1107" s="4562">
        <f>XLOOKUP(B1107,'_Sys|Line_Map'!$A:$A,'_Sys|Line_Map'!$B:$B,"MISSING",0)</f>
        <v/>
      </c>
    </row>
    <row r="1108">
      <c r="A1108" s="4561" t="n"/>
      <c r="B1108" s="4561" t="n"/>
      <c r="C1108" s="4561" t="n"/>
      <c r="D1108" s="4561" t="n"/>
      <c r="E1108" s="4561" t="n"/>
      <c r="F1108" s="4561" t="n"/>
      <c r="G1108" s="4561" t="n"/>
      <c r="H1108" s="4561" t="n"/>
      <c r="I1108" s="4562">
        <f>XLOOKUP(B1108,'_Sys|Line_Map'!$A:$A,'_Sys|Line_Map'!$C:$C,"MISSING",0)</f>
        <v/>
      </c>
      <c r="J1108" s="4562">
        <f>XLOOKUP(B1108,'_Sys|Line_Map'!$A:$A,'_Sys|Line_Map'!$D:$D,1,0)</f>
        <v/>
      </c>
      <c r="K1108" s="4562">
        <f>IF(D1108="","",D1108*J1108)</f>
        <v/>
      </c>
      <c r="L1108" s="4562">
        <f>XLOOKUP(B1108,'_Sys|Line_Map'!$A:$A,'_Sys|Line_Map'!$B:$B,"MISSING",0)</f>
        <v/>
      </c>
    </row>
    <row r="1109">
      <c r="A1109" s="4561" t="n"/>
      <c r="B1109" s="4561" t="n"/>
      <c r="C1109" s="4561" t="n"/>
      <c r="D1109" s="4561" t="n"/>
      <c r="E1109" s="4561" t="n"/>
      <c r="F1109" s="4561" t="n"/>
      <c r="G1109" s="4561" t="n"/>
      <c r="H1109" s="4561" t="n"/>
      <c r="I1109" s="4562">
        <f>XLOOKUP(B1109,'_Sys|Line_Map'!$A:$A,'_Sys|Line_Map'!$C:$C,"MISSING",0)</f>
        <v/>
      </c>
      <c r="J1109" s="4562">
        <f>XLOOKUP(B1109,'_Sys|Line_Map'!$A:$A,'_Sys|Line_Map'!$D:$D,1,0)</f>
        <v/>
      </c>
      <c r="K1109" s="4562">
        <f>IF(D1109="","",D1109*J1109)</f>
        <v/>
      </c>
      <c r="L1109" s="4562">
        <f>XLOOKUP(B1109,'_Sys|Line_Map'!$A:$A,'_Sys|Line_Map'!$B:$B,"MISSING",0)</f>
        <v/>
      </c>
    </row>
    <row r="1110">
      <c r="A1110" s="4561" t="n"/>
      <c r="B1110" s="4561" t="n"/>
      <c r="C1110" s="4561" t="n"/>
      <c r="D1110" s="4561" t="n"/>
      <c r="E1110" s="4561" t="n"/>
      <c r="F1110" s="4561" t="n"/>
      <c r="G1110" s="4561" t="n"/>
      <c r="H1110" s="4561" t="n"/>
      <c r="I1110" s="4562">
        <f>XLOOKUP(B1110,'_Sys|Line_Map'!$A:$A,'_Sys|Line_Map'!$C:$C,"MISSING",0)</f>
        <v/>
      </c>
      <c r="J1110" s="4562">
        <f>XLOOKUP(B1110,'_Sys|Line_Map'!$A:$A,'_Sys|Line_Map'!$D:$D,1,0)</f>
        <v/>
      </c>
      <c r="K1110" s="4562">
        <f>IF(D1110="","",D1110*J1110)</f>
        <v/>
      </c>
      <c r="L1110" s="4562">
        <f>XLOOKUP(B1110,'_Sys|Line_Map'!$A:$A,'_Sys|Line_Map'!$B:$B,"MISSING",0)</f>
        <v/>
      </c>
    </row>
    <row r="1111">
      <c r="A1111" s="4561" t="n"/>
      <c r="B1111" s="4561" t="n"/>
      <c r="C1111" s="4561" t="n"/>
      <c r="D1111" s="4561" t="n"/>
      <c r="E1111" s="4561" t="n"/>
      <c r="F1111" s="4561" t="n"/>
      <c r="G1111" s="4561" t="n"/>
      <c r="H1111" s="4561" t="n"/>
      <c r="I1111" s="4562">
        <f>XLOOKUP(B1111,'_Sys|Line_Map'!$A:$A,'_Sys|Line_Map'!$C:$C,"MISSING",0)</f>
        <v/>
      </c>
      <c r="J1111" s="4562">
        <f>XLOOKUP(B1111,'_Sys|Line_Map'!$A:$A,'_Sys|Line_Map'!$D:$D,1,0)</f>
        <v/>
      </c>
      <c r="K1111" s="4562">
        <f>IF(D1111="","",D1111*J1111)</f>
        <v/>
      </c>
      <c r="L1111" s="4562">
        <f>XLOOKUP(B1111,'_Sys|Line_Map'!$A:$A,'_Sys|Line_Map'!$B:$B,"MISSING",0)</f>
        <v/>
      </c>
    </row>
    <row r="1112">
      <c r="A1112" s="4561" t="n"/>
      <c r="B1112" s="4561" t="n"/>
      <c r="C1112" s="4561" t="n"/>
      <c r="D1112" s="4561" t="n"/>
      <c r="E1112" s="4561" t="n"/>
      <c r="F1112" s="4561" t="n"/>
      <c r="G1112" s="4561" t="n"/>
      <c r="H1112" s="4561" t="n"/>
      <c r="I1112" s="4562">
        <f>XLOOKUP(B1112,'_Sys|Line_Map'!$A:$A,'_Sys|Line_Map'!$C:$C,"MISSING",0)</f>
        <v/>
      </c>
      <c r="J1112" s="4562">
        <f>XLOOKUP(B1112,'_Sys|Line_Map'!$A:$A,'_Sys|Line_Map'!$D:$D,1,0)</f>
        <v/>
      </c>
      <c r="K1112" s="4562">
        <f>IF(D1112="","",D1112*J1112)</f>
        <v/>
      </c>
      <c r="L1112" s="4562">
        <f>XLOOKUP(B1112,'_Sys|Line_Map'!$A:$A,'_Sys|Line_Map'!$B:$B,"MISSING",0)</f>
        <v/>
      </c>
    </row>
    <row r="1113">
      <c r="A1113" s="4561" t="n"/>
      <c r="B1113" s="4561" t="n"/>
      <c r="C1113" s="4561" t="n"/>
      <c r="D1113" s="4561" t="n"/>
      <c r="E1113" s="4561" t="n"/>
      <c r="F1113" s="4561" t="n"/>
      <c r="G1113" s="4561" t="n"/>
      <c r="H1113" s="4561" t="n"/>
      <c r="I1113" s="4562">
        <f>XLOOKUP(B1113,'_Sys|Line_Map'!$A:$A,'_Sys|Line_Map'!$C:$C,"MISSING",0)</f>
        <v/>
      </c>
      <c r="J1113" s="4562">
        <f>XLOOKUP(B1113,'_Sys|Line_Map'!$A:$A,'_Sys|Line_Map'!$D:$D,1,0)</f>
        <v/>
      </c>
      <c r="K1113" s="4562">
        <f>IF(D1113="","",D1113*J1113)</f>
        <v/>
      </c>
      <c r="L1113" s="4562">
        <f>XLOOKUP(B1113,'_Sys|Line_Map'!$A:$A,'_Sys|Line_Map'!$B:$B,"MISSING",0)</f>
        <v/>
      </c>
    </row>
    <row r="1114">
      <c r="A1114" s="4561" t="n"/>
      <c r="B1114" s="4561" t="n"/>
      <c r="C1114" s="4561" t="n"/>
      <c r="D1114" s="4561" t="n"/>
      <c r="E1114" s="4561" t="n"/>
      <c r="F1114" s="4561" t="n"/>
      <c r="G1114" s="4561" t="n"/>
      <c r="H1114" s="4561" t="n"/>
      <c r="I1114" s="4562">
        <f>XLOOKUP(B1114,'_Sys|Line_Map'!$A:$A,'_Sys|Line_Map'!$C:$C,"MISSING",0)</f>
        <v/>
      </c>
      <c r="J1114" s="4562">
        <f>XLOOKUP(B1114,'_Sys|Line_Map'!$A:$A,'_Sys|Line_Map'!$D:$D,1,0)</f>
        <v/>
      </c>
      <c r="K1114" s="4562">
        <f>IF(D1114="","",D1114*J1114)</f>
        <v/>
      </c>
      <c r="L1114" s="4562">
        <f>XLOOKUP(B1114,'_Sys|Line_Map'!$A:$A,'_Sys|Line_Map'!$B:$B,"MISSING",0)</f>
        <v/>
      </c>
    </row>
    <row r="1115">
      <c r="A1115" s="4561" t="n"/>
      <c r="B1115" s="4561" t="n"/>
      <c r="C1115" s="4561" t="n"/>
      <c r="D1115" s="4561" t="n"/>
      <c r="E1115" s="4561" t="n"/>
      <c r="F1115" s="4561" t="n"/>
      <c r="G1115" s="4561" t="n"/>
      <c r="H1115" s="4561" t="n"/>
      <c r="I1115" s="4562">
        <f>XLOOKUP(B1115,'_Sys|Line_Map'!$A:$A,'_Sys|Line_Map'!$C:$C,"MISSING",0)</f>
        <v/>
      </c>
      <c r="J1115" s="4562">
        <f>XLOOKUP(B1115,'_Sys|Line_Map'!$A:$A,'_Sys|Line_Map'!$D:$D,1,0)</f>
        <v/>
      </c>
      <c r="K1115" s="4562">
        <f>IF(D1115="","",D1115*J1115)</f>
        <v/>
      </c>
      <c r="L1115" s="4562">
        <f>XLOOKUP(B1115,'_Sys|Line_Map'!$A:$A,'_Sys|Line_Map'!$B:$B,"MISSING",0)</f>
        <v/>
      </c>
    </row>
    <row r="1116">
      <c r="A1116" s="4561" t="n"/>
      <c r="B1116" s="4561" t="n"/>
      <c r="C1116" s="4561" t="n"/>
      <c r="D1116" s="4561" t="n"/>
      <c r="E1116" s="4561" t="n"/>
      <c r="F1116" s="4561" t="n"/>
      <c r="G1116" s="4561" t="n"/>
      <c r="H1116" s="4561" t="n"/>
      <c r="I1116" s="4562">
        <f>XLOOKUP(B1116,'_Sys|Line_Map'!$A:$A,'_Sys|Line_Map'!$C:$C,"MISSING",0)</f>
        <v/>
      </c>
      <c r="J1116" s="4562">
        <f>XLOOKUP(B1116,'_Sys|Line_Map'!$A:$A,'_Sys|Line_Map'!$D:$D,1,0)</f>
        <v/>
      </c>
      <c r="K1116" s="4562">
        <f>IF(D1116="","",D1116*J1116)</f>
        <v/>
      </c>
      <c r="L1116" s="4562">
        <f>XLOOKUP(B1116,'_Sys|Line_Map'!$A:$A,'_Sys|Line_Map'!$B:$B,"MISSING",0)</f>
        <v/>
      </c>
    </row>
    <row r="1117">
      <c r="A1117" s="4561" t="n"/>
      <c r="B1117" s="4561" t="n"/>
      <c r="C1117" s="4561" t="n"/>
      <c r="D1117" s="4561" t="n"/>
      <c r="E1117" s="4561" t="n"/>
      <c r="F1117" s="4561" t="n"/>
      <c r="G1117" s="4561" t="n"/>
      <c r="H1117" s="4561" t="n"/>
      <c r="I1117" s="4562">
        <f>XLOOKUP(B1117,'_Sys|Line_Map'!$A:$A,'_Sys|Line_Map'!$C:$C,"MISSING",0)</f>
        <v/>
      </c>
      <c r="J1117" s="4562">
        <f>XLOOKUP(B1117,'_Sys|Line_Map'!$A:$A,'_Sys|Line_Map'!$D:$D,1,0)</f>
        <v/>
      </c>
      <c r="K1117" s="4562">
        <f>IF(D1117="","",D1117*J1117)</f>
        <v/>
      </c>
      <c r="L1117" s="4562">
        <f>XLOOKUP(B1117,'_Sys|Line_Map'!$A:$A,'_Sys|Line_Map'!$B:$B,"MISSING",0)</f>
        <v/>
      </c>
    </row>
    <row r="1118">
      <c r="A1118" s="4561" t="n"/>
      <c r="B1118" s="4561" t="n"/>
      <c r="C1118" s="4561" t="n"/>
      <c r="D1118" s="4561" t="n"/>
      <c r="E1118" s="4561" t="n"/>
      <c r="F1118" s="4561" t="n"/>
      <c r="G1118" s="4561" t="n"/>
      <c r="H1118" s="4561" t="n"/>
      <c r="I1118" s="4562">
        <f>XLOOKUP(B1118,'_Sys|Line_Map'!$A:$A,'_Sys|Line_Map'!$C:$C,"MISSING",0)</f>
        <v/>
      </c>
      <c r="J1118" s="4562">
        <f>XLOOKUP(B1118,'_Sys|Line_Map'!$A:$A,'_Sys|Line_Map'!$D:$D,1,0)</f>
        <v/>
      </c>
      <c r="K1118" s="4562">
        <f>IF(D1118="","",D1118*J1118)</f>
        <v/>
      </c>
      <c r="L1118" s="4562">
        <f>XLOOKUP(B1118,'_Sys|Line_Map'!$A:$A,'_Sys|Line_Map'!$B:$B,"MISSING",0)</f>
        <v/>
      </c>
    </row>
    <row r="1119">
      <c r="A1119" s="4561" t="n"/>
      <c r="B1119" s="4561" t="n"/>
      <c r="C1119" s="4561" t="n"/>
      <c r="D1119" s="4561" t="n"/>
      <c r="E1119" s="4561" t="n"/>
      <c r="F1119" s="4561" t="n"/>
      <c r="G1119" s="4561" t="n"/>
      <c r="H1119" s="4561" t="n"/>
      <c r="I1119" s="4562">
        <f>XLOOKUP(B1119,'_Sys|Line_Map'!$A:$A,'_Sys|Line_Map'!$C:$C,"MISSING",0)</f>
        <v/>
      </c>
      <c r="J1119" s="4562">
        <f>XLOOKUP(B1119,'_Sys|Line_Map'!$A:$A,'_Sys|Line_Map'!$D:$D,1,0)</f>
        <v/>
      </c>
      <c r="K1119" s="4562">
        <f>IF(D1119="","",D1119*J1119)</f>
        <v/>
      </c>
      <c r="L1119" s="4562">
        <f>XLOOKUP(B1119,'_Sys|Line_Map'!$A:$A,'_Sys|Line_Map'!$B:$B,"MISSING",0)</f>
        <v/>
      </c>
    </row>
    <row r="1120">
      <c r="A1120" s="4561" t="n"/>
      <c r="B1120" s="4561" t="n"/>
      <c r="C1120" s="4561" t="n"/>
      <c r="D1120" s="4561" t="n"/>
      <c r="E1120" s="4561" t="n"/>
      <c r="F1120" s="4561" t="n"/>
      <c r="G1120" s="4561" t="n"/>
      <c r="H1120" s="4561" t="n"/>
      <c r="I1120" s="4562">
        <f>XLOOKUP(B1120,'_Sys|Line_Map'!$A:$A,'_Sys|Line_Map'!$C:$C,"MISSING",0)</f>
        <v/>
      </c>
      <c r="J1120" s="4562">
        <f>XLOOKUP(B1120,'_Sys|Line_Map'!$A:$A,'_Sys|Line_Map'!$D:$D,1,0)</f>
        <v/>
      </c>
      <c r="K1120" s="4562">
        <f>IF(D1120="","",D1120*J1120)</f>
        <v/>
      </c>
      <c r="L1120" s="4562">
        <f>XLOOKUP(B1120,'_Sys|Line_Map'!$A:$A,'_Sys|Line_Map'!$B:$B,"MISSING",0)</f>
        <v/>
      </c>
    </row>
    <row r="1121">
      <c r="A1121" s="4561" t="n"/>
      <c r="B1121" s="4561" t="n"/>
      <c r="C1121" s="4561" t="n"/>
      <c r="D1121" s="4561" t="n"/>
      <c r="E1121" s="4561" t="n"/>
      <c r="F1121" s="4561" t="n"/>
      <c r="G1121" s="4561" t="n"/>
      <c r="H1121" s="4561" t="n"/>
      <c r="I1121" s="4562">
        <f>XLOOKUP(B1121,'_Sys|Line_Map'!$A:$A,'_Sys|Line_Map'!$C:$C,"MISSING",0)</f>
        <v/>
      </c>
      <c r="J1121" s="4562">
        <f>XLOOKUP(B1121,'_Sys|Line_Map'!$A:$A,'_Sys|Line_Map'!$D:$D,1,0)</f>
        <v/>
      </c>
      <c r="K1121" s="4562">
        <f>IF(D1121="","",D1121*J1121)</f>
        <v/>
      </c>
      <c r="L1121" s="4562">
        <f>XLOOKUP(B1121,'_Sys|Line_Map'!$A:$A,'_Sys|Line_Map'!$B:$B,"MISSING",0)</f>
        <v/>
      </c>
    </row>
    <row r="1122">
      <c r="A1122" s="4561" t="n"/>
      <c r="B1122" s="4561" t="n"/>
      <c r="C1122" s="4561" t="n"/>
      <c r="D1122" s="4561" t="n"/>
      <c r="E1122" s="4561" t="n"/>
      <c r="F1122" s="4561" t="n"/>
      <c r="G1122" s="4561" t="n"/>
      <c r="H1122" s="4561" t="n"/>
      <c r="I1122" s="4562">
        <f>XLOOKUP(B1122,'_Sys|Line_Map'!$A:$A,'_Sys|Line_Map'!$C:$C,"MISSING",0)</f>
        <v/>
      </c>
      <c r="J1122" s="4562">
        <f>XLOOKUP(B1122,'_Sys|Line_Map'!$A:$A,'_Sys|Line_Map'!$D:$D,1,0)</f>
        <v/>
      </c>
      <c r="K1122" s="4562">
        <f>IF(D1122="","",D1122*J1122)</f>
        <v/>
      </c>
      <c r="L1122" s="4562">
        <f>XLOOKUP(B1122,'_Sys|Line_Map'!$A:$A,'_Sys|Line_Map'!$B:$B,"MISSING",0)</f>
        <v/>
      </c>
    </row>
    <row r="1123">
      <c r="A1123" s="4561" t="n"/>
      <c r="B1123" s="4561" t="n"/>
      <c r="C1123" s="4561" t="n"/>
      <c r="D1123" s="4561" t="n"/>
      <c r="E1123" s="4561" t="n"/>
      <c r="F1123" s="4561" t="n"/>
      <c r="G1123" s="4561" t="n"/>
      <c r="H1123" s="4561" t="n"/>
      <c r="I1123" s="4562">
        <f>XLOOKUP(B1123,'_Sys|Line_Map'!$A:$A,'_Sys|Line_Map'!$C:$C,"MISSING",0)</f>
        <v/>
      </c>
      <c r="J1123" s="4562">
        <f>XLOOKUP(B1123,'_Sys|Line_Map'!$A:$A,'_Sys|Line_Map'!$D:$D,1,0)</f>
        <v/>
      </c>
      <c r="K1123" s="4562">
        <f>IF(D1123="","",D1123*J1123)</f>
        <v/>
      </c>
      <c r="L1123" s="4562">
        <f>XLOOKUP(B1123,'_Sys|Line_Map'!$A:$A,'_Sys|Line_Map'!$B:$B,"MISSING",0)</f>
        <v/>
      </c>
    </row>
    <row r="1124">
      <c r="A1124" s="4561" t="n"/>
      <c r="B1124" s="4561" t="n"/>
      <c r="C1124" s="4561" t="n"/>
      <c r="D1124" s="4561" t="n"/>
      <c r="E1124" s="4561" t="n"/>
      <c r="F1124" s="4561" t="n"/>
      <c r="G1124" s="4561" t="n"/>
      <c r="H1124" s="4561" t="n"/>
      <c r="I1124" s="4562">
        <f>XLOOKUP(B1124,'_Sys|Line_Map'!$A:$A,'_Sys|Line_Map'!$C:$C,"MISSING",0)</f>
        <v/>
      </c>
      <c r="J1124" s="4562">
        <f>XLOOKUP(B1124,'_Sys|Line_Map'!$A:$A,'_Sys|Line_Map'!$D:$D,1,0)</f>
        <v/>
      </c>
      <c r="K1124" s="4562">
        <f>IF(D1124="","",D1124*J1124)</f>
        <v/>
      </c>
      <c r="L1124" s="4562">
        <f>XLOOKUP(B1124,'_Sys|Line_Map'!$A:$A,'_Sys|Line_Map'!$B:$B,"MISSING",0)</f>
        <v/>
      </c>
    </row>
    <row r="1125">
      <c r="A1125" s="4561" t="n"/>
      <c r="B1125" s="4561" t="n"/>
      <c r="C1125" s="4561" t="n"/>
      <c r="D1125" s="4561" t="n"/>
      <c r="E1125" s="4561" t="n"/>
      <c r="F1125" s="4561" t="n"/>
      <c r="G1125" s="4561" t="n"/>
      <c r="H1125" s="4561" t="n"/>
      <c r="I1125" s="4562">
        <f>XLOOKUP(B1125,'_Sys|Line_Map'!$A:$A,'_Sys|Line_Map'!$C:$C,"MISSING",0)</f>
        <v/>
      </c>
      <c r="J1125" s="4562">
        <f>XLOOKUP(B1125,'_Sys|Line_Map'!$A:$A,'_Sys|Line_Map'!$D:$D,1,0)</f>
        <v/>
      </c>
      <c r="K1125" s="4562">
        <f>IF(D1125="","",D1125*J1125)</f>
        <v/>
      </c>
      <c r="L1125" s="4562">
        <f>XLOOKUP(B1125,'_Sys|Line_Map'!$A:$A,'_Sys|Line_Map'!$B:$B,"MISSING",0)</f>
        <v/>
      </c>
    </row>
    <row r="1126">
      <c r="A1126" s="4561" t="n"/>
      <c r="B1126" s="4561" t="n"/>
      <c r="C1126" s="4561" t="n"/>
      <c r="D1126" s="4561" t="n"/>
      <c r="E1126" s="4561" t="n"/>
      <c r="F1126" s="4561" t="n"/>
      <c r="G1126" s="4561" t="n"/>
      <c r="H1126" s="4561" t="n"/>
      <c r="I1126" s="4562">
        <f>XLOOKUP(B1126,'_Sys|Line_Map'!$A:$A,'_Sys|Line_Map'!$C:$C,"MISSING",0)</f>
        <v/>
      </c>
      <c r="J1126" s="4562">
        <f>XLOOKUP(B1126,'_Sys|Line_Map'!$A:$A,'_Sys|Line_Map'!$D:$D,1,0)</f>
        <v/>
      </c>
      <c r="K1126" s="4562">
        <f>IF(D1126="","",D1126*J1126)</f>
        <v/>
      </c>
      <c r="L1126" s="4562">
        <f>XLOOKUP(B1126,'_Sys|Line_Map'!$A:$A,'_Sys|Line_Map'!$B:$B,"MISSING",0)</f>
        <v/>
      </c>
    </row>
    <row r="1127">
      <c r="A1127" s="4561" t="n"/>
      <c r="B1127" s="4561" t="n"/>
      <c r="C1127" s="4561" t="n"/>
      <c r="D1127" s="4561" t="n"/>
      <c r="E1127" s="4561" t="n"/>
      <c r="F1127" s="4561" t="n"/>
      <c r="G1127" s="4561" t="n"/>
      <c r="H1127" s="4561" t="n"/>
      <c r="I1127" s="4562">
        <f>XLOOKUP(B1127,'_Sys|Line_Map'!$A:$A,'_Sys|Line_Map'!$C:$C,"MISSING",0)</f>
        <v/>
      </c>
      <c r="J1127" s="4562">
        <f>XLOOKUP(B1127,'_Sys|Line_Map'!$A:$A,'_Sys|Line_Map'!$D:$D,1,0)</f>
        <v/>
      </c>
      <c r="K1127" s="4562">
        <f>IF(D1127="","",D1127*J1127)</f>
        <v/>
      </c>
      <c r="L1127" s="4562">
        <f>XLOOKUP(B1127,'_Sys|Line_Map'!$A:$A,'_Sys|Line_Map'!$B:$B,"MISSING",0)</f>
        <v/>
      </c>
    </row>
    <row r="1128">
      <c r="A1128" s="4561" t="n"/>
      <c r="B1128" s="4561" t="n"/>
      <c r="C1128" s="4561" t="n"/>
      <c r="D1128" s="4561" t="n"/>
      <c r="E1128" s="4561" t="n"/>
      <c r="F1128" s="4561" t="n"/>
      <c r="G1128" s="4561" t="n"/>
      <c r="H1128" s="4561" t="n"/>
      <c r="I1128" s="4562">
        <f>XLOOKUP(B1128,'_Sys|Line_Map'!$A:$A,'_Sys|Line_Map'!$C:$C,"MISSING",0)</f>
        <v/>
      </c>
      <c r="J1128" s="4562">
        <f>XLOOKUP(B1128,'_Sys|Line_Map'!$A:$A,'_Sys|Line_Map'!$D:$D,1,0)</f>
        <v/>
      </c>
      <c r="K1128" s="4562">
        <f>IF(D1128="","",D1128*J1128)</f>
        <v/>
      </c>
      <c r="L1128" s="4562">
        <f>XLOOKUP(B1128,'_Sys|Line_Map'!$A:$A,'_Sys|Line_Map'!$B:$B,"MISSING",0)</f>
        <v/>
      </c>
    </row>
    <row r="1129">
      <c r="A1129" s="4561" t="n"/>
      <c r="B1129" s="4561" t="n"/>
      <c r="C1129" s="4561" t="n"/>
      <c r="D1129" s="4561" t="n"/>
      <c r="E1129" s="4561" t="n"/>
      <c r="F1129" s="4561" t="n"/>
      <c r="G1129" s="4561" t="n"/>
      <c r="H1129" s="4561" t="n"/>
      <c r="I1129" s="4562">
        <f>XLOOKUP(B1129,'_Sys|Line_Map'!$A:$A,'_Sys|Line_Map'!$C:$C,"MISSING",0)</f>
        <v/>
      </c>
      <c r="J1129" s="4562">
        <f>XLOOKUP(B1129,'_Sys|Line_Map'!$A:$A,'_Sys|Line_Map'!$D:$D,1,0)</f>
        <v/>
      </c>
      <c r="K1129" s="4562">
        <f>IF(D1129="","",D1129*J1129)</f>
        <v/>
      </c>
      <c r="L1129" s="4562">
        <f>XLOOKUP(B1129,'_Sys|Line_Map'!$A:$A,'_Sys|Line_Map'!$B:$B,"MISSING",0)</f>
        <v/>
      </c>
    </row>
    <row r="1130">
      <c r="A1130" s="4561" t="n"/>
      <c r="B1130" s="4561" t="n"/>
      <c r="C1130" s="4561" t="n"/>
      <c r="D1130" s="4561" t="n"/>
      <c r="E1130" s="4561" t="n"/>
      <c r="F1130" s="4561" t="n"/>
      <c r="G1130" s="4561" t="n"/>
      <c r="H1130" s="4561" t="n"/>
      <c r="I1130" s="4562">
        <f>XLOOKUP(B1130,'_Sys|Line_Map'!$A:$A,'_Sys|Line_Map'!$C:$C,"MISSING",0)</f>
        <v/>
      </c>
      <c r="J1130" s="4562">
        <f>XLOOKUP(B1130,'_Sys|Line_Map'!$A:$A,'_Sys|Line_Map'!$D:$D,1,0)</f>
        <v/>
      </c>
      <c r="K1130" s="4562">
        <f>IF(D1130="","",D1130*J1130)</f>
        <v/>
      </c>
      <c r="L1130" s="4562">
        <f>XLOOKUP(B1130,'_Sys|Line_Map'!$A:$A,'_Sys|Line_Map'!$B:$B,"MISSING",0)</f>
        <v/>
      </c>
    </row>
    <row r="1131">
      <c r="A1131" s="4561" t="n"/>
      <c r="B1131" s="4561" t="n"/>
      <c r="C1131" s="4561" t="n"/>
      <c r="D1131" s="4561" t="n"/>
      <c r="E1131" s="4561" t="n"/>
      <c r="F1131" s="4561" t="n"/>
      <c r="G1131" s="4561" t="n"/>
      <c r="H1131" s="4561" t="n"/>
      <c r="I1131" s="4562">
        <f>XLOOKUP(B1131,'_Sys|Line_Map'!$A:$A,'_Sys|Line_Map'!$C:$C,"MISSING",0)</f>
        <v/>
      </c>
      <c r="J1131" s="4562">
        <f>XLOOKUP(B1131,'_Sys|Line_Map'!$A:$A,'_Sys|Line_Map'!$D:$D,1,0)</f>
        <v/>
      </c>
      <c r="K1131" s="4562">
        <f>IF(D1131="","",D1131*J1131)</f>
        <v/>
      </c>
      <c r="L1131" s="4562">
        <f>XLOOKUP(B1131,'_Sys|Line_Map'!$A:$A,'_Sys|Line_Map'!$B:$B,"MISSING",0)</f>
        <v/>
      </c>
    </row>
    <row r="1132">
      <c r="A1132" s="4561" t="n"/>
      <c r="B1132" s="4561" t="n"/>
      <c r="C1132" s="4561" t="n"/>
      <c r="D1132" s="4561" t="n"/>
      <c r="E1132" s="4561" t="n"/>
      <c r="F1132" s="4561" t="n"/>
      <c r="G1132" s="4561" t="n"/>
      <c r="H1132" s="4561" t="n"/>
      <c r="I1132" s="4562">
        <f>XLOOKUP(B1132,'_Sys|Line_Map'!$A:$A,'_Sys|Line_Map'!$C:$C,"MISSING",0)</f>
        <v/>
      </c>
      <c r="J1132" s="4562">
        <f>XLOOKUP(B1132,'_Sys|Line_Map'!$A:$A,'_Sys|Line_Map'!$D:$D,1,0)</f>
        <v/>
      </c>
      <c r="K1132" s="4562">
        <f>IF(D1132="","",D1132*J1132)</f>
        <v/>
      </c>
      <c r="L1132" s="4562">
        <f>XLOOKUP(B1132,'_Sys|Line_Map'!$A:$A,'_Sys|Line_Map'!$B:$B,"MISSING",0)</f>
        <v/>
      </c>
    </row>
    <row r="1133">
      <c r="A1133" s="4561" t="n"/>
      <c r="B1133" s="4561" t="n"/>
      <c r="C1133" s="4561" t="n"/>
      <c r="D1133" s="4561" t="n"/>
      <c r="E1133" s="4561" t="n"/>
      <c r="F1133" s="4561" t="n"/>
      <c r="G1133" s="4561" t="n"/>
      <c r="H1133" s="4561" t="n"/>
      <c r="I1133" s="4562">
        <f>XLOOKUP(B1133,'_Sys|Line_Map'!$A:$A,'_Sys|Line_Map'!$C:$C,"MISSING",0)</f>
        <v/>
      </c>
      <c r="J1133" s="4562">
        <f>XLOOKUP(B1133,'_Sys|Line_Map'!$A:$A,'_Sys|Line_Map'!$D:$D,1,0)</f>
        <v/>
      </c>
      <c r="K1133" s="4562">
        <f>IF(D1133="","",D1133*J1133)</f>
        <v/>
      </c>
      <c r="L1133" s="4562">
        <f>XLOOKUP(B1133,'_Sys|Line_Map'!$A:$A,'_Sys|Line_Map'!$B:$B,"MISSING",0)</f>
        <v/>
      </c>
    </row>
    <row r="1134">
      <c r="A1134" s="4561" t="n"/>
      <c r="B1134" s="4561" t="n"/>
      <c r="C1134" s="4561" t="n"/>
      <c r="D1134" s="4561" t="n"/>
      <c r="E1134" s="4561" t="n"/>
      <c r="F1134" s="4561" t="n"/>
      <c r="G1134" s="4561" t="n"/>
      <c r="H1134" s="4561" t="n"/>
      <c r="I1134" s="4562">
        <f>XLOOKUP(B1134,'_Sys|Line_Map'!$A:$A,'_Sys|Line_Map'!$C:$C,"MISSING",0)</f>
        <v/>
      </c>
      <c r="J1134" s="4562">
        <f>XLOOKUP(B1134,'_Sys|Line_Map'!$A:$A,'_Sys|Line_Map'!$D:$D,1,0)</f>
        <v/>
      </c>
      <c r="K1134" s="4562">
        <f>IF(D1134="","",D1134*J1134)</f>
        <v/>
      </c>
      <c r="L1134" s="4562">
        <f>XLOOKUP(B1134,'_Sys|Line_Map'!$A:$A,'_Sys|Line_Map'!$B:$B,"MISSING",0)</f>
        <v/>
      </c>
    </row>
    <row r="1135">
      <c r="A1135" s="4561" t="n"/>
      <c r="B1135" s="4561" t="n"/>
      <c r="C1135" s="4561" t="n"/>
      <c r="D1135" s="4561" t="n"/>
      <c r="E1135" s="4561" t="n"/>
      <c r="F1135" s="4561" t="n"/>
      <c r="G1135" s="4561" t="n"/>
      <c r="H1135" s="4561" t="n"/>
      <c r="I1135" s="4562">
        <f>XLOOKUP(B1135,'_Sys|Line_Map'!$A:$A,'_Sys|Line_Map'!$C:$C,"MISSING",0)</f>
        <v/>
      </c>
      <c r="J1135" s="4562">
        <f>XLOOKUP(B1135,'_Sys|Line_Map'!$A:$A,'_Sys|Line_Map'!$D:$D,1,0)</f>
        <v/>
      </c>
      <c r="K1135" s="4562">
        <f>IF(D1135="","",D1135*J1135)</f>
        <v/>
      </c>
      <c r="L1135" s="4562">
        <f>XLOOKUP(B1135,'_Sys|Line_Map'!$A:$A,'_Sys|Line_Map'!$B:$B,"MISSING",0)</f>
        <v/>
      </c>
    </row>
    <row r="1136">
      <c r="A1136" s="4561" t="n"/>
      <c r="B1136" s="4561" t="n"/>
      <c r="C1136" s="4561" t="n"/>
      <c r="D1136" s="4561" t="n"/>
      <c r="E1136" s="4561" t="n"/>
      <c r="F1136" s="4561" t="n"/>
      <c r="G1136" s="4561" t="n"/>
      <c r="H1136" s="4561" t="n"/>
      <c r="I1136" s="4562">
        <f>XLOOKUP(B1136,'_Sys|Line_Map'!$A:$A,'_Sys|Line_Map'!$C:$C,"MISSING",0)</f>
        <v/>
      </c>
      <c r="J1136" s="4562">
        <f>XLOOKUP(B1136,'_Sys|Line_Map'!$A:$A,'_Sys|Line_Map'!$D:$D,1,0)</f>
        <v/>
      </c>
      <c r="K1136" s="4562">
        <f>IF(D1136="","",D1136*J1136)</f>
        <v/>
      </c>
      <c r="L1136" s="4562">
        <f>XLOOKUP(B1136,'_Sys|Line_Map'!$A:$A,'_Sys|Line_Map'!$B:$B,"MISSING",0)</f>
        <v/>
      </c>
    </row>
    <row r="1137">
      <c r="A1137" s="4561" t="n"/>
      <c r="B1137" s="4561" t="n"/>
      <c r="C1137" s="4561" t="n"/>
      <c r="D1137" s="4561" t="n"/>
      <c r="E1137" s="4561" t="n"/>
      <c r="F1137" s="4561" t="n"/>
      <c r="G1137" s="4561" t="n"/>
      <c r="H1137" s="4561" t="n"/>
      <c r="I1137" s="4562">
        <f>XLOOKUP(B1137,'_Sys|Line_Map'!$A:$A,'_Sys|Line_Map'!$C:$C,"MISSING",0)</f>
        <v/>
      </c>
      <c r="J1137" s="4562">
        <f>XLOOKUP(B1137,'_Sys|Line_Map'!$A:$A,'_Sys|Line_Map'!$D:$D,1,0)</f>
        <v/>
      </c>
      <c r="K1137" s="4562">
        <f>IF(D1137="","",D1137*J1137)</f>
        <v/>
      </c>
      <c r="L1137" s="4562">
        <f>XLOOKUP(B1137,'_Sys|Line_Map'!$A:$A,'_Sys|Line_Map'!$B:$B,"MISSING",0)</f>
        <v/>
      </c>
    </row>
    <row r="1138">
      <c r="A1138" s="4561" t="n"/>
      <c r="B1138" s="4561" t="n"/>
      <c r="C1138" s="4561" t="n"/>
      <c r="D1138" s="4561" t="n"/>
      <c r="E1138" s="4561" t="n"/>
      <c r="F1138" s="4561" t="n"/>
      <c r="G1138" s="4561" t="n"/>
      <c r="H1138" s="4561" t="n"/>
      <c r="I1138" s="4562">
        <f>XLOOKUP(B1138,'_Sys|Line_Map'!$A:$A,'_Sys|Line_Map'!$C:$C,"MISSING",0)</f>
        <v/>
      </c>
      <c r="J1138" s="4562">
        <f>XLOOKUP(B1138,'_Sys|Line_Map'!$A:$A,'_Sys|Line_Map'!$D:$D,1,0)</f>
        <v/>
      </c>
      <c r="K1138" s="4562">
        <f>IF(D1138="","",D1138*J1138)</f>
        <v/>
      </c>
      <c r="L1138" s="4562">
        <f>XLOOKUP(B1138,'_Sys|Line_Map'!$A:$A,'_Sys|Line_Map'!$B:$B,"MISSING",0)</f>
        <v/>
      </c>
    </row>
    <row r="1139">
      <c r="A1139" s="4561" t="n"/>
      <c r="B1139" s="4561" t="n"/>
      <c r="C1139" s="4561" t="n"/>
      <c r="D1139" s="4561" t="n"/>
      <c r="E1139" s="4561" t="n"/>
      <c r="F1139" s="4561" t="n"/>
      <c r="G1139" s="4561" t="n"/>
      <c r="H1139" s="4561" t="n"/>
      <c r="I1139" s="4562">
        <f>XLOOKUP(B1139,'_Sys|Line_Map'!$A:$A,'_Sys|Line_Map'!$C:$C,"MISSING",0)</f>
        <v/>
      </c>
      <c r="J1139" s="4562">
        <f>XLOOKUP(B1139,'_Sys|Line_Map'!$A:$A,'_Sys|Line_Map'!$D:$D,1,0)</f>
        <v/>
      </c>
      <c r="K1139" s="4562">
        <f>IF(D1139="","",D1139*J1139)</f>
        <v/>
      </c>
      <c r="L1139" s="4562">
        <f>XLOOKUP(B1139,'_Sys|Line_Map'!$A:$A,'_Sys|Line_Map'!$B:$B,"MISSING",0)</f>
        <v/>
      </c>
    </row>
    <row r="1140">
      <c r="A1140" s="4561" t="n"/>
      <c r="B1140" s="4561" t="n"/>
      <c r="C1140" s="4561" t="n"/>
      <c r="D1140" s="4561" t="n"/>
      <c r="E1140" s="4561" t="n"/>
      <c r="F1140" s="4561" t="n"/>
      <c r="G1140" s="4561" t="n"/>
      <c r="H1140" s="4561" t="n"/>
      <c r="I1140" s="4562">
        <f>XLOOKUP(B1140,'_Sys|Line_Map'!$A:$A,'_Sys|Line_Map'!$C:$C,"MISSING",0)</f>
        <v/>
      </c>
      <c r="J1140" s="4562">
        <f>XLOOKUP(B1140,'_Sys|Line_Map'!$A:$A,'_Sys|Line_Map'!$D:$D,1,0)</f>
        <v/>
      </c>
      <c r="K1140" s="4562">
        <f>IF(D1140="","",D1140*J1140)</f>
        <v/>
      </c>
      <c r="L1140" s="4562">
        <f>XLOOKUP(B1140,'_Sys|Line_Map'!$A:$A,'_Sys|Line_Map'!$B:$B,"MISSING",0)</f>
        <v/>
      </c>
    </row>
    <row r="1141">
      <c r="A1141" s="4561" t="n"/>
      <c r="B1141" s="4561" t="n"/>
      <c r="C1141" s="4561" t="n"/>
      <c r="D1141" s="4561" t="n"/>
      <c r="E1141" s="4561" t="n"/>
      <c r="F1141" s="4561" t="n"/>
      <c r="G1141" s="4561" t="n"/>
      <c r="H1141" s="4561" t="n"/>
      <c r="I1141" s="4562">
        <f>XLOOKUP(B1141,'_Sys|Line_Map'!$A:$A,'_Sys|Line_Map'!$C:$C,"MISSING",0)</f>
        <v/>
      </c>
      <c r="J1141" s="4562">
        <f>XLOOKUP(B1141,'_Sys|Line_Map'!$A:$A,'_Sys|Line_Map'!$D:$D,1,0)</f>
        <v/>
      </c>
      <c r="K1141" s="4562">
        <f>IF(D1141="","",D1141*J1141)</f>
        <v/>
      </c>
      <c r="L1141" s="4562">
        <f>XLOOKUP(B1141,'_Sys|Line_Map'!$A:$A,'_Sys|Line_Map'!$B:$B,"MISSING",0)</f>
        <v/>
      </c>
    </row>
    <row r="1142">
      <c r="A1142" s="4561" t="n"/>
      <c r="B1142" s="4561" t="n"/>
      <c r="C1142" s="4561" t="n"/>
      <c r="D1142" s="4561" t="n"/>
      <c r="E1142" s="4561" t="n"/>
      <c r="F1142" s="4561" t="n"/>
      <c r="G1142" s="4561" t="n"/>
      <c r="H1142" s="4561" t="n"/>
      <c r="I1142" s="4562">
        <f>XLOOKUP(B1142,'_Sys|Line_Map'!$A:$A,'_Sys|Line_Map'!$C:$C,"MISSING",0)</f>
        <v/>
      </c>
      <c r="J1142" s="4562">
        <f>XLOOKUP(B1142,'_Sys|Line_Map'!$A:$A,'_Sys|Line_Map'!$D:$D,1,0)</f>
        <v/>
      </c>
      <c r="K1142" s="4562">
        <f>IF(D1142="","",D1142*J1142)</f>
        <v/>
      </c>
      <c r="L1142" s="4562">
        <f>XLOOKUP(B1142,'_Sys|Line_Map'!$A:$A,'_Sys|Line_Map'!$B:$B,"MISSING",0)</f>
        <v/>
      </c>
    </row>
    <row r="1143">
      <c r="A1143" s="4561" t="n"/>
      <c r="B1143" s="4561" t="n"/>
      <c r="C1143" s="4561" t="n"/>
      <c r="D1143" s="4561" t="n"/>
      <c r="E1143" s="4561" t="n"/>
      <c r="F1143" s="4561" t="n"/>
      <c r="G1143" s="4561" t="n"/>
      <c r="H1143" s="4561" t="n"/>
      <c r="I1143" s="4562">
        <f>XLOOKUP(B1143,'_Sys|Line_Map'!$A:$A,'_Sys|Line_Map'!$C:$C,"MISSING",0)</f>
        <v/>
      </c>
      <c r="J1143" s="4562">
        <f>XLOOKUP(B1143,'_Sys|Line_Map'!$A:$A,'_Sys|Line_Map'!$D:$D,1,0)</f>
        <v/>
      </c>
      <c r="K1143" s="4562">
        <f>IF(D1143="","",D1143*J1143)</f>
        <v/>
      </c>
      <c r="L1143" s="4562">
        <f>XLOOKUP(B1143,'_Sys|Line_Map'!$A:$A,'_Sys|Line_Map'!$B:$B,"MISSING",0)</f>
        <v/>
      </c>
    </row>
    <row r="1144">
      <c r="A1144" s="4561" t="n"/>
      <c r="B1144" s="4561" t="n"/>
      <c r="C1144" s="4561" t="n"/>
      <c r="D1144" s="4561" t="n"/>
      <c r="E1144" s="4561" t="n"/>
      <c r="F1144" s="4561" t="n"/>
      <c r="G1144" s="4561" t="n"/>
      <c r="H1144" s="4561" t="n"/>
      <c r="I1144" s="4562">
        <f>XLOOKUP(B1144,'_Sys|Line_Map'!$A:$A,'_Sys|Line_Map'!$C:$C,"MISSING",0)</f>
        <v/>
      </c>
      <c r="J1144" s="4562">
        <f>XLOOKUP(B1144,'_Sys|Line_Map'!$A:$A,'_Sys|Line_Map'!$D:$D,1,0)</f>
        <v/>
      </c>
      <c r="K1144" s="4562">
        <f>IF(D1144="","",D1144*J1144)</f>
        <v/>
      </c>
      <c r="L1144" s="4562">
        <f>XLOOKUP(B1144,'_Sys|Line_Map'!$A:$A,'_Sys|Line_Map'!$B:$B,"MISSING",0)</f>
        <v/>
      </c>
    </row>
    <row r="1145">
      <c r="A1145" s="4561" t="n"/>
      <c r="B1145" s="4561" t="n"/>
      <c r="C1145" s="4561" t="n"/>
      <c r="D1145" s="4561" t="n"/>
      <c r="E1145" s="4561" t="n"/>
      <c r="F1145" s="4561" t="n"/>
      <c r="G1145" s="4561" t="n"/>
      <c r="H1145" s="4561" t="n"/>
      <c r="I1145" s="4562">
        <f>XLOOKUP(B1145,'_Sys|Line_Map'!$A:$A,'_Sys|Line_Map'!$C:$C,"MISSING",0)</f>
        <v/>
      </c>
      <c r="J1145" s="4562">
        <f>XLOOKUP(B1145,'_Sys|Line_Map'!$A:$A,'_Sys|Line_Map'!$D:$D,1,0)</f>
        <v/>
      </c>
      <c r="K1145" s="4562">
        <f>IF(D1145="","",D1145*J1145)</f>
        <v/>
      </c>
      <c r="L1145" s="4562">
        <f>XLOOKUP(B1145,'_Sys|Line_Map'!$A:$A,'_Sys|Line_Map'!$B:$B,"MISSING",0)</f>
        <v/>
      </c>
    </row>
    <row r="1146">
      <c r="A1146" s="4561" t="n"/>
      <c r="B1146" s="4561" t="n"/>
      <c r="C1146" s="4561" t="n"/>
      <c r="D1146" s="4561" t="n"/>
      <c r="E1146" s="4561" t="n"/>
      <c r="F1146" s="4561" t="n"/>
      <c r="G1146" s="4561" t="n"/>
      <c r="H1146" s="4561" t="n"/>
      <c r="I1146" s="4562">
        <f>XLOOKUP(B1146,'_Sys|Line_Map'!$A:$A,'_Sys|Line_Map'!$C:$C,"MISSING",0)</f>
        <v/>
      </c>
      <c r="J1146" s="4562">
        <f>XLOOKUP(B1146,'_Sys|Line_Map'!$A:$A,'_Sys|Line_Map'!$D:$D,1,0)</f>
        <v/>
      </c>
      <c r="K1146" s="4562">
        <f>IF(D1146="","",D1146*J1146)</f>
        <v/>
      </c>
      <c r="L1146" s="4562">
        <f>XLOOKUP(B1146,'_Sys|Line_Map'!$A:$A,'_Sys|Line_Map'!$B:$B,"MISSING",0)</f>
        <v/>
      </c>
    </row>
    <row r="1147">
      <c r="A1147" s="4561" t="n"/>
      <c r="B1147" s="4561" t="n"/>
      <c r="C1147" s="4561" t="n"/>
      <c r="D1147" s="4561" t="n"/>
      <c r="E1147" s="4561" t="n"/>
      <c r="F1147" s="4561" t="n"/>
      <c r="G1147" s="4561" t="n"/>
      <c r="H1147" s="4561" t="n"/>
      <c r="I1147" s="4562">
        <f>XLOOKUP(B1147,'_Sys|Line_Map'!$A:$A,'_Sys|Line_Map'!$C:$C,"MISSING",0)</f>
        <v/>
      </c>
      <c r="J1147" s="4562">
        <f>XLOOKUP(B1147,'_Sys|Line_Map'!$A:$A,'_Sys|Line_Map'!$D:$D,1,0)</f>
        <v/>
      </c>
      <c r="K1147" s="4562">
        <f>IF(D1147="","",D1147*J1147)</f>
        <v/>
      </c>
      <c r="L1147" s="4562">
        <f>XLOOKUP(B1147,'_Sys|Line_Map'!$A:$A,'_Sys|Line_Map'!$B:$B,"MISSING",0)</f>
        <v/>
      </c>
    </row>
    <row r="1148">
      <c r="A1148" s="4561" t="n"/>
      <c r="B1148" s="4561" t="n"/>
      <c r="C1148" s="4561" t="n"/>
      <c r="D1148" s="4561" t="n"/>
      <c r="E1148" s="4561" t="n"/>
      <c r="F1148" s="4561" t="n"/>
      <c r="G1148" s="4561" t="n"/>
      <c r="H1148" s="4561" t="n"/>
      <c r="I1148" s="4562">
        <f>XLOOKUP(B1148,'_Sys|Line_Map'!$A:$A,'_Sys|Line_Map'!$C:$C,"MISSING",0)</f>
        <v/>
      </c>
      <c r="J1148" s="4562">
        <f>XLOOKUP(B1148,'_Sys|Line_Map'!$A:$A,'_Sys|Line_Map'!$D:$D,1,0)</f>
        <v/>
      </c>
      <c r="K1148" s="4562">
        <f>IF(D1148="","",D1148*J1148)</f>
        <v/>
      </c>
      <c r="L1148" s="4562">
        <f>XLOOKUP(B1148,'_Sys|Line_Map'!$A:$A,'_Sys|Line_Map'!$B:$B,"MISSING",0)</f>
        <v/>
      </c>
    </row>
    <row r="1149">
      <c r="A1149" s="4561" t="n"/>
      <c r="B1149" s="4561" t="n"/>
      <c r="C1149" s="4561" t="n"/>
      <c r="D1149" s="4561" t="n"/>
      <c r="E1149" s="4561" t="n"/>
      <c r="F1149" s="4561" t="n"/>
      <c r="G1149" s="4561" t="n"/>
      <c r="H1149" s="4561" t="n"/>
      <c r="I1149" s="4562">
        <f>XLOOKUP(B1149,'_Sys|Line_Map'!$A:$A,'_Sys|Line_Map'!$C:$C,"MISSING",0)</f>
        <v/>
      </c>
      <c r="J1149" s="4562">
        <f>XLOOKUP(B1149,'_Sys|Line_Map'!$A:$A,'_Sys|Line_Map'!$D:$D,1,0)</f>
        <v/>
      </c>
      <c r="K1149" s="4562">
        <f>IF(D1149="","",D1149*J1149)</f>
        <v/>
      </c>
      <c r="L1149" s="4562">
        <f>XLOOKUP(B1149,'_Sys|Line_Map'!$A:$A,'_Sys|Line_Map'!$B:$B,"MISSING",0)</f>
        <v/>
      </c>
    </row>
    <row r="1150">
      <c r="A1150" s="4561" t="n"/>
      <c r="B1150" s="4561" t="n"/>
      <c r="C1150" s="4561" t="n"/>
      <c r="D1150" s="4561" t="n"/>
      <c r="E1150" s="4561" t="n"/>
      <c r="F1150" s="4561" t="n"/>
      <c r="G1150" s="4561" t="n"/>
      <c r="H1150" s="4561" t="n"/>
      <c r="I1150" s="4562">
        <f>XLOOKUP(B1150,'_Sys|Line_Map'!$A:$A,'_Sys|Line_Map'!$C:$C,"MISSING",0)</f>
        <v/>
      </c>
      <c r="J1150" s="4562">
        <f>XLOOKUP(B1150,'_Sys|Line_Map'!$A:$A,'_Sys|Line_Map'!$D:$D,1,0)</f>
        <v/>
      </c>
      <c r="K1150" s="4562">
        <f>IF(D1150="","",D1150*J1150)</f>
        <v/>
      </c>
      <c r="L1150" s="4562">
        <f>XLOOKUP(B1150,'_Sys|Line_Map'!$A:$A,'_Sys|Line_Map'!$B:$B,"MISSING",0)</f>
        <v/>
      </c>
    </row>
    <row r="1151">
      <c r="A1151" s="4561" t="n"/>
      <c r="B1151" s="4561" t="n"/>
      <c r="C1151" s="4561" t="n"/>
      <c r="D1151" s="4561" t="n"/>
      <c r="E1151" s="4561" t="n"/>
      <c r="F1151" s="4561" t="n"/>
      <c r="G1151" s="4561" t="n"/>
      <c r="H1151" s="4561" t="n"/>
      <c r="I1151" s="4562">
        <f>XLOOKUP(B1151,'_Sys|Line_Map'!$A:$A,'_Sys|Line_Map'!$C:$C,"MISSING",0)</f>
        <v/>
      </c>
      <c r="J1151" s="4562">
        <f>XLOOKUP(B1151,'_Sys|Line_Map'!$A:$A,'_Sys|Line_Map'!$D:$D,1,0)</f>
        <v/>
      </c>
      <c r="K1151" s="4562">
        <f>IF(D1151="","",D1151*J1151)</f>
        <v/>
      </c>
      <c r="L1151" s="4562">
        <f>XLOOKUP(B1151,'_Sys|Line_Map'!$A:$A,'_Sys|Line_Map'!$B:$B,"MISSING",0)</f>
        <v/>
      </c>
    </row>
    <row r="1152">
      <c r="A1152" s="4561" t="n"/>
      <c r="B1152" s="4561" t="n"/>
      <c r="C1152" s="4561" t="n"/>
      <c r="D1152" s="4561" t="n"/>
      <c r="E1152" s="4561" t="n"/>
      <c r="F1152" s="4561" t="n"/>
      <c r="G1152" s="4561" t="n"/>
      <c r="H1152" s="4561" t="n"/>
      <c r="I1152" s="4562">
        <f>XLOOKUP(B1152,'_Sys|Line_Map'!$A:$A,'_Sys|Line_Map'!$C:$C,"MISSING",0)</f>
        <v/>
      </c>
      <c r="J1152" s="4562">
        <f>XLOOKUP(B1152,'_Sys|Line_Map'!$A:$A,'_Sys|Line_Map'!$D:$D,1,0)</f>
        <v/>
      </c>
      <c r="K1152" s="4562">
        <f>IF(D1152="","",D1152*J1152)</f>
        <v/>
      </c>
      <c r="L1152" s="4562">
        <f>XLOOKUP(B1152,'_Sys|Line_Map'!$A:$A,'_Sys|Line_Map'!$B:$B,"MISSING",0)</f>
        <v/>
      </c>
    </row>
    <row r="1153">
      <c r="A1153" s="4561" t="n"/>
      <c r="B1153" s="4561" t="n"/>
      <c r="C1153" s="4561" t="n"/>
      <c r="D1153" s="4561" t="n"/>
      <c r="E1153" s="4561" t="n"/>
      <c r="F1153" s="4561" t="n"/>
      <c r="G1153" s="4561" t="n"/>
      <c r="H1153" s="4561" t="n"/>
      <c r="I1153" s="4562">
        <f>XLOOKUP(B1153,'_Sys|Line_Map'!$A:$A,'_Sys|Line_Map'!$C:$C,"MISSING",0)</f>
        <v/>
      </c>
      <c r="J1153" s="4562">
        <f>XLOOKUP(B1153,'_Sys|Line_Map'!$A:$A,'_Sys|Line_Map'!$D:$D,1,0)</f>
        <v/>
      </c>
      <c r="K1153" s="4562">
        <f>IF(D1153="","",D1153*J1153)</f>
        <v/>
      </c>
      <c r="L1153" s="4562">
        <f>XLOOKUP(B1153,'_Sys|Line_Map'!$A:$A,'_Sys|Line_Map'!$B:$B,"MISSING",0)</f>
        <v/>
      </c>
    </row>
    <row r="1154">
      <c r="A1154" s="4561" t="n"/>
      <c r="B1154" s="4561" t="n"/>
      <c r="C1154" s="4561" t="n"/>
      <c r="D1154" s="4561" t="n"/>
      <c r="E1154" s="4561" t="n"/>
      <c r="F1154" s="4561" t="n"/>
      <c r="G1154" s="4561" t="n"/>
      <c r="H1154" s="4561" t="n"/>
      <c r="I1154" s="4562">
        <f>XLOOKUP(B1154,'_Sys|Line_Map'!$A:$A,'_Sys|Line_Map'!$C:$C,"MISSING",0)</f>
        <v/>
      </c>
      <c r="J1154" s="4562">
        <f>XLOOKUP(B1154,'_Sys|Line_Map'!$A:$A,'_Sys|Line_Map'!$D:$D,1,0)</f>
        <v/>
      </c>
      <c r="K1154" s="4562">
        <f>IF(D1154="","",D1154*J1154)</f>
        <v/>
      </c>
      <c r="L1154" s="4562">
        <f>XLOOKUP(B1154,'_Sys|Line_Map'!$A:$A,'_Sys|Line_Map'!$B:$B,"MISSING",0)</f>
        <v/>
      </c>
    </row>
    <row r="1155">
      <c r="A1155" s="4561" t="n"/>
      <c r="B1155" s="4561" t="n"/>
      <c r="C1155" s="4561" t="n"/>
      <c r="D1155" s="4561" t="n"/>
      <c r="E1155" s="4561" t="n"/>
      <c r="F1155" s="4561" t="n"/>
      <c r="G1155" s="4561" t="n"/>
      <c r="H1155" s="4561" t="n"/>
      <c r="I1155" s="4562">
        <f>XLOOKUP(B1155,'_Sys|Line_Map'!$A:$A,'_Sys|Line_Map'!$C:$C,"MISSING",0)</f>
        <v/>
      </c>
      <c r="J1155" s="4562">
        <f>XLOOKUP(B1155,'_Sys|Line_Map'!$A:$A,'_Sys|Line_Map'!$D:$D,1,0)</f>
        <v/>
      </c>
      <c r="K1155" s="4562">
        <f>IF(D1155="","",D1155*J1155)</f>
        <v/>
      </c>
      <c r="L1155" s="4562">
        <f>XLOOKUP(B1155,'_Sys|Line_Map'!$A:$A,'_Sys|Line_Map'!$B:$B,"MISSING",0)</f>
        <v/>
      </c>
    </row>
    <row r="1156">
      <c r="A1156" s="4561" t="n"/>
      <c r="B1156" s="4561" t="n"/>
      <c r="C1156" s="4561" t="n"/>
      <c r="D1156" s="4561" t="n"/>
      <c r="E1156" s="4561" t="n"/>
      <c r="F1156" s="4561" t="n"/>
      <c r="G1156" s="4561" t="n"/>
      <c r="H1156" s="4561" t="n"/>
      <c r="I1156" s="4562">
        <f>XLOOKUP(B1156,'_Sys|Line_Map'!$A:$A,'_Sys|Line_Map'!$C:$C,"MISSING",0)</f>
        <v/>
      </c>
      <c r="J1156" s="4562">
        <f>XLOOKUP(B1156,'_Sys|Line_Map'!$A:$A,'_Sys|Line_Map'!$D:$D,1,0)</f>
        <v/>
      </c>
      <c r="K1156" s="4562">
        <f>IF(D1156="","",D1156*J1156)</f>
        <v/>
      </c>
      <c r="L1156" s="4562">
        <f>XLOOKUP(B1156,'_Sys|Line_Map'!$A:$A,'_Sys|Line_Map'!$B:$B,"MISSING",0)</f>
        <v/>
      </c>
    </row>
    <row r="1157">
      <c r="A1157" s="4561" t="n"/>
      <c r="B1157" s="4561" t="n"/>
      <c r="C1157" s="4561" t="n"/>
      <c r="D1157" s="4561" t="n"/>
      <c r="E1157" s="4561" t="n"/>
      <c r="F1157" s="4561" t="n"/>
      <c r="G1157" s="4561" t="n"/>
      <c r="H1157" s="4561" t="n"/>
      <c r="I1157" s="4562">
        <f>XLOOKUP(B1157,'_Sys|Line_Map'!$A:$A,'_Sys|Line_Map'!$C:$C,"MISSING",0)</f>
        <v/>
      </c>
      <c r="J1157" s="4562">
        <f>XLOOKUP(B1157,'_Sys|Line_Map'!$A:$A,'_Sys|Line_Map'!$D:$D,1,0)</f>
        <v/>
      </c>
      <c r="K1157" s="4562">
        <f>IF(D1157="","",D1157*J1157)</f>
        <v/>
      </c>
      <c r="L1157" s="4562">
        <f>XLOOKUP(B1157,'_Sys|Line_Map'!$A:$A,'_Sys|Line_Map'!$B:$B,"MISSING",0)</f>
        <v/>
      </c>
    </row>
    <row r="1158">
      <c r="A1158" s="4561" t="n"/>
      <c r="B1158" s="4561" t="n"/>
      <c r="C1158" s="4561" t="n"/>
      <c r="D1158" s="4561" t="n"/>
      <c r="E1158" s="4561" t="n"/>
      <c r="F1158" s="4561" t="n"/>
      <c r="G1158" s="4561" t="n"/>
      <c r="H1158" s="4561" t="n"/>
      <c r="I1158" s="4562">
        <f>XLOOKUP(B1158,'_Sys|Line_Map'!$A:$A,'_Sys|Line_Map'!$C:$C,"MISSING",0)</f>
        <v/>
      </c>
      <c r="J1158" s="4562">
        <f>XLOOKUP(B1158,'_Sys|Line_Map'!$A:$A,'_Sys|Line_Map'!$D:$D,1,0)</f>
        <v/>
      </c>
      <c r="K1158" s="4562">
        <f>IF(D1158="","",D1158*J1158)</f>
        <v/>
      </c>
      <c r="L1158" s="4562">
        <f>XLOOKUP(B1158,'_Sys|Line_Map'!$A:$A,'_Sys|Line_Map'!$B:$B,"MISSING",0)</f>
        <v/>
      </c>
    </row>
    <row r="1159">
      <c r="A1159" s="4561" t="n"/>
      <c r="B1159" s="4561" t="n"/>
      <c r="C1159" s="4561" t="n"/>
      <c r="D1159" s="4561" t="n"/>
      <c r="E1159" s="4561" t="n"/>
      <c r="F1159" s="4561" t="n"/>
      <c r="G1159" s="4561" t="n"/>
      <c r="H1159" s="4561" t="n"/>
      <c r="I1159" s="4562">
        <f>XLOOKUP(B1159,'_Sys|Line_Map'!$A:$A,'_Sys|Line_Map'!$C:$C,"MISSING",0)</f>
        <v/>
      </c>
      <c r="J1159" s="4562">
        <f>XLOOKUP(B1159,'_Sys|Line_Map'!$A:$A,'_Sys|Line_Map'!$D:$D,1,0)</f>
        <v/>
      </c>
      <c r="K1159" s="4562">
        <f>IF(D1159="","",D1159*J1159)</f>
        <v/>
      </c>
      <c r="L1159" s="4562">
        <f>XLOOKUP(B1159,'_Sys|Line_Map'!$A:$A,'_Sys|Line_Map'!$B:$B,"MISSING",0)</f>
        <v/>
      </c>
    </row>
    <row r="1160">
      <c r="A1160" s="4561" t="n"/>
      <c r="B1160" s="4561" t="n"/>
      <c r="C1160" s="4561" t="n"/>
      <c r="D1160" s="4561" t="n"/>
      <c r="E1160" s="4561" t="n"/>
      <c r="F1160" s="4561" t="n"/>
      <c r="G1160" s="4561" t="n"/>
      <c r="H1160" s="4561" t="n"/>
      <c r="I1160" s="4562">
        <f>XLOOKUP(B1160,'_Sys|Line_Map'!$A:$A,'_Sys|Line_Map'!$C:$C,"MISSING",0)</f>
        <v/>
      </c>
      <c r="J1160" s="4562">
        <f>XLOOKUP(B1160,'_Sys|Line_Map'!$A:$A,'_Sys|Line_Map'!$D:$D,1,0)</f>
        <v/>
      </c>
      <c r="K1160" s="4562">
        <f>IF(D1160="","",D1160*J1160)</f>
        <v/>
      </c>
      <c r="L1160" s="4562">
        <f>XLOOKUP(B1160,'_Sys|Line_Map'!$A:$A,'_Sys|Line_Map'!$B:$B,"MISSING",0)</f>
        <v/>
      </c>
    </row>
    <row r="1161">
      <c r="A1161" s="4561" t="n"/>
      <c r="B1161" s="4561" t="n"/>
      <c r="C1161" s="4561" t="n"/>
      <c r="D1161" s="4561" t="n"/>
      <c r="E1161" s="4561" t="n"/>
      <c r="F1161" s="4561" t="n"/>
      <c r="G1161" s="4561" t="n"/>
      <c r="H1161" s="4561" t="n"/>
      <c r="I1161" s="4562">
        <f>XLOOKUP(B1161,'_Sys|Line_Map'!$A:$A,'_Sys|Line_Map'!$C:$C,"MISSING",0)</f>
        <v/>
      </c>
      <c r="J1161" s="4562">
        <f>XLOOKUP(B1161,'_Sys|Line_Map'!$A:$A,'_Sys|Line_Map'!$D:$D,1,0)</f>
        <v/>
      </c>
      <c r="K1161" s="4562">
        <f>IF(D1161="","",D1161*J1161)</f>
        <v/>
      </c>
      <c r="L1161" s="4562">
        <f>XLOOKUP(B1161,'_Sys|Line_Map'!$A:$A,'_Sys|Line_Map'!$B:$B,"MISSING",0)</f>
        <v/>
      </c>
    </row>
    <row r="1162">
      <c r="A1162" s="4561" t="n"/>
      <c r="B1162" s="4561" t="n"/>
      <c r="C1162" s="4561" t="n"/>
      <c r="D1162" s="4561" t="n"/>
      <c r="E1162" s="4561" t="n"/>
      <c r="F1162" s="4561" t="n"/>
      <c r="G1162" s="4561" t="n"/>
      <c r="H1162" s="4561" t="n"/>
      <c r="I1162" s="4562">
        <f>XLOOKUP(B1162,'_Sys|Line_Map'!$A:$A,'_Sys|Line_Map'!$C:$C,"MISSING",0)</f>
        <v/>
      </c>
      <c r="J1162" s="4562">
        <f>XLOOKUP(B1162,'_Sys|Line_Map'!$A:$A,'_Sys|Line_Map'!$D:$D,1,0)</f>
        <v/>
      </c>
      <c r="K1162" s="4562">
        <f>IF(D1162="","",D1162*J1162)</f>
        <v/>
      </c>
      <c r="L1162" s="4562">
        <f>XLOOKUP(B1162,'_Sys|Line_Map'!$A:$A,'_Sys|Line_Map'!$B:$B,"MISSING",0)</f>
        <v/>
      </c>
    </row>
    <row r="1163">
      <c r="A1163" s="4561" t="n"/>
      <c r="B1163" s="4561" t="n"/>
      <c r="C1163" s="4561" t="n"/>
      <c r="D1163" s="4561" t="n"/>
      <c r="E1163" s="4561" t="n"/>
      <c r="F1163" s="4561" t="n"/>
      <c r="G1163" s="4561" t="n"/>
      <c r="H1163" s="4561" t="n"/>
      <c r="I1163" s="4562">
        <f>XLOOKUP(B1163,'_Sys|Line_Map'!$A:$A,'_Sys|Line_Map'!$C:$C,"MISSING",0)</f>
        <v/>
      </c>
      <c r="J1163" s="4562">
        <f>XLOOKUP(B1163,'_Sys|Line_Map'!$A:$A,'_Sys|Line_Map'!$D:$D,1,0)</f>
        <v/>
      </c>
      <c r="K1163" s="4562">
        <f>IF(D1163="","",D1163*J1163)</f>
        <v/>
      </c>
      <c r="L1163" s="4562">
        <f>XLOOKUP(B1163,'_Sys|Line_Map'!$A:$A,'_Sys|Line_Map'!$B:$B,"MISSING",0)</f>
        <v/>
      </c>
    </row>
    <row r="1164">
      <c r="A1164" s="4561" t="n"/>
      <c r="B1164" s="4561" t="n"/>
      <c r="C1164" s="4561" t="n"/>
      <c r="D1164" s="4561" t="n"/>
      <c r="E1164" s="4561" t="n"/>
      <c r="F1164" s="4561" t="n"/>
      <c r="G1164" s="4561" t="n"/>
      <c r="H1164" s="4561" t="n"/>
      <c r="I1164" s="4562">
        <f>XLOOKUP(B1164,'_Sys|Line_Map'!$A:$A,'_Sys|Line_Map'!$C:$C,"MISSING",0)</f>
        <v/>
      </c>
      <c r="J1164" s="4562">
        <f>XLOOKUP(B1164,'_Sys|Line_Map'!$A:$A,'_Sys|Line_Map'!$D:$D,1,0)</f>
        <v/>
      </c>
      <c r="K1164" s="4562">
        <f>IF(D1164="","",D1164*J1164)</f>
        <v/>
      </c>
      <c r="L1164" s="4562">
        <f>XLOOKUP(B1164,'_Sys|Line_Map'!$A:$A,'_Sys|Line_Map'!$B:$B,"MISSING",0)</f>
        <v/>
      </c>
    </row>
    <row r="1165">
      <c r="A1165" s="4561" t="n"/>
      <c r="B1165" s="4561" t="n"/>
      <c r="C1165" s="4561" t="n"/>
      <c r="D1165" s="4561" t="n"/>
      <c r="E1165" s="4561" t="n"/>
      <c r="F1165" s="4561" t="n"/>
      <c r="G1165" s="4561" t="n"/>
      <c r="H1165" s="4561" t="n"/>
      <c r="I1165" s="4562">
        <f>XLOOKUP(B1165,'_Sys|Line_Map'!$A:$A,'_Sys|Line_Map'!$C:$C,"MISSING",0)</f>
        <v/>
      </c>
      <c r="J1165" s="4562">
        <f>XLOOKUP(B1165,'_Sys|Line_Map'!$A:$A,'_Sys|Line_Map'!$D:$D,1,0)</f>
        <v/>
      </c>
      <c r="K1165" s="4562">
        <f>IF(D1165="","",D1165*J1165)</f>
        <v/>
      </c>
      <c r="L1165" s="4562">
        <f>XLOOKUP(B1165,'_Sys|Line_Map'!$A:$A,'_Sys|Line_Map'!$B:$B,"MISSING",0)</f>
        <v/>
      </c>
    </row>
    <row r="1166">
      <c r="A1166" s="4561" t="n"/>
      <c r="B1166" s="4561" t="n"/>
      <c r="C1166" s="4561" t="n"/>
      <c r="D1166" s="4561" t="n"/>
      <c r="E1166" s="4561" t="n"/>
      <c r="F1166" s="4561" t="n"/>
      <c r="G1166" s="4561" t="n"/>
      <c r="H1166" s="4561" t="n"/>
      <c r="I1166" s="4562">
        <f>XLOOKUP(B1166,'_Sys|Line_Map'!$A:$A,'_Sys|Line_Map'!$C:$C,"MISSING",0)</f>
        <v/>
      </c>
      <c r="J1166" s="4562">
        <f>XLOOKUP(B1166,'_Sys|Line_Map'!$A:$A,'_Sys|Line_Map'!$D:$D,1,0)</f>
        <v/>
      </c>
      <c r="K1166" s="4562">
        <f>IF(D1166="","",D1166*J1166)</f>
        <v/>
      </c>
      <c r="L1166" s="4562">
        <f>XLOOKUP(B1166,'_Sys|Line_Map'!$A:$A,'_Sys|Line_Map'!$B:$B,"MISSING",0)</f>
        <v/>
      </c>
    </row>
    <row r="1167">
      <c r="A1167" s="4561" t="n"/>
      <c r="B1167" s="4561" t="n"/>
      <c r="C1167" s="4561" t="n"/>
      <c r="D1167" s="4561" t="n"/>
      <c r="E1167" s="4561" t="n"/>
      <c r="F1167" s="4561" t="n"/>
      <c r="G1167" s="4561" t="n"/>
      <c r="H1167" s="4561" t="n"/>
      <c r="I1167" s="4562">
        <f>XLOOKUP(B1167,'_Sys|Line_Map'!$A:$A,'_Sys|Line_Map'!$C:$C,"MISSING",0)</f>
        <v/>
      </c>
      <c r="J1167" s="4562">
        <f>XLOOKUP(B1167,'_Sys|Line_Map'!$A:$A,'_Sys|Line_Map'!$D:$D,1,0)</f>
        <v/>
      </c>
      <c r="K1167" s="4562">
        <f>IF(D1167="","",D1167*J1167)</f>
        <v/>
      </c>
      <c r="L1167" s="4562">
        <f>XLOOKUP(B1167,'_Sys|Line_Map'!$A:$A,'_Sys|Line_Map'!$B:$B,"MISSING",0)</f>
        <v/>
      </c>
    </row>
    <row r="1168">
      <c r="A1168" s="4561" t="n"/>
      <c r="B1168" s="4561" t="n"/>
      <c r="C1168" s="4561" t="n"/>
      <c r="D1168" s="4561" t="n"/>
      <c r="E1168" s="4561" t="n"/>
      <c r="F1168" s="4561" t="n"/>
      <c r="G1168" s="4561" t="n"/>
      <c r="H1168" s="4561" t="n"/>
      <c r="I1168" s="4562">
        <f>XLOOKUP(B1168,'_Sys|Line_Map'!$A:$A,'_Sys|Line_Map'!$C:$C,"MISSING",0)</f>
        <v/>
      </c>
      <c r="J1168" s="4562">
        <f>XLOOKUP(B1168,'_Sys|Line_Map'!$A:$A,'_Sys|Line_Map'!$D:$D,1,0)</f>
        <v/>
      </c>
      <c r="K1168" s="4562">
        <f>IF(D1168="","",D1168*J1168)</f>
        <v/>
      </c>
      <c r="L1168" s="4562">
        <f>XLOOKUP(B1168,'_Sys|Line_Map'!$A:$A,'_Sys|Line_Map'!$B:$B,"MISSING",0)</f>
        <v/>
      </c>
    </row>
    <row r="1169">
      <c r="A1169" s="4561" t="n"/>
      <c r="B1169" s="4561" t="n"/>
      <c r="C1169" s="4561" t="n"/>
      <c r="D1169" s="4561" t="n"/>
      <c r="E1169" s="4561" t="n"/>
      <c r="F1169" s="4561" t="n"/>
      <c r="G1169" s="4561" t="n"/>
      <c r="H1169" s="4561" t="n"/>
      <c r="I1169" s="4562">
        <f>XLOOKUP(B1169,'_Sys|Line_Map'!$A:$A,'_Sys|Line_Map'!$C:$C,"MISSING",0)</f>
        <v/>
      </c>
      <c r="J1169" s="4562">
        <f>XLOOKUP(B1169,'_Sys|Line_Map'!$A:$A,'_Sys|Line_Map'!$D:$D,1,0)</f>
        <v/>
      </c>
      <c r="K1169" s="4562">
        <f>IF(D1169="","",D1169*J1169)</f>
        <v/>
      </c>
      <c r="L1169" s="4562">
        <f>XLOOKUP(B1169,'_Sys|Line_Map'!$A:$A,'_Sys|Line_Map'!$B:$B,"MISSING",0)</f>
        <v/>
      </c>
    </row>
    <row r="1170">
      <c r="A1170" s="4561" t="n"/>
      <c r="B1170" s="4561" t="n"/>
      <c r="C1170" s="4561" t="n"/>
      <c r="D1170" s="4561" t="n"/>
      <c r="E1170" s="4561" t="n"/>
      <c r="F1170" s="4561" t="n"/>
      <c r="G1170" s="4561" t="n"/>
      <c r="H1170" s="4561" t="n"/>
      <c r="I1170" s="4562">
        <f>XLOOKUP(B1170,'_Sys|Line_Map'!$A:$A,'_Sys|Line_Map'!$C:$C,"MISSING",0)</f>
        <v/>
      </c>
      <c r="J1170" s="4562">
        <f>XLOOKUP(B1170,'_Sys|Line_Map'!$A:$A,'_Sys|Line_Map'!$D:$D,1,0)</f>
        <v/>
      </c>
      <c r="K1170" s="4562">
        <f>IF(D1170="","",D1170*J1170)</f>
        <v/>
      </c>
      <c r="L1170" s="4562">
        <f>XLOOKUP(B1170,'_Sys|Line_Map'!$A:$A,'_Sys|Line_Map'!$B:$B,"MISSING",0)</f>
        <v/>
      </c>
    </row>
    <row r="1171">
      <c r="A1171" s="4561" t="n"/>
      <c r="B1171" s="4561" t="n"/>
      <c r="C1171" s="4561" t="n"/>
      <c r="D1171" s="4561" t="n"/>
      <c r="E1171" s="4561" t="n"/>
      <c r="F1171" s="4561" t="n"/>
      <c r="G1171" s="4561" t="n"/>
      <c r="H1171" s="4561" t="n"/>
      <c r="I1171" s="4562">
        <f>XLOOKUP(B1171,'_Sys|Line_Map'!$A:$A,'_Sys|Line_Map'!$C:$C,"MISSING",0)</f>
        <v/>
      </c>
      <c r="J1171" s="4562">
        <f>XLOOKUP(B1171,'_Sys|Line_Map'!$A:$A,'_Sys|Line_Map'!$D:$D,1,0)</f>
        <v/>
      </c>
      <c r="K1171" s="4562">
        <f>IF(D1171="","",D1171*J1171)</f>
        <v/>
      </c>
      <c r="L1171" s="4562">
        <f>XLOOKUP(B1171,'_Sys|Line_Map'!$A:$A,'_Sys|Line_Map'!$B:$B,"MISSING",0)</f>
        <v/>
      </c>
    </row>
    <row r="1172">
      <c r="A1172" s="4561" t="n"/>
      <c r="B1172" s="4561" t="n"/>
      <c r="C1172" s="4561" t="n"/>
      <c r="D1172" s="4561" t="n"/>
      <c r="E1172" s="4561" t="n"/>
      <c r="F1172" s="4561" t="n"/>
      <c r="G1172" s="4561" t="n"/>
      <c r="H1172" s="4561" t="n"/>
      <c r="I1172" s="4562">
        <f>XLOOKUP(B1172,'_Sys|Line_Map'!$A:$A,'_Sys|Line_Map'!$C:$C,"MISSING",0)</f>
        <v/>
      </c>
      <c r="J1172" s="4562">
        <f>XLOOKUP(B1172,'_Sys|Line_Map'!$A:$A,'_Sys|Line_Map'!$D:$D,1,0)</f>
        <v/>
      </c>
      <c r="K1172" s="4562">
        <f>IF(D1172="","",D1172*J1172)</f>
        <v/>
      </c>
      <c r="L1172" s="4562">
        <f>XLOOKUP(B1172,'_Sys|Line_Map'!$A:$A,'_Sys|Line_Map'!$B:$B,"MISSING",0)</f>
        <v/>
      </c>
    </row>
    <row r="1173">
      <c r="A1173" s="4561" t="n"/>
      <c r="B1173" s="4561" t="n"/>
      <c r="C1173" s="4561" t="n"/>
      <c r="D1173" s="4561" t="n"/>
      <c r="E1173" s="4561" t="n"/>
      <c r="F1173" s="4561" t="n"/>
      <c r="G1173" s="4561" t="n"/>
      <c r="H1173" s="4561" t="n"/>
      <c r="I1173" s="4562">
        <f>XLOOKUP(B1173,'_Sys|Line_Map'!$A:$A,'_Sys|Line_Map'!$C:$C,"MISSING",0)</f>
        <v/>
      </c>
      <c r="J1173" s="4562">
        <f>XLOOKUP(B1173,'_Sys|Line_Map'!$A:$A,'_Sys|Line_Map'!$D:$D,1,0)</f>
        <v/>
      </c>
      <c r="K1173" s="4562">
        <f>IF(D1173="","",D1173*J1173)</f>
        <v/>
      </c>
      <c r="L1173" s="4562">
        <f>XLOOKUP(B1173,'_Sys|Line_Map'!$A:$A,'_Sys|Line_Map'!$B:$B,"MISSING",0)</f>
        <v/>
      </c>
    </row>
    <row r="1174">
      <c r="A1174" s="4561" t="n"/>
      <c r="B1174" s="4561" t="n"/>
      <c r="C1174" s="4561" t="n"/>
      <c r="D1174" s="4561" t="n"/>
      <c r="E1174" s="4561" t="n"/>
      <c r="F1174" s="4561" t="n"/>
      <c r="G1174" s="4561" t="n"/>
      <c r="H1174" s="4561" t="n"/>
      <c r="I1174" s="4562">
        <f>XLOOKUP(B1174,'_Sys|Line_Map'!$A:$A,'_Sys|Line_Map'!$C:$C,"MISSING",0)</f>
        <v/>
      </c>
      <c r="J1174" s="4562">
        <f>XLOOKUP(B1174,'_Sys|Line_Map'!$A:$A,'_Sys|Line_Map'!$D:$D,1,0)</f>
        <v/>
      </c>
      <c r="K1174" s="4562">
        <f>IF(D1174="","",D1174*J1174)</f>
        <v/>
      </c>
      <c r="L1174" s="4562">
        <f>XLOOKUP(B1174,'_Sys|Line_Map'!$A:$A,'_Sys|Line_Map'!$B:$B,"MISSING",0)</f>
        <v/>
      </c>
    </row>
    <row r="1175">
      <c r="A1175" s="4561" t="n"/>
      <c r="B1175" s="4561" t="n"/>
      <c r="C1175" s="4561" t="n"/>
      <c r="D1175" s="4561" t="n"/>
      <c r="E1175" s="4561" t="n"/>
      <c r="F1175" s="4561" t="n"/>
      <c r="G1175" s="4561" t="n"/>
      <c r="H1175" s="4561" t="n"/>
      <c r="I1175" s="4562">
        <f>XLOOKUP(B1175,'_Sys|Line_Map'!$A:$A,'_Sys|Line_Map'!$C:$C,"MISSING",0)</f>
        <v/>
      </c>
      <c r="J1175" s="4562">
        <f>XLOOKUP(B1175,'_Sys|Line_Map'!$A:$A,'_Sys|Line_Map'!$D:$D,1,0)</f>
        <v/>
      </c>
      <c r="K1175" s="4562">
        <f>IF(D1175="","",D1175*J1175)</f>
        <v/>
      </c>
      <c r="L1175" s="4562">
        <f>XLOOKUP(B1175,'_Sys|Line_Map'!$A:$A,'_Sys|Line_Map'!$B:$B,"MISSING",0)</f>
        <v/>
      </c>
    </row>
    <row r="1176">
      <c r="A1176" s="4561" t="n"/>
      <c r="B1176" s="4561" t="n"/>
      <c r="C1176" s="4561" t="n"/>
      <c r="D1176" s="4561" t="n"/>
      <c r="E1176" s="4561" t="n"/>
      <c r="F1176" s="4561" t="n"/>
      <c r="G1176" s="4561" t="n"/>
      <c r="H1176" s="4561" t="n"/>
      <c r="I1176" s="4562">
        <f>XLOOKUP(B1176,'_Sys|Line_Map'!$A:$A,'_Sys|Line_Map'!$C:$C,"MISSING",0)</f>
        <v/>
      </c>
      <c r="J1176" s="4562">
        <f>XLOOKUP(B1176,'_Sys|Line_Map'!$A:$A,'_Sys|Line_Map'!$D:$D,1,0)</f>
        <v/>
      </c>
      <c r="K1176" s="4562">
        <f>IF(D1176="","",D1176*J1176)</f>
        <v/>
      </c>
      <c r="L1176" s="4562">
        <f>XLOOKUP(B1176,'_Sys|Line_Map'!$A:$A,'_Sys|Line_Map'!$B:$B,"MISSING",0)</f>
        <v/>
      </c>
    </row>
    <row r="1177">
      <c r="A1177" s="4561" t="n"/>
      <c r="B1177" s="4561" t="n"/>
      <c r="C1177" s="4561" t="n"/>
      <c r="D1177" s="4561" t="n"/>
      <c r="E1177" s="4561" t="n"/>
      <c r="F1177" s="4561" t="n"/>
      <c r="G1177" s="4561" t="n"/>
      <c r="H1177" s="4561" t="n"/>
      <c r="I1177" s="4562">
        <f>XLOOKUP(B1177,'_Sys|Line_Map'!$A:$A,'_Sys|Line_Map'!$C:$C,"MISSING",0)</f>
        <v/>
      </c>
      <c r="J1177" s="4562">
        <f>XLOOKUP(B1177,'_Sys|Line_Map'!$A:$A,'_Sys|Line_Map'!$D:$D,1,0)</f>
        <v/>
      </c>
      <c r="K1177" s="4562">
        <f>IF(D1177="","",D1177*J1177)</f>
        <v/>
      </c>
      <c r="L1177" s="4562">
        <f>XLOOKUP(B1177,'_Sys|Line_Map'!$A:$A,'_Sys|Line_Map'!$B:$B,"MISSING",0)</f>
        <v/>
      </c>
    </row>
    <row r="1178">
      <c r="A1178" s="4561" t="n"/>
      <c r="B1178" s="4561" t="n"/>
      <c r="C1178" s="4561" t="n"/>
      <c r="D1178" s="4561" t="n"/>
      <c r="E1178" s="4561" t="n"/>
      <c r="F1178" s="4561" t="n"/>
      <c r="G1178" s="4561" t="n"/>
      <c r="H1178" s="4561" t="n"/>
      <c r="I1178" s="4562">
        <f>XLOOKUP(B1178,'_Sys|Line_Map'!$A:$A,'_Sys|Line_Map'!$C:$C,"MISSING",0)</f>
        <v/>
      </c>
      <c r="J1178" s="4562">
        <f>XLOOKUP(B1178,'_Sys|Line_Map'!$A:$A,'_Sys|Line_Map'!$D:$D,1,0)</f>
        <v/>
      </c>
      <c r="K1178" s="4562">
        <f>IF(D1178="","",D1178*J1178)</f>
        <v/>
      </c>
      <c r="L1178" s="4562">
        <f>XLOOKUP(B1178,'_Sys|Line_Map'!$A:$A,'_Sys|Line_Map'!$B:$B,"MISSING",0)</f>
        <v/>
      </c>
    </row>
    <row r="1179">
      <c r="A1179" s="4561" t="n"/>
      <c r="B1179" s="4561" t="n"/>
      <c r="C1179" s="4561" t="n"/>
      <c r="D1179" s="4561" t="n"/>
      <c r="E1179" s="4561" t="n"/>
      <c r="F1179" s="4561" t="n"/>
      <c r="G1179" s="4561" t="n"/>
      <c r="H1179" s="4561" t="n"/>
      <c r="I1179" s="4562">
        <f>XLOOKUP(B1179,'_Sys|Line_Map'!$A:$A,'_Sys|Line_Map'!$C:$C,"MISSING",0)</f>
        <v/>
      </c>
      <c r="J1179" s="4562">
        <f>XLOOKUP(B1179,'_Sys|Line_Map'!$A:$A,'_Sys|Line_Map'!$D:$D,1,0)</f>
        <v/>
      </c>
      <c r="K1179" s="4562">
        <f>IF(D1179="","",D1179*J1179)</f>
        <v/>
      </c>
      <c r="L1179" s="4562">
        <f>XLOOKUP(B1179,'_Sys|Line_Map'!$A:$A,'_Sys|Line_Map'!$B:$B,"MISSING",0)</f>
        <v/>
      </c>
    </row>
    <row r="1180">
      <c r="A1180" s="4561" t="n"/>
      <c r="B1180" s="4561" t="n"/>
      <c r="C1180" s="4561" t="n"/>
      <c r="D1180" s="4561" t="n"/>
      <c r="E1180" s="4561" t="n"/>
      <c r="F1180" s="4561" t="n"/>
      <c r="G1180" s="4561" t="n"/>
      <c r="H1180" s="4561" t="n"/>
      <c r="I1180" s="4562">
        <f>XLOOKUP(B1180,'_Sys|Line_Map'!$A:$A,'_Sys|Line_Map'!$C:$C,"MISSING",0)</f>
        <v/>
      </c>
      <c r="J1180" s="4562">
        <f>XLOOKUP(B1180,'_Sys|Line_Map'!$A:$A,'_Sys|Line_Map'!$D:$D,1,0)</f>
        <v/>
      </c>
      <c r="K1180" s="4562">
        <f>IF(D1180="","",D1180*J1180)</f>
        <v/>
      </c>
      <c r="L1180" s="4562">
        <f>XLOOKUP(B1180,'_Sys|Line_Map'!$A:$A,'_Sys|Line_Map'!$B:$B,"MISSING",0)</f>
        <v/>
      </c>
    </row>
    <row r="1181">
      <c r="A1181" s="4561" t="n"/>
      <c r="B1181" s="4561" t="n"/>
      <c r="C1181" s="4561" t="n"/>
      <c r="D1181" s="4561" t="n"/>
      <c r="E1181" s="4561" t="n"/>
      <c r="F1181" s="4561" t="n"/>
      <c r="G1181" s="4561" t="n"/>
      <c r="H1181" s="4561" t="n"/>
      <c r="I1181" s="4562">
        <f>XLOOKUP(B1181,'_Sys|Line_Map'!$A:$A,'_Sys|Line_Map'!$C:$C,"MISSING",0)</f>
        <v/>
      </c>
      <c r="J1181" s="4562">
        <f>XLOOKUP(B1181,'_Sys|Line_Map'!$A:$A,'_Sys|Line_Map'!$D:$D,1,0)</f>
        <v/>
      </c>
      <c r="K1181" s="4562">
        <f>IF(D1181="","",D1181*J1181)</f>
        <v/>
      </c>
      <c r="L1181" s="4562">
        <f>XLOOKUP(B1181,'_Sys|Line_Map'!$A:$A,'_Sys|Line_Map'!$B:$B,"MISSING",0)</f>
        <v/>
      </c>
    </row>
    <row r="1182">
      <c r="A1182" s="4561" t="n"/>
      <c r="B1182" s="4561" t="n"/>
      <c r="C1182" s="4561" t="n"/>
      <c r="D1182" s="4561" t="n"/>
      <c r="E1182" s="4561" t="n"/>
      <c r="F1182" s="4561" t="n"/>
      <c r="G1182" s="4561" t="n"/>
      <c r="H1182" s="4561" t="n"/>
      <c r="I1182" s="4562">
        <f>XLOOKUP(B1182,'_Sys|Line_Map'!$A:$A,'_Sys|Line_Map'!$C:$C,"MISSING",0)</f>
        <v/>
      </c>
      <c r="J1182" s="4562">
        <f>XLOOKUP(B1182,'_Sys|Line_Map'!$A:$A,'_Sys|Line_Map'!$D:$D,1,0)</f>
        <v/>
      </c>
      <c r="K1182" s="4562">
        <f>IF(D1182="","",D1182*J1182)</f>
        <v/>
      </c>
      <c r="L1182" s="4562">
        <f>XLOOKUP(B1182,'_Sys|Line_Map'!$A:$A,'_Sys|Line_Map'!$B:$B,"MISSING",0)</f>
        <v/>
      </c>
    </row>
    <row r="1183">
      <c r="A1183" s="4561" t="n"/>
      <c r="B1183" s="4561" t="n"/>
      <c r="C1183" s="4561" t="n"/>
      <c r="D1183" s="4561" t="n"/>
      <c r="E1183" s="4561" t="n"/>
      <c r="F1183" s="4561" t="n"/>
      <c r="G1183" s="4561" t="n"/>
      <c r="H1183" s="4561" t="n"/>
      <c r="I1183" s="4562">
        <f>XLOOKUP(B1183,'_Sys|Line_Map'!$A:$A,'_Sys|Line_Map'!$C:$C,"MISSING",0)</f>
        <v/>
      </c>
      <c r="J1183" s="4562">
        <f>XLOOKUP(B1183,'_Sys|Line_Map'!$A:$A,'_Sys|Line_Map'!$D:$D,1,0)</f>
        <v/>
      </c>
      <c r="K1183" s="4562">
        <f>IF(D1183="","",D1183*J1183)</f>
        <v/>
      </c>
      <c r="L1183" s="4562">
        <f>XLOOKUP(B1183,'_Sys|Line_Map'!$A:$A,'_Sys|Line_Map'!$B:$B,"MISSING",0)</f>
        <v/>
      </c>
    </row>
    <row r="1184">
      <c r="A1184" s="4561" t="n"/>
      <c r="B1184" s="4561" t="n"/>
      <c r="C1184" s="4561" t="n"/>
      <c r="D1184" s="4561" t="n"/>
      <c r="E1184" s="4561" t="n"/>
      <c r="F1184" s="4561" t="n"/>
      <c r="G1184" s="4561" t="n"/>
      <c r="H1184" s="4561" t="n"/>
      <c r="I1184" s="4562">
        <f>XLOOKUP(B1184,'_Sys|Line_Map'!$A:$A,'_Sys|Line_Map'!$C:$C,"MISSING",0)</f>
        <v/>
      </c>
      <c r="J1184" s="4562">
        <f>XLOOKUP(B1184,'_Sys|Line_Map'!$A:$A,'_Sys|Line_Map'!$D:$D,1,0)</f>
        <v/>
      </c>
      <c r="K1184" s="4562">
        <f>IF(D1184="","",D1184*J1184)</f>
        <v/>
      </c>
      <c r="L1184" s="4562">
        <f>XLOOKUP(B1184,'_Sys|Line_Map'!$A:$A,'_Sys|Line_Map'!$B:$B,"MISSING",0)</f>
        <v/>
      </c>
    </row>
    <row r="1185">
      <c r="A1185" s="4561" t="n"/>
      <c r="B1185" s="4561" t="n"/>
      <c r="C1185" s="4561" t="n"/>
      <c r="D1185" s="4561" t="n"/>
      <c r="E1185" s="4561" t="n"/>
      <c r="F1185" s="4561" t="n"/>
      <c r="G1185" s="4561" t="n"/>
      <c r="H1185" s="4561" t="n"/>
      <c r="I1185" s="4562">
        <f>XLOOKUP(B1185,'_Sys|Line_Map'!$A:$A,'_Sys|Line_Map'!$C:$C,"MISSING",0)</f>
        <v/>
      </c>
      <c r="J1185" s="4562">
        <f>XLOOKUP(B1185,'_Sys|Line_Map'!$A:$A,'_Sys|Line_Map'!$D:$D,1,0)</f>
        <v/>
      </c>
      <c r="K1185" s="4562">
        <f>IF(D1185="","",D1185*J1185)</f>
        <v/>
      </c>
      <c r="L1185" s="4562">
        <f>XLOOKUP(B1185,'_Sys|Line_Map'!$A:$A,'_Sys|Line_Map'!$B:$B,"MISSING",0)</f>
        <v/>
      </c>
    </row>
    <row r="1186">
      <c r="A1186" s="4561" t="n"/>
      <c r="B1186" s="4561" t="n"/>
      <c r="C1186" s="4561" t="n"/>
      <c r="D1186" s="4561" t="n"/>
      <c r="E1186" s="4561" t="n"/>
      <c r="F1186" s="4561" t="n"/>
      <c r="G1186" s="4561" t="n"/>
      <c r="H1186" s="4561" t="n"/>
      <c r="I1186" s="4562">
        <f>XLOOKUP(B1186,'_Sys|Line_Map'!$A:$A,'_Sys|Line_Map'!$C:$C,"MISSING",0)</f>
        <v/>
      </c>
      <c r="J1186" s="4562">
        <f>XLOOKUP(B1186,'_Sys|Line_Map'!$A:$A,'_Sys|Line_Map'!$D:$D,1,0)</f>
        <v/>
      </c>
      <c r="K1186" s="4562">
        <f>IF(D1186="","",D1186*J1186)</f>
        <v/>
      </c>
      <c r="L1186" s="4562">
        <f>XLOOKUP(B1186,'_Sys|Line_Map'!$A:$A,'_Sys|Line_Map'!$B:$B,"MISSING",0)</f>
        <v/>
      </c>
    </row>
    <row r="1187">
      <c r="A1187" s="4561" t="n"/>
      <c r="B1187" s="4561" t="n"/>
      <c r="C1187" s="4561" t="n"/>
      <c r="D1187" s="4561" t="n"/>
      <c r="E1187" s="4561" t="n"/>
      <c r="F1187" s="4561" t="n"/>
      <c r="G1187" s="4561" t="n"/>
      <c r="H1187" s="4561" t="n"/>
      <c r="I1187" s="4562">
        <f>XLOOKUP(B1187,'_Sys|Line_Map'!$A:$A,'_Sys|Line_Map'!$C:$C,"MISSING",0)</f>
        <v/>
      </c>
      <c r="J1187" s="4562">
        <f>XLOOKUP(B1187,'_Sys|Line_Map'!$A:$A,'_Sys|Line_Map'!$D:$D,1,0)</f>
        <v/>
      </c>
      <c r="K1187" s="4562">
        <f>IF(D1187="","",D1187*J1187)</f>
        <v/>
      </c>
      <c r="L1187" s="4562">
        <f>XLOOKUP(B1187,'_Sys|Line_Map'!$A:$A,'_Sys|Line_Map'!$B:$B,"MISSING",0)</f>
        <v/>
      </c>
    </row>
    <row r="1188">
      <c r="A1188" s="4561" t="n"/>
      <c r="B1188" s="4561" t="n"/>
      <c r="C1188" s="4561" t="n"/>
      <c r="D1188" s="4561" t="n"/>
      <c r="E1188" s="4561" t="n"/>
      <c r="F1188" s="4561" t="n"/>
      <c r="G1188" s="4561" t="n"/>
      <c r="H1188" s="4561" t="n"/>
      <c r="I1188" s="4562">
        <f>XLOOKUP(B1188,'_Sys|Line_Map'!$A:$A,'_Sys|Line_Map'!$C:$C,"MISSING",0)</f>
        <v/>
      </c>
      <c r="J1188" s="4562">
        <f>XLOOKUP(B1188,'_Sys|Line_Map'!$A:$A,'_Sys|Line_Map'!$D:$D,1,0)</f>
        <v/>
      </c>
      <c r="K1188" s="4562">
        <f>IF(D1188="","",D1188*J1188)</f>
        <v/>
      </c>
      <c r="L1188" s="4562">
        <f>XLOOKUP(B1188,'_Sys|Line_Map'!$A:$A,'_Sys|Line_Map'!$B:$B,"MISSING",0)</f>
        <v/>
      </c>
    </row>
    <row r="1189">
      <c r="A1189" s="4561" t="n"/>
      <c r="B1189" s="4561" t="n"/>
      <c r="C1189" s="4561" t="n"/>
      <c r="D1189" s="4561" t="n"/>
      <c r="E1189" s="4561" t="n"/>
      <c r="F1189" s="4561" t="n"/>
      <c r="G1189" s="4561" t="n"/>
      <c r="H1189" s="4561" t="n"/>
      <c r="I1189" s="4562">
        <f>XLOOKUP(B1189,'_Sys|Line_Map'!$A:$A,'_Sys|Line_Map'!$C:$C,"MISSING",0)</f>
        <v/>
      </c>
      <c r="J1189" s="4562">
        <f>XLOOKUP(B1189,'_Sys|Line_Map'!$A:$A,'_Sys|Line_Map'!$D:$D,1,0)</f>
        <v/>
      </c>
      <c r="K1189" s="4562">
        <f>IF(D1189="","",D1189*J1189)</f>
        <v/>
      </c>
      <c r="L1189" s="4562">
        <f>XLOOKUP(B1189,'_Sys|Line_Map'!$A:$A,'_Sys|Line_Map'!$B:$B,"MISSING",0)</f>
        <v/>
      </c>
    </row>
    <row r="1190">
      <c r="A1190" s="4561" t="n"/>
      <c r="B1190" s="4561" t="n"/>
      <c r="C1190" s="4561" t="n"/>
      <c r="D1190" s="4561" t="n"/>
      <c r="E1190" s="4561" t="n"/>
      <c r="F1190" s="4561" t="n"/>
      <c r="G1190" s="4561" t="n"/>
      <c r="H1190" s="4561" t="n"/>
      <c r="I1190" s="4562">
        <f>XLOOKUP(B1190,'_Sys|Line_Map'!$A:$A,'_Sys|Line_Map'!$C:$C,"MISSING",0)</f>
        <v/>
      </c>
      <c r="J1190" s="4562">
        <f>XLOOKUP(B1190,'_Sys|Line_Map'!$A:$A,'_Sys|Line_Map'!$D:$D,1,0)</f>
        <v/>
      </c>
      <c r="K1190" s="4562">
        <f>IF(D1190="","",D1190*J1190)</f>
        <v/>
      </c>
      <c r="L1190" s="4562">
        <f>XLOOKUP(B1190,'_Sys|Line_Map'!$A:$A,'_Sys|Line_Map'!$B:$B,"MISSING",0)</f>
        <v/>
      </c>
    </row>
    <row r="1191">
      <c r="A1191" s="4561" t="n"/>
      <c r="B1191" s="4561" t="n"/>
      <c r="C1191" s="4561" t="n"/>
      <c r="D1191" s="4561" t="n"/>
      <c r="E1191" s="4561" t="n"/>
      <c r="F1191" s="4561" t="n"/>
      <c r="G1191" s="4561" t="n"/>
      <c r="H1191" s="4561" t="n"/>
      <c r="I1191" s="4562">
        <f>XLOOKUP(B1191,'_Sys|Line_Map'!$A:$A,'_Sys|Line_Map'!$C:$C,"MISSING",0)</f>
        <v/>
      </c>
      <c r="J1191" s="4562">
        <f>XLOOKUP(B1191,'_Sys|Line_Map'!$A:$A,'_Sys|Line_Map'!$D:$D,1,0)</f>
        <v/>
      </c>
      <c r="K1191" s="4562">
        <f>IF(D1191="","",D1191*J1191)</f>
        <v/>
      </c>
      <c r="L1191" s="4562">
        <f>XLOOKUP(B1191,'_Sys|Line_Map'!$A:$A,'_Sys|Line_Map'!$B:$B,"MISSING",0)</f>
        <v/>
      </c>
    </row>
    <row r="1192">
      <c r="A1192" s="4561" t="n"/>
      <c r="B1192" s="4561" t="n"/>
      <c r="C1192" s="4561" t="n"/>
      <c r="D1192" s="4561" t="n"/>
      <c r="E1192" s="4561" t="n"/>
      <c r="F1192" s="4561" t="n"/>
      <c r="G1192" s="4561" t="n"/>
      <c r="H1192" s="4561" t="n"/>
      <c r="I1192" s="4562">
        <f>XLOOKUP(B1192,'_Sys|Line_Map'!$A:$A,'_Sys|Line_Map'!$C:$C,"MISSING",0)</f>
        <v/>
      </c>
      <c r="J1192" s="4562">
        <f>XLOOKUP(B1192,'_Sys|Line_Map'!$A:$A,'_Sys|Line_Map'!$D:$D,1,0)</f>
        <v/>
      </c>
      <c r="K1192" s="4562">
        <f>IF(D1192="","",D1192*J1192)</f>
        <v/>
      </c>
      <c r="L1192" s="4562">
        <f>XLOOKUP(B1192,'_Sys|Line_Map'!$A:$A,'_Sys|Line_Map'!$B:$B,"MISSING",0)</f>
        <v/>
      </c>
    </row>
    <row r="1193">
      <c r="A1193" s="4561" t="n"/>
      <c r="B1193" s="4561" t="n"/>
      <c r="C1193" s="4561" t="n"/>
      <c r="D1193" s="4561" t="n"/>
      <c r="E1193" s="4561" t="n"/>
      <c r="F1193" s="4561" t="n"/>
      <c r="G1193" s="4561" t="n"/>
      <c r="H1193" s="4561" t="n"/>
      <c r="I1193" s="4562">
        <f>XLOOKUP(B1193,'_Sys|Line_Map'!$A:$A,'_Sys|Line_Map'!$C:$C,"MISSING",0)</f>
        <v/>
      </c>
      <c r="J1193" s="4562">
        <f>XLOOKUP(B1193,'_Sys|Line_Map'!$A:$A,'_Sys|Line_Map'!$D:$D,1,0)</f>
        <v/>
      </c>
      <c r="K1193" s="4562">
        <f>IF(D1193="","",D1193*J1193)</f>
        <v/>
      </c>
      <c r="L1193" s="4562">
        <f>XLOOKUP(B1193,'_Sys|Line_Map'!$A:$A,'_Sys|Line_Map'!$B:$B,"MISSING",0)</f>
        <v/>
      </c>
    </row>
    <row r="1194">
      <c r="A1194" s="4561" t="n"/>
      <c r="B1194" s="4561" t="n"/>
      <c r="C1194" s="4561" t="n"/>
      <c r="D1194" s="4561" t="n"/>
      <c r="E1194" s="4561" t="n"/>
      <c r="F1194" s="4561" t="n"/>
      <c r="G1194" s="4561" t="n"/>
      <c r="H1194" s="4561" t="n"/>
      <c r="I1194" s="4562">
        <f>XLOOKUP(B1194,'_Sys|Line_Map'!$A:$A,'_Sys|Line_Map'!$C:$C,"MISSING",0)</f>
        <v/>
      </c>
      <c r="J1194" s="4562">
        <f>XLOOKUP(B1194,'_Sys|Line_Map'!$A:$A,'_Sys|Line_Map'!$D:$D,1,0)</f>
        <v/>
      </c>
      <c r="K1194" s="4562">
        <f>IF(D1194="","",D1194*J1194)</f>
        <v/>
      </c>
      <c r="L1194" s="4562">
        <f>XLOOKUP(B1194,'_Sys|Line_Map'!$A:$A,'_Sys|Line_Map'!$B:$B,"MISSING",0)</f>
        <v/>
      </c>
    </row>
    <row r="1195">
      <c r="A1195" s="4561" t="n"/>
      <c r="B1195" s="4561" t="n"/>
      <c r="C1195" s="4561" t="n"/>
      <c r="D1195" s="4561" t="n"/>
      <c r="E1195" s="4561" t="n"/>
      <c r="F1195" s="4561" t="n"/>
      <c r="G1195" s="4561" t="n"/>
      <c r="H1195" s="4561" t="n"/>
      <c r="I1195" s="4562">
        <f>XLOOKUP(B1195,'_Sys|Line_Map'!$A:$A,'_Sys|Line_Map'!$C:$C,"MISSING",0)</f>
        <v/>
      </c>
      <c r="J1195" s="4562">
        <f>XLOOKUP(B1195,'_Sys|Line_Map'!$A:$A,'_Sys|Line_Map'!$D:$D,1,0)</f>
        <v/>
      </c>
      <c r="K1195" s="4562">
        <f>IF(D1195="","",D1195*J1195)</f>
        <v/>
      </c>
      <c r="L1195" s="4562">
        <f>XLOOKUP(B1195,'_Sys|Line_Map'!$A:$A,'_Sys|Line_Map'!$B:$B,"MISSING",0)</f>
        <v/>
      </c>
    </row>
    <row r="1196">
      <c r="A1196" s="4561" t="n"/>
      <c r="B1196" s="4561" t="n"/>
      <c r="C1196" s="4561" t="n"/>
      <c r="D1196" s="4561" t="n"/>
      <c r="E1196" s="4561" t="n"/>
      <c r="F1196" s="4561" t="n"/>
      <c r="G1196" s="4561" t="n"/>
      <c r="H1196" s="4561" t="n"/>
      <c r="I1196" s="4562">
        <f>XLOOKUP(B1196,'_Sys|Line_Map'!$A:$A,'_Sys|Line_Map'!$C:$C,"MISSING",0)</f>
        <v/>
      </c>
      <c r="J1196" s="4562">
        <f>XLOOKUP(B1196,'_Sys|Line_Map'!$A:$A,'_Sys|Line_Map'!$D:$D,1,0)</f>
        <v/>
      </c>
      <c r="K1196" s="4562">
        <f>IF(D1196="","",D1196*J1196)</f>
        <v/>
      </c>
      <c r="L1196" s="4562">
        <f>XLOOKUP(B1196,'_Sys|Line_Map'!$A:$A,'_Sys|Line_Map'!$B:$B,"MISSING",0)</f>
        <v/>
      </c>
    </row>
    <row r="1197">
      <c r="A1197" s="4561" t="n"/>
      <c r="B1197" s="4561" t="n"/>
      <c r="C1197" s="4561" t="n"/>
      <c r="D1197" s="4561" t="n"/>
      <c r="E1197" s="4561" t="n"/>
      <c r="F1197" s="4561" t="n"/>
      <c r="G1197" s="4561" t="n"/>
      <c r="H1197" s="4561" t="n"/>
      <c r="I1197" s="4562">
        <f>XLOOKUP(B1197,'_Sys|Line_Map'!$A:$A,'_Sys|Line_Map'!$C:$C,"MISSING",0)</f>
        <v/>
      </c>
      <c r="J1197" s="4562">
        <f>XLOOKUP(B1197,'_Sys|Line_Map'!$A:$A,'_Sys|Line_Map'!$D:$D,1,0)</f>
        <v/>
      </c>
      <c r="K1197" s="4562">
        <f>IF(D1197="","",D1197*J1197)</f>
        <v/>
      </c>
      <c r="L1197" s="4562">
        <f>XLOOKUP(B1197,'_Sys|Line_Map'!$A:$A,'_Sys|Line_Map'!$B:$B,"MISSING",0)</f>
        <v/>
      </c>
    </row>
    <row r="1198">
      <c r="A1198" s="4561" t="n"/>
      <c r="B1198" s="4561" t="n"/>
      <c r="C1198" s="4561" t="n"/>
      <c r="D1198" s="4561" t="n"/>
      <c r="E1198" s="4561" t="n"/>
      <c r="F1198" s="4561" t="n"/>
      <c r="G1198" s="4561" t="n"/>
      <c r="H1198" s="4561" t="n"/>
      <c r="I1198" s="4562">
        <f>XLOOKUP(B1198,'_Sys|Line_Map'!$A:$A,'_Sys|Line_Map'!$C:$C,"MISSING",0)</f>
        <v/>
      </c>
      <c r="J1198" s="4562">
        <f>XLOOKUP(B1198,'_Sys|Line_Map'!$A:$A,'_Sys|Line_Map'!$D:$D,1,0)</f>
        <v/>
      </c>
      <c r="K1198" s="4562">
        <f>IF(D1198="","",D1198*J1198)</f>
        <v/>
      </c>
      <c r="L1198" s="4562">
        <f>XLOOKUP(B1198,'_Sys|Line_Map'!$A:$A,'_Sys|Line_Map'!$B:$B,"MISSING",0)</f>
        <v/>
      </c>
    </row>
    <row r="1199">
      <c r="A1199" s="4561" t="n"/>
      <c r="B1199" s="4561" t="n"/>
      <c r="C1199" s="4561" t="n"/>
      <c r="D1199" s="4561" t="n"/>
      <c r="E1199" s="4561" t="n"/>
      <c r="F1199" s="4561" t="n"/>
      <c r="G1199" s="4561" t="n"/>
      <c r="H1199" s="4561" t="n"/>
      <c r="I1199" s="4562">
        <f>XLOOKUP(B1199,'_Sys|Line_Map'!$A:$A,'_Sys|Line_Map'!$C:$C,"MISSING",0)</f>
        <v/>
      </c>
      <c r="J1199" s="4562">
        <f>XLOOKUP(B1199,'_Sys|Line_Map'!$A:$A,'_Sys|Line_Map'!$D:$D,1,0)</f>
        <v/>
      </c>
      <c r="K1199" s="4562">
        <f>IF(D1199="","",D1199*J1199)</f>
        <v/>
      </c>
      <c r="L1199" s="4562">
        <f>XLOOKUP(B1199,'_Sys|Line_Map'!$A:$A,'_Sys|Line_Map'!$B:$B,"MISSING",0)</f>
        <v/>
      </c>
    </row>
    <row r="1200">
      <c r="A1200" s="4561" t="n"/>
      <c r="B1200" s="4561" t="n"/>
      <c r="C1200" s="4561" t="n"/>
      <c r="D1200" s="4561" t="n"/>
      <c r="E1200" s="4561" t="n"/>
      <c r="F1200" s="4561" t="n"/>
      <c r="G1200" s="4561" t="n"/>
      <c r="H1200" s="4561" t="n"/>
      <c r="I1200" s="4562">
        <f>XLOOKUP(B1200,'_Sys|Line_Map'!$A:$A,'_Sys|Line_Map'!$C:$C,"MISSING",0)</f>
        <v/>
      </c>
      <c r="J1200" s="4562">
        <f>XLOOKUP(B1200,'_Sys|Line_Map'!$A:$A,'_Sys|Line_Map'!$D:$D,1,0)</f>
        <v/>
      </c>
      <c r="K1200" s="4562">
        <f>IF(D1200="","",D1200*J1200)</f>
        <v/>
      </c>
      <c r="L1200" s="4562">
        <f>XLOOKUP(B1200,'_Sys|Line_Map'!$A:$A,'_Sys|Line_Map'!$B:$B,"MISSING",0)</f>
        <v/>
      </c>
    </row>
    <row r="1201">
      <c r="A1201" s="4561" t="n"/>
      <c r="B1201" s="4561" t="n"/>
      <c r="C1201" s="4561" t="n"/>
      <c r="D1201" s="4561" t="n"/>
      <c r="E1201" s="4561" t="n"/>
      <c r="F1201" s="4561" t="n"/>
      <c r="G1201" s="4561" t="n"/>
      <c r="H1201" s="4561" t="n"/>
      <c r="I1201" s="4562">
        <f>XLOOKUP(B1201,'_Sys|Line_Map'!$A:$A,'_Sys|Line_Map'!$C:$C,"MISSING",0)</f>
        <v/>
      </c>
      <c r="J1201" s="4562">
        <f>XLOOKUP(B1201,'_Sys|Line_Map'!$A:$A,'_Sys|Line_Map'!$D:$D,1,0)</f>
        <v/>
      </c>
      <c r="K1201" s="4562">
        <f>IF(D1201="","",D1201*J1201)</f>
        <v/>
      </c>
      <c r="L1201" s="4562">
        <f>XLOOKUP(B1201,'_Sys|Line_Map'!$A:$A,'_Sys|Line_Map'!$B:$B,"MISSING",0)</f>
        <v/>
      </c>
    </row>
    <row r="1202">
      <c r="A1202" s="4561" t="n"/>
      <c r="B1202" s="4561" t="n"/>
      <c r="C1202" s="4561" t="n"/>
      <c r="D1202" s="4561" t="n"/>
      <c r="E1202" s="4561" t="n"/>
      <c r="F1202" s="4561" t="n"/>
      <c r="G1202" s="4561" t="n"/>
      <c r="H1202" s="4561" t="n"/>
      <c r="I1202" s="4562">
        <f>XLOOKUP(B1202,'_Sys|Line_Map'!$A:$A,'_Sys|Line_Map'!$C:$C,"MISSING",0)</f>
        <v/>
      </c>
      <c r="J1202" s="4562">
        <f>XLOOKUP(B1202,'_Sys|Line_Map'!$A:$A,'_Sys|Line_Map'!$D:$D,1,0)</f>
        <v/>
      </c>
      <c r="K1202" s="4562">
        <f>IF(D1202="","",D1202*J1202)</f>
        <v/>
      </c>
      <c r="L1202" s="4562">
        <f>XLOOKUP(B1202,'_Sys|Line_Map'!$A:$A,'_Sys|Line_Map'!$B:$B,"MISSING",0)</f>
        <v/>
      </c>
    </row>
    <row r="1203">
      <c r="A1203" s="4561" t="n"/>
      <c r="B1203" s="4561" t="n"/>
      <c r="C1203" s="4561" t="n"/>
      <c r="D1203" s="4561" t="n"/>
      <c r="E1203" s="4561" t="n"/>
      <c r="F1203" s="4561" t="n"/>
      <c r="G1203" s="4561" t="n"/>
      <c r="H1203" s="4561" t="n"/>
      <c r="I1203" s="4562">
        <f>XLOOKUP(B1203,'_Sys|Line_Map'!$A:$A,'_Sys|Line_Map'!$C:$C,"MISSING",0)</f>
        <v/>
      </c>
      <c r="J1203" s="4562">
        <f>XLOOKUP(B1203,'_Sys|Line_Map'!$A:$A,'_Sys|Line_Map'!$D:$D,1,0)</f>
        <v/>
      </c>
      <c r="K1203" s="4562">
        <f>IF(D1203="","",D1203*J1203)</f>
        <v/>
      </c>
      <c r="L1203" s="4562">
        <f>XLOOKUP(B1203,'_Sys|Line_Map'!$A:$A,'_Sys|Line_Map'!$B:$B,"MISSING",0)</f>
        <v/>
      </c>
    </row>
    <row r="1204">
      <c r="A1204" s="4561" t="n"/>
      <c r="B1204" s="4561" t="n"/>
      <c r="C1204" s="4561" t="n"/>
      <c r="D1204" s="4561" t="n"/>
      <c r="E1204" s="4561" t="n"/>
      <c r="F1204" s="4561" t="n"/>
      <c r="G1204" s="4561" t="n"/>
      <c r="H1204" s="4561" t="n"/>
      <c r="I1204" s="4562">
        <f>XLOOKUP(B1204,'_Sys|Line_Map'!$A:$A,'_Sys|Line_Map'!$C:$C,"MISSING",0)</f>
        <v/>
      </c>
      <c r="J1204" s="4562">
        <f>XLOOKUP(B1204,'_Sys|Line_Map'!$A:$A,'_Sys|Line_Map'!$D:$D,1,0)</f>
        <v/>
      </c>
      <c r="K1204" s="4562">
        <f>IF(D1204="","",D1204*J1204)</f>
        <v/>
      </c>
      <c r="L1204" s="4562">
        <f>XLOOKUP(B1204,'_Sys|Line_Map'!$A:$A,'_Sys|Line_Map'!$B:$B,"MISSING",0)</f>
        <v/>
      </c>
    </row>
    <row r="1205">
      <c r="A1205" s="4561" t="n"/>
      <c r="B1205" s="4561" t="n"/>
      <c r="C1205" s="4561" t="n"/>
      <c r="D1205" s="4561" t="n"/>
      <c r="E1205" s="4561" t="n"/>
      <c r="F1205" s="4561" t="n"/>
      <c r="G1205" s="4561" t="n"/>
      <c r="H1205" s="4561" t="n"/>
      <c r="I1205" s="4562">
        <f>XLOOKUP(B1205,'_Sys|Line_Map'!$A:$A,'_Sys|Line_Map'!$C:$C,"MISSING",0)</f>
        <v/>
      </c>
      <c r="J1205" s="4562">
        <f>XLOOKUP(B1205,'_Sys|Line_Map'!$A:$A,'_Sys|Line_Map'!$D:$D,1,0)</f>
        <v/>
      </c>
      <c r="K1205" s="4562">
        <f>IF(D1205="","",D1205*J1205)</f>
        <v/>
      </c>
      <c r="L1205" s="4562">
        <f>XLOOKUP(B1205,'_Sys|Line_Map'!$A:$A,'_Sys|Line_Map'!$B:$B,"MISSING",0)</f>
        <v/>
      </c>
    </row>
    <row r="1206">
      <c r="A1206" s="4561" t="n"/>
      <c r="B1206" s="4561" t="n"/>
      <c r="C1206" s="4561" t="n"/>
      <c r="D1206" s="4561" t="n"/>
      <c r="E1206" s="4561" t="n"/>
      <c r="F1206" s="4561" t="n"/>
      <c r="G1206" s="4561" t="n"/>
      <c r="H1206" s="4561" t="n"/>
      <c r="I1206" s="4562">
        <f>XLOOKUP(B1206,'_Sys|Line_Map'!$A:$A,'_Sys|Line_Map'!$C:$C,"MISSING",0)</f>
        <v/>
      </c>
      <c r="J1206" s="4562">
        <f>XLOOKUP(B1206,'_Sys|Line_Map'!$A:$A,'_Sys|Line_Map'!$D:$D,1,0)</f>
        <v/>
      </c>
      <c r="K1206" s="4562">
        <f>IF(D1206="","",D1206*J1206)</f>
        <v/>
      </c>
      <c r="L1206" s="4562">
        <f>XLOOKUP(B1206,'_Sys|Line_Map'!$A:$A,'_Sys|Line_Map'!$B:$B,"MISSING",0)</f>
        <v/>
      </c>
    </row>
    <row r="1207">
      <c r="A1207" s="4561" t="n"/>
      <c r="B1207" s="4561" t="n"/>
      <c r="C1207" s="4561" t="n"/>
      <c r="D1207" s="4561" t="n"/>
      <c r="E1207" s="4561" t="n"/>
      <c r="F1207" s="4561" t="n"/>
      <c r="G1207" s="4561" t="n"/>
      <c r="H1207" s="4561" t="n"/>
      <c r="I1207" s="4562">
        <f>XLOOKUP(B1207,'_Sys|Line_Map'!$A:$A,'_Sys|Line_Map'!$C:$C,"MISSING",0)</f>
        <v/>
      </c>
      <c r="J1207" s="4562">
        <f>XLOOKUP(B1207,'_Sys|Line_Map'!$A:$A,'_Sys|Line_Map'!$D:$D,1,0)</f>
        <v/>
      </c>
      <c r="K1207" s="4562">
        <f>IF(D1207="","",D1207*J1207)</f>
        <v/>
      </c>
      <c r="L1207" s="4562">
        <f>XLOOKUP(B1207,'_Sys|Line_Map'!$A:$A,'_Sys|Line_Map'!$B:$B,"MISSING",0)</f>
        <v/>
      </c>
    </row>
    <row r="1208">
      <c r="A1208" s="4561" t="n"/>
      <c r="B1208" s="4561" t="n"/>
      <c r="C1208" s="4561" t="n"/>
      <c r="D1208" s="4561" t="n"/>
      <c r="E1208" s="4561" t="n"/>
      <c r="F1208" s="4561" t="n"/>
      <c r="G1208" s="4561" t="n"/>
      <c r="H1208" s="4561" t="n"/>
      <c r="I1208" s="4562">
        <f>XLOOKUP(B1208,'_Sys|Line_Map'!$A:$A,'_Sys|Line_Map'!$C:$C,"MISSING",0)</f>
        <v/>
      </c>
      <c r="J1208" s="4562">
        <f>XLOOKUP(B1208,'_Sys|Line_Map'!$A:$A,'_Sys|Line_Map'!$D:$D,1,0)</f>
        <v/>
      </c>
      <c r="K1208" s="4562">
        <f>IF(D1208="","",D1208*J1208)</f>
        <v/>
      </c>
      <c r="L1208" s="4562">
        <f>XLOOKUP(B1208,'_Sys|Line_Map'!$A:$A,'_Sys|Line_Map'!$B:$B,"MISSING",0)</f>
        <v/>
      </c>
    </row>
    <row r="1209">
      <c r="A1209" s="4561" t="n"/>
      <c r="B1209" s="4561" t="n"/>
      <c r="C1209" s="4561" t="n"/>
      <c r="D1209" s="4561" t="n"/>
      <c r="E1209" s="4561" t="n"/>
      <c r="F1209" s="4561" t="n"/>
      <c r="G1209" s="4561" t="n"/>
      <c r="H1209" s="4561" t="n"/>
      <c r="I1209" s="4562">
        <f>XLOOKUP(B1209,'_Sys|Line_Map'!$A:$A,'_Sys|Line_Map'!$C:$C,"MISSING",0)</f>
        <v/>
      </c>
      <c r="J1209" s="4562">
        <f>XLOOKUP(B1209,'_Sys|Line_Map'!$A:$A,'_Sys|Line_Map'!$D:$D,1,0)</f>
        <v/>
      </c>
      <c r="K1209" s="4562">
        <f>IF(D1209="","",D1209*J1209)</f>
        <v/>
      </c>
      <c r="L1209" s="4562">
        <f>XLOOKUP(B1209,'_Sys|Line_Map'!$A:$A,'_Sys|Line_Map'!$B:$B,"MISSING",0)</f>
        <v/>
      </c>
    </row>
    <row r="1210">
      <c r="A1210" s="4561" t="n"/>
      <c r="B1210" s="4561" t="n"/>
      <c r="C1210" s="4561" t="n"/>
      <c r="D1210" s="4561" t="n"/>
      <c r="E1210" s="4561" t="n"/>
      <c r="F1210" s="4561" t="n"/>
      <c r="G1210" s="4561" t="n"/>
      <c r="H1210" s="4561" t="n"/>
      <c r="I1210" s="4562">
        <f>XLOOKUP(B1210,'_Sys|Line_Map'!$A:$A,'_Sys|Line_Map'!$C:$C,"MISSING",0)</f>
        <v/>
      </c>
      <c r="J1210" s="4562">
        <f>XLOOKUP(B1210,'_Sys|Line_Map'!$A:$A,'_Sys|Line_Map'!$D:$D,1,0)</f>
        <v/>
      </c>
      <c r="K1210" s="4562">
        <f>IF(D1210="","",D1210*J1210)</f>
        <v/>
      </c>
      <c r="L1210" s="4562">
        <f>XLOOKUP(B1210,'_Sys|Line_Map'!$A:$A,'_Sys|Line_Map'!$B:$B,"MISSING",0)</f>
        <v/>
      </c>
    </row>
    <row r="1211">
      <c r="A1211" s="4561" t="n"/>
      <c r="B1211" s="4561" t="n"/>
      <c r="C1211" s="4561" t="n"/>
      <c r="D1211" s="4561" t="n"/>
      <c r="E1211" s="4561" t="n"/>
      <c r="F1211" s="4561" t="n"/>
      <c r="G1211" s="4561" t="n"/>
      <c r="H1211" s="4561" t="n"/>
      <c r="I1211" s="4562">
        <f>XLOOKUP(B1211,'_Sys|Line_Map'!$A:$A,'_Sys|Line_Map'!$C:$C,"MISSING",0)</f>
        <v/>
      </c>
      <c r="J1211" s="4562">
        <f>XLOOKUP(B1211,'_Sys|Line_Map'!$A:$A,'_Sys|Line_Map'!$D:$D,1,0)</f>
        <v/>
      </c>
      <c r="K1211" s="4562">
        <f>IF(D1211="","",D1211*J1211)</f>
        <v/>
      </c>
      <c r="L1211" s="4562">
        <f>XLOOKUP(B1211,'_Sys|Line_Map'!$A:$A,'_Sys|Line_Map'!$B:$B,"MISSING",0)</f>
        <v/>
      </c>
    </row>
    <row r="1212">
      <c r="A1212" s="4561" t="n"/>
      <c r="B1212" s="4561" t="n"/>
      <c r="C1212" s="4561" t="n"/>
      <c r="D1212" s="4561" t="n"/>
      <c r="E1212" s="4561" t="n"/>
      <c r="F1212" s="4561" t="n"/>
      <c r="G1212" s="4561" t="n"/>
      <c r="H1212" s="4561" t="n"/>
      <c r="I1212" s="4562">
        <f>XLOOKUP(B1212,'_Sys|Line_Map'!$A:$A,'_Sys|Line_Map'!$C:$C,"MISSING",0)</f>
        <v/>
      </c>
      <c r="J1212" s="4562">
        <f>XLOOKUP(B1212,'_Sys|Line_Map'!$A:$A,'_Sys|Line_Map'!$D:$D,1,0)</f>
        <v/>
      </c>
      <c r="K1212" s="4562">
        <f>IF(D1212="","",D1212*J1212)</f>
        <v/>
      </c>
      <c r="L1212" s="4562">
        <f>XLOOKUP(B1212,'_Sys|Line_Map'!$A:$A,'_Sys|Line_Map'!$B:$B,"MISSING",0)</f>
        <v/>
      </c>
    </row>
    <row r="1213">
      <c r="A1213" s="4561" t="n"/>
      <c r="B1213" s="4561" t="n"/>
      <c r="C1213" s="4561" t="n"/>
      <c r="D1213" s="4561" t="n"/>
      <c r="E1213" s="4561" t="n"/>
      <c r="F1213" s="4561" t="n"/>
      <c r="G1213" s="4561" t="n"/>
      <c r="H1213" s="4561" t="n"/>
      <c r="I1213" s="4562">
        <f>XLOOKUP(B1213,'_Sys|Line_Map'!$A:$A,'_Sys|Line_Map'!$C:$C,"MISSING",0)</f>
        <v/>
      </c>
      <c r="J1213" s="4562">
        <f>XLOOKUP(B1213,'_Sys|Line_Map'!$A:$A,'_Sys|Line_Map'!$D:$D,1,0)</f>
        <v/>
      </c>
      <c r="K1213" s="4562">
        <f>IF(D1213="","",D1213*J1213)</f>
        <v/>
      </c>
      <c r="L1213" s="4562">
        <f>XLOOKUP(B1213,'_Sys|Line_Map'!$A:$A,'_Sys|Line_Map'!$B:$B,"MISSING",0)</f>
        <v/>
      </c>
    </row>
    <row r="1214">
      <c r="A1214" s="4561" t="n"/>
      <c r="B1214" s="4561" t="n"/>
      <c r="C1214" s="4561" t="n"/>
      <c r="D1214" s="4561" t="n"/>
      <c r="E1214" s="4561" t="n"/>
      <c r="F1214" s="4561" t="n"/>
      <c r="G1214" s="4561" t="n"/>
      <c r="H1214" s="4561" t="n"/>
      <c r="I1214" s="4562">
        <f>XLOOKUP(B1214,'_Sys|Line_Map'!$A:$A,'_Sys|Line_Map'!$C:$C,"MISSING",0)</f>
        <v/>
      </c>
      <c r="J1214" s="4562">
        <f>XLOOKUP(B1214,'_Sys|Line_Map'!$A:$A,'_Sys|Line_Map'!$D:$D,1,0)</f>
        <v/>
      </c>
      <c r="K1214" s="4562">
        <f>IF(D1214="","",D1214*J1214)</f>
        <v/>
      </c>
      <c r="L1214" s="4562">
        <f>XLOOKUP(B1214,'_Sys|Line_Map'!$A:$A,'_Sys|Line_Map'!$B:$B,"MISSING",0)</f>
        <v/>
      </c>
    </row>
    <row r="1215">
      <c r="A1215" s="4561" t="n"/>
      <c r="B1215" s="4561" t="n"/>
      <c r="C1215" s="4561" t="n"/>
      <c r="D1215" s="4561" t="n"/>
      <c r="E1215" s="4561" t="n"/>
      <c r="F1215" s="4561" t="n"/>
      <c r="G1215" s="4561" t="n"/>
      <c r="H1215" s="4561" t="n"/>
      <c r="I1215" s="4562">
        <f>XLOOKUP(B1215,'_Sys|Line_Map'!$A:$A,'_Sys|Line_Map'!$C:$C,"MISSING",0)</f>
        <v/>
      </c>
      <c r="J1215" s="4562">
        <f>XLOOKUP(B1215,'_Sys|Line_Map'!$A:$A,'_Sys|Line_Map'!$D:$D,1,0)</f>
        <v/>
      </c>
      <c r="K1215" s="4562">
        <f>IF(D1215="","",D1215*J1215)</f>
        <v/>
      </c>
      <c r="L1215" s="4562">
        <f>XLOOKUP(B1215,'_Sys|Line_Map'!$A:$A,'_Sys|Line_Map'!$B:$B,"MISSING",0)</f>
        <v/>
      </c>
    </row>
    <row r="1216">
      <c r="A1216" s="4561" t="n"/>
      <c r="B1216" s="4561" t="n"/>
      <c r="C1216" s="4561" t="n"/>
      <c r="D1216" s="4561" t="n"/>
      <c r="E1216" s="4561" t="n"/>
      <c r="F1216" s="4561" t="n"/>
      <c r="G1216" s="4561" t="n"/>
      <c r="H1216" s="4561" t="n"/>
      <c r="I1216" s="4562">
        <f>XLOOKUP(B1216,'_Sys|Line_Map'!$A:$A,'_Sys|Line_Map'!$C:$C,"MISSING",0)</f>
        <v/>
      </c>
      <c r="J1216" s="4562">
        <f>XLOOKUP(B1216,'_Sys|Line_Map'!$A:$A,'_Sys|Line_Map'!$D:$D,1,0)</f>
        <v/>
      </c>
      <c r="K1216" s="4562">
        <f>IF(D1216="","",D1216*J1216)</f>
        <v/>
      </c>
      <c r="L1216" s="4562">
        <f>XLOOKUP(B1216,'_Sys|Line_Map'!$A:$A,'_Sys|Line_Map'!$B:$B,"MISSING",0)</f>
        <v/>
      </c>
    </row>
    <row r="1217">
      <c r="A1217" s="4561" t="n"/>
      <c r="B1217" s="4561" t="n"/>
      <c r="C1217" s="4561" t="n"/>
      <c r="D1217" s="4561" t="n"/>
      <c r="E1217" s="4561" t="n"/>
      <c r="F1217" s="4561" t="n"/>
      <c r="G1217" s="4561" t="n"/>
      <c r="H1217" s="4561" t="n"/>
      <c r="I1217" s="4562">
        <f>XLOOKUP(B1217,'_Sys|Line_Map'!$A:$A,'_Sys|Line_Map'!$C:$C,"MISSING",0)</f>
        <v/>
      </c>
      <c r="J1217" s="4562">
        <f>XLOOKUP(B1217,'_Sys|Line_Map'!$A:$A,'_Sys|Line_Map'!$D:$D,1,0)</f>
        <v/>
      </c>
      <c r="K1217" s="4562">
        <f>IF(D1217="","",D1217*J1217)</f>
        <v/>
      </c>
      <c r="L1217" s="4562">
        <f>XLOOKUP(B1217,'_Sys|Line_Map'!$A:$A,'_Sys|Line_Map'!$B:$B,"MISSING",0)</f>
        <v/>
      </c>
    </row>
    <row r="1218">
      <c r="A1218" s="4561" t="n"/>
      <c r="B1218" s="4561" t="n"/>
      <c r="C1218" s="4561" t="n"/>
      <c r="D1218" s="4561" t="n"/>
      <c r="E1218" s="4561" t="n"/>
      <c r="F1218" s="4561" t="n"/>
      <c r="G1218" s="4561" t="n"/>
      <c r="H1218" s="4561" t="n"/>
      <c r="I1218" s="4562">
        <f>XLOOKUP(B1218,'_Sys|Line_Map'!$A:$A,'_Sys|Line_Map'!$C:$C,"MISSING",0)</f>
        <v/>
      </c>
      <c r="J1218" s="4562">
        <f>XLOOKUP(B1218,'_Sys|Line_Map'!$A:$A,'_Sys|Line_Map'!$D:$D,1,0)</f>
        <v/>
      </c>
      <c r="K1218" s="4562">
        <f>IF(D1218="","",D1218*J1218)</f>
        <v/>
      </c>
      <c r="L1218" s="4562">
        <f>XLOOKUP(B1218,'_Sys|Line_Map'!$A:$A,'_Sys|Line_Map'!$B:$B,"MISSING",0)</f>
        <v/>
      </c>
    </row>
    <row r="1219">
      <c r="A1219" s="4561" t="n"/>
      <c r="B1219" s="4561" t="n"/>
      <c r="C1219" s="4561" t="n"/>
      <c r="D1219" s="4561" t="n"/>
      <c r="E1219" s="4561" t="n"/>
      <c r="F1219" s="4561" t="n"/>
      <c r="G1219" s="4561" t="n"/>
      <c r="H1219" s="4561" t="n"/>
      <c r="I1219" s="4562">
        <f>XLOOKUP(B1219,'_Sys|Line_Map'!$A:$A,'_Sys|Line_Map'!$C:$C,"MISSING",0)</f>
        <v/>
      </c>
      <c r="J1219" s="4562">
        <f>XLOOKUP(B1219,'_Sys|Line_Map'!$A:$A,'_Sys|Line_Map'!$D:$D,1,0)</f>
        <v/>
      </c>
      <c r="K1219" s="4562">
        <f>IF(D1219="","",D1219*J1219)</f>
        <v/>
      </c>
      <c r="L1219" s="4562">
        <f>XLOOKUP(B1219,'_Sys|Line_Map'!$A:$A,'_Sys|Line_Map'!$B:$B,"MISSING",0)</f>
        <v/>
      </c>
    </row>
    <row r="1220">
      <c r="A1220" s="4561" t="n"/>
      <c r="B1220" s="4561" t="n"/>
      <c r="C1220" s="4561" t="n"/>
      <c r="D1220" s="4561" t="n"/>
      <c r="E1220" s="4561" t="n"/>
      <c r="F1220" s="4561" t="n"/>
      <c r="G1220" s="4561" t="n"/>
      <c r="H1220" s="4561" t="n"/>
      <c r="I1220" s="4562">
        <f>XLOOKUP(B1220,'_Sys|Line_Map'!$A:$A,'_Sys|Line_Map'!$C:$C,"MISSING",0)</f>
        <v/>
      </c>
      <c r="J1220" s="4562">
        <f>XLOOKUP(B1220,'_Sys|Line_Map'!$A:$A,'_Sys|Line_Map'!$D:$D,1,0)</f>
        <v/>
      </c>
      <c r="K1220" s="4562">
        <f>IF(D1220="","",D1220*J1220)</f>
        <v/>
      </c>
      <c r="L1220" s="4562">
        <f>XLOOKUP(B1220,'_Sys|Line_Map'!$A:$A,'_Sys|Line_Map'!$B:$B,"MISSING",0)</f>
        <v/>
      </c>
    </row>
    <row r="1221">
      <c r="A1221" s="4561" t="n"/>
      <c r="B1221" s="4561" t="n"/>
      <c r="C1221" s="4561" t="n"/>
      <c r="D1221" s="4561" t="n"/>
      <c r="E1221" s="4561" t="n"/>
      <c r="F1221" s="4561" t="n"/>
      <c r="G1221" s="4561" t="n"/>
      <c r="H1221" s="4561" t="n"/>
      <c r="I1221" s="4562">
        <f>XLOOKUP(B1221,'_Sys|Line_Map'!$A:$A,'_Sys|Line_Map'!$C:$C,"MISSING",0)</f>
        <v/>
      </c>
      <c r="J1221" s="4562">
        <f>XLOOKUP(B1221,'_Sys|Line_Map'!$A:$A,'_Sys|Line_Map'!$D:$D,1,0)</f>
        <v/>
      </c>
      <c r="K1221" s="4562">
        <f>IF(D1221="","",D1221*J1221)</f>
        <v/>
      </c>
      <c r="L1221" s="4562">
        <f>XLOOKUP(B1221,'_Sys|Line_Map'!$A:$A,'_Sys|Line_Map'!$B:$B,"MISSING",0)</f>
        <v/>
      </c>
    </row>
    <row r="1222">
      <c r="A1222" s="4561" t="n"/>
      <c r="B1222" s="4561" t="n"/>
      <c r="C1222" s="4561" t="n"/>
      <c r="D1222" s="4561" t="n"/>
      <c r="E1222" s="4561" t="n"/>
      <c r="F1222" s="4561" t="n"/>
      <c r="G1222" s="4561" t="n"/>
      <c r="H1222" s="4561" t="n"/>
      <c r="I1222" s="4562">
        <f>XLOOKUP(B1222,'_Sys|Line_Map'!$A:$A,'_Sys|Line_Map'!$C:$C,"MISSING",0)</f>
        <v/>
      </c>
      <c r="J1222" s="4562">
        <f>XLOOKUP(B1222,'_Sys|Line_Map'!$A:$A,'_Sys|Line_Map'!$D:$D,1,0)</f>
        <v/>
      </c>
      <c r="K1222" s="4562">
        <f>IF(D1222="","",D1222*J1222)</f>
        <v/>
      </c>
      <c r="L1222" s="4562">
        <f>XLOOKUP(B1222,'_Sys|Line_Map'!$A:$A,'_Sys|Line_Map'!$B:$B,"MISSING",0)</f>
        <v/>
      </c>
    </row>
    <row r="1223">
      <c r="A1223" s="4561" t="n"/>
      <c r="B1223" s="4561" t="n"/>
      <c r="C1223" s="4561" t="n"/>
      <c r="D1223" s="4561" t="n"/>
      <c r="E1223" s="4561" t="n"/>
      <c r="F1223" s="4561" t="n"/>
      <c r="G1223" s="4561" t="n"/>
      <c r="H1223" s="4561" t="n"/>
      <c r="I1223" s="4562">
        <f>XLOOKUP(B1223,'_Sys|Line_Map'!$A:$A,'_Sys|Line_Map'!$C:$C,"MISSING",0)</f>
        <v/>
      </c>
      <c r="J1223" s="4562">
        <f>XLOOKUP(B1223,'_Sys|Line_Map'!$A:$A,'_Sys|Line_Map'!$D:$D,1,0)</f>
        <v/>
      </c>
      <c r="K1223" s="4562">
        <f>IF(D1223="","",D1223*J1223)</f>
        <v/>
      </c>
      <c r="L1223" s="4562">
        <f>XLOOKUP(B1223,'_Sys|Line_Map'!$A:$A,'_Sys|Line_Map'!$B:$B,"MISSING",0)</f>
        <v/>
      </c>
    </row>
    <row r="1224">
      <c r="A1224" s="4561" t="n"/>
      <c r="B1224" s="4561" t="n"/>
      <c r="C1224" s="4561" t="n"/>
      <c r="D1224" s="4561" t="n"/>
      <c r="E1224" s="4561" t="n"/>
      <c r="F1224" s="4561" t="n"/>
      <c r="G1224" s="4561" t="n"/>
      <c r="H1224" s="4561" t="n"/>
      <c r="I1224" s="4562">
        <f>XLOOKUP(B1224,'_Sys|Line_Map'!$A:$A,'_Sys|Line_Map'!$C:$C,"MISSING",0)</f>
        <v/>
      </c>
      <c r="J1224" s="4562">
        <f>XLOOKUP(B1224,'_Sys|Line_Map'!$A:$A,'_Sys|Line_Map'!$D:$D,1,0)</f>
        <v/>
      </c>
      <c r="K1224" s="4562">
        <f>IF(D1224="","",D1224*J1224)</f>
        <v/>
      </c>
      <c r="L1224" s="4562">
        <f>XLOOKUP(B1224,'_Sys|Line_Map'!$A:$A,'_Sys|Line_Map'!$B:$B,"MISSING",0)</f>
        <v/>
      </c>
    </row>
    <row r="1225">
      <c r="A1225" s="4561" t="n"/>
      <c r="B1225" s="4561" t="n"/>
      <c r="C1225" s="4561" t="n"/>
      <c r="D1225" s="4561" t="n"/>
      <c r="E1225" s="4561" t="n"/>
      <c r="F1225" s="4561" t="n"/>
      <c r="G1225" s="4561" t="n"/>
      <c r="H1225" s="4561" t="n"/>
      <c r="I1225" s="4562">
        <f>XLOOKUP(B1225,'_Sys|Line_Map'!$A:$A,'_Sys|Line_Map'!$C:$C,"MISSING",0)</f>
        <v/>
      </c>
      <c r="J1225" s="4562">
        <f>XLOOKUP(B1225,'_Sys|Line_Map'!$A:$A,'_Sys|Line_Map'!$D:$D,1,0)</f>
        <v/>
      </c>
      <c r="K1225" s="4562">
        <f>IF(D1225="","",D1225*J1225)</f>
        <v/>
      </c>
      <c r="L1225" s="4562">
        <f>XLOOKUP(B1225,'_Sys|Line_Map'!$A:$A,'_Sys|Line_Map'!$B:$B,"MISSING",0)</f>
        <v/>
      </c>
    </row>
    <row r="1226">
      <c r="A1226" s="4561" t="n"/>
      <c r="B1226" s="4561" t="n"/>
      <c r="C1226" s="4561" t="n"/>
      <c r="D1226" s="4561" t="n"/>
      <c r="E1226" s="4561" t="n"/>
      <c r="F1226" s="4561" t="n"/>
      <c r="G1226" s="4561" t="n"/>
      <c r="H1226" s="4561" t="n"/>
      <c r="I1226" s="4562">
        <f>XLOOKUP(B1226,'_Sys|Line_Map'!$A:$A,'_Sys|Line_Map'!$C:$C,"MISSING",0)</f>
        <v/>
      </c>
      <c r="J1226" s="4562">
        <f>XLOOKUP(B1226,'_Sys|Line_Map'!$A:$A,'_Sys|Line_Map'!$D:$D,1,0)</f>
        <v/>
      </c>
      <c r="K1226" s="4562">
        <f>IF(D1226="","",D1226*J1226)</f>
        <v/>
      </c>
      <c r="L1226" s="4562">
        <f>XLOOKUP(B1226,'_Sys|Line_Map'!$A:$A,'_Sys|Line_Map'!$B:$B,"MISSING",0)</f>
        <v/>
      </c>
    </row>
    <row r="1227">
      <c r="A1227" s="4561" t="n"/>
      <c r="B1227" s="4561" t="n"/>
      <c r="C1227" s="4561" t="n"/>
      <c r="D1227" s="4561" t="n"/>
      <c r="E1227" s="4561" t="n"/>
      <c r="F1227" s="4561" t="n"/>
      <c r="G1227" s="4561" t="n"/>
      <c r="H1227" s="4561" t="n"/>
      <c r="I1227" s="4562">
        <f>XLOOKUP(B1227,'_Sys|Line_Map'!$A:$A,'_Sys|Line_Map'!$C:$C,"MISSING",0)</f>
        <v/>
      </c>
      <c r="J1227" s="4562">
        <f>XLOOKUP(B1227,'_Sys|Line_Map'!$A:$A,'_Sys|Line_Map'!$D:$D,1,0)</f>
        <v/>
      </c>
      <c r="K1227" s="4562">
        <f>IF(D1227="","",D1227*J1227)</f>
        <v/>
      </c>
      <c r="L1227" s="4562">
        <f>XLOOKUP(B1227,'_Sys|Line_Map'!$A:$A,'_Sys|Line_Map'!$B:$B,"MISSING",0)</f>
        <v/>
      </c>
    </row>
    <row r="1228">
      <c r="A1228" s="4561" t="n"/>
      <c r="B1228" s="4561" t="n"/>
      <c r="C1228" s="4561" t="n"/>
      <c r="D1228" s="4561" t="n"/>
      <c r="E1228" s="4561" t="n"/>
      <c r="F1228" s="4561" t="n"/>
      <c r="G1228" s="4561" t="n"/>
      <c r="H1228" s="4561" t="n"/>
      <c r="I1228" s="4562">
        <f>XLOOKUP(B1228,'_Sys|Line_Map'!$A:$A,'_Sys|Line_Map'!$C:$C,"MISSING",0)</f>
        <v/>
      </c>
      <c r="J1228" s="4562">
        <f>XLOOKUP(B1228,'_Sys|Line_Map'!$A:$A,'_Sys|Line_Map'!$D:$D,1,0)</f>
        <v/>
      </c>
      <c r="K1228" s="4562">
        <f>IF(D1228="","",D1228*J1228)</f>
        <v/>
      </c>
      <c r="L1228" s="4562">
        <f>XLOOKUP(B1228,'_Sys|Line_Map'!$A:$A,'_Sys|Line_Map'!$B:$B,"MISSING",0)</f>
        <v/>
      </c>
    </row>
    <row r="1229">
      <c r="A1229" s="4561" t="n"/>
      <c r="B1229" s="4561" t="n"/>
      <c r="C1229" s="4561" t="n"/>
      <c r="D1229" s="4561" t="n"/>
      <c r="E1229" s="4561" t="n"/>
      <c r="F1229" s="4561" t="n"/>
      <c r="G1229" s="4561" t="n"/>
      <c r="H1229" s="4561" t="n"/>
      <c r="I1229" s="4562">
        <f>XLOOKUP(B1229,'_Sys|Line_Map'!$A:$A,'_Sys|Line_Map'!$C:$C,"MISSING",0)</f>
        <v/>
      </c>
      <c r="J1229" s="4562">
        <f>XLOOKUP(B1229,'_Sys|Line_Map'!$A:$A,'_Sys|Line_Map'!$D:$D,1,0)</f>
        <v/>
      </c>
      <c r="K1229" s="4562">
        <f>IF(D1229="","",D1229*J1229)</f>
        <v/>
      </c>
      <c r="L1229" s="4562">
        <f>XLOOKUP(B1229,'_Sys|Line_Map'!$A:$A,'_Sys|Line_Map'!$B:$B,"MISSING",0)</f>
        <v/>
      </c>
    </row>
    <row r="1230">
      <c r="A1230" s="4561" t="n"/>
      <c r="B1230" s="4561" t="n"/>
      <c r="C1230" s="4561" t="n"/>
      <c r="D1230" s="4561" t="n"/>
      <c r="E1230" s="4561" t="n"/>
      <c r="F1230" s="4561" t="n"/>
      <c r="G1230" s="4561" t="n"/>
      <c r="H1230" s="4561" t="n"/>
      <c r="I1230" s="4562">
        <f>XLOOKUP(B1230,'_Sys|Line_Map'!$A:$A,'_Sys|Line_Map'!$C:$C,"MISSING",0)</f>
        <v/>
      </c>
      <c r="J1230" s="4562">
        <f>XLOOKUP(B1230,'_Sys|Line_Map'!$A:$A,'_Sys|Line_Map'!$D:$D,1,0)</f>
        <v/>
      </c>
      <c r="K1230" s="4562">
        <f>IF(D1230="","",D1230*J1230)</f>
        <v/>
      </c>
      <c r="L1230" s="4562">
        <f>XLOOKUP(B1230,'_Sys|Line_Map'!$A:$A,'_Sys|Line_Map'!$B:$B,"MISSING",0)</f>
        <v/>
      </c>
    </row>
    <row r="1231">
      <c r="A1231" s="4561" t="n"/>
      <c r="B1231" s="4561" t="n"/>
      <c r="C1231" s="4561" t="n"/>
      <c r="D1231" s="4561" t="n"/>
      <c r="E1231" s="4561" t="n"/>
      <c r="F1231" s="4561" t="n"/>
      <c r="G1231" s="4561" t="n"/>
      <c r="H1231" s="4561" t="n"/>
      <c r="I1231" s="4562">
        <f>XLOOKUP(B1231,'_Sys|Line_Map'!$A:$A,'_Sys|Line_Map'!$C:$C,"MISSING",0)</f>
        <v/>
      </c>
      <c r="J1231" s="4562">
        <f>XLOOKUP(B1231,'_Sys|Line_Map'!$A:$A,'_Sys|Line_Map'!$D:$D,1,0)</f>
        <v/>
      </c>
      <c r="K1231" s="4562">
        <f>IF(D1231="","",D1231*J1231)</f>
        <v/>
      </c>
      <c r="L1231" s="4562">
        <f>XLOOKUP(B1231,'_Sys|Line_Map'!$A:$A,'_Sys|Line_Map'!$B:$B,"MISSING",0)</f>
        <v/>
      </c>
    </row>
    <row r="1232">
      <c r="A1232" s="4561" t="n"/>
      <c r="B1232" s="4561" t="n"/>
      <c r="C1232" s="4561" t="n"/>
      <c r="D1232" s="4561" t="n"/>
      <c r="E1232" s="4561" t="n"/>
      <c r="F1232" s="4561" t="n"/>
      <c r="G1232" s="4561" t="n"/>
      <c r="H1232" s="4561" t="n"/>
      <c r="I1232" s="4562">
        <f>XLOOKUP(B1232,'_Sys|Line_Map'!$A:$A,'_Sys|Line_Map'!$C:$C,"MISSING",0)</f>
        <v/>
      </c>
      <c r="J1232" s="4562">
        <f>XLOOKUP(B1232,'_Sys|Line_Map'!$A:$A,'_Sys|Line_Map'!$D:$D,1,0)</f>
        <v/>
      </c>
      <c r="K1232" s="4562">
        <f>IF(D1232="","",D1232*J1232)</f>
        <v/>
      </c>
      <c r="L1232" s="4562">
        <f>XLOOKUP(B1232,'_Sys|Line_Map'!$A:$A,'_Sys|Line_Map'!$B:$B,"MISSING",0)</f>
        <v/>
      </c>
    </row>
    <row r="1233">
      <c r="A1233" s="4561" t="n"/>
      <c r="B1233" s="4561" t="n"/>
      <c r="C1233" s="4561" t="n"/>
      <c r="D1233" s="4561" t="n"/>
      <c r="E1233" s="4561" t="n"/>
      <c r="F1233" s="4561" t="n"/>
      <c r="G1233" s="4561" t="n"/>
      <c r="H1233" s="4561" t="n"/>
      <c r="I1233" s="4562">
        <f>XLOOKUP(B1233,'_Sys|Line_Map'!$A:$A,'_Sys|Line_Map'!$C:$C,"MISSING",0)</f>
        <v/>
      </c>
      <c r="J1233" s="4562">
        <f>XLOOKUP(B1233,'_Sys|Line_Map'!$A:$A,'_Sys|Line_Map'!$D:$D,1,0)</f>
        <v/>
      </c>
      <c r="K1233" s="4562">
        <f>IF(D1233="","",D1233*J1233)</f>
        <v/>
      </c>
      <c r="L1233" s="4562">
        <f>XLOOKUP(B1233,'_Sys|Line_Map'!$A:$A,'_Sys|Line_Map'!$B:$B,"MISSING",0)</f>
        <v/>
      </c>
    </row>
    <row r="1234">
      <c r="A1234" s="4561" t="n"/>
      <c r="B1234" s="4561" t="n"/>
      <c r="C1234" s="4561" t="n"/>
      <c r="D1234" s="4561" t="n"/>
      <c r="E1234" s="4561" t="n"/>
      <c r="F1234" s="4561" t="n"/>
      <c r="G1234" s="4561" t="n"/>
      <c r="H1234" s="4561" t="n"/>
      <c r="I1234" s="4562">
        <f>XLOOKUP(B1234,'_Sys|Line_Map'!$A:$A,'_Sys|Line_Map'!$C:$C,"MISSING",0)</f>
        <v/>
      </c>
      <c r="J1234" s="4562">
        <f>XLOOKUP(B1234,'_Sys|Line_Map'!$A:$A,'_Sys|Line_Map'!$D:$D,1,0)</f>
        <v/>
      </c>
      <c r="K1234" s="4562">
        <f>IF(D1234="","",D1234*J1234)</f>
        <v/>
      </c>
      <c r="L1234" s="4562">
        <f>XLOOKUP(B1234,'_Sys|Line_Map'!$A:$A,'_Sys|Line_Map'!$B:$B,"MISSING",0)</f>
        <v/>
      </c>
    </row>
    <row r="1235">
      <c r="A1235" s="4561" t="n"/>
      <c r="B1235" s="4561" t="n"/>
      <c r="C1235" s="4561" t="n"/>
      <c r="D1235" s="4561" t="n"/>
      <c r="E1235" s="4561" t="n"/>
      <c r="F1235" s="4561" t="n"/>
      <c r="G1235" s="4561" t="n"/>
      <c r="H1235" s="4561" t="n"/>
      <c r="I1235" s="4562">
        <f>XLOOKUP(B1235,'_Sys|Line_Map'!$A:$A,'_Sys|Line_Map'!$C:$C,"MISSING",0)</f>
        <v/>
      </c>
      <c r="J1235" s="4562">
        <f>XLOOKUP(B1235,'_Sys|Line_Map'!$A:$A,'_Sys|Line_Map'!$D:$D,1,0)</f>
        <v/>
      </c>
      <c r="K1235" s="4562">
        <f>IF(D1235="","",D1235*J1235)</f>
        <v/>
      </c>
      <c r="L1235" s="4562">
        <f>XLOOKUP(B1235,'_Sys|Line_Map'!$A:$A,'_Sys|Line_Map'!$B:$B,"MISSING",0)</f>
        <v/>
      </c>
    </row>
    <row r="1236">
      <c r="A1236" s="4561" t="n"/>
      <c r="B1236" s="4561" t="n"/>
      <c r="C1236" s="4561" t="n"/>
      <c r="D1236" s="4561" t="n"/>
      <c r="E1236" s="4561" t="n"/>
      <c r="F1236" s="4561" t="n"/>
      <c r="G1236" s="4561" t="n"/>
      <c r="H1236" s="4561" t="n"/>
      <c r="I1236" s="4562">
        <f>XLOOKUP(B1236,'_Sys|Line_Map'!$A:$A,'_Sys|Line_Map'!$C:$C,"MISSING",0)</f>
        <v/>
      </c>
      <c r="J1236" s="4562">
        <f>XLOOKUP(B1236,'_Sys|Line_Map'!$A:$A,'_Sys|Line_Map'!$D:$D,1,0)</f>
        <v/>
      </c>
      <c r="K1236" s="4562">
        <f>IF(D1236="","",D1236*J1236)</f>
        <v/>
      </c>
      <c r="L1236" s="4562">
        <f>XLOOKUP(B1236,'_Sys|Line_Map'!$A:$A,'_Sys|Line_Map'!$B:$B,"MISSING",0)</f>
        <v/>
      </c>
    </row>
    <row r="1237">
      <c r="A1237" s="4561" t="n"/>
      <c r="B1237" s="4561" t="n"/>
      <c r="C1237" s="4561" t="n"/>
      <c r="D1237" s="4561" t="n"/>
      <c r="E1237" s="4561" t="n"/>
      <c r="F1237" s="4561" t="n"/>
      <c r="G1237" s="4561" t="n"/>
      <c r="H1237" s="4561" t="n"/>
      <c r="I1237" s="4562">
        <f>XLOOKUP(B1237,'_Sys|Line_Map'!$A:$A,'_Sys|Line_Map'!$C:$C,"MISSING",0)</f>
        <v/>
      </c>
      <c r="J1237" s="4562">
        <f>XLOOKUP(B1237,'_Sys|Line_Map'!$A:$A,'_Sys|Line_Map'!$D:$D,1,0)</f>
        <v/>
      </c>
      <c r="K1237" s="4562">
        <f>IF(D1237="","",D1237*J1237)</f>
        <v/>
      </c>
      <c r="L1237" s="4562">
        <f>XLOOKUP(B1237,'_Sys|Line_Map'!$A:$A,'_Sys|Line_Map'!$B:$B,"MISSING",0)</f>
        <v/>
      </c>
    </row>
    <row r="1238">
      <c r="A1238" s="4561" t="n"/>
      <c r="B1238" s="4561" t="n"/>
      <c r="C1238" s="4561" t="n"/>
      <c r="D1238" s="4561" t="n"/>
      <c r="E1238" s="4561" t="n"/>
      <c r="F1238" s="4561" t="n"/>
      <c r="G1238" s="4561" t="n"/>
      <c r="H1238" s="4561" t="n"/>
      <c r="I1238" s="4562">
        <f>XLOOKUP(B1238,'_Sys|Line_Map'!$A:$A,'_Sys|Line_Map'!$C:$C,"MISSING",0)</f>
        <v/>
      </c>
      <c r="J1238" s="4562">
        <f>XLOOKUP(B1238,'_Sys|Line_Map'!$A:$A,'_Sys|Line_Map'!$D:$D,1,0)</f>
        <v/>
      </c>
      <c r="K1238" s="4562">
        <f>IF(D1238="","",D1238*J1238)</f>
        <v/>
      </c>
      <c r="L1238" s="4562">
        <f>XLOOKUP(B1238,'_Sys|Line_Map'!$A:$A,'_Sys|Line_Map'!$B:$B,"MISSING",0)</f>
        <v/>
      </c>
    </row>
    <row r="1239">
      <c r="A1239" s="4561" t="n"/>
      <c r="B1239" s="4561" t="n"/>
      <c r="C1239" s="4561" t="n"/>
      <c r="D1239" s="4561" t="n"/>
      <c r="E1239" s="4561" t="n"/>
      <c r="F1239" s="4561" t="n"/>
      <c r="G1239" s="4561" t="n"/>
      <c r="H1239" s="4561" t="n"/>
      <c r="I1239" s="4562">
        <f>XLOOKUP(B1239,'_Sys|Line_Map'!$A:$A,'_Sys|Line_Map'!$C:$C,"MISSING",0)</f>
        <v/>
      </c>
      <c r="J1239" s="4562">
        <f>XLOOKUP(B1239,'_Sys|Line_Map'!$A:$A,'_Sys|Line_Map'!$D:$D,1,0)</f>
        <v/>
      </c>
      <c r="K1239" s="4562">
        <f>IF(D1239="","",D1239*J1239)</f>
        <v/>
      </c>
      <c r="L1239" s="4562">
        <f>XLOOKUP(B1239,'_Sys|Line_Map'!$A:$A,'_Sys|Line_Map'!$B:$B,"MISSING",0)</f>
        <v/>
      </c>
    </row>
    <row r="1240">
      <c r="A1240" s="4561" t="n"/>
      <c r="B1240" s="4561" t="n"/>
      <c r="C1240" s="4561" t="n"/>
      <c r="D1240" s="4561" t="n"/>
      <c r="E1240" s="4561" t="n"/>
      <c r="F1240" s="4561" t="n"/>
      <c r="G1240" s="4561" t="n"/>
      <c r="H1240" s="4561" t="n"/>
      <c r="I1240" s="4562">
        <f>XLOOKUP(B1240,'_Sys|Line_Map'!$A:$A,'_Sys|Line_Map'!$C:$C,"MISSING",0)</f>
        <v/>
      </c>
      <c r="J1240" s="4562">
        <f>XLOOKUP(B1240,'_Sys|Line_Map'!$A:$A,'_Sys|Line_Map'!$D:$D,1,0)</f>
        <v/>
      </c>
      <c r="K1240" s="4562">
        <f>IF(D1240="","",D1240*J1240)</f>
        <v/>
      </c>
      <c r="L1240" s="4562">
        <f>XLOOKUP(B1240,'_Sys|Line_Map'!$A:$A,'_Sys|Line_Map'!$B:$B,"MISSING",0)</f>
        <v/>
      </c>
    </row>
    <row r="1241">
      <c r="A1241" s="4561" t="n"/>
      <c r="B1241" s="4561" t="n"/>
      <c r="C1241" s="4561" t="n"/>
      <c r="D1241" s="4561" t="n"/>
      <c r="E1241" s="4561" t="n"/>
      <c r="F1241" s="4561" t="n"/>
      <c r="G1241" s="4561" t="n"/>
      <c r="H1241" s="4561" t="n"/>
      <c r="I1241" s="4562">
        <f>XLOOKUP(B1241,'_Sys|Line_Map'!$A:$A,'_Sys|Line_Map'!$C:$C,"MISSING",0)</f>
        <v/>
      </c>
      <c r="J1241" s="4562">
        <f>XLOOKUP(B1241,'_Sys|Line_Map'!$A:$A,'_Sys|Line_Map'!$D:$D,1,0)</f>
        <v/>
      </c>
      <c r="K1241" s="4562">
        <f>IF(D1241="","",D1241*J1241)</f>
        <v/>
      </c>
      <c r="L1241" s="4562">
        <f>XLOOKUP(B1241,'_Sys|Line_Map'!$A:$A,'_Sys|Line_Map'!$B:$B,"MISSING",0)</f>
        <v/>
      </c>
    </row>
    <row r="1242">
      <c r="A1242" s="4561" t="n"/>
      <c r="B1242" s="4561" t="n"/>
      <c r="C1242" s="4561" t="n"/>
      <c r="D1242" s="4561" t="n"/>
      <c r="E1242" s="4561" t="n"/>
      <c r="F1242" s="4561" t="n"/>
      <c r="G1242" s="4561" t="n"/>
      <c r="H1242" s="4561" t="n"/>
      <c r="I1242" s="4562">
        <f>XLOOKUP(B1242,'_Sys|Line_Map'!$A:$A,'_Sys|Line_Map'!$C:$C,"MISSING",0)</f>
        <v/>
      </c>
      <c r="J1242" s="4562">
        <f>XLOOKUP(B1242,'_Sys|Line_Map'!$A:$A,'_Sys|Line_Map'!$D:$D,1,0)</f>
        <v/>
      </c>
      <c r="K1242" s="4562">
        <f>IF(D1242="","",D1242*J1242)</f>
        <v/>
      </c>
      <c r="L1242" s="4562">
        <f>XLOOKUP(B1242,'_Sys|Line_Map'!$A:$A,'_Sys|Line_Map'!$B:$B,"MISSING",0)</f>
        <v/>
      </c>
    </row>
    <row r="1243">
      <c r="A1243" s="4561" t="n"/>
      <c r="B1243" s="4561" t="n"/>
      <c r="C1243" s="4561" t="n"/>
      <c r="D1243" s="4561" t="n"/>
      <c r="E1243" s="4561" t="n"/>
      <c r="F1243" s="4561" t="n"/>
      <c r="G1243" s="4561" t="n"/>
      <c r="H1243" s="4561" t="n"/>
      <c r="I1243" s="4562">
        <f>XLOOKUP(B1243,'_Sys|Line_Map'!$A:$A,'_Sys|Line_Map'!$C:$C,"MISSING",0)</f>
        <v/>
      </c>
      <c r="J1243" s="4562">
        <f>XLOOKUP(B1243,'_Sys|Line_Map'!$A:$A,'_Sys|Line_Map'!$D:$D,1,0)</f>
        <v/>
      </c>
      <c r="K1243" s="4562">
        <f>IF(D1243="","",D1243*J1243)</f>
        <v/>
      </c>
      <c r="L1243" s="4562">
        <f>XLOOKUP(B1243,'_Sys|Line_Map'!$A:$A,'_Sys|Line_Map'!$B:$B,"MISSING",0)</f>
        <v/>
      </c>
    </row>
    <row r="1244">
      <c r="A1244" s="4561" t="n"/>
      <c r="B1244" s="4561" t="n"/>
      <c r="C1244" s="4561" t="n"/>
      <c r="D1244" s="4561" t="n"/>
      <c r="E1244" s="4561" t="n"/>
      <c r="F1244" s="4561" t="n"/>
      <c r="G1244" s="4561" t="n"/>
      <c r="H1244" s="4561" t="n"/>
      <c r="I1244" s="4562">
        <f>XLOOKUP(B1244,'_Sys|Line_Map'!$A:$A,'_Sys|Line_Map'!$C:$C,"MISSING",0)</f>
        <v/>
      </c>
      <c r="J1244" s="4562">
        <f>XLOOKUP(B1244,'_Sys|Line_Map'!$A:$A,'_Sys|Line_Map'!$D:$D,1,0)</f>
        <v/>
      </c>
      <c r="K1244" s="4562">
        <f>IF(D1244="","",D1244*J1244)</f>
        <v/>
      </c>
      <c r="L1244" s="4562">
        <f>XLOOKUP(B1244,'_Sys|Line_Map'!$A:$A,'_Sys|Line_Map'!$B:$B,"MISSING",0)</f>
        <v/>
      </c>
    </row>
    <row r="1245">
      <c r="A1245" s="4561" t="n"/>
      <c r="B1245" s="4561" t="n"/>
      <c r="C1245" s="4561" t="n"/>
      <c r="D1245" s="4561" t="n"/>
      <c r="E1245" s="4561" t="n"/>
      <c r="F1245" s="4561" t="n"/>
      <c r="G1245" s="4561" t="n"/>
      <c r="H1245" s="4561" t="n"/>
      <c r="I1245" s="4562">
        <f>XLOOKUP(B1245,'_Sys|Line_Map'!$A:$A,'_Sys|Line_Map'!$C:$C,"MISSING",0)</f>
        <v/>
      </c>
      <c r="J1245" s="4562">
        <f>XLOOKUP(B1245,'_Sys|Line_Map'!$A:$A,'_Sys|Line_Map'!$D:$D,1,0)</f>
        <v/>
      </c>
      <c r="K1245" s="4562">
        <f>IF(D1245="","",D1245*J1245)</f>
        <v/>
      </c>
      <c r="L1245" s="4562">
        <f>XLOOKUP(B1245,'_Sys|Line_Map'!$A:$A,'_Sys|Line_Map'!$B:$B,"MISSING",0)</f>
        <v/>
      </c>
    </row>
    <row r="1246">
      <c r="A1246" s="4561" t="n"/>
      <c r="B1246" s="4561" t="n"/>
      <c r="C1246" s="4561" t="n"/>
      <c r="D1246" s="4561" t="n"/>
      <c r="E1246" s="4561" t="n"/>
      <c r="F1246" s="4561" t="n"/>
      <c r="G1246" s="4561" t="n"/>
      <c r="H1246" s="4561" t="n"/>
      <c r="I1246" s="4562">
        <f>XLOOKUP(B1246,'_Sys|Line_Map'!$A:$A,'_Sys|Line_Map'!$C:$C,"MISSING",0)</f>
        <v/>
      </c>
      <c r="J1246" s="4562">
        <f>XLOOKUP(B1246,'_Sys|Line_Map'!$A:$A,'_Sys|Line_Map'!$D:$D,1,0)</f>
        <v/>
      </c>
      <c r="K1246" s="4562">
        <f>IF(D1246="","",D1246*J1246)</f>
        <v/>
      </c>
      <c r="L1246" s="4562">
        <f>XLOOKUP(B1246,'_Sys|Line_Map'!$A:$A,'_Sys|Line_Map'!$B:$B,"MISSING",0)</f>
        <v/>
      </c>
    </row>
    <row r="1247">
      <c r="A1247" s="4561" t="n"/>
      <c r="B1247" s="4561" t="n"/>
      <c r="C1247" s="4561" t="n"/>
      <c r="D1247" s="4561" t="n"/>
      <c r="E1247" s="4561" t="n"/>
      <c r="F1247" s="4561" t="n"/>
      <c r="G1247" s="4561" t="n"/>
      <c r="H1247" s="4561" t="n"/>
      <c r="I1247" s="4562">
        <f>XLOOKUP(B1247,'_Sys|Line_Map'!$A:$A,'_Sys|Line_Map'!$C:$C,"MISSING",0)</f>
        <v/>
      </c>
      <c r="J1247" s="4562">
        <f>XLOOKUP(B1247,'_Sys|Line_Map'!$A:$A,'_Sys|Line_Map'!$D:$D,1,0)</f>
        <v/>
      </c>
      <c r="K1247" s="4562">
        <f>IF(D1247="","",D1247*J1247)</f>
        <v/>
      </c>
      <c r="L1247" s="4562">
        <f>XLOOKUP(B1247,'_Sys|Line_Map'!$A:$A,'_Sys|Line_Map'!$B:$B,"MISSING",0)</f>
        <v/>
      </c>
    </row>
    <row r="1248">
      <c r="A1248" s="4561" t="n"/>
      <c r="B1248" s="4561" t="n"/>
      <c r="C1248" s="4561" t="n"/>
      <c r="D1248" s="4561" t="n"/>
      <c r="E1248" s="4561" t="n"/>
      <c r="F1248" s="4561" t="n"/>
      <c r="G1248" s="4561" t="n"/>
      <c r="H1248" s="4561" t="n"/>
      <c r="I1248" s="4562">
        <f>XLOOKUP(B1248,'_Sys|Line_Map'!$A:$A,'_Sys|Line_Map'!$C:$C,"MISSING",0)</f>
        <v/>
      </c>
      <c r="J1248" s="4562">
        <f>XLOOKUP(B1248,'_Sys|Line_Map'!$A:$A,'_Sys|Line_Map'!$D:$D,1,0)</f>
        <v/>
      </c>
      <c r="K1248" s="4562">
        <f>IF(D1248="","",D1248*J1248)</f>
        <v/>
      </c>
      <c r="L1248" s="4562">
        <f>XLOOKUP(B1248,'_Sys|Line_Map'!$A:$A,'_Sys|Line_Map'!$B:$B,"MISSING",0)</f>
        <v/>
      </c>
    </row>
    <row r="1249">
      <c r="A1249" s="4561" t="n"/>
      <c r="B1249" s="4561" t="n"/>
      <c r="C1249" s="4561" t="n"/>
      <c r="D1249" s="4561" t="n"/>
      <c r="E1249" s="4561" t="n"/>
      <c r="F1249" s="4561" t="n"/>
      <c r="G1249" s="4561" t="n"/>
      <c r="H1249" s="4561" t="n"/>
      <c r="I1249" s="4562">
        <f>XLOOKUP(B1249,'_Sys|Line_Map'!$A:$A,'_Sys|Line_Map'!$C:$C,"MISSING",0)</f>
        <v/>
      </c>
      <c r="J1249" s="4562">
        <f>XLOOKUP(B1249,'_Sys|Line_Map'!$A:$A,'_Sys|Line_Map'!$D:$D,1,0)</f>
        <v/>
      </c>
      <c r="K1249" s="4562">
        <f>IF(D1249="","",D1249*J1249)</f>
        <v/>
      </c>
      <c r="L1249" s="4562">
        <f>XLOOKUP(B1249,'_Sys|Line_Map'!$A:$A,'_Sys|Line_Map'!$B:$B,"MISSING",0)</f>
        <v/>
      </c>
    </row>
    <row r="1250">
      <c r="A1250" s="4561" t="n"/>
      <c r="B1250" s="4561" t="n"/>
      <c r="C1250" s="4561" t="n"/>
      <c r="D1250" s="4561" t="n"/>
      <c r="E1250" s="4561" t="n"/>
      <c r="F1250" s="4561" t="n"/>
      <c r="G1250" s="4561" t="n"/>
      <c r="H1250" s="4561" t="n"/>
      <c r="I1250" s="4562">
        <f>XLOOKUP(B1250,'_Sys|Line_Map'!$A:$A,'_Sys|Line_Map'!$C:$C,"MISSING",0)</f>
        <v/>
      </c>
      <c r="J1250" s="4562">
        <f>XLOOKUP(B1250,'_Sys|Line_Map'!$A:$A,'_Sys|Line_Map'!$D:$D,1,0)</f>
        <v/>
      </c>
      <c r="K1250" s="4562">
        <f>IF(D1250="","",D1250*J1250)</f>
        <v/>
      </c>
      <c r="L1250" s="4562">
        <f>XLOOKUP(B1250,'_Sys|Line_Map'!$A:$A,'_Sys|Line_Map'!$B:$B,"MISSING",0)</f>
        <v/>
      </c>
    </row>
    <row r="1251">
      <c r="A1251" s="4561" t="n"/>
      <c r="B1251" s="4561" t="n"/>
      <c r="C1251" s="4561" t="n"/>
      <c r="D1251" s="4561" t="n"/>
      <c r="E1251" s="4561" t="n"/>
      <c r="F1251" s="4561" t="n"/>
      <c r="G1251" s="4561" t="n"/>
      <c r="H1251" s="4561" t="n"/>
      <c r="I1251" s="4562">
        <f>XLOOKUP(B1251,'_Sys|Line_Map'!$A:$A,'_Sys|Line_Map'!$C:$C,"MISSING",0)</f>
        <v/>
      </c>
      <c r="J1251" s="4562">
        <f>XLOOKUP(B1251,'_Sys|Line_Map'!$A:$A,'_Sys|Line_Map'!$D:$D,1,0)</f>
        <v/>
      </c>
      <c r="K1251" s="4562">
        <f>IF(D1251="","",D1251*J1251)</f>
        <v/>
      </c>
      <c r="L1251" s="4562">
        <f>XLOOKUP(B1251,'_Sys|Line_Map'!$A:$A,'_Sys|Line_Map'!$B:$B,"MISSING",0)</f>
        <v/>
      </c>
    </row>
    <row r="1252">
      <c r="A1252" s="4561" t="n"/>
      <c r="B1252" s="4561" t="n"/>
      <c r="C1252" s="4561" t="n"/>
      <c r="D1252" s="4561" t="n"/>
      <c r="E1252" s="4561" t="n"/>
      <c r="F1252" s="4561" t="n"/>
      <c r="G1252" s="4561" t="n"/>
      <c r="H1252" s="4561" t="n"/>
      <c r="I1252" s="4562">
        <f>XLOOKUP(B1252,'_Sys|Line_Map'!$A:$A,'_Sys|Line_Map'!$C:$C,"MISSING",0)</f>
        <v/>
      </c>
      <c r="J1252" s="4562">
        <f>XLOOKUP(B1252,'_Sys|Line_Map'!$A:$A,'_Sys|Line_Map'!$D:$D,1,0)</f>
        <v/>
      </c>
      <c r="K1252" s="4562">
        <f>IF(D1252="","",D1252*J1252)</f>
        <v/>
      </c>
      <c r="L1252" s="4562">
        <f>XLOOKUP(B1252,'_Sys|Line_Map'!$A:$A,'_Sys|Line_Map'!$B:$B,"MISSING",0)</f>
        <v/>
      </c>
    </row>
    <row r="1253">
      <c r="A1253" s="4561" t="n"/>
      <c r="B1253" s="4561" t="n"/>
      <c r="C1253" s="4561" t="n"/>
      <c r="D1253" s="4561" t="n"/>
      <c r="E1253" s="4561" t="n"/>
      <c r="F1253" s="4561" t="n"/>
      <c r="G1253" s="4561" t="n"/>
      <c r="H1253" s="4561" t="n"/>
      <c r="I1253" s="4562">
        <f>XLOOKUP(B1253,'_Sys|Line_Map'!$A:$A,'_Sys|Line_Map'!$C:$C,"MISSING",0)</f>
        <v/>
      </c>
      <c r="J1253" s="4562">
        <f>XLOOKUP(B1253,'_Sys|Line_Map'!$A:$A,'_Sys|Line_Map'!$D:$D,1,0)</f>
        <v/>
      </c>
      <c r="K1253" s="4562">
        <f>IF(D1253="","",D1253*J1253)</f>
        <v/>
      </c>
      <c r="L1253" s="4562">
        <f>XLOOKUP(B1253,'_Sys|Line_Map'!$A:$A,'_Sys|Line_Map'!$B:$B,"MISSING",0)</f>
        <v/>
      </c>
    </row>
    <row r="1254">
      <c r="A1254" s="4561" t="n"/>
      <c r="B1254" s="4561" t="n"/>
      <c r="C1254" s="4561" t="n"/>
      <c r="D1254" s="4561" t="n"/>
      <c r="E1254" s="4561" t="n"/>
      <c r="F1254" s="4561" t="n"/>
      <c r="G1254" s="4561" t="n"/>
      <c r="H1254" s="4561" t="n"/>
      <c r="I1254" s="4562">
        <f>XLOOKUP(B1254,'_Sys|Line_Map'!$A:$A,'_Sys|Line_Map'!$C:$C,"MISSING",0)</f>
        <v/>
      </c>
      <c r="J1254" s="4562">
        <f>XLOOKUP(B1254,'_Sys|Line_Map'!$A:$A,'_Sys|Line_Map'!$D:$D,1,0)</f>
        <v/>
      </c>
      <c r="K1254" s="4562">
        <f>IF(D1254="","",D1254*J1254)</f>
        <v/>
      </c>
      <c r="L1254" s="4562">
        <f>XLOOKUP(B1254,'_Sys|Line_Map'!$A:$A,'_Sys|Line_Map'!$B:$B,"MISSING",0)</f>
        <v/>
      </c>
    </row>
    <row r="1255">
      <c r="A1255" s="4561" t="n"/>
      <c r="B1255" s="4561" t="n"/>
      <c r="C1255" s="4561" t="n"/>
      <c r="D1255" s="4561" t="n"/>
      <c r="E1255" s="4561" t="n"/>
      <c r="F1255" s="4561" t="n"/>
      <c r="G1255" s="4561" t="n"/>
      <c r="H1255" s="4561" t="n"/>
      <c r="I1255" s="4562">
        <f>XLOOKUP(B1255,'_Sys|Line_Map'!$A:$A,'_Sys|Line_Map'!$C:$C,"MISSING",0)</f>
        <v/>
      </c>
      <c r="J1255" s="4562">
        <f>XLOOKUP(B1255,'_Sys|Line_Map'!$A:$A,'_Sys|Line_Map'!$D:$D,1,0)</f>
        <v/>
      </c>
      <c r="K1255" s="4562">
        <f>IF(D1255="","",D1255*J1255)</f>
        <v/>
      </c>
      <c r="L1255" s="4562">
        <f>XLOOKUP(B1255,'_Sys|Line_Map'!$A:$A,'_Sys|Line_Map'!$B:$B,"MISSING",0)</f>
        <v/>
      </c>
    </row>
    <row r="1256">
      <c r="A1256" s="4561" t="n"/>
      <c r="B1256" s="4561" t="n"/>
      <c r="C1256" s="4561" t="n"/>
      <c r="D1256" s="4561" t="n"/>
      <c r="E1256" s="4561" t="n"/>
      <c r="F1256" s="4561" t="n"/>
      <c r="G1256" s="4561" t="n"/>
      <c r="H1256" s="4561" t="n"/>
      <c r="I1256" s="4562">
        <f>XLOOKUP(B1256,'_Sys|Line_Map'!$A:$A,'_Sys|Line_Map'!$C:$C,"MISSING",0)</f>
        <v/>
      </c>
      <c r="J1256" s="4562">
        <f>XLOOKUP(B1256,'_Sys|Line_Map'!$A:$A,'_Sys|Line_Map'!$D:$D,1,0)</f>
        <v/>
      </c>
      <c r="K1256" s="4562">
        <f>IF(D1256="","",D1256*J1256)</f>
        <v/>
      </c>
      <c r="L1256" s="4562">
        <f>XLOOKUP(B1256,'_Sys|Line_Map'!$A:$A,'_Sys|Line_Map'!$B:$B,"MISSING",0)</f>
        <v/>
      </c>
    </row>
    <row r="1257">
      <c r="A1257" s="4561" t="n"/>
      <c r="B1257" s="4561" t="n"/>
      <c r="C1257" s="4561" t="n"/>
      <c r="D1257" s="4561" t="n"/>
      <c r="E1257" s="4561" t="n"/>
      <c r="F1257" s="4561" t="n"/>
      <c r="G1257" s="4561" t="n"/>
      <c r="H1257" s="4561" t="n"/>
      <c r="I1257" s="4562">
        <f>XLOOKUP(B1257,'_Sys|Line_Map'!$A:$A,'_Sys|Line_Map'!$C:$C,"MISSING",0)</f>
        <v/>
      </c>
      <c r="J1257" s="4562">
        <f>XLOOKUP(B1257,'_Sys|Line_Map'!$A:$A,'_Sys|Line_Map'!$D:$D,1,0)</f>
        <v/>
      </c>
      <c r="K1257" s="4562">
        <f>IF(D1257="","",D1257*J1257)</f>
        <v/>
      </c>
      <c r="L1257" s="4562">
        <f>XLOOKUP(B1257,'_Sys|Line_Map'!$A:$A,'_Sys|Line_Map'!$B:$B,"MISSING",0)</f>
        <v/>
      </c>
    </row>
    <row r="1258">
      <c r="A1258" s="4561" t="n"/>
      <c r="B1258" s="4561" t="n"/>
      <c r="C1258" s="4561" t="n"/>
      <c r="D1258" s="4561" t="n"/>
      <c r="E1258" s="4561" t="n"/>
      <c r="F1258" s="4561" t="n"/>
      <c r="G1258" s="4561" t="n"/>
      <c r="H1258" s="4561" t="n"/>
      <c r="I1258" s="4562">
        <f>XLOOKUP(B1258,'_Sys|Line_Map'!$A:$A,'_Sys|Line_Map'!$C:$C,"MISSING",0)</f>
        <v/>
      </c>
      <c r="J1258" s="4562">
        <f>XLOOKUP(B1258,'_Sys|Line_Map'!$A:$A,'_Sys|Line_Map'!$D:$D,1,0)</f>
        <v/>
      </c>
      <c r="K1258" s="4562">
        <f>IF(D1258="","",D1258*J1258)</f>
        <v/>
      </c>
      <c r="L1258" s="4562">
        <f>XLOOKUP(B1258,'_Sys|Line_Map'!$A:$A,'_Sys|Line_Map'!$B:$B,"MISSING",0)</f>
        <v/>
      </c>
    </row>
    <row r="1259">
      <c r="A1259" s="4561" t="n"/>
      <c r="B1259" s="4561" t="n"/>
      <c r="C1259" s="4561" t="n"/>
      <c r="D1259" s="4561" t="n"/>
      <c r="E1259" s="4561" t="n"/>
      <c r="F1259" s="4561" t="n"/>
      <c r="G1259" s="4561" t="n"/>
      <c r="H1259" s="4561" t="n"/>
      <c r="I1259" s="4562">
        <f>XLOOKUP(B1259,'_Sys|Line_Map'!$A:$A,'_Sys|Line_Map'!$C:$C,"MISSING",0)</f>
        <v/>
      </c>
      <c r="J1259" s="4562">
        <f>XLOOKUP(B1259,'_Sys|Line_Map'!$A:$A,'_Sys|Line_Map'!$D:$D,1,0)</f>
        <v/>
      </c>
      <c r="K1259" s="4562">
        <f>IF(D1259="","",D1259*J1259)</f>
        <v/>
      </c>
      <c r="L1259" s="4562">
        <f>XLOOKUP(B1259,'_Sys|Line_Map'!$A:$A,'_Sys|Line_Map'!$B:$B,"MISSING",0)</f>
        <v/>
      </c>
    </row>
    <row r="1260">
      <c r="A1260" s="4561" t="n"/>
      <c r="B1260" s="4561" t="n"/>
      <c r="C1260" s="4561" t="n"/>
      <c r="D1260" s="4561" t="n"/>
      <c r="E1260" s="4561" t="n"/>
      <c r="F1260" s="4561" t="n"/>
      <c r="G1260" s="4561" t="n"/>
      <c r="H1260" s="4561" t="n"/>
      <c r="I1260" s="4562">
        <f>XLOOKUP(B1260,'_Sys|Line_Map'!$A:$A,'_Sys|Line_Map'!$C:$C,"MISSING",0)</f>
        <v/>
      </c>
      <c r="J1260" s="4562">
        <f>XLOOKUP(B1260,'_Sys|Line_Map'!$A:$A,'_Sys|Line_Map'!$D:$D,1,0)</f>
        <v/>
      </c>
      <c r="K1260" s="4562">
        <f>IF(D1260="","",D1260*J1260)</f>
        <v/>
      </c>
      <c r="L1260" s="4562">
        <f>XLOOKUP(B1260,'_Sys|Line_Map'!$A:$A,'_Sys|Line_Map'!$B:$B,"MISSING",0)</f>
        <v/>
      </c>
    </row>
    <row r="1261">
      <c r="A1261" s="4561" t="n"/>
      <c r="B1261" s="4561" t="n"/>
      <c r="C1261" s="4561" t="n"/>
      <c r="D1261" s="4561" t="n"/>
      <c r="E1261" s="4561" t="n"/>
      <c r="F1261" s="4561" t="n"/>
      <c r="G1261" s="4561" t="n"/>
      <c r="H1261" s="4561" t="n"/>
      <c r="I1261" s="4562">
        <f>XLOOKUP(B1261,'_Sys|Line_Map'!$A:$A,'_Sys|Line_Map'!$C:$C,"MISSING",0)</f>
        <v/>
      </c>
      <c r="J1261" s="4562">
        <f>XLOOKUP(B1261,'_Sys|Line_Map'!$A:$A,'_Sys|Line_Map'!$D:$D,1,0)</f>
        <v/>
      </c>
      <c r="K1261" s="4562">
        <f>IF(D1261="","",D1261*J1261)</f>
        <v/>
      </c>
      <c r="L1261" s="4562">
        <f>XLOOKUP(B1261,'_Sys|Line_Map'!$A:$A,'_Sys|Line_Map'!$B:$B,"MISSING",0)</f>
        <v/>
      </c>
    </row>
    <row r="1262">
      <c r="A1262" s="4561" t="n"/>
      <c r="B1262" s="4561" t="n"/>
      <c r="C1262" s="4561" t="n"/>
      <c r="D1262" s="4561" t="n"/>
      <c r="E1262" s="4561" t="n"/>
      <c r="F1262" s="4561" t="n"/>
      <c r="G1262" s="4561" t="n"/>
      <c r="H1262" s="4561" t="n"/>
      <c r="I1262" s="4562">
        <f>XLOOKUP(B1262,'_Sys|Line_Map'!$A:$A,'_Sys|Line_Map'!$C:$C,"MISSING",0)</f>
        <v/>
      </c>
      <c r="J1262" s="4562">
        <f>XLOOKUP(B1262,'_Sys|Line_Map'!$A:$A,'_Sys|Line_Map'!$D:$D,1,0)</f>
        <v/>
      </c>
      <c r="K1262" s="4562">
        <f>IF(D1262="","",D1262*J1262)</f>
        <v/>
      </c>
      <c r="L1262" s="4562">
        <f>XLOOKUP(B1262,'_Sys|Line_Map'!$A:$A,'_Sys|Line_Map'!$B:$B,"MISSING",0)</f>
        <v/>
      </c>
    </row>
    <row r="1263">
      <c r="A1263" s="4561" t="n"/>
      <c r="B1263" s="4561" t="n"/>
      <c r="C1263" s="4561" t="n"/>
      <c r="D1263" s="4561" t="n"/>
      <c r="E1263" s="4561" t="n"/>
      <c r="F1263" s="4561" t="n"/>
      <c r="G1263" s="4561" t="n"/>
      <c r="H1263" s="4561" t="n"/>
      <c r="I1263" s="4562">
        <f>XLOOKUP(B1263,'_Sys|Line_Map'!$A:$A,'_Sys|Line_Map'!$C:$C,"MISSING",0)</f>
        <v/>
      </c>
      <c r="J1263" s="4562">
        <f>XLOOKUP(B1263,'_Sys|Line_Map'!$A:$A,'_Sys|Line_Map'!$D:$D,1,0)</f>
        <v/>
      </c>
      <c r="K1263" s="4562">
        <f>IF(D1263="","",D1263*J1263)</f>
        <v/>
      </c>
      <c r="L1263" s="4562">
        <f>XLOOKUP(B1263,'_Sys|Line_Map'!$A:$A,'_Sys|Line_Map'!$B:$B,"MISSING",0)</f>
        <v/>
      </c>
    </row>
    <row r="1264">
      <c r="A1264" s="4561" t="n"/>
      <c r="B1264" s="4561" t="n"/>
      <c r="C1264" s="4561" t="n"/>
      <c r="D1264" s="4561" t="n"/>
      <c r="E1264" s="4561" t="n"/>
      <c r="F1264" s="4561" t="n"/>
      <c r="G1264" s="4561" t="n"/>
      <c r="H1264" s="4561" t="n"/>
      <c r="I1264" s="4562">
        <f>XLOOKUP(B1264,'_Sys|Line_Map'!$A:$A,'_Sys|Line_Map'!$C:$C,"MISSING",0)</f>
        <v/>
      </c>
      <c r="J1264" s="4562">
        <f>XLOOKUP(B1264,'_Sys|Line_Map'!$A:$A,'_Sys|Line_Map'!$D:$D,1,0)</f>
        <v/>
      </c>
      <c r="K1264" s="4562">
        <f>IF(D1264="","",D1264*J1264)</f>
        <v/>
      </c>
      <c r="L1264" s="4562">
        <f>XLOOKUP(B1264,'_Sys|Line_Map'!$A:$A,'_Sys|Line_Map'!$B:$B,"MISSING",0)</f>
        <v/>
      </c>
    </row>
    <row r="1265">
      <c r="A1265" s="4561" t="n"/>
      <c r="B1265" s="4561" t="n"/>
      <c r="C1265" s="4561" t="n"/>
      <c r="D1265" s="4561" t="n"/>
      <c r="E1265" s="4561" t="n"/>
      <c r="F1265" s="4561" t="n"/>
      <c r="G1265" s="4561" t="n"/>
      <c r="H1265" s="4561" t="n"/>
      <c r="I1265" s="4562">
        <f>XLOOKUP(B1265,'_Sys|Line_Map'!$A:$A,'_Sys|Line_Map'!$C:$C,"MISSING",0)</f>
        <v/>
      </c>
      <c r="J1265" s="4562">
        <f>XLOOKUP(B1265,'_Sys|Line_Map'!$A:$A,'_Sys|Line_Map'!$D:$D,1,0)</f>
        <v/>
      </c>
      <c r="K1265" s="4562">
        <f>IF(D1265="","",D1265*J1265)</f>
        <v/>
      </c>
      <c r="L1265" s="4562">
        <f>XLOOKUP(B1265,'_Sys|Line_Map'!$A:$A,'_Sys|Line_Map'!$B:$B,"MISSING",0)</f>
        <v/>
      </c>
    </row>
    <row r="1266">
      <c r="A1266" s="4561" t="n"/>
      <c r="B1266" s="4561" t="n"/>
      <c r="C1266" s="4561" t="n"/>
      <c r="D1266" s="4561" t="n"/>
      <c r="E1266" s="4561" t="n"/>
      <c r="F1266" s="4561" t="n"/>
      <c r="G1266" s="4561" t="n"/>
      <c r="H1266" s="4561" t="n"/>
      <c r="I1266" s="4562">
        <f>XLOOKUP(B1266,'_Sys|Line_Map'!$A:$A,'_Sys|Line_Map'!$C:$C,"MISSING",0)</f>
        <v/>
      </c>
      <c r="J1266" s="4562">
        <f>XLOOKUP(B1266,'_Sys|Line_Map'!$A:$A,'_Sys|Line_Map'!$D:$D,1,0)</f>
        <v/>
      </c>
      <c r="K1266" s="4562">
        <f>IF(D1266="","",D1266*J1266)</f>
        <v/>
      </c>
      <c r="L1266" s="4562">
        <f>XLOOKUP(B1266,'_Sys|Line_Map'!$A:$A,'_Sys|Line_Map'!$B:$B,"MISSING",0)</f>
        <v/>
      </c>
    </row>
    <row r="1267">
      <c r="A1267" s="4561" t="n"/>
      <c r="B1267" s="4561" t="n"/>
      <c r="C1267" s="4561" t="n"/>
      <c r="D1267" s="4561" t="n"/>
      <c r="E1267" s="4561" t="n"/>
      <c r="F1267" s="4561" t="n"/>
      <c r="G1267" s="4561" t="n"/>
      <c r="H1267" s="4561" t="n"/>
      <c r="I1267" s="4562">
        <f>XLOOKUP(B1267,'_Sys|Line_Map'!$A:$A,'_Sys|Line_Map'!$C:$C,"MISSING",0)</f>
        <v/>
      </c>
      <c r="J1267" s="4562">
        <f>XLOOKUP(B1267,'_Sys|Line_Map'!$A:$A,'_Sys|Line_Map'!$D:$D,1,0)</f>
        <v/>
      </c>
      <c r="K1267" s="4562">
        <f>IF(D1267="","",D1267*J1267)</f>
        <v/>
      </c>
      <c r="L1267" s="4562">
        <f>XLOOKUP(B1267,'_Sys|Line_Map'!$A:$A,'_Sys|Line_Map'!$B:$B,"MISSING",0)</f>
        <v/>
      </c>
    </row>
    <row r="1268">
      <c r="A1268" s="4561" t="n"/>
      <c r="B1268" s="4561" t="n"/>
      <c r="C1268" s="4561" t="n"/>
      <c r="D1268" s="4561" t="n"/>
      <c r="E1268" s="4561" t="n"/>
      <c r="F1268" s="4561" t="n"/>
      <c r="G1268" s="4561" t="n"/>
      <c r="H1268" s="4561" t="n"/>
      <c r="I1268" s="4562">
        <f>XLOOKUP(B1268,'_Sys|Line_Map'!$A:$A,'_Sys|Line_Map'!$C:$C,"MISSING",0)</f>
        <v/>
      </c>
      <c r="J1268" s="4562">
        <f>XLOOKUP(B1268,'_Sys|Line_Map'!$A:$A,'_Sys|Line_Map'!$D:$D,1,0)</f>
        <v/>
      </c>
      <c r="K1268" s="4562">
        <f>IF(D1268="","",D1268*J1268)</f>
        <v/>
      </c>
      <c r="L1268" s="4562">
        <f>XLOOKUP(B1268,'_Sys|Line_Map'!$A:$A,'_Sys|Line_Map'!$B:$B,"MISSING",0)</f>
        <v/>
      </c>
    </row>
    <row r="1269">
      <c r="A1269" s="4561" t="n"/>
      <c r="B1269" s="4561" t="n"/>
      <c r="C1269" s="4561" t="n"/>
      <c r="D1269" s="4561" t="n"/>
      <c r="E1269" s="4561" t="n"/>
      <c r="F1269" s="4561" t="n"/>
      <c r="G1269" s="4561" t="n"/>
      <c r="H1269" s="4561" t="n"/>
      <c r="I1269" s="4562">
        <f>XLOOKUP(B1269,'_Sys|Line_Map'!$A:$A,'_Sys|Line_Map'!$C:$C,"MISSING",0)</f>
        <v/>
      </c>
      <c r="J1269" s="4562">
        <f>XLOOKUP(B1269,'_Sys|Line_Map'!$A:$A,'_Sys|Line_Map'!$D:$D,1,0)</f>
        <v/>
      </c>
      <c r="K1269" s="4562">
        <f>IF(D1269="","",D1269*J1269)</f>
        <v/>
      </c>
      <c r="L1269" s="4562">
        <f>XLOOKUP(B1269,'_Sys|Line_Map'!$A:$A,'_Sys|Line_Map'!$B:$B,"MISSING",0)</f>
        <v/>
      </c>
    </row>
    <row r="1270">
      <c r="A1270" s="4561" t="n"/>
      <c r="B1270" s="4561" t="n"/>
      <c r="C1270" s="4561" t="n"/>
      <c r="D1270" s="4561" t="n"/>
      <c r="E1270" s="4561" t="n"/>
      <c r="F1270" s="4561" t="n"/>
      <c r="G1270" s="4561" t="n"/>
      <c r="H1270" s="4561" t="n"/>
      <c r="I1270" s="4562">
        <f>XLOOKUP(B1270,'_Sys|Line_Map'!$A:$A,'_Sys|Line_Map'!$C:$C,"MISSING",0)</f>
        <v/>
      </c>
      <c r="J1270" s="4562">
        <f>XLOOKUP(B1270,'_Sys|Line_Map'!$A:$A,'_Sys|Line_Map'!$D:$D,1,0)</f>
        <v/>
      </c>
      <c r="K1270" s="4562">
        <f>IF(D1270="","",D1270*J1270)</f>
        <v/>
      </c>
      <c r="L1270" s="4562">
        <f>XLOOKUP(B1270,'_Sys|Line_Map'!$A:$A,'_Sys|Line_Map'!$B:$B,"MISSING",0)</f>
        <v/>
      </c>
    </row>
    <row r="1271">
      <c r="A1271" s="4561" t="n"/>
      <c r="B1271" s="4561" t="n"/>
      <c r="C1271" s="4561" t="n"/>
      <c r="D1271" s="4561" t="n"/>
      <c r="E1271" s="4561" t="n"/>
      <c r="F1271" s="4561" t="n"/>
      <c r="G1271" s="4561" t="n"/>
      <c r="H1271" s="4561" t="n"/>
      <c r="I1271" s="4562">
        <f>XLOOKUP(B1271,'_Sys|Line_Map'!$A:$A,'_Sys|Line_Map'!$C:$C,"MISSING",0)</f>
        <v/>
      </c>
      <c r="J1271" s="4562">
        <f>XLOOKUP(B1271,'_Sys|Line_Map'!$A:$A,'_Sys|Line_Map'!$D:$D,1,0)</f>
        <v/>
      </c>
      <c r="K1271" s="4562">
        <f>IF(D1271="","",D1271*J1271)</f>
        <v/>
      </c>
      <c r="L1271" s="4562">
        <f>XLOOKUP(B1271,'_Sys|Line_Map'!$A:$A,'_Sys|Line_Map'!$B:$B,"MISSING",0)</f>
        <v/>
      </c>
    </row>
    <row r="1272">
      <c r="A1272" s="4561" t="n"/>
      <c r="B1272" s="4561" t="n"/>
      <c r="C1272" s="4561" t="n"/>
      <c r="D1272" s="4561" t="n"/>
      <c r="E1272" s="4561" t="n"/>
      <c r="F1272" s="4561" t="n"/>
      <c r="G1272" s="4561" t="n"/>
      <c r="H1272" s="4561" t="n"/>
      <c r="I1272" s="4562">
        <f>XLOOKUP(B1272,'_Sys|Line_Map'!$A:$A,'_Sys|Line_Map'!$C:$C,"MISSING",0)</f>
        <v/>
      </c>
      <c r="J1272" s="4562">
        <f>XLOOKUP(B1272,'_Sys|Line_Map'!$A:$A,'_Sys|Line_Map'!$D:$D,1,0)</f>
        <v/>
      </c>
      <c r="K1272" s="4562">
        <f>IF(D1272="","",D1272*J1272)</f>
        <v/>
      </c>
      <c r="L1272" s="4562">
        <f>XLOOKUP(B1272,'_Sys|Line_Map'!$A:$A,'_Sys|Line_Map'!$B:$B,"MISSING",0)</f>
        <v/>
      </c>
    </row>
    <row r="1273">
      <c r="A1273" s="4561" t="n"/>
      <c r="B1273" s="4561" t="n"/>
      <c r="C1273" s="4561" t="n"/>
      <c r="D1273" s="4561" t="n"/>
      <c r="E1273" s="4561" t="n"/>
      <c r="F1273" s="4561" t="n"/>
      <c r="G1273" s="4561" t="n"/>
      <c r="H1273" s="4561" t="n"/>
      <c r="I1273" s="4562">
        <f>XLOOKUP(B1273,'_Sys|Line_Map'!$A:$A,'_Sys|Line_Map'!$C:$C,"MISSING",0)</f>
        <v/>
      </c>
      <c r="J1273" s="4562">
        <f>XLOOKUP(B1273,'_Sys|Line_Map'!$A:$A,'_Sys|Line_Map'!$D:$D,1,0)</f>
        <v/>
      </c>
      <c r="K1273" s="4562">
        <f>IF(D1273="","",D1273*J1273)</f>
        <v/>
      </c>
      <c r="L1273" s="4562">
        <f>XLOOKUP(B1273,'_Sys|Line_Map'!$A:$A,'_Sys|Line_Map'!$B:$B,"MISSING",0)</f>
        <v/>
      </c>
    </row>
    <row r="1274">
      <c r="A1274" s="4561" t="n"/>
      <c r="B1274" s="4561" t="n"/>
      <c r="C1274" s="4561" t="n"/>
      <c r="D1274" s="4561" t="n"/>
      <c r="E1274" s="4561" t="n"/>
      <c r="F1274" s="4561" t="n"/>
      <c r="G1274" s="4561" t="n"/>
      <c r="H1274" s="4561" t="n"/>
      <c r="I1274" s="4562">
        <f>XLOOKUP(B1274,'_Sys|Line_Map'!$A:$A,'_Sys|Line_Map'!$C:$C,"MISSING",0)</f>
        <v/>
      </c>
      <c r="J1274" s="4562">
        <f>XLOOKUP(B1274,'_Sys|Line_Map'!$A:$A,'_Sys|Line_Map'!$D:$D,1,0)</f>
        <v/>
      </c>
      <c r="K1274" s="4562">
        <f>IF(D1274="","",D1274*J1274)</f>
        <v/>
      </c>
      <c r="L1274" s="4562">
        <f>XLOOKUP(B1274,'_Sys|Line_Map'!$A:$A,'_Sys|Line_Map'!$B:$B,"MISSING",0)</f>
        <v/>
      </c>
    </row>
    <row r="1275">
      <c r="A1275" s="4561" t="n"/>
      <c r="B1275" s="4561" t="n"/>
      <c r="C1275" s="4561" t="n"/>
      <c r="D1275" s="4561" t="n"/>
      <c r="E1275" s="4561" t="n"/>
      <c r="F1275" s="4561" t="n"/>
      <c r="G1275" s="4561" t="n"/>
      <c r="H1275" s="4561" t="n"/>
      <c r="I1275" s="4562">
        <f>XLOOKUP(B1275,'_Sys|Line_Map'!$A:$A,'_Sys|Line_Map'!$C:$C,"MISSING",0)</f>
        <v/>
      </c>
      <c r="J1275" s="4562">
        <f>XLOOKUP(B1275,'_Sys|Line_Map'!$A:$A,'_Sys|Line_Map'!$D:$D,1,0)</f>
        <v/>
      </c>
      <c r="K1275" s="4562">
        <f>IF(D1275="","",D1275*J1275)</f>
        <v/>
      </c>
      <c r="L1275" s="4562">
        <f>XLOOKUP(B1275,'_Sys|Line_Map'!$A:$A,'_Sys|Line_Map'!$B:$B,"MISSING",0)</f>
        <v/>
      </c>
    </row>
    <row r="1276">
      <c r="A1276" s="4561" t="n"/>
      <c r="B1276" s="4561" t="n"/>
      <c r="C1276" s="4561" t="n"/>
      <c r="D1276" s="4561" t="n"/>
      <c r="E1276" s="4561" t="n"/>
      <c r="F1276" s="4561" t="n"/>
      <c r="G1276" s="4561" t="n"/>
      <c r="H1276" s="4561" t="n"/>
      <c r="I1276" s="4562">
        <f>XLOOKUP(B1276,'_Sys|Line_Map'!$A:$A,'_Sys|Line_Map'!$C:$C,"MISSING",0)</f>
        <v/>
      </c>
      <c r="J1276" s="4562">
        <f>XLOOKUP(B1276,'_Sys|Line_Map'!$A:$A,'_Sys|Line_Map'!$D:$D,1,0)</f>
        <v/>
      </c>
      <c r="K1276" s="4562">
        <f>IF(D1276="","",D1276*J1276)</f>
        <v/>
      </c>
      <c r="L1276" s="4562">
        <f>XLOOKUP(B1276,'_Sys|Line_Map'!$A:$A,'_Sys|Line_Map'!$B:$B,"MISSING",0)</f>
        <v/>
      </c>
    </row>
    <row r="1277">
      <c r="A1277" s="4561" t="n"/>
      <c r="B1277" s="4561" t="n"/>
      <c r="C1277" s="4561" t="n"/>
      <c r="D1277" s="4561" t="n"/>
      <c r="E1277" s="4561" t="n"/>
      <c r="F1277" s="4561" t="n"/>
      <c r="G1277" s="4561" t="n"/>
      <c r="H1277" s="4561" t="n"/>
      <c r="I1277" s="4562">
        <f>XLOOKUP(B1277,'_Sys|Line_Map'!$A:$A,'_Sys|Line_Map'!$C:$C,"MISSING",0)</f>
        <v/>
      </c>
      <c r="J1277" s="4562">
        <f>XLOOKUP(B1277,'_Sys|Line_Map'!$A:$A,'_Sys|Line_Map'!$D:$D,1,0)</f>
        <v/>
      </c>
      <c r="K1277" s="4562">
        <f>IF(D1277="","",D1277*J1277)</f>
        <v/>
      </c>
      <c r="L1277" s="4562">
        <f>XLOOKUP(B1277,'_Sys|Line_Map'!$A:$A,'_Sys|Line_Map'!$B:$B,"MISSING",0)</f>
        <v/>
      </c>
    </row>
    <row r="1278">
      <c r="A1278" s="4561" t="n"/>
      <c r="B1278" s="4561" t="n"/>
      <c r="C1278" s="4561" t="n"/>
      <c r="D1278" s="4561" t="n"/>
      <c r="E1278" s="4561" t="n"/>
      <c r="F1278" s="4561" t="n"/>
      <c r="G1278" s="4561" t="n"/>
      <c r="H1278" s="4561" t="n"/>
      <c r="I1278" s="4562">
        <f>XLOOKUP(B1278,'_Sys|Line_Map'!$A:$A,'_Sys|Line_Map'!$C:$C,"MISSING",0)</f>
        <v/>
      </c>
      <c r="J1278" s="4562">
        <f>XLOOKUP(B1278,'_Sys|Line_Map'!$A:$A,'_Sys|Line_Map'!$D:$D,1,0)</f>
        <v/>
      </c>
      <c r="K1278" s="4562">
        <f>IF(D1278="","",D1278*J1278)</f>
        <v/>
      </c>
      <c r="L1278" s="4562">
        <f>XLOOKUP(B1278,'_Sys|Line_Map'!$A:$A,'_Sys|Line_Map'!$B:$B,"MISSING",0)</f>
        <v/>
      </c>
    </row>
    <row r="1279">
      <c r="A1279" s="4561" t="n"/>
      <c r="B1279" s="4561" t="n"/>
      <c r="C1279" s="4561" t="n"/>
      <c r="D1279" s="4561" t="n"/>
      <c r="E1279" s="4561" t="n"/>
      <c r="F1279" s="4561" t="n"/>
      <c r="G1279" s="4561" t="n"/>
      <c r="H1279" s="4561" t="n"/>
      <c r="I1279" s="4562">
        <f>XLOOKUP(B1279,'_Sys|Line_Map'!$A:$A,'_Sys|Line_Map'!$C:$C,"MISSING",0)</f>
        <v/>
      </c>
      <c r="J1279" s="4562">
        <f>XLOOKUP(B1279,'_Sys|Line_Map'!$A:$A,'_Sys|Line_Map'!$D:$D,1,0)</f>
        <v/>
      </c>
      <c r="K1279" s="4562">
        <f>IF(D1279="","",D1279*J1279)</f>
        <v/>
      </c>
      <c r="L1279" s="4562">
        <f>XLOOKUP(B1279,'_Sys|Line_Map'!$A:$A,'_Sys|Line_Map'!$B:$B,"MISSING",0)</f>
        <v/>
      </c>
    </row>
    <row r="1280">
      <c r="A1280" s="4561" t="n"/>
      <c r="B1280" s="4561" t="n"/>
      <c r="C1280" s="4561" t="n"/>
      <c r="D1280" s="4561" t="n"/>
      <c r="E1280" s="4561" t="n"/>
      <c r="F1280" s="4561" t="n"/>
      <c r="G1280" s="4561" t="n"/>
      <c r="H1280" s="4561" t="n"/>
      <c r="I1280" s="4562">
        <f>XLOOKUP(B1280,'_Sys|Line_Map'!$A:$A,'_Sys|Line_Map'!$C:$C,"MISSING",0)</f>
        <v/>
      </c>
      <c r="J1280" s="4562">
        <f>XLOOKUP(B1280,'_Sys|Line_Map'!$A:$A,'_Sys|Line_Map'!$D:$D,1,0)</f>
        <v/>
      </c>
      <c r="K1280" s="4562">
        <f>IF(D1280="","",D1280*J1280)</f>
        <v/>
      </c>
      <c r="L1280" s="4562">
        <f>XLOOKUP(B1280,'_Sys|Line_Map'!$A:$A,'_Sys|Line_Map'!$B:$B,"MISSING",0)</f>
        <v/>
      </c>
    </row>
    <row r="1281">
      <c r="A1281" s="4561" t="n"/>
      <c r="B1281" s="4561" t="n"/>
      <c r="C1281" s="4561" t="n"/>
      <c r="D1281" s="4561" t="n"/>
      <c r="E1281" s="4561" t="n"/>
      <c r="F1281" s="4561" t="n"/>
      <c r="G1281" s="4561" t="n"/>
      <c r="H1281" s="4561" t="n"/>
      <c r="I1281" s="4562">
        <f>XLOOKUP(B1281,'_Sys|Line_Map'!$A:$A,'_Sys|Line_Map'!$C:$C,"MISSING",0)</f>
        <v/>
      </c>
      <c r="J1281" s="4562">
        <f>XLOOKUP(B1281,'_Sys|Line_Map'!$A:$A,'_Sys|Line_Map'!$D:$D,1,0)</f>
        <v/>
      </c>
      <c r="K1281" s="4562">
        <f>IF(D1281="","",D1281*J1281)</f>
        <v/>
      </c>
      <c r="L1281" s="4562">
        <f>XLOOKUP(B1281,'_Sys|Line_Map'!$A:$A,'_Sys|Line_Map'!$B:$B,"MISSING",0)</f>
        <v/>
      </c>
    </row>
    <row r="1282">
      <c r="A1282" s="4561" t="n"/>
      <c r="B1282" s="4561" t="n"/>
      <c r="C1282" s="4561" t="n"/>
      <c r="D1282" s="4561" t="n"/>
      <c r="E1282" s="4561" t="n"/>
      <c r="F1282" s="4561" t="n"/>
      <c r="G1282" s="4561" t="n"/>
      <c r="H1282" s="4561" t="n"/>
      <c r="I1282" s="4562">
        <f>XLOOKUP(B1282,'_Sys|Line_Map'!$A:$A,'_Sys|Line_Map'!$C:$C,"MISSING",0)</f>
        <v/>
      </c>
      <c r="J1282" s="4562">
        <f>XLOOKUP(B1282,'_Sys|Line_Map'!$A:$A,'_Sys|Line_Map'!$D:$D,1,0)</f>
        <v/>
      </c>
      <c r="K1282" s="4562">
        <f>IF(D1282="","",D1282*J1282)</f>
        <v/>
      </c>
      <c r="L1282" s="4562">
        <f>XLOOKUP(B1282,'_Sys|Line_Map'!$A:$A,'_Sys|Line_Map'!$B:$B,"MISSING",0)</f>
        <v/>
      </c>
    </row>
    <row r="1283">
      <c r="A1283" s="4561" t="n"/>
      <c r="B1283" s="4561" t="n"/>
      <c r="C1283" s="4561" t="n"/>
      <c r="D1283" s="4561" t="n"/>
      <c r="E1283" s="4561" t="n"/>
      <c r="F1283" s="4561" t="n"/>
      <c r="G1283" s="4561" t="n"/>
      <c r="H1283" s="4561" t="n"/>
      <c r="I1283" s="4562">
        <f>XLOOKUP(B1283,'_Sys|Line_Map'!$A:$A,'_Sys|Line_Map'!$C:$C,"MISSING",0)</f>
        <v/>
      </c>
      <c r="J1283" s="4562">
        <f>XLOOKUP(B1283,'_Sys|Line_Map'!$A:$A,'_Sys|Line_Map'!$D:$D,1,0)</f>
        <v/>
      </c>
      <c r="K1283" s="4562">
        <f>IF(D1283="","",D1283*J1283)</f>
        <v/>
      </c>
      <c r="L1283" s="4562">
        <f>XLOOKUP(B1283,'_Sys|Line_Map'!$A:$A,'_Sys|Line_Map'!$B:$B,"MISSING",0)</f>
        <v/>
      </c>
    </row>
    <row r="1284">
      <c r="A1284" s="4561" t="n"/>
      <c r="B1284" s="4561" t="n"/>
      <c r="C1284" s="4561" t="n"/>
      <c r="D1284" s="4561" t="n"/>
      <c r="E1284" s="4561" t="n"/>
      <c r="F1284" s="4561" t="n"/>
      <c r="G1284" s="4561" t="n"/>
      <c r="H1284" s="4561" t="n"/>
      <c r="I1284" s="4562">
        <f>XLOOKUP(B1284,'_Sys|Line_Map'!$A:$A,'_Sys|Line_Map'!$C:$C,"MISSING",0)</f>
        <v/>
      </c>
      <c r="J1284" s="4562">
        <f>XLOOKUP(B1284,'_Sys|Line_Map'!$A:$A,'_Sys|Line_Map'!$D:$D,1,0)</f>
        <v/>
      </c>
      <c r="K1284" s="4562">
        <f>IF(D1284="","",D1284*J1284)</f>
        <v/>
      </c>
      <c r="L1284" s="4562">
        <f>XLOOKUP(B1284,'_Sys|Line_Map'!$A:$A,'_Sys|Line_Map'!$B:$B,"MISSING",0)</f>
        <v/>
      </c>
    </row>
    <row r="1285">
      <c r="A1285" s="4561" t="n"/>
      <c r="B1285" s="4561" t="n"/>
      <c r="C1285" s="4561" t="n"/>
      <c r="D1285" s="4561" t="n"/>
      <c r="E1285" s="4561" t="n"/>
      <c r="F1285" s="4561" t="n"/>
      <c r="G1285" s="4561" t="n"/>
      <c r="H1285" s="4561" t="n"/>
      <c r="I1285" s="4562">
        <f>XLOOKUP(B1285,'_Sys|Line_Map'!$A:$A,'_Sys|Line_Map'!$C:$C,"MISSING",0)</f>
        <v/>
      </c>
      <c r="J1285" s="4562">
        <f>XLOOKUP(B1285,'_Sys|Line_Map'!$A:$A,'_Sys|Line_Map'!$D:$D,1,0)</f>
        <v/>
      </c>
      <c r="K1285" s="4562">
        <f>IF(D1285="","",D1285*J1285)</f>
        <v/>
      </c>
      <c r="L1285" s="4562">
        <f>XLOOKUP(B1285,'_Sys|Line_Map'!$A:$A,'_Sys|Line_Map'!$B:$B,"MISSING",0)</f>
        <v/>
      </c>
    </row>
    <row r="1286">
      <c r="A1286" s="4561" t="n"/>
      <c r="B1286" s="4561" t="n"/>
      <c r="C1286" s="4561" t="n"/>
      <c r="D1286" s="4561" t="n"/>
      <c r="E1286" s="4561" t="n"/>
      <c r="F1286" s="4561" t="n"/>
      <c r="G1286" s="4561" t="n"/>
      <c r="H1286" s="4561" t="n"/>
      <c r="I1286" s="4562">
        <f>XLOOKUP(B1286,'_Sys|Line_Map'!$A:$A,'_Sys|Line_Map'!$C:$C,"MISSING",0)</f>
        <v/>
      </c>
      <c r="J1286" s="4562">
        <f>XLOOKUP(B1286,'_Sys|Line_Map'!$A:$A,'_Sys|Line_Map'!$D:$D,1,0)</f>
        <v/>
      </c>
      <c r="K1286" s="4562">
        <f>IF(D1286="","",D1286*J1286)</f>
        <v/>
      </c>
      <c r="L1286" s="4562">
        <f>XLOOKUP(B1286,'_Sys|Line_Map'!$A:$A,'_Sys|Line_Map'!$B:$B,"MISSING",0)</f>
        <v/>
      </c>
    </row>
    <row r="1287">
      <c r="A1287" s="4561" t="n"/>
      <c r="B1287" s="4561" t="n"/>
      <c r="C1287" s="4561" t="n"/>
      <c r="D1287" s="4561" t="n"/>
      <c r="E1287" s="4561" t="n"/>
      <c r="F1287" s="4561" t="n"/>
      <c r="G1287" s="4561" t="n"/>
      <c r="H1287" s="4561" t="n"/>
      <c r="I1287" s="4562">
        <f>XLOOKUP(B1287,'_Sys|Line_Map'!$A:$A,'_Sys|Line_Map'!$C:$C,"MISSING",0)</f>
        <v/>
      </c>
      <c r="J1287" s="4562">
        <f>XLOOKUP(B1287,'_Sys|Line_Map'!$A:$A,'_Sys|Line_Map'!$D:$D,1,0)</f>
        <v/>
      </c>
      <c r="K1287" s="4562">
        <f>IF(D1287="","",D1287*J1287)</f>
        <v/>
      </c>
      <c r="L1287" s="4562">
        <f>XLOOKUP(B1287,'_Sys|Line_Map'!$A:$A,'_Sys|Line_Map'!$B:$B,"MISSING",0)</f>
        <v/>
      </c>
    </row>
    <row r="1288">
      <c r="A1288" s="4561" t="n"/>
      <c r="B1288" s="4561" t="n"/>
      <c r="C1288" s="4561" t="n"/>
      <c r="D1288" s="4561" t="n"/>
      <c r="E1288" s="4561" t="n"/>
      <c r="F1288" s="4561" t="n"/>
      <c r="G1288" s="4561" t="n"/>
      <c r="H1288" s="4561" t="n"/>
      <c r="I1288" s="4562">
        <f>XLOOKUP(B1288,'_Sys|Line_Map'!$A:$A,'_Sys|Line_Map'!$C:$C,"MISSING",0)</f>
        <v/>
      </c>
      <c r="J1288" s="4562">
        <f>XLOOKUP(B1288,'_Sys|Line_Map'!$A:$A,'_Sys|Line_Map'!$D:$D,1,0)</f>
        <v/>
      </c>
      <c r="K1288" s="4562">
        <f>IF(D1288="","",D1288*J1288)</f>
        <v/>
      </c>
      <c r="L1288" s="4562">
        <f>XLOOKUP(B1288,'_Sys|Line_Map'!$A:$A,'_Sys|Line_Map'!$B:$B,"MISSING",0)</f>
        <v/>
      </c>
    </row>
    <row r="1289">
      <c r="A1289" s="4561" t="n"/>
      <c r="B1289" s="4561" t="n"/>
      <c r="C1289" s="4561" t="n"/>
      <c r="D1289" s="4561" t="n"/>
      <c r="E1289" s="4561" t="n"/>
      <c r="F1289" s="4561" t="n"/>
      <c r="G1289" s="4561" t="n"/>
      <c r="H1289" s="4561" t="n"/>
      <c r="I1289" s="4562">
        <f>XLOOKUP(B1289,'_Sys|Line_Map'!$A:$A,'_Sys|Line_Map'!$C:$C,"MISSING",0)</f>
        <v/>
      </c>
      <c r="J1289" s="4562">
        <f>XLOOKUP(B1289,'_Sys|Line_Map'!$A:$A,'_Sys|Line_Map'!$D:$D,1,0)</f>
        <v/>
      </c>
      <c r="K1289" s="4562">
        <f>IF(D1289="","",D1289*J1289)</f>
        <v/>
      </c>
      <c r="L1289" s="4562">
        <f>XLOOKUP(B1289,'_Sys|Line_Map'!$A:$A,'_Sys|Line_Map'!$B:$B,"MISSING",0)</f>
        <v/>
      </c>
    </row>
    <row r="1290">
      <c r="A1290" s="4561" t="n"/>
      <c r="B1290" s="4561" t="n"/>
      <c r="C1290" s="4561" t="n"/>
      <c r="D1290" s="4561" t="n"/>
      <c r="E1290" s="4561" t="n"/>
      <c r="F1290" s="4561" t="n"/>
      <c r="G1290" s="4561" t="n"/>
      <c r="H1290" s="4561" t="n"/>
      <c r="I1290" s="4562">
        <f>XLOOKUP(B1290,'_Sys|Line_Map'!$A:$A,'_Sys|Line_Map'!$C:$C,"MISSING",0)</f>
        <v/>
      </c>
      <c r="J1290" s="4562">
        <f>XLOOKUP(B1290,'_Sys|Line_Map'!$A:$A,'_Sys|Line_Map'!$D:$D,1,0)</f>
        <v/>
      </c>
      <c r="K1290" s="4562">
        <f>IF(D1290="","",D1290*J1290)</f>
        <v/>
      </c>
      <c r="L1290" s="4562">
        <f>XLOOKUP(B1290,'_Sys|Line_Map'!$A:$A,'_Sys|Line_Map'!$B:$B,"MISSING",0)</f>
        <v/>
      </c>
    </row>
    <row r="1291">
      <c r="A1291" s="4561" t="n"/>
      <c r="B1291" s="4561" t="n"/>
      <c r="C1291" s="4561" t="n"/>
      <c r="D1291" s="4561" t="n"/>
      <c r="E1291" s="4561" t="n"/>
      <c r="F1291" s="4561" t="n"/>
      <c r="G1291" s="4561" t="n"/>
      <c r="H1291" s="4561" t="n"/>
      <c r="I1291" s="4562">
        <f>XLOOKUP(B1291,'_Sys|Line_Map'!$A:$A,'_Sys|Line_Map'!$C:$C,"MISSING",0)</f>
        <v/>
      </c>
      <c r="J1291" s="4562">
        <f>XLOOKUP(B1291,'_Sys|Line_Map'!$A:$A,'_Sys|Line_Map'!$D:$D,1,0)</f>
        <v/>
      </c>
      <c r="K1291" s="4562">
        <f>IF(D1291="","",D1291*J1291)</f>
        <v/>
      </c>
      <c r="L1291" s="4562">
        <f>XLOOKUP(B1291,'_Sys|Line_Map'!$A:$A,'_Sys|Line_Map'!$B:$B,"MISSING",0)</f>
        <v/>
      </c>
    </row>
    <row r="1292">
      <c r="A1292" s="4561" t="n"/>
      <c r="B1292" s="4561" t="n"/>
      <c r="C1292" s="4561" t="n"/>
      <c r="D1292" s="4561" t="n"/>
      <c r="E1292" s="4561" t="n"/>
      <c r="F1292" s="4561" t="n"/>
      <c r="G1292" s="4561" t="n"/>
      <c r="H1292" s="4561" t="n"/>
      <c r="I1292" s="4562">
        <f>XLOOKUP(B1292,'_Sys|Line_Map'!$A:$A,'_Sys|Line_Map'!$C:$C,"MISSING",0)</f>
        <v/>
      </c>
      <c r="J1292" s="4562">
        <f>XLOOKUP(B1292,'_Sys|Line_Map'!$A:$A,'_Sys|Line_Map'!$D:$D,1,0)</f>
        <v/>
      </c>
      <c r="K1292" s="4562">
        <f>IF(D1292="","",D1292*J1292)</f>
        <v/>
      </c>
      <c r="L1292" s="4562">
        <f>XLOOKUP(B1292,'_Sys|Line_Map'!$A:$A,'_Sys|Line_Map'!$B:$B,"MISSING",0)</f>
        <v/>
      </c>
    </row>
    <row r="1293">
      <c r="A1293" s="4561" t="n"/>
      <c r="B1293" s="4561" t="n"/>
      <c r="C1293" s="4561" t="n"/>
      <c r="D1293" s="4561" t="n"/>
      <c r="E1293" s="4561" t="n"/>
      <c r="F1293" s="4561" t="n"/>
      <c r="G1293" s="4561" t="n"/>
      <c r="H1293" s="4561" t="n"/>
      <c r="I1293" s="4562">
        <f>XLOOKUP(B1293,'_Sys|Line_Map'!$A:$A,'_Sys|Line_Map'!$C:$C,"MISSING",0)</f>
        <v/>
      </c>
      <c r="J1293" s="4562">
        <f>XLOOKUP(B1293,'_Sys|Line_Map'!$A:$A,'_Sys|Line_Map'!$D:$D,1,0)</f>
        <v/>
      </c>
      <c r="K1293" s="4562">
        <f>IF(D1293="","",D1293*J1293)</f>
        <v/>
      </c>
      <c r="L1293" s="4562">
        <f>XLOOKUP(B1293,'_Sys|Line_Map'!$A:$A,'_Sys|Line_Map'!$B:$B,"MISSING",0)</f>
        <v/>
      </c>
    </row>
    <row r="1294">
      <c r="A1294" s="4561" t="n"/>
      <c r="B1294" s="4561" t="n"/>
      <c r="C1294" s="4561" t="n"/>
      <c r="D1294" s="4561" t="n"/>
      <c r="E1294" s="4561" t="n"/>
      <c r="F1294" s="4561" t="n"/>
      <c r="G1294" s="4561" t="n"/>
      <c r="H1294" s="4561" t="n"/>
      <c r="I1294" s="4562">
        <f>XLOOKUP(B1294,'_Sys|Line_Map'!$A:$A,'_Sys|Line_Map'!$C:$C,"MISSING",0)</f>
        <v/>
      </c>
      <c r="J1294" s="4562">
        <f>XLOOKUP(B1294,'_Sys|Line_Map'!$A:$A,'_Sys|Line_Map'!$D:$D,1,0)</f>
        <v/>
      </c>
      <c r="K1294" s="4562">
        <f>IF(D1294="","",D1294*J1294)</f>
        <v/>
      </c>
      <c r="L1294" s="4562">
        <f>XLOOKUP(B1294,'_Sys|Line_Map'!$A:$A,'_Sys|Line_Map'!$B:$B,"MISSING",0)</f>
        <v/>
      </c>
    </row>
    <row r="1295">
      <c r="A1295" s="4561" t="n"/>
      <c r="B1295" s="4561" t="n"/>
      <c r="C1295" s="4561" t="n"/>
      <c r="D1295" s="4561" t="n"/>
      <c r="E1295" s="4561" t="n"/>
      <c r="F1295" s="4561" t="n"/>
      <c r="G1295" s="4561" t="n"/>
      <c r="H1295" s="4561" t="n"/>
      <c r="I1295" s="4562">
        <f>XLOOKUP(B1295,'_Sys|Line_Map'!$A:$A,'_Sys|Line_Map'!$C:$C,"MISSING",0)</f>
        <v/>
      </c>
      <c r="J1295" s="4562">
        <f>XLOOKUP(B1295,'_Sys|Line_Map'!$A:$A,'_Sys|Line_Map'!$D:$D,1,0)</f>
        <v/>
      </c>
      <c r="K1295" s="4562">
        <f>IF(D1295="","",D1295*J1295)</f>
        <v/>
      </c>
      <c r="L1295" s="4562">
        <f>XLOOKUP(B1295,'_Sys|Line_Map'!$A:$A,'_Sys|Line_Map'!$B:$B,"MISSING",0)</f>
        <v/>
      </c>
    </row>
    <row r="1296">
      <c r="A1296" s="4561" t="n"/>
      <c r="B1296" s="4561" t="n"/>
      <c r="C1296" s="4561" t="n"/>
      <c r="D1296" s="4561" t="n"/>
      <c r="E1296" s="4561" t="n"/>
      <c r="F1296" s="4561" t="n"/>
      <c r="G1296" s="4561" t="n"/>
      <c r="H1296" s="4561" t="n"/>
      <c r="I1296" s="4562">
        <f>XLOOKUP(B1296,'_Sys|Line_Map'!$A:$A,'_Sys|Line_Map'!$C:$C,"MISSING",0)</f>
        <v/>
      </c>
      <c r="J1296" s="4562">
        <f>XLOOKUP(B1296,'_Sys|Line_Map'!$A:$A,'_Sys|Line_Map'!$D:$D,1,0)</f>
        <v/>
      </c>
      <c r="K1296" s="4562">
        <f>IF(D1296="","",D1296*J1296)</f>
        <v/>
      </c>
      <c r="L1296" s="4562">
        <f>XLOOKUP(B1296,'_Sys|Line_Map'!$A:$A,'_Sys|Line_Map'!$B:$B,"MISSING",0)</f>
        <v/>
      </c>
    </row>
    <row r="1297">
      <c r="A1297" s="4561" t="n"/>
      <c r="B1297" s="4561" t="n"/>
      <c r="C1297" s="4561" t="n"/>
      <c r="D1297" s="4561" t="n"/>
      <c r="E1297" s="4561" t="n"/>
      <c r="F1297" s="4561" t="n"/>
      <c r="G1297" s="4561" t="n"/>
      <c r="H1297" s="4561" t="n"/>
      <c r="I1297" s="4562">
        <f>XLOOKUP(B1297,'_Sys|Line_Map'!$A:$A,'_Sys|Line_Map'!$C:$C,"MISSING",0)</f>
        <v/>
      </c>
      <c r="J1297" s="4562">
        <f>XLOOKUP(B1297,'_Sys|Line_Map'!$A:$A,'_Sys|Line_Map'!$D:$D,1,0)</f>
        <v/>
      </c>
      <c r="K1297" s="4562">
        <f>IF(D1297="","",D1297*J1297)</f>
        <v/>
      </c>
      <c r="L1297" s="4562">
        <f>XLOOKUP(B1297,'_Sys|Line_Map'!$A:$A,'_Sys|Line_Map'!$B:$B,"MISSING",0)</f>
        <v/>
      </c>
    </row>
    <row r="1298">
      <c r="A1298" s="4561" t="n"/>
      <c r="B1298" s="4561" t="n"/>
      <c r="C1298" s="4561" t="n"/>
      <c r="D1298" s="4561" t="n"/>
      <c r="E1298" s="4561" t="n"/>
      <c r="F1298" s="4561" t="n"/>
      <c r="G1298" s="4561" t="n"/>
      <c r="H1298" s="4561" t="n"/>
      <c r="I1298" s="4562">
        <f>XLOOKUP(B1298,'_Sys|Line_Map'!$A:$A,'_Sys|Line_Map'!$C:$C,"MISSING",0)</f>
        <v/>
      </c>
      <c r="J1298" s="4562">
        <f>XLOOKUP(B1298,'_Sys|Line_Map'!$A:$A,'_Sys|Line_Map'!$D:$D,1,0)</f>
        <v/>
      </c>
      <c r="K1298" s="4562">
        <f>IF(D1298="","",D1298*J1298)</f>
        <v/>
      </c>
      <c r="L1298" s="4562">
        <f>XLOOKUP(B1298,'_Sys|Line_Map'!$A:$A,'_Sys|Line_Map'!$B:$B,"MISSING",0)</f>
        <v/>
      </c>
    </row>
    <row r="1299">
      <c r="A1299" s="4561" t="n"/>
      <c r="B1299" s="4561" t="n"/>
      <c r="C1299" s="4561" t="n"/>
      <c r="D1299" s="4561" t="n"/>
      <c r="E1299" s="4561" t="n"/>
      <c r="F1299" s="4561" t="n"/>
      <c r="G1299" s="4561" t="n"/>
      <c r="H1299" s="4561" t="n"/>
      <c r="I1299" s="4562">
        <f>XLOOKUP(B1299,'_Sys|Line_Map'!$A:$A,'_Sys|Line_Map'!$C:$C,"MISSING",0)</f>
        <v/>
      </c>
      <c r="J1299" s="4562">
        <f>XLOOKUP(B1299,'_Sys|Line_Map'!$A:$A,'_Sys|Line_Map'!$D:$D,1,0)</f>
        <v/>
      </c>
      <c r="K1299" s="4562">
        <f>IF(D1299="","",D1299*J1299)</f>
        <v/>
      </c>
      <c r="L1299" s="4562">
        <f>XLOOKUP(B1299,'_Sys|Line_Map'!$A:$A,'_Sys|Line_Map'!$B:$B,"MISSING",0)</f>
        <v/>
      </c>
    </row>
    <row r="1300">
      <c r="A1300" s="4561" t="n"/>
      <c r="B1300" s="4561" t="n"/>
      <c r="C1300" s="4561" t="n"/>
      <c r="D1300" s="4561" t="n"/>
      <c r="E1300" s="4561" t="n"/>
      <c r="F1300" s="4561" t="n"/>
      <c r="G1300" s="4561" t="n"/>
      <c r="H1300" s="4561" t="n"/>
      <c r="I1300" s="4562">
        <f>XLOOKUP(B1300,'_Sys|Line_Map'!$A:$A,'_Sys|Line_Map'!$C:$C,"MISSING",0)</f>
        <v/>
      </c>
      <c r="J1300" s="4562">
        <f>XLOOKUP(B1300,'_Sys|Line_Map'!$A:$A,'_Sys|Line_Map'!$D:$D,1,0)</f>
        <v/>
      </c>
      <c r="K1300" s="4562">
        <f>IF(D1300="","",D1300*J1300)</f>
        <v/>
      </c>
      <c r="L1300" s="4562">
        <f>XLOOKUP(B1300,'_Sys|Line_Map'!$A:$A,'_Sys|Line_Map'!$B:$B,"MISSING",0)</f>
        <v/>
      </c>
    </row>
    <row r="1301">
      <c r="A1301" s="4561" t="n"/>
      <c r="B1301" s="4561" t="n"/>
      <c r="C1301" s="4561" t="n"/>
      <c r="D1301" s="4561" t="n"/>
      <c r="E1301" s="4561" t="n"/>
      <c r="F1301" s="4561" t="n"/>
      <c r="G1301" s="4561" t="n"/>
      <c r="H1301" s="4561" t="n"/>
      <c r="I1301" s="4562">
        <f>XLOOKUP(B1301,'_Sys|Line_Map'!$A:$A,'_Sys|Line_Map'!$C:$C,"MISSING",0)</f>
        <v/>
      </c>
      <c r="J1301" s="4562">
        <f>XLOOKUP(B1301,'_Sys|Line_Map'!$A:$A,'_Sys|Line_Map'!$D:$D,1,0)</f>
        <v/>
      </c>
      <c r="K1301" s="4562">
        <f>IF(D1301="","",D1301*J1301)</f>
        <v/>
      </c>
      <c r="L1301" s="4562">
        <f>XLOOKUP(B1301,'_Sys|Line_Map'!$A:$A,'_Sys|Line_Map'!$B:$B,"MISSING",0)</f>
        <v/>
      </c>
    </row>
    <row r="1302">
      <c r="A1302" s="4561" t="n"/>
      <c r="B1302" s="4561" t="n"/>
      <c r="C1302" s="4561" t="n"/>
      <c r="D1302" s="4561" t="n"/>
      <c r="E1302" s="4561" t="n"/>
      <c r="F1302" s="4561" t="n"/>
      <c r="G1302" s="4561" t="n"/>
      <c r="H1302" s="4561" t="n"/>
      <c r="I1302" s="4562">
        <f>XLOOKUP(B1302,'_Sys|Line_Map'!$A:$A,'_Sys|Line_Map'!$C:$C,"MISSING",0)</f>
        <v/>
      </c>
      <c r="J1302" s="4562">
        <f>XLOOKUP(B1302,'_Sys|Line_Map'!$A:$A,'_Sys|Line_Map'!$D:$D,1,0)</f>
        <v/>
      </c>
      <c r="K1302" s="4562">
        <f>IF(D1302="","",D1302*J1302)</f>
        <v/>
      </c>
      <c r="L1302" s="4562">
        <f>XLOOKUP(B1302,'_Sys|Line_Map'!$A:$A,'_Sys|Line_Map'!$B:$B,"MISSING",0)</f>
        <v/>
      </c>
    </row>
    <row r="1303">
      <c r="A1303" s="4561" t="n"/>
      <c r="B1303" s="4561" t="n"/>
      <c r="C1303" s="4561" t="n"/>
      <c r="D1303" s="4561" t="n"/>
      <c r="E1303" s="4561" t="n"/>
      <c r="F1303" s="4561" t="n"/>
      <c r="G1303" s="4561" t="n"/>
      <c r="H1303" s="4561" t="n"/>
      <c r="I1303" s="4562">
        <f>XLOOKUP(B1303,'_Sys|Line_Map'!$A:$A,'_Sys|Line_Map'!$C:$C,"MISSING",0)</f>
        <v/>
      </c>
      <c r="J1303" s="4562">
        <f>XLOOKUP(B1303,'_Sys|Line_Map'!$A:$A,'_Sys|Line_Map'!$D:$D,1,0)</f>
        <v/>
      </c>
      <c r="K1303" s="4562">
        <f>IF(D1303="","",D1303*J1303)</f>
        <v/>
      </c>
      <c r="L1303" s="4562">
        <f>XLOOKUP(B1303,'_Sys|Line_Map'!$A:$A,'_Sys|Line_Map'!$B:$B,"MISSING",0)</f>
        <v/>
      </c>
    </row>
    <row r="1304">
      <c r="A1304" s="4561" t="n"/>
      <c r="B1304" s="4561" t="n"/>
      <c r="C1304" s="4561" t="n"/>
      <c r="D1304" s="4561" t="n"/>
      <c r="E1304" s="4561" t="n"/>
      <c r="F1304" s="4561" t="n"/>
      <c r="G1304" s="4561" t="n"/>
      <c r="H1304" s="4561" t="n"/>
      <c r="I1304" s="4562">
        <f>XLOOKUP(B1304,'_Sys|Line_Map'!$A:$A,'_Sys|Line_Map'!$C:$C,"MISSING",0)</f>
        <v/>
      </c>
      <c r="J1304" s="4562">
        <f>XLOOKUP(B1304,'_Sys|Line_Map'!$A:$A,'_Sys|Line_Map'!$D:$D,1,0)</f>
        <v/>
      </c>
      <c r="K1304" s="4562">
        <f>IF(D1304="","",D1304*J1304)</f>
        <v/>
      </c>
      <c r="L1304" s="4562">
        <f>XLOOKUP(B1304,'_Sys|Line_Map'!$A:$A,'_Sys|Line_Map'!$B:$B,"MISSING",0)</f>
        <v/>
      </c>
    </row>
    <row r="1305">
      <c r="A1305" s="4561" t="n"/>
      <c r="B1305" s="4561" t="n"/>
      <c r="C1305" s="4561" t="n"/>
      <c r="D1305" s="4561" t="n"/>
      <c r="E1305" s="4561" t="n"/>
      <c r="F1305" s="4561" t="n"/>
      <c r="G1305" s="4561" t="n"/>
      <c r="H1305" s="4561" t="n"/>
      <c r="I1305" s="4562">
        <f>XLOOKUP(B1305,'_Sys|Line_Map'!$A:$A,'_Sys|Line_Map'!$C:$C,"MISSING",0)</f>
        <v/>
      </c>
      <c r="J1305" s="4562">
        <f>XLOOKUP(B1305,'_Sys|Line_Map'!$A:$A,'_Sys|Line_Map'!$D:$D,1,0)</f>
        <v/>
      </c>
      <c r="K1305" s="4562">
        <f>IF(D1305="","",D1305*J1305)</f>
        <v/>
      </c>
      <c r="L1305" s="4562">
        <f>XLOOKUP(B1305,'_Sys|Line_Map'!$A:$A,'_Sys|Line_Map'!$B:$B,"MISSING",0)</f>
        <v/>
      </c>
    </row>
    <row r="1306">
      <c r="A1306" s="4561" t="n"/>
      <c r="B1306" s="4561" t="n"/>
      <c r="C1306" s="4561" t="n"/>
      <c r="D1306" s="4561" t="n"/>
      <c r="E1306" s="4561" t="n"/>
      <c r="F1306" s="4561" t="n"/>
      <c r="G1306" s="4561" t="n"/>
      <c r="H1306" s="4561" t="n"/>
      <c r="I1306" s="4562">
        <f>XLOOKUP(B1306,'_Sys|Line_Map'!$A:$A,'_Sys|Line_Map'!$C:$C,"MISSING",0)</f>
        <v/>
      </c>
      <c r="J1306" s="4562">
        <f>XLOOKUP(B1306,'_Sys|Line_Map'!$A:$A,'_Sys|Line_Map'!$D:$D,1,0)</f>
        <v/>
      </c>
      <c r="K1306" s="4562">
        <f>IF(D1306="","",D1306*J1306)</f>
        <v/>
      </c>
      <c r="L1306" s="4562">
        <f>XLOOKUP(B1306,'_Sys|Line_Map'!$A:$A,'_Sys|Line_Map'!$B:$B,"MISSING",0)</f>
        <v/>
      </c>
    </row>
    <row r="1307">
      <c r="A1307" s="4561" t="n"/>
      <c r="B1307" s="4561" t="n"/>
      <c r="C1307" s="4561" t="n"/>
      <c r="D1307" s="4561" t="n"/>
      <c r="E1307" s="4561" t="n"/>
      <c r="F1307" s="4561" t="n"/>
      <c r="G1307" s="4561" t="n"/>
      <c r="H1307" s="4561" t="n"/>
      <c r="I1307" s="4562">
        <f>XLOOKUP(B1307,'_Sys|Line_Map'!$A:$A,'_Sys|Line_Map'!$C:$C,"MISSING",0)</f>
        <v/>
      </c>
      <c r="J1307" s="4562">
        <f>XLOOKUP(B1307,'_Sys|Line_Map'!$A:$A,'_Sys|Line_Map'!$D:$D,1,0)</f>
        <v/>
      </c>
      <c r="K1307" s="4562">
        <f>IF(D1307="","",D1307*J1307)</f>
        <v/>
      </c>
      <c r="L1307" s="4562">
        <f>XLOOKUP(B1307,'_Sys|Line_Map'!$A:$A,'_Sys|Line_Map'!$B:$B,"MISSING",0)</f>
        <v/>
      </c>
    </row>
    <row r="1308">
      <c r="A1308" s="4561" t="n"/>
      <c r="B1308" s="4561" t="n"/>
      <c r="C1308" s="4561" t="n"/>
      <c r="D1308" s="4561" t="n"/>
      <c r="E1308" s="4561" t="n"/>
      <c r="F1308" s="4561" t="n"/>
      <c r="G1308" s="4561" t="n"/>
      <c r="H1308" s="4561" t="n"/>
      <c r="I1308" s="4562">
        <f>XLOOKUP(B1308,'_Sys|Line_Map'!$A:$A,'_Sys|Line_Map'!$C:$C,"MISSING",0)</f>
        <v/>
      </c>
      <c r="J1308" s="4562">
        <f>XLOOKUP(B1308,'_Sys|Line_Map'!$A:$A,'_Sys|Line_Map'!$D:$D,1,0)</f>
        <v/>
      </c>
      <c r="K1308" s="4562">
        <f>IF(D1308="","",D1308*J1308)</f>
        <v/>
      </c>
      <c r="L1308" s="4562">
        <f>XLOOKUP(B1308,'_Sys|Line_Map'!$A:$A,'_Sys|Line_Map'!$B:$B,"MISSING",0)</f>
        <v/>
      </c>
    </row>
    <row r="1309">
      <c r="A1309" s="4561" t="n"/>
      <c r="B1309" s="4561" t="n"/>
      <c r="C1309" s="4561" t="n"/>
      <c r="D1309" s="4561" t="n"/>
      <c r="E1309" s="4561" t="n"/>
      <c r="F1309" s="4561" t="n"/>
      <c r="G1309" s="4561" t="n"/>
      <c r="H1309" s="4561" t="n"/>
      <c r="I1309" s="4562">
        <f>XLOOKUP(B1309,'_Sys|Line_Map'!$A:$A,'_Sys|Line_Map'!$C:$C,"MISSING",0)</f>
        <v/>
      </c>
      <c r="J1309" s="4562">
        <f>XLOOKUP(B1309,'_Sys|Line_Map'!$A:$A,'_Sys|Line_Map'!$D:$D,1,0)</f>
        <v/>
      </c>
      <c r="K1309" s="4562">
        <f>IF(D1309="","",D1309*J1309)</f>
        <v/>
      </c>
      <c r="L1309" s="4562">
        <f>XLOOKUP(B1309,'_Sys|Line_Map'!$A:$A,'_Sys|Line_Map'!$B:$B,"MISSING",0)</f>
        <v/>
      </c>
    </row>
    <row r="1310">
      <c r="A1310" s="4561" t="n"/>
      <c r="B1310" s="4561" t="n"/>
      <c r="C1310" s="4561" t="n"/>
      <c r="D1310" s="4561" t="n"/>
      <c r="E1310" s="4561" t="n"/>
      <c r="F1310" s="4561" t="n"/>
      <c r="G1310" s="4561" t="n"/>
      <c r="H1310" s="4561" t="n"/>
      <c r="I1310" s="4562">
        <f>XLOOKUP(B1310,'_Sys|Line_Map'!$A:$A,'_Sys|Line_Map'!$C:$C,"MISSING",0)</f>
        <v/>
      </c>
      <c r="J1310" s="4562">
        <f>XLOOKUP(B1310,'_Sys|Line_Map'!$A:$A,'_Sys|Line_Map'!$D:$D,1,0)</f>
        <v/>
      </c>
      <c r="K1310" s="4562">
        <f>IF(D1310="","",D1310*J1310)</f>
        <v/>
      </c>
      <c r="L1310" s="4562">
        <f>XLOOKUP(B1310,'_Sys|Line_Map'!$A:$A,'_Sys|Line_Map'!$B:$B,"MISSING",0)</f>
        <v/>
      </c>
    </row>
    <row r="1311">
      <c r="A1311" s="4561" t="n"/>
      <c r="B1311" s="4561" t="n"/>
      <c r="C1311" s="4561" t="n"/>
      <c r="D1311" s="4561" t="n"/>
      <c r="E1311" s="4561" t="n"/>
      <c r="F1311" s="4561" t="n"/>
      <c r="G1311" s="4561" t="n"/>
      <c r="H1311" s="4561" t="n"/>
      <c r="I1311" s="4562">
        <f>XLOOKUP(B1311,'_Sys|Line_Map'!$A:$A,'_Sys|Line_Map'!$C:$C,"MISSING",0)</f>
        <v/>
      </c>
      <c r="J1311" s="4562">
        <f>XLOOKUP(B1311,'_Sys|Line_Map'!$A:$A,'_Sys|Line_Map'!$D:$D,1,0)</f>
        <v/>
      </c>
      <c r="K1311" s="4562">
        <f>IF(D1311="","",D1311*J1311)</f>
        <v/>
      </c>
      <c r="L1311" s="4562">
        <f>XLOOKUP(B1311,'_Sys|Line_Map'!$A:$A,'_Sys|Line_Map'!$B:$B,"MISSING",0)</f>
        <v/>
      </c>
    </row>
    <row r="1312">
      <c r="A1312" s="4561" t="n"/>
      <c r="B1312" s="4561" t="n"/>
      <c r="C1312" s="4561" t="n"/>
      <c r="D1312" s="4561" t="n"/>
      <c r="E1312" s="4561" t="n"/>
      <c r="F1312" s="4561" t="n"/>
      <c r="G1312" s="4561" t="n"/>
      <c r="H1312" s="4561" t="n"/>
      <c r="I1312" s="4562">
        <f>XLOOKUP(B1312,'_Sys|Line_Map'!$A:$A,'_Sys|Line_Map'!$C:$C,"MISSING",0)</f>
        <v/>
      </c>
      <c r="J1312" s="4562">
        <f>XLOOKUP(B1312,'_Sys|Line_Map'!$A:$A,'_Sys|Line_Map'!$D:$D,1,0)</f>
        <v/>
      </c>
      <c r="K1312" s="4562">
        <f>IF(D1312="","",D1312*J1312)</f>
        <v/>
      </c>
      <c r="L1312" s="4562">
        <f>XLOOKUP(B1312,'_Sys|Line_Map'!$A:$A,'_Sys|Line_Map'!$B:$B,"MISSING",0)</f>
        <v/>
      </c>
    </row>
    <row r="1313">
      <c r="A1313" s="4561" t="n"/>
      <c r="B1313" s="4561" t="n"/>
      <c r="C1313" s="4561" t="n"/>
      <c r="D1313" s="4561" t="n"/>
      <c r="E1313" s="4561" t="n"/>
      <c r="F1313" s="4561" t="n"/>
      <c r="G1313" s="4561" t="n"/>
      <c r="H1313" s="4561" t="n"/>
      <c r="I1313" s="4562">
        <f>XLOOKUP(B1313,'_Sys|Line_Map'!$A:$A,'_Sys|Line_Map'!$C:$C,"MISSING",0)</f>
        <v/>
      </c>
      <c r="J1313" s="4562">
        <f>XLOOKUP(B1313,'_Sys|Line_Map'!$A:$A,'_Sys|Line_Map'!$D:$D,1,0)</f>
        <v/>
      </c>
      <c r="K1313" s="4562">
        <f>IF(D1313="","",D1313*J1313)</f>
        <v/>
      </c>
      <c r="L1313" s="4562">
        <f>XLOOKUP(B1313,'_Sys|Line_Map'!$A:$A,'_Sys|Line_Map'!$B:$B,"MISSING",0)</f>
        <v/>
      </c>
    </row>
    <row r="1314">
      <c r="A1314" s="4561" t="n"/>
      <c r="B1314" s="4561" t="n"/>
      <c r="C1314" s="4561" t="n"/>
      <c r="D1314" s="4561" t="n"/>
      <c r="E1314" s="4561" t="n"/>
      <c r="F1314" s="4561" t="n"/>
      <c r="G1314" s="4561" t="n"/>
      <c r="H1314" s="4561" t="n"/>
      <c r="I1314" s="4562">
        <f>XLOOKUP(B1314,'_Sys|Line_Map'!$A:$A,'_Sys|Line_Map'!$C:$C,"MISSING",0)</f>
        <v/>
      </c>
      <c r="J1314" s="4562">
        <f>XLOOKUP(B1314,'_Sys|Line_Map'!$A:$A,'_Sys|Line_Map'!$D:$D,1,0)</f>
        <v/>
      </c>
      <c r="K1314" s="4562">
        <f>IF(D1314="","",D1314*J1314)</f>
        <v/>
      </c>
      <c r="L1314" s="4562">
        <f>XLOOKUP(B1314,'_Sys|Line_Map'!$A:$A,'_Sys|Line_Map'!$B:$B,"MISSING",0)</f>
        <v/>
      </c>
    </row>
    <row r="1315">
      <c r="A1315" s="4561" t="n"/>
      <c r="B1315" s="4561" t="n"/>
      <c r="C1315" s="4561" t="n"/>
      <c r="D1315" s="4561" t="n"/>
      <c r="E1315" s="4561" t="n"/>
      <c r="F1315" s="4561" t="n"/>
      <c r="G1315" s="4561" t="n"/>
      <c r="H1315" s="4561" t="n"/>
      <c r="I1315" s="4562">
        <f>XLOOKUP(B1315,'_Sys|Line_Map'!$A:$A,'_Sys|Line_Map'!$C:$C,"MISSING",0)</f>
        <v/>
      </c>
      <c r="J1315" s="4562">
        <f>XLOOKUP(B1315,'_Sys|Line_Map'!$A:$A,'_Sys|Line_Map'!$D:$D,1,0)</f>
        <v/>
      </c>
      <c r="K1315" s="4562">
        <f>IF(D1315="","",D1315*J1315)</f>
        <v/>
      </c>
      <c r="L1315" s="4562">
        <f>XLOOKUP(B1315,'_Sys|Line_Map'!$A:$A,'_Sys|Line_Map'!$B:$B,"MISSING",0)</f>
        <v/>
      </c>
    </row>
    <row r="1316">
      <c r="A1316" s="4561" t="n"/>
      <c r="B1316" s="4561" t="n"/>
      <c r="C1316" s="4561" t="n"/>
      <c r="D1316" s="4561" t="n"/>
      <c r="E1316" s="4561" t="n"/>
      <c r="F1316" s="4561" t="n"/>
      <c r="G1316" s="4561" t="n"/>
      <c r="H1316" s="4561" t="n"/>
      <c r="I1316" s="4562">
        <f>XLOOKUP(B1316,'_Sys|Line_Map'!$A:$A,'_Sys|Line_Map'!$C:$C,"MISSING",0)</f>
        <v/>
      </c>
      <c r="J1316" s="4562">
        <f>XLOOKUP(B1316,'_Sys|Line_Map'!$A:$A,'_Sys|Line_Map'!$D:$D,1,0)</f>
        <v/>
      </c>
      <c r="K1316" s="4562">
        <f>IF(D1316="","",D1316*J1316)</f>
        <v/>
      </c>
      <c r="L1316" s="4562">
        <f>XLOOKUP(B1316,'_Sys|Line_Map'!$A:$A,'_Sys|Line_Map'!$B:$B,"MISSING",0)</f>
        <v/>
      </c>
    </row>
    <row r="1317">
      <c r="A1317" s="4561" t="n"/>
      <c r="B1317" s="4561" t="n"/>
      <c r="C1317" s="4561" t="n"/>
      <c r="D1317" s="4561" t="n"/>
      <c r="E1317" s="4561" t="n"/>
      <c r="F1317" s="4561" t="n"/>
      <c r="G1317" s="4561" t="n"/>
      <c r="H1317" s="4561" t="n"/>
      <c r="I1317" s="4562">
        <f>XLOOKUP(B1317,'_Sys|Line_Map'!$A:$A,'_Sys|Line_Map'!$C:$C,"MISSING",0)</f>
        <v/>
      </c>
      <c r="J1317" s="4562">
        <f>XLOOKUP(B1317,'_Sys|Line_Map'!$A:$A,'_Sys|Line_Map'!$D:$D,1,0)</f>
        <v/>
      </c>
      <c r="K1317" s="4562">
        <f>IF(D1317="","",D1317*J1317)</f>
        <v/>
      </c>
      <c r="L1317" s="4562">
        <f>XLOOKUP(B1317,'_Sys|Line_Map'!$A:$A,'_Sys|Line_Map'!$B:$B,"MISSING",0)</f>
        <v/>
      </c>
    </row>
    <row r="1318">
      <c r="A1318" s="4561" t="n"/>
      <c r="B1318" s="4561" t="n"/>
      <c r="C1318" s="4561" t="n"/>
      <c r="D1318" s="4561" t="n"/>
      <c r="E1318" s="4561" t="n"/>
      <c r="F1318" s="4561" t="n"/>
      <c r="G1318" s="4561" t="n"/>
      <c r="H1318" s="4561" t="n"/>
      <c r="I1318" s="4562">
        <f>XLOOKUP(B1318,'_Sys|Line_Map'!$A:$A,'_Sys|Line_Map'!$C:$C,"MISSING",0)</f>
        <v/>
      </c>
      <c r="J1318" s="4562">
        <f>XLOOKUP(B1318,'_Sys|Line_Map'!$A:$A,'_Sys|Line_Map'!$D:$D,1,0)</f>
        <v/>
      </c>
      <c r="K1318" s="4562">
        <f>IF(D1318="","",D1318*J1318)</f>
        <v/>
      </c>
      <c r="L1318" s="4562">
        <f>XLOOKUP(B1318,'_Sys|Line_Map'!$A:$A,'_Sys|Line_Map'!$B:$B,"MISSING",0)</f>
        <v/>
      </c>
    </row>
    <row r="1319">
      <c r="A1319" s="4561" t="n"/>
      <c r="B1319" s="4561" t="n"/>
      <c r="C1319" s="4561" t="n"/>
      <c r="D1319" s="4561" t="n"/>
      <c r="E1319" s="4561" t="n"/>
      <c r="F1319" s="4561" t="n"/>
      <c r="G1319" s="4561" t="n"/>
      <c r="H1319" s="4561" t="n"/>
      <c r="I1319" s="4562">
        <f>XLOOKUP(B1319,'_Sys|Line_Map'!$A:$A,'_Sys|Line_Map'!$C:$C,"MISSING",0)</f>
        <v/>
      </c>
      <c r="J1319" s="4562">
        <f>XLOOKUP(B1319,'_Sys|Line_Map'!$A:$A,'_Sys|Line_Map'!$D:$D,1,0)</f>
        <v/>
      </c>
      <c r="K1319" s="4562">
        <f>IF(D1319="","",D1319*J1319)</f>
        <v/>
      </c>
      <c r="L1319" s="4562">
        <f>XLOOKUP(B1319,'_Sys|Line_Map'!$A:$A,'_Sys|Line_Map'!$B:$B,"MISSING",0)</f>
        <v/>
      </c>
    </row>
    <row r="1320">
      <c r="A1320" s="4561" t="n"/>
      <c r="B1320" s="4561" t="n"/>
      <c r="C1320" s="4561" t="n"/>
      <c r="D1320" s="4561" t="n"/>
      <c r="E1320" s="4561" t="n"/>
      <c r="F1320" s="4561" t="n"/>
      <c r="G1320" s="4561" t="n"/>
      <c r="H1320" s="4561" t="n"/>
      <c r="I1320" s="4562">
        <f>XLOOKUP(B1320,'_Sys|Line_Map'!$A:$A,'_Sys|Line_Map'!$C:$C,"MISSING",0)</f>
        <v/>
      </c>
      <c r="J1320" s="4562">
        <f>XLOOKUP(B1320,'_Sys|Line_Map'!$A:$A,'_Sys|Line_Map'!$D:$D,1,0)</f>
        <v/>
      </c>
      <c r="K1320" s="4562">
        <f>IF(D1320="","",D1320*J1320)</f>
        <v/>
      </c>
      <c r="L1320" s="4562">
        <f>XLOOKUP(B1320,'_Sys|Line_Map'!$A:$A,'_Sys|Line_Map'!$B:$B,"MISSING",0)</f>
        <v/>
      </c>
    </row>
    <row r="1321">
      <c r="A1321" s="4561" t="n"/>
      <c r="B1321" s="4561" t="n"/>
      <c r="C1321" s="4561" t="n"/>
      <c r="D1321" s="4561" t="n"/>
      <c r="E1321" s="4561" t="n"/>
      <c r="F1321" s="4561" t="n"/>
      <c r="G1321" s="4561" t="n"/>
      <c r="H1321" s="4561" t="n"/>
      <c r="I1321" s="4562">
        <f>XLOOKUP(B1321,'_Sys|Line_Map'!$A:$A,'_Sys|Line_Map'!$C:$C,"MISSING",0)</f>
        <v/>
      </c>
      <c r="J1321" s="4562">
        <f>XLOOKUP(B1321,'_Sys|Line_Map'!$A:$A,'_Sys|Line_Map'!$D:$D,1,0)</f>
        <v/>
      </c>
      <c r="K1321" s="4562">
        <f>IF(D1321="","",D1321*J1321)</f>
        <v/>
      </c>
      <c r="L1321" s="4562">
        <f>XLOOKUP(B1321,'_Sys|Line_Map'!$A:$A,'_Sys|Line_Map'!$B:$B,"MISSING",0)</f>
        <v/>
      </c>
    </row>
    <row r="1322">
      <c r="A1322" s="4561" t="n"/>
      <c r="B1322" s="4561" t="n"/>
      <c r="C1322" s="4561" t="n"/>
      <c r="D1322" s="4561" t="n"/>
      <c r="E1322" s="4561" t="n"/>
      <c r="F1322" s="4561" t="n"/>
      <c r="G1322" s="4561" t="n"/>
      <c r="H1322" s="4561" t="n"/>
      <c r="I1322" s="4562">
        <f>XLOOKUP(B1322,'_Sys|Line_Map'!$A:$A,'_Sys|Line_Map'!$C:$C,"MISSING",0)</f>
        <v/>
      </c>
      <c r="J1322" s="4562">
        <f>XLOOKUP(B1322,'_Sys|Line_Map'!$A:$A,'_Sys|Line_Map'!$D:$D,1,0)</f>
        <v/>
      </c>
      <c r="K1322" s="4562">
        <f>IF(D1322="","",D1322*J1322)</f>
        <v/>
      </c>
      <c r="L1322" s="4562">
        <f>XLOOKUP(B1322,'_Sys|Line_Map'!$A:$A,'_Sys|Line_Map'!$B:$B,"MISSING",0)</f>
        <v/>
      </c>
    </row>
    <row r="1323">
      <c r="A1323" s="4561" t="n"/>
      <c r="B1323" s="4561" t="n"/>
      <c r="C1323" s="4561" t="n"/>
      <c r="D1323" s="4561" t="n"/>
      <c r="E1323" s="4561" t="n"/>
      <c r="F1323" s="4561" t="n"/>
      <c r="G1323" s="4561" t="n"/>
      <c r="H1323" s="4561" t="n"/>
      <c r="I1323" s="4562">
        <f>XLOOKUP(B1323,'_Sys|Line_Map'!$A:$A,'_Sys|Line_Map'!$C:$C,"MISSING",0)</f>
        <v/>
      </c>
      <c r="J1323" s="4562">
        <f>XLOOKUP(B1323,'_Sys|Line_Map'!$A:$A,'_Sys|Line_Map'!$D:$D,1,0)</f>
        <v/>
      </c>
      <c r="K1323" s="4562">
        <f>IF(D1323="","",D1323*J1323)</f>
        <v/>
      </c>
      <c r="L1323" s="4562">
        <f>XLOOKUP(B1323,'_Sys|Line_Map'!$A:$A,'_Sys|Line_Map'!$B:$B,"MISSING",0)</f>
        <v/>
      </c>
    </row>
    <row r="1324">
      <c r="A1324" s="4561" t="n"/>
      <c r="B1324" s="4561" t="n"/>
      <c r="C1324" s="4561" t="n"/>
      <c r="D1324" s="4561" t="n"/>
      <c r="E1324" s="4561" t="n"/>
      <c r="F1324" s="4561" t="n"/>
      <c r="G1324" s="4561" t="n"/>
      <c r="H1324" s="4561" t="n"/>
      <c r="I1324" s="4562">
        <f>XLOOKUP(B1324,'_Sys|Line_Map'!$A:$A,'_Sys|Line_Map'!$C:$C,"MISSING",0)</f>
        <v/>
      </c>
      <c r="J1324" s="4562">
        <f>XLOOKUP(B1324,'_Sys|Line_Map'!$A:$A,'_Sys|Line_Map'!$D:$D,1,0)</f>
        <v/>
      </c>
      <c r="K1324" s="4562">
        <f>IF(D1324="","",D1324*J1324)</f>
        <v/>
      </c>
      <c r="L1324" s="4562">
        <f>XLOOKUP(B1324,'_Sys|Line_Map'!$A:$A,'_Sys|Line_Map'!$B:$B,"MISSING",0)</f>
        <v/>
      </c>
    </row>
    <row r="1325">
      <c r="A1325" s="4561" t="n"/>
      <c r="B1325" s="4561" t="n"/>
      <c r="C1325" s="4561" t="n"/>
      <c r="D1325" s="4561" t="n"/>
      <c r="E1325" s="4561" t="n"/>
      <c r="F1325" s="4561" t="n"/>
      <c r="G1325" s="4561" t="n"/>
      <c r="H1325" s="4561" t="n"/>
      <c r="I1325" s="4562">
        <f>XLOOKUP(B1325,'_Sys|Line_Map'!$A:$A,'_Sys|Line_Map'!$C:$C,"MISSING",0)</f>
        <v/>
      </c>
      <c r="J1325" s="4562">
        <f>XLOOKUP(B1325,'_Sys|Line_Map'!$A:$A,'_Sys|Line_Map'!$D:$D,1,0)</f>
        <v/>
      </c>
      <c r="K1325" s="4562">
        <f>IF(D1325="","",D1325*J1325)</f>
        <v/>
      </c>
      <c r="L1325" s="4562">
        <f>XLOOKUP(B1325,'_Sys|Line_Map'!$A:$A,'_Sys|Line_Map'!$B:$B,"MISSING",0)</f>
        <v/>
      </c>
    </row>
    <row r="1326">
      <c r="A1326" s="4561" t="n"/>
      <c r="B1326" s="4561" t="n"/>
      <c r="C1326" s="4561" t="n"/>
      <c r="D1326" s="4561" t="n"/>
      <c r="E1326" s="4561" t="n"/>
      <c r="F1326" s="4561" t="n"/>
      <c r="G1326" s="4561" t="n"/>
      <c r="H1326" s="4561" t="n"/>
      <c r="I1326" s="4562">
        <f>XLOOKUP(B1326,'_Sys|Line_Map'!$A:$A,'_Sys|Line_Map'!$C:$C,"MISSING",0)</f>
        <v/>
      </c>
      <c r="J1326" s="4562">
        <f>XLOOKUP(B1326,'_Sys|Line_Map'!$A:$A,'_Sys|Line_Map'!$D:$D,1,0)</f>
        <v/>
      </c>
      <c r="K1326" s="4562">
        <f>IF(D1326="","",D1326*J1326)</f>
        <v/>
      </c>
      <c r="L1326" s="4562">
        <f>XLOOKUP(B1326,'_Sys|Line_Map'!$A:$A,'_Sys|Line_Map'!$B:$B,"MISSING",0)</f>
        <v/>
      </c>
    </row>
    <row r="1327">
      <c r="A1327" s="4561" t="n"/>
      <c r="B1327" s="4561" t="n"/>
      <c r="C1327" s="4561" t="n"/>
      <c r="D1327" s="4561" t="n"/>
      <c r="E1327" s="4561" t="n"/>
      <c r="F1327" s="4561" t="n"/>
      <c r="G1327" s="4561" t="n"/>
      <c r="H1327" s="4561" t="n"/>
      <c r="I1327" s="4562">
        <f>XLOOKUP(B1327,'_Sys|Line_Map'!$A:$A,'_Sys|Line_Map'!$C:$C,"MISSING",0)</f>
        <v/>
      </c>
      <c r="J1327" s="4562">
        <f>XLOOKUP(B1327,'_Sys|Line_Map'!$A:$A,'_Sys|Line_Map'!$D:$D,1,0)</f>
        <v/>
      </c>
      <c r="K1327" s="4562">
        <f>IF(D1327="","",D1327*J1327)</f>
        <v/>
      </c>
      <c r="L1327" s="4562">
        <f>XLOOKUP(B1327,'_Sys|Line_Map'!$A:$A,'_Sys|Line_Map'!$B:$B,"MISSING",0)</f>
        <v/>
      </c>
    </row>
    <row r="1328">
      <c r="A1328" s="4561" t="n"/>
      <c r="B1328" s="4561" t="n"/>
      <c r="C1328" s="4561" t="n"/>
      <c r="D1328" s="4561" t="n"/>
      <c r="E1328" s="4561" t="n"/>
      <c r="F1328" s="4561" t="n"/>
      <c r="G1328" s="4561" t="n"/>
      <c r="H1328" s="4561" t="n"/>
      <c r="I1328" s="4562">
        <f>XLOOKUP(B1328,'_Sys|Line_Map'!$A:$A,'_Sys|Line_Map'!$C:$C,"MISSING",0)</f>
        <v/>
      </c>
      <c r="J1328" s="4562">
        <f>XLOOKUP(B1328,'_Sys|Line_Map'!$A:$A,'_Sys|Line_Map'!$D:$D,1,0)</f>
        <v/>
      </c>
      <c r="K1328" s="4562">
        <f>IF(D1328="","",D1328*J1328)</f>
        <v/>
      </c>
      <c r="L1328" s="4562">
        <f>XLOOKUP(B1328,'_Sys|Line_Map'!$A:$A,'_Sys|Line_Map'!$B:$B,"MISSING",0)</f>
        <v/>
      </c>
    </row>
    <row r="1329">
      <c r="A1329" s="4561" t="n"/>
      <c r="B1329" s="4561" t="n"/>
      <c r="C1329" s="4561" t="n"/>
      <c r="D1329" s="4561" t="n"/>
      <c r="E1329" s="4561" t="n"/>
      <c r="F1329" s="4561" t="n"/>
      <c r="G1329" s="4561" t="n"/>
      <c r="H1329" s="4561" t="n"/>
      <c r="I1329" s="4562">
        <f>XLOOKUP(B1329,'_Sys|Line_Map'!$A:$A,'_Sys|Line_Map'!$C:$C,"MISSING",0)</f>
        <v/>
      </c>
      <c r="J1329" s="4562">
        <f>XLOOKUP(B1329,'_Sys|Line_Map'!$A:$A,'_Sys|Line_Map'!$D:$D,1,0)</f>
        <v/>
      </c>
      <c r="K1329" s="4562">
        <f>IF(D1329="","",D1329*J1329)</f>
        <v/>
      </c>
      <c r="L1329" s="4562">
        <f>XLOOKUP(B1329,'_Sys|Line_Map'!$A:$A,'_Sys|Line_Map'!$B:$B,"MISSING",0)</f>
        <v/>
      </c>
    </row>
    <row r="1330">
      <c r="A1330" s="4561" t="n"/>
      <c r="B1330" s="4561" t="n"/>
      <c r="C1330" s="4561" t="n"/>
      <c r="D1330" s="4561" t="n"/>
      <c r="E1330" s="4561" t="n"/>
      <c r="F1330" s="4561" t="n"/>
      <c r="G1330" s="4561" t="n"/>
      <c r="H1330" s="4561" t="n"/>
      <c r="I1330" s="4562">
        <f>XLOOKUP(B1330,'_Sys|Line_Map'!$A:$A,'_Sys|Line_Map'!$C:$C,"MISSING",0)</f>
        <v/>
      </c>
      <c r="J1330" s="4562">
        <f>XLOOKUP(B1330,'_Sys|Line_Map'!$A:$A,'_Sys|Line_Map'!$D:$D,1,0)</f>
        <v/>
      </c>
      <c r="K1330" s="4562">
        <f>IF(D1330="","",D1330*J1330)</f>
        <v/>
      </c>
      <c r="L1330" s="4562">
        <f>XLOOKUP(B1330,'_Sys|Line_Map'!$A:$A,'_Sys|Line_Map'!$B:$B,"MISSING",0)</f>
        <v/>
      </c>
    </row>
    <row r="1331">
      <c r="A1331" s="4561" t="n"/>
      <c r="B1331" s="4561" t="n"/>
      <c r="C1331" s="4561" t="n"/>
      <c r="D1331" s="4561" t="n"/>
      <c r="E1331" s="4561" t="n"/>
      <c r="F1331" s="4561" t="n"/>
      <c r="G1331" s="4561" t="n"/>
      <c r="H1331" s="4561" t="n"/>
      <c r="I1331" s="4562">
        <f>XLOOKUP(B1331,'_Sys|Line_Map'!$A:$A,'_Sys|Line_Map'!$C:$C,"MISSING",0)</f>
        <v/>
      </c>
      <c r="J1331" s="4562">
        <f>XLOOKUP(B1331,'_Sys|Line_Map'!$A:$A,'_Sys|Line_Map'!$D:$D,1,0)</f>
        <v/>
      </c>
      <c r="K1331" s="4562">
        <f>IF(D1331="","",D1331*J1331)</f>
        <v/>
      </c>
      <c r="L1331" s="4562">
        <f>XLOOKUP(B1331,'_Sys|Line_Map'!$A:$A,'_Sys|Line_Map'!$B:$B,"MISSING",0)</f>
        <v/>
      </c>
    </row>
    <row r="1332">
      <c r="A1332" s="4561" t="n"/>
      <c r="B1332" s="4561" t="n"/>
      <c r="C1332" s="4561" t="n"/>
      <c r="D1332" s="4561" t="n"/>
      <c r="E1332" s="4561" t="n"/>
      <c r="F1332" s="4561" t="n"/>
      <c r="G1332" s="4561" t="n"/>
      <c r="H1332" s="4561" t="n"/>
      <c r="I1332" s="4562">
        <f>XLOOKUP(B1332,'_Sys|Line_Map'!$A:$A,'_Sys|Line_Map'!$C:$C,"MISSING",0)</f>
        <v/>
      </c>
      <c r="J1332" s="4562">
        <f>XLOOKUP(B1332,'_Sys|Line_Map'!$A:$A,'_Sys|Line_Map'!$D:$D,1,0)</f>
        <v/>
      </c>
      <c r="K1332" s="4562">
        <f>IF(D1332="","",D1332*J1332)</f>
        <v/>
      </c>
      <c r="L1332" s="4562">
        <f>XLOOKUP(B1332,'_Sys|Line_Map'!$A:$A,'_Sys|Line_Map'!$B:$B,"MISSING",0)</f>
        <v/>
      </c>
    </row>
    <row r="1333">
      <c r="A1333" s="4561" t="n"/>
      <c r="B1333" s="4561" t="n"/>
      <c r="C1333" s="4561" t="n"/>
      <c r="D1333" s="4561" t="n"/>
      <c r="E1333" s="4561" t="n"/>
      <c r="F1333" s="4561" t="n"/>
      <c r="G1333" s="4561" t="n"/>
      <c r="H1333" s="4561" t="n"/>
      <c r="I1333" s="4562">
        <f>XLOOKUP(B1333,'_Sys|Line_Map'!$A:$A,'_Sys|Line_Map'!$C:$C,"MISSING",0)</f>
        <v/>
      </c>
      <c r="J1333" s="4562">
        <f>XLOOKUP(B1333,'_Sys|Line_Map'!$A:$A,'_Sys|Line_Map'!$D:$D,1,0)</f>
        <v/>
      </c>
      <c r="K1333" s="4562">
        <f>IF(D1333="","",D1333*J1333)</f>
        <v/>
      </c>
      <c r="L1333" s="4562">
        <f>XLOOKUP(B1333,'_Sys|Line_Map'!$A:$A,'_Sys|Line_Map'!$B:$B,"MISSING",0)</f>
        <v/>
      </c>
    </row>
    <row r="1334">
      <c r="A1334" s="4561" t="n"/>
      <c r="B1334" s="4561" t="n"/>
      <c r="C1334" s="4561" t="n"/>
      <c r="D1334" s="4561" t="n"/>
      <c r="E1334" s="4561" t="n"/>
      <c r="F1334" s="4561" t="n"/>
      <c r="G1334" s="4561" t="n"/>
      <c r="H1334" s="4561" t="n"/>
      <c r="I1334" s="4562">
        <f>XLOOKUP(B1334,'_Sys|Line_Map'!$A:$A,'_Sys|Line_Map'!$C:$C,"MISSING",0)</f>
        <v/>
      </c>
      <c r="J1334" s="4562">
        <f>XLOOKUP(B1334,'_Sys|Line_Map'!$A:$A,'_Sys|Line_Map'!$D:$D,1,0)</f>
        <v/>
      </c>
      <c r="K1334" s="4562">
        <f>IF(D1334="","",D1334*J1334)</f>
        <v/>
      </c>
      <c r="L1334" s="4562">
        <f>XLOOKUP(B1334,'_Sys|Line_Map'!$A:$A,'_Sys|Line_Map'!$B:$B,"MISSING",0)</f>
        <v/>
      </c>
    </row>
    <row r="1335">
      <c r="A1335" s="4561" t="n"/>
      <c r="B1335" s="4561" t="n"/>
      <c r="C1335" s="4561" t="n"/>
      <c r="D1335" s="4561" t="n"/>
      <c r="E1335" s="4561" t="n"/>
      <c r="F1335" s="4561" t="n"/>
      <c r="G1335" s="4561" t="n"/>
      <c r="H1335" s="4561" t="n"/>
      <c r="I1335" s="4562">
        <f>XLOOKUP(B1335,'_Sys|Line_Map'!$A:$A,'_Sys|Line_Map'!$C:$C,"MISSING",0)</f>
        <v/>
      </c>
      <c r="J1335" s="4562">
        <f>XLOOKUP(B1335,'_Sys|Line_Map'!$A:$A,'_Sys|Line_Map'!$D:$D,1,0)</f>
        <v/>
      </c>
      <c r="K1335" s="4562">
        <f>IF(D1335="","",D1335*J1335)</f>
        <v/>
      </c>
      <c r="L1335" s="4562">
        <f>XLOOKUP(B1335,'_Sys|Line_Map'!$A:$A,'_Sys|Line_Map'!$B:$B,"MISSING",0)</f>
        <v/>
      </c>
    </row>
    <row r="1336">
      <c r="A1336" s="4561" t="n"/>
      <c r="B1336" s="4561" t="n"/>
      <c r="C1336" s="4561" t="n"/>
      <c r="D1336" s="4561" t="n"/>
      <c r="E1336" s="4561" t="n"/>
      <c r="F1336" s="4561" t="n"/>
      <c r="G1336" s="4561" t="n"/>
      <c r="H1336" s="4561" t="n"/>
      <c r="I1336" s="4562">
        <f>XLOOKUP(B1336,'_Sys|Line_Map'!$A:$A,'_Sys|Line_Map'!$C:$C,"MISSING",0)</f>
        <v/>
      </c>
      <c r="J1336" s="4562">
        <f>XLOOKUP(B1336,'_Sys|Line_Map'!$A:$A,'_Sys|Line_Map'!$D:$D,1,0)</f>
        <v/>
      </c>
      <c r="K1336" s="4562">
        <f>IF(D1336="","",D1336*J1336)</f>
        <v/>
      </c>
      <c r="L1336" s="4562">
        <f>XLOOKUP(B1336,'_Sys|Line_Map'!$A:$A,'_Sys|Line_Map'!$B:$B,"MISSING",0)</f>
        <v/>
      </c>
    </row>
    <row r="1337">
      <c r="A1337" s="4561" t="n"/>
      <c r="B1337" s="4561" t="n"/>
      <c r="C1337" s="4561" t="n"/>
      <c r="D1337" s="4561" t="n"/>
      <c r="E1337" s="4561" t="n"/>
      <c r="F1337" s="4561" t="n"/>
      <c r="G1337" s="4561" t="n"/>
      <c r="H1337" s="4561" t="n"/>
      <c r="I1337" s="4562">
        <f>XLOOKUP(B1337,'_Sys|Line_Map'!$A:$A,'_Sys|Line_Map'!$C:$C,"MISSING",0)</f>
        <v/>
      </c>
      <c r="J1337" s="4562">
        <f>XLOOKUP(B1337,'_Sys|Line_Map'!$A:$A,'_Sys|Line_Map'!$D:$D,1,0)</f>
        <v/>
      </c>
      <c r="K1337" s="4562">
        <f>IF(D1337="","",D1337*J1337)</f>
        <v/>
      </c>
      <c r="L1337" s="4562">
        <f>XLOOKUP(B1337,'_Sys|Line_Map'!$A:$A,'_Sys|Line_Map'!$B:$B,"MISSING",0)</f>
        <v/>
      </c>
    </row>
    <row r="1338">
      <c r="A1338" s="4561" t="n"/>
      <c r="B1338" s="4561" t="n"/>
      <c r="C1338" s="4561" t="n"/>
      <c r="D1338" s="4561" t="n"/>
      <c r="E1338" s="4561" t="n"/>
      <c r="F1338" s="4561" t="n"/>
      <c r="G1338" s="4561" t="n"/>
      <c r="H1338" s="4561" t="n"/>
      <c r="I1338" s="4562">
        <f>XLOOKUP(B1338,'_Sys|Line_Map'!$A:$A,'_Sys|Line_Map'!$C:$C,"MISSING",0)</f>
        <v/>
      </c>
      <c r="J1338" s="4562">
        <f>XLOOKUP(B1338,'_Sys|Line_Map'!$A:$A,'_Sys|Line_Map'!$D:$D,1,0)</f>
        <v/>
      </c>
      <c r="K1338" s="4562">
        <f>IF(D1338="","",D1338*J1338)</f>
        <v/>
      </c>
      <c r="L1338" s="4562">
        <f>XLOOKUP(B1338,'_Sys|Line_Map'!$A:$A,'_Sys|Line_Map'!$B:$B,"MISSING",0)</f>
        <v/>
      </c>
    </row>
    <row r="1339">
      <c r="A1339" s="4561" t="n"/>
      <c r="B1339" s="4561" t="n"/>
      <c r="C1339" s="4561" t="n"/>
      <c r="D1339" s="4561" t="n"/>
      <c r="E1339" s="4561" t="n"/>
      <c r="F1339" s="4561" t="n"/>
      <c r="G1339" s="4561" t="n"/>
      <c r="H1339" s="4561" t="n"/>
      <c r="I1339" s="4562">
        <f>XLOOKUP(B1339,'_Sys|Line_Map'!$A:$A,'_Sys|Line_Map'!$C:$C,"MISSING",0)</f>
        <v/>
      </c>
      <c r="J1339" s="4562">
        <f>XLOOKUP(B1339,'_Sys|Line_Map'!$A:$A,'_Sys|Line_Map'!$D:$D,1,0)</f>
        <v/>
      </c>
      <c r="K1339" s="4562">
        <f>IF(D1339="","",D1339*J1339)</f>
        <v/>
      </c>
      <c r="L1339" s="4562">
        <f>XLOOKUP(B1339,'_Sys|Line_Map'!$A:$A,'_Sys|Line_Map'!$B:$B,"MISSING",0)</f>
        <v/>
      </c>
    </row>
    <row r="1340">
      <c r="A1340" s="4561" t="n"/>
      <c r="B1340" s="4561" t="n"/>
      <c r="C1340" s="4561" t="n"/>
      <c r="D1340" s="4561" t="n"/>
      <c r="E1340" s="4561" t="n"/>
      <c r="F1340" s="4561" t="n"/>
      <c r="G1340" s="4561" t="n"/>
      <c r="H1340" s="4561" t="n"/>
      <c r="I1340" s="4562">
        <f>XLOOKUP(B1340,'_Sys|Line_Map'!$A:$A,'_Sys|Line_Map'!$C:$C,"MISSING",0)</f>
        <v/>
      </c>
      <c r="J1340" s="4562">
        <f>XLOOKUP(B1340,'_Sys|Line_Map'!$A:$A,'_Sys|Line_Map'!$D:$D,1,0)</f>
        <v/>
      </c>
      <c r="K1340" s="4562">
        <f>IF(D1340="","",D1340*J1340)</f>
        <v/>
      </c>
      <c r="L1340" s="4562">
        <f>XLOOKUP(B1340,'_Sys|Line_Map'!$A:$A,'_Sys|Line_Map'!$B:$B,"MISSING",0)</f>
        <v/>
      </c>
    </row>
    <row r="1341">
      <c r="A1341" s="4561" t="n"/>
      <c r="B1341" s="4561" t="n"/>
      <c r="C1341" s="4561" t="n"/>
      <c r="D1341" s="4561" t="n"/>
      <c r="E1341" s="4561" t="n"/>
      <c r="F1341" s="4561" t="n"/>
      <c r="G1341" s="4561" t="n"/>
      <c r="H1341" s="4561" t="n"/>
      <c r="I1341" s="4562">
        <f>XLOOKUP(B1341,'_Sys|Line_Map'!$A:$A,'_Sys|Line_Map'!$C:$C,"MISSING",0)</f>
        <v/>
      </c>
      <c r="J1341" s="4562">
        <f>XLOOKUP(B1341,'_Sys|Line_Map'!$A:$A,'_Sys|Line_Map'!$D:$D,1,0)</f>
        <v/>
      </c>
      <c r="K1341" s="4562">
        <f>IF(D1341="","",D1341*J1341)</f>
        <v/>
      </c>
      <c r="L1341" s="4562">
        <f>XLOOKUP(B1341,'_Sys|Line_Map'!$A:$A,'_Sys|Line_Map'!$B:$B,"MISSING",0)</f>
        <v/>
      </c>
    </row>
    <row r="1342">
      <c r="A1342" s="4561" t="n"/>
      <c r="B1342" s="4561" t="n"/>
      <c r="C1342" s="4561" t="n"/>
      <c r="D1342" s="4561" t="n"/>
      <c r="E1342" s="4561" t="n"/>
      <c r="F1342" s="4561" t="n"/>
      <c r="G1342" s="4561" t="n"/>
      <c r="H1342" s="4561" t="n"/>
      <c r="I1342" s="4562">
        <f>XLOOKUP(B1342,'_Sys|Line_Map'!$A:$A,'_Sys|Line_Map'!$C:$C,"MISSING",0)</f>
        <v/>
      </c>
      <c r="J1342" s="4562">
        <f>XLOOKUP(B1342,'_Sys|Line_Map'!$A:$A,'_Sys|Line_Map'!$D:$D,1,0)</f>
        <v/>
      </c>
      <c r="K1342" s="4562">
        <f>IF(D1342="","",D1342*J1342)</f>
        <v/>
      </c>
      <c r="L1342" s="4562">
        <f>XLOOKUP(B1342,'_Sys|Line_Map'!$A:$A,'_Sys|Line_Map'!$B:$B,"MISSING",0)</f>
        <v/>
      </c>
    </row>
    <row r="1343">
      <c r="A1343" s="4561" t="n"/>
      <c r="B1343" s="4561" t="n"/>
      <c r="C1343" s="4561" t="n"/>
      <c r="D1343" s="4561" t="n"/>
      <c r="E1343" s="4561" t="n"/>
      <c r="F1343" s="4561" t="n"/>
      <c r="G1343" s="4561" t="n"/>
      <c r="H1343" s="4561" t="n"/>
      <c r="I1343" s="4562">
        <f>XLOOKUP(B1343,'_Sys|Line_Map'!$A:$A,'_Sys|Line_Map'!$C:$C,"MISSING",0)</f>
        <v/>
      </c>
      <c r="J1343" s="4562">
        <f>XLOOKUP(B1343,'_Sys|Line_Map'!$A:$A,'_Sys|Line_Map'!$D:$D,1,0)</f>
        <v/>
      </c>
      <c r="K1343" s="4562">
        <f>IF(D1343="","",D1343*J1343)</f>
        <v/>
      </c>
      <c r="L1343" s="4562">
        <f>XLOOKUP(B1343,'_Sys|Line_Map'!$A:$A,'_Sys|Line_Map'!$B:$B,"MISSING",0)</f>
        <v/>
      </c>
    </row>
    <row r="1344">
      <c r="A1344" s="4561" t="n"/>
      <c r="B1344" s="4561" t="n"/>
      <c r="C1344" s="4561" t="n"/>
      <c r="D1344" s="4561" t="n"/>
      <c r="E1344" s="4561" t="n"/>
      <c r="F1344" s="4561" t="n"/>
      <c r="G1344" s="4561" t="n"/>
      <c r="H1344" s="4561" t="n"/>
      <c r="I1344" s="4562">
        <f>XLOOKUP(B1344,'_Sys|Line_Map'!$A:$A,'_Sys|Line_Map'!$C:$C,"MISSING",0)</f>
        <v/>
      </c>
      <c r="J1344" s="4562">
        <f>XLOOKUP(B1344,'_Sys|Line_Map'!$A:$A,'_Sys|Line_Map'!$D:$D,1,0)</f>
        <v/>
      </c>
      <c r="K1344" s="4562">
        <f>IF(D1344="","",D1344*J1344)</f>
        <v/>
      </c>
      <c r="L1344" s="4562">
        <f>XLOOKUP(B1344,'_Sys|Line_Map'!$A:$A,'_Sys|Line_Map'!$B:$B,"MISSING",0)</f>
        <v/>
      </c>
    </row>
    <row r="1345">
      <c r="A1345" s="4561" t="n"/>
      <c r="B1345" s="4561" t="n"/>
      <c r="C1345" s="4561" t="n"/>
      <c r="D1345" s="4561" t="n"/>
      <c r="E1345" s="4561" t="n"/>
      <c r="F1345" s="4561" t="n"/>
      <c r="G1345" s="4561" t="n"/>
      <c r="H1345" s="4561" t="n"/>
      <c r="I1345" s="4562">
        <f>XLOOKUP(B1345,'_Sys|Line_Map'!$A:$A,'_Sys|Line_Map'!$C:$C,"MISSING",0)</f>
        <v/>
      </c>
      <c r="J1345" s="4562">
        <f>XLOOKUP(B1345,'_Sys|Line_Map'!$A:$A,'_Sys|Line_Map'!$D:$D,1,0)</f>
        <v/>
      </c>
      <c r="K1345" s="4562">
        <f>IF(D1345="","",D1345*J1345)</f>
        <v/>
      </c>
      <c r="L1345" s="4562">
        <f>XLOOKUP(B1345,'_Sys|Line_Map'!$A:$A,'_Sys|Line_Map'!$B:$B,"MISSING",0)</f>
        <v/>
      </c>
    </row>
    <row r="1346">
      <c r="A1346" s="4561" t="n"/>
      <c r="B1346" s="4561" t="n"/>
      <c r="C1346" s="4561" t="n"/>
      <c r="D1346" s="4561" t="n"/>
      <c r="E1346" s="4561" t="n"/>
      <c r="F1346" s="4561" t="n"/>
      <c r="G1346" s="4561" t="n"/>
      <c r="H1346" s="4561" t="n"/>
      <c r="I1346" s="4562">
        <f>XLOOKUP(B1346,'_Sys|Line_Map'!$A:$A,'_Sys|Line_Map'!$C:$C,"MISSING",0)</f>
        <v/>
      </c>
      <c r="J1346" s="4562">
        <f>XLOOKUP(B1346,'_Sys|Line_Map'!$A:$A,'_Sys|Line_Map'!$D:$D,1,0)</f>
        <v/>
      </c>
      <c r="K1346" s="4562">
        <f>IF(D1346="","",D1346*J1346)</f>
        <v/>
      </c>
      <c r="L1346" s="4562">
        <f>XLOOKUP(B1346,'_Sys|Line_Map'!$A:$A,'_Sys|Line_Map'!$B:$B,"MISSING",0)</f>
        <v/>
      </c>
    </row>
    <row r="1347">
      <c r="A1347" s="4561" t="n"/>
      <c r="B1347" s="4561" t="n"/>
      <c r="C1347" s="4561" t="n"/>
      <c r="D1347" s="4561" t="n"/>
      <c r="E1347" s="4561" t="n"/>
      <c r="F1347" s="4561" t="n"/>
      <c r="G1347" s="4561" t="n"/>
      <c r="H1347" s="4561" t="n"/>
      <c r="I1347" s="4562">
        <f>XLOOKUP(B1347,'_Sys|Line_Map'!$A:$A,'_Sys|Line_Map'!$C:$C,"MISSING",0)</f>
        <v/>
      </c>
      <c r="J1347" s="4562">
        <f>XLOOKUP(B1347,'_Sys|Line_Map'!$A:$A,'_Sys|Line_Map'!$D:$D,1,0)</f>
        <v/>
      </c>
      <c r="K1347" s="4562">
        <f>IF(D1347="","",D1347*J1347)</f>
        <v/>
      </c>
      <c r="L1347" s="4562">
        <f>XLOOKUP(B1347,'_Sys|Line_Map'!$A:$A,'_Sys|Line_Map'!$B:$B,"MISSING",0)</f>
        <v/>
      </c>
    </row>
    <row r="1348">
      <c r="A1348" s="4561" t="n"/>
      <c r="B1348" s="4561" t="n"/>
      <c r="C1348" s="4561" t="n"/>
      <c r="D1348" s="4561" t="n"/>
      <c r="E1348" s="4561" t="n"/>
      <c r="F1348" s="4561" t="n"/>
      <c r="G1348" s="4561" t="n"/>
      <c r="H1348" s="4561" t="n"/>
      <c r="I1348" s="4562">
        <f>XLOOKUP(B1348,'_Sys|Line_Map'!$A:$A,'_Sys|Line_Map'!$C:$C,"MISSING",0)</f>
        <v/>
      </c>
      <c r="J1348" s="4562">
        <f>XLOOKUP(B1348,'_Sys|Line_Map'!$A:$A,'_Sys|Line_Map'!$D:$D,1,0)</f>
        <v/>
      </c>
      <c r="K1348" s="4562">
        <f>IF(D1348="","",D1348*J1348)</f>
        <v/>
      </c>
      <c r="L1348" s="4562">
        <f>XLOOKUP(B1348,'_Sys|Line_Map'!$A:$A,'_Sys|Line_Map'!$B:$B,"MISSING",0)</f>
        <v/>
      </c>
    </row>
    <row r="1349">
      <c r="A1349" s="4561" t="n"/>
      <c r="B1349" s="4561" t="n"/>
      <c r="C1349" s="4561" t="n"/>
      <c r="D1349" s="4561" t="n"/>
      <c r="E1349" s="4561" t="n"/>
      <c r="F1349" s="4561" t="n"/>
      <c r="G1349" s="4561" t="n"/>
      <c r="H1349" s="4561" t="n"/>
      <c r="I1349" s="4562">
        <f>XLOOKUP(B1349,'_Sys|Line_Map'!$A:$A,'_Sys|Line_Map'!$C:$C,"MISSING",0)</f>
        <v/>
      </c>
      <c r="J1349" s="4562">
        <f>XLOOKUP(B1349,'_Sys|Line_Map'!$A:$A,'_Sys|Line_Map'!$D:$D,1,0)</f>
        <v/>
      </c>
      <c r="K1349" s="4562">
        <f>IF(D1349="","",D1349*J1349)</f>
        <v/>
      </c>
      <c r="L1349" s="4562">
        <f>XLOOKUP(B1349,'_Sys|Line_Map'!$A:$A,'_Sys|Line_Map'!$B:$B,"MISSING",0)</f>
        <v/>
      </c>
    </row>
    <row r="1350">
      <c r="A1350" s="4561" t="n"/>
      <c r="B1350" s="4561" t="n"/>
      <c r="C1350" s="4561" t="n"/>
      <c r="D1350" s="4561" t="n"/>
      <c r="E1350" s="4561" t="n"/>
      <c r="F1350" s="4561" t="n"/>
      <c r="G1350" s="4561" t="n"/>
      <c r="H1350" s="4561" t="n"/>
      <c r="I1350" s="4562">
        <f>XLOOKUP(B1350,'_Sys|Line_Map'!$A:$A,'_Sys|Line_Map'!$C:$C,"MISSING",0)</f>
        <v/>
      </c>
      <c r="J1350" s="4562">
        <f>XLOOKUP(B1350,'_Sys|Line_Map'!$A:$A,'_Sys|Line_Map'!$D:$D,1,0)</f>
        <v/>
      </c>
      <c r="K1350" s="4562">
        <f>IF(D1350="","",D1350*J1350)</f>
        <v/>
      </c>
      <c r="L1350" s="4562">
        <f>XLOOKUP(B1350,'_Sys|Line_Map'!$A:$A,'_Sys|Line_Map'!$B:$B,"MISSING",0)</f>
        <v/>
      </c>
    </row>
    <row r="1351">
      <c r="A1351" s="4561" t="n"/>
      <c r="B1351" s="4561" t="n"/>
      <c r="C1351" s="4561" t="n"/>
      <c r="D1351" s="4561" t="n"/>
      <c r="E1351" s="4561" t="n"/>
      <c r="F1351" s="4561" t="n"/>
      <c r="G1351" s="4561" t="n"/>
      <c r="H1351" s="4561" t="n"/>
      <c r="I1351" s="4562">
        <f>XLOOKUP(B1351,'_Sys|Line_Map'!$A:$A,'_Sys|Line_Map'!$C:$C,"MISSING",0)</f>
        <v/>
      </c>
      <c r="J1351" s="4562">
        <f>XLOOKUP(B1351,'_Sys|Line_Map'!$A:$A,'_Sys|Line_Map'!$D:$D,1,0)</f>
        <v/>
      </c>
      <c r="K1351" s="4562">
        <f>IF(D1351="","",D1351*J1351)</f>
        <v/>
      </c>
      <c r="L1351" s="4562">
        <f>XLOOKUP(B1351,'_Sys|Line_Map'!$A:$A,'_Sys|Line_Map'!$B:$B,"MISSING",0)</f>
        <v/>
      </c>
    </row>
    <row r="1352">
      <c r="A1352" s="4561" t="n"/>
      <c r="B1352" s="4561" t="n"/>
      <c r="C1352" s="4561" t="n"/>
      <c r="D1352" s="4561" t="n"/>
      <c r="E1352" s="4561" t="n"/>
      <c r="F1352" s="4561" t="n"/>
      <c r="G1352" s="4561" t="n"/>
      <c r="H1352" s="4561" t="n"/>
      <c r="I1352" s="4562">
        <f>XLOOKUP(B1352,'_Sys|Line_Map'!$A:$A,'_Sys|Line_Map'!$C:$C,"MISSING",0)</f>
        <v/>
      </c>
      <c r="J1352" s="4562">
        <f>XLOOKUP(B1352,'_Sys|Line_Map'!$A:$A,'_Sys|Line_Map'!$D:$D,1,0)</f>
        <v/>
      </c>
      <c r="K1352" s="4562">
        <f>IF(D1352="","",D1352*J1352)</f>
        <v/>
      </c>
      <c r="L1352" s="4562">
        <f>XLOOKUP(B1352,'_Sys|Line_Map'!$A:$A,'_Sys|Line_Map'!$B:$B,"MISSING",0)</f>
        <v/>
      </c>
    </row>
    <row r="1353">
      <c r="A1353" s="4561" t="n"/>
      <c r="B1353" s="4561" t="n"/>
      <c r="C1353" s="4561" t="n"/>
      <c r="D1353" s="4561" t="n"/>
      <c r="E1353" s="4561" t="n"/>
      <c r="F1353" s="4561" t="n"/>
      <c r="G1353" s="4561" t="n"/>
      <c r="H1353" s="4561" t="n"/>
      <c r="I1353" s="4562">
        <f>XLOOKUP(B1353,'_Sys|Line_Map'!$A:$A,'_Sys|Line_Map'!$C:$C,"MISSING",0)</f>
        <v/>
      </c>
      <c r="J1353" s="4562">
        <f>XLOOKUP(B1353,'_Sys|Line_Map'!$A:$A,'_Sys|Line_Map'!$D:$D,1,0)</f>
        <v/>
      </c>
      <c r="K1353" s="4562">
        <f>IF(D1353="","",D1353*J1353)</f>
        <v/>
      </c>
      <c r="L1353" s="4562">
        <f>XLOOKUP(B1353,'_Sys|Line_Map'!$A:$A,'_Sys|Line_Map'!$B:$B,"MISSING",0)</f>
        <v/>
      </c>
    </row>
    <row r="1354">
      <c r="A1354" s="4561" t="n"/>
      <c r="B1354" s="4561" t="n"/>
      <c r="C1354" s="4561" t="n"/>
      <c r="D1354" s="4561" t="n"/>
      <c r="E1354" s="4561" t="n"/>
      <c r="F1354" s="4561" t="n"/>
      <c r="G1354" s="4561" t="n"/>
      <c r="H1354" s="4561" t="n"/>
      <c r="I1354" s="4562">
        <f>XLOOKUP(B1354,'_Sys|Line_Map'!$A:$A,'_Sys|Line_Map'!$C:$C,"MISSING",0)</f>
        <v/>
      </c>
      <c r="J1354" s="4562">
        <f>XLOOKUP(B1354,'_Sys|Line_Map'!$A:$A,'_Sys|Line_Map'!$D:$D,1,0)</f>
        <v/>
      </c>
      <c r="K1354" s="4562">
        <f>IF(D1354="","",D1354*J1354)</f>
        <v/>
      </c>
      <c r="L1354" s="4562">
        <f>XLOOKUP(B1354,'_Sys|Line_Map'!$A:$A,'_Sys|Line_Map'!$B:$B,"MISSING",0)</f>
        <v/>
      </c>
    </row>
    <row r="1355">
      <c r="A1355" s="4561" t="n"/>
      <c r="B1355" s="4561" t="n"/>
      <c r="C1355" s="4561" t="n"/>
      <c r="D1355" s="4561" t="n"/>
      <c r="E1355" s="4561" t="n"/>
      <c r="F1355" s="4561" t="n"/>
      <c r="G1355" s="4561" t="n"/>
      <c r="H1355" s="4561" t="n"/>
      <c r="I1355" s="4562">
        <f>XLOOKUP(B1355,'_Sys|Line_Map'!$A:$A,'_Sys|Line_Map'!$C:$C,"MISSING",0)</f>
        <v/>
      </c>
      <c r="J1355" s="4562">
        <f>XLOOKUP(B1355,'_Sys|Line_Map'!$A:$A,'_Sys|Line_Map'!$D:$D,1,0)</f>
        <v/>
      </c>
      <c r="K1355" s="4562">
        <f>IF(D1355="","",D1355*J1355)</f>
        <v/>
      </c>
      <c r="L1355" s="4562">
        <f>XLOOKUP(B1355,'_Sys|Line_Map'!$A:$A,'_Sys|Line_Map'!$B:$B,"MISSING",0)</f>
        <v/>
      </c>
    </row>
    <row r="1356">
      <c r="A1356" s="4561" t="n"/>
      <c r="B1356" s="4561" t="n"/>
      <c r="C1356" s="4561" t="n"/>
      <c r="D1356" s="4561" t="n"/>
      <c r="E1356" s="4561" t="n"/>
      <c r="F1356" s="4561" t="n"/>
      <c r="G1356" s="4561" t="n"/>
      <c r="H1356" s="4561" t="n"/>
      <c r="I1356" s="4562">
        <f>XLOOKUP(B1356,'_Sys|Line_Map'!$A:$A,'_Sys|Line_Map'!$C:$C,"MISSING",0)</f>
        <v/>
      </c>
      <c r="J1356" s="4562">
        <f>XLOOKUP(B1356,'_Sys|Line_Map'!$A:$A,'_Sys|Line_Map'!$D:$D,1,0)</f>
        <v/>
      </c>
      <c r="K1356" s="4562">
        <f>IF(D1356="","",D1356*J1356)</f>
        <v/>
      </c>
      <c r="L1356" s="4562">
        <f>XLOOKUP(B1356,'_Sys|Line_Map'!$A:$A,'_Sys|Line_Map'!$B:$B,"MISSING",0)</f>
        <v/>
      </c>
    </row>
    <row r="1357">
      <c r="A1357" s="4561" t="n"/>
      <c r="B1357" s="4561" t="n"/>
      <c r="C1357" s="4561" t="n"/>
      <c r="D1357" s="4561" t="n"/>
      <c r="E1357" s="4561" t="n"/>
      <c r="F1357" s="4561" t="n"/>
      <c r="G1357" s="4561" t="n"/>
      <c r="H1357" s="4561" t="n"/>
      <c r="I1357" s="4562">
        <f>XLOOKUP(B1357,'_Sys|Line_Map'!$A:$A,'_Sys|Line_Map'!$C:$C,"MISSING",0)</f>
        <v/>
      </c>
      <c r="J1357" s="4562">
        <f>XLOOKUP(B1357,'_Sys|Line_Map'!$A:$A,'_Sys|Line_Map'!$D:$D,1,0)</f>
        <v/>
      </c>
      <c r="K1357" s="4562">
        <f>IF(D1357="","",D1357*J1357)</f>
        <v/>
      </c>
      <c r="L1357" s="4562">
        <f>XLOOKUP(B1357,'_Sys|Line_Map'!$A:$A,'_Sys|Line_Map'!$B:$B,"MISSING",0)</f>
        <v/>
      </c>
    </row>
    <row r="1358">
      <c r="A1358" s="4561" t="n"/>
      <c r="B1358" s="4561" t="n"/>
      <c r="C1358" s="4561" t="n"/>
      <c r="D1358" s="4561" t="n"/>
      <c r="E1358" s="4561" t="n"/>
      <c r="F1358" s="4561" t="n"/>
      <c r="G1358" s="4561" t="n"/>
      <c r="H1358" s="4561" t="n"/>
      <c r="I1358" s="4562">
        <f>XLOOKUP(B1358,'_Sys|Line_Map'!$A:$A,'_Sys|Line_Map'!$C:$C,"MISSING",0)</f>
        <v/>
      </c>
      <c r="J1358" s="4562">
        <f>XLOOKUP(B1358,'_Sys|Line_Map'!$A:$A,'_Sys|Line_Map'!$D:$D,1,0)</f>
        <v/>
      </c>
      <c r="K1358" s="4562">
        <f>IF(D1358="","",D1358*J1358)</f>
        <v/>
      </c>
      <c r="L1358" s="4562">
        <f>XLOOKUP(B1358,'_Sys|Line_Map'!$A:$A,'_Sys|Line_Map'!$B:$B,"MISSING",0)</f>
        <v/>
      </c>
    </row>
    <row r="1359">
      <c r="A1359" s="4561" t="n"/>
      <c r="B1359" s="4561" t="n"/>
      <c r="C1359" s="4561" t="n"/>
      <c r="D1359" s="4561" t="n"/>
      <c r="E1359" s="4561" t="n"/>
      <c r="F1359" s="4561" t="n"/>
      <c r="G1359" s="4561" t="n"/>
      <c r="H1359" s="4561" t="n"/>
      <c r="I1359" s="4562">
        <f>XLOOKUP(B1359,'_Sys|Line_Map'!$A:$A,'_Sys|Line_Map'!$C:$C,"MISSING",0)</f>
        <v/>
      </c>
      <c r="J1359" s="4562">
        <f>XLOOKUP(B1359,'_Sys|Line_Map'!$A:$A,'_Sys|Line_Map'!$D:$D,1,0)</f>
        <v/>
      </c>
      <c r="K1359" s="4562">
        <f>IF(D1359="","",D1359*J1359)</f>
        <v/>
      </c>
      <c r="L1359" s="4562">
        <f>XLOOKUP(B1359,'_Sys|Line_Map'!$A:$A,'_Sys|Line_Map'!$B:$B,"MISSING",0)</f>
        <v/>
      </c>
    </row>
    <row r="1360">
      <c r="A1360" s="4561" t="n"/>
      <c r="B1360" s="4561" t="n"/>
      <c r="C1360" s="4561" t="n"/>
      <c r="D1360" s="4561" t="n"/>
      <c r="E1360" s="4561" t="n"/>
      <c r="F1360" s="4561" t="n"/>
      <c r="G1360" s="4561" t="n"/>
      <c r="H1360" s="4561" t="n"/>
      <c r="I1360" s="4562">
        <f>XLOOKUP(B1360,'_Sys|Line_Map'!$A:$A,'_Sys|Line_Map'!$C:$C,"MISSING",0)</f>
        <v/>
      </c>
      <c r="J1360" s="4562">
        <f>XLOOKUP(B1360,'_Sys|Line_Map'!$A:$A,'_Sys|Line_Map'!$D:$D,1,0)</f>
        <v/>
      </c>
      <c r="K1360" s="4562">
        <f>IF(D1360="","",D1360*J1360)</f>
        <v/>
      </c>
      <c r="L1360" s="4562">
        <f>XLOOKUP(B1360,'_Sys|Line_Map'!$A:$A,'_Sys|Line_Map'!$B:$B,"MISSING",0)</f>
        <v/>
      </c>
    </row>
    <row r="1361">
      <c r="A1361" s="4561" t="n"/>
      <c r="B1361" s="4561" t="n"/>
      <c r="C1361" s="4561" t="n"/>
      <c r="D1361" s="4561" t="n"/>
      <c r="E1361" s="4561" t="n"/>
      <c r="F1361" s="4561" t="n"/>
      <c r="G1361" s="4561" t="n"/>
      <c r="H1361" s="4561" t="n"/>
      <c r="I1361" s="4562">
        <f>XLOOKUP(B1361,'_Sys|Line_Map'!$A:$A,'_Sys|Line_Map'!$C:$C,"MISSING",0)</f>
        <v/>
      </c>
      <c r="J1361" s="4562">
        <f>XLOOKUP(B1361,'_Sys|Line_Map'!$A:$A,'_Sys|Line_Map'!$D:$D,1,0)</f>
        <v/>
      </c>
      <c r="K1361" s="4562">
        <f>IF(D1361="","",D1361*J1361)</f>
        <v/>
      </c>
      <c r="L1361" s="4562">
        <f>XLOOKUP(B1361,'_Sys|Line_Map'!$A:$A,'_Sys|Line_Map'!$B:$B,"MISSING",0)</f>
        <v/>
      </c>
    </row>
    <row r="1362">
      <c r="A1362" s="4561" t="n"/>
      <c r="B1362" s="4561" t="n"/>
      <c r="C1362" s="4561" t="n"/>
      <c r="D1362" s="4561" t="n"/>
      <c r="E1362" s="4561" t="n"/>
      <c r="F1362" s="4561" t="n"/>
      <c r="G1362" s="4561" t="n"/>
      <c r="H1362" s="4561" t="n"/>
      <c r="I1362" s="4562">
        <f>XLOOKUP(B1362,'_Sys|Line_Map'!$A:$A,'_Sys|Line_Map'!$C:$C,"MISSING",0)</f>
        <v/>
      </c>
      <c r="J1362" s="4562">
        <f>XLOOKUP(B1362,'_Sys|Line_Map'!$A:$A,'_Sys|Line_Map'!$D:$D,1,0)</f>
        <v/>
      </c>
      <c r="K1362" s="4562">
        <f>IF(D1362="","",D1362*J1362)</f>
        <v/>
      </c>
      <c r="L1362" s="4562">
        <f>XLOOKUP(B1362,'_Sys|Line_Map'!$A:$A,'_Sys|Line_Map'!$B:$B,"MISSING",0)</f>
        <v/>
      </c>
    </row>
    <row r="1363">
      <c r="A1363" s="4561" t="n"/>
      <c r="B1363" s="4561" t="n"/>
      <c r="C1363" s="4561" t="n"/>
      <c r="D1363" s="4561" t="n"/>
      <c r="E1363" s="4561" t="n"/>
      <c r="F1363" s="4561" t="n"/>
      <c r="G1363" s="4561" t="n"/>
      <c r="H1363" s="4561" t="n"/>
      <c r="I1363" s="4562">
        <f>XLOOKUP(B1363,'_Sys|Line_Map'!$A:$A,'_Sys|Line_Map'!$C:$C,"MISSING",0)</f>
        <v/>
      </c>
      <c r="J1363" s="4562">
        <f>XLOOKUP(B1363,'_Sys|Line_Map'!$A:$A,'_Sys|Line_Map'!$D:$D,1,0)</f>
        <v/>
      </c>
      <c r="K1363" s="4562">
        <f>IF(D1363="","",D1363*J1363)</f>
        <v/>
      </c>
      <c r="L1363" s="4562">
        <f>XLOOKUP(B1363,'_Sys|Line_Map'!$A:$A,'_Sys|Line_Map'!$B:$B,"MISSING",0)</f>
        <v/>
      </c>
    </row>
    <row r="1364">
      <c r="A1364" s="4561" t="n"/>
      <c r="B1364" s="4561" t="n"/>
      <c r="C1364" s="4561" t="n"/>
      <c r="D1364" s="4561" t="n"/>
      <c r="E1364" s="4561" t="n"/>
      <c r="F1364" s="4561" t="n"/>
      <c r="G1364" s="4561" t="n"/>
      <c r="H1364" s="4561" t="n"/>
      <c r="I1364" s="4562">
        <f>XLOOKUP(B1364,'_Sys|Line_Map'!$A:$A,'_Sys|Line_Map'!$C:$C,"MISSING",0)</f>
        <v/>
      </c>
      <c r="J1364" s="4562">
        <f>XLOOKUP(B1364,'_Sys|Line_Map'!$A:$A,'_Sys|Line_Map'!$D:$D,1,0)</f>
        <v/>
      </c>
      <c r="K1364" s="4562">
        <f>IF(D1364="","",D1364*J1364)</f>
        <v/>
      </c>
      <c r="L1364" s="4562">
        <f>XLOOKUP(B1364,'_Sys|Line_Map'!$A:$A,'_Sys|Line_Map'!$B:$B,"MISSING",0)</f>
        <v/>
      </c>
    </row>
    <row r="1365">
      <c r="A1365" s="4561" t="n"/>
      <c r="B1365" s="4561" t="n"/>
      <c r="C1365" s="4561" t="n"/>
      <c r="D1365" s="4561" t="n"/>
      <c r="E1365" s="4561" t="n"/>
      <c r="F1365" s="4561" t="n"/>
      <c r="G1365" s="4561" t="n"/>
      <c r="H1365" s="4561" t="n"/>
      <c r="I1365" s="4562">
        <f>XLOOKUP(B1365,'_Sys|Line_Map'!$A:$A,'_Sys|Line_Map'!$C:$C,"MISSING",0)</f>
        <v/>
      </c>
      <c r="J1365" s="4562">
        <f>XLOOKUP(B1365,'_Sys|Line_Map'!$A:$A,'_Sys|Line_Map'!$D:$D,1,0)</f>
        <v/>
      </c>
      <c r="K1365" s="4562">
        <f>IF(D1365="","",D1365*J1365)</f>
        <v/>
      </c>
      <c r="L1365" s="4562">
        <f>XLOOKUP(B1365,'_Sys|Line_Map'!$A:$A,'_Sys|Line_Map'!$B:$B,"MISSING",0)</f>
        <v/>
      </c>
    </row>
    <row r="1366">
      <c r="A1366" s="4561" t="n"/>
      <c r="B1366" s="4561" t="n"/>
      <c r="C1366" s="4561" t="n"/>
      <c r="D1366" s="4561" t="n"/>
      <c r="E1366" s="4561" t="n"/>
      <c r="F1366" s="4561" t="n"/>
      <c r="G1366" s="4561" t="n"/>
      <c r="H1366" s="4561" t="n"/>
      <c r="I1366" s="4562">
        <f>XLOOKUP(B1366,'_Sys|Line_Map'!$A:$A,'_Sys|Line_Map'!$C:$C,"MISSING",0)</f>
        <v/>
      </c>
      <c r="J1366" s="4562">
        <f>XLOOKUP(B1366,'_Sys|Line_Map'!$A:$A,'_Sys|Line_Map'!$D:$D,1,0)</f>
        <v/>
      </c>
      <c r="K1366" s="4562">
        <f>IF(D1366="","",D1366*J1366)</f>
        <v/>
      </c>
      <c r="L1366" s="4562">
        <f>XLOOKUP(B1366,'_Sys|Line_Map'!$A:$A,'_Sys|Line_Map'!$B:$B,"MISSING",0)</f>
        <v/>
      </c>
    </row>
    <row r="1367">
      <c r="A1367" s="4561" t="n"/>
      <c r="B1367" s="4561" t="n"/>
      <c r="C1367" s="4561" t="n"/>
      <c r="D1367" s="4561" t="n"/>
      <c r="E1367" s="4561" t="n"/>
      <c r="F1367" s="4561" t="n"/>
      <c r="G1367" s="4561" t="n"/>
      <c r="H1367" s="4561" t="n"/>
      <c r="I1367" s="4562">
        <f>XLOOKUP(B1367,'_Sys|Line_Map'!$A:$A,'_Sys|Line_Map'!$C:$C,"MISSING",0)</f>
        <v/>
      </c>
      <c r="J1367" s="4562">
        <f>XLOOKUP(B1367,'_Sys|Line_Map'!$A:$A,'_Sys|Line_Map'!$D:$D,1,0)</f>
        <v/>
      </c>
      <c r="K1367" s="4562">
        <f>IF(D1367="","",D1367*J1367)</f>
        <v/>
      </c>
      <c r="L1367" s="4562">
        <f>XLOOKUP(B1367,'_Sys|Line_Map'!$A:$A,'_Sys|Line_Map'!$B:$B,"MISSING",0)</f>
        <v/>
      </c>
    </row>
    <row r="1368">
      <c r="A1368" s="4561" t="n"/>
      <c r="B1368" s="4561" t="n"/>
      <c r="C1368" s="4561" t="n"/>
      <c r="D1368" s="4561" t="n"/>
      <c r="E1368" s="4561" t="n"/>
      <c r="F1368" s="4561" t="n"/>
      <c r="G1368" s="4561" t="n"/>
      <c r="H1368" s="4561" t="n"/>
      <c r="I1368" s="4562">
        <f>XLOOKUP(B1368,'_Sys|Line_Map'!$A:$A,'_Sys|Line_Map'!$C:$C,"MISSING",0)</f>
        <v/>
      </c>
      <c r="J1368" s="4562">
        <f>XLOOKUP(B1368,'_Sys|Line_Map'!$A:$A,'_Sys|Line_Map'!$D:$D,1,0)</f>
        <v/>
      </c>
      <c r="K1368" s="4562">
        <f>IF(D1368="","",D1368*J1368)</f>
        <v/>
      </c>
      <c r="L1368" s="4562">
        <f>XLOOKUP(B1368,'_Sys|Line_Map'!$A:$A,'_Sys|Line_Map'!$B:$B,"MISSING",0)</f>
        <v/>
      </c>
    </row>
    <row r="1369">
      <c r="A1369" s="4561" t="n"/>
      <c r="B1369" s="4561" t="n"/>
      <c r="C1369" s="4561" t="n"/>
      <c r="D1369" s="4561" t="n"/>
      <c r="E1369" s="4561" t="n"/>
      <c r="F1369" s="4561" t="n"/>
      <c r="G1369" s="4561" t="n"/>
      <c r="H1369" s="4561" t="n"/>
      <c r="I1369" s="4562">
        <f>XLOOKUP(B1369,'_Sys|Line_Map'!$A:$A,'_Sys|Line_Map'!$C:$C,"MISSING",0)</f>
        <v/>
      </c>
      <c r="J1369" s="4562">
        <f>XLOOKUP(B1369,'_Sys|Line_Map'!$A:$A,'_Sys|Line_Map'!$D:$D,1,0)</f>
        <v/>
      </c>
      <c r="K1369" s="4562">
        <f>IF(D1369="","",D1369*J1369)</f>
        <v/>
      </c>
      <c r="L1369" s="4562">
        <f>XLOOKUP(B1369,'_Sys|Line_Map'!$A:$A,'_Sys|Line_Map'!$B:$B,"MISSING",0)</f>
        <v/>
      </c>
    </row>
    <row r="1370">
      <c r="A1370" s="4561" t="n"/>
      <c r="B1370" s="4561" t="n"/>
      <c r="C1370" s="4561" t="n"/>
      <c r="D1370" s="4561" t="n"/>
      <c r="E1370" s="4561" t="n"/>
      <c r="F1370" s="4561" t="n"/>
      <c r="G1370" s="4561" t="n"/>
      <c r="H1370" s="4561" t="n"/>
      <c r="I1370" s="4562">
        <f>XLOOKUP(B1370,'_Sys|Line_Map'!$A:$A,'_Sys|Line_Map'!$C:$C,"MISSING",0)</f>
        <v/>
      </c>
      <c r="J1370" s="4562">
        <f>XLOOKUP(B1370,'_Sys|Line_Map'!$A:$A,'_Sys|Line_Map'!$D:$D,1,0)</f>
        <v/>
      </c>
      <c r="K1370" s="4562">
        <f>IF(D1370="","",D1370*J1370)</f>
        <v/>
      </c>
      <c r="L1370" s="4562">
        <f>XLOOKUP(B1370,'_Sys|Line_Map'!$A:$A,'_Sys|Line_Map'!$B:$B,"MISSING",0)</f>
        <v/>
      </c>
    </row>
    <row r="1371">
      <c r="A1371" s="4561" t="n"/>
      <c r="B1371" s="4561" t="n"/>
      <c r="C1371" s="4561" t="n"/>
      <c r="D1371" s="4561" t="n"/>
      <c r="E1371" s="4561" t="n"/>
      <c r="F1371" s="4561" t="n"/>
      <c r="G1371" s="4561" t="n"/>
      <c r="H1371" s="4561" t="n"/>
      <c r="I1371" s="4562">
        <f>XLOOKUP(B1371,'_Sys|Line_Map'!$A:$A,'_Sys|Line_Map'!$C:$C,"MISSING",0)</f>
        <v/>
      </c>
      <c r="J1371" s="4562">
        <f>XLOOKUP(B1371,'_Sys|Line_Map'!$A:$A,'_Sys|Line_Map'!$D:$D,1,0)</f>
        <v/>
      </c>
      <c r="K1371" s="4562">
        <f>IF(D1371="","",D1371*J1371)</f>
        <v/>
      </c>
      <c r="L1371" s="4562">
        <f>XLOOKUP(B1371,'_Sys|Line_Map'!$A:$A,'_Sys|Line_Map'!$B:$B,"MISSING",0)</f>
        <v/>
      </c>
    </row>
    <row r="1372">
      <c r="A1372" s="4561" t="n"/>
      <c r="B1372" s="4561" t="n"/>
      <c r="C1372" s="4561" t="n"/>
      <c r="D1372" s="4561" t="n"/>
      <c r="E1372" s="4561" t="n"/>
      <c r="F1372" s="4561" t="n"/>
      <c r="G1372" s="4561" t="n"/>
      <c r="H1372" s="4561" t="n"/>
      <c r="I1372" s="4562">
        <f>XLOOKUP(B1372,'_Sys|Line_Map'!$A:$A,'_Sys|Line_Map'!$C:$C,"MISSING",0)</f>
        <v/>
      </c>
      <c r="J1372" s="4562">
        <f>XLOOKUP(B1372,'_Sys|Line_Map'!$A:$A,'_Sys|Line_Map'!$D:$D,1,0)</f>
        <v/>
      </c>
      <c r="K1372" s="4562">
        <f>IF(D1372="","",D1372*J1372)</f>
        <v/>
      </c>
      <c r="L1372" s="4562">
        <f>XLOOKUP(B1372,'_Sys|Line_Map'!$A:$A,'_Sys|Line_Map'!$B:$B,"MISSING",0)</f>
        <v/>
      </c>
    </row>
    <row r="1373">
      <c r="A1373" s="4561" t="n"/>
      <c r="B1373" s="4561" t="n"/>
      <c r="C1373" s="4561" t="n"/>
      <c r="D1373" s="4561" t="n"/>
      <c r="E1373" s="4561" t="n"/>
      <c r="F1373" s="4561" t="n"/>
      <c r="G1373" s="4561" t="n"/>
      <c r="H1373" s="4561" t="n"/>
      <c r="I1373" s="4562">
        <f>XLOOKUP(B1373,'_Sys|Line_Map'!$A:$A,'_Sys|Line_Map'!$C:$C,"MISSING",0)</f>
        <v/>
      </c>
      <c r="J1373" s="4562">
        <f>XLOOKUP(B1373,'_Sys|Line_Map'!$A:$A,'_Sys|Line_Map'!$D:$D,1,0)</f>
        <v/>
      </c>
      <c r="K1373" s="4562">
        <f>IF(D1373="","",D1373*J1373)</f>
        <v/>
      </c>
      <c r="L1373" s="4562">
        <f>XLOOKUP(B1373,'_Sys|Line_Map'!$A:$A,'_Sys|Line_Map'!$B:$B,"MISSING",0)</f>
        <v/>
      </c>
    </row>
    <row r="1374">
      <c r="A1374" s="4561" t="n"/>
      <c r="B1374" s="4561" t="n"/>
      <c r="C1374" s="4561" t="n"/>
      <c r="D1374" s="4561" t="n"/>
      <c r="E1374" s="4561" t="n"/>
      <c r="F1374" s="4561" t="n"/>
      <c r="G1374" s="4561" t="n"/>
      <c r="H1374" s="4561" t="n"/>
      <c r="I1374" s="4562">
        <f>XLOOKUP(B1374,'_Sys|Line_Map'!$A:$A,'_Sys|Line_Map'!$C:$C,"MISSING",0)</f>
        <v/>
      </c>
      <c r="J1374" s="4562">
        <f>XLOOKUP(B1374,'_Sys|Line_Map'!$A:$A,'_Sys|Line_Map'!$D:$D,1,0)</f>
        <v/>
      </c>
      <c r="K1374" s="4562">
        <f>IF(D1374="","",D1374*J1374)</f>
        <v/>
      </c>
      <c r="L1374" s="4562">
        <f>XLOOKUP(B1374,'_Sys|Line_Map'!$A:$A,'_Sys|Line_Map'!$B:$B,"MISSING",0)</f>
        <v/>
      </c>
    </row>
    <row r="1375">
      <c r="A1375" s="4561" t="n"/>
      <c r="B1375" s="4561" t="n"/>
      <c r="C1375" s="4561" t="n"/>
      <c r="D1375" s="4561" t="n"/>
      <c r="E1375" s="4561" t="n"/>
      <c r="F1375" s="4561" t="n"/>
      <c r="G1375" s="4561" t="n"/>
      <c r="H1375" s="4561" t="n"/>
      <c r="I1375" s="4562">
        <f>XLOOKUP(B1375,'_Sys|Line_Map'!$A:$A,'_Sys|Line_Map'!$C:$C,"MISSING",0)</f>
        <v/>
      </c>
      <c r="J1375" s="4562">
        <f>XLOOKUP(B1375,'_Sys|Line_Map'!$A:$A,'_Sys|Line_Map'!$D:$D,1,0)</f>
        <v/>
      </c>
      <c r="K1375" s="4562">
        <f>IF(D1375="","",D1375*J1375)</f>
        <v/>
      </c>
      <c r="L1375" s="4562">
        <f>XLOOKUP(B1375,'_Sys|Line_Map'!$A:$A,'_Sys|Line_Map'!$B:$B,"MISSING",0)</f>
        <v/>
      </c>
    </row>
    <row r="1376">
      <c r="A1376" s="4561" t="n"/>
      <c r="B1376" s="4561" t="n"/>
      <c r="C1376" s="4561" t="n"/>
      <c r="D1376" s="4561" t="n"/>
      <c r="E1376" s="4561" t="n"/>
      <c r="F1376" s="4561" t="n"/>
      <c r="G1376" s="4561" t="n"/>
      <c r="H1376" s="4561" t="n"/>
      <c r="I1376" s="4562">
        <f>XLOOKUP(B1376,'_Sys|Line_Map'!$A:$A,'_Sys|Line_Map'!$C:$C,"MISSING",0)</f>
        <v/>
      </c>
      <c r="J1376" s="4562">
        <f>XLOOKUP(B1376,'_Sys|Line_Map'!$A:$A,'_Sys|Line_Map'!$D:$D,1,0)</f>
        <v/>
      </c>
      <c r="K1376" s="4562">
        <f>IF(D1376="","",D1376*J1376)</f>
        <v/>
      </c>
      <c r="L1376" s="4562">
        <f>XLOOKUP(B1376,'_Sys|Line_Map'!$A:$A,'_Sys|Line_Map'!$B:$B,"MISSING",0)</f>
        <v/>
      </c>
    </row>
    <row r="1377">
      <c r="A1377" s="4561" t="n"/>
      <c r="B1377" s="4561" t="n"/>
      <c r="C1377" s="4561" t="n"/>
      <c r="D1377" s="4561" t="n"/>
      <c r="E1377" s="4561" t="n"/>
      <c r="F1377" s="4561" t="n"/>
      <c r="G1377" s="4561" t="n"/>
      <c r="H1377" s="4561" t="n"/>
      <c r="I1377" s="4562">
        <f>XLOOKUP(B1377,'_Sys|Line_Map'!$A:$A,'_Sys|Line_Map'!$C:$C,"MISSING",0)</f>
        <v/>
      </c>
      <c r="J1377" s="4562">
        <f>XLOOKUP(B1377,'_Sys|Line_Map'!$A:$A,'_Sys|Line_Map'!$D:$D,1,0)</f>
        <v/>
      </c>
      <c r="K1377" s="4562">
        <f>IF(D1377="","",D1377*J1377)</f>
        <v/>
      </c>
      <c r="L1377" s="4562">
        <f>XLOOKUP(B1377,'_Sys|Line_Map'!$A:$A,'_Sys|Line_Map'!$B:$B,"MISSING",0)</f>
        <v/>
      </c>
    </row>
    <row r="1378">
      <c r="A1378" s="4561" t="n"/>
      <c r="B1378" s="4561" t="n"/>
      <c r="C1378" s="4561" t="n"/>
      <c r="D1378" s="4561" t="n"/>
      <c r="E1378" s="4561" t="n"/>
      <c r="F1378" s="4561" t="n"/>
      <c r="G1378" s="4561" t="n"/>
      <c r="H1378" s="4561" t="n"/>
      <c r="I1378" s="4562">
        <f>XLOOKUP(B1378,'_Sys|Line_Map'!$A:$A,'_Sys|Line_Map'!$C:$C,"MISSING",0)</f>
        <v/>
      </c>
      <c r="J1378" s="4562">
        <f>XLOOKUP(B1378,'_Sys|Line_Map'!$A:$A,'_Sys|Line_Map'!$D:$D,1,0)</f>
        <v/>
      </c>
      <c r="K1378" s="4562">
        <f>IF(D1378="","",D1378*J1378)</f>
        <v/>
      </c>
      <c r="L1378" s="4562">
        <f>XLOOKUP(B1378,'_Sys|Line_Map'!$A:$A,'_Sys|Line_Map'!$B:$B,"MISSING",0)</f>
        <v/>
      </c>
    </row>
    <row r="1379">
      <c r="A1379" s="4561" t="n"/>
      <c r="B1379" s="4561" t="n"/>
      <c r="C1379" s="4561" t="n"/>
      <c r="D1379" s="4561" t="n"/>
      <c r="E1379" s="4561" t="n"/>
      <c r="F1379" s="4561" t="n"/>
      <c r="G1379" s="4561" t="n"/>
      <c r="H1379" s="4561" t="n"/>
      <c r="I1379" s="4562">
        <f>XLOOKUP(B1379,'_Sys|Line_Map'!$A:$A,'_Sys|Line_Map'!$C:$C,"MISSING",0)</f>
        <v/>
      </c>
      <c r="J1379" s="4562">
        <f>XLOOKUP(B1379,'_Sys|Line_Map'!$A:$A,'_Sys|Line_Map'!$D:$D,1,0)</f>
        <v/>
      </c>
      <c r="K1379" s="4562">
        <f>IF(D1379="","",D1379*J1379)</f>
        <v/>
      </c>
      <c r="L1379" s="4562">
        <f>XLOOKUP(B1379,'_Sys|Line_Map'!$A:$A,'_Sys|Line_Map'!$B:$B,"MISSING",0)</f>
        <v/>
      </c>
    </row>
    <row r="1380">
      <c r="A1380" s="4561" t="n"/>
      <c r="B1380" s="4561" t="n"/>
      <c r="C1380" s="4561" t="n"/>
      <c r="D1380" s="4561" t="n"/>
      <c r="E1380" s="4561" t="n"/>
      <c r="F1380" s="4561" t="n"/>
      <c r="G1380" s="4561" t="n"/>
      <c r="H1380" s="4561" t="n"/>
      <c r="I1380" s="4562">
        <f>XLOOKUP(B1380,'_Sys|Line_Map'!$A:$A,'_Sys|Line_Map'!$C:$C,"MISSING",0)</f>
        <v/>
      </c>
      <c r="J1380" s="4562">
        <f>XLOOKUP(B1380,'_Sys|Line_Map'!$A:$A,'_Sys|Line_Map'!$D:$D,1,0)</f>
        <v/>
      </c>
      <c r="K1380" s="4562">
        <f>IF(D1380="","",D1380*J1380)</f>
        <v/>
      </c>
      <c r="L1380" s="4562">
        <f>XLOOKUP(B1380,'_Sys|Line_Map'!$A:$A,'_Sys|Line_Map'!$B:$B,"MISSING",0)</f>
        <v/>
      </c>
    </row>
    <row r="1381">
      <c r="A1381" s="4561" t="n"/>
      <c r="B1381" s="4561" t="n"/>
      <c r="C1381" s="4561" t="n"/>
      <c r="D1381" s="4561" t="n"/>
      <c r="E1381" s="4561" t="n"/>
      <c r="F1381" s="4561" t="n"/>
      <c r="G1381" s="4561" t="n"/>
      <c r="H1381" s="4561" t="n"/>
      <c r="I1381" s="4562">
        <f>XLOOKUP(B1381,'_Sys|Line_Map'!$A:$A,'_Sys|Line_Map'!$C:$C,"MISSING",0)</f>
        <v/>
      </c>
      <c r="J1381" s="4562">
        <f>XLOOKUP(B1381,'_Sys|Line_Map'!$A:$A,'_Sys|Line_Map'!$D:$D,1,0)</f>
        <v/>
      </c>
      <c r="K1381" s="4562">
        <f>IF(D1381="","",D1381*J1381)</f>
        <v/>
      </c>
      <c r="L1381" s="4562">
        <f>XLOOKUP(B1381,'_Sys|Line_Map'!$A:$A,'_Sys|Line_Map'!$B:$B,"MISSING",0)</f>
        <v/>
      </c>
    </row>
    <row r="1382">
      <c r="A1382" s="4561" t="n"/>
      <c r="B1382" s="4561" t="n"/>
      <c r="C1382" s="4561" t="n"/>
      <c r="D1382" s="4561" t="n"/>
      <c r="E1382" s="4561" t="n"/>
      <c r="F1382" s="4561" t="n"/>
      <c r="G1382" s="4561" t="n"/>
      <c r="H1382" s="4561" t="n"/>
      <c r="I1382" s="4562">
        <f>XLOOKUP(B1382,'_Sys|Line_Map'!$A:$A,'_Sys|Line_Map'!$C:$C,"MISSING",0)</f>
        <v/>
      </c>
      <c r="J1382" s="4562">
        <f>XLOOKUP(B1382,'_Sys|Line_Map'!$A:$A,'_Sys|Line_Map'!$D:$D,1,0)</f>
        <v/>
      </c>
      <c r="K1382" s="4562">
        <f>IF(D1382="","",D1382*J1382)</f>
        <v/>
      </c>
      <c r="L1382" s="4562">
        <f>XLOOKUP(B1382,'_Sys|Line_Map'!$A:$A,'_Sys|Line_Map'!$B:$B,"MISSING",0)</f>
        <v/>
      </c>
    </row>
    <row r="1383">
      <c r="A1383" s="4561" t="n"/>
      <c r="B1383" s="4561" t="n"/>
      <c r="C1383" s="4561" t="n"/>
      <c r="D1383" s="4561" t="n"/>
      <c r="E1383" s="4561" t="n"/>
      <c r="F1383" s="4561" t="n"/>
      <c r="G1383" s="4561" t="n"/>
      <c r="H1383" s="4561" t="n"/>
      <c r="I1383" s="4562">
        <f>XLOOKUP(B1383,'_Sys|Line_Map'!$A:$A,'_Sys|Line_Map'!$C:$C,"MISSING",0)</f>
        <v/>
      </c>
      <c r="J1383" s="4562">
        <f>XLOOKUP(B1383,'_Sys|Line_Map'!$A:$A,'_Sys|Line_Map'!$D:$D,1,0)</f>
        <v/>
      </c>
      <c r="K1383" s="4562">
        <f>IF(D1383="","",D1383*J1383)</f>
        <v/>
      </c>
      <c r="L1383" s="4562">
        <f>XLOOKUP(B1383,'_Sys|Line_Map'!$A:$A,'_Sys|Line_Map'!$B:$B,"MISSING",0)</f>
        <v/>
      </c>
    </row>
    <row r="1384">
      <c r="A1384" s="4561" t="n"/>
      <c r="B1384" s="4561" t="n"/>
      <c r="C1384" s="4561" t="n"/>
      <c r="D1384" s="4561" t="n"/>
      <c r="E1384" s="4561" t="n"/>
      <c r="F1384" s="4561" t="n"/>
      <c r="G1384" s="4561" t="n"/>
      <c r="H1384" s="4561" t="n"/>
      <c r="I1384" s="4562">
        <f>XLOOKUP(B1384,'_Sys|Line_Map'!$A:$A,'_Sys|Line_Map'!$C:$C,"MISSING",0)</f>
        <v/>
      </c>
      <c r="J1384" s="4562">
        <f>XLOOKUP(B1384,'_Sys|Line_Map'!$A:$A,'_Sys|Line_Map'!$D:$D,1,0)</f>
        <v/>
      </c>
      <c r="K1384" s="4562">
        <f>IF(D1384="","",D1384*J1384)</f>
        <v/>
      </c>
      <c r="L1384" s="4562">
        <f>XLOOKUP(B1384,'_Sys|Line_Map'!$A:$A,'_Sys|Line_Map'!$B:$B,"MISSING",0)</f>
        <v/>
      </c>
    </row>
    <row r="1385">
      <c r="A1385" s="4561" t="n"/>
      <c r="B1385" s="4561" t="n"/>
      <c r="C1385" s="4561" t="n"/>
      <c r="D1385" s="4561" t="n"/>
      <c r="E1385" s="4561" t="n"/>
      <c r="F1385" s="4561" t="n"/>
      <c r="G1385" s="4561" t="n"/>
      <c r="H1385" s="4561" t="n"/>
      <c r="I1385" s="4562">
        <f>XLOOKUP(B1385,'_Sys|Line_Map'!$A:$A,'_Sys|Line_Map'!$C:$C,"MISSING",0)</f>
        <v/>
      </c>
      <c r="J1385" s="4562">
        <f>XLOOKUP(B1385,'_Sys|Line_Map'!$A:$A,'_Sys|Line_Map'!$D:$D,1,0)</f>
        <v/>
      </c>
      <c r="K1385" s="4562">
        <f>IF(D1385="","",D1385*J1385)</f>
        <v/>
      </c>
      <c r="L1385" s="4562">
        <f>XLOOKUP(B1385,'_Sys|Line_Map'!$A:$A,'_Sys|Line_Map'!$B:$B,"MISSING",0)</f>
        <v/>
      </c>
    </row>
    <row r="1386">
      <c r="A1386" s="4561" t="n"/>
      <c r="B1386" s="4561" t="n"/>
      <c r="C1386" s="4561" t="n"/>
      <c r="D1386" s="4561" t="n"/>
      <c r="E1386" s="4561" t="n"/>
      <c r="F1386" s="4561" t="n"/>
      <c r="G1386" s="4561" t="n"/>
      <c r="H1386" s="4561" t="n"/>
      <c r="I1386" s="4562">
        <f>XLOOKUP(B1386,'_Sys|Line_Map'!$A:$A,'_Sys|Line_Map'!$C:$C,"MISSING",0)</f>
        <v/>
      </c>
      <c r="J1386" s="4562">
        <f>XLOOKUP(B1386,'_Sys|Line_Map'!$A:$A,'_Sys|Line_Map'!$D:$D,1,0)</f>
        <v/>
      </c>
      <c r="K1386" s="4562">
        <f>IF(D1386="","",D1386*J1386)</f>
        <v/>
      </c>
      <c r="L1386" s="4562">
        <f>XLOOKUP(B1386,'_Sys|Line_Map'!$A:$A,'_Sys|Line_Map'!$B:$B,"MISSING",0)</f>
        <v/>
      </c>
    </row>
    <row r="1387">
      <c r="A1387" s="4561" t="n"/>
      <c r="B1387" s="4561" t="n"/>
      <c r="C1387" s="4561" t="n"/>
      <c r="D1387" s="4561" t="n"/>
      <c r="E1387" s="4561" t="n"/>
      <c r="F1387" s="4561" t="n"/>
      <c r="G1387" s="4561" t="n"/>
      <c r="H1387" s="4561" t="n"/>
      <c r="I1387" s="4562">
        <f>XLOOKUP(B1387,'_Sys|Line_Map'!$A:$A,'_Sys|Line_Map'!$C:$C,"MISSING",0)</f>
        <v/>
      </c>
      <c r="J1387" s="4562">
        <f>XLOOKUP(B1387,'_Sys|Line_Map'!$A:$A,'_Sys|Line_Map'!$D:$D,1,0)</f>
        <v/>
      </c>
      <c r="K1387" s="4562">
        <f>IF(D1387="","",D1387*J1387)</f>
        <v/>
      </c>
      <c r="L1387" s="4562">
        <f>XLOOKUP(B1387,'_Sys|Line_Map'!$A:$A,'_Sys|Line_Map'!$B:$B,"MISSING",0)</f>
        <v/>
      </c>
    </row>
    <row r="1388">
      <c r="A1388" s="4561" t="n"/>
      <c r="B1388" s="4561" t="n"/>
      <c r="C1388" s="4561" t="n"/>
      <c r="D1388" s="4561" t="n"/>
      <c r="E1388" s="4561" t="n"/>
      <c r="F1388" s="4561" t="n"/>
      <c r="G1388" s="4561" t="n"/>
      <c r="H1388" s="4561" t="n"/>
      <c r="I1388" s="4562">
        <f>XLOOKUP(B1388,'_Sys|Line_Map'!$A:$A,'_Sys|Line_Map'!$C:$C,"MISSING",0)</f>
        <v/>
      </c>
      <c r="J1388" s="4562">
        <f>XLOOKUP(B1388,'_Sys|Line_Map'!$A:$A,'_Sys|Line_Map'!$D:$D,1,0)</f>
        <v/>
      </c>
      <c r="K1388" s="4562">
        <f>IF(D1388="","",D1388*J1388)</f>
        <v/>
      </c>
      <c r="L1388" s="4562">
        <f>XLOOKUP(B1388,'_Sys|Line_Map'!$A:$A,'_Sys|Line_Map'!$B:$B,"MISSING",0)</f>
        <v/>
      </c>
    </row>
    <row r="1389">
      <c r="A1389" s="4561" t="n"/>
      <c r="B1389" s="4561" t="n"/>
      <c r="C1389" s="4561" t="n"/>
      <c r="D1389" s="4561" t="n"/>
      <c r="E1389" s="4561" t="n"/>
      <c r="F1389" s="4561" t="n"/>
      <c r="G1389" s="4561" t="n"/>
      <c r="H1389" s="4561" t="n"/>
      <c r="I1389" s="4562">
        <f>XLOOKUP(B1389,'_Sys|Line_Map'!$A:$A,'_Sys|Line_Map'!$C:$C,"MISSING",0)</f>
        <v/>
      </c>
      <c r="J1389" s="4562">
        <f>XLOOKUP(B1389,'_Sys|Line_Map'!$A:$A,'_Sys|Line_Map'!$D:$D,1,0)</f>
        <v/>
      </c>
      <c r="K1389" s="4562">
        <f>IF(D1389="","",D1389*J1389)</f>
        <v/>
      </c>
      <c r="L1389" s="4562">
        <f>XLOOKUP(B1389,'_Sys|Line_Map'!$A:$A,'_Sys|Line_Map'!$B:$B,"MISSING",0)</f>
        <v/>
      </c>
    </row>
    <row r="1390">
      <c r="A1390" s="4561" t="n"/>
      <c r="B1390" s="4561" t="n"/>
      <c r="C1390" s="4561" t="n"/>
      <c r="D1390" s="4561" t="n"/>
      <c r="E1390" s="4561" t="n"/>
      <c r="F1390" s="4561" t="n"/>
      <c r="G1390" s="4561" t="n"/>
      <c r="H1390" s="4561" t="n"/>
      <c r="I1390" s="4562">
        <f>XLOOKUP(B1390,'_Sys|Line_Map'!$A:$A,'_Sys|Line_Map'!$C:$C,"MISSING",0)</f>
        <v/>
      </c>
      <c r="J1390" s="4562">
        <f>XLOOKUP(B1390,'_Sys|Line_Map'!$A:$A,'_Sys|Line_Map'!$D:$D,1,0)</f>
        <v/>
      </c>
      <c r="K1390" s="4562">
        <f>IF(D1390="","",D1390*J1390)</f>
        <v/>
      </c>
      <c r="L1390" s="4562">
        <f>XLOOKUP(B1390,'_Sys|Line_Map'!$A:$A,'_Sys|Line_Map'!$B:$B,"MISSING",0)</f>
        <v/>
      </c>
    </row>
    <row r="1391">
      <c r="A1391" s="4561" t="n"/>
      <c r="B1391" s="4561" t="n"/>
      <c r="C1391" s="4561" t="n"/>
      <c r="D1391" s="4561" t="n"/>
      <c r="E1391" s="4561" t="n"/>
      <c r="F1391" s="4561" t="n"/>
      <c r="G1391" s="4561" t="n"/>
      <c r="H1391" s="4561" t="n"/>
      <c r="I1391" s="4562">
        <f>XLOOKUP(B1391,'_Sys|Line_Map'!$A:$A,'_Sys|Line_Map'!$C:$C,"MISSING",0)</f>
        <v/>
      </c>
      <c r="J1391" s="4562">
        <f>XLOOKUP(B1391,'_Sys|Line_Map'!$A:$A,'_Sys|Line_Map'!$D:$D,1,0)</f>
        <v/>
      </c>
      <c r="K1391" s="4562">
        <f>IF(D1391="","",D1391*J1391)</f>
        <v/>
      </c>
      <c r="L1391" s="4562">
        <f>XLOOKUP(B1391,'_Sys|Line_Map'!$A:$A,'_Sys|Line_Map'!$B:$B,"MISSING",0)</f>
        <v/>
      </c>
    </row>
    <row r="1392">
      <c r="A1392" s="4561" t="n"/>
      <c r="B1392" s="4561" t="n"/>
      <c r="C1392" s="4561" t="n"/>
      <c r="D1392" s="4561" t="n"/>
      <c r="E1392" s="4561" t="n"/>
      <c r="F1392" s="4561" t="n"/>
      <c r="G1392" s="4561" t="n"/>
      <c r="H1392" s="4561" t="n"/>
      <c r="I1392" s="4562">
        <f>XLOOKUP(B1392,'_Sys|Line_Map'!$A:$A,'_Sys|Line_Map'!$C:$C,"MISSING",0)</f>
        <v/>
      </c>
      <c r="J1392" s="4562">
        <f>XLOOKUP(B1392,'_Sys|Line_Map'!$A:$A,'_Sys|Line_Map'!$D:$D,1,0)</f>
        <v/>
      </c>
      <c r="K1392" s="4562">
        <f>IF(D1392="","",D1392*J1392)</f>
        <v/>
      </c>
      <c r="L1392" s="4562">
        <f>XLOOKUP(B1392,'_Sys|Line_Map'!$A:$A,'_Sys|Line_Map'!$B:$B,"MISSING",0)</f>
        <v/>
      </c>
    </row>
    <row r="1393">
      <c r="A1393" s="4561" t="n"/>
      <c r="B1393" s="4561" t="n"/>
      <c r="C1393" s="4561" t="n"/>
      <c r="D1393" s="4561" t="n"/>
      <c r="E1393" s="4561" t="n"/>
      <c r="F1393" s="4561" t="n"/>
      <c r="G1393" s="4561" t="n"/>
      <c r="H1393" s="4561" t="n"/>
      <c r="I1393" s="4562">
        <f>XLOOKUP(B1393,'_Sys|Line_Map'!$A:$A,'_Sys|Line_Map'!$C:$C,"MISSING",0)</f>
        <v/>
      </c>
      <c r="J1393" s="4562">
        <f>XLOOKUP(B1393,'_Sys|Line_Map'!$A:$A,'_Sys|Line_Map'!$D:$D,1,0)</f>
        <v/>
      </c>
      <c r="K1393" s="4562">
        <f>IF(D1393="","",D1393*J1393)</f>
        <v/>
      </c>
      <c r="L1393" s="4562">
        <f>XLOOKUP(B1393,'_Sys|Line_Map'!$A:$A,'_Sys|Line_Map'!$B:$B,"MISSING",0)</f>
        <v/>
      </c>
    </row>
    <row r="1394">
      <c r="A1394" s="4561" t="n"/>
      <c r="B1394" s="4561" t="n"/>
      <c r="C1394" s="4561" t="n"/>
      <c r="D1394" s="4561" t="n"/>
      <c r="E1394" s="4561" t="n"/>
      <c r="F1394" s="4561" t="n"/>
      <c r="G1394" s="4561" t="n"/>
      <c r="H1394" s="4561" t="n"/>
      <c r="I1394" s="4562">
        <f>XLOOKUP(B1394,'_Sys|Line_Map'!$A:$A,'_Sys|Line_Map'!$C:$C,"MISSING",0)</f>
        <v/>
      </c>
      <c r="J1394" s="4562">
        <f>XLOOKUP(B1394,'_Sys|Line_Map'!$A:$A,'_Sys|Line_Map'!$D:$D,1,0)</f>
        <v/>
      </c>
      <c r="K1394" s="4562">
        <f>IF(D1394="","",D1394*J1394)</f>
        <v/>
      </c>
      <c r="L1394" s="4562">
        <f>XLOOKUP(B1394,'_Sys|Line_Map'!$A:$A,'_Sys|Line_Map'!$B:$B,"MISSING",0)</f>
        <v/>
      </c>
    </row>
    <row r="1395">
      <c r="A1395" s="4561" t="n"/>
      <c r="B1395" s="4561" t="n"/>
      <c r="C1395" s="4561" t="n"/>
      <c r="D1395" s="4561" t="n"/>
      <c r="E1395" s="4561" t="n"/>
      <c r="F1395" s="4561" t="n"/>
      <c r="G1395" s="4561" t="n"/>
      <c r="H1395" s="4561" t="n"/>
      <c r="I1395" s="4562">
        <f>XLOOKUP(B1395,'_Sys|Line_Map'!$A:$A,'_Sys|Line_Map'!$C:$C,"MISSING",0)</f>
        <v/>
      </c>
      <c r="J1395" s="4562">
        <f>XLOOKUP(B1395,'_Sys|Line_Map'!$A:$A,'_Sys|Line_Map'!$D:$D,1,0)</f>
        <v/>
      </c>
      <c r="K1395" s="4562">
        <f>IF(D1395="","",D1395*J1395)</f>
        <v/>
      </c>
      <c r="L1395" s="4562">
        <f>XLOOKUP(B1395,'_Sys|Line_Map'!$A:$A,'_Sys|Line_Map'!$B:$B,"MISSING",0)</f>
        <v/>
      </c>
    </row>
    <row r="1396">
      <c r="A1396" s="4561" t="n"/>
      <c r="B1396" s="4561" t="n"/>
      <c r="C1396" s="4561" t="n"/>
      <c r="D1396" s="4561" t="n"/>
      <c r="E1396" s="4561" t="n"/>
      <c r="F1396" s="4561" t="n"/>
      <c r="G1396" s="4561" t="n"/>
      <c r="H1396" s="4561" t="n"/>
      <c r="I1396" s="4562">
        <f>XLOOKUP(B1396,'_Sys|Line_Map'!$A:$A,'_Sys|Line_Map'!$C:$C,"MISSING",0)</f>
        <v/>
      </c>
      <c r="J1396" s="4562">
        <f>XLOOKUP(B1396,'_Sys|Line_Map'!$A:$A,'_Sys|Line_Map'!$D:$D,1,0)</f>
        <v/>
      </c>
      <c r="K1396" s="4562">
        <f>IF(D1396="","",D1396*J1396)</f>
        <v/>
      </c>
      <c r="L1396" s="4562">
        <f>XLOOKUP(B1396,'_Sys|Line_Map'!$A:$A,'_Sys|Line_Map'!$B:$B,"MISSING",0)</f>
        <v/>
      </c>
    </row>
    <row r="1397">
      <c r="A1397" s="4561" t="n"/>
      <c r="B1397" s="4561" t="n"/>
      <c r="C1397" s="4561" t="n"/>
      <c r="D1397" s="4561" t="n"/>
      <c r="E1397" s="4561" t="n"/>
      <c r="F1397" s="4561" t="n"/>
      <c r="G1397" s="4561" t="n"/>
      <c r="H1397" s="4561" t="n"/>
      <c r="I1397" s="4562">
        <f>XLOOKUP(B1397,'_Sys|Line_Map'!$A:$A,'_Sys|Line_Map'!$C:$C,"MISSING",0)</f>
        <v/>
      </c>
      <c r="J1397" s="4562">
        <f>XLOOKUP(B1397,'_Sys|Line_Map'!$A:$A,'_Sys|Line_Map'!$D:$D,1,0)</f>
        <v/>
      </c>
      <c r="K1397" s="4562">
        <f>IF(D1397="","",D1397*J1397)</f>
        <v/>
      </c>
      <c r="L1397" s="4562">
        <f>XLOOKUP(B1397,'_Sys|Line_Map'!$A:$A,'_Sys|Line_Map'!$B:$B,"MISSING",0)</f>
        <v/>
      </c>
    </row>
    <row r="1398">
      <c r="A1398" s="4561" t="n"/>
      <c r="B1398" s="4561" t="n"/>
      <c r="C1398" s="4561" t="n"/>
      <c r="D1398" s="4561" t="n"/>
      <c r="E1398" s="4561" t="n"/>
      <c r="F1398" s="4561" t="n"/>
      <c r="G1398" s="4561" t="n"/>
      <c r="H1398" s="4561" t="n"/>
      <c r="I1398" s="4562">
        <f>XLOOKUP(B1398,'_Sys|Line_Map'!$A:$A,'_Sys|Line_Map'!$C:$C,"MISSING",0)</f>
        <v/>
      </c>
      <c r="J1398" s="4562">
        <f>XLOOKUP(B1398,'_Sys|Line_Map'!$A:$A,'_Sys|Line_Map'!$D:$D,1,0)</f>
        <v/>
      </c>
      <c r="K1398" s="4562">
        <f>IF(D1398="","",D1398*J1398)</f>
        <v/>
      </c>
      <c r="L1398" s="4562">
        <f>XLOOKUP(B1398,'_Sys|Line_Map'!$A:$A,'_Sys|Line_Map'!$B:$B,"MISSING",0)</f>
        <v/>
      </c>
    </row>
    <row r="1399">
      <c r="A1399" s="4561" t="n"/>
      <c r="B1399" s="4561" t="n"/>
      <c r="C1399" s="4561" t="n"/>
      <c r="D1399" s="4561" t="n"/>
      <c r="E1399" s="4561" t="n"/>
      <c r="F1399" s="4561" t="n"/>
      <c r="G1399" s="4561" t="n"/>
      <c r="H1399" s="4561" t="n"/>
      <c r="I1399" s="4562">
        <f>XLOOKUP(B1399,'_Sys|Line_Map'!$A:$A,'_Sys|Line_Map'!$C:$C,"MISSING",0)</f>
        <v/>
      </c>
      <c r="J1399" s="4562">
        <f>XLOOKUP(B1399,'_Sys|Line_Map'!$A:$A,'_Sys|Line_Map'!$D:$D,1,0)</f>
        <v/>
      </c>
      <c r="K1399" s="4562">
        <f>IF(D1399="","",D1399*J1399)</f>
        <v/>
      </c>
      <c r="L1399" s="4562">
        <f>XLOOKUP(B1399,'_Sys|Line_Map'!$A:$A,'_Sys|Line_Map'!$B:$B,"MISSING",0)</f>
        <v/>
      </c>
    </row>
    <row r="1400">
      <c r="A1400" s="4561" t="n"/>
      <c r="B1400" s="4561" t="n"/>
      <c r="C1400" s="4561" t="n"/>
      <c r="D1400" s="4561" t="n"/>
      <c r="E1400" s="4561" t="n"/>
      <c r="F1400" s="4561" t="n"/>
      <c r="G1400" s="4561" t="n"/>
      <c r="H1400" s="4561" t="n"/>
      <c r="I1400" s="4562">
        <f>XLOOKUP(B1400,'_Sys|Line_Map'!$A:$A,'_Sys|Line_Map'!$C:$C,"MISSING",0)</f>
        <v/>
      </c>
      <c r="J1400" s="4562">
        <f>XLOOKUP(B1400,'_Sys|Line_Map'!$A:$A,'_Sys|Line_Map'!$D:$D,1,0)</f>
        <v/>
      </c>
      <c r="K1400" s="4562">
        <f>IF(D1400="","",D1400*J1400)</f>
        <v/>
      </c>
      <c r="L1400" s="4562">
        <f>XLOOKUP(B1400,'_Sys|Line_Map'!$A:$A,'_Sys|Line_Map'!$B:$B,"MISSING",0)</f>
        <v/>
      </c>
    </row>
    <row r="1401">
      <c r="A1401" s="4561" t="n"/>
      <c r="B1401" s="4561" t="n"/>
      <c r="C1401" s="4561" t="n"/>
      <c r="D1401" s="4561" t="n"/>
      <c r="E1401" s="4561" t="n"/>
      <c r="F1401" s="4561" t="n"/>
      <c r="G1401" s="4561" t="n"/>
      <c r="H1401" s="4561" t="n"/>
      <c r="I1401" s="4562">
        <f>XLOOKUP(B1401,'_Sys|Line_Map'!$A:$A,'_Sys|Line_Map'!$C:$C,"MISSING",0)</f>
        <v/>
      </c>
      <c r="J1401" s="4562">
        <f>XLOOKUP(B1401,'_Sys|Line_Map'!$A:$A,'_Sys|Line_Map'!$D:$D,1,0)</f>
        <v/>
      </c>
      <c r="K1401" s="4562">
        <f>IF(D1401="","",D1401*J1401)</f>
        <v/>
      </c>
      <c r="L1401" s="4562">
        <f>XLOOKUP(B1401,'_Sys|Line_Map'!$A:$A,'_Sys|Line_Map'!$B:$B,"MISSING",0)</f>
        <v/>
      </c>
    </row>
    <row r="1402">
      <c r="A1402" s="4561" t="n"/>
      <c r="B1402" s="4561" t="n"/>
      <c r="C1402" s="4561" t="n"/>
      <c r="D1402" s="4561" t="n"/>
      <c r="E1402" s="4561" t="n"/>
      <c r="F1402" s="4561" t="n"/>
      <c r="G1402" s="4561" t="n"/>
      <c r="H1402" s="4561" t="n"/>
      <c r="I1402" s="4562">
        <f>XLOOKUP(B1402,'_Sys|Line_Map'!$A:$A,'_Sys|Line_Map'!$C:$C,"MISSING",0)</f>
        <v/>
      </c>
      <c r="J1402" s="4562">
        <f>XLOOKUP(B1402,'_Sys|Line_Map'!$A:$A,'_Sys|Line_Map'!$D:$D,1,0)</f>
        <v/>
      </c>
      <c r="K1402" s="4562">
        <f>IF(D1402="","",D1402*J1402)</f>
        <v/>
      </c>
      <c r="L1402" s="4562">
        <f>XLOOKUP(B1402,'_Sys|Line_Map'!$A:$A,'_Sys|Line_Map'!$B:$B,"MISSING",0)</f>
        <v/>
      </c>
    </row>
    <row r="1403">
      <c r="A1403" s="4561" t="n"/>
      <c r="B1403" s="4561" t="n"/>
      <c r="C1403" s="4561" t="n"/>
      <c r="D1403" s="4561" t="n"/>
      <c r="E1403" s="4561" t="n"/>
      <c r="F1403" s="4561" t="n"/>
      <c r="G1403" s="4561" t="n"/>
      <c r="H1403" s="4561" t="n"/>
      <c r="I1403" s="4562">
        <f>XLOOKUP(B1403,'_Sys|Line_Map'!$A:$A,'_Sys|Line_Map'!$C:$C,"MISSING",0)</f>
        <v/>
      </c>
      <c r="J1403" s="4562">
        <f>XLOOKUP(B1403,'_Sys|Line_Map'!$A:$A,'_Sys|Line_Map'!$D:$D,1,0)</f>
        <v/>
      </c>
      <c r="K1403" s="4562">
        <f>IF(D1403="","",D1403*J1403)</f>
        <v/>
      </c>
      <c r="L1403" s="4562">
        <f>XLOOKUP(B1403,'_Sys|Line_Map'!$A:$A,'_Sys|Line_Map'!$B:$B,"MISSING",0)</f>
        <v/>
      </c>
    </row>
    <row r="1404">
      <c r="A1404" s="4561" t="n"/>
      <c r="B1404" s="4561" t="n"/>
      <c r="C1404" s="4561" t="n"/>
      <c r="D1404" s="4561" t="n"/>
      <c r="E1404" s="4561" t="n"/>
      <c r="F1404" s="4561" t="n"/>
      <c r="G1404" s="4561" t="n"/>
      <c r="H1404" s="4561" t="n"/>
      <c r="I1404" s="4562">
        <f>XLOOKUP(B1404,'_Sys|Line_Map'!$A:$A,'_Sys|Line_Map'!$C:$C,"MISSING",0)</f>
        <v/>
      </c>
      <c r="J1404" s="4562">
        <f>XLOOKUP(B1404,'_Sys|Line_Map'!$A:$A,'_Sys|Line_Map'!$D:$D,1,0)</f>
        <v/>
      </c>
      <c r="K1404" s="4562">
        <f>IF(D1404="","",D1404*J1404)</f>
        <v/>
      </c>
      <c r="L1404" s="4562">
        <f>XLOOKUP(B1404,'_Sys|Line_Map'!$A:$A,'_Sys|Line_Map'!$B:$B,"MISSING",0)</f>
        <v/>
      </c>
    </row>
    <row r="1405">
      <c r="A1405" s="4561" t="n"/>
      <c r="B1405" s="4561" t="n"/>
      <c r="C1405" s="4561" t="n"/>
      <c r="D1405" s="4561" t="n"/>
      <c r="E1405" s="4561" t="n"/>
      <c r="F1405" s="4561" t="n"/>
      <c r="G1405" s="4561" t="n"/>
      <c r="H1405" s="4561" t="n"/>
      <c r="I1405" s="4562">
        <f>XLOOKUP(B1405,'_Sys|Line_Map'!$A:$A,'_Sys|Line_Map'!$C:$C,"MISSING",0)</f>
        <v/>
      </c>
      <c r="J1405" s="4562">
        <f>XLOOKUP(B1405,'_Sys|Line_Map'!$A:$A,'_Sys|Line_Map'!$D:$D,1,0)</f>
        <v/>
      </c>
      <c r="K1405" s="4562">
        <f>IF(D1405="","",D1405*J1405)</f>
        <v/>
      </c>
      <c r="L1405" s="4562">
        <f>XLOOKUP(B1405,'_Sys|Line_Map'!$A:$A,'_Sys|Line_Map'!$B:$B,"MISSING",0)</f>
        <v/>
      </c>
    </row>
    <row r="1406">
      <c r="A1406" s="4561" t="n"/>
      <c r="B1406" s="4561" t="n"/>
      <c r="C1406" s="4561" t="n"/>
      <c r="D1406" s="4561" t="n"/>
      <c r="E1406" s="4561" t="n"/>
      <c r="F1406" s="4561" t="n"/>
      <c r="G1406" s="4561" t="n"/>
      <c r="H1406" s="4561" t="n"/>
      <c r="I1406" s="4562">
        <f>XLOOKUP(B1406,'_Sys|Line_Map'!$A:$A,'_Sys|Line_Map'!$C:$C,"MISSING",0)</f>
        <v/>
      </c>
      <c r="J1406" s="4562">
        <f>XLOOKUP(B1406,'_Sys|Line_Map'!$A:$A,'_Sys|Line_Map'!$D:$D,1,0)</f>
        <v/>
      </c>
      <c r="K1406" s="4562">
        <f>IF(D1406="","",D1406*J1406)</f>
        <v/>
      </c>
      <c r="L1406" s="4562">
        <f>XLOOKUP(B1406,'_Sys|Line_Map'!$A:$A,'_Sys|Line_Map'!$B:$B,"MISSING",0)</f>
        <v/>
      </c>
    </row>
    <row r="1407">
      <c r="A1407" s="4561" t="n"/>
      <c r="B1407" s="4561" t="n"/>
      <c r="C1407" s="4561" t="n"/>
      <c r="D1407" s="4561" t="n"/>
      <c r="E1407" s="4561" t="n"/>
      <c r="F1407" s="4561" t="n"/>
      <c r="G1407" s="4561" t="n"/>
      <c r="H1407" s="4561" t="n"/>
      <c r="I1407" s="4562">
        <f>XLOOKUP(B1407,'_Sys|Line_Map'!$A:$A,'_Sys|Line_Map'!$C:$C,"MISSING",0)</f>
        <v/>
      </c>
      <c r="J1407" s="4562">
        <f>XLOOKUP(B1407,'_Sys|Line_Map'!$A:$A,'_Sys|Line_Map'!$D:$D,1,0)</f>
        <v/>
      </c>
      <c r="K1407" s="4562">
        <f>IF(D1407="","",D1407*J1407)</f>
        <v/>
      </c>
      <c r="L1407" s="4562">
        <f>XLOOKUP(B1407,'_Sys|Line_Map'!$A:$A,'_Sys|Line_Map'!$B:$B,"MISSING",0)</f>
        <v/>
      </c>
    </row>
    <row r="1408">
      <c r="A1408" s="4561" t="n"/>
      <c r="B1408" s="4561" t="n"/>
      <c r="C1408" s="4561" t="n"/>
      <c r="D1408" s="4561" t="n"/>
      <c r="E1408" s="4561" t="n"/>
      <c r="F1408" s="4561" t="n"/>
      <c r="G1408" s="4561" t="n"/>
      <c r="H1408" s="4561" t="n"/>
      <c r="I1408" s="4562">
        <f>XLOOKUP(B1408,'_Sys|Line_Map'!$A:$A,'_Sys|Line_Map'!$C:$C,"MISSING",0)</f>
        <v/>
      </c>
      <c r="J1408" s="4562">
        <f>XLOOKUP(B1408,'_Sys|Line_Map'!$A:$A,'_Sys|Line_Map'!$D:$D,1,0)</f>
        <v/>
      </c>
      <c r="K1408" s="4562">
        <f>IF(D1408="","",D1408*J1408)</f>
        <v/>
      </c>
      <c r="L1408" s="4562">
        <f>XLOOKUP(B1408,'_Sys|Line_Map'!$A:$A,'_Sys|Line_Map'!$B:$B,"MISSING",0)</f>
        <v/>
      </c>
    </row>
    <row r="1409">
      <c r="A1409" s="4561" t="n"/>
      <c r="B1409" s="4561" t="n"/>
      <c r="C1409" s="4561" t="n"/>
      <c r="D1409" s="4561" t="n"/>
      <c r="E1409" s="4561" t="n"/>
      <c r="F1409" s="4561" t="n"/>
      <c r="G1409" s="4561" t="n"/>
      <c r="H1409" s="4561" t="n"/>
      <c r="I1409" s="4562">
        <f>XLOOKUP(B1409,'_Sys|Line_Map'!$A:$A,'_Sys|Line_Map'!$C:$C,"MISSING",0)</f>
        <v/>
      </c>
      <c r="J1409" s="4562">
        <f>XLOOKUP(B1409,'_Sys|Line_Map'!$A:$A,'_Sys|Line_Map'!$D:$D,1,0)</f>
        <v/>
      </c>
      <c r="K1409" s="4562">
        <f>IF(D1409="","",D1409*J1409)</f>
        <v/>
      </c>
      <c r="L1409" s="4562">
        <f>XLOOKUP(B1409,'_Sys|Line_Map'!$A:$A,'_Sys|Line_Map'!$B:$B,"MISSING",0)</f>
        <v/>
      </c>
    </row>
    <row r="1410">
      <c r="A1410" s="4561" t="n"/>
      <c r="B1410" s="4561" t="n"/>
      <c r="C1410" s="4561" t="n"/>
      <c r="D1410" s="4561" t="n"/>
      <c r="E1410" s="4561" t="n"/>
      <c r="F1410" s="4561" t="n"/>
      <c r="G1410" s="4561" t="n"/>
      <c r="H1410" s="4561" t="n"/>
      <c r="I1410" s="4562">
        <f>XLOOKUP(B1410,'_Sys|Line_Map'!$A:$A,'_Sys|Line_Map'!$C:$C,"MISSING",0)</f>
        <v/>
      </c>
      <c r="J1410" s="4562">
        <f>XLOOKUP(B1410,'_Sys|Line_Map'!$A:$A,'_Sys|Line_Map'!$D:$D,1,0)</f>
        <v/>
      </c>
      <c r="K1410" s="4562">
        <f>IF(D1410="","",D1410*J1410)</f>
        <v/>
      </c>
      <c r="L1410" s="4562">
        <f>XLOOKUP(B1410,'_Sys|Line_Map'!$A:$A,'_Sys|Line_Map'!$B:$B,"MISSING",0)</f>
        <v/>
      </c>
    </row>
    <row r="1411">
      <c r="A1411" s="4561" t="n"/>
      <c r="B1411" s="4561" t="n"/>
      <c r="C1411" s="4561" t="n"/>
      <c r="D1411" s="4561" t="n"/>
      <c r="E1411" s="4561" t="n"/>
      <c r="F1411" s="4561" t="n"/>
      <c r="G1411" s="4561" t="n"/>
      <c r="H1411" s="4561" t="n"/>
      <c r="I1411" s="4562">
        <f>XLOOKUP(B1411,'_Sys|Line_Map'!$A:$A,'_Sys|Line_Map'!$C:$C,"MISSING",0)</f>
        <v/>
      </c>
      <c r="J1411" s="4562">
        <f>XLOOKUP(B1411,'_Sys|Line_Map'!$A:$A,'_Sys|Line_Map'!$D:$D,1,0)</f>
        <v/>
      </c>
      <c r="K1411" s="4562">
        <f>IF(D1411="","",D1411*J1411)</f>
        <v/>
      </c>
      <c r="L1411" s="4562">
        <f>XLOOKUP(B1411,'_Sys|Line_Map'!$A:$A,'_Sys|Line_Map'!$B:$B,"MISSING",0)</f>
        <v/>
      </c>
    </row>
    <row r="1412">
      <c r="A1412" s="4561" t="n"/>
      <c r="B1412" s="4561" t="n"/>
      <c r="C1412" s="4561" t="n"/>
      <c r="D1412" s="4561" t="n"/>
      <c r="E1412" s="4561" t="n"/>
      <c r="F1412" s="4561" t="n"/>
      <c r="G1412" s="4561" t="n"/>
      <c r="H1412" s="4561" t="n"/>
      <c r="I1412" s="4562">
        <f>XLOOKUP(B1412,'_Sys|Line_Map'!$A:$A,'_Sys|Line_Map'!$C:$C,"MISSING",0)</f>
        <v/>
      </c>
      <c r="J1412" s="4562">
        <f>XLOOKUP(B1412,'_Sys|Line_Map'!$A:$A,'_Sys|Line_Map'!$D:$D,1,0)</f>
        <v/>
      </c>
      <c r="K1412" s="4562">
        <f>IF(D1412="","",D1412*J1412)</f>
        <v/>
      </c>
      <c r="L1412" s="4562">
        <f>XLOOKUP(B1412,'_Sys|Line_Map'!$A:$A,'_Sys|Line_Map'!$B:$B,"MISSING",0)</f>
        <v/>
      </c>
    </row>
    <row r="1413">
      <c r="A1413" s="4561" t="n"/>
      <c r="B1413" s="4561" t="n"/>
      <c r="C1413" s="4561" t="n"/>
      <c r="D1413" s="4561" t="n"/>
      <c r="E1413" s="4561" t="n"/>
      <c r="F1413" s="4561" t="n"/>
      <c r="G1413" s="4561" t="n"/>
      <c r="H1413" s="4561" t="n"/>
      <c r="I1413" s="4562">
        <f>XLOOKUP(B1413,'_Sys|Line_Map'!$A:$A,'_Sys|Line_Map'!$C:$C,"MISSING",0)</f>
        <v/>
      </c>
      <c r="J1413" s="4562">
        <f>XLOOKUP(B1413,'_Sys|Line_Map'!$A:$A,'_Sys|Line_Map'!$D:$D,1,0)</f>
        <v/>
      </c>
      <c r="K1413" s="4562">
        <f>IF(D1413="","",D1413*J1413)</f>
        <v/>
      </c>
      <c r="L1413" s="4562">
        <f>XLOOKUP(B1413,'_Sys|Line_Map'!$A:$A,'_Sys|Line_Map'!$B:$B,"MISSING",0)</f>
        <v/>
      </c>
    </row>
    <row r="1414">
      <c r="A1414" s="4561" t="n"/>
      <c r="B1414" s="4561" t="n"/>
      <c r="C1414" s="4561" t="n"/>
      <c r="D1414" s="4561" t="n"/>
      <c r="E1414" s="4561" t="n"/>
      <c r="F1414" s="4561" t="n"/>
      <c r="G1414" s="4561" t="n"/>
      <c r="H1414" s="4561" t="n"/>
      <c r="I1414" s="4562">
        <f>XLOOKUP(B1414,'_Sys|Line_Map'!$A:$A,'_Sys|Line_Map'!$C:$C,"MISSING",0)</f>
        <v/>
      </c>
      <c r="J1414" s="4562">
        <f>XLOOKUP(B1414,'_Sys|Line_Map'!$A:$A,'_Sys|Line_Map'!$D:$D,1,0)</f>
        <v/>
      </c>
      <c r="K1414" s="4562">
        <f>IF(D1414="","",D1414*J1414)</f>
        <v/>
      </c>
      <c r="L1414" s="4562">
        <f>XLOOKUP(B1414,'_Sys|Line_Map'!$A:$A,'_Sys|Line_Map'!$B:$B,"MISSING",0)</f>
        <v/>
      </c>
    </row>
    <row r="1415">
      <c r="A1415" s="4561" t="n"/>
      <c r="B1415" s="4561" t="n"/>
      <c r="C1415" s="4561" t="n"/>
      <c r="D1415" s="4561" t="n"/>
      <c r="E1415" s="4561" t="n"/>
      <c r="F1415" s="4561" t="n"/>
      <c r="G1415" s="4561" t="n"/>
      <c r="H1415" s="4561" t="n"/>
      <c r="I1415" s="4562">
        <f>XLOOKUP(B1415,'_Sys|Line_Map'!$A:$A,'_Sys|Line_Map'!$C:$C,"MISSING",0)</f>
        <v/>
      </c>
      <c r="J1415" s="4562">
        <f>XLOOKUP(B1415,'_Sys|Line_Map'!$A:$A,'_Sys|Line_Map'!$D:$D,1,0)</f>
        <v/>
      </c>
      <c r="K1415" s="4562">
        <f>IF(D1415="","",D1415*J1415)</f>
        <v/>
      </c>
      <c r="L1415" s="4562">
        <f>XLOOKUP(B1415,'_Sys|Line_Map'!$A:$A,'_Sys|Line_Map'!$B:$B,"MISSING",0)</f>
        <v/>
      </c>
    </row>
    <row r="1416">
      <c r="A1416" s="4561" t="n"/>
      <c r="B1416" s="4561" t="n"/>
      <c r="C1416" s="4561" t="n"/>
      <c r="D1416" s="4561" t="n"/>
      <c r="E1416" s="4561" t="n"/>
      <c r="F1416" s="4561" t="n"/>
      <c r="G1416" s="4561" t="n"/>
      <c r="H1416" s="4561" t="n"/>
      <c r="I1416" s="4562">
        <f>XLOOKUP(B1416,'_Sys|Line_Map'!$A:$A,'_Sys|Line_Map'!$C:$C,"MISSING",0)</f>
        <v/>
      </c>
      <c r="J1416" s="4562">
        <f>XLOOKUP(B1416,'_Sys|Line_Map'!$A:$A,'_Sys|Line_Map'!$D:$D,1,0)</f>
        <v/>
      </c>
      <c r="K1416" s="4562">
        <f>IF(D1416="","",D1416*J1416)</f>
        <v/>
      </c>
      <c r="L1416" s="4562">
        <f>XLOOKUP(B1416,'_Sys|Line_Map'!$A:$A,'_Sys|Line_Map'!$B:$B,"MISSING",0)</f>
        <v/>
      </c>
    </row>
    <row r="1417">
      <c r="A1417" s="4561" t="n"/>
      <c r="B1417" s="4561" t="n"/>
      <c r="C1417" s="4561" t="n"/>
      <c r="D1417" s="4561" t="n"/>
      <c r="E1417" s="4561" t="n"/>
      <c r="F1417" s="4561" t="n"/>
      <c r="G1417" s="4561" t="n"/>
      <c r="H1417" s="4561" t="n"/>
      <c r="I1417" s="4562">
        <f>XLOOKUP(B1417,'_Sys|Line_Map'!$A:$A,'_Sys|Line_Map'!$C:$C,"MISSING",0)</f>
        <v/>
      </c>
      <c r="J1417" s="4562">
        <f>XLOOKUP(B1417,'_Sys|Line_Map'!$A:$A,'_Sys|Line_Map'!$D:$D,1,0)</f>
        <v/>
      </c>
      <c r="K1417" s="4562">
        <f>IF(D1417="","",D1417*J1417)</f>
        <v/>
      </c>
      <c r="L1417" s="4562">
        <f>XLOOKUP(B1417,'_Sys|Line_Map'!$A:$A,'_Sys|Line_Map'!$B:$B,"MISSING",0)</f>
        <v/>
      </c>
    </row>
    <row r="1418">
      <c r="A1418" s="4561" t="n"/>
      <c r="B1418" s="4561" t="n"/>
      <c r="C1418" s="4561" t="n"/>
      <c r="D1418" s="4561" t="n"/>
      <c r="E1418" s="4561" t="n"/>
      <c r="F1418" s="4561" t="n"/>
      <c r="G1418" s="4561" t="n"/>
      <c r="H1418" s="4561" t="n"/>
      <c r="I1418" s="4562">
        <f>XLOOKUP(B1418,'_Sys|Line_Map'!$A:$A,'_Sys|Line_Map'!$C:$C,"MISSING",0)</f>
        <v/>
      </c>
      <c r="J1418" s="4562">
        <f>XLOOKUP(B1418,'_Sys|Line_Map'!$A:$A,'_Sys|Line_Map'!$D:$D,1,0)</f>
        <v/>
      </c>
      <c r="K1418" s="4562">
        <f>IF(D1418="","",D1418*J1418)</f>
        <v/>
      </c>
      <c r="L1418" s="4562">
        <f>XLOOKUP(B1418,'_Sys|Line_Map'!$A:$A,'_Sys|Line_Map'!$B:$B,"MISSING",0)</f>
        <v/>
      </c>
    </row>
    <row r="1419">
      <c r="A1419" s="4561" t="n"/>
      <c r="B1419" s="4561" t="n"/>
      <c r="C1419" s="4561" t="n"/>
      <c r="D1419" s="4561" t="n"/>
      <c r="E1419" s="4561" t="n"/>
      <c r="F1419" s="4561" t="n"/>
      <c r="G1419" s="4561" t="n"/>
      <c r="H1419" s="4561" t="n"/>
      <c r="I1419" s="4562">
        <f>XLOOKUP(B1419,'_Sys|Line_Map'!$A:$A,'_Sys|Line_Map'!$C:$C,"MISSING",0)</f>
        <v/>
      </c>
      <c r="J1419" s="4562">
        <f>XLOOKUP(B1419,'_Sys|Line_Map'!$A:$A,'_Sys|Line_Map'!$D:$D,1,0)</f>
        <v/>
      </c>
      <c r="K1419" s="4562">
        <f>IF(D1419="","",D1419*J1419)</f>
        <v/>
      </c>
      <c r="L1419" s="4562">
        <f>XLOOKUP(B1419,'_Sys|Line_Map'!$A:$A,'_Sys|Line_Map'!$B:$B,"MISSING",0)</f>
        <v/>
      </c>
    </row>
    <row r="1420">
      <c r="A1420" s="4561" t="n"/>
      <c r="B1420" s="4561" t="n"/>
      <c r="C1420" s="4561" t="n"/>
      <c r="D1420" s="4561" t="n"/>
      <c r="E1420" s="4561" t="n"/>
      <c r="F1420" s="4561" t="n"/>
      <c r="G1420" s="4561" t="n"/>
      <c r="H1420" s="4561" t="n"/>
      <c r="I1420" s="4562">
        <f>XLOOKUP(B1420,'_Sys|Line_Map'!$A:$A,'_Sys|Line_Map'!$C:$C,"MISSING",0)</f>
        <v/>
      </c>
      <c r="J1420" s="4562">
        <f>XLOOKUP(B1420,'_Sys|Line_Map'!$A:$A,'_Sys|Line_Map'!$D:$D,1,0)</f>
        <v/>
      </c>
      <c r="K1420" s="4562">
        <f>IF(D1420="","",D1420*J1420)</f>
        <v/>
      </c>
      <c r="L1420" s="4562">
        <f>XLOOKUP(B1420,'_Sys|Line_Map'!$A:$A,'_Sys|Line_Map'!$B:$B,"MISSING",0)</f>
        <v/>
      </c>
    </row>
    <row r="1421">
      <c r="A1421" s="4561" t="n"/>
      <c r="B1421" s="4561" t="n"/>
      <c r="C1421" s="4561" t="n"/>
      <c r="D1421" s="4561" t="n"/>
      <c r="E1421" s="4561" t="n"/>
      <c r="F1421" s="4561" t="n"/>
      <c r="G1421" s="4561" t="n"/>
      <c r="H1421" s="4561" t="n"/>
      <c r="I1421" s="4562">
        <f>XLOOKUP(B1421,'_Sys|Line_Map'!$A:$A,'_Sys|Line_Map'!$C:$C,"MISSING",0)</f>
        <v/>
      </c>
      <c r="J1421" s="4562">
        <f>XLOOKUP(B1421,'_Sys|Line_Map'!$A:$A,'_Sys|Line_Map'!$D:$D,1,0)</f>
        <v/>
      </c>
      <c r="K1421" s="4562">
        <f>IF(D1421="","",D1421*J1421)</f>
        <v/>
      </c>
      <c r="L1421" s="4562">
        <f>XLOOKUP(B1421,'_Sys|Line_Map'!$A:$A,'_Sys|Line_Map'!$B:$B,"MISSING",0)</f>
        <v/>
      </c>
    </row>
    <row r="1422">
      <c r="A1422" s="4561" t="n"/>
      <c r="B1422" s="4561" t="n"/>
      <c r="C1422" s="4561" t="n"/>
      <c r="D1422" s="4561" t="n"/>
      <c r="E1422" s="4561" t="n"/>
      <c r="F1422" s="4561" t="n"/>
      <c r="G1422" s="4561" t="n"/>
      <c r="H1422" s="4561" t="n"/>
      <c r="I1422" s="4562">
        <f>XLOOKUP(B1422,'_Sys|Line_Map'!$A:$A,'_Sys|Line_Map'!$C:$C,"MISSING",0)</f>
        <v/>
      </c>
      <c r="J1422" s="4562">
        <f>XLOOKUP(B1422,'_Sys|Line_Map'!$A:$A,'_Sys|Line_Map'!$D:$D,1,0)</f>
        <v/>
      </c>
      <c r="K1422" s="4562">
        <f>IF(D1422="","",D1422*J1422)</f>
        <v/>
      </c>
      <c r="L1422" s="4562">
        <f>XLOOKUP(B1422,'_Sys|Line_Map'!$A:$A,'_Sys|Line_Map'!$B:$B,"MISSING",0)</f>
        <v/>
      </c>
    </row>
    <row r="1423">
      <c r="A1423" s="4561" t="n"/>
      <c r="B1423" s="4561" t="n"/>
      <c r="C1423" s="4561" t="n"/>
      <c r="D1423" s="4561" t="n"/>
      <c r="E1423" s="4561" t="n"/>
      <c r="F1423" s="4561" t="n"/>
      <c r="G1423" s="4561" t="n"/>
      <c r="H1423" s="4561" t="n"/>
      <c r="I1423" s="4562">
        <f>XLOOKUP(B1423,'_Sys|Line_Map'!$A:$A,'_Sys|Line_Map'!$C:$C,"MISSING",0)</f>
        <v/>
      </c>
      <c r="J1423" s="4562">
        <f>XLOOKUP(B1423,'_Sys|Line_Map'!$A:$A,'_Sys|Line_Map'!$D:$D,1,0)</f>
        <v/>
      </c>
      <c r="K1423" s="4562">
        <f>IF(D1423="","",D1423*J1423)</f>
        <v/>
      </c>
      <c r="L1423" s="4562">
        <f>XLOOKUP(B1423,'_Sys|Line_Map'!$A:$A,'_Sys|Line_Map'!$B:$B,"MISSING",0)</f>
        <v/>
      </c>
    </row>
    <row r="1424">
      <c r="A1424" s="4561" t="n"/>
      <c r="B1424" s="4561" t="n"/>
      <c r="C1424" s="4561" t="n"/>
      <c r="D1424" s="4561" t="n"/>
      <c r="E1424" s="4561" t="n"/>
      <c r="F1424" s="4561" t="n"/>
      <c r="G1424" s="4561" t="n"/>
      <c r="H1424" s="4561" t="n"/>
      <c r="I1424" s="4562">
        <f>XLOOKUP(B1424,'_Sys|Line_Map'!$A:$A,'_Sys|Line_Map'!$C:$C,"MISSING",0)</f>
        <v/>
      </c>
      <c r="J1424" s="4562">
        <f>XLOOKUP(B1424,'_Sys|Line_Map'!$A:$A,'_Sys|Line_Map'!$D:$D,1,0)</f>
        <v/>
      </c>
      <c r="K1424" s="4562">
        <f>IF(D1424="","",D1424*J1424)</f>
        <v/>
      </c>
      <c r="L1424" s="4562">
        <f>XLOOKUP(B1424,'_Sys|Line_Map'!$A:$A,'_Sys|Line_Map'!$B:$B,"MISSING",0)</f>
        <v/>
      </c>
    </row>
    <row r="1425">
      <c r="A1425" s="4561" t="n"/>
      <c r="B1425" s="4561" t="n"/>
      <c r="C1425" s="4561" t="n"/>
      <c r="D1425" s="4561" t="n"/>
      <c r="E1425" s="4561" t="n"/>
      <c r="F1425" s="4561" t="n"/>
      <c r="G1425" s="4561" t="n"/>
      <c r="H1425" s="4561" t="n"/>
      <c r="I1425" s="4562">
        <f>XLOOKUP(B1425,'_Sys|Line_Map'!$A:$A,'_Sys|Line_Map'!$C:$C,"MISSING",0)</f>
        <v/>
      </c>
      <c r="J1425" s="4562">
        <f>XLOOKUP(B1425,'_Sys|Line_Map'!$A:$A,'_Sys|Line_Map'!$D:$D,1,0)</f>
        <v/>
      </c>
      <c r="K1425" s="4562">
        <f>IF(D1425="","",D1425*J1425)</f>
        <v/>
      </c>
      <c r="L1425" s="4562">
        <f>XLOOKUP(B1425,'_Sys|Line_Map'!$A:$A,'_Sys|Line_Map'!$B:$B,"MISSING",0)</f>
        <v/>
      </c>
    </row>
    <row r="1426">
      <c r="A1426" s="4561" t="n"/>
      <c r="B1426" s="4561" t="n"/>
      <c r="C1426" s="4561" t="n"/>
      <c r="D1426" s="4561" t="n"/>
      <c r="E1426" s="4561" t="n"/>
      <c r="F1426" s="4561" t="n"/>
      <c r="G1426" s="4561" t="n"/>
      <c r="H1426" s="4561" t="n"/>
      <c r="I1426" s="4562">
        <f>XLOOKUP(B1426,'_Sys|Line_Map'!$A:$A,'_Sys|Line_Map'!$C:$C,"MISSING",0)</f>
        <v/>
      </c>
      <c r="J1426" s="4562">
        <f>XLOOKUP(B1426,'_Sys|Line_Map'!$A:$A,'_Sys|Line_Map'!$D:$D,1,0)</f>
        <v/>
      </c>
      <c r="K1426" s="4562">
        <f>IF(D1426="","",D1426*J1426)</f>
        <v/>
      </c>
      <c r="L1426" s="4562">
        <f>XLOOKUP(B1426,'_Sys|Line_Map'!$A:$A,'_Sys|Line_Map'!$B:$B,"MISSING",0)</f>
        <v/>
      </c>
    </row>
    <row r="1427">
      <c r="A1427" s="4561" t="n"/>
      <c r="B1427" s="4561" t="n"/>
      <c r="C1427" s="4561" t="n"/>
      <c r="D1427" s="4561" t="n"/>
      <c r="E1427" s="4561" t="n"/>
      <c r="F1427" s="4561" t="n"/>
      <c r="G1427" s="4561" t="n"/>
      <c r="H1427" s="4561" t="n"/>
      <c r="I1427" s="4562">
        <f>XLOOKUP(B1427,'_Sys|Line_Map'!$A:$A,'_Sys|Line_Map'!$C:$C,"MISSING",0)</f>
        <v/>
      </c>
      <c r="J1427" s="4562">
        <f>XLOOKUP(B1427,'_Sys|Line_Map'!$A:$A,'_Sys|Line_Map'!$D:$D,1,0)</f>
        <v/>
      </c>
      <c r="K1427" s="4562">
        <f>IF(D1427="","",D1427*J1427)</f>
        <v/>
      </c>
      <c r="L1427" s="4562">
        <f>XLOOKUP(B1427,'_Sys|Line_Map'!$A:$A,'_Sys|Line_Map'!$B:$B,"MISSING",0)</f>
        <v/>
      </c>
    </row>
    <row r="1428">
      <c r="A1428" s="4561" t="n"/>
      <c r="B1428" s="4561" t="n"/>
      <c r="C1428" s="4561" t="n"/>
      <c r="D1428" s="4561" t="n"/>
      <c r="E1428" s="4561" t="n"/>
      <c r="F1428" s="4561" t="n"/>
      <c r="G1428" s="4561" t="n"/>
      <c r="H1428" s="4561" t="n"/>
      <c r="I1428" s="4562">
        <f>XLOOKUP(B1428,'_Sys|Line_Map'!$A:$A,'_Sys|Line_Map'!$C:$C,"MISSING",0)</f>
        <v/>
      </c>
      <c r="J1428" s="4562">
        <f>XLOOKUP(B1428,'_Sys|Line_Map'!$A:$A,'_Sys|Line_Map'!$D:$D,1,0)</f>
        <v/>
      </c>
      <c r="K1428" s="4562">
        <f>IF(D1428="","",D1428*J1428)</f>
        <v/>
      </c>
      <c r="L1428" s="4562">
        <f>XLOOKUP(B1428,'_Sys|Line_Map'!$A:$A,'_Sys|Line_Map'!$B:$B,"MISSING",0)</f>
        <v/>
      </c>
    </row>
    <row r="1429">
      <c r="A1429" s="4561" t="n"/>
      <c r="B1429" s="4561" t="n"/>
      <c r="C1429" s="4561" t="n"/>
      <c r="D1429" s="4561" t="n"/>
      <c r="E1429" s="4561" t="n"/>
      <c r="F1429" s="4561" t="n"/>
      <c r="G1429" s="4561" t="n"/>
      <c r="H1429" s="4561" t="n"/>
      <c r="I1429" s="4562">
        <f>XLOOKUP(B1429,'_Sys|Line_Map'!$A:$A,'_Sys|Line_Map'!$C:$C,"MISSING",0)</f>
        <v/>
      </c>
      <c r="J1429" s="4562">
        <f>XLOOKUP(B1429,'_Sys|Line_Map'!$A:$A,'_Sys|Line_Map'!$D:$D,1,0)</f>
        <v/>
      </c>
      <c r="K1429" s="4562">
        <f>IF(D1429="","",D1429*J1429)</f>
        <v/>
      </c>
      <c r="L1429" s="4562">
        <f>XLOOKUP(B1429,'_Sys|Line_Map'!$A:$A,'_Sys|Line_Map'!$B:$B,"MISSING",0)</f>
        <v/>
      </c>
    </row>
    <row r="1430">
      <c r="A1430" s="4561" t="n"/>
      <c r="B1430" s="4561" t="n"/>
      <c r="C1430" s="4561" t="n"/>
      <c r="D1430" s="4561" t="n"/>
      <c r="E1430" s="4561" t="n"/>
      <c r="F1430" s="4561" t="n"/>
      <c r="G1430" s="4561" t="n"/>
      <c r="H1430" s="4561" t="n"/>
      <c r="I1430" s="4562">
        <f>XLOOKUP(B1430,'_Sys|Line_Map'!$A:$A,'_Sys|Line_Map'!$C:$C,"MISSING",0)</f>
        <v/>
      </c>
      <c r="J1430" s="4562">
        <f>XLOOKUP(B1430,'_Sys|Line_Map'!$A:$A,'_Sys|Line_Map'!$D:$D,1,0)</f>
        <v/>
      </c>
      <c r="K1430" s="4562">
        <f>IF(D1430="","",D1430*J1430)</f>
        <v/>
      </c>
      <c r="L1430" s="4562">
        <f>XLOOKUP(B1430,'_Sys|Line_Map'!$A:$A,'_Sys|Line_Map'!$B:$B,"MISSING",0)</f>
        <v/>
      </c>
    </row>
    <row r="1431">
      <c r="A1431" s="4561" t="n"/>
      <c r="B1431" s="4561" t="n"/>
      <c r="C1431" s="4561" t="n"/>
      <c r="D1431" s="4561" t="n"/>
      <c r="E1431" s="4561" t="n"/>
      <c r="F1431" s="4561" t="n"/>
      <c r="G1431" s="4561" t="n"/>
      <c r="H1431" s="4561" t="n"/>
      <c r="I1431" s="4562">
        <f>XLOOKUP(B1431,'_Sys|Line_Map'!$A:$A,'_Sys|Line_Map'!$C:$C,"MISSING",0)</f>
        <v/>
      </c>
      <c r="J1431" s="4562">
        <f>XLOOKUP(B1431,'_Sys|Line_Map'!$A:$A,'_Sys|Line_Map'!$D:$D,1,0)</f>
        <v/>
      </c>
      <c r="K1431" s="4562">
        <f>IF(D1431="","",D1431*J1431)</f>
        <v/>
      </c>
      <c r="L1431" s="4562">
        <f>XLOOKUP(B1431,'_Sys|Line_Map'!$A:$A,'_Sys|Line_Map'!$B:$B,"MISSING",0)</f>
        <v/>
      </c>
    </row>
    <row r="1432">
      <c r="A1432" s="4561" t="n"/>
      <c r="B1432" s="4561" t="n"/>
      <c r="C1432" s="4561" t="n"/>
      <c r="D1432" s="4561" t="n"/>
      <c r="E1432" s="4561" t="n"/>
      <c r="F1432" s="4561" t="n"/>
      <c r="G1432" s="4561" t="n"/>
      <c r="H1432" s="4561" t="n"/>
      <c r="I1432" s="4562">
        <f>XLOOKUP(B1432,'_Sys|Line_Map'!$A:$A,'_Sys|Line_Map'!$C:$C,"MISSING",0)</f>
        <v/>
      </c>
      <c r="J1432" s="4562">
        <f>XLOOKUP(B1432,'_Sys|Line_Map'!$A:$A,'_Sys|Line_Map'!$D:$D,1,0)</f>
        <v/>
      </c>
      <c r="K1432" s="4562">
        <f>IF(D1432="","",D1432*J1432)</f>
        <v/>
      </c>
      <c r="L1432" s="4562">
        <f>XLOOKUP(B1432,'_Sys|Line_Map'!$A:$A,'_Sys|Line_Map'!$B:$B,"MISSING",0)</f>
        <v/>
      </c>
    </row>
    <row r="1433">
      <c r="A1433" s="4561" t="n"/>
      <c r="B1433" s="4561" t="n"/>
      <c r="C1433" s="4561" t="n"/>
      <c r="D1433" s="4561" t="n"/>
      <c r="E1433" s="4561" t="n"/>
      <c r="F1433" s="4561" t="n"/>
      <c r="G1433" s="4561" t="n"/>
      <c r="H1433" s="4561" t="n"/>
      <c r="I1433" s="4562">
        <f>XLOOKUP(B1433,'_Sys|Line_Map'!$A:$A,'_Sys|Line_Map'!$C:$C,"MISSING",0)</f>
        <v/>
      </c>
      <c r="J1433" s="4562">
        <f>XLOOKUP(B1433,'_Sys|Line_Map'!$A:$A,'_Sys|Line_Map'!$D:$D,1,0)</f>
        <v/>
      </c>
      <c r="K1433" s="4562">
        <f>IF(D1433="","",D1433*J1433)</f>
        <v/>
      </c>
      <c r="L1433" s="4562">
        <f>XLOOKUP(B1433,'_Sys|Line_Map'!$A:$A,'_Sys|Line_Map'!$B:$B,"MISSING",0)</f>
        <v/>
      </c>
    </row>
    <row r="1434">
      <c r="A1434" s="4561" t="n"/>
      <c r="B1434" s="4561" t="n"/>
      <c r="C1434" s="4561" t="n"/>
      <c r="D1434" s="4561" t="n"/>
      <c r="E1434" s="4561" t="n"/>
      <c r="F1434" s="4561" t="n"/>
      <c r="G1434" s="4561" t="n"/>
      <c r="H1434" s="4561" t="n"/>
      <c r="I1434" s="4562">
        <f>XLOOKUP(B1434,'_Sys|Line_Map'!$A:$A,'_Sys|Line_Map'!$C:$C,"MISSING",0)</f>
        <v/>
      </c>
      <c r="J1434" s="4562">
        <f>XLOOKUP(B1434,'_Sys|Line_Map'!$A:$A,'_Sys|Line_Map'!$D:$D,1,0)</f>
        <v/>
      </c>
      <c r="K1434" s="4562">
        <f>IF(D1434="","",D1434*J1434)</f>
        <v/>
      </c>
      <c r="L1434" s="4562">
        <f>XLOOKUP(B1434,'_Sys|Line_Map'!$A:$A,'_Sys|Line_Map'!$B:$B,"MISSING",0)</f>
        <v/>
      </c>
    </row>
    <row r="1435">
      <c r="A1435" s="4561" t="n"/>
      <c r="B1435" s="4561" t="n"/>
      <c r="C1435" s="4561" t="n"/>
      <c r="D1435" s="4561" t="n"/>
      <c r="E1435" s="4561" t="n"/>
      <c r="F1435" s="4561" t="n"/>
      <c r="G1435" s="4561" t="n"/>
      <c r="H1435" s="4561" t="n"/>
      <c r="I1435" s="4562">
        <f>XLOOKUP(B1435,'_Sys|Line_Map'!$A:$A,'_Sys|Line_Map'!$C:$C,"MISSING",0)</f>
        <v/>
      </c>
      <c r="J1435" s="4562">
        <f>XLOOKUP(B1435,'_Sys|Line_Map'!$A:$A,'_Sys|Line_Map'!$D:$D,1,0)</f>
        <v/>
      </c>
      <c r="K1435" s="4562">
        <f>IF(D1435="","",D1435*J1435)</f>
        <v/>
      </c>
      <c r="L1435" s="4562">
        <f>XLOOKUP(B1435,'_Sys|Line_Map'!$A:$A,'_Sys|Line_Map'!$B:$B,"MISSING",0)</f>
        <v/>
      </c>
    </row>
    <row r="1436">
      <c r="A1436" s="4561" t="n"/>
      <c r="B1436" s="4561" t="n"/>
      <c r="C1436" s="4561" t="n"/>
      <c r="D1436" s="4561" t="n"/>
      <c r="E1436" s="4561" t="n"/>
      <c r="F1436" s="4561" t="n"/>
      <c r="G1436" s="4561" t="n"/>
      <c r="H1436" s="4561" t="n"/>
      <c r="I1436" s="4562">
        <f>XLOOKUP(B1436,'_Sys|Line_Map'!$A:$A,'_Sys|Line_Map'!$C:$C,"MISSING",0)</f>
        <v/>
      </c>
      <c r="J1436" s="4562">
        <f>XLOOKUP(B1436,'_Sys|Line_Map'!$A:$A,'_Sys|Line_Map'!$D:$D,1,0)</f>
        <v/>
      </c>
      <c r="K1436" s="4562">
        <f>IF(D1436="","",D1436*J1436)</f>
        <v/>
      </c>
      <c r="L1436" s="4562">
        <f>XLOOKUP(B1436,'_Sys|Line_Map'!$A:$A,'_Sys|Line_Map'!$B:$B,"MISSING",0)</f>
        <v/>
      </c>
    </row>
    <row r="1437">
      <c r="A1437" s="4561" t="n"/>
      <c r="B1437" s="4561" t="n"/>
      <c r="C1437" s="4561" t="n"/>
      <c r="D1437" s="4561" t="n"/>
      <c r="E1437" s="4561" t="n"/>
      <c r="F1437" s="4561" t="n"/>
      <c r="G1437" s="4561" t="n"/>
      <c r="H1437" s="4561" t="n"/>
      <c r="I1437" s="4562">
        <f>XLOOKUP(B1437,'_Sys|Line_Map'!$A:$A,'_Sys|Line_Map'!$C:$C,"MISSING",0)</f>
        <v/>
      </c>
      <c r="J1437" s="4562">
        <f>XLOOKUP(B1437,'_Sys|Line_Map'!$A:$A,'_Sys|Line_Map'!$D:$D,1,0)</f>
        <v/>
      </c>
      <c r="K1437" s="4562">
        <f>IF(D1437="","",D1437*J1437)</f>
        <v/>
      </c>
      <c r="L1437" s="4562">
        <f>XLOOKUP(B1437,'_Sys|Line_Map'!$A:$A,'_Sys|Line_Map'!$B:$B,"MISSING",0)</f>
        <v/>
      </c>
    </row>
    <row r="1438">
      <c r="A1438" s="4561" t="n"/>
      <c r="B1438" s="4561" t="n"/>
      <c r="C1438" s="4561" t="n"/>
      <c r="D1438" s="4561" t="n"/>
      <c r="E1438" s="4561" t="n"/>
      <c r="F1438" s="4561" t="n"/>
      <c r="G1438" s="4561" t="n"/>
      <c r="H1438" s="4561" t="n"/>
      <c r="I1438" s="4562">
        <f>XLOOKUP(B1438,'_Sys|Line_Map'!$A:$A,'_Sys|Line_Map'!$C:$C,"MISSING",0)</f>
        <v/>
      </c>
      <c r="J1438" s="4562">
        <f>XLOOKUP(B1438,'_Sys|Line_Map'!$A:$A,'_Sys|Line_Map'!$D:$D,1,0)</f>
        <v/>
      </c>
      <c r="K1438" s="4562">
        <f>IF(D1438="","",D1438*J1438)</f>
        <v/>
      </c>
      <c r="L1438" s="4562">
        <f>XLOOKUP(B1438,'_Sys|Line_Map'!$A:$A,'_Sys|Line_Map'!$B:$B,"MISSING",0)</f>
        <v/>
      </c>
    </row>
    <row r="1439">
      <c r="A1439" s="4561" t="n"/>
      <c r="B1439" s="4561" t="n"/>
      <c r="C1439" s="4561" t="n"/>
      <c r="D1439" s="4561" t="n"/>
      <c r="E1439" s="4561" t="n"/>
      <c r="F1439" s="4561" t="n"/>
      <c r="G1439" s="4561" t="n"/>
      <c r="H1439" s="4561" t="n"/>
      <c r="I1439" s="4562">
        <f>XLOOKUP(B1439,'_Sys|Line_Map'!$A:$A,'_Sys|Line_Map'!$C:$C,"MISSING",0)</f>
        <v/>
      </c>
      <c r="J1439" s="4562">
        <f>XLOOKUP(B1439,'_Sys|Line_Map'!$A:$A,'_Sys|Line_Map'!$D:$D,1,0)</f>
        <v/>
      </c>
      <c r="K1439" s="4562">
        <f>IF(D1439="","",D1439*J1439)</f>
        <v/>
      </c>
      <c r="L1439" s="4562">
        <f>XLOOKUP(B1439,'_Sys|Line_Map'!$A:$A,'_Sys|Line_Map'!$B:$B,"MISSING",0)</f>
        <v/>
      </c>
    </row>
    <row r="1440">
      <c r="A1440" s="4561" t="n"/>
      <c r="B1440" s="4561" t="n"/>
      <c r="C1440" s="4561" t="n"/>
      <c r="D1440" s="4561" t="n"/>
      <c r="E1440" s="4561" t="n"/>
      <c r="F1440" s="4561" t="n"/>
      <c r="G1440" s="4561" t="n"/>
      <c r="H1440" s="4561" t="n"/>
      <c r="I1440" s="4562">
        <f>XLOOKUP(B1440,'_Sys|Line_Map'!$A:$A,'_Sys|Line_Map'!$C:$C,"MISSING",0)</f>
        <v/>
      </c>
      <c r="J1440" s="4562">
        <f>XLOOKUP(B1440,'_Sys|Line_Map'!$A:$A,'_Sys|Line_Map'!$D:$D,1,0)</f>
        <v/>
      </c>
      <c r="K1440" s="4562">
        <f>IF(D1440="","",D1440*J1440)</f>
        <v/>
      </c>
      <c r="L1440" s="4562">
        <f>XLOOKUP(B1440,'_Sys|Line_Map'!$A:$A,'_Sys|Line_Map'!$B:$B,"MISSING",0)</f>
        <v/>
      </c>
    </row>
    <row r="1441">
      <c r="A1441" s="4561" t="n"/>
      <c r="B1441" s="4561" t="n"/>
      <c r="C1441" s="4561" t="n"/>
      <c r="D1441" s="4561" t="n"/>
      <c r="E1441" s="4561" t="n"/>
      <c r="F1441" s="4561" t="n"/>
      <c r="G1441" s="4561" t="n"/>
      <c r="H1441" s="4561" t="n"/>
      <c r="I1441" s="4562">
        <f>XLOOKUP(B1441,'_Sys|Line_Map'!$A:$A,'_Sys|Line_Map'!$C:$C,"MISSING",0)</f>
        <v/>
      </c>
      <c r="J1441" s="4562">
        <f>XLOOKUP(B1441,'_Sys|Line_Map'!$A:$A,'_Sys|Line_Map'!$D:$D,1,0)</f>
        <v/>
      </c>
      <c r="K1441" s="4562">
        <f>IF(D1441="","",D1441*J1441)</f>
        <v/>
      </c>
      <c r="L1441" s="4562">
        <f>XLOOKUP(B1441,'_Sys|Line_Map'!$A:$A,'_Sys|Line_Map'!$B:$B,"MISSING",0)</f>
        <v/>
      </c>
    </row>
    <row r="1442">
      <c r="A1442" s="4561" t="n"/>
      <c r="B1442" s="4561" t="n"/>
      <c r="C1442" s="4561" t="n"/>
      <c r="D1442" s="4561" t="n"/>
      <c r="E1442" s="4561" t="n"/>
      <c r="F1442" s="4561" t="n"/>
      <c r="G1442" s="4561" t="n"/>
      <c r="H1442" s="4561" t="n"/>
      <c r="I1442" s="4562">
        <f>XLOOKUP(B1442,'_Sys|Line_Map'!$A:$A,'_Sys|Line_Map'!$C:$C,"MISSING",0)</f>
        <v/>
      </c>
      <c r="J1442" s="4562">
        <f>XLOOKUP(B1442,'_Sys|Line_Map'!$A:$A,'_Sys|Line_Map'!$D:$D,1,0)</f>
        <v/>
      </c>
      <c r="K1442" s="4562">
        <f>IF(D1442="","",D1442*J1442)</f>
        <v/>
      </c>
      <c r="L1442" s="4562">
        <f>XLOOKUP(B1442,'_Sys|Line_Map'!$A:$A,'_Sys|Line_Map'!$B:$B,"MISSING",0)</f>
        <v/>
      </c>
    </row>
    <row r="1443">
      <c r="A1443" s="4561" t="n"/>
      <c r="B1443" s="4561" t="n"/>
      <c r="C1443" s="4561" t="n"/>
      <c r="D1443" s="4561" t="n"/>
      <c r="E1443" s="4561" t="n"/>
      <c r="F1443" s="4561" t="n"/>
      <c r="G1443" s="4561" t="n"/>
      <c r="H1443" s="4561" t="n"/>
      <c r="I1443" s="4562">
        <f>XLOOKUP(B1443,'_Sys|Line_Map'!$A:$A,'_Sys|Line_Map'!$C:$C,"MISSING",0)</f>
        <v/>
      </c>
      <c r="J1443" s="4562">
        <f>XLOOKUP(B1443,'_Sys|Line_Map'!$A:$A,'_Sys|Line_Map'!$D:$D,1,0)</f>
        <v/>
      </c>
      <c r="K1443" s="4562">
        <f>IF(D1443="","",D1443*J1443)</f>
        <v/>
      </c>
      <c r="L1443" s="4562">
        <f>XLOOKUP(B1443,'_Sys|Line_Map'!$A:$A,'_Sys|Line_Map'!$B:$B,"MISSING",0)</f>
        <v/>
      </c>
    </row>
    <row r="1444">
      <c r="A1444" s="4561" t="n"/>
      <c r="B1444" s="4561" t="n"/>
      <c r="C1444" s="4561" t="n"/>
      <c r="D1444" s="4561" t="n"/>
      <c r="E1444" s="4561" t="n"/>
      <c r="F1444" s="4561" t="n"/>
      <c r="G1444" s="4561" t="n"/>
      <c r="H1444" s="4561" t="n"/>
      <c r="I1444" s="4562">
        <f>XLOOKUP(B1444,'_Sys|Line_Map'!$A:$A,'_Sys|Line_Map'!$C:$C,"MISSING",0)</f>
        <v/>
      </c>
      <c r="J1444" s="4562">
        <f>XLOOKUP(B1444,'_Sys|Line_Map'!$A:$A,'_Sys|Line_Map'!$D:$D,1,0)</f>
        <v/>
      </c>
      <c r="K1444" s="4562">
        <f>IF(D1444="","",D1444*J1444)</f>
        <v/>
      </c>
      <c r="L1444" s="4562">
        <f>XLOOKUP(B1444,'_Sys|Line_Map'!$A:$A,'_Sys|Line_Map'!$B:$B,"MISSING",0)</f>
        <v/>
      </c>
    </row>
    <row r="1445">
      <c r="A1445" s="4561" t="n"/>
      <c r="B1445" s="4561" t="n"/>
      <c r="C1445" s="4561" t="n"/>
      <c r="D1445" s="4561" t="n"/>
      <c r="E1445" s="4561" t="n"/>
      <c r="F1445" s="4561" t="n"/>
      <c r="G1445" s="4561" t="n"/>
      <c r="H1445" s="4561" t="n"/>
      <c r="I1445" s="4562">
        <f>XLOOKUP(B1445,'_Sys|Line_Map'!$A:$A,'_Sys|Line_Map'!$C:$C,"MISSING",0)</f>
        <v/>
      </c>
      <c r="J1445" s="4562">
        <f>XLOOKUP(B1445,'_Sys|Line_Map'!$A:$A,'_Sys|Line_Map'!$D:$D,1,0)</f>
        <v/>
      </c>
      <c r="K1445" s="4562">
        <f>IF(D1445="","",D1445*J1445)</f>
        <v/>
      </c>
      <c r="L1445" s="4562">
        <f>XLOOKUP(B1445,'_Sys|Line_Map'!$A:$A,'_Sys|Line_Map'!$B:$B,"MISSING",0)</f>
        <v/>
      </c>
    </row>
    <row r="1446">
      <c r="A1446" s="4561" t="n"/>
      <c r="B1446" s="4561" t="n"/>
      <c r="C1446" s="4561" t="n"/>
      <c r="D1446" s="4561" t="n"/>
      <c r="E1446" s="4561" t="n"/>
      <c r="F1446" s="4561" t="n"/>
      <c r="G1446" s="4561" t="n"/>
      <c r="H1446" s="4561" t="n"/>
      <c r="I1446" s="4562">
        <f>XLOOKUP(B1446,'_Sys|Line_Map'!$A:$A,'_Sys|Line_Map'!$C:$C,"MISSING",0)</f>
        <v/>
      </c>
      <c r="J1446" s="4562">
        <f>XLOOKUP(B1446,'_Sys|Line_Map'!$A:$A,'_Sys|Line_Map'!$D:$D,1,0)</f>
        <v/>
      </c>
      <c r="K1446" s="4562">
        <f>IF(D1446="","",D1446*J1446)</f>
        <v/>
      </c>
      <c r="L1446" s="4562">
        <f>XLOOKUP(B1446,'_Sys|Line_Map'!$A:$A,'_Sys|Line_Map'!$B:$B,"MISSING",0)</f>
        <v/>
      </c>
    </row>
    <row r="1447">
      <c r="A1447" s="4561" t="n"/>
      <c r="B1447" s="4561" t="n"/>
      <c r="C1447" s="4561" t="n"/>
      <c r="D1447" s="4561" t="n"/>
      <c r="E1447" s="4561" t="n"/>
      <c r="F1447" s="4561" t="n"/>
      <c r="G1447" s="4561" t="n"/>
      <c r="H1447" s="4561" t="n"/>
      <c r="I1447" s="4562">
        <f>XLOOKUP(B1447,'_Sys|Line_Map'!$A:$A,'_Sys|Line_Map'!$C:$C,"MISSING",0)</f>
        <v/>
      </c>
      <c r="J1447" s="4562">
        <f>XLOOKUP(B1447,'_Sys|Line_Map'!$A:$A,'_Sys|Line_Map'!$D:$D,1,0)</f>
        <v/>
      </c>
      <c r="K1447" s="4562">
        <f>IF(D1447="","",D1447*J1447)</f>
        <v/>
      </c>
      <c r="L1447" s="4562">
        <f>XLOOKUP(B1447,'_Sys|Line_Map'!$A:$A,'_Sys|Line_Map'!$B:$B,"MISSING",0)</f>
        <v/>
      </c>
    </row>
    <row r="1448">
      <c r="A1448" s="4561" t="n"/>
      <c r="B1448" s="4561" t="n"/>
      <c r="C1448" s="4561" t="n"/>
      <c r="D1448" s="4561" t="n"/>
      <c r="E1448" s="4561" t="n"/>
      <c r="F1448" s="4561" t="n"/>
      <c r="G1448" s="4561" t="n"/>
      <c r="H1448" s="4561" t="n"/>
      <c r="I1448" s="4562">
        <f>XLOOKUP(B1448,'_Sys|Line_Map'!$A:$A,'_Sys|Line_Map'!$C:$C,"MISSING",0)</f>
        <v/>
      </c>
      <c r="J1448" s="4562">
        <f>XLOOKUP(B1448,'_Sys|Line_Map'!$A:$A,'_Sys|Line_Map'!$D:$D,1,0)</f>
        <v/>
      </c>
      <c r="K1448" s="4562">
        <f>IF(D1448="","",D1448*J1448)</f>
        <v/>
      </c>
      <c r="L1448" s="4562">
        <f>XLOOKUP(B1448,'_Sys|Line_Map'!$A:$A,'_Sys|Line_Map'!$B:$B,"MISSING",0)</f>
        <v/>
      </c>
    </row>
    <row r="1449">
      <c r="A1449" s="4561" t="n"/>
      <c r="B1449" s="4561" t="n"/>
      <c r="C1449" s="4561" t="n"/>
      <c r="D1449" s="4561" t="n"/>
      <c r="E1449" s="4561" t="n"/>
      <c r="F1449" s="4561" t="n"/>
      <c r="G1449" s="4561" t="n"/>
      <c r="H1449" s="4561" t="n"/>
      <c r="I1449" s="4562">
        <f>XLOOKUP(B1449,'_Sys|Line_Map'!$A:$A,'_Sys|Line_Map'!$C:$C,"MISSING",0)</f>
        <v/>
      </c>
      <c r="J1449" s="4562">
        <f>XLOOKUP(B1449,'_Sys|Line_Map'!$A:$A,'_Sys|Line_Map'!$D:$D,1,0)</f>
        <v/>
      </c>
      <c r="K1449" s="4562">
        <f>IF(D1449="","",D1449*J1449)</f>
        <v/>
      </c>
      <c r="L1449" s="4562">
        <f>XLOOKUP(B1449,'_Sys|Line_Map'!$A:$A,'_Sys|Line_Map'!$B:$B,"MISSING",0)</f>
        <v/>
      </c>
    </row>
    <row r="1450">
      <c r="A1450" s="4561" t="n"/>
      <c r="B1450" s="4561" t="n"/>
      <c r="C1450" s="4561" t="n"/>
      <c r="D1450" s="4561" t="n"/>
      <c r="E1450" s="4561" t="n"/>
      <c r="F1450" s="4561" t="n"/>
      <c r="G1450" s="4561" t="n"/>
      <c r="H1450" s="4561" t="n"/>
      <c r="I1450" s="4562">
        <f>XLOOKUP(B1450,'_Sys|Line_Map'!$A:$A,'_Sys|Line_Map'!$C:$C,"MISSING",0)</f>
        <v/>
      </c>
      <c r="J1450" s="4562">
        <f>XLOOKUP(B1450,'_Sys|Line_Map'!$A:$A,'_Sys|Line_Map'!$D:$D,1,0)</f>
        <v/>
      </c>
      <c r="K1450" s="4562">
        <f>IF(D1450="","",D1450*J1450)</f>
        <v/>
      </c>
      <c r="L1450" s="4562">
        <f>XLOOKUP(B1450,'_Sys|Line_Map'!$A:$A,'_Sys|Line_Map'!$B:$B,"MISSING",0)</f>
        <v/>
      </c>
    </row>
    <row r="1451">
      <c r="A1451" s="4561" t="n"/>
      <c r="B1451" s="4561" t="n"/>
      <c r="C1451" s="4561" t="n"/>
      <c r="D1451" s="4561" t="n"/>
      <c r="E1451" s="4561" t="n"/>
      <c r="F1451" s="4561" t="n"/>
      <c r="G1451" s="4561" t="n"/>
      <c r="H1451" s="4561" t="n"/>
      <c r="I1451" s="4562">
        <f>XLOOKUP(B1451,'_Sys|Line_Map'!$A:$A,'_Sys|Line_Map'!$C:$C,"MISSING",0)</f>
        <v/>
      </c>
      <c r="J1451" s="4562">
        <f>XLOOKUP(B1451,'_Sys|Line_Map'!$A:$A,'_Sys|Line_Map'!$D:$D,1,0)</f>
        <v/>
      </c>
      <c r="K1451" s="4562">
        <f>IF(D1451="","",D1451*J1451)</f>
        <v/>
      </c>
      <c r="L1451" s="4562">
        <f>XLOOKUP(B1451,'_Sys|Line_Map'!$A:$A,'_Sys|Line_Map'!$B:$B,"MISSING",0)</f>
        <v/>
      </c>
    </row>
    <row r="1452">
      <c r="A1452" s="4561" t="n"/>
      <c r="B1452" s="4561" t="n"/>
      <c r="C1452" s="4561" t="n"/>
      <c r="D1452" s="4561" t="n"/>
      <c r="E1452" s="4561" t="n"/>
      <c r="F1452" s="4561" t="n"/>
      <c r="G1452" s="4561" t="n"/>
      <c r="H1452" s="4561" t="n"/>
      <c r="I1452" s="4562">
        <f>XLOOKUP(B1452,'_Sys|Line_Map'!$A:$A,'_Sys|Line_Map'!$C:$C,"MISSING",0)</f>
        <v/>
      </c>
      <c r="J1452" s="4562">
        <f>XLOOKUP(B1452,'_Sys|Line_Map'!$A:$A,'_Sys|Line_Map'!$D:$D,1,0)</f>
        <v/>
      </c>
      <c r="K1452" s="4562">
        <f>IF(D1452="","",D1452*J1452)</f>
        <v/>
      </c>
      <c r="L1452" s="4562">
        <f>XLOOKUP(B1452,'_Sys|Line_Map'!$A:$A,'_Sys|Line_Map'!$B:$B,"MISSING",0)</f>
        <v/>
      </c>
    </row>
    <row r="1453">
      <c r="A1453" s="4561" t="n"/>
      <c r="B1453" s="4561" t="n"/>
      <c r="C1453" s="4561" t="n"/>
      <c r="D1453" s="4561" t="n"/>
      <c r="E1453" s="4561" t="n"/>
      <c r="F1453" s="4561" t="n"/>
      <c r="G1453" s="4561" t="n"/>
      <c r="H1453" s="4561" t="n"/>
      <c r="I1453" s="4562">
        <f>XLOOKUP(B1453,'_Sys|Line_Map'!$A:$A,'_Sys|Line_Map'!$C:$C,"MISSING",0)</f>
        <v/>
      </c>
      <c r="J1453" s="4562">
        <f>XLOOKUP(B1453,'_Sys|Line_Map'!$A:$A,'_Sys|Line_Map'!$D:$D,1,0)</f>
        <v/>
      </c>
      <c r="K1453" s="4562">
        <f>IF(D1453="","",D1453*J1453)</f>
        <v/>
      </c>
      <c r="L1453" s="4562">
        <f>XLOOKUP(B1453,'_Sys|Line_Map'!$A:$A,'_Sys|Line_Map'!$B:$B,"MISSING",0)</f>
        <v/>
      </c>
    </row>
    <row r="1454">
      <c r="A1454" s="4561" t="n"/>
      <c r="B1454" s="4561" t="n"/>
      <c r="C1454" s="4561" t="n"/>
      <c r="D1454" s="4561" t="n"/>
      <c r="E1454" s="4561" t="n"/>
      <c r="F1454" s="4561" t="n"/>
      <c r="G1454" s="4561" t="n"/>
      <c r="H1454" s="4561" t="n"/>
      <c r="I1454" s="4562">
        <f>XLOOKUP(B1454,'_Sys|Line_Map'!$A:$A,'_Sys|Line_Map'!$C:$C,"MISSING",0)</f>
        <v/>
      </c>
      <c r="J1454" s="4562">
        <f>XLOOKUP(B1454,'_Sys|Line_Map'!$A:$A,'_Sys|Line_Map'!$D:$D,1,0)</f>
        <v/>
      </c>
      <c r="K1454" s="4562">
        <f>IF(D1454="","",D1454*J1454)</f>
        <v/>
      </c>
      <c r="L1454" s="4562">
        <f>XLOOKUP(B1454,'_Sys|Line_Map'!$A:$A,'_Sys|Line_Map'!$B:$B,"MISSING",0)</f>
        <v/>
      </c>
    </row>
    <row r="1455">
      <c r="A1455" s="4561" t="n"/>
      <c r="B1455" s="4561" t="n"/>
      <c r="C1455" s="4561" t="n"/>
      <c r="D1455" s="4561" t="n"/>
      <c r="E1455" s="4561" t="n"/>
      <c r="F1455" s="4561" t="n"/>
      <c r="G1455" s="4561" t="n"/>
      <c r="H1455" s="4561" t="n"/>
      <c r="I1455" s="4562">
        <f>XLOOKUP(B1455,'_Sys|Line_Map'!$A:$A,'_Sys|Line_Map'!$C:$C,"MISSING",0)</f>
        <v/>
      </c>
      <c r="J1455" s="4562">
        <f>XLOOKUP(B1455,'_Sys|Line_Map'!$A:$A,'_Sys|Line_Map'!$D:$D,1,0)</f>
        <v/>
      </c>
      <c r="K1455" s="4562">
        <f>IF(D1455="","",D1455*J1455)</f>
        <v/>
      </c>
      <c r="L1455" s="4562">
        <f>XLOOKUP(B1455,'_Sys|Line_Map'!$A:$A,'_Sys|Line_Map'!$B:$B,"MISSING",0)</f>
        <v/>
      </c>
    </row>
    <row r="1456">
      <c r="A1456" s="4561" t="n"/>
      <c r="B1456" s="4561" t="n"/>
      <c r="C1456" s="4561" t="n"/>
      <c r="D1456" s="4561" t="n"/>
      <c r="E1456" s="4561" t="n"/>
      <c r="F1456" s="4561" t="n"/>
      <c r="G1456" s="4561" t="n"/>
      <c r="H1456" s="4561" t="n"/>
      <c r="I1456" s="4562">
        <f>XLOOKUP(B1456,'_Sys|Line_Map'!$A:$A,'_Sys|Line_Map'!$C:$C,"MISSING",0)</f>
        <v/>
      </c>
      <c r="J1456" s="4562">
        <f>XLOOKUP(B1456,'_Sys|Line_Map'!$A:$A,'_Sys|Line_Map'!$D:$D,1,0)</f>
        <v/>
      </c>
      <c r="K1456" s="4562">
        <f>IF(D1456="","",D1456*J1456)</f>
        <v/>
      </c>
      <c r="L1456" s="4562">
        <f>XLOOKUP(B1456,'_Sys|Line_Map'!$A:$A,'_Sys|Line_Map'!$B:$B,"MISSING",0)</f>
        <v/>
      </c>
    </row>
    <row r="1457">
      <c r="A1457" s="4561" t="n"/>
      <c r="B1457" s="4561" t="n"/>
      <c r="C1457" s="4561" t="n"/>
      <c r="D1457" s="4561" t="n"/>
      <c r="E1457" s="4561" t="n"/>
      <c r="F1457" s="4561" t="n"/>
      <c r="G1457" s="4561" t="n"/>
      <c r="H1457" s="4561" t="n"/>
      <c r="I1457" s="4562">
        <f>XLOOKUP(B1457,'_Sys|Line_Map'!$A:$A,'_Sys|Line_Map'!$C:$C,"MISSING",0)</f>
        <v/>
      </c>
      <c r="J1457" s="4562">
        <f>XLOOKUP(B1457,'_Sys|Line_Map'!$A:$A,'_Sys|Line_Map'!$D:$D,1,0)</f>
        <v/>
      </c>
      <c r="K1457" s="4562">
        <f>IF(D1457="","",D1457*J1457)</f>
        <v/>
      </c>
      <c r="L1457" s="4562">
        <f>XLOOKUP(B1457,'_Sys|Line_Map'!$A:$A,'_Sys|Line_Map'!$B:$B,"MISSING",0)</f>
        <v/>
      </c>
    </row>
    <row r="1458">
      <c r="A1458" s="4561" t="n"/>
      <c r="B1458" s="4561" t="n"/>
      <c r="C1458" s="4561" t="n"/>
      <c r="D1458" s="4561" t="n"/>
      <c r="E1458" s="4561" t="n"/>
      <c r="F1458" s="4561" t="n"/>
      <c r="G1458" s="4561" t="n"/>
      <c r="H1458" s="4561" t="n"/>
      <c r="I1458" s="4562">
        <f>XLOOKUP(B1458,'_Sys|Line_Map'!$A:$A,'_Sys|Line_Map'!$C:$C,"MISSING",0)</f>
        <v/>
      </c>
      <c r="J1458" s="4562">
        <f>XLOOKUP(B1458,'_Sys|Line_Map'!$A:$A,'_Sys|Line_Map'!$D:$D,1,0)</f>
        <v/>
      </c>
      <c r="K1458" s="4562">
        <f>IF(D1458="","",D1458*J1458)</f>
        <v/>
      </c>
      <c r="L1458" s="4562">
        <f>XLOOKUP(B1458,'_Sys|Line_Map'!$A:$A,'_Sys|Line_Map'!$B:$B,"MISSING",0)</f>
        <v/>
      </c>
    </row>
    <row r="1459">
      <c r="A1459" s="4561" t="n"/>
      <c r="B1459" s="4561" t="n"/>
      <c r="C1459" s="4561" t="n"/>
      <c r="D1459" s="4561" t="n"/>
      <c r="E1459" s="4561" t="n"/>
      <c r="F1459" s="4561" t="n"/>
      <c r="G1459" s="4561" t="n"/>
      <c r="H1459" s="4561" t="n"/>
      <c r="I1459" s="4562">
        <f>XLOOKUP(B1459,'_Sys|Line_Map'!$A:$A,'_Sys|Line_Map'!$C:$C,"MISSING",0)</f>
        <v/>
      </c>
      <c r="J1459" s="4562">
        <f>XLOOKUP(B1459,'_Sys|Line_Map'!$A:$A,'_Sys|Line_Map'!$D:$D,1,0)</f>
        <v/>
      </c>
      <c r="K1459" s="4562">
        <f>IF(D1459="","",D1459*J1459)</f>
        <v/>
      </c>
      <c r="L1459" s="4562">
        <f>XLOOKUP(B1459,'_Sys|Line_Map'!$A:$A,'_Sys|Line_Map'!$B:$B,"MISSING",0)</f>
        <v/>
      </c>
    </row>
    <row r="1460">
      <c r="A1460" s="4561" t="n"/>
      <c r="B1460" s="4561" t="n"/>
      <c r="C1460" s="4561" t="n"/>
      <c r="D1460" s="4561" t="n"/>
      <c r="E1460" s="4561" t="n"/>
      <c r="F1460" s="4561" t="n"/>
      <c r="G1460" s="4561" t="n"/>
      <c r="H1460" s="4561" t="n"/>
      <c r="I1460" s="4562">
        <f>XLOOKUP(B1460,'_Sys|Line_Map'!$A:$A,'_Sys|Line_Map'!$C:$C,"MISSING",0)</f>
        <v/>
      </c>
      <c r="J1460" s="4562">
        <f>XLOOKUP(B1460,'_Sys|Line_Map'!$A:$A,'_Sys|Line_Map'!$D:$D,1,0)</f>
        <v/>
      </c>
      <c r="K1460" s="4562">
        <f>IF(D1460="","",D1460*J1460)</f>
        <v/>
      </c>
      <c r="L1460" s="4562">
        <f>XLOOKUP(B1460,'_Sys|Line_Map'!$A:$A,'_Sys|Line_Map'!$B:$B,"MISSING",0)</f>
        <v/>
      </c>
    </row>
    <row r="1461">
      <c r="A1461" s="4561" t="n"/>
      <c r="B1461" s="4561" t="n"/>
      <c r="C1461" s="4561" t="n"/>
      <c r="D1461" s="4561" t="n"/>
      <c r="E1461" s="4561" t="n"/>
      <c r="F1461" s="4561" t="n"/>
      <c r="G1461" s="4561" t="n"/>
      <c r="H1461" s="4561" t="n"/>
      <c r="I1461" s="4562">
        <f>XLOOKUP(B1461,'_Sys|Line_Map'!$A:$A,'_Sys|Line_Map'!$C:$C,"MISSING",0)</f>
        <v/>
      </c>
      <c r="J1461" s="4562">
        <f>XLOOKUP(B1461,'_Sys|Line_Map'!$A:$A,'_Sys|Line_Map'!$D:$D,1,0)</f>
        <v/>
      </c>
      <c r="K1461" s="4562">
        <f>IF(D1461="","",D1461*J1461)</f>
        <v/>
      </c>
      <c r="L1461" s="4562">
        <f>XLOOKUP(B1461,'_Sys|Line_Map'!$A:$A,'_Sys|Line_Map'!$B:$B,"MISSING",0)</f>
        <v/>
      </c>
    </row>
    <row r="1462">
      <c r="A1462" s="4561" t="n"/>
      <c r="B1462" s="4561" t="n"/>
      <c r="C1462" s="4561" t="n"/>
      <c r="D1462" s="4561" t="n"/>
      <c r="E1462" s="4561" t="n"/>
      <c r="F1462" s="4561" t="n"/>
      <c r="G1462" s="4561" t="n"/>
      <c r="H1462" s="4561" t="n"/>
      <c r="I1462" s="4562">
        <f>XLOOKUP(B1462,'_Sys|Line_Map'!$A:$A,'_Sys|Line_Map'!$C:$C,"MISSING",0)</f>
        <v/>
      </c>
      <c r="J1462" s="4562">
        <f>XLOOKUP(B1462,'_Sys|Line_Map'!$A:$A,'_Sys|Line_Map'!$D:$D,1,0)</f>
        <v/>
      </c>
      <c r="K1462" s="4562">
        <f>IF(D1462="","",D1462*J1462)</f>
        <v/>
      </c>
      <c r="L1462" s="4562">
        <f>XLOOKUP(B1462,'_Sys|Line_Map'!$A:$A,'_Sys|Line_Map'!$B:$B,"MISSING",0)</f>
        <v/>
      </c>
    </row>
    <row r="1463">
      <c r="A1463" s="4561" t="n"/>
      <c r="B1463" s="4561" t="n"/>
      <c r="C1463" s="4561" t="n"/>
      <c r="D1463" s="4561" t="n"/>
      <c r="E1463" s="4561" t="n"/>
      <c r="F1463" s="4561" t="n"/>
      <c r="G1463" s="4561" t="n"/>
      <c r="H1463" s="4561" t="n"/>
      <c r="I1463" s="4562">
        <f>XLOOKUP(B1463,'_Sys|Line_Map'!$A:$A,'_Sys|Line_Map'!$C:$C,"MISSING",0)</f>
        <v/>
      </c>
      <c r="J1463" s="4562">
        <f>XLOOKUP(B1463,'_Sys|Line_Map'!$A:$A,'_Sys|Line_Map'!$D:$D,1,0)</f>
        <v/>
      </c>
      <c r="K1463" s="4562">
        <f>IF(D1463="","",D1463*J1463)</f>
        <v/>
      </c>
      <c r="L1463" s="4562">
        <f>XLOOKUP(B1463,'_Sys|Line_Map'!$A:$A,'_Sys|Line_Map'!$B:$B,"MISSING",0)</f>
        <v/>
      </c>
    </row>
    <row r="1464">
      <c r="A1464" s="4561" t="n"/>
      <c r="B1464" s="4561" t="n"/>
      <c r="C1464" s="4561" t="n"/>
      <c r="D1464" s="4561" t="n"/>
      <c r="E1464" s="4561" t="n"/>
      <c r="F1464" s="4561" t="n"/>
      <c r="G1464" s="4561" t="n"/>
      <c r="H1464" s="4561" t="n"/>
      <c r="I1464" s="4562">
        <f>XLOOKUP(B1464,'_Sys|Line_Map'!$A:$A,'_Sys|Line_Map'!$C:$C,"MISSING",0)</f>
        <v/>
      </c>
      <c r="J1464" s="4562">
        <f>XLOOKUP(B1464,'_Sys|Line_Map'!$A:$A,'_Sys|Line_Map'!$D:$D,1,0)</f>
        <v/>
      </c>
      <c r="K1464" s="4562">
        <f>IF(D1464="","",D1464*J1464)</f>
        <v/>
      </c>
      <c r="L1464" s="4562">
        <f>XLOOKUP(B1464,'_Sys|Line_Map'!$A:$A,'_Sys|Line_Map'!$B:$B,"MISSING",0)</f>
        <v/>
      </c>
    </row>
    <row r="1465">
      <c r="A1465" s="4561" t="n"/>
      <c r="B1465" s="4561" t="n"/>
      <c r="C1465" s="4561" t="n"/>
      <c r="D1465" s="4561" t="n"/>
      <c r="E1465" s="4561" t="n"/>
      <c r="F1465" s="4561" t="n"/>
      <c r="G1465" s="4561" t="n"/>
      <c r="H1465" s="4561" t="n"/>
      <c r="I1465" s="4562">
        <f>XLOOKUP(B1465,'_Sys|Line_Map'!$A:$A,'_Sys|Line_Map'!$C:$C,"MISSING",0)</f>
        <v/>
      </c>
      <c r="J1465" s="4562">
        <f>XLOOKUP(B1465,'_Sys|Line_Map'!$A:$A,'_Sys|Line_Map'!$D:$D,1,0)</f>
        <v/>
      </c>
      <c r="K1465" s="4562">
        <f>IF(D1465="","",D1465*J1465)</f>
        <v/>
      </c>
      <c r="L1465" s="4562">
        <f>XLOOKUP(B1465,'_Sys|Line_Map'!$A:$A,'_Sys|Line_Map'!$B:$B,"MISSING",0)</f>
        <v/>
      </c>
    </row>
    <row r="1466">
      <c r="A1466" s="4561" t="n"/>
      <c r="B1466" s="4561" t="n"/>
      <c r="C1466" s="4561" t="n"/>
      <c r="D1466" s="4561" t="n"/>
      <c r="E1466" s="4561" t="n"/>
      <c r="F1466" s="4561" t="n"/>
      <c r="G1466" s="4561" t="n"/>
      <c r="H1466" s="4561" t="n"/>
      <c r="I1466" s="4562">
        <f>XLOOKUP(B1466,'_Sys|Line_Map'!$A:$A,'_Sys|Line_Map'!$C:$C,"MISSING",0)</f>
        <v/>
      </c>
      <c r="J1466" s="4562">
        <f>XLOOKUP(B1466,'_Sys|Line_Map'!$A:$A,'_Sys|Line_Map'!$D:$D,1,0)</f>
        <v/>
      </c>
      <c r="K1466" s="4562">
        <f>IF(D1466="","",D1466*J1466)</f>
        <v/>
      </c>
      <c r="L1466" s="4562">
        <f>XLOOKUP(B1466,'_Sys|Line_Map'!$A:$A,'_Sys|Line_Map'!$B:$B,"MISSING",0)</f>
        <v/>
      </c>
    </row>
    <row r="1467">
      <c r="A1467" s="4561" t="n"/>
      <c r="B1467" s="4561" t="n"/>
      <c r="C1467" s="4561" t="n"/>
      <c r="D1467" s="4561" t="n"/>
      <c r="E1467" s="4561" t="n"/>
      <c r="F1467" s="4561" t="n"/>
      <c r="G1467" s="4561" t="n"/>
      <c r="H1467" s="4561" t="n"/>
      <c r="I1467" s="4562">
        <f>XLOOKUP(B1467,'_Sys|Line_Map'!$A:$A,'_Sys|Line_Map'!$C:$C,"MISSING",0)</f>
        <v/>
      </c>
      <c r="J1467" s="4562">
        <f>XLOOKUP(B1467,'_Sys|Line_Map'!$A:$A,'_Sys|Line_Map'!$D:$D,1,0)</f>
        <v/>
      </c>
      <c r="K1467" s="4562">
        <f>IF(D1467="","",D1467*J1467)</f>
        <v/>
      </c>
      <c r="L1467" s="4562">
        <f>XLOOKUP(B1467,'_Sys|Line_Map'!$A:$A,'_Sys|Line_Map'!$B:$B,"MISSING",0)</f>
        <v/>
      </c>
    </row>
    <row r="1468">
      <c r="A1468" s="4561" t="n"/>
      <c r="B1468" s="4561" t="n"/>
      <c r="C1468" s="4561" t="n"/>
      <c r="D1468" s="4561" t="n"/>
      <c r="E1468" s="4561" t="n"/>
      <c r="F1468" s="4561" t="n"/>
      <c r="G1468" s="4561" t="n"/>
      <c r="H1468" s="4561" t="n"/>
      <c r="I1468" s="4562">
        <f>XLOOKUP(B1468,'_Sys|Line_Map'!$A:$A,'_Sys|Line_Map'!$C:$C,"MISSING",0)</f>
        <v/>
      </c>
      <c r="J1468" s="4562">
        <f>XLOOKUP(B1468,'_Sys|Line_Map'!$A:$A,'_Sys|Line_Map'!$D:$D,1,0)</f>
        <v/>
      </c>
      <c r="K1468" s="4562">
        <f>IF(D1468="","",D1468*J1468)</f>
        <v/>
      </c>
      <c r="L1468" s="4562">
        <f>XLOOKUP(B1468,'_Sys|Line_Map'!$A:$A,'_Sys|Line_Map'!$B:$B,"MISSING",0)</f>
        <v/>
      </c>
    </row>
    <row r="1469">
      <c r="A1469" s="4561" t="n"/>
      <c r="B1469" s="4561" t="n"/>
      <c r="C1469" s="4561" t="n"/>
      <c r="D1469" s="4561" t="n"/>
      <c r="E1469" s="4561" t="n"/>
      <c r="F1469" s="4561" t="n"/>
      <c r="G1469" s="4561" t="n"/>
      <c r="H1469" s="4561" t="n"/>
      <c r="I1469" s="4562">
        <f>XLOOKUP(B1469,'_Sys|Line_Map'!$A:$A,'_Sys|Line_Map'!$C:$C,"MISSING",0)</f>
        <v/>
      </c>
      <c r="J1469" s="4562">
        <f>XLOOKUP(B1469,'_Sys|Line_Map'!$A:$A,'_Sys|Line_Map'!$D:$D,1,0)</f>
        <v/>
      </c>
      <c r="K1469" s="4562">
        <f>IF(D1469="","",D1469*J1469)</f>
        <v/>
      </c>
      <c r="L1469" s="4562">
        <f>XLOOKUP(B1469,'_Sys|Line_Map'!$A:$A,'_Sys|Line_Map'!$B:$B,"MISSING",0)</f>
        <v/>
      </c>
    </row>
    <row r="1470">
      <c r="A1470" s="4561" t="n"/>
      <c r="B1470" s="4561" t="n"/>
      <c r="C1470" s="4561" t="n"/>
      <c r="D1470" s="4561" t="n"/>
      <c r="E1470" s="4561" t="n"/>
      <c r="F1470" s="4561" t="n"/>
      <c r="G1470" s="4561" t="n"/>
      <c r="H1470" s="4561" t="n"/>
      <c r="I1470" s="4562">
        <f>XLOOKUP(B1470,'_Sys|Line_Map'!$A:$A,'_Sys|Line_Map'!$C:$C,"MISSING",0)</f>
        <v/>
      </c>
      <c r="J1470" s="4562">
        <f>XLOOKUP(B1470,'_Sys|Line_Map'!$A:$A,'_Sys|Line_Map'!$D:$D,1,0)</f>
        <v/>
      </c>
      <c r="K1470" s="4562">
        <f>IF(D1470="","",D1470*J1470)</f>
        <v/>
      </c>
      <c r="L1470" s="4562">
        <f>XLOOKUP(B1470,'_Sys|Line_Map'!$A:$A,'_Sys|Line_Map'!$B:$B,"MISSING",0)</f>
        <v/>
      </c>
    </row>
    <row r="1471">
      <c r="A1471" s="4561" t="n"/>
      <c r="B1471" s="4561" t="n"/>
      <c r="C1471" s="4561" t="n"/>
      <c r="D1471" s="4561" t="n"/>
      <c r="E1471" s="4561" t="n"/>
      <c r="F1471" s="4561" t="n"/>
      <c r="G1471" s="4561" t="n"/>
      <c r="H1471" s="4561" t="n"/>
      <c r="I1471" s="4562">
        <f>XLOOKUP(B1471,'_Sys|Line_Map'!$A:$A,'_Sys|Line_Map'!$C:$C,"MISSING",0)</f>
        <v/>
      </c>
      <c r="J1471" s="4562">
        <f>XLOOKUP(B1471,'_Sys|Line_Map'!$A:$A,'_Sys|Line_Map'!$D:$D,1,0)</f>
        <v/>
      </c>
      <c r="K1471" s="4562">
        <f>IF(D1471="","",D1471*J1471)</f>
        <v/>
      </c>
      <c r="L1471" s="4562">
        <f>XLOOKUP(B1471,'_Sys|Line_Map'!$A:$A,'_Sys|Line_Map'!$B:$B,"MISSING",0)</f>
        <v/>
      </c>
    </row>
    <row r="1472">
      <c r="A1472" s="4561" t="n"/>
      <c r="B1472" s="4561" t="n"/>
      <c r="C1472" s="4561" t="n"/>
      <c r="D1472" s="4561" t="n"/>
      <c r="E1472" s="4561" t="n"/>
      <c r="F1472" s="4561" t="n"/>
      <c r="G1472" s="4561" t="n"/>
      <c r="H1472" s="4561" t="n"/>
      <c r="I1472" s="4562">
        <f>XLOOKUP(B1472,'_Sys|Line_Map'!$A:$A,'_Sys|Line_Map'!$C:$C,"MISSING",0)</f>
        <v/>
      </c>
      <c r="J1472" s="4562">
        <f>XLOOKUP(B1472,'_Sys|Line_Map'!$A:$A,'_Sys|Line_Map'!$D:$D,1,0)</f>
        <v/>
      </c>
      <c r="K1472" s="4562">
        <f>IF(D1472="","",D1472*J1472)</f>
        <v/>
      </c>
      <c r="L1472" s="4562">
        <f>XLOOKUP(B1472,'_Sys|Line_Map'!$A:$A,'_Sys|Line_Map'!$B:$B,"MISSING",0)</f>
        <v/>
      </c>
    </row>
    <row r="1473">
      <c r="A1473" s="4561" t="n"/>
      <c r="B1473" s="4561" t="n"/>
      <c r="C1473" s="4561" t="n"/>
      <c r="D1473" s="4561" t="n"/>
      <c r="E1473" s="4561" t="n"/>
      <c r="F1473" s="4561" t="n"/>
      <c r="G1473" s="4561" t="n"/>
      <c r="H1473" s="4561" t="n"/>
      <c r="I1473" s="4562">
        <f>XLOOKUP(B1473,'_Sys|Line_Map'!$A:$A,'_Sys|Line_Map'!$C:$C,"MISSING",0)</f>
        <v/>
      </c>
      <c r="J1473" s="4562">
        <f>XLOOKUP(B1473,'_Sys|Line_Map'!$A:$A,'_Sys|Line_Map'!$D:$D,1,0)</f>
        <v/>
      </c>
      <c r="K1473" s="4562">
        <f>IF(D1473="","",D1473*J1473)</f>
        <v/>
      </c>
      <c r="L1473" s="4562">
        <f>XLOOKUP(B1473,'_Sys|Line_Map'!$A:$A,'_Sys|Line_Map'!$B:$B,"MISSING",0)</f>
        <v/>
      </c>
    </row>
    <row r="1474">
      <c r="A1474" s="4561" t="n"/>
      <c r="B1474" s="4561" t="n"/>
      <c r="C1474" s="4561" t="n"/>
      <c r="D1474" s="4561" t="n"/>
      <c r="E1474" s="4561" t="n"/>
      <c r="F1474" s="4561" t="n"/>
      <c r="G1474" s="4561" t="n"/>
      <c r="H1474" s="4561" t="n"/>
      <c r="I1474" s="4562">
        <f>XLOOKUP(B1474,'_Sys|Line_Map'!$A:$A,'_Sys|Line_Map'!$C:$C,"MISSING",0)</f>
        <v/>
      </c>
      <c r="J1474" s="4562">
        <f>XLOOKUP(B1474,'_Sys|Line_Map'!$A:$A,'_Sys|Line_Map'!$D:$D,1,0)</f>
        <v/>
      </c>
      <c r="K1474" s="4562">
        <f>IF(D1474="","",D1474*J1474)</f>
        <v/>
      </c>
      <c r="L1474" s="4562">
        <f>XLOOKUP(B1474,'_Sys|Line_Map'!$A:$A,'_Sys|Line_Map'!$B:$B,"MISSING",0)</f>
        <v/>
      </c>
    </row>
    <row r="1475">
      <c r="A1475" s="4561" t="n"/>
      <c r="B1475" s="4561" t="n"/>
      <c r="C1475" s="4561" t="n"/>
      <c r="D1475" s="4561" t="n"/>
      <c r="E1475" s="4561" t="n"/>
      <c r="F1475" s="4561" t="n"/>
      <c r="G1475" s="4561" t="n"/>
      <c r="H1475" s="4561" t="n"/>
      <c r="I1475" s="4562">
        <f>XLOOKUP(B1475,'_Sys|Line_Map'!$A:$A,'_Sys|Line_Map'!$C:$C,"MISSING",0)</f>
        <v/>
      </c>
      <c r="J1475" s="4562">
        <f>XLOOKUP(B1475,'_Sys|Line_Map'!$A:$A,'_Sys|Line_Map'!$D:$D,1,0)</f>
        <v/>
      </c>
      <c r="K1475" s="4562">
        <f>IF(D1475="","",D1475*J1475)</f>
        <v/>
      </c>
      <c r="L1475" s="4562">
        <f>XLOOKUP(B1475,'_Sys|Line_Map'!$A:$A,'_Sys|Line_Map'!$B:$B,"MISSING",0)</f>
        <v/>
      </c>
    </row>
    <row r="1476">
      <c r="A1476" s="4561" t="n"/>
      <c r="B1476" s="4561" t="n"/>
      <c r="C1476" s="4561" t="n"/>
      <c r="D1476" s="4561" t="n"/>
      <c r="E1476" s="4561" t="n"/>
      <c r="F1476" s="4561" t="n"/>
      <c r="G1476" s="4561" t="n"/>
      <c r="H1476" s="4561" t="n"/>
      <c r="I1476" s="4562">
        <f>XLOOKUP(B1476,'_Sys|Line_Map'!$A:$A,'_Sys|Line_Map'!$C:$C,"MISSING",0)</f>
        <v/>
      </c>
      <c r="J1476" s="4562">
        <f>XLOOKUP(B1476,'_Sys|Line_Map'!$A:$A,'_Sys|Line_Map'!$D:$D,1,0)</f>
        <v/>
      </c>
      <c r="K1476" s="4562">
        <f>IF(D1476="","",D1476*J1476)</f>
        <v/>
      </c>
      <c r="L1476" s="4562">
        <f>XLOOKUP(B1476,'_Sys|Line_Map'!$A:$A,'_Sys|Line_Map'!$B:$B,"MISSING",0)</f>
        <v/>
      </c>
    </row>
    <row r="1477">
      <c r="A1477" s="4561" t="n"/>
      <c r="B1477" s="4561" t="n"/>
      <c r="C1477" s="4561" t="n"/>
      <c r="D1477" s="4561" t="n"/>
      <c r="E1477" s="4561" t="n"/>
      <c r="F1477" s="4561" t="n"/>
      <c r="G1477" s="4561" t="n"/>
      <c r="H1477" s="4561" t="n"/>
      <c r="I1477" s="4562">
        <f>XLOOKUP(B1477,'_Sys|Line_Map'!$A:$A,'_Sys|Line_Map'!$C:$C,"MISSING",0)</f>
        <v/>
      </c>
      <c r="J1477" s="4562">
        <f>XLOOKUP(B1477,'_Sys|Line_Map'!$A:$A,'_Sys|Line_Map'!$D:$D,1,0)</f>
        <v/>
      </c>
      <c r="K1477" s="4562">
        <f>IF(D1477="","",D1477*J1477)</f>
        <v/>
      </c>
      <c r="L1477" s="4562">
        <f>XLOOKUP(B1477,'_Sys|Line_Map'!$A:$A,'_Sys|Line_Map'!$B:$B,"MISSING",0)</f>
        <v/>
      </c>
    </row>
    <row r="1478">
      <c r="A1478" s="4561" t="n"/>
      <c r="B1478" s="4561" t="n"/>
      <c r="C1478" s="4561" t="n"/>
      <c r="D1478" s="4561" t="n"/>
      <c r="E1478" s="4561" t="n"/>
      <c r="F1478" s="4561" t="n"/>
      <c r="G1478" s="4561" t="n"/>
      <c r="H1478" s="4561" t="n"/>
      <c r="I1478" s="4562">
        <f>XLOOKUP(B1478,'_Sys|Line_Map'!$A:$A,'_Sys|Line_Map'!$C:$C,"MISSING",0)</f>
        <v/>
      </c>
      <c r="J1478" s="4562">
        <f>XLOOKUP(B1478,'_Sys|Line_Map'!$A:$A,'_Sys|Line_Map'!$D:$D,1,0)</f>
        <v/>
      </c>
      <c r="K1478" s="4562">
        <f>IF(D1478="","",D1478*J1478)</f>
        <v/>
      </c>
      <c r="L1478" s="4562">
        <f>XLOOKUP(B1478,'_Sys|Line_Map'!$A:$A,'_Sys|Line_Map'!$B:$B,"MISSING",0)</f>
        <v/>
      </c>
    </row>
    <row r="1479">
      <c r="A1479" s="4561" t="n"/>
      <c r="B1479" s="4561" t="n"/>
      <c r="C1479" s="4561" t="n"/>
      <c r="D1479" s="4561" t="n"/>
      <c r="E1479" s="4561" t="n"/>
      <c r="F1479" s="4561" t="n"/>
      <c r="G1479" s="4561" t="n"/>
      <c r="H1479" s="4561" t="n"/>
      <c r="I1479" s="4562">
        <f>XLOOKUP(B1479,'_Sys|Line_Map'!$A:$A,'_Sys|Line_Map'!$C:$C,"MISSING",0)</f>
        <v/>
      </c>
      <c r="J1479" s="4562">
        <f>XLOOKUP(B1479,'_Sys|Line_Map'!$A:$A,'_Sys|Line_Map'!$D:$D,1,0)</f>
        <v/>
      </c>
      <c r="K1479" s="4562">
        <f>IF(D1479="","",D1479*J1479)</f>
        <v/>
      </c>
      <c r="L1479" s="4562">
        <f>XLOOKUP(B1479,'_Sys|Line_Map'!$A:$A,'_Sys|Line_Map'!$B:$B,"MISSING",0)</f>
        <v/>
      </c>
    </row>
    <row r="1480">
      <c r="A1480" s="4561" t="n"/>
      <c r="B1480" s="4561" t="n"/>
      <c r="C1480" s="4561" t="n"/>
      <c r="D1480" s="4561" t="n"/>
      <c r="E1480" s="4561" t="n"/>
      <c r="F1480" s="4561" t="n"/>
      <c r="G1480" s="4561" t="n"/>
      <c r="H1480" s="4561" t="n"/>
      <c r="I1480" s="4562">
        <f>XLOOKUP(B1480,'_Sys|Line_Map'!$A:$A,'_Sys|Line_Map'!$C:$C,"MISSING",0)</f>
        <v/>
      </c>
      <c r="J1480" s="4562">
        <f>XLOOKUP(B1480,'_Sys|Line_Map'!$A:$A,'_Sys|Line_Map'!$D:$D,1,0)</f>
        <v/>
      </c>
      <c r="K1480" s="4562">
        <f>IF(D1480="","",D1480*J1480)</f>
        <v/>
      </c>
      <c r="L1480" s="4562">
        <f>XLOOKUP(B1480,'_Sys|Line_Map'!$A:$A,'_Sys|Line_Map'!$B:$B,"MISSING",0)</f>
        <v/>
      </c>
    </row>
    <row r="1481">
      <c r="A1481" s="4561" t="n"/>
      <c r="B1481" s="4561" t="n"/>
      <c r="C1481" s="4561" t="n"/>
      <c r="D1481" s="4561" t="n"/>
      <c r="E1481" s="4561" t="n"/>
      <c r="F1481" s="4561" t="n"/>
      <c r="G1481" s="4561" t="n"/>
      <c r="H1481" s="4561" t="n"/>
      <c r="I1481" s="4562">
        <f>XLOOKUP(B1481,'_Sys|Line_Map'!$A:$A,'_Sys|Line_Map'!$C:$C,"MISSING",0)</f>
        <v/>
      </c>
      <c r="J1481" s="4562">
        <f>XLOOKUP(B1481,'_Sys|Line_Map'!$A:$A,'_Sys|Line_Map'!$D:$D,1,0)</f>
        <v/>
      </c>
      <c r="K1481" s="4562">
        <f>IF(D1481="","",D1481*J1481)</f>
        <v/>
      </c>
      <c r="L1481" s="4562">
        <f>XLOOKUP(B1481,'_Sys|Line_Map'!$A:$A,'_Sys|Line_Map'!$B:$B,"MISSING",0)</f>
        <v/>
      </c>
    </row>
    <row r="1482">
      <c r="A1482" s="4561" t="n"/>
      <c r="B1482" s="4561" t="n"/>
      <c r="C1482" s="4561" t="n"/>
      <c r="D1482" s="4561" t="n"/>
      <c r="E1482" s="4561" t="n"/>
      <c r="F1482" s="4561" t="n"/>
      <c r="G1482" s="4561" t="n"/>
      <c r="H1482" s="4561" t="n"/>
      <c r="I1482" s="4562">
        <f>XLOOKUP(B1482,'_Sys|Line_Map'!$A:$A,'_Sys|Line_Map'!$C:$C,"MISSING",0)</f>
        <v/>
      </c>
      <c r="J1482" s="4562">
        <f>XLOOKUP(B1482,'_Sys|Line_Map'!$A:$A,'_Sys|Line_Map'!$D:$D,1,0)</f>
        <v/>
      </c>
      <c r="K1482" s="4562">
        <f>IF(D1482="","",D1482*J1482)</f>
        <v/>
      </c>
      <c r="L1482" s="4562">
        <f>XLOOKUP(B1482,'_Sys|Line_Map'!$A:$A,'_Sys|Line_Map'!$B:$B,"MISSING",0)</f>
        <v/>
      </c>
    </row>
    <row r="1483">
      <c r="A1483" s="4561" t="n"/>
      <c r="B1483" s="4561" t="n"/>
      <c r="C1483" s="4561" t="n"/>
      <c r="D1483" s="4561" t="n"/>
      <c r="E1483" s="4561" t="n"/>
      <c r="F1483" s="4561" t="n"/>
      <c r="G1483" s="4561" t="n"/>
      <c r="H1483" s="4561" t="n"/>
      <c r="I1483" s="4562">
        <f>XLOOKUP(B1483,'_Sys|Line_Map'!$A:$A,'_Sys|Line_Map'!$C:$C,"MISSING",0)</f>
        <v/>
      </c>
      <c r="J1483" s="4562">
        <f>XLOOKUP(B1483,'_Sys|Line_Map'!$A:$A,'_Sys|Line_Map'!$D:$D,1,0)</f>
        <v/>
      </c>
      <c r="K1483" s="4562">
        <f>IF(D1483="","",D1483*J1483)</f>
        <v/>
      </c>
      <c r="L1483" s="4562">
        <f>XLOOKUP(B1483,'_Sys|Line_Map'!$A:$A,'_Sys|Line_Map'!$B:$B,"MISSING",0)</f>
        <v/>
      </c>
    </row>
    <row r="1484">
      <c r="A1484" s="4561" t="n"/>
      <c r="B1484" s="4561" t="n"/>
      <c r="C1484" s="4561" t="n"/>
      <c r="D1484" s="4561" t="n"/>
      <c r="E1484" s="4561" t="n"/>
      <c r="F1484" s="4561" t="n"/>
      <c r="G1484" s="4561" t="n"/>
      <c r="H1484" s="4561" t="n"/>
      <c r="I1484" s="4562">
        <f>XLOOKUP(B1484,'_Sys|Line_Map'!$A:$A,'_Sys|Line_Map'!$C:$C,"MISSING",0)</f>
        <v/>
      </c>
      <c r="J1484" s="4562">
        <f>XLOOKUP(B1484,'_Sys|Line_Map'!$A:$A,'_Sys|Line_Map'!$D:$D,1,0)</f>
        <v/>
      </c>
      <c r="K1484" s="4562">
        <f>IF(D1484="","",D1484*J1484)</f>
        <v/>
      </c>
      <c r="L1484" s="4562">
        <f>XLOOKUP(B1484,'_Sys|Line_Map'!$A:$A,'_Sys|Line_Map'!$B:$B,"MISSING",0)</f>
        <v/>
      </c>
    </row>
    <row r="1485">
      <c r="A1485" s="4561" t="n"/>
      <c r="B1485" s="4561" t="n"/>
      <c r="C1485" s="4561" t="n"/>
      <c r="D1485" s="4561" t="n"/>
      <c r="E1485" s="4561" t="n"/>
      <c r="F1485" s="4561" t="n"/>
      <c r="G1485" s="4561" t="n"/>
      <c r="H1485" s="4561" t="n"/>
      <c r="I1485" s="4562">
        <f>XLOOKUP(B1485,'_Sys|Line_Map'!$A:$A,'_Sys|Line_Map'!$C:$C,"MISSING",0)</f>
        <v/>
      </c>
      <c r="J1485" s="4562">
        <f>XLOOKUP(B1485,'_Sys|Line_Map'!$A:$A,'_Sys|Line_Map'!$D:$D,1,0)</f>
        <v/>
      </c>
      <c r="K1485" s="4562">
        <f>IF(D1485="","",D1485*J1485)</f>
        <v/>
      </c>
      <c r="L1485" s="4562">
        <f>XLOOKUP(B1485,'_Sys|Line_Map'!$A:$A,'_Sys|Line_Map'!$B:$B,"MISSING",0)</f>
        <v/>
      </c>
    </row>
    <row r="1486">
      <c r="A1486" s="4561" t="n"/>
      <c r="B1486" s="4561" t="n"/>
      <c r="C1486" s="4561" t="n"/>
      <c r="D1486" s="4561" t="n"/>
      <c r="E1486" s="4561" t="n"/>
      <c r="F1486" s="4561" t="n"/>
      <c r="G1486" s="4561" t="n"/>
      <c r="H1486" s="4561" t="n"/>
      <c r="I1486" s="4562">
        <f>XLOOKUP(B1486,'_Sys|Line_Map'!$A:$A,'_Sys|Line_Map'!$C:$C,"MISSING",0)</f>
        <v/>
      </c>
      <c r="J1486" s="4562">
        <f>XLOOKUP(B1486,'_Sys|Line_Map'!$A:$A,'_Sys|Line_Map'!$D:$D,1,0)</f>
        <v/>
      </c>
      <c r="K1486" s="4562">
        <f>IF(D1486="","",D1486*J1486)</f>
        <v/>
      </c>
      <c r="L1486" s="4562">
        <f>XLOOKUP(B1486,'_Sys|Line_Map'!$A:$A,'_Sys|Line_Map'!$B:$B,"MISSING",0)</f>
        <v/>
      </c>
    </row>
    <row r="1487">
      <c r="A1487" s="4561" t="n"/>
      <c r="B1487" s="4561" t="n"/>
      <c r="C1487" s="4561" t="n"/>
      <c r="D1487" s="4561" t="n"/>
      <c r="E1487" s="4561" t="n"/>
      <c r="F1487" s="4561" t="n"/>
      <c r="G1487" s="4561" t="n"/>
      <c r="H1487" s="4561" t="n"/>
      <c r="I1487" s="4562">
        <f>XLOOKUP(B1487,'_Sys|Line_Map'!$A:$A,'_Sys|Line_Map'!$C:$C,"MISSING",0)</f>
        <v/>
      </c>
      <c r="J1487" s="4562">
        <f>XLOOKUP(B1487,'_Sys|Line_Map'!$A:$A,'_Sys|Line_Map'!$D:$D,1,0)</f>
        <v/>
      </c>
      <c r="K1487" s="4562">
        <f>IF(D1487="","",D1487*J1487)</f>
        <v/>
      </c>
      <c r="L1487" s="4562">
        <f>XLOOKUP(B1487,'_Sys|Line_Map'!$A:$A,'_Sys|Line_Map'!$B:$B,"MISSING",0)</f>
        <v/>
      </c>
    </row>
    <row r="1488">
      <c r="A1488" s="4561" t="n"/>
      <c r="B1488" s="4561" t="n"/>
      <c r="C1488" s="4561" t="n"/>
      <c r="D1488" s="4561" t="n"/>
      <c r="E1488" s="4561" t="n"/>
      <c r="F1488" s="4561" t="n"/>
      <c r="G1488" s="4561" t="n"/>
      <c r="H1488" s="4561" t="n"/>
      <c r="I1488" s="4562">
        <f>XLOOKUP(B1488,'_Sys|Line_Map'!$A:$A,'_Sys|Line_Map'!$C:$C,"MISSING",0)</f>
        <v/>
      </c>
      <c r="J1488" s="4562">
        <f>XLOOKUP(B1488,'_Sys|Line_Map'!$A:$A,'_Sys|Line_Map'!$D:$D,1,0)</f>
        <v/>
      </c>
      <c r="K1488" s="4562">
        <f>IF(D1488="","",D1488*J1488)</f>
        <v/>
      </c>
      <c r="L1488" s="4562">
        <f>XLOOKUP(B1488,'_Sys|Line_Map'!$A:$A,'_Sys|Line_Map'!$B:$B,"MISSING",0)</f>
        <v/>
      </c>
    </row>
    <row r="1489">
      <c r="A1489" s="4561" t="n"/>
      <c r="B1489" s="4561" t="n"/>
      <c r="C1489" s="4561" t="n"/>
      <c r="D1489" s="4561" t="n"/>
      <c r="E1489" s="4561" t="n"/>
      <c r="F1489" s="4561" t="n"/>
      <c r="G1489" s="4561" t="n"/>
      <c r="H1489" s="4561" t="n"/>
      <c r="I1489" s="4562">
        <f>XLOOKUP(B1489,'_Sys|Line_Map'!$A:$A,'_Sys|Line_Map'!$C:$C,"MISSING",0)</f>
        <v/>
      </c>
      <c r="J1489" s="4562">
        <f>XLOOKUP(B1489,'_Sys|Line_Map'!$A:$A,'_Sys|Line_Map'!$D:$D,1,0)</f>
        <v/>
      </c>
      <c r="K1489" s="4562">
        <f>IF(D1489="","",D1489*J1489)</f>
        <v/>
      </c>
      <c r="L1489" s="4562">
        <f>XLOOKUP(B1489,'_Sys|Line_Map'!$A:$A,'_Sys|Line_Map'!$B:$B,"MISSING",0)</f>
        <v/>
      </c>
    </row>
    <row r="1490">
      <c r="A1490" s="4561" t="n"/>
      <c r="B1490" s="4561" t="n"/>
      <c r="C1490" s="4561" t="n"/>
      <c r="D1490" s="4561" t="n"/>
      <c r="E1490" s="4561" t="n"/>
      <c r="F1490" s="4561" t="n"/>
      <c r="G1490" s="4561" t="n"/>
      <c r="H1490" s="4561" t="n"/>
      <c r="I1490" s="4562">
        <f>XLOOKUP(B1490,'_Sys|Line_Map'!$A:$A,'_Sys|Line_Map'!$C:$C,"MISSING",0)</f>
        <v/>
      </c>
      <c r="J1490" s="4562">
        <f>XLOOKUP(B1490,'_Sys|Line_Map'!$A:$A,'_Sys|Line_Map'!$D:$D,1,0)</f>
        <v/>
      </c>
      <c r="K1490" s="4562">
        <f>IF(D1490="","",D1490*J1490)</f>
        <v/>
      </c>
      <c r="L1490" s="4562">
        <f>XLOOKUP(B1490,'_Sys|Line_Map'!$A:$A,'_Sys|Line_Map'!$B:$B,"MISSING",0)</f>
        <v/>
      </c>
    </row>
    <row r="1491">
      <c r="A1491" s="4561" t="n"/>
      <c r="B1491" s="4561" t="n"/>
      <c r="C1491" s="4561" t="n"/>
      <c r="D1491" s="4561" t="n"/>
      <c r="E1491" s="4561" t="n"/>
      <c r="F1491" s="4561" t="n"/>
      <c r="G1491" s="4561" t="n"/>
      <c r="H1491" s="4561" t="n"/>
      <c r="I1491" s="4562">
        <f>XLOOKUP(B1491,'_Sys|Line_Map'!$A:$A,'_Sys|Line_Map'!$C:$C,"MISSING",0)</f>
        <v/>
      </c>
      <c r="J1491" s="4562">
        <f>XLOOKUP(B1491,'_Sys|Line_Map'!$A:$A,'_Sys|Line_Map'!$D:$D,1,0)</f>
        <v/>
      </c>
      <c r="K1491" s="4562">
        <f>IF(D1491="","",D1491*J1491)</f>
        <v/>
      </c>
      <c r="L1491" s="4562">
        <f>XLOOKUP(B1491,'_Sys|Line_Map'!$A:$A,'_Sys|Line_Map'!$B:$B,"MISSING",0)</f>
        <v/>
      </c>
    </row>
    <row r="1492">
      <c r="A1492" s="4561" t="n"/>
      <c r="B1492" s="4561" t="n"/>
      <c r="C1492" s="4561" t="n"/>
      <c r="D1492" s="4561" t="n"/>
      <c r="E1492" s="4561" t="n"/>
      <c r="F1492" s="4561" t="n"/>
      <c r="G1492" s="4561" t="n"/>
      <c r="H1492" s="4561" t="n"/>
      <c r="I1492" s="4562">
        <f>XLOOKUP(B1492,'_Sys|Line_Map'!$A:$A,'_Sys|Line_Map'!$C:$C,"MISSING",0)</f>
        <v/>
      </c>
      <c r="J1492" s="4562">
        <f>XLOOKUP(B1492,'_Sys|Line_Map'!$A:$A,'_Sys|Line_Map'!$D:$D,1,0)</f>
        <v/>
      </c>
      <c r="K1492" s="4562">
        <f>IF(D1492="","",D1492*J1492)</f>
        <v/>
      </c>
      <c r="L1492" s="4562">
        <f>XLOOKUP(B1492,'_Sys|Line_Map'!$A:$A,'_Sys|Line_Map'!$B:$B,"MISSING",0)</f>
        <v/>
      </c>
    </row>
    <row r="1493">
      <c r="A1493" s="4561" t="n"/>
      <c r="B1493" s="4561" t="n"/>
      <c r="C1493" s="4561" t="n"/>
      <c r="D1493" s="4561" t="n"/>
      <c r="E1493" s="4561" t="n"/>
      <c r="F1493" s="4561" t="n"/>
      <c r="G1493" s="4561" t="n"/>
      <c r="H1493" s="4561" t="n"/>
      <c r="I1493" s="4562">
        <f>XLOOKUP(B1493,'_Sys|Line_Map'!$A:$A,'_Sys|Line_Map'!$C:$C,"MISSING",0)</f>
        <v/>
      </c>
      <c r="J1493" s="4562">
        <f>XLOOKUP(B1493,'_Sys|Line_Map'!$A:$A,'_Sys|Line_Map'!$D:$D,1,0)</f>
        <v/>
      </c>
      <c r="K1493" s="4562">
        <f>IF(D1493="","",D1493*J1493)</f>
        <v/>
      </c>
      <c r="L1493" s="4562">
        <f>XLOOKUP(B1493,'_Sys|Line_Map'!$A:$A,'_Sys|Line_Map'!$B:$B,"MISSING",0)</f>
        <v/>
      </c>
    </row>
    <row r="1494">
      <c r="A1494" s="4561" t="n"/>
      <c r="B1494" s="4561" t="n"/>
      <c r="C1494" s="4561" t="n"/>
      <c r="D1494" s="4561" t="n"/>
      <c r="E1494" s="4561" t="n"/>
      <c r="F1494" s="4561" t="n"/>
      <c r="G1494" s="4561" t="n"/>
      <c r="H1494" s="4561" t="n"/>
      <c r="I1494" s="4562">
        <f>XLOOKUP(B1494,'_Sys|Line_Map'!$A:$A,'_Sys|Line_Map'!$C:$C,"MISSING",0)</f>
        <v/>
      </c>
      <c r="J1494" s="4562">
        <f>XLOOKUP(B1494,'_Sys|Line_Map'!$A:$A,'_Sys|Line_Map'!$D:$D,1,0)</f>
        <v/>
      </c>
      <c r="K1494" s="4562">
        <f>IF(D1494="","",D1494*J1494)</f>
        <v/>
      </c>
      <c r="L1494" s="4562">
        <f>XLOOKUP(B1494,'_Sys|Line_Map'!$A:$A,'_Sys|Line_Map'!$B:$B,"MISSING",0)</f>
        <v/>
      </c>
    </row>
    <row r="1495">
      <c r="A1495" s="4561" t="n"/>
      <c r="B1495" s="4561" t="n"/>
      <c r="C1495" s="4561" t="n"/>
      <c r="D1495" s="4561" t="n"/>
      <c r="E1495" s="4561" t="n"/>
      <c r="F1495" s="4561" t="n"/>
      <c r="G1495" s="4561" t="n"/>
      <c r="H1495" s="4561" t="n"/>
      <c r="I1495" s="4562">
        <f>XLOOKUP(B1495,'_Sys|Line_Map'!$A:$A,'_Sys|Line_Map'!$C:$C,"MISSING",0)</f>
        <v/>
      </c>
      <c r="J1495" s="4562">
        <f>XLOOKUP(B1495,'_Sys|Line_Map'!$A:$A,'_Sys|Line_Map'!$D:$D,1,0)</f>
        <v/>
      </c>
      <c r="K1495" s="4562">
        <f>IF(D1495="","",D1495*J1495)</f>
        <v/>
      </c>
      <c r="L1495" s="4562">
        <f>XLOOKUP(B1495,'_Sys|Line_Map'!$A:$A,'_Sys|Line_Map'!$B:$B,"MISSING",0)</f>
        <v/>
      </c>
    </row>
    <row r="1496">
      <c r="A1496" s="4561" t="n"/>
      <c r="B1496" s="4561" t="n"/>
      <c r="C1496" s="4561" t="n"/>
      <c r="D1496" s="4561" t="n"/>
      <c r="E1496" s="4561" t="n"/>
      <c r="F1496" s="4561" t="n"/>
      <c r="G1496" s="4561" t="n"/>
      <c r="H1496" s="4561" t="n"/>
      <c r="I1496" s="4562">
        <f>XLOOKUP(B1496,'_Sys|Line_Map'!$A:$A,'_Sys|Line_Map'!$C:$C,"MISSING",0)</f>
        <v/>
      </c>
      <c r="J1496" s="4562">
        <f>XLOOKUP(B1496,'_Sys|Line_Map'!$A:$A,'_Sys|Line_Map'!$D:$D,1,0)</f>
        <v/>
      </c>
      <c r="K1496" s="4562">
        <f>IF(D1496="","",D1496*J1496)</f>
        <v/>
      </c>
      <c r="L1496" s="4562">
        <f>XLOOKUP(B1496,'_Sys|Line_Map'!$A:$A,'_Sys|Line_Map'!$B:$B,"MISSING",0)</f>
        <v/>
      </c>
    </row>
    <row r="1497">
      <c r="A1497" s="4561" t="n"/>
      <c r="B1497" s="4561" t="n"/>
      <c r="C1497" s="4561" t="n"/>
      <c r="D1497" s="4561" t="n"/>
      <c r="E1497" s="4561" t="n"/>
      <c r="F1497" s="4561" t="n"/>
      <c r="G1497" s="4561" t="n"/>
      <c r="H1497" s="4561" t="n"/>
      <c r="I1497" s="4562">
        <f>XLOOKUP(B1497,'_Sys|Line_Map'!$A:$A,'_Sys|Line_Map'!$C:$C,"MISSING",0)</f>
        <v/>
      </c>
      <c r="J1497" s="4562">
        <f>XLOOKUP(B1497,'_Sys|Line_Map'!$A:$A,'_Sys|Line_Map'!$D:$D,1,0)</f>
        <v/>
      </c>
      <c r="K1497" s="4562">
        <f>IF(D1497="","",D1497*J1497)</f>
        <v/>
      </c>
      <c r="L1497" s="4562">
        <f>XLOOKUP(B1497,'_Sys|Line_Map'!$A:$A,'_Sys|Line_Map'!$B:$B,"MISSING",0)</f>
        <v/>
      </c>
    </row>
    <row r="1498">
      <c r="A1498" s="4561" t="n"/>
      <c r="B1498" s="4561" t="n"/>
      <c r="C1498" s="4561" t="n"/>
      <c r="D1498" s="4561" t="n"/>
      <c r="E1498" s="4561" t="n"/>
      <c r="F1498" s="4561" t="n"/>
      <c r="G1498" s="4561" t="n"/>
      <c r="H1498" s="4561" t="n"/>
      <c r="I1498" s="4562">
        <f>XLOOKUP(B1498,'_Sys|Line_Map'!$A:$A,'_Sys|Line_Map'!$C:$C,"MISSING",0)</f>
        <v/>
      </c>
      <c r="J1498" s="4562">
        <f>XLOOKUP(B1498,'_Sys|Line_Map'!$A:$A,'_Sys|Line_Map'!$D:$D,1,0)</f>
        <v/>
      </c>
      <c r="K1498" s="4562">
        <f>IF(D1498="","",D1498*J1498)</f>
        <v/>
      </c>
      <c r="L1498" s="4562">
        <f>XLOOKUP(B1498,'_Sys|Line_Map'!$A:$A,'_Sys|Line_Map'!$B:$B,"MISSING",0)</f>
        <v/>
      </c>
    </row>
    <row r="1499">
      <c r="A1499" s="4561" t="n"/>
      <c r="B1499" s="4561" t="n"/>
      <c r="C1499" s="4561" t="n"/>
      <c r="D1499" s="4561" t="n"/>
      <c r="E1499" s="4561" t="n"/>
      <c r="F1499" s="4561" t="n"/>
      <c r="G1499" s="4561" t="n"/>
      <c r="H1499" s="4561" t="n"/>
      <c r="I1499" s="4562">
        <f>XLOOKUP(B1499,'_Sys|Line_Map'!$A:$A,'_Sys|Line_Map'!$C:$C,"MISSING",0)</f>
        <v/>
      </c>
      <c r="J1499" s="4562">
        <f>XLOOKUP(B1499,'_Sys|Line_Map'!$A:$A,'_Sys|Line_Map'!$D:$D,1,0)</f>
        <v/>
      </c>
      <c r="K1499" s="4562">
        <f>IF(D1499="","",D1499*J1499)</f>
        <v/>
      </c>
      <c r="L1499" s="4562">
        <f>XLOOKUP(B1499,'_Sys|Line_Map'!$A:$A,'_Sys|Line_Map'!$B:$B,"MISSING",0)</f>
        <v/>
      </c>
    </row>
    <row r="1500">
      <c r="A1500" s="4561" t="n"/>
      <c r="B1500" s="4561" t="n"/>
      <c r="C1500" s="4561" t="n"/>
      <c r="D1500" s="4561" t="n"/>
      <c r="E1500" s="4561" t="n"/>
      <c r="F1500" s="4561" t="n"/>
      <c r="G1500" s="4561" t="n"/>
      <c r="H1500" s="4561" t="n"/>
      <c r="I1500" s="4562">
        <f>XLOOKUP(B1500,'_Sys|Line_Map'!$A:$A,'_Sys|Line_Map'!$C:$C,"MISSING",0)</f>
        <v/>
      </c>
      <c r="J1500" s="4562">
        <f>XLOOKUP(B1500,'_Sys|Line_Map'!$A:$A,'_Sys|Line_Map'!$D:$D,1,0)</f>
        <v/>
      </c>
      <c r="K1500" s="4562">
        <f>IF(D1500="","",D1500*J1500)</f>
        <v/>
      </c>
      <c r="L1500" s="4562">
        <f>XLOOKUP(B1500,'_Sys|Line_Map'!$A:$A,'_Sys|Line_Map'!$B:$B,"MISSING",0)</f>
        <v/>
      </c>
    </row>
    <row r="1501">
      <c r="A1501" s="4561" t="n"/>
      <c r="B1501" s="4561" t="n"/>
      <c r="C1501" s="4561" t="n"/>
      <c r="D1501" s="4561" t="n"/>
      <c r="E1501" s="4561" t="n"/>
      <c r="F1501" s="4561" t="n"/>
      <c r="G1501" s="4561" t="n"/>
      <c r="H1501" s="4561" t="n"/>
      <c r="I1501" s="4562">
        <f>XLOOKUP(B1501,'_Sys|Line_Map'!$A:$A,'_Sys|Line_Map'!$C:$C,"MISSING",0)</f>
        <v/>
      </c>
      <c r="J1501" s="4562">
        <f>XLOOKUP(B1501,'_Sys|Line_Map'!$A:$A,'_Sys|Line_Map'!$D:$D,1,0)</f>
        <v/>
      </c>
      <c r="K1501" s="4562">
        <f>IF(D1501="","",D1501*J1501)</f>
        <v/>
      </c>
      <c r="L1501" s="4562">
        <f>XLOOKUP(B1501,'_Sys|Line_Map'!$A:$A,'_Sys|Line_Map'!$B:$B,"MISSING",0)</f>
        <v/>
      </c>
    </row>
    <row r="1502">
      <c r="A1502" s="4561" t="n"/>
      <c r="B1502" s="4561" t="n"/>
      <c r="C1502" s="4561" t="n"/>
      <c r="D1502" s="4561" t="n"/>
      <c r="E1502" s="4561" t="n"/>
      <c r="F1502" s="4561" t="n"/>
      <c r="G1502" s="4561" t="n"/>
      <c r="H1502" s="4561" t="n"/>
      <c r="I1502" s="4562">
        <f>XLOOKUP(B1502,'_Sys|Line_Map'!$A:$A,'_Sys|Line_Map'!$C:$C,"MISSING",0)</f>
        <v/>
      </c>
      <c r="J1502" s="4562">
        <f>XLOOKUP(B1502,'_Sys|Line_Map'!$A:$A,'_Sys|Line_Map'!$D:$D,1,0)</f>
        <v/>
      </c>
      <c r="K1502" s="4562">
        <f>IF(D1502="","",D1502*J1502)</f>
        <v/>
      </c>
      <c r="L1502" s="4562">
        <f>XLOOKUP(B1502,'_Sys|Line_Map'!$A:$A,'_Sys|Line_Map'!$B:$B,"MISSING",0)</f>
        <v/>
      </c>
    </row>
    <row r="1503">
      <c r="A1503" s="4561" t="n"/>
      <c r="B1503" s="4561" t="n"/>
      <c r="C1503" s="4561" t="n"/>
      <c r="D1503" s="4561" t="n"/>
      <c r="E1503" s="4561" t="n"/>
      <c r="F1503" s="4561" t="n"/>
      <c r="G1503" s="4561" t="n"/>
      <c r="H1503" s="4561" t="n"/>
      <c r="I1503" s="4562">
        <f>XLOOKUP(B1503,'_Sys|Line_Map'!$A:$A,'_Sys|Line_Map'!$C:$C,"MISSING",0)</f>
        <v/>
      </c>
      <c r="J1503" s="4562">
        <f>XLOOKUP(B1503,'_Sys|Line_Map'!$A:$A,'_Sys|Line_Map'!$D:$D,1,0)</f>
        <v/>
      </c>
      <c r="K1503" s="4562">
        <f>IF(D1503="","",D1503*J1503)</f>
        <v/>
      </c>
      <c r="L1503" s="4562">
        <f>XLOOKUP(B1503,'_Sys|Line_Map'!$A:$A,'_Sys|Line_Map'!$B:$B,"MISSING",0)</f>
        <v/>
      </c>
    </row>
    <row r="1504">
      <c r="A1504" s="4561" t="n"/>
      <c r="B1504" s="4561" t="n"/>
      <c r="C1504" s="4561" t="n"/>
      <c r="D1504" s="4561" t="n"/>
      <c r="E1504" s="4561" t="n"/>
      <c r="F1504" s="4561" t="n"/>
      <c r="G1504" s="4561" t="n"/>
      <c r="H1504" s="4561" t="n"/>
      <c r="I1504" s="4562">
        <f>XLOOKUP(B1504,'_Sys|Line_Map'!$A:$A,'_Sys|Line_Map'!$C:$C,"MISSING",0)</f>
        <v/>
      </c>
      <c r="J1504" s="4562">
        <f>XLOOKUP(B1504,'_Sys|Line_Map'!$A:$A,'_Sys|Line_Map'!$D:$D,1,0)</f>
        <v/>
      </c>
      <c r="K1504" s="4562">
        <f>IF(D1504="","",D1504*J1504)</f>
        <v/>
      </c>
      <c r="L1504" s="4562">
        <f>XLOOKUP(B1504,'_Sys|Line_Map'!$A:$A,'_Sys|Line_Map'!$B:$B,"MISSING",0)</f>
        <v/>
      </c>
    </row>
    <row r="1505">
      <c r="A1505" s="4561" t="n"/>
      <c r="B1505" s="4561" t="n"/>
      <c r="C1505" s="4561" t="n"/>
      <c r="D1505" s="4561" t="n"/>
      <c r="E1505" s="4561" t="n"/>
      <c r="F1505" s="4561" t="n"/>
      <c r="G1505" s="4561" t="n"/>
      <c r="H1505" s="4561" t="n"/>
      <c r="I1505" s="4562">
        <f>XLOOKUP(B1505,'_Sys|Line_Map'!$A:$A,'_Sys|Line_Map'!$C:$C,"MISSING",0)</f>
        <v/>
      </c>
      <c r="J1505" s="4562">
        <f>XLOOKUP(B1505,'_Sys|Line_Map'!$A:$A,'_Sys|Line_Map'!$D:$D,1,0)</f>
        <v/>
      </c>
      <c r="K1505" s="4562">
        <f>IF(D1505="","",D1505*J1505)</f>
        <v/>
      </c>
      <c r="L1505" s="4562">
        <f>XLOOKUP(B1505,'_Sys|Line_Map'!$A:$A,'_Sys|Line_Map'!$B:$B,"MISSING",0)</f>
        <v/>
      </c>
    </row>
    <row r="1506">
      <c r="A1506" s="4561" t="n"/>
      <c r="B1506" s="4561" t="n"/>
      <c r="C1506" s="4561" t="n"/>
      <c r="D1506" s="4561" t="n"/>
      <c r="E1506" s="4561" t="n"/>
      <c r="F1506" s="4561" t="n"/>
      <c r="G1506" s="4561" t="n"/>
      <c r="H1506" s="4561" t="n"/>
      <c r="I1506" s="4562">
        <f>XLOOKUP(B1506,'_Sys|Line_Map'!$A:$A,'_Sys|Line_Map'!$C:$C,"MISSING",0)</f>
        <v/>
      </c>
      <c r="J1506" s="4562">
        <f>XLOOKUP(B1506,'_Sys|Line_Map'!$A:$A,'_Sys|Line_Map'!$D:$D,1,0)</f>
        <v/>
      </c>
      <c r="K1506" s="4562">
        <f>IF(D1506="","",D1506*J1506)</f>
        <v/>
      </c>
      <c r="L1506" s="4562">
        <f>XLOOKUP(B1506,'_Sys|Line_Map'!$A:$A,'_Sys|Line_Map'!$B:$B,"MISSING",0)</f>
        <v/>
      </c>
    </row>
    <row r="1507">
      <c r="A1507" s="4561" t="n"/>
      <c r="B1507" s="4561" t="n"/>
      <c r="C1507" s="4561" t="n"/>
      <c r="D1507" s="4561" t="n"/>
      <c r="E1507" s="4561" t="n"/>
      <c r="F1507" s="4561" t="n"/>
      <c r="G1507" s="4561" t="n"/>
      <c r="H1507" s="4561" t="n"/>
      <c r="I1507" s="4562">
        <f>XLOOKUP(B1507,'_Sys|Line_Map'!$A:$A,'_Sys|Line_Map'!$C:$C,"MISSING",0)</f>
        <v/>
      </c>
      <c r="J1507" s="4562">
        <f>XLOOKUP(B1507,'_Sys|Line_Map'!$A:$A,'_Sys|Line_Map'!$D:$D,1,0)</f>
        <v/>
      </c>
      <c r="K1507" s="4562">
        <f>IF(D1507="","",D1507*J1507)</f>
        <v/>
      </c>
      <c r="L1507" s="4562">
        <f>XLOOKUP(B1507,'_Sys|Line_Map'!$A:$A,'_Sys|Line_Map'!$B:$B,"MISSING",0)</f>
        <v/>
      </c>
    </row>
    <row r="1508">
      <c r="A1508" s="4561" t="n"/>
      <c r="B1508" s="4561" t="n"/>
      <c r="C1508" s="4561" t="n"/>
      <c r="D1508" s="4561" t="n"/>
      <c r="E1508" s="4561" t="n"/>
      <c r="F1508" s="4561" t="n"/>
      <c r="G1508" s="4561" t="n"/>
      <c r="H1508" s="4561" t="n"/>
      <c r="I1508" s="4562">
        <f>XLOOKUP(B1508,'_Sys|Line_Map'!$A:$A,'_Sys|Line_Map'!$C:$C,"MISSING",0)</f>
        <v/>
      </c>
      <c r="J1508" s="4562">
        <f>XLOOKUP(B1508,'_Sys|Line_Map'!$A:$A,'_Sys|Line_Map'!$D:$D,1,0)</f>
        <v/>
      </c>
      <c r="K1508" s="4562">
        <f>IF(D1508="","",D1508*J1508)</f>
        <v/>
      </c>
      <c r="L1508" s="4562">
        <f>XLOOKUP(B1508,'_Sys|Line_Map'!$A:$A,'_Sys|Line_Map'!$B:$B,"MISSING",0)</f>
        <v/>
      </c>
    </row>
    <row r="1509">
      <c r="A1509" s="4561" t="n"/>
      <c r="B1509" s="4561" t="n"/>
      <c r="C1509" s="4561" t="n"/>
      <c r="D1509" s="4561" t="n"/>
      <c r="E1509" s="4561" t="n"/>
      <c r="F1509" s="4561" t="n"/>
      <c r="G1509" s="4561" t="n"/>
      <c r="H1509" s="4561" t="n"/>
      <c r="I1509" s="4562">
        <f>XLOOKUP(B1509,'_Sys|Line_Map'!$A:$A,'_Sys|Line_Map'!$C:$C,"MISSING",0)</f>
        <v/>
      </c>
      <c r="J1509" s="4562">
        <f>XLOOKUP(B1509,'_Sys|Line_Map'!$A:$A,'_Sys|Line_Map'!$D:$D,1,0)</f>
        <v/>
      </c>
      <c r="K1509" s="4562">
        <f>IF(D1509="","",D1509*J1509)</f>
        <v/>
      </c>
      <c r="L1509" s="4562">
        <f>XLOOKUP(B1509,'_Sys|Line_Map'!$A:$A,'_Sys|Line_Map'!$B:$B,"MISSING",0)</f>
        <v/>
      </c>
    </row>
    <row r="1510">
      <c r="A1510" s="4561" t="n"/>
      <c r="B1510" s="4561" t="n"/>
      <c r="C1510" s="4561" t="n"/>
      <c r="D1510" s="4561" t="n"/>
      <c r="E1510" s="4561" t="n"/>
      <c r="F1510" s="4561" t="n"/>
      <c r="G1510" s="4561" t="n"/>
      <c r="H1510" s="4561" t="n"/>
      <c r="I1510" s="4562">
        <f>XLOOKUP(B1510,'_Sys|Line_Map'!$A:$A,'_Sys|Line_Map'!$C:$C,"MISSING",0)</f>
        <v/>
      </c>
      <c r="J1510" s="4562">
        <f>XLOOKUP(B1510,'_Sys|Line_Map'!$A:$A,'_Sys|Line_Map'!$D:$D,1,0)</f>
        <v/>
      </c>
      <c r="K1510" s="4562">
        <f>IF(D1510="","",D1510*J1510)</f>
        <v/>
      </c>
      <c r="L1510" s="4562">
        <f>XLOOKUP(B1510,'_Sys|Line_Map'!$A:$A,'_Sys|Line_Map'!$B:$B,"MISSING",0)</f>
        <v/>
      </c>
    </row>
    <row r="1511">
      <c r="A1511" s="4561" t="n"/>
      <c r="B1511" s="4561" t="n"/>
      <c r="C1511" s="4561" t="n"/>
      <c r="D1511" s="4561" t="n"/>
      <c r="E1511" s="4561" t="n"/>
      <c r="F1511" s="4561" t="n"/>
      <c r="G1511" s="4561" t="n"/>
      <c r="H1511" s="4561" t="n"/>
      <c r="I1511" s="4562">
        <f>XLOOKUP(B1511,'_Sys|Line_Map'!$A:$A,'_Sys|Line_Map'!$C:$C,"MISSING",0)</f>
        <v/>
      </c>
      <c r="J1511" s="4562">
        <f>XLOOKUP(B1511,'_Sys|Line_Map'!$A:$A,'_Sys|Line_Map'!$D:$D,1,0)</f>
        <v/>
      </c>
      <c r="K1511" s="4562">
        <f>IF(D1511="","",D1511*J1511)</f>
        <v/>
      </c>
      <c r="L1511" s="4562">
        <f>XLOOKUP(B1511,'_Sys|Line_Map'!$A:$A,'_Sys|Line_Map'!$B:$B,"MISSING",0)</f>
        <v/>
      </c>
    </row>
    <row r="1512">
      <c r="A1512" s="4561" t="n"/>
      <c r="B1512" s="4561" t="n"/>
      <c r="C1512" s="4561" t="n"/>
      <c r="D1512" s="4561" t="n"/>
      <c r="E1512" s="4561" t="n"/>
      <c r="F1512" s="4561" t="n"/>
      <c r="G1512" s="4561" t="n"/>
      <c r="H1512" s="4561" t="n"/>
      <c r="I1512" s="4562">
        <f>XLOOKUP(B1512,'_Sys|Line_Map'!$A:$A,'_Sys|Line_Map'!$C:$C,"MISSING",0)</f>
        <v/>
      </c>
      <c r="J1512" s="4562">
        <f>XLOOKUP(B1512,'_Sys|Line_Map'!$A:$A,'_Sys|Line_Map'!$D:$D,1,0)</f>
        <v/>
      </c>
      <c r="K1512" s="4562">
        <f>IF(D1512="","",D1512*J1512)</f>
        <v/>
      </c>
      <c r="L1512" s="4562">
        <f>XLOOKUP(B1512,'_Sys|Line_Map'!$A:$A,'_Sys|Line_Map'!$B:$B,"MISSING",0)</f>
        <v/>
      </c>
    </row>
    <row r="1513">
      <c r="A1513" s="4561" t="n"/>
      <c r="B1513" s="4561" t="n"/>
      <c r="C1513" s="4561" t="n"/>
      <c r="D1513" s="4561" t="n"/>
      <c r="E1513" s="4561" t="n"/>
      <c r="F1513" s="4561" t="n"/>
      <c r="G1513" s="4561" t="n"/>
      <c r="H1513" s="4561" t="n"/>
      <c r="I1513" s="4562">
        <f>XLOOKUP(B1513,'_Sys|Line_Map'!$A:$A,'_Sys|Line_Map'!$C:$C,"MISSING",0)</f>
        <v/>
      </c>
      <c r="J1513" s="4562">
        <f>XLOOKUP(B1513,'_Sys|Line_Map'!$A:$A,'_Sys|Line_Map'!$D:$D,1,0)</f>
        <v/>
      </c>
      <c r="K1513" s="4562">
        <f>IF(D1513="","",D1513*J1513)</f>
        <v/>
      </c>
      <c r="L1513" s="4562">
        <f>XLOOKUP(B1513,'_Sys|Line_Map'!$A:$A,'_Sys|Line_Map'!$B:$B,"MISSING",0)</f>
        <v/>
      </c>
    </row>
    <row r="1514">
      <c r="A1514" s="4561" t="n"/>
      <c r="B1514" s="4561" t="n"/>
      <c r="C1514" s="4561" t="n"/>
      <c r="D1514" s="4561" t="n"/>
      <c r="E1514" s="4561" t="n"/>
      <c r="F1514" s="4561" t="n"/>
      <c r="G1514" s="4561" t="n"/>
      <c r="H1514" s="4561" t="n"/>
      <c r="I1514" s="4562">
        <f>XLOOKUP(B1514,'_Sys|Line_Map'!$A:$A,'_Sys|Line_Map'!$C:$C,"MISSING",0)</f>
        <v/>
      </c>
      <c r="J1514" s="4562">
        <f>XLOOKUP(B1514,'_Sys|Line_Map'!$A:$A,'_Sys|Line_Map'!$D:$D,1,0)</f>
        <v/>
      </c>
      <c r="K1514" s="4562">
        <f>IF(D1514="","",D1514*J1514)</f>
        <v/>
      </c>
      <c r="L1514" s="4562">
        <f>XLOOKUP(B1514,'_Sys|Line_Map'!$A:$A,'_Sys|Line_Map'!$B:$B,"MISSING",0)</f>
        <v/>
      </c>
    </row>
    <row r="1515">
      <c r="A1515" s="4561" t="n"/>
      <c r="B1515" s="4561" t="n"/>
      <c r="C1515" s="4561" t="n"/>
      <c r="D1515" s="4561" t="n"/>
      <c r="E1515" s="4561" t="n"/>
      <c r="F1515" s="4561" t="n"/>
      <c r="G1515" s="4561" t="n"/>
      <c r="H1515" s="4561" t="n"/>
      <c r="I1515" s="4562">
        <f>XLOOKUP(B1515,'_Sys|Line_Map'!$A:$A,'_Sys|Line_Map'!$C:$C,"MISSING",0)</f>
        <v/>
      </c>
      <c r="J1515" s="4562">
        <f>XLOOKUP(B1515,'_Sys|Line_Map'!$A:$A,'_Sys|Line_Map'!$D:$D,1,0)</f>
        <v/>
      </c>
      <c r="K1515" s="4562">
        <f>IF(D1515="","",D1515*J1515)</f>
        <v/>
      </c>
      <c r="L1515" s="4562">
        <f>XLOOKUP(B1515,'_Sys|Line_Map'!$A:$A,'_Sys|Line_Map'!$B:$B,"MISSING",0)</f>
        <v/>
      </c>
    </row>
    <row r="1516">
      <c r="A1516" s="4561" t="n"/>
      <c r="B1516" s="4561" t="n"/>
      <c r="C1516" s="4561" t="n"/>
      <c r="D1516" s="4561" t="n"/>
      <c r="E1516" s="4561" t="n"/>
      <c r="F1516" s="4561" t="n"/>
      <c r="G1516" s="4561" t="n"/>
      <c r="H1516" s="4561" t="n"/>
      <c r="I1516" s="4562">
        <f>XLOOKUP(B1516,'_Sys|Line_Map'!$A:$A,'_Sys|Line_Map'!$C:$C,"MISSING",0)</f>
        <v/>
      </c>
      <c r="J1516" s="4562">
        <f>XLOOKUP(B1516,'_Sys|Line_Map'!$A:$A,'_Sys|Line_Map'!$D:$D,1,0)</f>
        <v/>
      </c>
      <c r="K1516" s="4562">
        <f>IF(D1516="","",D1516*J1516)</f>
        <v/>
      </c>
      <c r="L1516" s="4562">
        <f>XLOOKUP(B1516,'_Sys|Line_Map'!$A:$A,'_Sys|Line_Map'!$B:$B,"MISSING",0)</f>
        <v/>
      </c>
    </row>
    <row r="1517">
      <c r="A1517" s="4561" t="n"/>
      <c r="B1517" s="4561" t="n"/>
      <c r="C1517" s="4561" t="n"/>
      <c r="D1517" s="4561" t="n"/>
      <c r="E1517" s="4561" t="n"/>
      <c r="F1517" s="4561" t="n"/>
      <c r="G1517" s="4561" t="n"/>
      <c r="H1517" s="4561" t="n"/>
      <c r="I1517" s="4562">
        <f>XLOOKUP(B1517,'_Sys|Line_Map'!$A:$A,'_Sys|Line_Map'!$C:$C,"MISSING",0)</f>
        <v/>
      </c>
      <c r="J1517" s="4562">
        <f>XLOOKUP(B1517,'_Sys|Line_Map'!$A:$A,'_Sys|Line_Map'!$D:$D,1,0)</f>
        <v/>
      </c>
      <c r="K1517" s="4562">
        <f>IF(D1517="","",D1517*J1517)</f>
        <v/>
      </c>
      <c r="L1517" s="4562">
        <f>XLOOKUP(B1517,'_Sys|Line_Map'!$A:$A,'_Sys|Line_Map'!$B:$B,"MISSING",0)</f>
        <v/>
      </c>
    </row>
    <row r="1518">
      <c r="A1518" s="4561" t="n"/>
      <c r="B1518" s="4561" t="n"/>
      <c r="C1518" s="4561" t="n"/>
      <c r="D1518" s="4561" t="n"/>
      <c r="E1518" s="4561" t="n"/>
      <c r="F1518" s="4561" t="n"/>
      <c r="G1518" s="4561" t="n"/>
      <c r="H1518" s="4561" t="n"/>
      <c r="I1518" s="4562">
        <f>XLOOKUP(B1518,'_Sys|Line_Map'!$A:$A,'_Sys|Line_Map'!$C:$C,"MISSING",0)</f>
        <v/>
      </c>
      <c r="J1518" s="4562">
        <f>XLOOKUP(B1518,'_Sys|Line_Map'!$A:$A,'_Sys|Line_Map'!$D:$D,1,0)</f>
        <v/>
      </c>
      <c r="K1518" s="4562">
        <f>IF(D1518="","",D1518*J1518)</f>
        <v/>
      </c>
      <c r="L1518" s="4562">
        <f>XLOOKUP(B1518,'_Sys|Line_Map'!$A:$A,'_Sys|Line_Map'!$B:$B,"MISSING",0)</f>
        <v/>
      </c>
    </row>
    <row r="1519">
      <c r="A1519" s="4561" t="n"/>
      <c r="B1519" s="4561" t="n"/>
      <c r="C1519" s="4561" t="n"/>
      <c r="D1519" s="4561" t="n"/>
      <c r="E1519" s="4561" t="n"/>
      <c r="F1519" s="4561" t="n"/>
      <c r="G1519" s="4561" t="n"/>
      <c r="H1519" s="4561" t="n"/>
      <c r="I1519" s="4562">
        <f>XLOOKUP(B1519,'_Sys|Line_Map'!$A:$A,'_Sys|Line_Map'!$C:$C,"MISSING",0)</f>
        <v/>
      </c>
      <c r="J1519" s="4562">
        <f>XLOOKUP(B1519,'_Sys|Line_Map'!$A:$A,'_Sys|Line_Map'!$D:$D,1,0)</f>
        <v/>
      </c>
      <c r="K1519" s="4562">
        <f>IF(D1519="","",D1519*J1519)</f>
        <v/>
      </c>
      <c r="L1519" s="4562">
        <f>XLOOKUP(B1519,'_Sys|Line_Map'!$A:$A,'_Sys|Line_Map'!$B:$B,"MISSING",0)</f>
        <v/>
      </c>
    </row>
    <row r="1520">
      <c r="A1520" s="4561" t="n"/>
      <c r="B1520" s="4561" t="n"/>
      <c r="C1520" s="4561" t="n"/>
      <c r="D1520" s="4561" t="n"/>
      <c r="E1520" s="4561" t="n"/>
      <c r="F1520" s="4561" t="n"/>
      <c r="G1520" s="4561" t="n"/>
      <c r="H1520" s="4561" t="n"/>
      <c r="I1520" s="4562">
        <f>XLOOKUP(B1520,'_Sys|Line_Map'!$A:$A,'_Sys|Line_Map'!$C:$C,"MISSING",0)</f>
        <v/>
      </c>
      <c r="J1520" s="4562">
        <f>XLOOKUP(B1520,'_Sys|Line_Map'!$A:$A,'_Sys|Line_Map'!$D:$D,1,0)</f>
        <v/>
      </c>
      <c r="K1520" s="4562">
        <f>IF(D1520="","",D1520*J1520)</f>
        <v/>
      </c>
      <c r="L1520" s="4562">
        <f>XLOOKUP(B1520,'_Sys|Line_Map'!$A:$A,'_Sys|Line_Map'!$B:$B,"MISSING",0)</f>
        <v/>
      </c>
    </row>
    <row r="1521">
      <c r="A1521" s="4561" t="n"/>
      <c r="B1521" s="4561" t="n"/>
      <c r="C1521" s="4561" t="n"/>
      <c r="D1521" s="4561" t="n"/>
      <c r="E1521" s="4561" t="n"/>
      <c r="F1521" s="4561" t="n"/>
      <c r="G1521" s="4561" t="n"/>
      <c r="H1521" s="4561" t="n"/>
      <c r="I1521" s="4562">
        <f>XLOOKUP(B1521,'_Sys|Line_Map'!$A:$A,'_Sys|Line_Map'!$C:$C,"MISSING",0)</f>
        <v/>
      </c>
      <c r="J1521" s="4562">
        <f>XLOOKUP(B1521,'_Sys|Line_Map'!$A:$A,'_Sys|Line_Map'!$D:$D,1,0)</f>
        <v/>
      </c>
      <c r="K1521" s="4562">
        <f>IF(D1521="","",D1521*J1521)</f>
        <v/>
      </c>
      <c r="L1521" s="4562">
        <f>XLOOKUP(B1521,'_Sys|Line_Map'!$A:$A,'_Sys|Line_Map'!$B:$B,"MISSING",0)</f>
        <v/>
      </c>
    </row>
    <row r="1522">
      <c r="A1522" s="4561" t="n"/>
      <c r="B1522" s="4561" t="n"/>
      <c r="C1522" s="4561" t="n"/>
      <c r="D1522" s="4561" t="n"/>
      <c r="E1522" s="4561" t="n"/>
      <c r="F1522" s="4561" t="n"/>
      <c r="G1522" s="4561" t="n"/>
      <c r="H1522" s="4561" t="n"/>
      <c r="I1522" s="4562">
        <f>XLOOKUP(B1522,'_Sys|Line_Map'!$A:$A,'_Sys|Line_Map'!$C:$C,"MISSING",0)</f>
        <v/>
      </c>
      <c r="J1522" s="4562">
        <f>XLOOKUP(B1522,'_Sys|Line_Map'!$A:$A,'_Sys|Line_Map'!$D:$D,1,0)</f>
        <v/>
      </c>
      <c r="K1522" s="4562">
        <f>IF(D1522="","",D1522*J1522)</f>
        <v/>
      </c>
      <c r="L1522" s="4562">
        <f>XLOOKUP(B1522,'_Sys|Line_Map'!$A:$A,'_Sys|Line_Map'!$B:$B,"MISSING",0)</f>
        <v/>
      </c>
    </row>
    <row r="1523">
      <c r="A1523" s="4561" t="n"/>
      <c r="B1523" s="4561" t="n"/>
      <c r="C1523" s="4561" t="n"/>
      <c r="D1523" s="4561" t="n"/>
      <c r="E1523" s="4561" t="n"/>
      <c r="F1523" s="4561" t="n"/>
      <c r="G1523" s="4561" t="n"/>
      <c r="H1523" s="4561" t="n"/>
      <c r="I1523" s="4562">
        <f>XLOOKUP(B1523,'_Sys|Line_Map'!$A:$A,'_Sys|Line_Map'!$C:$C,"MISSING",0)</f>
        <v/>
      </c>
      <c r="J1523" s="4562">
        <f>XLOOKUP(B1523,'_Sys|Line_Map'!$A:$A,'_Sys|Line_Map'!$D:$D,1,0)</f>
        <v/>
      </c>
      <c r="K1523" s="4562">
        <f>IF(D1523="","",D1523*J1523)</f>
        <v/>
      </c>
      <c r="L1523" s="4562">
        <f>XLOOKUP(B1523,'_Sys|Line_Map'!$A:$A,'_Sys|Line_Map'!$B:$B,"MISSING",0)</f>
        <v/>
      </c>
    </row>
    <row r="1524">
      <c r="A1524" s="4561" t="n"/>
      <c r="B1524" s="4561" t="n"/>
      <c r="C1524" s="4561" t="n"/>
      <c r="D1524" s="4561" t="n"/>
      <c r="E1524" s="4561" t="n"/>
      <c r="F1524" s="4561" t="n"/>
      <c r="G1524" s="4561" t="n"/>
      <c r="H1524" s="4561" t="n"/>
      <c r="I1524" s="4562">
        <f>XLOOKUP(B1524,'_Sys|Line_Map'!$A:$A,'_Sys|Line_Map'!$C:$C,"MISSING",0)</f>
        <v/>
      </c>
      <c r="J1524" s="4562">
        <f>XLOOKUP(B1524,'_Sys|Line_Map'!$A:$A,'_Sys|Line_Map'!$D:$D,1,0)</f>
        <v/>
      </c>
      <c r="K1524" s="4562">
        <f>IF(D1524="","",D1524*J1524)</f>
        <v/>
      </c>
      <c r="L1524" s="4562">
        <f>XLOOKUP(B1524,'_Sys|Line_Map'!$A:$A,'_Sys|Line_Map'!$B:$B,"MISSING",0)</f>
        <v/>
      </c>
    </row>
    <row r="1525">
      <c r="A1525" s="4561" t="n"/>
      <c r="B1525" s="4561" t="n"/>
      <c r="C1525" s="4561" t="n"/>
      <c r="D1525" s="4561" t="n"/>
      <c r="E1525" s="4561" t="n"/>
      <c r="F1525" s="4561" t="n"/>
      <c r="G1525" s="4561" t="n"/>
      <c r="H1525" s="4561" t="n"/>
      <c r="I1525" s="4562">
        <f>XLOOKUP(B1525,'_Sys|Line_Map'!$A:$A,'_Sys|Line_Map'!$C:$C,"MISSING",0)</f>
        <v/>
      </c>
      <c r="J1525" s="4562">
        <f>XLOOKUP(B1525,'_Sys|Line_Map'!$A:$A,'_Sys|Line_Map'!$D:$D,1,0)</f>
        <v/>
      </c>
      <c r="K1525" s="4562">
        <f>IF(D1525="","",D1525*J1525)</f>
        <v/>
      </c>
      <c r="L1525" s="4562">
        <f>XLOOKUP(B1525,'_Sys|Line_Map'!$A:$A,'_Sys|Line_Map'!$B:$B,"MISSING",0)</f>
        <v/>
      </c>
    </row>
    <row r="1526">
      <c r="A1526" s="4561" t="n"/>
      <c r="B1526" s="4561" t="n"/>
      <c r="C1526" s="4561" t="n"/>
      <c r="D1526" s="4561" t="n"/>
      <c r="E1526" s="4561" t="n"/>
      <c r="F1526" s="4561" t="n"/>
      <c r="G1526" s="4561" t="n"/>
      <c r="H1526" s="4561" t="n"/>
      <c r="I1526" s="4562">
        <f>XLOOKUP(B1526,'_Sys|Line_Map'!$A:$A,'_Sys|Line_Map'!$C:$C,"MISSING",0)</f>
        <v/>
      </c>
      <c r="J1526" s="4562">
        <f>XLOOKUP(B1526,'_Sys|Line_Map'!$A:$A,'_Sys|Line_Map'!$D:$D,1,0)</f>
        <v/>
      </c>
      <c r="K1526" s="4562">
        <f>IF(D1526="","",D1526*J1526)</f>
        <v/>
      </c>
      <c r="L1526" s="4562">
        <f>XLOOKUP(B1526,'_Sys|Line_Map'!$A:$A,'_Sys|Line_Map'!$B:$B,"MISSING",0)</f>
        <v/>
      </c>
    </row>
    <row r="1527">
      <c r="A1527" s="4561" t="n"/>
      <c r="B1527" s="4561" t="n"/>
      <c r="C1527" s="4561" t="n"/>
      <c r="D1527" s="4561" t="n"/>
      <c r="E1527" s="4561" t="n"/>
      <c r="F1527" s="4561" t="n"/>
      <c r="G1527" s="4561" t="n"/>
      <c r="H1527" s="4561" t="n"/>
      <c r="I1527" s="4562">
        <f>XLOOKUP(B1527,'_Sys|Line_Map'!$A:$A,'_Sys|Line_Map'!$C:$C,"MISSING",0)</f>
        <v/>
      </c>
      <c r="J1527" s="4562">
        <f>XLOOKUP(B1527,'_Sys|Line_Map'!$A:$A,'_Sys|Line_Map'!$D:$D,1,0)</f>
        <v/>
      </c>
      <c r="K1527" s="4562">
        <f>IF(D1527="","",D1527*J1527)</f>
        <v/>
      </c>
      <c r="L1527" s="4562">
        <f>XLOOKUP(B1527,'_Sys|Line_Map'!$A:$A,'_Sys|Line_Map'!$B:$B,"MISSING",0)</f>
        <v/>
      </c>
    </row>
    <row r="1528">
      <c r="A1528" s="4561" t="n"/>
      <c r="B1528" s="4561" t="n"/>
      <c r="C1528" s="4561" t="n"/>
      <c r="D1528" s="4561" t="n"/>
      <c r="E1528" s="4561" t="n"/>
      <c r="F1528" s="4561" t="n"/>
      <c r="G1528" s="4561" t="n"/>
      <c r="H1528" s="4561" t="n"/>
      <c r="I1528" s="4562">
        <f>XLOOKUP(B1528,'_Sys|Line_Map'!$A:$A,'_Sys|Line_Map'!$C:$C,"MISSING",0)</f>
        <v/>
      </c>
      <c r="J1528" s="4562">
        <f>XLOOKUP(B1528,'_Sys|Line_Map'!$A:$A,'_Sys|Line_Map'!$D:$D,1,0)</f>
        <v/>
      </c>
      <c r="K1528" s="4562">
        <f>IF(D1528="","",D1528*J1528)</f>
        <v/>
      </c>
      <c r="L1528" s="4562">
        <f>XLOOKUP(B1528,'_Sys|Line_Map'!$A:$A,'_Sys|Line_Map'!$B:$B,"MISSING",0)</f>
        <v/>
      </c>
    </row>
    <row r="1529">
      <c r="A1529" s="4561" t="n"/>
      <c r="B1529" s="4561" t="n"/>
      <c r="C1529" s="4561" t="n"/>
      <c r="D1529" s="4561" t="n"/>
      <c r="E1529" s="4561" t="n"/>
      <c r="F1529" s="4561" t="n"/>
      <c r="G1529" s="4561" t="n"/>
      <c r="H1529" s="4561" t="n"/>
      <c r="I1529" s="4562">
        <f>XLOOKUP(B1529,'_Sys|Line_Map'!$A:$A,'_Sys|Line_Map'!$C:$C,"MISSING",0)</f>
        <v/>
      </c>
      <c r="J1529" s="4562">
        <f>XLOOKUP(B1529,'_Sys|Line_Map'!$A:$A,'_Sys|Line_Map'!$D:$D,1,0)</f>
        <v/>
      </c>
      <c r="K1529" s="4562">
        <f>IF(D1529="","",D1529*J1529)</f>
        <v/>
      </c>
      <c r="L1529" s="4562">
        <f>XLOOKUP(B1529,'_Sys|Line_Map'!$A:$A,'_Sys|Line_Map'!$B:$B,"MISSING",0)</f>
        <v/>
      </c>
    </row>
    <row r="1530">
      <c r="A1530" s="4561" t="n"/>
      <c r="B1530" s="4561" t="n"/>
      <c r="C1530" s="4561" t="n"/>
      <c r="D1530" s="4561" t="n"/>
      <c r="E1530" s="4561" t="n"/>
      <c r="F1530" s="4561" t="n"/>
      <c r="G1530" s="4561" t="n"/>
      <c r="H1530" s="4561" t="n"/>
      <c r="I1530" s="4562">
        <f>XLOOKUP(B1530,'_Sys|Line_Map'!$A:$A,'_Sys|Line_Map'!$C:$C,"MISSING",0)</f>
        <v/>
      </c>
      <c r="J1530" s="4562">
        <f>XLOOKUP(B1530,'_Sys|Line_Map'!$A:$A,'_Sys|Line_Map'!$D:$D,1,0)</f>
        <v/>
      </c>
      <c r="K1530" s="4562">
        <f>IF(D1530="","",D1530*J1530)</f>
        <v/>
      </c>
      <c r="L1530" s="4562">
        <f>XLOOKUP(B1530,'_Sys|Line_Map'!$A:$A,'_Sys|Line_Map'!$B:$B,"MISSING",0)</f>
        <v/>
      </c>
    </row>
    <row r="1531">
      <c r="A1531" s="4561" t="n"/>
      <c r="B1531" s="4561" t="n"/>
      <c r="C1531" s="4561" t="n"/>
      <c r="D1531" s="4561" t="n"/>
      <c r="E1531" s="4561" t="n"/>
      <c r="F1531" s="4561" t="n"/>
      <c r="G1531" s="4561" t="n"/>
      <c r="H1531" s="4561" t="n"/>
      <c r="I1531" s="4562">
        <f>XLOOKUP(B1531,'_Sys|Line_Map'!$A:$A,'_Sys|Line_Map'!$C:$C,"MISSING",0)</f>
        <v/>
      </c>
      <c r="J1531" s="4562">
        <f>XLOOKUP(B1531,'_Sys|Line_Map'!$A:$A,'_Sys|Line_Map'!$D:$D,1,0)</f>
        <v/>
      </c>
      <c r="K1531" s="4562">
        <f>IF(D1531="","",D1531*J1531)</f>
        <v/>
      </c>
      <c r="L1531" s="4562">
        <f>XLOOKUP(B1531,'_Sys|Line_Map'!$A:$A,'_Sys|Line_Map'!$B:$B,"MISSING",0)</f>
        <v/>
      </c>
    </row>
    <row r="1532">
      <c r="A1532" s="4561" t="n"/>
      <c r="B1532" s="4561" t="n"/>
      <c r="C1532" s="4561" t="n"/>
      <c r="D1532" s="4561" t="n"/>
      <c r="E1532" s="4561" t="n"/>
      <c r="F1532" s="4561" t="n"/>
      <c r="G1532" s="4561" t="n"/>
      <c r="H1532" s="4561" t="n"/>
      <c r="I1532" s="4562">
        <f>XLOOKUP(B1532,'_Sys|Line_Map'!$A:$A,'_Sys|Line_Map'!$C:$C,"MISSING",0)</f>
        <v/>
      </c>
      <c r="J1532" s="4562">
        <f>XLOOKUP(B1532,'_Sys|Line_Map'!$A:$A,'_Sys|Line_Map'!$D:$D,1,0)</f>
        <v/>
      </c>
      <c r="K1532" s="4562">
        <f>IF(D1532="","",D1532*J1532)</f>
        <v/>
      </c>
      <c r="L1532" s="4562">
        <f>XLOOKUP(B1532,'_Sys|Line_Map'!$A:$A,'_Sys|Line_Map'!$B:$B,"MISSING",0)</f>
        <v/>
      </c>
    </row>
    <row r="1533">
      <c r="A1533" s="4561" t="n"/>
      <c r="B1533" s="4561" t="n"/>
      <c r="C1533" s="4561" t="n"/>
      <c r="D1533" s="4561" t="n"/>
      <c r="E1533" s="4561" t="n"/>
      <c r="F1533" s="4561" t="n"/>
      <c r="G1533" s="4561" t="n"/>
      <c r="H1533" s="4561" t="n"/>
      <c r="I1533" s="4562">
        <f>XLOOKUP(B1533,'_Sys|Line_Map'!$A:$A,'_Sys|Line_Map'!$C:$C,"MISSING",0)</f>
        <v/>
      </c>
      <c r="J1533" s="4562">
        <f>XLOOKUP(B1533,'_Sys|Line_Map'!$A:$A,'_Sys|Line_Map'!$D:$D,1,0)</f>
        <v/>
      </c>
      <c r="K1533" s="4562">
        <f>IF(D1533="","",D1533*J1533)</f>
        <v/>
      </c>
      <c r="L1533" s="4562">
        <f>XLOOKUP(B1533,'_Sys|Line_Map'!$A:$A,'_Sys|Line_Map'!$B:$B,"MISSING",0)</f>
        <v/>
      </c>
    </row>
    <row r="1534">
      <c r="A1534" s="4561" t="n"/>
      <c r="B1534" s="4561" t="n"/>
      <c r="C1534" s="4561" t="n"/>
      <c r="D1534" s="4561" t="n"/>
      <c r="E1534" s="4561" t="n"/>
      <c r="F1534" s="4561" t="n"/>
      <c r="G1534" s="4561" t="n"/>
      <c r="H1534" s="4561" t="n"/>
      <c r="I1534" s="4562">
        <f>XLOOKUP(B1534,'_Sys|Line_Map'!$A:$A,'_Sys|Line_Map'!$C:$C,"MISSING",0)</f>
        <v/>
      </c>
      <c r="J1534" s="4562">
        <f>XLOOKUP(B1534,'_Sys|Line_Map'!$A:$A,'_Sys|Line_Map'!$D:$D,1,0)</f>
        <v/>
      </c>
      <c r="K1534" s="4562">
        <f>IF(D1534="","",D1534*J1534)</f>
        <v/>
      </c>
      <c r="L1534" s="4562">
        <f>XLOOKUP(B1534,'_Sys|Line_Map'!$A:$A,'_Sys|Line_Map'!$B:$B,"MISSING",0)</f>
        <v/>
      </c>
    </row>
    <row r="1535">
      <c r="A1535" s="4561" t="n"/>
      <c r="B1535" s="4561" t="n"/>
      <c r="C1535" s="4561" t="n"/>
      <c r="D1535" s="4561" t="n"/>
      <c r="E1535" s="4561" t="n"/>
      <c r="F1535" s="4561" t="n"/>
      <c r="G1535" s="4561" t="n"/>
      <c r="H1535" s="4561" t="n"/>
      <c r="I1535" s="4562">
        <f>XLOOKUP(B1535,'_Sys|Line_Map'!$A:$A,'_Sys|Line_Map'!$C:$C,"MISSING",0)</f>
        <v/>
      </c>
      <c r="J1535" s="4562">
        <f>XLOOKUP(B1535,'_Sys|Line_Map'!$A:$A,'_Sys|Line_Map'!$D:$D,1,0)</f>
        <v/>
      </c>
      <c r="K1535" s="4562">
        <f>IF(D1535="","",D1535*J1535)</f>
        <v/>
      </c>
      <c r="L1535" s="4562">
        <f>XLOOKUP(B1535,'_Sys|Line_Map'!$A:$A,'_Sys|Line_Map'!$B:$B,"MISSING",0)</f>
        <v/>
      </c>
    </row>
    <row r="1536">
      <c r="A1536" s="4561" t="n"/>
      <c r="B1536" s="4561" t="n"/>
      <c r="C1536" s="4561" t="n"/>
      <c r="D1536" s="4561" t="n"/>
      <c r="E1536" s="4561" t="n"/>
      <c r="F1536" s="4561" t="n"/>
      <c r="G1536" s="4561" t="n"/>
      <c r="H1536" s="4561" t="n"/>
      <c r="I1536" s="4562">
        <f>XLOOKUP(B1536,'_Sys|Line_Map'!$A:$A,'_Sys|Line_Map'!$C:$C,"MISSING",0)</f>
        <v/>
      </c>
      <c r="J1536" s="4562">
        <f>XLOOKUP(B1536,'_Sys|Line_Map'!$A:$A,'_Sys|Line_Map'!$D:$D,1,0)</f>
        <v/>
      </c>
      <c r="K1536" s="4562">
        <f>IF(D1536="","",D1536*J1536)</f>
        <v/>
      </c>
      <c r="L1536" s="4562">
        <f>XLOOKUP(B1536,'_Sys|Line_Map'!$A:$A,'_Sys|Line_Map'!$B:$B,"MISSING",0)</f>
        <v/>
      </c>
    </row>
    <row r="1537">
      <c r="A1537" s="4561" t="n"/>
      <c r="B1537" s="4561" t="n"/>
      <c r="C1537" s="4561" t="n"/>
      <c r="D1537" s="4561" t="n"/>
      <c r="E1537" s="4561" t="n"/>
      <c r="F1537" s="4561" t="n"/>
      <c r="G1537" s="4561" t="n"/>
      <c r="H1537" s="4561" t="n"/>
      <c r="I1537" s="4562">
        <f>XLOOKUP(B1537,'_Sys|Line_Map'!$A:$A,'_Sys|Line_Map'!$C:$C,"MISSING",0)</f>
        <v/>
      </c>
      <c r="J1537" s="4562">
        <f>XLOOKUP(B1537,'_Sys|Line_Map'!$A:$A,'_Sys|Line_Map'!$D:$D,1,0)</f>
        <v/>
      </c>
      <c r="K1537" s="4562">
        <f>IF(D1537="","",D1537*J1537)</f>
        <v/>
      </c>
      <c r="L1537" s="4562">
        <f>XLOOKUP(B1537,'_Sys|Line_Map'!$A:$A,'_Sys|Line_Map'!$B:$B,"MISSING",0)</f>
        <v/>
      </c>
    </row>
    <row r="1538">
      <c r="A1538" s="4561" t="n"/>
      <c r="B1538" s="4561" t="n"/>
      <c r="C1538" s="4561" t="n"/>
      <c r="D1538" s="4561" t="n"/>
      <c r="E1538" s="4561" t="n"/>
      <c r="F1538" s="4561" t="n"/>
      <c r="G1538" s="4561" t="n"/>
      <c r="H1538" s="4561" t="n"/>
      <c r="I1538" s="4562">
        <f>XLOOKUP(B1538,'_Sys|Line_Map'!$A:$A,'_Sys|Line_Map'!$C:$C,"MISSING",0)</f>
        <v/>
      </c>
      <c r="J1538" s="4562">
        <f>XLOOKUP(B1538,'_Sys|Line_Map'!$A:$A,'_Sys|Line_Map'!$D:$D,1,0)</f>
        <v/>
      </c>
      <c r="K1538" s="4562">
        <f>IF(D1538="","",D1538*J1538)</f>
        <v/>
      </c>
      <c r="L1538" s="4562">
        <f>XLOOKUP(B1538,'_Sys|Line_Map'!$A:$A,'_Sys|Line_Map'!$B:$B,"MISSING",0)</f>
        <v/>
      </c>
    </row>
    <row r="1539">
      <c r="A1539" s="4561" t="n"/>
      <c r="B1539" s="4561" t="n"/>
      <c r="C1539" s="4561" t="n"/>
      <c r="D1539" s="4561" t="n"/>
      <c r="E1539" s="4561" t="n"/>
      <c r="F1539" s="4561" t="n"/>
      <c r="G1539" s="4561" t="n"/>
      <c r="H1539" s="4561" t="n"/>
      <c r="I1539" s="4562">
        <f>XLOOKUP(B1539,'_Sys|Line_Map'!$A:$A,'_Sys|Line_Map'!$C:$C,"MISSING",0)</f>
        <v/>
      </c>
      <c r="J1539" s="4562">
        <f>XLOOKUP(B1539,'_Sys|Line_Map'!$A:$A,'_Sys|Line_Map'!$D:$D,1,0)</f>
        <v/>
      </c>
      <c r="K1539" s="4562">
        <f>IF(D1539="","",D1539*J1539)</f>
        <v/>
      </c>
      <c r="L1539" s="4562">
        <f>XLOOKUP(B1539,'_Sys|Line_Map'!$A:$A,'_Sys|Line_Map'!$B:$B,"MISSING",0)</f>
        <v/>
      </c>
    </row>
    <row r="1540">
      <c r="A1540" s="4561" t="n"/>
      <c r="B1540" s="4561" t="n"/>
      <c r="C1540" s="4561" t="n"/>
      <c r="D1540" s="4561" t="n"/>
      <c r="E1540" s="4561" t="n"/>
      <c r="F1540" s="4561" t="n"/>
      <c r="G1540" s="4561" t="n"/>
      <c r="H1540" s="4561" t="n"/>
      <c r="I1540" s="4562">
        <f>XLOOKUP(B1540,'_Sys|Line_Map'!$A:$A,'_Sys|Line_Map'!$C:$C,"MISSING",0)</f>
        <v/>
      </c>
      <c r="J1540" s="4562">
        <f>XLOOKUP(B1540,'_Sys|Line_Map'!$A:$A,'_Sys|Line_Map'!$D:$D,1,0)</f>
        <v/>
      </c>
      <c r="K1540" s="4562">
        <f>IF(D1540="","",D1540*J1540)</f>
        <v/>
      </c>
      <c r="L1540" s="4562">
        <f>XLOOKUP(B1540,'_Sys|Line_Map'!$A:$A,'_Sys|Line_Map'!$B:$B,"MISSING",0)</f>
        <v/>
      </c>
    </row>
    <row r="1541">
      <c r="A1541" s="4561" t="n"/>
      <c r="B1541" s="4561" t="n"/>
      <c r="C1541" s="4561" t="n"/>
      <c r="D1541" s="4561" t="n"/>
      <c r="E1541" s="4561" t="n"/>
      <c r="F1541" s="4561" t="n"/>
      <c r="G1541" s="4561" t="n"/>
      <c r="H1541" s="4561" t="n"/>
      <c r="I1541" s="4562">
        <f>XLOOKUP(B1541,'_Sys|Line_Map'!$A:$A,'_Sys|Line_Map'!$C:$C,"MISSING",0)</f>
        <v/>
      </c>
      <c r="J1541" s="4562">
        <f>XLOOKUP(B1541,'_Sys|Line_Map'!$A:$A,'_Sys|Line_Map'!$D:$D,1,0)</f>
        <v/>
      </c>
      <c r="K1541" s="4562">
        <f>IF(D1541="","",D1541*J1541)</f>
        <v/>
      </c>
      <c r="L1541" s="4562">
        <f>XLOOKUP(B1541,'_Sys|Line_Map'!$A:$A,'_Sys|Line_Map'!$B:$B,"MISSING",0)</f>
        <v/>
      </c>
    </row>
    <row r="1542">
      <c r="A1542" s="4561" t="n"/>
      <c r="B1542" s="4561" t="n"/>
      <c r="C1542" s="4561" t="n"/>
      <c r="D1542" s="4561" t="n"/>
      <c r="E1542" s="4561" t="n"/>
      <c r="F1542" s="4561" t="n"/>
      <c r="G1542" s="4561" t="n"/>
      <c r="H1542" s="4561" t="n"/>
      <c r="I1542" s="4562">
        <f>XLOOKUP(B1542,'_Sys|Line_Map'!$A:$A,'_Sys|Line_Map'!$C:$C,"MISSING",0)</f>
        <v/>
      </c>
      <c r="J1542" s="4562">
        <f>XLOOKUP(B1542,'_Sys|Line_Map'!$A:$A,'_Sys|Line_Map'!$D:$D,1,0)</f>
        <v/>
      </c>
      <c r="K1542" s="4562">
        <f>IF(D1542="","",D1542*J1542)</f>
        <v/>
      </c>
      <c r="L1542" s="4562">
        <f>XLOOKUP(B1542,'_Sys|Line_Map'!$A:$A,'_Sys|Line_Map'!$B:$B,"MISSING",0)</f>
        <v/>
      </c>
    </row>
    <row r="1543">
      <c r="A1543" s="4561" t="n"/>
      <c r="B1543" s="4561" t="n"/>
      <c r="C1543" s="4561" t="n"/>
      <c r="D1543" s="4561" t="n"/>
      <c r="E1543" s="4561" t="n"/>
      <c r="F1543" s="4561" t="n"/>
      <c r="G1543" s="4561" t="n"/>
      <c r="H1543" s="4561" t="n"/>
      <c r="I1543" s="4562">
        <f>XLOOKUP(B1543,'_Sys|Line_Map'!$A:$A,'_Sys|Line_Map'!$C:$C,"MISSING",0)</f>
        <v/>
      </c>
      <c r="J1543" s="4562">
        <f>XLOOKUP(B1543,'_Sys|Line_Map'!$A:$A,'_Sys|Line_Map'!$D:$D,1,0)</f>
        <v/>
      </c>
      <c r="K1543" s="4562">
        <f>IF(D1543="","",D1543*J1543)</f>
        <v/>
      </c>
      <c r="L1543" s="4562">
        <f>XLOOKUP(B1543,'_Sys|Line_Map'!$A:$A,'_Sys|Line_Map'!$B:$B,"MISSING",0)</f>
        <v/>
      </c>
    </row>
    <row r="1544">
      <c r="A1544" s="4561" t="n"/>
      <c r="B1544" s="4561" t="n"/>
      <c r="C1544" s="4561" t="n"/>
      <c r="D1544" s="4561" t="n"/>
      <c r="E1544" s="4561" t="n"/>
      <c r="F1544" s="4561" t="n"/>
      <c r="G1544" s="4561" t="n"/>
      <c r="H1544" s="4561" t="n"/>
      <c r="I1544" s="4562">
        <f>XLOOKUP(B1544,'_Sys|Line_Map'!$A:$A,'_Sys|Line_Map'!$C:$C,"MISSING",0)</f>
        <v/>
      </c>
      <c r="J1544" s="4562">
        <f>XLOOKUP(B1544,'_Sys|Line_Map'!$A:$A,'_Sys|Line_Map'!$D:$D,1,0)</f>
        <v/>
      </c>
      <c r="K1544" s="4562">
        <f>IF(D1544="","",D1544*J1544)</f>
        <v/>
      </c>
      <c r="L1544" s="4562">
        <f>XLOOKUP(B1544,'_Sys|Line_Map'!$A:$A,'_Sys|Line_Map'!$B:$B,"MISSING",0)</f>
        <v/>
      </c>
    </row>
    <row r="1545">
      <c r="A1545" s="4561" t="n"/>
      <c r="B1545" s="4561" t="n"/>
      <c r="C1545" s="4561" t="n"/>
      <c r="D1545" s="4561" t="n"/>
      <c r="E1545" s="4561" t="n"/>
      <c r="F1545" s="4561" t="n"/>
      <c r="G1545" s="4561" t="n"/>
      <c r="H1545" s="4561" t="n"/>
      <c r="I1545" s="4562">
        <f>XLOOKUP(B1545,'_Sys|Line_Map'!$A:$A,'_Sys|Line_Map'!$C:$C,"MISSING",0)</f>
        <v/>
      </c>
      <c r="J1545" s="4562">
        <f>XLOOKUP(B1545,'_Sys|Line_Map'!$A:$A,'_Sys|Line_Map'!$D:$D,1,0)</f>
        <v/>
      </c>
      <c r="K1545" s="4562">
        <f>IF(D1545="","",D1545*J1545)</f>
        <v/>
      </c>
      <c r="L1545" s="4562">
        <f>XLOOKUP(B1545,'_Sys|Line_Map'!$A:$A,'_Sys|Line_Map'!$B:$B,"MISSING",0)</f>
        <v/>
      </c>
    </row>
    <row r="1546">
      <c r="A1546" s="4561" t="n"/>
      <c r="B1546" s="4561" t="n"/>
      <c r="C1546" s="4561" t="n"/>
      <c r="D1546" s="4561" t="n"/>
      <c r="E1546" s="4561" t="n"/>
      <c r="F1546" s="4561" t="n"/>
      <c r="G1546" s="4561" t="n"/>
      <c r="H1546" s="4561" t="n"/>
      <c r="I1546" s="4562">
        <f>XLOOKUP(B1546,'_Sys|Line_Map'!$A:$A,'_Sys|Line_Map'!$C:$C,"MISSING",0)</f>
        <v/>
      </c>
      <c r="J1546" s="4562">
        <f>XLOOKUP(B1546,'_Sys|Line_Map'!$A:$A,'_Sys|Line_Map'!$D:$D,1,0)</f>
        <v/>
      </c>
      <c r="K1546" s="4562">
        <f>IF(D1546="","",D1546*J1546)</f>
        <v/>
      </c>
      <c r="L1546" s="4562">
        <f>XLOOKUP(B1546,'_Sys|Line_Map'!$A:$A,'_Sys|Line_Map'!$B:$B,"MISSING",0)</f>
        <v/>
      </c>
    </row>
    <row r="1547">
      <c r="A1547" s="4561" t="n"/>
      <c r="B1547" s="4561" t="n"/>
      <c r="C1547" s="4561" t="n"/>
      <c r="D1547" s="4561" t="n"/>
      <c r="E1547" s="4561" t="n"/>
      <c r="F1547" s="4561" t="n"/>
      <c r="G1547" s="4561" t="n"/>
      <c r="H1547" s="4561" t="n"/>
      <c r="I1547" s="4562">
        <f>XLOOKUP(B1547,'_Sys|Line_Map'!$A:$A,'_Sys|Line_Map'!$C:$C,"MISSING",0)</f>
        <v/>
      </c>
      <c r="J1547" s="4562">
        <f>XLOOKUP(B1547,'_Sys|Line_Map'!$A:$A,'_Sys|Line_Map'!$D:$D,1,0)</f>
        <v/>
      </c>
      <c r="K1547" s="4562">
        <f>IF(D1547="","",D1547*J1547)</f>
        <v/>
      </c>
      <c r="L1547" s="4562">
        <f>XLOOKUP(B1547,'_Sys|Line_Map'!$A:$A,'_Sys|Line_Map'!$B:$B,"MISSING",0)</f>
        <v/>
      </c>
    </row>
    <row r="1548">
      <c r="A1548" s="4561" t="n"/>
      <c r="B1548" s="4561" t="n"/>
      <c r="C1548" s="4561" t="n"/>
      <c r="D1548" s="4561" t="n"/>
      <c r="E1548" s="4561" t="n"/>
      <c r="F1548" s="4561" t="n"/>
      <c r="G1548" s="4561" t="n"/>
      <c r="H1548" s="4561" t="n"/>
      <c r="I1548" s="4562">
        <f>XLOOKUP(B1548,'_Sys|Line_Map'!$A:$A,'_Sys|Line_Map'!$C:$C,"MISSING",0)</f>
        <v/>
      </c>
      <c r="J1548" s="4562">
        <f>XLOOKUP(B1548,'_Sys|Line_Map'!$A:$A,'_Sys|Line_Map'!$D:$D,1,0)</f>
        <v/>
      </c>
      <c r="K1548" s="4562">
        <f>IF(D1548="","",D1548*J1548)</f>
        <v/>
      </c>
      <c r="L1548" s="4562">
        <f>XLOOKUP(B1548,'_Sys|Line_Map'!$A:$A,'_Sys|Line_Map'!$B:$B,"MISSING",0)</f>
        <v/>
      </c>
    </row>
    <row r="1549">
      <c r="A1549" s="4561" t="n"/>
      <c r="B1549" s="4561" t="n"/>
      <c r="C1549" s="4561" t="n"/>
      <c r="D1549" s="4561" t="n"/>
      <c r="E1549" s="4561" t="n"/>
      <c r="F1549" s="4561" t="n"/>
      <c r="G1549" s="4561" t="n"/>
      <c r="H1549" s="4561" t="n"/>
      <c r="I1549" s="4562">
        <f>XLOOKUP(B1549,'_Sys|Line_Map'!$A:$A,'_Sys|Line_Map'!$C:$C,"MISSING",0)</f>
        <v/>
      </c>
      <c r="J1549" s="4562">
        <f>XLOOKUP(B1549,'_Sys|Line_Map'!$A:$A,'_Sys|Line_Map'!$D:$D,1,0)</f>
        <v/>
      </c>
      <c r="K1549" s="4562">
        <f>IF(D1549="","",D1549*J1549)</f>
        <v/>
      </c>
      <c r="L1549" s="4562">
        <f>XLOOKUP(B1549,'_Sys|Line_Map'!$A:$A,'_Sys|Line_Map'!$B:$B,"MISSING",0)</f>
        <v/>
      </c>
    </row>
    <row r="1550">
      <c r="A1550" s="4561" t="n"/>
      <c r="B1550" s="4561" t="n"/>
      <c r="C1550" s="4561" t="n"/>
      <c r="D1550" s="4561" t="n"/>
      <c r="E1550" s="4561" t="n"/>
      <c r="F1550" s="4561" t="n"/>
      <c r="G1550" s="4561" t="n"/>
      <c r="H1550" s="4561" t="n"/>
      <c r="I1550" s="4562">
        <f>XLOOKUP(B1550,'_Sys|Line_Map'!$A:$A,'_Sys|Line_Map'!$C:$C,"MISSING",0)</f>
        <v/>
      </c>
      <c r="J1550" s="4562">
        <f>XLOOKUP(B1550,'_Sys|Line_Map'!$A:$A,'_Sys|Line_Map'!$D:$D,1,0)</f>
        <v/>
      </c>
      <c r="K1550" s="4562">
        <f>IF(D1550="","",D1550*J1550)</f>
        <v/>
      </c>
      <c r="L1550" s="4562">
        <f>XLOOKUP(B1550,'_Sys|Line_Map'!$A:$A,'_Sys|Line_Map'!$B:$B,"MISSING",0)</f>
        <v/>
      </c>
    </row>
    <row r="1551">
      <c r="A1551" s="4561" t="n"/>
      <c r="B1551" s="4561" t="n"/>
      <c r="C1551" s="4561" t="n"/>
      <c r="D1551" s="4561" t="n"/>
      <c r="E1551" s="4561" t="n"/>
      <c r="F1551" s="4561" t="n"/>
      <c r="G1551" s="4561" t="n"/>
      <c r="H1551" s="4561" t="n"/>
      <c r="I1551" s="4562">
        <f>XLOOKUP(B1551,'_Sys|Line_Map'!$A:$A,'_Sys|Line_Map'!$C:$C,"MISSING",0)</f>
        <v/>
      </c>
      <c r="J1551" s="4562">
        <f>XLOOKUP(B1551,'_Sys|Line_Map'!$A:$A,'_Sys|Line_Map'!$D:$D,1,0)</f>
        <v/>
      </c>
      <c r="K1551" s="4562">
        <f>IF(D1551="","",D1551*J1551)</f>
        <v/>
      </c>
      <c r="L1551" s="4562">
        <f>XLOOKUP(B1551,'_Sys|Line_Map'!$A:$A,'_Sys|Line_Map'!$B:$B,"MISSING",0)</f>
        <v/>
      </c>
    </row>
    <row r="1552">
      <c r="A1552" s="4561" t="n"/>
      <c r="B1552" s="4561" t="n"/>
      <c r="C1552" s="4561" t="n"/>
      <c r="D1552" s="4561" t="n"/>
      <c r="E1552" s="4561" t="n"/>
      <c r="F1552" s="4561" t="n"/>
      <c r="G1552" s="4561" t="n"/>
      <c r="H1552" s="4561" t="n"/>
      <c r="I1552" s="4562">
        <f>XLOOKUP(B1552,'_Sys|Line_Map'!$A:$A,'_Sys|Line_Map'!$C:$C,"MISSING",0)</f>
        <v/>
      </c>
      <c r="J1552" s="4562">
        <f>XLOOKUP(B1552,'_Sys|Line_Map'!$A:$A,'_Sys|Line_Map'!$D:$D,1,0)</f>
        <v/>
      </c>
      <c r="K1552" s="4562">
        <f>IF(D1552="","",D1552*J1552)</f>
        <v/>
      </c>
      <c r="L1552" s="4562">
        <f>XLOOKUP(B1552,'_Sys|Line_Map'!$A:$A,'_Sys|Line_Map'!$B:$B,"MISSING",0)</f>
        <v/>
      </c>
    </row>
    <row r="1553">
      <c r="A1553" s="4561" t="n"/>
      <c r="B1553" s="4561" t="n"/>
      <c r="C1553" s="4561" t="n"/>
      <c r="D1553" s="4561" t="n"/>
      <c r="E1553" s="4561" t="n"/>
      <c r="F1553" s="4561" t="n"/>
      <c r="G1553" s="4561" t="n"/>
      <c r="H1553" s="4561" t="n"/>
      <c r="I1553" s="4562">
        <f>XLOOKUP(B1553,'_Sys|Line_Map'!$A:$A,'_Sys|Line_Map'!$C:$C,"MISSING",0)</f>
        <v/>
      </c>
      <c r="J1553" s="4562">
        <f>XLOOKUP(B1553,'_Sys|Line_Map'!$A:$A,'_Sys|Line_Map'!$D:$D,1,0)</f>
        <v/>
      </c>
      <c r="K1553" s="4562">
        <f>IF(D1553="","",D1553*J1553)</f>
        <v/>
      </c>
      <c r="L1553" s="4562">
        <f>XLOOKUP(B1553,'_Sys|Line_Map'!$A:$A,'_Sys|Line_Map'!$B:$B,"MISSING",0)</f>
        <v/>
      </c>
    </row>
    <row r="1554">
      <c r="A1554" s="4561" t="n"/>
      <c r="B1554" s="4561" t="n"/>
      <c r="C1554" s="4561" t="n"/>
      <c r="D1554" s="4561" t="n"/>
      <c r="E1554" s="4561" t="n"/>
      <c r="F1554" s="4561" t="n"/>
      <c r="G1554" s="4561" t="n"/>
      <c r="H1554" s="4561" t="n"/>
      <c r="I1554" s="4562">
        <f>XLOOKUP(B1554,'_Sys|Line_Map'!$A:$A,'_Sys|Line_Map'!$C:$C,"MISSING",0)</f>
        <v/>
      </c>
      <c r="J1554" s="4562">
        <f>XLOOKUP(B1554,'_Sys|Line_Map'!$A:$A,'_Sys|Line_Map'!$D:$D,1,0)</f>
        <v/>
      </c>
      <c r="K1554" s="4562">
        <f>IF(D1554="","",D1554*J1554)</f>
        <v/>
      </c>
      <c r="L1554" s="4562">
        <f>XLOOKUP(B1554,'_Sys|Line_Map'!$A:$A,'_Sys|Line_Map'!$B:$B,"MISSING",0)</f>
        <v/>
      </c>
    </row>
    <row r="1555">
      <c r="A1555" s="4561" t="n"/>
      <c r="B1555" s="4561" t="n"/>
      <c r="C1555" s="4561" t="n"/>
      <c r="D1555" s="4561" t="n"/>
      <c r="E1555" s="4561" t="n"/>
      <c r="F1555" s="4561" t="n"/>
      <c r="G1555" s="4561" t="n"/>
      <c r="H1555" s="4561" t="n"/>
      <c r="I1555" s="4562">
        <f>XLOOKUP(B1555,'_Sys|Line_Map'!$A:$A,'_Sys|Line_Map'!$C:$C,"MISSING",0)</f>
        <v/>
      </c>
      <c r="J1555" s="4562">
        <f>XLOOKUP(B1555,'_Sys|Line_Map'!$A:$A,'_Sys|Line_Map'!$D:$D,1,0)</f>
        <v/>
      </c>
      <c r="K1555" s="4562">
        <f>IF(D1555="","",D1555*J1555)</f>
        <v/>
      </c>
      <c r="L1555" s="4562">
        <f>XLOOKUP(B1555,'_Sys|Line_Map'!$A:$A,'_Sys|Line_Map'!$B:$B,"MISSING",0)</f>
        <v/>
      </c>
    </row>
    <row r="1556">
      <c r="A1556" s="4561" t="n"/>
      <c r="B1556" s="4561" t="n"/>
      <c r="C1556" s="4561" t="n"/>
      <c r="D1556" s="4561" t="n"/>
      <c r="E1556" s="4561" t="n"/>
      <c r="F1556" s="4561" t="n"/>
      <c r="G1556" s="4561" t="n"/>
      <c r="H1556" s="4561" t="n"/>
      <c r="I1556" s="4562">
        <f>XLOOKUP(B1556,'_Sys|Line_Map'!$A:$A,'_Sys|Line_Map'!$C:$C,"MISSING",0)</f>
        <v/>
      </c>
      <c r="J1556" s="4562">
        <f>XLOOKUP(B1556,'_Sys|Line_Map'!$A:$A,'_Sys|Line_Map'!$D:$D,1,0)</f>
        <v/>
      </c>
      <c r="K1556" s="4562">
        <f>IF(D1556="","",D1556*J1556)</f>
        <v/>
      </c>
      <c r="L1556" s="4562">
        <f>XLOOKUP(B1556,'_Sys|Line_Map'!$A:$A,'_Sys|Line_Map'!$B:$B,"MISSING",0)</f>
        <v/>
      </c>
    </row>
    <row r="1557">
      <c r="A1557" s="4561" t="n"/>
      <c r="B1557" s="4561" t="n"/>
      <c r="C1557" s="4561" t="n"/>
      <c r="D1557" s="4561" t="n"/>
      <c r="E1557" s="4561" t="n"/>
      <c r="F1557" s="4561" t="n"/>
      <c r="G1557" s="4561" t="n"/>
      <c r="H1557" s="4561" t="n"/>
      <c r="I1557" s="4562">
        <f>XLOOKUP(B1557,'_Sys|Line_Map'!$A:$A,'_Sys|Line_Map'!$C:$C,"MISSING",0)</f>
        <v/>
      </c>
      <c r="J1557" s="4562">
        <f>XLOOKUP(B1557,'_Sys|Line_Map'!$A:$A,'_Sys|Line_Map'!$D:$D,1,0)</f>
        <v/>
      </c>
      <c r="K1557" s="4562">
        <f>IF(D1557="","",D1557*J1557)</f>
        <v/>
      </c>
      <c r="L1557" s="4562">
        <f>XLOOKUP(B1557,'_Sys|Line_Map'!$A:$A,'_Sys|Line_Map'!$B:$B,"MISSING",0)</f>
        <v/>
      </c>
    </row>
    <row r="1558">
      <c r="A1558" s="4561" t="n"/>
      <c r="B1558" s="4561" t="n"/>
      <c r="C1558" s="4561" t="n"/>
      <c r="D1558" s="4561" t="n"/>
      <c r="E1558" s="4561" t="n"/>
      <c r="F1558" s="4561" t="n"/>
      <c r="G1558" s="4561" t="n"/>
      <c r="H1558" s="4561" t="n"/>
      <c r="I1558" s="4562">
        <f>XLOOKUP(B1558,'_Sys|Line_Map'!$A:$A,'_Sys|Line_Map'!$C:$C,"MISSING",0)</f>
        <v/>
      </c>
      <c r="J1558" s="4562">
        <f>XLOOKUP(B1558,'_Sys|Line_Map'!$A:$A,'_Sys|Line_Map'!$D:$D,1,0)</f>
        <v/>
      </c>
      <c r="K1558" s="4562">
        <f>IF(D1558="","",D1558*J1558)</f>
        <v/>
      </c>
      <c r="L1558" s="4562">
        <f>XLOOKUP(B1558,'_Sys|Line_Map'!$A:$A,'_Sys|Line_Map'!$B:$B,"MISSING",0)</f>
        <v/>
      </c>
    </row>
    <row r="1559">
      <c r="A1559" s="4561" t="n"/>
      <c r="B1559" s="4561" t="n"/>
      <c r="C1559" s="4561" t="n"/>
      <c r="D1559" s="4561" t="n"/>
      <c r="E1559" s="4561" t="n"/>
      <c r="F1559" s="4561" t="n"/>
      <c r="G1559" s="4561" t="n"/>
      <c r="H1559" s="4561" t="n"/>
      <c r="I1559" s="4562">
        <f>XLOOKUP(B1559,'_Sys|Line_Map'!$A:$A,'_Sys|Line_Map'!$C:$C,"MISSING",0)</f>
        <v/>
      </c>
      <c r="J1559" s="4562">
        <f>XLOOKUP(B1559,'_Sys|Line_Map'!$A:$A,'_Sys|Line_Map'!$D:$D,1,0)</f>
        <v/>
      </c>
      <c r="K1559" s="4562">
        <f>IF(D1559="","",D1559*J1559)</f>
        <v/>
      </c>
      <c r="L1559" s="4562">
        <f>XLOOKUP(B1559,'_Sys|Line_Map'!$A:$A,'_Sys|Line_Map'!$B:$B,"MISSING",0)</f>
        <v/>
      </c>
    </row>
    <row r="1560">
      <c r="A1560" s="4561" t="n"/>
      <c r="B1560" s="4561" t="n"/>
      <c r="C1560" s="4561" t="n"/>
      <c r="D1560" s="4561" t="n"/>
      <c r="E1560" s="4561" t="n"/>
      <c r="F1560" s="4561" t="n"/>
      <c r="G1560" s="4561" t="n"/>
      <c r="H1560" s="4561" t="n"/>
      <c r="I1560" s="4562">
        <f>XLOOKUP(B1560,'_Sys|Line_Map'!$A:$A,'_Sys|Line_Map'!$C:$C,"MISSING",0)</f>
        <v/>
      </c>
      <c r="J1560" s="4562">
        <f>XLOOKUP(B1560,'_Sys|Line_Map'!$A:$A,'_Sys|Line_Map'!$D:$D,1,0)</f>
        <v/>
      </c>
      <c r="K1560" s="4562">
        <f>IF(D1560="","",D1560*J1560)</f>
        <v/>
      </c>
      <c r="L1560" s="4562">
        <f>XLOOKUP(B1560,'_Sys|Line_Map'!$A:$A,'_Sys|Line_Map'!$B:$B,"MISSING",0)</f>
        <v/>
      </c>
    </row>
    <row r="1561">
      <c r="A1561" s="4561" t="n"/>
      <c r="B1561" s="4561" t="n"/>
      <c r="C1561" s="4561" t="n"/>
      <c r="D1561" s="4561" t="n"/>
      <c r="E1561" s="4561" t="n"/>
      <c r="F1561" s="4561" t="n"/>
      <c r="G1561" s="4561" t="n"/>
      <c r="H1561" s="4561" t="n"/>
      <c r="I1561" s="4562">
        <f>XLOOKUP(B1561,'_Sys|Line_Map'!$A:$A,'_Sys|Line_Map'!$C:$C,"MISSING",0)</f>
        <v/>
      </c>
      <c r="J1561" s="4562">
        <f>XLOOKUP(B1561,'_Sys|Line_Map'!$A:$A,'_Sys|Line_Map'!$D:$D,1,0)</f>
        <v/>
      </c>
      <c r="K1561" s="4562">
        <f>IF(D1561="","",D1561*J1561)</f>
        <v/>
      </c>
      <c r="L1561" s="4562">
        <f>XLOOKUP(B1561,'_Sys|Line_Map'!$A:$A,'_Sys|Line_Map'!$B:$B,"MISSING",0)</f>
        <v/>
      </c>
    </row>
    <row r="1562">
      <c r="A1562" s="4561" t="n"/>
      <c r="B1562" s="4561" t="n"/>
      <c r="C1562" s="4561" t="n"/>
      <c r="D1562" s="4561" t="n"/>
      <c r="E1562" s="4561" t="n"/>
      <c r="F1562" s="4561" t="n"/>
      <c r="G1562" s="4561" t="n"/>
      <c r="H1562" s="4561" t="n"/>
      <c r="I1562" s="4562">
        <f>XLOOKUP(B1562,'_Sys|Line_Map'!$A:$A,'_Sys|Line_Map'!$C:$C,"MISSING",0)</f>
        <v/>
      </c>
      <c r="J1562" s="4562">
        <f>XLOOKUP(B1562,'_Sys|Line_Map'!$A:$A,'_Sys|Line_Map'!$D:$D,1,0)</f>
        <v/>
      </c>
      <c r="K1562" s="4562">
        <f>IF(D1562="","",D1562*J1562)</f>
        <v/>
      </c>
      <c r="L1562" s="4562">
        <f>XLOOKUP(B1562,'_Sys|Line_Map'!$A:$A,'_Sys|Line_Map'!$B:$B,"MISSING",0)</f>
        <v/>
      </c>
    </row>
    <row r="1563">
      <c r="A1563" s="4561" t="n"/>
      <c r="B1563" s="4561" t="n"/>
      <c r="C1563" s="4561" t="n"/>
      <c r="D1563" s="4561" t="n"/>
      <c r="E1563" s="4561" t="n"/>
      <c r="F1563" s="4561" t="n"/>
      <c r="G1563" s="4561" t="n"/>
      <c r="H1563" s="4561" t="n"/>
      <c r="I1563" s="4562">
        <f>XLOOKUP(B1563,'_Sys|Line_Map'!$A:$A,'_Sys|Line_Map'!$C:$C,"MISSING",0)</f>
        <v/>
      </c>
      <c r="J1563" s="4562">
        <f>XLOOKUP(B1563,'_Sys|Line_Map'!$A:$A,'_Sys|Line_Map'!$D:$D,1,0)</f>
        <v/>
      </c>
      <c r="K1563" s="4562">
        <f>IF(D1563="","",D1563*J1563)</f>
        <v/>
      </c>
      <c r="L1563" s="4562">
        <f>XLOOKUP(B1563,'_Sys|Line_Map'!$A:$A,'_Sys|Line_Map'!$B:$B,"MISSING",0)</f>
        <v/>
      </c>
    </row>
    <row r="1564">
      <c r="A1564" s="4561" t="n"/>
      <c r="B1564" s="4561" t="n"/>
      <c r="C1564" s="4561" t="n"/>
      <c r="D1564" s="4561" t="n"/>
      <c r="E1564" s="4561" t="n"/>
      <c r="F1564" s="4561" t="n"/>
      <c r="G1564" s="4561" t="n"/>
      <c r="H1564" s="4561" t="n"/>
      <c r="I1564" s="4562">
        <f>XLOOKUP(B1564,'_Sys|Line_Map'!$A:$A,'_Sys|Line_Map'!$C:$C,"MISSING",0)</f>
        <v/>
      </c>
      <c r="J1564" s="4562">
        <f>XLOOKUP(B1564,'_Sys|Line_Map'!$A:$A,'_Sys|Line_Map'!$D:$D,1,0)</f>
        <v/>
      </c>
      <c r="K1564" s="4562">
        <f>IF(D1564="","",D1564*J1564)</f>
        <v/>
      </c>
      <c r="L1564" s="4562">
        <f>XLOOKUP(B1564,'_Sys|Line_Map'!$A:$A,'_Sys|Line_Map'!$B:$B,"MISSING",0)</f>
        <v/>
      </c>
    </row>
    <row r="1565">
      <c r="A1565" s="4561" t="n"/>
      <c r="B1565" s="4561" t="n"/>
      <c r="C1565" s="4561" t="n"/>
      <c r="D1565" s="4561" t="n"/>
      <c r="E1565" s="4561" t="n"/>
      <c r="F1565" s="4561" t="n"/>
      <c r="G1565" s="4561" t="n"/>
      <c r="H1565" s="4561" t="n"/>
      <c r="I1565" s="4562">
        <f>XLOOKUP(B1565,'_Sys|Line_Map'!$A:$A,'_Sys|Line_Map'!$C:$C,"MISSING",0)</f>
        <v/>
      </c>
      <c r="J1565" s="4562">
        <f>XLOOKUP(B1565,'_Sys|Line_Map'!$A:$A,'_Sys|Line_Map'!$D:$D,1,0)</f>
        <v/>
      </c>
      <c r="K1565" s="4562">
        <f>IF(D1565="","",D1565*J1565)</f>
        <v/>
      </c>
      <c r="L1565" s="4562">
        <f>XLOOKUP(B1565,'_Sys|Line_Map'!$A:$A,'_Sys|Line_Map'!$B:$B,"MISSING",0)</f>
        <v/>
      </c>
    </row>
    <row r="1566">
      <c r="A1566" s="4561" t="n"/>
      <c r="B1566" s="4561" t="n"/>
      <c r="C1566" s="4561" t="n"/>
      <c r="D1566" s="4561" t="n"/>
      <c r="E1566" s="4561" t="n"/>
      <c r="F1566" s="4561" t="n"/>
      <c r="G1566" s="4561" t="n"/>
      <c r="H1566" s="4561" t="n"/>
      <c r="I1566" s="4562">
        <f>XLOOKUP(B1566,'_Sys|Line_Map'!$A:$A,'_Sys|Line_Map'!$C:$C,"MISSING",0)</f>
        <v/>
      </c>
      <c r="J1566" s="4562">
        <f>XLOOKUP(B1566,'_Sys|Line_Map'!$A:$A,'_Sys|Line_Map'!$D:$D,1,0)</f>
        <v/>
      </c>
      <c r="K1566" s="4562">
        <f>IF(D1566="","",D1566*J1566)</f>
        <v/>
      </c>
      <c r="L1566" s="4562">
        <f>XLOOKUP(B1566,'_Sys|Line_Map'!$A:$A,'_Sys|Line_Map'!$B:$B,"MISSING",0)</f>
        <v/>
      </c>
    </row>
    <row r="1567">
      <c r="A1567" s="4561" t="n"/>
      <c r="B1567" s="4561" t="n"/>
      <c r="C1567" s="4561" t="n"/>
      <c r="D1567" s="4561" t="n"/>
      <c r="E1567" s="4561" t="n"/>
      <c r="F1567" s="4561" t="n"/>
      <c r="G1567" s="4561" t="n"/>
      <c r="H1567" s="4561" t="n"/>
      <c r="I1567" s="4562">
        <f>XLOOKUP(B1567,'_Sys|Line_Map'!$A:$A,'_Sys|Line_Map'!$C:$C,"MISSING",0)</f>
        <v/>
      </c>
      <c r="J1567" s="4562">
        <f>XLOOKUP(B1567,'_Sys|Line_Map'!$A:$A,'_Sys|Line_Map'!$D:$D,1,0)</f>
        <v/>
      </c>
      <c r="K1567" s="4562">
        <f>IF(D1567="","",D1567*J1567)</f>
        <v/>
      </c>
      <c r="L1567" s="4562">
        <f>XLOOKUP(B1567,'_Sys|Line_Map'!$A:$A,'_Sys|Line_Map'!$B:$B,"MISSING",0)</f>
        <v/>
      </c>
    </row>
    <row r="1568">
      <c r="A1568" s="4561" t="n"/>
      <c r="B1568" s="4561" t="n"/>
      <c r="C1568" s="4561" t="n"/>
      <c r="D1568" s="4561" t="n"/>
      <c r="E1568" s="4561" t="n"/>
      <c r="F1568" s="4561" t="n"/>
      <c r="G1568" s="4561" t="n"/>
      <c r="H1568" s="4561" t="n"/>
      <c r="I1568" s="4562">
        <f>XLOOKUP(B1568,'_Sys|Line_Map'!$A:$A,'_Sys|Line_Map'!$C:$C,"MISSING",0)</f>
        <v/>
      </c>
      <c r="J1568" s="4562">
        <f>XLOOKUP(B1568,'_Sys|Line_Map'!$A:$A,'_Sys|Line_Map'!$D:$D,1,0)</f>
        <v/>
      </c>
      <c r="K1568" s="4562">
        <f>IF(D1568="","",D1568*J1568)</f>
        <v/>
      </c>
      <c r="L1568" s="4562">
        <f>XLOOKUP(B1568,'_Sys|Line_Map'!$A:$A,'_Sys|Line_Map'!$B:$B,"MISSING",0)</f>
        <v/>
      </c>
    </row>
    <row r="1569">
      <c r="A1569" s="4561" t="n"/>
      <c r="B1569" s="4561" t="n"/>
      <c r="C1569" s="4561" t="n"/>
      <c r="D1569" s="4561" t="n"/>
      <c r="E1569" s="4561" t="n"/>
      <c r="F1569" s="4561" t="n"/>
      <c r="G1569" s="4561" t="n"/>
      <c r="H1569" s="4561" t="n"/>
      <c r="I1569" s="4562">
        <f>XLOOKUP(B1569,'_Sys|Line_Map'!$A:$A,'_Sys|Line_Map'!$C:$C,"MISSING",0)</f>
        <v/>
      </c>
      <c r="J1569" s="4562">
        <f>XLOOKUP(B1569,'_Sys|Line_Map'!$A:$A,'_Sys|Line_Map'!$D:$D,1,0)</f>
        <v/>
      </c>
      <c r="K1569" s="4562">
        <f>IF(D1569="","",D1569*J1569)</f>
        <v/>
      </c>
      <c r="L1569" s="4562">
        <f>XLOOKUP(B1569,'_Sys|Line_Map'!$A:$A,'_Sys|Line_Map'!$B:$B,"MISSING",0)</f>
        <v/>
      </c>
    </row>
    <row r="1570">
      <c r="A1570" s="4561" t="n"/>
      <c r="B1570" s="4561" t="n"/>
      <c r="C1570" s="4561" t="n"/>
      <c r="D1570" s="4561" t="n"/>
      <c r="E1570" s="4561" t="n"/>
      <c r="F1570" s="4561" t="n"/>
      <c r="G1570" s="4561" t="n"/>
      <c r="H1570" s="4561" t="n"/>
      <c r="I1570" s="4562">
        <f>XLOOKUP(B1570,'_Sys|Line_Map'!$A:$A,'_Sys|Line_Map'!$C:$C,"MISSING",0)</f>
        <v/>
      </c>
      <c r="J1570" s="4562">
        <f>XLOOKUP(B1570,'_Sys|Line_Map'!$A:$A,'_Sys|Line_Map'!$D:$D,1,0)</f>
        <v/>
      </c>
      <c r="K1570" s="4562">
        <f>IF(D1570="","",D1570*J1570)</f>
        <v/>
      </c>
      <c r="L1570" s="4562">
        <f>XLOOKUP(B1570,'_Sys|Line_Map'!$A:$A,'_Sys|Line_Map'!$B:$B,"MISSING",0)</f>
        <v/>
      </c>
    </row>
    <row r="1571">
      <c r="A1571" s="4561" t="n"/>
      <c r="B1571" s="4561" t="n"/>
      <c r="C1571" s="4561" t="n"/>
      <c r="D1571" s="4561" t="n"/>
      <c r="E1571" s="4561" t="n"/>
      <c r="F1571" s="4561" t="n"/>
      <c r="G1571" s="4561" t="n"/>
      <c r="H1571" s="4561" t="n"/>
      <c r="I1571" s="4562">
        <f>XLOOKUP(B1571,'_Sys|Line_Map'!$A:$A,'_Sys|Line_Map'!$C:$C,"MISSING",0)</f>
        <v/>
      </c>
      <c r="J1571" s="4562">
        <f>XLOOKUP(B1571,'_Sys|Line_Map'!$A:$A,'_Sys|Line_Map'!$D:$D,1,0)</f>
        <v/>
      </c>
      <c r="K1571" s="4562">
        <f>IF(D1571="","",D1571*J1571)</f>
        <v/>
      </c>
      <c r="L1571" s="4562">
        <f>XLOOKUP(B1571,'_Sys|Line_Map'!$A:$A,'_Sys|Line_Map'!$B:$B,"MISSING",0)</f>
        <v/>
      </c>
    </row>
    <row r="1572">
      <c r="A1572" s="4561" t="n"/>
      <c r="B1572" s="4561" t="n"/>
      <c r="C1572" s="4561" t="n"/>
      <c r="D1572" s="4561" t="n"/>
      <c r="E1572" s="4561" t="n"/>
      <c r="F1572" s="4561" t="n"/>
      <c r="G1572" s="4561" t="n"/>
      <c r="H1572" s="4561" t="n"/>
      <c r="I1572" s="4562">
        <f>XLOOKUP(B1572,'_Sys|Line_Map'!$A:$A,'_Sys|Line_Map'!$C:$C,"MISSING",0)</f>
        <v/>
      </c>
      <c r="J1572" s="4562">
        <f>XLOOKUP(B1572,'_Sys|Line_Map'!$A:$A,'_Sys|Line_Map'!$D:$D,1,0)</f>
        <v/>
      </c>
      <c r="K1572" s="4562">
        <f>IF(D1572="","",D1572*J1572)</f>
        <v/>
      </c>
      <c r="L1572" s="4562">
        <f>XLOOKUP(B1572,'_Sys|Line_Map'!$A:$A,'_Sys|Line_Map'!$B:$B,"MISSING",0)</f>
        <v/>
      </c>
    </row>
    <row r="1573">
      <c r="A1573" s="4561" t="n"/>
      <c r="B1573" s="4561" t="n"/>
      <c r="C1573" s="4561" t="n"/>
      <c r="D1573" s="4561" t="n"/>
      <c r="E1573" s="4561" t="n"/>
      <c r="F1573" s="4561" t="n"/>
      <c r="G1573" s="4561" t="n"/>
      <c r="H1573" s="4561" t="n"/>
      <c r="I1573" s="4562">
        <f>XLOOKUP(B1573,'_Sys|Line_Map'!$A:$A,'_Sys|Line_Map'!$C:$C,"MISSING",0)</f>
        <v/>
      </c>
      <c r="J1573" s="4562">
        <f>XLOOKUP(B1573,'_Sys|Line_Map'!$A:$A,'_Sys|Line_Map'!$D:$D,1,0)</f>
        <v/>
      </c>
      <c r="K1573" s="4562">
        <f>IF(D1573="","",D1573*J1573)</f>
        <v/>
      </c>
      <c r="L1573" s="4562">
        <f>XLOOKUP(B1573,'_Sys|Line_Map'!$A:$A,'_Sys|Line_Map'!$B:$B,"MISSING",0)</f>
        <v/>
      </c>
    </row>
    <row r="1574">
      <c r="A1574" s="4561" t="n"/>
      <c r="B1574" s="4561" t="n"/>
      <c r="C1574" s="4561" t="n"/>
      <c r="D1574" s="4561" t="n"/>
      <c r="E1574" s="4561" t="n"/>
      <c r="F1574" s="4561" t="n"/>
      <c r="G1574" s="4561" t="n"/>
      <c r="H1574" s="4561" t="n"/>
      <c r="I1574" s="4562">
        <f>XLOOKUP(B1574,'_Sys|Line_Map'!$A:$A,'_Sys|Line_Map'!$C:$C,"MISSING",0)</f>
        <v/>
      </c>
      <c r="J1574" s="4562">
        <f>XLOOKUP(B1574,'_Sys|Line_Map'!$A:$A,'_Sys|Line_Map'!$D:$D,1,0)</f>
        <v/>
      </c>
      <c r="K1574" s="4562">
        <f>IF(D1574="","",D1574*J1574)</f>
        <v/>
      </c>
      <c r="L1574" s="4562">
        <f>XLOOKUP(B1574,'_Sys|Line_Map'!$A:$A,'_Sys|Line_Map'!$B:$B,"MISSING",0)</f>
        <v/>
      </c>
    </row>
    <row r="1575">
      <c r="A1575" s="4561" t="n"/>
      <c r="B1575" s="4561" t="n"/>
      <c r="C1575" s="4561" t="n"/>
      <c r="D1575" s="4561" t="n"/>
      <c r="E1575" s="4561" t="n"/>
      <c r="F1575" s="4561" t="n"/>
      <c r="G1575" s="4561" t="n"/>
      <c r="H1575" s="4561" t="n"/>
      <c r="I1575" s="4562">
        <f>XLOOKUP(B1575,'_Sys|Line_Map'!$A:$A,'_Sys|Line_Map'!$C:$C,"MISSING",0)</f>
        <v/>
      </c>
      <c r="J1575" s="4562">
        <f>XLOOKUP(B1575,'_Sys|Line_Map'!$A:$A,'_Sys|Line_Map'!$D:$D,1,0)</f>
        <v/>
      </c>
      <c r="K1575" s="4562">
        <f>IF(D1575="","",D1575*J1575)</f>
        <v/>
      </c>
      <c r="L1575" s="4562">
        <f>XLOOKUP(B1575,'_Sys|Line_Map'!$A:$A,'_Sys|Line_Map'!$B:$B,"MISSING",0)</f>
        <v/>
      </c>
    </row>
    <row r="1576">
      <c r="A1576" s="4561" t="n"/>
      <c r="B1576" s="4561" t="n"/>
      <c r="C1576" s="4561" t="n"/>
      <c r="D1576" s="4561" t="n"/>
      <c r="E1576" s="4561" t="n"/>
      <c r="F1576" s="4561" t="n"/>
      <c r="G1576" s="4561" t="n"/>
      <c r="H1576" s="4561" t="n"/>
      <c r="I1576" s="4562">
        <f>XLOOKUP(B1576,'_Sys|Line_Map'!$A:$A,'_Sys|Line_Map'!$C:$C,"MISSING",0)</f>
        <v/>
      </c>
      <c r="J1576" s="4562">
        <f>XLOOKUP(B1576,'_Sys|Line_Map'!$A:$A,'_Sys|Line_Map'!$D:$D,1,0)</f>
        <v/>
      </c>
      <c r="K1576" s="4562">
        <f>IF(D1576="","",D1576*J1576)</f>
        <v/>
      </c>
      <c r="L1576" s="4562">
        <f>XLOOKUP(B1576,'_Sys|Line_Map'!$A:$A,'_Sys|Line_Map'!$B:$B,"MISSING",0)</f>
        <v/>
      </c>
    </row>
    <row r="1577">
      <c r="A1577" s="4561" t="n"/>
      <c r="B1577" s="4561" t="n"/>
      <c r="C1577" s="4561" t="n"/>
      <c r="D1577" s="4561" t="n"/>
      <c r="E1577" s="4561" t="n"/>
      <c r="F1577" s="4561" t="n"/>
      <c r="G1577" s="4561" t="n"/>
      <c r="H1577" s="4561" t="n"/>
      <c r="I1577" s="4562">
        <f>XLOOKUP(B1577,'_Sys|Line_Map'!$A:$A,'_Sys|Line_Map'!$C:$C,"MISSING",0)</f>
        <v/>
      </c>
      <c r="J1577" s="4562">
        <f>XLOOKUP(B1577,'_Sys|Line_Map'!$A:$A,'_Sys|Line_Map'!$D:$D,1,0)</f>
        <v/>
      </c>
      <c r="K1577" s="4562">
        <f>IF(D1577="","",D1577*J1577)</f>
        <v/>
      </c>
      <c r="L1577" s="4562">
        <f>XLOOKUP(B1577,'_Sys|Line_Map'!$A:$A,'_Sys|Line_Map'!$B:$B,"MISSING",0)</f>
        <v/>
      </c>
    </row>
    <row r="1578">
      <c r="A1578" s="4561" t="n"/>
      <c r="B1578" s="4561" t="n"/>
      <c r="C1578" s="4561" t="n"/>
      <c r="D1578" s="4561" t="n"/>
      <c r="E1578" s="4561" t="n"/>
      <c r="F1578" s="4561" t="n"/>
      <c r="G1578" s="4561" t="n"/>
      <c r="H1578" s="4561" t="n"/>
      <c r="I1578" s="4562">
        <f>XLOOKUP(B1578,'_Sys|Line_Map'!$A:$A,'_Sys|Line_Map'!$C:$C,"MISSING",0)</f>
        <v/>
      </c>
      <c r="J1578" s="4562">
        <f>XLOOKUP(B1578,'_Sys|Line_Map'!$A:$A,'_Sys|Line_Map'!$D:$D,1,0)</f>
        <v/>
      </c>
      <c r="K1578" s="4562">
        <f>IF(D1578="","",D1578*J1578)</f>
        <v/>
      </c>
      <c r="L1578" s="4562">
        <f>XLOOKUP(B1578,'_Sys|Line_Map'!$A:$A,'_Sys|Line_Map'!$B:$B,"MISSING",0)</f>
        <v/>
      </c>
    </row>
    <row r="1579">
      <c r="A1579" s="4561" t="n"/>
      <c r="B1579" s="4561" t="n"/>
      <c r="C1579" s="4561" t="n"/>
      <c r="D1579" s="4561" t="n"/>
      <c r="E1579" s="4561" t="n"/>
      <c r="F1579" s="4561" t="n"/>
      <c r="G1579" s="4561" t="n"/>
      <c r="H1579" s="4561" t="n"/>
      <c r="I1579" s="4562">
        <f>XLOOKUP(B1579,'_Sys|Line_Map'!$A:$A,'_Sys|Line_Map'!$C:$C,"MISSING",0)</f>
        <v/>
      </c>
      <c r="J1579" s="4562">
        <f>XLOOKUP(B1579,'_Sys|Line_Map'!$A:$A,'_Sys|Line_Map'!$D:$D,1,0)</f>
        <v/>
      </c>
      <c r="K1579" s="4562">
        <f>IF(D1579="","",D1579*J1579)</f>
        <v/>
      </c>
      <c r="L1579" s="4562">
        <f>XLOOKUP(B1579,'_Sys|Line_Map'!$A:$A,'_Sys|Line_Map'!$B:$B,"MISSING",0)</f>
        <v/>
      </c>
    </row>
    <row r="1580">
      <c r="A1580" s="4561" t="n"/>
      <c r="B1580" s="4561" t="n"/>
      <c r="C1580" s="4561" t="n"/>
      <c r="D1580" s="4561" t="n"/>
      <c r="E1580" s="4561" t="n"/>
      <c r="F1580" s="4561" t="n"/>
      <c r="G1580" s="4561" t="n"/>
      <c r="H1580" s="4561" t="n"/>
      <c r="I1580" s="4562">
        <f>XLOOKUP(B1580,'_Sys|Line_Map'!$A:$A,'_Sys|Line_Map'!$C:$C,"MISSING",0)</f>
        <v/>
      </c>
      <c r="J1580" s="4562">
        <f>XLOOKUP(B1580,'_Sys|Line_Map'!$A:$A,'_Sys|Line_Map'!$D:$D,1,0)</f>
        <v/>
      </c>
      <c r="K1580" s="4562">
        <f>IF(D1580="","",D1580*J1580)</f>
        <v/>
      </c>
      <c r="L1580" s="4562">
        <f>XLOOKUP(B1580,'_Sys|Line_Map'!$A:$A,'_Sys|Line_Map'!$B:$B,"MISSING",0)</f>
        <v/>
      </c>
    </row>
    <row r="1581">
      <c r="A1581" s="4561" t="n"/>
      <c r="B1581" s="4561" t="n"/>
      <c r="C1581" s="4561" t="n"/>
      <c r="D1581" s="4561" t="n"/>
      <c r="E1581" s="4561" t="n"/>
      <c r="F1581" s="4561" t="n"/>
      <c r="G1581" s="4561" t="n"/>
      <c r="H1581" s="4561" t="n"/>
      <c r="I1581" s="4562">
        <f>XLOOKUP(B1581,'_Sys|Line_Map'!$A:$A,'_Sys|Line_Map'!$C:$C,"MISSING",0)</f>
        <v/>
      </c>
      <c r="J1581" s="4562">
        <f>XLOOKUP(B1581,'_Sys|Line_Map'!$A:$A,'_Sys|Line_Map'!$D:$D,1,0)</f>
        <v/>
      </c>
      <c r="K1581" s="4562">
        <f>IF(D1581="","",D1581*J1581)</f>
        <v/>
      </c>
      <c r="L1581" s="4562">
        <f>XLOOKUP(B1581,'_Sys|Line_Map'!$A:$A,'_Sys|Line_Map'!$B:$B,"MISSING",0)</f>
        <v/>
      </c>
    </row>
    <row r="1582">
      <c r="A1582" s="4561" t="n"/>
      <c r="B1582" s="4561" t="n"/>
      <c r="C1582" s="4561" t="n"/>
      <c r="D1582" s="4561" t="n"/>
      <c r="E1582" s="4561" t="n"/>
      <c r="F1582" s="4561" t="n"/>
      <c r="G1582" s="4561" t="n"/>
      <c r="H1582" s="4561" t="n"/>
      <c r="I1582" s="4562">
        <f>XLOOKUP(B1582,'_Sys|Line_Map'!$A:$A,'_Sys|Line_Map'!$C:$C,"MISSING",0)</f>
        <v/>
      </c>
      <c r="J1582" s="4562">
        <f>XLOOKUP(B1582,'_Sys|Line_Map'!$A:$A,'_Sys|Line_Map'!$D:$D,1,0)</f>
        <v/>
      </c>
      <c r="K1582" s="4562">
        <f>IF(D1582="","",D1582*J1582)</f>
        <v/>
      </c>
      <c r="L1582" s="4562">
        <f>XLOOKUP(B1582,'_Sys|Line_Map'!$A:$A,'_Sys|Line_Map'!$B:$B,"MISSING",0)</f>
        <v/>
      </c>
    </row>
    <row r="1583">
      <c r="A1583" s="4561" t="n"/>
      <c r="B1583" s="4561" t="n"/>
      <c r="C1583" s="4561" t="n"/>
      <c r="D1583" s="4561" t="n"/>
      <c r="E1583" s="4561" t="n"/>
      <c r="F1583" s="4561" t="n"/>
      <c r="G1583" s="4561" t="n"/>
      <c r="H1583" s="4561" t="n"/>
      <c r="I1583" s="4562">
        <f>XLOOKUP(B1583,'_Sys|Line_Map'!$A:$A,'_Sys|Line_Map'!$C:$C,"MISSING",0)</f>
        <v/>
      </c>
      <c r="J1583" s="4562">
        <f>XLOOKUP(B1583,'_Sys|Line_Map'!$A:$A,'_Sys|Line_Map'!$D:$D,1,0)</f>
        <v/>
      </c>
      <c r="K1583" s="4562">
        <f>IF(D1583="","",D1583*J1583)</f>
        <v/>
      </c>
      <c r="L1583" s="4562">
        <f>XLOOKUP(B1583,'_Sys|Line_Map'!$A:$A,'_Sys|Line_Map'!$B:$B,"MISSING",0)</f>
        <v/>
      </c>
    </row>
    <row r="1584">
      <c r="A1584" s="4561" t="n"/>
      <c r="B1584" s="4561" t="n"/>
      <c r="C1584" s="4561" t="n"/>
      <c r="D1584" s="4561" t="n"/>
      <c r="E1584" s="4561" t="n"/>
      <c r="F1584" s="4561" t="n"/>
      <c r="G1584" s="4561" t="n"/>
      <c r="H1584" s="4561" t="n"/>
      <c r="I1584" s="4562">
        <f>XLOOKUP(B1584,'_Sys|Line_Map'!$A:$A,'_Sys|Line_Map'!$C:$C,"MISSING",0)</f>
        <v/>
      </c>
      <c r="J1584" s="4562">
        <f>XLOOKUP(B1584,'_Sys|Line_Map'!$A:$A,'_Sys|Line_Map'!$D:$D,1,0)</f>
        <v/>
      </c>
      <c r="K1584" s="4562">
        <f>IF(D1584="","",D1584*J1584)</f>
        <v/>
      </c>
      <c r="L1584" s="4562">
        <f>XLOOKUP(B1584,'_Sys|Line_Map'!$A:$A,'_Sys|Line_Map'!$B:$B,"MISSING",0)</f>
        <v/>
      </c>
    </row>
    <row r="1585">
      <c r="A1585" s="4561" t="n"/>
      <c r="B1585" s="4561" t="n"/>
      <c r="C1585" s="4561" t="n"/>
      <c r="D1585" s="4561" t="n"/>
      <c r="E1585" s="4561" t="n"/>
      <c r="F1585" s="4561" t="n"/>
      <c r="G1585" s="4561" t="n"/>
      <c r="H1585" s="4561" t="n"/>
      <c r="I1585" s="4562">
        <f>XLOOKUP(B1585,'_Sys|Line_Map'!$A:$A,'_Sys|Line_Map'!$C:$C,"MISSING",0)</f>
        <v/>
      </c>
      <c r="J1585" s="4562">
        <f>XLOOKUP(B1585,'_Sys|Line_Map'!$A:$A,'_Sys|Line_Map'!$D:$D,1,0)</f>
        <v/>
      </c>
      <c r="K1585" s="4562">
        <f>IF(D1585="","",D1585*J1585)</f>
        <v/>
      </c>
      <c r="L1585" s="4562">
        <f>XLOOKUP(B1585,'_Sys|Line_Map'!$A:$A,'_Sys|Line_Map'!$B:$B,"MISSING",0)</f>
        <v/>
      </c>
    </row>
    <row r="1586">
      <c r="A1586" s="4561" t="n"/>
      <c r="B1586" s="4561" t="n"/>
      <c r="C1586" s="4561" t="n"/>
      <c r="D1586" s="4561" t="n"/>
      <c r="E1586" s="4561" t="n"/>
      <c r="F1586" s="4561" t="n"/>
      <c r="G1586" s="4561" t="n"/>
      <c r="H1586" s="4561" t="n"/>
      <c r="I1586" s="4562">
        <f>XLOOKUP(B1586,'_Sys|Line_Map'!$A:$A,'_Sys|Line_Map'!$C:$C,"MISSING",0)</f>
        <v/>
      </c>
      <c r="J1586" s="4562">
        <f>XLOOKUP(B1586,'_Sys|Line_Map'!$A:$A,'_Sys|Line_Map'!$D:$D,1,0)</f>
        <v/>
      </c>
      <c r="K1586" s="4562">
        <f>IF(D1586="","",D1586*J1586)</f>
        <v/>
      </c>
      <c r="L1586" s="4562">
        <f>XLOOKUP(B1586,'_Sys|Line_Map'!$A:$A,'_Sys|Line_Map'!$B:$B,"MISSING",0)</f>
        <v/>
      </c>
    </row>
    <row r="1587">
      <c r="A1587" s="4561" t="n"/>
      <c r="B1587" s="4561" t="n"/>
      <c r="C1587" s="4561" t="n"/>
      <c r="D1587" s="4561" t="n"/>
      <c r="E1587" s="4561" t="n"/>
      <c r="F1587" s="4561" t="n"/>
      <c r="G1587" s="4561" t="n"/>
      <c r="H1587" s="4561" t="n"/>
      <c r="I1587" s="4562">
        <f>XLOOKUP(B1587,'_Sys|Line_Map'!$A:$A,'_Sys|Line_Map'!$C:$C,"MISSING",0)</f>
        <v/>
      </c>
      <c r="J1587" s="4562">
        <f>XLOOKUP(B1587,'_Sys|Line_Map'!$A:$A,'_Sys|Line_Map'!$D:$D,1,0)</f>
        <v/>
      </c>
      <c r="K1587" s="4562">
        <f>IF(D1587="","",D1587*J1587)</f>
        <v/>
      </c>
      <c r="L1587" s="4562">
        <f>XLOOKUP(B1587,'_Sys|Line_Map'!$A:$A,'_Sys|Line_Map'!$B:$B,"MISSING",0)</f>
        <v/>
      </c>
    </row>
    <row r="1588">
      <c r="A1588" s="4561" t="n"/>
      <c r="B1588" s="4561" t="n"/>
      <c r="C1588" s="4561" t="n"/>
      <c r="D1588" s="4561" t="n"/>
      <c r="E1588" s="4561" t="n"/>
      <c r="F1588" s="4561" t="n"/>
      <c r="G1588" s="4561" t="n"/>
      <c r="H1588" s="4561" t="n"/>
      <c r="I1588" s="4562">
        <f>XLOOKUP(B1588,'_Sys|Line_Map'!$A:$A,'_Sys|Line_Map'!$C:$C,"MISSING",0)</f>
        <v/>
      </c>
      <c r="J1588" s="4562">
        <f>XLOOKUP(B1588,'_Sys|Line_Map'!$A:$A,'_Sys|Line_Map'!$D:$D,1,0)</f>
        <v/>
      </c>
      <c r="K1588" s="4562">
        <f>IF(D1588="","",D1588*J1588)</f>
        <v/>
      </c>
      <c r="L1588" s="4562">
        <f>XLOOKUP(B1588,'_Sys|Line_Map'!$A:$A,'_Sys|Line_Map'!$B:$B,"MISSING",0)</f>
        <v/>
      </c>
    </row>
    <row r="1589">
      <c r="A1589" s="4561" t="n"/>
      <c r="B1589" s="4561" t="n"/>
      <c r="C1589" s="4561" t="n"/>
      <c r="D1589" s="4561" t="n"/>
      <c r="E1589" s="4561" t="n"/>
      <c r="F1589" s="4561" t="n"/>
      <c r="G1589" s="4561" t="n"/>
      <c r="H1589" s="4561" t="n"/>
      <c r="I1589" s="4562">
        <f>XLOOKUP(B1589,'_Sys|Line_Map'!$A:$A,'_Sys|Line_Map'!$C:$C,"MISSING",0)</f>
        <v/>
      </c>
      <c r="J1589" s="4562">
        <f>XLOOKUP(B1589,'_Sys|Line_Map'!$A:$A,'_Sys|Line_Map'!$D:$D,1,0)</f>
        <v/>
      </c>
      <c r="K1589" s="4562">
        <f>IF(D1589="","",D1589*J1589)</f>
        <v/>
      </c>
      <c r="L1589" s="4562">
        <f>XLOOKUP(B1589,'_Sys|Line_Map'!$A:$A,'_Sys|Line_Map'!$B:$B,"MISSING",0)</f>
        <v/>
      </c>
    </row>
    <row r="1590">
      <c r="A1590" s="4561" t="n"/>
      <c r="B1590" s="4561" t="n"/>
      <c r="C1590" s="4561" t="n"/>
      <c r="D1590" s="4561" t="n"/>
      <c r="E1590" s="4561" t="n"/>
      <c r="F1590" s="4561" t="n"/>
      <c r="G1590" s="4561" t="n"/>
      <c r="H1590" s="4561" t="n"/>
      <c r="I1590" s="4562">
        <f>XLOOKUP(B1590,'_Sys|Line_Map'!$A:$A,'_Sys|Line_Map'!$C:$C,"MISSING",0)</f>
        <v/>
      </c>
      <c r="J1590" s="4562">
        <f>XLOOKUP(B1590,'_Sys|Line_Map'!$A:$A,'_Sys|Line_Map'!$D:$D,1,0)</f>
        <v/>
      </c>
      <c r="K1590" s="4562">
        <f>IF(D1590="","",D1590*J1590)</f>
        <v/>
      </c>
      <c r="L1590" s="4562">
        <f>XLOOKUP(B1590,'_Sys|Line_Map'!$A:$A,'_Sys|Line_Map'!$B:$B,"MISSING",0)</f>
        <v/>
      </c>
    </row>
    <row r="1591">
      <c r="A1591" s="4561" t="n"/>
      <c r="B1591" s="4561" t="n"/>
      <c r="C1591" s="4561" t="n"/>
      <c r="D1591" s="4561" t="n"/>
      <c r="E1591" s="4561" t="n"/>
      <c r="F1591" s="4561" t="n"/>
      <c r="G1591" s="4561" t="n"/>
      <c r="H1591" s="4561" t="n"/>
      <c r="I1591" s="4562">
        <f>XLOOKUP(B1591,'_Sys|Line_Map'!$A:$A,'_Sys|Line_Map'!$C:$C,"MISSING",0)</f>
        <v/>
      </c>
      <c r="J1591" s="4562">
        <f>XLOOKUP(B1591,'_Sys|Line_Map'!$A:$A,'_Sys|Line_Map'!$D:$D,1,0)</f>
        <v/>
      </c>
      <c r="K1591" s="4562">
        <f>IF(D1591="","",D1591*J1591)</f>
        <v/>
      </c>
      <c r="L1591" s="4562">
        <f>XLOOKUP(B1591,'_Sys|Line_Map'!$A:$A,'_Sys|Line_Map'!$B:$B,"MISSING",0)</f>
        <v/>
      </c>
    </row>
    <row r="1592">
      <c r="A1592" s="4561" t="n"/>
      <c r="B1592" s="4561" t="n"/>
      <c r="C1592" s="4561" t="n"/>
      <c r="D1592" s="4561" t="n"/>
      <c r="E1592" s="4561" t="n"/>
      <c r="F1592" s="4561" t="n"/>
      <c r="G1592" s="4561" t="n"/>
      <c r="H1592" s="4561" t="n"/>
      <c r="I1592" s="4562">
        <f>XLOOKUP(B1592,'_Sys|Line_Map'!$A:$A,'_Sys|Line_Map'!$C:$C,"MISSING",0)</f>
        <v/>
      </c>
      <c r="J1592" s="4562">
        <f>XLOOKUP(B1592,'_Sys|Line_Map'!$A:$A,'_Sys|Line_Map'!$D:$D,1,0)</f>
        <v/>
      </c>
      <c r="K1592" s="4562">
        <f>IF(D1592="","",D1592*J1592)</f>
        <v/>
      </c>
      <c r="L1592" s="4562">
        <f>XLOOKUP(B1592,'_Sys|Line_Map'!$A:$A,'_Sys|Line_Map'!$B:$B,"MISSING",0)</f>
        <v/>
      </c>
    </row>
    <row r="1593">
      <c r="A1593" s="4561" t="n"/>
      <c r="B1593" s="4561" t="n"/>
      <c r="C1593" s="4561" t="n"/>
      <c r="D1593" s="4561" t="n"/>
      <c r="E1593" s="4561" t="n"/>
      <c r="F1593" s="4561" t="n"/>
      <c r="G1593" s="4561" t="n"/>
      <c r="H1593" s="4561" t="n"/>
      <c r="I1593" s="4562">
        <f>XLOOKUP(B1593,'_Sys|Line_Map'!$A:$A,'_Sys|Line_Map'!$C:$C,"MISSING",0)</f>
        <v/>
      </c>
      <c r="J1593" s="4562">
        <f>XLOOKUP(B1593,'_Sys|Line_Map'!$A:$A,'_Sys|Line_Map'!$D:$D,1,0)</f>
        <v/>
      </c>
      <c r="K1593" s="4562">
        <f>IF(D1593="","",D1593*J1593)</f>
        <v/>
      </c>
      <c r="L1593" s="4562">
        <f>XLOOKUP(B1593,'_Sys|Line_Map'!$A:$A,'_Sys|Line_Map'!$B:$B,"MISSING",0)</f>
        <v/>
      </c>
    </row>
    <row r="1594">
      <c r="A1594" s="4561" t="n"/>
      <c r="B1594" s="4561" t="n"/>
      <c r="C1594" s="4561" t="n"/>
      <c r="D1594" s="4561" t="n"/>
      <c r="E1594" s="4561" t="n"/>
      <c r="F1594" s="4561" t="n"/>
      <c r="G1594" s="4561" t="n"/>
      <c r="H1594" s="4561" t="n"/>
      <c r="I1594" s="4562">
        <f>XLOOKUP(B1594,'_Sys|Line_Map'!$A:$A,'_Sys|Line_Map'!$C:$C,"MISSING",0)</f>
        <v/>
      </c>
      <c r="J1594" s="4562">
        <f>XLOOKUP(B1594,'_Sys|Line_Map'!$A:$A,'_Sys|Line_Map'!$D:$D,1,0)</f>
        <v/>
      </c>
      <c r="K1594" s="4562">
        <f>IF(D1594="","",D1594*J1594)</f>
        <v/>
      </c>
      <c r="L1594" s="4562">
        <f>XLOOKUP(B1594,'_Sys|Line_Map'!$A:$A,'_Sys|Line_Map'!$B:$B,"MISSING",0)</f>
        <v/>
      </c>
    </row>
    <row r="1595">
      <c r="A1595" s="4561" t="n"/>
      <c r="B1595" s="4561" t="n"/>
      <c r="C1595" s="4561" t="n"/>
      <c r="D1595" s="4561" t="n"/>
      <c r="E1595" s="4561" t="n"/>
      <c r="F1595" s="4561" t="n"/>
      <c r="G1595" s="4561" t="n"/>
      <c r="H1595" s="4561" t="n"/>
      <c r="I1595" s="4562">
        <f>XLOOKUP(B1595,'_Sys|Line_Map'!$A:$A,'_Sys|Line_Map'!$C:$C,"MISSING",0)</f>
        <v/>
      </c>
      <c r="J1595" s="4562">
        <f>XLOOKUP(B1595,'_Sys|Line_Map'!$A:$A,'_Sys|Line_Map'!$D:$D,1,0)</f>
        <v/>
      </c>
      <c r="K1595" s="4562">
        <f>IF(D1595="","",D1595*J1595)</f>
        <v/>
      </c>
      <c r="L1595" s="4562">
        <f>XLOOKUP(B1595,'_Sys|Line_Map'!$A:$A,'_Sys|Line_Map'!$B:$B,"MISSING",0)</f>
        <v/>
      </c>
    </row>
    <row r="1596">
      <c r="A1596" s="4561" t="n"/>
      <c r="B1596" s="4561" t="n"/>
      <c r="C1596" s="4561" t="n"/>
      <c r="D1596" s="4561" t="n"/>
      <c r="E1596" s="4561" t="n"/>
      <c r="F1596" s="4561" t="n"/>
      <c r="G1596" s="4561" t="n"/>
      <c r="H1596" s="4561" t="n"/>
      <c r="I1596" s="4562">
        <f>XLOOKUP(B1596,'_Sys|Line_Map'!$A:$A,'_Sys|Line_Map'!$C:$C,"MISSING",0)</f>
        <v/>
      </c>
      <c r="J1596" s="4562">
        <f>XLOOKUP(B1596,'_Sys|Line_Map'!$A:$A,'_Sys|Line_Map'!$D:$D,1,0)</f>
        <v/>
      </c>
      <c r="K1596" s="4562">
        <f>IF(D1596="","",D1596*J1596)</f>
        <v/>
      </c>
      <c r="L1596" s="4562">
        <f>XLOOKUP(B1596,'_Sys|Line_Map'!$A:$A,'_Sys|Line_Map'!$B:$B,"MISSING",0)</f>
        <v/>
      </c>
    </row>
    <row r="1597">
      <c r="A1597" s="4561" t="n"/>
      <c r="B1597" s="4561" t="n"/>
      <c r="C1597" s="4561" t="n"/>
      <c r="D1597" s="4561" t="n"/>
      <c r="E1597" s="4561" t="n"/>
      <c r="F1597" s="4561" t="n"/>
      <c r="G1597" s="4561" t="n"/>
      <c r="H1597" s="4561" t="n"/>
      <c r="I1597" s="4562">
        <f>XLOOKUP(B1597,'_Sys|Line_Map'!$A:$A,'_Sys|Line_Map'!$C:$C,"MISSING",0)</f>
        <v/>
      </c>
      <c r="J1597" s="4562">
        <f>XLOOKUP(B1597,'_Sys|Line_Map'!$A:$A,'_Sys|Line_Map'!$D:$D,1,0)</f>
        <v/>
      </c>
      <c r="K1597" s="4562">
        <f>IF(D1597="","",D1597*J1597)</f>
        <v/>
      </c>
      <c r="L1597" s="4562">
        <f>XLOOKUP(B1597,'_Sys|Line_Map'!$A:$A,'_Sys|Line_Map'!$B:$B,"MISSING",0)</f>
        <v/>
      </c>
    </row>
    <row r="1598">
      <c r="A1598" s="4561" t="n"/>
      <c r="B1598" s="4561" t="n"/>
      <c r="C1598" s="4561" t="n"/>
      <c r="D1598" s="4561" t="n"/>
      <c r="E1598" s="4561" t="n"/>
      <c r="F1598" s="4561" t="n"/>
      <c r="G1598" s="4561" t="n"/>
      <c r="H1598" s="4561" t="n"/>
      <c r="I1598" s="4562">
        <f>XLOOKUP(B1598,'_Sys|Line_Map'!$A:$A,'_Sys|Line_Map'!$C:$C,"MISSING",0)</f>
        <v/>
      </c>
      <c r="J1598" s="4562">
        <f>XLOOKUP(B1598,'_Sys|Line_Map'!$A:$A,'_Sys|Line_Map'!$D:$D,1,0)</f>
        <v/>
      </c>
      <c r="K1598" s="4562">
        <f>IF(D1598="","",D1598*J1598)</f>
        <v/>
      </c>
      <c r="L1598" s="4562">
        <f>XLOOKUP(B1598,'_Sys|Line_Map'!$A:$A,'_Sys|Line_Map'!$B:$B,"MISSING",0)</f>
        <v/>
      </c>
    </row>
    <row r="1599">
      <c r="A1599" s="4561" t="n"/>
      <c r="B1599" s="4561" t="n"/>
      <c r="C1599" s="4561" t="n"/>
      <c r="D1599" s="4561" t="n"/>
      <c r="E1599" s="4561" t="n"/>
      <c r="F1599" s="4561" t="n"/>
      <c r="G1599" s="4561" t="n"/>
      <c r="H1599" s="4561" t="n"/>
      <c r="I1599" s="4562">
        <f>XLOOKUP(B1599,'_Sys|Line_Map'!$A:$A,'_Sys|Line_Map'!$C:$C,"MISSING",0)</f>
        <v/>
      </c>
      <c r="J1599" s="4562">
        <f>XLOOKUP(B1599,'_Sys|Line_Map'!$A:$A,'_Sys|Line_Map'!$D:$D,1,0)</f>
        <v/>
      </c>
      <c r="K1599" s="4562">
        <f>IF(D1599="","",D1599*J1599)</f>
        <v/>
      </c>
      <c r="L1599" s="4562">
        <f>XLOOKUP(B1599,'_Sys|Line_Map'!$A:$A,'_Sys|Line_Map'!$B:$B,"MISSING",0)</f>
        <v/>
      </c>
    </row>
    <row r="1600">
      <c r="A1600" s="4561" t="n"/>
      <c r="B1600" s="4561" t="n"/>
      <c r="C1600" s="4561" t="n"/>
      <c r="D1600" s="4561" t="n"/>
      <c r="E1600" s="4561" t="n"/>
      <c r="F1600" s="4561" t="n"/>
      <c r="G1600" s="4561" t="n"/>
      <c r="H1600" s="4561" t="n"/>
      <c r="I1600" s="4562">
        <f>XLOOKUP(B1600,'_Sys|Line_Map'!$A:$A,'_Sys|Line_Map'!$C:$C,"MISSING",0)</f>
        <v/>
      </c>
      <c r="J1600" s="4562">
        <f>XLOOKUP(B1600,'_Sys|Line_Map'!$A:$A,'_Sys|Line_Map'!$D:$D,1,0)</f>
        <v/>
      </c>
      <c r="K1600" s="4562">
        <f>IF(D1600="","",D1600*J1600)</f>
        <v/>
      </c>
      <c r="L1600" s="4562">
        <f>XLOOKUP(B1600,'_Sys|Line_Map'!$A:$A,'_Sys|Line_Map'!$B:$B,"MISSING",0)</f>
        <v/>
      </c>
    </row>
    <row r="1601">
      <c r="A1601" s="4561" t="n"/>
      <c r="B1601" s="4561" t="n"/>
      <c r="C1601" s="4561" t="n"/>
      <c r="D1601" s="4561" t="n"/>
      <c r="E1601" s="4561" t="n"/>
      <c r="F1601" s="4561" t="n"/>
      <c r="G1601" s="4561" t="n"/>
      <c r="H1601" s="4561" t="n"/>
      <c r="I1601" s="4562">
        <f>XLOOKUP(B1601,'_Sys|Line_Map'!$A:$A,'_Sys|Line_Map'!$C:$C,"MISSING",0)</f>
        <v/>
      </c>
      <c r="J1601" s="4562">
        <f>XLOOKUP(B1601,'_Sys|Line_Map'!$A:$A,'_Sys|Line_Map'!$D:$D,1,0)</f>
        <v/>
      </c>
      <c r="K1601" s="4562">
        <f>IF(D1601="","",D1601*J1601)</f>
        <v/>
      </c>
      <c r="L1601" s="4562">
        <f>XLOOKUP(B1601,'_Sys|Line_Map'!$A:$A,'_Sys|Line_Map'!$B:$B,"MISSING",0)</f>
        <v/>
      </c>
    </row>
    <row r="1602">
      <c r="A1602" s="4561" t="n"/>
      <c r="B1602" s="4561" t="n"/>
      <c r="C1602" s="4561" t="n"/>
      <c r="D1602" s="4561" t="n"/>
      <c r="E1602" s="4561" t="n"/>
      <c r="F1602" s="4561" t="n"/>
      <c r="G1602" s="4561" t="n"/>
      <c r="H1602" s="4561" t="n"/>
      <c r="I1602" s="4562">
        <f>XLOOKUP(B1602,'_Sys|Line_Map'!$A:$A,'_Sys|Line_Map'!$C:$C,"MISSING",0)</f>
        <v/>
      </c>
      <c r="J1602" s="4562">
        <f>XLOOKUP(B1602,'_Sys|Line_Map'!$A:$A,'_Sys|Line_Map'!$D:$D,1,0)</f>
        <v/>
      </c>
      <c r="K1602" s="4562">
        <f>IF(D1602="","",D1602*J1602)</f>
        <v/>
      </c>
      <c r="L1602" s="4562">
        <f>XLOOKUP(B1602,'_Sys|Line_Map'!$A:$A,'_Sys|Line_Map'!$B:$B,"MISSING",0)</f>
        <v/>
      </c>
    </row>
    <row r="1603">
      <c r="A1603" s="4561" t="n"/>
      <c r="B1603" s="4561" t="n"/>
      <c r="C1603" s="4561" t="n"/>
      <c r="D1603" s="4561" t="n"/>
      <c r="E1603" s="4561" t="n"/>
      <c r="F1603" s="4561" t="n"/>
      <c r="G1603" s="4561" t="n"/>
      <c r="H1603" s="4561" t="n"/>
      <c r="I1603" s="4562">
        <f>XLOOKUP(B1603,'_Sys|Line_Map'!$A:$A,'_Sys|Line_Map'!$C:$C,"MISSING",0)</f>
        <v/>
      </c>
      <c r="J1603" s="4562">
        <f>XLOOKUP(B1603,'_Sys|Line_Map'!$A:$A,'_Sys|Line_Map'!$D:$D,1,0)</f>
        <v/>
      </c>
      <c r="K1603" s="4562">
        <f>IF(D1603="","",D1603*J1603)</f>
        <v/>
      </c>
      <c r="L1603" s="4562">
        <f>XLOOKUP(B1603,'_Sys|Line_Map'!$A:$A,'_Sys|Line_Map'!$B:$B,"MISSING",0)</f>
        <v/>
      </c>
    </row>
    <row r="1604">
      <c r="A1604" s="4561" t="n"/>
      <c r="B1604" s="4561" t="n"/>
      <c r="C1604" s="4561" t="n"/>
      <c r="D1604" s="4561" t="n"/>
      <c r="E1604" s="4561" t="n"/>
      <c r="F1604" s="4561" t="n"/>
      <c r="G1604" s="4561" t="n"/>
      <c r="H1604" s="4561" t="n"/>
      <c r="I1604" s="4562">
        <f>XLOOKUP(B1604,'_Sys|Line_Map'!$A:$A,'_Sys|Line_Map'!$C:$C,"MISSING",0)</f>
        <v/>
      </c>
      <c r="J1604" s="4562">
        <f>XLOOKUP(B1604,'_Sys|Line_Map'!$A:$A,'_Sys|Line_Map'!$D:$D,1,0)</f>
        <v/>
      </c>
      <c r="K1604" s="4562">
        <f>IF(D1604="","",D1604*J1604)</f>
        <v/>
      </c>
      <c r="L1604" s="4562">
        <f>XLOOKUP(B1604,'_Sys|Line_Map'!$A:$A,'_Sys|Line_Map'!$B:$B,"MISSING",0)</f>
        <v/>
      </c>
    </row>
    <row r="1605">
      <c r="A1605" s="4561" t="n"/>
      <c r="B1605" s="4561" t="n"/>
      <c r="C1605" s="4561" t="n"/>
      <c r="D1605" s="4561" t="n"/>
      <c r="E1605" s="4561" t="n"/>
      <c r="F1605" s="4561" t="n"/>
      <c r="G1605" s="4561" t="n"/>
      <c r="H1605" s="4561" t="n"/>
      <c r="I1605" s="4562">
        <f>XLOOKUP(B1605,'_Sys|Line_Map'!$A:$A,'_Sys|Line_Map'!$C:$C,"MISSING",0)</f>
        <v/>
      </c>
      <c r="J1605" s="4562">
        <f>XLOOKUP(B1605,'_Sys|Line_Map'!$A:$A,'_Sys|Line_Map'!$D:$D,1,0)</f>
        <v/>
      </c>
      <c r="K1605" s="4562">
        <f>IF(D1605="","",D1605*J1605)</f>
        <v/>
      </c>
      <c r="L1605" s="4562">
        <f>XLOOKUP(B1605,'_Sys|Line_Map'!$A:$A,'_Sys|Line_Map'!$B:$B,"MISSING",0)</f>
        <v/>
      </c>
    </row>
    <row r="1606">
      <c r="A1606" s="4561" t="n"/>
      <c r="B1606" s="4561" t="n"/>
      <c r="C1606" s="4561" t="n"/>
      <c r="D1606" s="4561" t="n"/>
      <c r="E1606" s="4561" t="n"/>
      <c r="F1606" s="4561" t="n"/>
      <c r="G1606" s="4561" t="n"/>
      <c r="H1606" s="4561" t="n"/>
      <c r="I1606" s="4562">
        <f>XLOOKUP(B1606,'_Sys|Line_Map'!$A:$A,'_Sys|Line_Map'!$C:$C,"MISSING",0)</f>
        <v/>
      </c>
      <c r="J1606" s="4562">
        <f>XLOOKUP(B1606,'_Sys|Line_Map'!$A:$A,'_Sys|Line_Map'!$D:$D,1,0)</f>
        <v/>
      </c>
      <c r="K1606" s="4562">
        <f>IF(D1606="","",D1606*J1606)</f>
        <v/>
      </c>
      <c r="L1606" s="4562">
        <f>XLOOKUP(B1606,'_Sys|Line_Map'!$A:$A,'_Sys|Line_Map'!$B:$B,"MISSING",0)</f>
        <v/>
      </c>
    </row>
    <row r="1607">
      <c r="A1607" s="4561" t="n"/>
      <c r="B1607" s="4561" t="n"/>
      <c r="C1607" s="4561" t="n"/>
      <c r="D1607" s="4561" t="n"/>
      <c r="E1607" s="4561" t="n"/>
      <c r="F1607" s="4561" t="n"/>
      <c r="G1607" s="4561" t="n"/>
      <c r="H1607" s="4561" t="n"/>
      <c r="I1607" s="4562">
        <f>XLOOKUP(B1607,'_Sys|Line_Map'!$A:$A,'_Sys|Line_Map'!$C:$C,"MISSING",0)</f>
        <v/>
      </c>
      <c r="J1607" s="4562">
        <f>XLOOKUP(B1607,'_Sys|Line_Map'!$A:$A,'_Sys|Line_Map'!$D:$D,1,0)</f>
        <v/>
      </c>
      <c r="K1607" s="4562">
        <f>IF(D1607="","",D1607*J1607)</f>
        <v/>
      </c>
      <c r="L1607" s="4562">
        <f>XLOOKUP(B1607,'_Sys|Line_Map'!$A:$A,'_Sys|Line_Map'!$B:$B,"MISSING",0)</f>
        <v/>
      </c>
    </row>
    <row r="1608">
      <c r="A1608" s="4561" t="n"/>
      <c r="B1608" s="4561" t="n"/>
      <c r="C1608" s="4561" t="n"/>
      <c r="D1608" s="4561" t="n"/>
      <c r="E1608" s="4561" t="n"/>
      <c r="F1608" s="4561" t="n"/>
      <c r="G1608" s="4561" t="n"/>
      <c r="H1608" s="4561" t="n"/>
      <c r="I1608" s="4562">
        <f>XLOOKUP(B1608,'_Sys|Line_Map'!$A:$A,'_Sys|Line_Map'!$C:$C,"MISSING",0)</f>
        <v/>
      </c>
      <c r="J1608" s="4562">
        <f>XLOOKUP(B1608,'_Sys|Line_Map'!$A:$A,'_Sys|Line_Map'!$D:$D,1,0)</f>
        <v/>
      </c>
      <c r="K1608" s="4562">
        <f>IF(D1608="","",D1608*J1608)</f>
        <v/>
      </c>
      <c r="L1608" s="4562">
        <f>XLOOKUP(B1608,'_Sys|Line_Map'!$A:$A,'_Sys|Line_Map'!$B:$B,"MISSING",0)</f>
        <v/>
      </c>
    </row>
    <row r="1609">
      <c r="A1609" s="4561" t="n"/>
      <c r="B1609" s="4561" t="n"/>
      <c r="C1609" s="4561" t="n"/>
      <c r="D1609" s="4561" t="n"/>
      <c r="E1609" s="4561" t="n"/>
      <c r="F1609" s="4561" t="n"/>
      <c r="G1609" s="4561" t="n"/>
      <c r="H1609" s="4561" t="n"/>
      <c r="I1609" s="4562">
        <f>XLOOKUP(B1609,'_Sys|Line_Map'!$A:$A,'_Sys|Line_Map'!$C:$C,"MISSING",0)</f>
        <v/>
      </c>
      <c r="J1609" s="4562">
        <f>XLOOKUP(B1609,'_Sys|Line_Map'!$A:$A,'_Sys|Line_Map'!$D:$D,1,0)</f>
        <v/>
      </c>
      <c r="K1609" s="4562">
        <f>IF(D1609="","",D1609*J1609)</f>
        <v/>
      </c>
      <c r="L1609" s="4562">
        <f>XLOOKUP(B1609,'_Sys|Line_Map'!$A:$A,'_Sys|Line_Map'!$B:$B,"MISSING",0)</f>
        <v/>
      </c>
    </row>
    <row r="1610">
      <c r="A1610" s="4561" t="n"/>
      <c r="B1610" s="4561" t="n"/>
      <c r="C1610" s="4561" t="n"/>
      <c r="D1610" s="4561" t="n"/>
      <c r="E1610" s="4561" t="n"/>
      <c r="F1610" s="4561" t="n"/>
      <c r="G1610" s="4561" t="n"/>
      <c r="H1610" s="4561" t="n"/>
      <c r="I1610" s="4562">
        <f>XLOOKUP(B1610,'_Sys|Line_Map'!$A:$A,'_Sys|Line_Map'!$C:$C,"MISSING",0)</f>
        <v/>
      </c>
      <c r="J1610" s="4562">
        <f>XLOOKUP(B1610,'_Sys|Line_Map'!$A:$A,'_Sys|Line_Map'!$D:$D,1,0)</f>
        <v/>
      </c>
      <c r="K1610" s="4562">
        <f>IF(D1610="","",D1610*J1610)</f>
        <v/>
      </c>
      <c r="L1610" s="4562">
        <f>XLOOKUP(B1610,'_Sys|Line_Map'!$A:$A,'_Sys|Line_Map'!$B:$B,"MISSING",0)</f>
        <v/>
      </c>
    </row>
    <row r="1611">
      <c r="A1611" s="4561" t="n"/>
      <c r="B1611" s="4561" t="n"/>
      <c r="C1611" s="4561" t="n"/>
      <c r="D1611" s="4561" t="n"/>
      <c r="E1611" s="4561" t="n"/>
      <c r="F1611" s="4561" t="n"/>
      <c r="G1611" s="4561" t="n"/>
      <c r="H1611" s="4561" t="n"/>
      <c r="I1611" s="4562">
        <f>XLOOKUP(B1611,'_Sys|Line_Map'!$A:$A,'_Sys|Line_Map'!$C:$C,"MISSING",0)</f>
        <v/>
      </c>
      <c r="J1611" s="4562">
        <f>XLOOKUP(B1611,'_Sys|Line_Map'!$A:$A,'_Sys|Line_Map'!$D:$D,1,0)</f>
        <v/>
      </c>
      <c r="K1611" s="4562">
        <f>IF(D1611="","",D1611*J1611)</f>
        <v/>
      </c>
      <c r="L1611" s="4562">
        <f>XLOOKUP(B1611,'_Sys|Line_Map'!$A:$A,'_Sys|Line_Map'!$B:$B,"MISSING",0)</f>
        <v/>
      </c>
    </row>
    <row r="1612">
      <c r="A1612" s="4561" t="n"/>
      <c r="B1612" s="4561" t="n"/>
      <c r="C1612" s="4561" t="n"/>
      <c r="D1612" s="4561" t="n"/>
      <c r="E1612" s="4561" t="n"/>
      <c r="F1612" s="4561" t="n"/>
      <c r="G1612" s="4561" t="n"/>
      <c r="H1612" s="4561" t="n"/>
      <c r="I1612" s="4562">
        <f>XLOOKUP(B1612,'_Sys|Line_Map'!$A:$A,'_Sys|Line_Map'!$C:$C,"MISSING",0)</f>
        <v/>
      </c>
      <c r="J1612" s="4562">
        <f>XLOOKUP(B1612,'_Sys|Line_Map'!$A:$A,'_Sys|Line_Map'!$D:$D,1,0)</f>
        <v/>
      </c>
      <c r="K1612" s="4562">
        <f>IF(D1612="","",D1612*J1612)</f>
        <v/>
      </c>
      <c r="L1612" s="4562">
        <f>XLOOKUP(B1612,'_Sys|Line_Map'!$A:$A,'_Sys|Line_Map'!$B:$B,"MISSING",0)</f>
        <v/>
      </c>
    </row>
    <row r="1613">
      <c r="A1613" s="4561" t="n"/>
      <c r="B1613" s="4561" t="n"/>
      <c r="C1613" s="4561" t="n"/>
      <c r="D1613" s="4561" t="n"/>
      <c r="E1613" s="4561" t="n"/>
      <c r="F1613" s="4561" t="n"/>
      <c r="G1613" s="4561" t="n"/>
      <c r="H1613" s="4561" t="n"/>
      <c r="I1613" s="4562">
        <f>XLOOKUP(B1613,'_Sys|Line_Map'!$A:$A,'_Sys|Line_Map'!$C:$C,"MISSING",0)</f>
        <v/>
      </c>
      <c r="J1613" s="4562">
        <f>XLOOKUP(B1613,'_Sys|Line_Map'!$A:$A,'_Sys|Line_Map'!$D:$D,1,0)</f>
        <v/>
      </c>
      <c r="K1613" s="4562">
        <f>IF(D1613="","",D1613*J1613)</f>
        <v/>
      </c>
      <c r="L1613" s="4562">
        <f>XLOOKUP(B1613,'_Sys|Line_Map'!$A:$A,'_Sys|Line_Map'!$B:$B,"MISSING",0)</f>
        <v/>
      </c>
    </row>
    <row r="1614">
      <c r="A1614" s="4561" t="n"/>
      <c r="B1614" s="4561" t="n"/>
      <c r="C1614" s="4561" t="n"/>
      <c r="D1614" s="4561" t="n"/>
      <c r="E1614" s="4561" t="n"/>
      <c r="F1614" s="4561" t="n"/>
      <c r="G1614" s="4561" t="n"/>
      <c r="H1614" s="4561" t="n"/>
      <c r="I1614" s="4562">
        <f>XLOOKUP(B1614,'_Sys|Line_Map'!$A:$A,'_Sys|Line_Map'!$C:$C,"MISSING",0)</f>
        <v/>
      </c>
      <c r="J1614" s="4562">
        <f>XLOOKUP(B1614,'_Sys|Line_Map'!$A:$A,'_Sys|Line_Map'!$D:$D,1,0)</f>
        <v/>
      </c>
      <c r="K1614" s="4562">
        <f>IF(D1614="","",D1614*J1614)</f>
        <v/>
      </c>
      <c r="L1614" s="4562">
        <f>XLOOKUP(B1614,'_Sys|Line_Map'!$A:$A,'_Sys|Line_Map'!$B:$B,"MISSING",0)</f>
        <v/>
      </c>
    </row>
    <row r="1615">
      <c r="A1615" s="4561" t="n"/>
      <c r="B1615" s="4561" t="n"/>
      <c r="C1615" s="4561" t="n"/>
      <c r="D1615" s="4561" t="n"/>
      <c r="E1615" s="4561" t="n"/>
      <c r="F1615" s="4561" t="n"/>
      <c r="G1615" s="4561" t="n"/>
      <c r="H1615" s="4561" t="n"/>
      <c r="I1615" s="4562">
        <f>XLOOKUP(B1615,'_Sys|Line_Map'!$A:$A,'_Sys|Line_Map'!$C:$C,"MISSING",0)</f>
        <v/>
      </c>
      <c r="J1615" s="4562">
        <f>XLOOKUP(B1615,'_Sys|Line_Map'!$A:$A,'_Sys|Line_Map'!$D:$D,1,0)</f>
        <v/>
      </c>
      <c r="K1615" s="4562">
        <f>IF(D1615="","",D1615*J1615)</f>
        <v/>
      </c>
      <c r="L1615" s="4562">
        <f>XLOOKUP(B1615,'_Sys|Line_Map'!$A:$A,'_Sys|Line_Map'!$B:$B,"MISSING",0)</f>
        <v/>
      </c>
    </row>
    <row r="1616">
      <c r="A1616" s="4561" t="n"/>
      <c r="B1616" s="4561" t="n"/>
      <c r="C1616" s="4561" t="n"/>
      <c r="D1616" s="4561" t="n"/>
      <c r="E1616" s="4561" t="n"/>
      <c r="F1616" s="4561" t="n"/>
      <c r="G1616" s="4561" t="n"/>
      <c r="H1616" s="4561" t="n"/>
      <c r="I1616" s="4562">
        <f>XLOOKUP(B1616,'_Sys|Line_Map'!$A:$A,'_Sys|Line_Map'!$C:$C,"MISSING",0)</f>
        <v/>
      </c>
      <c r="J1616" s="4562">
        <f>XLOOKUP(B1616,'_Sys|Line_Map'!$A:$A,'_Sys|Line_Map'!$D:$D,1,0)</f>
        <v/>
      </c>
      <c r="K1616" s="4562">
        <f>IF(D1616="","",D1616*J1616)</f>
        <v/>
      </c>
      <c r="L1616" s="4562">
        <f>XLOOKUP(B1616,'_Sys|Line_Map'!$A:$A,'_Sys|Line_Map'!$B:$B,"MISSING",0)</f>
        <v/>
      </c>
    </row>
    <row r="1617">
      <c r="A1617" s="4561" t="n"/>
      <c r="B1617" s="4561" t="n"/>
      <c r="C1617" s="4561" t="n"/>
      <c r="D1617" s="4561" t="n"/>
      <c r="E1617" s="4561" t="n"/>
      <c r="F1617" s="4561" t="n"/>
      <c r="G1617" s="4561" t="n"/>
      <c r="H1617" s="4561" t="n"/>
      <c r="I1617" s="4562">
        <f>XLOOKUP(B1617,'_Sys|Line_Map'!$A:$A,'_Sys|Line_Map'!$C:$C,"MISSING",0)</f>
        <v/>
      </c>
      <c r="J1617" s="4562">
        <f>XLOOKUP(B1617,'_Sys|Line_Map'!$A:$A,'_Sys|Line_Map'!$D:$D,1,0)</f>
        <v/>
      </c>
      <c r="K1617" s="4562">
        <f>IF(D1617="","",D1617*J1617)</f>
        <v/>
      </c>
      <c r="L1617" s="4562">
        <f>XLOOKUP(B1617,'_Sys|Line_Map'!$A:$A,'_Sys|Line_Map'!$B:$B,"MISSING",0)</f>
        <v/>
      </c>
    </row>
    <row r="1618">
      <c r="A1618" s="4561" t="n"/>
      <c r="B1618" s="4561" t="n"/>
      <c r="C1618" s="4561" t="n"/>
      <c r="D1618" s="4561" t="n"/>
      <c r="E1618" s="4561" t="n"/>
      <c r="F1618" s="4561" t="n"/>
      <c r="G1618" s="4561" t="n"/>
      <c r="H1618" s="4561" t="n"/>
      <c r="I1618" s="4562">
        <f>XLOOKUP(B1618,'_Sys|Line_Map'!$A:$A,'_Sys|Line_Map'!$C:$C,"MISSING",0)</f>
        <v/>
      </c>
      <c r="J1618" s="4562">
        <f>XLOOKUP(B1618,'_Sys|Line_Map'!$A:$A,'_Sys|Line_Map'!$D:$D,1,0)</f>
        <v/>
      </c>
      <c r="K1618" s="4562">
        <f>IF(D1618="","",D1618*J1618)</f>
        <v/>
      </c>
      <c r="L1618" s="4562">
        <f>XLOOKUP(B1618,'_Sys|Line_Map'!$A:$A,'_Sys|Line_Map'!$B:$B,"MISSING",0)</f>
        <v/>
      </c>
    </row>
    <row r="1619">
      <c r="A1619" s="4561" t="n"/>
      <c r="B1619" s="4561" t="n"/>
      <c r="C1619" s="4561" t="n"/>
      <c r="D1619" s="4561" t="n"/>
      <c r="E1619" s="4561" t="n"/>
      <c r="F1619" s="4561" t="n"/>
      <c r="G1619" s="4561" t="n"/>
      <c r="H1619" s="4561" t="n"/>
      <c r="I1619" s="4562">
        <f>XLOOKUP(B1619,'_Sys|Line_Map'!$A:$A,'_Sys|Line_Map'!$C:$C,"MISSING",0)</f>
        <v/>
      </c>
      <c r="J1619" s="4562">
        <f>XLOOKUP(B1619,'_Sys|Line_Map'!$A:$A,'_Sys|Line_Map'!$D:$D,1,0)</f>
        <v/>
      </c>
      <c r="K1619" s="4562">
        <f>IF(D1619="","",D1619*J1619)</f>
        <v/>
      </c>
      <c r="L1619" s="4562">
        <f>XLOOKUP(B1619,'_Sys|Line_Map'!$A:$A,'_Sys|Line_Map'!$B:$B,"MISSING",0)</f>
        <v/>
      </c>
    </row>
    <row r="1620">
      <c r="A1620" s="4561" t="n"/>
      <c r="B1620" s="4561" t="n"/>
      <c r="C1620" s="4561" t="n"/>
      <c r="D1620" s="4561" t="n"/>
      <c r="E1620" s="4561" t="n"/>
      <c r="F1620" s="4561" t="n"/>
      <c r="G1620" s="4561" t="n"/>
      <c r="H1620" s="4561" t="n"/>
      <c r="I1620" s="4562">
        <f>XLOOKUP(B1620,'_Sys|Line_Map'!$A:$A,'_Sys|Line_Map'!$C:$C,"MISSING",0)</f>
        <v/>
      </c>
      <c r="J1620" s="4562">
        <f>XLOOKUP(B1620,'_Sys|Line_Map'!$A:$A,'_Sys|Line_Map'!$D:$D,1,0)</f>
        <v/>
      </c>
      <c r="K1620" s="4562">
        <f>IF(D1620="","",D1620*J1620)</f>
        <v/>
      </c>
      <c r="L1620" s="4562">
        <f>XLOOKUP(B1620,'_Sys|Line_Map'!$A:$A,'_Sys|Line_Map'!$B:$B,"MISSING",0)</f>
        <v/>
      </c>
    </row>
    <row r="1621">
      <c r="A1621" s="4561" t="n"/>
      <c r="B1621" s="4561" t="n"/>
      <c r="C1621" s="4561" t="n"/>
      <c r="D1621" s="4561" t="n"/>
      <c r="E1621" s="4561" t="n"/>
      <c r="F1621" s="4561" t="n"/>
      <c r="G1621" s="4561" t="n"/>
      <c r="H1621" s="4561" t="n"/>
      <c r="I1621" s="4562">
        <f>XLOOKUP(B1621,'_Sys|Line_Map'!$A:$A,'_Sys|Line_Map'!$C:$C,"MISSING",0)</f>
        <v/>
      </c>
      <c r="J1621" s="4562">
        <f>XLOOKUP(B1621,'_Sys|Line_Map'!$A:$A,'_Sys|Line_Map'!$D:$D,1,0)</f>
        <v/>
      </c>
      <c r="K1621" s="4562">
        <f>IF(D1621="","",D1621*J1621)</f>
        <v/>
      </c>
      <c r="L1621" s="4562">
        <f>XLOOKUP(B1621,'_Sys|Line_Map'!$A:$A,'_Sys|Line_Map'!$B:$B,"MISSING",0)</f>
        <v/>
      </c>
    </row>
    <row r="1622">
      <c r="A1622" s="4561" t="n"/>
      <c r="B1622" s="4561" t="n"/>
      <c r="C1622" s="4561" t="n"/>
      <c r="D1622" s="4561" t="n"/>
      <c r="E1622" s="4561" t="n"/>
      <c r="F1622" s="4561" t="n"/>
      <c r="G1622" s="4561" t="n"/>
      <c r="H1622" s="4561" t="n"/>
      <c r="I1622" s="4562">
        <f>XLOOKUP(B1622,'_Sys|Line_Map'!$A:$A,'_Sys|Line_Map'!$C:$C,"MISSING",0)</f>
        <v/>
      </c>
      <c r="J1622" s="4562">
        <f>XLOOKUP(B1622,'_Sys|Line_Map'!$A:$A,'_Sys|Line_Map'!$D:$D,1,0)</f>
        <v/>
      </c>
      <c r="K1622" s="4562">
        <f>IF(D1622="","",D1622*J1622)</f>
        <v/>
      </c>
      <c r="L1622" s="4562">
        <f>XLOOKUP(B1622,'_Sys|Line_Map'!$A:$A,'_Sys|Line_Map'!$B:$B,"MISSING",0)</f>
        <v/>
      </c>
    </row>
    <row r="1623">
      <c r="A1623" s="4561" t="n"/>
      <c r="B1623" s="4561" t="n"/>
      <c r="C1623" s="4561" t="n"/>
      <c r="D1623" s="4561" t="n"/>
      <c r="E1623" s="4561" t="n"/>
      <c r="F1623" s="4561" t="n"/>
      <c r="G1623" s="4561" t="n"/>
      <c r="H1623" s="4561" t="n"/>
      <c r="I1623" s="4562">
        <f>XLOOKUP(B1623,'_Sys|Line_Map'!$A:$A,'_Sys|Line_Map'!$C:$C,"MISSING",0)</f>
        <v/>
      </c>
      <c r="J1623" s="4562">
        <f>XLOOKUP(B1623,'_Sys|Line_Map'!$A:$A,'_Sys|Line_Map'!$D:$D,1,0)</f>
        <v/>
      </c>
      <c r="K1623" s="4562">
        <f>IF(D1623="","",D1623*J1623)</f>
        <v/>
      </c>
      <c r="L1623" s="4562">
        <f>XLOOKUP(B1623,'_Sys|Line_Map'!$A:$A,'_Sys|Line_Map'!$B:$B,"MISSING",0)</f>
        <v/>
      </c>
    </row>
    <row r="1624">
      <c r="A1624" s="4561" t="n"/>
      <c r="B1624" s="4561" t="n"/>
      <c r="C1624" s="4561" t="n"/>
      <c r="D1624" s="4561" t="n"/>
      <c r="E1624" s="4561" t="n"/>
      <c r="F1624" s="4561" t="n"/>
      <c r="G1624" s="4561" t="n"/>
      <c r="H1624" s="4561" t="n"/>
      <c r="I1624" s="4562">
        <f>XLOOKUP(B1624,'_Sys|Line_Map'!$A:$A,'_Sys|Line_Map'!$C:$C,"MISSING",0)</f>
        <v/>
      </c>
      <c r="J1624" s="4562">
        <f>XLOOKUP(B1624,'_Sys|Line_Map'!$A:$A,'_Sys|Line_Map'!$D:$D,1,0)</f>
        <v/>
      </c>
      <c r="K1624" s="4562">
        <f>IF(D1624="","",D1624*J1624)</f>
        <v/>
      </c>
      <c r="L1624" s="4562">
        <f>XLOOKUP(B1624,'_Sys|Line_Map'!$A:$A,'_Sys|Line_Map'!$B:$B,"MISSING",0)</f>
        <v/>
      </c>
    </row>
    <row r="1625">
      <c r="A1625" s="4561" t="n"/>
      <c r="B1625" s="4561" t="n"/>
      <c r="C1625" s="4561" t="n"/>
      <c r="D1625" s="4561" t="n"/>
      <c r="E1625" s="4561" t="n"/>
      <c r="F1625" s="4561" t="n"/>
      <c r="G1625" s="4561" t="n"/>
      <c r="H1625" s="4561" t="n"/>
      <c r="I1625" s="4562">
        <f>XLOOKUP(B1625,'_Sys|Line_Map'!$A:$A,'_Sys|Line_Map'!$C:$C,"MISSING",0)</f>
        <v/>
      </c>
      <c r="J1625" s="4562">
        <f>XLOOKUP(B1625,'_Sys|Line_Map'!$A:$A,'_Sys|Line_Map'!$D:$D,1,0)</f>
        <v/>
      </c>
      <c r="K1625" s="4562">
        <f>IF(D1625="","",D1625*J1625)</f>
        <v/>
      </c>
      <c r="L1625" s="4562">
        <f>XLOOKUP(B1625,'_Sys|Line_Map'!$A:$A,'_Sys|Line_Map'!$B:$B,"MISSING",0)</f>
        <v/>
      </c>
    </row>
    <row r="1626">
      <c r="A1626" s="4561" t="n"/>
      <c r="B1626" s="4561" t="n"/>
      <c r="C1626" s="4561" t="n"/>
      <c r="D1626" s="4561" t="n"/>
      <c r="E1626" s="4561" t="n"/>
      <c r="F1626" s="4561" t="n"/>
      <c r="G1626" s="4561" t="n"/>
      <c r="H1626" s="4561" t="n"/>
      <c r="I1626" s="4562">
        <f>XLOOKUP(B1626,'_Sys|Line_Map'!$A:$A,'_Sys|Line_Map'!$C:$C,"MISSING",0)</f>
        <v/>
      </c>
      <c r="J1626" s="4562">
        <f>XLOOKUP(B1626,'_Sys|Line_Map'!$A:$A,'_Sys|Line_Map'!$D:$D,1,0)</f>
        <v/>
      </c>
      <c r="K1626" s="4562">
        <f>IF(D1626="","",D1626*J1626)</f>
        <v/>
      </c>
      <c r="L1626" s="4562">
        <f>XLOOKUP(B1626,'_Sys|Line_Map'!$A:$A,'_Sys|Line_Map'!$B:$B,"MISSING",0)</f>
        <v/>
      </c>
    </row>
    <row r="1627">
      <c r="A1627" s="4561" t="n"/>
      <c r="B1627" s="4561" t="n"/>
      <c r="C1627" s="4561" t="n"/>
      <c r="D1627" s="4561" t="n"/>
      <c r="E1627" s="4561" t="n"/>
      <c r="F1627" s="4561" t="n"/>
      <c r="G1627" s="4561" t="n"/>
      <c r="H1627" s="4561" t="n"/>
      <c r="I1627" s="4562">
        <f>XLOOKUP(B1627,'_Sys|Line_Map'!$A:$A,'_Sys|Line_Map'!$C:$C,"MISSING",0)</f>
        <v/>
      </c>
      <c r="J1627" s="4562">
        <f>XLOOKUP(B1627,'_Sys|Line_Map'!$A:$A,'_Sys|Line_Map'!$D:$D,1,0)</f>
        <v/>
      </c>
      <c r="K1627" s="4562">
        <f>IF(D1627="","",D1627*J1627)</f>
        <v/>
      </c>
      <c r="L1627" s="4562">
        <f>XLOOKUP(B1627,'_Sys|Line_Map'!$A:$A,'_Sys|Line_Map'!$B:$B,"MISSING",0)</f>
        <v/>
      </c>
    </row>
    <row r="1628">
      <c r="A1628" s="4561" t="n"/>
      <c r="B1628" s="4561" t="n"/>
      <c r="C1628" s="4561" t="n"/>
      <c r="D1628" s="4561" t="n"/>
      <c r="E1628" s="4561" t="n"/>
      <c r="F1628" s="4561" t="n"/>
      <c r="G1628" s="4561" t="n"/>
      <c r="H1628" s="4561" t="n"/>
      <c r="I1628" s="4562">
        <f>XLOOKUP(B1628,'_Sys|Line_Map'!$A:$A,'_Sys|Line_Map'!$C:$C,"MISSING",0)</f>
        <v/>
      </c>
      <c r="J1628" s="4562">
        <f>XLOOKUP(B1628,'_Sys|Line_Map'!$A:$A,'_Sys|Line_Map'!$D:$D,1,0)</f>
        <v/>
      </c>
      <c r="K1628" s="4562">
        <f>IF(D1628="","",D1628*J1628)</f>
        <v/>
      </c>
      <c r="L1628" s="4562">
        <f>XLOOKUP(B1628,'_Sys|Line_Map'!$A:$A,'_Sys|Line_Map'!$B:$B,"MISSING",0)</f>
        <v/>
      </c>
    </row>
    <row r="1629">
      <c r="A1629" s="4561" t="n"/>
      <c r="B1629" s="4561" t="n"/>
      <c r="C1629" s="4561" t="n"/>
      <c r="D1629" s="4561" t="n"/>
      <c r="E1629" s="4561" t="n"/>
      <c r="F1629" s="4561" t="n"/>
      <c r="G1629" s="4561" t="n"/>
      <c r="H1629" s="4561" t="n"/>
      <c r="I1629" s="4562">
        <f>XLOOKUP(B1629,'_Sys|Line_Map'!$A:$A,'_Sys|Line_Map'!$C:$C,"MISSING",0)</f>
        <v/>
      </c>
      <c r="J1629" s="4562">
        <f>XLOOKUP(B1629,'_Sys|Line_Map'!$A:$A,'_Sys|Line_Map'!$D:$D,1,0)</f>
        <v/>
      </c>
      <c r="K1629" s="4562">
        <f>IF(D1629="","",D1629*J1629)</f>
        <v/>
      </c>
      <c r="L1629" s="4562">
        <f>XLOOKUP(B1629,'_Sys|Line_Map'!$A:$A,'_Sys|Line_Map'!$B:$B,"MISSING",0)</f>
        <v/>
      </c>
    </row>
    <row r="1630">
      <c r="A1630" s="4561" t="n"/>
      <c r="B1630" s="4561" t="n"/>
      <c r="C1630" s="4561" t="n"/>
      <c r="D1630" s="4561" t="n"/>
      <c r="E1630" s="4561" t="n"/>
      <c r="F1630" s="4561" t="n"/>
      <c r="G1630" s="4561" t="n"/>
      <c r="H1630" s="4561" t="n"/>
      <c r="I1630" s="4562">
        <f>XLOOKUP(B1630,'_Sys|Line_Map'!$A:$A,'_Sys|Line_Map'!$C:$C,"MISSING",0)</f>
        <v/>
      </c>
      <c r="J1630" s="4562">
        <f>XLOOKUP(B1630,'_Sys|Line_Map'!$A:$A,'_Sys|Line_Map'!$D:$D,1,0)</f>
        <v/>
      </c>
      <c r="K1630" s="4562">
        <f>IF(D1630="","",D1630*J1630)</f>
        <v/>
      </c>
      <c r="L1630" s="4562">
        <f>XLOOKUP(B1630,'_Sys|Line_Map'!$A:$A,'_Sys|Line_Map'!$B:$B,"MISSING",0)</f>
        <v/>
      </c>
    </row>
    <row r="1631">
      <c r="A1631" s="4561" t="n"/>
      <c r="B1631" s="4561" t="n"/>
      <c r="C1631" s="4561" t="n"/>
      <c r="D1631" s="4561" t="n"/>
      <c r="E1631" s="4561" t="n"/>
      <c r="F1631" s="4561" t="n"/>
      <c r="G1631" s="4561" t="n"/>
      <c r="H1631" s="4561" t="n"/>
      <c r="I1631" s="4562">
        <f>XLOOKUP(B1631,'_Sys|Line_Map'!$A:$A,'_Sys|Line_Map'!$C:$C,"MISSING",0)</f>
        <v/>
      </c>
      <c r="J1631" s="4562">
        <f>XLOOKUP(B1631,'_Sys|Line_Map'!$A:$A,'_Sys|Line_Map'!$D:$D,1,0)</f>
        <v/>
      </c>
      <c r="K1631" s="4562">
        <f>IF(D1631="","",D1631*J1631)</f>
        <v/>
      </c>
      <c r="L1631" s="4562">
        <f>XLOOKUP(B1631,'_Sys|Line_Map'!$A:$A,'_Sys|Line_Map'!$B:$B,"MISSING",0)</f>
        <v/>
      </c>
    </row>
    <row r="1632">
      <c r="A1632" s="4561" t="n"/>
      <c r="B1632" s="4561" t="n"/>
      <c r="C1632" s="4561" t="n"/>
      <c r="D1632" s="4561" t="n"/>
      <c r="E1632" s="4561" t="n"/>
      <c r="F1632" s="4561" t="n"/>
      <c r="G1632" s="4561" t="n"/>
      <c r="H1632" s="4561" t="n"/>
      <c r="I1632" s="4562">
        <f>XLOOKUP(B1632,'_Sys|Line_Map'!$A:$A,'_Sys|Line_Map'!$C:$C,"MISSING",0)</f>
        <v/>
      </c>
      <c r="J1632" s="4562">
        <f>XLOOKUP(B1632,'_Sys|Line_Map'!$A:$A,'_Sys|Line_Map'!$D:$D,1,0)</f>
        <v/>
      </c>
      <c r="K1632" s="4562">
        <f>IF(D1632="","",D1632*J1632)</f>
        <v/>
      </c>
      <c r="L1632" s="4562">
        <f>XLOOKUP(B1632,'_Sys|Line_Map'!$A:$A,'_Sys|Line_Map'!$B:$B,"MISSING",0)</f>
        <v/>
      </c>
    </row>
    <row r="1633">
      <c r="A1633" s="4561" t="n"/>
      <c r="B1633" s="4561" t="n"/>
      <c r="C1633" s="4561" t="n"/>
      <c r="D1633" s="4561" t="n"/>
      <c r="E1633" s="4561" t="n"/>
      <c r="F1633" s="4561" t="n"/>
      <c r="G1633" s="4561" t="n"/>
      <c r="H1633" s="4561" t="n"/>
      <c r="I1633" s="4562">
        <f>XLOOKUP(B1633,'_Sys|Line_Map'!$A:$A,'_Sys|Line_Map'!$C:$C,"MISSING",0)</f>
        <v/>
      </c>
      <c r="J1633" s="4562">
        <f>XLOOKUP(B1633,'_Sys|Line_Map'!$A:$A,'_Sys|Line_Map'!$D:$D,1,0)</f>
        <v/>
      </c>
      <c r="K1633" s="4562">
        <f>IF(D1633="","",D1633*J1633)</f>
        <v/>
      </c>
      <c r="L1633" s="4562">
        <f>XLOOKUP(B1633,'_Sys|Line_Map'!$A:$A,'_Sys|Line_Map'!$B:$B,"MISSING",0)</f>
        <v/>
      </c>
    </row>
    <row r="1634">
      <c r="A1634" s="4561" t="n"/>
      <c r="B1634" s="4561" t="n"/>
      <c r="C1634" s="4561" t="n"/>
      <c r="D1634" s="4561" t="n"/>
      <c r="E1634" s="4561" t="n"/>
      <c r="F1634" s="4561" t="n"/>
      <c r="G1634" s="4561" t="n"/>
      <c r="H1634" s="4561" t="n"/>
      <c r="I1634" s="4562">
        <f>XLOOKUP(B1634,'_Sys|Line_Map'!$A:$A,'_Sys|Line_Map'!$C:$C,"MISSING",0)</f>
        <v/>
      </c>
      <c r="J1634" s="4562">
        <f>XLOOKUP(B1634,'_Sys|Line_Map'!$A:$A,'_Sys|Line_Map'!$D:$D,1,0)</f>
        <v/>
      </c>
      <c r="K1634" s="4562">
        <f>IF(D1634="","",D1634*J1634)</f>
        <v/>
      </c>
      <c r="L1634" s="4562">
        <f>XLOOKUP(B1634,'_Sys|Line_Map'!$A:$A,'_Sys|Line_Map'!$B:$B,"MISSING",0)</f>
        <v/>
      </c>
    </row>
    <row r="1635">
      <c r="A1635" s="4561" t="n"/>
      <c r="B1635" s="4561" t="n"/>
      <c r="C1635" s="4561" t="n"/>
      <c r="D1635" s="4561" t="n"/>
      <c r="E1635" s="4561" t="n"/>
      <c r="F1635" s="4561" t="n"/>
      <c r="G1635" s="4561" t="n"/>
      <c r="H1635" s="4561" t="n"/>
      <c r="I1635" s="4562">
        <f>XLOOKUP(B1635,'_Sys|Line_Map'!$A:$A,'_Sys|Line_Map'!$C:$C,"MISSING",0)</f>
        <v/>
      </c>
      <c r="J1635" s="4562">
        <f>XLOOKUP(B1635,'_Sys|Line_Map'!$A:$A,'_Sys|Line_Map'!$D:$D,1,0)</f>
        <v/>
      </c>
      <c r="K1635" s="4562">
        <f>IF(D1635="","",D1635*J1635)</f>
        <v/>
      </c>
      <c r="L1635" s="4562">
        <f>XLOOKUP(B1635,'_Sys|Line_Map'!$A:$A,'_Sys|Line_Map'!$B:$B,"MISSING",0)</f>
        <v/>
      </c>
    </row>
    <row r="1636">
      <c r="A1636" s="4561" t="n"/>
      <c r="B1636" s="4561" t="n"/>
      <c r="C1636" s="4561" t="n"/>
      <c r="D1636" s="4561" t="n"/>
      <c r="E1636" s="4561" t="n"/>
      <c r="F1636" s="4561" t="n"/>
      <c r="G1636" s="4561" t="n"/>
      <c r="H1636" s="4561" t="n"/>
      <c r="I1636" s="4562">
        <f>XLOOKUP(B1636,'_Sys|Line_Map'!$A:$A,'_Sys|Line_Map'!$C:$C,"MISSING",0)</f>
        <v/>
      </c>
      <c r="J1636" s="4562">
        <f>XLOOKUP(B1636,'_Sys|Line_Map'!$A:$A,'_Sys|Line_Map'!$D:$D,1,0)</f>
        <v/>
      </c>
      <c r="K1636" s="4562">
        <f>IF(D1636="","",D1636*J1636)</f>
        <v/>
      </c>
      <c r="L1636" s="4562">
        <f>XLOOKUP(B1636,'_Sys|Line_Map'!$A:$A,'_Sys|Line_Map'!$B:$B,"MISSING",0)</f>
        <v/>
      </c>
    </row>
    <row r="1637">
      <c r="A1637" s="4561" t="n"/>
      <c r="B1637" s="4561" t="n"/>
      <c r="C1637" s="4561" t="n"/>
      <c r="D1637" s="4561" t="n"/>
      <c r="E1637" s="4561" t="n"/>
      <c r="F1637" s="4561" t="n"/>
      <c r="G1637" s="4561" t="n"/>
      <c r="H1637" s="4561" t="n"/>
      <c r="I1637" s="4562">
        <f>XLOOKUP(B1637,'_Sys|Line_Map'!$A:$A,'_Sys|Line_Map'!$C:$C,"MISSING",0)</f>
        <v/>
      </c>
      <c r="J1637" s="4562">
        <f>XLOOKUP(B1637,'_Sys|Line_Map'!$A:$A,'_Sys|Line_Map'!$D:$D,1,0)</f>
        <v/>
      </c>
      <c r="K1637" s="4562">
        <f>IF(D1637="","",D1637*J1637)</f>
        <v/>
      </c>
      <c r="L1637" s="4562">
        <f>XLOOKUP(B1637,'_Sys|Line_Map'!$A:$A,'_Sys|Line_Map'!$B:$B,"MISSING",0)</f>
        <v/>
      </c>
    </row>
    <row r="1638">
      <c r="A1638" s="4561" t="n"/>
      <c r="B1638" s="4561" t="n"/>
      <c r="C1638" s="4561" t="n"/>
      <c r="D1638" s="4561" t="n"/>
      <c r="E1638" s="4561" t="n"/>
      <c r="F1638" s="4561" t="n"/>
      <c r="G1638" s="4561" t="n"/>
      <c r="H1638" s="4561" t="n"/>
      <c r="I1638" s="4562">
        <f>XLOOKUP(B1638,'_Sys|Line_Map'!$A:$A,'_Sys|Line_Map'!$C:$C,"MISSING",0)</f>
        <v/>
      </c>
      <c r="J1638" s="4562">
        <f>XLOOKUP(B1638,'_Sys|Line_Map'!$A:$A,'_Sys|Line_Map'!$D:$D,1,0)</f>
        <v/>
      </c>
      <c r="K1638" s="4562">
        <f>IF(D1638="","",D1638*J1638)</f>
        <v/>
      </c>
      <c r="L1638" s="4562">
        <f>XLOOKUP(B1638,'_Sys|Line_Map'!$A:$A,'_Sys|Line_Map'!$B:$B,"MISSING",0)</f>
        <v/>
      </c>
    </row>
    <row r="1639">
      <c r="A1639" s="4561" t="n"/>
      <c r="B1639" s="4561" t="n"/>
      <c r="C1639" s="4561" t="n"/>
      <c r="D1639" s="4561" t="n"/>
      <c r="E1639" s="4561" t="n"/>
      <c r="F1639" s="4561" t="n"/>
      <c r="G1639" s="4561" t="n"/>
      <c r="H1639" s="4561" t="n"/>
      <c r="I1639" s="4562">
        <f>XLOOKUP(B1639,'_Sys|Line_Map'!$A:$A,'_Sys|Line_Map'!$C:$C,"MISSING",0)</f>
        <v/>
      </c>
      <c r="J1639" s="4562">
        <f>XLOOKUP(B1639,'_Sys|Line_Map'!$A:$A,'_Sys|Line_Map'!$D:$D,1,0)</f>
        <v/>
      </c>
      <c r="K1639" s="4562">
        <f>IF(D1639="","",D1639*J1639)</f>
        <v/>
      </c>
      <c r="L1639" s="4562">
        <f>XLOOKUP(B1639,'_Sys|Line_Map'!$A:$A,'_Sys|Line_Map'!$B:$B,"MISSING",0)</f>
        <v/>
      </c>
    </row>
    <row r="1640">
      <c r="A1640" s="4561" t="n"/>
      <c r="B1640" s="4561" t="n"/>
      <c r="C1640" s="4561" t="n"/>
      <c r="D1640" s="4561" t="n"/>
      <c r="E1640" s="4561" t="n"/>
      <c r="F1640" s="4561" t="n"/>
      <c r="G1640" s="4561" t="n"/>
      <c r="H1640" s="4561" t="n"/>
      <c r="I1640" s="4562">
        <f>XLOOKUP(B1640,'_Sys|Line_Map'!$A:$A,'_Sys|Line_Map'!$C:$C,"MISSING",0)</f>
        <v/>
      </c>
      <c r="J1640" s="4562">
        <f>XLOOKUP(B1640,'_Sys|Line_Map'!$A:$A,'_Sys|Line_Map'!$D:$D,1,0)</f>
        <v/>
      </c>
      <c r="K1640" s="4562">
        <f>IF(D1640="","",D1640*J1640)</f>
        <v/>
      </c>
      <c r="L1640" s="4562">
        <f>XLOOKUP(B1640,'_Sys|Line_Map'!$A:$A,'_Sys|Line_Map'!$B:$B,"MISSING",0)</f>
        <v/>
      </c>
    </row>
    <row r="1641">
      <c r="A1641" s="4561" t="n"/>
      <c r="B1641" s="4561" t="n"/>
      <c r="C1641" s="4561" t="n"/>
      <c r="D1641" s="4561" t="n"/>
      <c r="E1641" s="4561" t="n"/>
      <c r="F1641" s="4561" t="n"/>
      <c r="G1641" s="4561" t="n"/>
      <c r="H1641" s="4561" t="n"/>
      <c r="I1641" s="4562">
        <f>XLOOKUP(B1641,'_Sys|Line_Map'!$A:$A,'_Sys|Line_Map'!$C:$C,"MISSING",0)</f>
        <v/>
      </c>
      <c r="J1641" s="4562">
        <f>XLOOKUP(B1641,'_Sys|Line_Map'!$A:$A,'_Sys|Line_Map'!$D:$D,1,0)</f>
        <v/>
      </c>
      <c r="K1641" s="4562">
        <f>IF(D1641="","",D1641*J1641)</f>
        <v/>
      </c>
      <c r="L1641" s="4562">
        <f>XLOOKUP(B1641,'_Sys|Line_Map'!$A:$A,'_Sys|Line_Map'!$B:$B,"MISSING",0)</f>
        <v/>
      </c>
    </row>
    <row r="1642">
      <c r="A1642" s="4561" t="n"/>
      <c r="B1642" s="4561" t="n"/>
      <c r="C1642" s="4561" t="n"/>
      <c r="D1642" s="4561" t="n"/>
      <c r="E1642" s="4561" t="n"/>
      <c r="F1642" s="4561" t="n"/>
      <c r="G1642" s="4561" t="n"/>
      <c r="H1642" s="4561" t="n"/>
      <c r="I1642" s="4562">
        <f>XLOOKUP(B1642,'_Sys|Line_Map'!$A:$A,'_Sys|Line_Map'!$C:$C,"MISSING",0)</f>
        <v/>
      </c>
      <c r="J1642" s="4562">
        <f>XLOOKUP(B1642,'_Sys|Line_Map'!$A:$A,'_Sys|Line_Map'!$D:$D,1,0)</f>
        <v/>
      </c>
      <c r="K1642" s="4562">
        <f>IF(D1642="","",D1642*J1642)</f>
        <v/>
      </c>
      <c r="L1642" s="4562">
        <f>XLOOKUP(B1642,'_Sys|Line_Map'!$A:$A,'_Sys|Line_Map'!$B:$B,"MISSING",0)</f>
        <v/>
      </c>
    </row>
    <row r="1643">
      <c r="A1643" s="4561" t="n"/>
      <c r="B1643" s="4561" t="n"/>
      <c r="C1643" s="4561" t="n"/>
      <c r="D1643" s="4561" t="n"/>
      <c r="E1643" s="4561" t="n"/>
      <c r="F1643" s="4561" t="n"/>
      <c r="G1643" s="4561" t="n"/>
      <c r="H1643" s="4561" t="n"/>
      <c r="I1643" s="4562">
        <f>XLOOKUP(B1643,'_Sys|Line_Map'!$A:$A,'_Sys|Line_Map'!$C:$C,"MISSING",0)</f>
        <v/>
      </c>
      <c r="J1643" s="4562">
        <f>XLOOKUP(B1643,'_Sys|Line_Map'!$A:$A,'_Sys|Line_Map'!$D:$D,1,0)</f>
        <v/>
      </c>
      <c r="K1643" s="4562">
        <f>IF(D1643="","",D1643*J1643)</f>
        <v/>
      </c>
      <c r="L1643" s="4562">
        <f>XLOOKUP(B1643,'_Sys|Line_Map'!$A:$A,'_Sys|Line_Map'!$B:$B,"MISSING",0)</f>
        <v/>
      </c>
    </row>
    <row r="1644">
      <c r="A1644" s="4561" t="n"/>
      <c r="B1644" s="4561" t="n"/>
      <c r="C1644" s="4561" t="n"/>
      <c r="D1644" s="4561" t="n"/>
      <c r="E1644" s="4561" t="n"/>
      <c r="F1644" s="4561" t="n"/>
      <c r="G1644" s="4561" t="n"/>
      <c r="H1644" s="4561" t="n"/>
      <c r="I1644" s="4562">
        <f>XLOOKUP(B1644,'_Sys|Line_Map'!$A:$A,'_Sys|Line_Map'!$C:$C,"MISSING",0)</f>
        <v/>
      </c>
      <c r="J1644" s="4562">
        <f>XLOOKUP(B1644,'_Sys|Line_Map'!$A:$A,'_Sys|Line_Map'!$D:$D,1,0)</f>
        <v/>
      </c>
      <c r="K1644" s="4562">
        <f>IF(D1644="","",D1644*J1644)</f>
        <v/>
      </c>
      <c r="L1644" s="4562">
        <f>XLOOKUP(B1644,'_Sys|Line_Map'!$A:$A,'_Sys|Line_Map'!$B:$B,"MISSING",0)</f>
        <v/>
      </c>
    </row>
    <row r="1645">
      <c r="A1645" s="4561" t="n"/>
      <c r="B1645" s="4561" t="n"/>
      <c r="C1645" s="4561" t="n"/>
      <c r="D1645" s="4561" t="n"/>
      <c r="E1645" s="4561" t="n"/>
      <c r="F1645" s="4561" t="n"/>
      <c r="G1645" s="4561" t="n"/>
      <c r="H1645" s="4561" t="n"/>
      <c r="I1645" s="4562">
        <f>XLOOKUP(B1645,'_Sys|Line_Map'!$A:$A,'_Sys|Line_Map'!$C:$C,"MISSING",0)</f>
        <v/>
      </c>
      <c r="J1645" s="4562">
        <f>XLOOKUP(B1645,'_Sys|Line_Map'!$A:$A,'_Sys|Line_Map'!$D:$D,1,0)</f>
        <v/>
      </c>
      <c r="K1645" s="4562">
        <f>IF(D1645="","",D1645*J1645)</f>
        <v/>
      </c>
      <c r="L1645" s="4562">
        <f>XLOOKUP(B1645,'_Sys|Line_Map'!$A:$A,'_Sys|Line_Map'!$B:$B,"MISSING",0)</f>
        <v/>
      </c>
    </row>
    <row r="1646">
      <c r="A1646" s="4561" t="n"/>
      <c r="B1646" s="4561" t="n"/>
      <c r="C1646" s="4561" t="n"/>
      <c r="D1646" s="4561" t="n"/>
      <c r="E1646" s="4561" t="n"/>
      <c r="F1646" s="4561" t="n"/>
      <c r="G1646" s="4561" t="n"/>
      <c r="H1646" s="4561" t="n"/>
      <c r="I1646" s="4562">
        <f>XLOOKUP(B1646,'_Sys|Line_Map'!$A:$A,'_Sys|Line_Map'!$C:$C,"MISSING",0)</f>
        <v/>
      </c>
      <c r="J1646" s="4562">
        <f>XLOOKUP(B1646,'_Sys|Line_Map'!$A:$A,'_Sys|Line_Map'!$D:$D,1,0)</f>
        <v/>
      </c>
      <c r="K1646" s="4562">
        <f>IF(D1646="","",D1646*J1646)</f>
        <v/>
      </c>
      <c r="L1646" s="4562">
        <f>XLOOKUP(B1646,'_Sys|Line_Map'!$A:$A,'_Sys|Line_Map'!$B:$B,"MISSING",0)</f>
        <v/>
      </c>
    </row>
    <row r="1647">
      <c r="A1647" s="4561" t="n"/>
      <c r="B1647" s="4561" t="n"/>
      <c r="C1647" s="4561" t="n"/>
      <c r="D1647" s="4561" t="n"/>
      <c r="E1647" s="4561" t="n"/>
      <c r="F1647" s="4561" t="n"/>
      <c r="G1647" s="4561" t="n"/>
      <c r="H1647" s="4561" t="n"/>
      <c r="I1647" s="4562">
        <f>XLOOKUP(B1647,'_Sys|Line_Map'!$A:$A,'_Sys|Line_Map'!$C:$C,"MISSING",0)</f>
        <v/>
      </c>
      <c r="J1647" s="4562">
        <f>XLOOKUP(B1647,'_Sys|Line_Map'!$A:$A,'_Sys|Line_Map'!$D:$D,1,0)</f>
        <v/>
      </c>
      <c r="K1647" s="4562">
        <f>IF(D1647="","",D1647*J1647)</f>
        <v/>
      </c>
      <c r="L1647" s="4562">
        <f>XLOOKUP(B1647,'_Sys|Line_Map'!$A:$A,'_Sys|Line_Map'!$B:$B,"MISSING",0)</f>
        <v/>
      </c>
    </row>
    <row r="1648">
      <c r="A1648" s="4561" t="n"/>
      <c r="B1648" s="4561" t="n"/>
      <c r="C1648" s="4561" t="n"/>
      <c r="D1648" s="4561" t="n"/>
      <c r="E1648" s="4561" t="n"/>
      <c r="F1648" s="4561" t="n"/>
      <c r="G1648" s="4561" t="n"/>
      <c r="H1648" s="4561" t="n"/>
      <c r="I1648" s="4562">
        <f>XLOOKUP(B1648,'_Sys|Line_Map'!$A:$A,'_Sys|Line_Map'!$C:$C,"MISSING",0)</f>
        <v/>
      </c>
      <c r="J1648" s="4562">
        <f>XLOOKUP(B1648,'_Sys|Line_Map'!$A:$A,'_Sys|Line_Map'!$D:$D,1,0)</f>
        <v/>
      </c>
      <c r="K1648" s="4562">
        <f>IF(D1648="","",D1648*J1648)</f>
        <v/>
      </c>
      <c r="L1648" s="4562">
        <f>XLOOKUP(B1648,'_Sys|Line_Map'!$A:$A,'_Sys|Line_Map'!$B:$B,"MISSING",0)</f>
        <v/>
      </c>
    </row>
    <row r="1649">
      <c r="A1649" s="4561" t="n"/>
      <c r="B1649" s="4561" t="n"/>
      <c r="C1649" s="4561" t="n"/>
      <c r="D1649" s="4561" t="n"/>
      <c r="E1649" s="4561" t="n"/>
      <c r="F1649" s="4561" t="n"/>
      <c r="G1649" s="4561" t="n"/>
      <c r="H1649" s="4561" t="n"/>
      <c r="I1649" s="4562">
        <f>XLOOKUP(B1649,'_Sys|Line_Map'!$A:$A,'_Sys|Line_Map'!$C:$C,"MISSING",0)</f>
        <v/>
      </c>
      <c r="J1649" s="4562">
        <f>XLOOKUP(B1649,'_Sys|Line_Map'!$A:$A,'_Sys|Line_Map'!$D:$D,1,0)</f>
        <v/>
      </c>
      <c r="K1649" s="4562">
        <f>IF(D1649="","",D1649*J1649)</f>
        <v/>
      </c>
      <c r="L1649" s="4562">
        <f>XLOOKUP(B1649,'_Sys|Line_Map'!$A:$A,'_Sys|Line_Map'!$B:$B,"MISSING",0)</f>
        <v/>
      </c>
    </row>
    <row r="1650">
      <c r="A1650" s="4561" t="n"/>
      <c r="B1650" s="4561" t="n"/>
      <c r="C1650" s="4561" t="n"/>
      <c r="D1650" s="4561" t="n"/>
      <c r="E1650" s="4561" t="n"/>
      <c r="F1650" s="4561" t="n"/>
      <c r="G1650" s="4561" t="n"/>
      <c r="H1650" s="4561" t="n"/>
      <c r="I1650" s="4562">
        <f>XLOOKUP(B1650,'_Sys|Line_Map'!$A:$A,'_Sys|Line_Map'!$C:$C,"MISSING",0)</f>
        <v/>
      </c>
      <c r="J1650" s="4562">
        <f>XLOOKUP(B1650,'_Sys|Line_Map'!$A:$A,'_Sys|Line_Map'!$D:$D,1,0)</f>
        <v/>
      </c>
      <c r="K1650" s="4562">
        <f>IF(D1650="","",D1650*J1650)</f>
        <v/>
      </c>
      <c r="L1650" s="4562">
        <f>XLOOKUP(B1650,'_Sys|Line_Map'!$A:$A,'_Sys|Line_Map'!$B:$B,"MISSING",0)</f>
        <v/>
      </c>
    </row>
    <row r="1651">
      <c r="A1651" s="4561" t="n"/>
      <c r="B1651" s="4561" t="n"/>
      <c r="C1651" s="4561" t="n"/>
      <c r="D1651" s="4561" t="n"/>
      <c r="E1651" s="4561" t="n"/>
      <c r="F1651" s="4561" t="n"/>
      <c r="G1651" s="4561" t="n"/>
      <c r="H1651" s="4561" t="n"/>
      <c r="I1651" s="4562">
        <f>XLOOKUP(B1651,'_Sys|Line_Map'!$A:$A,'_Sys|Line_Map'!$C:$C,"MISSING",0)</f>
        <v/>
      </c>
      <c r="J1651" s="4562">
        <f>XLOOKUP(B1651,'_Sys|Line_Map'!$A:$A,'_Sys|Line_Map'!$D:$D,1,0)</f>
        <v/>
      </c>
      <c r="K1651" s="4562">
        <f>IF(D1651="","",D1651*J1651)</f>
        <v/>
      </c>
      <c r="L1651" s="4562">
        <f>XLOOKUP(B1651,'_Sys|Line_Map'!$A:$A,'_Sys|Line_Map'!$B:$B,"MISSING",0)</f>
        <v/>
      </c>
    </row>
    <row r="1652">
      <c r="A1652" s="4561" t="n"/>
      <c r="B1652" s="4561" t="n"/>
      <c r="C1652" s="4561" t="n"/>
      <c r="D1652" s="4561" t="n"/>
      <c r="E1652" s="4561" t="n"/>
      <c r="F1652" s="4561" t="n"/>
      <c r="G1652" s="4561" t="n"/>
      <c r="H1652" s="4561" t="n"/>
      <c r="I1652" s="4562">
        <f>XLOOKUP(B1652,'_Sys|Line_Map'!$A:$A,'_Sys|Line_Map'!$C:$C,"MISSING",0)</f>
        <v/>
      </c>
      <c r="J1652" s="4562">
        <f>XLOOKUP(B1652,'_Sys|Line_Map'!$A:$A,'_Sys|Line_Map'!$D:$D,1,0)</f>
        <v/>
      </c>
      <c r="K1652" s="4562">
        <f>IF(D1652="","",D1652*J1652)</f>
        <v/>
      </c>
      <c r="L1652" s="4562">
        <f>XLOOKUP(B1652,'_Sys|Line_Map'!$A:$A,'_Sys|Line_Map'!$B:$B,"MISSING",0)</f>
        <v/>
      </c>
    </row>
    <row r="1653">
      <c r="A1653" s="4561" t="n"/>
      <c r="B1653" s="4561" t="n"/>
      <c r="C1653" s="4561" t="n"/>
      <c r="D1653" s="4561" t="n"/>
      <c r="E1653" s="4561" t="n"/>
      <c r="F1653" s="4561" t="n"/>
      <c r="G1653" s="4561" t="n"/>
      <c r="H1653" s="4561" t="n"/>
      <c r="I1653" s="4562">
        <f>XLOOKUP(B1653,'_Sys|Line_Map'!$A:$A,'_Sys|Line_Map'!$C:$C,"MISSING",0)</f>
        <v/>
      </c>
      <c r="J1653" s="4562">
        <f>XLOOKUP(B1653,'_Sys|Line_Map'!$A:$A,'_Sys|Line_Map'!$D:$D,1,0)</f>
        <v/>
      </c>
      <c r="K1653" s="4562">
        <f>IF(D1653="","",D1653*J1653)</f>
        <v/>
      </c>
      <c r="L1653" s="4562">
        <f>XLOOKUP(B1653,'_Sys|Line_Map'!$A:$A,'_Sys|Line_Map'!$B:$B,"MISSING",0)</f>
        <v/>
      </c>
    </row>
    <row r="1654">
      <c r="A1654" s="4561" t="n"/>
      <c r="B1654" s="4561" t="n"/>
      <c r="C1654" s="4561" t="n"/>
      <c r="D1654" s="4561" t="n"/>
      <c r="E1654" s="4561" t="n"/>
      <c r="F1654" s="4561" t="n"/>
      <c r="G1654" s="4561" t="n"/>
      <c r="H1654" s="4561" t="n"/>
      <c r="I1654" s="4562">
        <f>XLOOKUP(B1654,'_Sys|Line_Map'!$A:$A,'_Sys|Line_Map'!$C:$C,"MISSING",0)</f>
        <v/>
      </c>
      <c r="J1654" s="4562">
        <f>XLOOKUP(B1654,'_Sys|Line_Map'!$A:$A,'_Sys|Line_Map'!$D:$D,1,0)</f>
        <v/>
      </c>
      <c r="K1654" s="4562">
        <f>IF(D1654="","",D1654*J1654)</f>
        <v/>
      </c>
      <c r="L1654" s="4562">
        <f>XLOOKUP(B1654,'_Sys|Line_Map'!$A:$A,'_Sys|Line_Map'!$B:$B,"MISSING",0)</f>
        <v/>
      </c>
    </row>
    <row r="1655">
      <c r="A1655" s="4561" t="n"/>
      <c r="B1655" s="4561" t="n"/>
      <c r="C1655" s="4561" t="n"/>
      <c r="D1655" s="4561" t="n"/>
      <c r="E1655" s="4561" t="n"/>
      <c r="F1655" s="4561" t="n"/>
      <c r="G1655" s="4561" t="n"/>
      <c r="H1655" s="4561" t="n"/>
      <c r="I1655" s="4562">
        <f>XLOOKUP(B1655,'_Sys|Line_Map'!$A:$A,'_Sys|Line_Map'!$C:$C,"MISSING",0)</f>
        <v/>
      </c>
      <c r="J1655" s="4562">
        <f>XLOOKUP(B1655,'_Sys|Line_Map'!$A:$A,'_Sys|Line_Map'!$D:$D,1,0)</f>
        <v/>
      </c>
      <c r="K1655" s="4562">
        <f>IF(D1655="","",D1655*J1655)</f>
        <v/>
      </c>
      <c r="L1655" s="4562">
        <f>XLOOKUP(B1655,'_Sys|Line_Map'!$A:$A,'_Sys|Line_Map'!$B:$B,"MISSING",0)</f>
        <v/>
      </c>
    </row>
    <row r="1656">
      <c r="A1656" s="4561" t="n"/>
      <c r="B1656" s="4561" t="n"/>
      <c r="C1656" s="4561" t="n"/>
      <c r="D1656" s="4561" t="n"/>
      <c r="E1656" s="4561" t="n"/>
      <c r="F1656" s="4561" t="n"/>
      <c r="G1656" s="4561" t="n"/>
      <c r="H1656" s="4561" t="n"/>
      <c r="I1656" s="4562">
        <f>XLOOKUP(B1656,'_Sys|Line_Map'!$A:$A,'_Sys|Line_Map'!$C:$C,"MISSING",0)</f>
        <v/>
      </c>
      <c r="J1656" s="4562">
        <f>XLOOKUP(B1656,'_Sys|Line_Map'!$A:$A,'_Sys|Line_Map'!$D:$D,1,0)</f>
        <v/>
      </c>
      <c r="K1656" s="4562">
        <f>IF(D1656="","",D1656*J1656)</f>
        <v/>
      </c>
      <c r="L1656" s="4562">
        <f>XLOOKUP(B1656,'_Sys|Line_Map'!$A:$A,'_Sys|Line_Map'!$B:$B,"MISSING",0)</f>
        <v/>
      </c>
    </row>
    <row r="1657">
      <c r="A1657" s="4561" t="n"/>
      <c r="B1657" s="4561" t="n"/>
      <c r="C1657" s="4561" t="n"/>
      <c r="D1657" s="4561" t="n"/>
      <c r="E1657" s="4561" t="n"/>
      <c r="F1657" s="4561" t="n"/>
      <c r="G1657" s="4561" t="n"/>
      <c r="H1657" s="4561" t="n"/>
      <c r="I1657" s="4562">
        <f>XLOOKUP(B1657,'_Sys|Line_Map'!$A:$A,'_Sys|Line_Map'!$C:$C,"MISSING",0)</f>
        <v/>
      </c>
      <c r="J1657" s="4562">
        <f>XLOOKUP(B1657,'_Sys|Line_Map'!$A:$A,'_Sys|Line_Map'!$D:$D,1,0)</f>
        <v/>
      </c>
      <c r="K1657" s="4562">
        <f>IF(D1657="","",D1657*J1657)</f>
        <v/>
      </c>
      <c r="L1657" s="4562">
        <f>XLOOKUP(B1657,'_Sys|Line_Map'!$A:$A,'_Sys|Line_Map'!$B:$B,"MISSING",0)</f>
        <v/>
      </c>
    </row>
    <row r="1658">
      <c r="A1658" s="4561" t="n"/>
      <c r="B1658" s="4561" t="n"/>
      <c r="C1658" s="4561" t="n"/>
      <c r="D1658" s="4561" t="n"/>
      <c r="E1658" s="4561" t="n"/>
      <c r="F1658" s="4561" t="n"/>
      <c r="G1658" s="4561" t="n"/>
      <c r="H1658" s="4561" t="n"/>
      <c r="I1658" s="4562">
        <f>XLOOKUP(B1658,'_Sys|Line_Map'!$A:$A,'_Sys|Line_Map'!$C:$C,"MISSING",0)</f>
        <v/>
      </c>
      <c r="J1658" s="4562">
        <f>XLOOKUP(B1658,'_Sys|Line_Map'!$A:$A,'_Sys|Line_Map'!$D:$D,1,0)</f>
        <v/>
      </c>
      <c r="K1658" s="4562">
        <f>IF(D1658="","",D1658*J1658)</f>
        <v/>
      </c>
      <c r="L1658" s="4562">
        <f>XLOOKUP(B1658,'_Sys|Line_Map'!$A:$A,'_Sys|Line_Map'!$B:$B,"MISSING",0)</f>
        <v/>
      </c>
    </row>
    <row r="1659">
      <c r="A1659" s="4561" t="n"/>
      <c r="B1659" s="4561" t="n"/>
      <c r="C1659" s="4561" t="n"/>
      <c r="D1659" s="4561" t="n"/>
      <c r="E1659" s="4561" t="n"/>
      <c r="F1659" s="4561" t="n"/>
      <c r="G1659" s="4561" t="n"/>
      <c r="H1659" s="4561" t="n"/>
      <c r="I1659" s="4562">
        <f>XLOOKUP(B1659,'_Sys|Line_Map'!$A:$A,'_Sys|Line_Map'!$C:$C,"MISSING",0)</f>
        <v/>
      </c>
      <c r="J1659" s="4562">
        <f>XLOOKUP(B1659,'_Sys|Line_Map'!$A:$A,'_Sys|Line_Map'!$D:$D,1,0)</f>
        <v/>
      </c>
      <c r="K1659" s="4562">
        <f>IF(D1659="","",D1659*J1659)</f>
        <v/>
      </c>
      <c r="L1659" s="4562">
        <f>XLOOKUP(B1659,'_Sys|Line_Map'!$A:$A,'_Sys|Line_Map'!$B:$B,"MISSING",0)</f>
        <v/>
      </c>
    </row>
    <row r="1660">
      <c r="A1660" s="4561" t="n"/>
      <c r="B1660" s="4561" t="n"/>
      <c r="C1660" s="4561" t="n"/>
      <c r="D1660" s="4561" t="n"/>
      <c r="E1660" s="4561" t="n"/>
      <c r="F1660" s="4561" t="n"/>
      <c r="G1660" s="4561" t="n"/>
      <c r="H1660" s="4561" t="n"/>
      <c r="I1660" s="4562">
        <f>XLOOKUP(B1660,'_Sys|Line_Map'!$A:$A,'_Sys|Line_Map'!$C:$C,"MISSING",0)</f>
        <v/>
      </c>
      <c r="J1660" s="4562">
        <f>XLOOKUP(B1660,'_Sys|Line_Map'!$A:$A,'_Sys|Line_Map'!$D:$D,1,0)</f>
        <v/>
      </c>
      <c r="K1660" s="4562">
        <f>IF(D1660="","",D1660*J1660)</f>
        <v/>
      </c>
      <c r="L1660" s="4562">
        <f>XLOOKUP(B1660,'_Sys|Line_Map'!$A:$A,'_Sys|Line_Map'!$B:$B,"MISSING",0)</f>
        <v/>
      </c>
    </row>
    <row r="1661">
      <c r="A1661" s="4561" t="n"/>
      <c r="B1661" s="4561" t="n"/>
      <c r="C1661" s="4561" t="n"/>
      <c r="D1661" s="4561" t="n"/>
      <c r="E1661" s="4561" t="n"/>
      <c r="F1661" s="4561" t="n"/>
      <c r="G1661" s="4561" t="n"/>
      <c r="H1661" s="4561" t="n"/>
      <c r="I1661" s="4562">
        <f>XLOOKUP(B1661,'_Sys|Line_Map'!$A:$A,'_Sys|Line_Map'!$C:$C,"MISSING",0)</f>
        <v/>
      </c>
      <c r="J1661" s="4562">
        <f>XLOOKUP(B1661,'_Sys|Line_Map'!$A:$A,'_Sys|Line_Map'!$D:$D,1,0)</f>
        <v/>
      </c>
      <c r="K1661" s="4562">
        <f>IF(D1661="","",D1661*J1661)</f>
        <v/>
      </c>
      <c r="L1661" s="4562">
        <f>XLOOKUP(B1661,'_Sys|Line_Map'!$A:$A,'_Sys|Line_Map'!$B:$B,"MISSING",0)</f>
        <v/>
      </c>
    </row>
    <row r="1662">
      <c r="A1662" s="4561" t="n"/>
      <c r="B1662" s="4561" t="n"/>
      <c r="C1662" s="4561" t="n"/>
      <c r="D1662" s="4561" t="n"/>
      <c r="E1662" s="4561" t="n"/>
      <c r="F1662" s="4561" t="n"/>
      <c r="G1662" s="4561" t="n"/>
      <c r="H1662" s="4561" t="n"/>
      <c r="I1662" s="4562">
        <f>XLOOKUP(B1662,'_Sys|Line_Map'!$A:$A,'_Sys|Line_Map'!$C:$C,"MISSING",0)</f>
        <v/>
      </c>
      <c r="J1662" s="4562">
        <f>XLOOKUP(B1662,'_Sys|Line_Map'!$A:$A,'_Sys|Line_Map'!$D:$D,1,0)</f>
        <v/>
      </c>
      <c r="K1662" s="4562">
        <f>IF(D1662="","",D1662*J1662)</f>
        <v/>
      </c>
      <c r="L1662" s="4562">
        <f>XLOOKUP(B1662,'_Sys|Line_Map'!$A:$A,'_Sys|Line_Map'!$B:$B,"MISSING",0)</f>
        <v/>
      </c>
    </row>
    <row r="1663">
      <c r="A1663" s="4561" t="n"/>
      <c r="B1663" s="4561" t="n"/>
      <c r="C1663" s="4561" t="n"/>
      <c r="D1663" s="4561" t="n"/>
      <c r="E1663" s="4561" t="n"/>
      <c r="F1663" s="4561" t="n"/>
      <c r="G1663" s="4561" t="n"/>
      <c r="H1663" s="4561" t="n"/>
      <c r="I1663" s="4562">
        <f>XLOOKUP(B1663,'_Sys|Line_Map'!$A:$A,'_Sys|Line_Map'!$C:$C,"MISSING",0)</f>
        <v/>
      </c>
      <c r="J1663" s="4562">
        <f>XLOOKUP(B1663,'_Sys|Line_Map'!$A:$A,'_Sys|Line_Map'!$D:$D,1,0)</f>
        <v/>
      </c>
      <c r="K1663" s="4562">
        <f>IF(D1663="","",D1663*J1663)</f>
        <v/>
      </c>
      <c r="L1663" s="4562">
        <f>XLOOKUP(B1663,'_Sys|Line_Map'!$A:$A,'_Sys|Line_Map'!$B:$B,"MISSING",0)</f>
        <v/>
      </c>
    </row>
    <row r="1664">
      <c r="A1664" s="4561" t="n"/>
      <c r="B1664" s="4561" t="n"/>
      <c r="C1664" s="4561" t="n"/>
      <c r="D1664" s="4561" t="n"/>
      <c r="E1664" s="4561" t="n"/>
      <c r="F1664" s="4561" t="n"/>
      <c r="G1664" s="4561" t="n"/>
      <c r="H1664" s="4561" t="n"/>
      <c r="I1664" s="4562">
        <f>XLOOKUP(B1664,'_Sys|Line_Map'!$A:$A,'_Sys|Line_Map'!$C:$C,"MISSING",0)</f>
        <v/>
      </c>
      <c r="J1664" s="4562">
        <f>XLOOKUP(B1664,'_Sys|Line_Map'!$A:$A,'_Sys|Line_Map'!$D:$D,1,0)</f>
        <v/>
      </c>
      <c r="K1664" s="4562">
        <f>IF(D1664="","",D1664*J1664)</f>
        <v/>
      </c>
      <c r="L1664" s="4562">
        <f>XLOOKUP(B1664,'_Sys|Line_Map'!$A:$A,'_Sys|Line_Map'!$B:$B,"MISSING",0)</f>
        <v/>
      </c>
    </row>
    <row r="1665">
      <c r="A1665" s="4561" t="n"/>
      <c r="B1665" s="4561" t="n"/>
      <c r="C1665" s="4561" t="n"/>
      <c r="D1665" s="4561" t="n"/>
      <c r="E1665" s="4561" t="n"/>
      <c r="F1665" s="4561" t="n"/>
      <c r="G1665" s="4561" t="n"/>
      <c r="H1665" s="4561" t="n"/>
      <c r="I1665" s="4562">
        <f>XLOOKUP(B1665,'_Sys|Line_Map'!$A:$A,'_Sys|Line_Map'!$C:$C,"MISSING",0)</f>
        <v/>
      </c>
      <c r="J1665" s="4562">
        <f>XLOOKUP(B1665,'_Sys|Line_Map'!$A:$A,'_Sys|Line_Map'!$D:$D,1,0)</f>
        <v/>
      </c>
      <c r="K1665" s="4562">
        <f>IF(D1665="","",D1665*J1665)</f>
        <v/>
      </c>
      <c r="L1665" s="4562">
        <f>XLOOKUP(B1665,'_Sys|Line_Map'!$A:$A,'_Sys|Line_Map'!$B:$B,"MISSING",0)</f>
        <v/>
      </c>
    </row>
    <row r="1666">
      <c r="A1666" s="4561" t="n"/>
      <c r="B1666" s="4561" t="n"/>
      <c r="C1666" s="4561" t="n"/>
      <c r="D1666" s="4561" t="n"/>
      <c r="E1666" s="4561" t="n"/>
      <c r="F1666" s="4561" t="n"/>
      <c r="G1666" s="4561" t="n"/>
      <c r="H1666" s="4561" t="n"/>
      <c r="I1666" s="4562">
        <f>XLOOKUP(B1666,'_Sys|Line_Map'!$A:$A,'_Sys|Line_Map'!$C:$C,"MISSING",0)</f>
        <v/>
      </c>
      <c r="J1666" s="4562">
        <f>XLOOKUP(B1666,'_Sys|Line_Map'!$A:$A,'_Sys|Line_Map'!$D:$D,1,0)</f>
        <v/>
      </c>
      <c r="K1666" s="4562">
        <f>IF(D1666="","",D1666*J1666)</f>
        <v/>
      </c>
      <c r="L1666" s="4562">
        <f>XLOOKUP(B1666,'_Sys|Line_Map'!$A:$A,'_Sys|Line_Map'!$B:$B,"MISSING",0)</f>
        <v/>
      </c>
    </row>
    <row r="1667">
      <c r="A1667" s="4561" t="n"/>
      <c r="B1667" s="4561" t="n"/>
      <c r="C1667" s="4561" t="n"/>
      <c r="D1667" s="4561" t="n"/>
      <c r="E1667" s="4561" t="n"/>
      <c r="F1667" s="4561" t="n"/>
      <c r="G1667" s="4561" t="n"/>
      <c r="H1667" s="4561" t="n"/>
      <c r="I1667" s="4562">
        <f>XLOOKUP(B1667,'_Sys|Line_Map'!$A:$A,'_Sys|Line_Map'!$C:$C,"MISSING",0)</f>
        <v/>
      </c>
      <c r="J1667" s="4562">
        <f>XLOOKUP(B1667,'_Sys|Line_Map'!$A:$A,'_Sys|Line_Map'!$D:$D,1,0)</f>
        <v/>
      </c>
      <c r="K1667" s="4562">
        <f>IF(D1667="","",D1667*J1667)</f>
        <v/>
      </c>
      <c r="L1667" s="4562">
        <f>XLOOKUP(B1667,'_Sys|Line_Map'!$A:$A,'_Sys|Line_Map'!$B:$B,"MISSING",0)</f>
        <v/>
      </c>
    </row>
    <row r="1668">
      <c r="A1668" s="4561" t="n"/>
      <c r="B1668" s="4561" t="n"/>
      <c r="C1668" s="4561" t="n"/>
      <c r="D1668" s="4561" t="n"/>
      <c r="E1668" s="4561" t="n"/>
      <c r="F1668" s="4561" t="n"/>
      <c r="G1668" s="4561" t="n"/>
      <c r="H1668" s="4561" t="n"/>
      <c r="I1668" s="4562">
        <f>XLOOKUP(B1668,'_Sys|Line_Map'!$A:$A,'_Sys|Line_Map'!$C:$C,"MISSING",0)</f>
        <v/>
      </c>
      <c r="J1668" s="4562">
        <f>XLOOKUP(B1668,'_Sys|Line_Map'!$A:$A,'_Sys|Line_Map'!$D:$D,1,0)</f>
        <v/>
      </c>
      <c r="K1668" s="4562">
        <f>IF(D1668="","",D1668*J1668)</f>
        <v/>
      </c>
      <c r="L1668" s="4562">
        <f>XLOOKUP(B1668,'_Sys|Line_Map'!$A:$A,'_Sys|Line_Map'!$B:$B,"MISSING",0)</f>
        <v/>
      </c>
    </row>
    <row r="1669">
      <c r="A1669" s="4561" t="n"/>
      <c r="B1669" s="4561" t="n"/>
      <c r="C1669" s="4561" t="n"/>
      <c r="D1669" s="4561" t="n"/>
      <c r="E1669" s="4561" t="n"/>
      <c r="F1669" s="4561" t="n"/>
      <c r="G1669" s="4561" t="n"/>
      <c r="H1669" s="4561" t="n"/>
      <c r="I1669" s="4562">
        <f>XLOOKUP(B1669,'_Sys|Line_Map'!$A:$A,'_Sys|Line_Map'!$C:$C,"MISSING",0)</f>
        <v/>
      </c>
      <c r="J1669" s="4562">
        <f>XLOOKUP(B1669,'_Sys|Line_Map'!$A:$A,'_Sys|Line_Map'!$D:$D,1,0)</f>
        <v/>
      </c>
      <c r="K1669" s="4562">
        <f>IF(D1669="","",D1669*J1669)</f>
        <v/>
      </c>
      <c r="L1669" s="4562">
        <f>XLOOKUP(B1669,'_Sys|Line_Map'!$A:$A,'_Sys|Line_Map'!$B:$B,"MISSING",0)</f>
        <v/>
      </c>
    </row>
    <row r="1670">
      <c r="A1670" s="4561" t="n"/>
      <c r="B1670" s="4561" t="n"/>
      <c r="C1670" s="4561" t="n"/>
      <c r="D1670" s="4561" t="n"/>
      <c r="E1670" s="4561" t="n"/>
      <c r="F1670" s="4561" t="n"/>
      <c r="G1670" s="4561" t="n"/>
      <c r="H1670" s="4561" t="n"/>
      <c r="I1670" s="4562">
        <f>XLOOKUP(B1670,'_Sys|Line_Map'!$A:$A,'_Sys|Line_Map'!$C:$C,"MISSING",0)</f>
        <v/>
      </c>
      <c r="J1670" s="4562">
        <f>XLOOKUP(B1670,'_Sys|Line_Map'!$A:$A,'_Sys|Line_Map'!$D:$D,1,0)</f>
        <v/>
      </c>
      <c r="K1670" s="4562">
        <f>IF(D1670="","",D1670*J1670)</f>
        <v/>
      </c>
      <c r="L1670" s="4562">
        <f>XLOOKUP(B1670,'_Sys|Line_Map'!$A:$A,'_Sys|Line_Map'!$B:$B,"MISSING",0)</f>
        <v/>
      </c>
    </row>
    <row r="1671">
      <c r="A1671" s="4561" t="n"/>
      <c r="B1671" s="4561" t="n"/>
      <c r="C1671" s="4561" t="n"/>
      <c r="D1671" s="4561" t="n"/>
      <c r="E1671" s="4561" t="n"/>
      <c r="F1671" s="4561" t="n"/>
      <c r="G1671" s="4561" t="n"/>
      <c r="H1671" s="4561" t="n"/>
      <c r="I1671" s="4562">
        <f>XLOOKUP(B1671,'_Sys|Line_Map'!$A:$A,'_Sys|Line_Map'!$C:$C,"MISSING",0)</f>
        <v/>
      </c>
      <c r="J1671" s="4562">
        <f>XLOOKUP(B1671,'_Sys|Line_Map'!$A:$A,'_Sys|Line_Map'!$D:$D,1,0)</f>
        <v/>
      </c>
      <c r="K1671" s="4562">
        <f>IF(D1671="","",D1671*J1671)</f>
        <v/>
      </c>
      <c r="L1671" s="4562">
        <f>XLOOKUP(B1671,'_Sys|Line_Map'!$A:$A,'_Sys|Line_Map'!$B:$B,"MISSING",0)</f>
        <v/>
      </c>
    </row>
    <row r="1672">
      <c r="A1672" s="4561" t="n"/>
      <c r="B1672" s="4561" t="n"/>
      <c r="C1672" s="4561" t="n"/>
      <c r="D1672" s="4561" t="n"/>
      <c r="E1672" s="4561" t="n"/>
      <c r="F1672" s="4561" t="n"/>
      <c r="G1672" s="4561" t="n"/>
      <c r="H1672" s="4561" t="n"/>
      <c r="I1672" s="4562">
        <f>XLOOKUP(B1672,'_Sys|Line_Map'!$A:$A,'_Sys|Line_Map'!$C:$C,"MISSING",0)</f>
        <v/>
      </c>
      <c r="J1672" s="4562">
        <f>XLOOKUP(B1672,'_Sys|Line_Map'!$A:$A,'_Sys|Line_Map'!$D:$D,1,0)</f>
        <v/>
      </c>
      <c r="K1672" s="4562">
        <f>IF(D1672="","",D1672*J1672)</f>
        <v/>
      </c>
      <c r="L1672" s="4562">
        <f>XLOOKUP(B1672,'_Sys|Line_Map'!$A:$A,'_Sys|Line_Map'!$B:$B,"MISSING",0)</f>
        <v/>
      </c>
    </row>
    <row r="1673">
      <c r="A1673" s="4561" t="n"/>
      <c r="B1673" s="4561" t="n"/>
      <c r="C1673" s="4561" t="n"/>
      <c r="D1673" s="4561" t="n"/>
      <c r="E1673" s="4561" t="n"/>
      <c r="F1673" s="4561" t="n"/>
      <c r="G1673" s="4561" t="n"/>
      <c r="H1673" s="4561" t="n"/>
      <c r="I1673" s="4562">
        <f>XLOOKUP(B1673,'_Sys|Line_Map'!$A:$A,'_Sys|Line_Map'!$C:$C,"MISSING",0)</f>
        <v/>
      </c>
      <c r="J1673" s="4562">
        <f>XLOOKUP(B1673,'_Sys|Line_Map'!$A:$A,'_Sys|Line_Map'!$D:$D,1,0)</f>
        <v/>
      </c>
      <c r="K1673" s="4562">
        <f>IF(D1673="","",D1673*J1673)</f>
        <v/>
      </c>
      <c r="L1673" s="4562">
        <f>XLOOKUP(B1673,'_Sys|Line_Map'!$A:$A,'_Sys|Line_Map'!$B:$B,"MISSING",0)</f>
        <v/>
      </c>
    </row>
    <row r="1674">
      <c r="A1674" s="4561" t="n"/>
      <c r="B1674" s="4561" t="n"/>
      <c r="C1674" s="4561" t="n"/>
      <c r="D1674" s="4561" t="n"/>
      <c r="E1674" s="4561" t="n"/>
      <c r="F1674" s="4561" t="n"/>
      <c r="G1674" s="4561" t="n"/>
      <c r="H1674" s="4561" t="n"/>
      <c r="I1674" s="4562">
        <f>XLOOKUP(B1674,'_Sys|Line_Map'!$A:$A,'_Sys|Line_Map'!$C:$C,"MISSING",0)</f>
        <v/>
      </c>
      <c r="J1674" s="4562">
        <f>XLOOKUP(B1674,'_Sys|Line_Map'!$A:$A,'_Sys|Line_Map'!$D:$D,1,0)</f>
        <v/>
      </c>
      <c r="K1674" s="4562">
        <f>IF(D1674="","",D1674*J1674)</f>
        <v/>
      </c>
      <c r="L1674" s="4562">
        <f>XLOOKUP(B1674,'_Sys|Line_Map'!$A:$A,'_Sys|Line_Map'!$B:$B,"MISSING",0)</f>
        <v/>
      </c>
    </row>
    <row r="1675">
      <c r="A1675" s="4561" t="n"/>
      <c r="B1675" s="4561" t="n"/>
      <c r="C1675" s="4561" t="n"/>
      <c r="D1675" s="4561" t="n"/>
      <c r="E1675" s="4561" t="n"/>
      <c r="F1675" s="4561" t="n"/>
      <c r="G1675" s="4561" t="n"/>
      <c r="H1675" s="4561" t="n"/>
      <c r="I1675" s="4562">
        <f>XLOOKUP(B1675,'_Sys|Line_Map'!$A:$A,'_Sys|Line_Map'!$C:$C,"MISSING",0)</f>
        <v/>
      </c>
      <c r="J1675" s="4562">
        <f>XLOOKUP(B1675,'_Sys|Line_Map'!$A:$A,'_Sys|Line_Map'!$D:$D,1,0)</f>
        <v/>
      </c>
      <c r="K1675" s="4562">
        <f>IF(D1675="","",D1675*J1675)</f>
        <v/>
      </c>
      <c r="L1675" s="4562">
        <f>XLOOKUP(B1675,'_Sys|Line_Map'!$A:$A,'_Sys|Line_Map'!$B:$B,"MISSING",0)</f>
        <v/>
      </c>
    </row>
    <row r="1676">
      <c r="A1676" s="4561" t="n"/>
      <c r="B1676" s="4561" t="n"/>
      <c r="C1676" s="4561" t="n"/>
      <c r="D1676" s="4561" t="n"/>
      <c r="E1676" s="4561" t="n"/>
      <c r="F1676" s="4561" t="n"/>
      <c r="G1676" s="4561" t="n"/>
      <c r="H1676" s="4561" t="n"/>
      <c r="I1676" s="4562">
        <f>XLOOKUP(B1676,'_Sys|Line_Map'!$A:$A,'_Sys|Line_Map'!$C:$C,"MISSING",0)</f>
        <v/>
      </c>
      <c r="J1676" s="4562">
        <f>XLOOKUP(B1676,'_Sys|Line_Map'!$A:$A,'_Sys|Line_Map'!$D:$D,1,0)</f>
        <v/>
      </c>
      <c r="K1676" s="4562">
        <f>IF(D1676="","",D1676*J1676)</f>
        <v/>
      </c>
      <c r="L1676" s="4562">
        <f>XLOOKUP(B1676,'_Sys|Line_Map'!$A:$A,'_Sys|Line_Map'!$B:$B,"MISSING",0)</f>
        <v/>
      </c>
    </row>
    <row r="1677">
      <c r="A1677" s="4561" t="n"/>
      <c r="B1677" s="4561" t="n"/>
      <c r="C1677" s="4561" t="n"/>
      <c r="D1677" s="4561" t="n"/>
      <c r="E1677" s="4561" t="n"/>
      <c r="F1677" s="4561" t="n"/>
      <c r="G1677" s="4561" t="n"/>
      <c r="H1677" s="4561" t="n"/>
      <c r="I1677" s="4562">
        <f>XLOOKUP(B1677,'_Sys|Line_Map'!$A:$A,'_Sys|Line_Map'!$C:$C,"MISSING",0)</f>
        <v/>
      </c>
      <c r="J1677" s="4562">
        <f>XLOOKUP(B1677,'_Sys|Line_Map'!$A:$A,'_Sys|Line_Map'!$D:$D,1,0)</f>
        <v/>
      </c>
      <c r="K1677" s="4562">
        <f>IF(D1677="","",D1677*J1677)</f>
        <v/>
      </c>
      <c r="L1677" s="4562">
        <f>XLOOKUP(B1677,'_Sys|Line_Map'!$A:$A,'_Sys|Line_Map'!$B:$B,"MISSING",0)</f>
        <v/>
      </c>
    </row>
    <row r="1678">
      <c r="A1678" s="4561" t="n"/>
      <c r="B1678" s="4561" t="n"/>
      <c r="C1678" s="4561" t="n"/>
      <c r="D1678" s="4561" t="n"/>
      <c r="E1678" s="4561" t="n"/>
      <c r="F1678" s="4561" t="n"/>
      <c r="G1678" s="4561" t="n"/>
      <c r="H1678" s="4561" t="n"/>
      <c r="I1678" s="4562">
        <f>XLOOKUP(B1678,'_Sys|Line_Map'!$A:$A,'_Sys|Line_Map'!$C:$C,"MISSING",0)</f>
        <v/>
      </c>
      <c r="J1678" s="4562">
        <f>XLOOKUP(B1678,'_Sys|Line_Map'!$A:$A,'_Sys|Line_Map'!$D:$D,1,0)</f>
        <v/>
      </c>
      <c r="K1678" s="4562">
        <f>IF(D1678="","",D1678*J1678)</f>
        <v/>
      </c>
      <c r="L1678" s="4562">
        <f>XLOOKUP(B1678,'_Sys|Line_Map'!$A:$A,'_Sys|Line_Map'!$B:$B,"MISSING",0)</f>
        <v/>
      </c>
    </row>
    <row r="1679">
      <c r="A1679" s="4561" t="n"/>
      <c r="B1679" s="4561" t="n"/>
      <c r="C1679" s="4561" t="n"/>
      <c r="D1679" s="4561" t="n"/>
      <c r="E1679" s="4561" t="n"/>
      <c r="F1679" s="4561" t="n"/>
      <c r="G1679" s="4561" t="n"/>
      <c r="H1679" s="4561" t="n"/>
      <c r="I1679" s="4562">
        <f>XLOOKUP(B1679,'_Sys|Line_Map'!$A:$A,'_Sys|Line_Map'!$C:$C,"MISSING",0)</f>
        <v/>
      </c>
      <c r="J1679" s="4562">
        <f>XLOOKUP(B1679,'_Sys|Line_Map'!$A:$A,'_Sys|Line_Map'!$D:$D,1,0)</f>
        <v/>
      </c>
      <c r="K1679" s="4562">
        <f>IF(D1679="","",D1679*J1679)</f>
        <v/>
      </c>
      <c r="L1679" s="4562">
        <f>XLOOKUP(B1679,'_Sys|Line_Map'!$A:$A,'_Sys|Line_Map'!$B:$B,"MISSING",0)</f>
        <v/>
      </c>
    </row>
    <row r="1680">
      <c r="A1680" s="4561" t="n"/>
      <c r="B1680" s="4561" t="n"/>
      <c r="C1680" s="4561" t="n"/>
      <c r="D1680" s="4561" t="n"/>
      <c r="E1680" s="4561" t="n"/>
      <c r="F1680" s="4561" t="n"/>
      <c r="G1680" s="4561" t="n"/>
      <c r="H1680" s="4561" t="n"/>
      <c r="I1680" s="4562">
        <f>XLOOKUP(B1680,'_Sys|Line_Map'!$A:$A,'_Sys|Line_Map'!$C:$C,"MISSING",0)</f>
        <v/>
      </c>
      <c r="J1680" s="4562">
        <f>XLOOKUP(B1680,'_Sys|Line_Map'!$A:$A,'_Sys|Line_Map'!$D:$D,1,0)</f>
        <v/>
      </c>
      <c r="K1680" s="4562">
        <f>IF(D1680="","",D1680*J1680)</f>
        <v/>
      </c>
      <c r="L1680" s="4562">
        <f>XLOOKUP(B1680,'_Sys|Line_Map'!$A:$A,'_Sys|Line_Map'!$B:$B,"MISSING",0)</f>
        <v/>
      </c>
    </row>
    <row r="1681">
      <c r="A1681" s="4561" t="n"/>
      <c r="B1681" s="4561" t="n"/>
      <c r="C1681" s="4561" t="n"/>
      <c r="D1681" s="4561" t="n"/>
      <c r="E1681" s="4561" t="n"/>
      <c r="F1681" s="4561" t="n"/>
      <c r="G1681" s="4561" t="n"/>
      <c r="H1681" s="4561" t="n"/>
      <c r="I1681" s="4562">
        <f>XLOOKUP(B1681,'_Sys|Line_Map'!$A:$A,'_Sys|Line_Map'!$C:$C,"MISSING",0)</f>
        <v/>
      </c>
      <c r="J1681" s="4562">
        <f>XLOOKUP(B1681,'_Sys|Line_Map'!$A:$A,'_Sys|Line_Map'!$D:$D,1,0)</f>
        <v/>
      </c>
      <c r="K1681" s="4562">
        <f>IF(D1681="","",D1681*J1681)</f>
        <v/>
      </c>
      <c r="L1681" s="4562">
        <f>XLOOKUP(B1681,'_Sys|Line_Map'!$A:$A,'_Sys|Line_Map'!$B:$B,"MISSING",0)</f>
        <v/>
      </c>
    </row>
    <row r="1682">
      <c r="A1682" s="4561" t="n"/>
      <c r="B1682" s="4561" t="n"/>
      <c r="C1682" s="4561" t="n"/>
      <c r="D1682" s="4561" t="n"/>
      <c r="E1682" s="4561" t="n"/>
      <c r="F1682" s="4561" t="n"/>
      <c r="G1682" s="4561" t="n"/>
      <c r="H1682" s="4561" t="n"/>
      <c r="I1682" s="4562">
        <f>XLOOKUP(B1682,'_Sys|Line_Map'!$A:$A,'_Sys|Line_Map'!$C:$C,"MISSING",0)</f>
        <v/>
      </c>
      <c r="J1682" s="4562">
        <f>XLOOKUP(B1682,'_Sys|Line_Map'!$A:$A,'_Sys|Line_Map'!$D:$D,1,0)</f>
        <v/>
      </c>
      <c r="K1682" s="4562">
        <f>IF(D1682="","",D1682*J1682)</f>
        <v/>
      </c>
      <c r="L1682" s="4562">
        <f>XLOOKUP(B1682,'_Sys|Line_Map'!$A:$A,'_Sys|Line_Map'!$B:$B,"MISSING",0)</f>
        <v/>
      </c>
    </row>
    <row r="1683">
      <c r="A1683" s="4561" t="n"/>
      <c r="B1683" s="4561" t="n"/>
      <c r="C1683" s="4561" t="n"/>
      <c r="D1683" s="4561" t="n"/>
      <c r="E1683" s="4561" t="n"/>
      <c r="F1683" s="4561" t="n"/>
      <c r="G1683" s="4561" t="n"/>
      <c r="H1683" s="4561" t="n"/>
      <c r="I1683" s="4562">
        <f>XLOOKUP(B1683,'_Sys|Line_Map'!$A:$A,'_Sys|Line_Map'!$C:$C,"MISSING",0)</f>
        <v/>
      </c>
      <c r="J1683" s="4562">
        <f>XLOOKUP(B1683,'_Sys|Line_Map'!$A:$A,'_Sys|Line_Map'!$D:$D,1,0)</f>
        <v/>
      </c>
      <c r="K1683" s="4562">
        <f>IF(D1683="","",D1683*J1683)</f>
        <v/>
      </c>
      <c r="L1683" s="4562">
        <f>XLOOKUP(B1683,'_Sys|Line_Map'!$A:$A,'_Sys|Line_Map'!$B:$B,"MISSING",0)</f>
        <v/>
      </c>
    </row>
    <row r="1684">
      <c r="A1684" s="4561" t="n"/>
      <c r="B1684" s="4561" t="n"/>
      <c r="C1684" s="4561" t="n"/>
      <c r="D1684" s="4561" t="n"/>
      <c r="E1684" s="4561" t="n"/>
      <c r="F1684" s="4561" t="n"/>
      <c r="G1684" s="4561" t="n"/>
      <c r="H1684" s="4561" t="n"/>
      <c r="I1684" s="4562">
        <f>XLOOKUP(B1684,'_Sys|Line_Map'!$A:$A,'_Sys|Line_Map'!$C:$C,"MISSING",0)</f>
        <v/>
      </c>
      <c r="J1684" s="4562">
        <f>XLOOKUP(B1684,'_Sys|Line_Map'!$A:$A,'_Sys|Line_Map'!$D:$D,1,0)</f>
        <v/>
      </c>
      <c r="K1684" s="4562">
        <f>IF(D1684="","",D1684*J1684)</f>
        <v/>
      </c>
      <c r="L1684" s="4562">
        <f>XLOOKUP(B1684,'_Sys|Line_Map'!$A:$A,'_Sys|Line_Map'!$B:$B,"MISSING",0)</f>
        <v/>
      </c>
    </row>
    <row r="1685">
      <c r="A1685" s="4561" t="n"/>
      <c r="B1685" s="4561" t="n"/>
      <c r="C1685" s="4561" t="n"/>
      <c r="D1685" s="4561" t="n"/>
      <c r="E1685" s="4561" t="n"/>
      <c r="F1685" s="4561" t="n"/>
      <c r="G1685" s="4561" t="n"/>
      <c r="H1685" s="4561" t="n"/>
      <c r="I1685" s="4562">
        <f>XLOOKUP(B1685,'_Sys|Line_Map'!$A:$A,'_Sys|Line_Map'!$C:$C,"MISSING",0)</f>
        <v/>
      </c>
      <c r="J1685" s="4562">
        <f>XLOOKUP(B1685,'_Sys|Line_Map'!$A:$A,'_Sys|Line_Map'!$D:$D,1,0)</f>
        <v/>
      </c>
      <c r="K1685" s="4562">
        <f>IF(D1685="","",D1685*J1685)</f>
        <v/>
      </c>
      <c r="L1685" s="4562">
        <f>XLOOKUP(B1685,'_Sys|Line_Map'!$A:$A,'_Sys|Line_Map'!$B:$B,"MISSING",0)</f>
        <v/>
      </c>
    </row>
    <row r="1686">
      <c r="A1686" s="4561" t="n"/>
      <c r="B1686" s="4561" t="n"/>
      <c r="C1686" s="4561" t="n"/>
      <c r="D1686" s="4561" t="n"/>
      <c r="E1686" s="4561" t="n"/>
      <c r="F1686" s="4561" t="n"/>
      <c r="G1686" s="4561" t="n"/>
      <c r="H1686" s="4561" t="n"/>
      <c r="I1686" s="4562">
        <f>XLOOKUP(B1686,'_Sys|Line_Map'!$A:$A,'_Sys|Line_Map'!$C:$C,"MISSING",0)</f>
        <v/>
      </c>
      <c r="J1686" s="4562">
        <f>XLOOKUP(B1686,'_Sys|Line_Map'!$A:$A,'_Sys|Line_Map'!$D:$D,1,0)</f>
        <v/>
      </c>
      <c r="K1686" s="4562">
        <f>IF(D1686="","",D1686*J1686)</f>
        <v/>
      </c>
      <c r="L1686" s="4562">
        <f>XLOOKUP(B1686,'_Sys|Line_Map'!$A:$A,'_Sys|Line_Map'!$B:$B,"MISSING",0)</f>
        <v/>
      </c>
    </row>
    <row r="1687">
      <c r="A1687" s="4561" t="n"/>
      <c r="B1687" s="4561" t="n"/>
      <c r="C1687" s="4561" t="n"/>
      <c r="D1687" s="4561" t="n"/>
      <c r="E1687" s="4561" t="n"/>
      <c r="F1687" s="4561" t="n"/>
      <c r="G1687" s="4561" t="n"/>
      <c r="H1687" s="4561" t="n"/>
      <c r="I1687" s="4562">
        <f>XLOOKUP(B1687,'_Sys|Line_Map'!$A:$A,'_Sys|Line_Map'!$C:$C,"MISSING",0)</f>
        <v/>
      </c>
      <c r="J1687" s="4562">
        <f>XLOOKUP(B1687,'_Sys|Line_Map'!$A:$A,'_Sys|Line_Map'!$D:$D,1,0)</f>
        <v/>
      </c>
      <c r="K1687" s="4562">
        <f>IF(D1687="","",D1687*J1687)</f>
        <v/>
      </c>
      <c r="L1687" s="4562">
        <f>XLOOKUP(B1687,'_Sys|Line_Map'!$A:$A,'_Sys|Line_Map'!$B:$B,"MISSING",0)</f>
        <v/>
      </c>
    </row>
    <row r="1688">
      <c r="A1688" s="4561" t="n"/>
      <c r="B1688" s="4561" t="n"/>
      <c r="C1688" s="4561" t="n"/>
      <c r="D1688" s="4561" t="n"/>
      <c r="E1688" s="4561" t="n"/>
      <c r="F1688" s="4561" t="n"/>
      <c r="G1688" s="4561" t="n"/>
      <c r="H1688" s="4561" t="n"/>
      <c r="I1688" s="4562">
        <f>XLOOKUP(B1688,'_Sys|Line_Map'!$A:$A,'_Sys|Line_Map'!$C:$C,"MISSING",0)</f>
        <v/>
      </c>
      <c r="J1688" s="4562">
        <f>XLOOKUP(B1688,'_Sys|Line_Map'!$A:$A,'_Sys|Line_Map'!$D:$D,1,0)</f>
        <v/>
      </c>
      <c r="K1688" s="4562">
        <f>IF(D1688="","",D1688*J1688)</f>
        <v/>
      </c>
      <c r="L1688" s="4562">
        <f>XLOOKUP(B1688,'_Sys|Line_Map'!$A:$A,'_Sys|Line_Map'!$B:$B,"MISSING",0)</f>
        <v/>
      </c>
    </row>
    <row r="1689">
      <c r="A1689" s="4561" t="n"/>
      <c r="B1689" s="4561" t="n"/>
      <c r="C1689" s="4561" t="n"/>
      <c r="D1689" s="4561" t="n"/>
      <c r="E1689" s="4561" t="n"/>
      <c r="F1689" s="4561" t="n"/>
      <c r="G1689" s="4561" t="n"/>
      <c r="H1689" s="4561" t="n"/>
      <c r="I1689" s="4562">
        <f>XLOOKUP(B1689,'_Sys|Line_Map'!$A:$A,'_Sys|Line_Map'!$C:$C,"MISSING",0)</f>
        <v/>
      </c>
      <c r="J1689" s="4562">
        <f>XLOOKUP(B1689,'_Sys|Line_Map'!$A:$A,'_Sys|Line_Map'!$D:$D,1,0)</f>
        <v/>
      </c>
      <c r="K1689" s="4562">
        <f>IF(D1689="","",D1689*J1689)</f>
        <v/>
      </c>
      <c r="L1689" s="4562">
        <f>XLOOKUP(B1689,'_Sys|Line_Map'!$A:$A,'_Sys|Line_Map'!$B:$B,"MISSING",0)</f>
        <v/>
      </c>
    </row>
    <row r="1690">
      <c r="A1690" s="4561" t="n"/>
      <c r="B1690" s="4561" t="n"/>
      <c r="C1690" s="4561" t="n"/>
      <c r="D1690" s="4561" t="n"/>
      <c r="E1690" s="4561" t="n"/>
      <c r="F1690" s="4561" t="n"/>
      <c r="G1690" s="4561" t="n"/>
      <c r="H1690" s="4561" t="n"/>
      <c r="I1690" s="4562">
        <f>XLOOKUP(B1690,'_Sys|Line_Map'!$A:$A,'_Sys|Line_Map'!$C:$C,"MISSING",0)</f>
        <v/>
      </c>
      <c r="J1690" s="4562">
        <f>XLOOKUP(B1690,'_Sys|Line_Map'!$A:$A,'_Sys|Line_Map'!$D:$D,1,0)</f>
        <v/>
      </c>
      <c r="K1690" s="4562">
        <f>IF(D1690="","",D1690*J1690)</f>
        <v/>
      </c>
      <c r="L1690" s="4562">
        <f>XLOOKUP(B1690,'_Sys|Line_Map'!$A:$A,'_Sys|Line_Map'!$B:$B,"MISSING",0)</f>
        <v/>
      </c>
    </row>
    <row r="1691">
      <c r="A1691" s="4561" t="n"/>
      <c r="B1691" s="4561" t="n"/>
      <c r="C1691" s="4561" t="n"/>
      <c r="D1691" s="4561" t="n"/>
      <c r="E1691" s="4561" t="n"/>
      <c r="F1691" s="4561" t="n"/>
      <c r="G1691" s="4561" t="n"/>
      <c r="H1691" s="4561" t="n"/>
      <c r="I1691" s="4562">
        <f>XLOOKUP(B1691,'_Sys|Line_Map'!$A:$A,'_Sys|Line_Map'!$C:$C,"MISSING",0)</f>
        <v/>
      </c>
      <c r="J1691" s="4562">
        <f>XLOOKUP(B1691,'_Sys|Line_Map'!$A:$A,'_Sys|Line_Map'!$D:$D,1,0)</f>
        <v/>
      </c>
      <c r="K1691" s="4562">
        <f>IF(D1691="","",D1691*J1691)</f>
        <v/>
      </c>
      <c r="L1691" s="4562">
        <f>XLOOKUP(B1691,'_Sys|Line_Map'!$A:$A,'_Sys|Line_Map'!$B:$B,"MISSING",0)</f>
        <v/>
      </c>
    </row>
    <row r="1692">
      <c r="A1692" s="4561" t="n"/>
      <c r="B1692" s="4561" t="n"/>
      <c r="C1692" s="4561" t="n"/>
      <c r="D1692" s="4561" t="n"/>
      <c r="E1692" s="4561" t="n"/>
      <c r="F1692" s="4561" t="n"/>
      <c r="G1692" s="4561" t="n"/>
      <c r="H1692" s="4561" t="n"/>
      <c r="I1692" s="4562">
        <f>XLOOKUP(B1692,'_Sys|Line_Map'!$A:$A,'_Sys|Line_Map'!$C:$C,"MISSING",0)</f>
        <v/>
      </c>
      <c r="J1692" s="4562">
        <f>XLOOKUP(B1692,'_Sys|Line_Map'!$A:$A,'_Sys|Line_Map'!$D:$D,1,0)</f>
        <v/>
      </c>
      <c r="K1692" s="4562">
        <f>IF(D1692="","",D1692*J1692)</f>
        <v/>
      </c>
      <c r="L1692" s="4562">
        <f>XLOOKUP(B1692,'_Sys|Line_Map'!$A:$A,'_Sys|Line_Map'!$B:$B,"MISSING",0)</f>
        <v/>
      </c>
    </row>
    <row r="1693">
      <c r="A1693" s="4561" t="n"/>
      <c r="B1693" s="4561" t="n"/>
      <c r="C1693" s="4561" t="n"/>
      <c r="D1693" s="4561" t="n"/>
      <c r="E1693" s="4561" t="n"/>
      <c r="F1693" s="4561" t="n"/>
      <c r="G1693" s="4561" t="n"/>
      <c r="H1693" s="4561" t="n"/>
      <c r="I1693" s="4562">
        <f>XLOOKUP(B1693,'_Sys|Line_Map'!$A:$A,'_Sys|Line_Map'!$C:$C,"MISSING",0)</f>
        <v/>
      </c>
      <c r="J1693" s="4562">
        <f>XLOOKUP(B1693,'_Sys|Line_Map'!$A:$A,'_Sys|Line_Map'!$D:$D,1,0)</f>
        <v/>
      </c>
      <c r="K1693" s="4562">
        <f>IF(D1693="","",D1693*J1693)</f>
        <v/>
      </c>
      <c r="L1693" s="4562">
        <f>XLOOKUP(B1693,'_Sys|Line_Map'!$A:$A,'_Sys|Line_Map'!$B:$B,"MISSING",0)</f>
        <v/>
      </c>
    </row>
    <row r="1694">
      <c r="A1694" s="4561" t="n"/>
      <c r="B1694" s="4561" t="n"/>
      <c r="C1694" s="4561" t="n"/>
      <c r="D1694" s="4561" t="n"/>
      <c r="E1694" s="4561" t="n"/>
      <c r="F1694" s="4561" t="n"/>
      <c r="G1694" s="4561" t="n"/>
      <c r="H1694" s="4561" t="n"/>
      <c r="I1694" s="4562">
        <f>XLOOKUP(B1694,'_Sys|Line_Map'!$A:$A,'_Sys|Line_Map'!$C:$C,"MISSING",0)</f>
        <v/>
      </c>
      <c r="J1694" s="4562">
        <f>XLOOKUP(B1694,'_Sys|Line_Map'!$A:$A,'_Sys|Line_Map'!$D:$D,1,0)</f>
        <v/>
      </c>
      <c r="K1694" s="4562">
        <f>IF(D1694="","",D1694*J1694)</f>
        <v/>
      </c>
      <c r="L1694" s="4562">
        <f>XLOOKUP(B1694,'_Sys|Line_Map'!$A:$A,'_Sys|Line_Map'!$B:$B,"MISSING",0)</f>
        <v/>
      </c>
    </row>
    <row r="1695">
      <c r="A1695" s="4561" t="n"/>
      <c r="B1695" s="4561" t="n"/>
      <c r="C1695" s="4561" t="n"/>
      <c r="D1695" s="4561" t="n"/>
      <c r="E1695" s="4561" t="n"/>
      <c r="F1695" s="4561" t="n"/>
      <c r="G1695" s="4561" t="n"/>
      <c r="H1695" s="4561" t="n"/>
      <c r="I1695" s="4562">
        <f>XLOOKUP(B1695,'_Sys|Line_Map'!$A:$A,'_Sys|Line_Map'!$C:$C,"MISSING",0)</f>
        <v/>
      </c>
      <c r="J1695" s="4562">
        <f>XLOOKUP(B1695,'_Sys|Line_Map'!$A:$A,'_Sys|Line_Map'!$D:$D,1,0)</f>
        <v/>
      </c>
      <c r="K1695" s="4562">
        <f>IF(D1695="","",D1695*J1695)</f>
        <v/>
      </c>
      <c r="L1695" s="4562">
        <f>XLOOKUP(B1695,'_Sys|Line_Map'!$A:$A,'_Sys|Line_Map'!$B:$B,"MISSING",0)</f>
        <v/>
      </c>
    </row>
    <row r="1696">
      <c r="A1696" s="4561" t="n"/>
      <c r="B1696" s="4561" t="n"/>
      <c r="C1696" s="4561" t="n"/>
      <c r="D1696" s="4561" t="n"/>
      <c r="E1696" s="4561" t="n"/>
      <c r="F1696" s="4561" t="n"/>
      <c r="G1696" s="4561" t="n"/>
      <c r="H1696" s="4561" t="n"/>
      <c r="I1696" s="4562">
        <f>XLOOKUP(B1696,'_Sys|Line_Map'!$A:$A,'_Sys|Line_Map'!$C:$C,"MISSING",0)</f>
        <v/>
      </c>
      <c r="J1696" s="4562">
        <f>XLOOKUP(B1696,'_Sys|Line_Map'!$A:$A,'_Sys|Line_Map'!$D:$D,1,0)</f>
        <v/>
      </c>
      <c r="K1696" s="4562">
        <f>IF(D1696="","",D1696*J1696)</f>
        <v/>
      </c>
      <c r="L1696" s="4562">
        <f>XLOOKUP(B1696,'_Sys|Line_Map'!$A:$A,'_Sys|Line_Map'!$B:$B,"MISSING",0)</f>
        <v/>
      </c>
    </row>
    <row r="1697">
      <c r="A1697" s="4561" t="n"/>
      <c r="B1697" s="4561" t="n"/>
      <c r="C1697" s="4561" t="n"/>
      <c r="D1697" s="4561" t="n"/>
      <c r="E1697" s="4561" t="n"/>
      <c r="F1697" s="4561" t="n"/>
      <c r="G1697" s="4561" t="n"/>
      <c r="H1697" s="4561" t="n"/>
      <c r="I1697" s="4562">
        <f>XLOOKUP(B1697,'_Sys|Line_Map'!$A:$A,'_Sys|Line_Map'!$C:$C,"MISSING",0)</f>
        <v/>
      </c>
      <c r="J1697" s="4562">
        <f>XLOOKUP(B1697,'_Sys|Line_Map'!$A:$A,'_Sys|Line_Map'!$D:$D,1,0)</f>
        <v/>
      </c>
      <c r="K1697" s="4562">
        <f>IF(D1697="","",D1697*J1697)</f>
        <v/>
      </c>
      <c r="L1697" s="4562">
        <f>XLOOKUP(B1697,'_Sys|Line_Map'!$A:$A,'_Sys|Line_Map'!$B:$B,"MISSING",0)</f>
        <v/>
      </c>
    </row>
    <row r="1698">
      <c r="A1698" s="4561" t="n"/>
      <c r="B1698" s="4561" t="n"/>
      <c r="C1698" s="4561" t="n"/>
      <c r="D1698" s="4561" t="n"/>
      <c r="E1698" s="4561" t="n"/>
      <c r="F1698" s="4561" t="n"/>
      <c r="G1698" s="4561" t="n"/>
      <c r="H1698" s="4561" t="n"/>
      <c r="I1698" s="4562">
        <f>XLOOKUP(B1698,'_Sys|Line_Map'!$A:$A,'_Sys|Line_Map'!$C:$C,"MISSING",0)</f>
        <v/>
      </c>
      <c r="J1698" s="4562">
        <f>XLOOKUP(B1698,'_Sys|Line_Map'!$A:$A,'_Sys|Line_Map'!$D:$D,1,0)</f>
        <v/>
      </c>
      <c r="K1698" s="4562">
        <f>IF(D1698="","",D1698*J1698)</f>
        <v/>
      </c>
      <c r="L1698" s="4562">
        <f>XLOOKUP(B1698,'_Sys|Line_Map'!$A:$A,'_Sys|Line_Map'!$B:$B,"MISSING",0)</f>
        <v/>
      </c>
    </row>
    <row r="1699">
      <c r="A1699" s="4561" t="n"/>
      <c r="B1699" s="4561" t="n"/>
      <c r="C1699" s="4561" t="n"/>
      <c r="D1699" s="4561" t="n"/>
      <c r="E1699" s="4561" t="n"/>
      <c r="F1699" s="4561" t="n"/>
      <c r="G1699" s="4561" t="n"/>
      <c r="H1699" s="4561" t="n"/>
      <c r="I1699" s="4562">
        <f>XLOOKUP(B1699,'_Sys|Line_Map'!$A:$A,'_Sys|Line_Map'!$C:$C,"MISSING",0)</f>
        <v/>
      </c>
      <c r="J1699" s="4562">
        <f>XLOOKUP(B1699,'_Sys|Line_Map'!$A:$A,'_Sys|Line_Map'!$D:$D,1,0)</f>
        <v/>
      </c>
      <c r="K1699" s="4562">
        <f>IF(D1699="","",D1699*J1699)</f>
        <v/>
      </c>
      <c r="L1699" s="4562">
        <f>XLOOKUP(B1699,'_Sys|Line_Map'!$A:$A,'_Sys|Line_Map'!$B:$B,"MISSING",0)</f>
        <v/>
      </c>
    </row>
    <row r="1700">
      <c r="A1700" s="4561" t="n"/>
      <c r="B1700" s="4561" t="n"/>
      <c r="C1700" s="4561" t="n"/>
      <c r="D1700" s="4561" t="n"/>
      <c r="E1700" s="4561" t="n"/>
      <c r="F1700" s="4561" t="n"/>
      <c r="G1700" s="4561" t="n"/>
      <c r="H1700" s="4561" t="n"/>
      <c r="I1700" s="4562">
        <f>XLOOKUP(B1700,'_Sys|Line_Map'!$A:$A,'_Sys|Line_Map'!$C:$C,"MISSING",0)</f>
        <v/>
      </c>
      <c r="J1700" s="4562">
        <f>XLOOKUP(B1700,'_Sys|Line_Map'!$A:$A,'_Sys|Line_Map'!$D:$D,1,0)</f>
        <v/>
      </c>
      <c r="K1700" s="4562">
        <f>IF(D1700="","",D1700*J1700)</f>
        <v/>
      </c>
      <c r="L1700" s="4562">
        <f>XLOOKUP(B1700,'_Sys|Line_Map'!$A:$A,'_Sys|Line_Map'!$B:$B,"MISSING",0)</f>
        <v/>
      </c>
    </row>
    <row r="1701">
      <c r="A1701" s="4561" t="n"/>
      <c r="B1701" s="4561" t="n"/>
      <c r="C1701" s="4561" t="n"/>
      <c r="D1701" s="4561" t="n"/>
      <c r="E1701" s="4561" t="n"/>
      <c r="F1701" s="4561" t="n"/>
      <c r="G1701" s="4561" t="n"/>
      <c r="H1701" s="4561" t="n"/>
      <c r="I1701" s="4562">
        <f>XLOOKUP(B1701,'_Sys|Line_Map'!$A:$A,'_Sys|Line_Map'!$C:$C,"MISSING",0)</f>
        <v/>
      </c>
      <c r="J1701" s="4562">
        <f>XLOOKUP(B1701,'_Sys|Line_Map'!$A:$A,'_Sys|Line_Map'!$D:$D,1,0)</f>
        <v/>
      </c>
      <c r="K1701" s="4562">
        <f>IF(D1701="","",D1701*J1701)</f>
        <v/>
      </c>
      <c r="L1701" s="4562">
        <f>XLOOKUP(B1701,'_Sys|Line_Map'!$A:$A,'_Sys|Line_Map'!$B:$B,"MISSING",0)</f>
        <v/>
      </c>
    </row>
    <row r="1702">
      <c r="A1702" s="4561" t="n"/>
      <c r="B1702" s="4561" t="n"/>
      <c r="C1702" s="4561" t="n"/>
      <c r="D1702" s="4561" t="n"/>
      <c r="E1702" s="4561" t="n"/>
      <c r="F1702" s="4561" t="n"/>
      <c r="G1702" s="4561" t="n"/>
      <c r="H1702" s="4561" t="n"/>
      <c r="I1702" s="4562">
        <f>XLOOKUP(B1702,'_Sys|Line_Map'!$A:$A,'_Sys|Line_Map'!$C:$C,"MISSING",0)</f>
        <v/>
      </c>
      <c r="J1702" s="4562">
        <f>XLOOKUP(B1702,'_Sys|Line_Map'!$A:$A,'_Sys|Line_Map'!$D:$D,1,0)</f>
        <v/>
      </c>
      <c r="K1702" s="4562">
        <f>IF(D1702="","",D1702*J1702)</f>
        <v/>
      </c>
      <c r="L1702" s="4562">
        <f>XLOOKUP(B1702,'_Sys|Line_Map'!$A:$A,'_Sys|Line_Map'!$B:$B,"MISSING",0)</f>
        <v/>
      </c>
    </row>
    <row r="1703">
      <c r="A1703" s="4561" t="n"/>
      <c r="B1703" s="4561" t="n"/>
      <c r="C1703" s="4561" t="n"/>
      <c r="D1703" s="4561" t="n"/>
      <c r="E1703" s="4561" t="n"/>
      <c r="F1703" s="4561" t="n"/>
      <c r="G1703" s="4561" t="n"/>
      <c r="H1703" s="4561" t="n"/>
      <c r="I1703" s="4562">
        <f>XLOOKUP(B1703,'_Sys|Line_Map'!$A:$A,'_Sys|Line_Map'!$C:$C,"MISSING",0)</f>
        <v/>
      </c>
      <c r="J1703" s="4562">
        <f>XLOOKUP(B1703,'_Sys|Line_Map'!$A:$A,'_Sys|Line_Map'!$D:$D,1,0)</f>
        <v/>
      </c>
      <c r="K1703" s="4562">
        <f>IF(D1703="","",D1703*J1703)</f>
        <v/>
      </c>
      <c r="L1703" s="4562">
        <f>XLOOKUP(B1703,'_Sys|Line_Map'!$A:$A,'_Sys|Line_Map'!$B:$B,"MISSING",0)</f>
        <v/>
      </c>
    </row>
    <row r="1704">
      <c r="A1704" s="4561" t="n"/>
      <c r="B1704" s="4561" t="n"/>
      <c r="C1704" s="4561" t="n"/>
      <c r="D1704" s="4561" t="n"/>
      <c r="E1704" s="4561" t="n"/>
      <c r="F1704" s="4561" t="n"/>
      <c r="G1704" s="4561" t="n"/>
      <c r="H1704" s="4561" t="n"/>
      <c r="I1704" s="4562">
        <f>XLOOKUP(B1704,'_Sys|Line_Map'!$A:$A,'_Sys|Line_Map'!$C:$C,"MISSING",0)</f>
        <v/>
      </c>
      <c r="J1704" s="4562">
        <f>XLOOKUP(B1704,'_Sys|Line_Map'!$A:$A,'_Sys|Line_Map'!$D:$D,1,0)</f>
        <v/>
      </c>
      <c r="K1704" s="4562">
        <f>IF(D1704="","",D1704*J1704)</f>
        <v/>
      </c>
      <c r="L1704" s="4562">
        <f>XLOOKUP(B1704,'_Sys|Line_Map'!$A:$A,'_Sys|Line_Map'!$B:$B,"MISSING",0)</f>
        <v/>
      </c>
    </row>
    <row r="1705">
      <c r="A1705" s="4561" t="n"/>
      <c r="B1705" s="4561" t="n"/>
      <c r="C1705" s="4561" t="n"/>
      <c r="D1705" s="4561" t="n"/>
      <c r="E1705" s="4561" t="n"/>
      <c r="F1705" s="4561" t="n"/>
      <c r="G1705" s="4561" t="n"/>
      <c r="H1705" s="4561" t="n"/>
      <c r="I1705" s="4562">
        <f>XLOOKUP(B1705,'_Sys|Line_Map'!$A:$A,'_Sys|Line_Map'!$C:$C,"MISSING",0)</f>
        <v/>
      </c>
      <c r="J1705" s="4562">
        <f>XLOOKUP(B1705,'_Sys|Line_Map'!$A:$A,'_Sys|Line_Map'!$D:$D,1,0)</f>
        <v/>
      </c>
      <c r="K1705" s="4562">
        <f>IF(D1705="","",D1705*J1705)</f>
        <v/>
      </c>
      <c r="L1705" s="4562">
        <f>XLOOKUP(B1705,'_Sys|Line_Map'!$A:$A,'_Sys|Line_Map'!$B:$B,"MISSING",0)</f>
        <v/>
      </c>
    </row>
    <row r="1706">
      <c r="A1706" s="4561" t="n"/>
      <c r="B1706" s="4561" t="n"/>
      <c r="C1706" s="4561" t="n"/>
      <c r="D1706" s="4561" t="n"/>
      <c r="E1706" s="4561" t="n"/>
      <c r="F1706" s="4561" t="n"/>
      <c r="G1706" s="4561" t="n"/>
      <c r="H1706" s="4561" t="n"/>
      <c r="I1706" s="4562">
        <f>XLOOKUP(B1706,'_Sys|Line_Map'!$A:$A,'_Sys|Line_Map'!$C:$C,"MISSING",0)</f>
        <v/>
      </c>
      <c r="J1706" s="4562">
        <f>XLOOKUP(B1706,'_Sys|Line_Map'!$A:$A,'_Sys|Line_Map'!$D:$D,1,0)</f>
        <v/>
      </c>
      <c r="K1706" s="4562">
        <f>IF(D1706="","",D1706*J1706)</f>
        <v/>
      </c>
      <c r="L1706" s="4562">
        <f>XLOOKUP(B1706,'_Sys|Line_Map'!$A:$A,'_Sys|Line_Map'!$B:$B,"MISSING",0)</f>
        <v/>
      </c>
    </row>
    <row r="1707">
      <c r="A1707" s="4561" t="n"/>
      <c r="B1707" s="4561" t="n"/>
      <c r="C1707" s="4561" t="n"/>
      <c r="D1707" s="4561" t="n"/>
      <c r="E1707" s="4561" t="n"/>
      <c r="F1707" s="4561" t="n"/>
      <c r="G1707" s="4561" t="n"/>
      <c r="H1707" s="4561" t="n"/>
      <c r="I1707" s="4562">
        <f>XLOOKUP(B1707,'_Sys|Line_Map'!$A:$A,'_Sys|Line_Map'!$C:$C,"MISSING",0)</f>
        <v/>
      </c>
      <c r="J1707" s="4562">
        <f>XLOOKUP(B1707,'_Sys|Line_Map'!$A:$A,'_Sys|Line_Map'!$D:$D,1,0)</f>
        <v/>
      </c>
      <c r="K1707" s="4562">
        <f>IF(D1707="","",D1707*J1707)</f>
        <v/>
      </c>
      <c r="L1707" s="4562">
        <f>XLOOKUP(B1707,'_Sys|Line_Map'!$A:$A,'_Sys|Line_Map'!$B:$B,"MISSING",0)</f>
        <v/>
      </c>
    </row>
    <row r="1708">
      <c r="A1708" s="4561" t="n"/>
      <c r="B1708" s="4561" t="n"/>
      <c r="C1708" s="4561" t="n"/>
      <c r="D1708" s="4561" t="n"/>
      <c r="E1708" s="4561" t="n"/>
      <c r="F1708" s="4561" t="n"/>
      <c r="G1708" s="4561" t="n"/>
      <c r="H1708" s="4561" t="n"/>
      <c r="I1708" s="4562">
        <f>XLOOKUP(B1708,'_Sys|Line_Map'!$A:$A,'_Sys|Line_Map'!$C:$C,"MISSING",0)</f>
        <v/>
      </c>
      <c r="J1708" s="4562">
        <f>XLOOKUP(B1708,'_Sys|Line_Map'!$A:$A,'_Sys|Line_Map'!$D:$D,1,0)</f>
        <v/>
      </c>
      <c r="K1708" s="4562">
        <f>IF(D1708="","",D1708*J1708)</f>
        <v/>
      </c>
      <c r="L1708" s="4562">
        <f>XLOOKUP(B1708,'_Sys|Line_Map'!$A:$A,'_Sys|Line_Map'!$B:$B,"MISSING",0)</f>
        <v/>
      </c>
    </row>
    <row r="1709">
      <c r="A1709" s="4561" t="n"/>
      <c r="B1709" s="4561" t="n"/>
      <c r="C1709" s="4561" t="n"/>
      <c r="D1709" s="4561" t="n"/>
      <c r="E1709" s="4561" t="n"/>
      <c r="F1709" s="4561" t="n"/>
      <c r="G1709" s="4561" t="n"/>
      <c r="H1709" s="4561" t="n"/>
      <c r="I1709" s="4562">
        <f>XLOOKUP(B1709,'_Sys|Line_Map'!$A:$A,'_Sys|Line_Map'!$C:$C,"MISSING",0)</f>
        <v/>
      </c>
      <c r="J1709" s="4562">
        <f>XLOOKUP(B1709,'_Sys|Line_Map'!$A:$A,'_Sys|Line_Map'!$D:$D,1,0)</f>
        <v/>
      </c>
      <c r="K1709" s="4562">
        <f>IF(D1709="","",D1709*J1709)</f>
        <v/>
      </c>
      <c r="L1709" s="4562">
        <f>XLOOKUP(B1709,'_Sys|Line_Map'!$A:$A,'_Sys|Line_Map'!$B:$B,"MISSING",0)</f>
        <v/>
      </c>
    </row>
    <row r="1710">
      <c r="A1710" s="4561" t="n"/>
      <c r="B1710" s="4561" t="n"/>
      <c r="C1710" s="4561" t="n"/>
      <c r="D1710" s="4561" t="n"/>
      <c r="E1710" s="4561" t="n"/>
      <c r="F1710" s="4561" t="n"/>
      <c r="G1710" s="4561" t="n"/>
      <c r="H1710" s="4561" t="n"/>
      <c r="I1710" s="4562">
        <f>XLOOKUP(B1710,'_Sys|Line_Map'!$A:$A,'_Sys|Line_Map'!$C:$C,"MISSING",0)</f>
        <v/>
      </c>
      <c r="J1710" s="4562">
        <f>XLOOKUP(B1710,'_Sys|Line_Map'!$A:$A,'_Sys|Line_Map'!$D:$D,1,0)</f>
        <v/>
      </c>
      <c r="K1710" s="4562">
        <f>IF(D1710="","",D1710*J1710)</f>
        <v/>
      </c>
      <c r="L1710" s="4562">
        <f>XLOOKUP(B1710,'_Sys|Line_Map'!$A:$A,'_Sys|Line_Map'!$B:$B,"MISSING",0)</f>
        <v/>
      </c>
    </row>
    <row r="1711">
      <c r="A1711" s="4561" t="n"/>
      <c r="B1711" s="4561" t="n"/>
      <c r="C1711" s="4561" t="n"/>
      <c r="D1711" s="4561" t="n"/>
      <c r="E1711" s="4561" t="n"/>
      <c r="F1711" s="4561" t="n"/>
      <c r="G1711" s="4561" t="n"/>
      <c r="H1711" s="4561" t="n"/>
      <c r="I1711" s="4562">
        <f>XLOOKUP(B1711,'_Sys|Line_Map'!$A:$A,'_Sys|Line_Map'!$C:$C,"MISSING",0)</f>
        <v/>
      </c>
      <c r="J1711" s="4562">
        <f>XLOOKUP(B1711,'_Sys|Line_Map'!$A:$A,'_Sys|Line_Map'!$D:$D,1,0)</f>
        <v/>
      </c>
      <c r="K1711" s="4562">
        <f>IF(D1711="","",D1711*J1711)</f>
        <v/>
      </c>
      <c r="L1711" s="4562">
        <f>XLOOKUP(B1711,'_Sys|Line_Map'!$A:$A,'_Sys|Line_Map'!$B:$B,"MISSING",0)</f>
        <v/>
      </c>
    </row>
    <row r="1712">
      <c r="A1712" s="4561" t="n"/>
      <c r="B1712" s="4561" t="n"/>
      <c r="C1712" s="4561" t="n"/>
      <c r="D1712" s="4561" t="n"/>
      <c r="E1712" s="4561" t="n"/>
      <c r="F1712" s="4561" t="n"/>
      <c r="G1712" s="4561" t="n"/>
      <c r="H1712" s="4561" t="n"/>
      <c r="I1712" s="4562">
        <f>XLOOKUP(B1712,'_Sys|Line_Map'!$A:$A,'_Sys|Line_Map'!$C:$C,"MISSING",0)</f>
        <v/>
      </c>
      <c r="J1712" s="4562">
        <f>XLOOKUP(B1712,'_Sys|Line_Map'!$A:$A,'_Sys|Line_Map'!$D:$D,1,0)</f>
        <v/>
      </c>
      <c r="K1712" s="4562">
        <f>IF(D1712="","",D1712*J1712)</f>
        <v/>
      </c>
      <c r="L1712" s="4562">
        <f>XLOOKUP(B1712,'_Sys|Line_Map'!$A:$A,'_Sys|Line_Map'!$B:$B,"MISSING",0)</f>
        <v/>
      </c>
    </row>
    <row r="1713">
      <c r="A1713" s="4561" t="n"/>
      <c r="B1713" s="4561" t="n"/>
      <c r="C1713" s="4561" t="n"/>
      <c r="D1713" s="4561" t="n"/>
      <c r="E1713" s="4561" t="n"/>
      <c r="F1713" s="4561" t="n"/>
      <c r="G1713" s="4561" t="n"/>
      <c r="H1713" s="4561" t="n"/>
      <c r="I1713" s="4562">
        <f>XLOOKUP(B1713,'_Sys|Line_Map'!$A:$A,'_Sys|Line_Map'!$C:$C,"MISSING",0)</f>
        <v/>
      </c>
      <c r="J1713" s="4562">
        <f>XLOOKUP(B1713,'_Sys|Line_Map'!$A:$A,'_Sys|Line_Map'!$D:$D,1,0)</f>
        <v/>
      </c>
      <c r="K1713" s="4562">
        <f>IF(D1713="","",D1713*J1713)</f>
        <v/>
      </c>
      <c r="L1713" s="4562">
        <f>XLOOKUP(B1713,'_Sys|Line_Map'!$A:$A,'_Sys|Line_Map'!$B:$B,"MISSING",0)</f>
        <v/>
      </c>
    </row>
    <row r="1714">
      <c r="A1714" s="4561" t="n"/>
      <c r="B1714" s="4561" t="n"/>
      <c r="C1714" s="4561" t="n"/>
      <c r="D1714" s="4561" t="n"/>
      <c r="E1714" s="4561" t="n"/>
      <c r="F1714" s="4561" t="n"/>
      <c r="G1714" s="4561" t="n"/>
      <c r="H1714" s="4561" t="n"/>
      <c r="I1714" s="4562">
        <f>XLOOKUP(B1714,'_Sys|Line_Map'!$A:$A,'_Sys|Line_Map'!$C:$C,"MISSING",0)</f>
        <v/>
      </c>
      <c r="J1714" s="4562">
        <f>XLOOKUP(B1714,'_Sys|Line_Map'!$A:$A,'_Sys|Line_Map'!$D:$D,1,0)</f>
        <v/>
      </c>
      <c r="K1714" s="4562">
        <f>IF(D1714="","",D1714*J1714)</f>
        <v/>
      </c>
      <c r="L1714" s="4562">
        <f>XLOOKUP(B1714,'_Sys|Line_Map'!$A:$A,'_Sys|Line_Map'!$B:$B,"MISSING",0)</f>
        <v/>
      </c>
    </row>
    <row r="1715">
      <c r="A1715" s="4561" t="n"/>
      <c r="B1715" s="4561" t="n"/>
      <c r="C1715" s="4561" t="n"/>
      <c r="D1715" s="4561" t="n"/>
      <c r="E1715" s="4561" t="n"/>
      <c r="F1715" s="4561" t="n"/>
      <c r="G1715" s="4561" t="n"/>
      <c r="H1715" s="4561" t="n"/>
      <c r="I1715" s="4562">
        <f>XLOOKUP(B1715,'_Sys|Line_Map'!$A:$A,'_Sys|Line_Map'!$C:$C,"MISSING",0)</f>
        <v/>
      </c>
      <c r="J1715" s="4562">
        <f>XLOOKUP(B1715,'_Sys|Line_Map'!$A:$A,'_Sys|Line_Map'!$D:$D,1,0)</f>
        <v/>
      </c>
      <c r="K1715" s="4562">
        <f>IF(D1715="","",D1715*J1715)</f>
        <v/>
      </c>
      <c r="L1715" s="4562">
        <f>XLOOKUP(B1715,'_Sys|Line_Map'!$A:$A,'_Sys|Line_Map'!$B:$B,"MISSING",0)</f>
        <v/>
      </c>
    </row>
    <row r="1716">
      <c r="A1716" s="4561" t="n"/>
      <c r="B1716" s="4561" t="n"/>
      <c r="C1716" s="4561" t="n"/>
      <c r="D1716" s="4561" t="n"/>
      <c r="E1716" s="4561" t="n"/>
      <c r="F1716" s="4561" t="n"/>
      <c r="G1716" s="4561" t="n"/>
      <c r="H1716" s="4561" t="n"/>
      <c r="I1716" s="4562">
        <f>XLOOKUP(B1716,'_Sys|Line_Map'!$A:$A,'_Sys|Line_Map'!$C:$C,"MISSING",0)</f>
        <v/>
      </c>
      <c r="J1716" s="4562">
        <f>XLOOKUP(B1716,'_Sys|Line_Map'!$A:$A,'_Sys|Line_Map'!$D:$D,1,0)</f>
        <v/>
      </c>
      <c r="K1716" s="4562">
        <f>IF(D1716="","",D1716*J1716)</f>
        <v/>
      </c>
      <c r="L1716" s="4562">
        <f>XLOOKUP(B1716,'_Sys|Line_Map'!$A:$A,'_Sys|Line_Map'!$B:$B,"MISSING",0)</f>
        <v/>
      </c>
    </row>
    <row r="1717">
      <c r="A1717" s="4561" t="n"/>
      <c r="B1717" s="4561" t="n"/>
      <c r="C1717" s="4561" t="n"/>
      <c r="D1717" s="4561" t="n"/>
      <c r="E1717" s="4561" t="n"/>
      <c r="F1717" s="4561" t="n"/>
      <c r="G1717" s="4561" t="n"/>
      <c r="H1717" s="4561" t="n"/>
      <c r="I1717" s="4562">
        <f>XLOOKUP(B1717,'_Sys|Line_Map'!$A:$A,'_Sys|Line_Map'!$C:$C,"MISSING",0)</f>
        <v/>
      </c>
      <c r="J1717" s="4562">
        <f>XLOOKUP(B1717,'_Sys|Line_Map'!$A:$A,'_Sys|Line_Map'!$D:$D,1,0)</f>
        <v/>
      </c>
      <c r="K1717" s="4562">
        <f>IF(D1717="","",D1717*J1717)</f>
        <v/>
      </c>
      <c r="L1717" s="4562">
        <f>XLOOKUP(B1717,'_Sys|Line_Map'!$A:$A,'_Sys|Line_Map'!$B:$B,"MISSING",0)</f>
        <v/>
      </c>
    </row>
    <row r="1718">
      <c r="A1718" s="4561" t="n"/>
      <c r="B1718" s="4561" t="n"/>
      <c r="C1718" s="4561" t="n"/>
      <c r="D1718" s="4561" t="n"/>
      <c r="E1718" s="4561" t="n"/>
      <c r="F1718" s="4561" t="n"/>
      <c r="G1718" s="4561" t="n"/>
      <c r="H1718" s="4561" t="n"/>
      <c r="I1718" s="4562">
        <f>XLOOKUP(B1718,'_Sys|Line_Map'!$A:$A,'_Sys|Line_Map'!$C:$C,"MISSING",0)</f>
        <v/>
      </c>
      <c r="J1718" s="4562">
        <f>XLOOKUP(B1718,'_Sys|Line_Map'!$A:$A,'_Sys|Line_Map'!$D:$D,1,0)</f>
        <v/>
      </c>
      <c r="K1718" s="4562">
        <f>IF(D1718="","",D1718*J1718)</f>
        <v/>
      </c>
      <c r="L1718" s="4562">
        <f>XLOOKUP(B1718,'_Sys|Line_Map'!$A:$A,'_Sys|Line_Map'!$B:$B,"MISSING",0)</f>
        <v/>
      </c>
    </row>
    <row r="1719">
      <c r="A1719" s="4561" t="n"/>
      <c r="B1719" s="4561" t="n"/>
      <c r="C1719" s="4561" t="n"/>
      <c r="D1719" s="4561" t="n"/>
      <c r="E1719" s="4561" t="n"/>
      <c r="F1719" s="4561" t="n"/>
      <c r="G1719" s="4561" t="n"/>
      <c r="H1719" s="4561" t="n"/>
      <c r="I1719" s="4562">
        <f>XLOOKUP(B1719,'_Sys|Line_Map'!$A:$A,'_Sys|Line_Map'!$C:$C,"MISSING",0)</f>
        <v/>
      </c>
      <c r="J1719" s="4562">
        <f>XLOOKUP(B1719,'_Sys|Line_Map'!$A:$A,'_Sys|Line_Map'!$D:$D,1,0)</f>
        <v/>
      </c>
      <c r="K1719" s="4562">
        <f>IF(D1719="","",D1719*J1719)</f>
        <v/>
      </c>
      <c r="L1719" s="4562">
        <f>XLOOKUP(B1719,'_Sys|Line_Map'!$A:$A,'_Sys|Line_Map'!$B:$B,"MISSING",0)</f>
        <v/>
      </c>
    </row>
    <row r="1720">
      <c r="A1720" s="4561" t="n"/>
      <c r="B1720" s="4561" t="n"/>
      <c r="C1720" s="4561" t="n"/>
      <c r="D1720" s="4561" t="n"/>
      <c r="E1720" s="4561" t="n"/>
      <c r="F1720" s="4561" t="n"/>
      <c r="G1720" s="4561" t="n"/>
      <c r="H1720" s="4561" t="n"/>
      <c r="I1720" s="4562">
        <f>XLOOKUP(B1720,'_Sys|Line_Map'!$A:$A,'_Sys|Line_Map'!$C:$C,"MISSING",0)</f>
        <v/>
      </c>
      <c r="J1720" s="4562">
        <f>XLOOKUP(B1720,'_Sys|Line_Map'!$A:$A,'_Sys|Line_Map'!$D:$D,1,0)</f>
        <v/>
      </c>
      <c r="K1720" s="4562">
        <f>IF(D1720="","",D1720*J1720)</f>
        <v/>
      </c>
      <c r="L1720" s="4562">
        <f>XLOOKUP(B1720,'_Sys|Line_Map'!$A:$A,'_Sys|Line_Map'!$B:$B,"MISSING",0)</f>
        <v/>
      </c>
    </row>
    <row r="1721">
      <c r="A1721" s="4561" t="n"/>
      <c r="B1721" s="4561" t="n"/>
      <c r="C1721" s="4561" t="n"/>
      <c r="D1721" s="4561" t="n"/>
      <c r="E1721" s="4561" t="n"/>
      <c r="F1721" s="4561" t="n"/>
      <c r="G1721" s="4561" t="n"/>
      <c r="H1721" s="4561" t="n"/>
      <c r="I1721" s="4562">
        <f>XLOOKUP(B1721,'_Sys|Line_Map'!$A:$A,'_Sys|Line_Map'!$C:$C,"MISSING",0)</f>
        <v/>
      </c>
      <c r="J1721" s="4562">
        <f>XLOOKUP(B1721,'_Sys|Line_Map'!$A:$A,'_Sys|Line_Map'!$D:$D,1,0)</f>
        <v/>
      </c>
      <c r="K1721" s="4562">
        <f>IF(D1721="","",D1721*J1721)</f>
        <v/>
      </c>
      <c r="L1721" s="4562">
        <f>XLOOKUP(B1721,'_Sys|Line_Map'!$A:$A,'_Sys|Line_Map'!$B:$B,"MISSING",0)</f>
        <v/>
      </c>
    </row>
    <row r="1722">
      <c r="A1722" s="4561" t="n"/>
      <c r="B1722" s="4561" t="n"/>
      <c r="C1722" s="4561" t="n"/>
      <c r="D1722" s="4561" t="n"/>
      <c r="E1722" s="4561" t="n"/>
      <c r="F1722" s="4561" t="n"/>
      <c r="G1722" s="4561" t="n"/>
      <c r="H1722" s="4561" t="n"/>
      <c r="I1722" s="4562">
        <f>XLOOKUP(B1722,'_Sys|Line_Map'!$A:$A,'_Sys|Line_Map'!$C:$C,"MISSING",0)</f>
        <v/>
      </c>
      <c r="J1722" s="4562">
        <f>XLOOKUP(B1722,'_Sys|Line_Map'!$A:$A,'_Sys|Line_Map'!$D:$D,1,0)</f>
        <v/>
      </c>
      <c r="K1722" s="4562">
        <f>IF(D1722="","",D1722*J1722)</f>
        <v/>
      </c>
      <c r="L1722" s="4562">
        <f>XLOOKUP(B1722,'_Sys|Line_Map'!$A:$A,'_Sys|Line_Map'!$B:$B,"MISSING",0)</f>
        <v/>
      </c>
    </row>
    <row r="1723">
      <c r="A1723" s="4561" t="n"/>
      <c r="B1723" s="4561" t="n"/>
      <c r="C1723" s="4561" t="n"/>
      <c r="D1723" s="4561" t="n"/>
      <c r="E1723" s="4561" t="n"/>
      <c r="F1723" s="4561" t="n"/>
      <c r="G1723" s="4561" t="n"/>
      <c r="H1723" s="4561" t="n"/>
      <c r="I1723" s="4562">
        <f>XLOOKUP(B1723,'_Sys|Line_Map'!$A:$A,'_Sys|Line_Map'!$C:$C,"MISSING",0)</f>
        <v/>
      </c>
      <c r="J1723" s="4562">
        <f>XLOOKUP(B1723,'_Sys|Line_Map'!$A:$A,'_Sys|Line_Map'!$D:$D,1,0)</f>
        <v/>
      </c>
      <c r="K1723" s="4562">
        <f>IF(D1723="","",D1723*J1723)</f>
        <v/>
      </c>
      <c r="L1723" s="4562">
        <f>XLOOKUP(B1723,'_Sys|Line_Map'!$A:$A,'_Sys|Line_Map'!$B:$B,"MISSING",0)</f>
        <v/>
      </c>
    </row>
    <row r="1724">
      <c r="A1724" s="4561" t="n"/>
      <c r="B1724" s="4561" t="n"/>
      <c r="C1724" s="4561" t="n"/>
      <c r="D1724" s="4561" t="n"/>
      <c r="E1724" s="4561" t="n"/>
      <c r="F1724" s="4561" t="n"/>
      <c r="G1724" s="4561" t="n"/>
      <c r="H1724" s="4561" t="n"/>
      <c r="I1724" s="4562">
        <f>XLOOKUP(B1724,'_Sys|Line_Map'!$A:$A,'_Sys|Line_Map'!$C:$C,"MISSING",0)</f>
        <v/>
      </c>
      <c r="J1724" s="4562">
        <f>XLOOKUP(B1724,'_Sys|Line_Map'!$A:$A,'_Sys|Line_Map'!$D:$D,1,0)</f>
        <v/>
      </c>
      <c r="K1724" s="4562">
        <f>IF(D1724="","",D1724*J1724)</f>
        <v/>
      </c>
      <c r="L1724" s="4562">
        <f>XLOOKUP(B1724,'_Sys|Line_Map'!$A:$A,'_Sys|Line_Map'!$B:$B,"MISSING",0)</f>
        <v/>
      </c>
    </row>
    <row r="1725">
      <c r="A1725" s="4561" t="n"/>
      <c r="B1725" s="4561" t="n"/>
      <c r="C1725" s="4561" t="n"/>
      <c r="D1725" s="4561" t="n"/>
      <c r="E1725" s="4561" t="n"/>
      <c r="F1725" s="4561" t="n"/>
      <c r="G1725" s="4561" t="n"/>
      <c r="H1725" s="4561" t="n"/>
      <c r="I1725" s="4562">
        <f>XLOOKUP(B1725,'_Sys|Line_Map'!$A:$A,'_Sys|Line_Map'!$C:$C,"MISSING",0)</f>
        <v/>
      </c>
      <c r="J1725" s="4562">
        <f>XLOOKUP(B1725,'_Sys|Line_Map'!$A:$A,'_Sys|Line_Map'!$D:$D,1,0)</f>
        <v/>
      </c>
      <c r="K1725" s="4562">
        <f>IF(D1725="","",D1725*J1725)</f>
        <v/>
      </c>
      <c r="L1725" s="4562">
        <f>XLOOKUP(B1725,'_Sys|Line_Map'!$A:$A,'_Sys|Line_Map'!$B:$B,"MISSING",0)</f>
        <v/>
      </c>
    </row>
    <row r="1726">
      <c r="A1726" s="4561" t="n"/>
      <c r="B1726" s="4561" t="n"/>
      <c r="C1726" s="4561" t="n"/>
      <c r="D1726" s="4561" t="n"/>
      <c r="E1726" s="4561" t="n"/>
      <c r="F1726" s="4561" t="n"/>
      <c r="G1726" s="4561" t="n"/>
      <c r="H1726" s="4561" t="n"/>
      <c r="I1726" s="4562">
        <f>XLOOKUP(B1726,'_Sys|Line_Map'!$A:$A,'_Sys|Line_Map'!$C:$C,"MISSING",0)</f>
        <v/>
      </c>
      <c r="J1726" s="4562">
        <f>XLOOKUP(B1726,'_Sys|Line_Map'!$A:$A,'_Sys|Line_Map'!$D:$D,1,0)</f>
        <v/>
      </c>
      <c r="K1726" s="4562">
        <f>IF(D1726="","",D1726*J1726)</f>
        <v/>
      </c>
      <c r="L1726" s="4562">
        <f>XLOOKUP(B1726,'_Sys|Line_Map'!$A:$A,'_Sys|Line_Map'!$B:$B,"MISSING",0)</f>
        <v/>
      </c>
    </row>
    <row r="1727">
      <c r="A1727" s="4561" t="n"/>
      <c r="B1727" s="4561" t="n"/>
      <c r="C1727" s="4561" t="n"/>
      <c r="D1727" s="4561" t="n"/>
      <c r="E1727" s="4561" t="n"/>
      <c r="F1727" s="4561" t="n"/>
      <c r="G1727" s="4561" t="n"/>
      <c r="H1727" s="4561" t="n"/>
      <c r="I1727" s="4562">
        <f>XLOOKUP(B1727,'_Sys|Line_Map'!$A:$A,'_Sys|Line_Map'!$C:$C,"MISSING",0)</f>
        <v/>
      </c>
      <c r="J1727" s="4562">
        <f>XLOOKUP(B1727,'_Sys|Line_Map'!$A:$A,'_Sys|Line_Map'!$D:$D,1,0)</f>
        <v/>
      </c>
      <c r="K1727" s="4562">
        <f>IF(D1727="","",D1727*J1727)</f>
        <v/>
      </c>
      <c r="L1727" s="4562">
        <f>XLOOKUP(B1727,'_Sys|Line_Map'!$A:$A,'_Sys|Line_Map'!$B:$B,"MISSING",0)</f>
        <v/>
      </c>
    </row>
    <row r="1728">
      <c r="A1728" s="4561" t="n"/>
      <c r="B1728" s="4561" t="n"/>
      <c r="C1728" s="4561" t="n"/>
      <c r="D1728" s="4561" t="n"/>
      <c r="E1728" s="4561" t="n"/>
      <c r="F1728" s="4561" t="n"/>
      <c r="G1728" s="4561" t="n"/>
      <c r="H1728" s="4561" t="n"/>
      <c r="I1728" s="4562">
        <f>XLOOKUP(B1728,'_Sys|Line_Map'!$A:$A,'_Sys|Line_Map'!$C:$C,"MISSING",0)</f>
        <v/>
      </c>
      <c r="J1728" s="4562">
        <f>XLOOKUP(B1728,'_Sys|Line_Map'!$A:$A,'_Sys|Line_Map'!$D:$D,1,0)</f>
        <v/>
      </c>
      <c r="K1728" s="4562">
        <f>IF(D1728="","",D1728*J1728)</f>
        <v/>
      </c>
      <c r="L1728" s="4562">
        <f>XLOOKUP(B1728,'_Sys|Line_Map'!$A:$A,'_Sys|Line_Map'!$B:$B,"MISSING",0)</f>
        <v/>
      </c>
    </row>
    <row r="1729">
      <c r="A1729" s="4561" t="n"/>
      <c r="B1729" s="4561" t="n"/>
      <c r="C1729" s="4561" t="n"/>
      <c r="D1729" s="4561" t="n"/>
      <c r="E1729" s="4561" t="n"/>
      <c r="F1729" s="4561" t="n"/>
      <c r="G1729" s="4561" t="n"/>
      <c r="H1729" s="4561" t="n"/>
      <c r="I1729" s="4562">
        <f>XLOOKUP(B1729,'_Sys|Line_Map'!$A:$A,'_Sys|Line_Map'!$C:$C,"MISSING",0)</f>
        <v/>
      </c>
      <c r="J1729" s="4562">
        <f>XLOOKUP(B1729,'_Sys|Line_Map'!$A:$A,'_Sys|Line_Map'!$D:$D,1,0)</f>
        <v/>
      </c>
      <c r="K1729" s="4562">
        <f>IF(D1729="","",D1729*J1729)</f>
        <v/>
      </c>
      <c r="L1729" s="4562">
        <f>XLOOKUP(B1729,'_Sys|Line_Map'!$A:$A,'_Sys|Line_Map'!$B:$B,"MISSING",0)</f>
        <v/>
      </c>
    </row>
    <row r="1730">
      <c r="A1730" s="4561" t="n"/>
      <c r="B1730" s="4561" t="n"/>
      <c r="C1730" s="4561" t="n"/>
      <c r="D1730" s="4561" t="n"/>
      <c r="E1730" s="4561" t="n"/>
      <c r="F1730" s="4561" t="n"/>
      <c r="G1730" s="4561" t="n"/>
      <c r="H1730" s="4561" t="n"/>
      <c r="I1730" s="4562">
        <f>XLOOKUP(B1730,'_Sys|Line_Map'!$A:$A,'_Sys|Line_Map'!$C:$C,"MISSING",0)</f>
        <v/>
      </c>
      <c r="J1730" s="4562">
        <f>XLOOKUP(B1730,'_Sys|Line_Map'!$A:$A,'_Sys|Line_Map'!$D:$D,1,0)</f>
        <v/>
      </c>
      <c r="K1730" s="4562">
        <f>IF(D1730="","",D1730*J1730)</f>
        <v/>
      </c>
      <c r="L1730" s="4562">
        <f>XLOOKUP(B1730,'_Sys|Line_Map'!$A:$A,'_Sys|Line_Map'!$B:$B,"MISSING",0)</f>
        <v/>
      </c>
    </row>
    <row r="1731">
      <c r="A1731" s="4561" t="n"/>
      <c r="B1731" s="4561" t="n"/>
      <c r="C1731" s="4561" t="n"/>
      <c r="D1731" s="4561" t="n"/>
      <c r="E1731" s="4561" t="n"/>
      <c r="F1731" s="4561" t="n"/>
      <c r="G1731" s="4561" t="n"/>
      <c r="H1731" s="4561" t="n"/>
      <c r="I1731" s="4562">
        <f>XLOOKUP(B1731,'_Sys|Line_Map'!$A:$A,'_Sys|Line_Map'!$C:$C,"MISSING",0)</f>
        <v/>
      </c>
      <c r="J1731" s="4562">
        <f>XLOOKUP(B1731,'_Sys|Line_Map'!$A:$A,'_Sys|Line_Map'!$D:$D,1,0)</f>
        <v/>
      </c>
      <c r="K1731" s="4562">
        <f>IF(D1731="","",D1731*J1731)</f>
        <v/>
      </c>
      <c r="L1731" s="4562">
        <f>XLOOKUP(B1731,'_Sys|Line_Map'!$A:$A,'_Sys|Line_Map'!$B:$B,"MISSING",0)</f>
        <v/>
      </c>
    </row>
    <row r="1732">
      <c r="A1732" s="4561" t="n"/>
      <c r="B1732" s="4561" t="n"/>
      <c r="C1732" s="4561" t="n"/>
      <c r="D1732" s="4561" t="n"/>
      <c r="E1732" s="4561" t="n"/>
      <c r="F1732" s="4561" t="n"/>
      <c r="G1732" s="4561" t="n"/>
      <c r="H1732" s="4561" t="n"/>
      <c r="I1732" s="4562">
        <f>XLOOKUP(B1732,'_Sys|Line_Map'!$A:$A,'_Sys|Line_Map'!$C:$C,"MISSING",0)</f>
        <v/>
      </c>
      <c r="J1732" s="4562">
        <f>XLOOKUP(B1732,'_Sys|Line_Map'!$A:$A,'_Sys|Line_Map'!$D:$D,1,0)</f>
        <v/>
      </c>
      <c r="K1732" s="4562">
        <f>IF(D1732="","",D1732*J1732)</f>
        <v/>
      </c>
      <c r="L1732" s="4562">
        <f>XLOOKUP(B1732,'_Sys|Line_Map'!$A:$A,'_Sys|Line_Map'!$B:$B,"MISSING",0)</f>
        <v/>
      </c>
    </row>
    <row r="1733">
      <c r="A1733" s="4561" t="n"/>
      <c r="B1733" s="4561" t="n"/>
      <c r="C1733" s="4561" t="n"/>
      <c r="D1733" s="4561" t="n"/>
      <c r="E1733" s="4561" t="n"/>
      <c r="F1733" s="4561" t="n"/>
      <c r="G1733" s="4561" t="n"/>
      <c r="H1733" s="4561" t="n"/>
      <c r="I1733" s="4562">
        <f>XLOOKUP(B1733,'_Sys|Line_Map'!$A:$A,'_Sys|Line_Map'!$C:$C,"MISSING",0)</f>
        <v/>
      </c>
      <c r="J1733" s="4562">
        <f>XLOOKUP(B1733,'_Sys|Line_Map'!$A:$A,'_Sys|Line_Map'!$D:$D,1,0)</f>
        <v/>
      </c>
      <c r="K1733" s="4562">
        <f>IF(D1733="","",D1733*J1733)</f>
        <v/>
      </c>
      <c r="L1733" s="4562">
        <f>XLOOKUP(B1733,'_Sys|Line_Map'!$A:$A,'_Sys|Line_Map'!$B:$B,"MISSING",0)</f>
        <v/>
      </c>
    </row>
    <row r="1734">
      <c r="A1734" s="4561" t="n"/>
      <c r="B1734" s="4561" t="n"/>
      <c r="C1734" s="4561" t="n"/>
      <c r="D1734" s="4561" t="n"/>
      <c r="E1734" s="4561" t="n"/>
      <c r="F1734" s="4561" t="n"/>
      <c r="G1734" s="4561" t="n"/>
      <c r="H1734" s="4561" t="n"/>
      <c r="I1734" s="4562">
        <f>XLOOKUP(B1734,'_Sys|Line_Map'!$A:$A,'_Sys|Line_Map'!$C:$C,"MISSING",0)</f>
        <v/>
      </c>
      <c r="J1734" s="4562">
        <f>XLOOKUP(B1734,'_Sys|Line_Map'!$A:$A,'_Sys|Line_Map'!$D:$D,1,0)</f>
        <v/>
      </c>
      <c r="K1734" s="4562">
        <f>IF(D1734="","",D1734*J1734)</f>
        <v/>
      </c>
      <c r="L1734" s="4562">
        <f>XLOOKUP(B1734,'_Sys|Line_Map'!$A:$A,'_Sys|Line_Map'!$B:$B,"MISSING",0)</f>
        <v/>
      </c>
    </row>
    <row r="1735">
      <c r="A1735" s="4561" t="n"/>
      <c r="B1735" s="4561" t="n"/>
      <c r="C1735" s="4561" t="n"/>
      <c r="D1735" s="4561" t="n"/>
      <c r="E1735" s="4561" t="n"/>
      <c r="F1735" s="4561" t="n"/>
      <c r="G1735" s="4561" t="n"/>
      <c r="H1735" s="4561" t="n"/>
      <c r="I1735" s="4562">
        <f>XLOOKUP(B1735,'_Sys|Line_Map'!$A:$A,'_Sys|Line_Map'!$C:$C,"MISSING",0)</f>
        <v/>
      </c>
      <c r="J1735" s="4562">
        <f>XLOOKUP(B1735,'_Sys|Line_Map'!$A:$A,'_Sys|Line_Map'!$D:$D,1,0)</f>
        <v/>
      </c>
      <c r="K1735" s="4562">
        <f>IF(D1735="","",D1735*J1735)</f>
        <v/>
      </c>
      <c r="L1735" s="4562">
        <f>XLOOKUP(B1735,'_Sys|Line_Map'!$A:$A,'_Sys|Line_Map'!$B:$B,"MISSING",0)</f>
        <v/>
      </c>
    </row>
    <row r="1736">
      <c r="A1736" s="4561" t="n"/>
      <c r="B1736" s="4561" t="n"/>
      <c r="C1736" s="4561" t="n"/>
      <c r="D1736" s="4561" t="n"/>
      <c r="E1736" s="4561" t="n"/>
      <c r="F1736" s="4561" t="n"/>
      <c r="G1736" s="4561" t="n"/>
      <c r="H1736" s="4561" t="n"/>
      <c r="I1736" s="4562">
        <f>XLOOKUP(B1736,'_Sys|Line_Map'!$A:$A,'_Sys|Line_Map'!$C:$C,"MISSING",0)</f>
        <v/>
      </c>
      <c r="J1736" s="4562">
        <f>XLOOKUP(B1736,'_Sys|Line_Map'!$A:$A,'_Sys|Line_Map'!$D:$D,1,0)</f>
        <v/>
      </c>
      <c r="K1736" s="4562">
        <f>IF(D1736="","",D1736*J1736)</f>
        <v/>
      </c>
      <c r="L1736" s="4562">
        <f>XLOOKUP(B1736,'_Sys|Line_Map'!$A:$A,'_Sys|Line_Map'!$B:$B,"MISSING",0)</f>
        <v/>
      </c>
    </row>
    <row r="1737">
      <c r="A1737" s="4561" t="n"/>
      <c r="B1737" s="4561" t="n"/>
      <c r="C1737" s="4561" t="n"/>
      <c r="D1737" s="4561" t="n"/>
      <c r="E1737" s="4561" t="n"/>
      <c r="F1737" s="4561" t="n"/>
      <c r="G1737" s="4561" t="n"/>
      <c r="H1737" s="4561" t="n"/>
      <c r="I1737" s="4562">
        <f>XLOOKUP(B1737,'_Sys|Line_Map'!$A:$A,'_Sys|Line_Map'!$C:$C,"MISSING",0)</f>
        <v/>
      </c>
      <c r="J1737" s="4562">
        <f>XLOOKUP(B1737,'_Sys|Line_Map'!$A:$A,'_Sys|Line_Map'!$D:$D,1,0)</f>
        <v/>
      </c>
      <c r="K1737" s="4562">
        <f>IF(D1737="","",D1737*J1737)</f>
        <v/>
      </c>
      <c r="L1737" s="4562">
        <f>XLOOKUP(B1737,'_Sys|Line_Map'!$A:$A,'_Sys|Line_Map'!$B:$B,"MISSING",0)</f>
        <v/>
      </c>
    </row>
    <row r="1738">
      <c r="A1738" s="4561" t="n"/>
      <c r="B1738" s="4561" t="n"/>
      <c r="C1738" s="4561" t="n"/>
      <c r="D1738" s="4561" t="n"/>
      <c r="E1738" s="4561" t="n"/>
      <c r="F1738" s="4561" t="n"/>
      <c r="G1738" s="4561" t="n"/>
      <c r="H1738" s="4561" t="n"/>
      <c r="I1738" s="4562">
        <f>XLOOKUP(B1738,'_Sys|Line_Map'!$A:$A,'_Sys|Line_Map'!$C:$C,"MISSING",0)</f>
        <v/>
      </c>
      <c r="J1738" s="4562">
        <f>XLOOKUP(B1738,'_Sys|Line_Map'!$A:$A,'_Sys|Line_Map'!$D:$D,1,0)</f>
        <v/>
      </c>
      <c r="K1738" s="4562">
        <f>IF(D1738="","",D1738*J1738)</f>
        <v/>
      </c>
      <c r="L1738" s="4562">
        <f>XLOOKUP(B1738,'_Sys|Line_Map'!$A:$A,'_Sys|Line_Map'!$B:$B,"MISSING",0)</f>
        <v/>
      </c>
    </row>
    <row r="1739">
      <c r="A1739" s="4561" t="n"/>
      <c r="B1739" s="4561" t="n"/>
      <c r="C1739" s="4561" t="n"/>
      <c r="D1739" s="4561" t="n"/>
      <c r="E1739" s="4561" t="n"/>
      <c r="F1739" s="4561" t="n"/>
      <c r="G1739" s="4561" t="n"/>
      <c r="H1739" s="4561" t="n"/>
      <c r="I1739" s="4562">
        <f>XLOOKUP(B1739,'_Sys|Line_Map'!$A:$A,'_Sys|Line_Map'!$C:$C,"MISSING",0)</f>
        <v/>
      </c>
      <c r="J1739" s="4562">
        <f>XLOOKUP(B1739,'_Sys|Line_Map'!$A:$A,'_Sys|Line_Map'!$D:$D,1,0)</f>
        <v/>
      </c>
      <c r="K1739" s="4562">
        <f>IF(D1739="","",D1739*J1739)</f>
        <v/>
      </c>
      <c r="L1739" s="4562">
        <f>XLOOKUP(B1739,'_Sys|Line_Map'!$A:$A,'_Sys|Line_Map'!$B:$B,"MISSING",0)</f>
        <v/>
      </c>
    </row>
    <row r="1740">
      <c r="A1740" s="4561" t="n"/>
      <c r="B1740" s="4561" t="n"/>
      <c r="C1740" s="4561" t="n"/>
      <c r="D1740" s="4561" t="n"/>
      <c r="E1740" s="4561" t="n"/>
      <c r="F1740" s="4561" t="n"/>
      <c r="G1740" s="4561" t="n"/>
      <c r="H1740" s="4561" t="n"/>
      <c r="I1740" s="4562">
        <f>XLOOKUP(B1740,'_Sys|Line_Map'!$A:$A,'_Sys|Line_Map'!$C:$C,"MISSING",0)</f>
        <v/>
      </c>
      <c r="J1740" s="4562">
        <f>XLOOKUP(B1740,'_Sys|Line_Map'!$A:$A,'_Sys|Line_Map'!$D:$D,1,0)</f>
        <v/>
      </c>
      <c r="K1740" s="4562">
        <f>IF(D1740="","",D1740*J1740)</f>
        <v/>
      </c>
      <c r="L1740" s="4562">
        <f>XLOOKUP(B1740,'_Sys|Line_Map'!$A:$A,'_Sys|Line_Map'!$B:$B,"MISSING",0)</f>
        <v/>
      </c>
    </row>
    <row r="1741">
      <c r="A1741" s="4561" t="n"/>
      <c r="B1741" s="4561" t="n"/>
      <c r="C1741" s="4561" t="n"/>
      <c r="D1741" s="4561" t="n"/>
      <c r="E1741" s="4561" t="n"/>
      <c r="F1741" s="4561" t="n"/>
      <c r="G1741" s="4561" t="n"/>
      <c r="H1741" s="4561" t="n"/>
      <c r="I1741" s="4562">
        <f>XLOOKUP(B1741,'_Sys|Line_Map'!$A:$A,'_Sys|Line_Map'!$C:$C,"MISSING",0)</f>
        <v/>
      </c>
      <c r="J1741" s="4562">
        <f>XLOOKUP(B1741,'_Sys|Line_Map'!$A:$A,'_Sys|Line_Map'!$D:$D,1,0)</f>
        <v/>
      </c>
      <c r="K1741" s="4562">
        <f>IF(D1741="","",D1741*J1741)</f>
        <v/>
      </c>
      <c r="L1741" s="4562">
        <f>XLOOKUP(B1741,'_Sys|Line_Map'!$A:$A,'_Sys|Line_Map'!$B:$B,"MISSING",0)</f>
        <v/>
      </c>
    </row>
    <row r="1742">
      <c r="A1742" s="4561" t="n"/>
      <c r="B1742" s="4561" t="n"/>
      <c r="C1742" s="4561" t="n"/>
      <c r="D1742" s="4561" t="n"/>
      <c r="E1742" s="4561" t="n"/>
      <c r="F1742" s="4561" t="n"/>
      <c r="G1742" s="4561" t="n"/>
      <c r="H1742" s="4561" t="n"/>
      <c r="I1742" s="4562">
        <f>XLOOKUP(B1742,'_Sys|Line_Map'!$A:$A,'_Sys|Line_Map'!$C:$C,"MISSING",0)</f>
        <v/>
      </c>
      <c r="J1742" s="4562">
        <f>XLOOKUP(B1742,'_Sys|Line_Map'!$A:$A,'_Sys|Line_Map'!$D:$D,1,0)</f>
        <v/>
      </c>
      <c r="K1742" s="4562">
        <f>IF(D1742="","",D1742*J1742)</f>
        <v/>
      </c>
      <c r="L1742" s="4562">
        <f>XLOOKUP(B1742,'_Sys|Line_Map'!$A:$A,'_Sys|Line_Map'!$B:$B,"MISSING",0)</f>
        <v/>
      </c>
    </row>
    <row r="1743">
      <c r="A1743" s="4561" t="n"/>
      <c r="B1743" s="4561" t="n"/>
      <c r="C1743" s="4561" t="n"/>
      <c r="D1743" s="4561" t="n"/>
      <c r="E1743" s="4561" t="n"/>
      <c r="F1743" s="4561" t="n"/>
      <c r="G1743" s="4561" t="n"/>
      <c r="H1743" s="4561" t="n"/>
      <c r="I1743" s="4562">
        <f>XLOOKUP(B1743,'_Sys|Line_Map'!$A:$A,'_Sys|Line_Map'!$C:$C,"MISSING",0)</f>
        <v/>
      </c>
      <c r="J1743" s="4562">
        <f>XLOOKUP(B1743,'_Sys|Line_Map'!$A:$A,'_Sys|Line_Map'!$D:$D,1,0)</f>
        <v/>
      </c>
      <c r="K1743" s="4562">
        <f>IF(D1743="","",D1743*J1743)</f>
        <v/>
      </c>
      <c r="L1743" s="4562">
        <f>XLOOKUP(B1743,'_Sys|Line_Map'!$A:$A,'_Sys|Line_Map'!$B:$B,"MISSING",0)</f>
        <v/>
      </c>
    </row>
    <row r="1744">
      <c r="A1744" s="4561" t="n"/>
      <c r="B1744" s="4561" t="n"/>
      <c r="C1744" s="4561" t="n"/>
      <c r="D1744" s="4561" t="n"/>
      <c r="E1744" s="4561" t="n"/>
      <c r="F1744" s="4561" t="n"/>
      <c r="G1744" s="4561" t="n"/>
      <c r="H1744" s="4561" t="n"/>
      <c r="I1744" s="4562">
        <f>XLOOKUP(B1744,'_Sys|Line_Map'!$A:$A,'_Sys|Line_Map'!$C:$C,"MISSING",0)</f>
        <v/>
      </c>
      <c r="J1744" s="4562">
        <f>XLOOKUP(B1744,'_Sys|Line_Map'!$A:$A,'_Sys|Line_Map'!$D:$D,1,0)</f>
        <v/>
      </c>
      <c r="K1744" s="4562">
        <f>IF(D1744="","",D1744*J1744)</f>
        <v/>
      </c>
      <c r="L1744" s="4562">
        <f>XLOOKUP(B1744,'_Sys|Line_Map'!$A:$A,'_Sys|Line_Map'!$B:$B,"MISSING",0)</f>
        <v/>
      </c>
    </row>
    <row r="1745">
      <c r="A1745" s="4561" t="n"/>
      <c r="B1745" s="4561" t="n"/>
      <c r="C1745" s="4561" t="n"/>
      <c r="D1745" s="4561" t="n"/>
      <c r="E1745" s="4561" t="n"/>
      <c r="F1745" s="4561" t="n"/>
      <c r="G1745" s="4561" t="n"/>
      <c r="H1745" s="4561" t="n"/>
      <c r="I1745" s="4562">
        <f>XLOOKUP(B1745,'_Sys|Line_Map'!$A:$A,'_Sys|Line_Map'!$C:$C,"MISSING",0)</f>
        <v/>
      </c>
      <c r="J1745" s="4562">
        <f>XLOOKUP(B1745,'_Sys|Line_Map'!$A:$A,'_Sys|Line_Map'!$D:$D,1,0)</f>
        <v/>
      </c>
      <c r="K1745" s="4562">
        <f>IF(D1745="","",D1745*J1745)</f>
        <v/>
      </c>
      <c r="L1745" s="4562">
        <f>XLOOKUP(B1745,'_Sys|Line_Map'!$A:$A,'_Sys|Line_Map'!$B:$B,"MISSING",0)</f>
        <v/>
      </c>
    </row>
    <row r="1746">
      <c r="A1746" s="4561" t="n"/>
      <c r="B1746" s="4561" t="n"/>
      <c r="C1746" s="4561" t="n"/>
      <c r="D1746" s="4561" t="n"/>
      <c r="E1746" s="4561" t="n"/>
      <c r="F1746" s="4561" t="n"/>
      <c r="G1746" s="4561" t="n"/>
      <c r="H1746" s="4561" t="n"/>
      <c r="I1746" s="4562">
        <f>XLOOKUP(B1746,'_Sys|Line_Map'!$A:$A,'_Sys|Line_Map'!$C:$C,"MISSING",0)</f>
        <v/>
      </c>
      <c r="J1746" s="4562">
        <f>XLOOKUP(B1746,'_Sys|Line_Map'!$A:$A,'_Sys|Line_Map'!$D:$D,1,0)</f>
        <v/>
      </c>
      <c r="K1746" s="4562">
        <f>IF(D1746="","",D1746*J1746)</f>
        <v/>
      </c>
      <c r="L1746" s="4562">
        <f>XLOOKUP(B1746,'_Sys|Line_Map'!$A:$A,'_Sys|Line_Map'!$B:$B,"MISSING",0)</f>
        <v/>
      </c>
    </row>
    <row r="1747">
      <c r="A1747" s="4561" t="n"/>
      <c r="B1747" s="4561" t="n"/>
      <c r="C1747" s="4561" t="n"/>
      <c r="D1747" s="4561" t="n"/>
      <c r="E1747" s="4561" t="n"/>
      <c r="F1747" s="4561" t="n"/>
      <c r="G1747" s="4561" t="n"/>
      <c r="H1747" s="4561" t="n"/>
      <c r="I1747" s="4562">
        <f>XLOOKUP(B1747,'_Sys|Line_Map'!$A:$A,'_Sys|Line_Map'!$C:$C,"MISSING",0)</f>
        <v/>
      </c>
      <c r="J1747" s="4562">
        <f>XLOOKUP(B1747,'_Sys|Line_Map'!$A:$A,'_Sys|Line_Map'!$D:$D,1,0)</f>
        <v/>
      </c>
      <c r="K1747" s="4562">
        <f>IF(D1747="","",D1747*J1747)</f>
        <v/>
      </c>
      <c r="L1747" s="4562">
        <f>XLOOKUP(B1747,'_Sys|Line_Map'!$A:$A,'_Sys|Line_Map'!$B:$B,"MISSING",0)</f>
        <v/>
      </c>
    </row>
    <row r="1748">
      <c r="A1748" s="4561" t="n"/>
      <c r="B1748" s="4561" t="n"/>
      <c r="C1748" s="4561" t="n"/>
      <c r="D1748" s="4561" t="n"/>
      <c r="E1748" s="4561" t="n"/>
      <c r="F1748" s="4561" t="n"/>
      <c r="G1748" s="4561" t="n"/>
      <c r="H1748" s="4561" t="n"/>
      <c r="I1748" s="4562">
        <f>XLOOKUP(B1748,'_Sys|Line_Map'!$A:$A,'_Sys|Line_Map'!$C:$C,"MISSING",0)</f>
        <v/>
      </c>
      <c r="J1748" s="4562">
        <f>XLOOKUP(B1748,'_Sys|Line_Map'!$A:$A,'_Sys|Line_Map'!$D:$D,1,0)</f>
        <v/>
      </c>
      <c r="K1748" s="4562">
        <f>IF(D1748="","",D1748*J1748)</f>
        <v/>
      </c>
      <c r="L1748" s="4562">
        <f>XLOOKUP(B1748,'_Sys|Line_Map'!$A:$A,'_Sys|Line_Map'!$B:$B,"MISSING",0)</f>
        <v/>
      </c>
    </row>
    <row r="1749">
      <c r="A1749" s="4561" t="n"/>
      <c r="B1749" s="4561" t="n"/>
      <c r="C1749" s="4561" t="n"/>
      <c r="D1749" s="4561" t="n"/>
      <c r="E1749" s="4561" t="n"/>
      <c r="F1749" s="4561" t="n"/>
      <c r="G1749" s="4561" t="n"/>
      <c r="H1749" s="4561" t="n"/>
      <c r="I1749" s="4562">
        <f>XLOOKUP(B1749,'_Sys|Line_Map'!$A:$A,'_Sys|Line_Map'!$C:$C,"MISSING",0)</f>
        <v/>
      </c>
      <c r="J1749" s="4562">
        <f>XLOOKUP(B1749,'_Sys|Line_Map'!$A:$A,'_Sys|Line_Map'!$D:$D,1,0)</f>
        <v/>
      </c>
      <c r="K1749" s="4562">
        <f>IF(D1749="","",D1749*J1749)</f>
        <v/>
      </c>
      <c r="L1749" s="4562">
        <f>XLOOKUP(B1749,'_Sys|Line_Map'!$A:$A,'_Sys|Line_Map'!$B:$B,"MISSING",0)</f>
        <v/>
      </c>
    </row>
    <row r="1750">
      <c r="A1750" s="4561" t="n"/>
      <c r="B1750" s="4561" t="n"/>
      <c r="C1750" s="4561" t="n"/>
      <c r="D1750" s="4561" t="n"/>
      <c r="E1750" s="4561" t="n"/>
      <c r="F1750" s="4561" t="n"/>
      <c r="G1750" s="4561" t="n"/>
      <c r="H1750" s="4561" t="n"/>
      <c r="I1750" s="4562">
        <f>XLOOKUP(B1750,'_Sys|Line_Map'!$A:$A,'_Sys|Line_Map'!$C:$C,"MISSING",0)</f>
        <v/>
      </c>
      <c r="J1750" s="4562">
        <f>XLOOKUP(B1750,'_Sys|Line_Map'!$A:$A,'_Sys|Line_Map'!$D:$D,1,0)</f>
        <v/>
      </c>
      <c r="K1750" s="4562">
        <f>IF(D1750="","",D1750*J1750)</f>
        <v/>
      </c>
      <c r="L1750" s="4562">
        <f>XLOOKUP(B1750,'_Sys|Line_Map'!$A:$A,'_Sys|Line_Map'!$B:$B,"MISSING",0)</f>
        <v/>
      </c>
    </row>
    <row r="1751">
      <c r="A1751" s="4561" t="n"/>
      <c r="B1751" s="4561" t="n"/>
      <c r="C1751" s="4561" t="n"/>
      <c r="D1751" s="4561" t="n"/>
      <c r="E1751" s="4561" t="n"/>
      <c r="F1751" s="4561" t="n"/>
      <c r="G1751" s="4561" t="n"/>
      <c r="H1751" s="4561" t="n"/>
      <c r="I1751" s="4562">
        <f>XLOOKUP(B1751,'_Sys|Line_Map'!$A:$A,'_Sys|Line_Map'!$C:$C,"MISSING",0)</f>
        <v/>
      </c>
      <c r="J1751" s="4562">
        <f>XLOOKUP(B1751,'_Sys|Line_Map'!$A:$A,'_Sys|Line_Map'!$D:$D,1,0)</f>
        <v/>
      </c>
      <c r="K1751" s="4562">
        <f>IF(D1751="","",D1751*J1751)</f>
        <v/>
      </c>
      <c r="L1751" s="4562">
        <f>XLOOKUP(B1751,'_Sys|Line_Map'!$A:$A,'_Sys|Line_Map'!$B:$B,"MISSING",0)</f>
        <v/>
      </c>
    </row>
    <row r="1752">
      <c r="A1752" s="4561" t="n"/>
      <c r="B1752" s="4561" t="n"/>
      <c r="C1752" s="4561" t="n"/>
      <c r="D1752" s="4561" t="n"/>
      <c r="E1752" s="4561" t="n"/>
      <c r="F1752" s="4561" t="n"/>
      <c r="G1752" s="4561" t="n"/>
      <c r="H1752" s="4561" t="n"/>
      <c r="I1752" s="4562">
        <f>XLOOKUP(B1752,'_Sys|Line_Map'!$A:$A,'_Sys|Line_Map'!$C:$C,"MISSING",0)</f>
        <v/>
      </c>
      <c r="J1752" s="4562">
        <f>XLOOKUP(B1752,'_Sys|Line_Map'!$A:$A,'_Sys|Line_Map'!$D:$D,1,0)</f>
        <v/>
      </c>
      <c r="K1752" s="4562">
        <f>IF(D1752="","",D1752*J1752)</f>
        <v/>
      </c>
      <c r="L1752" s="4562">
        <f>XLOOKUP(B1752,'_Sys|Line_Map'!$A:$A,'_Sys|Line_Map'!$B:$B,"MISSING",0)</f>
        <v/>
      </c>
    </row>
    <row r="1753">
      <c r="A1753" s="4561" t="n"/>
      <c r="B1753" s="4561" t="n"/>
      <c r="C1753" s="4561" t="n"/>
      <c r="D1753" s="4561" t="n"/>
      <c r="E1753" s="4561" t="n"/>
      <c r="F1753" s="4561" t="n"/>
      <c r="G1753" s="4561" t="n"/>
      <c r="H1753" s="4561" t="n"/>
      <c r="I1753" s="4562">
        <f>XLOOKUP(B1753,'_Sys|Line_Map'!$A:$A,'_Sys|Line_Map'!$C:$C,"MISSING",0)</f>
        <v/>
      </c>
      <c r="J1753" s="4562">
        <f>XLOOKUP(B1753,'_Sys|Line_Map'!$A:$A,'_Sys|Line_Map'!$D:$D,1,0)</f>
        <v/>
      </c>
      <c r="K1753" s="4562">
        <f>IF(D1753="","",D1753*J1753)</f>
        <v/>
      </c>
      <c r="L1753" s="4562">
        <f>XLOOKUP(B1753,'_Sys|Line_Map'!$A:$A,'_Sys|Line_Map'!$B:$B,"MISSING",0)</f>
        <v/>
      </c>
    </row>
    <row r="1754">
      <c r="A1754" s="4561" t="n"/>
      <c r="B1754" s="4561" t="n"/>
      <c r="C1754" s="4561" t="n"/>
      <c r="D1754" s="4561" t="n"/>
      <c r="E1754" s="4561" t="n"/>
      <c r="F1754" s="4561" t="n"/>
      <c r="G1754" s="4561" t="n"/>
      <c r="H1754" s="4561" t="n"/>
      <c r="I1754" s="4562">
        <f>XLOOKUP(B1754,'_Sys|Line_Map'!$A:$A,'_Sys|Line_Map'!$C:$C,"MISSING",0)</f>
        <v/>
      </c>
      <c r="J1754" s="4562">
        <f>XLOOKUP(B1754,'_Sys|Line_Map'!$A:$A,'_Sys|Line_Map'!$D:$D,1,0)</f>
        <v/>
      </c>
      <c r="K1754" s="4562">
        <f>IF(D1754="","",D1754*J1754)</f>
        <v/>
      </c>
      <c r="L1754" s="4562">
        <f>XLOOKUP(B1754,'_Sys|Line_Map'!$A:$A,'_Sys|Line_Map'!$B:$B,"MISSING",0)</f>
        <v/>
      </c>
    </row>
    <row r="1755">
      <c r="A1755" s="4561" t="n"/>
      <c r="B1755" s="4561" t="n"/>
      <c r="C1755" s="4561" t="n"/>
      <c r="D1755" s="4561" t="n"/>
      <c r="E1755" s="4561" t="n"/>
      <c r="F1755" s="4561" t="n"/>
      <c r="G1755" s="4561" t="n"/>
      <c r="H1755" s="4561" t="n"/>
      <c r="I1755" s="4562">
        <f>XLOOKUP(B1755,'_Sys|Line_Map'!$A:$A,'_Sys|Line_Map'!$C:$C,"MISSING",0)</f>
        <v/>
      </c>
      <c r="J1755" s="4562">
        <f>XLOOKUP(B1755,'_Sys|Line_Map'!$A:$A,'_Sys|Line_Map'!$D:$D,1,0)</f>
        <v/>
      </c>
      <c r="K1755" s="4562">
        <f>IF(D1755="","",D1755*J1755)</f>
        <v/>
      </c>
      <c r="L1755" s="4562">
        <f>XLOOKUP(B1755,'_Sys|Line_Map'!$A:$A,'_Sys|Line_Map'!$B:$B,"MISSING",0)</f>
        <v/>
      </c>
    </row>
    <row r="1756">
      <c r="A1756" s="4561" t="n"/>
      <c r="B1756" s="4561" t="n"/>
      <c r="C1756" s="4561" t="n"/>
      <c r="D1756" s="4561" t="n"/>
      <c r="E1756" s="4561" t="n"/>
      <c r="F1756" s="4561" t="n"/>
      <c r="G1756" s="4561" t="n"/>
      <c r="H1756" s="4561" t="n"/>
      <c r="I1756" s="4562">
        <f>XLOOKUP(B1756,'_Sys|Line_Map'!$A:$A,'_Sys|Line_Map'!$C:$C,"MISSING",0)</f>
        <v/>
      </c>
      <c r="J1756" s="4562">
        <f>XLOOKUP(B1756,'_Sys|Line_Map'!$A:$A,'_Sys|Line_Map'!$D:$D,1,0)</f>
        <v/>
      </c>
      <c r="K1756" s="4562">
        <f>IF(D1756="","",D1756*J1756)</f>
        <v/>
      </c>
      <c r="L1756" s="4562">
        <f>XLOOKUP(B1756,'_Sys|Line_Map'!$A:$A,'_Sys|Line_Map'!$B:$B,"MISSING",0)</f>
        <v/>
      </c>
    </row>
    <row r="1757">
      <c r="A1757" s="4561" t="n"/>
      <c r="B1757" s="4561" t="n"/>
      <c r="C1757" s="4561" t="n"/>
      <c r="D1757" s="4561" t="n"/>
      <c r="E1757" s="4561" t="n"/>
      <c r="F1757" s="4561" t="n"/>
      <c r="G1757" s="4561" t="n"/>
      <c r="H1757" s="4561" t="n"/>
      <c r="I1757" s="4562">
        <f>XLOOKUP(B1757,'_Sys|Line_Map'!$A:$A,'_Sys|Line_Map'!$C:$C,"MISSING",0)</f>
        <v/>
      </c>
      <c r="J1757" s="4562">
        <f>XLOOKUP(B1757,'_Sys|Line_Map'!$A:$A,'_Sys|Line_Map'!$D:$D,1,0)</f>
        <v/>
      </c>
      <c r="K1757" s="4562">
        <f>IF(D1757="","",D1757*J1757)</f>
        <v/>
      </c>
      <c r="L1757" s="4562">
        <f>XLOOKUP(B1757,'_Sys|Line_Map'!$A:$A,'_Sys|Line_Map'!$B:$B,"MISSING",0)</f>
        <v/>
      </c>
    </row>
    <row r="1758">
      <c r="A1758" s="4561" t="n"/>
      <c r="B1758" s="4561" t="n"/>
      <c r="C1758" s="4561" t="n"/>
      <c r="D1758" s="4561" t="n"/>
      <c r="E1758" s="4561" t="n"/>
      <c r="F1758" s="4561" t="n"/>
      <c r="G1758" s="4561" t="n"/>
      <c r="H1758" s="4561" t="n"/>
      <c r="I1758" s="4562">
        <f>XLOOKUP(B1758,'_Sys|Line_Map'!$A:$A,'_Sys|Line_Map'!$C:$C,"MISSING",0)</f>
        <v/>
      </c>
      <c r="J1758" s="4562">
        <f>XLOOKUP(B1758,'_Sys|Line_Map'!$A:$A,'_Sys|Line_Map'!$D:$D,1,0)</f>
        <v/>
      </c>
      <c r="K1758" s="4562">
        <f>IF(D1758="","",D1758*J1758)</f>
        <v/>
      </c>
      <c r="L1758" s="4562">
        <f>XLOOKUP(B1758,'_Sys|Line_Map'!$A:$A,'_Sys|Line_Map'!$B:$B,"MISSING",0)</f>
        <v/>
      </c>
    </row>
    <row r="1759">
      <c r="A1759" s="4561" t="n"/>
      <c r="B1759" s="4561" t="n"/>
      <c r="C1759" s="4561" t="n"/>
      <c r="D1759" s="4561" t="n"/>
      <c r="E1759" s="4561" t="n"/>
      <c r="F1759" s="4561" t="n"/>
      <c r="G1759" s="4561" t="n"/>
      <c r="H1759" s="4561" t="n"/>
      <c r="I1759" s="4562">
        <f>XLOOKUP(B1759,'_Sys|Line_Map'!$A:$A,'_Sys|Line_Map'!$C:$C,"MISSING",0)</f>
        <v/>
      </c>
      <c r="J1759" s="4562">
        <f>XLOOKUP(B1759,'_Sys|Line_Map'!$A:$A,'_Sys|Line_Map'!$D:$D,1,0)</f>
        <v/>
      </c>
      <c r="K1759" s="4562">
        <f>IF(D1759="","",D1759*J1759)</f>
        <v/>
      </c>
      <c r="L1759" s="4562">
        <f>XLOOKUP(B1759,'_Sys|Line_Map'!$A:$A,'_Sys|Line_Map'!$B:$B,"MISSING",0)</f>
        <v/>
      </c>
    </row>
    <row r="1760">
      <c r="A1760" s="4561" t="n"/>
      <c r="B1760" s="4561" t="n"/>
      <c r="C1760" s="4561" t="n"/>
      <c r="D1760" s="4561" t="n"/>
      <c r="E1760" s="4561" t="n"/>
      <c r="F1760" s="4561" t="n"/>
      <c r="G1760" s="4561" t="n"/>
      <c r="H1760" s="4561" t="n"/>
      <c r="I1760" s="4562">
        <f>XLOOKUP(B1760,'_Sys|Line_Map'!$A:$A,'_Sys|Line_Map'!$C:$C,"MISSING",0)</f>
        <v/>
      </c>
      <c r="J1760" s="4562">
        <f>XLOOKUP(B1760,'_Sys|Line_Map'!$A:$A,'_Sys|Line_Map'!$D:$D,1,0)</f>
        <v/>
      </c>
      <c r="K1760" s="4562">
        <f>IF(D1760="","",D1760*J1760)</f>
        <v/>
      </c>
      <c r="L1760" s="4562">
        <f>XLOOKUP(B1760,'_Sys|Line_Map'!$A:$A,'_Sys|Line_Map'!$B:$B,"MISSING",0)</f>
        <v/>
      </c>
    </row>
    <row r="1761">
      <c r="A1761" s="4561" t="n"/>
      <c r="B1761" s="4561" t="n"/>
      <c r="C1761" s="4561" t="n"/>
      <c r="D1761" s="4561" t="n"/>
      <c r="E1761" s="4561" t="n"/>
      <c r="F1761" s="4561" t="n"/>
      <c r="G1761" s="4561" t="n"/>
      <c r="H1761" s="4561" t="n"/>
      <c r="I1761" s="4562">
        <f>XLOOKUP(B1761,'_Sys|Line_Map'!$A:$A,'_Sys|Line_Map'!$C:$C,"MISSING",0)</f>
        <v/>
      </c>
      <c r="J1761" s="4562">
        <f>XLOOKUP(B1761,'_Sys|Line_Map'!$A:$A,'_Sys|Line_Map'!$D:$D,1,0)</f>
        <v/>
      </c>
      <c r="K1761" s="4562">
        <f>IF(D1761="","",D1761*J1761)</f>
        <v/>
      </c>
      <c r="L1761" s="4562">
        <f>XLOOKUP(B1761,'_Sys|Line_Map'!$A:$A,'_Sys|Line_Map'!$B:$B,"MISSING",0)</f>
        <v/>
      </c>
    </row>
    <row r="1762">
      <c r="A1762" s="4561" t="n"/>
      <c r="B1762" s="4561" t="n"/>
      <c r="C1762" s="4561" t="n"/>
      <c r="D1762" s="4561" t="n"/>
      <c r="E1762" s="4561" t="n"/>
      <c r="F1762" s="4561" t="n"/>
      <c r="G1762" s="4561" t="n"/>
      <c r="H1762" s="4561" t="n"/>
      <c r="I1762" s="4562">
        <f>XLOOKUP(B1762,'_Sys|Line_Map'!$A:$A,'_Sys|Line_Map'!$C:$C,"MISSING",0)</f>
        <v/>
      </c>
      <c r="J1762" s="4562">
        <f>XLOOKUP(B1762,'_Sys|Line_Map'!$A:$A,'_Sys|Line_Map'!$D:$D,1,0)</f>
        <v/>
      </c>
      <c r="K1762" s="4562">
        <f>IF(D1762="","",D1762*J1762)</f>
        <v/>
      </c>
      <c r="L1762" s="4562">
        <f>XLOOKUP(B1762,'_Sys|Line_Map'!$A:$A,'_Sys|Line_Map'!$B:$B,"MISSING",0)</f>
        <v/>
      </c>
    </row>
    <row r="1763">
      <c r="A1763" s="4561" t="n"/>
      <c r="B1763" s="4561" t="n"/>
      <c r="C1763" s="4561" t="n"/>
      <c r="D1763" s="4561" t="n"/>
      <c r="E1763" s="4561" t="n"/>
      <c r="F1763" s="4561" t="n"/>
      <c r="G1763" s="4561" t="n"/>
      <c r="H1763" s="4561" t="n"/>
      <c r="I1763" s="4562">
        <f>XLOOKUP(B1763,'_Sys|Line_Map'!$A:$A,'_Sys|Line_Map'!$C:$C,"MISSING",0)</f>
        <v/>
      </c>
      <c r="J1763" s="4562">
        <f>XLOOKUP(B1763,'_Sys|Line_Map'!$A:$A,'_Sys|Line_Map'!$D:$D,1,0)</f>
        <v/>
      </c>
      <c r="K1763" s="4562">
        <f>IF(D1763="","",D1763*J1763)</f>
        <v/>
      </c>
      <c r="L1763" s="4562">
        <f>XLOOKUP(B1763,'_Sys|Line_Map'!$A:$A,'_Sys|Line_Map'!$B:$B,"MISSING",0)</f>
        <v/>
      </c>
    </row>
    <row r="1764">
      <c r="A1764" s="4561" t="n"/>
      <c r="B1764" s="4561" t="n"/>
      <c r="C1764" s="4561" t="n"/>
      <c r="D1764" s="4561" t="n"/>
      <c r="E1764" s="4561" t="n"/>
      <c r="F1764" s="4561" t="n"/>
      <c r="G1764" s="4561" t="n"/>
      <c r="H1764" s="4561" t="n"/>
      <c r="I1764" s="4562">
        <f>XLOOKUP(B1764,'_Sys|Line_Map'!$A:$A,'_Sys|Line_Map'!$C:$C,"MISSING",0)</f>
        <v/>
      </c>
      <c r="J1764" s="4562">
        <f>XLOOKUP(B1764,'_Sys|Line_Map'!$A:$A,'_Sys|Line_Map'!$D:$D,1,0)</f>
        <v/>
      </c>
      <c r="K1764" s="4562">
        <f>IF(D1764="","",D1764*J1764)</f>
        <v/>
      </c>
      <c r="L1764" s="4562">
        <f>XLOOKUP(B1764,'_Sys|Line_Map'!$A:$A,'_Sys|Line_Map'!$B:$B,"MISSING",0)</f>
        <v/>
      </c>
    </row>
    <row r="1765">
      <c r="A1765" s="4561" t="n"/>
      <c r="B1765" s="4561" t="n"/>
      <c r="C1765" s="4561" t="n"/>
      <c r="D1765" s="4561" t="n"/>
      <c r="E1765" s="4561" t="n"/>
      <c r="F1765" s="4561" t="n"/>
      <c r="G1765" s="4561" t="n"/>
      <c r="H1765" s="4561" t="n"/>
      <c r="I1765" s="4562">
        <f>XLOOKUP(B1765,'_Sys|Line_Map'!$A:$A,'_Sys|Line_Map'!$C:$C,"MISSING",0)</f>
        <v/>
      </c>
      <c r="J1765" s="4562">
        <f>XLOOKUP(B1765,'_Sys|Line_Map'!$A:$A,'_Sys|Line_Map'!$D:$D,1,0)</f>
        <v/>
      </c>
      <c r="K1765" s="4562">
        <f>IF(D1765="","",D1765*J1765)</f>
        <v/>
      </c>
      <c r="L1765" s="4562">
        <f>XLOOKUP(B1765,'_Sys|Line_Map'!$A:$A,'_Sys|Line_Map'!$B:$B,"MISSING",0)</f>
        <v/>
      </c>
    </row>
    <row r="1766">
      <c r="A1766" s="4561" t="n"/>
      <c r="B1766" s="4561" t="n"/>
      <c r="C1766" s="4561" t="n"/>
      <c r="D1766" s="4561" t="n"/>
      <c r="E1766" s="4561" t="n"/>
      <c r="F1766" s="4561" t="n"/>
      <c r="G1766" s="4561" t="n"/>
      <c r="H1766" s="4561" t="n"/>
      <c r="I1766" s="4562">
        <f>XLOOKUP(B1766,'_Sys|Line_Map'!$A:$A,'_Sys|Line_Map'!$C:$C,"MISSING",0)</f>
        <v/>
      </c>
      <c r="J1766" s="4562">
        <f>XLOOKUP(B1766,'_Sys|Line_Map'!$A:$A,'_Sys|Line_Map'!$D:$D,1,0)</f>
        <v/>
      </c>
      <c r="K1766" s="4562">
        <f>IF(D1766="","",D1766*J1766)</f>
        <v/>
      </c>
      <c r="L1766" s="4562">
        <f>XLOOKUP(B1766,'_Sys|Line_Map'!$A:$A,'_Sys|Line_Map'!$B:$B,"MISSING",0)</f>
        <v/>
      </c>
    </row>
    <row r="1767">
      <c r="A1767" s="4561" t="n"/>
      <c r="B1767" s="4561" t="n"/>
      <c r="C1767" s="4561" t="n"/>
      <c r="D1767" s="4561" t="n"/>
      <c r="E1767" s="4561" t="n"/>
      <c r="F1767" s="4561" t="n"/>
      <c r="G1767" s="4561" t="n"/>
      <c r="H1767" s="4561" t="n"/>
      <c r="I1767" s="4562">
        <f>XLOOKUP(B1767,'_Sys|Line_Map'!$A:$A,'_Sys|Line_Map'!$C:$C,"MISSING",0)</f>
        <v/>
      </c>
      <c r="J1767" s="4562">
        <f>XLOOKUP(B1767,'_Sys|Line_Map'!$A:$A,'_Sys|Line_Map'!$D:$D,1,0)</f>
        <v/>
      </c>
      <c r="K1767" s="4562">
        <f>IF(D1767="","",D1767*J1767)</f>
        <v/>
      </c>
      <c r="L1767" s="4562">
        <f>XLOOKUP(B1767,'_Sys|Line_Map'!$A:$A,'_Sys|Line_Map'!$B:$B,"MISSING",0)</f>
        <v/>
      </c>
    </row>
    <row r="1768">
      <c r="A1768" s="4561" t="n"/>
      <c r="B1768" s="4561" t="n"/>
      <c r="C1768" s="4561" t="n"/>
      <c r="D1768" s="4561" t="n"/>
      <c r="E1768" s="4561" t="n"/>
      <c r="F1768" s="4561" t="n"/>
      <c r="G1768" s="4561" t="n"/>
      <c r="H1768" s="4561" t="n"/>
      <c r="I1768" s="4562">
        <f>XLOOKUP(B1768,'_Sys|Line_Map'!$A:$A,'_Sys|Line_Map'!$C:$C,"MISSING",0)</f>
        <v/>
      </c>
      <c r="J1768" s="4562">
        <f>XLOOKUP(B1768,'_Sys|Line_Map'!$A:$A,'_Sys|Line_Map'!$D:$D,1,0)</f>
        <v/>
      </c>
      <c r="K1768" s="4562">
        <f>IF(D1768="","",D1768*J1768)</f>
        <v/>
      </c>
      <c r="L1768" s="4562">
        <f>XLOOKUP(B1768,'_Sys|Line_Map'!$A:$A,'_Sys|Line_Map'!$B:$B,"MISSING",0)</f>
        <v/>
      </c>
    </row>
    <row r="1769">
      <c r="A1769" s="4561" t="n"/>
      <c r="B1769" s="4561" t="n"/>
      <c r="C1769" s="4561" t="n"/>
      <c r="D1769" s="4561" t="n"/>
      <c r="E1769" s="4561" t="n"/>
      <c r="F1769" s="4561" t="n"/>
      <c r="G1769" s="4561" t="n"/>
      <c r="H1769" s="4561" t="n"/>
      <c r="I1769" s="4562">
        <f>XLOOKUP(B1769,'_Sys|Line_Map'!$A:$A,'_Sys|Line_Map'!$C:$C,"MISSING",0)</f>
        <v/>
      </c>
      <c r="J1769" s="4562">
        <f>XLOOKUP(B1769,'_Sys|Line_Map'!$A:$A,'_Sys|Line_Map'!$D:$D,1,0)</f>
        <v/>
      </c>
      <c r="K1769" s="4562">
        <f>IF(D1769="","",D1769*J1769)</f>
        <v/>
      </c>
      <c r="L1769" s="4562">
        <f>XLOOKUP(B1769,'_Sys|Line_Map'!$A:$A,'_Sys|Line_Map'!$B:$B,"MISSING",0)</f>
        <v/>
      </c>
    </row>
    <row r="1770">
      <c r="A1770" s="4561" t="n"/>
      <c r="B1770" s="4561" t="n"/>
      <c r="C1770" s="4561" t="n"/>
      <c r="D1770" s="4561" t="n"/>
      <c r="E1770" s="4561" t="n"/>
      <c r="F1770" s="4561" t="n"/>
      <c r="G1770" s="4561" t="n"/>
      <c r="H1770" s="4561" t="n"/>
      <c r="I1770" s="4562">
        <f>XLOOKUP(B1770,'_Sys|Line_Map'!$A:$A,'_Sys|Line_Map'!$C:$C,"MISSING",0)</f>
        <v/>
      </c>
      <c r="J1770" s="4562">
        <f>XLOOKUP(B1770,'_Sys|Line_Map'!$A:$A,'_Sys|Line_Map'!$D:$D,1,0)</f>
        <v/>
      </c>
      <c r="K1770" s="4562">
        <f>IF(D1770="","",D1770*J1770)</f>
        <v/>
      </c>
      <c r="L1770" s="4562">
        <f>XLOOKUP(B1770,'_Sys|Line_Map'!$A:$A,'_Sys|Line_Map'!$B:$B,"MISSING",0)</f>
        <v/>
      </c>
    </row>
    <row r="1771">
      <c r="A1771" s="4561" t="n"/>
      <c r="B1771" s="4561" t="n"/>
      <c r="C1771" s="4561" t="n"/>
      <c r="D1771" s="4561" t="n"/>
      <c r="E1771" s="4561" t="n"/>
      <c r="F1771" s="4561" t="n"/>
      <c r="G1771" s="4561" t="n"/>
      <c r="H1771" s="4561" t="n"/>
      <c r="I1771" s="4562">
        <f>XLOOKUP(B1771,'_Sys|Line_Map'!$A:$A,'_Sys|Line_Map'!$C:$C,"MISSING",0)</f>
        <v/>
      </c>
      <c r="J1771" s="4562">
        <f>XLOOKUP(B1771,'_Sys|Line_Map'!$A:$A,'_Sys|Line_Map'!$D:$D,1,0)</f>
        <v/>
      </c>
      <c r="K1771" s="4562">
        <f>IF(D1771="","",D1771*J1771)</f>
        <v/>
      </c>
      <c r="L1771" s="4562">
        <f>XLOOKUP(B1771,'_Sys|Line_Map'!$A:$A,'_Sys|Line_Map'!$B:$B,"MISSING",0)</f>
        <v/>
      </c>
    </row>
    <row r="1772">
      <c r="A1772" s="4561" t="n"/>
      <c r="B1772" s="4561" t="n"/>
      <c r="C1772" s="4561" t="n"/>
      <c r="D1772" s="4561" t="n"/>
      <c r="E1772" s="4561" t="n"/>
      <c r="F1772" s="4561" t="n"/>
      <c r="G1772" s="4561" t="n"/>
      <c r="H1772" s="4561" t="n"/>
      <c r="I1772" s="4562">
        <f>XLOOKUP(B1772,'_Sys|Line_Map'!$A:$A,'_Sys|Line_Map'!$C:$C,"MISSING",0)</f>
        <v/>
      </c>
      <c r="J1772" s="4562">
        <f>XLOOKUP(B1772,'_Sys|Line_Map'!$A:$A,'_Sys|Line_Map'!$D:$D,1,0)</f>
        <v/>
      </c>
      <c r="K1772" s="4562">
        <f>IF(D1772="","",D1772*J1772)</f>
        <v/>
      </c>
      <c r="L1772" s="4562">
        <f>XLOOKUP(B1772,'_Sys|Line_Map'!$A:$A,'_Sys|Line_Map'!$B:$B,"MISSING",0)</f>
        <v/>
      </c>
    </row>
    <row r="1773">
      <c r="A1773" s="4561" t="n"/>
      <c r="B1773" s="4561" t="n"/>
      <c r="C1773" s="4561" t="n"/>
      <c r="D1773" s="4561" t="n"/>
      <c r="E1773" s="4561" t="n"/>
      <c r="F1773" s="4561" t="n"/>
      <c r="G1773" s="4561" t="n"/>
      <c r="H1773" s="4561" t="n"/>
      <c r="I1773" s="4562">
        <f>XLOOKUP(B1773,'_Sys|Line_Map'!$A:$A,'_Sys|Line_Map'!$C:$C,"MISSING",0)</f>
        <v/>
      </c>
      <c r="J1773" s="4562">
        <f>XLOOKUP(B1773,'_Sys|Line_Map'!$A:$A,'_Sys|Line_Map'!$D:$D,1,0)</f>
        <v/>
      </c>
      <c r="K1773" s="4562">
        <f>IF(D1773="","",D1773*J1773)</f>
        <v/>
      </c>
      <c r="L1773" s="4562">
        <f>XLOOKUP(B1773,'_Sys|Line_Map'!$A:$A,'_Sys|Line_Map'!$B:$B,"MISSING",0)</f>
        <v/>
      </c>
    </row>
    <row r="1774">
      <c r="A1774" s="4561" t="n"/>
      <c r="B1774" s="4561" t="n"/>
      <c r="C1774" s="4561" t="n"/>
      <c r="D1774" s="4561" t="n"/>
      <c r="E1774" s="4561" t="n"/>
      <c r="F1774" s="4561" t="n"/>
      <c r="G1774" s="4561" t="n"/>
      <c r="H1774" s="4561" t="n"/>
      <c r="I1774" s="4562">
        <f>XLOOKUP(B1774,'_Sys|Line_Map'!$A:$A,'_Sys|Line_Map'!$C:$C,"MISSING",0)</f>
        <v/>
      </c>
      <c r="J1774" s="4562">
        <f>XLOOKUP(B1774,'_Sys|Line_Map'!$A:$A,'_Sys|Line_Map'!$D:$D,1,0)</f>
        <v/>
      </c>
      <c r="K1774" s="4562">
        <f>IF(D1774="","",D1774*J1774)</f>
        <v/>
      </c>
      <c r="L1774" s="4562">
        <f>XLOOKUP(B1774,'_Sys|Line_Map'!$A:$A,'_Sys|Line_Map'!$B:$B,"MISSING",0)</f>
        <v/>
      </c>
    </row>
    <row r="1775">
      <c r="A1775" s="4561" t="n"/>
      <c r="B1775" s="4561" t="n"/>
      <c r="C1775" s="4561" t="n"/>
      <c r="D1775" s="4561" t="n"/>
      <c r="E1775" s="4561" t="n"/>
      <c r="F1775" s="4561" t="n"/>
      <c r="G1775" s="4561" t="n"/>
      <c r="H1775" s="4561" t="n"/>
      <c r="I1775" s="4562">
        <f>XLOOKUP(B1775,'_Sys|Line_Map'!$A:$A,'_Sys|Line_Map'!$C:$C,"MISSING",0)</f>
        <v/>
      </c>
      <c r="J1775" s="4562">
        <f>XLOOKUP(B1775,'_Sys|Line_Map'!$A:$A,'_Sys|Line_Map'!$D:$D,1,0)</f>
        <v/>
      </c>
      <c r="K1775" s="4562">
        <f>IF(D1775="","",D1775*J1775)</f>
        <v/>
      </c>
      <c r="L1775" s="4562">
        <f>XLOOKUP(B1775,'_Sys|Line_Map'!$A:$A,'_Sys|Line_Map'!$B:$B,"MISSING",0)</f>
        <v/>
      </c>
    </row>
    <row r="1776">
      <c r="A1776" s="4561" t="n"/>
      <c r="B1776" s="4561" t="n"/>
      <c r="C1776" s="4561" t="n"/>
      <c r="D1776" s="4561" t="n"/>
      <c r="E1776" s="4561" t="n"/>
      <c r="F1776" s="4561" t="n"/>
      <c r="G1776" s="4561" t="n"/>
      <c r="H1776" s="4561" t="n"/>
      <c r="I1776" s="4562">
        <f>XLOOKUP(B1776,'_Sys|Line_Map'!$A:$A,'_Sys|Line_Map'!$C:$C,"MISSING",0)</f>
        <v/>
      </c>
      <c r="J1776" s="4562">
        <f>XLOOKUP(B1776,'_Sys|Line_Map'!$A:$A,'_Sys|Line_Map'!$D:$D,1,0)</f>
        <v/>
      </c>
      <c r="K1776" s="4562">
        <f>IF(D1776="","",D1776*J1776)</f>
        <v/>
      </c>
      <c r="L1776" s="4562">
        <f>XLOOKUP(B1776,'_Sys|Line_Map'!$A:$A,'_Sys|Line_Map'!$B:$B,"MISSING",0)</f>
        <v/>
      </c>
    </row>
    <row r="1777">
      <c r="A1777" s="4561" t="n"/>
      <c r="B1777" s="4561" t="n"/>
      <c r="C1777" s="4561" t="n"/>
      <c r="D1777" s="4561" t="n"/>
      <c r="E1777" s="4561" t="n"/>
      <c r="F1777" s="4561" t="n"/>
      <c r="G1777" s="4561" t="n"/>
      <c r="H1777" s="4561" t="n"/>
      <c r="I1777" s="4562">
        <f>XLOOKUP(B1777,'_Sys|Line_Map'!$A:$A,'_Sys|Line_Map'!$C:$C,"MISSING",0)</f>
        <v/>
      </c>
      <c r="J1777" s="4562">
        <f>XLOOKUP(B1777,'_Sys|Line_Map'!$A:$A,'_Sys|Line_Map'!$D:$D,1,0)</f>
        <v/>
      </c>
      <c r="K1777" s="4562">
        <f>IF(D1777="","",D1777*J1777)</f>
        <v/>
      </c>
      <c r="L1777" s="4562">
        <f>XLOOKUP(B1777,'_Sys|Line_Map'!$A:$A,'_Sys|Line_Map'!$B:$B,"MISSING",0)</f>
        <v/>
      </c>
    </row>
    <row r="1778">
      <c r="A1778" s="4561" t="n"/>
      <c r="B1778" s="4561" t="n"/>
      <c r="C1778" s="4561" t="n"/>
      <c r="D1778" s="4561" t="n"/>
      <c r="E1778" s="4561" t="n"/>
      <c r="F1778" s="4561" t="n"/>
      <c r="G1778" s="4561" t="n"/>
      <c r="H1778" s="4561" t="n"/>
      <c r="I1778" s="4562">
        <f>XLOOKUP(B1778,'_Sys|Line_Map'!$A:$A,'_Sys|Line_Map'!$C:$C,"MISSING",0)</f>
        <v/>
      </c>
      <c r="J1778" s="4562">
        <f>XLOOKUP(B1778,'_Sys|Line_Map'!$A:$A,'_Sys|Line_Map'!$D:$D,1,0)</f>
        <v/>
      </c>
      <c r="K1778" s="4562">
        <f>IF(D1778="","",D1778*J1778)</f>
        <v/>
      </c>
      <c r="L1778" s="4562">
        <f>XLOOKUP(B1778,'_Sys|Line_Map'!$A:$A,'_Sys|Line_Map'!$B:$B,"MISSING",0)</f>
        <v/>
      </c>
    </row>
    <row r="1779">
      <c r="A1779" s="4561" t="n"/>
      <c r="B1779" s="4561" t="n"/>
      <c r="C1779" s="4561" t="n"/>
      <c r="D1779" s="4561" t="n"/>
      <c r="E1779" s="4561" t="n"/>
      <c r="F1779" s="4561" t="n"/>
      <c r="G1779" s="4561" t="n"/>
      <c r="H1779" s="4561" t="n"/>
      <c r="I1779" s="4562">
        <f>XLOOKUP(B1779,'_Sys|Line_Map'!$A:$A,'_Sys|Line_Map'!$C:$C,"MISSING",0)</f>
        <v/>
      </c>
      <c r="J1779" s="4562">
        <f>XLOOKUP(B1779,'_Sys|Line_Map'!$A:$A,'_Sys|Line_Map'!$D:$D,1,0)</f>
        <v/>
      </c>
      <c r="K1779" s="4562">
        <f>IF(D1779="","",D1779*J1779)</f>
        <v/>
      </c>
      <c r="L1779" s="4562">
        <f>XLOOKUP(B1779,'_Sys|Line_Map'!$A:$A,'_Sys|Line_Map'!$B:$B,"MISSING",0)</f>
        <v/>
      </c>
    </row>
    <row r="1780">
      <c r="A1780" s="4561" t="n"/>
      <c r="B1780" s="4561" t="n"/>
      <c r="C1780" s="4561" t="n"/>
      <c r="D1780" s="4561" t="n"/>
      <c r="E1780" s="4561" t="n"/>
      <c r="F1780" s="4561" t="n"/>
      <c r="G1780" s="4561" t="n"/>
      <c r="H1780" s="4561" t="n"/>
      <c r="I1780" s="4562">
        <f>XLOOKUP(B1780,'_Sys|Line_Map'!$A:$A,'_Sys|Line_Map'!$C:$C,"MISSING",0)</f>
        <v/>
      </c>
      <c r="J1780" s="4562">
        <f>XLOOKUP(B1780,'_Sys|Line_Map'!$A:$A,'_Sys|Line_Map'!$D:$D,1,0)</f>
        <v/>
      </c>
      <c r="K1780" s="4562">
        <f>IF(D1780="","",D1780*J1780)</f>
        <v/>
      </c>
      <c r="L1780" s="4562">
        <f>XLOOKUP(B1780,'_Sys|Line_Map'!$A:$A,'_Sys|Line_Map'!$B:$B,"MISSING",0)</f>
        <v/>
      </c>
    </row>
    <row r="1781">
      <c r="A1781" s="4561" t="n"/>
      <c r="B1781" s="4561" t="n"/>
      <c r="C1781" s="4561" t="n"/>
      <c r="D1781" s="4561" t="n"/>
      <c r="E1781" s="4561" t="n"/>
      <c r="F1781" s="4561" t="n"/>
      <c r="G1781" s="4561" t="n"/>
      <c r="H1781" s="4561" t="n"/>
      <c r="I1781" s="4562">
        <f>XLOOKUP(B1781,'_Sys|Line_Map'!$A:$A,'_Sys|Line_Map'!$C:$C,"MISSING",0)</f>
        <v/>
      </c>
      <c r="J1781" s="4562">
        <f>XLOOKUP(B1781,'_Sys|Line_Map'!$A:$A,'_Sys|Line_Map'!$D:$D,1,0)</f>
        <v/>
      </c>
      <c r="K1781" s="4562">
        <f>IF(D1781="","",D1781*J1781)</f>
        <v/>
      </c>
      <c r="L1781" s="4562">
        <f>XLOOKUP(B1781,'_Sys|Line_Map'!$A:$A,'_Sys|Line_Map'!$B:$B,"MISSING",0)</f>
        <v/>
      </c>
    </row>
    <row r="1782">
      <c r="A1782" s="4561" t="n"/>
      <c r="B1782" s="4561" t="n"/>
      <c r="C1782" s="4561" t="n"/>
      <c r="D1782" s="4561" t="n"/>
      <c r="E1782" s="4561" t="n"/>
      <c r="F1782" s="4561" t="n"/>
      <c r="G1782" s="4561" t="n"/>
      <c r="H1782" s="4561" t="n"/>
      <c r="I1782" s="4562">
        <f>XLOOKUP(B1782,'_Sys|Line_Map'!$A:$A,'_Sys|Line_Map'!$C:$C,"MISSING",0)</f>
        <v/>
      </c>
      <c r="J1782" s="4562">
        <f>XLOOKUP(B1782,'_Sys|Line_Map'!$A:$A,'_Sys|Line_Map'!$D:$D,1,0)</f>
        <v/>
      </c>
      <c r="K1782" s="4562">
        <f>IF(D1782="","",D1782*J1782)</f>
        <v/>
      </c>
      <c r="L1782" s="4562">
        <f>XLOOKUP(B1782,'_Sys|Line_Map'!$A:$A,'_Sys|Line_Map'!$B:$B,"MISSING",0)</f>
        <v/>
      </c>
    </row>
    <row r="1783">
      <c r="A1783" s="4561" t="n"/>
      <c r="B1783" s="4561" t="n"/>
      <c r="C1783" s="4561" t="n"/>
      <c r="D1783" s="4561" t="n"/>
      <c r="E1783" s="4561" t="n"/>
      <c r="F1783" s="4561" t="n"/>
      <c r="G1783" s="4561" t="n"/>
      <c r="H1783" s="4561" t="n"/>
      <c r="I1783" s="4562">
        <f>XLOOKUP(B1783,'_Sys|Line_Map'!$A:$A,'_Sys|Line_Map'!$C:$C,"MISSING",0)</f>
        <v/>
      </c>
      <c r="J1783" s="4562">
        <f>XLOOKUP(B1783,'_Sys|Line_Map'!$A:$A,'_Sys|Line_Map'!$D:$D,1,0)</f>
        <v/>
      </c>
      <c r="K1783" s="4562">
        <f>IF(D1783="","",D1783*J1783)</f>
        <v/>
      </c>
      <c r="L1783" s="4562">
        <f>XLOOKUP(B1783,'_Sys|Line_Map'!$A:$A,'_Sys|Line_Map'!$B:$B,"MISSING",0)</f>
        <v/>
      </c>
    </row>
    <row r="1784">
      <c r="A1784" s="4561" t="n"/>
      <c r="B1784" s="4561" t="n"/>
      <c r="C1784" s="4561" t="n"/>
      <c r="D1784" s="4561" t="n"/>
      <c r="E1784" s="4561" t="n"/>
      <c r="F1784" s="4561" t="n"/>
      <c r="G1784" s="4561" t="n"/>
      <c r="H1784" s="4561" t="n"/>
      <c r="I1784" s="4562">
        <f>XLOOKUP(B1784,'_Sys|Line_Map'!$A:$A,'_Sys|Line_Map'!$C:$C,"MISSING",0)</f>
        <v/>
      </c>
      <c r="J1784" s="4562">
        <f>XLOOKUP(B1784,'_Sys|Line_Map'!$A:$A,'_Sys|Line_Map'!$D:$D,1,0)</f>
        <v/>
      </c>
      <c r="K1784" s="4562">
        <f>IF(D1784="","",D1784*J1784)</f>
        <v/>
      </c>
      <c r="L1784" s="4562">
        <f>XLOOKUP(B1784,'_Sys|Line_Map'!$A:$A,'_Sys|Line_Map'!$B:$B,"MISSING",0)</f>
        <v/>
      </c>
    </row>
    <row r="1785">
      <c r="A1785" s="4561" t="n"/>
      <c r="B1785" s="4561" t="n"/>
      <c r="C1785" s="4561" t="n"/>
      <c r="D1785" s="4561" t="n"/>
      <c r="E1785" s="4561" t="n"/>
      <c r="F1785" s="4561" t="n"/>
      <c r="G1785" s="4561" t="n"/>
      <c r="H1785" s="4561" t="n"/>
      <c r="I1785" s="4562">
        <f>XLOOKUP(B1785,'_Sys|Line_Map'!$A:$A,'_Sys|Line_Map'!$C:$C,"MISSING",0)</f>
        <v/>
      </c>
      <c r="J1785" s="4562">
        <f>XLOOKUP(B1785,'_Sys|Line_Map'!$A:$A,'_Sys|Line_Map'!$D:$D,1,0)</f>
        <v/>
      </c>
      <c r="K1785" s="4562">
        <f>IF(D1785="","",D1785*J1785)</f>
        <v/>
      </c>
      <c r="L1785" s="4562">
        <f>XLOOKUP(B1785,'_Sys|Line_Map'!$A:$A,'_Sys|Line_Map'!$B:$B,"MISSING",0)</f>
        <v/>
      </c>
    </row>
    <row r="1786">
      <c r="A1786" s="4561" t="n"/>
      <c r="B1786" s="4561" t="n"/>
      <c r="C1786" s="4561" t="n"/>
      <c r="D1786" s="4561" t="n"/>
      <c r="E1786" s="4561" t="n"/>
      <c r="F1786" s="4561" t="n"/>
      <c r="G1786" s="4561" t="n"/>
      <c r="H1786" s="4561" t="n"/>
      <c r="I1786" s="4562">
        <f>XLOOKUP(B1786,'_Sys|Line_Map'!$A:$A,'_Sys|Line_Map'!$C:$C,"MISSING",0)</f>
        <v/>
      </c>
      <c r="J1786" s="4562">
        <f>XLOOKUP(B1786,'_Sys|Line_Map'!$A:$A,'_Sys|Line_Map'!$D:$D,1,0)</f>
        <v/>
      </c>
      <c r="K1786" s="4562">
        <f>IF(D1786="","",D1786*J1786)</f>
        <v/>
      </c>
      <c r="L1786" s="4562">
        <f>XLOOKUP(B1786,'_Sys|Line_Map'!$A:$A,'_Sys|Line_Map'!$B:$B,"MISSING",0)</f>
        <v/>
      </c>
    </row>
    <row r="1787">
      <c r="A1787" s="4561" t="n"/>
      <c r="B1787" s="4561" t="n"/>
      <c r="C1787" s="4561" t="n"/>
      <c r="D1787" s="4561" t="n"/>
      <c r="E1787" s="4561" t="n"/>
      <c r="F1787" s="4561" t="n"/>
      <c r="G1787" s="4561" t="n"/>
      <c r="H1787" s="4561" t="n"/>
      <c r="I1787" s="4562">
        <f>XLOOKUP(B1787,'_Sys|Line_Map'!$A:$A,'_Sys|Line_Map'!$C:$C,"MISSING",0)</f>
        <v/>
      </c>
      <c r="J1787" s="4562">
        <f>XLOOKUP(B1787,'_Sys|Line_Map'!$A:$A,'_Sys|Line_Map'!$D:$D,1,0)</f>
        <v/>
      </c>
      <c r="K1787" s="4562">
        <f>IF(D1787="","",D1787*J1787)</f>
        <v/>
      </c>
      <c r="L1787" s="4562">
        <f>XLOOKUP(B1787,'_Sys|Line_Map'!$A:$A,'_Sys|Line_Map'!$B:$B,"MISSING",0)</f>
        <v/>
      </c>
    </row>
    <row r="1788">
      <c r="A1788" s="4561" t="n"/>
      <c r="B1788" s="4561" t="n"/>
      <c r="C1788" s="4561" t="n"/>
      <c r="D1788" s="4561" t="n"/>
      <c r="E1788" s="4561" t="n"/>
      <c r="F1788" s="4561" t="n"/>
      <c r="G1788" s="4561" t="n"/>
      <c r="H1788" s="4561" t="n"/>
      <c r="I1788" s="4562">
        <f>XLOOKUP(B1788,'_Sys|Line_Map'!$A:$A,'_Sys|Line_Map'!$C:$C,"MISSING",0)</f>
        <v/>
      </c>
      <c r="J1788" s="4562">
        <f>XLOOKUP(B1788,'_Sys|Line_Map'!$A:$A,'_Sys|Line_Map'!$D:$D,1,0)</f>
        <v/>
      </c>
      <c r="K1788" s="4562">
        <f>IF(D1788="","",D1788*J1788)</f>
        <v/>
      </c>
      <c r="L1788" s="4562">
        <f>XLOOKUP(B1788,'_Sys|Line_Map'!$A:$A,'_Sys|Line_Map'!$B:$B,"MISSING",0)</f>
        <v/>
      </c>
    </row>
    <row r="1789">
      <c r="A1789" s="4561" t="n"/>
      <c r="B1789" s="4561" t="n"/>
      <c r="C1789" s="4561" t="n"/>
      <c r="D1789" s="4561" t="n"/>
      <c r="E1789" s="4561" t="n"/>
      <c r="F1789" s="4561" t="n"/>
      <c r="G1789" s="4561" t="n"/>
      <c r="H1789" s="4561" t="n"/>
      <c r="I1789" s="4562">
        <f>XLOOKUP(B1789,'_Sys|Line_Map'!$A:$A,'_Sys|Line_Map'!$C:$C,"MISSING",0)</f>
        <v/>
      </c>
      <c r="J1789" s="4562">
        <f>XLOOKUP(B1789,'_Sys|Line_Map'!$A:$A,'_Sys|Line_Map'!$D:$D,1,0)</f>
        <v/>
      </c>
      <c r="K1789" s="4562">
        <f>IF(D1789="","",D1789*J1789)</f>
        <v/>
      </c>
      <c r="L1789" s="4562">
        <f>XLOOKUP(B1789,'_Sys|Line_Map'!$A:$A,'_Sys|Line_Map'!$B:$B,"MISSING",0)</f>
        <v/>
      </c>
    </row>
    <row r="1790">
      <c r="A1790" s="4561" t="n"/>
      <c r="B1790" s="4561" t="n"/>
      <c r="C1790" s="4561" t="n"/>
      <c r="D1790" s="4561" t="n"/>
      <c r="E1790" s="4561" t="n"/>
      <c r="F1790" s="4561" t="n"/>
      <c r="G1790" s="4561" t="n"/>
      <c r="H1790" s="4561" t="n"/>
      <c r="I1790" s="4562">
        <f>XLOOKUP(B1790,'_Sys|Line_Map'!$A:$A,'_Sys|Line_Map'!$C:$C,"MISSING",0)</f>
        <v/>
      </c>
      <c r="J1790" s="4562">
        <f>XLOOKUP(B1790,'_Sys|Line_Map'!$A:$A,'_Sys|Line_Map'!$D:$D,1,0)</f>
        <v/>
      </c>
      <c r="K1790" s="4562">
        <f>IF(D1790="","",D1790*J1790)</f>
        <v/>
      </c>
      <c r="L1790" s="4562">
        <f>XLOOKUP(B1790,'_Sys|Line_Map'!$A:$A,'_Sys|Line_Map'!$B:$B,"MISSING",0)</f>
        <v/>
      </c>
    </row>
    <row r="1791">
      <c r="A1791" s="4561" t="n"/>
      <c r="B1791" s="4561" t="n"/>
      <c r="C1791" s="4561" t="n"/>
      <c r="D1791" s="4561" t="n"/>
      <c r="E1791" s="4561" t="n"/>
      <c r="F1791" s="4561" t="n"/>
      <c r="G1791" s="4561" t="n"/>
      <c r="H1791" s="4561" t="n"/>
      <c r="I1791" s="4562">
        <f>XLOOKUP(B1791,'_Sys|Line_Map'!$A:$A,'_Sys|Line_Map'!$C:$C,"MISSING",0)</f>
        <v/>
      </c>
      <c r="J1791" s="4562">
        <f>XLOOKUP(B1791,'_Sys|Line_Map'!$A:$A,'_Sys|Line_Map'!$D:$D,1,0)</f>
        <v/>
      </c>
      <c r="K1791" s="4562">
        <f>IF(D1791="","",D1791*J1791)</f>
        <v/>
      </c>
      <c r="L1791" s="4562">
        <f>XLOOKUP(B1791,'_Sys|Line_Map'!$A:$A,'_Sys|Line_Map'!$B:$B,"MISSING",0)</f>
        <v/>
      </c>
    </row>
    <row r="1792">
      <c r="A1792" s="4561" t="n"/>
      <c r="B1792" s="4561" t="n"/>
      <c r="C1792" s="4561" t="n"/>
      <c r="D1792" s="4561" t="n"/>
      <c r="E1792" s="4561" t="n"/>
      <c r="F1792" s="4561" t="n"/>
      <c r="G1792" s="4561" t="n"/>
      <c r="H1792" s="4561" t="n"/>
      <c r="I1792" s="4562">
        <f>XLOOKUP(B1792,'_Sys|Line_Map'!$A:$A,'_Sys|Line_Map'!$C:$C,"MISSING",0)</f>
        <v/>
      </c>
      <c r="J1792" s="4562">
        <f>XLOOKUP(B1792,'_Sys|Line_Map'!$A:$A,'_Sys|Line_Map'!$D:$D,1,0)</f>
        <v/>
      </c>
      <c r="K1792" s="4562">
        <f>IF(D1792="","",D1792*J1792)</f>
        <v/>
      </c>
      <c r="L1792" s="4562">
        <f>XLOOKUP(B1792,'_Sys|Line_Map'!$A:$A,'_Sys|Line_Map'!$B:$B,"MISSING",0)</f>
        <v/>
      </c>
    </row>
    <row r="1793">
      <c r="A1793" s="4561" t="n"/>
      <c r="B1793" s="4561" t="n"/>
      <c r="C1793" s="4561" t="n"/>
      <c r="D1793" s="4561" t="n"/>
      <c r="E1793" s="4561" t="n"/>
      <c r="F1793" s="4561" t="n"/>
      <c r="G1793" s="4561" t="n"/>
      <c r="H1793" s="4561" t="n"/>
      <c r="I1793" s="4562">
        <f>XLOOKUP(B1793,'_Sys|Line_Map'!$A:$A,'_Sys|Line_Map'!$C:$C,"MISSING",0)</f>
        <v/>
      </c>
      <c r="J1793" s="4562">
        <f>XLOOKUP(B1793,'_Sys|Line_Map'!$A:$A,'_Sys|Line_Map'!$D:$D,1,0)</f>
        <v/>
      </c>
      <c r="K1793" s="4562">
        <f>IF(D1793="","",D1793*J1793)</f>
        <v/>
      </c>
      <c r="L1793" s="4562">
        <f>XLOOKUP(B1793,'_Sys|Line_Map'!$A:$A,'_Sys|Line_Map'!$B:$B,"MISSING",0)</f>
        <v/>
      </c>
    </row>
    <row r="1794">
      <c r="A1794" s="4561" t="n"/>
      <c r="B1794" s="4561" t="n"/>
      <c r="C1794" s="4561" t="n"/>
      <c r="D1794" s="4561" t="n"/>
      <c r="E1794" s="4561" t="n"/>
      <c r="F1794" s="4561" t="n"/>
      <c r="G1794" s="4561" t="n"/>
      <c r="H1794" s="4561" t="n"/>
      <c r="I1794" s="4562">
        <f>XLOOKUP(B1794,'_Sys|Line_Map'!$A:$A,'_Sys|Line_Map'!$C:$C,"MISSING",0)</f>
        <v/>
      </c>
      <c r="J1794" s="4562">
        <f>XLOOKUP(B1794,'_Sys|Line_Map'!$A:$A,'_Sys|Line_Map'!$D:$D,1,0)</f>
        <v/>
      </c>
      <c r="K1794" s="4562">
        <f>IF(D1794="","",D1794*J1794)</f>
        <v/>
      </c>
      <c r="L1794" s="4562">
        <f>XLOOKUP(B1794,'_Sys|Line_Map'!$A:$A,'_Sys|Line_Map'!$B:$B,"MISSING",0)</f>
        <v/>
      </c>
    </row>
    <row r="1795">
      <c r="A1795" s="4561" t="n"/>
      <c r="B1795" s="4561" t="n"/>
      <c r="C1795" s="4561" t="n"/>
      <c r="D1795" s="4561" t="n"/>
      <c r="E1795" s="4561" t="n"/>
      <c r="F1795" s="4561" t="n"/>
      <c r="G1795" s="4561" t="n"/>
      <c r="H1795" s="4561" t="n"/>
      <c r="I1795" s="4562">
        <f>XLOOKUP(B1795,'_Sys|Line_Map'!$A:$A,'_Sys|Line_Map'!$C:$C,"MISSING",0)</f>
        <v/>
      </c>
      <c r="J1795" s="4562">
        <f>XLOOKUP(B1795,'_Sys|Line_Map'!$A:$A,'_Sys|Line_Map'!$D:$D,1,0)</f>
        <v/>
      </c>
      <c r="K1795" s="4562">
        <f>IF(D1795="","",D1795*J1795)</f>
        <v/>
      </c>
      <c r="L1795" s="4562">
        <f>XLOOKUP(B1795,'_Sys|Line_Map'!$A:$A,'_Sys|Line_Map'!$B:$B,"MISSING",0)</f>
        <v/>
      </c>
    </row>
    <row r="1796">
      <c r="A1796" s="4561" t="n"/>
      <c r="B1796" s="4561" t="n"/>
      <c r="C1796" s="4561" t="n"/>
      <c r="D1796" s="4561" t="n"/>
      <c r="E1796" s="4561" t="n"/>
      <c r="F1796" s="4561" t="n"/>
      <c r="G1796" s="4561" t="n"/>
      <c r="H1796" s="4561" t="n"/>
      <c r="I1796" s="4562">
        <f>XLOOKUP(B1796,'_Sys|Line_Map'!$A:$A,'_Sys|Line_Map'!$C:$C,"MISSING",0)</f>
        <v/>
      </c>
      <c r="J1796" s="4562">
        <f>XLOOKUP(B1796,'_Sys|Line_Map'!$A:$A,'_Sys|Line_Map'!$D:$D,1,0)</f>
        <v/>
      </c>
      <c r="K1796" s="4562">
        <f>IF(D1796="","",D1796*J1796)</f>
        <v/>
      </c>
      <c r="L1796" s="4562">
        <f>XLOOKUP(B1796,'_Sys|Line_Map'!$A:$A,'_Sys|Line_Map'!$B:$B,"MISSING",0)</f>
        <v/>
      </c>
    </row>
    <row r="1797">
      <c r="A1797" s="4561" t="n"/>
      <c r="B1797" s="4561" t="n"/>
      <c r="C1797" s="4561" t="n"/>
      <c r="D1797" s="4561" t="n"/>
      <c r="E1797" s="4561" t="n"/>
      <c r="F1797" s="4561" t="n"/>
      <c r="G1797" s="4561" t="n"/>
      <c r="H1797" s="4561" t="n"/>
      <c r="I1797" s="4562">
        <f>XLOOKUP(B1797,'_Sys|Line_Map'!$A:$A,'_Sys|Line_Map'!$C:$C,"MISSING",0)</f>
        <v/>
      </c>
      <c r="J1797" s="4562">
        <f>XLOOKUP(B1797,'_Sys|Line_Map'!$A:$A,'_Sys|Line_Map'!$D:$D,1,0)</f>
        <v/>
      </c>
      <c r="K1797" s="4562">
        <f>IF(D1797="","",D1797*J1797)</f>
        <v/>
      </c>
      <c r="L1797" s="4562">
        <f>XLOOKUP(B1797,'_Sys|Line_Map'!$A:$A,'_Sys|Line_Map'!$B:$B,"MISSING",0)</f>
        <v/>
      </c>
    </row>
    <row r="1798">
      <c r="A1798" s="4561" t="n"/>
      <c r="B1798" s="4561" t="n"/>
      <c r="C1798" s="4561" t="n"/>
      <c r="D1798" s="4561" t="n"/>
      <c r="E1798" s="4561" t="n"/>
      <c r="F1798" s="4561" t="n"/>
      <c r="G1798" s="4561" t="n"/>
      <c r="H1798" s="4561" t="n"/>
      <c r="I1798" s="4562">
        <f>XLOOKUP(B1798,'_Sys|Line_Map'!$A:$A,'_Sys|Line_Map'!$C:$C,"MISSING",0)</f>
        <v/>
      </c>
      <c r="J1798" s="4562">
        <f>XLOOKUP(B1798,'_Sys|Line_Map'!$A:$A,'_Sys|Line_Map'!$D:$D,1,0)</f>
        <v/>
      </c>
      <c r="K1798" s="4562">
        <f>IF(D1798="","",D1798*J1798)</f>
        <v/>
      </c>
      <c r="L1798" s="4562">
        <f>XLOOKUP(B1798,'_Sys|Line_Map'!$A:$A,'_Sys|Line_Map'!$B:$B,"MISSING",0)</f>
        <v/>
      </c>
    </row>
    <row r="1799">
      <c r="A1799" s="4561" t="n"/>
      <c r="B1799" s="4561" t="n"/>
      <c r="C1799" s="4561" t="n"/>
      <c r="D1799" s="4561" t="n"/>
      <c r="E1799" s="4561" t="n"/>
      <c r="F1799" s="4561" t="n"/>
      <c r="G1799" s="4561" t="n"/>
      <c r="H1799" s="4561" t="n"/>
      <c r="I1799" s="4562">
        <f>XLOOKUP(B1799,'_Sys|Line_Map'!$A:$A,'_Sys|Line_Map'!$C:$C,"MISSING",0)</f>
        <v/>
      </c>
      <c r="J1799" s="4562">
        <f>XLOOKUP(B1799,'_Sys|Line_Map'!$A:$A,'_Sys|Line_Map'!$D:$D,1,0)</f>
        <v/>
      </c>
      <c r="K1799" s="4562">
        <f>IF(D1799="","",D1799*J1799)</f>
        <v/>
      </c>
      <c r="L1799" s="4562">
        <f>XLOOKUP(B1799,'_Sys|Line_Map'!$A:$A,'_Sys|Line_Map'!$B:$B,"MISSING",0)</f>
        <v/>
      </c>
    </row>
    <row r="1800">
      <c r="A1800" s="4561" t="n"/>
      <c r="B1800" s="4561" t="n"/>
      <c r="C1800" s="4561" t="n"/>
      <c r="D1800" s="4561" t="n"/>
      <c r="E1800" s="4561" t="n"/>
      <c r="F1800" s="4561" t="n"/>
      <c r="G1800" s="4561" t="n"/>
      <c r="H1800" s="4561" t="n"/>
      <c r="I1800" s="4562">
        <f>XLOOKUP(B1800,'_Sys|Line_Map'!$A:$A,'_Sys|Line_Map'!$C:$C,"MISSING",0)</f>
        <v/>
      </c>
      <c r="J1800" s="4562">
        <f>XLOOKUP(B1800,'_Sys|Line_Map'!$A:$A,'_Sys|Line_Map'!$D:$D,1,0)</f>
        <v/>
      </c>
      <c r="K1800" s="4562">
        <f>IF(D1800="","",D1800*J1800)</f>
        <v/>
      </c>
      <c r="L1800" s="4562">
        <f>XLOOKUP(B1800,'_Sys|Line_Map'!$A:$A,'_Sys|Line_Map'!$B:$B,"MISSING",0)</f>
        <v/>
      </c>
    </row>
    <row r="1801">
      <c r="A1801" s="4561" t="n"/>
      <c r="B1801" s="4561" t="n"/>
      <c r="C1801" s="4561" t="n"/>
      <c r="D1801" s="4561" t="n"/>
      <c r="E1801" s="4561" t="n"/>
      <c r="F1801" s="4561" t="n"/>
      <c r="G1801" s="4561" t="n"/>
      <c r="H1801" s="4561" t="n"/>
      <c r="I1801" s="4562">
        <f>XLOOKUP(B1801,'_Sys|Line_Map'!$A:$A,'_Sys|Line_Map'!$C:$C,"MISSING",0)</f>
        <v/>
      </c>
      <c r="J1801" s="4562">
        <f>XLOOKUP(B1801,'_Sys|Line_Map'!$A:$A,'_Sys|Line_Map'!$D:$D,1,0)</f>
        <v/>
      </c>
      <c r="K1801" s="4562">
        <f>IF(D1801="","",D1801*J1801)</f>
        <v/>
      </c>
      <c r="L1801" s="4562">
        <f>XLOOKUP(B1801,'_Sys|Line_Map'!$A:$A,'_Sys|Line_Map'!$B:$B,"MISSING",0)</f>
        <v/>
      </c>
    </row>
    <row r="1802">
      <c r="A1802" s="4561" t="n"/>
      <c r="B1802" s="4561" t="n"/>
      <c r="C1802" s="4561" t="n"/>
      <c r="D1802" s="4561" t="n"/>
      <c r="E1802" s="4561" t="n"/>
      <c r="F1802" s="4561" t="n"/>
      <c r="G1802" s="4561" t="n"/>
      <c r="H1802" s="4561" t="n"/>
      <c r="I1802" s="4562">
        <f>XLOOKUP(B1802,'_Sys|Line_Map'!$A:$A,'_Sys|Line_Map'!$C:$C,"MISSING",0)</f>
        <v/>
      </c>
      <c r="J1802" s="4562">
        <f>XLOOKUP(B1802,'_Sys|Line_Map'!$A:$A,'_Sys|Line_Map'!$D:$D,1,0)</f>
        <v/>
      </c>
      <c r="K1802" s="4562">
        <f>IF(D1802="","",D1802*J1802)</f>
        <v/>
      </c>
      <c r="L1802" s="4562">
        <f>XLOOKUP(B1802,'_Sys|Line_Map'!$A:$A,'_Sys|Line_Map'!$B:$B,"MISSING",0)</f>
        <v/>
      </c>
    </row>
    <row r="1803">
      <c r="A1803" s="4561" t="n"/>
      <c r="B1803" s="4561" t="n"/>
      <c r="C1803" s="4561" t="n"/>
      <c r="D1803" s="4561" t="n"/>
      <c r="E1803" s="4561" t="n"/>
      <c r="F1803" s="4561" t="n"/>
      <c r="G1803" s="4561" t="n"/>
      <c r="H1803" s="4561" t="n"/>
      <c r="I1803" s="4562">
        <f>XLOOKUP(B1803,'_Sys|Line_Map'!$A:$A,'_Sys|Line_Map'!$C:$C,"MISSING",0)</f>
        <v/>
      </c>
      <c r="J1803" s="4562">
        <f>XLOOKUP(B1803,'_Sys|Line_Map'!$A:$A,'_Sys|Line_Map'!$D:$D,1,0)</f>
        <v/>
      </c>
      <c r="K1803" s="4562">
        <f>IF(D1803="","",D1803*J1803)</f>
        <v/>
      </c>
      <c r="L1803" s="4562">
        <f>XLOOKUP(B1803,'_Sys|Line_Map'!$A:$A,'_Sys|Line_Map'!$B:$B,"MISSING",0)</f>
        <v/>
      </c>
    </row>
    <row r="1804">
      <c r="A1804" s="4561" t="n"/>
      <c r="B1804" s="4561" t="n"/>
      <c r="C1804" s="4561" t="n"/>
      <c r="D1804" s="4561" t="n"/>
      <c r="E1804" s="4561" t="n"/>
      <c r="F1804" s="4561" t="n"/>
      <c r="G1804" s="4561" t="n"/>
      <c r="H1804" s="4561" t="n"/>
      <c r="I1804" s="4562">
        <f>XLOOKUP(B1804,'_Sys|Line_Map'!$A:$A,'_Sys|Line_Map'!$C:$C,"MISSING",0)</f>
        <v/>
      </c>
      <c r="J1804" s="4562">
        <f>XLOOKUP(B1804,'_Sys|Line_Map'!$A:$A,'_Sys|Line_Map'!$D:$D,1,0)</f>
        <v/>
      </c>
      <c r="K1804" s="4562">
        <f>IF(D1804="","",D1804*J1804)</f>
        <v/>
      </c>
      <c r="L1804" s="4562">
        <f>XLOOKUP(B1804,'_Sys|Line_Map'!$A:$A,'_Sys|Line_Map'!$B:$B,"MISSING",0)</f>
        <v/>
      </c>
    </row>
    <row r="1805">
      <c r="A1805" s="4561" t="n"/>
      <c r="B1805" s="4561" t="n"/>
      <c r="C1805" s="4561" t="n"/>
      <c r="D1805" s="4561" t="n"/>
      <c r="E1805" s="4561" t="n"/>
      <c r="F1805" s="4561" t="n"/>
      <c r="G1805" s="4561" t="n"/>
      <c r="H1805" s="4561" t="n"/>
      <c r="I1805" s="4562">
        <f>XLOOKUP(B1805,'_Sys|Line_Map'!$A:$A,'_Sys|Line_Map'!$C:$C,"MISSING",0)</f>
        <v/>
      </c>
      <c r="J1805" s="4562">
        <f>XLOOKUP(B1805,'_Sys|Line_Map'!$A:$A,'_Sys|Line_Map'!$D:$D,1,0)</f>
        <v/>
      </c>
      <c r="K1805" s="4562">
        <f>IF(D1805="","",D1805*J1805)</f>
        <v/>
      </c>
      <c r="L1805" s="4562">
        <f>XLOOKUP(B1805,'_Sys|Line_Map'!$A:$A,'_Sys|Line_Map'!$B:$B,"MISSING",0)</f>
        <v/>
      </c>
    </row>
    <row r="1806">
      <c r="A1806" s="4561" t="n"/>
      <c r="B1806" s="4561" t="n"/>
      <c r="C1806" s="4561" t="n"/>
      <c r="D1806" s="4561" t="n"/>
      <c r="E1806" s="4561" t="n"/>
      <c r="F1806" s="4561" t="n"/>
      <c r="G1806" s="4561" t="n"/>
      <c r="H1806" s="4561" t="n"/>
      <c r="I1806" s="4562">
        <f>XLOOKUP(B1806,'_Sys|Line_Map'!$A:$A,'_Sys|Line_Map'!$C:$C,"MISSING",0)</f>
        <v/>
      </c>
      <c r="J1806" s="4562">
        <f>XLOOKUP(B1806,'_Sys|Line_Map'!$A:$A,'_Sys|Line_Map'!$D:$D,1,0)</f>
        <v/>
      </c>
      <c r="K1806" s="4562">
        <f>IF(D1806="","",D1806*J1806)</f>
        <v/>
      </c>
      <c r="L1806" s="4562">
        <f>XLOOKUP(B1806,'_Sys|Line_Map'!$A:$A,'_Sys|Line_Map'!$B:$B,"MISSING",0)</f>
        <v/>
      </c>
    </row>
    <row r="1807">
      <c r="A1807" s="4561" t="n"/>
      <c r="B1807" s="4561" t="n"/>
      <c r="C1807" s="4561" t="n"/>
      <c r="D1807" s="4561" t="n"/>
      <c r="E1807" s="4561" t="n"/>
      <c r="F1807" s="4561" t="n"/>
      <c r="G1807" s="4561" t="n"/>
      <c r="H1807" s="4561" t="n"/>
      <c r="I1807" s="4562">
        <f>XLOOKUP(B1807,'_Sys|Line_Map'!$A:$A,'_Sys|Line_Map'!$C:$C,"MISSING",0)</f>
        <v/>
      </c>
      <c r="J1807" s="4562">
        <f>XLOOKUP(B1807,'_Sys|Line_Map'!$A:$A,'_Sys|Line_Map'!$D:$D,1,0)</f>
        <v/>
      </c>
      <c r="K1807" s="4562">
        <f>IF(D1807="","",D1807*J1807)</f>
        <v/>
      </c>
      <c r="L1807" s="4562">
        <f>XLOOKUP(B1807,'_Sys|Line_Map'!$A:$A,'_Sys|Line_Map'!$B:$B,"MISSING",0)</f>
        <v/>
      </c>
    </row>
    <row r="1808">
      <c r="A1808" s="4561" t="n"/>
      <c r="B1808" s="4561" t="n"/>
      <c r="C1808" s="4561" t="n"/>
      <c r="D1808" s="4561" t="n"/>
      <c r="E1808" s="4561" t="n"/>
      <c r="F1808" s="4561" t="n"/>
      <c r="G1808" s="4561" t="n"/>
      <c r="H1808" s="4561" t="n"/>
      <c r="I1808" s="4562">
        <f>XLOOKUP(B1808,'_Sys|Line_Map'!$A:$A,'_Sys|Line_Map'!$C:$C,"MISSING",0)</f>
        <v/>
      </c>
      <c r="J1808" s="4562">
        <f>XLOOKUP(B1808,'_Sys|Line_Map'!$A:$A,'_Sys|Line_Map'!$D:$D,1,0)</f>
        <v/>
      </c>
      <c r="K1808" s="4562">
        <f>IF(D1808="","",D1808*J1808)</f>
        <v/>
      </c>
      <c r="L1808" s="4562">
        <f>XLOOKUP(B1808,'_Sys|Line_Map'!$A:$A,'_Sys|Line_Map'!$B:$B,"MISSING",0)</f>
        <v/>
      </c>
    </row>
    <row r="1809">
      <c r="A1809" s="4561" t="n"/>
      <c r="B1809" s="4561" t="n"/>
      <c r="C1809" s="4561" t="n"/>
      <c r="D1809" s="4561" t="n"/>
      <c r="E1809" s="4561" t="n"/>
      <c r="F1809" s="4561" t="n"/>
      <c r="G1809" s="4561" t="n"/>
      <c r="H1809" s="4561" t="n"/>
      <c r="I1809" s="4562">
        <f>XLOOKUP(B1809,'_Sys|Line_Map'!$A:$A,'_Sys|Line_Map'!$C:$C,"MISSING",0)</f>
        <v/>
      </c>
      <c r="J1809" s="4562">
        <f>XLOOKUP(B1809,'_Sys|Line_Map'!$A:$A,'_Sys|Line_Map'!$D:$D,1,0)</f>
        <v/>
      </c>
      <c r="K1809" s="4562">
        <f>IF(D1809="","",D1809*J1809)</f>
        <v/>
      </c>
      <c r="L1809" s="4562">
        <f>XLOOKUP(B1809,'_Sys|Line_Map'!$A:$A,'_Sys|Line_Map'!$B:$B,"MISSING",0)</f>
        <v/>
      </c>
    </row>
    <row r="1810">
      <c r="A1810" s="4561" t="n"/>
      <c r="B1810" s="4561" t="n"/>
      <c r="C1810" s="4561" t="n"/>
      <c r="D1810" s="4561" t="n"/>
      <c r="E1810" s="4561" t="n"/>
      <c r="F1810" s="4561" t="n"/>
      <c r="G1810" s="4561" t="n"/>
      <c r="H1810" s="4561" t="n"/>
      <c r="I1810" s="4562">
        <f>XLOOKUP(B1810,'_Sys|Line_Map'!$A:$A,'_Sys|Line_Map'!$C:$C,"MISSING",0)</f>
        <v/>
      </c>
      <c r="J1810" s="4562">
        <f>XLOOKUP(B1810,'_Sys|Line_Map'!$A:$A,'_Sys|Line_Map'!$D:$D,1,0)</f>
        <v/>
      </c>
      <c r="K1810" s="4562">
        <f>IF(D1810="","",D1810*J1810)</f>
        <v/>
      </c>
      <c r="L1810" s="4562">
        <f>XLOOKUP(B1810,'_Sys|Line_Map'!$A:$A,'_Sys|Line_Map'!$B:$B,"MISSING",0)</f>
        <v/>
      </c>
    </row>
    <row r="1811">
      <c r="A1811" s="4561" t="n"/>
      <c r="B1811" s="4561" t="n"/>
      <c r="C1811" s="4561" t="n"/>
      <c r="D1811" s="4561" t="n"/>
      <c r="E1811" s="4561" t="n"/>
      <c r="F1811" s="4561" t="n"/>
      <c r="G1811" s="4561" t="n"/>
      <c r="H1811" s="4561" t="n"/>
      <c r="I1811" s="4562">
        <f>XLOOKUP(B1811,'_Sys|Line_Map'!$A:$A,'_Sys|Line_Map'!$C:$C,"MISSING",0)</f>
        <v/>
      </c>
      <c r="J1811" s="4562">
        <f>XLOOKUP(B1811,'_Sys|Line_Map'!$A:$A,'_Sys|Line_Map'!$D:$D,1,0)</f>
        <v/>
      </c>
      <c r="K1811" s="4562">
        <f>IF(D1811="","",D1811*J1811)</f>
        <v/>
      </c>
      <c r="L1811" s="4562">
        <f>XLOOKUP(B1811,'_Sys|Line_Map'!$A:$A,'_Sys|Line_Map'!$B:$B,"MISSING",0)</f>
        <v/>
      </c>
    </row>
    <row r="1812">
      <c r="A1812" s="4561" t="n"/>
      <c r="B1812" s="4561" t="n"/>
      <c r="C1812" s="4561" t="n"/>
      <c r="D1812" s="4561" t="n"/>
      <c r="E1812" s="4561" t="n"/>
      <c r="F1812" s="4561" t="n"/>
      <c r="G1812" s="4561" t="n"/>
      <c r="H1812" s="4561" t="n"/>
      <c r="I1812" s="4562">
        <f>XLOOKUP(B1812,'_Sys|Line_Map'!$A:$A,'_Sys|Line_Map'!$C:$C,"MISSING",0)</f>
        <v/>
      </c>
      <c r="J1812" s="4562">
        <f>XLOOKUP(B1812,'_Sys|Line_Map'!$A:$A,'_Sys|Line_Map'!$D:$D,1,0)</f>
        <v/>
      </c>
      <c r="K1812" s="4562">
        <f>IF(D1812="","",D1812*J1812)</f>
        <v/>
      </c>
      <c r="L1812" s="4562">
        <f>XLOOKUP(B1812,'_Sys|Line_Map'!$A:$A,'_Sys|Line_Map'!$B:$B,"MISSING",0)</f>
        <v/>
      </c>
    </row>
    <row r="1813">
      <c r="A1813" s="4561" t="n"/>
      <c r="B1813" s="4561" t="n"/>
      <c r="C1813" s="4561" t="n"/>
      <c r="D1813" s="4561" t="n"/>
      <c r="E1813" s="4561" t="n"/>
      <c r="F1813" s="4561" t="n"/>
      <c r="G1813" s="4561" t="n"/>
      <c r="H1813" s="4561" t="n"/>
      <c r="I1813" s="4562">
        <f>XLOOKUP(B1813,'_Sys|Line_Map'!$A:$A,'_Sys|Line_Map'!$C:$C,"MISSING",0)</f>
        <v/>
      </c>
      <c r="J1813" s="4562">
        <f>XLOOKUP(B1813,'_Sys|Line_Map'!$A:$A,'_Sys|Line_Map'!$D:$D,1,0)</f>
        <v/>
      </c>
      <c r="K1813" s="4562">
        <f>IF(D1813="","",D1813*J1813)</f>
        <v/>
      </c>
      <c r="L1813" s="4562">
        <f>XLOOKUP(B1813,'_Sys|Line_Map'!$A:$A,'_Sys|Line_Map'!$B:$B,"MISSING",0)</f>
        <v/>
      </c>
    </row>
    <row r="1814">
      <c r="A1814" s="4561" t="n"/>
      <c r="B1814" s="4561" t="n"/>
      <c r="C1814" s="4561" t="n"/>
      <c r="D1814" s="4561" t="n"/>
      <c r="E1814" s="4561" t="n"/>
      <c r="F1814" s="4561" t="n"/>
      <c r="G1814" s="4561" t="n"/>
      <c r="H1814" s="4561" t="n"/>
      <c r="I1814" s="4562">
        <f>XLOOKUP(B1814,'_Sys|Line_Map'!$A:$A,'_Sys|Line_Map'!$C:$C,"MISSING",0)</f>
        <v/>
      </c>
      <c r="J1814" s="4562">
        <f>XLOOKUP(B1814,'_Sys|Line_Map'!$A:$A,'_Sys|Line_Map'!$D:$D,1,0)</f>
        <v/>
      </c>
      <c r="K1814" s="4562">
        <f>IF(D1814="","",D1814*J1814)</f>
        <v/>
      </c>
      <c r="L1814" s="4562">
        <f>XLOOKUP(B1814,'_Sys|Line_Map'!$A:$A,'_Sys|Line_Map'!$B:$B,"MISSING",0)</f>
        <v/>
      </c>
    </row>
    <row r="1815">
      <c r="A1815" s="4561" t="n"/>
      <c r="B1815" s="4561" t="n"/>
      <c r="C1815" s="4561" t="n"/>
      <c r="D1815" s="4561" t="n"/>
      <c r="E1815" s="4561" t="n"/>
      <c r="F1815" s="4561" t="n"/>
      <c r="G1815" s="4561" t="n"/>
      <c r="H1815" s="4561" t="n"/>
      <c r="I1815" s="4562">
        <f>XLOOKUP(B1815,'_Sys|Line_Map'!$A:$A,'_Sys|Line_Map'!$C:$C,"MISSING",0)</f>
        <v/>
      </c>
      <c r="J1815" s="4562">
        <f>XLOOKUP(B1815,'_Sys|Line_Map'!$A:$A,'_Sys|Line_Map'!$D:$D,1,0)</f>
        <v/>
      </c>
      <c r="K1815" s="4562">
        <f>IF(D1815="","",D1815*J1815)</f>
        <v/>
      </c>
      <c r="L1815" s="4562">
        <f>XLOOKUP(B1815,'_Sys|Line_Map'!$A:$A,'_Sys|Line_Map'!$B:$B,"MISSING",0)</f>
        <v/>
      </c>
    </row>
    <row r="1816">
      <c r="A1816" s="4561" t="n"/>
      <c r="B1816" s="4561" t="n"/>
      <c r="C1816" s="4561" t="n"/>
      <c r="D1816" s="4561" t="n"/>
      <c r="E1816" s="4561" t="n"/>
      <c r="F1816" s="4561" t="n"/>
      <c r="G1816" s="4561" t="n"/>
      <c r="H1816" s="4561" t="n"/>
      <c r="I1816" s="4562">
        <f>XLOOKUP(B1816,'_Sys|Line_Map'!$A:$A,'_Sys|Line_Map'!$C:$C,"MISSING",0)</f>
        <v/>
      </c>
      <c r="J1816" s="4562">
        <f>XLOOKUP(B1816,'_Sys|Line_Map'!$A:$A,'_Sys|Line_Map'!$D:$D,1,0)</f>
        <v/>
      </c>
      <c r="K1816" s="4562">
        <f>IF(D1816="","",D1816*J1816)</f>
        <v/>
      </c>
      <c r="L1816" s="4562">
        <f>XLOOKUP(B1816,'_Sys|Line_Map'!$A:$A,'_Sys|Line_Map'!$B:$B,"MISSING",0)</f>
        <v/>
      </c>
    </row>
    <row r="1817">
      <c r="A1817" s="4561" t="n"/>
      <c r="B1817" s="4561" t="n"/>
      <c r="C1817" s="4561" t="n"/>
      <c r="D1817" s="4561" t="n"/>
      <c r="E1817" s="4561" t="n"/>
      <c r="F1817" s="4561" t="n"/>
      <c r="G1817" s="4561" t="n"/>
      <c r="H1817" s="4561" t="n"/>
      <c r="I1817" s="4562">
        <f>XLOOKUP(B1817,'_Sys|Line_Map'!$A:$A,'_Sys|Line_Map'!$C:$C,"MISSING",0)</f>
        <v/>
      </c>
      <c r="J1817" s="4562">
        <f>XLOOKUP(B1817,'_Sys|Line_Map'!$A:$A,'_Sys|Line_Map'!$D:$D,1,0)</f>
        <v/>
      </c>
      <c r="K1817" s="4562">
        <f>IF(D1817="","",D1817*J1817)</f>
        <v/>
      </c>
      <c r="L1817" s="4562">
        <f>XLOOKUP(B1817,'_Sys|Line_Map'!$A:$A,'_Sys|Line_Map'!$B:$B,"MISSING",0)</f>
        <v/>
      </c>
    </row>
    <row r="1818">
      <c r="A1818" s="4561" t="n"/>
      <c r="B1818" s="4561" t="n"/>
      <c r="C1818" s="4561" t="n"/>
      <c r="D1818" s="4561" t="n"/>
      <c r="E1818" s="4561" t="n"/>
      <c r="F1818" s="4561" t="n"/>
      <c r="G1818" s="4561" t="n"/>
      <c r="H1818" s="4561" t="n"/>
      <c r="I1818" s="4562">
        <f>XLOOKUP(B1818,'_Sys|Line_Map'!$A:$A,'_Sys|Line_Map'!$C:$C,"MISSING",0)</f>
        <v/>
      </c>
      <c r="J1818" s="4562">
        <f>XLOOKUP(B1818,'_Sys|Line_Map'!$A:$A,'_Sys|Line_Map'!$D:$D,1,0)</f>
        <v/>
      </c>
      <c r="K1818" s="4562">
        <f>IF(D1818="","",D1818*J1818)</f>
        <v/>
      </c>
      <c r="L1818" s="4562">
        <f>XLOOKUP(B1818,'_Sys|Line_Map'!$A:$A,'_Sys|Line_Map'!$B:$B,"MISSING",0)</f>
        <v/>
      </c>
    </row>
    <row r="1819">
      <c r="A1819" s="4561" t="n"/>
      <c r="B1819" s="4561" t="n"/>
      <c r="C1819" s="4561" t="n"/>
      <c r="D1819" s="4561" t="n"/>
      <c r="E1819" s="4561" t="n"/>
      <c r="F1819" s="4561" t="n"/>
      <c r="G1819" s="4561" t="n"/>
      <c r="H1819" s="4561" t="n"/>
      <c r="I1819" s="4562">
        <f>XLOOKUP(B1819,'_Sys|Line_Map'!$A:$A,'_Sys|Line_Map'!$C:$C,"MISSING",0)</f>
        <v/>
      </c>
      <c r="J1819" s="4562">
        <f>XLOOKUP(B1819,'_Sys|Line_Map'!$A:$A,'_Sys|Line_Map'!$D:$D,1,0)</f>
        <v/>
      </c>
      <c r="K1819" s="4562">
        <f>IF(D1819="","",D1819*J1819)</f>
        <v/>
      </c>
      <c r="L1819" s="4562">
        <f>XLOOKUP(B1819,'_Sys|Line_Map'!$A:$A,'_Sys|Line_Map'!$B:$B,"MISSING",0)</f>
        <v/>
      </c>
    </row>
    <row r="1820">
      <c r="A1820" s="4561" t="n"/>
      <c r="B1820" s="4561" t="n"/>
      <c r="C1820" s="4561" t="n"/>
      <c r="D1820" s="4561" t="n"/>
      <c r="E1820" s="4561" t="n"/>
      <c r="F1820" s="4561" t="n"/>
      <c r="G1820" s="4561" t="n"/>
      <c r="H1820" s="4561" t="n"/>
      <c r="I1820" s="4562">
        <f>XLOOKUP(B1820,'_Sys|Line_Map'!$A:$A,'_Sys|Line_Map'!$C:$C,"MISSING",0)</f>
        <v/>
      </c>
      <c r="J1820" s="4562">
        <f>XLOOKUP(B1820,'_Sys|Line_Map'!$A:$A,'_Sys|Line_Map'!$D:$D,1,0)</f>
        <v/>
      </c>
      <c r="K1820" s="4562">
        <f>IF(D1820="","",D1820*J1820)</f>
        <v/>
      </c>
      <c r="L1820" s="4562">
        <f>XLOOKUP(B1820,'_Sys|Line_Map'!$A:$A,'_Sys|Line_Map'!$B:$B,"MISSING",0)</f>
        <v/>
      </c>
    </row>
    <row r="1821">
      <c r="A1821" s="4561" t="n"/>
      <c r="B1821" s="4561" t="n"/>
      <c r="C1821" s="4561" t="n"/>
      <c r="D1821" s="4561" t="n"/>
      <c r="E1821" s="4561" t="n"/>
      <c r="F1821" s="4561" t="n"/>
      <c r="G1821" s="4561" t="n"/>
      <c r="H1821" s="4561" t="n"/>
      <c r="I1821" s="4562">
        <f>XLOOKUP(B1821,'_Sys|Line_Map'!$A:$A,'_Sys|Line_Map'!$C:$C,"MISSING",0)</f>
        <v/>
      </c>
      <c r="J1821" s="4562">
        <f>XLOOKUP(B1821,'_Sys|Line_Map'!$A:$A,'_Sys|Line_Map'!$D:$D,1,0)</f>
        <v/>
      </c>
      <c r="K1821" s="4562">
        <f>IF(D1821="","",D1821*J1821)</f>
        <v/>
      </c>
      <c r="L1821" s="4562">
        <f>XLOOKUP(B1821,'_Sys|Line_Map'!$A:$A,'_Sys|Line_Map'!$B:$B,"MISSING",0)</f>
        <v/>
      </c>
    </row>
    <row r="1822">
      <c r="A1822" s="4561" t="n"/>
      <c r="B1822" s="4561" t="n"/>
      <c r="C1822" s="4561" t="n"/>
      <c r="D1822" s="4561" t="n"/>
      <c r="E1822" s="4561" t="n"/>
      <c r="F1822" s="4561" t="n"/>
      <c r="G1822" s="4561" t="n"/>
      <c r="H1822" s="4561" t="n"/>
      <c r="I1822" s="4562">
        <f>XLOOKUP(B1822,'_Sys|Line_Map'!$A:$A,'_Sys|Line_Map'!$C:$C,"MISSING",0)</f>
        <v/>
      </c>
      <c r="J1822" s="4562">
        <f>XLOOKUP(B1822,'_Sys|Line_Map'!$A:$A,'_Sys|Line_Map'!$D:$D,1,0)</f>
        <v/>
      </c>
      <c r="K1822" s="4562">
        <f>IF(D1822="","",D1822*J1822)</f>
        <v/>
      </c>
      <c r="L1822" s="4562">
        <f>XLOOKUP(B1822,'_Sys|Line_Map'!$A:$A,'_Sys|Line_Map'!$B:$B,"MISSING",0)</f>
        <v/>
      </c>
    </row>
    <row r="1823">
      <c r="A1823" s="4561" t="n"/>
      <c r="B1823" s="4561" t="n"/>
      <c r="C1823" s="4561" t="n"/>
      <c r="D1823" s="4561" t="n"/>
      <c r="E1823" s="4561" t="n"/>
      <c r="F1823" s="4561" t="n"/>
      <c r="G1823" s="4561" t="n"/>
      <c r="H1823" s="4561" t="n"/>
      <c r="I1823" s="4562">
        <f>XLOOKUP(B1823,'_Sys|Line_Map'!$A:$A,'_Sys|Line_Map'!$C:$C,"MISSING",0)</f>
        <v/>
      </c>
      <c r="J1823" s="4562">
        <f>XLOOKUP(B1823,'_Sys|Line_Map'!$A:$A,'_Sys|Line_Map'!$D:$D,1,0)</f>
        <v/>
      </c>
      <c r="K1823" s="4562">
        <f>IF(D1823="","",D1823*J1823)</f>
        <v/>
      </c>
      <c r="L1823" s="4562">
        <f>XLOOKUP(B1823,'_Sys|Line_Map'!$A:$A,'_Sys|Line_Map'!$B:$B,"MISSING",0)</f>
        <v/>
      </c>
    </row>
    <row r="1824">
      <c r="A1824" s="4561" t="n"/>
      <c r="B1824" s="4561" t="n"/>
      <c r="C1824" s="4561" t="n"/>
      <c r="D1824" s="4561" t="n"/>
      <c r="E1824" s="4561" t="n"/>
      <c r="F1824" s="4561" t="n"/>
      <c r="G1824" s="4561" t="n"/>
      <c r="H1824" s="4561" t="n"/>
      <c r="I1824" s="4562">
        <f>XLOOKUP(B1824,'_Sys|Line_Map'!$A:$A,'_Sys|Line_Map'!$C:$C,"MISSING",0)</f>
        <v/>
      </c>
      <c r="J1824" s="4562">
        <f>XLOOKUP(B1824,'_Sys|Line_Map'!$A:$A,'_Sys|Line_Map'!$D:$D,1,0)</f>
        <v/>
      </c>
      <c r="K1824" s="4562">
        <f>IF(D1824="","",D1824*J1824)</f>
        <v/>
      </c>
      <c r="L1824" s="4562">
        <f>XLOOKUP(B1824,'_Sys|Line_Map'!$A:$A,'_Sys|Line_Map'!$B:$B,"MISSING",0)</f>
        <v/>
      </c>
    </row>
    <row r="1825">
      <c r="A1825" s="4561" t="n"/>
      <c r="B1825" s="4561" t="n"/>
      <c r="C1825" s="4561" t="n"/>
      <c r="D1825" s="4561" t="n"/>
      <c r="E1825" s="4561" t="n"/>
      <c r="F1825" s="4561" t="n"/>
      <c r="G1825" s="4561" t="n"/>
      <c r="H1825" s="4561" t="n"/>
      <c r="I1825" s="4562">
        <f>XLOOKUP(B1825,'_Sys|Line_Map'!$A:$A,'_Sys|Line_Map'!$C:$C,"MISSING",0)</f>
        <v/>
      </c>
      <c r="J1825" s="4562">
        <f>XLOOKUP(B1825,'_Sys|Line_Map'!$A:$A,'_Sys|Line_Map'!$D:$D,1,0)</f>
        <v/>
      </c>
      <c r="K1825" s="4562">
        <f>IF(D1825="","",D1825*J1825)</f>
        <v/>
      </c>
      <c r="L1825" s="4562">
        <f>XLOOKUP(B1825,'_Sys|Line_Map'!$A:$A,'_Sys|Line_Map'!$B:$B,"MISSING",0)</f>
        <v/>
      </c>
    </row>
    <row r="1826">
      <c r="A1826" s="4561" t="n"/>
      <c r="B1826" s="4561" t="n"/>
      <c r="C1826" s="4561" t="n"/>
      <c r="D1826" s="4561" t="n"/>
      <c r="E1826" s="4561" t="n"/>
      <c r="F1826" s="4561" t="n"/>
      <c r="G1826" s="4561" t="n"/>
      <c r="H1826" s="4561" t="n"/>
      <c r="I1826" s="4562">
        <f>XLOOKUP(B1826,'_Sys|Line_Map'!$A:$A,'_Sys|Line_Map'!$C:$C,"MISSING",0)</f>
        <v/>
      </c>
      <c r="J1826" s="4562">
        <f>XLOOKUP(B1826,'_Sys|Line_Map'!$A:$A,'_Sys|Line_Map'!$D:$D,1,0)</f>
        <v/>
      </c>
      <c r="K1826" s="4562">
        <f>IF(D1826="","",D1826*J1826)</f>
        <v/>
      </c>
      <c r="L1826" s="4562">
        <f>XLOOKUP(B1826,'_Sys|Line_Map'!$A:$A,'_Sys|Line_Map'!$B:$B,"MISSING",0)</f>
        <v/>
      </c>
    </row>
    <row r="1827">
      <c r="A1827" s="4561" t="n"/>
      <c r="B1827" s="4561" t="n"/>
      <c r="C1827" s="4561" t="n"/>
      <c r="D1827" s="4561" t="n"/>
      <c r="E1827" s="4561" t="n"/>
      <c r="F1827" s="4561" t="n"/>
      <c r="G1827" s="4561" t="n"/>
      <c r="H1827" s="4561" t="n"/>
      <c r="I1827" s="4562">
        <f>XLOOKUP(B1827,'_Sys|Line_Map'!$A:$A,'_Sys|Line_Map'!$C:$C,"MISSING",0)</f>
        <v/>
      </c>
      <c r="J1827" s="4562">
        <f>XLOOKUP(B1827,'_Sys|Line_Map'!$A:$A,'_Sys|Line_Map'!$D:$D,1,0)</f>
        <v/>
      </c>
      <c r="K1827" s="4562">
        <f>IF(D1827="","",D1827*J1827)</f>
        <v/>
      </c>
      <c r="L1827" s="4562">
        <f>XLOOKUP(B1827,'_Sys|Line_Map'!$A:$A,'_Sys|Line_Map'!$B:$B,"MISSING",0)</f>
        <v/>
      </c>
    </row>
    <row r="1828">
      <c r="A1828" s="4561" t="n"/>
      <c r="B1828" s="4561" t="n"/>
      <c r="C1828" s="4561" t="n"/>
      <c r="D1828" s="4561" t="n"/>
      <c r="E1828" s="4561" t="n"/>
      <c r="F1828" s="4561" t="n"/>
      <c r="G1828" s="4561" t="n"/>
      <c r="H1828" s="4561" t="n"/>
      <c r="I1828" s="4562">
        <f>XLOOKUP(B1828,'_Sys|Line_Map'!$A:$A,'_Sys|Line_Map'!$C:$C,"MISSING",0)</f>
        <v/>
      </c>
      <c r="J1828" s="4562">
        <f>XLOOKUP(B1828,'_Sys|Line_Map'!$A:$A,'_Sys|Line_Map'!$D:$D,1,0)</f>
        <v/>
      </c>
      <c r="K1828" s="4562">
        <f>IF(D1828="","",D1828*J1828)</f>
        <v/>
      </c>
      <c r="L1828" s="4562">
        <f>XLOOKUP(B1828,'_Sys|Line_Map'!$A:$A,'_Sys|Line_Map'!$B:$B,"MISSING",0)</f>
        <v/>
      </c>
    </row>
    <row r="1829">
      <c r="A1829" s="4561" t="n"/>
      <c r="B1829" s="4561" t="n"/>
      <c r="C1829" s="4561" t="n"/>
      <c r="D1829" s="4561" t="n"/>
      <c r="E1829" s="4561" t="n"/>
      <c r="F1829" s="4561" t="n"/>
      <c r="G1829" s="4561" t="n"/>
      <c r="H1829" s="4561" t="n"/>
      <c r="I1829" s="4562">
        <f>XLOOKUP(B1829,'_Sys|Line_Map'!$A:$A,'_Sys|Line_Map'!$C:$C,"MISSING",0)</f>
        <v/>
      </c>
      <c r="J1829" s="4562">
        <f>XLOOKUP(B1829,'_Sys|Line_Map'!$A:$A,'_Sys|Line_Map'!$D:$D,1,0)</f>
        <v/>
      </c>
      <c r="K1829" s="4562">
        <f>IF(D1829="","",D1829*J1829)</f>
        <v/>
      </c>
      <c r="L1829" s="4562">
        <f>XLOOKUP(B1829,'_Sys|Line_Map'!$A:$A,'_Sys|Line_Map'!$B:$B,"MISSING",0)</f>
        <v/>
      </c>
    </row>
    <row r="1830">
      <c r="A1830" s="4561" t="n"/>
      <c r="B1830" s="4561" t="n"/>
      <c r="C1830" s="4561" t="n"/>
      <c r="D1830" s="4561" t="n"/>
      <c r="E1830" s="4561" t="n"/>
      <c r="F1830" s="4561" t="n"/>
      <c r="G1830" s="4561" t="n"/>
      <c r="H1830" s="4561" t="n"/>
      <c r="I1830" s="4562">
        <f>XLOOKUP(B1830,'_Sys|Line_Map'!$A:$A,'_Sys|Line_Map'!$C:$C,"MISSING",0)</f>
        <v/>
      </c>
      <c r="J1830" s="4562">
        <f>XLOOKUP(B1830,'_Sys|Line_Map'!$A:$A,'_Sys|Line_Map'!$D:$D,1,0)</f>
        <v/>
      </c>
      <c r="K1830" s="4562">
        <f>IF(D1830="","",D1830*J1830)</f>
        <v/>
      </c>
      <c r="L1830" s="4562">
        <f>XLOOKUP(B1830,'_Sys|Line_Map'!$A:$A,'_Sys|Line_Map'!$B:$B,"MISSING",0)</f>
        <v/>
      </c>
    </row>
    <row r="1831">
      <c r="A1831" s="4561" t="n"/>
      <c r="B1831" s="4561" t="n"/>
      <c r="C1831" s="4561" t="n"/>
      <c r="D1831" s="4561" t="n"/>
      <c r="E1831" s="4561" t="n"/>
      <c r="F1831" s="4561" t="n"/>
      <c r="G1831" s="4561" t="n"/>
      <c r="H1831" s="4561" t="n"/>
      <c r="I1831" s="4562">
        <f>XLOOKUP(B1831,'_Sys|Line_Map'!$A:$A,'_Sys|Line_Map'!$C:$C,"MISSING",0)</f>
        <v/>
      </c>
      <c r="J1831" s="4562">
        <f>XLOOKUP(B1831,'_Sys|Line_Map'!$A:$A,'_Sys|Line_Map'!$D:$D,1,0)</f>
        <v/>
      </c>
      <c r="K1831" s="4562">
        <f>IF(D1831="","",D1831*J1831)</f>
        <v/>
      </c>
      <c r="L1831" s="4562">
        <f>XLOOKUP(B1831,'_Sys|Line_Map'!$A:$A,'_Sys|Line_Map'!$B:$B,"MISSING",0)</f>
        <v/>
      </c>
    </row>
    <row r="1832">
      <c r="A1832" s="4561" t="n"/>
      <c r="B1832" s="4561" t="n"/>
      <c r="C1832" s="4561" t="n"/>
      <c r="D1832" s="4561" t="n"/>
      <c r="E1832" s="4561" t="n"/>
      <c r="F1832" s="4561" t="n"/>
      <c r="G1832" s="4561" t="n"/>
      <c r="H1832" s="4561" t="n"/>
      <c r="I1832" s="4562">
        <f>XLOOKUP(B1832,'_Sys|Line_Map'!$A:$A,'_Sys|Line_Map'!$C:$C,"MISSING",0)</f>
        <v/>
      </c>
      <c r="J1832" s="4562">
        <f>XLOOKUP(B1832,'_Sys|Line_Map'!$A:$A,'_Sys|Line_Map'!$D:$D,1,0)</f>
        <v/>
      </c>
      <c r="K1832" s="4562">
        <f>IF(D1832="","",D1832*J1832)</f>
        <v/>
      </c>
      <c r="L1832" s="4562">
        <f>XLOOKUP(B1832,'_Sys|Line_Map'!$A:$A,'_Sys|Line_Map'!$B:$B,"MISSING",0)</f>
        <v/>
      </c>
    </row>
    <row r="1833">
      <c r="A1833" s="4561" t="n"/>
      <c r="B1833" s="4561" t="n"/>
      <c r="C1833" s="4561" t="n"/>
      <c r="D1833" s="4561" t="n"/>
      <c r="E1833" s="4561" t="n"/>
      <c r="F1833" s="4561" t="n"/>
      <c r="G1833" s="4561" t="n"/>
      <c r="H1833" s="4561" t="n"/>
      <c r="I1833" s="4562">
        <f>XLOOKUP(B1833,'_Sys|Line_Map'!$A:$A,'_Sys|Line_Map'!$C:$C,"MISSING",0)</f>
        <v/>
      </c>
      <c r="J1833" s="4562">
        <f>XLOOKUP(B1833,'_Sys|Line_Map'!$A:$A,'_Sys|Line_Map'!$D:$D,1,0)</f>
        <v/>
      </c>
      <c r="K1833" s="4562">
        <f>IF(D1833="","",D1833*J1833)</f>
        <v/>
      </c>
      <c r="L1833" s="4562">
        <f>XLOOKUP(B1833,'_Sys|Line_Map'!$A:$A,'_Sys|Line_Map'!$B:$B,"MISSING",0)</f>
        <v/>
      </c>
    </row>
    <row r="1834">
      <c r="A1834" s="4561" t="n"/>
      <c r="B1834" s="4561" t="n"/>
      <c r="C1834" s="4561" t="n"/>
      <c r="D1834" s="4561" t="n"/>
      <c r="E1834" s="4561" t="n"/>
      <c r="F1834" s="4561" t="n"/>
      <c r="G1834" s="4561" t="n"/>
      <c r="H1834" s="4561" t="n"/>
      <c r="I1834" s="4562">
        <f>XLOOKUP(B1834,'_Sys|Line_Map'!$A:$A,'_Sys|Line_Map'!$C:$C,"MISSING",0)</f>
        <v/>
      </c>
      <c r="J1834" s="4562">
        <f>XLOOKUP(B1834,'_Sys|Line_Map'!$A:$A,'_Sys|Line_Map'!$D:$D,1,0)</f>
        <v/>
      </c>
      <c r="K1834" s="4562">
        <f>IF(D1834="","",D1834*J1834)</f>
        <v/>
      </c>
      <c r="L1834" s="4562">
        <f>XLOOKUP(B1834,'_Sys|Line_Map'!$A:$A,'_Sys|Line_Map'!$B:$B,"MISSING",0)</f>
        <v/>
      </c>
    </row>
    <row r="1835">
      <c r="A1835" s="4561" t="n"/>
      <c r="B1835" s="4561" t="n"/>
      <c r="C1835" s="4561" t="n"/>
      <c r="D1835" s="4561" t="n"/>
      <c r="E1835" s="4561" t="n"/>
      <c r="F1835" s="4561" t="n"/>
      <c r="G1835" s="4561" t="n"/>
      <c r="H1835" s="4561" t="n"/>
      <c r="I1835" s="4562">
        <f>XLOOKUP(B1835,'_Sys|Line_Map'!$A:$A,'_Sys|Line_Map'!$C:$C,"MISSING",0)</f>
        <v/>
      </c>
      <c r="J1835" s="4562">
        <f>XLOOKUP(B1835,'_Sys|Line_Map'!$A:$A,'_Sys|Line_Map'!$D:$D,1,0)</f>
        <v/>
      </c>
      <c r="K1835" s="4562">
        <f>IF(D1835="","",D1835*J1835)</f>
        <v/>
      </c>
      <c r="L1835" s="4562">
        <f>XLOOKUP(B1835,'_Sys|Line_Map'!$A:$A,'_Sys|Line_Map'!$B:$B,"MISSING",0)</f>
        <v/>
      </c>
    </row>
    <row r="1836">
      <c r="A1836" s="4561" t="n"/>
      <c r="B1836" s="4561" t="n"/>
      <c r="C1836" s="4561" t="n"/>
      <c r="D1836" s="4561" t="n"/>
      <c r="E1836" s="4561" t="n"/>
      <c r="F1836" s="4561" t="n"/>
      <c r="G1836" s="4561" t="n"/>
      <c r="H1836" s="4561" t="n"/>
      <c r="I1836" s="4562">
        <f>XLOOKUP(B1836,'_Sys|Line_Map'!$A:$A,'_Sys|Line_Map'!$C:$C,"MISSING",0)</f>
        <v/>
      </c>
      <c r="J1836" s="4562">
        <f>XLOOKUP(B1836,'_Sys|Line_Map'!$A:$A,'_Sys|Line_Map'!$D:$D,1,0)</f>
        <v/>
      </c>
      <c r="K1836" s="4562">
        <f>IF(D1836="","",D1836*J1836)</f>
        <v/>
      </c>
      <c r="L1836" s="4562">
        <f>XLOOKUP(B1836,'_Sys|Line_Map'!$A:$A,'_Sys|Line_Map'!$B:$B,"MISSING",0)</f>
        <v/>
      </c>
    </row>
    <row r="1837">
      <c r="A1837" s="4561" t="n"/>
      <c r="B1837" s="4561" t="n"/>
      <c r="C1837" s="4561" t="n"/>
      <c r="D1837" s="4561" t="n"/>
      <c r="E1837" s="4561" t="n"/>
      <c r="F1837" s="4561" t="n"/>
      <c r="G1837" s="4561" t="n"/>
      <c r="H1837" s="4561" t="n"/>
      <c r="I1837" s="4562">
        <f>XLOOKUP(B1837,'_Sys|Line_Map'!$A:$A,'_Sys|Line_Map'!$C:$C,"MISSING",0)</f>
        <v/>
      </c>
      <c r="J1837" s="4562">
        <f>XLOOKUP(B1837,'_Sys|Line_Map'!$A:$A,'_Sys|Line_Map'!$D:$D,1,0)</f>
        <v/>
      </c>
      <c r="K1837" s="4562">
        <f>IF(D1837="","",D1837*J1837)</f>
        <v/>
      </c>
      <c r="L1837" s="4562">
        <f>XLOOKUP(B1837,'_Sys|Line_Map'!$A:$A,'_Sys|Line_Map'!$B:$B,"MISSING",0)</f>
        <v/>
      </c>
    </row>
    <row r="1838">
      <c r="A1838" s="4561" t="n"/>
      <c r="B1838" s="4561" t="n"/>
      <c r="C1838" s="4561" t="n"/>
      <c r="D1838" s="4561" t="n"/>
      <c r="E1838" s="4561" t="n"/>
      <c r="F1838" s="4561" t="n"/>
      <c r="G1838" s="4561" t="n"/>
      <c r="H1838" s="4561" t="n"/>
      <c r="I1838" s="4562">
        <f>XLOOKUP(B1838,'_Sys|Line_Map'!$A:$A,'_Sys|Line_Map'!$C:$C,"MISSING",0)</f>
        <v/>
      </c>
      <c r="J1838" s="4562">
        <f>XLOOKUP(B1838,'_Sys|Line_Map'!$A:$A,'_Sys|Line_Map'!$D:$D,1,0)</f>
        <v/>
      </c>
      <c r="K1838" s="4562">
        <f>IF(D1838="","",D1838*J1838)</f>
        <v/>
      </c>
      <c r="L1838" s="4562">
        <f>XLOOKUP(B1838,'_Sys|Line_Map'!$A:$A,'_Sys|Line_Map'!$B:$B,"MISSING",0)</f>
        <v/>
      </c>
    </row>
    <row r="1839">
      <c r="A1839" s="4561" t="n"/>
      <c r="B1839" s="4561" t="n"/>
      <c r="C1839" s="4561" t="n"/>
      <c r="D1839" s="4561" t="n"/>
      <c r="E1839" s="4561" t="n"/>
      <c r="F1839" s="4561" t="n"/>
      <c r="G1839" s="4561" t="n"/>
      <c r="H1839" s="4561" t="n"/>
      <c r="I1839" s="4562">
        <f>XLOOKUP(B1839,'_Sys|Line_Map'!$A:$A,'_Sys|Line_Map'!$C:$C,"MISSING",0)</f>
        <v/>
      </c>
      <c r="J1839" s="4562">
        <f>XLOOKUP(B1839,'_Sys|Line_Map'!$A:$A,'_Sys|Line_Map'!$D:$D,1,0)</f>
        <v/>
      </c>
      <c r="K1839" s="4562">
        <f>IF(D1839="","",D1839*J1839)</f>
        <v/>
      </c>
      <c r="L1839" s="4562">
        <f>XLOOKUP(B1839,'_Sys|Line_Map'!$A:$A,'_Sys|Line_Map'!$B:$B,"MISSING",0)</f>
        <v/>
      </c>
    </row>
    <row r="1840">
      <c r="A1840" s="4561" t="n"/>
      <c r="B1840" s="4561" t="n"/>
      <c r="C1840" s="4561" t="n"/>
      <c r="D1840" s="4561" t="n"/>
      <c r="E1840" s="4561" t="n"/>
      <c r="F1840" s="4561" t="n"/>
      <c r="G1840" s="4561" t="n"/>
      <c r="H1840" s="4561" t="n"/>
      <c r="I1840" s="4562">
        <f>XLOOKUP(B1840,'_Sys|Line_Map'!$A:$A,'_Sys|Line_Map'!$C:$C,"MISSING",0)</f>
        <v/>
      </c>
      <c r="J1840" s="4562">
        <f>XLOOKUP(B1840,'_Sys|Line_Map'!$A:$A,'_Sys|Line_Map'!$D:$D,1,0)</f>
        <v/>
      </c>
      <c r="K1840" s="4562">
        <f>IF(D1840="","",D1840*J1840)</f>
        <v/>
      </c>
      <c r="L1840" s="4562">
        <f>XLOOKUP(B1840,'_Sys|Line_Map'!$A:$A,'_Sys|Line_Map'!$B:$B,"MISSING",0)</f>
        <v/>
      </c>
    </row>
    <row r="1841">
      <c r="A1841" s="4561" t="n"/>
      <c r="B1841" s="4561" t="n"/>
      <c r="C1841" s="4561" t="n"/>
      <c r="D1841" s="4561" t="n"/>
      <c r="E1841" s="4561" t="n"/>
      <c r="F1841" s="4561" t="n"/>
      <c r="G1841" s="4561" t="n"/>
      <c r="H1841" s="4561" t="n"/>
      <c r="I1841" s="4562">
        <f>XLOOKUP(B1841,'_Sys|Line_Map'!$A:$A,'_Sys|Line_Map'!$C:$C,"MISSING",0)</f>
        <v/>
      </c>
      <c r="J1841" s="4562">
        <f>XLOOKUP(B1841,'_Sys|Line_Map'!$A:$A,'_Sys|Line_Map'!$D:$D,1,0)</f>
        <v/>
      </c>
      <c r="K1841" s="4562">
        <f>IF(D1841="","",D1841*J1841)</f>
        <v/>
      </c>
      <c r="L1841" s="4562">
        <f>XLOOKUP(B1841,'_Sys|Line_Map'!$A:$A,'_Sys|Line_Map'!$B:$B,"MISSING",0)</f>
        <v/>
      </c>
    </row>
    <row r="1842">
      <c r="A1842" s="4561" t="n"/>
      <c r="B1842" s="4561" t="n"/>
      <c r="C1842" s="4561" t="n"/>
      <c r="D1842" s="4561" t="n"/>
      <c r="E1842" s="4561" t="n"/>
      <c r="F1842" s="4561" t="n"/>
      <c r="G1842" s="4561" t="n"/>
      <c r="H1842" s="4561" t="n"/>
      <c r="I1842" s="4562">
        <f>XLOOKUP(B1842,'_Sys|Line_Map'!$A:$A,'_Sys|Line_Map'!$C:$C,"MISSING",0)</f>
        <v/>
      </c>
      <c r="J1842" s="4562">
        <f>XLOOKUP(B1842,'_Sys|Line_Map'!$A:$A,'_Sys|Line_Map'!$D:$D,1,0)</f>
        <v/>
      </c>
      <c r="K1842" s="4562">
        <f>IF(D1842="","",D1842*J1842)</f>
        <v/>
      </c>
      <c r="L1842" s="4562">
        <f>XLOOKUP(B1842,'_Sys|Line_Map'!$A:$A,'_Sys|Line_Map'!$B:$B,"MISSING",0)</f>
        <v/>
      </c>
    </row>
    <row r="1843">
      <c r="A1843" s="4561" t="n"/>
      <c r="B1843" s="4561" t="n"/>
      <c r="C1843" s="4561" t="n"/>
      <c r="D1843" s="4561" t="n"/>
      <c r="E1843" s="4561" t="n"/>
      <c r="F1843" s="4561" t="n"/>
      <c r="G1843" s="4561" t="n"/>
      <c r="H1843" s="4561" t="n"/>
      <c r="I1843" s="4562">
        <f>XLOOKUP(B1843,'_Sys|Line_Map'!$A:$A,'_Sys|Line_Map'!$C:$C,"MISSING",0)</f>
        <v/>
      </c>
      <c r="J1843" s="4562">
        <f>XLOOKUP(B1843,'_Sys|Line_Map'!$A:$A,'_Sys|Line_Map'!$D:$D,1,0)</f>
        <v/>
      </c>
      <c r="K1843" s="4562">
        <f>IF(D1843="","",D1843*J1843)</f>
        <v/>
      </c>
      <c r="L1843" s="4562">
        <f>XLOOKUP(B1843,'_Sys|Line_Map'!$A:$A,'_Sys|Line_Map'!$B:$B,"MISSING",0)</f>
        <v/>
      </c>
    </row>
    <row r="1844">
      <c r="A1844" s="4561" t="n"/>
      <c r="B1844" s="4561" t="n"/>
      <c r="C1844" s="4561" t="n"/>
      <c r="D1844" s="4561" t="n"/>
      <c r="E1844" s="4561" t="n"/>
      <c r="F1844" s="4561" t="n"/>
      <c r="G1844" s="4561" t="n"/>
      <c r="H1844" s="4561" t="n"/>
      <c r="I1844" s="4562">
        <f>XLOOKUP(B1844,'_Sys|Line_Map'!$A:$A,'_Sys|Line_Map'!$C:$C,"MISSING",0)</f>
        <v/>
      </c>
      <c r="J1844" s="4562">
        <f>XLOOKUP(B1844,'_Sys|Line_Map'!$A:$A,'_Sys|Line_Map'!$D:$D,1,0)</f>
        <v/>
      </c>
      <c r="K1844" s="4562">
        <f>IF(D1844="","",D1844*J1844)</f>
        <v/>
      </c>
      <c r="L1844" s="4562">
        <f>XLOOKUP(B1844,'_Sys|Line_Map'!$A:$A,'_Sys|Line_Map'!$B:$B,"MISSING",0)</f>
        <v/>
      </c>
    </row>
    <row r="1845">
      <c r="A1845" s="4561" t="n"/>
      <c r="B1845" s="4561" t="n"/>
      <c r="C1845" s="4561" t="n"/>
      <c r="D1845" s="4561" t="n"/>
      <c r="E1845" s="4561" t="n"/>
      <c r="F1845" s="4561" t="n"/>
      <c r="G1845" s="4561" t="n"/>
      <c r="H1845" s="4561" t="n"/>
      <c r="I1845" s="4562">
        <f>XLOOKUP(B1845,'_Sys|Line_Map'!$A:$A,'_Sys|Line_Map'!$C:$C,"MISSING",0)</f>
        <v/>
      </c>
      <c r="J1845" s="4562">
        <f>XLOOKUP(B1845,'_Sys|Line_Map'!$A:$A,'_Sys|Line_Map'!$D:$D,1,0)</f>
        <v/>
      </c>
      <c r="K1845" s="4562">
        <f>IF(D1845="","",D1845*J1845)</f>
        <v/>
      </c>
      <c r="L1845" s="4562">
        <f>XLOOKUP(B1845,'_Sys|Line_Map'!$A:$A,'_Sys|Line_Map'!$B:$B,"MISSING",0)</f>
        <v/>
      </c>
    </row>
    <row r="1846">
      <c r="A1846" s="4561" t="n"/>
      <c r="B1846" s="4561" t="n"/>
      <c r="C1846" s="4561" t="n"/>
      <c r="D1846" s="4561" t="n"/>
      <c r="E1846" s="4561" t="n"/>
      <c r="F1846" s="4561" t="n"/>
      <c r="G1846" s="4561" t="n"/>
      <c r="H1846" s="4561" t="n"/>
      <c r="I1846" s="4562">
        <f>XLOOKUP(B1846,'_Sys|Line_Map'!$A:$A,'_Sys|Line_Map'!$C:$C,"MISSING",0)</f>
        <v/>
      </c>
      <c r="J1846" s="4562">
        <f>XLOOKUP(B1846,'_Sys|Line_Map'!$A:$A,'_Sys|Line_Map'!$D:$D,1,0)</f>
        <v/>
      </c>
      <c r="K1846" s="4562">
        <f>IF(D1846="","",D1846*J1846)</f>
        <v/>
      </c>
      <c r="L1846" s="4562">
        <f>XLOOKUP(B1846,'_Sys|Line_Map'!$A:$A,'_Sys|Line_Map'!$B:$B,"MISSING",0)</f>
        <v/>
      </c>
    </row>
    <row r="1847">
      <c r="A1847" s="4561" t="n"/>
      <c r="B1847" s="4561" t="n"/>
      <c r="C1847" s="4561" t="n"/>
      <c r="D1847" s="4561" t="n"/>
      <c r="E1847" s="4561" t="n"/>
      <c r="F1847" s="4561" t="n"/>
      <c r="G1847" s="4561" t="n"/>
      <c r="H1847" s="4561" t="n"/>
      <c r="I1847" s="4562">
        <f>XLOOKUP(B1847,'_Sys|Line_Map'!$A:$A,'_Sys|Line_Map'!$C:$C,"MISSING",0)</f>
        <v/>
      </c>
      <c r="J1847" s="4562">
        <f>XLOOKUP(B1847,'_Sys|Line_Map'!$A:$A,'_Sys|Line_Map'!$D:$D,1,0)</f>
        <v/>
      </c>
      <c r="K1847" s="4562">
        <f>IF(D1847="","",D1847*J1847)</f>
        <v/>
      </c>
      <c r="L1847" s="4562">
        <f>XLOOKUP(B1847,'_Sys|Line_Map'!$A:$A,'_Sys|Line_Map'!$B:$B,"MISSING",0)</f>
        <v/>
      </c>
    </row>
    <row r="1848">
      <c r="A1848" s="4561" t="n"/>
      <c r="B1848" s="4561" t="n"/>
      <c r="C1848" s="4561" t="n"/>
      <c r="D1848" s="4561" t="n"/>
      <c r="E1848" s="4561" t="n"/>
      <c r="F1848" s="4561" t="n"/>
      <c r="G1848" s="4561" t="n"/>
      <c r="H1848" s="4561" t="n"/>
      <c r="I1848" s="4562">
        <f>XLOOKUP(B1848,'_Sys|Line_Map'!$A:$A,'_Sys|Line_Map'!$C:$C,"MISSING",0)</f>
        <v/>
      </c>
      <c r="J1848" s="4562">
        <f>XLOOKUP(B1848,'_Sys|Line_Map'!$A:$A,'_Sys|Line_Map'!$D:$D,1,0)</f>
        <v/>
      </c>
      <c r="K1848" s="4562">
        <f>IF(D1848="","",D1848*J1848)</f>
        <v/>
      </c>
      <c r="L1848" s="4562">
        <f>XLOOKUP(B1848,'_Sys|Line_Map'!$A:$A,'_Sys|Line_Map'!$B:$B,"MISSING",0)</f>
        <v/>
      </c>
    </row>
    <row r="1849">
      <c r="A1849" s="4561" t="n"/>
      <c r="B1849" s="4561" t="n"/>
      <c r="C1849" s="4561" t="n"/>
      <c r="D1849" s="4561" t="n"/>
      <c r="E1849" s="4561" t="n"/>
      <c r="F1849" s="4561" t="n"/>
      <c r="G1849" s="4561" t="n"/>
      <c r="H1849" s="4561" t="n"/>
      <c r="I1849" s="4562">
        <f>XLOOKUP(B1849,'_Sys|Line_Map'!$A:$A,'_Sys|Line_Map'!$C:$C,"MISSING",0)</f>
        <v/>
      </c>
      <c r="J1849" s="4562">
        <f>XLOOKUP(B1849,'_Sys|Line_Map'!$A:$A,'_Sys|Line_Map'!$D:$D,1,0)</f>
        <v/>
      </c>
      <c r="K1849" s="4562">
        <f>IF(D1849="","",D1849*J1849)</f>
        <v/>
      </c>
      <c r="L1849" s="4562">
        <f>XLOOKUP(B1849,'_Sys|Line_Map'!$A:$A,'_Sys|Line_Map'!$B:$B,"MISSING",0)</f>
        <v/>
      </c>
    </row>
    <row r="1850">
      <c r="A1850" s="4561" t="n"/>
      <c r="B1850" s="4561" t="n"/>
      <c r="C1850" s="4561" t="n"/>
      <c r="D1850" s="4561" t="n"/>
      <c r="E1850" s="4561" t="n"/>
      <c r="F1850" s="4561" t="n"/>
      <c r="G1850" s="4561" t="n"/>
      <c r="H1850" s="4561" t="n"/>
      <c r="I1850" s="4562">
        <f>XLOOKUP(B1850,'_Sys|Line_Map'!$A:$A,'_Sys|Line_Map'!$C:$C,"MISSING",0)</f>
        <v/>
      </c>
      <c r="J1850" s="4562">
        <f>XLOOKUP(B1850,'_Sys|Line_Map'!$A:$A,'_Sys|Line_Map'!$D:$D,1,0)</f>
        <v/>
      </c>
      <c r="K1850" s="4562">
        <f>IF(D1850="","",D1850*J1850)</f>
        <v/>
      </c>
      <c r="L1850" s="4562">
        <f>XLOOKUP(B1850,'_Sys|Line_Map'!$A:$A,'_Sys|Line_Map'!$B:$B,"MISSING",0)</f>
        <v/>
      </c>
    </row>
    <row r="1851">
      <c r="A1851" s="4561" t="n"/>
      <c r="B1851" s="4561" t="n"/>
      <c r="C1851" s="4561" t="n"/>
      <c r="D1851" s="4561" t="n"/>
      <c r="E1851" s="4561" t="n"/>
      <c r="F1851" s="4561" t="n"/>
      <c r="G1851" s="4561" t="n"/>
      <c r="H1851" s="4561" t="n"/>
      <c r="I1851" s="4562">
        <f>XLOOKUP(B1851,'_Sys|Line_Map'!$A:$A,'_Sys|Line_Map'!$C:$C,"MISSING",0)</f>
        <v/>
      </c>
      <c r="J1851" s="4562">
        <f>XLOOKUP(B1851,'_Sys|Line_Map'!$A:$A,'_Sys|Line_Map'!$D:$D,1,0)</f>
        <v/>
      </c>
      <c r="K1851" s="4562">
        <f>IF(D1851="","",D1851*J1851)</f>
        <v/>
      </c>
      <c r="L1851" s="4562">
        <f>XLOOKUP(B1851,'_Sys|Line_Map'!$A:$A,'_Sys|Line_Map'!$B:$B,"MISSING",0)</f>
        <v/>
      </c>
    </row>
    <row r="1852">
      <c r="A1852" s="4561" t="n"/>
      <c r="B1852" s="4561" t="n"/>
      <c r="C1852" s="4561" t="n"/>
      <c r="D1852" s="4561" t="n"/>
      <c r="E1852" s="4561" t="n"/>
      <c r="F1852" s="4561" t="n"/>
      <c r="G1852" s="4561" t="n"/>
      <c r="H1852" s="4561" t="n"/>
      <c r="I1852" s="4562">
        <f>XLOOKUP(B1852,'_Sys|Line_Map'!$A:$A,'_Sys|Line_Map'!$C:$C,"MISSING",0)</f>
        <v/>
      </c>
      <c r="J1852" s="4562">
        <f>XLOOKUP(B1852,'_Sys|Line_Map'!$A:$A,'_Sys|Line_Map'!$D:$D,1,0)</f>
        <v/>
      </c>
      <c r="K1852" s="4562">
        <f>IF(D1852="","",D1852*J1852)</f>
        <v/>
      </c>
      <c r="L1852" s="4562">
        <f>XLOOKUP(B1852,'_Sys|Line_Map'!$A:$A,'_Sys|Line_Map'!$B:$B,"MISSING",0)</f>
        <v/>
      </c>
    </row>
    <row r="1853">
      <c r="A1853" s="4561" t="n"/>
      <c r="B1853" s="4561" t="n"/>
      <c r="C1853" s="4561" t="n"/>
      <c r="D1853" s="4561" t="n"/>
      <c r="E1853" s="4561" t="n"/>
      <c r="F1853" s="4561" t="n"/>
      <c r="G1853" s="4561" t="n"/>
      <c r="H1853" s="4561" t="n"/>
      <c r="I1853" s="4562">
        <f>XLOOKUP(B1853,'_Sys|Line_Map'!$A:$A,'_Sys|Line_Map'!$C:$C,"MISSING",0)</f>
        <v/>
      </c>
      <c r="J1853" s="4562">
        <f>XLOOKUP(B1853,'_Sys|Line_Map'!$A:$A,'_Sys|Line_Map'!$D:$D,1,0)</f>
        <v/>
      </c>
      <c r="K1853" s="4562">
        <f>IF(D1853="","",D1853*J1853)</f>
        <v/>
      </c>
      <c r="L1853" s="4562">
        <f>XLOOKUP(B1853,'_Sys|Line_Map'!$A:$A,'_Sys|Line_Map'!$B:$B,"MISSING",0)</f>
        <v/>
      </c>
    </row>
    <row r="1854">
      <c r="A1854" s="4561" t="n"/>
      <c r="B1854" s="4561" t="n"/>
      <c r="C1854" s="4561" t="n"/>
      <c r="D1854" s="4561" t="n"/>
      <c r="E1854" s="4561" t="n"/>
      <c r="F1854" s="4561" t="n"/>
      <c r="G1854" s="4561" t="n"/>
      <c r="H1854" s="4561" t="n"/>
      <c r="I1854" s="4562">
        <f>XLOOKUP(B1854,'_Sys|Line_Map'!$A:$A,'_Sys|Line_Map'!$C:$C,"MISSING",0)</f>
        <v/>
      </c>
      <c r="J1854" s="4562">
        <f>XLOOKUP(B1854,'_Sys|Line_Map'!$A:$A,'_Sys|Line_Map'!$D:$D,1,0)</f>
        <v/>
      </c>
      <c r="K1854" s="4562">
        <f>IF(D1854="","",D1854*J1854)</f>
        <v/>
      </c>
      <c r="L1854" s="4562">
        <f>XLOOKUP(B1854,'_Sys|Line_Map'!$A:$A,'_Sys|Line_Map'!$B:$B,"MISSING",0)</f>
        <v/>
      </c>
    </row>
    <row r="1855">
      <c r="A1855" s="4561" t="n"/>
      <c r="B1855" s="4561" t="n"/>
      <c r="C1855" s="4561" t="n"/>
      <c r="D1855" s="4561" t="n"/>
      <c r="E1855" s="4561" t="n"/>
      <c r="F1855" s="4561" t="n"/>
      <c r="G1855" s="4561" t="n"/>
      <c r="H1855" s="4561" t="n"/>
      <c r="I1855" s="4562">
        <f>XLOOKUP(B1855,'_Sys|Line_Map'!$A:$A,'_Sys|Line_Map'!$C:$C,"MISSING",0)</f>
        <v/>
      </c>
      <c r="J1855" s="4562">
        <f>XLOOKUP(B1855,'_Sys|Line_Map'!$A:$A,'_Sys|Line_Map'!$D:$D,1,0)</f>
        <v/>
      </c>
      <c r="K1855" s="4562">
        <f>IF(D1855="","",D1855*J1855)</f>
        <v/>
      </c>
      <c r="L1855" s="4562">
        <f>XLOOKUP(B1855,'_Sys|Line_Map'!$A:$A,'_Sys|Line_Map'!$B:$B,"MISSING",0)</f>
        <v/>
      </c>
    </row>
    <row r="1856">
      <c r="A1856" s="4561" t="n"/>
      <c r="B1856" s="4561" t="n"/>
      <c r="C1856" s="4561" t="n"/>
      <c r="D1856" s="4561" t="n"/>
      <c r="E1856" s="4561" t="n"/>
      <c r="F1856" s="4561" t="n"/>
      <c r="G1856" s="4561" t="n"/>
      <c r="H1856" s="4561" t="n"/>
      <c r="I1856" s="4562">
        <f>XLOOKUP(B1856,'_Sys|Line_Map'!$A:$A,'_Sys|Line_Map'!$C:$C,"MISSING",0)</f>
        <v/>
      </c>
      <c r="J1856" s="4562">
        <f>XLOOKUP(B1856,'_Sys|Line_Map'!$A:$A,'_Sys|Line_Map'!$D:$D,1,0)</f>
        <v/>
      </c>
      <c r="K1856" s="4562">
        <f>IF(D1856="","",D1856*J1856)</f>
        <v/>
      </c>
      <c r="L1856" s="4562">
        <f>XLOOKUP(B1856,'_Sys|Line_Map'!$A:$A,'_Sys|Line_Map'!$B:$B,"MISSING",0)</f>
        <v/>
      </c>
    </row>
    <row r="1857">
      <c r="A1857" s="4561" t="n"/>
      <c r="B1857" s="4561" t="n"/>
      <c r="C1857" s="4561" t="n"/>
      <c r="D1857" s="4561" t="n"/>
      <c r="E1857" s="4561" t="n"/>
      <c r="F1857" s="4561" t="n"/>
      <c r="G1857" s="4561" t="n"/>
      <c r="H1857" s="4561" t="n"/>
      <c r="I1857" s="4562">
        <f>XLOOKUP(B1857,'_Sys|Line_Map'!$A:$A,'_Sys|Line_Map'!$C:$C,"MISSING",0)</f>
        <v/>
      </c>
      <c r="J1857" s="4562">
        <f>XLOOKUP(B1857,'_Sys|Line_Map'!$A:$A,'_Sys|Line_Map'!$D:$D,1,0)</f>
        <v/>
      </c>
      <c r="K1857" s="4562">
        <f>IF(D1857="","",D1857*J1857)</f>
        <v/>
      </c>
      <c r="L1857" s="4562">
        <f>XLOOKUP(B1857,'_Sys|Line_Map'!$A:$A,'_Sys|Line_Map'!$B:$B,"MISSING",0)</f>
        <v/>
      </c>
    </row>
    <row r="1858">
      <c r="A1858" s="4561" t="n"/>
      <c r="B1858" s="4561" t="n"/>
      <c r="C1858" s="4561" t="n"/>
      <c r="D1858" s="4561" t="n"/>
      <c r="E1858" s="4561" t="n"/>
      <c r="F1858" s="4561" t="n"/>
      <c r="G1858" s="4561" t="n"/>
      <c r="H1858" s="4561" t="n"/>
      <c r="I1858" s="4562">
        <f>XLOOKUP(B1858,'_Sys|Line_Map'!$A:$A,'_Sys|Line_Map'!$C:$C,"MISSING",0)</f>
        <v/>
      </c>
      <c r="J1858" s="4562">
        <f>XLOOKUP(B1858,'_Sys|Line_Map'!$A:$A,'_Sys|Line_Map'!$D:$D,1,0)</f>
        <v/>
      </c>
      <c r="K1858" s="4562">
        <f>IF(D1858="","",D1858*J1858)</f>
        <v/>
      </c>
      <c r="L1858" s="4562">
        <f>XLOOKUP(B1858,'_Sys|Line_Map'!$A:$A,'_Sys|Line_Map'!$B:$B,"MISSING",0)</f>
        <v/>
      </c>
    </row>
    <row r="1859">
      <c r="A1859" s="4561" t="n"/>
      <c r="B1859" s="4561" t="n"/>
      <c r="C1859" s="4561" t="n"/>
      <c r="D1859" s="4561" t="n"/>
      <c r="E1859" s="4561" t="n"/>
      <c r="F1859" s="4561" t="n"/>
      <c r="G1859" s="4561" t="n"/>
      <c r="H1859" s="4561" t="n"/>
      <c r="I1859" s="4562">
        <f>XLOOKUP(B1859,'_Sys|Line_Map'!$A:$A,'_Sys|Line_Map'!$C:$C,"MISSING",0)</f>
        <v/>
      </c>
      <c r="J1859" s="4562">
        <f>XLOOKUP(B1859,'_Sys|Line_Map'!$A:$A,'_Sys|Line_Map'!$D:$D,1,0)</f>
        <v/>
      </c>
      <c r="K1859" s="4562">
        <f>IF(D1859="","",D1859*J1859)</f>
        <v/>
      </c>
      <c r="L1859" s="4562">
        <f>XLOOKUP(B1859,'_Sys|Line_Map'!$A:$A,'_Sys|Line_Map'!$B:$B,"MISSING",0)</f>
        <v/>
      </c>
    </row>
    <row r="1860">
      <c r="A1860" s="4561" t="n"/>
      <c r="B1860" s="4561" t="n"/>
      <c r="C1860" s="4561" t="n"/>
      <c r="D1860" s="4561" t="n"/>
      <c r="E1860" s="4561" t="n"/>
      <c r="F1860" s="4561" t="n"/>
      <c r="G1860" s="4561" t="n"/>
      <c r="H1860" s="4561" t="n"/>
      <c r="I1860" s="4562">
        <f>XLOOKUP(B1860,'_Sys|Line_Map'!$A:$A,'_Sys|Line_Map'!$C:$C,"MISSING",0)</f>
        <v/>
      </c>
      <c r="J1860" s="4562">
        <f>XLOOKUP(B1860,'_Sys|Line_Map'!$A:$A,'_Sys|Line_Map'!$D:$D,1,0)</f>
        <v/>
      </c>
      <c r="K1860" s="4562">
        <f>IF(D1860="","",D1860*J1860)</f>
        <v/>
      </c>
      <c r="L1860" s="4562">
        <f>XLOOKUP(B1860,'_Sys|Line_Map'!$A:$A,'_Sys|Line_Map'!$B:$B,"MISSING",0)</f>
        <v/>
      </c>
    </row>
    <row r="1861">
      <c r="A1861" s="4561" t="n"/>
      <c r="B1861" s="4561" t="n"/>
      <c r="C1861" s="4561" t="n"/>
      <c r="D1861" s="4561" t="n"/>
      <c r="E1861" s="4561" t="n"/>
      <c r="F1861" s="4561" t="n"/>
      <c r="G1861" s="4561" t="n"/>
      <c r="H1861" s="4561" t="n"/>
      <c r="I1861" s="4562">
        <f>XLOOKUP(B1861,'_Sys|Line_Map'!$A:$A,'_Sys|Line_Map'!$C:$C,"MISSING",0)</f>
        <v/>
      </c>
      <c r="J1861" s="4562">
        <f>XLOOKUP(B1861,'_Sys|Line_Map'!$A:$A,'_Sys|Line_Map'!$D:$D,1,0)</f>
        <v/>
      </c>
      <c r="K1861" s="4562">
        <f>IF(D1861="","",D1861*J1861)</f>
        <v/>
      </c>
      <c r="L1861" s="4562">
        <f>XLOOKUP(B1861,'_Sys|Line_Map'!$A:$A,'_Sys|Line_Map'!$B:$B,"MISSING",0)</f>
        <v/>
      </c>
    </row>
    <row r="1862">
      <c r="A1862" s="4561" t="n"/>
      <c r="B1862" s="4561" t="n"/>
      <c r="C1862" s="4561" t="n"/>
      <c r="D1862" s="4561" t="n"/>
      <c r="E1862" s="4561" t="n"/>
      <c r="F1862" s="4561" t="n"/>
      <c r="G1862" s="4561" t="n"/>
      <c r="H1862" s="4561" t="n"/>
      <c r="I1862" s="4562">
        <f>XLOOKUP(B1862,'_Sys|Line_Map'!$A:$A,'_Sys|Line_Map'!$C:$C,"MISSING",0)</f>
        <v/>
      </c>
      <c r="J1862" s="4562">
        <f>XLOOKUP(B1862,'_Sys|Line_Map'!$A:$A,'_Sys|Line_Map'!$D:$D,1,0)</f>
        <v/>
      </c>
      <c r="K1862" s="4562">
        <f>IF(D1862="","",D1862*J1862)</f>
        <v/>
      </c>
      <c r="L1862" s="4562">
        <f>XLOOKUP(B1862,'_Sys|Line_Map'!$A:$A,'_Sys|Line_Map'!$B:$B,"MISSING",0)</f>
        <v/>
      </c>
    </row>
    <row r="1863">
      <c r="A1863" s="4561" t="n"/>
      <c r="B1863" s="4561" t="n"/>
      <c r="C1863" s="4561" t="n"/>
      <c r="D1863" s="4561" t="n"/>
      <c r="E1863" s="4561" t="n"/>
      <c r="F1863" s="4561" t="n"/>
      <c r="G1863" s="4561" t="n"/>
      <c r="H1863" s="4561" t="n"/>
      <c r="I1863" s="4562">
        <f>XLOOKUP(B1863,'_Sys|Line_Map'!$A:$A,'_Sys|Line_Map'!$C:$C,"MISSING",0)</f>
        <v/>
      </c>
      <c r="J1863" s="4562">
        <f>XLOOKUP(B1863,'_Sys|Line_Map'!$A:$A,'_Sys|Line_Map'!$D:$D,1,0)</f>
        <v/>
      </c>
      <c r="K1863" s="4562">
        <f>IF(D1863="","",D1863*J1863)</f>
        <v/>
      </c>
      <c r="L1863" s="4562">
        <f>XLOOKUP(B1863,'_Sys|Line_Map'!$A:$A,'_Sys|Line_Map'!$B:$B,"MISSING",0)</f>
        <v/>
      </c>
    </row>
    <row r="1864">
      <c r="A1864" s="4561" t="n"/>
      <c r="B1864" s="4561" t="n"/>
      <c r="C1864" s="4561" t="n"/>
      <c r="D1864" s="4561" t="n"/>
      <c r="E1864" s="4561" t="n"/>
      <c r="F1864" s="4561" t="n"/>
      <c r="G1864" s="4561" t="n"/>
      <c r="H1864" s="4561" t="n"/>
      <c r="I1864" s="4562">
        <f>XLOOKUP(B1864,'_Sys|Line_Map'!$A:$A,'_Sys|Line_Map'!$C:$C,"MISSING",0)</f>
        <v/>
      </c>
      <c r="J1864" s="4562">
        <f>XLOOKUP(B1864,'_Sys|Line_Map'!$A:$A,'_Sys|Line_Map'!$D:$D,1,0)</f>
        <v/>
      </c>
      <c r="K1864" s="4562">
        <f>IF(D1864="","",D1864*J1864)</f>
        <v/>
      </c>
      <c r="L1864" s="4562">
        <f>XLOOKUP(B1864,'_Sys|Line_Map'!$A:$A,'_Sys|Line_Map'!$B:$B,"MISSING",0)</f>
        <v/>
      </c>
    </row>
    <row r="1865">
      <c r="A1865" s="4561" t="n"/>
      <c r="B1865" s="4561" t="n"/>
      <c r="C1865" s="4561" t="n"/>
      <c r="D1865" s="4561" t="n"/>
      <c r="E1865" s="4561" t="n"/>
      <c r="F1865" s="4561" t="n"/>
      <c r="G1865" s="4561" t="n"/>
      <c r="H1865" s="4561" t="n"/>
      <c r="I1865" s="4562">
        <f>XLOOKUP(B1865,'_Sys|Line_Map'!$A:$A,'_Sys|Line_Map'!$C:$C,"MISSING",0)</f>
        <v/>
      </c>
      <c r="J1865" s="4562">
        <f>XLOOKUP(B1865,'_Sys|Line_Map'!$A:$A,'_Sys|Line_Map'!$D:$D,1,0)</f>
        <v/>
      </c>
      <c r="K1865" s="4562">
        <f>IF(D1865="","",D1865*J1865)</f>
        <v/>
      </c>
      <c r="L1865" s="4562">
        <f>XLOOKUP(B1865,'_Sys|Line_Map'!$A:$A,'_Sys|Line_Map'!$B:$B,"MISSING",0)</f>
        <v/>
      </c>
    </row>
    <row r="1866">
      <c r="A1866" s="4561" t="n"/>
      <c r="B1866" s="4561" t="n"/>
      <c r="C1866" s="4561" t="n"/>
      <c r="D1866" s="4561" t="n"/>
      <c r="E1866" s="4561" t="n"/>
      <c r="F1866" s="4561" t="n"/>
      <c r="G1866" s="4561" t="n"/>
      <c r="H1866" s="4561" t="n"/>
      <c r="I1866" s="4562">
        <f>XLOOKUP(B1866,'_Sys|Line_Map'!$A:$A,'_Sys|Line_Map'!$C:$C,"MISSING",0)</f>
        <v/>
      </c>
      <c r="J1866" s="4562">
        <f>XLOOKUP(B1866,'_Sys|Line_Map'!$A:$A,'_Sys|Line_Map'!$D:$D,1,0)</f>
        <v/>
      </c>
      <c r="K1866" s="4562">
        <f>IF(D1866="","",D1866*J1866)</f>
        <v/>
      </c>
      <c r="L1866" s="4562">
        <f>XLOOKUP(B1866,'_Sys|Line_Map'!$A:$A,'_Sys|Line_Map'!$B:$B,"MISSING",0)</f>
        <v/>
      </c>
    </row>
    <row r="1867">
      <c r="A1867" s="4561" t="n"/>
      <c r="B1867" s="4561" t="n"/>
      <c r="C1867" s="4561" t="n"/>
      <c r="D1867" s="4561" t="n"/>
      <c r="E1867" s="4561" t="n"/>
      <c r="F1867" s="4561" t="n"/>
      <c r="G1867" s="4561" t="n"/>
      <c r="H1867" s="4561" t="n"/>
      <c r="I1867" s="4562">
        <f>XLOOKUP(B1867,'_Sys|Line_Map'!$A:$A,'_Sys|Line_Map'!$C:$C,"MISSING",0)</f>
        <v/>
      </c>
      <c r="J1867" s="4562">
        <f>XLOOKUP(B1867,'_Sys|Line_Map'!$A:$A,'_Sys|Line_Map'!$D:$D,1,0)</f>
        <v/>
      </c>
      <c r="K1867" s="4562">
        <f>IF(D1867="","",D1867*J1867)</f>
        <v/>
      </c>
      <c r="L1867" s="4562">
        <f>XLOOKUP(B1867,'_Sys|Line_Map'!$A:$A,'_Sys|Line_Map'!$B:$B,"MISSING",0)</f>
        <v/>
      </c>
    </row>
    <row r="1868">
      <c r="A1868" s="4561" t="n"/>
      <c r="B1868" s="4561" t="n"/>
      <c r="C1868" s="4561" t="n"/>
      <c r="D1868" s="4561" t="n"/>
      <c r="E1868" s="4561" t="n"/>
      <c r="F1868" s="4561" t="n"/>
      <c r="G1868" s="4561" t="n"/>
      <c r="H1868" s="4561" t="n"/>
      <c r="I1868" s="4562">
        <f>XLOOKUP(B1868,'_Sys|Line_Map'!$A:$A,'_Sys|Line_Map'!$C:$C,"MISSING",0)</f>
        <v/>
      </c>
      <c r="J1868" s="4562">
        <f>XLOOKUP(B1868,'_Sys|Line_Map'!$A:$A,'_Sys|Line_Map'!$D:$D,1,0)</f>
        <v/>
      </c>
      <c r="K1868" s="4562">
        <f>IF(D1868="","",D1868*J1868)</f>
        <v/>
      </c>
      <c r="L1868" s="4562">
        <f>XLOOKUP(B1868,'_Sys|Line_Map'!$A:$A,'_Sys|Line_Map'!$B:$B,"MISSING",0)</f>
        <v/>
      </c>
    </row>
    <row r="1869">
      <c r="A1869" s="4561" t="n"/>
      <c r="B1869" s="4561" t="n"/>
      <c r="C1869" s="4561" t="n"/>
      <c r="D1869" s="4561" t="n"/>
      <c r="E1869" s="4561" t="n"/>
      <c r="F1869" s="4561" t="n"/>
      <c r="G1869" s="4561" t="n"/>
      <c r="H1869" s="4561" t="n"/>
      <c r="I1869" s="4562">
        <f>XLOOKUP(B1869,'_Sys|Line_Map'!$A:$A,'_Sys|Line_Map'!$C:$C,"MISSING",0)</f>
        <v/>
      </c>
      <c r="J1869" s="4562">
        <f>XLOOKUP(B1869,'_Sys|Line_Map'!$A:$A,'_Sys|Line_Map'!$D:$D,1,0)</f>
        <v/>
      </c>
      <c r="K1869" s="4562">
        <f>IF(D1869="","",D1869*J1869)</f>
        <v/>
      </c>
      <c r="L1869" s="4562">
        <f>XLOOKUP(B1869,'_Sys|Line_Map'!$A:$A,'_Sys|Line_Map'!$B:$B,"MISSING",0)</f>
        <v/>
      </c>
    </row>
    <row r="1870">
      <c r="A1870" s="4561" t="n"/>
      <c r="B1870" s="4561" t="n"/>
      <c r="C1870" s="4561" t="n"/>
      <c r="D1870" s="4561" t="n"/>
      <c r="E1870" s="4561" t="n"/>
      <c r="F1870" s="4561" t="n"/>
      <c r="G1870" s="4561" t="n"/>
      <c r="H1870" s="4561" t="n"/>
      <c r="I1870" s="4562">
        <f>XLOOKUP(B1870,'_Sys|Line_Map'!$A:$A,'_Sys|Line_Map'!$C:$C,"MISSING",0)</f>
        <v/>
      </c>
      <c r="J1870" s="4562">
        <f>XLOOKUP(B1870,'_Sys|Line_Map'!$A:$A,'_Sys|Line_Map'!$D:$D,1,0)</f>
        <v/>
      </c>
      <c r="K1870" s="4562">
        <f>IF(D1870="","",D1870*J1870)</f>
        <v/>
      </c>
      <c r="L1870" s="4562">
        <f>XLOOKUP(B1870,'_Sys|Line_Map'!$A:$A,'_Sys|Line_Map'!$B:$B,"MISSING",0)</f>
        <v/>
      </c>
    </row>
    <row r="1871">
      <c r="A1871" s="4561" t="n"/>
      <c r="B1871" s="4561" t="n"/>
      <c r="C1871" s="4561" t="n"/>
      <c r="D1871" s="4561" t="n"/>
      <c r="E1871" s="4561" t="n"/>
      <c r="F1871" s="4561" t="n"/>
      <c r="G1871" s="4561" t="n"/>
      <c r="H1871" s="4561" t="n"/>
      <c r="I1871" s="4562">
        <f>XLOOKUP(B1871,'_Sys|Line_Map'!$A:$A,'_Sys|Line_Map'!$C:$C,"MISSING",0)</f>
        <v/>
      </c>
      <c r="J1871" s="4562">
        <f>XLOOKUP(B1871,'_Sys|Line_Map'!$A:$A,'_Sys|Line_Map'!$D:$D,1,0)</f>
        <v/>
      </c>
      <c r="K1871" s="4562">
        <f>IF(D1871="","",D1871*J1871)</f>
        <v/>
      </c>
      <c r="L1871" s="4562">
        <f>XLOOKUP(B1871,'_Sys|Line_Map'!$A:$A,'_Sys|Line_Map'!$B:$B,"MISSING",0)</f>
        <v/>
      </c>
    </row>
    <row r="1872">
      <c r="A1872" s="4561" t="n"/>
      <c r="B1872" s="4561" t="n"/>
      <c r="C1872" s="4561" t="n"/>
      <c r="D1872" s="4561" t="n"/>
      <c r="E1872" s="4561" t="n"/>
      <c r="F1872" s="4561" t="n"/>
      <c r="G1872" s="4561" t="n"/>
      <c r="H1872" s="4561" t="n"/>
      <c r="I1872" s="4562">
        <f>XLOOKUP(B1872,'_Sys|Line_Map'!$A:$A,'_Sys|Line_Map'!$C:$C,"MISSING",0)</f>
        <v/>
      </c>
      <c r="J1872" s="4562">
        <f>XLOOKUP(B1872,'_Sys|Line_Map'!$A:$A,'_Sys|Line_Map'!$D:$D,1,0)</f>
        <v/>
      </c>
      <c r="K1872" s="4562">
        <f>IF(D1872="","",D1872*J1872)</f>
        <v/>
      </c>
      <c r="L1872" s="4562">
        <f>XLOOKUP(B1872,'_Sys|Line_Map'!$A:$A,'_Sys|Line_Map'!$B:$B,"MISSING",0)</f>
        <v/>
      </c>
    </row>
    <row r="1873">
      <c r="A1873" s="4561" t="n"/>
      <c r="B1873" s="4561" t="n"/>
      <c r="C1873" s="4561" t="n"/>
      <c r="D1873" s="4561" t="n"/>
      <c r="E1873" s="4561" t="n"/>
      <c r="F1873" s="4561" t="n"/>
      <c r="G1873" s="4561" t="n"/>
      <c r="H1873" s="4561" t="n"/>
      <c r="I1873" s="4562">
        <f>XLOOKUP(B1873,'_Sys|Line_Map'!$A:$A,'_Sys|Line_Map'!$C:$C,"MISSING",0)</f>
        <v/>
      </c>
      <c r="J1873" s="4562">
        <f>XLOOKUP(B1873,'_Sys|Line_Map'!$A:$A,'_Sys|Line_Map'!$D:$D,1,0)</f>
        <v/>
      </c>
      <c r="K1873" s="4562">
        <f>IF(D1873="","",D1873*J1873)</f>
        <v/>
      </c>
      <c r="L1873" s="4562">
        <f>XLOOKUP(B1873,'_Sys|Line_Map'!$A:$A,'_Sys|Line_Map'!$B:$B,"MISSING",0)</f>
        <v/>
      </c>
    </row>
    <row r="1874">
      <c r="A1874" s="4561" t="n"/>
      <c r="B1874" s="4561" t="n"/>
      <c r="C1874" s="4561" t="n"/>
      <c r="D1874" s="4561" t="n"/>
      <c r="E1874" s="4561" t="n"/>
      <c r="F1874" s="4561" t="n"/>
      <c r="G1874" s="4561" t="n"/>
      <c r="H1874" s="4561" t="n"/>
      <c r="I1874" s="4562">
        <f>XLOOKUP(B1874,'_Sys|Line_Map'!$A:$A,'_Sys|Line_Map'!$C:$C,"MISSING",0)</f>
        <v/>
      </c>
      <c r="J1874" s="4562">
        <f>XLOOKUP(B1874,'_Sys|Line_Map'!$A:$A,'_Sys|Line_Map'!$D:$D,1,0)</f>
        <v/>
      </c>
      <c r="K1874" s="4562">
        <f>IF(D1874="","",D1874*J1874)</f>
        <v/>
      </c>
      <c r="L1874" s="4562">
        <f>XLOOKUP(B1874,'_Sys|Line_Map'!$A:$A,'_Sys|Line_Map'!$B:$B,"MISSING",0)</f>
        <v/>
      </c>
    </row>
    <row r="1875">
      <c r="A1875" s="4561" t="n"/>
      <c r="B1875" s="4561" t="n"/>
      <c r="C1875" s="4561" t="n"/>
      <c r="D1875" s="4561" t="n"/>
      <c r="E1875" s="4561" t="n"/>
      <c r="F1875" s="4561" t="n"/>
      <c r="G1875" s="4561" t="n"/>
      <c r="H1875" s="4561" t="n"/>
      <c r="I1875" s="4562">
        <f>XLOOKUP(B1875,'_Sys|Line_Map'!$A:$A,'_Sys|Line_Map'!$C:$C,"MISSING",0)</f>
        <v/>
      </c>
      <c r="J1875" s="4562">
        <f>XLOOKUP(B1875,'_Sys|Line_Map'!$A:$A,'_Sys|Line_Map'!$D:$D,1,0)</f>
        <v/>
      </c>
      <c r="K1875" s="4562">
        <f>IF(D1875="","",D1875*J1875)</f>
        <v/>
      </c>
      <c r="L1875" s="4562">
        <f>XLOOKUP(B1875,'_Sys|Line_Map'!$A:$A,'_Sys|Line_Map'!$B:$B,"MISSING",0)</f>
        <v/>
      </c>
    </row>
    <row r="1876">
      <c r="A1876" s="4561" t="n"/>
      <c r="B1876" s="4561" t="n"/>
      <c r="C1876" s="4561" t="n"/>
      <c r="D1876" s="4561" t="n"/>
      <c r="E1876" s="4561" t="n"/>
      <c r="F1876" s="4561" t="n"/>
      <c r="G1876" s="4561" t="n"/>
      <c r="H1876" s="4561" t="n"/>
      <c r="I1876" s="4562">
        <f>XLOOKUP(B1876,'_Sys|Line_Map'!$A:$A,'_Sys|Line_Map'!$C:$C,"MISSING",0)</f>
        <v/>
      </c>
      <c r="J1876" s="4562">
        <f>XLOOKUP(B1876,'_Sys|Line_Map'!$A:$A,'_Sys|Line_Map'!$D:$D,1,0)</f>
        <v/>
      </c>
      <c r="K1876" s="4562">
        <f>IF(D1876="","",D1876*J1876)</f>
        <v/>
      </c>
      <c r="L1876" s="4562">
        <f>XLOOKUP(B1876,'_Sys|Line_Map'!$A:$A,'_Sys|Line_Map'!$B:$B,"MISSING",0)</f>
        <v/>
      </c>
    </row>
    <row r="1877">
      <c r="A1877" s="4561" t="n"/>
      <c r="B1877" s="4561" t="n"/>
      <c r="C1877" s="4561" t="n"/>
      <c r="D1877" s="4561" t="n"/>
      <c r="E1877" s="4561" t="n"/>
      <c r="F1877" s="4561" t="n"/>
      <c r="G1877" s="4561" t="n"/>
      <c r="H1877" s="4561" t="n"/>
      <c r="I1877" s="4562">
        <f>XLOOKUP(B1877,'_Sys|Line_Map'!$A:$A,'_Sys|Line_Map'!$C:$C,"MISSING",0)</f>
        <v/>
      </c>
      <c r="J1877" s="4562">
        <f>XLOOKUP(B1877,'_Sys|Line_Map'!$A:$A,'_Sys|Line_Map'!$D:$D,1,0)</f>
        <v/>
      </c>
      <c r="K1877" s="4562">
        <f>IF(D1877="","",D1877*J1877)</f>
        <v/>
      </c>
      <c r="L1877" s="4562">
        <f>XLOOKUP(B1877,'_Sys|Line_Map'!$A:$A,'_Sys|Line_Map'!$B:$B,"MISSING",0)</f>
        <v/>
      </c>
    </row>
    <row r="1878">
      <c r="A1878" s="4561" t="n"/>
      <c r="B1878" s="4561" t="n"/>
      <c r="C1878" s="4561" t="n"/>
      <c r="D1878" s="4561" t="n"/>
      <c r="E1878" s="4561" t="n"/>
      <c r="F1878" s="4561" t="n"/>
      <c r="G1878" s="4561" t="n"/>
      <c r="H1878" s="4561" t="n"/>
      <c r="I1878" s="4562">
        <f>XLOOKUP(B1878,'_Sys|Line_Map'!$A:$A,'_Sys|Line_Map'!$C:$C,"MISSING",0)</f>
        <v/>
      </c>
      <c r="J1878" s="4562">
        <f>XLOOKUP(B1878,'_Sys|Line_Map'!$A:$A,'_Sys|Line_Map'!$D:$D,1,0)</f>
        <v/>
      </c>
      <c r="K1878" s="4562">
        <f>IF(D1878="","",D1878*J1878)</f>
        <v/>
      </c>
      <c r="L1878" s="4562">
        <f>XLOOKUP(B1878,'_Sys|Line_Map'!$A:$A,'_Sys|Line_Map'!$B:$B,"MISSING",0)</f>
        <v/>
      </c>
    </row>
    <row r="1879">
      <c r="A1879" s="4561" t="n"/>
      <c r="B1879" s="4561" t="n"/>
      <c r="C1879" s="4561" t="n"/>
      <c r="D1879" s="4561" t="n"/>
      <c r="E1879" s="4561" t="n"/>
      <c r="F1879" s="4561" t="n"/>
      <c r="G1879" s="4561" t="n"/>
      <c r="H1879" s="4561" t="n"/>
      <c r="I1879" s="4562">
        <f>XLOOKUP(B1879,'_Sys|Line_Map'!$A:$A,'_Sys|Line_Map'!$C:$C,"MISSING",0)</f>
        <v/>
      </c>
      <c r="J1879" s="4562">
        <f>XLOOKUP(B1879,'_Sys|Line_Map'!$A:$A,'_Sys|Line_Map'!$D:$D,1,0)</f>
        <v/>
      </c>
      <c r="K1879" s="4562">
        <f>IF(D1879="","",D1879*J1879)</f>
        <v/>
      </c>
      <c r="L1879" s="4562">
        <f>XLOOKUP(B1879,'_Sys|Line_Map'!$A:$A,'_Sys|Line_Map'!$B:$B,"MISSING",0)</f>
        <v/>
      </c>
    </row>
    <row r="1880">
      <c r="A1880" s="4561" t="n"/>
      <c r="B1880" s="4561" t="n"/>
      <c r="C1880" s="4561" t="n"/>
      <c r="D1880" s="4561" t="n"/>
      <c r="E1880" s="4561" t="n"/>
      <c r="F1880" s="4561" t="n"/>
      <c r="G1880" s="4561" t="n"/>
      <c r="H1880" s="4561" t="n"/>
      <c r="I1880" s="4562">
        <f>XLOOKUP(B1880,'_Sys|Line_Map'!$A:$A,'_Sys|Line_Map'!$C:$C,"MISSING",0)</f>
        <v/>
      </c>
      <c r="J1880" s="4562">
        <f>XLOOKUP(B1880,'_Sys|Line_Map'!$A:$A,'_Sys|Line_Map'!$D:$D,1,0)</f>
        <v/>
      </c>
      <c r="K1880" s="4562">
        <f>IF(D1880="","",D1880*J1880)</f>
        <v/>
      </c>
      <c r="L1880" s="4562">
        <f>XLOOKUP(B1880,'_Sys|Line_Map'!$A:$A,'_Sys|Line_Map'!$B:$B,"MISSING",0)</f>
        <v/>
      </c>
    </row>
    <row r="1881">
      <c r="A1881" s="4561" t="n"/>
      <c r="B1881" s="4561" t="n"/>
      <c r="C1881" s="4561" t="n"/>
      <c r="D1881" s="4561" t="n"/>
      <c r="E1881" s="4561" t="n"/>
      <c r="F1881" s="4561" t="n"/>
      <c r="G1881" s="4561" t="n"/>
      <c r="H1881" s="4561" t="n"/>
      <c r="I1881" s="4562">
        <f>XLOOKUP(B1881,'_Sys|Line_Map'!$A:$A,'_Sys|Line_Map'!$C:$C,"MISSING",0)</f>
        <v/>
      </c>
      <c r="J1881" s="4562">
        <f>XLOOKUP(B1881,'_Sys|Line_Map'!$A:$A,'_Sys|Line_Map'!$D:$D,1,0)</f>
        <v/>
      </c>
      <c r="K1881" s="4562">
        <f>IF(D1881="","",D1881*J1881)</f>
        <v/>
      </c>
      <c r="L1881" s="4562">
        <f>XLOOKUP(B1881,'_Sys|Line_Map'!$A:$A,'_Sys|Line_Map'!$B:$B,"MISSING",0)</f>
        <v/>
      </c>
    </row>
    <row r="1882">
      <c r="A1882" s="4561" t="n"/>
      <c r="B1882" s="4561" t="n"/>
      <c r="C1882" s="4561" t="n"/>
      <c r="D1882" s="4561" t="n"/>
      <c r="E1882" s="4561" t="n"/>
      <c r="F1882" s="4561" t="n"/>
      <c r="G1882" s="4561" t="n"/>
      <c r="H1882" s="4561" t="n"/>
      <c r="I1882" s="4562">
        <f>XLOOKUP(B1882,'_Sys|Line_Map'!$A:$A,'_Sys|Line_Map'!$C:$C,"MISSING",0)</f>
        <v/>
      </c>
      <c r="J1882" s="4562">
        <f>XLOOKUP(B1882,'_Sys|Line_Map'!$A:$A,'_Sys|Line_Map'!$D:$D,1,0)</f>
        <v/>
      </c>
      <c r="K1882" s="4562">
        <f>IF(D1882="","",D1882*J1882)</f>
        <v/>
      </c>
      <c r="L1882" s="4562">
        <f>XLOOKUP(B1882,'_Sys|Line_Map'!$A:$A,'_Sys|Line_Map'!$B:$B,"MISSING",0)</f>
        <v/>
      </c>
    </row>
    <row r="1883">
      <c r="A1883" s="4561" t="n"/>
      <c r="B1883" s="4561" t="n"/>
      <c r="C1883" s="4561" t="n"/>
      <c r="D1883" s="4561" t="n"/>
      <c r="E1883" s="4561" t="n"/>
      <c r="F1883" s="4561" t="n"/>
      <c r="G1883" s="4561" t="n"/>
      <c r="H1883" s="4561" t="n"/>
      <c r="I1883" s="4562">
        <f>XLOOKUP(B1883,'_Sys|Line_Map'!$A:$A,'_Sys|Line_Map'!$C:$C,"MISSING",0)</f>
        <v/>
      </c>
      <c r="J1883" s="4562">
        <f>XLOOKUP(B1883,'_Sys|Line_Map'!$A:$A,'_Sys|Line_Map'!$D:$D,1,0)</f>
        <v/>
      </c>
      <c r="K1883" s="4562">
        <f>IF(D1883="","",D1883*J1883)</f>
        <v/>
      </c>
      <c r="L1883" s="4562">
        <f>XLOOKUP(B1883,'_Sys|Line_Map'!$A:$A,'_Sys|Line_Map'!$B:$B,"MISSING",0)</f>
        <v/>
      </c>
    </row>
    <row r="1884">
      <c r="A1884" s="4561" t="n"/>
      <c r="B1884" s="4561" t="n"/>
      <c r="C1884" s="4561" t="n"/>
      <c r="D1884" s="4561" t="n"/>
      <c r="E1884" s="4561" t="n"/>
      <c r="F1884" s="4561" t="n"/>
      <c r="G1884" s="4561" t="n"/>
      <c r="H1884" s="4561" t="n"/>
      <c r="I1884" s="4562">
        <f>XLOOKUP(B1884,'_Sys|Line_Map'!$A:$A,'_Sys|Line_Map'!$C:$C,"MISSING",0)</f>
        <v/>
      </c>
      <c r="J1884" s="4562">
        <f>XLOOKUP(B1884,'_Sys|Line_Map'!$A:$A,'_Sys|Line_Map'!$D:$D,1,0)</f>
        <v/>
      </c>
      <c r="K1884" s="4562">
        <f>IF(D1884="","",D1884*J1884)</f>
        <v/>
      </c>
      <c r="L1884" s="4562">
        <f>XLOOKUP(B1884,'_Sys|Line_Map'!$A:$A,'_Sys|Line_Map'!$B:$B,"MISSING",0)</f>
        <v/>
      </c>
    </row>
    <row r="1885">
      <c r="A1885" s="4561" t="n"/>
      <c r="B1885" s="4561" t="n"/>
      <c r="C1885" s="4561" t="n"/>
      <c r="D1885" s="4561" t="n"/>
      <c r="E1885" s="4561" t="n"/>
      <c r="F1885" s="4561" t="n"/>
      <c r="G1885" s="4561" t="n"/>
      <c r="H1885" s="4561" t="n"/>
      <c r="I1885" s="4562">
        <f>XLOOKUP(B1885,'_Sys|Line_Map'!$A:$A,'_Sys|Line_Map'!$C:$C,"MISSING",0)</f>
        <v/>
      </c>
      <c r="J1885" s="4562">
        <f>XLOOKUP(B1885,'_Sys|Line_Map'!$A:$A,'_Sys|Line_Map'!$D:$D,1,0)</f>
        <v/>
      </c>
      <c r="K1885" s="4562">
        <f>IF(D1885="","",D1885*J1885)</f>
        <v/>
      </c>
      <c r="L1885" s="4562">
        <f>XLOOKUP(B1885,'_Sys|Line_Map'!$A:$A,'_Sys|Line_Map'!$B:$B,"MISSING",0)</f>
        <v/>
      </c>
    </row>
    <row r="1886">
      <c r="A1886" s="4561" t="n"/>
      <c r="B1886" s="4561" t="n"/>
      <c r="C1886" s="4561" t="n"/>
      <c r="D1886" s="4561" t="n"/>
      <c r="E1886" s="4561" t="n"/>
      <c r="F1886" s="4561" t="n"/>
      <c r="G1886" s="4561" t="n"/>
      <c r="H1886" s="4561" t="n"/>
      <c r="I1886" s="4562">
        <f>XLOOKUP(B1886,'_Sys|Line_Map'!$A:$A,'_Sys|Line_Map'!$C:$C,"MISSING",0)</f>
        <v/>
      </c>
      <c r="J1886" s="4562">
        <f>XLOOKUP(B1886,'_Sys|Line_Map'!$A:$A,'_Sys|Line_Map'!$D:$D,1,0)</f>
        <v/>
      </c>
      <c r="K1886" s="4562">
        <f>IF(D1886="","",D1886*J1886)</f>
        <v/>
      </c>
      <c r="L1886" s="4562">
        <f>XLOOKUP(B1886,'_Sys|Line_Map'!$A:$A,'_Sys|Line_Map'!$B:$B,"MISSING",0)</f>
        <v/>
      </c>
    </row>
    <row r="1887">
      <c r="A1887" s="4561" t="n"/>
      <c r="B1887" s="4561" t="n"/>
      <c r="C1887" s="4561" t="n"/>
      <c r="D1887" s="4561" t="n"/>
      <c r="E1887" s="4561" t="n"/>
      <c r="F1887" s="4561" t="n"/>
      <c r="G1887" s="4561" t="n"/>
      <c r="H1887" s="4561" t="n"/>
      <c r="I1887" s="4562">
        <f>XLOOKUP(B1887,'_Sys|Line_Map'!$A:$A,'_Sys|Line_Map'!$C:$C,"MISSING",0)</f>
        <v/>
      </c>
      <c r="J1887" s="4562">
        <f>XLOOKUP(B1887,'_Sys|Line_Map'!$A:$A,'_Sys|Line_Map'!$D:$D,1,0)</f>
        <v/>
      </c>
      <c r="K1887" s="4562">
        <f>IF(D1887="","",D1887*J1887)</f>
        <v/>
      </c>
      <c r="L1887" s="4562">
        <f>XLOOKUP(B1887,'_Sys|Line_Map'!$A:$A,'_Sys|Line_Map'!$B:$B,"MISSING",0)</f>
        <v/>
      </c>
    </row>
    <row r="1888">
      <c r="A1888" s="4561" t="n"/>
      <c r="B1888" s="4561" t="n"/>
      <c r="C1888" s="4561" t="n"/>
      <c r="D1888" s="4561" t="n"/>
      <c r="E1888" s="4561" t="n"/>
      <c r="F1888" s="4561" t="n"/>
      <c r="G1888" s="4561" t="n"/>
      <c r="H1888" s="4561" t="n"/>
      <c r="I1888" s="4562">
        <f>XLOOKUP(B1888,'_Sys|Line_Map'!$A:$A,'_Sys|Line_Map'!$C:$C,"MISSING",0)</f>
        <v/>
      </c>
      <c r="J1888" s="4562">
        <f>XLOOKUP(B1888,'_Sys|Line_Map'!$A:$A,'_Sys|Line_Map'!$D:$D,1,0)</f>
        <v/>
      </c>
      <c r="K1888" s="4562">
        <f>IF(D1888="","",D1888*J1888)</f>
        <v/>
      </c>
      <c r="L1888" s="4562">
        <f>XLOOKUP(B1888,'_Sys|Line_Map'!$A:$A,'_Sys|Line_Map'!$B:$B,"MISSING",0)</f>
        <v/>
      </c>
    </row>
    <row r="1889">
      <c r="A1889" s="4561" t="n"/>
      <c r="B1889" s="4561" t="n"/>
      <c r="C1889" s="4561" t="n"/>
      <c r="D1889" s="4561" t="n"/>
      <c r="E1889" s="4561" t="n"/>
      <c r="F1889" s="4561" t="n"/>
      <c r="G1889" s="4561" t="n"/>
      <c r="H1889" s="4561" t="n"/>
      <c r="I1889" s="4562">
        <f>XLOOKUP(B1889,'_Sys|Line_Map'!$A:$A,'_Sys|Line_Map'!$C:$C,"MISSING",0)</f>
        <v/>
      </c>
      <c r="J1889" s="4562">
        <f>XLOOKUP(B1889,'_Sys|Line_Map'!$A:$A,'_Sys|Line_Map'!$D:$D,1,0)</f>
        <v/>
      </c>
      <c r="K1889" s="4562">
        <f>IF(D1889="","",D1889*J1889)</f>
        <v/>
      </c>
      <c r="L1889" s="4562">
        <f>XLOOKUP(B1889,'_Sys|Line_Map'!$A:$A,'_Sys|Line_Map'!$B:$B,"MISSING",0)</f>
        <v/>
      </c>
    </row>
    <row r="1890">
      <c r="A1890" s="4561" t="n"/>
      <c r="B1890" s="4561" t="n"/>
      <c r="C1890" s="4561" t="n"/>
      <c r="D1890" s="4561" t="n"/>
      <c r="E1890" s="4561" t="n"/>
      <c r="F1890" s="4561" t="n"/>
      <c r="G1890" s="4561" t="n"/>
      <c r="H1890" s="4561" t="n"/>
      <c r="I1890" s="4562">
        <f>XLOOKUP(B1890,'_Sys|Line_Map'!$A:$A,'_Sys|Line_Map'!$C:$C,"MISSING",0)</f>
        <v/>
      </c>
      <c r="J1890" s="4562">
        <f>XLOOKUP(B1890,'_Sys|Line_Map'!$A:$A,'_Sys|Line_Map'!$D:$D,1,0)</f>
        <v/>
      </c>
      <c r="K1890" s="4562">
        <f>IF(D1890="","",D1890*J1890)</f>
        <v/>
      </c>
      <c r="L1890" s="4562">
        <f>XLOOKUP(B1890,'_Sys|Line_Map'!$A:$A,'_Sys|Line_Map'!$B:$B,"MISSING",0)</f>
        <v/>
      </c>
    </row>
    <row r="1891">
      <c r="A1891" s="4561" t="n"/>
      <c r="B1891" s="4561" t="n"/>
      <c r="C1891" s="4561" t="n"/>
      <c r="D1891" s="4561" t="n"/>
      <c r="E1891" s="4561" t="n"/>
      <c r="F1891" s="4561" t="n"/>
      <c r="G1891" s="4561" t="n"/>
      <c r="H1891" s="4561" t="n"/>
      <c r="I1891" s="4562">
        <f>XLOOKUP(B1891,'_Sys|Line_Map'!$A:$A,'_Sys|Line_Map'!$C:$C,"MISSING",0)</f>
        <v/>
      </c>
      <c r="J1891" s="4562">
        <f>XLOOKUP(B1891,'_Sys|Line_Map'!$A:$A,'_Sys|Line_Map'!$D:$D,1,0)</f>
        <v/>
      </c>
      <c r="K1891" s="4562">
        <f>IF(D1891="","",D1891*J1891)</f>
        <v/>
      </c>
      <c r="L1891" s="4562">
        <f>XLOOKUP(B1891,'_Sys|Line_Map'!$A:$A,'_Sys|Line_Map'!$B:$B,"MISSING",0)</f>
        <v/>
      </c>
    </row>
    <row r="1892">
      <c r="A1892" s="4561" t="n"/>
      <c r="B1892" s="4561" t="n"/>
      <c r="C1892" s="4561" t="n"/>
      <c r="D1892" s="4561" t="n"/>
      <c r="E1892" s="4561" t="n"/>
      <c r="F1892" s="4561" t="n"/>
      <c r="G1892" s="4561" t="n"/>
      <c r="H1892" s="4561" t="n"/>
      <c r="I1892" s="4562">
        <f>XLOOKUP(B1892,'_Sys|Line_Map'!$A:$A,'_Sys|Line_Map'!$C:$C,"MISSING",0)</f>
        <v/>
      </c>
      <c r="J1892" s="4562">
        <f>XLOOKUP(B1892,'_Sys|Line_Map'!$A:$A,'_Sys|Line_Map'!$D:$D,1,0)</f>
        <v/>
      </c>
      <c r="K1892" s="4562">
        <f>IF(D1892="","",D1892*J1892)</f>
        <v/>
      </c>
      <c r="L1892" s="4562">
        <f>XLOOKUP(B1892,'_Sys|Line_Map'!$A:$A,'_Sys|Line_Map'!$B:$B,"MISSING",0)</f>
        <v/>
      </c>
    </row>
    <row r="1893">
      <c r="A1893" s="4561" t="n"/>
      <c r="B1893" s="4561" t="n"/>
      <c r="C1893" s="4561" t="n"/>
      <c r="D1893" s="4561" t="n"/>
      <c r="E1893" s="4561" t="n"/>
      <c r="F1893" s="4561" t="n"/>
      <c r="G1893" s="4561" t="n"/>
      <c r="H1893" s="4561" t="n"/>
      <c r="I1893" s="4562">
        <f>XLOOKUP(B1893,'_Sys|Line_Map'!$A:$A,'_Sys|Line_Map'!$C:$C,"MISSING",0)</f>
        <v/>
      </c>
      <c r="J1893" s="4562">
        <f>XLOOKUP(B1893,'_Sys|Line_Map'!$A:$A,'_Sys|Line_Map'!$D:$D,1,0)</f>
        <v/>
      </c>
      <c r="K1893" s="4562">
        <f>IF(D1893="","",D1893*J1893)</f>
        <v/>
      </c>
      <c r="L1893" s="4562">
        <f>XLOOKUP(B1893,'_Sys|Line_Map'!$A:$A,'_Sys|Line_Map'!$B:$B,"MISSING",0)</f>
        <v/>
      </c>
    </row>
    <row r="1894">
      <c r="A1894" s="4561" t="n"/>
      <c r="B1894" s="4561" t="n"/>
      <c r="C1894" s="4561" t="n"/>
      <c r="D1894" s="4561" t="n"/>
      <c r="E1894" s="4561" t="n"/>
      <c r="F1894" s="4561" t="n"/>
      <c r="G1894" s="4561" t="n"/>
      <c r="H1894" s="4561" t="n"/>
      <c r="I1894" s="4562">
        <f>XLOOKUP(B1894,'_Sys|Line_Map'!$A:$A,'_Sys|Line_Map'!$C:$C,"MISSING",0)</f>
        <v/>
      </c>
      <c r="J1894" s="4562">
        <f>XLOOKUP(B1894,'_Sys|Line_Map'!$A:$A,'_Sys|Line_Map'!$D:$D,1,0)</f>
        <v/>
      </c>
      <c r="K1894" s="4562">
        <f>IF(D1894="","",D1894*J1894)</f>
        <v/>
      </c>
      <c r="L1894" s="4562">
        <f>XLOOKUP(B1894,'_Sys|Line_Map'!$A:$A,'_Sys|Line_Map'!$B:$B,"MISSING",0)</f>
        <v/>
      </c>
    </row>
    <row r="1895">
      <c r="A1895" s="4561" t="n"/>
      <c r="B1895" s="4561" t="n"/>
      <c r="C1895" s="4561" t="n"/>
      <c r="D1895" s="4561" t="n"/>
      <c r="E1895" s="4561" t="n"/>
      <c r="F1895" s="4561" t="n"/>
      <c r="G1895" s="4561" t="n"/>
      <c r="H1895" s="4561" t="n"/>
      <c r="I1895" s="4562">
        <f>XLOOKUP(B1895,'_Sys|Line_Map'!$A:$A,'_Sys|Line_Map'!$C:$C,"MISSING",0)</f>
        <v/>
      </c>
      <c r="J1895" s="4562">
        <f>XLOOKUP(B1895,'_Sys|Line_Map'!$A:$A,'_Sys|Line_Map'!$D:$D,1,0)</f>
        <v/>
      </c>
      <c r="K1895" s="4562">
        <f>IF(D1895="","",D1895*J1895)</f>
        <v/>
      </c>
      <c r="L1895" s="4562">
        <f>XLOOKUP(B1895,'_Sys|Line_Map'!$A:$A,'_Sys|Line_Map'!$B:$B,"MISSING",0)</f>
        <v/>
      </c>
    </row>
    <row r="1896">
      <c r="A1896" s="4561" t="n"/>
      <c r="B1896" s="4561" t="n"/>
      <c r="C1896" s="4561" t="n"/>
      <c r="D1896" s="4561" t="n"/>
      <c r="E1896" s="4561" t="n"/>
      <c r="F1896" s="4561" t="n"/>
      <c r="G1896" s="4561" t="n"/>
      <c r="H1896" s="4561" t="n"/>
      <c r="I1896" s="4562">
        <f>XLOOKUP(B1896,'_Sys|Line_Map'!$A:$A,'_Sys|Line_Map'!$C:$C,"MISSING",0)</f>
        <v/>
      </c>
      <c r="J1896" s="4562">
        <f>XLOOKUP(B1896,'_Sys|Line_Map'!$A:$A,'_Sys|Line_Map'!$D:$D,1,0)</f>
        <v/>
      </c>
      <c r="K1896" s="4562">
        <f>IF(D1896="","",D1896*J1896)</f>
        <v/>
      </c>
      <c r="L1896" s="4562">
        <f>XLOOKUP(B1896,'_Sys|Line_Map'!$A:$A,'_Sys|Line_Map'!$B:$B,"MISSING",0)</f>
        <v/>
      </c>
    </row>
    <row r="1897">
      <c r="A1897" s="4561" t="n"/>
      <c r="B1897" s="4561" t="n"/>
      <c r="C1897" s="4561" t="n"/>
      <c r="D1897" s="4561" t="n"/>
      <c r="E1897" s="4561" t="n"/>
      <c r="F1897" s="4561" t="n"/>
      <c r="G1897" s="4561" t="n"/>
      <c r="H1897" s="4561" t="n"/>
      <c r="I1897" s="4562">
        <f>XLOOKUP(B1897,'_Sys|Line_Map'!$A:$A,'_Sys|Line_Map'!$C:$C,"MISSING",0)</f>
        <v/>
      </c>
      <c r="J1897" s="4562">
        <f>XLOOKUP(B1897,'_Sys|Line_Map'!$A:$A,'_Sys|Line_Map'!$D:$D,1,0)</f>
        <v/>
      </c>
      <c r="K1897" s="4562">
        <f>IF(D1897="","",D1897*J1897)</f>
        <v/>
      </c>
      <c r="L1897" s="4562">
        <f>XLOOKUP(B1897,'_Sys|Line_Map'!$A:$A,'_Sys|Line_Map'!$B:$B,"MISSING",0)</f>
        <v/>
      </c>
    </row>
    <row r="1898">
      <c r="A1898" s="4561" t="n"/>
      <c r="B1898" s="4561" t="n"/>
      <c r="C1898" s="4561" t="n"/>
      <c r="D1898" s="4561" t="n"/>
      <c r="E1898" s="4561" t="n"/>
      <c r="F1898" s="4561" t="n"/>
      <c r="G1898" s="4561" t="n"/>
      <c r="H1898" s="4561" t="n"/>
      <c r="I1898" s="4562">
        <f>XLOOKUP(B1898,'_Sys|Line_Map'!$A:$A,'_Sys|Line_Map'!$C:$C,"MISSING",0)</f>
        <v/>
      </c>
      <c r="J1898" s="4562">
        <f>XLOOKUP(B1898,'_Sys|Line_Map'!$A:$A,'_Sys|Line_Map'!$D:$D,1,0)</f>
        <v/>
      </c>
      <c r="K1898" s="4562">
        <f>IF(D1898="","",D1898*J1898)</f>
        <v/>
      </c>
      <c r="L1898" s="4562">
        <f>XLOOKUP(B1898,'_Sys|Line_Map'!$A:$A,'_Sys|Line_Map'!$B:$B,"MISSING",0)</f>
        <v/>
      </c>
    </row>
    <row r="1899">
      <c r="A1899" s="4561" t="n"/>
      <c r="B1899" s="4561" t="n"/>
      <c r="C1899" s="4561" t="n"/>
      <c r="D1899" s="4561" t="n"/>
      <c r="E1899" s="4561" t="n"/>
      <c r="F1899" s="4561" t="n"/>
      <c r="G1899" s="4561" t="n"/>
      <c r="H1899" s="4561" t="n"/>
      <c r="I1899" s="4562">
        <f>XLOOKUP(B1899,'_Sys|Line_Map'!$A:$A,'_Sys|Line_Map'!$C:$C,"MISSING",0)</f>
        <v/>
      </c>
      <c r="J1899" s="4562">
        <f>XLOOKUP(B1899,'_Sys|Line_Map'!$A:$A,'_Sys|Line_Map'!$D:$D,1,0)</f>
        <v/>
      </c>
      <c r="K1899" s="4562">
        <f>IF(D1899="","",D1899*J1899)</f>
        <v/>
      </c>
      <c r="L1899" s="4562">
        <f>XLOOKUP(B1899,'_Sys|Line_Map'!$A:$A,'_Sys|Line_Map'!$B:$B,"MISSING",0)</f>
        <v/>
      </c>
    </row>
    <row r="1900">
      <c r="A1900" s="4561" t="n"/>
      <c r="B1900" s="4561" t="n"/>
      <c r="C1900" s="4561" t="n"/>
      <c r="D1900" s="4561" t="n"/>
      <c r="E1900" s="4561" t="n"/>
      <c r="F1900" s="4561" t="n"/>
      <c r="G1900" s="4561" t="n"/>
      <c r="H1900" s="4561" t="n"/>
      <c r="I1900" s="4562">
        <f>XLOOKUP(B1900,'_Sys|Line_Map'!$A:$A,'_Sys|Line_Map'!$C:$C,"MISSING",0)</f>
        <v/>
      </c>
      <c r="J1900" s="4562">
        <f>XLOOKUP(B1900,'_Sys|Line_Map'!$A:$A,'_Sys|Line_Map'!$D:$D,1,0)</f>
        <v/>
      </c>
      <c r="K1900" s="4562">
        <f>IF(D1900="","",D1900*J1900)</f>
        <v/>
      </c>
      <c r="L1900" s="4562">
        <f>XLOOKUP(B1900,'_Sys|Line_Map'!$A:$A,'_Sys|Line_Map'!$B:$B,"MISSING",0)</f>
        <v/>
      </c>
    </row>
    <row r="1901">
      <c r="A1901" s="4561" t="n"/>
      <c r="B1901" s="4561" t="n"/>
      <c r="C1901" s="4561" t="n"/>
      <c r="D1901" s="4561" t="n"/>
      <c r="E1901" s="4561" t="n"/>
      <c r="F1901" s="4561" t="n"/>
      <c r="G1901" s="4561" t="n"/>
      <c r="H1901" s="4561" t="n"/>
      <c r="I1901" s="4562">
        <f>XLOOKUP(B1901,'_Sys|Line_Map'!$A:$A,'_Sys|Line_Map'!$C:$C,"MISSING",0)</f>
        <v/>
      </c>
      <c r="J1901" s="4562">
        <f>XLOOKUP(B1901,'_Sys|Line_Map'!$A:$A,'_Sys|Line_Map'!$D:$D,1,0)</f>
        <v/>
      </c>
      <c r="K1901" s="4562">
        <f>IF(D1901="","",D1901*J1901)</f>
        <v/>
      </c>
      <c r="L1901" s="4562">
        <f>XLOOKUP(B1901,'_Sys|Line_Map'!$A:$A,'_Sys|Line_Map'!$B:$B,"MISSING",0)</f>
        <v/>
      </c>
    </row>
    <row r="1902">
      <c r="A1902" s="4561" t="n"/>
      <c r="B1902" s="4561" t="n"/>
      <c r="C1902" s="4561" t="n"/>
      <c r="D1902" s="4561" t="n"/>
      <c r="E1902" s="4561" t="n"/>
      <c r="F1902" s="4561" t="n"/>
      <c r="G1902" s="4561" t="n"/>
      <c r="H1902" s="4561" t="n"/>
      <c r="I1902" s="4562">
        <f>XLOOKUP(B1902,'_Sys|Line_Map'!$A:$A,'_Sys|Line_Map'!$C:$C,"MISSING",0)</f>
        <v/>
      </c>
      <c r="J1902" s="4562">
        <f>XLOOKUP(B1902,'_Sys|Line_Map'!$A:$A,'_Sys|Line_Map'!$D:$D,1,0)</f>
        <v/>
      </c>
      <c r="K1902" s="4562">
        <f>IF(D1902="","",D1902*J1902)</f>
        <v/>
      </c>
      <c r="L1902" s="4562">
        <f>XLOOKUP(B1902,'_Sys|Line_Map'!$A:$A,'_Sys|Line_Map'!$B:$B,"MISSING",0)</f>
        <v/>
      </c>
    </row>
    <row r="1903">
      <c r="A1903" s="4561" t="n"/>
      <c r="B1903" s="4561" t="n"/>
      <c r="C1903" s="4561" t="n"/>
      <c r="D1903" s="4561" t="n"/>
      <c r="E1903" s="4561" t="n"/>
      <c r="F1903" s="4561" t="n"/>
      <c r="G1903" s="4561" t="n"/>
      <c r="H1903" s="4561" t="n"/>
      <c r="I1903" s="4562">
        <f>XLOOKUP(B1903,'_Sys|Line_Map'!$A:$A,'_Sys|Line_Map'!$C:$C,"MISSING",0)</f>
        <v/>
      </c>
      <c r="J1903" s="4562">
        <f>XLOOKUP(B1903,'_Sys|Line_Map'!$A:$A,'_Sys|Line_Map'!$D:$D,1,0)</f>
        <v/>
      </c>
      <c r="K1903" s="4562">
        <f>IF(D1903="","",D1903*J1903)</f>
        <v/>
      </c>
      <c r="L1903" s="4562">
        <f>XLOOKUP(B1903,'_Sys|Line_Map'!$A:$A,'_Sys|Line_Map'!$B:$B,"MISSING",0)</f>
        <v/>
      </c>
    </row>
    <row r="1904">
      <c r="A1904" s="4561" t="n"/>
      <c r="B1904" s="4561" t="n"/>
      <c r="C1904" s="4561" t="n"/>
      <c r="D1904" s="4561" t="n"/>
      <c r="E1904" s="4561" t="n"/>
      <c r="F1904" s="4561" t="n"/>
      <c r="G1904" s="4561" t="n"/>
      <c r="H1904" s="4561" t="n"/>
      <c r="I1904" s="4562">
        <f>XLOOKUP(B1904,'_Sys|Line_Map'!$A:$A,'_Sys|Line_Map'!$C:$C,"MISSING",0)</f>
        <v/>
      </c>
      <c r="J1904" s="4562">
        <f>XLOOKUP(B1904,'_Sys|Line_Map'!$A:$A,'_Sys|Line_Map'!$D:$D,1,0)</f>
        <v/>
      </c>
      <c r="K1904" s="4562">
        <f>IF(D1904="","",D1904*J1904)</f>
        <v/>
      </c>
      <c r="L1904" s="4562">
        <f>XLOOKUP(B1904,'_Sys|Line_Map'!$A:$A,'_Sys|Line_Map'!$B:$B,"MISSING",0)</f>
        <v/>
      </c>
    </row>
    <row r="1905">
      <c r="A1905" s="4561" t="n"/>
      <c r="B1905" s="4561" t="n"/>
      <c r="C1905" s="4561" t="n"/>
      <c r="D1905" s="4561" t="n"/>
      <c r="E1905" s="4561" t="n"/>
      <c r="F1905" s="4561" t="n"/>
      <c r="G1905" s="4561" t="n"/>
      <c r="H1905" s="4561" t="n"/>
      <c r="I1905" s="4562">
        <f>XLOOKUP(B1905,'_Sys|Line_Map'!$A:$A,'_Sys|Line_Map'!$C:$C,"MISSING",0)</f>
        <v/>
      </c>
      <c r="J1905" s="4562">
        <f>XLOOKUP(B1905,'_Sys|Line_Map'!$A:$A,'_Sys|Line_Map'!$D:$D,1,0)</f>
        <v/>
      </c>
      <c r="K1905" s="4562">
        <f>IF(D1905="","",D1905*J1905)</f>
        <v/>
      </c>
      <c r="L1905" s="4562">
        <f>XLOOKUP(B1905,'_Sys|Line_Map'!$A:$A,'_Sys|Line_Map'!$B:$B,"MISSING",0)</f>
        <v/>
      </c>
    </row>
    <row r="1906">
      <c r="A1906" s="4561" t="n"/>
      <c r="B1906" s="4561" t="n"/>
      <c r="C1906" s="4561" t="n"/>
      <c r="D1906" s="4561" t="n"/>
      <c r="E1906" s="4561" t="n"/>
      <c r="F1906" s="4561" t="n"/>
      <c r="G1906" s="4561" t="n"/>
      <c r="H1906" s="4561" t="n"/>
      <c r="I1906" s="4562">
        <f>XLOOKUP(B1906,'_Sys|Line_Map'!$A:$A,'_Sys|Line_Map'!$C:$C,"MISSING",0)</f>
        <v/>
      </c>
      <c r="J1906" s="4562">
        <f>XLOOKUP(B1906,'_Sys|Line_Map'!$A:$A,'_Sys|Line_Map'!$D:$D,1,0)</f>
        <v/>
      </c>
      <c r="K1906" s="4562">
        <f>IF(D1906="","",D1906*J1906)</f>
        <v/>
      </c>
      <c r="L1906" s="4562">
        <f>XLOOKUP(B1906,'_Sys|Line_Map'!$A:$A,'_Sys|Line_Map'!$B:$B,"MISSING",0)</f>
        <v/>
      </c>
    </row>
    <row r="1907">
      <c r="A1907" s="4561" t="n"/>
      <c r="B1907" s="4561" t="n"/>
      <c r="C1907" s="4561" t="n"/>
      <c r="D1907" s="4561" t="n"/>
      <c r="E1907" s="4561" t="n"/>
      <c r="F1907" s="4561" t="n"/>
      <c r="G1907" s="4561" t="n"/>
      <c r="H1907" s="4561" t="n"/>
      <c r="I1907" s="4562">
        <f>XLOOKUP(B1907,'_Sys|Line_Map'!$A:$A,'_Sys|Line_Map'!$C:$C,"MISSING",0)</f>
        <v/>
      </c>
      <c r="J1907" s="4562">
        <f>XLOOKUP(B1907,'_Sys|Line_Map'!$A:$A,'_Sys|Line_Map'!$D:$D,1,0)</f>
        <v/>
      </c>
      <c r="K1907" s="4562">
        <f>IF(D1907="","",D1907*J1907)</f>
        <v/>
      </c>
      <c r="L1907" s="4562">
        <f>XLOOKUP(B1907,'_Sys|Line_Map'!$A:$A,'_Sys|Line_Map'!$B:$B,"MISSING",0)</f>
        <v/>
      </c>
    </row>
    <row r="1908">
      <c r="A1908" s="4561" t="n"/>
      <c r="B1908" s="4561" t="n"/>
      <c r="C1908" s="4561" t="n"/>
      <c r="D1908" s="4561" t="n"/>
      <c r="E1908" s="4561" t="n"/>
      <c r="F1908" s="4561" t="n"/>
      <c r="G1908" s="4561" t="n"/>
      <c r="H1908" s="4561" t="n"/>
      <c r="I1908" s="4562">
        <f>XLOOKUP(B1908,'_Sys|Line_Map'!$A:$A,'_Sys|Line_Map'!$C:$C,"MISSING",0)</f>
        <v/>
      </c>
      <c r="J1908" s="4562">
        <f>XLOOKUP(B1908,'_Sys|Line_Map'!$A:$A,'_Sys|Line_Map'!$D:$D,1,0)</f>
        <v/>
      </c>
      <c r="K1908" s="4562">
        <f>IF(D1908="","",D1908*J1908)</f>
        <v/>
      </c>
      <c r="L1908" s="4562">
        <f>XLOOKUP(B1908,'_Sys|Line_Map'!$A:$A,'_Sys|Line_Map'!$B:$B,"MISSING",0)</f>
        <v/>
      </c>
    </row>
    <row r="1909">
      <c r="A1909" s="4561" t="n"/>
      <c r="B1909" s="4561" t="n"/>
      <c r="C1909" s="4561" t="n"/>
      <c r="D1909" s="4561" t="n"/>
      <c r="E1909" s="4561" t="n"/>
      <c r="F1909" s="4561" t="n"/>
      <c r="G1909" s="4561" t="n"/>
      <c r="H1909" s="4561" t="n"/>
      <c r="I1909" s="4562">
        <f>XLOOKUP(B1909,'_Sys|Line_Map'!$A:$A,'_Sys|Line_Map'!$C:$C,"MISSING",0)</f>
        <v/>
      </c>
      <c r="J1909" s="4562">
        <f>XLOOKUP(B1909,'_Sys|Line_Map'!$A:$A,'_Sys|Line_Map'!$D:$D,1,0)</f>
        <v/>
      </c>
      <c r="K1909" s="4562">
        <f>IF(D1909="","",D1909*J1909)</f>
        <v/>
      </c>
      <c r="L1909" s="4562">
        <f>XLOOKUP(B1909,'_Sys|Line_Map'!$A:$A,'_Sys|Line_Map'!$B:$B,"MISSING",0)</f>
        <v/>
      </c>
    </row>
    <row r="1910">
      <c r="A1910" s="4561" t="n"/>
      <c r="B1910" s="4561" t="n"/>
      <c r="C1910" s="4561" t="n"/>
      <c r="D1910" s="4561" t="n"/>
      <c r="E1910" s="4561" t="n"/>
      <c r="F1910" s="4561" t="n"/>
      <c r="G1910" s="4561" t="n"/>
      <c r="H1910" s="4561" t="n"/>
      <c r="I1910" s="4562">
        <f>XLOOKUP(B1910,'_Sys|Line_Map'!$A:$A,'_Sys|Line_Map'!$C:$C,"MISSING",0)</f>
        <v/>
      </c>
      <c r="J1910" s="4562">
        <f>XLOOKUP(B1910,'_Sys|Line_Map'!$A:$A,'_Sys|Line_Map'!$D:$D,1,0)</f>
        <v/>
      </c>
      <c r="K1910" s="4562">
        <f>IF(D1910="","",D1910*J1910)</f>
        <v/>
      </c>
      <c r="L1910" s="4562">
        <f>XLOOKUP(B1910,'_Sys|Line_Map'!$A:$A,'_Sys|Line_Map'!$B:$B,"MISSING",0)</f>
        <v/>
      </c>
    </row>
    <row r="1911">
      <c r="A1911" s="4561" t="n"/>
      <c r="B1911" s="4561" t="n"/>
      <c r="C1911" s="4561" t="n"/>
      <c r="D1911" s="4561" t="n"/>
      <c r="E1911" s="4561" t="n"/>
      <c r="F1911" s="4561" t="n"/>
      <c r="G1911" s="4561" t="n"/>
      <c r="H1911" s="4561" t="n"/>
      <c r="I1911" s="4562">
        <f>XLOOKUP(B1911,'_Sys|Line_Map'!$A:$A,'_Sys|Line_Map'!$C:$C,"MISSING",0)</f>
        <v/>
      </c>
      <c r="J1911" s="4562">
        <f>XLOOKUP(B1911,'_Sys|Line_Map'!$A:$A,'_Sys|Line_Map'!$D:$D,1,0)</f>
        <v/>
      </c>
      <c r="K1911" s="4562">
        <f>IF(D1911="","",D1911*J1911)</f>
        <v/>
      </c>
      <c r="L1911" s="4562">
        <f>XLOOKUP(B1911,'_Sys|Line_Map'!$A:$A,'_Sys|Line_Map'!$B:$B,"MISSING",0)</f>
        <v/>
      </c>
    </row>
    <row r="1912">
      <c r="A1912" s="4561" t="n"/>
      <c r="B1912" s="4561" t="n"/>
      <c r="C1912" s="4561" t="n"/>
      <c r="D1912" s="4561" t="n"/>
      <c r="E1912" s="4561" t="n"/>
      <c r="F1912" s="4561" t="n"/>
      <c r="G1912" s="4561" t="n"/>
      <c r="H1912" s="4561" t="n"/>
      <c r="I1912" s="4562">
        <f>XLOOKUP(B1912,'_Sys|Line_Map'!$A:$A,'_Sys|Line_Map'!$C:$C,"MISSING",0)</f>
        <v/>
      </c>
      <c r="J1912" s="4562">
        <f>XLOOKUP(B1912,'_Sys|Line_Map'!$A:$A,'_Sys|Line_Map'!$D:$D,1,0)</f>
        <v/>
      </c>
      <c r="K1912" s="4562">
        <f>IF(D1912="","",D1912*J1912)</f>
        <v/>
      </c>
      <c r="L1912" s="4562">
        <f>XLOOKUP(B1912,'_Sys|Line_Map'!$A:$A,'_Sys|Line_Map'!$B:$B,"MISSING",0)</f>
        <v/>
      </c>
    </row>
    <row r="1913">
      <c r="A1913" s="4561" t="n"/>
      <c r="B1913" s="4561" t="n"/>
      <c r="C1913" s="4561" t="n"/>
      <c r="D1913" s="4561" t="n"/>
      <c r="E1913" s="4561" t="n"/>
      <c r="F1913" s="4561" t="n"/>
      <c r="G1913" s="4561" t="n"/>
      <c r="H1913" s="4561" t="n"/>
      <c r="I1913" s="4562">
        <f>XLOOKUP(B1913,'_Sys|Line_Map'!$A:$A,'_Sys|Line_Map'!$C:$C,"MISSING",0)</f>
        <v/>
      </c>
      <c r="J1913" s="4562">
        <f>XLOOKUP(B1913,'_Sys|Line_Map'!$A:$A,'_Sys|Line_Map'!$D:$D,1,0)</f>
        <v/>
      </c>
      <c r="K1913" s="4562">
        <f>IF(D1913="","",D1913*J1913)</f>
        <v/>
      </c>
      <c r="L1913" s="4562">
        <f>XLOOKUP(B1913,'_Sys|Line_Map'!$A:$A,'_Sys|Line_Map'!$B:$B,"MISSING",0)</f>
        <v/>
      </c>
    </row>
    <row r="1914">
      <c r="A1914" s="4561" t="n"/>
      <c r="B1914" s="4561" t="n"/>
      <c r="C1914" s="4561" t="n"/>
      <c r="D1914" s="4561" t="n"/>
      <c r="E1914" s="4561" t="n"/>
      <c r="F1914" s="4561" t="n"/>
      <c r="G1914" s="4561" t="n"/>
      <c r="H1914" s="4561" t="n"/>
      <c r="I1914" s="4562">
        <f>XLOOKUP(B1914,'_Sys|Line_Map'!$A:$A,'_Sys|Line_Map'!$C:$C,"MISSING",0)</f>
        <v/>
      </c>
      <c r="J1914" s="4562">
        <f>XLOOKUP(B1914,'_Sys|Line_Map'!$A:$A,'_Sys|Line_Map'!$D:$D,1,0)</f>
        <v/>
      </c>
      <c r="K1914" s="4562">
        <f>IF(D1914="","",D1914*J1914)</f>
        <v/>
      </c>
      <c r="L1914" s="4562">
        <f>XLOOKUP(B1914,'_Sys|Line_Map'!$A:$A,'_Sys|Line_Map'!$B:$B,"MISSING",0)</f>
        <v/>
      </c>
    </row>
    <row r="1915">
      <c r="A1915" s="4561" t="n"/>
      <c r="B1915" s="4561" t="n"/>
      <c r="C1915" s="4561" t="n"/>
      <c r="D1915" s="4561" t="n"/>
      <c r="E1915" s="4561" t="n"/>
      <c r="F1915" s="4561" t="n"/>
      <c r="G1915" s="4561" t="n"/>
      <c r="H1915" s="4561" t="n"/>
      <c r="I1915" s="4562">
        <f>XLOOKUP(B1915,'_Sys|Line_Map'!$A:$A,'_Sys|Line_Map'!$C:$C,"MISSING",0)</f>
        <v/>
      </c>
      <c r="J1915" s="4562">
        <f>XLOOKUP(B1915,'_Sys|Line_Map'!$A:$A,'_Sys|Line_Map'!$D:$D,1,0)</f>
        <v/>
      </c>
      <c r="K1915" s="4562">
        <f>IF(D1915="","",D1915*J1915)</f>
        <v/>
      </c>
      <c r="L1915" s="4562">
        <f>XLOOKUP(B1915,'_Sys|Line_Map'!$A:$A,'_Sys|Line_Map'!$B:$B,"MISSING",0)</f>
        <v/>
      </c>
    </row>
    <row r="1916">
      <c r="A1916" s="4561" t="n"/>
      <c r="B1916" s="4561" t="n"/>
      <c r="C1916" s="4561" t="n"/>
      <c r="D1916" s="4561" t="n"/>
      <c r="E1916" s="4561" t="n"/>
      <c r="F1916" s="4561" t="n"/>
      <c r="G1916" s="4561" t="n"/>
      <c r="H1916" s="4561" t="n"/>
      <c r="I1916" s="4562">
        <f>XLOOKUP(B1916,'_Sys|Line_Map'!$A:$A,'_Sys|Line_Map'!$C:$C,"MISSING",0)</f>
        <v/>
      </c>
      <c r="J1916" s="4562">
        <f>XLOOKUP(B1916,'_Sys|Line_Map'!$A:$A,'_Sys|Line_Map'!$D:$D,1,0)</f>
        <v/>
      </c>
      <c r="K1916" s="4562">
        <f>IF(D1916="","",D1916*J1916)</f>
        <v/>
      </c>
      <c r="L1916" s="4562">
        <f>XLOOKUP(B1916,'_Sys|Line_Map'!$A:$A,'_Sys|Line_Map'!$B:$B,"MISSING",0)</f>
        <v/>
      </c>
    </row>
    <row r="1917">
      <c r="A1917" s="4561" t="n"/>
      <c r="B1917" s="4561" t="n"/>
      <c r="C1917" s="4561" t="n"/>
      <c r="D1917" s="4561" t="n"/>
      <c r="E1917" s="4561" t="n"/>
      <c r="F1917" s="4561" t="n"/>
      <c r="G1917" s="4561" t="n"/>
      <c r="H1917" s="4561" t="n"/>
      <c r="I1917" s="4562">
        <f>XLOOKUP(B1917,'_Sys|Line_Map'!$A:$A,'_Sys|Line_Map'!$C:$C,"MISSING",0)</f>
        <v/>
      </c>
      <c r="J1917" s="4562">
        <f>XLOOKUP(B1917,'_Sys|Line_Map'!$A:$A,'_Sys|Line_Map'!$D:$D,1,0)</f>
        <v/>
      </c>
      <c r="K1917" s="4562">
        <f>IF(D1917="","",D1917*J1917)</f>
        <v/>
      </c>
      <c r="L1917" s="4562">
        <f>XLOOKUP(B1917,'_Sys|Line_Map'!$A:$A,'_Sys|Line_Map'!$B:$B,"MISSING",0)</f>
        <v/>
      </c>
    </row>
    <row r="1918">
      <c r="A1918" s="4561" t="n"/>
      <c r="B1918" s="4561" t="n"/>
      <c r="C1918" s="4561" t="n"/>
      <c r="D1918" s="4561" t="n"/>
      <c r="E1918" s="4561" t="n"/>
      <c r="F1918" s="4561" t="n"/>
      <c r="G1918" s="4561" t="n"/>
      <c r="H1918" s="4561" t="n"/>
      <c r="I1918" s="4562">
        <f>XLOOKUP(B1918,'_Sys|Line_Map'!$A:$A,'_Sys|Line_Map'!$C:$C,"MISSING",0)</f>
        <v/>
      </c>
      <c r="J1918" s="4562">
        <f>XLOOKUP(B1918,'_Sys|Line_Map'!$A:$A,'_Sys|Line_Map'!$D:$D,1,0)</f>
        <v/>
      </c>
      <c r="K1918" s="4562">
        <f>IF(D1918="","",D1918*J1918)</f>
        <v/>
      </c>
      <c r="L1918" s="4562">
        <f>XLOOKUP(B1918,'_Sys|Line_Map'!$A:$A,'_Sys|Line_Map'!$B:$B,"MISSING",0)</f>
        <v/>
      </c>
    </row>
    <row r="1919">
      <c r="A1919" s="4561" t="n"/>
      <c r="B1919" s="4561" t="n"/>
      <c r="C1919" s="4561" t="n"/>
      <c r="D1919" s="4561" t="n"/>
      <c r="E1919" s="4561" t="n"/>
      <c r="F1919" s="4561" t="n"/>
      <c r="G1919" s="4561" t="n"/>
      <c r="H1919" s="4561" t="n"/>
      <c r="I1919" s="4562">
        <f>XLOOKUP(B1919,'_Sys|Line_Map'!$A:$A,'_Sys|Line_Map'!$C:$C,"MISSING",0)</f>
        <v/>
      </c>
      <c r="J1919" s="4562">
        <f>XLOOKUP(B1919,'_Sys|Line_Map'!$A:$A,'_Sys|Line_Map'!$D:$D,1,0)</f>
        <v/>
      </c>
      <c r="K1919" s="4562">
        <f>IF(D1919="","",D1919*J1919)</f>
        <v/>
      </c>
      <c r="L1919" s="4562">
        <f>XLOOKUP(B1919,'_Sys|Line_Map'!$A:$A,'_Sys|Line_Map'!$B:$B,"MISSING",0)</f>
        <v/>
      </c>
    </row>
    <row r="1920">
      <c r="A1920" s="4561" t="n"/>
      <c r="B1920" s="4561" t="n"/>
      <c r="C1920" s="4561" t="n"/>
      <c r="D1920" s="4561" t="n"/>
      <c r="E1920" s="4561" t="n"/>
      <c r="F1920" s="4561" t="n"/>
      <c r="G1920" s="4561" t="n"/>
      <c r="H1920" s="4561" t="n"/>
      <c r="I1920" s="4562">
        <f>XLOOKUP(B1920,'_Sys|Line_Map'!$A:$A,'_Sys|Line_Map'!$C:$C,"MISSING",0)</f>
        <v/>
      </c>
      <c r="J1920" s="4562">
        <f>XLOOKUP(B1920,'_Sys|Line_Map'!$A:$A,'_Sys|Line_Map'!$D:$D,1,0)</f>
        <v/>
      </c>
      <c r="K1920" s="4562">
        <f>IF(D1920="","",D1920*J1920)</f>
        <v/>
      </c>
      <c r="L1920" s="4562">
        <f>XLOOKUP(B1920,'_Sys|Line_Map'!$A:$A,'_Sys|Line_Map'!$B:$B,"MISSING",0)</f>
        <v/>
      </c>
    </row>
    <row r="1921">
      <c r="A1921" s="4561" t="n"/>
      <c r="B1921" s="4561" t="n"/>
      <c r="C1921" s="4561" t="n"/>
      <c r="D1921" s="4561" t="n"/>
      <c r="E1921" s="4561" t="n"/>
      <c r="F1921" s="4561" t="n"/>
      <c r="G1921" s="4561" t="n"/>
      <c r="H1921" s="4561" t="n"/>
      <c r="I1921" s="4562">
        <f>XLOOKUP(B1921,'_Sys|Line_Map'!$A:$A,'_Sys|Line_Map'!$C:$C,"MISSING",0)</f>
        <v/>
      </c>
      <c r="J1921" s="4562">
        <f>XLOOKUP(B1921,'_Sys|Line_Map'!$A:$A,'_Sys|Line_Map'!$D:$D,1,0)</f>
        <v/>
      </c>
      <c r="K1921" s="4562">
        <f>IF(D1921="","",D1921*J1921)</f>
        <v/>
      </c>
      <c r="L1921" s="4562">
        <f>XLOOKUP(B1921,'_Sys|Line_Map'!$A:$A,'_Sys|Line_Map'!$B:$B,"MISSING",0)</f>
        <v/>
      </c>
    </row>
    <row r="1922">
      <c r="A1922" s="4561" t="n"/>
      <c r="B1922" s="4561" t="n"/>
      <c r="C1922" s="4561" t="n"/>
      <c r="D1922" s="4561" t="n"/>
      <c r="E1922" s="4561" t="n"/>
      <c r="F1922" s="4561" t="n"/>
      <c r="G1922" s="4561" t="n"/>
      <c r="H1922" s="4561" t="n"/>
      <c r="I1922" s="4562">
        <f>XLOOKUP(B1922,'_Sys|Line_Map'!$A:$A,'_Sys|Line_Map'!$C:$C,"MISSING",0)</f>
        <v/>
      </c>
      <c r="J1922" s="4562">
        <f>XLOOKUP(B1922,'_Sys|Line_Map'!$A:$A,'_Sys|Line_Map'!$D:$D,1,0)</f>
        <v/>
      </c>
      <c r="K1922" s="4562">
        <f>IF(D1922="","",D1922*J1922)</f>
        <v/>
      </c>
      <c r="L1922" s="4562">
        <f>XLOOKUP(B1922,'_Sys|Line_Map'!$A:$A,'_Sys|Line_Map'!$B:$B,"MISSING",0)</f>
        <v/>
      </c>
    </row>
    <row r="1923">
      <c r="A1923" s="4561" t="n"/>
      <c r="B1923" s="4561" t="n"/>
      <c r="C1923" s="4561" t="n"/>
      <c r="D1923" s="4561" t="n"/>
      <c r="E1923" s="4561" t="n"/>
      <c r="F1923" s="4561" t="n"/>
      <c r="G1923" s="4561" t="n"/>
      <c r="H1923" s="4561" t="n"/>
      <c r="I1923" s="4562">
        <f>XLOOKUP(B1923,'_Sys|Line_Map'!$A:$A,'_Sys|Line_Map'!$C:$C,"MISSING",0)</f>
        <v/>
      </c>
      <c r="J1923" s="4562">
        <f>XLOOKUP(B1923,'_Sys|Line_Map'!$A:$A,'_Sys|Line_Map'!$D:$D,1,0)</f>
        <v/>
      </c>
      <c r="K1923" s="4562">
        <f>IF(D1923="","",D1923*J1923)</f>
        <v/>
      </c>
      <c r="L1923" s="4562">
        <f>XLOOKUP(B1923,'_Sys|Line_Map'!$A:$A,'_Sys|Line_Map'!$B:$B,"MISSING",0)</f>
        <v/>
      </c>
    </row>
    <row r="1924">
      <c r="A1924" s="4561" t="n"/>
      <c r="B1924" s="4561" t="n"/>
      <c r="C1924" s="4561" t="n"/>
      <c r="D1924" s="4561" t="n"/>
      <c r="E1924" s="4561" t="n"/>
      <c r="F1924" s="4561" t="n"/>
      <c r="G1924" s="4561" t="n"/>
      <c r="H1924" s="4561" t="n"/>
      <c r="I1924" s="4562">
        <f>XLOOKUP(B1924,'_Sys|Line_Map'!$A:$A,'_Sys|Line_Map'!$C:$C,"MISSING",0)</f>
        <v/>
      </c>
      <c r="J1924" s="4562">
        <f>XLOOKUP(B1924,'_Sys|Line_Map'!$A:$A,'_Sys|Line_Map'!$D:$D,1,0)</f>
        <v/>
      </c>
      <c r="K1924" s="4562">
        <f>IF(D1924="","",D1924*J1924)</f>
        <v/>
      </c>
      <c r="L1924" s="4562">
        <f>XLOOKUP(B1924,'_Sys|Line_Map'!$A:$A,'_Sys|Line_Map'!$B:$B,"MISSING",0)</f>
        <v/>
      </c>
    </row>
    <row r="1925">
      <c r="A1925" s="4561" t="n"/>
      <c r="B1925" s="4561" t="n"/>
      <c r="C1925" s="4561" t="n"/>
      <c r="D1925" s="4561" t="n"/>
      <c r="E1925" s="4561" t="n"/>
      <c r="F1925" s="4561" t="n"/>
      <c r="G1925" s="4561" t="n"/>
      <c r="H1925" s="4561" t="n"/>
      <c r="I1925" s="4562">
        <f>XLOOKUP(B1925,'_Sys|Line_Map'!$A:$A,'_Sys|Line_Map'!$C:$C,"MISSING",0)</f>
        <v/>
      </c>
      <c r="J1925" s="4562">
        <f>XLOOKUP(B1925,'_Sys|Line_Map'!$A:$A,'_Sys|Line_Map'!$D:$D,1,0)</f>
        <v/>
      </c>
      <c r="K1925" s="4562">
        <f>IF(D1925="","",D1925*J1925)</f>
        <v/>
      </c>
      <c r="L1925" s="4562">
        <f>XLOOKUP(B1925,'_Sys|Line_Map'!$A:$A,'_Sys|Line_Map'!$B:$B,"MISSING",0)</f>
        <v/>
      </c>
    </row>
    <row r="1926">
      <c r="A1926" s="4561" t="n"/>
      <c r="B1926" s="4561" t="n"/>
      <c r="C1926" s="4561" t="n"/>
      <c r="D1926" s="4561" t="n"/>
      <c r="E1926" s="4561" t="n"/>
      <c r="F1926" s="4561" t="n"/>
      <c r="G1926" s="4561" t="n"/>
      <c r="H1926" s="4561" t="n"/>
      <c r="I1926" s="4562">
        <f>XLOOKUP(B1926,'_Sys|Line_Map'!$A:$A,'_Sys|Line_Map'!$C:$C,"MISSING",0)</f>
        <v/>
      </c>
      <c r="J1926" s="4562">
        <f>XLOOKUP(B1926,'_Sys|Line_Map'!$A:$A,'_Sys|Line_Map'!$D:$D,1,0)</f>
        <v/>
      </c>
      <c r="K1926" s="4562">
        <f>IF(D1926="","",D1926*J1926)</f>
        <v/>
      </c>
      <c r="L1926" s="4562">
        <f>XLOOKUP(B1926,'_Sys|Line_Map'!$A:$A,'_Sys|Line_Map'!$B:$B,"MISSING",0)</f>
        <v/>
      </c>
    </row>
    <row r="1927">
      <c r="A1927" s="4561" t="n"/>
      <c r="B1927" s="4561" t="n"/>
      <c r="C1927" s="4561" t="n"/>
      <c r="D1927" s="4561" t="n"/>
      <c r="E1927" s="4561" t="n"/>
      <c r="F1927" s="4561" t="n"/>
      <c r="G1927" s="4561" t="n"/>
      <c r="H1927" s="4561" t="n"/>
      <c r="I1927" s="4562">
        <f>XLOOKUP(B1927,'_Sys|Line_Map'!$A:$A,'_Sys|Line_Map'!$C:$C,"MISSING",0)</f>
        <v/>
      </c>
      <c r="J1927" s="4562">
        <f>XLOOKUP(B1927,'_Sys|Line_Map'!$A:$A,'_Sys|Line_Map'!$D:$D,1,0)</f>
        <v/>
      </c>
      <c r="K1927" s="4562">
        <f>IF(D1927="","",D1927*J1927)</f>
        <v/>
      </c>
      <c r="L1927" s="4562">
        <f>XLOOKUP(B1927,'_Sys|Line_Map'!$A:$A,'_Sys|Line_Map'!$B:$B,"MISSING",0)</f>
        <v/>
      </c>
    </row>
    <row r="1928">
      <c r="A1928" s="4561" t="n"/>
      <c r="B1928" s="4561" t="n"/>
      <c r="C1928" s="4561" t="n"/>
      <c r="D1928" s="4561" t="n"/>
      <c r="E1928" s="4561" t="n"/>
      <c r="F1928" s="4561" t="n"/>
      <c r="G1928" s="4561" t="n"/>
      <c r="H1928" s="4561" t="n"/>
      <c r="I1928" s="4562">
        <f>XLOOKUP(B1928,'_Sys|Line_Map'!$A:$A,'_Sys|Line_Map'!$C:$C,"MISSING",0)</f>
        <v/>
      </c>
      <c r="J1928" s="4562">
        <f>XLOOKUP(B1928,'_Sys|Line_Map'!$A:$A,'_Sys|Line_Map'!$D:$D,1,0)</f>
        <v/>
      </c>
      <c r="K1928" s="4562">
        <f>IF(D1928="","",D1928*J1928)</f>
        <v/>
      </c>
      <c r="L1928" s="4562">
        <f>XLOOKUP(B1928,'_Sys|Line_Map'!$A:$A,'_Sys|Line_Map'!$B:$B,"MISSING",0)</f>
        <v/>
      </c>
    </row>
    <row r="1929">
      <c r="A1929" s="4561" t="n"/>
      <c r="B1929" s="4561" t="n"/>
      <c r="C1929" s="4561" t="n"/>
      <c r="D1929" s="4561" t="n"/>
      <c r="E1929" s="4561" t="n"/>
      <c r="F1929" s="4561" t="n"/>
      <c r="G1929" s="4561" t="n"/>
      <c r="H1929" s="4561" t="n"/>
      <c r="I1929" s="4562">
        <f>XLOOKUP(B1929,'_Sys|Line_Map'!$A:$A,'_Sys|Line_Map'!$C:$C,"MISSING",0)</f>
        <v/>
      </c>
      <c r="J1929" s="4562">
        <f>XLOOKUP(B1929,'_Sys|Line_Map'!$A:$A,'_Sys|Line_Map'!$D:$D,1,0)</f>
        <v/>
      </c>
      <c r="K1929" s="4562">
        <f>IF(D1929="","",D1929*J1929)</f>
        <v/>
      </c>
      <c r="L1929" s="4562">
        <f>XLOOKUP(B1929,'_Sys|Line_Map'!$A:$A,'_Sys|Line_Map'!$B:$B,"MISSING",0)</f>
        <v/>
      </c>
    </row>
    <row r="1930">
      <c r="A1930" s="4561" t="n"/>
      <c r="B1930" s="4561" t="n"/>
      <c r="C1930" s="4561" t="n"/>
      <c r="D1930" s="4561" t="n"/>
      <c r="E1930" s="4561" t="n"/>
      <c r="F1930" s="4561" t="n"/>
      <c r="G1930" s="4561" t="n"/>
      <c r="H1930" s="4561" t="n"/>
      <c r="I1930" s="4562">
        <f>XLOOKUP(B1930,'_Sys|Line_Map'!$A:$A,'_Sys|Line_Map'!$C:$C,"MISSING",0)</f>
        <v/>
      </c>
      <c r="J1930" s="4562">
        <f>XLOOKUP(B1930,'_Sys|Line_Map'!$A:$A,'_Sys|Line_Map'!$D:$D,1,0)</f>
        <v/>
      </c>
      <c r="K1930" s="4562">
        <f>IF(D1930="","",D1930*J1930)</f>
        <v/>
      </c>
      <c r="L1930" s="4562">
        <f>XLOOKUP(B1930,'_Sys|Line_Map'!$A:$A,'_Sys|Line_Map'!$B:$B,"MISSING",0)</f>
        <v/>
      </c>
    </row>
    <row r="1931">
      <c r="A1931" s="4561" t="n"/>
      <c r="B1931" s="4561" t="n"/>
      <c r="C1931" s="4561" t="n"/>
      <c r="D1931" s="4561" t="n"/>
      <c r="E1931" s="4561" t="n"/>
      <c r="F1931" s="4561" t="n"/>
      <c r="G1931" s="4561" t="n"/>
      <c r="H1931" s="4561" t="n"/>
      <c r="I1931" s="4562">
        <f>XLOOKUP(B1931,'_Sys|Line_Map'!$A:$A,'_Sys|Line_Map'!$C:$C,"MISSING",0)</f>
        <v/>
      </c>
      <c r="J1931" s="4562">
        <f>XLOOKUP(B1931,'_Sys|Line_Map'!$A:$A,'_Sys|Line_Map'!$D:$D,1,0)</f>
        <v/>
      </c>
      <c r="K1931" s="4562">
        <f>IF(D1931="","",D1931*J1931)</f>
        <v/>
      </c>
      <c r="L1931" s="4562">
        <f>XLOOKUP(B1931,'_Sys|Line_Map'!$A:$A,'_Sys|Line_Map'!$B:$B,"MISSING",0)</f>
        <v/>
      </c>
    </row>
    <row r="1932">
      <c r="A1932" s="4561" t="n"/>
      <c r="B1932" s="4561" t="n"/>
      <c r="C1932" s="4561" t="n"/>
      <c r="D1932" s="4561" t="n"/>
      <c r="E1932" s="4561" t="n"/>
      <c r="F1932" s="4561" t="n"/>
      <c r="G1932" s="4561" t="n"/>
      <c r="H1932" s="4561" t="n"/>
      <c r="I1932" s="4562">
        <f>XLOOKUP(B1932,'_Sys|Line_Map'!$A:$A,'_Sys|Line_Map'!$C:$C,"MISSING",0)</f>
        <v/>
      </c>
      <c r="J1932" s="4562">
        <f>XLOOKUP(B1932,'_Sys|Line_Map'!$A:$A,'_Sys|Line_Map'!$D:$D,1,0)</f>
        <v/>
      </c>
      <c r="K1932" s="4562">
        <f>IF(D1932="","",D1932*J1932)</f>
        <v/>
      </c>
      <c r="L1932" s="4562">
        <f>XLOOKUP(B1932,'_Sys|Line_Map'!$A:$A,'_Sys|Line_Map'!$B:$B,"MISSING",0)</f>
        <v/>
      </c>
    </row>
    <row r="1933">
      <c r="A1933" s="4561" t="n"/>
      <c r="B1933" s="4561" t="n"/>
      <c r="C1933" s="4561" t="n"/>
      <c r="D1933" s="4561" t="n"/>
      <c r="E1933" s="4561" t="n"/>
      <c r="F1933" s="4561" t="n"/>
      <c r="G1933" s="4561" t="n"/>
      <c r="H1933" s="4561" t="n"/>
      <c r="I1933" s="4562">
        <f>XLOOKUP(B1933,'_Sys|Line_Map'!$A:$A,'_Sys|Line_Map'!$C:$C,"MISSING",0)</f>
        <v/>
      </c>
      <c r="J1933" s="4562">
        <f>XLOOKUP(B1933,'_Sys|Line_Map'!$A:$A,'_Sys|Line_Map'!$D:$D,1,0)</f>
        <v/>
      </c>
      <c r="K1933" s="4562">
        <f>IF(D1933="","",D1933*J1933)</f>
        <v/>
      </c>
      <c r="L1933" s="4562">
        <f>XLOOKUP(B1933,'_Sys|Line_Map'!$A:$A,'_Sys|Line_Map'!$B:$B,"MISSING",0)</f>
        <v/>
      </c>
    </row>
    <row r="1934">
      <c r="A1934" s="4561" t="n"/>
      <c r="B1934" s="4561" t="n"/>
      <c r="C1934" s="4561" t="n"/>
      <c r="D1934" s="4561" t="n"/>
      <c r="E1934" s="4561" t="n"/>
      <c r="F1934" s="4561" t="n"/>
      <c r="G1934" s="4561" t="n"/>
      <c r="H1934" s="4561" t="n"/>
      <c r="I1934" s="4562">
        <f>XLOOKUP(B1934,'_Sys|Line_Map'!$A:$A,'_Sys|Line_Map'!$C:$C,"MISSING",0)</f>
        <v/>
      </c>
      <c r="J1934" s="4562">
        <f>XLOOKUP(B1934,'_Sys|Line_Map'!$A:$A,'_Sys|Line_Map'!$D:$D,1,0)</f>
        <v/>
      </c>
      <c r="K1934" s="4562">
        <f>IF(D1934="","",D1934*J1934)</f>
        <v/>
      </c>
      <c r="L1934" s="4562">
        <f>XLOOKUP(B1934,'_Sys|Line_Map'!$A:$A,'_Sys|Line_Map'!$B:$B,"MISSING",0)</f>
        <v/>
      </c>
    </row>
    <row r="1935">
      <c r="A1935" s="4561" t="n"/>
      <c r="B1935" s="4561" t="n"/>
      <c r="C1935" s="4561" t="n"/>
      <c r="D1935" s="4561" t="n"/>
      <c r="E1935" s="4561" t="n"/>
      <c r="F1935" s="4561" t="n"/>
      <c r="G1935" s="4561" t="n"/>
      <c r="H1935" s="4561" t="n"/>
      <c r="I1935" s="4562">
        <f>XLOOKUP(B1935,'_Sys|Line_Map'!$A:$A,'_Sys|Line_Map'!$C:$C,"MISSING",0)</f>
        <v/>
      </c>
      <c r="J1935" s="4562">
        <f>XLOOKUP(B1935,'_Sys|Line_Map'!$A:$A,'_Sys|Line_Map'!$D:$D,1,0)</f>
        <v/>
      </c>
      <c r="K1935" s="4562">
        <f>IF(D1935="","",D1935*J1935)</f>
        <v/>
      </c>
      <c r="L1935" s="4562">
        <f>XLOOKUP(B1935,'_Sys|Line_Map'!$A:$A,'_Sys|Line_Map'!$B:$B,"MISSING",0)</f>
        <v/>
      </c>
    </row>
    <row r="1936">
      <c r="A1936" s="4561" t="n"/>
      <c r="B1936" s="4561" t="n"/>
      <c r="C1936" s="4561" t="n"/>
      <c r="D1936" s="4561" t="n"/>
      <c r="E1936" s="4561" t="n"/>
      <c r="F1936" s="4561" t="n"/>
      <c r="G1936" s="4561" t="n"/>
      <c r="H1936" s="4561" t="n"/>
      <c r="I1936" s="4562">
        <f>XLOOKUP(B1936,'_Sys|Line_Map'!$A:$A,'_Sys|Line_Map'!$C:$C,"MISSING",0)</f>
        <v/>
      </c>
      <c r="J1936" s="4562">
        <f>XLOOKUP(B1936,'_Sys|Line_Map'!$A:$A,'_Sys|Line_Map'!$D:$D,1,0)</f>
        <v/>
      </c>
      <c r="K1936" s="4562">
        <f>IF(D1936="","",D1936*J1936)</f>
        <v/>
      </c>
      <c r="L1936" s="4562">
        <f>XLOOKUP(B1936,'_Sys|Line_Map'!$A:$A,'_Sys|Line_Map'!$B:$B,"MISSING",0)</f>
        <v/>
      </c>
    </row>
    <row r="1937">
      <c r="A1937" s="4561" t="n"/>
      <c r="B1937" s="4561" t="n"/>
      <c r="C1937" s="4561" t="n"/>
      <c r="D1937" s="4561" t="n"/>
      <c r="E1937" s="4561" t="n"/>
      <c r="F1937" s="4561" t="n"/>
      <c r="G1937" s="4561" t="n"/>
      <c r="H1937" s="4561" t="n"/>
      <c r="I1937" s="4562">
        <f>XLOOKUP(B1937,'_Sys|Line_Map'!$A:$A,'_Sys|Line_Map'!$C:$C,"MISSING",0)</f>
        <v/>
      </c>
      <c r="J1937" s="4562">
        <f>XLOOKUP(B1937,'_Sys|Line_Map'!$A:$A,'_Sys|Line_Map'!$D:$D,1,0)</f>
        <v/>
      </c>
      <c r="K1937" s="4562">
        <f>IF(D1937="","",D1937*J1937)</f>
        <v/>
      </c>
      <c r="L1937" s="4562">
        <f>XLOOKUP(B1937,'_Sys|Line_Map'!$A:$A,'_Sys|Line_Map'!$B:$B,"MISSING",0)</f>
        <v/>
      </c>
    </row>
    <row r="1938">
      <c r="A1938" s="4561" t="n"/>
      <c r="B1938" s="4561" t="n"/>
      <c r="C1938" s="4561" t="n"/>
      <c r="D1938" s="4561" t="n"/>
      <c r="E1938" s="4561" t="n"/>
      <c r="F1938" s="4561" t="n"/>
      <c r="G1938" s="4561" t="n"/>
      <c r="H1938" s="4561" t="n"/>
      <c r="I1938" s="4562">
        <f>XLOOKUP(B1938,'_Sys|Line_Map'!$A:$A,'_Sys|Line_Map'!$C:$C,"MISSING",0)</f>
        <v/>
      </c>
      <c r="J1938" s="4562">
        <f>XLOOKUP(B1938,'_Sys|Line_Map'!$A:$A,'_Sys|Line_Map'!$D:$D,1,0)</f>
        <v/>
      </c>
      <c r="K1938" s="4562">
        <f>IF(D1938="","",D1938*J1938)</f>
        <v/>
      </c>
      <c r="L1938" s="4562">
        <f>XLOOKUP(B1938,'_Sys|Line_Map'!$A:$A,'_Sys|Line_Map'!$B:$B,"MISSING",0)</f>
        <v/>
      </c>
    </row>
    <row r="1939">
      <c r="A1939" s="4561" t="n"/>
      <c r="B1939" s="4561" t="n"/>
      <c r="C1939" s="4561" t="n"/>
      <c r="D1939" s="4561" t="n"/>
      <c r="E1939" s="4561" t="n"/>
      <c r="F1939" s="4561" t="n"/>
      <c r="G1939" s="4561" t="n"/>
      <c r="H1939" s="4561" t="n"/>
      <c r="I1939" s="4562">
        <f>XLOOKUP(B1939,'_Sys|Line_Map'!$A:$A,'_Sys|Line_Map'!$C:$C,"MISSING",0)</f>
        <v/>
      </c>
      <c r="J1939" s="4562">
        <f>XLOOKUP(B1939,'_Sys|Line_Map'!$A:$A,'_Sys|Line_Map'!$D:$D,1,0)</f>
        <v/>
      </c>
      <c r="K1939" s="4562">
        <f>IF(D1939="","",D1939*J1939)</f>
        <v/>
      </c>
      <c r="L1939" s="4562">
        <f>XLOOKUP(B1939,'_Sys|Line_Map'!$A:$A,'_Sys|Line_Map'!$B:$B,"MISSING",0)</f>
        <v/>
      </c>
    </row>
    <row r="1940">
      <c r="A1940" s="4561" t="n"/>
      <c r="B1940" s="4561" t="n"/>
      <c r="C1940" s="4561" t="n"/>
      <c r="D1940" s="4561" t="n"/>
      <c r="E1940" s="4561" t="n"/>
      <c r="F1940" s="4561" t="n"/>
      <c r="G1940" s="4561" t="n"/>
      <c r="H1940" s="4561" t="n"/>
      <c r="I1940" s="4562">
        <f>XLOOKUP(B1940,'_Sys|Line_Map'!$A:$A,'_Sys|Line_Map'!$C:$C,"MISSING",0)</f>
        <v/>
      </c>
      <c r="J1940" s="4562">
        <f>XLOOKUP(B1940,'_Sys|Line_Map'!$A:$A,'_Sys|Line_Map'!$D:$D,1,0)</f>
        <v/>
      </c>
      <c r="K1940" s="4562">
        <f>IF(D1940="","",D1940*J1940)</f>
        <v/>
      </c>
      <c r="L1940" s="4562">
        <f>XLOOKUP(B1940,'_Sys|Line_Map'!$A:$A,'_Sys|Line_Map'!$B:$B,"MISSING",0)</f>
        <v/>
      </c>
    </row>
    <row r="1941">
      <c r="A1941" s="4561" t="n"/>
      <c r="B1941" s="4561" t="n"/>
      <c r="C1941" s="4561" t="n"/>
      <c r="D1941" s="4561" t="n"/>
      <c r="E1941" s="4561" t="n"/>
      <c r="F1941" s="4561" t="n"/>
      <c r="G1941" s="4561" t="n"/>
      <c r="H1941" s="4561" t="n"/>
      <c r="I1941" s="4562">
        <f>XLOOKUP(B1941,'_Sys|Line_Map'!$A:$A,'_Sys|Line_Map'!$C:$C,"MISSING",0)</f>
        <v/>
      </c>
      <c r="J1941" s="4562">
        <f>XLOOKUP(B1941,'_Sys|Line_Map'!$A:$A,'_Sys|Line_Map'!$D:$D,1,0)</f>
        <v/>
      </c>
      <c r="K1941" s="4562">
        <f>IF(D1941="","",D1941*J1941)</f>
        <v/>
      </c>
      <c r="L1941" s="4562">
        <f>XLOOKUP(B1941,'_Sys|Line_Map'!$A:$A,'_Sys|Line_Map'!$B:$B,"MISSING",0)</f>
        <v/>
      </c>
    </row>
    <row r="1942">
      <c r="A1942" s="4561" t="n"/>
      <c r="B1942" s="4561" t="n"/>
      <c r="C1942" s="4561" t="n"/>
      <c r="D1942" s="4561" t="n"/>
      <c r="E1942" s="4561" t="n"/>
      <c r="F1942" s="4561" t="n"/>
      <c r="G1942" s="4561" t="n"/>
      <c r="H1942" s="4561" t="n"/>
      <c r="I1942" s="4562">
        <f>XLOOKUP(B1942,'_Sys|Line_Map'!$A:$A,'_Sys|Line_Map'!$C:$C,"MISSING",0)</f>
        <v/>
      </c>
      <c r="J1942" s="4562">
        <f>XLOOKUP(B1942,'_Sys|Line_Map'!$A:$A,'_Sys|Line_Map'!$D:$D,1,0)</f>
        <v/>
      </c>
      <c r="K1942" s="4562">
        <f>IF(D1942="","",D1942*J1942)</f>
        <v/>
      </c>
      <c r="L1942" s="4562">
        <f>XLOOKUP(B1942,'_Sys|Line_Map'!$A:$A,'_Sys|Line_Map'!$B:$B,"MISSING",0)</f>
        <v/>
      </c>
    </row>
    <row r="1943">
      <c r="A1943" s="4561" t="n"/>
      <c r="B1943" s="4561" t="n"/>
      <c r="C1943" s="4561" t="n"/>
      <c r="D1943" s="4561" t="n"/>
      <c r="E1943" s="4561" t="n"/>
      <c r="F1943" s="4561" t="n"/>
      <c r="G1943" s="4561" t="n"/>
      <c r="H1943" s="4561" t="n"/>
      <c r="I1943" s="4562">
        <f>XLOOKUP(B1943,'_Sys|Line_Map'!$A:$A,'_Sys|Line_Map'!$C:$C,"MISSING",0)</f>
        <v/>
      </c>
      <c r="J1943" s="4562">
        <f>XLOOKUP(B1943,'_Sys|Line_Map'!$A:$A,'_Sys|Line_Map'!$D:$D,1,0)</f>
        <v/>
      </c>
      <c r="K1943" s="4562">
        <f>IF(D1943="","",D1943*J1943)</f>
        <v/>
      </c>
      <c r="L1943" s="4562">
        <f>XLOOKUP(B1943,'_Sys|Line_Map'!$A:$A,'_Sys|Line_Map'!$B:$B,"MISSING",0)</f>
        <v/>
      </c>
    </row>
    <row r="1944">
      <c r="A1944" s="4561" t="n"/>
      <c r="B1944" s="4561" t="n"/>
      <c r="C1944" s="4561" t="n"/>
      <c r="D1944" s="4561" t="n"/>
      <c r="E1944" s="4561" t="n"/>
      <c r="F1944" s="4561" t="n"/>
      <c r="G1944" s="4561" t="n"/>
      <c r="H1944" s="4561" t="n"/>
      <c r="I1944" s="4562">
        <f>XLOOKUP(B1944,'_Sys|Line_Map'!$A:$A,'_Sys|Line_Map'!$C:$C,"MISSING",0)</f>
        <v/>
      </c>
      <c r="J1944" s="4562">
        <f>XLOOKUP(B1944,'_Sys|Line_Map'!$A:$A,'_Sys|Line_Map'!$D:$D,1,0)</f>
        <v/>
      </c>
      <c r="K1944" s="4562">
        <f>IF(D1944="","",D1944*J1944)</f>
        <v/>
      </c>
      <c r="L1944" s="4562">
        <f>XLOOKUP(B1944,'_Sys|Line_Map'!$A:$A,'_Sys|Line_Map'!$B:$B,"MISSING",0)</f>
        <v/>
      </c>
    </row>
    <row r="1945">
      <c r="A1945" s="4561" t="n"/>
      <c r="B1945" s="4561" t="n"/>
      <c r="C1945" s="4561" t="n"/>
      <c r="D1945" s="4561" t="n"/>
      <c r="E1945" s="4561" t="n"/>
      <c r="F1945" s="4561" t="n"/>
      <c r="G1945" s="4561" t="n"/>
      <c r="H1945" s="4561" t="n"/>
      <c r="I1945" s="4562">
        <f>XLOOKUP(B1945,'_Sys|Line_Map'!$A:$A,'_Sys|Line_Map'!$C:$C,"MISSING",0)</f>
        <v/>
      </c>
      <c r="J1945" s="4562">
        <f>XLOOKUP(B1945,'_Sys|Line_Map'!$A:$A,'_Sys|Line_Map'!$D:$D,1,0)</f>
        <v/>
      </c>
      <c r="K1945" s="4562">
        <f>IF(D1945="","",D1945*J1945)</f>
        <v/>
      </c>
      <c r="L1945" s="4562">
        <f>XLOOKUP(B1945,'_Sys|Line_Map'!$A:$A,'_Sys|Line_Map'!$B:$B,"MISSING",0)</f>
        <v/>
      </c>
    </row>
    <row r="1946">
      <c r="A1946" s="4561" t="n"/>
      <c r="B1946" s="4561" t="n"/>
      <c r="C1946" s="4561" t="n"/>
      <c r="D1946" s="4561" t="n"/>
      <c r="E1946" s="4561" t="n"/>
      <c r="F1946" s="4561" t="n"/>
      <c r="G1946" s="4561" t="n"/>
      <c r="H1946" s="4561" t="n"/>
      <c r="I1946" s="4562">
        <f>XLOOKUP(B1946,'_Sys|Line_Map'!$A:$A,'_Sys|Line_Map'!$C:$C,"MISSING",0)</f>
        <v/>
      </c>
      <c r="J1946" s="4562">
        <f>XLOOKUP(B1946,'_Sys|Line_Map'!$A:$A,'_Sys|Line_Map'!$D:$D,1,0)</f>
        <v/>
      </c>
      <c r="K1946" s="4562">
        <f>IF(D1946="","",D1946*J1946)</f>
        <v/>
      </c>
      <c r="L1946" s="4562">
        <f>XLOOKUP(B1946,'_Sys|Line_Map'!$A:$A,'_Sys|Line_Map'!$B:$B,"MISSING",0)</f>
        <v/>
      </c>
    </row>
    <row r="1947">
      <c r="A1947" s="4561" t="n"/>
      <c r="B1947" s="4561" t="n"/>
      <c r="C1947" s="4561" t="n"/>
      <c r="D1947" s="4561" t="n"/>
      <c r="E1947" s="4561" t="n"/>
      <c r="F1947" s="4561" t="n"/>
      <c r="G1947" s="4561" t="n"/>
      <c r="H1947" s="4561" t="n"/>
      <c r="I1947" s="4562">
        <f>XLOOKUP(B1947,'_Sys|Line_Map'!$A:$A,'_Sys|Line_Map'!$C:$C,"MISSING",0)</f>
        <v/>
      </c>
      <c r="J1947" s="4562">
        <f>XLOOKUP(B1947,'_Sys|Line_Map'!$A:$A,'_Sys|Line_Map'!$D:$D,1,0)</f>
        <v/>
      </c>
      <c r="K1947" s="4562">
        <f>IF(D1947="","",D1947*J1947)</f>
        <v/>
      </c>
      <c r="L1947" s="4562">
        <f>XLOOKUP(B1947,'_Sys|Line_Map'!$A:$A,'_Sys|Line_Map'!$B:$B,"MISSING",0)</f>
        <v/>
      </c>
    </row>
    <row r="1948">
      <c r="A1948" s="4561" t="n"/>
      <c r="B1948" s="4561" t="n"/>
      <c r="C1948" s="4561" t="n"/>
      <c r="D1948" s="4561" t="n"/>
      <c r="E1948" s="4561" t="n"/>
      <c r="F1948" s="4561" t="n"/>
      <c r="G1948" s="4561" t="n"/>
      <c r="H1948" s="4561" t="n"/>
      <c r="I1948" s="4562">
        <f>XLOOKUP(B1948,'_Sys|Line_Map'!$A:$A,'_Sys|Line_Map'!$C:$C,"MISSING",0)</f>
        <v/>
      </c>
      <c r="J1948" s="4562">
        <f>XLOOKUP(B1948,'_Sys|Line_Map'!$A:$A,'_Sys|Line_Map'!$D:$D,1,0)</f>
        <v/>
      </c>
      <c r="K1948" s="4562">
        <f>IF(D1948="","",D1948*J1948)</f>
        <v/>
      </c>
      <c r="L1948" s="4562">
        <f>XLOOKUP(B1948,'_Sys|Line_Map'!$A:$A,'_Sys|Line_Map'!$B:$B,"MISSING",0)</f>
        <v/>
      </c>
    </row>
    <row r="1949">
      <c r="A1949" s="4561" t="n"/>
      <c r="B1949" s="4561" t="n"/>
      <c r="C1949" s="4561" t="n"/>
      <c r="D1949" s="4561" t="n"/>
      <c r="E1949" s="4561" t="n"/>
      <c r="F1949" s="4561" t="n"/>
      <c r="G1949" s="4561" t="n"/>
      <c r="H1949" s="4561" t="n"/>
      <c r="I1949" s="4562">
        <f>XLOOKUP(B1949,'_Sys|Line_Map'!$A:$A,'_Sys|Line_Map'!$C:$C,"MISSING",0)</f>
        <v/>
      </c>
      <c r="J1949" s="4562">
        <f>XLOOKUP(B1949,'_Sys|Line_Map'!$A:$A,'_Sys|Line_Map'!$D:$D,1,0)</f>
        <v/>
      </c>
      <c r="K1949" s="4562">
        <f>IF(D1949="","",D1949*J1949)</f>
        <v/>
      </c>
      <c r="L1949" s="4562">
        <f>XLOOKUP(B1949,'_Sys|Line_Map'!$A:$A,'_Sys|Line_Map'!$B:$B,"MISSING",0)</f>
        <v/>
      </c>
    </row>
    <row r="1950">
      <c r="A1950" s="4561" t="n"/>
      <c r="B1950" s="4561" t="n"/>
      <c r="C1950" s="4561" t="n"/>
      <c r="D1950" s="4561" t="n"/>
      <c r="E1950" s="4561" t="n"/>
      <c r="F1950" s="4561" t="n"/>
      <c r="G1950" s="4561" t="n"/>
      <c r="H1950" s="4561" t="n"/>
      <c r="I1950" s="4562">
        <f>XLOOKUP(B1950,'_Sys|Line_Map'!$A:$A,'_Sys|Line_Map'!$C:$C,"MISSING",0)</f>
        <v/>
      </c>
      <c r="J1950" s="4562">
        <f>XLOOKUP(B1950,'_Sys|Line_Map'!$A:$A,'_Sys|Line_Map'!$D:$D,1,0)</f>
        <v/>
      </c>
      <c r="K1950" s="4562">
        <f>IF(D1950="","",D1950*J1950)</f>
        <v/>
      </c>
      <c r="L1950" s="4562">
        <f>XLOOKUP(B1950,'_Sys|Line_Map'!$A:$A,'_Sys|Line_Map'!$B:$B,"MISSING",0)</f>
        <v/>
      </c>
    </row>
    <row r="1951">
      <c r="A1951" s="4561" t="n"/>
      <c r="B1951" s="4561" t="n"/>
      <c r="C1951" s="4561" t="n"/>
      <c r="D1951" s="4561" t="n"/>
      <c r="E1951" s="4561" t="n"/>
      <c r="F1951" s="4561" t="n"/>
      <c r="G1951" s="4561" t="n"/>
      <c r="H1951" s="4561" t="n"/>
      <c r="I1951" s="4562">
        <f>XLOOKUP(B1951,'_Sys|Line_Map'!$A:$A,'_Sys|Line_Map'!$C:$C,"MISSING",0)</f>
        <v/>
      </c>
      <c r="J1951" s="4562">
        <f>XLOOKUP(B1951,'_Sys|Line_Map'!$A:$A,'_Sys|Line_Map'!$D:$D,1,0)</f>
        <v/>
      </c>
      <c r="K1951" s="4562">
        <f>IF(D1951="","",D1951*J1951)</f>
        <v/>
      </c>
      <c r="L1951" s="4562">
        <f>XLOOKUP(B1951,'_Sys|Line_Map'!$A:$A,'_Sys|Line_Map'!$B:$B,"MISSING",0)</f>
        <v/>
      </c>
    </row>
    <row r="1952">
      <c r="A1952" s="4561" t="n"/>
      <c r="B1952" s="4561" t="n"/>
      <c r="C1952" s="4561" t="n"/>
      <c r="D1952" s="4561" t="n"/>
      <c r="E1952" s="4561" t="n"/>
      <c r="F1952" s="4561" t="n"/>
      <c r="G1952" s="4561" t="n"/>
      <c r="H1952" s="4561" t="n"/>
      <c r="I1952" s="4562">
        <f>XLOOKUP(B1952,'_Sys|Line_Map'!$A:$A,'_Sys|Line_Map'!$C:$C,"MISSING",0)</f>
        <v/>
      </c>
      <c r="J1952" s="4562">
        <f>XLOOKUP(B1952,'_Sys|Line_Map'!$A:$A,'_Sys|Line_Map'!$D:$D,1,0)</f>
        <v/>
      </c>
      <c r="K1952" s="4562">
        <f>IF(D1952="","",D1952*J1952)</f>
        <v/>
      </c>
      <c r="L1952" s="4562">
        <f>XLOOKUP(B1952,'_Sys|Line_Map'!$A:$A,'_Sys|Line_Map'!$B:$B,"MISSING",0)</f>
        <v/>
      </c>
    </row>
    <row r="1953">
      <c r="A1953" s="4561" t="n"/>
      <c r="B1953" s="4561" t="n"/>
      <c r="C1953" s="4561" t="n"/>
      <c r="D1953" s="4561" t="n"/>
      <c r="E1953" s="4561" t="n"/>
      <c r="F1953" s="4561" t="n"/>
      <c r="G1953" s="4561" t="n"/>
      <c r="H1953" s="4561" t="n"/>
      <c r="I1953" s="4562">
        <f>XLOOKUP(B1953,'_Sys|Line_Map'!$A:$A,'_Sys|Line_Map'!$C:$C,"MISSING",0)</f>
        <v/>
      </c>
      <c r="J1953" s="4562">
        <f>XLOOKUP(B1953,'_Sys|Line_Map'!$A:$A,'_Sys|Line_Map'!$D:$D,1,0)</f>
        <v/>
      </c>
      <c r="K1953" s="4562">
        <f>IF(D1953="","",D1953*J1953)</f>
        <v/>
      </c>
      <c r="L1953" s="4562">
        <f>XLOOKUP(B1953,'_Sys|Line_Map'!$A:$A,'_Sys|Line_Map'!$B:$B,"MISSING",0)</f>
        <v/>
      </c>
    </row>
    <row r="1954">
      <c r="A1954" s="4561" t="n"/>
      <c r="B1954" s="4561" t="n"/>
      <c r="C1954" s="4561" t="n"/>
      <c r="D1954" s="4561" t="n"/>
      <c r="E1954" s="4561" t="n"/>
      <c r="F1954" s="4561" t="n"/>
      <c r="G1954" s="4561" t="n"/>
      <c r="H1954" s="4561" t="n"/>
      <c r="I1954" s="4562">
        <f>XLOOKUP(B1954,'_Sys|Line_Map'!$A:$A,'_Sys|Line_Map'!$C:$C,"MISSING",0)</f>
        <v/>
      </c>
      <c r="J1954" s="4562">
        <f>XLOOKUP(B1954,'_Sys|Line_Map'!$A:$A,'_Sys|Line_Map'!$D:$D,1,0)</f>
        <v/>
      </c>
      <c r="K1954" s="4562">
        <f>IF(D1954="","",D1954*J1954)</f>
        <v/>
      </c>
      <c r="L1954" s="4562">
        <f>XLOOKUP(B1954,'_Sys|Line_Map'!$A:$A,'_Sys|Line_Map'!$B:$B,"MISSING",0)</f>
        <v/>
      </c>
    </row>
    <row r="1955">
      <c r="A1955" s="4561" t="n"/>
      <c r="B1955" s="4561" t="n"/>
      <c r="C1955" s="4561" t="n"/>
      <c r="D1955" s="4561" t="n"/>
      <c r="E1955" s="4561" t="n"/>
      <c r="F1955" s="4561" t="n"/>
      <c r="G1955" s="4561" t="n"/>
      <c r="H1955" s="4561" t="n"/>
      <c r="I1955" s="4562">
        <f>XLOOKUP(B1955,'_Sys|Line_Map'!$A:$A,'_Sys|Line_Map'!$C:$C,"MISSING",0)</f>
        <v/>
      </c>
      <c r="J1955" s="4562">
        <f>XLOOKUP(B1955,'_Sys|Line_Map'!$A:$A,'_Sys|Line_Map'!$D:$D,1,0)</f>
        <v/>
      </c>
      <c r="K1955" s="4562">
        <f>IF(D1955="","",D1955*J1955)</f>
        <v/>
      </c>
      <c r="L1955" s="4562">
        <f>XLOOKUP(B1955,'_Sys|Line_Map'!$A:$A,'_Sys|Line_Map'!$B:$B,"MISSING",0)</f>
        <v/>
      </c>
    </row>
    <row r="1956">
      <c r="A1956" s="4561" t="n"/>
      <c r="B1956" s="4561" t="n"/>
      <c r="C1956" s="4561" t="n"/>
      <c r="D1956" s="4561" t="n"/>
      <c r="E1956" s="4561" t="n"/>
      <c r="F1956" s="4561" t="n"/>
      <c r="G1956" s="4561" t="n"/>
      <c r="H1956" s="4561" t="n"/>
      <c r="I1956" s="4562">
        <f>XLOOKUP(B1956,'_Sys|Line_Map'!$A:$A,'_Sys|Line_Map'!$C:$C,"MISSING",0)</f>
        <v/>
      </c>
      <c r="J1956" s="4562">
        <f>XLOOKUP(B1956,'_Sys|Line_Map'!$A:$A,'_Sys|Line_Map'!$D:$D,1,0)</f>
        <v/>
      </c>
      <c r="K1956" s="4562">
        <f>IF(D1956="","",D1956*J1956)</f>
        <v/>
      </c>
      <c r="L1956" s="4562">
        <f>XLOOKUP(B1956,'_Sys|Line_Map'!$A:$A,'_Sys|Line_Map'!$B:$B,"MISSING",0)</f>
        <v/>
      </c>
    </row>
    <row r="1957">
      <c r="A1957" s="4561" t="n"/>
      <c r="B1957" s="4561" t="n"/>
      <c r="C1957" s="4561" t="n"/>
      <c r="D1957" s="4561" t="n"/>
      <c r="E1957" s="4561" t="n"/>
      <c r="F1957" s="4561" t="n"/>
      <c r="G1957" s="4561" t="n"/>
      <c r="H1957" s="4561" t="n"/>
      <c r="I1957" s="4562">
        <f>XLOOKUP(B1957,'_Sys|Line_Map'!$A:$A,'_Sys|Line_Map'!$C:$C,"MISSING",0)</f>
        <v/>
      </c>
      <c r="J1957" s="4562">
        <f>XLOOKUP(B1957,'_Sys|Line_Map'!$A:$A,'_Sys|Line_Map'!$D:$D,1,0)</f>
        <v/>
      </c>
      <c r="K1957" s="4562">
        <f>IF(D1957="","",D1957*J1957)</f>
        <v/>
      </c>
      <c r="L1957" s="4562">
        <f>XLOOKUP(B1957,'_Sys|Line_Map'!$A:$A,'_Sys|Line_Map'!$B:$B,"MISSING",0)</f>
        <v/>
      </c>
    </row>
    <row r="1958">
      <c r="A1958" s="4561" t="n"/>
      <c r="B1958" s="4561" t="n"/>
      <c r="C1958" s="4561" t="n"/>
      <c r="D1958" s="4561" t="n"/>
      <c r="E1958" s="4561" t="n"/>
      <c r="F1958" s="4561" t="n"/>
      <c r="G1958" s="4561" t="n"/>
      <c r="H1958" s="4561" t="n"/>
      <c r="I1958" s="4562">
        <f>XLOOKUP(B1958,'_Sys|Line_Map'!$A:$A,'_Sys|Line_Map'!$C:$C,"MISSING",0)</f>
        <v/>
      </c>
      <c r="J1958" s="4562">
        <f>XLOOKUP(B1958,'_Sys|Line_Map'!$A:$A,'_Sys|Line_Map'!$D:$D,1,0)</f>
        <v/>
      </c>
      <c r="K1958" s="4562">
        <f>IF(D1958="","",D1958*J1958)</f>
        <v/>
      </c>
      <c r="L1958" s="4562">
        <f>XLOOKUP(B1958,'_Sys|Line_Map'!$A:$A,'_Sys|Line_Map'!$B:$B,"MISSING",0)</f>
        <v/>
      </c>
    </row>
    <row r="1959">
      <c r="A1959" s="4561" t="n"/>
      <c r="B1959" s="4561" t="n"/>
      <c r="C1959" s="4561" t="n"/>
      <c r="D1959" s="4561" t="n"/>
      <c r="E1959" s="4561" t="n"/>
      <c r="F1959" s="4561" t="n"/>
      <c r="G1959" s="4561" t="n"/>
      <c r="H1959" s="4561" t="n"/>
      <c r="I1959" s="4562">
        <f>XLOOKUP(B1959,'_Sys|Line_Map'!$A:$A,'_Sys|Line_Map'!$C:$C,"MISSING",0)</f>
        <v/>
      </c>
      <c r="J1959" s="4562">
        <f>XLOOKUP(B1959,'_Sys|Line_Map'!$A:$A,'_Sys|Line_Map'!$D:$D,1,0)</f>
        <v/>
      </c>
      <c r="K1959" s="4562">
        <f>IF(D1959="","",D1959*J1959)</f>
        <v/>
      </c>
      <c r="L1959" s="4562">
        <f>XLOOKUP(B1959,'_Sys|Line_Map'!$A:$A,'_Sys|Line_Map'!$B:$B,"MISSING",0)</f>
        <v/>
      </c>
    </row>
    <row r="1960">
      <c r="A1960" s="4561" t="n"/>
      <c r="B1960" s="4561" t="n"/>
      <c r="C1960" s="4561" t="n"/>
      <c r="D1960" s="4561" t="n"/>
      <c r="E1960" s="4561" t="n"/>
      <c r="F1960" s="4561" t="n"/>
      <c r="G1960" s="4561" t="n"/>
      <c r="H1960" s="4561" t="n"/>
      <c r="I1960" s="4562">
        <f>XLOOKUP(B1960,'_Sys|Line_Map'!$A:$A,'_Sys|Line_Map'!$C:$C,"MISSING",0)</f>
        <v/>
      </c>
      <c r="J1960" s="4562">
        <f>XLOOKUP(B1960,'_Sys|Line_Map'!$A:$A,'_Sys|Line_Map'!$D:$D,1,0)</f>
        <v/>
      </c>
      <c r="K1960" s="4562">
        <f>IF(D1960="","",D1960*J1960)</f>
        <v/>
      </c>
      <c r="L1960" s="4562">
        <f>XLOOKUP(B1960,'_Sys|Line_Map'!$A:$A,'_Sys|Line_Map'!$B:$B,"MISSING",0)</f>
        <v/>
      </c>
    </row>
    <row r="1961">
      <c r="A1961" s="4561" t="n"/>
      <c r="B1961" s="4561" t="n"/>
      <c r="C1961" s="4561" t="n"/>
      <c r="D1961" s="4561" t="n"/>
      <c r="E1961" s="4561" t="n"/>
      <c r="F1961" s="4561" t="n"/>
      <c r="G1961" s="4561" t="n"/>
      <c r="H1961" s="4561" t="n"/>
      <c r="I1961" s="4562">
        <f>XLOOKUP(B1961,'_Sys|Line_Map'!$A:$A,'_Sys|Line_Map'!$C:$C,"MISSING",0)</f>
        <v/>
      </c>
      <c r="J1961" s="4562">
        <f>XLOOKUP(B1961,'_Sys|Line_Map'!$A:$A,'_Sys|Line_Map'!$D:$D,1,0)</f>
        <v/>
      </c>
      <c r="K1961" s="4562">
        <f>IF(D1961="","",D1961*J1961)</f>
        <v/>
      </c>
      <c r="L1961" s="4562">
        <f>XLOOKUP(B1961,'_Sys|Line_Map'!$A:$A,'_Sys|Line_Map'!$B:$B,"MISSING",0)</f>
        <v/>
      </c>
    </row>
    <row r="1962">
      <c r="A1962" s="4561" t="n"/>
      <c r="B1962" s="4561" t="n"/>
      <c r="C1962" s="4561" t="n"/>
      <c r="D1962" s="4561" t="n"/>
      <c r="E1962" s="4561" t="n"/>
      <c r="F1962" s="4561" t="n"/>
      <c r="G1962" s="4561" t="n"/>
      <c r="H1962" s="4561" t="n"/>
      <c r="I1962" s="4562">
        <f>XLOOKUP(B1962,'_Sys|Line_Map'!$A:$A,'_Sys|Line_Map'!$C:$C,"MISSING",0)</f>
        <v/>
      </c>
      <c r="J1962" s="4562">
        <f>XLOOKUP(B1962,'_Sys|Line_Map'!$A:$A,'_Sys|Line_Map'!$D:$D,1,0)</f>
        <v/>
      </c>
      <c r="K1962" s="4562">
        <f>IF(D1962="","",D1962*J1962)</f>
        <v/>
      </c>
      <c r="L1962" s="4562">
        <f>XLOOKUP(B1962,'_Sys|Line_Map'!$A:$A,'_Sys|Line_Map'!$B:$B,"MISSING",0)</f>
        <v/>
      </c>
    </row>
    <row r="1963">
      <c r="A1963" s="4561" t="n"/>
      <c r="B1963" s="4561" t="n"/>
      <c r="C1963" s="4561" t="n"/>
      <c r="D1963" s="4561" t="n"/>
      <c r="E1963" s="4561" t="n"/>
      <c r="F1963" s="4561" t="n"/>
      <c r="G1963" s="4561" t="n"/>
      <c r="H1963" s="4561" t="n"/>
      <c r="I1963" s="4562">
        <f>XLOOKUP(B1963,'_Sys|Line_Map'!$A:$A,'_Sys|Line_Map'!$C:$C,"MISSING",0)</f>
        <v/>
      </c>
      <c r="J1963" s="4562">
        <f>XLOOKUP(B1963,'_Sys|Line_Map'!$A:$A,'_Sys|Line_Map'!$D:$D,1,0)</f>
        <v/>
      </c>
      <c r="K1963" s="4562">
        <f>IF(D1963="","",D1963*J1963)</f>
        <v/>
      </c>
      <c r="L1963" s="4562">
        <f>XLOOKUP(B1963,'_Sys|Line_Map'!$A:$A,'_Sys|Line_Map'!$B:$B,"MISSING",0)</f>
        <v/>
      </c>
    </row>
    <row r="1964">
      <c r="A1964" s="4561" t="n"/>
      <c r="B1964" s="4561" t="n"/>
      <c r="C1964" s="4561" t="n"/>
      <c r="D1964" s="4561" t="n"/>
      <c r="E1964" s="4561" t="n"/>
      <c r="F1964" s="4561" t="n"/>
      <c r="G1964" s="4561" t="n"/>
      <c r="H1964" s="4561" t="n"/>
      <c r="I1964" s="4562">
        <f>XLOOKUP(B1964,'_Sys|Line_Map'!$A:$A,'_Sys|Line_Map'!$C:$C,"MISSING",0)</f>
        <v/>
      </c>
      <c r="J1964" s="4562">
        <f>XLOOKUP(B1964,'_Sys|Line_Map'!$A:$A,'_Sys|Line_Map'!$D:$D,1,0)</f>
        <v/>
      </c>
      <c r="K1964" s="4562">
        <f>IF(D1964="","",D1964*J1964)</f>
        <v/>
      </c>
      <c r="L1964" s="4562">
        <f>XLOOKUP(B1964,'_Sys|Line_Map'!$A:$A,'_Sys|Line_Map'!$B:$B,"MISSING",0)</f>
        <v/>
      </c>
    </row>
    <row r="1965">
      <c r="A1965" s="4561" t="n"/>
      <c r="B1965" s="4561" t="n"/>
      <c r="C1965" s="4561" t="n"/>
      <c r="D1965" s="4561" t="n"/>
      <c r="E1965" s="4561" t="n"/>
      <c r="F1965" s="4561" t="n"/>
      <c r="G1965" s="4561" t="n"/>
      <c r="H1965" s="4561" t="n"/>
      <c r="I1965" s="4562">
        <f>XLOOKUP(B1965,'_Sys|Line_Map'!$A:$A,'_Sys|Line_Map'!$C:$C,"MISSING",0)</f>
        <v/>
      </c>
      <c r="J1965" s="4562">
        <f>XLOOKUP(B1965,'_Sys|Line_Map'!$A:$A,'_Sys|Line_Map'!$D:$D,1,0)</f>
        <v/>
      </c>
      <c r="K1965" s="4562">
        <f>IF(D1965="","",D1965*J1965)</f>
        <v/>
      </c>
      <c r="L1965" s="4562">
        <f>XLOOKUP(B1965,'_Sys|Line_Map'!$A:$A,'_Sys|Line_Map'!$B:$B,"MISSING",0)</f>
        <v/>
      </c>
    </row>
    <row r="1966">
      <c r="A1966" s="4561" t="n"/>
      <c r="B1966" s="4561" t="n"/>
      <c r="C1966" s="4561" t="n"/>
      <c r="D1966" s="4561" t="n"/>
      <c r="E1966" s="4561" t="n"/>
      <c r="F1966" s="4561" t="n"/>
      <c r="G1966" s="4561" t="n"/>
      <c r="H1966" s="4561" t="n"/>
      <c r="I1966" s="4562">
        <f>XLOOKUP(B1966,'_Sys|Line_Map'!$A:$A,'_Sys|Line_Map'!$C:$C,"MISSING",0)</f>
        <v/>
      </c>
      <c r="J1966" s="4562">
        <f>XLOOKUP(B1966,'_Sys|Line_Map'!$A:$A,'_Sys|Line_Map'!$D:$D,1,0)</f>
        <v/>
      </c>
      <c r="K1966" s="4562">
        <f>IF(D1966="","",D1966*J1966)</f>
        <v/>
      </c>
      <c r="L1966" s="4562">
        <f>XLOOKUP(B1966,'_Sys|Line_Map'!$A:$A,'_Sys|Line_Map'!$B:$B,"MISSING",0)</f>
        <v/>
      </c>
    </row>
    <row r="1967">
      <c r="A1967" s="4561" t="n"/>
      <c r="B1967" s="4561" t="n"/>
      <c r="C1967" s="4561" t="n"/>
      <c r="D1967" s="4561" t="n"/>
      <c r="E1967" s="4561" t="n"/>
      <c r="F1967" s="4561" t="n"/>
      <c r="G1967" s="4561" t="n"/>
      <c r="H1967" s="4561" t="n"/>
      <c r="I1967" s="4562">
        <f>XLOOKUP(B1967,'_Sys|Line_Map'!$A:$A,'_Sys|Line_Map'!$C:$C,"MISSING",0)</f>
        <v/>
      </c>
      <c r="J1967" s="4562">
        <f>XLOOKUP(B1967,'_Sys|Line_Map'!$A:$A,'_Sys|Line_Map'!$D:$D,1,0)</f>
        <v/>
      </c>
      <c r="K1967" s="4562">
        <f>IF(D1967="","",D1967*J1967)</f>
        <v/>
      </c>
      <c r="L1967" s="4562">
        <f>XLOOKUP(B1967,'_Sys|Line_Map'!$A:$A,'_Sys|Line_Map'!$B:$B,"MISSING",0)</f>
        <v/>
      </c>
    </row>
    <row r="1968">
      <c r="A1968" s="4561" t="n"/>
      <c r="B1968" s="4561" t="n"/>
      <c r="C1968" s="4561" t="n"/>
      <c r="D1968" s="4561" t="n"/>
      <c r="E1968" s="4561" t="n"/>
      <c r="F1968" s="4561" t="n"/>
      <c r="G1968" s="4561" t="n"/>
      <c r="H1968" s="4561" t="n"/>
      <c r="I1968" s="4562">
        <f>XLOOKUP(B1968,'_Sys|Line_Map'!$A:$A,'_Sys|Line_Map'!$C:$C,"MISSING",0)</f>
        <v/>
      </c>
      <c r="J1968" s="4562">
        <f>XLOOKUP(B1968,'_Sys|Line_Map'!$A:$A,'_Sys|Line_Map'!$D:$D,1,0)</f>
        <v/>
      </c>
      <c r="K1968" s="4562">
        <f>IF(D1968="","",D1968*J1968)</f>
        <v/>
      </c>
      <c r="L1968" s="4562">
        <f>XLOOKUP(B1968,'_Sys|Line_Map'!$A:$A,'_Sys|Line_Map'!$B:$B,"MISSING",0)</f>
        <v/>
      </c>
    </row>
    <row r="1969">
      <c r="A1969" s="4561" t="n"/>
      <c r="B1969" s="4561" t="n"/>
      <c r="C1969" s="4561" t="n"/>
      <c r="D1969" s="4561" t="n"/>
      <c r="E1969" s="4561" t="n"/>
      <c r="F1969" s="4561" t="n"/>
      <c r="G1969" s="4561" t="n"/>
      <c r="H1969" s="4561" t="n"/>
      <c r="I1969" s="4562">
        <f>XLOOKUP(B1969,'_Sys|Line_Map'!$A:$A,'_Sys|Line_Map'!$C:$C,"MISSING",0)</f>
        <v/>
      </c>
      <c r="J1969" s="4562">
        <f>XLOOKUP(B1969,'_Sys|Line_Map'!$A:$A,'_Sys|Line_Map'!$D:$D,1,0)</f>
        <v/>
      </c>
      <c r="K1969" s="4562">
        <f>IF(D1969="","",D1969*J1969)</f>
        <v/>
      </c>
      <c r="L1969" s="4562">
        <f>XLOOKUP(B1969,'_Sys|Line_Map'!$A:$A,'_Sys|Line_Map'!$B:$B,"MISSING",0)</f>
        <v/>
      </c>
    </row>
    <row r="1970">
      <c r="A1970" s="4561" t="n"/>
      <c r="B1970" s="4561" t="n"/>
      <c r="C1970" s="4561" t="n"/>
      <c r="D1970" s="4561" t="n"/>
      <c r="E1970" s="4561" t="n"/>
      <c r="F1970" s="4561" t="n"/>
      <c r="G1970" s="4561" t="n"/>
      <c r="H1970" s="4561" t="n"/>
      <c r="I1970" s="4562">
        <f>XLOOKUP(B1970,'_Sys|Line_Map'!$A:$A,'_Sys|Line_Map'!$C:$C,"MISSING",0)</f>
        <v/>
      </c>
      <c r="J1970" s="4562">
        <f>XLOOKUP(B1970,'_Sys|Line_Map'!$A:$A,'_Sys|Line_Map'!$D:$D,1,0)</f>
        <v/>
      </c>
      <c r="K1970" s="4562">
        <f>IF(D1970="","",D1970*J1970)</f>
        <v/>
      </c>
      <c r="L1970" s="4562">
        <f>XLOOKUP(B1970,'_Sys|Line_Map'!$A:$A,'_Sys|Line_Map'!$B:$B,"MISSING",0)</f>
        <v/>
      </c>
    </row>
    <row r="1971">
      <c r="A1971" s="4561" t="n"/>
      <c r="B1971" s="4561" t="n"/>
      <c r="C1971" s="4561" t="n"/>
      <c r="D1971" s="4561" t="n"/>
      <c r="E1971" s="4561" t="n"/>
      <c r="F1971" s="4561" t="n"/>
      <c r="G1971" s="4561" t="n"/>
      <c r="H1971" s="4561" t="n"/>
      <c r="I1971" s="4562">
        <f>XLOOKUP(B1971,'_Sys|Line_Map'!$A:$A,'_Sys|Line_Map'!$C:$C,"MISSING",0)</f>
        <v/>
      </c>
      <c r="J1971" s="4562">
        <f>XLOOKUP(B1971,'_Sys|Line_Map'!$A:$A,'_Sys|Line_Map'!$D:$D,1,0)</f>
        <v/>
      </c>
      <c r="K1971" s="4562">
        <f>IF(D1971="","",D1971*J1971)</f>
        <v/>
      </c>
      <c r="L1971" s="4562">
        <f>XLOOKUP(B1971,'_Sys|Line_Map'!$A:$A,'_Sys|Line_Map'!$B:$B,"MISSING",0)</f>
        <v/>
      </c>
    </row>
    <row r="1972">
      <c r="A1972" s="4561" t="n"/>
      <c r="B1972" s="4561" t="n"/>
      <c r="C1972" s="4561" t="n"/>
      <c r="D1972" s="4561" t="n"/>
      <c r="E1972" s="4561" t="n"/>
      <c r="F1972" s="4561" t="n"/>
      <c r="G1972" s="4561" t="n"/>
      <c r="H1972" s="4561" t="n"/>
      <c r="I1972" s="4562">
        <f>XLOOKUP(B1972,'_Sys|Line_Map'!$A:$A,'_Sys|Line_Map'!$C:$C,"MISSING",0)</f>
        <v/>
      </c>
      <c r="J1972" s="4562">
        <f>XLOOKUP(B1972,'_Sys|Line_Map'!$A:$A,'_Sys|Line_Map'!$D:$D,1,0)</f>
        <v/>
      </c>
      <c r="K1972" s="4562">
        <f>IF(D1972="","",D1972*J1972)</f>
        <v/>
      </c>
      <c r="L1972" s="4562">
        <f>XLOOKUP(B1972,'_Sys|Line_Map'!$A:$A,'_Sys|Line_Map'!$B:$B,"MISSING",0)</f>
        <v/>
      </c>
    </row>
    <row r="1973">
      <c r="A1973" s="4561" t="n"/>
      <c r="B1973" s="4561" t="n"/>
      <c r="C1973" s="4561" t="n"/>
      <c r="D1973" s="4561" t="n"/>
      <c r="E1973" s="4561" t="n"/>
      <c r="F1973" s="4561" t="n"/>
      <c r="G1973" s="4561" t="n"/>
      <c r="H1973" s="4561" t="n"/>
      <c r="I1973" s="4562">
        <f>XLOOKUP(B1973,'_Sys|Line_Map'!$A:$A,'_Sys|Line_Map'!$C:$C,"MISSING",0)</f>
        <v/>
      </c>
      <c r="J1973" s="4562">
        <f>XLOOKUP(B1973,'_Sys|Line_Map'!$A:$A,'_Sys|Line_Map'!$D:$D,1,0)</f>
        <v/>
      </c>
      <c r="K1973" s="4562">
        <f>IF(D1973="","",D1973*J1973)</f>
        <v/>
      </c>
      <c r="L1973" s="4562">
        <f>XLOOKUP(B1973,'_Sys|Line_Map'!$A:$A,'_Sys|Line_Map'!$B:$B,"MISSING",0)</f>
        <v/>
      </c>
    </row>
    <row r="1974">
      <c r="A1974" s="4561" t="n"/>
      <c r="B1974" s="4561" t="n"/>
      <c r="C1974" s="4561" t="n"/>
      <c r="D1974" s="4561" t="n"/>
      <c r="E1974" s="4561" t="n"/>
      <c r="F1974" s="4561" t="n"/>
      <c r="G1974" s="4561" t="n"/>
      <c r="H1974" s="4561" t="n"/>
      <c r="I1974" s="4562">
        <f>XLOOKUP(B1974,'_Sys|Line_Map'!$A:$A,'_Sys|Line_Map'!$C:$C,"MISSING",0)</f>
        <v/>
      </c>
      <c r="J1974" s="4562">
        <f>XLOOKUP(B1974,'_Sys|Line_Map'!$A:$A,'_Sys|Line_Map'!$D:$D,1,0)</f>
        <v/>
      </c>
      <c r="K1974" s="4562">
        <f>IF(D1974="","",D1974*J1974)</f>
        <v/>
      </c>
      <c r="L1974" s="4562">
        <f>XLOOKUP(B1974,'_Sys|Line_Map'!$A:$A,'_Sys|Line_Map'!$B:$B,"MISSING",0)</f>
        <v/>
      </c>
    </row>
    <row r="1975">
      <c r="A1975" s="4561" t="n"/>
      <c r="B1975" s="4561" t="n"/>
      <c r="C1975" s="4561" t="n"/>
      <c r="D1975" s="4561" t="n"/>
      <c r="E1975" s="4561" t="n"/>
      <c r="F1975" s="4561" t="n"/>
      <c r="G1975" s="4561" t="n"/>
      <c r="H1975" s="4561" t="n"/>
      <c r="I1975" s="4562">
        <f>XLOOKUP(B1975,'_Sys|Line_Map'!$A:$A,'_Sys|Line_Map'!$C:$C,"MISSING",0)</f>
        <v/>
      </c>
      <c r="J1975" s="4562">
        <f>XLOOKUP(B1975,'_Sys|Line_Map'!$A:$A,'_Sys|Line_Map'!$D:$D,1,0)</f>
        <v/>
      </c>
      <c r="K1975" s="4562">
        <f>IF(D1975="","",D1975*J1975)</f>
        <v/>
      </c>
      <c r="L1975" s="4562">
        <f>XLOOKUP(B1975,'_Sys|Line_Map'!$A:$A,'_Sys|Line_Map'!$B:$B,"MISSING",0)</f>
        <v/>
      </c>
    </row>
    <row r="1976">
      <c r="A1976" s="4561" t="n"/>
      <c r="B1976" s="4561" t="n"/>
      <c r="C1976" s="4561" t="n"/>
      <c r="D1976" s="4561" t="n"/>
      <c r="E1976" s="4561" t="n"/>
      <c r="F1976" s="4561" t="n"/>
      <c r="G1976" s="4561" t="n"/>
      <c r="H1976" s="4561" t="n"/>
      <c r="I1976" s="4562">
        <f>XLOOKUP(B1976,'_Sys|Line_Map'!$A:$A,'_Sys|Line_Map'!$C:$C,"MISSING",0)</f>
        <v/>
      </c>
      <c r="J1976" s="4562">
        <f>XLOOKUP(B1976,'_Sys|Line_Map'!$A:$A,'_Sys|Line_Map'!$D:$D,1,0)</f>
        <v/>
      </c>
      <c r="K1976" s="4562">
        <f>IF(D1976="","",D1976*J1976)</f>
        <v/>
      </c>
      <c r="L1976" s="4562">
        <f>XLOOKUP(B1976,'_Sys|Line_Map'!$A:$A,'_Sys|Line_Map'!$B:$B,"MISSING",0)</f>
        <v/>
      </c>
    </row>
    <row r="1977">
      <c r="A1977" s="4561" t="n"/>
      <c r="B1977" s="4561" t="n"/>
      <c r="C1977" s="4561" t="n"/>
      <c r="D1977" s="4561" t="n"/>
      <c r="E1977" s="4561" t="n"/>
      <c r="F1977" s="4561" t="n"/>
      <c r="G1977" s="4561" t="n"/>
      <c r="H1977" s="4561" t="n"/>
      <c r="I1977" s="4562">
        <f>XLOOKUP(B1977,'_Sys|Line_Map'!$A:$A,'_Sys|Line_Map'!$C:$C,"MISSING",0)</f>
        <v/>
      </c>
      <c r="J1977" s="4562">
        <f>XLOOKUP(B1977,'_Sys|Line_Map'!$A:$A,'_Sys|Line_Map'!$D:$D,1,0)</f>
        <v/>
      </c>
      <c r="K1977" s="4562">
        <f>IF(D1977="","",D1977*J1977)</f>
        <v/>
      </c>
      <c r="L1977" s="4562">
        <f>XLOOKUP(B1977,'_Sys|Line_Map'!$A:$A,'_Sys|Line_Map'!$B:$B,"MISSING",0)</f>
        <v/>
      </c>
    </row>
    <row r="1978">
      <c r="A1978" s="4561" t="n"/>
      <c r="B1978" s="4561" t="n"/>
      <c r="C1978" s="4561" t="n"/>
      <c r="D1978" s="4561" t="n"/>
      <c r="E1978" s="4561" t="n"/>
      <c r="F1978" s="4561" t="n"/>
      <c r="G1978" s="4561" t="n"/>
      <c r="H1978" s="4561" t="n"/>
      <c r="I1978" s="4562">
        <f>XLOOKUP(B1978,'_Sys|Line_Map'!$A:$A,'_Sys|Line_Map'!$C:$C,"MISSING",0)</f>
        <v/>
      </c>
      <c r="J1978" s="4562">
        <f>XLOOKUP(B1978,'_Sys|Line_Map'!$A:$A,'_Sys|Line_Map'!$D:$D,1,0)</f>
        <v/>
      </c>
      <c r="K1978" s="4562">
        <f>IF(D1978="","",D1978*J1978)</f>
        <v/>
      </c>
      <c r="L1978" s="4562">
        <f>XLOOKUP(B1978,'_Sys|Line_Map'!$A:$A,'_Sys|Line_Map'!$B:$B,"MISSING",0)</f>
        <v/>
      </c>
    </row>
    <row r="1979">
      <c r="A1979" s="4561" t="n"/>
      <c r="B1979" s="4561" t="n"/>
      <c r="C1979" s="4561" t="n"/>
      <c r="D1979" s="4561" t="n"/>
      <c r="E1979" s="4561" t="n"/>
      <c r="F1979" s="4561" t="n"/>
      <c r="G1979" s="4561" t="n"/>
      <c r="H1979" s="4561" t="n"/>
      <c r="I1979" s="4562">
        <f>XLOOKUP(B1979,'_Sys|Line_Map'!$A:$A,'_Sys|Line_Map'!$C:$C,"MISSING",0)</f>
        <v/>
      </c>
      <c r="J1979" s="4562">
        <f>XLOOKUP(B1979,'_Sys|Line_Map'!$A:$A,'_Sys|Line_Map'!$D:$D,1,0)</f>
        <v/>
      </c>
      <c r="K1979" s="4562">
        <f>IF(D1979="","",D1979*J1979)</f>
        <v/>
      </c>
      <c r="L1979" s="4562">
        <f>XLOOKUP(B1979,'_Sys|Line_Map'!$A:$A,'_Sys|Line_Map'!$B:$B,"MISSING",0)</f>
        <v/>
      </c>
    </row>
    <row r="1980">
      <c r="A1980" s="4561" t="n"/>
      <c r="B1980" s="4561" t="n"/>
      <c r="C1980" s="4561" t="n"/>
      <c r="D1980" s="4561" t="n"/>
      <c r="E1980" s="4561" t="n"/>
      <c r="F1980" s="4561" t="n"/>
      <c r="G1980" s="4561" t="n"/>
      <c r="H1980" s="4561" t="n"/>
      <c r="I1980" s="4562">
        <f>XLOOKUP(B1980,'_Sys|Line_Map'!$A:$A,'_Sys|Line_Map'!$C:$C,"MISSING",0)</f>
        <v/>
      </c>
      <c r="J1980" s="4562">
        <f>XLOOKUP(B1980,'_Sys|Line_Map'!$A:$A,'_Sys|Line_Map'!$D:$D,1,0)</f>
        <v/>
      </c>
      <c r="K1980" s="4562">
        <f>IF(D1980="","",D1980*J1980)</f>
        <v/>
      </c>
      <c r="L1980" s="4562">
        <f>XLOOKUP(B1980,'_Sys|Line_Map'!$A:$A,'_Sys|Line_Map'!$B:$B,"MISSING",0)</f>
        <v/>
      </c>
    </row>
    <row r="1981">
      <c r="A1981" s="4561" t="n"/>
      <c r="B1981" s="4561" t="n"/>
      <c r="C1981" s="4561" t="n"/>
      <c r="D1981" s="4561" t="n"/>
      <c r="E1981" s="4561" t="n"/>
      <c r="F1981" s="4561" t="n"/>
      <c r="G1981" s="4561" t="n"/>
      <c r="H1981" s="4561" t="n"/>
      <c r="I1981" s="4562">
        <f>XLOOKUP(B1981,'_Sys|Line_Map'!$A:$A,'_Sys|Line_Map'!$C:$C,"MISSING",0)</f>
        <v/>
      </c>
      <c r="J1981" s="4562">
        <f>XLOOKUP(B1981,'_Sys|Line_Map'!$A:$A,'_Sys|Line_Map'!$D:$D,1,0)</f>
        <v/>
      </c>
      <c r="K1981" s="4562">
        <f>IF(D1981="","",D1981*J1981)</f>
        <v/>
      </c>
      <c r="L1981" s="4562">
        <f>XLOOKUP(B1981,'_Sys|Line_Map'!$A:$A,'_Sys|Line_Map'!$B:$B,"MISSING",0)</f>
        <v/>
      </c>
    </row>
    <row r="1982">
      <c r="A1982" s="4561" t="n"/>
      <c r="B1982" s="4561" t="n"/>
      <c r="C1982" s="4561" t="n"/>
      <c r="D1982" s="4561" t="n"/>
      <c r="E1982" s="4561" t="n"/>
      <c r="F1982" s="4561" t="n"/>
      <c r="G1982" s="4561" t="n"/>
      <c r="H1982" s="4561" t="n"/>
      <c r="I1982" s="4562">
        <f>XLOOKUP(B1982,'_Sys|Line_Map'!$A:$A,'_Sys|Line_Map'!$C:$C,"MISSING",0)</f>
        <v/>
      </c>
      <c r="J1982" s="4562">
        <f>XLOOKUP(B1982,'_Sys|Line_Map'!$A:$A,'_Sys|Line_Map'!$D:$D,1,0)</f>
        <v/>
      </c>
      <c r="K1982" s="4562">
        <f>IF(D1982="","",D1982*J1982)</f>
        <v/>
      </c>
      <c r="L1982" s="4562">
        <f>XLOOKUP(B1982,'_Sys|Line_Map'!$A:$A,'_Sys|Line_Map'!$B:$B,"MISSING",0)</f>
        <v/>
      </c>
    </row>
    <row r="1983">
      <c r="A1983" s="4561" t="n"/>
      <c r="B1983" s="4561" t="n"/>
      <c r="C1983" s="4561" t="n"/>
      <c r="D1983" s="4561" t="n"/>
      <c r="E1983" s="4561" t="n"/>
      <c r="F1983" s="4561" t="n"/>
      <c r="G1983" s="4561" t="n"/>
      <c r="H1983" s="4561" t="n"/>
      <c r="I1983" s="4562">
        <f>XLOOKUP(B1983,'_Sys|Line_Map'!$A:$A,'_Sys|Line_Map'!$C:$C,"MISSING",0)</f>
        <v/>
      </c>
      <c r="J1983" s="4562">
        <f>XLOOKUP(B1983,'_Sys|Line_Map'!$A:$A,'_Sys|Line_Map'!$D:$D,1,0)</f>
        <v/>
      </c>
      <c r="K1983" s="4562">
        <f>IF(D1983="","",D1983*J1983)</f>
        <v/>
      </c>
      <c r="L1983" s="4562">
        <f>XLOOKUP(B1983,'_Sys|Line_Map'!$A:$A,'_Sys|Line_Map'!$B:$B,"MISSING",0)</f>
        <v/>
      </c>
    </row>
    <row r="1984">
      <c r="A1984" s="4561" t="n"/>
      <c r="B1984" s="4561" t="n"/>
      <c r="C1984" s="4561" t="n"/>
      <c r="D1984" s="4561" t="n"/>
      <c r="E1984" s="4561" t="n"/>
      <c r="F1984" s="4561" t="n"/>
      <c r="G1984" s="4561" t="n"/>
      <c r="H1984" s="4561" t="n"/>
      <c r="I1984" s="4562">
        <f>XLOOKUP(B1984,'_Sys|Line_Map'!$A:$A,'_Sys|Line_Map'!$C:$C,"MISSING",0)</f>
        <v/>
      </c>
      <c r="J1984" s="4562">
        <f>XLOOKUP(B1984,'_Sys|Line_Map'!$A:$A,'_Sys|Line_Map'!$D:$D,1,0)</f>
        <v/>
      </c>
      <c r="K1984" s="4562">
        <f>IF(D1984="","",D1984*J1984)</f>
        <v/>
      </c>
      <c r="L1984" s="4562">
        <f>XLOOKUP(B1984,'_Sys|Line_Map'!$A:$A,'_Sys|Line_Map'!$B:$B,"MISSING",0)</f>
        <v/>
      </c>
    </row>
    <row r="1985">
      <c r="A1985" s="4561" t="n"/>
      <c r="B1985" s="4561" t="n"/>
      <c r="C1985" s="4561" t="n"/>
      <c r="D1985" s="4561" t="n"/>
      <c r="E1985" s="4561" t="n"/>
      <c r="F1985" s="4561" t="n"/>
      <c r="G1985" s="4561" t="n"/>
      <c r="H1985" s="4561" t="n"/>
      <c r="I1985" s="4562">
        <f>XLOOKUP(B1985,'_Sys|Line_Map'!$A:$A,'_Sys|Line_Map'!$C:$C,"MISSING",0)</f>
        <v/>
      </c>
      <c r="J1985" s="4562">
        <f>XLOOKUP(B1985,'_Sys|Line_Map'!$A:$A,'_Sys|Line_Map'!$D:$D,1,0)</f>
        <v/>
      </c>
      <c r="K1985" s="4562">
        <f>IF(D1985="","",D1985*J1985)</f>
        <v/>
      </c>
      <c r="L1985" s="4562">
        <f>XLOOKUP(B1985,'_Sys|Line_Map'!$A:$A,'_Sys|Line_Map'!$B:$B,"MISSING",0)</f>
        <v/>
      </c>
    </row>
    <row r="1986">
      <c r="A1986" s="4561" t="n"/>
      <c r="B1986" s="4561" t="n"/>
      <c r="C1986" s="4561" t="n"/>
      <c r="D1986" s="4561" t="n"/>
      <c r="E1986" s="4561" t="n"/>
      <c r="F1986" s="4561" t="n"/>
      <c r="G1986" s="4561" t="n"/>
      <c r="H1986" s="4561" t="n"/>
      <c r="I1986" s="4562">
        <f>XLOOKUP(B1986,'_Sys|Line_Map'!$A:$A,'_Sys|Line_Map'!$C:$C,"MISSING",0)</f>
        <v/>
      </c>
      <c r="J1986" s="4562">
        <f>XLOOKUP(B1986,'_Sys|Line_Map'!$A:$A,'_Sys|Line_Map'!$D:$D,1,0)</f>
        <v/>
      </c>
      <c r="K1986" s="4562">
        <f>IF(D1986="","",D1986*J1986)</f>
        <v/>
      </c>
      <c r="L1986" s="4562">
        <f>XLOOKUP(B1986,'_Sys|Line_Map'!$A:$A,'_Sys|Line_Map'!$B:$B,"MISSING",0)</f>
        <v/>
      </c>
    </row>
    <row r="1987">
      <c r="A1987" s="4561" t="n"/>
      <c r="B1987" s="4561" t="n"/>
      <c r="C1987" s="4561" t="n"/>
      <c r="D1987" s="4561" t="n"/>
      <c r="E1987" s="4561" t="n"/>
      <c r="F1987" s="4561" t="n"/>
      <c r="G1987" s="4561" t="n"/>
      <c r="H1987" s="4561" t="n"/>
      <c r="I1987" s="4562">
        <f>XLOOKUP(B1987,'_Sys|Line_Map'!$A:$A,'_Sys|Line_Map'!$C:$C,"MISSING",0)</f>
        <v/>
      </c>
      <c r="J1987" s="4562">
        <f>XLOOKUP(B1987,'_Sys|Line_Map'!$A:$A,'_Sys|Line_Map'!$D:$D,1,0)</f>
        <v/>
      </c>
      <c r="K1987" s="4562">
        <f>IF(D1987="","",D1987*J1987)</f>
        <v/>
      </c>
      <c r="L1987" s="4562">
        <f>XLOOKUP(B1987,'_Sys|Line_Map'!$A:$A,'_Sys|Line_Map'!$B:$B,"MISSING",0)</f>
        <v/>
      </c>
    </row>
    <row r="1988">
      <c r="A1988" s="4561" t="n"/>
      <c r="B1988" s="4561" t="n"/>
      <c r="C1988" s="4561" t="n"/>
      <c r="D1988" s="4561" t="n"/>
      <c r="E1988" s="4561" t="n"/>
      <c r="F1988" s="4561" t="n"/>
      <c r="G1988" s="4561" t="n"/>
      <c r="H1988" s="4561" t="n"/>
      <c r="I1988" s="4562">
        <f>XLOOKUP(B1988,'_Sys|Line_Map'!$A:$A,'_Sys|Line_Map'!$C:$C,"MISSING",0)</f>
        <v/>
      </c>
      <c r="J1988" s="4562">
        <f>XLOOKUP(B1988,'_Sys|Line_Map'!$A:$A,'_Sys|Line_Map'!$D:$D,1,0)</f>
        <v/>
      </c>
      <c r="K1988" s="4562">
        <f>IF(D1988="","",D1988*J1988)</f>
        <v/>
      </c>
      <c r="L1988" s="4562">
        <f>XLOOKUP(B1988,'_Sys|Line_Map'!$A:$A,'_Sys|Line_Map'!$B:$B,"MISSING",0)</f>
        <v/>
      </c>
    </row>
    <row r="1989">
      <c r="A1989" s="4561" t="n"/>
      <c r="B1989" s="4561" t="n"/>
      <c r="C1989" s="4561" t="n"/>
      <c r="D1989" s="4561" t="n"/>
      <c r="E1989" s="4561" t="n"/>
      <c r="F1989" s="4561" t="n"/>
      <c r="G1989" s="4561" t="n"/>
      <c r="H1989" s="4561" t="n"/>
      <c r="I1989" s="4562">
        <f>XLOOKUP(B1989,'_Sys|Line_Map'!$A:$A,'_Sys|Line_Map'!$C:$C,"MISSING",0)</f>
        <v/>
      </c>
      <c r="J1989" s="4562">
        <f>XLOOKUP(B1989,'_Sys|Line_Map'!$A:$A,'_Sys|Line_Map'!$D:$D,1,0)</f>
        <v/>
      </c>
      <c r="K1989" s="4562">
        <f>IF(D1989="","",D1989*J1989)</f>
        <v/>
      </c>
      <c r="L1989" s="4562">
        <f>XLOOKUP(B1989,'_Sys|Line_Map'!$A:$A,'_Sys|Line_Map'!$B:$B,"MISSING",0)</f>
        <v/>
      </c>
    </row>
    <row r="1990">
      <c r="A1990" s="4561" t="n"/>
      <c r="B1990" s="4561" t="n"/>
      <c r="C1990" s="4561" t="n"/>
      <c r="D1990" s="4561" t="n"/>
      <c r="E1990" s="4561" t="n"/>
      <c r="F1990" s="4561" t="n"/>
      <c r="G1990" s="4561" t="n"/>
      <c r="H1990" s="4561" t="n"/>
      <c r="I1990" s="4562">
        <f>XLOOKUP(B1990,'_Sys|Line_Map'!$A:$A,'_Sys|Line_Map'!$C:$C,"MISSING",0)</f>
        <v/>
      </c>
      <c r="J1990" s="4562">
        <f>XLOOKUP(B1990,'_Sys|Line_Map'!$A:$A,'_Sys|Line_Map'!$D:$D,1,0)</f>
        <v/>
      </c>
      <c r="K1990" s="4562">
        <f>IF(D1990="","",D1990*J1990)</f>
        <v/>
      </c>
      <c r="L1990" s="4562">
        <f>XLOOKUP(B1990,'_Sys|Line_Map'!$A:$A,'_Sys|Line_Map'!$B:$B,"MISSING",0)</f>
        <v/>
      </c>
    </row>
    <row r="1991">
      <c r="A1991" s="4561" t="n"/>
      <c r="B1991" s="4561" t="n"/>
      <c r="C1991" s="4561" t="n"/>
      <c r="D1991" s="4561" t="n"/>
      <c r="E1991" s="4561" t="n"/>
      <c r="F1991" s="4561" t="n"/>
      <c r="G1991" s="4561" t="n"/>
      <c r="H1991" s="4561" t="n"/>
      <c r="I1991" s="4562">
        <f>XLOOKUP(B1991,'_Sys|Line_Map'!$A:$A,'_Sys|Line_Map'!$C:$C,"MISSING",0)</f>
        <v/>
      </c>
      <c r="J1991" s="4562">
        <f>XLOOKUP(B1991,'_Sys|Line_Map'!$A:$A,'_Sys|Line_Map'!$D:$D,1,0)</f>
        <v/>
      </c>
      <c r="K1991" s="4562">
        <f>IF(D1991="","",D1991*J1991)</f>
        <v/>
      </c>
      <c r="L1991" s="4562">
        <f>XLOOKUP(B1991,'_Sys|Line_Map'!$A:$A,'_Sys|Line_Map'!$B:$B,"MISSING",0)</f>
        <v/>
      </c>
    </row>
    <row r="1992">
      <c r="A1992" s="4561" t="n"/>
      <c r="B1992" s="4561" t="n"/>
      <c r="C1992" s="4561" t="n"/>
      <c r="D1992" s="4561" t="n"/>
      <c r="E1992" s="4561" t="n"/>
      <c r="F1992" s="4561" t="n"/>
      <c r="G1992" s="4561" t="n"/>
      <c r="H1992" s="4561" t="n"/>
      <c r="I1992" s="4562">
        <f>XLOOKUP(B1992,'_Sys|Line_Map'!$A:$A,'_Sys|Line_Map'!$C:$C,"MISSING",0)</f>
        <v/>
      </c>
      <c r="J1992" s="4562">
        <f>XLOOKUP(B1992,'_Sys|Line_Map'!$A:$A,'_Sys|Line_Map'!$D:$D,1,0)</f>
        <v/>
      </c>
      <c r="K1992" s="4562">
        <f>IF(D1992="","",D1992*J1992)</f>
        <v/>
      </c>
      <c r="L1992" s="4562">
        <f>XLOOKUP(B1992,'_Sys|Line_Map'!$A:$A,'_Sys|Line_Map'!$B:$B,"MISSING",0)</f>
        <v/>
      </c>
    </row>
    <row r="1993">
      <c r="A1993" s="4561" t="n"/>
      <c r="B1993" s="4561" t="n"/>
      <c r="C1993" s="4561" t="n"/>
      <c r="D1993" s="4561" t="n"/>
      <c r="E1993" s="4561" t="n"/>
      <c r="F1993" s="4561" t="n"/>
      <c r="G1993" s="4561" t="n"/>
      <c r="H1993" s="4561" t="n"/>
      <c r="I1993" s="4562">
        <f>XLOOKUP(B1993,'_Sys|Line_Map'!$A:$A,'_Sys|Line_Map'!$C:$C,"MISSING",0)</f>
        <v/>
      </c>
      <c r="J1993" s="4562">
        <f>XLOOKUP(B1993,'_Sys|Line_Map'!$A:$A,'_Sys|Line_Map'!$D:$D,1,0)</f>
        <v/>
      </c>
      <c r="K1993" s="4562">
        <f>IF(D1993="","",D1993*J1993)</f>
        <v/>
      </c>
      <c r="L1993" s="4562">
        <f>XLOOKUP(B1993,'_Sys|Line_Map'!$A:$A,'_Sys|Line_Map'!$B:$B,"MISSING",0)</f>
        <v/>
      </c>
    </row>
    <row r="1994">
      <c r="A1994" s="4561" t="n"/>
      <c r="B1994" s="4561" t="n"/>
      <c r="C1994" s="4561" t="n"/>
      <c r="D1994" s="4561" t="n"/>
      <c r="E1994" s="4561" t="n"/>
      <c r="F1994" s="4561" t="n"/>
      <c r="G1994" s="4561" t="n"/>
      <c r="H1994" s="4561" t="n"/>
      <c r="I1994" s="4562">
        <f>XLOOKUP(B1994,'_Sys|Line_Map'!$A:$A,'_Sys|Line_Map'!$C:$C,"MISSING",0)</f>
        <v/>
      </c>
      <c r="J1994" s="4562">
        <f>XLOOKUP(B1994,'_Sys|Line_Map'!$A:$A,'_Sys|Line_Map'!$D:$D,1,0)</f>
        <v/>
      </c>
      <c r="K1994" s="4562">
        <f>IF(D1994="","",D1994*J1994)</f>
        <v/>
      </c>
      <c r="L1994" s="4562">
        <f>XLOOKUP(B1994,'_Sys|Line_Map'!$A:$A,'_Sys|Line_Map'!$B:$B,"MISSING",0)</f>
        <v/>
      </c>
    </row>
    <row r="1995">
      <c r="A1995" s="4561" t="n"/>
      <c r="B1995" s="4561" t="n"/>
      <c r="C1995" s="4561" t="n"/>
      <c r="D1995" s="4561" t="n"/>
      <c r="E1995" s="4561" t="n"/>
      <c r="F1995" s="4561" t="n"/>
      <c r="G1995" s="4561" t="n"/>
      <c r="H1995" s="4561" t="n"/>
      <c r="I1995" s="4562">
        <f>XLOOKUP(B1995,'_Sys|Line_Map'!$A:$A,'_Sys|Line_Map'!$C:$C,"MISSING",0)</f>
        <v/>
      </c>
      <c r="J1995" s="4562">
        <f>XLOOKUP(B1995,'_Sys|Line_Map'!$A:$A,'_Sys|Line_Map'!$D:$D,1,0)</f>
        <v/>
      </c>
      <c r="K1995" s="4562">
        <f>IF(D1995="","",D1995*J1995)</f>
        <v/>
      </c>
      <c r="L1995" s="4562">
        <f>XLOOKUP(B1995,'_Sys|Line_Map'!$A:$A,'_Sys|Line_Map'!$B:$B,"MISSING",0)</f>
        <v/>
      </c>
    </row>
    <row r="1996">
      <c r="A1996" s="4561" t="n"/>
      <c r="B1996" s="4561" t="n"/>
      <c r="C1996" s="4561" t="n"/>
      <c r="D1996" s="4561" t="n"/>
      <c r="E1996" s="4561" t="n"/>
      <c r="F1996" s="4561" t="n"/>
      <c r="G1996" s="4561" t="n"/>
      <c r="H1996" s="4561" t="n"/>
      <c r="I1996" s="4562">
        <f>XLOOKUP(B1996,'_Sys|Line_Map'!$A:$A,'_Sys|Line_Map'!$C:$C,"MISSING",0)</f>
        <v/>
      </c>
      <c r="J1996" s="4562">
        <f>XLOOKUP(B1996,'_Sys|Line_Map'!$A:$A,'_Sys|Line_Map'!$D:$D,1,0)</f>
        <v/>
      </c>
      <c r="K1996" s="4562">
        <f>IF(D1996="","",D1996*J1996)</f>
        <v/>
      </c>
      <c r="L1996" s="4562">
        <f>XLOOKUP(B1996,'_Sys|Line_Map'!$A:$A,'_Sys|Line_Map'!$B:$B,"MISSING",0)</f>
        <v/>
      </c>
    </row>
    <row r="1997">
      <c r="A1997" s="4561" t="n"/>
      <c r="B1997" s="4561" t="n"/>
      <c r="C1997" s="4561" t="n"/>
      <c r="D1997" s="4561" t="n"/>
      <c r="E1997" s="4561" t="n"/>
      <c r="F1997" s="4561" t="n"/>
      <c r="G1997" s="4561" t="n"/>
      <c r="H1997" s="4561" t="n"/>
      <c r="I1997" s="4562">
        <f>XLOOKUP(B1997,'_Sys|Line_Map'!$A:$A,'_Sys|Line_Map'!$C:$C,"MISSING",0)</f>
        <v/>
      </c>
      <c r="J1997" s="4562">
        <f>XLOOKUP(B1997,'_Sys|Line_Map'!$A:$A,'_Sys|Line_Map'!$D:$D,1,0)</f>
        <v/>
      </c>
      <c r="K1997" s="4562">
        <f>IF(D1997="","",D1997*J1997)</f>
        <v/>
      </c>
      <c r="L1997" s="4562">
        <f>XLOOKUP(B1997,'_Sys|Line_Map'!$A:$A,'_Sys|Line_Map'!$B:$B,"MISSING",0)</f>
        <v/>
      </c>
    </row>
    <row r="1998">
      <c r="A1998" s="4561" t="n"/>
      <c r="B1998" s="4561" t="n"/>
      <c r="C1998" s="4561" t="n"/>
      <c r="D1998" s="4561" t="n"/>
      <c r="E1998" s="4561" t="n"/>
      <c r="F1998" s="4561" t="n"/>
      <c r="G1998" s="4561" t="n"/>
      <c r="H1998" s="4561" t="n"/>
      <c r="I1998" s="4562">
        <f>XLOOKUP(B1998,'_Sys|Line_Map'!$A:$A,'_Sys|Line_Map'!$C:$C,"MISSING",0)</f>
        <v/>
      </c>
      <c r="J1998" s="4562">
        <f>XLOOKUP(B1998,'_Sys|Line_Map'!$A:$A,'_Sys|Line_Map'!$D:$D,1,0)</f>
        <v/>
      </c>
      <c r="K1998" s="4562">
        <f>IF(D1998="","",D1998*J1998)</f>
        <v/>
      </c>
      <c r="L1998" s="4562">
        <f>XLOOKUP(B1998,'_Sys|Line_Map'!$A:$A,'_Sys|Line_Map'!$B:$B,"MISSING",0)</f>
        <v/>
      </c>
    </row>
    <row r="1999">
      <c r="A1999" s="4561" t="n"/>
      <c r="B1999" s="4561" t="n"/>
      <c r="C1999" s="4561" t="n"/>
      <c r="D1999" s="4561" t="n"/>
      <c r="E1999" s="4561" t="n"/>
      <c r="F1999" s="4561" t="n"/>
      <c r="G1999" s="4561" t="n"/>
      <c r="H1999" s="4561" t="n"/>
      <c r="I1999" s="4562">
        <f>XLOOKUP(B1999,'_Sys|Line_Map'!$A:$A,'_Sys|Line_Map'!$C:$C,"MISSING",0)</f>
        <v/>
      </c>
      <c r="J1999" s="4562">
        <f>XLOOKUP(B1999,'_Sys|Line_Map'!$A:$A,'_Sys|Line_Map'!$D:$D,1,0)</f>
        <v/>
      </c>
      <c r="K1999" s="4562">
        <f>IF(D1999="","",D1999*J1999)</f>
        <v/>
      </c>
      <c r="L1999" s="4562">
        <f>XLOOKUP(B1999,'_Sys|Line_Map'!$A:$A,'_Sys|Line_Map'!$B:$B,"MISSING",0)</f>
        <v/>
      </c>
    </row>
    <row r="2000">
      <c r="A2000" s="4561" t="n"/>
      <c r="B2000" s="4561" t="n"/>
      <c r="C2000" s="4561" t="n"/>
      <c r="D2000" s="4561" t="n"/>
      <c r="E2000" s="4561" t="n"/>
      <c r="F2000" s="4561" t="n"/>
      <c r="G2000" s="4561" t="n"/>
      <c r="H2000" s="4561" t="n"/>
      <c r="I2000" s="4562">
        <f>XLOOKUP(B2000,'_Sys|Line_Map'!$A:$A,'_Sys|Line_Map'!$C:$C,"MISSING",0)</f>
        <v/>
      </c>
      <c r="J2000" s="4562">
        <f>XLOOKUP(B2000,'_Sys|Line_Map'!$A:$A,'_Sys|Line_Map'!$D:$D,1,0)</f>
        <v/>
      </c>
      <c r="K2000" s="4562">
        <f>IF(D2000="","",D2000*J2000)</f>
        <v/>
      </c>
      <c r="L2000" s="4562">
        <f>XLOOKUP(B2000,'_Sys|Line_Map'!$A:$A,'_Sys|Line_Map'!$B:$B,"MISSING",0)</f>
        <v/>
      </c>
    </row>
    <row r="2001">
      <c r="A2001" s="4561" t="n"/>
      <c r="B2001" s="4561" t="n"/>
      <c r="C2001" s="4561" t="n"/>
      <c r="D2001" s="4561" t="n"/>
      <c r="E2001" s="4561" t="n"/>
      <c r="F2001" s="4561" t="n"/>
      <c r="G2001" s="4561" t="n"/>
      <c r="H2001" s="4561" t="n"/>
      <c r="I2001" s="4562">
        <f>XLOOKUP(B2001,'_Sys|Line_Map'!$A:$A,'_Sys|Line_Map'!$C:$C,"MISSING",0)</f>
        <v/>
      </c>
      <c r="J2001" s="4562">
        <f>XLOOKUP(B2001,'_Sys|Line_Map'!$A:$A,'_Sys|Line_Map'!$D:$D,1,0)</f>
        <v/>
      </c>
      <c r="K2001" s="4562">
        <f>IF(D2001="","",D2001*J2001)</f>
        <v/>
      </c>
      <c r="L2001" s="4562">
        <f>XLOOKUP(B2001,'_Sys|Line_Map'!$A:$A,'_Sys|Line_Map'!$B:$B,"MISSING",0)</f>
        <v/>
      </c>
    </row>
    <row r="2002">
      <c r="A2002" s="4561" t="n"/>
      <c r="B2002" s="4561" t="n"/>
      <c r="C2002" s="4561" t="n"/>
      <c r="D2002" s="4561" t="n"/>
      <c r="E2002" s="4561" t="n"/>
      <c r="F2002" s="4561" t="n"/>
      <c r="G2002" s="4561" t="n"/>
      <c r="H2002" s="4561" t="n"/>
      <c r="I2002" s="4562">
        <f>XLOOKUP(B2002,'_Sys|Line_Map'!$A:$A,'_Sys|Line_Map'!$C:$C,"MISSING",0)</f>
        <v/>
      </c>
      <c r="J2002" s="4562">
        <f>XLOOKUP(B2002,'_Sys|Line_Map'!$A:$A,'_Sys|Line_Map'!$D:$D,1,0)</f>
        <v/>
      </c>
      <c r="K2002" s="4562">
        <f>IF(D2002="","",D2002*J2002)</f>
        <v/>
      </c>
      <c r="L2002" s="4562">
        <f>XLOOKUP(B2002,'_Sys|Line_Map'!$A:$A,'_Sys|Line_Map'!$B:$B,"MISSING",0)</f>
        <v/>
      </c>
    </row>
    <row r="2003">
      <c r="A2003" s="4561" t="n"/>
      <c r="B2003" s="4561" t="n"/>
      <c r="C2003" s="4561" t="n"/>
      <c r="D2003" s="4561" t="n"/>
      <c r="E2003" s="4561" t="n"/>
      <c r="F2003" s="4561" t="n"/>
      <c r="G2003" s="4561" t="n"/>
      <c r="H2003" s="4561" t="n"/>
      <c r="I2003" s="4562">
        <f>XLOOKUP(B2003,'_Sys|Line_Map'!$A:$A,'_Sys|Line_Map'!$C:$C,"MISSING",0)</f>
        <v/>
      </c>
      <c r="J2003" s="4562">
        <f>XLOOKUP(B2003,'_Sys|Line_Map'!$A:$A,'_Sys|Line_Map'!$D:$D,1,0)</f>
        <v/>
      </c>
      <c r="K2003" s="4562">
        <f>IF(D2003="","",D2003*J2003)</f>
        <v/>
      </c>
      <c r="L2003" s="4562">
        <f>XLOOKUP(B2003,'_Sys|Line_Map'!$A:$A,'_Sys|Line_Map'!$B:$B,"MISSING",0)</f>
        <v/>
      </c>
    </row>
    <row r="2004">
      <c r="A2004" s="4561" t="n"/>
      <c r="B2004" s="4561" t="n"/>
      <c r="C2004" s="4561" t="n"/>
      <c r="D2004" s="4561" t="n"/>
      <c r="E2004" s="4561" t="n"/>
      <c r="F2004" s="4561" t="n"/>
      <c r="G2004" s="4561" t="n"/>
      <c r="H2004" s="4561" t="n"/>
      <c r="I2004" s="4562">
        <f>XLOOKUP(B2004,'_Sys|Line_Map'!$A:$A,'_Sys|Line_Map'!$C:$C,"MISSING",0)</f>
        <v/>
      </c>
      <c r="J2004" s="4562">
        <f>XLOOKUP(B2004,'_Sys|Line_Map'!$A:$A,'_Sys|Line_Map'!$D:$D,1,0)</f>
        <v/>
      </c>
      <c r="K2004" s="4562">
        <f>IF(D2004="","",D2004*J2004)</f>
        <v/>
      </c>
      <c r="L2004" s="4562">
        <f>XLOOKUP(B2004,'_Sys|Line_Map'!$A:$A,'_Sys|Line_Map'!$B:$B,"MISSING",0)</f>
        <v/>
      </c>
    </row>
    <row r="2005">
      <c r="A2005" s="4561" t="n"/>
      <c r="B2005" s="4561" t="n"/>
      <c r="C2005" s="4561" t="n"/>
      <c r="D2005" s="4561" t="n"/>
      <c r="E2005" s="4561" t="n"/>
      <c r="F2005" s="4561" t="n"/>
      <c r="G2005" s="4561" t="n"/>
      <c r="H2005" s="4561" t="n"/>
      <c r="I2005" s="4562">
        <f>XLOOKUP(B2005,'_Sys|Line_Map'!$A:$A,'_Sys|Line_Map'!$C:$C,"MISSING",0)</f>
        <v/>
      </c>
      <c r="J2005" s="4562">
        <f>XLOOKUP(B2005,'_Sys|Line_Map'!$A:$A,'_Sys|Line_Map'!$D:$D,1,0)</f>
        <v/>
      </c>
      <c r="K2005" s="4562">
        <f>IF(D2005="","",D2005*J2005)</f>
        <v/>
      </c>
      <c r="L2005" s="4562">
        <f>XLOOKUP(B2005,'_Sys|Line_Map'!$A:$A,'_Sys|Line_Map'!$B:$B,"MISSING",0)</f>
        <v/>
      </c>
    </row>
    <row r="2006">
      <c r="A2006" s="4561" t="n"/>
      <c r="B2006" s="4561" t="n"/>
      <c r="C2006" s="4561" t="n"/>
      <c r="D2006" s="4561" t="n"/>
      <c r="E2006" s="4561" t="n"/>
      <c r="F2006" s="4561" t="n"/>
      <c r="G2006" s="4561" t="n"/>
      <c r="H2006" s="4561" t="n"/>
      <c r="I2006" s="4562">
        <f>XLOOKUP(B2006,'_Sys|Line_Map'!$A:$A,'_Sys|Line_Map'!$C:$C,"MISSING",0)</f>
        <v/>
      </c>
      <c r="J2006" s="4562">
        <f>XLOOKUP(B2006,'_Sys|Line_Map'!$A:$A,'_Sys|Line_Map'!$D:$D,1,0)</f>
        <v/>
      </c>
      <c r="K2006" s="4562">
        <f>IF(D2006="","",D2006*J2006)</f>
        <v/>
      </c>
      <c r="L2006" s="4562">
        <f>XLOOKUP(B2006,'_Sys|Line_Map'!$A:$A,'_Sys|Line_Map'!$B:$B,"MISSING",0)</f>
        <v/>
      </c>
    </row>
    <row r="2007">
      <c r="A2007" s="4561" t="n"/>
      <c r="B2007" s="4561" t="n"/>
      <c r="C2007" s="4561" t="n"/>
      <c r="D2007" s="4561" t="n"/>
      <c r="E2007" s="4561" t="n"/>
      <c r="F2007" s="4561" t="n"/>
      <c r="G2007" s="4561" t="n"/>
      <c r="H2007" s="4561" t="n"/>
      <c r="I2007" s="4562">
        <f>XLOOKUP(B2007,'_Sys|Line_Map'!$A:$A,'_Sys|Line_Map'!$C:$C,"MISSING",0)</f>
        <v/>
      </c>
      <c r="J2007" s="4562">
        <f>XLOOKUP(B2007,'_Sys|Line_Map'!$A:$A,'_Sys|Line_Map'!$D:$D,1,0)</f>
        <v/>
      </c>
      <c r="K2007" s="4562">
        <f>IF(D2007="","",D2007*J2007)</f>
        <v/>
      </c>
      <c r="L2007" s="4562">
        <f>XLOOKUP(B2007,'_Sys|Line_Map'!$A:$A,'_Sys|Line_Map'!$B:$B,"MISSING",0)</f>
        <v/>
      </c>
    </row>
    <row r="2008">
      <c r="A2008" s="4561" t="n"/>
      <c r="B2008" s="4561" t="n"/>
      <c r="C2008" s="4561" t="n"/>
      <c r="D2008" s="4561" t="n"/>
      <c r="E2008" s="4561" t="n"/>
      <c r="F2008" s="4561" t="n"/>
      <c r="G2008" s="4561" t="n"/>
      <c r="H2008" s="4561" t="n"/>
      <c r="I2008" s="4562">
        <f>XLOOKUP(B2008,'_Sys|Line_Map'!$A:$A,'_Sys|Line_Map'!$C:$C,"MISSING",0)</f>
        <v/>
      </c>
      <c r="J2008" s="4562">
        <f>XLOOKUP(B2008,'_Sys|Line_Map'!$A:$A,'_Sys|Line_Map'!$D:$D,1,0)</f>
        <v/>
      </c>
      <c r="K2008" s="4562">
        <f>IF(D2008="","",D2008*J2008)</f>
        <v/>
      </c>
      <c r="L2008" s="4562">
        <f>XLOOKUP(B2008,'_Sys|Line_Map'!$A:$A,'_Sys|Line_Map'!$B:$B,"MISSING",0)</f>
        <v/>
      </c>
    </row>
    <row r="2009">
      <c r="A2009" s="4561" t="n"/>
      <c r="B2009" s="4561" t="n"/>
      <c r="C2009" s="4561" t="n"/>
      <c r="D2009" s="4561" t="n"/>
      <c r="E2009" s="4561" t="n"/>
      <c r="F2009" s="4561" t="n"/>
      <c r="G2009" s="4561" t="n"/>
      <c r="H2009" s="4561" t="n"/>
      <c r="I2009" s="4562">
        <f>XLOOKUP(B2009,'_Sys|Line_Map'!$A:$A,'_Sys|Line_Map'!$C:$C,"MISSING",0)</f>
        <v/>
      </c>
      <c r="J2009" s="4562">
        <f>XLOOKUP(B2009,'_Sys|Line_Map'!$A:$A,'_Sys|Line_Map'!$D:$D,1,0)</f>
        <v/>
      </c>
      <c r="K2009" s="4562">
        <f>IF(D2009="","",D2009*J2009)</f>
        <v/>
      </c>
      <c r="L2009" s="4562">
        <f>XLOOKUP(B2009,'_Sys|Line_Map'!$A:$A,'_Sys|Line_Map'!$B:$B,"MISSING",0)</f>
        <v/>
      </c>
    </row>
    <row r="2010">
      <c r="A2010" s="4561" t="n"/>
      <c r="B2010" s="4561" t="n"/>
      <c r="C2010" s="4561" t="n"/>
      <c r="D2010" s="4561" t="n"/>
      <c r="E2010" s="4561" t="n"/>
      <c r="F2010" s="4561" t="n"/>
      <c r="G2010" s="4561" t="n"/>
      <c r="H2010" s="4561" t="n"/>
      <c r="I2010" s="4562">
        <f>XLOOKUP(B2010,'_Sys|Line_Map'!$A:$A,'_Sys|Line_Map'!$C:$C,"MISSING",0)</f>
        <v/>
      </c>
      <c r="J2010" s="4562">
        <f>XLOOKUP(B2010,'_Sys|Line_Map'!$A:$A,'_Sys|Line_Map'!$D:$D,1,0)</f>
        <v/>
      </c>
      <c r="K2010" s="4562">
        <f>IF(D2010="","",D2010*J2010)</f>
        <v/>
      </c>
      <c r="L2010" s="4562">
        <f>XLOOKUP(B2010,'_Sys|Line_Map'!$A:$A,'_Sys|Line_Map'!$B:$B,"MISSING",0)</f>
        <v/>
      </c>
    </row>
    <row r="2011">
      <c r="A2011" s="4561" t="n"/>
      <c r="B2011" s="4561" t="n"/>
      <c r="C2011" s="4561" t="n"/>
      <c r="D2011" s="4561" t="n"/>
      <c r="E2011" s="4561" t="n"/>
      <c r="F2011" s="4561" t="n"/>
      <c r="G2011" s="4561" t="n"/>
      <c r="H2011" s="4561" t="n"/>
      <c r="I2011" s="4562">
        <f>XLOOKUP(B2011,'_Sys|Line_Map'!$A:$A,'_Sys|Line_Map'!$C:$C,"MISSING",0)</f>
        <v/>
      </c>
      <c r="J2011" s="4562">
        <f>XLOOKUP(B2011,'_Sys|Line_Map'!$A:$A,'_Sys|Line_Map'!$D:$D,1,0)</f>
        <v/>
      </c>
      <c r="K2011" s="4562">
        <f>IF(D2011="","",D2011*J2011)</f>
        <v/>
      </c>
      <c r="L2011" s="4562">
        <f>XLOOKUP(B2011,'_Sys|Line_Map'!$A:$A,'_Sys|Line_Map'!$B:$B,"MISSING",0)</f>
        <v/>
      </c>
    </row>
    <row r="2012">
      <c r="A2012" s="4561" t="n"/>
      <c r="B2012" s="4561" t="n"/>
      <c r="C2012" s="4561" t="n"/>
      <c r="D2012" s="4561" t="n"/>
      <c r="E2012" s="4561" t="n"/>
      <c r="F2012" s="4561" t="n"/>
      <c r="G2012" s="4561" t="n"/>
      <c r="H2012" s="4561" t="n"/>
      <c r="I2012" s="4562">
        <f>XLOOKUP(B2012,'_Sys|Line_Map'!$A:$A,'_Sys|Line_Map'!$C:$C,"MISSING",0)</f>
        <v/>
      </c>
      <c r="J2012" s="4562">
        <f>XLOOKUP(B2012,'_Sys|Line_Map'!$A:$A,'_Sys|Line_Map'!$D:$D,1,0)</f>
        <v/>
      </c>
      <c r="K2012" s="4562">
        <f>IF(D2012="","",D2012*J2012)</f>
        <v/>
      </c>
      <c r="L2012" s="4562">
        <f>XLOOKUP(B2012,'_Sys|Line_Map'!$A:$A,'_Sys|Line_Map'!$B:$B,"MISSING",0)</f>
        <v/>
      </c>
    </row>
    <row r="2013">
      <c r="A2013" s="4561" t="n"/>
      <c r="B2013" s="4561" t="n"/>
      <c r="C2013" s="4561" t="n"/>
      <c r="D2013" s="4561" t="n"/>
      <c r="E2013" s="4561" t="n"/>
      <c r="F2013" s="4561" t="n"/>
      <c r="G2013" s="4561" t="n"/>
      <c r="H2013" s="4561" t="n"/>
      <c r="I2013" s="4562">
        <f>XLOOKUP(B2013,'_Sys|Line_Map'!$A:$A,'_Sys|Line_Map'!$C:$C,"MISSING",0)</f>
        <v/>
      </c>
      <c r="J2013" s="4562">
        <f>XLOOKUP(B2013,'_Sys|Line_Map'!$A:$A,'_Sys|Line_Map'!$D:$D,1,0)</f>
        <v/>
      </c>
      <c r="K2013" s="4562">
        <f>IF(D2013="","",D2013*J2013)</f>
        <v/>
      </c>
      <c r="L2013" s="4562">
        <f>XLOOKUP(B2013,'_Sys|Line_Map'!$A:$A,'_Sys|Line_Map'!$B:$B,"MISSING",0)</f>
        <v/>
      </c>
    </row>
    <row r="2014">
      <c r="A2014" s="4561" t="n"/>
      <c r="B2014" s="4561" t="n"/>
      <c r="C2014" s="4561" t="n"/>
      <c r="D2014" s="4561" t="n"/>
      <c r="E2014" s="4561" t="n"/>
      <c r="F2014" s="4561" t="n"/>
      <c r="G2014" s="4561" t="n"/>
      <c r="H2014" s="4561" t="n"/>
      <c r="I2014" s="4562">
        <f>XLOOKUP(B2014,'_Sys|Line_Map'!$A:$A,'_Sys|Line_Map'!$C:$C,"MISSING",0)</f>
        <v/>
      </c>
      <c r="J2014" s="4562">
        <f>XLOOKUP(B2014,'_Sys|Line_Map'!$A:$A,'_Sys|Line_Map'!$D:$D,1,0)</f>
        <v/>
      </c>
      <c r="K2014" s="4562">
        <f>IF(D2014="","",D2014*J2014)</f>
        <v/>
      </c>
      <c r="L2014" s="4562">
        <f>XLOOKUP(B2014,'_Sys|Line_Map'!$A:$A,'_Sys|Line_Map'!$B:$B,"MISSING",0)</f>
        <v/>
      </c>
    </row>
    <row r="2015">
      <c r="A2015" s="4561" t="n"/>
      <c r="B2015" s="4561" t="n"/>
      <c r="C2015" s="4561" t="n"/>
      <c r="D2015" s="4561" t="n"/>
      <c r="E2015" s="4561" t="n"/>
      <c r="F2015" s="4561" t="n"/>
      <c r="G2015" s="4561" t="n"/>
      <c r="H2015" s="4561" t="n"/>
      <c r="I2015" s="4562">
        <f>XLOOKUP(B2015,'_Sys|Line_Map'!$A:$A,'_Sys|Line_Map'!$C:$C,"MISSING",0)</f>
        <v/>
      </c>
      <c r="J2015" s="4562">
        <f>XLOOKUP(B2015,'_Sys|Line_Map'!$A:$A,'_Sys|Line_Map'!$D:$D,1,0)</f>
        <v/>
      </c>
      <c r="K2015" s="4562">
        <f>IF(D2015="","",D2015*J2015)</f>
        <v/>
      </c>
      <c r="L2015" s="4562">
        <f>XLOOKUP(B2015,'_Sys|Line_Map'!$A:$A,'_Sys|Line_Map'!$B:$B,"MISSING",0)</f>
        <v/>
      </c>
    </row>
    <row r="2016">
      <c r="A2016" s="4561" t="n"/>
      <c r="B2016" s="4561" t="n"/>
      <c r="C2016" s="4561" t="n"/>
      <c r="D2016" s="4561" t="n"/>
      <c r="E2016" s="4561" t="n"/>
      <c r="F2016" s="4561" t="n"/>
      <c r="G2016" s="4561" t="n"/>
      <c r="H2016" s="4561" t="n"/>
      <c r="I2016" s="4562">
        <f>XLOOKUP(B2016,'_Sys|Line_Map'!$A:$A,'_Sys|Line_Map'!$C:$C,"MISSING",0)</f>
        <v/>
      </c>
      <c r="J2016" s="4562">
        <f>XLOOKUP(B2016,'_Sys|Line_Map'!$A:$A,'_Sys|Line_Map'!$D:$D,1,0)</f>
        <v/>
      </c>
      <c r="K2016" s="4562">
        <f>IF(D2016="","",D2016*J2016)</f>
        <v/>
      </c>
      <c r="L2016" s="4562">
        <f>XLOOKUP(B2016,'_Sys|Line_Map'!$A:$A,'_Sys|Line_Map'!$B:$B,"MISSING",0)</f>
        <v/>
      </c>
    </row>
    <row r="2017">
      <c r="A2017" s="4561" t="n"/>
      <c r="B2017" s="4561" t="n"/>
      <c r="C2017" s="4561" t="n"/>
      <c r="D2017" s="4561" t="n"/>
      <c r="E2017" s="4561" t="n"/>
      <c r="F2017" s="4561" t="n"/>
      <c r="G2017" s="4561" t="n"/>
      <c r="H2017" s="4561" t="n"/>
      <c r="I2017" s="4562">
        <f>XLOOKUP(B2017,'_Sys|Line_Map'!$A:$A,'_Sys|Line_Map'!$C:$C,"MISSING",0)</f>
        <v/>
      </c>
      <c r="J2017" s="4562">
        <f>XLOOKUP(B2017,'_Sys|Line_Map'!$A:$A,'_Sys|Line_Map'!$D:$D,1,0)</f>
        <v/>
      </c>
      <c r="K2017" s="4562">
        <f>IF(D2017="","",D2017*J2017)</f>
        <v/>
      </c>
      <c r="L2017" s="4562">
        <f>XLOOKUP(B2017,'_Sys|Line_Map'!$A:$A,'_Sys|Line_Map'!$B:$B,"MISSING",0)</f>
        <v/>
      </c>
    </row>
    <row r="2018">
      <c r="A2018" s="4561" t="n"/>
      <c r="B2018" s="4561" t="n"/>
      <c r="C2018" s="4561" t="n"/>
      <c r="D2018" s="4561" t="n"/>
      <c r="E2018" s="4561" t="n"/>
      <c r="F2018" s="4561" t="n"/>
      <c r="G2018" s="4561" t="n"/>
      <c r="H2018" s="4561" t="n"/>
      <c r="I2018" s="4562">
        <f>XLOOKUP(B2018,'_Sys|Line_Map'!$A:$A,'_Sys|Line_Map'!$C:$C,"MISSING",0)</f>
        <v/>
      </c>
      <c r="J2018" s="4562">
        <f>XLOOKUP(B2018,'_Sys|Line_Map'!$A:$A,'_Sys|Line_Map'!$D:$D,1,0)</f>
        <v/>
      </c>
      <c r="K2018" s="4562">
        <f>IF(D2018="","",D2018*J2018)</f>
        <v/>
      </c>
      <c r="L2018" s="4562">
        <f>XLOOKUP(B2018,'_Sys|Line_Map'!$A:$A,'_Sys|Line_Map'!$B:$B,"MISSING",0)</f>
        <v/>
      </c>
    </row>
    <row r="2019">
      <c r="A2019" s="4561" t="n"/>
      <c r="B2019" s="4561" t="n"/>
      <c r="C2019" s="4561" t="n"/>
      <c r="D2019" s="4561" t="n"/>
      <c r="E2019" s="4561" t="n"/>
      <c r="F2019" s="4561" t="n"/>
      <c r="G2019" s="4561" t="n"/>
      <c r="H2019" s="4561" t="n"/>
      <c r="I2019" s="4562">
        <f>XLOOKUP(B2019,'_Sys|Line_Map'!$A:$A,'_Sys|Line_Map'!$C:$C,"MISSING",0)</f>
        <v/>
      </c>
      <c r="J2019" s="4562">
        <f>XLOOKUP(B2019,'_Sys|Line_Map'!$A:$A,'_Sys|Line_Map'!$D:$D,1,0)</f>
        <v/>
      </c>
      <c r="K2019" s="4562">
        <f>IF(D2019="","",D2019*J2019)</f>
        <v/>
      </c>
      <c r="L2019" s="4562">
        <f>XLOOKUP(B2019,'_Sys|Line_Map'!$A:$A,'_Sys|Line_Map'!$B:$B,"MISSING",0)</f>
        <v/>
      </c>
    </row>
    <row r="2020">
      <c r="A2020" s="4561" t="n"/>
      <c r="B2020" s="4561" t="n"/>
      <c r="C2020" s="4561" t="n"/>
      <c r="D2020" s="4561" t="n"/>
      <c r="E2020" s="4561" t="n"/>
      <c r="F2020" s="4561" t="n"/>
      <c r="G2020" s="4561" t="n"/>
      <c r="H2020" s="4561" t="n"/>
      <c r="I2020" s="4562">
        <f>XLOOKUP(B2020,'_Sys|Line_Map'!$A:$A,'_Sys|Line_Map'!$C:$C,"MISSING",0)</f>
        <v/>
      </c>
      <c r="J2020" s="4562">
        <f>XLOOKUP(B2020,'_Sys|Line_Map'!$A:$A,'_Sys|Line_Map'!$D:$D,1,0)</f>
        <v/>
      </c>
      <c r="K2020" s="4562">
        <f>IF(D2020="","",D2020*J2020)</f>
        <v/>
      </c>
      <c r="L2020" s="4562">
        <f>XLOOKUP(B2020,'_Sys|Line_Map'!$A:$A,'_Sys|Line_Map'!$B:$B,"MISSING",0)</f>
        <v/>
      </c>
    </row>
    <row r="2021">
      <c r="A2021" s="4561" t="n"/>
      <c r="B2021" s="4561" t="n"/>
      <c r="C2021" s="4561" t="n"/>
      <c r="D2021" s="4561" t="n"/>
      <c r="E2021" s="4561" t="n"/>
      <c r="F2021" s="4561" t="n"/>
      <c r="G2021" s="4561" t="n"/>
      <c r="H2021" s="4561" t="n"/>
      <c r="I2021" s="4562">
        <f>XLOOKUP(B2021,'_Sys|Line_Map'!$A:$A,'_Sys|Line_Map'!$C:$C,"MISSING",0)</f>
        <v/>
      </c>
      <c r="J2021" s="4562">
        <f>XLOOKUP(B2021,'_Sys|Line_Map'!$A:$A,'_Sys|Line_Map'!$D:$D,1,0)</f>
        <v/>
      </c>
      <c r="K2021" s="4562">
        <f>IF(D2021="","",D2021*J2021)</f>
        <v/>
      </c>
      <c r="L2021" s="4562">
        <f>XLOOKUP(B2021,'_Sys|Line_Map'!$A:$A,'_Sys|Line_Map'!$B:$B,"MISSING",0)</f>
        <v/>
      </c>
    </row>
    <row r="2022">
      <c r="A2022" s="4561" t="n"/>
      <c r="B2022" s="4561" t="n"/>
      <c r="C2022" s="4561" t="n"/>
      <c r="D2022" s="4561" t="n"/>
      <c r="E2022" s="4561" t="n"/>
      <c r="F2022" s="4561" t="n"/>
      <c r="G2022" s="4561" t="n"/>
      <c r="H2022" s="4561" t="n"/>
      <c r="I2022" s="4562">
        <f>XLOOKUP(B2022,'_Sys|Line_Map'!$A:$A,'_Sys|Line_Map'!$C:$C,"MISSING",0)</f>
        <v/>
      </c>
      <c r="J2022" s="4562">
        <f>XLOOKUP(B2022,'_Sys|Line_Map'!$A:$A,'_Sys|Line_Map'!$D:$D,1,0)</f>
        <v/>
      </c>
      <c r="K2022" s="4562">
        <f>IF(D2022="","",D2022*J2022)</f>
        <v/>
      </c>
      <c r="L2022" s="4562">
        <f>XLOOKUP(B2022,'_Sys|Line_Map'!$A:$A,'_Sys|Line_Map'!$B:$B,"MISSING",0)</f>
        <v/>
      </c>
    </row>
    <row r="2023">
      <c r="A2023" s="4561" t="n"/>
      <c r="B2023" s="4561" t="n"/>
      <c r="C2023" s="4561" t="n"/>
      <c r="D2023" s="4561" t="n"/>
      <c r="E2023" s="4561" t="n"/>
      <c r="F2023" s="4561" t="n"/>
      <c r="G2023" s="4561" t="n"/>
      <c r="H2023" s="4561" t="n"/>
      <c r="I2023" s="4562">
        <f>XLOOKUP(B2023,'_Sys|Line_Map'!$A:$A,'_Sys|Line_Map'!$C:$C,"MISSING",0)</f>
        <v/>
      </c>
      <c r="J2023" s="4562">
        <f>XLOOKUP(B2023,'_Sys|Line_Map'!$A:$A,'_Sys|Line_Map'!$D:$D,1,0)</f>
        <v/>
      </c>
      <c r="K2023" s="4562">
        <f>IF(D2023="","",D2023*J2023)</f>
        <v/>
      </c>
      <c r="L2023" s="4562">
        <f>XLOOKUP(B2023,'_Sys|Line_Map'!$A:$A,'_Sys|Line_Map'!$B:$B,"MISSING",0)</f>
        <v/>
      </c>
    </row>
    <row r="2024">
      <c r="A2024" s="4561" t="n"/>
      <c r="B2024" s="4561" t="n"/>
      <c r="C2024" s="4561" t="n"/>
      <c r="D2024" s="4561" t="n"/>
      <c r="E2024" s="4561" t="n"/>
      <c r="F2024" s="4561" t="n"/>
      <c r="G2024" s="4561" t="n"/>
      <c r="H2024" s="4561" t="n"/>
      <c r="I2024" s="4562">
        <f>XLOOKUP(B2024,'_Sys|Line_Map'!$A:$A,'_Sys|Line_Map'!$C:$C,"MISSING",0)</f>
        <v/>
      </c>
      <c r="J2024" s="4562">
        <f>XLOOKUP(B2024,'_Sys|Line_Map'!$A:$A,'_Sys|Line_Map'!$D:$D,1,0)</f>
        <v/>
      </c>
      <c r="K2024" s="4562">
        <f>IF(D2024="","",D2024*J2024)</f>
        <v/>
      </c>
      <c r="L2024" s="4562">
        <f>XLOOKUP(B2024,'_Sys|Line_Map'!$A:$A,'_Sys|Line_Map'!$B:$B,"MISSING",0)</f>
        <v/>
      </c>
    </row>
    <row r="2025">
      <c r="A2025" s="4561" t="n"/>
      <c r="B2025" s="4561" t="n"/>
      <c r="C2025" s="4561" t="n"/>
      <c r="D2025" s="4561" t="n"/>
      <c r="E2025" s="4561" t="n"/>
      <c r="F2025" s="4561" t="n"/>
      <c r="G2025" s="4561" t="n"/>
      <c r="H2025" s="4561" t="n"/>
      <c r="I2025" s="4562">
        <f>XLOOKUP(B2025,'_Sys|Line_Map'!$A:$A,'_Sys|Line_Map'!$C:$C,"MISSING",0)</f>
        <v/>
      </c>
      <c r="J2025" s="4562">
        <f>XLOOKUP(B2025,'_Sys|Line_Map'!$A:$A,'_Sys|Line_Map'!$D:$D,1,0)</f>
        <v/>
      </c>
      <c r="K2025" s="4562">
        <f>IF(D2025="","",D2025*J2025)</f>
        <v/>
      </c>
      <c r="L2025" s="4562">
        <f>XLOOKUP(B2025,'_Sys|Line_Map'!$A:$A,'_Sys|Line_Map'!$B:$B,"MISSING",0)</f>
        <v/>
      </c>
    </row>
    <row r="2026">
      <c r="A2026" s="4561" t="n"/>
      <c r="B2026" s="4561" t="n"/>
      <c r="C2026" s="4561" t="n"/>
      <c r="D2026" s="4561" t="n"/>
      <c r="E2026" s="4561" t="n"/>
      <c r="F2026" s="4561" t="n"/>
      <c r="G2026" s="4561" t="n"/>
      <c r="H2026" s="4561" t="n"/>
      <c r="I2026" s="4562">
        <f>XLOOKUP(B2026,'_Sys|Line_Map'!$A:$A,'_Sys|Line_Map'!$C:$C,"MISSING",0)</f>
        <v/>
      </c>
      <c r="J2026" s="4562">
        <f>XLOOKUP(B2026,'_Sys|Line_Map'!$A:$A,'_Sys|Line_Map'!$D:$D,1,0)</f>
        <v/>
      </c>
      <c r="K2026" s="4562">
        <f>IF(D2026="","",D2026*J2026)</f>
        <v/>
      </c>
      <c r="L2026" s="4562">
        <f>XLOOKUP(B2026,'_Sys|Line_Map'!$A:$A,'_Sys|Line_Map'!$B:$B,"MISSING",0)</f>
        <v/>
      </c>
    </row>
    <row r="2027">
      <c r="A2027" s="4561" t="n"/>
      <c r="B2027" s="4561" t="n"/>
      <c r="C2027" s="4561" t="n"/>
      <c r="D2027" s="4561" t="n"/>
      <c r="E2027" s="4561" t="n"/>
      <c r="F2027" s="4561" t="n"/>
      <c r="G2027" s="4561" t="n"/>
      <c r="H2027" s="4561" t="n"/>
      <c r="I2027" s="4562">
        <f>XLOOKUP(B2027,'_Sys|Line_Map'!$A:$A,'_Sys|Line_Map'!$C:$C,"MISSING",0)</f>
        <v/>
      </c>
      <c r="J2027" s="4562">
        <f>XLOOKUP(B2027,'_Sys|Line_Map'!$A:$A,'_Sys|Line_Map'!$D:$D,1,0)</f>
        <v/>
      </c>
      <c r="K2027" s="4562">
        <f>IF(D2027="","",D2027*J2027)</f>
        <v/>
      </c>
      <c r="L2027" s="4562">
        <f>XLOOKUP(B2027,'_Sys|Line_Map'!$A:$A,'_Sys|Line_Map'!$B:$B,"MISSING",0)</f>
        <v/>
      </c>
    </row>
    <row r="2028">
      <c r="A2028" s="4561" t="n"/>
      <c r="B2028" s="4561" t="n"/>
      <c r="C2028" s="4561" t="n"/>
      <c r="D2028" s="4561" t="n"/>
      <c r="E2028" s="4561" t="n"/>
      <c r="F2028" s="4561" t="n"/>
      <c r="G2028" s="4561" t="n"/>
      <c r="H2028" s="4561" t="n"/>
      <c r="I2028" s="4562">
        <f>XLOOKUP(B2028,'_Sys|Line_Map'!$A:$A,'_Sys|Line_Map'!$C:$C,"MISSING",0)</f>
        <v/>
      </c>
      <c r="J2028" s="4562">
        <f>XLOOKUP(B2028,'_Sys|Line_Map'!$A:$A,'_Sys|Line_Map'!$D:$D,1,0)</f>
        <v/>
      </c>
      <c r="K2028" s="4562">
        <f>IF(D2028="","",D2028*J2028)</f>
        <v/>
      </c>
      <c r="L2028" s="4562">
        <f>XLOOKUP(B2028,'_Sys|Line_Map'!$A:$A,'_Sys|Line_Map'!$B:$B,"MISSING",0)</f>
        <v/>
      </c>
    </row>
    <row r="2029">
      <c r="A2029" s="4561" t="n"/>
      <c r="B2029" s="4561" t="n"/>
      <c r="C2029" s="4561" t="n"/>
      <c r="D2029" s="4561" t="n"/>
      <c r="E2029" s="4561" t="n"/>
      <c r="F2029" s="4561" t="n"/>
      <c r="G2029" s="4561" t="n"/>
      <c r="H2029" s="4561" t="n"/>
      <c r="I2029" s="4562">
        <f>XLOOKUP(B2029,'_Sys|Line_Map'!$A:$A,'_Sys|Line_Map'!$C:$C,"MISSING",0)</f>
        <v/>
      </c>
      <c r="J2029" s="4562">
        <f>XLOOKUP(B2029,'_Sys|Line_Map'!$A:$A,'_Sys|Line_Map'!$D:$D,1,0)</f>
        <v/>
      </c>
      <c r="K2029" s="4562">
        <f>IF(D2029="","",D2029*J2029)</f>
        <v/>
      </c>
      <c r="L2029" s="4562">
        <f>XLOOKUP(B2029,'_Sys|Line_Map'!$A:$A,'_Sys|Line_Map'!$B:$B,"MISSING",0)</f>
        <v/>
      </c>
    </row>
    <row r="2030">
      <c r="A2030" s="4561" t="n"/>
      <c r="B2030" s="4561" t="n"/>
      <c r="C2030" s="4561" t="n"/>
      <c r="D2030" s="4561" t="n"/>
      <c r="E2030" s="4561" t="n"/>
      <c r="F2030" s="4561" t="n"/>
      <c r="G2030" s="4561" t="n"/>
      <c r="H2030" s="4561" t="n"/>
      <c r="I2030" s="4562">
        <f>XLOOKUP(B2030,'_Sys|Line_Map'!$A:$A,'_Sys|Line_Map'!$C:$C,"MISSING",0)</f>
        <v/>
      </c>
      <c r="J2030" s="4562">
        <f>XLOOKUP(B2030,'_Sys|Line_Map'!$A:$A,'_Sys|Line_Map'!$D:$D,1,0)</f>
        <v/>
      </c>
      <c r="K2030" s="4562">
        <f>IF(D2030="","",D2030*J2030)</f>
        <v/>
      </c>
      <c r="L2030" s="4562">
        <f>XLOOKUP(B2030,'_Sys|Line_Map'!$A:$A,'_Sys|Line_Map'!$B:$B,"MISSING",0)</f>
        <v/>
      </c>
    </row>
    <row r="2031">
      <c r="A2031" s="4561" t="n"/>
      <c r="B2031" s="4561" t="n"/>
      <c r="C2031" s="4561" t="n"/>
      <c r="D2031" s="4561" t="n"/>
      <c r="E2031" s="4561" t="n"/>
      <c r="F2031" s="4561" t="n"/>
      <c r="G2031" s="4561" t="n"/>
      <c r="H2031" s="4561" t="n"/>
      <c r="I2031" s="4562">
        <f>XLOOKUP(B2031,'_Sys|Line_Map'!$A:$A,'_Sys|Line_Map'!$C:$C,"MISSING",0)</f>
        <v/>
      </c>
      <c r="J2031" s="4562">
        <f>XLOOKUP(B2031,'_Sys|Line_Map'!$A:$A,'_Sys|Line_Map'!$D:$D,1,0)</f>
        <v/>
      </c>
      <c r="K2031" s="4562">
        <f>IF(D2031="","",D2031*J2031)</f>
        <v/>
      </c>
      <c r="L2031" s="4562">
        <f>XLOOKUP(B2031,'_Sys|Line_Map'!$A:$A,'_Sys|Line_Map'!$B:$B,"MISSING",0)</f>
        <v/>
      </c>
    </row>
    <row r="2032">
      <c r="A2032" s="4561" t="n"/>
      <c r="B2032" s="4561" t="n"/>
      <c r="C2032" s="4561" t="n"/>
      <c r="D2032" s="4561" t="n"/>
      <c r="E2032" s="4561" t="n"/>
      <c r="F2032" s="4561" t="n"/>
      <c r="G2032" s="4561" t="n"/>
      <c r="H2032" s="4561" t="n"/>
      <c r="I2032" s="4562">
        <f>XLOOKUP(B2032,'_Sys|Line_Map'!$A:$A,'_Sys|Line_Map'!$C:$C,"MISSING",0)</f>
        <v/>
      </c>
      <c r="J2032" s="4562">
        <f>XLOOKUP(B2032,'_Sys|Line_Map'!$A:$A,'_Sys|Line_Map'!$D:$D,1,0)</f>
        <v/>
      </c>
      <c r="K2032" s="4562">
        <f>IF(D2032="","",D2032*J2032)</f>
        <v/>
      </c>
      <c r="L2032" s="4562">
        <f>XLOOKUP(B2032,'_Sys|Line_Map'!$A:$A,'_Sys|Line_Map'!$B:$B,"MISSING",0)</f>
        <v/>
      </c>
    </row>
    <row r="2033">
      <c r="A2033" s="4561" t="n"/>
      <c r="B2033" s="4561" t="n"/>
      <c r="C2033" s="4561" t="n"/>
      <c r="D2033" s="4561" t="n"/>
      <c r="E2033" s="4561" t="n"/>
      <c r="F2033" s="4561" t="n"/>
      <c r="G2033" s="4561" t="n"/>
      <c r="H2033" s="4561" t="n"/>
      <c r="I2033" s="4562">
        <f>XLOOKUP(B2033,'_Sys|Line_Map'!$A:$A,'_Sys|Line_Map'!$C:$C,"MISSING",0)</f>
        <v/>
      </c>
      <c r="J2033" s="4562">
        <f>XLOOKUP(B2033,'_Sys|Line_Map'!$A:$A,'_Sys|Line_Map'!$D:$D,1,0)</f>
        <v/>
      </c>
      <c r="K2033" s="4562">
        <f>IF(D2033="","",D2033*J2033)</f>
        <v/>
      </c>
      <c r="L2033" s="4562">
        <f>XLOOKUP(B2033,'_Sys|Line_Map'!$A:$A,'_Sys|Line_Map'!$B:$B,"MISSING",0)</f>
        <v/>
      </c>
    </row>
    <row r="2034">
      <c r="A2034" s="4561" t="n"/>
      <c r="B2034" s="4561" t="n"/>
      <c r="C2034" s="4561" t="n"/>
      <c r="D2034" s="4561" t="n"/>
      <c r="E2034" s="4561" t="n"/>
      <c r="F2034" s="4561" t="n"/>
      <c r="G2034" s="4561" t="n"/>
      <c r="H2034" s="4561" t="n"/>
      <c r="I2034" s="4562">
        <f>XLOOKUP(B2034,'_Sys|Line_Map'!$A:$A,'_Sys|Line_Map'!$C:$C,"MISSING",0)</f>
        <v/>
      </c>
      <c r="J2034" s="4562">
        <f>XLOOKUP(B2034,'_Sys|Line_Map'!$A:$A,'_Sys|Line_Map'!$D:$D,1,0)</f>
        <v/>
      </c>
      <c r="K2034" s="4562">
        <f>IF(D2034="","",D2034*J2034)</f>
        <v/>
      </c>
      <c r="L2034" s="4562">
        <f>XLOOKUP(B2034,'_Sys|Line_Map'!$A:$A,'_Sys|Line_Map'!$B:$B,"MISSING",0)</f>
        <v/>
      </c>
    </row>
    <row r="2035">
      <c r="A2035" s="4561" t="n"/>
      <c r="B2035" s="4561" t="n"/>
      <c r="C2035" s="4561" t="n"/>
      <c r="D2035" s="4561" t="n"/>
      <c r="E2035" s="4561" t="n"/>
      <c r="F2035" s="4561" t="n"/>
      <c r="G2035" s="4561" t="n"/>
      <c r="H2035" s="4561" t="n"/>
      <c r="I2035" s="4562">
        <f>XLOOKUP(B2035,'_Sys|Line_Map'!$A:$A,'_Sys|Line_Map'!$C:$C,"MISSING",0)</f>
        <v/>
      </c>
      <c r="J2035" s="4562">
        <f>XLOOKUP(B2035,'_Sys|Line_Map'!$A:$A,'_Sys|Line_Map'!$D:$D,1,0)</f>
        <v/>
      </c>
      <c r="K2035" s="4562">
        <f>IF(D2035="","",D2035*J2035)</f>
        <v/>
      </c>
      <c r="L2035" s="4562">
        <f>XLOOKUP(B2035,'_Sys|Line_Map'!$A:$A,'_Sys|Line_Map'!$B:$B,"MISSING",0)</f>
        <v/>
      </c>
    </row>
    <row r="2036">
      <c r="A2036" s="4561" t="n"/>
      <c r="B2036" s="4561" t="n"/>
      <c r="C2036" s="4561" t="n"/>
      <c r="D2036" s="4561" t="n"/>
      <c r="E2036" s="4561" t="n"/>
      <c r="F2036" s="4561" t="n"/>
      <c r="G2036" s="4561" t="n"/>
      <c r="H2036" s="4561" t="n"/>
      <c r="I2036" s="4562">
        <f>XLOOKUP(B2036,'_Sys|Line_Map'!$A:$A,'_Sys|Line_Map'!$C:$C,"MISSING",0)</f>
        <v/>
      </c>
      <c r="J2036" s="4562">
        <f>XLOOKUP(B2036,'_Sys|Line_Map'!$A:$A,'_Sys|Line_Map'!$D:$D,1,0)</f>
        <v/>
      </c>
      <c r="K2036" s="4562">
        <f>IF(D2036="","",D2036*J2036)</f>
        <v/>
      </c>
      <c r="L2036" s="4562">
        <f>XLOOKUP(B2036,'_Sys|Line_Map'!$A:$A,'_Sys|Line_Map'!$B:$B,"MISSING",0)</f>
        <v/>
      </c>
    </row>
    <row r="2037">
      <c r="A2037" s="4561" t="n"/>
      <c r="B2037" s="4561" t="n"/>
      <c r="C2037" s="4561" t="n"/>
      <c r="D2037" s="4561" t="n"/>
      <c r="E2037" s="4561" t="n"/>
      <c r="F2037" s="4561" t="n"/>
      <c r="G2037" s="4561" t="n"/>
      <c r="H2037" s="4561" t="n"/>
      <c r="I2037" s="4562">
        <f>XLOOKUP(B2037,'_Sys|Line_Map'!$A:$A,'_Sys|Line_Map'!$C:$C,"MISSING",0)</f>
        <v/>
      </c>
      <c r="J2037" s="4562">
        <f>XLOOKUP(B2037,'_Sys|Line_Map'!$A:$A,'_Sys|Line_Map'!$D:$D,1,0)</f>
        <v/>
      </c>
      <c r="K2037" s="4562">
        <f>IF(D2037="","",D2037*J2037)</f>
        <v/>
      </c>
      <c r="L2037" s="4562">
        <f>XLOOKUP(B2037,'_Sys|Line_Map'!$A:$A,'_Sys|Line_Map'!$B:$B,"MISSING",0)</f>
        <v/>
      </c>
    </row>
    <row r="2038">
      <c r="A2038" s="4561" t="n"/>
      <c r="B2038" s="4561" t="n"/>
      <c r="C2038" s="4561" t="n"/>
      <c r="D2038" s="4561" t="n"/>
      <c r="E2038" s="4561" t="n"/>
      <c r="F2038" s="4561" t="n"/>
      <c r="G2038" s="4561" t="n"/>
      <c r="H2038" s="4561" t="n"/>
      <c r="I2038" s="4562">
        <f>XLOOKUP(B2038,'_Sys|Line_Map'!$A:$A,'_Sys|Line_Map'!$C:$C,"MISSING",0)</f>
        <v/>
      </c>
      <c r="J2038" s="4562">
        <f>XLOOKUP(B2038,'_Sys|Line_Map'!$A:$A,'_Sys|Line_Map'!$D:$D,1,0)</f>
        <v/>
      </c>
      <c r="K2038" s="4562">
        <f>IF(D2038="","",D2038*J2038)</f>
        <v/>
      </c>
      <c r="L2038" s="4562">
        <f>XLOOKUP(B2038,'_Sys|Line_Map'!$A:$A,'_Sys|Line_Map'!$B:$B,"MISSING",0)</f>
        <v/>
      </c>
    </row>
    <row r="2039">
      <c r="A2039" s="4561" t="n"/>
      <c r="B2039" s="4561" t="n"/>
      <c r="C2039" s="4561" t="n"/>
      <c r="D2039" s="4561" t="n"/>
      <c r="E2039" s="4561" t="n"/>
      <c r="F2039" s="4561" t="n"/>
      <c r="G2039" s="4561" t="n"/>
      <c r="H2039" s="4561" t="n"/>
      <c r="I2039" s="4562">
        <f>XLOOKUP(B2039,'_Sys|Line_Map'!$A:$A,'_Sys|Line_Map'!$C:$C,"MISSING",0)</f>
        <v/>
      </c>
      <c r="J2039" s="4562">
        <f>XLOOKUP(B2039,'_Sys|Line_Map'!$A:$A,'_Sys|Line_Map'!$D:$D,1,0)</f>
        <v/>
      </c>
      <c r="K2039" s="4562">
        <f>IF(D2039="","",D2039*J2039)</f>
        <v/>
      </c>
      <c r="L2039" s="4562">
        <f>XLOOKUP(B2039,'_Sys|Line_Map'!$A:$A,'_Sys|Line_Map'!$B:$B,"MISSING",0)</f>
        <v/>
      </c>
    </row>
    <row r="2040">
      <c r="A2040" s="4561" t="n"/>
      <c r="B2040" s="4561" t="n"/>
      <c r="C2040" s="4561" t="n"/>
      <c r="D2040" s="4561" t="n"/>
      <c r="E2040" s="4561" t="n"/>
      <c r="F2040" s="4561" t="n"/>
      <c r="G2040" s="4561" t="n"/>
      <c r="H2040" s="4561" t="n"/>
      <c r="I2040" s="4562">
        <f>XLOOKUP(B2040,'_Sys|Line_Map'!$A:$A,'_Sys|Line_Map'!$C:$C,"MISSING",0)</f>
        <v/>
      </c>
      <c r="J2040" s="4562">
        <f>XLOOKUP(B2040,'_Sys|Line_Map'!$A:$A,'_Sys|Line_Map'!$D:$D,1,0)</f>
        <v/>
      </c>
      <c r="K2040" s="4562">
        <f>IF(D2040="","",D2040*J2040)</f>
        <v/>
      </c>
      <c r="L2040" s="4562">
        <f>XLOOKUP(B2040,'_Sys|Line_Map'!$A:$A,'_Sys|Line_Map'!$B:$B,"MISSING",0)</f>
        <v/>
      </c>
    </row>
    <row r="2041">
      <c r="A2041" s="4561" t="n"/>
      <c r="B2041" s="4561" t="n"/>
      <c r="C2041" s="4561" t="n"/>
      <c r="D2041" s="4561" t="n"/>
      <c r="E2041" s="4561" t="n"/>
      <c r="F2041" s="4561" t="n"/>
      <c r="G2041" s="4561" t="n"/>
      <c r="H2041" s="4561" t="n"/>
      <c r="I2041" s="4562">
        <f>XLOOKUP(B2041,'_Sys|Line_Map'!$A:$A,'_Sys|Line_Map'!$C:$C,"MISSING",0)</f>
        <v/>
      </c>
      <c r="J2041" s="4562">
        <f>XLOOKUP(B2041,'_Sys|Line_Map'!$A:$A,'_Sys|Line_Map'!$D:$D,1,0)</f>
        <v/>
      </c>
      <c r="K2041" s="4562">
        <f>IF(D2041="","",D2041*J2041)</f>
        <v/>
      </c>
      <c r="L2041" s="4562">
        <f>XLOOKUP(B2041,'_Sys|Line_Map'!$A:$A,'_Sys|Line_Map'!$B:$B,"MISSING",0)</f>
        <v/>
      </c>
    </row>
    <row r="2042">
      <c r="A2042" s="4561" t="n"/>
      <c r="B2042" s="4561" t="n"/>
      <c r="C2042" s="4561" t="n"/>
      <c r="D2042" s="4561" t="n"/>
      <c r="E2042" s="4561" t="n"/>
      <c r="F2042" s="4561" t="n"/>
      <c r="G2042" s="4561" t="n"/>
      <c r="H2042" s="4561" t="n"/>
      <c r="I2042" s="4562">
        <f>XLOOKUP(B2042,'_Sys|Line_Map'!$A:$A,'_Sys|Line_Map'!$C:$C,"MISSING",0)</f>
        <v/>
      </c>
      <c r="J2042" s="4562">
        <f>XLOOKUP(B2042,'_Sys|Line_Map'!$A:$A,'_Sys|Line_Map'!$D:$D,1,0)</f>
        <v/>
      </c>
      <c r="K2042" s="4562">
        <f>IF(D2042="","",D2042*J2042)</f>
        <v/>
      </c>
      <c r="L2042" s="4562">
        <f>XLOOKUP(B2042,'_Sys|Line_Map'!$A:$A,'_Sys|Line_Map'!$B:$B,"MISSING",0)</f>
        <v/>
      </c>
    </row>
    <row r="2043">
      <c r="A2043" s="4561" t="n"/>
      <c r="B2043" s="4561" t="n"/>
      <c r="C2043" s="4561" t="n"/>
      <c r="D2043" s="4561" t="n"/>
      <c r="E2043" s="4561" t="n"/>
      <c r="F2043" s="4561" t="n"/>
      <c r="G2043" s="4561" t="n"/>
      <c r="H2043" s="4561" t="n"/>
      <c r="I2043" s="4562">
        <f>XLOOKUP(B2043,'_Sys|Line_Map'!$A:$A,'_Sys|Line_Map'!$C:$C,"MISSING",0)</f>
        <v/>
      </c>
      <c r="J2043" s="4562">
        <f>XLOOKUP(B2043,'_Sys|Line_Map'!$A:$A,'_Sys|Line_Map'!$D:$D,1,0)</f>
        <v/>
      </c>
      <c r="K2043" s="4562">
        <f>IF(D2043="","",D2043*J2043)</f>
        <v/>
      </c>
      <c r="L2043" s="4562">
        <f>XLOOKUP(B2043,'_Sys|Line_Map'!$A:$A,'_Sys|Line_Map'!$B:$B,"MISSING",0)</f>
        <v/>
      </c>
    </row>
    <row r="2044">
      <c r="A2044" s="4561" t="n"/>
      <c r="B2044" s="4561" t="n"/>
      <c r="C2044" s="4561" t="n"/>
      <c r="D2044" s="4561" t="n"/>
      <c r="E2044" s="4561" t="n"/>
      <c r="F2044" s="4561" t="n"/>
      <c r="G2044" s="4561" t="n"/>
      <c r="H2044" s="4561" t="n"/>
      <c r="I2044" s="4562">
        <f>XLOOKUP(B2044,'_Sys|Line_Map'!$A:$A,'_Sys|Line_Map'!$C:$C,"MISSING",0)</f>
        <v/>
      </c>
      <c r="J2044" s="4562">
        <f>XLOOKUP(B2044,'_Sys|Line_Map'!$A:$A,'_Sys|Line_Map'!$D:$D,1,0)</f>
        <v/>
      </c>
      <c r="K2044" s="4562">
        <f>IF(D2044="","",D2044*J2044)</f>
        <v/>
      </c>
      <c r="L2044" s="4562">
        <f>XLOOKUP(B2044,'_Sys|Line_Map'!$A:$A,'_Sys|Line_Map'!$B:$B,"MISSING",0)</f>
        <v/>
      </c>
    </row>
    <row r="2045">
      <c r="A2045" s="4561" t="n"/>
      <c r="B2045" s="4561" t="n"/>
      <c r="C2045" s="4561" t="n"/>
      <c r="D2045" s="4561" t="n"/>
      <c r="E2045" s="4561" t="n"/>
      <c r="F2045" s="4561" t="n"/>
      <c r="G2045" s="4561" t="n"/>
      <c r="H2045" s="4561" t="n"/>
      <c r="I2045" s="4562">
        <f>XLOOKUP(B2045,'_Sys|Line_Map'!$A:$A,'_Sys|Line_Map'!$C:$C,"MISSING",0)</f>
        <v/>
      </c>
      <c r="J2045" s="4562">
        <f>XLOOKUP(B2045,'_Sys|Line_Map'!$A:$A,'_Sys|Line_Map'!$D:$D,1,0)</f>
        <v/>
      </c>
      <c r="K2045" s="4562">
        <f>IF(D2045="","",D2045*J2045)</f>
        <v/>
      </c>
      <c r="L2045" s="4562">
        <f>XLOOKUP(B2045,'_Sys|Line_Map'!$A:$A,'_Sys|Line_Map'!$B:$B,"MISSING",0)</f>
        <v/>
      </c>
    </row>
    <row r="2046">
      <c r="A2046" s="4561" t="n"/>
      <c r="B2046" s="4561" t="n"/>
      <c r="C2046" s="4561" t="n"/>
      <c r="D2046" s="4561" t="n"/>
      <c r="E2046" s="4561" t="n"/>
      <c r="F2046" s="4561" t="n"/>
      <c r="G2046" s="4561" t="n"/>
      <c r="H2046" s="4561" t="n"/>
      <c r="I2046" s="4562">
        <f>XLOOKUP(B2046,'_Sys|Line_Map'!$A:$A,'_Sys|Line_Map'!$C:$C,"MISSING",0)</f>
        <v/>
      </c>
      <c r="J2046" s="4562">
        <f>XLOOKUP(B2046,'_Sys|Line_Map'!$A:$A,'_Sys|Line_Map'!$D:$D,1,0)</f>
        <v/>
      </c>
      <c r="K2046" s="4562">
        <f>IF(D2046="","",D2046*J2046)</f>
        <v/>
      </c>
      <c r="L2046" s="4562">
        <f>XLOOKUP(B2046,'_Sys|Line_Map'!$A:$A,'_Sys|Line_Map'!$B:$B,"MISSING",0)</f>
        <v/>
      </c>
    </row>
    <row r="2047">
      <c r="A2047" s="4561" t="n"/>
      <c r="B2047" s="4561" t="n"/>
      <c r="C2047" s="4561" t="n"/>
      <c r="D2047" s="4561" t="n"/>
      <c r="E2047" s="4561" t="n"/>
      <c r="F2047" s="4561" t="n"/>
      <c r="G2047" s="4561" t="n"/>
      <c r="H2047" s="4561" t="n"/>
      <c r="I2047" s="4562">
        <f>XLOOKUP(B2047,'_Sys|Line_Map'!$A:$A,'_Sys|Line_Map'!$C:$C,"MISSING",0)</f>
        <v/>
      </c>
      <c r="J2047" s="4562">
        <f>XLOOKUP(B2047,'_Sys|Line_Map'!$A:$A,'_Sys|Line_Map'!$D:$D,1,0)</f>
        <v/>
      </c>
      <c r="K2047" s="4562">
        <f>IF(D2047="","",D2047*J2047)</f>
        <v/>
      </c>
      <c r="L2047" s="4562">
        <f>XLOOKUP(B2047,'_Sys|Line_Map'!$A:$A,'_Sys|Line_Map'!$B:$B,"MISSING",0)</f>
        <v/>
      </c>
    </row>
    <row r="2048">
      <c r="A2048" s="4561" t="n"/>
      <c r="B2048" s="4561" t="n"/>
      <c r="C2048" s="4561" t="n"/>
      <c r="D2048" s="4561" t="n"/>
      <c r="E2048" s="4561" t="n"/>
      <c r="F2048" s="4561" t="n"/>
      <c r="G2048" s="4561" t="n"/>
      <c r="H2048" s="4561" t="n"/>
      <c r="I2048" s="4562">
        <f>XLOOKUP(B2048,'_Sys|Line_Map'!$A:$A,'_Sys|Line_Map'!$C:$C,"MISSING",0)</f>
        <v/>
      </c>
      <c r="J2048" s="4562">
        <f>XLOOKUP(B2048,'_Sys|Line_Map'!$A:$A,'_Sys|Line_Map'!$D:$D,1,0)</f>
        <v/>
      </c>
      <c r="K2048" s="4562">
        <f>IF(D2048="","",D2048*J2048)</f>
        <v/>
      </c>
      <c r="L2048" s="4562">
        <f>XLOOKUP(B2048,'_Sys|Line_Map'!$A:$A,'_Sys|Line_Map'!$B:$B,"MISSING",0)</f>
        <v/>
      </c>
    </row>
    <row r="2049">
      <c r="A2049" s="4561" t="n"/>
      <c r="B2049" s="4561" t="n"/>
      <c r="C2049" s="4561" t="n"/>
      <c r="D2049" s="4561" t="n"/>
      <c r="E2049" s="4561" t="n"/>
      <c r="F2049" s="4561" t="n"/>
      <c r="G2049" s="4561" t="n"/>
      <c r="H2049" s="4561" t="n"/>
      <c r="I2049" s="4562">
        <f>XLOOKUP(B2049,'_Sys|Line_Map'!$A:$A,'_Sys|Line_Map'!$C:$C,"MISSING",0)</f>
        <v/>
      </c>
      <c r="J2049" s="4562">
        <f>XLOOKUP(B2049,'_Sys|Line_Map'!$A:$A,'_Sys|Line_Map'!$D:$D,1,0)</f>
        <v/>
      </c>
      <c r="K2049" s="4562">
        <f>IF(D2049="","",D2049*J2049)</f>
        <v/>
      </c>
      <c r="L2049" s="4562">
        <f>XLOOKUP(B2049,'_Sys|Line_Map'!$A:$A,'_Sys|Line_Map'!$B:$B,"MISSING",0)</f>
        <v/>
      </c>
    </row>
    <row r="2050">
      <c r="A2050" s="4561" t="n"/>
      <c r="B2050" s="4561" t="n"/>
      <c r="C2050" s="4561" t="n"/>
      <c r="D2050" s="4561" t="n"/>
      <c r="E2050" s="4561" t="n"/>
      <c r="F2050" s="4561" t="n"/>
      <c r="G2050" s="4561" t="n"/>
      <c r="H2050" s="4561" t="n"/>
      <c r="I2050" s="4562">
        <f>XLOOKUP(B2050,'_Sys|Line_Map'!$A:$A,'_Sys|Line_Map'!$C:$C,"MISSING",0)</f>
        <v/>
      </c>
      <c r="J2050" s="4562">
        <f>XLOOKUP(B2050,'_Sys|Line_Map'!$A:$A,'_Sys|Line_Map'!$D:$D,1,0)</f>
        <v/>
      </c>
      <c r="K2050" s="4562">
        <f>IF(D2050="","",D2050*J2050)</f>
        <v/>
      </c>
      <c r="L2050" s="4562">
        <f>XLOOKUP(B2050,'_Sys|Line_Map'!$A:$A,'_Sys|Line_Map'!$B:$B,"MISSING",0)</f>
        <v/>
      </c>
    </row>
    <row r="2051">
      <c r="A2051" s="4561" t="n"/>
      <c r="B2051" s="4561" t="n"/>
      <c r="C2051" s="4561" t="n"/>
      <c r="D2051" s="4561" t="n"/>
      <c r="E2051" s="4561" t="n"/>
      <c r="F2051" s="4561" t="n"/>
      <c r="G2051" s="4561" t="n"/>
      <c r="H2051" s="4561" t="n"/>
      <c r="I2051" s="4562">
        <f>XLOOKUP(B2051,'_Sys|Line_Map'!$A:$A,'_Sys|Line_Map'!$C:$C,"MISSING",0)</f>
        <v/>
      </c>
      <c r="J2051" s="4562">
        <f>XLOOKUP(B2051,'_Sys|Line_Map'!$A:$A,'_Sys|Line_Map'!$D:$D,1,0)</f>
        <v/>
      </c>
      <c r="K2051" s="4562">
        <f>IF(D2051="","",D2051*J2051)</f>
        <v/>
      </c>
      <c r="L2051" s="4562">
        <f>XLOOKUP(B2051,'_Sys|Line_Map'!$A:$A,'_Sys|Line_Map'!$B:$B,"MISSING",0)</f>
        <v/>
      </c>
    </row>
    <row r="2052">
      <c r="A2052" s="4561" t="n"/>
      <c r="B2052" s="4561" t="n"/>
      <c r="C2052" s="4561" t="n"/>
      <c r="D2052" s="4561" t="n"/>
      <c r="E2052" s="4561" t="n"/>
      <c r="F2052" s="4561" t="n"/>
      <c r="G2052" s="4561" t="n"/>
      <c r="H2052" s="4561" t="n"/>
      <c r="I2052" s="4562">
        <f>XLOOKUP(B2052,'_Sys|Line_Map'!$A:$A,'_Sys|Line_Map'!$C:$C,"MISSING",0)</f>
        <v/>
      </c>
      <c r="J2052" s="4562">
        <f>XLOOKUP(B2052,'_Sys|Line_Map'!$A:$A,'_Sys|Line_Map'!$D:$D,1,0)</f>
        <v/>
      </c>
      <c r="K2052" s="4562">
        <f>IF(D2052="","",D2052*J2052)</f>
        <v/>
      </c>
      <c r="L2052" s="4562">
        <f>XLOOKUP(B2052,'_Sys|Line_Map'!$A:$A,'_Sys|Line_Map'!$B:$B,"MISSING",0)</f>
        <v/>
      </c>
    </row>
    <row r="2053">
      <c r="A2053" s="4561" t="n"/>
      <c r="B2053" s="4561" t="n"/>
      <c r="C2053" s="4561" t="n"/>
      <c r="D2053" s="4561" t="n"/>
      <c r="E2053" s="4561" t="n"/>
      <c r="F2053" s="4561" t="n"/>
      <c r="G2053" s="4561" t="n"/>
      <c r="H2053" s="4561" t="n"/>
      <c r="I2053" s="4562">
        <f>XLOOKUP(B2053,'_Sys|Line_Map'!$A:$A,'_Sys|Line_Map'!$C:$C,"MISSING",0)</f>
        <v/>
      </c>
      <c r="J2053" s="4562">
        <f>XLOOKUP(B2053,'_Sys|Line_Map'!$A:$A,'_Sys|Line_Map'!$D:$D,1,0)</f>
        <v/>
      </c>
      <c r="K2053" s="4562">
        <f>IF(D2053="","",D2053*J2053)</f>
        <v/>
      </c>
      <c r="L2053" s="4562">
        <f>XLOOKUP(B2053,'_Sys|Line_Map'!$A:$A,'_Sys|Line_Map'!$B:$B,"MISSING",0)</f>
        <v/>
      </c>
    </row>
    <row r="2054">
      <c r="A2054" s="4561" t="n"/>
      <c r="B2054" s="4561" t="n"/>
      <c r="C2054" s="4561" t="n"/>
      <c r="D2054" s="4561" t="n"/>
      <c r="E2054" s="4561" t="n"/>
      <c r="F2054" s="4561" t="n"/>
      <c r="G2054" s="4561" t="n"/>
      <c r="H2054" s="4561" t="n"/>
      <c r="I2054" s="4562">
        <f>XLOOKUP(B2054,'_Sys|Line_Map'!$A:$A,'_Sys|Line_Map'!$C:$C,"MISSING",0)</f>
        <v/>
      </c>
      <c r="J2054" s="4562">
        <f>XLOOKUP(B2054,'_Sys|Line_Map'!$A:$A,'_Sys|Line_Map'!$D:$D,1,0)</f>
        <v/>
      </c>
      <c r="K2054" s="4562">
        <f>IF(D2054="","",D2054*J2054)</f>
        <v/>
      </c>
      <c r="L2054" s="4562">
        <f>XLOOKUP(B2054,'_Sys|Line_Map'!$A:$A,'_Sys|Line_Map'!$B:$B,"MISSING",0)</f>
        <v/>
      </c>
    </row>
    <row r="2055">
      <c r="A2055" s="4561" t="n"/>
      <c r="B2055" s="4561" t="n"/>
      <c r="C2055" s="4561" t="n"/>
      <c r="D2055" s="4561" t="n"/>
      <c r="E2055" s="4561" t="n"/>
      <c r="F2055" s="4561" t="n"/>
      <c r="G2055" s="4561" t="n"/>
      <c r="H2055" s="4561" t="n"/>
      <c r="I2055" s="4562">
        <f>XLOOKUP(B2055,'_Sys|Line_Map'!$A:$A,'_Sys|Line_Map'!$C:$C,"MISSING",0)</f>
        <v/>
      </c>
      <c r="J2055" s="4562">
        <f>XLOOKUP(B2055,'_Sys|Line_Map'!$A:$A,'_Sys|Line_Map'!$D:$D,1,0)</f>
        <v/>
      </c>
      <c r="K2055" s="4562">
        <f>IF(D2055="","",D2055*J2055)</f>
        <v/>
      </c>
      <c r="L2055" s="4562">
        <f>XLOOKUP(B2055,'_Sys|Line_Map'!$A:$A,'_Sys|Line_Map'!$B:$B,"MISSING",0)</f>
        <v/>
      </c>
    </row>
    <row r="2056">
      <c r="A2056" s="4561" t="n"/>
      <c r="B2056" s="4561" t="n"/>
      <c r="C2056" s="4561" t="n"/>
      <c r="D2056" s="4561" t="n"/>
      <c r="E2056" s="4561" t="n"/>
      <c r="F2056" s="4561" t="n"/>
      <c r="G2056" s="4561" t="n"/>
      <c r="H2056" s="4561" t="n"/>
      <c r="I2056" s="4562">
        <f>XLOOKUP(B2056,'_Sys|Line_Map'!$A:$A,'_Sys|Line_Map'!$C:$C,"MISSING",0)</f>
        <v/>
      </c>
      <c r="J2056" s="4562">
        <f>XLOOKUP(B2056,'_Sys|Line_Map'!$A:$A,'_Sys|Line_Map'!$D:$D,1,0)</f>
        <v/>
      </c>
      <c r="K2056" s="4562">
        <f>IF(D2056="","",D2056*J2056)</f>
        <v/>
      </c>
      <c r="L2056" s="4562">
        <f>XLOOKUP(B2056,'_Sys|Line_Map'!$A:$A,'_Sys|Line_Map'!$B:$B,"MISSING",0)</f>
        <v/>
      </c>
    </row>
    <row r="2057">
      <c r="A2057" s="4561" t="n"/>
      <c r="B2057" s="4561" t="n"/>
      <c r="C2057" s="4561" t="n"/>
      <c r="D2057" s="4561" t="n"/>
      <c r="E2057" s="4561" t="n"/>
      <c r="F2057" s="4561" t="n"/>
      <c r="G2057" s="4561" t="n"/>
      <c r="H2057" s="4561" t="n"/>
      <c r="I2057" s="4562">
        <f>XLOOKUP(B2057,'_Sys|Line_Map'!$A:$A,'_Sys|Line_Map'!$C:$C,"MISSING",0)</f>
        <v/>
      </c>
      <c r="J2057" s="4562">
        <f>XLOOKUP(B2057,'_Sys|Line_Map'!$A:$A,'_Sys|Line_Map'!$D:$D,1,0)</f>
        <v/>
      </c>
      <c r="K2057" s="4562">
        <f>IF(D2057="","",D2057*J2057)</f>
        <v/>
      </c>
      <c r="L2057" s="4562">
        <f>XLOOKUP(B2057,'_Sys|Line_Map'!$A:$A,'_Sys|Line_Map'!$B:$B,"MISSING",0)</f>
        <v/>
      </c>
    </row>
    <row r="2058">
      <c r="A2058" s="4561" t="n"/>
      <c r="B2058" s="4561" t="n"/>
      <c r="C2058" s="4561" t="n"/>
      <c r="D2058" s="4561" t="n"/>
      <c r="E2058" s="4561" t="n"/>
      <c r="F2058" s="4561" t="n"/>
      <c r="G2058" s="4561" t="n"/>
      <c r="H2058" s="4561" t="n"/>
      <c r="I2058" s="4562">
        <f>XLOOKUP(B2058,'_Sys|Line_Map'!$A:$A,'_Sys|Line_Map'!$C:$C,"MISSING",0)</f>
        <v/>
      </c>
      <c r="J2058" s="4562">
        <f>XLOOKUP(B2058,'_Sys|Line_Map'!$A:$A,'_Sys|Line_Map'!$D:$D,1,0)</f>
        <v/>
      </c>
      <c r="K2058" s="4562">
        <f>IF(D2058="","",D2058*J2058)</f>
        <v/>
      </c>
      <c r="L2058" s="4562">
        <f>XLOOKUP(B2058,'_Sys|Line_Map'!$A:$A,'_Sys|Line_Map'!$B:$B,"MISSING",0)</f>
        <v/>
      </c>
    </row>
    <row r="2059">
      <c r="A2059" s="4561" t="n"/>
      <c r="B2059" s="4561" t="n"/>
      <c r="C2059" s="4561" t="n"/>
      <c r="D2059" s="4561" t="n"/>
      <c r="E2059" s="4561" t="n"/>
      <c r="F2059" s="4561" t="n"/>
      <c r="G2059" s="4561" t="n"/>
      <c r="H2059" s="4561" t="n"/>
      <c r="I2059" s="4562">
        <f>XLOOKUP(B2059,'_Sys|Line_Map'!$A:$A,'_Sys|Line_Map'!$C:$C,"MISSING",0)</f>
        <v/>
      </c>
      <c r="J2059" s="4562">
        <f>XLOOKUP(B2059,'_Sys|Line_Map'!$A:$A,'_Sys|Line_Map'!$D:$D,1,0)</f>
        <v/>
      </c>
      <c r="K2059" s="4562">
        <f>IF(D2059="","",D2059*J2059)</f>
        <v/>
      </c>
      <c r="L2059" s="4562">
        <f>XLOOKUP(B2059,'_Sys|Line_Map'!$A:$A,'_Sys|Line_Map'!$B:$B,"MISSING",0)</f>
        <v/>
      </c>
    </row>
    <row r="2060">
      <c r="A2060" s="4561" t="n"/>
      <c r="B2060" s="4561" t="n"/>
      <c r="C2060" s="4561" t="n"/>
      <c r="D2060" s="4561" t="n"/>
      <c r="E2060" s="4561" t="n"/>
      <c r="F2060" s="4561" t="n"/>
      <c r="G2060" s="4561" t="n"/>
      <c r="H2060" s="4561" t="n"/>
      <c r="I2060" s="4562">
        <f>XLOOKUP(B2060,'_Sys|Line_Map'!$A:$A,'_Sys|Line_Map'!$C:$C,"MISSING",0)</f>
        <v/>
      </c>
      <c r="J2060" s="4562">
        <f>XLOOKUP(B2060,'_Sys|Line_Map'!$A:$A,'_Sys|Line_Map'!$D:$D,1,0)</f>
        <v/>
      </c>
      <c r="K2060" s="4562">
        <f>IF(D2060="","",D2060*J2060)</f>
        <v/>
      </c>
      <c r="L2060" s="4562">
        <f>XLOOKUP(B2060,'_Sys|Line_Map'!$A:$A,'_Sys|Line_Map'!$B:$B,"MISSING",0)</f>
        <v/>
      </c>
    </row>
    <row r="2061">
      <c r="A2061" s="4561" t="n"/>
      <c r="B2061" s="4561" t="n"/>
      <c r="C2061" s="4561" t="n"/>
      <c r="D2061" s="4561" t="n"/>
      <c r="E2061" s="4561" t="n"/>
      <c r="F2061" s="4561" t="n"/>
      <c r="G2061" s="4561" t="n"/>
      <c r="H2061" s="4561" t="n"/>
      <c r="I2061" s="4562">
        <f>XLOOKUP(B2061,'_Sys|Line_Map'!$A:$A,'_Sys|Line_Map'!$C:$C,"MISSING",0)</f>
        <v/>
      </c>
      <c r="J2061" s="4562">
        <f>XLOOKUP(B2061,'_Sys|Line_Map'!$A:$A,'_Sys|Line_Map'!$D:$D,1,0)</f>
        <v/>
      </c>
      <c r="K2061" s="4562">
        <f>IF(D2061="","",D2061*J2061)</f>
        <v/>
      </c>
      <c r="L2061" s="4562">
        <f>XLOOKUP(B2061,'_Sys|Line_Map'!$A:$A,'_Sys|Line_Map'!$B:$B,"MISSING",0)</f>
        <v/>
      </c>
    </row>
    <row r="2062">
      <c r="A2062" s="4561" t="n"/>
      <c r="B2062" s="4561" t="n"/>
      <c r="C2062" s="4561" t="n"/>
      <c r="D2062" s="4561" t="n"/>
      <c r="E2062" s="4561" t="n"/>
      <c r="F2062" s="4561" t="n"/>
      <c r="G2062" s="4561" t="n"/>
      <c r="H2062" s="4561" t="n"/>
      <c r="I2062" s="4562">
        <f>XLOOKUP(B2062,'_Sys|Line_Map'!$A:$A,'_Sys|Line_Map'!$C:$C,"MISSING",0)</f>
        <v/>
      </c>
      <c r="J2062" s="4562">
        <f>XLOOKUP(B2062,'_Sys|Line_Map'!$A:$A,'_Sys|Line_Map'!$D:$D,1,0)</f>
        <v/>
      </c>
      <c r="K2062" s="4562">
        <f>IF(D2062="","",D2062*J2062)</f>
        <v/>
      </c>
      <c r="L2062" s="4562">
        <f>XLOOKUP(B2062,'_Sys|Line_Map'!$A:$A,'_Sys|Line_Map'!$B:$B,"MISSING",0)</f>
        <v/>
      </c>
    </row>
    <row r="2063">
      <c r="A2063" s="4561" t="n"/>
      <c r="B2063" s="4561" t="n"/>
      <c r="C2063" s="4561" t="n"/>
      <c r="D2063" s="4561" t="n"/>
      <c r="E2063" s="4561" t="n"/>
      <c r="F2063" s="4561" t="n"/>
      <c r="G2063" s="4561" t="n"/>
      <c r="H2063" s="4561" t="n"/>
      <c r="I2063" s="4562">
        <f>XLOOKUP(B2063,'_Sys|Line_Map'!$A:$A,'_Sys|Line_Map'!$C:$C,"MISSING",0)</f>
        <v/>
      </c>
      <c r="J2063" s="4562">
        <f>XLOOKUP(B2063,'_Sys|Line_Map'!$A:$A,'_Sys|Line_Map'!$D:$D,1,0)</f>
        <v/>
      </c>
      <c r="K2063" s="4562">
        <f>IF(D2063="","",D2063*J2063)</f>
        <v/>
      </c>
      <c r="L2063" s="4562">
        <f>XLOOKUP(B2063,'_Sys|Line_Map'!$A:$A,'_Sys|Line_Map'!$B:$B,"MISSING",0)</f>
        <v/>
      </c>
    </row>
    <row r="2064">
      <c r="A2064" s="4561" t="n"/>
      <c r="B2064" s="4561" t="n"/>
      <c r="C2064" s="4561" t="n"/>
      <c r="D2064" s="4561" t="n"/>
      <c r="E2064" s="4561" t="n"/>
      <c r="F2064" s="4561" t="n"/>
      <c r="G2064" s="4561" t="n"/>
      <c r="H2064" s="4561" t="n"/>
      <c r="I2064" s="4562">
        <f>XLOOKUP(B2064,'_Sys|Line_Map'!$A:$A,'_Sys|Line_Map'!$C:$C,"MISSING",0)</f>
        <v/>
      </c>
      <c r="J2064" s="4562">
        <f>XLOOKUP(B2064,'_Sys|Line_Map'!$A:$A,'_Sys|Line_Map'!$D:$D,1,0)</f>
        <v/>
      </c>
      <c r="K2064" s="4562">
        <f>IF(D2064="","",D2064*J2064)</f>
        <v/>
      </c>
      <c r="L2064" s="4562">
        <f>XLOOKUP(B2064,'_Sys|Line_Map'!$A:$A,'_Sys|Line_Map'!$B:$B,"MISSING",0)</f>
        <v/>
      </c>
    </row>
    <row r="2065">
      <c r="A2065" s="4561" t="n"/>
      <c r="B2065" s="4561" t="n"/>
      <c r="C2065" s="4561" t="n"/>
      <c r="D2065" s="4561" t="n"/>
      <c r="E2065" s="4561" t="n"/>
      <c r="F2065" s="4561" t="n"/>
      <c r="G2065" s="4561" t="n"/>
      <c r="H2065" s="4561" t="n"/>
      <c r="I2065" s="4562">
        <f>XLOOKUP(B2065,'_Sys|Line_Map'!$A:$A,'_Sys|Line_Map'!$C:$C,"MISSING",0)</f>
        <v/>
      </c>
      <c r="J2065" s="4562">
        <f>XLOOKUP(B2065,'_Sys|Line_Map'!$A:$A,'_Sys|Line_Map'!$D:$D,1,0)</f>
        <v/>
      </c>
      <c r="K2065" s="4562">
        <f>IF(D2065="","",D2065*J2065)</f>
        <v/>
      </c>
      <c r="L2065" s="4562">
        <f>XLOOKUP(B2065,'_Sys|Line_Map'!$A:$A,'_Sys|Line_Map'!$B:$B,"MISSING",0)</f>
        <v/>
      </c>
    </row>
    <row r="2066">
      <c r="A2066" s="4561" t="n"/>
      <c r="B2066" s="4561" t="n"/>
      <c r="C2066" s="4561" t="n"/>
      <c r="D2066" s="4561" t="n"/>
      <c r="E2066" s="4561" t="n"/>
      <c r="F2066" s="4561" t="n"/>
      <c r="G2066" s="4561" t="n"/>
      <c r="H2066" s="4561" t="n"/>
      <c r="I2066" s="4562">
        <f>XLOOKUP(B2066,'_Sys|Line_Map'!$A:$A,'_Sys|Line_Map'!$C:$C,"MISSING",0)</f>
        <v/>
      </c>
      <c r="J2066" s="4562">
        <f>XLOOKUP(B2066,'_Sys|Line_Map'!$A:$A,'_Sys|Line_Map'!$D:$D,1,0)</f>
        <v/>
      </c>
      <c r="K2066" s="4562">
        <f>IF(D2066="","",D2066*J2066)</f>
        <v/>
      </c>
      <c r="L2066" s="4562">
        <f>XLOOKUP(B2066,'_Sys|Line_Map'!$A:$A,'_Sys|Line_Map'!$B:$B,"MISSING",0)</f>
        <v/>
      </c>
    </row>
    <row r="2067">
      <c r="A2067" s="4561" t="n"/>
      <c r="B2067" s="4561" t="n"/>
      <c r="C2067" s="4561" t="n"/>
      <c r="D2067" s="4561" t="n"/>
      <c r="E2067" s="4561" t="n"/>
      <c r="F2067" s="4561" t="n"/>
      <c r="G2067" s="4561" t="n"/>
      <c r="H2067" s="4561" t="n"/>
      <c r="I2067" s="4562">
        <f>XLOOKUP(B2067,'_Sys|Line_Map'!$A:$A,'_Sys|Line_Map'!$C:$C,"MISSING",0)</f>
        <v/>
      </c>
      <c r="J2067" s="4562">
        <f>XLOOKUP(B2067,'_Sys|Line_Map'!$A:$A,'_Sys|Line_Map'!$D:$D,1,0)</f>
        <v/>
      </c>
      <c r="K2067" s="4562">
        <f>IF(D2067="","",D2067*J2067)</f>
        <v/>
      </c>
      <c r="L2067" s="4562">
        <f>XLOOKUP(B2067,'_Sys|Line_Map'!$A:$A,'_Sys|Line_Map'!$B:$B,"MISSING",0)</f>
        <v/>
      </c>
    </row>
    <row r="2068">
      <c r="A2068" s="4561" t="n"/>
      <c r="B2068" s="4561" t="n"/>
      <c r="C2068" s="4561" t="n"/>
      <c r="D2068" s="4561" t="n"/>
      <c r="E2068" s="4561" t="n"/>
      <c r="F2068" s="4561" t="n"/>
      <c r="G2068" s="4561" t="n"/>
      <c r="H2068" s="4561" t="n"/>
      <c r="I2068" s="4562">
        <f>XLOOKUP(B2068,'_Sys|Line_Map'!$A:$A,'_Sys|Line_Map'!$C:$C,"MISSING",0)</f>
        <v/>
      </c>
      <c r="J2068" s="4562">
        <f>XLOOKUP(B2068,'_Sys|Line_Map'!$A:$A,'_Sys|Line_Map'!$D:$D,1,0)</f>
        <v/>
      </c>
      <c r="K2068" s="4562">
        <f>IF(D2068="","",D2068*J2068)</f>
        <v/>
      </c>
      <c r="L2068" s="4562">
        <f>XLOOKUP(B2068,'_Sys|Line_Map'!$A:$A,'_Sys|Line_Map'!$B:$B,"MISSING",0)</f>
        <v/>
      </c>
    </row>
    <row r="2069">
      <c r="A2069" s="4561" t="n"/>
      <c r="B2069" s="4561" t="n"/>
      <c r="C2069" s="4561" t="n"/>
      <c r="D2069" s="4561" t="n"/>
      <c r="E2069" s="4561" t="n"/>
      <c r="F2069" s="4561" t="n"/>
      <c r="G2069" s="4561" t="n"/>
      <c r="H2069" s="4561" t="n"/>
      <c r="I2069" s="4562">
        <f>XLOOKUP(B2069,'_Sys|Line_Map'!$A:$A,'_Sys|Line_Map'!$C:$C,"MISSING",0)</f>
        <v/>
      </c>
      <c r="J2069" s="4562">
        <f>XLOOKUP(B2069,'_Sys|Line_Map'!$A:$A,'_Sys|Line_Map'!$D:$D,1,0)</f>
        <v/>
      </c>
      <c r="K2069" s="4562">
        <f>IF(D2069="","",D2069*J2069)</f>
        <v/>
      </c>
      <c r="L2069" s="4562">
        <f>XLOOKUP(B2069,'_Sys|Line_Map'!$A:$A,'_Sys|Line_Map'!$B:$B,"MISSING",0)</f>
        <v/>
      </c>
    </row>
    <row r="2070">
      <c r="A2070" s="4561" t="n"/>
      <c r="B2070" s="4561" t="n"/>
      <c r="C2070" s="4561" t="n"/>
      <c r="D2070" s="4561" t="n"/>
      <c r="E2070" s="4561" t="n"/>
      <c r="F2070" s="4561" t="n"/>
      <c r="G2070" s="4561" t="n"/>
      <c r="H2070" s="4561" t="n"/>
      <c r="I2070" s="4562">
        <f>XLOOKUP(B2070,'_Sys|Line_Map'!$A:$A,'_Sys|Line_Map'!$C:$C,"MISSING",0)</f>
        <v/>
      </c>
      <c r="J2070" s="4562">
        <f>XLOOKUP(B2070,'_Sys|Line_Map'!$A:$A,'_Sys|Line_Map'!$D:$D,1,0)</f>
        <v/>
      </c>
      <c r="K2070" s="4562">
        <f>IF(D2070="","",D2070*J2070)</f>
        <v/>
      </c>
      <c r="L2070" s="4562">
        <f>XLOOKUP(B2070,'_Sys|Line_Map'!$A:$A,'_Sys|Line_Map'!$B:$B,"MISSING",0)</f>
        <v/>
      </c>
    </row>
    <row r="2071">
      <c r="A2071" s="4561" t="n"/>
      <c r="B2071" s="4561" t="n"/>
      <c r="C2071" s="4561" t="n"/>
      <c r="D2071" s="4561" t="n"/>
      <c r="E2071" s="4561" t="n"/>
      <c r="F2071" s="4561" t="n"/>
      <c r="G2071" s="4561" t="n"/>
      <c r="H2071" s="4561" t="n"/>
      <c r="I2071" s="4562">
        <f>XLOOKUP(B2071,'_Sys|Line_Map'!$A:$A,'_Sys|Line_Map'!$C:$C,"MISSING",0)</f>
        <v/>
      </c>
      <c r="J2071" s="4562">
        <f>XLOOKUP(B2071,'_Sys|Line_Map'!$A:$A,'_Sys|Line_Map'!$D:$D,1,0)</f>
        <v/>
      </c>
      <c r="K2071" s="4562">
        <f>IF(D2071="","",D2071*J2071)</f>
        <v/>
      </c>
      <c r="L2071" s="4562">
        <f>XLOOKUP(B2071,'_Sys|Line_Map'!$A:$A,'_Sys|Line_Map'!$B:$B,"MISSING",0)</f>
        <v/>
      </c>
    </row>
    <row r="2072">
      <c r="A2072" s="4561" t="n"/>
      <c r="B2072" s="4561" t="n"/>
      <c r="C2072" s="4561" t="n"/>
      <c r="D2072" s="4561" t="n"/>
      <c r="E2072" s="4561" t="n"/>
      <c r="F2072" s="4561" t="n"/>
      <c r="G2072" s="4561" t="n"/>
      <c r="H2072" s="4561" t="n"/>
      <c r="I2072" s="4562">
        <f>XLOOKUP(B2072,'_Sys|Line_Map'!$A:$A,'_Sys|Line_Map'!$C:$C,"MISSING",0)</f>
        <v/>
      </c>
      <c r="J2072" s="4562">
        <f>XLOOKUP(B2072,'_Sys|Line_Map'!$A:$A,'_Sys|Line_Map'!$D:$D,1,0)</f>
        <v/>
      </c>
      <c r="K2072" s="4562">
        <f>IF(D2072="","",D2072*J2072)</f>
        <v/>
      </c>
      <c r="L2072" s="4562">
        <f>XLOOKUP(B2072,'_Sys|Line_Map'!$A:$A,'_Sys|Line_Map'!$B:$B,"MISSING",0)</f>
        <v/>
      </c>
    </row>
    <row r="2073">
      <c r="A2073" s="4561" t="n"/>
      <c r="B2073" s="4561" t="n"/>
      <c r="C2073" s="4561" t="n"/>
      <c r="D2073" s="4561" t="n"/>
      <c r="E2073" s="4561" t="n"/>
      <c r="F2073" s="4561" t="n"/>
      <c r="G2073" s="4561" t="n"/>
      <c r="H2073" s="4561" t="n"/>
      <c r="I2073" s="4562">
        <f>XLOOKUP(B2073,'_Sys|Line_Map'!$A:$A,'_Sys|Line_Map'!$C:$C,"MISSING",0)</f>
        <v/>
      </c>
      <c r="J2073" s="4562">
        <f>XLOOKUP(B2073,'_Sys|Line_Map'!$A:$A,'_Sys|Line_Map'!$D:$D,1,0)</f>
        <v/>
      </c>
      <c r="K2073" s="4562">
        <f>IF(D2073="","",D2073*J2073)</f>
        <v/>
      </c>
      <c r="L2073" s="4562">
        <f>XLOOKUP(B2073,'_Sys|Line_Map'!$A:$A,'_Sys|Line_Map'!$B:$B,"MISSING",0)</f>
        <v/>
      </c>
    </row>
    <row r="2074">
      <c r="A2074" s="4561" t="n"/>
      <c r="B2074" s="4561" t="n"/>
      <c r="C2074" s="4561" t="n"/>
      <c r="D2074" s="4561" t="n"/>
      <c r="E2074" s="4561" t="n"/>
      <c r="F2074" s="4561" t="n"/>
      <c r="G2074" s="4561" t="n"/>
      <c r="H2074" s="4561" t="n"/>
      <c r="I2074" s="4562">
        <f>XLOOKUP(B2074,'_Sys|Line_Map'!$A:$A,'_Sys|Line_Map'!$C:$C,"MISSING",0)</f>
        <v/>
      </c>
      <c r="J2074" s="4562">
        <f>XLOOKUP(B2074,'_Sys|Line_Map'!$A:$A,'_Sys|Line_Map'!$D:$D,1,0)</f>
        <v/>
      </c>
      <c r="K2074" s="4562">
        <f>IF(D2074="","",D2074*J2074)</f>
        <v/>
      </c>
      <c r="L2074" s="4562">
        <f>XLOOKUP(B2074,'_Sys|Line_Map'!$A:$A,'_Sys|Line_Map'!$B:$B,"MISSING",0)</f>
        <v/>
      </c>
    </row>
    <row r="2075">
      <c r="A2075" s="4561" t="n"/>
      <c r="B2075" s="4561" t="n"/>
      <c r="C2075" s="4561" t="n"/>
      <c r="D2075" s="4561" t="n"/>
      <c r="E2075" s="4561" t="n"/>
      <c r="F2075" s="4561" t="n"/>
      <c r="G2075" s="4561" t="n"/>
      <c r="H2075" s="4561" t="n"/>
      <c r="I2075" s="4562">
        <f>XLOOKUP(B2075,'_Sys|Line_Map'!$A:$A,'_Sys|Line_Map'!$C:$C,"MISSING",0)</f>
        <v/>
      </c>
      <c r="J2075" s="4562">
        <f>XLOOKUP(B2075,'_Sys|Line_Map'!$A:$A,'_Sys|Line_Map'!$D:$D,1,0)</f>
        <v/>
      </c>
      <c r="K2075" s="4562">
        <f>IF(D2075="","",D2075*J2075)</f>
        <v/>
      </c>
      <c r="L2075" s="4562">
        <f>XLOOKUP(B2075,'_Sys|Line_Map'!$A:$A,'_Sys|Line_Map'!$B:$B,"MISSING",0)</f>
        <v/>
      </c>
    </row>
    <row r="2076">
      <c r="A2076" s="4561" t="n"/>
      <c r="B2076" s="4561" t="n"/>
      <c r="C2076" s="4561" t="n"/>
      <c r="D2076" s="4561" t="n"/>
      <c r="E2076" s="4561" t="n"/>
      <c r="F2076" s="4561" t="n"/>
      <c r="G2076" s="4561" t="n"/>
      <c r="H2076" s="4561" t="n"/>
      <c r="I2076" s="4562">
        <f>XLOOKUP(B2076,'_Sys|Line_Map'!$A:$A,'_Sys|Line_Map'!$C:$C,"MISSING",0)</f>
        <v/>
      </c>
      <c r="J2076" s="4562">
        <f>XLOOKUP(B2076,'_Sys|Line_Map'!$A:$A,'_Sys|Line_Map'!$D:$D,1,0)</f>
        <v/>
      </c>
      <c r="K2076" s="4562">
        <f>IF(D2076="","",D2076*J2076)</f>
        <v/>
      </c>
      <c r="L2076" s="4562">
        <f>XLOOKUP(B2076,'_Sys|Line_Map'!$A:$A,'_Sys|Line_Map'!$B:$B,"MISSING",0)</f>
        <v/>
      </c>
    </row>
    <row r="2077">
      <c r="A2077" s="4561" t="n"/>
      <c r="B2077" s="4561" t="n"/>
      <c r="C2077" s="4561" t="n"/>
      <c r="D2077" s="4561" t="n"/>
      <c r="E2077" s="4561" t="n"/>
      <c r="F2077" s="4561" t="n"/>
      <c r="G2077" s="4561" t="n"/>
      <c r="H2077" s="4561" t="n"/>
      <c r="I2077" s="4562">
        <f>XLOOKUP(B2077,'_Sys|Line_Map'!$A:$A,'_Sys|Line_Map'!$C:$C,"MISSING",0)</f>
        <v/>
      </c>
      <c r="J2077" s="4562">
        <f>XLOOKUP(B2077,'_Sys|Line_Map'!$A:$A,'_Sys|Line_Map'!$D:$D,1,0)</f>
        <v/>
      </c>
      <c r="K2077" s="4562">
        <f>IF(D2077="","",D2077*J2077)</f>
        <v/>
      </c>
      <c r="L2077" s="4562">
        <f>XLOOKUP(B2077,'_Sys|Line_Map'!$A:$A,'_Sys|Line_Map'!$B:$B,"MISSING",0)</f>
        <v/>
      </c>
    </row>
    <row r="2078">
      <c r="A2078" s="4561" t="n"/>
      <c r="B2078" s="4561" t="n"/>
      <c r="C2078" s="4561" t="n"/>
      <c r="D2078" s="4561" t="n"/>
      <c r="E2078" s="4561" t="n"/>
      <c r="F2078" s="4561" t="n"/>
      <c r="G2078" s="4561" t="n"/>
      <c r="H2078" s="4561" t="n"/>
      <c r="I2078" s="4562">
        <f>XLOOKUP(B2078,'_Sys|Line_Map'!$A:$A,'_Sys|Line_Map'!$C:$C,"MISSING",0)</f>
        <v/>
      </c>
      <c r="J2078" s="4562">
        <f>XLOOKUP(B2078,'_Sys|Line_Map'!$A:$A,'_Sys|Line_Map'!$D:$D,1,0)</f>
        <v/>
      </c>
      <c r="K2078" s="4562">
        <f>IF(D2078="","",D2078*J2078)</f>
        <v/>
      </c>
      <c r="L2078" s="4562">
        <f>XLOOKUP(B2078,'_Sys|Line_Map'!$A:$A,'_Sys|Line_Map'!$B:$B,"MISSING",0)</f>
        <v/>
      </c>
    </row>
    <row r="2079">
      <c r="A2079" s="4561" t="n"/>
      <c r="B2079" s="4561" t="n"/>
      <c r="C2079" s="4561" t="n"/>
      <c r="D2079" s="4561" t="n"/>
      <c r="E2079" s="4561" t="n"/>
      <c r="F2079" s="4561" t="n"/>
      <c r="G2079" s="4561" t="n"/>
      <c r="H2079" s="4561" t="n"/>
      <c r="I2079" s="4562">
        <f>XLOOKUP(B2079,'_Sys|Line_Map'!$A:$A,'_Sys|Line_Map'!$C:$C,"MISSING",0)</f>
        <v/>
      </c>
      <c r="J2079" s="4562">
        <f>XLOOKUP(B2079,'_Sys|Line_Map'!$A:$A,'_Sys|Line_Map'!$D:$D,1,0)</f>
        <v/>
      </c>
      <c r="K2079" s="4562">
        <f>IF(D2079="","",D2079*J2079)</f>
        <v/>
      </c>
      <c r="L2079" s="4562">
        <f>XLOOKUP(B2079,'_Sys|Line_Map'!$A:$A,'_Sys|Line_Map'!$B:$B,"MISSING",0)</f>
        <v/>
      </c>
    </row>
    <row r="2080">
      <c r="A2080" s="4561" t="n"/>
      <c r="B2080" s="4561" t="n"/>
      <c r="C2080" s="4561" t="n"/>
      <c r="D2080" s="4561" t="n"/>
      <c r="E2080" s="4561" t="n"/>
      <c r="F2080" s="4561" t="n"/>
      <c r="G2080" s="4561" t="n"/>
      <c r="H2080" s="4561" t="n"/>
      <c r="I2080" s="4562">
        <f>XLOOKUP(B2080,'_Sys|Line_Map'!$A:$A,'_Sys|Line_Map'!$C:$C,"MISSING",0)</f>
        <v/>
      </c>
      <c r="J2080" s="4562">
        <f>XLOOKUP(B2080,'_Sys|Line_Map'!$A:$A,'_Sys|Line_Map'!$D:$D,1,0)</f>
        <v/>
      </c>
      <c r="K2080" s="4562">
        <f>IF(D2080="","",D2080*J2080)</f>
        <v/>
      </c>
      <c r="L2080" s="4562">
        <f>XLOOKUP(B2080,'_Sys|Line_Map'!$A:$A,'_Sys|Line_Map'!$B:$B,"MISSING",0)</f>
        <v/>
      </c>
    </row>
    <row r="2081">
      <c r="A2081" s="4561" t="n"/>
      <c r="B2081" s="4561" t="n"/>
      <c r="C2081" s="4561" t="n"/>
      <c r="D2081" s="4561" t="n"/>
      <c r="E2081" s="4561" t="n"/>
      <c r="F2081" s="4561" t="n"/>
      <c r="G2081" s="4561" t="n"/>
      <c r="H2081" s="4561" t="n"/>
      <c r="I2081" s="4562">
        <f>XLOOKUP(B2081,'_Sys|Line_Map'!$A:$A,'_Sys|Line_Map'!$C:$C,"MISSING",0)</f>
        <v/>
      </c>
      <c r="J2081" s="4562">
        <f>XLOOKUP(B2081,'_Sys|Line_Map'!$A:$A,'_Sys|Line_Map'!$D:$D,1,0)</f>
        <v/>
      </c>
      <c r="K2081" s="4562">
        <f>IF(D2081="","",D2081*J2081)</f>
        <v/>
      </c>
      <c r="L2081" s="4562">
        <f>XLOOKUP(B2081,'_Sys|Line_Map'!$A:$A,'_Sys|Line_Map'!$B:$B,"MISSING",0)</f>
        <v/>
      </c>
    </row>
    <row r="2082">
      <c r="A2082" s="4561" t="n"/>
      <c r="B2082" s="4561" t="n"/>
      <c r="C2082" s="4561" t="n"/>
      <c r="D2082" s="4561" t="n"/>
      <c r="E2082" s="4561" t="n"/>
      <c r="F2082" s="4561" t="n"/>
      <c r="G2082" s="4561" t="n"/>
      <c r="H2082" s="4561" t="n"/>
      <c r="I2082" s="4562">
        <f>XLOOKUP(B2082,'_Sys|Line_Map'!$A:$A,'_Sys|Line_Map'!$C:$C,"MISSING",0)</f>
        <v/>
      </c>
      <c r="J2082" s="4562">
        <f>XLOOKUP(B2082,'_Sys|Line_Map'!$A:$A,'_Sys|Line_Map'!$D:$D,1,0)</f>
        <v/>
      </c>
      <c r="K2082" s="4562">
        <f>IF(D2082="","",D2082*J2082)</f>
        <v/>
      </c>
      <c r="L2082" s="4562">
        <f>XLOOKUP(B2082,'_Sys|Line_Map'!$A:$A,'_Sys|Line_Map'!$B:$B,"MISSING",0)</f>
        <v/>
      </c>
    </row>
    <row r="2083">
      <c r="A2083" s="4561" t="n"/>
      <c r="B2083" s="4561" t="n"/>
      <c r="C2083" s="4561" t="n"/>
      <c r="D2083" s="4561" t="n"/>
      <c r="E2083" s="4561" t="n"/>
      <c r="F2083" s="4561" t="n"/>
      <c r="G2083" s="4561" t="n"/>
      <c r="H2083" s="4561" t="n"/>
      <c r="I2083" s="4562">
        <f>XLOOKUP(B2083,'_Sys|Line_Map'!$A:$A,'_Sys|Line_Map'!$C:$C,"MISSING",0)</f>
        <v/>
      </c>
      <c r="J2083" s="4562">
        <f>XLOOKUP(B2083,'_Sys|Line_Map'!$A:$A,'_Sys|Line_Map'!$D:$D,1,0)</f>
        <v/>
      </c>
      <c r="K2083" s="4562">
        <f>IF(D2083="","",D2083*J2083)</f>
        <v/>
      </c>
      <c r="L2083" s="4562">
        <f>XLOOKUP(B2083,'_Sys|Line_Map'!$A:$A,'_Sys|Line_Map'!$B:$B,"MISSING",0)</f>
        <v/>
      </c>
    </row>
    <row r="2084">
      <c r="A2084" s="4561" t="n"/>
      <c r="B2084" s="4561" t="n"/>
      <c r="C2084" s="4561" t="n"/>
      <c r="D2084" s="4561" t="n"/>
      <c r="E2084" s="4561" t="n"/>
      <c r="F2084" s="4561" t="n"/>
      <c r="G2084" s="4561" t="n"/>
      <c r="H2084" s="4561" t="n"/>
      <c r="I2084" s="4562">
        <f>XLOOKUP(B2084,'_Sys|Line_Map'!$A:$A,'_Sys|Line_Map'!$C:$C,"MISSING",0)</f>
        <v/>
      </c>
      <c r="J2084" s="4562">
        <f>XLOOKUP(B2084,'_Sys|Line_Map'!$A:$A,'_Sys|Line_Map'!$D:$D,1,0)</f>
        <v/>
      </c>
      <c r="K2084" s="4562">
        <f>IF(D2084="","",D2084*J2084)</f>
        <v/>
      </c>
      <c r="L2084" s="4562">
        <f>XLOOKUP(B2084,'_Sys|Line_Map'!$A:$A,'_Sys|Line_Map'!$B:$B,"MISSING",0)</f>
        <v/>
      </c>
    </row>
    <row r="2085">
      <c r="A2085" s="4561" t="n"/>
      <c r="B2085" s="4561" t="n"/>
      <c r="C2085" s="4561" t="n"/>
      <c r="D2085" s="4561" t="n"/>
      <c r="E2085" s="4561" t="n"/>
      <c r="F2085" s="4561" t="n"/>
      <c r="G2085" s="4561" t="n"/>
      <c r="H2085" s="4561" t="n"/>
      <c r="I2085" s="4562">
        <f>XLOOKUP(B2085,'_Sys|Line_Map'!$A:$A,'_Sys|Line_Map'!$C:$C,"MISSING",0)</f>
        <v/>
      </c>
      <c r="J2085" s="4562">
        <f>XLOOKUP(B2085,'_Sys|Line_Map'!$A:$A,'_Sys|Line_Map'!$D:$D,1,0)</f>
        <v/>
      </c>
      <c r="K2085" s="4562">
        <f>IF(D2085="","",D2085*J2085)</f>
        <v/>
      </c>
      <c r="L2085" s="4562">
        <f>XLOOKUP(B2085,'_Sys|Line_Map'!$A:$A,'_Sys|Line_Map'!$B:$B,"MISSING",0)</f>
        <v/>
      </c>
    </row>
    <row r="2086">
      <c r="A2086" s="4561" t="n"/>
      <c r="B2086" s="4561" t="n"/>
      <c r="C2086" s="4561" t="n"/>
      <c r="D2086" s="4561" t="n"/>
      <c r="E2086" s="4561" t="n"/>
      <c r="F2086" s="4561" t="n"/>
      <c r="G2086" s="4561" t="n"/>
      <c r="H2086" s="4561" t="n"/>
      <c r="I2086" s="4562">
        <f>XLOOKUP(B2086,'_Sys|Line_Map'!$A:$A,'_Sys|Line_Map'!$C:$C,"MISSING",0)</f>
        <v/>
      </c>
      <c r="J2086" s="4562">
        <f>XLOOKUP(B2086,'_Sys|Line_Map'!$A:$A,'_Sys|Line_Map'!$D:$D,1,0)</f>
        <v/>
      </c>
      <c r="K2086" s="4562">
        <f>IF(D2086="","",D2086*J2086)</f>
        <v/>
      </c>
      <c r="L2086" s="4562">
        <f>XLOOKUP(B2086,'_Sys|Line_Map'!$A:$A,'_Sys|Line_Map'!$B:$B,"MISSING",0)</f>
        <v/>
      </c>
    </row>
    <row r="2087">
      <c r="A2087" s="4561" t="n"/>
      <c r="B2087" s="4561" t="n"/>
      <c r="C2087" s="4561" t="n"/>
      <c r="D2087" s="4561" t="n"/>
      <c r="E2087" s="4561" t="n"/>
      <c r="F2087" s="4561" t="n"/>
      <c r="G2087" s="4561" t="n"/>
      <c r="H2087" s="4561" t="n"/>
      <c r="I2087" s="4562">
        <f>XLOOKUP(B2087,'_Sys|Line_Map'!$A:$A,'_Sys|Line_Map'!$C:$C,"MISSING",0)</f>
        <v/>
      </c>
      <c r="J2087" s="4562">
        <f>XLOOKUP(B2087,'_Sys|Line_Map'!$A:$A,'_Sys|Line_Map'!$D:$D,1,0)</f>
        <v/>
      </c>
      <c r="K2087" s="4562">
        <f>IF(D2087="","",D2087*J2087)</f>
        <v/>
      </c>
      <c r="L2087" s="4562">
        <f>XLOOKUP(B2087,'_Sys|Line_Map'!$A:$A,'_Sys|Line_Map'!$B:$B,"MISSING",0)</f>
        <v/>
      </c>
    </row>
    <row r="2088">
      <c r="A2088" s="4561" t="n"/>
      <c r="B2088" s="4561" t="n"/>
      <c r="C2088" s="4561" t="n"/>
      <c r="D2088" s="4561" t="n"/>
      <c r="E2088" s="4561" t="n"/>
      <c r="F2088" s="4561" t="n"/>
      <c r="G2088" s="4561" t="n"/>
      <c r="H2088" s="4561" t="n"/>
      <c r="I2088" s="4562">
        <f>XLOOKUP(B2088,'_Sys|Line_Map'!$A:$A,'_Sys|Line_Map'!$C:$C,"MISSING",0)</f>
        <v/>
      </c>
      <c r="J2088" s="4562">
        <f>XLOOKUP(B2088,'_Sys|Line_Map'!$A:$A,'_Sys|Line_Map'!$D:$D,1,0)</f>
        <v/>
      </c>
      <c r="K2088" s="4562">
        <f>IF(D2088="","",D2088*J2088)</f>
        <v/>
      </c>
      <c r="L2088" s="4562">
        <f>XLOOKUP(B2088,'_Sys|Line_Map'!$A:$A,'_Sys|Line_Map'!$B:$B,"MISSING",0)</f>
        <v/>
      </c>
    </row>
    <row r="2089">
      <c r="A2089" s="4561" t="n"/>
      <c r="B2089" s="4561" t="n"/>
      <c r="C2089" s="4561" t="n"/>
      <c r="D2089" s="4561" t="n"/>
      <c r="E2089" s="4561" t="n"/>
      <c r="F2089" s="4561" t="n"/>
      <c r="G2089" s="4561" t="n"/>
      <c r="H2089" s="4561" t="n"/>
      <c r="I2089" s="4562">
        <f>XLOOKUP(B2089,'_Sys|Line_Map'!$A:$A,'_Sys|Line_Map'!$C:$C,"MISSING",0)</f>
        <v/>
      </c>
      <c r="J2089" s="4562">
        <f>XLOOKUP(B2089,'_Sys|Line_Map'!$A:$A,'_Sys|Line_Map'!$D:$D,1,0)</f>
        <v/>
      </c>
      <c r="K2089" s="4562">
        <f>IF(D2089="","",D2089*J2089)</f>
        <v/>
      </c>
      <c r="L2089" s="4562">
        <f>XLOOKUP(B2089,'_Sys|Line_Map'!$A:$A,'_Sys|Line_Map'!$B:$B,"MISSING",0)</f>
        <v/>
      </c>
    </row>
    <row r="2090">
      <c r="A2090" s="4561" t="n"/>
      <c r="B2090" s="4561" t="n"/>
      <c r="C2090" s="4561" t="n"/>
      <c r="D2090" s="4561" t="n"/>
      <c r="E2090" s="4561" t="n"/>
      <c r="F2090" s="4561" t="n"/>
      <c r="G2090" s="4561" t="n"/>
      <c r="H2090" s="4561" t="n"/>
      <c r="I2090" s="4562">
        <f>XLOOKUP(B2090,'_Sys|Line_Map'!$A:$A,'_Sys|Line_Map'!$C:$C,"MISSING",0)</f>
        <v/>
      </c>
      <c r="J2090" s="4562">
        <f>XLOOKUP(B2090,'_Sys|Line_Map'!$A:$A,'_Sys|Line_Map'!$D:$D,1,0)</f>
        <v/>
      </c>
      <c r="K2090" s="4562">
        <f>IF(D2090="","",D2090*J2090)</f>
        <v/>
      </c>
      <c r="L2090" s="4562">
        <f>XLOOKUP(B2090,'_Sys|Line_Map'!$A:$A,'_Sys|Line_Map'!$B:$B,"MISSING",0)</f>
        <v/>
      </c>
    </row>
    <row r="2091">
      <c r="A2091" s="4561" t="n"/>
      <c r="B2091" s="4561" t="n"/>
      <c r="C2091" s="4561" t="n"/>
      <c r="D2091" s="4561" t="n"/>
      <c r="E2091" s="4561" t="n"/>
      <c r="F2091" s="4561" t="n"/>
      <c r="G2091" s="4561" t="n"/>
      <c r="H2091" s="4561" t="n"/>
      <c r="I2091" s="4562">
        <f>XLOOKUP(B2091,'_Sys|Line_Map'!$A:$A,'_Sys|Line_Map'!$C:$C,"MISSING",0)</f>
        <v/>
      </c>
      <c r="J2091" s="4562">
        <f>XLOOKUP(B2091,'_Sys|Line_Map'!$A:$A,'_Sys|Line_Map'!$D:$D,1,0)</f>
        <v/>
      </c>
      <c r="K2091" s="4562">
        <f>IF(D2091="","",D2091*J2091)</f>
        <v/>
      </c>
      <c r="L2091" s="4562">
        <f>XLOOKUP(B2091,'_Sys|Line_Map'!$A:$A,'_Sys|Line_Map'!$B:$B,"MISSING",0)</f>
        <v/>
      </c>
    </row>
    <row r="2092">
      <c r="A2092" s="4561" t="n"/>
      <c r="B2092" s="4561" t="n"/>
      <c r="C2092" s="4561" t="n"/>
      <c r="D2092" s="4561" t="n"/>
      <c r="E2092" s="4561" t="n"/>
      <c r="F2092" s="4561" t="n"/>
      <c r="G2092" s="4561" t="n"/>
      <c r="H2092" s="4561" t="n"/>
      <c r="I2092" s="4562">
        <f>XLOOKUP(B2092,'_Sys|Line_Map'!$A:$A,'_Sys|Line_Map'!$C:$C,"MISSING",0)</f>
        <v/>
      </c>
      <c r="J2092" s="4562">
        <f>XLOOKUP(B2092,'_Sys|Line_Map'!$A:$A,'_Sys|Line_Map'!$D:$D,1,0)</f>
        <v/>
      </c>
      <c r="K2092" s="4562">
        <f>IF(D2092="","",D2092*J2092)</f>
        <v/>
      </c>
      <c r="L2092" s="4562">
        <f>XLOOKUP(B2092,'_Sys|Line_Map'!$A:$A,'_Sys|Line_Map'!$B:$B,"MISSING",0)</f>
        <v/>
      </c>
    </row>
    <row r="2093">
      <c r="A2093" s="4561" t="n"/>
      <c r="B2093" s="4561" t="n"/>
      <c r="C2093" s="4561" t="n"/>
      <c r="D2093" s="4561" t="n"/>
      <c r="E2093" s="4561" t="n"/>
      <c r="F2093" s="4561" t="n"/>
      <c r="G2093" s="4561" t="n"/>
      <c r="H2093" s="4561" t="n"/>
      <c r="I2093" s="4562">
        <f>XLOOKUP(B2093,'_Sys|Line_Map'!$A:$A,'_Sys|Line_Map'!$C:$C,"MISSING",0)</f>
        <v/>
      </c>
      <c r="J2093" s="4562">
        <f>XLOOKUP(B2093,'_Sys|Line_Map'!$A:$A,'_Sys|Line_Map'!$D:$D,1,0)</f>
        <v/>
      </c>
      <c r="K2093" s="4562">
        <f>IF(D2093="","",D2093*J2093)</f>
        <v/>
      </c>
      <c r="L2093" s="4562">
        <f>XLOOKUP(B2093,'_Sys|Line_Map'!$A:$A,'_Sys|Line_Map'!$B:$B,"MISSING",0)</f>
        <v/>
      </c>
    </row>
    <row r="2094">
      <c r="A2094" s="4561" t="n"/>
      <c r="B2094" s="4561" t="n"/>
      <c r="C2094" s="4561" t="n"/>
      <c r="D2094" s="4561" t="n"/>
      <c r="E2094" s="4561" t="n"/>
      <c r="F2094" s="4561" t="n"/>
      <c r="G2094" s="4561" t="n"/>
      <c r="H2094" s="4561" t="n"/>
      <c r="I2094" s="4562">
        <f>XLOOKUP(B2094,'_Sys|Line_Map'!$A:$A,'_Sys|Line_Map'!$C:$C,"MISSING",0)</f>
        <v/>
      </c>
      <c r="J2094" s="4562">
        <f>XLOOKUP(B2094,'_Sys|Line_Map'!$A:$A,'_Sys|Line_Map'!$D:$D,1,0)</f>
        <v/>
      </c>
      <c r="K2094" s="4562">
        <f>IF(D2094="","",D2094*J2094)</f>
        <v/>
      </c>
      <c r="L2094" s="4562">
        <f>XLOOKUP(B2094,'_Sys|Line_Map'!$A:$A,'_Sys|Line_Map'!$B:$B,"MISSING",0)</f>
        <v/>
      </c>
    </row>
    <row r="2095">
      <c r="A2095" s="4561" t="n"/>
      <c r="B2095" s="4561" t="n"/>
      <c r="C2095" s="4561" t="n"/>
      <c r="D2095" s="4561" t="n"/>
      <c r="E2095" s="4561" t="n"/>
      <c r="F2095" s="4561" t="n"/>
      <c r="G2095" s="4561" t="n"/>
      <c r="H2095" s="4561" t="n"/>
      <c r="I2095" s="4562">
        <f>XLOOKUP(B2095,'_Sys|Line_Map'!$A:$A,'_Sys|Line_Map'!$C:$C,"MISSING",0)</f>
        <v/>
      </c>
      <c r="J2095" s="4562">
        <f>XLOOKUP(B2095,'_Sys|Line_Map'!$A:$A,'_Sys|Line_Map'!$D:$D,1,0)</f>
        <v/>
      </c>
      <c r="K2095" s="4562">
        <f>IF(D2095="","",D2095*J2095)</f>
        <v/>
      </c>
      <c r="L2095" s="4562">
        <f>XLOOKUP(B2095,'_Sys|Line_Map'!$A:$A,'_Sys|Line_Map'!$B:$B,"MISSING",0)</f>
        <v/>
      </c>
    </row>
    <row r="2096">
      <c r="A2096" s="4561" t="n"/>
      <c r="B2096" s="4561" t="n"/>
      <c r="C2096" s="4561" t="n"/>
      <c r="D2096" s="4561" t="n"/>
      <c r="E2096" s="4561" t="n"/>
      <c r="F2096" s="4561" t="n"/>
      <c r="G2096" s="4561" t="n"/>
      <c r="H2096" s="4561" t="n"/>
      <c r="I2096" s="4562">
        <f>XLOOKUP(B2096,'_Sys|Line_Map'!$A:$A,'_Sys|Line_Map'!$C:$C,"MISSING",0)</f>
        <v/>
      </c>
      <c r="J2096" s="4562">
        <f>XLOOKUP(B2096,'_Sys|Line_Map'!$A:$A,'_Sys|Line_Map'!$D:$D,1,0)</f>
        <v/>
      </c>
      <c r="K2096" s="4562">
        <f>IF(D2096="","",D2096*J2096)</f>
        <v/>
      </c>
      <c r="L2096" s="4562">
        <f>XLOOKUP(B2096,'_Sys|Line_Map'!$A:$A,'_Sys|Line_Map'!$B:$B,"MISSING",0)</f>
        <v/>
      </c>
    </row>
    <row r="2097">
      <c r="A2097" s="4561" t="n"/>
      <c r="B2097" s="4561" t="n"/>
      <c r="C2097" s="4561" t="n"/>
      <c r="D2097" s="4561" t="n"/>
      <c r="E2097" s="4561" t="n"/>
      <c r="F2097" s="4561" t="n"/>
      <c r="G2097" s="4561" t="n"/>
      <c r="H2097" s="4561" t="n"/>
      <c r="I2097" s="4562">
        <f>XLOOKUP(B2097,'_Sys|Line_Map'!$A:$A,'_Sys|Line_Map'!$C:$C,"MISSING",0)</f>
        <v/>
      </c>
      <c r="J2097" s="4562">
        <f>XLOOKUP(B2097,'_Sys|Line_Map'!$A:$A,'_Sys|Line_Map'!$D:$D,1,0)</f>
        <v/>
      </c>
      <c r="K2097" s="4562">
        <f>IF(D2097="","",D2097*J2097)</f>
        <v/>
      </c>
      <c r="L2097" s="4562">
        <f>XLOOKUP(B2097,'_Sys|Line_Map'!$A:$A,'_Sys|Line_Map'!$B:$B,"MISSING",0)</f>
        <v/>
      </c>
    </row>
    <row r="2098">
      <c r="A2098" s="4561" t="n"/>
      <c r="B2098" s="4561" t="n"/>
      <c r="C2098" s="4561" t="n"/>
      <c r="D2098" s="4561" t="n"/>
      <c r="E2098" s="4561" t="n"/>
      <c r="F2098" s="4561" t="n"/>
      <c r="G2098" s="4561" t="n"/>
      <c r="H2098" s="4561" t="n"/>
      <c r="I2098" s="4562">
        <f>XLOOKUP(B2098,'_Sys|Line_Map'!$A:$A,'_Sys|Line_Map'!$C:$C,"MISSING",0)</f>
        <v/>
      </c>
      <c r="J2098" s="4562">
        <f>XLOOKUP(B2098,'_Sys|Line_Map'!$A:$A,'_Sys|Line_Map'!$D:$D,1,0)</f>
        <v/>
      </c>
      <c r="K2098" s="4562">
        <f>IF(D2098="","",D2098*J2098)</f>
        <v/>
      </c>
      <c r="L2098" s="4562">
        <f>XLOOKUP(B2098,'_Sys|Line_Map'!$A:$A,'_Sys|Line_Map'!$B:$B,"MISSING",0)</f>
        <v/>
      </c>
    </row>
    <row r="2099">
      <c r="A2099" s="4561" t="n"/>
      <c r="B2099" s="4561" t="n"/>
      <c r="C2099" s="4561" t="n"/>
      <c r="D2099" s="4561" t="n"/>
      <c r="E2099" s="4561" t="n"/>
      <c r="F2099" s="4561" t="n"/>
      <c r="G2099" s="4561" t="n"/>
      <c r="H2099" s="4561" t="n"/>
      <c r="I2099" s="4562">
        <f>XLOOKUP(B2099,'_Sys|Line_Map'!$A:$A,'_Sys|Line_Map'!$C:$C,"MISSING",0)</f>
        <v/>
      </c>
      <c r="J2099" s="4562">
        <f>XLOOKUP(B2099,'_Sys|Line_Map'!$A:$A,'_Sys|Line_Map'!$D:$D,1,0)</f>
        <v/>
      </c>
      <c r="K2099" s="4562">
        <f>IF(D2099="","",D2099*J2099)</f>
        <v/>
      </c>
      <c r="L2099" s="4562">
        <f>XLOOKUP(B2099,'_Sys|Line_Map'!$A:$A,'_Sys|Line_Map'!$B:$B,"MISSING",0)</f>
        <v/>
      </c>
    </row>
    <row r="2100">
      <c r="A2100" s="4561" t="n"/>
      <c r="B2100" s="4561" t="n"/>
      <c r="C2100" s="4561" t="n"/>
      <c r="D2100" s="4561" t="n"/>
      <c r="E2100" s="4561" t="n"/>
      <c r="F2100" s="4561" t="n"/>
      <c r="G2100" s="4561" t="n"/>
      <c r="H2100" s="4561" t="n"/>
      <c r="I2100" s="4562">
        <f>XLOOKUP(B2100,'_Sys|Line_Map'!$A:$A,'_Sys|Line_Map'!$C:$C,"MISSING",0)</f>
        <v/>
      </c>
      <c r="J2100" s="4562">
        <f>XLOOKUP(B2100,'_Sys|Line_Map'!$A:$A,'_Sys|Line_Map'!$D:$D,1,0)</f>
        <v/>
      </c>
      <c r="K2100" s="4562">
        <f>IF(D2100="","",D2100*J2100)</f>
        <v/>
      </c>
      <c r="L2100" s="4562">
        <f>XLOOKUP(B2100,'_Sys|Line_Map'!$A:$A,'_Sys|Line_Map'!$B:$B,"MISSING",0)</f>
        <v/>
      </c>
    </row>
    <row r="2101">
      <c r="A2101" s="4561" t="n"/>
      <c r="B2101" s="4561" t="n"/>
      <c r="C2101" s="4561" t="n"/>
      <c r="D2101" s="4561" t="n"/>
      <c r="E2101" s="4561" t="n"/>
      <c r="F2101" s="4561" t="n"/>
      <c r="G2101" s="4561" t="n"/>
      <c r="H2101" s="4561" t="n"/>
      <c r="I2101" s="4562">
        <f>XLOOKUP(B2101,'_Sys|Line_Map'!$A:$A,'_Sys|Line_Map'!$C:$C,"MISSING",0)</f>
        <v/>
      </c>
      <c r="J2101" s="4562">
        <f>XLOOKUP(B2101,'_Sys|Line_Map'!$A:$A,'_Sys|Line_Map'!$D:$D,1,0)</f>
        <v/>
      </c>
      <c r="K2101" s="4562">
        <f>IF(D2101="","",D2101*J2101)</f>
        <v/>
      </c>
      <c r="L2101" s="4562">
        <f>XLOOKUP(B2101,'_Sys|Line_Map'!$A:$A,'_Sys|Line_Map'!$B:$B,"MISSING",0)</f>
        <v/>
      </c>
    </row>
    <row r="2102">
      <c r="A2102" s="4561" t="n"/>
      <c r="B2102" s="4561" t="n"/>
      <c r="C2102" s="4561" t="n"/>
      <c r="D2102" s="4561" t="n"/>
      <c r="E2102" s="4561" t="n"/>
      <c r="F2102" s="4561" t="n"/>
      <c r="G2102" s="4561" t="n"/>
      <c r="H2102" s="4561" t="n"/>
      <c r="I2102" s="4562">
        <f>XLOOKUP(B2102,'_Sys|Line_Map'!$A:$A,'_Sys|Line_Map'!$C:$C,"MISSING",0)</f>
        <v/>
      </c>
      <c r="J2102" s="4562">
        <f>XLOOKUP(B2102,'_Sys|Line_Map'!$A:$A,'_Sys|Line_Map'!$D:$D,1,0)</f>
        <v/>
      </c>
      <c r="K2102" s="4562">
        <f>IF(D2102="","",D2102*J2102)</f>
        <v/>
      </c>
      <c r="L2102" s="4562">
        <f>XLOOKUP(B2102,'_Sys|Line_Map'!$A:$A,'_Sys|Line_Map'!$B:$B,"MISSING",0)</f>
        <v/>
      </c>
    </row>
    <row r="2103">
      <c r="A2103" s="4561" t="n"/>
      <c r="B2103" s="4561" t="n"/>
      <c r="C2103" s="4561" t="n"/>
      <c r="D2103" s="4561" t="n"/>
      <c r="E2103" s="4561" t="n"/>
      <c r="F2103" s="4561" t="n"/>
      <c r="G2103" s="4561" t="n"/>
      <c r="H2103" s="4561" t="n"/>
      <c r="I2103" s="4562">
        <f>XLOOKUP(B2103,'_Sys|Line_Map'!$A:$A,'_Sys|Line_Map'!$C:$C,"MISSING",0)</f>
        <v/>
      </c>
      <c r="J2103" s="4562">
        <f>XLOOKUP(B2103,'_Sys|Line_Map'!$A:$A,'_Sys|Line_Map'!$D:$D,1,0)</f>
        <v/>
      </c>
      <c r="K2103" s="4562">
        <f>IF(D2103="","",D2103*J2103)</f>
        <v/>
      </c>
      <c r="L2103" s="4562">
        <f>XLOOKUP(B2103,'_Sys|Line_Map'!$A:$A,'_Sys|Line_Map'!$B:$B,"MISSING",0)</f>
        <v/>
      </c>
    </row>
    <row r="2104">
      <c r="A2104" s="4561" t="n"/>
      <c r="B2104" s="4561" t="n"/>
      <c r="C2104" s="4561" t="n"/>
      <c r="D2104" s="4561" t="n"/>
      <c r="E2104" s="4561" t="n"/>
      <c r="F2104" s="4561" t="n"/>
      <c r="G2104" s="4561" t="n"/>
      <c r="H2104" s="4561" t="n"/>
      <c r="I2104" s="4562">
        <f>XLOOKUP(B2104,'_Sys|Line_Map'!$A:$A,'_Sys|Line_Map'!$C:$C,"MISSING",0)</f>
        <v/>
      </c>
      <c r="J2104" s="4562">
        <f>XLOOKUP(B2104,'_Sys|Line_Map'!$A:$A,'_Sys|Line_Map'!$D:$D,1,0)</f>
        <v/>
      </c>
      <c r="K2104" s="4562">
        <f>IF(D2104="","",D2104*J2104)</f>
        <v/>
      </c>
      <c r="L2104" s="4562">
        <f>XLOOKUP(B2104,'_Sys|Line_Map'!$A:$A,'_Sys|Line_Map'!$B:$B,"MISSING",0)</f>
        <v/>
      </c>
    </row>
    <row r="2105">
      <c r="A2105" s="4561" t="n"/>
      <c r="B2105" s="4561" t="n"/>
      <c r="C2105" s="4561" t="n"/>
      <c r="D2105" s="4561" t="n"/>
      <c r="E2105" s="4561" t="n"/>
      <c r="F2105" s="4561" t="n"/>
      <c r="G2105" s="4561" t="n"/>
      <c r="H2105" s="4561" t="n"/>
      <c r="I2105" s="4562">
        <f>XLOOKUP(B2105,'_Sys|Line_Map'!$A:$A,'_Sys|Line_Map'!$C:$C,"MISSING",0)</f>
        <v/>
      </c>
      <c r="J2105" s="4562">
        <f>XLOOKUP(B2105,'_Sys|Line_Map'!$A:$A,'_Sys|Line_Map'!$D:$D,1,0)</f>
        <v/>
      </c>
      <c r="K2105" s="4562">
        <f>IF(D2105="","",D2105*J2105)</f>
        <v/>
      </c>
      <c r="L2105" s="4562">
        <f>XLOOKUP(B2105,'_Sys|Line_Map'!$A:$A,'_Sys|Line_Map'!$B:$B,"MISSING",0)</f>
        <v/>
      </c>
    </row>
    <row r="2106">
      <c r="A2106" s="4561" t="n"/>
      <c r="B2106" s="4561" t="n"/>
      <c r="C2106" s="4561" t="n"/>
      <c r="D2106" s="4561" t="n"/>
      <c r="E2106" s="4561" t="n"/>
      <c r="F2106" s="4561" t="n"/>
      <c r="G2106" s="4561" t="n"/>
      <c r="H2106" s="4561" t="n"/>
      <c r="I2106" s="4562">
        <f>XLOOKUP(B2106,'_Sys|Line_Map'!$A:$A,'_Sys|Line_Map'!$C:$C,"MISSING",0)</f>
        <v/>
      </c>
      <c r="J2106" s="4562">
        <f>XLOOKUP(B2106,'_Sys|Line_Map'!$A:$A,'_Sys|Line_Map'!$D:$D,1,0)</f>
        <v/>
      </c>
      <c r="K2106" s="4562">
        <f>IF(D2106="","",D2106*J2106)</f>
        <v/>
      </c>
      <c r="L2106" s="4562">
        <f>XLOOKUP(B2106,'_Sys|Line_Map'!$A:$A,'_Sys|Line_Map'!$B:$B,"MISSING",0)</f>
        <v/>
      </c>
    </row>
    <row r="2107">
      <c r="A2107" s="4561" t="n"/>
      <c r="B2107" s="4561" t="n"/>
      <c r="C2107" s="4561" t="n"/>
      <c r="D2107" s="4561" t="n"/>
      <c r="E2107" s="4561" t="n"/>
      <c r="F2107" s="4561" t="n"/>
      <c r="G2107" s="4561" t="n"/>
      <c r="H2107" s="4561" t="n"/>
      <c r="I2107" s="4562">
        <f>XLOOKUP(B2107,'_Sys|Line_Map'!$A:$A,'_Sys|Line_Map'!$C:$C,"MISSING",0)</f>
        <v/>
      </c>
      <c r="J2107" s="4562">
        <f>XLOOKUP(B2107,'_Sys|Line_Map'!$A:$A,'_Sys|Line_Map'!$D:$D,1,0)</f>
        <v/>
      </c>
      <c r="K2107" s="4562">
        <f>IF(D2107="","",D2107*J2107)</f>
        <v/>
      </c>
      <c r="L2107" s="4562">
        <f>XLOOKUP(B2107,'_Sys|Line_Map'!$A:$A,'_Sys|Line_Map'!$B:$B,"MISSING",0)</f>
        <v/>
      </c>
    </row>
    <row r="2108">
      <c r="A2108" s="4561" t="n"/>
      <c r="B2108" s="4561" t="n"/>
      <c r="C2108" s="4561" t="n"/>
      <c r="D2108" s="4561" t="n"/>
      <c r="E2108" s="4561" t="n"/>
      <c r="F2108" s="4561" t="n"/>
      <c r="G2108" s="4561" t="n"/>
      <c r="H2108" s="4561" t="n"/>
      <c r="I2108" s="4562">
        <f>XLOOKUP(B2108,'_Sys|Line_Map'!$A:$A,'_Sys|Line_Map'!$C:$C,"MISSING",0)</f>
        <v/>
      </c>
      <c r="J2108" s="4562">
        <f>XLOOKUP(B2108,'_Sys|Line_Map'!$A:$A,'_Sys|Line_Map'!$D:$D,1,0)</f>
        <v/>
      </c>
      <c r="K2108" s="4562">
        <f>IF(D2108="","",D2108*J2108)</f>
        <v/>
      </c>
      <c r="L2108" s="4562">
        <f>XLOOKUP(B2108,'_Sys|Line_Map'!$A:$A,'_Sys|Line_Map'!$B:$B,"MISSING",0)</f>
        <v/>
      </c>
    </row>
    <row r="2109">
      <c r="A2109" s="4561" t="n"/>
      <c r="B2109" s="4561" t="n"/>
      <c r="C2109" s="4561" t="n"/>
      <c r="D2109" s="4561" t="n"/>
      <c r="E2109" s="4561" t="n"/>
      <c r="F2109" s="4561" t="n"/>
      <c r="G2109" s="4561" t="n"/>
      <c r="H2109" s="4561" t="n"/>
      <c r="I2109" s="4562">
        <f>XLOOKUP(B2109,'_Sys|Line_Map'!$A:$A,'_Sys|Line_Map'!$C:$C,"MISSING",0)</f>
        <v/>
      </c>
      <c r="J2109" s="4562">
        <f>XLOOKUP(B2109,'_Sys|Line_Map'!$A:$A,'_Sys|Line_Map'!$D:$D,1,0)</f>
        <v/>
      </c>
      <c r="K2109" s="4562">
        <f>IF(D2109="","",D2109*J2109)</f>
        <v/>
      </c>
      <c r="L2109" s="4562">
        <f>XLOOKUP(B2109,'_Sys|Line_Map'!$A:$A,'_Sys|Line_Map'!$B:$B,"MISSING",0)</f>
        <v/>
      </c>
    </row>
    <row r="2110">
      <c r="A2110" s="4561" t="n"/>
      <c r="B2110" s="4561" t="n"/>
      <c r="C2110" s="4561" t="n"/>
      <c r="D2110" s="4561" t="n"/>
      <c r="E2110" s="4561" t="n"/>
      <c r="F2110" s="4561" t="n"/>
      <c r="G2110" s="4561" t="n"/>
      <c r="H2110" s="4561" t="n"/>
      <c r="I2110" s="4562">
        <f>XLOOKUP(B2110,'_Sys|Line_Map'!$A:$A,'_Sys|Line_Map'!$C:$C,"MISSING",0)</f>
        <v/>
      </c>
      <c r="J2110" s="4562">
        <f>XLOOKUP(B2110,'_Sys|Line_Map'!$A:$A,'_Sys|Line_Map'!$D:$D,1,0)</f>
        <v/>
      </c>
      <c r="K2110" s="4562">
        <f>IF(D2110="","",D2110*J2110)</f>
        <v/>
      </c>
      <c r="L2110" s="4562">
        <f>XLOOKUP(B2110,'_Sys|Line_Map'!$A:$A,'_Sys|Line_Map'!$B:$B,"MISSING",0)</f>
        <v/>
      </c>
    </row>
    <row r="2111">
      <c r="A2111" s="4561" t="n"/>
      <c r="B2111" s="4561" t="n"/>
      <c r="C2111" s="4561" t="n"/>
      <c r="D2111" s="4561" t="n"/>
      <c r="E2111" s="4561" t="n"/>
      <c r="F2111" s="4561" t="n"/>
      <c r="G2111" s="4561" t="n"/>
      <c r="H2111" s="4561" t="n"/>
      <c r="I2111" s="4562">
        <f>XLOOKUP(B2111,'_Sys|Line_Map'!$A:$A,'_Sys|Line_Map'!$C:$C,"MISSING",0)</f>
        <v/>
      </c>
      <c r="J2111" s="4562">
        <f>XLOOKUP(B2111,'_Sys|Line_Map'!$A:$A,'_Sys|Line_Map'!$D:$D,1,0)</f>
        <v/>
      </c>
      <c r="K2111" s="4562">
        <f>IF(D2111="","",D2111*J2111)</f>
        <v/>
      </c>
      <c r="L2111" s="4562">
        <f>XLOOKUP(B2111,'_Sys|Line_Map'!$A:$A,'_Sys|Line_Map'!$B:$B,"MISSING",0)</f>
        <v/>
      </c>
    </row>
    <row r="2112">
      <c r="A2112" s="4561" t="n"/>
      <c r="B2112" s="4561" t="n"/>
      <c r="C2112" s="4561" t="n"/>
      <c r="D2112" s="4561" t="n"/>
      <c r="E2112" s="4561" t="n"/>
      <c r="F2112" s="4561" t="n"/>
      <c r="G2112" s="4561" t="n"/>
      <c r="H2112" s="4561" t="n"/>
      <c r="I2112" s="4562">
        <f>XLOOKUP(B2112,'_Sys|Line_Map'!$A:$A,'_Sys|Line_Map'!$C:$C,"MISSING",0)</f>
        <v/>
      </c>
      <c r="J2112" s="4562">
        <f>XLOOKUP(B2112,'_Sys|Line_Map'!$A:$A,'_Sys|Line_Map'!$D:$D,1,0)</f>
        <v/>
      </c>
      <c r="K2112" s="4562">
        <f>IF(D2112="","",D2112*J2112)</f>
        <v/>
      </c>
      <c r="L2112" s="4562">
        <f>XLOOKUP(B2112,'_Sys|Line_Map'!$A:$A,'_Sys|Line_Map'!$B:$B,"MISSING",0)</f>
        <v/>
      </c>
    </row>
    <row r="2113">
      <c r="A2113" s="4561" t="n"/>
      <c r="B2113" s="4561" t="n"/>
      <c r="C2113" s="4561" t="n"/>
      <c r="D2113" s="4561" t="n"/>
      <c r="E2113" s="4561" t="n"/>
      <c r="F2113" s="4561" t="n"/>
      <c r="G2113" s="4561" t="n"/>
      <c r="H2113" s="4561" t="n"/>
      <c r="I2113" s="4562">
        <f>XLOOKUP(B2113,'_Sys|Line_Map'!$A:$A,'_Sys|Line_Map'!$C:$C,"MISSING",0)</f>
        <v/>
      </c>
      <c r="J2113" s="4562">
        <f>XLOOKUP(B2113,'_Sys|Line_Map'!$A:$A,'_Sys|Line_Map'!$D:$D,1,0)</f>
        <v/>
      </c>
      <c r="K2113" s="4562">
        <f>IF(D2113="","",D2113*J2113)</f>
        <v/>
      </c>
      <c r="L2113" s="4562">
        <f>XLOOKUP(B2113,'_Sys|Line_Map'!$A:$A,'_Sys|Line_Map'!$B:$B,"MISSING",0)</f>
        <v/>
      </c>
    </row>
    <row r="2114">
      <c r="A2114" s="4561" t="n"/>
      <c r="B2114" s="4561" t="n"/>
      <c r="C2114" s="4561" t="n"/>
      <c r="D2114" s="4561" t="n"/>
      <c r="E2114" s="4561" t="n"/>
      <c r="F2114" s="4561" t="n"/>
      <c r="G2114" s="4561" t="n"/>
      <c r="H2114" s="4561" t="n"/>
      <c r="I2114" s="4562">
        <f>XLOOKUP(B2114,'_Sys|Line_Map'!$A:$A,'_Sys|Line_Map'!$C:$C,"MISSING",0)</f>
        <v/>
      </c>
      <c r="J2114" s="4562">
        <f>XLOOKUP(B2114,'_Sys|Line_Map'!$A:$A,'_Sys|Line_Map'!$D:$D,1,0)</f>
        <v/>
      </c>
      <c r="K2114" s="4562">
        <f>IF(D2114="","",D2114*J2114)</f>
        <v/>
      </c>
      <c r="L2114" s="4562">
        <f>XLOOKUP(B2114,'_Sys|Line_Map'!$A:$A,'_Sys|Line_Map'!$B:$B,"MISSING",0)</f>
        <v/>
      </c>
    </row>
    <row r="2115">
      <c r="A2115" s="4561" t="n"/>
      <c r="B2115" s="4561" t="n"/>
      <c r="C2115" s="4561" t="n"/>
      <c r="D2115" s="4561" t="n"/>
      <c r="E2115" s="4561" t="n"/>
      <c r="F2115" s="4561" t="n"/>
      <c r="G2115" s="4561" t="n"/>
      <c r="H2115" s="4561" t="n"/>
      <c r="I2115" s="4562">
        <f>XLOOKUP(B2115,'_Sys|Line_Map'!$A:$A,'_Sys|Line_Map'!$C:$C,"MISSING",0)</f>
        <v/>
      </c>
      <c r="J2115" s="4562">
        <f>XLOOKUP(B2115,'_Sys|Line_Map'!$A:$A,'_Sys|Line_Map'!$D:$D,1,0)</f>
        <v/>
      </c>
      <c r="K2115" s="4562">
        <f>IF(D2115="","",D2115*J2115)</f>
        <v/>
      </c>
      <c r="L2115" s="4562">
        <f>XLOOKUP(B2115,'_Sys|Line_Map'!$A:$A,'_Sys|Line_Map'!$B:$B,"MISSING",0)</f>
        <v/>
      </c>
    </row>
    <row r="2116">
      <c r="A2116" s="4561" t="n"/>
      <c r="B2116" s="4561" t="n"/>
      <c r="C2116" s="4561" t="n"/>
      <c r="D2116" s="4561" t="n"/>
      <c r="E2116" s="4561" t="n"/>
      <c r="F2116" s="4561" t="n"/>
      <c r="G2116" s="4561" t="n"/>
      <c r="H2116" s="4561" t="n"/>
      <c r="I2116" s="4562">
        <f>XLOOKUP(B2116,'_Sys|Line_Map'!$A:$A,'_Sys|Line_Map'!$C:$C,"MISSING",0)</f>
        <v/>
      </c>
      <c r="J2116" s="4562">
        <f>XLOOKUP(B2116,'_Sys|Line_Map'!$A:$A,'_Sys|Line_Map'!$D:$D,1,0)</f>
        <v/>
      </c>
      <c r="K2116" s="4562">
        <f>IF(D2116="","",D2116*J2116)</f>
        <v/>
      </c>
      <c r="L2116" s="4562">
        <f>XLOOKUP(B2116,'_Sys|Line_Map'!$A:$A,'_Sys|Line_Map'!$B:$B,"MISSING",0)</f>
        <v/>
      </c>
    </row>
    <row r="2117">
      <c r="A2117" s="4561" t="n"/>
      <c r="B2117" s="4561" t="n"/>
      <c r="C2117" s="4561" t="n"/>
      <c r="D2117" s="4561" t="n"/>
      <c r="E2117" s="4561" t="n"/>
      <c r="F2117" s="4561" t="n"/>
      <c r="G2117" s="4561" t="n"/>
      <c r="H2117" s="4561" t="n"/>
      <c r="I2117" s="4562">
        <f>XLOOKUP(B2117,'_Sys|Line_Map'!$A:$A,'_Sys|Line_Map'!$C:$C,"MISSING",0)</f>
        <v/>
      </c>
      <c r="J2117" s="4562">
        <f>XLOOKUP(B2117,'_Sys|Line_Map'!$A:$A,'_Sys|Line_Map'!$D:$D,1,0)</f>
        <v/>
      </c>
      <c r="K2117" s="4562">
        <f>IF(D2117="","",D2117*J2117)</f>
        <v/>
      </c>
      <c r="L2117" s="4562">
        <f>XLOOKUP(B2117,'_Sys|Line_Map'!$A:$A,'_Sys|Line_Map'!$B:$B,"MISSING",0)</f>
        <v/>
      </c>
    </row>
    <row r="2118">
      <c r="A2118" s="4561" t="n"/>
      <c r="B2118" s="4561" t="n"/>
      <c r="C2118" s="4561" t="n"/>
      <c r="D2118" s="4561" t="n"/>
      <c r="E2118" s="4561" t="n"/>
      <c r="F2118" s="4561" t="n"/>
      <c r="G2118" s="4561" t="n"/>
      <c r="H2118" s="4561" t="n"/>
      <c r="I2118" s="4562">
        <f>XLOOKUP(B2118,'_Sys|Line_Map'!$A:$A,'_Sys|Line_Map'!$C:$C,"MISSING",0)</f>
        <v/>
      </c>
      <c r="J2118" s="4562">
        <f>XLOOKUP(B2118,'_Sys|Line_Map'!$A:$A,'_Sys|Line_Map'!$D:$D,1,0)</f>
        <v/>
      </c>
      <c r="K2118" s="4562">
        <f>IF(D2118="","",D2118*J2118)</f>
        <v/>
      </c>
      <c r="L2118" s="4562">
        <f>XLOOKUP(B2118,'_Sys|Line_Map'!$A:$A,'_Sys|Line_Map'!$B:$B,"MISSING",0)</f>
        <v/>
      </c>
    </row>
    <row r="2119">
      <c r="A2119" s="4561" t="n"/>
      <c r="B2119" s="4561" t="n"/>
      <c r="C2119" s="4561" t="n"/>
      <c r="D2119" s="4561" t="n"/>
      <c r="E2119" s="4561" t="n"/>
      <c r="F2119" s="4561" t="n"/>
      <c r="G2119" s="4561" t="n"/>
      <c r="H2119" s="4561" t="n"/>
      <c r="I2119" s="4562">
        <f>XLOOKUP(B2119,'_Sys|Line_Map'!$A:$A,'_Sys|Line_Map'!$C:$C,"MISSING",0)</f>
        <v/>
      </c>
      <c r="J2119" s="4562">
        <f>XLOOKUP(B2119,'_Sys|Line_Map'!$A:$A,'_Sys|Line_Map'!$D:$D,1,0)</f>
        <v/>
      </c>
      <c r="K2119" s="4562">
        <f>IF(D2119="","",D2119*J2119)</f>
        <v/>
      </c>
      <c r="L2119" s="4562">
        <f>XLOOKUP(B2119,'_Sys|Line_Map'!$A:$A,'_Sys|Line_Map'!$B:$B,"MISSING",0)</f>
        <v/>
      </c>
    </row>
    <row r="2120">
      <c r="A2120" s="4561" t="n"/>
      <c r="B2120" s="4561" t="n"/>
      <c r="C2120" s="4561" t="n"/>
      <c r="D2120" s="4561" t="n"/>
      <c r="E2120" s="4561" t="n"/>
      <c r="F2120" s="4561" t="n"/>
      <c r="G2120" s="4561" t="n"/>
      <c r="H2120" s="4561" t="n"/>
      <c r="I2120" s="4562">
        <f>XLOOKUP(B2120,'_Sys|Line_Map'!$A:$A,'_Sys|Line_Map'!$C:$C,"MISSING",0)</f>
        <v/>
      </c>
      <c r="J2120" s="4562">
        <f>XLOOKUP(B2120,'_Sys|Line_Map'!$A:$A,'_Sys|Line_Map'!$D:$D,1,0)</f>
        <v/>
      </c>
      <c r="K2120" s="4562">
        <f>IF(D2120="","",D2120*J2120)</f>
        <v/>
      </c>
      <c r="L2120" s="4562">
        <f>XLOOKUP(B2120,'_Sys|Line_Map'!$A:$A,'_Sys|Line_Map'!$B:$B,"MISSING",0)</f>
        <v/>
      </c>
    </row>
    <row r="2121">
      <c r="A2121" s="4561" t="n"/>
      <c r="B2121" s="4561" t="n"/>
      <c r="C2121" s="4561" t="n"/>
      <c r="D2121" s="4561" t="n"/>
      <c r="E2121" s="4561" t="n"/>
      <c r="F2121" s="4561" t="n"/>
      <c r="G2121" s="4561" t="n"/>
      <c r="H2121" s="4561" t="n"/>
      <c r="I2121" s="4562">
        <f>XLOOKUP(B2121,'_Sys|Line_Map'!$A:$A,'_Sys|Line_Map'!$C:$C,"MISSING",0)</f>
        <v/>
      </c>
      <c r="J2121" s="4562">
        <f>XLOOKUP(B2121,'_Sys|Line_Map'!$A:$A,'_Sys|Line_Map'!$D:$D,1,0)</f>
        <v/>
      </c>
      <c r="K2121" s="4562">
        <f>IF(D2121="","",D2121*J2121)</f>
        <v/>
      </c>
      <c r="L2121" s="4562">
        <f>XLOOKUP(B2121,'_Sys|Line_Map'!$A:$A,'_Sys|Line_Map'!$B:$B,"MISSING",0)</f>
        <v/>
      </c>
    </row>
    <row r="2122">
      <c r="A2122" s="4561" t="n"/>
      <c r="B2122" s="4561" t="n"/>
      <c r="C2122" s="4561" t="n"/>
      <c r="D2122" s="4561" t="n"/>
      <c r="E2122" s="4561" t="n"/>
      <c r="F2122" s="4561" t="n"/>
      <c r="G2122" s="4561" t="n"/>
      <c r="H2122" s="4561" t="n"/>
      <c r="I2122" s="4562">
        <f>XLOOKUP(B2122,'_Sys|Line_Map'!$A:$A,'_Sys|Line_Map'!$C:$C,"MISSING",0)</f>
        <v/>
      </c>
      <c r="J2122" s="4562">
        <f>XLOOKUP(B2122,'_Sys|Line_Map'!$A:$A,'_Sys|Line_Map'!$D:$D,1,0)</f>
        <v/>
      </c>
      <c r="K2122" s="4562">
        <f>IF(D2122="","",D2122*J2122)</f>
        <v/>
      </c>
      <c r="L2122" s="4562">
        <f>XLOOKUP(B2122,'_Sys|Line_Map'!$A:$A,'_Sys|Line_Map'!$B:$B,"MISSING",0)</f>
        <v/>
      </c>
    </row>
    <row r="2123">
      <c r="A2123" s="4561" t="n"/>
      <c r="B2123" s="4561" t="n"/>
      <c r="C2123" s="4561" t="n"/>
      <c r="D2123" s="4561" t="n"/>
      <c r="E2123" s="4561" t="n"/>
      <c r="F2123" s="4561" t="n"/>
      <c r="G2123" s="4561" t="n"/>
      <c r="H2123" s="4561" t="n"/>
      <c r="I2123" s="4562">
        <f>XLOOKUP(B2123,'_Sys|Line_Map'!$A:$A,'_Sys|Line_Map'!$C:$C,"MISSING",0)</f>
        <v/>
      </c>
      <c r="J2123" s="4562">
        <f>XLOOKUP(B2123,'_Sys|Line_Map'!$A:$A,'_Sys|Line_Map'!$D:$D,1,0)</f>
        <v/>
      </c>
      <c r="K2123" s="4562">
        <f>IF(D2123="","",D2123*J2123)</f>
        <v/>
      </c>
      <c r="L2123" s="4562">
        <f>XLOOKUP(B2123,'_Sys|Line_Map'!$A:$A,'_Sys|Line_Map'!$B:$B,"MISSING",0)</f>
        <v/>
      </c>
    </row>
    <row r="2124">
      <c r="A2124" s="4561" t="n"/>
      <c r="B2124" s="4561" t="n"/>
      <c r="C2124" s="4561" t="n"/>
      <c r="D2124" s="4561" t="n"/>
      <c r="E2124" s="4561" t="n"/>
      <c r="F2124" s="4561" t="n"/>
      <c r="G2124" s="4561" t="n"/>
      <c r="H2124" s="4561" t="n"/>
      <c r="I2124" s="4562">
        <f>XLOOKUP(B2124,'_Sys|Line_Map'!$A:$A,'_Sys|Line_Map'!$C:$C,"MISSING",0)</f>
        <v/>
      </c>
      <c r="J2124" s="4562">
        <f>XLOOKUP(B2124,'_Sys|Line_Map'!$A:$A,'_Sys|Line_Map'!$D:$D,1,0)</f>
        <v/>
      </c>
      <c r="K2124" s="4562">
        <f>IF(D2124="","",D2124*J2124)</f>
        <v/>
      </c>
      <c r="L2124" s="4562">
        <f>XLOOKUP(B2124,'_Sys|Line_Map'!$A:$A,'_Sys|Line_Map'!$B:$B,"MISSING",0)</f>
        <v/>
      </c>
    </row>
    <row r="2125">
      <c r="A2125" s="4561" t="n"/>
      <c r="B2125" s="4561" t="n"/>
      <c r="C2125" s="4561" t="n"/>
      <c r="D2125" s="4561" t="n"/>
      <c r="E2125" s="4561" t="n"/>
      <c r="F2125" s="4561" t="n"/>
      <c r="G2125" s="4561" t="n"/>
      <c r="H2125" s="4561" t="n"/>
      <c r="I2125" s="4562">
        <f>XLOOKUP(B2125,'_Sys|Line_Map'!$A:$A,'_Sys|Line_Map'!$C:$C,"MISSING",0)</f>
        <v/>
      </c>
      <c r="J2125" s="4562">
        <f>XLOOKUP(B2125,'_Sys|Line_Map'!$A:$A,'_Sys|Line_Map'!$D:$D,1,0)</f>
        <v/>
      </c>
      <c r="K2125" s="4562">
        <f>IF(D2125="","",D2125*J2125)</f>
        <v/>
      </c>
      <c r="L2125" s="4562">
        <f>XLOOKUP(B2125,'_Sys|Line_Map'!$A:$A,'_Sys|Line_Map'!$B:$B,"MISSING",0)</f>
        <v/>
      </c>
    </row>
    <row r="2126">
      <c r="A2126" s="4561" t="n"/>
      <c r="B2126" s="4561" t="n"/>
      <c r="C2126" s="4561" t="n"/>
      <c r="D2126" s="4561" t="n"/>
      <c r="E2126" s="4561" t="n"/>
      <c r="F2126" s="4561" t="n"/>
      <c r="G2126" s="4561" t="n"/>
      <c r="H2126" s="4561" t="n"/>
      <c r="I2126" s="4562">
        <f>XLOOKUP(B2126,'_Sys|Line_Map'!$A:$A,'_Sys|Line_Map'!$C:$C,"MISSING",0)</f>
        <v/>
      </c>
      <c r="J2126" s="4562">
        <f>XLOOKUP(B2126,'_Sys|Line_Map'!$A:$A,'_Sys|Line_Map'!$D:$D,1,0)</f>
        <v/>
      </c>
      <c r="K2126" s="4562">
        <f>IF(D2126="","",D2126*J2126)</f>
        <v/>
      </c>
      <c r="L2126" s="4562">
        <f>XLOOKUP(B2126,'_Sys|Line_Map'!$A:$A,'_Sys|Line_Map'!$B:$B,"MISSING",0)</f>
        <v/>
      </c>
    </row>
    <row r="2127">
      <c r="A2127" s="4561" t="n"/>
      <c r="B2127" s="4561" t="n"/>
      <c r="C2127" s="4561" t="n"/>
      <c r="D2127" s="4561" t="n"/>
      <c r="E2127" s="4561" t="n"/>
      <c r="F2127" s="4561" t="n"/>
      <c r="G2127" s="4561" t="n"/>
      <c r="H2127" s="4561" t="n"/>
      <c r="I2127" s="4562">
        <f>XLOOKUP(B2127,'_Sys|Line_Map'!$A:$A,'_Sys|Line_Map'!$C:$C,"MISSING",0)</f>
        <v/>
      </c>
      <c r="J2127" s="4562">
        <f>XLOOKUP(B2127,'_Sys|Line_Map'!$A:$A,'_Sys|Line_Map'!$D:$D,1,0)</f>
        <v/>
      </c>
      <c r="K2127" s="4562">
        <f>IF(D2127="","",D2127*J2127)</f>
        <v/>
      </c>
      <c r="L2127" s="4562">
        <f>XLOOKUP(B2127,'_Sys|Line_Map'!$A:$A,'_Sys|Line_Map'!$B:$B,"MISSING",0)</f>
        <v/>
      </c>
    </row>
    <row r="2128">
      <c r="A2128" s="4561" t="n"/>
      <c r="B2128" s="4561" t="n"/>
      <c r="C2128" s="4561" t="n"/>
      <c r="D2128" s="4561" t="n"/>
      <c r="E2128" s="4561" t="n"/>
      <c r="F2128" s="4561" t="n"/>
      <c r="G2128" s="4561" t="n"/>
      <c r="H2128" s="4561" t="n"/>
      <c r="I2128" s="4562">
        <f>XLOOKUP(B2128,'_Sys|Line_Map'!$A:$A,'_Sys|Line_Map'!$C:$C,"MISSING",0)</f>
        <v/>
      </c>
      <c r="J2128" s="4562">
        <f>XLOOKUP(B2128,'_Sys|Line_Map'!$A:$A,'_Sys|Line_Map'!$D:$D,1,0)</f>
        <v/>
      </c>
      <c r="K2128" s="4562">
        <f>IF(D2128="","",D2128*J2128)</f>
        <v/>
      </c>
      <c r="L2128" s="4562">
        <f>XLOOKUP(B2128,'_Sys|Line_Map'!$A:$A,'_Sys|Line_Map'!$B:$B,"MISSING",0)</f>
        <v/>
      </c>
    </row>
    <row r="2129">
      <c r="A2129" s="4561" t="n"/>
      <c r="B2129" s="4561" t="n"/>
      <c r="C2129" s="4561" t="n"/>
      <c r="D2129" s="4561" t="n"/>
      <c r="E2129" s="4561" t="n"/>
      <c r="F2129" s="4561" t="n"/>
      <c r="G2129" s="4561" t="n"/>
      <c r="H2129" s="4561" t="n"/>
      <c r="I2129" s="4562">
        <f>XLOOKUP(B2129,'_Sys|Line_Map'!$A:$A,'_Sys|Line_Map'!$C:$C,"MISSING",0)</f>
        <v/>
      </c>
      <c r="J2129" s="4562">
        <f>XLOOKUP(B2129,'_Sys|Line_Map'!$A:$A,'_Sys|Line_Map'!$D:$D,1,0)</f>
        <v/>
      </c>
      <c r="K2129" s="4562">
        <f>IF(D2129="","",D2129*J2129)</f>
        <v/>
      </c>
      <c r="L2129" s="4562">
        <f>XLOOKUP(B2129,'_Sys|Line_Map'!$A:$A,'_Sys|Line_Map'!$B:$B,"MISSING",0)</f>
        <v/>
      </c>
    </row>
    <row r="2130">
      <c r="A2130" s="4561" t="n"/>
      <c r="B2130" s="4561" t="n"/>
      <c r="C2130" s="4561" t="n"/>
      <c r="D2130" s="4561" t="n"/>
      <c r="E2130" s="4561" t="n"/>
      <c r="F2130" s="4561" t="n"/>
      <c r="G2130" s="4561" t="n"/>
      <c r="H2130" s="4561" t="n"/>
      <c r="I2130" s="4562">
        <f>XLOOKUP(B2130,'_Sys|Line_Map'!$A:$A,'_Sys|Line_Map'!$C:$C,"MISSING",0)</f>
        <v/>
      </c>
      <c r="J2130" s="4562">
        <f>XLOOKUP(B2130,'_Sys|Line_Map'!$A:$A,'_Sys|Line_Map'!$D:$D,1,0)</f>
        <v/>
      </c>
      <c r="K2130" s="4562">
        <f>IF(D2130="","",D2130*J2130)</f>
        <v/>
      </c>
      <c r="L2130" s="4562">
        <f>XLOOKUP(B2130,'_Sys|Line_Map'!$A:$A,'_Sys|Line_Map'!$B:$B,"MISSING",0)</f>
        <v/>
      </c>
    </row>
    <row r="2131">
      <c r="A2131" s="4561" t="n"/>
      <c r="B2131" s="4561" t="n"/>
      <c r="C2131" s="4561" t="n"/>
      <c r="D2131" s="4561" t="n"/>
      <c r="E2131" s="4561" t="n"/>
      <c r="F2131" s="4561" t="n"/>
      <c r="G2131" s="4561" t="n"/>
      <c r="H2131" s="4561" t="n"/>
      <c r="I2131" s="4562">
        <f>XLOOKUP(B2131,'_Sys|Line_Map'!$A:$A,'_Sys|Line_Map'!$C:$C,"MISSING",0)</f>
        <v/>
      </c>
      <c r="J2131" s="4562">
        <f>XLOOKUP(B2131,'_Sys|Line_Map'!$A:$A,'_Sys|Line_Map'!$D:$D,1,0)</f>
        <v/>
      </c>
      <c r="K2131" s="4562">
        <f>IF(D2131="","",D2131*J2131)</f>
        <v/>
      </c>
      <c r="L2131" s="4562">
        <f>XLOOKUP(B2131,'_Sys|Line_Map'!$A:$A,'_Sys|Line_Map'!$B:$B,"MISSING",0)</f>
        <v/>
      </c>
    </row>
    <row r="2132">
      <c r="A2132" s="4561" t="n"/>
      <c r="B2132" s="4561" t="n"/>
      <c r="C2132" s="4561" t="n"/>
      <c r="D2132" s="4561" t="n"/>
      <c r="E2132" s="4561" t="n"/>
      <c r="F2132" s="4561" t="n"/>
      <c r="G2132" s="4561" t="n"/>
      <c r="H2132" s="4561" t="n"/>
      <c r="I2132" s="4562">
        <f>XLOOKUP(B2132,'_Sys|Line_Map'!$A:$A,'_Sys|Line_Map'!$C:$C,"MISSING",0)</f>
        <v/>
      </c>
      <c r="J2132" s="4562">
        <f>XLOOKUP(B2132,'_Sys|Line_Map'!$A:$A,'_Sys|Line_Map'!$D:$D,1,0)</f>
        <v/>
      </c>
      <c r="K2132" s="4562">
        <f>IF(D2132="","",D2132*J2132)</f>
        <v/>
      </c>
      <c r="L2132" s="4562">
        <f>XLOOKUP(B2132,'_Sys|Line_Map'!$A:$A,'_Sys|Line_Map'!$B:$B,"MISSING",0)</f>
        <v/>
      </c>
    </row>
    <row r="2133">
      <c r="A2133" s="4561" t="n"/>
      <c r="B2133" s="4561" t="n"/>
      <c r="C2133" s="4561" t="n"/>
      <c r="D2133" s="4561" t="n"/>
      <c r="E2133" s="4561" t="n"/>
      <c r="F2133" s="4561" t="n"/>
      <c r="G2133" s="4561" t="n"/>
      <c r="H2133" s="4561" t="n"/>
      <c r="I2133" s="4562">
        <f>XLOOKUP(B2133,'_Sys|Line_Map'!$A:$A,'_Sys|Line_Map'!$C:$C,"MISSING",0)</f>
        <v/>
      </c>
      <c r="J2133" s="4562">
        <f>XLOOKUP(B2133,'_Sys|Line_Map'!$A:$A,'_Sys|Line_Map'!$D:$D,1,0)</f>
        <v/>
      </c>
      <c r="K2133" s="4562">
        <f>IF(D2133="","",D2133*J2133)</f>
        <v/>
      </c>
      <c r="L2133" s="4562">
        <f>XLOOKUP(B2133,'_Sys|Line_Map'!$A:$A,'_Sys|Line_Map'!$B:$B,"MISSING",0)</f>
        <v/>
      </c>
    </row>
    <row r="2134">
      <c r="A2134" s="4561" t="n"/>
      <c r="B2134" s="4561" t="n"/>
      <c r="C2134" s="4561" t="n"/>
      <c r="D2134" s="4561" t="n"/>
      <c r="E2134" s="4561" t="n"/>
      <c r="F2134" s="4561" t="n"/>
      <c r="G2134" s="4561" t="n"/>
      <c r="H2134" s="4561" t="n"/>
      <c r="I2134" s="4562">
        <f>XLOOKUP(B2134,'_Sys|Line_Map'!$A:$A,'_Sys|Line_Map'!$C:$C,"MISSING",0)</f>
        <v/>
      </c>
      <c r="J2134" s="4562">
        <f>XLOOKUP(B2134,'_Sys|Line_Map'!$A:$A,'_Sys|Line_Map'!$D:$D,1,0)</f>
        <v/>
      </c>
      <c r="K2134" s="4562">
        <f>IF(D2134="","",D2134*J2134)</f>
        <v/>
      </c>
      <c r="L2134" s="4562">
        <f>XLOOKUP(B2134,'_Sys|Line_Map'!$A:$A,'_Sys|Line_Map'!$B:$B,"MISSING",0)</f>
        <v/>
      </c>
    </row>
    <row r="2135">
      <c r="A2135" s="4561" t="n"/>
      <c r="B2135" s="4561" t="n"/>
      <c r="C2135" s="4561" t="n"/>
      <c r="D2135" s="4561" t="n"/>
      <c r="E2135" s="4561" t="n"/>
      <c r="F2135" s="4561" t="n"/>
      <c r="G2135" s="4561" t="n"/>
      <c r="H2135" s="4561" t="n"/>
      <c r="I2135" s="4562">
        <f>XLOOKUP(B2135,'_Sys|Line_Map'!$A:$A,'_Sys|Line_Map'!$C:$C,"MISSING",0)</f>
        <v/>
      </c>
      <c r="J2135" s="4562">
        <f>XLOOKUP(B2135,'_Sys|Line_Map'!$A:$A,'_Sys|Line_Map'!$D:$D,1,0)</f>
        <v/>
      </c>
      <c r="K2135" s="4562">
        <f>IF(D2135="","",D2135*J2135)</f>
        <v/>
      </c>
      <c r="L2135" s="4562">
        <f>XLOOKUP(B2135,'_Sys|Line_Map'!$A:$A,'_Sys|Line_Map'!$B:$B,"MISSING",0)</f>
        <v/>
      </c>
    </row>
    <row r="2136">
      <c r="A2136" s="4561" t="n"/>
      <c r="B2136" s="4561" t="n"/>
      <c r="C2136" s="4561" t="n"/>
      <c r="D2136" s="4561" t="n"/>
      <c r="E2136" s="4561" t="n"/>
      <c r="F2136" s="4561" t="n"/>
      <c r="G2136" s="4561" t="n"/>
      <c r="H2136" s="4561" t="n"/>
      <c r="I2136" s="4562">
        <f>XLOOKUP(B2136,'_Sys|Line_Map'!$A:$A,'_Sys|Line_Map'!$C:$C,"MISSING",0)</f>
        <v/>
      </c>
      <c r="J2136" s="4562">
        <f>XLOOKUP(B2136,'_Sys|Line_Map'!$A:$A,'_Sys|Line_Map'!$D:$D,1,0)</f>
        <v/>
      </c>
      <c r="K2136" s="4562">
        <f>IF(D2136="","",D2136*J2136)</f>
        <v/>
      </c>
      <c r="L2136" s="4562">
        <f>XLOOKUP(B2136,'_Sys|Line_Map'!$A:$A,'_Sys|Line_Map'!$B:$B,"MISSING",0)</f>
        <v/>
      </c>
    </row>
    <row r="2137">
      <c r="A2137" s="4561" t="n"/>
      <c r="B2137" s="4561" t="n"/>
      <c r="C2137" s="4561" t="n"/>
      <c r="D2137" s="4561" t="n"/>
      <c r="E2137" s="4561" t="n"/>
      <c r="F2137" s="4561" t="n"/>
      <c r="G2137" s="4561" t="n"/>
      <c r="H2137" s="4561" t="n"/>
      <c r="I2137" s="4562">
        <f>XLOOKUP(B2137,'_Sys|Line_Map'!$A:$A,'_Sys|Line_Map'!$C:$C,"MISSING",0)</f>
        <v/>
      </c>
      <c r="J2137" s="4562">
        <f>XLOOKUP(B2137,'_Sys|Line_Map'!$A:$A,'_Sys|Line_Map'!$D:$D,1,0)</f>
        <v/>
      </c>
      <c r="K2137" s="4562">
        <f>IF(D2137="","",D2137*J2137)</f>
        <v/>
      </c>
      <c r="L2137" s="4562">
        <f>XLOOKUP(B2137,'_Sys|Line_Map'!$A:$A,'_Sys|Line_Map'!$B:$B,"MISSING",0)</f>
        <v/>
      </c>
    </row>
    <row r="2138">
      <c r="A2138" s="4561" t="n"/>
      <c r="B2138" s="4561" t="n"/>
      <c r="C2138" s="4561" t="n"/>
      <c r="D2138" s="4561" t="n"/>
      <c r="E2138" s="4561" t="n"/>
      <c r="F2138" s="4561" t="n"/>
      <c r="G2138" s="4561" t="n"/>
      <c r="H2138" s="4561" t="n"/>
      <c r="I2138" s="4562">
        <f>XLOOKUP(B2138,'_Sys|Line_Map'!$A:$A,'_Sys|Line_Map'!$C:$C,"MISSING",0)</f>
        <v/>
      </c>
      <c r="J2138" s="4562">
        <f>XLOOKUP(B2138,'_Sys|Line_Map'!$A:$A,'_Sys|Line_Map'!$D:$D,1,0)</f>
        <v/>
      </c>
      <c r="K2138" s="4562">
        <f>IF(D2138="","",D2138*J2138)</f>
        <v/>
      </c>
      <c r="L2138" s="4562">
        <f>XLOOKUP(B2138,'_Sys|Line_Map'!$A:$A,'_Sys|Line_Map'!$B:$B,"MISSING",0)</f>
        <v/>
      </c>
    </row>
    <row r="2139">
      <c r="A2139" s="4561" t="n"/>
      <c r="B2139" s="4561" t="n"/>
      <c r="C2139" s="4561" t="n"/>
      <c r="D2139" s="4561" t="n"/>
      <c r="E2139" s="4561" t="n"/>
      <c r="F2139" s="4561" t="n"/>
      <c r="G2139" s="4561" t="n"/>
      <c r="H2139" s="4561" t="n"/>
      <c r="I2139" s="4562">
        <f>XLOOKUP(B2139,'_Sys|Line_Map'!$A:$A,'_Sys|Line_Map'!$C:$C,"MISSING",0)</f>
        <v/>
      </c>
      <c r="J2139" s="4562">
        <f>XLOOKUP(B2139,'_Sys|Line_Map'!$A:$A,'_Sys|Line_Map'!$D:$D,1,0)</f>
        <v/>
      </c>
      <c r="K2139" s="4562">
        <f>IF(D2139="","",D2139*J2139)</f>
        <v/>
      </c>
      <c r="L2139" s="4562">
        <f>XLOOKUP(B2139,'_Sys|Line_Map'!$A:$A,'_Sys|Line_Map'!$B:$B,"MISSING",0)</f>
        <v/>
      </c>
    </row>
    <row r="2140">
      <c r="A2140" s="4561" t="n"/>
      <c r="B2140" s="4561" t="n"/>
      <c r="C2140" s="4561" t="n"/>
      <c r="D2140" s="4561" t="n"/>
      <c r="E2140" s="4561" t="n"/>
      <c r="F2140" s="4561" t="n"/>
      <c r="G2140" s="4561" t="n"/>
      <c r="H2140" s="4561" t="n"/>
      <c r="I2140" s="4562">
        <f>XLOOKUP(B2140,'_Sys|Line_Map'!$A:$A,'_Sys|Line_Map'!$C:$C,"MISSING",0)</f>
        <v/>
      </c>
      <c r="J2140" s="4562">
        <f>XLOOKUP(B2140,'_Sys|Line_Map'!$A:$A,'_Sys|Line_Map'!$D:$D,1,0)</f>
        <v/>
      </c>
      <c r="K2140" s="4562">
        <f>IF(D2140="","",D2140*J2140)</f>
        <v/>
      </c>
      <c r="L2140" s="4562">
        <f>XLOOKUP(B2140,'_Sys|Line_Map'!$A:$A,'_Sys|Line_Map'!$B:$B,"MISSING",0)</f>
        <v/>
      </c>
    </row>
    <row r="2141">
      <c r="A2141" s="4561" t="n"/>
      <c r="B2141" s="4561" t="n"/>
      <c r="C2141" s="4561" t="n"/>
      <c r="D2141" s="4561" t="n"/>
      <c r="E2141" s="4561" t="n"/>
      <c r="F2141" s="4561" t="n"/>
      <c r="G2141" s="4561" t="n"/>
      <c r="H2141" s="4561" t="n"/>
      <c r="I2141" s="4562">
        <f>XLOOKUP(B2141,'_Sys|Line_Map'!$A:$A,'_Sys|Line_Map'!$C:$C,"MISSING",0)</f>
        <v/>
      </c>
      <c r="J2141" s="4562">
        <f>XLOOKUP(B2141,'_Sys|Line_Map'!$A:$A,'_Sys|Line_Map'!$D:$D,1,0)</f>
        <v/>
      </c>
      <c r="K2141" s="4562">
        <f>IF(D2141="","",D2141*J2141)</f>
        <v/>
      </c>
      <c r="L2141" s="4562">
        <f>XLOOKUP(B2141,'_Sys|Line_Map'!$A:$A,'_Sys|Line_Map'!$B:$B,"MISSING",0)</f>
        <v/>
      </c>
    </row>
    <row r="2142">
      <c r="A2142" s="4561" t="n"/>
      <c r="B2142" s="4561" t="n"/>
      <c r="C2142" s="4561" t="n"/>
      <c r="D2142" s="4561" t="n"/>
      <c r="E2142" s="4561" t="n"/>
      <c r="F2142" s="4561" t="n"/>
      <c r="G2142" s="4561" t="n"/>
      <c r="H2142" s="4561" t="n"/>
      <c r="I2142" s="4562">
        <f>XLOOKUP(B2142,'_Sys|Line_Map'!$A:$A,'_Sys|Line_Map'!$C:$C,"MISSING",0)</f>
        <v/>
      </c>
      <c r="J2142" s="4562">
        <f>XLOOKUP(B2142,'_Sys|Line_Map'!$A:$A,'_Sys|Line_Map'!$D:$D,1,0)</f>
        <v/>
      </c>
      <c r="K2142" s="4562">
        <f>IF(D2142="","",D2142*J2142)</f>
        <v/>
      </c>
      <c r="L2142" s="4562">
        <f>XLOOKUP(B2142,'_Sys|Line_Map'!$A:$A,'_Sys|Line_Map'!$B:$B,"MISSING",0)</f>
        <v/>
      </c>
    </row>
    <row r="2143">
      <c r="A2143" s="4561" t="n"/>
      <c r="B2143" s="4561" t="n"/>
      <c r="C2143" s="4561" t="n"/>
      <c r="D2143" s="4561" t="n"/>
      <c r="E2143" s="4561" t="n"/>
      <c r="F2143" s="4561" t="n"/>
      <c r="G2143" s="4561" t="n"/>
      <c r="H2143" s="4561" t="n"/>
      <c r="I2143" s="4562">
        <f>XLOOKUP(B2143,'_Sys|Line_Map'!$A:$A,'_Sys|Line_Map'!$C:$C,"MISSING",0)</f>
        <v/>
      </c>
      <c r="J2143" s="4562">
        <f>XLOOKUP(B2143,'_Sys|Line_Map'!$A:$A,'_Sys|Line_Map'!$D:$D,1,0)</f>
        <v/>
      </c>
      <c r="K2143" s="4562">
        <f>IF(D2143="","",D2143*J2143)</f>
        <v/>
      </c>
      <c r="L2143" s="4562">
        <f>XLOOKUP(B2143,'_Sys|Line_Map'!$A:$A,'_Sys|Line_Map'!$B:$B,"MISSING",0)</f>
        <v/>
      </c>
    </row>
    <row r="2144">
      <c r="A2144" s="4561" t="n"/>
      <c r="B2144" s="4561" t="n"/>
      <c r="C2144" s="4561" t="n"/>
      <c r="D2144" s="4561" t="n"/>
      <c r="E2144" s="4561" t="n"/>
      <c r="F2144" s="4561" t="n"/>
      <c r="G2144" s="4561" t="n"/>
      <c r="H2144" s="4561" t="n"/>
      <c r="I2144" s="4562">
        <f>XLOOKUP(B2144,'_Sys|Line_Map'!$A:$A,'_Sys|Line_Map'!$C:$C,"MISSING",0)</f>
        <v/>
      </c>
      <c r="J2144" s="4562">
        <f>XLOOKUP(B2144,'_Sys|Line_Map'!$A:$A,'_Sys|Line_Map'!$D:$D,1,0)</f>
        <v/>
      </c>
      <c r="K2144" s="4562">
        <f>IF(D2144="","",D2144*J2144)</f>
        <v/>
      </c>
      <c r="L2144" s="4562">
        <f>XLOOKUP(B2144,'_Sys|Line_Map'!$A:$A,'_Sys|Line_Map'!$B:$B,"MISSING",0)</f>
        <v/>
      </c>
    </row>
    <row r="2145">
      <c r="A2145" s="4561" t="n"/>
      <c r="B2145" s="4561" t="n"/>
      <c r="C2145" s="4561" t="n"/>
      <c r="D2145" s="4561" t="n"/>
      <c r="E2145" s="4561" t="n"/>
      <c r="F2145" s="4561" t="n"/>
      <c r="G2145" s="4561" t="n"/>
      <c r="H2145" s="4561" t="n"/>
      <c r="I2145" s="4562">
        <f>XLOOKUP(B2145,'_Sys|Line_Map'!$A:$A,'_Sys|Line_Map'!$C:$C,"MISSING",0)</f>
        <v/>
      </c>
      <c r="J2145" s="4562">
        <f>XLOOKUP(B2145,'_Sys|Line_Map'!$A:$A,'_Sys|Line_Map'!$D:$D,1,0)</f>
        <v/>
      </c>
      <c r="K2145" s="4562">
        <f>IF(D2145="","",D2145*J2145)</f>
        <v/>
      </c>
      <c r="L2145" s="4562">
        <f>XLOOKUP(B2145,'_Sys|Line_Map'!$A:$A,'_Sys|Line_Map'!$B:$B,"MISSING",0)</f>
        <v/>
      </c>
    </row>
    <row r="2146">
      <c r="A2146" s="4561" t="n"/>
      <c r="B2146" s="4561" t="n"/>
      <c r="C2146" s="4561" t="n"/>
      <c r="D2146" s="4561" t="n"/>
      <c r="E2146" s="4561" t="n"/>
      <c r="F2146" s="4561" t="n"/>
      <c r="G2146" s="4561" t="n"/>
      <c r="H2146" s="4561" t="n"/>
      <c r="I2146" s="4562">
        <f>XLOOKUP(B2146,'_Sys|Line_Map'!$A:$A,'_Sys|Line_Map'!$C:$C,"MISSING",0)</f>
        <v/>
      </c>
      <c r="J2146" s="4562">
        <f>XLOOKUP(B2146,'_Sys|Line_Map'!$A:$A,'_Sys|Line_Map'!$D:$D,1,0)</f>
        <v/>
      </c>
      <c r="K2146" s="4562">
        <f>IF(D2146="","",D2146*J2146)</f>
        <v/>
      </c>
      <c r="L2146" s="4562">
        <f>XLOOKUP(B2146,'_Sys|Line_Map'!$A:$A,'_Sys|Line_Map'!$B:$B,"MISSING",0)</f>
        <v/>
      </c>
    </row>
    <row r="2147">
      <c r="A2147" s="4561" t="n"/>
      <c r="B2147" s="4561" t="n"/>
      <c r="C2147" s="4561" t="n"/>
      <c r="D2147" s="4561" t="n"/>
      <c r="E2147" s="4561" t="n"/>
      <c r="F2147" s="4561" t="n"/>
      <c r="G2147" s="4561" t="n"/>
      <c r="H2147" s="4561" t="n"/>
      <c r="I2147" s="4562">
        <f>XLOOKUP(B2147,'_Sys|Line_Map'!$A:$A,'_Sys|Line_Map'!$C:$C,"MISSING",0)</f>
        <v/>
      </c>
      <c r="J2147" s="4562">
        <f>XLOOKUP(B2147,'_Sys|Line_Map'!$A:$A,'_Sys|Line_Map'!$D:$D,1,0)</f>
        <v/>
      </c>
      <c r="K2147" s="4562">
        <f>IF(D2147="","",D2147*J2147)</f>
        <v/>
      </c>
      <c r="L2147" s="4562">
        <f>XLOOKUP(B2147,'_Sys|Line_Map'!$A:$A,'_Sys|Line_Map'!$B:$B,"MISSING",0)</f>
        <v/>
      </c>
    </row>
    <row r="2148">
      <c r="A2148" s="4561" t="n"/>
      <c r="B2148" s="4561" t="n"/>
      <c r="C2148" s="4561" t="n"/>
      <c r="D2148" s="4561" t="n"/>
      <c r="E2148" s="4561" t="n"/>
      <c r="F2148" s="4561" t="n"/>
      <c r="G2148" s="4561" t="n"/>
      <c r="H2148" s="4561" t="n"/>
      <c r="I2148" s="4562">
        <f>XLOOKUP(B2148,'_Sys|Line_Map'!$A:$A,'_Sys|Line_Map'!$C:$C,"MISSING",0)</f>
        <v/>
      </c>
      <c r="J2148" s="4562">
        <f>XLOOKUP(B2148,'_Sys|Line_Map'!$A:$A,'_Sys|Line_Map'!$D:$D,1,0)</f>
        <v/>
      </c>
      <c r="K2148" s="4562">
        <f>IF(D2148="","",D2148*J2148)</f>
        <v/>
      </c>
      <c r="L2148" s="4562">
        <f>XLOOKUP(B2148,'_Sys|Line_Map'!$A:$A,'_Sys|Line_Map'!$B:$B,"MISSING",0)</f>
        <v/>
      </c>
    </row>
    <row r="2149">
      <c r="A2149" s="4561" t="n"/>
      <c r="B2149" s="4561" t="n"/>
      <c r="C2149" s="4561" t="n"/>
      <c r="D2149" s="4561" t="n"/>
      <c r="E2149" s="4561" t="n"/>
      <c r="F2149" s="4561" t="n"/>
      <c r="G2149" s="4561" t="n"/>
      <c r="H2149" s="4561" t="n"/>
      <c r="I2149" s="4562">
        <f>XLOOKUP(B2149,'_Sys|Line_Map'!$A:$A,'_Sys|Line_Map'!$C:$C,"MISSING",0)</f>
        <v/>
      </c>
      <c r="J2149" s="4562">
        <f>XLOOKUP(B2149,'_Sys|Line_Map'!$A:$A,'_Sys|Line_Map'!$D:$D,1,0)</f>
        <v/>
      </c>
      <c r="K2149" s="4562">
        <f>IF(D2149="","",D2149*J2149)</f>
        <v/>
      </c>
      <c r="L2149" s="4562">
        <f>XLOOKUP(B2149,'_Sys|Line_Map'!$A:$A,'_Sys|Line_Map'!$B:$B,"MISSING",0)</f>
        <v/>
      </c>
    </row>
    <row r="2150">
      <c r="A2150" s="4561" t="n"/>
      <c r="B2150" s="4561" t="n"/>
      <c r="C2150" s="4561" t="n"/>
      <c r="D2150" s="4561" t="n"/>
      <c r="E2150" s="4561" t="n"/>
      <c r="F2150" s="4561" t="n"/>
      <c r="G2150" s="4561" t="n"/>
      <c r="H2150" s="4561" t="n"/>
      <c r="I2150" s="4562">
        <f>XLOOKUP(B2150,'_Sys|Line_Map'!$A:$A,'_Sys|Line_Map'!$C:$C,"MISSING",0)</f>
        <v/>
      </c>
      <c r="J2150" s="4562">
        <f>XLOOKUP(B2150,'_Sys|Line_Map'!$A:$A,'_Sys|Line_Map'!$D:$D,1,0)</f>
        <v/>
      </c>
      <c r="K2150" s="4562">
        <f>IF(D2150="","",D2150*J2150)</f>
        <v/>
      </c>
      <c r="L2150" s="4562">
        <f>XLOOKUP(B2150,'_Sys|Line_Map'!$A:$A,'_Sys|Line_Map'!$B:$B,"MISSING",0)</f>
        <v/>
      </c>
    </row>
    <row r="2151">
      <c r="A2151" s="4561" t="n"/>
      <c r="B2151" s="4561" t="n"/>
      <c r="C2151" s="4561" t="n"/>
      <c r="D2151" s="4561" t="n"/>
      <c r="E2151" s="4561" t="n"/>
      <c r="F2151" s="4561" t="n"/>
      <c r="G2151" s="4561" t="n"/>
      <c r="H2151" s="4561" t="n"/>
      <c r="I2151" s="4562">
        <f>XLOOKUP(B2151,'_Sys|Line_Map'!$A:$A,'_Sys|Line_Map'!$C:$C,"MISSING",0)</f>
        <v/>
      </c>
      <c r="J2151" s="4562">
        <f>XLOOKUP(B2151,'_Sys|Line_Map'!$A:$A,'_Sys|Line_Map'!$D:$D,1,0)</f>
        <v/>
      </c>
      <c r="K2151" s="4562">
        <f>IF(D2151="","",D2151*J2151)</f>
        <v/>
      </c>
      <c r="L2151" s="4562">
        <f>XLOOKUP(B2151,'_Sys|Line_Map'!$A:$A,'_Sys|Line_Map'!$B:$B,"MISSING",0)</f>
        <v/>
      </c>
    </row>
    <row r="2152">
      <c r="A2152" s="4561" t="n"/>
      <c r="B2152" s="4561" t="n"/>
      <c r="C2152" s="4561" t="n"/>
      <c r="D2152" s="4561" t="n"/>
      <c r="E2152" s="4561" t="n"/>
      <c r="F2152" s="4561" t="n"/>
      <c r="G2152" s="4561" t="n"/>
      <c r="H2152" s="4561" t="n"/>
      <c r="I2152" s="4562">
        <f>XLOOKUP(B2152,'_Sys|Line_Map'!$A:$A,'_Sys|Line_Map'!$C:$C,"MISSING",0)</f>
        <v/>
      </c>
      <c r="J2152" s="4562">
        <f>XLOOKUP(B2152,'_Sys|Line_Map'!$A:$A,'_Sys|Line_Map'!$D:$D,1,0)</f>
        <v/>
      </c>
      <c r="K2152" s="4562">
        <f>IF(D2152="","",D2152*J2152)</f>
        <v/>
      </c>
      <c r="L2152" s="4562">
        <f>XLOOKUP(B2152,'_Sys|Line_Map'!$A:$A,'_Sys|Line_Map'!$B:$B,"MISSING",0)</f>
        <v/>
      </c>
    </row>
    <row r="2153">
      <c r="A2153" s="4561" t="n"/>
      <c r="B2153" s="4561" t="n"/>
      <c r="C2153" s="4561" t="n"/>
      <c r="D2153" s="4561" t="n"/>
      <c r="E2153" s="4561" t="n"/>
      <c r="F2153" s="4561" t="n"/>
      <c r="G2153" s="4561" t="n"/>
      <c r="H2153" s="4561" t="n"/>
      <c r="I2153" s="4562">
        <f>XLOOKUP(B2153,'_Sys|Line_Map'!$A:$A,'_Sys|Line_Map'!$C:$C,"MISSING",0)</f>
        <v/>
      </c>
      <c r="J2153" s="4562">
        <f>XLOOKUP(B2153,'_Sys|Line_Map'!$A:$A,'_Sys|Line_Map'!$D:$D,1,0)</f>
        <v/>
      </c>
      <c r="K2153" s="4562">
        <f>IF(D2153="","",D2153*J2153)</f>
        <v/>
      </c>
      <c r="L2153" s="4562">
        <f>XLOOKUP(B2153,'_Sys|Line_Map'!$A:$A,'_Sys|Line_Map'!$B:$B,"MISSING",0)</f>
        <v/>
      </c>
    </row>
    <row r="2154">
      <c r="A2154" s="4561" t="n"/>
      <c r="B2154" s="4561" t="n"/>
      <c r="C2154" s="4561" t="n"/>
      <c r="D2154" s="4561" t="n"/>
      <c r="E2154" s="4561" t="n"/>
      <c r="F2154" s="4561" t="n"/>
      <c r="G2154" s="4561" t="n"/>
      <c r="H2154" s="4561" t="n"/>
      <c r="I2154" s="4562">
        <f>XLOOKUP(B2154,'_Sys|Line_Map'!$A:$A,'_Sys|Line_Map'!$C:$C,"MISSING",0)</f>
        <v/>
      </c>
      <c r="J2154" s="4562">
        <f>XLOOKUP(B2154,'_Sys|Line_Map'!$A:$A,'_Sys|Line_Map'!$D:$D,1,0)</f>
        <v/>
      </c>
      <c r="K2154" s="4562">
        <f>IF(D2154="","",D2154*J2154)</f>
        <v/>
      </c>
      <c r="L2154" s="4562">
        <f>XLOOKUP(B2154,'_Sys|Line_Map'!$A:$A,'_Sys|Line_Map'!$B:$B,"MISSING",0)</f>
        <v/>
      </c>
    </row>
    <row r="2155">
      <c r="A2155" s="4561" t="n"/>
      <c r="B2155" s="4561" t="n"/>
      <c r="C2155" s="4561" t="n"/>
      <c r="D2155" s="4561" t="n"/>
      <c r="E2155" s="4561" t="n"/>
      <c r="F2155" s="4561" t="n"/>
      <c r="G2155" s="4561" t="n"/>
      <c r="H2155" s="4561" t="n"/>
      <c r="I2155" s="4562">
        <f>XLOOKUP(B2155,'_Sys|Line_Map'!$A:$A,'_Sys|Line_Map'!$C:$C,"MISSING",0)</f>
        <v/>
      </c>
      <c r="J2155" s="4562">
        <f>XLOOKUP(B2155,'_Sys|Line_Map'!$A:$A,'_Sys|Line_Map'!$D:$D,1,0)</f>
        <v/>
      </c>
      <c r="K2155" s="4562">
        <f>IF(D2155="","",D2155*J2155)</f>
        <v/>
      </c>
      <c r="L2155" s="4562">
        <f>XLOOKUP(B2155,'_Sys|Line_Map'!$A:$A,'_Sys|Line_Map'!$B:$B,"MISSING",0)</f>
        <v/>
      </c>
    </row>
    <row r="2156">
      <c r="A2156" s="4561" t="n"/>
      <c r="B2156" s="4561" t="n"/>
      <c r="C2156" s="4561" t="n"/>
      <c r="D2156" s="4561" t="n"/>
      <c r="E2156" s="4561" t="n"/>
      <c r="F2156" s="4561" t="n"/>
      <c r="G2156" s="4561" t="n"/>
      <c r="H2156" s="4561" t="n"/>
      <c r="I2156" s="4562">
        <f>XLOOKUP(B2156,'_Sys|Line_Map'!$A:$A,'_Sys|Line_Map'!$C:$C,"MISSING",0)</f>
        <v/>
      </c>
      <c r="J2156" s="4562">
        <f>XLOOKUP(B2156,'_Sys|Line_Map'!$A:$A,'_Sys|Line_Map'!$D:$D,1,0)</f>
        <v/>
      </c>
      <c r="K2156" s="4562">
        <f>IF(D2156="","",D2156*J2156)</f>
        <v/>
      </c>
      <c r="L2156" s="4562">
        <f>XLOOKUP(B2156,'_Sys|Line_Map'!$A:$A,'_Sys|Line_Map'!$B:$B,"MISSING",0)</f>
        <v/>
      </c>
    </row>
    <row r="2157">
      <c r="A2157" s="4561" t="n"/>
      <c r="B2157" s="4561" t="n"/>
      <c r="C2157" s="4561" t="n"/>
      <c r="D2157" s="4561" t="n"/>
      <c r="E2157" s="4561" t="n"/>
      <c r="F2157" s="4561" t="n"/>
      <c r="G2157" s="4561" t="n"/>
      <c r="H2157" s="4561" t="n"/>
      <c r="I2157" s="4562">
        <f>XLOOKUP(B2157,'_Sys|Line_Map'!$A:$A,'_Sys|Line_Map'!$C:$C,"MISSING",0)</f>
        <v/>
      </c>
      <c r="J2157" s="4562">
        <f>XLOOKUP(B2157,'_Sys|Line_Map'!$A:$A,'_Sys|Line_Map'!$D:$D,1,0)</f>
        <v/>
      </c>
      <c r="K2157" s="4562">
        <f>IF(D2157="","",D2157*J2157)</f>
        <v/>
      </c>
      <c r="L2157" s="4562">
        <f>XLOOKUP(B2157,'_Sys|Line_Map'!$A:$A,'_Sys|Line_Map'!$B:$B,"MISSING",0)</f>
        <v/>
      </c>
    </row>
    <row r="2158">
      <c r="A2158" s="4561" t="n"/>
      <c r="B2158" s="4561" t="n"/>
      <c r="C2158" s="4561" t="n"/>
      <c r="D2158" s="4561" t="n"/>
      <c r="E2158" s="4561" t="n"/>
      <c r="F2158" s="4561" t="n"/>
      <c r="G2158" s="4561" t="n"/>
      <c r="H2158" s="4561" t="n"/>
      <c r="I2158" s="4562">
        <f>XLOOKUP(B2158,'_Sys|Line_Map'!$A:$A,'_Sys|Line_Map'!$C:$C,"MISSING",0)</f>
        <v/>
      </c>
      <c r="J2158" s="4562">
        <f>XLOOKUP(B2158,'_Sys|Line_Map'!$A:$A,'_Sys|Line_Map'!$D:$D,1,0)</f>
        <v/>
      </c>
      <c r="K2158" s="4562">
        <f>IF(D2158="","",D2158*J2158)</f>
        <v/>
      </c>
      <c r="L2158" s="4562">
        <f>XLOOKUP(B2158,'_Sys|Line_Map'!$A:$A,'_Sys|Line_Map'!$B:$B,"MISSING",0)</f>
        <v/>
      </c>
    </row>
    <row r="2159">
      <c r="A2159" s="4561" t="n"/>
      <c r="B2159" s="4561" t="n"/>
      <c r="C2159" s="4561" t="n"/>
      <c r="D2159" s="4561" t="n"/>
      <c r="E2159" s="4561" t="n"/>
      <c r="F2159" s="4561" t="n"/>
      <c r="G2159" s="4561" t="n"/>
      <c r="H2159" s="4561" t="n"/>
      <c r="I2159" s="4562">
        <f>XLOOKUP(B2159,'_Sys|Line_Map'!$A:$A,'_Sys|Line_Map'!$C:$C,"MISSING",0)</f>
        <v/>
      </c>
      <c r="J2159" s="4562">
        <f>XLOOKUP(B2159,'_Sys|Line_Map'!$A:$A,'_Sys|Line_Map'!$D:$D,1,0)</f>
        <v/>
      </c>
      <c r="K2159" s="4562">
        <f>IF(D2159="","",D2159*J2159)</f>
        <v/>
      </c>
      <c r="L2159" s="4562">
        <f>XLOOKUP(B2159,'_Sys|Line_Map'!$A:$A,'_Sys|Line_Map'!$B:$B,"MISSING",0)</f>
        <v/>
      </c>
    </row>
    <row r="2160">
      <c r="A2160" s="4561" t="n"/>
      <c r="B2160" s="4561" t="n"/>
      <c r="C2160" s="4561" t="n"/>
      <c r="D2160" s="4561" t="n"/>
      <c r="E2160" s="4561" t="n"/>
      <c r="F2160" s="4561" t="n"/>
      <c r="G2160" s="4561" t="n"/>
      <c r="H2160" s="4561" t="n"/>
      <c r="I2160" s="4562">
        <f>XLOOKUP(B2160,'_Sys|Line_Map'!$A:$A,'_Sys|Line_Map'!$C:$C,"MISSING",0)</f>
        <v/>
      </c>
      <c r="J2160" s="4562">
        <f>XLOOKUP(B2160,'_Sys|Line_Map'!$A:$A,'_Sys|Line_Map'!$D:$D,1,0)</f>
        <v/>
      </c>
      <c r="K2160" s="4562">
        <f>IF(D2160="","",D2160*J2160)</f>
        <v/>
      </c>
      <c r="L2160" s="4562">
        <f>XLOOKUP(B2160,'_Sys|Line_Map'!$A:$A,'_Sys|Line_Map'!$B:$B,"MISSING",0)</f>
        <v/>
      </c>
    </row>
    <row r="2161">
      <c r="A2161" s="4561" t="n"/>
      <c r="B2161" s="4561" t="n"/>
      <c r="C2161" s="4561" t="n"/>
      <c r="D2161" s="4561" t="n"/>
      <c r="E2161" s="4561" t="n"/>
      <c r="F2161" s="4561" t="n"/>
      <c r="G2161" s="4561" t="n"/>
      <c r="H2161" s="4561" t="n"/>
      <c r="I2161" s="4562">
        <f>XLOOKUP(B2161,'_Sys|Line_Map'!$A:$A,'_Sys|Line_Map'!$C:$C,"MISSING",0)</f>
        <v/>
      </c>
      <c r="J2161" s="4562">
        <f>XLOOKUP(B2161,'_Sys|Line_Map'!$A:$A,'_Sys|Line_Map'!$D:$D,1,0)</f>
        <v/>
      </c>
      <c r="K2161" s="4562">
        <f>IF(D2161="","",D2161*J2161)</f>
        <v/>
      </c>
      <c r="L2161" s="4562">
        <f>XLOOKUP(B2161,'_Sys|Line_Map'!$A:$A,'_Sys|Line_Map'!$B:$B,"MISSING",0)</f>
        <v/>
      </c>
    </row>
    <row r="2162">
      <c r="A2162" s="4561" t="n"/>
      <c r="B2162" s="4561" t="n"/>
      <c r="C2162" s="4561" t="n"/>
      <c r="D2162" s="4561" t="n"/>
      <c r="E2162" s="4561" t="n"/>
      <c r="F2162" s="4561" t="n"/>
      <c r="G2162" s="4561" t="n"/>
      <c r="H2162" s="4561" t="n"/>
      <c r="I2162" s="4562">
        <f>XLOOKUP(B2162,'_Sys|Line_Map'!$A:$A,'_Sys|Line_Map'!$C:$C,"MISSING",0)</f>
        <v/>
      </c>
      <c r="J2162" s="4562">
        <f>XLOOKUP(B2162,'_Sys|Line_Map'!$A:$A,'_Sys|Line_Map'!$D:$D,1,0)</f>
        <v/>
      </c>
      <c r="K2162" s="4562">
        <f>IF(D2162="","",D2162*J2162)</f>
        <v/>
      </c>
      <c r="L2162" s="4562">
        <f>XLOOKUP(B2162,'_Sys|Line_Map'!$A:$A,'_Sys|Line_Map'!$B:$B,"MISSING",0)</f>
        <v/>
      </c>
    </row>
    <row r="2163">
      <c r="A2163" s="4561" t="n"/>
      <c r="B2163" s="4561" t="n"/>
      <c r="C2163" s="4561" t="n"/>
      <c r="D2163" s="4561" t="n"/>
      <c r="E2163" s="4561" t="n"/>
      <c r="F2163" s="4561" t="n"/>
      <c r="G2163" s="4561" t="n"/>
      <c r="H2163" s="4561" t="n"/>
      <c r="I2163" s="4562">
        <f>XLOOKUP(B2163,'_Sys|Line_Map'!$A:$A,'_Sys|Line_Map'!$C:$C,"MISSING",0)</f>
        <v/>
      </c>
      <c r="J2163" s="4562">
        <f>XLOOKUP(B2163,'_Sys|Line_Map'!$A:$A,'_Sys|Line_Map'!$D:$D,1,0)</f>
        <v/>
      </c>
      <c r="K2163" s="4562">
        <f>IF(D2163="","",D2163*J2163)</f>
        <v/>
      </c>
      <c r="L2163" s="4562">
        <f>XLOOKUP(B2163,'_Sys|Line_Map'!$A:$A,'_Sys|Line_Map'!$B:$B,"MISSING",0)</f>
        <v/>
      </c>
    </row>
    <row r="2164">
      <c r="A2164" s="4561" t="n"/>
      <c r="B2164" s="4561" t="n"/>
      <c r="C2164" s="4561" t="n"/>
      <c r="D2164" s="4561" t="n"/>
      <c r="E2164" s="4561" t="n"/>
      <c r="F2164" s="4561" t="n"/>
      <c r="G2164" s="4561" t="n"/>
      <c r="H2164" s="4561" t="n"/>
      <c r="I2164" s="4562">
        <f>XLOOKUP(B2164,'_Sys|Line_Map'!$A:$A,'_Sys|Line_Map'!$C:$C,"MISSING",0)</f>
        <v/>
      </c>
      <c r="J2164" s="4562">
        <f>XLOOKUP(B2164,'_Sys|Line_Map'!$A:$A,'_Sys|Line_Map'!$D:$D,1,0)</f>
        <v/>
      </c>
      <c r="K2164" s="4562">
        <f>IF(D2164="","",D2164*J2164)</f>
        <v/>
      </c>
      <c r="L2164" s="4562">
        <f>XLOOKUP(B2164,'_Sys|Line_Map'!$A:$A,'_Sys|Line_Map'!$B:$B,"MISSING",0)</f>
        <v/>
      </c>
    </row>
    <row r="2165">
      <c r="A2165" s="4561" t="n"/>
      <c r="B2165" s="4561" t="n"/>
      <c r="C2165" s="4561" t="n"/>
      <c r="D2165" s="4561" t="n"/>
      <c r="E2165" s="4561" t="n"/>
      <c r="F2165" s="4561" t="n"/>
      <c r="G2165" s="4561" t="n"/>
      <c r="H2165" s="4561" t="n"/>
      <c r="I2165" s="4562">
        <f>XLOOKUP(B2165,'_Sys|Line_Map'!$A:$A,'_Sys|Line_Map'!$C:$C,"MISSING",0)</f>
        <v/>
      </c>
      <c r="J2165" s="4562">
        <f>XLOOKUP(B2165,'_Sys|Line_Map'!$A:$A,'_Sys|Line_Map'!$D:$D,1,0)</f>
        <v/>
      </c>
      <c r="K2165" s="4562">
        <f>IF(D2165="","",D2165*J2165)</f>
        <v/>
      </c>
      <c r="L2165" s="4562">
        <f>XLOOKUP(B2165,'_Sys|Line_Map'!$A:$A,'_Sys|Line_Map'!$B:$B,"MISSING",0)</f>
        <v/>
      </c>
    </row>
    <row r="2166">
      <c r="A2166" s="4561" t="n"/>
      <c r="B2166" s="4561" t="n"/>
      <c r="C2166" s="4561" t="n"/>
      <c r="D2166" s="4561" t="n"/>
      <c r="E2166" s="4561" t="n"/>
      <c r="F2166" s="4561" t="n"/>
      <c r="G2166" s="4561" t="n"/>
      <c r="H2166" s="4561" t="n"/>
      <c r="I2166" s="4562">
        <f>XLOOKUP(B2166,'_Sys|Line_Map'!$A:$A,'_Sys|Line_Map'!$C:$C,"MISSING",0)</f>
        <v/>
      </c>
      <c r="J2166" s="4562">
        <f>XLOOKUP(B2166,'_Sys|Line_Map'!$A:$A,'_Sys|Line_Map'!$D:$D,1,0)</f>
        <v/>
      </c>
      <c r="K2166" s="4562">
        <f>IF(D2166="","",D2166*J2166)</f>
        <v/>
      </c>
      <c r="L2166" s="4562">
        <f>XLOOKUP(B2166,'_Sys|Line_Map'!$A:$A,'_Sys|Line_Map'!$B:$B,"MISSING",0)</f>
        <v/>
      </c>
    </row>
    <row r="2167">
      <c r="A2167" s="4561" t="n"/>
      <c r="B2167" s="4561" t="n"/>
      <c r="C2167" s="4561" t="n"/>
      <c r="D2167" s="4561" t="n"/>
      <c r="E2167" s="4561" t="n"/>
      <c r="F2167" s="4561" t="n"/>
      <c r="G2167" s="4561" t="n"/>
      <c r="H2167" s="4561" t="n"/>
      <c r="I2167" s="4562">
        <f>XLOOKUP(B2167,'_Sys|Line_Map'!$A:$A,'_Sys|Line_Map'!$C:$C,"MISSING",0)</f>
        <v/>
      </c>
      <c r="J2167" s="4562">
        <f>XLOOKUP(B2167,'_Sys|Line_Map'!$A:$A,'_Sys|Line_Map'!$D:$D,1,0)</f>
        <v/>
      </c>
      <c r="K2167" s="4562">
        <f>IF(D2167="","",D2167*J2167)</f>
        <v/>
      </c>
      <c r="L2167" s="4562">
        <f>XLOOKUP(B2167,'_Sys|Line_Map'!$A:$A,'_Sys|Line_Map'!$B:$B,"MISSING",0)</f>
        <v/>
      </c>
    </row>
    <row r="2168">
      <c r="A2168" s="4561" t="n"/>
      <c r="B2168" s="4561" t="n"/>
      <c r="C2168" s="4561" t="n"/>
      <c r="D2168" s="4561" t="n"/>
      <c r="E2168" s="4561" t="n"/>
      <c r="F2168" s="4561" t="n"/>
      <c r="G2168" s="4561" t="n"/>
      <c r="H2168" s="4561" t="n"/>
      <c r="I2168" s="4562">
        <f>XLOOKUP(B2168,'_Sys|Line_Map'!$A:$A,'_Sys|Line_Map'!$C:$C,"MISSING",0)</f>
        <v/>
      </c>
      <c r="J2168" s="4562">
        <f>XLOOKUP(B2168,'_Sys|Line_Map'!$A:$A,'_Sys|Line_Map'!$D:$D,1,0)</f>
        <v/>
      </c>
      <c r="K2168" s="4562">
        <f>IF(D2168="","",D2168*J2168)</f>
        <v/>
      </c>
      <c r="L2168" s="4562">
        <f>XLOOKUP(B2168,'_Sys|Line_Map'!$A:$A,'_Sys|Line_Map'!$B:$B,"MISSING",0)</f>
        <v/>
      </c>
    </row>
    <row r="2169">
      <c r="A2169" s="4561" t="n"/>
      <c r="B2169" s="4561" t="n"/>
      <c r="C2169" s="4561" t="n"/>
      <c r="D2169" s="4561" t="n"/>
      <c r="E2169" s="4561" t="n"/>
      <c r="F2169" s="4561" t="n"/>
      <c r="G2169" s="4561" t="n"/>
      <c r="H2169" s="4561" t="n"/>
      <c r="I2169" s="4562">
        <f>XLOOKUP(B2169,'_Sys|Line_Map'!$A:$A,'_Sys|Line_Map'!$C:$C,"MISSING",0)</f>
        <v/>
      </c>
      <c r="J2169" s="4562">
        <f>XLOOKUP(B2169,'_Sys|Line_Map'!$A:$A,'_Sys|Line_Map'!$D:$D,1,0)</f>
        <v/>
      </c>
      <c r="K2169" s="4562">
        <f>IF(D2169="","",D2169*J2169)</f>
        <v/>
      </c>
      <c r="L2169" s="4562">
        <f>XLOOKUP(B2169,'_Sys|Line_Map'!$A:$A,'_Sys|Line_Map'!$B:$B,"MISSING",0)</f>
        <v/>
      </c>
    </row>
    <row r="2170">
      <c r="A2170" s="4561" t="n"/>
      <c r="B2170" s="4561" t="n"/>
      <c r="C2170" s="4561" t="n"/>
      <c r="D2170" s="4561" t="n"/>
      <c r="E2170" s="4561" t="n"/>
      <c r="F2170" s="4561" t="n"/>
      <c r="G2170" s="4561" t="n"/>
      <c r="H2170" s="4561" t="n"/>
      <c r="I2170" s="4562">
        <f>XLOOKUP(B2170,'_Sys|Line_Map'!$A:$A,'_Sys|Line_Map'!$C:$C,"MISSING",0)</f>
        <v/>
      </c>
      <c r="J2170" s="4562">
        <f>XLOOKUP(B2170,'_Sys|Line_Map'!$A:$A,'_Sys|Line_Map'!$D:$D,1,0)</f>
        <v/>
      </c>
      <c r="K2170" s="4562">
        <f>IF(D2170="","",D2170*J2170)</f>
        <v/>
      </c>
      <c r="L2170" s="4562">
        <f>XLOOKUP(B2170,'_Sys|Line_Map'!$A:$A,'_Sys|Line_Map'!$B:$B,"MISSING",0)</f>
        <v/>
      </c>
    </row>
    <row r="2171">
      <c r="A2171" s="4561" t="n"/>
      <c r="B2171" s="4561" t="n"/>
      <c r="C2171" s="4561" t="n"/>
      <c r="D2171" s="4561" t="n"/>
      <c r="E2171" s="4561" t="n"/>
      <c r="F2171" s="4561" t="n"/>
      <c r="G2171" s="4561" t="n"/>
      <c r="H2171" s="4561" t="n"/>
      <c r="I2171" s="4562">
        <f>XLOOKUP(B2171,'_Sys|Line_Map'!$A:$A,'_Sys|Line_Map'!$C:$C,"MISSING",0)</f>
        <v/>
      </c>
      <c r="J2171" s="4562">
        <f>XLOOKUP(B2171,'_Sys|Line_Map'!$A:$A,'_Sys|Line_Map'!$D:$D,1,0)</f>
        <v/>
      </c>
      <c r="K2171" s="4562">
        <f>IF(D2171="","",D2171*J2171)</f>
        <v/>
      </c>
      <c r="L2171" s="4562">
        <f>XLOOKUP(B2171,'_Sys|Line_Map'!$A:$A,'_Sys|Line_Map'!$B:$B,"MISSING",0)</f>
        <v/>
      </c>
    </row>
    <row r="2172">
      <c r="A2172" s="4561" t="n"/>
      <c r="B2172" s="4561" t="n"/>
      <c r="C2172" s="4561" t="n"/>
      <c r="D2172" s="4561" t="n"/>
      <c r="E2172" s="4561" t="n"/>
      <c r="F2172" s="4561" t="n"/>
      <c r="G2172" s="4561" t="n"/>
      <c r="H2172" s="4561" t="n"/>
      <c r="I2172" s="4562">
        <f>XLOOKUP(B2172,'_Sys|Line_Map'!$A:$A,'_Sys|Line_Map'!$C:$C,"MISSING",0)</f>
        <v/>
      </c>
      <c r="J2172" s="4562">
        <f>XLOOKUP(B2172,'_Sys|Line_Map'!$A:$A,'_Sys|Line_Map'!$D:$D,1,0)</f>
        <v/>
      </c>
      <c r="K2172" s="4562">
        <f>IF(D2172="","",D2172*J2172)</f>
        <v/>
      </c>
      <c r="L2172" s="4562">
        <f>XLOOKUP(B2172,'_Sys|Line_Map'!$A:$A,'_Sys|Line_Map'!$B:$B,"MISSING",0)</f>
        <v/>
      </c>
    </row>
    <row r="2173">
      <c r="A2173" s="4561" t="n"/>
      <c r="B2173" s="4561" t="n"/>
      <c r="C2173" s="4561" t="n"/>
      <c r="D2173" s="4561" t="n"/>
      <c r="E2173" s="4561" t="n"/>
      <c r="F2173" s="4561" t="n"/>
      <c r="G2173" s="4561" t="n"/>
      <c r="H2173" s="4561" t="n"/>
      <c r="I2173" s="4562">
        <f>XLOOKUP(B2173,'_Sys|Line_Map'!$A:$A,'_Sys|Line_Map'!$C:$C,"MISSING",0)</f>
        <v/>
      </c>
      <c r="J2173" s="4562">
        <f>XLOOKUP(B2173,'_Sys|Line_Map'!$A:$A,'_Sys|Line_Map'!$D:$D,1,0)</f>
        <v/>
      </c>
      <c r="K2173" s="4562">
        <f>IF(D2173="","",D2173*J2173)</f>
        <v/>
      </c>
      <c r="L2173" s="4562">
        <f>XLOOKUP(B2173,'_Sys|Line_Map'!$A:$A,'_Sys|Line_Map'!$B:$B,"MISSING",0)</f>
        <v/>
      </c>
    </row>
    <row r="2174">
      <c r="A2174" s="4561" t="n"/>
      <c r="B2174" s="4561" t="n"/>
      <c r="C2174" s="4561" t="n"/>
      <c r="D2174" s="4561" t="n"/>
      <c r="E2174" s="4561" t="n"/>
      <c r="F2174" s="4561" t="n"/>
      <c r="G2174" s="4561" t="n"/>
      <c r="H2174" s="4561" t="n"/>
      <c r="I2174" s="4562">
        <f>XLOOKUP(B2174,'_Sys|Line_Map'!$A:$A,'_Sys|Line_Map'!$C:$C,"MISSING",0)</f>
        <v/>
      </c>
      <c r="J2174" s="4562">
        <f>XLOOKUP(B2174,'_Sys|Line_Map'!$A:$A,'_Sys|Line_Map'!$D:$D,1,0)</f>
        <v/>
      </c>
      <c r="K2174" s="4562">
        <f>IF(D2174="","",D2174*J2174)</f>
        <v/>
      </c>
      <c r="L2174" s="4562">
        <f>XLOOKUP(B2174,'_Sys|Line_Map'!$A:$A,'_Sys|Line_Map'!$B:$B,"MISSING",0)</f>
        <v/>
      </c>
    </row>
    <row r="2175">
      <c r="A2175" s="4561" t="n"/>
      <c r="B2175" s="4561" t="n"/>
      <c r="C2175" s="4561" t="n"/>
      <c r="D2175" s="4561" t="n"/>
      <c r="E2175" s="4561" t="n"/>
      <c r="F2175" s="4561" t="n"/>
      <c r="G2175" s="4561" t="n"/>
      <c r="H2175" s="4561" t="n"/>
      <c r="I2175" s="4562">
        <f>XLOOKUP(B2175,'_Sys|Line_Map'!$A:$A,'_Sys|Line_Map'!$C:$C,"MISSING",0)</f>
        <v/>
      </c>
      <c r="J2175" s="4562">
        <f>XLOOKUP(B2175,'_Sys|Line_Map'!$A:$A,'_Sys|Line_Map'!$D:$D,1,0)</f>
        <v/>
      </c>
      <c r="K2175" s="4562">
        <f>IF(D2175="","",D2175*J2175)</f>
        <v/>
      </c>
      <c r="L2175" s="4562">
        <f>XLOOKUP(B2175,'_Sys|Line_Map'!$A:$A,'_Sys|Line_Map'!$B:$B,"MISSING",0)</f>
        <v/>
      </c>
    </row>
    <row r="2176">
      <c r="A2176" s="4561" t="n"/>
      <c r="B2176" s="4561" t="n"/>
      <c r="C2176" s="4561" t="n"/>
      <c r="D2176" s="4561" t="n"/>
      <c r="E2176" s="4561" t="n"/>
      <c r="F2176" s="4561" t="n"/>
      <c r="G2176" s="4561" t="n"/>
      <c r="H2176" s="4561" t="n"/>
      <c r="I2176" s="4562">
        <f>XLOOKUP(B2176,'_Sys|Line_Map'!$A:$A,'_Sys|Line_Map'!$C:$C,"MISSING",0)</f>
        <v/>
      </c>
      <c r="J2176" s="4562">
        <f>XLOOKUP(B2176,'_Sys|Line_Map'!$A:$A,'_Sys|Line_Map'!$D:$D,1,0)</f>
        <v/>
      </c>
      <c r="K2176" s="4562">
        <f>IF(D2176="","",D2176*J2176)</f>
        <v/>
      </c>
      <c r="L2176" s="4562">
        <f>XLOOKUP(B2176,'_Sys|Line_Map'!$A:$A,'_Sys|Line_Map'!$B:$B,"MISSING",0)</f>
        <v/>
      </c>
    </row>
    <row r="2177">
      <c r="A2177" s="4561" t="n"/>
      <c r="B2177" s="4561" t="n"/>
      <c r="C2177" s="4561" t="n"/>
      <c r="D2177" s="4561" t="n"/>
      <c r="E2177" s="4561" t="n"/>
      <c r="F2177" s="4561" t="n"/>
      <c r="G2177" s="4561" t="n"/>
      <c r="H2177" s="4561" t="n"/>
      <c r="I2177" s="4562">
        <f>XLOOKUP(B2177,'_Sys|Line_Map'!$A:$A,'_Sys|Line_Map'!$C:$C,"MISSING",0)</f>
        <v/>
      </c>
      <c r="J2177" s="4562">
        <f>XLOOKUP(B2177,'_Sys|Line_Map'!$A:$A,'_Sys|Line_Map'!$D:$D,1,0)</f>
        <v/>
      </c>
      <c r="K2177" s="4562">
        <f>IF(D2177="","",D2177*J2177)</f>
        <v/>
      </c>
      <c r="L2177" s="4562">
        <f>XLOOKUP(B2177,'_Sys|Line_Map'!$A:$A,'_Sys|Line_Map'!$B:$B,"MISSING",0)</f>
        <v/>
      </c>
    </row>
    <row r="2178">
      <c r="A2178" s="4561" t="n"/>
      <c r="B2178" s="4561" t="n"/>
      <c r="C2178" s="4561" t="n"/>
      <c r="D2178" s="4561" t="n"/>
      <c r="E2178" s="4561" t="n"/>
      <c r="F2178" s="4561" t="n"/>
      <c r="G2178" s="4561" t="n"/>
      <c r="H2178" s="4561" t="n"/>
      <c r="I2178" s="4562">
        <f>XLOOKUP(B2178,'_Sys|Line_Map'!$A:$A,'_Sys|Line_Map'!$C:$C,"MISSING",0)</f>
        <v/>
      </c>
      <c r="J2178" s="4562">
        <f>XLOOKUP(B2178,'_Sys|Line_Map'!$A:$A,'_Sys|Line_Map'!$D:$D,1,0)</f>
        <v/>
      </c>
      <c r="K2178" s="4562">
        <f>IF(D2178="","",D2178*J2178)</f>
        <v/>
      </c>
      <c r="L2178" s="4562">
        <f>XLOOKUP(B2178,'_Sys|Line_Map'!$A:$A,'_Sys|Line_Map'!$B:$B,"MISSING",0)</f>
        <v/>
      </c>
    </row>
    <row r="2179">
      <c r="A2179" s="4561" t="n"/>
      <c r="B2179" s="4561" t="n"/>
      <c r="C2179" s="4561" t="n"/>
      <c r="D2179" s="4561" t="n"/>
      <c r="E2179" s="4561" t="n"/>
      <c r="F2179" s="4561" t="n"/>
      <c r="G2179" s="4561" t="n"/>
      <c r="H2179" s="4561" t="n"/>
      <c r="I2179" s="4562">
        <f>XLOOKUP(B2179,'_Sys|Line_Map'!$A:$A,'_Sys|Line_Map'!$C:$C,"MISSING",0)</f>
        <v/>
      </c>
      <c r="J2179" s="4562">
        <f>XLOOKUP(B2179,'_Sys|Line_Map'!$A:$A,'_Sys|Line_Map'!$D:$D,1,0)</f>
        <v/>
      </c>
      <c r="K2179" s="4562">
        <f>IF(D2179="","",D2179*J2179)</f>
        <v/>
      </c>
      <c r="L2179" s="4562">
        <f>XLOOKUP(B2179,'_Sys|Line_Map'!$A:$A,'_Sys|Line_Map'!$B:$B,"MISSING",0)</f>
        <v/>
      </c>
    </row>
    <row r="2180">
      <c r="A2180" s="4561" t="n"/>
      <c r="B2180" s="4561" t="n"/>
      <c r="C2180" s="4561" t="n"/>
      <c r="D2180" s="4561" t="n"/>
      <c r="E2180" s="4561" t="n"/>
      <c r="F2180" s="4561" t="n"/>
      <c r="G2180" s="4561" t="n"/>
      <c r="H2180" s="4561" t="n"/>
      <c r="I2180" s="4562">
        <f>XLOOKUP(B2180,'_Sys|Line_Map'!$A:$A,'_Sys|Line_Map'!$C:$C,"MISSING",0)</f>
        <v/>
      </c>
      <c r="J2180" s="4562">
        <f>XLOOKUP(B2180,'_Sys|Line_Map'!$A:$A,'_Sys|Line_Map'!$D:$D,1,0)</f>
        <v/>
      </c>
      <c r="K2180" s="4562">
        <f>IF(D2180="","",D2180*J2180)</f>
        <v/>
      </c>
      <c r="L2180" s="4562">
        <f>XLOOKUP(B2180,'_Sys|Line_Map'!$A:$A,'_Sys|Line_Map'!$B:$B,"MISSING",0)</f>
        <v/>
      </c>
    </row>
    <row r="2181">
      <c r="A2181" s="4561" t="n"/>
      <c r="B2181" s="4561" t="n"/>
      <c r="C2181" s="4561" t="n"/>
      <c r="D2181" s="4561" t="n"/>
      <c r="E2181" s="4561" t="n"/>
      <c r="F2181" s="4561" t="n"/>
      <c r="G2181" s="4561" t="n"/>
      <c r="H2181" s="4561" t="n"/>
      <c r="I2181" s="4562">
        <f>XLOOKUP(B2181,'_Sys|Line_Map'!$A:$A,'_Sys|Line_Map'!$C:$C,"MISSING",0)</f>
        <v/>
      </c>
      <c r="J2181" s="4562">
        <f>XLOOKUP(B2181,'_Sys|Line_Map'!$A:$A,'_Sys|Line_Map'!$D:$D,1,0)</f>
        <v/>
      </c>
      <c r="K2181" s="4562">
        <f>IF(D2181="","",D2181*J2181)</f>
        <v/>
      </c>
      <c r="L2181" s="4562">
        <f>XLOOKUP(B2181,'_Sys|Line_Map'!$A:$A,'_Sys|Line_Map'!$B:$B,"MISSING",0)</f>
        <v/>
      </c>
    </row>
    <row r="2182">
      <c r="A2182" s="4561" t="n"/>
      <c r="B2182" s="4561" t="n"/>
      <c r="C2182" s="4561" t="n"/>
      <c r="D2182" s="4561" t="n"/>
      <c r="E2182" s="4561" t="n"/>
      <c r="F2182" s="4561" t="n"/>
      <c r="G2182" s="4561" t="n"/>
      <c r="H2182" s="4561" t="n"/>
      <c r="I2182" s="4562">
        <f>XLOOKUP(B2182,'_Sys|Line_Map'!$A:$A,'_Sys|Line_Map'!$C:$C,"MISSING",0)</f>
        <v/>
      </c>
      <c r="J2182" s="4562">
        <f>XLOOKUP(B2182,'_Sys|Line_Map'!$A:$A,'_Sys|Line_Map'!$D:$D,1,0)</f>
        <v/>
      </c>
      <c r="K2182" s="4562">
        <f>IF(D2182="","",D2182*J2182)</f>
        <v/>
      </c>
      <c r="L2182" s="4562">
        <f>XLOOKUP(B2182,'_Sys|Line_Map'!$A:$A,'_Sys|Line_Map'!$B:$B,"MISSING",0)</f>
        <v/>
      </c>
    </row>
    <row r="2183">
      <c r="A2183" s="4561" t="n"/>
      <c r="B2183" s="4561" t="n"/>
      <c r="C2183" s="4561" t="n"/>
      <c r="D2183" s="4561" t="n"/>
      <c r="E2183" s="4561" t="n"/>
      <c r="F2183" s="4561" t="n"/>
      <c r="G2183" s="4561" t="n"/>
      <c r="H2183" s="4561" t="n"/>
      <c r="I2183" s="4562">
        <f>XLOOKUP(B2183,'_Sys|Line_Map'!$A:$A,'_Sys|Line_Map'!$C:$C,"MISSING",0)</f>
        <v/>
      </c>
      <c r="J2183" s="4562">
        <f>XLOOKUP(B2183,'_Sys|Line_Map'!$A:$A,'_Sys|Line_Map'!$D:$D,1,0)</f>
        <v/>
      </c>
      <c r="K2183" s="4562">
        <f>IF(D2183="","",D2183*J2183)</f>
        <v/>
      </c>
      <c r="L2183" s="4562">
        <f>XLOOKUP(B2183,'_Sys|Line_Map'!$A:$A,'_Sys|Line_Map'!$B:$B,"MISSING",0)</f>
        <v/>
      </c>
    </row>
    <row r="2184">
      <c r="A2184" s="4561" t="n"/>
      <c r="B2184" s="4561" t="n"/>
      <c r="C2184" s="4561" t="n"/>
      <c r="D2184" s="4561" t="n"/>
      <c r="E2184" s="4561" t="n"/>
      <c r="F2184" s="4561" t="n"/>
      <c r="G2184" s="4561" t="n"/>
      <c r="H2184" s="4561" t="n"/>
      <c r="I2184" s="4562">
        <f>XLOOKUP(B2184,'_Sys|Line_Map'!$A:$A,'_Sys|Line_Map'!$C:$C,"MISSING",0)</f>
        <v/>
      </c>
      <c r="J2184" s="4562">
        <f>XLOOKUP(B2184,'_Sys|Line_Map'!$A:$A,'_Sys|Line_Map'!$D:$D,1,0)</f>
        <v/>
      </c>
      <c r="K2184" s="4562">
        <f>IF(D2184="","",D2184*J2184)</f>
        <v/>
      </c>
      <c r="L2184" s="4562">
        <f>XLOOKUP(B2184,'_Sys|Line_Map'!$A:$A,'_Sys|Line_Map'!$B:$B,"MISSING",0)</f>
        <v/>
      </c>
    </row>
    <row r="2185">
      <c r="A2185" s="4561" t="n"/>
      <c r="B2185" s="4561" t="n"/>
      <c r="C2185" s="4561" t="n"/>
      <c r="D2185" s="4561" t="n"/>
      <c r="E2185" s="4561" t="n"/>
      <c r="F2185" s="4561" t="n"/>
      <c r="G2185" s="4561" t="n"/>
      <c r="H2185" s="4561" t="n"/>
      <c r="I2185" s="4562">
        <f>XLOOKUP(B2185,'_Sys|Line_Map'!$A:$A,'_Sys|Line_Map'!$C:$C,"MISSING",0)</f>
        <v/>
      </c>
      <c r="J2185" s="4562">
        <f>XLOOKUP(B2185,'_Sys|Line_Map'!$A:$A,'_Sys|Line_Map'!$D:$D,1,0)</f>
        <v/>
      </c>
      <c r="K2185" s="4562">
        <f>IF(D2185="","",D2185*J2185)</f>
        <v/>
      </c>
      <c r="L2185" s="4562">
        <f>XLOOKUP(B2185,'_Sys|Line_Map'!$A:$A,'_Sys|Line_Map'!$B:$B,"MISSING",0)</f>
        <v/>
      </c>
    </row>
    <row r="2186">
      <c r="A2186" s="4561" t="n"/>
      <c r="B2186" s="4561" t="n"/>
      <c r="C2186" s="4561" t="n"/>
      <c r="D2186" s="4561" t="n"/>
      <c r="E2186" s="4561" t="n"/>
      <c r="F2186" s="4561" t="n"/>
      <c r="G2186" s="4561" t="n"/>
      <c r="H2186" s="4561" t="n"/>
      <c r="I2186" s="4562">
        <f>XLOOKUP(B2186,'_Sys|Line_Map'!$A:$A,'_Sys|Line_Map'!$C:$C,"MISSING",0)</f>
        <v/>
      </c>
      <c r="J2186" s="4562">
        <f>XLOOKUP(B2186,'_Sys|Line_Map'!$A:$A,'_Sys|Line_Map'!$D:$D,1,0)</f>
        <v/>
      </c>
      <c r="K2186" s="4562">
        <f>IF(D2186="","",D2186*J2186)</f>
        <v/>
      </c>
      <c r="L2186" s="4562">
        <f>XLOOKUP(B2186,'_Sys|Line_Map'!$A:$A,'_Sys|Line_Map'!$B:$B,"MISSING",0)</f>
        <v/>
      </c>
    </row>
    <row r="2187">
      <c r="A2187" s="4561" t="n"/>
      <c r="B2187" s="4561" t="n"/>
      <c r="C2187" s="4561" t="n"/>
      <c r="D2187" s="4561" t="n"/>
      <c r="E2187" s="4561" t="n"/>
      <c r="F2187" s="4561" t="n"/>
      <c r="G2187" s="4561" t="n"/>
      <c r="H2187" s="4561" t="n"/>
      <c r="I2187" s="4562">
        <f>XLOOKUP(B2187,'_Sys|Line_Map'!$A:$A,'_Sys|Line_Map'!$C:$C,"MISSING",0)</f>
        <v/>
      </c>
      <c r="J2187" s="4562">
        <f>XLOOKUP(B2187,'_Sys|Line_Map'!$A:$A,'_Sys|Line_Map'!$D:$D,1,0)</f>
        <v/>
      </c>
      <c r="K2187" s="4562">
        <f>IF(D2187="","",D2187*J2187)</f>
        <v/>
      </c>
      <c r="L2187" s="4562">
        <f>XLOOKUP(B2187,'_Sys|Line_Map'!$A:$A,'_Sys|Line_Map'!$B:$B,"MISSING",0)</f>
        <v/>
      </c>
    </row>
    <row r="2188">
      <c r="A2188" s="4561" t="n"/>
      <c r="B2188" s="4561" t="n"/>
      <c r="C2188" s="4561" t="n"/>
      <c r="D2188" s="4561" t="n"/>
      <c r="E2188" s="4561" t="n"/>
      <c r="F2188" s="4561" t="n"/>
      <c r="G2188" s="4561" t="n"/>
      <c r="H2188" s="4561" t="n"/>
      <c r="I2188" s="4562">
        <f>XLOOKUP(B2188,'_Sys|Line_Map'!$A:$A,'_Sys|Line_Map'!$C:$C,"MISSING",0)</f>
        <v/>
      </c>
      <c r="J2188" s="4562">
        <f>XLOOKUP(B2188,'_Sys|Line_Map'!$A:$A,'_Sys|Line_Map'!$D:$D,1,0)</f>
        <v/>
      </c>
      <c r="K2188" s="4562">
        <f>IF(D2188="","",D2188*J2188)</f>
        <v/>
      </c>
      <c r="L2188" s="4562">
        <f>XLOOKUP(B2188,'_Sys|Line_Map'!$A:$A,'_Sys|Line_Map'!$B:$B,"MISSING",0)</f>
        <v/>
      </c>
    </row>
    <row r="2189">
      <c r="A2189" s="4561" t="n"/>
      <c r="B2189" s="4561" t="n"/>
      <c r="C2189" s="4561" t="n"/>
      <c r="D2189" s="4561" t="n"/>
      <c r="E2189" s="4561" t="n"/>
      <c r="F2189" s="4561" t="n"/>
      <c r="G2189" s="4561" t="n"/>
      <c r="H2189" s="4561" t="n"/>
      <c r="I2189" s="4562">
        <f>XLOOKUP(B2189,'_Sys|Line_Map'!$A:$A,'_Sys|Line_Map'!$C:$C,"MISSING",0)</f>
        <v/>
      </c>
      <c r="J2189" s="4562">
        <f>XLOOKUP(B2189,'_Sys|Line_Map'!$A:$A,'_Sys|Line_Map'!$D:$D,1,0)</f>
        <v/>
      </c>
      <c r="K2189" s="4562">
        <f>IF(D2189="","",D2189*J2189)</f>
        <v/>
      </c>
      <c r="L2189" s="4562">
        <f>XLOOKUP(B2189,'_Sys|Line_Map'!$A:$A,'_Sys|Line_Map'!$B:$B,"MISSING",0)</f>
        <v/>
      </c>
    </row>
    <row r="2190">
      <c r="A2190" s="4561" t="n"/>
      <c r="B2190" s="4561" t="n"/>
      <c r="C2190" s="4561" t="n"/>
      <c r="D2190" s="4561" t="n"/>
      <c r="E2190" s="4561" t="n"/>
      <c r="F2190" s="4561" t="n"/>
      <c r="G2190" s="4561" t="n"/>
      <c r="H2190" s="4561" t="n"/>
      <c r="I2190" s="4562">
        <f>XLOOKUP(B2190,'_Sys|Line_Map'!$A:$A,'_Sys|Line_Map'!$C:$C,"MISSING",0)</f>
        <v/>
      </c>
      <c r="J2190" s="4562">
        <f>XLOOKUP(B2190,'_Sys|Line_Map'!$A:$A,'_Sys|Line_Map'!$D:$D,1,0)</f>
        <v/>
      </c>
      <c r="K2190" s="4562">
        <f>IF(D2190="","",D2190*J2190)</f>
        <v/>
      </c>
      <c r="L2190" s="4562">
        <f>XLOOKUP(B2190,'_Sys|Line_Map'!$A:$A,'_Sys|Line_Map'!$B:$B,"MISSING",0)</f>
        <v/>
      </c>
    </row>
    <row r="2191">
      <c r="A2191" s="4561" t="n"/>
      <c r="B2191" s="4561" t="n"/>
      <c r="C2191" s="4561" t="n"/>
      <c r="D2191" s="4561" t="n"/>
      <c r="E2191" s="4561" t="n"/>
      <c r="F2191" s="4561" t="n"/>
      <c r="G2191" s="4561" t="n"/>
      <c r="H2191" s="4561" t="n"/>
      <c r="I2191" s="4562">
        <f>XLOOKUP(B2191,'_Sys|Line_Map'!$A:$A,'_Sys|Line_Map'!$C:$C,"MISSING",0)</f>
        <v/>
      </c>
      <c r="J2191" s="4562">
        <f>XLOOKUP(B2191,'_Sys|Line_Map'!$A:$A,'_Sys|Line_Map'!$D:$D,1,0)</f>
        <v/>
      </c>
      <c r="K2191" s="4562">
        <f>IF(D2191="","",D2191*J2191)</f>
        <v/>
      </c>
      <c r="L2191" s="4562">
        <f>XLOOKUP(B2191,'_Sys|Line_Map'!$A:$A,'_Sys|Line_Map'!$B:$B,"MISSING",0)</f>
        <v/>
      </c>
    </row>
    <row r="2192">
      <c r="A2192" s="4561" t="n"/>
      <c r="B2192" s="4561" t="n"/>
      <c r="C2192" s="4561" t="n"/>
      <c r="D2192" s="4561" t="n"/>
      <c r="E2192" s="4561" t="n"/>
      <c r="F2192" s="4561" t="n"/>
      <c r="G2192" s="4561" t="n"/>
      <c r="H2192" s="4561" t="n"/>
      <c r="I2192" s="4562">
        <f>XLOOKUP(B2192,'_Sys|Line_Map'!$A:$A,'_Sys|Line_Map'!$C:$C,"MISSING",0)</f>
        <v/>
      </c>
      <c r="J2192" s="4562">
        <f>XLOOKUP(B2192,'_Sys|Line_Map'!$A:$A,'_Sys|Line_Map'!$D:$D,1,0)</f>
        <v/>
      </c>
      <c r="K2192" s="4562">
        <f>IF(D2192="","",D2192*J2192)</f>
        <v/>
      </c>
      <c r="L2192" s="4562">
        <f>XLOOKUP(B2192,'_Sys|Line_Map'!$A:$A,'_Sys|Line_Map'!$B:$B,"MISSING",0)</f>
        <v/>
      </c>
    </row>
    <row r="2193">
      <c r="A2193" s="4561" t="n"/>
      <c r="B2193" s="4561" t="n"/>
      <c r="C2193" s="4561" t="n"/>
      <c r="D2193" s="4561" t="n"/>
      <c r="E2193" s="4561" t="n"/>
      <c r="F2193" s="4561" t="n"/>
      <c r="G2193" s="4561" t="n"/>
      <c r="H2193" s="4561" t="n"/>
      <c r="I2193" s="4562">
        <f>XLOOKUP(B2193,'_Sys|Line_Map'!$A:$A,'_Sys|Line_Map'!$C:$C,"MISSING",0)</f>
        <v/>
      </c>
      <c r="J2193" s="4562">
        <f>XLOOKUP(B2193,'_Sys|Line_Map'!$A:$A,'_Sys|Line_Map'!$D:$D,1,0)</f>
        <v/>
      </c>
      <c r="K2193" s="4562">
        <f>IF(D2193="","",D2193*J2193)</f>
        <v/>
      </c>
      <c r="L2193" s="4562">
        <f>XLOOKUP(B2193,'_Sys|Line_Map'!$A:$A,'_Sys|Line_Map'!$B:$B,"MISSING",0)</f>
        <v/>
      </c>
    </row>
    <row r="2194">
      <c r="A2194" s="4561" t="n"/>
      <c r="B2194" s="4561" t="n"/>
      <c r="C2194" s="4561" t="n"/>
      <c r="D2194" s="4561" t="n"/>
      <c r="E2194" s="4561" t="n"/>
      <c r="F2194" s="4561" t="n"/>
      <c r="G2194" s="4561" t="n"/>
      <c r="H2194" s="4561" t="n"/>
      <c r="I2194" s="4562">
        <f>XLOOKUP(B2194,'_Sys|Line_Map'!$A:$A,'_Sys|Line_Map'!$C:$C,"MISSING",0)</f>
        <v/>
      </c>
      <c r="J2194" s="4562">
        <f>XLOOKUP(B2194,'_Sys|Line_Map'!$A:$A,'_Sys|Line_Map'!$D:$D,1,0)</f>
        <v/>
      </c>
      <c r="K2194" s="4562">
        <f>IF(D2194="","",D2194*J2194)</f>
        <v/>
      </c>
      <c r="L2194" s="4562">
        <f>XLOOKUP(B2194,'_Sys|Line_Map'!$A:$A,'_Sys|Line_Map'!$B:$B,"MISSING",0)</f>
        <v/>
      </c>
    </row>
    <row r="2195">
      <c r="A2195" s="4561" t="n"/>
      <c r="B2195" s="4561" t="n"/>
      <c r="C2195" s="4561" t="n"/>
      <c r="D2195" s="4561" t="n"/>
      <c r="E2195" s="4561" t="n"/>
      <c r="F2195" s="4561" t="n"/>
      <c r="G2195" s="4561" t="n"/>
      <c r="H2195" s="4561" t="n"/>
      <c r="I2195" s="4562">
        <f>XLOOKUP(B2195,'_Sys|Line_Map'!$A:$A,'_Sys|Line_Map'!$C:$C,"MISSING",0)</f>
        <v/>
      </c>
      <c r="J2195" s="4562">
        <f>XLOOKUP(B2195,'_Sys|Line_Map'!$A:$A,'_Sys|Line_Map'!$D:$D,1,0)</f>
        <v/>
      </c>
      <c r="K2195" s="4562">
        <f>IF(D2195="","",D2195*J2195)</f>
        <v/>
      </c>
      <c r="L2195" s="4562">
        <f>XLOOKUP(B2195,'_Sys|Line_Map'!$A:$A,'_Sys|Line_Map'!$B:$B,"MISSING",0)</f>
        <v/>
      </c>
    </row>
    <row r="2196">
      <c r="A2196" s="4561" t="n"/>
      <c r="B2196" s="4561" t="n"/>
      <c r="C2196" s="4561" t="n"/>
      <c r="D2196" s="4561" t="n"/>
      <c r="E2196" s="4561" t="n"/>
      <c r="F2196" s="4561" t="n"/>
      <c r="G2196" s="4561" t="n"/>
      <c r="H2196" s="4561" t="n"/>
      <c r="I2196" s="4562">
        <f>XLOOKUP(B2196,'_Sys|Line_Map'!$A:$A,'_Sys|Line_Map'!$C:$C,"MISSING",0)</f>
        <v/>
      </c>
      <c r="J2196" s="4562">
        <f>XLOOKUP(B2196,'_Sys|Line_Map'!$A:$A,'_Sys|Line_Map'!$D:$D,1,0)</f>
        <v/>
      </c>
      <c r="K2196" s="4562">
        <f>IF(D2196="","",D2196*J2196)</f>
        <v/>
      </c>
      <c r="L2196" s="4562">
        <f>XLOOKUP(B2196,'_Sys|Line_Map'!$A:$A,'_Sys|Line_Map'!$B:$B,"MISSING",0)</f>
        <v/>
      </c>
    </row>
    <row r="2197">
      <c r="A2197" s="4561" t="n"/>
      <c r="B2197" s="4561" t="n"/>
      <c r="C2197" s="4561" t="n"/>
      <c r="D2197" s="4561" t="n"/>
      <c r="E2197" s="4561" t="n"/>
      <c r="F2197" s="4561" t="n"/>
      <c r="G2197" s="4561" t="n"/>
      <c r="H2197" s="4561" t="n"/>
      <c r="I2197" s="4562">
        <f>XLOOKUP(B2197,'_Sys|Line_Map'!$A:$A,'_Sys|Line_Map'!$C:$C,"MISSING",0)</f>
        <v/>
      </c>
      <c r="J2197" s="4562">
        <f>XLOOKUP(B2197,'_Sys|Line_Map'!$A:$A,'_Sys|Line_Map'!$D:$D,1,0)</f>
        <v/>
      </c>
      <c r="K2197" s="4562">
        <f>IF(D2197="","",D2197*J2197)</f>
        <v/>
      </c>
      <c r="L2197" s="4562">
        <f>XLOOKUP(B2197,'_Sys|Line_Map'!$A:$A,'_Sys|Line_Map'!$B:$B,"MISSING",0)</f>
        <v/>
      </c>
    </row>
    <row r="2198">
      <c r="A2198" s="4561" t="n"/>
      <c r="B2198" s="4561" t="n"/>
      <c r="C2198" s="4561" t="n"/>
      <c r="D2198" s="4561" t="n"/>
      <c r="E2198" s="4561" t="n"/>
      <c r="F2198" s="4561" t="n"/>
      <c r="G2198" s="4561" t="n"/>
      <c r="H2198" s="4561" t="n"/>
      <c r="I2198" s="4562">
        <f>XLOOKUP(B2198,'_Sys|Line_Map'!$A:$A,'_Sys|Line_Map'!$C:$C,"MISSING",0)</f>
        <v/>
      </c>
      <c r="J2198" s="4562">
        <f>XLOOKUP(B2198,'_Sys|Line_Map'!$A:$A,'_Sys|Line_Map'!$D:$D,1,0)</f>
        <v/>
      </c>
      <c r="K2198" s="4562">
        <f>IF(D2198="","",D2198*J2198)</f>
        <v/>
      </c>
      <c r="L2198" s="4562">
        <f>XLOOKUP(B2198,'_Sys|Line_Map'!$A:$A,'_Sys|Line_Map'!$B:$B,"MISSING",0)</f>
        <v/>
      </c>
    </row>
    <row r="2199">
      <c r="A2199" s="4561" t="n"/>
      <c r="B2199" s="4561" t="n"/>
      <c r="C2199" s="4561" t="n"/>
      <c r="D2199" s="4561" t="n"/>
      <c r="E2199" s="4561" t="n"/>
      <c r="F2199" s="4561" t="n"/>
      <c r="G2199" s="4561" t="n"/>
      <c r="H2199" s="4561" t="n"/>
      <c r="I2199" s="4562">
        <f>XLOOKUP(B2199,'_Sys|Line_Map'!$A:$A,'_Sys|Line_Map'!$C:$C,"MISSING",0)</f>
        <v/>
      </c>
      <c r="J2199" s="4562">
        <f>XLOOKUP(B2199,'_Sys|Line_Map'!$A:$A,'_Sys|Line_Map'!$D:$D,1,0)</f>
        <v/>
      </c>
      <c r="K2199" s="4562">
        <f>IF(D2199="","",D2199*J2199)</f>
        <v/>
      </c>
      <c r="L2199" s="4562">
        <f>XLOOKUP(B2199,'_Sys|Line_Map'!$A:$A,'_Sys|Line_Map'!$B:$B,"MISSING",0)</f>
        <v/>
      </c>
    </row>
    <row r="2200">
      <c r="A2200" s="4561" t="n"/>
      <c r="B2200" s="4561" t="n"/>
      <c r="C2200" s="4561" t="n"/>
      <c r="D2200" s="4561" t="n"/>
      <c r="E2200" s="4561" t="n"/>
      <c r="F2200" s="4561" t="n"/>
      <c r="G2200" s="4561" t="n"/>
      <c r="H2200" s="4561" t="n"/>
      <c r="I2200" s="4562">
        <f>XLOOKUP(B2200,'_Sys|Line_Map'!$A:$A,'_Sys|Line_Map'!$C:$C,"MISSING",0)</f>
        <v/>
      </c>
      <c r="J2200" s="4562">
        <f>XLOOKUP(B2200,'_Sys|Line_Map'!$A:$A,'_Sys|Line_Map'!$D:$D,1,0)</f>
        <v/>
      </c>
      <c r="K2200" s="4562">
        <f>IF(D2200="","",D2200*J2200)</f>
        <v/>
      </c>
      <c r="L2200" s="4562">
        <f>XLOOKUP(B2200,'_Sys|Line_Map'!$A:$A,'_Sys|Line_Map'!$B:$B,"MISSING",0)</f>
        <v/>
      </c>
    </row>
    <row r="2201">
      <c r="A2201" s="4561" t="n"/>
      <c r="B2201" s="4561" t="n"/>
      <c r="C2201" s="4561" t="n"/>
      <c r="D2201" s="4561" t="n"/>
      <c r="E2201" s="4561" t="n"/>
      <c r="F2201" s="4561" t="n"/>
      <c r="G2201" s="4561" t="n"/>
      <c r="H2201" s="4561" t="n"/>
      <c r="I2201" s="4562">
        <f>XLOOKUP(B2201,'_Sys|Line_Map'!$A:$A,'_Sys|Line_Map'!$C:$C,"MISSING",0)</f>
        <v/>
      </c>
      <c r="J2201" s="4562">
        <f>XLOOKUP(B2201,'_Sys|Line_Map'!$A:$A,'_Sys|Line_Map'!$D:$D,1,0)</f>
        <v/>
      </c>
      <c r="K2201" s="4562">
        <f>IF(D2201="","",D2201*J2201)</f>
        <v/>
      </c>
      <c r="L2201" s="4562">
        <f>XLOOKUP(B2201,'_Sys|Line_Map'!$A:$A,'_Sys|Line_Map'!$B:$B,"MISSING",0)</f>
        <v/>
      </c>
    </row>
    <row r="2202">
      <c r="A2202" s="4561" t="n"/>
      <c r="B2202" s="4561" t="n"/>
      <c r="C2202" s="4561" t="n"/>
      <c r="D2202" s="4561" t="n"/>
      <c r="E2202" s="4561" t="n"/>
      <c r="F2202" s="4561" t="n"/>
      <c r="G2202" s="4561" t="n"/>
      <c r="H2202" s="4561" t="n"/>
      <c r="I2202" s="4562">
        <f>XLOOKUP(B2202,'_Sys|Line_Map'!$A:$A,'_Sys|Line_Map'!$C:$C,"MISSING",0)</f>
        <v/>
      </c>
      <c r="J2202" s="4562">
        <f>XLOOKUP(B2202,'_Sys|Line_Map'!$A:$A,'_Sys|Line_Map'!$D:$D,1,0)</f>
        <v/>
      </c>
      <c r="K2202" s="4562">
        <f>IF(D2202="","",D2202*J2202)</f>
        <v/>
      </c>
      <c r="L2202" s="4562">
        <f>XLOOKUP(B2202,'_Sys|Line_Map'!$A:$A,'_Sys|Line_Map'!$B:$B,"MISSING",0)</f>
        <v/>
      </c>
    </row>
    <row r="2203">
      <c r="A2203" s="4561" t="n"/>
      <c r="B2203" s="4561" t="n"/>
      <c r="C2203" s="4561" t="n"/>
      <c r="D2203" s="4561" t="n"/>
      <c r="E2203" s="4561" t="n"/>
      <c r="F2203" s="4561" t="n"/>
      <c r="G2203" s="4561" t="n"/>
      <c r="H2203" s="4561" t="n"/>
      <c r="I2203" s="4562">
        <f>XLOOKUP(B2203,'_Sys|Line_Map'!$A:$A,'_Sys|Line_Map'!$C:$C,"MISSING",0)</f>
        <v/>
      </c>
      <c r="J2203" s="4562">
        <f>XLOOKUP(B2203,'_Sys|Line_Map'!$A:$A,'_Sys|Line_Map'!$D:$D,1,0)</f>
        <v/>
      </c>
      <c r="K2203" s="4562">
        <f>IF(D2203="","",D2203*J2203)</f>
        <v/>
      </c>
      <c r="L2203" s="4562">
        <f>XLOOKUP(B2203,'_Sys|Line_Map'!$A:$A,'_Sys|Line_Map'!$B:$B,"MISSING",0)</f>
        <v/>
      </c>
    </row>
    <row r="2204">
      <c r="A2204" s="4561" t="n"/>
      <c r="B2204" s="4561" t="n"/>
      <c r="C2204" s="4561" t="n"/>
      <c r="D2204" s="4561" t="n"/>
      <c r="E2204" s="4561" t="n"/>
      <c r="F2204" s="4561" t="n"/>
      <c r="G2204" s="4561" t="n"/>
      <c r="H2204" s="4561" t="n"/>
      <c r="I2204" s="4562">
        <f>XLOOKUP(B2204,'_Sys|Line_Map'!$A:$A,'_Sys|Line_Map'!$C:$C,"MISSING",0)</f>
        <v/>
      </c>
      <c r="J2204" s="4562">
        <f>XLOOKUP(B2204,'_Sys|Line_Map'!$A:$A,'_Sys|Line_Map'!$D:$D,1,0)</f>
        <v/>
      </c>
      <c r="K2204" s="4562">
        <f>IF(D2204="","",D2204*J2204)</f>
        <v/>
      </c>
      <c r="L2204" s="4562">
        <f>XLOOKUP(B2204,'_Sys|Line_Map'!$A:$A,'_Sys|Line_Map'!$B:$B,"MISSING",0)</f>
        <v/>
      </c>
    </row>
    <row r="2205">
      <c r="A2205" s="4561" t="n"/>
      <c r="B2205" s="4561" t="n"/>
      <c r="C2205" s="4561" t="n"/>
      <c r="D2205" s="4561" t="n"/>
      <c r="E2205" s="4561" t="n"/>
      <c r="F2205" s="4561" t="n"/>
      <c r="G2205" s="4561" t="n"/>
      <c r="H2205" s="4561" t="n"/>
      <c r="I2205" s="4562">
        <f>XLOOKUP(B2205,'_Sys|Line_Map'!$A:$A,'_Sys|Line_Map'!$C:$C,"MISSING",0)</f>
        <v/>
      </c>
      <c r="J2205" s="4562">
        <f>XLOOKUP(B2205,'_Sys|Line_Map'!$A:$A,'_Sys|Line_Map'!$D:$D,1,0)</f>
        <v/>
      </c>
      <c r="K2205" s="4562">
        <f>IF(D2205="","",D2205*J2205)</f>
        <v/>
      </c>
      <c r="L2205" s="4562">
        <f>XLOOKUP(B2205,'_Sys|Line_Map'!$A:$A,'_Sys|Line_Map'!$B:$B,"MISSING",0)</f>
        <v/>
      </c>
    </row>
    <row r="2206">
      <c r="A2206" s="4561" t="n"/>
      <c r="B2206" s="4561" t="n"/>
      <c r="C2206" s="4561" t="n"/>
      <c r="D2206" s="4561" t="n"/>
      <c r="E2206" s="4561" t="n"/>
      <c r="F2206" s="4561" t="n"/>
      <c r="G2206" s="4561" t="n"/>
      <c r="H2206" s="4561" t="n"/>
      <c r="I2206" s="4562">
        <f>XLOOKUP(B2206,'_Sys|Line_Map'!$A:$A,'_Sys|Line_Map'!$C:$C,"MISSING",0)</f>
        <v/>
      </c>
      <c r="J2206" s="4562">
        <f>XLOOKUP(B2206,'_Sys|Line_Map'!$A:$A,'_Sys|Line_Map'!$D:$D,1,0)</f>
        <v/>
      </c>
      <c r="K2206" s="4562">
        <f>IF(D2206="","",D2206*J2206)</f>
        <v/>
      </c>
      <c r="L2206" s="4562">
        <f>XLOOKUP(B2206,'_Sys|Line_Map'!$A:$A,'_Sys|Line_Map'!$B:$B,"MISSING",0)</f>
        <v/>
      </c>
    </row>
    <row r="2207">
      <c r="A2207" s="4561" t="n"/>
      <c r="B2207" s="4561" t="n"/>
      <c r="C2207" s="4561" t="n"/>
      <c r="D2207" s="4561" t="n"/>
      <c r="E2207" s="4561" t="n"/>
      <c r="F2207" s="4561" t="n"/>
      <c r="G2207" s="4561" t="n"/>
      <c r="H2207" s="4561" t="n"/>
      <c r="I2207" s="4562">
        <f>XLOOKUP(B2207,'_Sys|Line_Map'!$A:$A,'_Sys|Line_Map'!$C:$C,"MISSING",0)</f>
        <v/>
      </c>
      <c r="J2207" s="4562">
        <f>XLOOKUP(B2207,'_Sys|Line_Map'!$A:$A,'_Sys|Line_Map'!$D:$D,1,0)</f>
        <v/>
      </c>
      <c r="K2207" s="4562">
        <f>IF(D2207="","",D2207*J2207)</f>
        <v/>
      </c>
      <c r="L2207" s="4562">
        <f>XLOOKUP(B2207,'_Sys|Line_Map'!$A:$A,'_Sys|Line_Map'!$B:$B,"MISSING",0)</f>
        <v/>
      </c>
    </row>
    <row r="2208">
      <c r="A2208" s="4561" t="n"/>
      <c r="B2208" s="4561" t="n"/>
      <c r="C2208" s="4561" t="n"/>
      <c r="D2208" s="4561" t="n"/>
      <c r="E2208" s="4561" t="n"/>
      <c r="F2208" s="4561" t="n"/>
      <c r="G2208" s="4561" t="n"/>
      <c r="H2208" s="4561" t="n"/>
      <c r="I2208" s="4562">
        <f>XLOOKUP(B2208,'_Sys|Line_Map'!$A:$A,'_Sys|Line_Map'!$C:$C,"MISSING",0)</f>
        <v/>
      </c>
      <c r="J2208" s="4562">
        <f>XLOOKUP(B2208,'_Sys|Line_Map'!$A:$A,'_Sys|Line_Map'!$D:$D,1,0)</f>
        <v/>
      </c>
      <c r="K2208" s="4562">
        <f>IF(D2208="","",D2208*J2208)</f>
        <v/>
      </c>
      <c r="L2208" s="4562">
        <f>XLOOKUP(B2208,'_Sys|Line_Map'!$A:$A,'_Sys|Line_Map'!$B:$B,"MISSING",0)</f>
        <v/>
      </c>
    </row>
    <row r="2209">
      <c r="A2209" s="4561" t="n"/>
      <c r="B2209" s="4561" t="n"/>
      <c r="C2209" s="4561" t="n"/>
      <c r="D2209" s="4561" t="n"/>
      <c r="E2209" s="4561" t="n"/>
      <c r="F2209" s="4561" t="n"/>
      <c r="G2209" s="4561" t="n"/>
      <c r="H2209" s="4561" t="n"/>
      <c r="I2209" s="4562">
        <f>XLOOKUP(B2209,'_Sys|Line_Map'!$A:$A,'_Sys|Line_Map'!$C:$C,"MISSING",0)</f>
        <v/>
      </c>
      <c r="J2209" s="4562">
        <f>XLOOKUP(B2209,'_Sys|Line_Map'!$A:$A,'_Sys|Line_Map'!$D:$D,1,0)</f>
        <v/>
      </c>
      <c r="K2209" s="4562">
        <f>IF(D2209="","",D2209*J2209)</f>
        <v/>
      </c>
      <c r="L2209" s="4562">
        <f>XLOOKUP(B2209,'_Sys|Line_Map'!$A:$A,'_Sys|Line_Map'!$B:$B,"MISSING",0)</f>
        <v/>
      </c>
    </row>
    <row r="2210">
      <c r="A2210" s="4561" t="n"/>
      <c r="B2210" s="4561" t="n"/>
      <c r="C2210" s="4561" t="n"/>
      <c r="D2210" s="4561" t="n"/>
      <c r="E2210" s="4561" t="n"/>
      <c r="F2210" s="4561" t="n"/>
      <c r="G2210" s="4561" t="n"/>
      <c r="H2210" s="4561" t="n"/>
      <c r="I2210" s="4562">
        <f>XLOOKUP(B2210,'_Sys|Line_Map'!$A:$A,'_Sys|Line_Map'!$C:$C,"MISSING",0)</f>
        <v/>
      </c>
      <c r="J2210" s="4562">
        <f>XLOOKUP(B2210,'_Sys|Line_Map'!$A:$A,'_Sys|Line_Map'!$D:$D,1,0)</f>
        <v/>
      </c>
      <c r="K2210" s="4562">
        <f>IF(D2210="","",D2210*J2210)</f>
        <v/>
      </c>
      <c r="L2210" s="4562">
        <f>XLOOKUP(B2210,'_Sys|Line_Map'!$A:$A,'_Sys|Line_Map'!$B:$B,"MISSING",0)</f>
        <v/>
      </c>
    </row>
    <row r="2211">
      <c r="A2211" s="4561" t="n"/>
      <c r="B2211" s="4561" t="n"/>
      <c r="C2211" s="4561" t="n"/>
      <c r="D2211" s="4561" t="n"/>
      <c r="E2211" s="4561" t="n"/>
      <c r="F2211" s="4561" t="n"/>
      <c r="G2211" s="4561" t="n"/>
      <c r="H2211" s="4561" t="n"/>
      <c r="I2211" s="4562">
        <f>XLOOKUP(B2211,'_Sys|Line_Map'!$A:$A,'_Sys|Line_Map'!$C:$C,"MISSING",0)</f>
        <v/>
      </c>
      <c r="J2211" s="4562">
        <f>XLOOKUP(B2211,'_Sys|Line_Map'!$A:$A,'_Sys|Line_Map'!$D:$D,1,0)</f>
        <v/>
      </c>
      <c r="K2211" s="4562">
        <f>IF(D2211="","",D2211*J2211)</f>
        <v/>
      </c>
      <c r="L2211" s="4562">
        <f>XLOOKUP(B2211,'_Sys|Line_Map'!$A:$A,'_Sys|Line_Map'!$B:$B,"MISSING",0)</f>
        <v/>
      </c>
    </row>
    <row r="2212">
      <c r="A2212" s="4561" t="n"/>
      <c r="B2212" s="4561" t="n"/>
      <c r="C2212" s="4561" t="n"/>
      <c r="D2212" s="4561" t="n"/>
      <c r="E2212" s="4561" t="n"/>
      <c r="F2212" s="4561" t="n"/>
      <c r="G2212" s="4561" t="n"/>
      <c r="H2212" s="4561" t="n"/>
      <c r="I2212" s="4562">
        <f>XLOOKUP(B2212,'_Sys|Line_Map'!$A:$A,'_Sys|Line_Map'!$C:$C,"MISSING",0)</f>
        <v/>
      </c>
      <c r="J2212" s="4562">
        <f>XLOOKUP(B2212,'_Sys|Line_Map'!$A:$A,'_Sys|Line_Map'!$D:$D,1,0)</f>
        <v/>
      </c>
      <c r="K2212" s="4562">
        <f>IF(D2212="","",D2212*J2212)</f>
        <v/>
      </c>
      <c r="L2212" s="4562">
        <f>XLOOKUP(B2212,'_Sys|Line_Map'!$A:$A,'_Sys|Line_Map'!$B:$B,"MISSING",0)</f>
        <v/>
      </c>
    </row>
    <row r="2213">
      <c r="A2213" s="4561" t="n"/>
      <c r="B2213" s="4561" t="n"/>
      <c r="C2213" s="4561" t="n"/>
      <c r="D2213" s="4561" t="n"/>
      <c r="E2213" s="4561" t="n"/>
      <c r="F2213" s="4561" t="n"/>
      <c r="G2213" s="4561" t="n"/>
      <c r="H2213" s="4561" t="n"/>
      <c r="I2213" s="4562">
        <f>XLOOKUP(B2213,'_Sys|Line_Map'!$A:$A,'_Sys|Line_Map'!$C:$C,"MISSING",0)</f>
        <v/>
      </c>
      <c r="J2213" s="4562">
        <f>XLOOKUP(B2213,'_Sys|Line_Map'!$A:$A,'_Sys|Line_Map'!$D:$D,1,0)</f>
        <v/>
      </c>
      <c r="K2213" s="4562">
        <f>IF(D2213="","",D2213*J2213)</f>
        <v/>
      </c>
      <c r="L2213" s="4562">
        <f>XLOOKUP(B2213,'_Sys|Line_Map'!$A:$A,'_Sys|Line_Map'!$B:$B,"MISSING",0)</f>
        <v/>
      </c>
    </row>
    <row r="2214">
      <c r="A2214" s="4561" t="n"/>
      <c r="B2214" s="4561" t="n"/>
      <c r="C2214" s="4561" t="n"/>
      <c r="D2214" s="4561" t="n"/>
      <c r="E2214" s="4561" t="n"/>
      <c r="F2214" s="4561" t="n"/>
      <c r="G2214" s="4561" t="n"/>
      <c r="H2214" s="4561" t="n"/>
      <c r="I2214" s="4562">
        <f>XLOOKUP(B2214,'_Sys|Line_Map'!$A:$A,'_Sys|Line_Map'!$C:$C,"MISSING",0)</f>
        <v/>
      </c>
      <c r="J2214" s="4562">
        <f>XLOOKUP(B2214,'_Sys|Line_Map'!$A:$A,'_Sys|Line_Map'!$D:$D,1,0)</f>
        <v/>
      </c>
      <c r="K2214" s="4562">
        <f>IF(D2214="","",D2214*J2214)</f>
        <v/>
      </c>
      <c r="L2214" s="4562">
        <f>XLOOKUP(B2214,'_Sys|Line_Map'!$A:$A,'_Sys|Line_Map'!$B:$B,"MISSING",0)</f>
        <v/>
      </c>
    </row>
    <row r="2215">
      <c r="A2215" s="4561" t="n"/>
      <c r="B2215" s="4561" t="n"/>
      <c r="C2215" s="4561" t="n"/>
      <c r="D2215" s="4561" t="n"/>
      <c r="E2215" s="4561" t="n"/>
      <c r="F2215" s="4561" t="n"/>
      <c r="G2215" s="4561" t="n"/>
      <c r="H2215" s="4561" t="n"/>
      <c r="I2215" s="4562">
        <f>XLOOKUP(B2215,'_Sys|Line_Map'!$A:$A,'_Sys|Line_Map'!$C:$C,"MISSING",0)</f>
        <v/>
      </c>
      <c r="J2215" s="4562">
        <f>XLOOKUP(B2215,'_Sys|Line_Map'!$A:$A,'_Sys|Line_Map'!$D:$D,1,0)</f>
        <v/>
      </c>
      <c r="K2215" s="4562">
        <f>IF(D2215="","",D2215*J2215)</f>
        <v/>
      </c>
      <c r="L2215" s="4562">
        <f>XLOOKUP(B2215,'_Sys|Line_Map'!$A:$A,'_Sys|Line_Map'!$B:$B,"MISSING",0)</f>
        <v/>
      </c>
    </row>
    <row r="2216">
      <c r="A2216" s="4561" t="n"/>
      <c r="B2216" s="4561" t="n"/>
      <c r="C2216" s="4561" t="n"/>
      <c r="D2216" s="4561" t="n"/>
      <c r="E2216" s="4561" t="n"/>
      <c r="F2216" s="4561" t="n"/>
      <c r="G2216" s="4561" t="n"/>
      <c r="H2216" s="4561" t="n"/>
      <c r="I2216" s="4562">
        <f>XLOOKUP(B2216,'_Sys|Line_Map'!$A:$A,'_Sys|Line_Map'!$C:$C,"MISSING",0)</f>
        <v/>
      </c>
      <c r="J2216" s="4562">
        <f>XLOOKUP(B2216,'_Sys|Line_Map'!$A:$A,'_Sys|Line_Map'!$D:$D,1,0)</f>
        <v/>
      </c>
      <c r="K2216" s="4562">
        <f>IF(D2216="","",D2216*J2216)</f>
        <v/>
      </c>
      <c r="L2216" s="4562">
        <f>XLOOKUP(B2216,'_Sys|Line_Map'!$A:$A,'_Sys|Line_Map'!$B:$B,"MISSING",0)</f>
        <v/>
      </c>
    </row>
    <row r="2217">
      <c r="A2217" s="4561" t="n"/>
      <c r="B2217" s="4561" t="n"/>
      <c r="C2217" s="4561" t="n"/>
      <c r="D2217" s="4561" t="n"/>
      <c r="E2217" s="4561" t="n"/>
      <c r="F2217" s="4561" t="n"/>
      <c r="G2217" s="4561" t="n"/>
      <c r="H2217" s="4561" t="n"/>
      <c r="I2217" s="4562">
        <f>XLOOKUP(B2217,'_Sys|Line_Map'!$A:$A,'_Sys|Line_Map'!$C:$C,"MISSING",0)</f>
        <v/>
      </c>
      <c r="J2217" s="4562">
        <f>XLOOKUP(B2217,'_Sys|Line_Map'!$A:$A,'_Sys|Line_Map'!$D:$D,1,0)</f>
        <v/>
      </c>
      <c r="K2217" s="4562">
        <f>IF(D2217="","",D2217*J2217)</f>
        <v/>
      </c>
      <c r="L2217" s="4562">
        <f>XLOOKUP(B2217,'_Sys|Line_Map'!$A:$A,'_Sys|Line_Map'!$B:$B,"MISSING",0)</f>
        <v/>
      </c>
    </row>
    <row r="2218">
      <c r="A2218" s="4561" t="n"/>
      <c r="B2218" s="4561" t="n"/>
      <c r="C2218" s="4561" t="n"/>
      <c r="D2218" s="4561" t="n"/>
      <c r="E2218" s="4561" t="n"/>
      <c r="F2218" s="4561" t="n"/>
      <c r="G2218" s="4561" t="n"/>
      <c r="H2218" s="4561" t="n"/>
      <c r="I2218" s="4562">
        <f>XLOOKUP(B2218,'_Sys|Line_Map'!$A:$A,'_Sys|Line_Map'!$C:$C,"MISSING",0)</f>
        <v/>
      </c>
      <c r="J2218" s="4562">
        <f>XLOOKUP(B2218,'_Sys|Line_Map'!$A:$A,'_Sys|Line_Map'!$D:$D,1,0)</f>
        <v/>
      </c>
      <c r="K2218" s="4562">
        <f>IF(D2218="","",D2218*J2218)</f>
        <v/>
      </c>
      <c r="L2218" s="4562">
        <f>XLOOKUP(B2218,'_Sys|Line_Map'!$A:$A,'_Sys|Line_Map'!$B:$B,"MISSING",0)</f>
        <v/>
      </c>
    </row>
    <row r="2219">
      <c r="A2219" s="4561" t="n"/>
      <c r="B2219" s="4561" t="n"/>
      <c r="C2219" s="4561" t="n"/>
      <c r="D2219" s="4561" t="n"/>
      <c r="E2219" s="4561" t="n"/>
      <c r="F2219" s="4561" t="n"/>
      <c r="G2219" s="4561" t="n"/>
      <c r="H2219" s="4561" t="n"/>
      <c r="I2219" s="4562">
        <f>XLOOKUP(B2219,'_Sys|Line_Map'!$A:$A,'_Sys|Line_Map'!$C:$C,"MISSING",0)</f>
        <v/>
      </c>
      <c r="J2219" s="4562">
        <f>XLOOKUP(B2219,'_Sys|Line_Map'!$A:$A,'_Sys|Line_Map'!$D:$D,1,0)</f>
        <v/>
      </c>
      <c r="K2219" s="4562">
        <f>IF(D2219="","",D2219*J2219)</f>
        <v/>
      </c>
      <c r="L2219" s="4562">
        <f>XLOOKUP(B2219,'_Sys|Line_Map'!$A:$A,'_Sys|Line_Map'!$B:$B,"MISSING",0)</f>
        <v/>
      </c>
    </row>
    <row r="2220">
      <c r="A2220" s="4561" t="n"/>
      <c r="B2220" s="4561" t="n"/>
      <c r="C2220" s="4561" t="n"/>
      <c r="D2220" s="4561" t="n"/>
      <c r="E2220" s="4561" t="n"/>
      <c r="F2220" s="4561" t="n"/>
      <c r="G2220" s="4561" t="n"/>
      <c r="H2220" s="4561" t="n"/>
      <c r="I2220" s="4562">
        <f>XLOOKUP(B2220,'_Sys|Line_Map'!$A:$A,'_Sys|Line_Map'!$C:$C,"MISSING",0)</f>
        <v/>
      </c>
      <c r="J2220" s="4562">
        <f>XLOOKUP(B2220,'_Sys|Line_Map'!$A:$A,'_Sys|Line_Map'!$D:$D,1,0)</f>
        <v/>
      </c>
      <c r="K2220" s="4562">
        <f>IF(D2220="","",D2220*J2220)</f>
        <v/>
      </c>
      <c r="L2220" s="4562">
        <f>XLOOKUP(B2220,'_Sys|Line_Map'!$A:$A,'_Sys|Line_Map'!$B:$B,"MISSING",0)</f>
        <v/>
      </c>
    </row>
    <row r="2221">
      <c r="A2221" s="4561" t="n"/>
      <c r="B2221" s="4561" t="n"/>
      <c r="C2221" s="4561" t="n"/>
      <c r="D2221" s="4561" t="n"/>
      <c r="E2221" s="4561" t="n"/>
      <c r="F2221" s="4561" t="n"/>
      <c r="G2221" s="4561" t="n"/>
      <c r="H2221" s="4561" t="n"/>
      <c r="I2221" s="4562">
        <f>XLOOKUP(B2221,'_Sys|Line_Map'!$A:$A,'_Sys|Line_Map'!$C:$C,"MISSING",0)</f>
        <v/>
      </c>
      <c r="J2221" s="4562">
        <f>XLOOKUP(B2221,'_Sys|Line_Map'!$A:$A,'_Sys|Line_Map'!$D:$D,1,0)</f>
        <v/>
      </c>
      <c r="K2221" s="4562">
        <f>IF(D2221="","",D2221*J2221)</f>
        <v/>
      </c>
      <c r="L2221" s="4562">
        <f>XLOOKUP(B2221,'_Sys|Line_Map'!$A:$A,'_Sys|Line_Map'!$B:$B,"MISSING",0)</f>
        <v/>
      </c>
    </row>
    <row r="2222">
      <c r="A2222" s="4561" t="n"/>
      <c r="B2222" s="4561" t="n"/>
      <c r="C2222" s="4561" t="n"/>
      <c r="D2222" s="4561" t="n"/>
      <c r="E2222" s="4561" t="n"/>
      <c r="F2222" s="4561" t="n"/>
      <c r="G2222" s="4561" t="n"/>
      <c r="H2222" s="4561" t="n"/>
      <c r="I2222" s="4562">
        <f>XLOOKUP(B2222,'_Sys|Line_Map'!$A:$A,'_Sys|Line_Map'!$C:$C,"MISSING",0)</f>
        <v/>
      </c>
      <c r="J2222" s="4562">
        <f>XLOOKUP(B2222,'_Sys|Line_Map'!$A:$A,'_Sys|Line_Map'!$D:$D,1,0)</f>
        <v/>
      </c>
      <c r="K2222" s="4562">
        <f>IF(D2222="","",D2222*J2222)</f>
        <v/>
      </c>
      <c r="L2222" s="4562">
        <f>XLOOKUP(B2222,'_Sys|Line_Map'!$A:$A,'_Sys|Line_Map'!$B:$B,"MISSING",0)</f>
        <v/>
      </c>
    </row>
    <row r="2223">
      <c r="A2223" s="4561" t="n"/>
      <c r="B2223" s="4561" t="n"/>
      <c r="C2223" s="4561" t="n"/>
      <c r="D2223" s="4561" t="n"/>
      <c r="E2223" s="4561" t="n"/>
      <c r="F2223" s="4561" t="n"/>
      <c r="G2223" s="4561" t="n"/>
      <c r="H2223" s="4561" t="n"/>
      <c r="I2223" s="4562">
        <f>XLOOKUP(B2223,'_Sys|Line_Map'!$A:$A,'_Sys|Line_Map'!$C:$C,"MISSING",0)</f>
        <v/>
      </c>
      <c r="J2223" s="4562">
        <f>XLOOKUP(B2223,'_Sys|Line_Map'!$A:$A,'_Sys|Line_Map'!$D:$D,1,0)</f>
        <v/>
      </c>
      <c r="K2223" s="4562">
        <f>IF(D2223="","",D2223*J2223)</f>
        <v/>
      </c>
      <c r="L2223" s="4562">
        <f>XLOOKUP(B2223,'_Sys|Line_Map'!$A:$A,'_Sys|Line_Map'!$B:$B,"MISSING",0)</f>
        <v/>
      </c>
    </row>
    <row r="2224">
      <c r="A2224" s="4561" t="n"/>
      <c r="B2224" s="4561" t="n"/>
      <c r="C2224" s="4561" t="n"/>
      <c r="D2224" s="4561" t="n"/>
      <c r="E2224" s="4561" t="n"/>
      <c r="F2224" s="4561" t="n"/>
      <c r="G2224" s="4561" t="n"/>
      <c r="H2224" s="4561" t="n"/>
      <c r="I2224" s="4562">
        <f>XLOOKUP(B2224,'_Sys|Line_Map'!$A:$A,'_Sys|Line_Map'!$C:$C,"MISSING",0)</f>
        <v/>
      </c>
      <c r="J2224" s="4562">
        <f>XLOOKUP(B2224,'_Sys|Line_Map'!$A:$A,'_Sys|Line_Map'!$D:$D,1,0)</f>
        <v/>
      </c>
      <c r="K2224" s="4562">
        <f>IF(D2224="","",D2224*J2224)</f>
        <v/>
      </c>
      <c r="L2224" s="4562">
        <f>XLOOKUP(B2224,'_Sys|Line_Map'!$A:$A,'_Sys|Line_Map'!$B:$B,"MISSING",0)</f>
        <v/>
      </c>
    </row>
    <row r="2225">
      <c r="A2225" s="4561" t="n"/>
      <c r="B2225" s="4561" t="n"/>
      <c r="C2225" s="4561" t="n"/>
      <c r="D2225" s="4561" t="n"/>
      <c r="E2225" s="4561" t="n"/>
      <c r="F2225" s="4561" t="n"/>
      <c r="G2225" s="4561" t="n"/>
      <c r="H2225" s="4561" t="n"/>
      <c r="I2225" s="4562">
        <f>XLOOKUP(B2225,'_Sys|Line_Map'!$A:$A,'_Sys|Line_Map'!$C:$C,"MISSING",0)</f>
        <v/>
      </c>
      <c r="J2225" s="4562">
        <f>XLOOKUP(B2225,'_Sys|Line_Map'!$A:$A,'_Sys|Line_Map'!$D:$D,1,0)</f>
        <v/>
      </c>
      <c r="K2225" s="4562">
        <f>IF(D2225="","",D2225*J2225)</f>
        <v/>
      </c>
      <c r="L2225" s="4562">
        <f>XLOOKUP(B2225,'_Sys|Line_Map'!$A:$A,'_Sys|Line_Map'!$B:$B,"MISSING",0)</f>
        <v/>
      </c>
    </row>
    <row r="2226">
      <c r="A2226" s="4561" t="n"/>
      <c r="B2226" s="4561" t="n"/>
      <c r="C2226" s="4561" t="n"/>
      <c r="D2226" s="4561" t="n"/>
      <c r="E2226" s="4561" t="n"/>
      <c r="F2226" s="4561" t="n"/>
      <c r="G2226" s="4561" t="n"/>
      <c r="H2226" s="4561" t="n"/>
      <c r="I2226" s="4562">
        <f>XLOOKUP(B2226,'_Sys|Line_Map'!$A:$A,'_Sys|Line_Map'!$C:$C,"MISSING",0)</f>
        <v/>
      </c>
      <c r="J2226" s="4562">
        <f>XLOOKUP(B2226,'_Sys|Line_Map'!$A:$A,'_Sys|Line_Map'!$D:$D,1,0)</f>
        <v/>
      </c>
      <c r="K2226" s="4562">
        <f>IF(D2226="","",D2226*J2226)</f>
        <v/>
      </c>
      <c r="L2226" s="4562">
        <f>XLOOKUP(B2226,'_Sys|Line_Map'!$A:$A,'_Sys|Line_Map'!$B:$B,"MISSING",0)</f>
        <v/>
      </c>
    </row>
    <row r="2227">
      <c r="A2227" s="4561" t="n"/>
      <c r="B2227" s="4561" t="n"/>
      <c r="C2227" s="4561" t="n"/>
      <c r="D2227" s="4561" t="n"/>
      <c r="E2227" s="4561" t="n"/>
      <c r="F2227" s="4561" t="n"/>
      <c r="G2227" s="4561" t="n"/>
      <c r="H2227" s="4561" t="n"/>
      <c r="I2227" s="4562">
        <f>XLOOKUP(B2227,'_Sys|Line_Map'!$A:$A,'_Sys|Line_Map'!$C:$C,"MISSING",0)</f>
        <v/>
      </c>
      <c r="J2227" s="4562">
        <f>XLOOKUP(B2227,'_Sys|Line_Map'!$A:$A,'_Sys|Line_Map'!$D:$D,1,0)</f>
        <v/>
      </c>
      <c r="K2227" s="4562">
        <f>IF(D2227="","",D2227*J2227)</f>
        <v/>
      </c>
      <c r="L2227" s="4562">
        <f>XLOOKUP(B2227,'_Sys|Line_Map'!$A:$A,'_Sys|Line_Map'!$B:$B,"MISSING",0)</f>
        <v/>
      </c>
    </row>
    <row r="2228">
      <c r="A2228" s="4561" t="n"/>
      <c r="B2228" s="4561" t="n"/>
      <c r="C2228" s="4561" t="n"/>
      <c r="D2228" s="4561" t="n"/>
      <c r="E2228" s="4561" t="n"/>
      <c r="F2228" s="4561" t="n"/>
      <c r="G2228" s="4561" t="n"/>
      <c r="H2228" s="4561" t="n"/>
      <c r="I2228" s="4562">
        <f>XLOOKUP(B2228,'_Sys|Line_Map'!$A:$A,'_Sys|Line_Map'!$C:$C,"MISSING",0)</f>
        <v/>
      </c>
      <c r="J2228" s="4562">
        <f>XLOOKUP(B2228,'_Sys|Line_Map'!$A:$A,'_Sys|Line_Map'!$D:$D,1,0)</f>
        <v/>
      </c>
      <c r="K2228" s="4562">
        <f>IF(D2228="","",D2228*J2228)</f>
        <v/>
      </c>
      <c r="L2228" s="4562">
        <f>XLOOKUP(B2228,'_Sys|Line_Map'!$A:$A,'_Sys|Line_Map'!$B:$B,"MISSING",0)</f>
        <v/>
      </c>
    </row>
    <row r="2229">
      <c r="A2229" s="4561" t="n"/>
      <c r="B2229" s="4561" t="n"/>
      <c r="C2229" s="4561" t="n"/>
      <c r="D2229" s="4561" t="n"/>
      <c r="E2229" s="4561" t="n"/>
      <c r="F2229" s="4561" t="n"/>
      <c r="G2229" s="4561" t="n"/>
      <c r="H2229" s="4561" t="n"/>
      <c r="I2229" s="4562">
        <f>XLOOKUP(B2229,'_Sys|Line_Map'!$A:$A,'_Sys|Line_Map'!$C:$C,"MISSING",0)</f>
        <v/>
      </c>
      <c r="J2229" s="4562">
        <f>XLOOKUP(B2229,'_Sys|Line_Map'!$A:$A,'_Sys|Line_Map'!$D:$D,1,0)</f>
        <v/>
      </c>
      <c r="K2229" s="4562">
        <f>IF(D2229="","",D2229*J2229)</f>
        <v/>
      </c>
      <c r="L2229" s="4562">
        <f>XLOOKUP(B2229,'_Sys|Line_Map'!$A:$A,'_Sys|Line_Map'!$B:$B,"MISSING",0)</f>
        <v/>
      </c>
    </row>
    <row r="2230">
      <c r="A2230" s="4561" t="n"/>
      <c r="B2230" s="4561" t="n"/>
      <c r="C2230" s="4561" t="n"/>
      <c r="D2230" s="4561" t="n"/>
      <c r="E2230" s="4561" t="n"/>
      <c r="F2230" s="4561" t="n"/>
      <c r="G2230" s="4561" t="n"/>
      <c r="H2230" s="4561" t="n"/>
      <c r="I2230" s="4562">
        <f>XLOOKUP(B2230,'_Sys|Line_Map'!$A:$A,'_Sys|Line_Map'!$C:$C,"MISSING",0)</f>
        <v/>
      </c>
      <c r="J2230" s="4562">
        <f>XLOOKUP(B2230,'_Sys|Line_Map'!$A:$A,'_Sys|Line_Map'!$D:$D,1,0)</f>
        <v/>
      </c>
      <c r="K2230" s="4562">
        <f>IF(D2230="","",D2230*J2230)</f>
        <v/>
      </c>
      <c r="L2230" s="4562">
        <f>XLOOKUP(B2230,'_Sys|Line_Map'!$A:$A,'_Sys|Line_Map'!$B:$B,"MISSING",0)</f>
        <v/>
      </c>
    </row>
    <row r="2231">
      <c r="A2231" s="4561" t="n"/>
      <c r="B2231" s="4561" t="n"/>
      <c r="C2231" s="4561" t="n"/>
      <c r="D2231" s="4561" t="n"/>
      <c r="E2231" s="4561" t="n"/>
      <c r="F2231" s="4561" t="n"/>
      <c r="G2231" s="4561" t="n"/>
      <c r="H2231" s="4561" t="n"/>
      <c r="I2231" s="4562">
        <f>XLOOKUP(B2231,'_Sys|Line_Map'!$A:$A,'_Sys|Line_Map'!$C:$C,"MISSING",0)</f>
        <v/>
      </c>
      <c r="J2231" s="4562">
        <f>XLOOKUP(B2231,'_Sys|Line_Map'!$A:$A,'_Sys|Line_Map'!$D:$D,1,0)</f>
        <v/>
      </c>
      <c r="K2231" s="4562">
        <f>IF(D2231="","",D2231*J2231)</f>
        <v/>
      </c>
      <c r="L2231" s="4562">
        <f>XLOOKUP(B2231,'_Sys|Line_Map'!$A:$A,'_Sys|Line_Map'!$B:$B,"MISSING",0)</f>
        <v/>
      </c>
    </row>
    <row r="2232">
      <c r="A2232" s="4561" t="n"/>
      <c r="B2232" s="4561" t="n"/>
      <c r="C2232" s="4561" t="n"/>
      <c r="D2232" s="4561" t="n"/>
      <c r="E2232" s="4561" t="n"/>
      <c r="F2232" s="4561" t="n"/>
      <c r="G2232" s="4561" t="n"/>
      <c r="H2232" s="4561" t="n"/>
      <c r="I2232" s="4562">
        <f>XLOOKUP(B2232,'_Sys|Line_Map'!$A:$A,'_Sys|Line_Map'!$C:$C,"MISSING",0)</f>
        <v/>
      </c>
      <c r="J2232" s="4562">
        <f>XLOOKUP(B2232,'_Sys|Line_Map'!$A:$A,'_Sys|Line_Map'!$D:$D,1,0)</f>
        <v/>
      </c>
      <c r="K2232" s="4562">
        <f>IF(D2232="","",D2232*J2232)</f>
        <v/>
      </c>
      <c r="L2232" s="4562">
        <f>XLOOKUP(B2232,'_Sys|Line_Map'!$A:$A,'_Sys|Line_Map'!$B:$B,"MISSING",0)</f>
        <v/>
      </c>
    </row>
    <row r="2233">
      <c r="A2233" s="4561" t="n"/>
      <c r="B2233" s="4561" t="n"/>
      <c r="C2233" s="4561" t="n"/>
      <c r="D2233" s="4561" t="n"/>
      <c r="E2233" s="4561" t="n"/>
      <c r="F2233" s="4561" t="n"/>
      <c r="G2233" s="4561" t="n"/>
      <c r="H2233" s="4561" t="n"/>
      <c r="I2233" s="4562">
        <f>XLOOKUP(B2233,'_Sys|Line_Map'!$A:$A,'_Sys|Line_Map'!$C:$C,"MISSING",0)</f>
        <v/>
      </c>
      <c r="J2233" s="4562">
        <f>XLOOKUP(B2233,'_Sys|Line_Map'!$A:$A,'_Sys|Line_Map'!$D:$D,1,0)</f>
        <v/>
      </c>
      <c r="K2233" s="4562">
        <f>IF(D2233="","",D2233*J2233)</f>
        <v/>
      </c>
      <c r="L2233" s="4562">
        <f>XLOOKUP(B2233,'_Sys|Line_Map'!$A:$A,'_Sys|Line_Map'!$B:$B,"MISSING",0)</f>
        <v/>
      </c>
    </row>
    <row r="2234">
      <c r="A2234" s="4561" t="n"/>
      <c r="B2234" s="4561" t="n"/>
      <c r="C2234" s="4561" t="n"/>
      <c r="D2234" s="4561" t="n"/>
      <c r="E2234" s="4561" t="n"/>
      <c r="F2234" s="4561" t="n"/>
      <c r="G2234" s="4561" t="n"/>
      <c r="H2234" s="4561" t="n"/>
      <c r="I2234" s="4562">
        <f>XLOOKUP(B2234,'_Sys|Line_Map'!$A:$A,'_Sys|Line_Map'!$C:$C,"MISSING",0)</f>
        <v/>
      </c>
      <c r="J2234" s="4562">
        <f>XLOOKUP(B2234,'_Sys|Line_Map'!$A:$A,'_Sys|Line_Map'!$D:$D,1,0)</f>
        <v/>
      </c>
      <c r="K2234" s="4562">
        <f>IF(D2234="","",D2234*J2234)</f>
        <v/>
      </c>
      <c r="L2234" s="4562">
        <f>XLOOKUP(B2234,'_Sys|Line_Map'!$A:$A,'_Sys|Line_Map'!$B:$B,"MISSING",0)</f>
        <v/>
      </c>
    </row>
    <row r="2235">
      <c r="A2235" s="4561" t="n"/>
      <c r="B2235" s="4561" t="n"/>
      <c r="C2235" s="4561" t="n"/>
      <c r="D2235" s="4561" t="n"/>
      <c r="E2235" s="4561" t="n"/>
      <c r="F2235" s="4561" t="n"/>
      <c r="G2235" s="4561" t="n"/>
      <c r="H2235" s="4561" t="n"/>
      <c r="I2235" s="4562">
        <f>XLOOKUP(B2235,'_Sys|Line_Map'!$A:$A,'_Sys|Line_Map'!$C:$C,"MISSING",0)</f>
        <v/>
      </c>
      <c r="J2235" s="4562">
        <f>XLOOKUP(B2235,'_Sys|Line_Map'!$A:$A,'_Sys|Line_Map'!$D:$D,1,0)</f>
        <v/>
      </c>
      <c r="K2235" s="4562">
        <f>IF(D2235="","",D2235*J2235)</f>
        <v/>
      </c>
      <c r="L2235" s="4562">
        <f>XLOOKUP(B2235,'_Sys|Line_Map'!$A:$A,'_Sys|Line_Map'!$B:$B,"MISSING",0)</f>
        <v/>
      </c>
    </row>
    <row r="2236">
      <c r="A2236" s="4561" t="n"/>
      <c r="B2236" s="4561" t="n"/>
      <c r="C2236" s="4561" t="n"/>
      <c r="D2236" s="4561" t="n"/>
      <c r="E2236" s="4561" t="n"/>
      <c r="F2236" s="4561" t="n"/>
      <c r="G2236" s="4561" t="n"/>
      <c r="H2236" s="4561" t="n"/>
      <c r="I2236" s="4562">
        <f>XLOOKUP(B2236,'_Sys|Line_Map'!$A:$A,'_Sys|Line_Map'!$C:$C,"MISSING",0)</f>
        <v/>
      </c>
      <c r="J2236" s="4562">
        <f>XLOOKUP(B2236,'_Sys|Line_Map'!$A:$A,'_Sys|Line_Map'!$D:$D,1,0)</f>
        <v/>
      </c>
      <c r="K2236" s="4562">
        <f>IF(D2236="","",D2236*J2236)</f>
        <v/>
      </c>
      <c r="L2236" s="4562">
        <f>XLOOKUP(B2236,'_Sys|Line_Map'!$A:$A,'_Sys|Line_Map'!$B:$B,"MISSING",0)</f>
        <v/>
      </c>
    </row>
    <row r="2237">
      <c r="A2237" s="4561" t="n"/>
      <c r="B2237" s="4561" t="n"/>
      <c r="C2237" s="4561" t="n"/>
      <c r="D2237" s="4561" t="n"/>
      <c r="E2237" s="4561" t="n"/>
      <c r="F2237" s="4561" t="n"/>
      <c r="G2237" s="4561" t="n"/>
      <c r="H2237" s="4561" t="n"/>
      <c r="I2237" s="4562">
        <f>XLOOKUP(B2237,'_Sys|Line_Map'!$A:$A,'_Sys|Line_Map'!$C:$C,"MISSING",0)</f>
        <v/>
      </c>
      <c r="J2237" s="4562">
        <f>XLOOKUP(B2237,'_Sys|Line_Map'!$A:$A,'_Sys|Line_Map'!$D:$D,1,0)</f>
        <v/>
      </c>
      <c r="K2237" s="4562">
        <f>IF(D2237="","",D2237*J2237)</f>
        <v/>
      </c>
      <c r="L2237" s="4562">
        <f>XLOOKUP(B2237,'_Sys|Line_Map'!$A:$A,'_Sys|Line_Map'!$B:$B,"MISSING",0)</f>
        <v/>
      </c>
    </row>
    <row r="2238">
      <c r="A2238" s="4561" t="n"/>
      <c r="B2238" s="4561" t="n"/>
      <c r="C2238" s="4561" t="n"/>
      <c r="D2238" s="4561" t="n"/>
      <c r="E2238" s="4561" t="n"/>
      <c r="F2238" s="4561" t="n"/>
      <c r="G2238" s="4561" t="n"/>
      <c r="H2238" s="4561" t="n"/>
      <c r="I2238" s="4562">
        <f>XLOOKUP(B2238,'_Sys|Line_Map'!$A:$A,'_Sys|Line_Map'!$C:$C,"MISSING",0)</f>
        <v/>
      </c>
      <c r="J2238" s="4562">
        <f>XLOOKUP(B2238,'_Sys|Line_Map'!$A:$A,'_Sys|Line_Map'!$D:$D,1,0)</f>
        <v/>
      </c>
      <c r="K2238" s="4562">
        <f>IF(D2238="","",D2238*J2238)</f>
        <v/>
      </c>
      <c r="L2238" s="4562">
        <f>XLOOKUP(B2238,'_Sys|Line_Map'!$A:$A,'_Sys|Line_Map'!$B:$B,"MISSING",0)</f>
        <v/>
      </c>
    </row>
    <row r="2239">
      <c r="A2239" s="4561" t="n"/>
      <c r="B2239" s="4561" t="n"/>
      <c r="C2239" s="4561" t="n"/>
      <c r="D2239" s="4561" t="n"/>
      <c r="E2239" s="4561" t="n"/>
      <c r="F2239" s="4561" t="n"/>
      <c r="G2239" s="4561" t="n"/>
      <c r="H2239" s="4561" t="n"/>
      <c r="I2239" s="4562">
        <f>XLOOKUP(B2239,'_Sys|Line_Map'!$A:$A,'_Sys|Line_Map'!$C:$C,"MISSING",0)</f>
        <v/>
      </c>
      <c r="J2239" s="4562">
        <f>XLOOKUP(B2239,'_Sys|Line_Map'!$A:$A,'_Sys|Line_Map'!$D:$D,1,0)</f>
        <v/>
      </c>
      <c r="K2239" s="4562">
        <f>IF(D2239="","",D2239*J2239)</f>
        <v/>
      </c>
      <c r="L2239" s="4562">
        <f>XLOOKUP(B2239,'_Sys|Line_Map'!$A:$A,'_Sys|Line_Map'!$B:$B,"MISSING",0)</f>
        <v/>
      </c>
    </row>
    <row r="2240">
      <c r="A2240" s="4561" t="n"/>
      <c r="B2240" s="4561" t="n"/>
      <c r="C2240" s="4561" t="n"/>
      <c r="D2240" s="4561" t="n"/>
      <c r="E2240" s="4561" t="n"/>
      <c r="F2240" s="4561" t="n"/>
      <c r="G2240" s="4561" t="n"/>
      <c r="H2240" s="4561" t="n"/>
      <c r="I2240" s="4562">
        <f>XLOOKUP(B2240,'_Sys|Line_Map'!$A:$A,'_Sys|Line_Map'!$C:$C,"MISSING",0)</f>
        <v/>
      </c>
      <c r="J2240" s="4562">
        <f>XLOOKUP(B2240,'_Sys|Line_Map'!$A:$A,'_Sys|Line_Map'!$D:$D,1,0)</f>
        <v/>
      </c>
      <c r="K2240" s="4562">
        <f>IF(D2240="","",D2240*J2240)</f>
        <v/>
      </c>
      <c r="L2240" s="4562">
        <f>XLOOKUP(B2240,'_Sys|Line_Map'!$A:$A,'_Sys|Line_Map'!$B:$B,"MISSING",0)</f>
        <v/>
      </c>
    </row>
    <row r="2241">
      <c r="A2241" s="4561" t="n"/>
      <c r="B2241" s="4561" t="n"/>
      <c r="C2241" s="4561" t="n"/>
      <c r="D2241" s="4561" t="n"/>
      <c r="E2241" s="4561" t="n"/>
      <c r="F2241" s="4561" t="n"/>
      <c r="G2241" s="4561" t="n"/>
      <c r="H2241" s="4561" t="n"/>
      <c r="I2241" s="4562">
        <f>XLOOKUP(B2241,'_Sys|Line_Map'!$A:$A,'_Sys|Line_Map'!$C:$C,"MISSING",0)</f>
        <v/>
      </c>
      <c r="J2241" s="4562">
        <f>XLOOKUP(B2241,'_Sys|Line_Map'!$A:$A,'_Sys|Line_Map'!$D:$D,1,0)</f>
        <v/>
      </c>
      <c r="K2241" s="4562">
        <f>IF(D2241="","",D2241*J2241)</f>
        <v/>
      </c>
      <c r="L2241" s="4562">
        <f>XLOOKUP(B2241,'_Sys|Line_Map'!$A:$A,'_Sys|Line_Map'!$B:$B,"MISSING",0)</f>
        <v/>
      </c>
    </row>
    <row r="2242">
      <c r="A2242" s="4561" t="n"/>
      <c r="B2242" s="4561" t="n"/>
      <c r="C2242" s="4561" t="n"/>
      <c r="D2242" s="4561" t="n"/>
      <c r="E2242" s="4561" t="n"/>
      <c r="F2242" s="4561" t="n"/>
      <c r="G2242" s="4561" t="n"/>
      <c r="H2242" s="4561" t="n"/>
      <c r="I2242" s="4562">
        <f>XLOOKUP(B2242,'_Sys|Line_Map'!$A:$A,'_Sys|Line_Map'!$C:$C,"MISSING",0)</f>
        <v/>
      </c>
      <c r="J2242" s="4562">
        <f>XLOOKUP(B2242,'_Sys|Line_Map'!$A:$A,'_Sys|Line_Map'!$D:$D,1,0)</f>
        <v/>
      </c>
      <c r="K2242" s="4562">
        <f>IF(D2242="","",D2242*J2242)</f>
        <v/>
      </c>
      <c r="L2242" s="4562">
        <f>XLOOKUP(B2242,'_Sys|Line_Map'!$A:$A,'_Sys|Line_Map'!$B:$B,"MISSING",0)</f>
        <v/>
      </c>
    </row>
    <row r="2243">
      <c r="A2243" s="4561" t="n"/>
      <c r="B2243" s="4561" t="n"/>
      <c r="C2243" s="4561" t="n"/>
      <c r="D2243" s="4561" t="n"/>
      <c r="E2243" s="4561" t="n"/>
      <c r="F2243" s="4561" t="n"/>
      <c r="G2243" s="4561" t="n"/>
      <c r="H2243" s="4561" t="n"/>
      <c r="I2243" s="4562">
        <f>XLOOKUP(B2243,'_Sys|Line_Map'!$A:$A,'_Sys|Line_Map'!$C:$C,"MISSING",0)</f>
        <v/>
      </c>
      <c r="J2243" s="4562">
        <f>XLOOKUP(B2243,'_Sys|Line_Map'!$A:$A,'_Sys|Line_Map'!$D:$D,1,0)</f>
        <v/>
      </c>
      <c r="K2243" s="4562">
        <f>IF(D2243="","",D2243*J2243)</f>
        <v/>
      </c>
      <c r="L2243" s="4562">
        <f>XLOOKUP(B2243,'_Sys|Line_Map'!$A:$A,'_Sys|Line_Map'!$B:$B,"MISSING",0)</f>
        <v/>
      </c>
    </row>
    <row r="2244">
      <c r="A2244" s="4561" t="n"/>
      <c r="B2244" s="4561" t="n"/>
      <c r="C2244" s="4561" t="n"/>
      <c r="D2244" s="4561" t="n"/>
      <c r="E2244" s="4561" t="n"/>
      <c r="F2244" s="4561" t="n"/>
      <c r="G2244" s="4561" t="n"/>
      <c r="H2244" s="4561" t="n"/>
      <c r="I2244" s="4562">
        <f>XLOOKUP(B2244,'_Sys|Line_Map'!$A:$A,'_Sys|Line_Map'!$C:$C,"MISSING",0)</f>
        <v/>
      </c>
      <c r="J2244" s="4562">
        <f>XLOOKUP(B2244,'_Sys|Line_Map'!$A:$A,'_Sys|Line_Map'!$D:$D,1,0)</f>
        <v/>
      </c>
      <c r="K2244" s="4562">
        <f>IF(D2244="","",D2244*J2244)</f>
        <v/>
      </c>
      <c r="L2244" s="4562">
        <f>XLOOKUP(B2244,'_Sys|Line_Map'!$A:$A,'_Sys|Line_Map'!$B:$B,"MISSING",0)</f>
        <v/>
      </c>
    </row>
    <row r="2245">
      <c r="A2245" s="4561" t="n"/>
      <c r="B2245" s="4561" t="n"/>
      <c r="C2245" s="4561" t="n"/>
      <c r="D2245" s="4561" t="n"/>
      <c r="E2245" s="4561" t="n"/>
      <c r="F2245" s="4561" t="n"/>
      <c r="G2245" s="4561" t="n"/>
      <c r="H2245" s="4561" t="n"/>
      <c r="I2245" s="4562">
        <f>XLOOKUP(B2245,'_Sys|Line_Map'!$A:$A,'_Sys|Line_Map'!$C:$C,"MISSING",0)</f>
        <v/>
      </c>
      <c r="J2245" s="4562">
        <f>XLOOKUP(B2245,'_Sys|Line_Map'!$A:$A,'_Sys|Line_Map'!$D:$D,1,0)</f>
        <v/>
      </c>
      <c r="K2245" s="4562">
        <f>IF(D2245="","",D2245*J2245)</f>
        <v/>
      </c>
      <c r="L2245" s="4562">
        <f>XLOOKUP(B2245,'_Sys|Line_Map'!$A:$A,'_Sys|Line_Map'!$B:$B,"MISSING",0)</f>
        <v/>
      </c>
    </row>
    <row r="2246">
      <c r="A2246" s="4561" t="n"/>
      <c r="B2246" s="4561" t="n"/>
      <c r="C2246" s="4561" t="n"/>
      <c r="D2246" s="4561" t="n"/>
      <c r="E2246" s="4561" t="n"/>
      <c r="F2246" s="4561" t="n"/>
      <c r="G2246" s="4561" t="n"/>
      <c r="H2246" s="4561" t="n"/>
      <c r="I2246" s="4562">
        <f>XLOOKUP(B2246,'_Sys|Line_Map'!$A:$A,'_Sys|Line_Map'!$C:$C,"MISSING",0)</f>
        <v/>
      </c>
      <c r="J2246" s="4562">
        <f>XLOOKUP(B2246,'_Sys|Line_Map'!$A:$A,'_Sys|Line_Map'!$D:$D,1,0)</f>
        <v/>
      </c>
      <c r="K2246" s="4562">
        <f>IF(D2246="","",D2246*J2246)</f>
        <v/>
      </c>
      <c r="L2246" s="4562">
        <f>XLOOKUP(B2246,'_Sys|Line_Map'!$A:$A,'_Sys|Line_Map'!$B:$B,"MISSING",0)</f>
        <v/>
      </c>
    </row>
    <row r="2247">
      <c r="A2247" s="4561" t="n"/>
      <c r="B2247" s="4561" t="n"/>
      <c r="C2247" s="4561" t="n"/>
      <c r="D2247" s="4561" t="n"/>
      <c r="E2247" s="4561" t="n"/>
      <c r="F2247" s="4561" t="n"/>
      <c r="G2247" s="4561" t="n"/>
      <c r="H2247" s="4561" t="n"/>
      <c r="I2247" s="4562">
        <f>XLOOKUP(B2247,'_Sys|Line_Map'!$A:$A,'_Sys|Line_Map'!$C:$C,"MISSING",0)</f>
        <v/>
      </c>
      <c r="J2247" s="4562">
        <f>XLOOKUP(B2247,'_Sys|Line_Map'!$A:$A,'_Sys|Line_Map'!$D:$D,1,0)</f>
        <v/>
      </c>
      <c r="K2247" s="4562">
        <f>IF(D2247="","",D2247*J2247)</f>
        <v/>
      </c>
      <c r="L2247" s="4562">
        <f>XLOOKUP(B2247,'_Sys|Line_Map'!$A:$A,'_Sys|Line_Map'!$B:$B,"MISSING",0)</f>
        <v/>
      </c>
    </row>
    <row r="2248">
      <c r="A2248" s="4561" t="n"/>
      <c r="B2248" s="4561" t="n"/>
      <c r="C2248" s="4561" t="n"/>
      <c r="D2248" s="4561" t="n"/>
      <c r="E2248" s="4561" t="n"/>
      <c r="F2248" s="4561" t="n"/>
      <c r="G2248" s="4561" t="n"/>
      <c r="H2248" s="4561" t="n"/>
      <c r="I2248" s="4562">
        <f>XLOOKUP(B2248,'_Sys|Line_Map'!$A:$A,'_Sys|Line_Map'!$C:$C,"MISSING",0)</f>
        <v/>
      </c>
      <c r="J2248" s="4562">
        <f>XLOOKUP(B2248,'_Sys|Line_Map'!$A:$A,'_Sys|Line_Map'!$D:$D,1,0)</f>
        <v/>
      </c>
      <c r="K2248" s="4562">
        <f>IF(D2248="","",D2248*J2248)</f>
        <v/>
      </c>
      <c r="L2248" s="4562">
        <f>XLOOKUP(B2248,'_Sys|Line_Map'!$A:$A,'_Sys|Line_Map'!$B:$B,"MISSING",0)</f>
        <v/>
      </c>
    </row>
    <row r="2249">
      <c r="A2249" s="4561" t="n"/>
      <c r="B2249" s="4561" t="n"/>
      <c r="C2249" s="4561" t="n"/>
      <c r="D2249" s="4561" t="n"/>
      <c r="E2249" s="4561" t="n"/>
      <c r="F2249" s="4561" t="n"/>
      <c r="G2249" s="4561" t="n"/>
      <c r="H2249" s="4561" t="n"/>
      <c r="I2249" s="4562">
        <f>XLOOKUP(B2249,'_Sys|Line_Map'!$A:$A,'_Sys|Line_Map'!$C:$C,"MISSING",0)</f>
        <v/>
      </c>
      <c r="J2249" s="4562">
        <f>XLOOKUP(B2249,'_Sys|Line_Map'!$A:$A,'_Sys|Line_Map'!$D:$D,1,0)</f>
        <v/>
      </c>
      <c r="K2249" s="4562">
        <f>IF(D2249="","",D2249*J2249)</f>
        <v/>
      </c>
      <c r="L2249" s="4562">
        <f>XLOOKUP(B2249,'_Sys|Line_Map'!$A:$A,'_Sys|Line_Map'!$B:$B,"MISSING",0)</f>
        <v/>
      </c>
    </row>
    <row r="2250">
      <c r="A2250" s="4561" t="n"/>
      <c r="B2250" s="4561" t="n"/>
      <c r="C2250" s="4561" t="n"/>
      <c r="D2250" s="4561" t="n"/>
      <c r="E2250" s="4561" t="n"/>
      <c r="F2250" s="4561" t="n"/>
      <c r="G2250" s="4561" t="n"/>
      <c r="H2250" s="4561" t="n"/>
      <c r="I2250" s="4562">
        <f>XLOOKUP(B2250,'_Sys|Line_Map'!$A:$A,'_Sys|Line_Map'!$C:$C,"MISSING",0)</f>
        <v/>
      </c>
      <c r="J2250" s="4562">
        <f>XLOOKUP(B2250,'_Sys|Line_Map'!$A:$A,'_Sys|Line_Map'!$D:$D,1,0)</f>
        <v/>
      </c>
      <c r="K2250" s="4562">
        <f>IF(D2250="","",D2250*J2250)</f>
        <v/>
      </c>
      <c r="L2250" s="4562">
        <f>XLOOKUP(B2250,'_Sys|Line_Map'!$A:$A,'_Sys|Line_Map'!$B:$B,"MISSING",0)</f>
        <v/>
      </c>
    </row>
    <row r="2251">
      <c r="A2251" s="4561" t="n"/>
      <c r="B2251" s="4561" t="n"/>
      <c r="C2251" s="4561" t="n"/>
      <c r="D2251" s="4561" t="n"/>
      <c r="E2251" s="4561" t="n"/>
      <c r="F2251" s="4561" t="n"/>
      <c r="G2251" s="4561" t="n"/>
      <c r="H2251" s="4561" t="n"/>
      <c r="I2251" s="4562">
        <f>XLOOKUP(B2251,'_Sys|Line_Map'!$A:$A,'_Sys|Line_Map'!$C:$C,"MISSING",0)</f>
        <v/>
      </c>
      <c r="J2251" s="4562">
        <f>XLOOKUP(B2251,'_Sys|Line_Map'!$A:$A,'_Sys|Line_Map'!$D:$D,1,0)</f>
        <v/>
      </c>
      <c r="K2251" s="4562">
        <f>IF(D2251="","",D2251*J2251)</f>
        <v/>
      </c>
      <c r="L2251" s="4562">
        <f>XLOOKUP(B2251,'_Sys|Line_Map'!$A:$A,'_Sys|Line_Map'!$B:$B,"MISSING",0)</f>
        <v/>
      </c>
    </row>
    <row r="2252">
      <c r="A2252" s="4561" t="n"/>
      <c r="B2252" s="4561" t="n"/>
      <c r="C2252" s="4561" t="n"/>
      <c r="D2252" s="4561" t="n"/>
      <c r="E2252" s="4561" t="n"/>
      <c r="F2252" s="4561" t="n"/>
      <c r="G2252" s="4561" t="n"/>
      <c r="H2252" s="4561" t="n"/>
      <c r="I2252" s="4562">
        <f>XLOOKUP(B2252,'_Sys|Line_Map'!$A:$A,'_Sys|Line_Map'!$C:$C,"MISSING",0)</f>
        <v/>
      </c>
      <c r="J2252" s="4562">
        <f>XLOOKUP(B2252,'_Sys|Line_Map'!$A:$A,'_Sys|Line_Map'!$D:$D,1,0)</f>
        <v/>
      </c>
      <c r="K2252" s="4562">
        <f>IF(D2252="","",D2252*J2252)</f>
        <v/>
      </c>
      <c r="L2252" s="4562">
        <f>XLOOKUP(B2252,'_Sys|Line_Map'!$A:$A,'_Sys|Line_Map'!$B:$B,"MISSING",0)</f>
        <v/>
      </c>
    </row>
    <row r="2253">
      <c r="A2253" s="4561" t="n"/>
      <c r="B2253" s="4561" t="n"/>
      <c r="C2253" s="4561" t="n"/>
      <c r="D2253" s="4561" t="n"/>
      <c r="E2253" s="4561" t="n"/>
      <c r="F2253" s="4561" t="n"/>
      <c r="G2253" s="4561" t="n"/>
      <c r="H2253" s="4561" t="n"/>
      <c r="I2253" s="4562">
        <f>XLOOKUP(B2253,'_Sys|Line_Map'!$A:$A,'_Sys|Line_Map'!$C:$C,"MISSING",0)</f>
        <v/>
      </c>
      <c r="J2253" s="4562">
        <f>XLOOKUP(B2253,'_Sys|Line_Map'!$A:$A,'_Sys|Line_Map'!$D:$D,1,0)</f>
        <v/>
      </c>
      <c r="K2253" s="4562">
        <f>IF(D2253="","",D2253*J2253)</f>
        <v/>
      </c>
      <c r="L2253" s="4562">
        <f>XLOOKUP(B2253,'_Sys|Line_Map'!$A:$A,'_Sys|Line_Map'!$B:$B,"MISSING",0)</f>
        <v/>
      </c>
    </row>
    <row r="2254">
      <c r="A2254" s="4561" t="n"/>
      <c r="B2254" s="4561" t="n"/>
      <c r="C2254" s="4561" t="n"/>
      <c r="D2254" s="4561" t="n"/>
      <c r="E2254" s="4561" t="n"/>
      <c r="F2254" s="4561" t="n"/>
      <c r="G2254" s="4561" t="n"/>
      <c r="H2254" s="4561" t="n"/>
      <c r="I2254" s="4562">
        <f>XLOOKUP(B2254,'_Sys|Line_Map'!$A:$A,'_Sys|Line_Map'!$C:$C,"MISSING",0)</f>
        <v/>
      </c>
      <c r="J2254" s="4562">
        <f>XLOOKUP(B2254,'_Sys|Line_Map'!$A:$A,'_Sys|Line_Map'!$D:$D,1,0)</f>
        <v/>
      </c>
      <c r="K2254" s="4562">
        <f>IF(D2254="","",D2254*J2254)</f>
        <v/>
      </c>
      <c r="L2254" s="4562">
        <f>XLOOKUP(B2254,'_Sys|Line_Map'!$A:$A,'_Sys|Line_Map'!$B:$B,"MISSING",0)</f>
        <v/>
      </c>
    </row>
    <row r="2255">
      <c r="A2255" s="4561" t="n"/>
      <c r="B2255" s="4561" t="n"/>
      <c r="C2255" s="4561" t="n"/>
      <c r="D2255" s="4561" t="n"/>
      <c r="E2255" s="4561" t="n"/>
      <c r="F2255" s="4561" t="n"/>
      <c r="G2255" s="4561" t="n"/>
      <c r="H2255" s="4561" t="n"/>
      <c r="I2255" s="4562">
        <f>XLOOKUP(B2255,'_Sys|Line_Map'!$A:$A,'_Sys|Line_Map'!$C:$C,"MISSING",0)</f>
        <v/>
      </c>
      <c r="J2255" s="4562">
        <f>XLOOKUP(B2255,'_Sys|Line_Map'!$A:$A,'_Sys|Line_Map'!$D:$D,1,0)</f>
        <v/>
      </c>
      <c r="K2255" s="4562">
        <f>IF(D2255="","",D2255*J2255)</f>
        <v/>
      </c>
      <c r="L2255" s="4562">
        <f>XLOOKUP(B2255,'_Sys|Line_Map'!$A:$A,'_Sys|Line_Map'!$B:$B,"MISSING",0)</f>
        <v/>
      </c>
    </row>
    <row r="2256">
      <c r="A2256" s="4561" t="n"/>
      <c r="B2256" s="4561" t="n"/>
      <c r="C2256" s="4561" t="n"/>
      <c r="D2256" s="4561" t="n"/>
      <c r="E2256" s="4561" t="n"/>
      <c r="F2256" s="4561" t="n"/>
      <c r="G2256" s="4561" t="n"/>
      <c r="H2256" s="4561" t="n"/>
      <c r="I2256" s="4562">
        <f>XLOOKUP(B2256,'_Sys|Line_Map'!$A:$A,'_Sys|Line_Map'!$C:$C,"MISSING",0)</f>
        <v/>
      </c>
      <c r="J2256" s="4562">
        <f>XLOOKUP(B2256,'_Sys|Line_Map'!$A:$A,'_Sys|Line_Map'!$D:$D,1,0)</f>
        <v/>
      </c>
      <c r="K2256" s="4562">
        <f>IF(D2256="","",D2256*J2256)</f>
        <v/>
      </c>
      <c r="L2256" s="4562">
        <f>XLOOKUP(B2256,'_Sys|Line_Map'!$A:$A,'_Sys|Line_Map'!$B:$B,"MISSING",0)</f>
        <v/>
      </c>
    </row>
    <row r="2257">
      <c r="A2257" s="4561" t="n"/>
      <c r="B2257" s="4561" t="n"/>
      <c r="C2257" s="4561" t="n"/>
      <c r="D2257" s="4561" t="n"/>
      <c r="E2257" s="4561" t="n"/>
      <c r="F2257" s="4561" t="n"/>
      <c r="G2257" s="4561" t="n"/>
      <c r="H2257" s="4561" t="n"/>
      <c r="I2257" s="4562">
        <f>XLOOKUP(B2257,'_Sys|Line_Map'!$A:$A,'_Sys|Line_Map'!$C:$C,"MISSING",0)</f>
        <v/>
      </c>
      <c r="J2257" s="4562">
        <f>XLOOKUP(B2257,'_Sys|Line_Map'!$A:$A,'_Sys|Line_Map'!$D:$D,1,0)</f>
        <v/>
      </c>
      <c r="K2257" s="4562">
        <f>IF(D2257="","",D2257*J2257)</f>
        <v/>
      </c>
      <c r="L2257" s="4562">
        <f>XLOOKUP(B2257,'_Sys|Line_Map'!$A:$A,'_Sys|Line_Map'!$B:$B,"MISSING",0)</f>
        <v/>
      </c>
    </row>
    <row r="2258">
      <c r="A2258" s="4561" t="n"/>
      <c r="B2258" s="4561" t="n"/>
      <c r="C2258" s="4561" t="n"/>
      <c r="D2258" s="4561" t="n"/>
      <c r="E2258" s="4561" t="n"/>
      <c r="F2258" s="4561" t="n"/>
      <c r="G2258" s="4561" t="n"/>
      <c r="H2258" s="4561" t="n"/>
      <c r="I2258" s="4562">
        <f>XLOOKUP(B2258,'_Sys|Line_Map'!$A:$A,'_Sys|Line_Map'!$C:$C,"MISSING",0)</f>
        <v/>
      </c>
      <c r="J2258" s="4562">
        <f>XLOOKUP(B2258,'_Sys|Line_Map'!$A:$A,'_Sys|Line_Map'!$D:$D,1,0)</f>
        <v/>
      </c>
      <c r="K2258" s="4562">
        <f>IF(D2258="","",D2258*J2258)</f>
        <v/>
      </c>
      <c r="L2258" s="4562">
        <f>XLOOKUP(B2258,'_Sys|Line_Map'!$A:$A,'_Sys|Line_Map'!$B:$B,"MISSING",0)</f>
        <v/>
      </c>
    </row>
    <row r="2259">
      <c r="A2259" s="4561" t="n"/>
      <c r="B2259" s="4561" t="n"/>
      <c r="C2259" s="4561" t="n"/>
      <c r="D2259" s="4561" t="n"/>
      <c r="E2259" s="4561" t="n"/>
      <c r="F2259" s="4561" t="n"/>
      <c r="G2259" s="4561" t="n"/>
      <c r="H2259" s="4561" t="n"/>
      <c r="I2259" s="4562">
        <f>XLOOKUP(B2259,'_Sys|Line_Map'!$A:$A,'_Sys|Line_Map'!$C:$C,"MISSING",0)</f>
        <v/>
      </c>
      <c r="J2259" s="4562">
        <f>XLOOKUP(B2259,'_Sys|Line_Map'!$A:$A,'_Sys|Line_Map'!$D:$D,1,0)</f>
        <v/>
      </c>
      <c r="K2259" s="4562">
        <f>IF(D2259="","",D2259*J2259)</f>
        <v/>
      </c>
      <c r="L2259" s="4562">
        <f>XLOOKUP(B2259,'_Sys|Line_Map'!$A:$A,'_Sys|Line_Map'!$B:$B,"MISSING",0)</f>
        <v/>
      </c>
    </row>
    <row r="2260">
      <c r="A2260" s="4561" t="n"/>
      <c r="B2260" s="4561" t="n"/>
      <c r="C2260" s="4561" t="n"/>
      <c r="D2260" s="4561" t="n"/>
      <c r="E2260" s="4561" t="n"/>
      <c r="F2260" s="4561" t="n"/>
      <c r="G2260" s="4561" t="n"/>
      <c r="H2260" s="4561" t="n"/>
      <c r="I2260" s="4562">
        <f>XLOOKUP(B2260,'_Sys|Line_Map'!$A:$A,'_Sys|Line_Map'!$C:$C,"MISSING",0)</f>
        <v/>
      </c>
      <c r="J2260" s="4562">
        <f>XLOOKUP(B2260,'_Sys|Line_Map'!$A:$A,'_Sys|Line_Map'!$D:$D,1,0)</f>
        <v/>
      </c>
      <c r="K2260" s="4562">
        <f>IF(D2260="","",D2260*J2260)</f>
        <v/>
      </c>
      <c r="L2260" s="4562">
        <f>XLOOKUP(B2260,'_Sys|Line_Map'!$A:$A,'_Sys|Line_Map'!$B:$B,"MISSING",0)</f>
        <v/>
      </c>
    </row>
    <row r="2261">
      <c r="A2261" s="4561" t="n"/>
      <c r="B2261" s="4561" t="n"/>
      <c r="C2261" s="4561" t="n"/>
      <c r="D2261" s="4561" t="n"/>
      <c r="E2261" s="4561" t="n"/>
      <c r="F2261" s="4561" t="n"/>
      <c r="G2261" s="4561" t="n"/>
      <c r="H2261" s="4561" t="n"/>
      <c r="I2261" s="4562">
        <f>XLOOKUP(B2261,'_Sys|Line_Map'!$A:$A,'_Sys|Line_Map'!$C:$C,"MISSING",0)</f>
        <v/>
      </c>
      <c r="J2261" s="4562">
        <f>XLOOKUP(B2261,'_Sys|Line_Map'!$A:$A,'_Sys|Line_Map'!$D:$D,1,0)</f>
        <v/>
      </c>
      <c r="K2261" s="4562">
        <f>IF(D2261="","",D2261*J2261)</f>
        <v/>
      </c>
      <c r="L2261" s="4562">
        <f>XLOOKUP(B2261,'_Sys|Line_Map'!$A:$A,'_Sys|Line_Map'!$B:$B,"MISSING",0)</f>
        <v/>
      </c>
    </row>
    <row r="2262">
      <c r="A2262" s="4561" t="n"/>
      <c r="B2262" s="4561" t="n"/>
      <c r="C2262" s="4561" t="n"/>
      <c r="D2262" s="4561" t="n"/>
      <c r="E2262" s="4561" t="n"/>
      <c r="F2262" s="4561" t="n"/>
      <c r="G2262" s="4561" t="n"/>
      <c r="H2262" s="4561" t="n"/>
      <c r="I2262" s="4562">
        <f>XLOOKUP(B2262,'_Sys|Line_Map'!$A:$A,'_Sys|Line_Map'!$C:$C,"MISSING",0)</f>
        <v/>
      </c>
      <c r="J2262" s="4562">
        <f>XLOOKUP(B2262,'_Sys|Line_Map'!$A:$A,'_Sys|Line_Map'!$D:$D,1,0)</f>
        <v/>
      </c>
      <c r="K2262" s="4562">
        <f>IF(D2262="","",D2262*J2262)</f>
        <v/>
      </c>
      <c r="L2262" s="4562">
        <f>XLOOKUP(B2262,'_Sys|Line_Map'!$A:$A,'_Sys|Line_Map'!$B:$B,"MISSING",0)</f>
        <v/>
      </c>
    </row>
    <row r="2263">
      <c r="A2263" s="4561" t="n"/>
      <c r="B2263" s="4561" t="n"/>
      <c r="C2263" s="4561" t="n"/>
      <c r="D2263" s="4561" t="n"/>
      <c r="E2263" s="4561" t="n"/>
      <c r="F2263" s="4561" t="n"/>
      <c r="G2263" s="4561" t="n"/>
      <c r="H2263" s="4561" t="n"/>
      <c r="I2263" s="4562">
        <f>XLOOKUP(B2263,'_Sys|Line_Map'!$A:$A,'_Sys|Line_Map'!$C:$C,"MISSING",0)</f>
        <v/>
      </c>
      <c r="J2263" s="4562">
        <f>XLOOKUP(B2263,'_Sys|Line_Map'!$A:$A,'_Sys|Line_Map'!$D:$D,1,0)</f>
        <v/>
      </c>
      <c r="K2263" s="4562">
        <f>IF(D2263="","",D2263*J2263)</f>
        <v/>
      </c>
      <c r="L2263" s="4562">
        <f>XLOOKUP(B2263,'_Sys|Line_Map'!$A:$A,'_Sys|Line_Map'!$B:$B,"MISSING",0)</f>
        <v/>
      </c>
    </row>
    <row r="2264">
      <c r="A2264" s="4561" t="n"/>
      <c r="B2264" s="4561" t="n"/>
      <c r="C2264" s="4561" t="n"/>
      <c r="D2264" s="4561" t="n"/>
      <c r="E2264" s="4561" t="n"/>
      <c r="F2264" s="4561" t="n"/>
      <c r="G2264" s="4561" t="n"/>
      <c r="H2264" s="4561" t="n"/>
      <c r="I2264" s="4562">
        <f>XLOOKUP(B2264,'_Sys|Line_Map'!$A:$A,'_Sys|Line_Map'!$C:$C,"MISSING",0)</f>
        <v/>
      </c>
      <c r="J2264" s="4562">
        <f>XLOOKUP(B2264,'_Sys|Line_Map'!$A:$A,'_Sys|Line_Map'!$D:$D,1,0)</f>
        <v/>
      </c>
      <c r="K2264" s="4562">
        <f>IF(D2264="","",D2264*J2264)</f>
        <v/>
      </c>
      <c r="L2264" s="4562">
        <f>XLOOKUP(B2264,'_Sys|Line_Map'!$A:$A,'_Sys|Line_Map'!$B:$B,"MISSING",0)</f>
        <v/>
      </c>
    </row>
    <row r="2265">
      <c r="A2265" s="4561" t="n"/>
      <c r="B2265" s="4561" t="n"/>
      <c r="C2265" s="4561" t="n"/>
      <c r="D2265" s="4561" t="n"/>
      <c r="E2265" s="4561" t="n"/>
      <c r="F2265" s="4561" t="n"/>
      <c r="G2265" s="4561" t="n"/>
      <c r="H2265" s="4561" t="n"/>
      <c r="I2265" s="4562">
        <f>XLOOKUP(B2265,'_Sys|Line_Map'!$A:$A,'_Sys|Line_Map'!$C:$C,"MISSING",0)</f>
        <v/>
      </c>
      <c r="J2265" s="4562">
        <f>XLOOKUP(B2265,'_Sys|Line_Map'!$A:$A,'_Sys|Line_Map'!$D:$D,1,0)</f>
        <v/>
      </c>
      <c r="K2265" s="4562">
        <f>IF(D2265="","",D2265*J2265)</f>
        <v/>
      </c>
      <c r="L2265" s="4562">
        <f>XLOOKUP(B2265,'_Sys|Line_Map'!$A:$A,'_Sys|Line_Map'!$B:$B,"MISSING",0)</f>
        <v/>
      </c>
    </row>
    <row r="2266">
      <c r="A2266" s="4561" t="n"/>
      <c r="B2266" s="4561" t="n"/>
      <c r="C2266" s="4561" t="n"/>
      <c r="D2266" s="4561" t="n"/>
      <c r="E2266" s="4561" t="n"/>
      <c r="F2266" s="4561" t="n"/>
      <c r="G2266" s="4561" t="n"/>
      <c r="H2266" s="4561" t="n"/>
      <c r="I2266" s="4562">
        <f>XLOOKUP(B2266,'_Sys|Line_Map'!$A:$A,'_Sys|Line_Map'!$C:$C,"MISSING",0)</f>
        <v/>
      </c>
      <c r="J2266" s="4562">
        <f>XLOOKUP(B2266,'_Sys|Line_Map'!$A:$A,'_Sys|Line_Map'!$D:$D,1,0)</f>
        <v/>
      </c>
      <c r="K2266" s="4562">
        <f>IF(D2266="","",D2266*J2266)</f>
        <v/>
      </c>
      <c r="L2266" s="4562">
        <f>XLOOKUP(B2266,'_Sys|Line_Map'!$A:$A,'_Sys|Line_Map'!$B:$B,"MISSING",0)</f>
        <v/>
      </c>
    </row>
    <row r="2267">
      <c r="A2267" s="4561" t="n"/>
      <c r="B2267" s="4561" t="n"/>
      <c r="C2267" s="4561" t="n"/>
      <c r="D2267" s="4561" t="n"/>
      <c r="E2267" s="4561" t="n"/>
      <c r="F2267" s="4561" t="n"/>
      <c r="G2267" s="4561" t="n"/>
      <c r="H2267" s="4561" t="n"/>
      <c r="I2267" s="4562">
        <f>XLOOKUP(B2267,'_Sys|Line_Map'!$A:$A,'_Sys|Line_Map'!$C:$C,"MISSING",0)</f>
        <v/>
      </c>
      <c r="J2267" s="4562">
        <f>XLOOKUP(B2267,'_Sys|Line_Map'!$A:$A,'_Sys|Line_Map'!$D:$D,1,0)</f>
        <v/>
      </c>
      <c r="K2267" s="4562">
        <f>IF(D2267="","",D2267*J2267)</f>
        <v/>
      </c>
      <c r="L2267" s="4562">
        <f>XLOOKUP(B2267,'_Sys|Line_Map'!$A:$A,'_Sys|Line_Map'!$B:$B,"MISSING",0)</f>
        <v/>
      </c>
    </row>
    <row r="2268">
      <c r="A2268" s="4561" t="n"/>
      <c r="B2268" s="4561" t="n"/>
      <c r="C2268" s="4561" t="n"/>
      <c r="D2268" s="4561" t="n"/>
      <c r="E2268" s="4561" t="n"/>
      <c r="F2268" s="4561" t="n"/>
      <c r="G2268" s="4561" t="n"/>
      <c r="H2268" s="4561" t="n"/>
      <c r="I2268" s="4562">
        <f>XLOOKUP(B2268,'_Sys|Line_Map'!$A:$A,'_Sys|Line_Map'!$C:$C,"MISSING",0)</f>
        <v/>
      </c>
      <c r="J2268" s="4562">
        <f>XLOOKUP(B2268,'_Sys|Line_Map'!$A:$A,'_Sys|Line_Map'!$D:$D,1,0)</f>
        <v/>
      </c>
      <c r="K2268" s="4562">
        <f>IF(D2268="","",D2268*J2268)</f>
        <v/>
      </c>
      <c r="L2268" s="4562">
        <f>XLOOKUP(B2268,'_Sys|Line_Map'!$A:$A,'_Sys|Line_Map'!$B:$B,"MISSING",0)</f>
        <v/>
      </c>
    </row>
    <row r="2269">
      <c r="A2269" s="4561" t="n"/>
      <c r="B2269" s="4561" t="n"/>
      <c r="C2269" s="4561" t="n"/>
      <c r="D2269" s="4561" t="n"/>
      <c r="E2269" s="4561" t="n"/>
      <c r="F2269" s="4561" t="n"/>
      <c r="G2269" s="4561" t="n"/>
      <c r="H2269" s="4561" t="n"/>
      <c r="I2269" s="4562">
        <f>XLOOKUP(B2269,'_Sys|Line_Map'!$A:$A,'_Sys|Line_Map'!$C:$C,"MISSING",0)</f>
        <v/>
      </c>
      <c r="J2269" s="4562">
        <f>XLOOKUP(B2269,'_Sys|Line_Map'!$A:$A,'_Sys|Line_Map'!$D:$D,1,0)</f>
        <v/>
      </c>
      <c r="K2269" s="4562">
        <f>IF(D2269="","",D2269*J2269)</f>
        <v/>
      </c>
      <c r="L2269" s="4562">
        <f>XLOOKUP(B2269,'_Sys|Line_Map'!$A:$A,'_Sys|Line_Map'!$B:$B,"MISSING",0)</f>
        <v/>
      </c>
    </row>
    <row r="2270">
      <c r="A2270" s="4561" t="n"/>
      <c r="B2270" s="4561" t="n"/>
      <c r="C2270" s="4561" t="n"/>
      <c r="D2270" s="4561" t="n"/>
      <c r="E2270" s="4561" t="n"/>
      <c r="F2270" s="4561" t="n"/>
      <c r="G2270" s="4561" t="n"/>
      <c r="H2270" s="4561" t="n"/>
      <c r="I2270" s="4562">
        <f>XLOOKUP(B2270,'_Sys|Line_Map'!$A:$A,'_Sys|Line_Map'!$C:$C,"MISSING",0)</f>
        <v/>
      </c>
      <c r="J2270" s="4562">
        <f>XLOOKUP(B2270,'_Sys|Line_Map'!$A:$A,'_Sys|Line_Map'!$D:$D,1,0)</f>
        <v/>
      </c>
      <c r="K2270" s="4562">
        <f>IF(D2270="","",D2270*J2270)</f>
        <v/>
      </c>
      <c r="L2270" s="4562">
        <f>XLOOKUP(B2270,'_Sys|Line_Map'!$A:$A,'_Sys|Line_Map'!$B:$B,"MISSING",0)</f>
        <v/>
      </c>
    </row>
    <row r="2271">
      <c r="A2271" s="4561" t="n"/>
      <c r="B2271" s="4561" t="n"/>
      <c r="C2271" s="4561" t="n"/>
      <c r="D2271" s="4561" t="n"/>
      <c r="E2271" s="4561" t="n"/>
      <c r="F2271" s="4561" t="n"/>
      <c r="G2271" s="4561" t="n"/>
      <c r="H2271" s="4561" t="n"/>
      <c r="I2271" s="4562">
        <f>XLOOKUP(B2271,'_Sys|Line_Map'!$A:$A,'_Sys|Line_Map'!$C:$C,"MISSING",0)</f>
        <v/>
      </c>
      <c r="J2271" s="4562">
        <f>XLOOKUP(B2271,'_Sys|Line_Map'!$A:$A,'_Sys|Line_Map'!$D:$D,1,0)</f>
        <v/>
      </c>
      <c r="K2271" s="4562">
        <f>IF(D2271="","",D2271*J2271)</f>
        <v/>
      </c>
      <c r="L2271" s="4562">
        <f>XLOOKUP(B2271,'_Sys|Line_Map'!$A:$A,'_Sys|Line_Map'!$B:$B,"MISSING",0)</f>
        <v/>
      </c>
    </row>
    <row r="2272">
      <c r="A2272" s="4561" t="n"/>
      <c r="B2272" s="4561" t="n"/>
      <c r="C2272" s="4561" t="n"/>
      <c r="D2272" s="4561" t="n"/>
      <c r="E2272" s="4561" t="n"/>
      <c r="F2272" s="4561" t="n"/>
      <c r="G2272" s="4561" t="n"/>
      <c r="H2272" s="4561" t="n"/>
      <c r="I2272" s="4562">
        <f>XLOOKUP(B2272,'_Sys|Line_Map'!$A:$A,'_Sys|Line_Map'!$C:$C,"MISSING",0)</f>
        <v/>
      </c>
      <c r="J2272" s="4562">
        <f>XLOOKUP(B2272,'_Sys|Line_Map'!$A:$A,'_Sys|Line_Map'!$D:$D,1,0)</f>
        <v/>
      </c>
      <c r="K2272" s="4562">
        <f>IF(D2272="","",D2272*J2272)</f>
        <v/>
      </c>
      <c r="L2272" s="4562">
        <f>XLOOKUP(B2272,'_Sys|Line_Map'!$A:$A,'_Sys|Line_Map'!$B:$B,"MISSING",0)</f>
        <v/>
      </c>
    </row>
    <row r="2273">
      <c r="A2273" s="4561" t="n"/>
      <c r="B2273" s="4561" t="n"/>
      <c r="C2273" s="4561" t="n"/>
      <c r="D2273" s="4561" t="n"/>
      <c r="E2273" s="4561" t="n"/>
      <c r="F2273" s="4561" t="n"/>
      <c r="G2273" s="4561" t="n"/>
      <c r="H2273" s="4561" t="n"/>
      <c r="I2273" s="4562">
        <f>XLOOKUP(B2273,'_Sys|Line_Map'!$A:$A,'_Sys|Line_Map'!$C:$C,"MISSING",0)</f>
        <v/>
      </c>
      <c r="J2273" s="4562">
        <f>XLOOKUP(B2273,'_Sys|Line_Map'!$A:$A,'_Sys|Line_Map'!$D:$D,1,0)</f>
        <v/>
      </c>
      <c r="K2273" s="4562">
        <f>IF(D2273="","",D2273*J2273)</f>
        <v/>
      </c>
      <c r="L2273" s="4562">
        <f>XLOOKUP(B2273,'_Sys|Line_Map'!$A:$A,'_Sys|Line_Map'!$B:$B,"MISSING",0)</f>
        <v/>
      </c>
    </row>
    <row r="2274">
      <c r="A2274" s="4561" t="n"/>
      <c r="B2274" s="4561" t="n"/>
      <c r="C2274" s="4561" t="n"/>
      <c r="D2274" s="4561" t="n"/>
      <c r="E2274" s="4561" t="n"/>
      <c r="F2274" s="4561" t="n"/>
      <c r="G2274" s="4561" t="n"/>
      <c r="H2274" s="4561" t="n"/>
      <c r="I2274" s="4562">
        <f>XLOOKUP(B2274,'_Sys|Line_Map'!$A:$A,'_Sys|Line_Map'!$C:$C,"MISSING",0)</f>
        <v/>
      </c>
      <c r="J2274" s="4562">
        <f>XLOOKUP(B2274,'_Sys|Line_Map'!$A:$A,'_Sys|Line_Map'!$D:$D,1,0)</f>
        <v/>
      </c>
      <c r="K2274" s="4562">
        <f>IF(D2274="","",D2274*J2274)</f>
        <v/>
      </c>
      <c r="L2274" s="4562">
        <f>XLOOKUP(B2274,'_Sys|Line_Map'!$A:$A,'_Sys|Line_Map'!$B:$B,"MISSING",0)</f>
        <v/>
      </c>
    </row>
    <row r="2275">
      <c r="A2275" s="4561" t="n"/>
      <c r="B2275" s="4561" t="n"/>
      <c r="C2275" s="4561" t="n"/>
      <c r="D2275" s="4561" t="n"/>
      <c r="E2275" s="4561" t="n"/>
      <c r="F2275" s="4561" t="n"/>
      <c r="G2275" s="4561" t="n"/>
      <c r="H2275" s="4561" t="n"/>
      <c r="I2275" s="4562">
        <f>XLOOKUP(B2275,'_Sys|Line_Map'!$A:$A,'_Sys|Line_Map'!$C:$C,"MISSING",0)</f>
        <v/>
      </c>
      <c r="J2275" s="4562">
        <f>XLOOKUP(B2275,'_Sys|Line_Map'!$A:$A,'_Sys|Line_Map'!$D:$D,1,0)</f>
        <v/>
      </c>
      <c r="K2275" s="4562">
        <f>IF(D2275="","",D2275*J2275)</f>
        <v/>
      </c>
      <c r="L2275" s="4562">
        <f>XLOOKUP(B2275,'_Sys|Line_Map'!$A:$A,'_Sys|Line_Map'!$B:$B,"MISSING",0)</f>
        <v/>
      </c>
    </row>
    <row r="2276">
      <c r="A2276" s="4561" t="n"/>
      <c r="B2276" s="4561" t="n"/>
      <c r="C2276" s="4561" t="n"/>
      <c r="D2276" s="4561" t="n"/>
      <c r="E2276" s="4561" t="n"/>
      <c r="F2276" s="4561" t="n"/>
      <c r="G2276" s="4561" t="n"/>
      <c r="H2276" s="4561" t="n"/>
      <c r="I2276" s="4562">
        <f>XLOOKUP(B2276,'_Sys|Line_Map'!$A:$A,'_Sys|Line_Map'!$C:$C,"MISSING",0)</f>
        <v/>
      </c>
      <c r="J2276" s="4562">
        <f>XLOOKUP(B2276,'_Sys|Line_Map'!$A:$A,'_Sys|Line_Map'!$D:$D,1,0)</f>
        <v/>
      </c>
      <c r="K2276" s="4562">
        <f>IF(D2276="","",D2276*J2276)</f>
        <v/>
      </c>
      <c r="L2276" s="4562">
        <f>XLOOKUP(B2276,'_Sys|Line_Map'!$A:$A,'_Sys|Line_Map'!$B:$B,"MISSING",0)</f>
        <v/>
      </c>
    </row>
    <row r="2277">
      <c r="A2277" s="4561" t="n"/>
      <c r="B2277" s="4561" t="n"/>
      <c r="C2277" s="4561" t="n"/>
      <c r="D2277" s="4561" t="n"/>
      <c r="E2277" s="4561" t="n"/>
      <c r="F2277" s="4561" t="n"/>
      <c r="G2277" s="4561" t="n"/>
      <c r="H2277" s="4561" t="n"/>
      <c r="I2277" s="4562">
        <f>XLOOKUP(B2277,'_Sys|Line_Map'!$A:$A,'_Sys|Line_Map'!$C:$C,"MISSING",0)</f>
        <v/>
      </c>
      <c r="J2277" s="4562">
        <f>XLOOKUP(B2277,'_Sys|Line_Map'!$A:$A,'_Sys|Line_Map'!$D:$D,1,0)</f>
        <v/>
      </c>
      <c r="K2277" s="4562">
        <f>IF(D2277="","",D2277*J2277)</f>
        <v/>
      </c>
      <c r="L2277" s="4562">
        <f>XLOOKUP(B2277,'_Sys|Line_Map'!$A:$A,'_Sys|Line_Map'!$B:$B,"MISSING",0)</f>
        <v/>
      </c>
    </row>
    <row r="2278">
      <c r="A2278" s="4561" t="n"/>
      <c r="B2278" s="4561" t="n"/>
      <c r="C2278" s="4561" t="n"/>
      <c r="D2278" s="4561" t="n"/>
      <c r="E2278" s="4561" t="n"/>
      <c r="F2278" s="4561" t="n"/>
      <c r="G2278" s="4561" t="n"/>
      <c r="H2278" s="4561" t="n"/>
      <c r="I2278" s="4562">
        <f>XLOOKUP(B2278,'_Sys|Line_Map'!$A:$A,'_Sys|Line_Map'!$C:$C,"MISSING",0)</f>
        <v/>
      </c>
      <c r="J2278" s="4562">
        <f>XLOOKUP(B2278,'_Sys|Line_Map'!$A:$A,'_Sys|Line_Map'!$D:$D,1,0)</f>
        <v/>
      </c>
      <c r="K2278" s="4562">
        <f>IF(D2278="","",D2278*J2278)</f>
        <v/>
      </c>
      <c r="L2278" s="4562">
        <f>XLOOKUP(B2278,'_Sys|Line_Map'!$A:$A,'_Sys|Line_Map'!$B:$B,"MISSING",0)</f>
        <v/>
      </c>
    </row>
    <row r="2279">
      <c r="A2279" s="4561" t="n"/>
      <c r="B2279" s="4561" t="n"/>
      <c r="C2279" s="4561" t="n"/>
      <c r="D2279" s="4561" t="n"/>
      <c r="E2279" s="4561" t="n"/>
      <c r="F2279" s="4561" t="n"/>
      <c r="G2279" s="4561" t="n"/>
      <c r="H2279" s="4561" t="n"/>
      <c r="I2279" s="4562">
        <f>XLOOKUP(B2279,'_Sys|Line_Map'!$A:$A,'_Sys|Line_Map'!$C:$C,"MISSING",0)</f>
        <v/>
      </c>
      <c r="J2279" s="4562">
        <f>XLOOKUP(B2279,'_Sys|Line_Map'!$A:$A,'_Sys|Line_Map'!$D:$D,1,0)</f>
        <v/>
      </c>
      <c r="K2279" s="4562">
        <f>IF(D2279="","",D2279*J2279)</f>
        <v/>
      </c>
      <c r="L2279" s="4562">
        <f>XLOOKUP(B2279,'_Sys|Line_Map'!$A:$A,'_Sys|Line_Map'!$B:$B,"MISSING",0)</f>
        <v/>
      </c>
    </row>
    <row r="2280">
      <c r="A2280" s="4561" t="n"/>
      <c r="B2280" s="4561" t="n"/>
      <c r="C2280" s="4561" t="n"/>
      <c r="D2280" s="4561" t="n"/>
      <c r="E2280" s="4561" t="n"/>
      <c r="F2280" s="4561" t="n"/>
      <c r="G2280" s="4561" t="n"/>
      <c r="H2280" s="4561" t="n"/>
      <c r="I2280" s="4562">
        <f>XLOOKUP(B2280,'_Sys|Line_Map'!$A:$A,'_Sys|Line_Map'!$C:$C,"MISSING",0)</f>
        <v/>
      </c>
      <c r="J2280" s="4562">
        <f>XLOOKUP(B2280,'_Sys|Line_Map'!$A:$A,'_Sys|Line_Map'!$D:$D,1,0)</f>
        <v/>
      </c>
      <c r="K2280" s="4562">
        <f>IF(D2280="","",D2280*J2280)</f>
        <v/>
      </c>
      <c r="L2280" s="4562">
        <f>XLOOKUP(B2280,'_Sys|Line_Map'!$A:$A,'_Sys|Line_Map'!$B:$B,"MISSING",0)</f>
        <v/>
      </c>
    </row>
    <row r="2281">
      <c r="A2281" s="4561" t="n"/>
      <c r="B2281" s="4561" t="n"/>
      <c r="C2281" s="4561" t="n"/>
      <c r="D2281" s="4561" t="n"/>
      <c r="E2281" s="4561" t="n"/>
      <c r="F2281" s="4561" t="n"/>
      <c r="G2281" s="4561" t="n"/>
      <c r="H2281" s="4561" t="n"/>
      <c r="I2281" s="4562">
        <f>XLOOKUP(B2281,'_Sys|Line_Map'!$A:$A,'_Sys|Line_Map'!$C:$C,"MISSING",0)</f>
        <v/>
      </c>
      <c r="J2281" s="4562">
        <f>XLOOKUP(B2281,'_Sys|Line_Map'!$A:$A,'_Sys|Line_Map'!$D:$D,1,0)</f>
        <v/>
      </c>
      <c r="K2281" s="4562">
        <f>IF(D2281="","",D2281*J2281)</f>
        <v/>
      </c>
      <c r="L2281" s="4562">
        <f>XLOOKUP(B2281,'_Sys|Line_Map'!$A:$A,'_Sys|Line_Map'!$B:$B,"MISSING",0)</f>
        <v/>
      </c>
    </row>
    <row r="2282">
      <c r="A2282" s="4561" t="n"/>
      <c r="B2282" s="4561" t="n"/>
      <c r="C2282" s="4561" t="n"/>
      <c r="D2282" s="4561" t="n"/>
      <c r="E2282" s="4561" t="n"/>
      <c r="F2282" s="4561" t="n"/>
      <c r="G2282" s="4561" t="n"/>
      <c r="H2282" s="4561" t="n"/>
      <c r="I2282" s="4562">
        <f>XLOOKUP(B2282,'_Sys|Line_Map'!$A:$A,'_Sys|Line_Map'!$C:$C,"MISSING",0)</f>
        <v/>
      </c>
      <c r="J2282" s="4562">
        <f>XLOOKUP(B2282,'_Sys|Line_Map'!$A:$A,'_Sys|Line_Map'!$D:$D,1,0)</f>
        <v/>
      </c>
      <c r="K2282" s="4562">
        <f>IF(D2282="","",D2282*J2282)</f>
        <v/>
      </c>
      <c r="L2282" s="4562">
        <f>XLOOKUP(B2282,'_Sys|Line_Map'!$A:$A,'_Sys|Line_Map'!$B:$B,"MISSING",0)</f>
        <v/>
      </c>
    </row>
    <row r="2283">
      <c r="A2283" s="4561" t="n"/>
      <c r="B2283" s="4561" t="n"/>
      <c r="C2283" s="4561" t="n"/>
      <c r="D2283" s="4561" t="n"/>
      <c r="E2283" s="4561" t="n"/>
      <c r="F2283" s="4561" t="n"/>
      <c r="G2283" s="4561" t="n"/>
      <c r="H2283" s="4561" t="n"/>
      <c r="I2283" s="4562">
        <f>XLOOKUP(B2283,'_Sys|Line_Map'!$A:$A,'_Sys|Line_Map'!$C:$C,"MISSING",0)</f>
        <v/>
      </c>
      <c r="J2283" s="4562">
        <f>XLOOKUP(B2283,'_Sys|Line_Map'!$A:$A,'_Sys|Line_Map'!$D:$D,1,0)</f>
        <v/>
      </c>
      <c r="K2283" s="4562">
        <f>IF(D2283="","",D2283*J2283)</f>
        <v/>
      </c>
      <c r="L2283" s="4562">
        <f>XLOOKUP(B2283,'_Sys|Line_Map'!$A:$A,'_Sys|Line_Map'!$B:$B,"MISSING",0)</f>
        <v/>
      </c>
    </row>
    <row r="2284">
      <c r="A2284" s="4561" t="n"/>
      <c r="B2284" s="4561" t="n"/>
      <c r="C2284" s="4561" t="n"/>
      <c r="D2284" s="4561" t="n"/>
      <c r="E2284" s="4561" t="n"/>
      <c r="F2284" s="4561" t="n"/>
      <c r="G2284" s="4561" t="n"/>
      <c r="H2284" s="4561" t="n"/>
      <c r="I2284" s="4562">
        <f>XLOOKUP(B2284,'_Sys|Line_Map'!$A:$A,'_Sys|Line_Map'!$C:$C,"MISSING",0)</f>
        <v/>
      </c>
      <c r="J2284" s="4562">
        <f>XLOOKUP(B2284,'_Sys|Line_Map'!$A:$A,'_Sys|Line_Map'!$D:$D,1,0)</f>
        <v/>
      </c>
      <c r="K2284" s="4562">
        <f>IF(D2284="","",D2284*J2284)</f>
        <v/>
      </c>
      <c r="L2284" s="4562">
        <f>XLOOKUP(B2284,'_Sys|Line_Map'!$A:$A,'_Sys|Line_Map'!$B:$B,"MISSING",0)</f>
        <v/>
      </c>
    </row>
    <row r="2285">
      <c r="A2285" s="4561" t="n"/>
      <c r="B2285" s="4561" t="n"/>
      <c r="C2285" s="4561" t="n"/>
      <c r="D2285" s="4561" t="n"/>
      <c r="E2285" s="4561" t="n"/>
      <c r="F2285" s="4561" t="n"/>
      <c r="G2285" s="4561" t="n"/>
      <c r="H2285" s="4561" t="n"/>
      <c r="I2285" s="4562">
        <f>XLOOKUP(B2285,'_Sys|Line_Map'!$A:$A,'_Sys|Line_Map'!$C:$C,"MISSING",0)</f>
        <v/>
      </c>
      <c r="J2285" s="4562">
        <f>XLOOKUP(B2285,'_Sys|Line_Map'!$A:$A,'_Sys|Line_Map'!$D:$D,1,0)</f>
        <v/>
      </c>
      <c r="K2285" s="4562">
        <f>IF(D2285="","",D2285*J2285)</f>
        <v/>
      </c>
      <c r="L2285" s="4562">
        <f>XLOOKUP(B2285,'_Sys|Line_Map'!$A:$A,'_Sys|Line_Map'!$B:$B,"MISSING",0)</f>
        <v/>
      </c>
    </row>
    <row r="2286">
      <c r="A2286" s="4561" t="n"/>
      <c r="B2286" s="4561" t="n"/>
      <c r="C2286" s="4561" t="n"/>
      <c r="D2286" s="4561" t="n"/>
      <c r="E2286" s="4561" t="n"/>
      <c r="F2286" s="4561" t="n"/>
      <c r="G2286" s="4561" t="n"/>
      <c r="H2286" s="4561" t="n"/>
      <c r="I2286" s="4562">
        <f>XLOOKUP(B2286,'_Sys|Line_Map'!$A:$A,'_Sys|Line_Map'!$C:$C,"MISSING",0)</f>
        <v/>
      </c>
      <c r="J2286" s="4562">
        <f>XLOOKUP(B2286,'_Sys|Line_Map'!$A:$A,'_Sys|Line_Map'!$D:$D,1,0)</f>
        <v/>
      </c>
      <c r="K2286" s="4562">
        <f>IF(D2286="","",D2286*J2286)</f>
        <v/>
      </c>
      <c r="L2286" s="4562">
        <f>XLOOKUP(B2286,'_Sys|Line_Map'!$A:$A,'_Sys|Line_Map'!$B:$B,"MISSING",0)</f>
        <v/>
      </c>
    </row>
    <row r="2287">
      <c r="A2287" s="4561" t="n"/>
      <c r="B2287" s="4561" t="n"/>
      <c r="C2287" s="4561" t="n"/>
      <c r="D2287" s="4561" t="n"/>
      <c r="E2287" s="4561" t="n"/>
      <c r="F2287" s="4561" t="n"/>
      <c r="G2287" s="4561" t="n"/>
      <c r="H2287" s="4561" t="n"/>
      <c r="I2287" s="4562">
        <f>XLOOKUP(B2287,'_Sys|Line_Map'!$A:$A,'_Sys|Line_Map'!$C:$C,"MISSING",0)</f>
        <v/>
      </c>
      <c r="J2287" s="4562">
        <f>XLOOKUP(B2287,'_Sys|Line_Map'!$A:$A,'_Sys|Line_Map'!$D:$D,1,0)</f>
        <v/>
      </c>
      <c r="K2287" s="4562">
        <f>IF(D2287="","",D2287*J2287)</f>
        <v/>
      </c>
      <c r="L2287" s="4562">
        <f>XLOOKUP(B2287,'_Sys|Line_Map'!$A:$A,'_Sys|Line_Map'!$B:$B,"MISSING",0)</f>
        <v/>
      </c>
    </row>
    <row r="2288">
      <c r="A2288" s="4561" t="n"/>
      <c r="B2288" s="4561" t="n"/>
      <c r="C2288" s="4561" t="n"/>
      <c r="D2288" s="4561" t="n"/>
      <c r="E2288" s="4561" t="n"/>
      <c r="F2288" s="4561" t="n"/>
      <c r="G2288" s="4561" t="n"/>
      <c r="H2288" s="4561" t="n"/>
      <c r="I2288" s="4562">
        <f>XLOOKUP(B2288,'_Sys|Line_Map'!$A:$A,'_Sys|Line_Map'!$C:$C,"MISSING",0)</f>
        <v/>
      </c>
      <c r="J2288" s="4562">
        <f>XLOOKUP(B2288,'_Sys|Line_Map'!$A:$A,'_Sys|Line_Map'!$D:$D,1,0)</f>
        <v/>
      </c>
      <c r="K2288" s="4562">
        <f>IF(D2288="","",D2288*J2288)</f>
        <v/>
      </c>
      <c r="L2288" s="4562">
        <f>XLOOKUP(B2288,'_Sys|Line_Map'!$A:$A,'_Sys|Line_Map'!$B:$B,"MISSING",0)</f>
        <v/>
      </c>
    </row>
    <row r="2289">
      <c r="A2289" s="4561" t="n"/>
      <c r="B2289" s="4561" t="n"/>
      <c r="C2289" s="4561" t="n"/>
      <c r="D2289" s="4561" t="n"/>
      <c r="E2289" s="4561" t="n"/>
      <c r="F2289" s="4561" t="n"/>
      <c r="G2289" s="4561" t="n"/>
      <c r="H2289" s="4561" t="n"/>
      <c r="I2289" s="4562">
        <f>XLOOKUP(B2289,'_Sys|Line_Map'!$A:$A,'_Sys|Line_Map'!$C:$C,"MISSING",0)</f>
        <v/>
      </c>
      <c r="J2289" s="4562">
        <f>XLOOKUP(B2289,'_Sys|Line_Map'!$A:$A,'_Sys|Line_Map'!$D:$D,1,0)</f>
        <v/>
      </c>
      <c r="K2289" s="4562">
        <f>IF(D2289="","",D2289*J2289)</f>
        <v/>
      </c>
      <c r="L2289" s="4562">
        <f>XLOOKUP(B2289,'_Sys|Line_Map'!$A:$A,'_Sys|Line_Map'!$B:$B,"MISSING",0)</f>
        <v/>
      </c>
    </row>
    <row r="2290">
      <c r="A2290" s="4561" t="n"/>
      <c r="B2290" s="4561" t="n"/>
      <c r="C2290" s="4561" t="n"/>
      <c r="D2290" s="4561" t="n"/>
      <c r="E2290" s="4561" t="n"/>
      <c r="F2290" s="4561" t="n"/>
      <c r="G2290" s="4561" t="n"/>
      <c r="H2290" s="4561" t="n"/>
      <c r="I2290" s="4562">
        <f>XLOOKUP(B2290,'_Sys|Line_Map'!$A:$A,'_Sys|Line_Map'!$C:$C,"MISSING",0)</f>
        <v/>
      </c>
      <c r="J2290" s="4562">
        <f>XLOOKUP(B2290,'_Sys|Line_Map'!$A:$A,'_Sys|Line_Map'!$D:$D,1,0)</f>
        <v/>
      </c>
      <c r="K2290" s="4562">
        <f>IF(D2290="","",D2290*J2290)</f>
        <v/>
      </c>
      <c r="L2290" s="4562">
        <f>XLOOKUP(B2290,'_Sys|Line_Map'!$A:$A,'_Sys|Line_Map'!$B:$B,"MISSING",0)</f>
        <v/>
      </c>
    </row>
    <row r="2291">
      <c r="A2291" s="4561" t="n"/>
      <c r="B2291" s="4561" t="n"/>
      <c r="C2291" s="4561" t="n"/>
      <c r="D2291" s="4561" t="n"/>
      <c r="E2291" s="4561" t="n"/>
      <c r="F2291" s="4561" t="n"/>
      <c r="G2291" s="4561" t="n"/>
      <c r="H2291" s="4561" t="n"/>
      <c r="I2291" s="4562">
        <f>XLOOKUP(B2291,'_Sys|Line_Map'!$A:$A,'_Sys|Line_Map'!$C:$C,"MISSING",0)</f>
        <v/>
      </c>
      <c r="J2291" s="4562">
        <f>XLOOKUP(B2291,'_Sys|Line_Map'!$A:$A,'_Sys|Line_Map'!$D:$D,1,0)</f>
        <v/>
      </c>
      <c r="K2291" s="4562">
        <f>IF(D2291="","",D2291*J2291)</f>
        <v/>
      </c>
      <c r="L2291" s="4562">
        <f>XLOOKUP(B2291,'_Sys|Line_Map'!$A:$A,'_Sys|Line_Map'!$B:$B,"MISSING",0)</f>
        <v/>
      </c>
    </row>
    <row r="2292">
      <c r="A2292" s="4561" t="n"/>
      <c r="B2292" s="4561" t="n"/>
      <c r="C2292" s="4561" t="n"/>
      <c r="D2292" s="4561" t="n"/>
      <c r="E2292" s="4561" t="n"/>
      <c r="F2292" s="4561" t="n"/>
      <c r="G2292" s="4561" t="n"/>
      <c r="H2292" s="4561" t="n"/>
      <c r="I2292" s="4562">
        <f>XLOOKUP(B2292,'_Sys|Line_Map'!$A:$A,'_Sys|Line_Map'!$C:$C,"MISSING",0)</f>
        <v/>
      </c>
      <c r="J2292" s="4562">
        <f>XLOOKUP(B2292,'_Sys|Line_Map'!$A:$A,'_Sys|Line_Map'!$D:$D,1,0)</f>
        <v/>
      </c>
      <c r="K2292" s="4562">
        <f>IF(D2292="","",D2292*J2292)</f>
        <v/>
      </c>
      <c r="L2292" s="4562">
        <f>XLOOKUP(B2292,'_Sys|Line_Map'!$A:$A,'_Sys|Line_Map'!$B:$B,"MISSING",0)</f>
        <v/>
      </c>
    </row>
    <row r="2293">
      <c r="A2293" s="4561" t="n"/>
      <c r="B2293" s="4561" t="n"/>
      <c r="C2293" s="4561" t="n"/>
      <c r="D2293" s="4561" t="n"/>
      <c r="E2293" s="4561" t="n"/>
      <c r="F2293" s="4561" t="n"/>
      <c r="G2293" s="4561" t="n"/>
      <c r="H2293" s="4561" t="n"/>
      <c r="I2293" s="4562">
        <f>XLOOKUP(B2293,'_Sys|Line_Map'!$A:$A,'_Sys|Line_Map'!$C:$C,"MISSING",0)</f>
        <v/>
      </c>
      <c r="J2293" s="4562">
        <f>XLOOKUP(B2293,'_Sys|Line_Map'!$A:$A,'_Sys|Line_Map'!$D:$D,1,0)</f>
        <v/>
      </c>
      <c r="K2293" s="4562">
        <f>IF(D2293="","",D2293*J2293)</f>
        <v/>
      </c>
      <c r="L2293" s="4562">
        <f>XLOOKUP(B2293,'_Sys|Line_Map'!$A:$A,'_Sys|Line_Map'!$B:$B,"MISSING",0)</f>
        <v/>
      </c>
    </row>
    <row r="2294">
      <c r="A2294" s="4561" t="n"/>
      <c r="B2294" s="4561" t="n"/>
      <c r="C2294" s="4561" t="n"/>
      <c r="D2294" s="4561" t="n"/>
      <c r="E2294" s="4561" t="n"/>
      <c r="F2294" s="4561" t="n"/>
      <c r="G2294" s="4561" t="n"/>
      <c r="H2294" s="4561" t="n"/>
      <c r="I2294" s="4562">
        <f>XLOOKUP(B2294,'_Sys|Line_Map'!$A:$A,'_Sys|Line_Map'!$C:$C,"MISSING",0)</f>
        <v/>
      </c>
      <c r="J2294" s="4562">
        <f>XLOOKUP(B2294,'_Sys|Line_Map'!$A:$A,'_Sys|Line_Map'!$D:$D,1,0)</f>
        <v/>
      </c>
      <c r="K2294" s="4562">
        <f>IF(D2294="","",D2294*J2294)</f>
        <v/>
      </c>
      <c r="L2294" s="4562">
        <f>XLOOKUP(B2294,'_Sys|Line_Map'!$A:$A,'_Sys|Line_Map'!$B:$B,"MISSING",0)</f>
        <v/>
      </c>
    </row>
    <row r="2295">
      <c r="A2295" s="4561" t="n"/>
      <c r="B2295" s="4561" t="n"/>
      <c r="C2295" s="4561" t="n"/>
      <c r="D2295" s="4561" t="n"/>
      <c r="E2295" s="4561" t="n"/>
      <c r="F2295" s="4561" t="n"/>
      <c r="G2295" s="4561" t="n"/>
      <c r="H2295" s="4561" t="n"/>
      <c r="I2295" s="4562">
        <f>XLOOKUP(B2295,'_Sys|Line_Map'!$A:$A,'_Sys|Line_Map'!$C:$C,"MISSING",0)</f>
        <v/>
      </c>
      <c r="J2295" s="4562">
        <f>XLOOKUP(B2295,'_Sys|Line_Map'!$A:$A,'_Sys|Line_Map'!$D:$D,1,0)</f>
        <v/>
      </c>
      <c r="K2295" s="4562">
        <f>IF(D2295="","",D2295*J2295)</f>
        <v/>
      </c>
      <c r="L2295" s="4562">
        <f>XLOOKUP(B2295,'_Sys|Line_Map'!$A:$A,'_Sys|Line_Map'!$B:$B,"MISSING",0)</f>
        <v/>
      </c>
    </row>
    <row r="2296">
      <c r="A2296" s="4561" t="n"/>
      <c r="B2296" s="4561" t="n"/>
      <c r="C2296" s="4561" t="n"/>
      <c r="D2296" s="4561" t="n"/>
      <c r="E2296" s="4561" t="n"/>
      <c r="F2296" s="4561" t="n"/>
      <c r="G2296" s="4561" t="n"/>
      <c r="H2296" s="4561" t="n"/>
      <c r="I2296" s="4562">
        <f>XLOOKUP(B2296,'_Sys|Line_Map'!$A:$A,'_Sys|Line_Map'!$C:$C,"MISSING",0)</f>
        <v/>
      </c>
      <c r="J2296" s="4562">
        <f>XLOOKUP(B2296,'_Sys|Line_Map'!$A:$A,'_Sys|Line_Map'!$D:$D,1,0)</f>
        <v/>
      </c>
      <c r="K2296" s="4562">
        <f>IF(D2296="","",D2296*J2296)</f>
        <v/>
      </c>
      <c r="L2296" s="4562">
        <f>XLOOKUP(B2296,'_Sys|Line_Map'!$A:$A,'_Sys|Line_Map'!$B:$B,"MISSING",0)</f>
        <v/>
      </c>
    </row>
    <row r="2297">
      <c r="A2297" s="4561" t="n"/>
      <c r="B2297" s="4561" t="n"/>
      <c r="C2297" s="4561" t="n"/>
      <c r="D2297" s="4561" t="n"/>
      <c r="E2297" s="4561" t="n"/>
      <c r="F2297" s="4561" t="n"/>
      <c r="G2297" s="4561" t="n"/>
      <c r="H2297" s="4561" t="n"/>
      <c r="I2297" s="4562">
        <f>XLOOKUP(B2297,'_Sys|Line_Map'!$A:$A,'_Sys|Line_Map'!$C:$C,"MISSING",0)</f>
        <v/>
      </c>
      <c r="J2297" s="4562">
        <f>XLOOKUP(B2297,'_Sys|Line_Map'!$A:$A,'_Sys|Line_Map'!$D:$D,1,0)</f>
        <v/>
      </c>
      <c r="K2297" s="4562">
        <f>IF(D2297="","",D2297*J2297)</f>
        <v/>
      </c>
      <c r="L2297" s="4562">
        <f>XLOOKUP(B2297,'_Sys|Line_Map'!$A:$A,'_Sys|Line_Map'!$B:$B,"MISSING",0)</f>
        <v/>
      </c>
    </row>
    <row r="2298">
      <c r="A2298" s="4561" t="n"/>
      <c r="B2298" s="4561" t="n"/>
      <c r="C2298" s="4561" t="n"/>
      <c r="D2298" s="4561" t="n"/>
      <c r="E2298" s="4561" t="n"/>
      <c r="F2298" s="4561" t="n"/>
      <c r="G2298" s="4561" t="n"/>
      <c r="H2298" s="4561" t="n"/>
      <c r="I2298" s="4562">
        <f>XLOOKUP(B2298,'_Sys|Line_Map'!$A:$A,'_Sys|Line_Map'!$C:$C,"MISSING",0)</f>
        <v/>
      </c>
      <c r="J2298" s="4562">
        <f>XLOOKUP(B2298,'_Sys|Line_Map'!$A:$A,'_Sys|Line_Map'!$D:$D,1,0)</f>
        <v/>
      </c>
      <c r="K2298" s="4562">
        <f>IF(D2298="","",D2298*J2298)</f>
        <v/>
      </c>
      <c r="L2298" s="4562">
        <f>XLOOKUP(B2298,'_Sys|Line_Map'!$A:$A,'_Sys|Line_Map'!$B:$B,"MISSING",0)</f>
        <v/>
      </c>
    </row>
    <row r="2299">
      <c r="A2299" s="4561" t="n"/>
      <c r="B2299" s="4561" t="n"/>
      <c r="C2299" s="4561" t="n"/>
      <c r="D2299" s="4561" t="n"/>
      <c r="E2299" s="4561" t="n"/>
      <c r="F2299" s="4561" t="n"/>
      <c r="G2299" s="4561" t="n"/>
      <c r="H2299" s="4561" t="n"/>
      <c r="I2299" s="4562">
        <f>XLOOKUP(B2299,'_Sys|Line_Map'!$A:$A,'_Sys|Line_Map'!$C:$C,"MISSING",0)</f>
        <v/>
      </c>
      <c r="J2299" s="4562">
        <f>XLOOKUP(B2299,'_Sys|Line_Map'!$A:$A,'_Sys|Line_Map'!$D:$D,1,0)</f>
        <v/>
      </c>
      <c r="K2299" s="4562">
        <f>IF(D2299="","",D2299*J2299)</f>
        <v/>
      </c>
      <c r="L2299" s="4562">
        <f>XLOOKUP(B2299,'_Sys|Line_Map'!$A:$A,'_Sys|Line_Map'!$B:$B,"MISSING",0)</f>
        <v/>
      </c>
    </row>
    <row r="2300">
      <c r="A2300" s="4561" t="n"/>
      <c r="B2300" s="4561" t="n"/>
      <c r="C2300" s="4561" t="n"/>
      <c r="D2300" s="4561" t="n"/>
      <c r="E2300" s="4561" t="n"/>
      <c r="F2300" s="4561" t="n"/>
      <c r="G2300" s="4561" t="n"/>
      <c r="H2300" s="4561" t="n"/>
      <c r="I2300" s="4562">
        <f>XLOOKUP(B2300,'_Sys|Line_Map'!$A:$A,'_Sys|Line_Map'!$C:$C,"MISSING",0)</f>
        <v/>
      </c>
      <c r="J2300" s="4562">
        <f>XLOOKUP(B2300,'_Sys|Line_Map'!$A:$A,'_Sys|Line_Map'!$D:$D,1,0)</f>
        <v/>
      </c>
      <c r="K2300" s="4562">
        <f>IF(D2300="","",D2300*J2300)</f>
        <v/>
      </c>
      <c r="L2300" s="4562">
        <f>XLOOKUP(B2300,'_Sys|Line_Map'!$A:$A,'_Sys|Line_Map'!$B:$B,"MISSING",0)</f>
        <v/>
      </c>
    </row>
    <row r="2301">
      <c r="A2301" s="4561" t="n"/>
      <c r="B2301" s="4561" t="n"/>
      <c r="C2301" s="4561" t="n"/>
      <c r="D2301" s="4561" t="n"/>
      <c r="E2301" s="4561" t="n"/>
      <c r="F2301" s="4561" t="n"/>
      <c r="G2301" s="4561" t="n"/>
      <c r="H2301" s="4561" t="n"/>
      <c r="I2301" s="4562">
        <f>XLOOKUP(B2301,'_Sys|Line_Map'!$A:$A,'_Sys|Line_Map'!$C:$C,"MISSING",0)</f>
        <v/>
      </c>
      <c r="J2301" s="4562">
        <f>XLOOKUP(B2301,'_Sys|Line_Map'!$A:$A,'_Sys|Line_Map'!$D:$D,1,0)</f>
        <v/>
      </c>
      <c r="K2301" s="4562">
        <f>IF(D2301="","",D2301*J2301)</f>
        <v/>
      </c>
      <c r="L2301" s="4562">
        <f>XLOOKUP(B2301,'_Sys|Line_Map'!$A:$A,'_Sys|Line_Map'!$B:$B,"MISSING",0)</f>
        <v/>
      </c>
    </row>
    <row r="2302">
      <c r="A2302" s="4561" t="n"/>
      <c r="B2302" s="4561" t="n"/>
      <c r="C2302" s="4561" t="n"/>
      <c r="D2302" s="4561" t="n"/>
      <c r="E2302" s="4561" t="n"/>
      <c r="F2302" s="4561" t="n"/>
      <c r="G2302" s="4561" t="n"/>
      <c r="H2302" s="4561" t="n"/>
      <c r="I2302" s="4562">
        <f>XLOOKUP(B2302,'_Sys|Line_Map'!$A:$A,'_Sys|Line_Map'!$C:$C,"MISSING",0)</f>
        <v/>
      </c>
      <c r="J2302" s="4562">
        <f>XLOOKUP(B2302,'_Sys|Line_Map'!$A:$A,'_Sys|Line_Map'!$D:$D,1,0)</f>
        <v/>
      </c>
      <c r="K2302" s="4562">
        <f>IF(D2302="","",D2302*J2302)</f>
        <v/>
      </c>
      <c r="L2302" s="4562">
        <f>XLOOKUP(B2302,'_Sys|Line_Map'!$A:$A,'_Sys|Line_Map'!$B:$B,"MISSING",0)</f>
        <v/>
      </c>
    </row>
    <row r="2303">
      <c r="A2303" s="4561" t="n"/>
      <c r="B2303" s="4561" t="n"/>
      <c r="C2303" s="4561" t="n"/>
      <c r="D2303" s="4561" t="n"/>
      <c r="E2303" s="4561" t="n"/>
      <c r="F2303" s="4561" t="n"/>
      <c r="G2303" s="4561" t="n"/>
      <c r="H2303" s="4561" t="n"/>
      <c r="I2303" s="4562">
        <f>XLOOKUP(B2303,'_Sys|Line_Map'!$A:$A,'_Sys|Line_Map'!$C:$C,"MISSING",0)</f>
        <v/>
      </c>
      <c r="J2303" s="4562">
        <f>XLOOKUP(B2303,'_Sys|Line_Map'!$A:$A,'_Sys|Line_Map'!$D:$D,1,0)</f>
        <v/>
      </c>
      <c r="K2303" s="4562">
        <f>IF(D2303="","",D2303*J2303)</f>
        <v/>
      </c>
      <c r="L2303" s="4562">
        <f>XLOOKUP(B2303,'_Sys|Line_Map'!$A:$A,'_Sys|Line_Map'!$B:$B,"MISSING",0)</f>
        <v/>
      </c>
    </row>
    <row r="2304">
      <c r="A2304" s="4561" t="n"/>
      <c r="B2304" s="4561" t="n"/>
      <c r="C2304" s="4561" t="n"/>
      <c r="D2304" s="4561" t="n"/>
      <c r="E2304" s="4561" t="n"/>
      <c r="F2304" s="4561" t="n"/>
      <c r="G2304" s="4561" t="n"/>
      <c r="H2304" s="4561" t="n"/>
      <c r="I2304" s="4562">
        <f>XLOOKUP(B2304,'_Sys|Line_Map'!$A:$A,'_Sys|Line_Map'!$C:$C,"MISSING",0)</f>
        <v/>
      </c>
      <c r="J2304" s="4562">
        <f>XLOOKUP(B2304,'_Sys|Line_Map'!$A:$A,'_Sys|Line_Map'!$D:$D,1,0)</f>
        <v/>
      </c>
      <c r="K2304" s="4562">
        <f>IF(D2304="","",D2304*J2304)</f>
        <v/>
      </c>
      <c r="L2304" s="4562">
        <f>XLOOKUP(B2304,'_Sys|Line_Map'!$A:$A,'_Sys|Line_Map'!$B:$B,"MISSING",0)</f>
        <v/>
      </c>
    </row>
    <row r="2305">
      <c r="A2305" s="4561" t="n"/>
      <c r="B2305" s="4561" t="n"/>
      <c r="C2305" s="4561" t="n"/>
      <c r="D2305" s="4561" t="n"/>
      <c r="E2305" s="4561" t="n"/>
      <c r="F2305" s="4561" t="n"/>
      <c r="G2305" s="4561" t="n"/>
      <c r="H2305" s="4561" t="n"/>
      <c r="I2305" s="4562">
        <f>XLOOKUP(B2305,'_Sys|Line_Map'!$A:$A,'_Sys|Line_Map'!$C:$C,"MISSING",0)</f>
        <v/>
      </c>
      <c r="J2305" s="4562">
        <f>XLOOKUP(B2305,'_Sys|Line_Map'!$A:$A,'_Sys|Line_Map'!$D:$D,1,0)</f>
        <v/>
      </c>
      <c r="K2305" s="4562">
        <f>IF(D2305="","",D2305*J2305)</f>
        <v/>
      </c>
      <c r="L2305" s="4562">
        <f>XLOOKUP(B2305,'_Sys|Line_Map'!$A:$A,'_Sys|Line_Map'!$B:$B,"MISSING",0)</f>
        <v/>
      </c>
    </row>
    <row r="2306">
      <c r="A2306" s="4561" t="n"/>
      <c r="B2306" s="4561" t="n"/>
      <c r="C2306" s="4561" t="n"/>
      <c r="D2306" s="4561" t="n"/>
      <c r="E2306" s="4561" t="n"/>
      <c r="F2306" s="4561" t="n"/>
      <c r="G2306" s="4561" t="n"/>
      <c r="H2306" s="4561" t="n"/>
      <c r="I2306" s="4562">
        <f>XLOOKUP(B2306,'_Sys|Line_Map'!$A:$A,'_Sys|Line_Map'!$C:$C,"MISSING",0)</f>
        <v/>
      </c>
      <c r="J2306" s="4562">
        <f>XLOOKUP(B2306,'_Sys|Line_Map'!$A:$A,'_Sys|Line_Map'!$D:$D,1,0)</f>
        <v/>
      </c>
      <c r="K2306" s="4562">
        <f>IF(D2306="","",D2306*J2306)</f>
        <v/>
      </c>
      <c r="L2306" s="4562">
        <f>XLOOKUP(B2306,'_Sys|Line_Map'!$A:$A,'_Sys|Line_Map'!$B:$B,"MISSING",0)</f>
        <v/>
      </c>
    </row>
    <row r="2307">
      <c r="A2307" s="4561" t="n"/>
      <c r="B2307" s="4561" t="n"/>
      <c r="C2307" s="4561" t="n"/>
      <c r="D2307" s="4561" t="n"/>
      <c r="E2307" s="4561" t="n"/>
      <c r="F2307" s="4561" t="n"/>
      <c r="G2307" s="4561" t="n"/>
      <c r="H2307" s="4561" t="n"/>
      <c r="I2307" s="4562">
        <f>XLOOKUP(B2307,'_Sys|Line_Map'!$A:$A,'_Sys|Line_Map'!$C:$C,"MISSING",0)</f>
        <v/>
      </c>
      <c r="J2307" s="4562">
        <f>XLOOKUP(B2307,'_Sys|Line_Map'!$A:$A,'_Sys|Line_Map'!$D:$D,1,0)</f>
        <v/>
      </c>
      <c r="K2307" s="4562">
        <f>IF(D2307="","",D2307*J2307)</f>
        <v/>
      </c>
      <c r="L2307" s="4562">
        <f>XLOOKUP(B2307,'_Sys|Line_Map'!$A:$A,'_Sys|Line_Map'!$B:$B,"MISSING",0)</f>
        <v/>
      </c>
    </row>
    <row r="2308">
      <c r="A2308" s="4561" t="n"/>
      <c r="B2308" s="4561" t="n"/>
      <c r="C2308" s="4561" t="n"/>
      <c r="D2308" s="4561" t="n"/>
      <c r="E2308" s="4561" t="n"/>
      <c r="F2308" s="4561" t="n"/>
      <c r="G2308" s="4561" t="n"/>
      <c r="H2308" s="4561" t="n"/>
      <c r="I2308" s="4562">
        <f>XLOOKUP(B2308,'_Sys|Line_Map'!$A:$A,'_Sys|Line_Map'!$C:$C,"MISSING",0)</f>
        <v/>
      </c>
      <c r="J2308" s="4562">
        <f>XLOOKUP(B2308,'_Sys|Line_Map'!$A:$A,'_Sys|Line_Map'!$D:$D,1,0)</f>
        <v/>
      </c>
      <c r="K2308" s="4562">
        <f>IF(D2308="","",D2308*J2308)</f>
        <v/>
      </c>
      <c r="L2308" s="4562">
        <f>XLOOKUP(B2308,'_Sys|Line_Map'!$A:$A,'_Sys|Line_Map'!$B:$B,"MISSING",0)</f>
        <v/>
      </c>
    </row>
    <row r="2309">
      <c r="A2309" s="4561" t="n"/>
      <c r="B2309" s="4561" t="n"/>
      <c r="C2309" s="4561" t="n"/>
      <c r="D2309" s="4561" t="n"/>
      <c r="E2309" s="4561" t="n"/>
      <c r="F2309" s="4561" t="n"/>
      <c r="G2309" s="4561" t="n"/>
      <c r="H2309" s="4561" t="n"/>
      <c r="I2309" s="4562">
        <f>XLOOKUP(B2309,'_Sys|Line_Map'!$A:$A,'_Sys|Line_Map'!$C:$C,"MISSING",0)</f>
        <v/>
      </c>
      <c r="J2309" s="4562">
        <f>XLOOKUP(B2309,'_Sys|Line_Map'!$A:$A,'_Sys|Line_Map'!$D:$D,1,0)</f>
        <v/>
      </c>
      <c r="K2309" s="4562">
        <f>IF(D2309="","",D2309*J2309)</f>
        <v/>
      </c>
      <c r="L2309" s="4562">
        <f>XLOOKUP(B2309,'_Sys|Line_Map'!$A:$A,'_Sys|Line_Map'!$B:$B,"MISSING",0)</f>
        <v/>
      </c>
    </row>
    <row r="2310">
      <c r="A2310" s="4561" t="n"/>
      <c r="B2310" s="4561" t="n"/>
      <c r="C2310" s="4561" t="n"/>
      <c r="D2310" s="4561" t="n"/>
      <c r="E2310" s="4561" t="n"/>
      <c r="F2310" s="4561" t="n"/>
      <c r="G2310" s="4561" t="n"/>
      <c r="H2310" s="4561" t="n"/>
      <c r="I2310" s="4562">
        <f>XLOOKUP(B2310,'_Sys|Line_Map'!$A:$A,'_Sys|Line_Map'!$C:$C,"MISSING",0)</f>
        <v/>
      </c>
      <c r="J2310" s="4562">
        <f>XLOOKUP(B2310,'_Sys|Line_Map'!$A:$A,'_Sys|Line_Map'!$D:$D,1,0)</f>
        <v/>
      </c>
      <c r="K2310" s="4562">
        <f>IF(D2310="","",D2310*J2310)</f>
        <v/>
      </c>
      <c r="L2310" s="4562">
        <f>XLOOKUP(B2310,'_Sys|Line_Map'!$A:$A,'_Sys|Line_Map'!$B:$B,"MISSING",0)</f>
        <v/>
      </c>
    </row>
    <row r="2311">
      <c r="A2311" s="4561" t="n"/>
      <c r="B2311" s="4561" t="n"/>
      <c r="C2311" s="4561" t="n"/>
      <c r="D2311" s="4561" t="n"/>
      <c r="E2311" s="4561" t="n"/>
      <c r="F2311" s="4561" t="n"/>
      <c r="G2311" s="4561" t="n"/>
      <c r="H2311" s="4561" t="n"/>
      <c r="I2311" s="4562">
        <f>XLOOKUP(B2311,'_Sys|Line_Map'!$A:$A,'_Sys|Line_Map'!$C:$C,"MISSING",0)</f>
        <v/>
      </c>
      <c r="J2311" s="4562">
        <f>XLOOKUP(B2311,'_Sys|Line_Map'!$A:$A,'_Sys|Line_Map'!$D:$D,1,0)</f>
        <v/>
      </c>
      <c r="K2311" s="4562">
        <f>IF(D2311="","",D2311*J2311)</f>
        <v/>
      </c>
      <c r="L2311" s="4562">
        <f>XLOOKUP(B2311,'_Sys|Line_Map'!$A:$A,'_Sys|Line_Map'!$B:$B,"MISSING",0)</f>
        <v/>
      </c>
    </row>
    <row r="2312">
      <c r="A2312" s="4561" t="n"/>
      <c r="B2312" s="4561" t="n"/>
      <c r="C2312" s="4561" t="n"/>
      <c r="D2312" s="4561" t="n"/>
      <c r="E2312" s="4561" t="n"/>
      <c r="F2312" s="4561" t="n"/>
      <c r="G2312" s="4561" t="n"/>
      <c r="H2312" s="4561" t="n"/>
      <c r="I2312" s="4562">
        <f>XLOOKUP(B2312,'_Sys|Line_Map'!$A:$A,'_Sys|Line_Map'!$C:$C,"MISSING",0)</f>
        <v/>
      </c>
      <c r="J2312" s="4562">
        <f>XLOOKUP(B2312,'_Sys|Line_Map'!$A:$A,'_Sys|Line_Map'!$D:$D,1,0)</f>
        <v/>
      </c>
      <c r="K2312" s="4562">
        <f>IF(D2312="","",D2312*J2312)</f>
        <v/>
      </c>
      <c r="L2312" s="4562">
        <f>XLOOKUP(B2312,'_Sys|Line_Map'!$A:$A,'_Sys|Line_Map'!$B:$B,"MISSING",0)</f>
        <v/>
      </c>
    </row>
    <row r="2313">
      <c r="A2313" s="4561" t="n"/>
      <c r="B2313" s="4561" t="n"/>
      <c r="C2313" s="4561" t="n"/>
      <c r="D2313" s="4561" t="n"/>
      <c r="E2313" s="4561" t="n"/>
      <c r="F2313" s="4561" t="n"/>
      <c r="G2313" s="4561" t="n"/>
      <c r="H2313" s="4561" t="n"/>
      <c r="I2313" s="4562">
        <f>XLOOKUP(B2313,'_Sys|Line_Map'!$A:$A,'_Sys|Line_Map'!$C:$C,"MISSING",0)</f>
        <v/>
      </c>
      <c r="J2313" s="4562">
        <f>XLOOKUP(B2313,'_Sys|Line_Map'!$A:$A,'_Sys|Line_Map'!$D:$D,1,0)</f>
        <v/>
      </c>
      <c r="K2313" s="4562">
        <f>IF(D2313="","",D2313*J2313)</f>
        <v/>
      </c>
      <c r="L2313" s="4562">
        <f>XLOOKUP(B2313,'_Sys|Line_Map'!$A:$A,'_Sys|Line_Map'!$B:$B,"MISSING",0)</f>
        <v/>
      </c>
    </row>
    <row r="2314">
      <c r="A2314" s="4561" t="n"/>
      <c r="B2314" s="4561" t="n"/>
      <c r="C2314" s="4561" t="n"/>
      <c r="D2314" s="4561" t="n"/>
      <c r="E2314" s="4561" t="n"/>
      <c r="F2314" s="4561" t="n"/>
      <c r="G2314" s="4561" t="n"/>
      <c r="H2314" s="4561" t="n"/>
      <c r="I2314" s="4562">
        <f>XLOOKUP(B2314,'_Sys|Line_Map'!$A:$A,'_Sys|Line_Map'!$C:$C,"MISSING",0)</f>
        <v/>
      </c>
      <c r="J2314" s="4562">
        <f>XLOOKUP(B2314,'_Sys|Line_Map'!$A:$A,'_Sys|Line_Map'!$D:$D,1,0)</f>
        <v/>
      </c>
      <c r="K2314" s="4562">
        <f>IF(D2314="","",D2314*J2314)</f>
        <v/>
      </c>
      <c r="L2314" s="4562">
        <f>XLOOKUP(B2314,'_Sys|Line_Map'!$A:$A,'_Sys|Line_Map'!$B:$B,"MISSING",0)</f>
        <v/>
      </c>
    </row>
    <row r="2315">
      <c r="A2315" s="4561" t="n"/>
      <c r="B2315" s="4561" t="n"/>
      <c r="C2315" s="4561" t="n"/>
      <c r="D2315" s="4561" t="n"/>
      <c r="E2315" s="4561" t="n"/>
      <c r="F2315" s="4561" t="n"/>
      <c r="G2315" s="4561" t="n"/>
      <c r="H2315" s="4561" t="n"/>
      <c r="I2315" s="4562">
        <f>XLOOKUP(B2315,'_Sys|Line_Map'!$A:$A,'_Sys|Line_Map'!$C:$C,"MISSING",0)</f>
        <v/>
      </c>
      <c r="J2315" s="4562">
        <f>XLOOKUP(B2315,'_Sys|Line_Map'!$A:$A,'_Sys|Line_Map'!$D:$D,1,0)</f>
        <v/>
      </c>
      <c r="K2315" s="4562">
        <f>IF(D2315="","",D2315*J2315)</f>
        <v/>
      </c>
      <c r="L2315" s="4562">
        <f>XLOOKUP(B2315,'_Sys|Line_Map'!$A:$A,'_Sys|Line_Map'!$B:$B,"MISSING",0)</f>
        <v/>
      </c>
    </row>
    <row r="2316">
      <c r="A2316" s="4561" t="n"/>
      <c r="B2316" s="4561" t="n"/>
      <c r="C2316" s="4561" t="n"/>
      <c r="D2316" s="4561" t="n"/>
      <c r="E2316" s="4561" t="n"/>
      <c r="F2316" s="4561" t="n"/>
      <c r="G2316" s="4561" t="n"/>
      <c r="H2316" s="4561" t="n"/>
      <c r="I2316" s="4562">
        <f>XLOOKUP(B2316,'_Sys|Line_Map'!$A:$A,'_Sys|Line_Map'!$C:$C,"MISSING",0)</f>
        <v/>
      </c>
      <c r="J2316" s="4562">
        <f>XLOOKUP(B2316,'_Sys|Line_Map'!$A:$A,'_Sys|Line_Map'!$D:$D,1,0)</f>
        <v/>
      </c>
      <c r="K2316" s="4562">
        <f>IF(D2316="","",D2316*J2316)</f>
        <v/>
      </c>
      <c r="L2316" s="4562">
        <f>XLOOKUP(B2316,'_Sys|Line_Map'!$A:$A,'_Sys|Line_Map'!$B:$B,"MISSING",0)</f>
        <v/>
      </c>
    </row>
    <row r="2317">
      <c r="A2317" s="4561" t="n"/>
      <c r="B2317" s="4561" t="n"/>
      <c r="C2317" s="4561" t="n"/>
      <c r="D2317" s="4561" t="n"/>
      <c r="E2317" s="4561" t="n"/>
      <c r="F2317" s="4561" t="n"/>
      <c r="G2317" s="4561" t="n"/>
      <c r="H2317" s="4561" t="n"/>
      <c r="I2317" s="4562">
        <f>XLOOKUP(B2317,'_Sys|Line_Map'!$A:$A,'_Sys|Line_Map'!$C:$C,"MISSING",0)</f>
        <v/>
      </c>
      <c r="J2317" s="4562">
        <f>XLOOKUP(B2317,'_Sys|Line_Map'!$A:$A,'_Sys|Line_Map'!$D:$D,1,0)</f>
        <v/>
      </c>
      <c r="K2317" s="4562">
        <f>IF(D2317="","",D2317*J2317)</f>
        <v/>
      </c>
      <c r="L2317" s="4562">
        <f>XLOOKUP(B2317,'_Sys|Line_Map'!$A:$A,'_Sys|Line_Map'!$B:$B,"MISSING",0)</f>
        <v/>
      </c>
    </row>
    <row r="2318">
      <c r="A2318" s="4561" t="n"/>
      <c r="B2318" s="4561" t="n"/>
      <c r="C2318" s="4561" t="n"/>
      <c r="D2318" s="4561" t="n"/>
      <c r="E2318" s="4561" t="n"/>
      <c r="F2318" s="4561" t="n"/>
      <c r="G2318" s="4561" t="n"/>
      <c r="H2318" s="4561" t="n"/>
      <c r="I2318" s="4562">
        <f>XLOOKUP(B2318,'_Sys|Line_Map'!$A:$A,'_Sys|Line_Map'!$C:$C,"MISSING",0)</f>
        <v/>
      </c>
      <c r="J2318" s="4562">
        <f>XLOOKUP(B2318,'_Sys|Line_Map'!$A:$A,'_Sys|Line_Map'!$D:$D,1,0)</f>
        <v/>
      </c>
      <c r="K2318" s="4562">
        <f>IF(D2318="","",D2318*J2318)</f>
        <v/>
      </c>
      <c r="L2318" s="4562">
        <f>XLOOKUP(B2318,'_Sys|Line_Map'!$A:$A,'_Sys|Line_Map'!$B:$B,"MISSING",0)</f>
        <v/>
      </c>
    </row>
    <row r="2319">
      <c r="A2319" s="4561" t="n"/>
      <c r="B2319" s="4561" t="n"/>
      <c r="C2319" s="4561" t="n"/>
      <c r="D2319" s="4561" t="n"/>
      <c r="E2319" s="4561" t="n"/>
      <c r="F2319" s="4561" t="n"/>
      <c r="G2319" s="4561" t="n"/>
      <c r="H2319" s="4561" t="n"/>
      <c r="I2319" s="4562">
        <f>XLOOKUP(B2319,'_Sys|Line_Map'!$A:$A,'_Sys|Line_Map'!$C:$C,"MISSING",0)</f>
        <v/>
      </c>
      <c r="J2319" s="4562">
        <f>XLOOKUP(B2319,'_Sys|Line_Map'!$A:$A,'_Sys|Line_Map'!$D:$D,1,0)</f>
        <v/>
      </c>
      <c r="K2319" s="4562">
        <f>IF(D2319="","",D2319*J2319)</f>
        <v/>
      </c>
      <c r="L2319" s="4562">
        <f>XLOOKUP(B2319,'_Sys|Line_Map'!$A:$A,'_Sys|Line_Map'!$B:$B,"MISSING",0)</f>
        <v/>
      </c>
    </row>
    <row r="2320">
      <c r="A2320" s="4561" t="n"/>
      <c r="B2320" s="4561" t="n"/>
      <c r="C2320" s="4561" t="n"/>
      <c r="D2320" s="4561" t="n"/>
      <c r="E2320" s="4561" t="n"/>
      <c r="F2320" s="4561" t="n"/>
      <c r="G2320" s="4561" t="n"/>
      <c r="H2320" s="4561" t="n"/>
      <c r="I2320" s="4562">
        <f>XLOOKUP(B2320,'_Sys|Line_Map'!$A:$A,'_Sys|Line_Map'!$C:$C,"MISSING",0)</f>
        <v/>
      </c>
      <c r="J2320" s="4562">
        <f>XLOOKUP(B2320,'_Sys|Line_Map'!$A:$A,'_Sys|Line_Map'!$D:$D,1,0)</f>
        <v/>
      </c>
      <c r="K2320" s="4562">
        <f>IF(D2320="","",D2320*J2320)</f>
        <v/>
      </c>
      <c r="L2320" s="4562">
        <f>XLOOKUP(B2320,'_Sys|Line_Map'!$A:$A,'_Sys|Line_Map'!$B:$B,"MISSING",0)</f>
        <v/>
      </c>
    </row>
    <row r="2321">
      <c r="A2321" s="4561" t="n"/>
      <c r="B2321" s="4561" t="n"/>
      <c r="C2321" s="4561" t="n"/>
      <c r="D2321" s="4561" t="n"/>
      <c r="E2321" s="4561" t="n"/>
      <c r="F2321" s="4561" t="n"/>
      <c r="G2321" s="4561" t="n"/>
      <c r="H2321" s="4561" t="n"/>
      <c r="I2321" s="4562">
        <f>XLOOKUP(B2321,'_Sys|Line_Map'!$A:$A,'_Sys|Line_Map'!$C:$C,"MISSING",0)</f>
        <v/>
      </c>
      <c r="J2321" s="4562">
        <f>XLOOKUP(B2321,'_Sys|Line_Map'!$A:$A,'_Sys|Line_Map'!$D:$D,1,0)</f>
        <v/>
      </c>
      <c r="K2321" s="4562">
        <f>IF(D2321="","",D2321*J2321)</f>
        <v/>
      </c>
      <c r="L2321" s="4562">
        <f>XLOOKUP(B2321,'_Sys|Line_Map'!$A:$A,'_Sys|Line_Map'!$B:$B,"MISSING",0)</f>
        <v/>
      </c>
    </row>
    <row r="2322">
      <c r="A2322" s="4561" t="n"/>
      <c r="B2322" s="4561" t="n"/>
      <c r="C2322" s="4561" t="n"/>
      <c r="D2322" s="4561" t="n"/>
      <c r="E2322" s="4561" t="n"/>
      <c r="F2322" s="4561" t="n"/>
      <c r="G2322" s="4561" t="n"/>
      <c r="H2322" s="4561" t="n"/>
      <c r="I2322" s="4562">
        <f>XLOOKUP(B2322,'_Sys|Line_Map'!$A:$A,'_Sys|Line_Map'!$C:$C,"MISSING",0)</f>
        <v/>
      </c>
      <c r="J2322" s="4562">
        <f>XLOOKUP(B2322,'_Sys|Line_Map'!$A:$A,'_Sys|Line_Map'!$D:$D,1,0)</f>
        <v/>
      </c>
      <c r="K2322" s="4562">
        <f>IF(D2322="","",D2322*J2322)</f>
        <v/>
      </c>
      <c r="L2322" s="4562">
        <f>XLOOKUP(B2322,'_Sys|Line_Map'!$A:$A,'_Sys|Line_Map'!$B:$B,"MISSING",0)</f>
        <v/>
      </c>
    </row>
    <row r="2323">
      <c r="A2323" s="4561" t="n"/>
      <c r="B2323" s="4561" t="n"/>
      <c r="C2323" s="4561" t="n"/>
      <c r="D2323" s="4561" t="n"/>
      <c r="E2323" s="4561" t="n"/>
      <c r="F2323" s="4561" t="n"/>
      <c r="G2323" s="4561" t="n"/>
      <c r="H2323" s="4561" t="n"/>
      <c r="I2323" s="4562">
        <f>XLOOKUP(B2323,'_Sys|Line_Map'!$A:$A,'_Sys|Line_Map'!$C:$C,"MISSING",0)</f>
        <v/>
      </c>
      <c r="J2323" s="4562">
        <f>XLOOKUP(B2323,'_Sys|Line_Map'!$A:$A,'_Sys|Line_Map'!$D:$D,1,0)</f>
        <v/>
      </c>
      <c r="K2323" s="4562">
        <f>IF(D2323="","",D2323*J2323)</f>
        <v/>
      </c>
      <c r="L2323" s="4562">
        <f>XLOOKUP(B2323,'_Sys|Line_Map'!$A:$A,'_Sys|Line_Map'!$B:$B,"MISSING",0)</f>
        <v/>
      </c>
    </row>
    <row r="2324">
      <c r="A2324" s="4561" t="n"/>
      <c r="B2324" s="4561" t="n"/>
      <c r="C2324" s="4561" t="n"/>
      <c r="D2324" s="4561" t="n"/>
      <c r="E2324" s="4561" t="n"/>
      <c r="F2324" s="4561" t="n"/>
      <c r="G2324" s="4561" t="n"/>
      <c r="H2324" s="4561" t="n"/>
      <c r="I2324" s="4562">
        <f>XLOOKUP(B2324,'_Sys|Line_Map'!$A:$A,'_Sys|Line_Map'!$C:$C,"MISSING",0)</f>
        <v/>
      </c>
      <c r="J2324" s="4562">
        <f>XLOOKUP(B2324,'_Sys|Line_Map'!$A:$A,'_Sys|Line_Map'!$D:$D,1,0)</f>
        <v/>
      </c>
      <c r="K2324" s="4562">
        <f>IF(D2324="","",D2324*J2324)</f>
        <v/>
      </c>
      <c r="L2324" s="4562">
        <f>XLOOKUP(B2324,'_Sys|Line_Map'!$A:$A,'_Sys|Line_Map'!$B:$B,"MISSING",0)</f>
        <v/>
      </c>
    </row>
    <row r="2325">
      <c r="A2325" s="4561" t="n"/>
      <c r="B2325" s="4561" t="n"/>
      <c r="C2325" s="4561" t="n"/>
      <c r="D2325" s="4561" t="n"/>
      <c r="E2325" s="4561" t="n"/>
      <c r="F2325" s="4561" t="n"/>
      <c r="G2325" s="4561" t="n"/>
      <c r="H2325" s="4561" t="n"/>
      <c r="I2325" s="4562">
        <f>XLOOKUP(B2325,'_Sys|Line_Map'!$A:$A,'_Sys|Line_Map'!$C:$C,"MISSING",0)</f>
        <v/>
      </c>
      <c r="J2325" s="4562">
        <f>XLOOKUP(B2325,'_Sys|Line_Map'!$A:$A,'_Sys|Line_Map'!$D:$D,1,0)</f>
        <v/>
      </c>
      <c r="K2325" s="4562">
        <f>IF(D2325="","",D2325*J2325)</f>
        <v/>
      </c>
      <c r="L2325" s="4562">
        <f>XLOOKUP(B2325,'_Sys|Line_Map'!$A:$A,'_Sys|Line_Map'!$B:$B,"MISSING",0)</f>
        <v/>
      </c>
    </row>
    <row r="2326">
      <c r="A2326" s="4561" t="n"/>
      <c r="B2326" s="4561" t="n"/>
      <c r="C2326" s="4561" t="n"/>
      <c r="D2326" s="4561" t="n"/>
      <c r="E2326" s="4561" t="n"/>
      <c r="F2326" s="4561" t="n"/>
      <c r="G2326" s="4561" t="n"/>
      <c r="H2326" s="4561" t="n"/>
      <c r="I2326" s="4562">
        <f>XLOOKUP(B2326,'_Sys|Line_Map'!$A:$A,'_Sys|Line_Map'!$C:$C,"MISSING",0)</f>
        <v/>
      </c>
      <c r="J2326" s="4562">
        <f>XLOOKUP(B2326,'_Sys|Line_Map'!$A:$A,'_Sys|Line_Map'!$D:$D,1,0)</f>
        <v/>
      </c>
      <c r="K2326" s="4562">
        <f>IF(D2326="","",D2326*J2326)</f>
        <v/>
      </c>
      <c r="L2326" s="4562">
        <f>XLOOKUP(B2326,'_Sys|Line_Map'!$A:$A,'_Sys|Line_Map'!$B:$B,"MISSING",0)</f>
        <v/>
      </c>
    </row>
    <row r="2327">
      <c r="A2327" s="4561" t="n"/>
      <c r="B2327" s="4561" t="n"/>
      <c r="C2327" s="4561" t="n"/>
      <c r="D2327" s="4561" t="n"/>
      <c r="E2327" s="4561" t="n"/>
      <c r="F2327" s="4561" t="n"/>
      <c r="G2327" s="4561" t="n"/>
      <c r="H2327" s="4561" t="n"/>
      <c r="I2327" s="4562">
        <f>XLOOKUP(B2327,'_Sys|Line_Map'!$A:$A,'_Sys|Line_Map'!$C:$C,"MISSING",0)</f>
        <v/>
      </c>
      <c r="J2327" s="4562">
        <f>XLOOKUP(B2327,'_Sys|Line_Map'!$A:$A,'_Sys|Line_Map'!$D:$D,1,0)</f>
        <v/>
      </c>
      <c r="K2327" s="4562">
        <f>IF(D2327="","",D2327*J2327)</f>
        <v/>
      </c>
      <c r="L2327" s="4562">
        <f>XLOOKUP(B2327,'_Sys|Line_Map'!$A:$A,'_Sys|Line_Map'!$B:$B,"MISSING",0)</f>
        <v/>
      </c>
    </row>
    <row r="2328">
      <c r="A2328" s="4561" t="n"/>
      <c r="B2328" s="4561" t="n"/>
      <c r="C2328" s="4561" t="n"/>
      <c r="D2328" s="4561" t="n"/>
      <c r="E2328" s="4561" t="n"/>
      <c r="F2328" s="4561" t="n"/>
      <c r="G2328" s="4561" t="n"/>
      <c r="H2328" s="4561" t="n"/>
      <c r="I2328" s="4562">
        <f>XLOOKUP(B2328,'_Sys|Line_Map'!$A:$A,'_Sys|Line_Map'!$C:$C,"MISSING",0)</f>
        <v/>
      </c>
      <c r="J2328" s="4562">
        <f>XLOOKUP(B2328,'_Sys|Line_Map'!$A:$A,'_Sys|Line_Map'!$D:$D,1,0)</f>
        <v/>
      </c>
      <c r="K2328" s="4562">
        <f>IF(D2328="","",D2328*J2328)</f>
        <v/>
      </c>
      <c r="L2328" s="4562">
        <f>XLOOKUP(B2328,'_Sys|Line_Map'!$A:$A,'_Sys|Line_Map'!$B:$B,"MISSING",0)</f>
        <v/>
      </c>
    </row>
    <row r="2329">
      <c r="A2329" s="4561" t="n"/>
      <c r="B2329" s="4561" t="n"/>
      <c r="C2329" s="4561" t="n"/>
      <c r="D2329" s="4561" t="n"/>
      <c r="E2329" s="4561" t="n"/>
      <c r="F2329" s="4561" t="n"/>
      <c r="G2329" s="4561" t="n"/>
      <c r="H2329" s="4561" t="n"/>
      <c r="I2329" s="4562">
        <f>XLOOKUP(B2329,'_Sys|Line_Map'!$A:$A,'_Sys|Line_Map'!$C:$C,"MISSING",0)</f>
        <v/>
      </c>
      <c r="J2329" s="4562">
        <f>XLOOKUP(B2329,'_Sys|Line_Map'!$A:$A,'_Sys|Line_Map'!$D:$D,1,0)</f>
        <v/>
      </c>
      <c r="K2329" s="4562">
        <f>IF(D2329="","",D2329*J2329)</f>
        <v/>
      </c>
      <c r="L2329" s="4562">
        <f>XLOOKUP(B2329,'_Sys|Line_Map'!$A:$A,'_Sys|Line_Map'!$B:$B,"MISSING",0)</f>
        <v/>
      </c>
    </row>
    <row r="2330">
      <c r="A2330" s="4561" t="n"/>
      <c r="B2330" s="4561" t="n"/>
      <c r="C2330" s="4561" t="n"/>
      <c r="D2330" s="4561" t="n"/>
      <c r="E2330" s="4561" t="n"/>
      <c r="F2330" s="4561" t="n"/>
      <c r="G2330" s="4561" t="n"/>
      <c r="H2330" s="4561" t="n"/>
      <c r="I2330" s="4562">
        <f>XLOOKUP(B2330,'_Sys|Line_Map'!$A:$A,'_Sys|Line_Map'!$C:$C,"MISSING",0)</f>
        <v/>
      </c>
      <c r="J2330" s="4562">
        <f>XLOOKUP(B2330,'_Sys|Line_Map'!$A:$A,'_Sys|Line_Map'!$D:$D,1,0)</f>
        <v/>
      </c>
      <c r="K2330" s="4562">
        <f>IF(D2330="","",D2330*J2330)</f>
        <v/>
      </c>
      <c r="L2330" s="4562">
        <f>XLOOKUP(B2330,'_Sys|Line_Map'!$A:$A,'_Sys|Line_Map'!$B:$B,"MISSING",0)</f>
        <v/>
      </c>
    </row>
    <row r="2331">
      <c r="A2331" s="4561" t="n"/>
      <c r="B2331" s="4561" t="n"/>
      <c r="C2331" s="4561" t="n"/>
      <c r="D2331" s="4561" t="n"/>
      <c r="E2331" s="4561" t="n"/>
      <c r="F2331" s="4561" t="n"/>
      <c r="G2331" s="4561" t="n"/>
      <c r="H2331" s="4561" t="n"/>
      <c r="I2331" s="4562">
        <f>XLOOKUP(B2331,'_Sys|Line_Map'!$A:$A,'_Sys|Line_Map'!$C:$C,"MISSING",0)</f>
        <v/>
      </c>
      <c r="J2331" s="4562">
        <f>XLOOKUP(B2331,'_Sys|Line_Map'!$A:$A,'_Sys|Line_Map'!$D:$D,1,0)</f>
        <v/>
      </c>
      <c r="K2331" s="4562">
        <f>IF(D2331="","",D2331*J2331)</f>
        <v/>
      </c>
      <c r="L2331" s="4562">
        <f>XLOOKUP(B2331,'_Sys|Line_Map'!$A:$A,'_Sys|Line_Map'!$B:$B,"MISSING",0)</f>
        <v/>
      </c>
    </row>
    <row r="2332">
      <c r="A2332" s="4561" t="n"/>
      <c r="B2332" s="4561" t="n"/>
      <c r="C2332" s="4561" t="n"/>
      <c r="D2332" s="4561" t="n"/>
      <c r="E2332" s="4561" t="n"/>
      <c r="F2332" s="4561" t="n"/>
      <c r="G2332" s="4561" t="n"/>
      <c r="H2332" s="4561" t="n"/>
      <c r="I2332" s="4562">
        <f>XLOOKUP(B2332,'_Sys|Line_Map'!$A:$A,'_Sys|Line_Map'!$C:$C,"MISSING",0)</f>
        <v/>
      </c>
      <c r="J2332" s="4562">
        <f>XLOOKUP(B2332,'_Sys|Line_Map'!$A:$A,'_Sys|Line_Map'!$D:$D,1,0)</f>
        <v/>
      </c>
      <c r="K2332" s="4562">
        <f>IF(D2332="","",D2332*J2332)</f>
        <v/>
      </c>
      <c r="L2332" s="4562">
        <f>XLOOKUP(B2332,'_Sys|Line_Map'!$A:$A,'_Sys|Line_Map'!$B:$B,"MISSING",0)</f>
        <v/>
      </c>
    </row>
    <row r="2333">
      <c r="A2333" s="4561" t="n"/>
      <c r="B2333" s="4561" t="n"/>
      <c r="C2333" s="4561" t="n"/>
      <c r="D2333" s="4561" t="n"/>
      <c r="E2333" s="4561" t="n"/>
      <c r="F2333" s="4561" t="n"/>
      <c r="G2333" s="4561" t="n"/>
      <c r="H2333" s="4561" t="n"/>
      <c r="I2333" s="4562">
        <f>XLOOKUP(B2333,'_Sys|Line_Map'!$A:$A,'_Sys|Line_Map'!$C:$C,"MISSING",0)</f>
        <v/>
      </c>
      <c r="J2333" s="4562">
        <f>XLOOKUP(B2333,'_Sys|Line_Map'!$A:$A,'_Sys|Line_Map'!$D:$D,1,0)</f>
        <v/>
      </c>
      <c r="K2333" s="4562">
        <f>IF(D2333="","",D2333*J2333)</f>
        <v/>
      </c>
      <c r="L2333" s="4562">
        <f>XLOOKUP(B2333,'_Sys|Line_Map'!$A:$A,'_Sys|Line_Map'!$B:$B,"MISSING",0)</f>
        <v/>
      </c>
    </row>
    <row r="2334">
      <c r="A2334" s="4561" t="n"/>
      <c r="B2334" s="4561" t="n"/>
      <c r="C2334" s="4561" t="n"/>
      <c r="D2334" s="4561" t="n"/>
      <c r="E2334" s="4561" t="n"/>
      <c r="F2334" s="4561" t="n"/>
      <c r="G2334" s="4561" t="n"/>
      <c r="H2334" s="4561" t="n"/>
      <c r="I2334" s="4562">
        <f>XLOOKUP(B2334,'_Sys|Line_Map'!$A:$A,'_Sys|Line_Map'!$C:$C,"MISSING",0)</f>
        <v/>
      </c>
      <c r="J2334" s="4562">
        <f>XLOOKUP(B2334,'_Sys|Line_Map'!$A:$A,'_Sys|Line_Map'!$D:$D,1,0)</f>
        <v/>
      </c>
      <c r="K2334" s="4562">
        <f>IF(D2334="","",D2334*J2334)</f>
        <v/>
      </c>
      <c r="L2334" s="4562">
        <f>XLOOKUP(B2334,'_Sys|Line_Map'!$A:$A,'_Sys|Line_Map'!$B:$B,"MISSING",0)</f>
        <v/>
      </c>
    </row>
    <row r="2335">
      <c r="A2335" s="4561" t="n"/>
      <c r="B2335" s="4561" t="n"/>
      <c r="C2335" s="4561" t="n"/>
      <c r="D2335" s="4561" t="n"/>
      <c r="E2335" s="4561" t="n"/>
      <c r="F2335" s="4561" t="n"/>
      <c r="G2335" s="4561" t="n"/>
      <c r="H2335" s="4561" t="n"/>
      <c r="I2335" s="4562">
        <f>XLOOKUP(B2335,'_Sys|Line_Map'!$A:$A,'_Sys|Line_Map'!$C:$C,"MISSING",0)</f>
        <v/>
      </c>
      <c r="J2335" s="4562">
        <f>XLOOKUP(B2335,'_Sys|Line_Map'!$A:$A,'_Sys|Line_Map'!$D:$D,1,0)</f>
        <v/>
      </c>
      <c r="K2335" s="4562">
        <f>IF(D2335="","",D2335*J2335)</f>
        <v/>
      </c>
      <c r="L2335" s="4562">
        <f>XLOOKUP(B2335,'_Sys|Line_Map'!$A:$A,'_Sys|Line_Map'!$B:$B,"MISSING",0)</f>
        <v/>
      </c>
    </row>
    <row r="2336">
      <c r="A2336" s="4561" t="n"/>
      <c r="B2336" s="4561" t="n"/>
      <c r="C2336" s="4561" t="n"/>
      <c r="D2336" s="4561" t="n"/>
      <c r="E2336" s="4561" t="n"/>
      <c r="F2336" s="4561" t="n"/>
      <c r="G2336" s="4561" t="n"/>
      <c r="H2336" s="4561" t="n"/>
      <c r="I2336" s="4562">
        <f>XLOOKUP(B2336,'_Sys|Line_Map'!$A:$A,'_Sys|Line_Map'!$C:$C,"MISSING",0)</f>
        <v/>
      </c>
      <c r="J2336" s="4562">
        <f>XLOOKUP(B2336,'_Sys|Line_Map'!$A:$A,'_Sys|Line_Map'!$D:$D,1,0)</f>
        <v/>
      </c>
      <c r="K2336" s="4562">
        <f>IF(D2336="","",D2336*J2336)</f>
        <v/>
      </c>
      <c r="L2336" s="4562">
        <f>XLOOKUP(B2336,'_Sys|Line_Map'!$A:$A,'_Sys|Line_Map'!$B:$B,"MISSING",0)</f>
        <v/>
      </c>
    </row>
    <row r="2337">
      <c r="A2337" s="4561" t="n"/>
      <c r="B2337" s="4561" t="n"/>
      <c r="C2337" s="4561" t="n"/>
      <c r="D2337" s="4561" t="n"/>
      <c r="E2337" s="4561" t="n"/>
      <c r="F2337" s="4561" t="n"/>
      <c r="G2337" s="4561" t="n"/>
      <c r="H2337" s="4561" t="n"/>
      <c r="I2337" s="4562">
        <f>XLOOKUP(B2337,'_Sys|Line_Map'!$A:$A,'_Sys|Line_Map'!$C:$C,"MISSING",0)</f>
        <v/>
      </c>
      <c r="J2337" s="4562">
        <f>XLOOKUP(B2337,'_Sys|Line_Map'!$A:$A,'_Sys|Line_Map'!$D:$D,1,0)</f>
        <v/>
      </c>
      <c r="K2337" s="4562">
        <f>IF(D2337="","",D2337*J2337)</f>
        <v/>
      </c>
      <c r="L2337" s="4562">
        <f>XLOOKUP(B2337,'_Sys|Line_Map'!$A:$A,'_Sys|Line_Map'!$B:$B,"MISSING",0)</f>
        <v/>
      </c>
    </row>
    <row r="2338">
      <c r="A2338" s="4561" t="n"/>
      <c r="B2338" s="4561" t="n"/>
      <c r="C2338" s="4561" t="n"/>
      <c r="D2338" s="4561" t="n"/>
      <c r="E2338" s="4561" t="n"/>
      <c r="F2338" s="4561" t="n"/>
      <c r="G2338" s="4561" t="n"/>
      <c r="H2338" s="4561" t="n"/>
      <c r="I2338" s="4562">
        <f>XLOOKUP(B2338,'_Sys|Line_Map'!$A:$A,'_Sys|Line_Map'!$C:$C,"MISSING",0)</f>
        <v/>
      </c>
      <c r="J2338" s="4562">
        <f>XLOOKUP(B2338,'_Sys|Line_Map'!$A:$A,'_Sys|Line_Map'!$D:$D,1,0)</f>
        <v/>
      </c>
      <c r="K2338" s="4562">
        <f>IF(D2338="","",D2338*J2338)</f>
        <v/>
      </c>
      <c r="L2338" s="4562">
        <f>XLOOKUP(B2338,'_Sys|Line_Map'!$A:$A,'_Sys|Line_Map'!$B:$B,"MISSING",0)</f>
        <v/>
      </c>
    </row>
    <row r="2339">
      <c r="A2339" s="4561" t="n"/>
      <c r="B2339" s="4561" t="n"/>
      <c r="C2339" s="4561" t="n"/>
      <c r="D2339" s="4561" t="n"/>
      <c r="E2339" s="4561" t="n"/>
      <c r="F2339" s="4561" t="n"/>
      <c r="G2339" s="4561" t="n"/>
      <c r="H2339" s="4561" t="n"/>
      <c r="I2339" s="4562">
        <f>XLOOKUP(B2339,'_Sys|Line_Map'!$A:$A,'_Sys|Line_Map'!$C:$C,"MISSING",0)</f>
        <v/>
      </c>
      <c r="J2339" s="4562">
        <f>XLOOKUP(B2339,'_Sys|Line_Map'!$A:$A,'_Sys|Line_Map'!$D:$D,1,0)</f>
        <v/>
      </c>
      <c r="K2339" s="4562">
        <f>IF(D2339="","",D2339*J2339)</f>
        <v/>
      </c>
      <c r="L2339" s="4562">
        <f>XLOOKUP(B2339,'_Sys|Line_Map'!$A:$A,'_Sys|Line_Map'!$B:$B,"MISSING",0)</f>
        <v/>
      </c>
    </row>
    <row r="2340">
      <c r="A2340" s="4561" t="n"/>
      <c r="B2340" s="4561" t="n"/>
      <c r="C2340" s="4561" t="n"/>
      <c r="D2340" s="4561" t="n"/>
      <c r="E2340" s="4561" t="n"/>
      <c r="F2340" s="4561" t="n"/>
      <c r="G2340" s="4561" t="n"/>
      <c r="H2340" s="4561" t="n"/>
      <c r="I2340" s="4562">
        <f>XLOOKUP(B2340,'_Sys|Line_Map'!$A:$A,'_Sys|Line_Map'!$C:$C,"MISSING",0)</f>
        <v/>
      </c>
      <c r="J2340" s="4562">
        <f>XLOOKUP(B2340,'_Sys|Line_Map'!$A:$A,'_Sys|Line_Map'!$D:$D,1,0)</f>
        <v/>
      </c>
      <c r="K2340" s="4562">
        <f>IF(D2340="","",D2340*J2340)</f>
        <v/>
      </c>
      <c r="L2340" s="4562">
        <f>XLOOKUP(B2340,'_Sys|Line_Map'!$A:$A,'_Sys|Line_Map'!$B:$B,"MISSING",0)</f>
        <v/>
      </c>
    </row>
    <row r="2341">
      <c r="A2341" s="4561" t="n"/>
      <c r="B2341" s="4561" t="n"/>
      <c r="C2341" s="4561" t="n"/>
      <c r="D2341" s="4561" t="n"/>
      <c r="E2341" s="4561" t="n"/>
      <c r="F2341" s="4561" t="n"/>
      <c r="G2341" s="4561" t="n"/>
      <c r="H2341" s="4561" t="n"/>
      <c r="I2341" s="4562">
        <f>XLOOKUP(B2341,'_Sys|Line_Map'!$A:$A,'_Sys|Line_Map'!$C:$C,"MISSING",0)</f>
        <v/>
      </c>
      <c r="J2341" s="4562">
        <f>XLOOKUP(B2341,'_Sys|Line_Map'!$A:$A,'_Sys|Line_Map'!$D:$D,1,0)</f>
        <v/>
      </c>
      <c r="K2341" s="4562">
        <f>IF(D2341="","",D2341*J2341)</f>
        <v/>
      </c>
      <c r="L2341" s="4562">
        <f>XLOOKUP(B2341,'_Sys|Line_Map'!$A:$A,'_Sys|Line_Map'!$B:$B,"MISSING",0)</f>
        <v/>
      </c>
    </row>
    <row r="2342">
      <c r="A2342" s="4561" t="n"/>
      <c r="B2342" s="4561" t="n"/>
      <c r="C2342" s="4561" t="n"/>
      <c r="D2342" s="4561" t="n"/>
      <c r="E2342" s="4561" t="n"/>
      <c r="F2342" s="4561" t="n"/>
      <c r="G2342" s="4561" t="n"/>
      <c r="H2342" s="4561" t="n"/>
      <c r="I2342" s="4562">
        <f>XLOOKUP(B2342,'_Sys|Line_Map'!$A:$A,'_Sys|Line_Map'!$C:$C,"MISSING",0)</f>
        <v/>
      </c>
      <c r="J2342" s="4562">
        <f>XLOOKUP(B2342,'_Sys|Line_Map'!$A:$A,'_Sys|Line_Map'!$D:$D,1,0)</f>
        <v/>
      </c>
      <c r="K2342" s="4562">
        <f>IF(D2342="","",D2342*J2342)</f>
        <v/>
      </c>
      <c r="L2342" s="4562">
        <f>XLOOKUP(B2342,'_Sys|Line_Map'!$A:$A,'_Sys|Line_Map'!$B:$B,"MISSING",0)</f>
        <v/>
      </c>
    </row>
    <row r="2343">
      <c r="A2343" s="4561" t="n"/>
      <c r="B2343" s="4561" t="n"/>
      <c r="C2343" s="4561" t="n"/>
      <c r="D2343" s="4561" t="n"/>
      <c r="E2343" s="4561" t="n"/>
      <c r="F2343" s="4561" t="n"/>
      <c r="G2343" s="4561" t="n"/>
      <c r="H2343" s="4561" t="n"/>
      <c r="I2343" s="4562">
        <f>XLOOKUP(B2343,'_Sys|Line_Map'!$A:$A,'_Sys|Line_Map'!$C:$C,"MISSING",0)</f>
        <v/>
      </c>
      <c r="J2343" s="4562">
        <f>XLOOKUP(B2343,'_Sys|Line_Map'!$A:$A,'_Sys|Line_Map'!$D:$D,1,0)</f>
        <v/>
      </c>
      <c r="K2343" s="4562">
        <f>IF(D2343="","",D2343*J2343)</f>
        <v/>
      </c>
      <c r="L2343" s="4562">
        <f>XLOOKUP(B2343,'_Sys|Line_Map'!$A:$A,'_Sys|Line_Map'!$B:$B,"MISSING",0)</f>
        <v/>
      </c>
    </row>
    <row r="2344">
      <c r="A2344" s="4561" t="n"/>
      <c r="B2344" s="4561" t="n"/>
      <c r="C2344" s="4561" t="n"/>
      <c r="D2344" s="4561" t="n"/>
      <c r="E2344" s="4561" t="n"/>
      <c r="F2344" s="4561" t="n"/>
      <c r="G2344" s="4561" t="n"/>
      <c r="H2344" s="4561" t="n"/>
      <c r="I2344" s="4562">
        <f>XLOOKUP(B2344,'_Sys|Line_Map'!$A:$A,'_Sys|Line_Map'!$C:$C,"MISSING",0)</f>
        <v/>
      </c>
      <c r="J2344" s="4562">
        <f>XLOOKUP(B2344,'_Sys|Line_Map'!$A:$A,'_Sys|Line_Map'!$D:$D,1,0)</f>
        <v/>
      </c>
      <c r="K2344" s="4562">
        <f>IF(D2344="","",D2344*J2344)</f>
        <v/>
      </c>
      <c r="L2344" s="4562">
        <f>XLOOKUP(B2344,'_Sys|Line_Map'!$A:$A,'_Sys|Line_Map'!$B:$B,"MISSING",0)</f>
        <v/>
      </c>
    </row>
    <row r="2345">
      <c r="A2345" s="4561" t="n"/>
      <c r="B2345" s="4561" t="n"/>
      <c r="C2345" s="4561" t="n"/>
      <c r="D2345" s="4561" t="n"/>
      <c r="E2345" s="4561" t="n"/>
      <c r="F2345" s="4561" t="n"/>
      <c r="G2345" s="4561" t="n"/>
      <c r="H2345" s="4561" t="n"/>
      <c r="I2345" s="4562">
        <f>XLOOKUP(B2345,'_Sys|Line_Map'!$A:$A,'_Sys|Line_Map'!$C:$C,"MISSING",0)</f>
        <v/>
      </c>
      <c r="J2345" s="4562">
        <f>XLOOKUP(B2345,'_Sys|Line_Map'!$A:$A,'_Sys|Line_Map'!$D:$D,1,0)</f>
        <v/>
      </c>
      <c r="K2345" s="4562">
        <f>IF(D2345="","",D2345*J2345)</f>
        <v/>
      </c>
      <c r="L2345" s="4562">
        <f>XLOOKUP(B2345,'_Sys|Line_Map'!$A:$A,'_Sys|Line_Map'!$B:$B,"MISSING",0)</f>
        <v/>
      </c>
    </row>
    <row r="2346">
      <c r="A2346" s="4561" t="n"/>
      <c r="B2346" s="4561" t="n"/>
      <c r="C2346" s="4561" t="n"/>
      <c r="D2346" s="4561" t="n"/>
      <c r="E2346" s="4561" t="n"/>
      <c r="F2346" s="4561" t="n"/>
      <c r="G2346" s="4561" t="n"/>
      <c r="H2346" s="4561" t="n"/>
      <c r="I2346" s="4562">
        <f>XLOOKUP(B2346,'_Sys|Line_Map'!$A:$A,'_Sys|Line_Map'!$C:$C,"MISSING",0)</f>
        <v/>
      </c>
      <c r="J2346" s="4562">
        <f>XLOOKUP(B2346,'_Sys|Line_Map'!$A:$A,'_Sys|Line_Map'!$D:$D,1,0)</f>
        <v/>
      </c>
      <c r="K2346" s="4562">
        <f>IF(D2346="","",D2346*J2346)</f>
        <v/>
      </c>
      <c r="L2346" s="4562">
        <f>XLOOKUP(B2346,'_Sys|Line_Map'!$A:$A,'_Sys|Line_Map'!$B:$B,"MISSING",0)</f>
        <v/>
      </c>
    </row>
    <row r="2347">
      <c r="A2347" s="4561" t="n"/>
      <c r="B2347" s="4561" t="n"/>
      <c r="C2347" s="4561" t="n"/>
      <c r="D2347" s="4561" t="n"/>
      <c r="E2347" s="4561" t="n"/>
      <c r="F2347" s="4561" t="n"/>
      <c r="G2347" s="4561" t="n"/>
      <c r="H2347" s="4561" t="n"/>
      <c r="I2347" s="4562">
        <f>XLOOKUP(B2347,'_Sys|Line_Map'!$A:$A,'_Sys|Line_Map'!$C:$C,"MISSING",0)</f>
        <v/>
      </c>
      <c r="J2347" s="4562">
        <f>XLOOKUP(B2347,'_Sys|Line_Map'!$A:$A,'_Sys|Line_Map'!$D:$D,1,0)</f>
        <v/>
      </c>
      <c r="K2347" s="4562">
        <f>IF(D2347="","",D2347*J2347)</f>
        <v/>
      </c>
      <c r="L2347" s="4562">
        <f>XLOOKUP(B2347,'_Sys|Line_Map'!$A:$A,'_Sys|Line_Map'!$B:$B,"MISSING",0)</f>
        <v/>
      </c>
    </row>
    <row r="2348">
      <c r="A2348" s="4561" t="n"/>
      <c r="B2348" s="4561" t="n"/>
      <c r="C2348" s="4561" t="n"/>
      <c r="D2348" s="4561" t="n"/>
      <c r="E2348" s="4561" t="n"/>
      <c r="F2348" s="4561" t="n"/>
      <c r="G2348" s="4561" t="n"/>
      <c r="H2348" s="4561" t="n"/>
      <c r="I2348" s="4562">
        <f>XLOOKUP(B2348,'_Sys|Line_Map'!$A:$A,'_Sys|Line_Map'!$C:$C,"MISSING",0)</f>
        <v/>
      </c>
      <c r="J2348" s="4562">
        <f>XLOOKUP(B2348,'_Sys|Line_Map'!$A:$A,'_Sys|Line_Map'!$D:$D,1,0)</f>
        <v/>
      </c>
      <c r="K2348" s="4562">
        <f>IF(D2348="","",D2348*J2348)</f>
        <v/>
      </c>
      <c r="L2348" s="4562">
        <f>XLOOKUP(B2348,'_Sys|Line_Map'!$A:$A,'_Sys|Line_Map'!$B:$B,"MISSING",0)</f>
        <v/>
      </c>
    </row>
    <row r="2349">
      <c r="A2349" s="4561" t="n"/>
      <c r="B2349" s="4561" t="n"/>
      <c r="C2349" s="4561" t="n"/>
      <c r="D2349" s="4561" t="n"/>
      <c r="E2349" s="4561" t="n"/>
      <c r="F2349" s="4561" t="n"/>
      <c r="G2349" s="4561" t="n"/>
      <c r="H2349" s="4561" t="n"/>
      <c r="I2349" s="4562">
        <f>XLOOKUP(B2349,'_Sys|Line_Map'!$A:$A,'_Sys|Line_Map'!$C:$C,"MISSING",0)</f>
        <v/>
      </c>
      <c r="J2349" s="4562">
        <f>XLOOKUP(B2349,'_Sys|Line_Map'!$A:$A,'_Sys|Line_Map'!$D:$D,1,0)</f>
        <v/>
      </c>
      <c r="K2349" s="4562">
        <f>IF(D2349="","",D2349*J2349)</f>
        <v/>
      </c>
      <c r="L2349" s="4562">
        <f>XLOOKUP(B2349,'_Sys|Line_Map'!$A:$A,'_Sys|Line_Map'!$B:$B,"MISSING",0)</f>
        <v/>
      </c>
    </row>
    <row r="2350">
      <c r="A2350" s="4561" t="n"/>
      <c r="B2350" s="4561" t="n"/>
      <c r="C2350" s="4561" t="n"/>
      <c r="D2350" s="4561" t="n"/>
      <c r="E2350" s="4561" t="n"/>
      <c r="F2350" s="4561" t="n"/>
      <c r="G2350" s="4561" t="n"/>
      <c r="H2350" s="4561" t="n"/>
      <c r="I2350" s="4562">
        <f>XLOOKUP(B2350,'_Sys|Line_Map'!$A:$A,'_Sys|Line_Map'!$C:$C,"MISSING",0)</f>
        <v/>
      </c>
      <c r="J2350" s="4562">
        <f>XLOOKUP(B2350,'_Sys|Line_Map'!$A:$A,'_Sys|Line_Map'!$D:$D,1,0)</f>
        <v/>
      </c>
      <c r="K2350" s="4562">
        <f>IF(D2350="","",D2350*J2350)</f>
        <v/>
      </c>
      <c r="L2350" s="4562">
        <f>XLOOKUP(B2350,'_Sys|Line_Map'!$A:$A,'_Sys|Line_Map'!$B:$B,"MISSING",0)</f>
        <v/>
      </c>
    </row>
    <row r="2351">
      <c r="A2351" s="4561" t="n"/>
      <c r="B2351" s="4561" t="n"/>
      <c r="C2351" s="4561" t="n"/>
      <c r="D2351" s="4561" t="n"/>
      <c r="E2351" s="4561" t="n"/>
      <c r="F2351" s="4561" t="n"/>
      <c r="G2351" s="4561" t="n"/>
      <c r="H2351" s="4561" t="n"/>
      <c r="I2351" s="4562">
        <f>XLOOKUP(B2351,'_Sys|Line_Map'!$A:$A,'_Sys|Line_Map'!$C:$C,"MISSING",0)</f>
        <v/>
      </c>
      <c r="J2351" s="4562">
        <f>XLOOKUP(B2351,'_Sys|Line_Map'!$A:$A,'_Sys|Line_Map'!$D:$D,1,0)</f>
        <v/>
      </c>
      <c r="K2351" s="4562">
        <f>IF(D2351="","",D2351*J2351)</f>
        <v/>
      </c>
      <c r="L2351" s="4562">
        <f>XLOOKUP(B2351,'_Sys|Line_Map'!$A:$A,'_Sys|Line_Map'!$B:$B,"MISSING",0)</f>
        <v/>
      </c>
    </row>
    <row r="2352">
      <c r="A2352" s="4561" t="n"/>
      <c r="B2352" s="4561" t="n"/>
      <c r="C2352" s="4561" t="n"/>
      <c r="D2352" s="4561" t="n"/>
      <c r="E2352" s="4561" t="n"/>
      <c r="F2352" s="4561" t="n"/>
      <c r="G2352" s="4561" t="n"/>
      <c r="H2352" s="4561" t="n"/>
      <c r="I2352" s="4562">
        <f>XLOOKUP(B2352,'_Sys|Line_Map'!$A:$A,'_Sys|Line_Map'!$C:$C,"MISSING",0)</f>
        <v/>
      </c>
      <c r="J2352" s="4562">
        <f>XLOOKUP(B2352,'_Sys|Line_Map'!$A:$A,'_Sys|Line_Map'!$D:$D,1,0)</f>
        <v/>
      </c>
      <c r="K2352" s="4562">
        <f>IF(D2352="","",D2352*J2352)</f>
        <v/>
      </c>
      <c r="L2352" s="4562">
        <f>XLOOKUP(B2352,'_Sys|Line_Map'!$A:$A,'_Sys|Line_Map'!$B:$B,"MISSING",0)</f>
        <v/>
      </c>
    </row>
    <row r="2353">
      <c r="A2353" s="4561" t="n"/>
      <c r="B2353" s="4561" t="n"/>
      <c r="C2353" s="4561" t="n"/>
      <c r="D2353" s="4561" t="n"/>
      <c r="E2353" s="4561" t="n"/>
      <c r="F2353" s="4561" t="n"/>
      <c r="G2353" s="4561" t="n"/>
      <c r="H2353" s="4561" t="n"/>
      <c r="I2353" s="4562">
        <f>XLOOKUP(B2353,'_Sys|Line_Map'!$A:$A,'_Sys|Line_Map'!$C:$C,"MISSING",0)</f>
        <v/>
      </c>
      <c r="J2353" s="4562">
        <f>XLOOKUP(B2353,'_Sys|Line_Map'!$A:$A,'_Sys|Line_Map'!$D:$D,1,0)</f>
        <v/>
      </c>
      <c r="K2353" s="4562">
        <f>IF(D2353="","",D2353*J2353)</f>
        <v/>
      </c>
      <c r="L2353" s="4562">
        <f>XLOOKUP(B2353,'_Sys|Line_Map'!$A:$A,'_Sys|Line_Map'!$B:$B,"MISSING",0)</f>
        <v/>
      </c>
    </row>
    <row r="2354">
      <c r="A2354" s="4561" t="n"/>
      <c r="B2354" s="4561" t="n"/>
      <c r="C2354" s="4561" t="n"/>
      <c r="D2354" s="4561" t="n"/>
      <c r="E2354" s="4561" t="n"/>
      <c r="F2354" s="4561" t="n"/>
      <c r="G2354" s="4561" t="n"/>
      <c r="H2354" s="4561" t="n"/>
      <c r="I2354" s="4562">
        <f>XLOOKUP(B2354,'_Sys|Line_Map'!$A:$A,'_Sys|Line_Map'!$C:$C,"MISSING",0)</f>
        <v/>
      </c>
      <c r="J2354" s="4562">
        <f>XLOOKUP(B2354,'_Sys|Line_Map'!$A:$A,'_Sys|Line_Map'!$D:$D,1,0)</f>
        <v/>
      </c>
      <c r="K2354" s="4562">
        <f>IF(D2354="","",D2354*J2354)</f>
        <v/>
      </c>
      <c r="L2354" s="4562">
        <f>XLOOKUP(B2354,'_Sys|Line_Map'!$A:$A,'_Sys|Line_Map'!$B:$B,"MISSING",0)</f>
        <v/>
      </c>
    </row>
    <row r="2355">
      <c r="A2355" s="4561" t="n"/>
      <c r="B2355" s="4561" t="n"/>
      <c r="C2355" s="4561" t="n"/>
      <c r="D2355" s="4561" t="n"/>
      <c r="E2355" s="4561" t="n"/>
      <c r="F2355" s="4561" t="n"/>
      <c r="G2355" s="4561" t="n"/>
      <c r="H2355" s="4561" t="n"/>
      <c r="I2355" s="4562">
        <f>XLOOKUP(B2355,'_Sys|Line_Map'!$A:$A,'_Sys|Line_Map'!$C:$C,"MISSING",0)</f>
        <v/>
      </c>
      <c r="J2355" s="4562">
        <f>XLOOKUP(B2355,'_Sys|Line_Map'!$A:$A,'_Sys|Line_Map'!$D:$D,1,0)</f>
        <v/>
      </c>
      <c r="K2355" s="4562">
        <f>IF(D2355="","",D2355*J2355)</f>
        <v/>
      </c>
      <c r="L2355" s="4562">
        <f>XLOOKUP(B2355,'_Sys|Line_Map'!$A:$A,'_Sys|Line_Map'!$B:$B,"MISSING",0)</f>
        <v/>
      </c>
    </row>
    <row r="2356">
      <c r="A2356" s="4561" t="n"/>
      <c r="B2356" s="4561" t="n"/>
      <c r="C2356" s="4561" t="n"/>
      <c r="D2356" s="4561" t="n"/>
      <c r="E2356" s="4561" t="n"/>
      <c r="F2356" s="4561" t="n"/>
      <c r="G2356" s="4561" t="n"/>
      <c r="H2356" s="4561" t="n"/>
      <c r="I2356" s="4562">
        <f>XLOOKUP(B2356,'_Sys|Line_Map'!$A:$A,'_Sys|Line_Map'!$C:$C,"MISSING",0)</f>
        <v/>
      </c>
      <c r="J2356" s="4562">
        <f>XLOOKUP(B2356,'_Sys|Line_Map'!$A:$A,'_Sys|Line_Map'!$D:$D,1,0)</f>
        <v/>
      </c>
      <c r="K2356" s="4562">
        <f>IF(D2356="","",D2356*J2356)</f>
        <v/>
      </c>
      <c r="L2356" s="4562">
        <f>XLOOKUP(B2356,'_Sys|Line_Map'!$A:$A,'_Sys|Line_Map'!$B:$B,"MISSING",0)</f>
        <v/>
      </c>
    </row>
    <row r="2357">
      <c r="A2357" s="4561" t="n"/>
      <c r="B2357" s="4561" t="n"/>
      <c r="C2357" s="4561" t="n"/>
      <c r="D2357" s="4561" t="n"/>
      <c r="E2357" s="4561" t="n"/>
      <c r="F2357" s="4561" t="n"/>
      <c r="G2357" s="4561" t="n"/>
      <c r="H2357" s="4561" t="n"/>
      <c r="I2357" s="4562">
        <f>XLOOKUP(B2357,'_Sys|Line_Map'!$A:$A,'_Sys|Line_Map'!$C:$C,"MISSING",0)</f>
        <v/>
      </c>
      <c r="J2357" s="4562">
        <f>XLOOKUP(B2357,'_Sys|Line_Map'!$A:$A,'_Sys|Line_Map'!$D:$D,1,0)</f>
        <v/>
      </c>
      <c r="K2357" s="4562">
        <f>IF(D2357="","",D2357*J2357)</f>
        <v/>
      </c>
      <c r="L2357" s="4562">
        <f>XLOOKUP(B2357,'_Sys|Line_Map'!$A:$A,'_Sys|Line_Map'!$B:$B,"MISSING",0)</f>
        <v/>
      </c>
    </row>
    <row r="2358">
      <c r="A2358" s="4561" t="n"/>
      <c r="B2358" s="4561" t="n"/>
      <c r="C2358" s="4561" t="n"/>
      <c r="D2358" s="4561" t="n"/>
      <c r="E2358" s="4561" t="n"/>
      <c r="F2358" s="4561" t="n"/>
      <c r="G2358" s="4561" t="n"/>
      <c r="H2358" s="4561" t="n"/>
      <c r="I2358" s="4562">
        <f>XLOOKUP(B2358,'_Sys|Line_Map'!$A:$A,'_Sys|Line_Map'!$C:$C,"MISSING",0)</f>
        <v/>
      </c>
      <c r="J2358" s="4562">
        <f>XLOOKUP(B2358,'_Sys|Line_Map'!$A:$A,'_Sys|Line_Map'!$D:$D,1,0)</f>
        <v/>
      </c>
      <c r="K2358" s="4562">
        <f>IF(D2358="","",D2358*J2358)</f>
        <v/>
      </c>
      <c r="L2358" s="4562">
        <f>XLOOKUP(B2358,'_Sys|Line_Map'!$A:$A,'_Sys|Line_Map'!$B:$B,"MISSING",0)</f>
        <v/>
      </c>
    </row>
    <row r="2359">
      <c r="A2359" s="4561" t="n"/>
      <c r="B2359" s="4561" t="n"/>
      <c r="C2359" s="4561" t="n"/>
      <c r="D2359" s="4561" t="n"/>
      <c r="E2359" s="4561" t="n"/>
      <c r="F2359" s="4561" t="n"/>
      <c r="G2359" s="4561" t="n"/>
      <c r="H2359" s="4561" t="n"/>
      <c r="I2359" s="4562">
        <f>XLOOKUP(B2359,'_Sys|Line_Map'!$A:$A,'_Sys|Line_Map'!$C:$C,"MISSING",0)</f>
        <v/>
      </c>
      <c r="J2359" s="4562">
        <f>XLOOKUP(B2359,'_Sys|Line_Map'!$A:$A,'_Sys|Line_Map'!$D:$D,1,0)</f>
        <v/>
      </c>
      <c r="K2359" s="4562">
        <f>IF(D2359="","",D2359*J2359)</f>
        <v/>
      </c>
      <c r="L2359" s="4562">
        <f>XLOOKUP(B2359,'_Sys|Line_Map'!$A:$A,'_Sys|Line_Map'!$B:$B,"MISSING",0)</f>
        <v/>
      </c>
    </row>
    <row r="2360">
      <c r="A2360" s="4561" t="n"/>
      <c r="B2360" s="4561" t="n"/>
      <c r="C2360" s="4561" t="n"/>
      <c r="D2360" s="4561" t="n"/>
      <c r="E2360" s="4561" t="n"/>
      <c r="F2360" s="4561" t="n"/>
      <c r="G2360" s="4561" t="n"/>
      <c r="H2360" s="4561" t="n"/>
      <c r="I2360" s="4562">
        <f>XLOOKUP(B2360,'_Sys|Line_Map'!$A:$A,'_Sys|Line_Map'!$C:$C,"MISSING",0)</f>
        <v/>
      </c>
      <c r="J2360" s="4562">
        <f>XLOOKUP(B2360,'_Sys|Line_Map'!$A:$A,'_Sys|Line_Map'!$D:$D,1,0)</f>
        <v/>
      </c>
      <c r="K2360" s="4562">
        <f>IF(D2360="","",D2360*J2360)</f>
        <v/>
      </c>
      <c r="L2360" s="4562">
        <f>XLOOKUP(B2360,'_Sys|Line_Map'!$A:$A,'_Sys|Line_Map'!$B:$B,"MISSING",0)</f>
        <v/>
      </c>
    </row>
    <row r="2361">
      <c r="A2361" s="4561" t="n"/>
      <c r="B2361" s="4561" t="n"/>
      <c r="C2361" s="4561" t="n"/>
      <c r="D2361" s="4561" t="n"/>
      <c r="E2361" s="4561" t="n"/>
      <c r="F2361" s="4561" t="n"/>
      <c r="G2361" s="4561" t="n"/>
      <c r="H2361" s="4561" t="n"/>
      <c r="I2361" s="4562">
        <f>XLOOKUP(B2361,'_Sys|Line_Map'!$A:$A,'_Sys|Line_Map'!$C:$C,"MISSING",0)</f>
        <v/>
      </c>
      <c r="J2361" s="4562">
        <f>XLOOKUP(B2361,'_Sys|Line_Map'!$A:$A,'_Sys|Line_Map'!$D:$D,1,0)</f>
        <v/>
      </c>
      <c r="K2361" s="4562">
        <f>IF(D2361="","",D2361*J2361)</f>
        <v/>
      </c>
      <c r="L2361" s="4562">
        <f>XLOOKUP(B2361,'_Sys|Line_Map'!$A:$A,'_Sys|Line_Map'!$B:$B,"MISSING",0)</f>
        <v/>
      </c>
    </row>
    <row r="2362">
      <c r="A2362" s="4561" t="n"/>
      <c r="B2362" s="4561" t="n"/>
      <c r="C2362" s="4561" t="n"/>
      <c r="D2362" s="4561" t="n"/>
      <c r="E2362" s="4561" t="n"/>
      <c r="F2362" s="4561" t="n"/>
      <c r="G2362" s="4561" t="n"/>
      <c r="H2362" s="4561" t="n"/>
      <c r="I2362" s="4562">
        <f>XLOOKUP(B2362,'_Sys|Line_Map'!$A:$A,'_Sys|Line_Map'!$C:$C,"MISSING",0)</f>
        <v/>
      </c>
      <c r="J2362" s="4562">
        <f>XLOOKUP(B2362,'_Sys|Line_Map'!$A:$A,'_Sys|Line_Map'!$D:$D,1,0)</f>
        <v/>
      </c>
      <c r="K2362" s="4562">
        <f>IF(D2362="","",D2362*J2362)</f>
        <v/>
      </c>
      <c r="L2362" s="4562">
        <f>XLOOKUP(B2362,'_Sys|Line_Map'!$A:$A,'_Sys|Line_Map'!$B:$B,"MISSING",0)</f>
        <v/>
      </c>
    </row>
    <row r="2363">
      <c r="A2363" s="4561" t="n"/>
      <c r="B2363" s="4561" t="n"/>
      <c r="C2363" s="4561" t="n"/>
      <c r="D2363" s="4561" t="n"/>
      <c r="E2363" s="4561" t="n"/>
      <c r="F2363" s="4561" t="n"/>
      <c r="G2363" s="4561" t="n"/>
      <c r="H2363" s="4561" t="n"/>
      <c r="I2363" s="4562">
        <f>XLOOKUP(B2363,'_Sys|Line_Map'!$A:$A,'_Sys|Line_Map'!$C:$C,"MISSING",0)</f>
        <v/>
      </c>
      <c r="J2363" s="4562">
        <f>XLOOKUP(B2363,'_Sys|Line_Map'!$A:$A,'_Sys|Line_Map'!$D:$D,1,0)</f>
        <v/>
      </c>
      <c r="K2363" s="4562">
        <f>IF(D2363="","",D2363*J2363)</f>
        <v/>
      </c>
      <c r="L2363" s="4562">
        <f>XLOOKUP(B2363,'_Sys|Line_Map'!$A:$A,'_Sys|Line_Map'!$B:$B,"MISSING",0)</f>
        <v/>
      </c>
    </row>
    <row r="2364">
      <c r="A2364" s="4561" t="n"/>
      <c r="B2364" s="4561" t="n"/>
      <c r="C2364" s="4561" t="n"/>
      <c r="D2364" s="4561" t="n"/>
      <c r="E2364" s="4561" t="n"/>
      <c r="F2364" s="4561" t="n"/>
      <c r="G2364" s="4561" t="n"/>
      <c r="H2364" s="4561" t="n"/>
      <c r="I2364" s="4562">
        <f>XLOOKUP(B2364,'_Sys|Line_Map'!$A:$A,'_Sys|Line_Map'!$C:$C,"MISSING",0)</f>
        <v/>
      </c>
      <c r="J2364" s="4562">
        <f>XLOOKUP(B2364,'_Sys|Line_Map'!$A:$A,'_Sys|Line_Map'!$D:$D,1,0)</f>
        <v/>
      </c>
      <c r="K2364" s="4562">
        <f>IF(D2364="","",D2364*J2364)</f>
        <v/>
      </c>
      <c r="L2364" s="4562">
        <f>XLOOKUP(B2364,'_Sys|Line_Map'!$A:$A,'_Sys|Line_Map'!$B:$B,"MISSING",0)</f>
        <v/>
      </c>
    </row>
    <row r="2365">
      <c r="A2365" s="4561" t="n"/>
      <c r="B2365" s="4561" t="n"/>
      <c r="C2365" s="4561" t="n"/>
      <c r="D2365" s="4561" t="n"/>
      <c r="E2365" s="4561" t="n"/>
      <c r="F2365" s="4561" t="n"/>
      <c r="G2365" s="4561" t="n"/>
      <c r="H2365" s="4561" t="n"/>
      <c r="I2365" s="4562">
        <f>XLOOKUP(B2365,'_Sys|Line_Map'!$A:$A,'_Sys|Line_Map'!$C:$C,"MISSING",0)</f>
        <v/>
      </c>
      <c r="J2365" s="4562">
        <f>XLOOKUP(B2365,'_Sys|Line_Map'!$A:$A,'_Sys|Line_Map'!$D:$D,1,0)</f>
        <v/>
      </c>
      <c r="K2365" s="4562">
        <f>IF(D2365="","",D2365*J2365)</f>
        <v/>
      </c>
      <c r="L2365" s="4562">
        <f>XLOOKUP(B2365,'_Sys|Line_Map'!$A:$A,'_Sys|Line_Map'!$B:$B,"MISSING",0)</f>
        <v/>
      </c>
    </row>
    <row r="2366">
      <c r="A2366" s="4561" t="n"/>
      <c r="B2366" s="4561" t="n"/>
      <c r="C2366" s="4561" t="n"/>
      <c r="D2366" s="4561" t="n"/>
      <c r="E2366" s="4561" t="n"/>
      <c r="F2366" s="4561" t="n"/>
      <c r="G2366" s="4561" t="n"/>
      <c r="H2366" s="4561" t="n"/>
      <c r="I2366" s="4562">
        <f>XLOOKUP(B2366,'_Sys|Line_Map'!$A:$A,'_Sys|Line_Map'!$C:$C,"MISSING",0)</f>
        <v/>
      </c>
      <c r="J2366" s="4562">
        <f>XLOOKUP(B2366,'_Sys|Line_Map'!$A:$A,'_Sys|Line_Map'!$D:$D,1,0)</f>
        <v/>
      </c>
      <c r="K2366" s="4562">
        <f>IF(D2366="","",D2366*J2366)</f>
        <v/>
      </c>
      <c r="L2366" s="4562">
        <f>XLOOKUP(B2366,'_Sys|Line_Map'!$A:$A,'_Sys|Line_Map'!$B:$B,"MISSING",0)</f>
        <v/>
      </c>
    </row>
    <row r="2367">
      <c r="A2367" s="4561" t="n"/>
      <c r="B2367" s="4561" t="n"/>
      <c r="C2367" s="4561" t="n"/>
      <c r="D2367" s="4561" t="n"/>
      <c r="E2367" s="4561" t="n"/>
      <c r="F2367" s="4561" t="n"/>
      <c r="G2367" s="4561" t="n"/>
      <c r="H2367" s="4561" t="n"/>
      <c r="I2367" s="4562">
        <f>XLOOKUP(B2367,'_Sys|Line_Map'!$A:$A,'_Sys|Line_Map'!$C:$C,"MISSING",0)</f>
        <v/>
      </c>
      <c r="J2367" s="4562">
        <f>XLOOKUP(B2367,'_Sys|Line_Map'!$A:$A,'_Sys|Line_Map'!$D:$D,1,0)</f>
        <v/>
      </c>
      <c r="K2367" s="4562">
        <f>IF(D2367="","",D2367*J2367)</f>
        <v/>
      </c>
      <c r="L2367" s="4562">
        <f>XLOOKUP(B2367,'_Sys|Line_Map'!$A:$A,'_Sys|Line_Map'!$B:$B,"MISSING",0)</f>
        <v/>
      </c>
    </row>
    <row r="2368">
      <c r="A2368" s="4561" t="n"/>
      <c r="B2368" s="4561" t="n"/>
      <c r="C2368" s="4561" t="n"/>
      <c r="D2368" s="4561" t="n"/>
      <c r="E2368" s="4561" t="n"/>
      <c r="F2368" s="4561" t="n"/>
      <c r="G2368" s="4561" t="n"/>
      <c r="H2368" s="4561" t="n"/>
      <c r="I2368" s="4562">
        <f>XLOOKUP(B2368,'_Sys|Line_Map'!$A:$A,'_Sys|Line_Map'!$C:$C,"MISSING",0)</f>
        <v/>
      </c>
      <c r="J2368" s="4562">
        <f>XLOOKUP(B2368,'_Sys|Line_Map'!$A:$A,'_Sys|Line_Map'!$D:$D,1,0)</f>
        <v/>
      </c>
      <c r="K2368" s="4562">
        <f>IF(D2368="","",D2368*J2368)</f>
        <v/>
      </c>
      <c r="L2368" s="4562">
        <f>XLOOKUP(B2368,'_Sys|Line_Map'!$A:$A,'_Sys|Line_Map'!$B:$B,"MISSING",0)</f>
        <v/>
      </c>
    </row>
    <row r="2369">
      <c r="A2369" s="4561" t="n"/>
      <c r="B2369" s="4561" t="n"/>
      <c r="C2369" s="4561" t="n"/>
      <c r="D2369" s="4561" t="n"/>
      <c r="E2369" s="4561" t="n"/>
      <c r="F2369" s="4561" t="n"/>
      <c r="G2369" s="4561" t="n"/>
      <c r="H2369" s="4561" t="n"/>
      <c r="I2369" s="4562">
        <f>XLOOKUP(B2369,'_Sys|Line_Map'!$A:$A,'_Sys|Line_Map'!$C:$C,"MISSING",0)</f>
        <v/>
      </c>
      <c r="J2369" s="4562">
        <f>XLOOKUP(B2369,'_Sys|Line_Map'!$A:$A,'_Sys|Line_Map'!$D:$D,1,0)</f>
        <v/>
      </c>
      <c r="K2369" s="4562">
        <f>IF(D2369="","",D2369*J2369)</f>
        <v/>
      </c>
      <c r="L2369" s="4562">
        <f>XLOOKUP(B2369,'_Sys|Line_Map'!$A:$A,'_Sys|Line_Map'!$B:$B,"MISSING",0)</f>
        <v/>
      </c>
    </row>
    <row r="2370">
      <c r="A2370" s="4561" t="n"/>
      <c r="B2370" s="4561" t="n"/>
      <c r="C2370" s="4561" t="n"/>
      <c r="D2370" s="4561" t="n"/>
      <c r="E2370" s="4561" t="n"/>
      <c r="F2370" s="4561" t="n"/>
      <c r="G2370" s="4561" t="n"/>
      <c r="H2370" s="4561" t="n"/>
      <c r="I2370" s="4562">
        <f>XLOOKUP(B2370,'_Sys|Line_Map'!$A:$A,'_Sys|Line_Map'!$C:$C,"MISSING",0)</f>
        <v/>
      </c>
      <c r="J2370" s="4562">
        <f>XLOOKUP(B2370,'_Sys|Line_Map'!$A:$A,'_Sys|Line_Map'!$D:$D,1,0)</f>
        <v/>
      </c>
      <c r="K2370" s="4562">
        <f>IF(D2370="","",D2370*J2370)</f>
        <v/>
      </c>
      <c r="L2370" s="4562">
        <f>XLOOKUP(B2370,'_Sys|Line_Map'!$A:$A,'_Sys|Line_Map'!$B:$B,"MISSING",0)</f>
        <v/>
      </c>
    </row>
    <row r="2371">
      <c r="A2371" s="4561" t="n"/>
      <c r="B2371" s="4561" t="n"/>
      <c r="C2371" s="4561" t="n"/>
      <c r="D2371" s="4561" t="n"/>
      <c r="E2371" s="4561" t="n"/>
      <c r="F2371" s="4561" t="n"/>
      <c r="G2371" s="4561" t="n"/>
      <c r="H2371" s="4561" t="n"/>
      <c r="I2371" s="4562">
        <f>XLOOKUP(B2371,'_Sys|Line_Map'!$A:$A,'_Sys|Line_Map'!$C:$C,"MISSING",0)</f>
        <v/>
      </c>
      <c r="J2371" s="4562">
        <f>XLOOKUP(B2371,'_Sys|Line_Map'!$A:$A,'_Sys|Line_Map'!$D:$D,1,0)</f>
        <v/>
      </c>
      <c r="K2371" s="4562">
        <f>IF(D2371="","",D2371*J2371)</f>
        <v/>
      </c>
      <c r="L2371" s="4562">
        <f>XLOOKUP(B2371,'_Sys|Line_Map'!$A:$A,'_Sys|Line_Map'!$B:$B,"MISSING",0)</f>
        <v/>
      </c>
    </row>
    <row r="2372">
      <c r="A2372" s="4561" t="n"/>
      <c r="B2372" s="4561" t="n"/>
      <c r="C2372" s="4561" t="n"/>
      <c r="D2372" s="4561" t="n"/>
      <c r="E2372" s="4561" t="n"/>
      <c r="F2372" s="4561" t="n"/>
      <c r="G2372" s="4561" t="n"/>
      <c r="H2372" s="4561" t="n"/>
      <c r="I2372" s="4562">
        <f>XLOOKUP(B2372,'_Sys|Line_Map'!$A:$A,'_Sys|Line_Map'!$C:$C,"MISSING",0)</f>
        <v/>
      </c>
      <c r="J2372" s="4562">
        <f>XLOOKUP(B2372,'_Sys|Line_Map'!$A:$A,'_Sys|Line_Map'!$D:$D,1,0)</f>
        <v/>
      </c>
      <c r="K2372" s="4562">
        <f>IF(D2372="","",D2372*J2372)</f>
        <v/>
      </c>
      <c r="L2372" s="4562">
        <f>XLOOKUP(B2372,'_Sys|Line_Map'!$A:$A,'_Sys|Line_Map'!$B:$B,"MISSING",0)</f>
        <v/>
      </c>
    </row>
    <row r="2373">
      <c r="A2373" s="4561" t="n"/>
      <c r="B2373" s="4561" t="n"/>
      <c r="C2373" s="4561" t="n"/>
      <c r="D2373" s="4561" t="n"/>
      <c r="E2373" s="4561" t="n"/>
      <c r="F2373" s="4561" t="n"/>
      <c r="G2373" s="4561" t="n"/>
      <c r="H2373" s="4561" t="n"/>
      <c r="I2373" s="4562">
        <f>XLOOKUP(B2373,'_Sys|Line_Map'!$A:$A,'_Sys|Line_Map'!$C:$C,"MISSING",0)</f>
        <v/>
      </c>
      <c r="J2373" s="4562">
        <f>XLOOKUP(B2373,'_Sys|Line_Map'!$A:$A,'_Sys|Line_Map'!$D:$D,1,0)</f>
        <v/>
      </c>
      <c r="K2373" s="4562">
        <f>IF(D2373="","",D2373*J2373)</f>
        <v/>
      </c>
      <c r="L2373" s="4562">
        <f>XLOOKUP(B2373,'_Sys|Line_Map'!$A:$A,'_Sys|Line_Map'!$B:$B,"MISSING",0)</f>
        <v/>
      </c>
    </row>
    <row r="2374">
      <c r="A2374" s="4561" t="n"/>
      <c r="B2374" s="4561" t="n"/>
      <c r="C2374" s="4561" t="n"/>
      <c r="D2374" s="4561" t="n"/>
      <c r="E2374" s="4561" t="n"/>
      <c r="F2374" s="4561" t="n"/>
      <c r="G2374" s="4561" t="n"/>
      <c r="H2374" s="4561" t="n"/>
      <c r="I2374" s="4562">
        <f>XLOOKUP(B2374,'_Sys|Line_Map'!$A:$A,'_Sys|Line_Map'!$C:$C,"MISSING",0)</f>
        <v/>
      </c>
      <c r="J2374" s="4562">
        <f>XLOOKUP(B2374,'_Sys|Line_Map'!$A:$A,'_Sys|Line_Map'!$D:$D,1,0)</f>
        <v/>
      </c>
      <c r="K2374" s="4562">
        <f>IF(D2374="","",D2374*J2374)</f>
        <v/>
      </c>
      <c r="L2374" s="4562">
        <f>XLOOKUP(B2374,'_Sys|Line_Map'!$A:$A,'_Sys|Line_Map'!$B:$B,"MISSING",0)</f>
        <v/>
      </c>
    </row>
    <row r="2375">
      <c r="A2375" s="4561" t="n"/>
      <c r="B2375" s="4561" t="n"/>
      <c r="C2375" s="4561" t="n"/>
      <c r="D2375" s="4561" t="n"/>
      <c r="E2375" s="4561" t="n"/>
      <c r="F2375" s="4561" t="n"/>
      <c r="G2375" s="4561" t="n"/>
      <c r="H2375" s="4561" t="n"/>
      <c r="I2375" s="4562">
        <f>XLOOKUP(B2375,'_Sys|Line_Map'!$A:$A,'_Sys|Line_Map'!$C:$C,"MISSING",0)</f>
        <v/>
      </c>
      <c r="J2375" s="4562">
        <f>XLOOKUP(B2375,'_Sys|Line_Map'!$A:$A,'_Sys|Line_Map'!$D:$D,1,0)</f>
        <v/>
      </c>
      <c r="K2375" s="4562">
        <f>IF(D2375="","",D2375*J2375)</f>
        <v/>
      </c>
      <c r="L2375" s="4562">
        <f>XLOOKUP(B2375,'_Sys|Line_Map'!$A:$A,'_Sys|Line_Map'!$B:$B,"MISSING",0)</f>
        <v/>
      </c>
    </row>
    <row r="2376">
      <c r="A2376" s="4561" t="n"/>
      <c r="B2376" s="4561" t="n"/>
      <c r="C2376" s="4561" t="n"/>
      <c r="D2376" s="4561" t="n"/>
      <c r="E2376" s="4561" t="n"/>
      <c r="F2376" s="4561" t="n"/>
      <c r="G2376" s="4561" t="n"/>
      <c r="H2376" s="4561" t="n"/>
      <c r="I2376" s="4562">
        <f>XLOOKUP(B2376,'_Sys|Line_Map'!$A:$A,'_Sys|Line_Map'!$C:$C,"MISSING",0)</f>
        <v/>
      </c>
      <c r="J2376" s="4562">
        <f>XLOOKUP(B2376,'_Sys|Line_Map'!$A:$A,'_Sys|Line_Map'!$D:$D,1,0)</f>
        <v/>
      </c>
      <c r="K2376" s="4562">
        <f>IF(D2376="","",D2376*J2376)</f>
        <v/>
      </c>
      <c r="L2376" s="4562">
        <f>XLOOKUP(B2376,'_Sys|Line_Map'!$A:$A,'_Sys|Line_Map'!$B:$B,"MISSING",0)</f>
        <v/>
      </c>
    </row>
    <row r="2377">
      <c r="A2377" s="4561" t="n"/>
      <c r="B2377" s="4561" t="n"/>
      <c r="C2377" s="4561" t="n"/>
      <c r="D2377" s="4561" t="n"/>
      <c r="E2377" s="4561" t="n"/>
      <c r="F2377" s="4561" t="n"/>
      <c r="G2377" s="4561" t="n"/>
      <c r="H2377" s="4561" t="n"/>
      <c r="I2377" s="4562">
        <f>XLOOKUP(B2377,'_Sys|Line_Map'!$A:$A,'_Sys|Line_Map'!$C:$C,"MISSING",0)</f>
        <v/>
      </c>
      <c r="J2377" s="4562">
        <f>XLOOKUP(B2377,'_Sys|Line_Map'!$A:$A,'_Sys|Line_Map'!$D:$D,1,0)</f>
        <v/>
      </c>
      <c r="K2377" s="4562">
        <f>IF(D2377="","",D2377*J2377)</f>
        <v/>
      </c>
      <c r="L2377" s="4562">
        <f>XLOOKUP(B2377,'_Sys|Line_Map'!$A:$A,'_Sys|Line_Map'!$B:$B,"MISSING",0)</f>
        <v/>
      </c>
    </row>
    <row r="2378">
      <c r="A2378" s="4561" t="n"/>
      <c r="B2378" s="4561" t="n"/>
      <c r="C2378" s="4561" t="n"/>
      <c r="D2378" s="4561" t="n"/>
      <c r="E2378" s="4561" t="n"/>
      <c r="F2378" s="4561" t="n"/>
      <c r="G2378" s="4561" t="n"/>
      <c r="H2378" s="4561" t="n"/>
      <c r="I2378" s="4562">
        <f>XLOOKUP(B2378,'_Sys|Line_Map'!$A:$A,'_Sys|Line_Map'!$C:$C,"MISSING",0)</f>
        <v/>
      </c>
      <c r="J2378" s="4562">
        <f>XLOOKUP(B2378,'_Sys|Line_Map'!$A:$A,'_Sys|Line_Map'!$D:$D,1,0)</f>
        <v/>
      </c>
      <c r="K2378" s="4562">
        <f>IF(D2378="","",D2378*J2378)</f>
        <v/>
      </c>
      <c r="L2378" s="4562">
        <f>XLOOKUP(B2378,'_Sys|Line_Map'!$A:$A,'_Sys|Line_Map'!$B:$B,"MISSING",0)</f>
        <v/>
      </c>
    </row>
    <row r="2379">
      <c r="A2379" s="4561" t="n"/>
      <c r="B2379" s="4561" t="n"/>
      <c r="C2379" s="4561" t="n"/>
      <c r="D2379" s="4561" t="n"/>
      <c r="E2379" s="4561" t="n"/>
      <c r="F2379" s="4561" t="n"/>
      <c r="G2379" s="4561" t="n"/>
      <c r="H2379" s="4561" t="n"/>
      <c r="I2379" s="4562">
        <f>XLOOKUP(B2379,'_Sys|Line_Map'!$A:$A,'_Sys|Line_Map'!$C:$C,"MISSING",0)</f>
        <v/>
      </c>
      <c r="J2379" s="4562">
        <f>XLOOKUP(B2379,'_Sys|Line_Map'!$A:$A,'_Sys|Line_Map'!$D:$D,1,0)</f>
        <v/>
      </c>
      <c r="K2379" s="4562">
        <f>IF(D2379="","",D2379*J2379)</f>
        <v/>
      </c>
      <c r="L2379" s="4562">
        <f>XLOOKUP(B2379,'_Sys|Line_Map'!$A:$A,'_Sys|Line_Map'!$B:$B,"MISSING",0)</f>
        <v/>
      </c>
    </row>
    <row r="2380">
      <c r="A2380" s="4561" t="n"/>
      <c r="B2380" s="4561" t="n"/>
      <c r="C2380" s="4561" t="n"/>
      <c r="D2380" s="4561" t="n"/>
      <c r="E2380" s="4561" t="n"/>
      <c r="F2380" s="4561" t="n"/>
      <c r="G2380" s="4561" t="n"/>
      <c r="H2380" s="4561" t="n"/>
      <c r="I2380" s="4562">
        <f>XLOOKUP(B2380,'_Sys|Line_Map'!$A:$A,'_Sys|Line_Map'!$C:$C,"MISSING",0)</f>
        <v/>
      </c>
      <c r="J2380" s="4562">
        <f>XLOOKUP(B2380,'_Sys|Line_Map'!$A:$A,'_Sys|Line_Map'!$D:$D,1,0)</f>
        <v/>
      </c>
      <c r="K2380" s="4562">
        <f>IF(D2380="","",D2380*J2380)</f>
        <v/>
      </c>
      <c r="L2380" s="4562">
        <f>XLOOKUP(B2380,'_Sys|Line_Map'!$A:$A,'_Sys|Line_Map'!$B:$B,"MISSING",0)</f>
        <v/>
      </c>
    </row>
    <row r="2381">
      <c r="A2381" s="4561" t="n"/>
      <c r="B2381" s="4561" t="n"/>
      <c r="C2381" s="4561" t="n"/>
      <c r="D2381" s="4561" t="n"/>
      <c r="E2381" s="4561" t="n"/>
      <c r="F2381" s="4561" t="n"/>
      <c r="G2381" s="4561" t="n"/>
      <c r="H2381" s="4561" t="n"/>
      <c r="I2381" s="4562">
        <f>XLOOKUP(B2381,'_Sys|Line_Map'!$A:$A,'_Sys|Line_Map'!$C:$C,"MISSING",0)</f>
        <v/>
      </c>
      <c r="J2381" s="4562">
        <f>XLOOKUP(B2381,'_Sys|Line_Map'!$A:$A,'_Sys|Line_Map'!$D:$D,1,0)</f>
        <v/>
      </c>
      <c r="K2381" s="4562">
        <f>IF(D2381="","",D2381*J2381)</f>
        <v/>
      </c>
      <c r="L2381" s="4562">
        <f>XLOOKUP(B2381,'_Sys|Line_Map'!$A:$A,'_Sys|Line_Map'!$B:$B,"MISSING",0)</f>
        <v/>
      </c>
    </row>
    <row r="2382">
      <c r="A2382" s="4561" t="n"/>
      <c r="B2382" s="4561" t="n"/>
      <c r="C2382" s="4561" t="n"/>
      <c r="D2382" s="4561" t="n"/>
      <c r="E2382" s="4561" t="n"/>
      <c r="F2382" s="4561" t="n"/>
      <c r="G2382" s="4561" t="n"/>
      <c r="H2382" s="4561" t="n"/>
      <c r="I2382" s="4562">
        <f>XLOOKUP(B2382,'_Sys|Line_Map'!$A:$A,'_Sys|Line_Map'!$C:$C,"MISSING",0)</f>
        <v/>
      </c>
      <c r="J2382" s="4562">
        <f>XLOOKUP(B2382,'_Sys|Line_Map'!$A:$A,'_Sys|Line_Map'!$D:$D,1,0)</f>
        <v/>
      </c>
      <c r="K2382" s="4562">
        <f>IF(D2382="","",D2382*J2382)</f>
        <v/>
      </c>
      <c r="L2382" s="4562">
        <f>XLOOKUP(B2382,'_Sys|Line_Map'!$A:$A,'_Sys|Line_Map'!$B:$B,"MISSING",0)</f>
        <v/>
      </c>
    </row>
    <row r="2383">
      <c r="A2383" s="4561" t="n"/>
      <c r="B2383" s="4561" t="n"/>
      <c r="C2383" s="4561" t="n"/>
      <c r="D2383" s="4561" t="n"/>
      <c r="E2383" s="4561" t="n"/>
      <c r="F2383" s="4561" t="n"/>
      <c r="G2383" s="4561" t="n"/>
      <c r="H2383" s="4561" t="n"/>
      <c r="I2383" s="4562">
        <f>XLOOKUP(B2383,'_Sys|Line_Map'!$A:$A,'_Sys|Line_Map'!$C:$C,"MISSING",0)</f>
        <v/>
      </c>
      <c r="J2383" s="4562">
        <f>XLOOKUP(B2383,'_Sys|Line_Map'!$A:$A,'_Sys|Line_Map'!$D:$D,1,0)</f>
        <v/>
      </c>
      <c r="K2383" s="4562">
        <f>IF(D2383="","",D2383*J2383)</f>
        <v/>
      </c>
      <c r="L2383" s="4562">
        <f>XLOOKUP(B2383,'_Sys|Line_Map'!$A:$A,'_Sys|Line_Map'!$B:$B,"MISSING",0)</f>
        <v/>
      </c>
    </row>
    <row r="2384">
      <c r="A2384" s="4561" t="n"/>
      <c r="B2384" s="4561" t="n"/>
      <c r="C2384" s="4561" t="n"/>
      <c r="D2384" s="4561" t="n"/>
      <c r="E2384" s="4561" t="n"/>
      <c r="F2384" s="4561" t="n"/>
      <c r="G2384" s="4561" t="n"/>
      <c r="H2384" s="4561" t="n"/>
      <c r="I2384" s="4562">
        <f>XLOOKUP(B2384,'_Sys|Line_Map'!$A:$A,'_Sys|Line_Map'!$C:$C,"MISSING",0)</f>
        <v/>
      </c>
      <c r="J2384" s="4562">
        <f>XLOOKUP(B2384,'_Sys|Line_Map'!$A:$A,'_Sys|Line_Map'!$D:$D,1,0)</f>
        <v/>
      </c>
      <c r="K2384" s="4562">
        <f>IF(D2384="","",D2384*J2384)</f>
        <v/>
      </c>
      <c r="L2384" s="4562">
        <f>XLOOKUP(B2384,'_Sys|Line_Map'!$A:$A,'_Sys|Line_Map'!$B:$B,"MISSING",0)</f>
        <v/>
      </c>
    </row>
    <row r="2385">
      <c r="A2385" s="4561" t="n"/>
      <c r="B2385" s="4561" t="n"/>
      <c r="C2385" s="4561" t="n"/>
      <c r="D2385" s="4561" t="n"/>
      <c r="E2385" s="4561" t="n"/>
      <c r="F2385" s="4561" t="n"/>
      <c r="G2385" s="4561" t="n"/>
      <c r="H2385" s="4561" t="n"/>
      <c r="I2385" s="4562">
        <f>XLOOKUP(B2385,'_Sys|Line_Map'!$A:$A,'_Sys|Line_Map'!$C:$C,"MISSING",0)</f>
        <v/>
      </c>
      <c r="J2385" s="4562">
        <f>XLOOKUP(B2385,'_Sys|Line_Map'!$A:$A,'_Sys|Line_Map'!$D:$D,1,0)</f>
        <v/>
      </c>
      <c r="K2385" s="4562">
        <f>IF(D2385="","",D2385*J2385)</f>
        <v/>
      </c>
      <c r="L2385" s="4562">
        <f>XLOOKUP(B2385,'_Sys|Line_Map'!$A:$A,'_Sys|Line_Map'!$B:$B,"MISSING",0)</f>
        <v/>
      </c>
    </row>
    <row r="2386">
      <c r="A2386" s="4561" t="n"/>
      <c r="B2386" s="4561" t="n"/>
      <c r="C2386" s="4561" t="n"/>
      <c r="D2386" s="4561" t="n"/>
      <c r="E2386" s="4561" t="n"/>
      <c r="F2386" s="4561" t="n"/>
      <c r="G2386" s="4561" t="n"/>
      <c r="H2386" s="4561" t="n"/>
      <c r="I2386" s="4562">
        <f>XLOOKUP(B2386,'_Sys|Line_Map'!$A:$A,'_Sys|Line_Map'!$C:$C,"MISSING",0)</f>
        <v/>
      </c>
      <c r="J2386" s="4562">
        <f>XLOOKUP(B2386,'_Sys|Line_Map'!$A:$A,'_Sys|Line_Map'!$D:$D,1,0)</f>
        <v/>
      </c>
      <c r="K2386" s="4562">
        <f>IF(D2386="","",D2386*J2386)</f>
        <v/>
      </c>
      <c r="L2386" s="4562">
        <f>XLOOKUP(B2386,'_Sys|Line_Map'!$A:$A,'_Sys|Line_Map'!$B:$B,"MISSING",0)</f>
        <v/>
      </c>
    </row>
    <row r="2387">
      <c r="A2387" s="4561" t="n"/>
      <c r="B2387" s="4561" t="n"/>
      <c r="C2387" s="4561" t="n"/>
      <c r="D2387" s="4561" t="n"/>
      <c r="E2387" s="4561" t="n"/>
      <c r="F2387" s="4561" t="n"/>
      <c r="G2387" s="4561" t="n"/>
      <c r="H2387" s="4561" t="n"/>
      <c r="I2387" s="4562">
        <f>XLOOKUP(B2387,'_Sys|Line_Map'!$A:$A,'_Sys|Line_Map'!$C:$C,"MISSING",0)</f>
        <v/>
      </c>
      <c r="J2387" s="4562">
        <f>XLOOKUP(B2387,'_Sys|Line_Map'!$A:$A,'_Sys|Line_Map'!$D:$D,1,0)</f>
        <v/>
      </c>
      <c r="K2387" s="4562">
        <f>IF(D2387="","",D2387*J2387)</f>
        <v/>
      </c>
      <c r="L2387" s="4562">
        <f>XLOOKUP(B2387,'_Sys|Line_Map'!$A:$A,'_Sys|Line_Map'!$B:$B,"MISSING",0)</f>
        <v/>
      </c>
    </row>
    <row r="2388">
      <c r="A2388" s="4561" t="n"/>
      <c r="B2388" s="4561" t="n"/>
      <c r="C2388" s="4561" t="n"/>
      <c r="D2388" s="4561" t="n"/>
      <c r="E2388" s="4561" t="n"/>
      <c r="F2388" s="4561" t="n"/>
      <c r="G2388" s="4561" t="n"/>
      <c r="H2388" s="4561" t="n"/>
      <c r="I2388" s="4562">
        <f>XLOOKUP(B2388,'_Sys|Line_Map'!$A:$A,'_Sys|Line_Map'!$C:$C,"MISSING",0)</f>
        <v/>
      </c>
      <c r="J2388" s="4562">
        <f>XLOOKUP(B2388,'_Sys|Line_Map'!$A:$A,'_Sys|Line_Map'!$D:$D,1,0)</f>
        <v/>
      </c>
      <c r="K2388" s="4562">
        <f>IF(D2388="","",D2388*J2388)</f>
        <v/>
      </c>
      <c r="L2388" s="4562">
        <f>XLOOKUP(B2388,'_Sys|Line_Map'!$A:$A,'_Sys|Line_Map'!$B:$B,"MISSING",0)</f>
        <v/>
      </c>
    </row>
    <row r="2389">
      <c r="A2389" s="4561" t="n"/>
      <c r="B2389" s="4561" t="n"/>
      <c r="C2389" s="4561" t="n"/>
      <c r="D2389" s="4561" t="n"/>
      <c r="E2389" s="4561" t="n"/>
      <c r="F2389" s="4561" t="n"/>
      <c r="G2389" s="4561" t="n"/>
      <c r="H2389" s="4561" t="n"/>
      <c r="I2389" s="4562">
        <f>XLOOKUP(B2389,'_Sys|Line_Map'!$A:$A,'_Sys|Line_Map'!$C:$C,"MISSING",0)</f>
        <v/>
      </c>
      <c r="J2389" s="4562">
        <f>XLOOKUP(B2389,'_Sys|Line_Map'!$A:$A,'_Sys|Line_Map'!$D:$D,1,0)</f>
        <v/>
      </c>
      <c r="K2389" s="4562">
        <f>IF(D2389="","",D2389*J2389)</f>
        <v/>
      </c>
      <c r="L2389" s="4562">
        <f>XLOOKUP(B2389,'_Sys|Line_Map'!$A:$A,'_Sys|Line_Map'!$B:$B,"MISSING",0)</f>
        <v/>
      </c>
    </row>
    <row r="2390">
      <c r="A2390" s="4561" t="n"/>
      <c r="B2390" s="4561" t="n"/>
      <c r="C2390" s="4561" t="n"/>
      <c r="D2390" s="4561" t="n"/>
      <c r="E2390" s="4561" t="n"/>
      <c r="F2390" s="4561" t="n"/>
      <c r="G2390" s="4561" t="n"/>
      <c r="H2390" s="4561" t="n"/>
      <c r="I2390" s="4562">
        <f>XLOOKUP(B2390,'_Sys|Line_Map'!$A:$A,'_Sys|Line_Map'!$C:$C,"MISSING",0)</f>
        <v/>
      </c>
      <c r="J2390" s="4562">
        <f>XLOOKUP(B2390,'_Sys|Line_Map'!$A:$A,'_Sys|Line_Map'!$D:$D,1,0)</f>
        <v/>
      </c>
      <c r="K2390" s="4562">
        <f>IF(D2390="","",D2390*J2390)</f>
        <v/>
      </c>
      <c r="L2390" s="4562">
        <f>XLOOKUP(B2390,'_Sys|Line_Map'!$A:$A,'_Sys|Line_Map'!$B:$B,"MISSING",0)</f>
        <v/>
      </c>
    </row>
    <row r="2391">
      <c r="A2391" s="4561" t="n"/>
      <c r="B2391" s="4561" t="n"/>
      <c r="C2391" s="4561" t="n"/>
      <c r="D2391" s="4561" t="n"/>
      <c r="E2391" s="4561" t="n"/>
      <c r="F2391" s="4561" t="n"/>
      <c r="G2391" s="4561" t="n"/>
      <c r="H2391" s="4561" t="n"/>
      <c r="I2391" s="4562">
        <f>XLOOKUP(B2391,'_Sys|Line_Map'!$A:$A,'_Sys|Line_Map'!$C:$C,"MISSING",0)</f>
        <v/>
      </c>
      <c r="J2391" s="4562">
        <f>XLOOKUP(B2391,'_Sys|Line_Map'!$A:$A,'_Sys|Line_Map'!$D:$D,1,0)</f>
        <v/>
      </c>
      <c r="K2391" s="4562">
        <f>IF(D2391="","",D2391*J2391)</f>
        <v/>
      </c>
      <c r="L2391" s="4562">
        <f>XLOOKUP(B2391,'_Sys|Line_Map'!$A:$A,'_Sys|Line_Map'!$B:$B,"MISSING",0)</f>
        <v/>
      </c>
    </row>
    <row r="2392">
      <c r="A2392" s="4561" t="n"/>
      <c r="B2392" s="4561" t="n"/>
      <c r="C2392" s="4561" t="n"/>
      <c r="D2392" s="4561" t="n"/>
      <c r="E2392" s="4561" t="n"/>
      <c r="F2392" s="4561" t="n"/>
      <c r="G2392" s="4561" t="n"/>
      <c r="H2392" s="4561" t="n"/>
      <c r="I2392" s="4562">
        <f>XLOOKUP(B2392,'_Sys|Line_Map'!$A:$A,'_Sys|Line_Map'!$C:$C,"MISSING",0)</f>
        <v/>
      </c>
      <c r="J2392" s="4562">
        <f>XLOOKUP(B2392,'_Sys|Line_Map'!$A:$A,'_Sys|Line_Map'!$D:$D,1,0)</f>
        <v/>
      </c>
      <c r="K2392" s="4562">
        <f>IF(D2392="","",D2392*J2392)</f>
        <v/>
      </c>
      <c r="L2392" s="4562">
        <f>XLOOKUP(B2392,'_Sys|Line_Map'!$A:$A,'_Sys|Line_Map'!$B:$B,"MISSING",0)</f>
        <v/>
      </c>
    </row>
    <row r="2393">
      <c r="A2393" s="4561" t="n"/>
      <c r="B2393" s="4561" t="n"/>
      <c r="C2393" s="4561" t="n"/>
      <c r="D2393" s="4561" t="n"/>
      <c r="E2393" s="4561" t="n"/>
      <c r="F2393" s="4561" t="n"/>
      <c r="G2393" s="4561" t="n"/>
      <c r="H2393" s="4561" t="n"/>
      <c r="I2393" s="4562">
        <f>XLOOKUP(B2393,'_Sys|Line_Map'!$A:$A,'_Sys|Line_Map'!$C:$C,"MISSING",0)</f>
        <v/>
      </c>
      <c r="J2393" s="4562">
        <f>XLOOKUP(B2393,'_Sys|Line_Map'!$A:$A,'_Sys|Line_Map'!$D:$D,1,0)</f>
        <v/>
      </c>
      <c r="K2393" s="4562">
        <f>IF(D2393="","",D2393*J2393)</f>
        <v/>
      </c>
      <c r="L2393" s="4562">
        <f>XLOOKUP(B2393,'_Sys|Line_Map'!$A:$A,'_Sys|Line_Map'!$B:$B,"MISSING",0)</f>
        <v/>
      </c>
    </row>
    <row r="2394">
      <c r="A2394" s="4561" t="n"/>
      <c r="B2394" s="4561" t="n"/>
      <c r="C2394" s="4561" t="n"/>
      <c r="D2394" s="4561" t="n"/>
      <c r="E2394" s="4561" t="n"/>
      <c r="F2394" s="4561" t="n"/>
      <c r="G2394" s="4561" t="n"/>
      <c r="H2394" s="4561" t="n"/>
      <c r="I2394" s="4562">
        <f>XLOOKUP(B2394,'_Sys|Line_Map'!$A:$A,'_Sys|Line_Map'!$C:$C,"MISSING",0)</f>
        <v/>
      </c>
      <c r="J2394" s="4562">
        <f>XLOOKUP(B2394,'_Sys|Line_Map'!$A:$A,'_Sys|Line_Map'!$D:$D,1,0)</f>
        <v/>
      </c>
      <c r="K2394" s="4562">
        <f>IF(D2394="","",D2394*J2394)</f>
        <v/>
      </c>
      <c r="L2394" s="4562">
        <f>XLOOKUP(B2394,'_Sys|Line_Map'!$A:$A,'_Sys|Line_Map'!$B:$B,"MISSING",0)</f>
        <v/>
      </c>
    </row>
    <row r="2395">
      <c r="A2395" s="4561" t="n"/>
      <c r="B2395" s="4561" t="n"/>
      <c r="C2395" s="4561" t="n"/>
      <c r="D2395" s="4561" t="n"/>
      <c r="E2395" s="4561" t="n"/>
      <c r="F2395" s="4561" t="n"/>
      <c r="G2395" s="4561" t="n"/>
      <c r="H2395" s="4561" t="n"/>
      <c r="I2395" s="4562">
        <f>XLOOKUP(B2395,'_Sys|Line_Map'!$A:$A,'_Sys|Line_Map'!$C:$C,"MISSING",0)</f>
        <v/>
      </c>
      <c r="J2395" s="4562">
        <f>XLOOKUP(B2395,'_Sys|Line_Map'!$A:$A,'_Sys|Line_Map'!$D:$D,1,0)</f>
        <v/>
      </c>
      <c r="K2395" s="4562">
        <f>IF(D2395="","",D2395*J2395)</f>
        <v/>
      </c>
      <c r="L2395" s="4562">
        <f>XLOOKUP(B2395,'_Sys|Line_Map'!$A:$A,'_Sys|Line_Map'!$B:$B,"MISSING",0)</f>
        <v/>
      </c>
    </row>
    <row r="2396">
      <c r="A2396" s="4561" t="n"/>
      <c r="B2396" s="4561" t="n"/>
      <c r="C2396" s="4561" t="n"/>
      <c r="D2396" s="4561" t="n"/>
      <c r="E2396" s="4561" t="n"/>
      <c r="F2396" s="4561" t="n"/>
      <c r="G2396" s="4561" t="n"/>
      <c r="H2396" s="4561" t="n"/>
      <c r="I2396" s="4562">
        <f>XLOOKUP(B2396,'_Sys|Line_Map'!$A:$A,'_Sys|Line_Map'!$C:$C,"MISSING",0)</f>
        <v/>
      </c>
      <c r="J2396" s="4562">
        <f>XLOOKUP(B2396,'_Sys|Line_Map'!$A:$A,'_Sys|Line_Map'!$D:$D,1,0)</f>
        <v/>
      </c>
      <c r="K2396" s="4562">
        <f>IF(D2396="","",D2396*J2396)</f>
        <v/>
      </c>
      <c r="L2396" s="4562">
        <f>XLOOKUP(B2396,'_Sys|Line_Map'!$A:$A,'_Sys|Line_Map'!$B:$B,"MISSING",0)</f>
        <v/>
      </c>
    </row>
    <row r="2397">
      <c r="A2397" s="4561" t="n"/>
      <c r="B2397" s="4561" t="n"/>
      <c r="C2397" s="4561" t="n"/>
      <c r="D2397" s="4561" t="n"/>
      <c r="E2397" s="4561" t="n"/>
      <c r="F2397" s="4561" t="n"/>
      <c r="G2397" s="4561" t="n"/>
      <c r="H2397" s="4561" t="n"/>
      <c r="I2397" s="4562">
        <f>XLOOKUP(B2397,'_Sys|Line_Map'!$A:$A,'_Sys|Line_Map'!$C:$C,"MISSING",0)</f>
        <v/>
      </c>
      <c r="J2397" s="4562">
        <f>XLOOKUP(B2397,'_Sys|Line_Map'!$A:$A,'_Sys|Line_Map'!$D:$D,1,0)</f>
        <v/>
      </c>
      <c r="K2397" s="4562">
        <f>IF(D2397="","",D2397*J2397)</f>
        <v/>
      </c>
      <c r="L2397" s="4562">
        <f>XLOOKUP(B2397,'_Sys|Line_Map'!$A:$A,'_Sys|Line_Map'!$B:$B,"MISSING",0)</f>
        <v/>
      </c>
    </row>
    <row r="2398">
      <c r="A2398" s="4561" t="n"/>
      <c r="B2398" s="4561" t="n"/>
      <c r="C2398" s="4561" t="n"/>
      <c r="D2398" s="4561" t="n"/>
      <c r="E2398" s="4561" t="n"/>
      <c r="F2398" s="4561" t="n"/>
      <c r="G2398" s="4561" t="n"/>
      <c r="H2398" s="4561" t="n"/>
      <c r="I2398" s="4562">
        <f>XLOOKUP(B2398,'_Sys|Line_Map'!$A:$A,'_Sys|Line_Map'!$C:$C,"MISSING",0)</f>
        <v/>
      </c>
      <c r="J2398" s="4562">
        <f>XLOOKUP(B2398,'_Sys|Line_Map'!$A:$A,'_Sys|Line_Map'!$D:$D,1,0)</f>
        <v/>
      </c>
      <c r="K2398" s="4562">
        <f>IF(D2398="","",D2398*J2398)</f>
        <v/>
      </c>
      <c r="L2398" s="4562">
        <f>XLOOKUP(B2398,'_Sys|Line_Map'!$A:$A,'_Sys|Line_Map'!$B:$B,"MISSING",0)</f>
        <v/>
      </c>
    </row>
    <row r="2399">
      <c r="A2399" s="4561" t="n"/>
      <c r="B2399" s="4561" t="n"/>
      <c r="C2399" s="4561" t="n"/>
      <c r="D2399" s="4561" t="n"/>
      <c r="E2399" s="4561" t="n"/>
      <c r="F2399" s="4561" t="n"/>
      <c r="G2399" s="4561" t="n"/>
      <c r="H2399" s="4561" t="n"/>
      <c r="I2399" s="4562">
        <f>XLOOKUP(B2399,'_Sys|Line_Map'!$A:$A,'_Sys|Line_Map'!$C:$C,"MISSING",0)</f>
        <v/>
      </c>
      <c r="J2399" s="4562">
        <f>XLOOKUP(B2399,'_Sys|Line_Map'!$A:$A,'_Sys|Line_Map'!$D:$D,1,0)</f>
        <v/>
      </c>
      <c r="K2399" s="4562">
        <f>IF(D2399="","",D2399*J2399)</f>
        <v/>
      </c>
      <c r="L2399" s="4562">
        <f>XLOOKUP(B2399,'_Sys|Line_Map'!$A:$A,'_Sys|Line_Map'!$B:$B,"MISSING",0)</f>
        <v/>
      </c>
    </row>
    <row r="2400">
      <c r="A2400" s="4561" t="n"/>
      <c r="B2400" s="4561" t="n"/>
      <c r="C2400" s="4561" t="n"/>
      <c r="D2400" s="4561" t="n"/>
      <c r="E2400" s="4561" t="n"/>
      <c r="F2400" s="4561" t="n"/>
      <c r="G2400" s="4561" t="n"/>
      <c r="H2400" s="4561" t="n"/>
      <c r="I2400" s="4562">
        <f>XLOOKUP(B2400,'_Sys|Line_Map'!$A:$A,'_Sys|Line_Map'!$C:$C,"MISSING",0)</f>
        <v/>
      </c>
      <c r="J2400" s="4562">
        <f>XLOOKUP(B2400,'_Sys|Line_Map'!$A:$A,'_Sys|Line_Map'!$D:$D,1,0)</f>
        <v/>
      </c>
      <c r="K2400" s="4562">
        <f>IF(D2400="","",D2400*J2400)</f>
        <v/>
      </c>
      <c r="L2400" s="4562">
        <f>XLOOKUP(B2400,'_Sys|Line_Map'!$A:$A,'_Sys|Line_Map'!$B:$B,"MISSING",0)</f>
        <v/>
      </c>
    </row>
    <row r="2401">
      <c r="A2401" s="4561" t="n"/>
      <c r="B2401" s="4561" t="n"/>
      <c r="C2401" s="4561" t="n"/>
      <c r="D2401" s="4561" t="n"/>
      <c r="E2401" s="4561" t="n"/>
      <c r="F2401" s="4561" t="n"/>
      <c r="G2401" s="4561" t="n"/>
      <c r="H2401" s="4561" t="n"/>
      <c r="I2401" s="4562">
        <f>XLOOKUP(B2401,'_Sys|Line_Map'!$A:$A,'_Sys|Line_Map'!$C:$C,"MISSING",0)</f>
        <v/>
      </c>
      <c r="J2401" s="4562">
        <f>XLOOKUP(B2401,'_Sys|Line_Map'!$A:$A,'_Sys|Line_Map'!$D:$D,1,0)</f>
        <v/>
      </c>
      <c r="K2401" s="4562">
        <f>IF(D2401="","",D2401*J2401)</f>
        <v/>
      </c>
      <c r="L2401" s="4562">
        <f>XLOOKUP(B2401,'_Sys|Line_Map'!$A:$A,'_Sys|Line_Map'!$B:$B,"MISSING",0)</f>
        <v/>
      </c>
    </row>
    <row r="2402">
      <c r="A2402" s="4561" t="n"/>
      <c r="B2402" s="4561" t="n"/>
      <c r="C2402" s="4561" t="n"/>
      <c r="D2402" s="4561" t="n"/>
      <c r="E2402" s="4561" t="n"/>
      <c r="F2402" s="4561" t="n"/>
      <c r="G2402" s="4561" t="n"/>
      <c r="H2402" s="4561" t="n"/>
      <c r="I2402" s="4562">
        <f>XLOOKUP(B2402,'_Sys|Line_Map'!$A:$A,'_Sys|Line_Map'!$C:$C,"MISSING",0)</f>
        <v/>
      </c>
      <c r="J2402" s="4562">
        <f>XLOOKUP(B2402,'_Sys|Line_Map'!$A:$A,'_Sys|Line_Map'!$D:$D,1,0)</f>
        <v/>
      </c>
      <c r="K2402" s="4562">
        <f>IF(D2402="","",D2402*J2402)</f>
        <v/>
      </c>
      <c r="L2402" s="4562">
        <f>XLOOKUP(B2402,'_Sys|Line_Map'!$A:$A,'_Sys|Line_Map'!$B:$B,"MISSING",0)</f>
        <v/>
      </c>
    </row>
    <row r="2403">
      <c r="A2403" s="4561" t="n"/>
      <c r="B2403" s="4561" t="n"/>
      <c r="C2403" s="4561" t="n"/>
      <c r="D2403" s="4561" t="n"/>
      <c r="E2403" s="4561" t="n"/>
      <c r="F2403" s="4561" t="n"/>
      <c r="G2403" s="4561" t="n"/>
      <c r="H2403" s="4561" t="n"/>
      <c r="I2403" s="4562">
        <f>XLOOKUP(B2403,'_Sys|Line_Map'!$A:$A,'_Sys|Line_Map'!$C:$C,"MISSING",0)</f>
        <v/>
      </c>
      <c r="J2403" s="4562">
        <f>XLOOKUP(B2403,'_Sys|Line_Map'!$A:$A,'_Sys|Line_Map'!$D:$D,1,0)</f>
        <v/>
      </c>
      <c r="K2403" s="4562">
        <f>IF(D2403="","",D2403*J2403)</f>
        <v/>
      </c>
      <c r="L2403" s="4562">
        <f>XLOOKUP(B2403,'_Sys|Line_Map'!$A:$A,'_Sys|Line_Map'!$B:$B,"MISSING",0)</f>
        <v/>
      </c>
    </row>
    <row r="2404">
      <c r="A2404" s="4561" t="n"/>
      <c r="B2404" s="4561" t="n"/>
      <c r="C2404" s="4561" t="n"/>
      <c r="D2404" s="4561" t="n"/>
      <c r="E2404" s="4561" t="n"/>
      <c r="F2404" s="4561" t="n"/>
      <c r="G2404" s="4561" t="n"/>
      <c r="H2404" s="4561" t="n"/>
      <c r="I2404" s="4562">
        <f>XLOOKUP(B2404,'_Sys|Line_Map'!$A:$A,'_Sys|Line_Map'!$C:$C,"MISSING",0)</f>
        <v/>
      </c>
      <c r="J2404" s="4562">
        <f>XLOOKUP(B2404,'_Sys|Line_Map'!$A:$A,'_Sys|Line_Map'!$D:$D,1,0)</f>
        <v/>
      </c>
      <c r="K2404" s="4562">
        <f>IF(D2404="","",D2404*J2404)</f>
        <v/>
      </c>
      <c r="L2404" s="4562">
        <f>XLOOKUP(B2404,'_Sys|Line_Map'!$A:$A,'_Sys|Line_Map'!$B:$B,"MISSING",0)</f>
        <v/>
      </c>
    </row>
    <row r="2405">
      <c r="A2405" s="4561" t="n"/>
      <c r="B2405" s="4561" t="n"/>
      <c r="C2405" s="4561" t="n"/>
      <c r="D2405" s="4561" t="n"/>
      <c r="E2405" s="4561" t="n"/>
      <c r="F2405" s="4561" t="n"/>
      <c r="G2405" s="4561" t="n"/>
      <c r="H2405" s="4561" t="n"/>
      <c r="I2405" s="4562">
        <f>XLOOKUP(B2405,'_Sys|Line_Map'!$A:$A,'_Sys|Line_Map'!$C:$C,"MISSING",0)</f>
        <v/>
      </c>
      <c r="J2405" s="4562">
        <f>XLOOKUP(B2405,'_Sys|Line_Map'!$A:$A,'_Sys|Line_Map'!$D:$D,1,0)</f>
        <v/>
      </c>
      <c r="K2405" s="4562">
        <f>IF(D2405="","",D2405*J2405)</f>
        <v/>
      </c>
      <c r="L2405" s="4562">
        <f>XLOOKUP(B2405,'_Sys|Line_Map'!$A:$A,'_Sys|Line_Map'!$B:$B,"MISSING",0)</f>
        <v/>
      </c>
    </row>
    <row r="2406">
      <c r="A2406" s="4561" t="n"/>
      <c r="B2406" s="4561" t="n"/>
      <c r="C2406" s="4561" t="n"/>
      <c r="D2406" s="4561" t="n"/>
      <c r="E2406" s="4561" t="n"/>
      <c r="F2406" s="4561" t="n"/>
      <c r="G2406" s="4561" t="n"/>
      <c r="H2406" s="4561" t="n"/>
      <c r="I2406" s="4562">
        <f>XLOOKUP(B2406,'_Sys|Line_Map'!$A:$A,'_Sys|Line_Map'!$C:$C,"MISSING",0)</f>
        <v/>
      </c>
      <c r="J2406" s="4562">
        <f>XLOOKUP(B2406,'_Sys|Line_Map'!$A:$A,'_Sys|Line_Map'!$D:$D,1,0)</f>
        <v/>
      </c>
      <c r="K2406" s="4562">
        <f>IF(D2406="","",D2406*J2406)</f>
        <v/>
      </c>
      <c r="L2406" s="4562">
        <f>XLOOKUP(B2406,'_Sys|Line_Map'!$A:$A,'_Sys|Line_Map'!$B:$B,"MISSING",0)</f>
        <v/>
      </c>
    </row>
    <row r="2407">
      <c r="A2407" s="4561" t="n"/>
      <c r="B2407" s="4561" t="n"/>
      <c r="C2407" s="4561" t="n"/>
      <c r="D2407" s="4561" t="n"/>
      <c r="E2407" s="4561" t="n"/>
      <c r="F2407" s="4561" t="n"/>
      <c r="G2407" s="4561" t="n"/>
      <c r="H2407" s="4561" t="n"/>
      <c r="I2407" s="4562">
        <f>XLOOKUP(B2407,'_Sys|Line_Map'!$A:$A,'_Sys|Line_Map'!$C:$C,"MISSING",0)</f>
        <v/>
      </c>
      <c r="J2407" s="4562">
        <f>XLOOKUP(B2407,'_Sys|Line_Map'!$A:$A,'_Sys|Line_Map'!$D:$D,1,0)</f>
        <v/>
      </c>
      <c r="K2407" s="4562">
        <f>IF(D2407="","",D2407*J2407)</f>
        <v/>
      </c>
      <c r="L2407" s="4562">
        <f>XLOOKUP(B2407,'_Sys|Line_Map'!$A:$A,'_Sys|Line_Map'!$B:$B,"MISSING",0)</f>
        <v/>
      </c>
    </row>
    <row r="2408">
      <c r="A2408" s="4561" t="n"/>
      <c r="B2408" s="4561" t="n"/>
      <c r="C2408" s="4561" t="n"/>
      <c r="D2408" s="4561" t="n"/>
      <c r="E2408" s="4561" t="n"/>
      <c r="F2408" s="4561" t="n"/>
      <c r="G2408" s="4561" t="n"/>
      <c r="H2408" s="4561" t="n"/>
      <c r="I2408" s="4562">
        <f>XLOOKUP(B2408,'_Sys|Line_Map'!$A:$A,'_Sys|Line_Map'!$C:$C,"MISSING",0)</f>
        <v/>
      </c>
      <c r="J2408" s="4562">
        <f>XLOOKUP(B2408,'_Sys|Line_Map'!$A:$A,'_Sys|Line_Map'!$D:$D,1,0)</f>
        <v/>
      </c>
      <c r="K2408" s="4562">
        <f>IF(D2408="","",D2408*J2408)</f>
        <v/>
      </c>
      <c r="L2408" s="4562">
        <f>XLOOKUP(B2408,'_Sys|Line_Map'!$A:$A,'_Sys|Line_Map'!$B:$B,"MISSING",0)</f>
        <v/>
      </c>
    </row>
    <row r="2409">
      <c r="A2409" s="4561" t="n"/>
      <c r="B2409" s="4561" t="n"/>
      <c r="C2409" s="4561" t="n"/>
      <c r="D2409" s="4561" t="n"/>
      <c r="E2409" s="4561" t="n"/>
      <c r="F2409" s="4561" t="n"/>
      <c r="G2409" s="4561" t="n"/>
      <c r="H2409" s="4561" t="n"/>
      <c r="I2409" s="4562">
        <f>XLOOKUP(B2409,'_Sys|Line_Map'!$A:$A,'_Sys|Line_Map'!$C:$C,"MISSING",0)</f>
        <v/>
      </c>
      <c r="J2409" s="4562">
        <f>XLOOKUP(B2409,'_Sys|Line_Map'!$A:$A,'_Sys|Line_Map'!$D:$D,1,0)</f>
        <v/>
      </c>
      <c r="K2409" s="4562">
        <f>IF(D2409="","",D2409*J2409)</f>
        <v/>
      </c>
      <c r="L2409" s="4562">
        <f>XLOOKUP(B2409,'_Sys|Line_Map'!$A:$A,'_Sys|Line_Map'!$B:$B,"MISSING",0)</f>
        <v/>
      </c>
    </row>
    <row r="2410">
      <c r="A2410" s="4561" t="n"/>
      <c r="B2410" s="4561" t="n"/>
      <c r="C2410" s="4561" t="n"/>
      <c r="D2410" s="4561" t="n"/>
      <c r="E2410" s="4561" t="n"/>
      <c r="F2410" s="4561" t="n"/>
      <c r="G2410" s="4561" t="n"/>
      <c r="H2410" s="4561" t="n"/>
      <c r="I2410" s="4562">
        <f>XLOOKUP(B2410,'_Sys|Line_Map'!$A:$A,'_Sys|Line_Map'!$C:$C,"MISSING",0)</f>
        <v/>
      </c>
      <c r="J2410" s="4562">
        <f>XLOOKUP(B2410,'_Sys|Line_Map'!$A:$A,'_Sys|Line_Map'!$D:$D,1,0)</f>
        <v/>
      </c>
      <c r="K2410" s="4562">
        <f>IF(D2410="","",D2410*J2410)</f>
        <v/>
      </c>
      <c r="L2410" s="4562">
        <f>XLOOKUP(B2410,'_Sys|Line_Map'!$A:$A,'_Sys|Line_Map'!$B:$B,"MISSING",0)</f>
        <v/>
      </c>
    </row>
    <row r="2411">
      <c r="A2411" s="4561" t="n"/>
      <c r="B2411" s="4561" t="n"/>
      <c r="C2411" s="4561" t="n"/>
      <c r="D2411" s="4561" t="n"/>
      <c r="E2411" s="4561" t="n"/>
      <c r="F2411" s="4561" t="n"/>
      <c r="G2411" s="4561" t="n"/>
      <c r="H2411" s="4561" t="n"/>
      <c r="I2411" s="4562">
        <f>XLOOKUP(B2411,'_Sys|Line_Map'!$A:$A,'_Sys|Line_Map'!$C:$C,"MISSING",0)</f>
        <v/>
      </c>
      <c r="J2411" s="4562">
        <f>XLOOKUP(B2411,'_Sys|Line_Map'!$A:$A,'_Sys|Line_Map'!$D:$D,1,0)</f>
        <v/>
      </c>
      <c r="K2411" s="4562">
        <f>IF(D2411="","",D2411*J2411)</f>
        <v/>
      </c>
      <c r="L2411" s="4562">
        <f>XLOOKUP(B2411,'_Sys|Line_Map'!$A:$A,'_Sys|Line_Map'!$B:$B,"MISSING",0)</f>
        <v/>
      </c>
    </row>
    <row r="2412">
      <c r="A2412" s="4561" t="n"/>
      <c r="B2412" s="4561" t="n"/>
      <c r="C2412" s="4561" t="n"/>
      <c r="D2412" s="4561" t="n"/>
      <c r="E2412" s="4561" t="n"/>
      <c r="F2412" s="4561" t="n"/>
      <c r="G2412" s="4561" t="n"/>
      <c r="H2412" s="4561" t="n"/>
      <c r="I2412" s="4562">
        <f>XLOOKUP(B2412,'_Sys|Line_Map'!$A:$A,'_Sys|Line_Map'!$C:$C,"MISSING",0)</f>
        <v/>
      </c>
      <c r="J2412" s="4562">
        <f>XLOOKUP(B2412,'_Sys|Line_Map'!$A:$A,'_Sys|Line_Map'!$D:$D,1,0)</f>
        <v/>
      </c>
      <c r="K2412" s="4562">
        <f>IF(D2412="","",D2412*J2412)</f>
        <v/>
      </c>
      <c r="L2412" s="4562">
        <f>XLOOKUP(B2412,'_Sys|Line_Map'!$A:$A,'_Sys|Line_Map'!$B:$B,"MISSING",0)</f>
        <v/>
      </c>
    </row>
    <row r="2413">
      <c r="A2413" s="4561" t="n"/>
      <c r="B2413" s="4561" t="n"/>
      <c r="C2413" s="4561" t="n"/>
      <c r="D2413" s="4561" t="n"/>
      <c r="E2413" s="4561" t="n"/>
      <c r="F2413" s="4561" t="n"/>
      <c r="G2413" s="4561" t="n"/>
      <c r="H2413" s="4561" t="n"/>
      <c r="I2413" s="4562">
        <f>XLOOKUP(B2413,'_Sys|Line_Map'!$A:$A,'_Sys|Line_Map'!$C:$C,"MISSING",0)</f>
        <v/>
      </c>
      <c r="J2413" s="4562">
        <f>XLOOKUP(B2413,'_Sys|Line_Map'!$A:$A,'_Sys|Line_Map'!$D:$D,1,0)</f>
        <v/>
      </c>
      <c r="K2413" s="4562">
        <f>IF(D2413="","",D2413*J2413)</f>
        <v/>
      </c>
      <c r="L2413" s="4562">
        <f>XLOOKUP(B2413,'_Sys|Line_Map'!$A:$A,'_Sys|Line_Map'!$B:$B,"MISSING",0)</f>
        <v/>
      </c>
    </row>
    <row r="2414">
      <c r="A2414" s="4561" t="n"/>
      <c r="B2414" s="4561" t="n"/>
      <c r="C2414" s="4561" t="n"/>
      <c r="D2414" s="4561" t="n"/>
      <c r="E2414" s="4561" t="n"/>
      <c r="F2414" s="4561" t="n"/>
      <c r="G2414" s="4561" t="n"/>
      <c r="H2414" s="4561" t="n"/>
      <c r="I2414" s="4562">
        <f>XLOOKUP(B2414,'_Sys|Line_Map'!$A:$A,'_Sys|Line_Map'!$C:$C,"MISSING",0)</f>
        <v/>
      </c>
      <c r="J2414" s="4562">
        <f>XLOOKUP(B2414,'_Sys|Line_Map'!$A:$A,'_Sys|Line_Map'!$D:$D,1,0)</f>
        <v/>
      </c>
      <c r="K2414" s="4562">
        <f>IF(D2414="","",D2414*J2414)</f>
        <v/>
      </c>
      <c r="L2414" s="4562">
        <f>XLOOKUP(B2414,'_Sys|Line_Map'!$A:$A,'_Sys|Line_Map'!$B:$B,"MISSING",0)</f>
        <v/>
      </c>
    </row>
    <row r="2415">
      <c r="A2415" s="4561" t="n"/>
      <c r="B2415" s="4561" t="n"/>
      <c r="C2415" s="4561" t="n"/>
      <c r="D2415" s="4561" t="n"/>
      <c r="E2415" s="4561" t="n"/>
      <c r="F2415" s="4561" t="n"/>
      <c r="G2415" s="4561" t="n"/>
      <c r="H2415" s="4561" t="n"/>
      <c r="I2415" s="4562">
        <f>XLOOKUP(B2415,'_Sys|Line_Map'!$A:$A,'_Sys|Line_Map'!$C:$C,"MISSING",0)</f>
        <v/>
      </c>
      <c r="J2415" s="4562">
        <f>XLOOKUP(B2415,'_Sys|Line_Map'!$A:$A,'_Sys|Line_Map'!$D:$D,1,0)</f>
        <v/>
      </c>
      <c r="K2415" s="4562">
        <f>IF(D2415="","",D2415*J2415)</f>
        <v/>
      </c>
      <c r="L2415" s="4562">
        <f>XLOOKUP(B2415,'_Sys|Line_Map'!$A:$A,'_Sys|Line_Map'!$B:$B,"MISSING",0)</f>
        <v/>
      </c>
    </row>
    <row r="2416">
      <c r="A2416" s="4561" t="n"/>
      <c r="B2416" s="4561" t="n"/>
      <c r="C2416" s="4561" t="n"/>
      <c r="D2416" s="4561" t="n"/>
      <c r="E2416" s="4561" t="n"/>
      <c r="F2416" s="4561" t="n"/>
      <c r="G2416" s="4561" t="n"/>
      <c r="H2416" s="4561" t="n"/>
      <c r="I2416" s="4562">
        <f>XLOOKUP(B2416,'_Sys|Line_Map'!$A:$A,'_Sys|Line_Map'!$C:$C,"MISSING",0)</f>
        <v/>
      </c>
      <c r="J2416" s="4562">
        <f>XLOOKUP(B2416,'_Sys|Line_Map'!$A:$A,'_Sys|Line_Map'!$D:$D,1,0)</f>
        <v/>
      </c>
      <c r="K2416" s="4562">
        <f>IF(D2416="","",D2416*J2416)</f>
        <v/>
      </c>
      <c r="L2416" s="4562">
        <f>XLOOKUP(B2416,'_Sys|Line_Map'!$A:$A,'_Sys|Line_Map'!$B:$B,"MISSING",0)</f>
        <v/>
      </c>
    </row>
    <row r="2417">
      <c r="A2417" s="4561" t="n"/>
      <c r="B2417" s="4561" t="n"/>
      <c r="C2417" s="4561" t="n"/>
      <c r="D2417" s="4561" t="n"/>
      <c r="E2417" s="4561" t="n"/>
      <c r="F2417" s="4561" t="n"/>
      <c r="G2417" s="4561" t="n"/>
      <c r="H2417" s="4561" t="n"/>
      <c r="I2417" s="4562">
        <f>XLOOKUP(B2417,'_Sys|Line_Map'!$A:$A,'_Sys|Line_Map'!$C:$C,"MISSING",0)</f>
        <v/>
      </c>
      <c r="J2417" s="4562">
        <f>XLOOKUP(B2417,'_Sys|Line_Map'!$A:$A,'_Sys|Line_Map'!$D:$D,1,0)</f>
        <v/>
      </c>
      <c r="K2417" s="4562">
        <f>IF(D2417="","",D2417*J2417)</f>
        <v/>
      </c>
      <c r="L2417" s="4562">
        <f>XLOOKUP(B2417,'_Sys|Line_Map'!$A:$A,'_Sys|Line_Map'!$B:$B,"MISSING",0)</f>
        <v/>
      </c>
    </row>
    <row r="2418">
      <c r="A2418" s="4561" t="n"/>
      <c r="B2418" s="4561" t="n"/>
      <c r="C2418" s="4561" t="n"/>
      <c r="D2418" s="4561" t="n"/>
      <c r="E2418" s="4561" t="n"/>
      <c r="F2418" s="4561" t="n"/>
      <c r="G2418" s="4561" t="n"/>
      <c r="H2418" s="4561" t="n"/>
      <c r="I2418" s="4562">
        <f>XLOOKUP(B2418,'_Sys|Line_Map'!$A:$A,'_Sys|Line_Map'!$C:$C,"MISSING",0)</f>
        <v/>
      </c>
      <c r="J2418" s="4562">
        <f>XLOOKUP(B2418,'_Sys|Line_Map'!$A:$A,'_Sys|Line_Map'!$D:$D,1,0)</f>
        <v/>
      </c>
      <c r="K2418" s="4562">
        <f>IF(D2418="","",D2418*J2418)</f>
        <v/>
      </c>
      <c r="L2418" s="4562">
        <f>XLOOKUP(B2418,'_Sys|Line_Map'!$A:$A,'_Sys|Line_Map'!$B:$B,"MISSING",0)</f>
        <v/>
      </c>
    </row>
    <row r="2419">
      <c r="A2419" s="4561" t="n"/>
      <c r="B2419" s="4561" t="n"/>
      <c r="C2419" s="4561" t="n"/>
      <c r="D2419" s="4561" t="n"/>
      <c r="E2419" s="4561" t="n"/>
      <c r="F2419" s="4561" t="n"/>
      <c r="G2419" s="4561" t="n"/>
      <c r="H2419" s="4561" t="n"/>
      <c r="I2419" s="4562">
        <f>XLOOKUP(B2419,'_Sys|Line_Map'!$A:$A,'_Sys|Line_Map'!$C:$C,"MISSING",0)</f>
        <v/>
      </c>
      <c r="J2419" s="4562">
        <f>XLOOKUP(B2419,'_Sys|Line_Map'!$A:$A,'_Sys|Line_Map'!$D:$D,1,0)</f>
        <v/>
      </c>
      <c r="K2419" s="4562">
        <f>IF(D2419="","",D2419*J2419)</f>
        <v/>
      </c>
      <c r="L2419" s="4562">
        <f>XLOOKUP(B2419,'_Sys|Line_Map'!$A:$A,'_Sys|Line_Map'!$B:$B,"MISSING",0)</f>
        <v/>
      </c>
    </row>
    <row r="2420">
      <c r="A2420" s="4561" t="n"/>
      <c r="B2420" s="4561" t="n"/>
      <c r="C2420" s="4561" t="n"/>
      <c r="D2420" s="4561" t="n"/>
      <c r="E2420" s="4561" t="n"/>
      <c r="F2420" s="4561" t="n"/>
      <c r="G2420" s="4561" t="n"/>
      <c r="H2420" s="4561" t="n"/>
      <c r="I2420" s="4562">
        <f>XLOOKUP(B2420,'_Sys|Line_Map'!$A:$A,'_Sys|Line_Map'!$C:$C,"MISSING",0)</f>
        <v/>
      </c>
      <c r="J2420" s="4562">
        <f>XLOOKUP(B2420,'_Sys|Line_Map'!$A:$A,'_Sys|Line_Map'!$D:$D,1,0)</f>
        <v/>
      </c>
      <c r="K2420" s="4562">
        <f>IF(D2420="","",D2420*J2420)</f>
        <v/>
      </c>
      <c r="L2420" s="4562">
        <f>XLOOKUP(B2420,'_Sys|Line_Map'!$A:$A,'_Sys|Line_Map'!$B:$B,"MISSING",0)</f>
        <v/>
      </c>
    </row>
    <row r="2421">
      <c r="A2421" s="4561" t="n"/>
      <c r="B2421" s="4561" t="n"/>
      <c r="C2421" s="4561" t="n"/>
      <c r="D2421" s="4561" t="n"/>
      <c r="E2421" s="4561" t="n"/>
      <c r="F2421" s="4561" t="n"/>
      <c r="G2421" s="4561" t="n"/>
      <c r="H2421" s="4561" t="n"/>
      <c r="I2421" s="4562">
        <f>XLOOKUP(B2421,'_Sys|Line_Map'!$A:$A,'_Sys|Line_Map'!$C:$C,"MISSING",0)</f>
        <v/>
      </c>
      <c r="J2421" s="4562">
        <f>XLOOKUP(B2421,'_Sys|Line_Map'!$A:$A,'_Sys|Line_Map'!$D:$D,1,0)</f>
        <v/>
      </c>
      <c r="K2421" s="4562">
        <f>IF(D2421="","",D2421*J2421)</f>
        <v/>
      </c>
      <c r="L2421" s="4562">
        <f>XLOOKUP(B2421,'_Sys|Line_Map'!$A:$A,'_Sys|Line_Map'!$B:$B,"MISSING",0)</f>
        <v/>
      </c>
    </row>
    <row r="2422">
      <c r="A2422" s="4561" t="n"/>
      <c r="B2422" s="4561" t="n"/>
      <c r="C2422" s="4561" t="n"/>
      <c r="D2422" s="4561" t="n"/>
      <c r="E2422" s="4561" t="n"/>
      <c r="F2422" s="4561" t="n"/>
      <c r="G2422" s="4561" t="n"/>
      <c r="H2422" s="4561" t="n"/>
      <c r="I2422" s="4562">
        <f>XLOOKUP(B2422,'_Sys|Line_Map'!$A:$A,'_Sys|Line_Map'!$C:$C,"MISSING",0)</f>
        <v/>
      </c>
      <c r="J2422" s="4562">
        <f>XLOOKUP(B2422,'_Sys|Line_Map'!$A:$A,'_Sys|Line_Map'!$D:$D,1,0)</f>
        <v/>
      </c>
      <c r="K2422" s="4562">
        <f>IF(D2422="","",D2422*J2422)</f>
        <v/>
      </c>
      <c r="L2422" s="4562">
        <f>XLOOKUP(B2422,'_Sys|Line_Map'!$A:$A,'_Sys|Line_Map'!$B:$B,"MISSING",0)</f>
        <v/>
      </c>
    </row>
    <row r="2423">
      <c r="A2423" s="4561" t="n"/>
      <c r="B2423" s="4561" t="n"/>
      <c r="C2423" s="4561" t="n"/>
      <c r="D2423" s="4561" t="n"/>
      <c r="E2423" s="4561" t="n"/>
      <c r="F2423" s="4561" t="n"/>
      <c r="G2423" s="4561" t="n"/>
      <c r="H2423" s="4561" t="n"/>
      <c r="I2423" s="4562">
        <f>XLOOKUP(B2423,'_Sys|Line_Map'!$A:$A,'_Sys|Line_Map'!$C:$C,"MISSING",0)</f>
        <v/>
      </c>
      <c r="J2423" s="4562">
        <f>XLOOKUP(B2423,'_Sys|Line_Map'!$A:$A,'_Sys|Line_Map'!$D:$D,1,0)</f>
        <v/>
      </c>
      <c r="K2423" s="4562">
        <f>IF(D2423="","",D2423*J2423)</f>
        <v/>
      </c>
      <c r="L2423" s="4562">
        <f>XLOOKUP(B2423,'_Sys|Line_Map'!$A:$A,'_Sys|Line_Map'!$B:$B,"MISSING",0)</f>
        <v/>
      </c>
    </row>
    <row r="2424">
      <c r="A2424" s="4561" t="n"/>
      <c r="B2424" s="4561" t="n"/>
      <c r="C2424" s="4561" t="n"/>
      <c r="D2424" s="4561" t="n"/>
      <c r="E2424" s="4561" t="n"/>
      <c r="F2424" s="4561" t="n"/>
      <c r="G2424" s="4561" t="n"/>
      <c r="H2424" s="4561" t="n"/>
      <c r="I2424" s="4562">
        <f>XLOOKUP(B2424,'_Sys|Line_Map'!$A:$A,'_Sys|Line_Map'!$C:$C,"MISSING",0)</f>
        <v/>
      </c>
      <c r="J2424" s="4562">
        <f>XLOOKUP(B2424,'_Sys|Line_Map'!$A:$A,'_Sys|Line_Map'!$D:$D,1,0)</f>
        <v/>
      </c>
      <c r="K2424" s="4562">
        <f>IF(D2424="","",D2424*J2424)</f>
        <v/>
      </c>
      <c r="L2424" s="4562">
        <f>XLOOKUP(B2424,'_Sys|Line_Map'!$A:$A,'_Sys|Line_Map'!$B:$B,"MISSING",0)</f>
        <v/>
      </c>
    </row>
    <row r="2425">
      <c r="A2425" s="4561" t="n"/>
      <c r="B2425" s="4561" t="n"/>
      <c r="C2425" s="4561" t="n"/>
      <c r="D2425" s="4561" t="n"/>
      <c r="E2425" s="4561" t="n"/>
      <c r="F2425" s="4561" t="n"/>
      <c r="G2425" s="4561" t="n"/>
      <c r="H2425" s="4561" t="n"/>
      <c r="I2425" s="4562">
        <f>XLOOKUP(B2425,'_Sys|Line_Map'!$A:$A,'_Sys|Line_Map'!$C:$C,"MISSING",0)</f>
        <v/>
      </c>
      <c r="J2425" s="4562">
        <f>XLOOKUP(B2425,'_Sys|Line_Map'!$A:$A,'_Sys|Line_Map'!$D:$D,1,0)</f>
        <v/>
      </c>
      <c r="K2425" s="4562">
        <f>IF(D2425="","",D2425*J2425)</f>
        <v/>
      </c>
      <c r="L2425" s="4562">
        <f>XLOOKUP(B2425,'_Sys|Line_Map'!$A:$A,'_Sys|Line_Map'!$B:$B,"MISSING",0)</f>
        <v/>
      </c>
    </row>
    <row r="2426">
      <c r="A2426" s="4561" t="n"/>
      <c r="B2426" s="4561" t="n"/>
      <c r="C2426" s="4561" t="n"/>
      <c r="D2426" s="4561" t="n"/>
      <c r="E2426" s="4561" t="n"/>
      <c r="F2426" s="4561" t="n"/>
      <c r="G2426" s="4561" t="n"/>
      <c r="H2426" s="4561" t="n"/>
      <c r="I2426" s="4562">
        <f>XLOOKUP(B2426,'_Sys|Line_Map'!$A:$A,'_Sys|Line_Map'!$C:$C,"MISSING",0)</f>
        <v/>
      </c>
      <c r="J2426" s="4562">
        <f>XLOOKUP(B2426,'_Sys|Line_Map'!$A:$A,'_Sys|Line_Map'!$D:$D,1,0)</f>
        <v/>
      </c>
      <c r="K2426" s="4562">
        <f>IF(D2426="","",D2426*J2426)</f>
        <v/>
      </c>
      <c r="L2426" s="4562">
        <f>XLOOKUP(B2426,'_Sys|Line_Map'!$A:$A,'_Sys|Line_Map'!$B:$B,"MISSING",0)</f>
        <v/>
      </c>
    </row>
    <row r="2427">
      <c r="A2427" s="4561" t="n"/>
      <c r="B2427" s="4561" t="n"/>
      <c r="C2427" s="4561" t="n"/>
      <c r="D2427" s="4561" t="n"/>
      <c r="E2427" s="4561" t="n"/>
      <c r="F2427" s="4561" t="n"/>
      <c r="G2427" s="4561" t="n"/>
      <c r="H2427" s="4561" t="n"/>
      <c r="I2427" s="4562">
        <f>XLOOKUP(B2427,'_Sys|Line_Map'!$A:$A,'_Sys|Line_Map'!$C:$C,"MISSING",0)</f>
        <v/>
      </c>
      <c r="J2427" s="4562">
        <f>XLOOKUP(B2427,'_Sys|Line_Map'!$A:$A,'_Sys|Line_Map'!$D:$D,1,0)</f>
        <v/>
      </c>
      <c r="K2427" s="4562">
        <f>IF(D2427="","",D2427*J2427)</f>
        <v/>
      </c>
      <c r="L2427" s="4562">
        <f>XLOOKUP(B2427,'_Sys|Line_Map'!$A:$A,'_Sys|Line_Map'!$B:$B,"MISSING",0)</f>
        <v/>
      </c>
    </row>
    <row r="2428">
      <c r="A2428" s="4561" t="n"/>
      <c r="B2428" s="4561" t="n"/>
      <c r="C2428" s="4561" t="n"/>
      <c r="D2428" s="4561" t="n"/>
      <c r="E2428" s="4561" t="n"/>
      <c r="F2428" s="4561" t="n"/>
      <c r="G2428" s="4561" t="n"/>
      <c r="H2428" s="4561" t="n"/>
      <c r="I2428" s="4562">
        <f>XLOOKUP(B2428,'_Sys|Line_Map'!$A:$A,'_Sys|Line_Map'!$C:$C,"MISSING",0)</f>
        <v/>
      </c>
      <c r="J2428" s="4562">
        <f>XLOOKUP(B2428,'_Sys|Line_Map'!$A:$A,'_Sys|Line_Map'!$D:$D,1,0)</f>
        <v/>
      </c>
      <c r="K2428" s="4562">
        <f>IF(D2428="","",D2428*J2428)</f>
        <v/>
      </c>
      <c r="L2428" s="4562">
        <f>XLOOKUP(B2428,'_Sys|Line_Map'!$A:$A,'_Sys|Line_Map'!$B:$B,"MISSING",0)</f>
        <v/>
      </c>
    </row>
    <row r="2429">
      <c r="A2429" s="4561" t="n"/>
      <c r="B2429" s="4561" t="n"/>
      <c r="C2429" s="4561" t="n"/>
      <c r="D2429" s="4561" t="n"/>
      <c r="E2429" s="4561" t="n"/>
      <c r="F2429" s="4561" t="n"/>
      <c r="G2429" s="4561" t="n"/>
      <c r="H2429" s="4561" t="n"/>
      <c r="I2429" s="4562">
        <f>XLOOKUP(B2429,'_Sys|Line_Map'!$A:$A,'_Sys|Line_Map'!$C:$C,"MISSING",0)</f>
        <v/>
      </c>
      <c r="J2429" s="4562">
        <f>XLOOKUP(B2429,'_Sys|Line_Map'!$A:$A,'_Sys|Line_Map'!$D:$D,1,0)</f>
        <v/>
      </c>
      <c r="K2429" s="4562">
        <f>IF(D2429="","",D2429*J2429)</f>
        <v/>
      </c>
      <c r="L2429" s="4562">
        <f>XLOOKUP(B2429,'_Sys|Line_Map'!$A:$A,'_Sys|Line_Map'!$B:$B,"MISSING",0)</f>
        <v/>
      </c>
    </row>
    <row r="2430">
      <c r="A2430" s="4561" t="n"/>
      <c r="B2430" s="4561" t="n"/>
      <c r="C2430" s="4561" t="n"/>
      <c r="D2430" s="4561" t="n"/>
      <c r="E2430" s="4561" t="n"/>
      <c r="F2430" s="4561" t="n"/>
      <c r="G2430" s="4561" t="n"/>
      <c r="H2430" s="4561" t="n"/>
      <c r="I2430" s="4562">
        <f>XLOOKUP(B2430,'_Sys|Line_Map'!$A:$A,'_Sys|Line_Map'!$C:$C,"MISSING",0)</f>
        <v/>
      </c>
      <c r="J2430" s="4562">
        <f>XLOOKUP(B2430,'_Sys|Line_Map'!$A:$A,'_Sys|Line_Map'!$D:$D,1,0)</f>
        <v/>
      </c>
      <c r="K2430" s="4562">
        <f>IF(D2430="","",D2430*J2430)</f>
        <v/>
      </c>
      <c r="L2430" s="4562">
        <f>XLOOKUP(B2430,'_Sys|Line_Map'!$A:$A,'_Sys|Line_Map'!$B:$B,"MISSING",0)</f>
        <v/>
      </c>
    </row>
    <row r="2431">
      <c r="A2431" s="4561" t="n"/>
      <c r="B2431" s="4561" t="n"/>
      <c r="C2431" s="4561" t="n"/>
      <c r="D2431" s="4561" t="n"/>
      <c r="E2431" s="4561" t="n"/>
      <c r="F2431" s="4561" t="n"/>
      <c r="G2431" s="4561" t="n"/>
      <c r="H2431" s="4561" t="n"/>
      <c r="I2431" s="4562">
        <f>XLOOKUP(B2431,'_Sys|Line_Map'!$A:$A,'_Sys|Line_Map'!$C:$C,"MISSING",0)</f>
        <v/>
      </c>
      <c r="J2431" s="4562">
        <f>XLOOKUP(B2431,'_Sys|Line_Map'!$A:$A,'_Sys|Line_Map'!$D:$D,1,0)</f>
        <v/>
      </c>
      <c r="K2431" s="4562">
        <f>IF(D2431="","",D2431*J2431)</f>
        <v/>
      </c>
      <c r="L2431" s="4562">
        <f>XLOOKUP(B2431,'_Sys|Line_Map'!$A:$A,'_Sys|Line_Map'!$B:$B,"MISSING",0)</f>
        <v/>
      </c>
    </row>
    <row r="2432">
      <c r="A2432" s="4561" t="n"/>
      <c r="B2432" s="4561" t="n"/>
      <c r="C2432" s="4561" t="n"/>
      <c r="D2432" s="4561" t="n"/>
      <c r="E2432" s="4561" t="n"/>
      <c r="F2432" s="4561" t="n"/>
      <c r="G2432" s="4561" t="n"/>
      <c r="H2432" s="4561" t="n"/>
      <c r="I2432" s="4562">
        <f>XLOOKUP(B2432,'_Sys|Line_Map'!$A:$A,'_Sys|Line_Map'!$C:$C,"MISSING",0)</f>
        <v/>
      </c>
      <c r="J2432" s="4562">
        <f>XLOOKUP(B2432,'_Sys|Line_Map'!$A:$A,'_Sys|Line_Map'!$D:$D,1,0)</f>
        <v/>
      </c>
      <c r="K2432" s="4562">
        <f>IF(D2432="","",D2432*J2432)</f>
        <v/>
      </c>
      <c r="L2432" s="4562">
        <f>XLOOKUP(B2432,'_Sys|Line_Map'!$A:$A,'_Sys|Line_Map'!$B:$B,"MISSING",0)</f>
        <v/>
      </c>
    </row>
    <row r="2433">
      <c r="A2433" s="4561" t="n"/>
      <c r="B2433" s="4561" t="n"/>
      <c r="C2433" s="4561" t="n"/>
      <c r="D2433" s="4561" t="n"/>
      <c r="E2433" s="4561" t="n"/>
      <c r="F2433" s="4561" t="n"/>
      <c r="G2433" s="4561" t="n"/>
      <c r="H2433" s="4561" t="n"/>
      <c r="I2433" s="4562">
        <f>XLOOKUP(B2433,'_Sys|Line_Map'!$A:$A,'_Sys|Line_Map'!$C:$C,"MISSING",0)</f>
        <v/>
      </c>
      <c r="J2433" s="4562">
        <f>XLOOKUP(B2433,'_Sys|Line_Map'!$A:$A,'_Sys|Line_Map'!$D:$D,1,0)</f>
        <v/>
      </c>
      <c r="K2433" s="4562">
        <f>IF(D2433="","",D2433*J2433)</f>
        <v/>
      </c>
      <c r="L2433" s="4562">
        <f>XLOOKUP(B2433,'_Sys|Line_Map'!$A:$A,'_Sys|Line_Map'!$B:$B,"MISSING",0)</f>
        <v/>
      </c>
    </row>
    <row r="2434">
      <c r="A2434" s="4561" t="n"/>
      <c r="B2434" s="4561" t="n"/>
      <c r="C2434" s="4561" t="n"/>
      <c r="D2434" s="4561" t="n"/>
      <c r="E2434" s="4561" t="n"/>
      <c r="F2434" s="4561" t="n"/>
      <c r="G2434" s="4561" t="n"/>
      <c r="H2434" s="4561" t="n"/>
      <c r="I2434" s="4562">
        <f>XLOOKUP(B2434,'_Sys|Line_Map'!$A:$A,'_Sys|Line_Map'!$C:$C,"MISSING",0)</f>
        <v/>
      </c>
      <c r="J2434" s="4562">
        <f>XLOOKUP(B2434,'_Sys|Line_Map'!$A:$A,'_Sys|Line_Map'!$D:$D,1,0)</f>
        <v/>
      </c>
      <c r="K2434" s="4562">
        <f>IF(D2434="","",D2434*J2434)</f>
        <v/>
      </c>
      <c r="L2434" s="4562">
        <f>XLOOKUP(B2434,'_Sys|Line_Map'!$A:$A,'_Sys|Line_Map'!$B:$B,"MISSING",0)</f>
        <v/>
      </c>
    </row>
    <row r="2435">
      <c r="A2435" s="4561" t="n"/>
      <c r="B2435" s="4561" t="n"/>
      <c r="C2435" s="4561" t="n"/>
      <c r="D2435" s="4561" t="n"/>
      <c r="E2435" s="4561" t="n"/>
      <c r="F2435" s="4561" t="n"/>
      <c r="G2435" s="4561" t="n"/>
      <c r="H2435" s="4561" t="n"/>
      <c r="I2435" s="4562">
        <f>XLOOKUP(B2435,'_Sys|Line_Map'!$A:$A,'_Sys|Line_Map'!$C:$C,"MISSING",0)</f>
        <v/>
      </c>
      <c r="J2435" s="4562">
        <f>XLOOKUP(B2435,'_Sys|Line_Map'!$A:$A,'_Sys|Line_Map'!$D:$D,1,0)</f>
        <v/>
      </c>
      <c r="K2435" s="4562">
        <f>IF(D2435="","",D2435*J2435)</f>
        <v/>
      </c>
      <c r="L2435" s="4562">
        <f>XLOOKUP(B2435,'_Sys|Line_Map'!$A:$A,'_Sys|Line_Map'!$B:$B,"MISSING",0)</f>
        <v/>
      </c>
    </row>
    <row r="2436">
      <c r="A2436" s="4561" t="n"/>
      <c r="B2436" s="4561" t="n"/>
      <c r="C2436" s="4561" t="n"/>
      <c r="D2436" s="4561" t="n"/>
      <c r="E2436" s="4561" t="n"/>
      <c r="F2436" s="4561" t="n"/>
      <c r="G2436" s="4561" t="n"/>
      <c r="H2436" s="4561" t="n"/>
      <c r="I2436" s="4562">
        <f>XLOOKUP(B2436,'_Sys|Line_Map'!$A:$A,'_Sys|Line_Map'!$C:$C,"MISSING",0)</f>
        <v/>
      </c>
      <c r="J2436" s="4562">
        <f>XLOOKUP(B2436,'_Sys|Line_Map'!$A:$A,'_Sys|Line_Map'!$D:$D,1,0)</f>
        <v/>
      </c>
      <c r="K2436" s="4562">
        <f>IF(D2436="","",D2436*J2436)</f>
        <v/>
      </c>
      <c r="L2436" s="4562">
        <f>XLOOKUP(B2436,'_Sys|Line_Map'!$A:$A,'_Sys|Line_Map'!$B:$B,"MISSING",0)</f>
        <v/>
      </c>
    </row>
    <row r="2437">
      <c r="A2437" s="4561" t="n"/>
      <c r="B2437" s="4561" t="n"/>
      <c r="C2437" s="4561" t="n"/>
      <c r="D2437" s="4561" t="n"/>
      <c r="E2437" s="4561" t="n"/>
      <c r="F2437" s="4561" t="n"/>
      <c r="G2437" s="4561" t="n"/>
      <c r="H2437" s="4561" t="n"/>
      <c r="I2437" s="4562">
        <f>XLOOKUP(B2437,'_Sys|Line_Map'!$A:$A,'_Sys|Line_Map'!$C:$C,"MISSING",0)</f>
        <v/>
      </c>
      <c r="J2437" s="4562">
        <f>XLOOKUP(B2437,'_Sys|Line_Map'!$A:$A,'_Sys|Line_Map'!$D:$D,1,0)</f>
        <v/>
      </c>
      <c r="K2437" s="4562">
        <f>IF(D2437="","",D2437*J2437)</f>
        <v/>
      </c>
      <c r="L2437" s="4562">
        <f>XLOOKUP(B2437,'_Sys|Line_Map'!$A:$A,'_Sys|Line_Map'!$B:$B,"MISSING",0)</f>
        <v/>
      </c>
    </row>
    <row r="2438">
      <c r="A2438" s="4561" t="n"/>
      <c r="B2438" s="4561" t="n"/>
      <c r="C2438" s="4561" t="n"/>
      <c r="D2438" s="4561" t="n"/>
      <c r="E2438" s="4561" t="n"/>
      <c r="F2438" s="4561" t="n"/>
      <c r="G2438" s="4561" t="n"/>
      <c r="H2438" s="4561" t="n"/>
      <c r="I2438" s="4562">
        <f>XLOOKUP(B2438,'_Sys|Line_Map'!$A:$A,'_Sys|Line_Map'!$C:$C,"MISSING",0)</f>
        <v/>
      </c>
      <c r="J2438" s="4562">
        <f>XLOOKUP(B2438,'_Sys|Line_Map'!$A:$A,'_Sys|Line_Map'!$D:$D,1,0)</f>
        <v/>
      </c>
      <c r="K2438" s="4562">
        <f>IF(D2438="","",D2438*J2438)</f>
        <v/>
      </c>
      <c r="L2438" s="4562">
        <f>XLOOKUP(B2438,'_Sys|Line_Map'!$A:$A,'_Sys|Line_Map'!$B:$B,"MISSING",0)</f>
        <v/>
      </c>
    </row>
    <row r="2439">
      <c r="A2439" s="4561" t="n"/>
      <c r="B2439" s="4561" t="n"/>
      <c r="C2439" s="4561" t="n"/>
      <c r="D2439" s="4561" t="n"/>
      <c r="E2439" s="4561" t="n"/>
      <c r="F2439" s="4561" t="n"/>
      <c r="G2439" s="4561" t="n"/>
      <c r="H2439" s="4561" t="n"/>
      <c r="I2439" s="4562">
        <f>XLOOKUP(B2439,'_Sys|Line_Map'!$A:$A,'_Sys|Line_Map'!$C:$C,"MISSING",0)</f>
        <v/>
      </c>
      <c r="J2439" s="4562">
        <f>XLOOKUP(B2439,'_Sys|Line_Map'!$A:$A,'_Sys|Line_Map'!$D:$D,1,0)</f>
        <v/>
      </c>
      <c r="K2439" s="4562">
        <f>IF(D2439="","",D2439*J2439)</f>
        <v/>
      </c>
      <c r="L2439" s="4562">
        <f>XLOOKUP(B2439,'_Sys|Line_Map'!$A:$A,'_Sys|Line_Map'!$B:$B,"MISSING",0)</f>
        <v/>
      </c>
    </row>
    <row r="2440">
      <c r="A2440" s="4561" t="n"/>
      <c r="B2440" s="4561" t="n"/>
      <c r="C2440" s="4561" t="n"/>
      <c r="D2440" s="4561" t="n"/>
      <c r="E2440" s="4561" t="n"/>
      <c r="F2440" s="4561" t="n"/>
      <c r="G2440" s="4561" t="n"/>
      <c r="H2440" s="4561" t="n"/>
      <c r="I2440" s="4562">
        <f>XLOOKUP(B2440,'_Sys|Line_Map'!$A:$A,'_Sys|Line_Map'!$C:$C,"MISSING",0)</f>
        <v/>
      </c>
      <c r="J2440" s="4562">
        <f>XLOOKUP(B2440,'_Sys|Line_Map'!$A:$A,'_Sys|Line_Map'!$D:$D,1,0)</f>
        <v/>
      </c>
      <c r="K2440" s="4562">
        <f>IF(D2440="","",D2440*J2440)</f>
        <v/>
      </c>
      <c r="L2440" s="4562">
        <f>XLOOKUP(B2440,'_Sys|Line_Map'!$A:$A,'_Sys|Line_Map'!$B:$B,"MISSING",0)</f>
        <v/>
      </c>
    </row>
    <row r="2441">
      <c r="A2441" s="4561" t="n"/>
      <c r="B2441" s="4561" t="n"/>
      <c r="C2441" s="4561" t="n"/>
      <c r="D2441" s="4561" t="n"/>
      <c r="E2441" s="4561" t="n"/>
      <c r="F2441" s="4561" t="n"/>
      <c r="G2441" s="4561" t="n"/>
      <c r="H2441" s="4561" t="n"/>
      <c r="I2441" s="4562">
        <f>XLOOKUP(B2441,'_Sys|Line_Map'!$A:$A,'_Sys|Line_Map'!$C:$C,"MISSING",0)</f>
        <v/>
      </c>
      <c r="J2441" s="4562">
        <f>XLOOKUP(B2441,'_Sys|Line_Map'!$A:$A,'_Sys|Line_Map'!$D:$D,1,0)</f>
        <v/>
      </c>
      <c r="K2441" s="4562">
        <f>IF(D2441="","",D2441*J2441)</f>
        <v/>
      </c>
      <c r="L2441" s="4562">
        <f>XLOOKUP(B2441,'_Sys|Line_Map'!$A:$A,'_Sys|Line_Map'!$B:$B,"MISSING",0)</f>
        <v/>
      </c>
    </row>
    <row r="2442">
      <c r="A2442" s="4561" t="n"/>
      <c r="B2442" s="4561" t="n"/>
      <c r="C2442" s="4561" t="n"/>
      <c r="D2442" s="4561" t="n"/>
      <c r="E2442" s="4561" t="n"/>
      <c r="F2442" s="4561" t="n"/>
      <c r="G2442" s="4561" t="n"/>
      <c r="H2442" s="4561" t="n"/>
      <c r="I2442" s="4562">
        <f>XLOOKUP(B2442,'_Sys|Line_Map'!$A:$A,'_Sys|Line_Map'!$C:$C,"MISSING",0)</f>
        <v/>
      </c>
      <c r="J2442" s="4562">
        <f>XLOOKUP(B2442,'_Sys|Line_Map'!$A:$A,'_Sys|Line_Map'!$D:$D,1,0)</f>
        <v/>
      </c>
      <c r="K2442" s="4562">
        <f>IF(D2442="","",D2442*J2442)</f>
        <v/>
      </c>
      <c r="L2442" s="4562">
        <f>XLOOKUP(B2442,'_Sys|Line_Map'!$A:$A,'_Sys|Line_Map'!$B:$B,"MISSING",0)</f>
        <v/>
      </c>
    </row>
    <row r="2443">
      <c r="A2443" s="4561" t="n"/>
      <c r="B2443" s="4561" t="n"/>
      <c r="C2443" s="4561" t="n"/>
      <c r="D2443" s="4561" t="n"/>
      <c r="E2443" s="4561" t="n"/>
      <c r="F2443" s="4561" t="n"/>
      <c r="G2443" s="4561" t="n"/>
      <c r="H2443" s="4561" t="n"/>
      <c r="I2443" s="4562">
        <f>XLOOKUP(B2443,'_Sys|Line_Map'!$A:$A,'_Sys|Line_Map'!$C:$C,"MISSING",0)</f>
        <v/>
      </c>
      <c r="J2443" s="4562">
        <f>XLOOKUP(B2443,'_Sys|Line_Map'!$A:$A,'_Sys|Line_Map'!$D:$D,1,0)</f>
        <v/>
      </c>
      <c r="K2443" s="4562">
        <f>IF(D2443="","",D2443*J2443)</f>
        <v/>
      </c>
      <c r="L2443" s="4562">
        <f>XLOOKUP(B2443,'_Sys|Line_Map'!$A:$A,'_Sys|Line_Map'!$B:$B,"MISSING",0)</f>
        <v/>
      </c>
    </row>
    <row r="2444">
      <c r="A2444" s="4561" t="n"/>
      <c r="B2444" s="4561" t="n"/>
      <c r="C2444" s="4561" t="n"/>
      <c r="D2444" s="4561" t="n"/>
      <c r="E2444" s="4561" t="n"/>
      <c r="F2444" s="4561" t="n"/>
      <c r="G2444" s="4561" t="n"/>
      <c r="H2444" s="4561" t="n"/>
      <c r="I2444" s="4562">
        <f>XLOOKUP(B2444,'_Sys|Line_Map'!$A:$A,'_Sys|Line_Map'!$C:$C,"MISSING",0)</f>
        <v/>
      </c>
      <c r="J2444" s="4562">
        <f>XLOOKUP(B2444,'_Sys|Line_Map'!$A:$A,'_Sys|Line_Map'!$D:$D,1,0)</f>
        <v/>
      </c>
      <c r="K2444" s="4562">
        <f>IF(D2444="","",D2444*J2444)</f>
        <v/>
      </c>
      <c r="L2444" s="4562">
        <f>XLOOKUP(B2444,'_Sys|Line_Map'!$A:$A,'_Sys|Line_Map'!$B:$B,"MISSING",0)</f>
        <v/>
      </c>
    </row>
    <row r="2445">
      <c r="A2445" s="4561" t="n"/>
      <c r="B2445" s="4561" t="n"/>
      <c r="C2445" s="4561" t="n"/>
      <c r="D2445" s="4561" t="n"/>
      <c r="E2445" s="4561" t="n"/>
      <c r="F2445" s="4561" t="n"/>
      <c r="G2445" s="4561" t="n"/>
      <c r="H2445" s="4561" t="n"/>
      <c r="I2445" s="4562">
        <f>XLOOKUP(B2445,'_Sys|Line_Map'!$A:$A,'_Sys|Line_Map'!$C:$C,"MISSING",0)</f>
        <v/>
      </c>
      <c r="J2445" s="4562">
        <f>XLOOKUP(B2445,'_Sys|Line_Map'!$A:$A,'_Sys|Line_Map'!$D:$D,1,0)</f>
        <v/>
      </c>
      <c r="K2445" s="4562">
        <f>IF(D2445="","",D2445*J2445)</f>
        <v/>
      </c>
      <c r="L2445" s="4562">
        <f>XLOOKUP(B2445,'_Sys|Line_Map'!$A:$A,'_Sys|Line_Map'!$B:$B,"MISSING",0)</f>
        <v/>
      </c>
    </row>
    <row r="2446">
      <c r="A2446" s="4561" t="n"/>
      <c r="B2446" s="4561" t="n"/>
      <c r="C2446" s="4561" t="n"/>
      <c r="D2446" s="4561" t="n"/>
      <c r="E2446" s="4561" t="n"/>
      <c r="F2446" s="4561" t="n"/>
      <c r="G2446" s="4561" t="n"/>
      <c r="H2446" s="4561" t="n"/>
      <c r="I2446" s="4562">
        <f>XLOOKUP(B2446,'_Sys|Line_Map'!$A:$A,'_Sys|Line_Map'!$C:$C,"MISSING",0)</f>
        <v/>
      </c>
      <c r="J2446" s="4562">
        <f>XLOOKUP(B2446,'_Sys|Line_Map'!$A:$A,'_Sys|Line_Map'!$D:$D,1,0)</f>
        <v/>
      </c>
      <c r="K2446" s="4562">
        <f>IF(D2446="","",D2446*J2446)</f>
        <v/>
      </c>
      <c r="L2446" s="4562">
        <f>XLOOKUP(B2446,'_Sys|Line_Map'!$A:$A,'_Sys|Line_Map'!$B:$B,"MISSING",0)</f>
        <v/>
      </c>
    </row>
    <row r="2447">
      <c r="A2447" s="4561" t="n"/>
      <c r="B2447" s="4561" t="n"/>
      <c r="C2447" s="4561" t="n"/>
      <c r="D2447" s="4561" t="n"/>
      <c r="E2447" s="4561" t="n"/>
      <c r="F2447" s="4561" t="n"/>
      <c r="G2447" s="4561" t="n"/>
      <c r="H2447" s="4561" t="n"/>
      <c r="I2447" s="4562">
        <f>XLOOKUP(B2447,'_Sys|Line_Map'!$A:$A,'_Sys|Line_Map'!$C:$C,"MISSING",0)</f>
        <v/>
      </c>
      <c r="J2447" s="4562">
        <f>XLOOKUP(B2447,'_Sys|Line_Map'!$A:$A,'_Sys|Line_Map'!$D:$D,1,0)</f>
        <v/>
      </c>
      <c r="K2447" s="4562">
        <f>IF(D2447="","",D2447*J2447)</f>
        <v/>
      </c>
      <c r="L2447" s="4562">
        <f>XLOOKUP(B2447,'_Sys|Line_Map'!$A:$A,'_Sys|Line_Map'!$B:$B,"MISSING",0)</f>
        <v/>
      </c>
    </row>
    <row r="2448">
      <c r="A2448" s="4561" t="n"/>
      <c r="B2448" s="4561" t="n"/>
      <c r="C2448" s="4561" t="n"/>
      <c r="D2448" s="4561" t="n"/>
      <c r="E2448" s="4561" t="n"/>
      <c r="F2448" s="4561" t="n"/>
      <c r="G2448" s="4561" t="n"/>
      <c r="H2448" s="4561" t="n"/>
      <c r="I2448" s="4562">
        <f>XLOOKUP(B2448,'_Sys|Line_Map'!$A:$A,'_Sys|Line_Map'!$C:$C,"MISSING",0)</f>
        <v/>
      </c>
      <c r="J2448" s="4562">
        <f>XLOOKUP(B2448,'_Sys|Line_Map'!$A:$A,'_Sys|Line_Map'!$D:$D,1,0)</f>
        <v/>
      </c>
      <c r="K2448" s="4562">
        <f>IF(D2448="","",D2448*J2448)</f>
        <v/>
      </c>
      <c r="L2448" s="4562">
        <f>XLOOKUP(B2448,'_Sys|Line_Map'!$A:$A,'_Sys|Line_Map'!$B:$B,"MISSING",0)</f>
        <v/>
      </c>
    </row>
    <row r="2449">
      <c r="A2449" s="4561" t="n"/>
      <c r="B2449" s="4561" t="n"/>
      <c r="C2449" s="4561" t="n"/>
      <c r="D2449" s="4561" t="n"/>
      <c r="E2449" s="4561" t="n"/>
      <c r="F2449" s="4561" t="n"/>
      <c r="G2449" s="4561" t="n"/>
      <c r="H2449" s="4561" t="n"/>
      <c r="I2449" s="4562">
        <f>XLOOKUP(B2449,'_Sys|Line_Map'!$A:$A,'_Sys|Line_Map'!$C:$C,"MISSING",0)</f>
        <v/>
      </c>
      <c r="J2449" s="4562">
        <f>XLOOKUP(B2449,'_Sys|Line_Map'!$A:$A,'_Sys|Line_Map'!$D:$D,1,0)</f>
        <v/>
      </c>
      <c r="K2449" s="4562">
        <f>IF(D2449="","",D2449*J2449)</f>
        <v/>
      </c>
      <c r="L2449" s="4562">
        <f>XLOOKUP(B2449,'_Sys|Line_Map'!$A:$A,'_Sys|Line_Map'!$B:$B,"MISSING",0)</f>
        <v/>
      </c>
    </row>
    <row r="2450">
      <c r="A2450" s="4561" t="n"/>
      <c r="B2450" s="4561" t="n"/>
      <c r="C2450" s="4561" t="n"/>
      <c r="D2450" s="4561" t="n"/>
      <c r="E2450" s="4561" t="n"/>
      <c r="F2450" s="4561" t="n"/>
      <c r="G2450" s="4561" t="n"/>
      <c r="H2450" s="4561" t="n"/>
      <c r="I2450" s="4562">
        <f>XLOOKUP(B2450,'_Sys|Line_Map'!$A:$A,'_Sys|Line_Map'!$C:$C,"MISSING",0)</f>
        <v/>
      </c>
      <c r="J2450" s="4562">
        <f>XLOOKUP(B2450,'_Sys|Line_Map'!$A:$A,'_Sys|Line_Map'!$D:$D,1,0)</f>
        <v/>
      </c>
      <c r="K2450" s="4562">
        <f>IF(D2450="","",D2450*J2450)</f>
        <v/>
      </c>
      <c r="L2450" s="4562">
        <f>XLOOKUP(B2450,'_Sys|Line_Map'!$A:$A,'_Sys|Line_Map'!$B:$B,"MISSING",0)</f>
        <v/>
      </c>
    </row>
    <row r="2451">
      <c r="A2451" s="4561" t="n"/>
      <c r="B2451" s="4561" t="n"/>
      <c r="C2451" s="4561" t="n"/>
      <c r="D2451" s="4561" t="n"/>
      <c r="E2451" s="4561" t="n"/>
      <c r="F2451" s="4561" t="n"/>
      <c r="G2451" s="4561" t="n"/>
      <c r="H2451" s="4561" t="n"/>
      <c r="I2451" s="4562">
        <f>XLOOKUP(B2451,'_Sys|Line_Map'!$A:$A,'_Sys|Line_Map'!$C:$C,"MISSING",0)</f>
        <v/>
      </c>
      <c r="J2451" s="4562">
        <f>XLOOKUP(B2451,'_Sys|Line_Map'!$A:$A,'_Sys|Line_Map'!$D:$D,1,0)</f>
        <v/>
      </c>
      <c r="K2451" s="4562">
        <f>IF(D2451="","",D2451*J2451)</f>
        <v/>
      </c>
      <c r="L2451" s="4562">
        <f>XLOOKUP(B2451,'_Sys|Line_Map'!$A:$A,'_Sys|Line_Map'!$B:$B,"MISSING",0)</f>
        <v/>
      </c>
    </row>
    <row r="2452">
      <c r="A2452" s="4561" t="n"/>
      <c r="B2452" s="4561" t="n"/>
      <c r="C2452" s="4561" t="n"/>
      <c r="D2452" s="4561" t="n"/>
      <c r="E2452" s="4561" t="n"/>
      <c r="F2452" s="4561" t="n"/>
      <c r="G2452" s="4561" t="n"/>
      <c r="H2452" s="4561" t="n"/>
      <c r="I2452" s="4562">
        <f>XLOOKUP(B2452,'_Sys|Line_Map'!$A:$A,'_Sys|Line_Map'!$C:$C,"MISSING",0)</f>
        <v/>
      </c>
      <c r="J2452" s="4562">
        <f>XLOOKUP(B2452,'_Sys|Line_Map'!$A:$A,'_Sys|Line_Map'!$D:$D,1,0)</f>
        <v/>
      </c>
      <c r="K2452" s="4562">
        <f>IF(D2452="","",D2452*J2452)</f>
        <v/>
      </c>
      <c r="L2452" s="4562">
        <f>XLOOKUP(B2452,'_Sys|Line_Map'!$A:$A,'_Sys|Line_Map'!$B:$B,"MISSING",0)</f>
        <v/>
      </c>
    </row>
    <row r="2453">
      <c r="A2453" s="4561" t="n"/>
      <c r="B2453" s="4561" t="n"/>
      <c r="C2453" s="4561" t="n"/>
      <c r="D2453" s="4561" t="n"/>
      <c r="E2453" s="4561" t="n"/>
      <c r="F2453" s="4561" t="n"/>
      <c r="G2453" s="4561" t="n"/>
      <c r="H2453" s="4561" t="n"/>
      <c r="I2453" s="4562">
        <f>XLOOKUP(B2453,'_Sys|Line_Map'!$A:$A,'_Sys|Line_Map'!$C:$C,"MISSING",0)</f>
        <v/>
      </c>
      <c r="J2453" s="4562">
        <f>XLOOKUP(B2453,'_Sys|Line_Map'!$A:$A,'_Sys|Line_Map'!$D:$D,1,0)</f>
        <v/>
      </c>
      <c r="K2453" s="4562">
        <f>IF(D2453="","",D2453*J2453)</f>
        <v/>
      </c>
      <c r="L2453" s="4562">
        <f>XLOOKUP(B2453,'_Sys|Line_Map'!$A:$A,'_Sys|Line_Map'!$B:$B,"MISSING",0)</f>
        <v/>
      </c>
    </row>
    <row r="2454">
      <c r="A2454" s="4561" t="n"/>
      <c r="B2454" s="4561" t="n"/>
      <c r="C2454" s="4561" t="n"/>
      <c r="D2454" s="4561" t="n"/>
      <c r="E2454" s="4561" t="n"/>
      <c r="F2454" s="4561" t="n"/>
      <c r="G2454" s="4561" t="n"/>
      <c r="H2454" s="4561" t="n"/>
      <c r="I2454" s="4562">
        <f>XLOOKUP(B2454,'_Sys|Line_Map'!$A:$A,'_Sys|Line_Map'!$C:$C,"MISSING",0)</f>
        <v/>
      </c>
      <c r="J2454" s="4562">
        <f>XLOOKUP(B2454,'_Sys|Line_Map'!$A:$A,'_Sys|Line_Map'!$D:$D,1,0)</f>
        <v/>
      </c>
      <c r="K2454" s="4562">
        <f>IF(D2454="","",D2454*J2454)</f>
        <v/>
      </c>
      <c r="L2454" s="4562">
        <f>XLOOKUP(B2454,'_Sys|Line_Map'!$A:$A,'_Sys|Line_Map'!$B:$B,"MISSING",0)</f>
        <v/>
      </c>
    </row>
    <row r="2455">
      <c r="A2455" s="4561" t="n"/>
      <c r="B2455" s="4561" t="n"/>
      <c r="C2455" s="4561" t="n"/>
      <c r="D2455" s="4561" t="n"/>
      <c r="E2455" s="4561" t="n"/>
      <c r="F2455" s="4561" t="n"/>
      <c r="G2455" s="4561" t="n"/>
      <c r="H2455" s="4561" t="n"/>
      <c r="I2455" s="4562">
        <f>XLOOKUP(B2455,'_Sys|Line_Map'!$A:$A,'_Sys|Line_Map'!$C:$C,"MISSING",0)</f>
        <v/>
      </c>
      <c r="J2455" s="4562">
        <f>XLOOKUP(B2455,'_Sys|Line_Map'!$A:$A,'_Sys|Line_Map'!$D:$D,1,0)</f>
        <v/>
      </c>
      <c r="K2455" s="4562">
        <f>IF(D2455="","",D2455*J2455)</f>
        <v/>
      </c>
      <c r="L2455" s="4562">
        <f>XLOOKUP(B2455,'_Sys|Line_Map'!$A:$A,'_Sys|Line_Map'!$B:$B,"MISSING",0)</f>
        <v/>
      </c>
    </row>
    <row r="2456">
      <c r="A2456" s="4561" t="n"/>
      <c r="B2456" s="4561" t="n"/>
      <c r="C2456" s="4561" t="n"/>
      <c r="D2456" s="4561" t="n"/>
      <c r="E2456" s="4561" t="n"/>
      <c r="F2456" s="4561" t="n"/>
      <c r="G2456" s="4561" t="n"/>
      <c r="H2456" s="4561" t="n"/>
      <c r="I2456" s="4562">
        <f>XLOOKUP(B2456,'_Sys|Line_Map'!$A:$A,'_Sys|Line_Map'!$C:$C,"MISSING",0)</f>
        <v/>
      </c>
      <c r="J2456" s="4562">
        <f>XLOOKUP(B2456,'_Sys|Line_Map'!$A:$A,'_Sys|Line_Map'!$D:$D,1,0)</f>
        <v/>
      </c>
      <c r="K2456" s="4562">
        <f>IF(D2456="","",D2456*J2456)</f>
        <v/>
      </c>
      <c r="L2456" s="4562">
        <f>XLOOKUP(B2456,'_Sys|Line_Map'!$A:$A,'_Sys|Line_Map'!$B:$B,"MISSING",0)</f>
        <v/>
      </c>
    </row>
    <row r="2457">
      <c r="A2457" s="4561" t="n"/>
      <c r="B2457" s="4561" t="n"/>
      <c r="C2457" s="4561" t="n"/>
      <c r="D2457" s="4561" t="n"/>
      <c r="E2457" s="4561" t="n"/>
      <c r="F2457" s="4561" t="n"/>
      <c r="G2457" s="4561" t="n"/>
      <c r="H2457" s="4561" t="n"/>
      <c r="I2457" s="4562">
        <f>XLOOKUP(B2457,'_Sys|Line_Map'!$A:$A,'_Sys|Line_Map'!$C:$C,"MISSING",0)</f>
        <v/>
      </c>
      <c r="J2457" s="4562">
        <f>XLOOKUP(B2457,'_Sys|Line_Map'!$A:$A,'_Sys|Line_Map'!$D:$D,1,0)</f>
        <v/>
      </c>
      <c r="K2457" s="4562">
        <f>IF(D2457="","",D2457*J2457)</f>
        <v/>
      </c>
      <c r="L2457" s="4562">
        <f>XLOOKUP(B2457,'_Sys|Line_Map'!$A:$A,'_Sys|Line_Map'!$B:$B,"MISSING",0)</f>
        <v/>
      </c>
    </row>
    <row r="2458">
      <c r="A2458" s="4561" t="n"/>
      <c r="B2458" s="4561" t="n"/>
      <c r="C2458" s="4561" t="n"/>
      <c r="D2458" s="4561" t="n"/>
      <c r="E2458" s="4561" t="n"/>
      <c r="F2458" s="4561" t="n"/>
      <c r="G2458" s="4561" t="n"/>
      <c r="H2458" s="4561" t="n"/>
      <c r="I2458" s="4562">
        <f>XLOOKUP(B2458,'_Sys|Line_Map'!$A:$A,'_Sys|Line_Map'!$C:$C,"MISSING",0)</f>
        <v/>
      </c>
      <c r="J2458" s="4562">
        <f>XLOOKUP(B2458,'_Sys|Line_Map'!$A:$A,'_Sys|Line_Map'!$D:$D,1,0)</f>
        <v/>
      </c>
      <c r="K2458" s="4562">
        <f>IF(D2458="","",D2458*J2458)</f>
        <v/>
      </c>
      <c r="L2458" s="4562">
        <f>XLOOKUP(B2458,'_Sys|Line_Map'!$A:$A,'_Sys|Line_Map'!$B:$B,"MISSING",0)</f>
        <v/>
      </c>
    </row>
    <row r="2459">
      <c r="A2459" s="4561" t="n"/>
      <c r="B2459" s="4561" t="n"/>
      <c r="C2459" s="4561" t="n"/>
      <c r="D2459" s="4561" t="n"/>
      <c r="E2459" s="4561" t="n"/>
      <c r="F2459" s="4561" t="n"/>
      <c r="G2459" s="4561" t="n"/>
      <c r="H2459" s="4561" t="n"/>
      <c r="I2459" s="4562">
        <f>XLOOKUP(B2459,'_Sys|Line_Map'!$A:$A,'_Sys|Line_Map'!$C:$C,"MISSING",0)</f>
        <v/>
      </c>
      <c r="J2459" s="4562">
        <f>XLOOKUP(B2459,'_Sys|Line_Map'!$A:$A,'_Sys|Line_Map'!$D:$D,1,0)</f>
        <v/>
      </c>
      <c r="K2459" s="4562">
        <f>IF(D2459="","",D2459*J2459)</f>
        <v/>
      </c>
      <c r="L2459" s="4562">
        <f>XLOOKUP(B2459,'_Sys|Line_Map'!$A:$A,'_Sys|Line_Map'!$B:$B,"MISSING",0)</f>
        <v/>
      </c>
    </row>
    <row r="2460">
      <c r="A2460" s="4561" t="n"/>
      <c r="B2460" s="4561" t="n"/>
      <c r="C2460" s="4561" t="n"/>
      <c r="D2460" s="4561" t="n"/>
      <c r="E2460" s="4561" t="n"/>
      <c r="F2460" s="4561" t="n"/>
      <c r="G2460" s="4561" t="n"/>
      <c r="H2460" s="4561" t="n"/>
      <c r="I2460" s="4562">
        <f>XLOOKUP(B2460,'_Sys|Line_Map'!$A:$A,'_Sys|Line_Map'!$C:$C,"MISSING",0)</f>
        <v/>
      </c>
      <c r="J2460" s="4562">
        <f>XLOOKUP(B2460,'_Sys|Line_Map'!$A:$A,'_Sys|Line_Map'!$D:$D,1,0)</f>
        <v/>
      </c>
      <c r="K2460" s="4562">
        <f>IF(D2460="","",D2460*J2460)</f>
        <v/>
      </c>
      <c r="L2460" s="4562">
        <f>XLOOKUP(B2460,'_Sys|Line_Map'!$A:$A,'_Sys|Line_Map'!$B:$B,"MISSING",0)</f>
        <v/>
      </c>
    </row>
    <row r="2461">
      <c r="A2461" s="4561" t="n"/>
      <c r="B2461" s="4561" t="n"/>
      <c r="C2461" s="4561" t="n"/>
      <c r="D2461" s="4561" t="n"/>
      <c r="E2461" s="4561" t="n"/>
      <c r="F2461" s="4561" t="n"/>
      <c r="G2461" s="4561" t="n"/>
      <c r="H2461" s="4561" t="n"/>
      <c r="I2461" s="4562">
        <f>XLOOKUP(B2461,'_Sys|Line_Map'!$A:$A,'_Sys|Line_Map'!$C:$C,"MISSING",0)</f>
        <v/>
      </c>
      <c r="J2461" s="4562">
        <f>XLOOKUP(B2461,'_Sys|Line_Map'!$A:$A,'_Sys|Line_Map'!$D:$D,1,0)</f>
        <v/>
      </c>
      <c r="K2461" s="4562">
        <f>IF(D2461="","",D2461*J2461)</f>
        <v/>
      </c>
      <c r="L2461" s="4562">
        <f>XLOOKUP(B2461,'_Sys|Line_Map'!$A:$A,'_Sys|Line_Map'!$B:$B,"MISSING",0)</f>
        <v/>
      </c>
    </row>
    <row r="2462">
      <c r="A2462" s="4561" t="n"/>
      <c r="B2462" s="4561" t="n"/>
      <c r="C2462" s="4561" t="n"/>
      <c r="D2462" s="4561" t="n"/>
      <c r="E2462" s="4561" t="n"/>
      <c r="F2462" s="4561" t="n"/>
      <c r="G2462" s="4561" t="n"/>
      <c r="H2462" s="4561" t="n"/>
      <c r="I2462" s="4562">
        <f>XLOOKUP(B2462,'_Sys|Line_Map'!$A:$A,'_Sys|Line_Map'!$C:$C,"MISSING",0)</f>
        <v/>
      </c>
      <c r="J2462" s="4562">
        <f>XLOOKUP(B2462,'_Sys|Line_Map'!$A:$A,'_Sys|Line_Map'!$D:$D,1,0)</f>
        <v/>
      </c>
      <c r="K2462" s="4562">
        <f>IF(D2462="","",D2462*J2462)</f>
        <v/>
      </c>
      <c r="L2462" s="4562">
        <f>XLOOKUP(B2462,'_Sys|Line_Map'!$A:$A,'_Sys|Line_Map'!$B:$B,"MISSING",0)</f>
        <v/>
      </c>
    </row>
    <row r="2463">
      <c r="A2463" s="4561" t="n"/>
      <c r="B2463" s="4561" t="n"/>
      <c r="C2463" s="4561" t="n"/>
      <c r="D2463" s="4561" t="n"/>
      <c r="E2463" s="4561" t="n"/>
      <c r="F2463" s="4561" t="n"/>
      <c r="G2463" s="4561" t="n"/>
      <c r="H2463" s="4561" t="n"/>
      <c r="I2463" s="4562">
        <f>XLOOKUP(B2463,'_Sys|Line_Map'!$A:$A,'_Sys|Line_Map'!$C:$C,"MISSING",0)</f>
        <v/>
      </c>
      <c r="J2463" s="4562">
        <f>XLOOKUP(B2463,'_Sys|Line_Map'!$A:$A,'_Sys|Line_Map'!$D:$D,1,0)</f>
        <v/>
      </c>
      <c r="K2463" s="4562">
        <f>IF(D2463="","",D2463*J2463)</f>
        <v/>
      </c>
      <c r="L2463" s="4562">
        <f>XLOOKUP(B2463,'_Sys|Line_Map'!$A:$A,'_Sys|Line_Map'!$B:$B,"MISSING",0)</f>
        <v/>
      </c>
    </row>
    <row r="2464">
      <c r="A2464" s="4561" t="n"/>
      <c r="B2464" s="4561" t="n"/>
      <c r="C2464" s="4561" t="n"/>
      <c r="D2464" s="4561" t="n"/>
      <c r="E2464" s="4561" t="n"/>
      <c r="F2464" s="4561" t="n"/>
      <c r="G2464" s="4561" t="n"/>
      <c r="H2464" s="4561" t="n"/>
      <c r="I2464" s="4562">
        <f>XLOOKUP(B2464,'_Sys|Line_Map'!$A:$A,'_Sys|Line_Map'!$C:$C,"MISSING",0)</f>
        <v/>
      </c>
      <c r="J2464" s="4562">
        <f>XLOOKUP(B2464,'_Sys|Line_Map'!$A:$A,'_Sys|Line_Map'!$D:$D,1,0)</f>
        <v/>
      </c>
      <c r="K2464" s="4562">
        <f>IF(D2464="","",D2464*J2464)</f>
        <v/>
      </c>
      <c r="L2464" s="4562">
        <f>XLOOKUP(B2464,'_Sys|Line_Map'!$A:$A,'_Sys|Line_Map'!$B:$B,"MISSING",0)</f>
        <v/>
      </c>
    </row>
    <row r="2465">
      <c r="A2465" s="4561" t="n"/>
      <c r="B2465" s="4561" t="n"/>
      <c r="C2465" s="4561" t="n"/>
      <c r="D2465" s="4561" t="n"/>
      <c r="E2465" s="4561" t="n"/>
      <c r="F2465" s="4561" t="n"/>
      <c r="G2465" s="4561" t="n"/>
      <c r="H2465" s="4561" t="n"/>
      <c r="I2465" s="4562">
        <f>XLOOKUP(B2465,'_Sys|Line_Map'!$A:$A,'_Sys|Line_Map'!$C:$C,"MISSING",0)</f>
        <v/>
      </c>
      <c r="J2465" s="4562">
        <f>XLOOKUP(B2465,'_Sys|Line_Map'!$A:$A,'_Sys|Line_Map'!$D:$D,1,0)</f>
        <v/>
      </c>
      <c r="K2465" s="4562">
        <f>IF(D2465="","",D2465*J2465)</f>
        <v/>
      </c>
      <c r="L2465" s="4562">
        <f>XLOOKUP(B2465,'_Sys|Line_Map'!$A:$A,'_Sys|Line_Map'!$B:$B,"MISSING",0)</f>
        <v/>
      </c>
    </row>
    <row r="2466">
      <c r="A2466" s="4561" t="n"/>
      <c r="B2466" s="4561" t="n"/>
      <c r="C2466" s="4561" t="n"/>
      <c r="D2466" s="4561" t="n"/>
      <c r="E2466" s="4561" t="n"/>
      <c r="F2466" s="4561" t="n"/>
      <c r="G2466" s="4561" t="n"/>
      <c r="H2466" s="4561" t="n"/>
      <c r="I2466" s="4562">
        <f>XLOOKUP(B2466,'_Sys|Line_Map'!$A:$A,'_Sys|Line_Map'!$C:$C,"MISSING",0)</f>
        <v/>
      </c>
      <c r="J2466" s="4562">
        <f>XLOOKUP(B2466,'_Sys|Line_Map'!$A:$A,'_Sys|Line_Map'!$D:$D,1,0)</f>
        <v/>
      </c>
      <c r="K2466" s="4562">
        <f>IF(D2466="","",D2466*J2466)</f>
        <v/>
      </c>
      <c r="L2466" s="4562">
        <f>XLOOKUP(B2466,'_Sys|Line_Map'!$A:$A,'_Sys|Line_Map'!$B:$B,"MISSING",0)</f>
        <v/>
      </c>
    </row>
    <row r="2467">
      <c r="A2467" s="4561" t="n"/>
      <c r="B2467" s="4561" t="n"/>
      <c r="C2467" s="4561" t="n"/>
      <c r="D2467" s="4561" t="n"/>
      <c r="E2467" s="4561" t="n"/>
      <c r="F2467" s="4561" t="n"/>
      <c r="G2467" s="4561" t="n"/>
      <c r="H2467" s="4561" t="n"/>
      <c r="I2467" s="4562">
        <f>XLOOKUP(B2467,'_Sys|Line_Map'!$A:$A,'_Sys|Line_Map'!$C:$C,"MISSING",0)</f>
        <v/>
      </c>
      <c r="J2467" s="4562">
        <f>XLOOKUP(B2467,'_Sys|Line_Map'!$A:$A,'_Sys|Line_Map'!$D:$D,1,0)</f>
        <v/>
      </c>
      <c r="K2467" s="4562">
        <f>IF(D2467="","",D2467*J2467)</f>
        <v/>
      </c>
      <c r="L2467" s="4562">
        <f>XLOOKUP(B2467,'_Sys|Line_Map'!$A:$A,'_Sys|Line_Map'!$B:$B,"MISSING",0)</f>
        <v/>
      </c>
    </row>
    <row r="2468">
      <c r="A2468" s="4561" t="n"/>
      <c r="B2468" s="4561" t="n"/>
      <c r="C2468" s="4561" t="n"/>
      <c r="D2468" s="4561" t="n"/>
      <c r="E2468" s="4561" t="n"/>
      <c r="F2468" s="4561" t="n"/>
      <c r="G2468" s="4561" t="n"/>
      <c r="H2468" s="4561" t="n"/>
      <c r="I2468" s="4562">
        <f>XLOOKUP(B2468,'_Sys|Line_Map'!$A:$A,'_Sys|Line_Map'!$C:$C,"MISSING",0)</f>
        <v/>
      </c>
      <c r="J2468" s="4562">
        <f>XLOOKUP(B2468,'_Sys|Line_Map'!$A:$A,'_Sys|Line_Map'!$D:$D,1,0)</f>
        <v/>
      </c>
      <c r="K2468" s="4562">
        <f>IF(D2468="","",D2468*J2468)</f>
        <v/>
      </c>
      <c r="L2468" s="4562">
        <f>XLOOKUP(B2468,'_Sys|Line_Map'!$A:$A,'_Sys|Line_Map'!$B:$B,"MISSING",0)</f>
        <v/>
      </c>
    </row>
    <row r="2469">
      <c r="A2469" s="4561" t="n"/>
      <c r="B2469" s="4561" t="n"/>
      <c r="C2469" s="4561" t="n"/>
      <c r="D2469" s="4561" t="n"/>
      <c r="E2469" s="4561" t="n"/>
      <c r="F2469" s="4561" t="n"/>
      <c r="G2469" s="4561" t="n"/>
      <c r="H2469" s="4561" t="n"/>
      <c r="I2469" s="4562">
        <f>XLOOKUP(B2469,'_Sys|Line_Map'!$A:$A,'_Sys|Line_Map'!$C:$C,"MISSING",0)</f>
        <v/>
      </c>
      <c r="J2469" s="4562">
        <f>XLOOKUP(B2469,'_Sys|Line_Map'!$A:$A,'_Sys|Line_Map'!$D:$D,1,0)</f>
        <v/>
      </c>
      <c r="K2469" s="4562">
        <f>IF(D2469="","",D2469*J2469)</f>
        <v/>
      </c>
      <c r="L2469" s="4562">
        <f>XLOOKUP(B2469,'_Sys|Line_Map'!$A:$A,'_Sys|Line_Map'!$B:$B,"MISSING",0)</f>
        <v/>
      </c>
    </row>
    <row r="2470">
      <c r="A2470" s="4561" t="n"/>
      <c r="B2470" s="4561" t="n"/>
      <c r="C2470" s="4561" t="n"/>
      <c r="D2470" s="4561" t="n"/>
      <c r="E2470" s="4561" t="n"/>
      <c r="F2470" s="4561" t="n"/>
      <c r="G2470" s="4561" t="n"/>
      <c r="H2470" s="4561" t="n"/>
      <c r="I2470" s="4562">
        <f>XLOOKUP(B2470,'_Sys|Line_Map'!$A:$A,'_Sys|Line_Map'!$C:$C,"MISSING",0)</f>
        <v/>
      </c>
      <c r="J2470" s="4562">
        <f>XLOOKUP(B2470,'_Sys|Line_Map'!$A:$A,'_Sys|Line_Map'!$D:$D,1,0)</f>
        <v/>
      </c>
      <c r="K2470" s="4562">
        <f>IF(D2470="","",D2470*J2470)</f>
        <v/>
      </c>
      <c r="L2470" s="4562">
        <f>XLOOKUP(B2470,'_Sys|Line_Map'!$A:$A,'_Sys|Line_Map'!$B:$B,"MISSING",0)</f>
        <v/>
      </c>
    </row>
    <row r="2471">
      <c r="A2471" s="4561" t="n"/>
      <c r="B2471" s="4561" t="n"/>
      <c r="C2471" s="4561" t="n"/>
      <c r="D2471" s="4561" t="n"/>
      <c r="E2471" s="4561" t="n"/>
      <c r="F2471" s="4561" t="n"/>
      <c r="G2471" s="4561" t="n"/>
      <c r="H2471" s="4561" t="n"/>
      <c r="I2471" s="4562">
        <f>XLOOKUP(B2471,'_Sys|Line_Map'!$A:$A,'_Sys|Line_Map'!$C:$C,"MISSING",0)</f>
        <v/>
      </c>
      <c r="J2471" s="4562">
        <f>XLOOKUP(B2471,'_Sys|Line_Map'!$A:$A,'_Sys|Line_Map'!$D:$D,1,0)</f>
        <v/>
      </c>
      <c r="K2471" s="4562">
        <f>IF(D2471="","",D2471*J2471)</f>
        <v/>
      </c>
      <c r="L2471" s="4562">
        <f>XLOOKUP(B2471,'_Sys|Line_Map'!$A:$A,'_Sys|Line_Map'!$B:$B,"MISSING",0)</f>
        <v/>
      </c>
    </row>
    <row r="2472">
      <c r="A2472" s="4561" t="n"/>
      <c r="B2472" s="4561" t="n"/>
      <c r="C2472" s="4561" t="n"/>
      <c r="D2472" s="4561" t="n"/>
      <c r="E2472" s="4561" t="n"/>
      <c r="F2472" s="4561" t="n"/>
      <c r="G2472" s="4561" t="n"/>
      <c r="H2472" s="4561" t="n"/>
      <c r="I2472" s="4562">
        <f>XLOOKUP(B2472,'_Sys|Line_Map'!$A:$A,'_Sys|Line_Map'!$C:$C,"MISSING",0)</f>
        <v/>
      </c>
      <c r="J2472" s="4562">
        <f>XLOOKUP(B2472,'_Sys|Line_Map'!$A:$A,'_Sys|Line_Map'!$D:$D,1,0)</f>
        <v/>
      </c>
      <c r="K2472" s="4562">
        <f>IF(D2472="","",D2472*J2472)</f>
        <v/>
      </c>
      <c r="L2472" s="4562">
        <f>XLOOKUP(B2472,'_Sys|Line_Map'!$A:$A,'_Sys|Line_Map'!$B:$B,"MISSING",0)</f>
        <v/>
      </c>
    </row>
    <row r="2473">
      <c r="A2473" s="4561" t="n"/>
      <c r="B2473" s="4561" t="n"/>
      <c r="C2473" s="4561" t="n"/>
      <c r="D2473" s="4561" t="n"/>
      <c r="E2473" s="4561" t="n"/>
      <c r="F2473" s="4561" t="n"/>
      <c r="G2473" s="4561" t="n"/>
      <c r="H2473" s="4561" t="n"/>
      <c r="I2473" s="4562">
        <f>XLOOKUP(B2473,'_Sys|Line_Map'!$A:$A,'_Sys|Line_Map'!$C:$C,"MISSING",0)</f>
        <v/>
      </c>
      <c r="J2473" s="4562">
        <f>XLOOKUP(B2473,'_Sys|Line_Map'!$A:$A,'_Sys|Line_Map'!$D:$D,1,0)</f>
        <v/>
      </c>
      <c r="K2473" s="4562">
        <f>IF(D2473="","",D2473*J2473)</f>
        <v/>
      </c>
      <c r="L2473" s="4562">
        <f>XLOOKUP(B2473,'_Sys|Line_Map'!$A:$A,'_Sys|Line_Map'!$B:$B,"MISSING",0)</f>
        <v/>
      </c>
    </row>
    <row r="2474">
      <c r="A2474" s="4561" t="n"/>
      <c r="B2474" s="4561" t="n"/>
      <c r="C2474" s="4561" t="n"/>
      <c r="D2474" s="4561" t="n"/>
      <c r="E2474" s="4561" t="n"/>
      <c r="F2474" s="4561" t="n"/>
      <c r="G2474" s="4561" t="n"/>
      <c r="H2474" s="4561" t="n"/>
      <c r="I2474" s="4562">
        <f>XLOOKUP(B2474,'_Sys|Line_Map'!$A:$A,'_Sys|Line_Map'!$C:$C,"MISSING",0)</f>
        <v/>
      </c>
      <c r="J2474" s="4562">
        <f>XLOOKUP(B2474,'_Sys|Line_Map'!$A:$A,'_Sys|Line_Map'!$D:$D,1,0)</f>
        <v/>
      </c>
      <c r="K2474" s="4562">
        <f>IF(D2474="","",D2474*J2474)</f>
        <v/>
      </c>
      <c r="L2474" s="4562">
        <f>XLOOKUP(B2474,'_Sys|Line_Map'!$A:$A,'_Sys|Line_Map'!$B:$B,"MISSING",0)</f>
        <v/>
      </c>
    </row>
    <row r="2475">
      <c r="A2475" s="4561" t="n"/>
      <c r="B2475" s="4561" t="n"/>
      <c r="C2475" s="4561" t="n"/>
      <c r="D2475" s="4561" t="n"/>
      <c r="E2475" s="4561" t="n"/>
      <c r="F2475" s="4561" t="n"/>
      <c r="G2475" s="4561" t="n"/>
      <c r="H2475" s="4561" t="n"/>
      <c r="I2475" s="4562">
        <f>XLOOKUP(B2475,'_Sys|Line_Map'!$A:$A,'_Sys|Line_Map'!$C:$C,"MISSING",0)</f>
        <v/>
      </c>
      <c r="J2475" s="4562">
        <f>XLOOKUP(B2475,'_Sys|Line_Map'!$A:$A,'_Sys|Line_Map'!$D:$D,1,0)</f>
        <v/>
      </c>
      <c r="K2475" s="4562">
        <f>IF(D2475="","",D2475*J2475)</f>
        <v/>
      </c>
      <c r="L2475" s="4562">
        <f>XLOOKUP(B2475,'_Sys|Line_Map'!$A:$A,'_Sys|Line_Map'!$B:$B,"MISSING",0)</f>
        <v/>
      </c>
    </row>
    <row r="2476">
      <c r="A2476" s="4561" t="n"/>
      <c r="B2476" s="4561" t="n"/>
      <c r="C2476" s="4561" t="n"/>
      <c r="D2476" s="4561" t="n"/>
      <c r="E2476" s="4561" t="n"/>
      <c r="F2476" s="4561" t="n"/>
      <c r="G2476" s="4561" t="n"/>
      <c r="H2476" s="4561" t="n"/>
      <c r="I2476" s="4562">
        <f>XLOOKUP(B2476,'_Sys|Line_Map'!$A:$A,'_Sys|Line_Map'!$C:$C,"MISSING",0)</f>
        <v/>
      </c>
      <c r="J2476" s="4562">
        <f>XLOOKUP(B2476,'_Sys|Line_Map'!$A:$A,'_Sys|Line_Map'!$D:$D,1,0)</f>
        <v/>
      </c>
      <c r="K2476" s="4562">
        <f>IF(D2476="","",D2476*J2476)</f>
        <v/>
      </c>
      <c r="L2476" s="4562">
        <f>XLOOKUP(B2476,'_Sys|Line_Map'!$A:$A,'_Sys|Line_Map'!$B:$B,"MISSING",0)</f>
        <v/>
      </c>
    </row>
    <row r="2477">
      <c r="A2477" s="4561" t="n"/>
      <c r="B2477" s="4561" t="n"/>
      <c r="C2477" s="4561" t="n"/>
      <c r="D2477" s="4561" t="n"/>
      <c r="E2477" s="4561" t="n"/>
      <c r="F2477" s="4561" t="n"/>
      <c r="G2477" s="4561" t="n"/>
      <c r="H2477" s="4561" t="n"/>
      <c r="I2477" s="4562">
        <f>XLOOKUP(B2477,'_Sys|Line_Map'!$A:$A,'_Sys|Line_Map'!$C:$C,"MISSING",0)</f>
        <v/>
      </c>
      <c r="J2477" s="4562">
        <f>XLOOKUP(B2477,'_Sys|Line_Map'!$A:$A,'_Sys|Line_Map'!$D:$D,1,0)</f>
        <v/>
      </c>
      <c r="K2477" s="4562">
        <f>IF(D2477="","",D2477*J2477)</f>
        <v/>
      </c>
      <c r="L2477" s="4562">
        <f>XLOOKUP(B2477,'_Sys|Line_Map'!$A:$A,'_Sys|Line_Map'!$B:$B,"MISSING",0)</f>
        <v/>
      </c>
    </row>
    <row r="2478">
      <c r="A2478" s="4561" t="n"/>
      <c r="B2478" s="4561" t="n"/>
      <c r="C2478" s="4561" t="n"/>
      <c r="D2478" s="4561" t="n"/>
      <c r="E2478" s="4561" t="n"/>
      <c r="F2478" s="4561" t="n"/>
      <c r="G2478" s="4561" t="n"/>
      <c r="H2478" s="4561" t="n"/>
      <c r="I2478" s="4562">
        <f>XLOOKUP(B2478,'_Sys|Line_Map'!$A:$A,'_Sys|Line_Map'!$C:$C,"MISSING",0)</f>
        <v/>
      </c>
      <c r="J2478" s="4562">
        <f>XLOOKUP(B2478,'_Sys|Line_Map'!$A:$A,'_Sys|Line_Map'!$D:$D,1,0)</f>
        <v/>
      </c>
      <c r="K2478" s="4562">
        <f>IF(D2478="","",D2478*J2478)</f>
        <v/>
      </c>
      <c r="L2478" s="4562">
        <f>XLOOKUP(B2478,'_Sys|Line_Map'!$A:$A,'_Sys|Line_Map'!$B:$B,"MISSING",0)</f>
        <v/>
      </c>
    </row>
    <row r="2479">
      <c r="A2479" s="4561" t="n"/>
      <c r="B2479" s="4561" t="n"/>
      <c r="C2479" s="4561" t="n"/>
      <c r="D2479" s="4561" t="n"/>
      <c r="E2479" s="4561" t="n"/>
      <c r="F2479" s="4561" t="n"/>
      <c r="G2479" s="4561" t="n"/>
      <c r="H2479" s="4561" t="n"/>
      <c r="I2479" s="4562">
        <f>XLOOKUP(B2479,'_Sys|Line_Map'!$A:$A,'_Sys|Line_Map'!$C:$C,"MISSING",0)</f>
        <v/>
      </c>
      <c r="J2479" s="4562">
        <f>XLOOKUP(B2479,'_Sys|Line_Map'!$A:$A,'_Sys|Line_Map'!$D:$D,1,0)</f>
        <v/>
      </c>
      <c r="K2479" s="4562">
        <f>IF(D2479="","",D2479*J2479)</f>
        <v/>
      </c>
      <c r="L2479" s="4562">
        <f>XLOOKUP(B2479,'_Sys|Line_Map'!$A:$A,'_Sys|Line_Map'!$B:$B,"MISSING",0)</f>
        <v/>
      </c>
    </row>
    <row r="2480">
      <c r="A2480" s="4561" t="n"/>
      <c r="B2480" s="4561" t="n"/>
      <c r="C2480" s="4561" t="n"/>
      <c r="D2480" s="4561" t="n"/>
      <c r="E2480" s="4561" t="n"/>
      <c r="F2480" s="4561" t="n"/>
      <c r="G2480" s="4561" t="n"/>
      <c r="H2480" s="4561" t="n"/>
      <c r="I2480" s="4562">
        <f>XLOOKUP(B2480,'_Sys|Line_Map'!$A:$A,'_Sys|Line_Map'!$C:$C,"MISSING",0)</f>
        <v/>
      </c>
      <c r="J2480" s="4562">
        <f>XLOOKUP(B2480,'_Sys|Line_Map'!$A:$A,'_Sys|Line_Map'!$D:$D,1,0)</f>
        <v/>
      </c>
      <c r="K2480" s="4562">
        <f>IF(D2480="","",D2480*J2480)</f>
        <v/>
      </c>
      <c r="L2480" s="4562">
        <f>XLOOKUP(B2480,'_Sys|Line_Map'!$A:$A,'_Sys|Line_Map'!$B:$B,"MISSING",0)</f>
        <v/>
      </c>
    </row>
    <row r="2481">
      <c r="A2481" s="4561" t="n"/>
      <c r="B2481" s="4561" t="n"/>
      <c r="C2481" s="4561" t="n"/>
      <c r="D2481" s="4561" t="n"/>
      <c r="E2481" s="4561" t="n"/>
      <c r="F2481" s="4561" t="n"/>
      <c r="G2481" s="4561" t="n"/>
      <c r="H2481" s="4561" t="n"/>
      <c r="I2481" s="4562">
        <f>XLOOKUP(B2481,'_Sys|Line_Map'!$A:$A,'_Sys|Line_Map'!$C:$C,"MISSING",0)</f>
        <v/>
      </c>
      <c r="J2481" s="4562">
        <f>XLOOKUP(B2481,'_Sys|Line_Map'!$A:$A,'_Sys|Line_Map'!$D:$D,1,0)</f>
        <v/>
      </c>
      <c r="K2481" s="4562">
        <f>IF(D2481="","",D2481*J2481)</f>
        <v/>
      </c>
      <c r="L2481" s="4562">
        <f>XLOOKUP(B2481,'_Sys|Line_Map'!$A:$A,'_Sys|Line_Map'!$B:$B,"MISSING",0)</f>
        <v/>
      </c>
    </row>
    <row r="2482">
      <c r="A2482" s="4561" t="n"/>
      <c r="B2482" s="4561" t="n"/>
      <c r="C2482" s="4561" t="n"/>
      <c r="D2482" s="4561" t="n"/>
      <c r="E2482" s="4561" t="n"/>
      <c r="F2482" s="4561" t="n"/>
      <c r="G2482" s="4561" t="n"/>
      <c r="H2482" s="4561" t="n"/>
      <c r="I2482" s="4562">
        <f>XLOOKUP(B2482,'_Sys|Line_Map'!$A:$A,'_Sys|Line_Map'!$C:$C,"MISSING",0)</f>
        <v/>
      </c>
      <c r="J2482" s="4562">
        <f>XLOOKUP(B2482,'_Sys|Line_Map'!$A:$A,'_Sys|Line_Map'!$D:$D,1,0)</f>
        <v/>
      </c>
      <c r="K2482" s="4562">
        <f>IF(D2482="","",D2482*J2482)</f>
        <v/>
      </c>
      <c r="L2482" s="4562">
        <f>XLOOKUP(B2482,'_Sys|Line_Map'!$A:$A,'_Sys|Line_Map'!$B:$B,"MISSING",0)</f>
        <v/>
      </c>
    </row>
    <row r="2483">
      <c r="A2483" s="4561" t="n"/>
      <c r="B2483" s="4561" t="n"/>
      <c r="C2483" s="4561" t="n"/>
      <c r="D2483" s="4561" t="n"/>
      <c r="E2483" s="4561" t="n"/>
      <c r="F2483" s="4561" t="n"/>
      <c r="G2483" s="4561" t="n"/>
      <c r="H2483" s="4561" t="n"/>
      <c r="I2483" s="4562">
        <f>XLOOKUP(B2483,'_Sys|Line_Map'!$A:$A,'_Sys|Line_Map'!$C:$C,"MISSING",0)</f>
        <v/>
      </c>
      <c r="J2483" s="4562">
        <f>XLOOKUP(B2483,'_Sys|Line_Map'!$A:$A,'_Sys|Line_Map'!$D:$D,1,0)</f>
        <v/>
      </c>
      <c r="K2483" s="4562">
        <f>IF(D2483="","",D2483*J2483)</f>
        <v/>
      </c>
      <c r="L2483" s="4562">
        <f>XLOOKUP(B2483,'_Sys|Line_Map'!$A:$A,'_Sys|Line_Map'!$B:$B,"MISSING",0)</f>
        <v/>
      </c>
    </row>
    <row r="2484">
      <c r="A2484" s="4561" t="n"/>
      <c r="B2484" s="4561" t="n"/>
      <c r="C2484" s="4561" t="n"/>
      <c r="D2484" s="4561" t="n"/>
      <c r="E2484" s="4561" t="n"/>
      <c r="F2484" s="4561" t="n"/>
      <c r="G2484" s="4561" t="n"/>
      <c r="H2484" s="4561" t="n"/>
      <c r="I2484" s="4562">
        <f>XLOOKUP(B2484,'_Sys|Line_Map'!$A:$A,'_Sys|Line_Map'!$C:$C,"MISSING",0)</f>
        <v/>
      </c>
      <c r="J2484" s="4562">
        <f>XLOOKUP(B2484,'_Sys|Line_Map'!$A:$A,'_Sys|Line_Map'!$D:$D,1,0)</f>
        <v/>
      </c>
      <c r="K2484" s="4562">
        <f>IF(D2484="","",D2484*J2484)</f>
        <v/>
      </c>
      <c r="L2484" s="4562">
        <f>XLOOKUP(B2484,'_Sys|Line_Map'!$A:$A,'_Sys|Line_Map'!$B:$B,"MISSING",0)</f>
        <v/>
      </c>
    </row>
    <row r="2485">
      <c r="A2485" s="4561" t="n"/>
      <c r="B2485" s="4561" t="n"/>
      <c r="C2485" s="4561" t="n"/>
      <c r="D2485" s="4561" t="n"/>
      <c r="E2485" s="4561" t="n"/>
      <c r="F2485" s="4561" t="n"/>
      <c r="G2485" s="4561" t="n"/>
      <c r="H2485" s="4561" t="n"/>
      <c r="I2485" s="4562">
        <f>XLOOKUP(B2485,'_Sys|Line_Map'!$A:$A,'_Sys|Line_Map'!$C:$C,"MISSING",0)</f>
        <v/>
      </c>
      <c r="J2485" s="4562">
        <f>XLOOKUP(B2485,'_Sys|Line_Map'!$A:$A,'_Sys|Line_Map'!$D:$D,1,0)</f>
        <v/>
      </c>
      <c r="K2485" s="4562">
        <f>IF(D2485="","",D2485*J2485)</f>
        <v/>
      </c>
      <c r="L2485" s="4562">
        <f>XLOOKUP(B2485,'_Sys|Line_Map'!$A:$A,'_Sys|Line_Map'!$B:$B,"MISSING",0)</f>
        <v/>
      </c>
    </row>
    <row r="2486">
      <c r="A2486" s="4561" t="n"/>
      <c r="B2486" s="4561" t="n"/>
      <c r="C2486" s="4561" t="n"/>
      <c r="D2486" s="4561" t="n"/>
      <c r="E2486" s="4561" t="n"/>
      <c r="F2486" s="4561" t="n"/>
      <c r="G2486" s="4561" t="n"/>
      <c r="H2486" s="4561" t="n"/>
      <c r="I2486" s="4562">
        <f>XLOOKUP(B2486,'_Sys|Line_Map'!$A:$A,'_Sys|Line_Map'!$C:$C,"MISSING",0)</f>
        <v/>
      </c>
      <c r="J2486" s="4562">
        <f>XLOOKUP(B2486,'_Sys|Line_Map'!$A:$A,'_Sys|Line_Map'!$D:$D,1,0)</f>
        <v/>
      </c>
      <c r="K2486" s="4562">
        <f>IF(D2486="","",D2486*J2486)</f>
        <v/>
      </c>
      <c r="L2486" s="4562">
        <f>XLOOKUP(B2486,'_Sys|Line_Map'!$A:$A,'_Sys|Line_Map'!$B:$B,"MISSING",0)</f>
        <v/>
      </c>
    </row>
    <row r="2487">
      <c r="A2487" s="4561" t="n"/>
      <c r="B2487" s="4561" t="n"/>
      <c r="C2487" s="4561" t="n"/>
      <c r="D2487" s="4561" t="n"/>
      <c r="E2487" s="4561" t="n"/>
      <c r="F2487" s="4561" t="n"/>
      <c r="G2487" s="4561" t="n"/>
      <c r="H2487" s="4561" t="n"/>
      <c r="I2487" s="4562">
        <f>XLOOKUP(B2487,'_Sys|Line_Map'!$A:$A,'_Sys|Line_Map'!$C:$C,"MISSING",0)</f>
        <v/>
      </c>
      <c r="J2487" s="4562">
        <f>XLOOKUP(B2487,'_Sys|Line_Map'!$A:$A,'_Sys|Line_Map'!$D:$D,1,0)</f>
        <v/>
      </c>
      <c r="K2487" s="4562">
        <f>IF(D2487="","",D2487*J2487)</f>
        <v/>
      </c>
      <c r="L2487" s="4562">
        <f>XLOOKUP(B2487,'_Sys|Line_Map'!$A:$A,'_Sys|Line_Map'!$B:$B,"MISSING",0)</f>
        <v/>
      </c>
    </row>
    <row r="2488">
      <c r="A2488" s="4561" t="n"/>
      <c r="B2488" s="4561" t="n"/>
      <c r="C2488" s="4561" t="n"/>
      <c r="D2488" s="4561" t="n"/>
      <c r="E2488" s="4561" t="n"/>
      <c r="F2488" s="4561" t="n"/>
      <c r="G2488" s="4561" t="n"/>
      <c r="H2488" s="4561" t="n"/>
      <c r="I2488" s="4562">
        <f>XLOOKUP(B2488,'_Sys|Line_Map'!$A:$A,'_Sys|Line_Map'!$C:$C,"MISSING",0)</f>
        <v/>
      </c>
      <c r="J2488" s="4562">
        <f>XLOOKUP(B2488,'_Sys|Line_Map'!$A:$A,'_Sys|Line_Map'!$D:$D,1,0)</f>
        <v/>
      </c>
      <c r="K2488" s="4562">
        <f>IF(D2488="","",D2488*J2488)</f>
        <v/>
      </c>
      <c r="L2488" s="4562">
        <f>XLOOKUP(B2488,'_Sys|Line_Map'!$A:$A,'_Sys|Line_Map'!$B:$B,"MISSING",0)</f>
        <v/>
      </c>
    </row>
    <row r="2489">
      <c r="A2489" s="4561" t="n"/>
      <c r="B2489" s="4561" t="n"/>
      <c r="C2489" s="4561" t="n"/>
      <c r="D2489" s="4561" t="n"/>
      <c r="E2489" s="4561" t="n"/>
      <c r="F2489" s="4561" t="n"/>
      <c r="G2489" s="4561" t="n"/>
      <c r="H2489" s="4561" t="n"/>
      <c r="I2489" s="4562">
        <f>XLOOKUP(B2489,'_Sys|Line_Map'!$A:$A,'_Sys|Line_Map'!$C:$C,"MISSING",0)</f>
        <v/>
      </c>
      <c r="J2489" s="4562">
        <f>XLOOKUP(B2489,'_Sys|Line_Map'!$A:$A,'_Sys|Line_Map'!$D:$D,1,0)</f>
        <v/>
      </c>
      <c r="K2489" s="4562">
        <f>IF(D2489="","",D2489*J2489)</f>
        <v/>
      </c>
      <c r="L2489" s="4562">
        <f>XLOOKUP(B2489,'_Sys|Line_Map'!$A:$A,'_Sys|Line_Map'!$B:$B,"MISSING",0)</f>
        <v/>
      </c>
    </row>
    <row r="2490">
      <c r="A2490" s="4561" t="n"/>
      <c r="B2490" s="4561" t="n"/>
      <c r="C2490" s="4561" t="n"/>
      <c r="D2490" s="4561" t="n"/>
      <c r="E2490" s="4561" t="n"/>
      <c r="F2490" s="4561" t="n"/>
      <c r="G2490" s="4561" t="n"/>
      <c r="H2490" s="4561" t="n"/>
      <c r="I2490" s="4562">
        <f>XLOOKUP(B2490,'_Sys|Line_Map'!$A:$A,'_Sys|Line_Map'!$C:$C,"MISSING",0)</f>
        <v/>
      </c>
      <c r="J2490" s="4562">
        <f>XLOOKUP(B2490,'_Sys|Line_Map'!$A:$A,'_Sys|Line_Map'!$D:$D,1,0)</f>
        <v/>
      </c>
      <c r="K2490" s="4562">
        <f>IF(D2490="","",D2490*J2490)</f>
        <v/>
      </c>
      <c r="L2490" s="4562">
        <f>XLOOKUP(B2490,'_Sys|Line_Map'!$A:$A,'_Sys|Line_Map'!$B:$B,"MISSING",0)</f>
        <v/>
      </c>
    </row>
    <row r="2491">
      <c r="A2491" s="4561" t="n"/>
      <c r="B2491" s="4561" t="n"/>
      <c r="C2491" s="4561" t="n"/>
      <c r="D2491" s="4561" t="n"/>
      <c r="E2491" s="4561" t="n"/>
      <c r="F2491" s="4561" t="n"/>
      <c r="G2491" s="4561" t="n"/>
      <c r="H2491" s="4561" t="n"/>
      <c r="I2491" s="4562">
        <f>XLOOKUP(B2491,'_Sys|Line_Map'!$A:$A,'_Sys|Line_Map'!$C:$C,"MISSING",0)</f>
        <v/>
      </c>
      <c r="J2491" s="4562">
        <f>XLOOKUP(B2491,'_Sys|Line_Map'!$A:$A,'_Sys|Line_Map'!$D:$D,1,0)</f>
        <v/>
      </c>
      <c r="K2491" s="4562">
        <f>IF(D2491="","",D2491*J2491)</f>
        <v/>
      </c>
      <c r="L2491" s="4562">
        <f>XLOOKUP(B2491,'_Sys|Line_Map'!$A:$A,'_Sys|Line_Map'!$B:$B,"MISSING",0)</f>
        <v/>
      </c>
    </row>
    <row r="2492">
      <c r="A2492" s="4561" t="n"/>
      <c r="B2492" s="4561" t="n"/>
      <c r="C2492" s="4561" t="n"/>
      <c r="D2492" s="4561" t="n"/>
      <c r="E2492" s="4561" t="n"/>
      <c r="F2492" s="4561" t="n"/>
      <c r="G2492" s="4561" t="n"/>
      <c r="H2492" s="4561" t="n"/>
      <c r="I2492" s="4562">
        <f>XLOOKUP(B2492,'_Sys|Line_Map'!$A:$A,'_Sys|Line_Map'!$C:$C,"MISSING",0)</f>
        <v/>
      </c>
      <c r="J2492" s="4562">
        <f>XLOOKUP(B2492,'_Sys|Line_Map'!$A:$A,'_Sys|Line_Map'!$D:$D,1,0)</f>
        <v/>
      </c>
      <c r="K2492" s="4562">
        <f>IF(D2492="","",D2492*J2492)</f>
        <v/>
      </c>
      <c r="L2492" s="4562">
        <f>XLOOKUP(B2492,'_Sys|Line_Map'!$A:$A,'_Sys|Line_Map'!$B:$B,"MISSING",0)</f>
        <v/>
      </c>
    </row>
    <row r="2493">
      <c r="A2493" s="4561" t="n"/>
      <c r="B2493" s="4561" t="n"/>
      <c r="C2493" s="4561" t="n"/>
      <c r="D2493" s="4561" t="n"/>
      <c r="E2493" s="4561" t="n"/>
      <c r="F2493" s="4561" t="n"/>
      <c r="G2493" s="4561" t="n"/>
      <c r="H2493" s="4561" t="n"/>
      <c r="I2493" s="4562">
        <f>XLOOKUP(B2493,'_Sys|Line_Map'!$A:$A,'_Sys|Line_Map'!$C:$C,"MISSING",0)</f>
        <v/>
      </c>
      <c r="J2493" s="4562">
        <f>XLOOKUP(B2493,'_Sys|Line_Map'!$A:$A,'_Sys|Line_Map'!$D:$D,1,0)</f>
        <v/>
      </c>
      <c r="K2493" s="4562">
        <f>IF(D2493="","",D2493*J2493)</f>
        <v/>
      </c>
      <c r="L2493" s="4562">
        <f>XLOOKUP(B2493,'_Sys|Line_Map'!$A:$A,'_Sys|Line_Map'!$B:$B,"MISSING",0)</f>
        <v/>
      </c>
    </row>
    <row r="2494">
      <c r="A2494" s="4561" t="n"/>
      <c r="B2494" s="4561" t="n"/>
      <c r="C2494" s="4561" t="n"/>
      <c r="D2494" s="4561" t="n"/>
      <c r="E2494" s="4561" t="n"/>
      <c r="F2494" s="4561" t="n"/>
      <c r="G2494" s="4561" t="n"/>
      <c r="H2494" s="4561" t="n"/>
      <c r="I2494" s="4562">
        <f>XLOOKUP(B2494,'_Sys|Line_Map'!$A:$A,'_Sys|Line_Map'!$C:$C,"MISSING",0)</f>
        <v/>
      </c>
      <c r="J2494" s="4562">
        <f>XLOOKUP(B2494,'_Sys|Line_Map'!$A:$A,'_Sys|Line_Map'!$D:$D,1,0)</f>
        <v/>
      </c>
      <c r="K2494" s="4562">
        <f>IF(D2494="","",D2494*J2494)</f>
        <v/>
      </c>
      <c r="L2494" s="4562">
        <f>XLOOKUP(B2494,'_Sys|Line_Map'!$A:$A,'_Sys|Line_Map'!$B:$B,"MISSING",0)</f>
        <v/>
      </c>
    </row>
    <row r="2495">
      <c r="A2495" s="4561" t="n"/>
      <c r="B2495" s="4561" t="n"/>
      <c r="C2495" s="4561" t="n"/>
      <c r="D2495" s="4561" t="n"/>
      <c r="E2495" s="4561" t="n"/>
      <c r="F2495" s="4561" t="n"/>
      <c r="G2495" s="4561" t="n"/>
      <c r="H2495" s="4561" t="n"/>
      <c r="I2495" s="4562">
        <f>XLOOKUP(B2495,'_Sys|Line_Map'!$A:$A,'_Sys|Line_Map'!$C:$C,"MISSING",0)</f>
        <v/>
      </c>
      <c r="J2495" s="4562">
        <f>XLOOKUP(B2495,'_Sys|Line_Map'!$A:$A,'_Sys|Line_Map'!$D:$D,1,0)</f>
        <v/>
      </c>
      <c r="K2495" s="4562">
        <f>IF(D2495="","",D2495*J2495)</f>
        <v/>
      </c>
      <c r="L2495" s="4562">
        <f>XLOOKUP(B2495,'_Sys|Line_Map'!$A:$A,'_Sys|Line_Map'!$B:$B,"MISSING",0)</f>
        <v/>
      </c>
    </row>
    <row r="2496">
      <c r="A2496" s="4561" t="n"/>
      <c r="B2496" s="4561" t="n"/>
      <c r="C2496" s="4561" t="n"/>
      <c r="D2496" s="4561" t="n"/>
      <c r="E2496" s="4561" t="n"/>
      <c r="F2496" s="4561" t="n"/>
      <c r="G2496" s="4561" t="n"/>
      <c r="H2496" s="4561" t="n"/>
      <c r="I2496" s="4562">
        <f>XLOOKUP(B2496,'_Sys|Line_Map'!$A:$A,'_Sys|Line_Map'!$C:$C,"MISSING",0)</f>
        <v/>
      </c>
      <c r="J2496" s="4562">
        <f>XLOOKUP(B2496,'_Sys|Line_Map'!$A:$A,'_Sys|Line_Map'!$D:$D,1,0)</f>
        <v/>
      </c>
      <c r="K2496" s="4562">
        <f>IF(D2496="","",D2496*J2496)</f>
        <v/>
      </c>
      <c r="L2496" s="4562">
        <f>XLOOKUP(B2496,'_Sys|Line_Map'!$A:$A,'_Sys|Line_Map'!$B:$B,"MISSING",0)</f>
        <v/>
      </c>
    </row>
    <row r="2497">
      <c r="A2497" s="4561" t="n"/>
      <c r="B2497" s="4561" t="n"/>
      <c r="C2497" s="4561" t="n"/>
      <c r="D2497" s="4561" t="n"/>
      <c r="E2497" s="4561" t="n"/>
      <c r="F2497" s="4561" t="n"/>
      <c r="G2497" s="4561" t="n"/>
      <c r="H2497" s="4561" t="n"/>
      <c r="I2497" s="4562">
        <f>XLOOKUP(B2497,'_Sys|Line_Map'!$A:$A,'_Sys|Line_Map'!$C:$C,"MISSING",0)</f>
        <v/>
      </c>
      <c r="J2497" s="4562">
        <f>XLOOKUP(B2497,'_Sys|Line_Map'!$A:$A,'_Sys|Line_Map'!$D:$D,1,0)</f>
        <v/>
      </c>
      <c r="K2497" s="4562">
        <f>IF(D2497="","",D2497*J2497)</f>
        <v/>
      </c>
      <c r="L2497" s="4562">
        <f>XLOOKUP(B2497,'_Sys|Line_Map'!$A:$A,'_Sys|Line_Map'!$B:$B,"MISSING",0)</f>
        <v/>
      </c>
    </row>
    <row r="2498">
      <c r="A2498" s="4561" t="n"/>
      <c r="B2498" s="4561" t="n"/>
      <c r="C2498" s="4561" t="n"/>
      <c r="D2498" s="4561" t="n"/>
      <c r="E2498" s="4561" t="n"/>
      <c r="F2498" s="4561" t="n"/>
      <c r="G2498" s="4561" t="n"/>
      <c r="H2498" s="4561" t="n"/>
      <c r="I2498" s="4562">
        <f>XLOOKUP(B2498,'_Sys|Line_Map'!$A:$A,'_Sys|Line_Map'!$C:$C,"MISSING",0)</f>
        <v/>
      </c>
      <c r="J2498" s="4562">
        <f>XLOOKUP(B2498,'_Sys|Line_Map'!$A:$A,'_Sys|Line_Map'!$D:$D,1,0)</f>
        <v/>
      </c>
      <c r="K2498" s="4562">
        <f>IF(D2498="","",D2498*J2498)</f>
        <v/>
      </c>
      <c r="L2498" s="4562">
        <f>XLOOKUP(B2498,'_Sys|Line_Map'!$A:$A,'_Sys|Line_Map'!$B:$B,"MISSING",0)</f>
        <v/>
      </c>
    </row>
    <row r="2499">
      <c r="A2499" s="4561" t="n"/>
      <c r="B2499" s="4561" t="n"/>
      <c r="C2499" s="4561" t="n"/>
      <c r="D2499" s="4561" t="n"/>
      <c r="E2499" s="4561" t="n"/>
      <c r="F2499" s="4561" t="n"/>
      <c r="G2499" s="4561" t="n"/>
      <c r="H2499" s="4561" t="n"/>
      <c r="I2499" s="4562">
        <f>XLOOKUP(B2499,'_Sys|Line_Map'!$A:$A,'_Sys|Line_Map'!$C:$C,"MISSING",0)</f>
        <v/>
      </c>
      <c r="J2499" s="4562">
        <f>XLOOKUP(B2499,'_Sys|Line_Map'!$A:$A,'_Sys|Line_Map'!$D:$D,1,0)</f>
        <v/>
      </c>
      <c r="K2499" s="4562">
        <f>IF(D2499="","",D2499*J2499)</f>
        <v/>
      </c>
      <c r="L2499" s="4562">
        <f>XLOOKUP(B2499,'_Sys|Line_Map'!$A:$A,'_Sys|Line_Map'!$B:$B,"MISSING",0)</f>
        <v/>
      </c>
    </row>
    <row r="2500">
      <c r="A2500" s="4561" t="n"/>
      <c r="B2500" s="4561" t="n"/>
      <c r="C2500" s="4561" t="n"/>
      <c r="D2500" s="4561" t="n"/>
      <c r="E2500" s="4561" t="n"/>
      <c r="F2500" s="4561" t="n"/>
      <c r="G2500" s="4561" t="n"/>
      <c r="H2500" s="4561" t="n"/>
      <c r="I2500" s="4562">
        <f>XLOOKUP(B2500,'_Sys|Line_Map'!$A:$A,'_Sys|Line_Map'!$C:$C,"MISSING",0)</f>
        <v/>
      </c>
      <c r="J2500" s="4562">
        <f>XLOOKUP(B2500,'_Sys|Line_Map'!$A:$A,'_Sys|Line_Map'!$D:$D,1,0)</f>
        <v/>
      </c>
      <c r="K2500" s="4562">
        <f>IF(D2500="","",D2500*J2500)</f>
        <v/>
      </c>
      <c r="L2500" s="4562">
        <f>XLOOKUP(B2500,'_Sys|Line_Map'!$A:$A,'_Sys|Line_Map'!$B:$B,"MISSING",0)</f>
        <v/>
      </c>
    </row>
    <row r="2501">
      <c r="A2501" s="4561" t="n"/>
      <c r="B2501" s="4561" t="n"/>
      <c r="C2501" s="4561" t="n"/>
      <c r="D2501" s="4561" t="n"/>
      <c r="E2501" s="4561" t="n"/>
      <c r="F2501" s="4561" t="n"/>
      <c r="G2501" s="4561" t="n"/>
      <c r="H2501" s="4561" t="n"/>
      <c r="I2501" s="4562">
        <f>XLOOKUP(B2501,'_Sys|Line_Map'!$A:$A,'_Sys|Line_Map'!$C:$C,"MISSING",0)</f>
        <v/>
      </c>
      <c r="J2501" s="4562">
        <f>XLOOKUP(B2501,'_Sys|Line_Map'!$A:$A,'_Sys|Line_Map'!$D:$D,1,0)</f>
        <v/>
      </c>
      <c r="K2501" s="4562">
        <f>IF(D2501="","",D2501*J2501)</f>
        <v/>
      </c>
      <c r="L2501" s="4562">
        <f>XLOOKUP(B2501,'_Sys|Line_Map'!$A:$A,'_Sys|Line_Map'!$B:$B,"MISSING",0)</f>
        <v/>
      </c>
    </row>
    <row r="2502">
      <c r="A2502" s="4561" t="n"/>
      <c r="B2502" s="4561" t="n"/>
      <c r="C2502" s="4561" t="n"/>
      <c r="D2502" s="4561" t="n"/>
      <c r="E2502" s="4561" t="n"/>
      <c r="F2502" s="4561" t="n"/>
      <c r="G2502" s="4561" t="n"/>
      <c r="H2502" s="4561" t="n"/>
      <c r="I2502" s="4562">
        <f>XLOOKUP(B2502,'_Sys|Line_Map'!$A:$A,'_Sys|Line_Map'!$C:$C,"MISSING",0)</f>
        <v/>
      </c>
      <c r="J2502" s="4562">
        <f>XLOOKUP(B2502,'_Sys|Line_Map'!$A:$A,'_Sys|Line_Map'!$D:$D,1,0)</f>
        <v/>
      </c>
      <c r="K2502" s="4562">
        <f>IF(D2502="","",D2502*J2502)</f>
        <v/>
      </c>
      <c r="L2502" s="4562">
        <f>XLOOKUP(B2502,'_Sys|Line_Map'!$A:$A,'_Sys|Line_Map'!$B:$B,"MISSING",0)</f>
        <v/>
      </c>
    </row>
    <row r="2503">
      <c r="A2503" s="4561" t="n"/>
      <c r="B2503" s="4561" t="n"/>
      <c r="C2503" s="4561" t="n"/>
      <c r="D2503" s="4561" t="n"/>
      <c r="E2503" s="4561" t="n"/>
      <c r="F2503" s="4561" t="n"/>
      <c r="G2503" s="4561" t="n"/>
      <c r="H2503" s="4561" t="n"/>
      <c r="I2503" s="4562">
        <f>XLOOKUP(B2503,'_Sys|Line_Map'!$A:$A,'_Sys|Line_Map'!$C:$C,"MISSING",0)</f>
        <v/>
      </c>
      <c r="J2503" s="4562">
        <f>XLOOKUP(B2503,'_Sys|Line_Map'!$A:$A,'_Sys|Line_Map'!$D:$D,1,0)</f>
        <v/>
      </c>
      <c r="K2503" s="4562">
        <f>IF(D2503="","",D2503*J2503)</f>
        <v/>
      </c>
      <c r="L2503" s="4562">
        <f>XLOOKUP(B2503,'_Sys|Line_Map'!$A:$A,'_Sys|Line_Map'!$B:$B,"MISSING",0)</f>
        <v/>
      </c>
    </row>
    <row r="2504">
      <c r="A2504" s="4561" t="n"/>
      <c r="B2504" s="4561" t="n"/>
      <c r="C2504" s="4561" t="n"/>
      <c r="D2504" s="4561" t="n"/>
      <c r="E2504" s="4561" t="n"/>
      <c r="F2504" s="4561" t="n"/>
      <c r="G2504" s="4561" t="n"/>
      <c r="H2504" s="4561" t="n"/>
      <c r="I2504" s="4562">
        <f>XLOOKUP(B2504,'_Sys|Line_Map'!$A:$A,'_Sys|Line_Map'!$C:$C,"MISSING",0)</f>
        <v/>
      </c>
      <c r="J2504" s="4562">
        <f>XLOOKUP(B2504,'_Sys|Line_Map'!$A:$A,'_Sys|Line_Map'!$D:$D,1,0)</f>
        <v/>
      </c>
      <c r="K2504" s="4562">
        <f>IF(D2504="","",D2504*J2504)</f>
        <v/>
      </c>
      <c r="L2504" s="4562">
        <f>XLOOKUP(B2504,'_Sys|Line_Map'!$A:$A,'_Sys|Line_Map'!$B:$B,"MISSING",0)</f>
        <v/>
      </c>
    </row>
    <row r="2505">
      <c r="A2505" s="4561" t="n"/>
      <c r="B2505" s="4561" t="n"/>
      <c r="C2505" s="4561" t="n"/>
      <c r="D2505" s="4561" t="n"/>
      <c r="E2505" s="4561" t="n"/>
      <c r="F2505" s="4561" t="n"/>
      <c r="G2505" s="4561" t="n"/>
      <c r="H2505" s="4561" t="n"/>
      <c r="I2505" s="4562">
        <f>XLOOKUP(B2505,'_Sys|Line_Map'!$A:$A,'_Sys|Line_Map'!$C:$C,"MISSING",0)</f>
        <v/>
      </c>
      <c r="J2505" s="4562">
        <f>XLOOKUP(B2505,'_Sys|Line_Map'!$A:$A,'_Sys|Line_Map'!$D:$D,1,0)</f>
        <v/>
      </c>
      <c r="K2505" s="4562">
        <f>IF(D2505="","",D2505*J2505)</f>
        <v/>
      </c>
      <c r="L2505" s="4562">
        <f>XLOOKUP(B2505,'_Sys|Line_Map'!$A:$A,'_Sys|Line_Map'!$B:$B,"MISSING",0)</f>
        <v/>
      </c>
    </row>
    <row r="2506">
      <c r="A2506" s="4561" t="n"/>
      <c r="B2506" s="4561" t="n"/>
      <c r="C2506" s="4561" t="n"/>
      <c r="D2506" s="4561" t="n"/>
      <c r="E2506" s="4561" t="n"/>
      <c r="F2506" s="4561" t="n"/>
      <c r="G2506" s="4561" t="n"/>
      <c r="H2506" s="4561" t="n"/>
      <c r="I2506" s="4562">
        <f>XLOOKUP(B2506,'_Sys|Line_Map'!$A:$A,'_Sys|Line_Map'!$C:$C,"MISSING",0)</f>
        <v/>
      </c>
      <c r="J2506" s="4562">
        <f>XLOOKUP(B2506,'_Sys|Line_Map'!$A:$A,'_Sys|Line_Map'!$D:$D,1,0)</f>
        <v/>
      </c>
      <c r="K2506" s="4562">
        <f>IF(D2506="","",D2506*J2506)</f>
        <v/>
      </c>
      <c r="L2506" s="4562">
        <f>XLOOKUP(B2506,'_Sys|Line_Map'!$A:$A,'_Sys|Line_Map'!$B:$B,"MISSING",0)</f>
        <v/>
      </c>
    </row>
    <row r="2507">
      <c r="A2507" s="4561" t="n"/>
      <c r="B2507" s="4561" t="n"/>
      <c r="C2507" s="4561" t="n"/>
      <c r="D2507" s="4561" t="n"/>
      <c r="E2507" s="4561" t="n"/>
      <c r="F2507" s="4561" t="n"/>
      <c r="G2507" s="4561" t="n"/>
      <c r="H2507" s="4561" t="n"/>
      <c r="I2507" s="4562">
        <f>XLOOKUP(B2507,'_Sys|Line_Map'!$A:$A,'_Sys|Line_Map'!$C:$C,"MISSING",0)</f>
        <v/>
      </c>
      <c r="J2507" s="4562">
        <f>XLOOKUP(B2507,'_Sys|Line_Map'!$A:$A,'_Sys|Line_Map'!$D:$D,1,0)</f>
        <v/>
      </c>
      <c r="K2507" s="4562">
        <f>IF(D2507="","",D2507*J2507)</f>
        <v/>
      </c>
      <c r="L2507" s="4562">
        <f>XLOOKUP(B2507,'_Sys|Line_Map'!$A:$A,'_Sys|Line_Map'!$B:$B,"MISSING",0)</f>
        <v/>
      </c>
    </row>
    <row r="2508">
      <c r="A2508" s="4561" t="n"/>
      <c r="B2508" s="4561" t="n"/>
      <c r="C2508" s="4561" t="n"/>
      <c r="D2508" s="4561" t="n"/>
      <c r="E2508" s="4561" t="n"/>
      <c r="F2508" s="4561" t="n"/>
      <c r="G2508" s="4561" t="n"/>
      <c r="H2508" s="4561" t="n"/>
      <c r="I2508" s="4562">
        <f>XLOOKUP(B2508,'_Sys|Line_Map'!$A:$A,'_Sys|Line_Map'!$C:$C,"MISSING",0)</f>
        <v/>
      </c>
      <c r="J2508" s="4562">
        <f>XLOOKUP(B2508,'_Sys|Line_Map'!$A:$A,'_Sys|Line_Map'!$D:$D,1,0)</f>
        <v/>
      </c>
      <c r="K2508" s="4562">
        <f>IF(D2508="","",D2508*J2508)</f>
        <v/>
      </c>
      <c r="L2508" s="4562">
        <f>XLOOKUP(B2508,'_Sys|Line_Map'!$A:$A,'_Sys|Line_Map'!$B:$B,"MISSING",0)</f>
        <v/>
      </c>
    </row>
    <row r="2509">
      <c r="A2509" s="4561" t="n"/>
      <c r="B2509" s="4561" t="n"/>
      <c r="C2509" s="4561" t="n"/>
      <c r="D2509" s="4561" t="n"/>
      <c r="E2509" s="4561" t="n"/>
      <c r="F2509" s="4561" t="n"/>
      <c r="G2509" s="4561" t="n"/>
      <c r="H2509" s="4561" t="n"/>
      <c r="I2509" s="4562">
        <f>XLOOKUP(B2509,'_Sys|Line_Map'!$A:$A,'_Sys|Line_Map'!$C:$C,"MISSING",0)</f>
        <v/>
      </c>
      <c r="J2509" s="4562">
        <f>XLOOKUP(B2509,'_Sys|Line_Map'!$A:$A,'_Sys|Line_Map'!$D:$D,1,0)</f>
        <v/>
      </c>
      <c r="K2509" s="4562">
        <f>IF(D2509="","",D2509*J2509)</f>
        <v/>
      </c>
      <c r="L2509" s="4562">
        <f>XLOOKUP(B2509,'_Sys|Line_Map'!$A:$A,'_Sys|Line_Map'!$B:$B,"MISSING",0)</f>
        <v/>
      </c>
    </row>
    <row r="2510">
      <c r="A2510" s="4561" t="n"/>
      <c r="B2510" s="4561" t="n"/>
      <c r="C2510" s="4561" t="n"/>
      <c r="D2510" s="4561" t="n"/>
      <c r="E2510" s="4561" t="n"/>
      <c r="F2510" s="4561" t="n"/>
      <c r="G2510" s="4561" t="n"/>
      <c r="H2510" s="4561" t="n"/>
      <c r="I2510" s="4562">
        <f>XLOOKUP(B2510,'_Sys|Line_Map'!$A:$A,'_Sys|Line_Map'!$C:$C,"MISSING",0)</f>
        <v/>
      </c>
      <c r="J2510" s="4562">
        <f>XLOOKUP(B2510,'_Sys|Line_Map'!$A:$A,'_Sys|Line_Map'!$D:$D,1,0)</f>
        <v/>
      </c>
      <c r="K2510" s="4562">
        <f>IF(D2510="","",D2510*J2510)</f>
        <v/>
      </c>
      <c r="L2510" s="4562">
        <f>XLOOKUP(B2510,'_Sys|Line_Map'!$A:$A,'_Sys|Line_Map'!$B:$B,"MISSING",0)</f>
        <v/>
      </c>
    </row>
    <row r="2511">
      <c r="A2511" s="4561" t="n"/>
      <c r="B2511" s="4561" t="n"/>
      <c r="C2511" s="4561" t="n"/>
      <c r="D2511" s="4561" t="n"/>
      <c r="E2511" s="4561" t="n"/>
      <c r="F2511" s="4561" t="n"/>
      <c r="G2511" s="4561" t="n"/>
      <c r="H2511" s="4561" t="n"/>
      <c r="I2511" s="4562">
        <f>XLOOKUP(B2511,'_Sys|Line_Map'!$A:$A,'_Sys|Line_Map'!$C:$C,"MISSING",0)</f>
        <v/>
      </c>
      <c r="J2511" s="4562">
        <f>XLOOKUP(B2511,'_Sys|Line_Map'!$A:$A,'_Sys|Line_Map'!$D:$D,1,0)</f>
        <v/>
      </c>
      <c r="K2511" s="4562">
        <f>IF(D2511="","",D2511*J2511)</f>
        <v/>
      </c>
      <c r="L2511" s="4562">
        <f>XLOOKUP(B2511,'_Sys|Line_Map'!$A:$A,'_Sys|Line_Map'!$B:$B,"MISSING",0)</f>
        <v/>
      </c>
    </row>
    <row r="2512">
      <c r="A2512" s="4561" t="n"/>
      <c r="B2512" s="4561" t="n"/>
      <c r="C2512" s="4561" t="n"/>
      <c r="D2512" s="4561" t="n"/>
      <c r="E2512" s="4561" t="n"/>
      <c r="F2512" s="4561" t="n"/>
      <c r="G2512" s="4561" t="n"/>
      <c r="H2512" s="4561" t="n"/>
      <c r="I2512" s="4562">
        <f>XLOOKUP(B2512,'_Sys|Line_Map'!$A:$A,'_Sys|Line_Map'!$C:$C,"MISSING",0)</f>
        <v/>
      </c>
      <c r="J2512" s="4562">
        <f>XLOOKUP(B2512,'_Sys|Line_Map'!$A:$A,'_Sys|Line_Map'!$D:$D,1,0)</f>
        <v/>
      </c>
      <c r="K2512" s="4562">
        <f>IF(D2512="","",D2512*J2512)</f>
        <v/>
      </c>
      <c r="L2512" s="4562">
        <f>XLOOKUP(B2512,'_Sys|Line_Map'!$A:$A,'_Sys|Line_Map'!$B:$B,"MISSING",0)</f>
        <v/>
      </c>
    </row>
    <row r="2513">
      <c r="A2513" s="4561" t="n"/>
      <c r="B2513" s="4561" t="n"/>
      <c r="C2513" s="4561" t="n"/>
      <c r="D2513" s="4561" t="n"/>
      <c r="E2513" s="4561" t="n"/>
      <c r="F2513" s="4561" t="n"/>
      <c r="G2513" s="4561" t="n"/>
      <c r="H2513" s="4561" t="n"/>
      <c r="I2513" s="4562">
        <f>XLOOKUP(B2513,'_Sys|Line_Map'!$A:$A,'_Sys|Line_Map'!$C:$C,"MISSING",0)</f>
        <v/>
      </c>
      <c r="J2513" s="4562">
        <f>XLOOKUP(B2513,'_Sys|Line_Map'!$A:$A,'_Sys|Line_Map'!$D:$D,1,0)</f>
        <v/>
      </c>
      <c r="K2513" s="4562">
        <f>IF(D2513="","",D2513*J2513)</f>
        <v/>
      </c>
      <c r="L2513" s="4562">
        <f>XLOOKUP(B2513,'_Sys|Line_Map'!$A:$A,'_Sys|Line_Map'!$B:$B,"MISSING",0)</f>
        <v/>
      </c>
    </row>
    <row r="2514">
      <c r="A2514" s="4561" t="n"/>
      <c r="B2514" s="4561" t="n"/>
      <c r="C2514" s="4561" t="n"/>
      <c r="D2514" s="4561" t="n"/>
      <c r="E2514" s="4561" t="n"/>
      <c r="F2514" s="4561" t="n"/>
      <c r="G2514" s="4561" t="n"/>
      <c r="H2514" s="4561" t="n"/>
      <c r="I2514" s="4562">
        <f>XLOOKUP(B2514,'_Sys|Line_Map'!$A:$A,'_Sys|Line_Map'!$C:$C,"MISSING",0)</f>
        <v/>
      </c>
      <c r="J2514" s="4562">
        <f>XLOOKUP(B2514,'_Sys|Line_Map'!$A:$A,'_Sys|Line_Map'!$D:$D,1,0)</f>
        <v/>
      </c>
      <c r="K2514" s="4562">
        <f>IF(D2514="","",D2514*J2514)</f>
        <v/>
      </c>
      <c r="L2514" s="4562">
        <f>XLOOKUP(B2514,'_Sys|Line_Map'!$A:$A,'_Sys|Line_Map'!$B:$B,"MISSING",0)</f>
        <v/>
      </c>
    </row>
    <row r="2515">
      <c r="A2515" s="4561" t="n"/>
      <c r="B2515" s="4561" t="n"/>
      <c r="C2515" s="4561" t="n"/>
      <c r="D2515" s="4561" t="n"/>
      <c r="E2515" s="4561" t="n"/>
      <c r="F2515" s="4561" t="n"/>
      <c r="G2515" s="4561" t="n"/>
      <c r="H2515" s="4561" t="n"/>
      <c r="I2515" s="4562">
        <f>XLOOKUP(B2515,'_Sys|Line_Map'!$A:$A,'_Sys|Line_Map'!$C:$C,"MISSING",0)</f>
        <v/>
      </c>
      <c r="J2515" s="4562">
        <f>XLOOKUP(B2515,'_Sys|Line_Map'!$A:$A,'_Sys|Line_Map'!$D:$D,1,0)</f>
        <v/>
      </c>
      <c r="K2515" s="4562">
        <f>IF(D2515="","",D2515*J2515)</f>
        <v/>
      </c>
      <c r="L2515" s="4562">
        <f>XLOOKUP(B2515,'_Sys|Line_Map'!$A:$A,'_Sys|Line_Map'!$B:$B,"MISSING",0)</f>
        <v/>
      </c>
    </row>
    <row r="2516">
      <c r="A2516" s="4561" t="n"/>
      <c r="B2516" s="4561" t="n"/>
      <c r="C2516" s="4561" t="n"/>
      <c r="D2516" s="4561" t="n"/>
      <c r="E2516" s="4561" t="n"/>
      <c r="F2516" s="4561" t="n"/>
      <c r="G2516" s="4561" t="n"/>
      <c r="H2516" s="4561" t="n"/>
      <c r="I2516" s="4562">
        <f>XLOOKUP(B2516,'_Sys|Line_Map'!$A:$A,'_Sys|Line_Map'!$C:$C,"MISSING",0)</f>
        <v/>
      </c>
      <c r="J2516" s="4562">
        <f>XLOOKUP(B2516,'_Sys|Line_Map'!$A:$A,'_Sys|Line_Map'!$D:$D,1,0)</f>
        <v/>
      </c>
      <c r="K2516" s="4562">
        <f>IF(D2516="","",D2516*J2516)</f>
        <v/>
      </c>
      <c r="L2516" s="4562">
        <f>XLOOKUP(B2516,'_Sys|Line_Map'!$A:$A,'_Sys|Line_Map'!$B:$B,"MISSING",0)</f>
        <v/>
      </c>
    </row>
    <row r="2517">
      <c r="A2517" s="4561" t="n"/>
      <c r="B2517" s="4561" t="n"/>
      <c r="C2517" s="4561" t="n"/>
      <c r="D2517" s="4561" t="n"/>
      <c r="E2517" s="4561" t="n"/>
      <c r="F2517" s="4561" t="n"/>
      <c r="G2517" s="4561" t="n"/>
      <c r="H2517" s="4561" t="n"/>
      <c r="I2517" s="4562">
        <f>XLOOKUP(B2517,'_Sys|Line_Map'!$A:$A,'_Sys|Line_Map'!$C:$C,"MISSING",0)</f>
        <v/>
      </c>
      <c r="J2517" s="4562">
        <f>XLOOKUP(B2517,'_Sys|Line_Map'!$A:$A,'_Sys|Line_Map'!$D:$D,1,0)</f>
        <v/>
      </c>
      <c r="K2517" s="4562">
        <f>IF(D2517="","",D2517*J2517)</f>
        <v/>
      </c>
      <c r="L2517" s="4562">
        <f>XLOOKUP(B2517,'_Sys|Line_Map'!$A:$A,'_Sys|Line_Map'!$B:$B,"MISSING",0)</f>
        <v/>
      </c>
    </row>
    <row r="2518">
      <c r="A2518" s="4561" t="n"/>
      <c r="B2518" s="4561" t="n"/>
      <c r="C2518" s="4561" t="n"/>
      <c r="D2518" s="4561" t="n"/>
      <c r="E2518" s="4561" t="n"/>
      <c r="F2518" s="4561" t="n"/>
      <c r="G2518" s="4561" t="n"/>
      <c r="H2518" s="4561" t="n"/>
      <c r="I2518" s="4562">
        <f>XLOOKUP(B2518,'_Sys|Line_Map'!$A:$A,'_Sys|Line_Map'!$C:$C,"MISSING",0)</f>
        <v/>
      </c>
      <c r="J2518" s="4562">
        <f>XLOOKUP(B2518,'_Sys|Line_Map'!$A:$A,'_Sys|Line_Map'!$D:$D,1,0)</f>
        <v/>
      </c>
      <c r="K2518" s="4562">
        <f>IF(D2518="","",D2518*J2518)</f>
        <v/>
      </c>
      <c r="L2518" s="4562">
        <f>XLOOKUP(B2518,'_Sys|Line_Map'!$A:$A,'_Sys|Line_Map'!$B:$B,"MISSING",0)</f>
        <v/>
      </c>
    </row>
    <row r="2519">
      <c r="A2519" s="4561" t="n"/>
      <c r="B2519" s="4561" t="n"/>
      <c r="C2519" s="4561" t="n"/>
      <c r="D2519" s="4561" t="n"/>
      <c r="E2519" s="4561" t="n"/>
      <c r="F2519" s="4561" t="n"/>
      <c r="G2519" s="4561" t="n"/>
      <c r="H2519" s="4561" t="n"/>
      <c r="I2519" s="4562">
        <f>XLOOKUP(B2519,'_Sys|Line_Map'!$A:$A,'_Sys|Line_Map'!$C:$C,"MISSING",0)</f>
        <v/>
      </c>
      <c r="J2519" s="4562">
        <f>XLOOKUP(B2519,'_Sys|Line_Map'!$A:$A,'_Sys|Line_Map'!$D:$D,1,0)</f>
        <v/>
      </c>
      <c r="K2519" s="4562">
        <f>IF(D2519="","",D2519*J2519)</f>
        <v/>
      </c>
      <c r="L2519" s="4562">
        <f>XLOOKUP(B2519,'_Sys|Line_Map'!$A:$A,'_Sys|Line_Map'!$B:$B,"MISSING",0)</f>
        <v/>
      </c>
    </row>
    <row r="2520">
      <c r="A2520" s="4561" t="n"/>
      <c r="B2520" s="4561" t="n"/>
      <c r="C2520" s="4561" t="n"/>
      <c r="D2520" s="4561" t="n"/>
      <c r="E2520" s="4561" t="n"/>
      <c r="F2520" s="4561" t="n"/>
      <c r="G2520" s="4561" t="n"/>
      <c r="H2520" s="4561" t="n"/>
      <c r="I2520" s="4562">
        <f>XLOOKUP(B2520,'_Sys|Line_Map'!$A:$A,'_Sys|Line_Map'!$C:$C,"MISSING",0)</f>
        <v/>
      </c>
      <c r="J2520" s="4562">
        <f>XLOOKUP(B2520,'_Sys|Line_Map'!$A:$A,'_Sys|Line_Map'!$D:$D,1,0)</f>
        <v/>
      </c>
      <c r="K2520" s="4562">
        <f>IF(D2520="","",D2520*J2520)</f>
        <v/>
      </c>
      <c r="L2520" s="4562">
        <f>XLOOKUP(B2520,'_Sys|Line_Map'!$A:$A,'_Sys|Line_Map'!$B:$B,"MISSING",0)</f>
        <v/>
      </c>
    </row>
    <row r="2521">
      <c r="A2521" s="4561" t="n"/>
      <c r="B2521" s="4561" t="n"/>
      <c r="C2521" s="4561" t="n"/>
      <c r="D2521" s="4561" t="n"/>
      <c r="E2521" s="4561" t="n"/>
      <c r="F2521" s="4561" t="n"/>
      <c r="G2521" s="4561" t="n"/>
      <c r="H2521" s="4561" t="n"/>
      <c r="I2521" s="4562">
        <f>XLOOKUP(B2521,'_Sys|Line_Map'!$A:$A,'_Sys|Line_Map'!$C:$C,"MISSING",0)</f>
        <v/>
      </c>
      <c r="J2521" s="4562">
        <f>XLOOKUP(B2521,'_Sys|Line_Map'!$A:$A,'_Sys|Line_Map'!$D:$D,1,0)</f>
        <v/>
      </c>
      <c r="K2521" s="4562">
        <f>IF(D2521="","",D2521*J2521)</f>
        <v/>
      </c>
      <c r="L2521" s="4562">
        <f>XLOOKUP(B2521,'_Sys|Line_Map'!$A:$A,'_Sys|Line_Map'!$B:$B,"MISSING",0)</f>
        <v/>
      </c>
    </row>
    <row r="2522">
      <c r="A2522" s="4561" t="n"/>
      <c r="B2522" s="4561" t="n"/>
      <c r="C2522" s="4561" t="n"/>
      <c r="D2522" s="4561" t="n"/>
      <c r="E2522" s="4561" t="n"/>
      <c r="F2522" s="4561" t="n"/>
      <c r="G2522" s="4561" t="n"/>
      <c r="H2522" s="4561" t="n"/>
      <c r="I2522" s="4562">
        <f>XLOOKUP(B2522,'_Sys|Line_Map'!$A:$A,'_Sys|Line_Map'!$C:$C,"MISSING",0)</f>
        <v/>
      </c>
      <c r="J2522" s="4562">
        <f>XLOOKUP(B2522,'_Sys|Line_Map'!$A:$A,'_Sys|Line_Map'!$D:$D,1,0)</f>
        <v/>
      </c>
      <c r="K2522" s="4562">
        <f>IF(D2522="","",D2522*J2522)</f>
        <v/>
      </c>
      <c r="L2522" s="4562">
        <f>XLOOKUP(B2522,'_Sys|Line_Map'!$A:$A,'_Sys|Line_Map'!$B:$B,"MISSING",0)</f>
        <v/>
      </c>
    </row>
    <row r="2523">
      <c r="A2523" s="4561" t="n"/>
      <c r="B2523" s="4561" t="n"/>
      <c r="C2523" s="4561" t="n"/>
      <c r="D2523" s="4561" t="n"/>
      <c r="E2523" s="4561" t="n"/>
      <c r="F2523" s="4561" t="n"/>
      <c r="G2523" s="4561" t="n"/>
      <c r="H2523" s="4561" t="n"/>
      <c r="I2523" s="4562">
        <f>XLOOKUP(B2523,'_Sys|Line_Map'!$A:$A,'_Sys|Line_Map'!$C:$C,"MISSING",0)</f>
        <v/>
      </c>
      <c r="J2523" s="4562">
        <f>XLOOKUP(B2523,'_Sys|Line_Map'!$A:$A,'_Sys|Line_Map'!$D:$D,1,0)</f>
        <v/>
      </c>
      <c r="K2523" s="4562">
        <f>IF(D2523="","",D2523*J2523)</f>
        <v/>
      </c>
      <c r="L2523" s="4562">
        <f>XLOOKUP(B2523,'_Sys|Line_Map'!$A:$A,'_Sys|Line_Map'!$B:$B,"MISSING",0)</f>
        <v/>
      </c>
    </row>
    <row r="2524">
      <c r="A2524" s="4561" t="n"/>
      <c r="B2524" s="4561" t="n"/>
      <c r="C2524" s="4561" t="n"/>
      <c r="D2524" s="4561" t="n"/>
      <c r="E2524" s="4561" t="n"/>
      <c r="F2524" s="4561" t="n"/>
      <c r="G2524" s="4561" t="n"/>
      <c r="H2524" s="4561" t="n"/>
      <c r="I2524" s="4562">
        <f>XLOOKUP(B2524,'_Sys|Line_Map'!$A:$A,'_Sys|Line_Map'!$C:$C,"MISSING",0)</f>
        <v/>
      </c>
      <c r="J2524" s="4562">
        <f>XLOOKUP(B2524,'_Sys|Line_Map'!$A:$A,'_Sys|Line_Map'!$D:$D,1,0)</f>
        <v/>
      </c>
      <c r="K2524" s="4562">
        <f>IF(D2524="","",D2524*J2524)</f>
        <v/>
      </c>
      <c r="L2524" s="4562">
        <f>XLOOKUP(B2524,'_Sys|Line_Map'!$A:$A,'_Sys|Line_Map'!$B:$B,"MISSING",0)</f>
        <v/>
      </c>
    </row>
    <row r="2525">
      <c r="A2525" s="4561" t="n"/>
      <c r="B2525" s="4561" t="n"/>
      <c r="C2525" s="4561" t="n"/>
      <c r="D2525" s="4561" t="n"/>
      <c r="E2525" s="4561" t="n"/>
      <c r="F2525" s="4561" t="n"/>
      <c r="G2525" s="4561" t="n"/>
      <c r="H2525" s="4561" t="n"/>
      <c r="I2525" s="4562">
        <f>XLOOKUP(B2525,'_Sys|Line_Map'!$A:$A,'_Sys|Line_Map'!$C:$C,"MISSING",0)</f>
        <v/>
      </c>
      <c r="J2525" s="4562">
        <f>XLOOKUP(B2525,'_Sys|Line_Map'!$A:$A,'_Sys|Line_Map'!$D:$D,1,0)</f>
        <v/>
      </c>
      <c r="K2525" s="4562">
        <f>IF(D2525="","",D2525*J2525)</f>
        <v/>
      </c>
      <c r="L2525" s="4562">
        <f>XLOOKUP(B2525,'_Sys|Line_Map'!$A:$A,'_Sys|Line_Map'!$B:$B,"MISSING",0)</f>
        <v/>
      </c>
    </row>
    <row r="2526">
      <c r="A2526" s="4561" t="n"/>
      <c r="B2526" s="4561" t="n"/>
      <c r="C2526" s="4561" t="n"/>
      <c r="D2526" s="4561" t="n"/>
      <c r="E2526" s="4561" t="n"/>
      <c r="F2526" s="4561" t="n"/>
      <c r="G2526" s="4561" t="n"/>
      <c r="H2526" s="4561" t="n"/>
      <c r="I2526" s="4562">
        <f>XLOOKUP(B2526,'_Sys|Line_Map'!$A:$A,'_Sys|Line_Map'!$C:$C,"MISSING",0)</f>
        <v/>
      </c>
      <c r="J2526" s="4562">
        <f>XLOOKUP(B2526,'_Sys|Line_Map'!$A:$A,'_Sys|Line_Map'!$D:$D,1,0)</f>
        <v/>
      </c>
      <c r="K2526" s="4562">
        <f>IF(D2526="","",D2526*J2526)</f>
        <v/>
      </c>
      <c r="L2526" s="4562">
        <f>XLOOKUP(B2526,'_Sys|Line_Map'!$A:$A,'_Sys|Line_Map'!$B:$B,"MISSING",0)</f>
        <v/>
      </c>
    </row>
    <row r="2527">
      <c r="A2527" s="4561" t="n"/>
      <c r="B2527" s="4561" t="n"/>
      <c r="C2527" s="4561" t="n"/>
      <c r="D2527" s="4561" t="n"/>
      <c r="E2527" s="4561" t="n"/>
      <c r="F2527" s="4561" t="n"/>
      <c r="G2527" s="4561" t="n"/>
      <c r="H2527" s="4561" t="n"/>
      <c r="I2527" s="4562">
        <f>XLOOKUP(B2527,'_Sys|Line_Map'!$A:$A,'_Sys|Line_Map'!$C:$C,"MISSING",0)</f>
        <v/>
      </c>
      <c r="J2527" s="4562">
        <f>XLOOKUP(B2527,'_Sys|Line_Map'!$A:$A,'_Sys|Line_Map'!$D:$D,1,0)</f>
        <v/>
      </c>
      <c r="K2527" s="4562">
        <f>IF(D2527="","",D2527*J2527)</f>
        <v/>
      </c>
      <c r="L2527" s="4562">
        <f>XLOOKUP(B2527,'_Sys|Line_Map'!$A:$A,'_Sys|Line_Map'!$B:$B,"MISSING",0)</f>
        <v/>
      </c>
    </row>
    <row r="2528">
      <c r="A2528" s="4561" t="n"/>
      <c r="B2528" s="4561" t="n"/>
      <c r="C2528" s="4561" t="n"/>
      <c r="D2528" s="4561" t="n"/>
      <c r="E2528" s="4561" t="n"/>
      <c r="F2528" s="4561" t="n"/>
      <c r="G2528" s="4561" t="n"/>
      <c r="H2528" s="4561" t="n"/>
      <c r="I2528" s="4562">
        <f>XLOOKUP(B2528,'_Sys|Line_Map'!$A:$A,'_Sys|Line_Map'!$C:$C,"MISSING",0)</f>
        <v/>
      </c>
      <c r="J2528" s="4562">
        <f>XLOOKUP(B2528,'_Sys|Line_Map'!$A:$A,'_Sys|Line_Map'!$D:$D,1,0)</f>
        <v/>
      </c>
      <c r="K2528" s="4562">
        <f>IF(D2528="","",D2528*J2528)</f>
        <v/>
      </c>
      <c r="L2528" s="4562">
        <f>XLOOKUP(B2528,'_Sys|Line_Map'!$A:$A,'_Sys|Line_Map'!$B:$B,"MISSING",0)</f>
        <v/>
      </c>
    </row>
    <row r="2529">
      <c r="A2529" s="4561" t="n"/>
      <c r="B2529" s="4561" t="n"/>
      <c r="C2529" s="4561" t="n"/>
      <c r="D2529" s="4561" t="n"/>
      <c r="E2529" s="4561" t="n"/>
      <c r="F2529" s="4561" t="n"/>
      <c r="G2529" s="4561" t="n"/>
      <c r="H2529" s="4561" t="n"/>
      <c r="I2529" s="4562">
        <f>XLOOKUP(B2529,'_Sys|Line_Map'!$A:$A,'_Sys|Line_Map'!$C:$C,"MISSING",0)</f>
        <v/>
      </c>
      <c r="J2529" s="4562">
        <f>XLOOKUP(B2529,'_Sys|Line_Map'!$A:$A,'_Sys|Line_Map'!$D:$D,1,0)</f>
        <v/>
      </c>
      <c r="K2529" s="4562">
        <f>IF(D2529="","",D2529*J2529)</f>
        <v/>
      </c>
      <c r="L2529" s="4562">
        <f>XLOOKUP(B2529,'_Sys|Line_Map'!$A:$A,'_Sys|Line_Map'!$B:$B,"MISSING",0)</f>
        <v/>
      </c>
    </row>
    <row r="2530">
      <c r="A2530" s="4561" t="n"/>
      <c r="B2530" s="4561" t="n"/>
      <c r="C2530" s="4561" t="n"/>
      <c r="D2530" s="4561" t="n"/>
      <c r="E2530" s="4561" t="n"/>
      <c r="F2530" s="4561" t="n"/>
      <c r="G2530" s="4561" t="n"/>
      <c r="H2530" s="4561" t="n"/>
      <c r="I2530" s="4562">
        <f>XLOOKUP(B2530,'_Sys|Line_Map'!$A:$A,'_Sys|Line_Map'!$C:$C,"MISSING",0)</f>
        <v/>
      </c>
      <c r="J2530" s="4562">
        <f>XLOOKUP(B2530,'_Sys|Line_Map'!$A:$A,'_Sys|Line_Map'!$D:$D,1,0)</f>
        <v/>
      </c>
      <c r="K2530" s="4562">
        <f>IF(D2530="","",D2530*J2530)</f>
        <v/>
      </c>
      <c r="L2530" s="4562">
        <f>XLOOKUP(B2530,'_Sys|Line_Map'!$A:$A,'_Sys|Line_Map'!$B:$B,"MISSING",0)</f>
        <v/>
      </c>
    </row>
    <row r="2531">
      <c r="A2531" s="4561" t="n"/>
      <c r="B2531" s="4561" t="n"/>
      <c r="C2531" s="4561" t="n"/>
      <c r="D2531" s="4561" t="n"/>
      <c r="E2531" s="4561" t="n"/>
      <c r="F2531" s="4561" t="n"/>
      <c r="G2531" s="4561" t="n"/>
      <c r="H2531" s="4561" t="n"/>
      <c r="I2531" s="4562">
        <f>XLOOKUP(B2531,'_Sys|Line_Map'!$A:$A,'_Sys|Line_Map'!$C:$C,"MISSING",0)</f>
        <v/>
      </c>
      <c r="J2531" s="4562">
        <f>XLOOKUP(B2531,'_Sys|Line_Map'!$A:$A,'_Sys|Line_Map'!$D:$D,1,0)</f>
        <v/>
      </c>
      <c r="K2531" s="4562">
        <f>IF(D2531="","",D2531*J2531)</f>
        <v/>
      </c>
      <c r="L2531" s="4562">
        <f>XLOOKUP(B2531,'_Sys|Line_Map'!$A:$A,'_Sys|Line_Map'!$B:$B,"MISSING",0)</f>
        <v/>
      </c>
    </row>
    <row r="2532">
      <c r="A2532" s="4561" t="n"/>
      <c r="B2532" s="4561" t="n"/>
      <c r="C2532" s="4561" t="n"/>
      <c r="D2532" s="4561" t="n"/>
      <c r="E2532" s="4561" t="n"/>
      <c r="F2532" s="4561" t="n"/>
      <c r="G2532" s="4561" t="n"/>
      <c r="H2532" s="4561" t="n"/>
      <c r="I2532" s="4562">
        <f>XLOOKUP(B2532,'_Sys|Line_Map'!$A:$A,'_Sys|Line_Map'!$C:$C,"MISSING",0)</f>
        <v/>
      </c>
      <c r="J2532" s="4562">
        <f>XLOOKUP(B2532,'_Sys|Line_Map'!$A:$A,'_Sys|Line_Map'!$D:$D,1,0)</f>
        <v/>
      </c>
      <c r="K2532" s="4562">
        <f>IF(D2532="","",D2532*J2532)</f>
        <v/>
      </c>
      <c r="L2532" s="4562">
        <f>XLOOKUP(B2532,'_Sys|Line_Map'!$A:$A,'_Sys|Line_Map'!$B:$B,"MISSING",0)</f>
        <v/>
      </c>
    </row>
    <row r="2533">
      <c r="A2533" s="4561" t="n"/>
      <c r="B2533" s="4561" t="n"/>
      <c r="C2533" s="4561" t="n"/>
      <c r="D2533" s="4561" t="n"/>
      <c r="E2533" s="4561" t="n"/>
      <c r="F2533" s="4561" t="n"/>
      <c r="G2533" s="4561" t="n"/>
      <c r="H2533" s="4561" t="n"/>
      <c r="I2533" s="4562">
        <f>XLOOKUP(B2533,'_Sys|Line_Map'!$A:$A,'_Sys|Line_Map'!$C:$C,"MISSING",0)</f>
        <v/>
      </c>
      <c r="J2533" s="4562">
        <f>XLOOKUP(B2533,'_Sys|Line_Map'!$A:$A,'_Sys|Line_Map'!$D:$D,1,0)</f>
        <v/>
      </c>
      <c r="K2533" s="4562">
        <f>IF(D2533="","",D2533*J2533)</f>
        <v/>
      </c>
      <c r="L2533" s="4562">
        <f>XLOOKUP(B2533,'_Sys|Line_Map'!$A:$A,'_Sys|Line_Map'!$B:$B,"MISSING",0)</f>
        <v/>
      </c>
    </row>
    <row r="2534">
      <c r="A2534" s="4561" t="n"/>
      <c r="B2534" s="4561" t="n"/>
      <c r="C2534" s="4561" t="n"/>
      <c r="D2534" s="4561" t="n"/>
      <c r="E2534" s="4561" t="n"/>
      <c r="F2534" s="4561" t="n"/>
      <c r="G2534" s="4561" t="n"/>
      <c r="H2534" s="4561" t="n"/>
      <c r="I2534" s="4562">
        <f>XLOOKUP(B2534,'_Sys|Line_Map'!$A:$A,'_Sys|Line_Map'!$C:$C,"MISSING",0)</f>
        <v/>
      </c>
      <c r="J2534" s="4562">
        <f>XLOOKUP(B2534,'_Sys|Line_Map'!$A:$A,'_Sys|Line_Map'!$D:$D,1,0)</f>
        <v/>
      </c>
      <c r="K2534" s="4562">
        <f>IF(D2534="","",D2534*J2534)</f>
        <v/>
      </c>
      <c r="L2534" s="4562">
        <f>XLOOKUP(B2534,'_Sys|Line_Map'!$A:$A,'_Sys|Line_Map'!$B:$B,"MISSING",0)</f>
        <v/>
      </c>
    </row>
    <row r="2535">
      <c r="A2535" s="4561" t="n"/>
      <c r="B2535" s="4561" t="n"/>
      <c r="C2535" s="4561" t="n"/>
      <c r="D2535" s="4561" t="n"/>
      <c r="E2535" s="4561" t="n"/>
      <c r="F2535" s="4561" t="n"/>
      <c r="G2535" s="4561" t="n"/>
      <c r="H2535" s="4561" t="n"/>
      <c r="I2535" s="4562">
        <f>XLOOKUP(B2535,'_Sys|Line_Map'!$A:$A,'_Sys|Line_Map'!$C:$C,"MISSING",0)</f>
        <v/>
      </c>
      <c r="J2535" s="4562">
        <f>XLOOKUP(B2535,'_Sys|Line_Map'!$A:$A,'_Sys|Line_Map'!$D:$D,1,0)</f>
        <v/>
      </c>
      <c r="K2535" s="4562">
        <f>IF(D2535="","",D2535*J2535)</f>
        <v/>
      </c>
      <c r="L2535" s="4562">
        <f>XLOOKUP(B2535,'_Sys|Line_Map'!$A:$A,'_Sys|Line_Map'!$B:$B,"MISSING",0)</f>
        <v/>
      </c>
    </row>
    <row r="2536">
      <c r="A2536" s="4561" t="n"/>
      <c r="B2536" s="4561" t="n"/>
      <c r="C2536" s="4561" t="n"/>
      <c r="D2536" s="4561" t="n"/>
      <c r="E2536" s="4561" t="n"/>
      <c r="F2536" s="4561" t="n"/>
      <c r="G2536" s="4561" t="n"/>
      <c r="H2536" s="4561" t="n"/>
      <c r="I2536" s="4562">
        <f>XLOOKUP(B2536,'_Sys|Line_Map'!$A:$A,'_Sys|Line_Map'!$C:$C,"MISSING",0)</f>
        <v/>
      </c>
      <c r="J2536" s="4562">
        <f>XLOOKUP(B2536,'_Sys|Line_Map'!$A:$A,'_Sys|Line_Map'!$D:$D,1,0)</f>
        <v/>
      </c>
      <c r="K2536" s="4562">
        <f>IF(D2536="","",D2536*J2536)</f>
        <v/>
      </c>
      <c r="L2536" s="4562">
        <f>XLOOKUP(B2536,'_Sys|Line_Map'!$A:$A,'_Sys|Line_Map'!$B:$B,"MISSING",0)</f>
        <v/>
      </c>
    </row>
    <row r="2537">
      <c r="A2537" s="4561" t="n"/>
      <c r="B2537" s="4561" t="n"/>
      <c r="C2537" s="4561" t="n"/>
      <c r="D2537" s="4561" t="n"/>
      <c r="E2537" s="4561" t="n"/>
      <c r="F2537" s="4561" t="n"/>
      <c r="G2537" s="4561" t="n"/>
      <c r="H2537" s="4561" t="n"/>
      <c r="I2537" s="4562">
        <f>XLOOKUP(B2537,'_Sys|Line_Map'!$A:$A,'_Sys|Line_Map'!$C:$C,"MISSING",0)</f>
        <v/>
      </c>
      <c r="J2537" s="4562">
        <f>XLOOKUP(B2537,'_Sys|Line_Map'!$A:$A,'_Sys|Line_Map'!$D:$D,1,0)</f>
        <v/>
      </c>
      <c r="K2537" s="4562">
        <f>IF(D2537="","",D2537*J2537)</f>
        <v/>
      </c>
      <c r="L2537" s="4562">
        <f>XLOOKUP(B2537,'_Sys|Line_Map'!$A:$A,'_Sys|Line_Map'!$B:$B,"MISSING",0)</f>
        <v/>
      </c>
    </row>
    <row r="2538">
      <c r="A2538" s="4561" t="n"/>
      <c r="B2538" s="4561" t="n"/>
      <c r="C2538" s="4561" t="n"/>
      <c r="D2538" s="4561" t="n"/>
      <c r="E2538" s="4561" t="n"/>
      <c r="F2538" s="4561" t="n"/>
      <c r="G2538" s="4561" t="n"/>
      <c r="H2538" s="4561" t="n"/>
      <c r="I2538" s="4562">
        <f>XLOOKUP(B2538,'_Sys|Line_Map'!$A:$A,'_Sys|Line_Map'!$C:$C,"MISSING",0)</f>
        <v/>
      </c>
      <c r="J2538" s="4562">
        <f>XLOOKUP(B2538,'_Sys|Line_Map'!$A:$A,'_Sys|Line_Map'!$D:$D,1,0)</f>
        <v/>
      </c>
      <c r="K2538" s="4562">
        <f>IF(D2538="","",D2538*J2538)</f>
        <v/>
      </c>
      <c r="L2538" s="4562">
        <f>XLOOKUP(B2538,'_Sys|Line_Map'!$A:$A,'_Sys|Line_Map'!$B:$B,"MISSING",0)</f>
        <v/>
      </c>
    </row>
    <row r="2539">
      <c r="A2539" s="4561" t="n"/>
      <c r="B2539" s="4561" t="n"/>
      <c r="C2539" s="4561" t="n"/>
      <c r="D2539" s="4561" t="n"/>
      <c r="E2539" s="4561" t="n"/>
      <c r="F2539" s="4561" t="n"/>
      <c r="G2539" s="4561" t="n"/>
      <c r="H2539" s="4561" t="n"/>
      <c r="I2539" s="4562">
        <f>XLOOKUP(B2539,'_Sys|Line_Map'!$A:$A,'_Sys|Line_Map'!$C:$C,"MISSING",0)</f>
        <v/>
      </c>
      <c r="J2539" s="4562">
        <f>XLOOKUP(B2539,'_Sys|Line_Map'!$A:$A,'_Sys|Line_Map'!$D:$D,1,0)</f>
        <v/>
      </c>
      <c r="K2539" s="4562">
        <f>IF(D2539="","",D2539*J2539)</f>
        <v/>
      </c>
      <c r="L2539" s="4562">
        <f>XLOOKUP(B2539,'_Sys|Line_Map'!$A:$A,'_Sys|Line_Map'!$B:$B,"MISSING",0)</f>
        <v/>
      </c>
    </row>
    <row r="2540">
      <c r="A2540" s="4561" t="n"/>
      <c r="B2540" s="4561" t="n"/>
      <c r="C2540" s="4561" t="n"/>
      <c r="D2540" s="4561" t="n"/>
      <c r="E2540" s="4561" t="n"/>
      <c r="F2540" s="4561" t="n"/>
      <c r="G2540" s="4561" t="n"/>
      <c r="H2540" s="4561" t="n"/>
      <c r="I2540" s="4562">
        <f>XLOOKUP(B2540,'_Sys|Line_Map'!$A:$A,'_Sys|Line_Map'!$C:$C,"MISSING",0)</f>
        <v/>
      </c>
      <c r="J2540" s="4562">
        <f>XLOOKUP(B2540,'_Sys|Line_Map'!$A:$A,'_Sys|Line_Map'!$D:$D,1,0)</f>
        <v/>
      </c>
      <c r="K2540" s="4562">
        <f>IF(D2540="","",D2540*J2540)</f>
        <v/>
      </c>
      <c r="L2540" s="4562">
        <f>XLOOKUP(B2540,'_Sys|Line_Map'!$A:$A,'_Sys|Line_Map'!$B:$B,"MISSING",0)</f>
        <v/>
      </c>
    </row>
    <row r="2541">
      <c r="A2541" s="4561" t="n"/>
      <c r="B2541" s="4561" t="n"/>
      <c r="C2541" s="4561" t="n"/>
      <c r="D2541" s="4561" t="n"/>
      <c r="E2541" s="4561" t="n"/>
      <c r="F2541" s="4561" t="n"/>
      <c r="G2541" s="4561" t="n"/>
      <c r="H2541" s="4561" t="n"/>
      <c r="I2541" s="4562">
        <f>XLOOKUP(B2541,'_Sys|Line_Map'!$A:$A,'_Sys|Line_Map'!$C:$C,"MISSING",0)</f>
        <v/>
      </c>
      <c r="J2541" s="4562">
        <f>XLOOKUP(B2541,'_Sys|Line_Map'!$A:$A,'_Sys|Line_Map'!$D:$D,1,0)</f>
        <v/>
      </c>
      <c r="K2541" s="4562">
        <f>IF(D2541="","",D2541*J2541)</f>
        <v/>
      </c>
      <c r="L2541" s="4562">
        <f>XLOOKUP(B2541,'_Sys|Line_Map'!$A:$A,'_Sys|Line_Map'!$B:$B,"MISSING",0)</f>
        <v/>
      </c>
    </row>
    <row r="2542">
      <c r="A2542" s="4561" t="n"/>
      <c r="B2542" s="4561" t="n"/>
      <c r="C2542" s="4561" t="n"/>
      <c r="D2542" s="4561" t="n"/>
      <c r="E2542" s="4561" t="n"/>
      <c r="F2542" s="4561" t="n"/>
      <c r="G2542" s="4561" t="n"/>
      <c r="H2542" s="4561" t="n"/>
      <c r="I2542" s="4562">
        <f>XLOOKUP(B2542,'_Sys|Line_Map'!$A:$A,'_Sys|Line_Map'!$C:$C,"MISSING",0)</f>
        <v/>
      </c>
      <c r="J2542" s="4562">
        <f>XLOOKUP(B2542,'_Sys|Line_Map'!$A:$A,'_Sys|Line_Map'!$D:$D,1,0)</f>
        <v/>
      </c>
      <c r="K2542" s="4562">
        <f>IF(D2542="","",D2542*J2542)</f>
        <v/>
      </c>
      <c r="L2542" s="4562">
        <f>XLOOKUP(B2542,'_Sys|Line_Map'!$A:$A,'_Sys|Line_Map'!$B:$B,"MISSING",0)</f>
        <v/>
      </c>
    </row>
    <row r="2543">
      <c r="A2543" s="4561" t="n"/>
      <c r="B2543" s="4561" t="n"/>
      <c r="C2543" s="4561" t="n"/>
      <c r="D2543" s="4561" t="n"/>
      <c r="E2543" s="4561" t="n"/>
      <c r="F2543" s="4561" t="n"/>
      <c r="G2543" s="4561" t="n"/>
      <c r="H2543" s="4561" t="n"/>
      <c r="I2543" s="4562">
        <f>XLOOKUP(B2543,'_Sys|Line_Map'!$A:$A,'_Sys|Line_Map'!$C:$C,"MISSING",0)</f>
        <v/>
      </c>
      <c r="J2543" s="4562">
        <f>XLOOKUP(B2543,'_Sys|Line_Map'!$A:$A,'_Sys|Line_Map'!$D:$D,1,0)</f>
        <v/>
      </c>
      <c r="K2543" s="4562">
        <f>IF(D2543="","",D2543*J2543)</f>
        <v/>
      </c>
      <c r="L2543" s="4562">
        <f>XLOOKUP(B2543,'_Sys|Line_Map'!$A:$A,'_Sys|Line_Map'!$B:$B,"MISSING",0)</f>
        <v/>
      </c>
    </row>
    <row r="2544">
      <c r="A2544" s="4561" t="n"/>
      <c r="B2544" s="4561" t="n"/>
      <c r="C2544" s="4561" t="n"/>
      <c r="D2544" s="4561" t="n"/>
      <c r="E2544" s="4561" t="n"/>
      <c r="F2544" s="4561" t="n"/>
      <c r="G2544" s="4561" t="n"/>
      <c r="H2544" s="4561" t="n"/>
      <c r="I2544" s="4562">
        <f>XLOOKUP(B2544,'_Sys|Line_Map'!$A:$A,'_Sys|Line_Map'!$C:$C,"MISSING",0)</f>
        <v/>
      </c>
      <c r="J2544" s="4562">
        <f>XLOOKUP(B2544,'_Sys|Line_Map'!$A:$A,'_Sys|Line_Map'!$D:$D,1,0)</f>
        <v/>
      </c>
      <c r="K2544" s="4562">
        <f>IF(D2544="","",D2544*J2544)</f>
        <v/>
      </c>
      <c r="L2544" s="4562">
        <f>XLOOKUP(B2544,'_Sys|Line_Map'!$A:$A,'_Sys|Line_Map'!$B:$B,"MISSING",0)</f>
        <v/>
      </c>
    </row>
    <row r="2545">
      <c r="A2545" s="4561" t="n"/>
      <c r="B2545" s="4561" t="n"/>
      <c r="C2545" s="4561" t="n"/>
      <c r="D2545" s="4561" t="n"/>
      <c r="E2545" s="4561" t="n"/>
      <c r="F2545" s="4561" t="n"/>
      <c r="G2545" s="4561" t="n"/>
      <c r="H2545" s="4561" t="n"/>
      <c r="I2545" s="4562">
        <f>XLOOKUP(B2545,'_Sys|Line_Map'!$A:$A,'_Sys|Line_Map'!$C:$C,"MISSING",0)</f>
        <v/>
      </c>
      <c r="J2545" s="4562">
        <f>XLOOKUP(B2545,'_Sys|Line_Map'!$A:$A,'_Sys|Line_Map'!$D:$D,1,0)</f>
        <v/>
      </c>
      <c r="K2545" s="4562">
        <f>IF(D2545="","",D2545*J2545)</f>
        <v/>
      </c>
      <c r="L2545" s="4562">
        <f>XLOOKUP(B2545,'_Sys|Line_Map'!$A:$A,'_Sys|Line_Map'!$B:$B,"MISSING",0)</f>
        <v/>
      </c>
    </row>
    <row r="2546">
      <c r="A2546" s="4561" t="n"/>
      <c r="B2546" s="4561" t="n"/>
      <c r="C2546" s="4561" t="n"/>
      <c r="D2546" s="4561" t="n"/>
      <c r="E2546" s="4561" t="n"/>
      <c r="F2546" s="4561" t="n"/>
      <c r="G2546" s="4561" t="n"/>
      <c r="H2546" s="4561" t="n"/>
      <c r="I2546" s="4562">
        <f>XLOOKUP(B2546,'_Sys|Line_Map'!$A:$A,'_Sys|Line_Map'!$C:$C,"MISSING",0)</f>
        <v/>
      </c>
      <c r="J2546" s="4562">
        <f>XLOOKUP(B2546,'_Sys|Line_Map'!$A:$A,'_Sys|Line_Map'!$D:$D,1,0)</f>
        <v/>
      </c>
      <c r="K2546" s="4562">
        <f>IF(D2546="","",D2546*J2546)</f>
        <v/>
      </c>
      <c r="L2546" s="4562">
        <f>XLOOKUP(B2546,'_Sys|Line_Map'!$A:$A,'_Sys|Line_Map'!$B:$B,"MISSING",0)</f>
        <v/>
      </c>
    </row>
    <row r="2547">
      <c r="A2547" s="4561" t="n"/>
      <c r="B2547" s="4561" t="n"/>
      <c r="C2547" s="4561" t="n"/>
      <c r="D2547" s="4561" t="n"/>
      <c r="E2547" s="4561" t="n"/>
      <c r="F2547" s="4561" t="n"/>
      <c r="G2547" s="4561" t="n"/>
      <c r="H2547" s="4561" t="n"/>
      <c r="I2547" s="4562">
        <f>XLOOKUP(B2547,'_Sys|Line_Map'!$A:$A,'_Sys|Line_Map'!$C:$C,"MISSING",0)</f>
        <v/>
      </c>
      <c r="J2547" s="4562">
        <f>XLOOKUP(B2547,'_Sys|Line_Map'!$A:$A,'_Sys|Line_Map'!$D:$D,1,0)</f>
        <v/>
      </c>
      <c r="K2547" s="4562">
        <f>IF(D2547="","",D2547*J2547)</f>
        <v/>
      </c>
      <c r="L2547" s="4562">
        <f>XLOOKUP(B2547,'_Sys|Line_Map'!$A:$A,'_Sys|Line_Map'!$B:$B,"MISSING",0)</f>
        <v/>
      </c>
    </row>
    <row r="2548">
      <c r="A2548" s="4561" t="n"/>
      <c r="B2548" s="4561" t="n"/>
      <c r="C2548" s="4561" t="n"/>
      <c r="D2548" s="4561" t="n"/>
      <c r="E2548" s="4561" t="n"/>
      <c r="F2548" s="4561" t="n"/>
      <c r="G2548" s="4561" t="n"/>
      <c r="H2548" s="4561" t="n"/>
      <c r="I2548" s="4562">
        <f>XLOOKUP(B2548,'_Sys|Line_Map'!$A:$A,'_Sys|Line_Map'!$C:$C,"MISSING",0)</f>
        <v/>
      </c>
      <c r="J2548" s="4562">
        <f>XLOOKUP(B2548,'_Sys|Line_Map'!$A:$A,'_Sys|Line_Map'!$D:$D,1,0)</f>
        <v/>
      </c>
      <c r="K2548" s="4562">
        <f>IF(D2548="","",D2548*J2548)</f>
        <v/>
      </c>
      <c r="L2548" s="4562">
        <f>XLOOKUP(B2548,'_Sys|Line_Map'!$A:$A,'_Sys|Line_Map'!$B:$B,"MISSING",0)</f>
        <v/>
      </c>
    </row>
    <row r="2549">
      <c r="A2549" s="4561" t="n"/>
      <c r="B2549" s="4561" t="n"/>
      <c r="C2549" s="4561" t="n"/>
      <c r="D2549" s="4561" t="n"/>
      <c r="E2549" s="4561" t="n"/>
      <c r="F2549" s="4561" t="n"/>
      <c r="G2549" s="4561" t="n"/>
      <c r="H2549" s="4561" t="n"/>
      <c r="I2549" s="4562">
        <f>XLOOKUP(B2549,'_Sys|Line_Map'!$A:$A,'_Sys|Line_Map'!$C:$C,"MISSING",0)</f>
        <v/>
      </c>
      <c r="J2549" s="4562">
        <f>XLOOKUP(B2549,'_Sys|Line_Map'!$A:$A,'_Sys|Line_Map'!$D:$D,1,0)</f>
        <v/>
      </c>
      <c r="K2549" s="4562">
        <f>IF(D2549="","",D2549*J2549)</f>
        <v/>
      </c>
      <c r="L2549" s="4562">
        <f>XLOOKUP(B2549,'_Sys|Line_Map'!$A:$A,'_Sys|Line_Map'!$B:$B,"MISSING",0)</f>
        <v/>
      </c>
    </row>
    <row r="2550">
      <c r="A2550" s="4561" t="n"/>
      <c r="B2550" s="4561" t="n"/>
      <c r="C2550" s="4561" t="n"/>
      <c r="D2550" s="4561" t="n"/>
      <c r="E2550" s="4561" t="n"/>
      <c r="F2550" s="4561" t="n"/>
      <c r="G2550" s="4561" t="n"/>
      <c r="H2550" s="4561" t="n"/>
      <c r="I2550" s="4562">
        <f>XLOOKUP(B2550,'_Sys|Line_Map'!$A:$A,'_Sys|Line_Map'!$C:$C,"MISSING",0)</f>
        <v/>
      </c>
      <c r="J2550" s="4562">
        <f>XLOOKUP(B2550,'_Sys|Line_Map'!$A:$A,'_Sys|Line_Map'!$D:$D,1,0)</f>
        <v/>
      </c>
      <c r="K2550" s="4562">
        <f>IF(D2550="","",D2550*J2550)</f>
        <v/>
      </c>
      <c r="L2550" s="4562">
        <f>XLOOKUP(B2550,'_Sys|Line_Map'!$A:$A,'_Sys|Line_Map'!$B:$B,"MISSING",0)</f>
        <v/>
      </c>
    </row>
    <row r="2551">
      <c r="A2551" s="4561" t="n"/>
      <c r="B2551" s="4561" t="n"/>
      <c r="C2551" s="4561" t="n"/>
      <c r="D2551" s="4561" t="n"/>
      <c r="E2551" s="4561" t="n"/>
      <c r="F2551" s="4561" t="n"/>
      <c r="G2551" s="4561" t="n"/>
      <c r="H2551" s="4561" t="n"/>
      <c r="I2551" s="4562">
        <f>XLOOKUP(B2551,'_Sys|Line_Map'!$A:$A,'_Sys|Line_Map'!$C:$C,"MISSING",0)</f>
        <v/>
      </c>
      <c r="J2551" s="4562">
        <f>XLOOKUP(B2551,'_Sys|Line_Map'!$A:$A,'_Sys|Line_Map'!$D:$D,1,0)</f>
        <v/>
      </c>
      <c r="K2551" s="4562">
        <f>IF(D2551="","",D2551*J2551)</f>
        <v/>
      </c>
      <c r="L2551" s="4562">
        <f>XLOOKUP(B2551,'_Sys|Line_Map'!$A:$A,'_Sys|Line_Map'!$B:$B,"MISSING",0)</f>
        <v/>
      </c>
    </row>
    <row r="2552">
      <c r="A2552" s="4561" t="n"/>
      <c r="B2552" s="4561" t="n"/>
      <c r="C2552" s="4561" t="n"/>
      <c r="D2552" s="4561" t="n"/>
      <c r="E2552" s="4561" t="n"/>
      <c r="F2552" s="4561" t="n"/>
      <c r="G2552" s="4561" t="n"/>
      <c r="H2552" s="4561" t="n"/>
      <c r="I2552" s="4562">
        <f>XLOOKUP(B2552,'_Sys|Line_Map'!$A:$A,'_Sys|Line_Map'!$C:$C,"MISSING",0)</f>
        <v/>
      </c>
      <c r="J2552" s="4562">
        <f>XLOOKUP(B2552,'_Sys|Line_Map'!$A:$A,'_Sys|Line_Map'!$D:$D,1,0)</f>
        <v/>
      </c>
      <c r="K2552" s="4562">
        <f>IF(D2552="","",D2552*J2552)</f>
        <v/>
      </c>
      <c r="L2552" s="4562">
        <f>XLOOKUP(B2552,'_Sys|Line_Map'!$A:$A,'_Sys|Line_Map'!$B:$B,"MISSING",0)</f>
        <v/>
      </c>
    </row>
    <row r="2553">
      <c r="A2553" s="4561" t="n"/>
      <c r="B2553" s="4561" t="n"/>
      <c r="C2553" s="4561" t="n"/>
      <c r="D2553" s="4561" t="n"/>
      <c r="E2553" s="4561" t="n"/>
      <c r="F2553" s="4561" t="n"/>
      <c r="G2553" s="4561" t="n"/>
      <c r="H2553" s="4561" t="n"/>
      <c r="I2553" s="4562">
        <f>XLOOKUP(B2553,'_Sys|Line_Map'!$A:$A,'_Sys|Line_Map'!$C:$C,"MISSING",0)</f>
        <v/>
      </c>
      <c r="J2553" s="4562">
        <f>XLOOKUP(B2553,'_Sys|Line_Map'!$A:$A,'_Sys|Line_Map'!$D:$D,1,0)</f>
        <v/>
      </c>
      <c r="K2553" s="4562">
        <f>IF(D2553="","",D2553*J2553)</f>
        <v/>
      </c>
      <c r="L2553" s="4562">
        <f>XLOOKUP(B2553,'_Sys|Line_Map'!$A:$A,'_Sys|Line_Map'!$B:$B,"MISSING",0)</f>
        <v/>
      </c>
    </row>
    <row r="2554">
      <c r="A2554" s="4561" t="n"/>
      <c r="B2554" s="4561" t="n"/>
      <c r="C2554" s="4561" t="n"/>
      <c r="D2554" s="4561" t="n"/>
      <c r="E2554" s="4561" t="n"/>
      <c r="F2554" s="4561" t="n"/>
      <c r="G2554" s="4561" t="n"/>
      <c r="H2554" s="4561" t="n"/>
      <c r="I2554" s="4562">
        <f>XLOOKUP(B2554,'_Sys|Line_Map'!$A:$A,'_Sys|Line_Map'!$C:$C,"MISSING",0)</f>
        <v/>
      </c>
      <c r="J2554" s="4562">
        <f>XLOOKUP(B2554,'_Sys|Line_Map'!$A:$A,'_Sys|Line_Map'!$D:$D,1,0)</f>
        <v/>
      </c>
      <c r="K2554" s="4562">
        <f>IF(D2554="","",D2554*J2554)</f>
        <v/>
      </c>
      <c r="L2554" s="4562">
        <f>XLOOKUP(B2554,'_Sys|Line_Map'!$A:$A,'_Sys|Line_Map'!$B:$B,"MISSING",0)</f>
        <v/>
      </c>
    </row>
    <row r="2555">
      <c r="A2555" s="4561" t="n"/>
      <c r="B2555" s="4561" t="n"/>
      <c r="C2555" s="4561" t="n"/>
      <c r="D2555" s="4561" t="n"/>
      <c r="E2555" s="4561" t="n"/>
      <c r="F2555" s="4561" t="n"/>
      <c r="G2555" s="4561" t="n"/>
      <c r="H2555" s="4561" t="n"/>
      <c r="I2555" s="4562">
        <f>XLOOKUP(B2555,'_Sys|Line_Map'!$A:$A,'_Sys|Line_Map'!$C:$C,"MISSING",0)</f>
        <v/>
      </c>
      <c r="J2555" s="4562">
        <f>XLOOKUP(B2555,'_Sys|Line_Map'!$A:$A,'_Sys|Line_Map'!$D:$D,1,0)</f>
        <v/>
      </c>
      <c r="K2555" s="4562">
        <f>IF(D2555="","",D2555*J2555)</f>
        <v/>
      </c>
      <c r="L2555" s="4562">
        <f>XLOOKUP(B2555,'_Sys|Line_Map'!$A:$A,'_Sys|Line_Map'!$B:$B,"MISSING",0)</f>
        <v/>
      </c>
    </row>
    <row r="2556">
      <c r="A2556" s="4561" t="n"/>
      <c r="B2556" s="4561" t="n"/>
      <c r="C2556" s="4561" t="n"/>
      <c r="D2556" s="4561" t="n"/>
      <c r="E2556" s="4561" t="n"/>
      <c r="F2556" s="4561" t="n"/>
      <c r="G2556" s="4561" t="n"/>
      <c r="H2556" s="4561" t="n"/>
      <c r="I2556" s="4562">
        <f>XLOOKUP(B2556,'_Sys|Line_Map'!$A:$A,'_Sys|Line_Map'!$C:$C,"MISSING",0)</f>
        <v/>
      </c>
      <c r="J2556" s="4562">
        <f>XLOOKUP(B2556,'_Sys|Line_Map'!$A:$A,'_Sys|Line_Map'!$D:$D,1,0)</f>
        <v/>
      </c>
      <c r="K2556" s="4562">
        <f>IF(D2556="","",D2556*J2556)</f>
        <v/>
      </c>
      <c r="L2556" s="4562">
        <f>XLOOKUP(B2556,'_Sys|Line_Map'!$A:$A,'_Sys|Line_Map'!$B:$B,"MISSING",0)</f>
        <v/>
      </c>
    </row>
    <row r="2557">
      <c r="A2557" s="4561" t="n"/>
      <c r="B2557" s="4561" t="n"/>
      <c r="C2557" s="4561" t="n"/>
      <c r="D2557" s="4561" t="n"/>
      <c r="E2557" s="4561" t="n"/>
      <c r="F2557" s="4561" t="n"/>
      <c r="G2557" s="4561" t="n"/>
      <c r="H2557" s="4561" t="n"/>
      <c r="I2557" s="4562">
        <f>XLOOKUP(B2557,'_Sys|Line_Map'!$A:$A,'_Sys|Line_Map'!$C:$C,"MISSING",0)</f>
        <v/>
      </c>
      <c r="J2557" s="4562">
        <f>XLOOKUP(B2557,'_Sys|Line_Map'!$A:$A,'_Sys|Line_Map'!$D:$D,1,0)</f>
        <v/>
      </c>
      <c r="K2557" s="4562">
        <f>IF(D2557="","",D2557*J2557)</f>
        <v/>
      </c>
      <c r="L2557" s="4562">
        <f>XLOOKUP(B2557,'_Sys|Line_Map'!$A:$A,'_Sys|Line_Map'!$B:$B,"MISSING",0)</f>
        <v/>
      </c>
    </row>
    <row r="2558">
      <c r="A2558" s="4561" t="n"/>
      <c r="B2558" s="4561" t="n"/>
      <c r="C2558" s="4561" t="n"/>
      <c r="D2558" s="4561" t="n"/>
      <c r="E2558" s="4561" t="n"/>
      <c r="F2558" s="4561" t="n"/>
      <c r="G2558" s="4561" t="n"/>
      <c r="H2558" s="4561" t="n"/>
      <c r="I2558" s="4562">
        <f>XLOOKUP(B2558,'_Sys|Line_Map'!$A:$A,'_Sys|Line_Map'!$C:$C,"MISSING",0)</f>
        <v/>
      </c>
      <c r="J2558" s="4562">
        <f>XLOOKUP(B2558,'_Sys|Line_Map'!$A:$A,'_Sys|Line_Map'!$D:$D,1,0)</f>
        <v/>
      </c>
      <c r="K2558" s="4562">
        <f>IF(D2558="","",D2558*J2558)</f>
        <v/>
      </c>
      <c r="L2558" s="4562">
        <f>XLOOKUP(B2558,'_Sys|Line_Map'!$A:$A,'_Sys|Line_Map'!$B:$B,"MISSING",0)</f>
        <v/>
      </c>
    </row>
    <row r="2559">
      <c r="A2559" s="4561" t="n"/>
      <c r="B2559" s="4561" t="n"/>
      <c r="C2559" s="4561" t="n"/>
      <c r="D2559" s="4561" t="n"/>
      <c r="E2559" s="4561" t="n"/>
      <c r="F2559" s="4561" t="n"/>
      <c r="G2559" s="4561" t="n"/>
      <c r="H2559" s="4561" t="n"/>
      <c r="I2559" s="4562">
        <f>XLOOKUP(B2559,'_Sys|Line_Map'!$A:$A,'_Sys|Line_Map'!$C:$C,"MISSING",0)</f>
        <v/>
      </c>
      <c r="J2559" s="4562">
        <f>XLOOKUP(B2559,'_Sys|Line_Map'!$A:$A,'_Sys|Line_Map'!$D:$D,1,0)</f>
        <v/>
      </c>
      <c r="K2559" s="4562">
        <f>IF(D2559="","",D2559*J2559)</f>
        <v/>
      </c>
      <c r="L2559" s="4562">
        <f>XLOOKUP(B2559,'_Sys|Line_Map'!$A:$A,'_Sys|Line_Map'!$B:$B,"MISSING",0)</f>
        <v/>
      </c>
    </row>
    <row r="2560">
      <c r="A2560" s="4561" t="n"/>
      <c r="B2560" s="4561" t="n"/>
      <c r="C2560" s="4561" t="n"/>
      <c r="D2560" s="4561" t="n"/>
      <c r="E2560" s="4561" t="n"/>
      <c r="F2560" s="4561" t="n"/>
      <c r="G2560" s="4561" t="n"/>
      <c r="H2560" s="4561" t="n"/>
      <c r="I2560" s="4562">
        <f>XLOOKUP(B2560,'_Sys|Line_Map'!$A:$A,'_Sys|Line_Map'!$C:$C,"MISSING",0)</f>
        <v/>
      </c>
      <c r="J2560" s="4562">
        <f>XLOOKUP(B2560,'_Sys|Line_Map'!$A:$A,'_Sys|Line_Map'!$D:$D,1,0)</f>
        <v/>
      </c>
      <c r="K2560" s="4562">
        <f>IF(D2560="","",D2560*J2560)</f>
        <v/>
      </c>
      <c r="L2560" s="4562">
        <f>XLOOKUP(B2560,'_Sys|Line_Map'!$A:$A,'_Sys|Line_Map'!$B:$B,"MISSING",0)</f>
        <v/>
      </c>
    </row>
    <row r="2561">
      <c r="A2561" s="4561" t="n"/>
      <c r="B2561" s="4561" t="n"/>
      <c r="C2561" s="4561" t="n"/>
      <c r="D2561" s="4561" t="n"/>
      <c r="E2561" s="4561" t="n"/>
      <c r="F2561" s="4561" t="n"/>
      <c r="G2561" s="4561" t="n"/>
      <c r="H2561" s="4561" t="n"/>
      <c r="I2561" s="4562">
        <f>XLOOKUP(B2561,'_Sys|Line_Map'!$A:$A,'_Sys|Line_Map'!$C:$C,"MISSING",0)</f>
        <v/>
      </c>
      <c r="J2561" s="4562">
        <f>XLOOKUP(B2561,'_Sys|Line_Map'!$A:$A,'_Sys|Line_Map'!$D:$D,1,0)</f>
        <v/>
      </c>
      <c r="K2561" s="4562">
        <f>IF(D2561="","",D2561*J2561)</f>
        <v/>
      </c>
      <c r="L2561" s="4562">
        <f>XLOOKUP(B2561,'_Sys|Line_Map'!$A:$A,'_Sys|Line_Map'!$B:$B,"MISSING",0)</f>
        <v/>
      </c>
    </row>
    <row r="2562">
      <c r="A2562" s="4561" t="n"/>
      <c r="B2562" s="4561" t="n"/>
      <c r="C2562" s="4561" t="n"/>
      <c r="D2562" s="4561" t="n"/>
      <c r="E2562" s="4561" t="n"/>
      <c r="F2562" s="4561" t="n"/>
      <c r="G2562" s="4561" t="n"/>
      <c r="H2562" s="4561" t="n"/>
      <c r="I2562" s="4562">
        <f>XLOOKUP(B2562,'_Sys|Line_Map'!$A:$A,'_Sys|Line_Map'!$C:$C,"MISSING",0)</f>
        <v/>
      </c>
      <c r="J2562" s="4562">
        <f>XLOOKUP(B2562,'_Sys|Line_Map'!$A:$A,'_Sys|Line_Map'!$D:$D,1,0)</f>
        <v/>
      </c>
      <c r="K2562" s="4562">
        <f>IF(D2562="","",D2562*J2562)</f>
        <v/>
      </c>
      <c r="L2562" s="4562">
        <f>XLOOKUP(B2562,'_Sys|Line_Map'!$A:$A,'_Sys|Line_Map'!$B:$B,"MISSING",0)</f>
        <v/>
      </c>
    </row>
    <row r="2563">
      <c r="A2563" s="4561" t="n"/>
      <c r="B2563" s="4561" t="n"/>
      <c r="C2563" s="4561" t="n"/>
      <c r="D2563" s="4561" t="n"/>
      <c r="E2563" s="4561" t="n"/>
      <c r="F2563" s="4561" t="n"/>
      <c r="G2563" s="4561" t="n"/>
      <c r="H2563" s="4561" t="n"/>
      <c r="I2563" s="4562">
        <f>XLOOKUP(B2563,'_Sys|Line_Map'!$A:$A,'_Sys|Line_Map'!$C:$C,"MISSING",0)</f>
        <v/>
      </c>
      <c r="J2563" s="4562">
        <f>XLOOKUP(B2563,'_Sys|Line_Map'!$A:$A,'_Sys|Line_Map'!$D:$D,1,0)</f>
        <v/>
      </c>
      <c r="K2563" s="4562">
        <f>IF(D2563="","",D2563*J2563)</f>
        <v/>
      </c>
      <c r="L2563" s="4562">
        <f>XLOOKUP(B2563,'_Sys|Line_Map'!$A:$A,'_Sys|Line_Map'!$B:$B,"MISSING",0)</f>
        <v/>
      </c>
    </row>
    <row r="2564">
      <c r="A2564" s="4561" t="n"/>
      <c r="B2564" s="4561" t="n"/>
      <c r="C2564" s="4561" t="n"/>
      <c r="D2564" s="4561" t="n"/>
      <c r="E2564" s="4561" t="n"/>
      <c r="F2564" s="4561" t="n"/>
      <c r="G2564" s="4561" t="n"/>
      <c r="H2564" s="4561" t="n"/>
      <c r="I2564" s="4562">
        <f>XLOOKUP(B2564,'_Sys|Line_Map'!$A:$A,'_Sys|Line_Map'!$C:$C,"MISSING",0)</f>
        <v/>
      </c>
      <c r="J2564" s="4562">
        <f>XLOOKUP(B2564,'_Sys|Line_Map'!$A:$A,'_Sys|Line_Map'!$D:$D,1,0)</f>
        <v/>
      </c>
      <c r="K2564" s="4562">
        <f>IF(D2564="","",D2564*J2564)</f>
        <v/>
      </c>
      <c r="L2564" s="4562">
        <f>XLOOKUP(B2564,'_Sys|Line_Map'!$A:$A,'_Sys|Line_Map'!$B:$B,"MISSING",0)</f>
        <v/>
      </c>
    </row>
    <row r="2565">
      <c r="A2565" s="4561" t="n"/>
      <c r="B2565" s="4561" t="n"/>
      <c r="C2565" s="4561" t="n"/>
      <c r="D2565" s="4561" t="n"/>
      <c r="E2565" s="4561" t="n"/>
      <c r="F2565" s="4561" t="n"/>
      <c r="G2565" s="4561" t="n"/>
      <c r="H2565" s="4561" t="n"/>
      <c r="I2565" s="4562">
        <f>XLOOKUP(B2565,'_Sys|Line_Map'!$A:$A,'_Sys|Line_Map'!$C:$C,"MISSING",0)</f>
        <v/>
      </c>
      <c r="J2565" s="4562">
        <f>XLOOKUP(B2565,'_Sys|Line_Map'!$A:$A,'_Sys|Line_Map'!$D:$D,1,0)</f>
        <v/>
      </c>
      <c r="K2565" s="4562">
        <f>IF(D2565="","",D2565*J2565)</f>
        <v/>
      </c>
      <c r="L2565" s="4562">
        <f>XLOOKUP(B2565,'_Sys|Line_Map'!$A:$A,'_Sys|Line_Map'!$B:$B,"MISSING",0)</f>
        <v/>
      </c>
    </row>
    <row r="2566">
      <c r="A2566" s="4561" t="n"/>
      <c r="B2566" s="4561" t="n"/>
      <c r="C2566" s="4561" t="n"/>
      <c r="D2566" s="4561" t="n"/>
      <c r="E2566" s="4561" t="n"/>
      <c r="F2566" s="4561" t="n"/>
      <c r="G2566" s="4561" t="n"/>
      <c r="H2566" s="4561" t="n"/>
      <c r="I2566" s="4562">
        <f>XLOOKUP(B2566,'_Sys|Line_Map'!$A:$A,'_Sys|Line_Map'!$C:$C,"MISSING",0)</f>
        <v/>
      </c>
      <c r="J2566" s="4562">
        <f>XLOOKUP(B2566,'_Sys|Line_Map'!$A:$A,'_Sys|Line_Map'!$D:$D,1,0)</f>
        <v/>
      </c>
      <c r="K2566" s="4562">
        <f>IF(D2566="","",D2566*J2566)</f>
        <v/>
      </c>
      <c r="L2566" s="4562">
        <f>XLOOKUP(B2566,'_Sys|Line_Map'!$A:$A,'_Sys|Line_Map'!$B:$B,"MISSING",0)</f>
        <v/>
      </c>
    </row>
    <row r="2567">
      <c r="A2567" s="4561" t="n"/>
      <c r="B2567" s="4561" t="n"/>
      <c r="C2567" s="4561" t="n"/>
      <c r="D2567" s="4561" t="n"/>
      <c r="E2567" s="4561" t="n"/>
      <c r="F2567" s="4561" t="n"/>
      <c r="G2567" s="4561" t="n"/>
      <c r="H2567" s="4561" t="n"/>
      <c r="I2567" s="4562">
        <f>XLOOKUP(B2567,'_Sys|Line_Map'!$A:$A,'_Sys|Line_Map'!$C:$C,"MISSING",0)</f>
        <v/>
      </c>
      <c r="J2567" s="4562">
        <f>XLOOKUP(B2567,'_Sys|Line_Map'!$A:$A,'_Sys|Line_Map'!$D:$D,1,0)</f>
        <v/>
      </c>
      <c r="K2567" s="4562">
        <f>IF(D2567="","",D2567*J2567)</f>
        <v/>
      </c>
      <c r="L2567" s="4562">
        <f>XLOOKUP(B2567,'_Sys|Line_Map'!$A:$A,'_Sys|Line_Map'!$B:$B,"MISSING",0)</f>
        <v/>
      </c>
    </row>
    <row r="2568">
      <c r="A2568" s="4561" t="n"/>
      <c r="B2568" s="4561" t="n"/>
      <c r="C2568" s="4561" t="n"/>
      <c r="D2568" s="4561" t="n"/>
      <c r="E2568" s="4561" t="n"/>
      <c r="F2568" s="4561" t="n"/>
      <c r="G2568" s="4561" t="n"/>
      <c r="H2568" s="4561" t="n"/>
      <c r="I2568" s="4562">
        <f>XLOOKUP(B2568,'_Sys|Line_Map'!$A:$A,'_Sys|Line_Map'!$C:$C,"MISSING",0)</f>
        <v/>
      </c>
      <c r="J2568" s="4562">
        <f>XLOOKUP(B2568,'_Sys|Line_Map'!$A:$A,'_Sys|Line_Map'!$D:$D,1,0)</f>
        <v/>
      </c>
      <c r="K2568" s="4562">
        <f>IF(D2568="","",D2568*J2568)</f>
        <v/>
      </c>
      <c r="L2568" s="4562">
        <f>XLOOKUP(B2568,'_Sys|Line_Map'!$A:$A,'_Sys|Line_Map'!$B:$B,"MISSING",0)</f>
        <v/>
      </c>
    </row>
    <row r="2569">
      <c r="A2569" s="4561" t="n"/>
      <c r="B2569" s="4561" t="n"/>
      <c r="C2569" s="4561" t="n"/>
      <c r="D2569" s="4561" t="n"/>
      <c r="E2569" s="4561" t="n"/>
      <c r="F2569" s="4561" t="n"/>
      <c r="G2569" s="4561" t="n"/>
      <c r="H2569" s="4561" t="n"/>
      <c r="I2569" s="4562">
        <f>XLOOKUP(B2569,'_Sys|Line_Map'!$A:$A,'_Sys|Line_Map'!$C:$C,"MISSING",0)</f>
        <v/>
      </c>
      <c r="J2569" s="4562">
        <f>XLOOKUP(B2569,'_Sys|Line_Map'!$A:$A,'_Sys|Line_Map'!$D:$D,1,0)</f>
        <v/>
      </c>
      <c r="K2569" s="4562">
        <f>IF(D2569="","",D2569*J2569)</f>
        <v/>
      </c>
      <c r="L2569" s="4562">
        <f>XLOOKUP(B2569,'_Sys|Line_Map'!$A:$A,'_Sys|Line_Map'!$B:$B,"MISSING",0)</f>
        <v/>
      </c>
    </row>
    <row r="2570">
      <c r="A2570" s="4561" t="n"/>
      <c r="B2570" s="4561" t="n"/>
      <c r="C2570" s="4561" t="n"/>
      <c r="D2570" s="4561" t="n"/>
      <c r="E2570" s="4561" t="n"/>
      <c r="F2570" s="4561" t="n"/>
      <c r="G2570" s="4561" t="n"/>
      <c r="H2570" s="4561" t="n"/>
      <c r="I2570" s="4562">
        <f>XLOOKUP(B2570,'_Sys|Line_Map'!$A:$A,'_Sys|Line_Map'!$C:$C,"MISSING",0)</f>
        <v/>
      </c>
      <c r="J2570" s="4562">
        <f>XLOOKUP(B2570,'_Sys|Line_Map'!$A:$A,'_Sys|Line_Map'!$D:$D,1,0)</f>
        <v/>
      </c>
      <c r="K2570" s="4562">
        <f>IF(D2570="","",D2570*J2570)</f>
        <v/>
      </c>
      <c r="L2570" s="4562">
        <f>XLOOKUP(B2570,'_Sys|Line_Map'!$A:$A,'_Sys|Line_Map'!$B:$B,"MISSING",0)</f>
        <v/>
      </c>
    </row>
    <row r="2571">
      <c r="A2571" s="4561" t="n"/>
      <c r="B2571" s="4561" t="n"/>
      <c r="C2571" s="4561" t="n"/>
      <c r="D2571" s="4561" t="n"/>
      <c r="E2571" s="4561" t="n"/>
      <c r="F2571" s="4561" t="n"/>
      <c r="G2571" s="4561" t="n"/>
      <c r="H2571" s="4561" t="n"/>
      <c r="I2571" s="4562">
        <f>XLOOKUP(B2571,'_Sys|Line_Map'!$A:$A,'_Sys|Line_Map'!$C:$C,"MISSING",0)</f>
        <v/>
      </c>
      <c r="J2571" s="4562">
        <f>XLOOKUP(B2571,'_Sys|Line_Map'!$A:$A,'_Sys|Line_Map'!$D:$D,1,0)</f>
        <v/>
      </c>
      <c r="K2571" s="4562">
        <f>IF(D2571="","",D2571*J2571)</f>
        <v/>
      </c>
      <c r="L2571" s="4562">
        <f>XLOOKUP(B2571,'_Sys|Line_Map'!$A:$A,'_Sys|Line_Map'!$B:$B,"MISSING",0)</f>
        <v/>
      </c>
    </row>
    <row r="2572">
      <c r="A2572" s="4561" t="n"/>
      <c r="B2572" s="4561" t="n"/>
      <c r="C2572" s="4561" t="n"/>
      <c r="D2572" s="4561" t="n"/>
      <c r="E2572" s="4561" t="n"/>
      <c r="F2572" s="4561" t="n"/>
      <c r="G2572" s="4561" t="n"/>
      <c r="H2572" s="4561" t="n"/>
      <c r="I2572" s="4562">
        <f>XLOOKUP(B2572,'_Sys|Line_Map'!$A:$A,'_Sys|Line_Map'!$C:$C,"MISSING",0)</f>
        <v/>
      </c>
      <c r="J2572" s="4562">
        <f>XLOOKUP(B2572,'_Sys|Line_Map'!$A:$A,'_Sys|Line_Map'!$D:$D,1,0)</f>
        <v/>
      </c>
      <c r="K2572" s="4562">
        <f>IF(D2572="","",D2572*J2572)</f>
        <v/>
      </c>
      <c r="L2572" s="4562">
        <f>XLOOKUP(B2572,'_Sys|Line_Map'!$A:$A,'_Sys|Line_Map'!$B:$B,"MISSING",0)</f>
        <v/>
      </c>
    </row>
    <row r="2573">
      <c r="A2573" s="4561" t="n"/>
      <c r="B2573" s="4561" t="n"/>
      <c r="C2573" s="4561" t="n"/>
      <c r="D2573" s="4561" t="n"/>
      <c r="E2573" s="4561" t="n"/>
      <c r="F2573" s="4561" t="n"/>
      <c r="G2573" s="4561" t="n"/>
      <c r="H2573" s="4561" t="n"/>
      <c r="I2573" s="4562">
        <f>XLOOKUP(B2573,'_Sys|Line_Map'!$A:$A,'_Sys|Line_Map'!$C:$C,"MISSING",0)</f>
        <v/>
      </c>
      <c r="J2573" s="4562">
        <f>XLOOKUP(B2573,'_Sys|Line_Map'!$A:$A,'_Sys|Line_Map'!$D:$D,1,0)</f>
        <v/>
      </c>
      <c r="K2573" s="4562">
        <f>IF(D2573="","",D2573*J2573)</f>
        <v/>
      </c>
      <c r="L2573" s="4562">
        <f>XLOOKUP(B2573,'_Sys|Line_Map'!$A:$A,'_Sys|Line_Map'!$B:$B,"MISSING",0)</f>
        <v/>
      </c>
    </row>
    <row r="2574">
      <c r="A2574" s="4561" t="n"/>
      <c r="B2574" s="4561" t="n"/>
      <c r="C2574" s="4561" t="n"/>
      <c r="D2574" s="4561" t="n"/>
      <c r="E2574" s="4561" t="n"/>
      <c r="F2574" s="4561" t="n"/>
      <c r="G2574" s="4561" t="n"/>
      <c r="H2574" s="4561" t="n"/>
      <c r="I2574" s="4562">
        <f>XLOOKUP(B2574,'_Sys|Line_Map'!$A:$A,'_Sys|Line_Map'!$C:$C,"MISSING",0)</f>
        <v/>
      </c>
      <c r="J2574" s="4562">
        <f>XLOOKUP(B2574,'_Sys|Line_Map'!$A:$A,'_Sys|Line_Map'!$D:$D,1,0)</f>
        <v/>
      </c>
      <c r="K2574" s="4562">
        <f>IF(D2574="","",D2574*J2574)</f>
        <v/>
      </c>
      <c r="L2574" s="4562">
        <f>XLOOKUP(B2574,'_Sys|Line_Map'!$A:$A,'_Sys|Line_Map'!$B:$B,"MISSING",0)</f>
        <v/>
      </c>
    </row>
    <row r="2575">
      <c r="A2575" s="4561" t="n"/>
      <c r="B2575" s="4561" t="n"/>
      <c r="C2575" s="4561" t="n"/>
      <c r="D2575" s="4561" t="n"/>
      <c r="E2575" s="4561" t="n"/>
      <c r="F2575" s="4561" t="n"/>
      <c r="G2575" s="4561" t="n"/>
      <c r="H2575" s="4561" t="n"/>
      <c r="I2575" s="4562">
        <f>XLOOKUP(B2575,'_Sys|Line_Map'!$A:$A,'_Sys|Line_Map'!$C:$C,"MISSING",0)</f>
        <v/>
      </c>
      <c r="J2575" s="4562">
        <f>XLOOKUP(B2575,'_Sys|Line_Map'!$A:$A,'_Sys|Line_Map'!$D:$D,1,0)</f>
        <v/>
      </c>
      <c r="K2575" s="4562">
        <f>IF(D2575="","",D2575*J2575)</f>
        <v/>
      </c>
      <c r="L2575" s="4562">
        <f>XLOOKUP(B2575,'_Sys|Line_Map'!$A:$A,'_Sys|Line_Map'!$B:$B,"MISSING",0)</f>
        <v/>
      </c>
    </row>
    <row r="2576">
      <c r="A2576" s="4561" t="n"/>
      <c r="B2576" s="4561" t="n"/>
      <c r="C2576" s="4561" t="n"/>
      <c r="D2576" s="4561" t="n"/>
      <c r="E2576" s="4561" t="n"/>
      <c r="F2576" s="4561" t="n"/>
      <c r="G2576" s="4561" t="n"/>
      <c r="H2576" s="4561" t="n"/>
      <c r="I2576" s="4562">
        <f>XLOOKUP(B2576,'_Sys|Line_Map'!$A:$A,'_Sys|Line_Map'!$C:$C,"MISSING",0)</f>
        <v/>
      </c>
      <c r="J2576" s="4562">
        <f>XLOOKUP(B2576,'_Sys|Line_Map'!$A:$A,'_Sys|Line_Map'!$D:$D,1,0)</f>
        <v/>
      </c>
      <c r="K2576" s="4562">
        <f>IF(D2576="","",D2576*J2576)</f>
        <v/>
      </c>
      <c r="L2576" s="4562">
        <f>XLOOKUP(B2576,'_Sys|Line_Map'!$A:$A,'_Sys|Line_Map'!$B:$B,"MISSING",0)</f>
        <v/>
      </c>
    </row>
    <row r="2577">
      <c r="A2577" s="4561" t="n"/>
      <c r="B2577" s="4561" t="n"/>
      <c r="C2577" s="4561" t="n"/>
      <c r="D2577" s="4561" t="n"/>
      <c r="E2577" s="4561" t="n"/>
      <c r="F2577" s="4561" t="n"/>
      <c r="G2577" s="4561" t="n"/>
      <c r="H2577" s="4561" t="n"/>
      <c r="I2577" s="4562">
        <f>XLOOKUP(B2577,'_Sys|Line_Map'!$A:$A,'_Sys|Line_Map'!$C:$C,"MISSING",0)</f>
        <v/>
      </c>
      <c r="J2577" s="4562">
        <f>XLOOKUP(B2577,'_Sys|Line_Map'!$A:$A,'_Sys|Line_Map'!$D:$D,1,0)</f>
        <v/>
      </c>
      <c r="K2577" s="4562">
        <f>IF(D2577="","",D2577*J2577)</f>
        <v/>
      </c>
      <c r="L2577" s="4562">
        <f>XLOOKUP(B2577,'_Sys|Line_Map'!$A:$A,'_Sys|Line_Map'!$B:$B,"MISSING",0)</f>
        <v/>
      </c>
    </row>
    <row r="2578">
      <c r="A2578" s="4561" t="n"/>
      <c r="B2578" s="4561" t="n"/>
      <c r="C2578" s="4561" t="n"/>
      <c r="D2578" s="4561" t="n"/>
      <c r="E2578" s="4561" t="n"/>
      <c r="F2578" s="4561" t="n"/>
      <c r="G2578" s="4561" t="n"/>
      <c r="H2578" s="4561" t="n"/>
      <c r="I2578" s="4562">
        <f>XLOOKUP(B2578,'_Sys|Line_Map'!$A:$A,'_Sys|Line_Map'!$C:$C,"MISSING",0)</f>
        <v/>
      </c>
      <c r="J2578" s="4562">
        <f>XLOOKUP(B2578,'_Sys|Line_Map'!$A:$A,'_Sys|Line_Map'!$D:$D,1,0)</f>
        <v/>
      </c>
      <c r="K2578" s="4562">
        <f>IF(D2578="","",D2578*J2578)</f>
        <v/>
      </c>
      <c r="L2578" s="4562">
        <f>XLOOKUP(B2578,'_Sys|Line_Map'!$A:$A,'_Sys|Line_Map'!$B:$B,"MISSING",0)</f>
        <v/>
      </c>
    </row>
    <row r="2579">
      <c r="A2579" s="4561" t="n"/>
      <c r="B2579" s="4561" t="n"/>
      <c r="C2579" s="4561" t="n"/>
      <c r="D2579" s="4561" t="n"/>
      <c r="E2579" s="4561" t="n"/>
      <c r="F2579" s="4561" t="n"/>
      <c r="G2579" s="4561" t="n"/>
      <c r="H2579" s="4561" t="n"/>
      <c r="I2579" s="4562">
        <f>XLOOKUP(B2579,'_Sys|Line_Map'!$A:$A,'_Sys|Line_Map'!$C:$C,"MISSING",0)</f>
        <v/>
      </c>
      <c r="J2579" s="4562">
        <f>XLOOKUP(B2579,'_Sys|Line_Map'!$A:$A,'_Sys|Line_Map'!$D:$D,1,0)</f>
        <v/>
      </c>
      <c r="K2579" s="4562">
        <f>IF(D2579="","",D2579*J2579)</f>
        <v/>
      </c>
      <c r="L2579" s="4562">
        <f>XLOOKUP(B2579,'_Sys|Line_Map'!$A:$A,'_Sys|Line_Map'!$B:$B,"MISSING",0)</f>
        <v/>
      </c>
    </row>
    <row r="2580">
      <c r="A2580" s="4561" t="n"/>
      <c r="B2580" s="4561" t="n"/>
      <c r="C2580" s="4561" t="n"/>
      <c r="D2580" s="4561" t="n"/>
      <c r="E2580" s="4561" t="n"/>
      <c r="F2580" s="4561" t="n"/>
      <c r="G2580" s="4561" t="n"/>
      <c r="H2580" s="4561" t="n"/>
      <c r="I2580" s="4562">
        <f>XLOOKUP(B2580,'_Sys|Line_Map'!$A:$A,'_Sys|Line_Map'!$C:$C,"MISSING",0)</f>
        <v/>
      </c>
      <c r="J2580" s="4562">
        <f>XLOOKUP(B2580,'_Sys|Line_Map'!$A:$A,'_Sys|Line_Map'!$D:$D,1,0)</f>
        <v/>
      </c>
      <c r="K2580" s="4562">
        <f>IF(D2580="","",D2580*J2580)</f>
        <v/>
      </c>
      <c r="L2580" s="4562">
        <f>XLOOKUP(B2580,'_Sys|Line_Map'!$A:$A,'_Sys|Line_Map'!$B:$B,"MISSING",0)</f>
        <v/>
      </c>
    </row>
    <row r="2581">
      <c r="A2581" s="4561" t="n"/>
      <c r="B2581" s="4561" t="n"/>
      <c r="C2581" s="4561" t="n"/>
      <c r="D2581" s="4561" t="n"/>
      <c r="E2581" s="4561" t="n"/>
      <c r="F2581" s="4561" t="n"/>
      <c r="G2581" s="4561" t="n"/>
      <c r="H2581" s="4561" t="n"/>
      <c r="I2581" s="4562">
        <f>XLOOKUP(B2581,'_Sys|Line_Map'!$A:$A,'_Sys|Line_Map'!$C:$C,"MISSING",0)</f>
        <v/>
      </c>
      <c r="J2581" s="4562">
        <f>XLOOKUP(B2581,'_Sys|Line_Map'!$A:$A,'_Sys|Line_Map'!$D:$D,1,0)</f>
        <v/>
      </c>
      <c r="K2581" s="4562">
        <f>IF(D2581="","",D2581*J2581)</f>
        <v/>
      </c>
      <c r="L2581" s="4562">
        <f>XLOOKUP(B2581,'_Sys|Line_Map'!$A:$A,'_Sys|Line_Map'!$B:$B,"MISSING",0)</f>
        <v/>
      </c>
    </row>
    <row r="2582">
      <c r="A2582" s="4561" t="n"/>
      <c r="B2582" s="4561" t="n"/>
      <c r="C2582" s="4561" t="n"/>
      <c r="D2582" s="4561" t="n"/>
      <c r="E2582" s="4561" t="n"/>
      <c r="F2582" s="4561" t="n"/>
      <c r="G2582" s="4561" t="n"/>
      <c r="H2582" s="4561" t="n"/>
      <c r="I2582" s="4562">
        <f>XLOOKUP(B2582,'_Sys|Line_Map'!$A:$A,'_Sys|Line_Map'!$C:$C,"MISSING",0)</f>
        <v/>
      </c>
      <c r="J2582" s="4562">
        <f>XLOOKUP(B2582,'_Sys|Line_Map'!$A:$A,'_Sys|Line_Map'!$D:$D,1,0)</f>
        <v/>
      </c>
      <c r="K2582" s="4562">
        <f>IF(D2582="","",D2582*J2582)</f>
        <v/>
      </c>
      <c r="L2582" s="4562">
        <f>XLOOKUP(B2582,'_Sys|Line_Map'!$A:$A,'_Sys|Line_Map'!$B:$B,"MISSING",0)</f>
        <v/>
      </c>
    </row>
    <row r="2583">
      <c r="A2583" s="4561" t="n"/>
      <c r="B2583" s="4561" t="n"/>
      <c r="C2583" s="4561" t="n"/>
      <c r="D2583" s="4561" t="n"/>
      <c r="E2583" s="4561" t="n"/>
      <c r="F2583" s="4561" t="n"/>
      <c r="G2583" s="4561" t="n"/>
      <c r="H2583" s="4561" t="n"/>
      <c r="I2583" s="4562">
        <f>XLOOKUP(B2583,'_Sys|Line_Map'!$A:$A,'_Sys|Line_Map'!$C:$C,"MISSING",0)</f>
        <v/>
      </c>
      <c r="J2583" s="4562">
        <f>XLOOKUP(B2583,'_Sys|Line_Map'!$A:$A,'_Sys|Line_Map'!$D:$D,1,0)</f>
        <v/>
      </c>
      <c r="K2583" s="4562">
        <f>IF(D2583="","",D2583*J2583)</f>
        <v/>
      </c>
      <c r="L2583" s="4562">
        <f>XLOOKUP(B2583,'_Sys|Line_Map'!$A:$A,'_Sys|Line_Map'!$B:$B,"MISSING",0)</f>
        <v/>
      </c>
    </row>
    <row r="2584">
      <c r="A2584" s="4561" t="n"/>
      <c r="B2584" s="4561" t="n"/>
      <c r="C2584" s="4561" t="n"/>
      <c r="D2584" s="4561" t="n"/>
      <c r="E2584" s="4561" t="n"/>
      <c r="F2584" s="4561" t="n"/>
      <c r="G2584" s="4561" t="n"/>
      <c r="H2584" s="4561" t="n"/>
      <c r="I2584" s="4562">
        <f>XLOOKUP(B2584,'_Sys|Line_Map'!$A:$A,'_Sys|Line_Map'!$C:$C,"MISSING",0)</f>
        <v/>
      </c>
      <c r="J2584" s="4562">
        <f>XLOOKUP(B2584,'_Sys|Line_Map'!$A:$A,'_Sys|Line_Map'!$D:$D,1,0)</f>
        <v/>
      </c>
      <c r="K2584" s="4562">
        <f>IF(D2584="","",D2584*J2584)</f>
        <v/>
      </c>
      <c r="L2584" s="4562">
        <f>XLOOKUP(B2584,'_Sys|Line_Map'!$A:$A,'_Sys|Line_Map'!$B:$B,"MISSING",0)</f>
        <v/>
      </c>
    </row>
    <row r="2585">
      <c r="A2585" s="4561" t="n"/>
      <c r="B2585" s="4561" t="n"/>
      <c r="C2585" s="4561" t="n"/>
      <c r="D2585" s="4561" t="n"/>
      <c r="E2585" s="4561" t="n"/>
      <c r="F2585" s="4561" t="n"/>
      <c r="G2585" s="4561" t="n"/>
      <c r="H2585" s="4561" t="n"/>
      <c r="I2585" s="4562">
        <f>XLOOKUP(B2585,'_Sys|Line_Map'!$A:$A,'_Sys|Line_Map'!$C:$C,"MISSING",0)</f>
        <v/>
      </c>
      <c r="J2585" s="4562">
        <f>XLOOKUP(B2585,'_Sys|Line_Map'!$A:$A,'_Sys|Line_Map'!$D:$D,1,0)</f>
        <v/>
      </c>
      <c r="K2585" s="4562">
        <f>IF(D2585="","",D2585*J2585)</f>
        <v/>
      </c>
      <c r="L2585" s="4562">
        <f>XLOOKUP(B2585,'_Sys|Line_Map'!$A:$A,'_Sys|Line_Map'!$B:$B,"MISSING",0)</f>
        <v/>
      </c>
    </row>
    <row r="2586">
      <c r="A2586" s="4561" t="n"/>
      <c r="B2586" s="4561" t="n"/>
      <c r="C2586" s="4561" t="n"/>
      <c r="D2586" s="4561" t="n"/>
      <c r="E2586" s="4561" t="n"/>
      <c r="F2586" s="4561" t="n"/>
      <c r="G2586" s="4561" t="n"/>
      <c r="H2586" s="4561" t="n"/>
      <c r="I2586" s="4562">
        <f>XLOOKUP(B2586,'_Sys|Line_Map'!$A:$A,'_Sys|Line_Map'!$C:$C,"MISSING",0)</f>
        <v/>
      </c>
      <c r="J2586" s="4562">
        <f>XLOOKUP(B2586,'_Sys|Line_Map'!$A:$A,'_Sys|Line_Map'!$D:$D,1,0)</f>
        <v/>
      </c>
      <c r="K2586" s="4562">
        <f>IF(D2586="","",D2586*J2586)</f>
        <v/>
      </c>
      <c r="L2586" s="4562">
        <f>XLOOKUP(B2586,'_Sys|Line_Map'!$A:$A,'_Sys|Line_Map'!$B:$B,"MISSING",0)</f>
        <v/>
      </c>
    </row>
    <row r="2587">
      <c r="A2587" s="4561" t="n"/>
      <c r="B2587" s="4561" t="n"/>
      <c r="C2587" s="4561" t="n"/>
      <c r="D2587" s="4561" t="n"/>
      <c r="E2587" s="4561" t="n"/>
      <c r="F2587" s="4561" t="n"/>
      <c r="G2587" s="4561" t="n"/>
      <c r="H2587" s="4561" t="n"/>
      <c r="I2587" s="4562">
        <f>XLOOKUP(B2587,'_Sys|Line_Map'!$A:$A,'_Sys|Line_Map'!$C:$C,"MISSING",0)</f>
        <v/>
      </c>
      <c r="J2587" s="4562">
        <f>XLOOKUP(B2587,'_Sys|Line_Map'!$A:$A,'_Sys|Line_Map'!$D:$D,1,0)</f>
        <v/>
      </c>
      <c r="K2587" s="4562">
        <f>IF(D2587="","",D2587*J2587)</f>
        <v/>
      </c>
      <c r="L2587" s="4562">
        <f>XLOOKUP(B2587,'_Sys|Line_Map'!$A:$A,'_Sys|Line_Map'!$B:$B,"MISSING",0)</f>
        <v/>
      </c>
    </row>
    <row r="2588">
      <c r="A2588" s="4561" t="n"/>
      <c r="B2588" s="4561" t="n"/>
      <c r="C2588" s="4561" t="n"/>
      <c r="D2588" s="4561" t="n"/>
      <c r="E2588" s="4561" t="n"/>
      <c r="F2588" s="4561" t="n"/>
      <c r="G2588" s="4561" t="n"/>
      <c r="H2588" s="4561" t="n"/>
      <c r="I2588" s="4562">
        <f>XLOOKUP(B2588,'_Sys|Line_Map'!$A:$A,'_Sys|Line_Map'!$C:$C,"MISSING",0)</f>
        <v/>
      </c>
      <c r="J2588" s="4562">
        <f>XLOOKUP(B2588,'_Sys|Line_Map'!$A:$A,'_Sys|Line_Map'!$D:$D,1,0)</f>
        <v/>
      </c>
      <c r="K2588" s="4562">
        <f>IF(D2588="","",D2588*J2588)</f>
        <v/>
      </c>
      <c r="L2588" s="4562">
        <f>XLOOKUP(B2588,'_Sys|Line_Map'!$A:$A,'_Sys|Line_Map'!$B:$B,"MISSING",0)</f>
        <v/>
      </c>
    </row>
    <row r="2589">
      <c r="A2589" s="4561" t="n"/>
      <c r="B2589" s="4561" t="n"/>
      <c r="C2589" s="4561" t="n"/>
      <c r="D2589" s="4561" t="n"/>
      <c r="E2589" s="4561" t="n"/>
      <c r="F2589" s="4561" t="n"/>
      <c r="G2589" s="4561" t="n"/>
      <c r="H2589" s="4561" t="n"/>
      <c r="I2589" s="4562">
        <f>XLOOKUP(B2589,'_Sys|Line_Map'!$A:$A,'_Sys|Line_Map'!$C:$C,"MISSING",0)</f>
        <v/>
      </c>
      <c r="J2589" s="4562">
        <f>XLOOKUP(B2589,'_Sys|Line_Map'!$A:$A,'_Sys|Line_Map'!$D:$D,1,0)</f>
        <v/>
      </c>
      <c r="K2589" s="4562">
        <f>IF(D2589="","",D2589*J2589)</f>
        <v/>
      </c>
      <c r="L2589" s="4562">
        <f>XLOOKUP(B2589,'_Sys|Line_Map'!$A:$A,'_Sys|Line_Map'!$B:$B,"MISSING",0)</f>
        <v/>
      </c>
    </row>
    <row r="2590">
      <c r="A2590" s="4561" t="n"/>
      <c r="B2590" s="4561" t="n"/>
      <c r="C2590" s="4561" t="n"/>
      <c r="D2590" s="4561" t="n"/>
      <c r="E2590" s="4561" t="n"/>
      <c r="F2590" s="4561" t="n"/>
      <c r="G2590" s="4561" t="n"/>
      <c r="H2590" s="4561" t="n"/>
      <c r="I2590" s="4562">
        <f>XLOOKUP(B2590,'_Sys|Line_Map'!$A:$A,'_Sys|Line_Map'!$C:$C,"MISSING",0)</f>
        <v/>
      </c>
      <c r="J2590" s="4562">
        <f>XLOOKUP(B2590,'_Sys|Line_Map'!$A:$A,'_Sys|Line_Map'!$D:$D,1,0)</f>
        <v/>
      </c>
      <c r="K2590" s="4562">
        <f>IF(D2590="","",D2590*J2590)</f>
        <v/>
      </c>
      <c r="L2590" s="4562">
        <f>XLOOKUP(B2590,'_Sys|Line_Map'!$A:$A,'_Sys|Line_Map'!$B:$B,"MISSING",0)</f>
        <v/>
      </c>
    </row>
    <row r="2591">
      <c r="A2591" s="4561" t="n"/>
      <c r="B2591" s="4561" t="n"/>
      <c r="C2591" s="4561" t="n"/>
      <c r="D2591" s="4561" t="n"/>
      <c r="E2591" s="4561" t="n"/>
      <c r="F2591" s="4561" t="n"/>
      <c r="G2591" s="4561" t="n"/>
      <c r="H2591" s="4561" t="n"/>
      <c r="I2591" s="4562">
        <f>XLOOKUP(B2591,'_Sys|Line_Map'!$A:$A,'_Sys|Line_Map'!$C:$C,"MISSING",0)</f>
        <v/>
      </c>
      <c r="J2591" s="4562">
        <f>XLOOKUP(B2591,'_Sys|Line_Map'!$A:$A,'_Sys|Line_Map'!$D:$D,1,0)</f>
        <v/>
      </c>
      <c r="K2591" s="4562">
        <f>IF(D2591="","",D2591*J2591)</f>
        <v/>
      </c>
      <c r="L2591" s="4562">
        <f>XLOOKUP(B2591,'_Sys|Line_Map'!$A:$A,'_Sys|Line_Map'!$B:$B,"MISSING",0)</f>
        <v/>
      </c>
    </row>
    <row r="2592">
      <c r="A2592" s="4561" t="n"/>
      <c r="B2592" s="4561" t="n"/>
      <c r="C2592" s="4561" t="n"/>
      <c r="D2592" s="4561" t="n"/>
      <c r="E2592" s="4561" t="n"/>
      <c r="F2592" s="4561" t="n"/>
      <c r="G2592" s="4561" t="n"/>
      <c r="H2592" s="4561" t="n"/>
      <c r="I2592" s="4562">
        <f>XLOOKUP(B2592,'_Sys|Line_Map'!$A:$A,'_Sys|Line_Map'!$C:$C,"MISSING",0)</f>
        <v/>
      </c>
      <c r="J2592" s="4562">
        <f>XLOOKUP(B2592,'_Sys|Line_Map'!$A:$A,'_Sys|Line_Map'!$D:$D,1,0)</f>
        <v/>
      </c>
      <c r="K2592" s="4562">
        <f>IF(D2592="","",D2592*J2592)</f>
        <v/>
      </c>
      <c r="L2592" s="4562">
        <f>XLOOKUP(B2592,'_Sys|Line_Map'!$A:$A,'_Sys|Line_Map'!$B:$B,"MISSING",0)</f>
        <v/>
      </c>
    </row>
    <row r="2593">
      <c r="A2593" s="4561" t="n"/>
      <c r="B2593" s="4561" t="n"/>
      <c r="C2593" s="4561" t="n"/>
      <c r="D2593" s="4561" t="n"/>
      <c r="E2593" s="4561" t="n"/>
      <c r="F2593" s="4561" t="n"/>
      <c r="G2593" s="4561" t="n"/>
      <c r="H2593" s="4561" t="n"/>
      <c r="I2593" s="4562">
        <f>XLOOKUP(B2593,'_Sys|Line_Map'!$A:$A,'_Sys|Line_Map'!$C:$C,"MISSING",0)</f>
        <v/>
      </c>
      <c r="J2593" s="4562">
        <f>XLOOKUP(B2593,'_Sys|Line_Map'!$A:$A,'_Sys|Line_Map'!$D:$D,1,0)</f>
        <v/>
      </c>
      <c r="K2593" s="4562">
        <f>IF(D2593="","",D2593*J2593)</f>
        <v/>
      </c>
      <c r="L2593" s="4562">
        <f>XLOOKUP(B2593,'_Sys|Line_Map'!$A:$A,'_Sys|Line_Map'!$B:$B,"MISSING",0)</f>
        <v/>
      </c>
    </row>
    <row r="2594">
      <c r="A2594" s="4561" t="n"/>
      <c r="B2594" s="4561" t="n"/>
      <c r="C2594" s="4561" t="n"/>
      <c r="D2594" s="4561" t="n"/>
      <c r="E2594" s="4561" t="n"/>
      <c r="F2594" s="4561" t="n"/>
      <c r="G2594" s="4561" t="n"/>
      <c r="H2594" s="4561" t="n"/>
      <c r="I2594" s="4562">
        <f>XLOOKUP(B2594,'_Sys|Line_Map'!$A:$A,'_Sys|Line_Map'!$C:$C,"MISSING",0)</f>
        <v/>
      </c>
      <c r="J2594" s="4562">
        <f>XLOOKUP(B2594,'_Sys|Line_Map'!$A:$A,'_Sys|Line_Map'!$D:$D,1,0)</f>
        <v/>
      </c>
      <c r="K2594" s="4562">
        <f>IF(D2594="","",D2594*J2594)</f>
        <v/>
      </c>
      <c r="L2594" s="4562">
        <f>XLOOKUP(B2594,'_Sys|Line_Map'!$A:$A,'_Sys|Line_Map'!$B:$B,"MISSING",0)</f>
        <v/>
      </c>
    </row>
    <row r="2595">
      <c r="A2595" s="4561" t="n"/>
      <c r="B2595" s="4561" t="n"/>
      <c r="C2595" s="4561" t="n"/>
      <c r="D2595" s="4561" t="n"/>
      <c r="E2595" s="4561" t="n"/>
      <c r="F2595" s="4561" t="n"/>
      <c r="G2595" s="4561" t="n"/>
      <c r="H2595" s="4561" t="n"/>
      <c r="I2595" s="4562">
        <f>XLOOKUP(B2595,'_Sys|Line_Map'!$A:$A,'_Sys|Line_Map'!$C:$C,"MISSING",0)</f>
        <v/>
      </c>
      <c r="J2595" s="4562">
        <f>XLOOKUP(B2595,'_Sys|Line_Map'!$A:$A,'_Sys|Line_Map'!$D:$D,1,0)</f>
        <v/>
      </c>
      <c r="K2595" s="4562">
        <f>IF(D2595="","",D2595*J2595)</f>
        <v/>
      </c>
      <c r="L2595" s="4562">
        <f>XLOOKUP(B2595,'_Sys|Line_Map'!$A:$A,'_Sys|Line_Map'!$B:$B,"MISSING",0)</f>
        <v/>
      </c>
    </row>
    <row r="2596">
      <c r="A2596" s="4561" t="n"/>
      <c r="B2596" s="4561" t="n"/>
      <c r="C2596" s="4561" t="n"/>
      <c r="D2596" s="4561" t="n"/>
      <c r="E2596" s="4561" t="n"/>
      <c r="F2596" s="4561" t="n"/>
      <c r="G2596" s="4561" t="n"/>
      <c r="H2596" s="4561" t="n"/>
      <c r="I2596" s="4562">
        <f>XLOOKUP(B2596,'_Sys|Line_Map'!$A:$A,'_Sys|Line_Map'!$C:$C,"MISSING",0)</f>
        <v/>
      </c>
      <c r="J2596" s="4562">
        <f>XLOOKUP(B2596,'_Sys|Line_Map'!$A:$A,'_Sys|Line_Map'!$D:$D,1,0)</f>
        <v/>
      </c>
      <c r="K2596" s="4562">
        <f>IF(D2596="","",D2596*J2596)</f>
        <v/>
      </c>
      <c r="L2596" s="4562">
        <f>XLOOKUP(B2596,'_Sys|Line_Map'!$A:$A,'_Sys|Line_Map'!$B:$B,"MISSING",0)</f>
        <v/>
      </c>
    </row>
    <row r="2597">
      <c r="A2597" s="4561" t="n"/>
      <c r="B2597" s="4561" t="n"/>
      <c r="C2597" s="4561" t="n"/>
      <c r="D2597" s="4561" t="n"/>
      <c r="E2597" s="4561" t="n"/>
      <c r="F2597" s="4561" t="n"/>
      <c r="G2597" s="4561" t="n"/>
      <c r="H2597" s="4561" t="n"/>
      <c r="I2597" s="4562">
        <f>XLOOKUP(B2597,'_Sys|Line_Map'!$A:$A,'_Sys|Line_Map'!$C:$C,"MISSING",0)</f>
        <v/>
      </c>
      <c r="J2597" s="4562">
        <f>XLOOKUP(B2597,'_Sys|Line_Map'!$A:$A,'_Sys|Line_Map'!$D:$D,1,0)</f>
        <v/>
      </c>
      <c r="K2597" s="4562">
        <f>IF(D2597="","",D2597*J2597)</f>
        <v/>
      </c>
      <c r="L2597" s="4562">
        <f>XLOOKUP(B2597,'_Sys|Line_Map'!$A:$A,'_Sys|Line_Map'!$B:$B,"MISSING",0)</f>
        <v/>
      </c>
    </row>
    <row r="2598">
      <c r="A2598" s="4561" t="n"/>
      <c r="B2598" s="4561" t="n"/>
      <c r="C2598" s="4561" t="n"/>
      <c r="D2598" s="4561" t="n"/>
      <c r="E2598" s="4561" t="n"/>
      <c r="F2598" s="4561" t="n"/>
      <c r="G2598" s="4561" t="n"/>
      <c r="H2598" s="4561" t="n"/>
      <c r="I2598" s="4562">
        <f>XLOOKUP(B2598,'_Sys|Line_Map'!$A:$A,'_Sys|Line_Map'!$C:$C,"MISSING",0)</f>
        <v/>
      </c>
      <c r="J2598" s="4562">
        <f>XLOOKUP(B2598,'_Sys|Line_Map'!$A:$A,'_Sys|Line_Map'!$D:$D,1,0)</f>
        <v/>
      </c>
      <c r="K2598" s="4562">
        <f>IF(D2598="","",D2598*J2598)</f>
        <v/>
      </c>
      <c r="L2598" s="4562">
        <f>XLOOKUP(B2598,'_Sys|Line_Map'!$A:$A,'_Sys|Line_Map'!$B:$B,"MISSING",0)</f>
        <v/>
      </c>
    </row>
    <row r="2599">
      <c r="A2599" s="4561" t="n"/>
      <c r="B2599" s="4561" t="n"/>
      <c r="C2599" s="4561" t="n"/>
      <c r="D2599" s="4561" t="n"/>
      <c r="E2599" s="4561" t="n"/>
      <c r="F2599" s="4561" t="n"/>
      <c r="G2599" s="4561" t="n"/>
      <c r="H2599" s="4561" t="n"/>
      <c r="I2599" s="4562">
        <f>XLOOKUP(B2599,'_Sys|Line_Map'!$A:$A,'_Sys|Line_Map'!$C:$C,"MISSING",0)</f>
        <v/>
      </c>
      <c r="J2599" s="4562">
        <f>XLOOKUP(B2599,'_Sys|Line_Map'!$A:$A,'_Sys|Line_Map'!$D:$D,1,0)</f>
        <v/>
      </c>
      <c r="K2599" s="4562">
        <f>IF(D2599="","",D2599*J2599)</f>
        <v/>
      </c>
      <c r="L2599" s="4562">
        <f>XLOOKUP(B2599,'_Sys|Line_Map'!$A:$A,'_Sys|Line_Map'!$B:$B,"MISSING",0)</f>
        <v/>
      </c>
    </row>
    <row r="2600">
      <c r="A2600" s="4561" t="n"/>
      <c r="B2600" s="4561" t="n"/>
      <c r="C2600" s="4561" t="n"/>
      <c r="D2600" s="4561" t="n"/>
      <c r="E2600" s="4561" t="n"/>
      <c r="F2600" s="4561" t="n"/>
      <c r="G2600" s="4561" t="n"/>
      <c r="H2600" s="4561" t="n"/>
      <c r="I2600" s="4562">
        <f>XLOOKUP(B2600,'_Sys|Line_Map'!$A:$A,'_Sys|Line_Map'!$C:$C,"MISSING",0)</f>
        <v/>
      </c>
      <c r="J2600" s="4562">
        <f>XLOOKUP(B2600,'_Sys|Line_Map'!$A:$A,'_Sys|Line_Map'!$D:$D,1,0)</f>
        <v/>
      </c>
      <c r="K2600" s="4562">
        <f>IF(D2600="","",D2600*J2600)</f>
        <v/>
      </c>
      <c r="L2600" s="4562">
        <f>XLOOKUP(B2600,'_Sys|Line_Map'!$A:$A,'_Sys|Line_Map'!$B:$B,"MISSING",0)</f>
        <v/>
      </c>
    </row>
    <row r="2601">
      <c r="A2601" s="4561" t="n"/>
      <c r="B2601" s="4561" t="n"/>
      <c r="C2601" s="4561" t="n"/>
      <c r="D2601" s="4561" t="n"/>
      <c r="E2601" s="4561" t="n"/>
      <c r="F2601" s="4561" t="n"/>
      <c r="G2601" s="4561" t="n"/>
      <c r="H2601" s="4561" t="n"/>
      <c r="I2601" s="4562">
        <f>XLOOKUP(B2601,'_Sys|Line_Map'!$A:$A,'_Sys|Line_Map'!$C:$C,"MISSING",0)</f>
        <v/>
      </c>
      <c r="J2601" s="4562">
        <f>XLOOKUP(B2601,'_Sys|Line_Map'!$A:$A,'_Sys|Line_Map'!$D:$D,1,0)</f>
        <v/>
      </c>
      <c r="K2601" s="4562">
        <f>IF(D2601="","",D2601*J2601)</f>
        <v/>
      </c>
      <c r="L2601" s="4562">
        <f>XLOOKUP(B2601,'_Sys|Line_Map'!$A:$A,'_Sys|Line_Map'!$B:$B,"MISSING",0)</f>
        <v/>
      </c>
    </row>
    <row r="2602">
      <c r="A2602" s="4561" t="n"/>
      <c r="B2602" s="4561" t="n"/>
      <c r="C2602" s="4561" t="n"/>
      <c r="D2602" s="4561" t="n"/>
      <c r="E2602" s="4561" t="n"/>
      <c r="F2602" s="4561" t="n"/>
      <c r="G2602" s="4561" t="n"/>
      <c r="H2602" s="4561" t="n"/>
      <c r="I2602" s="4562">
        <f>XLOOKUP(B2602,'_Sys|Line_Map'!$A:$A,'_Sys|Line_Map'!$C:$C,"MISSING",0)</f>
        <v/>
      </c>
      <c r="J2602" s="4562">
        <f>XLOOKUP(B2602,'_Sys|Line_Map'!$A:$A,'_Sys|Line_Map'!$D:$D,1,0)</f>
        <v/>
      </c>
      <c r="K2602" s="4562">
        <f>IF(D2602="","",D2602*J2602)</f>
        <v/>
      </c>
      <c r="L2602" s="4562">
        <f>XLOOKUP(B2602,'_Sys|Line_Map'!$A:$A,'_Sys|Line_Map'!$B:$B,"MISSING",0)</f>
        <v/>
      </c>
    </row>
    <row r="2603">
      <c r="A2603" s="4561" t="n"/>
      <c r="B2603" s="4561" t="n"/>
      <c r="C2603" s="4561" t="n"/>
      <c r="D2603" s="4561" t="n"/>
      <c r="E2603" s="4561" t="n"/>
      <c r="F2603" s="4561" t="n"/>
      <c r="G2603" s="4561" t="n"/>
      <c r="H2603" s="4561" t="n"/>
      <c r="I2603" s="4562">
        <f>XLOOKUP(B2603,'_Sys|Line_Map'!$A:$A,'_Sys|Line_Map'!$C:$C,"MISSING",0)</f>
        <v/>
      </c>
      <c r="J2603" s="4562">
        <f>XLOOKUP(B2603,'_Sys|Line_Map'!$A:$A,'_Sys|Line_Map'!$D:$D,1,0)</f>
        <v/>
      </c>
      <c r="K2603" s="4562">
        <f>IF(D2603="","",D2603*J2603)</f>
        <v/>
      </c>
      <c r="L2603" s="4562">
        <f>XLOOKUP(B2603,'_Sys|Line_Map'!$A:$A,'_Sys|Line_Map'!$B:$B,"MISSING",0)</f>
        <v/>
      </c>
    </row>
    <row r="2604">
      <c r="A2604" s="4561" t="n"/>
      <c r="B2604" s="4561" t="n"/>
      <c r="C2604" s="4561" t="n"/>
      <c r="D2604" s="4561" t="n"/>
      <c r="E2604" s="4561" t="n"/>
      <c r="F2604" s="4561" t="n"/>
      <c r="G2604" s="4561" t="n"/>
      <c r="H2604" s="4561" t="n"/>
      <c r="I2604" s="4562">
        <f>XLOOKUP(B2604,'_Sys|Line_Map'!$A:$A,'_Sys|Line_Map'!$C:$C,"MISSING",0)</f>
        <v/>
      </c>
      <c r="J2604" s="4562">
        <f>XLOOKUP(B2604,'_Sys|Line_Map'!$A:$A,'_Sys|Line_Map'!$D:$D,1,0)</f>
        <v/>
      </c>
      <c r="K2604" s="4562">
        <f>IF(D2604="","",D2604*J2604)</f>
        <v/>
      </c>
      <c r="L2604" s="4562">
        <f>XLOOKUP(B2604,'_Sys|Line_Map'!$A:$A,'_Sys|Line_Map'!$B:$B,"MISSING",0)</f>
        <v/>
      </c>
    </row>
    <row r="2605">
      <c r="A2605" s="4561" t="n"/>
      <c r="B2605" s="4561" t="n"/>
      <c r="C2605" s="4561" t="n"/>
      <c r="D2605" s="4561" t="n"/>
      <c r="E2605" s="4561" t="n"/>
      <c r="F2605" s="4561" t="n"/>
      <c r="G2605" s="4561" t="n"/>
      <c r="H2605" s="4561" t="n"/>
      <c r="I2605" s="4562">
        <f>XLOOKUP(B2605,'_Sys|Line_Map'!$A:$A,'_Sys|Line_Map'!$C:$C,"MISSING",0)</f>
        <v/>
      </c>
      <c r="J2605" s="4562">
        <f>XLOOKUP(B2605,'_Sys|Line_Map'!$A:$A,'_Sys|Line_Map'!$D:$D,1,0)</f>
        <v/>
      </c>
      <c r="K2605" s="4562">
        <f>IF(D2605="","",D2605*J2605)</f>
        <v/>
      </c>
      <c r="L2605" s="4562">
        <f>XLOOKUP(B2605,'_Sys|Line_Map'!$A:$A,'_Sys|Line_Map'!$B:$B,"MISSING",0)</f>
        <v/>
      </c>
    </row>
    <row r="2606">
      <c r="A2606" s="4561" t="n"/>
      <c r="B2606" s="4561" t="n"/>
      <c r="C2606" s="4561" t="n"/>
      <c r="D2606" s="4561" t="n"/>
      <c r="E2606" s="4561" t="n"/>
      <c r="F2606" s="4561" t="n"/>
      <c r="G2606" s="4561" t="n"/>
      <c r="H2606" s="4561" t="n"/>
      <c r="I2606" s="4562">
        <f>XLOOKUP(B2606,'_Sys|Line_Map'!$A:$A,'_Sys|Line_Map'!$C:$C,"MISSING",0)</f>
        <v/>
      </c>
      <c r="J2606" s="4562">
        <f>XLOOKUP(B2606,'_Sys|Line_Map'!$A:$A,'_Sys|Line_Map'!$D:$D,1,0)</f>
        <v/>
      </c>
      <c r="K2606" s="4562">
        <f>IF(D2606="","",D2606*J2606)</f>
        <v/>
      </c>
      <c r="L2606" s="4562">
        <f>XLOOKUP(B2606,'_Sys|Line_Map'!$A:$A,'_Sys|Line_Map'!$B:$B,"MISSING",0)</f>
        <v/>
      </c>
    </row>
    <row r="2607">
      <c r="A2607" s="4561" t="n"/>
      <c r="B2607" s="4561" t="n"/>
      <c r="C2607" s="4561" t="n"/>
      <c r="D2607" s="4561" t="n"/>
      <c r="E2607" s="4561" t="n"/>
      <c r="F2607" s="4561" t="n"/>
      <c r="G2607" s="4561" t="n"/>
      <c r="H2607" s="4561" t="n"/>
      <c r="I2607" s="4562">
        <f>XLOOKUP(B2607,'_Sys|Line_Map'!$A:$A,'_Sys|Line_Map'!$C:$C,"MISSING",0)</f>
        <v/>
      </c>
      <c r="J2607" s="4562">
        <f>XLOOKUP(B2607,'_Sys|Line_Map'!$A:$A,'_Sys|Line_Map'!$D:$D,1,0)</f>
        <v/>
      </c>
      <c r="K2607" s="4562">
        <f>IF(D2607="","",D2607*J2607)</f>
        <v/>
      </c>
      <c r="L2607" s="4562">
        <f>XLOOKUP(B2607,'_Sys|Line_Map'!$A:$A,'_Sys|Line_Map'!$B:$B,"MISSING",0)</f>
        <v/>
      </c>
    </row>
    <row r="2608">
      <c r="A2608" s="4561" t="n"/>
      <c r="B2608" s="4561" t="n"/>
      <c r="C2608" s="4561" t="n"/>
      <c r="D2608" s="4561" t="n"/>
      <c r="E2608" s="4561" t="n"/>
      <c r="F2608" s="4561" t="n"/>
      <c r="G2608" s="4561" t="n"/>
      <c r="H2608" s="4561" t="n"/>
      <c r="I2608" s="4562">
        <f>XLOOKUP(B2608,'_Sys|Line_Map'!$A:$A,'_Sys|Line_Map'!$C:$C,"MISSING",0)</f>
        <v/>
      </c>
      <c r="J2608" s="4562">
        <f>XLOOKUP(B2608,'_Sys|Line_Map'!$A:$A,'_Sys|Line_Map'!$D:$D,1,0)</f>
        <v/>
      </c>
      <c r="K2608" s="4562">
        <f>IF(D2608="","",D2608*J2608)</f>
        <v/>
      </c>
      <c r="L2608" s="4562">
        <f>XLOOKUP(B2608,'_Sys|Line_Map'!$A:$A,'_Sys|Line_Map'!$B:$B,"MISSING",0)</f>
        <v/>
      </c>
    </row>
    <row r="2609">
      <c r="A2609" s="4561" t="n"/>
      <c r="B2609" s="4561" t="n"/>
      <c r="C2609" s="4561" t="n"/>
      <c r="D2609" s="4561" t="n"/>
      <c r="E2609" s="4561" t="n"/>
      <c r="F2609" s="4561" t="n"/>
      <c r="G2609" s="4561" t="n"/>
      <c r="H2609" s="4561" t="n"/>
      <c r="I2609" s="4562">
        <f>XLOOKUP(B2609,'_Sys|Line_Map'!$A:$A,'_Sys|Line_Map'!$C:$C,"MISSING",0)</f>
        <v/>
      </c>
      <c r="J2609" s="4562">
        <f>XLOOKUP(B2609,'_Sys|Line_Map'!$A:$A,'_Sys|Line_Map'!$D:$D,1,0)</f>
        <v/>
      </c>
      <c r="K2609" s="4562">
        <f>IF(D2609="","",D2609*J2609)</f>
        <v/>
      </c>
      <c r="L2609" s="4562">
        <f>XLOOKUP(B2609,'_Sys|Line_Map'!$A:$A,'_Sys|Line_Map'!$B:$B,"MISSING",0)</f>
        <v/>
      </c>
    </row>
    <row r="2610">
      <c r="A2610" s="4561" t="n"/>
      <c r="B2610" s="4561" t="n"/>
      <c r="C2610" s="4561" t="n"/>
      <c r="D2610" s="4561" t="n"/>
      <c r="E2610" s="4561" t="n"/>
      <c r="F2610" s="4561" t="n"/>
      <c r="G2610" s="4561" t="n"/>
      <c r="H2610" s="4561" t="n"/>
      <c r="I2610" s="4562">
        <f>XLOOKUP(B2610,'_Sys|Line_Map'!$A:$A,'_Sys|Line_Map'!$C:$C,"MISSING",0)</f>
        <v/>
      </c>
      <c r="J2610" s="4562">
        <f>XLOOKUP(B2610,'_Sys|Line_Map'!$A:$A,'_Sys|Line_Map'!$D:$D,1,0)</f>
        <v/>
      </c>
      <c r="K2610" s="4562">
        <f>IF(D2610="","",D2610*J2610)</f>
        <v/>
      </c>
      <c r="L2610" s="4562">
        <f>XLOOKUP(B2610,'_Sys|Line_Map'!$A:$A,'_Sys|Line_Map'!$B:$B,"MISSING",0)</f>
        <v/>
      </c>
    </row>
    <row r="2611">
      <c r="A2611" s="4561" t="n"/>
      <c r="B2611" s="4561" t="n"/>
      <c r="C2611" s="4561" t="n"/>
      <c r="D2611" s="4561" t="n"/>
      <c r="E2611" s="4561" t="n"/>
      <c r="F2611" s="4561" t="n"/>
      <c r="G2611" s="4561" t="n"/>
      <c r="H2611" s="4561" t="n"/>
      <c r="I2611" s="4562">
        <f>XLOOKUP(B2611,'_Sys|Line_Map'!$A:$A,'_Sys|Line_Map'!$C:$C,"MISSING",0)</f>
        <v/>
      </c>
      <c r="J2611" s="4562">
        <f>XLOOKUP(B2611,'_Sys|Line_Map'!$A:$A,'_Sys|Line_Map'!$D:$D,1,0)</f>
        <v/>
      </c>
      <c r="K2611" s="4562">
        <f>IF(D2611="","",D2611*J2611)</f>
        <v/>
      </c>
      <c r="L2611" s="4562">
        <f>XLOOKUP(B2611,'_Sys|Line_Map'!$A:$A,'_Sys|Line_Map'!$B:$B,"MISSING",0)</f>
        <v/>
      </c>
    </row>
    <row r="2612">
      <c r="A2612" s="4561" t="n"/>
      <c r="B2612" s="4561" t="n"/>
      <c r="C2612" s="4561" t="n"/>
      <c r="D2612" s="4561" t="n"/>
      <c r="E2612" s="4561" t="n"/>
      <c r="F2612" s="4561" t="n"/>
      <c r="G2612" s="4561" t="n"/>
      <c r="H2612" s="4561" t="n"/>
      <c r="I2612" s="4562">
        <f>XLOOKUP(B2612,'_Sys|Line_Map'!$A:$A,'_Sys|Line_Map'!$C:$C,"MISSING",0)</f>
        <v/>
      </c>
      <c r="J2612" s="4562">
        <f>XLOOKUP(B2612,'_Sys|Line_Map'!$A:$A,'_Sys|Line_Map'!$D:$D,1,0)</f>
        <v/>
      </c>
      <c r="K2612" s="4562">
        <f>IF(D2612="","",D2612*J2612)</f>
        <v/>
      </c>
      <c r="L2612" s="4562">
        <f>XLOOKUP(B2612,'_Sys|Line_Map'!$A:$A,'_Sys|Line_Map'!$B:$B,"MISSING",0)</f>
        <v/>
      </c>
    </row>
    <row r="2613">
      <c r="A2613" s="4561" t="n"/>
      <c r="B2613" s="4561" t="n"/>
      <c r="C2613" s="4561" t="n"/>
      <c r="D2613" s="4561" t="n"/>
      <c r="E2613" s="4561" t="n"/>
      <c r="F2613" s="4561" t="n"/>
      <c r="G2613" s="4561" t="n"/>
      <c r="H2613" s="4561" t="n"/>
      <c r="I2613" s="4562">
        <f>XLOOKUP(B2613,'_Sys|Line_Map'!$A:$A,'_Sys|Line_Map'!$C:$C,"MISSING",0)</f>
        <v/>
      </c>
      <c r="J2613" s="4562">
        <f>XLOOKUP(B2613,'_Sys|Line_Map'!$A:$A,'_Sys|Line_Map'!$D:$D,1,0)</f>
        <v/>
      </c>
      <c r="K2613" s="4562">
        <f>IF(D2613="","",D2613*J2613)</f>
        <v/>
      </c>
      <c r="L2613" s="4562">
        <f>XLOOKUP(B2613,'_Sys|Line_Map'!$A:$A,'_Sys|Line_Map'!$B:$B,"MISSING",0)</f>
        <v/>
      </c>
    </row>
    <row r="2614">
      <c r="A2614" s="4561" t="n"/>
      <c r="B2614" s="4561" t="n"/>
      <c r="C2614" s="4561" t="n"/>
      <c r="D2614" s="4561" t="n"/>
      <c r="E2614" s="4561" t="n"/>
      <c r="F2614" s="4561" t="n"/>
      <c r="G2614" s="4561" t="n"/>
      <c r="H2614" s="4561" t="n"/>
      <c r="I2614" s="4562">
        <f>XLOOKUP(B2614,'_Sys|Line_Map'!$A:$A,'_Sys|Line_Map'!$C:$C,"MISSING",0)</f>
        <v/>
      </c>
      <c r="J2614" s="4562">
        <f>XLOOKUP(B2614,'_Sys|Line_Map'!$A:$A,'_Sys|Line_Map'!$D:$D,1,0)</f>
        <v/>
      </c>
      <c r="K2614" s="4562">
        <f>IF(D2614="","",D2614*J2614)</f>
        <v/>
      </c>
      <c r="L2614" s="4562">
        <f>XLOOKUP(B2614,'_Sys|Line_Map'!$A:$A,'_Sys|Line_Map'!$B:$B,"MISSING",0)</f>
        <v/>
      </c>
    </row>
    <row r="2615">
      <c r="A2615" s="4561" t="n"/>
      <c r="B2615" s="4561" t="n"/>
      <c r="C2615" s="4561" t="n"/>
      <c r="D2615" s="4561" t="n"/>
      <c r="E2615" s="4561" t="n"/>
      <c r="F2615" s="4561" t="n"/>
      <c r="G2615" s="4561" t="n"/>
      <c r="H2615" s="4561" t="n"/>
      <c r="I2615" s="4562">
        <f>XLOOKUP(B2615,'_Sys|Line_Map'!$A:$A,'_Sys|Line_Map'!$C:$C,"MISSING",0)</f>
        <v/>
      </c>
      <c r="J2615" s="4562">
        <f>XLOOKUP(B2615,'_Sys|Line_Map'!$A:$A,'_Sys|Line_Map'!$D:$D,1,0)</f>
        <v/>
      </c>
      <c r="K2615" s="4562">
        <f>IF(D2615="","",D2615*J2615)</f>
        <v/>
      </c>
      <c r="L2615" s="4562">
        <f>XLOOKUP(B2615,'_Sys|Line_Map'!$A:$A,'_Sys|Line_Map'!$B:$B,"MISSING",0)</f>
        <v/>
      </c>
    </row>
    <row r="2616">
      <c r="A2616" s="4561" t="n"/>
      <c r="B2616" s="4561" t="n"/>
      <c r="C2616" s="4561" t="n"/>
      <c r="D2616" s="4561" t="n"/>
      <c r="E2616" s="4561" t="n"/>
      <c r="F2616" s="4561" t="n"/>
      <c r="G2616" s="4561" t="n"/>
      <c r="H2616" s="4561" t="n"/>
      <c r="I2616" s="4562">
        <f>XLOOKUP(B2616,'_Sys|Line_Map'!$A:$A,'_Sys|Line_Map'!$C:$C,"MISSING",0)</f>
        <v/>
      </c>
      <c r="J2616" s="4562">
        <f>XLOOKUP(B2616,'_Sys|Line_Map'!$A:$A,'_Sys|Line_Map'!$D:$D,1,0)</f>
        <v/>
      </c>
      <c r="K2616" s="4562">
        <f>IF(D2616="","",D2616*J2616)</f>
        <v/>
      </c>
      <c r="L2616" s="4562">
        <f>XLOOKUP(B2616,'_Sys|Line_Map'!$A:$A,'_Sys|Line_Map'!$B:$B,"MISSING",0)</f>
        <v/>
      </c>
    </row>
    <row r="2617">
      <c r="A2617" s="4561" t="n"/>
      <c r="B2617" s="4561" t="n"/>
      <c r="C2617" s="4561" t="n"/>
      <c r="D2617" s="4561" t="n"/>
      <c r="E2617" s="4561" t="n"/>
      <c r="F2617" s="4561" t="n"/>
      <c r="G2617" s="4561" t="n"/>
      <c r="H2617" s="4561" t="n"/>
      <c r="I2617" s="4562">
        <f>XLOOKUP(B2617,'_Sys|Line_Map'!$A:$A,'_Sys|Line_Map'!$C:$C,"MISSING",0)</f>
        <v/>
      </c>
      <c r="J2617" s="4562">
        <f>XLOOKUP(B2617,'_Sys|Line_Map'!$A:$A,'_Sys|Line_Map'!$D:$D,1,0)</f>
        <v/>
      </c>
      <c r="K2617" s="4562">
        <f>IF(D2617="","",D2617*J2617)</f>
        <v/>
      </c>
      <c r="L2617" s="4562">
        <f>XLOOKUP(B2617,'_Sys|Line_Map'!$A:$A,'_Sys|Line_Map'!$B:$B,"MISSING",0)</f>
        <v/>
      </c>
    </row>
    <row r="2618">
      <c r="A2618" s="4561" t="n"/>
      <c r="B2618" s="4561" t="n"/>
      <c r="C2618" s="4561" t="n"/>
      <c r="D2618" s="4561" t="n"/>
      <c r="E2618" s="4561" t="n"/>
      <c r="F2618" s="4561" t="n"/>
      <c r="G2618" s="4561" t="n"/>
      <c r="H2618" s="4561" t="n"/>
      <c r="I2618" s="4562">
        <f>XLOOKUP(B2618,'_Sys|Line_Map'!$A:$A,'_Sys|Line_Map'!$C:$C,"MISSING",0)</f>
        <v/>
      </c>
      <c r="J2618" s="4562">
        <f>XLOOKUP(B2618,'_Sys|Line_Map'!$A:$A,'_Sys|Line_Map'!$D:$D,1,0)</f>
        <v/>
      </c>
      <c r="K2618" s="4562">
        <f>IF(D2618="","",D2618*J2618)</f>
        <v/>
      </c>
      <c r="L2618" s="4562">
        <f>XLOOKUP(B2618,'_Sys|Line_Map'!$A:$A,'_Sys|Line_Map'!$B:$B,"MISSING",0)</f>
        <v/>
      </c>
    </row>
    <row r="2619">
      <c r="A2619" s="4561" t="n"/>
      <c r="B2619" s="4561" t="n"/>
      <c r="C2619" s="4561" t="n"/>
      <c r="D2619" s="4561" t="n"/>
      <c r="E2619" s="4561" t="n"/>
      <c r="F2619" s="4561" t="n"/>
      <c r="G2619" s="4561" t="n"/>
      <c r="H2619" s="4561" t="n"/>
      <c r="I2619" s="4562">
        <f>XLOOKUP(B2619,'_Sys|Line_Map'!$A:$A,'_Sys|Line_Map'!$C:$C,"MISSING",0)</f>
        <v/>
      </c>
      <c r="J2619" s="4562">
        <f>XLOOKUP(B2619,'_Sys|Line_Map'!$A:$A,'_Sys|Line_Map'!$D:$D,1,0)</f>
        <v/>
      </c>
      <c r="K2619" s="4562">
        <f>IF(D2619="","",D2619*J2619)</f>
        <v/>
      </c>
      <c r="L2619" s="4562">
        <f>XLOOKUP(B2619,'_Sys|Line_Map'!$A:$A,'_Sys|Line_Map'!$B:$B,"MISSING",0)</f>
        <v/>
      </c>
    </row>
    <row r="2620">
      <c r="A2620" s="4561" t="n"/>
      <c r="B2620" s="4561" t="n"/>
      <c r="C2620" s="4561" t="n"/>
      <c r="D2620" s="4561" t="n"/>
      <c r="E2620" s="4561" t="n"/>
      <c r="F2620" s="4561" t="n"/>
      <c r="G2620" s="4561" t="n"/>
      <c r="H2620" s="4561" t="n"/>
      <c r="I2620" s="4562">
        <f>XLOOKUP(B2620,'_Sys|Line_Map'!$A:$A,'_Sys|Line_Map'!$C:$C,"MISSING",0)</f>
        <v/>
      </c>
      <c r="J2620" s="4562">
        <f>XLOOKUP(B2620,'_Sys|Line_Map'!$A:$A,'_Sys|Line_Map'!$D:$D,1,0)</f>
        <v/>
      </c>
      <c r="K2620" s="4562">
        <f>IF(D2620="","",D2620*J2620)</f>
        <v/>
      </c>
      <c r="L2620" s="4562">
        <f>XLOOKUP(B2620,'_Sys|Line_Map'!$A:$A,'_Sys|Line_Map'!$B:$B,"MISSING",0)</f>
        <v/>
      </c>
    </row>
    <row r="2621">
      <c r="A2621" s="4561" t="n"/>
      <c r="B2621" s="4561" t="n"/>
      <c r="C2621" s="4561" t="n"/>
      <c r="D2621" s="4561" t="n"/>
      <c r="E2621" s="4561" t="n"/>
      <c r="F2621" s="4561" t="n"/>
      <c r="G2621" s="4561" t="n"/>
      <c r="H2621" s="4561" t="n"/>
      <c r="I2621" s="4562">
        <f>XLOOKUP(B2621,'_Sys|Line_Map'!$A:$A,'_Sys|Line_Map'!$C:$C,"MISSING",0)</f>
        <v/>
      </c>
      <c r="J2621" s="4562">
        <f>XLOOKUP(B2621,'_Sys|Line_Map'!$A:$A,'_Sys|Line_Map'!$D:$D,1,0)</f>
        <v/>
      </c>
      <c r="K2621" s="4562">
        <f>IF(D2621="","",D2621*J2621)</f>
        <v/>
      </c>
      <c r="L2621" s="4562">
        <f>XLOOKUP(B2621,'_Sys|Line_Map'!$A:$A,'_Sys|Line_Map'!$B:$B,"MISSING",0)</f>
        <v/>
      </c>
    </row>
    <row r="2622">
      <c r="A2622" s="4561" t="n"/>
      <c r="B2622" s="4561" t="n"/>
      <c r="C2622" s="4561" t="n"/>
      <c r="D2622" s="4561" t="n"/>
      <c r="E2622" s="4561" t="n"/>
      <c r="F2622" s="4561" t="n"/>
      <c r="G2622" s="4561" t="n"/>
      <c r="H2622" s="4561" t="n"/>
      <c r="I2622" s="4562">
        <f>XLOOKUP(B2622,'_Sys|Line_Map'!$A:$A,'_Sys|Line_Map'!$C:$C,"MISSING",0)</f>
        <v/>
      </c>
      <c r="J2622" s="4562">
        <f>XLOOKUP(B2622,'_Sys|Line_Map'!$A:$A,'_Sys|Line_Map'!$D:$D,1,0)</f>
        <v/>
      </c>
      <c r="K2622" s="4562">
        <f>IF(D2622="","",D2622*J2622)</f>
        <v/>
      </c>
      <c r="L2622" s="4562">
        <f>XLOOKUP(B2622,'_Sys|Line_Map'!$A:$A,'_Sys|Line_Map'!$B:$B,"MISSING",0)</f>
        <v/>
      </c>
    </row>
    <row r="2623">
      <c r="A2623" s="4561" t="n"/>
      <c r="B2623" s="4561" t="n"/>
      <c r="C2623" s="4561" t="n"/>
      <c r="D2623" s="4561" t="n"/>
      <c r="E2623" s="4561" t="n"/>
      <c r="F2623" s="4561" t="n"/>
      <c r="G2623" s="4561" t="n"/>
      <c r="H2623" s="4561" t="n"/>
      <c r="I2623" s="4562">
        <f>XLOOKUP(B2623,'_Sys|Line_Map'!$A:$A,'_Sys|Line_Map'!$C:$C,"MISSING",0)</f>
        <v/>
      </c>
      <c r="J2623" s="4562">
        <f>XLOOKUP(B2623,'_Sys|Line_Map'!$A:$A,'_Sys|Line_Map'!$D:$D,1,0)</f>
        <v/>
      </c>
      <c r="K2623" s="4562">
        <f>IF(D2623="","",D2623*J2623)</f>
        <v/>
      </c>
      <c r="L2623" s="4562">
        <f>XLOOKUP(B2623,'_Sys|Line_Map'!$A:$A,'_Sys|Line_Map'!$B:$B,"MISSING",0)</f>
        <v/>
      </c>
    </row>
    <row r="2624">
      <c r="A2624" s="4561" t="n"/>
      <c r="B2624" s="4561" t="n"/>
      <c r="C2624" s="4561" t="n"/>
      <c r="D2624" s="4561" t="n"/>
      <c r="E2624" s="4561" t="n"/>
      <c r="F2624" s="4561" t="n"/>
      <c r="G2624" s="4561" t="n"/>
      <c r="H2624" s="4561" t="n"/>
      <c r="I2624" s="4562">
        <f>XLOOKUP(B2624,'_Sys|Line_Map'!$A:$A,'_Sys|Line_Map'!$C:$C,"MISSING",0)</f>
        <v/>
      </c>
      <c r="J2624" s="4562">
        <f>XLOOKUP(B2624,'_Sys|Line_Map'!$A:$A,'_Sys|Line_Map'!$D:$D,1,0)</f>
        <v/>
      </c>
      <c r="K2624" s="4562">
        <f>IF(D2624="","",D2624*J2624)</f>
        <v/>
      </c>
      <c r="L2624" s="4562">
        <f>XLOOKUP(B2624,'_Sys|Line_Map'!$A:$A,'_Sys|Line_Map'!$B:$B,"MISSING",0)</f>
        <v/>
      </c>
    </row>
    <row r="2625">
      <c r="A2625" s="4561" t="n"/>
      <c r="B2625" s="4561" t="n"/>
      <c r="C2625" s="4561" t="n"/>
      <c r="D2625" s="4561" t="n"/>
      <c r="E2625" s="4561" t="n"/>
      <c r="F2625" s="4561" t="n"/>
      <c r="G2625" s="4561" t="n"/>
      <c r="H2625" s="4561" t="n"/>
      <c r="I2625" s="4562">
        <f>XLOOKUP(B2625,'_Sys|Line_Map'!$A:$A,'_Sys|Line_Map'!$C:$C,"MISSING",0)</f>
        <v/>
      </c>
      <c r="J2625" s="4562">
        <f>XLOOKUP(B2625,'_Sys|Line_Map'!$A:$A,'_Sys|Line_Map'!$D:$D,1,0)</f>
        <v/>
      </c>
      <c r="K2625" s="4562">
        <f>IF(D2625="","",D2625*J2625)</f>
        <v/>
      </c>
      <c r="L2625" s="4562">
        <f>XLOOKUP(B2625,'_Sys|Line_Map'!$A:$A,'_Sys|Line_Map'!$B:$B,"MISSING",0)</f>
        <v/>
      </c>
    </row>
    <row r="2626">
      <c r="A2626" s="4561" t="n"/>
      <c r="B2626" s="4561" t="n"/>
      <c r="C2626" s="4561" t="n"/>
      <c r="D2626" s="4561" t="n"/>
      <c r="E2626" s="4561" t="n"/>
      <c r="F2626" s="4561" t="n"/>
      <c r="G2626" s="4561" t="n"/>
      <c r="H2626" s="4561" t="n"/>
      <c r="I2626" s="4562">
        <f>XLOOKUP(B2626,'_Sys|Line_Map'!$A:$A,'_Sys|Line_Map'!$C:$C,"MISSING",0)</f>
        <v/>
      </c>
      <c r="J2626" s="4562">
        <f>XLOOKUP(B2626,'_Sys|Line_Map'!$A:$A,'_Sys|Line_Map'!$D:$D,1,0)</f>
        <v/>
      </c>
      <c r="K2626" s="4562">
        <f>IF(D2626="","",D2626*J2626)</f>
        <v/>
      </c>
      <c r="L2626" s="4562">
        <f>XLOOKUP(B2626,'_Sys|Line_Map'!$A:$A,'_Sys|Line_Map'!$B:$B,"MISSING",0)</f>
        <v/>
      </c>
    </row>
    <row r="2627">
      <c r="A2627" s="4561" t="n"/>
      <c r="B2627" s="4561" t="n"/>
      <c r="C2627" s="4561" t="n"/>
      <c r="D2627" s="4561" t="n"/>
      <c r="E2627" s="4561" t="n"/>
      <c r="F2627" s="4561" t="n"/>
      <c r="G2627" s="4561" t="n"/>
      <c r="H2627" s="4561" t="n"/>
      <c r="I2627" s="4562">
        <f>XLOOKUP(B2627,'_Sys|Line_Map'!$A:$A,'_Sys|Line_Map'!$C:$C,"MISSING",0)</f>
        <v/>
      </c>
      <c r="J2627" s="4562">
        <f>XLOOKUP(B2627,'_Sys|Line_Map'!$A:$A,'_Sys|Line_Map'!$D:$D,1,0)</f>
        <v/>
      </c>
      <c r="K2627" s="4562">
        <f>IF(D2627="","",D2627*J2627)</f>
        <v/>
      </c>
      <c r="L2627" s="4562">
        <f>XLOOKUP(B2627,'_Sys|Line_Map'!$A:$A,'_Sys|Line_Map'!$B:$B,"MISSING",0)</f>
        <v/>
      </c>
    </row>
    <row r="2628">
      <c r="A2628" s="4561" t="n"/>
      <c r="B2628" s="4561" t="n"/>
      <c r="C2628" s="4561" t="n"/>
      <c r="D2628" s="4561" t="n"/>
      <c r="E2628" s="4561" t="n"/>
      <c r="F2628" s="4561" t="n"/>
      <c r="G2628" s="4561" t="n"/>
      <c r="H2628" s="4561" t="n"/>
      <c r="I2628" s="4562">
        <f>XLOOKUP(B2628,'_Sys|Line_Map'!$A:$A,'_Sys|Line_Map'!$C:$C,"MISSING",0)</f>
        <v/>
      </c>
      <c r="J2628" s="4562">
        <f>XLOOKUP(B2628,'_Sys|Line_Map'!$A:$A,'_Sys|Line_Map'!$D:$D,1,0)</f>
        <v/>
      </c>
      <c r="K2628" s="4562">
        <f>IF(D2628="","",D2628*J2628)</f>
        <v/>
      </c>
      <c r="L2628" s="4562">
        <f>XLOOKUP(B2628,'_Sys|Line_Map'!$A:$A,'_Sys|Line_Map'!$B:$B,"MISSING",0)</f>
        <v/>
      </c>
    </row>
    <row r="2629">
      <c r="A2629" s="4561" t="n"/>
      <c r="B2629" s="4561" t="n"/>
      <c r="C2629" s="4561" t="n"/>
      <c r="D2629" s="4561" t="n"/>
      <c r="E2629" s="4561" t="n"/>
      <c r="F2629" s="4561" t="n"/>
      <c r="G2629" s="4561" t="n"/>
      <c r="H2629" s="4561" t="n"/>
      <c r="I2629" s="4562">
        <f>XLOOKUP(B2629,'_Sys|Line_Map'!$A:$A,'_Sys|Line_Map'!$C:$C,"MISSING",0)</f>
        <v/>
      </c>
      <c r="J2629" s="4562">
        <f>XLOOKUP(B2629,'_Sys|Line_Map'!$A:$A,'_Sys|Line_Map'!$D:$D,1,0)</f>
        <v/>
      </c>
      <c r="K2629" s="4562">
        <f>IF(D2629="","",D2629*J2629)</f>
        <v/>
      </c>
      <c r="L2629" s="4562">
        <f>XLOOKUP(B2629,'_Sys|Line_Map'!$A:$A,'_Sys|Line_Map'!$B:$B,"MISSING",0)</f>
        <v/>
      </c>
    </row>
    <row r="2630">
      <c r="A2630" s="4561" t="n"/>
      <c r="B2630" s="4561" t="n"/>
      <c r="C2630" s="4561" t="n"/>
      <c r="D2630" s="4561" t="n"/>
      <c r="E2630" s="4561" t="n"/>
      <c r="F2630" s="4561" t="n"/>
      <c r="G2630" s="4561" t="n"/>
      <c r="H2630" s="4561" t="n"/>
      <c r="I2630" s="4562">
        <f>XLOOKUP(B2630,'_Sys|Line_Map'!$A:$A,'_Sys|Line_Map'!$C:$C,"MISSING",0)</f>
        <v/>
      </c>
      <c r="J2630" s="4562">
        <f>XLOOKUP(B2630,'_Sys|Line_Map'!$A:$A,'_Sys|Line_Map'!$D:$D,1,0)</f>
        <v/>
      </c>
      <c r="K2630" s="4562">
        <f>IF(D2630="","",D2630*J2630)</f>
        <v/>
      </c>
      <c r="L2630" s="4562">
        <f>XLOOKUP(B2630,'_Sys|Line_Map'!$A:$A,'_Sys|Line_Map'!$B:$B,"MISSING",0)</f>
        <v/>
      </c>
    </row>
    <row r="2631">
      <c r="A2631" s="4561" t="n"/>
      <c r="B2631" s="4561" t="n"/>
      <c r="C2631" s="4561" t="n"/>
      <c r="D2631" s="4561" t="n"/>
      <c r="E2631" s="4561" t="n"/>
      <c r="F2631" s="4561" t="n"/>
      <c r="G2631" s="4561" t="n"/>
      <c r="H2631" s="4561" t="n"/>
      <c r="I2631" s="4562">
        <f>XLOOKUP(B2631,'_Sys|Line_Map'!$A:$A,'_Sys|Line_Map'!$C:$C,"MISSING",0)</f>
        <v/>
      </c>
      <c r="J2631" s="4562">
        <f>XLOOKUP(B2631,'_Sys|Line_Map'!$A:$A,'_Sys|Line_Map'!$D:$D,1,0)</f>
        <v/>
      </c>
      <c r="K2631" s="4562">
        <f>IF(D2631="","",D2631*J2631)</f>
        <v/>
      </c>
      <c r="L2631" s="4562">
        <f>XLOOKUP(B2631,'_Sys|Line_Map'!$A:$A,'_Sys|Line_Map'!$B:$B,"MISSING",0)</f>
        <v/>
      </c>
    </row>
    <row r="2632">
      <c r="A2632" s="4561" t="n"/>
      <c r="B2632" s="4561" t="n"/>
      <c r="C2632" s="4561" t="n"/>
      <c r="D2632" s="4561" t="n"/>
      <c r="E2632" s="4561" t="n"/>
      <c r="F2632" s="4561" t="n"/>
      <c r="G2632" s="4561" t="n"/>
      <c r="H2632" s="4561" t="n"/>
      <c r="I2632" s="4562">
        <f>XLOOKUP(B2632,'_Sys|Line_Map'!$A:$A,'_Sys|Line_Map'!$C:$C,"MISSING",0)</f>
        <v/>
      </c>
      <c r="J2632" s="4562">
        <f>XLOOKUP(B2632,'_Sys|Line_Map'!$A:$A,'_Sys|Line_Map'!$D:$D,1,0)</f>
        <v/>
      </c>
      <c r="K2632" s="4562">
        <f>IF(D2632="","",D2632*J2632)</f>
        <v/>
      </c>
      <c r="L2632" s="4562">
        <f>XLOOKUP(B2632,'_Sys|Line_Map'!$A:$A,'_Sys|Line_Map'!$B:$B,"MISSING",0)</f>
        <v/>
      </c>
    </row>
    <row r="2633">
      <c r="A2633" s="4561" t="n"/>
      <c r="B2633" s="4561" t="n"/>
      <c r="C2633" s="4561" t="n"/>
      <c r="D2633" s="4561" t="n"/>
      <c r="E2633" s="4561" t="n"/>
      <c r="F2633" s="4561" t="n"/>
      <c r="G2633" s="4561" t="n"/>
      <c r="H2633" s="4561" t="n"/>
      <c r="I2633" s="4562">
        <f>XLOOKUP(B2633,'_Sys|Line_Map'!$A:$A,'_Sys|Line_Map'!$C:$C,"MISSING",0)</f>
        <v/>
      </c>
      <c r="J2633" s="4562">
        <f>XLOOKUP(B2633,'_Sys|Line_Map'!$A:$A,'_Sys|Line_Map'!$D:$D,1,0)</f>
        <v/>
      </c>
      <c r="K2633" s="4562">
        <f>IF(D2633="","",D2633*J2633)</f>
        <v/>
      </c>
      <c r="L2633" s="4562">
        <f>XLOOKUP(B2633,'_Sys|Line_Map'!$A:$A,'_Sys|Line_Map'!$B:$B,"MISSING",0)</f>
        <v/>
      </c>
    </row>
    <row r="2634">
      <c r="A2634" s="4561" t="n"/>
      <c r="B2634" s="4561" t="n"/>
      <c r="C2634" s="4561" t="n"/>
      <c r="D2634" s="4561" t="n"/>
      <c r="E2634" s="4561" t="n"/>
      <c r="F2634" s="4561" t="n"/>
      <c r="G2634" s="4561" t="n"/>
      <c r="H2634" s="4561" t="n"/>
      <c r="I2634" s="4562">
        <f>XLOOKUP(B2634,'_Sys|Line_Map'!$A:$A,'_Sys|Line_Map'!$C:$C,"MISSING",0)</f>
        <v/>
      </c>
      <c r="J2634" s="4562">
        <f>XLOOKUP(B2634,'_Sys|Line_Map'!$A:$A,'_Sys|Line_Map'!$D:$D,1,0)</f>
        <v/>
      </c>
      <c r="K2634" s="4562">
        <f>IF(D2634="","",D2634*J2634)</f>
        <v/>
      </c>
      <c r="L2634" s="4562">
        <f>XLOOKUP(B2634,'_Sys|Line_Map'!$A:$A,'_Sys|Line_Map'!$B:$B,"MISSING",0)</f>
        <v/>
      </c>
    </row>
    <row r="2635">
      <c r="A2635" s="4561" t="n"/>
      <c r="B2635" s="4561" t="n"/>
      <c r="C2635" s="4561" t="n"/>
      <c r="D2635" s="4561" t="n"/>
      <c r="E2635" s="4561" t="n"/>
      <c r="F2635" s="4561" t="n"/>
      <c r="G2635" s="4561" t="n"/>
      <c r="H2635" s="4561" t="n"/>
      <c r="I2635" s="4562">
        <f>XLOOKUP(B2635,'_Sys|Line_Map'!$A:$A,'_Sys|Line_Map'!$C:$C,"MISSING",0)</f>
        <v/>
      </c>
      <c r="J2635" s="4562">
        <f>XLOOKUP(B2635,'_Sys|Line_Map'!$A:$A,'_Sys|Line_Map'!$D:$D,1,0)</f>
        <v/>
      </c>
      <c r="K2635" s="4562">
        <f>IF(D2635="","",D2635*J2635)</f>
        <v/>
      </c>
      <c r="L2635" s="4562">
        <f>XLOOKUP(B2635,'_Sys|Line_Map'!$A:$A,'_Sys|Line_Map'!$B:$B,"MISSING",0)</f>
        <v/>
      </c>
    </row>
    <row r="2636">
      <c r="A2636" s="4561" t="n"/>
      <c r="B2636" s="4561" t="n"/>
      <c r="C2636" s="4561" t="n"/>
      <c r="D2636" s="4561" t="n"/>
      <c r="E2636" s="4561" t="n"/>
      <c r="F2636" s="4561" t="n"/>
      <c r="G2636" s="4561" t="n"/>
      <c r="H2636" s="4561" t="n"/>
      <c r="I2636" s="4562">
        <f>XLOOKUP(B2636,'_Sys|Line_Map'!$A:$A,'_Sys|Line_Map'!$C:$C,"MISSING",0)</f>
        <v/>
      </c>
      <c r="J2636" s="4562">
        <f>XLOOKUP(B2636,'_Sys|Line_Map'!$A:$A,'_Sys|Line_Map'!$D:$D,1,0)</f>
        <v/>
      </c>
      <c r="K2636" s="4562">
        <f>IF(D2636="","",D2636*J2636)</f>
        <v/>
      </c>
      <c r="L2636" s="4562">
        <f>XLOOKUP(B2636,'_Sys|Line_Map'!$A:$A,'_Sys|Line_Map'!$B:$B,"MISSING",0)</f>
        <v/>
      </c>
    </row>
    <row r="2637">
      <c r="A2637" s="4561" t="n"/>
      <c r="B2637" s="4561" t="n"/>
      <c r="C2637" s="4561" t="n"/>
      <c r="D2637" s="4561" t="n"/>
      <c r="E2637" s="4561" t="n"/>
      <c r="F2637" s="4561" t="n"/>
      <c r="G2637" s="4561" t="n"/>
      <c r="H2637" s="4561" t="n"/>
      <c r="I2637" s="4562">
        <f>XLOOKUP(B2637,'_Sys|Line_Map'!$A:$A,'_Sys|Line_Map'!$C:$C,"MISSING",0)</f>
        <v/>
      </c>
      <c r="J2637" s="4562">
        <f>XLOOKUP(B2637,'_Sys|Line_Map'!$A:$A,'_Sys|Line_Map'!$D:$D,1,0)</f>
        <v/>
      </c>
      <c r="K2637" s="4562">
        <f>IF(D2637="","",D2637*J2637)</f>
        <v/>
      </c>
      <c r="L2637" s="4562">
        <f>XLOOKUP(B2637,'_Sys|Line_Map'!$A:$A,'_Sys|Line_Map'!$B:$B,"MISSING",0)</f>
        <v/>
      </c>
    </row>
    <row r="2638">
      <c r="A2638" s="4561" t="n"/>
      <c r="B2638" s="4561" t="n"/>
      <c r="C2638" s="4561" t="n"/>
      <c r="D2638" s="4561" t="n"/>
      <c r="E2638" s="4561" t="n"/>
      <c r="F2638" s="4561" t="n"/>
      <c r="G2638" s="4561" t="n"/>
      <c r="H2638" s="4561" t="n"/>
      <c r="I2638" s="4562">
        <f>XLOOKUP(B2638,'_Sys|Line_Map'!$A:$A,'_Sys|Line_Map'!$C:$C,"MISSING",0)</f>
        <v/>
      </c>
      <c r="J2638" s="4562">
        <f>XLOOKUP(B2638,'_Sys|Line_Map'!$A:$A,'_Sys|Line_Map'!$D:$D,1,0)</f>
        <v/>
      </c>
      <c r="K2638" s="4562">
        <f>IF(D2638="","",D2638*J2638)</f>
        <v/>
      </c>
      <c r="L2638" s="4562">
        <f>XLOOKUP(B2638,'_Sys|Line_Map'!$A:$A,'_Sys|Line_Map'!$B:$B,"MISSING",0)</f>
        <v/>
      </c>
    </row>
    <row r="2639">
      <c r="A2639" s="4561" t="n"/>
      <c r="B2639" s="4561" t="n"/>
      <c r="C2639" s="4561" t="n"/>
      <c r="D2639" s="4561" t="n"/>
      <c r="E2639" s="4561" t="n"/>
      <c r="F2639" s="4561" t="n"/>
      <c r="G2639" s="4561" t="n"/>
      <c r="H2639" s="4561" t="n"/>
      <c r="I2639" s="4562">
        <f>XLOOKUP(B2639,'_Sys|Line_Map'!$A:$A,'_Sys|Line_Map'!$C:$C,"MISSING",0)</f>
        <v/>
      </c>
      <c r="J2639" s="4562">
        <f>XLOOKUP(B2639,'_Sys|Line_Map'!$A:$A,'_Sys|Line_Map'!$D:$D,1,0)</f>
        <v/>
      </c>
      <c r="K2639" s="4562">
        <f>IF(D2639="","",D2639*J2639)</f>
        <v/>
      </c>
      <c r="L2639" s="4562">
        <f>XLOOKUP(B2639,'_Sys|Line_Map'!$A:$A,'_Sys|Line_Map'!$B:$B,"MISSING",0)</f>
        <v/>
      </c>
    </row>
    <row r="2640">
      <c r="A2640" s="4561" t="n"/>
      <c r="B2640" s="4561" t="n"/>
      <c r="C2640" s="4561" t="n"/>
      <c r="D2640" s="4561" t="n"/>
      <c r="E2640" s="4561" t="n"/>
      <c r="F2640" s="4561" t="n"/>
      <c r="G2640" s="4561" t="n"/>
      <c r="H2640" s="4561" t="n"/>
      <c r="I2640" s="4562">
        <f>XLOOKUP(B2640,'_Sys|Line_Map'!$A:$A,'_Sys|Line_Map'!$C:$C,"MISSING",0)</f>
        <v/>
      </c>
      <c r="J2640" s="4562">
        <f>XLOOKUP(B2640,'_Sys|Line_Map'!$A:$A,'_Sys|Line_Map'!$D:$D,1,0)</f>
        <v/>
      </c>
      <c r="K2640" s="4562">
        <f>IF(D2640="","",D2640*J2640)</f>
        <v/>
      </c>
      <c r="L2640" s="4562">
        <f>XLOOKUP(B2640,'_Sys|Line_Map'!$A:$A,'_Sys|Line_Map'!$B:$B,"MISSING",0)</f>
        <v/>
      </c>
    </row>
    <row r="2641">
      <c r="A2641" s="4561" t="n"/>
      <c r="B2641" s="4561" t="n"/>
      <c r="C2641" s="4561" t="n"/>
      <c r="D2641" s="4561" t="n"/>
      <c r="E2641" s="4561" t="n"/>
      <c r="F2641" s="4561" t="n"/>
      <c r="G2641" s="4561" t="n"/>
      <c r="H2641" s="4561" t="n"/>
      <c r="I2641" s="4562">
        <f>XLOOKUP(B2641,'_Sys|Line_Map'!$A:$A,'_Sys|Line_Map'!$C:$C,"MISSING",0)</f>
        <v/>
      </c>
      <c r="J2641" s="4562">
        <f>XLOOKUP(B2641,'_Sys|Line_Map'!$A:$A,'_Sys|Line_Map'!$D:$D,1,0)</f>
        <v/>
      </c>
      <c r="K2641" s="4562">
        <f>IF(D2641="","",D2641*J2641)</f>
        <v/>
      </c>
      <c r="L2641" s="4562">
        <f>XLOOKUP(B2641,'_Sys|Line_Map'!$A:$A,'_Sys|Line_Map'!$B:$B,"MISSING",0)</f>
        <v/>
      </c>
    </row>
    <row r="2642">
      <c r="A2642" s="4561" t="n"/>
      <c r="B2642" s="4561" t="n"/>
      <c r="C2642" s="4561" t="n"/>
      <c r="D2642" s="4561" t="n"/>
      <c r="E2642" s="4561" t="n"/>
      <c r="F2642" s="4561" t="n"/>
      <c r="G2642" s="4561" t="n"/>
      <c r="H2642" s="4561" t="n"/>
      <c r="I2642" s="4562">
        <f>XLOOKUP(B2642,'_Sys|Line_Map'!$A:$A,'_Sys|Line_Map'!$C:$C,"MISSING",0)</f>
        <v/>
      </c>
      <c r="J2642" s="4562">
        <f>XLOOKUP(B2642,'_Sys|Line_Map'!$A:$A,'_Sys|Line_Map'!$D:$D,1,0)</f>
        <v/>
      </c>
      <c r="K2642" s="4562">
        <f>IF(D2642="","",D2642*J2642)</f>
        <v/>
      </c>
      <c r="L2642" s="4562">
        <f>XLOOKUP(B2642,'_Sys|Line_Map'!$A:$A,'_Sys|Line_Map'!$B:$B,"MISSING",0)</f>
        <v/>
      </c>
    </row>
    <row r="2643">
      <c r="A2643" s="4561" t="n"/>
      <c r="B2643" s="4561" t="n"/>
      <c r="C2643" s="4561" t="n"/>
      <c r="D2643" s="4561" t="n"/>
      <c r="E2643" s="4561" t="n"/>
      <c r="F2643" s="4561" t="n"/>
      <c r="G2643" s="4561" t="n"/>
      <c r="H2643" s="4561" t="n"/>
      <c r="I2643" s="4562">
        <f>XLOOKUP(B2643,'_Sys|Line_Map'!$A:$A,'_Sys|Line_Map'!$C:$C,"MISSING",0)</f>
        <v/>
      </c>
      <c r="J2643" s="4562">
        <f>XLOOKUP(B2643,'_Sys|Line_Map'!$A:$A,'_Sys|Line_Map'!$D:$D,1,0)</f>
        <v/>
      </c>
      <c r="K2643" s="4562">
        <f>IF(D2643="","",D2643*J2643)</f>
        <v/>
      </c>
      <c r="L2643" s="4562">
        <f>XLOOKUP(B2643,'_Sys|Line_Map'!$A:$A,'_Sys|Line_Map'!$B:$B,"MISSING",0)</f>
        <v/>
      </c>
    </row>
    <row r="2644">
      <c r="A2644" s="4561" t="n"/>
      <c r="B2644" s="4561" t="n"/>
      <c r="C2644" s="4561" t="n"/>
      <c r="D2644" s="4561" t="n"/>
      <c r="E2644" s="4561" t="n"/>
      <c r="F2644" s="4561" t="n"/>
      <c r="G2644" s="4561" t="n"/>
      <c r="H2644" s="4561" t="n"/>
      <c r="I2644" s="4562">
        <f>XLOOKUP(B2644,'_Sys|Line_Map'!$A:$A,'_Sys|Line_Map'!$C:$C,"MISSING",0)</f>
        <v/>
      </c>
      <c r="J2644" s="4562">
        <f>XLOOKUP(B2644,'_Sys|Line_Map'!$A:$A,'_Sys|Line_Map'!$D:$D,1,0)</f>
        <v/>
      </c>
      <c r="K2644" s="4562">
        <f>IF(D2644="","",D2644*J2644)</f>
        <v/>
      </c>
      <c r="L2644" s="4562">
        <f>XLOOKUP(B2644,'_Sys|Line_Map'!$A:$A,'_Sys|Line_Map'!$B:$B,"MISSING",0)</f>
        <v/>
      </c>
    </row>
    <row r="2645">
      <c r="A2645" s="4561" t="n"/>
      <c r="B2645" s="4561" t="n"/>
      <c r="C2645" s="4561" t="n"/>
      <c r="D2645" s="4561" t="n"/>
      <c r="E2645" s="4561" t="n"/>
      <c r="F2645" s="4561" t="n"/>
      <c r="G2645" s="4561" t="n"/>
      <c r="H2645" s="4561" t="n"/>
      <c r="I2645" s="4562">
        <f>XLOOKUP(B2645,'_Sys|Line_Map'!$A:$A,'_Sys|Line_Map'!$C:$C,"MISSING",0)</f>
        <v/>
      </c>
      <c r="J2645" s="4562">
        <f>XLOOKUP(B2645,'_Sys|Line_Map'!$A:$A,'_Sys|Line_Map'!$D:$D,1,0)</f>
        <v/>
      </c>
      <c r="K2645" s="4562">
        <f>IF(D2645="","",D2645*J2645)</f>
        <v/>
      </c>
      <c r="L2645" s="4562">
        <f>XLOOKUP(B2645,'_Sys|Line_Map'!$A:$A,'_Sys|Line_Map'!$B:$B,"MISSING",0)</f>
        <v/>
      </c>
    </row>
    <row r="2646">
      <c r="A2646" s="4561" t="n"/>
      <c r="B2646" s="4561" t="n"/>
      <c r="C2646" s="4561" t="n"/>
      <c r="D2646" s="4561" t="n"/>
      <c r="E2646" s="4561" t="n"/>
      <c r="F2646" s="4561" t="n"/>
      <c r="G2646" s="4561" t="n"/>
      <c r="H2646" s="4561" t="n"/>
      <c r="I2646" s="4562">
        <f>XLOOKUP(B2646,'_Sys|Line_Map'!$A:$A,'_Sys|Line_Map'!$C:$C,"MISSING",0)</f>
        <v/>
      </c>
      <c r="J2646" s="4562">
        <f>XLOOKUP(B2646,'_Sys|Line_Map'!$A:$A,'_Sys|Line_Map'!$D:$D,1,0)</f>
        <v/>
      </c>
      <c r="K2646" s="4562">
        <f>IF(D2646="","",D2646*J2646)</f>
        <v/>
      </c>
      <c r="L2646" s="4562">
        <f>XLOOKUP(B2646,'_Sys|Line_Map'!$A:$A,'_Sys|Line_Map'!$B:$B,"MISSING",0)</f>
        <v/>
      </c>
    </row>
    <row r="2647">
      <c r="A2647" s="4561" t="n"/>
      <c r="B2647" s="4561" t="n"/>
      <c r="C2647" s="4561" t="n"/>
      <c r="D2647" s="4561" t="n"/>
      <c r="E2647" s="4561" t="n"/>
      <c r="F2647" s="4561" t="n"/>
      <c r="G2647" s="4561" t="n"/>
      <c r="H2647" s="4561" t="n"/>
      <c r="I2647" s="4562">
        <f>XLOOKUP(B2647,'_Sys|Line_Map'!$A:$A,'_Sys|Line_Map'!$C:$C,"MISSING",0)</f>
        <v/>
      </c>
      <c r="J2647" s="4562">
        <f>XLOOKUP(B2647,'_Sys|Line_Map'!$A:$A,'_Sys|Line_Map'!$D:$D,1,0)</f>
        <v/>
      </c>
      <c r="K2647" s="4562">
        <f>IF(D2647="","",D2647*J2647)</f>
        <v/>
      </c>
      <c r="L2647" s="4562">
        <f>XLOOKUP(B2647,'_Sys|Line_Map'!$A:$A,'_Sys|Line_Map'!$B:$B,"MISSING",0)</f>
        <v/>
      </c>
    </row>
    <row r="2648">
      <c r="A2648" s="4561" t="n"/>
      <c r="B2648" s="4561" t="n"/>
      <c r="C2648" s="4561" t="n"/>
      <c r="D2648" s="4561" t="n"/>
      <c r="E2648" s="4561" t="n"/>
      <c r="F2648" s="4561" t="n"/>
      <c r="G2648" s="4561" t="n"/>
      <c r="H2648" s="4561" t="n"/>
      <c r="I2648" s="4562">
        <f>XLOOKUP(B2648,'_Sys|Line_Map'!$A:$A,'_Sys|Line_Map'!$C:$C,"MISSING",0)</f>
        <v/>
      </c>
      <c r="J2648" s="4562">
        <f>XLOOKUP(B2648,'_Sys|Line_Map'!$A:$A,'_Sys|Line_Map'!$D:$D,1,0)</f>
        <v/>
      </c>
      <c r="K2648" s="4562">
        <f>IF(D2648="","",D2648*J2648)</f>
        <v/>
      </c>
      <c r="L2648" s="4562">
        <f>XLOOKUP(B2648,'_Sys|Line_Map'!$A:$A,'_Sys|Line_Map'!$B:$B,"MISSING",0)</f>
        <v/>
      </c>
    </row>
    <row r="2649">
      <c r="A2649" s="4561" t="n"/>
      <c r="B2649" s="4561" t="n"/>
      <c r="C2649" s="4561" t="n"/>
      <c r="D2649" s="4561" t="n"/>
      <c r="E2649" s="4561" t="n"/>
      <c r="F2649" s="4561" t="n"/>
      <c r="G2649" s="4561" t="n"/>
      <c r="H2649" s="4561" t="n"/>
      <c r="I2649" s="4562">
        <f>XLOOKUP(B2649,'_Sys|Line_Map'!$A:$A,'_Sys|Line_Map'!$C:$C,"MISSING",0)</f>
        <v/>
      </c>
      <c r="J2649" s="4562">
        <f>XLOOKUP(B2649,'_Sys|Line_Map'!$A:$A,'_Sys|Line_Map'!$D:$D,1,0)</f>
        <v/>
      </c>
      <c r="K2649" s="4562">
        <f>IF(D2649="","",D2649*J2649)</f>
        <v/>
      </c>
      <c r="L2649" s="4562">
        <f>XLOOKUP(B2649,'_Sys|Line_Map'!$A:$A,'_Sys|Line_Map'!$B:$B,"MISSING",0)</f>
        <v/>
      </c>
    </row>
    <row r="2650">
      <c r="A2650" s="4561" t="n"/>
      <c r="B2650" s="4561" t="n"/>
      <c r="C2650" s="4561" t="n"/>
      <c r="D2650" s="4561" t="n"/>
      <c r="E2650" s="4561" t="n"/>
      <c r="F2650" s="4561" t="n"/>
      <c r="G2650" s="4561" t="n"/>
      <c r="H2650" s="4561" t="n"/>
      <c r="I2650" s="4562">
        <f>XLOOKUP(B2650,'_Sys|Line_Map'!$A:$A,'_Sys|Line_Map'!$C:$C,"MISSING",0)</f>
        <v/>
      </c>
      <c r="J2650" s="4562">
        <f>XLOOKUP(B2650,'_Sys|Line_Map'!$A:$A,'_Sys|Line_Map'!$D:$D,1,0)</f>
        <v/>
      </c>
      <c r="K2650" s="4562">
        <f>IF(D2650="","",D2650*J2650)</f>
        <v/>
      </c>
      <c r="L2650" s="4562">
        <f>XLOOKUP(B2650,'_Sys|Line_Map'!$A:$A,'_Sys|Line_Map'!$B:$B,"MISSING",0)</f>
        <v/>
      </c>
    </row>
    <row r="2651">
      <c r="A2651" s="4561" t="n"/>
      <c r="B2651" s="4561" t="n"/>
      <c r="C2651" s="4561" t="n"/>
      <c r="D2651" s="4561" t="n"/>
      <c r="E2651" s="4561" t="n"/>
      <c r="F2651" s="4561" t="n"/>
      <c r="G2651" s="4561" t="n"/>
      <c r="H2651" s="4561" t="n"/>
      <c r="I2651" s="4562">
        <f>XLOOKUP(B2651,'_Sys|Line_Map'!$A:$A,'_Sys|Line_Map'!$C:$C,"MISSING",0)</f>
        <v/>
      </c>
      <c r="J2651" s="4562">
        <f>XLOOKUP(B2651,'_Sys|Line_Map'!$A:$A,'_Sys|Line_Map'!$D:$D,1,0)</f>
        <v/>
      </c>
      <c r="K2651" s="4562">
        <f>IF(D2651="","",D2651*J2651)</f>
        <v/>
      </c>
      <c r="L2651" s="4562">
        <f>XLOOKUP(B2651,'_Sys|Line_Map'!$A:$A,'_Sys|Line_Map'!$B:$B,"MISSING",0)</f>
        <v/>
      </c>
    </row>
    <row r="2652">
      <c r="A2652" s="4561" t="n"/>
      <c r="B2652" s="4561" t="n"/>
      <c r="C2652" s="4561" t="n"/>
      <c r="D2652" s="4561" t="n"/>
      <c r="E2652" s="4561" t="n"/>
      <c r="F2652" s="4561" t="n"/>
      <c r="G2652" s="4561" t="n"/>
      <c r="H2652" s="4561" t="n"/>
      <c r="I2652" s="4562">
        <f>XLOOKUP(B2652,'_Sys|Line_Map'!$A:$A,'_Sys|Line_Map'!$C:$C,"MISSING",0)</f>
        <v/>
      </c>
      <c r="J2652" s="4562">
        <f>XLOOKUP(B2652,'_Sys|Line_Map'!$A:$A,'_Sys|Line_Map'!$D:$D,1,0)</f>
        <v/>
      </c>
      <c r="K2652" s="4562">
        <f>IF(D2652="","",D2652*J2652)</f>
        <v/>
      </c>
      <c r="L2652" s="4562">
        <f>XLOOKUP(B2652,'_Sys|Line_Map'!$A:$A,'_Sys|Line_Map'!$B:$B,"MISSING",0)</f>
        <v/>
      </c>
    </row>
    <row r="2653">
      <c r="A2653" s="4561" t="n"/>
      <c r="B2653" s="4561" t="n"/>
      <c r="C2653" s="4561" t="n"/>
      <c r="D2653" s="4561" t="n"/>
      <c r="E2653" s="4561" t="n"/>
      <c r="F2653" s="4561" t="n"/>
      <c r="G2653" s="4561" t="n"/>
      <c r="H2653" s="4561" t="n"/>
      <c r="I2653" s="4562">
        <f>XLOOKUP(B2653,'_Sys|Line_Map'!$A:$A,'_Sys|Line_Map'!$C:$C,"MISSING",0)</f>
        <v/>
      </c>
      <c r="J2653" s="4562">
        <f>XLOOKUP(B2653,'_Sys|Line_Map'!$A:$A,'_Sys|Line_Map'!$D:$D,1,0)</f>
        <v/>
      </c>
      <c r="K2653" s="4562">
        <f>IF(D2653="","",D2653*J2653)</f>
        <v/>
      </c>
      <c r="L2653" s="4562">
        <f>XLOOKUP(B2653,'_Sys|Line_Map'!$A:$A,'_Sys|Line_Map'!$B:$B,"MISSING",0)</f>
        <v/>
      </c>
    </row>
    <row r="2654">
      <c r="A2654" s="4561" t="n"/>
      <c r="B2654" s="4561" t="n"/>
      <c r="C2654" s="4561" t="n"/>
      <c r="D2654" s="4561" t="n"/>
      <c r="E2654" s="4561" t="n"/>
      <c r="F2654" s="4561" t="n"/>
      <c r="G2654" s="4561" t="n"/>
      <c r="H2654" s="4561" t="n"/>
      <c r="I2654" s="4562">
        <f>XLOOKUP(B2654,'_Sys|Line_Map'!$A:$A,'_Sys|Line_Map'!$C:$C,"MISSING",0)</f>
        <v/>
      </c>
      <c r="J2654" s="4562">
        <f>XLOOKUP(B2654,'_Sys|Line_Map'!$A:$A,'_Sys|Line_Map'!$D:$D,1,0)</f>
        <v/>
      </c>
      <c r="K2654" s="4562">
        <f>IF(D2654="","",D2654*J2654)</f>
        <v/>
      </c>
      <c r="L2654" s="4562">
        <f>XLOOKUP(B2654,'_Sys|Line_Map'!$A:$A,'_Sys|Line_Map'!$B:$B,"MISSING",0)</f>
        <v/>
      </c>
    </row>
    <row r="2655">
      <c r="A2655" s="4561" t="n"/>
      <c r="B2655" s="4561" t="n"/>
      <c r="C2655" s="4561" t="n"/>
      <c r="D2655" s="4561" t="n"/>
      <c r="E2655" s="4561" t="n"/>
      <c r="F2655" s="4561" t="n"/>
      <c r="G2655" s="4561" t="n"/>
      <c r="H2655" s="4561" t="n"/>
      <c r="I2655" s="4562">
        <f>XLOOKUP(B2655,'_Sys|Line_Map'!$A:$A,'_Sys|Line_Map'!$C:$C,"MISSING",0)</f>
        <v/>
      </c>
      <c r="J2655" s="4562">
        <f>XLOOKUP(B2655,'_Sys|Line_Map'!$A:$A,'_Sys|Line_Map'!$D:$D,1,0)</f>
        <v/>
      </c>
      <c r="K2655" s="4562">
        <f>IF(D2655="","",D2655*J2655)</f>
        <v/>
      </c>
      <c r="L2655" s="4562">
        <f>XLOOKUP(B2655,'_Sys|Line_Map'!$A:$A,'_Sys|Line_Map'!$B:$B,"MISSING",0)</f>
        <v/>
      </c>
    </row>
    <row r="2656">
      <c r="A2656" s="4561" t="n"/>
      <c r="B2656" s="4561" t="n"/>
      <c r="C2656" s="4561" t="n"/>
      <c r="D2656" s="4561" t="n"/>
      <c r="E2656" s="4561" t="n"/>
      <c r="F2656" s="4561" t="n"/>
      <c r="G2656" s="4561" t="n"/>
      <c r="H2656" s="4561" t="n"/>
      <c r="I2656" s="4562">
        <f>XLOOKUP(B2656,'_Sys|Line_Map'!$A:$A,'_Sys|Line_Map'!$C:$C,"MISSING",0)</f>
        <v/>
      </c>
      <c r="J2656" s="4562">
        <f>XLOOKUP(B2656,'_Sys|Line_Map'!$A:$A,'_Sys|Line_Map'!$D:$D,1,0)</f>
        <v/>
      </c>
      <c r="K2656" s="4562">
        <f>IF(D2656="","",D2656*J2656)</f>
        <v/>
      </c>
      <c r="L2656" s="4562">
        <f>XLOOKUP(B2656,'_Sys|Line_Map'!$A:$A,'_Sys|Line_Map'!$B:$B,"MISSING",0)</f>
        <v/>
      </c>
    </row>
    <row r="2657">
      <c r="A2657" s="4561" t="n"/>
      <c r="B2657" s="4561" t="n"/>
      <c r="C2657" s="4561" t="n"/>
      <c r="D2657" s="4561" t="n"/>
      <c r="E2657" s="4561" t="n"/>
      <c r="F2657" s="4561" t="n"/>
      <c r="G2657" s="4561" t="n"/>
      <c r="H2657" s="4561" t="n"/>
      <c r="I2657" s="4562">
        <f>XLOOKUP(B2657,'_Sys|Line_Map'!$A:$A,'_Sys|Line_Map'!$C:$C,"MISSING",0)</f>
        <v/>
      </c>
      <c r="J2657" s="4562">
        <f>XLOOKUP(B2657,'_Sys|Line_Map'!$A:$A,'_Sys|Line_Map'!$D:$D,1,0)</f>
        <v/>
      </c>
      <c r="K2657" s="4562">
        <f>IF(D2657="","",D2657*J2657)</f>
        <v/>
      </c>
      <c r="L2657" s="4562">
        <f>XLOOKUP(B2657,'_Sys|Line_Map'!$A:$A,'_Sys|Line_Map'!$B:$B,"MISSING",0)</f>
        <v/>
      </c>
    </row>
    <row r="2658">
      <c r="A2658" s="4561" t="n"/>
      <c r="B2658" s="4561" t="n"/>
      <c r="C2658" s="4561" t="n"/>
      <c r="D2658" s="4561" t="n"/>
      <c r="E2658" s="4561" t="n"/>
      <c r="F2658" s="4561" t="n"/>
      <c r="G2658" s="4561" t="n"/>
      <c r="H2658" s="4561" t="n"/>
      <c r="I2658" s="4562">
        <f>XLOOKUP(B2658,'_Sys|Line_Map'!$A:$A,'_Sys|Line_Map'!$C:$C,"MISSING",0)</f>
        <v/>
      </c>
      <c r="J2658" s="4562">
        <f>XLOOKUP(B2658,'_Sys|Line_Map'!$A:$A,'_Sys|Line_Map'!$D:$D,1,0)</f>
        <v/>
      </c>
      <c r="K2658" s="4562">
        <f>IF(D2658="","",D2658*J2658)</f>
        <v/>
      </c>
      <c r="L2658" s="4562">
        <f>XLOOKUP(B2658,'_Sys|Line_Map'!$A:$A,'_Sys|Line_Map'!$B:$B,"MISSING",0)</f>
        <v/>
      </c>
    </row>
    <row r="2659">
      <c r="A2659" s="4561" t="n"/>
      <c r="B2659" s="4561" t="n"/>
      <c r="C2659" s="4561" t="n"/>
      <c r="D2659" s="4561" t="n"/>
      <c r="E2659" s="4561" t="n"/>
      <c r="F2659" s="4561" t="n"/>
      <c r="G2659" s="4561" t="n"/>
      <c r="H2659" s="4561" t="n"/>
      <c r="I2659" s="4562">
        <f>XLOOKUP(B2659,'_Sys|Line_Map'!$A:$A,'_Sys|Line_Map'!$C:$C,"MISSING",0)</f>
        <v/>
      </c>
      <c r="J2659" s="4562">
        <f>XLOOKUP(B2659,'_Sys|Line_Map'!$A:$A,'_Sys|Line_Map'!$D:$D,1,0)</f>
        <v/>
      </c>
      <c r="K2659" s="4562">
        <f>IF(D2659="","",D2659*J2659)</f>
        <v/>
      </c>
      <c r="L2659" s="4562">
        <f>XLOOKUP(B2659,'_Sys|Line_Map'!$A:$A,'_Sys|Line_Map'!$B:$B,"MISSING",0)</f>
        <v/>
      </c>
    </row>
    <row r="2660">
      <c r="A2660" s="4561" t="n"/>
      <c r="B2660" s="4561" t="n"/>
      <c r="C2660" s="4561" t="n"/>
      <c r="D2660" s="4561" t="n"/>
      <c r="E2660" s="4561" t="n"/>
      <c r="F2660" s="4561" t="n"/>
      <c r="G2660" s="4561" t="n"/>
      <c r="H2660" s="4561" t="n"/>
      <c r="I2660" s="4562">
        <f>XLOOKUP(B2660,'_Sys|Line_Map'!$A:$A,'_Sys|Line_Map'!$C:$C,"MISSING",0)</f>
        <v/>
      </c>
      <c r="J2660" s="4562">
        <f>XLOOKUP(B2660,'_Sys|Line_Map'!$A:$A,'_Sys|Line_Map'!$D:$D,1,0)</f>
        <v/>
      </c>
      <c r="K2660" s="4562">
        <f>IF(D2660="","",D2660*J2660)</f>
        <v/>
      </c>
      <c r="L2660" s="4562">
        <f>XLOOKUP(B2660,'_Sys|Line_Map'!$A:$A,'_Sys|Line_Map'!$B:$B,"MISSING",0)</f>
        <v/>
      </c>
    </row>
    <row r="2661">
      <c r="A2661" s="4561" t="n"/>
      <c r="B2661" s="4561" t="n"/>
      <c r="C2661" s="4561" t="n"/>
      <c r="D2661" s="4561" t="n"/>
      <c r="E2661" s="4561" t="n"/>
      <c r="F2661" s="4561" t="n"/>
      <c r="G2661" s="4561" t="n"/>
      <c r="H2661" s="4561" t="n"/>
      <c r="I2661" s="4562">
        <f>XLOOKUP(B2661,'_Sys|Line_Map'!$A:$A,'_Sys|Line_Map'!$C:$C,"MISSING",0)</f>
        <v/>
      </c>
      <c r="J2661" s="4562">
        <f>XLOOKUP(B2661,'_Sys|Line_Map'!$A:$A,'_Sys|Line_Map'!$D:$D,1,0)</f>
        <v/>
      </c>
      <c r="K2661" s="4562">
        <f>IF(D2661="","",D2661*J2661)</f>
        <v/>
      </c>
      <c r="L2661" s="4562">
        <f>XLOOKUP(B2661,'_Sys|Line_Map'!$A:$A,'_Sys|Line_Map'!$B:$B,"MISSING",0)</f>
        <v/>
      </c>
    </row>
    <row r="2662">
      <c r="A2662" s="4561" t="n"/>
      <c r="B2662" s="4561" t="n"/>
      <c r="C2662" s="4561" t="n"/>
      <c r="D2662" s="4561" t="n"/>
      <c r="E2662" s="4561" t="n"/>
      <c r="F2662" s="4561" t="n"/>
      <c r="G2662" s="4561" t="n"/>
      <c r="H2662" s="4561" t="n"/>
      <c r="I2662" s="4562">
        <f>XLOOKUP(B2662,'_Sys|Line_Map'!$A:$A,'_Sys|Line_Map'!$C:$C,"MISSING",0)</f>
        <v/>
      </c>
      <c r="J2662" s="4562">
        <f>XLOOKUP(B2662,'_Sys|Line_Map'!$A:$A,'_Sys|Line_Map'!$D:$D,1,0)</f>
        <v/>
      </c>
      <c r="K2662" s="4562">
        <f>IF(D2662="","",D2662*J2662)</f>
        <v/>
      </c>
      <c r="L2662" s="4562">
        <f>XLOOKUP(B2662,'_Sys|Line_Map'!$A:$A,'_Sys|Line_Map'!$B:$B,"MISSING",0)</f>
        <v/>
      </c>
    </row>
    <row r="2663">
      <c r="A2663" s="4561" t="n"/>
      <c r="B2663" s="4561" t="n"/>
      <c r="C2663" s="4561" t="n"/>
      <c r="D2663" s="4561" t="n"/>
      <c r="E2663" s="4561" t="n"/>
      <c r="F2663" s="4561" t="n"/>
      <c r="G2663" s="4561" t="n"/>
      <c r="H2663" s="4561" t="n"/>
      <c r="I2663" s="4562">
        <f>XLOOKUP(B2663,'_Sys|Line_Map'!$A:$A,'_Sys|Line_Map'!$C:$C,"MISSING",0)</f>
        <v/>
      </c>
      <c r="J2663" s="4562">
        <f>XLOOKUP(B2663,'_Sys|Line_Map'!$A:$A,'_Sys|Line_Map'!$D:$D,1,0)</f>
        <v/>
      </c>
      <c r="K2663" s="4562">
        <f>IF(D2663="","",D2663*J2663)</f>
        <v/>
      </c>
      <c r="L2663" s="4562">
        <f>XLOOKUP(B2663,'_Sys|Line_Map'!$A:$A,'_Sys|Line_Map'!$B:$B,"MISSING",0)</f>
        <v/>
      </c>
    </row>
    <row r="2664">
      <c r="A2664" s="4561" t="n"/>
      <c r="B2664" s="4561" t="n"/>
      <c r="C2664" s="4561" t="n"/>
      <c r="D2664" s="4561" t="n"/>
      <c r="E2664" s="4561" t="n"/>
      <c r="F2664" s="4561" t="n"/>
      <c r="G2664" s="4561" t="n"/>
      <c r="H2664" s="4561" t="n"/>
      <c r="I2664" s="4562">
        <f>XLOOKUP(B2664,'_Sys|Line_Map'!$A:$A,'_Sys|Line_Map'!$C:$C,"MISSING",0)</f>
        <v/>
      </c>
      <c r="J2664" s="4562">
        <f>XLOOKUP(B2664,'_Sys|Line_Map'!$A:$A,'_Sys|Line_Map'!$D:$D,1,0)</f>
        <v/>
      </c>
      <c r="K2664" s="4562">
        <f>IF(D2664="","",D2664*J2664)</f>
        <v/>
      </c>
      <c r="L2664" s="4562">
        <f>XLOOKUP(B2664,'_Sys|Line_Map'!$A:$A,'_Sys|Line_Map'!$B:$B,"MISSING",0)</f>
        <v/>
      </c>
    </row>
    <row r="2665">
      <c r="A2665" s="4561" t="n"/>
      <c r="B2665" s="4561" t="n"/>
      <c r="C2665" s="4561" t="n"/>
      <c r="D2665" s="4561" t="n"/>
      <c r="E2665" s="4561" t="n"/>
      <c r="F2665" s="4561" t="n"/>
      <c r="G2665" s="4561" t="n"/>
      <c r="H2665" s="4561" t="n"/>
      <c r="I2665" s="4562">
        <f>XLOOKUP(B2665,'_Sys|Line_Map'!$A:$A,'_Sys|Line_Map'!$C:$C,"MISSING",0)</f>
        <v/>
      </c>
      <c r="J2665" s="4562">
        <f>XLOOKUP(B2665,'_Sys|Line_Map'!$A:$A,'_Sys|Line_Map'!$D:$D,1,0)</f>
        <v/>
      </c>
      <c r="K2665" s="4562">
        <f>IF(D2665="","",D2665*J2665)</f>
        <v/>
      </c>
      <c r="L2665" s="4562">
        <f>XLOOKUP(B2665,'_Sys|Line_Map'!$A:$A,'_Sys|Line_Map'!$B:$B,"MISSING",0)</f>
        <v/>
      </c>
    </row>
    <row r="2666">
      <c r="A2666" s="4561" t="n"/>
      <c r="B2666" s="4561" t="n"/>
      <c r="C2666" s="4561" t="n"/>
      <c r="D2666" s="4561" t="n"/>
      <c r="E2666" s="4561" t="n"/>
      <c r="F2666" s="4561" t="n"/>
      <c r="G2666" s="4561" t="n"/>
      <c r="H2666" s="4561" t="n"/>
      <c r="I2666" s="4562">
        <f>XLOOKUP(B2666,'_Sys|Line_Map'!$A:$A,'_Sys|Line_Map'!$C:$C,"MISSING",0)</f>
        <v/>
      </c>
      <c r="J2666" s="4562">
        <f>XLOOKUP(B2666,'_Sys|Line_Map'!$A:$A,'_Sys|Line_Map'!$D:$D,1,0)</f>
        <v/>
      </c>
      <c r="K2666" s="4562">
        <f>IF(D2666="","",D2666*J2666)</f>
        <v/>
      </c>
      <c r="L2666" s="4562">
        <f>XLOOKUP(B2666,'_Sys|Line_Map'!$A:$A,'_Sys|Line_Map'!$B:$B,"MISSING",0)</f>
        <v/>
      </c>
    </row>
    <row r="2667">
      <c r="A2667" s="4561" t="n"/>
      <c r="B2667" s="4561" t="n"/>
      <c r="C2667" s="4561" t="n"/>
      <c r="D2667" s="4561" t="n"/>
      <c r="E2667" s="4561" t="n"/>
      <c r="F2667" s="4561" t="n"/>
      <c r="G2667" s="4561" t="n"/>
      <c r="H2667" s="4561" t="n"/>
      <c r="I2667" s="4562">
        <f>XLOOKUP(B2667,'_Sys|Line_Map'!$A:$A,'_Sys|Line_Map'!$C:$C,"MISSING",0)</f>
        <v/>
      </c>
      <c r="J2667" s="4562">
        <f>XLOOKUP(B2667,'_Sys|Line_Map'!$A:$A,'_Sys|Line_Map'!$D:$D,1,0)</f>
        <v/>
      </c>
      <c r="K2667" s="4562">
        <f>IF(D2667="","",D2667*J2667)</f>
        <v/>
      </c>
      <c r="L2667" s="4562">
        <f>XLOOKUP(B2667,'_Sys|Line_Map'!$A:$A,'_Sys|Line_Map'!$B:$B,"MISSING",0)</f>
        <v/>
      </c>
    </row>
    <row r="2668">
      <c r="A2668" s="4561" t="n"/>
      <c r="B2668" s="4561" t="n"/>
      <c r="C2668" s="4561" t="n"/>
      <c r="D2668" s="4561" t="n"/>
      <c r="E2668" s="4561" t="n"/>
      <c r="F2668" s="4561" t="n"/>
      <c r="G2668" s="4561" t="n"/>
      <c r="H2668" s="4561" t="n"/>
      <c r="I2668" s="4562">
        <f>XLOOKUP(B2668,'_Sys|Line_Map'!$A:$A,'_Sys|Line_Map'!$C:$C,"MISSING",0)</f>
        <v/>
      </c>
      <c r="J2668" s="4562">
        <f>XLOOKUP(B2668,'_Sys|Line_Map'!$A:$A,'_Sys|Line_Map'!$D:$D,1,0)</f>
        <v/>
      </c>
      <c r="K2668" s="4562">
        <f>IF(D2668="","",D2668*J2668)</f>
        <v/>
      </c>
      <c r="L2668" s="4562">
        <f>XLOOKUP(B2668,'_Sys|Line_Map'!$A:$A,'_Sys|Line_Map'!$B:$B,"MISSING",0)</f>
        <v/>
      </c>
    </row>
    <row r="2669">
      <c r="A2669" s="4561" t="n"/>
      <c r="B2669" s="4561" t="n"/>
      <c r="C2669" s="4561" t="n"/>
      <c r="D2669" s="4561" t="n"/>
      <c r="E2669" s="4561" t="n"/>
      <c r="F2669" s="4561" t="n"/>
      <c r="G2669" s="4561" t="n"/>
      <c r="H2669" s="4561" t="n"/>
      <c r="I2669" s="4562">
        <f>XLOOKUP(B2669,'_Sys|Line_Map'!$A:$A,'_Sys|Line_Map'!$C:$C,"MISSING",0)</f>
        <v/>
      </c>
      <c r="J2669" s="4562">
        <f>XLOOKUP(B2669,'_Sys|Line_Map'!$A:$A,'_Sys|Line_Map'!$D:$D,1,0)</f>
        <v/>
      </c>
      <c r="K2669" s="4562">
        <f>IF(D2669="","",D2669*J2669)</f>
        <v/>
      </c>
      <c r="L2669" s="4562">
        <f>XLOOKUP(B2669,'_Sys|Line_Map'!$A:$A,'_Sys|Line_Map'!$B:$B,"MISSING",0)</f>
        <v/>
      </c>
    </row>
    <row r="2670">
      <c r="A2670" s="4561" t="n"/>
      <c r="B2670" s="4561" t="n"/>
      <c r="C2670" s="4561" t="n"/>
      <c r="D2670" s="4561" t="n"/>
      <c r="E2670" s="4561" t="n"/>
      <c r="F2670" s="4561" t="n"/>
      <c r="G2670" s="4561" t="n"/>
      <c r="H2670" s="4561" t="n"/>
      <c r="I2670" s="4562">
        <f>XLOOKUP(B2670,'_Sys|Line_Map'!$A:$A,'_Sys|Line_Map'!$C:$C,"MISSING",0)</f>
        <v/>
      </c>
      <c r="J2670" s="4562">
        <f>XLOOKUP(B2670,'_Sys|Line_Map'!$A:$A,'_Sys|Line_Map'!$D:$D,1,0)</f>
        <v/>
      </c>
      <c r="K2670" s="4562">
        <f>IF(D2670="","",D2670*J2670)</f>
        <v/>
      </c>
      <c r="L2670" s="4562">
        <f>XLOOKUP(B2670,'_Sys|Line_Map'!$A:$A,'_Sys|Line_Map'!$B:$B,"MISSING",0)</f>
        <v/>
      </c>
    </row>
    <row r="2671">
      <c r="A2671" s="4561" t="n"/>
      <c r="B2671" s="4561" t="n"/>
      <c r="C2671" s="4561" t="n"/>
      <c r="D2671" s="4561" t="n"/>
      <c r="E2671" s="4561" t="n"/>
      <c r="F2671" s="4561" t="n"/>
      <c r="G2671" s="4561" t="n"/>
      <c r="H2671" s="4561" t="n"/>
      <c r="I2671" s="4562">
        <f>XLOOKUP(B2671,'_Sys|Line_Map'!$A:$A,'_Sys|Line_Map'!$C:$C,"MISSING",0)</f>
        <v/>
      </c>
      <c r="J2671" s="4562">
        <f>XLOOKUP(B2671,'_Sys|Line_Map'!$A:$A,'_Sys|Line_Map'!$D:$D,1,0)</f>
        <v/>
      </c>
      <c r="K2671" s="4562">
        <f>IF(D2671="","",D2671*J2671)</f>
        <v/>
      </c>
      <c r="L2671" s="4562">
        <f>XLOOKUP(B2671,'_Sys|Line_Map'!$A:$A,'_Sys|Line_Map'!$B:$B,"MISSING",0)</f>
        <v/>
      </c>
    </row>
    <row r="2672">
      <c r="A2672" s="4561" t="n"/>
      <c r="B2672" s="4561" t="n"/>
      <c r="C2672" s="4561" t="n"/>
      <c r="D2672" s="4561" t="n"/>
      <c r="E2672" s="4561" t="n"/>
      <c r="F2672" s="4561" t="n"/>
      <c r="G2672" s="4561" t="n"/>
      <c r="H2672" s="4561" t="n"/>
      <c r="I2672" s="4562">
        <f>XLOOKUP(B2672,'_Sys|Line_Map'!$A:$A,'_Sys|Line_Map'!$C:$C,"MISSING",0)</f>
        <v/>
      </c>
      <c r="J2672" s="4562">
        <f>XLOOKUP(B2672,'_Sys|Line_Map'!$A:$A,'_Sys|Line_Map'!$D:$D,1,0)</f>
        <v/>
      </c>
      <c r="K2672" s="4562">
        <f>IF(D2672="","",D2672*J2672)</f>
        <v/>
      </c>
      <c r="L2672" s="4562">
        <f>XLOOKUP(B2672,'_Sys|Line_Map'!$A:$A,'_Sys|Line_Map'!$B:$B,"MISSING",0)</f>
        <v/>
      </c>
    </row>
    <row r="2673">
      <c r="A2673" s="4561" t="n"/>
      <c r="B2673" s="4561" t="n"/>
      <c r="C2673" s="4561" t="n"/>
      <c r="D2673" s="4561" t="n"/>
      <c r="E2673" s="4561" t="n"/>
      <c r="F2673" s="4561" t="n"/>
      <c r="G2673" s="4561" t="n"/>
      <c r="H2673" s="4561" t="n"/>
      <c r="I2673" s="4562">
        <f>XLOOKUP(B2673,'_Sys|Line_Map'!$A:$A,'_Sys|Line_Map'!$C:$C,"MISSING",0)</f>
        <v/>
      </c>
      <c r="J2673" s="4562">
        <f>XLOOKUP(B2673,'_Sys|Line_Map'!$A:$A,'_Sys|Line_Map'!$D:$D,1,0)</f>
        <v/>
      </c>
      <c r="K2673" s="4562">
        <f>IF(D2673="","",D2673*J2673)</f>
        <v/>
      </c>
      <c r="L2673" s="4562">
        <f>XLOOKUP(B2673,'_Sys|Line_Map'!$A:$A,'_Sys|Line_Map'!$B:$B,"MISSING",0)</f>
        <v/>
      </c>
    </row>
    <row r="2674">
      <c r="A2674" s="4561" t="n"/>
      <c r="B2674" s="4561" t="n"/>
      <c r="C2674" s="4561" t="n"/>
      <c r="D2674" s="4561" t="n"/>
      <c r="E2674" s="4561" t="n"/>
      <c r="F2674" s="4561" t="n"/>
      <c r="G2674" s="4561" t="n"/>
      <c r="H2674" s="4561" t="n"/>
      <c r="I2674" s="4562">
        <f>XLOOKUP(B2674,'_Sys|Line_Map'!$A:$A,'_Sys|Line_Map'!$C:$C,"MISSING",0)</f>
        <v/>
      </c>
      <c r="J2674" s="4562">
        <f>XLOOKUP(B2674,'_Sys|Line_Map'!$A:$A,'_Sys|Line_Map'!$D:$D,1,0)</f>
        <v/>
      </c>
      <c r="K2674" s="4562">
        <f>IF(D2674="","",D2674*J2674)</f>
        <v/>
      </c>
      <c r="L2674" s="4562">
        <f>XLOOKUP(B2674,'_Sys|Line_Map'!$A:$A,'_Sys|Line_Map'!$B:$B,"MISSING",0)</f>
        <v/>
      </c>
    </row>
    <row r="2675">
      <c r="A2675" s="4561" t="n"/>
      <c r="B2675" s="4561" t="n"/>
      <c r="C2675" s="4561" t="n"/>
      <c r="D2675" s="4561" t="n"/>
      <c r="E2675" s="4561" t="n"/>
      <c r="F2675" s="4561" t="n"/>
      <c r="G2675" s="4561" t="n"/>
      <c r="H2675" s="4561" t="n"/>
      <c r="I2675" s="4562">
        <f>XLOOKUP(B2675,'_Sys|Line_Map'!$A:$A,'_Sys|Line_Map'!$C:$C,"MISSING",0)</f>
        <v/>
      </c>
      <c r="J2675" s="4562">
        <f>XLOOKUP(B2675,'_Sys|Line_Map'!$A:$A,'_Sys|Line_Map'!$D:$D,1,0)</f>
        <v/>
      </c>
      <c r="K2675" s="4562">
        <f>IF(D2675="","",D2675*J2675)</f>
        <v/>
      </c>
      <c r="L2675" s="4562">
        <f>XLOOKUP(B2675,'_Sys|Line_Map'!$A:$A,'_Sys|Line_Map'!$B:$B,"MISSING",0)</f>
        <v/>
      </c>
    </row>
    <row r="2676">
      <c r="A2676" s="4561" t="n"/>
      <c r="B2676" s="4561" t="n"/>
      <c r="C2676" s="4561" t="n"/>
      <c r="D2676" s="4561" t="n"/>
      <c r="E2676" s="4561" t="n"/>
      <c r="F2676" s="4561" t="n"/>
      <c r="G2676" s="4561" t="n"/>
      <c r="H2676" s="4561" t="n"/>
      <c r="I2676" s="4562">
        <f>XLOOKUP(B2676,'_Sys|Line_Map'!$A:$A,'_Sys|Line_Map'!$C:$C,"MISSING",0)</f>
        <v/>
      </c>
      <c r="J2676" s="4562">
        <f>XLOOKUP(B2676,'_Sys|Line_Map'!$A:$A,'_Sys|Line_Map'!$D:$D,1,0)</f>
        <v/>
      </c>
      <c r="K2676" s="4562">
        <f>IF(D2676="","",D2676*J2676)</f>
        <v/>
      </c>
      <c r="L2676" s="4562">
        <f>XLOOKUP(B2676,'_Sys|Line_Map'!$A:$A,'_Sys|Line_Map'!$B:$B,"MISSING",0)</f>
        <v/>
      </c>
    </row>
    <row r="2677">
      <c r="A2677" s="4561" t="n"/>
      <c r="B2677" s="4561" t="n"/>
      <c r="C2677" s="4561" t="n"/>
      <c r="D2677" s="4561" t="n"/>
      <c r="E2677" s="4561" t="n"/>
      <c r="F2677" s="4561" t="n"/>
      <c r="G2677" s="4561" t="n"/>
      <c r="H2677" s="4561" t="n"/>
      <c r="I2677" s="4562">
        <f>XLOOKUP(B2677,'_Sys|Line_Map'!$A:$A,'_Sys|Line_Map'!$C:$C,"MISSING",0)</f>
        <v/>
      </c>
      <c r="J2677" s="4562">
        <f>XLOOKUP(B2677,'_Sys|Line_Map'!$A:$A,'_Sys|Line_Map'!$D:$D,1,0)</f>
        <v/>
      </c>
      <c r="K2677" s="4562">
        <f>IF(D2677="","",D2677*J2677)</f>
        <v/>
      </c>
      <c r="L2677" s="4562">
        <f>XLOOKUP(B2677,'_Sys|Line_Map'!$A:$A,'_Sys|Line_Map'!$B:$B,"MISSING",0)</f>
        <v/>
      </c>
    </row>
    <row r="2678">
      <c r="A2678" s="4561" t="n"/>
      <c r="B2678" s="4561" t="n"/>
      <c r="C2678" s="4561" t="n"/>
      <c r="D2678" s="4561" t="n"/>
      <c r="E2678" s="4561" t="n"/>
      <c r="F2678" s="4561" t="n"/>
      <c r="G2678" s="4561" t="n"/>
      <c r="H2678" s="4561" t="n"/>
      <c r="I2678" s="4562">
        <f>XLOOKUP(B2678,'_Sys|Line_Map'!$A:$A,'_Sys|Line_Map'!$C:$C,"MISSING",0)</f>
        <v/>
      </c>
      <c r="J2678" s="4562">
        <f>XLOOKUP(B2678,'_Sys|Line_Map'!$A:$A,'_Sys|Line_Map'!$D:$D,1,0)</f>
        <v/>
      </c>
      <c r="K2678" s="4562">
        <f>IF(D2678="","",D2678*J2678)</f>
        <v/>
      </c>
      <c r="L2678" s="4562">
        <f>XLOOKUP(B2678,'_Sys|Line_Map'!$A:$A,'_Sys|Line_Map'!$B:$B,"MISSING",0)</f>
        <v/>
      </c>
    </row>
    <row r="2679">
      <c r="A2679" s="4561" t="n"/>
      <c r="B2679" s="4561" t="n"/>
      <c r="C2679" s="4561" t="n"/>
      <c r="D2679" s="4561" t="n"/>
      <c r="E2679" s="4561" t="n"/>
      <c r="F2679" s="4561" t="n"/>
      <c r="G2679" s="4561" t="n"/>
      <c r="H2679" s="4561" t="n"/>
      <c r="I2679" s="4562">
        <f>XLOOKUP(B2679,'_Sys|Line_Map'!$A:$A,'_Sys|Line_Map'!$C:$C,"MISSING",0)</f>
        <v/>
      </c>
      <c r="J2679" s="4562">
        <f>XLOOKUP(B2679,'_Sys|Line_Map'!$A:$A,'_Sys|Line_Map'!$D:$D,1,0)</f>
        <v/>
      </c>
      <c r="K2679" s="4562">
        <f>IF(D2679="","",D2679*J2679)</f>
        <v/>
      </c>
      <c r="L2679" s="4562">
        <f>XLOOKUP(B2679,'_Sys|Line_Map'!$A:$A,'_Sys|Line_Map'!$B:$B,"MISSING",0)</f>
        <v/>
      </c>
    </row>
    <row r="2680">
      <c r="A2680" s="4561" t="n"/>
      <c r="B2680" s="4561" t="n"/>
      <c r="C2680" s="4561" t="n"/>
      <c r="D2680" s="4561" t="n"/>
      <c r="E2680" s="4561" t="n"/>
      <c r="F2680" s="4561" t="n"/>
      <c r="G2680" s="4561" t="n"/>
      <c r="H2680" s="4561" t="n"/>
      <c r="I2680" s="4562">
        <f>XLOOKUP(B2680,'_Sys|Line_Map'!$A:$A,'_Sys|Line_Map'!$C:$C,"MISSING",0)</f>
        <v/>
      </c>
      <c r="J2680" s="4562">
        <f>XLOOKUP(B2680,'_Sys|Line_Map'!$A:$A,'_Sys|Line_Map'!$D:$D,1,0)</f>
        <v/>
      </c>
      <c r="K2680" s="4562">
        <f>IF(D2680="","",D2680*J2680)</f>
        <v/>
      </c>
      <c r="L2680" s="4562">
        <f>XLOOKUP(B2680,'_Sys|Line_Map'!$A:$A,'_Sys|Line_Map'!$B:$B,"MISSING",0)</f>
        <v/>
      </c>
    </row>
    <row r="2681">
      <c r="A2681" s="4561" t="n"/>
      <c r="B2681" s="4561" t="n"/>
      <c r="C2681" s="4561" t="n"/>
      <c r="D2681" s="4561" t="n"/>
      <c r="E2681" s="4561" t="n"/>
      <c r="F2681" s="4561" t="n"/>
      <c r="G2681" s="4561" t="n"/>
      <c r="H2681" s="4561" t="n"/>
      <c r="I2681" s="4562">
        <f>XLOOKUP(B2681,'_Sys|Line_Map'!$A:$A,'_Sys|Line_Map'!$C:$C,"MISSING",0)</f>
        <v/>
      </c>
      <c r="J2681" s="4562">
        <f>XLOOKUP(B2681,'_Sys|Line_Map'!$A:$A,'_Sys|Line_Map'!$D:$D,1,0)</f>
        <v/>
      </c>
      <c r="K2681" s="4562">
        <f>IF(D2681="","",D2681*J2681)</f>
        <v/>
      </c>
      <c r="L2681" s="4562">
        <f>XLOOKUP(B2681,'_Sys|Line_Map'!$A:$A,'_Sys|Line_Map'!$B:$B,"MISSING",0)</f>
        <v/>
      </c>
    </row>
    <row r="2682">
      <c r="A2682" s="4561" t="n"/>
      <c r="B2682" s="4561" t="n"/>
      <c r="C2682" s="4561" t="n"/>
      <c r="D2682" s="4561" t="n"/>
      <c r="E2682" s="4561" t="n"/>
      <c r="F2682" s="4561" t="n"/>
      <c r="G2682" s="4561" t="n"/>
      <c r="H2682" s="4561" t="n"/>
      <c r="I2682" s="4562">
        <f>XLOOKUP(B2682,'_Sys|Line_Map'!$A:$A,'_Sys|Line_Map'!$C:$C,"MISSING",0)</f>
        <v/>
      </c>
      <c r="J2682" s="4562">
        <f>XLOOKUP(B2682,'_Sys|Line_Map'!$A:$A,'_Sys|Line_Map'!$D:$D,1,0)</f>
        <v/>
      </c>
      <c r="K2682" s="4562">
        <f>IF(D2682="","",D2682*J2682)</f>
        <v/>
      </c>
      <c r="L2682" s="4562">
        <f>XLOOKUP(B2682,'_Sys|Line_Map'!$A:$A,'_Sys|Line_Map'!$B:$B,"MISSING",0)</f>
        <v/>
      </c>
    </row>
    <row r="2683">
      <c r="A2683" s="4561" t="n"/>
      <c r="B2683" s="4561" t="n"/>
      <c r="C2683" s="4561" t="n"/>
      <c r="D2683" s="4561" t="n"/>
      <c r="E2683" s="4561" t="n"/>
      <c r="F2683" s="4561" t="n"/>
      <c r="G2683" s="4561" t="n"/>
      <c r="H2683" s="4561" t="n"/>
      <c r="I2683" s="4562">
        <f>XLOOKUP(B2683,'_Sys|Line_Map'!$A:$A,'_Sys|Line_Map'!$C:$C,"MISSING",0)</f>
        <v/>
      </c>
      <c r="J2683" s="4562">
        <f>XLOOKUP(B2683,'_Sys|Line_Map'!$A:$A,'_Sys|Line_Map'!$D:$D,1,0)</f>
        <v/>
      </c>
      <c r="K2683" s="4562">
        <f>IF(D2683="","",D2683*J2683)</f>
        <v/>
      </c>
      <c r="L2683" s="4562">
        <f>XLOOKUP(B2683,'_Sys|Line_Map'!$A:$A,'_Sys|Line_Map'!$B:$B,"MISSING",0)</f>
        <v/>
      </c>
    </row>
    <row r="2684">
      <c r="A2684" s="4561" t="n"/>
      <c r="B2684" s="4561" t="n"/>
      <c r="C2684" s="4561" t="n"/>
      <c r="D2684" s="4561" t="n"/>
      <c r="E2684" s="4561" t="n"/>
      <c r="F2684" s="4561" t="n"/>
      <c r="G2684" s="4561" t="n"/>
      <c r="H2684" s="4561" t="n"/>
      <c r="I2684" s="4562">
        <f>XLOOKUP(B2684,'_Sys|Line_Map'!$A:$A,'_Sys|Line_Map'!$C:$C,"MISSING",0)</f>
        <v/>
      </c>
      <c r="J2684" s="4562">
        <f>XLOOKUP(B2684,'_Sys|Line_Map'!$A:$A,'_Sys|Line_Map'!$D:$D,1,0)</f>
        <v/>
      </c>
      <c r="K2684" s="4562">
        <f>IF(D2684="","",D2684*J2684)</f>
        <v/>
      </c>
      <c r="L2684" s="4562">
        <f>XLOOKUP(B2684,'_Sys|Line_Map'!$A:$A,'_Sys|Line_Map'!$B:$B,"MISSING",0)</f>
        <v/>
      </c>
    </row>
    <row r="2685">
      <c r="A2685" s="4561" t="n"/>
      <c r="B2685" s="4561" t="n"/>
      <c r="C2685" s="4561" t="n"/>
      <c r="D2685" s="4561" t="n"/>
      <c r="E2685" s="4561" t="n"/>
      <c r="F2685" s="4561" t="n"/>
      <c r="G2685" s="4561" t="n"/>
      <c r="H2685" s="4561" t="n"/>
      <c r="I2685" s="4562">
        <f>XLOOKUP(B2685,'_Sys|Line_Map'!$A:$A,'_Sys|Line_Map'!$C:$C,"MISSING",0)</f>
        <v/>
      </c>
      <c r="J2685" s="4562">
        <f>XLOOKUP(B2685,'_Sys|Line_Map'!$A:$A,'_Sys|Line_Map'!$D:$D,1,0)</f>
        <v/>
      </c>
      <c r="K2685" s="4562">
        <f>IF(D2685="","",D2685*J2685)</f>
        <v/>
      </c>
      <c r="L2685" s="4562">
        <f>XLOOKUP(B2685,'_Sys|Line_Map'!$A:$A,'_Sys|Line_Map'!$B:$B,"MISSING",0)</f>
        <v/>
      </c>
    </row>
    <row r="2686">
      <c r="A2686" s="4561" t="n"/>
      <c r="B2686" s="4561" t="n"/>
      <c r="C2686" s="4561" t="n"/>
      <c r="D2686" s="4561" t="n"/>
      <c r="E2686" s="4561" t="n"/>
      <c r="F2686" s="4561" t="n"/>
      <c r="G2686" s="4561" t="n"/>
      <c r="H2686" s="4561" t="n"/>
      <c r="I2686" s="4562">
        <f>XLOOKUP(B2686,'_Sys|Line_Map'!$A:$A,'_Sys|Line_Map'!$C:$C,"MISSING",0)</f>
        <v/>
      </c>
      <c r="J2686" s="4562">
        <f>XLOOKUP(B2686,'_Sys|Line_Map'!$A:$A,'_Sys|Line_Map'!$D:$D,1,0)</f>
        <v/>
      </c>
      <c r="K2686" s="4562">
        <f>IF(D2686="","",D2686*J2686)</f>
        <v/>
      </c>
      <c r="L2686" s="4562">
        <f>XLOOKUP(B2686,'_Sys|Line_Map'!$A:$A,'_Sys|Line_Map'!$B:$B,"MISSING",0)</f>
        <v/>
      </c>
    </row>
    <row r="2687">
      <c r="A2687" s="4561" t="n"/>
      <c r="B2687" s="4561" t="n"/>
      <c r="C2687" s="4561" t="n"/>
      <c r="D2687" s="4561" t="n"/>
      <c r="E2687" s="4561" t="n"/>
      <c r="F2687" s="4561" t="n"/>
      <c r="G2687" s="4561" t="n"/>
      <c r="H2687" s="4561" t="n"/>
      <c r="I2687" s="4562">
        <f>XLOOKUP(B2687,'_Sys|Line_Map'!$A:$A,'_Sys|Line_Map'!$C:$C,"MISSING",0)</f>
        <v/>
      </c>
      <c r="J2687" s="4562">
        <f>XLOOKUP(B2687,'_Sys|Line_Map'!$A:$A,'_Sys|Line_Map'!$D:$D,1,0)</f>
        <v/>
      </c>
      <c r="K2687" s="4562">
        <f>IF(D2687="","",D2687*J2687)</f>
        <v/>
      </c>
      <c r="L2687" s="4562">
        <f>XLOOKUP(B2687,'_Sys|Line_Map'!$A:$A,'_Sys|Line_Map'!$B:$B,"MISSING",0)</f>
        <v/>
      </c>
    </row>
    <row r="2688">
      <c r="A2688" s="4561" t="n"/>
      <c r="B2688" s="4561" t="n"/>
      <c r="C2688" s="4561" t="n"/>
      <c r="D2688" s="4561" t="n"/>
      <c r="E2688" s="4561" t="n"/>
      <c r="F2688" s="4561" t="n"/>
      <c r="G2688" s="4561" t="n"/>
      <c r="H2688" s="4561" t="n"/>
      <c r="I2688" s="4562">
        <f>XLOOKUP(B2688,'_Sys|Line_Map'!$A:$A,'_Sys|Line_Map'!$C:$C,"MISSING",0)</f>
        <v/>
      </c>
      <c r="J2688" s="4562">
        <f>XLOOKUP(B2688,'_Sys|Line_Map'!$A:$A,'_Sys|Line_Map'!$D:$D,1,0)</f>
        <v/>
      </c>
      <c r="K2688" s="4562">
        <f>IF(D2688="","",D2688*J2688)</f>
        <v/>
      </c>
      <c r="L2688" s="4562">
        <f>XLOOKUP(B2688,'_Sys|Line_Map'!$A:$A,'_Sys|Line_Map'!$B:$B,"MISSING",0)</f>
        <v/>
      </c>
    </row>
    <row r="2689">
      <c r="A2689" s="4561" t="n"/>
      <c r="B2689" s="4561" t="n"/>
      <c r="C2689" s="4561" t="n"/>
      <c r="D2689" s="4561" t="n"/>
      <c r="E2689" s="4561" t="n"/>
      <c r="F2689" s="4561" t="n"/>
      <c r="G2689" s="4561" t="n"/>
      <c r="H2689" s="4561" t="n"/>
      <c r="I2689" s="4562">
        <f>XLOOKUP(B2689,'_Sys|Line_Map'!$A:$A,'_Sys|Line_Map'!$C:$C,"MISSING",0)</f>
        <v/>
      </c>
      <c r="J2689" s="4562">
        <f>XLOOKUP(B2689,'_Sys|Line_Map'!$A:$A,'_Sys|Line_Map'!$D:$D,1,0)</f>
        <v/>
      </c>
      <c r="K2689" s="4562">
        <f>IF(D2689="","",D2689*J2689)</f>
        <v/>
      </c>
      <c r="L2689" s="4562">
        <f>XLOOKUP(B2689,'_Sys|Line_Map'!$A:$A,'_Sys|Line_Map'!$B:$B,"MISSING",0)</f>
        <v/>
      </c>
    </row>
    <row r="2690">
      <c r="A2690" s="4561" t="n"/>
      <c r="B2690" s="4561" t="n"/>
      <c r="C2690" s="4561" t="n"/>
      <c r="D2690" s="4561" t="n"/>
      <c r="E2690" s="4561" t="n"/>
      <c r="F2690" s="4561" t="n"/>
      <c r="G2690" s="4561" t="n"/>
      <c r="H2690" s="4561" t="n"/>
      <c r="I2690" s="4562">
        <f>XLOOKUP(B2690,'_Sys|Line_Map'!$A:$A,'_Sys|Line_Map'!$C:$C,"MISSING",0)</f>
        <v/>
      </c>
      <c r="J2690" s="4562">
        <f>XLOOKUP(B2690,'_Sys|Line_Map'!$A:$A,'_Sys|Line_Map'!$D:$D,1,0)</f>
        <v/>
      </c>
      <c r="K2690" s="4562">
        <f>IF(D2690="","",D2690*J2690)</f>
        <v/>
      </c>
      <c r="L2690" s="4562">
        <f>XLOOKUP(B2690,'_Sys|Line_Map'!$A:$A,'_Sys|Line_Map'!$B:$B,"MISSING",0)</f>
        <v/>
      </c>
    </row>
    <row r="2691">
      <c r="A2691" s="4561" t="n"/>
      <c r="B2691" s="4561" t="n"/>
      <c r="C2691" s="4561" t="n"/>
      <c r="D2691" s="4561" t="n"/>
      <c r="E2691" s="4561" t="n"/>
      <c r="F2691" s="4561" t="n"/>
      <c r="G2691" s="4561" t="n"/>
      <c r="H2691" s="4561" t="n"/>
      <c r="I2691" s="4562">
        <f>XLOOKUP(B2691,'_Sys|Line_Map'!$A:$A,'_Sys|Line_Map'!$C:$C,"MISSING",0)</f>
        <v/>
      </c>
      <c r="J2691" s="4562">
        <f>XLOOKUP(B2691,'_Sys|Line_Map'!$A:$A,'_Sys|Line_Map'!$D:$D,1,0)</f>
        <v/>
      </c>
      <c r="K2691" s="4562">
        <f>IF(D2691="","",D2691*J2691)</f>
        <v/>
      </c>
      <c r="L2691" s="4562">
        <f>XLOOKUP(B2691,'_Sys|Line_Map'!$A:$A,'_Sys|Line_Map'!$B:$B,"MISSING",0)</f>
        <v/>
      </c>
    </row>
    <row r="2692">
      <c r="A2692" s="4561" t="n"/>
      <c r="B2692" s="4561" t="n"/>
      <c r="C2692" s="4561" t="n"/>
      <c r="D2692" s="4561" t="n"/>
      <c r="E2692" s="4561" t="n"/>
      <c r="F2692" s="4561" t="n"/>
      <c r="G2692" s="4561" t="n"/>
      <c r="H2692" s="4561" t="n"/>
      <c r="I2692" s="4562">
        <f>XLOOKUP(B2692,'_Sys|Line_Map'!$A:$A,'_Sys|Line_Map'!$C:$C,"MISSING",0)</f>
        <v/>
      </c>
      <c r="J2692" s="4562">
        <f>XLOOKUP(B2692,'_Sys|Line_Map'!$A:$A,'_Sys|Line_Map'!$D:$D,1,0)</f>
        <v/>
      </c>
      <c r="K2692" s="4562">
        <f>IF(D2692="","",D2692*J2692)</f>
        <v/>
      </c>
      <c r="L2692" s="4562">
        <f>XLOOKUP(B2692,'_Sys|Line_Map'!$A:$A,'_Sys|Line_Map'!$B:$B,"MISSING",0)</f>
        <v/>
      </c>
    </row>
    <row r="2693">
      <c r="A2693" s="4561" t="n"/>
      <c r="B2693" s="4561" t="n"/>
      <c r="C2693" s="4561" t="n"/>
      <c r="D2693" s="4561" t="n"/>
      <c r="E2693" s="4561" t="n"/>
      <c r="F2693" s="4561" t="n"/>
      <c r="G2693" s="4561" t="n"/>
      <c r="H2693" s="4561" t="n"/>
      <c r="I2693" s="4562">
        <f>XLOOKUP(B2693,'_Sys|Line_Map'!$A:$A,'_Sys|Line_Map'!$C:$C,"MISSING",0)</f>
        <v/>
      </c>
      <c r="J2693" s="4562">
        <f>XLOOKUP(B2693,'_Sys|Line_Map'!$A:$A,'_Sys|Line_Map'!$D:$D,1,0)</f>
        <v/>
      </c>
      <c r="K2693" s="4562">
        <f>IF(D2693="","",D2693*J2693)</f>
        <v/>
      </c>
      <c r="L2693" s="4562">
        <f>XLOOKUP(B2693,'_Sys|Line_Map'!$A:$A,'_Sys|Line_Map'!$B:$B,"MISSING",0)</f>
        <v/>
      </c>
    </row>
    <row r="2694">
      <c r="A2694" s="4561" t="n"/>
      <c r="B2694" s="4561" t="n"/>
      <c r="C2694" s="4561" t="n"/>
      <c r="D2694" s="4561" t="n"/>
      <c r="E2694" s="4561" t="n"/>
      <c r="F2694" s="4561" t="n"/>
      <c r="G2694" s="4561" t="n"/>
      <c r="H2694" s="4561" t="n"/>
      <c r="I2694" s="4562">
        <f>XLOOKUP(B2694,'_Sys|Line_Map'!$A:$A,'_Sys|Line_Map'!$C:$C,"MISSING",0)</f>
        <v/>
      </c>
      <c r="J2694" s="4562">
        <f>XLOOKUP(B2694,'_Sys|Line_Map'!$A:$A,'_Sys|Line_Map'!$D:$D,1,0)</f>
        <v/>
      </c>
      <c r="K2694" s="4562">
        <f>IF(D2694="","",D2694*J2694)</f>
        <v/>
      </c>
      <c r="L2694" s="4562">
        <f>XLOOKUP(B2694,'_Sys|Line_Map'!$A:$A,'_Sys|Line_Map'!$B:$B,"MISSING",0)</f>
        <v/>
      </c>
    </row>
    <row r="2695">
      <c r="A2695" s="4561" t="n"/>
      <c r="B2695" s="4561" t="n"/>
      <c r="C2695" s="4561" t="n"/>
      <c r="D2695" s="4561" t="n"/>
      <c r="E2695" s="4561" t="n"/>
      <c r="F2695" s="4561" t="n"/>
      <c r="G2695" s="4561" t="n"/>
      <c r="H2695" s="4561" t="n"/>
      <c r="I2695" s="4562">
        <f>XLOOKUP(B2695,'_Sys|Line_Map'!$A:$A,'_Sys|Line_Map'!$C:$C,"MISSING",0)</f>
        <v/>
      </c>
      <c r="J2695" s="4562">
        <f>XLOOKUP(B2695,'_Sys|Line_Map'!$A:$A,'_Sys|Line_Map'!$D:$D,1,0)</f>
        <v/>
      </c>
      <c r="K2695" s="4562">
        <f>IF(D2695="","",D2695*J2695)</f>
        <v/>
      </c>
      <c r="L2695" s="4562">
        <f>XLOOKUP(B2695,'_Sys|Line_Map'!$A:$A,'_Sys|Line_Map'!$B:$B,"MISSING",0)</f>
        <v/>
      </c>
    </row>
    <row r="2696">
      <c r="A2696" s="4561" t="n"/>
      <c r="B2696" s="4561" t="n"/>
      <c r="C2696" s="4561" t="n"/>
      <c r="D2696" s="4561" t="n"/>
      <c r="E2696" s="4561" t="n"/>
      <c r="F2696" s="4561" t="n"/>
      <c r="G2696" s="4561" t="n"/>
      <c r="H2696" s="4561" t="n"/>
      <c r="I2696" s="4562">
        <f>XLOOKUP(B2696,'_Sys|Line_Map'!$A:$A,'_Sys|Line_Map'!$C:$C,"MISSING",0)</f>
        <v/>
      </c>
      <c r="J2696" s="4562">
        <f>XLOOKUP(B2696,'_Sys|Line_Map'!$A:$A,'_Sys|Line_Map'!$D:$D,1,0)</f>
        <v/>
      </c>
      <c r="K2696" s="4562">
        <f>IF(D2696="","",D2696*J2696)</f>
        <v/>
      </c>
      <c r="L2696" s="4562">
        <f>XLOOKUP(B2696,'_Sys|Line_Map'!$A:$A,'_Sys|Line_Map'!$B:$B,"MISSING",0)</f>
        <v/>
      </c>
    </row>
    <row r="2697">
      <c r="A2697" s="4561" t="n"/>
      <c r="B2697" s="4561" t="n"/>
      <c r="C2697" s="4561" t="n"/>
      <c r="D2697" s="4561" t="n"/>
      <c r="E2697" s="4561" t="n"/>
      <c r="F2697" s="4561" t="n"/>
      <c r="G2697" s="4561" t="n"/>
      <c r="H2697" s="4561" t="n"/>
      <c r="I2697" s="4562">
        <f>XLOOKUP(B2697,'_Sys|Line_Map'!$A:$A,'_Sys|Line_Map'!$C:$C,"MISSING",0)</f>
        <v/>
      </c>
      <c r="J2697" s="4562">
        <f>XLOOKUP(B2697,'_Sys|Line_Map'!$A:$A,'_Sys|Line_Map'!$D:$D,1,0)</f>
        <v/>
      </c>
      <c r="K2697" s="4562">
        <f>IF(D2697="","",D2697*J2697)</f>
        <v/>
      </c>
      <c r="L2697" s="4562">
        <f>XLOOKUP(B2697,'_Sys|Line_Map'!$A:$A,'_Sys|Line_Map'!$B:$B,"MISSING",0)</f>
        <v/>
      </c>
    </row>
    <row r="2698">
      <c r="A2698" s="4561" t="n"/>
      <c r="B2698" s="4561" t="n"/>
      <c r="C2698" s="4561" t="n"/>
      <c r="D2698" s="4561" t="n"/>
      <c r="E2698" s="4561" t="n"/>
      <c r="F2698" s="4561" t="n"/>
      <c r="G2698" s="4561" t="n"/>
      <c r="H2698" s="4561" t="n"/>
      <c r="I2698" s="4562">
        <f>XLOOKUP(B2698,'_Sys|Line_Map'!$A:$A,'_Sys|Line_Map'!$C:$C,"MISSING",0)</f>
        <v/>
      </c>
      <c r="J2698" s="4562">
        <f>XLOOKUP(B2698,'_Sys|Line_Map'!$A:$A,'_Sys|Line_Map'!$D:$D,1,0)</f>
        <v/>
      </c>
      <c r="K2698" s="4562">
        <f>IF(D2698="","",D2698*J2698)</f>
        <v/>
      </c>
      <c r="L2698" s="4562">
        <f>XLOOKUP(B2698,'_Sys|Line_Map'!$A:$A,'_Sys|Line_Map'!$B:$B,"MISSING",0)</f>
        <v/>
      </c>
    </row>
    <row r="2699">
      <c r="A2699" s="4561" t="n"/>
      <c r="B2699" s="4561" t="n"/>
      <c r="C2699" s="4561" t="n"/>
      <c r="D2699" s="4561" t="n"/>
      <c r="E2699" s="4561" t="n"/>
      <c r="F2699" s="4561" t="n"/>
      <c r="G2699" s="4561" t="n"/>
      <c r="H2699" s="4561" t="n"/>
      <c r="I2699" s="4562">
        <f>XLOOKUP(B2699,'_Sys|Line_Map'!$A:$A,'_Sys|Line_Map'!$C:$C,"MISSING",0)</f>
        <v/>
      </c>
      <c r="J2699" s="4562">
        <f>XLOOKUP(B2699,'_Sys|Line_Map'!$A:$A,'_Sys|Line_Map'!$D:$D,1,0)</f>
        <v/>
      </c>
      <c r="K2699" s="4562">
        <f>IF(D2699="","",D2699*J2699)</f>
        <v/>
      </c>
      <c r="L2699" s="4562">
        <f>XLOOKUP(B2699,'_Sys|Line_Map'!$A:$A,'_Sys|Line_Map'!$B:$B,"MISSING",0)</f>
        <v/>
      </c>
    </row>
    <row r="2700">
      <c r="A2700" s="4561" t="n"/>
      <c r="B2700" s="4561" t="n"/>
      <c r="C2700" s="4561" t="n"/>
      <c r="D2700" s="4561" t="n"/>
      <c r="E2700" s="4561" t="n"/>
      <c r="F2700" s="4561" t="n"/>
      <c r="G2700" s="4561" t="n"/>
      <c r="H2700" s="4561" t="n"/>
      <c r="I2700" s="4562">
        <f>XLOOKUP(B2700,'_Sys|Line_Map'!$A:$A,'_Sys|Line_Map'!$C:$C,"MISSING",0)</f>
        <v/>
      </c>
      <c r="J2700" s="4562">
        <f>XLOOKUP(B2700,'_Sys|Line_Map'!$A:$A,'_Sys|Line_Map'!$D:$D,1,0)</f>
        <v/>
      </c>
      <c r="K2700" s="4562">
        <f>IF(D2700="","",D2700*J2700)</f>
        <v/>
      </c>
      <c r="L2700" s="4562">
        <f>XLOOKUP(B2700,'_Sys|Line_Map'!$A:$A,'_Sys|Line_Map'!$B:$B,"MISSING",0)</f>
        <v/>
      </c>
    </row>
    <row r="2701">
      <c r="A2701" s="4561" t="n"/>
      <c r="B2701" s="4561" t="n"/>
      <c r="C2701" s="4561" t="n"/>
      <c r="D2701" s="4561" t="n"/>
      <c r="E2701" s="4561" t="n"/>
      <c r="F2701" s="4561" t="n"/>
      <c r="G2701" s="4561" t="n"/>
      <c r="H2701" s="4561" t="n"/>
      <c r="I2701" s="4562">
        <f>XLOOKUP(B2701,'_Sys|Line_Map'!$A:$A,'_Sys|Line_Map'!$C:$C,"MISSING",0)</f>
        <v/>
      </c>
      <c r="J2701" s="4562">
        <f>XLOOKUP(B2701,'_Sys|Line_Map'!$A:$A,'_Sys|Line_Map'!$D:$D,1,0)</f>
        <v/>
      </c>
      <c r="K2701" s="4562">
        <f>IF(D2701="","",D2701*J2701)</f>
        <v/>
      </c>
      <c r="L2701" s="4562">
        <f>XLOOKUP(B2701,'_Sys|Line_Map'!$A:$A,'_Sys|Line_Map'!$B:$B,"MISSING",0)</f>
        <v/>
      </c>
    </row>
    <row r="2702">
      <c r="A2702" s="4561" t="n"/>
      <c r="B2702" s="4561" t="n"/>
      <c r="C2702" s="4561" t="n"/>
      <c r="D2702" s="4561" t="n"/>
      <c r="E2702" s="4561" t="n"/>
      <c r="F2702" s="4561" t="n"/>
      <c r="G2702" s="4561" t="n"/>
      <c r="H2702" s="4561" t="n"/>
      <c r="I2702" s="4562">
        <f>XLOOKUP(B2702,'_Sys|Line_Map'!$A:$A,'_Sys|Line_Map'!$C:$C,"MISSING",0)</f>
        <v/>
      </c>
      <c r="J2702" s="4562">
        <f>XLOOKUP(B2702,'_Sys|Line_Map'!$A:$A,'_Sys|Line_Map'!$D:$D,1,0)</f>
        <v/>
      </c>
      <c r="K2702" s="4562">
        <f>IF(D2702="","",D2702*J2702)</f>
        <v/>
      </c>
      <c r="L2702" s="4562">
        <f>XLOOKUP(B2702,'_Sys|Line_Map'!$A:$A,'_Sys|Line_Map'!$B:$B,"MISSING",0)</f>
        <v/>
      </c>
    </row>
    <row r="2703">
      <c r="A2703" s="4561" t="n"/>
      <c r="B2703" s="4561" t="n"/>
      <c r="C2703" s="4561" t="n"/>
      <c r="D2703" s="4561" t="n"/>
      <c r="E2703" s="4561" t="n"/>
      <c r="F2703" s="4561" t="n"/>
      <c r="G2703" s="4561" t="n"/>
      <c r="H2703" s="4561" t="n"/>
      <c r="I2703" s="4562">
        <f>XLOOKUP(B2703,'_Sys|Line_Map'!$A:$A,'_Sys|Line_Map'!$C:$C,"MISSING",0)</f>
        <v/>
      </c>
      <c r="J2703" s="4562">
        <f>XLOOKUP(B2703,'_Sys|Line_Map'!$A:$A,'_Sys|Line_Map'!$D:$D,1,0)</f>
        <v/>
      </c>
      <c r="K2703" s="4562">
        <f>IF(D2703="","",D2703*J2703)</f>
        <v/>
      </c>
      <c r="L2703" s="4562">
        <f>XLOOKUP(B2703,'_Sys|Line_Map'!$A:$A,'_Sys|Line_Map'!$B:$B,"MISSING",0)</f>
        <v/>
      </c>
    </row>
    <row r="2704">
      <c r="A2704" s="4561" t="n"/>
      <c r="B2704" s="4561" t="n"/>
      <c r="C2704" s="4561" t="n"/>
      <c r="D2704" s="4561" t="n"/>
      <c r="E2704" s="4561" t="n"/>
      <c r="F2704" s="4561" t="n"/>
      <c r="G2704" s="4561" t="n"/>
      <c r="H2704" s="4561" t="n"/>
      <c r="I2704" s="4562">
        <f>XLOOKUP(B2704,'_Sys|Line_Map'!$A:$A,'_Sys|Line_Map'!$C:$C,"MISSING",0)</f>
        <v/>
      </c>
      <c r="J2704" s="4562">
        <f>XLOOKUP(B2704,'_Sys|Line_Map'!$A:$A,'_Sys|Line_Map'!$D:$D,1,0)</f>
        <v/>
      </c>
      <c r="K2704" s="4562">
        <f>IF(D2704="","",D2704*J2704)</f>
        <v/>
      </c>
      <c r="L2704" s="4562">
        <f>XLOOKUP(B2704,'_Sys|Line_Map'!$A:$A,'_Sys|Line_Map'!$B:$B,"MISSING",0)</f>
        <v/>
      </c>
    </row>
    <row r="2705">
      <c r="A2705" s="4561" t="n"/>
      <c r="B2705" s="4561" t="n"/>
      <c r="C2705" s="4561" t="n"/>
      <c r="D2705" s="4561" t="n"/>
      <c r="E2705" s="4561" t="n"/>
      <c r="F2705" s="4561" t="n"/>
      <c r="G2705" s="4561" t="n"/>
      <c r="H2705" s="4561" t="n"/>
      <c r="I2705" s="4562">
        <f>XLOOKUP(B2705,'_Sys|Line_Map'!$A:$A,'_Sys|Line_Map'!$C:$C,"MISSING",0)</f>
        <v/>
      </c>
      <c r="J2705" s="4562">
        <f>XLOOKUP(B2705,'_Sys|Line_Map'!$A:$A,'_Sys|Line_Map'!$D:$D,1,0)</f>
        <v/>
      </c>
      <c r="K2705" s="4562">
        <f>IF(D2705="","",D2705*J2705)</f>
        <v/>
      </c>
      <c r="L2705" s="4562">
        <f>XLOOKUP(B2705,'_Sys|Line_Map'!$A:$A,'_Sys|Line_Map'!$B:$B,"MISSING",0)</f>
        <v/>
      </c>
    </row>
    <row r="2706">
      <c r="A2706" s="4561" t="n"/>
      <c r="B2706" s="4561" t="n"/>
      <c r="C2706" s="4561" t="n"/>
      <c r="D2706" s="4561" t="n"/>
      <c r="E2706" s="4561" t="n"/>
      <c r="F2706" s="4561" t="n"/>
      <c r="G2706" s="4561" t="n"/>
      <c r="H2706" s="4561" t="n"/>
      <c r="I2706" s="4562">
        <f>XLOOKUP(B2706,'_Sys|Line_Map'!$A:$A,'_Sys|Line_Map'!$C:$C,"MISSING",0)</f>
        <v/>
      </c>
      <c r="J2706" s="4562">
        <f>XLOOKUP(B2706,'_Sys|Line_Map'!$A:$A,'_Sys|Line_Map'!$D:$D,1,0)</f>
        <v/>
      </c>
      <c r="K2706" s="4562">
        <f>IF(D2706="","",D2706*J2706)</f>
        <v/>
      </c>
      <c r="L2706" s="4562">
        <f>XLOOKUP(B2706,'_Sys|Line_Map'!$A:$A,'_Sys|Line_Map'!$B:$B,"MISSING",0)</f>
        <v/>
      </c>
    </row>
    <row r="2707">
      <c r="A2707" s="4561" t="n"/>
      <c r="B2707" s="4561" t="n"/>
      <c r="C2707" s="4561" t="n"/>
      <c r="D2707" s="4561" t="n"/>
      <c r="E2707" s="4561" t="n"/>
      <c r="F2707" s="4561" t="n"/>
      <c r="G2707" s="4561" t="n"/>
      <c r="H2707" s="4561" t="n"/>
      <c r="I2707" s="4562">
        <f>XLOOKUP(B2707,'_Sys|Line_Map'!$A:$A,'_Sys|Line_Map'!$C:$C,"MISSING",0)</f>
        <v/>
      </c>
      <c r="J2707" s="4562">
        <f>XLOOKUP(B2707,'_Sys|Line_Map'!$A:$A,'_Sys|Line_Map'!$D:$D,1,0)</f>
        <v/>
      </c>
      <c r="K2707" s="4562">
        <f>IF(D2707="","",D2707*J2707)</f>
        <v/>
      </c>
      <c r="L2707" s="4562">
        <f>XLOOKUP(B2707,'_Sys|Line_Map'!$A:$A,'_Sys|Line_Map'!$B:$B,"MISSING",0)</f>
        <v/>
      </c>
    </row>
    <row r="2708">
      <c r="A2708" s="4561" t="n"/>
      <c r="B2708" s="4561" t="n"/>
      <c r="C2708" s="4561" t="n"/>
      <c r="D2708" s="4561" t="n"/>
      <c r="E2708" s="4561" t="n"/>
      <c r="F2708" s="4561" t="n"/>
      <c r="G2708" s="4561" t="n"/>
      <c r="H2708" s="4561" t="n"/>
      <c r="I2708" s="4562">
        <f>XLOOKUP(B2708,'_Sys|Line_Map'!$A:$A,'_Sys|Line_Map'!$C:$C,"MISSING",0)</f>
        <v/>
      </c>
      <c r="J2708" s="4562">
        <f>XLOOKUP(B2708,'_Sys|Line_Map'!$A:$A,'_Sys|Line_Map'!$D:$D,1,0)</f>
        <v/>
      </c>
      <c r="K2708" s="4562">
        <f>IF(D2708="","",D2708*J2708)</f>
        <v/>
      </c>
      <c r="L2708" s="4562">
        <f>XLOOKUP(B2708,'_Sys|Line_Map'!$A:$A,'_Sys|Line_Map'!$B:$B,"MISSING",0)</f>
        <v/>
      </c>
    </row>
    <row r="2709">
      <c r="A2709" s="4561" t="n"/>
      <c r="B2709" s="4561" t="n"/>
      <c r="C2709" s="4561" t="n"/>
      <c r="D2709" s="4561" t="n"/>
      <c r="E2709" s="4561" t="n"/>
      <c r="F2709" s="4561" t="n"/>
      <c r="G2709" s="4561" t="n"/>
      <c r="H2709" s="4561" t="n"/>
      <c r="I2709" s="4562">
        <f>XLOOKUP(B2709,'_Sys|Line_Map'!$A:$A,'_Sys|Line_Map'!$C:$C,"MISSING",0)</f>
        <v/>
      </c>
      <c r="J2709" s="4562">
        <f>XLOOKUP(B2709,'_Sys|Line_Map'!$A:$A,'_Sys|Line_Map'!$D:$D,1,0)</f>
        <v/>
      </c>
      <c r="K2709" s="4562">
        <f>IF(D2709="","",D2709*J2709)</f>
        <v/>
      </c>
      <c r="L2709" s="4562">
        <f>XLOOKUP(B2709,'_Sys|Line_Map'!$A:$A,'_Sys|Line_Map'!$B:$B,"MISSING",0)</f>
        <v/>
      </c>
    </row>
    <row r="2710">
      <c r="A2710" s="4561" t="n"/>
      <c r="B2710" s="4561" t="n"/>
      <c r="C2710" s="4561" t="n"/>
      <c r="D2710" s="4561" t="n"/>
      <c r="E2710" s="4561" t="n"/>
      <c r="F2710" s="4561" t="n"/>
      <c r="G2710" s="4561" t="n"/>
      <c r="H2710" s="4561" t="n"/>
      <c r="I2710" s="4562">
        <f>XLOOKUP(B2710,'_Sys|Line_Map'!$A:$A,'_Sys|Line_Map'!$C:$C,"MISSING",0)</f>
        <v/>
      </c>
      <c r="J2710" s="4562">
        <f>XLOOKUP(B2710,'_Sys|Line_Map'!$A:$A,'_Sys|Line_Map'!$D:$D,1,0)</f>
        <v/>
      </c>
      <c r="K2710" s="4562">
        <f>IF(D2710="","",D2710*J2710)</f>
        <v/>
      </c>
      <c r="L2710" s="4562">
        <f>XLOOKUP(B2710,'_Sys|Line_Map'!$A:$A,'_Sys|Line_Map'!$B:$B,"MISSING",0)</f>
        <v/>
      </c>
    </row>
    <row r="2711">
      <c r="A2711" s="4561" t="n"/>
      <c r="B2711" s="4561" t="n"/>
      <c r="C2711" s="4561" t="n"/>
      <c r="D2711" s="4561" t="n"/>
      <c r="E2711" s="4561" t="n"/>
      <c r="F2711" s="4561" t="n"/>
      <c r="G2711" s="4561" t="n"/>
      <c r="H2711" s="4561" t="n"/>
      <c r="I2711" s="4562">
        <f>XLOOKUP(B2711,'_Sys|Line_Map'!$A:$A,'_Sys|Line_Map'!$C:$C,"MISSING",0)</f>
        <v/>
      </c>
      <c r="J2711" s="4562">
        <f>XLOOKUP(B2711,'_Sys|Line_Map'!$A:$A,'_Sys|Line_Map'!$D:$D,1,0)</f>
        <v/>
      </c>
      <c r="K2711" s="4562">
        <f>IF(D2711="","",D2711*J2711)</f>
        <v/>
      </c>
      <c r="L2711" s="4562">
        <f>XLOOKUP(B2711,'_Sys|Line_Map'!$A:$A,'_Sys|Line_Map'!$B:$B,"MISSING",0)</f>
        <v/>
      </c>
    </row>
    <row r="2712">
      <c r="A2712" s="4561" t="n"/>
      <c r="B2712" s="4561" t="n"/>
      <c r="C2712" s="4561" t="n"/>
      <c r="D2712" s="4561" t="n"/>
      <c r="E2712" s="4561" t="n"/>
      <c r="F2712" s="4561" t="n"/>
      <c r="G2712" s="4561" t="n"/>
      <c r="H2712" s="4561" t="n"/>
      <c r="I2712" s="4562">
        <f>XLOOKUP(B2712,'_Sys|Line_Map'!$A:$A,'_Sys|Line_Map'!$C:$C,"MISSING",0)</f>
        <v/>
      </c>
      <c r="J2712" s="4562">
        <f>XLOOKUP(B2712,'_Sys|Line_Map'!$A:$A,'_Sys|Line_Map'!$D:$D,1,0)</f>
        <v/>
      </c>
      <c r="K2712" s="4562">
        <f>IF(D2712="","",D2712*J2712)</f>
        <v/>
      </c>
      <c r="L2712" s="4562">
        <f>XLOOKUP(B2712,'_Sys|Line_Map'!$A:$A,'_Sys|Line_Map'!$B:$B,"MISSING",0)</f>
        <v/>
      </c>
    </row>
    <row r="2713">
      <c r="A2713" s="4561" t="n"/>
      <c r="B2713" s="4561" t="n"/>
      <c r="C2713" s="4561" t="n"/>
      <c r="D2713" s="4561" t="n"/>
      <c r="E2713" s="4561" t="n"/>
      <c r="F2713" s="4561" t="n"/>
      <c r="G2713" s="4561" t="n"/>
      <c r="H2713" s="4561" t="n"/>
      <c r="I2713" s="4562">
        <f>XLOOKUP(B2713,'_Sys|Line_Map'!$A:$A,'_Sys|Line_Map'!$C:$C,"MISSING",0)</f>
        <v/>
      </c>
      <c r="J2713" s="4562">
        <f>XLOOKUP(B2713,'_Sys|Line_Map'!$A:$A,'_Sys|Line_Map'!$D:$D,1,0)</f>
        <v/>
      </c>
      <c r="K2713" s="4562">
        <f>IF(D2713="","",D2713*J2713)</f>
        <v/>
      </c>
      <c r="L2713" s="4562">
        <f>XLOOKUP(B2713,'_Sys|Line_Map'!$A:$A,'_Sys|Line_Map'!$B:$B,"MISSING",0)</f>
        <v/>
      </c>
    </row>
    <row r="2714">
      <c r="A2714" s="4561" t="n"/>
      <c r="B2714" s="4561" t="n"/>
      <c r="C2714" s="4561" t="n"/>
      <c r="D2714" s="4561" t="n"/>
      <c r="E2714" s="4561" t="n"/>
      <c r="F2714" s="4561" t="n"/>
      <c r="G2714" s="4561" t="n"/>
      <c r="H2714" s="4561" t="n"/>
      <c r="I2714" s="4562">
        <f>XLOOKUP(B2714,'_Sys|Line_Map'!$A:$A,'_Sys|Line_Map'!$C:$C,"MISSING",0)</f>
        <v/>
      </c>
      <c r="J2714" s="4562">
        <f>XLOOKUP(B2714,'_Sys|Line_Map'!$A:$A,'_Sys|Line_Map'!$D:$D,1,0)</f>
        <v/>
      </c>
      <c r="K2714" s="4562">
        <f>IF(D2714="","",D2714*J2714)</f>
        <v/>
      </c>
      <c r="L2714" s="4562">
        <f>XLOOKUP(B2714,'_Sys|Line_Map'!$A:$A,'_Sys|Line_Map'!$B:$B,"MISSING",0)</f>
        <v/>
      </c>
    </row>
    <row r="2715">
      <c r="A2715" s="4561" t="n"/>
      <c r="B2715" s="4561" t="n"/>
      <c r="C2715" s="4561" t="n"/>
      <c r="D2715" s="4561" t="n"/>
      <c r="E2715" s="4561" t="n"/>
      <c r="F2715" s="4561" t="n"/>
      <c r="G2715" s="4561" t="n"/>
      <c r="H2715" s="4561" t="n"/>
      <c r="I2715" s="4562">
        <f>XLOOKUP(B2715,'_Sys|Line_Map'!$A:$A,'_Sys|Line_Map'!$C:$C,"MISSING",0)</f>
        <v/>
      </c>
      <c r="J2715" s="4562">
        <f>XLOOKUP(B2715,'_Sys|Line_Map'!$A:$A,'_Sys|Line_Map'!$D:$D,1,0)</f>
        <v/>
      </c>
      <c r="K2715" s="4562">
        <f>IF(D2715="","",D2715*J2715)</f>
        <v/>
      </c>
      <c r="L2715" s="4562">
        <f>XLOOKUP(B2715,'_Sys|Line_Map'!$A:$A,'_Sys|Line_Map'!$B:$B,"MISSING",0)</f>
        <v/>
      </c>
    </row>
    <row r="2716">
      <c r="A2716" s="4561" t="n"/>
      <c r="B2716" s="4561" t="n"/>
      <c r="C2716" s="4561" t="n"/>
      <c r="D2716" s="4561" t="n"/>
      <c r="E2716" s="4561" t="n"/>
      <c r="F2716" s="4561" t="n"/>
      <c r="G2716" s="4561" t="n"/>
      <c r="H2716" s="4561" t="n"/>
      <c r="I2716" s="4562">
        <f>XLOOKUP(B2716,'_Sys|Line_Map'!$A:$A,'_Sys|Line_Map'!$C:$C,"MISSING",0)</f>
        <v/>
      </c>
      <c r="J2716" s="4562">
        <f>XLOOKUP(B2716,'_Sys|Line_Map'!$A:$A,'_Sys|Line_Map'!$D:$D,1,0)</f>
        <v/>
      </c>
      <c r="K2716" s="4562">
        <f>IF(D2716="","",D2716*J2716)</f>
        <v/>
      </c>
      <c r="L2716" s="4562">
        <f>XLOOKUP(B2716,'_Sys|Line_Map'!$A:$A,'_Sys|Line_Map'!$B:$B,"MISSING",0)</f>
        <v/>
      </c>
    </row>
    <row r="2717">
      <c r="A2717" s="4561" t="n"/>
      <c r="B2717" s="4561" t="n"/>
      <c r="C2717" s="4561" t="n"/>
      <c r="D2717" s="4561" t="n"/>
      <c r="E2717" s="4561" t="n"/>
      <c r="F2717" s="4561" t="n"/>
      <c r="G2717" s="4561" t="n"/>
      <c r="H2717" s="4561" t="n"/>
      <c r="I2717" s="4562">
        <f>XLOOKUP(B2717,'_Sys|Line_Map'!$A:$A,'_Sys|Line_Map'!$C:$C,"MISSING",0)</f>
        <v/>
      </c>
      <c r="J2717" s="4562">
        <f>XLOOKUP(B2717,'_Sys|Line_Map'!$A:$A,'_Sys|Line_Map'!$D:$D,1,0)</f>
        <v/>
      </c>
      <c r="K2717" s="4562">
        <f>IF(D2717="","",D2717*J2717)</f>
        <v/>
      </c>
      <c r="L2717" s="4562">
        <f>XLOOKUP(B2717,'_Sys|Line_Map'!$A:$A,'_Sys|Line_Map'!$B:$B,"MISSING",0)</f>
        <v/>
      </c>
    </row>
    <row r="2718">
      <c r="A2718" s="4561" t="n"/>
      <c r="B2718" s="4561" t="n"/>
      <c r="C2718" s="4561" t="n"/>
      <c r="D2718" s="4561" t="n"/>
      <c r="E2718" s="4561" t="n"/>
      <c r="F2718" s="4561" t="n"/>
      <c r="G2718" s="4561" t="n"/>
      <c r="H2718" s="4561" t="n"/>
      <c r="I2718" s="4562">
        <f>XLOOKUP(B2718,'_Sys|Line_Map'!$A:$A,'_Sys|Line_Map'!$C:$C,"MISSING",0)</f>
        <v/>
      </c>
      <c r="J2718" s="4562">
        <f>XLOOKUP(B2718,'_Sys|Line_Map'!$A:$A,'_Sys|Line_Map'!$D:$D,1,0)</f>
        <v/>
      </c>
      <c r="K2718" s="4562">
        <f>IF(D2718="","",D2718*J2718)</f>
        <v/>
      </c>
      <c r="L2718" s="4562">
        <f>XLOOKUP(B2718,'_Sys|Line_Map'!$A:$A,'_Sys|Line_Map'!$B:$B,"MISSING",0)</f>
        <v/>
      </c>
    </row>
    <row r="2719">
      <c r="A2719" s="4561" t="n"/>
      <c r="B2719" s="4561" t="n"/>
      <c r="C2719" s="4561" t="n"/>
      <c r="D2719" s="4561" t="n"/>
      <c r="E2719" s="4561" t="n"/>
      <c r="F2719" s="4561" t="n"/>
      <c r="G2719" s="4561" t="n"/>
      <c r="H2719" s="4561" t="n"/>
      <c r="I2719" s="4562">
        <f>XLOOKUP(B2719,'_Sys|Line_Map'!$A:$A,'_Sys|Line_Map'!$C:$C,"MISSING",0)</f>
        <v/>
      </c>
      <c r="J2719" s="4562">
        <f>XLOOKUP(B2719,'_Sys|Line_Map'!$A:$A,'_Sys|Line_Map'!$D:$D,1,0)</f>
        <v/>
      </c>
      <c r="K2719" s="4562">
        <f>IF(D2719="","",D2719*J2719)</f>
        <v/>
      </c>
      <c r="L2719" s="4562">
        <f>XLOOKUP(B2719,'_Sys|Line_Map'!$A:$A,'_Sys|Line_Map'!$B:$B,"MISSING",0)</f>
        <v/>
      </c>
    </row>
    <row r="2720">
      <c r="A2720" s="4561" t="n"/>
      <c r="B2720" s="4561" t="n"/>
      <c r="C2720" s="4561" t="n"/>
      <c r="D2720" s="4561" t="n"/>
      <c r="E2720" s="4561" t="n"/>
      <c r="F2720" s="4561" t="n"/>
      <c r="G2720" s="4561" t="n"/>
      <c r="H2720" s="4561" t="n"/>
      <c r="I2720" s="4562">
        <f>XLOOKUP(B2720,'_Sys|Line_Map'!$A:$A,'_Sys|Line_Map'!$C:$C,"MISSING",0)</f>
        <v/>
      </c>
      <c r="J2720" s="4562">
        <f>XLOOKUP(B2720,'_Sys|Line_Map'!$A:$A,'_Sys|Line_Map'!$D:$D,1,0)</f>
        <v/>
      </c>
      <c r="K2720" s="4562">
        <f>IF(D2720="","",D2720*J2720)</f>
        <v/>
      </c>
      <c r="L2720" s="4562">
        <f>XLOOKUP(B2720,'_Sys|Line_Map'!$A:$A,'_Sys|Line_Map'!$B:$B,"MISSING",0)</f>
        <v/>
      </c>
    </row>
    <row r="2721">
      <c r="A2721" s="4561" t="n"/>
      <c r="B2721" s="4561" t="n"/>
      <c r="C2721" s="4561" t="n"/>
      <c r="D2721" s="4561" t="n"/>
      <c r="E2721" s="4561" t="n"/>
      <c r="F2721" s="4561" t="n"/>
      <c r="G2721" s="4561" t="n"/>
      <c r="H2721" s="4561" t="n"/>
      <c r="I2721" s="4562">
        <f>XLOOKUP(B2721,'_Sys|Line_Map'!$A:$A,'_Sys|Line_Map'!$C:$C,"MISSING",0)</f>
        <v/>
      </c>
      <c r="J2721" s="4562">
        <f>XLOOKUP(B2721,'_Sys|Line_Map'!$A:$A,'_Sys|Line_Map'!$D:$D,1,0)</f>
        <v/>
      </c>
      <c r="K2721" s="4562">
        <f>IF(D2721="","",D2721*J2721)</f>
        <v/>
      </c>
      <c r="L2721" s="4562">
        <f>XLOOKUP(B2721,'_Sys|Line_Map'!$A:$A,'_Sys|Line_Map'!$B:$B,"MISSING",0)</f>
        <v/>
      </c>
    </row>
    <row r="2722">
      <c r="A2722" s="4561" t="n"/>
      <c r="B2722" s="4561" t="n"/>
      <c r="C2722" s="4561" t="n"/>
      <c r="D2722" s="4561" t="n"/>
      <c r="E2722" s="4561" t="n"/>
      <c r="F2722" s="4561" t="n"/>
      <c r="G2722" s="4561" t="n"/>
      <c r="H2722" s="4561" t="n"/>
      <c r="I2722" s="4562">
        <f>XLOOKUP(B2722,'_Sys|Line_Map'!$A:$A,'_Sys|Line_Map'!$C:$C,"MISSING",0)</f>
        <v/>
      </c>
      <c r="J2722" s="4562">
        <f>XLOOKUP(B2722,'_Sys|Line_Map'!$A:$A,'_Sys|Line_Map'!$D:$D,1,0)</f>
        <v/>
      </c>
      <c r="K2722" s="4562">
        <f>IF(D2722="","",D2722*J2722)</f>
        <v/>
      </c>
      <c r="L2722" s="4562">
        <f>XLOOKUP(B2722,'_Sys|Line_Map'!$A:$A,'_Sys|Line_Map'!$B:$B,"MISSING",0)</f>
        <v/>
      </c>
    </row>
    <row r="2723">
      <c r="A2723" s="4561" t="n"/>
      <c r="B2723" s="4561" t="n"/>
      <c r="C2723" s="4561" t="n"/>
      <c r="D2723" s="4561" t="n"/>
      <c r="E2723" s="4561" t="n"/>
      <c r="F2723" s="4561" t="n"/>
      <c r="G2723" s="4561" t="n"/>
      <c r="H2723" s="4561" t="n"/>
      <c r="I2723" s="4562">
        <f>XLOOKUP(B2723,'_Sys|Line_Map'!$A:$A,'_Sys|Line_Map'!$C:$C,"MISSING",0)</f>
        <v/>
      </c>
      <c r="J2723" s="4562">
        <f>XLOOKUP(B2723,'_Sys|Line_Map'!$A:$A,'_Sys|Line_Map'!$D:$D,1,0)</f>
        <v/>
      </c>
      <c r="K2723" s="4562">
        <f>IF(D2723="","",D2723*J2723)</f>
        <v/>
      </c>
      <c r="L2723" s="4562">
        <f>XLOOKUP(B2723,'_Sys|Line_Map'!$A:$A,'_Sys|Line_Map'!$B:$B,"MISSING",0)</f>
        <v/>
      </c>
    </row>
    <row r="2724">
      <c r="A2724" s="4561" t="n"/>
      <c r="B2724" s="4561" t="n"/>
      <c r="C2724" s="4561" t="n"/>
      <c r="D2724" s="4561" t="n"/>
      <c r="E2724" s="4561" t="n"/>
      <c r="F2724" s="4561" t="n"/>
      <c r="G2724" s="4561" t="n"/>
      <c r="H2724" s="4561" t="n"/>
      <c r="I2724" s="4562">
        <f>XLOOKUP(B2724,'_Sys|Line_Map'!$A:$A,'_Sys|Line_Map'!$C:$C,"MISSING",0)</f>
        <v/>
      </c>
      <c r="J2724" s="4562">
        <f>XLOOKUP(B2724,'_Sys|Line_Map'!$A:$A,'_Sys|Line_Map'!$D:$D,1,0)</f>
        <v/>
      </c>
      <c r="K2724" s="4562">
        <f>IF(D2724="","",D2724*J2724)</f>
        <v/>
      </c>
      <c r="L2724" s="4562">
        <f>XLOOKUP(B2724,'_Sys|Line_Map'!$A:$A,'_Sys|Line_Map'!$B:$B,"MISSING",0)</f>
        <v/>
      </c>
    </row>
    <row r="2725">
      <c r="A2725" s="4561" t="n"/>
      <c r="B2725" s="4561" t="n"/>
      <c r="C2725" s="4561" t="n"/>
      <c r="D2725" s="4561" t="n"/>
      <c r="E2725" s="4561" t="n"/>
      <c r="F2725" s="4561" t="n"/>
      <c r="G2725" s="4561" t="n"/>
      <c r="H2725" s="4561" t="n"/>
      <c r="I2725" s="4562">
        <f>XLOOKUP(B2725,'_Sys|Line_Map'!$A:$A,'_Sys|Line_Map'!$C:$C,"MISSING",0)</f>
        <v/>
      </c>
      <c r="J2725" s="4562">
        <f>XLOOKUP(B2725,'_Sys|Line_Map'!$A:$A,'_Sys|Line_Map'!$D:$D,1,0)</f>
        <v/>
      </c>
      <c r="K2725" s="4562">
        <f>IF(D2725="","",D2725*J2725)</f>
        <v/>
      </c>
      <c r="L2725" s="4562">
        <f>XLOOKUP(B2725,'_Sys|Line_Map'!$A:$A,'_Sys|Line_Map'!$B:$B,"MISSING",0)</f>
        <v/>
      </c>
    </row>
    <row r="2726">
      <c r="A2726" s="4561" t="n"/>
      <c r="B2726" s="4561" t="n"/>
      <c r="C2726" s="4561" t="n"/>
      <c r="D2726" s="4561" t="n"/>
      <c r="E2726" s="4561" t="n"/>
      <c r="F2726" s="4561" t="n"/>
      <c r="G2726" s="4561" t="n"/>
      <c r="H2726" s="4561" t="n"/>
      <c r="I2726" s="4562">
        <f>XLOOKUP(B2726,'_Sys|Line_Map'!$A:$A,'_Sys|Line_Map'!$C:$C,"MISSING",0)</f>
        <v/>
      </c>
      <c r="J2726" s="4562">
        <f>XLOOKUP(B2726,'_Sys|Line_Map'!$A:$A,'_Sys|Line_Map'!$D:$D,1,0)</f>
        <v/>
      </c>
      <c r="K2726" s="4562">
        <f>IF(D2726="","",D2726*J2726)</f>
        <v/>
      </c>
      <c r="L2726" s="4562">
        <f>XLOOKUP(B2726,'_Sys|Line_Map'!$A:$A,'_Sys|Line_Map'!$B:$B,"MISSING",0)</f>
        <v/>
      </c>
    </row>
    <row r="2727">
      <c r="A2727" s="4561" t="n"/>
      <c r="B2727" s="4561" t="n"/>
      <c r="C2727" s="4561" t="n"/>
      <c r="D2727" s="4561" t="n"/>
      <c r="E2727" s="4561" t="n"/>
      <c r="F2727" s="4561" t="n"/>
      <c r="G2727" s="4561" t="n"/>
      <c r="H2727" s="4561" t="n"/>
      <c r="I2727" s="4562">
        <f>XLOOKUP(B2727,'_Sys|Line_Map'!$A:$A,'_Sys|Line_Map'!$C:$C,"MISSING",0)</f>
        <v/>
      </c>
      <c r="J2727" s="4562">
        <f>XLOOKUP(B2727,'_Sys|Line_Map'!$A:$A,'_Sys|Line_Map'!$D:$D,1,0)</f>
        <v/>
      </c>
      <c r="K2727" s="4562">
        <f>IF(D2727="","",D2727*J2727)</f>
        <v/>
      </c>
      <c r="L2727" s="4562">
        <f>XLOOKUP(B2727,'_Sys|Line_Map'!$A:$A,'_Sys|Line_Map'!$B:$B,"MISSING",0)</f>
        <v/>
      </c>
    </row>
    <row r="2728">
      <c r="A2728" s="4561" t="n"/>
      <c r="B2728" s="4561" t="n"/>
      <c r="C2728" s="4561" t="n"/>
      <c r="D2728" s="4561" t="n"/>
      <c r="E2728" s="4561" t="n"/>
      <c r="F2728" s="4561" t="n"/>
      <c r="G2728" s="4561" t="n"/>
      <c r="H2728" s="4561" t="n"/>
      <c r="I2728" s="4562">
        <f>XLOOKUP(B2728,'_Sys|Line_Map'!$A:$A,'_Sys|Line_Map'!$C:$C,"MISSING",0)</f>
        <v/>
      </c>
      <c r="J2728" s="4562">
        <f>XLOOKUP(B2728,'_Sys|Line_Map'!$A:$A,'_Sys|Line_Map'!$D:$D,1,0)</f>
        <v/>
      </c>
      <c r="K2728" s="4562">
        <f>IF(D2728="","",D2728*J2728)</f>
        <v/>
      </c>
      <c r="L2728" s="4562">
        <f>XLOOKUP(B2728,'_Sys|Line_Map'!$A:$A,'_Sys|Line_Map'!$B:$B,"MISSING",0)</f>
        <v/>
      </c>
    </row>
    <row r="2729">
      <c r="A2729" s="4561" t="n"/>
      <c r="B2729" s="4561" t="n"/>
      <c r="C2729" s="4561" t="n"/>
      <c r="D2729" s="4561" t="n"/>
      <c r="E2729" s="4561" t="n"/>
      <c r="F2729" s="4561" t="n"/>
      <c r="G2729" s="4561" t="n"/>
      <c r="H2729" s="4561" t="n"/>
      <c r="I2729" s="4562">
        <f>XLOOKUP(B2729,'_Sys|Line_Map'!$A:$A,'_Sys|Line_Map'!$C:$C,"MISSING",0)</f>
        <v/>
      </c>
      <c r="J2729" s="4562">
        <f>XLOOKUP(B2729,'_Sys|Line_Map'!$A:$A,'_Sys|Line_Map'!$D:$D,1,0)</f>
        <v/>
      </c>
      <c r="K2729" s="4562">
        <f>IF(D2729="","",D2729*J2729)</f>
        <v/>
      </c>
      <c r="L2729" s="4562">
        <f>XLOOKUP(B2729,'_Sys|Line_Map'!$A:$A,'_Sys|Line_Map'!$B:$B,"MISSING",0)</f>
        <v/>
      </c>
    </row>
    <row r="2730">
      <c r="A2730" s="4561" t="n"/>
      <c r="B2730" s="4561" t="n"/>
      <c r="C2730" s="4561" t="n"/>
      <c r="D2730" s="4561" t="n"/>
      <c r="E2730" s="4561" t="n"/>
      <c r="F2730" s="4561" t="n"/>
      <c r="G2730" s="4561" t="n"/>
      <c r="H2730" s="4561" t="n"/>
      <c r="I2730" s="4562">
        <f>XLOOKUP(B2730,'_Sys|Line_Map'!$A:$A,'_Sys|Line_Map'!$C:$C,"MISSING",0)</f>
        <v/>
      </c>
      <c r="J2730" s="4562">
        <f>XLOOKUP(B2730,'_Sys|Line_Map'!$A:$A,'_Sys|Line_Map'!$D:$D,1,0)</f>
        <v/>
      </c>
      <c r="K2730" s="4562">
        <f>IF(D2730="","",D2730*J2730)</f>
        <v/>
      </c>
      <c r="L2730" s="4562">
        <f>XLOOKUP(B2730,'_Sys|Line_Map'!$A:$A,'_Sys|Line_Map'!$B:$B,"MISSING",0)</f>
        <v/>
      </c>
    </row>
    <row r="2731">
      <c r="A2731" s="4561" t="n"/>
      <c r="B2731" s="4561" t="n"/>
      <c r="C2731" s="4561" t="n"/>
      <c r="D2731" s="4561" t="n"/>
      <c r="E2731" s="4561" t="n"/>
      <c r="F2731" s="4561" t="n"/>
      <c r="G2731" s="4561" t="n"/>
      <c r="H2731" s="4561" t="n"/>
      <c r="I2731" s="4562">
        <f>XLOOKUP(B2731,'_Sys|Line_Map'!$A:$A,'_Sys|Line_Map'!$C:$C,"MISSING",0)</f>
        <v/>
      </c>
      <c r="J2731" s="4562">
        <f>XLOOKUP(B2731,'_Sys|Line_Map'!$A:$A,'_Sys|Line_Map'!$D:$D,1,0)</f>
        <v/>
      </c>
      <c r="K2731" s="4562">
        <f>IF(D2731="","",D2731*J2731)</f>
        <v/>
      </c>
      <c r="L2731" s="4562">
        <f>XLOOKUP(B2731,'_Sys|Line_Map'!$A:$A,'_Sys|Line_Map'!$B:$B,"MISSING",0)</f>
        <v/>
      </c>
    </row>
    <row r="2732">
      <c r="A2732" s="4561" t="n"/>
      <c r="B2732" s="4561" t="n"/>
      <c r="C2732" s="4561" t="n"/>
      <c r="D2732" s="4561" t="n"/>
      <c r="E2732" s="4561" t="n"/>
      <c r="F2732" s="4561" t="n"/>
      <c r="G2732" s="4561" t="n"/>
      <c r="H2732" s="4561" t="n"/>
      <c r="I2732" s="4562">
        <f>XLOOKUP(B2732,'_Sys|Line_Map'!$A:$A,'_Sys|Line_Map'!$C:$C,"MISSING",0)</f>
        <v/>
      </c>
      <c r="J2732" s="4562">
        <f>XLOOKUP(B2732,'_Sys|Line_Map'!$A:$A,'_Sys|Line_Map'!$D:$D,1,0)</f>
        <v/>
      </c>
      <c r="K2732" s="4562">
        <f>IF(D2732="","",D2732*J2732)</f>
        <v/>
      </c>
      <c r="L2732" s="4562">
        <f>XLOOKUP(B2732,'_Sys|Line_Map'!$A:$A,'_Sys|Line_Map'!$B:$B,"MISSING",0)</f>
        <v/>
      </c>
    </row>
    <row r="2733">
      <c r="A2733" s="4561" t="n"/>
      <c r="B2733" s="4561" t="n"/>
      <c r="C2733" s="4561" t="n"/>
      <c r="D2733" s="4561" t="n"/>
      <c r="E2733" s="4561" t="n"/>
      <c r="F2733" s="4561" t="n"/>
      <c r="G2733" s="4561" t="n"/>
      <c r="H2733" s="4561" t="n"/>
      <c r="I2733" s="4562">
        <f>XLOOKUP(B2733,'_Sys|Line_Map'!$A:$A,'_Sys|Line_Map'!$C:$C,"MISSING",0)</f>
        <v/>
      </c>
      <c r="J2733" s="4562">
        <f>XLOOKUP(B2733,'_Sys|Line_Map'!$A:$A,'_Sys|Line_Map'!$D:$D,1,0)</f>
        <v/>
      </c>
      <c r="K2733" s="4562">
        <f>IF(D2733="","",D2733*J2733)</f>
        <v/>
      </c>
      <c r="L2733" s="4562">
        <f>XLOOKUP(B2733,'_Sys|Line_Map'!$A:$A,'_Sys|Line_Map'!$B:$B,"MISSING",0)</f>
        <v/>
      </c>
    </row>
    <row r="2734">
      <c r="A2734" s="4561" t="n"/>
      <c r="B2734" s="4561" t="n"/>
      <c r="C2734" s="4561" t="n"/>
      <c r="D2734" s="4561" t="n"/>
      <c r="E2734" s="4561" t="n"/>
      <c r="F2734" s="4561" t="n"/>
      <c r="G2734" s="4561" t="n"/>
      <c r="H2734" s="4561" t="n"/>
      <c r="I2734" s="4562">
        <f>XLOOKUP(B2734,'_Sys|Line_Map'!$A:$A,'_Sys|Line_Map'!$C:$C,"MISSING",0)</f>
        <v/>
      </c>
      <c r="J2734" s="4562">
        <f>XLOOKUP(B2734,'_Sys|Line_Map'!$A:$A,'_Sys|Line_Map'!$D:$D,1,0)</f>
        <v/>
      </c>
      <c r="K2734" s="4562">
        <f>IF(D2734="","",D2734*J2734)</f>
        <v/>
      </c>
      <c r="L2734" s="4562">
        <f>XLOOKUP(B2734,'_Sys|Line_Map'!$A:$A,'_Sys|Line_Map'!$B:$B,"MISSING",0)</f>
        <v/>
      </c>
    </row>
    <row r="2735">
      <c r="A2735" s="4561" t="n"/>
      <c r="B2735" s="4561" t="n"/>
      <c r="C2735" s="4561" t="n"/>
      <c r="D2735" s="4561" t="n"/>
      <c r="E2735" s="4561" t="n"/>
      <c r="F2735" s="4561" t="n"/>
      <c r="G2735" s="4561" t="n"/>
      <c r="H2735" s="4561" t="n"/>
      <c r="I2735" s="4562">
        <f>XLOOKUP(B2735,'_Sys|Line_Map'!$A:$A,'_Sys|Line_Map'!$C:$C,"MISSING",0)</f>
        <v/>
      </c>
      <c r="J2735" s="4562">
        <f>XLOOKUP(B2735,'_Sys|Line_Map'!$A:$A,'_Sys|Line_Map'!$D:$D,1,0)</f>
        <v/>
      </c>
      <c r="K2735" s="4562">
        <f>IF(D2735="","",D2735*J2735)</f>
        <v/>
      </c>
      <c r="L2735" s="4562">
        <f>XLOOKUP(B2735,'_Sys|Line_Map'!$A:$A,'_Sys|Line_Map'!$B:$B,"MISSING",0)</f>
        <v/>
      </c>
    </row>
    <row r="2736">
      <c r="A2736" s="4561" t="n"/>
      <c r="B2736" s="4561" t="n"/>
      <c r="C2736" s="4561" t="n"/>
      <c r="D2736" s="4561" t="n"/>
      <c r="E2736" s="4561" t="n"/>
      <c r="F2736" s="4561" t="n"/>
      <c r="G2736" s="4561" t="n"/>
      <c r="H2736" s="4561" t="n"/>
      <c r="I2736" s="4562">
        <f>XLOOKUP(B2736,'_Sys|Line_Map'!$A:$A,'_Sys|Line_Map'!$C:$C,"MISSING",0)</f>
        <v/>
      </c>
      <c r="J2736" s="4562">
        <f>XLOOKUP(B2736,'_Sys|Line_Map'!$A:$A,'_Sys|Line_Map'!$D:$D,1,0)</f>
        <v/>
      </c>
      <c r="K2736" s="4562">
        <f>IF(D2736="","",D2736*J2736)</f>
        <v/>
      </c>
      <c r="L2736" s="4562">
        <f>XLOOKUP(B2736,'_Sys|Line_Map'!$A:$A,'_Sys|Line_Map'!$B:$B,"MISSING",0)</f>
        <v/>
      </c>
    </row>
    <row r="2737">
      <c r="A2737" s="4561" t="n"/>
      <c r="B2737" s="4561" t="n"/>
      <c r="C2737" s="4561" t="n"/>
      <c r="D2737" s="4561" t="n"/>
      <c r="E2737" s="4561" t="n"/>
      <c r="F2737" s="4561" t="n"/>
      <c r="G2737" s="4561" t="n"/>
      <c r="H2737" s="4561" t="n"/>
      <c r="I2737" s="4562">
        <f>XLOOKUP(B2737,'_Sys|Line_Map'!$A:$A,'_Sys|Line_Map'!$C:$C,"MISSING",0)</f>
        <v/>
      </c>
      <c r="J2737" s="4562">
        <f>XLOOKUP(B2737,'_Sys|Line_Map'!$A:$A,'_Sys|Line_Map'!$D:$D,1,0)</f>
        <v/>
      </c>
      <c r="K2737" s="4562">
        <f>IF(D2737="","",D2737*J2737)</f>
        <v/>
      </c>
      <c r="L2737" s="4562">
        <f>XLOOKUP(B2737,'_Sys|Line_Map'!$A:$A,'_Sys|Line_Map'!$B:$B,"MISSING",0)</f>
        <v/>
      </c>
    </row>
    <row r="2738">
      <c r="A2738" s="4561" t="n"/>
      <c r="B2738" s="4561" t="n"/>
      <c r="C2738" s="4561" t="n"/>
      <c r="D2738" s="4561" t="n"/>
      <c r="E2738" s="4561" t="n"/>
      <c r="F2738" s="4561" t="n"/>
      <c r="G2738" s="4561" t="n"/>
      <c r="H2738" s="4561" t="n"/>
      <c r="I2738" s="4562">
        <f>XLOOKUP(B2738,'_Sys|Line_Map'!$A:$A,'_Sys|Line_Map'!$C:$C,"MISSING",0)</f>
        <v/>
      </c>
      <c r="J2738" s="4562">
        <f>XLOOKUP(B2738,'_Sys|Line_Map'!$A:$A,'_Sys|Line_Map'!$D:$D,1,0)</f>
        <v/>
      </c>
      <c r="K2738" s="4562">
        <f>IF(D2738="","",D2738*J2738)</f>
        <v/>
      </c>
      <c r="L2738" s="4562">
        <f>XLOOKUP(B2738,'_Sys|Line_Map'!$A:$A,'_Sys|Line_Map'!$B:$B,"MISSING",0)</f>
        <v/>
      </c>
    </row>
    <row r="2739">
      <c r="A2739" s="4561" t="n"/>
      <c r="B2739" s="4561" t="n"/>
      <c r="C2739" s="4561" t="n"/>
      <c r="D2739" s="4561" t="n"/>
      <c r="E2739" s="4561" t="n"/>
      <c r="F2739" s="4561" t="n"/>
      <c r="G2739" s="4561" t="n"/>
      <c r="H2739" s="4561" t="n"/>
      <c r="I2739" s="4562">
        <f>XLOOKUP(B2739,'_Sys|Line_Map'!$A:$A,'_Sys|Line_Map'!$C:$C,"MISSING",0)</f>
        <v/>
      </c>
      <c r="J2739" s="4562">
        <f>XLOOKUP(B2739,'_Sys|Line_Map'!$A:$A,'_Sys|Line_Map'!$D:$D,1,0)</f>
        <v/>
      </c>
      <c r="K2739" s="4562">
        <f>IF(D2739="","",D2739*J2739)</f>
        <v/>
      </c>
      <c r="L2739" s="4562">
        <f>XLOOKUP(B2739,'_Sys|Line_Map'!$A:$A,'_Sys|Line_Map'!$B:$B,"MISSING",0)</f>
        <v/>
      </c>
    </row>
    <row r="2740">
      <c r="A2740" s="4561" t="n"/>
      <c r="B2740" s="4561" t="n"/>
      <c r="C2740" s="4561" t="n"/>
      <c r="D2740" s="4561" t="n"/>
      <c r="E2740" s="4561" t="n"/>
      <c r="F2740" s="4561" t="n"/>
      <c r="G2740" s="4561" t="n"/>
      <c r="H2740" s="4561" t="n"/>
      <c r="I2740" s="4562">
        <f>XLOOKUP(B2740,'_Sys|Line_Map'!$A:$A,'_Sys|Line_Map'!$C:$C,"MISSING",0)</f>
        <v/>
      </c>
      <c r="J2740" s="4562">
        <f>XLOOKUP(B2740,'_Sys|Line_Map'!$A:$A,'_Sys|Line_Map'!$D:$D,1,0)</f>
        <v/>
      </c>
      <c r="K2740" s="4562">
        <f>IF(D2740="","",D2740*J2740)</f>
        <v/>
      </c>
      <c r="L2740" s="4562">
        <f>XLOOKUP(B2740,'_Sys|Line_Map'!$A:$A,'_Sys|Line_Map'!$B:$B,"MISSING",0)</f>
        <v/>
      </c>
    </row>
    <row r="2741">
      <c r="A2741" s="4561" t="n"/>
      <c r="B2741" s="4561" t="n"/>
      <c r="C2741" s="4561" t="n"/>
      <c r="D2741" s="4561" t="n"/>
      <c r="E2741" s="4561" t="n"/>
      <c r="F2741" s="4561" t="n"/>
      <c r="G2741" s="4561" t="n"/>
      <c r="H2741" s="4561" t="n"/>
      <c r="I2741" s="4562">
        <f>XLOOKUP(B2741,'_Sys|Line_Map'!$A:$A,'_Sys|Line_Map'!$C:$C,"MISSING",0)</f>
        <v/>
      </c>
      <c r="J2741" s="4562">
        <f>XLOOKUP(B2741,'_Sys|Line_Map'!$A:$A,'_Sys|Line_Map'!$D:$D,1,0)</f>
        <v/>
      </c>
      <c r="K2741" s="4562">
        <f>IF(D2741="","",D2741*J2741)</f>
        <v/>
      </c>
      <c r="L2741" s="4562">
        <f>XLOOKUP(B2741,'_Sys|Line_Map'!$A:$A,'_Sys|Line_Map'!$B:$B,"MISSING",0)</f>
        <v/>
      </c>
    </row>
    <row r="2742">
      <c r="A2742" s="4561" t="n"/>
      <c r="B2742" s="4561" t="n"/>
      <c r="C2742" s="4561" t="n"/>
      <c r="D2742" s="4561" t="n"/>
      <c r="E2742" s="4561" t="n"/>
      <c r="F2742" s="4561" t="n"/>
      <c r="G2742" s="4561" t="n"/>
      <c r="H2742" s="4561" t="n"/>
      <c r="I2742" s="4562">
        <f>XLOOKUP(B2742,'_Sys|Line_Map'!$A:$A,'_Sys|Line_Map'!$C:$C,"MISSING",0)</f>
        <v/>
      </c>
      <c r="J2742" s="4562">
        <f>XLOOKUP(B2742,'_Sys|Line_Map'!$A:$A,'_Sys|Line_Map'!$D:$D,1,0)</f>
        <v/>
      </c>
      <c r="K2742" s="4562">
        <f>IF(D2742="","",D2742*J2742)</f>
        <v/>
      </c>
      <c r="L2742" s="4562">
        <f>XLOOKUP(B2742,'_Sys|Line_Map'!$A:$A,'_Sys|Line_Map'!$B:$B,"MISSING",0)</f>
        <v/>
      </c>
    </row>
    <row r="2743">
      <c r="A2743" s="4561" t="n"/>
      <c r="B2743" s="4561" t="n"/>
      <c r="C2743" s="4561" t="n"/>
      <c r="D2743" s="4561" t="n"/>
      <c r="E2743" s="4561" t="n"/>
      <c r="F2743" s="4561" t="n"/>
      <c r="G2743" s="4561" t="n"/>
      <c r="H2743" s="4561" t="n"/>
      <c r="I2743" s="4562">
        <f>XLOOKUP(B2743,'_Sys|Line_Map'!$A:$A,'_Sys|Line_Map'!$C:$C,"MISSING",0)</f>
        <v/>
      </c>
      <c r="J2743" s="4562">
        <f>XLOOKUP(B2743,'_Sys|Line_Map'!$A:$A,'_Sys|Line_Map'!$D:$D,1,0)</f>
        <v/>
      </c>
      <c r="K2743" s="4562">
        <f>IF(D2743="","",D2743*J2743)</f>
        <v/>
      </c>
      <c r="L2743" s="4562">
        <f>XLOOKUP(B2743,'_Sys|Line_Map'!$A:$A,'_Sys|Line_Map'!$B:$B,"MISSING",0)</f>
        <v/>
      </c>
    </row>
    <row r="2744">
      <c r="A2744" s="4561" t="n"/>
      <c r="B2744" s="4561" t="n"/>
      <c r="C2744" s="4561" t="n"/>
      <c r="D2744" s="4561" t="n"/>
      <c r="E2744" s="4561" t="n"/>
      <c r="F2744" s="4561" t="n"/>
      <c r="G2744" s="4561" t="n"/>
      <c r="H2744" s="4561" t="n"/>
      <c r="I2744" s="4562">
        <f>XLOOKUP(B2744,'_Sys|Line_Map'!$A:$A,'_Sys|Line_Map'!$C:$C,"MISSING",0)</f>
        <v/>
      </c>
      <c r="J2744" s="4562">
        <f>XLOOKUP(B2744,'_Sys|Line_Map'!$A:$A,'_Sys|Line_Map'!$D:$D,1,0)</f>
        <v/>
      </c>
      <c r="K2744" s="4562">
        <f>IF(D2744="","",D2744*J2744)</f>
        <v/>
      </c>
      <c r="L2744" s="4562">
        <f>XLOOKUP(B2744,'_Sys|Line_Map'!$A:$A,'_Sys|Line_Map'!$B:$B,"MISSING",0)</f>
        <v/>
      </c>
    </row>
    <row r="2745">
      <c r="A2745" s="4561" t="n"/>
      <c r="B2745" s="4561" t="n"/>
      <c r="C2745" s="4561" t="n"/>
      <c r="D2745" s="4561" t="n"/>
      <c r="E2745" s="4561" t="n"/>
      <c r="F2745" s="4561" t="n"/>
      <c r="G2745" s="4561" t="n"/>
      <c r="H2745" s="4561" t="n"/>
      <c r="I2745" s="4562">
        <f>XLOOKUP(B2745,'_Sys|Line_Map'!$A:$A,'_Sys|Line_Map'!$C:$C,"MISSING",0)</f>
        <v/>
      </c>
      <c r="J2745" s="4562">
        <f>XLOOKUP(B2745,'_Sys|Line_Map'!$A:$A,'_Sys|Line_Map'!$D:$D,1,0)</f>
        <v/>
      </c>
      <c r="K2745" s="4562">
        <f>IF(D2745="","",D2745*J2745)</f>
        <v/>
      </c>
      <c r="L2745" s="4562">
        <f>XLOOKUP(B2745,'_Sys|Line_Map'!$A:$A,'_Sys|Line_Map'!$B:$B,"MISSING",0)</f>
        <v/>
      </c>
    </row>
    <row r="2746">
      <c r="A2746" s="4561" t="n"/>
      <c r="B2746" s="4561" t="n"/>
      <c r="C2746" s="4561" t="n"/>
      <c r="D2746" s="4561" t="n"/>
      <c r="E2746" s="4561" t="n"/>
      <c r="F2746" s="4561" t="n"/>
      <c r="G2746" s="4561" t="n"/>
      <c r="H2746" s="4561" t="n"/>
      <c r="I2746" s="4562">
        <f>XLOOKUP(B2746,'_Sys|Line_Map'!$A:$A,'_Sys|Line_Map'!$C:$C,"MISSING",0)</f>
        <v/>
      </c>
      <c r="J2746" s="4562">
        <f>XLOOKUP(B2746,'_Sys|Line_Map'!$A:$A,'_Sys|Line_Map'!$D:$D,1,0)</f>
        <v/>
      </c>
      <c r="K2746" s="4562">
        <f>IF(D2746="","",D2746*J2746)</f>
        <v/>
      </c>
      <c r="L2746" s="4562">
        <f>XLOOKUP(B2746,'_Sys|Line_Map'!$A:$A,'_Sys|Line_Map'!$B:$B,"MISSING",0)</f>
        <v/>
      </c>
    </row>
    <row r="2747">
      <c r="A2747" s="4561" t="n"/>
      <c r="B2747" s="4561" t="n"/>
      <c r="C2747" s="4561" t="n"/>
      <c r="D2747" s="4561" t="n"/>
      <c r="E2747" s="4561" t="n"/>
      <c r="F2747" s="4561" t="n"/>
      <c r="G2747" s="4561" t="n"/>
      <c r="H2747" s="4561" t="n"/>
      <c r="I2747" s="4562">
        <f>XLOOKUP(B2747,'_Sys|Line_Map'!$A:$A,'_Sys|Line_Map'!$C:$C,"MISSING",0)</f>
        <v/>
      </c>
      <c r="J2747" s="4562">
        <f>XLOOKUP(B2747,'_Sys|Line_Map'!$A:$A,'_Sys|Line_Map'!$D:$D,1,0)</f>
        <v/>
      </c>
      <c r="K2747" s="4562">
        <f>IF(D2747="","",D2747*J2747)</f>
        <v/>
      </c>
      <c r="L2747" s="4562">
        <f>XLOOKUP(B2747,'_Sys|Line_Map'!$A:$A,'_Sys|Line_Map'!$B:$B,"MISSING",0)</f>
        <v/>
      </c>
    </row>
    <row r="2748">
      <c r="A2748" s="4561" t="n"/>
      <c r="B2748" s="4561" t="n"/>
      <c r="C2748" s="4561" t="n"/>
      <c r="D2748" s="4561" t="n"/>
      <c r="E2748" s="4561" t="n"/>
      <c r="F2748" s="4561" t="n"/>
      <c r="G2748" s="4561" t="n"/>
      <c r="H2748" s="4561" t="n"/>
      <c r="I2748" s="4562">
        <f>XLOOKUP(B2748,'_Sys|Line_Map'!$A:$A,'_Sys|Line_Map'!$C:$C,"MISSING",0)</f>
        <v/>
      </c>
      <c r="J2748" s="4562">
        <f>XLOOKUP(B2748,'_Sys|Line_Map'!$A:$A,'_Sys|Line_Map'!$D:$D,1,0)</f>
        <v/>
      </c>
      <c r="K2748" s="4562">
        <f>IF(D2748="","",D2748*J2748)</f>
        <v/>
      </c>
      <c r="L2748" s="4562">
        <f>XLOOKUP(B2748,'_Sys|Line_Map'!$A:$A,'_Sys|Line_Map'!$B:$B,"MISSING",0)</f>
        <v/>
      </c>
    </row>
    <row r="2749">
      <c r="A2749" s="4561" t="n"/>
      <c r="B2749" s="4561" t="n"/>
      <c r="C2749" s="4561" t="n"/>
      <c r="D2749" s="4561" t="n"/>
      <c r="E2749" s="4561" t="n"/>
      <c r="F2749" s="4561" t="n"/>
      <c r="G2749" s="4561" t="n"/>
      <c r="H2749" s="4561" t="n"/>
      <c r="I2749" s="4562">
        <f>XLOOKUP(B2749,'_Sys|Line_Map'!$A:$A,'_Sys|Line_Map'!$C:$C,"MISSING",0)</f>
        <v/>
      </c>
      <c r="J2749" s="4562">
        <f>XLOOKUP(B2749,'_Sys|Line_Map'!$A:$A,'_Sys|Line_Map'!$D:$D,1,0)</f>
        <v/>
      </c>
      <c r="K2749" s="4562">
        <f>IF(D2749="","",D2749*J2749)</f>
        <v/>
      </c>
      <c r="L2749" s="4562">
        <f>XLOOKUP(B2749,'_Sys|Line_Map'!$A:$A,'_Sys|Line_Map'!$B:$B,"MISSING",0)</f>
        <v/>
      </c>
    </row>
    <row r="2750">
      <c r="A2750" s="4561" t="n"/>
      <c r="B2750" s="4561" t="n"/>
      <c r="C2750" s="4561" t="n"/>
      <c r="D2750" s="4561" t="n"/>
      <c r="E2750" s="4561" t="n"/>
      <c r="F2750" s="4561" t="n"/>
      <c r="G2750" s="4561" t="n"/>
      <c r="H2750" s="4561" t="n"/>
      <c r="I2750" s="4562">
        <f>XLOOKUP(B2750,'_Sys|Line_Map'!$A:$A,'_Sys|Line_Map'!$C:$C,"MISSING",0)</f>
        <v/>
      </c>
      <c r="J2750" s="4562">
        <f>XLOOKUP(B2750,'_Sys|Line_Map'!$A:$A,'_Sys|Line_Map'!$D:$D,1,0)</f>
        <v/>
      </c>
      <c r="K2750" s="4562">
        <f>IF(D2750="","",D2750*J2750)</f>
        <v/>
      </c>
      <c r="L2750" s="4562">
        <f>XLOOKUP(B2750,'_Sys|Line_Map'!$A:$A,'_Sys|Line_Map'!$B:$B,"MISSING",0)</f>
        <v/>
      </c>
    </row>
    <row r="2751">
      <c r="A2751" s="4561" t="n"/>
      <c r="B2751" s="4561" t="n"/>
      <c r="C2751" s="4561" t="n"/>
      <c r="D2751" s="4561" t="n"/>
      <c r="E2751" s="4561" t="n"/>
      <c r="F2751" s="4561" t="n"/>
      <c r="G2751" s="4561" t="n"/>
      <c r="H2751" s="4561" t="n"/>
      <c r="I2751" s="4562">
        <f>XLOOKUP(B2751,'_Sys|Line_Map'!$A:$A,'_Sys|Line_Map'!$C:$C,"MISSING",0)</f>
        <v/>
      </c>
      <c r="J2751" s="4562">
        <f>XLOOKUP(B2751,'_Sys|Line_Map'!$A:$A,'_Sys|Line_Map'!$D:$D,1,0)</f>
        <v/>
      </c>
      <c r="K2751" s="4562">
        <f>IF(D2751="","",D2751*J2751)</f>
        <v/>
      </c>
      <c r="L2751" s="4562">
        <f>XLOOKUP(B2751,'_Sys|Line_Map'!$A:$A,'_Sys|Line_Map'!$B:$B,"MISSING",0)</f>
        <v/>
      </c>
    </row>
    <row r="2752">
      <c r="A2752" s="4561" t="n"/>
      <c r="B2752" s="4561" t="n"/>
      <c r="C2752" s="4561" t="n"/>
      <c r="D2752" s="4561" t="n"/>
      <c r="E2752" s="4561" t="n"/>
      <c r="F2752" s="4561" t="n"/>
      <c r="G2752" s="4561" t="n"/>
      <c r="H2752" s="4561" t="n"/>
      <c r="I2752" s="4562">
        <f>XLOOKUP(B2752,'_Sys|Line_Map'!$A:$A,'_Sys|Line_Map'!$C:$C,"MISSING",0)</f>
        <v/>
      </c>
      <c r="J2752" s="4562">
        <f>XLOOKUP(B2752,'_Sys|Line_Map'!$A:$A,'_Sys|Line_Map'!$D:$D,1,0)</f>
        <v/>
      </c>
      <c r="K2752" s="4562">
        <f>IF(D2752="","",D2752*J2752)</f>
        <v/>
      </c>
      <c r="L2752" s="4562">
        <f>XLOOKUP(B2752,'_Sys|Line_Map'!$A:$A,'_Sys|Line_Map'!$B:$B,"MISSING",0)</f>
        <v/>
      </c>
    </row>
    <row r="2753">
      <c r="A2753" s="4561" t="n"/>
      <c r="B2753" s="4561" t="n"/>
      <c r="C2753" s="4561" t="n"/>
      <c r="D2753" s="4561" t="n"/>
      <c r="E2753" s="4561" t="n"/>
      <c r="F2753" s="4561" t="n"/>
      <c r="G2753" s="4561" t="n"/>
      <c r="H2753" s="4561" t="n"/>
      <c r="I2753" s="4562">
        <f>XLOOKUP(B2753,'_Sys|Line_Map'!$A:$A,'_Sys|Line_Map'!$C:$C,"MISSING",0)</f>
        <v/>
      </c>
      <c r="J2753" s="4562">
        <f>XLOOKUP(B2753,'_Sys|Line_Map'!$A:$A,'_Sys|Line_Map'!$D:$D,1,0)</f>
        <v/>
      </c>
      <c r="K2753" s="4562">
        <f>IF(D2753="","",D2753*J2753)</f>
        <v/>
      </c>
      <c r="L2753" s="4562">
        <f>XLOOKUP(B2753,'_Sys|Line_Map'!$A:$A,'_Sys|Line_Map'!$B:$B,"MISSING",0)</f>
        <v/>
      </c>
    </row>
    <row r="2754">
      <c r="A2754" s="4561" t="n"/>
      <c r="B2754" s="4561" t="n"/>
      <c r="C2754" s="4561" t="n"/>
      <c r="D2754" s="4561" t="n"/>
      <c r="E2754" s="4561" t="n"/>
      <c r="F2754" s="4561" t="n"/>
      <c r="G2754" s="4561" t="n"/>
      <c r="H2754" s="4561" t="n"/>
      <c r="I2754" s="4562">
        <f>XLOOKUP(B2754,'_Sys|Line_Map'!$A:$A,'_Sys|Line_Map'!$C:$C,"MISSING",0)</f>
        <v/>
      </c>
      <c r="J2754" s="4562">
        <f>XLOOKUP(B2754,'_Sys|Line_Map'!$A:$A,'_Sys|Line_Map'!$D:$D,1,0)</f>
        <v/>
      </c>
      <c r="K2754" s="4562">
        <f>IF(D2754="","",D2754*J2754)</f>
        <v/>
      </c>
      <c r="L2754" s="4562">
        <f>XLOOKUP(B2754,'_Sys|Line_Map'!$A:$A,'_Sys|Line_Map'!$B:$B,"MISSING",0)</f>
        <v/>
      </c>
    </row>
    <row r="2755">
      <c r="A2755" s="4561" t="n"/>
      <c r="B2755" s="4561" t="n"/>
      <c r="C2755" s="4561" t="n"/>
      <c r="D2755" s="4561" t="n"/>
      <c r="E2755" s="4561" t="n"/>
      <c r="F2755" s="4561" t="n"/>
      <c r="G2755" s="4561" t="n"/>
      <c r="H2755" s="4561" t="n"/>
      <c r="I2755" s="4562">
        <f>XLOOKUP(B2755,'_Sys|Line_Map'!$A:$A,'_Sys|Line_Map'!$C:$C,"MISSING",0)</f>
        <v/>
      </c>
      <c r="J2755" s="4562">
        <f>XLOOKUP(B2755,'_Sys|Line_Map'!$A:$A,'_Sys|Line_Map'!$D:$D,1,0)</f>
        <v/>
      </c>
      <c r="K2755" s="4562">
        <f>IF(D2755="","",D2755*J2755)</f>
        <v/>
      </c>
      <c r="L2755" s="4562">
        <f>XLOOKUP(B2755,'_Sys|Line_Map'!$A:$A,'_Sys|Line_Map'!$B:$B,"MISSING",0)</f>
        <v/>
      </c>
    </row>
    <row r="2756">
      <c r="A2756" s="4561" t="n"/>
      <c r="B2756" s="4561" t="n"/>
      <c r="C2756" s="4561" t="n"/>
      <c r="D2756" s="4561" t="n"/>
      <c r="E2756" s="4561" t="n"/>
      <c r="F2756" s="4561" t="n"/>
      <c r="G2756" s="4561" t="n"/>
      <c r="H2756" s="4561" t="n"/>
      <c r="I2756" s="4562">
        <f>XLOOKUP(B2756,'_Sys|Line_Map'!$A:$A,'_Sys|Line_Map'!$C:$C,"MISSING",0)</f>
        <v/>
      </c>
      <c r="J2756" s="4562">
        <f>XLOOKUP(B2756,'_Sys|Line_Map'!$A:$A,'_Sys|Line_Map'!$D:$D,1,0)</f>
        <v/>
      </c>
      <c r="K2756" s="4562">
        <f>IF(D2756="","",D2756*J2756)</f>
        <v/>
      </c>
      <c r="L2756" s="4562">
        <f>XLOOKUP(B2756,'_Sys|Line_Map'!$A:$A,'_Sys|Line_Map'!$B:$B,"MISSING",0)</f>
        <v/>
      </c>
    </row>
    <row r="2757">
      <c r="A2757" s="4561" t="n"/>
      <c r="B2757" s="4561" t="n"/>
      <c r="C2757" s="4561" t="n"/>
      <c r="D2757" s="4561" t="n"/>
      <c r="E2757" s="4561" t="n"/>
      <c r="F2757" s="4561" t="n"/>
      <c r="G2757" s="4561" t="n"/>
      <c r="H2757" s="4561" t="n"/>
      <c r="I2757" s="4562">
        <f>XLOOKUP(B2757,'_Sys|Line_Map'!$A:$A,'_Sys|Line_Map'!$C:$C,"MISSING",0)</f>
        <v/>
      </c>
      <c r="J2757" s="4562">
        <f>XLOOKUP(B2757,'_Sys|Line_Map'!$A:$A,'_Sys|Line_Map'!$D:$D,1,0)</f>
        <v/>
      </c>
      <c r="K2757" s="4562">
        <f>IF(D2757="","",D2757*J2757)</f>
        <v/>
      </c>
      <c r="L2757" s="4562">
        <f>XLOOKUP(B2757,'_Sys|Line_Map'!$A:$A,'_Sys|Line_Map'!$B:$B,"MISSING",0)</f>
        <v/>
      </c>
    </row>
    <row r="2758">
      <c r="A2758" s="4561" t="n"/>
      <c r="B2758" s="4561" t="n"/>
      <c r="C2758" s="4561" t="n"/>
      <c r="D2758" s="4561" t="n"/>
      <c r="E2758" s="4561" t="n"/>
      <c r="F2758" s="4561" t="n"/>
      <c r="G2758" s="4561" t="n"/>
      <c r="H2758" s="4561" t="n"/>
      <c r="I2758" s="4562">
        <f>XLOOKUP(B2758,'_Sys|Line_Map'!$A:$A,'_Sys|Line_Map'!$C:$C,"MISSING",0)</f>
        <v/>
      </c>
      <c r="J2758" s="4562">
        <f>XLOOKUP(B2758,'_Sys|Line_Map'!$A:$A,'_Sys|Line_Map'!$D:$D,1,0)</f>
        <v/>
      </c>
      <c r="K2758" s="4562">
        <f>IF(D2758="","",D2758*J2758)</f>
        <v/>
      </c>
      <c r="L2758" s="4562">
        <f>XLOOKUP(B2758,'_Sys|Line_Map'!$A:$A,'_Sys|Line_Map'!$B:$B,"MISSING",0)</f>
        <v/>
      </c>
    </row>
    <row r="2759">
      <c r="A2759" s="4561" t="n"/>
      <c r="B2759" s="4561" t="n"/>
      <c r="C2759" s="4561" t="n"/>
      <c r="D2759" s="4561" t="n"/>
      <c r="E2759" s="4561" t="n"/>
      <c r="F2759" s="4561" t="n"/>
      <c r="G2759" s="4561" t="n"/>
      <c r="H2759" s="4561" t="n"/>
      <c r="I2759" s="4562">
        <f>XLOOKUP(B2759,'_Sys|Line_Map'!$A:$A,'_Sys|Line_Map'!$C:$C,"MISSING",0)</f>
        <v/>
      </c>
      <c r="J2759" s="4562">
        <f>XLOOKUP(B2759,'_Sys|Line_Map'!$A:$A,'_Sys|Line_Map'!$D:$D,1,0)</f>
        <v/>
      </c>
      <c r="K2759" s="4562">
        <f>IF(D2759="","",D2759*J2759)</f>
        <v/>
      </c>
      <c r="L2759" s="4562">
        <f>XLOOKUP(B2759,'_Sys|Line_Map'!$A:$A,'_Sys|Line_Map'!$B:$B,"MISSING",0)</f>
        <v/>
      </c>
    </row>
    <row r="2760">
      <c r="A2760" s="4561" t="n"/>
      <c r="B2760" s="4561" t="n"/>
      <c r="C2760" s="4561" t="n"/>
      <c r="D2760" s="4561" t="n"/>
      <c r="E2760" s="4561" t="n"/>
      <c r="F2760" s="4561" t="n"/>
      <c r="G2760" s="4561" t="n"/>
      <c r="H2760" s="4561" t="n"/>
      <c r="I2760" s="4562">
        <f>XLOOKUP(B2760,'_Sys|Line_Map'!$A:$A,'_Sys|Line_Map'!$C:$C,"MISSING",0)</f>
        <v/>
      </c>
      <c r="J2760" s="4562">
        <f>XLOOKUP(B2760,'_Sys|Line_Map'!$A:$A,'_Sys|Line_Map'!$D:$D,1,0)</f>
        <v/>
      </c>
      <c r="K2760" s="4562">
        <f>IF(D2760="","",D2760*J2760)</f>
        <v/>
      </c>
      <c r="L2760" s="4562">
        <f>XLOOKUP(B2760,'_Sys|Line_Map'!$A:$A,'_Sys|Line_Map'!$B:$B,"MISSING",0)</f>
        <v/>
      </c>
    </row>
    <row r="2761">
      <c r="A2761" s="4561" t="n"/>
      <c r="B2761" s="4561" t="n"/>
      <c r="C2761" s="4561" t="n"/>
      <c r="D2761" s="4561" t="n"/>
      <c r="E2761" s="4561" t="n"/>
      <c r="F2761" s="4561" t="n"/>
      <c r="G2761" s="4561" t="n"/>
      <c r="H2761" s="4561" t="n"/>
      <c r="I2761" s="4562">
        <f>XLOOKUP(B2761,'_Sys|Line_Map'!$A:$A,'_Sys|Line_Map'!$C:$C,"MISSING",0)</f>
        <v/>
      </c>
      <c r="J2761" s="4562">
        <f>XLOOKUP(B2761,'_Sys|Line_Map'!$A:$A,'_Sys|Line_Map'!$D:$D,1,0)</f>
        <v/>
      </c>
      <c r="K2761" s="4562">
        <f>IF(D2761="","",D2761*J2761)</f>
        <v/>
      </c>
      <c r="L2761" s="4562">
        <f>XLOOKUP(B2761,'_Sys|Line_Map'!$A:$A,'_Sys|Line_Map'!$B:$B,"MISSING",0)</f>
        <v/>
      </c>
    </row>
    <row r="2762">
      <c r="A2762" s="4561" t="n"/>
      <c r="B2762" s="4561" t="n"/>
      <c r="C2762" s="4561" t="n"/>
      <c r="D2762" s="4561" t="n"/>
      <c r="E2762" s="4561" t="n"/>
      <c r="F2762" s="4561" t="n"/>
      <c r="G2762" s="4561" t="n"/>
      <c r="H2762" s="4561" t="n"/>
      <c r="I2762" s="4562">
        <f>XLOOKUP(B2762,'_Sys|Line_Map'!$A:$A,'_Sys|Line_Map'!$C:$C,"MISSING",0)</f>
        <v/>
      </c>
      <c r="J2762" s="4562">
        <f>XLOOKUP(B2762,'_Sys|Line_Map'!$A:$A,'_Sys|Line_Map'!$D:$D,1,0)</f>
        <v/>
      </c>
      <c r="K2762" s="4562">
        <f>IF(D2762="","",D2762*J2762)</f>
        <v/>
      </c>
      <c r="L2762" s="4562">
        <f>XLOOKUP(B2762,'_Sys|Line_Map'!$A:$A,'_Sys|Line_Map'!$B:$B,"MISSING",0)</f>
        <v/>
      </c>
    </row>
    <row r="2763">
      <c r="A2763" s="4561" t="n"/>
      <c r="B2763" s="4561" t="n"/>
      <c r="C2763" s="4561" t="n"/>
      <c r="D2763" s="4561" t="n"/>
      <c r="E2763" s="4561" t="n"/>
      <c r="F2763" s="4561" t="n"/>
      <c r="G2763" s="4561" t="n"/>
      <c r="H2763" s="4561" t="n"/>
      <c r="I2763" s="4562">
        <f>XLOOKUP(B2763,'_Sys|Line_Map'!$A:$A,'_Sys|Line_Map'!$C:$C,"MISSING",0)</f>
        <v/>
      </c>
      <c r="J2763" s="4562">
        <f>XLOOKUP(B2763,'_Sys|Line_Map'!$A:$A,'_Sys|Line_Map'!$D:$D,1,0)</f>
        <v/>
      </c>
      <c r="K2763" s="4562">
        <f>IF(D2763="","",D2763*J2763)</f>
        <v/>
      </c>
      <c r="L2763" s="4562">
        <f>XLOOKUP(B2763,'_Sys|Line_Map'!$A:$A,'_Sys|Line_Map'!$B:$B,"MISSING",0)</f>
        <v/>
      </c>
    </row>
    <row r="2764">
      <c r="A2764" s="4561" t="n"/>
      <c r="B2764" s="4561" t="n"/>
      <c r="C2764" s="4561" t="n"/>
      <c r="D2764" s="4561" t="n"/>
      <c r="E2764" s="4561" t="n"/>
      <c r="F2764" s="4561" t="n"/>
      <c r="G2764" s="4561" t="n"/>
      <c r="H2764" s="4561" t="n"/>
      <c r="I2764" s="4562">
        <f>XLOOKUP(B2764,'_Sys|Line_Map'!$A:$A,'_Sys|Line_Map'!$C:$C,"MISSING",0)</f>
        <v/>
      </c>
      <c r="J2764" s="4562">
        <f>XLOOKUP(B2764,'_Sys|Line_Map'!$A:$A,'_Sys|Line_Map'!$D:$D,1,0)</f>
        <v/>
      </c>
      <c r="K2764" s="4562">
        <f>IF(D2764="","",D2764*J2764)</f>
        <v/>
      </c>
      <c r="L2764" s="4562">
        <f>XLOOKUP(B2764,'_Sys|Line_Map'!$A:$A,'_Sys|Line_Map'!$B:$B,"MISSING",0)</f>
        <v/>
      </c>
    </row>
    <row r="2765">
      <c r="A2765" s="4561" t="n"/>
      <c r="B2765" s="4561" t="n"/>
      <c r="C2765" s="4561" t="n"/>
      <c r="D2765" s="4561" t="n"/>
      <c r="E2765" s="4561" t="n"/>
      <c r="F2765" s="4561" t="n"/>
      <c r="G2765" s="4561" t="n"/>
      <c r="H2765" s="4561" t="n"/>
      <c r="I2765" s="4562">
        <f>XLOOKUP(B2765,'_Sys|Line_Map'!$A:$A,'_Sys|Line_Map'!$C:$C,"MISSING",0)</f>
        <v/>
      </c>
      <c r="J2765" s="4562">
        <f>XLOOKUP(B2765,'_Sys|Line_Map'!$A:$A,'_Sys|Line_Map'!$D:$D,1,0)</f>
        <v/>
      </c>
      <c r="K2765" s="4562">
        <f>IF(D2765="","",D2765*J2765)</f>
        <v/>
      </c>
      <c r="L2765" s="4562">
        <f>XLOOKUP(B2765,'_Sys|Line_Map'!$A:$A,'_Sys|Line_Map'!$B:$B,"MISSING",0)</f>
        <v/>
      </c>
    </row>
    <row r="2766">
      <c r="A2766" s="4561" t="n"/>
      <c r="B2766" s="4561" t="n"/>
      <c r="C2766" s="4561" t="n"/>
      <c r="D2766" s="4561" t="n"/>
      <c r="E2766" s="4561" t="n"/>
      <c r="F2766" s="4561" t="n"/>
      <c r="G2766" s="4561" t="n"/>
      <c r="H2766" s="4561" t="n"/>
      <c r="I2766" s="4562">
        <f>XLOOKUP(B2766,'_Sys|Line_Map'!$A:$A,'_Sys|Line_Map'!$C:$C,"MISSING",0)</f>
        <v/>
      </c>
      <c r="J2766" s="4562">
        <f>XLOOKUP(B2766,'_Sys|Line_Map'!$A:$A,'_Sys|Line_Map'!$D:$D,1,0)</f>
        <v/>
      </c>
      <c r="K2766" s="4562">
        <f>IF(D2766="","",D2766*J2766)</f>
        <v/>
      </c>
      <c r="L2766" s="4562">
        <f>XLOOKUP(B2766,'_Sys|Line_Map'!$A:$A,'_Sys|Line_Map'!$B:$B,"MISSING",0)</f>
        <v/>
      </c>
    </row>
    <row r="2767">
      <c r="A2767" s="4561" t="n"/>
      <c r="B2767" s="4561" t="n"/>
      <c r="C2767" s="4561" t="n"/>
      <c r="D2767" s="4561" t="n"/>
      <c r="E2767" s="4561" t="n"/>
      <c r="F2767" s="4561" t="n"/>
      <c r="G2767" s="4561" t="n"/>
      <c r="H2767" s="4561" t="n"/>
      <c r="I2767" s="4562">
        <f>XLOOKUP(B2767,'_Sys|Line_Map'!$A:$A,'_Sys|Line_Map'!$C:$C,"MISSING",0)</f>
        <v/>
      </c>
      <c r="J2767" s="4562">
        <f>XLOOKUP(B2767,'_Sys|Line_Map'!$A:$A,'_Sys|Line_Map'!$D:$D,1,0)</f>
        <v/>
      </c>
      <c r="K2767" s="4562">
        <f>IF(D2767="","",D2767*J2767)</f>
        <v/>
      </c>
      <c r="L2767" s="4562">
        <f>XLOOKUP(B2767,'_Sys|Line_Map'!$A:$A,'_Sys|Line_Map'!$B:$B,"MISSING",0)</f>
        <v/>
      </c>
    </row>
    <row r="2768">
      <c r="A2768" s="4561" t="n"/>
      <c r="B2768" s="4561" t="n"/>
      <c r="C2768" s="4561" t="n"/>
      <c r="D2768" s="4561" t="n"/>
      <c r="E2768" s="4561" t="n"/>
      <c r="F2768" s="4561" t="n"/>
      <c r="G2768" s="4561" t="n"/>
      <c r="H2768" s="4561" t="n"/>
      <c r="I2768" s="4562">
        <f>XLOOKUP(B2768,'_Sys|Line_Map'!$A:$A,'_Sys|Line_Map'!$C:$C,"MISSING",0)</f>
        <v/>
      </c>
      <c r="J2768" s="4562">
        <f>XLOOKUP(B2768,'_Sys|Line_Map'!$A:$A,'_Sys|Line_Map'!$D:$D,1,0)</f>
        <v/>
      </c>
      <c r="K2768" s="4562">
        <f>IF(D2768="","",D2768*J2768)</f>
        <v/>
      </c>
      <c r="L2768" s="4562">
        <f>XLOOKUP(B2768,'_Sys|Line_Map'!$A:$A,'_Sys|Line_Map'!$B:$B,"MISSING",0)</f>
        <v/>
      </c>
    </row>
    <row r="2769">
      <c r="A2769" s="4561" t="n"/>
      <c r="B2769" s="4561" t="n"/>
      <c r="C2769" s="4561" t="n"/>
      <c r="D2769" s="4561" t="n"/>
      <c r="E2769" s="4561" t="n"/>
      <c r="F2769" s="4561" t="n"/>
      <c r="G2769" s="4561" t="n"/>
      <c r="H2769" s="4561" t="n"/>
      <c r="I2769" s="4562">
        <f>XLOOKUP(B2769,'_Sys|Line_Map'!$A:$A,'_Sys|Line_Map'!$C:$C,"MISSING",0)</f>
        <v/>
      </c>
      <c r="J2769" s="4562">
        <f>XLOOKUP(B2769,'_Sys|Line_Map'!$A:$A,'_Sys|Line_Map'!$D:$D,1,0)</f>
        <v/>
      </c>
      <c r="K2769" s="4562">
        <f>IF(D2769="","",D2769*J2769)</f>
        <v/>
      </c>
      <c r="L2769" s="4562">
        <f>XLOOKUP(B2769,'_Sys|Line_Map'!$A:$A,'_Sys|Line_Map'!$B:$B,"MISSING",0)</f>
        <v/>
      </c>
    </row>
    <row r="2770">
      <c r="A2770" s="4561" t="n"/>
      <c r="B2770" s="4561" t="n"/>
      <c r="C2770" s="4561" t="n"/>
      <c r="D2770" s="4561" t="n"/>
      <c r="E2770" s="4561" t="n"/>
      <c r="F2770" s="4561" t="n"/>
      <c r="G2770" s="4561" t="n"/>
      <c r="H2770" s="4561" t="n"/>
      <c r="I2770" s="4562">
        <f>XLOOKUP(B2770,'_Sys|Line_Map'!$A:$A,'_Sys|Line_Map'!$C:$C,"MISSING",0)</f>
        <v/>
      </c>
      <c r="J2770" s="4562">
        <f>XLOOKUP(B2770,'_Sys|Line_Map'!$A:$A,'_Sys|Line_Map'!$D:$D,1,0)</f>
        <v/>
      </c>
      <c r="K2770" s="4562">
        <f>IF(D2770="","",D2770*J2770)</f>
        <v/>
      </c>
      <c r="L2770" s="4562">
        <f>XLOOKUP(B2770,'_Sys|Line_Map'!$A:$A,'_Sys|Line_Map'!$B:$B,"MISSING",0)</f>
        <v/>
      </c>
    </row>
    <row r="2771">
      <c r="A2771" s="4561" t="n"/>
      <c r="B2771" s="4561" t="n"/>
      <c r="C2771" s="4561" t="n"/>
      <c r="D2771" s="4561" t="n"/>
      <c r="E2771" s="4561" t="n"/>
      <c r="F2771" s="4561" t="n"/>
      <c r="G2771" s="4561" t="n"/>
      <c r="H2771" s="4561" t="n"/>
      <c r="I2771" s="4562">
        <f>XLOOKUP(B2771,'_Sys|Line_Map'!$A:$A,'_Sys|Line_Map'!$C:$C,"MISSING",0)</f>
        <v/>
      </c>
      <c r="J2771" s="4562">
        <f>XLOOKUP(B2771,'_Sys|Line_Map'!$A:$A,'_Sys|Line_Map'!$D:$D,1,0)</f>
        <v/>
      </c>
      <c r="K2771" s="4562">
        <f>IF(D2771="","",D2771*J2771)</f>
        <v/>
      </c>
      <c r="L2771" s="4562">
        <f>XLOOKUP(B2771,'_Sys|Line_Map'!$A:$A,'_Sys|Line_Map'!$B:$B,"MISSING",0)</f>
        <v/>
      </c>
    </row>
    <row r="2772">
      <c r="A2772" s="4561" t="n"/>
      <c r="B2772" s="4561" t="n"/>
      <c r="C2772" s="4561" t="n"/>
      <c r="D2772" s="4561" t="n"/>
      <c r="E2772" s="4561" t="n"/>
      <c r="F2772" s="4561" t="n"/>
      <c r="G2772" s="4561" t="n"/>
      <c r="H2772" s="4561" t="n"/>
      <c r="I2772" s="4562">
        <f>XLOOKUP(B2772,'_Sys|Line_Map'!$A:$A,'_Sys|Line_Map'!$C:$C,"MISSING",0)</f>
        <v/>
      </c>
      <c r="J2772" s="4562">
        <f>XLOOKUP(B2772,'_Sys|Line_Map'!$A:$A,'_Sys|Line_Map'!$D:$D,1,0)</f>
        <v/>
      </c>
      <c r="K2772" s="4562">
        <f>IF(D2772="","",D2772*J2772)</f>
        <v/>
      </c>
      <c r="L2772" s="4562">
        <f>XLOOKUP(B2772,'_Sys|Line_Map'!$A:$A,'_Sys|Line_Map'!$B:$B,"MISSING",0)</f>
        <v/>
      </c>
    </row>
    <row r="2773">
      <c r="A2773" s="4561" t="n"/>
      <c r="B2773" s="4561" t="n"/>
      <c r="C2773" s="4561" t="n"/>
      <c r="D2773" s="4561" t="n"/>
      <c r="E2773" s="4561" t="n"/>
      <c r="F2773" s="4561" t="n"/>
      <c r="G2773" s="4561" t="n"/>
      <c r="H2773" s="4561" t="n"/>
      <c r="I2773" s="4562">
        <f>XLOOKUP(B2773,'_Sys|Line_Map'!$A:$A,'_Sys|Line_Map'!$C:$C,"MISSING",0)</f>
        <v/>
      </c>
      <c r="J2773" s="4562">
        <f>XLOOKUP(B2773,'_Sys|Line_Map'!$A:$A,'_Sys|Line_Map'!$D:$D,1,0)</f>
        <v/>
      </c>
      <c r="K2773" s="4562">
        <f>IF(D2773="","",D2773*J2773)</f>
        <v/>
      </c>
      <c r="L2773" s="4562">
        <f>XLOOKUP(B2773,'_Sys|Line_Map'!$A:$A,'_Sys|Line_Map'!$B:$B,"MISSING",0)</f>
        <v/>
      </c>
    </row>
    <row r="2774">
      <c r="A2774" s="4561" t="n"/>
      <c r="B2774" s="4561" t="n"/>
      <c r="C2774" s="4561" t="n"/>
      <c r="D2774" s="4561" t="n"/>
      <c r="E2774" s="4561" t="n"/>
      <c r="F2774" s="4561" t="n"/>
      <c r="G2774" s="4561" t="n"/>
      <c r="H2774" s="4561" t="n"/>
      <c r="I2774" s="4562">
        <f>XLOOKUP(B2774,'_Sys|Line_Map'!$A:$A,'_Sys|Line_Map'!$C:$C,"MISSING",0)</f>
        <v/>
      </c>
      <c r="J2774" s="4562">
        <f>XLOOKUP(B2774,'_Sys|Line_Map'!$A:$A,'_Sys|Line_Map'!$D:$D,1,0)</f>
        <v/>
      </c>
      <c r="K2774" s="4562">
        <f>IF(D2774="","",D2774*J2774)</f>
        <v/>
      </c>
      <c r="L2774" s="4562">
        <f>XLOOKUP(B2774,'_Sys|Line_Map'!$A:$A,'_Sys|Line_Map'!$B:$B,"MISSING",0)</f>
        <v/>
      </c>
    </row>
    <row r="2775">
      <c r="A2775" s="4561" t="n"/>
      <c r="B2775" s="4561" t="n"/>
      <c r="C2775" s="4561" t="n"/>
      <c r="D2775" s="4561" t="n"/>
      <c r="E2775" s="4561" t="n"/>
      <c r="F2775" s="4561" t="n"/>
      <c r="G2775" s="4561" t="n"/>
      <c r="H2775" s="4561" t="n"/>
      <c r="I2775" s="4562">
        <f>XLOOKUP(B2775,'_Sys|Line_Map'!$A:$A,'_Sys|Line_Map'!$C:$C,"MISSING",0)</f>
        <v/>
      </c>
      <c r="J2775" s="4562">
        <f>XLOOKUP(B2775,'_Sys|Line_Map'!$A:$A,'_Sys|Line_Map'!$D:$D,1,0)</f>
        <v/>
      </c>
      <c r="K2775" s="4562">
        <f>IF(D2775="","",D2775*J2775)</f>
        <v/>
      </c>
      <c r="L2775" s="4562">
        <f>XLOOKUP(B2775,'_Sys|Line_Map'!$A:$A,'_Sys|Line_Map'!$B:$B,"MISSING",0)</f>
        <v/>
      </c>
    </row>
    <row r="2776">
      <c r="A2776" s="4561" t="n"/>
      <c r="B2776" s="4561" t="n"/>
      <c r="C2776" s="4561" t="n"/>
      <c r="D2776" s="4561" t="n"/>
      <c r="E2776" s="4561" t="n"/>
      <c r="F2776" s="4561" t="n"/>
      <c r="G2776" s="4561" t="n"/>
      <c r="H2776" s="4561" t="n"/>
      <c r="I2776" s="4562">
        <f>XLOOKUP(B2776,'_Sys|Line_Map'!$A:$A,'_Sys|Line_Map'!$C:$C,"MISSING",0)</f>
        <v/>
      </c>
      <c r="J2776" s="4562">
        <f>XLOOKUP(B2776,'_Sys|Line_Map'!$A:$A,'_Sys|Line_Map'!$D:$D,1,0)</f>
        <v/>
      </c>
      <c r="K2776" s="4562">
        <f>IF(D2776="","",D2776*J2776)</f>
        <v/>
      </c>
      <c r="L2776" s="4562">
        <f>XLOOKUP(B2776,'_Sys|Line_Map'!$A:$A,'_Sys|Line_Map'!$B:$B,"MISSING",0)</f>
        <v/>
      </c>
    </row>
    <row r="2777">
      <c r="A2777" s="4561" t="n"/>
      <c r="B2777" s="4561" t="n"/>
      <c r="C2777" s="4561" t="n"/>
      <c r="D2777" s="4561" t="n"/>
      <c r="E2777" s="4561" t="n"/>
      <c r="F2777" s="4561" t="n"/>
      <c r="G2777" s="4561" t="n"/>
      <c r="H2777" s="4561" t="n"/>
      <c r="I2777" s="4562">
        <f>XLOOKUP(B2777,'_Sys|Line_Map'!$A:$A,'_Sys|Line_Map'!$C:$C,"MISSING",0)</f>
        <v/>
      </c>
      <c r="J2777" s="4562">
        <f>XLOOKUP(B2777,'_Sys|Line_Map'!$A:$A,'_Sys|Line_Map'!$D:$D,1,0)</f>
        <v/>
      </c>
      <c r="K2777" s="4562">
        <f>IF(D2777="","",D2777*J2777)</f>
        <v/>
      </c>
      <c r="L2777" s="4562">
        <f>XLOOKUP(B2777,'_Sys|Line_Map'!$A:$A,'_Sys|Line_Map'!$B:$B,"MISSING",0)</f>
        <v/>
      </c>
    </row>
    <row r="2778">
      <c r="A2778" s="4561" t="n"/>
      <c r="B2778" s="4561" t="n"/>
      <c r="C2778" s="4561" t="n"/>
      <c r="D2778" s="4561" t="n"/>
      <c r="E2778" s="4561" t="n"/>
      <c r="F2778" s="4561" t="n"/>
      <c r="G2778" s="4561" t="n"/>
      <c r="H2778" s="4561" t="n"/>
      <c r="I2778" s="4562">
        <f>XLOOKUP(B2778,'_Sys|Line_Map'!$A:$A,'_Sys|Line_Map'!$C:$C,"MISSING",0)</f>
        <v/>
      </c>
      <c r="J2778" s="4562">
        <f>XLOOKUP(B2778,'_Sys|Line_Map'!$A:$A,'_Sys|Line_Map'!$D:$D,1,0)</f>
        <v/>
      </c>
      <c r="K2778" s="4562">
        <f>IF(D2778="","",D2778*J2778)</f>
        <v/>
      </c>
      <c r="L2778" s="4562">
        <f>XLOOKUP(B2778,'_Sys|Line_Map'!$A:$A,'_Sys|Line_Map'!$B:$B,"MISSING",0)</f>
        <v/>
      </c>
    </row>
    <row r="2779">
      <c r="A2779" s="4561" t="n"/>
      <c r="B2779" s="4561" t="n"/>
      <c r="C2779" s="4561" t="n"/>
      <c r="D2779" s="4561" t="n"/>
      <c r="E2779" s="4561" t="n"/>
      <c r="F2779" s="4561" t="n"/>
      <c r="G2779" s="4561" t="n"/>
      <c r="H2779" s="4561" t="n"/>
      <c r="I2779" s="4562">
        <f>XLOOKUP(B2779,'_Sys|Line_Map'!$A:$A,'_Sys|Line_Map'!$C:$C,"MISSING",0)</f>
        <v/>
      </c>
      <c r="J2779" s="4562">
        <f>XLOOKUP(B2779,'_Sys|Line_Map'!$A:$A,'_Sys|Line_Map'!$D:$D,1,0)</f>
        <v/>
      </c>
      <c r="K2779" s="4562">
        <f>IF(D2779="","",D2779*J2779)</f>
        <v/>
      </c>
      <c r="L2779" s="4562">
        <f>XLOOKUP(B2779,'_Sys|Line_Map'!$A:$A,'_Sys|Line_Map'!$B:$B,"MISSING",0)</f>
        <v/>
      </c>
    </row>
    <row r="2780">
      <c r="A2780" s="4561" t="n"/>
      <c r="B2780" s="4561" t="n"/>
      <c r="C2780" s="4561" t="n"/>
      <c r="D2780" s="4561" t="n"/>
      <c r="E2780" s="4561" t="n"/>
      <c r="F2780" s="4561" t="n"/>
      <c r="G2780" s="4561" t="n"/>
      <c r="H2780" s="4561" t="n"/>
      <c r="I2780" s="4562">
        <f>XLOOKUP(B2780,'_Sys|Line_Map'!$A:$A,'_Sys|Line_Map'!$C:$C,"MISSING",0)</f>
        <v/>
      </c>
      <c r="J2780" s="4562">
        <f>XLOOKUP(B2780,'_Sys|Line_Map'!$A:$A,'_Sys|Line_Map'!$D:$D,1,0)</f>
        <v/>
      </c>
      <c r="K2780" s="4562">
        <f>IF(D2780="","",D2780*J2780)</f>
        <v/>
      </c>
      <c r="L2780" s="4562">
        <f>XLOOKUP(B2780,'_Sys|Line_Map'!$A:$A,'_Sys|Line_Map'!$B:$B,"MISSING",0)</f>
        <v/>
      </c>
    </row>
    <row r="2781">
      <c r="A2781" s="4561" t="n"/>
      <c r="B2781" s="4561" t="n"/>
      <c r="C2781" s="4561" t="n"/>
      <c r="D2781" s="4561" t="n"/>
      <c r="E2781" s="4561" t="n"/>
      <c r="F2781" s="4561" t="n"/>
      <c r="G2781" s="4561" t="n"/>
      <c r="H2781" s="4561" t="n"/>
      <c r="I2781" s="4562">
        <f>XLOOKUP(B2781,'_Sys|Line_Map'!$A:$A,'_Sys|Line_Map'!$C:$C,"MISSING",0)</f>
        <v/>
      </c>
      <c r="J2781" s="4562">
        <f>XLOOKUP(B2781,'_Sys|Line_Map'!$A:$A,'_Sys|Line_Map'!$D:$D,1,0)</f>
        <v/>
      </c>
      <c r="K2781" s="4562">
        <f>IF(D2781="","",D2781*J2781)</f>
        <v/>
      </c>
      <c r="L2781" s="4562">
        <f>XLOOKUP(B2781,'_Sys|Line_Map'!$A:$A,'_Sys|Line_Map'!$B:$B,"MISSING",0)</f>
        <v/>
      </c>
    </row>
    <row r="2782">
      <c r="A2782" s="4561" t="n"/>
      <c r="B2782" s="4561" t="n"/>
      <c r="C2782" s="4561" t="n"/>
      <c r="D2782" s="4561" t="n"/>
      <c r="E2782" s="4561" t="n"/>
      <c r="F2782" s="4561" t="n"/>
      <c r="G2782" s="4561" t="n"/>
      <c r="H2782" s="4561" t="n"/>
      <c r="I2782" s="4562">
        <f>XLOOKUP(B2782,'_Sys|Line_Map'!$A:$A,'_Sys|Line_Map'!$C:$C,"MISSING",0)</f>
        <v/>
      </c>
      <c r="J2782" s="4562">
        <f>XLOOKUP(B2782,'_Sys|Line_Map'!$A:$A,'_Sys|Line_Map'!$D:$D,1,0)</f>
        <v/>
      </c>
      <c r="K2782" s="4562">
        <f>IF(D2782="","",D2782*J2782)</f>
        <v/>
      </c>
      <c r="L2782" s="4562">
        <f>XLOOKUP(B2782,'_Sys|Line_Map'!$A:$A,'_Sys|Line_Map'!$B:$B,"MISSING",0)</f>
        <v/>
      </c>
    </row>
    <row r="2783">
      <c r="A2783" s="4561" t="n"/>
      <c r="B2783" s="4561" t="n"/>
      <c r="C2783" s="4561" t="n"/>
      <c r="D2783" s="4561" t="n"/>
      <c r="E2783" s="4561" t="n"/>
      <c r="F2783" s="4561" t="n"/>
      <c r="G2783" s="4561" t="n"/>
      <c r="H2783" s="4561" t="n"/>
      <c r="I2783" s="4562">
        <f>XLOOKUP(B2783,'_Sys|Line_Map'!$A:$A,'_Sys|Line_Map'!$C:$C,"MISSING",0)</f>
        <v/>
      </c>
      <c r="J2783" s="4562">
        <f>XLOOKUP(B2783,'_Sys|Line_Map'!$A:$A,'_Sys|Line_Map'!$D:$D,1,0)</f>
        <v/>
      </c>
      <c r="K2783" s="4562">
        <f>IF(D2783="","",D2783*J2783)</f>
        <v/>
      </c>
      <c r="L2783" s="4562">
        <f>XLOOKUP(B2783,'_Sys|Line_Map'!$A:$A,'_Sys|Line_Map'!$B:$B,"MISSING",0)</f>
        <v/>
      </c>
    </row>
    <row r="2784">
      <c r="A2784" s="4561" t="n"/>
      <c r="B2784" s="4561" t="n"/>
      <c r="C2784" s="4561" t="n"/>
      <c r="D2784" s="4561" t="n"/>
      <c r="E2784" s="4561" t="n"/>
      <c r="F2784" s="4561" t="n"/>
      <c r="G2784" s="4561" t="n"/>
      <c r="H2784" s="4561" t="n"/>
      <c r="I2784" s="4562">
        <f>XLOOKUP(B2784,'_Sys|Line_Map'!$A:$A,'_Sys|Line_Map'!$C:$C,"MISSING",0)</f>
        <v/>
      </c>
      <c r="J2784" s="4562">
        <f>XLOOKUP(B2784,'_Sys|Line_Map'!$A:$A,'_Sys|Line_Map'!$D:$D,1,0)</f>
        <v/>
      </c>
      <c r="K2784" s="4562">
        <f>IF(D2784="","",D2784*J2784)</f>
        <v/>
      </c>
      <c r="L2784" s="4562">
        <f>XLOOKUP(B2784,'_Sys|Line_Map'!$A:$A,'_Sys|Line_Map'!$B:$B,"MISSING",0)</f>
        <v/>
      </c>
    </row>
    <row r="2785">
      <c r="A2785" s="4561" t="n"/>
      <c r="B2785" s="4561" t="n"/>
      <c r="C2785" s="4561" t="n"/>
      <c r="D2785" s="4561" t="n"/>
      <c r="E2785" s="4561" t="n"/>
      <c r="F2785" s="4561" t="n"/>
      <c r="G2785" s="4561" t="n"/>
      <c r="H2785" s="4561" t="n"/>
      <c r="I2785" s="4562">
        <f>XLOOKUP(B2785,'_Sys|Line_Map'!$A:$A,'_Sys|Line_Map'!$C:$C,"MISSING",0)</f>
        <v/>
      </c>
      <c r="J2785" s="4562">
        <f>XLOOKUP(B2785,'_Sys|Line_Map'!$A:$A,'_Sys|Line_Map'!$D:$D,1,0)</f>
        <v/>
      </c>
      <c r="K2785" s="4562">
        <f>IF(D2785="","",D2785*J2785)</f>
        <v/>
      </c>
      <c r="L2785" s="4562">
        <f>XLOOKUP(B2785,'_Sys|Line_Map'!$A:$A,'_Sys|Line_Map'!$B:$B,"MISSING",0)</f>
        <v/>
      </c>
    </row>
    <row r="2786">
      <c r="A2786" s="4561" t="n"/>
      <c r="B2786" s="4561" t="n"/>
      <c r="C2786" s="4561" t="n"/>
      <c r="D2786" s="4561" t="n"/>
      <c r="E2786" s="4561" t="n"/>
      <c r="F2786" s="4561" t="n"/>
      <c r="G2786" s="4561" t="n"/>
      <c r="H2786" s="4561" t="n"/>
      <c r="I2786" s="4562">
        <f>XLOOKUP(B2786,'_Sys|Line_Map'!$A:$A,'_Sys|Line_Map'!$C:$C,"MISSING",0)</f>
        <v/>
      </c>
      <c r="J2786" s="4562">
        <f>XLOOKUP(B2786,'_Sys|Line_Map'!$A:$A,'_Sys|Line_Map'!$D:$D,1,0)</f>
        <v/>
      </c>
      <c r="K2786" s="4562">
        <f>IF(D2786="","",D2786*J2786)</f>
        <v/>
      </c>
      <c r="L2786" s="4562">
        <f>XLOOKUP(B2786,'_Sys|Line_Map'!$A:$A,'_Sys|Line_Map'!$B:$B,"MISSING",0)</f>
        <v/>
      </c>
    </row>
    <row r="2787">
      <c r="A2787" s="4561" t="n"/>
      <c r="B2787" s="4561" t="n"/>
      <c r="C2787" s="4561" t="n"/>
      <c r="D2787" s="4561" t="n"/>
      <c r="E2787" s="4561" t="n"/>
      <c r="F2787" s="4561" t="n"/>
      <c r="G2787" s="4561" t="n"/>
      <c r="H2787" s="4561" t="n"/>
      <c r="I2787" s="4562">
        <f>XLOOKUP(B2787,'_Sys|Line_Map'!$A:$A,'_Sys|Line_Map'!$C:$C,"MISSING",0)</f>
        <v/>
      </c>
      <c r="J2787" s="4562">
        <f>XLOOKUP(B2787,'_Sys|Line_Map'!$A:$A,'_Sys|Line_Map'!$D:$D,1,0)</f>
        <v/>
      </c>
      <c r="K2787" s="4562">
        <f>IF(D2787="","",D2787*J2787)</f>
        <v/>
      </c>
      <c r="L2787" s="4562">
        <f>XLOOKUP(B2787,'_Sys|Line_Map'!$A:$A,'_Sys|Line_Map'!$B:$B,"MISSING",0)</f>
        <v/>
      </c>
    </row>
    <row r="2788">
      <c r="A2788" s="4561" t="n"/>
      <c r="B2788" s="4561" t="n"/>
      <c r="C2788" s="4561" t="n"/>
      <c r="D2788" s="4561" t="n"/>
      <c r="E2788" s="4561" t="n"/>
      <c r="F2788" s="4561" t="n"/>
      <c r="G2788" s="4561" t="n"/>
      <c r="H2788" s="4561" t="n"/>
      <c r="I2788" s="4562">
        <f>XLOOKUP(B2788,'_Sys|Line_Map'!$A:$A,'_Sys|Line_Map'!$C:$C,"MISSING",0)</f>
        <v/>
      </c>
      <c r="J2788" s="4562">
        <f>XLOOKUP(B2788,'_Sys|Line_Map'!$A:$A,'_Sys|Line_Map'!$D:$D,1,0)</f>
        <v/>
      </c>
      <c r="K2788" s="4562">
        <f>IF(D2788="","",D2788*J2788)</f>
        <v/>
      </c>
      <c r="L2788" s="4562">
        <f>XLOOKUP(B2788,'_Sys|Line_Map'!$A:$A,'_Sys|Line_Map'!$B:$B,"MISSING",0)</f>
        <v/>
      </c>
    </row>
    <row r="2789">
      <c r="A2789" s="4561" t="n"/>
      <c r="B2789" s="4561" t="n"/>
      <c r="C2789" s="4561" t="n"/>
      <c r="D2789" s="4561" t="n"/>
      <c r="E2789" s="4561" t="n"/>
      <c r="F2789" s="4561" t="n"/>
      <c r="G2789" s="4561" t="n"/>
      <c r="H2789" s="4561" t="n"/>
      <c r="I2789" s="4562">
        <f>XLOOKUP(B2789,'_Sys|Line_Map'!$A:$A,'_Sys|Line_Map'!$C:$C,"MISSING",0)</f>
        <v/>
      </c>
      <c r="J2789" s="4562">
        <f>XLOOKUP(B2789,'_Sys|Line_Map'!$A:$A,'_Sys|Line_Map'!$D:$D,1,0)</f>
        <v/>
      </c>
      <c r="K2789" s="4562">
        <f>IF(D2789="","",D2789*J2789)</f>
        <v/>
      </c>
      <c r="L2789" s="4562">
        <f>XLOOKUP(B2789,'_Sys|Line_Map'!$A:$A,'_Sys|Line_Map'!$B:$B,"MISSING",0)</f>
        <v/>
      </c>
    </row>
    <row r="2790">
      <c r="A2790" s="4561" t="n"/>
      <c r="B2790" s="4561" t="n"/>
      <c r="C2790" s="4561" t="n"/>
      <c r="D2790" s="4561" t="n"/>
      <c r="E2790" s="4561" t="n"/>
      <c r="F2790" s="4561" t="n"/>
      <c r="G2790" s="4561" t="n"/>
      <c r="H2790" s="4561" t="n"/>
      <c r="I2790" s="4562">
        <f>XLOOKUP(B2790,'_Sys|Line_Map'!$A:$A,'_Sys|Line_Map'!$C:$C,"MISSING",0)</f>
        <v/>
      </c>
      <c r="J2790" s="4562">
        <f>XLOOKUP(B2790,'_Sys|Line_Map'!$A:$A,'_Sys|Line_Map'!$D:$D,1,0)</f>
        <v/>
      </c>
      <c r="K2790" s="4562">
        <f>IF(D2790="","",D2790*J2790)</f>
        <v/>
      </c>
      <c r="L2790" s="4562">
        <f>XLOOKUP(B2790,'_Sys|Line_Map'!$A:$A,'_Sys|Line_Map'!$B:$B,"MISSING",0)</f>
        <v/>
      </c>
    </row>
    <row r="2791">
      <c r="A2791" s="4561" t="n"/>
      <c r="B2791" s="4561" t="n"/>
      <c r="C2791" s="4561" t="n"/>
      <c r="D2791" s="4561" t="n"/>
      <c r="E2791" s="4561" t="n"/>
      <c r="F2791" s="4561" t="n"/>
      <c r="G2791" s="4561" t="n"/>
      <c r="H2791" s="4561" t="n"/>
      <c r="I2791" s="4562">
        <f>XLOOKUP(B2791,'_Sys|Line_Map'!$A:$A,'_Sys|Line_Map'!$C:$C,"MISSING",0)</f>
        <v/>
      </c>
      <c r="J2791" s="4562">
        <f>XLOOKUP(B2791,'_Sys|Line_Map'!$A:$A,'_Sys|Line_Map'!$D:$D,1,0)</f>
        <v/>
      </c>
      <c r="K2791" s="4562">
        <f>IF(D2791="","",D2791*J2791)</f>
        <v/>
      </c>
      <c r="L2791" s="4562">
        <f>XLOOKUP(B2791,'_Sys|Line_Map'!$A:$A,'_Sys|Line_Map'!$B:$B,"MISSING",0)</f>
        <v/>
      </c>
    </row>
    <row r="2792">
      <c r="A2792" s="4561" t="n"/>
      <c r="B2792" s="4561" t="n"/>
      <c r="C2792" s="4561" t="n"/>
      <c r="D2792" s="4561" t="n"/>
      <c r="E2792" s="4561" t="n"/>
      <c r="F2792" s="4561" t="n"/>
      <c r="G2792" s="4561" t="n"/>
      <c r="H2792" s="4561" t="n"/>
      <c r="I2792" s="4562">
        <f>XLOOKUP(B2792,'_Sys|Line_Map'!$A:$A,'_Sys|Line_Map'!$C:$C,"MISSING",0)</f>
        <v/>
      </c>
      <c r="J2792" s="4562">
        <f>XLOOKUP(B2792,'_Sys|Line_Map'!$A:$A,'_Sys|Line_Map'!$D:$D,1,0)</f>
        <v/>
      </c>
      <c r="K2792" s="4562">
        <f>IF(D2792="","",D2792*J2792)</f>
        <v/>
      </c>
      <c r="L2792" s="4562">
        <f>XLOOKUP(B2792,'_Sys|Line_Map'!$A:$A,'_Sys|Line_Map'!$B:$B,"MISSING",0)</f>
        <v/>
      </c>
    </row>
    <row r="2793">
      <c r="A2793" s="4561" t="n"/>
      <c r="B2793" s="4561" t="n"/>
      <c r="C2793" s="4561" t="n"/>
      <c r="D2793" s="4561" t="n"/>
      <c r="E2793" s="4561" t="n"/>
      <c r="F2793" s="4561" t="n"/>
      <c r="G2793" s="4561" t="n"/>
      <c r="H2793" s="4561" t="n"/>
      <c r="I2793" s="4562">
        <f>XLOOKUP(B2793,'_Sys|Line_Map'!$A:$A,'_Sys|Line_Map'!$C:$C,"MISSING",0)</f>
        <v/>
      </c>
      <c r="J2793" s="4562">
        <f>XLOOKUP(B2793,'_Sys|Line_Map'!$A:$A,'_Sys|Line_Map'!$D:$D,1,0)</f>
        <v/>
      </c>
      <c r="K2793" s="4562">
        <f>IF(D2793="","",D2793*J2793)</f>
        <v/>
      </c>
      <c r="L2793" s="4562">
        <f>XLOOKUP(B2793,'_Sys|Line_Map'!$A:$A,'_Sys|Line_Map'!$B:$B,"MISSING",0)</f>
        <v/>
      </c>
    </row>
    <row r="2794">
      <c r="A2794" s="4561" t="n"/>
      <c r="B2794" s="4561" t="n"/>
      <c r="C2794" s="4561" t="n"/>
      <c r="D2794" s="4561" t="n"/>
      <c r="E2794" s="4561" t="n"/>
      <c r="F2794" s="4561" t="n"/>
      <c r="G2794" s="4561" t="n"/>
      <c r="H2794" s="4561" t="n"/>
      <c r="I2794" s="4562">
        <f>XLOOKUP(B2794,'_Sys|Line_Map'!$A:$A,'_Sys|Line_Map'!$C:$C,"MISSING",0)</f>
        <v/>
      </c>
      <c r="J2794" s="4562">
        <f>XLOOKUP(B2794,'_Sys|Line_Map'!$A:$A,'_Sys|Line_Map'!$D:$D,1,0)</f>
        <v/>
      </c>
      <c r="K2794" s="4562">
        <f>IF(D2794="","",D2794*J2794)</f>
        <v/>
      </c>
      <c r="L2794" s="4562">
        <f>XLOOKUP(B2794,'_Sys|Line_Map'!$A:$A,'_Sys|Line_Map'!$B:$B,"MISSING",0)</f>
        <v/>
      </c>
    </row>
    <row r="2795">
      <c r="A2795" s="4561" t="n"/>
      <c r="B2795" s="4561" t="n"/>
      <c r="C2795" s="4561" t="n"/>
      <c r="D2795" s="4561" t="n"/>
      <c r="E2795" s="4561" t="n"/>
      <c r="F2795" s="4561" t="n"/>
      <c r="G2795" s="4561" t="n"/>
      <c r="H2795" s="4561" t="n"/>
      <c r="I2795" s="4562">
        <f>XLOOKUP(B2795,'_Sys|Line_Map'!$A:$A,'_Sys|Line_Map'!$C:$C,"MISSING",0)</f>
        <v/>
      </c>
      <c r="J2795" s="4562">
        <f>XLOOKUP(B2795,'_Sys|Line_Map'!$A:$A,'_Sys|Line_Map'!$D:$D,1,0)</f>
        <v/>
      </c>
      <c r="K2795" s="4562">
        <f>IF(D2795="","",D2795*J2795)</f>
        <v/>
      </c>
      <c r="L2795" s="4562">
        <f>XLOOKUP(B2795,'_Sys|Line_Map'!$A:$A,'_Sys|Line_Map'!$B:$B,"MISSING",0)</f>
        <v/>
      </c>
    </row>
    <row r="2796">
      <c r="A2796" s="4561" t="n"/>
      <c r="B2796" s="4561" t="n"/>
      <c r="C2796" s="4561" t="n"/>
      <c r="D2796" s="4561" t="n"/>
      <c r="E2796" s="4561" t="n"/>
      <c r="F2796" s="4561" t="n"/>
      <c r="G2796" s="4561" t="n"/>
      <c r="H2796" s="4561" t="n"/>
      <c r="I2796" s="4562">
        <f>XLOOKUP(B2796,'_Sys|Line_Map'!$A:$A,'_Sys|Line_Map'!$C:$C,"MISSING",0)</f>
        <v/>
      </c>
      <c r="J2796" s="4562">
        <f>XLOOKUP(B2796,'_Sys|Line_Map'!$A:$A,'_Sys|Line_Map'!$D:$D,1,0)</f>
        <v/>
      </c>
      <c r="K2796" s="4562">
        <f>IF(D2796="","",D2796*J2796)</f>
        <v/>
      </c>
      <c r="L2796" s="4562">
        <f>XLOOKUP(B2796,'_Sys|Line_Map'!$A:$A,'_Sys|Line_Map'!$B:$B,"MISSING",0)</f>
        <v/>
      </c>
    </row>
    <row r="2797">
      <c r="A2797" s="4561" t="n"/>
      <c r="B2797" s="4561" t="n"/>
      <c r="C2797" s="4561" t="n"/>
      <c r="D2797" s="4561" t="n"/>
      <c r="E2797" s="4561" t="n"/>
      <c r="F2797" s="4561" t="n"/>
      <c r="G2797" s="4561" t="n"/>
      <c r="H2797" s="4561" t="n"/>
      <c r="I2797" s="4562">
        <f>XLOOKUP(B2797,'_Sys|Line_Map'!$A:$A,'_Sys|Line_Map'!$C:$C,"MISSING",0)</f>
        <v/>
      </c>
      <c r="J2797" s="4562">
        <f>XLOOKUP(B2797,'_Sys|Line_Map'!$A:$A,'_Sys|Line_Map'!$D:$D,1,0)</f>
        <v/>
      </c>
      <c r="K2797" s="4562">
        <f>IF(D2797="","",D2797*J2797)</f>
        <v/>
      </c>
      <c r="L2797" s="4562">
        <f>XLOOKUP(B2797,'_Sys|Line_Map'!$A:$A,'_Sys|Line_Map'!$B:$B,"MISSING",0)</f>
        <v/>
      </c>
    </row>
    <row r="2798">
      <c r="A2798" s="4561" t="n"/>
      <c r="B2798" s="4561" t="n"/>
      <c r="C2798" s="4561" t="n"/>
      <c r="D2798" s="4561" t="n"/>
      <c r="E2798" s="4561" t="n"/>
      <c r="F2798" s="4561" t="n"/>
      <c r="G2798" s="4561" t="n"/>
      <c r="H2798" s="4561" t="n"/>
      <c r="I2798" s="4562">
        <f>XLOOKUP(B2798,'_Sys|Line_Map'!$A:$A,'_Sys|Line_Map'!$C:$C,"MISSING",0)</f>
        <v/>
      </c>
      <c r="J2798" s="4562">
        <f>XLOOKUP(B2798,'_Sys|Line_Map'!$A:$A,'_Sys|Line_Map'!$D:$D,1,0)</f>
        <v/>
      </c>
      <c r="K2798" s="4562">
        <f>IF(D2798="","",D2798*J2798)</f>
        <v/>
      </c>
      <c r="L2798" s="4562">
        <f>XLOOKUP(B2798,'_Sys|Line_Map'!$A:$A,'_Sys|Line_Map'!$B:$B,"MISSING",0)</f>
        <v/>
      </c>
    </row>
    <row r="2799">
      <c r="A2799" s="4561" t="n"/>
      <c r="B2799" s="4561" t="n"/>
      <c r="C2799" s="4561" t="n"/>
      <c r="D2799" s="4561" t="n"/>
      <c r="E2799" s="4561" t="n"/>
      <c r="F2799" s="4561" t="n"/>
      <c r="G2799" s="4561" t="n"/>
      <c r="H2799" s="4561" t="n"/>
      <c r="I2799" s="4562">
        <f>XLOOKUP(B2799,'_Sys|Line_Map'!$A:$A,'_Sys|Line_Map'!$C:$C,"MISSING",0)</f>
        <v/>
      </c>
      <c r="J2799" s="4562">
        <f>XLOOKUP(B2799,'_Sys|Line_Map'!$A:$A,'_Sys|Line_Map'!$D:$D,1,0)</f>
        <v/>
      </c>
      <c r="K2799" s="4562">
        <f>IF(D2799="","",D2799*J2799)</f>
        <v/>
      </c>
      <c r="L2799" s="4562">
        <f>XLOOKUP(B2799,'_Sys|Line_Map'!$A:$A,'_Sys|Line_Map'!$B:$B,"MISSING",0)</f>
        <v/>
      </c>
    </row>
    <row r="2800">
      <c r="A2800" s="4561" t="n"/>
      <c r="B2800" s="4561" t="n"/>
      <c r="C2800" s="4561" t="n"/>
      <c r="D2800" s="4561" t="n"/>
      <c r="E2800" s="4561" t="n"/>
      <c r="F2800" s="4561" t="n"/>
      <c r="G2800" s="4561" t="n"/>
      <c r="H2800" s="4561" t="n"/>
      <c r="I2800" s="4562">
        <f>XLOOKUP(B2800,'_Sys|Line_Map'!$A:$A,'_Sys|Line_Map'!$C:$C,"MISSING",0)</f>
        <v/>
      </c>
      <c r="J2800" s="4562">
        <f>XLOOKUP(B2800,'_Sys|Line_Map'!$A:$A,'_Sys|Line_Map'!$D:$D,1,0)</f>
        <v/>
      </c>
      <c r="K2800" s="4562">
        <f>IF(D2800="","",D2800*J2800)</f>
        <v/>
      </c>
      <c r="L2800" s="4562">
        <f>XLOOKUP(B2800,'_Sys|Line_Map'!$A:$A,'_Sys|Line_Map'!$B:$B,"MISSING",0)</f>
        <v/>
      </c>
    </row>
    <row r="2801">
      <c r="A2801" s="4561" t="n"/>
      <c r="B2801" s="4561" t="n"/>
      <c r="C2801" s="4561" t="n"/>
      <c r="D2801" s="4561" t="n"/>
      <c r="E2801" s="4561" t="n"/>
      <c r="F2801" s="4561" t="n"/>
      <c r="G2801" s="4561" t="n"/>
      <c r="H2801" s="4561" t="n"/>
      <c r="I2801" s="4562">
        <f>XLOOKUP(B2801,'_Sys|Line_Map'!$A:$A,'_Sys|Line_Map'!$C:$C,"MISSING",0)</f>
        <v/>
      </c>
      <c r="J2801" s="4562">
        <f>XLOOKUP(B2801,'_Sys|Line_Map'!$A:$A,'_Sys|Line_Map'!$D:$D,1,0)</f>
        <v/>
      </c>
      <c r="K2801" s="4562">
        <f>IF(D2801="","",D2801*J2801)</f>
        <v/>
      </c>
      <c r="L2801" s="4562">
        <f>XLOOKUP(B2801,'_Sys|Line_Map'!$A:$A,'_Sys|Line_Map'!$B:$B,"MISSING",0)</f>
        <v/>
      </c>
    </row>
    <row r="2802">
      <c r="A2802" s="4561" t="n"/>
      <c r="B2802" s="4561" t="n"/>
      <c r="C2802" s="4561" t="n"/>
      <c r="D2802" s="4561" t="n"/>
      <c r="E2802" s="4561" t="n"/>
      <c r="F2802" s="4561" t="n"/>
      <c r="G2802" s="4561" t="n"/>
      <c r="H2802" s="4561" t="n"/>
      <c r="I2802" s="4562">
        <f>XLOOKUP(B2802,'_Sys|Line_Map'!$A:$A,'_Sys|Line_Map'!$C:$C,"MISSING",0)</f>
        <v/>
      </c>
      <c r="J2802" s="4562">
        <f>XLOOKUP(B2802,'_Sys|Line_Map'!$A:$A,'_Sys|Line_Map'!$D:$D,1,0)</f>
        <v/>
      </c>
      <c r="K2802" s="4562">
        <f>IF(D2802="","",D2802*J2802)</f>
        <v/>
      </c>
      <c r="L2802" s="4562">
        <f>XLOOKUP(B2802,'_Sys|Line_Map'!$A:$A,'_Sys|Line_Map'!$B:$B,"MISSING",0)</f>
        <v/>
      </c>
    </row>
    <row r="2803">
      <c r="A2803" s="4561" t="n"/>
      <c r="B2803" s="4561" t="n"/>
      <c r="C2803" s="4561" t="n"/>
      <c r="D2803" s="4561" t="n"/>
      <c r="E2803" s="4561" t="n"/>
      <c r="F2803" s="4561" t="n"/>
      <c r="G2803" s="4561" t="n"/>
      <c r="H2803" s="4561" t="n"/>
      <c r="I2803" s="4562">
        <f>XLOOKUP(B2803,'_Sys|Line_Map'!$A:$A,'_Sys|Line_Map'!$C:$C,"MISSING",0)</f>
        <v/>
      </c>
      <c r="J2803" s="4562">
        <f>XLOOKUP(B2803,'_Sys|Line_Map'!$A:$A,'_Sys|Line_Map'!$D:$D,1,0)</f>
        <v/>
      </c>
      <c r="K2803" s="4562">
        <f>IF(D2803="","",D2803*J2803)</f>
        <v/>
      </c>
      <c r="L2803" s="4562">
        <f>XLOOKUP(B2803,'_Sys|Line_Map'!$A:$A,'_Sys|Line_Map'!$B:$B,"MISSING",0)</f>
        <v/>
      </c>
    </row>
    <row r="2804">
      <c r="A2804" s="4561" t="n"/>
      <c r="B2804" s="4561" t="n"/>
      <c r="C2804" s="4561" t="n"/>
      <c r="D2804" s="4561" t="n"/>
      <c r="E2804" s="4561" t="n"/>
      <c r="F2804" s="4561" t="n"/>
      <c r="G2804" s="4561" t="n"/>
      <c r="H2804" s="4561" t="n"/>
      <c r="I2804" s="4562">
        <f>XLOOKUP(B2804,'_Sys|Line_Map'!$A:$A,'_Sys|Line_Map'!$C:$C,"MISSING",0)</f>
        <v/>
      </c>
      <c r="J2804" s="4562">
        <f>XLOOKUP(B2804,'_Sys|Line_Map'!$A:$A,'_Sys|Line_Map'!$D:$D,1,0)</f>
        <v/>
      </c>
      <c r="K2804" s="4562">
        <f>IF(D2804="","",D2804*J2804)</f>
        <v/>
      </c>
      <c r="L2804" s="4562">
        <f>XLOOKUP(B2804,'_Sys|Line_Map'!$A:$A,'_Sys|Line_Map'!$B:$B,"MISSING",0)</f>
        <v/>
      </c>
    </row>
    <row r="2805">
      <c r="A2805" s="4561" t="n"/>
      <c r="B2805" s="4561" t="n"/>
      <c r="C2805" s="4561" t="n"/>
      <c r="D2805" s="4561" t="n"/>
      <c r="E2805" s="4561" t="n"/>
      <c r="F2805" s="4561" t="n"/>
      <c r="G2805" s="4561" t="n"/>
      <c r="H2805" s="4561" t="n"/>
      <c r="I2805" s="4562">
        <f>XLOOKUP(B2805,'_Sys|Line_Map'!$A:$A,'_Sys|Line_Map'!$C:$C,"MISSING",0)</f>
        <v/>
      </c>
      <c r="J2805" s="4562">
        <f>XLOOKUP(B2805,'_Sys|Line_Map'!$A:$A,'_Sys|Line_Map'!$D:$D,1,0)</f>
        <v/>
      </c>
      <c r="K2805" s="4562">
        <f>IF(D2805="","",D2805*J2805)</f>
        <v/>
      </c>
      <c r="L2805" s="4562">
        <f>XLOOKUP(B2805,'_Sys|Line_Map'!$A:$A,'_Sys|Line_Map'!$B:$B,"MISSING",0)</f>
        <v/>
      </c>
    </row>
    <row r="2806">
      <c r="A2806" s="4561" t="n"/>
      <c r="B2806" s="4561" t="n"/>
      <c r="C2806" s="4561" t="n"/>
      <c r="D2806" s="4561" t="n"/>
      <c r="E2806" s="4561" t="n"/>
      <c r="F2806" s="4561" t="n"/>
      <c r="G2806" s="4561" t="n"/>
      <c r="H2806" s="4561" t="n"/>
      <c r="I2806" s="4562">
        <f>XLOOKUP(B2806,'_Sys|Line_Map'!$A:$A,'_Sys|Line_Map'!$C:$C,"MISSING",0)</f>
        <v/>
      </c>
      <c r="J2806" s="4562">
        <f>XLOOKUP(B2806,'_Sys|Line_Map'!$A:$A,'_Sys|Line_Map'!$D:$D,1,0)</f>
        <v/>
      </c>
      <c r="K2806" s="4562">
        <f>IF(D2806="","",D2806*J2806)</f>
        <v/>
      </c>
      <c r="L2806" s="4562">
        <f>XLOOKUP(B2806,'_Sys|Line_Map'!$A:$A,'_Sys|Line_Map'!$B:$B,"MISSING",0)</f>
        <v/>
      </c>
    </row>
    <row r="2807">
      <c r="A2807" s="4561" t="n"/>
      <c r="B2807" s="4561" t="n"/>
      <c r="C2807" s="4561" t="n"/>
      <c r="D2807" s="4561" t="n"/>
      <c r="E2807" s="4561" t="n"/>
      <c r="F2807" s="4561" t="n"/>
      <c r="G2807" s="4561" t="n"/>
      <c r="H2807" s="4561" t="n"/>
      <c r="I2807" s="4562">
        <f>XLOOKUP(B2807,'_Sys|Line_Map'!$A:$A,'_Sys|Line_Map'!$C:$C,"MISSING",0)</f>
        <v/>
      </c>
      <c r="J2807" s="4562">
        <f>XLOOKUP(B2807,'_Sys|Line_Map'!$A:$A,'_Sys|Line_Map'!$D:$D,1,0)</f>
        <v/>
      </c>
      <c r="K2807" s="4562">
        <f>IF(D2807="","",D2807*J2807)</f>
        <v/>
      </c>
      <c r="L2807" s="4562">
        <f>XLOOKUP(B2807,'_Sys|Line_Map'!$A:$A,'_Sys|Line_Map'!$B:$B,"MISSING",0)</f>
        <v/>
      </c>
    </row>
    <row r="2808">
      <c r="A2808" s="4561" t="n"/>
      <c r="B2808" s="4561" t="n"/>
      <c r="C2808" s="4561" t="n"/>
      <c r="D2808" s="4561" t="n"/>
      <c r="E2808" s="4561" t="n"/>
      <c r="F2808" s="4561" t="n"/>
      <c r="G2808" s="4561" t="n"/>
      <c r="H2808" s="4561" t="n"/>
      <c r="I2808" s="4562">
        <f>XLOOKUP(B2808,'_Sys|Line_Map'!$A:$A,'_Sys|Line_Map'!$C:$C,"MISSING",0)</f>
        <v/>
      </c>
      <c r="J2808" s="4562">
        <f>XLOOKUP(B2808,'_Sys|Line_Map'!$A:$A,'_Sys|Line_Map'!$D:$D,1,0)</f>
        <v/>
      </c>
      <c r="K2808" s="4562">
        <f>IF(D2808="","",D2808*J2808)</f>
        <v/>
      </c>
      <c r="L2808" s="4562">
        <f>XLOOKUP(B2808,'_Sys|Line_Map'!$A:$A,'_Sys|Line_Map'!$B:$B,"MISSING",0)</f>
        <v/>
      </c>
    </row>
    <row r="2809">
      <c r="A2809" s="4561" t="n"/>
      <c r="B2809" s="4561" t="n"/>
      <c r="C2809" s="4561" t="n"/>
      <c r="D2809" s="4561" t="n"/>
      <c r="E2809" s="4561" t="n"/>
      <c r="F2809" s="4561" t="n"/>
      <c r="G2809" s="4561" t="n"/>
      <c r="H2809" s="4561" t="n"/>
      <c r="I2809" s="4562">
        <f>XLOOKUP(B2809,'_Sys|Line_Map'!$A:$A,'_Sys|Line_Map'!$C:$C,"MISSING",0)</f>
        <v/>
      </c>
      <c r="J2809" s="4562">
        <f>XLOOKUP(B2809,'_Sys|Line_Map'!$A:$A,'_Sys|Line_Map'!$D:$D,1,0)</f>
        <v/>
      </c>
      <c r="K2809" s="4562">
        <f>IF(D2809="","",D2809*J2809)</f>
        <v/>
      </c>
      <c r="L2809" s="4562">
        <f>XLOOKUP(B2809,'_Sys|Line_Map'!$A:$A,'_Sys|Line_Map'!$B:$B,"MISSING",0)</f>
        <v/>
      </c>
    </row>
    <row r="2810">
      <c r="A2810" s="4561" t="n"/>
      <c r="B2810" s="4561" t="n"/>
      <c r="C2810" s="4561" t="n"/>
      <c r="D2810" s="4561" t="n"/>
      <c r="E2810" s="4561" t="n"/>
      <c r="F2810" s="4561" t="n"/>
      <c r="G2810" s="4561" t="n"/>
      <c r="H2810" s="4561" t="n"/>
      <c r="I2810" s="4562">
        <f>XLOOKUP(B2810,'_Sys|Line_Map'!$A:$A,'_Sys|Line_Map'!$C:$C,"MISSING",0)</f>
        <v/>
      </c>
      <c r="J2810" s="4562">
        <f>XLOOKUP(B2810,'_Sys|Line_Map'!$A:$A,'_Sys|Line_Map'!$D:$D,1,0)</f>
        <v/>
      </c>
      <c r="K2810" s="4562">
        <f>IF(D2810="","",D2810*J2810)</f>
        <v/>
      </c>
      <c r="L2810" s="4562">
        <f>XLOOKUP(B2810,'_Sys|Line_Map'!$A:$A,'_Sys|Line_Map'!$B:$B,"MISSING",0)</f>
        <v/>
      </c>
    </row>
    <row r="2811">
      <c r="A2811" s="4561" t="n"/>
      <c r="B2811" s="4561" t="n"/>
      <c r="C2811" s="4561" t="n"/>
      <c r="D2811" s="4561" t="n"/>
      <c r="E2811" s="4561" t="n"/>
      <c r="F2811" s="4561" t="n"/>
      <c r="G2811" s="4561" t="n"/>
      <c r="H2811" s="4561" t="n"/>
      <c r="I2811" s="4562">
        <f>XLOOKUP(B2811,'_Sys|Line_Map'!$A:$A,'_Sys|Line_Map'!$C:$C,"MISSING",0)</f>
        <v/>
      </c>
      <c r="J2811" s="4562">
        <f>XLOOKUP(B2811,'_Sys|Line_Map'!$A:$A,'_Sys|Line_Map'!$D:$D,1,0)</f>
        <v/>
      </c>
      <c r="K2811" s="4562">
        <f>IF(D2811="","",D2811*J2811)</f>
        <v/>
      </c>
      <c r="L2811" s="4562">
        <f>XLOOKUP(B2811,'_Sys|Line_Map'!$A:$A,'_Sys|Line_Map'!$B:$B,"MISSING",0)</f>
        <v/>
      </c>
    </row>
    <row r="2812">
      <c r="A2812" s="4561" t="n"/>
      <c r="B2812" s="4561" t="n"/>
      <c r="C2812" s="4561" t="n"/>
      <c r="D2812" s="4561" t="n"/>
      <c r="E2812" s="4561" t="n"/>
      <c r="F2812" s="4561" t="n"/>
      <c r="G2812" s="4561" t="n"/>
      <c r="H2812" s="4561" t="n"/>
      <c r="I2812" s="4562">
        <f>XLOOKUP(B2812,'_Sys|Line_Map'!$A:$A,'_Sys|Line_Map'!$C:$C,"MISSING",0)</f>
        <v/>
      </c>
      <c r="J2812" s="4562">
        <f>XLOOKUP(B2812,'_Sys|Line_Map'!$A:$A,'_Sys|Line_Map'!$D:$D,1,0)</f>
        <v/>
      </c>
      <c r="K2812" s="4562">
        <f>IF(D2812="","",D2812*J2812)</f>
        <v/>
      </c>
      <c r="L2812" s="4562">
        <f>XLOOKUP(B2812,'_Sys|Line_Map'!$A:$A,'_Sys|Line_Map'!$B:$B,"MISSING",0)</f>
        <v/>
      </c>
    </row>
    <row r="2813">
      <c r="A2813" s="4561" t="n"/>
      <c r="B2813" s="4561" t="n"/>
      <c r="C2813" s="4561" t="n"/>
      <c r="D2813" s="4561" t="n"/>
      <c r="E2813" s="4561" t="n"/>
      <c r="F2813" s="4561" t="n"/>
      <c r="G2813" s="4561" t="n"/>
      <c r="H2813" s="4561" t="n"/>
      <c r="I2813" s="4562">
        <f>XLOOKUP(B2813,'_Sys|Line_Map'!$A:$A,'_Sys|Line_Map'!$C:$C,"MISSING",0)</f>
        <v/>
      </c>
      <c r="J2813" s="4562">
        <f>XLOOKUP(B2813,'_Sys|Line_Map'!$A:$A,'_Sys|Line_Map'!$D:$D,1,0)</f>
        <v/>
      </c>
      <c r="K2813" s="4562">
        <f>IF(D2813="","",D2813*J2813)</f>
        <v/>
      </c>
      <c r="L2813" s="4562">
        <f>XLOOKUP(B2813,'_Sys|Line_Map'!$A:$A,'_Sys|Line_Map'!$B:$B,"MISSING",0)</f>
        <v/>
      </c>
    </row>
    <row r="2814">
      <c r="A2814" s="4561" t="n"/>
      <c r="B2814" s="4561" t="n"/>
      <c r="C2814" s="4561" t="n"/>
      <c r="D2814" s="4561" t="n"/>
      <c r="E2814" s="4561" t="n"/>
      <c r="F2814" s="4561" t="n"/>
      <c r="G2814" s="4561" t="n"/>
      <c r="H2814" s="4561" t="n"/>
      <c r="I2814" s="4562">
        <f>XLOOKUP(B2814,'_Sys|Line_Map'!$A:$A,'_Sys|Line_Map'!$C:$C,"MISSING",0)</f>
        <v/>
      </c>
      <c r="J2814" s="4562">
        <f>XLOOKUP(B2814,'_Sys|Line_Map'!$A:$A,'_Sys|Line_Map'!$D:$D,1,0)</f>
        <v/>
      </c>
      <c r="K2814" s="4562">
        <f>IF(D2814="","",D2814*J2814)</f>
        <v/>
      </c>
      <c r="L2814" s="4562">
        <f>XLOOKUP(B2814,'_Sys|Line_Map'!$A:$A,'_Sys|Line_Map'!$B:$B,"MISSING",0)</f>
        <v/>
      </c>
    </row>
    <row r="2815">
      <c r="A2815" s="4561" t="n"/>
      <c r="B2815" s="4561" t="n"/>
      <c r="C2815" s="4561" t="n"/>
      <c r="D2815" s="4561" t="n"/>
      <c r="E2815" s="4561" t="n"/>
      <c r="F2815" s="4561" t="n"/>
      <c r="G2815" s="4561" t="n"/>
      <c r="H2815" s="4561" t="n"/>
      <c r="I2815" s="4562">
        <f>XLOOKUP(B2815,'_Sys|Line_Map'!$A:$A,'_Sys|Line_Map'!$C:$C,"MISSING",0)</f>
        <v/>
      </c>
      <c r="J2815" s="4562">
        <f>XLOOKUP(B2815,'_Sys|Line_Map'!$A:$A,'_Sys|Line_Map'!$D:$D,1,0)</f>
        <v/>
      </c>
      <c r="K2815" s="4562">
        <f>IF(D2815="","",D2815*J2815)</f>
        <v/>
      </c>
      <c r="L2815" s="4562">
        <f>XLOOKUP(B2815,'_Sys|Line_Map'!$A:$A,'_Sys|Line_Map'!$B:$B,"MISSING",0)</f>
        <v/>
      </c>
    </row>
    <row r="2816">
      <c r="A2816" s="4561" t="n"/>
      <c r="B2816" s="4561" t="n"/>
      <c r="C2816" s="4561" t="n"/>
      <c r="D2816" s="4561" t="n"/>
      <c r="E2816" s="4561" t="n"/>
      <c r="F2816" s="4561" t="n"/>
      <c r="G2816" s="4561" t="n"/>
      <c r="H2816" s="4561" t="n"/>
      <c r="I2816" s="4562">
        <f>XLOOKUP(B2816,'_Sys|Line_Map'!$A:$A,'_Sys|Line_Map'!$C:$C,"MISSING",0)</f>
        <v/>
      </c>
      <c r="J2816" s="4562">
        <f>XLOOKUP(B2816,'_Sys|Line_Map'!$A:$A,'_Sys|Line_Map'!$D:$D,1,0)</f>
        <v/>
      </c>
      <c r="K2816" s="4562">
        <f>IF(D2816="","",D2816*J2816)</f>
        <v/>
      </c>
      <c r="L2816" s="4562">
        <f>XLOOKUP(B2816,'_Sys|Line_Map'!$A:$A,'_Sys|Line_Map'!$B:$B,"MISSING",0)</f>
        <v/>
      </c>
    </row>
    <row r="2817">
      <c r="A2817" s="4561" t="n"/>
      <c r="B2817" s="4561" t="n"/>
      <c r="C2817" s="4561" t="n"/>
      <c r="D2817" s="4561" t="n"/>
      <c r="E2817" s="4561" t="n"/>
      <c r="F2817" s="4561" t="n"/>
      <c r="G2817" s="4561" t="n"/>
      <c r="H2817" s="4561" t="n"/>
      <c r="I2817" s="4562">
        <f>XLOOKUP(B2817,'_Sys|Line_Map'!$A:$A,'_Sys|Line_Map'!$C:$C,"MISSING",0)</f>
        <v/>
      </c>
      <c r="J2817" s="4562">
        <f>XLOOKUP(B2817,'_Sys|Line_Map'!$A:$A,'_Sys|Line_Map'!$D:$D,1,0)</f>
        <v/>
      </c>
      <c r="K2817" s="4562">
        <f>IF(D2817="","",D2817*J2817)</f>
        <v/>
      </c>
      <c r="L2817" s="4562">
        <f>XLOOKUP(B2817,'_Sys|Line_Map'!$A:$A,'_Sys|Line_Map'!$B:$B,"MISSING",0)</f>
        <v/>
      </c>
    </row>
    <row r="2818">
      <c r="A2818" s="4561" t="n"/>
      <c r="B2818" s="4561" t="n"/>
      <c r="C2818" s="4561" t="n"/>
      <c r="D2818" s="4561" t="n"/>
      <c r="E2818" s="4561" t="n"/>
      <c r="F2818" s="4561" t="n"/>
      <c r="G2818" s="4561" t="n"/>
      <c r="H2818" s="4561" t="n"/>
      <c r="I2818" s="4562">
        <f>XLOOKUP(B2818,'_Sys|Line_Map'!$A:$A,'_Sys|Line_Map'!$C:$C,"MISSING",0)</f>
        <v/>
      </c>
      <c r="J2818" s="4562">
        <f>XLOOKUP(B2818,'_Sys|Line_Map'!$A:$A,'_Sys|Line_Map'!$D:$D,1,0)</f>
        <v/>
      </c>
      <c r="K2818" s="4562">
        <f>IF(D2818="","",D2818*J2818)</f>
        <v/>
      </c>
      <c r="L2818" s="4562">
        <f>XLOOKUP(B2818,'_Sys|Line_Map'!$A:$A,'_Sys|Line_Map'!$B:$B,"MISSING",0)</f>
        <v/>
      </c>
    </row>
    <row r="2819">
      <c r="A2819" s="4561" t="n"/>
      <c r="B2819" s="4561" t="n"/>
      <c r="C2819" s="4561" t="n"/>
      <c r="D2819" s="4561" t="n"/>
      <c r="E2819" s="4561" t="n"/>
      <c r="F2819" s="4561" t="n"/>
      <c r="G2819" s="4561" t="n"/>
      <c r="H2819" s="4561" t="n"/>
      <c r="I2819" s="4562">
        <f>XLOOKUP(B2819,'_Sys|Line_Map'!$A:$A,'_Sys|Line_Map'!$C:$C,"MISSING",0)</f>
        <v/>
      </c>
      <c r="J2819" s="4562">
        <f>XLOOKUP(B2819,'_Sys|Line_Map'!$A:$A,'_Sys|Line_Map'!$D:$D,1,0)</f>
        <v/>
      </c>
      <c r="K2819" s="4562">
        <f>IF(D2819="","",D2819*J2819)</f>
        <v/>
      </c>
      <c r="L2819" s="4562">
        <f>XLOOKUP(B2819,'_Sys|Line_Map'!$A:$A,'_Sys|Line_Map'!$B:$B,"MISSING",0)</f>
        <v/>
      </c>
    </row>
    <row r="2820">
      <c r="A2820" s="4561" t="n"/>
      <c r="B2820" s="4561" t="n"/>
      <c r="C2820" s="4561" t="n"/>
      <c r="D2820" s="4561" t="n"/>
      <c r="E2820" s="4561" t="n"/>
      <c r="F2820" s="4561" t="n"/>
      <c r="G2820" s="4561" t="n"/>
      <c r="H2820" s="4561" t="n"/>
      <c r="I2820" s="4562">
        <f>XLOOKUP(B2820,'_Sys|Line_Map'!$A:$A,'_Sys|Line_Map'!$C:$C,"MISSING",0)</f>
        <v/>
      </c>
      <c r="J2820" s="4562">
        <f>XLOOKUP(B2820,'_Sys|Line_Map'!$A:$A,'_Sys|Line_Map'!$D:$D,1,0)</f>
        <v/>
      </c>
      <c r="K2820" s="4562">
        <f>IF(D2820="","",D2820*J2820)</f>
        <v/>
      </c>
      <c r="L2820" s="4562">
        <f>XLOOKUP(B2820,'_Sys|Line_Map'!$A:$A,'_Sys|Line_Map'!$B:$B,"MISSING",0)</f>
        <v/>
      </c>
    </row>
    <row r="2821">
      <c r="A2821" s="4561" t="n"/>
      <c r="B2821" s="4561" t="n"/>
      <c r="C2821" s="4561" t="n"/>
      <c r="D2821" s="4561" t="n"/>
      <c r="E2821" s="4561" t="n"/>
      <c r="F2821" s="4561" t="n"/>
      <c r="G2821" s="4561" t="n"/>
      <c r="H2821" s="4561" t="n"/>
      <c r="I2821" s="4562">
        <f>XLOOKUP(B2821,'_Sys|Line_Map'!$A:$A,'_Sys|Line_Map'!$C:$C,"MISSING",0)</f>
        <v/>
      </c>
      <c r="J2821" s="4562">
        <f>XLOOKUP(B2821,'_Sys|Line_Map'!$A:$A,'_Sys|Line_Map'!$D:$D,1,0)</f>
        <v/>
      </c>
      <c r="K2821" s="4562">
        <f>IF(D2821="","",D2821*J2821)</f>
        <v/>
      </c>
      <c r="L2821" s="4562">
        <f>XLOOKUP(B2821,'_Sys|Line_Map'!$A:$A,'_Sys|Line_Map'!$B:$B,"MISSING",0)</f>
        <v/>
      </c>
    </row>
    <row r="2822">
      <c r="A2822" s="4561" t="n"/>
      <c r="B2822" s="4561" t="n"/>
      <c r="C2822" s="4561" t="n"/>
      <c r="D2822" s="4561" t="n"/>
      <c r="E2822" s="4561" t="n"/>
      <c r="F2822" s="4561" t="n"/>
      <c r="G2822" s="4561" t="n"/>
      <c r="H2822" s="4561" t="n"/>
      <c r="I2822" s="4562">
        <f>XLOOKUP(B2822,'_Sys|Line_Map'!$A:$A,'_Sys|Line_Map'!$C:$C,"MISSING",0)</f>
        <v/>
      </c>
      <c r="J2822" s="4562">
        <f>XLOOKUP(B2822,'_Sys|Line_Map'!$A:$A,'_Sys|Line_Map'!$D:$D,1,0)</f>
        <v/>
      </c>
      <c r="K2822" s="4562">
        <f>IF(D2822="","",D2822*J2822)</f>
        <v/>
      </c>
      <c r="L2822" s="4562">
        <f>XLOOKUP(B2822,'_Sys|Line_Map'!$A:$A,'_Sys|Line_Map'!$B:$B,"MISSING",0)</f>
        <v/>
      </c>
    </row>
    <row r="2823">
      <c r="A2823" s="4561" t="n"/>
      <c r="B2823" s="4561" t="n"/>
      <c r="C2823" s="4561" t="n"/>
      <c r="D2823" s="4561" t="n"/>
      <c r="E2823" s="4561" t="n"/>
      <c r="F2823" s="4561" t="n"/>
      <c r="G2823" s="4561" t="n"/>
      <c r="H2823" s="4561" t="n"/>
      <c r="I2823" s="4562">
        <f>XLOOKUP(B2823,'_Sys|Line_Map'!$A:$A,'_Sys|Line_Map'!$C:$C,"MISSING",0)</f>
        <v/>
      </c>
      <c r="J2823" s="4562">
        <f>XLOOKUP(B2823,'_Sys|Line_Map'!$A:$A,'_Sys|Line_Map'!$D:$D,1,0)</f>
        <v/>
      </c>
      <c r="K2823" s="4562">
        <f>IF(D2823="","",D2823*J2823)</f>
        <v/>
      </c>
      <c r="L2823" s="4562">
        <f>XLOOKUP(B2823,'_Sys|Line_Map'!$A:$A,'_Sys|Line_Map'!$B:$B,"MISSING",0)</f>
        <v/>
      </c>
    </row>
    <row r="2824">
      <c r="A2824" s="4561" t="n"/>
      <c r="B2824" s="4561" t="n"/>
      <c r="C2824" s="4561" t="n"/>
      <c r="D2824" s="4561" t="n"/>
      <c r="E2824" s="4561" t="n"/>
      <c r="F2824" s="4561" t="n"/>
      <c r="G2824" s="4561" t="n"/>
      <c r="H2824" s="4561" t="n"/>
      <c r="I2824" s="4562">
        <f>XLOOKUP(B2824,'_Sys|Line_Map'!$A:$A,'_Sys|Line_Map'!$C:$C,"MISSING",0)</f>
        <v/>
      </c>
      <c r="J2824" s="4562">
        <f>XLOOKUP(B2824,'_Sys|Line_Map'!$A:$A,'_Sys|Line_Map'!$D:$D,1,0)</f>
        <v/>
      </c>
      <c r="K2824" s="4562">
        <f>IF(D2824="","",D2824*J2824)</f>
        <v/>
      </c>
      <c r="L2824" s="4562">
        <f>XLOOKUP(B2824,'_Sys|Line_Map'!$A:$A,'_Sys|Line_Map'!$B:$B,"MISSING",0)</f>
        <v/>
      </c>
    </row>
    <row r="2825">
      <c r="A2825" s="4561" t="n"/>
      <c r="B2825" s="4561" t="n"/>
      <c r="C2825" s="4561" t="n"/>
      <c r="D2825" s="4561" t="n"/>
      <c r="E2825" s="4561" t="n"/>
      <c r="F2825" s="4561" t="n"/>
      <c r="G2825" s="4561" t="n"/>
      <c r="H2825" s="4561" t="n"/>
      <c r="I2825" s="4562">
        <f>XLOOKUP(B2825,'_Sys|Line_Map'!$A:$A,'_Sys|Line_Map'!$C:$C,"MISSING",0)</f>
        <v/>
      </c>
      <c r="J2825" s="4562">
        <f>XLOOKUP(B2825,'_Sys|Line_Map'!$A:$A,'_Sys|Line_Map'!$D:$D,1,0)</f>
        <v/>
      </c>
      <c r="K2825" s="4562">
        <f>IF(D2825="","",D2825*J2825)</f>
        <v/>
      </c>
      <c r="L2825" s="4562">
        <f>XLOOKUP(B2825,'_Sys|Line_Map'!$A:$A,'_Sys|Line_Map'!$B:$B,"MISSING",0)</f>
        <v/>
      </c>
    </row>
    <row r="2826">
      <c r="A2826" s="4561" t="n"/>
      <c r="B2826" s="4561" t="n"/>
      <c r="C2826" s="4561" t="n"/>
      <c r="D2826" s="4561" t="n"/>
      <c r="E2826" s="4561" t="n"/>
      <c r="F2826" s="4561" t="n"/>
      <c r="G2826" s="4561" t="n"/>
      <c r="H2826" s="4561" t="n"/>
      <c r="I2826" s="4562">
        <f>XLOOKUP(B2826,'_Sys|Line_Map'!$A:$A,'_Sys|Line_Map'!$C:$C,"MISSING",0)</f>
        <v/>
      </c>
      <c r="J2826" s="4562">
        <f>XLOOKUP(B2826,'_Sys|Line_Map'!$A:$A,'_Sys|Line_Map'!$D:$D,1,0)</f>
        <v/>
      </c>
      <c r="K2826" s="4562">
        <f>IF(D2826="","",D2826*J2826)</f>
        <v/>
      </c>
      <c r="L2826" s="4562">
        <f>XLOOKUP(B2826,'_Sys|Line_Map'!$A:$A,'_Sys|Line_Map'!$B:$B,"MISSING",0)</f>
        <v/>
      </c>
    </row>
    <row r="2827">
      <c r="A2827" s="4561" t="n"/>
      <c r="B2827" s="4561" t="n"/>
      <c r="C2827" s="4561" t="n"/>
      <c r="D2827" s="4561" t="n"/>
      <c r="E2827" s="4561" t="n"/>
      <c r="F2827" s="4561" t="n"/>
      <c r="G2827" s="4561" t="n"/>
      <c r="H2827" s="4561" t="n"/>
      <c r="I2827" s="4562">
        <f>XLOOKUP(B2827,'_Sys|Line_Map'!$A:$A,'_Sys|Line_Map'!$C:$C,"MISSING",0)</f>
        <v/>
      </c>
      <c r="J2827" s="4562">
        <f>XLOOKUP(B2827,'_Sys|Line_Map'!$A:$A,'_Sys|Line_Map'!$D:$D,1,0)</f>
        <v/>
      </c>
      <c r="K2827" s="4562">
        <f>IF(D2827="","",D2827*J2827)</f>
        <v/>
      </c>
      <c r="L2827" s="4562">
        <f>XLOOKUP(B2827,'_Sys|Line_Map'!$A:$A,'_Sys|Line_Map'!$B:$B,"MISSING",0)</f>
        <v/>
      </c>
    </row>
    <row r="2828">
      <c r="A2828" s="4561" t="n"/>
      <c r="B2828" s="4561" t="n"/>
      <c r="C2828" s="4561" t="n"/>
      <c r="D2828" s="4561" t="n"/>
      <c r="E2828" s="4561" t="n"/>
      <c r="F2828" s="4561" t="n"/>
      <c r="G2828" s="4561" t="n"/>
      <c r="H2828" s="4561" t="n"/>
      <c r="I2828" s="4562">
        <f>XLOOKUP(B2828,'_Sys|Line_Map'!$A:$A,'_Sys|Line_Map'!$C:$C,"MISSING",0)</f>
        <v/>
      </c>
      <c r="J2828" s="4562">
        <f>XLOOKUP(B2828,'_Sys|Line_Map'!$A:$A,'_Sys|Line_Map'!$D:$D,1,0)</f>
        <v/>
      </c>
      <c r="K2828" s="4562">
        <f>IF(D2828="","",D2828*J2828)</f>
        <v/>
      </c>
      <c r="L2828" s="4562">
        <f>XLOOKUP(B2828,'_Sys|Line_Map'!$A:$A,'_Sys|Line_Map'!$B:$B,"MISSING",0)</f>
        <v/>
      </c>
    </row>
    <row r="2829">
      <c r="A2829" s="4561" t="n"/>
      <c r="B2829" s="4561" t="n"/>
      <c r="C2829" s="4561" t="n"/>
      <c r="D2829" s="4561" t="n"/>
      <c r="E2829" s="4561" t="n"/>
      <c r="F2829" s="4561" t="n"/>
      <c r="G2829" s="4561" t="n"/>
      <c r="H2829" s="4561" t="n"/>
      <c r="I2829" s="4562">
        <f>XLOOKUP(B2829,'_Sys|Line_Map'!$A:$A,'_Sys|Line_Map'!$C:$C,"MISSING",0)</f>
        <v/>
      </c>
      <c r="J2829" s="4562">
        <f>XLOOKUP(B2829,'_Sys|Line_Map'!$A:$A,'_Sys|Line_Map'!$D:$D,1,0)</f>
        <v/>
      </c>
      <c r="K2829" s="4562">
        <f>IF(D2829="","",D2829*J2829)</f>
        <v/>
      </c>
      <c r="L2829" s="4562">
        <f>XLOOKUP(B2829,'_Sys|Line_Map'!$A:$A,'_Sys|Line_Map'!$B:$B,"MISSING",0)</f>
        <v/>
      </c>
    </row>
    <row r="2830">
      <c r="A2830" s="4561" t="n"/>
      <c r="B2830" s="4561" t="n"/>
      <c r="C2830" s="4561" t="n"/>
      <c r="D2830" s="4561" t="n"/>
      <c r="E2830" s="4561" t="n"/>
      <c r="F2830" s="4561" t="n"/>
      <c r="G2830" s="4561" t="n"/>
      <c r="H2830" s="4561" t="n"/>
      <c r="I2830" s="4562">
        <f>XLOOKUP(B2830,'_Sys|Line_Map'!$A:$A,'_Sys|Line_Map'!$C:$C,"MISSING",0)</f>
        <v/>
      </c>
      <c r="J2830" s="4562">
        <f>XLOOKUP(B2830,'_Sys|Line_Map'!$A:$A,'_Sys|Line_Map'!$D:$D,1,0)</f>
        <v/>
      </c>
      <c r="K2830" s="4562">
        <f>IF(D2830="","",D2830*J2830)</f>
        <v/>
      </c>
      <c r="L2830" s="4562">
        <f>XLOOKUP(B2830,'_Sys|Line_Map'!$A:$A,'_Sys|Line_Map'!$B:$B,"MISSING",0)</f>
        <v/>
      </c>
    </row>
    <row r="2831">
      <c r="A2831" s="4561" t="n"/>
      <c r="B2831" s="4561" t="n"/>
      <c r="C2831" s="4561" t="n"/>
      <c r="D2831" s="4561" t="n"/>
      <c r="E2831" s="4561" t="n"/>
      <c r="F2831" s="4561" t="n"/>
      <c r="G2831" s="4561" t="n"/>
      <c r="H2831" s="4561" t="n"/>
      <c r="I2831" s="4562">
        <f>XLOOKUP(B2831,'_Sys|Line_Map'!$A:$A,'_Sys|Line_Map'!$C:$C,"MISSING",0)</f>
        <v/>
      </c>
      <c r="J2831" s="4562">
        <f>XLOOKUP(B2831,'_Sys|Line_Map'!$A:$A,'_Sys|Line_Map'!$D:$D,1,0)</f>
        <v/>
      </c>
      <c r="K2831" s="4562">
        <f>IF(D2831="","",D2831*J2831)</f>
        <v/>
      </c>
      <c r="L2831" s="4562">
        <f>XLOOKUP(B2831,'_Sys|Line_Map'!$A:$A,'_Sys|Line_Map'!$B:$B,"MISSING",0)</f>
        <v/>
      </c>
    </row>
    <row r="2832">
      <c r="A2832" s="4561" t="n"/>
      <c r="B2832" s="4561" t="n"/>
      <c r="C2832" s="4561" t="n"/>
      <c r="D2832" s="4561" t="n"/>
      <c r="E2832" s="4561" t="n"/>
      <c r="F2832" s="4561" t="n"/>
      <c r="G2832" s="4561" t="n"/>
      <c r="H2832" s="4561" t="n"/>
      <c r="I2832" s="4562">
        <f>XLOOKUP(B2832,'_Sys|Line_Map'!$A:$A,'_Sys|Line_Map'!$C:$C,"MISSING",0)</f>
        <v/>
      </c>
      <c r="J2832" s="4562">
        <f>XLOOKUP(B2832,'_Sys|Line_Map'!$A:$A,'_Sys|Line_Map'!$D:$D,1,0)</f>
        <v/>
      </c>
      <c r="K2832" s="4562">
        <f>IF(D2832="","",D2832*J2832)</f>
        <v/>
      </c>
      <c r="L2832" s="4562">
        <f>XLOOKUP(B2832,'_Sys|Line_Map'!$A:$A,'_Sys|Line_Map'!$B:$B,"MISSING",0)</f>
        <v/>
      </c>
    </row>
    <row r="2833">
      <c r="A2833" s="4561" t="n"/>
      <c r="B2833" s="4561" t="n"/>
      <c r="C2833" s="4561" t="n"/>
      <c r="D2833" s="4561" t="n"/>
      <c r="E2833" s="4561" t="n"/>
      <c r="F2833" s="4561" t="n"/>
      <c r="G2833" s="4561" t="n"/>
      <c r="H2833" s="4561" t="n"/>
      <c r="I2833" s="4562">
        <f>XLOOKUP(B2833,'_Sys|Line_Map'!$A:$A,'_Sys|Line_Map'!$C:$C,"MISSING",0)</f>
        <v/>
      </c>
      <c r="J2833" s="4562">
        <f>XLOOKUP(B2833,'_Sys|Line_Map'!$A:$A,'_Sys|Line_Map'!$D:$D,1,0)</f>
        <v/>
      </c>
      <c r="K2833" s="4562">
        <f>IF(D2833="","",D2833*J2833)</f>
        <v/>
      </c>
      <c r="L2833" s="4562">
        <f>XLOOKUP(B2833,'_Sys|Line_Map'!$A:$A,'_Sys|Line_Map'!$B:$B,"MISSING",0)</f>
        <v/>
      </c>
    </row>
    <row r="2834">
      <c r="A2834" s="4561" t="n"/>
      <c r="B2834" s="4561" t="n"/>
      <c r="C2834" s="4561" t="n"/>
      <c r="D2834" s="4561" t="n"/>
      <c r="E2834" s="4561" t="n"/>
      <c r="F2834" s="4561" t="n"/>
      <c r="G2834" s="4561" t="n"/>
      <c r="H2834" s="4561" t="n"/>
      <c r="I2834" s="4562">
        <f>XLOOKUP(B2834,'_Sys|Line_Map'!$A:$A,'_Sys|Line_Map'!$C:$C,"MISSING",0)</f>
        <v/>
      </c>
      <c r="J2834" s="4562">
        <f>XLOOKUP(B2834,'_Sys|Line_Map'!$A:$A,'_Sys|Line_Map'!$D:$D,1,0)</f>
        <v/>
      </c>
      <c r="K2834" s="4562">
        <f>IF(D2834="","",D2834*J2834)</f>
        <v/>
      </c>
      <c r="L2834" s="4562">
        <f>XLOOKUP(B2834,'_Sys|Line_Map'!$A:$A,'_Sys|Line_Map'!$B:$B,"MISSING",0)</f>
        <v/>
      </c>
    </row>
    <row r="2835">
      <c r="A2835" s="4561" t="n"/>
      <c r="B2835" s="4561" t="n"/>
      <c r="C2835" s="4561" t="n"/>
      <c r="D2835" s="4561" t="n"/>
      <c r="E2835" s="4561" t="n"/>
      <c r="F2835" s="4561" t="n"/>
      <c r="G2835" s="4561" t="n"/>
      <c r="H2835" s="4561" t="n"/>
      <c r="I2835" s="4562">
        <f>XLOOKUP(B2835,'_Sys|Line_Map'!$A:$A,'_Sys|Line_Map'!$C:$C,"MISSING",0)</f>
        <v/>
      </c>
      <c r="J2835" s="4562">
        <f>XLOOKUP(B2835,'_Sys|Line_Map'!$A:$A,'_Sys|Line_Map'!$D:$D,1,0)</f>
        <v/>
      </c>
      <c r="K2835" s="4562">
        <f>IF(D2835="","",D2835*J2835)</f>
        <v/>
      </c>
      <c r="L2835" s="4562">
        <f>XLOOKUP(B2835,'_Sys|Line_Map'!$A:$A,'_Sys|Line_Map'!$B:$B,"MISSING",0)</f>
        <v/>
      </c>
    </row>
    <row r="2836">
      <c r="A2836" s="4561" t="n"/>
      <c r="B2836" s="4561" t="n"/>
      <c r="C2836" s="4561" t="n"/>
      <c r="D2836" s="4561" t="n"/>
      <c r="E2836" s="4561" t="n"/>
      <c r="F2836" s="4561" t="n"/>
      <c r="G2836" s="4561" t="n"/>
      <c r="H2836" s="4561" t="n"/>
      <c r="I2836" s="4562">
        <f>XLOOKUP(B2836,'_Sys|Line_Map'!$A:$A,'_Sys|Line_Map'!$C:$C,"MISSING",0)</f>
        <v/>
      </c>
      <c r="J2836" s="4562">
        <f>XLOOKUP(B2836,'_Sys|Line_Map'!$A:$A,'_Sys|Line_Map'!$D:$D,1,0)</f>
        <v/>
      </c>
      <c r="K2836" s="4562">
        <f>IF(D2836="","",D2836*J2836)</f>
        <v/>
      </c>
      <c r="L2836" s="4562">
        <f>XLOOKUP(B2836,'_Sys|Line_Map'!$A:$A,'_Sys|Line_Map'!$B:$B,"MISSING",0)</f>
        <v/>
      </c>
    </row>
    <row r="2837">
      <c r="A2837" s="4561" t="n"/>
      <c r="B2837" s="4561" t="n"/>
      <c r="C2837" s="4561" t="n"/>
      <c r="D2837" s="4561" t="n"/>
      <c r="E2837" s="4561" t="n"/>
      <c r="F2837" s="4561" t="n"/>
      <c r="G2837" s="4561" t="n"/>
      <c r="H2837" s="4561" t="n"/>
      <c r="I2837" s="4562">
        <f>XLOOKUP(B2837,'_Sys|Line_Map'!$A:$A,'_Sys|Line_Map'!$C:$C,"MISSING",0)</f>
        <v/>
      </c>
      <c r="J2837" s="4562">
        <f>XLOOKUP(B2837,'_Sys|Line_Map'!$A:$A,'_Sys|Line_Map'!$D:$D,1,0)</f>
        <v/>
      </c>
      <c r="K2837" s="4562">
        <f>IF(D2837="","",D2837*J2837)</f>
        <v/>
      </c>
      <c r="L2837" s="4562">
        <f>XLOOKUP(B2837,'_Sys|Line_Map'!$A:$A,'_Sys|Line_Map'!$B:$B,"MISSING",0)</f>
        <v/>
      </c>
    </row>
    <row r="2838">
      <c r="A2838" s="4561" t="n"/>
      <c r="B2838" s="4561" t="n"/>
      <c r="C2838" s="4561" t="n"/>
      <c r="D2838" s="4561" t="n"/>
      <c r="E2838" s="4561" t="n"/>
      <c r="F2838" s="4561" t="n"/>
      <c r="G2838" s="4561" t="n"/>
      <c r="H2838" s="4561" t="n"/>
      <c r="I2838" s="4562">
        <f>XLOOKUP(B2838,'_Sys|Line_Map'!$A:$A,'_Sys|Line_Map'!$C:$C,"MISSING",0)</f>
        <v/>
      </c>
      <c r="J2838" s="4562">
        <f>XLOOKUP(B2838,'_Sys|Line_Map'!$A:$A,'_Sys|Line_Map'!$D:$D,1,0)</f>
        <v/>
      </c>
      <c r="K2838" s="4562">
        <f>IF(D2838="","",D2838*J2838)</f>
        <v/>
      </c>
      <c r="L2838" s="4562">
        <f>XLOOKUP(B2838,'_Sys|Line_Map'!$A:$A,'_Sys|Line_Map'!$B:$B,"MISSING",0)</f>
        <v/>
      </c>
    </row>
    <row r="2839">
      <c r="A2839" s="4561" t="n"/>
      <c r="B2839" s="4561" t="n"/>
      <c r="C2839" s="4561" t="n"/>
      <c r="D2839" s="4561" t="n"/>
      <c r="E2839" s="4561" t="n"/>
      <c r="F2839" s="4561" t="n"/>
      <c r="G2839" s="4561" t="n"/>
      <c r="H2839" s="4561" t="n"/>
      <c r="I2839" s="4562">
        <f>XLOOKUP(B2839,'_Sys|Line_Map'!$A:$A,'_Sys|Line_Map'!$C:$C,"MISSING",0)</f>
        <v/>
      </c>
      <c r="J2839" s="4562">
        <f>XLOOKUP(B2839,'_Sys|Line_Map'!$A:$A,'_Sys|Line_Map'!$D:$D,1,0)</f>
        <v/>
      </c>
      <c r="K2839" s="4562">
        <f>IF(D2839="","",D2839*J2839)</f>
        <v/>
      </c>
      <c r="L2839" s="4562">
        <f>XLOOKUP(B2839,'_Sys|Line_Map'!$A:$A,'_Sys|Line_Map'!$B:$B,"MISSING",0)</f>
        <v/>
      </c>
    </row>
    <row r="2840">
      <c r="A2840" s="4561" t="n"/>
      <c r="B2840" s="4561" t="n"/>
      <c r="C2840" s="4561" t="n"/>
      <c r="D2840" s="4561" t="n"/>
      <c r="E2840" s="4561" t="n"/>
      <c r="F2840" s="4561" t="n"/>
      <c r="G2840" s="4561" t="n"/>
      <c r="H2840" s="4561" t="n"/>
      <c r="I2840" s="4562">
        <f>XLOOKUP(B2840,'_Sys|Line_Map'!$A:$A,'_Sys|Line_Map'!$C:$C,"MISSING",0)</f>
        <v/>
      </c>
      <c r="J2840" s="4562">
        <f>XLOOKUP(B2840,'_Sys|Line_Map'!$A:$A,'_Sys|Line_Map'!$D:$D,1,0)</f>
        <v/>
      </c>
      <c r="K2840" s="4562">
        <f>IF(D2840="","",D2840*J2840)</f>
        <v/>
      </c>
      <c r="L2840" s="4562">
        <f>XLOOKUP(B2840,'_Sys|Line_Map'!$A:$A,'_Sys|Line_Map'!$B:$B,"MISSING",0)</f>
        <v/>
      </c>
    </row>
    <row r="2841">
      <c r="A2841" s="4561" t="n"/>
      <c r="B2841" s="4561" t="n"/>
      <c r="C2841" s="4561" t="n"/>
      <c r="D2841" s="4561" t="n"/>
      <c r="E2841" s="4561" t="n"/>
      <c r="F2841" s="4561" t="n"/>
      <c r="G2841" s="4561" t="n"/>
      <c r="H2841" s="4561" t="n"/>
      <c r="I2841" s="4562">
        <f>XLOOKUP(B2841,'_Sys|Line_Map'!$A:$A,'_Sys|Line_Map'!$C:$C,"MISSING",0)</f>
        <v/>
      </c>
      <c r="J2841" s="4562">
        <f>XLOOKUP(B2841,'_Sys|Line_Map'!$A:$A,'_Sys|Line_Map'!$D:$D,1,0)</f>
        <v/>
      </c>
      <c r="K2841" s="4562">
        <f>IF(D2841="","",D2841*J2841)</f>
        <v/>
      </c>
      <c r="L2841" s="4562">
        <f>XLOOKUP(B2841,'_Sys|Line_Map'!$A:$A,'_Sys|Line_Map'!$B:$B,"MISSING",0)</f>
        <v/>
      </c>
    </row>
    <row r="2842">
      <c r="A2842" s="4561" t="n"/>
      <c r="B2842" s="4561" t="n"/>
      <c r="C2842" s="4561" t="n"/>
      <c r="D2842" s="4561" t="n"/>
      <c r="E2842" s="4561" t="n"/>
      <c r="F2842" s="4561" t="n"/>
      <c r="G2842" s="4561" t="n"/>
      <c r="H2842" s="4561" t="n"/>
      <c r="I2842" s="4562">
        <f>XLOOKUP(B2842,'_Sys|Line_Map'!$A:$A,'_Sys|Line_Map'!$C:$C,"MISSING",0)</f>
        <v/>
      </c>
      <c r="J2842" s="4562">
        <f>XLOOKUP(B2842,'_Sys|Line_Map'!$A:$A,'_Sys|Line_Map'!$D:$D,1,0)</f>
        <v/>
      </c>
      <c r="K2842" s="4562">
        <f>IF(D2842="","",D2842*J2842)</f>
        <v/>
      </c>
      <c r="L2842" s="4562">
        <f>XLOOKUP(B2842,'_Sys|Line_Map'!$A:$A,'_Sys|Line_Map'!$B:$B,"MISSING",0)</f>
        <v/>
      </c>
    </row>
    <row r="2843">
      <c r="A2843" s="4561" t="n"/>
      <c r="B2843" s="4561" t="n"/>
      <c r="C2843" s="4561" t="n"/>
      <c r="D2843" s="4561" t="n"/>
      <c r="E2843" s="4561" t="n"/>
      <c r="F2843" s="4561" t="n"/>
      <c r="G2843" s="4561" t="n"/>
      <c r="H2843" s="4561" t="n"/>
      <c r="I2843" s="4562">
        <f>XLOOKUP(B2843,'_Sys|Line_Map'!$A:$A,'_Sys|Line_Map'!$C:$C,"MISSING",0)</f>
        <v/>
      </c>
      <c r="J2843" s="4562">
        <f>XLOOKUP(B2843,'_Sys|Line_Map'!$A:$A,'_Sys|Line_Map'!$D:$D,1,0)</f>
        <v/>
      </c>
      <c r="K2843" s="4562">
        <f>IF(D2843="","",D2843*J2843)</f>
        <v/>
      </c>
      <c r="L2843" s="4562">
        <f>XLOOKUP(B2843,'_Sys|Line_Map'!$A:$A,'_Sys|Line_Map'!$B:$B,"MISSING",0)</f>
        <v/>
      </c>
    </row>
    <row r="2844">
      <c r="A2844" s="4561" t="n"/>
      <c r="B2844" s="4561" t="n"/>
      <c r="C2844" s="4561" t="n"/>
      <c r="D2844" s="4561" t="n"/>
      <c r="E2844" s="4561" t="n"/>
      <c r="F2844" s="4561" t="n"/>
      <c r="G2844" s="4561" t="n"/>
      <c r="H2844" s="4561" t="n"/>
      <c r="I2844" s="4562">
        <f>XLOOKUP(B2844,'_Sys|Line_Map'!$A:$A,'_Sys|Line_Map'!$C:$C,"MISSING",0)</f>
        <v/>
      </c>
      <c r="J2844" s="4562">
        <f>XLOOKUP(B2844,'_Sys|Line_Map'!$A:$A,'_Sys|Line_Map'!$D:$D,1,0)</f>
        <v/>
      </c>
      <c r="K2844" s="4562">
        <f>IF(D2844="","",D2844*J2844)</f>
        <v/>
      </c>
      <c r="L2844" s="4562">
        <f>XLOOKUP(B2844,'_Sys|Line_Map'!$A:$A,'_Sys|Line_Map'!$B:$B,"MISSING",0)</f>
        <v/>
      </c>
    </row>
    <row r="2845">
      <c r="A2845" s="4561" t="n"/>
      <c r="B2845" s="4561" t="n"/>
      <c r="C2845" s="4561" t="n"/>
      <c r="D2845" s="4561" t="n"/>
      <c r="E2845" s="4561" t="n"/>
      <c r="F2845" s="4561" t="n"/>
      <c r="G2845" s="4561" t="n"/>
      <c r="H2845" s="4561" t="n"/>
      <c r="I2845" s="4562">
        <f>XLOOKUP(B2845,'_Sys|Line_Map'!$A:$A,'_Sys|Line_Map'!$C:$C,"MISSING",0)</f>
        <v/>
      </c>
      <c r="J2845" s="4562">
        <f>XLOOKUP(B2845,'_Sys|Line_Map'!$A:$A,'_Sys|Line_Map'!$D:$D,1,0)</f>
        <v/>
      </c>
      <c r="K2845" s="4562">
        <f>IF(D2845="","",D2845*J2845)</f>
        <v/>
      </c>
      <c r="L2845" s="4562">
        <f>XLOOKUP(B2845,'_Sys|Line_Map'!$A:$A,'_Sys|Line_Map'!$B:$B,"MISSING",0)</f>
        <v/>
      </c>
    </row>
    <row r="2846">
      <c r="A2846" s="4561" t="n"/>
      <c r="B2846" s="4561" t="n"/>
      <c r="C2846" s="4561" t="n"/>
      <c r="D2846" s="4561" t="n"/>
      <c r="E2846" s="4561" t="n"/>
      <c r="F2846" s="4561" t="n"/>
      <c r="G2846" s="4561" t="n"/>
      <c r="H2846" s="4561" t="n"/>
      <c r="I2846" s="4562">
        <f>XLOOKUP(B2846,'_Sys|Line_Map'!$A:$A,'_Sys|Line_Map'!$C:$C,"MISSING",0)</f>
        <v/>
      </c>
      <c r="J2846" s="4562">
        <f>XLOOKUP(B2846,'_Sys|Line_Map'!$A:$A,'_Sys|Line_Map'!$D:$D,1,0)</f>
        <v/>
      </c>
      <c r="K2846" s="4562">
        <f>IF(D2846="","",D2846*J2846)</f>
        <v/>
      </c>
      <c r="L2846" s="4562">
        <f>XLOOKUP(B2846,'_Sys|Line_Map'!$A:$A,'_Sys|Line_Map'!$B:$B,"MISSING",0)</f>
        <v/>
      </c>
    </row>
    <row r="2847">
      <c r="A2847" s="4561" t="n"/>
      <c r="B2847" s="4561" t="n"/>
      <c r="C2847" s="4561" t="n"/>
      <c r="D2847" s="4561" t="n"/>
      <c r="E2847" s="4561" t="n"/>
      <c r="F2847" s="4561" t="n"/>
      <c r="G2847" s="4561" t="n"/>
      <c r="H2847" s="4561" t="n"/>
      <c r="I2847" s="4562">
        <f>XLOOKUP(B2847,'_Sys|Line_Map'!$A:$A,'_Sys|Line_Map'!$C:$C,"MISSING",0)</f>
        <v/>
      </c>
      <c r="J2847" s="4562">
        <f>XLOOKUP(B2847,'_Sys|Line_Map'!$A:$A,'_Sys|Line_Map'!$D:$D,1,0)</f>
        <v/>
      </c>
      <c r="K2847" s="4562">
        <f>IF(D2847="","",D2847*J2847)</f>
        <v/>
      </c>
      <c r="L2847" s="4562">
        <f>XLOOKUP(B2847,'_Sys|Line_Map'!$A:$A,'_Sys|Line_Map'!$B:$B,"MISSING",0)</f>
        <v/>
      </c>
    </row>
    <row r="2848">
      <c r="A2848" s="4561" t="n"/>
      <c r="B2848" s="4561" t="n"/>
      <c r="C2848" s="4561" t="n"/>
      <c r="D2848" s="4561" t="n"/>
      <c r="E2848" s="4561" t="n"/>
      <c r="F2848" s="4561" t="n"/>
      <c r="G2848" s="4561" t="n"/>
      <c r="H2848" s="4561" t="n"/>
      <c r="I2848" s="4562">
        <f>XLOOKUP(B2848,'_Sys|Line_Map'!$A:$A,'_Sys|Line_Map'!$C:$C,"MISSING",0)</f>
        <v/>
      </c>
      <c r="J2848" s="4562">
        <f>XLOOKUP(B2848,'_Sys|Line_Map'!$A:$A,'_Sys|Line_Map'!$D:$D,1,0)</f>
        <v/>
      </c>
      <c r="K2848" s="4562">
        <f>IF(D2848="","",D2848*J2848)</f>
        <v/>
      </c>
      <c r="L2848" s="4562">
        <f>XLOOKUP(B2848,'_Sys|Line_Map'!$A:$A,'_Sys|Line_Map'!$B:$B,"MISSING",0)</f>
        <v/>
      </c>
    </row>
    <row r="2849">
      <c r="A2849" s="4561" t="n"/>
      <c r="B2849" s="4561" t="n"/>
      <c r="C2849" s="4561" t="n"/>
      <c r="D2849" s="4561" t="n"/>
      <c r="E2849" s="4561" t="n"/>
      <c r="F2849" s="4561" t="n"/>
      <c r="G2849" s="4561" t="n"/>
      <c r="H2849" s="4561" t="n"/>
      <c r="I2849" s="4562">
        <f>XLOOKUP(B2849,'_Sys|Line_Map'!$A:$A,'_Sys|Line_Map'!$C:$C,"MISSING",0)</f>
        <v/>
      </c>
      <c r="J2849" s="4562">
        <f>XLOOKUP(B2849,'_Sys|Line_Map'!$A:$A,'_Sys|Line_Map'!$D:$D,1,0)</f>
        <v/>
      </c>
      <c r="K2849" s="4562">
        <f>IF(D2849="","",D2849*J2849)</f>
        <v/>
      </c>
      <c r="L2849" s="4562">
        <f>XLOOKUP(B2849,'_Sys|Line_Map'!$A:$A,'_Sys|Line_Map'!$B:$B,"MISSING",0)</f>
        <v/>
      </c>
    </row>
    <row r="2850">
      <c r="A2850" s="4561" t="n"/>
      <c r="B2850" s="4561" t="n"/>
      <c r="C2850" s="4561" t="n"/>
      <c r="D2850" s="4561" t="n"/>
      <c r="E2850" s="4561" t="n"/>
      <c r="F2850" s="4561" t="n"/>
      <c r="G2850" s="4561" t="n"/>
      <c r="H2850" s="4561" t="n"/>
      <c r="I2850" s="4562">
        <f>XLOOKUP(B2850,'_Sys|Line_Map'!$A:$A,'_Sys|Line_Map'!$C:$C,"MISSING",0)</f>
        <v/>
      </c>
      <c r="J2850" s="4562">
        <f>XLOOKUP(B2850,'_Sys|Line_Map'!$A:$A,'_Sys|Line_Map'!$D:$D,1,0)</f>
        <v/>
      </c>
      <c r="K2850" s="4562">
        <f>IF(D2850="","",D2850*J2850)</f>
        <v/>
      </c>
      <c r="L2850" s="4562">
        <f>XLOOKUP(B2850,'_Sys|Line_Map'!$A:$A,'_Sys|Line_Map'!$B:$B,"MISSING",0)</f>
        <v/>
      </c>
    </row>
    <row r="2851">
      <c r="A2851" s="4561" t="n"/>
      <c r="B2851" s="4561" t="n"/>
      <c r="C2851" s="4561" t="n"/>
      <c r="D2851" s="4561" t="n"/>
      <c r="E2851" s="4561" t="n"/>
      <c r="F2851" s="4561" t="n"/>
      <c r="G2851" s="4561" t="n"/>
      <c r="H2851" s="4561" t="n"/>
      <c r="I2851" s="4562">
        <f>XLOOKUP(B2851,'_Sys|Line_Map'!$A:$A,'_Sys|Line_Map'!$C:$C,"MISSING",0)</f>
        <v/>
      </c>
      <c r="J2851" s="4562">
        <f>XLOOKUP(B2851,'_Sys|Line_Map'!$A:$A,'_Sys|Line_Map'!$D:$D,1,0)</f>
        <v/>
      </c>
      <c r="K2851" s="4562">
        <f>IF(D2851="","",D2851*J2851)</f>
        <v/>
      </c>
      <c r="L2851" s="4562">
        <f>XLOOKUP(B2851,'_Sys|Line_Map'!$A:$A,'_Sys|Line_Map'!$B:$B,"MISSING",0)</f>
        <v/>
      </c>
    </row>
    <row r="2852">
      <c r="A2852" s="4561" t="n"/>
      <c r="B2852" s="4561" t="n"/>
      <c r="C2852" s="4561" t="n"/>
      <c r="D2852" s="4561" t="n"/>
      <c r="E2852" s="4561" t="n"/>
      <c r="F2852" s="4561" t="n"/>
      <c r="G2852" s="4561" t="n"/>
      <c r="H2852" s="4561" t="n"/>
      <c r="I2852" s="4562">
        <f>XLOOKUP(B2852,'_Sys|Line_Map'!$A:$A,'_Sys|Line_Map'!$C:$C,"MISSING",0)</f>
        <v/>
      </c>
      <c r="J2852" s="4562">
        <f>XLOOKUP(B2852,'_Sys|Line_Map'!$A:$A,'_Sys|Line_Map'!$D:$D,1,0)</f>
        <v/>
      </c>
      <c r="K2852" s="4562">
        <f>IF(D2852="","",D2852*J2852)</f>
        <v/>
      </c>
      <c r="L2852" s="4562">
        <f>XLOOKUP(B2852,'_Sys|Line_Map'!$A:$A,'_Sys|Line_Map'!$B:$B,"MISSING",0)</f>
        <v/>
      </c>
    </row>
    <row r="2853">
      <c r="A2853" s="4561" t="n"/>
      <c r="B2853" s="4561" t="n"/>
      <c r="C2853" s="4561" t="n"/>
      <c r="D2853" s="4561" t="n"/>
      <c r="E2853" s="4561" t="n"/>
      <c r="F2853" s="4561" t="n"/>
      <c r="G2853" s="4561" t="n"/>
      <c r="H2853" s="4561" t="n"/>
      <c r="I2853" s="4562">
        <f>XLOOKUP(B2853,'_Sys|Line_Map'!$A:$A,'_Sys|Line_Map'!$C:$C,"MISSING",0)</f>
        <v/>
      </c>
      <c r="J2853" s="4562">
        <f>XLOOKUP(B2853,'_Sys|Line_Map'!$A:$A,'_Sys|Line_Map'!$D:$D,1,0)</f>
        <v/>
      </c>
      <c r="K2853" s="4562">
        <f>IF(D2853="","",D2853*J2853)</f>
        <v/>
      </c>
      <c r="L2853" s="4562">
        <f>XLOOKUP(B2853,'_Sys|Line_Map'!$A:$A,'_Sys|Line_Map'!$B:$B,"MISSING",0)</f>
        <v/>
      </c>
    </row>
    <row r="2854">
      <c r="A2854" s="4561" t="n"/>
      <c r="B2854" s="4561" t="n"/>
      <c r="C2854" s="4561" t="n"/>
      <c r="D2854" s="4561" t="n"/>
      <c r="E2854" s="4561" t="n"/>
      <c r="F2854" s="4561" t="n"/>
      <c r="G2854" s="4561" t="n"/>
      <c r="H2854" s="4561" t="n"/>
      <c r="I2854" s="4562">
        <f>XLOOKUP(B2854,'_Sys|Line_Map'!$A:$A,'_Sys|Line_Map'!$C:$C,"MISSING",0)</f>
        <v/>
      </c>
      <c r="J2854" s="4562">
        <f>XLOOKUP(B2854,'_Sys|Line_Map'!$A:$A,'_Sys|Line_Map'!$D:$D,1,0)</f>
        <v/>
      </c>
      <c r="K2854" s="4562">
        <f>IF(D2854="","",D2854*J2854)</f>
        <v/>
      </c>
      <c r="L2854" s="4562">
        <f>XLOOKUP(B2854,'_Sys|Line_Map'!$A:$A,'_Sys|Line_Map'!$B:$B,"MISSING",0)</f>
        <v/>
      </c>
    </row>
    <row r="2855">
      <c r="A2855" s="4561" t="n"/>
      <c r="B2855" s="4561" t="n"/>
      <c r="C2855" s="4561" t="n"/>
      <c r="D2855" s="4561" t="n"/>
      <c r="E2855" s="4561" t="n"/>
      <c r="F2855" s="4561" t="n"/>
      <c r="G2855" s="4561" t="n"/>
      <c r="H2855" s="4561" t="n"/>
      <c r="I2855" s="4562">
        <f>XLOOKUP(B2855,'_Sys|Line_Map'!$A:$A,'_Sys|Line_Map'!$C:$C,"MISSING",0)</f>
        <v/>
      </c>
      <c r="J2855" s="4562">
        <f>XLOOKUP(B2855,'_Sys|Line_Map'!$A:$A,'_Sys|Line_Map'!$D:$D,1,0)</f>
        <v/>
      </c>
      <c r="K2855" s="4562">
        <f>IF(D2855="","",D2855*J2855)</f>
        <v/>
      </c>
      <c r="L2855" s="4562">
        <f>XLOOKUP(B2855,'_Sys|Line_Map'!$A:$A,'_Sys|Line_Map'!$B:$B,"MISSING",0)</f>
        <v/>
      </c>
    </row>
    <row r="2856">
      <c r="A2856" s="4561" t="n"/>
      <c r="B2856" s="4561" t="n"/>
      <c r="C2856" s="4561" t="n"/>
      <c r="D2856" s="4561" t="n"/>
      <c r="E2856" s="4561" t="n"/>
      <c r="F2856" s="4561" t="n"/>
      <c r="G2856" s="4561" t="n"/>
      <c r="H2856" s="4561" t="n"/>
      <c r="I2856" s="4562">
        <f>XLOOKUP(B2856,'_Sys|Line_Map'!$A:$A,'_Sys|Line_Map'!$C:$C,"MISSING",0)</f>
        <v/>
      </c>
      <c r="J2856" s="4562">
        <f>XLOOKUP(B2856,'_Sys|Line_Map'!$A:$A,'_Sys|Line_Map'!$D:$D,1,0)</f>
        <v/>
      </c>
      <c r="K2856" s="4562">
        <f>IF(D2856="","",D2856*J2856)</f>
        <v/>
      </c>
      <c r="L2856" s="4562">
        <f>XLOOKUP(B2856,'_Sys|Line_Map'!$A:$A,'_Sys|Line_Map'!$B:$B,"MISSING",0)</f>
        <v/>
      </c>
    </row>
    <row r="2857">
      <c r="A2857" s="4561" t="n"/>
      <c r="B2857" s="4561" t="n"/>
      <c r="C2857" s="4561" t="n"/>
      <c r="D2857" s="4561" t="n"/>
      <c r="E2857" s="4561" t="n"/>
      <c r="F2857" s="4561" t="n"/>
      <c r="G2857" s="4561" t="n"/>
      <c r="H2857" s="4561" t="n"/>
      <c r="I2857" s="4562">
        <f>XLOOKUP(B2857,'_Sys|Line_Map'!$A:$A,'_Sys|Line_Map'!$C:$C,"MISSING",0)</f>
        <v/>
      </c>
      <c r="J2857" s="4562">
        <f>XLOOKUP(B2857,'_Sys|Line_Map'!$A:$A,'_Sys|Line_Map'!$D:$D,1,0)</f>
        <v/>
      </c>
      <c r="K2857" s="4562">
        <f>IF(D2857="","",D2857*J2857)</f>
        <v/>
      </c>
      <c r="L2857" s="4562">
        <f>XLOOKUP(B2857,'_Sys|Line_Map'!$A:$A,'_Sys|Line_Map'!$B:$B,"MISSING",0)</f>
        <v/>
      </c>
    </row>
    <row r="2858">
      <c r="A2858" s="4561" t="n"/>
      <c r="B2858" s="4561" t="n"/>
      <c r="C2858" s="4561" t="n"/>
      <c r="D2858" s="4561" t="n"/>
      <c r="E2858" s="4561" t="n"/>
      <c r="F2858" s="4561" t="n"/>
      <c r="G2858" s="4561" t="n"/>
      <c r="H2858" s="4561" t="n"/>
      <c r="I2858" s="4562">
        <f>XLOOKUP(B2858,'_Sys|Line_Map'!$A:$A,'_Sys|Line_Map'!$C:$C,"MISSING",0)</f>
        <v/>
      </c>
      <c r="J2858" s="4562">
        <f>XLOOKUP(B2858,'_Sys|Line_Map'!$A:$A,'_Sys|Line_Map'!$D:$D,1,0)</f>
        <v/>
      </c>
      <c r="K2858" s="4562">
        <f>IF(D2858="","",D2858*J2858)</f>
        <v/>
      </c>
      <c r="L2858" s="4562">
        <f>XLOOKUP(B2858,'_Sys|Line_Map'!$A:$A,'_Sys|Line_Map'!$B:$B,"MISSING",0)</f>
        <v/>
      </c>
    </row>
    <row r="2859">
      <c r="A2859" s="4561" t="n"/>
      <c r="B2859" s="4561" t="n"/>
      <c r="C2859" s="4561" t="n"/>
      <c r="D2859" s="4561" t="n"/>
      <c r="E2859" s="4561" t="n"/>
      <c r="F2859" s="4561" t="n"/>
      <c r="G2859" s="4561" t="n"/>
      <c r="H2859" s="4561" t="n"/>
      <c r="I2859" s="4562">
        <f>XLOOKUP(B2859,'_Sys|Line_Map'!$A:$A,'_Sys|Line_Map'!$C:$C,"MISSING",0)</f>
        <v/>
      </c>
      <c r="J2859" s="4562">
        <f>XLOOKUP(B2859,'_Sys|Line_Map'!$A:$A,'_Sys|Line_Map'!$D:$D,1,0)</f>
        <v/>
      </c>
      <c r="K2859" s="4562">
        <f>IF(D2859="","",D2859*J2859)</f>
        <v/>
      </c>
      <c r="L2859" s="4562">
        <f>XLOOKUP(B2859,'_Sys|Line_Map'!$A:$A,'_Sys|Line_Map'!$B:$B,"MISSING",0)</f>
        <v/>
      </c>
    </row>
    <row r="2860">
      <c r="A2860" s="4561" t="n"/>
      <c r="B2860" s="4561" t="n"/>
      <c r="C2860" s="4561" t="n"/>
      <c r="D2860" s="4561" t="n"/>
      <c r="E2860" s="4561" t="n"/>
      <c r="F2860" s="4561" t="n"/>
      <c r="G2860" s="4561" t="n"/>
      <c r="H2860" s="4561" t="n"/>
      <c r="I2860" s="4562">
        <f>XLOOKUP(B2860,'_Sys|Line_Map'!$A:$A,'_Sys|Line_Map'!$C:$C,"MISSING",0)</f>
        <v/>
      </c>
      <c r="J2860" s="4562">
        <f>XLOOKUP(B2860,'_Sys|Line_Map'!$A:$A,'_Sys|Line_Map'!$D:$D,1,0)</f>
        <v/>
      </c>
      <c r="K2860" s="4562">
        <f>IF(D2860="","",D2860*J2860)</f>
        <v/>
      </c>
      <c r="L2860" s="4562">
        <f>XLOOKUP(B2860,'_Sys|Line_Map'!$A:$A,'_Sys|Line_Map'!$B:$B,"MISSING",0)</f>
        <v/>
      </c>
    </row>
    <row r="2861">
      <c r="A2861" s="4561" t="n"/>
      <c r="B2861" s="4561" t="n"/>
      <c r="C2861" s="4561" t="n"/>
      <c r="D2861" s="4561" t="n"/>
      <c r="E2861" s="4561" t="n"/>
      <c r="F2861" s="4561" t="n"/>
      <c r="G2861" s="4561" t="n"/>
      <c r="H2861" s="4561" t="n"/>
      <c r="I2861" s="4562">
        <f>XLOOKUP(B2861,'_Sys|Line_Map'!$A:$A,'_Sys|Line_Map'!$C:$C,"MISSING",0)</f>
        <v/>
      </c>
      <c r="J2861" s="4562">
        <f>XLOOKUP(B2861,'_Sys|Line_Map'!$A:$A,'_Sys|Line_Map'!$D:$D,1,0)</f>
        <v/>
      </c>
      <c r="K2861" s="4562">
        <f>IF(D2861="","",D2861*J2861)</f>
        <v/>
      </c>
      <c r="L2861" s="4562">
        <f>XLOOKUP(B2861,'_Sys|Line_Map'!$A:$A,'_Sys|Line_Map'!$B:$B,"MISSING",0)</f>
        <v/>
      </c>
    </row>
    <row r="2862">
      <c r="A2862" s="4561" t="n"/>
      <c r="B2862" s="4561" t="n"/>
      <c r="C2862" s="4561" t="n"/>
      <c r="D2862" s="4561" t="n"/>
      <c r="E2862" s="4561" t="n"/>
      <c r="F2862" s="4561" t="n"/>
      <c r="G2862" s="4561" t="n"/>
      <c r="H2862" s="4561" t="n"/>
      <c r="I2862" s="4562">
        <f>XLOOKUP(B2862,'_Sys|Line_Map'!$A:$A,'_Sys|Line_Map'!$C:$C,"MISSING",0)</f>
        <v/>
      </c>
      <c r="J2862" s="4562">
        <f>XLOOKUP(B2862,'_Sys|Line_Map'!$A:$A,'_Sys|Line_Map'!$D:$D,1,0)</f>
        <v/>
      </c>
      <c r="K2862" s="4562">
        <f>IF(D2862="","",D2862*J2862)</f>
        <v/>
      </c>
      <c r="L2862" s="4562">
        <f>XLOOKUP(B2862,'_Sys|Line_Map'!$A:$A,'_Sys|Line_Map'!$B:$B,"MISSING",0)</f>
        <v/>
      </c>
    </row>
    <row r="2863">
      <c r="A2863" s="4561" t="n"/>
      <c r="B2863" s="4561" t="n"/>
      <c r="C2863" s="4561" t="n"/>
      <c r="D2863" s="4561" t="n"/>
      <c r="E2863" s="4561" t="n"/>
      <c r="F2863" s="4561" t="n"/>
      <c r="G2863" s="4561" t="n"/>
      <c r="H2863" s="4561" t="n"/>
      <c r="I2863" s="4562">
        <f>XLOOKUP(B2863,'_Sys|Line_Map'!$A:$A,'_Sys|Line_Map'!$C:$C,"MISSING",0)</f>
        <v/>
      </c>
      <c r="J2863" s="4562">
        <f>XLOOKUP(B2863,'_Sys|Line_Map'!$A:$A,'_Sys|Line_Map'!$D:$D,1,0)</f>
        <v/>
      </c>
      <c r="K2863" s="4562">
        <f>IF(D2863="","",D2863*J2863)</f>
        <v/>
      </c>
      <c r="L2863" s="4562">
        <f>XLOOKUP(B2863,'_Sys|Line_Map'!$A:$A,'_Sys|Line_Map'!$B:$B,"MISSING",0)</f>
        <v/>
      </c>
    </row>
    <row r="2864">
      <c r="A2864" s="4561" t="n"/>
      <c r="B2864" s="4561" t="n"/>
      <c r="C2864" s="4561" t="n"/>
      <c r="D2864" s="4561" t="n"/>
      <c r="E2864" s="4561" t="n"/>
      <c r="F2864" s="4561" t="n"/>
      <c r="G2864" s="4561" t="n"/>
      <c r="H2864" s="4561" t="n"/>
      <c r="I2864" s="4562">
        <f>XLOOKUP(B2864,'_Sys|Line_Map'!$A:$A,'_Sys|Line_Map'!$C:$C,"MISSING",0)</f>
        <v/>
      </c>
      <c r="J2864" s="4562">
        <f>XLOOKUP(B2864,'_Sys|Line_Map'!$A:$A,'_Sys|Line_Map'!$D:$D,1,0)</f>
        <v/>
      </c>
      <c r="K2864" s="4562">
        <f>IF(D2864="","",D2864*J2864)</f>
        <v/>
      </c>
      <c r="L2864" s="4562">
        <f>XLOOKUP(B2864,'_Sys|Line_Map'!$A:$A,'_Sys|Line_Map'!$B:$B,"MISSING",0)</f>
        <v/>
      </c>
    </row>
    <row r="2865">
      <c r="A2865" s="4561" t="n"/>
      <c r="B2865" s="4561" t="n"/>
      <c r="C2865" s="4561" t="n"/>
      <c r="D2865" s="4561" t="n"/>
      <c r="E2865" s="4561" t="n"/>
      <c r="F2865" s="4561" t="n"/>
      <c r="G2865" s="4561" t="n"/>
      <c r="H2865" s="4561" t="n"/>
      <c r="I2865" s="4562">
        <f>XLOOKUP(B2865,'_Sys|Line_Map'!$A:$A,'_Sys|Line_Map'!$C:$C,"MISSING",0)</f>
        <v/>
      </c>
      <c r="J2865" s="4562">
        <f>XLOOKUP(B2865,'_Sys|Line_Map'!$A:$A,'_Sys|Line_Map'!$D:$D,1,0)</f>
        <v/>
      </c>
      <c r="K2865" s="4562">
        <f>IF(D2865="","",D2865*J2865)</f>
        <v/>
      </c>
      <c r="L2865" s="4562">
        <f>XLOOKUP(B2865,'_Sys|Line_Map'!$A:$A,'_Sys|Line_Map'!$B:$B,"MISSING",0)</f>
        <v/>
      </c>
    </row>
    <row r="2866">
      <c r="A2866" s="4561" t="n"/>
      <c r="B2866" s="4561" t="n"/>
      <c r="C2866" s="4561" t="n"/>
      <c r="D2866" s="4561" t="n"/>
      <c r="E2866" s="4561" t="n"/>
      <c r="F2866" s="4561" t="n"/>
      <c r="G2866" s="4561" t="n"/>
      <c r="H2866" s="4561" t="n"/>
      <c r="I2866" s="4562">
        <f>XLOOKUP(B2866,'_Sys|Line_Map'!$A:$A,'_Sys|Line_Map'!$C:$C,"MISSING",0)</f>
        <v/>
      </c>
      <c r="J2866" s="4562">
        <f>XLOOKUP(B2866,'_Sys|Line_Map'!$A:$A,'_Sys|Line_Map'!$D:$D,1,0)</f>
        <v/>
      </c>
      <c r="K2866" s="4562">
        <f>IF(D2866="","",D2866*J2866)</f>
        <v/>
      </c>
      <c r="L2866" s="4562">
        <f>XLOOKUP(B2866,'_Sys|Line_Map'!$A:$A,'_Sys|Line_Map'!$B:$B,"MISSING",0)</f>
        <v/>
      </c>
    </row>
    <row r="2867">
      <c r="A2867" s="4561" t="n"/>
      <c r="B2867" s="4561" t="n"/>
      <c r="C2867" s="4561" t="n"/>
      <c r="D2867" s="4561" t="n"/>
      <c r="E2867" s="4561" t="n"/>
      <c r="F2867" s="4561" t="n"/>
      <c r="G2867" s="4561" t="n"/>
      <c r="H2867" s="4561" t="n"/>
      <c r="I2867" s="4562">
        <f>XLOOKUP(B2867,'_Sys|Line_Map'!$A:$A,'_Sys|Line_Map'!$C:$C,"MISSING",0)</f>
        <v/>
      </c>
      <c r="J2867" s="4562">
        <f>XLOOKUP(B2867,'_Sys|Line_Map'!$A:$A,'_Sys|Line_Map'!$D:$D,1,0)</f>
        <v/>
      </c>
      <c r="K2867" s="4562">
        <f>IF(D2867="","",D2867*J2867)</f>
        <v/>
      </c>
      <c r="L2867" s="4562">
        <f>XLOOKUP(B2867,'_Sys|Line_Map'!$A:$A,'_Sys|Line_Map'!$B:$B,"MISSING",0)</f>
        <v/>
      </c>
    </row>
    <row r="2868">
      <c r="A2868" s="4561" t="n"/>
      <c r="B2868" s="4561" t="n"/>
      <c r="C2868" s="4561" t="n"/>
      <c r="D2868" s="4561" t="n"/>
      <c r="E2868" s="4561" t="n"/>
      <c r="F2868" s="4561" t="n"/>
      <c r="G2868" s="4561" t="n"/>
      <c r="H2868" s="4561" t="n"/>
      <c r="I2868" s="4562">
        <f>XLOOKUP(B2868,'_Sys|Line_Map'!$A:$A,'_Sys|Line_Map'!$C:$C,"MISSING",0)</f>
        <v/>
      </c>
      <c r="J2868" s="4562">
        <f>XLOOKUP(B2868,'_Sys|Line_Map'!$A:$A,'_Sys|Line_Map'!$D:$D,1,0)</f>
        <v/>
      </c>
      <c r="K2868" s="4562">
        <f>IF(D2868="","",D2868*J2868)</f>
        <v/>
      </c>
      <c r="L2868" s="4562">
        <f>XLOOKUP(B2868,'_Sys|Line_Map'!$A:$A,'_Sys|Line_Map'!$B:$B,"MISSING",0)</f>
        <v/>
      </c>
    </row>
    <row r="2869">
      <c r="A2869" s="4561" t="n"/>
      <c r="B2869" s="4561" t="n"/>
      <c r="C2869" s="4561" t="n"/>
      <c r="D2869" s="4561" t="n"/>
      <c r="E2869" s="4561" t="n"/>
      <c r="F2869" s="4561" t="n"/>
      <c r="G2869" s="4561" t="n"/>
      <c r="H2869" s="4561" t="n"/>
      <c r="I2869" s="4562">
        <f>XLOOKUP(B2869,'_Sys|Line_Map'!$A:$A,'_Sys|Line_Map'!$C:$C,"MISSING",0)</f>
        <v/>
      </c>
      <c r="J2869" s="4562">
        <f>XLOOKUP(B2869,'_Sys|Line_Map'!$A:$A,'_Sys|Line_Map'!$D:$D,1,0)</f>
        <v/>
      </c>
      <c r="K2869" s="4562">
        <f>IF(D2869="","",D2869*J2869)</f>
        <v/>
      </c>
      <c r="L2869" s="4562">
        <f>XLOOKUP(B2869,'_Sys|Line_Map'!$A:$A,'_Sys|Line_Map'!$B:$B,"MISSING",0)</f>
        <v/>
      </c>
    </row>
    <row r="2870">
      <c r="A2870" s="4561" t="n"/>
      <c r="B2870" s="4561" t="n"/>
      <c r="C2870" s="4561" t="n"/>
      <c r="D2870" s="4561" t="n"/>
      <c r="E2870" s="4561" t="n"/>
      <c r="F2870" s="4561" t="n"/>
      <c r="G2870" s="4561" t="n"/>
      <c r="H2870" s="4561" t="n"/>
      <c r="I2870" s="4562">
        <f>XLOOKUP(B2870,'_Sys|Line_Map'!$A:$A,'_Sys|Line_Map'!$C:$C,"MISSING",0)</f>
        <v/>
      </c>
      <c r="J2870" s="4562">
        <f>XLOOKUP(B2870,'_Sys|Line_Map'!$A:$A,'_Sys|Line_Map'!$D:$D,1,0)</f>
        <v/>
      </c>
      <c r="K2870" s="4562">
        <f>IF(D2870="","",D2870*J2870)</f>
        <v/>
      </c>
      <c r="L2870" s="4562">
        <f>XLOOKUP(B2870,'_Sys|Line_Map'!$A:$A,'_Sys|Line_Map'!$B:$B,"MISSING",0)</f>
        <v/>
      </c>
    </row>
    <row r="2871">
      <c r="A2871" s="4561" t="n"/>
      <c r="B2871" s="4561" t="n"/>
      <c r="C2871" s="4561" t="n"/>
      <c r="D2871" s="4561" t="n"/>
      <c r="E2871" s="4561" t="n"/>
      <c r="F2871" s="4561" t="n"/>
      <c r="G2871" s="4561" t="n"/>
      <c r="H2871" s="4561" t="n"/>
      <c r="I2871" s="4562">
        <f>XLOOKUP(B2871,'_Sys|Line_Map'!$A:$A,'_Sys|Line_Map'!$C:$C,"MISSING",0)</f>
        <v/>
      </c>
      <c r="J2871" s="4562">
        <f>XLOOKUP(B2871,'_Sys|Line_Map'!$A:$A,'_Sys|Line_Map'!$D:$D,1,0)</f>
        <v/>
      </c>
      <c r="K2871" s="4562">
        <f>IF(D2871="","",D2871*J2871)</f>
        <v/>
      </c>
      <c r="L2871" s="4562">
        <f>XLOOKUP(B2871,'_Sys|Line_Map'!$A:$A,'_Sys|Line_Map'!$B:$B,"MISSING",0)</f>
        <v/>
      </c>
    </row>
    <row r="2872">
      <c r="A2872" s="4561" t="n"/>
      <c r="B2872" s="4561" t="n"/>
      <c r="C2872" s="4561" t="n"/>
      <c r="D2872" s="4561" t="n"/>
      <c r="E2872" s="4561" t="n"/>
      <c r="F2872" s="4561" t="n"/>
      <c r="G2872" s="4561" t="n"/>
      <c r="H2872" s="4561" t="n"/>
      <c r="I2872" s="4562">
        <f>XLOOKUP(B2872,'_Sys|Line_Map'!$A:$A,'_Sys|Line_Map'!$C:$C,"MISSING",0)</f>
        <v/>
      </c>
      <c r="J2872" s="4562">
        <f>XLOOKUP(B2872,'_Sys|Line_Map'!$A:$A,'_Sys|Line_Map'!$D:$D,1,0)</f>
        <v/>
      </c>
      <c r="K2872" s="4562">
        <f>IF(D2872="","",D2872*J2872)</f>
        <v/>
      </c>
      <c r="L2872" s="4562">
        <f>XLOOKUP(B2872,'_Sys|Line_Map'!$A:$A,'_Sys|Line_Map'!$B:$B,"MISSING",0)</f>
        <v/>
      </c>
    </row>
    <row r="2873">
      <c r="A2873" s="4561" t="n"/>
      <c r="B2873" s="4561" t="n"/>
      <c r="C2873" s="4561" t="n"/>
      <c r="D2873" s="4561" t="n"/>
      <c r="E2873" s="4561" t="n"/>
      <c r="F2873" s="4561" t="n"/>
      <c r="G2873" s="4561" t="n"/>
      <c r="H2873" s="4561" t="n"/>
      <c r="I2873" s="4562">
        <f>XLOOKUP(B2873,'_Sys|Line_Map'!$A:$A,'_Sys|Line_Map'!$C:$C,"MISSING",0)</f>
        <v/>
      </c>
      <c r="J2873" s="4562">
        <f>XLOOKUP(B2873,'_Sys|Line_Map'!$A:$A,'_Sys|Line_Map'!$D:$D,1,0)</f>
        <v/>
      </c>
      <c r="K2873" s="4562">
        <f>IF(D2873="","",D2873*J2873)</f>
        <v/>
      </c>
      <c r="L2873" s="4562">
        <f>XLOOKUP(B2873,'_Sys|Line_Map'!$A:$A,'_Sys|Line_Map'!$B:$B,"MISSING",0)</f>
        <v/>
      </c>
    </row>
    <row r="2874">
      <c r="A2874" s="4561" t="n"/>
      <c r="B2874" s="4561" t="n"/>
      <c r="C2874" s="4561" t="n"/>
      <c r="D2874" s="4561" t="n"/>
      <c r="E2874" s="4561" t="n"/>
      <c r="F2874" s="4561" t="n"/>
      <c r="G2874" s="4561" t="n"/>
      <c r="H2874" s="4561" t="n"/>
      <c r="I2874" s="4562">
        <f>XLOOKUP(B2874,'_Sys|Line_Map'!$A:$A,'_Sys|Line_Map'!$C:$C,"MISSING",0)</f>
        <v/>
      </c>
      <c r="J2874" s="4562">
        <f>XLOOKUP(B2874,'_Sys|Line_Map'!$A:$A,'_Sys|Line_Map'!$D:$D,1,0)</f>
        <v/>
      </c>
      <c r="K2874" s="4562">
        <f>IF(D2874="","",D2874*J2874)</f>
        <v/>
      </c>
      <c r="L2874" s="4562">
        <f>XLOOKUP(B2874,'_Sys|Line_Map'!$A:$A,'_Sys|Line_Map'!$B:$B,"MISSING",0)</f>
        <v/>
      </c>
    </row>
    <row r="2875">
      <c r="A2875" s="4561" t="n"/>
      <c r="B2875" s="4561" t="n"/>
      <c r="C2875" s="4561" t="n"/>
      <c r="D2875" s="4561" t="n"/>
      <c r="E2875" s="4561" t="n"/>
      <c r="F2875" s="4561" t="n"/>
      <c r="G2875" s="4561" t="n"/>
      <c r="H2875" s="4561" t="n"/>
      <c r="I2875" s="4562">
        <f>XLOOKUP(B2875,'_Sys|Line_Map'!$A:$A,'_Sys|Line_Map'!$C:$C,"MISSING",0)</f>
        <v/>
      </c>
      <c r="J2875" s="4562">
        <f>XLOOKUP(B2875,'_Sys|Line_Map'!$A:$A,'_Sys|Line_Map'!$D:$D,1,0)</f>
        <v/>
      </c>
      <c r="K2875" s="4562">
        <f>IF(D2875="","",D2875*J2875)</f>
        <v/>
      </c>
      <c r="L2875" s="4562">
        <f>XLOOKUP(B2875,'_Sys|Line_Map'!$A:$A,'_Sys|Line_Map'!$B:$B,"MISSING",0)</f>
        <v/>
      </c>
    </row>
    <row r="2876">
      <c r="A2876" s="4561" t="n"/>
      <c r="B2876" s="4561" t="n"/>
      <c r="C2876" s="4561" t="n"/>
      <c r="D2876" s="4561" t="n"/>
      <c r="E2876" s="4561" t="n"/>
      <c r="F2876" s="4561" t="n"/>
      <c r="G2876" s="4561" t="n"/>
      <c r="H2876" s="4561" t="n"/>
      <c r="I2876" s="4562">
        <f>XLOOKUP(B2876,'_Sys|Line_Map'!$A:$A,'_Sys|Line_Map'!$C:$C,"MISSING",0)</f>
        <v/>
      </c>
      <c r="J2876" s="4562">
        <f>XLOOKUP(B2876,'_Sys|Line_Map'!$A:$A,'_Sys|Line_Map'!$D:$D,1,0)</f>
        <v/>
      </c>
      <c r="K2876" s="4562">
        <f>IF(D2876="","",D2876*J2876)</f>
        <v/>
      </c>
      <c r="L2876" s="4562">
        <f>XLOOKUP(B2876,'_Sys|Line_Map'!$A:$A,'_Sys|Line_Map'!$B:$B,"MISSING",0)</f>
        <v/>
      </c>
    </row>
    <row r="2877">
      <c r="A2877" s="4561" t="n"/>
      <c r="B2877" s="4561" t="n"/>
      <c r="C2877" s="4561" t="n"/>
      <c r="D2877" s="4561" t="n"/>
      <c r="E2877" s="4561" t="n"/>
      <c r="F2877" s="4561" t="n"/>
      <c r="G2877" s="4561" t="n"/>
      <c r="H2877" s="4561" t="n"/>
      <c r="I2877" s="4562">
        <f>XLOOKUP(B2877,'_Sys|Line_Map'!$A:$A,'_Sys|Line_Map'!$C:$C,"MISSING",0)</f>
        <v/>
      </c>
      <c r="J2877" s="4562">
        <f>XLOOKUP(B2877,'_Sys|Line_Map'!$A:$A,'_Sys|Line_Map'!$D:$D,1,0)</f>
        <v/>
      </c>
      <c r="K2877" s="4562">
        <f>IF(D2877="","",D2877*J2877)</f>
        <v/>
      </c>
      <c r="L2877" s="4562">
        <f>XLOOKUP(B2877,'_Sys|Line_Map'!$A:$A,'_Sys|Line_Map'!$B:$B,"MISSING",0)</f>
        <v/>
      </c>
    </row>
    <row r="2878">
      <c r="A2878" s="4561" t="n"/>
      <c r="B2878" s="4561" t="n"/>
      <c r="C2878" s="4561" t="n"/>
      <c r="D2878" s="4561" t="n"/>
      <c r="E2878" s="4561" t="n"/>
      <c r="F2878" s="4561" t="n"/>
      <c r="G2878" s="4561" t="n"/>
      <c r="H2878" s="4561" t="n"/>
      <c r="I2878" s="4562">
        <f>XLOOKUP(B2878,'_Sys|Line_Map'!$A:$A,'_Sys|Line_Map'!$C:$C,"MISSING",0)</f>
        <v/>
      </c>
      <c r="J2878" s="4562">
        <f>XLOOKUP(B2878,'_Sys|Line_Map'!$A:$A,'_Sys|Line_Map'!$D:$D,1,0)</f>
        <v/>
      </c>
      <c r="K2878" s="4562">
        <f>IF(D2878="","",D2878*J2878)</f>
        <v/>
      </c>
      <c r="L2878" s="4562">
        <f>XLOOKUP(B2878,'_Sys|Line_Map'!$A:$A,'_Sys|Line_Map'!$B:$B,"MISSING",0)</f>
        <v/>
      </c>
    </row>
    <row r="2879">
      <c r="A2879" s="4561" t="n"/>
      <c r="B2879" s="4561" t="n"/>
      <c r="C2879" s="4561" t="n"/>
      <c r="D2879" s="4561" t="n"/>
      <c r="E2879" s="4561" t="n"/>
      <c r="F2879" s="4561" t="n"/>
      <c r="G2879" s="4561" t="n"/>
      <c r="H2879" s="4561" t="n"/>
      <c r="I2879" s="4562">
        <f>XLOOKUP(B2879,'_Sys|Line_Map'!$A:$A,'_Sys|Line_Map'!$C:$C,"MISSING",0)</f>
        <v/>
      </c>
      <c r="J2879" s="4562">
        <f>XLOOKUP(B2879,'_Sys|Line_Map'!$A:$A,'_Sys|Line_Map'!$D:$D,1,0)</f>
        <v/>
      </c>
      <c r="K2879" s="4562">
        <f>IF(D2879="","",D2879*J2879)</f>
        <v/>
      </c>
      <c r="L2879" s="4562">
        <f>XLOOKUP(B2879,'_Sys|Line_Map'!$A:$A,'_Sys|Line_Map'!$B:$B,"MISSING",0)</f>
        <v/>
      </c>
    </row>
    <row r="2880">
      <c r="A2880" s="4561" t="n"/>
      <c r="B2880" s="4561" t="n"/>
      <c r="C2880" s="4561" t="n"/>
      <c r="D2880" s="4561" t="n"/>
      <c r="E2880" s="4561" t="n"/>
      <c r="F2880" s="4561" t="n"/>
      <c r="G2880" s="4561" t="n"/>
      <c r="H2880" s="4561" t="n"/>
      <c r="I2880" s="4562">
        <f>XLOOKUP(B2880,'_Sys|Line_Map'!$A:$A,'_Sys|Line_Map'!$C:$C,"MISSING",0)</f>
        <v/>
      </c>
      <c r="J2880" s="4562">
        <f>XLOOKUP(B2880,'_Sys|Line_Map'!$A:$A,'_Sys|Line_Map'!$D:$D,1,0)</f>
        <v/>
      </c>
      <c r="K2880" s="4562">
        <f>IF(D2880="","",D2880*J2880)</f>
        <v/>
      </c>
      <c r="L2880" s="4562">
        <f>XLOOKUP(B2880,'_Sys|Line_Map'!$A:$A,'_Sys|Line_Map'!$B:$B,"MISSING",0)</f>
        <v/>
      </c>
    </row>
    <row r="2881">
      <c r="A2881" s="4561" t="n"/>
      <c r="B2881" s="4561" t="n"/>
      <c r="C2881" s="4561" t="n"/>
      <c r="D2881" s="4561" t="n"/>
      <c r="E2881" s="4561" t="n"/>
      <c r="F2881" s="4561" t="n"/>
      <c r="G2881" s="4561" t="n"/>
      <c r="H2881" s="4561" t="n"/>
      <c r="I2881" s="4562">
        <f>XLOOKUP(B2881,'_Sys|Line_Map'!$A:$A,'_Sys|Line_Map'!$C:$C,"MISSING",0)</f>
        <v/>
      </c>
      <c r="J2881" s="4562">
        <f>XLOOKUP(B2881,'_Sys|Line_Map'!$A:$A,'_Sys|Line_Map'!$D:$D,1,0)</f>
        <v/>
      </c>
      <c r="K2881" s="4562">
        <f>IF(D2881="","",D2881*J2881)</f>
        <v/>
      </c>
      <c r="L2881" s="4562">
        <f>XLOOKUP(B2881,'_Sys|Line_Map'!$A:$A,'_Sys|Line_Map'!$B:$B,"MISSING",0)</f>
        <v/>
      </c>
    </row>
    <row r="2882">
      <c r="A2882" s="4561" t="n"/>
      <c r="B2882" s="4561" t="n"/>
      <c r="C2882" s="4561" t="n"/>
      <c r="D2882" s="4561" t="n"/>
      <c r="E2882" s="4561" t="n"/>
      <c r="F2882" s="4561" t="n"/>
      <c r="G2882" s="4561" t="n"/>
      <c r="H2882" s="4561" t="n"/>
      <c r="I2882" s="4562">
        <f>XLOOKUP(B2882,'_Sys|Line_Map'!$A:$A,'_Sys|Line_Map'!$C:$C,"MISSING",0)</f>
        <v/>
      </c>
      <c r="J2882" s="4562">
        <f>XLOOKUP(B2882,'_Sys|Line_Map'!$A:$A,'_Sys|Line_Map'!$D:$D,1,0)</f>
        <v/>
      </c>
      <c r="K2882" s="4562">
        <f>IF(D2882="","",D2882*J2882)</f>
        <v/>
      </c>
      <c r="L2882" s="4562">
        <f>XLOOKUP(B2882,'_Sys|Line_Map'!$A:$A,'_Sys|Line_Map'!$B:$B,"MISSING",0)</f>
        <v/>
      </c>
    </row>
    <row r="2883">
      <c r="A2883" s="4561" t="n"/>
      <c r="B2883" s="4561" t="n"/>
      <c r="C2883" s="4561" t="n"/>
      <c r="D2883" s="4561" t="n"/>
      <c r="E2883" s="4561" t="n"/>
      <c r="F2883" s="4561" t="n"/>
      <c r="G2883" s="4561" t="n"/>
      <c r="H2883" s="4561" t="n"/>
      <c r="I2883" s="4562">
        <f>XLOOKUP(B2883,'_Sys|Line_Map'!$A:$A,'_Sys|Line_Map'!$C:$C,"MISSING",0)</f>
        <v/>
      </c>
      <c r="J2883" s="4562">
        <f>XLOOKUP(B2883,'_Sys|Line_Map'!$A:$A,'_Sys|Line_Map'!$D:$D,1,0)</f>
        <v/>
      </c>
      <c r="K2883" s="4562">
        <f>IF(D2883="","",D2883*J2883)</f>
        <v/>
      </c>
      <c r="L2883" s="4562">
        <f>XLOOKUP(B2883,'_Sys|Line_Map'!$A:$A,'_Sys|Line_Map'!$B:$B,"MISSING",0)</f>
        <v/>
      </c>
    </row>
    <row r="2884">
      <c r="A2884" s="4561" t="n"/>
      <c r="B2884" s="4561" t="n"/>
      <c r="C2884" s="4561" t="n"/>
      <c r="D2884" s="4561" t="n"/>
      <c r="E2884" s="4561" t="n"/>
      <c r="F2884" s="4561" t="n"/>
      <c r="G2884" s="4561" t="n"/>
      <c r="H2884" s="4561" t="n"/>
      <c r="I2884" s="4562">
        <f>XLOOKUP(B2884,'_Sys|Line_Map'!$A:$A,'_Sys|Line_Map'!$C:$C,"MISSING",0)</f>
        <v/>
      </c>
      <c r="J2884" s="4562">
        <f>XLOOKUP(B2884,'_Sys|Line_Map'!$A:$A,'_Sys|Line_Map'!$D:$D,1,0)</f>
        <v/>
      </c>
      <c r="K2884" s="4562">
        <f>IF(D2884="","",D2884*J2884)</f>
        <v/>
      </c>
      <c r="L2884" s="4562">
        <f>XLOOKUP(B2884,'_Sys|Line_Map'!$A:$A,'_Sys|Line_Map'!$B:$B,"MISSING",0)</f>
        <v/>
      </c>
    </row>
    <row r="2885">
      <c r="A2885" s="4561" t="n"/>
      <c r="B2885" s="4561" t="n"/>
      <c r="C2885" s="4561" t="n"/>
      <c r="D2885" s="4561" t="n"/>
      <c r="E2885" s="4561" t="n"/>
      <c r="F2885" s="4561" t="n"/>
      <c r="G2885" s="4561" t="n"/>
      <c r="H2885" s="4561" t="n"/>
      <c r="I2885" s="4562">
        <f>XLOOKUP(B2885,'_Sys|Line_Map'!$A:$A,'_Sys|Line_Map'!$C:$C,"MISSING",0)</f>
        <v/>
      </c>
      <c r="J2885" s="4562">
        <f>XLOOKUP(B2885,'_Sys|Line_Map'!$A:$A,'_Sys|Line_Map'!$D:$D,1,0)</f>
        <v/>
      </c>
      <c r="K2885" s="4562">
        <f>IF(D2885="","",D2885*J2885)</f>
        <v/>
      </c>
      <c r="L2885" s="4562">
        <f>XLOOKUP(B2885,'_Sys|Line_Map'!$A:$A,'_Sys|Line_Map'!$B:$B,"MISSING",0)</f>
        <v/>
      </c>
    </row>
    <row r="2886">
      <c r="A2886" s="4561" t="n"/>
      <c r="B2886" s="4561" t="n"/>
      <c r="C2886" s="4561" t="n"/>
      <c r="D2886" s="4561" t="n"/>
      <c r="E2886" s="4561" t="n"/>
      <c r="F2886" s="4561" t="n"/>
      <c r="G2886" s="4561" t="n"/>
      <c r="H2886" s="4561" t="n"/>
      <c r="I2886" s="4562">
        <f>XLOOKUP(B2886,'_Sys|Line_Map'!$A:$A,'_Sys|Line_Map'!$C:$C,"MISSING",0)</f>
        <v/>
      </c>
      <c r="J2886" s="4562">
        <f>XLOOKUP(B2886,'_Sys|Line_Map'!$A:$A,'_Sys|Line_Map'!$D:$D,1,0)</f>
        <v/>
      </c>
      <c r="K2886" s="4562">
        <f>IF(D2886="","",D2886*J2886)</f>
        <v/>
      </c>
      <c r="L2886" s="4562">
        <f>XLOOKUP(B2886,'_Sys|Line_Map'!$A:$A,'_Sys|Line_Map'!$B:$B,"MISSING",0)</f>
        <v/>
      </c>
    </row>
    <row r="2887">
      <c r="A2887" s="4561" t="n"/>
      <c r="B2887" s="4561" t="n"/>
      <c r="C2887" s="4561" t="n"/>
      <c r="D2887" s="4561" t="n"/>
      <c r="E2887" s="4561" t="n"/>
      <c r="F2887" s="4561" t="n"/>
      <c r="G2887" s="4561" t="n"/>
      <c r="H2887" s="4561" t="n"/>
      <c r="I2887" s="4562">
        <f>XLOOKUP(B2887,'_Sys|Line_Map'!$A:$A,'_Sys|Line_Map'!$C:$C,"MISSING",0)</f>
        <v/>
      </c>
      <c r="J2887" s="4562">
        <f>XLOOKUP(B2887,'_Sys|Line_Map'!$A:$A,'_Sys|Line_Map'!$D:$D,1,0)</f>
        <v/>
      </c>
      <c r="K2887" s="4562">
        <f>IF(D2887="","",D2887*J2887)</f>
        <v/>
      </c>
      <c r="L2887" s="4562">
        <f>XLOOKUP(B2887,'_Sys|Line_Map'!$A:$A,'_Sys|Line_Map'!$B:$B,"MISSING",0)</f>
        <v/>
      </c>
    </row>
    <row r="2888">
      <c r="A2888" s="4561" t="n"/>
      <c r="B2888" s="4561" t="n"/>
      <c r="C2888" s="4561" t="n"/>
      <c r="D2888" s="4561" t="n"/>
      <c r="E2888" s="4561" t="n"/>
      <c r="F2888" s="4561" t="n"/>
      <c r="G2888" s="4561" t="n"/>
      <c r="H2888" s="4561" t="n"/>
      <c r="I2888" s="4562">
        <f>XLOOKUP(B2888,'_Sys|Line_Map'!$A:$A,'_Sys|Line_Map'!$C:$C,"MISSING",0)</f>
        <v/>
      </c>
      <c r="J2888" s="4562">
        <f>XLOOKUP(B2888,'_Sys|Line_Map'!$A:$A,'_Sys|Line_Map'!$D:$D,1,0)</f>
        <v/>
      </c>
      <c r="K2888" s="4562">
        <f>IF(D2888="","",D2888*J2888)</f>
        <v/>
      </c>
      <c r="L2888" s="4562">
        <f>XLOOKUP(B2888,'_Sys|Line_Map'!$A:$A,'_Sys|Line_Map'!$B:$B,"MISSING",0)</f>
        <v/>
      </c>
    </row>
    <row r="2889">
      <c r="A2889" s="4561" t="n"/>
      <c r="B2889" s="4561" t="n"/>
      <c r="C2889" s="4561" t="n"/>
      <c r="D2889" s="4561" t="n"/>
      <c r="E2889" s="4561" t="n"/>
      <c r="F2889" s="4561" t="n"/>
      <c r="G2889" s="4561" t="n"/>
      <c r="H2889" s="4561" t="n"/>
      <c r="I2889" s="4562">
        <f>XLOOKUP(B2889,'_Sys|Line_Map'!$A:$A,'_Sys|Line_Map'!$C:$C,"MISSING",0)</f>
        <v/>
      </c>
      <c r="J2889" s="4562">
        <f>XLOOKUP(B2889,'_Sys|Line_Map'!$A:$A,'_Sys|Line_Map'!$D:$D,1,0)</f>
        <v/>
      </c>
      <c r="K2889" s="4562">
        <f>IF(D2889="","",D2889*J2889)</f>
        <v/>
      </c>
      <c r="L2889" s="4562">
        <f>XLOOKUP(B2889,'_Sys|Line_Map'!$A:$A,'_Sys|Line_Map'!$B:$B,"MISSING",0)</f>
        <v/>
      </c>
    </row>
    <row r="2890">
      <c r="A2890" s="4561" t="n"/>
      <c r="B2890" s="4561" t="n"/>
      <c r="C2890" s="4561" t="n"/>
      <c r="D2890" s="4561" t="n"/>
      <c r="E2890" s="4561" t="n"/>
      <c r="F2890" s="4561" t="n"/>
      <c r="G2890" s="4561" t="n"/>
      <c r="H2890" s="4561" t="n"/>
      <c r="I2890" s="4562">
        <f>XLOOKUP(B2890,'_Sys|Line_Map'!$A:$A,'_Sys|Line_Map'!$C:$C,"MISSING",0)</f>
        <v/>
      </c>
      <c r="J2890" s="4562">
        <f>XLOOKUP(B2890,'_Sys|Line_Map'!$A:$A,'_Sys|Line_Map'!$D:$D,1,0)</f>
        <v/>
      </c>
      <c r="K2890" s="4562">
        <f>IF(D2890="","",D2890*J2890)</f>
        <v/>
      </c>
      <c r="L2890" s="4562">
        <f>XLOOKUP(B2890,'_Sys|Line_Map'!$A:$A,'_Sys|Line_Map'!$B:$B,"MISSING",0)</f>
        <v/>
      </c>
    </row>
    <row r="2891">
      <c r="A2891" s="4561" t="n"/>
      <c r="B2891" s="4561" t="n"/>
      <c r="C2891" s="4561" t="n"/>
      <c r="D2891" s="4561" t="n"/>
      <c r="E2891" s="4561" t="n"/>
      <c r="F2891" s="4561" t="n"/>
      <c r="G2891" s="4561" t="n"/>
      <c r="H2891" s="4561" t="n"/>
      <c r="I2891" s="4562">
        <f>XLOOKUP(B2891,'_Sys|Line_Map'!$A:$A,'_Sys|Line_Map'!$C:$C,"MISSING",0)</f>
        <v/>
      </c>
      <c r="J2891" s="4562">
        <f>XLOOKUP(B2891,'_Sys|Line_Map'!$A:$A,'_Sys|Line_Map'!$D:$D,1,0)</f>
        <v/>
      </c>
      <c r="K2891" s="4562">
        <f>IF(D2891="","",D2891*J2891)</f>
        <v/>
      </c>
      <c r="L2891" s="4562">
        <f>XLOOKUP(B2891,'_Sys|Line_Map'!$A:$A,'_Sys|Line_Map'!$B:$B,"MISSING",0)</f>
        <v/>
      </c>
    </row>
    <row r="2892">
      <c r="A2892" s="4561" t="n"/>
      <c r="B2892" s="4561" t="n"/>
      <c r="C2892" s="4561" t="n"/>
      <c r="D2892" s="4561" t="n"/>
      <c r="E2892" s="4561" t="n"/>
      <c r="F2892" s="4561" t="n"/>
      <c r="G2892" s="4561" t="n"/>
      <c r="H2892" s="4561" t="n"/>
      <c r="I2892" s="4562">
        <f>XLOOKUP(B2892,'_Sys|Line_Map'!$A:$A,'_Sys|Line_Map'!$C:$C,"MISSING",0)</f>
        <v/>
      </c>
      <c r="J2892" s="4562">
        <f>XLOOKUP(B2892,'_Sys|Line_Map'!$A:$A,'_Sys|Line_Map'!$D:$D,1,0)</f>
        <v/>
      </c>
      <c r="K2892" s="4562">
        <f>IF(D2892="","",D2892*J2892)</f>
        <v/>
      </c>
      <c r="L2892" s="4562">
        <f>XLOOKUP(B2892,'_Sys|Line_Map'!$A:$A,'_Sys|Line_Map'!$B:$B,"MISSING",0)</f>
        <v/>
      </c>
    </row>
    <row r="2893">
      <c r="A2893" s="4561" t="n"/>
      <c r="B2893" s="4561" t="n"/>
      <c r="C2893" s="4561" t="n"/>
      <c r="D2893" s="4561" t="n"/>
      <c r="E2893" s="4561" t="n"/>
      <c r="F2893" s="4561" t="n"/>
      <c r="G2893" s="4561" t="n"/>
      <c r="H2893" s="4561" t="n"/>
      <c r="I2893" s="4562">
        <f>XLOOKUP(B2893,'_Sys|Line_Map'!$A:$A,'_Sys|Line_Map'!$C:$C,"MISSING",0)</f>
        <v/>
      </c>
      <c r="J2893" s="4562">
        <f>XLOOKUP(B2893,'_Sys|Line_Map'!$A:$A,'_Sys|Line_Map'!$D:$D,1,0)</f>
        <v/>
      </c>
      <c r="K2893" s="4562">
        <f>IF(D2893="","",D2893*J2893)</f>
        <v/>
      </c>
      <c r="L2893" s="4562">
        <f>XLOOKUP(B2893,'_Sys|Line_Map'!$A:$A,'_Sys|Line_Map'!$B:$B,"MISSING",0)</f>
        <v/>
      </c>
    </row>
    <row r="2894">
      <c r="A2894" s="4561" t="n"/>
      <c r="B2894" s="4561" t="n"/>
      <c r="C2894" s="4561" t="n"/>
      <c r="D2894" s="4561" t="n"/>
      <c r="E2894" s="4561" t="n"/>
      <c r="F2894" s="4561" t="n"/>
      <c r="G2894" s="4561" t="n"/>
      <c r="H2894" s="4561" t="n"/>
      <c r="I2894" s="4562">
        <f>XLOOKUP(B2894,'_Sys|Line_Map'!$A:$A,'_Sys|Line_Map'!$C:$C,"MISSING",0)</f>
        <v/>
      </c>
      <c r="J2894" s="4562">
        <f>XLOOKUP(B2894,'_Sys|Line_Map'!$A:$A,'_Sys|Line_Map'!$D:$D,1,0)</f>
        <v/>
      </c>
      <c r="K2894" s="4562">
        <f>IF(D2894="","",D2894*J2894)</f>
        <v/>
      </c>
      <c r="L2894" s="4562">
        <f>XLOOKUP(B2894,'_Sys|Line_Map'!$A:$A,'_Sys|Line_Map'!$B:$B,"MISSING",0)</f>
        <v/>
      </c>
    </row>
    <row r="2895">
      <c r="A2895" s="4561" t="n"/>
      <c r="B2895" s="4561" t="n"/>
      <c r="C2895" s="4561" t="n"/>
      <c r="D2895" s="4561" t="n"/>
      <c r="E2895" s="4561" t="n"/>
      <c r="F2895" s="4561" t="n"/>
      <c r="G2895" s="4561" t="n"/>
      <c r="H2895" s="4561" t="n"/>
      <c r="I2895" s="4562">
        <f>XLOOKUP(B2895,'_Sys|Line_Map'!$A:$A,'_Sys|Line_Map'!$C:$C,"MISSING",0)</f>
        <v/>
      </c>
      <c r="J2895" s="4562">
        <f>XLOOKUP(B2895,'_Sys|Line_Map'!$A:$A,'_Sys|Line_Map'!$D:$D,1,0)</f>
        <v/>
      </c>
      <c r="K2895" s="4562">
        <f>IF(D2895="","",D2895*J2895)</f>
        <v/>
      </c>
      <c r="L2895" s="4562">
        <f>XLOOKUP(B2895,'_Sys|Line_Map'!$A:$A,'_Sys|Line_Map'!$B:$B,"MISSING",0)</f>
        <v/>
      </c>
    </row>
    <row r="2896">
      <c r="A2896" s="4561" t="n"/>
      <c r="B2896" s="4561" t="n"/>
      <c r="C2896" s="4561" t="n"/>
      <c r="D2896" s="4561" t="n"/>
      <c r="E2896" s="4561" t="n"/>
      <c r="F2896" s="4561" t="n"/>
      <c r="G2896" s="4561" t="n"/>
      <c r="H2896" s="4561" t="n"/>
      <c r="I2896" s="4562">
        <f>XLOOKUP(B2896,'_Sys|Line_Map'!$A:$A,'_Sys|Line_Map'!$C:$C,"MISSING",0)</f>
        <v/>
      </c>
      <c r="J2896" s="4562">
        <f>XLOOKUP(B2896,'_Sys|Line_Map'!$A:$A,'_Sys|Line_Map'!$D:$D,1,0)</f>
        <v/>
      </c>
      <c r="K2896" s="4562">
        <f>IF(D2896="","",D2896*J2896)</f>
        <v/>
      </c>
      <c r="L2896" s="4562">
        <f>XLOOKUP(B2896,'_Sys|Line_Map'!$A:$A,'_Sys|Line_Map'!$B:$B,"MISSING",0)</f>
        <v/>
      </c>
    </row>
    <row r="2897">
      <c r="A2897" s="4561" t="n"/>
      <c r="B2897" s="4561" t="n"/>
      <c r="C2897" s="4561" t="n"/>
      <c r="D2897" s="4561" t="n"/>
      <c r="E2897" s="4561" t="n"/>
      <c r="F2897" s="4561" t="n"/>
      <c r="G2897" s="4561" t="n"/>
      <c r="H2897" s="4561" t="n"/>
      <c r="I2897" s="4562">
        <f>XLOOKUP(B2897,'_Sys|Line_Map'!$A:$A,'_Sys|Line_Map'!$C:$C,"MISSING",0)</f>
        <v/>
      </c>
      <c r="J2897" s="4562">
        <f>XLOOKUP(B2897,'_Sys|Line_Map'!$A:$A,'_Sys|Line_Map'!$D:$D,1,0)</f>
        <v/>
      </c>
      <c r="K2897" s="4562">
        <f>IF(D2897="","",D2897*J2897)</f>
        <v/>
      </c>
      <c r="L2897" s="4562">
        <f>XLOOKUP(B2897,'_Sys|Line_Map'!$A:$A,'_Sys|Line_Map'!$B:$B,"MISSING",0)</f>
        <v/>
      </c>
    </row>
    <row r="2898">
      <c r="A2898" s="4561" t="n"/>
      <c r="B2898" s="4561" t="n"/>
      <c r="C2898" s="4561" t="n"/>
      <c r="D2898" s="4561" t="n"/>
      <c r="E2898" s="4561" t="n"/>
      <c r="F2898" s="4561" t="n"/>
      <c r="G2898" s="4561" t="n"/>
      <c r="H2898" s="4561" t="n"/>
      <c r="I2898" s="4562">
        <f>XLOOKUP(B2898,'_Sys|Line_Map'!$A:$A,'_Sys|Line_Map'!$C:$C,"MISSING",0)</f>
        <v/>
      </c>
      <c r="J2898" s="4562">
        <f>XLOOKUP(B2898,'_Sys|Line_Map'!$A:$A,'_Sys|Line_Map'!$D:$D,1,0)</f>
        <v/>
      </c>
      <c r="K2898" s="4562">
        <f>IF(D2898="","",D2898*J2898)</f>
        <v/>
      </c>
      <c r="L2898" s="4562">
        <f>XLOOKUP(B2898,'_Sys|Line_Map'!$A:$A,'_Sys|Line_Map'!$B:$B,"MISSING",0)</f>
        <v/>
      </c>
    </row>
    <row r="2899">
      <c r="A2899" s="4561" t="n"/>
      <c r="B2899" s="4561" t="n"/>
      <c r="C2899" s="4561" t="n"/>
      <c r="D2899" s="4561" t="n"/>
      <c r="E2899" s="4561" t="n"/>
      <c r="F2899" s="4561" t="n"/>
      <c r="G2899" s="4561" t="n"/>
      <c r="H2899" s="4561" t="n"/>
      <c r="I2899" s="4562">
        <f>XLOOKUP(B2899,'_Sys|Line_Map'!$A:$A,'_Sys|Line_Map'!$C:$C,"MISSING",0)</f>
        <v/>
      </c>
      <c r="J2899" s="4562">
        <f>XLOOKUP(B2899,'_Sys|Line_Map'!$A:$A,'_Sys|Line_Map'!$D:$D,1,0)</f>
        <v/>
      </c>
      <c r="K2899" s="4562">
        <f>IF(D2899="","",D2899*J2899)</f>
        <v/>
      </c>
      <c r="L2899" s="4562">
        <f>XLOOKUP(B2899,'_Sys|Line_Map'!$A:$A,'_Sys|Line_Map'!$B:$B,"MISSING",0)</f>
        <v/>
      </c>
    </row>
    <row r="2900">
      <c r="A2900" s="4561" t="n"/>
      <c r="B2900" s="4561" t="n"/>
      <c r="C2900" s="4561" t="n"/>
      <c r="D2900" s="4561" t="n"/>
      <c r="E2900" s="4561" t="n"/>
      <c r="F2900" s="4561" t="n"/>
      <c r="G2900" s="4561" t="n"/>
      <c r="H2900" s="4561" t="n"/>
      <c r="I2900" s="4562">
        <f>XLOOKUP(B2900,'_Sys|Line_Map'!$A:$A,'_Sys|Line_Map'!$C:$C,"MISSING",0)</f>
        <v/>
      </c>
      <c r="J2900" s="4562">
        <f>XLOOKUP(B2900,'_Sys|Line_Map'!$A:$A,'_Sys|Line_Map'!$D:$D,1,0)</f>
        <v/>
      </c>
      <c r="K2900" s="4562">
        <f>IF(D2900="","",D2900*J2900)</f>
        <v/>
      </c>
      <c r="L2900" s="4562">
        <f>XLOOKUP(B2900,'_Sys|Line_Map'!$A:$A,'_Sys|Line_Map'!$B:$B,"MISSING",0)</f>
        <v/>
      </c>
    </row>
    <row r="2901">
      <c r="A2901" s="4561" t="n"/>
      <c r="B2901" s="4561" t="n"/>
      <c r="C2901" s="4561" t="n"/>
      <c r="D2901" s="4561" t="n"/>
      <c r="E2901" s="4561" t="n"/>
      <c r="F2901" s="4561" t="n"/>
      <c r="G2901" s="4561" t="n"/>
      <c r="H2901" s="4561" t="n"/>
      <c r="I2901" s="4562">
        <f>XLOOKUP(B2901,'_Sys|Line_Map'!$A:$A,'_Sys|Line_Map'!$C:$C,"MISSING",0)</f>
        <v/>
      </c>
      <c r="J2901" s="4562">
        <f>XLOOKUP(B2901,'_Sys|Line_Map'!$A:$A,'_Sys|Line_Map'!$D:$D,1,0)</f>
        <v/>
      </c>
      <c r="K2901" s="4562">
        <f>IF(D2901="","",D2901*J2901)</f>
        <v/>
      </c>
      <c r="L2901" s="4562">
        <f>XLOOKUP(B2901,'_Sys|Line_Map'!$A:$A,'_Sys|Line_Map'!$B:$B,"MISSING",0)</f>
        <v/>
      </c>
    </row>
    <row r="2902">
      <c r="A2902" s="4561" t="n"/>
      <c r="B2902" s="4561" t="n"/>
      <c r="C2902" s="4561" t="n"/>
      <c r="D2902" s="4561" t="n"/>
      <c r="E2902" s="4561" t="n"/>
      <c r="F2902" s="4561" t="n"/>
      <c r="G2902" s="4561" t="n"/>
      <c r="H2902" s="4561" t="n"/>
      <c r="I2902" s="4562">
        <f>XLOOKUP(B2902,'_Sys|Line_Map'!$A:$A,'_Sys|Line_Map'!$C:$C,"MISSING",0)</f>
        <v/>
      </c>
      <c r="J2902" s="4562">
        <f>XLOOKUP(B2902,'_Sys|Line_Map'!$A:$A,'_Sys|Line_Map'!$D:$D,1,0)</f>
        <v/>
      </c>
      <c r="K2902" s="4562">
        <f>IF(D2902="","",D2902*J2902)</f>
        <v/>
      </c>
      <c r="L2902" s="4562">
        <f>XLOOKUP(B2902,'_Sys|Line_Map'!$A:$A,'_Sys|Line_Map'!$B:$B,"MISSING",0)</f>
        <v/>
      </c>
    </row>
    <row r="2903">
      <c r="A2903" s="4561" t="n"/>
      <c r="B2903" s="4561" t="n"/>
      <c r="C2903" s="4561" t="n"/>
      <c r="D2903" s="4561" t="n"/>
      <c r="E2903" s="4561" t="n"/>
      <c r="F2903" s="4561" t="n"/>
      <c r="G2903" s="4561" t="n"/>
      <c r="H2903" s="4561" t="n"/>
      <c r="I2903" s="4562">
        <f>XLOOKUP(B2903,'_Sys|Line_Map'!$A:$A,'_Sys|Line_Map'!$C:$C,"MISSING",0)</f>
        <v/>
      </c>
      <c r="J2903" s="4562">
        <f>XLOOKUP(B2903,'_Sys|Line_Map'!$A:$A,'_Sys|Line_Map'!$D:$D,1,0)</f>
        <v/>
      </c>
      <c r="K2903" s="4562">
        <f>IF(D2903="","",D2903*J2903)</f>
        <v/>
      </c>
      <c r="L2903" s="4562">
        <f>XLOOKUP(B2903,'_Sys|Line_Map'!$A:$A,'_Sys|Line_Map'!$B:$B,"MISSING",0)</f>
        <v/>
      </c>
    </row>
    <row r="2904">
      <c r="A2904" s="4561" t="n"/>
      <c r="B2904" s="4561" t="n"/>
      <c r="C2904" s="4561" t="n"/>
      <c r="D2904" s="4561" t="n"/>
      <c r="E2904" s="4561" t="n"/>
      <c r="F2904" s="4561" t="n"/>
      <c r="G2904" s="4561" t="n"/>
      <c r="H2904" s="4561" t="n"/>
      <c r="I2904" s="4562">
        <f>XLOOKUP(B2904,'_Sys|Line_Map'!$A:$A,'_Sys|Line_Map'!$C:$C,"MISSING",0)</f>
        <v/>
      </c>
      <c r="J2904" s="4562">
        <f>XLOOKUP(B2904,'_Sys|Line_Map'!$A:$A,'_Sys|Line_Map'!$D:$D,1,0)</f>
        <v/>
      </c>
      <c r="K2904" s="4562">
        <f>IF(D2904="","",D2904*J2904)</f>
        <v/>
      </c>
      <c r="L2904" s="4562">
        <f>XLOOKUP(B2904,'_Sys|Line_Map'!$A:$A,'_Sys|Line_Map'!$B:$B,"MISSING",0)</f>
        <v/>
      </c>
    </row>
    <row r="2905">
      <c r="A2905" s="4561" t="n"/>
      <c r="B2905" s="4561" t="n"/>
      <c r="C2905" s="4561" t="n"/>
      <c r="D2905" s="4561" t="n"/>
      <c r="E2905" s="4561" t="n"/>
      <c r="F2905" s="4561" t="n"/>
      <c r="G2905" s="4561" t="n"/>
      <c r="H2905" s="4561" t="n"/>
      <c r="I2905" s="4562">
        <f>XLOOKUP(B2905,'_Sys|Line_Map'!$A:$A,'_Sys|Line_Map'!$C:$C,"MISSING",0)</f>
        <v/>
      </c>
      <c r="J2905" s="4562">
        <f>XLOOKUP(B2905,'_Sys|Line_Map'!$A:$A,'_Sys|Line_Map'!$D:$D,1,0)</f>
        <v/>
      </c>
      <c r="K2905" s="4562">
        <f>IF(D2905="","",D2905*J2905)</f>
        <v/>
      </c>
      <c r="L2905" s="4562">
        <f>XLOOKUP(B2905,'_Sys|Line_Map'!$A:$A,'_Sys|Line_Map'!$B:$B,"MISSING",0)</f>
        <v/>
      </c>
    </row>
    <row r="2906">
      <c r="A2906" s="4561" t="n"/>
      <c r="B2906" s="4561" t="n"/>
      <c r="C2906" s="4561" t="n"/>
      <c r="D2906" s="4561" t="n"/>
      <c r="E2906" s="4561" t="n"/>
      <c r="F2906" s="4561" t="n"/>
      <c r="G2906" s="4561" t="n"/>
      <c r="H2906" s="4561" t="n"/>
      <c r="I2906" s="4562">
        <f>XLOOKUP(B2906,'_Sys|Line_Map'!$A:$A,'_Sys|Line_Map'!$C:$C,"MISSING",0)</f>
        <v/>
      </c>
      <c r="J2906" s="4562">
        <f>XLOOKUP(B2906,'_Sys|Line_Map'!$A:$A,'_Sys|Line_Map'!$D:$D,1,0)</f>
        <v/>
      </c>
      <c r="K2906" s="4562">
        <f>IF(D2906="","",D2906*J2906)</f>
        <v/>
      </c>
      <c r="L2906" s="4562">
        <f>XLOOKUP(B2906,'_Sys|Line_Map'!$A:$A,'_Sys|Line_Map'!$B:$B,"MISSING",0)</f>
        <v/>
      </c>
    </row>
    <row r="2907">
      <c r="A2907" s="4561" t="n"/>
      <c r="B2907" s="4561" t="n"/>
      <c r="C2907" s="4561" t="n"/>
      <c r="D2907" s="4561" t="n"/>
      <c r="E2907" s="4561" t="n"/>
      <c r="F2907" s="4561" t="n"/>
      <c r="G2907" s="4561" t="n"/>
      <c r="H2907" s="4561" t="n"/>
      <c r="I2907" s="4562">
        <f>XLOOKUP(B2907,'_Sys|Line_Map'!$A:$A,'_Sys|Line_Map'!$C:$C,"MISSING",0)</f>
        <v/>
      </c>
      <c r="J2907" s="4562">
        <f>XLOOKUP(B2907,'_Sys|Line_Map'!$A:$A,'_Sys|Line_Map'!$D:$D,1,0)</f>
        <v/>
      </c>
      <c r="K2907" s="4562">
        <f>IF(D2907="","",D2907*J2907)</f>
        <v/>
      </c>
      <c r="L2907" s="4562">
        <f>XLOOKUP(B2907,'_Sys|Line_Map'!$A:$A,'_Sys|Line_Map'!$B:$B,"MISSING",0)</f>
        <v/>
      </c>
    </row>
    <row r="2908">
      <c r="A2908" s="4561" t="n"/>
      <c r="B2908" s="4561" t="n"/>
      <c r="C2908" s="4561" t="n"/>
      <c r="D2908" s="4561" t="n"/>
      <c r="E2908" s="4561" t="n"/>
      <c r="F2908" s="4561" t="n"/>
      <c r="G2908" s="4561" t="n"/>
      <c r="H2908" s="4561" t="n"/>
      <c r="I2908" s="4562">
        <f>XLOOKUP(B2908,'_Sys|Line_Map'!$A:$A,'_Sys|Line_Map'!$C:$C,"MISSING",0)</f>
        <v/>
      </c>
      <c r="J2908" s="4562">
        <f>XLOOKUP(B2908,'_Sys|Line_Map'!$A:$A,'_Sys|Line_Map'!$D:$D,1,0)</f>
        <v/>
      </c>
      <c r="K2908" s="4562">
        <f>IF(D2908="","",D2908*J2908)</f>
        <v/>
      </c>
      <c r="L2908" s="4562">
        <f>XLOOKUP(B2908,'_Sys|Line_Map'!$A:$A,'_Sys|Line_Map'!$B:$B,"MISSING",0)</f>
        <v/>
      </c>
    </row>
    <row r="2909">
      <c r="A2909" s="4561" t="n"/>
      <c r="B2909" s="4561" t="n"/>
      <c r="C2909" s="4561" t="n"/>
      <c r="D2909" s="4561" t="n"/>
      <c r="E2909" s="4561" t="n"/>
      <c r="F2909" s="4561" t="n"/>
      <c r="G2909" s="4561" t="n"/>
      <c r="H2909" s="4561" t="n"/>
      <c r="I2909" s="4562">
        <f>XLOOKUP(B2909,'_Sys|Line_Map'!$A:$A,'_Sys|Line_Map'!$C:$C,"MISSING",0)</f>
        <v/>
      </c>
      <c r="J2909" s="4562">
        <f>XLOOKUP(B2909,'_Sys|Line_Map'!$A:$A,'_Sys|Line_Map'!$D:$D,1,0)</f>
        <v/>
      </c>
      <c r="K2909" s="4562">
        <f>IF(D2909="","",D2909*J2909)</f>
        <v/>
      </c>
      <c r="L2909" s="4562">
        <f>XLOOKUP(B2909,'_Sys|Line_Map'!$A:$A,'_Sys|Line_Map'!$B:$B,"MISSING",0)</f>
        <v/>
      </c>
    </row>
    <row r="2910">
      <c r="A2910" s="4561" t="n"/>
      <c r="B2910" s="4561" t="n"/>
      <c r="C2910" s="4561" t="n"/>
      <c r="D2910" s="4561" t="n"/>
      <c r="E2910" s="4561" t="n"/>
      <c r="F2910" s="4561" t="n"/>
      <c r="G2910" s="4561" t="n"/>
      <c r="H2910" s="4561" t="n"/>
      <c r="I2910" s="4562">
        <f>XLOOKUP(B2910,'_Sys|Line_Map'!$A:$A,'_Sys|Line_Map'!$C:$C,"MISSING",0)</f>
        <v/>
      </c>
      <c r="J2910" s="4562">
        <f>XLOOKUP(B2910,'_Sys|Line_Map'!$A:$A,'_Sys|Line_Map'!$D:$D,1,0)</f>
        <v/>
      </c>
      <c r="K2910" s="4562">
        <f>IF(D2910="","",D2910*J2910)</f>
        <v/>
      </c>
      <c r="L2910" s="4562">
        <f>XLOOKUP(B2910,'_Sys|Line_Map'!$A:$A,'_Sys|Line_Map'!$B:$B,"MISSING",0)</f>
        <v/>
      </c>
    </row>
    <row r="2911">
      <c r="A2911" s="4561" t="n"/>
      <c r="B2911" s="4561" t="n"/>
      <c r="C2911" s="4561" t="n"/>
      <c r="D2911" s="4561" t="n"/>
      <c r="E2911" s="4561" t="n"/>
      <c r="F2911" s="4561" t="n"/>
      <c r="G2911" s="4561" t="n"/>
      <c r="H2911" s="4561" t="n"/>
      <c r="I2911" s="4562">
        <f>XLOOKUP(B2911,'_Sys|Line_Map'!$A:$A,'_Sys|Line_Map'!$C:$C,"MISSING",0)</f>
        <v/>
      </c>
      <c r="J2911" s="4562">
        <f>XLOOKUP(B2911,'_Sys|Line_Map'!$A:$A,'_Sys|Line_Map'!$D:$D,1,0)</f>
        <v/>
      </c>
      <c r="K2911" s="4562">
        <f>IF(D2911="","",D2911*J2911)</f>
        <v/>
      </c>
      <c r="L2911" s="4562">
        <f>XLOOKUP(B2911,'_Sys|Line_Map'!$A:$A,'_Sys|Line_Map'!$B:$B,"MISSING",0)</f>
        <v/>
      </c>
    </row>
    <row r="2912">
      <c r="A2912" s="4561" t="n"/>
      <c r="B2912" s="4561" t="n"/>
      <c r="C2912" s="4561" t="n"/>
      <c r="D2912" s="4561" t="n"/>
      <c r="E2912" s="4561" t="n"/>
      <c r="F2912" s="4561" t="n"/>
      <c r="G2912" s="4561" t="n"/>
      <c r="H2912" s="4561" t="n"/>
      <c r="I2912" s="4562">
        <f>XLOOKUP(B2912,'_Sys|Line_Map'!$A:$A,'_Sys|Line_Map'!$C:$C,"MISSING",0)</f>
        <v/>
      </c>
      <c r="J2912" s="4562">
        <f>XLOOKUP(B2912,'_Sys|Line_Map'!$A:$A,'_Sys|Line_Map'!$D:$D,1,0)</f>
        <v/>
      </c>
      <c r="K2912" s="4562">
        <f>IF(D2912="","",D2912*J2912)</f>
        <v/>
      </c>
      <c r="L2912" s="4562">
        <f>XLOOKUP(B2912,'_Sys|Line_Map'!$A:$A,'_Sys|Line_Map'!$B:$B,"MISSING",0)</f>
        <v/>
      </c>
    </row>
    <row r="2913">
      <c r="A2913" s="4561" t="n"/>
      <c r="B2913" s="4561" t="n"/>
      <c r="C2913" s="4561" t="n"/>
      <c r="D2913" s="4561" t="n"/>
      <c r="E2913" s="4561" t="n"/>
      <c r="F2913" s="4561" t="n"/>
      <c r="G2913" s="4561" t="n"/>
      <c r="H2913" s="4561" t="n"/>
      <c r="I2913" s="4562">
        <f>XLOOKUP(B2913,'_Sys|Line_Map'!$A:$A,'_Sys|Line_Map'!$C:$C,"MISSING",0)</f>
        <v/>
      </c>
      <c r="J2913" s="4562">
        <f>XLOOKUP(B2913,'_Sys|Line_Map'!$A:$A,'_Sys|Line_Map'!$D:$D,1,0)</f>
        <v/>
      </c>
      <c r="K2913" s="4562">
        <f>IF(D2913="","",D2913*J2913)</f>
        <v/>
      </c>
      <c r="L2913" s="4562">
        <f>XLOOKUP(B2913,'_Sys|Line_Map'!$A:$A,'_Sys|Line_Map'!$B:$B,"MISSING",0)</f>
        <v/>
      </c>
    </row>
    <row r="2914">
      <c r="A2914" s="4561" t="n"/>
      <c r="B2914" s="4561" t="n"/>
      <c r="C2914" s="4561" t="n"/>
      <c r="D2914" s="4561" t="n"/>
      <c r="E2914" s="4561" t="n"/>
      <c r="F2914" s="4561" t="n"/>
      <c r="G2914" s="4561" t="n"/>
      <c r="H2914" s="4561" t="n"/>
      <c r="I2914" s="4562">
        <f>XLOOKUP(B2914,'_Sys|Line_Map'!$A:$A,'_Sys|Line_Map'!$C:$C,"MISSING",0)</f>
        <v/>
      </c>
      <c r="J2914" s="4562">
        <f>XLOOKUP(B2914,'_Sys|Line_Map'!$A:$A,'_Sys|Line_Map'!$D:$D,1,0)</f>
        <v/>
      </c>
      <c r="K2914" s="4562">
        <f>IF(D2914="","",D2914*J2914)</f>
        <v/>
      </c>
      <c r="L2914" s="4562">
        <f>XLOOKUP(B2914,'_Sys|Line_Map'!$A:$A,'_Sys|Line_Map'!$B:$B,"MISSING",0)</f>
        <v/>
      </c>
    </row>
    <row r="2915">
      <c r="A2915" s="4561" t="n"/>
      <c r="B2915" s="4561" t="n"/>
      <c r="C2915" s="4561" t="n"/>
      <c r="D2915" s="4561" t="n"/>
      <c r="E2915" s="4561" t="n"/>
      <c r="F2915" s="4561" t="n"/>
      <c r="G2915" s="4561" t="n"/>
      <c r="H2915" s="4561" t="n"/>
      <c r="I2915" s="4562">
        <f>XLOOKUP(B2915,'_Sys|Line_Map'!$A:$A,'_Sys|Line_Map'!$C:$C,"MISSING",0)</f>
        <v/>
      </c>
      <c r="J2915" s="4562">
        <f>XLOOKUP(B2915,'_Sys|Line_Map'!$A:$A,'_Sys|Line_Map'!$D:$D,1,0)</f>
        <v/>
      </c>
      <c r="K2915" s="4562">
        <f>IF(D2915="","",D2915*J2915)</f>
        <v/>
      </c>
      <c r="L2915" s="4562">
        <f>XLOOKUP(B2915,'_Sys|Line_Map'!$A:$A,'_Sys|Line_Map'!$B:$B,"MISSING",0)</f>
        <v/>
      </c>
    </row>
    <row r="2916">
      <c r="A2916" s="4561" t="n"/>
      <c r="B2916" s="4561" t="n"/>
      <c r="C2916" s="4561" t="n"/>
      <c r="D2916" s="4561" t="n"/>
      <c r="E2916" s="4561" t="n"/>
      <c r="F2916" s="4561" t="n"/>
      <c r="G2916" s="4561" t="n"/>
      <c r="H2916" s="4561" t="n"/>
      <c r="I2916" s="4562">
        <f>XLOOKUP(B2916,'_Sys|Line_Map'!$A:$A,'_Sys|Line_Map'!$C:$C,"MISSING",0)</f>
        <v/>
      </c>
      <c r="J2916" s="4562">
        <f>XLOOKUP(B2916,'_Sys|Line_Map'!$A:$A,'_Sys|Line_Map'!$D:$D,1,0)</f>
        <v/>
      </c>
      <c r="K2916" s="4562">
        <f>IF(D2916="","",D2916*J2916)</f>
        <v/>
      </c>
      <c r="L2916" s="4562">
        <f>XLOOKUP(B2916,'_Sys|Line_Map'!$A:$A,'_Sys|Line_Map'!$B:$B,"MISSING",0)</f>
        <v/>
      </c>
    </row>
    <row r="2917">
      <c r="A2917" s="4561" t="n"/>
      <c r="B2917" s="4561" t="n"/>
      <c r="C2917" s="4561" t="n"/>
      <c r="D2917" s="4561" t="n"/>
      <c r="E2917" s="4561" t="n"/>
      <c r="F2917" s="4561" t="n"/>
      <c r="G2917" s="4561" t="n"/>
      <c r="H2917" s="4561" t="n"/>
      <c r="I2917" s="4562">
        <f>XLOOKUP(B2917,'_Sys|Line_Map'!$A:$A,'_Sys|Line_Map'!$C:$C,"MISSING",0)</f>
        <v/>
      </c>
      <c r="J2917" s="4562">
        <f>XLOOKUP(B2917,'_Sys|Line_Map'!$A:$A,'_Sys|Line_Map'!$D:$D,1,0)</f>
        <v/>
      </c>
      <c r="K2917" s="4562">
        <f>IF(D2917="","",D2917*J2917)</f>
        <v/>
      </c>
      <c r="L2917" s="4562">
        <f>XLOOKUP(B2917,'_Sys|Line_Map'!$A:$A,'_Sys|Line_Map'!$B:$B,"MISSING",0)</f>
        <v/>
      </c>
    </row>
    <row r="2918">
      <c r="A2918" s="4561" t="n"/>
      <c r="B2918" s="4561" t="n"/>
      <c r="C2918" s="4561" t="n"/>
      <c r="D2918" s="4561" t="n"/>
      <c r="E2918" s="4561" t="n"/>
      <c r="F2918" s="4561" t="n"/>
      <c r="G2918" s="4561" t="n"/>
      <c r="H2918" s="4561" t="n"/>
      <c r="I2918" s="4562">
        <f>XLOOKUP(B2918,'_Sys|Line_Map'!$A:$A,'_Sys|Line_Map'!$C:$C,"MISSING",0)</f>
        <v/>
      </c>
      <c r="J2918" s="4562">
        <f>XLOOKUP(B2918,'_Sys|Line_Map'!$A:$A,'_Sys|Line_Map'!$D:$D,1,0)</f>
        <v/>
      </c>
      <c r="K2918" s="4562">
        <f>IF(D2918="","",D2918*J2918)</f>
        <v/>
      </c>
      <c r="L2918" s="4562">
        <f>XLOOKUP(B2918,'_Sys|Line_Map'!$A:$A,'_Sys|Line_Map'!$B:$B,"MISSING",0)</f>
        <v/>
      </c>
    </row>
    <row r="2919">
      <c r="A2919" s="4561" t="n"/>
      <c r="B2919" s="4561" t="n"/>
      <c r="C2919" s="4561" t="n"/>
      <c r="D2919" s="4561" t="n"/>
      <c r="E2919" s="4561" t="n"/>
      <c r="F2919" s="4561" t="n"/>
      <c r="G2919" s="4561" t="n"/>
      <c r="H2919" s="4561" t="n"/>
      <c r="I2919" s="4562">
        <f>XLOOKUP(B2919,'_Sys|Line_Map'!$A:$A,'_Sys|Line_Map'!$C:$C,"MISSING",0)</f>
        <v/>
      </c>
      <c r="J2919" s="4562">
        <f>XLOOKUP(B2919,'_Sys|Line_Map'!$A:$A,'_Sys|Line_Map'!$D:$D,1,0)</f>
        <v/>
      </c>
      <c r="K2919" s="4562">
        <f>IF(D2919="","",D2919*J2919)</f>
        <v/>
      </c>
      <c r="L2919" s="4562">
        <f>XLOOKUP(B2919,'_Sys|Line_Map'!$A:$A,'_Sys|Line_Map'!$B:$B,"MISSING",0)</f>
        <v/>
      </c>
    </row>
    <row r="2920">
      <c r="A2920" s="4561" t="n"/>
      <c r="B2920" s="4561" t="n"/>
      <c r="C2920" s="4561" t="n"/>
      <c r="D2920" s="4561" t="n"/>
      <c r="E2920" s="4561" t="n"/>
      <c r="F2920" s="4561" t="n"/>
      <c r="G2920" s="4561" t="n"/>
      <c r="H2920" s="4561" t="n"/>
      <c r="I2920" s="4562">
        <f>XLOOKUP(B2920,'_Sys|Line_Map'!$A:$A,'_Sys|Line_Map'!$C:$C,"MISSING",0)</f>
        <v/>
      </c>
      <c r="J2920" s="4562">
        <f>XLOOKUP(B2920,'_Sys|Line_Map'!$A:$A,'_Sys|Line_Map'!$D:$D,1,0)</f>
        <v/>
      </c>
      <c r="K2920" s="4562">
        <f>IF(D2920="","",D2920*J2920)</f>
        <v/>
      </c>
      <c r="L2920" s="4562">
        <f>XLOOKUP(B2920,'_Sys|Line_Map'!$A:$A,'_Sys|Line_Map'!$B:$B,"MISSING",0)</f>
        <v/>
      </c>
    </row>
    <row r="2921">
      <c r="A2921" s="4561" t="n"/>
      <c r="B2921" s="4561" t="n"/>
      <c r="C2921" s="4561" t="n"/>
      <c r="D2921" s="4561" t="n"/>
      <c r="E2921" s="4561" t="n"/>
      <c r="F2921" s="4561" t="n"/>
      <c r="G2921" s="4561" t="n"/>
      <c r="H2921" s="4561" t="n"/>
      <c r="I2921" s="4562">
        <f>XLOOKUP(B2921,'_Sys|Line_Map'!$A:$A,'_Sys|Line_Map'!$C:$C,"MISSING",0)</f>
        <v/>
      </c>
      <c r="J2921" s="4562">
        <f>XLOOKUP(B2921,'_Sys|Line_Map'!$A:$A,'_Sys|Line_Map'!$D:$D,1,0)</f>
        <v/>
      </c>
      <c r="K2921" s="4562">
        <f>IF(D2921="","",D2921*J2921)</f>
        <v/>
      </c>
      <c r="L2921" s="4562">
        <f>XLOOKUP(B2921,'_Sys|Line_Map'!$A:$A,'_Sys|Line_Map'!$B:$B,"MISSING",0)</f>
        <v/>
      </c>
    </row>
    <row r="2922">
      <c r="A2922" s="4561" t="n"/>
      <c r="B2922" s="4561" t="n"/>
      <c r="C2922" s="4561" t="n"/>
      <c r="D2922" s="4561" t="n"/>
      <c r="E2922" s="4561" t="n"/>
      <c r="F2922" s="4561" t="n"/>
      <c r="G2922" s="4561" t="n"/>
      <c r="H2922" s="4561" t="n"/>
      <c r="I2922" s="4562">
        <f>XLOOKUP(B2922,'_Sys|Line_Map'!$A:$A,'_Sys|Line_Map'!$C:$C,"MISSING",0)</f>
        <v/>
      </c>
      <c r="J2922" s="4562">
        <f>XLOOKUP(B2922,'_Sys|Line_Map'!$A:$A,'_Sys|Line_Map'!$D:$D,1,0)</f>
        <v/>
      </c>
      <c r="K2922" s="4562">
        <f>IF(D2922="","",D2922*J2922)</f>
        <v/>
      </c>
      <c r="L2922" s="4562">
        <f>XLOOKUP(B2922,'_Sys|Line_Map'!$A:$A,'_Sys|Line_Map'!$B:$B,"MISSING",0)</f>
        <v/>
      </c>
    </row>
    <row r="2923">
      <c r="A2923" s="4561" t="n"/>
      <c r="B2923" s="4561" t="n"/>
      <c r="C2923" s="4561" t="n"/>
      <c r="D2923" s="4561" t="n"/>
      <c r="E2923" s="4561" t="n"/>
      <c r="F2923" s="4561" t="n"/>
      <c r="G2923" s="4561" t="n"/>
      <c r="H2923" s="4561" t="n"/>
      <c r="I2923" s="4562">
        <f>XLOOKUP(B2923,'_Sys|Line_Map'!$A:$A,'_Sys|Line_Map'!$C:$C,"MISSING",0)</f>
        <v/>
      </c>
      <c r="J2923" s="4562">
        <f>XLOOKUP(B2923,'_Sys|Line_Map'!$A:$A,'_Sys|Line_Map'!$D:$D,1,0)</f>
        <v/>
      </c>
      <c r="K2923" s="4562">
        <f>IF(D2923="","",D2923*J2923)</f>
        <v/>
      </c>
      <c r="L2923" s="4562">
        <f>XLOOKUP(B2923,'_Sys|Line_Map'!$A:$A,'_Sys|Line_Map'!$B:$B,"MISSING",0)</f>
        <v/>
      </c>
    </row>
    <row r="2924">
      <c r="A2924" s="4561" t="n"/>
      <c r="B2924" s="4561" t="n"/>
      <c r="C2924" s="4561" t="n"/>
      <c r="D2924" s="4561" t="n"/>
      <c r="E2924" s="4561" t="n"/>
      <c r="F2924" s="4561" t="n"/>
      <c r="G2924" s="4561" t="n"/>
      <c r="H2924" s="4561" t="n"/>
      <c r="I2924" s="4562">
        <f>XLOOKUP(B2924,'_Sys|Line_Map'!$A:$A,'_Sys|Line_Map'!$C:$C,"MISSING",0)</f>
        <v/>
      </c>
      <c r="J2924" s="4562">
        <f>XLOOKUP(B2924,'_Sys|Line_Map'!$A:$A,'_Sys|Line_Map'!$D:$D,1,0)</f>
        <v/>
      </c>
      <c r="K2924" s="4562">
        <f>IF(D2924="","",D2924*J2924)</f>
        <v/>
      </c>
      <c r="L2924" s="4562">
        <f>XLOOKUP(B2924,'_Sys|Line_Map'!$A:$A,'_Sys|Line_Map'!$B:$B,"MISSING",0)</f>
        <v/>
      </c>
    </row>
    <row r="2925">
      <c r="A2925" s="4561" t="n"/>
      <c r="B2925" s="4561" t="n"/>
      <c r="C2925" s="4561" t="n"/>
      <c r="D2925" s="4561" t="n"/>
      <c r="E2925" s="4561" t="n"/>
      <c r="F2925" s="4561" t="n"/>
      <c r="G2925" s="4561" t="n"/>
      <c r="H2925" s="4561" t="n"/>
      <c r="I2925" s="4562">
        <f>XLOOKUP(B2925,'_Sys|Line_Map'!$A:$A,'_Sys|Line_Map'!$C:$C,"MISSING",0)</f>
        <v/>
      </c>
      <c r="J2925" s="4562">
        <f>XLOOKUP(B2925,'_Sys|Line_Map'!$A:$A,'_Sys|Line_Map'!$D:$D,1,0)</f>
        <v/>
      </c>
      <c r="K2925" s="4562">
        <f>IF(D2925="","",D2925*J2925)</f>
        <v/>
      </c>
      <c r="L2925" s="4562">
        <f>XLOOKUP(B2925,'_Sys|Line_Map'!$A:$A,'_Sys|Line_Map'!$B:$B,"MISSING",0)</f>
        <v/>
      </c>
    </row>
    <row r="2926">
      <c r="A2926" s="4561" t="n"/>
      <c r="B2926" s="4561" t="n"/>
      <c r="C2926" s="4561" t="n"/>
      <c r="D2926" s="4561" t="n"/>
      <c r="E2926" s="4561" t="n"/>
      <c r="F2926" s="4561" t="n"/>
      <c r="G2926" s="4561" t="n"/>
      <c r="H2926" s="4561" t="n"/>
      <c r="I2926" s="4562">
        <f>XLOOKUP(B2926,'_Sys|Line_Map'!$A:$A,'_Sys|Line_Map'!$C:$C,"MISSING",0)</f>
        <v/>
      </c>
      <c r="J2926" s="4562">
        <f>XLOOKUP(B2926,'_Sys|Line_Map'!$A:$A,'_Sys|Line_Map'!$D:$D,1,0)</f>
        <v/>
      </c>
      <c r="K2926" s="4562">
        <f>IF(D2926="","",D2926*J2926)</f>
        <v/>
      </c>
      <c r="L2926" s="4562">
        <f>XLOOKUP(B2926,'_Sys|Line_Map'!$A:$A,'_Sys|Line_Map'!$B:$B,"MISSING",0)</f>
        <v/>
      </c>
    </row>
    <row r="2927">
      <c r="A2927" s="4561" t="n"/>
      <c r="B2927" s="4561" t="n"/>
      <c r="C2927" s="4561" t="n"/>
      <c r="D2927" s="4561" t="n"/>
      <c r="E2927" s="4561" t="n"/>
      <c r="F2927" s="4561" t="n"/>
      <c r="G2927" s="4561" t="n"/>
      <c r="H2927" s="4561" t="n"/>
      <c r="I2927" s="4562">
        <f>XLOOKUP(B2927,'_Sys|Line_Map'!$A:$A,'_Sys|Line_Map'!$C:$C,"MISSING",0)</f>
        <v/>
      </c>
      <c r="J2927" s="4562">
        <f>XLOOKUP(B2927,'_Sys|Line_Map'!$A:$A,'_Sys|Line_Map'!$D:$D,1,0)</f>
        <v/>
      </c>
      <c r="K2927" s="4562">
        <f>IF(D2927="","",D2927*J2927)</f>
        <v/>
      </c>
      <c r="L2927" s="4562">
        <f>XLOOKUP(B2927,'_Sys|Line_Map'!$A:$A,'_Sys|Line_Map'!$B:$B,"MISSING",0)</f>
        <v/>
      </c>
    </row>
    <row r="2928">
      <c r="A2928" s="4561" t="n"/>
      <c r="B2928" s="4561" t="n"/>
      <c r="C2928" s="4561" t="n"/>
      <c r="D2928" s="4561" t="n"/>
      <c r="E2928" s="4561" t="n"/>
      <c r="F2928" s="4561" t="n"/>
      <c r="G2928" s="4561" t="n"/>
      <c r="H2928" s="4561" t="n"/>
      <c r="I2928" s="4562">
        <f>XLOOKUP(B2928,'_Sys|Line_Map'!$A:$A,'_Sys|Line_Map'!$C:$C,"MISSING",0)</f>
        <v/>
      </c>
      <c r="J2928" s="4562">
        <f>XLOOKUP(B2928,'_Sys|Line_Map'!$A:$A,'_Sys|Line_Map'!$D:$D,1,0)</f>
        <v/>
      </c>
      <c r="K2928" s="4562">
        <f>IF(D2928="","",D2928*J2928)</f>
        <v/>
      </c>
      <c r="L2928" s="4562">
        <f>XLOOKUP(B2928,'_Sys|Line_Map'!$A:$A,'_Sys|Line_Map'!$B:$B,"MISSING",0)</f>
        <v/>
      </c>
    </row>
    <row r="2929">
      <c r="A2929" s="4561" t="n"/>
      <c r="B2929" s="4561" t="n"/>
      <c r="C2929" s="4561" t="n"/>
      <c r="D2929" s="4561" t="n"/>
      <c r="E2929" s="4561" t="n"/>
      <c r="F2929" s="4561" t="n"/>
      <c r="G2929" s="4561" t="n"/>
      <c r="H2929" s="4561" t="n"/>
      <c r="I2929" s="4562">
        <f>XLOOKUP(B2929,'_Sys|Line_Map'!$A:$A,'_Sys|Line_Map'!$C:$C,"MISSING",0)</f>
        <v/>
      </c>
      <c r="J2929" s="4562">
        <f>XLOOKUP(B2929,'_Sys|Line_Map'!$A:$A,'_Sys|Line_Map'!$D:$D,1,0)</f>
        <v/>
      </c>
      <c r="K2929" s="4562">
        <f>IF(D2929="","",D2929*J2929)</f>
        <v/>
      </c>
      <c r="L2929" s="4562">
        <f>XLOOKUP(B2929,'_Sys|Line_Map'!$A:$A,'_Sys|Line_Map'!$B:$B,"MISSING",0)</f>
        <v/>
      </c>
    </row>
    <row r="2930">
      <c r="A2930" s="4561" t="n"/>
      <c r="B2930" s="4561" t="n"/>
      <c r="C2930" s="4561" t="n"/>
      <c r="D2930" s="4561" t="n"/>
      <c r="E2930" s="4561" t="n"/>
      <c r="F2930" s="4561" t="n"/>
      <c r="G2930" s="4561" t="n"/>
      <c r="H2930" s="4561" t="n"/>
      <c r="I2930" s="4562">
        <f>XLOOKUP(B2930,'_Sys|Line_Map'!$A:$A,'_Sys|Line_Map'!$C:$C,"MISSING",0)</f>
        <v/>
      </c>
      <c r="J2930" s="4562">
        <f>XLOOKUP(B2930,'_Sys|Line_Map'!$A:$A,'_Sys|Line_Map'!$D:$D,1,0)</f>
        <v/>
      </c>
      <c r="K2930" s="4562">
        <f>IF(D2930="","",D2930*J2930)</f>
        <v/>
      </c>
      <c r="L2930" s="4562">
        <f>XLOOKUP(B2930,'_Sys|Line_Map'!$A:$A,'_Sys|Line_Map'!$B:$B,"MISSING",0)</f>
        <v/>
      </c>
    </row>
    <row r="2931">
      <c r="A2931" s="4561" t="n"/>
      <c r="B2931" s="4561" t="n"/>
      <c r="C2931" s="4561" t="n"/>
      <c r="D2931" s="4561" t="n"/>
      <c r="E2931" s="4561" t="n"/>
      <c r="F2931" s="4561" t="n"/>
      <c r="G2931" s="4561" t="n"/>
      <c r="H2931" s="4561" t="n"/>
      <c r="I2931" s="4562">
        <f>XLOOKUP(B2931,'_Sys|Line_Map'!$A:$A,'_Sys|Line_Map'!$C:$C,"MISSING",0)</f>
        <v/>
      </c>
      <c r="J2931" s="4562">
        <f>XLOOKUP(B2931,'_Sys|Line_Map'!$A:$A,'_Sys|Line_Map'!$D:$D,1,0)</f>
        <v/>
      </c>
      <c r="K2931" s="4562">
        <f>IF(D2931="","",D2931*J2931)</f>
        <v/>
      </c>
      <c r="L2931" s="4562">
        <f>XLOOKUP(B2931,'_Sys|Line_Map'!$A:$A,'_Sys|Line_Map'!$B:$B,"MISSING",0)</f>
        <v/>
      </c>
    </row>
    <row r="2932">
      <c r="A2932" s="4561" t="n"/>
      <c r="B2932" s="4561" t="n"/>
      <c r="C2932" s="4561" t="n"/>
      <c r="D2932" s="4561" t="n"/>
      <c r="E2932" s="4561" t="n"/>
      <c r="F2932" s="4561" t="n"/>
      <c r="G2932" s="4561" t="n"/>
      <c r="H2932" s="4561" t="n"/>
      <c r="I2932" s="4562">
        <f>XLOOKUP(B2932,'_Sys|Line_Map'!$A:$A,'_Sys|Line_Map'!$C:$C,"MISSING",0)</f>
        <v/>
      </c>
      <c r="J2932" s="4562">
        <f>XLOOKUP(B2932,'_Sys|Line_Map'!$A:$A,'_Sys|Line_Map'!$D:$D,1,0)</f>
        <v/>
      </c>
      <c r="K2932" s="4562">
        <f>IF(D2932="","",D2932*J2932)</f>
        <v/>
      </c>
      <c r="L2932" s="4562">
        <f>XLOOKUP(B2932,'_Sys|Line_Map'!$A:$A,'_Sys|Line_Map'!$B:$B,"MISSING",0)</f>
        <v/>
      </c>
    </row>
    <row r="2933">
      <c r="A2933" s="4561" t="n"/>
      <c r="B2933" s="4561" t="n"/>
      <c r="C2933" s="4561" t="n"/>
      <c r="D2933" s="4561" t="n"/>
      <c r="E2933" s="4561" t="n"/>
      <c r="F2933" s="4561" t="n"/>
      <c r="G2933" s="4561" t="n"/>
      <c r="H2933" s="4561" t="n"/>
      <c r="I2933" s="4562">
        <f>XLOOKUP(B2933,'_Sys|Line_Map'!$A:$A,'_Sys|Line_Map'!$C:$C,"MISSING",0)</f>
        <v/>
      </c>
      <c r="J2933" s="4562">
        <f>XLOOKUP(B2933,'_Sys|Line_Map'!$A:$A,'_Sys|Line_Map'!$D:$D,1,0)</f>
        <v/>
      </c>
      <c r="K2933" s="4562">
        <f>IF(D2933="","",D2933*J2933)</f>
        <v/>
      </c>
      <c r="L2933" s="4562">
        <f>XLOOKUP(B2933,'_Sys|Line_Map'!$A:$A,'_Sys|Line_Map'!$B:$B,"MISSING",0)</f>
        <v/>
      </c>
    </row>
    <row r="2934">
      <c r="A2934" s="4561" t="n"/>
      <c r="B2934" s="4561" t="n"/>
      <c r="C2934" s="4561" t="n"/>
      <c r="D2934" s="4561" t="n"/>
      <c r="E2934" s="4561" t="n"/>
      <c r="F2934" s="4561" t="n"/>
      <c r="G2934" s="4561" t="n"/>
      <c r="H2934" s="4561" t="n"/>
      <c r="I2934" s="4562">
        <f>XLOOKUP(B2934,'_Sys|Line_Map'!$A:$A,'_Sys|Line_Map'!$C:$C,"MISSING",0)</f>
        <v/>
      </c>
      <c r="J2934" s="4562">
        <f>XLOOKUP(B2934,'_Sys|Line_Map'!$A:$A,'_Sys|Line_Map'!$D:$D,1,0)</f>
        <v/>
      </c>
      <c r="K2934" s="4562">
        <f>IF(D2934="","",D2934*J2934)</f>
        <v/>
      </c>
      <c r="L2934" s="4562">
        <f>XLOOKUP(B2934,'_Sys|Line_Map'!$A:$A,'_Sys|Line_Map'!$B:$B,"MISSING",0)</f>
        <v/>
      </c>
    </row>
    <row r="2935">
      <c r="A2935" s="4561" t="n"/>
      <c r="B2935" s="4561" t="n"/>
      <c r="C2935" s="4561" t="n"/>
      <c r="D2935" s="4561" t="n"/>
      <c r="E2935" s="4561" t="n"/>
      <c r="F2935" s="4561" t="n"/>
      <c r="G2935" s="4561" t="n"/>
      <c r="H2935" s="4561" t="n"/>
      <c r="I2935" s="4562">
        <f>XLOOKUP(B2935,'_Sys|Line_Map'!$A:$A,'_Sys|Line_Map'!$C:$C,"MISSING",0)</f>
        <v/>
      </c>
      <c r="J2935" s="4562">
        <f>XLOOKUP(B2935,'_Sys|Line_Map'!$A:$A,'_Sys|Line_Map'!$D:$D,1,0)</f>
        <v/>
      </c>
      <c r="K2935" s="4562">
        <f>IF(D2935="","",D2935*J2935)</f>
        <v/>
      </c>
      <c r="L2935" s="4562">
        <f>XLOOKUP(B2935,'_Sys|Line_Map'!$A:$A,'_Sys|Line_Map'!$B:$B,"MISSING",0)</f>
        <v/>
      </c>
    </row>
    <row r="2936">
      <c r="A2936" s="4561" t="n"/>
      <c r="B2936" s="4561" t="n"/>
      <c r="C2936" s="4561" t="n"/>
      <c r="D2936" s="4561" t="n"/>
      <c r="E2936" s="4561" t="n"/>
      <c r="F2936" s="4561" t="n"/>
      <c r="G2936" s="4561" t="n"/>
      <c r="H2936" s="4561" t="n"/>
      <c r="I2936" s="4562">
        <f>XLOOKUP(B2936,'_Sys|Line_Map'!$A:$A,'_Sys|Line_Map'!$C:$C,"MISSING",0)</f>
        <v/>
      </c>
      <c r="J2936" s="4562">
        <f>XLOOKUP(B2936,'_Sys|Line_Map'!$A:$A,'_Sys|Line_Map'!$D:$D,1,0)</f>
        <v/>
      </c>
      <c r="K2936" s="4562">
        <f>IF(D2936="","",D2936*J2936)</f>
        <v/>
      </c>
      <c r="L2936" s="4562">
        <f>XLOOKUP(B2936,'_Sys|Line_Map'!$A:$A,'_Sys|Line_Map'!$B:$B,"MISSING",0)</f>
        <v/>
      </c>
    </row>
    <row r="2937">
      <c r="A2937" s="4561" t="n"/>
      <c r="B2937" s="4561" t="n"/>
      <c r="C2937" s="4561" t="n"/>
      <c r="D2937" s="4561" t="n"/>
      <c r="E2937" s="4561" t="n"/>
      <c r="F2937" s="4561" t="n"/>
      <c r="G2937" s="4561" t="n"/>
      <c r="H2937" s="4561" t="n"/>
      <c r="I2937" s="4562">
        <f>XLOOKUP(B2937,'_Sys|Line_Map'!$A:$A,'_Sys|Line_Map'!$C:$C,"MISSING",0)</f>
        <v/>
      </c>
      <c r="J2937" s="4562">
        <f>XLOOKUP(B2937,'_Sys|Line_Map'!$A:$A,'_Sys|Line_Map'!$D:$D,1,0)</f>
        <v/>
      </c>
      <c r="K2937" s="4562">
        <f>IF(D2937="","",D2937*J2937)</f>
        <v/>
      </c>
      <c r="L2937" s="4562">
        <f>XLOOKUP(B2937,'_Sys|Line_Map'!$A:$A,'_Sys|Line_Map'!$B:$B,"MISSING",0)</f>
        <v/>
      </c>
    </row>
    <row r="2938">
      <c r="A2938" s="4561" t="n"/>
      <c r="B2938" s="4561" t="n"/>
      <c r="C2938" s="4561" t="n"/>
      <c r="D2938" s="4561" t="n"/>
      <c r="E2938" s="4561" t="n"/>
      <c r="F2938" s="4561" t="n"/>
      <c r="G2938" s="4561" t="n"/>
      <c r="H2938" s="4561" t="n"/>
      <c r="I2938" s="4562">
        <f>XLOOKUP(B2938,'_Sys|Line_Map'!$A:$A,'_Sys|Line_Map'!$C:$C,"MISSING",0)</f>
        <v/>
      </c>
      <c r="J2938" s="4562">
        <f>XLOOKUP(B2938,'_Sys|Line_Map'!$A:$A,'_Sys|Line_Map'!$D:$D,1,0)</f>
        <v/>
      </c>
      <c r="K2938" s="4562">
        <f>IF(D2938="","",D2938*J2938)</f>
        <v/>
      </c>
      <c r="L2938" s="4562">
        <f>XLOOKUP(B2938,'_Sys|Line_Map'!$A:$A,'_Sys|Line_Map'!$B:$B,"MISSING",0)</f>
        <v/>
      </c>
    </row>
    <row r="2939">
      <c r="A2939" s="4561" t="n"/>
      <c r="B2939" s="4561" t="n"/>
      <c r="C2939" s="4561" t="n"/>
      <c r="D2939" s="4561" t="n"/>
      <c r="E2939" s="4561" t="n"/>
      <c r="F2939" s="4561" t="n"/>
      <c r="G2939" s="4561" t="n"/>
      <c r="H2939" s="4561" t="n"/>
      <c r="I2939" s="4562">
        <f>XLOOKUP(B2939,'_Sys|Line_Map'!$A:$A,'_Sys|Line_Map'!$C:$C,"MISSING",0)</f>
        <v/>
      </c>
      <c r="J2939" s="4562">
        <f>XLOOKUP(B2939,'_Sys|Line_Map'!$A:$A,'_Sys|Line_Map'!$D:$D,1,0)</f>
        <v/>
      </c>
      <c r="K2939" s="4562">
        <f>IF(D2939="","",D2939*J2939)</f>
        <v/>
      </c>
      <c r="L2939" s="4562">
        <f>XLOOKUP(B2939,'_Sys|Line_Map'!$A:$A,'_Sys|Line_Map'!$B:$B,"MISSING",0)</f>
        <v/>
      </c>
    </row>
    <row r="2940">
      <c r="A2940" s="4561" t="n"/>
      <c r="B2940" s="4561" t="n"/>
      <c r="C2940" s="4561" t="n"/>
      <c r="D2940" s="4561" t="n"/>
      <c r="E2940" s="4561" t="n"/>
      <c r="F2940" s="4561" t="n"/>
      <c r="G2940" s="4561" t="n"/>
      <c r="H2940" s="4561" t="n"/>
      <c r="I2940" s="4562">
        <f>XLOOKUP(B2940,'_Sys|Line_Map'!$A:$A,'_Sys|Line_Map'!$C:$C,"MISSING",0)</f>
        <v/>
      </c>
      <c r="J2940" s="4562">
        <f>XLOOKUP(B2940,'_Sys|Line_Map'!$A:$A,'_Sys|Line_Map'!$D:$D,1,0)</f>
        <v/>
      </c>
      <c r="K2940" s="4562">
        <f>IF(D2940="","",D2940*J2940)</f>
        <v/>
      </c>
      <c r="L2940" s="4562">
        <f>XLOOKUP(B2940,'_Sys|Line_Map'!$A:$A,'_Sys|Line_Map'!$B:$B,"MISSING",0)</f>
        <v/>
      </c>
    </row>
    <row r="2941">
      <c r="A2941" s="4561" t="n"/>
      <c r="B2941" s="4561" t="n"/>
      <c r="C2941" s="4561" t="n"/>
      <c r="D2941" s="4561" t="n"/>
      <c r="E2941" s="4561" t="n"/>
      <c r="F2941" s="4561" t="n"/>
      <c r="G2941" s="4561" t="n"/>
      <c r="H2941" s="4561" t="n"/>
      <c r="I2941" s="4562">
        <f>XLOOKUP(B2941,'_Sys|Line_Map'!$A:$A,'_Sys|Line_Map'!$C:$C,"MISSING",0)</f>
        <v/>
      </c>
      <c r="J2941" s="4562">
        <f>XLOOKUP(B2941,'_Sys|Line_Map'!$A:$A,'_Sys|Line_Map'!$D:$D,1,0)</f>
        <v/>
      </c>
      <c r="K2941" s="4562">
        <f>IF(D2941="","",D2941*J2941)</f>
        <v/>
      </c>
      <c r="L2941" s="4562">
        <f>XLOOKUP(B2941,'_Sys|Line_Map'!$A:$A,'_Sys|Line_Map'!$B:$B,"MISSING",0)</f>
        <v/>
      </c>
    </row>
    <row r="2942">
      <c r="A2942" s="4561" t="n"/>
      <c r="B2942" s="4561" t="n"/>
      <c r="C2942" s="4561" t="n"/>
      <c r="D2942" s="4561" t="n"/>
      <c r="E2942" s="4561" t="n"/>
      <c r="F2942" s="4561" t="n"/>
      <c r="G2942" s="4561" t="n"/>
      <c r="H2942" s="4561" t="n"/>
      <c r="I2942" s="4562">
        <f>XLOOKUP(B2942,'_Sys|Line_Map'!$A:$A,'_Sys|Line_Map'!$C:$C,"MISSING",0)</f>
        <v/>
      </c>
      <c r="J2942" s="4562">
        <f>XLOOKUP(B2942,'_Sys|Line_Map'!$A:$A,'_Sys|Line_Map'!$D:$D,1,0)</f>
        <v/>
      </c>
      <c r="K2942" s="4562">
        <f>IF(D2942="","",D2942*J2942)</f>
        <v/>
      </c>
      <c r="L2942" s="4562">
        <f>XLOOKUP(B2942,'_Sys|Line_Map'!$A:$A,'_Sys|Line_Map'!$B:$B,"MISSING",0)</f>
        <v/>
      </c>
    </row>
    <row r="2943">
      <c r="A2943" s="4561" t="n"/>
      <c r="B2943" s="4561" t="n"/>
      <c r="C2943" s="4561" t="n"/>
      <c r="D2943" s="4561" t="n"/>
      <c r="E2943" s="4561" t="n"/>
      <c r="F2943" s="4561" t="n"/>
      <c r="G2943" s="4561" t="n"/>
      <c r="H2943" s="4561" t="n"/>
      <c r="I2943" s="4562">
        <f>XLOOKUP(B2943,'_Sys|Line_Map'!$A:$A,'_Sys|Line_Map'!$C:$C,"MISSING",0)</f>
        <v/>
      </c>
      <c r="J2943" s="4562">
        <f>XLOOKUP(B2943,'_Sys|Line_Map'!$A:$A,'_Sys|Line_Map'!$D:$D,1,0)</f>
        <v/>
      </c>
      <c r="K2943" s="4562">
        <f>IF(D2943="","",D2943*J2943)</f>
        <v/>
      </c>
      <c r="L2943" s="4562">
        <f>XLOOKUP(B2943,'_Sys|Line_Map'!$A:$A,'_Sys|Line_Map'!$B:$B,"MISSING",0)</f>
        <v/>
      </c>
    </row>
    <row r="2944">
      <c r="A2944" s="4561" t="n"/>
      <c r="B2944" s="4561" t="n"/>
      <c r="C2944" s="4561" t="n"/>
      <c r="D2944" s="4561" t="n"/>
      <c r="E2944" s="4561" t="n"/>
      <c r="F2944" s="4561" t="n"/>
      <c r="G2944" s="4561" t="n"/>
      <c r="H2944" s="4561" t="n"/>
      <c r="I2944" s="4562">
        <f>XLOOKUP(B2944,'_Sys|Line_Map'!$A:$A,'_Sys|Line_Map'!$C:$C,"MISSING",0)</f>
        <v/>
      </c>
      <c r="J2944" s="4562">
        <f>XLOOKUP(B2944,'_Sys|Line_Map'!$A:$A,'_Sys|Line_Map'!$D:$D,1,0)</f>
        <v/>
      </c>
      <c r="K2944" s="4562">
        <f>IF(D2944="","",D2944*J2944)</f>
        <v/>
      </c>
      <c r="L2944" s="4562">
        <f>XLOOKUP(B2944,'_Sys|Line_Map'!$A:$A,'_Sys|Line_Map'!$B:$B,"MISSING",0)</f>
        <v/>
      </c>
    </row>
    <row r="2945">
      <c r="A2945" s="4561" t="n"/>
      <c r="B2945" s="4561" t="n"/>
      <c r="C2945" s="4561" t="n"/>
      <c r="D2945" s="4561" t="n"/>
      <c r="E2945" s="4561" t="n"/>
      <c r="F2945" s="4561" t="n"/>
      <c r="G2945" s="4561" t="n"/>
      <c r="H2945" s="4561" t="n"/>
      <c r="I2945" s="4562">
        <f>XLOOKUP(B2945,'_Sys|Line_Map'!$A:$A,'_Sys|Line_Map'!$C:$C,"MISSING",0)</f>
        <v/>
      </c>
      <c r="J2945" s="4562">
        <f>XLOOKUP(B2945,'_Sys|Line_Map'!$A:$A,'_Sys|Line_Map'!$D:$D,1,0)</f>
        <v/>
      </c>
      <c r="K2945" s="4562">
        <f>IF(D2945="","",D2945*J2945)</f>
        <v/>
      </c>
      <c r="L2945" s="4562">
        <f>XLOOKUP(B2945,'_Sys|Line_Map'!$A:$A,'_Sys|Line_Map'!$B:$B,"MISSING",0)</f>
        <v/>
      </c>
    </row>
    <row r="2946">
      <c r="A2946" s="4561" t="n"/>
      <c r="B2946" s="4561" t="n"/>
      <c r="C2946" s="4561" t="n"/>
      <c r="D2946" s="4561" t="n"/>
      <c r="E2946" s="4561" t="n"/>
      <c r="F2946" s="4561" t="n"/>
      <c r="G2946" s="4561" t="n"/>
      <c r="H2946" s="4561" t="n"/>
      <c r="I2946" s="4562">
        <f>XLOOKUP(B2946,'_Sys|Line_Map'!$A:$A,'_Sys|Line_Map'!$C:$C,"MISSING",0)</f>
        <v/>
      </c>
      <c r="J2946" s="4562">
        <f>XLOOKUP(B2946,'_Sys|Line_Map'!$A:$A,'_Sys|Line_Map'!$D:$D,1,0)</f>
        <v/>
      </c>
      <c r="K2946" s="4562">
        <f>IF(D2946="","",D2946*J2946)</f>
        <v/>
      </c>
      <c r="L2946" s="4562">
        <f>XLOOKUP(B2946,'_Sys|Line_Map'!$A:$A,'_Sys|Line_Map'!$B:$B,"MISSING",0)</f>
        <v/>
      </c>
    </row>
    <row r="2947">
      <c r="A2947" s="4561" t="n"/>
      <c r="B2947" s="4561" t="n"/>
      <c r="C2947" s="4561" t="n"/>
      <c r="D2947" s="4561" t="n"/>
      <c r="E2947" s="4561" t="n"/>
      <c r="F2947" s="4561" t="n"/>
      <c r="G2947" s="4561" t="n"/>
      <c r="H2947" s="4561" t="n"/>
      <c r="I2947" s="4562">
        <f>XLOOKUP(B2947,'_Sys|Line_Map'!$A:$A,'_Sys|Line_Map'!$C:$C,"MISSING",0)</f>
        <v/>
      </c>
      <c r="J2947" s="4562">
        <f>XLOOKUP(B2947,'_Sys|Line_Map'!$A:$A,'_Sys|Line_Map'!$D:$D,1,0)</f>
        <v/>
      </c>
      <c r="K2947" s="4562">
        <f>IF(D2947="","",D2947*J2947)</f>
        <v/>
      </c>
      <c r="L2947" s="4562">
        <f>XLOOKUP(B2947,'_Sys|Line_Map'!$A:$A,'_Sys|Line_Map'!$B:$B,"MISSING",0)</f>
        <v/>
      </c>
    </row>
    <row r="2948">
      <c r="A2948" s="4561" t="n"/>
      <c r="B2948" s="4561" t="n"/>
      <c r="C2948" s="4561" t="n"/>
      <c r="D2948" s="4561" t="n"/>
      <c r="E2948" s="4561" t="n"/>
      <c r="F2948" s="4561" t="n"/>
      <c r="G2948" s="4561" t="n"/>
      <c r="H2948" s="4561" t="n"/>
      <c r="I2948" s="4562">
        <f>XLOOKUP(B2948,'_Sys|Line_Map'!$A:$A,'_Sys|Line_Map'!$C:$C,"MISSING",0)</f>
        <v/>
      </c>
      <c r="J2948" s="4562">
        <f>XLOOKUP(B2948,'_Sys|Line_Map'!$A:$A,'_Sys|Line_Map'!$D:$D,1,0)</f>
        <v/>
      </c>
      <c r="K2948" s="4562">
        <f>IF(D2948="","",D2948*J2948)</f>
        <v/>
      </c>
      <c r="L2948" s="4562">
        <f>XLOOKUP(B2948,'_Sys|Line_Map'!$A:$A,'_Sys|Line_Map'!$B:$B,"MISSING",0)</f>
        <v/>
      </c>
    </row>
    <row r="2949">
      <c r="A2949" s="4561" t="n"/>
      <c r="B2949" s="4561" t="n"/>
      <c r="C2949" s="4561" t="n"/>
      <c r="D2949" s="4561" t="n"/>
      <c r="E2949" s="4561" t="n"/>
      <c r="F2949" s="4561" t="n"/>
      <c r="G2949" s="4561" t="n"/>
      <c r="H2949" s="4561" t="n"/>
      <c r="I2949" s="4562">
        <f>XLOOKUP(B2949,'_Sys|Line_Map'!$A:$A,'_Sys|Line_Map'!$C:$C,"MISSING",0)</f>
        <v/>
      </c>
      <c r="J2949" s="4562">
        <f>XLOOKUP(B2949,'_Sys|Line_Map'!$A:$A,'_Sys|Line_Map'!$D:$D,1,0)</f>
        <v/>
      </c>
      <c r="K2949" s="4562">
        <f>IF(D2949="","",D2949*J2949)</f>
        <v/>
      </c>
      <c r="L2949" s="4562">
        <f>XLOOKUP(B2949,'_Sys|Line_Map'!$A:$A,'_Sys|Line_Map'!$B:$B,"MISSING",0)</f>
        <v/>
      </c>
    </row>
    <row r="2950">
      <c r="A2950" s="4561" t="n"/>
      <c r="B2950" s="4561" t="n"/>
      <c r="C2950" s="4561" t="n"/>
      <c r="D2950" s="4561" t="n"/>
      <c r="E2950" s="4561" t="n"/>
      <c r="F2950" s="4561" t="n"/>
      <c r="G2950" s="4561" t="n"/>
      <c r="H2950" s="4561" t="n"/>
      <c r="I2950" s="4562">
        <f>XLOOKUP(B2950,'_Sys|Line_Map'!$A:$A,'_Sys|Line_Map'!$C:$C,"MISSING",0)</f>
        <v/>
      </c>
      <c r="J2950" s="4562">
        <f>XLOOKUP(B2950,'_Sys|Line_Map'!$A:$A,'_Sys|Line_Map'!$D:$D,1,0)</f>
        <v/>
      </c>
      <c r="K2950" s="4562">
        <f>IF(D2950="","",D2950*J2950)</f>
        <v/>
      </c>
      <c r="L2950" s="4562">
        <f>XLOOKUP(B2950,'_Sys|Line_Map'!$A:$A,'_Sys|Line_Map'!$B:$B,"MISSING",0)</f>
        <v/>
      </c>
    </row>
    <row r="2951">
      <c r="A2951" s="4561" t="n"/>
      <c r="B2951" s="4561" t="n"/>
      <c r="C2951" s="4561" t="n"/>
      <c r="D2951" s="4561" t="n"/>
      <c r="E2951" s="4561" t="n"/>
      <c r="F2951" s="4561" t="n"/>
      <c r="G2951" s="4561" t="n"/>
      <c r="H2951" s="4561" t="n"/>
      <c r="I2951" s="4562">
        <f>XLOOKUP(B2951,'_Sys|Line_Map'!$A:$A,'_Sys|Line_Map'!$C:$C,"MISSING",0)</f>
        <v/>
      </c>
      <c r="J2951" s="4562">
        <f>XLOOKUP(B2951,'_Sys|Line_Map'!$A:$A,'_Sys|Line_Map'!$D:$D,1,0)</f>
        <v/>
      </c>
      <c r="K2951" s="4562">
        <f>IF(D2951="","",D2951*J2951)</f>
        <v/>
      </c>
      <c r="L2951" s="4562">
        <f>XLOOKUP(B2951,'_Sys|Line_Map'!$A:$A,'_Sys|Line_Map'!$B:$B,"MISSING",0)</f>
        <v/>
      </c>
    </row>
    <row r="2952">
      <c r="A2952" s="4561" t="n"/>
      <c r="B2952" s="4561" t="n"/>
      <c r="C2952" s="4561" t="n"/>
      <c r="D2952" s="4561" t="n"/>
      <c r="E2952" s="4561" t="n"/>
      <c r="F2952" s="4561" t="n"/>
      <c r="G2952" s="4561" t="n"/>
      <c r="H2952" s="4561" t="n"/>
      <c r="I2952" s="4562">
        <f>XLOOKUP(B2952,'_Sys|Line_Map'!$A:$A,'_Sys|Line_Map'!$C:$C,"MISSING",0)</f>
        <v/>
      </c>
      <c r="J2952" s="4562">
        <f>XLOOKUP(B2952,'_Sys|Line_Map'!$A:$A,'_Sys|Line_Map'!$D:$D,1,0)</f>
        <v/>
      </c>
      <c r="K2952" s="4562">
        <f>IF(D2952="","",D2952*J2952)</f>
        <v/>
      </c>
      <c r="L2952" s="4562">
        <f>XLOOKUP(B2952,'_Sys|Line_Map'!$A:$A,'_Sys|Line_Map'!$B:$B,"MISSING",0)</f>
        <v/>
      </c>
    </row>
    <row r="2953">
      <c r="A2953" s="4561" t="n"/>
      <c r="B2953" s="4561" t="n"/>
      <c r="C2953" s="4561" t="n"/>
      <c r="D2953" s="4561" t="n"/>
      <c r="E2953" s="4561" t="n"/>
      <c r="F2953" s="4561" t="n"/>
      <c r="G2953" s="4561" t="n"/>
      <c r="H2953" s="4561" t="n"/>
      <c r="I2953" s="4562">
        <f>XLOOKUP(B2953,'_Sys|Line_Map'!$A:$A,'_Sys|Line_Map'!$C:$C,"MISSING",0)</f>
        <v/>
      </c>
      <c r="J2953" s="4562">
        <f>XLOOKUP(B2953,'_Sys|Line_Map'!$A:$A,'_Sys|Line_Map'!$D:$D,1,0)</f>
        <v/>
      </c>
      <c r="K2953" s="4562">
        <f>IF(D2953="","",D2953*J2953)</f>
        <v/>
      </c>
      <c r="L2953" s="4562">
        <f>XLOOKUP(B2953,'_Sys|Line_Map'!$A:$A,'_Sys|Line_Map'!$B:$B,"MISSING",0)</f>
        <v/>
      </c>
    </row>
    <row r="2954">
      <c r="A2954" s="4561" t="n"/>
      <c r="B2954" s="4561" t="n"/>
      <c r="C2954" s="4561" t="n"/>
      <c r="D2954" s="4561" t="n"/>
      <c r="E2954" s="4561" t="n"/>
      <c r="F2954" s="4561" t="n"/>
      <c r="G2954" s="4561" t="n"/>
      <c r="H2954" s="4561" t="n"/>
      <c r="I2954" s="4562">
        <f>XLOOKUP(B2954,'_Sys|Line_Map'!$A:$A,'_Sys|Line_Map'!$C:$C,"MISSING",0)</f>
        <v/>
      </c>
      <c r="J2954" s="4562">
        <f>XLOOKUP(B2954,'_Sys|Line_Map'!$A:$A,'_Sys|Line_Map'!$D:$D,1,0)</f>
        <v/>
      </c>
      <c r="K2954" s="4562">
        <f>IF(D2954="","",D2954*J2954)</f>
        <v/>
      </c>
      <c r="L2954" s="4562">
        <f>XLOOKUP(B2954,'_Sys|Line_Map'!$A:$A,'_Sys|Line_Map'!$B:$B,"MISSING",0)</f>
        <v/>
      </c>
    </row>
    <row r="2955">
      <c r="A2955" s="4561" t="n"/>
      <c r="B2955" s="4561" t="n"/>
      <c r="C2955" s="4561" t="n"/>
      <c r="D2955" s="4561" t="n"/>
      <c r="E2955" s="4561" t="n"/>
      <c r="F2955" s="4561" t="n"/>
      <c r="G2955" s="4561" t="n"/>
      <c r="H2955" s="4561" t="n"/>
      <c r="I2955" s="4562">
        <f>XLOOKUP(B2955,'_Sys|Line_Map'!$A:$A,'_Sys|Line_Map'!$C:$C,"MISSING",0)</f>
        <v/>
      </c>
      <c r="J2955" s="4562">
        <f>XLOOKUP(B2955,'_Sys|Line_Map'!$A:$A,'_Sys|Line_Map'!$D:$D,1,0)</f>
        <v/>
      </c>
      <c r="K2955" s="4562">
        <f>IF(D2955="","",D2955*J2955)</f>
        <v/>
      </c>
      <c r="L2955" s="4562">
        <f>XLOOKUP(B2955,'_Sys|Line_Map'!$A:$A,'_Sys|Line_Map'!$B:$B,"MISSING",0)</f>
        <v/>
      </c>
    </row>
    <row r="2956">
      <c r="A2956" s="4561" t="n"/>
      <c r="B2956" s="4561" t="n"/>
      <c r="C2956" s="4561" t="n"/>
      <c r="D2956" s="4561" t="n"/>
      <c r="E2956" s="4561" t="n"/>
      <c r="F2956" s="4561" t="n"/>
      <c r="G2956" s="4561" t="n"/>
      <c r="H2956" s="4561" t="n"/>
      <c r="I2956" s="4562">
        <f>XLOOKUP(B2956,'_Sys|Line_Map'!$A:$A,'_Sys|Line_Map'!$C:$C,"MISSING",0)</f>
        <v/>
      </c>
      <c r="J2956" s="4562">
        <f>XLOOKUP(B2956,'_Sys|Line_Map'!$A:$A,'_Sys|Line_Map'!$D:$D,1,0)</f>
        <v/>
      </c>
      <c r="K2956" s="4562">
        <f>IF(D2956="","",D2956*J2956)</f>
        <v/>
      </c>
      <c r="L2956" s="4562">
        <f>XLOOKUP(B2956,'_Sys|Line_Map'!$A:$A,'_Sys|Line_Map'!$B:$B,"MISSING",0)</f>
        <v/>
      </c>
    </row>
    <row r="2957">
      <c r="A2957" s="4561" t="n"/>
      <c r="B2957" s="4561" t="n"/>
      <c r="C2957" s="4561" t="n"/>
      <c r="D2957" s="4561" t="n"/>
      <c r="E2957" s="4561" t="n"/>
      <c r="F2957" s="4561" t="n"/>
      <c r="G2957" s="4561" t="n"/>
      <c r="H2957" s="4561" t="n"/>
      <c r="I2957" s="4562">
        <f>XLOOKUP(B2957,'_Sys|Line_Map'!$A:$A,'_Sys|Line_Map'!$C:$C,"MISSING",0)</f>
        <v/>
      </c>
      <c r="J2957" s="4562">
        <f>XLOOKUP(B2957,'_Sys|Line_Map'!$A:$A,'_Sys|Line_Map'!$D:$D,1,0)</f>
        <v/>
      </c>
      <c r="K2957" s="4562">
        <f>IF(D2957="","",D2957*J2957)</f>
        <v/>
      </c>
      <c r="L2957" s="4562">
        <f>XLOOKUP(B2957,'_Sys|Line_Map'!$A:$A,'_Sys|Line_Map'!$B:$B,"MISSING",0)</f>
        <v/>
      </c>
    </row>
    <row r="2958">
      <c r="A2958" s="4561" t="n"/>
      <c r="B2958" s="4561" t="n"/>
      <c r="C2958" s="4561" t="n"/>
      <c r="D2958" s="4561" t="n"/>
      <c r="E2958" s="4561" t="n"/>
      <c r="F2958" s="4561" t="n"/>
      <c r="G2958" s="4561" t="n"/>
      <c r="H2958" s="4561" t="n"/>
      <c r="I2958" s="4562">
        <f>XLOOKUP(B2958,'_Sys|Line_Map'!$A:$A,'_Sys|Line_Map'!$C:$C,"MISSING",0)</f>
        <v/>
      </c>
      <c r="J2958" s="4562">
        <f>XLOOKUP(B2958,'_Sys|Line_Map'!$A:$A,'_Sys|Line_Map'!$D:$D,1,0)</f>
        <v/>
      </c>
      <c r="K2958" s="4562">
        <f>IF(D2958="","",D2958*J2958)</f>
        <v/>
      </c>
      <c r="L2958" s="4562">
        <f>XLOOKUP(B2958,'_Sys|Line_Map'!$A:$A,'_Sys|Line_Map'!$B:$B,"MISSING",0)</f>
        <v/>
      </c>
    </row>
    <row r="2959">
      <c r="A2959" s="4561" t="n"/>
      <c r="B2959" s="4561" t="n"/>
      <c r="C2959" s="4561" t="n"/>
      <c r="D2959" s="4561" t="n"/>
      <c r="E2959" s="4561" t="n"/>
      <c r="F2959" s="4561" t="n"/>
      <c r="G2959" s="4561" t="n"/>
      <c r="H2959" s="4561" t="n"/>
      <c r="I2959" s="4562">
        <f>XLOOKUP(B2959,'_Sys|Line_Map'!$A:$A,'_Sys|Line_Map'!$C:$C,"MISSING",0)</f>
        <v/>
      </c>
      <c r="J2959" s="4562">
        <f>XLOOKUP(B2959,'_Sys|Line_Map'!$A:$A,'_Sys|Line_Map'!$D:$D,1,0)</f>
        <v/>
      </c>
      <c r="K2959" s="4562">
        <f>IF(D2959="","",D2959*J2959)</f>
        <v/>
      </c>
      <c r="L2959" s="4562">
        <f>XLOOKUP(B2959,'_Sys|Line_Map'!$A:$A,'_Sys|Line_Map'!$B:$B,"MISSING",0)</f>
        <v/>
      </c>
    </row>
    <row r="2960">
      <c r="A2960" s="4561" t="n"/>
      <c r="B2960" s="4561" t="n"/>
      <c r="C2960" s="4561" t="n"/>
      <c r="D2960" s="4561" t="n"/>
      <c r="E2960" s="4561" t="n"/>
      <c r="F2960" s="4561" t="n"/>
      <c r="G2960" s="4561" t="n"/>
      <c r="H2960" s="4561" t="n"/>
      <c r="I2960" s="4562">
        <f>XLOOKUP(B2960,'_Sys|Line_Map'!$A:$A,'_Sys|Line_Map'!$C:$C,"MISSING",0)</f>
        <v/>
      </c>
      <c r="J2960" s="4562">
        <f>XLOOKUP(B2960,'_Sys|Line_Map'!$A:$A,'_Sys|Line_Map'!$D:$D,1,0)</f>
        <v/>
      </c>
      <c r="K2960" s="4562">
        <f>IF(D2960="","",D2960*J2960)</f>
        <v/>
      </c>
      <c r="L2960" s="4562">
        <f>XLOOKUP(B2960,'_Sys|Line_Map'!$A:$A,'_Sys|Line_Map'!$B:$B,"MISSING",0)</f>
        <v/>
      </c>
    </row>
    <row r="2961">
      <c r="A2961" s="4561" t="n"/>
      <c r="B2961" s="4561" t="n"/>
      <c r="C2961" s="4561" t="n"/>
      <c r="D2961" s="4561" t="n"/>
      <c r="E2961" s="4561" t="n"/>
      <c r="F2961" s="4561" t="n"/>
      <c r="G2961" s="4561" t="n"/>
      <c r="H2961" s="4561" t="n"/>
      <c r="I2961" s="4562">
        <f>XLOOKUP(B2961,'_Sys|Line_Map'!$A:$A,'_Sys|Line_Map'!$C:$C,"MISSING",0)</f>
        <v/>
      </c>
      <c r="J2961" s="4562">
        <f>XLOOKUP(B2961,'_Sys|Line_Map'!$A:$A,'_Sys|Line_Map'!$D:$D,1,0)</f>
        <v/>
      </c>
      <c r="K2961" s="4562">
        <f>IF(D2961="","",D2961*J2961)</f>
        <v/>
      </c>
      <c r="L2961" s="4562">
        <f>XLOOKUP(B2961,'_Sys|Line_Map'!$A:$A,'_Sys|Line_Map'!$B:$B,"MISSING",0)</f>
        <v/>
      </c>
    </row>
    <row r="2962">
      <c r="A2962" s="4561" t="n"/>
      <c r="B2962" s="4561" t="n"/>
      <c r="C2962" s="4561" t="n"/>
      <c r="D2962" s="4561" t="n"/>
      <c r="E2962" s="4561" t="n"/>
      <c r="F2962" s="4561" t="n"/>
      <c r="G2962" s="4561" t="n"/>
      <c r="H2962" s="4561" t="n"/>
      <c r="I2962" s="4562">
        <f>XLOOKUP(B2962,'_Sys|Line_Map'!$A:$A,'_Sys|Line_Map'!$C:$C,"MISSING",0)</f>
        <v/>
      </c>
      <c r="J2962" s="4562">
        <f>XLOOKUP(B2962,'_Sys|Line_Map'!$A:$A,'_Sys|Line_Map'!$D:$D,1,0)</f>
        <v/>
      </c>
      <c r="K2962" s="4562">
        <f>IF(D2962="","",D2962*J2962)</f>
        <v/>
      </c>
      <c r="L2962" s="4562">
        <f>XLOOKUP(B2962,'_Sys|Line_Map'!$A:$A,'_Sys|Line_Map'!$B:$B,"MISSING",0)</f>
        <v/>
      </c>
    </row>
    <row r="2963">
      <c r="A2963" s="4561" t="n"/>
      <c r="B2963" s="4561" t="n"/>
      <c r="C2963" s="4561" t="n"/>
      <c r="D2963" s="4561" t="n"/>
      <c r="E2963" s="4561" t="n"/>
      <c r="F2963" s="4561" t="n"/>
      <c r="G2963" s="4561" t="n"/>
      <c r="H2963" s="4561" t="n"/>
      <c r="I2963" s="4562">
        <f>XLOOKUP(B2963,'_Sys|Line_Map'!$A:$A,'_Sys|Line_Map'!$C:$C,"MISSING",0)</f>
        <v/>
      </c>
      <c r="J2963" s="4562">
        <f>XLOOKUP(B2963,'_Sys|Line_Map'!$A:$A,'_Sys|Line_Map'!$D:$D,1,0)</f>
        <v/>
      </c>
      <c r="K2963" s="4562">
        <f>IF(D2963="","",D2963*J2963)</f>
        <v/>
      </c>
      <c r="L2963" s="4562">
        <f>XLOOKUP(B2963,'_Sys|Line_Map'!$A:$A,'_Sys|Line_Map'!$B:$B,"MISSING",0)</f>
        <v/>
      </c>
    </row>
    <row r="2964">
      <c r="A2964" s="4561" t="n"/>
      <c r="B2964" s="4561" t="n"/>
      <c r="C2964" s="4561" t="n"/>
      <c r="D2964" s="4561" t="n"/>
      <c r="E2964" s="4561" t="n"/>
      <c r="F2964" s="4561" t="n"/>
      <c r="G2964" s="4561" t="n"/>
      <c r="H2964" s="4561" t="n"/>
      <c r="I2964" s="4562">
        <f>XLOOKUP(B2964,'_Sys|Line_Map'!$A:$A,'_Sys|Line_Map'!$C:$C,"MISSING",0)</f>
        <v/>
      </c>
      <c r="J2964" s="4562">
        <f>XLOOKUP(B2964,'_Sys|Line_Map'!$A:$A,'_Sys|Line_Map'!$D:$D,1,0)</f>
        <v/>
      </c>
      <c r="K2964" s="4562">
        <f>IF(D2964="","",D2964*J2964)</f>
        <v/>
      </c>
      <c r="L2964" s="4562">
        <f>XLOOKUP(B2964,'_Sys|Line_Map'!$A:$A,'_Sys|Line_Map'!$B:$B,"MISSING",0)</f>
        <v/>
      </c>
    </row>
    <row r="2965">
      <c r="A2965" s="4561" t="n"/>
      <c r="B2965" s="4561" t="n"/>
      <c r="C2965" s="4561" t="n"/>
      <c r="D2965" s="4561" t="n"/>
      <c r="E2965" s="4561" t="n"/>
      <c r="F2965" s="4561" t="n"/>
      <c r="G2965" s="4561" t="n"/>
      <c r="H2965" s="4561" t="n"/>
      <c r="I2965" s="4562">
        <f>XLOOKUP(B2965,'_Sys|Line_Map'!$A:$A,'_Sys|Line_Map'!$C:$C,"MISSING",0)</f>
        <v/>
      </c>
      <c r="J2965" s="4562">
        <f>XLOOKUP(B2965,'_Sys|Line_Map'!$A:$A,'_Sys|Line_Map'!$D:$D,1,0)</f>
        <v/>
      </c>
      <c r="K2965" s="4562">
        <f>IF(D2965="","",D2965*J2965)</f>
        <v/>
      </c>
      <c r="L2965" s="4562">
        <f>XLOOKUP(B2965,'_Sys|Line_Map'!$A:$A,'_Sys|Line_Map'!$B:$B,"MISSING",0)</f>
        <v/>
      </c>
    </row>
    <row r="2966">
      <c r="A2966" s="4561" t="n"/>
      <c r="B2966" s="4561" t="n"/>
      <c r="C2966" s="4561" t="n"/>
      <c r="D2966" s="4561" t="n"/>
      <c r="E2966" s="4561" t="n"/>
      <c r="F2966" s="4561" t="n"/>
      <c r="G2966" s="4561" t="n"/>
      <c r="H2966" s="4561" t="n"/>
      <c r="I2966" s="4562">
        <f>XLOOKUP(B2966,'_Sys|Line_Map'!$A:$A,'_Sys|Line_Map'!$C:$C,"MISSING",0)</f>
        <v/>
      </c>
      <c r="J2966" s="4562">
        <f>XLOOKUP(B2966,'_Sys|Line_Map'!$A:$A,'_Sys|Line_Map'!$D:$D,1,0)</f>
        <v/>
      </c>
      <c r="K2966" s="4562">
        <f>IF(D2966="","",D2966*J2966)</f>
        <v/>
      </c>
      <c r="L2966" s="4562">
        <f>XLOOKUP(B2966,'_Sys|Line_Map'!$A:$A,'_Sys|Line_Map'!$B:$B,"MISSING",0)</f>
        <v/>
      </c>
    </row>
    <row r="2967">
      <c r="A2967" s="4561" t="n"/>
      <c r="B2967" s="4561" t="n"/>
      <c r="C2967" s="4561" t="n"/>
      <c r="D2967" s="4561" t="n"/>
      <c r="E2967" s="4561" t="n"/>
      <c r="F2967" s="4561" t="n"/>
      <c r="G2967" s="4561" t="n"/>
      <c r="H2967" s="4561" t="n"/>
      <c r="I2967" s="4562">
        <f>XLOOKUP(B2967,'_Sys|Line_Map'!$A:$A,'_Sys|Line_Map'!$C:$C,"MISSING",0)</f>
        <v/>
      </c>
      <c r="J2967" s="4562">
        <f>XLOOKUP(B2967,'_Sys|Line_Map'!$A:$A,'_Sys|Line_Map'!$D:$D,1,0)</f>
        <v/>
      </c>
      <c r="K2967" s="4562">
        <f>IF(D2967="","",D2967*J2967)</f>
        <v/>
      </c>
      <c r="L2967" s="4562">
        <f>XLOOKUP(B2967,'_Sys|Line_Map'!$A:$A,'_Sys|Line_Map'!$B:$B,"MISSING",0)</f>
        <v/>
      </c>
    </row>
    <row r="2968">
      <c r="A2968" s="4561" t="n"/>
      <c r="B2968" s="4561" t="n"/>
      <c r="C2968" s="4561" t="n"/>
      <c r="D2968" s="4561" t="n"/>
      <c r="E2968" s="4561" t="n"/>
      <c r="F2968" s="4561" t="n"/>
      <c r="G2968" s="4561" t="n"/>
      <c r="H2968" s="4561" t="n"/>
      <c r="I2968" s="4562">
        <f>XLOOKUP(B2968,'_Sys|Line_Map'!$A:$A,'_Sys|Line_Map'!$C:$C,"MISSING",0)</f>
        <v/>
      </c>
      <c r="J2968" s="4562">
        <f>XLOOKUP(B2968,'_Sys|Line_Map'!$A:$A,'_Sys|Line_Map'!$D:$D,1,0)</f>
        <v/>
      </c>
      <c r="K2968" s="4562">
        <f>IF(D2968="","",D2968*J2968)</f>
        <v/>
      </c>
      <c r="L2968" s="4562">
        <f>XLOOKUP(B2968,'_Sys|Line_Map'!$A:$A,'_Sys|Line_Map'!$B:$B,"MISSING",0)</f>
        <v/>
      </c>
    </row>
    <row r="2969">
      <c r="A2969" s="4561" t="n"/>
      <c r="B2969" s="4561" t="n"/>
      <c r="C2969" s="4561" t="n"/>
      <c r="D2969" s="4561" t="n"/>
      <c r="E2969" s="4561" t="n"/>
      <c r="F2969" s="4561" t="n"/>
      <c r="G2969" s="4561" t="n"/>
      <c r="H2969" s="4561" t="n"/>
      <c r="I2969" s="4562">
        <f>XLOOKUP(B2969,'_Sys|Line_Map'!$A:$A,'_Sys|Line_Map'!$C:$C,"MISSING",0)</f>
        <v/>
      </c>
      <c r="J2969" s="4562">
        <f>XLOOKUP(B2969,'_Sys|Line_Map'!$A:$A,'_Sys|Line_Map'!$D:$D,1,0)</f>
        <v/>
      </c>
      <c r="K2969" s="4562">
        <f>IF(D2969="","",D2969*J2969)</f>
        <v/>
      </c>
      <c r="L2969" s="4562">
        <f>XLOOKUP(B2969,'_Sys|Line_Map'!$A:$A,'_Sys|Line_Map'!$B:$B,"MISSING",0)</f>
        <v/>
      </c>
    </row>
    <row r="2970">
      <c r="A2970" s="4561" t="n"/>
      <c r="B2970" s="4561" t="n"/>
      <c r="C2970" s="4561" t="n"/>
      <c r="D2970" s="4561" t="n"/>
      <c r="E2970" s="4561" t="n"/>
      <c r="F2970" s="4561" t="n"/>
      <c r="G2970" s="4561" t="n"/>
      <c r="H2970" s="4561" t="n"/>
      <c r="I2970" s="4562">
        <f>XLOOKUP(B2970,'_Sys|Line_Map'!$A:$A,'_Sys|Line_Map'!$C:$C,"MISSING",0)</f>
        <v/>
      </c>
      <c r="J2970" s="4562">
        <f>XLOOKUP(B2970,'_Sys|Line_Map'!$A:$A,'_Sys|Line_Map'!$D:$D,1,0)</f>
        <v/>
      </c>
      <c r="K2970" s="4562">
        <f>IF(D2970="","",D2970*J2970)</f>
        <v/>
      </c>
      <c r="L2970" s="4562">
        <f>XLOOKUP(B2970,'_Sys|Line_Map'!$A:$A,'_Sys|Line_Map'!$B:$B,"MISSING",0)</f>
        <v/>
      </c>
    </row>
    <row r="2971">
      <c r="A2971" s="4561" t="n"/>
      <c r="B2971" s="4561" t="n"/>
      <c r="C2971" s="4561" t="n"/>
      <c r="D2971" s="4561" t="n"/>
      <c r="E2971" s="4561" t="n"/>
      <c r="F2971" s="4561" t="n"/>
      <c r="G2971" s="4561" t="n"/>
      <c r="H2971" s="4561" t="n"/>
      <c r="I2971" s="4562">
        <f>XLOOKUP(B2971,'_Sys|Line_Map'!$A:$A,'_Sys|Line_Map'!$C:$C,"MISSING",0)</f>
        <v/>
      </c>
      <c r="J2971" s="4562">
        <f>XLOOKUP(B2971,'_Sys|Line_Map'!$A:$A,'_Sys|Line_Map'!$D:$D,1,0)</f>
        <v/>
      </c>
      <c r="K2971" s="4562">
        <f>IF(D2971="","",D2971*J2971)</f>
        <v/>
      </c>
      <c r="L2971" s="4562">
        <f>XLOOKUP(B2971,'_Sys|Line_Map'!$A:$A,'_Sys|Line_Map'!$B:$B,"MISSING",0)</f>
        <v/>
      </c>
    </row>
    <row r="2972">
      <c r="A2972" s="4561" t="n"/>
      <c r="B2972" s="4561" t="n"/>
      <c r="C2972" s="4561" t="n"/>
      <c r="D2972" s="4561" t="n"/>
      <c r="E2972" s="4561" t="n"/>
      <c r="F2972" s="4561" t="n"/>
      <c r="G2972" s="4561" t="n"/>
      <c r="H2972" s="4561" t="n"/>
      <c r="I2972" s="4562">
        <f>XLOOKUP(B2972,'_Sys|Line_Map'!$A:$A,'_Sys|Line_Map'!$C:$C,"MISSING",0)</f>
        <v/>
      </c>
      <c r="J2972" s="4562">
        <f>XLOOKUP(B2972,'_Sys|Line_Map'!$A:$A,'_Sys|Line_Map'!$D:$D,1,0)</f>
        <v/>
      </c>
      <c r="K2972" s="4562">
        <f>IF(D2972="","",D2972*J2972)</f>
        <v/>
      </c>
      <c r="L2972" s="4562">
        <f>XLOOKUP(B2972,'_Sys|Line_Map'!$A:$A,'_Sys|Line_Map'!$B:$B,"MISSING",0)</f>
        <v/>
      </c>
    </row>
    <row r="2973">
      <c r="A2973" s="4561" t="n"/>
      <c r="B2973" s="4561" t="n"/>
      <c r="C2973" s="4561" t="n"/>
      <c r="D2973" s="4561" t="n"/>
      <c r="E2973" s="4561" t="n"/>
      <c r="F2973" s="4561" t="n"/>
      <c r="G2973" s="4561" t="n"/>
      <c r="H2973" s="4561" t="n"/>
      <c r="I2973" s="4562">
        <f>XLOOKUP(B2973,'_Sys|Line_Map'!$A:$A,'_Sys|Line_Map'!$C:$C,"MISSING",0)</f>
        <v/>
      </c>
      <c r="J2973" s="4562">
        <f>XLOOKUP(B2973,'_Sys|Line_Map'!$A:$A,'_Sys|Line_Map'!$D:$D,1,0)</f>
        <v/>
      </c>
      <c r="K2973" s="4562">
        <f>IF(D2973="","",D2973*J2973)</f>
        <v/>
      </c>
      <c r="L2973" s="4562">
        <f>XLOOKUP(B2973,'_Sys|Line_Map'!$A:$A,'_Sys|Line_Map'!$B:$B,"MISSING",0)</f>
        <v/>
      </c>
    </row>
    <row r="2974">
      <c r="A2974" s="4561" t="n"/>
      <c r="B2974" s="4561" t="n"/>
      <c r="C2974" s="4561" t="n"/>
      <c r="D2974" s="4561" t="n"/>
      <c r="E2974" s="4561" t="n"/>
      <c r="F2974" s="4561" t="n"/>
      <c r="G2974" s="4561" t="n"/>
      <c r="H2974" s="4561" t="n"/>
      <c r="I2974" s="4562">
        <f>XLOOKUP(B2974,'_Sys|Line_Map'!$A:$A,'_Sys|Line_Map'!$C:$C,"MISSING",0)</f>
        <v/>
      </c>
      <c r="J2974" s="4562">
        <f>XLOOKUP(B2974,'_Sys|Line_Map'!$A:$A,'_Sys|Line_Map'!$D:$D,1,0)</f>
        <v/>
      </c>
      <c r="K2974" s="4562">
        <f>IF(D2974="","",D2974*J2974)</f>
        <v/>
      </c>
      <c r="L2974" s="4562">
        <f>XLOOKUP(B2974,'_Sys|Line_Map'!$A:$A,'_Sys|Line_Map'!$B:$B,"MISSING",0)</f>
        <v/>
      </c>
    </row>
    <row r="2975">
      <c r="A2975" s="4561" t="n"/>
      <c r="B2975" s="4561" t="n"/>
      <c r="C2975" s="4561" t="n"/>
      <c r="D2975" s="4561" t="n"/>
      <c r="E2975" s="4561" t="n"/>
      <c r="F2975" s="4561" t="n"/>
      <c r="G2975" s="4561" t="n"/>
      <c r="H2975" s="4561" t="n"/>
      <c r="I2975" s="4562">
        <f>XLOOKUP(B2975,'_Sys|Line_Map'!$A:$A,'_Sys|Line_Map'!$C:$C,"MISSING",0)</f>
        <v/>
      </c>
      <c r="J2975" s="4562">
        <f>XLOOKUP(B2975,'_Sys|Line_Map'!$A:$A,'_Sys|Line_Map'!$D:$D,1,0)</f>
        <v/>
      </c>
      <c r="K2975" s="4562">
        <f>IF(D2975="","",D2975*J2975)</f>
        <v/>
      </c>
      <c r="L2975" s="4562">
        <f>XLOOKUP(B2975,'_Sys|Line_Map'!$A:$A,'_Sys|Line_Map'!$B:$B,"MISSING",0)</f>
        <v/>
      </c>
    </row>
    <row r="2976">
      <c r="A2976" s="4561" t="n"/>
      <c r="B2976" s="4561" t="n"/>
      <c r="C2976" s="4561" t="n"/>
      <c r="D2976" s="4561" t="n"/>
      <c r="E2976" s="4561" t="n"/>
      <c r="F2976" s="4561" t="n"/>
      <c r="G2976" s="4561" t="n"/>
      <c r="H2976" s="4561" t="n"/>
      <c r="I2976" s="4562">
        <f>XLOOKUP(B2976,'_Sys|Line_Map'!$A:$A,'_Sys|Line_Map'!$C:$C,"MISSING",0)</f>
        <v/>
      </c>
      <c r="J2976" s="4562">
        <f>XLOOKUP(B2976,'_Sys|Line_Map'!$A:$A,'_Sys|Line_Map'!$D:$D,1,0)</f>
        <v/>
      </c>
      <c r="K2976" s="4562">
        <f>IF(D2976="","",D2976*J2976)</f>
        <v/>
      </c>
      <c r="L2976" s="4562">
        <f>XLOOKUP(B2976,'_Sys|Line_Map'!$A:$A,'_Sys|Line_Map'!$B:$B,"MISSING",0)</f>
        <v/>
      </c>
    </row>
    <row r="2977">
      <c r="A2977" s="4561" t="n"/>
      <c r="B2977" s="4561" t="n"/>
      <c r="C2977" s="4561" t="n"/>
      <c r="D2977" s="4561" t="n"/>
      <c r="E2977" s="4561" t="n"/>
      <c r="F2977" s="4561" t="n"/>
      <c r="G2977" s="4561" t="n"/>
      <c r="H2977" s="4561" t="n"/>
      <c r="I2977" s="4562">
        <f>XLOOKUP(B2977,'_Sys|Line_Map'!$A:$A,'_Sys|Line_Map'!$C:$C,"MISSING",0)</f>
        <v/>
      </c>
      <c r="J2977" s="4562">
        <f>XLOOKUP(B2977,'_Sys|Line_Map'!$A:$A,'_Sys|Line_Map'!$D:$D,1,0)</f>
        <v/>
      </c>
      <c r="K2977" s="4562">
        <f>IF(D2977="","",D2977*J2977)</f>
        <v/>
      </c>
      <c r="L2977" s="4562">
        <f>XLOOKUP(B2977,'_Sys|Line_Map'!$A:$A,'_Sys|Line_Map'!$B:$B,"MISSING",0)</f>
        <v/>
      </c>
    </row>
    <row r="2978">
      <c r="A2978" s="4561" t="n"/>
      <c r="B2978" s="4561" t="n"/>
      <c r="C2978" s="4561" t="n"/>
      <c r="D2978" s="4561" t="n"/>
      <c r="E2978" s="4561" t="n"/>
      <c r="F2978" s="4561" t="n"/>
      <c r="G2978" s="4561" t="n"/>
      <c r="H2978" s="4561" t="n"/>
      <c r="I2978" s="4562">
        <f>XLOOKUP(B2978,'_Sys|Line_Map'!$A:$A,'_Sys|Line_Map'!$C:$C,"MISSING",0)</f>
        <v/>
      </c>
      <c r="J2978" s="4562">
        <f>XLOOKUP(B2978,'_Sys|Line_Map'!$A:$A,'_Sys|Line_Map'!$D:$D,1,0)</f>
        <v/>
      </c>
      <c r="K2978" s="4562">
        <f>IF(D2978="","",D2978*J2978)</f>
        <v/>
      </c>
      <c r="L2978" s="4562">
        <f>XLOOKUP(B2978,'_Sys|Line_Map'!$A:$A,'_Sys|Line_Map'!$B:$B,"MISSING",0)</f>
        <v/>
      </c>
    </row>
    <row r="2979">
      <c r="A2979" s="4561" t="n"/>
      <c r="B2979" s="4561" t="n"/>
      <c r="C2979" s="4561" t="n"/>
      <c r="D2979" s="4561" t="n"/>
      <c r="E2979" s="4561" t="n"/>
      <c r="F2979" s="4561" t="n"/>
      <c r="G2979" s="4561" t="n"/>
      <c r="H2979" s="4561" t="n"/>
      <c r="I2979" s="4562">
        <f>XLOOKUP(B2979,'_Sys|Line_Map'!$A:$A,'_Sys|Line_Map'!$C:$C,"MISSING",0)</f>
        <v/>
      </c>
      <c r="J2979" s="4562">
        <f>XLOOKUP(B2979,'_Sys|Line_Map'!$A:$A,'_Sys|Line_Map'!$D:$D,1,0)</f>
        <v/>
      </c>
      <c r="K2979" s="4562">
        <f>IF(D2979="","",D2979*J2979)</f>
        <v/>
      </c>
      <c r="L2979" s="4562">
        <f>XLOOKUP(B2979,'_Sys|Line_Map'!$A:$A,'_Sys|Line_Map'!$B:$B,"MISSING",0)</f>
        <v/>
      </c>
    </row>
    <row r="2980">
      <c r="A2980" s="4561" t="n"/>
      <c r="B2980" s="4561" t="n"/>
      <c r="C2980" s="4561" t="n"/>
      <c r="D2980" s="4561" t="n"/>
      <c r="E2980" s="4561" t="n"/>
      <c r="F2980" s="4561" t="n"/>
      <c r="G2980" s="4561" t="n"/>
      <c r="H2980" s="4561" t="n"/>
      <c r="I2980" s="4562">
        <f>XLOOKUP(B2980,'_Sys|Line_Map'!$A:$A,'_Sys|Line_Map'!$C:$C,"MISSING",0)</f>
        <v/>
      </c>
      <c r="J2980" s="4562">
        <f>XLOOKUP(B2980,'_Sys|Line_Map'!$A:$A,'_Sys|Line_Map'!$D:$D,1,0)</f>
        <v/>
      </c>
      <c r="K2980" s="4562">
        <f>IF(D2980="","",D2980*J2980)</f>
        <v/>
      </c>
      <c r="L2980" s="4562">
        <f>XLOOKUP(B2980,'_Sys|Line_Map'!$A:$A,'_Sys|Line_Map'!$B:$B,"MISSING",0)</f>
        <v/>
      </c>
    </row>
    <row r="2981">
      <c r="A2981" s="4561" t="n"/>
      <c r="B2981" s="4561" t="n"/>
      <c r="C2981" s="4561" t="n"/>
      <c r="D2981" s="4561" t="n"/>
      <c r="E2981" s="4561" t="n"/>
      <c r="F2981" s="4561" t="n"/>
      <c r="G2981" s="4561" t="n"/>
      <c r="H2981" s="4561" t="n"/>
      <c r="I2981" s="4562">
        <f>XLOOKUP(B2981,'_Sys|Line_Map'!$A:$A,'_Sys|Line_Map'!$C:$C,"MISSING",0)</f>
        <v/>
      </c>
      <c r="J2981" s="4562">
        <f>XLOOKUP(B2981,'_Sys|Line_Map'!$A:$A,'_Sys|Line_Map'!$D:$D,1,0)</f>
        <v/>
      </c>
      <c r="K2981" s="4562">
        <f>IF(D2981="","",D2981*J2981)</f>
        <v/>
      </c>
      <c r="L2981" s="4562">
        <f>XLOOKUP(B2981,'_Sys|Line_Map'!$A:$A,'_Sys|Line_Map'!$B:$B,"MISSING",0)</f>
        <v/>
      </c>
    </row>
    <row r="2982">
      <c r="A2982" s="4561" t="n"/>
      <c r="B2982" s="4561" t="n"/>
      <c r="C2982" s="4561" t="n"/>
      <c r="D2982" s="4561" t="n"/>
      <c r="E2982" s="4561" t="n"/>
      <c r="F2982" s="4561" t="n"/>
      <c r="G2982" s="4561" t="n"/>
      <c r="H2982" s="4561" t="n"/>
      <c r="I2982" s="4562">
        <f>XLOOKUP(B2982,'_Sys|Line_Map'!$A:$A,'_Sys|Line_Map'!$C:$C,"MISSING",0)</f>
        <v/>
      </c>
      <c r="J2982" s="4562">
        <f>XLOOKUP(B2982,'_Sys|Line_Map'!$A:$A,'_Sys|Line_Map'!$D:$D,1,0)</f>
        <v/>
      </c>
      <c r="K2982" s="4562">
        <f>IF(D2982="","",D2982*J2982)</f>
        <v/>
      </c>
      <c r="L2982" s="4562">
        <f>XLOOKUP(B2982,'_Sys|Line_Map'!$A:$A,'_Sys|Line_Map'!$B:$B,"MISSING",0)</f>
        <v/>
      </c>
    </row>
    <row r="2983">
      <c r="A2983" s="4561" t="n"/>
      <c r="B2983" s="4561" t="n"/>
      <c r="C2983" s="4561" t="n"/>
      <c r="D2983" s="4561" t="n"/>
      <c r="E2983" s="4561" t="n"/>
      <c r="F2983" s="4561" t="n"/>
      <c r="G2983" s="4561" t="n"/>
      <c r="H2983" s="4561" t="n"/>
      <c r="I2983" s="4562">
        <f>XLOOKUP(B2983,'_Sys|Line_Map'!$A:$A,'_Sys|Line_Map'!$C:$C,"MISSING",0)</f>
        <v/>
      </c>
      <c r="J2983" s="4562">
        <f>XLOOKUP(B2983,'_Sys|Line_Map'!$A:$A,'_Sys|Line_Map'!$D:$D,1,0)</f>
        <v/>
      </c>
      <c r="K2983" s="4562">
        <f>IF(D2983="","",D2983*J2983)</f>
        <v/>
      </c>
      <c r="L2983" s="4562">
        <f>XLOOKUP(B2983,'_Sys|Line_Map'!$A:$A,'_Sys|Line_Map'!$B:$B,"MISSING",0)</f>
        <v/>
      </c>
    </row>
    <row r="2984">
      <c r="A2984" s="4561" t="n"/>
      <c r="B2984" s="4561" t="n"/>
      <c r="C2984" s="4561" t="n"/>
      <c r="D2984" s="4561" t="n"/>
      <c r="E2984" s="4561" t="n"/>
      <c r="F2984" s="4561" t="n"/>
      <c r="G2984" s="4561" t="n"/>
      <c r="H2984" s="4561" t="n"/>
      <c r="I2984" s="4562">
        <f>XLOOKUP(B2984,'_Sys|Line_Map'!$A:$A,'_Sys|Line_Map'!$C:$C,"MISSING",0)</f>
        <v/>
      </c>
      <c r="J2984" s="4562">
        <f>XLOOKUP(B2984,'_Sys|Line_Map'!$A:$A,'_Sys|Line_Map'!$D:$D,1,0)</f>
        <v/>
      </c>
      <c r="K2984" s="4562">
        <f>IF(D2984="","",D2984*J2984)</f>
        <v/>
      </c>
      <c r="L2984" s="4562">
        <f>XLOOKUP(B2984,'_Sys|Line_Map'!$A:$A,'_Sys|Line_Map'!$B:$B,"MISSING",0)</f>
        <v/>
      </c>
    </row>
    <row r="2985">
      <c r="A2985" s="4561" t="n"/>
      <c r="B2985" s="4561" t="n"/>
      <c r="C2985" s="4561" t="n"/>
      <c r="D2985" s="4561" t="n"/>
      <c r="E2985" s="4561" t="n"/>
      <c r="F2985" s="4561" t="n"/>
      <c r="G2985" s="4561" t="n"/>
      <c r="H2985" s="4561" t="n"/>
      <c r="I2985" s="4562">
        <f>XLOOKUP(B2985,'_Sys|Line_Map'!$A:$A,'_Sys|Line_Map'!$C:$C,"MISSING",0)</f>
        <v/>
      </c>
      <c r="J2985" s="4562">
        <f>XLOOKUP(B2985,'_Sys|Line_Map'!$A:$A,'_Sys|Line_Map'!$D:$D,1,0)</f>
        <v/>
      </c>
      <c r="K2985" s="4562">
        <f>IF(D2985="","",D2985*J2985)</f>
        <v/>
      </c>
      <c r="L2985" s="4562">
        <f>XLOOKUP(B2985,'_Sys|Line_Map'!$A:$A,'_Sys|Line_Map'!$B:$B,"MISSING",0)</f>
        <v/>
      </c>
    </row>
    <row r="2986">
      <c r="A2986" s="4561" t="n"/>
      <c r="B2986" s="4561" t="n"/>
      <c r="C2986" s="4561" t="n"/>
      <c r="D2986" s="4561" t="n"/>
      <c r="E2986" s="4561" t="n"/>
      <c r="F2986" s="4561" t="n"/>
      <c r="G2986" s="4561" t="n"/>
      <c r="H2986" s="4561" t="n"/>
      <c r="I2986" s="4562">
        <f>XLOOKUP(B2986,'_Sys|Line_Map'!$A:$A,'_Sys|Line_Map'!$C:$C,"MISSING",0)</f>
        <v/>
      </c>
      <c r="J2986" s="4562">
        <f>XLOOKUP(B2986,'_Sys|Line_Map'!$A:$A,'_Sys|Line_Map'!$D:$D,1,0)</f>
        <v/>
      </c>
      <c r="K2986" s="4562">
        <f>IF(D2986="","",D2986*J2986)</f>
        <v/>
      </c>
      <c r="L2986" s="4562">
        <f>XLOOKUP(B2986,'_Sys|Line_Map'!$A:$A,'_Sys|Line_Map'!$B:$B,"MISSING",0)</f>
        <v/>
      </c>
    </row>
    <row r="2987">
      <c r="A2987" s="4561" t="n"/>
      <c r="B2987" s="4561" t="n"/>
      <c r="C2987" s="4561" t="n"/>
      <c r="D2987" s="4561" t="n"/>
      <c r="E2987" s="4561" t="n"/>
      <c r="F2987" s="4561" t="n"/>
      <c r="G2987" s="4561" t="n"/>
      <c r="H2987" s="4561" t="n"/>
      <c r="I2987" s="4562">
        <f>XLOOKUP(B2987,'_Sys|Line_Map'!$A:$A,'_Sys|Line_Map'!$C:$C,"MISSING",0)</f>
        <v/>
      </c>
      <c r="J2987" s="4562">
        <f>XLOOKUP(B2987,'_Sys|Line_Map'!$A:$A,'_Sys|Line_Map'!$D:$D,1,0)</f>
        <v/>
      </c>
      <c r="K2987" s="4562">
        <f>IF(D2987="","",D2987*J2987)</f>
        <v/>
      </c>
      <c r="L2987" s="4562">
        <f>XLOOKUP(B2987,'_Sys|Line_Map'!$A:$A,'_Sys|Line_Map'!$B:$B,"MISSING",0)</f>
        <v/>
      </c>
    </row>
    <row r="2988">
      <c r="A2988" s="4561" t="n"/>
      <c r="B2988" s="4561" t="n"/>
      <c r="C2988" s="4561" t="n"/>
      <c r="D2988" s="4561" t="n"/>
      <c r="E2988" s="4561" t="n"/>
      <c r="F2988" s="4561" t="n"/>
      <c r="G2988" s="4561" t="n"/>
      <c r="H2988" s="4561" t="n"/>
      <c r="I2988" s="4562">
        <f>XLOOKUP(B2988,'_Sys|Line_Map'!$A:$A,'_Sys|Line_Map'!$C:$C,"MISSING",0)</f>
        <v/>
      </c>
      <c r="J2988" s="4562">
        <f>XLOOKUP(B2988,'_Sys|Line_Map'!$A:$A,'_Sys|Line_Map'!$D:$D,1,0)</f>
        <v/>
      </c>
      <c r="K2988" s="4562">
        <f>IF(D2988="","",D2988*J2988)</f>
        <v/>
      </c>
      <c r="L2988" s="4562">
        <f>XLOOKUP(B2988,'_Sys|Line_Map'!$A:$A,'_Sys|Line_Map'!$B:$B,"MISSING",0)</f>
        <v/>
      </c>
    </row>
    <row r="2989">
      <c r="A2989" s="4561" t="n"/>
      <c r="B2989" s="4561" t="n"/>
      <c r="C2989" s="4561" t="n"/>
      <c r="D2989" s="4561" t="n"/>
      <c r="E2989" s="4561" t="n"/>
      <c r="F2989" s="4561" t="n"/>
      <c r="G2989" s="4561" t="n"/>
      <c r="H2989" s="4561" t="n"/>
      <c r="I2989" s="4562">
        <f>XLOOKUP(B2989,'_Sys|Line_Map'!$A:$A,'_Sys|Line_Map'!$C:$C,"MISSING",0)</f>
        <v/>
      </c>
      <c r="J2989" s="4562">
        <f>XLOOKUP(B2989,'_Sys|Line_Map'!$A:$A,'_Sys|Line_Map'!$D:$D,1,0)</f>
        <v/>
      </c>
      <c r="K2989" s="4562">
        <f>IF(D2989="","",D2989*J2989)</f>
        <v/>
      </c>
      <c r="L2989" s="4562">
        <f>XLOOKUP(B2989,'_Sys|Line_Map'!$A:$A,'_Sys|Line_Map'!$B:$B,"MISSING",0)</f>
        <v/>
      </c>
    </row>
    <row r="2990">
      <c r="A2990" s="4561" t="n"/>
      <c r="B2990" s="4561" t="n"/>
      <c r="C2990" s="4561" t="n"/>
      <c r="D2990" s="4561" t="n"/>
      <c r="E2990" s="4561" t="n"/>
      <c r="F2990" s="4561" t="n"/>
      <c r="G2990" s="4561" t="n"/>
      <c r="H2990" s="4561" t="n"/>
      <c r="I2990" s="4562">
        <f>XLOOKUP(B2990,'_Sys|Line_Map'!$A:$A,'_Sys|Line_Map'!$C:$C,"MISSING",0)</f>
        <v/>
      </c>
      <c r="J2990" s="4562">
        <f>XLOOKUP(B2990,'_Sys|Line_Map'!$A:$A,'_Sys|Line_Map'!$D:$D,1,0)</f>
        <v/>
      </c>
      <c r="K2990" s="4562">
        <f>IF(D2990="","",D2990*J2990)</f>
        <v/>
      </c>
      <c r="L2990" s="4562">
        <f>XLOOKUP(B2990,'_Sys|Line_Map'!$A:$A,'_Sys|Line_Map'!$B:$B,"MISSING",0)</f>
        <v/>
      </c>
    </row>
    <row r="2991">
      <c r="A2991" s="4561" t="n"/>
      <c r="B2991" s="4561" t="n"/>
      <c r="C2991" s="4561" t="n"/>
      <c r="D2991" s="4561" t="n"/>
      <c r="E2991" s="4561" t="n"/>
      <c r="F2991" s="4561" t="n"/>
      <c r="G2991" s="4561" t="n"/>
      <c r="H2991" s="4561" t="n"/>
      <c r="I2991" s="4562">
        <f>XLOOKUP(B2991,'_Sys|Line_Map'!$A:$A,'_Sys|Line_Map'!$C:$C,"MISSING",0)</f>
        <v/>
      </c>
      <c r="J2991" s="4562">
        <f>XLOOKUP(B2991,'_Sys|Line_Map'!$A:$A,'_Sys|Line_Map'!$D:$D,1,0)</f>
        <v/>
      </c>
      <c r="K2991" s="4562">
        <f>IF(D2991="","",D2991*J2991)</f>
        <v/>
      </c>
      <c r="L2991" s="4562">
        <f>XLOOKUP(B2991,'_Sys|Line_Map'!$A:$A,'_Sys|Line_Map'!$B:$B,"MISSING",0)</f>
        <v/>
      </c>
    </row>
    <row r="2992">
      <c r="A2992" s="4561" t="n"/>
      <c r="B2992" s="4561" t="n"/>
      <c r="C2992" s="4561" t="n"/>
      <c r="D2992" s="4561" t="n"/>
      <c r="E2992" s="4561" t="n"/>
      <c r="F2992" s="4561" t="n"/>
      <c r="G2992" s="4561" t="n"/>
      <c r="H2992" s="4561" t="n"/>
      <c r="I2992" s="4562">
        <f>XLOOKUP(B2992,'_Sys|Line_Map'!$A:$A,'_Sys|Line_Map'!$C:$C,"MISSING",0)</f>
        <v/>
      </c>
      <c r="J2992" s="4562">
        <f>XLOOKUP(B2992,'_Sys|Line_Map'!$A:$A,'_Sys|Line_Map'!$D:$D,1,0)</f>
        <v/>
      </c>
      <c r="K2992" s="4562">
        <f>IF(D2992="","",D2992*J2992)</f>
        <v/>
      </c>
      <c r="L2992" s="4562">
        <f>XLOOKUP(B2992,'_Sys|Line_Map'!$A:$A,'_Sys|Line_Map'!$B:$B,"MISSING",0)</f>
        <v/>
      </c>
    </row>
    <row r="2993">
      <c r="A2993" s="4561" t="n"/>
      <c r="B2993" s="4561" t="n"/>
      <c r="C2993" s="4561" t="n"/>
      <c r="D2993" s="4561" t="n"/>
      <c r="E2993" s="4561" t="n"/>
      <c r="F2993" s="4561" t="n"/>
      <c r="G2993" s="4561" t="n"/>
      <c r="H2993" s="4561" t="n"/>
      <c r="I2993" s="4562">
        <f>XLOOKUP(B2993,'_Sys|Line_Map'!$A:$A,'_Sys|Line_Map'!$C:$C,"MISSING",0)</f>
        <v/>
      </c>
      <c r="J2993" s="4562">
        <f>XLOOKUP(B2993,'_Sys|Line_Map'!$A:$A,'_Sys|Line_Map'!$D:$D,1,0)</f>
        <v/>
      </c>
      <c r="K2993" s="4562">
        <f>IF(D2993="","",D2993*J2993)</f>
        <v/>
      </c>
      <c r="L2993" s="4562">
        <f>XLOOKUP(B2993,'_Sys|Line_Map'!$A:$A,'_Sys|Line_Map'!$B:$B,"MISSING",0)</f>
        <v/>
      </c>
    </row>
    <row r="2994">
      <c r="A2994" s="4561" t="n"/>
      <c r="B2994" s="4561" t="n"/>
      <c r="C2994" s="4561" t="n"/>
      <c r="D2994" s="4561" t="n"/>
      <c r="E2994" s="4561" t="n"/>
      <c r="F2994" s="4561" t="n"/>
      <c r="G2994" s="4561" t="n"/>
      <c r="H2994" s="4561" t="n"/>
      <c r="I2994" s="4562">
        <f>XLOOKUP(B2994,'_Sys|Line_Map'!$A:$A,'_Sys|Line_Map'!$C:$C,"MISSING",0)</f>
        <v/>
      </c>
      <c r="J2994" s="4562">
        <f>XLOOKUP(B2994,'_Sys|Line_Map'!$A:$A,'_Sys|Line_Map'!$D:$D,1,0)</f>
        <v/>
      </c>
      <c r="K2994" s="4562">
        <f>IF(D2994="","",D2994*J2994)</f>
        <v/>
      </c>
      <c r="L2994" s="4562">
        <f>XLOOKUP(B2994,'_Sys|Line_Map'!$A:$A,'_Sys|Line_Map'!$B:$B,"MISSING",0)</f>
        <v/>
      </c>
    </row>
    <row r="2995">
      <c r="A2995" s="4561" t="n"/>
      <c r="B2995" s="4561" t="n"/>
      <c r="C2995" s="4561" t="n"/>
      <c r="D2995" s="4561" t="n"/>
      <c r="E2995" s="4561" t="n"/>
      <c r="F2995" s="4561" t="n"/>
      <c r="G2995" s="4561" t="n"/>
      <c r="H2995" s="4561" t="n"/>
      <c r="I2995" s="4562">
        <f>XLOOKUP(B2995,'_Sys|Line_Map'!$A:$A,'_Sys|Line_Map'!$C:$C,"MISSING",0)</f>
        <v/>
      </c>
      <c r="J2995" s="4562">
        <f>XLOOKUP(B2995,'_Sys|Line_Map'!$A:$A,'_Sys|Line_Map'!$D:$D,1,0)</f>
        <v/>
      </c>
      <c r="K2995" s="4562">
        <f>IF(D2995="","",D2995*J2995)</f>
        <v/>
      </c>
      <c r="L2995" s="4562">
        <f>XLOOKUP(B2995,'_Sys|Line_Map'!$A:$A,'_Sys|Line_Map'!$B:$B,"MISSING",0)</f>
        <v/>
      </c>
    </row>
    <row r="2996">
      <c r="A2996" s="4561" t="n"/>
      <c r="B2996" s="4561" t="n"/>
      <c r="C2996" s="4561" t="n"/>
      <c r="D2996" s="4561" t="n"/>
      <c r="E2996" s="4561" t="n"/>
      <c r="F2996" s="4561" t="n"/>
      <c r="G2996" s="4561" t="n"/>
      <c r="H2996" s="4561" t="n"/>
      <c r="I2996" s="4562">
        <f>XLOOKUP(B2996,'_Sys|Line_Map'!$A:$A,'_Sys|Line_Map'!$C:$C,"MISSING",0)</f>
        <v/>
      </c>
      <c r="J2996" s="4562">
        <f>XLOOKUP(B2996,'_Sys|Line_Map'!$A:$A,'_Sys|Line_Map'!$D:$D,1,0)</f>
        <v/>
      </c>
      <c r="K2996" s="4562">
        <f>IF(D2996="","",D2996*J2996)</f>
        <v/>
      </c>
      <c r="L2996" s="4562">
        <f>XLOOKUP(B2996,'_Sys|Line_Map'!$A:$A,'_Sys|Line_Map'!$B:$B,"MISSING",0)</f>
        <v/>
      </c>
    </row>
    <row r="2997">
      <c r="A2997" s="4561" t="n"/>
      <c r="B2997" s="4561" t="n"/>
      <c r="C2997" s="4561" t="n"/>
      <c r="D2997" s="4561" t="n"/>
      <c r="E2997" s="4561" t="n"/>
      <c r="F2997" s="4561" t="n"/>
      <c r="G2997" s="4561" t="n"/>
      <c r="H2997" s="4561" t="n"/>
      <c r="I2997" s="4562">
        <f>XLOOKUP(B2997,'_Sys|Line_Map'!$A:$A,'_Sys|Line_Map'!$C:$C,"MISSING",0)</f>
        <v/>
      </c>
      <c r="J2997" s="4562">
        <f>XLOOKUP(B2997,'_Sys|Line_Map'!$A:$A,'_Sys|Line_Map'!$D:$D,1,0)</f>
        <v/>
      </c>
      <c r="K2997" s="4562">
        <f>IF(D2997="","",D2997*J2997)</f>
        <v/>
      </c>
      <c r="L2997" s="4562">
        <f>XLOOKUP(B2997,'_Sys|Line_Map'!$A:$A,'_Sys|Line_Map'!$B:$B,"MISSING",0)</f>
        <v/>
      </c>
    </row>
    <row r="2998">
      <c r="A2998" s="4561" t="n"/>
      <c r="B2998" s="4561" t="n"/>
      <c r="C2998" s="4561" t="n"/>
      <c r="D2998" s="4561" t="n"/>
      <c r="E2998" s="4561" t="n"/>
      <c r="F2998" s="4561" t="n"/>
      <c r="G2998" s="4561" t="n"/>
      <c r="H2998" s="4561" t="n"/>
      <c r="I2998" s="4562">
        <f>XLOOKUP(B2998,'_Sys|Line_Map'!$A:$A,'_Sys|Line_Map'!$C:$C,"MISSING",0)</f>
        <v/>
      </c>
      <c r="J2998" s="4562">
        <f>XLOOKUP(B2998,'_Sys|Line_Map'!$A:$A,'_Sys|Line_Map'!$D:$D,1,0)</f>
        <v/>
      </c>
      <c r="K2998" s="4562">
        <f>IF(D2998="","",D2998*J2998)</f>
        <v/>
      </c>
      <c r="L2998" s="4562">
        <f>XLOOKUP(B2998,'_Sys|Line_Map'!$A:$A,'_Sys|Line_Map'!$B:$B,"MISSING",0)</f>
        <v/>
      </c>
    </row>
    <row r="2999">
      <c r="A2999" s="4561" t="n"/>
      <c r="B2999" s="4561" t="n"/>
      <c r="C2999" s="4561" t="n"/>
      <c r="D2999" s="4561" t="n"/>
      <c r="E2999" s="4561" t="n"/>
      <c r="F2999" s="4561" t="n"/>
      <c r="G2999" s="4561" t="n"/>
      <c r="H2999" s="4561" t="n"/>
      <c r="I2999" s="4562">
        <f>XLOOKUP(B2999,'_Sys|Line_Map'!$A:$A,'_Sys|Line_Map'!$C:$C,"MISSING",0)</f>
        <v/>
      </c>
      <c r="J2999" s="4562">
        <f>XLOOKUP(B2999,'_Sys|Line_Map'!$A:$A,'_Sys|Line_Map'!$D:$D,1,0)</f>
        <v/>
      </c>
      <c r="K2999" s="4562">
        <f>IF(D2999="","",D2999*J2999)</f>
        <v/>
      </c>
      <c r="L2999" s="4562">
        <f>XLOOKUP(B2999,'_Sys|Line_Map'!$A:$A,'_Sys|Line_Map'!$B:$B,"MISSING",0)</f>
        <v/>
      </c>
    </row>
    <row r="3000">
      <c r="A3000" s="4561" t="n"/>
      <c r="B3000" s="4561" t="n"/>
      <c r="C3000" s="4561" t="n"/>
      <c r="D3000" s="4561" t="n"/>
      <c r="E3000" s="4561" t="n"/>
      <c r="F3000" s="4561" t="n"/>
      <c r="G3000" s="4561" t="n"/>
      <c r="H3000" s="4561" t="n"/>
      <c r="I3000" s="4562">
        <f>XLOOKUP(B3000,'_Sys|Line_Map'!$A:$A,'_Sys|Line_Map'!$C:$C,"MISSING",0)</f>
        <v/>
      </c>
      <c r="J3000" s="4562">
        <f>XLOOKUP(B3000,'_Sys|Line_Map'!$A:$A,'_Sys|Line_Map'!$D:$D,1,0)</f>
        <v/>
      </c>
      <c r="K3000" s="4562">
        <f>IF(D3000="","",D3000*J3000)</f>
        <v/>
      </c>
      <c r="L3000" s="4562">
        <f>XLOOKUP(B3000,'_Sys|Line_Map'!$A:$A,'_Sys|Line_Map'!$B:$B,"MISSING",0)</f>
        <v/>
      </c>
    </row>
    <row r="3001">
      <c r="A3001" s="4561" t="n"/>
      <c r="B3001" s="4561" t="n"/>
      <c r="C3001" s="4561" t="n"/>
      <c r="D3001" s="4561" t="n"/>
      <c r="E3001" s="4561" t="n"/>
      <c r="F3001" s="4561" t="n"/>
      <c r="G3001" s="4561" t="n"/>
      <c r="H3001" s="4561" t="n"/>
      <c r="I3001" s="4562">
        <f>XLOOKUP(B3001,'_Sys|Line_Map'!$A:$A,'_Sys|Line_Map'!$C:$C,"MISSING",0)</f>
        <v/>
      </c>
      <c r="J3001" s="4562">
        <f>XLOOKUP(B3001,'_Sys|Line_Map'!$A:$A,'_Sys|Line_Map'!$D:$D,1,0)</f>
        <v/>
      </c>
      <c r="K3001" s="4562">
        <f>IF(D3001="","",D3001*J3001)</f>
        <v/>
      </c>
      <c r="L3001" s="4562">
        <f>XLOOKUP(B3001,'_Sys|Line_Map'!$A:$A,'_Sys|Line_Map'!$B:$B,"MISSING",0)</f>
        <v/>
      </c>
    </row>
    <row r="3002">
      <c r="A3002" s="4561" t="n"/>
      <c r="B3002" s="4561" t="n"/>
      <c r="C3002" s="4561" t="n"/>
      <c r="D3002" s="4561" t="n"/>
      <c r="E3002" s="4561" t="n"/>
      <c r="F3002" s="4561" t="n"/>
      <c r="G3002" s="4561" t="n"/>
      <c r="H3002" s="4561" t="n"/>
      <c r="I3002" s="4562">
        <f>XLOOKUP(B3002,'_Sys|Line_Map'!$A:$A,'_Sys|Line_Map'!$C:$C,"MISSING",0)</f>
        <v/>
      </c>
      <c r="J3002" s="4562">
        <f>XLOOKUP(B3002,'_Sys|Line_Map'!$A:$A,'_Sys|Line_Map'!$D:$D,1,0)</f>
        <v/>
      </c>
      <c r="K3002" s="4562">
        <f>IF(D3002="","",D3002*J3002)</f>
        <v/>
      </c>
      <c r="L3002" s="4562">
        <f>XLOOKUP(B3002,'_Sys|Line_Map'!$A:$A,'_Sys|Line_Map'!$B:$B,"MISSING",0)</f>
        <v/>
      </c>
    </row>
    <row r="3003">
      <c r="A3003" s="4561" t="n"/>
      <c r="B3003" s="4561" t="n"/>
      <c r="C3003" s="4561" t="n"/>
      <c r="D3003" s="4561" t="n"/>
      <c r="E3003" s="4561" t="n"/>
      <c r="F3003" s="4561" t="n"/>
      <c r="G3003" s="4561" t="n"/>
      <c r="H3003" s="4561" t="n"/>
      <c r="I3003" s="4562">
        <f>XLOOKUP(B3003,'_Sys|Line_Map'!$A:$A,'_Sys|Line_Map'!$C:$C,"MISSING",0)</f>
        <v/>
      </c>
      <c r="J3003" s="4562">
        <f>XLOOKUP(B3003,'_Sys|Line_Map'!$A:$A,'_Sys|Line_Map'!$D:$D,1,0)</f>
        <v/>
      </c>
      <c r="K3003" s="4562">
        <f>IF(D3003="","",D3003*J3003)</f>
        <v/>
      </c>
      <c r="L3003" s="4562">
        <f>XLOOKUP(B3003,'_Sys|Line_Map'!$A:$A,'_Sys|Line_Map'!$B:$B,"MISSING",0)</f>
        <v/>
      </c>
    </row>
    <row r="3004">
      <c r="A3004" s="4561" t="n"/>
      <c r="B3004" s="4561" t="n"/>
      <c r="C3004" s="4561" t="n"/>
      <c r="D3004" s="4561" t="n"/>
      <c r="E3004" s="4561" t="n"/>
      <c r="F3004" s="4561" t="n"/>
      <c r="G3004" s="4561" t="n"/>
      <c r="H3004" s="4561" t="n"/>
      <c r="I3004" s="4562">
        <f>XLOOKUP(B3004,'_Sys|Line_Map'!$A:$A,'_Sys|Line_Map'!$C:$C,"MISSING",0)</f>
        <v/>
      </c>
      <c r="J3004" s="4562">
        <f>XLOOKUP(B3004,'_Sys|Line_Map'!$A:$A,'_Sys|Line_Map'!$D:$D,1,0)</f>
        <v/>
      </c>
      <c r="K3004" s="4562">
        <f>IF(D3004="","",D3004*J3004)</f>
        <v/>
      </c>
      <c r="L3004" s="4562">
        <f>XLOOKUP(B3004,'_Sys|Line_Map'!$A:$A,'_Sys|Line_Map'!$B:$B,"MISSING",0)</f>
        <v/>
      </c>
    </row>
    <row r="3005">
      <c r="A3005" s="4561" t="n"/>
      <c r="B3005" s="4561" t="n"/>
      <c r="C3005" s="4561" t="n"/>
      <c r="D3005" s="4561" t="n"/>
      <c r="E3005" s="4561" t="n"/>
      <c r="F3005" s="4561" t="n"/>
      <c r="G3005" s="4561" t="n"/>
      <c r="H3005" s="4561" t="n"/>
      <c r="I3005" s="4562">
        <f>XLOOKUP(B3005,'_Sys|Line_Map'!$A:$A,'_Sys|Line_Map'!$C:$C,"MISSING",0)</f>
        <v/>
      </c>
      <c r="J3005" s="4562">
        <f>XLOOKUP(B3005,'_Sys|Line_Map'!$A:$A,'_Sys|Line_Map'!$D:$D,1,0)</f>
        <v/>
      </c>
      <c r="K3005" s="4562">
        <f>IF(D3005="","",D3005*J3005)</f>
        <v/>
      </c>
      <c r="L3005" s="4562">
        <f>XLOOKUP(B3005,'_Sys|Line_Map'!$A:$A,'_Sys|Line_Map'!$B:$B,"MISSING",0)</f>
        <v/>
      </c>
    </row>
    <row r="3006">
      <c r="A3006" s="4561" t="n"/>
      <c r="B3006" s="4561" t="n"/>
      <c r="C3006" s="4561" t="n"/>
      <c r="D3006" s="4561" t="n"/>
      <c r="E3006" s="4561" t="n"/>
      <c r="F3006" s="4561" t="n"/>
      <c r="G3006" s="4561" t="n"/>
      <c r="H3006" s="4561" t="n"/>
      <c r="I3006" s="4562">
        <f>XLOOKUP(B3006,'_Sys|Line_Map'!$A:$A,'_Sys|Line_Map'!$C:$C,"MISSING",0)</f>
        <v/>
      </c>
      <c r="J3006" s="4562">
        <f>XLOOKUP(B3006,'_Sys|Line_Map'!$A:$A,'_Sys|Line_Map'!$D:$D,1,0)</f>
        <v/>
      </c>
      <c r="K3006" s="4562">
        <f>IF(D3006="","",D3006*J3006)</f>
        <v/>
      </c>
      <c r="L3006" s="4562">
        <f>XLOOKUP(B3006,'_Sys|Line_Map'!$A:$A,'_Sys|Line_Map'!$B:$B,"MISSING",0)</f>
        <v/>
      </c>
    </row>
    <row r="3007">
      <c r="A3007" s="4561" t="n"/>
      <c r="B3007" s="4561" t="n"/>
      <c r="C3007" s="4561" t="n"/>
      <c r="D3007" s="4561" t="n"/>
      <c r="E3007" s="4561" t="n"/>
      <c r="F3007" s="4561" t="n"/>
      <c r="G3007" s="4561" t="n"/>
      <c r="H3007" s="4561" t="n"/>
      <c r="I3007" s="4562">
        <f>XLOOKUP(B3007,'_Sys|Line_Map'!$A:$A,'_Sys|Line_Map'!$C:$C,"MISSING",0)</f>
        <v/>
      </c>
      <c r="J3007" s="4562">
        <f>XLOOKUP(B3007,'_Sys|Line_Map'!$A:$A,'_Sys|Line_Map'!$D:$D,1,0)</f>
        <v/>
      </c>
      <c r="K3007" s="4562">
        <f>IF(D3007="","",D3007*J3007)</f>
        <v/>
      </c>
      <c r="L3007" s="4562">
        <f>XLOOKUP(B3007,'_Sys|Line_Map'!$A:$A,'_Sys|Line_Map'!$B:$B,"MISSING",0)</f>
        <v/>
      </c>
    </row>
    <row r="3008">
      <c r="A3008" s="4561" t="n"/>
      <c r="B3008" s="4561" t="n"/>
      <c r="C3008" s="4561" t="n"/>
      <c r="D3008" s="4561" t="n"/>
      <c r="E3008" s="4561" t="n"/>
      <c r="F3008" s="4561" t="n"/>
      <c r="G3008" s="4561" t="n"/>
      <c r="H3008" s="4561" t="n"/>
      <c r="I3008" s="4562">
        <f>XLOOKUP(B3008,'_Sys|Line_Map'!$A:$A,'_Sys|Line_Map'!$C:$C,"MISSING",0)</f>
        <v/>
      </c>
      <c r="J3008" s="4562">
        <f>XLOOKUP(B3008,'_Sys|Line_Map'!$A:$A,'_Sys|Line_Map'!$D:$D,1,0)</f>
        <v/>
      </c>
      <c r="K3008" s="4562">
        <f>IF(D3008="","",D3008*J3008)</f>
        <v/>
      </c>
      <c r="L3008" s="4562">
        <f>XLOOKUP(B3008,'_Sys|Line_Map'!$A:$A,'_Sys|Line_Map'!$B:$B,"MISSING",0)</f>
        <v/>
      </c>
    </row>
    <row r="3009">
      <c r="A3009" s="4561" t="n"/>
      <c r="B3009" s="4561" t="n"/>
      <c r="C3009" s="4561" t="n"/>
      <c r="D3009" s="4561" t="n"/>
      <c r="E3009" s="4561" t="n"/>
      <c r="F3009" s="4561" t="n"/>
      <c r="G3009" s="4561" t="n"/>
      <c r="H3009" s="4561" t="n"/>
      <c r="I3009" s="4562">
        <f>XLOOKUP(B3009,'_Sys|Line_Map'!$A:$A,'_Sys|Line_Map'!$C:$C,"MISSING",0)</f>
        <v/>
      </c>
      <c r="J3009" s="4562">
        <f>XLOOKUP(B3009,'_Sys|Line_Map'!$A:$A,'_Sys|Line_Map'!$D:$D,1,0)</f>
        <v/>
      </c>
      <c r="K3009" s="4562">
        <f>IF(D3009="","",D3009*J3009)</f>
        <v/>
      </c>
      <c r="L3009" s="4562">
        <f>XLOOKUP(B3009,'_Sys|Line_Map'!$A:$A,'_Sys|Line_Map'!$B:$B,"MISSING",0)</f>
        <v/>
      </c>
    </row>
    <row r="3010">
      <c r="A3010" s="4561" t="n"/>
      <c r="B3010" s="4561" t="n"/>
      <c r="C3010" s="4561" t="n"/>
      <c r="D3010" s="4561" t="n"/>
      <c r="E3010" s="4561" t="n"/>
      <c r="F3010" s="4561" t="n"/>
      <c r="G3010" s="4561" t="n"/>
      <c r="H3010" s="4561" t="n"/>
      <c r="I3010" s="4562">
        <f>XLOOKUP(B3010,'_Sys|Line_Map'!$A:$A,'_Sys|Line_Map'!$C:$C,"MISSING",0)</f>
        <v/>
      </c>
      <c r="J3010" s="4562">
        <f>XLOOKUP(B3010,'_Sys|Line_Map'!$A:$A,'_Sys|Line_Map'!$D:$D,1,0)</f>
        <v/>
      </c>
      <c r="K3010" s="4562">
        <f>IF(D3010="","",D3010*J3010)</f>
        <v/>
      </c>
      <c r="L3010" s="4562">
        <f>XLOOKUP(B3010,'_Sys|Line_Map'!$A:$A,'_Sys|Line_Map'!$B:$B,"MISSING",0)</f>
        <v/>
      </c>
    </row>
    <row r="3011">
      <c r="A3011" s="4561" t="n"/>
      <c r="B3011" s="4561" t="n"/>
      <c r="C3011" s="4561" t="n"/>
      <c r="D3011" s="4561" t="n"/>
      <c r="E3011" s="4561" t="n"/>
      <c r="F3011" s="4561" t="n"/>
      <c r="G3011" s="4561" t="n"/>
      <c r="H3011" s="4561" t="n"/>
      <c r="I3011" s="4562">
        <f>XLOOKUP(B3011,'_Sys|Line_Map'!$A:$A,'_Sys|Line_Map'!$C:$C,"MISSING",0)</f>
        <v/>
      </c>
      <c r="J3011" s="4562">
        <f>XLOOKUP(B3011,'_Sys|Line_Map'!$A:$A,'_Sys|Line_Map'!$D:$D,1,0)</f>
        <v/>
      </c>
      <c r="K3011" s="4562">
        <f>IF(D3011="","",D3011*J3011)</f>
        <v/>
      </c>
      <c r="L3011" s="4562">
        <f>XLOOKUP(B3011,'_Sys|Line_Map'!$A:$A,'_Sys|Line_Map'!$B:$B,"MISSING",0)</f>
        <v/>
      </c>
    </row>
    <row r="3012">
      <c r="A3012" s="4561" t="n"/>
      <c r="B3012" s="4561" t="n"/>
      <c r="C3012" s="4561" t="n"/>
      <c r="D3012" s="4561" t="n"/>
      <c r="E3012" s="4561" t="n"/>
      <c r="F3012" s="4561" t="n"/>
      <c r="G3012" s="4561" t="n"/>
      <c r="H3012" s="4561" t="n"/>
      <c r="I3012" s="4562">
        <f>XLOOKUP(B3012,'_Sys|Line_Map'!$A:$A,'_Sys|Line_Map'!$C:$C,"MISSING",0)</f>
        <v/>
      </c>
      <c r="J3012" s="4562">
        <f>XLOOKUP(B3012,'_Sys|Line_Map'!$A:$A,'_Sys|Line_Map'!$D:$D,1,0)</f>
        <v/>
      </c>
      <c r="K3012" s="4562">
        <f>IF(D3012="","",D3012*J3012)</f>
        <v/>
      </c>
      <c r="L3012" s="4562">
        <f>XLOOKUP(B3012,'_Sys|Line_Map'!$A:$A,'_Sys|Line_Map'!$B:$B,"MISSING",0)</f>
        <v/>
      </c>
    </row>
    <row r="3013">
      <c r="A3013" s="4561" t="n"/>
      <c r="B3013" s="4561" t="n"/>
      <c r="C3013" s="4561" t="n"/>
      <c r="D3013" s="4561" t="n"/>
      <c r="E3013" s="4561" t="n"/>
      <c r="F3013" s="4561" t="n"/>
      <c r="G3013" s="4561" t="n"/>
      <c r="H3013" s="4561" t="n"/>
      <c r="I3013" s="4562">
        <f>XLOOKUP(B3013,'_Sys|Line_Map'!$A:$A,'_Sys|Line_Map'!$C:$C,"MISSING",0)</f>
        <v/>
      </c>
      <c r="J3013" s="4562">
        <f>XLOOKUP(B3013,'_Sys|Line_Map'!$A:$A,'_Sys|Line_Map'!$D:$D,1,0)</f>
        <v/>
      </c>
      <c r="K3013" s="4562">
        <f>IF(D3013="","",D3013*J3013)</f>
        <v/>
      </c>
      <c r="L3013" s="4562">
        <f>XLOOKUP(B3013,'_Sys|Line_Map'!$A:$A,'_Sys|Line_Map'!$B:$B,"MISSING",0)</f>
        <v/>
      </c>
    </row>
    <row r="3014">
      <c r="A3014" s="4561" t="n"/>
      <c r="B3014" s="4561" t="n"/>
      <c r="C3014" s="4561" t="n"/>
      <c r="D3014" s="4561" t="n"/>
      <c r="E3014" s="4561" t="n"/>
      <c r="F3014" s="4561" t="n"/>
      <c r="G3014" s="4561" t="n"/>
      <c r="H3014" s="4561" t="n"/>
      <c r="I3014" s="4562">
        <f>XLOOKUP(B3014,'_Sys|Line_Map'!$A:$A,'_Sys|Line_Map'!$C:$C,"MISSING",0)</f>
        <v/>
      </c>
      <c r="J3014" s="4562">
        <f>XLOOKUP(B3014,'_Sys|Line_Map'!$A:$A,'_Sys|Line_Map'!$D:$D,1,0)</f>
        <v/>
      </c>
      <c r="K3014" s="4562">
        <f>IF(D3014="","",D3014*J3014)</f>
        <v/>
      </c>
      <c r="L3014" s="4562">
        <f>XLOOKUP(B3014,'_Sys|Line_Map'!$A:$A,'_Sys|Line_Map'!$B:$B,"MISSING",0)</f>
        <v/>
      </c>
    </row>
    <row r="3015">
      <c r="A3015" s="4561" t="n"/>
      <c r="B3015" s="4561" t="n"/>
      <c r="C3015" s="4561" t="n"/>
      <c r="D3015" s="4561" t="n"/>
      <c r="E3015" s="4561" t="n"/>
      <c r="F3015" s="4561" t="n"/>
      <c r="G3015" s="4561" t="n"/>
      <c r="H3015" s="4561" t="n"/>
      <c r="I3015" s="4562">
        <f>XLOOKUP(B3015,'_Sys|Line_Map'!$A:$A,'_Sys|Line_Map'!$C:$C,"MISSING",0)</f>
        <v/>
      </c>
      <c r="J3015" s="4562">
        <f>XLOOKUP(B3015,'_Sys|Line_Map'!$A:$A,'_Sys|Line_Map'!$D:$D,1,0)</f>
        <v/>
      </c>
      <c r="K3015" s="4562">
        <f>IF(D3015="","",D3015*J3015)</f>
        <v/>
      </c>
      <c r="L3015" s="4562">
        <f>XLOOKUP(B3015,'_Sys|Line_Map'!$A:$A,'_Sys|Line_Map'!$B:$B,"MISSING",0)</f>
        <v/>
      </c>
    </row>
    <row r="3016">
      <c r="A3016" s="4561" t="n"/>
      <c r="B3016" s="4561" t="n"/>
      <c r="C3016" s="4561" t="n"/>
      <c r="D3016" s="4561" t="n"/>
      <c r="E3016" s="4561" t="n"/>
      <c r="F3016" s="4561" t="n"/>
      <c r="G3016" s="4561" t="n"/>
      <c r="H3016" s="4561" t="n"/>
      <c r="I3016" s="4562">
        <f>XLOOKUP(B3016,'_Sys|Line_Map'!$A:$A,'_Sys|Line_Map'!$C:$C,"MISSING",0)</f>
        <v/>
      </c>
      <c r="J3016" s="4562">
        <f>XLOOKUP(B3016,'_Sys|Line_Map'!$A:$A,'_Sys|Line_Map'!$D:$D,1,0)</f>
        <v/>
      </c>
      <c r="K3016" s="4562">
        <f>IF(D3016="","",D3016*J3016)</f>
        <v/>
      </c>
      <c r="L3016" s="4562">
        <f>XLOOKUP(B3016,'_Sys|Line_Map'!$A:$A,'_Sys|Line_Map'!$B:$B,"MISSING",0)</f>
        <v/>
      </c>
    </row>
    <row r="3017">
      <c r="A3017" s="4561" t="n"/>
      <c r="B3017" s="4561" t="n"/>
      <c r="C3017" s="4561" t="n"/>
      <c r="D3017" s="4561" t="n"/>
      <c r="E3017" s="4561" t="n"/>
      <c r="F3017" s="4561" t="n"/>
      <c r="G3017" s="4561" t="n"/>
      <c r="H3017" s="4561" t="n"/>
      <c r="I3017" s="4562">
        <f>XLOOKUP(B3017,'_Sys|Line_Map'!$A:$A,'_Sys|Line_Map'!$C:$C,"MISSING",0)</f>
        <v/>
      </c>
      <c r="J3017" s="4562">
        <f>XLOOKUP(B3017,'_Sys|Line_Map'!$A:$A,'_Sys|Line_Map'!$D:$D,1,0)</f>
        <v/>
      </c>
      <c r="K3017" s="4562">
        <f>IF(D3017="","",D3017*J3017)</f>
        <v/>
      </c>
      <c r="L3017" s="4562">
        <f>XLOOKUP(B3017,'_Sys|Line_Map'!$A:$A,'_Sys|Line_Map'!$B:$B,"MISSING",0)</f>
        <v/>
      </c>
    </row>
    <row r="3018">
      <c r="A3018" s="4561" t="n"/>
      <c r="B3018" s="4561" t="n"/>
      <c r="C3018" s="4561" t="n"/>
      <c r="D3018" s="4561" t="n"/>
      <c r="E3018" s="4561" t="n"/>
      <c r="F3018" s="4561" t="n"/>
      <c r="G3018" s="4561" t="n"/>
      <c r="H3018" s="4561" t="n"/>
      <c r="I3018" s="4562">
        <f>XLOOKUP(B3018,'_Sys|Line_Map'!$A:$A,'_Sys|Line_Map'!$C:$C,"MISSING",0)</f>
        <v/>
      </c>
      <c r="J3018" s="4562">
        <f>XLOOKUP(B3018,'_Sys|Line_Map'!$A:$A,'_Sys|Line_Map'!$D:$D,1,0)</f>
        <v/>
      </c>
      <c r="K3018" s="4562">
        <f>IF(D3018="","",D3018*J3018)</f>
        <v/>
      </c>
      <c r="L3018" s="4562">
        <f>XLOOKUP(B3018,'_Sys|Line_Map'!$A:$A,'_Sys|Line_Map'!$B:$B,"MISSING",0)</f>
        <v/>
      </c>
    </row>
    <row r="3019">
      <c r="A3019" s="4561" t="n"/>
      <c r="B3019" s="4561" t="n"/>
      <c r="C3019" s="4561" t="n"/>
      <c r="D3019" s="4561" t="n"/>
      <c r="E3019" s="4561" t="n"/>
      <c r="F3019" s="4561" t="n"/>
      <c r="G3019" s="4561" t="n"/>
      <c r="H3019" s="4561" t="n"/>
      <c r="I3019" s="4562">
        <f>XLOOKUP(B3019,'_Sys|Line_Map'!$A:$A,'_Sys|Line_Map'!$C:$C,"MISSING",0)</f>
        <v/>
      </c>
      <c r="J3019" s="4562">
        <f>XLOOKUP(B3019,'_Sys|Line_Map'!$A:$A,'_Sys|Line_Map'!$D:$D,1,0)</f>
        <v/>
      </c>
      <c r="K3019" s="4562">
        <f>IF(D3019="","",D3019*J3019)</f>
        <v/>
      </c>
      <c r="L3019" s="4562">
        <f>XLOOKUP(B3019,'_Sys|Line_Map'!$A:$A,'_Sys|Line_Map'!$B:$B,"MISSING",0)</f>
        <v/>
      </c>
    </row>
    <row r="3020">
      <c r="A3020" s="4561" t="n"/>
      <c r="B3020" s="4561" t="n"/>
      <c r="C3020" s="4561" t="n"/>
      <c r="D3020" s="4561" t="n"/>
      <c r="E3020" s="4561" t="n"/>
      <c r="F3020" s="4561" t="n"/>
      <c r="G3020" s="4561" t="n"/>
      <c r="H3020" s="4561" t="n"/>
      <c r="I3020" s="4562">
        <f>XLOOKUP(B3020,'_Sys|Line_Map'!$A:$A,'_Sys|Line_Map'!$C:$C,"MISSING",0)</f>
        <v/>
      </c>
      <c r="J3020" s="4562">
        <f>XLOOKUP(B3020,'_Sys|Line_Map'!$A:$A,'_Sys|Line_Map'!$D:$D,1,0)</f>
        <v/>
      </c>
      <c r="K3020" s="4562">
        <f>IF(D3020="","",D3020*J3020)</f>
        <v/>
      </c>
      <c r="L3020" s="4562">
        <f>XLOOKUP(B3020,'_Sys|Line_Map'!$A:$A,'_Sys|Line_Map'!$B:$B,"MISSING",0)</f>
        <v/>
      </c>
    </row>
    <row r="3021">
      <c r="A3021" s="4561" t="n"/>
      <c r="B3021" s="4561" t="n"/>
      <c r="C3021" s="4561" t="n"/>
      <c r="D3021" s="4561" t="n"/>
      <c r="E3021" s="4561" t="n"/>
      <c r="F3021" s="4561" t="n"/>
      <c r="G3021" s="4561" t="n"/>
      <c r="H3021" s="4561" t="n"/>
      <c r="I3021" s="4562">
        <f>XLOOKUP(B3021,'_Sys|Line_Map'!$A:$A,'_Sys|Line_Map'!$C:$C,"MISSING",0)</f>
        <v/>
      </c>
      <c r="J3021" s="4562">
        <f>XLOOKUP(B3021,'_Sys|Line_Map'!$A:$A,'_Sys|Line_Map'!$D:$D,1,0)</f>
        <v/>
      </c>
      <c r="K3021" s="4562">
        <f>IF(D3021="","",D3021*J3021)</f>
        <v/>
      </c>
      <c r="L3021" s="4562">
        <f>XLOOKUP(B3021,'_Sys|Line_Map'!$A:$A,'_Sys|Line_Map'!$B:$B,"MISSING",0)</f>
        <v/>
      </c>
    </row>
    <row r="3022">
      <c r="A3022" s="4561" t="n"/>
      <c r="B3022" s="4561" t="n"/>
      <c r="C3022" s="4561" t="n"/>
      <c r="D3022" s="4561" t="n"/>
      <c r="E3022" s="4561" t="n"/>
      <c r="F3022" s="4561" t="n"/>
      <c r="G3022" s="4561" t="n"/>
      <c r="H3022" s="4561" t="n"/>
      <c r="I3022" s="4562">
        <f>XLOOKUP(B3022,'_Sys|Line_Map'!$A:$A,'_Sys|Line_Map'!$C:$C,"MISSING",0)</f>
        <v/>
      </c>
      <c r="J3022" s="4562">
        <f>XLOOKUP(B3022,'_Sys|Line_Map'!$A:$A,'_Sys|Line_Map'!$D:$D,1,0)</f>
        <v/>
      </c>
      <c r="K3022" s="4562">
        <f>IF(D3022="","",D3022*J3022)</f>
        <v/>
      </c>
      <c r="L3022" s="4562">
        <f>XLOOKUP(B3022,'_Sys|Line_Map'!$A:$A,'_Sys|Line_Map'!$B:$B,"MISSING",0)</f>
        <v/>
      </c>
    </row>
    <row r="3023">
      <c r="A3023" s="4561" t="n"/>
      <c r="B3023" s="4561" t="n"/>
      <c r="C3023" s="4561" t="n"/>
      <c r="D3023" s="4561" t="n"/>
      <c r="E3023" s="4561" t="n"/>
      <c r="F3023" s="4561" t="n"/>
      <c r="G3023" s="4561" t="n"/>
      <c r="H3023" s="4561" t="n"/>
      <c r="I3023" s="4562">
        <f>XLOOKUP(B3023,'_Sys|Line_Map'!$A:$A,'_Sys|Line_Map'!$C:$C,"MISSING",0)</f>
        <v/>
      </c>
      <c r="J3023" s="4562">
        <f>XLOOKUP(B3023,'_Sys|Line_Map'!$A:$A,'_Sys|Line_Map'!$D:$D,1,0)</f>
        <v/>
      </c>
      <c r="K3023" s="4562">
        <f>IF(D3023="","",D3023*J3023)</f>
        <v/>
      </c>
      <c r="L3023" s="4562">
        <f>XLOOKUP(B3023,'_Sys|Line_Map'!$A:$A,'_Sys|Line_Map'!$B:$B,"MISSING",0)</f>
        <v/>
      </c>
    </row>
    <row r="3024">
      <c r="A3024" s="4561" t="n"/>
      <c r="B3024" s="4561" t="n"/>
      <c r="C3024" s="4561" t="n"/>
      <c r="D3024" s="4561" t="n"/>
      <c r="E3024" s="4561" t="n"/>
      <c r="F3024" s="4561" t="n"/>
      <c r="G3024" s="4561" t="n"/>
      <c r="H3024" s="4561" t="n"/>
      <c r="I3024" s="4562">
        <f>XLOOKUP(B3024,'_Sys|Line_Map'!$A:$A,'_Sys|Line_Map'!$C:$C,"MISSING",0)</f>
        <v/>
      </c>
      <c r="J3024" s="4562">
        <f>XLOOKUP(B3024,'_Sys|Line_Map'!$A:$A,'_Sys|Line_Map'!$D:$D,1,0)</f>
        <v/>
      </c>
      <c r="K3024" s="4562">
        <f>IF(D3024="","",D3024*J3024)</f>
        <v/>
      </c>
      <c r="L3024" s="4562">
        <f>XLOOKUP(B3024,'_Sys|Line_Map'!$A:$A,'_Sys|Line_Map'!$B:$B,"MISSING",0)</f>
        <v/>
      </c>
    </row>
    <row r="3025">
      <c r="A3025" s="4561" t="n"/>
      <c r="B3025" s="4561" t="n"/>
      <c r="C3025" s="4561" t="n"/>
      <c r="D3025" s="4561" t="n"/>
      <c r="E3025" s="4561" t="n"/>
      <c r="F3025" s="4561" t="n"/>
      <c r="G3025" s="4561" t="n"/>
      <c r="H3025" s="4561" t="n"/>
      <c r="I3025" s="4562">
        <f>XLOOKUP(B3025,'_Sys|Line_Map'!$A:$A,'_Sys|Line_Map'!$C:$C,"MISSING",0)</f>
        <v/>
      </c>
      <c r="J3025" s="4562">
        <f>XLOOKUP(B3025,'_Sys|Line_Map'!$A:$A,'_Sys|Line_Map'!$D:$D,1,0)</f>
        <v/>
      </c>
      <c r="K3025" s="4562">
        <f>IF(D3025="","",D3025*J3025)</f>
        <v/>
      </c>
      <c r="L3025" s="4562">
        <f>XLOOKUP(B3025,'_Sys|Line_Map'!$A:$A,'_Sys|Line_Map'!$B:$B,"MISSING",0)</f>
        <v/>
      </c>
    </row>
    <row r="3026">
      <c r="A3026" s="4561" t="n"/>
      <c r="B3026" s="4561" t="n"/>
      <c r="C3026" s="4561" t="n"/>
      <c r="D3026" s="4561" t="n"/>
      <c r="E3026" s="4561" t="n"/>
      <c r="F3026" s="4561" t="n"/>
      <c r="G3026" s="4561" t="n"/>
      <c r="H3026" s="4561" t="n"/>
      <c r="I3026" s="4562">
        <f>XLOOKUP(B3026,'_Sys|Line_Map'!$A:$A,'_Sys|Line_Map'!$C:$C,"MISSING",0)</f>
        <v/>
      </c>
      <c r="J3026" s="4562">
        <f>XLOOKUP(B3026,'_Sys|Line_Map'!$A:$A,'_Sys|Line_Map'!$D:$D,1,0)</f>
        <v/>
      </c>
      <c r="K3026" s="4562">
        <f>IF(D3026="","",D3026*J3026)</f>
        <v/>
      </c>
      <c r="L3026" s="4562">
        <f>XLOOKUP(B3026,'_Sys|Line_Map'!$A:$A,'_Sys|Line_Map'!$B:$B,"MISSING",0)</f>
        <v/>
      </c>
    </row>
    <row r="3027">
      <c r="A3027" s="4561" t="n"/>
      <c r="B3027" s="4561" t="n"/>
      <c r="C3027" s="4561" t="n"/>
      <c r="D3027" s="4561" t="n"/>
      <c r="E3027" s="4561" t="n"/>
      <c r="F3027" s="4561" t="n"/>
      <c r="G3027" s="4561" t="n"/>
      <c r="H3027" s="4561" t="n"/>
      <c r="I3027" s="4562">
        <f>XLOOKUP(B3027,'_Sys|Line_Map'!$A:$A,'_Sys|Line_Map'!$C:$C,"MISSING",0)</f>
        <v/>
      </c>
      <c r="J3027" s="4562">
        <f>XLOOKUP(B3027,'_Sys|Line_Map'!$A:$A,'_Sys|Line_Map'!$D:$D,1,0)</f>
        <v/>
      </c>
      <c r="K3027" s="4562">
        <f>IF(D3027="","",D3027*J3027)</f>
        <v/>
      </c>
      <c r="L3027" s="4562">
        <f>XLOOKUP(B3027,'_Sys|Line_Map'!$A:$A,'_Sys|Line_Map'!$B:$B,"MISSING",0)</f>
        <v/>
      </c>
    </row>
    <row r="3028">
      <c r="A3028" s="4561" t="n"/>
      <c r="B3028" s="4561" t="n"/>
      <c r="C3028" s="4561" t="n"/>
      <c r="D3028" s="4561" t="n"/>
      <c r="E3028" s="4561" t="n"/>
      <c r="F3028" s="4561" t="n"/>
      <c r="G3028" s="4561" t="n"/>
      <c r="H3028" s="4561" t="n"/>
      <c r="I3028" s="4562">
        <f>XLOOKUP(B3028,'_Sys|Line_Map'!$A:$A,'_Sys|Line_Map'!$C:$C,"MISSING",0)</f>
        <v/>
      </c>
      <c r="J3028" s="4562">
        <f>XLOOKUP(B3028,'_Sys|Line_Map'!$A:$A,'_Sys|Line_Map'!$D:$D,1,0)</f>
        <v/>
      </c>
      <c r="K3028" s="4562">
        <f>IF(D3028="","",D3028*J3028)</f>
        <v/>
      </c>
      <c r="L3028" s="4562">
        <f>XLOOKUP(B3028,'_Sys|Line_Map'!$A:$A,'_Sys|Line_Map'!$B:$B,"MISSING",0)</f>
        <v/>
      </c>
    </row>
    <row r="3029">
      <c r="A3029" s="4561" t="n"/>
      <c r="B3029" s="4561" t="n"/>
      <c r="C3029" s="4561" t="n"/>
      <c r="D3029" s="4561" t="n"/>
      <c r="E3029" s="4561" t="n"/>
      <c r="F3029" s="4561" t="n"/>
      <c r="G3029" s="4561" t="n"/>
      <c r="H3029" s="4561" t="n"/>
      <c r="I3029" s="4562">
        <f>XLOOKUP(B3029,'_Sys|Line_Map'!$A:$A,'_Sys|Line_Map'!$C:$C,"MISSING",0)</f>
        <v/>
      </c>
      <c r="J3029" s="4562">
        <f>XLOOKUP(B3029,'_Sys|Line_Map'!$A:$A,'_Sys|Line_Map'!$D:$D,1,0)</f>
        <v/>
      </c>
      <c r="K3029" s="4562">
        <f>IF(D3029="","",D3029*J3029)</f>
        <v/>
      </c>
      <c r="L3029" s="4562">
        <f>XLOOKUP(B3029,'_Sys|Line_Map'!$A:$A,'_Sys|Line_Map'!$B:$B,"MISSING",0)</f>
        <v/>
      </c>
    </row>
    <row r="3030">
      <c r="A3030" s="4561" t="n"/>
      <c r="B3030" s="4561" t="n"/>
      <c r="C3030" s="4561" t="n"/>
      <c r="D3030" s="4561" t="n"/>
      <c r="E3030" s="4561" t="n"/>
      <c r="F3030" s="4561" t="n"/>
      <c r="G3030" s="4561" t="n"/>
      <c r="H3030" s="4561" t="n"/>
      <c r="I3030" s="4562">
        <f>XLOOKUP(B3030,'_Sys|Line_Map'!$A:$A,'_Sys|Line_Map'!$C:$C,"MISSING",0)</f>
        <v/>
      </c>
      <c r="J3030" s="4562">
        <f>XLOOKUP(B3030,'_Sys|Line_Map'!$A:$A,'_Sys|Line_Map'!$D:$D,1,0)</f>
        <v/>
      </c>
      <c r="K3030" s="4562">
        <f>IF(D3030="","",D3030*J3030)</f>
        <v/>
      </c>
      <c r="L3030" s="4562">
        <f>XLOOKUP(B3030,'_Sys|Line_Map'!$A:$A,'_Sys|Line_Map'!$B:$B,"MISSING",0)</f>
        <v/>
      </c>
    </row>
    <row r="3031">
      <c r="A3031" s="4561" t="n"/>
      <c r="B3031" s="4561" t="n"/>
      <c r="C3031" s="4561" t="n"/>
      <c r="D3031" s="4561" t="n"/>
      <c r="E3031" s="4561" t="n"/>
      <c r="F3031" s="4561" t="n"/>
      <c r="G3031" s="4561" t="n"/>
      <c r="H3031" s="4561" t="n"/>
      <c r="I3031" s="4562">
        <f>XLOOKUP(B3031,'_Sys|Line_Map'!$A:$A,'_Sys|Line_Map'!$C:$C,"MISSING",0)</f>
        <v/>
      </c>
      <c r="J3031" s="4562">
        <f>XLOOKUP(B3031,'_Sys|Line_Map'!$A:$A,'_Sys|Line_Map'!$D:$D,1,0)</f>
        <v/>
      </c>
      <c r="K3031" s="4562">
        <f>IF(D3031="","",D3031*J3031)</f>
        <v/>
      </c>
      <c r="L3031" s="4562">
        <f>XLOOKUP(B3031,'_Sys|Line_Map'!$A:$A,'_Sys|Line_Map'!$B:$B,"MISSING",0)</f>
        <v/>
      </c>
    </row>
    <row r="3032">
      <c r="A3032" s="4561" t="n"/>
      <c r="B3032" s="4561" t="n"/>
      <c r="C3032" s="4561" t="n"/>
      <c r="D3032" s="4561" t="n"/>
      <c r="E3032" s="4561" t="n"/>
      <c r="F3032" s="4561" t="n"/>
      <c r="G3032" s="4561" t="n"/>
      <c r="H3032" s="4561" t="n"/>
      <c r="I3032" s="4562">
        <f>XLOOKUP(B3032,'_Sys|Line_Map'!$A:$A,'_Sys|Line_Map'!$C:$C,"MISSING",0)</f>
        <v/>
      </c>
      <c r="J3032" s="4562">
        <f>XLOOKUP(B3032,'_Sys|Line_Map'!$A:$A,'_Sys|Line_Map'!$D:$D,1,0)</f>
        <v/>
      </c>
      <c r="K3032" s="4562">
        <f>IF(D3032="","",D3032*J3032)</f>
        <v/>
      </c>
      <c r="L3032" s="4562">
        <f>XLOOKUP(B3032,'_Sys|Line_Map'!$A:$A,'_Sys|Line_Map'!$B:$B,"MISSING",0)</f>
        <v/>
      </c>
    </row>
    <row r="3033">
      <c r="A3033" s="4561" t="n"/>
      <c r="B3033" s="4561" t="n"/>
      <c r="C3033" s="4561" t="n"/>
      <c r="D3033" s="4561" t="n"/>
      <c r="E3033" s="4561" t="n"/>
      <c r="F3033" s="4561" t="n"/>
      <c r="G3033" s="4561" t="n"/>
      <c r="H3033" s="4561" t="n"/>
      <c r="I3033" s="4562">
        <f>XLOOKUP(B3033,'_Sys|Line_Map'!$A:$A,'_Sys|Line_Map'!$C:$C,"MISSING",0)</f>
        <v/>
      </c>
      <c r="J3033" s="4562">
        <f>XLOOKUP(B3033,'_Sys|Line_Map'!$A:$A,'_Sys|Line_Map'!$D:$D,1,0)</f>
        <v/>
      </c>
      <c r="K3033" s="4562">
        <f>IF(D3033="","",D3033*J3033)</f>
        <v/>
      </c>
      <c r="L3033" s="4562">
        <f>XLOOKUP(B3033,'_Sys|Line_Map'!$A:$A,'_Sys|Line_Map'!$B:$B,"MISSING",0)</f>
        <v/>
      </c>
    </row>
    <row r="3034">
      <c r="A3034" s="4561" t="n"/>
      <c r="B3034" s="4561" t="n"/>
      <c r="C3034" s="4561" t="n"/>
      <c r="D3034" s="4561" t="n"/>
      <c r="E3034" s="4561" t="n"/>
      <c r="F3034" s="4561" t="n"/>
      <c r="G3034" s="4561" t="n"/>
      <c r="H3034" s="4561" t="n"/>
      <c r="I3034" s="4562">
        <f>XLOOKUP(B3034,'_Sys|Line_Map'!$A:$A,'_Sys|Line_Map'!$C:$C,"MISSING",0)</f>
        <v/>
      </c>
      <c r="J3034" s="4562">
        <f>XLOOKUP(B3034,'_Sys|Line_Map'!$A:$A,'_Sys|Line_Map'!$D:$D,1,0)</f>
        <v/>
      </c>
      <c r="K3034" s="4562">
        <f>IF(D3034="","",D3034*J3034)</f>
        <v/>
      </c>
      <c r="L3034" s="4562">
        <f>XLOOKUP(B3034,'_Sys|Line_Map'!$A:$A,'_Sys|Line_Map'!$B:$B,"MISSING",0)</f>
        <v/>
      </c>
    </row>
    <row r="3035">
      <c r="A3035" s="4561" t="n"/>
      <c r="B3035" s="4561" t="n"/>
      <c r="C3035" s="4561" t="n"/>
      <c r="D3035" s="4561" t="n"/>
      <c r="E3035" s="4561" t="n"/>
      <c r="F3035" s="4561" t="n"/>
      <c r="G3035" s="4561" t="n"/>
      <c r="H3035" s="4561" t="n"/>
      <c r="I3035" s="4562">
        <f>XLOOKUP(B3035,'_Sys|Line_Map'!$A:$A,'_Sys|Line_Map'!$C:$C,"MISSING",0)</f>
        <v/>
      </c>
      <c r="J3035" s="4562">
        <f>XLOOKUP(B3035,'_Sys|Line_Map'!$A:$A,'_Sys|Line_Map'!$D:$D,1,0)</f>
        <v/>
      </c>
      <c r="K3035" s="4562">
        <f>IF(D3035="","",D3035*J3035)</f>
        <v/>
      </c>
      <c r="L3035" s="4562">
        <f>XLOOKUP(B3035,'_Sys|Line_Map'!$A:$A,'_Sys|Line_Map'!$B:$B,"MISSING",0)</f>
        <v/>
      </c>
    </row>
    <row r="3036">
      <c r="A3036" s="4561" t="n"/>
      <c r="B3036" s="4561" t="n"/>
      <c r="C3036" s="4561" t="n"/>
      <c r="D3036" s="4561" t="n"/>
      <c r="E3036" s="4561" t="n"/>
      <c r="F3036" s="4561" t="n"/>
      <c r="G3036" s="4561" t="n"/>
      <c r="H3036" s="4561" t="n"/>
      <c r="I3036" s="4562">
        <f>XLOOKUP(B3036,'_Sys|Line_Map'!$A:$A,'_Sys|Line_Map'!$C:$C,"MISSING",0)</f>
        <v/>
      </c>
      <c r="J3036" s="4562">
        <f>XLOOKUP(B3036,'_Sys|Line_Map'!$A:$A,'_Sys|Line_Map'!$D:$D,1,0)</f>
        <v/>
      </c>
      <c r="K3036" s="4562">
        <f>IF(D3036="","",D3036*J3036)</f>
        <v/>
      </c>
      <c r="L3036" s="4562">
        <f>XLOOKUP(B3036,'_Sys|Line_Map'!$A:$A,'_Sys|Line_Map'!$B:$B,"MISSING",0)</f>
        <v/>
      </c>
    </row>
    <row r="3037">
      <c r="A3037" s="4561" t="n"/>
      <c r="B3037" s="4561" t="n"/>
      <c r="C3037" s="4561" t="n"/>
      <c r="D3037" s="4561" t="n"/>
      <c r="E3037" s="4561" t="n"/>
      <c r="F3037" s="4561" t="n"/>
      <c r="G3037" s="4561" t="n"/>
      <c r="H3037" s="4561" t="n"/>
      <c r="I3037" s="4562">
        <f>XLOOKUP(B3037,'_Sys|Line_Map'!$A:$A,'_Sys|Line_Map'!$C:$C,"MISSING",0)</f>
        <v/>
      </c>
      <c r="J3037" s="4562">
        <f>XLOOKUP(B3037,'_Sys|Line_Map'!$A:$A,'_Sys|Line_Map'!$D:$D,1,0)</f>
        <v/>
      </c>
      <c r="K3037" s="4562">
        <f>IF(D3037="","",D3037*J3037)</f>
        <v/>
      </c>
      <c r="L3037" s="4562">
        <f>XLOOKUP(B3037,'_Sys|Line_Map'!$A:$A,'_Sys|Line_Map'!$B:$B,"MISSING",0)</f>
        <v/>
      </c>
    </row>
    <row r="3038">
      <c r="A3038" s="4561" t="n"/>
      <c r="B3038" s="4561" t="n"/>
      <c r="C3038" s="4561" t="n"/>
      <c r="D3038" s="4561" t="n"/>
      <c r="E3038" s="4561" t="n"/>
      <c r="F3038" s="4561" t="n"/>
      <c r="G3038" s="4561" t="n"/>
      <c r="H3038" s="4561" t="n"/>
      <c r="I3038" s="4562">
        <f>XLOOKUP(B3038,'_Sys|Line_Map'!$A:$A,'_Sys|Line_Map'!$C:$C,"MISSING",0)</f>
        <v/>
      </c>
      <c r="J3038" s="4562">
        <f>XLOOKUP(B3038,'_Sys|Line_Map'!$A:$A,'_Sys|Line_Map'!$D:$D,1,0)</f>
        <v/>
      </c>
      <c r="K3038" s="4562">
        <f>IF(D3038="","",D3038*J3038)</f>
        <v/>
      </c>
      <c r="L3038" s="4562">
        <f>XLOOKUP(B3038,'_Sys|Line_Map'!$A:$A,'_Sys|Line_Map'!$B:$B,"MISSING",0)</f>
        <v/>
      </c>
    </row>
    <row r="3039">
      <c r="A3039" s="4561" t="n"/>
      <c r="B3039" s="4561" t="n"/>
      <c r="C3039" s="4561" t="n"/>
      <c r="D3039" s="4561" t="n"/>
      <c r="E3039" s="4561" t="n"/>
      <c r="F3039" s="4561" t="n"/>
      <c r="G3039" s="4561" t="n"/>
      <c r="H3039" s="4561" t="n"/>
      <c r="I3039" s="4562">
        <f>XLOOKUP(B3039,'_Sys|Line_Map'!$A:$A,'_Sys|Line_Map'!$C:$C,"MISSING",0)</f>
        <v/>
      </c>
      <c r="J3039" s="4562">
        <f>XLOOKUP(B3039,'_Sys|Line_Map'!$A:$A,'_Sys|Line_Map'!$D:$D,1,0)</f>
        <v/>
      </c>
      <c r="K3039" s="4562">
        <f>IF(D3039="","",D3039*J3039)</f>
        <v/>
      </c>
      <c r="L3039" s="4562">
        <f>XLOOKUP(B3039,'_Sys|Line_Map'!$A:$A,'_Sys|Line_Map'!$B:$B,"MISSING",0)</f>
        <v/>
      </c>
    </row>
    <row r="3040">
      <c r="A3040" s="4561" t="n"/>
      <c r="B3040" s="4561" t="n"/>
      <c r="C3040" s="4561" t="n"/>
      <c r="D3040" s="4561" t="n"/>
      <c r="E3040" s="4561" t="n"/>
      <c r="F3040" s="4561" t="n"/>
      <c r="G3040" s="4561" t="n"/>
      <c r="H3040" s="4561" t="n"/>
      <c r="I3040" s="4562">
        <f>XLOOKUP(B3040,'_Sys|Line_Map'!$A:$A,'_Sys|Line_Map'!$C:$C,"MISSING",0)</f>
        <v/>
      </c>
      <c r="J3040" s="4562">
        <f>XLOOKUP(B3040,'_Sys|Line_Map'!$A:$A,'_Sys|Line_Map'!$D:$D,1,0)</f>
        <v/>
      </c>
      <c r="K3040" s="4562">
        <f>IF(D3040="","",D3040*J3040)</f>
        <v/>
      </c>
      <c r="L3040" s="4562">
        <f>XLOOKUP(B3040,'_Sys|Line_Map'!$A:$A,'_Sys|Line_Map'!$B:$B,"MISSING",0)</f>
        <v/>
      </c>
    </row>
    <row r="3041">
      <c r="A3041" s="4561" t="n"/>
      <c r="B3041" s="4561" t="n"/>
      <c r="C3041" s="4561" t="n"/>
      <c r="D3041" s="4561" t="n"/>
      <c r="E3041" s="4561" t="n"/>
      <c r="F3041" s="4561" t="n"/>
      <c r="G3041" s="4561" t="n"/>
      <c r="H3041" s="4561" t="n"/>
      <c r="I3041" s="4562">
        <f>XLOOKUP(B3041,'_Sys|Line_Map'!$A:$A,'_Sys|Line_Map'!$C:$C,"MISSING",0)</f>
        <v/>
      </c>
      <c r="J3041" s="4562">
        <f>XLOOKUP(B3041,'_Sys|Line_Map'!$A:$A,'_Sys|Line_Map'!$D:$D,1,0)</f>
        <v/>
      </c>
      <c r="K3041" s="4562">
        <f>IF(D3041="","",D3041*J3041)</f>
        <v/>
      </c>
      <c r="L3041" s="4562">
        <f>XLOOKUP(B3041,'_Sys|Line_Map'!$A:$A,'_Sys|Line_Map'!$B:$B,"MISSING",0)</f>
        <v/>
      </c>
    </row>
    <row r="3042">
      <c r="A3042" s="4561" t="n"/>
      <c r="B3042" s="4561" t="n"/>
      <c r="C3042" s="4561" t="n"/>
      <c r="D3042" s="4561" t="n"/>
      <c r="E3042" s="4561" t="n"/>
      <c r="F3042" s="4561" t="n"/>
      <c r="G3042" s="4561" t="n"/>
      <c r="H3042" s="4561" t="n"/>
      <c r="I3042" s="4562">
        <f>XLOOKUP(B3042,'_Sys|Line_Map'!$A:$A,'_Sys|Line_Map'!$C:$C,"MISSING",0)</f>
        <v/>
      </c>
      <c r="J3042" s="4562">
        <f>XLOOKUP(B3042,'_Sys|Line_Map'!$A:$A,'_Sys|Line_Map'!$D:$D,1,0)</f>
        <v/>
      </c>
      <c r="K3042" s="4562">
        <f>IF(D3042="","",D3042*J3042)</f>
        <v/>
      </c>
      <c r="L3042" s="4562">
        <f>XLOOKUP(B3042,'_Sys|Line_Map'!$A:$A,'_Sys|Line_Map'!$B:$B,"MISSING",0)</f>
        <v/>
      </c>
    </row>
    <row r="3043">
      <c r="A3043" s="4561" t="n"/>
      <c r="B3043" s="4561" t="n"/>
      <c r="C3043" s="4561" t="n"/>
      <c r="D3043" s="4561" t="n"/>
      <c r="E3043" s="4561" t="n"/>
      <c r="F3043" s="4561" t="n"/>
      <c r="G3043" s="4561" t="n"/>
      <c r="H3043" s="4561" t="n"/>
      <c r="I3043" s="4562">
        <f>XLOOKUP(B3043,'_Sys|Line_Map'!$A:$A,'_Sys|Line_Map'!$C:$C,"MISSING",0)</f>
        <v/>
      </c>
      <c r="J3043" s="4562">
        <f>XLOOKUP(B3043,'_Sys|Line_Map'!$A:$A,'_Sys|Line_Map'!$D:$D,1,0)</f>
        <v/>
      </c>
      <c r="K3043" s="4562">
        <f>IF(D3043="","",D3043*J3043)</f>
        <v/>
      </c>
      <c r="L3043" s="4562">
        <f>XLOOKUP(B3043,'_Sys|Line_Map'!$A:$A,'_Sys|Line_Map'!$B:$B,"MISSING",0)</f>
        <v/>
      </c>
    </row>
    <row r="3044">
      <c r="A3044" s="4561" t="n"/>
      <c r="B3044" s="4561" t="n"/>
      <c r="C3044" s="4561" t="n"/>
      <c r="D3044" s="4561" t="n"/>
      <c r="E3044" s="4561" t="n"/>
      <c r="F3044" s="4561" t="n"/>
      <c r="G3044" s="4561" t="n"/>
      <c r="H3044" s="4561" t="n"/>
      <c r="I3044" s="4562">
        <f>XLOOKUP(B3044,'_Sys|Line_Map'!$A:$A,'_Sys|Line_Map'!$C:$C,"MISSING",0)</f>
        <v/>
      </c>
      <c r="J3044" s="4562">
        <f>XLOOKUP(B3044,'_Sys|Line_Map'!$A:$A,'_Sys|Line_Map'!$D:$D,1,0)</f>
        <v/>
      </c>
      <c r="K3044" s="4562">
        <f>IF(D3044="","",D3044*J3044)</f>
        <v/>
      </c>
      <c r="L3044" s="4562">
        <f>XLOOKUP(B3044,'_Sys|Line_Map'!$A:$A,'_Sys|Line_Map'!$B:$B,"MISSING",0)</f>
        <v/>
      </c>
    </row>
    <row r="3045">
      <c r="A3045" s="4561" t="n"/>
      <c r="B3045" s="4561" t="n"/>
      <c r="C3045" s="4561" t="n"/>
      <c r="D3045" s="4561" t="n"/>
      <c r="E3045" s="4561" t="n"/>
      <c r="F3045" s="4561" t="n"/>
      <c r="G3045" s="4561" t="n"/>
      <c r="H3045" s="4561" t="n"/>
      <c r="I3045" s="4562">
        <f>XLOOKUP(B3045,'_Sys|Line_Map'!$A:$A,'_Sys|Line_Map'!$C:$C,"MISSING",0)</f>
        <v/>
      </c>
      <c r="J3045" s="4562">
        <f>XLOOKUP(B3045,'_Sys|Line_Map'!$A:$A,'_Sys|Line_Map'!$D:$D,1,0)</f>
        <v/>
      </c>
      <c r="K3045" s="4562">
        <f>IF(D3045="","",D3045*J3045)</f>
        <v/>
      </c>
      <c r="L3045" s="4562">
        <f>XLOOKUP(B3045,'_Sys|Line_Map'!$A:$A,'_Sys|Line_Map'!$B:$B,"MISSING",0)</f>
        <v/>
      </c>
    </row>
    <row r="3046">
      <c r="A3046" s="4561" t="n"/>
      <c r="B3046" s="4561" t="n"/>
      <c r="C3046" s="4561" t="n"/>
      <c r="D3046" s="4561" t="n"/>
      <c r="E3046" s="4561" t="n"/>
      <c r="F3046" s="4561" t="n"/>
      <c r="G3046" s="4561" t="n"/>
      <c r="H3046" s="4561" t="n"/>
      <c r="I3046" s="4562">
        <f>XLOOKUP(B3046,'_Sys|Line_Map'!$A:$A,'_Sys|Line_Map'!$C:$C,"MISSING",0)</f>
        <v/>
      </c>
      <c r="J3046" s="4562">
        <f>XLOOKUP(B3046,'_Sys|Line_Map'!$A:$A,'_Sys|Line_Map'!$D:$D,1,0)</f>
        <v/>
      </c>
      <c r="K3046" s="4562">
        <f>IF(D3046="","",D3046*J3046)</f>
        <v/>
      </c>
      <c r="L3046" s="4562">
        <f>XLOOKUP(B3046,'_Sys|Line_Map'!$A:$A,'_Sys|Line_Map'!$B:$B,"MISSING",0)</f>
        <v/>
      </c>
    </row>
    <row r="3047">
      <c r="A3047" s="4561" t="n"/>
      <c r="B3047" s="4561" t="n"/>
      <c r="C3047" s="4561" t="n"/>
      <c r="D3047" s="4561" t="n"/>
      <c r="E3047" s="4561" t="n"/>
      <c r="F3047" s="4561" t="n"/>
      <c r="G3047" s="4561" t="n"/>
      <c r="H3047" s="4561" t="n"/>
      <c r="I3047" s="4562">
        <f>XLOOKUP(B3047,'_Sys|Line_Map'!$A:$A,'_Sys|Line_Map'!$C:$C,"MISSING",0)</f>
        <v/>
      </c>
      <c r="J3047" s="4562">
        <f>XLOOKUP(B3047,'_Sys|Line_Map'!$A:$A,'_Sys|Line_Map'!$D:$D,1,0)</f>
        <v/>
      </c>
      <c r="K3047" s="4562">
        <f>IF(D3047="","",D3047*J3047)</f>
        <v/>
      </c>
      <c r="L3047" s="4562">
        <f>XLOOKUP(B3047,'_Sys|Line_Map'!$A:$A,'_Sys|Line_Map'!$B:$B,"MISSING",0)</f>
        <v/>
      </c>
    </row>
    <row r="3048">
      <c r="A3048" s="4561" t="n"/>
      <c r="B3048" s="4561" t="n"/>
      <c r="C3048" s="4561" t="n"/>
      <c r="D3048" s="4561" t="n"/>
      <c r="E3048" s="4561" t="n"/>
      <c r="F3048" s="4561" t="n"/>
      <c r="G3048" s="4561" t="n"/>
      <c r="H3048" s="4561" t="n"/>
      <c r="I3048" s="4562">
        <f>XLOOKUP(B3048,'_Sys|Line_Map'!$A:$A,'_Sys|Line_Map'!$C:$C,"MISSING",0)</f>
        <v/>
      </c>
      <c r="J3048" s="4562">
        <f>XLOOKUP(B3048,'_Sys|Line_Map'!$A:$A,'_Sys|Line_Map'!$D:$D,1,0)</f>
        <v/>
      </c>
      <c r="K3048" s="4562">
        <f>IF(D3048="","",D3048*J3048)</f>
        <v/>
      </c>
      <c r="L3048" s="4562">
        <f>XLOOKUP(B3048,'_Sys|Line_Map'!$A:$A,'_Sys|Line_Map'!$B:$B,"MISSING",0)</f>
        <v/>
      </c>
    </row>
    <row r="3049">
      <c r="A3049" s="4561" t="n"/>
      <c r="B3049" s="4561" t="n"/>
      <c r="C3049" s="4561" t="n"/>
      <c r="D3049" s="4561" t="n"/>
      <c r="E3049" s="4561" t="n"/>
      <c r="F3049" s="4561" t="n"/>
      <c r="G3049" s="4561" t="n"/>
      <c r="H3049" s="4561" t="n"/>
      <c r="I3049" s="4562">
        <f>XLOOKUP(B3049,'_Sys|Line_Map'!$A:$A,'_Sys|Line_Map'!$C:$C,"MISSING",0)</f>
        <v/>
      </c>
      <c r="J3049" s="4562">
        <f>XLOOKUP(B3049,'_Sys|Line_Map'!$A:$A,'_Sys|Line_Map'!$D:$D,1,0)</f>
        <v/>
      </c>
      <c r="K3049" s="4562">
        <f>IF(D3049="","",D3049*J3049)</f>
        <v/>
      </c>
      <c r="L3049" s="4562">
        <f>XLOOKUP(B3049,'_Sys|Line_Map'!$A:$A,'_Sys|Line_Map'!$B:$B,"MISSING",0)</f>
        <v/>
      </c>
    </row>
    <row r="3050">
      <c r="A3050" s="4561" t="n"/>
      <c r="B3050" s="4561" t="n"/>
      <c r="C3050" s="4561" t="n"/>
      <c r="D3050" s="4561" t="n"/>
      <c r="E3050" s="4561" t="n"/>
      <c r="F3050" s="4561" t="n"/>
      <c r="G3050" s="4561" t="n"/>
      <c r="H3050" s="4561" t="n"/>
      <c r="I3050" s="4562">
        <f>XLOOKUP(B3050,'_Sys|Line_Map'!$A:$A,'_Sys|Line_Map'!$C:$C,"MISSING",0)</f>
        <v/>
      </c>
      <c r="J3050" s="4562">
        <f>XLOOKUP(B3050,'_Sys|Line_Map'!$A:$A,'_Sys|Line_Map'!$D:$D,1,0)</f>
        <v/>
      </c>
      <c r="K3050" s="4562">
        <f>IF(D3050="","",D3050*J3050)</f>
        <v/>
      </c>
      <c r="L3050" s="4562">
        <f>XLOOKUP(B3050,'_Sys|Line_Map'!$A:$A,'_Sys|Line_Map'!$B:$B,"MISSING",0)</f>
        <v/>
      </c>
    </row>
    <row r="3051">
      <c r="A3051" s="4561" t="n"/>
      <c r="B3051" s="4561" t="n"/>
      <c r="C3051" s="4561" t="n"/>
      <c r="D3051" s="4561" t="n"/>
      <c r="E3051" s="4561" t="n"/>
      <c r="F3051" s="4561" t="n"/>
      <c r="G3051" s="4561" t="n"/>
      <c r="H3051" s="4561" t="n"/>
      <c r="I3051" s="4562">
        <f>XLOOKUP(B3051,'_Sys|Line_Map'!$A:$A,'_Sys|Line_Map'!$C:$C,"MISSING",0)</f>
        <v/>
      </c>
      <c r="J3051" s="4562">
        <f>XLOOKUP(B3051,'_Sys|Line_Map'!$A:$A,'_Sys|Line_Map'!$D:$D,1,0)</f>
        <v/>
      </c>
      <c r="K3051" s="4562">
        <f>IF(D3051="","",D3051*J3051)</f>
        <v/>
      </c>
      <c r="L3051" s="4562">
        <f>XLOOKUP(B3051,'_Sys|Line_Map'!$A:$A,'_Sys|Line_Map'!$B:$B,"MISSING",0)</f>
        <v/>
      </c>
    </row>
    <row r="3052">
      <c r="A3052" s="4561" t="n"/>
      <c r="B3052" s="4561" t="n"/>
      <c r="C3052" s="4561" t="n"/>
      <c r="D3052" s="4561" t="n"/>
      <c r="E3052" s="4561" t="n"/>
      <c r="F3052" s="4561" t="n"/>
      <c r="G3052" s="4561" t="n"/>
      <c r="H3052" s="4561" t="n"/>
      <c r="I3052" s="4562">
        <f>XLOOKUP(B3052,'_Sys|Line_Map'!$A:$A,'_Sys|Line_Map'!$C:$C,"MISSING",0)</f>
        <v/>
      </c>
      <c r="J3052" s="4562">
        <f>XLOOKUP(B3052,'_Sys|Line_Map'!$A:$A,'_Sys|Line_Map'!$D:$D,1,0)</f>
        <v/>
      </c>
      <c r="K3052" s="4562">
        <f>IF(D3052="","",D3052*J3052)</f>
        <v/>
      </c>
      <c r="L3052" s="4562">
        <f>XLOOKUP(B3052,'_Sys|Line_Map'!$A:$A,'_Sys|Line_Map'!$B:$B,"MISSING",0)</f>
        <v/>
      </c>
    </row>
    <row r="3053">
      <c r="A3053" s="4561" t="n"/>
      <c r="B3053" s="4561" t="n"/>
      <c r="C3053" s="4561" t="n"/>
      <c r="D3053" s="4561" t="n"/>
      <c r="E3053" s="4561" t="n"/>
      <c r="F3053" s="4561" t="n"/>
      <c r="G3053" s="4561" t="n"/>
      <c r="H3053" s="4561" t="n"/>
      <c r="I3053" s="4562">
        <f>XLOOKUP(B3053,'_Sys|Line_Map'!$A:$A,'_Sys|Line_Map'!$C:$C,"MISSING",0)</f>
        <v/>
      </c>
      <c r="J3053" s="4562">
        <f>XLOOKUP(B3053,'_Sys|Line_Map'!$A:$A,'_Sys|Line_Map'!$D:$D,1,0)</f>
        <v/>
      </c>
      <c r="K3053" s="4562">
        <f>IF(D3053="","",D3053*J3053)</f>
        <v/>
      </c>
      <c r="L3053" s="4562">
        <f>XLOOKUP(B3053,'_Sys|Line_Map'!$A:$A,'_Sys|Line_Map'!$B:$B,"MISSING",0)</f>
        <v/>
      </c>
    </row>
    <row r="3054">
      <c r="A3054" s="4561" t="n"/>
      <c r="B3054" s="4561" t="n"/>
      <c r="C3054" s="4561" t="n"/>
      <c r="D3054" s="4561" t="n"/>
      <c r="E3054" s="4561" t="n"/>
      <c r="F3054" s="4561" t="n"/>
      <c r="G3054" s="4561" t="n"/>
      <c r="H3054" s="4561" t="n"/>
      <c r="I3054" s="4562">
        <f>XLOOKUP(B3054,'_Sys|Line_Map'!$A:$A,'_Sys|Line_Map'!$C:$C,"MISSING",0)</f>
        <v/>
      </c>
      <c r="J3054" s="4562">
        <f>XLOOKUP(B3054,'_Sys|Line_Map'!$A:$A,'_Sys|Line_Map'!$D:$D,1,0)</f>
        <v/>
      </c>
      <c r="K3054" s="4562">
        <f>IF(D3054="","",D3054*J3054)</f>
        <v/>
      </c>
      <c r="L3054" s="4562">
        <f>XLOOKUP(B3054,'_Sys|Line_Map'!$A:$A,'_Sys|Line_Map'!$B:$B,"MISSING",0)</f>
        <v/>
      </c>
    </row>
    <row r="3055">
      <c r="A3055" s="4561" t="n"/>
      <c r="B3055" s="4561" t="n"/>
      <c r="C3055" s="4561" t="n"/>
      <c r="D3055" s="4561" t="n"/>
      <c r="E3055" s="4561" t="n"/>
      <c r="F3055" s="4561" t="n"/>
      <c r="G3055" s="4561" t="n"/>
      <c r="H3055" s="4561" t="n"/>
      <c r="I3055" s="4562">
        <f>XLOOKUP(B3055,'_Sys|Line_Map'!$A:$A,'_Sys|Line_Map'!$C:$C,"MISSING",0)</f>
        <v/>
      </c>
      <c r="J3055" s="4562">
        <f>XLOOKUP(B3055,'_Sys|Line_Map'!$A:$A,'_Sys|Line_Map'!$D:$D,1,0)</f>
        <v/>
      </c>
      <c r="K3055" s="4562">
        <f>IF(D3055="","",D3055*J3055)</f>
        <v/>
      </c>
      <c r="L3055" s="4562">
        <f>XLOOKUP(B3055,'_Sys|Line_Map'!$A:$A,'_Sys|Line_Map'!$B:$B,"MISSING",0)</f>
        <v/>
      </c>
    </row>
    <row r="3056">
      <c r="A3056" s="4561" t="n"/>
      <c r="B3056" s="4561" t="n"/>
      <c r="C3056" s="4561" t="n"/>
      <c r="D3056" s="4561" t="n"/>
      <c r="E3056" s="4561" t="n"/>
      <c r="F3056" s="4561" t="n"/>
      <c r="G3056" s="4561" t="n"/>
      <c r="H3056" s="4561" t="n"/>
      <c r="I3056" s="4562">
        <f>XLOOKUP(B3056,'_Sys|Line_Map'!$A:$A,'_Sys|Line_Map'!$C:$C,"MISSING",0)</f>
        <v/>
      </c>
      <c r="J3056" s="4562">
        <f>XLOOKUP(B3056,'_Sys|Line_Map'!$A:$A,'_Sys|Line_Map'!$D:$D,1,0)</f>
        <v/>
      </c>
      <c r="K3056" s="4562">
        <f>IF(D3056="","",D3056*J3056)</f>
        <v/>
      </c>
      <c r="L3056" s="4562">
        <f>XLOOKUP(B3056,'_Sys|Line_Map'!$A:$A,'_Sys|Line_Map'!$B:$B,"MISSING",0)</f>
        <v/>
      </c>
    </row>
    <row r="3057">
      <c r="A3057" s="4561" t="n"/>
      <c r="B3057" s="4561" t="n"/>
      <c r="C3057" s="4561" t="n"/>
      <c r="D3057" s="4561" t="n"/>
      <c r="E3057" s="4561" t="n"/>
      <c r="F3057" s="4561" t="n"/>
      <c r="G3057" s="4561" t="n"/>
      <c r="H3057" s="4561" t="n"/>
      <c r="I3057" s="4562">
        <f>XLOOKUP(B3057,'_Sys|Line_Map'!$A:$A,'_Sys|Line_Map'!$C:$C,"MISSING",0)</f>
        <v/>
      </c>
      <c r="J3057" s="4562">
        <f>XLOOKUP(B3057,'_Sys|Line_Map'!$A:$A,'_Sys|Line_Map'!$D:$D,1,0)</f>
        <v/>
      </c>
      <c r="K3057" s="4562">
        <f>IF(D3057="","",D3057*J3057)</f>
        <v/>
      </c>
      <c r="L3057" s="4562">
        <f>XLOOKUP(B3057,'_Sys|Line_Map'!$A:$A,'_Sys|Line_Map'!$B:$B,"MISSING",0)</f>
        <v/>
      </c>
    </row>
    <row r="3058">
      <c r="A3058" s="4561" t="n"/>
      <c r="B3058" s="4561" t="n"/>
      <c r="C3058" s="4561" t="n"/>
      <c r="D3058" s="4561" t="n"/>
      <c r="E3058" s="4561" t="n"/>
      <c r="F3058" s="4561" t="n"/>
      <c r="G3058" s="4561" t="n"/>
      <c r="H3058" s="4561" t="n"/>
      <c r="I3058" s="4562">
        <f>XLOOKUP(B3058,'_Sys|Line_Map'!$A:$A,'_Sys|Line_Map'!$C:$C,"MISSING",0)</f>
        <v/>
      </c>
      <c r="J3058" s="4562">
        <f>XLOOKUP(B3058,'_Sys|Line_Map'!$A:$A,'_Sys|Line_Map'!$D:$D,1,0)</f>
        <v/>
      </c>
      <c r="K3058" s="4562">
        <f>IF(D3058="","",D3058*J3058)</f>
        <v/>
      </c>
      <c r="L3058" s="4562">
        <f>XLOOKUP(B3058,'_Sys|Line_Map'!$A:$A,'_Sys|Line_Map'!$B:$B,"MISSING",0)</f>
        <v/>
      </c>
    </row>
    <row r="3059">
      <c r="A3059" s="4561" t="n"/>
      <c r="B3059" s="4561" t="n"/>
      <c r="C3059" s="4561" t="n"/>
      <c r="D3059" s="4561" t="n"/>
      <c r="E3059" s="4561" t="n"/>
      <c r="F3059" s="4561" t="n"/>
      <c r="G3059" s="4561" t="n"/>
      <c r="H3059" s="4561" t="n"/>
      <c r="I3059" s="4562">
        <f>XLOOKUP(B3059,'_Sys|Line_Map'!$A:$A,'_Sys|Line_Map'!$C:$C,"MISSING",0)</f>
        <v/>
      </c>
      <c r="J3059" s="4562">
        <f>XLOOKUP(B3059,'_Sys|Line_Map'!$A:$A,'_Sys|Line_Map'!$D:$D,1,0)</f>
        <v/>
      </c>
      <c r="K3059" s="4562">
        <f>IF(D3059="","",D3059*J3059)</f>
        <v/>
      </c>
      <c r="L3059" s="4562">
        <f>XLOOKUP(B3059,'_Sys|Line_Map'!$A:$A,'_Sys|Line_Map'!$B:$B,"MISSING",0)</f>
        <v/>
      </c>
    </row>
    <row r="3060">
      <c r="A3060" s="4561" t="n"/>
      <c r="B3060" s="4561" t="n"/>
      <c r="C3060" s="4561" t="n"/>
      <c r="D3060" s="4561" t="n"/>
      <c r="E3060" s="4561" t="n"/>
      <c r="F3060" s="4561" t="n"/>
      <c r="G3060" s="4561" t="n"/>
      <c r="H3060" s="4561" t="n"/>
      <c r="I3060" s="4562">
        <f>XLOOKUP(B3060,'_Sys|Line_Map'!$A:$A,'_Sys|Line_Map'!$C:$C,"MISSING",0)</f>
        <v/>
      </c>
      <c r="J3060" s="4562">
        <f>XLOOKUP(B3060,'_Sys|Line_Map'!$A:$A,'_Sys|Line_Map'!$D:$D,1,0)</f>
        <v/>
      </c>
      <c r="K3060" s="4562">
        <f>IF(D3060="","",D3060*J3060)</f>
        <v/>
      </c>
      <c r="L3060" s="4562">
        <f>XLOOKUP(B3060,'_Sys|Line_Map'!$A:$A,'_Sys|Line_Map'!$B:$B,"MISSING",0)</f>
        <v/>
      </c>
    </row>
    <row r="3061">
      <c r="A3061" s="4561" t="n"/>
      <c r="B3061" s="4561" t="n"/>
      <c r="C3061" s="4561" t="n"/>
      <c r="D3061" s="4561" t="n"/>
      <c r="E3061" s="4561" t="n"/>
      <c r="F3061" s="4561" t="n"/>
      <c r="G3061" s="4561" t="n"/>
      <c r="H3061" s="4561" t="n"/>
      <c r="I3061" s="4562">
        <f>XLOOKUP(B3061,'_Sys|Line_Map'!$A:$A,'_Sys|Line_Map'!$C:$C,"MISSING",0)</f>
        <v/>
      </c>
      <c r="J3061" s="4562">
        <f>XLOOKUP(B3061,'_Sys|Line_Map'!$A:$A,'_Sys|Line_Map'!$D:$D,1,0)</f>
        <v/>
      </c>
      <c r="K3061" s="4562">
        <f>IF(D3061="","",D3061*J3061)</f>
        <v/>
      </c>
      <c r="L3061" s="4562">
        <f>XLOOKUP(B3061,'_Sys|Line_Map'!$A:$A,'_Sys|Line_Map'!$B:$B,"MISSING",0)</f>
        <v/>
      </c>
    </row>
    <row r="3062">
      <c r="A3062" s="4561" t="n"/>
      <c r="B3062" s="4561" t="n"/>
      <c r="C3062" s="4561" t="n"/>
      <c r="D3062" s="4561" t="n"/>
      <c r="E3062" s="4561" t="n"/>
      <c r="F3062" s="4561" t="n"/>
      <c r="G3062" s="4561" t="n"/>
      <c r="H3062" s="4561" t="n"/>
      <c r="I3062" s="4562">
        <f>XLOOKUP(B3062,'_Sys|Line_Map'!$A:$A,'_Sys|Line_Map'!$C:$C,"MISSING",0)</f>
        <v/>
      </c>
      <c r="J3062" s="4562">
        <f>XLOOKUP(B3062,'_Sys|Line_Map'!$A:$A,'_Sys|Line_Map'!$D:$D,1,0)</f>
        <v/>
      </c>
      <c r="K3062" s="4562">
        <f>IF(D3062="","",D3062*J3062)</f>
        <v/>
      </c>
      <c r="L3062" s="4562">
        <f>XLOOKUP(B3062,'_Sys|Line_Map'!$A:$A,'_Sys|Line_Map'!$B:$B,"MISSING",0)</f>
        <v/>
      </c>
    </row>
    <row r="3063">
      <c r="A3063" s="4561" t="n"/>
      <c r="B3063" s="4561" t="n"/>
      <c r="C3063" s="4561" t="n"/>
      <c r="D3063" s="4561" t="n"/>
      <c r="E3063" s="4561" t="n"/>
      <c r="F3063" s="4561" t="n"/>
      <c r="G3063" s="4561" t="n"/>
      <c r="H3063" s="4561" t="n"/>
      <c r="I3063" s="4562">
        <f>XLOOKUP(B3063,'_Sys|Line_Map'!$A:$A,'_Sys|Line_Map'!$C:$C,"MISSING",0)</f>
        <v/>
      </c>
      <c r="J3063" s="4562">
        <f>XLOOKUP(B3063,'_Sys|Line_Map'!$A:$A,'_Sys|Line_Map'!$D:$D,1,0)</f>
        <v/>
      </c>
      <c r="K3063" s="4562">
        <f>IF(D3063="","",D3063*J3063)</f>
        <v/>
      </c>
      <c r="L3063" s="4562">
        <f>XLOOKUP(B3063,'_Sys|Line_Map'!$A:$A,'_Sys|Line_Map'!$B:$B,"MISSING",0)</f>
        <v/>
      </c>
    </row>
    <row r="3064">
      <c r="A3064" s="4561" t="n"/>
      <c r="B3064" s="4561" t="n"/>
      <c r="C3064" s="4561" t="n"/>
      <c r="D3064" s="4561" t="n"/>
      <c r="E3064" s="4561" t="n"/>
      <c r="F3064" s="4561" t="n"/>
      <c r="G3064" s="4561" t="n"/>
      <c r="H3064" s="4561" t="n"/>
      <c r="I3064" s="4562">
        <f>XLOOKUP(B3064,'_Sys|Line_Map'!$A:$A,'_Sys|Line_Map'!$C:$C,"MISSING",0)</f>
        <v/>
      </c>
      <c r="J3064" s="4562">
        <f>XLOOKUP(B3064,'_Sys|Line_Map'!$A:$A,'_Sys|Line_Map'!$D:$D,1,0)</f>
        <v/>
      </c>
      <c r="K3064" s="4562">
        <f>IF(D3064="","",D3064*J3064)</f>
        <v/>
      </c>
      <c r="L3064" s="4562">
        <f>XLOOKUP(B3064,'_Sys|Line_Map'!$A:$A,'_Sys|Line_Map'!$B:$B,"MISSING",0)</f>
        <v/>
      </c>
    </row>
    <row r="3065">
      <c r="A3065" s="4561" t="n"/>
      <c r="B3065" s="4561" t="n"/>
      <c r="C3065" s="4561" t="n"/>
      <c r="D3065" s="4561" t="n"/>
      <c r="E3065" s="4561" t="n"/>
      <c r="F3065" s="4561" t="n"/>
      <c r="G3065" s="4561" t="n"/>
      <c r="H3065" s="4561" t="n"/>
      <c r="I3065" s="4562">
        <f>XLOOKUP(B3065,'_Sys|Line_Map'!$A:$A,'_Sys|Line_Map'!$C:$C,"MISSING",0)</f>
        <v/>
      </c>
      <c r="J3065" s="4562">
        <f>XLOOKUP(B3065,'_Sys|Line_Map'!$A:$A,'_Sys|Line_Map'!$D:$D,1,0)</f>
        <v/>
      </c>
      <c r="K3065" s="4562">
        <f>IF(D3065="","",D3065*J3065)</f>
        <v/>
      </c>
      <c r="L3065" s="4562">
        <f>XLOOKUP(B3065,'_Sys|Line_Map'!$A:$A,'_Sys|Line_Map'!$B:$B,"MISSING",0)</f>
        <v/>
      </c>
    </row>
    <row r="3066">
      <c r="A3066" s="4561" t="n"/>
      <c r="B3066" s="4561" t="n"/>
      <c r="C3066" s="4561" t="n"/>
      <c r="D3066" s="4561" t="n"/>
      <c r="E3066" s="4561" t="n"/>
      <c r="F3066" s="4561" t="n"/>
      <c r="G3066" s="4561" t="n"/>
      <c r="H3066" s="4561" t="n"/>
      <c r="I3066" s="4562">
        <f>XLOOKUP(B3066,'_Sys|Line_Map'!$A:$A,'_Sys|Line_Map'!$C:$C,"MISSING",0)</f>
        <v/>
      </c>
      <c r="J3066" s="4562">
        <f>XLOOKUP(B3066,'_Sys|Line_Map'!$A:$A,'_Sys|Line_Map'!$D:$D,1,0)</f>
        <v/>
      </c>
      <c r="K3066" s="4562">
        <f>IF(D3066="","",D3066*J3066)</f>
        <v/>
      </c>
      <c r="L3066" s="4562">
        <f>XLOOKUP(B3066,'_Sys|Line_Map'!$A:$A,'_Sys|Line_Map'!$B:$B,"MISSING",0)</f>
        <v/>
      </c>
    </row>
    <row r="3067">
      <c r="A3067" s="4561" t="n"/>
      <c r="B3067" s="4561" t="n"/>
      <c r="C3067" s="4561" t="n"/>
      <c r="D3067" s="4561" t="n"/>
      <c r="E3067" s="4561" t="n"/>
      <c r="F3067" s="4561" t="n"/>
      <c r="G3067" s="4561" t="n"/>
      <c r="H3067" s="4561" t="n"/>
      <c r="I3067" s="4562">
        <f>XLOOKUP(B3067,'_Sys|Line_Map'!$A:$A,'_Sys|Line_Map'!$C:$C,"MISSING",0)</f>
        <v/>
      </c>
      <c r="J3067" s="4562">
        <f>XLOOKUP(B3067,'_Sys|Line_Map'!$A:$A,'_Sys|Line_Map'!$D:$D,1,0)</f>
        <v/>
      </c>
      <c r="K3067" s="4562">
        <f>IF(D3067="","",D3067*J3067)</f>
        <v/>
      </c>
      <c r="L3067" s="4562">
        <f>XLOOKUP(B3067,'_Sys|Line_Map'!$A:$A,'_Sys|Line_Map'!$B:$B,"MISSING",0)</f>
        <v/>
      </c>
    </row>
    <row r="3068">
      <c r="A3068" s="4561" t="n"/>
      <c r="B3068" s="4561" t="n"/>
      <c r="C3068" s="4561" t="n"/>
      <c r="D3068" s="4561" t="n"/>
      <c r="E3068" s="4561" t="n"/>
      <c r="F3068" s="4561" t="n"/>
      <c r="G3068" s="4561" t="n"/>
      <c r="H3068" s="4561" t="n"/>
      <c r="I3068" s="4562">
        <f>XLOOKUP(B3068,'_Sys|Line_Map'!$A:$A,'_Sys|Line_Map'!$C:$C,"MISSING",0)</f>
        <v/>
      </c>
      <c r="J3068" s="4562">
        <f>XLOOKUP(B3068,'_Sys|Line_Map'!$A:$A,'_Sys|Line_Map'!$D:$D,1,0)</f>
        <v/>
      </c>
      <c r="K3068" s="4562">
        <f>IF(D3068="","",D3068*J3068)</f>
        <v/>
      </c>
      <c r="L3068" s="4562">
        <f>XLOOKUP(B3068,'_Sys|Line_Map'!$A:$A,'_Sys|Line_Map'!$B:$B,"MISSING",0)</f>
        <v/>
      </c>
    </row>
    <row r="3069">
      <c r="A3069" s="4561" t="n"/>
      <c r="B3069" s="4561" t="n"/>
      <c r="C3069" s="4561" t="n"/>
      <c r="D3069" s="4561" t="n"/>
      <c r="E3069" s="4561" t="n"/>
      <c r="F3069" s="4561" t="n"/>
      <c r="G3069" s="4561" t="n"/>
      <c r="H3069" s="4561" t="n"/>
      <c r="I3069" s="4562">
        <f>XLOOKUP(B3069,'_Sys|Line_Map'!$A:$A,'_Sys|Line_Map'!$C:$C,"MISSING",0)</f>
        <v/>
      </c>
      <c r="J3069" s="4562">
        <f>XLOOKUP(B3069,'_Sys|Line_Map'!$A:$A,'_Sys|Line_Map'!$D:$D,1,0)</f>
        <v/>
      </c>
      <c r="K3069" s="4562">
        <f>IF(D3069="","",D3069*J3069)</f>
        <v/>
      </c>
      <c r="L3069" s="4562">
        <f>XLOOKUP(B3069,'_Sys|Line_Map'!$A:$A,'_Sys|Line_Map'!$B:$B,"MISSING",0)</f>
        <v/>
      </c>
    </row>
    <row r="3070">
      <c r="A3070" s="4561" t="n"/>
      <c r="B3070" s="4561" t="n"/>
      <c r="C3070" s="4561" t="n"/>
      <c r="D3070" s="4561" t="n"/>
      <c r="E3070" s="4561" t="n"/>
      <c r="F3070" s="4561" t="n"/>
      <c r="G3070" s="4561" t="n"/>
      <c r="H3070" s="4561" t="n"/>
      <c r="I3070" s="4562">
        <f>XLOOKUP(B3070,'_Sys|Line_Map'!$A:$A,'_Sys|Line_Map'!$C:$C,"MISSING",0)</f>
        <v/>
      </c>
      <c r="J3070" s="4562">
        <f>XLOOKUP(B3070,'_Sys|Line_Map'!$A:$A,'_Sys|Line_Map'!$D:$D,1,0)</f>
        <v/>
      </c>
      <c r="K3070" s="4562">
        <f>IF(D3070="","",D3070*J3070)</f>
        <v/>
      </c>
      <c r="L3070" s="4562">
        <f>XLOOKUP(B3070,'_Sys|Line_Map'!$A:$A,'_Sys|Line_Map'!$B:$B,"MISSING",0)</f>
        <v/>
      </c>
    </row>
    <row r="3071">
      <c r="A3071" s="4561" t="n"/>
      <c r="B3071" s="4561" t="n"/>
      <c r="C3071" s="4561" t="n"/>
      <c r="D3071" s="4561" t="n"/>
      <c r="E3071" s="4561" t="n"/>
      <c r="F3071" s="4561" t="n"/>
      <c r="G3071" s="4561" t="n"/>
      <c r="H3071" s="4561" t="n"/>
      <c r="I3071" s="4562">
        <f>XLOOKUP(B3071,'_Sys|Line_Map'!$A:$A,'_Sys|Line_Map'!$C:$C,"MISSING",0)</f>
        <v/>
      </c>
      <c r="J3071" s="4562">
        <f>XLOOKUP(B3071,'_Sys|Line_Map'!$A:$A,'_Sys|Line_Map'!$D:$D,1,0)</f>
        <v/>
      </c>
      <c r="K3071" s="4562">
        <f>IF(D3071="","",D3071*J3071)</f>
        <v/>
      </c>
      <c r="L3071" s="4562">
        <f>XLOOKUP(B3071,'_Sys|Line_Map'!$A:$A,'_Sys|Line_Map'!$B:$B,"MISSING",0)</f>
        <v/>
      </c>
    </row>
    <row r="3072">
      <c r="A3072" s="4561" t="n"/>
      <c r="B3072" s="4561" t="n"/>
      <c r="C3072" s="4561" t="n"/>
      <c r="D3072" s="4561" t="n"/>
      <c r="E3072" s="4561" t="n"/>
      <c r="F3072" s="4561" t="n"/>
      <c r="G3072" s="4561" t="n"/>
      <c r="H3072" s="4561" t="n"/>
      <c r="I3072" s="4562">
        <f>XLOOKUP(B3072,'_Sys|Line_Map'!$A:$A,'_Sys|Line_Map'!$C:$C,"MISSING",0)</f>
        <v/>
      </c>
      <c r="J3072" s="4562">
        <f>XLOOKUP(B3072,'_Sys|Line_Map'!$A:$A,'_Sys|Line_Map'!$D:$D,1,0)</f>
        <v/>
      </c>
      <c r="K3072" s="4562">
        <f>IF(D3072="","",D3072*J3072)</f>
        <v/>
      </c>
      <c r="L3072" s="4562">
        <f>XLOOKUP(B3072,'_Sys|Line_Map'!$A:$A,'_Sys|Line_Map'!$B:$B,"MISSING",0)</f>
        <v/>
      </c>
    </row>
    <row r="3073">
      <c r="A3073" s="4561" t="n"/>
      <c r="B3073" s="4561" t="n"/>
      <c r="C3073" s="4561" t="n"/>
      <c r="D3073" s="4561" t="n"/>
      <c r="E3073" s="4561" t="n"/>
      <c r="F3073" s="4561" t="n"/>
      <c r="G3073" s="4561" t="n"/>
      <c r="H3073" s="4561" t="n"/>
      <c r="I3073" s="4562">
        <f>XLOOKUP(B3073,'_Sys|Line_Map'!$A:$A,'_Sys|Line_Map'!$C:$C,"MISSING",0)</f>
        <v/>
      </c>
      <c r="J3073" s="4562">
        <f>XLOOKUP(B3073,'_Sys|Line_Map'!$A:$A,'_Sys|Line_Map'!$D:$D,1,0)</f>
        <v/>
      </c>
      <c r="K3073" s="4562">
        <f>IF(D3073="","",D3073*J3073)</f>
        <v/>
      </c>
      <c r="L3073" s="4562">
        <f>XLOOKUP(B3073,'_Sys|Line_Map'!$A:$A,'_Sys|Line_Map'!$B:$B,"MISSING",0)</f>
        <v/>
      </c>
    </row>
    <row r="3074">
      <c r="A3074" s="4561" t="n"/>
      <c r="B3074" s="4561" t="n"/>
      <c r="C3074" s="4561" t="n"/>
      <c r="D3074" s="4561" t="n"/>
      <c r="E3074" s="4561" t="n"/>
      <c r="F3074" s="4561" t="n"/>
      <c r="G3074" s="4561" t="n"/>
      <c r="H3074" s="4561" t="n"/>
      <c r="I3074" s="4562">
        <f>XLOOKUP(B3074,'_Sys|Line_Map'!$A:$A,'_Sys|Line_Map'!$C:$C,"MISSING",0)</f>
        <v/>
      </c>
      <c r="J3074" s="4562">
        <f>XLOOKUP(B3074,'_Sys|Line_Map'!$A:$A,'_Sys|Line_Map'!$D:$D,1,0)</f>
        <v/>
      </c>
      <c r="K3074" s="4562">
        <f>IF(D3074="","",D3074*J3074)</f>
        <v/>
      </c>
      <c r="L3074" s="4562">
        <f>XLOOKUP(B3074,'_Sys|Line_Map'!$A:$A,'_Sys|Line_Map'!$B:$B,"MISSING",0)</f>
        <v/>
      </c>
    </row>
    <row r="3075">
      <c r="A3075" s="4561" t="n"/>
      <c r="B3075" s="4561" t="n"/>
      <c r="C3075" s="4561" t="n"/>
      <c r="D3075" s="4561" t="n"/>
      <c r="E3075" s="4561" t="n"/>
      <c r="F3075" s="4561" t="n"/>
      <c r="G3075" s="4561" t="n"/>
      <c r="H3075" s="4561" t="n"/>
      <c r="I3075" s="4562">
        <f>XLOOKUP(B3075,'_Sys|Line_Map'!$A:$A,'_Sys|Line_Map'!$C:$C,"MISSING",0)</f>
        <v/>
      </c>
      <c r="J3075" s="4562">
        <f>XLOOKUP(B3075,'_Sys|Line_Map'!$A:$A,'_Sys|Line_Map'!$D:$D,1,0)</f>
        <v/>
      </c>
      <c r="K3075" s="4562">
        <f>IF(D3075="","",D3075*J3075)</f>
        <v/>
      </c>
      <c r="L3075" s="4562">
        <f>XLOOKUP(B3075,'_Sys|Line_Map'!$A:$A,'_Sys|Line_Map'!$B:$B,"MISSING",0)</f>
        <v/>
      </c>
    </row>
    <row r="3076">
      <c r="A3076" s="4561" t="n"/>
      <c r="B3076" s="4561" t="n"/>
      <c r="C3076" s="4561" t="n"/>
      <c r="D3076" s="4561" t="n"/>
      <c r="E3076" s="4561" t="n"/>
      <c r="F3076" s="4561" t="n"/>
      <c r="G3076" s="4561" t="n"/>
      <c r="H3076" s="4561" t="n"/>
      <c r="I3076" s="4562">
        <f>XLOOKUP(B3076,'_Sys|Line_Map'!$A:$A,'_Sys|Line_Map'!$C:$C,"MISSING",0)</f>
        <v/>
      </c>
      <c r="J3076" s="4562">
        <f>XLOOKUP(B3076,'_Sys|Line_Map'!$A:$A,'_Sys|Line_Map'!$D:$D,1,0)</f>
        <v/>
      </c>
      <c r="K3076" s="4562">
        <f>IF(D3076="","",D3076*J3076)</f>
        <v/>
      </c>
      <c r="L3076" s="4562">
        <f>XLOOKUP(B3076,'_Sys|Line_Map'!$A:$A,'_Sys|Line_Map'!$B:$B,"MISSING",0)</f>
        <v/>
      </c>
    </row>
    <row r="3077">
      <c r="A3077" s="4561" t="n"/>
      <c r="B3077" s="4561" t="n"/>
      <c r="C3077" s="4561" t="n"/>
      <c r="D3077" s="4561" t="n"/>
      <c r="E3077" s="4561" t="n"/>
      <c r="F3077" s="4561" t="n"/>
      <c r="G3077" s="4561" t="n"/>
      <c r="H3077" s="4561" t="n"/>
      <c r="I3077" s="4562">
        <f>XLOOKUP(B3077,'_Sys|Line_Map'!$A:$A,'_Sys|Line_Map'!$C:$C,"MISSING",0)</f>
        <v/>
      </c>
      <c r="J3077" s="4562">
        <f>XLOOKUP(B3077,'_Sys|Line_Map'!$A:$A,'_Sys|Line_Map'!$D:$D,1,0)</f>
        <v/>
      </c>
      <c r="K3077" s="4562">
        <f>IF(D3077="","",D3077*J3077)</f>
        <v/>
      </c>
      <c r="L3077" s="4562">
        <f>XLOOKUP(B3077,'_Sys|Line_Map'!$A:$A,'_Sys|Line_Map'!$B:$B,"MISSING",0)</f>
        <v/>
      </c>
    </row>
    <row r="3078">
      <c r="A3078" s="4561" t="n"/>
      <c r="B3078" s="4561" t="n"/>
      <c r="C3078" s="4561" t="n"/>
      <c r="D3078" s="4561" t="n"/>
      <c r="E3078" s="4561" t="n"/>
      <c r="F3078" s="4561" t="n"/>
      <c r="G3078" s="4561" t="n"/>
      <c r="H3078" s="4561" t="n"/>
      <c r="I3078" s="4562">
        <f>XLOOKUP(B3078,'_Sys|Line_Map'!$A:$A,'_Sys|Line_Map'!$C:$C,"MISSING",0)</f>
        <v/>
      </c>
      <c r="J3078" s="4562">
        <f>XLOOKUP(B3078,'_Sys|Line_Map'!$A:$A,'_Sys|Line_Map'!$D:$D,1,0)</f>
        <v/>
      </c>
      <c r="K3078" s="4562">
        <f>IF(D3078="","",D3078*J3078)</f>
        <v/>
      </c>
      <c r="L3078" s="4562">
        <f>XLOOKUP(B3078,'_Sys|Line_Map'!$A:$A,'_Sys|Line_Map'!$B:$B,"MISSING",0)</f>
        <v/>
      </c>
    </row>
    <row r="3079">
      <c r="A3079" s="4561" t="n"/>
      <c r="B3079" s="4561" t="n"/>
      <c r="C3079" s="4561" t="n"/>
      <c r="D3079" s="4561" t="n"/>
      <c r="E3079" s="4561" t="n"/>
      <c r="F3079" s="4561" t="n"/>
      <c r="G3079" s="4561" t="n"/>
      <c r="H3079" s="4561" t="n"/>
      <c r="I3079" s="4562">
        <f>XLOOKUP(B3079,'_Sys|Line_Map'!$A:$A,'_Sys|Line_Map'!$C:$C,"MISSING",0)</f>
        <v/>
      </c>
      <c r="J3079" s="4562">
        <f>XLOOKUP(B3079,'_Sys|Line_Map'!$A:$A,'_Sys|Line_Map'!$D:$D,1,0)</f>
        <v/>
      </c>
      <c r="K3079" s="4562">
        <f>IF(D3079="","",D3079*J3079)</f>
        <v/>
      </c>
      <c r="L3079" s="4562">
        <f>XLOOKUP(B3079,'_Sys|Line_Map'!$A:$A,'_Sys|Line_Map'!$B:$B,"MISSING",0)</f>
        <v/>
      </c>
    </row>
    <row r="3080">
      <c r="A3080" s="4561" t="n"/>
      <c r="B3080" s="4561" t="n"/>
      <c r="C3080" s="4561" t="n"/>
      <c r="D3080" s="4561" t="n"/>
      <c r="E3080" s="4561" t="n"/>
      <c r="F3080" s="4561" t="n"/>
      <c r="G3080" s="4561" t="n"/>
      <c r="H3080" s="4561" t="n"/>
      <c r="I3080" s="4562">
        <f>XLOOKUP(B3080,'_Sys|Line_Map'!$A:$A,'_Sys|Line_Map'!$C:$C,"MISSING",0)</f>
        <v/>
      </c>
      <c r="J3080" s="4562">
        <f>XLOOKUP(B3080,'_Sys|Line_Map'!$A:$A,'_Sys|Line_Map'!$D:$D,1,0)</f>
        <v/>
      </c>
      <c r="K3080" s="4562">
        <f>IF(D3080="","",D3080*J3080)</f>
        <v/>
      </c>
      <c r="L3080" s="4562">
        <f>XLOOKUP(B3080,'_Sys|Line_Map'!$A:$A,'_Sys|Line_Map'!$B:$B,"MISSING",0)</f>
        <v/>
      </c>
    </row>
    <row r="3081">
      <c r="A3081" s="4561" t="n"/>
      <c r="B3081" s="4561" t="n"/>
      <c r="C3081" s="4561" t="n"/>
      <c r="D3081" s="4561" t="n"/>
      <c r="E3081" s="4561" t="n"/>
      <c r="F3081" s="4561" t="n"/>
      <c r="G3081" s="4561" t="n"/>
      <c r="H3081" s="4561" t="n"/>
      <c r="I3081" s="4562">
        <f>XLOOKUP(B3081,'_Sys|Line_Map'!$A:$A,'_Sys|Line_Map'!$C:$C,"MISSING",0)</f>
        <v/>
      </c>
      <c r="J3081" s="4562">
        <f>XLOOKUP(B3081,'_Sys|Line_Map'!$A:$A,'_Sys|Line_Map'!$D:$D,1,0)</f>
        <v/>
      </c>
      <c r="K3081" s="4562">
        <f>IF(D3081="","",D3081*J3081)</f>
        <v/>
      </c>
      <c r="L3081" s="4562">
        <f>XLOOKUP(B3081,'_Sys|Line_Map'!$A:$A,'_Sys|Line_Map'!$B:$B,"MISSING",0)</f>
        <v/>
      </c>
    </row>
    <row r="3082">
      <c r="A3082" s="4561" t="n"/>
      <c r="B3082" s="4561" t="n"/>
      <c r="C3082" s="4561" t="n"/>
      <c r="D3082" s="4561" t="n"/>
      <c r="E3082" s="4561" t="n"/>
      <c r="F3082" s="4561" t="n"/>
      <c r="G3082" s="4561" t="n"/>
      <c r="H3082" s="4561" t="n"/>
      <c r="I3082" s="4562">
        <f>XLOOKUP(B3082,'_Sys|Line_Map'!$A:$A,'_Sys|Line_Map'!$C:$C,"MISSING",0)</f>
        <v/>
      </c>
      <c r="J3082" s="4562">
        <f>XLOOKUP(B3082,'_Sys|Line_Map'!$A:$A,'_Sys|Line_Map'!$D:$D,1,0)</f>
        <v/>
      </c>
      <c r="K3082" s="4562">
        <f>IF(D3082="","",D3082*J3082)</f>
        <v/>
      </c>
      <c r="L3082" s="4562">
        <f>XLOOKUP(B3082,'_Sys|Line_Map'!$A:$A,'_Sys|Line_Map'!$B:$B,"MISSING",0)</f>
        <v/>
      </c>
    </row>
    <row r="3083">
      <c r="A3083" s="4561" t="n"/>
      <c r="B3083" s="4561" t="n"/>
      <c r="C3083" s="4561" t="n"/>
      <c r="D3083" s="4561" t="n"/>
      <c r="E3083" s="4561" t="n"/>
      <c r="F3083" s="4561" t="n"/>
      <c r="G3083" s="4561" t="n"/>
      <c r="H3083" s="4561" t="n"/>
      <c r="I3083" s="4562">
        <f>XLOOKUP(B3083,'_Sys|Line_Map'!$A:$A,'_Sys|Line_Map'!$C:$C,"MISSING",0)</f>
        <v/>
      </c>
      <c r="J3083" s="4562">
        <f>XLOOKUP(B3083,'_Sys|Line_Map'!$A:$A,'_Sys|Line_Map'!$D:$D,1,0)</f>
        <v/>
      </c>
      <c r="K3083" s="4562">
        <f>IF(D3083="","",D3083*J3083)</f>
        <v/>
      </c>
      <c r="L3083" s="4562">
        <f>XLOOKUP(B3083,'_Sys|Line_Map'!$A:$A,'_Sys|Line_Map'!$B:$B,"MISSING",0)</f>
        <v/>
      </c>
    </row>
    <row r="3084">
      <c r="A3084" s="4561" t="n"/>
      <c r="B3084" s="4561" t="n"/>
      <c r="C3084" s="4561" t="n"/>
      <c r="D3084" s="4561" t="n"/>
      <c r="E3084" s="4561" t="n"/>
      <c r="F3084" s="4561" t="n"/>
      <c r="G3084" s="4561" t="n"/>
      <c r="H3084" s="4561" t="n"/>
      <c r="I3084" s="4562">
        <f>XLOOKUP(B3084,'_Sys|Line_Map'!$A:$A,'_Sys|Line_Map'!$C:$C,"MISSING",0)</f>
        <v/>
      </c>
      <c r="J3084" s="4562">
        <f>XLOOKUP(B3084,'_Sys|Line_Map'!$A:$A,'_Sys|Line_Map'!$D:$D,1,0)</f>
        <v/>
      </c>
      <c r="K3084" s="4562">
        <f>IF(D3084="","",D3084*J3084)</f>
        <v/>
      </c>
      <c r="L3084" s="4562">
        <f>XLOOKUP(B3084,'_Sys|Line_Map'!$A:$A,'_Sys|Line_Map'!$B:$B,"MISSING",0)</f>
        <v/>
      </c>
    </row>
    <row r="3085">
      <c r="A3085" s="4561" t="n"/>
      <c r="B3085" s="4561" t="n"/>
      <c r="C3085" s="4561" t="n"/>
      <c r="D3085" s="4561" t="n"/>
      <c r="E3085" s="4561" t="n"/>
      <c r="F3085" s="4561" t="n"/>
      <c r="G3085" s="4561" t="n"/>
      <c r="H3085" s="4561" t="n"/>
      <c r="I3085" s="4562">
        <f>XLOOKUP(B3085,'_Sys|Line_Map'!$A:$A,'_Sys|Line_Map'!$C:$C,"MISSING",0)</f>
        <v/>
      </c>
      <c r="J3085" s="4562">
        <f>XLOOKUP(B3085,'_Sys|Line_Map'!$A:$A,'_Sys|Line_Map'!$D:$D,1,0)</f>
        <v/>
      </c>
      <c r="K3085" s="4562">
        <f>IF(D3085="","",D3085*J3085)</f>
        <v/>
      </c>
      <c r="L3085" s="4562">
        <f>XLOOKUP(B3085,'_Sys|Line_Map'!$A:$A,'_Sys|Line_Map'!$B:$B,"MISSING",0)</f>
        <v/>
      </c>
    </row>
    <row r="3086">
      <c r="A3086" s="4561" t="n"/>
      <c r="B3086" s="4561" t="n"/>
      <c r="C3086" s="4561" t="n"/>
      <c r="D3086" s="4561" t="n"/>
      <c r="E3086" s="4561" t="n"/>
      <c r="F3086" s="4561" t="n"/>
      <c r="G3086" s="4561" t="n"/>
      <c r="H3086" s="4561" t="n"/>
      <c r="I3086" s="4562">
        <f>XLOOKUP(B3086,'_Sys|Line_Map'!$A:$A,'_Sys|Line_Map'!$C:$C,"MISSING",0)</f>
        <v/>
      </c>
      <c r="J3086" s="4562">
        <f>XLOOKUP(B3086,'_Sys|Line_Map'!$A:$A,'_Sys|Line_Map'!$D:$D,1,0)</f>
        <v/>
      </c>
      <c r="K3086" s="4562">
        <f>IF(D3086="","",D3086*J3086)</f>
        <v/>
      </c>
      <c r="L3086" s="4562">
        <f>XLOOKUP(B3086,'_Sys|Line_Map'!$A:$A,'_Sys|Line_Map'!$B:$B,"MISSING",0)</f>
        <v/>
      </c>
    </row>
    <row r="3087">
      <c r="A3087" s="4561" t="n"/>
      <c r="B3087" s="4561" t="n"/>
      <c r="C3087" s="4561" t="n"/>
      <c r="D3087" s="4561" t="n"/>
      <c r="E3087" s="4561" t="n"/>
      <c r="F3087" s="4561" t="n"/>
      <c r="G3087" s="4561" t="n"/>
      <c r="H3087" s="4561" t="n"/>
      <c r="I3087" s="4562">
        <f>XLOOKUP(B3087,'_Sys|Line_Map'!$A:$A,'_Sys|Line_Map'!$C:$C,"MISSING",0)</f>
        <v/>
      </c>
      <c r="J3087" s="4562">
        <f>XLOOKUP(B3087,'_Sys|Line_Map'!$A:$A,'_Sys|Line_Map'!$D:$D,1,0)</f>
        <v/>
      </c>
      <c r="K3087" s="4562">
        <f>IF(D3087="","",D3087*J3087)</f>
        <v/>
      </c>
      <c r="L3087" s="4562">
        <f>XLOOKUP(B3087,'_Sys|Line_Map'!$A:$A,'_Sys|Line_Map'!$B:$B,"MISSING",0)</f>
        <v/>
      </c>
    </row>
    <row r="3088">
      <c r="A3088" s="4561" t="n"/>
      <c r="B3088" s="4561" t="n"/>
      <c r="C3088" s="4561" t="n"/>
      <c r="D3088" s="4561" t="n"/>
      <c r="E3088" s="4561" t="n"/>
      <c r="F3088" s="4561" t="n"/>
      <c r="G3088" s="4561" t="n"/>
      <c r="H3088" s="4561" t="n"/>
      <c r="I3088" s="4562">
        <f>XLOOKUP(B3088,'_Sys|Line_Map'!$A:$A,'_Sys|Line_Map'!$C:$C,"MISSING",0)</f>
        <v/>
      </c>
      <c r="J3088" s="4562">
        <f>XLOOKUP(B3088,'_Sys|Line_Map'!$A:$A,'_Sys|Line_Map'!$D:$D,1,0)</f>
        <v/>
      </c>
      <c r="K3088" s="4562">
        <f>IF(D3088="","",D3088*J3088)</f>
        <v/>
      </c>
      <c r="L3088" s="4562">
        <f>XLOOKUP(B3088,'_Sys|Line_Map'!$A:$A,'_Sys|Line_Map'!$B:$B,"MISSING",0)</f>
        <v/>
      </c>
    </row>
    <row r="3089">
      <c r="A3089" s="4561" t="n"/>
      <c r="B3089" s="4561" t="n"/>
      <c r="C3089" s="4561" t="n"/>
      <c r="D3089" s="4561" t="n"/>
      <c r="E3089" s="4561" t="n"/>
      <c r="F3089" s="4561" t="n"/>
      <c r="G3089" s="4561" t="n"/>
      <c r="H3089" s="4561" t="n"/>
      <c r="I3089" s="4562">
        <f>XLOOKUP(B3089,'_Sys|Line_Map'!$A:$A,'_Sys|Line_Map'!$C:$C,"MISSING",0)</f>
        <v/>
      </c>
      <c r="J3089" s="4562">
        <f>XLOOKUP(B3089,'_Sys|Line_Map'!$A:$A,'_Sys|Line_Map'!$D:$D,1,0)</f>
        <v/>
      </c>
      <c r="K3089" s="4562">
        <f>IF(D3089="","",D3089*J3089)</f>
        <v/>
      </c>
      <c r="L3089" s="4562">
        <f>XLOOKUP(B3089,'_Sys|Line_Map'!$A:$A,'_Sys|Line_Map'!$B:$B,"MISSING",0)</f>
        <v/>
      </c>
    </row>
    <row r="3090">
      <c r="A3090" s="4561" t="n"/>
      <c r="B3090" s="4561" t="n"/>
      <c r="C3090" s="4561" t="n"/>
      <c r="D3090" s="4561" t="n"/>
      <c r="E3090" s="4561" t="n"/>
      <c r="F3090" s="4561" t="n"/>
      <c r="G3090" s="4561" t="n"/>
      <c r="H3090" s="4561" t="n"/>
      <c r="I3090" s="4562">
        <f>XLOOKUP(B3090,'_Sys|Line_Map'!$A:$A,'_Sys|Line_Map'!$C:$C,"MISSING",0)</f>
        <v/>
      </c>
      <c r="J3090" s="4562">
        <f>XLOOKUP(B3090,'_Sys|Line_Map'!$A:$A,'_Sys|Line_Map'!$D:$D,1,0)</f>
        <v/>
      </c>
      <c r="K3090" s="4562">
        <f>IF(D3090="","",D3090*J3090)</f>
        <v/>
      </c>
      <c r="L3090" s="4562">
        <f>XLOOKUP(B3090,'_Sys|Line_Map'!$A:$A,'_Sys|Line_Map'!$B:$B,"MISSING",0)</f>
        <v/>
      </c>
    </row>
    <row r="3091">
      <c r="A3091" s="4561" t="n"/>
      <c r="B3091" s="4561" t="n"/>
      <c r="C3091" s="4561" t="n"/>
      <c r="D3091" s="4561" t="n"/>
      <c r="E3091" s="4561" t="n"/>
      <c r="F3091" s="4561" t="n"/>
      <c r="G3091" s="4561" t="n"/>
      <c r="H3091" s="4561" t="n"/>
      <c r="I3091" s="4562">
        <f>XLOOKUP(B3091,'_Sys|Line_Map'!$A:$A,'_Sys|Line_Map'!$C:$C,"MISSING",0)</f>
        <v/>
      </c>
      <c r="J3091" s="4562">
        <f>XLOOKUP(B3091,'_Sys|Line_Map'!$A:$A,'_Sys|Line_Map'!$D:$D,1,0)</f>
        <v/>
      </c>
      <c r="K3091" s="4562">
        <f>IF(D3091="","",D3091*J3091)</f>
        <v/>
      </c>
      <c r="L3091" s="4562">
        <f>XLOOKUP(B3091,'_Sys|Line_Map'!$A:$A,'_Sys|Line_Map'!$B:$B,"MISSING",0)</f>
        <v/>
      </c>
    </row>
    <row r="3092">
      <c r="A3092" s="4561" t="n"/>
      <c r="B3092" s="4561" t="n"/>
      <c r="C3092" s="4561" t="n"/>
      <c r="D3092" s="4561" t="n"/>
      <c r="E3092" s="4561" t="n"/>
      <c r="F3092" s="4561" t="n"/>
      <c r="G3092" s="4561" t="n"/>
      <c r="H3092" s="4561" t="n"/>
      <c r="I3092" s="4562">
        <f>XLOOKUP(B3092,'_Sys|Line_Map'!$A:$A,'_Sys|Line_Map'!$C:$C,"MISSING",0)</f>
        <v/>
      </c>
      <c r="J3092" s="4562">
        <f>XLOOKUP(B3092,'_Sys|Line_Map'!$A:$A,'_Sys|Line_Map'!$D:$D,1,0)</f>
        <v/>
      </c>
      <c r="K3092" s="4562">
        <f>IF(D3092="","",D3092*J3092)</f>
        <v/>
      </c>
      <c r="L3092" s="4562">
        <f>XLOOKUP(B3092,'_Sys|Line_Map'!$A:$A,'_Sys|Line_Map'!$B:$B,"MISSING",0)</f>
        <v/>
      </c>
    </row>
    <row r="3093">
      <c r="A3093" s="4561" t="n"/>
      <c r="B3093" s="4561" t="n"/>
      <c r="C3093" s="4561" t="n"/>
      <c r="D3093" s="4561" t="n"/>
      <c r="E3093" s="4561" t="n"/>
      <c r="F3093" s="4561" t="n"/>
      <c r="G3093" s="4561" t="n"/>
      <c r="H3093" s="4561" t="n"/>
      <c r="I3093" s="4562">
        <f>XLOOKUP(B3093,'_Sys|Line_Map'!$A:$A,'_Sys|Line_Map'!$C:$C,"MISSING",0)</f>
        <v/>
      </c>
      <c r="J3093" s="4562">
        <f>XLOOKUP(B3093,'_Sys|Line_Map'!$A:$A,'_Sys|Line_Map'!$D:$D,1,0)</f>
        <v/>
      </c>
      <c r="K3093" s="4562">
        <f>IF(D3093="","",D3093*J3093)</f>
        <v/>
      </c>
      <c r="L3093" s="4562">
        <f>XLOOKUP(B3093,'_Sys|Line_Map'!$A:$A,'_Sys|Line_Map'!$B:$B,"MISSING",0)</f>
        <v/>
      </c>
    </row>
    <row r="3094">
      <c r="A3094" s="4561" t="n"/>
      <c r="B3094" s="4561" t="n"/>
      <c r="C3094" s="4561" t="n"/>
      <c r="D3094" s="4561" t="n"/>
      <c r="E3094" s="4561" t="n"/>
      <c r="F3094" s="4561" t="n"/>
      <c r="G3094" s="4561" t="n"/>
      <c r="H3094" s="4561" t="n"/>
      <c r="I3094" s="4562">
        <f>XLOOKUP(B3094,'_Sys|Line_Map'!$A:$A,'_Sys|Line_Map'!$C:$C,"MISSING",0)</f>
        <v/>
      </c>
      <c r="J3094" s="4562">
        <f>XLOOKUP(B3094,'_Sys|Line_Map'!$A:$A,'_Sys|Line_Map'!$D:$D,1,0)</f>
        <v/>
      </c>
      <c r="K3094" s="4562">
        <f>IF(D3094="","",D3094*J3094)</f>
        <v/>
      </c>
      <c r="L3094" s="4562">
        <f>XLOOKUP(B3094,'_Sys|Line_Map'!$A:$A,'_Sys|Line_Map'!$B:$B,"MISSING",0)</f>
        <v/>
      </c>
    </row>
    <row r="3095">
      <c r="A3095" s="4561" t="n"/>
      <c r="B3095" s="4561" t="n"/>
      <c r="C3095" s="4561" t="n"/>
      <c r="D3095" s="4561" t="n"/>
      <c r="E3095" s="4561" t="n"/>
      <c r="F3095" s="4561" t="n"/>
      <c r="G3095" s="4561" t="n"/>
      <c r="H3095" s="4561" t="n"/>
      <c r="I3095" s="4562">
        <f>XLOOKUP(B3095,'_Sys|Line_Map'!$A:$A,'_Sys|Line_Map'!$C:$C,"MISSING",0)</f>
        <v/>
      </c>
      <c r="J3095" s="4562">
        <f>XLOOKUP(B3095,'_Sys|Line_Map'!$A:$A,'_Sys|Line_Map'!$D:$D,1,0)</f>
        <v/>
      </c>
      <c r="K3095" s="4562">
        <f>IF(D3095="","",D3095*J3095)</f>
        <v/>
      </c>
      <c r="L3095" s="4562">
        <f>XLOOKUP(B3095,'_Sys|Line_Map'!$A:$A,'_Sys|Line_Map'!$B:$B,"MISSING",0)</f>
        <v/>
      </c>
    </row>
    <row r="3096">
      <c r="A3096" s="4561" t="n"/>
      <c r="B3096" s="4561" t="n"/>
      <c r="C3096" s="4561" t="n"/>
      <c r="D3096" s="4561" t="n"/>
      <c r="E3096" s="4561" t="n"/>
      <c r="F3096" s="4561" t="n"/>
      <c r="G3096" s="4561" t="n"/>
      <c r="H3096" s="4561" t="n"/>
      <c r="I3096" s="4562">
        <f>XLOOKUP(B3096,'_Sys|Line_Map'!$A:$A,'_Sys|Line_Map'!$C:$C,"MISSING",0)</f>
        <v/>
      </c>
      <c r="J3096" s="4562">
        <f>XLOOKUP(B3096,'_Sys|Line_Map'!$A:$A,'_Sys|Line_Map'!$D:$D,1,0)</f>
        <v/>
      </c>
      <c r="K3096" s="4562">
        <f>IF(D3096="","",D3096*J3096)</f>
        <v/>
      </c>
      <c r="L3096" s="4562">
        <f>XLOOKUP(B3096,'_Sys|Line_Map'!$A:$A,'_Sys|Line_Map'!$B:$B,"MISSING",0)</f>
        <v/>
      </c>
    </row>
    <row r="3097">
      <c r="A3097" s="4561" t="n"/>
      <c r="B3097" s="4561" t="n"/>
      <c r="C3097" s="4561" t="n"/>
      <c r="D3097" s="4561" t="n"/>
      <c r="E3097" s="4561" t="n"/>
      <c r="F3097" s="4561" t="n"/>
      <c r="G3097" s="4561" t="n"/>
      <c r="H3097" s="4561" t="n"/>
      <c r="I3097" s="4562">
        <f>XLOOKUP(B3097,'_Sys|Line_Map'!$A:$A,'_Sys|Line_Map'!$C:$C,"MISSING",0)</f>
        <v/>
      </c>
      <c r="J3097" s="4562">
        <f>XLOOKUP(B3097,'_Sys|Line_Map'!$A:$A,'_Sys|Line_Map'!$D:$D,1,0)</f>
        <v/>
      </c>
      <c r="K3097" s="4562">
        <f>IF(D3097="","",D3097*J3097)</f>
        <v/>
      </c>
      <c r="L3097" s="4562">
        <f>XLOOKUP(B3097,'_Sys|Line_Map'!$A:$A,'_Sys|Line_Map'!$B:$B,"MISSING",0)</f>
        <v/>
      </c>
    </row>
    <row r="3098">
      <c r="A3098" s="4561" t="n"/>
      <c r="B3098" s="4561" t="n"/>
      <c r="C3098" s="4561" t="n"/>
      <c r="D3098" s="4561" t="n"/>
      <c r="E3098" s="4561" t="n"/>
      <c r="F3098" s="4561" t="n"/>
      <c r="G3098" s="4561" t="n"/>
      <c r="H3098" s="4561" t="n"/>
      <c r="I3098" s="4562">
        <f>XLOOKUP(B3098,'_Sys|Line_Map'!$A:$A,'_Sys|Line_Map'!$C:$C,"MISSING",0)</f>
        <v/>
      </c>
      <c r="J3098" s="4562">
        <f>XLOOKUP(B3098,'_Sys|Line_Map'!$A:$A,'_Sys|Line_Map'!$D:$D,1,0)</f>
        <v/>
      </c>
      <c r="K3098" s="4562">
        <f>IF(D3098="","",D3098*J3098)</f>
        <v/>
      </c>
      <c r="L3098" s="4562">
        <f>XLOOKUP(B3098,'_Sys|Line_Map'!$A:$A,'_Sys|Line_Map'!$B:$B,"MISSING",0)</f>
        <v/>
      </c>
    </row>
    <row r="3099">
      <c r="A3099" s="4561" t="n"/>
      <c r="B3099" s="4561" t="n"/>
      <c r="C3099" s="4561" t="n"/>
      <c r="D3099" s="4561" t="n"/>
      <c r="E3099" s="4561" t="n"/>
      <c r="F3099" s="4561" t="n"/>
      <c r="G3099" s="4561" t="n"/>
      <c r="H3099" s="4561" t="n"/>
      <c r="I3099" s="4562">
        <f>XLOOKUP(B3099,'_Sys|Line_Map'!$A:$A,'_Sys|Line_Map'!$C:$C,"MISSING",0)</f>
        <v/>
      </c>
      <c r="J3099" s="4562">
        <f>XLOOKUP(B3099,'_Sys|Line_Map'!$A:$A,'_Sys|Line_Map'!$D:$D,1,0)</f>
        <v/>
      </c>
      <c r="K3099" s="4562">
        <f>IF(D3099="","",D3099*J3099)</f>
        <v/>
      </c>
      <c r="L3099" s="4562">
        <f>XLOOKUP(B3099,'_Sys|Line_Map'!$A:$A,'_Sys|Line_Map'!$B:$B,"MISSING",0)</f>
        <v/>
      </c>
    </row>
    <row r="3100">
      <c r="A3100" s="4561" t="n"/>
      <c r="B3100" s="4561" t="n"/>
      <c r="C3100" s="4561" t="n"/>
      <c r="D3100" s="4561" t="n"/>
      <c r="E3100" s="4561" t="n"/>
      <c r="F3100" s="4561" t="n"/>
      <c r="G3100" s="4561" t="n"/>
      <c r="H3100" s="4561" t="n"/>
      <c r="I3100" s="4562">
        <f>XLOOKUP(B3100,'_Sys|Line_Map'!$A:$A,'_Sys|Line_Map'!$C:$C,"MISSING",0)</f>
        <v/>
      </c>
      <c r="J3100" s="4562">
        <f>XLOOKUP(B3100,'_Sys|Line_Map'!$A:$A,'_Sys|Line_Map'!$D:$D,1,0)</f>
        <v/>
      </c>
      <c r="K3100" s="4562">
        <f>IF(D3100="","",D3100*J3100)</f>
        <v/>
      </c>
      <c r="L3100" s="4562">
        <f>XLOOKUP(B3100,'_Sys|Line_Map'!$A:$A,'_Sys|Line_Map'!$B:$B,"MISSING",0)</f>
        <v/>
      </c>
    </row>
    <row r="3101">
      <c r="A3101" s="4561" t="n"/>
      <c r="B3101" s="4561" t="n"/>
      <c r="C3101" s="4561" t="n"/>
      <c r="D3101" s="4561" t="n"/>
      <c r="E3101" s="4561" t="n"/>
      <c r="F3101" s="4561" t="n"/>
      <c r="G3101" s="4561" t="n"/>
      <c r="H3101" s="4561" t="n"/>
      <c r="I3101" s="4562">
        <f>XLOOKUP(B3101,'_Sys|Line_Map'!$A:$A,'_Sys|Line_Map'!$C:$C,"MISSING",0)</f>
        <v/>
      </c>
      <c r="J3101" s="4562">
        <f>XLOOKUP(B3101,'_Sys|Line_Map'!$A:$A,'_Sys|Line_Map'!$D:$D,1,0)</f>
        <v/>
      </c>
      <c r="K3101" s="4562">
        <f>IF(D3101="","",D3101*J3101)</f>
        <v/>
      </c>
      <c r="L3101" s="4562">
        <f>XLOOKUP(B3101,'_Sys|Line_Map'!$A:$A,'_Sys|Line_Map'!$B:$B,"MISSING",0)</f>
        <v/>
      </c>
    </row>
    <row r="3102">
      <c r="A3102" s="4561" t="n"/>
      <c r="B3102" s="4561" t="n"/>
      <c r="C3102" s="4561" t="n"/>
      <c r="D3102" s="4561" t="n"/>
      <c r="E3102" s="4561" t="n"/>
      <c r="F3102" s="4561" t="n"/>
      <c r="G3102" s="4561" t="n"/>
      <c r="H3102" s="4561" t="n"/>
      <c r="I3102" s="4562">
        <f>XLOOKUP(B3102,'_Sys|Line_Map'!$A:$A,'_Sys|Line_Map'!$C:$C,"MISSING",0)</f>
        <v/>
      </c>
      <c r="J3102" s="4562">
        <f>XLOOKUP(B3102,'_Sys|Line_Map'!$A:$A,'_Sys|Line_Map'!$D:$D,1,0)</f>
        <v/>
      </c>
      <c r="K3102" s="4562">
        <f>IF(D3102="","",D3102*J3102)</f>
        <v/>
      </c>
      <c r="L3102" s="4562">
        <f>XLOOKUP(B3102,'_Sys|Line_Map'!$A:$A,'_Sys|Line_Map'!$B:$B,"MISSING",0)</f>
        <v/>
      </c>
    </row>
    <row r="3103">
      <c r="A3103" s="4561" t="n"/>
      <c r="B3103" s="4561" t="n"/>
      <c r="C3103" s="4561" t="n"/>
      <c r="D3103" s="4561" t="n"/>
      <c r="E3103" s="4561" t="n"/>
      <c r="F3103" s="4561" t="n"/>
      <c r="G3103" s="4561" t="n"/>
      <c r="H3103" s="4561" t="n"/>
      <c r="I3103" s="4562">
        <f>XLOOKUP(B3103,'_Sys|Line_Map'!$A:$A,'_Sys|Line_Map'!$C:$C,"MISSING",0)</f>
        <v/>
      </c>
      <c r="J3103" s="4562">
        <f>XLOOKUP(B3103,'_Sys|Line_Map'!$A:$A,'_Sys|Line_Map'!$D:$D,1,0)</f>
        <v/>
      </c>
      <c r="K3103" s="4562">
        <f>IF(D3103="","",D3103*J3103)</f>
        <v/>
      </c>
      <c r="L3103" s="4562">
        <f>XLOOKUP(B3103,'_Sys|Line_Map'!$A:$A,'_Sys|Line_Map'!$B:$B,"MISSING",0)</f>
        <v/>
      </c>
    </row>
    <row r="3104">
      <c r="A3104" s="4561" t="n"/>
      <c r="B3104" s="4561" t="n"/>
      <c r="C3104" s="4561" t="n"/>
      <c r="D3104" s="4561" t="n"/>
      <c r="E3104" s="4561" t="n"/>
      <c r="F3104" s="4561" t="n"/>
      <c r="G3104" s="4561" t="n"/>
      <c r="H3104" s="4561" t="n"/>
      <c r="I3104" s="4562">
        <f>XLOOKUP(B3104,'_Sys|Line_Map'!$A:$A,'_Sys|Line_Map'!$C:$C,"MISSING",0)</f>
        <v/>
      </c>
      <c r="J3104" s="4562">
        <f>XLOOKUP(B3104,'_Sys|Line_Map'!$A:$A,'_Sys|Line_Map'!$D:$D,1,0)</f>
        <v/>
      </c>
      <c r="K3104" s="4562">
        <f>IF(D3104="","",D3104*J3104)</f>
        <v/>
      </c>
      <c r="L3104" s="4562">
        <f>XLOOKUP(B3104,'_Sys|Line_Map'!$A:$A,'_Sys|Line_Map'!$B:$B,"MISSING",0)</f>
        <v/>
      </c>
    </row>
    <row r="3105">
      <c r="A3105" s="4561" t="n"/>
      <c r="B3105" s="4561" t="n"/>
      <c r="C3105" s="4561" t="n"/>
      <c r="D3105" s="4561" t="n"/>
      <c r="E3105" s="4561" t="n"/>
      <c r="F3105" s="4561" t="n"/>
      <c r="G3105" s="4561" t="n"/>
      <c r="H3105" s="4561" t="n"/>
      <c r="I3105" s="4562">
        <f>XLOOKUP(B3105,'_Sys|Line_Map'!$A:$A,'_Sys|Line_Map'!$C:$C,"MISSING",0)</f>
        <v/>
      </c>
      <c r="J3105" s="4562">
        <f>XLOOKUP(B3105,'_Sys|Line_Map'!$A:$A,'_Sys|Line_Map'!$D:$D,1,0)</f>
        <v/>
      </c>
      <c r="K3105" s="4562">
        <f>IF(D3105="","",D3105*J3105)</f>
        <v/>
      </c>
      <c r="L3105" s="4562">
        <f>XLOOKUP(B3105,'_Sys|Line_Map'!$A:$A,'_Sys|Line_Map'!$B:$B,"MISSING",0)</f>
        <v/>
      </c>
    </row>
    <row r="3106">
      <c r="A3106" s="4561" t="n"/>
      <c r="B3106" s="4561" t="n"/>
      <c r="C3106" s="4561" t="n"/>
      <c r="D3106" s="4561" t="n"/>
      <c r="E3106" s="4561" t="n"/>
      <c r="F3106" s="4561" t="n"/>
      <c r="G3106" s="4561" t="n"/>
      <c r="H3106" s="4561" t="n"/>
      <c r="I3106" s="4562">
        <f>XLOOKUP(B3106,'_Sys|Line_Map'!$A:$A,'_Sys|Line_Map'!$C:$C,"MISSING",0)</f>
        <v/>
      </c>
      <c r="J3106" s="4562">
        <f>XLOOKUP(B3106,'_Sys|Line_Map'!$A:$A,'_Sys|Line_Map'!$D:$D,1,0)</f>
        <v/>
      </c>
      <c r="K3106" s="4562">
        <f>IF(D3106="","",D3106*J3106)</f>
        <v/>
      </c>
      <c r="L3106" s="4562">
        <f>XLOOKUP(B3106,'_Sys|Line_Map'!$A:$A,'_Sys|Line_Map'!$B:$B,"MISSING",0)</f>
        <v/>
      </c>
    </row>
    <row r="3107">
      <c r="A3107" s="4561" t="n"/>
      <c r="B3107" s="4561" t="n"/>
      <c r="C3107" s="4561" t="n"/>
      <c r="D3107" s="4561" t="n"/>
      <c r="E3107" s="4561" t="n"/>
      <c r="F3107" s="4561" t="n"/>
      <c r="G3107" s="4561" t="n"/>
      <c r="H3107" s="4561" t="n"/>
      <c r="I3107" s="4562">
        <f>XLOOKUP(B3107,'_Sys|Line_Map'!$A:$A,'_Sys|Line_Map'!$C:$C,"MISSING",0)</f>
        <v/>
      </c>
      <c r="J3107" s="4562">
        <f>XLOOKUP(B3107,'_Sys|Line_Map'!$A:$A,'_Sys|Line_Map'!$D:$D,1,0)</f>
        <v/>
      </c>
      <c r="K3107" s="4562">
        <f>IF(D3107="","",D3107*J3107)</f>
        <v/>
      </c>
      <c r="L3107" s="4562">
        <f>XLOOKUP(B3107,'_Sys|Line_Map'!$A:$A,'_Sys|Line_Map'!$B:$B,"MISSING",0)</f>
        <v/>
      </c>
    </row>
    <row r="3108">
      <c r="A3108" s="4561" t="n"/>
      <c r="B3108" s="4561" t="n"/>
      <c r="C3108" s="4561" t="n"/>
      <c r="D3108" s="4561" t="n"/>
      <c r="E3108" s="4561" t="n"/>
      <c r="F3108" s="4561" t="n"/>
      <c r="G3108" s="4561" t="n"/>
      <c r="H3108" s="4561" t="n"/>
      <c r="I3108" s="4562">
        <f>XLOOKUP(B3108,'_Sys|Line_Map'!$A:$A,'_Sys|Line_Map'!$C:$C,"MISSING",0)</f>
        <v/>
      </c>
      <c r="J3108" s="4562">
        <f>XLOOKUP(B3108,'_Sys|Line_Map'!$A:$A,'_Sys|Line_Map'!$D:$D,1,0)</f>
        <v/>
      </c>
      <c r="K3108" s="4562">
        <f>IF(D3108="","",D3108*J3108)</f>
        <v/>
      </c>
      <c r="L3108" s="4562">
        <f>XLOOKUP(B3108,'_Sys|Line_Map'!$A:$A,'_Sys|Line_Map'!$B:$B,"MISSING",0)</f>
        <v/>
      </c>
    </row>
    <row r="3109">
      <c r="A3109" s="4561" t="n"/>
      <c r="B3109" s="4561" t="n"/>
      <c r="C3109" s="4561" t="n"/>
      <c r="D3109" s="4561" t="n"/>
      <c r="E3109" s="4561" t="n"/>
      <c r="F3109" s="4561" t="n"/>
      <c r="G3109" s="4561" t="n"/>
      <c r="H3109" s="4561" t="n"/>
      <c r="I3109" s="4562">
        <f>XLOOKUP(B3109,'_Sys|Line_Map'!$A:$A,'_Sys|Line_Map'!$C:$C,"MISSING",0)</f>
        <v/>
      </c>
      <c r="J3109" s="4562">
        <f>XLOOKUP(B3109,'_Sys|Line_Map'!$A:$A,'_Sys|Line_Map'!$D:$D,1,0)</f>
        <v/>
      </c>
      <c r="K3109" s="4562">
        <f>IF(D3109="","",D3109*J3109)</f>
        <v/>
      </c>
      <c r="L3109" s="4562">
        <f>XLOOKUP(B3109,'_Sys|Line_Map'!$A:$A,'_Sys|Line_Map'!$B:$B,"MISSING",0)</f>
        <v/>
      </c>
    </row>
    <row r="3110">
      <c r="A3110" s="4561" t="n"/>
      <c r="B3110" s="4561" t="n"/>
      <c r="C3110" s="4561" t="n"/>
      <c r="D3110" s="4561" t="n"/>
      <c r="E3110" s="4561" t="n"/>
      <c r="F3110" s="4561" t="n"/>
      <c r="G3110" s="4561" t="n"/>
      <c r="H3110" s="4561" t="n"/>
      <c r="I3110" s="4562">
        <f>XLOOKUP(B3110,'_Sys|Line_Map'!$A:$A,'_Sys|Line_Map'!$C:$C,"MISSING",0)</f>
        <v/>
      </c>
      <c r="J3110" s="4562">
        <f>XLOOKUP(B3110,'_Sys|Line_Map'!$A:$A,'_Sys|Line_Map'!$D:$D,1,0)</f>
        <v/>
      </c>
      <c r="K3110" s="4562">
        <f>IF(D3110="","",D3110*J3110)</f>
        <v/>
      </c>
      <c r="L3110" s="4562">
        <f>XLOOKUP(B3110,'_Sys|Line_Map'!$A:$A,'_Sys|Line_Map'!$B:$B,"MISSING",0)</f>
        <v/>
      </c>
    </row>
    <row r="3111">
      <c r="A3111" s="4561" t="n"/>
      <c r="B3111" s="4561" t="n"/>
      <c r="C3111" s="4561" t="n"/>
      <c r="D3111" s="4561" t="n"/>
      <c r="E3111" s="4561" t="n"/>
      <c r="F3111" s="4561" t="n"/>
      <c r="G3111" s="4561" t="n"/>
      <c r="H3111" s="4561" t="n"/>
      <c r="I3111" s="4562">
        <f>XLOOKUP(B3111,'_Sys|Line_Map'!$A:$A,'_Sys|Line_Map'!$C:$C,"MISSING",0)</f>
        <v/>
      </c>
      <c r="J3111" s="4562">
        <f>XLOOKUP(B3111,'_Sys|Line_Map'!$A:$A,'_Sys|Line_Map'!$D:$D,1,0)</f>
        <v/>
      </c>
      <c r="K3111" s="4562">
        <f>IF(D3111="","",D3111*J3111)</f>
        <v/>
      </c>
      <c r="L3111" s="4562">
        <f>XLOOKUP(B3111,'_Sys|Line_Map'!$A:$A,'_Sys|Line_Map'!$B:$B,"MISSING",0)</f>
        <v/>
      </c>
    </row>
    <row r="3112">
      <c r="A3112" s="4561" t="n"/>
      <c r="B3112" s="4561" t="n"/>
      <c r="C3112" s="4561" t="n"/>
      <c r="D3112" s="4561" t="n"/>
      <c r="E3112" s="4561" t="n"/>
      <c r="F3112" s="4561" t="n"/>
      <c r="G3112" s="4561" t="n"/>
      <c r="H3112" s="4561" t="n"/>
      <c r="I3112" s="4562">
        <f>XLOOKUP(B3112,'_Sys|Line_Map'!$A:$A,'_Sys|Line_Map'!$C:$C,"MISSING",0)</f>
        <v/>
      </c>
      <c r="J3112" s="4562">
        <f>XLOOKUP(B3112,'_Sys|Line_Map'!$A:$A,'_Sys|Line_Map'!$D:$D,1,0)</f>
        <v/>
      </c>
      <c r="K3112" s="4562">
        <f>IF(D3112="","",D3112*J3112)</f>
        <v/>
      </c>
      <c r="L3112" s="4562">
        <f>XLOOKUP(B3112,'_Sys|Line_Map'!$A:$A,'_Sys|Line_Map'!$B:$B,"MISSING",0)</f>
        <v/>
      </c>
    </row>
    <row r="3113">
      <c r="A3113" s="4561" t="n"/>
      <c r="B3113" s="4561" t="n"/>
      <c r="C3113" s="4561" t="n"/>
      <c r="D3113" s="4561" t="n"/>
      <c r="E3113" s="4561" t="n"/>
      <c r="F3113" s="4561" t="n"/>
      <c r="G3113" s="4561" t="n"/>
      <c r="H3113" s="4561" t="n"/>
      <c r="I3113" s="4562">
        <f>XLOOKUP(B3113,'_Sys|Line_Map'!$A:$A,'_Sys|Line_Map'!$C:$C,"MISSING",0)</f>
        <v/>
      </c>
      <c r="J3113" s="4562">
        <f>XLOOKUP(B3113,'_Sys|Line_Map'!$A:$A,'_Sys|Line_Map'!$D:$D,1,0)</f>
        <v/>
      </c>
      <c r="K3113" s="4562">
        <f>IF(D3113="","",D3113*J3113)</f>
        <v/>
      </c>
      <c r="L3113" s="4562">
        <f>XLOOKUP(B3113,'_Sys|Line_Map'!$A:$A,'_Sys|Line_Map'!$B:$B,"MISSING",0)</f>
        <v/>
      </c>
    </row>
    <row r="3114">
      <c r="A3114" s="4561" t="n"/>
      <c r="B3114" s="4561" t="n"/>
      <c r="C3114" s="4561" t="n"/>
      <c r="D3114" s="4561" t="n"/>
      <c r="E3114" s="4561" t="n"/>
      <c r="F3114" s="4561" t="n"/>
      <c r="G3114" s="4561" t="n"/>
      <c r="H3114" s="4561" t="n"/>
      <c r="I3114" s="4562">
        <f>XLOOKUP(B3114,'_Sys|Line_Map'!$A:$A,'_Sys|Line_Map'!$C:$C,"MISSING",0)</f>
        <v/>
      </c>
      <c r="J3114" s="4562">
        <f>XLOOKUP(B3114,'_Sys|Line_Map'!$A:$A,'_Sys|Line_Map'!$D:$D,1,0)</f>
        <v/>
      </c>
      <c r="K3114" s="4562">
        <f>IF(D3114="","",D3114*J3114)</f>
        <v/>
      </c>
      <c r="L3114" s="4562">
        <f>XLOOKUP(B3114,'_Sys|Line_Map'!$A:$A,'_Sys|Line_Map'!$B:$B,"MISSING",0)</f>
        <v/>
      </c>
    </row>
    <row r="3115">
      <c r="A3115" s="4561" t="n"/>
      <c r="B3115" s="4561" t="n"/>
      <c r="C3115" s="4561" t="n"/>
      <c r="D3115" s="4561" t="n"/>
      <c r="E3115" s="4561" t="n"/>
      <c r="F3115" s="4561" t="n"/>
      <c r="G3115" s="4561" t="n"/>
      <c r="H3115" s="4561" t="n"/>
      <c r="I3115" s="4562">
        <f>XLOOKUP(B3115,'_Sys|Line_Map'!$A:$A,'_Sys|Line_Map'!$C:$C,"MISSING",0)</f>
        <v/>
      </c>
      <c r="J3115" s="4562">
        <f>XLOOKUP(B3115,'_Sys|Line_Map'!$A:$A,'_Sys|Line_Map'!$D:$D,1,0)</f>
        <v/>
      </c>
      <c r="K3115" s="4562">
        <f>IF(D3115="","",D3115*J3115)</f>
        <v/>
      </c>
      <c r="L3115" s="4562">
        <f>XLOOKUP(B3115,'_Sys|Line_Map'!$A:$A,'_Sys|Line_Map'!$B:$B,"MISSING",0)</f>
        <v/>
      </c>
    </row>
    <row r="3116">
      <c r="A3116" s="4561" t="n"/>
      <c r="B3116" s="4561" t="n"/>
      <c r="C3116" s="4561" t="n"/>
      <c r="D3116" s="4561" t="n"/>
      <c r="E3116" s="4561" t="n"/>
      <c r="F3116" s="4561" t="n"/>
      <c r="G3116" s="4561" t="n"/>
      <c r="H3116" s="4561" t="n"/>
      <c r="I3116" s="4562">
        <f>XLOOKUP(B3116,'_Sys|Line_Map'!$A:$A,'_Sys|Line_Map'!$C:$C,"MISSING",0)</f>
        <v/>
      </c>
      <c r="J3116" s="4562">
        <f>XLOOKUP(B3116,'_Sys|Line_Map'!$A:$A,'_Sys|Line_Map'!$D:$D,1,0)</f>
        <v/>
      </c>
      <c r="K3116" s="4562">
        <f>IF(D3116="","",D3116*J3116)</f>
        <v/>
      </c>
      <c r="L3116" s="4562">
        <f>XLOOKUP(B3116,'_Sys|Line_Map'!$A:$A,'_Sys|Line_Map'!$B:$B,"MISSING",0)</f>
        <v/>
      </c>
    </row>
    <row r="3117">
      <c r="A3117" s="4561" t="n"/>
      <c r="B3117" s="4561" t="n"/>
      <c r="C3117" s="4561" t="n"/>
      <c r="D3117" s="4561" t="n"/>
      <c r="E3117" s="4561" t="n"/>
      <c r="F3117" s="4561" t="n"/>
      <c r="G3117" s="4561" t="n"/>
      <c r="H3117" s="4561" t="n"/>
      <c r="I3117" s="4562">
        <f>XLOOKUP(B3117,'_Sys|Line_Map'!$A:$A,'_Sys|Line_Map'!$C:$C,"MISSING",0)</f>
        <v/>
      </c>
      <c r="J3117" s="4562">
        <f>XLOOKUP(B3117,'_Sys|Line_Map'!$A:$A,'_Sys|Line_Map'!$D:$D,1,0)</f>
        <v/>
      </c>
      <c r="K3117" s="4562">
        <f>IF(D3117="","",D3117*J3117)</f>
        <v/>
      </c>
      <c r="L3117" s="4562">
        <f>XLOOKUP(B3117,'_Sys|Line_Map'!$A:$A,'_Sys|Line_Map'!$B:$B,"MISSING",0)</f>
        <v/>
      </c>
    </row>
    <row r="3118">
      <c r="A3118" s="4561" t="n"/>
      <c r="B3118" s="4561" t="n"/>
      <c r="C3118" s="4561" t="n"/>
      <c r="D3118" s="4561" t="n"/>
      <c r="E3118" s="4561" t="n"/>
      <c r="F3118" s="4561" t="n"/>
      <c r="G3118" s="4561" t="n"/>
      <c r="H3118" s="4561" t="n"/>
      <c r="I3118" s="4562">
        <f>XLOOKUP(B3118,'_Sys|Line_Map'!$A:$A,'_Sys|Line_Map'!$C:$C,"MISSING",0)</f>
        <v/>
      </c>
      <c r="J3118" s="4562">
        <f>XLOOKUP(B3118,'_Sys|Line_Map'!$A:$A,'_Sys|Line_Map'!$D:$D,1,0)</f>
        <v/>
      </c>
      <c r="K3118" s="4562">
        <f>IF(D3118="","",D3118*J3118)</f>
        <v/>
      </c>
      <c r="L3118" s="4562">
        <f>XLOOKUP(B3118,'_Sys|Line_Map'!$A:$A,'_Sys|Line_Map'!$B:$B,"MISSING",0)</f>
        <v/>
      </c>
    </row>
    <row r="3119">
      <c r="A3119" s="4561" t="n"/>
      <c r="B3119" s="4561" t="n"/>
      <c r="C3119" s="4561" t="n"/>
      <c r="D3119" s="4561" t="n"/>
      <c r="E3119" s="4561" t="n"/>
      <c r="F3119" s="4561" t="n"/>
      <c r="G3119" s="4561" t="n"/>
      <c r="H3119" s="4561" t="n"/>
      <c r="I3119" s="4562">
        <f>XLOOKUP(B3119,'_Sys|Line_Map'!$A:$A,'_Sys|Line_Map'!$C:$C,"MISSING",0)</f>
        <v/>
      </c>
      <c r="J3119" s="4562">
        <f>XLOOKUP(B3119,'_Sys|Line_Map'!$A:$A,'_Sys|Line_Map'!$D:$D,1,0)</f>
        <v/>
      </c>
      <c r="K3119" s="4562">
        <f>IF(D3119="","",D3119*J3119)</f>
        <v/>
      </c>
      <c r="L3119" s="4562">
        <f>XLOOKUP(B3119,'_Sys|Line_Map'!$A:$A,'_Sys|Line_Map'!$B:$B,"MISSING",0)</f>
        <v/>
      </c>
    </row>
    <row r="3120">
      <c r="A3120" s="4561" t="n"/>
      <c r="B3120" s="4561" t="n"/>
      <c r="C3120" s="4561" t="n"/>
      <c r="D3120" s="4561" t="n"/>
      <c r="E3120" s="4561" t="n"/>
      <c r="F3120" s="4561" t="n"/>
      <c r="G3120" s="4561" t="n"/>
      <c r="H3120" s="4561" t="n"/>
      <c r="I3120" s="4562">
        <f>XLOOKUP(B3120,'_Sys|Line_Map'!$A:$A,'_Sys|Line_Map'!$C:$C,"MISSING",0)</f>
        <v/>
      </c>
      <c r="J3120" s="4562">
        <f>XLOOKUP(B3120,'_Sys|Line_Map'!$A:$A,'_Sys|Line_Map'!$D:$D,1,0)</f>
        <v/>
      </c>
      <c r="K3120" s="4562">
        <f>IF(D3120="","",D3120*J3120)</f>
        <v/>
      </c>
      <c r="L3120" s="4562">
        <f>XLOOKUP(B3120,'_Sys|Line_Map'!$A:$A,'_Sys|Line_Map'!$B:$B,"MISSING",0)</f>
        <v/>
      </c>
    </row>
    <row r="3121">
      <c r="A3121" s="4561" t="n"/>
      <c r="B3121" s="4561" t="n"/>
      <c r="C3121" s="4561" t="n"/>
      <c r="D3121" s="4561" t="n"/>
      <c r="E3121" s="4561" t="n"/>
      <c r="F3121" s="4561" t="n"/>
      <c r="G3121" s="4561" t="n"/>
      <c r="H3121" s="4561" t="n"/>
      <c r="I3121" s="4562">
        <f>XLOOKUP(B3121,'_Sys|Line_Map'!$A:$A,'_Sys|Line_Map'!$C:$C,"MISSING",0)</f>
        <v/>
      </c>
      <c r="J3121" s="4562">
        <f>XLOOKUP(B3121,'_Sys|Line_Map'!$A:$A,'_Sys|Line_Map'!$D:$D,1,0)</f>
        <v/>
      </c>
      <c r="K3121" s="4562">
        <f>IF(D3121="","",D3121*J3121)</f>
        <v/>
      </c>
      <c r="L3121" s="4562">
        <f>XLOOKUP(B3121,'_Sys|Line_Map'!$A:$A,'_Sys|Line_Map'!$B:$B,"MISSING",0)</f>
        <v/>
      </c>
    </row>
    <row r="3122">
      <c r="A3122" s="4561" t="n"/>
      <c r="B3122" s="4561" t="n"/>
      <c r="C3122" s="4561" t="n"/>
      <c r="D3122" s="4561" t="n"/>
      <c r="E3122" s="4561" t="n"/>
      <c r="F3122" s="4561" t="n"/>
      <c r="G3122" s="4561" t="n"/>
      <c r="H3122" s="4561" t="n"/>
      <c r="I3122" s="4562">
        <f>XLOOKUP(B3122,'_Sys|Line_Map'!$A:$A,'_Sys|Line_Map'!$C:$C,"MISSING",0)</f>
        <v/>
      </c>
      <c r="J3122" s="4562">
        <f>XLOOKUP(B3122,'_Sys|Line_Map'!$A:$A,'_Sys|Line_Map'!$D:$D,1,0)</f>
        <v/>
      </c>
      <c r="K3122" s="4562">
        <f>IF(D3122="","",D3122*J3122)</f>
        <v/>
      </c>
      <c r="L3122" s="4562">
        <f>XLOOKUP(B3122,'_Sys|Line_Map'!$A:$A,'_Sys|Line_Map'!$B:$B,"MISSING",0)</f>
        <v/>
      </c>
    </row>
    <row r="3123">
      <c r="A3123" s="4561" t="n"/>
      <c r="B3123" s="4561" t="n"/>
      <c r="C3123" s="4561" t="n"/>
      <c r="D3123" s="4561" t="n"/>
      <c r="E3123" s="4561" t="n"/>
      <c r="F3123" s="4561" t="n"/>
      <c r="G3123" s="4561" t="n"/>
      <c r="H3123" s="4561" t="n"/>
      <c r="I3123" s="4562">
        <f>XLOOKUP(B3123,'_Sys|Line_Map'!$A:$A,'_Sys|Line_Map'!$C:$C,"MISSING",0)</f>
        <v/>
      </c>
      <c r="J3123" s="4562">
        <f>XLOOKUP(B3123,'_Sys|Line_Map'!$A:$A,'_Sys|Line_Map'!$D:$D,1,0)</f>
        <v/>
      </c>
      <c r="K3123" s="4562">
        <f>IF(D3123="","",D3123*J3123)</f>
        <v/>
      </c>
      <c r="L3123" s="4562">
        <f>XLOOKUP(B3123,'_Sys|Line_Map'!$A:$A,'_Sys|Line_Map'!$B:$B,"MISSING",0)</f>
        <v/>
      </c>
    </row>
    <row r="3124">
      <c r="A3124" s="4561" t="n"/>
      <c r="B3124" s="4561" t="n"/>
      <c r="C3124" s="4561" t="n"/>
      <c r="D3124" s="4561" t="n"/>
      <c r="E3124" s="4561" t="n"/>
      <c r="F3124" s="4561" t="n"/>
      <c r="G3124" s="4561" t="n"/>
      <c r="H3124" s="4561" t="n"/>
      <c r="I3124" s="4562">
        <f>XLOOKUP(B3124,'_Sys|Line_Map'!$A:$A,'_Sys|Line_Map'!$C:$C,"MISSING",0)</f>
        <v/>
      </c>
      <c r="J3124" s="4562">
        <f>XLOOKUP(B3124,'_Sys|Line_Map'!$A:$A,'_Sys|Line_Map'!$D:$D,1,0)</f>
        <v/>
      </c>
      <c r="K3124" s="4562">
        <f>IF(D3124="","",D3124*J3124)</f>
        <v/>
      </c>
      <c r="L3124" s="4562">
        <f>XLOOKUP(B3124,'_Sys|Line_Map'!$A:$A,'_Sys|Line_Map'!$B:$B,"MISSING",0)</f>
        <v/>
      </c>
    </row>
    <row r="3125">
      <c r="A3125" s="4561" t="n"/>
      <c r="B3125" s="4561" t="n"/>
      <c r="C3125" s="4561" t="n"/>
      <c r="D3125" s="4561" t="n"/>
      <c r="E3125" s="4561" t="n"/>
      <c r="F3125" s="4561" t="n"/>
      <c r="G3125" s="4561" t="n"/>
      <c r="H3125" s="4561" t="n"/>
      <c r="I3125" s="4562">
        <f>XLOOKUP(B3125,'_Sys|Line_Map'!$A:$A,'_Sys|Line_Map'!$C:$C,"MISSING",0)</f>
        <v/>
      </c>
      <c r="J3125" s="4562">
        <f>XLOOKUP(B3125,'_Sys|Line_Map'!$A:$A,'_Sys|Line_Map'!$D:$D,1,0)</f>
        <v/>
      </c>
      <c r="K3125" s="4562">
        <f>IF(D3125="","",D3125*J3125)</f>
        <v/>
      </c>
      <c r="L3125" s="4562">
        <f>XLOOKUP(B3125,'_Sys|Line_Map'!$A:$A,'_Sys|Line_Map'!$B:$B,"MISSING",0)</f>
        <v/>
      </c>
    </row>
    <row r="3126">
      <c r="A3126" s="4561" t="n"/>
      <c r="B3126" s="4561" t="n"/>
      <c r="C3126" s="4561" t="n"/>
      <c r="D3126" s="4561" t="n"/>
      <c r="E3126" s="4561" t="n"/>
      <c r="F3126" s="4561" t="n"/>
      <c r="G3126" s="4561" t="n"/>
      <c r="H3126" s="4561" t="n"/>
      <c r="I3126" s="4562">
        <f>XLOOKUP(B3126,'_Sys|Line_Map'!$A:$A,'_Sys|Line_Map'!$C:$C,"MISSING",0)</f>
        <v/>
      </c>
      <c r="J3126" s="4562">
        <f>XLOOKUP(B3126,'_Sys|Line_Map'!$A:$A,'_Sys|Line_Map'!$D:$D,1,0)</f>
        <v/>
      </c>
      <c r="K3126" s="4562">
        <f>IF(D3126="","",D3126*J3126)</f>
        <v/>
      </c>
      <c r="L3126" s="4562">
        <f>XLOOKUP(B3126,'_Sys|Line_Map'!$A:$A,'_Sys|Line_Map'!$B:$B,"MISSING",0)</f>
        <v/>
      </c>
    </row>
    <row r="3127">
      <c r="A3127" s="4561" t="n"/>
      <c r="B3127" s="4561" t="n"/>
      <c r="C3127" s="4561" t="n"/>
      <c r="D3127" s="4561" t="n"/>
      <c r="E3127" s="4561" t="n"/>
      <c r="F3127" s="4561" t="n"/>
      <c r="G3127" s="4561" t="n"/>
      <c r="H3127" s="4561" t="n"/>
      <c r="I3127" s="4562">
        <f>XLOOKUP(B3127,'_Sys|Line_Map'!$A:$A,'_Sys|Line_Map'!$C:$C,"MISSING",0)</f>
        <v/>
      </c>
      <c r="J3127" s="4562">
        <f>XLOOKUP(B3127,'_Sys|Line_Map'!$A:$A,'_Sys|Line_Map'!$D:$D,1,0)</f>
        <v/>
      </c>
      <c r="K3127" s="4562">
        <f>IF(D3127="","",D3127*J3127)</f>
        <v/>
      </c>
      <c r="L3127" s="4562">
        <f>XLOOKUP(B3127,'_Sys|Line_Map'!$A:$A,'_Sys|Line_Map'!$B:$B,"MISSING",0)</f>
        <v/>
      </c>
    </row>
    <row r="3128">
      <c r="A3128" s="4561" t="n"/>
      <c r="B3128" s="4561" t="n"/>
      <c r="C3128" s="4561" t="n"/>
      <c r="D3128" s="4561" t="n"/>
      <c r="E3128" s="4561" t="n"/>
      <c r="F3128" s="4561" t="n"/>
      <c r="G3128" s="4561" t="n"/>
      <c r="H3128" s="4561" t="n"/>
      <c r="I3128" s="4562">
        <f>XLOOKUP(B3128,'_Sys|Line_Map'!$A:$A,'_Sys|Line_Map'!$C:$C,"MISSING",0)</f>
        <v/>
      </c>
      <c r="J3128" s="4562">
        <f>XLOOKUP(B3128,'_Sys|Line_Map'!$A:$A,'_Sys|Line_Map'!$D:$D,1,0)</f>
        <v/>
      </c>
      <c r="K3128" s="4562">
        <f>IF(D3128="","",D3128*J3128)</f>
        <v/>
      </c>
      <c r="L3128" s="4562">
        <f>XLOOKUP(B3128,'_Sys|Line_Map'!$A:$A,'_Sys|Line_Map'!$B:$B,"MISSING",0)</f>
        <v/>
      </c>
    </row>
    <row r="3129">
      <c r="A3129" s="4561" t="n"/>
      <c r="B3129" s="4561" t="n"/>
      <c r="C3129" s="4561" t="n"/>
      <c r="D3129" s="4561" t="n"/>
      <c r="E3129" s="4561" t="n"/>
      <c r="F3129" s="4561" t="n"/>
      <c r="G3129" s="4561" t="n"/>
      <c r="H3129" s="4561" t="n"/>
      <c r="I3129" s="4562">
        <f>XLOOKUP(B3129,'_Sys|Line_Map'!$A:$A,'_Sys|Line_Map'!$C:$C,"MISSING",0)</f>
        <v/>
      </c>
      <c r="J3129" s="4562">
        <f>XLOOKUP(B3129,'_Sys|Line_Map'!$A:$A,'_Sys|Line_Map'!$D:$D,1,0)</f>
        <v/>
      </c>
      <c r="K3129" s="4562">
        <f>IF(D3129="","",D3129*J3129)</f>
        <v/>
      </c>
      <c r="L3129" s="4562">
        <f>XLOOKUP(B3129,'_Sys|Line_Map'!$A:$A,'_Sys|Line_Map'!$B:$B,"MISSING",0)</f>
        <v/>
      </c>
    </row>
    <row r="3130">
      <c r="A3130" s="4561" t="n"/>
      <c r="B3130" s="4561" t="n"/>
      <c r="C3130" s="4561" t="n"/>
      <c r="D3130" s="4561" t="n"/>
      <c r="E3130" s="4561" t="n"/>
      <c r="F3130" s="4561" t="n"/>
      <c r="G3130" s="4561" t="n"/>
      <c r="H3130" s="4561" t="n"/>
      <c r="I3130" s="4562">
        <f>XLOOKUP(B3130,'_Sys|Line_Map'!$A:$A,'_Sys|Line_Map'!$C:$C,"MISSING",0)</f>
        <v/>
      </c>
      <c r="J3130" s="4562">
        <f>XLOOKUP(B3130,'_Sys|Line_Map'!$A:$A,'_Sys|Line_Map'!$D:$D,1,0)</f>
        <v/>
      </c>
      <c r="K3130" s="4562">
        <f>IF(D3130="","",D3130*J3130)</f>
        <v/>
      </c>
      <c r="L3130" s="4562">
        <f>XLOOKUP(B3130,'_Sys|Line_Map'!$A:$A,'_Sys|Line_Map'!$B:$B,"MISSING",0)</f>
        <v/>
      </c>
    </row>
    <row r="3131">
      <c r="A3131" s="4561" t="n"/>
      <c r="B3131" s="4561" t="n"/>
      <c r="C3131" s="4561" t="n"/>
      <c r="D3131" s="4561" t="n"/>
      <c r="E3131" s="4561" t="n"/>
      <c r="F3131" s="4561" t="n"/>
      <c r="G3131" s="4561" t="n"/>
      <c r="H3131" s="4561" t="n"/>
      <c r="I3131" s="4562">
        <f>XLOOKUP(B3131,'_Sys|Line_Map'!$A:$A,'_Sys|Line_Map'!$C:$C,"MISSING",0)</f>
        <v/>
      </c>
      <c r="J3131" s="4562">
        <f>XLOOKUP(B3131,'_Sys|Line_Map'!$A:$A,'_Sys|Line_Map'!$D:$D,1,0)</f>
        <v/>
      </c>
      <c r="K3131" s="4562">
        <f>IF(D3131="","",D3131*J3131)</f>
        <v/>
      </c>
      <c r="L3131" s="4562">
        <f>XLOOKUP(B3131,'_Sys|Line_Map'!$A:$A,'_Sys|Line_Map'!$B:$B,"MISSING",0)</f>
        <v/>
      </c>
    </row>
    <row r="3132">
      <c r="A3132" s="4561" t="n"/>
      <c r="B3132" s="4561" t="n"/>
      <c r="C3132" s="4561" t="n"/>
      <c r="D3132" s="4561" t="n"/>
      <c r="E3132" s="4561" t="n"/>
      <c r="F3132" s="4561" t="n"/>
      <c r="G3132" s="4561" t="n"/>
      <c r="H3132" s="4561" t="n"/>
      <c r="I3132" s="4562">
        <f>XLOOKUP(B3132,'_Sys|Line_Map'!$A:$A,'_Sys|Line_Map'!$C:$C,"MISSING",0)</f>
        <v/>
      </c>
      <c r="J3132" s="4562">
        <f>XLOOKUP(B3132,'_Sys|Line_Map'!$A:$A,'_Sys|Line_Map'!$D:$D,1,0)</f>
        <v/>
      </c>
      <c r="K3132" s="4562">
        <f>IF(D3132="","",D3132*J3132)</f>
        <v/>
      </c>
      <c r="L3132" s="4562">
        <f>XLOOKUP(B3132,'_Sys|Line_Map'!$A:$A,'_Sys|Line_Map'!$B:$B,"MISSING",0)</f>
        <v/>
      </c>
    </row>
    <row r="3133">
      <c r="A3133" s="4561" t="n"/>
      <c r="B3133" s="4561" t="n"/>
      <c r="C3133" s="4561" t="n"/>
      <c r="D3133" s="4561" t="n"/>
      <c r="E3133" s="4561" t="n"/>
      <c r="F3133" s="4561" t="n"/>
      <c r="G3133" s="4561" t="n"/>
      <c r="H3133" s="4561" t="n"/>
      <c r="I3133" s="4562">
        <f>XLOOKUP(B3133,'_Sys|Line_Map'!$A:$A,'_Sys|Line_Map'!$C:$C,"MISSING",0)</f>
        <v/>
      </c>
      <c r="J3133" s="4562">
        <f>XLOOKUP(B3133,'_Sys|Line_Map'!$A:$A,'_Sys|Line_Map'!$D:$D,1,0)</f>
        <v/>
      </c>
      <c r="K3133" s="4562">
        <f>IF(D3133="","",D3133*J3133)</f>
        <v/>
      </c>
      <c r="L3133" s="4562">
        <f>XLOOKUP(B3133,'_Sys|Line_Map'!$A:$A,'_Sys|Line_Map'!$B:$B,"MISSING",0)</f>
        <v/>
      </c>
    </row>
    <row r="3134">
      <c r="A3134" s="4561" t="n"/>
      <c r="B3134" s="4561" t="n"/>
      <c r="C3134" s="4561" t="n"/>
      <c r="D3134" s="4561" t="n"/>
      <c r="E3134" s="4561" t="n"/>
      <c r="F3134" s="4561" t="n"/>
      <c r="G3134" s="4561" t="n"/>
      <c r="H3134" s="4561" t="n"/>
      <c r="I3134" s="4562">
        <f>XLOOKUP(B3134,'_Sys|Line_Map'!$A:$A,'_Sys|Line_Map'!$C:$C,"MISSING",0)</f>
        <v/>
      </c>
      <c r="J3134" s="4562">
        <f>XLOOKUP(B3134,'_Sys|Line_Map'!$A:$A,'_Sys|Line_Map'!$D:$D,1,0)</f>
        <v/>
      </c>
      <c r="K3134" s="4562">
        <f>IF(D3134="","",D3134*J3134)</f>
        <v/>
      </c>
      <c r="L3134" s="4562">
        <f>XLOOKUP(B3134,'_Sys|Line_Map'!$A:$A,'_Sys|Line_Map'!$B:$B,"MISSING",0)</f>
        <v/>
      </c>
    </row>
    <row r="3135">
      <c r="A3135" s="4561" t="n"/>
      <c r="B3135" s="4561" t="n"/>
      <c r="C3135" s="4561" t="n"/>
      <c r="D3135" s="4561" t="n"/>
      <c r="E3135" s="4561" t="n"/>
      <c r="F3135" s="4561" t="n"/>
      <c r="G3135" s="4561" t="n"/>
      <c r="H3135" s="4561" t="n"/>
      <c r="I3135" s="4562">
        <f>XLOOKUP(B3135,'_Sys|Line_Map'!$A:$A,'_Sys|Line_Map'!$C:$C,"MISSING",0)</f>
        <v/>
      </c>
      <c r="J3135" s="4562">
        <f>XLOOKUP(B3135,'_Sys|Line_Map'!$A:$A,'_Sys|Line_Map'!$D:$D,1,0)</f>
        <v/>
      </c>
      <c r="K3135" s="4562">
        <f>IF(D3135="","",D3135*J3135)</f>
        <v/>
      </c>
      <c r="L3135" s="4562">
        <f>XLOOKUP(B3135,'_Sys|Line_Map'!$A:$A,'_Sys|Line_Map'!$B:$B,"MISSING",0)</f>
        <v/>
      </c>
    </row>
    <row r="3136">
      <c r="A3136" s="4561" t="n"/>
      <c r="B3136" s="4561" t="n"/>
      <c r="C3136" s="4561" t="n"/>
      <c r="D3136" s="4561" t="n"/>
      <c r="E3136" s="4561" t="n"/>
      <c r="F3136" s="4561" t="n"/>
      <c r="G3136" s="4561" t="n"/>
      <c r="H3136" s="4561" t="n"/>
      <c r="I3136" s="4562">
        <f>XLOOKUP(B3136,'_Sys|Line_Map'!$A:$A,'_Sys|Line_Map'!$C:$C,"MISSING",0)</f>
        <v/>
      </c>
      <c r="J3136" s="4562">
        <f>XLOOKUP(B3136,'_Sys|Line_Map'!$A:$A,'_Sys|Line_Map'!$D:$D,1,0)</f>
        <v/>
      </c>
      <c r="K3136" s="4562">
        <f>IF(D3136="","",D3136*J3136)</f>
        <v/>
      </c>
      <c r="L3136" s="4562">
        <f>XLOOKUP(B3136,'_Sys|Line_Map'!$A:$A,'_Sys|Line_Map'!$B:$B,"MISSING",0)</f>
        <v/>
      </c>
    </row>
    <row r="3137">
      <c r="A3137" s="4561" t="n"/>
      <c r="B3137" s="4561" t="n"/>
      <c r="C3137" s="4561" t="n"/>
      <c r="D3137" s="4561" t="n"/>
      <c r="E3137" s="4561" t="n"/>
      <c r="F3137" s="4561" t="n"/>
      <c r="G3137" s="4561" t="n"/>
      <c r="H3137" s="4561" t="n"/>
      <c r="I3137" s="4562">
        <f>XLOOKUP(B3137,'_Sys|Line_Map'!$A:$A,'_Sys|Line_Map'!$C:$C,"MISSING",0)</f>
        <v/>
      </c>
      <c r="J3137" s="4562">
        <f>XLOOKUP(B3137,'_Sys|Line_Map'!$A:$A,'_Sys|Line_Map'!$D:$D,1,0)</f>
        <v/>
      </c>
      <c r="K3137" s="4562">
        <f>IF(D3137="","",D3137*J3137)</f>
        <v/>
      </c>
      <c r="L3137" s="4562">
        <f>XLOOKUP(B3137,'_Sys|Line_Map'!$A:$A,'_Sys|Line_Map'!$B:$B,"MISSING",0)</f>
        <v/>
      </c>
    </row>
    <row r="3138">
      <c r="A3138" s="4561" t="n"/>
      <c r="B3138" s="4561" t="n"/>
      <c r="C3138" s="4561" t="n"/>
      <c r="D3138" s="4561" t="n"/>
      <c r="E3138" s="4561" t="n"/>
      <c r="F3138" s="4561" t="n"/>
      <c r="G3138" s="4561" t="n"/>
      <c r="H3138" s="4561" t="n"/>
      <c r="I3138" s="4562">
        <f>XLOOKUP(B3138,'_Sys|Line_Map'!$A:$A,'_Sys|Line_Map'!$C:$C,"MISSING",0)</f>
        <v/>
      </c>
      <c r="J3138" s="4562">
        <f>XLOOKUP(B3138,'_Sys|Line_Map'!$A:$A,'_Sys|Line_Map'!$D:$D,1,0)</f>
        <v/>
      </c>
      <c r="K3138" s="4562">
        <f>IF(D3138="","",D3138*J3138)</f>
        <v/>
      </c>
      <c r="L3138" s="4562">
        <f>XLOOKUP(B3138,'_Sys|Line_Map'!$A:$A,'_Sys|Line_Map'!$B:$B,"MISSING",0)</f>
        <v/>
      </c>
    </row>
    <row r="3139">
      <c r="A3139" s="4561" t="n"/>
      <c r="B3139" s="4561" t="n"/>
      <c r="C3139" s="4561" t="n"/>
      <c r="D3139" s="4561" t="n"/>
      <c r="E3139" s="4561" t="n"/>
      <c r="F3139" s="4561" t="n"/>
      <c r="G3139" s="4561" t="n"/>
      <c r="H3139" s="4561" t="n"/>
      <c r="I3139" s="4562">
        <f>XLOOKUP(B3139,'_Sys|Line_Map'!$A:$A,'_Sys|Line_Map'!$C:$C,"MISSING",0)</f>
        <v/>
      </c>
      <c r="J3139" s="4562">
        <f>XLOOKUP(B3139,'_Sys|Line_Map'!$A:$A,'_Sys|Line_Map'!$D:$D,1,0)</f>
        <v/>
      </c>
      <c r="K3139" s="4562">
        <f>IF(D3139="","",D3139*J3139)</f>
        <v/>
      </c>
      <c r="L3139" s="4562">
        <f>XLOOKUP(B3139,'_Sys|Line_Map'!$A:$A,'_Sys|Line_Map'!$B:$B,"MISSING",0)</f>
        <v/>
      </c>
    </row>
    <row r="3140">
      <c r="A3140" s="4561" t="n"/>
      <c r="B3140" s="4561" t="n"/>
      <c r="C3140" s="4561" t="n"/>
      <c r="D3140" s="4561" t="n"/>
      <c r="E3140" s="4561" t="n"/>
      <c r="F3140" s="4561" t="n"/>
      <c r="G3140" s="4561" t="n"/>
      <c r="H3140" s="4561" t="n"/>
      <c r="I3140" s="4562">
        <f>XLOOKUP(B3140,'_Sys|Line_Map'!$A:$A,'_Sys|Line_Map'!$C:$C,"MISSING",0)</f>
        <v/>
      </c>
      <c r="J3140" s="4562">
        <f>XLOOKUP(B3140,'_Sys|Line_Map'!$A:$A,'_Sys|Line_Map'!$D:$D,1,0)</f>
        <v/>
      </c>
      <c r="K3140" s="4562">
        <f>IF(D3140="","",D3140*J3140)</f>
        <v/>
      </c>
      <c r="L3140" s="4562">
        <f>XLOOKUP(B3140,'_Sys|Line_Map'!$A:$A,'_Sys|Line_Map'!$B:$B,"MISSING",0)</f>
        <v/>
      </c>
    </row>
    <row r="3141">
      <c r="A3141" s="4561" t="n"/>
      <c r="B3141" s="4561" t="n"/>
      <c r="C3141" s="4561" t="n"/>
      <c r="D3141" s="4561" t="n"/>
      <c r="E3141" s="4561" t="n"/>
      <c r="F3141" s="4561" t="n"/>
      <c r="G3141" s="4561" t="n"/>
      <c r="H3141" s="4561" t="n"/>
      <c r="I3141" s="4562">
        <f>XLOOKUP(B3141,'_Sys|Line_Map'!$A:$A,'_Sys|Line_Map'!$C:$C,"MISSING",0)</f>
        <v/>
      </c>
      <c r="J3141" s="4562">
        <f>XLOOKUP(B3141,'_Sys|Line_Map'!$A:$A,'_Sys|Line_Map'!$D:$D,1,0)</f>
        <v/>
      </c>
      <c r="K3141" s="4562">
        <f>IF(D3141="","",D3141*J3141)</f>
        <v/>
      </c>
      <c r="L3141" s="4562">
        <f>XLOOKUP(B3141,'_Sys|Line_Map'!$A:$A,'_Sys|Line_Map'!$B:$B,"MISSING",0)</f>
        <v/>
      </c>
    </row>
    <row r="3142">
      <c r="A3142" s="4561" t="n"/>
      <c r="B3142" s="4561" t="n"/>
      <c r="C3142" s="4561" t="n"/>
      <c r="D3142" s="4561" t="n"/>
      <c r="E3142" s="4561" t="n"/>
      <c r="F3142" s="4561" t="n"/>
      <c r="G3142" s="4561" t="n"/>
      <c r="H3142" s="4561" t="n"/>
      <c r="I3142" s="4562">
        <f>XLOOKUP(B3142,'_Sys|Line_Map'!$A:$A,'_Sys|Line_Map'!$C:$C,"MISSING",0)</f>
        <v/>
      </c>
      <c r="J3142" s="4562">
        <f>XLOOKUP(B3142,'_Sys|Line_Map'!$A:$A,'_Sys|Line_Map'!$D:$D,1,0)</f>
        <v/>
      </c>
      <c r="K3142" s="4562">
        <f>IF(D3142="","",D3142*J3142)</f>
        <v/>
      </c>
      <c r="L3142" s="4562">
        <f>XLOOKUP(B3142,'_Sys|Line_Map'!$A:$A,'_Sys|Line_Map'!$B:$B,"MISSING",0)</f>
        <v/>
      </c>
    </row>
    <row r="3143">
      <c r="A3143" s="4561" t="n"/>
      <c r="B3143" s="4561" t="n"/>
      <c r="C3143" s="4561" t="n"/>
      <c r="D3143" s="4561" t="n"/>
      <c r="E3143" s="4561" t="n"/>
      <c r="F3143" s="4561" t="n"/>
      <c r="G3143" s="4561" t="n"/>
      <c r="H3143" s="4561" t="n"/>
      <c r="I3143" s="4562">
        <f>XLOOKUP(B3143,'_Sys|Line_Map'!$A:$A,'_Sys|Line_Map'!$C:$C,"MISSING",0)</f>
        <v/>
      </c>
      <c r="J3143" s="4562">
        <f>XLOOKUP(B3143,'_Sys|Line_Map'!$A:$A,'_Sys|Line_Map'!$D:$D,1,0)</f>
        <v/>
      </c>
      <c r="K3143" s="4562">
        <f>IF(D3143="","",D3143*J3143)</f>
        <v/>
      </c>
      <c r="L3143" s="4562">
        <f>XLOOKUP(B3143,'_Sys|Line_Map'!$A:$A,'_Sys|Line_Map'!$B:$B,"MISSING",0)</f>
        <v/>
      </c>
    </row>
    <row r="3144">
      <c r="A3144" s="4561" t="n"/>
      <c r="B3144" s="4561" t="n"/>
      <c r="C3144" s="4561" t="n"/>
      <c r="D3144" s="4561" t="n"/>
      <c r="E3144" s="4561" t="n"/>
      <c r="F3144" s="4561" t="n"/>
      <c r="G3144" s="4561" t="n"/>
      <c r="H3144" s="4561" t="n"/>
      <c r="I3144" s="4562">
        <f>XLOOKUP(B3144,'_Sys|Line_Map'!$A:$A,'_Sys|Line_Map'!$C:$C,"MISSING",0)</f>
        <v/>
      </c>
      <c r="J3144" s="4562">
        <f>XLOOKUP(B3144,'_Sys|Line_Map'!$A:$A,'_Sys|Line_Map'!$D:$D,1,0)</f>
        <v/>
      </c>
      <c r="K3144" s="4562">
        <f>IF(D3144="","",D3144*J3144)</f>
        <v/>
      </c>
      <c r="L3144" s="4562">
        <f>XLOOKUP(B3144,'_Sys|Line_Map'!$A:$A,'_Sys|Line_Map'!$B:$B,"MISSING",0)</f>
        <v/>
      </c>
    </row>
    <row r="3145">
      <c r="A3145" s="4561" t="n"/>
      <c r="B3145" s="4561" t="n"/>
      <c r="C3145" s="4561" t="n"/>
      <c r="D3145" s="4561" t="n"/>
      <c r="E3145" s="4561" t="n"/>
      <c r="F3145" s="4561" t="n"/>
      <c r="G3145" s="4561" t="n"/>
      <c r="H3145" s="4561" t="n"/>
      <c r="I3145" s="4562">
        <f>XLOOKUP(B3145,'_Sys|Line_Map'!$A:$A,'_Sys|Line_Map'!$C:$C,"MISSING",0)</f>
        <v/>
      </c>
      <c r="J3145" s="4562">
        <f>XLOOKUP(B3145,'_Sys|Line_Map'!$A:$A,'_Sys|Line_Map'!$D:$D,1,0)</f>
        <v/>
      </c>
      <c r="K3145" s="4562">
        <f>IF(D3145="","",D3145*J3145)</f>
        <v/>
      </c>
      <c r="L3145" s="4562">
        <f>XLOOKUP(B3145,'_Sys|Line_Map'!$A:$A,'_Sys|Line_Map'!$B:$B,"MISSING",0)</f>
        <v/>
      </c>
    </row>
    <row r="3146">
      <c r="A3146" s="4561" t="n"/>
      <c r="B3146" s="4561" t="n"/>
      <c r="C3146" s="4561" t="n"/>
      <c r="D3146" s="4561" t="n"/>
      <c r="E3146" s="4561" t="n"/>
      <c r="F3146" s="4561" t="n"/>
      <c r="G3146" s="4561" t="n"/>
      <c r="H3146" s="4561" t="n"/>
      <c r="I3146" s="4562">
        <f>XLOOKUP(B3146,'_Sys|Line_Map'!$A:$A,'_Sys|Line_Map'!$C:$C,"MISSING",0)</f>
        <v/>
      </c>
      <c r="J3146" s="4562">
        <f>XLOOKUP(B3146,'_Sys|Line_Map'!$A:$A,'_Sys|Line_Map'!$D:$D,1,0)</f>
        <v/>
      </c>
      <c r="K3146" s="4562">
        <f>IF(D3146="","",D3146*J3146)</f>
        <v/>
      </c>
      <c r="L3146" s="4562">
        <f>XLOOKUP(B3146,'_Sys|Line_Map'!$A:$A,'_Sys|Line_Map'!$B:$B,"MISSING",0)</f>
        <v/>
      </c>
    </row>
    <row r="3147">
      <c r="A3147" s="4561" t="n"/>
      <c r="B3147" s="4561" t="n"/>
      <c r="C3147" s="4561" t="n"/>
      <c r="D3147" s="4561" t="n"/>
      <c r="E3147" s="4561" t="n"/>
      <c r="F3147" s="4561" t="n"/>
      <c r="G3147" s="4561" t="n"/>
      <c r="H3147" s="4561" t="n"/>
      <c r="I3147" s="4562">
        <f>XLOOKUP(B3147,'_Sys|Line_Map'!$A:$A,'_Sys|Line_Map'!$C:$C,"MISSING",0)</f>
        <v/>
      </c>
      <c r="J3147" s="4562">
        <f>XLOOKUP(B3147,'_Sys|Line_Map'!$A:$A,'_Sys|Line_Map'!$D:$D,1,0)</f>
        <v/>
      </c>
      <c r="K3147" s="4562">
        <f>IF(D3147="","",D3147*J3147)</f>
        <v/>
      </c>
      <c r="L3147" s="4562">
        <f>XLOOKUP(B3147,'_Sys|Line_Map'!$A:$A,'_Sys|Line_Map'!$B:$B,"MISSING",0)</f>
        <v/>
      </c>
    </row>
    <row r="3148">
      <c r="A3148" s="4561" t="n"/>
      <c r="B3148" s="4561" t="n"/>
      <c r="C3148" s="4561" t="n"/>
      <c r="D3148" s="4561" t="n"/>
      <c r="E3148" s="4561" t="n"/>
      <c r="F3148" s="4561" t="n"/>
      <c r="G3148" s="4561" t="n"/>
      <c r="H3148" s="4561" t="n"/>
      <c r="I3148" s="4562">
        <f>XLOOKUP(B3148,'_Sys|Line_Map'!$A:$A,'_Sys|Line_Map'!$C:$C,"MISSING",0)</f>
        <v/>
      </c>
      <c r="J3148" s="4562">
        <f>XLOOKUP(B3148,'_Sys|Line_Map'!$A:$A,'_Sys|Line_Map'!$D:$D,1,0)</f>
        <v/>
      </c>
      <c r="K3148" s="4562">
        <f>IF(D3148="","",D3148*J3148)</f>
        <v/>
      </c>
      <c r="L3148" s="4562">
        <f>XLOOKUP(B3148,'_Sys|Line_Map'!$A:$A,'_Sys|Line_Map'!$B:$B,"MISSING",0)</f>
        <v/>
      </c>
    </row>
    <row r="3149">
      <c r="A3149" s="4561" t="n"/>
      <c r="B3149" s="4561" t="n"/>
      <c r="C3149" s="4561" t="n"/>
      <c r="D3149" s="4561" t="n"/>
      <c r="E3149" s="4561" t="n"/>
      <c r="F3149" s="4561" t="n"/>
      <c r="G3149" s="4561" t="n"/>
      <c r="H3149" s="4561" t="n"/>
      <c r="I3149" s="4562">
        <f>XLOOKUP(B3149,'_Sys|Line_Map'!$A:$A,'_Sys|Line_Map'!$C:$C,"MISSING",0)</f>
        <v/>
      </c>
      <c r="J3149" s="4562">
        <f>XLOOKUP(B3149,'_Sys|Line_Map'!$A:$A,'_Sys|Line_Map'!$D:$D,1,0)</f>
        <v/>
      </c>
      <c r="K3149" s="4562">
        <f>IF(D3149="","",D3149*J3149)</f>
        <v/>
      </c>
      <c r="L3149" s="4562">
        <f>XLOOKUP(B3149,'_Sys|Line_Map'!$A:$A,'_Sys|Line_Map'!$B:$B,"MISSING",0)</f>
        <v/>
      </c>
    </row>
    <row r="3150">
      <c r="A3150" s="4561" t="n"/>
      <c r="B3150" s="4561" t="n"/>
      <c r="C3150" s="4561" t="n"/>
      <c r="D3150" s="4561" t="n"/>
      <c r="E3150" s="4561" t="n"/>
      <c r="F3150" s="4561" t="n"/>
      <c r="G3150" s="4561" t="n"/>
      <c r="H3150" s="4561" t="n"/>
      <c r="I3150" s="4562">
        <f>XLOOKUP(B3150,'_Sys|Line_Map'!$A:$A,'_Sys|Line_Map'!$C:$C,"MISSING",0)</f>
        <v/>
      </c>
      <c r="J3150" s="4562">
        <f>XLOOKUP(B3150,'_Sys|Line_Map'!$A:$A,'_Sys|Line_Map'!$D:$D,1,0)</f>
        <v/>
      </c>
      <c r="K3150" s="4562">
        <f>IF(D3150="","",D3150*J3150)</f>
        <v/>
      </c>
      <c r="L3150" s="4562">
        <f>XLOOKUP(B3150,'_Sys|Line_Map'!$A:$A,'_Sys|Line_Map'!$B:$B,"MISSING",0)</f>
        <v/>
      </c>
    </row>
    <row r="3151">
      <c r="A3151" s="4561" t="n"/>
      <c r="B3151" s="4561" t="n"/>
      <c r="C3151" s="4561" t="n"/>
      <c r="D3151" s="4561" t="n"/>
      <c r="E3151" s="4561" t="n"/>
      <c r="F3151" s="4561" t="n"/>
      <c r="G3151" s="4561" t="n"/>
      <c r="H3151" s="4561" t="n"/>
      <c r="I3151" s="4562">
        <f>XLOOKUP(B3151,'_Sys|Line_Map'!$A:$A,'_Sys|Line_Map'!$C:$C,"MISSING",0)</f>
        <v/>
      </c>
      <c r="J3151" s="4562">
        <f>XLOOKUP(B3151,'_Sys|Line_Map'!$A:$A,'_Sys|Line_Map'!$D:$D,1,0)</f>
        <v/>
      </c>
      <c r="K3151" s="4562">
        <f>IF(D3151="","",D3151*J3151)</f>
        <v/>
      </c>
      <c r="L3151" s="4562">
        <f>XLOOKUP(B3151,'_Sys|Line_Map'!$A:$A,'_Sys|Line_Map'!$B:$B,"MISSING",0)</f>
        <v/>
      </c>
    </row>
    <row r="3152">
      <c r="A3152" s="4561" t="n"/>
      <c r="B3152" s="4561" t="n"/>
      <c r="C3152" s="4561" t="n"/>
      <c r="D3152" s="4561" t="n"/>
      <c r="E3152" s="4561" t="n"/>
      <c r="F3152" s="4561" t="n"/>
      <c r="G3152" s="4561" t="n"/>
      <c r="H3152" s="4561" t="n"/>
      <c r="I3152" s="4562">
        <f>XLOOKUP(B3152,'_Sys|Line_Map'!$A:$A,'_Sys|Line_Map'!$C:$C,"MISSING",0)</f>
        <v/>
      </c>
      <c r="J3152" s="4562">
        <f>XLOOKUP(B3152,'_Sys|Line_Map'!$A:$A,'_Sys|Line_Map'!$D:$D,1,0)</f>
        <v/>
      </c>
      <c r="K3152" s="4562">
        <f>IF(D3152="","",D3152*J3152)</f>
        <v/>
      </c>
      <c r="L3152" s="4562">
        <f>XLOOKUP(B3152,'_Sys|Line_Map'!$A:$A,'_Sys|Line_Map'!$B:$B,"MISSING",0)</f>
        <v/>
      </c>
    </row>
    <row r="3153">
      <c r="A3153" s="4561" t="n"/>
      <c r="B3153" s="4561" t="n"/>
      <c r="C3153" s="4561" t="n"/>
      <c r="D3153" s="4561" t="n"/>
      <c r="E3153" s="4561" t="n"/>
      <c r="F3153" s="4561" t="n"/>
      <c r="G3153" s="4561" t="n"/>
      <c r="H3153" s="4561" t="n"/>
      <c r="I3153" s="4562">
        <f>XLOOKUP(B3153,'_Sys|Line_Map'!$A:$A,'_Sys|Line_Map'!$C:$C,"MISSING",0)</f>
        <v/>
      </c>
      <c r="J3153" s="4562">
        <f>XLOOKUP(B3153,'_Sys|Line_Map'!$A:$A,'_Sys|Line_Map'!$D:$D,1,0)</f>
        <v/>
      </c>
      <c r="K3153" s="4562">
        <f>IF(D3153="","",D3153*J3153)</f>
        <v/>
      </c>
      <c r="L3153" s="4562">
        <f>XLOOKUP(B3153,'_Sys|Line_Map'!$A:$A,'_Sys|Line_Map'!$B:$B,"MISSING",0)</f>
        <v/>
      </c>
    </row>
    <row r="3154">
      <c r="A3154" s="4561" t="n"/>
      <c r="B3154" s="4561" t="n"/>
      <c r="C3154" s="4561" t="n"/>
      <c r="D3154" s="4561" t="n"/>
      <c r="E3154" s="4561" t="n"/>
      <c r="F3154" s="4561" t="n"/>
      <c r="G3154" s="4561" t="n"/>
      <c r="H3154" s="4561" t="n"/>
      <c r="I3154" s="4562">
        <f>XLOOKUP(B3154,'_Sys|Line_Map'!$A:$A,'_Sys|Line_Map'!$C:$C,"MISSING",0)</f>
        <v/>
      </c>
      <c r="J3154" s="4562">
        <f>XLOOKUP(B3154,'_Sys|Line_Map'!$A:$A,'_Sys|Line_Map'!$D:$D,1,0)</f>
        <v/>
      </c>
      <c r="K3154" s="4562">
        <f>IF(D3154="","",D3154*J3154)</f>
        <v/>
      </c>
      <c r="L3154" s="4562">
        <f>XLOOKUP(B3154,'_Sys|Line_Map'!$A:$A,'_Sys|Line_Map'!$B:$B,"MISSING",0)</f>
        <v/>
      </c>
    </row>
    <row r="3155">
      <c r="A3155" s="4561" t="n"/>
      <c r="B3155" s="4561" t="n"/>
      <c r="C3155" s="4561" t="n"/>
      <c r="D3155" s="4561" t="n"/>
      <c r="E3155" s="4561" t="n"/>
      <c r="F3155" s="4561" t="n"/>
      <c r="G3155" s="4561" t="n"/>
      <c r="H3155" s="4561" t="n"/>
      <c r="I3155" s="4562">
        <f>XLOOKUP(B3155,'_Sys|Line_Map'!$A:$A,'_Sys|Line_Map'!$C:$C,"MISSING",0)</f>
        <v/>
      </c>
      <c r="J3155" s="4562">
        <f>XLOOKUP(B3155,'_Sys|Line_Map'!$A:$A,'_Sys|Line_Map'!$D:$D,1,0)</f>
        <v/>
      </c>
      <c r="K3155" s="4562">
        <f>IF(D3155="","",D3155*J3155)</f>
        <v/>
      </c>
      <c r="L3155" s="4562">
        <f>XLOOKUP(B3155,'_Sys|Line_Map'!$A:$A,'_Sys|Line_Map'!$B:$B,"MISSING",0)</f>
        <v/>
      </c>
    </row>
    <row r="3156">
      <c r="A3156" s="4561" t="n"/>
      <c r="B3156" s="4561" t="n"/>
      <c r="C3156" s="4561" t="n"/>
      <c r="D3156" s="4561" t="n"/>
      <c r="E3156" s="4561" t="n"/>
      <c r="F3156" s="4561" t="n"/>
      <c r="G3156" s="4561" t="n"/>
      <c r="H3156" s="4561" t="n"/>
      <c r="I3156" s="4562">
        <f>XLOOKUP(B3156,'_Sys|Line_Map'!$A:$A,'_Sys|Line_Map'!$C:$C,"MISSING",0)</f>
        <v/>
      </c>
      <c r="J3156" s="4562">
        <f>XLOOKUP(B3156,'_Sys|Line_Map'!$A:$A,'_Sys|Line_Map'!$D:$D,1,0)</f>
        <v/>
      </c>
      <c r="K3156" s="4562">
        <f>IF(D3156="","",D3156*J3156)</f>
        <v/>
      </c>
      <c r="L3156" s="4562">
        <f>XLOOKUP(B3156,'_Sys|Line_Map'!$A:$A,'_Sys|Line_Map'!$B:$B,"MISSING",0)</f>
        <v/>
      </c>
    </row>
    <row r="3157">
      <c r="A3157" s="4561" t="n"/>
      <c r="B3157" s="4561" t="n"/>
      <c r="C3157" s="4561" t="n"/>
      <c r="D3157" s="4561" t="n"/>
      <c r="E3157" s="4561" t="n"/>
      <c r="F3157" s="4561" t="n"/>
      <c r="G3157" s="4561" t="n"/>
      <c r="H3157" s="4561" t="n"/>
      <c r="I3157" s="4562">
        <f>XLOOKUP(B3157,'_Sys|Line_Map'!$A:$A,'_Sys|Line_Map'!$C:$C,"MISSING",0)</f>
        <v/>
      </c>
      <c r="J3157" s="4562">
        <f>XLOOKUP(B3157,'_Sys|Line_Map'!$A:$A,'_Sys|Line_Map'!$D:$D,1,0)</f>
        <v/>
      </c>
      <c r="K3157" s="4562">
        <f>IF(D3157="","",D3157*J3157)</f>
        <v/>
      </c>
      <c r="L3157" s="4562">
        <f>XLOOKUP(B3157,'_Sys|Line_Map'!$A:$A,'_Sys|Line_Map'!$B:$B,"MISSING",0)</f>
        <v/>
      </c>
    </row>
    <row r="3158">
      <c r="A3158" s="4561" t="n"/>
      <c r="B3158" s="4561" t="n"/>
      <c r="C3158" s="4561" t="n"/>
      <c r="D3158" s="4561" t="n"/>
      <c r="E3158" s="4561" t="n"/>
      <c r="F3158" s="4561" t="n"/>
      <c r="G3158" s="4561" t="n"/>
      <c r="H3158" s="4561" t="n"/>
      <c r="I3158" s="4562">
        <f>XLOOKUP(B3158,'_Sys|Line_Map'!$A:$A,'_Sys|Line_Map'!$C:$C,"MISSING",0)</f>
        <v/>
      </c>
      <c r="J3158" s="4562">
        <f>XLOOKUP(B3158,'_Sys|Line_Map'!$A:$A,'_Sys|Line_Map'!$D:$D,1,0)</f>
        <v/>
      </c>
      <c r="K3158" s="4562">
        <f>IF(D3158="","",D3158*J3158)</f>
        <v/>
      </c>
      <c r="L3158" s="4562">
        <f>XLOOKUP(B3158,'_Sys|Line_Map'!$A:$A,'_Sys|Line_Map'!$B:$B,"MISSING",0)</f>
        <v/>
      </c>
    </row>
    <row r="3159">
      <c r="A3159" s="4561" t="n"/>
      <c r="B3159" s="4561" t="n"/>
      <c r="C3159" s="4561" t="n"/>
      <c r="D3159" s="4561" t="n"/>
      <c r="E3159" s="4561" t="n"/>
      <c r="F3159" s="4561" t="n"/>
      <c r="G3159" s="4561" t="n"/>
      <c r="H3159" s="4561" t="n"/>
      <c r="I3159" s="4562">
        <f>XLOOKUP(B3159,'_Sys|Line_Map'!$A:$A,'_Sys|Line_Map'!$C:$C,"MISSING",0)</f>
        <v/>
      </c>
      <c r="J3159" s="4562">
        <f>XLOOKUP(B3159,'_Sys|Line_Map'!$A:$A,'_Sys|Line_Map'!$D:$D,1,0)</f>
        <v/>
      </c>
      <c r="K3159" s="4562">
        <f>IF(D3159="","",D3159*J3159)</f>
        <v/>
      </c>
      <c r="L3159" s="4562">
        <f>XLOOKUP(B3159,'_Sys|Line_Map'!$A:$A,'_Sys|Line_Map'!$B:$B,"MISSING",0)</f>
        <v/>
      </c>
    </row>
    <row r="3160">
      <c r="A3160" s="4561" t="n"/>
      <c r="B3160" s="4561" t="n"/>
      <c r="C3160" s="4561" t="n"/>
      <c r="D3160" s="4561" t="n"/>
      <c r="E3160" s="4561" t="n"/>
      <c r="F3160" s="4561" t="n"/>
      <c r="G3160" s="4561" t="n"/>
      <c r="H3160" s="4561" t="n"/>
      <c r="I3160" s="4562">
        <f>XLOOKUP(B3160,'_Sys|Line_Map'!$A:$A,'_Sys|Line_Map'!$C:$C,"MISSING",0)</f>
        <v/>
      </c>
      <c r="J3160" s="4562">
        <f>XLOOKUP(B3160,'_Sys|Line_Map'!$A:$A,'_Sys|Line_Map'!$D:$D,1,0)</f>
        <v/>
      </c>
      <c r="K3160" s="4562">
        <f>IF(D3160="","",D3160*J3160)</f>
        <v/>
      </c>
      <c r="L3160" s="4562">
        <f>XLOOKUP(B3160,'_Sys|Line_Map'!$A:$A,'_Sys|Line_Map'!$B:$B,"MISSING",0)</f>
        <v/>
      </c>
    </row>
    <row r="3161">
      <c r="A3161" s="4561" t="n"/>
      <c r="B3161" s="4561" t="n"/>
      <c r="C3161" s="4561" t="n"/>
      <c r="D3161" s="4561" t="n"/>
      <c r="E3161" s="4561" t="n"/>
      <c r="F3161" s="4561" t="n"/>
      <c r="G3161" s="4561" t="n"/>
      <c r="H3161" s="4561" t="n"/>
      <c r="I3161" s="4562">
        <f>XLOOKUP(B3161,'_Sys|Line_Map'!$A:$A,'_Sys|Line_Map'!$C:$C,"MISSING",0)</f>
        <v/>
      </c>
      <c r="J3161" s="4562">
        <f>XLOOKUP(B3161,'_Sys|Line_Map'!$A:$A,'_Sys|Line_Map'!$D:$D,1,0)</f>
        <v/>
      </c>
      <c r="K3161" s="4562">
        <f>IF(D3161="","",D3161*J3161)</f>
        <v/>
      </c>
      <c r="L3161" s="4562">
        <f>XLOOKUP(B3161,'_Sys|Line_Map'!$A:$A,'_Sys|Line_Map'!$B:$B,"MISSING",0)</f>
        <v/>
      </c>
    </row>
    <row r="3162">
      <c r="A3162" s="4561" t="n"/>
      <c r="B3162" s="4561" t="n"/>
      <c r="C3162" s="4561" t="n"/>
      <c r="D3162" s="4561" t="n"/>
      <c r="E3162" s="4561" t="n"/>
      <c r="F3162" s="4561" t="n"/>
      <c r="G3162" s="4561" t="n"/>
      <c r="H3162" s="4561" t="n"/>
      <c r="I3162" s="4562">
        <f>XLOOKUP(B3162,'_Sys|Line_Map'!$A:$A,'_Sys|Line_Map'!$C:$C,"MISSING",0)</f>
        <v/>
      </c>
      <c r="J3162" s="4562">
        <f>XLOOKUP(B3162,'_Sys|Line_Map'!$A:$A,'_Sys|Line_Map'!$D:$D,1,0)</f>
        <v/>
      </c>
      <c r="K3162" s="4562">
        <f>IF(D3162="","",D3162*J3162)</f>
        <v/>
      </c>
      <c r="L3162" s="4562">
        <f>XLOOKUP(B3162,'_Sys|Line_Map'!$A:$A,'_Sys|Line_Map'!$B:$B,"MISSING",0)</f>
        <v/>
      </c>
    </row>
    <row r="3163">
      <c r="A3163" s="4561" t="n"/>
      <c r="B3163" s="4561" t="n"/>
      <c r="C3163" s="4561" t="n"/>
      <c r="D3163" s="4561" t="n"/>
      <c r="E3163" s="4561" t="n"/>
      <c r="F3163" s="4561" t="n"/>
      <c r="G3163" s="4561" t="n"/>
      <c r="H3163" s="4561" t="n"/>
      <c r="I3163" s="4562">
        <f>XLOOKUP(B3163,'_Sys|Line_Map'!$A:$A,'_Sys|Line_Map'!$C:$C,"MISSING",0)</f>
        <v/>
      </c>
      <c r="J3163" s="4562">
        <f>XLOOKUP(B3163,'_Sys|Line_Map'!$A:$A,'_Sys|Line_Map'!$D:$D,1,0)</f>
        <v/>
      </c>
      <c r="K3163" s="4562">
        <f>IF(D3163="","",D3163*J3163)</f>
        <v/>
      </c>
      <c r="L3163" s="4562">
        <f>XLOOKUP(B3163,'_Sys|Line_Map'!$A:$A,'_Sys|Line_Map'!$B:$B,"MISSING",0)</f>
        <v/>
      </c>
    </row>
    <row r="3164">
      <c r="A3164" s="4561" t="n"/>
      <c r="B3164" s="4561" t="n"/>
      <c r="C3164" s="4561" t="n"/>
      <c r="D3164" s="4561" t="n"/>
      <c r="E3164" s="4561" t="n"/>
      <c r="F3164" s="4561" t="n"/>
      <c r="G3164" s="4561" t="n"/>
      <c r="H3164" s="4561" t="n"/>
      <c r="I3164" s="4562">
        <f>XLOOKUP(B3164,'_Sys|Line_Map'!$A:$A,'_Sys|Line_Map'!$C:$C,"MISSING",0)</f>
        <v/>
      </c>
      <c r="J3164" s="4562">
        <f>XLOOKUP(B3164,'_Sys|Line_Map'!$A:$A,'_Sys|Line_Map'!$D:$D,1,0)</f>
        <v/>
      </c>
      <c r="K3164" s="4562">
        <f>IF(D3164="","",D3164*J3164)</f>
        <v/>
      </c>
      <c r="L3164" s="4562">
        <f>XLOOKUP(B3164,'_Sys|Line_Map'!$A:$A,'_Sys|Line_Map'!$B:$B,"MISSING",0)</f>
        <v/>
      </c>
    </row>
    <row r="3165">
      <c r="A3165" s="4561" t="n"/>
      <c r="B3165" s="4561" t="n"/>
      <c r="C3165" s="4561" t="n"/>
      <c r="D3165" s="4561" t="n"/>
      <c r="E3165" s="4561" t="n"/>
      <c r="F3165" s="4561" t="n"/>
      <c r="G3165" s="4561" t="n"/>
      <c r="H3165" s="4561" t="n"/>
      <c r="I3165" s="4562">
        <f>XLOOKUP(B3165,'_Sys|Line_Map'!$A:$A,'_Sys|Line_Map'!$C:$C,"MISSING",0)</f>
        <v/>
      </c>
      <c r="J3165" s="4562">
        <f>XLOOKUP(B3165,'_Sys|Line_Map'!$A:$A,'_Sys|Line_Map'!$D:$D,1,0)</f>
        <v/>
      </c>
      <c r="K3165" s="4562">
        <f>IF(D3165="","",D3165*J3165)</f>
        <v/>
      </c>
      <c r="L3165" s="4562">
        <f>XLOOKUP(B3165,'_Sys|Line_Map'!$A:$A,'_Sys|Line_Map'!$B:$B,"MISSING",0)</f>
        <v/>
      </c>
    </row>
    <row r="3166">
      <c r="A3166" s="4561" t="n"/>
      <c r="B3166" s="4561" t="n"/>
      <c r="C3166" s="4561" t="n"/>
      <c r="D3166" s="4561" t="n"/>
      <c r="E3166" s="4561" t="n"/>
      <c r="F3166" s="4561" t="n"/>
      <c r="G3166" s="4561" t="n"/>
      <c r="H3166" s="4561" t="n"/>
      <c r="I3166" s="4562">
        <f>XLOOKUP(B3166,'_Sys|Line_Map'!$A:$A,'_Sys|Line_Map'!$C:$C,"MISSING",0)</f>
        <v/>
      </c>
      <c r="J3166" s="4562">
        <f>XLOOKUP(B3166,'_Sys|Line_Map'!$A:$A,'_Sys|Line_Map'!$D:$D,1,0)</f>
        <v/>
      </c>
      <c r="K3166" s="4562">
        <f>IF(D3166="","",D3166*J3166)</f>
        <v/>
      </c>
      <c r="L3166" s="4562">
        <f>XLOOKUP(B3166,'_Sys|Line_Map'!$A:$A,'_Sys|Line_Map'!$B:$B,"MISSING",0)</f>
        <v/>
      </c>
    </row>
    <row r="3167">
      <c r="A3167" s="4561" t="n"/>
      <c r="B3167" s="4561" t="n"/>
      <c r="C3167" s="4561" t="n"/>
      <c r="D3167" s="4561" t="n"/>
      <c r="E3167" s="4561" t="n"/>
      <c r="F3167" s="4561" t="n"/>
      <c r="G3167" s="4561" t="n"/>
      <c r="H3167" s="4561" t="n"/>
      <c r="I3167" s="4562">
        <f>XLOOKUP(B3167,'_Sys|Line_Map'!$A:$A,'_Sys|Line_Map'!$C:$C,"MISSING",0)</f>
        <v/>
      </c>
      <c r="J3167" s="4562">
        <f>XLOOKUP(B3167,'_Sys|Line_Map'!$A:$A,'_Sys|Line_Map'!$D:$D,1,0)</f>
        <v/>
      </c>
      <c r="K3167" s="4562">
        <f>IF(D3167="","",D3167*J3167)</f>
        <v/>
      </c>
      <c r="L3167" s="4562">
        <f>XLOOKUP(B3167,'_Sys|Line_Map'!$A:$A,'_Sys|Line_Map'!$B:$B,"MISSING",0)</f>
        <v/>
      </c>
    </row>
    <row r="3168">
      <c r="A3168" s="4561" t="n"/>
      <c r="B3168" s="4561" t="n"/>
      <c r="C3168" s="4561" t="n"/>
      <c r="D3168" s="4561" t="n"/>
      <c r="E3168" s="4561" t="n"/>
      <c r="F3168" s="4561" t="n"/>
      <c r="G3168" s="4561" t="n"/>
      <c r="H3168" s="4561" t="n"/>
      <c r="I3168" s="4562">
        <f>XLOOKUP(B3168,'_Sys|Line_Map'!$A:$A,'_Sys|Line_Map'!$C:$C,"MISSING",0)</f>
        <v/>
      </c>
      <c r="J3168" s="4562">
        <f>XLOOKUP(B3168,'_Sys|Line_Map'!$A:$A,'_Sys|Line_Map'!$D:$D,1,0)</f>
        <v/>
      </c>
      <c r="K3168" s="4562">
        <f>IF(D3168="","",D3168*J3168)</f>
        <v/>
      </c>
      <c r="L3168" s="4562">
        <f>XLOOKUP(B3168,'_Sys|Line_Map'!$A:$A,'_Sys|Line_Map'!$B:$B,"MISSING",0)</f>
        <v/>
      </c>
    </row>
    <row r="3169">
      <c r="A3169" s="4561" t="n"/>
      <c r="B3169" s="4561" t="n"/>
      <c r="C3169" s="4561" t="n"/>
      <c r="D3169" s="4561" t="n"/>
      <c r="E3169" s="4561" t="n"/>
      <c r="F3169" s="4561" t="n"/>
      <c r="G3169" s="4561" t="n"/>
      <c r="H3169" s="4561" t="n"/>
      <c r="I3169" s="4562">
        <f>XLOOKUP(B3169,'_Sys|Line_Map'!$A:$A,'_Sys|Line_Map'!$C:$C,"MISSING",0)</f>
        <v/>
      </c>
      <c r="J3169" s="4562">
        <f>XLOOKUP(B3169,'_Sys|Line_Map'!$A:$A,'_Sys|Line_Map'!$D:$D,1,0)</f>
        <v/>
      </c>
      <c r="K3169" s="4562">
        <f>IF(D3169="","",D3169*J3169)</f>
        <v/>
      </c>
      <c r="L3169" s="4562">
        <f>XLOOKUP(B3169,'_Sys|Line_Map'!$A:$A,'_Sys|Line_Map'!$B:$B,"MISSING",0)</f>
        <v/>
      </c>
    </row>
    <row r="3170">
      <c r="A3170" s="4561" t="n"/>
      <c r="B3170" s="4561" t="n"/>
      <c r="C3170" s="4561" t="n"/>
      <c r="D3170" s="4561" t="n"/>
      <c r="E3170" s="4561" t="n"/>
      <c r="F3170" s="4561" t="n"/>
      <c r="G3170" s="4561" t="n"/>
      <c r="H3170" s="4561" t="n"/>
      <c r="I3170" s="4562">
        <f>XLOOKUP(B3170,'_Sys|Line_Map'!$A:$A,'_Sys|Line_Map'!$C:$C,"MISSING",0)</f>
        <v/>
      </c>
      <c r="J3170" s="4562">
        <f>XLOOKUP(B3170,'_Sys|Line_Map'!$A:$A,'_Sys|Line_Map'!$D:$D,1,0)</f>
        <v/>
      </c>
      <c r="K3170" s="4562">
        <f>IF(D3170="","",D3170*J3170)</f>
        <v/>
      </c>
      <c r="L3170" s="4562">
        <f>XLOOKUP(B3170,'_Sys|Line_Map'!$A:$A,'_Sys|Line_Map'!$B:$B,"MISSING",0)</f>
        <v/>
      </c>
    </row>
    <row r="3171">
      <c r="A3171" s="4561" t="n"/>
      <c r="B3171" s="4561" t="n"/>
      <c r="C3171" s="4561" t="n"/>
      <c r="D3171" s="4561" t="n"/>
      <c r="E3171" s="4561" t="n"/>
      <c r="F3171" s="4561" t="n"/>
      <c r="G3171" s="4561" t="n"/>
      <c r="H3171" s="4561" t="n"/>
      <c r="I3171" s="4562">
        <f>XLOOKUP(B3171,'_Sys|Line_Map'!$A:$A,'_Sys|Line_Map'!$C:$C,"MISSING",0)</f>
        <v/>
      </c>
      <c r="J3171" s="4562">
        <f>XLOOKUP(B3171,'_Sys|Line_Map'!$A:$A,'_Sys|Line_Map'!$D:$D,1,0)</f>
        <v/>
      </c>
      <c r="K3171" s="4562">
        <f>IF(D3171="","",D3171*J3171)</f>
        <v/>
      </c>
      <c r="L3171" s="4562">
        <f>XLOOKUP(B3171,'_Sys|Line_Map'!$A:$A,'_Sys|Line_Map'!$B:$B,"MISSING",0)</f>
        <v/>
      </c>
    </row>
    <row r="3172">
      <c r="A3172" s="4561" t="n"/>
      <c r="B3172" s="4561" t="n"/>
      <c r="C3172" s="4561" t="n"/>
      <c r="D3172" s="4561" t="n"/>
      <c r="E3172" s="4561" t="n"/>
      <c r="F3172" s="4561" t="n"/>
      <c r="G3172" s="4561" t="n"/>
      <c r="H3172" s="4561" t="n"/>
      <c r="I3172" s="4562">
        <f>XLOOKUP(B3172,'_Sys|Line_Map'!$A:$A,'_Sys|Line_Map'!$C:$C,"MISSING",0)</f>
        <v/>
      </c>
      <c r="J3172" s="4562">
        <f>XLOOKUP(B3172,'_Sys|Line_Map'!$A:$A,'_Sys|Line_Map'!$D:$D,1,0)</f>
        <v/>
      </c>
      <c r="K3172" s="4562">
        <f>IF(D3172="","",D3172*J3172)</f>
        <v/>
      </c>
      <c r="L3172" s="4562">
        <f>XLOOKUP(B3172,'_Sys|Line_Map'!$A:$A,'_Sys|Line_Map'!$B:$B,"MISSING",0)</f>
        <v/>
      </c>
    </row>
    <row r="3173">
      <c r="A3173" s="4561" t="n"/>
      <c r="B3173" s="4561" t="n"/>
      <c r="C3173" s="4561" t="n"/>
      <c r="D3173" s="4561" t="n"/>
      <c r="E3173" s="4561" t="n"/>
      <c r="F3173" s="4561" t="n"/>
      <c r="G3173" s="4561" t="n"/>
      <c r="H3173" s="4561" t="n"/>
      <c r="I3173" s="4562">
        <f>XLOOKUP(B3173,'_Sys|Line_Map'!$A:$A,'_Sys|Line_Map'!$C:$C,"MISSING",0)</f>
        <v/>
      </c>
      <c r="J3173" s="4562">
        <f>XLOOKUP(B3173,'_Sys|Line_Map'!$A:$A,'_Sys|Line_Map'!$D:$D,1,0)</f>
        <v/>
      </c>
      <c r="K3173" s="4562">
        <f>IF(D3173="","",D3173*J3173)</f>
        <v/>
      </c>
      <c r="L3173" s="4562">
        <f>XLOOKUP(B3173,'_Sys|Line_Map'!$A:$A,'_Sys|Line_Map'!$B:$B,"MISSING",0)</f>
        <v/>
      </c>
    </row>
    <row r="3174">
      <c r="A3174" s="4561" t="n"/>
      <c r="B3174" s="4561" t="n"/>
      <c r="C3174" s="4561" t="n"/>
      <c r="D3174" s="4561" t="n"/>
      <c r="E3174" s="4561" t="n"/>
      <c r="F3174" s="4561" t="n"/>
      <c r="G3174" s="4561" t="n"/>
      <c r="H3174" s="4561" t="n"/>
      <c r="I3174" s="4562">
        <f>XLOOKUP(B3174,'_Sys|Line_Map'!$A:$A,'_Sys|Line_Map'!$C:$C,"MISSING",0)</f>
        <v/>
      </c>
      <c r="J3174" s="4562">
        <f>XLOOKUP(B3174,'_Sys|Line_Map'!$A:$A,'_Sys|Line_Map'!$D:$D,1,0)</f>
        <v/>
      </c>
      <c r="K3174" s="4562">
        <f>IF(D3174="","",D3174*J3174)</f>
        <v/>
      </c>
      <c r="L3174" s="4562">
        <f>XLOOKUP(B3174,'_Sys|Line_Map'!$A:$A,'_Sys|Line_Map'!$B:$B,"MISSING",0)</f>
        <v/>
      </c>
    </row>
    <row r="3175">
      <c r="A3175" s="4561" t="n"/>
      <c r="B3175" s="4561" t="n"/>
      <c r="C3175" s="4561" t="n"/>
      <c r="D3175" s="4561" t="n"/>
      <c r="E3175" s="4561" t="n"/>
      <c r="F3175" s="4561" t="n"/>
      <c r="G3175" s="4561" t="n"/>
      <c r="H3175" s="4561" t="n"/>
      <c r="I3175" s="4562">
        <f>XLOOKUP(B3175,'_Sys|Line_Map'!$A:$A,'_Sys|Line_Map'!$C:$C,"MISSING",0)</f>
        <v/>
      </c>
      <c r="J3175" s="4562">
        <f>XLOOKUP(B3175,'_Sys|Line_Map'!$A:$A,'_Sys|Line_Map'!$D:$D,1,0)</f>
        <v/>
      </c>
      <c r="K3175" s="4562">
        <f>IF(D3175="","",D3175*J3175)</f>
        <v/>
      </c>
      <c r="L3175" s="4562">
        <f>XLOOKUP(B3175,'_Sys|Line_Map'!$A:$A,'_Sys|Line_Map'!$B:$B,"MISSING",0)</f>
        <v/>
      </c>
    </row>
    <row r="3176">
      <c r="A3176" s="4561" t="n"/>
      <c r="B3176" s="4561" t="n"/>
      <c r="C3176" s="4561" t="n"/>
      <c r="D3176" s="4561" t="n"/>
      <c r="E3176" s="4561" t="n"/>
      <c r="F3176" s="4561" t="n"/>
      <c r="G3176" s="4561" t="n"/>
      <c r="H3176" s="4561" t="n"/>
      <c r="I3176" s="4562">
        <f>XLOOKUP(B3176,'_Sys|Line_Map'!$A:$A,'_Sys|Line_Map'!$C:$C,"MISSING",0)</f>
        <v/>
      </c>
      <c r="J3176" s="4562">
        <f>XLOOKUP(B3176,'_Sys|Line_Map'!$A:$A,'_Sys|Line_Map'!$D:$D,1,0)</f>
        <v/>
      </c>
      <c r="K3176" s="4562">
        <f>IF(D3176="","",D3176*J3176)</f>
        <v/>
      </c>
      <c r="L3176" s="4562">
        <f>XLOOKUP(B3176,'_Sys|Line_Map'!$A:$A,'_Sys|Line_Map'!$B:$B,"MISSING",0)</f>
        <v/>
      </c>
    </row>
    <row r="3177">
      <c r="A3177" s="4561" t="n"/>
      <c r="B3177" s="4561" t="n"/>
      <c r="C3177" s="4561" t="n"/>
      <c r="D3177" s="4561" t="n"/>
      <c r="E3177" s="4561" t="n"/>
      <c r="F3177" s="4561" t="n"/>
      <c r="G3177" s="4561" t="n"/>
      <c r="H3177" s="4561" t="n"/>
      <c r="I3177" s="4562">
        <f>XLOOKUP(B3177,'_Sys|Line_Map'!$A:$A,'_Sys|Line_Map'!$C:$C,"MISSING",0)</f>
        <v/>
      </c>
      <c r="J3177" s="4562">
        <f>XLOOKUP(B3177,'_Sys|Line_Map'!$A:$A,'_Sys|Line_Map'!$D:$D,1,0)</f>
        <v/>
      </c>
      <c r="K3177" s="4562">
        <f>IF(D3177="","",D3177*J3177)</f>
        <v/>
      </c>
      <c r="L3177" s="4562">
        <f>XLOOKUP(B3177,'_Sys|Line_Map'!$A:$A,'_Sys|Line_Map'!$B:$B,"MISSING",0)</f>
        <v/>
      </c>
    </row>
    <row r="3178">
      <c r="A3178" s="4561" t="n"/>
      <c r="B3178" s="4561" t="n"/>
      <c r="C3178" s="4561" t="n"/>
      <c r="D3178" s="4561" t="n"/>
      <c r="E3178" s="4561" t="n"/>
      <c r="F3178" s="4561" t="n"/>
      <c r="G3178" s="4561" t="n"/>
      <c r="H3178" s="4561" t="n"/>
      <c r="I3178" s="4562">
        <f>XLOOKUP(B3178,'_Sys|Line_Map'!$A:$A,'_Sys|Line_Map'!$C:$C,"MISSING",0)</f>
        <v/>
      </c>
      <c r="J3178" s="4562">
        <f>XLOOKUP(B3178,'_Sys|Line_Map'!$A:$A,'_Sys|Line_Map'!$D:$D,1,0)</f>
        <v/>
      </c>
      <c r="K3178" s="4562">
        <f>IF(D3178="","",D3178*J3178)</f>
        <v/>
      </c>
      <c r="L3178" s="4562">
        <f>XLOOKUP(B3178,'_Sys|Line_Map'!$A:$A,'_Sys|Line_Map'!$B:$B,"MISSING",0)</f>
        <v/>
      </c>
    </row>
    <row r="3179">
      <c r="A3179" s="4561" t="n"/>
      <c r="B3179" s="4561" t="n"/>
      <c r="C3179" s="4561" t="n"/>
      <c r="D3179" s="4561" t="n"/>
      <c r="E3179" s="4561" t="n"/>
      <c r="F3179" s="4561" t="n"/>
      <c r="G3179" s="4561" t="n"/>
      <c r="H3179" s="4561" t="n"/>
      <c r="I3179" s="4562">
        <f>XLOOKUP(B3179,'_Sys|Line_Map'!$A:$A,'_Sys|Line_Map'!$C:$C,"MISSING",0)</f>
        <v/>
      </c>
      <c r="J3179" s="4562">
        <f>XLOOKUP(B3179,'_Sys|Line_Map'!$A:$A,'_Sys|Line_Map'!$D:$D,1,0)</f>
        <v/>
      </c>
      <c r="K3179" s="4562">
        <f>IF(D3179="","",D3179*J3179)</f>
        <v/>
      </c>
      <c r="L3179" s="4562">
        <f>XLOOKUP(B3179,'_Sys|Line_Map'!$A:$A,'_Sys|Line_Map'!$B:$B,"MISSING",0)</f>
        <v/>
      </c>
    </row>
    <row r="3180">
      <c r="A3180" s="4561" t="n"/>
      <c r="B3180" s="4561" t="n"/>
      <c r="C3180" s="4561" t="n"/>
      <c r="D3180" s="4561" t="n"/>
      <c r="E3180" s="4561" t="n"/>
      <c r="F3180" s="4561" t="n"/>
      <c r="G3180" s="4561" t="n"/>
      <c r="H3180" s="4561" t="n"/>
      <c r="I3180" s="4562">
        <f>XLOOKUP(B3180,'_Sys|Line_Map'!$A:$A,'_Sys|Line_Map'!$C:$C,"MISSING",0)</f>
        <v/>
      </c>
      <c r="J3180" s="4562">
        <f>XLOOKUP(B3180,'_Sys|Line_Map'!$A:$A,'_Sys|Line_Map'!$D:$D,1,0)</f>
        <v/>
      </c>
      <c r="K3180" s="4562">
        <f>IF(D3180="","",D3180*J3180)</f>
        <v/>
      </c>
      <c r="L3180" s="4562">
        <f>XLOOKUP(B3180,'_Sys|Line_Map'!$A:$A,'_Sys|Line_Map'!$B:$B,"MISSING",0)</f>
        <v/>
      </c>
    </row>
    <row r="3181">
      <c r="A3181" s="4561" t="n"/>
      <c r="B3181" s="4561" t="n"/>
      <c r="C3181" s="4561" t="n"/>
      <c r="D3181" s="4561" t="n"/>
      <c r="E3181" s="4561" t="n"/>
      <c r="F3181" s="4561" t="n"/>
      <c r="G3181" s="4561" t="n"/>
      <c r="H3181" s="4561" t="n"/>
      <c r="I3181" s="4562">
        <f>XLOOKUP(B3181,'_Sys|Line_Map'!$A:$A,'_Sys|Line_Map'!$C:$C,"MISSING",0)</f>
        <v/>
      </c>
      <c r="J3181" s="4562">
        <f>XLOOKUP(B3181,'_Sys|Line_Map'!$A:$A,'_Sys|Line_Map'!$D:$D,1,0)</f>
        <v/>
      </c>
      <c r="K3181" s="4562">
        <f>IF(D3181="","",D3181*J3181)</f>
        <v/>
      </c>
      <c r="L3181" s="4562">
        <f>XLOOKUP(B3181,'_Sys|Line_Map'!$A:$A,'_Sys|Line_Map'!$B:$B,"MISSING",0)</f>
        <v/>
      </c>
    </row>
    <row r="3182">
      <c r="A3182" s="4561" t="n"/>
      <c r="B3182" s="4561" t="n"/>
      <c r="C3182" s="4561" t="n"/>
      <c r="D3182" s="4561" t="n"/>
      <c r="E3182" s="4561" t="n"/>
      <c r="F3182" s="4561" t="n"/>
      <c r="G3182" s="4561" t="n"/>
      <c r="H3182" s="4561" t="n"/>
      <c r="I3182" s="4562">
        <f>XLOOKUP(B3182,'_Sys|Line_Map'!$A:$A,'_Sys|Line_Map'!$C:$C,"MISSING",0)</f>
        <v/>
      </c>
      <c r="J3182" s="4562">
        <f>XLOOKUP(B3182,'_Sys|Line_Map'!$A:$A,'_Sys|Line_Map'!$D:$D,1,0)</f>
        <v/>
      </c>
      <c r="K3182" s="4562">
        <f>IF(D3182="","",D3182*J3182)</f>
        <v/>
      </c>
      <c r="L3182" s="4562">
        <f>XLOOKUP(B3182,'_Sys|Line_Map'!$A:$A,'_Sys|Line_Map'!$B:$B,"MISSING",0)</f>
        <v/>
      </c>
    </row>
    <row r="3183">
      <c r="A3183" s="4561" t="n"/>
      <c r="B3183" s="4561" t="n"/>
      <c r="C3183" s="4561" t="n"/>
      <c r="D3183" s="4561" t="n"/>
      <c r="E3183" s="4561" t="n"/>
      <c r="F3183" s="4561" t="n"/>
      <c r="G3183" s="4561" t="n"/>
      <c r="H3183" s="4561" t="n"/>
      <c r="I3183" s="4562">
        <f>XLOOKUP(B3183,'_Sys|Line_Map'!$A:$A,'_Sys|Line_Map'!$C:$C,"MISSING",0)</f>
        <v/>
      </c>
      <c r="J3183" s="4562">
        <f>XLOOKUP(B3183,'_Sys|Line_Map'!$A:$A,'_Sys|Line_Map'!$D:$D,1,0)</f>
        <v/>
      </c>
      <c r="K3183" s="4562">
        <f>IF(D3183="","",D3183*J3183)</f>
        <v/>
      </c>
      <c r="L3183" s="4562">
        <f>XLOOKUP(B3183,'_Sys|Line_Map'!$A:$A,'_Sys|Line_Map'!$B:$B,"MISSING",0)</f>
        <v/>
      </c>
    </row>
    <row r="3184">
      <c r="A3184" s="4561" t="n"/>
      <c r="B3184" s="4561" t="n"/>
      <c r="C3184" s="4561" t="n"/>
      <c r="D3184" s="4561" t="n"/>
      <c r="E3184" s="4561" t="n"/>
      <c r="F3184" s="4561" t="n"/>
      <c r="G3184" s="4561" t="n"/>
      <c r="H3184" s="4561" t="n"/>
      <c r="I3184" s="4562">
        <f>XLOOKUP(B3184,'_Sys|Line_Map'!$A:$A,'_Sys|Line_Map'!$C:$C,"MISSING",0)</f>
        <v/>
      </c>
      <c r="J3184" s="4562">
        <f>XLOOKUP(B3184,'_Sys|Line_Map'!$A:$A,'_Sys|Line_Map'!$D:$D,1,0)</f>
        <v/>
      </c>
      <c r="K3184" s="4562">
        <f>IF(D3184="","",D3184*J3184)</f>
        <v/>
      </c>
      <c r="L3184" s="4562">
        <f>XLOOKUP(B3184,'_Sys|Line_Map'!$A:$A,'_Sys|Line_Map'!$B:$B,"MISSING",0)</f>
        <v/>
      </c>
    </row>
    <row r="3185">
      <c r="A3185" s="4561" t="n"/>
      <c r="B3185" s="4561" t="n"/>
      <c r="C3185" s="4561" t="n"/>
      <c r="D3185" s="4561" t="n"/>
      <c r="E3185" s="4561" t="n"/>
      <c r="F3185" s="4561" t="n"/>
      <c r="G3185" s="4561" t="n"/>
      <c r="H3185" s="4561" t="n"/>
      <c r="I3185" s="4562">
        <f>XLOOKUP(B3185,'_Sys|Line_Map'!$A:$A,'_Sys|Line_Map'!$C:$C,"MISSING",0)</f>
        <v/>
      </c>
      <c r="J3185" s="4562">
        <f>XLOOKUP(B3185,'_Sys|Line_Map'!$A:$A,'_Sys|Line_Map'!$D:$D,1,0)</f>
        <v/>
      </c>
      <c r="K3185" s="4562">
        <f>IF(D3185="","",D3185*J3185)</f>
        <v/>
      </c>
      <c r="L3185" s="4562">
        <f>XLOOKUP(B3185,'_Sys|Line_Map'!$A:$A,'_Sys|Line_Map'!$B:$B,"MISSING",0)</f>
        <v/>
      </c>
    </row>
    <row r="3186">
      <c r="A3186" s="4561" t="n"/>
      <c r="B3186" s="4561" t="n"/>
      <c r="C3186" s="4561" t="n"/>
      <c r="D3186" s="4561" t="n"/>
      <c r="E3186" s="4561" t="n"/>
      <c r="F3186" s="4561" t="n"/>
      <c r="G3186" s="4561" t="n"/>
      <c r="H3186" s="4561" t="n"/>
      <c r="I3186" s="4562">
        <f>XLOOKUP(B3186,'_Sys|Line_Map'!$A:$A,'_Sys|Line_Map'!$C:$C,"MISSING",0)</f>
        <v/>
      </c>
      <c r="J3186" s="4562">
        <f>XLOOKUP(B3186,'_Sys|Line_Map'!$A:$A,'_Sys|Line_Map'!$D:$D,1,0)</f>
        <v/>
      </c>
      <c r="K3186" s="4562">
        <f>IF(D3186="","",D3186*J3186)</f>
        <v/>
      </c>
      <c r="L3186" s="4562">
        <f>XLOOKUP(B3186,'_Sys|Line_Map'!$A:$A,'_Sys|Line_Map'!$B:$B,"MISSING",0)</f>
        <v/>
      </c>
    </row>
    <row r="3187">
      <c r="A3187" s="4561" t="n"/>
      <c r="B3187" s="4561" t="n"/>
      <c r="C3187" s="4561" t="n"/>
      <c r="D3187" s="4561" t="n"/>
      <c r="E3187" s="4561" t="n"/>
      <c r="F3187" s="4561" t="n"/>
      <c r="G3187" s="4561" t="n"/>
      <c r="H3187" s="4561" t="n"/>
      <c r="I3187" s="4562">
        <f>XLOOKUP(B3187,'_Sys|Line_Map'!$A:$A,'_Sys|Line_Map'!$C:$C,"MISSING",0)</f>
        <v/>
      </c>
      <c r="J3187" s="4562">
        <f>XLOOKUP(B3187,'_Sys|Line_Map'!$A:$A,'_Sys|Line_Map'!$D:$D,1,0)</f>
        <v/>
      </c>
      <c r="K3187" s="4562">
        <f>IF(D3187="","",D3187*J3187)</f>
        <v/>
      </c>
      <c r="L3187" s="4562">
        <f>XLOOKUP(B3187,'_Sys|Line_Map'!$A:$A,'_Sys|Line_Map'!$B:$B,"MISSING",0)</f>
        <v/>
      </c>
    </row>
    <row r="3188">
      <c r="A3188" s="4561" t="n"/>
      <c r="B3188" s="4561" t="n"/>
      <c r="C3188" s="4561" t="n"/>
      <c r="D3188" s="4561" t="n"/>
      <c r="E3188" s="4561" t="n"/>
      <c r="F3188" s="4561" t="n"/>
      <c r="G3188" s="4561" t="n"/>
      <c r="H3188" s="4561" t="n"/>
      <c r="I3188" s="4562">
        <f>XLOOKUP(B3188,'_Sys|Line_Map'!$A:$A,'_Sys|Line_Map'!$C:$C,"MISSING",0)</f>
        <v/>
      </c>
      <c r="J3188" s="4562">
        <f>XLOOKUP(B3188,'_Sys|Line_Map'!$A:$A,'_Sys|Line_Map'!$D:$D,1,0)</f>
        <v/>
      </c>
      <c r="K3188" s="4562">
        <f>IF(D3188="","",D3188*J3188)</f>
        <v/>
      </c>
      <c r="L3188" s="4562">
        <f>XLOOKUP(B3188,'_Sys|Line_Map'!$A:$A,'_Sys|Line_Map'!$B:$B,"MISSING",0)</f>
        <v/>
      </c>
    </row>
    <row r="3189">
      <c r="A3189" s="4561" t="n"/>
      <c r="B3189" s="4561" t="n"/>
      <c r="C3189" s="4561" t="n"/>
      <c r="D3189" s="4561" t="n"/>
      <c r="E3189" s="4561" t="n"/>
      <c r="F3189" s="4561" t="n"/>
      <c r="G3189" s="4561" t="n"/>
      <c r="H3189" s="4561" t="n"/>
      <c r="I3189" s="4562">
        <f>XLOOKUP(B3189,'_Sys|Line_Map'!$A:$A,'_Sys|Line_Map'!$C:$C,"MISSING",0)</f>
        <v/>
      </c>
      <c r="J3189" s="4562">
        <f>XLOOKUP(B3189,'_Sys|Line_Map'!$A:$A,'_Sys|Line_Map'!$D:$D,1,0)</f>
        <v/>
      </c>
      <c r="K3189" s="4562">
        <f>IF(D3189="","",D3189*J3189)</f>
        <v/>
      </c>
      <c r="L3189" s="4562">
        <f>XLOOKUP(B3189,'_Sys|Line_Map'!$A:$A,'_Sys|Line_Map'!$B:$B,"MISSING",0)</f>
        <v/>
      </c>
    </row>
    <row r="3190">
      <c r="A3190" s="4561" t="n"/>
      <c r="B3190" s="4561" t="n"/>
      <c r="C3190" s="4561" t="n"/>
      <c r="D3190" s="4561" t="n"/>
      <c r="E3190" s="4561" t="n"/>
      <c r="F3190" s="4561" t="n"/>
      <c r="G3190" s="4561" t="n"/>
      <c r="H3190" s="4561" t="n"/>
      <c r="I3190" s="4562">
        <f>XLOOKUP(B3190,'_Sys|Line_Map'!$A:$A,'_Sys|Line_Map'!$C:$C,"MISSING",0)</f>
        <v/>
      </c>
      <c r="J3190" s="4562">
        <f>XLOOKUP(B3190,'_Sys|Line_Map'!$A:$A,'_Sys|Line_Map'!$D:$D,1,0)</f>
        <v/>
      </c>
      <c r="K3190" s="4562">
        <f>IF(D3190="","",D3190*J3190)</f>
        <v/>
      </c>
      <c r="L3190" s="4562">
        <f>XLOOKUP(B3190,'_Sys|Line_Map'!$A:$A,'_Sys|Line_Map'!$B:$B,"MISSING",0)</f>
        <v/>
      </c>
    </row>
    <row r="3191">
      <c r="A3191" s="4561" t="n"/>
      <c r="B3191" s="4561" t="n"/>
      <c r="C3191" s="4561" t="n"/>
      <c r="D3191" s="4561" t="n"/>
      <c r="E3191" s="4561" t="n"/>
      <c r="F3191" s="4561" t="n"/>
      <c r="G3191" s="4561" t="n"/>
      <c r="H3191" s="4561" t="n"/>
      <c r="I3191" s="4562">
        <f>XLOOKUP(B3191,'_Sys|Line_Map'!$A:$A,'_Sys|Line_Map'!$C:$C,"MISSING",0)</f>
        <v/>
      </c>
      <c r="J3191" s="4562">
        <f>XLOOKUP(B3191,'_Sys|Line_Map'!$A:$A,'_Sys|Line_Map'!$D:$D,1,0)</f>
        <v/>
      </c>
      <c r="K3191" s="4562">
        <f>IF(D3191="","",D3191*J3191)</f>
        <v/>
      </c>
      <c r="L3191" s="4562">
        <f>XLOOKUP(B3191,'_Sys|Line_Map'!$A:$A,'_Sys|Line_Map'!$B:$B,"MISSING",0)</f>
        <v/>
      </c>
    </row>
    <row r="3192">
      <c r="A3192" s="4561" t="n"/>
      <c r="B3192" s="4561" t="n"/>
      <c r="C3192" s="4561" t="n"/>
      <c r="D3192" s="4561" t="n"/>
      <c r="E3192" s="4561" t="n"/>
      <c r="F3192" s="4561" t="n"/>
      <c r="G3192" s="4561" t="n"/>
      <c r="H3192" s="4561" t="n"/>
      <c r="I3192" s="4562">
        <f>XLOOKUP(B3192,'_Sys|Line_Map'!$A:$A,'_Sys|Line_Map'!$C:$C,"MISSING",0)</f>
        <v/>
      </c>
      <c r="J3192" s="4562">
        <f>XLOOKUP(B3192,'_Sys|Line_Map'!$A:$A,'_Sys|Line_Map'!$D:$D,1,0)</f>
        <v/>
      </c>
      <c r="K3192" s="4562">
        <f>IF(D3192="","",D3192*J3192)</f>
        <v/>
      </c>
      <c r="L3192" s="4562">
        <f>XLOOKUP(B3192,'_Sys|Line_Map'!$A:$A,'_Sys|Line_Map'!$B:$B,"MISSING",0)</f>
        <v/>
      </c>
    </row>
    <row r="3193">
      <c r="A3193" s="4561" t="n"/>
      <c r="B3193" s="4561" t="n"/>
      <c r="C3193" s="4561" t="n"/>
      <c r="D3193" s="4561" t="n"/>
      <c r="E3193" s="4561" t="n"/>
      <c r="F3193" s="4561" t="n"/>
      <c r="G3193" s="4561" t="n"/>
      <c r="H3193" s="4561" t="n"/>
      <c r="I3193" s="4562">
        <f>XLOOKUP(B3193,'_Sys|Line_Map'!$A:$A,'_Sys|Line_Map'!$C:$C,"MISSING",0)</f>
        <v/>
      </c>
      <c r="J3193" s="4562">
        <f>XLOOKUP(B3193,'_Sys|Line_Map'!$A:$A,'_Sys|Line_Map'!$D:$D,1,0)</f>
        <v/>
      </c>
      <c r="K3193" s="4562">
        <f>IF(D3193="","",D3193*J3193)</f>
        <v/>
      </c>
      <c r="L3193" s="4562">
        <f>XLOOKUP(B3193,'_Sys|Line_Map'!$A:$A,'_Sys|Line_Map'!$B:$B,"MISSING",0)</f>
        <v/>
      </c>
    </row>
    <row r="3194">
      <c r="A3194" s="4561" t="n"/>
      <c r="B3194" s="4561" t="n"/>
      <c r="C3194" s="4561" t="n"/>
      <c r="D3194" s="4561" t="n"/>
      <c r="E3194" s="4561" t="n"/>
      <c r="F3194" s="4561" t="n"/>
      <c r="G3194" s="4561" t="n"/>
      <c r="H3194" s="4561" t="n"/>
      <c r="I3194" s="4562">
        <f>XLOOKUP(B3194,'_Sys|Line_Map'!$A:$A,'_Sys|Line_Map'!$C:$C,"MISSING",0)</f>
        <v/>
      </c>
      <c r="J3194" s="4562">
        <f>XLOOKUP(B3194,'_Sys|Line_Map'!$A:$A,'_Sys|Line_Map'!$D:$D,1,0)</f>
        <v/>
      </c>
      <c r="K3194" s="4562">
        <f>IF(D3194="","",D3194*J3194)</f>
        <v/>
      </c>
      <c r="L3194" s="4562">
        <f>XLOOKUP(B3194,'_Sys|Line_Map'!$A:$A,'_Sys|Line_Map'!$B:$B,"MISSING",0)</f>
        <v/>
      </c>
    </row>
    <row r="3195">
      <c r="A3195" s="4561" t="n"/>
      <c r="B3195" s="4561" t="n"/>
      <c r="C3195" s="4561" t="n"/>
      <c r="D3195" s="4561" t="n"/>
      <c r="E3195" s="4561" t="n"/>
      <c r="F3195" s="4561" t="n"/>
      <c r="G3195" s="4561" t="n"/>
      <c r="H3195" s="4561" t="n"/>
      <c r="I3195" s="4562">
        <f>XLOOKUP(B3195,'_Sys|Line_Map'!$A:$A,'_Sys|Line_Map'!$C:$C,"MISSING",0)</f>
        <v/>
      </c>
      <c r="J3195" s="4562">
        <f>XLOOKUP(B3195,'_Sys|Line_Map'!$A:$A,'_Sys|Line_Map'!$D:$D,1,0)</f>
        <v/>
      </c>
      <c r="K3195" s="4562">
        <f>IF(D3195="","",D3195*J3195)</f>
        <v/>
      </c>
      <c r="L3195" s="4562">
        <f>XLOOKUP(B3195,'_Sys|Line_Map'!$A:$A,'_Sys|Line_Map'!$B:$B,"MISSING",0)</f>
        <v/>
      </c>
    </row>
    <row r="3196">
      <c r="A3196" s="4561" t="n"/>
      <c r="B3196" s="4561" t="n"/>
      <c r="C3196" s="4561" t="n"/>
      <c r="D3196" s="4561" t="n"/>
      <c r="E3196" s="4561" t="n"/>
      <c r="F3196" s="4561" t="n"/>
      <c r="G3196" s="4561" t="n"/>
      <c r="H3196" s="4561" t="n"/>
      <c r="I3196" s="4562">
        <f>XLOOKUP(B3196,'_Sys|Line_Map'!$A:$A,'_Sys|Line_Map'!$C:$C,"MISSING",0)</f>
        <v/>
      </c>
      <c r="J3196" s="4562">
        <f>XLOOKUP(B3196,'_Sys|Line_Map'!$A:$A,'_Sys|Line_Map'!$D:$D,1,0)</f>
        <v/>
      </c>
      <c r="K3196" s="4562">
        <f>IF(D3196="","",D3196*J3196)</f>
        <v/>
      </c>
      <c r="L3196" s="4562">
        <f>XLOOKUP(B3196,'_Sys|Line_Map'!$A:$A,'_Sys|Line_Map'!$B:$B,"MISSING",0)</f>
        <v/>
      </c>
    </row>
    <row r="3197">
      <c r="A3197" s="4561" t="n"/>
      <c r="B3197" s="4561" t="n"/>
      <c r="C3197" s="4561" t="n"/>
      <c r="D3197" s="4561" t="n"/>
      <c r="E3197" s="4561" t="n"/>
      <c r="F3197" s="4561" t="n"/>
      <c r="G3197" s="4561" t="n"/>
      <c r="H3197" s="4561" t="n"/>
      <c r="I3197" s="4562">
        <f>XLOOKUP(B3197,'_Sys|Line_Map'!$A:$A,'_Sys|Line_Map'!$C:$C,"MISSING",0)</f>
        <v/>
      </c>
      <c r="J3197" s="4562">
        <f>XLOOKUP(B3197,'_Sys|Line_Map'!$A:$A,'_Sys|Line_Map'!$D:$D,1,0)</f>
        <v/>
      </c>
      <c r="K3197" s="4562">
        <f>IF(D3197="","",D3197*J3197)</f>
        <v/>
      </c>
      <c r="L3197" s="4562">
        <f>XLOOKUP(B3197,'_Sys|Line_Map'!$A:$A,'_Sys|Line_Map'!$B:$B,"MISSING",0)</f>
        <v/>
      </c>
    </row>
    <row r="3198">
      <c r="A3198" s="4561" t="n"/>
      <c r="B3198" s="4561" t="n"/>
      <c r="C3198" s="4561" t="n"/>
      <c r="D3198" s="4561" t="n"/>
      <c r="E3198" s="4561" t="n"/>
      <c r="F3198" s="4561" t="n"/>
      <c r="G3198" s="4561" t="n"/>
      <c r="H3198" s="4561" t="n"/>
      <c r="I3198" s="4562">
        <f>XLOOKUP(B3198,'_Sys|Line_Map'!$A:$A,'_Sys|Line_Map'!$C:$C,"MISSING",0)</f>
        <v/>
      </c>
      <c r="J3198" s="4562">
        <f>XLOOKUP(B3198,'_Sys|Line_Map'!$A:$A,'_Sys|Line_Map'!$D:$D,1,0)</f>
        <v/>
      </c>
      <c r="K3198" s="4562">
        <f>IF(D3198="","",D3198*J3198)</f>
        <v/>
      </c>
      <c r="L3198" s="4562">
        <f>XLOOKUP(B3198,'_Sys|Line_Map'!$A:$A,'_Sys|Line_Map'!$B:$B,"MISSING",0)</f>
        <v/>
      </c>
    </row>
    <row r="3199">
      <c r="A3199" s="4561" t="n"/>
      <c r="B3199" s="4561" t="n"/>
      <c r="C3199" s="4561" t="n"/>
      <c r="D3199" s="4561" t="n"/>
      <c r="E3199" s="4561" t="n"/>
      <c r="F3199" s="4561" t="n"/>
      <c r="G3199" s="4561" t="n"/>
      <c r="H3199" s="4561" t="n"/>
      <c r="I3199" s="4562">
        <f>XLOOKUP(B3199,'_Sys|Line_Map'!$A:$A,'_Sys|Line_Map'!$C:$C,"MISSING",0)</f>
        <v/>
      </c>
      <c r="J3199" s="4562">
        <f>XLOOKUP(B3199,'_Sys|Line_Map'!$A:$A,'_Sys|Line_Map'!$D:$D,1,0)</f>
        <v/>
      </c>
      <c r="K3199" s="4562">
        <f>IF(D3199="","",D3199*J3199)</f>
        <v/>
      </c>
      <c r="L3199" s="4562">
        <f>XLOOKUP(B3199,'_Sys|Line_Map'!$A:$A,'_Sys|Line_Map'!$B:$B,"MISSING",0)</f>
        <v/>
      </c>
    </row>
    <row r="3200">
      <c r="A3200" s="4561" t="n"/>
      <c r="B3200" s="4561" t="n"/>
      <c r="C3200" s="4561" t="n"/>
      <c r="D3200" s="4561" t="n"/>
      <c r="E3200" s="4561" t="n"/>
      <c r="F3200" s="4561" t="n"/>
      <c r="G3200" s="4561" t="n"/>
      <c r="H3200" s="4561" t="n"/>
      <c r="I3200" s="4562">
        <f>XLOOKUP(B3200,'_Sys|Line_Map'!$A:$A,'_Sys|Line_Map'!$C:$C,"MISSING",0)</f>
        <v/>
      </c>
      <c r="J3200" s="4562">
        <f>XLOOKUP(B3200,'_Sys|Line_Map'!$A:$A,'_Sys|Line_Map'!$D:$D,1,0)</f>
        <v/>
      </c>
      <c r="K3200" s="4562">
        <f>IF(D3200="","",D3200*J3200)</f>
        <v/>
      </c>
      <c r="L3200" s="4562">
        <f>XLOOKUP(B3200,'_Sys|Line_Map'!$A:$A,'_Sys|Line_Map'!$B:$B,"MISSING",0)</f>
        <v/>
      </c>
    </row>
    <row r="3201">
      <c r="A3201" s="4561" t="n"/>
      <c r="B3201" s="4561" t="n"/>
      <c r="C3201" s="4561" t="n"/>
      <c r="D3201" s="4561" t="n"/>
      <c r="E3201" s="4561" t="n"/>
      <c r="F3201" s="4561" t="n"/>
      <c r="G3201" s="4561" t="n"/>
      <c r="H3201" s="4561" t="n"/>
      <c r="I3201" s="4562">
        <f>XLOOKUP(B3201,'_Sys|Line_Map'!$A:$A,'_Sys|Line_Map'!$C:$C,"MISSING",0)</f>
        <v/>
      </c>
      <c r="J3201" s="4562">
        <f>XLOOKUP(B3201,'_Sys|Line_Map'!$A:$A,'_Sys|Line_Map'!$D:$D,1,0)</f>
        <v/>
      </c>
      <c r="K3201" s="4562">
        <f>IF(D3201="","",D3201*J3201)</f>
        <v/>
      </c>
      <c r="L3201" s="4562">
        <f>XLOOKUP(B3201,'_Sys|Line_Map'!$A:$A,'_Sys|Line_Map'!$B:$B,"MISSING",0)</f>
        <v/>
      </c>
    </row>
    <row r="3202">
      <c r="A3202" s="4561" t="n"/>
      <c r="B3202" s="4561" t="n"/>
      <c r="C3202" s="4561" t="n"/>
      <c r="D3202" s="4561" t="n"/>
      <c r="E3202" s="4561" t="n"/>
      <c r="F3202" s="4561" t="n"/>
      <c r="G3202" s="4561" t="n"/>
      <c r="H3202" s="4561" t="n"/>
      <c r="I3202" s="4562">
        <f>XLOOKUP(B3202,'_Sys|Line_Map'!$A:$A,'_Sys|Line_Map'!$C:$C,"MISSING",0)</f>
        <v/>
      </c>
      <c r="J3202" s="4562">
        <f>XLOOKUP(B3202,'_Sys|Line_Map'!$A:$A,'_Sys|Line_Map'!$D:$D,1,0)</f>
        <v/>
      </c>
      <c r="K3202" s="4562">
        <f>IF(D3202="","",D3202*J3202)</f>
        <v/>
      </c>
      <c r="L3202" s="4562">
        <f>XLOOKUP(B3202,'_Sys|Line_Map'!$A:$A,'_Sys|Line_Map'!$B:$B,"MISSING",0)</f>
        <v/>
      </c>
    </row>
    <row r="3203">
      <c r="A3203" s="4561" t="n"/>
      <c r="B3203" s="4561" t="n"/>
      <c r="C3203" s="4561" t="n"/>
      <c r="D3203" s="4561" t="n"/>
      <c r="E3203" s="4561" t="n"/>
      <c r="F3203" s="4561" t="n"/>
      <c r="G3203" s="4561" t="n"/>
      <c r="H3203" s="4561" t="n"/>
      <c r="I3203" s="4562">
        <f>XLOOKUP(B3203,'_Sys|Line_Map'!$A:$A,'_Sys|Line_Map'!$C:$C,"MISSING",0)</f>
        <v/>
      </c>
      <c r="J3203" s="4562">
        <f>XLOOKUP(B3203,'_Sys|Line_Map'!$A:$A,'_Sys|Line_Map'!$D:$D,1,0)</f>
        <v/>
      </c>
      <c r="K3203" s="4562">
        <f>IF(D3203="","",D3203*J3203)</f>
        <v/>
      </c>
      <c r="L3203" s="4562">
        <f>XLOOKUP(B3203,'_Sys|Line_Map'!$A:$A,'_Sys|Line_Map'!$B:$B,"MISSING",0)</f>
        <v/>
      </c>
    </row>
    <row r="3204">
      <c r="A3204" s="4561" t="n"/>
      <c r="B3204" s="4561" t="n"/>
      <c r="C3204" s="4561" t="n"/>
      <c r="D3204" s="4561" t="n"/>
      <c r="E3204" s="4561" t="n"/>
      <c r="F3204" s="4561" t="n"/>
      <c r="G3204" s="4561" t="n"/>
      <c r="H3204" s="4561" t="n"/>
      <c r="I3204" s="4562">
        <f>XLOOKUP(B3204,'_Sys|Line_Map'!$A:$A,'_Sys|Line_Map'!$C:$C,"MISSING",0)</f>
        <v/>
      </c>
      <c r="J3204" s="4562">
        <f>XLOOKUP(B3204,'_Sys|Line_Map'!$A:$A,'_Sys|Line_Map'!$D:$D,1,0)</f>
        <v/>
      </c>
      <c r="K3204" s="4562">
        <f>IF(D3204="","",D3204*J3204)</f>
        <v/>
      </c>
      <c r="L3204" s="4562">
        <f>XLOOKUP(B3204,'_Sys|Line_Map'!$A:$A,'_Sys|Line_Map'!$B:$B,"MISSING",0)</f>
        <v/>
      </c>
    </row>
    <row r="3205">
      <c r="A3205" s="4561" t="n"/>
      <c r="B3205" s="4561" t="n"/>
      <c r="C3205" s="4561" t="n"/>
      <c r="D3205" s="4561" t="n"/>
      <c r="E3205" s="4561" t="n"/>
      <c r="F3205" s="4561" t="n"/>
      <c r="G3205" s="4561" t="n"/>
      <c r="H3205" s="4561" t="n"/>
      <c r="I3205" s="4562">
        <f>XLOOKUP(B3205,'_Sys|Line_Map'!$A:$A,'_Sys|Line_Map'!$C:$C,"MISSING",0)</f>
        <v/>
      </c>
      <c r="J3205" s="4562">
        <f>XLOOKUP(B3205,'_Sys|Line_Map'!$A:$A,'_Sys|Line_Map'!$D:$D,1,0)</f>
        <v/>
      </c>
      <c r="K3205" s="4562">
        <f>IF(D3205="","",D3205*J3205)</f>
        <v/>
      </c>
      <c r="L3205" s="4562">
        <f>XLOOKUP(B3205,'_Sys|Line_Map'!$A:$A,'_Sys|Line_Map'!$B:$B,"MISSING",0)</f>
        <v/>
      </c>
    </row>
    <row r="3206">
      <c r="A3206" s="4561" t="n"/>
      <c r="B3206" s="4561" t="n"/>
      <c r="C3206" s="4561" t="n"/>
      <c r="D3206" s="4561" t="n"/>
      <c r="E3206" s="4561" t="n"/>
      <c r="F3206" s="4561" t="n"/>
      <c r="G3206" s="4561" t="n"/>
      <c r="H3206" s="4561" t="n"/>
      <c r="I3206" s="4562">
        <f>XLOOKUP(B3206,'_Sys|Line_Map'!$A:$A,'_Sys|Line_Map'!$C:$C,"MISSING",0)</f>
        <v/>
      </c>
      <c r="J3206" s="4562">
        <f>XLOOKUP(B3206,'_Sys|Line_Map'!$A:$A,'_Sys|Line_Map'!$D:$D,1,0)</f>
        <v/>
      </c>
      <c r="K3206" s="4562">
        <f>IF(D3206="","",D3206*J3206)</f>
        <v/>
      </c>
      <c r="L3206" s="4562">
        <f>XLOOKUP(B3206,'_Sys|Line_Map'!$A:$A,'_Sys|Line_Map'!$B:$B,"MISSING",0)</f>
        <v/>
      </c>
    </row>
    <row r="3207">
      <c r="A3207" s="4561" t="n"/>
      <c r="B3207" s="4561" t="n"/>
      <c r="C3207" s="4561" t="n"/>
      <c r="D3207" s="4561" t="n"/>
      <c r="E3207" s="4561" t="n"/>
      <c r="F3207" s="4561" t="n"/>
      <c r="G3207" s="4561" t="n"/>
      <c r="H3207" s="4561" t="n"/>
      <c r="I3207" s="4562">
        <f>XLOOKUP(B3207,'_Sys|Line_Map'!$A:$A,'_Sys|Line_Map'!$C:$C,"MISSING",0)</f>
        <v/>
      </c>
      <c r="J3207" s="4562">
        <f>XLOOKUP(B3207,'_Sys|Line_Map'!$A:$A,'_Sys|Line_Map'!$D:$D,1,0)</f>
        <v/>
      </c>
      <c r="K3207" s="4562">
        <f>IF(D3207="","",D3207*J3207)</f>
        <v/>
      </c>
      <c r="L3207" s="4562">
        <f>XLOOKUP(B3207,'_Sys|Line_Map'!$A:$A,'_Sys|Line_Map'!$B:$B,"MISSING",0)</f>
        <v/>
      </c>
    </row>
    <row r="3208">
      <c r="A3208" s="4561" t="n"/>
      <c r="B3208" s="4561" t="n"/>
      <c r="C3208" s="4561" t="n"/>
      <c r="D3208" s="4561" t="n"/>
      <c r="E3208" s="4561" t="n"/>
      <c r="F3208" s="4561" t="n"/>
      <c r="G3208" s="4561" t="n"/>
      <c r="H3208" s="4561" t="n"/>
      <c r="I3208" s="4562">
        <f>XLOOKUP(B3208,'_Sys|Line_Map'!$A:$A,'_Sys|Line_Map'!$C:$C,"MISSING",0)</f>
        <v/>
      </c>
      <c r="J3208" s="4562">
        <f>XLOOKUP(B3208,'_Sys|Line_Map'!$A:$A,'_Sys|Line_Map'!$D:$D,1,0)</f>
        <v/>
      </c>
      <c r="K3208" s="4562">
        <f>IF(D3208="","",D3208*J3208)</f>
        <v/>
      </c>
      <c r="L3208" s="4562">
        <f>XLOOKUP(B3208,'_Sys|Line_Map'!$A:$A,'_Sys|Line_Map'!$B:$B,"MISSING",0)</f>
        <v/>
      </c>
    </row>
    <row r="3209">
      <c r="A3209" s="4561" t="n"/>
      <c r="B3209" s="4561" t="n"/>
      <c r="C3209" s="4561" t="n"/>
      <c r="D3209" s="4561" t="n"/>
      <c r="E3209" s="4561" t="n"/>
      <c r="F3209" s="4561" t="n"/>
      <c r="G3209" s="4561" t="n"/>
      <c r="H3209" s="4561" t="n"/>
      <c r="I3209" s="4562">
        <f>XLOOKUP(B3209,'_Sys|Line_Map'!$A:$A,'_Sys|Line_Map'!$C:$C,"MISSING",0)</f>
        <v/>
      </c>
      <c r="J3209" s="4562">
        <f>XLOOKUP(B3209,'_Sys|Line_Map'!$A:$A,'_Sys|Line_Map'!$D:$D,1,0)</f>
        <v/>
      </c>
      <c r="K3209" s="4562">
        <f>IF(D3209="","",D3209*J3209)</f>
        <v/>
      </c>
      <c r="L3209" s="4562">
        <f>XLOOKUP(B3209,'_Sys|Line_Map'!$A:$A,'_Sys|Line_Map'!$B:$B,"MISSING",0)</f>
        <v/>
      </c>
    </row>
    <row r="3210">
      <c r="A3210" s="4561" t="n"/>
      <c r="B3210" s="4561" t="n"/>
      <c r="C3210" s="4561" t="n"/>
      <c r="D3210" s="4561" t="n"/>
      <c r="E3210" s="4561" t="n"/>
      <c r="F3210" s="4561" t="n"/>
      <c r="G3210" s="4561" t="n"/>
      <c r="H3210" s="4561" t="n"/>
      <c r="I3210" s="4562">
        <f>XLOOKUP(B3210,'_Sys|Line_Map'!$A:$A,'_Sys|Line_Map'!$C:$C,"MISSING",0)</f>
        <v/>
      </c>
      <c r="J3210" s="4562">
        <f>XLOOKUP(B3210,'_Sys|Line_Map'!$A:$A,'_Sys|Line_Map'!$D:$D,1,0)</f>
        <v/>
      </c>
      <c r="K3210" s="4562">
        <f>IF(D3210="","",D3210*J3210)</f>
        <v/>
      </c>
      <c r="L3210" s="4562">
        <f>XLOOKUP(B3210,'_Sys|Line_Map'!$A:$A,'_Sys|Line_Map'!$B:$B,"MISSING",0)</f>
        <v/>
      </c>
    </row>
    <row r="3211">
      <c r="A3211" s="4561" t="n"/>
      <c r="B3211" s="4561" t="n"/>
      <c r="C3211" s="4561" t="n"/>
      <c r="D3211" s="4561" t="n"/>
      <c r="E3211" s="4561" t="n"/>
      <c r="F3211" s="4561" t="n"/>
      <c r="G3211" s="4561" t="n"/>
      <c r="H3211" s="4561" t="n"/>
      <c r="I3211" s="4562">
        <f>XLOOKUP(B3211,'_Sys|Line_Map'!$A:$A,'_Sys|Line_Map'!$C:$C,"MISSING",0)</f>
        <v/>
      </c>
      <c r="J3211" s="4562">
        <f>XLOOKUP(B3211,'_Sys|Line_Map'!$A:$A,'_Sys|Line_Map'!$D:$D,1,0)</f>
        <v/>
      </c>
      <c r="K3211" s="4562">
        <f>IF(D3211="","",D3211*J3211)</f>
        <v/>
      </c>
      <c r="L3211" s="4562">
        <f>XLOOKUP(B3211,'_Sys|Line_Map'!$A:$A,'_Sys|Line_Map'!$B:$B,"MISSING",0)</f>
        <v/>
      </c>
    </row>
    <row r="3212">
      <c r="A3212" s="4561" t="n"/>
      <c r="B3212" s="4561" t="n"/>
      <c r="C3212" s="4561" t="n"/>
      <c r="D3212" s="4561" t="n"/>
      <c r="E3212" s="4561" t="n"/>
      <c r="F3212" s="4561" t="n"/>
      <c r="G3212" s="4561" t="n"/>
      <c r="H3212" s="4561" t="n"/>
      <c r="I3212" s="4562">
        <f>XLOOKUP(B3212,'_Sys|Line_Map'!$A:$A,'_Sys|Line_Map'!$C:$C,"MISSING",0)</f>
        <v/>
      </c>
      <c r="J3212" s="4562">
        <f>XLOOKUP(B3212,'_Sys|Line_Map'!$A:$A,'_Sys|Line_Map'!$D:$D,1,0)</f>
        <v/>
      </c>
      <c r="K3212" s="4562">
        <f>IF(D3212="","",D3212*J3212)</f>
        <v/>
      </c>
      <c r="L3212" s="4562">
        <f>XLOOKUP(B3212,'_Sys|Line_Map'!$A:$A,'_Sys|Line_Map'!$B:$B,"MISSING",0)</f>
        <v/>
      </c>
    </row>
    <row r="3213">
      <c r="A3213" s="4561" t="n"/>
      <c r="B3213" s="4561" t="n"/>
      <c r="C3213" s="4561" t="n"/>
      <c r="D3213" s="4561" t="n"/>
      <c r="E3213" s="4561" t="n"/>
      <c r="F3213" s="4561" t="n"/>
      <c r="G3213" s="4561" t="n"/>
      <c r="H3213" s="4561" t="n"/>
      <c r="I3213" s="4562">
        <f>XLOOKUP(B3213,'_Sys|Line_Map'!$A:$A,'_Sys|Line_Map'!$C:$C,"MISSING",0)</f>
        <v/>
      </c>
      <c r="J3213" s="4562">
        <f>XLOOKUP(B3213,'_Sys|Line_Map'!$A:$A,'_Sys|Line_Map'!$D:$D,1,0)</f>
        <v/>
      </c>
      <c r="K3213" s="4562">
        <f>IF(D3213="","",D3213*J3213)</f>
        <v/>
      </c>
      <c r="L3213" s="4562">
        <f>XLOOKUP(B3213,'_Sys|Line_Map'!$A:$A,'_Sys|Line_Map'!$B:$B,"MISSING",0)</f>
        <v/>
      </c>
    </row>
    <row r="3214">
      <c r="A3214" s="4561" t="n"/>
      <c r="B3214" s="4561" t="n"/>
      <c r="C3214" s="4561" t="n"/>
      <c r="D3214" s="4561" t="n"/>
      <c r="E3214" s="4561" t="n"/>
      <c r="F3214" s="4561" t="n"/>
      <c r="G3214" s="4561" t="n"/>
      <c r="H3214" s="4561" t="n"/>
      <c r="I3214" s="4562">
        <f>XLOOKUP(B3214,'_Sys|Line_Map'!$A:$A,'_Sys|Line_Map'!$C:$C,"MISSING",0)</f>
        <v/>
      </c>
      <c r="J3214" s="4562">
        <f>XLOOKUP(B3214,'_Sys|Line_Map'!$A:$A,'_Sys|Line_Map'!$D:$D,1,0)</f>
        <v/>
      </c>
      <c r="K3214" s="4562">
        <f>IF(D3214="","",D3214*J3214)</f>
        <v/>
      </c>
      <c r="L3214" s="4562">
        <f>XLOOKUP(B3214,'_Sys|Line_Map'!$A:$A,'_Sys|Line_Map'!$B:$B,"MISSING",0)</f>
        <v/>
      </c>
    </row>
    <row r="3215">
      <c r="A3215" s="4561" t="n"/>
      <c r="B3215" s="4561" t="n"/>
      <c r="C3215" s="4561" t="n"/>
      <c r="D3215" s="4561" t="n"/>
      <c r="E3215" s="4561" t="n"/>
      <c r="F3215" s="4561" t="n"/>
      <c r="G3215" s="4561" t="n"/>
      <c r="H3215" s="4561" t="n"/>
      <c r="I3215" s="4562">
        <f>XLOOKUP(B3215,'_Sys|Line_Map'!$A:$A,'_Sys|Line_Map'!$C:$C,"MISSING",0)</f>
        <v/>
      </c>
      <c r="J3215" s="4562">
        <f>XLOOKUP(B3215,'_Sys|Line_Map'!$A:$A,'_Sys|Line_Map'!$D:$D,1,0)</f>
        <v/>
      </c>
      <c r="K3215" s="4562">
        <f>IF(D3215="","",D3215*J3215)</f>
        <v/>
      </c>
      <c r="L3215" s="4562">
        <f>XLOOKUP(B3215,'_Sys|Line_Map'!$A:$A,'_Sys|Line_Map'!$B:$B,"MISSING",0)</f>
        <v/>
      </c>
    </row>
    <row r="3216">
      <c r="A3216" s="4561" t="n"/>
      <c r="B3216" s="4561" t="n"/>
      <c r="C3216" s="4561" t="n"/>
      <c r="D3216" s="4561" t="n"/>
      <c r="E3216" s="4561" t="n"/>
      <c r="F3216" s="4561" t="n"/>
      <c r="G3216" s="4561" t="n"/>
      <c r="H3216" s="4561" t="n"/>
      <c r="I3216" s="4562">
        <f>XLOOKUP(B3216,'_Sys|Line_Map'!$A:$A,'_Sys|Line_Map'!$C:$C,"MISSING",0)</f>
        <v/>
      </c>
      <c r="J3216" s="4562">
        <f>XLOOKUP(B3216,'_Sys|Line_Map'!$A:$A,'_Sys|Line_Map'!$D:$D,1,0)</f>
        <v/>
      </c>
      <c r="K3216" s="4562">
        <f>IF(D3216="","",D3216*J3216)</f>
        <v/>
      </c>
      <c r="L3216" s="4562">
        <f>XLOOKUP(B3216,'_Sys|Line_Map'!$A:$A,'_Sys|Line_Map'!$B:$B,"MISSING",0)</f>
        <v/>
      </c>
    </row>
    <row r="3217">
      <c r="A3217" s="4561" t="n"/>
      <c r="B3217" s="4561" t="n"/>
      <c r="C3217" s="4561" t="n"/>
      <c r="D3217" s="4561" t="n"/>
      <c r="E3217" s="4561" t="n"/>
      <c r="F3217" s="4561" t="n"/>
      <c r="G3217" s="4561" t="n"/>
      <c r="H3217" s="4561" t="n"/>
      <c r="I3217" s="4562">
        <f>XLOOKUP(B3217,'_Sys|Line_Map'!$A:$A,'_Sys|Line_Map'!$C:$C,"MISSING",0)</f>
        <v/>
      </c>
      <c r="J3217" s="4562">
        <f>XLOOKUP(B3217,'_Sys|Line_Map'!$A:$A,'_Sys|Line_Map'!$D:$D,1,0)</f>
        <v/>
      </c>
      <c r="K3217" s="4562">
        <f>IF(D3217="","",D3217*J3217)</f>
        <v/>
      </c>
      <c r="L3217" s="4562">
        <f>XLOOKUP(B3217,'_Sys|Line_Map'!$A:$A,'_Sys|Line_Map'!$B:$B,"MISSING",0)</f>
        <v/>
      </c>
    </row>
    <row r="3218">
      <c r="A3218" s="4561" t="n"/>
      <c r="B3218" s="4561" t="n"/>
      <c r="C3218" s="4561" t="n"/>
      <c r="D3218" s="4561" t="n"/>
      <c r="E3218" s="4561" t="n"/>
      <c r="F3218" s="4561" t="n"/>
      <c r="G3218" s="4561" t="n"/>
      <c r="H3218" s="4561" t="n"/>
      <c r="I3218" s="4562">
        <f>XLOOKUP(B3218,'_Sys|Line_Map'!$A:$A,'_Sys|Line_Map'!$C:$C,"MISSING",0)</f>
        <v/>
      </c>
      <c r="J3218" s="4562">
        <f>XLOOKUP(B3218,'_Sys|Line_Map'!$A:$A,'_Sys|Line_Map'!$D:$D,1,0)</f>
        <v/>
      </c>
      <c r="K3218" s="4562">
        <f>IF(D3218="","",D3218*J3218)</f>
        <v/>
      </c>
      <c r="L3218" s="4562">
        <f>XLOOKUP(B3218,'_Sys|Line_Map'!$A:$A,'_Sys|Line_Map'!$B:$B,"MISSING",0)</f>
        <v/>
      </c>
    </row>
    <row r="3219">
      <c r="A3219" s="4561" t="n"/>
      <c r="B3219" s="4561" t="n"/>
      <c r="C3219" s="4561" t="n"/>
      <c r="D3219" s="4561" t="n"/>
      <c r="E3219" s="4561" t="n"/>
      <c r="F3219" s="4561" t="n"/>
      <c r="G3219" s="4561" t="n"/>
      <c r="H3219" s="4561" t="n"/>
      <c r="I3219" s="4562">
        <f>XLOOKUP(B3219,'_Sys|Line_Map'!$A:$A,'_Sys|Line_Map'!$C:$C,"MISSING",0)</f>
        <v/>
      </c>
      <c r="J3219" s="4562">
        <f>XLOOKUP(B3219,'_Sys|Line_Map'!$A:$A,'_Sys|Line_Map'!$D:$D,1,0)</f>
        <v/>
      </c>
      <c r="K3219" s="4562">
        <f>IF(D3219="","",D3219*J3219)</f>
        <v/>
      </c>
      <c r="L3219" s="4562">
        <f>XLOOKUP(B3219,'_Sys|Line_Map'!$A:$A,'_Sys|Line_Map'!$B:$B,"MISSING",0)</f>
        <v/>
      </c>
    </row>
    <row r="3220">
      <c r="A3220" s="4561" t="n"/>
      <c r="B3220" s="4561" t="n"/>
      <c r="C3220" s="4561" t="n"/>
      <c r="D3220" s="4561" t="n"/>
      <c r="E3220" s="4561" t="n"/>
      <c r="F3220" s="4561" t="n"/>
      <c r="G3220" s="4561" t="n"/>
      <c r="H3220" s="4561" t="n"/>
      <c r="I3220" s="4562">
        <f>XLOOKUP(B3220,'_Sys|Line_Map'!$A:$A,'_Sys|Line_Map'!$C:$C,"MISSING",0)</f>
        <v/>
      </c>
      <c r="J3220" s="4562">
        <f>XLOOKUP(B3220,'_Sys|Line_Map'!$A:$A,'_Sys|Line_Map'!$D:$D,1,0)</f>
        <v/>
      </c>
      <c r="K3220" s="4562">
        <f>IF(D3220="","",D3220*J3220)</f>
        <v/>
      </c>
      <c r="L3220" s="4562">
        <f>XLOOKUP(B3220,'_Sys|Line_Map'!$A:$A,'_Sys|Line_Map'!$B:$B,"MISSING",0)</f>
        <v/>
      </c>
    </row>
    <row r="3221">
      <c r="A3221" s="4561" t="n"/>
      <c r="B3221" s="4561" t="n"/>
      <c r="C3221" s="4561" t="n"/>
      <c r="D3221" s="4561" t="n"/>
      <c r="E3221" s="4561" t="n"/>
      <c r="F3221" s="4561" t="n"/>
      <c r="G3221" s="4561" t="n"/>
      <c r="H3221" s="4561" t="n"/>
      <c r="I3221" s="4562">
        <f>XLOOKUP(B3221,'_Sys|Line_Map'!$A:$A,'_Sys|Line_Map'!$C:$C,"MISSING",0)</f>
        <v/>
      </c>
      <c r="J3221" s="4562">
        <f>XLOOKUP(B3221,'_Sys|Line_Map'!$A:$A,'_Sys|Line_Map'!$D:$D,1,0)</f>
        <v/>
      </c>
      <c r="K3221" s="4562">
        <f>IF(D3221="","",D3221*J3221)</f>
        <v/>
      </c>
      <c r="L3221" s="4562">
        <f>XLOOKUP(B3221,'_Sys|Line_Map'!$A:$A,'_Sys|Line_Map'!$B:$B,"MISSING",0)</f>
        <v/>
      </c>
    </row>
    <row r="3222">
      <c r="A3222" s="4561" t="n"/>
      <c r="B3222" s="4561" t="n"/>
      <c r="C3222" s="4561" t="n"/>
      <c r="D3222" s="4561" t="n"/>
      <c r="E3222" s="4561" t="n"/>
      <c r="F3222" s="4561" t="n"/>
      <c r="G3222" s="4561" t="n"/>
      <c r="H3222" s="4561" t="n"/>
      <c r="I3222" s="4562">
        <f>XLOOKUP(B3222,'_Sys|Line_Map'!$A:$A,'_Sys|Line_Map'!$C:$C,"MISSING",0)</f>
        <v/>
      </c>
      <c r="J3222" s="4562">
        <f>XLOOKUP(B3222,'_Sys|Line_Map'!$A:$A,'_Sys|Line_Map'!$D:$D,1,0)</f>
        <v/>
      </c>
      <c r="K3222" s="4562">
        <f>IF(D3222="","",D3222*J3222)</f>
        <v/>
      </c>
      <c r="L3222" s="4562">
        <f>XLOOKUP(B3222,'_Sys|Line_Map'!$A:$A,'_Sys|Line_Map'!$B:$B,"MISSING",0)</f>
        <v/>
      </c>
    </row>
    <row r="3223">
      <c r="A3223" s="4561" t="n"/>
      <c r="B3223" s="4561" t="n"/>
      <c r="C3223" s="4561" t="n"/>
      <c r="D3223" s="4561" t="n"/>
      <c r="E3223" s="4561" t="n"/>
      <c r="F3223" s="4561" t="n"/>
      <c r="G3223" s="4561" t="n"/>
      <c r="H3223" s="4561" t="n"/>
      <c r="I3223" s="4562">
        <f>XLOOKUP(B3223,'_Sys|Line_Map'!$A:$A,'_Sys|Line_Map'!$C:$C,"MISSING",0)</f>
        <v/>
      </c>
      <c r="J3223" s="4562">
        <f>XLOOKUP(B3223,'_Sys|Line_Map'!$A:$A,'_Sys|Line_Map'!$D:$D,1,0)</f>
        <v/>
      </c>
      <c r="K3223" s="4562">
        <f>IF(D3223="","",D3223*J3223)</f>
        <v/>
      </c>
      <c r="L3223" s="4562">
        <f>XLOOKUP(B3223,'_Sys|Line_Map'!$A:$A,'_Sys|Line_Map'!$B:$B,"MISSING",0)</f>
        <v/>
      </c>
    </row>
    <row r="3224">
      <c r="A3224" s="4561" t="n"/>
      <c r="B3224" s="4561" t="n"/>
      <c r="C3224" s="4561" t="n"/>
      <c r="D3224" s="4561" t="n"/>
      <c r="E3224" s="4561" t="n"/>
      <c r="F3224" s="4561" t="n"/>
      <c r="G3224" s="4561" t="n"/>
      <c r="H3224" s="4561" t="n"/>
      <c r="I3224" s="4562">
        <f>XLOOKUP(B3224,'_Sys|Line_Map'!$A:$A,'_Sys|Line_Map'!$C:$C,"MISSING",0)</f>
        <v/>
      </c>
      <c r="J3224" s="4562">
        <f>XLOOKUP(B3224,'_Sys|Line_Map'!$A:$A,'_Sys|Line_Map'!$D:$D,1,0)</f>
        <v/>
      </c>
      <c r="K3224" s="4562">
        <f>IF(D3224="","",D3224*J3224)</f>
        <v/>
      </c>
      <c r="L3224" s="4562">
        <f>XLOOKUP(B3224,'_Sys|Line_Map'!$A:$A,'_Sys|Line_Map'!$B:$B,"MISSING",0)</f>
        <v/>
      </c>
    </row>
    <row r="3225">
      <c r="A3225" s="4561" t="n"/>
      <c r="B3225" s="4561" t="n"/>
      <c r="C3225" s="4561" t="n"/>
      <c r="D3225" s="4561" t="n"/>
      <c r="E3225" s="4561" t="n"/>
      <c r="F3225" s="4561" t="n"/>
      <c r="G3225" s="4561" t="n"/>
      <c r="H3225" s="4561" t="n"/>
      <c r="I3225" s="4562">
        <f>XLOOKUP(B3225,'_Sys|Line_Map'!$A:$A,'_Sys|Line_Map'!$C:$C,"MISSING",0)</f>
        <v/>
      </c>
      <c r="J3225" s="4562">
        <f>XLOOKUP(B3225,'_Sys|Line_Map'!$A:$A,'_Sys|Line_Map'!$D:$D,1,0)</f>
        <v/>
      </c>
      <c r="K3225" s="4562">
        <f>IF(D3225="","",D3225*J3225)</f>
        <v/>
      </c>
      <c r="L3225" s="4562">
        <f>XLOOKUP(B3225,'_Sys|Line_Map'!$A:$A,'_Sys|Line_Map'!$B:$B,"MISSING",0)</f>
        <v/>
      </c>
    </row>
    <row r="3226">
      <c r="A3226" s="4561" t="n"/>
      <c r="B3226" s="4561" t="n"/>
      <c r="C3226" s="4561" t="n"/>
      <c r="D3226" s="4561" t="n"/>
      <c r="E3226" s="4561" t="n"/>
      <c r="F3226" s="4561" t="n"/>
      <c r="G3226" s="4561" t="n"/>
      <c r="H3226" s="4561" t="n"/>
      <c r="I3226" s="4562">
        <f>XLOOKUP(B3226,'_Sys|Line_Map'!$A:$A,'_Sys|Line_Map'!$C:$C,"MISSING",0)</f>
        <v/>
      </c>
      <c r="J3226" s="4562">
        <f>XLOOKUP(B3226,'_Sys|Line_Map'!$A:$A,'_Sys|Line_Map'!$D:$D,1,0)</f>
        <v/>
      </c>
      <c r="K3226" s="4562">
        <f>IF(D3226="","",D3226*J3226)</f>
        <v/>
      </c>
      <c r="L3226" s="4562">
        <f>XLOOKUP(B3226,'_Sys|Line_Map'!$A:$A,'_Sys|Line_Map'!$B:$B,"MISSING",0)</f>
        <v/>
      </c>
    </row>
    <row r="3227">
      <c r="A3227" s="4561" t="n"/>
      <c r="B3227" s="4561" t="n"/>
      <c r="C3227" s="4561" t="n"/>
      <c r="D3227" s="4561" t="n"/>
      <c r="E3227" s="4561" t="n"/>
      <c r="F3227" s="4561" t="n"/>
      <c r="G3227" s="4561" t="n"/>
      <c r="H3227" s="4561" t="n"/>
      <c r="I3227" s="4562">
        <f>XLOOKUP(B3227,'_Sys|Line_Map'!$A:$A,'_Sys|Line_Map'!$C:$C,"MISSING",0)</f>
        <v/>
      </c>
      <c r="J3227" s="4562">
        <f>XLOOKUP(B3227,'_Sys|Line_Map'!$A:$A,'_Sys|Line_Map'!$D:$D,1,0)</f>
        <v/>
      </c>
      <c r="K3227" s="4562">
        <f>IF(D3227="","",D3227*J3227)</f>
        <v/>
      </c>
      <c r="L3227" s="4562">
        <f>XLOOKUP(B3227,'_Sys|Line_Map'!$A:$A,'_Sys|Line_Map'!$B:$B,"MISSING",0)</f>
        <v/>
      </c>
    </row>
    <row r="3228">
      <c r="A3228" s="4561" t="n"/>
      <c r="B3228" s="4561" t="n"/>
      <c r="C3228" s="4561" t="n"/>
      <c r="D3228" s="4561" t="n"/>
      <c r="E3228" s="4561" t="n"/>
      <c r="F3228" s="4561" t="n"/>
      <c r="G3228" s="4561" t="n"/>
      <c r="H3228" s="4561" t="n"/>
      <c r="I3228" s="4562">
        <f>XLOOKUP(B3228,'_Sys|Line_Map'!$A:$A,'_Sys|Line_Map'!$C:$C,"MISSING",0)</f>
        <v/>
      </c>
      <c r="J3228" s="4562">
        <f>XLOOKUP(B3228,'_Sys|Line_Map'!$A:$A,'_Sys|Line_Map'!$D:$D,1,0)</f>
        <v/>
      </c>
      <c r="K3228" s="4562">
        <f>IF(D3228="","",D3228*J3228)</f>
        <v/>
      </c>
      <c r="L3228" s="4562">
        <f>XLOOKUP(B3228,'_Sys|Line_Map'!$A:$A,'_Sys|Line_Map'!$B:$B,"MISSING",0)</f>
        <v/>
      </c>
    </row>
    <row r="3229">
      <c r="A3229" s="4561" t="n"/>
      <c r="B3229" s="4561" t="n"/>
      <c r="C3229" s="4561" t="n"/>
      <c r="D3229" s="4561" t="n"/>
      <c r="E3229" s="4561" t="n"/>
      <c r="F3229" s="4561" t="n"/>
      <c r="G3229" s="4561" t="n"/>
      <c r="H3229" s="4561" t="n"/>
      <c r="I3229" s="4562">
        <f>XLOOKUP(B3229,'_Sys|Line_Map'!$A:$A,'_Sys|Line_Map'!$C:$C,"MISSING",0)</f>
        <v/>
      </c>
      <c r="J3229" s="4562">
        <f>XLOOKUP(B3229,'_Sys|Line_Map'!$A:$A,'_Sys|Line_Map'!$D:$D,1,0)</f>
        <v/>
      </c>
      <c r="K3229" s="4562">
        <f>IF(D3229="","",D3229*J3229)</f>
        <v/>
      </c>
      <c r="L3229" s="4562">
        <f>XLOOKUP(B3229,'_Sys|Line_Map'!$A:$A,'_Sys|Line_Map'!$B:$B,"MISSING",0)</f>
        <v/>
      </c>
    </row>
    <row r="3230">
      <c r="A3230" s="4561" t="n"/>
      <c r="B3230" s="4561" t="n"/>
      <c r="C3230" s="4561" t="n"/>
      <c r="D3230" s="4561" t="n"/>
      <c r="E3230" s="4561" t="n"/>
      <c r="F3230" s="4561" t="n"/>
      <c r="G3230" s="4561" t="n"/>
      <c r="H3230" s="4561" t="n"/>
      <c r="I3230" s="4562">
        <f>XLOOKUP(B3230,'_Sys|Line_Map'!$A:$A,'_Sys|Line_Map'!$C:$C,"MISSING",0)</f>
        <v/>
      </c>
      <c r="J3230" s="4562">
        <f>XLOOKUP(B3230,'_Sys|Line_Map'!$A:$A,'_Sys|Line_Map'!$D:$D,1,0)</f>
        <v/>
      </c>
      <c r="K3230" s="4562">
        <f>IF(D3230="","",D3230*J3230)</f>
        <v/>
      </c>
      <c r="L3230" s="4562">
        <f>XLOOKUP(B3230,'_Sys|Line_Map'!$A:$A,'_Sys|Line_Map'!$B:$B,"MISSING",0)</f>
        <v/>
      </c>
    </row>
    <row r="3231">
      <c r="A3231" s="4561" t="n"/>
      <c r="B3231" s="4561" t="n"/>
      <c r="C3231" s="4561" t="n"/>
      <c r="D3231" s="4561" t="n"/>
      <c r="E3231" s="4561" t="n"/>
      <c r="F3231" s="4561" t="n"/>
      <c r="G3231" s="4561" t="n"/>
      <c r="H3231" s="4561" t="n"/>
      <c r="I3231" s="4562">
        <f>XLOOKUP(B3231,'_Sys|Line_Map'!$A:$A,'_Sys|Line_Map'!$C:$C,"MISSING",0)</f>
        <v/>
      </c>
      <c r="J3231" s="4562">
        <f>XLOOKUP(B3231,'_Sys|Line_Map'!$A:$A,'_Sys|Line_Map'!$D:$D,1,0)</f>
        <v/>
      </c>
      <c r="K3231" s="4562">
        <f>IF(D3231="","",D3231*J3231)</f>
        <v/>
      </c>
      <c r="L3231" s="4562">
        <f>XLOOKUP(B3231,'_Sys|Line_Map'!$A:$A,'_Sys|Line_Map'!$B:$B,"MISSING",0)</f>
        <v/>
      </c>
    </row>
    <row r="3232">
      <c r="A3232" s="4561" t="n"/>
      <c r="B3232" s="4561" t="n"/>
      <c r="C3232" s="4561" t="n"/>
      <c r="D3232" s="4561" t="n"/>
      <c r="E3232" s="4561" t="n"/>
      <c r="F3232" s="4561" t="n"/>
      <c r="G3232" s="4561" t="n"/>
      <c r="H3232" s="4561" t="n"/>
      <c r="I3232" s="4562">
        <f>XLOOKUP(B3232,'_Sys|Line_Map'!$A:$A,'_Sys|Line_Map'!$C:$C,"MISSING",0)</f>
        <v/>
      </c>
      <c r="J3232" s="4562">
        <f>XLOOKUP(B3232,'_Sys|Line_Map'!$A:$A,'_Sys|Line_Map'!$D:$D,1,0)</f>
        <v/>
      </c>
      <c r="K3232" s="4562">
        <f>IF(D3232="","",D3232*J3232)</f>
        <v/>
      </c>
      <c r="L3232" s="4562">
        <f>XLOOKUP(B3232,'_Sys|Line_Map'!$A:$A,'_Sys|Line_Map'!$B:$B,"MISSING",0)</f>
        <v/>
      </c>
    </row>
    <row r="3233">
      <c r="A3233" s="4561" t="n"/>
      <c r="B3233" s="4561" t="n"/>
      <c r="C3233" s="4561" t="n"/>
      <c r="D3233" s="4561" t="n"/>
      <c r="E3233" s="4561" t="n"/>
      <c r="F3233" s="4561" t="n"/>
      <c r="G3233" s="4561" t="n"/>
      <c r="H3233" s="4561" t="n"/>
      <c r="I3233" s="4562">
        <f>XLOOKUP(B3233,'_Sys|Line_Map'!$A:$A,'_Sys|Line_Map'!$C:$C,"MISSING",0)</f>
        <v/>
      </c>
      <c r="J3233" s="4562">
        <f>XLOOKUP(B3233,'_Sys|Line_Map'!$A:$A,'_Sys|Line_Map'!$D:$D,1,0)</f>
        <v/>
      </c>
      <c r="K3233" s="4562">
        <f>IF(D3233="","",D3233*J3233)</f>
        <v/>
      </c>
      <c r="L3233" s="4562">
        <f>XLOOKUP(B3233,'_Sys|Line_Map'!$A:$A,'_Sys|Line_Map'!$B:$B,"MISSING",0)</f>
        <v/>
      </c>
    </row>
    <row r="3234">
      <c r="A3234" s="4561" t="n"/>
      <c r="B3234" s="4561" t="n"/>
      <c r="C3234" s="4561" t="n"/>
      <c r="D3234" s="4561" t="n"/>
      <c r="E3234" s="4561" t="n"/>
      <c r="F3234" s="4561" t="n"/>
      <c r="G3234" s="4561" t="n"/>
      <c r="H3234" s="4561" t="n"/>
      <c r="I3234" s="4562">
        <f>XLOOKUP(B3234,'_Sys|Line_Map'!$A:$A,'_Sys|Line_Map'!$C:$C,"MISSING",0)</f>
        <v/>
      </c>
      <c r="J3234" s="4562">
        <f>XLOOKUP(B3234,'_Sys|Line_Map'!$A:$A,'_Sys|Line_Map'!$D:$D,1,0)</f>
        <v/>
      </c>
      <c r="K3234" s="4562">
        <f>IF(D3234="","",D3234*J3234)</f>
        <v/>
      </c>
      <c r="L3234" s="4562">
        <f>XLOOKUP(B3234,'_Sys|Line_Map'!$A:$A,'_Sys|Line_Map'!$B:$B,"MISSING",0)</f>
        <v/>
      </c>
    </row>
    <row r="3235">
      <c r="A3235" s="4561" t="n"/>
      <c r="B3235" s="4561" t="n"/>
      <c r="C3235" s="4561" t="n"/>
      <c r="D3235" s="4561" t="n"/>
      <c r="E3235" s="4561" t="n"/>
      <c r="F3235" s="4561" t="n"/>
      <c r="G3235" s="4561" t="n"/>
      <c r="H3235" s="4561" t="n"/>
      <c r="I3235" s="4562">
        <f>XLOOKUP(B3235,'_Sys|Line_Map'!$A:$A,'_Sys|Line_Map'!$C:$C,"MISSING",0)</f>
        <v/>
      </c>
      <c r="J3235" s="4562">
        <f>XLOOKUP(B3235,'_Sys|Line_Map'!$A:$A,'_Sys|Line_Map'!$D:$D,1,0)</f>
        <v/>
      </c>
      <c r="K3235" s="4562">
        <f>IF(D3235="","",D3235*J3235)</f>
        <v/>
      </c>
      <c r="L3235" s="4562">
        <f>XLOOKUP(B3235,'_Sys|Line_Map'!$A:$A,'_Sys|Line_Map'!$B:$B,"MISSING",0)</f>
        <v/>
      </c>
    </row>
    <row r="3236">
      <c r="A3236" s="4561" t="n"/>
      <c r="B3236" s="4561" t="n"/>
      <c r="C3236" s="4561" t="n"/>
      <c r="D3236" s="4561" t="n"/>
      <c r="E3236" s="4561" t="n"/>
      <c r="F3236" s="4561" t="n"/>
      <c r="G3236" s="4561" t="n"/>
      <c r="H3236" s="4561" t="n"/>
      <c r="I3236" s="4562">
        <f>XLOOKUP(B3236,'_Sys|Line_Map'!$A:$A,'_Sys|Line_Map'!$C:$C,"MISSING",0)</f>
        <v/>
      </c>
      <c r="J3236" s="4562">
        <f>XLOOKUP(B3236,'_Sys|Line_Map'!$A:$A,'_Sys|Line_Map'!$D:$D,1,0)</f>
        <v/>
      </c>
      <c r="K3236" s="4562">
        <f>IF(D3236="","",D3236*J3236)</f>
        <v/>
      </c>
      <c r="L3236" s="4562">
        <f>XLOOKUP(B3236,'_Sys|Line_Map'!$A:$A,'_Sys|Line_Map'!$B:$B,"MISSING",0)</f>
        <v/>
      </c>
    </row>
    <row r="3237">
      <c r="A3237" s="4561" t="n"/>
      <c r="B3237" s="4561" t="n"/>
      <c r="C3237" s="4561" t="n"/>
      <c r="D3237" s="4561" t="n"/>
      <c r="E3237" s="4561" t="n"/>
      <c r="F3237" s="4561" t="n"/>
      <c r="G3237" s="4561" t="n"/>
      <c r="H3237" s="4561" t="n"/>
      <c r="I3237" s="4562">
        <f>XLOOKUP(B3237,'_Sys|Line_Map'!$A:$A,'_Sys|Line_Map'!$C:$C,"MISSING",0)</f>
        <v/>
      </c>
      <c r="J3237" s="4562">
        <f>XLOOKUP(B3237,'_Sys|Line_Map'!$A:$A,'_Sys|Line_Map'!$D:$D,1,0)</f>
        <v/>
      </c>
      <c r="K3237" s="4562">
        <f>IF(D3237="","",D3237*J3237)</f>
        <v/>
      </c>
      <c r="L3237" s="4562">
        <f>XLOOKUP(B3237,'_Sys|Line_Map'!$A:$A,'_Sys|Line_Map'!$B:$B,"MISSING",0)</f>
        <v/>
      </c>
    </row>
    <row r="3238">
      <c r="A3238" s="4561" t="n"/>
      <c r="B3238" s="4561" t="n"/>
      <c r="C3238" s="4561" t="n"/>
      <c r="D3238" s="4561" t="n"/>
      <c r="E3238" s="4561" t="n"/>
      <c r="F3238" s="4561" t="n"/>
      <c r="G3238" s="4561" t="n"/>
      <c r="H3238" s="4561" t="n"/>
      <c r="I3238" s="4562">
        <f>XLOOKUP(B3238,'_Sys|Line_Map'!$A:$A,'_Sys|Line_Map'!$C:$C,"MISSING",0)</f>
        <v/>
      </c>
      <c r="J3238" s="4562">
        <f>XLOOKUP(B3238,'_Sys|Line_Map'!$A:$A,'_Sys|Line_Map'!$D:$D,1,0)</f>
        <v/>
      </c>
      <c r="K3238" s="4562">
        <f>IF(D3238="","",D3238*J3238)</f>
        <v/>
      </c>
      <c r="L3238" s="4562">
        <f>XLOOKUP(B3238,'_Sys|Line_Map'!$A:$A,'_Sys|Line_Map'!$B:$B,"MISSING",0)</f>
        <v/>
      </c>
    </row>
    <row r="3239">
      <c r="A3239" s="4561" t="n"/>
      <c r="B3239" s="4561" t="n"/>
      <c r="C3239" s="4561" t="n"/>
      <c r="D3239" s="4561" t="n"/>
      <c r="E3239" s="4561" t="n"/>
      <c r="F3239" s="4561" t="n"/>
      <c r="G3239" s="4561" t="n"/>
      <c r="H3239" s="4561" t="n"/>
      <c r="I3239" s="4562">
        <f>XLOOKUP(B3239,'_Sys|Line_Map'!$A:$A,'_Sys|Line_Map'!$C:$C,"MISSING",0)</f>
        <v/>
      </c>
      <c r="J3239" s="4562">
        <f>XLOOKUP(B3239,'_Sys|Line_Map'!$A:$A,'_Sys|Line_Map'!$D:$D,1,0)</f>
        <v/>
      </c>
      <c r="K3239" s="4562">
        <f>IF(D3239="","",D3239*J3239)</f>
        <v/>
      </c>
      <c r="L3239" s="4562">
        <f>XLOOKUP(B3239,'_Sys|Line_Map'!$A:$A,'_Sys|Line_Map'!$B:$B,"MISSING",0)</f>
        <v/>
      </c>
    </row>
    <row r="3240">
      <c r="A3240" s="4561" t="n"/>
      <c r="B3240" s="4561" t="n"/>
      <c r="C3240" s="4561" t="n"/>
      <c r="D3240" s="4561" t="n"/>
      <c r="E3240" s="4561" t="n"/>
      <c r="F3240" s="4561" t="n"/>
      <c r="G3240" s="4561" t="n"/>
      <c r="H3240" s="4561" t="n"/>
      <c r="I3240" s="4562">
        <f>XLOOKUP(B3240,'_Sys|Line_Map'!$A:$A,'_Sys|Line_Map'!$C:$C,"MISSING",0)</f>
        <v/>
      </c>
      <c r="J3240" s="4562">
        <f>XLOOKUP(B3240,'_Sys|Line_Map'!$A:$A,'_Sys|Line_Map'!$D:$D,1,0)</f>
        <v/>
      </c>
      <c r="K3240" s="4562">
        <f>IF(D3240="","",D3240*J3240)</f>
        <v/>
      </c>
      <c r="L3240" s="4562">
        <f>XLOOKUP(B3240,'_Sys|Line_Map'!$A:$A,'_Sys|Line_Map'!$B:$B,"MISSING",0)</f>
        <v/>
      </c>
    </row>
    <row r="3241">
      <c r="A3241" s="4561" t="n"/>
      <c r="B3241" s="4561" t="n"/>
      <c r="C3241" s="4561" t="n"/>
      <c r="D3241" s="4561" t="n"/>
      <c r="E3241" s="4561" t="n"/>
      <c r="F3241" s="4561" t="n"/>
      <c r="G3241" s="4561" t="n"/>
      <c r="H3241" s="4561" t="n"/>
      <c r="I3241" s="4562">
        <f>XLOOKUP(B3241,'_Sys|Line_Map'!$A:$A,'_Sys|Line_Map'!$C:$C,"MISSING",0)</f>
        <v/>
      </c>
      <c r="J3241" s="4562">
        <f>XLOOKUP(B3241,'_Sys|Line_Map'!$A:$A,'_Sys|Line_Map'!$D:$D,1,0)</f>
        <v/>
      </c>
      <c r="K3241" s="4562">
        <f>IF(D3241="","",D3241*J3241)</f>
        <v/>
      </c>
      <c r="L3241" s="4562">
        <f>XLOOKUP(B3241,'_Sys|Line_Map'!$A:$A,'_Sys|Line_Map'!$B:$B,"MISSING",0)</f>
        <v/>
      </c>
    </row>
    <row r="3242">
      <c r="A3242" s="4561" t="n"/>
      <c r="B3242" s="4561" t="n"/>
      <c r="C3242" s="4561" t="n"/>
      <c r="D3242" s="4561" t="n"/>
      <c r="E3242" s="4561" t="n"/>
      <c r="F3242" s="4561" t="n"/>
      <c r="G3242" s="4561" t="n"/>
      <c r="H3242" s="4561" t="n"/>
      <c r="I3242" s="4562">
        <f>XLOOKUP(B3242,'_Sys|Line_Map'!$A:$A,'_Sys|Line_Map'!$C:$C,"MISSING",0)</f>
        <v/>
      </c>
      <c r="J3242" s="4562">
        <f>XLOOKUP(B3242,'_Sys|Line_Map'!$A:$A,'_Sys|Line_Map'!$D:$D,1,0)</f>
        <v/>
      </c>
      <c r="K3242" s="4562">
        <f>IF(D3242="","",D3242*J3242)</f>
        <v/>
      </c>
      <c r="L3242" s="4562">
        <f>XLOOKUP(B3242,'_Sys|Line_Map'!$A:$A,'_Sys|Line_Map'!$B:$B,"MISSING",0)</f>
        <v/>
      </c>
    </row>
    <row r="3243">
      <c r="A3243" s="4561" t="n"/>
      <c r="B3243" s="4561" t="n"/>
      <c r="C3243" s="4561" t="n"/>
      <c r="D3243" s="4561" t="n"/>
      <c r="E3243" s="4561" t="n"/>
      <c r="F3243" s="4561" t="n"/>
      <c r="G3243" s="4561" t="n"/>
      <c r="H3243" s="4561" t="n"/>
      <c r="I3243" s="4562">
        <f>XLOOKUP(B3243,'_Sys|Line_Map'!$A:$A,'_Sys|Line_Map'!$C:$C,"MISSING",0)</f>
        <v/>
      </c>
      <c r="J3243" s="4562">
        <f>XLOOKUP(B3243,'_Sys|Line_Map'!$A:$A,'_Sys|Line_Map'!$D:$D,1,0)</f>
        <v/>
      </c>
      <c r="K3243" s="4562">
        <f>IF(D3243="","",D3243*J3243)</f>
        <v/>
      </c>
      <c r="L3243" s="4562">
        <f>XLOOKUP(B3243,'_Sys|Line_Map'!$A:$A,'_Sys|Line_Map'!$B:$B,"MISSING",0)</f>
        <v/>
      </c>
    </row>
    <row r="3244">
      <c r="A3244" s="4561" t="n"/>
      <c r="B3244" s="4561" t="n"/>
      <c r="C3244" s="4561" t="n"/>
      <c r="D3244" s="4561" t="n"/>
      <c r="E3244" s="4561" t="n"/>
      <c r="F3244" s="4561" t="n"/>
      <c r="G3244" s="4561" t="n"/>
      <c r="H3244" s="4561" t="n"/>
      <c r="I3244" s="4562">
        <f>XLOOKUP(B3244,'_Sys|Line_Map'!$A:$A,'_Sys|Line_Map'!$C:$C,"MISSING",0)</f>
        <v/>
      </c>
      <c r="J3244" s="4562">
        <f>XLOOKUP(B3244,'_Sys|Line_Map'!$A:$A,'_Sys|Line_Map'!$D:$D,1,0)</f>
        <v/>
      </c>
      <c r="K3244" s="4562">
        <f>IF(D3244="","",D3244*J3244)</f>
        <v/>
      </c>
      <c r="L3244" s="4562">
        <f>XLOOKUP(B3244,'_Sys|Line_Map'!$A:$A,'_Sys|Line_Map'!$B:$B,"MISSING",0)</f>
        <v/>
      </c>
    </row>
    <row r="3245">
      <c r="A3245" s="4561" t="n"/>
      <c r="B3245" s="4561" t="n"/>
      <c r="C3245" s="4561" t="n"/>
      <c r="D3245" s="4561" t="n"/>
      <c r="E3245" s="4561" t="n"/>
      <c r="F3245" s="4561" t="n"/>
      <c r="G3245" s="4561" t="n"/>
      <c r="H3245" s="4561" t="n"/>
      <c r="I3245" s="4562">
        <f>XLOOKUP(B3245,'_Sys|Line_Map'!$A:$A,'_Sys|Line_Map'!$C:$C,"MISSING",0)</f>
        <v/>
      </c>
      <c r="J3245" s="4562">
        <f>XLOOKUP(B3245,'_Sys|Line_Map'!$A:$A,'_Sys|Line_Map'!$D:$D,1,0)</f>
        <v/>
      </c>
      <c r="K3245" s="4562">
        <f>IF(D3245="","",D3245*J3245)</f>
        <v/>
      </c>
      <c r="L3245" s="4562">
        <f>XLOOKUP(B3245,'_Sys|Line_Map'!$A:$A,'_Sys|Line_Map'!$B:$B,"MISSING",0)</f>
        <v/>
      </c>
    </row>
    <row r="3246">
      <c r="A3246" s="4561" t="n"/>
      <c r="B3246" s="4561" t="n"/>
      <c r="C3246" s="4561" t="n"/>
      <c r="D3246" s="4561" t="n"/>
      <c r="E3246" s="4561" t="n"/>
      <c r="F3246" s="4561" t="n"/>
      <c r="G3246" s="4561" t="n"/>
      <c r="H3246" s="4561" t="n"/>
      <c r="I3246" s="4562">
        <f>XLOOKUP(B3246,'_Sys|Line_Map'!$A:$A,'_Sys|Line_Map'!$C:$C,"MISSING",0)</f>
        <v/>
      </c>
      <c r="J3246" s="4562">
        <f>XLOOKUP(B3246,'_Sys|Line_Map'!$A:$A,'_Sys|Line_Map'!$D:$D,1,0)</f>
        <v/>
      </c>
      <c r="K3246" s="4562">
        <f>IF(D3246="","",D3246*J3246)</f>
        <v/>
      </c>
      <c r="L3246" s="4562">
        <f>XLOOKUP(B3246,'_Sys|Line_Map'!$A:$A,'_Sys|Line_Map'!$B:$B,"MISSING",0)</f>
        <v/>
      </c>
    </row>
    <row r="3247">
      <c r="A3247" s="4561" t="n"/>
      <c r="B3247" s="4561" t="n"/>
      <c r="C3247" s="4561" t="n"/>
      <c r="D3247" s="4561" t="n"/>
      <c r="E3247" s="4561" t="n"/>
      <c r="F3247" s="4561" t="n"/>
      <c r="G3247" s="4561" t="n"/>
      <c r="H3247" s="4561" t="n"/>
      <c r="I3247" s="4562">
        <f>XLOOKUP(B3247,'_Sys|Line_Map'!$A:$A,'_Sys|Line_Map'!$C:$C,"MISSING",0)</f>
        <v/>
      </c>
      <c r="J3247" s="4562">
        <f>XLOOKUP(B3247,'_Sys|Line_Map'!$A:$A,'_Sys|Line_Map'!$D:$D,1,0)</f>
        <v/>
      </c>
      <c r="K3247" s="4562">
        <f>IF(D3247="","",D3247*J3247)</f>
        <v/>
      </c>
      <c r="L3247" s="4562">
        <f>XLOOKUP(B3247,'_Sys|Line_Map'!$A:$A,'_Sys|Line_Map'!$B:$B,"MISSING",0)</f>
        <v/>
      </c>
    </row>
    <row r="3248">
      <c r="A3248" s="4561" t="n"/>
      <c r="B3248" s="4561" t="n"/>
      <c r="C3248" s="4561" t="n"/>
      <c r="D3248" s="4561" t="n"/>
      <c r="E3248" s="4561" t="n"/>
      <c r="F3248" s="4561" t="n"/>
      <c r="G3248" s="4561" t="n"/>
      <c r="H3248" s="4561" t="n"/>
      <c r="I3248" s="4562">
        <f>XLOOKUP(B3248,'_Sys|Line_Map'!$A:$A,'_Sys|Line_Map'!$C:$C,"MISSING",0)</f>
        <v/>
      </c>
      <c r="J3248" s="4562">
        <f>XLOOKUP(B3248,'_Sys|Line_Map'!$A:$A,'_Sys|Line_Map'!$D:$D,1,0)</f>
        <v/>
      </c>
      <c r="K3248" s="4562">
        <f>IF(D3248="","",D3248*J3248)</f>
        <v/>
      </c>
      <c r="L3248" s="4562">
        <f>XLOOKUP(B3248,'_Sys|Line_Map'!$A:$A,'_Sys|Line_Map'!$B:$B,"MISSING",0)</f>
        <v/>
      </c>
    </row>
    <row r="3249">
      <c r="A3249" s="4561" t="n"/>
      <c r="B3249" s="4561" t="n"/>
      <c r="C3249" s="4561" t="n"/>
      <c r="D3249" s="4561" t="n"/>
      <c r="E3249" s="4561" t="n"/>
      <c r="F3249" s="4561" t="n"/>
      <c r="G3249" s="4561" t="n"/>
      <c r="H3249" s="4561" t="n"/>
      <c r="I3249" s="4562">
        <f>XLOOKUP(B3249,'_Sys|Line_Map'!$A:$A,'_Sys|Line_Map'!$C:$C,"MISSING",0)</f>
        <v/>
      </c>
      <c r="J3249" s="4562">
        <f>XLOOKUP(B3249,'_Sys|Line_Map'!$A:$A,'_Sys|Line_Map'!$D:$D,1,0)</f>
        <v/>
      </c>
      <c r="K3249" s="4562">
        <f>IF(D3249="","",D3249*J3249)</f>
        <v/>
      </c>
      <c r="L3249" s="4562">
        <f>XLOOKUP(B3249,'_Sys|Line_Map'!$A:$A,'_Sys|Line_Map'!$B:$B,"MISSING",0)</f>
        <v/>
      </c>
    </row>
    <row r="3250">
      <c r="A3250" s="4561" t="n"/>
      <c r="B3250" s="4561" t="n"/>
      <c r="C3250" s="4561" t="n"/>
      <c r="D3250" s="4561" t="n"/>
      <c r="E3250" s="4561" t="n"/>
      <c r="F3250" s="4561" t="n"/>
      <c r="G3250" s="4561" t="n"/>
      <c r="H3250" s="4561" t="n"/>
      <c r="I3250" s="4562">
        <f>XLOOKUP(B3250,'_Sys|Line_Map'!$A:$A,'_Sys|Line_Map'!$C:$C,"MISSING",0)</f>
        <v/>
      </c>
      <c r="J3250" s="4562">
        <f>XLOOKUP(B3250,'_Sys|Line_Map'!$A:$A,'_Sys|Line_Map'!$D:$D,1,0)</f>
        <v/>
      </c>
      <c r="K3250" s="4562">
        <f>IF(D3250="","",D3250*J3250)</f>
        <v/>
      </c>
      <c r="L3250" s="4562">
        <f>XLOOKUP(B3250,'_Sys|Line_Map'!$A:$A,'_Sys|Line_Map'!$B:$B,"MISSING",0)</f>
        <v/>
      </c>
    </row>
    <row r="3251">
      <c r="A3251" s="4561" t="n"/>
      <c r="B3251" s="4561" t="n"/>
      <c r="C3251" s="4561" t="n"/>
      <c r="D3251" s="4561" t="n"/>
      <c r="E3251" s="4561" t="n"/>
      <c r="F3251" s="4561" t="n"/>
      <c r="G3251" s="4561" t="n"/>
      <c r="H3251" s="4561" t="n"/>
      <c r="I3251" s="4562">
        <f>XLOOKUP(B3251,'_Sys|Line_Map'!$A:$A,'_Sys|Line_Map'!$C:$C,"MISSING",0)</f>
        <v/>
      </c>
      <c r="J3251" s="4562">
        <f>XLOOKUP(B3251,'_Sys|Line_Map'!$A:$A,'_Sys|Line_Map'!$D:$D,1,0)</f>
        <v/>
      </c>
      <c r="K3251" s="4562">
        <f>IF(D3251="","",D3251*J3251)</f>
        <v/>
      </c>
      <c r="L3251" s="4562">
        <f>XLOOKUP(B3251,'_Sys|Line_Map'!$A:$A,'_Sys|Line_Map'!$B:$B,"MISSING",0)</f>
        <v/>
      </c>
    </row>
    <row r="3252">
      <c r="A3252" s="4561" t="n"/>
      <c r="B3252" s="4561" t="n"/>
      <c r="C3252" s="4561" t="n"/>
      <c r="D3252" s="4561" t="n"/>
      <c r="E3252" s="4561" t="n"/>
      <c r="F3252" s="4561" t="n"/>
      <c r="G3252" s="4561" t="n"/>
      <c r="H3252" s="4561" t="n"/>
      <c r="I3252" s="4562">
        <f>XLOOKUP(B3252,'_Sys|Line_Map'!$A:$A,'_Sys|Line_Map'!$C:$C,"MISSING",0)</f>
        <v/>
      </c>
      <c r="J3252" s="4562">
        <f>XLOOKUP(B3252,'_Sys|Line_Map'!$A:$A,'_Sys|Line_Map'!$D:$D,1,0)</f>
        <v/>
      </c>
      <c r="K3252" s="4562">
        <f>IF(D3252="","",D3252*J3252)</f>
        <v/>
      </c>
      <c r="L3252" s="4562">
        <f>XLOOKUP(B3252,'_Sys|Line_Map'!$A:$A,'_Sys|Line_Map'!$B:$B,"MISSING",0)</f>
        <v/>
      </c>
    </row>
    <row r="3253">
      <c r="A3253" s="4561" t="n"/>
      <c r="B3253" s="4561" t="n"/>
      <c r="C3253" s="4561" t="n"/>
      <c r="D3253" s="4561" t="n"/>
      <c r="E3253" s="4561" t="n"/>
      <c r="F3253" s="4561" t="n"/>
      <c r="G3253" s="4561" t="n"/>
      <c r="H3253" s="4561" t="n"/>
      <c r="I3253" s="4562">
        <f>XLOOKUP(B3253,'_Sys|Line_Map'!$A:$A,'_Sys|Line_Map'!$C:$C,"MISSING",0)</f>
        <v/>
      </c>
      <c r="J3253" s="4562">
        <f>XLOOKUP(B3253,'_Sys|Line_Map'!$A:$A,'_Sys|Line_Map'!$D:$D,1,0)</f>
        <v/>
      </c>
      <c r="K3253" s="4562">
        <f>IF(D3253="","",D3253*J3253)</f>
        <v/>
      </c>
      <c r="L3253" s="4562">
        <f>XLOOKUP(B3253,'_Sys|Line_Map'!$A:$A,'_Sys|Line_Map'!$B:$B,"MISSING",0)</f>
        <v/>
      </c>
    </row>
    <row r="3254">
      <c r="A3254" s="4561" t="n"/>
      <c r="B3254" s="4561" t="n"/>
      <c r="C3254" s="4561" t="n"/>
      <c r="D3254" s="4561" t="n"/>
      <c r="E3254" s="4561" t="n"/>
      <c r="F3254" s="4561" t="n"/>
      <c r="G3254" s="4561" t="n"/>
      <c r="H3254" s="4561" t="n"/>
      <c r="I3254" s="4562">
        <f>XLOOKUP(B3254,'_Sys|Line_Map'!$A:$A,'_Sys|Line_Map'!$C:$C,"MISSING",0)</f>
        <v/>
      </c>
      <c r="J3254" s="4562">
        <f>XLOOKUP(B3254,'_Sys|Line_Map'!$A:$A,'_Sys|Line_Map'!$D:$D,1,0)</f>
        <v/>
      </c>
      <c r="K3254" s="4562">
        <f>IF(D3254="","",D3254*J3254)</f>
        <v/>
      </c>
      <c r="L3254" s="4562">
        <f>XLOOKUP(B3254,'_Sys|Line_Map'!$A:$A,'_Sys|Line_Map'!$B:$B,"MISSING",0)</f>
        <v/>
      </c>
    </row>
    <row r="3255">
      <c r="A3255" s="4561" t="n"/>
      <c r="B3255" s="4561" t="n"/>
      <c r="C3255" s="4561" t="n"/>
      <c r="D3255" s="4561" t="n"/>
      <c r="E3255" s="4561" t="n"/>
      <c r="F3255" s="4561" t="n"/>
      <c r="G3255" s="4561" t="n"/>
      <c r="H3255" s="4561" t="n"/>
      <c r="I3255" s="4562">
        <f>XLOOKUP(B3255,'_Sys|Line_Map'!$A:$A,'_Sys|Line_Map'!$C:$C,"MISSING",0)</f>
        <v/>
      </c>
      <c r="J3255" s="4562">
        <f>XLOOKUP(B3255,'_Sys|Line_Map'!$A:$A,'_Sys|Line_Map'!$D:$D,1,0)</f>
        <v/>
      </c>
      <c r="K3255" s="4562">
        <f>IF(D3255="","",D3255*J3255)</f>
        <v/>
      </c>
      <c r="L3255" s="4562">
        <f>XLOOKUP(B3255,'_Sys|Line_Map'!$A:$A,'_Sys|Line_Map'!$B:$B,"MISSING",0)</f>
        <v/>
      </c>
    </row>
    <row r="3256">
      <c r="A3256" s="4561" t="n"/>
      <c r="B3256" s="4561" t="n"/>
      <c r="C3256" s="4561" t="n"/>
      <c r="D3256" s="4561" t="n"/>
      <c r="E3256" s="4561" t="n"/>
      <c r="F3256" s="4561" t="n"/>
      <c r="G3256" s="4561" t="n"/>
      <c r="H3256" s="4561" t="n"/>
      <c r="I3256" s="4562">
        <f>XLOOKUP(B3256,'_Sys|Line_Map'!$A:$A,'_Sys|Line_Map'!$C:$C,"MISSING",0)</f>
        <v/>
      </c>
      <c r="J3256" s="4562">
        <f>XLOOKUP(B3256,'_Sys|Line_Map'!$A:$A,'_Sys|Line_Map'!$D:$D,1,0)</f>
        <v/>
      </c>
      <c r="K3256" s="4562">
        <f>IF(D3256="","",D3256*J3256)</f>
        <v/>
      </c>
      <c r="L3256" s="4562">
        <f>XLOOKUP(B3256,'_Sys|Line_Map'!$A:$A,'_Sys|Line_Map'!$B:$B,"MISSING",0)</f>
        <v/>
      </c>
    </row>
    <row r="3257">
      <c r="A3257" s="4561" t="n"/>
      <c r="B3257" s="4561" t="n"/>
      <c r="C3257" s="4561" t="n"/>
      <c r="D3257" s="4561" t="n"/>
      <c r="E3257" s="4561" t="n"/>
      <c r="F3257" s="4561" t="n"/>
      <c r="G3257" s="4561" t="n"/>
      <c r="H3257" s="4561" t="n"/>
      <c r="I3257" s="4562">
        <f>XLOOKUP(B3257,'_Sys|Line_Map'!$A:$A,'_Sys|Line_Map'!$C:$C,"MISSING",0)</f>
        <v/>
      </c>
      <c r="J3257" s="4562">
        <f>XLOOKUP(B3257,'_Sys|Line_Map'!$A:$A,'_Sys|Line_Map'!$D:$D,1,0)</f>
        <v/>
      </c>
      <c r="K3257" s="4562">
        <f>IF(D3257="","",D3257*J3257)</f>
        <v/>
      </c>
      <c r="L3257" s="4562">
        <f>XLOOKUP(B3257,'_Sys|Line_Map'!$A:$A,'_Sys|Line_Map'!$B:$B,"MISSING",0)</f>
        <v/>
      </c>
    </row>
    <row r="3258">
      <c r="A3258" s="4561" t="n"/>
      <c r="B3258" s="4561" t="n"/>
      <c r="C3258" s="4561" t="n"/>
      <c r="D3258" s="4561" t="n"/>
      <c r="E3258" s="4561" t="n"/>
      <c r="F3258" s="4561" t="n"/>
      <c r="G3258" s="4561" t="n"/>
      <c r="H3258" s="4561" t="n"/>
      <c r="I3258" s="4562">
        <f>XLOOKUP(B3258,'_Sys|Line_Map'!$A:$A,'_Sys|Line_Map'!$C:$C,"MISSING",0)</f>
        <v/>
      </c>
      <c r="J3258" s="4562">
        <f>XLOOKUP(B3258,'_Sys|Line_Map'!$A:$A,'_Sys|Line_Map'!$D:$D,1,0)</f>
        <v/>
      </c>
      <c r="K3258" s="4562">
        <f>IF(D3258="","",D3258*J3258)</f>
        <v/>
      </c>
      <c r="L3258" s="4562">
        <f>XLOOKUP(B3258,'_Sys|Line_Map'!$A:$A,'_Sys|Line_Map'!$B:$B,"MISSING",0)</f>
        <v/>
      </c>
    </row>
    <row r="3259">
      <c r="A3259" s="4561" t="n"/>
      <c r="B3259" s="4561" t="n"/>
      <c r="C3259" s="4561" t="n"/>
      <c r="D3259" s="4561" t="n"/>
      <c r="E3259" s="4561" t="n"/>
      <c r="F3259" s="4561" t="n"/>
      <c r="G3259" s="4561" t="n"/>
      <c r="H3259" s="4561" t="n"/>
      <c r="I3259" s="4562">
        <f>XLOOKUP(B3259,'_Sys|Line_Map'!$A:$A,'_Sys|Line_Map'!$C:$C,"MISSING",0)</f>
        <v/>
      </c>
      <c r="J3259" s="4562">
        <f>XLOOKUP(B3259,'_Sys|Line_Map'!$A:$A,'_Sys|Line_Map'!$D:$D,1,0)</f>
        <v/>
      </c>
      <c r="K3259" s="4562">
        <f>IF(D3259="","",D3259*J3259)</f>
        <v/>
      </c>
      <c r="L3259" s="4562">
        <f>XLOOKUP(B3259,'_Sys|Line_Map'!$A:$A,'_Sys|Line_Map'!$B:$B,"MISSING",0)</f>
        <v/>
      </c>
    </row>
    <row r="3260">
      <c r="A3260" s="4561" t="n"/>
      <c r="B3260" s="4561" t="n"/>
      <c r="C3260" s="4561" t="n"/>
      <c r="D3260" s="4561" t="n"/>
      <c r="E3260" s="4561" t="n"/>
      <c r="F3260" s="4561" t="n"/>
      <c r="G3260" s="4561" t="n"/>
      <c r="H3260" s="4561" t="n"/>
      <c r="I3260" s="4562">
        <f>XLOOKUP(B3260,'_Sys|Line_Map'!$A:$A,'_Sys|Line_Map'!$C:$C,"MISSING",0)</f>
        <v/>
      </c>
      <c r="J3260" s="4562">
        <f>XLOOKUP(B3260,'_Sys|Line_Map'!$A:$A,'_Sys|Line_Map'!$D:$D,1,0)</f>
        <v/>
      </c>
      <c r="K3260" s="4562">
        <f>IF(D3260="","",D3260*J3260)</f>
        <v/>
      </c>
      <c r="L3260" s="4562">
        <f>XLOOKUP(B3260,'_Sys|Line_Map'!$A:$A,'_Sys|Line_Map'!$B:$B,"MISSING",0)</f>
        <v/>
      </c>
    </row>
    <row r="3261">
      <c r="A3261" s="4561" t="n"/>
      <c r="B3261" s="4561" t="n"/>
      <c r="C3261" s="4561" t="n"/>
      <c r="D3261" s="4561" t="n"/>
      <c r="E3261" s="4561" t="n"/>
      <c r="F3261" s="4561" t="n"/>
      <c r="G3261" s="4561" t="n"/>
      <c r="H3261" s="4561" t="n"/>
      <c r="I3261" s="4562">
        <f>XLOOKUP(B3261,'_Sys|Line_Map'!$A:$A,'_Sys|Line_Map'!$C:$C,"MISSING",0)</f>
        <v/>
      </c>
      <c r="J3261" s="4562">
        <f>XLOOKUP(B3261,'_Sys|Line_Map'!$A:$A,'_Sys|Line_Map'!$D:$D,1,0)</f>
        <v/>
      </c>
      <c r="K3261" s="4562">
        <f>IF(D3261="","",D3261*J3261)</f>
        <v/>
      </c>
      <c r="L3261" s="4562">
        <f>XLOOKUP(B3261,'_Sys|Line_Map'!$A:$A,'_Sys|Line_Map'!$B:$B,"MISSING",0)</f>
        <v/>
      </c>
    </row>
    <row r="3262">
      <c r="A3262" s="4561" t="n"/>
      <c r="B3262" s="4561" t="n"/>
      <c r="C3262" s="4561" t="n"/>
      <c r="D3262" s="4561" t="n"/>
      <c r="E3262" s="4561" t="n"/>
      <c r="F3262" s="4561" t="n"/>
      <c r="G3262" s="4561" t="n"/>
      <c r="H3262" s="4561" t="n"/>
      <c r="I3262" s="4562">
        <f>XLOOKUP(B3262,'_Sys|Line_Map'!$A:$A,'_Sys|Line_Map'!$C:$C,"MISSING",0)</f>
        <v/>
      </c>
      <c r="J3262" s="4562">
        <f>XLOOKUP(B3262,'_Sys|Line_Map'!$A:$A,'_Sys|Line_Map'!$D:$D,1,0)</f>
        <v/>
      </c>
      <c r="K3262" s="4562">
        <f>IF(D3262="","",D3262*J3262)</f>
        <v/>
      </c>
      <c r="L3262" s="4562">
        <f>XLOOKUP(B3262,'_Sys|Line_Map'!$A:$A,'_Sys|Line_Map'!$B:$B,"MISSING",0)</f>
        <v/>
      </c>
    </row>
    <row r="3263">
      <c r="A3263" s="4561" t="n"/>
      <c r="B3263" s="4561" t="n"/>
      <c r="C3263" s="4561" t="n"/>
      <c r="D3263" s="4561" t="n"/>
      <c r="E3263" s="4561" t="n"/>
      <c r="F3263" s="4561" t="n"/>
      <c r="G3263" s="4561" t="n"/>
      <c r="H3263" s="4561" t="n"/>
      <c r="I3263" s="4562">
        <f>XLOOKUP(B3263,'_Sys|Line_Map'!$A:$A,'_Sys|Line_Map'!$C:$C,"MISSING",0)</f>
        <v/>
      </c>
      <c r="J3263" s="4562">
        <f>XLOOKUP(B3263,'_Sys|Line_Map'!$A:$A,'_Sys|Line_Map'!$D:$D,1,0)</f>
        <v/>
      </c>
      <c r="K3263" s="4562">
        <f>IF(D3263="","",D3263*J3263)</f>
        <v/>
      </c>
      <c r="L3263" s="4562">
        <f>XLOOKUP(B3263,'_Sys|Line_Map'!$A:$A,'_Sys|Line_Map'!$B:$B,"MISSING",0)</f>
        <v/>
      </c>
    </row>
    <row r="3264">
      <c r="A3264" s="4561" t="n"/>
      <c r="B3264" s="4561" t="n"/>
      <c r="C3264" s="4561" t="n"/>
      <c r="D3264" s="4561" t="n"/>
      <c r="E3264" s="4561" t="n"/>
      <c r="F3264" s="4561" t="n"/>
      <c r="G3264" s="4561" t="n"/>
      <c r="H3264" s="4561" t="n"/>
      <c r="I3264" s="4562">
        <f>XLOOKUP(B3264,'_Sys|Line_Map'!$A:$A,'_Sys|Line_Map'!$C:$C,"MISSING",0)</f>
        <v/>
      </c>
      <c r="J3264" s="4562">
        <f>XLOOKUP(B3264,'_Sys|Line_Map'!$A:$A,'_Sys|Line_Map'!$D:$D,1,0)</f>
        <v/>
      </c>
      <c r="K3264" s="4562">
        <f>IF(D3264="","",D3264*J3264)</f>
        <v/>
      </c>
      <c r="L3264" s="4562">
        <f>XLOOKUP(B3264,'_Sys|Line_Map'!$A:$A,'_Sys|Line_Map'!$B:$B,"MISSING",0)</f>
        <v/>
      </c>
    </row>
    <row r="3265">
      <c r="A3265" s="4561" t="n"/>
      <c r="B3265" s="4561" t="n"/>
      <c r="C3265" s="4561" t="n"/>
      <c r="D3265" s="4561" t="n"/>
      <c r="E3265" s="4561" t="n"/>
      <c r="F3265" s="4561" t="n"/>
      <c r="G3265" s="4561" t="n"/>
      <c r="H3265" s="4561" t="n"/>
      <c r="I3265" s="4562">
        <f>XLOOKUP(B3265,'_Sys|Line_Map'!$A:$A,'_Sys|Line_Map'!$C:$C,"MISSING",0)</f>
        <v/>
      </c>
      <c r="J3265" s="4562">
        <f>XLOOKUP(B3265,'_Sys|Line_Map'!$A:$A,'_Sys|Line_Map'!$D:$D,1,0)</f>
        <v/>
      </c>
      <c r="K3265" s="4562">
        <f>IF(D3265="","",D3265*J3265)</f>
        <v/>
      </c>
      <c r="L3265" s="4562">
        <f>XLOOKUP(B3265,'_Sys|Line_Map'!$A:$A,'_Sys|Line_Map'!$B:$B,"MISSING",0)</f>
        <v/>
      </c>
    </row>
    <row r="3266">
      <c r="A3266" s="4561" t="n"/>
      <c r="B3266" s="4561" t="n"/>
      <c r="C3266" s="4561" t="n"/>
      <c r="D3266" s="4561" t="n"/>
      <c r="E3266" s="4561" t="n"/>
      <c r="F3266" s="4561" t="n"/>
      <c r="G3266" s="4561" t="n"/>
      <c r="H3266" s="4561" t="n"/>
      <c r="I3266" s="4562">
        <f>XLOOKUP(B3266,'_Sys|Line_Map'!$A:$A,'_Sys|Line_Map'!$C:$C,"MISSING",0)</f>
        <v/>
      </c>
      <c r="J3266" s="4562">
        <f>XLOOKUP(B3266,'_Sys|Line_Map'!$A:$A,'_Sys|Line_Map'!$D:$D,1,0)</f>
        <v/>
      </c>
      <c r="K3266" s="4562">
        <f>IF(D3266="","",D3266*J3266)</f>
        <v/>
      </c>
      <c r="L3266" s="4562">
        <f>XLOOKUP(B3266,'_Sys|Line_Map'!$A:$A,'_Sys|Line_Map'!$B:$B,"MISSING",0)</f>
        <v/>
      </c>
    </row>
    <row r="3267">
      <c r="A3267" s="4561" t="n"/>
      <c r="B3267" s="4561" t="n"/>
      <c r="C3267" s="4561" t="n"/>
      <c r="D3267" s="4561" t="n"/>
      <c r="E3267" s="4561" t="n"/>
      <c r="F3267" s="4561" t="n"/>
      <c r="G3267" s="4561" t="n"/>
      <c r="H3267" s="4561" t="n"/>
      <c r="I3267" s="4562">
        <f>XLOOKUP(B3267,'_Sys|Line_Map'!$A:$A,'_Sys|Line_Map'!$C:$C,"MISSING",0)</f>
        <v/>
      </c>
      <c r="J3267" s="4562">
        <f>XLOOKUP(B3267,'_Sys|Line_Map'!$A:$A,'_Sys|Line_Map'!$D:$D,1,0)</f>
        <v/>
      </c>
      <c r="K3267" s="4562">
        <f>IF(D3267="","",D3267*J3267)</f>
        <v/>
      </c>
      <c r="L3267" s="4562">
        <f>XLOOKUP(B3267,'_Sys|Line_Map'!$A:$A,'_Sys|Line_Map'!$B:$B,"MISSING",0)</f>
        <v/>
      </c>
    </row>
    <row r="3268">
      <c r="A3268" s="4561" t="n"/>
      <c r="B3268" s="4561" t="n"/>
      <c r="C3268" s="4561" t="n"/>
      <c r="D3268" s="4561" t="n"/>
      <c r="E3268" s="4561" t="n"/>
      <c r="F3268" s="4561" t="n"/>
      <c r="G3268" s="4561" t="n"/>
      <c r="H3268" s="4561" t="n"/>
      <c r="I3268" s="4562">
        <f>XLOOKUP(B3268,'_Sys|Line_Map'!$A:$A,'_Sys|Line_Map'!$C:$C,"MISSING",0)</f>
        <v/>
      </c>
      <c r="J3268" s="4562">
        <f>XLOOKUP(B3268,'_Sys|Line_Map'!$A:$A,'_Sys|Line_Map'!$D:$D,1,0)</f>
        <v/>
      </c>
      <c r="K3268" s="4562">
        <f>IF(D3268="","",D3268*J3268)</f>
        <v/>
      </c>
      <c r="L3268" s="4562">
        <f>XLOOKUP(B3268,'_Sys|Line_Map'!$A:$A,'_Sys|Line_Map'!$B:$B,"MISSING",0)</f>
        <v/>
      </c>
    </row>
    <row r="3269">
      <c r="A3269" s="4561" t="n"/>
      <c r="B3269" s="4561" t="n"/>
      <c r="C3269" s="4561" t="n"/>
      <c r="D3269" s="4561" t="n"/>
      <c r="E3269" s="4561" t="n"/>
      <c r="F3269" s="4561" t="n"/>
      <c r="G3269" s="4561" t="n"/>
      <c r="H3269" s="4561" t="n"/>
      <c r="I3269" s="4562">
        <f>XLOOKUP(B3269,'_Sys|Line_Map'!$A:$A,'_Sys|Line_Map'!$C:$C,"MISSING",0)</f>
        <v/>
      </c>
      <c r="J3269" s="4562">
        <f>XLOOKUP(B3269,'_Sys|Line_Map'!$A:$A,'_Sys|Line_Map'!$D:$D,1,0)</f>
        <v/>
      </c>
      <c r="K3269" s="4562">
        <f>IF(D3269="","",D3269*J3269)</f>
        <v/>
      </c>
      <c r="L3269" s="4562">
        <f>XLOOKUP(B3269,'_Sys|Line_Map'!$A:$A,'_Sys|Line_Map'!$B:$B,"MISSING",0)</f>
        <v/>
      </c>
    </row>
    <row r="3270">
      <c r="A3270" s="4561" t="n"/>
      <c r="B3270" s="4561" t="n"/>
      <c r="C3270" s="4561" t="n"/>
      <c r="D3270" s="4561" t="n"/>
      <c r="E3270" s="4561" t="n"/>
      <c r="F3270" s="4561" t="n"/>
      <c r="G3270" s="4561" t="n"/>
      <c r="H3270" s="4561" t="n"/>
      <c r="I3270" s="4562">
        <f>XLOOKUP(B3270,'_Sys|Line_Map'!$A:$A,'_Sys|Line_Map'!$C:$C,"MISSING",0)</f>
        <v/>
      </c>
      <c r="J3270" s="4562">
        <f>XLOOKUP(B3270,'_Sys|Line_Map'!$A:$A,'_Sys|Line_Map'!$D:$D,1,0)</f>
        <v/>
      </c>
      <c r="K3270" s="4562">
        <f>IF(D3270="","",D3270*J3270)</f>
        <v/>
      </c>
      <c r="L3270" s="4562">
        <f>XLOOKUP(B3270,'_Sys|Line_Map'!$A:$A,'_Sys|Line_Map'!$B:$B,"MISSING",0)</f>
        <v/>
      </c>
    </row>
    <row r="3271">
      <c r="A3271" s="4561" t="n"/>
      <c r="B3271" s="4561" t="n"/>
      <c r="C3271" s="4561" t="n"/>
      <c r="D3271" s="4561" t="n"/>
      <c r="E3271" s="4561" t="n"/>
      <c r="F3271" s="4561" t="n"/>
      <c r="G3271" s="4561" t="n"/>
      <c r="H3271" s="4561" t="n"/>
      <c r="I3271" s="4562">
        <f>XLOOKUP(B3271,'_Sys|Line_Map'!$A:$A,'_Sys|Line_Map'!$C:$C,"MISSING",0)</f>
        <v/>
      </c>
      <c r="J3271" s="4562">
        <f>XLOOKUP(B3271,'_Sys|Line_Map'!$A:$A,'_Sys|Line_Map'!$D:$D,1,0)</f>
        <v/>
      </c>
      <c r="K3271" s="4562">
        <f>IF(D3271="","",D3271*J3271)</f>
        <v/>
      </c>
      <c r="L3271" s="4562">
        <f>XLOOKUP(B3271,'_Sys|Line_Map'!$A:$A,'_Sys|Line_Map'!$B:$B,"MISSING",0)</f>
        <v/>
      </c>
    </row>
    <row r="3272">
      <c r="A3272" s="4561" t="n"/>
      <c r="B3272" s="4561" t="n"/>
      <c r="C3272" s="4561" t="n"/>
      <c r="D3272" s="4561" t="n"/>
      <c r="E3272" s="4561" t="n"/>
      <c r="F3272" s="4561" t="n"/>
      <c r="G3272" s="4561" t="n"/>
      <c r="H3272" s="4561" t="n"/>
      <c r="I3272" s="4562">
        <f>XLOOKUP(B3272,'_Sys|Line_Map'!$A:$A,'_Sys|Line_Map'!$C:$C,"MISSING",0)</f>
        <v/>
      </c>
      <c r="J3272" s="4562">
        <f>XLOOKUP(B3272,'_Sys|Line_Map'!$A:$A,'_Sys|Line_Map'!$D:$D,1,0)</f>
        <v/>
      </c>
      <c r="K3272" s="4562">
        <f>IF(D3272="","",D3272*J3272)</f>
        <v/>
      </c>
      <c r="L3272" s="4562">
        <f>XLOOKUP(B3272,'_Sys|Line_Map'!$A:$A,'_Sys|Line_Map'!$B:$B,"MISSING",0)</f>
        <v/>
      </c>
    </row>
    <row r="3273">
      <c r="A3273" s="4561" t="n"/>
      <c r="B3273" s="4561" t="n"/>
      <c r="C3273" s="4561" t="n"/>
      <c r="D3273" s="4561" t="n"/>
      <c r="E3273" s="4561" t="n"/>
      <c r="F3273" s="4561" t="n"/>
      <c r="G3273" s="4561" t="n"/>
      <c r="H3273" s="4561" t="n"/>
      <c r="I3273" s="4562">
        <f>XLOOKUP(B3273,'_Sys|Line_Map'!$A:$A,'_Sys|Line_Map'!$C:$C,"MISSING",0)</f>
        <v/>
      </c>
      <c r="J3273" s="4562">
        <f>XLOOKUP(B3273,'_Sys|Line_Map'!$A:$A,'_Sys|Line_Map'!$D:$D,1,0)</f>
        <v/>
      </c>
      <c r="K3273" s="4562">
        <f>IF(D3273="","",D3273*J3273)</f>
        <v/>
      </c>
      <c r="L3273" s="4562">
        <f>XLOOKUP(B3273,'_Sys|Line_Map'!$A:$A,'_Sys|Line_Map'!$B:$B,"MISSING",0)</f>
        <v/>
      </c>
    </row>
    <row r="3274">
      <c r="A3274" s="4561" t="n"/>
      <c r="B3274" s="4561" t="n"/>
      <c r="C3274" s="4561" t="n"/>
      <c r="D3274" s="4561" t="n"/>
      <c r="E3274" s="4561" t="n"/>
      <c r="F3274" s="4561" t="n"/>
      <c r="G3274" s="4561" t="n"/>
      <c r="H3274" s="4561" t="n"/>
      <c r="I3274" s="4562">
        <f>XLOOKUP(B3274,'_Sys|Line_Map'!$A:$A,'_Sys|Line_Map'!$C:$C,"MISSING",0)</f>
        <v/>
      </c>
      <c r="J3274" s="4562">
        <f>XLOOKUP(B3274,'_Sys|Line_Map'!$A:$A,'_Sys|Line_Map'!$D:$D,1,0)</f>
        <v/>
      </c>
      <c r="K3274" s="4562">
        <f>IF(D3274="","",D3274*J3274)</f>
        <v/>
      </c>
      <c r="L3274" s="4562">
        <f>XLOOKUP(B3274,'_Sys|Line_Map'!$A:$A,'_Sys|Line_Map'!$B:$B,"MISSING",0)</f>
        <v/>
      </c>
    </row>
    <row r="3275">
      <c r="A3275" s="4561" t="n"/>
      <c r="B3275" s="4561" t="n"/>
      <c r="C3275" s="4561" t="n"/>
      <c r="D3275" s="4561" t="n"/>
      <c r="E3275" s="4561" t="n"/>
      <c r="F3275" s="4561" t="n"/>
      <c r="G3275" s="4561" t="n"/>
      <c r="H3275" s="4561" t="n"/>
      <c r="I3275" s="4562">
        <f>XLOOKUP(B3275,'_Sys|Line_Map'!$A:$A,'_Sys|Line_Map'!$C:$C,"MISSING",0)</f>
        <v/>
      </c>
      <c r="J3275" s="4562">
        <f>XLOOKUP(B3275,'_Sys|Line_Map'!$A:$A,'_Sys|Line_Map'!$D:$D,1,0)</f>
        <v/>
      </c>
      <c r="K3275" s="4562">
        <f>IF(D3275="","",D3275*J3275)</f>
        <v/>
      </c>
      <c r="L3275" s="4562">
        <f>XLOOKUP(B3275,'_Sys|Line_Map'!$A:$A,'_Sys|Line_Map'!$B:$B,"MISSING",0)</f>
        <v/>
      </c>
    </row>
    <row r="3276">
      <c r="A3276" s="4561" t="n"/>
      <c r="B3276" s="4561" t="n"/>
      <c r="C3276" s="4561" t="n"/>
      <c r="D3276" s="4561" t="n"/>
      <c r="E3276" s="4561" t="n"/>
      <c r="F3276" s="4561" t="n"/>
      <c r="G3276" s="4561" t="n"/>
      <c r="H3276" s="4561" t="n"/>
      <c r="I3276" s="4562">
        <f>XLOOKUP(B3276,'_Sys|Line_Map'!$A:$A,'_Sys|Line_Map'!$C:$C,"MISSING",0)</f>
        <v/>
      </c>
      <c r="J3276" s="4562">
        <f>XLOOKUP(B3276,'_Sys|Line_Map'!$A:$A,'_Sys|Line_Map'!$D:$D,1,0)</f>
        <v/>
      </c>
      <c r="K3276" s="4562">
        <f>IF(D3276="","",D3276*J3276)</f>
        <v/>
      </c>
      <c r="L3276" s="4562">
        <f>XLOOKUP(B3276,'_Sys|Line_Map'!$A:$A,'_Sys|Line_Map'!$B:$B,"MISSING",0)</f>
        <v/>
      </c>
    </row>
    <row r="3277">
      <c r="A3277" s="4561" t="n"/>
      <c r="B3277" s="4561" t="n"/>
      <c r="C3277" s="4561" t="n"/>
      <c r="D3277" s="4561" t="n"/>
      <c r="E3277" s="4561" t="n"/>
      <c r="F3277" s="4561" t="n"/>
      <c r="G3277" s="4561" t="n"/>
      <c r="H3277" s="4561" t="n"/>
      <c r="I3277" s="4562">
        <f>XLOOKUP(B3277,'_Sys|Line_Map'!$A:$A,'_Sys|Line_Map'!$C:$C,"MISSING",0)</f>
        <v/>
      </c>
      <c r="J3277" s="4562">
        <f>XLOOKUP(B3277,'_Sys|Line_Map'!$A:$A,'_Sys|Line_Map'!$D:$D,1,0)</f>
        <v/>
      </c>
      <c r="K3277" s="4562">
        <f>IF(D3277="","",D3277*J3277)</f>
        <v/>
      </c>
      <c r="L3277" s="4562">
        <f>XLOOKUP(B3277,'_Sys|Line_Map'!$A:$A,'_Sys|Line_Map'!$B:$B,"MISSING",0)</f>
        <v/>
      </c>
    </row>
    <row r="3278">
      <c r="A3278" s="4561" t="n"/>
      <c r="B3278" s="4561" t="n"/>
      <c r="C3278" s="4561" t="n"/>
      <c r="D3278" s="4561" t="n"/>
      <c r="E3278" s="4561" t="n"/>
      <c r="F3278" s="4561" t="n"/>
      <c r="G3278" s="4561" t="n"/>
      <c r="H3278" s="4561" t="n"/>
      <c r="I3278" s="4562">
        <f>XLOOKUP(B3278,'_Sys|Line_Map'!$A:$A,'_Sys|Line_Map'!$C:$C,"MISSING",0)</f>
        <v/>
      </c>
      <c r="J3278" s="4562">
        <f>XLOOKUP(B3278,'_Sys|Line_Map'!$A:$A,'_Sys|Line_Map'!$D:$D,1,0)</f>
        <v/>
      </c>
      <c r="K3278" s="4562">
        <f>IF(D3278="","",D3278*J3278)</f>
        <v/>
      </c>
      <c r="L3278" s="4562">
        <f>XLOOKUP(B3278,'_Sys|Line_Map'!$A:$A,'_Sys|Line_Map'!$B:$B,"MISSING",0)</f>
        <v/>
      </c>
    </row>
    <row r="3279">
      <c r="A3279" s="4561" t="n"/>
      <c r="B3279" s="4561" t="n"/>
      <c r="C3279" s="4561" t="n"/>
      <c r="D3279" s="4561" t="n"/>
      <c r="E3279" s="4561" t="n"/>
      <c r="F3279" s="4561" t="n"/>
      <c r="G3279" s="4561" t="n"/>
      <c r="H3279" s="4561" t="n"/>
      <c r="I3279" s="4562">
        <f>XLOOKUP(B3279,'_Sys|Line_Map'!$A:$A,'_Sys|Line_Map'!$C:$C,"MISSING",0)</f>
        <v/>
      </c>
      <c r="J3279" s="4562">
        <f>XLOOKUP(B3279,'_Sys|Line_Map'!$A:$A,'_Sys|Line_Map'!$D:$D,1,0)</f>
        <v/>
      </c>
      <c r="K3279" s="4562">
        <f>IF(D3279="","",D3279*J3279)</f>
        <v/>
      </c>
      <c r="L3279" s="4562">
        <f>XLOOKUP(B3279,'_Sys|Line_Map'!$A:$A,'_Sys|Line_Map'!$B:$B,"MISSING",0)</f>
        <v/>
      </c>
    </row>
    <row r="3280">
      <c r="A3280" s="4561" t="n"/>
      <c r="B3280" s="4561" t="n"/>
      <c r="C3280" s="4561" t="n"/>
      <c r="D3280" s="4561" t="n"/>
      <c r="E3280" s="4561" t="n"/>
      <c r="F3280" s="4561" t="n"/>
      <c r="G3280" s="4561" t="n"/>
      <c r="H3280" s="4561" t="n"/>
      <c r="I3280" s="4562">
        <f>XLOOKUP(B3280,'_Sys|Line_Map'!$A:$A,'_Sys|Line_Map'!$C:$C,"MISSING",0)</f>
        <v/>
      </c>
      <c r="J3280" s="4562">
        <f>XLOOKUP(B3280,'_Sys|Line_Map'!$A:$A,'_Sys|Line_Map'!$D:$D,1,0)</f>
        <v/>
      </c>
      <c r="K3280" s="4562">
        <f>IF(D3280="","",D3280*J3280)</f>
        <v/>
      </c>
      <c r="L3280" s="4562">
        <f>XLOOKUP(B3280,'_Sys|Line_Map'!$A:$A,'_Sys|Line_Map'!$B:$B,"MISSING",0)</f>
        <v/>
      </c>
    </row>
    <row r="3281">
      <c r="A3281" s="4561" t="n"/>
      <c r="B3281" s="4561" t="n"/>
      <c r="C3281" s="4561" t="n"/>
      <c r="D3281" s="4561" t="n"/>
      <c r="E3281" s="4561" t="n"/>
      <c r="F3281" s="4561" t="n"/>
      <c r="G3281" s="4561" t="n"/>
      <c r="H3281" s="4561" t="n"/>
      <c r="I3281" s="4562">
        <f>XLOOKUP(B3281,'_Sys|Line_Map'!$A:$A,'_Sys|Line_Map'!$C:$C,"MISSING",0)</f>
        <v/>
      </c>
      <c r="J3281" s="4562">
        <f>XLOOKUP(B3281,'_Sys|Line_Map'!$A:$A,'_Sys|Line_Map'!$D:$D,1,0)</f>
        <v/>
      </c>
      <c r="K3281" s="4562">
        <f>IF(D3281="","",D3281*J3281)</f>
        <v/>
      </c>
      <c r="L3281" s="4562">
        <f>XLOOKUP(B3281,'_Sys|Line_Map'!$A:$A,'_Sys|Line_Map'!$B:$B,"MISSING",0)</f>
        <v/>
      </c>
    </row>
    <row r="3282">
      <c r="A3282" s="4561" t="n"/>
      <c r="B3282" s="4561" t="n"/>
      <c r="C3282" s="4561" t="n"/>
      <c r="D3282" s="4561" t="n"/>
      <c r="E3282" s="4561" t="n"/>
      <c r="F3282" s="4561" t="n"/>
      <c r="G3282" s="4561" t="n"/>
      <c r="H3282" s="4561" t="n"/>
      <c r="I3282" s="4562">
        <f>XLOOKUP(B3282,'_Sys|Line_Map'!$A:$A,'_Sys|Line_Map'!$C:$C,"MISSING",0)</f>
        <v/>
      </c>
      <c r="J3282" s="4562">
        <f>XLOOKUP(B3282,'_Sys|Line_Map'!$A:$A,'_Sys|Line_Map'!$D:$D,1,0)</f>
        <v/>
      </c>
      <c r="K3282" s="4562">
        <f>IF(D3282="","",D3282*J3282)</f>
        <v/>
      </c>
      <c r="L3282" s="4562">
        <f>XLOOKUP(B3282,'_Sys|Line_Map'!$A:$A,'_Sys|Line_Map'!$B:$B,"MISSING",0)</f>
        <v/>
      </c>
    </row>
    <row r="3283">
      <c r="A3283" s="4561" t="n"/>
      <c r="B3283" s="4561" t="n"/>
      <c r="C3283" s="4561" t="n"/>
      <c r="D3283" s="4561" t="n"/>
      <c r="E3283" s="4561" t="n"/>
      <c r="F3283" s="4561" t="n"/>
      <c r="G3283" s="4561" t="n"/>
      <c r="H3283" s="4561" t="n"/>
      <c r="I3283" s="4562">
        <f>XLOOKUP(B3283,'_Sys|Line_Map'!$A:$A,'_Sys|Line_Map'!$C:$C,"MISSING",0)</f>
        <v/>
      </c>
      <c r="J3283" s="4562">
        <f>XLOOKUP(B3283,'_Sys|Line_Map'!$A:$A,'_Sys|Line_Map'!$D:$D,1,0)</f>
        <v/>
      </c>
      <c r="K3283" s="4562">
        <f>IF(D3283="","",D3283*J3283)</f>
        <v/>
      </c>
      <c r="L3283" s="4562">
        <f>XLOOKUP(B3283,'_Sys|Line_Map'!$A:$A,'_Sys|Line_Map'!$B:$B,"MISSING",0)</f>
        <v/>
      </c>
    </row>
    <row r="3284">
      <c r="A3284" s="4561" t="n"/>
      <c r="B3284" s="4561" t="n"/>
      <c r="C3284" s="4561" t="n"/>
      <c r="D3284" s="4561" t="n"/>
      <c r="E3284" s="4561" t="n"/>
      <c r="F3284" s="4561" t="n"/>
      <c r="G3284" s="4561" t="n"/>
      <c r="H3284" s="4561" t="n"/>
      <c r="I3284" s="4562">
        <f>XLOOKUP(B3284,'_Sys|Line_Map'!$A:$A,'_Sys|Line_Map'!$C:$C,"MISSING",0)</f>
        <v/>
      </c>
      <c r="J3284" s="4562">
        <f>XLOOKUP(B3284,'_Sys|Line_Map'!$A:$A,'_Sys|Line_Map'!$D:$D,1,0)</f>
        <v/>
      </c>
      <c r="K3284" s="4562">
        <f>IF(D3284="","",D3284*J3284)</f>
        <v/>
      </c>
      <c r="L3284" s="4562">
        <f>XLOOKUP(B3284,'_Sys|Line_Map'!$A:$A,'_Sys|Line_Map'!$B:$B,"MISSING",0)</f>
        <v/>
      </c>
    </row>
    <row r="3285">
      <c r="A3285" s="4561" t="n"/>
      <c r="B3285" s="4561" t="n"/>
      <c r="C3285" s="4561" t="n"/>
      <c r="D3285" s="4561" t="n"/>
      <c r="E3285" s="4561" t="n"/>
      <c r="F3285" s="4561" t="n"/>
      <c r="G3285" s="4561" t="n"/>
      <c r="H3285" s="4561" t="n"/>
      <c r="I3285" s="4562">
        <f>XLOOKUP(B3285,'_Sys|Line_Map'!$A:$A,'_Sys|Line_Map'!$C:$C,"MISSING",0)</f>
        <v/>
      </c>
      <c r="J3285" s="4562">
        <f>XLOOKUP(B3285,'_Sys|Line_Map'!$A:$A,'_Sys|Line_Map'!$D:$D,1,0)</f>
        <v/>
      </c>
      <c r="K3285" s="4562">
        <f>IF(D3285="","",D3285*J3285)</f>
        <v/>
      </c>
      <c r="L3285" s="4562">
        <f>XLOOKUP(B3285,'_Sys|Line_Map'!$A:$A,'_Sys|Line_Map'!$B:$B,"MISSING",0)</f>
        <v/>
      </c>
    </row>
    <row r="3286">
      <c r="A3286" s="4561" t="n"/>
      <c r="B3286" s="4561" t="n"/>
      <c r="C3286" s="4561" t="n"/>
      <c r="D3286" s="4561" t="n"/>
      <c r="E3286" s="4561" t="n"/>
      <c r="F3286" s="4561" t="n"/>
      <c r="G3286" s="4561" t="n"/>
      <c r="H3286" s="4561" t="n"/>
      <c r="I3286" s="4562">
        <f>XLOOKUP(B3286,'_Sys|Line_Map'!$A:$A,'_Sys|Line_Map'!$C:$C,"MISSING",0)</f>
        <v/>
      </c>
      <c r="J3286" s="4562">
        <f>XLOOKUP(B3286,'_Sys|Line_Map'!$A:$A,'_Sys|Line_Map'!$D:$D,1,0)</f>
        <v/>
      </c>
      <c r="K3286" s="4562">
        <f>IF(D3286="","",D3286*J3286)</f>
        <v/>
      </c>
      <c r="L3286" s="4562">
        <f>XLOOKUP(B3286,'_Sys|Line_Map'!$A:$A,'_Sys|Line_Map'!$B:$B,"MISSING",0)</f>
        <v/>
      </c>
    </row>
    <row r="3287">
      <c r="A3287" s="4561" t="n"/>
      <c r="B3287" s="4561" t="n"/>
      <c r="C3287" s="4561" t="n"/>
      <c r="D3287" s="4561" t="n"/>
      <c r="E3287" s="4561" t="n"/>
      <c r="F3287" s="4561" t="n"/>
      <c r="G3287" s="4561" t="n"/>
      <c r="H3287" s="4561" t="n"/>
      <c r="I3287" s="4562">
        <f>XLOOKUP(B3287,'_Sys|Line_Map'!$A:$A,'_Sys|Line_Map'!$C:$C,"MISSING",0)</f>
        <v/>
      </c>
      <c r="J3287" s="4562">
        <f>XLOOKUP(B3287,'_Sys|Line_Map'!$A:$A,'_Sys|Line_Map'!$D:$D,1,0)</f>
        <v/>
      </c>
      <c r="K3287" s="4562">
        <f>IF(D3287="","",D3287*J3287)</f>
        <v/>
      </c>
      <c r="L3287" s="4562">
        <f>XLOOKUP(B3287,'_Sys|Line_Map'!$A:$A,'_Sys|Line_Map'!$B:$B,"MISSING",0)</f>
        <v/>
      </c>
    </row>
    <row r="3288">
      <c r="A3288" s="4561" t="n"/>
      <c r="B3288" s="4561" t="n"/>
      <c r="C3288" s="4561" t="n"/>
      <c r="D3288" s="4561" t="n"/>
      <c r="E3288" s="4561" t="n"/>
      <c r="F3288" s="4561" t="n"/>
      <c r="G3288" s="4561" t="n"/>
      <c r="H3288" s="4561" t="n"/>
      <c r="I3288" s="4562">
        <f>XLOOKUP(B3288,'_Sys|Line_Map'!$A:$A,'_Sys|Line_Map'!$C:$C,"MISSING",0)</f>
        <v/>
      </c>
      <c r="J3288" s="4562">
        <f>XLOOKUP(B3288,'_Sys|Line_Map'!$A:$A,'_Sys|Line_Map'!$D:$D,1,0)</f>
        <v/>
      </c>
      <c r="K3288" s="4562">
        <f>IF(D3288="","",D3288*J3288)</f>
        <v/>
      </c>
      <c r="L3288" s="4562">
        <f>XLOOKUP(B3288,'_Sys|Line_Map'!$A:$A,'_Sys|Line_Map'!$B:$B,"MISSING",0)</f>
        <v/>
      </c>
    </row>
    <row r="3289">
      <c r="A3289" s="4561" t="n"/>
      <c r="B3289" s="4561" t="n"/>
      <c r="C3289" s="4561" t="n"/>
      <c r="D3289" s="4561" t="n"/>
      <c r="E3289" s="4561" t="n"/>
      <c r="F3289" s="4561" t="n"/>
      <c r="G3289" s="4561" t="n"/>
      <c r="H3289" s="4561" t="n"/>
      <c r="I3289" s="4562">
        <f>XLOOKUP(B3289,'_Sys|Line_Map'!$A:$A,'_Sys|Line_Map'!$C:$C,"MISSING",0)</f>
        <v/>
      </c>
      <c r="J3289" s="4562">
        <f>XLOOKUP(B3289,'_Sys|Line_Map'!$A:$A,'_Sys|Line_Map'!$D:$D,1,0)</f>
        <v/>
      </c>
      <c r="K3289" s="4562">
        <f>IF(D3289="","",D3289*J3289)</f>
        <v/>
      </c>
      <c r="L3289" s="4562">
        <f>XLOOKUP(B3289,'_Sys|Line_Map'!$A:$A,'_Sys|Line_Map'!$B:$B,"MISSING",0)</f>
        <v/>
      </c>
    </row>
    <row r="3290">
      <c r="A3290" s="4561" t="n"/>
      <c r="B3290" s="4561" t="n"/>
      <c r="C3290" s="4561" t="n"/>
      <c r="D3290" s="4561" t="n"/>
      <c r="E3290" s="4561" t="n"/>
      <c r="F3290" s="4561" t="n"/>
      <c r="G3290" s="4561" t="n"/>
      <c r="H3290" s="4561" t="n"/>
      <c r="I3290" s="4562">
        <f>XLOOKUP(B3290,'_Sys|Line_Map'!$A:$A,'_Sys|Line_Map'!$C:$C,"MISSING",0)</f>
        <v/>
      </c>
      <c r="J3290" s="4562">
        <f>XLOOKUP(B3290,'_Sys|Line_Map'!$A:$A,'_Sys|Line_Map'!$D:$D,1,0)</f>
        <v/>
      </c>
      <c r="K3290" s="4562">
        <f>IF(D3290="","",D3290*J3290)</f>
        <v/>
      </c>
      <c r="L3290" s="4562">
        <f>XLOOKUP(B3290,'_Sys|Line_Map'!$A:$A,'_Sys|Line_Map'!$B:$B,"MISSING",0)</f>
        <v/>
      </c>
    </row>
    <row r="3291">
      <c r="A3291" s="4561" t="n"/>
      <c r="B3291" s="4561" t="n"/>
      <c r="C3291" s="4561" t="n"/>
      <c r="D3291" s="4561" t="n"/>
      <c r="E3291" s="4561" t="n"/>
      <c r="F3291" s="4561" t="n"/>
      <c r="G3291" s="4561" t="n"/>
      <c r="H3291" s="4561" t="n"/>
      <c r="I3291" s="4562">
        <f>XLOOKUP(B3291,'_Sys|Line_Map'!$A:$A,'_Sys|Line_Map'!$C:$C,"MISSING",0)</f>
        <v/>
      </c>
      <c r="J3291" s="4562">
        <f>XLOOKUP(B3291,'_Sys|Line_Map'!$A:$A,'_Sys|Line_Map'!$D:$D,1,0)</f>
        <v/>
      </c>
      <c r="K3291" s="4562">
        <f>IF(D3291="","",D3291*J3291)</f>
        <v/>
      </c>
      <c r="L3291" s="4562">
        <f>XLOOKUP(B3291,'_Sys|Line_Map'!$A:$A,'_Sys|Line_Map'!$B:$B,"MISSING",0)</f>
        <v/>
      </c>
    </row>
    <row r="3292">
      <c r="A3292" s="4561" t="n"/>
      <c r="B3292" s="4561" t="n"/>
      <c r="C3292" s="4561" t="n"/>
      <c r="D3292" s="4561" t="n"/>
      <c r="E3292" s="4561" t="n"/>
      <c r="F3292" s="4561" t="n"/>
      <c r="G3292" s="4561" t="n"/>
      <c r="H3292" s="4561" t="n"/>
      <c r="I3292" s="4562">
        <f>XLOOKUP(B3292,'_Sys|Line_Map'!$A:$A,'_Sys|Line_Map'!$C:$C,"MISSING",0)</f>
        <v/>
      </c>
      <c r="J3292" s="4562">
        <f>XLOOKUP(B3292,'_Sys|Line_Map'!$A:$A,'_Sys|Line_Map'!$D:$D,1,0)</f>
        <v/>
      </c>
      <c r="K3292" s="4562">
        <f>IF(D3292="","",D3292*J3292)</f>
        <v/>
      </c>
      <c r="L3292" s="4562">
        <f>XLOOKUP(B3292,'_Sys|Line_Map'!$A:$A,'_Sys|Line_Map'!$B:$B,"MISSING",0)</f>
        <v/>
      </c>
    </row>
    <row r="3293">
      <c r="A3293" s="4561" t="n"/>
      <c r="B3293" s="4561" t="n"/>
      <c r="C3293" s="4561" t="n"/>
      <c r="D3293" s="4561" t="n"/>
      <c r="E3293" s="4561" t="n"/>
      <c r="F3293" s="4561" t="n"/>
      <c r="G3293" s="4561" t="n"/>
      <c r="H3293" s="4561" t="n"/>
      <c r="I3293" s="4562">
        <f>XLOOKUP(B3293,'_Sys|Line_Map'!$A:$A,'_Sys|Line_Map'!$C:$C,"MISSING",0)</f>
        <v/>
      </c>
      <c r="J3293" s="4562">
        <f>XLOOKUP(B3293,'_Sys|Line_Map'!$A:$A,'_Sys|Line_Map'!$D:$D,1,0)</f>
        <v/>
      </c>
      <c r="K3293" s="4562">
        <f>IF(D3293="","",D3293*J3293)</f>
        <v/>
      </c>
      <c r="L3293" s="4562">
        <f>XLOOKUP(B3293,'_Sys|Line_Map'!$A:$A,'_Sys|Line_Map'!$B:$B,"MISSING",0)</f>
        <v/>
      </c>
    </row>
    <row r="3294">
      <c r="A3294" s="4561" t="n"/>
      <c r="B3294" s="4561" t="n"/>
      <c r="C3294" s="4561" t="n"/>
      <c r="D3294" s="4561" t="n"/>
      <c r="E3294" s="4561" t="n"/>
      <c r="F3294" s="4561" t="n"/>
      <c r="G3294" s="4561" t="n"/>
      <c r="H3294" s="4561" t="n"/>
      <c r="I3294" s="4562">
        <f>XLOOKUP(B3294,'_Sys|Line_Map'!$A:$A,'_Sys|Line_Map'!$C:$C,"MISSING",0)</f>
        <v/>
      </c>
      <c r="J3294" s="4562">
        <f>XLOOKUP(B3294,'_Sys|Line_Map'!$A:$A,'_Sys|Line_Map'!$D:$D,1,0)</f>
        <v/>
      </c>
      <c r="K3294" s="4562">
        <f>IF(D3294="","",D3294*J3294)</f>
        <v/>
      </c>
      <c r="L3294" s="4562">
        <f>XLOOKUP(B3294,'_Sys|Line_Map'!$A:$A,'_Sys|Line_Map'!$B:$B,"MISSING",0)</f>
        <v/>
      </c>
    </row>
    <row r="3295">
      <c r="A3295" s="4561" t="n"/>
      <c r="B3295" s="4561" t="n"/>
      <c r="C3295" s="4561" t="n"/>
      <c r="D3295" s="4561" t="n"/>
      <c r="E3295" s="4561" t="n"/>
      <c r="F3295" s="4561" t="n"/>
      <c r="G3295" s="4561" t="n"/>
      <c r="H3295" s="4561" t="n"/>
      <c r="I3295" s="4562">
        <f>XLOOKUP(B3295,'_Sys|Line_Map'!$A:$A,'_Sys|Line_Map'!$C:$C,"MISSING",0)</f>
        <v/>
      </c>
      <c r="J3295" s="4562">
        <f>XLOOKUP(B3295,'_Sys|Line_Map'!$A:$A,'_Sys|Line_Map'!$D:$D,1,0)</f>
        <v/>
      </c>
      <c r="K3295" s="4562">
        <f>IF(D3295="","",D3295*J3295)</f>
        <v/>
      </c>
      <c r="L3295" s="4562">
        <f>XLOOKUP(B3295,'_Sys|Line_Map'!$A:$A,'_Sys|Line_Map'!$B:$B,"MISSING",0)</f>
        <v/>
      </c>
    </row>
    <row r="3296">
      <c r="A3296" s="4561" t="n"/>
      <c r="B3296" s="4561" t="n"/>
      <c r="C3296" s="4561" t="n"/>
      <c r="D3296" s="4561" t="n"/>
      <c r="E3296" s="4561" t="n"/>
      <c r="F3296" s="4561" t="n"/>
      <c r="G3296" s="4561" t="n"/>
      <c r="H3296" s="4561" t="n"/>
      <c r="I3296" s="4562">
        <f>XLOOKUP(B3296,'_Sys|Line_Map'!$A:$A,'_Sys|Line_Map'!$C:$C,"MISSING",0)</f>
        <v/>
      </c>
      <c r="J3296" s="4562">
        <f>XLOOKUP(B3296,'_Sys|Line_Map'!$A:$A,'_Sys|Line_Map'!$D:$D,1,0)</f>
        <v/>
      </c>
      <c r="K3296" s="4562">
        <f>IF(D3296="","",D3296*J3296)</f>
        <v/>
      </c>
      <c r="L3296" s="4562">
        <f>XLOOKUP(B3296,'_Sys|Line_Map'!$A:$A,'_Sys|Line_Map'!$B:$B,"MISSING",0)</f>
        <v/>
      </c>
    </row>
    <row r="3297">
      <c r="A3297" s="4561" t="n"/>
      <c r="B3297" s="4561" t="n"/>
      <c r="C3297" s="4561" t="n"/>
      <c r="D3297" s="4561" t="n"/>
      <c r="E3297" s="4561" t="n"/>
      <c r="F3297" s="4561" t="n"/>
      <c r="G3297" s="4561" t="n"/>
      <c r="H3297" s="4561" t="n"/>
      <c r="I3297" s="4562">
        <f>XLOOKUP(B3297,'_Sys|Line_Map'!$A:$A,'_Sys|Line_Map'!$C:$C,"MISSING",0)</f>
        <v/>
      </c>
      <c r="J3297" s="4562">
        <f>XLOOKUP(B3297,'_Sys|Line_Map'!$A:$A,'_Sys|Line_Map'!$D:$D,1,0)</f>
        <v/>
      </c>
      <c r="K3297" s="4562">
        <f>IF(D3297="","",D3297*J3297)</f>
        <v/>
      </c>
      <c r="L3297" s="4562">
        <f>XLOOKUP(B3297,'_Sys|Line_Map'!$A:$A,'_Sys|Line_Map'!$B:$B,"MISSING",0)</f>
        <v/>
      </c>
    </row>
    <row r="3298">
      <c r="A3298" s="4561" t="n"/>
      <c r="B3298" s="4561" t="n"/>
      <c r="C3298" s="4561" t="n"/>
      <c r="D3298" s="4561" t="n"/>
      <c r="E3298" s="4561" t="n"/>
      <c r="F3298" s="4561" t="n"/>
      <c r="G3298" s="4561" t="n"/>
      <c r="H3298" s="4561" t="n"/>
      <c r="I3298" s="4562">
        <f>XLOOKUP(B3298,'_Sys|Line_Map'!$A:$A,'_Sys|Line_Map'!$C:$C,"MISSING",0)</f>
        <v/>
      </c>
      <c r="J3298" s="4562">
        <f>XLOOKUP(B3298,'_Sys|Line_Map'!$A:$A,'_Sys|Line_Map'!$D:$D,1,0)</f>
        <v/>
      </c>
      <c r="K3298" s="4562">
        <f>IF(D3298="","",D3298*J3298)</f>
        <v/>
      </c>
      <c r="L3298" s="4562">
        <f>XLOOKUP(B3298,'_Sys|Line_Map'!$A:$A,'_Sys|Line_Map'!$B:$B,"MISSING",0)</f>
        <v/>
      </c>
    </row>
    <row r="3299">
      <c r="A3299" s="4561" t="n"/>
      <c r="B3299" s="4561" t="n"/>
      <c r="C3299" s="4561" t="n"/>
      <c r="D3299" s="4561" t="n"/>
      <c r="E3299" s="4561" t="n"/>
      <c r="F3299" s="4561" t="n"/>
      <c r="G3299" s="4561" t="n"/>
      <c r="H3299" s="4561" t="n"/>
      <c r="I3299" s="4562">
        <f>XLOOKUP(B3299,'_Sys|Line_Map'!$A:$A,'_Sys|Line_Map'!$C:$C,"MISSING",0)</f>
        <v/>
      </c>
      <c r="J3299" s="4562">
        <f>XLOOKUP(B3299,'_Sys|Line_Map'!$A:$A,'_Sys|Line_Map'!$D:$D,1,0)</f>
        <v/>
      </c>
      <c r="K3299" s="4562">
        <f>IF(D3299="","",D3299*J3299)</f>
        <v/>
      </c>
      <c r="L3299" s="4562">
        <f>XLOOKUP(B3299,'_Sys|Line_Map'!$A:$A,'_Sys|Line_Map'!$B:$B,"MISSING",0)</f>
        <v/>
      </c>
    </row>
    <row r="3300">
      <c r="A3300" s="4561" t="n"/>
      <c r="B3300" s="4561" t="n"/>
      <c r="C3300" s="4561" t="n"/>
      <c r="D3300" s="4561" t="n"/>
      <c r="E3300" s="4561" t="n"/>
      <c r="F3300" s="4561" t="n"/>
      <c r="G3300" s="4561" t="n"/>
      <c r="H3300" s="4561" t="n"/>
      <c r="I3300" s="4562">
        <f>XLOOKUP(B3300,'_Sys|Line_Map'!$A:$A,'_Sys|Line_Map'!$C:$C,"MISSING",0)</f>
        <v/>
      </c>
      <c r="J3300" s="4562">
        <f>XLOOKUP(B3300,'_Sys|Line_Map'!$A:$A,'_Sys|Line_Map'!$D:$D,1,0)</f>
        <v/>
      </c>
      <c r="K3300" s="4562">
        <f>IF(D3300="","",D3300*J3300)</f>
        <v/>
      </c>
      <c r="L3300" s="4562">
        <f>XLOOKUP(B3300,'_Sys|Line_Map'!$A:$A,'_Sys|Line_Map'!$B:$B,"MISSING",0)</f>
        <v/>
      </c>
    </row>
    <row r="3301">
      <c r="A3301" s="4561" t="n"/>
      <c r="B3301" s="4561" t="n"/>
      <c r="C3301" s="4561" t="n"/>
      <c r="D3301" s="4561" t="n"/>
      <c r="E3301" s="4561" t="n"/>
      <c r="F3301" s="4561" t="n"/>
      <c r="G3301" s="4561" t="n"/>
      <c r="H3301" s="4561" t="n"/>
      <c r="I3301" s="4562">
        <f>XLOOKUP(B3301,'_Sys|Line_Map'!$A:$A,'_Sys|Line_Map'!$C:$C,"MISSING",0)</f>
        <v/>
      </c>
      <c r="J3301" s="4562">
        <f>XLOOKUP(B3301,'_Sys|Line_Map'!$A:$A,'_Sys|Line_Map'!$D:$D,1,0)</f>
        <v/>
      </c>
      <c r="K3301" s="4562">
        <f>IF(D3301="","",D3301*J3301)</f>
        <v/>
      </c>
      <c r="L3301" s="4562">
        <f>XLOOKUP(B3301,'_Sys|Line_Map'!$A:$A,'_Sys|Line_Map'!$B:$B,"MISSING",0)</f>
        <v/>
      </c>
    </row>
    <row r="3302">
      <c r="A3302" s="4561" t="n"/>
      <c r="B3302" s="4561" t="n"/>
      <c r="C3302" s="4561" t="n"/>
      <c r="D3302" s="4561" t="n"/>
      <c r="E3302" s="4561" t="n"/>
      <c r="F3302" s="4561" t="n"/>
      <c r="G3302" s="4561" t="n"/>
      <c r="H3302" s="4561" t="n"/>
      <c r="I3302" s="4562">
        <f>XLOOKUP(B3302,'_Sys|Line_Map'!$A:$A,'_Sys|Line_Map'!$C:$C,"MISSING",0)</f>
        <v/>
      </c>
      <c r="J3302" s="4562">
        <f>XLOOKUP(B3302,'_Sys|Line_Map'!$A:$A,'_Sys|Line_Map'!$D:$D,1,0)</f>
        <v/>
      </c>
      <c r="K3302" s="4562">
        <f>IF(D3302="","",D3302*J3302)</f>
        <v/>
      </c>
      <c r="L3302" s="4562">
        <f>XLOOKUP(B3302,'_Sys|Line_Map'!$A:$A,'_Sys|Line_Map'!$B:$B,"MISSING",0)</f>
        <v/>
      </c>
    </row>
    <row r="3303">
      <c r="A3303" s="4561" t="n"/>
      <c r="B3303" s="4561" t="n"/>
      <c r="C3303" s="4561" t="n"/>
      <c r="D3303" s="4561" t="n"/>
      <c r="E3303" s="4561" t="n"/>
      <c r="F3303" s="4561" t="n"/>
      <c r="G3303" s="4561" t="n"/>
      <c r="H3303" s="4561" t="n"/>
      <c r="I3303" s="4562">
        <f>XLOOKUP(B3303,'_Sys|Line_Map'!$A:$A,'_Sys|Line_Map'!$C:$C,"MISSING",0)</f>
        <v/>
      </c>
      <c r="J3303" s="4562">
        <f>XLOOKUP(B3303,'_Sys|Line_Map'!$A:$A,'_Sys|Line_Map'!$D:$D,1,0)</f>
        <v/>
      </c>
      <c r="K3303" s="4562">
        <f>IF(D3303="","",D3303*J3303)</f>
        <v/>
      </c>
      <c r="L3303" s="4562">
        <f>XLOOKUP(B3303,'_Sys|Line_Map'!$A:$A,'_Sys|Line_Map'!$B:$B,"MISSING",0)</f>
        <v/>
      </c>
    </row>
    <row r="3304">
      <c r="A3304" s="4561" t="n"/>
      <c r="B3304" s="4561" t="n"/>
      <c r="C3304" s="4561" t="n"/>
      <c r="D3304" s="4561" t="n"/>
      <c r="E3304" s="4561" t="n"/>
      <c r="F3304" s="4561" t="n"/>
      <c r="G3304" s="4561" t="n"/>
      <c r="H3304" s="4561" t="n"/>
      <c r="I3304" s="4562">
        <f>XLOOKUP(B3304,'_Sys|Line_Map'!$A:$A,'_Sys|Line_Map'!$C:$C,"MISSING",0)</f>
        <v/>
      </c>
      <c r="J3304" s="4562">
        <f>XLOOKUP(B3304,'_Sys|Line_Map'!$A:$A,'_Sys|Line_Map'!$D:$D,1,0)</f>
        <v/>
      </c>
      <c r="K3304" s="4562">
        <f>IF(D3304="","",D3304*J3304)</f>
        <v/>
      </c>
      <c r="L3304" s="4562">
        <f>XLOOKUP(B3304,'_Sys|Line_Map'!$A:$A,'_Sys|Line_Map'!$B:$B,"MISSING",0)</f>
        <v/>
      </c>
    </row>
    <row r="3305">
      <c r="A3305" s="4561" t="n"/>
      <c r="B3305" s="4561" t="n"/>
      <c r="C3305" s="4561" t="n"/>
      <c r="D3305" s="4561" t="n"/>
      <c r="E3305" s="4561" t="n"/>
      <c r="F3305" s="4561" t="n"/>
      <c r="G3305" s="4561" t="n"/>
      <c r="H3305" s="4561" t="n"/>
      <c r="I3305" s="4562">
        <f>XLOOKUP(B3305,'_Sys|Line_Map'!$A:$A,'_Sys|Line_Map'!$C:$C,"MISSING",0)</f>
        <v/>
      </c>
      <c r="J3305" s="4562">
        <f>XLOOKUP(B3305,'_Sys|Line_Map'!$A:$A,'_Sys|Line_Map'!$D:$D,1,0)</f>
        <v/>
      </c>
      <c r="K3305" s="4562">
        <f>IF(D3305="","",D3305*J3305)</f>
        <v/>
      </c>
      <c r="L3305" s="4562">
        <f>XLOOKUP(B3305,'_Sys|Line_Map'!$A:$A,'_Sys|Line_Map'!$B:$B,"MISSING",0)</f>
        <v/>
      </c>
    </row>
    <row r="3306">
      <c r="A3306" s="4561" t="n"/>
      <c r="B3306" s="4561" t="n"/>
      <c r="C3306" s="4561" t="n"/>
      <c r="D3306" s="4561" t="n"/>
      <c r="E3306" s="4561" t="n"/>
      <c r="F3306" s="4561" t="n"/>
      <c r="G3306" s="4561" t="n"/>
      <c r="H3306" s="4561" t="n"/>
      <c r="I3306" s="4562">
        <f>XLOOKUP(B3306,'_Sys|Line_Map'!$A:$A,'_Sys|Line_Map'!$C:$C,"MISSING",0)</f>
        <v/>
      </c>
      <c r="J3306" s="4562">
        <f>XLOOKUP(B3306,'_Sys|Line_Map'!$A:$A,'_Sys|Line_Map'!$D:$D,1,0)</f>
        <v/>
      </c>
      <c r="K3306" s="4562">
        <f>IF(D3306="","",D3306*J3306)</f>
        <v/>
      </c>
      <c r="L3306" s="4562">
        <f>XLOOKUP(B3306,'_Sys|Line_Map'!$A:$A,'_Sys|Line_Map'!$B:$B,"MISSING",0)</f>
        <v/>
      </c>
    </row>
    <row r="3307">
      <c r="A3307" s="4561" t="n"/>
      <c r="B3307" s="4561" t="n"/>
      <c r="C3307" s="4561" t="n"/>
      <c r="D3307" s="4561" t="n"/>
      <c r="E3307" s="4561" t="n"/>
      <c r="F3307" s="4561" t="n"/>
      <c r="G3307" s="4561" t="n"/>
      <c r="H3307" s="4561" t="n"/>
      <c r="I3307" s="4562">
        <f>XLOOKUP(B3307,'_Sys|Line_Map'!$A:$A,'_Sys|Line_Map'!$C:$C,"MISSING",0)</f>
        <v/>
      </c>
      <c r="J3307" s="4562">
        <f>XLOOKUP(B3307,'_Sys|Line_Map'!$A:$A,'_Sys|Line_Map'!$D:$D,1,0)</f>
        <v/>
      </c>
      <c r="K3307" s="4562">
        <f>IF(D3307="","",D3307*J3307)</f>
        <v/>
      </c>
      <c r="L3307" s="4562">
        <f>XLOOKUP(B3307,'_Sys|Line_Map'!$A:$A,'_Sys|Line_Map'!$B:$B,"MISSING",0)</f>
        <v/>
      </c>
    </row>
    <row r="3308">
      <c r="A3308" s="4561" t="n"/>
      <c r="B3308" s="4561" t="n"/>
      <c r="C3308" s="4561" t="n"/>
      <c r="D3308" s="4561" t="n"/>
      <c r="E3308" s="4561" t="n"/>
      <c r="F3308" s="4561" t="n"/>
      <c r="G3308" s="4561" t="n"/>
      <c r="H3308" s="4561" t="n"/>
      <c r="I3308" s="4562">
        <f>XLOOKUP(B3308,'_Sys|Line_Map'!$A:$A,'_Sys|Line_Map'!$C:$C,"MISSING",0)</f>
        <v/>
      </c>
      <c r="J3308" s="4562">
        <f>XLOOKUP(B3308,'_Sys|Line_Map'!$A:$A,'_Sys|Line_Map'!$D:$D,1,0)</f>
        <v/>
      </c>
      <c r="K3308" s="4562">
        <f>IF(D3308="","",D3308*J3308)</f>
        <v/>
      </c>
      <c r="L3308" s="4562">
        <f>XLOOKUP(B3308,'_Sys|Line_Map'!$A:$A,'_Sys|Line_Map'!$B:$B,"MISSING",0)</f>
        <v/>
      </c>
    </row>
    <row r="3309">
      <c r="A3309" s="4561" t="n"/>
      <c r="B3309" s="4561" t="n"/>
      <c r="C3309" s="4561" t="n"/>
      <c r="D3309" s="4561" t="n"/>
      <c r="E3309" s="4561" t="n"/>
      <c r="F3309" s="4561" t="n"/>
      <c r="G3309" s="4561" t="n"/>
      <c r="H3309" s="4561" t="n"/>
      <c r="I3309" s="4562">
        <f>XLOOKUP(B3309,'_Sys|Line_Map'!$A:$A,'_Sys|Line_Map'!$C:$C,"MISSING",0)</f>
        <v/>
      </c>
      <c r="J3309" s="4562">
        <f>XLOOKUP(B3309,'_Sys|Line_Map'!$A:$A,'_Sys|Line_Map'!$D:$D,1,0)</f>
        <v/>
      </c>
      <c r="K3309" s="4562">
        <f>IF(D3309="","",D3309*J3309)</f>
        <v/>
      </c>
      <c r="L3309" s="4562">
        <f>XLOOKUP(B3309,'_Sys|Line_Map'!$A:$A,'_Sys|Line_Map'!$B:$B,"MISSING",0)</f>
        <v/>
      </c>
    </row>
    <row r="3310">
      <c r="A3310" s="4561" t="n"/>
      <c r="B3310" s="4561" t="n"/>
      <c r="C3310" s="4561" t="n"/>
      <c r="D3310" s="4561" t="n"/>
      <c r="E3310" s="4561" t="n"/>
      <c r="F3310" s="4561" t="n"/>
      <c r="G3310" s="4561" t="n"/>
      <c r="H3310" s="4561" t="n"/>
      <c r="I3310" s="4562">
        <f>XLOOKUP(B3310,'_Sys|Line_Map'!$A:$A,'_Sys|Line_Map'!$C:$C,"MISSING",0)</f>
        <v/>
      </c>
      <c r="J3310" s="4562">
        <f>XLOOKUP(B3310,'_Sys|Line_Map'!$A:$A,'_Sys|Line_Map'!$D:$D,1,0)</f>
        <v/>
      </c>
      <c r="K3310" s="4562">
        <f>IF(D3310="","",D3310*J3310)</f>
        <v/>
      </c>
      <c r="L3310" s="4562">
        <f>XLOOKUP(B3310,'_Sys|Line_Map'!$A:$A,'_Sys|Line_Map'!$B:$B,"MISSING",0)</f>
        <v/>
      </c>
    </row>
    <row r="3311">
      <c r="A3311" s="4561" t="n"/>
      <c r="B3311" s="4561" t="n"/>
      <c r="C3311" s="4561" t="n"/>
      <c r="D3311" s="4561" t="n"/>
      <c r="E3311" s="4561" t="n"/>
      <c r="F3311" s="4561" t="n"/>
      <c r="G3311" s="4561" t="n"/>
      <c r="H3311" s="4561" t="n"/>
      <c r="I3311" s="4562">
        <f>XLOOKUP(B3311,'_Sys|Line_Map'!$A:$A,'_Sys|Line_Map'!$C:$C,"MISSING",0)</f>
        <v/>
      </c>
      <c r="J3311" s="4562">
        <f>XLOOKUP(B3311,'_Sys|Line_Map'!$A:$A,'_Sys|Line_Map'!$D:$D,1,0)</f>
        <v/>
      </c>
      <c r="K3311" s="4562">
        <f>IF(D3311="","",D3311*J3311)</f>
        <v/>
      </c>
      <c r="L3311" s="4562">
        <f>XLOOKUP(B3311,'_Sys|Line_Map'!$A:$A,'_Sys|Line_Map'!$B:$B,"MISSING",0)</f>
        <v/>
      </c>
    </row>
    <row r="3312">
      <c r="A3312" s="4561" t="n"/>
      <c r="B3312" s="4561" t="n"/>
      <c r="C3312" s="4561" t="n"/>
      <c r="D3312" s="4561" t="n"/>
      <c r="E3312" s="4561" t="n"/>
      <c r="F3312" s="4561" t="n"/>
      <c r="G3312" s="4561" t="n"/>
      <c r="H3312" s="4561" t="n"/>
      <c r="I3312" s="4562">
        <f>XLOOKUP(B3312,'_Sys|Line_Map'!$A:$A,'_Sys|Line_Map'!$C:$C,"MISSING",0)</f>
        <v/>
      </c>
      <c r="J3312" s="4562">
        <f>XLOOKUP(B3312,'_Sys|Line_Map'!$A:$A,'_Sys|Line_Map'!$D:$D,1,0)</f>
        <v/>
      </c>
      <c r="K3312" s="4562">
        <f>IF(D3312="","",D3312*J3312)</f>
        <v/>
      </c>
      <c r="L3312" s="4562">
        <f>XLOOKUP(B3312,'_Sys|Line_Map'!$A:$A,'_Sys|Line_Map'!$B:$B,"MISSING",0)</f>
        <v/>
      </c>
    </row>
    <row r="3313">
      <c r="A3313" s="4561" t="n"/>
      <c r="B3313" s="4561" t="n"/>
      <c r="C3313" s="4561" t="n"/>
      <c r="D3313" s="4561" t="n"/>
      <c r="E3313" s="4561" t="n"/>
      <c r="F3313" s="4561" t="n"/>
      <c r="G3313" s="4561" t="n"/>
      <c r="H3313" s="4561" t="n"/>
      <c r="I3313" s="4562">
        <f>XLOOKUP(B3313,'_Sys|Line_Map'!$A:$A,'_Sys|Line_Map'!$C:$C,"MISSING",0)</f>
        <v/>
      </c>
      <c r="J3313" s="4562">
        <f>XLOOKUP(B3313,'_Sys|Line_Map'!$A:$A,'_Sys|Line_Map'!$D:$D,1,0)</f>
        <v/>
      </c>
      <c r="K3313" s="4562">
        <f>IF(D3313="","",D3313*J3313)</f>
        <v/>
      </c>
      <c r="L3313" s="4562">
        <f>XLOOKUP(B3313,'_Sys|Line_Map'!$A:$A,'_Sys|Line_Map'!$B:$B,"MISSING",0)</f>
        <v/>
      </c>
    </row>
    <row r="3314">
      <c r="A3314" s="4561" t="n"/>
      <c r="B3314" s="4561" t="n"/>
      <c r="C3314" s="4561" t="n"/>
      <c r="D3314" s="4561" t="n"/>
      <c r="E3314" s="4561" t="n"/>
      <c r="F3314" s="4561" t="n"/>
      <c r="G3314" s="4561" t="n"/>
      <c r="H3314" s="4561" t="n"/>
      <c r="I3314" s="4562">
        <f>XLOOKUP(B3314,'_Sys|Line_Map'!$A:$A,'_Sys|Line_Map'!$C:$C,"MISSING",0)</f>
        <v/>
      </c>
      <c r="J3314" s="4562">
        <f>XLOOKUP(B3314,'_Sys|Line_Map'!$A:$A,'_Sys|Line_Map'!$D:$D,1,0)</f>
        <v/>
      </c>
      <c r="K3314" s="4562">
        <f>IF(D3314="","",D3314*J3314)</f>
        <v/>
      </c>
      <c r="L3314" s="4562">
        <f>XLOOKUP(B3314,'_Sys|Line_Map'!$A:$A,'_Sys|Line_Map'!$B:$B,"MISSING",0)</f>
        <v/>
      </c>
    </row>
    <row r="3315">
      <c r="A3315" s="4561" t="n"/>
      <c r="B3315" s="4561" t="n"/>
      <c r="C3315" s="4561" t="n"/>
      <c r="D3315" s="4561" t="n"/>
      <c r="E3315" s="4561" t="n"/>
      <c r="F3315" s="4561" t="n"/>
      <c r="G3315" s="4561" t="n"/>
      <c r="H3315" s="4561" t="n"/>
      <c r="I3315" s="4562">
        <f>XLOOKUP(B3315,'_Sys|Line_Map'!$A:$A,'_Sys|Line_Map'!$C:$C,"MISSING",0)</f>
        <v/>
      </c>
      <c r="J3315" s="4562">
        <f>XLOOKUP(B3315,'_Sys|Line_Map'!$A:$A,'_Sys|Line_Map'!$D:$D,1,0)</f>
        <v/>
      </c>
      <c r="K3315" s="4562">
        <f>IF(D3315="","",D3315*J3315)</f>
        <v/>
      </c>
      <c r="L3315" s="4562">
        <f>XLOOKUP(B3315,'_Sys|Line_Map'!$A:$A,'_Sys|Line_Map'!$B:$B,"MISSING",0)</f>
        <v/>
      </c>
    </row>
    <row r="3316">
      <c r="A3316" s="4561" t="n"/>
      <c r="B3316" s="4561" t="n"/>
      <c r="C3316" s="4561" t="n"/>
      <c r="D3316" s="4561" t="n"/>
      <c r="E3316" s="4561" t="n"/>
      <c r="F3316" s="4561" t="n"/>
      <c r="G3316" s="4561" t="n"/>
      <c r="H3316" s="4561" t="n"/>
      <c r="I3316" s="4562">
        <f>XLOOKUP(B3316,'_Sys|Line_Map'!$A:$A,'_Sys|Line_Map'!$C:$C,"MISSING",0)</f>
        <v/>
      </c>
      <c r="J3316" s="4562">
        <f>XLOOKUP(B3316,'_Sys|Line_Map'!$A:$A,'_Sys|Line_Map'!$D:$D,1,0)</f>
        <v/>
      </c>
      <c r="K3316" s="4562">
        <f>IF(D3316="","",D3316*J3316)</f>
        <v/>
      </c>
      <c r="L3316" s="4562">
        <f>XLOOKUP(B3316,'_Sys|Line_Map'!$A:$A,'_Sys|Line_Map'!$B:$B,"MISSING",0)</f>
        <v/>
      </c>
    </row>
    <row r="3317">
      <c r="A3317" s="4561" t="n"/>
      <c r="B3317" s="4561" t="n"/>
      <c r="C3317" s="4561" t="n"/>
      <c r="D3317" s="4561" t="n"/>
      <c r="E3317" s="4561" t="n"/>
      <c r="F3317" s="4561" t="n"/>
      <c r="G3317" s="4561" t="n"/>
      <c r="H3317" s="4561" t="n"/>
      <c r="I3317" s="4562">
        <f>XLOOKUP(B3317,'_Sys|Line_Map'!$A:$A,'_Sys|Line_Map'!$C:$C,"MISSING",0)</f>
        <v/>
      </c>
      <c r="J3317" s="4562">
        <f>XLOOKUP(B3317,'_Sys|Line_Map'!$A:$A,'_Sys|Line_Map'!$D:$D,1,0)</f>
        <v/>
      </c>
      <c r="K3317" s="4562">
        <f>IF(D3317="","",D3317*J3317)</f>
        <v/>
      </c>
      <c r="L3317" s="4562">
        <f>XLOOKUP(B3317,'_Sys|Line_Map'!$A:$A,'_Sys|Line_Map'!$B:$B,"MISSING",0)</f>
        <v/>
      </c>
    </row>
    <row r="3318">
      <c r="A3318" s="4561" t="n"/>
      <c r="B3318" s="4561" t="n"/>
      <c r="C3318" s="4561" t="n"/>
      <c r="D3318" s="4561" t="n"/>
      <c r="E3318" s="4561" t="n"/>
      <c r="F3318" s="4561" t="n"/>
      <c r="G3318" s="4561" t="n"/>
      <c r="H3318" s="4561" t="n"/>
      <c r="I3318" s="4562">
        <f>XLOOKUP(B3318,'_Sys|Line_Map'!$A:$A,'_Sys|Line_Map'!$C:$C,"MISSING",0)</f>
        <v/>
      </c>
      <c r="J3318" s="4562">
        <f>XLOOKUP(B3318,'_Sys|Line_Map'!$A:$A,'_Sys|Line_Map'!$D:$D,1,0)</f>
        <v/>
      </c>
      <c r="K3318" s="4562">
        <f>IF(D3318="","",D3318*J3318)</f>
        <v/>
      </c>
      <c r="L3318" s="4562">
        <f>XLOOKUP(B3318,'_Sys|Line_Map'!$A:$A,'_Sys|Line_Map'!$B:$B,"MISSING",0)</f>
        <v/>
      </c>
    </row>
    <row r="3319">
      <c r="A3319" s="4561" t="n"/>
      <c r="B3319" s="4561" t="n"/>
      <c r="C3319" s="4561" t="n"/>
      <c r="D3319" s="4561" t="n"/>
      <c r="E3319" s="4561" t="n"/>
      <c r="F3319" s="4561" t="n"/>
      <c r="G3319" s="4561" t="n"/>
      <c r="H3319" s="4561" t="n"/>
      <c r="I3319" s="4562">
        <f>XLOOKUP(B3319,'_Sys|Line_Map'!$A:$A,'_Sys|Line_Map'!$C:$C,"MISSING",0)</f>
        <v/>
      </c>
      <c r="J3319" s="4562">
        <f>XLOOKUP(B3319,'_Sys|Line_Map'!$A:$A,'_Sys|Line_Map'!$D:$D,1,0)</f>
        <v/>
      </c>
      <c r="K3319" s="4562">
        <f>IF(D3319="","",D3319*J3319)</f>
        <v/>
      </c>
      <c r="L3319" s="4562">
        <f>XLOOKUP(B3319,'_Sys|Line_Map'!$A:$A,'_Sys|Line_Map'!$B:$B,"MISSING",0)</f>
        <v/>
      </c>
    </row>
    <row r="3320">
      <c r="A3320" s="4561" t="n"/>
      <c r="B3320" s="4561" t="n"/>
      <c r="C3320" s="4561" t="n"/>
      <c r="D3320" s="4561" t="n"/>
      <c r="E3320" s="4561" t="n"/>
      <c r="F3320" s="4561" t="n"/>
      <c r="G3320" s="4561" t="n"/>
      <c r="H3320" s="4561" t="n"/>
      <c r="I3320" s="4562">
        <f>XLOOKUP(B3320,'_Sys|Line_Map'!$A:$A,'_Sys|Line_Map'!$C:$C,"MISSING",0)</f>
        <v/>
      </c>
      <c r="J3320" s="4562">
        <f>XLOOKUP(B3320,'_Sys|Line_Map'!$A:$A,'_Sys|Line_Map'!$D:$D,1,0)</f>
        <v/>
      </c>
      <c r="K3320" s="4562">
        <f>IF(D3320="","",D3320*J3320)</f>
        <v/>
      </c>
      <c r="L3320" s="4562">
        <f>XLOOKUP(B3320,'_Sys|Line_Map'!$A:$A,'_Sys|Line_Map'!$B:$B,"MISSING",0)</f>
        <v/>
      </c>
    </row>
    <row r="3321">
      <c r="A3321" s="4561" t="n"/>
      <c r="B3321" s="4561" t="n"/>
      <c r="C3321" s="4561" t="n"/>
      <c r="D3321" s="4561" t="n"/>
      <c r="E3321" s="4561" t="n"/>
      <c r="F3321" s="4561" t="n"/>
      <c r="G3321" s="4561" t="n"/>
      <c r="H3321" s="4561" t="n"/>
      <c r="I3321" s="4562">
        <f>XLOOKUP(B3321,'_Sys|Line_Map'!$A:$A,'_Sys|Line_Map'!$C:$C,"MISSING",0)</f>
        <v/>
      </c>
      <c r="J3321" s="4562">
        <f>XLOOKUP(B3321,'_Sys|Line_Map'!$A:$A,'_Sys|Line_Map'!$D:$D,1,0)</f>
        <v/>
      </c>
      <c r="K3321" s="4562">
        <f>IF(D3321="","",D3321*J3321)</f>
        <v/>
      </c>
      <c r="L3321" s="4562">
        <f>XLOOKUP(B3321,'_Sys|Line_Map'!$A:$A,'_Sys|Line_Map'!$B:$B,"MISSING",0)</f>
        <v/>
      </c>
    </row>
    <row r="3322">
      <c r="A3322" s="4561" t="n"/>
      <c r="B3322" s="4561" t="n"/>
      <c r="C3322" s="4561" t="n"/>
      <c r="D3322" s="4561" t="n"/>
      <c r="E3322" s="4561" t="n"/>
      <c r="F3322" s="4561" t="n"/>
      <c r="G3322" s="4561" t="n"/>
      <c r="H3322" s="4561" t="n"/>
      <c r="I3322" s="4562">
        <f>XLOOKUP(B3322,'_Sys|Line_Map'!$A:$A,'_Sys|Line_Map'!$C:$C,"MISSING",0)</f>
        <v/>
      </c>
      <c r="J3322" s="4562">
        <f>XLOOKUP(B3322,'_Sys|Line_Map'!$A:$A,'_Sys|Line_Map'!$D:$D,1,0)</f>
        <v/>
      </c>
      <c r="K3322" s="4562">
        <f>IF(D3322="","",D3322*J3322)</f>
        <v/>
      </c>
      <c r="L3322" s="4562">
        <f>XLOOKUP(B3322,'_Sys|Line_Map'!$A:$A,'_Sys|Line_Map'!$B:$B,"MISSING",0)</f>
        <v/>
      </c>
    </row>
    <row r="3323">
      <c r="A3323" s="4561" t="n"/>
      <c r="B3323" s="4561" t="n"/>
      <c r="C3323" s="4561" t="n"/>
      <c r="D3323" s="4561" t="n"/>
      <c r="E3323" s="4561" t="n"/>
      <c r="F3323" s="4561" t="n"/>
      <c r="G3323" s="4561" t="n"/>
      <c r="H3323" s="4561" t="n"/>
      <c r="I3323" s="4562">
        <f>XLOOKUP(B3323,'_Sys|Line_Map'!$A:$A,'_Sys|Line_Map'!$C:$C,"MISSING",0)</f>
        <v/>
      </c>
      <c r="J3323" s="4562">
        <f>XLOOKUP(B3323,'_Sys|Line_Map'!$A:$A,'_Sys|Line_Map'!$D:$D,1,0)</f>
        <v/>
      </c>
      <c r="K3323" s="4562">
        <f>IF(D3323="","",D3323*J3323)</f>
        <v/>
      </c>
      <c r="L3323" s="4562">
        <f>XLOOKUP(B3323,'_Sys|Line_Map'!$A:$A,'_Sys|Line_Map'!$B:$B,"MISSING",0)</f>
        <v/>
      </c>
    </row>
    <row r="3324">
      <c r="A3324" s="4561" t="n"/>
      <c r="B3324" s="4561" t="n"/>
      <c r="C3324" s="4561" t="n"/>
      <c r="D3324" s="4561" t="n"/>
      <c r="E3324" s="4561" t="n"/>
      <c r="F3324" s="4561" t="n"/>
      <c r="G3324" s="4561" t="n"/>
      <c r="H3324" s="4561" t="n"/>
      <c r="I3324" s="4562">
        <f>XLOOKUP(B3324,'_Sys|Line_Map'!$A:$A,'_Sys|Line_Map'!$C:$C,"MISSING",0)</f>
        <v/>
      </c>
      <c r="J3324" s="4562">
        <f>XLOOKUP(B3324,'_Sys|Line_Map'!$A:$A,'_Sys|Line_Map'!$D:$D,1,0)</f>
        <v/>
      </c>
      <c r="K3324" s="4562">
        <f>IF(D3324="","",D3324*J3324)</f>
        <v/>
      </c>
      <c r="L3324" s="4562">
        <f>XLOOKUP(B3324,'_Sys|Line_Map'!$A:$A,'_Sys|Line_Map'!$B:$B,"MISSING",0)</f>
        <v/>
      </c>
    </row>
    <row r="3325">
      <c r="A3325" s="4561" t="n"/>
      <c r="B3325" s="4561" t="n"/>
      <c r="C3325" s="4561" t="n"/>
      <c r="D3325" s="4561" t="n"/>
      <c r="E3325" s="4561" t="n"/>
      <c r="F3325" s="4561" t="n"/>
      <c r="G3325" s="4561" t="n"/>
      <c r="H3325" s="4561" t="n"/>
      <c r="I3325" s="4562">
        <f>XLOOKUP(B3325,'_Sys|Line_Map'!$A:$A,'_Sys|Line_Map'!$C:$C,"MISSING",0)</f>
        <v/>
      </c>
      <c r="J3325" s="4562">
        <f>XLOOKUP(B3325,'_Sys|Line_Map'!$A:$A,'_Sys|Line_Map'!$D:$D,1,0)</f>
        <v/>
      </c>
      <c r="K3325" s="4562">
        <f>IF(D3325="","",D3325*J3325)</f>
        <v/>
      </c>
      <c r="L3325" s="4562">
        <f>XLOOKUP(B3325,'_Sys|Line_Map'!$A:$A,'_Sys|Line_Map'!$B:$B,"MISSING",0)</f>
        <v/>
      </c>
    </row>
    <row r="3326">
      <c r="A3326" s="4561" t="n"/>
      <c r="B3326" s="4561" t="n"/>
      <c r="C3326" s="4561" t="n"/>
      <c r="D3326" s="4561" t="n"/>
      <c r="E3326" s="4561" t="n"/>
      <c r="F3326" s="4561" t="n"/>
      <c r="G3326" s="4561" t="n"/>
      <c r="H3326" s="4561" t="n"/>
      <c r="I3326" s="4562">
        <f>XLOOKUP(B3326,'_Sys|Line_Map'!$A:$A,'_Sys|Line_Map'!$C:$C,"MISSING",0)</f>
        <v/>
      </c>
      <c r="J3326" s="4562">
        <f>XLOOKUP(B3326,'_Sys|Line_Map'!$A:$A,'_Sys|Line_Map'!$D:$D,1,0)</f>
        <v/>
      </c>
      <c r="K3326" s="4562">
        <f>IF(D3326="","",D3326*J3326)</f>
        <v/>
      </c>
      <c r="L3326" s="4562">
        <f>XLOOKUP(B3326,'_Sys|Line_Map'!$A:$A,'_Sys|Line_Map'!$B:$B,"MISSING",0)</f>
        <v/>
      </c>
    </row>
    <row r="3327">
      <c r="A3327" s="4561" t="n"/>
      <c r="B3327" s="4561" t="n"/>
      <c r="C3327" s="4561" t="n"/>
      <c r="D3327" s="4561" t="n"/>
      <c r="E3327" s="4561" t="n"/>
      <c r="F3327" s="4561" t="n"/>
      <c r="G3327" s="4561" t="n"/>
      <c r="H3327" s="4561" t="n"/>
      <c r="I3327" s="4562">
        <f>XLOOKUP(B3327,'_Sys|Line_Map'!$A:$A,'_Sys|Line_Map'!$C:$C,"MISSING",0)</f>
        <v/>
      </c>
      <c r="J3327" s="4562">
        <f>XLOOKUP(B3327,'_Sys|Line_Map'!$A:$A,'_Sys|Line_Map'!$D:$D,1,0)</f>
        <v/>
      </c>
      <c r="K3327" s="4562">
        <f>IF(D3327="","",D3327*J3327)</f>
        <v/>
      </c>
      <c r="L3327" s="4562">
        <f>XLOOKUP(B3327,'_Sys|Line_Map'!$A:$A,'_Sys|Line_Map'!$B:$B,"MISSING",0)</f>
        <v/>
      </c>
    </row>
    <row r="3328">
      <c r="A3328" s="4561" t="n"/>
      <c r="B3328" s="4561" t="n"/>
      <c r="C3328" s="4561" t="n"/>
      <c r="D3328" s="4561" t="n"/>
      <c r="E3328" s="4561" t="n"/>
      <c r="F3328" s="4561" t="n"/>
      <c r="G3328" s="4561" t="n"/>
      <c r="H3328" s="4561" t="n"/>
      <c r="I3328" s="4562">
        <f>XLOOKUP(B3328,'_Sys|Line_Map'!$A:$A,'_Sys|Line_Map'!$C:$C,"MISSING",0)</f>
        <v/>
      </c>
      <c r="J3328" s="4562">
        <f>XLOOKUP(B3328,'_Sys|Line_Map'!$A:$A,'_Sys|Line_Map'!$D:$D,1,0)</f>
        <v/>
      </c>
      <c r="K3328" s="4562">
        <f>IF(D3328="","",D3328*J3328)</f>
        <v/>
      </c>
      <c r="L3328" s="4562">
        <f>XLOOKUP(B3328,'_Sys|Line_Map'!$A:$A,'_Sys|Line_Map'!$B:$B,"MISSING",0)</f>
        <v/>
      </c>
    </row>
    <row r="3329">
      <c r="A3329" s="4561" t="n"/>
      <c r="B3329" s="4561" t="n"/>
      <c r="C3329" s="4561" t="n"/>
      <c r="D3329" s="4561" t="n"/>
      <c r="E3329" s="4561" t="n"/>
      <c r="F3329" s="4561" t="n"/>
      <c r="G3329" s="4561" t="n"/>
      <c r="H3329" s="4561" t="n"/>
      <c r="I3329" s="4562">
        <f>XLOOKUP(B3329,'_Sys|Line_Map'!$A:$A,'_Sys|Line_Map'!$C:$C,"MISSING",0)</f>
        <v/>
      </c>
      <c r="J3329" s="4562">
        <f>XLOOKUP(B3329,'_Sys|Line_Map'!$A:$A,'_Sys|Line_Map'!$D:$D,1,0)</f>
        <v/>
      </c>
      <c r="K3329" s="4562">
        <f>IF(D3329="","",D3329*J3329)</f>
        <v/>
      </c>
      <c r="L3329" s="4562">
        <f>XLOOKUP(B3329,'_Sys|Line_Map'!$A:$A,'_Sys|Line_Map'!$B:$B,"MISSING",0)</f>
        <v/>
      </c>
    </row>
    <row r="3330">
      <c r="A3330" s="4561" t="n"/>
      <c r="B3330" s="4561" t="n"/>
      <c r="C3330" s="4561" t="n"/>
      <c r="D3330" s="4561" t="n"/>
      <c r="E3330" s="4561" t="n"/>
      <c r="F3330" s="4561" t="n"/>
      <c r="G3330" s="4561" t="n"/>
      <c r="H3330" s="4561" t="n"/>
      <c r="I3330" s="4562">
        <f>XLOOKUP(B3330,'_Sys|Line_Map'!$A:$A,'_Sys|Line_Map'!$C:$C,"MISSING",0)</f>
        <v/>
      </c>
      <c r="J3330" s="4562">
        <f>XLOOKUP(B3330,'_Sys|Line_Map'!$A:$A,'_Sys|Line_Map'!$D:$D,1,0)</f>
        <v/>
      </c>
      <c r="K3330" s="4562">
        <f>IF(D3330="","",D3330*J3330)</f>
        <v/>
      </c>
      <c r="L3330" s="4562">
        <f>XLOOKUP(B3330,'_Sys|Line_Map'!$A:$A,'_Sys|Line_Map'!$B:$B,"MISSING",0)</f>
        <v/>
      </c>
    </row>
    <row r="3331">
      <c r="A3331" s="4561" t="n"/>
      <c r="B3331" s="4561" t="n"/>
      <c r="C3331" s="4561" t="n"/>
      <c r="D3331" s="4561" t="n"/>
      <c r="E3331" s="4561" t="n"/>
      <c r="F3331" s="4561" t="n"/>
      <c r="G3331" s="4561" t="n"/>
      <c r="H3331" s="4561" t="n"/>
      <c r="I3331" s="4562">
        <f>XLOOKUP(B3331,'_Sys|Line_Map'!$A:$A,'_Sys|Line_Map'!$C:$C,"MISSING",0)</f>
        <v/>
      </c>
      <c r="J3331" s="4562">
        <f>XLOOKUP(B3331,'_Sys|Line_Map'!$A:$A,'_Sys|Line_Map'!$D:$D,1,0)</f>
        <v/>
      </c>
      <c r="K3331" s="4562">
        <f>IF(D3331="","",D3331*J3331)</f>
        <v/>
      </c>
      <c r="L3331" s="4562">
        <f>XLOOKUP(B3331,'_Sys|Line_Map'!$A:$A,'_Sys|Line_Map'!$B:$B,"MISSING",0)</f>
        <v/>
      </c>
    </row>
    <row r="3332">
      <c r="A3332" s="4561" t="n"/>
      <c r="B3332" s="4561" t="n"/>
      <c r="C3332" s="4561" t="n"/>
      <c r="D3332" s="4561" t="n"/>
      <c r="E3332" s="4561" t="n"/>
      <c r="F3332" s="4561" t="n"/>
      <c r="G3332" s="4561" t="n"/>
      <c r="H3332" s="4561" t="n"/>
      <c r="I3332" s="4562">
        <f>XLOOKUP(B3332,'_Sys|Line_Map'!$A:$A,'_Sys|Line_Map'!$C:$C,"MISSING",0)</f>
        <v/>
      </c>
      <c r="J3332" s="4562">
        <f>XLOOKUP(B3332,'_Sys|Line_Map'!$A:$A,'_Sys|Line_Map'!$D:$D,1,0)</f>
        <v/>
      </c>
      <c r="K3332" s="4562">
        <f>IF(D3332="","",D3332*J3332)</f>
        <v/>
      </c>
      <c r="L3332" s="4562">
        <f>XLOOKUP(B3332,'_Sys|Line_Map'!$A:$A,'_Sys|Line_Map'!$B:$B,"MISSING",0)</f>
        <v/>
      </c>
    </row>
    <row r="3333">
      <c r="A3333" s="4561" t="n"/>
      <c r="B3333" s="4561" t="n"/>
      <c r="C3333" s="4561" t="n"/>
      <c r="D3333" s="4561" t="n"/>
      <c r="E3333" s="4561" t="n"/>
      <c r="F3333" s="4561" t="n"/>
      <c r="G3333" s="4561" t="n"/>
      <c r="H3333" s="4561" t="n"/>
      <c r="I3333" s="4562">
        <f>XLOOKUP(B3333,'_Sys|Line_Map'!$A:$A,'_Sys|Line_Map'!$C:$C,"MISSING",0)</f>
        <v/>
      </c>
      <c r="J3333" s="4562">
        <f>XLOOKUP(B3333,'_Sys|Line_Map'!$A:$A,'_Sys|Line_Map'!$D:$D,1,0)</f>
        <v/>
      </c>
      <c r="K3333" s="4562">
        <f>IF(D3333="","",D3333*J3333)</f>
        <v/>
      </c>
      <c r="L3333" s="4562">
        <f>XLOOKUP(B3333,'_Sys|Line_Map'!$A:$A,'_Sys|Line_Map'!$B:$B,"MISSING",0)</f>
        <v/>
      </c>
    </row>
    <row r="3334">
      <c r="A3334" s="4561" t="n"/>
      <c r="B3334" s="4561" t="n"/>
      <c r="C3334" s="4561" t="n"/>
      <c r="D3334" s="4561" t="n"/>
      <c r="E3334" s="4561" t="n"/>
      <c r="F3334" s="4561" t="n"/>
      <c r="G3334" s="4561" t="n"/>
      <c r="H3334" s="4561" t="n"/>
      <c r="I3334" s="4562">
        <f>XLOOKUP(B3334,'_Sys|Line_Map'!$A:$A,'_Sys|Line_Map'!$C:$C,"MISSING",0)</f>
        <v/>
      </c>
      <c r="J3334" s="4562">
        <f>XLOOKUP(B3334,'_Sys|Line_Map'!$A:$A,'_Sys|Line_Map'!$D:$D,1,0)</f>
        <v/>
      </c>
      <c r="K3334" s="4562">
        <f>IF(D3334="","",D3334*J3334)</f>
        <v/>
      </c>
      <c r="L3334" s="4562">
        <f>XLOOKUP(B3334,'_Sys|Line_Map'!$A:$A,'_Sys|Line_Map'!$B:$B,"MISSING",0)</f>
        <v/>
      </c>
    </row>
    <row r="3335">
      <c r="A3335" s="4561" t="n"/>
      <c r="B3335" s="4561" t="n"/>
      <c r="C3335" s="4561" t="n"/>
      <c r="D3335" s="4561" t="n"/>
      <c r="E3335" s="4561" t="n"/>
      <c r="F3335" s="4561" t="n"/>
      <c r="G3335" s="4561" t="n"/>
      <c r="H3335" s="4561" t="n"/>
      <c r="I3335" s="4562">
        <f>XLOOKUP(B3335,'_Sys|Line_Map'!$A:$A,'_Sys|Line_Map'!$C:$C,"MISSING",0)</f>
        <v/>
      </c>
      <c r="J3335" s="4562">
        <f>XLOOKUP(B3335,'_Sys|Line_Map'!$A:$A,'_Sys|Line_Map'!$D:$D,1,0)</f>
        <v/>
      </c>
      <c r="K3335" s="4562">
        <f>IF(D3335="","",D3335*J3335)</f>
        <v/>
      </c>
      <c r="L3335" s="4562">
        <f>XLOOKUP(B3335,'_Sys|Line_Map'!$A:$A,'_Sys|Line_Map'!$B:$B,"MISSING",0)</f>
        <v/>
      </c>
    </row>
    <row r="3336">
      <c r="A3336" s="4561" t="n"/>
      <c r="B3336" s="4561" t="n"/>
      <c r="C3336" s="4561" t="n"/>
      <c r="D3336" s="4561" t="n"/>
      <c r="E3336" s="4561" t="n"/>
      <c r="F3336" s="4561" t="n"/>
      <c r="G3336" s="4561" t="n"/>
      <c r="H3336" s="4561" t="n"/>
      <c r="I3336" s="4562">
        <f>XLOOKUP(B3336,'_Sys|Line_Map'!$A:$A,'_Sys|Line_Map'!$C:$C,"MISSING",0)</f>
        <v/>
      </c>
      <c r="J3336" s="4562">
        <f>XLOOKUP(B3336,'_Sys|Line_Map'!$A:$A,'_Sys|Line_Map'!$D:$D,1,0)</f>
        <v/>
      </c>
      <c r="K3336" s="4562">
        <f>IF(D3336="","",D3336*J3336)</f>
        <v/>
      </c>
      <c r="L3336" s="4562">
        <f>XLOOKUP(B3336,'_Sys|Line_Map'!$A:$A,'_Sys|Line_Map'!$B:$B,"MISSING",0)</f>
        <v/>
      </c>
    </row>
    <row r="3337">
      <c r="A3337" s="4561" t="n"/>
      <c r="B3337" s="4561" t="n"/>
      <c r="C3337" s="4561" t="n"/>
      <c r="D3337" s="4561" t="n"/>
      <c r="E3337" s="4561" t="n"/>
      <c r="F3337" s="4561" t="n"/>
      <c r="G3337" s="4561" t="n"/>
      <c r="H3337" s="4561" t="n"/>
      <c r="I3337" s="4562">
        <f>XLOOKUP(B3337,'_Sys|Line_Map'!$A:$A,'_Sys|Line_Map'!$C:$C,"MISSING",0)</f>
        <v/>
      </c>
      <c r="J3337" s="4562">
        <f>XLOOKUP(B3337,'_Sys|Line_Map'!$A:$A,'_Sys|Line_Map'!$D:$D,1,0)</f>
        <v/>
      </c>
      <c r="K3337" s="4562">
        <f>IF(D3337="","",D3337*J3337)</f>
        <v/>
      </c>
      <c r="L3337" s="4562">
        <f>XLOOKUP(B3337,'_Sys|Line_Map'!$A:$A,'_Sys|Line_Map'!$B:$B,"MISSING",0)</f>
        <v/>
      </c>
    </row>
    <row r="3338">
      <c r="A3338" s="4561" t="n"/>
      <c r="B3338" s="4561" t="n"/>
      <c r="C3338" s="4561" t="n"/>
      <c r="D3338" s="4561" t="n"/>
      <c r="E3338" s="4561" t="n"/>
      <c r="F3338" s="4561" t="n"/>
      <c r="G3338" s="4561" t="n"/>
      <c r="H3338" s="4561" t="n"/>
      <c r="I3338" s="4562">
        <f>XLOOKUP(B3338,'_Sys|Line_Map'!$A:$A,'_Sys|Line_Map'!$C:$C,"MISSING",0)</f>
        <v/>
      </c>
      <c r="J3338" s="4562">
        <f>XLOOKUP(B3338,'_Sys|Line_Map'!$A:$A,'_Sys|Line_Map'!$D:$D,1,0)</f>
        <v/>
      </c>
      <c r="K3338" s="4562">
        <f>IF(D3338="","",D3338*J3338)</f>
        <v/>
      </c>
      <c r="L3338" s="4562">
        <f>XLOOKUP(B3338,'_Sys|Line_Map'!$A:$A,'_Sys|Line_Map'!$B:$B,"MISSING",0)</f>
        <v/>
      </c>
    </row>
    <row r="3339">
      <c r="A3339" s="4561" t="n"/>
      <c r="B3339" s="4561" t="n"/>
      <c r="C3339" s="4561" t="n"/>
      <c r="D3339" s="4561" t="n"/>
      <c r="E3339" s="4561" t="n"/>
      <c r="F3339" s="4561" t="n"/>
      <c r="G3339" s="4561" t="n"/>
      <c r="H3339" s="4561" t="n"/>
      <c r="I3339" s="4562">
        <f>XLOOKUP(B3339,'_Sys|Line_Map'!$A:$A,'_Sys|Line_Map'!$C:$C,"MISSING",0)</f>
        <v/>
      </c>
      <c r="J3339" s="4562">
        <f>XLOOKUP(B3339,'_Sys|Line_Map'!$A:$A,'_Sys|Line_Map'!$D:$D,1,0)</f>
        <v/>
      </c>
      <c r="K3339" s="4562">
        <f>IF(D3339="","",D3339*J3339)</f>
        <v/>
      </c>
      <c r="L3339" s="4562">
        <f>XLOOKUP(B3339,'_Sys|Line_Map'!$A:$A,'_Sys|Line_Map'!$B:$B,"MISSING",0)</f>
        <v/>
      </c>
    </row>
    <row r="3340">
      <c r="A3340" s="4561" t="n"/>
      <c r="B3340" s="4561" t="n"/>
      <c r="C3340" s="4561" t="n"/>
      <c r="D3340" s="4561" t="n"/>
      <c r="E3340" s="4561" t="n"/>
      <c r="F3340" s="4561" t="n"/>
      <c r="G3340" s="4561" t="n"/>
      <c r="H3340" s="4561" t="n"/>
      <c r="I3340" s="4562">
        <f>XLOOKUP(B3340,'_Sys|Line_Map'!$A:$A,'_Sys|Line_Map'!$C:$C,"MISSING",0)</f>
        <v/>
      </c>
      <c r="J3340" s="4562">
        <f>XLOOKUP(B3340,'_Sys|Line_Map'!$A:$A,'_Sys|Line_Map'!$D:$D,1,0)</f>
        <v/>
      </c>
      <c r="K3340" s="4562">
        <f>IF(D3340="","",D3340*J3340)</f>
        <v/>
      </c>
      <c r="L3340" s="4562">
        <f>XLOOKUP(B3340,'_Sys|Line_Map'!$A:$A,'_Sys|Line_Map'!$B:$B,"MISSING",0)</f>
        <v/>
      </c>
    </row>
    <row r="3341">
      <c r="A3341" s="4561" t="n"/>
      <c r="B3341" s="4561" t="n"/>
      <c r="C3341" s="4561" t="n"/>
      <c r="D3341" s="4561" t="n"/>
      <c r="E3341" s="4561" t="n"/>
      <c r="F3341" s="4561" t="n"/>
      <c r="G3341" s="4561" t="n"/>
      <c r="H3341" s="4561" t="n"/>
      <c r="I3341" s="4562">
        <f>XLOOKUP(B3341,'_Sys|Line_Map'!$A:$A,'_Sys|Line_Map'!$C:$C,"MISSING",0)</f>
        <v/>
      </c>
      <c r="J3341" s="4562">
        <f>XLOOKUP(B3341,'_Sys|Line_Map'!$A:$A,'_Sys|Line_Map'!$D:$D,1,0)</f>
        <v/>
      </c>
      <c r="K3341" s="4562">
        <f>IF(D3341="","",D3341*J3341)</f>
        <v/>
      </c>
      <c r="L3341" s="4562">
        <f>XLOOKUP(B3341,'_Sys|Line_Map'!$A:$A,'_Sys|Line_Map'!$B:$B,"MISSING",0)</f>
        <v/>
      </c>
    </row>
    <row r="3342">
      <c r="A3342" s="4561" t="n"/>
      <c r="B3342" s="4561" t="n"/>
      <c r="C3342" s="4561" t="n"/>
      <c r="D3342" s="4561" t="n"/>
      <c r="E3342" s="4561" t="n"/>
      <c r="F3342" s="4561" t="n"/>
      <c r="G3342" s="4561" t="n"/>
      <c r="H3342" s="4561" t="n"/>
      <c r="I3342" s="4562">
        <f>XLOOKUP(B3342,'_Sys|Line_Map'!$A:$A,'_Sys|Line_Map'!$C:$C,"MISSING",0)</f>
        <v/>
      </c>
      <c r="J3342" s="4562">
        <f>XLOOKUP(B3342,'_Sys|Line_Map'!$A:$A,'_Sys|Line_Map'!$D:$D,1,0)</f>
        <v/>
      </c>
      <c r="K3342" s="4562">
        <f>IF(D3342="","",D3342*J3342)</f>
        <v/>
      </c>
      <c r="L3342" s="4562">
        <f>XLOOKUP(B3342,'_Sys|Line_Map'!$A:$A,'_Sys|Line_Map'!$B:$B,"MISSING",0)</f>
        <v/>
      </c>
    </row>
    <row r="3343">
      <c r="A3343" s="4561" t="n"/>
      <c r="B3343" s="4561" t="n"/>
      <c r="C3343" s="4561" t="n"/>
      <c r="D3343" s="4561" t="n"/>
      <c r="E3343" s="4561" t="n"/>
      <c r="F3343" s="4561" t="n"/>
      <c r="G3343" s="4561" t="n"/>
      <c r="H3343" s="4561" t="n"/>
      <c r="I3343" s="4562">
        <f>XLOOKUP(B3343,'_Sys|Line_Map'!$A:$A,'_Sys|Line_Map'!$C:$C,"MISSING",0)</f>
        <v/>
      </c>
      <c r="J3343" s="4562">
        <f>XLOOKUP(B3343,'_Sys|Line_Map'!$A:$A,'_Sys|Line_Map'!$D:$D,1,0)</f>
        <v/>
      </c>
      <c r="K3343" s="4562">
        <f>IF(D3343="","",D3343*J3343)</f>
        <v/>
      </c>
      <c r="L3343" s="4562">
        <f>XLOOKUP(B3343,'_Sys|Line_Map'!$A:$A,'_Sys|Line_Map'!$B:$B,"MISSING",0)</f>
        <v/>
      </c>
    </row>
    <row r="3344">
      <c r="A3344" s="4561" t="n"/>
      <c r="B3344" s="4561" t="n"/>
      <c r="C3344" s="4561" t="n"/>
      <c r="D3344" s="4561" t="n"/>
      <c r="E3344" s="4561" t="n"/>
      <c r="F3344" s="4561" t="n"/>
      <c r="G3344" s="4561" t="n"/>
      <c r="H3344" s="4561" t="n"/>
      <c r="I3344" s="4562">
        <f>XLOOKUP(B3344,'_Sys|Line_Map'!$A:$A,'_Sys|Line_Map'!$C:$C,"MISSING",0)</f>
        <v/>
      </c>
      <c r="J3344" s="4562">
        <f>XLOOKUP(B3344,'_Sys|Line_Map'!$A:$A,'_Sys|Line_Map'!$D:$D,1,0)</f>
        <v/>
      </c>
      <c r="K3344" s="4562">
        <f>IF(D3344="","",D3344*J3344)</f>
        <v/>
      </c>
      <c r="L3344" s="4562">
        <f>XLOOKUP(B3344,'_Sys|Line_Map'!$A:$A,'_Sys|Line_Map'!$B:$B,"MISSING",0)</f>
        <v/>
      </c>
    </row>
    <row r="3345">
      <c r="A3345" s="4561" t="n"/>
      <c r="B3345" s="4561" t="n"/>
      <c r="C3345" s="4561" t="n"/>
      <c r="D3345" s="4561" t="n"/>
      <c r="E3345" s="4561" t="n"/>
      <c r="F3345" s="4561" t="n"/>
      <c r="G3345" s="4561" t="n"/>
      <c r="H3345" s="4561" t="n"/>
      <c r="I3345" s="4562">
        <f>XLOOKUP(B3345,'_Sys|Line_Map'!$A:$A,'_Sys|Line_Map'!$C:$C,"MISSING",0)</f>
        <v/>
      </c>
      <c r="J3345" s="4562">
        <f>XLOOKUP(B3345,'_Sys|Line_Map'!$A:$A,'_Sys|Line_Map'!$D:$D,1,0)</f>
        <v/>
      </c>
      <c r="K3345" s="4562">
        <f>IF(D3345="","",D3345*J3345)</f>
        <v/>
      </c>
      <c r="L3345" s="4562">
        <f>XLOOKUP(B3345,'_Sys|Line_Map'!$A:$A,'_Sys|Line_Map'!$B:$B,"MISSING",0)</f>
        <v/>
      </c>
    </row>
    <row r="3346">
      <c r="A3346" s="4561" t="n"/>
      <c r="B3346" s="4561" t="n"/>
      <c r="C3346" s="4561" t="n"/>
      <c r="D3346" s="4561" t="n"/>
      <c r="E3346" s="4561" t="n"/>
      <c r="F3346" s="4561" t="n"/>
      <c r="G3346" s="4561" t="n"/>
      <c r="H3346" s="4561" t="n"/>
      <c r="I3346" s="4562">
        <f>XLOOKUP(B3346,'_Sys|Line_Map'!$A:$A,'_Sys|Line_Map'!$C:$C,"MISSING",0)</f>
        <v/>
      </c>
      <c r="J3346" s="4562">
        <f>XLOOKUP(B3346,'_Sys|Line_Map'!$A:$A,'_Sys|Line_Map'!$D:$D,1,0)</f>
        <v/>
      </c>
      <c r="K3346" s="4562">
        <f>IF(D3346="","",D3346*J3346)</f>
        <v/>
      </c>
      <c r="L3346" s="4562">
        <f>XLOOKUP(B3346,'_Sys|Line_Map'!$A:$A,'_Sys|Line_Map'!$B:$B,"MISSING",0)</f>
        <v/>
      </c>
    </row>
    <row r="3347">
      <c r="A3347" s="4561" t="n"/>
      <c r="B3347" s="4561" t="n"/>
      <c r="C3347" s="4561" t="n"/>
      <c r="D3347" s="4561" t="n"/>
      <c r="E3347" s="4561" t="n"/>
      <c r="F3347" s="4561" t="n"/>
      <c r="G3347" s="4561" t="n"/>
      <c r="H3347" s="4561" t="n"/>
      <c r="I3347" s="4562">
        <f>XLOOKUP(B3347,'_Sys|Line_Map'!$A:$A,'_Sys|Line_Map'!$C:$C,"MISSING",0)</f>
        <v/>
      </c>
      <c r="J3347" s="4562">
        <f>XLOOKUP(B3347,'_Sys|Line_Map'!$A:$A,'_Sys|Line_Map'!$D:$D,1,0)</f>
        <v/>
      </c>
      <c r="K3347" s="4562">
        <f>IF(D3347="","",D3347*J3347)</f>
        <v/>
      </c>
      <c r="L3347" s="4562">
        <f>XLOOKUP(B3347,'_Sys|Line_Map'!$A:$A,'_Sys|Line_Map'!$B:$B,"MISSING",0)</f>
        <v/>
      </c>
    </row>
    <row r="3348">
      <c r="A3348" s="4561" t="n"/>
      <c r="B3348" s="4561" t="n"/>
      <c r="C3348" s="4561" t="n"/>
      <c r="D3348" s="4561" t="n"/>
      <c r="E3348" s="4561" t="n"/>
      <c r="F3348" s="4561" t="n"/>
      <c r="G3348" s="4561" t="n"/>
      <c r="H3348" s="4561" t="n"/>
      <c r="I3348" s="4562">
        <f>XLOOKUP(B3348,'_Sys|Line_Map'!$A:$A,'_Sys|Line_Map'!$C:$C,"MISSING",0)</f>
        <v/>
      </c>
      <c r="J3348" s="4562">
        <f>XLOOKUP(B3348,'_Sys|Line_Map'!$A:$A,'_Sys|Line_Map'!$D:$D,1,0)</f>
        <v/>
      </c>
      <c r="K3348" s="4562">
        <f>IF(D3348="","",D3348*J3348)</f>
        <v/>
      </c>
      <c r="L3348" s="4562">
        <f>XLOOKUP(B3348,'_Sys|Line_Map'!$A:$A,'_Sys|Line_Map'!$B:$B,"MISSING",0)</f>
        <v/>
      </c>
    </row>
    <row r="3349">
      <c r="A3349" s="4561" t="n"/>
      <c r="B3349" s="4561" t="n"/>
      <c r="C3349" s="4561" t="n"/>
      <c r="D3349" s="4561" t="n"/>
      <c r="E3349" s="4561" t="n"/>
      <c r="F3349" s="4561" t="n"/>
      <c r="G3349" s="4561" t="n"/>
      <c r="H3349" s="4561" t="n"/>
      <c r="I3349" s="4562">
        <f>XLOOKUP(B3349,'_Sys|Line_Map'!$A:$A,'_Sys|Line_Map'!$C:$C,"MISSING",0)</f>
        <v/>
      </c>
      <c r="J3349" s="4562">
        <f>XLOOKUP(B3349,'_Sys|Line_Map'!$A:$A,'_Sys|Line_Map'!$D:$D,1,0)</f>
        <v/>
      </c>
      <c r="K3349" s="4562">
        <f>IF(D3349="","",D3349*J3349)</f>
        <v/>
      </c>
      <c r="L3349" s="4562">
        <f>XLOOKUP(B3349,'_Sys|Line_Map'!$A:$A,'_Sys|Line_Map'!$B:$B,"MISSING",0)</f>
        <v/>
      </c>
    </row>
    <row r="3350">
      <c r="A3350" s="4561" t="n"/>
      <c r="B3350" s="4561" t="n"/>
      <c r="C3350" s="4561" t="n"/>
      <c r="D3350" s="4561" t="n"/>
      <c r="E3350" s="4561" t="n"/>
      <c r="F3350" s="4561" t="n"/>
      <c r="G3350" s="4561" t="n"/>
      <c r="H3350" s="4561" t="n"/>
      <c r="I3350" s="4562">
        <f>XLOOKUP(B3350,'_Sys|Line_Map'!$A:$A,'_Sys|Line_Map'!$C:$C,"MISSING",0)</f>
        <v/>
      </c>
      <c r="J3350" s="4562">
        <f>XLOOKUP(B3350,'_Sys|Line_Map'!$A:$A,'_Sys|Line_Map'!$D:$D,1,0)</f>
        <v/>
      </c>
      <c r="K3350" s="4562">
        <f>IF(D3350="","",D3350*J3350)</f>
        <v/>
      </c>
      <c r="L3350" s="4562">
        <f>XLOOKUP(B3350,'_Sys|Line_Map'!$A:$A,'_Sys|Line_Map'!$B:$B,"MISSING",0)</f>
        <v/>
      </c>
    </row>
    <row r="3351">
      <c r="A3351" s="4561" t="n"/>
      <c r="B3351" s="4561" t="n"/>
      <c r="C3351" s="4561" t="n"/>
      <c r="D3351" s="4561" t="n"/>
      <c r="E3351" s="4561" t="n"/>
      <c r="F3351" s="4561" t="n"/>
      <c r="G3351" s="4561" t="n"/>
      <c r="H3351" s="4561" t="n"/>
      <c r="I3351" s="4562">
        <f>XLOOKUP(B3351,'_Sys|Line_Map'!$A:$A,'_Sys|Line_Map'!$C:$C,"MISSING",0)</f>
        <v/>
      </c>
      <c r="J3351" s="4562">
        <f>XLOOKUP(B3351,'_Sys|Line_Map'!$A:$A,'_Sys|Line_Map'!$D:$D,1,0)</f>
        <v/>
      </c>
      <c r="K3351" s="4562">
        <f>IF(D3351="","",D3351*J3351)</f>
        <v/>
      </c>
      <c r="L3351" s="4562">
        <f>XLOOKUP(B3351,'_Sys|Line_Map'!$A:$A,'_Sys|Line_Map'!$B:$B,"MISSING",0)</f>
        <v/>
      </c>
    </row>
    <row r="3352">
      <c r="A3352" s="4561" t="n"/>
      <c r="B3352" s="4561" t="n"/>
      <c r="C3352" s="4561" t="n"/>
      <c r="D3352" s="4561" t="n"/>
      <c r="E3352" s="4561" t="n"/>
      <c r="F3352" s="4561" t="n"/>
      <c r="G3352" s="4561" t="n"/>
      <c r="H3352" s="4561" t="n"/>
      <c r="I3352" s="4562">
        <f>XLOOKUP(B3352,'_Sys|Line_Map'!$A:$A,'_Sys|Line_Map'!$C:$C,"MISSING",0)</f>
        <v/>
      </c>
      <c r="J3352" s="4562">
        <f>XLOOKUP(B3352,'_Sys|Line_Map'!$A:$A,'_Sys|Line_Map'!$D:$D,1,0)</f>
        <v/>
      </c>
      <c r="K3352" s="4562">
        <f>IF(D3352="","",D3352*J3352)</f>
        <v/>
      </c>
      <c r="L3352" s="4562">
        <f>XLOOKUP(B3352,'_Sys|Line_Map'!$A:$A,'_Sys|Line_Map'!$B:$B,"MISSING",0)</f>
        <v/>
      </c>
    </row>
    <row r="3353">
      <c r="A3353" s="4561" t="n"/>
      <c r="B3353" s="4561" t="n"/>
      <c r="C3353" s="4561" t="n"/>
      <c r="D3353" s="4561" t="n"/>
      <c r="E3353" s="4561" t="n"/>
      <c r="F3353" s="4561" t="n"/>
      <c r="G3353" s="4561" t="n"/>
      <c r="H3353" s="4561" t="n"/>
      <c r="I3353" s="4562">
        <f>XLOOKUP(B3353,'_Sys|Line_Map'!$A:$A,'_Sys|Line_Map'!$C:$C,"MISSING",0)</f>
        <v/>
      </c>
      <c r="J3353" s="4562">
        <f>XLOOKUP(B3353,'_Sys|Line_Map'!$A:$A,'_Sys|Line_Map'!$D:$D,1,0)</f>
        <v/>
      </c>
      <c r="K3353" s="4562">
        <f>IF(D3353="","",D3353*J3353)</f>
        <v/>
      </c>
      <c r="L3353" s="4562">
        <f>XLOOKUP(B3353,'_Sys|Line_Map'!$A:$A,'_Sys|Line_Map'!$B:$B,"MISSING",0)</f>
        <v/>
      </c>
    </row>
    <row r="3354">
      <c r="A3354" s="4561" t="n"/>
      <c r="B3354" s="4561" t="n"/>
      <c r="C3354" s="4561" t="n"/>
      <c r="D3354" s="4561" t="n"/>
      <c r="E3354" s="4561" t="n"/>
      <c r="F3354" s="4561" t="n"/>
      <c r="G3354" s="4561" t="n"/>
      <c r="H3354" s="4561" t="n"/>
      <c r="I3354" s="4562">
        <f>XLOOKUP(B3354,'_Sys|Line_Map'!$A:$A,'_Sys|Line_Map'!$C:$C,"MISSING",0)</f>
        <v/>
      </c>
      <c r="J3354" s="4562">
        <f>XLOOKUP(B3354,'_Sys|Line_Map'!$A:$A,'_Sys|Line_Map'!$D:$D,1,0)</f>
        <v/>
      </c>
      <c r="K3354" s="4562">
        <f>IF(D3354="","",D3354*J3354)</f>
        <v/>
      </c>
      <c r="L3354" s="4562">
        <f>XLOOKUP(B3354,'_Sys|Line_Map'!$A:$A,'_Sys|Line_Map'!$B:$B,"MISSING",0)</f>
        <v/>
      </c>
    </row>
    <row r="3355">
      <c r="A3355" s="4561" t="n"/>
      <c r="B3355" s="4561" t="n"/>
      <c r="C3355" s="4561" t="n"/>
      <c r="D3355" s="4561" t="n"/>
      <c r="E3355" s="4561" t="n"/>
      <c r="F3355" s="4561" t="n"/>
      <c r="G3355" s="4561" t="n"/>
      <c r="H3355" s="4561" t="n"/>
      <c r="I3355" s="4562">
        <f>XLOOKUP(B3355,'_Sys|Line_Map'!$A:$A,'_Sys|Line_Map'!$C:$C,"MISSING",0)</f>
        <v/>
      </c>
      <c r="J3355" s="4562">
        <f>XLOOKUP(B3355,'_Sys|Line_Map'!$A:$A,'_Sys|Line_Map'!$D:$D,1,0)</f>
        <v/>
      </c>
      <c r="K3355" s="4562">
        <f>IF(D3355="","",D3355*J3355)</f>
        <v/>
      </c>
      <c r="L3355" s="4562">
        <f>XLOOKUP(B3355,'_Sys|Line_Map'!$A:$A,'_Sys|Line_Map'!$B:$B,"MISSING",0)</f>
        <v/>
      </c>
    </row>
    <row r="3356">
      <c r="A3356" s="4561" t="n"/>
      <c r="B3356" s="4561" t="n"/>
      <c r="C3356" s="4561" t="n"/>
      <c r="D3356" s="4561" t="n"/>
      <c r="E3356" s="4561" t="n"/>
      <c r="F3356" s="4561" t="n"/>
      <c r="G3356" s="4561" t="n"/>
      <c r="H3356" s="4561" t="n"/>
      <c r="I3356" s="4562">
        <f>XLOOKUP(B3356,'_Sys|Line_Map'!$A:$A,'_Sys|Line_Map'!$C:$C,"MISSING",0)</f>
        <v/>
      </c>
      <c r="J3356" s="4562">
        <f>XLOOKUP(B3356,'_Sys|Line_Map'!$A:$A,'_Sys|Line_Map'!$D:$D,1,0)</f>
        <v/>
      </c>
      <c r="K3356" s="4562">
        <f>IF(D3356="","",D3356*J3356)</f>
        <v/>
      </c>
      <c r="L3356" s="4562">
        <f>XLOOKUP(B3356,'_Sys|Line_Map'!$A:$A,'_Sys|Line_Map'!$B:$B,"MISSING",0)</f>
        <v/>
      </c>
    </row>
    <row r="3357">
      <c r="A3357" s="4561" t="n"/>
      <c r="B3357" s="4561" t="n"/>
      <c r="C3357" s="4561" t="n"/>
      <c r="D3357" s="4561" t="n"/>
      <c r="E3357" s="4561" t="n"/>
      <c r="F3357" s="4561" t="n"/>
      <c r="G3357" s="4561" t="n"/>
      <c r="H3357" s="4561" t="n"/>
      <c r="I3357" s="4562">
        <f>XLOOKUP(B3357,'_Sys|Line_Map'!$A:$A,'_Sys|Line_Map'!$C:$C,"MISSING",0)</f>
        <v/>
      </c>
      <c r="J3357" s="4562">
        <f>XLOOKUP(B3357,'_Sys|Line_Map'!$A:$A,'_Sys|Line_Map'!$D:$D,1,0)</f>
        <v/>
      </c>
      <c r="K3357" s="4562">
        <f>IF(D3357="","",D3357*J3357)</f>
        <v/>
      </c>
      <c r="L3357" s="4562">
        <f>XLOOKUP(B3357,'_Sys|Line_Map'!$A:$A,'_Sys|Line_Map'!$B:$B,"MISSING",0)</f>
        <v/>
      </c>
    </row>
    <row r="3358">
      <c r="A3358" s="4561" t="n"/>
      <c r="B3358" s="4561" t="n"/>
      <c r="C3358" s="4561" t="n"/>
      <c r="D3358" s="4561" t="n"/>
      <c r="E3358" s="4561" t="n"/>
      <c r="F3358" s="4561" t="n"/>
      <c r="G3358" s="4561" t="n"/>
      <c r="H3358" s="4561" t="n"/>
      <c r="I3358" s="4562">
        <f>XLOOKUP(B3358,'_Sys|Line_Map'!$A:$A,'_Sys|Line_Map'!$C:$C,"MISSING",0)</f>
        <v/>
      </c>
      <c r="J3358" s="4562">
        <f>XLOOKUP(B3358,'_Sys|Line_Map'!$A:$A,'_Sys|Line_Map'!$D:$D,1,0)</f>
        <v/>
      </c>
      <c r="K3358" s="4562">
        <f>IF(D3358="","",D3358*J3358)</f>
        <v/>
      </c>
      <c r="L3358" s="4562">
        <f>XLOOKUP(B3358,'_Sys|Line_Map'!$A:$A,'_Sys|Line_Map'!$B:$B,"MISSING",0)</f>
        <v/>
      </c>
    </row>
    <row r="3359">
      <c r="A3359" s="4561" t="n"/>
      <c r="B3359" s="4561" t="n"/>
      <c r="C3359" s="4561" t="n"/>
      <c r="D3359" s="4561" t="n"/>
      <c r="E3359" s="4561" t="n"/>
      <c r="F3359" s="4561" t="n"/>
      <c r="G3359" s="4561" t="n"/>
      <c r="H3359" s="4561" t="n"/>
      <c r="I3359" s="4562">
        <f>XLOOKUP(B3359,'_Sys|Line_Map'!$A:$A,'_Sys|Line_Map'!$C:$C,"MISSING",0)</f>
        <v/>
      </c>
      <c r="J3359" s="4562">
        <f>XLOOKUP(B3359,'_Sys|Line_Map'!$A:$A,'_Sys|Line_Map'!$D:$D,1,0)</f>
        <v/>
      </c>
      <c r="K3359" s="4562">
        <f>IF(D3359="","",D3359*J3359)</f>
        <v/>
      </c>
      <c r="L3359" s="4562">
        <f>XLOOKUP(B3359,'_Sys|Line_Map'!$A:$A,'_Sys|Line_Map'!$B:$B,"MISSING",0)</f>
        <v/>
      </c>
    </row>
    <row r="3360">
      <c r="A3360" s="4561" t="n"/>
      <c r="B3360" s="4561" t="n"/>
      <c r="C3360" s="4561" t="n"/>
      <c r="D3360" s="4561" t="n"/>
      <c r="E3360" s="4561" t="n"/>
      <c r="F3360" s="4561" t="n"/>
      <c r="G3360" s="4561" t="n"/>
      <c r="H3360" s="4561" t="n"/>
      <c r="I3360" s="4562">
        <f>XLOOKUP(B3360,'_Sys|Line_Map'!$A:$A,'_Sys|Line_Map'!$C:$C,"MISSING",0)</f>
        <v/>
      </c>
      <c r="J3360" s="4562">
        <f>XLOOKUP(B3360,'_Sys|Line_Map'!$A:$A,'_Sys|Line_Map'!$D:$D,1,0)</f>
        <v/>
      </c>
      <c r="K3360" s="4562">
        <f>IF(D3360="","",D3360*J3360)</f>
        <v/>
      </c>
      <c r="L3360" s="4562">
        <f>XLOOKUP(B3360,'_Sys|Line_Map'!$A:$A,'_Sys|Line_Map'!$B:$B,"MISSING",0)</f>
        <v/>
      </c>
    </row>
    <row r="3361">
      <c r="A3361" s="4561" t="n"/>
      <c r="B3361" s="4561" t="n"/>
      <c r="C3361" s="4561" t="n"/>
      <c r="D3361" s="4561" t="n"/>
      <c r="E3361" s="4561" t="n"/>
      <c r="F3361" s="4561" t="n"/>
      <c r="G3361" s="4561" t="n"/>
      <c r="H3361" s="4561" t="n"/>
      <c r="I3361" s="4562">
        <f>XLOOKUP(B3361,'_Sys|Line_Map'!$A:$A,'_Sys|Line_Map'!$C:$C,"MISSING",0)</f>
        <v/>
      </c>
      <c r="J3361" s="4562">
        <f>XLOOKUP(B3361,'_Sys|Line_Map'!$A:$A,'_Sys|Line_Map'!$D:$D,1,0)</f>
        <v/>
      </c>
      <c r="K3361" s="4562">
        <f>IF(D3361="","",D3361*J3361)</f>
        <v/>
      </c>
      <c r="L3361" s="4562">
        <f>XLOOKUP(B3361,'_Sys|Line_Map'!$A:$A,'_Sys|Line_Map'!$B:$B,"MISSING",0)</f>
        <v/>
      </c>
    </row>
    <row r="3362">
      <c r="A3362" s="4561" t="n"/>
      <c r="B3362" s="4561" t="n"/>
      <c r="C3362" s="4561" t="n"/>
      <c r="D3362" s="4561" t="n"/>
      <c r="E3362" s="4561" t="n"/>
      <c r="F3362" s="4561" t="n"/>
      <c r="G3362" s="4561" t="n"/>
      <c r="H3362" s="4561" t="n"/>
      <c r="I3362" s="4562">
        <f>XLOOKUP(B3362,'_Sys|Line_Map'!$A:$A,'_Sys|Line_Map'!$C:$C,"MISSING",0)</f>
        <v/>
      </c>
      <c r="J3362" s="4562">
        <f>XLOOKUP(B3362,'_Sys|Line_Map'!$A:$A,'_Sys|Line_Map'!$D:$D,1,0)</f>
        <v/>
      </c>
      <c r="K3362" s="4562">
        <f>IF(D3362="","",D3362*J3362)</f>
        <v/>
      </c>
      <c r="L3362" s="4562">
        <f>XLOOKUP(B3362,'_Sys|Line_Map'!$A:$A,'_Sys|Line_Map'!$B:$B,"MISSING",0)</f>
        <v/>
      </c>
    </row>
    <row r="3363">
      <c r="A3363" s="4561" t="n"/>
      <c r="B3363" s="4561" t="n"/>
      <c r="C3363" s="4561" t="n"/>
      <c r="D3363" s="4561" t="n"/>
      <c r="E3363" s="4561" t="n"/>
      <c r="F3363" s="4561" t="n"/>
      <c r="G3363" s="4561" t="n"/>
      <c r="H3363" s="4561" t="n"/>
      <c r="I3363" s="4562">
        <f>XLOOKUP(B3363,'_Sys|Line_Map'!$A:$A,'_Sys|Line_Map'!$C:$C,"MISSING",0)</f>
        <v/>
      </c>
      <c r="J3363" s="4562">
        <f>XLOOKUP(B3363,'_Sys|Line_Map'!$A:$A,'_Sys|Line_Map'!$D:$D,1,0)</f>
        <v/>
      </c>
      <c r="K3363" s="4562">
        <f>IF(D3363="","",D3363*J3363)</f>
        <v/>
      </c>
      <c r="L3363" s="4562">
        <f>XLOOKUP(B3363,'_Sys|Line_Map'!$A:$A,'_Sys|Line_Map'!$B:$B,"MISSING",0)</f>
        <v/>
      </c>
    </row>
    <row r="3364">
      <c r="A3364" s="4561" t="n"/>
      <c r="B3364" s="4561" t="n"/>
      <c r="C3364" s="4561" t="n"/>
      <c r="D3364" s="4561" t="n"/>
      <c r="E3364" s="4561" t="n"/>
      <c r="F3364" s="4561" t="n"/>
      <c r="G3364" s="4561" t="n"/>
      <c r="H3364" s="4561" t="n"/>
      <c r="I3364" s="4562">
        <f>XLOOKUP(B3364,'_Sys|Line_Map'!$A:$A,'_Sys|Line_Map'!$C:$C,"MISSING",0)</f>
        <v/>
      </c>
      <c r="J3364" s="4562">
        <f>XLOOKUP(B3364,'_Sys|Line_Map'!$A:$A,'_Sys|Line_Map'!$D:$D,1,0)</f>
        <v/>
      </c>
      <c r="K3364" s="4562">
        <f>IF(D3364="","",D3364*J3364)</f>
        <v/>
      </c>
      <c r="L3364" s="4562">
        <f>XLOOKUP(B3364,'_Sys|Line_Map'!$A:$A,'_Sys|Line_Map'!$B:$B,"MISSING",0)</f>
        <v/>
      </c>
    </row>
    <row r="3365">
      <c r="A3365" s="4561" t="n"/>
      <c r="B3365" s="4561" t="n"/>
      <c r="C3365" s="4561" t="n"/>
      <c r="D3365" s="4561" t="n"/>
      <c r="E3365" s="4561" t="n"/>
      <c r="F3365" s="4561" t="n"/>
      <c r="G3365" s="4561" t="n"/>
      <c r="H3365" s="4561" t="n"/>
      <c r="I3365" s="4562">
        <f>XLOOKUP(B3365,'_Sys|Line_Map'!$A:$A,'_Sys|Line_Map'!$C:$C,"MISSING",0)</f>
        <v/>
      </c>
      <c r="J3365" s="4562">
        <f>XLOOKUP(B3365,'_Sys|Line_Map'!$A:$A,'_Sys|Line_Map'!$D:$D,1,0)</f>
        <v/>
      </c>
      <c r="K3365" s="4562">
        <f>IF(D3365="","",D3365*J3365)</f>
        <v/>
      </c>
      <c r="L3365" s="4562">
        <f>XLOOKUP(B3365,'_Sys|Line_Map'!$A:$A,'_Sys|Line_Map'!$B:$B,"MISSING",0)</f>
        <v/>
      </c>
    </row>
    <row r="3366">
      <c r="A3366" s="4561" t="n"/>
      <c r="B3366" s="4561" t="n"/>
      <c r="C3366" s="4561" t="n"/>
      <c r="D3366" s="4561" t="n"/>
      <c r="E3366" s="4561" t="n"/>
      <c r="F3366" s="4561" t="n"/>
      <c r="G3366" s="4561" t="n"/>
      <c r="H3366" s="4561" t="n"/>
      <c r="I3366" s="4562">
        <f>XLOOKUP(B3366,'_Sys|Line_Map'!$A:$A,'_Sys|Line_Map'!$C:$C,"MISSING",0)</f>
        <v/>
      </c>
      <c r="J3366" s="4562">
        <f>XLOOKUP(B3366,'_Sys|Line_Map'!$A:$A,'_Sys|Line_Map'!$D:$D,1,0)</f>
        <v/>
      </c>
      <c r="K3366" s="4562">
        <f>IF(D3366="","",D3366*J3366)</f>
        <v/>
      </c>
      <c r="L3366" s="4562">
        <f>XLOOKUP(B3366,'_Sys|Line_Map'!$A:$A,'_Sys|Line_Map'!$B:$B,"MISSING",0)</f>
        <v/>
      </c>
    </row>
    <row r="3367">
      <c r="A3367" s="4561" t="n"/>
      <c r="B3367" s="4561" t="n"/>
      <c r="C3367" s="4561" t="n"/>
      <c r="D3367" s="4561" t="n"/>
      <c r="E3367" s="4561" t="n"/>
      <c r="F3367" s="4561" t="n"/>
      <c r="G3367" s="4561" t="n"/>
      <c r="H3367" s="4561" t="n"/>
      <c r="I3367" s="4562">
        <f>XLOOKUP(B3367,'_Sys|Line_Map'!$A:$A,'_Sys|Line_Map'!$C:$C,"MISSING",0)</f>
        <v/>
      </c>
      <c r="J3367" s="4562">
        <f>XLOOKUP(B3367,'_Sys|Line_Map'!$A:$A,'_Sys|Line_Map'!$D:$D,1,0)</f>
        <v/>
      </c>
      <c r="K3367" s="4562">
        <f>IF(D3367="","",D3367*J3367)</f>
        <v/>
      </c>
      <c r="L3367" s="4562">
        <f>XLOOKUP(B3367,'_Sys|Line_Map'!$A:$A,'_Sys|Line_Map'!$B:$B,"MISSING",0)</f>
        <v/>
      </c>
    </row>
    <row r="3368">
      <c r="A3368" s="4561" t="n"/>
      <c r="B3368" s="4561" t="n"/>
      <c r="C3368" s="4561" t="n"/>
      <c r="D3368" s="4561" t="n"/>
      <c r="E3368" s="4561" t="n"/>
      <c r="F3368" s="4561" t="n"/>
      <c r="G3368" s="4561" t="n"/>
      <c r="H3368" s="4561" t="n"/>
      <c r="I3368" s="4562">
        <f>XLOOKUP(B3368,'_Sys|Line_Map'!$A:$A,'_Sys|Line_Map'!$C:$C,"MISSING",0)</f>
        <v/>
      </c>
      <c r="J3368" s="4562">
        <f>XLOOKUP(B3368,'_Sys|Line_Map'!$A:$A,'_Sys|Line_Map'!$D:$D,1,0)</f>
        <v/>
      </c>
      <c r="K3368" s="4562">
        <f>IF(D3368="","",D3368*J3368)</f>
        <v/>
      </c>
      <c r="L3368" s="4562">
        <f>XLOOKUP(B3368,'_Sys|Line_Map'!$A:$A,'_Sys|Line_Map'!$B:$B,"MISSING",0)</f>
        <v/>
      </c>
    </row>
    <row r="3369">
      <c r="A3369" s="4561" t="n"/>
      <c r="B3369" s="4561" t="n"/>
      <c r="C3369" s="4561" t="n"/>
      <c r="D3369" s="4561" t="n"/>
      <c r="E3369" s="4561" t="n"/>
      <c r="F3369" s="4561" t="n"/>
      <c r="G3369" s="4561" t="n"/>
      <c r="H3369" s="4561" t="n"/>
      <c r="I3369" s="4562">
        <f>XLOOKUP(B3369,'_Sys|Line_Map'!$A:$A,'_Sys|Line_Map'!$C:$C,"MISSING",0)</f>
        <v/>
      </c>
      <c r="J3369" s="4562">
        <f>XLOOKUP(B3369,'_Sys|Line_Map'!$A:$A,'_Sys|Line_Map'!$D:$D,1,0)</f>
        <v/>
      </c>
      <c r="K3369" s="4562">
        <f>IF(D3369="","",D3369*J3369)</f>
        <v/>
      </c>
      <c r="L3369" s="4562">
        <f>XLOOKUP(B3369,'_Sys|Line_Map'!$A:$A,'_Sys|Line_Map'!$B:$B,"MISSING",0)</f>
        <v/>
      </c>
    </row>
    <row r="3370">
      <c r="A3370" s="4561" t="n"/>
      <c r="B3370" s="4561" t="n"/>
      <c r="C3370" s="4561" t="n"/>
      <c r="D3370" s="4561" t="n"/>
      <c r="E3370" s="4561" t="n"/>
      <c r="F3370" s="4561" t="n"/>
      <c r="G3370" s="4561" t="n"/>
      <c r="H3370" s="4561" t="n"/>
      <c r="I3370" s="4562">
        <f>XLOOKUP(B3370,'_Sys|Line_Map'!$A:$A,'_Sys|Line_Map'!$C:$C,"MISSING",0)</f>
        <v/>
      </c>
      <c r="J3370" s="4562">
        <f>XLOOKUP(B3370,'_Sys|Line_Map'!$A:$A,'_Sys|Line_Map'!$D:$D,1,0)</f>
        <v/>
      </c>
      <c r="K3370" s="4562">
        <f>IF(D3370="","",D3370*J3370)</f>
        <v/>
      </c>
      <c r="L3370" s="4562">
        <f>XLOOKUP(B3370,'_Sys|Line_Map'!$A:$A,'_Sys|Line_Map'!$B:$B,"MISSING",0)</f>
        <v/>
      </c>
    </row>
    <row r="3371">
      <c r="A3371" s="4561" t="n"/>
      <c r="B3371" s="4561" t="n"/>
      <c r="C3371" s="4561" t="n"/>
      <c r="D3371" s="4561" t="n"/>
      <c r="E3371" s="4561" t="n"/>
      <c r="F3371" s="4561" t="n"/>
      <c r="G3371" s="4561" t="n"/>
      <c r="H3371" s="4561" t="n"/>
      <c r="I3371" s="4562">
        <f>XLOOKUP(B3371,'_Sys|Line_Map'!$A:$A,'_Sys|Line_Map'!$C:$C,"MISSING",0)</f>
        <v/>
      </c>
      <c r="J3371" s="4562">
        <f>XLOOKUP(B3371,'_Sys|Line_Map'!$A:$A,'_Sys|Line_Map'!$D:$D,1,0)</f>
        <v/>
      </c>
      <c r="K3371" s="4562">
        <f>IF(D3371="","",D3371*J3371)</f>
        <v/>
      </c>
      <c r="L3371" s="4562">
        <f>XLOOKUP(B3371,'_Sys|Line_Map'!$A:$A,'_Sys|Line_Map'!$B:$B,"MISSING",0)</f>
        <v/>
      </c>
    </row>
    <row r="3372">
      <c r="A3372" s="4561" t="n"/>
      <c r="B3372" s="4561" t="n"/>
      <c r="C3372" s="4561" t="n"/>
      <c r="D3372" s="4561" t="n"/>
      <c r="E3372" s="4561" t="n"/>
      <c r="F3372" s="4561" t="n"/>
      <c r="G3372" s="4561" t="n"/>
      <c r="H3372" s="4561" t="n"/>
      <c r="I3372" s="4562">
        <f>XLOOKUP(B3372,'_Sys|Line_Map'!$A:$A,'_Sys|Line_Map'!$C:$C,"MISSING",0)</f>
        <v/>
      </c>
      <c r="J3372" s="4562">
        <f>XLOOKUP(B3372,'_Sys|Line_Map'!$A:$A,'_Sys|Line_Map'!$D:$D,1,0)</f>
        <v/>
      </c>
      <c r="K3372" s="4562">
        <f>IF(D3372="","",D3372*J3372)</f>
        <v/>
      </c>
      <c r="L3372" s="4562">
        <f>XLOOKUP(B3372,'_Sys|Line_Map'!$A:$A,'_Sys|Line_Map'!$B:$B,"MISSING",0)</f>
        <v/>
      </c>
    </row>
    <row r="3373">
      <c r="A3373" s="4561" t="n"/>
      <c r="B3373" s="4561" t="n"/>
      <c r="C3373" s="4561" t="n"/>
      <c r="D3373" s="4561" t="n"/>
      <c r="E3373" s="4561" t="n"/>
      <c r="F3373" s="4561" t="n"/>
      <c r="G3373" s="4561" t="n"/>
      <c r="H3373" s="4561" t="n"/>
      <c r="I3373" s="4562">
        <f>XLOOKUP(B3373,'_Sys|Line_Map'!$A:$A,'_Sys|Line_Map'!$C:$C,"MISSING",0)</f>
        <v/>
      </c>
      <c r="J3373" s="4562">
        <f>XLOOKUP(B3373,'_Sys|Line_Map'!$A:$A,'_Sys|Line_Map'!$D:$D,1,0)</f>
        <v/>
      </c>
      <c r="K3373" s="4562">
        <f>IF(D3373="","",D3373*J3373)</f>
        <v/>
      </c>
      <c r="L3373" s="4562">
        <f>XLOOKUP(B3373,'_Sys|Line_Map'!$A:$A,'_Sys|Line_Map'!$B:$B,"MISSING",0)</f>
        <v/>
      </c>
    </row>
    <row r="3374">
      <c r="A3374" s="4561" t="n"/>
      <c r="B3374" s="4561" t="n"/>
      <c r="C3374" s="4561" t="n"/>
      <c r="D3374" s="4561" t="n"/>
      <c r="E3374" s="4561" t="n"/>
      <c r="F3374" s="4561" t="n"/>
      <c r="G3374" s="4561" t="n"/>
      <c r="H3374" s="4561" t="n"/>
      <c r="I3374" s="4562">
        <f>XLOOKUP(B3374,'_Sys|Line_Map'!$A:$A,'_Sys|Line_Map'!$C:$C,"MISSING",0)</f>
        <v/>
      </c>
      <c r="J3374" s="4562">
        <f>XLOOKUP(B3374,'_Sys|Line_Map'!$A:$A,'_Sys|Line_Map'!$D:$D,1,0)</f>
        <v/>
      </c>
      <c r="K3374" s="4562">
        <f>IF(D3374="","",D3374*J3374)</f>
        <v/>
      </c>
      <c r="L3374" s="4562">
        <f>XLOOKUP(B3374,'_Sys|Line_Map'!$A:$A,'_Sys|Line_Map'!$B:$B,"MISSING",0)</f>
        <v/>
      </c>
    </row>
    <row r="3375">
      <c r="A3375" s="4561" t="n"/>
      <c r="B3375" s="4561" t="n"/>
      <c r="C3375" s="4561" t="n"/>
      <c r="D3375" s="4561" t="n"/>
      <c r="E3375" s="4561" t="n"/>
      <c r="F3375" s="4561" t="n"/>
      <c r="G3375" s="4561" t="n"/>
      <c r="H3375" s="4561" t="n"/>
      <c r="I3375" s="4562">
        <f>XLOOKUP(B3375,'_Sys|Line_Map'!$A:$A,'_Sys|Line_Map'!$C:$C,"MISSING",0)</f>
        <v/>
      </c>
      <c r="J3375" s="4562">
        <f>XLOOKUP(B3375,'_Sys|Line_Map'!$A:$A,'_Sys|Line_Map'!$D:$D,1,0)</f>
        <v/>
      </c>
      <c r="K3375" s="4562">
        <f>IF(D3375="","",D3375*J3375)</f>
        <v/>
      </c>
      <c r="L3375" s="4562">
        <f>XLOOKUP(B3375,'_Sys|Line_Map'!$A:$A,'_Sys|Line_Map'!$B:$B,"MISSING",0)</f>
        <v/>
      </c>
    </row>
    <row r="3376">
      <c r="A3376" s="4561" t="n"/>
      <c r="B3376" s="4561" t="n"/>
      <c r="C3376" s="4561" t="n"/>
      <c r="D3376" s="4561" t="n"/>
      <c r="E3376" s="4561" t="n"/>
      <c r="F3376" s="4561" t="n"/>
      <c r="G3376" s="4561" t="n"/>
      <c r="H3376" s="4561" t="n"/>
      <c r="I3376" s="4562">
        <f>XLOOKUP(B3376,'_Sys|Line_Map'!$A:$A,'_Sys|Line_Map'!$C:$C,"MISSING",0)</f>
        <v/>
      </c>
      <c r="J3376" s="4562">
        <f>XLOOKUP(B3376,'_Sys|Line_Map'!$A:$A,'_Sys|Line_Map'!$D:$D,1,0)</f>
        <v/>
      </c>
      <c r="K3376" s="4562">
        <f>IF(D3376="","",D3376*J3376)</f>
        <v/>
      </c>
      <c r="L3376" s="4562">
        <f>XLOOKUP(B3376,'_Sys|Line_Map'!$A:$A,'_Sys|Line_Map'!$B:$B,"MISSING",0)</f>
        <v/>
      </c>
    </row>
    <row r="3377">
      <c r="A3377" s="4561" t="n"/>
      <c r="B3377" s="4561" t="n"/>
      <c r="C3377" s="4561" t="n"/>
      <c r="D3377" s="4561" t="n"/>
      <c r="E3377" s="4561" t="n"/>
      <c r="F3377" s="4561" t="n"/>
      <c r="G3377" s="4561" t="n"/>
      <c r="H3377" s="4561" t="n"/>
      <c r="I3377" s="4562">
        <f>XLOOKUP(B3377,'_Sys|Line_Map'!$A:$A,'_Sys|Line_Map'!$C:$C,"MISSING",0)</f>
        <v/>
      </c>
      <c r="J3377" s="4562">
        <f>XLOOKUP(B3377,'_Sys|Line_Map'!$A:$A,'_Sys|Line_Map'!$D:$D,1,0)</f>
        <v/>
      </c>
      <c r="K3377" s="4562">
        <f>IF(D3377="","",D3377*J3377)</f>
        <v/>
      </c>
      <c r="L3377" s="4562">
        <f>XLOOKUP(B3377,'_Sys|Line_Map'!$A:$A,'_Sys|Line_Map'!$B:$B,"MISSING",0)</f>
        <v/>
      </c>
    </row>
    <row r="3378">
      <c r="A3378" s="4561" t="n"/>
      <c r="B3378" s="4561" t="n"/>
      <c r="C3378" s="4561" t="n"/>
      <c r="D3378" s="4561" t="n"/>
      <c r="E3378" s="4561" t="n"/>
      <c r="F3378" s="4561" t="n"/>
      <c r="G3378" s="4561" t="n"/>
      <c r="H3378" s="4561" t="n"/>
      <c r="I3378" s="4562">
        <f>XLOOKUP(B3378,'_Sys|Line_Map'!$A:$A,'_Sys|Line_Map'!$C:$C,"MISSING",0)</f>
        <v/>
      </c>
      <c r="J3378" s="4562">
        <f>XLOOKUP(B3378,'_Sys|Line_Map'!$A:$A,'_Sys|Line_Map'!$D:$D,1,0)</f>
        <v/>
      </c>
      <c r="K3378" s="4562">
        <f>IF(D3378="","",D3378*J3378)</f>
        <v/>
      </c>
      <c r="L3378" s="4562">
        <f>XLOOKUP(B3378,'_Sys|Line_Map'!$A:$A,'_Sys|Line_Map'!$B:$B,"MISSING",0)</f>
        <v/>
      </c>
    </row>
    <row r="3379">
      <c r="A3379" s="4561" t="n"/>
      <c r="B3379" s="4561" t="n"/>
      <c r="C3379" s="4561" t="n"/>
      <c r="D3379" s="4561" t="n"/>
      <c r="E3379" s="4561" t="n"/>
      <c r="F3379" s="4561" t="n"/>
      <c r="G3379" s="4561" t="n"/>
      <c r="H3379" s="4561" t="n"/>
      <c r="I3379" s="4562">
        <f>XLOOKUP(B3379,'_Sys|Line_Map'!$A:$A,'_Sys|Line_Map'!$C:$C,"MISSING",0)</f>
        <v/>
      </c>
      <c r="J3379" s="4562">
        <f>XLOOKUP(B3379,'_Sys|Line_Map'!$A:$A,'_Sys|Line_Map'!$D:$D,1,0)</f>
        <v/>
      </c>
      <c r="K3379" s="4562">
        <f>IF(D3379="","",D3379*J3379)</f>
        <v/>
      </c>
      <c r="L3379" s="4562">
        <f>XLOOKUP(B3379,'_Sys|Line_Map'!$A:$A,'_Sys|Line_Map'!$B:$B,"MISSING",0)</f>
        <v/>
      </c>
    </row>
    <row r="3380">
      <c r="A3380" s="4561" t="n"/>
      <c r="B3380" s="4561" t="n"/>
      <c r="C3380" s="4561" t="n"/>
      <c r="D3380" s="4561" t="n"/>
      <c r="E3380" s="4561" t="n"/>
      <c r="F3380" s="4561" t="n"/>
      <c r="G3380" s="4561" t="n"/>
      <c r="H3380" s="4561" t="n"/>
      <c r="I3380" s="4562">
        <f>XLOOKUP(B3380,'_Sys|Line_Map'!$A:$A,'_Sys|Line_Map'!$C:$C,"MISSING",0)</f>
        <v/>
      </c>
      <c r="J3380" s="4562">
        <f>XLOOKUP(B3380,'_Sys|Line_Map'!$A:$A,'_Sys|Line_Map'!$D:$D,1,0)</f>
        <v/>
      </c>
      <c r="K3380" s="4562">
        <f>IF(D3380="","",D3380*J3380)</f>
        <v/>
      </c>
      <c r="L3380" s="4562">
        <f>XLOOKUP(B3380,'_Sys|Line_Map'!$A:$A,'_Sys|Line_Map'!$B:$B,"MISSING",0)</f>
        <v/>
      </c>
    </row>
    <row r="3381">
      <c r="A3381" s="4561" t="n"/>
      <c r="B3381" s="4561" t="n"/>
      <c r="C3381" s="4561" t="n"/>
      <c r="D3381" s="4561" t="n"/>
      <c r="E3381" s="4561" t="n"/>
      <c r="F3381" s="4561" t="n"/>
      <c r="G3381" s="4561" t="n"/>
      <c r="H3381" s="4561" t="n"/>
      <c r="I3381" s="4562">
        <f>XLOOKUP(B3381,'_Sys|Line_Map'!$A:$A,'_Sys|Line_Map'!$C:$C,"MISSING",0)</f>
        <v/>
      </c>
      <c r="J3381" s="4562">
        <f>XLOOKUP(B3381,'_Sys|Line_Map'!$A:$A,'_Sys|Line_Map'!$D:$D,1,0)</f>
        <v/>
      </c>
      <c r="K3381" s="4562">
        <f>IF(D3381="","",D3381*J3381)</f>
        <v/>
      </c>
      <c r="L3381" s="4562">
        <f>XLOOKUP(B3381,'_Sys|Line_Map'!$A:$A,'_Sys|Line_Map'!$B:$B,"MISSING",0)</f>
        <v/>
      </c>
    </row>
    <row r="3382">
      <c r="A3382" s="4561" t="n"/>
      <c r="B3382" s="4561" t="n"/>
      <c r="C3382" s="4561" t="n"/>
      <c r="D3382" s="4561" t="n"/>
      <c r="E3382" s="4561" t="n"/>
      <c r="F3382" s="4561" t="n"/>
      <c r="G3382" s="4561" t="n"/>
      <c r="H3382" s="4561" t="n"/>
      <c r="I3382" s="4562">
        <f>XLOOKUP(B3382,'_Sys|Line_Map'!$A:$A,'_Sys|Line_Map'!$C:$C,"MISSING",0)</f>
        <v/>
      </c>
      <c r="J3382" s="4562">
        <f>XLOOKUP(B3382,'_Sys|Line_Map'!$A:$A,'_Sys|Line_Map'!$D:$D,1,0)</f>
        <v/>
      </c>
      <c r="K3382" s="4562">
        <f>IF(D3382="","",D3382*J3382)</f>
        <v/>
      </c>
      <c r="L3382" s="4562">
        <f>XLOOKUP(B3382,'_Sys|Line_Map'!$A:$A,'_Sys|Line_Map'!$B:$B,"MISSING",0)</f>
        <v/>
      </c>
    </row>
    <row r="3383">
      <c r="A3383" s="4561" t="n"/>
      <c r="B3383" s="4561" t="n"/>
      <c r="C3383" s="4561" t="n"/>
      <c r="D3383" s="4561" t="n"/>
      <c r="E3383" s="4561" t="n"/>
      <c r="F3383" s="4561" t="n"/>
      <c r="G3383" s="4561" t="n"/>
      <c r="H3383" s="4561" t="n"/>
      <c r="I3383" s="4562">
        <f>XLOOKUP(B3383,'_Sys|Line_Map'!$A:$A,'_Sys|Line_Map'!$C:$C,"MISSING",0)</f>
        <v/>
      </c>
      <c r="J3383" s="4562">
        <f>XLOOKUP(B3383,'_Sys|Line_Map'!$A:$A,'_Sys|Line_Map'!$D:$D,1,0)</f>
        <v/>
      </c>
      <c r="K3383" s="4562">
        <f>IF(D3383="","",D3383*J3383)</f>
        <v/>
      </c>
      <c r="L3383" s="4562">
        <f>XLOOKUP(B3383,'_Sys|Line_Map'!$A:$A,'_Sys|Line_Map'!$B:$B,"MISSING",0)</f>
        <v/>
      </c>
    </row>
    <row r="3384">
      <c r="A3384" s="4561" t="n"/>
      <c r="B3384" s="4561" t="n"/>
      <c r="C3384" s="4561" t="n"/>
      <c r="D3384" s="4561" t="n"/>
      <c r="E3384" s="4561" t="n"/>
      <c r="F3384" s="4561" t="n"/>
      <c r="G3384" s="4561" t="n"/>
      <c r="H3384" s="4561" t="n"/>
      <c r="I3384" s="4562">
        <f>XLOOKUP(B3384,'_Sys|Line_Map'!$A:$A,'_Sys|Line_Map'!$C:$C,"MISSING",0)</f>
        <v/>
      </c>
      <c r="J3384" s="4562">
        <f>XLOOKUP(B3384,'_Sys|Line_Map'!$A:$A,'_Sys|Line_Map'!$D:$D,1,0)</f>
        <v/>
      </c>
      <c r="K3384" s="4562">
        <f>IF(D3384="","",D3384*J3384)</f>
        <v/>
      </c>
      <c r="L3384" s="4562">
        <f>XLOOKUP(B3384,'_Sys|Line_Map'!$A:$A,'_Sys|Line_Map'!$B:$B,"MISSING",0)</f>
        <v/>
      </c>
    </row>
    <row r="3385">
      <c r="A3385" s="4561" t="n"/>
      <c r="B3385" s="4561" t="n"/>
      <c r="C3385" s="4561" t="n"/>
      <c r="D3385" s="4561" t="n"/>
      <c r="E3385" s="4561" t="n"/>
      <c r="F3385" s="4561" t="n"/>
      <c r="G3385" s="4561" t="n"/>
      <c r="H3385" s="4561" t="n"/>
      <c r="I3385" s="4562">
        <f>XLOOKUP(B3385,'_Sys|Line_Map'!$A:$A,'_Sys|Line_Map'!$C:$C,"MISSING",0)</f>
        <v/>
      </c>
      <c r="J3385" s="4562">
        <f>XLOOKUP(B3385,'_Sys|Line_Map'!$A:$A,'_Sys|Line_Map'!$D:$D,1,0)</f>
        <v/>
      </c>
      <c r="K3385" s="4562">
        <f>IF(D3385="","",D3385*J3385)</f>
        <v/>
      </c>
      <c r="L3385" s="4562">
        <f>XLOOKUP(B3385,'_Sys|Line_Map'!$A:$A,'_Sys|Line_Map'!$B:$B,"MISSING",0)</f>
        <v/>
      </c>
    </row>
    <row r="3386">
      <c r="A3386" s="4561" t="n"/>
      <c r="B3386" s="4561" t="n"/>
      <c r="C3386" s="4561" t="n"/>
      <c r="D3386" s="4561" t="n"/>
      <c r="E3386" s="4561" t="n"/>
      <c r="F3386" s="4561" t="n"/>
      <c r="G3386" s="4561" t="n"/>
      <c r="H3386" s="4561" t="n"/>
      <c r="I3386" s="4562">
        <f>XLOOKUP(B3386,'_Sys|Line_Map'!$A:$A,'_Sys|Line_Map'!$C:$C,"MISSING",0)</f>
        <v/>
      </c>
      <c r="J3386" s="4562">
        <f>XLOOKUP(B3386,'_Sys|Line_Map'!$A:$A,'_Sys|Line_Map'!$D:$D,1,0)</f>
        <v/>
      </c>
      <c r="K3386" s="4562">
        <f>IF(D3386="","",D3386*J3386)</f>
        <v/>
      </c>
      <c r="L3386" s="4562">
        <f>XLOOKUP(B3386,'_Sys|Line_Map'!$A:$A,'_Sys|Line_Map'!$B:$B,"MISSING",0)</f>
        <v/>
      </c>
    </row>
    <row r="3387">
      <c r="A3387" s="4561" t="n"/>
      <c r="B3387" s="4561" t="n"/>
      <c r="C3387" s="4561" t="n"/>
      <c r="D3387" s="4561" t="n"/>
      <c r="E3387" s="4561" t="n"/>
      <c r="F3387" s="4561" t="n"/>
      <c r="G3387" s="4561" t="n"/>
      <c r="H3387" s="4561" t="n"/>
      <c r="I3387" s="4562">
        <f>XLOOKUP(B3387,'_Sys|Line_Map'!$A:$A,'_Sys|Line_Map'!$C:$C,"MISSING",0)</f>
        <v/>
      </c>
      <c r="J3387" s="4562">
        <f>XLOOKUP(B3387,'_Sys|Line_Map'!$A:$A,'_Sys|Line_Map'!$D:$D,1,0)</f>
        <v/>
      </c>
      <c r="K3387" s="4562">
        <f>IF(D3387="","",D3387*J3387)</f>
        <v/>
      </c>
      <c r="L3387" s="4562">
        <f>XLOOKUP(B3387,'_Sys|Line_Map'!$A:$A,'_Sys|Line_Map'!$B:$B,"MISSING",0)</f>
        <v/>
      </c>
    </row>
    <row r="3388">
      <c r="A3388" s="4561" t="n"/>
      <c r="B3388" s="4561" t="n"/>
      <c r="C3388" s="4561" t="n"/>
      <c r="D3388" s="4561" t="n"/>
      <c r="E3388" s="4561" t="n"/>
      <c r="F3388" s="4561" t="n"/>
      <c r="G3388" s="4561" t="n"/>
      <c r="H3388" s="4561" t="n"/>
      <c r="I3388" s="4562">
        <f>XLOOKUP(B3388,'_Sys|Line_Map'!$A:$A,'_Sys|Line_Map'!$C:$C,"MISSING",0)</f>
        <v/>
      </c>
      <c r="J3388" s="4562">
        <f>XLOOKUP(B3388,'_Sys|Line_Map'!$A:$A,'_Sys|Line_Map'!$D:$D,1,0)</f>
        <v/>
      </c>
      <c r="K3388" s="4562">
        <f>IF(D3388="","",D3388*J3388)</f>
        <v/>
      </c>
      <c r="L3388" s="4562">
        <f>XLOOKUP(B3388,'_Sys|Line_Map'!$A:$A,'_Sys|Line_Map'!$B:$B,"MISSING",0)</f>
        <v/>
      </c>
    </row>
    <row r="3389">
      <c r="A3389" s="4561" t="n"/>
      <c r="B3389" s="4561" t="n"/>
      <c r="C3389" s="4561" t="n"/>
      <c r="D3389" s="4561" t="n"/>
      <c r="E3389" s="4561" t="n"/>
      <c r="F3389" s="4561" t="n"/>
      <c r="G3389" s="4561" t="n"/>
      <c r="H3389" s="4561" t="n"/>
      <c r="I3389" s="4562">
        <f>XLOOKUP(B3389,'_Sys|Line_Map'!$A:$A,'_Sys|Line_Map'!$C:$C,"MISSING",0)</f>
        <v/>
      </c>
      <c r="J3389" s="4562">
        <f>XLOOKUP(B3389,'_Sys|Line_Map'!$A:$A,'_Sys|Line_Map'!$D:$D,1,0)</f>
        <v/>
      </c>
      <c r="K3389" s="4562">
        <f>IF(D3389="","",D3389*J3389)</f>
        <v/>
      </c>
      <c r="L3389" s="4562">
        <f>XLOOKUP(B3389,'_Sys|Line_Map'!$A:$A,'_Sys|Line_Map'!$B:$B,"MISSING",0)</f>
        <v/>
      </c>
    </row>
    <row r="3390">
      <c r="A3390" s="4561" t="n"/>
      <c r="B3390" s="4561" t="n"/>
      <c r="C3390" s="4561" t="n"/>
      <c r="D3390" s="4561" t="n"/>
      <c r="E3390" s="4561" t="n"/>
      <c r="F3390" s="4561" t="n"/>
      <c r="G3390" s="4561" t="n"/>
      <c r="H3390" s="4561" t="n"/>
      <c r="I3390" s="4562">
        <f>XLOOKUP(B3390,'_Sys|Line_Map'!$A:$A,'_Sys|Line_Map'!$C:$C,"MISSING",0)</f>
        <v/>
      </c>
      <c r="J3390" s="4562">
        <f>XLOOKUP(B3390,'_Sys|Line_Map'!$A:$A,'_Sys|Line_Map'!$D:$D,1,0)</f>
        <v/>
      </c>
      <c r="K3390" s="4562">
        <f>IF(D3390="","",D3390*J3390)</f>
        <v/>
      </c>
      <c r="L3390" s="4562">
        <f>XLOOKUP(B3390,'_Sys|Line_Map'!$A:$A,'_Sys|Line_Map'!$B:$B,"MISSING",0)</f>
        <v/>
      </c>
    </row>
    <row r="3391">
      <c r="A3391" s="4561" t="n"/>
      <c r="B3391" s="4561" t="n"/>
      <c r="C3391" s="4561" t="n"/>
      <c r="D3391" s="4561" t="n"/>
      <c r="E3391" s="4561" t="n"/>
      <c r="F3391" s="4561" t="n"/>
      <c r="G3391" s="4561" t="n"/>
      <c r="H3391" s="4561" t="n"/>
      <c r="I3391" s="4562">
        <f>XLOOKUP(B3391,'_Sys|Line_Map'!$A:$A,'_Sys|Line_Map'!$C:$C,"MISSING",0)</f>
        <v/>
      </c>
      <c r="J3391" s="4562">
        <f>XLOOKUP(B3391,'_Sys|Line_Map'!$A:$A,'_Sys|Line_Map'!$D:$D,1,0)</f>
        <v/>
      </c>
      <c r="K3391" s="4562">
        <f>IF(D3391="","",D3391*J3391)</f>
        <v/>
      </c>
      <c r="L3391" s="4562">
        <f>XLOOKUP(B3391,'_Sys|Line_Map'!$A:$A,'_Sys|Line_Map'!$B:$B,"MISSING",0)</f>
        <v/>
      </c>
    </row>
    <row r="3392">
      <c r="A3392" s="4561" t="n"/>
      <c r="B3392" s="4561" t="n"/>
      <c r="C3392" s="4561" t="n"/>
      <c r="D3392" s="4561" t="n"/>
      <c r="E3392" s="4561" t="n"/>
      <c r="F3392" s="4561" t="n"/>
      <c r="G3392" s="4561" t="n"/>
      <c r="H3392" s="4561" t="n"/>
      <c r="I3392" s="4562">
        <f>XLOOKUP(B3392,'_Sys|Line_Map'!$A:$A,'_Sys|Line_Map'!$C:$C,"MISSING",0)</f>
        <v/>
      </c>
      <c r="J3392" s="4562">
        <f>XLOOKUP(B3392,'_Sys|Line_Map'!$A:$A,'_Sys|Line_Map'!$D:$D,1,0)</f>
        <v/>
      </c>
      <c r="K3392" s="4562">
        <f>IF(D3392="","",D3392*J3392)</f>
        <v/>
      </c>
      <c r="L3392" s="4562">
        <f>XLOOKUP(B3392,'_Sys|Line_Map'!$A:$A,'_Sys|Line_Map'!$B:$B,"MISSING",0)</f>
        <v/>
      </c>
    </row>
    <row r="3393">
      <c r="A3393" s="4561" t="n"/>
      <c r="B3393" s="4561" t="n"/>
      <c r="C3393" s="4561" t="n"/>
      <c r="D3393" s="4561" t="n"/>
      <c r="E3393" s="4561" t="n"/>
      <c r="F3393" s="4561" t="n"/>
      <c r="G3393" s="4561" t="n"/>
      <c r="H3393" s="4561" t="n"/>
      <c r="I3393" s="4562">
        <f>XLOOKUP(B3393,'_Sys|Line_Map'!$A:$A,'_Sys|Line_Map'!$C:$C,"MISSING",0)</f>
        <v/>
      </c>
      <c r="J3393" s="4562">
        <f>XLOOKUP(B3393,'_Sys|Line_Map'!$A:$A,'_Sys|Line_Map'!$D:$D,1,0)</f>
        <v/>
      </c>
      <c r="K3393" s="4562">
        <f>IF(D3393="","",D3393*J3393)</f>
        <v/>
      </c>
      <c r="L3393" s="4562">
        <f>XLOOKUP(B3393,'_Sys|Line_Map'!$A:$A,'_Sys|Line_Map'!$B:$B,"MISSING",0)</f>
        <v/>
      </c>
    </row>
    <row r="3394">
      <c r="A3394" s="4561" t="n"/>
      <c r="B3394" s="4561" t="n"/>
      <c r="C3394" s="4561" t="n"/>
      <c r="D3394" s="4561" t="n"/>
      <c r="E3394" s="4561" t="n"/>
      <c r="F3394" s="4561" t="n"/>
      <c r="G3394" s="4561" t="n"/>
      <c r="H3394" s="4561" t="n"/>
      <c r="I3394" s="4562">
        <f>XLOOKUP(B3394,'_Sys|Line_Map'!$A:$A,'_Sys|Line_Map'!$C:$C,"MISSING",0)</f>
        <v/>
      </c>
      <c r="J3394" s="4562">
        <f>XLOOKUP(B3394,'_Sys|Line_Map'!$A:$A,'_Sys|Line_Map'!$D:$D,1,0)</f>
        <v/>
      </c>
      <c r="K3394" s="4562">
        <f>IF(D3394="","",D3394*J3394)</f>
        <v/>
      </c>
      <c r="L3394" s="4562">
        <f>XLOOKUP(B3394,'_Sys|Line_Map'!$A:$A,'_Sys|Line_Map'!$B:$B,"MISSING",0)</f>
        <v/>
      </c>
    </row>
    <row r="3395">
      <c r="A3395" s="4561" t="n"/>
      <c r="B3395" s="4561" t="n"/>
      <c r="C3395" s="4561" t="n"/>
      <c r="D3395" s="4561" t="n"/>
      <c r="E3395" s="4561" t="n"/>
      <c r="F3395" s="4561" t="n"/>
      <c r="G3395" s="4561" t="n"/>
      <c r="H3395" s="4561" t="n"/>
      <c r="I3395" s="4562">
        <f>XLOOKUP(B3395,'_Sys|Line_Map'!$A:$A,'_Sys|Line_Map'!$C:$C,"MISSING",0)</f>
        <v/>
      </c>
      <c r="J3395" s="4562">
        <f>XLOOKUP(B3395,'_Sys|Line_Map'!$A:$A,'_Sys|Line_Map'!$D:$D,1,0)</f>
        <v/>
      </c>
      <c r="K3395" s="4562">
        <f>IF(D3395="","",D3395*J3395)</f>
        <v/>
      </c>
      <c r="L3395" s="4562">
        <f>XLOOKUP(B3395,'_Sys|Line_Map'!$A:$A,'_Sys|Line_Map'!$B:$B,"MISSING",0)</f>
        <v/>
      </c>
    </row>
    <row r="3396">
      <c r="A3396" s="4561" t="n"/>
      <c r="B3396" s="4561" t="n"/>
      <c r="C3396" s="4561" t="n"/>
      <c r="D3396" s="4561" t="n"/>
      <c r="E3396" s="4561" t="n"/>
      <c r="F3396" s="4561" t="n"/>
      <c r="G3396" s="4561" t="n"/>
      <c r="H3396" s="4561" t="n"/>
      <c r="I3396" s="4562">
        <f>XLOOKUP(B3396,'_Sys|Line_Map'!$A:$A,'_Sys|Line_Map'!$C:$C,"MISSING",0)</f>
        <v/>
      </c>
      <c r="J3396" s="4562">
        <f>XLOOKUP(B3396,'_Sys|Line_Map'!$A:$A,'_Sys|Line_Map'!$D:$D,1,0)</f>
        <v/>
      </c>
      <c r="K3396" s="4562">
        <f>IF(D3396="","",D3396*J3396)</f>
        <v/>
      </c>
      <c r="L3396" s="4562">
        <f>XLOOKUP(B3396,'_Sys|Line_Map'!$A:$A,'_Sys|Line_Map'!$B:$B,"MISSING",0)</f>
        <v/>
      </c>
    </row>
    <row r="3397">
      <c r="A3397" s="4561" t="n"/>
      <c r="B3397" s="4561" t="n"/>
      <c r="C3397" s="4561" t="n"/>
      <c r="D3397" s="4561" t="n"/>
      <c r="E3397" s="4561" t="n"/>
      <c r="F3397" s="4561" t="n"/>
      <c r="G3397" s="4561" t="n"/>
      <c r="H3397" s="4561" t="n"/>
      <c r="I3397" s="4562">
        <f>XLOOKUP(B3397,'_Sys|Line_Map'!$A:$A,'_Sys|Line_Map'!$C:$C,"MISSING",0)</f>
        <v/>
      </c>
      <c r="J3397" s="4562">
        <f>XLOOKUP(B3397,'_Sys|Line_Map'!$A:$A,'_Sys|Line_Map'!$D:$D,1,0)</f>
        <v/>
      </c>
      <c r="K3397" s="4562">
        <f>IF(D3397="","",D3397*J3397)</f>
        <v/>
      </c>
      <c r="L3397" s="4562">
        <f>XLOOKUP(B3397,'_Sys|Line_Map'!$A:$A,'_Sys|Line_Map'!$B:$B,"MISSING",0)</f>
        <v/>
      </c>
    </row>
    <row r="3398">
      <c r="A3398" s="4561" t="n"/>
      <c r="B3398" s="4561" t="n"/>
      <c r="C3398" s="4561" t="n"/>
      <c r="D3398" s="4561" t="n"/>
      <c r="E3398" s="4561" t="n"/>
      <c r="F3398" s="4561" t="n"/>
      <c r="G3398" s="4561" t="n"/>
      <c r="H3398" s="4561" t="n"/>
      <c r="I3398" s="4562">
        <f>XLOOKUP(B3398,'_Sys|Line_Map'!$A:$A,'_Sys|Line_Map'!$C:$C,"MISSING",0)</f>
        <v/>
      </c>
      <c r="J3398" s="4562">
        <f>XLOOKUP(B3398,'_Sys|Line_Map'!$A:$A,'_Sys|Line_Map'!$D:$D,1,0)</f>
        <v/>
      </c>
      <c r="K3398" s="4562">
        <f>IF(D3398="","",D3398*J3398)</f>
        <v/>
      </c>
      <c r="L3398" s="4562">
        <f>XLOOKUP(B3398,'_Sys|Line_Map'!$A:$A,'_Sys|Line_Map'!$B:$B,"MISSING",0)</f>
        <v/>
      </c>
    </row>
    <row r="3399">
      <c r="A3399" s="4561" t="n"/>
      <c r="B3399" s="4561" t="n"/>
      <c r="C3399" s="4561" t="n"/>
      <c r="D3399" s="4561" t="n"/>
      <c r="E3399" s="4561" t="n"/>
      <c r="F3399" s="4561" t="n"/>
      <c r="G3399" s="4561" t="n"/>
      <c r="H3399" s="4561" t="n"/>
      <c r="I3399" s="4562">
        <f>XLOOKUP(B3399,'_Sys|Line_Map'!$A:$A,'_Sys|Line_Map'!$C:$C,"MISSING",0)</f>
        <v/>
      </c>
      <c r="J3399" s="4562">
        <f>XLOOKUP(B3399,'_Sys|Line_Map'!$A:$A,'_Sys|Line_Map'!$D:$D,1,0)</f>
        <v/>
      </c>
      <c r="K3399" s="4562">
        <f>IF(D3399="","",D3399*J3399)</f>
        <v/>
      </c>
      <c r="L3399" s="4562">
        <f>XLOOKUP(B3399,'_Sys|Line_Map'!$A:$A,'_Sys|Line_Map'!$B:$B,"MISSING",0)</f>
        <v/>
      </c>
    </row>
    <row r="3400">
      <c r="A3400" s="4561" t="n"/>
      <c r="B3400" s="4561" t="n"/>
      <c r="C3400" s="4561" t="n"/>
      <c r="D3400" s="4561" t="n"/>
      <c r="E3400" s="4561" t="n"/>
      <c r="F3400" s="4561" t="n"/>
      <c r="G3400" s="4561" t="n"/>
      <c r="H3400" s="4561" t="n"/>
      <c r="I3400" s="4562">
        <f>XLOOKUP(B3400,'_Sys|Line_Map'!$A:$A,'_Sys|Line_Map'!$C:$C,"MISSING",0)</f>
        <v/>
      </c>
      <c r="J3400" s="4562">
        <f>XLOOKUP(B3400,'_Sys|Line_Map'!$A:$A,'_Sys|Line_Map'!$D:$D,1,0)</f>
        <v/>
      </c>
      <c r="K3400" s="4562">
        <f>IF(D3400="","",D3400*J3400)</f>
        <v/>
      </c>
      <c r="L3400" s="4562">
        <f>XLOOKUP(B3400,'_Sys|Line_Map'!$A:$A,'_Sys|Line_Map'!$B:$B,"MISSING",0)</f>
        <v/>
      </c>
    </row>
    <row r="3401">
      <c r="A3401" s="4561" t="n"/>
      <c r="B3401" s="4561" t="n"/>
      <c r="C3401" s="4561" t="n"/>
      <c r="D3401" s="4561" t="n"/>
      <c r="E3401" s="4561" t="n"/>
      <c r="F3401" s="4561" t="n"/>
      <c r="G3401" s="4561" t="n"/>
      <c r="H3401" s="4561" t="n"/>
      <c r="I3401" s="4562">
        <f>XLOOKUP(B3401,'_Sys|Line_Map'!$A:$A,'_Sys|Line_Map'!$C:$C,"MISSING",0)</f>
        <v/>
      </c>
      <c r="J3401" s="4562">
        <f>XLOOKUP(B3401,'_Sys|Line_Map'!$A:$A,'_Sys|Line_Map'!$D:$D,1,0)</f>
        <v/>
      </c>
      <c r="K3401" s="4562">
        <f>IF(D3401="","",D3401*J3401)</f>
        <v/>
      </c>
      <c r="L3401" s="4562">
        <f>XLOOKUP(B3401,'_Sys|Line_Map'!$A:$A,'_Sys|Line_Map'!$B:$B,"MISSING",0)</f>
        <v/>
      </c>
    </row>
    <row r="3402">
      <c r="A3402" s="4561" t="n"/>
      <c r="B3402" s="4561" t="n"/>
      <c r="C3402" s="4561" t="n"/>
      <c r="D3402" s="4561" t="n"/>
      <c r="E3402" s="4561" t="n"/>
      <c r="F3402" s="4561" t="n"/>
      <c r="G3402" s="4561" t="n"/>
      <c r="H3402" s="4561" t="n"/>
      <c r="I3402" s="4562">
        <f>XLOOKUP(B3402,'_Sys|Line_Map'!$A:$A,'_Sys|Line_Map'!$C:$C,"MISSING",0)</f>
        <v/>
      </c>
      <c r="J3402" s="4562">
        <f>XLOOKUP(B3402,'_Sys|Line_Map'!$A:$A,'_Sys|Line_Map'!$D:$D,1,0)</f>
        <v/>
      </c>
      <c r="K3402" s="4562">
        <f>IF(D3402="","",D3402*J3402)</f>
        <v/>
      </c>
      <c r="L3402" s="4562">
        <f>XLOOKUP(B3402,'_Sys|Line_Map'!$A:$A,'_Sys|Line_Map'!$B:$B,"MISSING",0)</f>
        <v/>
      </c>
    </row>
    <row r="3403">
      <c r="A3403" s="4561" t="n"/>
      <c r="B3403" s="4561" t="n"/>
      <c r="C3403" s="4561" t="n"/>
      <c r="D3403" s="4561" t="n"/>
      <c r="E3403" s="4561" t="n"/>
      <c r="F3403" s="4561" t="n"/>
      <c r="G3403" s="4561" t="n"/>
      <c r="H3403" s="4561" t="n"/>
      <c r="I3403" s="4562">
        <f>XLOOKUP(B3403,'_Sys|Line_Map'!$A:$A,'_Sys|Line_Map'!$C:$C,"MISSING",0)</f>
        <v/>
      </c>
      <c r="J3403" s="4562">
        <f>XLOOKUP(B3403,'_Sys|Line_Map'!$A:$A,'_Sys|Line_Map'!$D:$D,1,0)</f>
        <v/>
      </c>
      <c r="K3403" s="4562">
        <f>IF(D3403="","",D3403*J3403)</f>
        <v/>
      </c>
      <c r="L3403" s="4562">
        <f>XLOOKUP(B3403,'_Sys|Line_Map'!$A:$A,'_Sys|Line_Map'!$B:$B,"MISSING",0)</f>
        <v/>
      </c>
    </row>
    <row r="3404">
      <c r="A3404" s="4561" t="n"/>
      <c r="B3404" s="4561" t="n"/>
      <c r="C3404" s="4561" t="n"/>
      <c r="D3404" s="4561" t="n"/>
      <c r="E3404" s="4561" t="n"/>
      <c r="F3404" s="4561" t="n"/>
      <c r="G3404" s="4561" t="n"/>
      <c r="H3404" s="4561" t="n"/>
      <c r="I3404" s="4562">
        <f>XLOOKUP(B3404,'_Sys|Line_Map'!$A:$A,'_Sys|Line_Map'!$C:$C,"MISSING",0)</f>
        <v/>
      </c>
      <c r="J3404" s="4562">
        <f>XLOOKUP(B3404,'_Sys|Line_Map'!$A:$A,'_Sys|Line_Map'!$D:$D,1,0)</f>
        <v/>
      </c>
      <c r="K3404" s="4562">
        <f>IF(D3404="","",D3404*J3404)</f>
        <v/>
      </c>
      <c r="L3404" s="4562">
        <f>XLOOKUP(B3404,'_Sys|Line_Map'!$A:$A,'_Sys|Line_Map'!$B:$B,"MISSING",0)</f>
        <v/>
      </c>
    </row>
    <row r="3405">
      <c r="A3405" s="4561" t="n"/>
      <c r="B3405" s="4561" t="n"/>
      <c r="C3405" s="4561" t="n"/>
      <c r="D3405" s="4561" t="n"/>
      <c r="E3405" s="4561" t="n"/>
      <c r="F3405" s="4561" t="n"/>
      <c r="G3405" s="4561" t="n"/>
      <c r="H3405" s="4561" t="n"/>
      <c r="I3405" s="4562">
        <f>XLOOKUP(B3405,'_Sys|Line_Map'!$A:$A,'_Sys|Line_Map'!$C:$C,"MISSING",0)</f>
        <v/>
      </c>
      <c r="J3405" s="4562">
        <f>XLOOKUP(B3405,'_Sys|Line_Map'!$A:$A,'_Sys|Line_Map'!$D:$D,1,0)</f>
        <v/>
      </c>
      <c r="K3405" s="4562">
        <f>IF(D3405="","",D3405*J3405)</f>
        <v/>
      </c>
      <c r="L3405" s="4562">
        <f>XLOOKUP(B3405,'_Sys|Line_Map'!$A:$A,'_Sys|Line_Map'!$B:$B,"MISSING",0)</f>
        <v/>
      </c>
    </row>
    <row r="3406">
      <c r="A3406" s="4561" t="n"/>
      <c r="B3406" s="4561" t="n"/>
      <c r="C3406" s="4561" t="n"/>
      <c r="D3406" s="4561" t="n"/>
      <c r="E3406" s="4561" t="n"/>
      <c r="F3406" s="4561" t="n"/>
      <c r="G3406" s="4561" t="n"/>
      <c r="H3406" s="4561" t="n"/>
      <c r="I3406" s="4562">
        <f>XLOOKUP(B3406,'_Sys|Line_Map'!$A:$A,'_Sys|Line_Map'!$C:$C,"MISSING",0)</f>
        <v/>
      </c>
      <c r="J3406" s="4562">
        <f>XLOOKUP(B3406,'_Sys|Line_Map'!$A:$A,'_Sys|Line_Map'!$D:$D,1,0)</f>
        <v/>
      </c>
      <c r="K3406" s="4562">
        <f>IF(D3406="","",D3406*J3406)</f>
        <v/>
      </c>
      <c r="L3406" s="4562">
        <f>XLOOKUP(B3406,'_Sys|Line_Map'!$A:$A,'_Sys|Line_Map'!$B:$B,"MISSING",0)</f>
        <v/>
      </c>
    </row>
    <row r="3407">
      <c r="A3407" s="4561" t="n"/>
      <c r="B3407" s="4561" t="n"/>
      <c r="C3407" s="4561" t="n"/>
      <c r="D3407" s="4561" t="n"/>
      <c r="E3407" s="4561" t="n"/>
      <c r="F3407" s="4561" t="n"/>
      <c r="G3407" s="4561" t="n"/>
      <c r="H3407" s="4561" t="n"/>
      <c r="I3407" s="4562">
        <f>XLOOKUP(B3407,'_Sys|Line_Map'!$A:$A,'_Sys|Line_Map'!$C:$C,"MISSING",0)</f>
        <v/>
      </c>
      <c r="J3407" s="4562">
        <f>XLOOKUP(B3407,'_Sys|Line_Map'!$A:$A,'_Sys|Line_Map'!$D:$D,1,0)</f>
        <v/>
      </c>
      <c r="K3407" s="4562">
        <f>IF(D3407="","",D3407*J3407)</f>
        <v/>
      </c>
      <c r="L3407" s="4562">
        <f>XLOOKUP(B3407,'_Sys|Line_Map'!$A:$A,'_Sys|Line_Map'!$B:$B,"MISSING",0)</f>
        <v/>
      </c>
    </row>
    <row r="3408">
      <c r="A3408" s="4561" t="n"/>
      <c r="B3408" s="4561" t="n"/>
      <c r="C3408" s="4561" t="n"/>
      <c r="D3408" s="4561" t="n"/>
      <c r="E3408" s="4561" t="n"/>
      <c r="F3408" s="4561" t="n"/>
      <c r="G3408" s="4561" t="n"/>
      <c r="H3408" s="4561" t="n"/>
      <c r="I3408" s="4562">
        <f>XLOOKUP(B3408,'_Sys|Line_Map'!$A:$A,'_Sys|Line_Map'!$C:$C,"MISSING",0)</f>
        <v/>
      </c>
      <c r="J3408" s="4562">
        <f>XLOOKUP(B3408,'_Sys|Line_Map'!$A:$A,'_Sys|Line_Map'!$D:$D,1,0)</f>
        <v/>
      </c>
      <c r="K3408" s="4562">
        <f>IF(D3408="","",D3408*J3408)</f>
        <v/>
      </c>
      <c r="L3408" s="4562">
        <f>XLOOKUP(B3408,'_Sys|Line_Map'!$A:$A,'_Sys|Line_Map'!$B:$B,"MISSING",0)</f>
        <v/>
      </c>
    </row>
    <row r="3409">
      <c r="A3409" s="4561" t="n"/>
      <c r="B3409" s="4561" t="n"/>
      <c r="C3409" s="4561" t="n"/>
      <c r="D3409" s="4561" t="n"/>
      <c r="E3409" s="4561" t="n"/>
      <c r="F3409" s="4561" t="n"/>
      <c r="G3409" s="4561" t="n"/>
      <c r="H3409" s="4561" t="n"/>
      <c r="I3409" s="4562">
        <f>XLOOKUP(B3409,'_Sys|Line_Map'!$A:$A,'_Sys|Line_Map'!$C:$C,"MISSING",0)</f>
        <v/>
      </c>
      <c r="J3409" s="4562">
        <f>XLOOKUP(B3409,'_Sys|Line_Map'!$A:$A,'_Sys|Line_Map'!$D:$D,1,0)</f>
        <v/>
      </c>
      <c r="K3409" s="4562">
        <f>IF(D3409="","",D3409*J3409)</f>
        <v/>
      </c>
      <c r="L3409" s="4562">
        <f>XLOOKUP(B3409,'_Sys|Line_Map'!$A:$A,'_Sys|Line_Map'!$B:$B,"MISSING",0)</f>
        <v/>
      </c>
    </row>
    <row r="3410">
      <c r="A3410" s="4561" t="n"/>
      <c r="B3410" s="4561" t="n"/>
      <c r="C3410" s="4561" t="n"/>
      <c r="D3410" s="4561" t="n"/>
      <c r="E3410" s="4561" t="n"/>
      <c r="F3410" s="4561" t="n"/>
      <c r="G3410" s="4561" t="n"/>
      <c r="H3410" s="4561" t="n"/>
      <c r="I3410" s="4562">
        <f>XLOOKUP(B3410,'_Sys|Line_Map'!$A:$A,'_Sys|Line_Map'!$C:$C,"MISSING",0)</f>
        <v/>
      </c>
      <c r="J3410" s="4562">
        <f>XLOOKUP(B3410,'_Sys|Line_Map'!$A:$A,'_Sys|Line_Map'!$D:$D,1,0)</f>
        <v/>
      </c>
      <c r="K3410" s="4562">
        <f>IF(D3410="","",D3410*J3410)</f>
        <v/>
      </c>
      <c r="L3410" s="4562">
        <f>XLOOKUP(B3410,'_Sys|Line_Map'!$A:$A,'_Sys|Line_Map'!$B:$B,"MISSING",0)</f>
        <v/>
      </c>
    </row>
    <row r="3411">
      <c r="A3411" s="4561" t="n"/>
      <c r="B3411" s="4561" t="n"/>
      <c r="C3411" s="4561" t="n"/>
      <c r="D3411" s="4561" t="n"/>
      <c r="E3411" s="4561" t="n"/>
      <c r="F3411" s="4561" t="n"/>
      <c r="G3411" s="4561" t="n"/>
      <c r="H3411" s="4561" t="n"/>
      <c r="I3411" s="4562">
        <f>XLOOKUP(B3411,'_Sys|Line_Map'!$A:$A,'_Sys|Line_Map'!$C:$C,"MISSING",0)</f>
        <v/>
      </c>
      <c r="J3411" s="4562">
        <f>XLOOKUP(B3411,'_Sys|Line_Map'!$A:$A,'_Sys|Line_Map'!$D:$D,1,0)</f>
        <v/>
      </c>
      <c r="K3411" s="4562">
        <f>IF(D3411="","",D3411*J3411)</f>
        <v/>
      </c>
      <c r="L3411" s="4562">
        <f>XLOOKUP(B3411,'_Sys|Line_Map'!$A:$A,'_Sys|Line_Map'!$B:$B,"MISSING",0)</f>
        <v/>
      </c>
    </row>
    <row r="3412">
      <c r="A3412" s="4561" t="n"/>
      <c r="B3412" s="4561" t="n"/>
      <c r="C3412" s="4561" t="n"/>
      <c r="D3412" s="4561" t="n"/>
      <c r="E3412" s="4561" t="n"/>
      <c r="F3412" s="4561" t="n"/>
      <c r="G3412" s="4561" t="n"/>
      <c r="H3412" s="4561" t="n"/>
      <c r="I3412" s="4562">
        <f>XLOOKUP(B3412,'_Sys|Line_Map'!$A:$A,'_Sys|Line_Map'!$C:$C,"MISSING",0)</f>
        <v/>
      </c>
      <c r="J3412" s="4562">
        <f>XLOOKUP(B3412,'_Sys|Line_Map'!$A:$A,'_Sys|Line_Map'!$D:$D,1,0)</f>
        <v/>
      </c>
      <c r="K3412" s="4562">
        <f>IF(D3412="","",D3412*J3412)</f>
        <v/>
      </c>
      <c r="L3412" s="4562">
        <f>XLOOKUP(B3412,'_Sys|Line_Map'!$A:$A,'_Sys|Line_Map'!$B:$B,"MISSING",0)</f>
        <v/>
      </c>
    </row>
    <row r="3413">
      <c r="A3413" s="4561" t="n"/>
      <c r="B3413" s="4561" t="n"/>
      <c r="C3413" s="4561" t="n"/>
      <c r="D3413" s="4561" t="n"/>
      <c r="E3413" s="4561" t="n"/>
      <c r="F3413" s="4561" t="n"/>
      <c r="G3413" s="4561" t="n"/>
      <c r="H3413" s="4561" t="n"/>
      <c r="I3413" s="4562">
        <f>XLOOKUP(B3413,'_Sys|Line_Map'!$A:$A,'_Sys|Line_Map'!$C:$C,"MISSING",0)</f>
        <v/>
      </c>
      <c r="J3413" s="4562">
        <f>XLOOKUP(B3413,'_Sys|Line_Map'!$A:$A,'_Sys|Line_Map'!$D:$D,1,0)</f>
        <v/>
      </c>
      <c r="K3413" s="4562">
        <f>IF(D3413="","",D3413*J3413)</f>
        <v/>
      </c>
      <c r="L3413" s="4562">
        <f>XLOOKUP(B3413,'_Sys|Line_Map'!$A:$A,'_Sys|Line_Map'!$B:$B,"MISSING",0)</f>
        <v/>
      </c>
    </row>
    <row r="3414">
      <c r="A3414" s="4561" t="n"/>
      <c r="B3414" s="4561" t="n"/>
      <c r="C3414" s="4561" t="n"/>
      <c r="D3414" s="4561" t="n"/>
      <c r="E3414" s="4561" t="n"/>
      <c r="F3414" s="4561" t="n"/>
      <c r="G3414" s="4561" t="n"/>
      <c r="H3414" s="4561" t="n"/>
      <c r="I3414" s="4562">
        <f>XLOOKUP(B3414,'_Sys|Line_Map'!$A:$A,'_Sys|Line_Map'!$C:$C,"MISSING",0)</f>
        <v/>
      </c>
      <c r="J3414" s="4562">
        <f>XLOOKUP(B3414,'_Sys|Line_Map'!$A:$A,'_Sys|Line_Map'!$D:$D,1,0)</f>
        <v/>
      </c>
      <c r="K3414" s="4562">
        <f>IF(D3414="","",D3414*J3414)</f>
        <v/>
      </c>
      <c r="L3414" s="4562">
        <f>XLOOKUP(B3414,'_Sys|Line_Map'!$A:$A,'_Sys|Line_Map'!$B:$B,"MISSING",0)</f>
        <v/>
      </c>
    </row>
    <row r="3415">
      <c r="A3415" s="4561" t="n"/>
      <c r="B3415" s="4561" t="n"/>
      <c r="C3415" s="4561" t="n"/>
      <c r="D3415" s="4561" t="n"/>
      <c r="E3415" s="4561" t="n"/>
      <c r="F3415" s="4561" t="n"/>
      <c r="G3415" s="4561" t="n"/>
      <c r="H3415" s="4561" t="n"/>
      <c r="I3415" s="4562">
        <f>XLOOKUP(B3415,'_Sys|Line_Map'!$A:$A,'_Sys|Line_Map'!$C:$C,"MISSING",0)</f>
        <v/>
      </c>
      <c r="J3415" s="4562">
        <f>XLOOKUP(B3415,'_Sys|Line_Map'!$A:$A,'_Sys|Line_Map'!$D:$D,1,0)</f>
        <v/>
      </c>
      <c r="K3415" s="4562">
        <f>IF(D3415="","",D3415*J3415)</f>
        <v/>
      </c>
      <c r="L3415" s="4562">
        <f>XLOOKUP(B3415,'_Sys|Line_Map'!$A:$A,'_Sys|Line_Map'!$B:$B,"MISSING",0)</f>
        <v/>
      </c>
    </row>
    <row r="3416">
      <c r="A3416" s="4561" t="n"/>
      <c r="B3416" s="4561" t="n"/>
      <c r="C3416" s="4561" t="n"/>
      <c r="D3416" s="4561" t="n"/>
      <c r="E3416" s="4561" t="n"/>
      <c r="F3416" s="4561" t="n"/>
      <c r="G3416" s="4561" t="n"/>
      <c r="H3416" s="4561" t="n"/>
      <c r="I3416" s="4562">
        <f>XLOOKUP(B3416,'_Sys|Line_Map'!$A:$A,'_Sys|Line_Map'!$C:$C,"MISSING",0)</f>
        <v/>
      </c>
      <c r="J3416" s="4562">
        <f>XLOOKUP(B3416,'_Sys|Line_Map'!$A:$A,'_Sys|Line_Map'!$D:$D,1,0)</f>
        <v/>
      </c>
      <c r="K3416" s="4562">
        <f>IF(D3416="","",D3416*J3416)</f>
        <v/>
      </c>
      <c r="L3416" s="4562">
        <f>XLOOKUP(B3416,'_Sys|Line_Map'!$A:$A,'_Sys|Line_Map'!$B:$B,"MISSING",0)</f>
        <v/>
      </c>
    </row>
    <row r="3417">
      <c r="A3417" s="4561" t="n"/>
      <c r="B3417" s="4561" t="n"/>
      <c r="C3417" s="4561" t="n"/>
      <c r="D3417" s="4561" t="n"/>
      <c r="E3417" s="4561" t="n"/>
      <c r="F3417" s="4561" t="n"/>
      <c r="G3417" s="4561" t="n"/>
      <c r="H3417" s="4561" t="n"/>
      <c r="I3417" s="4562">
        <f>XLOOKUP(B3417,'_Sys|Line_Map'!$A:$A,'_Sys|Line_Map'!$C:$C,"MISSING",0)</f>
        <v/>
      </c>
      <c r="J3417" s="4562">
        <f>XLOOKUP(B3417,'_Sys|Line_Map'!$A:$A,'_Sys|Line_Map'!$D:$D,1,0)</f>
        <v/>
      </c>
      <c r="K3417" s="4562">
        <f>IF(D3417="","",D3417*J3417)</f>
        <v/>
      </c>
      <c r="L3417" s="4562">
        <f>XLOOKUP(B3417,'_Sys|Line_Map'!$A:$A,'_Sys|Line_Map'!$B:$B,"MISSING",0)</f>
        <v/>
      </c>
    </row>
    <row r="3418">
      <c r="A3418" s="4561" t="n"/>
      <c r="B3418" s="4561" t="n"/>
      <c r="C3418" s="4561" t="n"/>
      <c r="D3418" s="4561" t="n"/>
      <c r="E3418" s="4561" t="n"/>
      <c r="F3418" s="4561" t="n"/>
      <c r="G3418" s="4561" t="n"/>
      <c r="H3418" s="4561" t="n"/>
      <c r="I3418" s="4562">
        <f>XLOOKUP(B3418,'_Sys|Line_Map'!$A:$A,'_Sys|Line_Map'!$C:$C,"MISSING",0)</f>
        <v/>
      </c>
      <c r="J3418" s="4562">
        <f>XLOOKUP(B3418,'_Sys|Line_Map'!$A:$A,'_Sys|Line_Map'!$D:$D,1,0)</f>
        <v/>
      </c>
      <c r="K3418" s="4562">
        <f>IF(D3418="","",D3418*J3418)</f>
        <v/>
      </c>
      <c r="L3418" s="4562">
        <f>XLOOKUP(B3418,'_Sys|Line_Map'!$A:$A,'_Sys|Line_Map'!$B:$B,"MISSING",0)</f>
        <v/>
      </c>
    </row>
    <row r="3419">
      <c r="A3419" s="4561" t="n"/>
      <c r="B3419" s="4561" t="n"/>
      <c r="C3419" s="4561" t="n"/>
      <c r="D3419" s="4561" t="n"/>
      <c r="E3419" s="4561" t="n"/>
      <c r="F3419" s="4561" t="n"/>
      <c r="G3419" s="4561" t="n"/>
      <c r="H3419" s="4561" t="n"/>
      <c r="I3419" s="4562">
        <f>XLOOKUP(B3419,'_Sys|Line_Map'!$A:$A,'_Sys|Line_Map'!$C:$C,"MISSING",0)</f>
        <v/>
      </c>
      <c r="J3419" s="4562">
        <f>XLOOKUP(B3419,'_Sys|Line_Map'!$A:$A,'_Sys|Line_Map'!$D:$D,1,0)</f>
        <v/>
      </c>
      <c r="K3419" s="4562">
        <f>IF(D3419="","",D3419*J3419)</f>
        <v/>
      </c>
      <c r="L3419" s="4562">
        <f>XLOOKUP(B3419,'_Sys|Line_Map'!$A:$A,'_Sys|Line_Map'!$B:$B,"MISSING",0)</f>
        <v/>
      </c>
    </row>
    <row r="3420">
      <c r="A3420" s="4561" t="n"/>
      <c r="B3420" s="4561" t="n"/>
      <c r="C3420" s="4561" t="n"/>
      <c r="D3420" s="4561" t="n"/>
      <c r="E3420" s="4561" t="n"/>
      <c r="F3420" s="4561" t="n"/>
      <c r="G3420" s="4561" t="n"/>
      <c r="H3420" s="4561" t="n"/>
      <c r="I3420" s="4562">
        <f>XLOOKUP(B3420,'_Sys|Line_Map'!$A:$A,'_Sys|Line_Map'!$C:$C,"MISSING",0)</f>
        <v/>
      </c>
      <c r="J3420" s="4562">
        <f>XLOOKUP(B3420,'_Sys|Line_Map'!$A:$A,'_Sys|Line_Map'!$D:$D,1,0)</f>
        <v/>
      </c>
      <c r="K3420" s="4562">
        <f>IF(D3420="","",D3420*J3420)</f>
        <v/>
      </c>
      <c r="L3420" s="4562">
        <f>XLOOKUP(B3420,'_Sys|Line_Map'!$A:$A,'_Sys|Line_Map'!$B:$B,"MISSING",0)</f>
        <v/>
      </c>
    </row>
    <row r="3421">
      <c r="A3421" s="4561" t="n"/>
      <c r="B3421" s="4561" t="n"/>
      <c r="C3421" s="4561" t="n"/>
      <c r="D3421" s="4561" t="n"/>
      <c r="E3421" s="4561" t="n"/>
      <c r="F3421" s="4561" t="n"/>
      <c r="G3421" s="4561" t="n"/>
      <c r="H3421" s="4561" t="n"/>
      <c r="I3421" s="4562">
        <f>XLOOKUP(B3421,'_Sys|Line_Map'!$A:$A,'_Sys|Line_Map'!$C:$C,"MISSING",0)</f>
        <v/>
      </c>
      <c r="J3421" s="4562">
        <f>XLOOKUP(B3421,'_Sys|Line_Map'!$A:$A,'_Sys|Line_Map'!$D:$D,1,0)</f>
        <v/>
      </c>
      <c r="K3421" s="4562">
        <f>IF(D3421="","",D3421*J3421)</f>
        <v/>
      </c>
      <c r="L3421" s="4562">
        <f>XLOOKUP(B3421,'_Sys|Line_Map'!$A:$A,'_Sys|Line_Map'!$B:$B,"MISSING",0)</f>
        <v/>
      </c>
    </row>
    <row r="3422">
      <c r="A3422" s="4561" t="n"/>
      <c r="B3422" s="4561" t="n"/>
      <c r="C3422" s="4561" t="n"/>
      <c r="D3422" s="4561" t="n"/>
      <c r="E3422" s="4561" t="n"/>
      <c r="F3422" s="4561" t="n"/>
      <c r="G3422" s="4561" t="n"/>
      <c r="H3422" s="4561" t="n"/>
      <c r="I3422" s="4562">
        <f>XLOOKUP(B3422,'_Sys|Line_Map'!$A:$A,'_Sys|Line_Map'!$C:$C,"MISSING",0)</f>
        <v/>
      </c>
      <c r="J3422" s="4562">
        <f>XLOOKUP(B3422,'_Sys|Line_Map'!$A:$A,'_Sys|Line_Map'!$D:$D,1,0)</f>
        <v/>
      </c>
      <c r="K3422" s="4562">
        <f>IF(D3422="","",D3422*J3422)</f>
        <v/>
      </c>
      <c r="L3422" s="4562">
        <f>XLOOKUP(B3422,'_Sys|Line_Map'!$A:$A,'_Sys|Line_Map'!$B:$B,"MISSING",0)</f>
        <v/>
      </c>
    </row>
    <row r="3423">
      <c r="A3423" s="4561" t="n"/>
      <c r="B3423" s="4561" t="n"/>
      <c r="C3423" s="4561" t="n"/>
      <c r="D3423" s="4561" t="n"/>
      <c r="E3423" s="4561" t="n"/>
      <c r="F3423" s="4561" t="n"/>
      <c r="G3423" s="4561" t="n"/>
      <c r="H3423" s="4561" t="n"/>
      <c r="I3423" s="4562">
        <f>XLOOKUP(B3423,'_Sys|Line_Map'!$A:$A,'_Sys|Line_Map'!$C:$C,"MISSING",0)</f>
        <v/>
      </c>
      <c r="J3423" s="4562">
        <f>XLOOKUP(B3423,'_Sys|Line_Map'!$A:$A,'_Sys|Line_Map'!$D:$D,1,0)</f>
        <v/>
      </c>
      <c r="K3423" s="4562">
        <f>IF(D3423="","",D3423*J3423)</f>
        <v/>
      </c>
      <c r="L3423" s="4562">
        <f>XLOOKUP(B3423,'_Sys|Line_Map'!$A:$A,'_Sys|Line_Map'!$B:$B,"MISSING",0)</f>
        <v/>
      </c>
    </row>
    <row r="3424">
      <c r="A3424" s="4561" t="n"/>
      <c r="B3424" s="4561" t="n"/>
      <c r="C3424" s="4561" t="n"/>
      <c r="D3424" s="4561" t="n"/>
      <c r="E3424" s="4561" t="n"/>
      <c r="F3424" s="4561" t="n"/>
      <c r="G3424" s="4561" t="n"/>
      <c r="H3424" s="4561" t="n"/>
      <c r="I3424" s="4562">
        <f>XLOOKUP(B3424,'_Sys|Line_Map'!$A:$A,'_Sys|Line_Map'!$C:$C,"MISSING",0)</f>
        <v/>
      </c>
      <c r="J3424" s="4562">
        <f>XLOOKUP(B3424,'_Sys|Line_Map'!$A:$A,'_Sys|Line_Map'!$D:$D,1,0)</f>
        <v/>
      </c>
      <c r="K3424" s="4562">
        <f>IF(D3424="","",D3424*J3424)</f>
        <v/>
      </c>
      <c r="L3424" s="4562">
        <f>XLOOKUP(B3424,'_Sys|Line_Map'!$A:$A,'_Sys|Line_Map'!$B:$B,"MISSING",0)</f>
        <v/>
      </c>
    </row>
    <row r="3425">
      <c r="A3425" s="4561" t="n"/>
      <c r="B3425" s="4561" t="n"/>
      <c r="C3425" s="4561" t="n"/>
      <c r="D3425" s="4561" t="n"/>
      <c r="E3425" s="4561" t="n"/>
      <c r="F3425" s="4561" t="n"/>
      <c r="G3425" s="4561" t="n"/>
      <c r="H3425" s="4561" t="n"/>
      <c r="I3425" s="4562">
        <f>XLOOKUP(B3425,'_Sys|Line_Map'!$A:$A,'_Sys|Line_Map'!$C:$C,"MISSING",0)</f>
        <v/>
      </c>
      <c r="J3425" s="4562">
        <f>XLOOKUP(B3425,'_Sys|Line_Map'!$A:$A,'_Sys|Line_Map'!$D:$D,1,0)</f>
        <v/>
      </c>
      <c r="K3425" s="4562">
        <f>IF(D3425="","",D3425*J3425)</f>
        <v/>
      </c>
      <c r="L3425" s="4562">
        <f>XLOOKUP(B3425,'_Sys|Line_Map'!$A:$A,'_Sys|Line_Map'!$B:$B,"MISSING",0)</f>
        <v/>
      </c>
    </row>
    <row r="3426">
      <c r="A3426" s="4561" t="n"/>
      <c r="B3426" s="4561" t="n"/>
      <c r="C3426" s="4561" t="n"/>
      <c r="D3426" s="4561" t="n"/>
      <c r="E3426" s="4561" t="n"/>
      <c r="F3426" s="4561" t="n"/>
      <c r="G3426" s="4561" t="n"/>
      <c r="H3426" s="4561" t="n"/>
      <c r="I3426" s="4562">
        <f>XLOOKUP(B3426,'_Sys|Line_Map'!$A:$A,'_Sys|Line_Map'!$C:$C,"MISSING",0)</f>
        <v/>
      </c>
      <c r="J3426" s="4562">
        <f>XLOOKUP(B3426,'_Sys|Line_Map'!$A:$A,'_Sys|Line_Map'!$D:$D,1,0)</f>
        <v/>
      </c>
      <c r="K3426" s="4562">
        <f>IF(D3426="","",D3426*J3426)</f>
        <v/>
      </c>
      <c r="L3426" s="4562">
        <f>XLOOKUP(B3426,'_Sys|Line_Map'!$A:$A,'_Sys|Line_Map'!$B:$B,"MISSING",0)</f>
        <v/>
      </c>
    </row>
    <row r="3427">
      <c r="A3427" s="4561" t="n"/>
      <c r="B3427" s="4561" t="n"/>
      <c r="C3427" s="4561" t="n"/>
      <c r="D3427" s="4561" t="n"/>
      <c r="E3427" s="4561" t="n"/>
      <c r="F3427" s="4561" t="n"/>
      <c r="G3427" s="4561" t="n"/>
      <c r="H3427" s="4561" t="n"/>
      <c r="I3427" s="4562">
        <f>XLOOKUP(B3427,'_Sys|Line_Map'!$A:$A,'_Sys|Line_Map'!$C:$C,"MISSING",0)</f>
        <v/>
      </c>
      <c r="J3427" s="4562">
        <f>XLOOKUP(B3427,'_Sys|Line_Map'!$A:$A,'_Sys|Line_Map'!$D:$D,1,0)</f>
        <v/>
      </c>
      <c r="K3427" s="4562">
        <f>IF(D3427="","",D3427*J3427)</f>
        <v/>
      </c>
      <c r="L3427" s="4562">
        <f>XLOOKUP(B3427,'_Sys|Line_Map'!$A:$A,'_Sys|Line_Map'!$B:$B,"MISSING",0)</f>
        <v/>
      </c>
    </row>
    <row r="3428">
      <c r="A3428" s="4561" t="n"/>
      <c r="B3428" s="4561" t="n"/>
      <c r="C3428" s="4561" t="n"/>
      <c r="D3428" s="4561" t="n"/>
      <c r="E3428" s="4561" t="n"/>
      <c r="F3428" s="4561" t="n"/>
      <c r="G3428" s="4561" t="n"/>
      <c r="H3428" s="4561" t="n"/>
      <c r="I3428" s="4562">
        <f>XLOOKUP(B3428,'_Sys|Line_Map'!$A:$A,'_Sys|Line_Map'!$C:$C,"MISSING",0)</f>
        <v/>
      </c>
      <c r="J3428" s="4562">
        <f>XLOOKUP(B3428,'_Sys|Line_Map'!$A:$A,'_Sys|Line_Map'!$D:$D,1,0)</f>
        <v/>
      </c>
      <c r="K3428" s="4562">
        <f>IF(D3428="","",D3428*J3428)</f>
        <v/>
      </c>
      <c r="L3428" s="4562">
        <f>XLOOKUP(B3428,'_Sys|Line_Map'!$A:$A,'_Sys|Line_Map'!$B:$B,"MISSING",0)</f>
        <v/>
      </c>
    </row>
    <row r="3429">
      <c r="A3429" s="4561" t="n"/>
      <c r="B3429" s="4561" t="n"/>
      <c r="C3429" s="4561" t="n"/>
      <c r="D3429" s="4561" t="n"/>
      <c r="E3429" s="4561" t="n"/>
      <c r="F3429" s="4561" t="n"/>
      <c r="G3429" s="4561" t="n"/>
      <c r="H3429" s="4561" t="n"/>
      <c r="I3429" s="4562">
        <f>XLOOKUP(B3429,'_Sys|Line_Map'!$A:$A,'_Sys|Line_Map'!$C:$C,"MISSING",0)</f>
        <v/>
      </c>
      <c r="J3429" s="4562">
        <f>XLOOKUP(B3429,'_Sys|Line_Map'!$A:$A,'_Sys|Line_Map'!$D:$D,1,0)</f>
        <v/>
      </c>
      <c r="K3429" s="4562">
        <f>IF(D3429="","",D3429*J3429)</f>
        <v/>
      </c>
      <c r="L3429" s="4562">
        <f>XLOOKUP(B3429,'_Sys|Line_Map'!$A:$A,'_Sys|Line_Map'!$B:$B,"MISSING",0)</f>
        <v/>
      </c>
    </row>
    <row r="3430">
      <c r="A3430" s="4561" t="n"/>
      <c r="B3430" s="4561" t="n"/>
      <c r="C3430" s="4561" t="n"/>
      <c r="D3430" s="4561" t="n"/>
      <c r="E3430" s="4561" t="n"/>
      <c r="F3430" s="4561" t="n"/>
      <c r="G3430" s="4561" t="n"/>
      <c r="H3430" s="4561" t="n"/>
      <c r="I3430" s="4562">
        <f>XLOOKUP(B3430,'_Sys|Line_Map'!$A:$A,'_Sys|Line_Map'!$C:$C,"MISSING",0)</f>
        <v/>
      </c>
      <c r="J3430" s="4562">
        <f>XLOOKUP(B3430,'_Sys|Line_Map'!$A:$A,'_Sys|Line_Map'!$D:$D,1,0)</f>
        <v/>
      </c>
      <c r="K3430" s="4562">
        <f>IF(D3430="","",D3430*J3430)</f>
        <v/>
      </c>
      <c r="L3430" s="4562">
        <f>XLOOKUP(B3430,'_Sys|Line_Map'!$A:$A,'_Sys|Line_Map'!$B:$B,"MISSING",0)</f>
        <v/>
      </c>
    </row>
    <row r="3431">
      <c r="A3431" s="4561" t="n"/>
      <c r="B3431" s="4561" t="n"/>
      <c r="C3431" s="4561" t="n"/>
      <c r="D3431" s="4561" t="n"/>
      <c r="E3431" s="4561" t="n"/>
      <c r="F3431" s="4561" t="n"/>
      <c r="G3431" s="4561" t="n"/>
      <c r="H3431" s="4561" t="n"/>
      <c r="I3431" s="4562">
        <f>XLOOKUP(B3431,'_Sys|Line_Map'!$A:$A,'_Sys|Line_Map'!$C:$C,"MISSING",0)</f>
        <v/>
      </c>
      <c r="J3431" s="4562">
        <f>XLOOKUP(B3431,'_Sys|Line_Map'!$A:$A,'_Sys|Line_Map'!$D:$D,1,0)</f>
        <v/>
      </c>
      <c r="K3431" s="4562">
        <f>IF(D3431="","",D3431*J3431)</f>
        <v/>
      </c>
      <c r="L3431" s="4562">
        <f>XLOOKUP(B3431,'_Sys|Line_Map'!$A:$A,'_Sys|Line_Map'!$B:$B,"MISSING",0)</f>
        <v/>
      </c>
    </row>
    <row r="3432">
      <c r="A3432" s="4561" t="n"/>
      <c r="B3432" s="4561" t="n"/>
      <c r="C3432" s="4561" t="n"/>
      <c r="D3432" s="4561" t="n"/>
      <c r="E3432" s="4561" t="n"/>
      <c r="F3432" s="4561" t="n"/>
      <c r="G3432" s="4561" t="n"/>
      <c r="H3432" s="4561" t="n"/>
      <c r="I3432" s="4562">
        <f>XLOOKUP(B3432,'_Sys|Line_Map'!$A:$A,'_Sys|Line_Map'!$C:$C,"MISSING",0)</f>
        <v/>
      </c>
      <c r="J3432" s="4562">
        <f>XLOOKUP(B3432,'_Sys|Line_Map'!$A:$A,'_Sys|Line_Map'!$D:$D,1,0)</f>
        <v/>
      </c>
      <c r="K3432" s="4562">
        <f>IF(D3432="","",D3432*J3432)</f>
        <v/>
      </c>
      <c r="L3432" s="4562">
        <f>XLOOKUP(B3432,'_Sys|Line_Map'!$A:$A,'_Sys|Line_Map'!$B:$B,"MISSING",0)</f>
        <v/>
      </c>
    </row>
    <row r="3433">
      <c r="A3433" s="4561" t="n"/>
      <c r="B3433" s="4561" t="n"/>
      <c r="C3433" s="4561" t="n"/>
      <c r="D3433" s="4561" t="n"/>
      <c r="E3433" s="4561" t="n"/>
      <c r="F3433" s="4561" t="n"/>
      <c r="G3433" s="4561" t="n"/>
      <c r="H3433" s="4561" t="n"/>
      <c r="I3433" s="4562">
        <f>XLOOKUP(B3433,'_Sys|Line_Map'!$A:$A,'_Sys|Line_Map'!$C:$C,"MISSING",0)</f>
        <v/>
      </c>
      <c r="J3433" s="4562">
        <f>XLOOKUP(B3433,'_Sys|Line_Map'!$A:$A,'_Sys|Line_Map'!$D:$D,1,0)</f>
        <v/>
      </c>
      <c r="K3433" s="4562">
        <f>IF(D3433="","",D3433*J3433)</f>
        <v/>
      </c>
      <c r="L3433" s="4562">
        <f>XLOOKUP(B3433,'_Sys|Line_Map'!$A:$A,'_Sys|Line_Map'!$B:$B,"MISSING",0)</f>
        <v/>
      </c>
    </row>
    <row r="3434">
      <c r="A3434" s="4561" t="n"/>
      <c r="B3434" s="4561" t="n"/>
      <c r="C3434" s="4561" t="n"/>
      <c r="D3434" s="4561" t="n"/>
      <c r="E3434" s="4561" t="n"/>
      <c r="F3434" s="4561" t="n"/>
      <c r="G3434" s="4561" t="n"/>
      <c r="H3434" s="4561" t="n"/>
      <c r="I3434" s="4562">
        <f>XLOOKUP(B3434,'_Sys|Line_Map'!$A:$A,'_Sys|Line_Map'!$C:$C,"MISSING",0)</f>
        <v/>
      </c>
      <c r="J3434" s="4562">
        <f>XLOOKUP(B3434,'_Sys|Line_Map'!$A:$A,'_Sys|Line_Map'!$D:$D,1,0)</f>
        <v/>
      </c>
      <c r="K3434" s="4562">
        <f>IF(D3434="","",D3434*J3434)</f>
        <v/>
      </c>
      <c r="L3434" s="4562">
        <f>XLOOKUP(B3434,'_Sys|Line_Map'!$A:$A,'_Sys|Line_Map'!$B:$B,"MISSING",0)</f>
        <v/>
      </c>
    </row>
    <row r="3435">
      <c r="A3435" s="4561" t="n"/>
      <c r="B3435" s="4561" t="n"/>
      <c r="C3435" s="4561" t="n"/>
      <c r="D3435" s="4561" t="n"/>
      <c r="E3435" s="4561" t="n"/>
      <c r="F3435" s="4561" t="n"/>
      <c r="G3435" s="4561" t="n"/>
      <c r="H3435" s="4561" t="n"/>
      <c r="I3435" s="4562">
        <f>XLOOKUP(B3435,'_Sys|Line_Map'!$A:$A,'_Sys|Line_Map'!$C:$C,"MISSING",0)</f>
        <v/>
      </c>
      <c r="J3435" s="4562">
        <f>XLOOKUP(B3435,'_Sys|Line_Map'!$A:$A,'_Sys|Line_Map'!$D:$D,1,0)</f>
        <v/>
      </c>
      <c r="K3435" s="4562">
        <f>IF(D3435="","",D3435*J3435)</f>
        <v/>
      </c>
      <c r="L3435" s="4562">
        <f>XLOOKUP(B3435,'_Sys|Line_Map'!$A:$A,'_Sys|Line_Map'!$B:$B,"MISSING",0)</f>
        <v/>
      </c>
    </row>
    <row r="3436">
      <c r="A3436" s="4561" t="n"/>
      <c r="B3436" s="4561" t="n"/>
      <c r="C3436" s="4561" t="n"/>
      <c r="D3436" s="4561" t="n"/>
      <c r="E3436" s="4561" t="n"/>
      <c r="F3436" s="4561" t="n"/>
      <c r="G3436" s="4561" t="n"/>
      <c r="H3436" s="4561" t="n"/>
      <c r="I3436" s="4562">
        <f>XLOOKUP(B3436,'_Sys|Line_Map'!$A:$A,'_Sys|Line_Map'!$C:$C,"MISSING",0)</f>
        <v/>
      </c>
      <c r="J3436" s="4562">
        <f>XLOOKUP(B3436,'_Sys|Line_Map'!$A:$A,'_Sys|Line_Map'!$D:$D,1,0)</f>
        <v/>
      </c>
      <c r="K3436" s="4562">
        <f>IF(D3436="","",D3436*J3436)</f>
        <v/>
      </c>
      <c r="L3436" s="4562">
        <f>XLOOKUP(B3436,'_Sys|Line_Map'!$A:$A,'_Sys|Line_Map'!$B:$B,"MISSING",0)</f>
        <v/>
      </c>
    </row>
    <row r="3437">
      <c r="A3437" s="4561" t="n"/>
      <c r="B3437" s="4561" t="n"/>
      <c r="C3437" s="4561" t="n"/>
      <c r="D3437" s="4561" t="n"/>
      <c r="E3437" s="4561" t="n"/>
      <c r="F3437" s="4561" t="n"/>
      <c r="G3437" s="4561" t="n"/>
      <c r="H3437" s="4561" t="n"/>
      <c r="I3437" s="4562">
        <f>XLOOKUP(B3437,'_Sys|Line_Map'!$A:$A,'_Sys|Line_Map'!$C:$C,"MISSING",0)</f>
        <v/>
      </c>
      <c r="J3437" s="4562">
        <f>XLOOKUP(B3437,'_Sys|Line_Map'!$A:$A,'_Sys|Line_Map'!$D:$D,1,0)</f>
        <v/>
      </c>
      <c r="K3437" s="4562">
        <f>IF(D3437="","",D3437*J3437)</f>
        <v/>
      </c>
      <c r="L3437" s="4562">
        <f>XLOOKUP(B3437,'_Sys|Line_Map'!$A:$A,'_Sys|Line_Map'!$B:$B,"MISSING",0)</f>
        <v/>
      </c>
    </row>
    <row r="3438">
      <c r="A3438" s="4561" t="n"/>
      <c r="B3438" s="4561" t="n"/>
      <c r="C3438" s="4561" t="n"/>
      <c r="D3438" s="4561" t="n"/>
      <c r="E3438" s="4561" t="n"/>
      <c r="F3438" s="4561" t="n"/>
      <c r="G3438" s="4561" t="n"/>
      <c r="H3438" s="4561" t="n"/>
      <c r="I3438" s="4562">
        <f>XLOOKUP(B3438,'_Sys|Line_Map'!$A:$A,'_Sys|Line_Map'!$C:$C,"MISSING",0)</f>
        <v/>
      </c>
      <c r="J3438" s="4562">
        <f>XLOOKUP(B3438,'_Sys|Line_Map'!$A:$A,'_Sys|Line_Map'!$D:$D,1,0)</f>
        <v/>
      </c>
      <c r="K3438" s="4562">
        <f>IF(D3438="","",D3438*J3438)</f>
        <v/>
      </c>
      <c r="L3438" s="4562">
        <f>XLOOKUP(B3438,'_Sys|Line_Map'!$A:$A,'_Sys|Line_Map'!$B:$B,"MISSING",0)</f>
        <v/>
      </c>
    </row>
    <row r="3439">
      <c r="A3439" s="4561" t="n"/>
      <c r="B3439" s="4561" t="n"/>
      <c r="C3439" s="4561" t="n"/>
      <c r="D3439" s="4561" t="n"/>
      <c r="E3439" s="4561" t="n"/>
      <c r="F3439" s="4561" t="n"/>
      <c r="G3439" s="4561" t="n"/>
      <c r="H3439" s="4561" t="n"/>
      <c r="I3439" s="4562">
        <f>XLOOKUP(B3439,'_Sys|Line_Map'!$A:$A,'_Sys|Line_Map'!$C:$C,"MISSING",0)</f>
        <v/>
      </c>
      <c r="J3439" s="4562">
        <f>XLOOKUP(B3439,'_Sys|Line_Map'!$A:$A,'_Sys|Line_Map'!$D:$D,1,0)</f>
        <v/>
      </c>
      <c r="K3439" s="4562">
        <f>IF(D3439="","",D3439*J3439)</f>
        <v/>
      </c>
      <c r="L3439" s="4562">
        <f>XLOOKUP(B3439,'_Sys|Line_Map'!$A:$A,'_Sys|Line_Map'!$B:$B,"MISSING",0)</f>
        <v/>
      </c>
    </row>
    <row r="3440">
      <c r="A3440" s="4561" t="n"/>
      <c r="B3440" s="4561" t="n"/>
      <c r="C3440" s="4561" t="n"/>
      <c r="D3440" s="4561" t="n"/>
      <c r="E3440" s="4561" t="n"/>
      <c r="F3440" s="4561" t="n"/>
      <c r="G3440" s="4561" t="n"/>
      <c r="H3440" s="4561" t="n"/>
      <c r="I3440" s="4562">
        <f>XLOOKUP(B3440,'_Sys|Line_Map'!$A:$A,'_Sys|Line_Map'!$C:$C,"MISSING",0)</f>
        <v/>
      </c>
      <c r="J3440" s="4562">
        <f>XLOOKUP(B3440,'_Sys|Line_Map'!$A:$A,'_Sys|Line_Map'!$D:$D,1,0)</f>
        <v/>
      </c>
      <c r="K3440" s="4562">
        <f>IF(D3440="","",D3440*J3440)</f>
        <v/>
      </c>
      <c r="L3440" s="4562">
        <f>XLOOKUP(B3440,'_Sys|Line_Map'!$A:$A,'_Sys|Line_Map'!$B:$B,"MISSING",0)</f>
        <v/>
      </c>
    </row>
    <row r="3441">
      <c r="A3441" s="4561" t="n"/>
      <c r="B3441" s="4561" t="n"/>
      <c r="C3441" s="4561" t="n"/>
      <c r="D3441" s="4561" t="n"/>
      <c r="E3441" s="4561" t="n"/>
      <c r="F3441" s="4561" t="n"/>
      <c r="G3441" s="4561" t="n"/>
      <c r="H3441" s="4561" t="n"/>
      <c r="I3441" s="4562">
        <f>XLOOKUP(B3441,'_Sys|Line_Map'!$A:$A,'_Sys|Line_Map'!$C:$C,"MISSING",0)</f>
        <v/>
      </c>
      <c r="J3441" s="4562">
        <f>XLOOKUP(B3441,'_Sys|Line_Map'!$A:$A,'_Sys|Line_Map'!$D:$D,1,0)</f>
        <v/>
      </c>
      <c r="K3441" s="4562">
        <f>IF(D3441="","",D3441*J3441)</f>
        <v/>
      </c>
      <c r="L3441" s="4562">
        <f>XLOOKUP(B3441,'_Sys|Line_Map'!$A:$A,'_Sys|Line_Map'!$B:$B,"MISSING",0)</f>
        <v/>
      </c>
    </row>
    <row r="3442">
      <c r="A3442" s="4561" t="n"/>
      <c r="B3442" s="4561" t="n"/>
      <c r="C3442" s="4561" t="n"/>
      <c r="D3442" s="4561" t="n"/>
      <c r="E3442" s="4561" t="n"/>
      <c r="F3442" s="4561" t="n"/>
      <c r="G3442" s="4561" t="n"/>
      <c r="H3442" s="4561" t="n"/>
      <c r="I3442" s="4562">
        <f>XLOOKUP(B3442,'_Sys|Line_Map'!$A:$A,'_Sys|Line_Map'!$C:$C,"MISSING",0)</f>
        <v/>
      </c>
      <c r="J3442" s="4562">
        <f>XLOOKUP(B3442,'_Sys|Line_Map'!$A:$A,'_Sys|Line_Map'!$D:$D,1,0)</f>
        <v/>
      </c>
      <c r="K3442" s="4562">
        <f>IF(D3442="","",D3442*J3442)</f>
        <v/>
      </c>
      <c r="L3442" s="4562">
        <f>XLOOKUP(B3442,'_Sys|Line_Map'!$A:$A,'_Sys|Line_Map'!$B:$B,"MISSING",0)</f>
        <v/>
      </c>
    </row>
    <row r="3443">
      <c r="A3443" s="4561" t="n"/>
      <c r="B3443" s="4561" t="n"/>
      <c r="C3443" s="4561" t="n"/>
      <c r="D3443" s="4561" t="n"/>
      <c r="E3443" s="4561" t="n"/>
      <c r="F3443" s="4561" t="n"/>
      <c r="G3443" s="4561" t="n"/>
      <c r="H3443" s="4561" t="n"/>
      <c r="I3443" s="4562">
        <f>XLOOKUP(B3443,'_Sys|Line_Map'!$A:$A,'_Sys|Line_Map'!$C:$C,"MISSING",0)</f>
        <v/>
      </c>
      <c r="J3443" s="4562">
        <f>XLOOKUP(B3443,'_Sys|Line_Map'!$A:$A,'_Sys|Line_Map'!$D:$D,1,0)</f>
        <v/>
      </c>
      <c r="K3443" s="4562">
        <f>IF(D3443="","",D3443*J3443)</f>
        <v/>
      </c>
      <c r="L3443" s="4562">
        <f>XLOOKUP(B3443,'_Sys|Line_Map'!$A:$A,'_Sys|Line_Map'!$B:$B,"MISSING",0)</f>
        <v/>
      </c>
    </row>
    <row r="3444">
      <c r="A3444" s="4561" t="n"/>
      <c r="B3444" s="4561" t="n"/>
      <c r="C3444" s="4561" t="n"/>
      <c r="D3444" s="4561" t="n"/>
      <c r="E3444" s="4561" t="n"/>
      <c r="F3444" s="4561" t="n"/>
      <c r="G3444" s="4561" t="n"/>
      <c r="H3444" s="4561" t="n"/>
      <c r="I3444" s="4562">
        <f>XLOOKUP(B3444,'_Sys|Line_Map'!$A:$A,'_Sys|Line_Map'!$C:$C,"MISSING",0)</f>
        <v/>
      </c>
      <c r="J3444" s="4562">
        <f>XLOOKUP(B3444,'_Sys|Line_Map'!$A:$A,'_Sys|Line_Map'!$D:$D,1,0)</f>
        <v/>
      </c>
      <c r="K3444" s="4562">
        <f>IF(D3444="","",D3444*J3444)</f>
        <v/>
      </c>
      <c r="L3444" s="4562">
        <f>XLOOKUP(B3444,'_Sys|Line_Map'!$A:$A,'_Sys|Line_Map'!$B:$B,"MISSING",0)</f>
        <v/>
      </c>
    </row>
    <row r="3445">
      <c r="A3445" s="4561" t="n"/>
      <c r="B3445" s="4561" t="n"/>
      <c r="C3445" s="4561" t="n"/>
      <c r="D3445" s="4561" t="n"/>
      <c r="E3445" s="4561" t="n"/>
      <c r="F3445" s="4561" t="n"/>
      <c r="G3445" s="4561" t="n"/>
      <c r="H3445" s="4561" t="n"/>
      <c r="I3445" s="4562">
        <f>XLOOKUP(B3445,'_Sys|Line_Map'!$A:$A,'_Sys|Line_Map'!$C:$C,"MISSING",0)</f>
        <v/>
      </c>
      <c r="J3445" s="4562">
        <f>XLOOKUP(B3445,'_Sys|Line_Map'!$A:$A,'_Sys|Line_Map'!$D:$D,1,0)</f>
        <v/>
      </c>
      <c r="K3445" s="4562">
        <f>IF(D3445="","",D3445*J3445)</f>
        <v/>
      </c>
      <c r="L3445" s="4562">
        <f>XLOOKUP(B3445,'_Sys|Line_Map'!$A:$A,'_Sys|Line_Map'!$B:$B,"MISSING",0)</f>
        <v/>
      </c>
    </row>
    <row r="3446">
      <c r="A3446" s="4561" t="n"/>
      <c r="B3446" s="4561" t="n"/>
      <c r="C3446" s="4561" t="n"/>
      <c r="D3446" s="4561" t="n"/>
      <c r="E3446" s="4561" t="n"/>
      <c r="F3446" s="4561" t="n"/>
      <c r="G3446" s="4561" t="n"/>
      <c r="H3446" s="4561" t="n"/>
      <c r="I3446" s="4562">
        <f>XLOOKUP(B3446,'_Sys|Line_Map'!$A:$A,'_Sys|Line_Map'!$C:$C,"MISSING",0)</f>
        <v/>
      </c>
      <c r="J3446" s="4562">
        <f>XLOOKUP(B3446,'_Sys|Line_Map'!$A:$A,'_Sys|Line_Map'!$D:$D,1,0)</f>
        <v/>
      </c>
      <c r="K3446" s="4562">
        <f>IF(D3446="","",D3446*J3446)</f>
        <v/>
      </c>
      <c r="L3446" s="4562">
        <f>XLOOKUP(B3446,'_Sys|Line_Map'!$A:$A,'_Sys|Line_Map'!$B:$B,"MISSING",0)</f>
        <v/>
      </c>
    </row>
    <row r="3447">
      <c r="A3447" s="4561" t="n"/>
      <c r="B3447" s="4561" t="n"/>
      <c r="C3447" s="4561" t="n"/>
      <c r="D3447" s="4561" t="n"/>
      <c r="E3447" s="4561" t="n"/>
      <c r="F3447" s="4561" t="n"/>
      <c r="G3447" s="4561" t="n"/>
      <c r="H3447" s="4561" t="n"/>
      <c r="I3447" s="4562">
        <f>XLOOKUP(B3447,'_Sys|Line_Map'!$A:$A,'_Sys|Line_Map'!$C:$C,"MISSING",0)</f>
        <v/>
      </c>
      <c r="J3447" s="4562">
        <f>XLOOKUP(B3447,'_Sys|Line_Map'!$A:$A,'_Sys|Line_Map'!$D:$D,1,0)</f>
        <v/>
      </c>
      <c r="K3447" s="4562">
        <f>IF(D3447="","",D3447*J3447)</f>
        <v/>
      </c>
      <c r="L3447" s="4562">
        <f>XLOOKUP(B3447,'_Sys|Line_Map'!$A:$A,'_Sys|Line_Map'!$B:$B,"MISSING",0)</f>
        <v/>
      </c>
    </row>
    <row r="3448">
      <c r="A3448" s="4561" t="n"/>
      <c r="B3448" s="4561" t="n"/>
      <c r="C3448" s="4561" t="n"/>
      <c r="D3448" s="4561" t="n"/>
      <c r="E3448" s="4561" t="n"/>
      <c r="F3448" s="4561" t="n"/>
      <c r="G3448" s="4561" t="n"/>
      <c r="H3448" s="4561" t="n"/>
      <c r="I3448" s="4562">
        <f>XLOOKUP(B3448,'_Sys|Line_Map'!$A:$A,'_Sys|Line_Map'!$C:$C,"MISSING",0)</f>
        <v/>
      </c>
      <c r="J3448" s="4562">
        <f>XLOOKUP(B3448,'_Sys|Line_Map'!$A:$A,'_Sys|Line_Map'!$D:$D,1,0)</f>
        <v/>
      </c>
      <c r="K3448" s="4562">
        <f>IF(D3448="","",D3448*J3448)</f>
        <v/>
      </c>
      <c r="L3448" s="4562">
        <f>XLOOKUP(B3448,'_Sys|Line_Map'!$A:$A,'_Sys|Line_Map'!$B:$B,"MISSING",0)</f>
        <v/>
      </c>
    </row>
    <row r="3449">
      <c r="A3449" s="4561" t="n"/>
      <c r="B3449" s="4561" t="n"/>
      <c r="C3449" s="4561" t="n"/>
      <c r="D3449" s="4561" t="n"/>
      <c r="E3449" s="4561" t="n"/>
      <c r="F3449" s="4561" t="n"/>
      <c r="G3449" s="4561" t="n"/>
      <c r="H3449" s="4561" t="n"/>
      <c r="I3449" s="4562">
        <f>XLOOKUP(B3449,'_Sys|Line_Map'!$A:$A,'_Sys|Line_Map'!$C:$C,"MISSING",0)</f>
        <v/>
      </c>
      <c r="J3449" s="4562">
        <f>XLOOKUP(B3449,'_Sys|Line_Map'!$A:$A,'_Sys|Line_Map'!$D:$D,1,0)</f>
        <v/>
      </c>
      <c r="K3449" s="4562">
        <f>IF(D3449="","",D3449*J3449)</f>
        <v/>
      </c>
      <c r="L3449" s="4562">
        <f>XLOOKUP(B3449,'_Sys|Line_Map'!$A:$A,'_Sys|Line_Map'!$B:$B,"MISSING",0)</f>
        <v/>
      </c>
    </row>
    <row r="3450">
      <c r="A3450" s="4561" t="n"/>
      <c r="B3450" s="4561" t="n"/>
      <c r="C3450" s="4561" t="n"/>
      <c r="D3450" s="4561" t="n"/>
      <c r="E3450" s="4561" t="n"/>
      <c r="F3450" s="4561" t="n"/>
      <c r="G3450" s="4561" t="n"/>
      <c r="H3450" s="4561" t="n"/>
      <c r="I3450" s="4562">
        <f>XLOOKUP(B3450,'_Sys|Line_Map'!$A:$A,'_Sys|Line_Map'!$C:$C,"MISSING",0)</f>
        <v/>
      </c>
      <c r="J3450" s="4562">
        <f>XLOOKUP(B3450,'_Sys|Line_Map'!$A:$A,'_Sys|Line_Map'!$D:$D,1,0)</f>
        <v/>
      </c>
      <c r="K3450" s="4562">
        <f>IF(D3450="","",D3450*J3450)</f>
        <v/>
      </c>
      <c r="L3450" s="4562">
        <f>XLOOKUP(B3450,'_Sys|Line_Map'!$A:$A,'_Sys|Line_Map'!$B:$B,"MISSING",0)</f>
        <v/>
      </c>
    </row>
    <row r="3451">
      <c r="A3451" s="4561" t="n"/>
      <c r="B3451" s="4561" t="n"/>
      <c r="C3451" s="4561" t="n"/>
      <c r="D3451" s="4561" t="n"/>
      <c r="E3451" s="4561" t="n"/>
      <c r="F3451" s="4561" t="n"/>
      <c r="G3451" s="4561" t="n"/>
      <c r="H3451" s="4561" t="n"/>
      <c r="I3451" s="4562">
        <f>XLOOKUP(B3451,'_Sys|Line_Map'!$A:$A,'_Sys|Line_Map'!$C:$C,"MISSING",0)</f>
        <v/>
      </c>
      <c r="J3451" s="4562">
        <f>XLOOKUP(B3451,'_Sys|Line_Map'!$A:$A,'_Sys|Line_Map'!$D:$D,1,0)</f>
        <v/>
      </c>
      <c r="K3451" s="4562">
        <f>IF(D3451="","",D3451*J3451)</f>
        <v/>
      </c>
      <c r="L3451" s="4562">
        <f>XLOOKUP(B3451,'_Sys|Line_Map'!$A:$A,'_Sys|Line_Map'!$B:$B,"MISSING",0)</f>
        <v/>
      </c>
    </row>
    <row r="3452">
      <c r="A3452" s="4561" t="n"/>
      <c r="B3452" s="4561" t="n"/>
      <c r="C3452" s="4561" t="n"/>
      <c r="D3452" s="4561" t="n"/>
      <c r="E3452" s="4561" t="n"/>
      <c r="F3452" s="4561" t="n"/>
      <c r="G3452" s="4561" t="n"/>
      <c r="H3452" s="4561" t="n"/>
      <c r="I3452" s="4562">
        <f>XLOOKUP(B3452,'_Sys|Line_Map'!$A:$A,'_Sys|Line_Map'!$C:$C,"MISSING",0)</f>
        <v/>
      </c>
      <c r="J3452" s="4562">
        <f>XLOOKUP(B3452,'_Sys|Line_Map'!$A:$A,'_Sys|Line_Map'!$D:$D,1,0)</f>
        <v/>
      </c>
      <c r="K3452" s="4562">
        <f>IF(D3452="","",D3452*J3452)</f>
        <v/>
      </c>
      <c r="L3452" s="4562">
        <f>XLOOKUP(B3452,'_Sys|Line_Map'!$A:$A,'_Sys|Line_Map'!$B:$B,"MISSING",0)</f>
        <v/>
      </c>
    </row>
    <row r="3453">
      <c r="A3453" s="4561" t="n"/>
      <c r="B3453" s="4561" t="n"/>
      <c r="C3453" s="4561" t="n"/>
      <c r="D3453" s="4561" t="n"/>
      <c r="E3453" s="4561" t="n"/>
      <c r="F3453" s="4561" t="n"/>
      <c r="G3453" s="4561" t="n"/>
      <c r="H3453" s="4561" t="n"/>
      <c r="I3453" s="4562">
        <f>XLOOKUP(B3453,'_Sys|Line_Map'!$A:$A,'_Sys|Line_Map'!$C:$C,"MISSING",0)</f>
        <v/>
      </c>
      <c r="J3453" s="4562">
        <f>XLOOKUP(B3453,'_Sys|Line_Map'!$A:$A,'_Sys|Line_Map'!$D:$D,1,0)</f>
        <v/>
      </c>
      <c r="K3453" s="4562">
        <f>IF(D3453="","",D3453*J3453)</f>
        <v/>
      </c>
      <c r="L3453" s="4562">
        <f>XLOOKUP(B3453,'_Sys|Line_Map'!$A:$A,'_Sys|Line_Map'!$B:$B,"MISSING",0)</f>
        <v/>
      </c>
    </row>
    <row r="3454">
      <c r="A3454" s="4561" t="n"/>
      <c r="B3454" s="4561" t="n"/>
      <c r="C3454" s="4561" t="n"/>
      <c r="D3454" s="4561" t="n"/>
      <c r="E3454" s="4561" t="n"/>
      <c r="F3454" s="4561" t="n"/>
      <c r="G3454" s="4561" t="n"/>
      <c r="H3454" s="4561" t="n"/>
      <c r="I3454" s="4562">
        <f>XLOOKUP(B3454,'_Sys|Line_Map'!$A:$A,'_Sys|Line_Map'!$C:$C,"MISSING",0)</f>
        <v/>
      </c>
      <c r="J3454" s="4562">
        <f>XLOOKUP(B3454,'_Sys|Line_Map'!$A:$A,'_Sys|Line_Map'!$D:$D,1,0)</f>
        <v/>
      </c>
      <c r="K3454" s="4562">
        <f>IF(D3454="","",D3454*J3454)</f>
        <v/>
      </c>
      <c r="L3454" s="4562">
        <f>XLOOKUP(B3454,'_Sys|Line_Map'!$A:$A,'_Sys|Line_Map'!$B:$B,"MISSING",0)</f>
        <v/>
      </c>
    </row>
    <row r="3455">
      <c r="A3455" s="4561" t="n"/>
      <c r="B3455" s="4561" t="n"/>
      <c r="C3455" s="4561" t="n"/>
      <c r="D3455" s="4561" t="n"/>
      <c r="E3455" s="4561" t="n"/>
      <c r="F3455" s="4561" t="n"/>
      <c r="G3455" s="4561" t="n"/>
      <c r="H3455" s="4561" t="n"/>
      <c r="I3455" s="4562">
        <f>XLOOKUP(B3455,'_Sys|Line_Map'!$A:$A,'_Sys|Line_Map'!$C:$C,"MISSING",0)</f>
        <v/>
      </c>
      <c r="J3455" s="4562">
        <f>XLOOKUP(B3455,'_Sys|Line_Map'!$A:$A,'_Sys|Line_Map'!$D:$D,1,0)</f>
        <v/>
      </c>
      <c r="K3455" s="4562">
        <f>IF(D3455="","",D3455*J3455)</f>
        <v/>
      </c>
      <c r="L3455" s="4562">
        <f>XLOOKUP(B3455,'_Sys|Line_Map'!$A:$A,'_Sys|Line_Map'!$B:$B,"MISSING",0)</f>
        <v/>
      </c>
    </row>
    <row r="3456">
      <c r="A3456" s="4561" t="n"/>
      <c r="B3456" s="4561" t="n"/>
      <c r="C3456" s="4561" t="n"/>
      <c r="D3456" s="4561" t="n"/>
      <c r="E3456" s="4561" t="n"/>
      <c r="F3456" s="4561" t="n"/>
      <c r="G3456" s="4561" t="n"/>
      <c r="H3456" s="4561" t="n"/>
      <c r="I3456" s="4562">
        <f>XLOOKUP(B3456,'_Sys|Line_Map'!$A:$A,'_Sys|Line_Map'!$C:$C,"MISSING",0)</f>
        <v/>
      </c>
      <c r="J3456" s="4562">
        <f>XLOOKUP(B3456,'_Sys|Line_Map'!$A:$A,'_Sys|Line_Map'!$D:$D,1,0)</f>
        <v/>
      </c>
      <c r="K3456" s="4562">
        <f>IF(D3456="","",D3456*J3456)</f>
        <v/>
      </c>
      <c r="L3456" s="4562">
        <f>XLOOKUP(B3456,'_Sys|Line_Map'!$A:$A,'_Sys|Line_Map'!$B:$B,"MISSING",0)</f>
        <v/>
      </c>
    </row>
    <row r="3457">
      <c r="A3457" s="4561" t="n"/>
      <c r="B3457" s="4561" t="n"/>
      <c r="C3457" s="4561" t="n"/>
      <c r="D3457" s="4561" t="n"/>
      <c r="E3457" s="4561" t="n"/>
      <c r="F3457" s="4561" t="n"/>
      <c r="G3457" s="4561" t="n"/>
      <c r="H3457" s="4561" t="n"/>
      <c r="I3457" s="4562">
        <f>XLOOKUP(B3457,'_Sys|Line_Map'!$A:$A,'_Sys|Line_Map'!$C:$C,"MISSING",0)</f>
        <v/>
      </c>
      <c r="J3457" s="4562">
        <f>XLOOKUP(B3457,'_Sys|Line_Map'!$A:$A,'_Sys|Line_Map'!$D:$D,1,0)</f>
        <v/>
      </c>
      <c r="K3457" s="4562">
        <f>IF(D3457="","",D3457*J3457)</f>
        <v/>
      </c>
      <c r="L3457" s="4562">
        <f>XLOOKUP(B3457,'_Sys|Line_Map'!$A:$A,'_Sys|Line_Map'!$B:$B,"MISSING",0)</f>
        <v/>
      </c>
    </row>
    <row r="3458">
      <c r="A3458" s="4561" t="n"/>
      <c r="B3458" s="4561" t="n"/>
      <c r="C3458" s="4561" t="n"/>
      <c r="D3458" s="4561" t="n"/>
      <c r="E3458" s="4561" t="n"/>
      <c r="F3458" s="4561" t="n"/>
      <c r="G3458" s="4561" t="n"/>
      <c r="H3458" s="4561" t="n"/>
      <c r="I3458" s="4562">
        <f>XLOOKUP(B3458,'_Sys|Line_Map'!$A:$A,'_Sys|Line_Map'!$C:$C,"MISSING",0)</f>
        <v/>
      </c>
      <c r="J3458" s="4562">
        <f>XLOOKUP(B3458,'_Sys|Line_Map'!$A:$A,'_Sys|Line_Map'!$D:$D,1,0)</f>
        <v/>
      </c>
      <c r="K3458" s="4562">
        <f>IF(D3458="","",D3458*J3458)</f>
        <v/>
      </c>
      <c r="L3458" s="4562">
        <f>XLOOKUP(B3458,'_Sys|Line_Map'!$A:$A,'_Sys|Line_Map'!$B:$B,"MISSING",0)</f>
        <v/>
      </c>
    </row>
    <row r="3459">
      <c r="A3459" s="4561" t="n"/>
      <c r="B3459" s="4561" t="n"/>
      <c r="C3459" s="4561" t="n"/>
      <c r="D3459" s="4561" t="n"/>
      <c r="E3459" s="4561" t="n"/>
      <c r="F3459" s="4561" t="n"/>
      <c r="G3459" s="4561" t="n"/>
      <c r="H3459" s="4561" t="n"/>
      <c r="I3459" s="4562">
        <f>XLOOKUP(B3459,'_Sys|Line_Map'!$A:$A,'_Sys|Line_Map'!$C:$C,"MISSING",0)</f>
        <v/>
      </c>
      <c r="J3459" s="4562">
        <f>XLOOKUP(B3459,'_Sys|Line_Map'!$A:$A,'_Sys|Line_Map'!$D:$D,1,0)</f>
        <v/>
      </c>
      <c r="K3459" s="4562">
        <f>IF(D3459="","",D3459*J3459)</f>
        <v/>
      </c>
      <c r="L3459" s="4562">
        <f>XLOOKUP(B3459,'_Sys|Line_Map'!$A:$A,'_Sys|Line_Map'!$B:$B,"MISSING",0)</f>
        <v/>
      </c>
    </row>
    <row r="3460">
      <c r="A3460" s="4561" t="n"/>
      <c r="B3460" s="4561" t="n"/>
      <c r="C3460" s="4561" t="n"/>
      <c r="D3460" s="4561" t="n"/>
      <c r="E3460" s="4561" t="n"/>
      <c r="F3460" s="4561" t="n"/>
      <c r="G3460" s="4561" t="n"/>
      <c r="H3460" s="4561" t="n"/>
      <c r="I3460" s="4562">
        <f>XLOOKUP(B3460,'_Sys|Line_Map'!$A:$A,'_Sys|Line_Map'!$C:$C,"MISSING",0)</f>
        <v/>
      </c>
      <c r="J3460" s="4562">
        <f>XLOOKUP(B3460,'_Sys|Line_Map'!$A:$A,'_Sys|Line_Map'!$D:$D,1,0)</f>
        <v/>
      </c>
      <c r="K3460" s="4562">
        <f>IF(D3460="","",D3460*J3460)</f>
        <v/>
      </c>
      <c r="L3460" s="4562">
        <f>XLOOKUP(B3460,'_Sys|Line_Map'!$A:$A,'_Sys|Line_Map'!$B:$B,"MISSING",0)</f>
        <v/>
      </c>
    </row>
    <row r="3461">
      <c r="A3461" s="4561" t="n"/>
      <c r="B3461" s="4561" t="n"/>
      <c r="C3461" s="4561" t="n"/>
      <c r="D3461" s="4561" t="n"/>
      <c r="E3461" s="4561" t="n"/>
      <c r="F3461" s="4561" t="n"/>
      <c r="G3461" s="4561" t="n"/>
      <c r="H3461" s="4561" t="n"/>
      <c r="I3461" s="4562">
        <f>XLOOKUP(B3461,'_Sys|Line_Map'!$A:$A,'_Sys|Line_Map'!$C:$C,"MISSING",0)</f>
        <v/>
      </c>
      <c r="J3461" s="4562">
        <f>XLOOKUP(B3461,'_Sys|Line_Map'!$A:$A,'_Sys|Line_Map'!$D:$D,1,0)</f>
        <v/>
      </c>
      <c r="K3461" s="4562">
        <f>IF(D3461="","",D3461*J3461)</f>
        <v/>
      </c>
      <c r="L3461" s="4562">
        <f>XLOOKUP(B3461,'_Sys|Line_Map'!$A:$A,'_Sys|Line_Map'!$B:$B,"MISSING",0)</f>
        <v/>
      </c>
    </row>
    <row r="3462">
      <c r="A3462" s="4561" t="n"/>
      <c r="B3462" s="4561" t="n"/>
      <c r="C3462" s="4561" t="n"/>
      <c r="D3462" s="4561" t="n"/>
      <c r="E3462" s="4561" t="n"/>
      <c r="F3462" s="4561" t="n"/>
      <c r="G3462" s="4561" t="n"/>
      <c r="H3462" s="4561" t="n"/>
      <c r="I3462" s="4562">
        <f>XLOOKUP(B3462,'_Sys|Line_Map'!$A:$A,'_Sys|Line_Map'!$C:$C,"MISSING",0)</f>
        <v/>
      </c>
      <c r="J3462" s="4562">
        <f>XLOOKUP(B3462,'_Sys|Line_Map'!$A:$A,'_Sys|Line_Map'!$D:$D,1,0)</f>
        <v/>
      </c>
      <c r="K3462" s="4562">
        <f>IF(D3462="","",D3462*J3462)</f>
        <v/>
      </c>
      <c r="L3462" s="4562">
        <f>XLOOKUP(B3462,'_Sys|Line_Map'!$A:$A,'_Sys|Line_Map'!$B:$B,"MISSING",0)</f>
        <v/>
      </c>
    </row>
    <row r="3463">
      <c r="A3463" s="4561" t="n"/>
      <c r="B3463" s="4561" t="n"/>
      <c r="C3463" s="4561" t="n"/>
      <c r="D3463" s="4561" t="n"/>
      <c r="E3463" s="4561" t="n"/>
      <c r="F3463" s="4561" t="n"/>
      <c r="G3463" s="4561" t="n"/>
      <c r="H3463" s="4561" t="n"/>
      <c r="I3463" s="4562">
        <f>XLOOKUP(B3463,'_Sys|Line_Map'!$A:$A,'_Sys|Line_Map'!$C:$C,"MISSING",0)</f>
        <v/>
      </c>
      <c r="J3463" s="4562">
        <f>XLOOKUP(B3463,'_Sys|Line_Map'!$A:$A,'_Sys|Line_Map'!$D:$D,1,0)</f>
        <v/>
      </c>
      <c r="K3463" s="4562">
        <f>IF(D3463="","",D3463*J3463)</f>
        <v/>
      </c>
      <c r="L3463" s="4562">
        <f>XLOOKUP(B3463,'_Sys|Line_Map'!$A:$A,'_Sys|Line_Map'!$B:$B,"MISSING",0)</f>
        <v/>
      </c>
    </row>
    <row r="3464">
      <c r="A3464" s="4561" t="n"/>
      <c r="B3464" s="4561" t="n"/>
      <c r="C3464" s="4561" t="n"/>
      <c r="D3464" s="4561" t="n"/>
      <c r="E3464" s="4561" t="n"/>
      <c r="F3464" s="4561" t="n"/>
      <c r="G3464" s="4561" t="n"/>
      <c r="H3464" s="4561" t="n"/>
      <c r="I3464" s="4562">
        <f>XLOOKUP(B3464,'_Sys|Line_Map'!$A:$A,'_Sys|Line_Map'!$C:$C,"MISSING",0)</f>
        <v/>
      </c>
      <c r="J3464" s="4562">
        <f>XLOOKUP(B3464,'_Sys|Line_Map'!$A:$A,'_Sys|Line_Map'!$D:$D,1,0)</f>
        <v/>
      </c>
      <c r="K3464" s="4562">
        <f>IF(D3464="","",D3464*J3464)</f>
        <v/>
      </c>
      <c r="L3464" s="4562">
        <f>XLOOKUP(B3464,'_Sys|Line_Map'!$A:$A,'_Sys|Line_Map'!$B:$B,"MISSING",0)</f>
        <v/>
      </c>
    </row>
    <row r="3465">
      <c r="A3465" s="4561" t="n"/>
      <c r="B3465" s="4561" t="n"/>
      <c r="C3465" s="4561" t="n"/>
      <c r="D3465" s="4561" t="n"/>
      <c r="E3465" s="4561" t="n"/>
      <c r="F3465" s="4561" t="n"/>
      <c r="G3465" s="4561" t="n"/>
      <c r="H3465" s="4561" t="n"/>
      <c r="I3465" s="4562">
        <f>XLOOKUP(B3465,'_Sys|Line_Map'!$A:$A,'_Sys|Line_Map'!$C:$C,"MISSING",0)</f>
        <v/>
      </c>
      <c r="J3465" s="4562">
        <f>XLOOKUP(B3465,'_Sys|Line_Map'!$A:$A,'_Sys|Line_Map'!$D:$D,1,0)</f>
        <v/>
      </c>
      <c r="K3465" s="4562">
        <f>IF(D3465="","",D3465*J3465)</f>
        <v/>
      </c>
      <c r="L3465" s="4562">
        <f>XLOOKUP(B3465,'_Sys|Line_Map'!$A:$A,'_Sys|Line_Map'!$B:$B,"MISSING",0)</f>
        <v/>
      </c>
    </row>
    <row r="3466">
      <c r="A3466" s="4561" t="n"/>
      <c r="B3466" s="4561" t="n"/>
      <c r="C3466" s="4561" t="n"/>
      <c r="D3466" s="4561" t="n"/>
      <c r="E3466" s="4561" t="n"/>
      <c r="F3466" s="4561" t="n"/>
      <c r="G3466" s="4561" t="n"/>
      <c r="H3466" s="4561" t="n"/>
      <c r="I3466" s="4562">
        <f>XLOOKUP(B3466,'_Sys|Line_Map'!$A:$A,'_Sys|Line_Map'!$C:$C,"MISSING",0)</f>
        <v/>
      </c>
      <c r="J3466" s="4562">
        <f>XLOOKUP(B3466,'_Sys|Line_Map'!$A:$A,'_Sys|Line_Map'!$D:$D,1,0)</f>
        <v/>
      </c>
      <c r="K3466" s="4562">
        <f>IF(D3466="","",D3466*J3466)</f>
        <v/>
      </c>
      <c r="L3466" s="4562">
        <f>XLOOKUP(B3466,'_Sys|Line_Map'!$A:$A,'_Sys|Line_Map'!$B:$B,"MISSING",0)</f>
        <v/>
      </c>
    </row>
    <row r="3467">
      <c r="A3467" s="4561" t="n"/>
      <c r="B3467" s="4561" t="n"/>
      <c r="C3467" s="4561" t="n"/>
      <c r="D3467" s="4561" t="n"/>
      <c r="E3467" s="4561" t="n"/>
      <c r="F3467" s="4561" t="n"/>
      <c r="G3467" s="4561" t="n"/>
      <c r="H3467" s="4561" t="n"/>
      <c r="I3467" s="4562">
        <f>XLOOKUP(B3467,'_Sys|Line_Map'!$A:$A,'_Sys|Line_Map'!$C:$C,"MISSING",0)</f>
        <v/>
      </c>
      <c r="J3467" s="4562">
        <f>XLOOKUP(B3467,'_Sys|Line_Map'!$A:$A,'_Sys|Line_Map'!$D:$D,1,0)</f>
        <v/>
      </c>
      <c r="K3467" s="4562">
        <f>IF(D3467="","",D3467*J3467)</f>
        <v/>
      </c>
      <c r="L3467" s="4562">
        <f>XLOOKUP(B3467,'_Sys|Line_Map'!$A:$A,'_Sys|Line_Map'!$B:$B,"MISSING",0)</f>
        <v/>
      </c>
    </row>
    <row r="3468">
      <c r="A3468" s="4561" t="n"/>
      <c r="B3468" s="4561" t="n"/>
      <c r="C3468" s="4561" t="n"/>
      <c r="D3468" s="4561" t="n"/>
      <c r="E3468" s="4561" t="n"/>
      <c r="F3468" s="4561" t="n"/>
      <c r="G3468" s="4561" t="n"/>
      <c r="H3468" s="4561" t="n"/>
      <c r="I3468" s="4562">
        <f>XLOOKUP(B3468,'_Sys|Line_Map'!$A:$A,'_Sys|Line_Map'!$C:$C,"MISSING",0)</f>
        <v/>
      </c>
      <c r="J3468" s="4562">
        <f>XLOOKUP(B3468,'_Sys|Line_Map'!$A:$A,'_Sys|Line_Map'!$D:$D,1,0)</f>
        <v/>
      </c>
      <c r="K3468" s="4562">
        <f>IF(D3468="","",D3468*J3468)</f>
        <v/>
      </c>
      <c r="L3468" s="4562">
        <f>XLOOKUP(B3468,'_Sys|Line_Map'!$A:$A,'_Sys|Line_Map'!$B:$B,"MISSING",0)</f>
        <v/>
      </c>
    </row>
    <row r="3469">
      <c r="A3469" s="4561" t="n"/>
      <c r="B3469" s="4561" t="n"/>
      <c r="C3469" s="4561" t="n"/>
      <c r="D3469" s="4561" t="n"/>
      <c r="E3469" s="4561" t="n"/>
      <c r="F3469" s="4561" t="n"/>
      <c r="G3469" s="4561" t="n"/>
      <c r="H3469" s="4561" t="n"/>
      <c r="I3469" s="4562">
        <f>XLOOKUP(B3469,'_Sys|Line_Map'!$A:$A,'_Sys|Line_Map'!$C:$C,"MISSING",0)</f>
        <v/>
      </c>
      <c r="J3469" s="4562">
        <f>XLOOKUP(B3469,'_Sys|Line_Map'!$A:$A,'_Sys|Line_Map'!$D:$D,1,0)</f>
        <v/>
      </c>
      <c r="K3469" s="4562">
        <f>IF(D3469="","",D3469*J3469)</f>
        <v/>
      </c>
      <c r="L3469" s="4562">
        <f>XLOOKUP(B3469,'_Sys|Line_Map'!$A:$A,'_Sys|Line_Map'!$B:$B,"MISSING",0)</f>
        <v/>
      </c>
    </row>
    <row r="3470">
      <c r="A3470" s="4561" t="n"/>
      <c r="B3470" s="4561" t="n"/>
      <c r="C3470" s="4561" t="n"/>
      <c r="D3470" s="4561" t="n"/>
      <c r="E3470" s="4561" t="n"/>
      <c r="F3470" s="4561" t="n"/>
      <c r="G3470" s="4561" t="n"/>
      <c r="H3470" s="4561" t="n"/>
      <c r="I3470" s="4562">
        <f>XLOOKUP(B3470,'_Sys|Line_Map'!$A:$A,'_Sys|Line_Map'!$C:$C,"MISSING",0)</f>
        <v/>
      </c>
      <c r="J3470" s="4562">
        <f>XLOOKUP(B3470,'_Sys|Line_Map'!$A:$A,'_Sys|Line_Map'!$D:$D,1,0)</f>
        <v/>
      </c>
      <c r="K3470" s="4562">
        <f>IF(D3470="","",D3470*J3470)</f>
        <v/>
      </c>
      <c r="L3470" s="4562">
        <f>XLOOKUP(B3470,'_Sys|Line_Map'!$A:$A,'_Sys|Line_Map'!$B:$B,"MISSING",0)</f>
        <v/>
      </c>
    </row>
    <row r="3471">
      <c r="A3471" s="4561" t="n"/>
      <c r="B3471" s="4561" t="n"/>
      <c r="C3471" s="4561" t="n"/>
      <c r="D3471" s="4561" t="n"/>
      <c r="E3471" s="4561" t="n"/>
      <c r="F3471" s="4561" t="n"/>
      <c r="G3471" s="4561" t="n"/>
      <c r="H3471" s="4561" t="n"/>
      <c r="I3471" s="4562">
        <f>XLOOKUP(B3471,'_Sys|Line_Map'!$A:$A,'_Sys|Line_Map'!$C:$C,"MISSING",0)</f>
        <v/>
      </c>
      <c r="J3471" s="4562">
        <f>XLOOKUP(B3471,'_Sys|Line_Map'!$A:$A,'_Sys|Line_Map'!$D:$D,1,0)</f>
        <v/>
      </c>
      <c r="K3471" s="4562">
        <f>IF(D3471="","",D3471*J3471)</f>
        <v/>
      </c>
      <c r="L3471" s="4562">
        <f>XLOOKUP(B3471,'_Sys|Line_Map'!$A:$A,'_Sys|Line_Map'!$B:$B,"MISSING",0)</f>
        <v/>
      </c>
    </row>
    <row r="3472">
      <c r="A3472" s="4561" t="n"/>
      <c r="B3472" s="4561" t="n"/>
      <c r="C3472" s="4561" t="n"/>
      <c r="D3472" s="4561" t="n"/>
      <c r="E3472" s="4561" t="n"/>
      <c r="F3472" s="4561" t="n"/>
      <c r="G3472" s="4561" t="n"/>
      <c r="H3472" s="4561" t="n"/>
      <c r="I3472" s="4562">
        <f>XLOOKUP(B3472,'_Sys|Line_Map'!$A:$A,'_Sys|Line_Map'!$C:$C,"MISSING",0)</f>
        <v/>
      </c>
      <c r="J3472" s="4562">
        <f>XLOOKUP(B3472,'_Sys|Line_Map'!$A:$A,'_Sys|Line_Map'!$D:$D,1,0)</f>
        <v/>
      </c>
      <c r="K3472" s="4562">
        <f>IF(D3472="","",D3472*J3472)</f>
        <v/>
      </c>
      <c r="L3472" s="4562">
        <f>XLOOKUP(B3472,'_Sys|Line_Map'!$A:$A,'_Sys|Line_Map'!$B:$B,"MISSING",0)</f>
        <v/>
      </c>
    </row>
    <row r="3473">
      <c r="A3473" s="4561" t="n"/>
      <c r="B3473" s="4561" t="n"/>
      <c r="C3473" s="4561" t="n"/>
      <c r="D3473" s="4561" t="n"/>
      <c r="E3473" s="4561" t="n"/>
      <c r="F3473" s="4561" t="n"/>
      <c r="G3473" s="4561" t="n"/>
      <c r="H3473" s="4561" t="n"/>
      <c r="I3473" s="4562">
        <f>XLOOKUP(B3473,'_Sys|Line_Map'!$A:$A,'_Sys|Line_Map'!$C:$C,"MISSING",0)</f>
        <v/>
      </c>
      <c r="J3473" s="4562">
        <f>XLOOKUP(B3473,'_Sys|Line_Map'!$A:$A,'_Sys|Line_Map'!$D:$D,1,0)</f>
        <v/>
      </c>
      <c r="K3473" s="4562">
        <f>IF(D3473="","",D3473*J3473)</f>
        <v/>
      </c>
      <c r="L3473" s="4562">
        <f>XLOOKUP(B3473,'_Sys|Line_Map'!$A:$A,'_Sys|Line_Map'!$B:$B,"MISSING",0)</f>
        <v/>
      </c>
    </row>
    <row r="3474">
      <c r="A3474" s="4561" t="n"/>
      <c r="B3474" s="4561" t="n"/>
      <c r="C3474" s="4561" t="n"/>
      <c r="D3474" s="4561" t="n"/>
      <c r="E3474" s="4561" t="n"/>
      <c r="F3474" s="4561" t="n"/>
      <c r="G3474" s="4561" t="n"/>
      <c r="H3474" s="4561" t="n"/>
      <c r="I3474" s="4562">
        <f>XLOOKUP(B3474,'_Sys|Line_Map'!$A:$A,'_Sys|Line_Map'!$C:$C,"MISSING",0)</f>
        <v/>
      </c>
      <c r="J3474" s="4562">
        <f>XLOOKUP(B3474,'_Sys|Line_Map'!$A:$A,'_Sys|Line_Map'!$D:$D,1,0)</f>
        <v/>
      </c>
      <c r="K3474" s="4562">
        <f>IF(D3474="","",D3474*J3474)</f>
        <v/>
      </c>
      <c r="L3474" s="4562">
        <f>XLOOKUP(B3474,'_Sys|Line_Map'!$A:$A,'_Sys|Line_Map'!$B:$B,"MISSING",0)</f>
        <v/>
      </c>
    </row>
    <row r="3475">
      <c r="A3475" s="4561" t="n"/>
      <c r="B3475" s="4561" t="n"/>
      <c r="C3475" s="4561" t="n"/>
      <c r="D3475" s="4561" t="n"/>
      <c r="E3475" s="4561" t="n"/>
      <c r="F3475" s="4561" t="n"/>
      <c r="G3475" s="4561" t="n"/>
      <c r="H3475" s="4561" t="n"/>
      <c r="I3475" s="4562">
        <f>XLOOKUP(B3475,'_Sys|Line_Map'!$A:$A,'_Sys|Line_Map'!$C:$C,"MISSING",0)</f>
        <v/>
      </c>
      <c r="J3475" s="4562">
        <f>XLOOKUP(B3475,'_Sys|Line_Map'!$A:$A,'_Sys|Line_Map'!$D:$D,1,0)</f>
        <v/>
      </c>
      <c r="K3475" s="4562">
        <f>IF(D3475="","",D3475*J3475)</f>
        <v/>
      </c>
      <c r="L3475" s="4562">
        <f>XLOOKUP(B3475,'_Sys|Line_Map'!$A:$A,'_Sys|Line_Map'!$B:$B,"MISSING",0)</f>
        <v/>
      </c>
    </row>
    <row r="3476">
      <c r="A3476" s="4561" t="n"/>
      <c r="B3476" s="4561" t="n"/>
      <c r="C3476" s="4561" t="n"/>
      <c r="D3476" s="4561" t="n"/>
      <c r="E3476" s="4561" t="n"/>
      <c r="F3476" s="4561" t="n"/>
      <c r="G3476" s="4561" t="n"/>
      <c r="H3476" s="4561" t="n"/>
      <c r="I3476" s="4562">
        <f>XLOOKUP(B3476,'_Sys|Line_Map'!$A:$A,'_Sys|Line_Map'!$C:$C,"MISSING",0)</f>
        <v/>
      </c>
      <c r="J3476" s="4562">
        <f>XLOOKUP(B3476,'_Sys|Line_Map'!$A:$A,'_Sys|Line_Map'!$D:$D,1,0)</f>
        <v/>
      </c>
      <c r="K3476" s="4562">
        <f>IF(D3476="","",D3476*J3476)</f>
        <v/>
      </c>
      <c r="L3476" s="4562">
        <f>XLOOKUP(B3476,'_Sys|Line_Map'!$A:$A,'_Sys|Line_Map'!$B:$B,"MISSING",0)</f>
        <v/>
      </c>
    </row>
    <row r="3477">
      <c r="A3477" s="4561" t="n"/>
      <c r="B3477" s="4561" t="n"/>
      <c r="C3477" s="4561" t="n"/>
      <c r="D3477" s="4561" t="n"/>
      <c r="E3477" s="4561" t="n"/>
      <c r="F3477" s="4561" t="n"/>
      <c r="G3477" s="4561" t="n"/>
      <c r="H3477" s="4561" t="n"/>
      <c r="I3477" s="4562">
        <f>XLOOKUP(B3477,'_Sys|Line_Map'!$A:$A,'_Sys|Line_Map'!$C:$C,"MISSING",0)</f>
        <v/>
      </c>
      <c r="J3477" s="4562">
        <f>XLOOKUP(B3477,'_Sys|Line_Map'!$A:$A,'_Sys|Line_Map'!$D:$D,1,0)</f>
        <v/>
      </c>
      <c r="K3477" s="4562">
        <f>IF(D3477="","",D3477*J3477)</f>
        <v/>
      </c>
      <c r="L3477" s="4562">
        <f>XLOOKUP(B3477,'_Sys|Line_Map'!$A:$A,'_Sys|Line_Map'!$B:$B,"MISSING",0)</f>
        <v/>
      </c>
    </row>
    <row r="3478">
      <c r="A3478" s="4561" t="n"/>
      <c r="B3478" s="4561" t="n"/>
      <c r="C3478" s="4561" t="n"/>
      <c r="D3478" s="4561" t="n"/>
      <c r="E3478" s="4561" t="n"/>
      <c r="F3478" s="4561" t="n"/>
      <c r="G3478" s="4561" t="n"/>
      <c r="H3478" s="4561" t="n"/>
      <c r="I3478" s="4562">
        <f>XLOOKUP(B3478,'_Sys|Line_Map'!$A:$A,'_Sys|Line_Map'!$C:$C,"MISSING",0)</f>
        <v/>
      </c>
      <c r="J3478" s="4562">
        <f>XLOOKUP(B3478,'_Sys|Line_Map'!$A:$A,'_Sys|Line_Map'!$D:$D,1,0)</f>
        <v/>
      </c>
      <c r="K3478" s="4562">
        <f>IF(D3478="","",D3478*J3478)</f>
        <v/>
      </c>
      <c r="L3478" s="4562">
        <f>XLOOKUP(B3478,'_Sys|Line_Map'!$A:$A,'_Sys|Line_Map'!$B:$B,"MISSING",0)</f>
        <v/>
      </c>
    </row>
    <row r="3479">
      <c r="A3479" s="4561" t="n"/>
      <c r="B3479" s="4561" t="n"/>
      <c r="C3479" s="4561" t="n"/>
      <c r="D3479" s="4561" t="n"/>
      <c r="E3479" s="4561" t="n"/>
      <c r="F3479" s="4561" t="n"/>
      <c r="G3479" s="4561" t="n"/>
      <c r="H3479" s="4561" t="n"/>
      <c r="I3479" s="4562">
        <f>XLOOKUP(B3479,'_Sys|Line_Map'!$A:$A,'_Sys|Line_Map'!$C:$C,"MISSING",0)</f>
        <v/>
      </c>
      <c r="J3479" s="4562">
        <f>XLOOKUP(B3479,'_Sys|Line_Map'!$A:$A,'_Sys|Line_Map'!$D:$D,1,0)</f>
        <v/>
      </c>
      <c r="K3479" s="4562">
        <f>IF(D3479="","",D3479*J3479)</f>
        <v/>
      </c>
      <c r="L3479" s="4562">
        <f>XLOOKUP(B3479,'_Sys|Line_Map'!$A:$A,'_Sys|Line_Map'!$B:$B,"MISSING",0)</f>
        <v/>
      </c>
    </row>
    <row r="3480">
      <c r="A3480" s="4561" t="n"/>
      <c r="B3480" s="4561" t="n"/>
      <c r="C3480" s="4561" t="n"/>
      <c r="D3480" s="4561" t="n"/>
      <c r="E3480" s="4561" t="n"/>
      <c r="F3480" s="4561" t="n"/>
      <c r="G3480" s="4561" t="n"/>
      <c r="H3480" s="4561" t="n"/>
      <c r="I3480" s="4562">
        <f>XLOOKUP(B3480,'_Sys|Line_Map'!$A:$A,'_Sys|Line_Map'!$C:$C,"MISSING",0)</f>
        <v/>
      </c>
      <c r="J3480" s="4562">
        <f>XLOOKUP(B3480,'_Sys|Line_Map'!$A:$A,'_Sys|Line_Map'!$D:$D,1,0)</f>
        <v/>
      </c>
      <c r="K3480" s="4562">
        <f>IF(D3480="","",D3480*J3480)</f>
        <v/>
      </c>
      <c r="L3480" s="4562">
        <f>XLOOKUP(B3480,'_Sys|Line_Map'!$A:$A,'_Sys|Line_Map'!$B:$B,"MISSING",0)</f>
        <v/>
      </c>
    </row>
    <row r="3481">
      <c r="A3481" s="4561" t="n"/>
      <c r="B3481" s="4561" t="n"/>
      <c r="C3481" s="4561" t="n"/>
      <c r="D3481" s="4561" t="n"/>
      <c r="E3481" s="4561" t="n"/>
      <c r="F3481" s="4561" t="n"/>
      <c r="G3481" s="4561" t="n"/>
      <c r="H3481" s="4561" t="n"/>
      <c r="I3481" s="4562">
        <f>XLOOKUP(B3481,'_Sys|Line_Map'!$A:$A,'_Sys|Line_Map'!$C:$C,"MISSING",0)</f>
        <v/>
      </c>
      <c r="J3481" s="4562">
        <f>XLOOKUP(B3481,'_Sys|Line_Map'!$A:$A,'_Sys|Line_Map'!$D:$D,1,0)</f>
        <v/>
      </c>
      <c r="K3481" s="4562">
        <f>IF(D3481="","",D3481*J3481)</f>
        <v/>
      </c>
      <c r="L3481" s="4562">
        <f>XLOOKUP(B3481,'_Sys|Line_Map'!$A:$A,'_Sys|Line_Map'!$B:$B,"MISSING",0)</f>
        <v/>
      </c>
    </row>
    <row r="3482">
      <c r="A3482" s="4561" t="n"/>
      <c r="B3482" s="4561" t="n"/>
      <c r="C3482" s="4561" t="n"/>
      <c r="D3482" s="4561" t="n"/>
      <c r="E3482" s="4561" t="n"/>
      <c r="F3482" s="4561" t="n"/>
      <c r="G3482" s="4561" t="n"/>
      <c r="H3482" s="4561" t="n"/>
      <c r="I3482" s="4562">
        <f>XLOOKUP(B3482,'_Sys|Line_Map'!$A:$A,'_Sys|Line_Map'!$C:$C,"MISSING",0)</f>
        <v/>
      </c>
      <c r="J3482" s="4562">
        <f>XLOOKUP(B3482,'_Sys|Line_Map'!$A:$A,'_Sys|Line_Map'!$D:$D,1,0)</f>
        <v/>
      </c>
      <c r="K3482" s="4562">
        <f>IF(D3482="","",D3482*J3482)</f>
        <v/>
      </c>
      <c r="L3482" s="4562">
        <f>XLOOKUP(B3482,'_Sys|Line_Map'!$A:$A,'_Sys|Line_Map'!$B:$B,"MISSING",0)</f>
        <v/>
      </c>
    </row>
    <row r="3483">
      <c r="A3483" s="4561" t="n"/>
      <c r="B3483" s="4561" t="n"/>
      <c r="C3483" s="4561" t="n"/>
      <c r="D3483" s="4561" t="n"/>
      <c r="E3483" s="4561" t="n"/>
      <c r="F3483" s="4561" t="n"/>
      <c r="G3483" s="4561" t="n"/>
      <c r="H3483" s="4561" t="n"/>
      <c r="I3483" s="4562">
        <f>XLOOKUP(B3483,'_Sys|Line_Map'!$A:$A,'_Sys|Line_Map'!$C:$C,"MISSING",0)</f>
        <v/>
      </c>
      <c r="J3483" s="4562">
        <f>XLOOKUP(B3483,'_Sys|Line_Map'!$A:$A,'_Sys|Line_Map'!$D:$D,1,0)</f>
        <v/>
      </c>
      <c r="K3483" s="4562">
        <f>IF(D3483="","",D3483*J3483)</f>
        <v/>
      </c>
      <c r="L3483" s="4562">
        <f>XLOOKUP(B3483,'_Sys|Line_Map'!$A:$A,'_Sys|Line_Map'!$B:$B,"MISSING",0)</f>
        <v/>
      </c>
    </row>
    <row r="3484">
      <c r="A3484" s="4561" t="n"/>
      <c r="B3484" s="4561" t="n"/>
      <c r="C3484" s="4561" t="n"/>
      <c r="D3484" s="4561" t="n"/>
      <c r="E3484" s="4561" t="n"/>
      <c r="F3484" s="4561" t="n"/>
      <c r="G3484" s="4561" t="n"/>
      <c r="H3484" s="4561" t="n"/>
      <c r="I3484" s="4562">
        <f>XLOOKUP(B3484,'_Sys|Line_Map'!$A:$A,'_Sys|Line_Map'!$C:$C,"MISSING",0)</f>
        <v/>
      </c>
      <c r="J3484" s="4562">
        <f>XLOOKUP(B3484,'_Sys|Line_Map'!$A:$A,'_Sys|Line_Map'!$D:$D,1,0)</f>
        <v/>
      </c>
      <c r="K3484" s="4562">
        <f>IF(D3484="","",D3484*J3484)</f>
        <v/>
      </c>
      <c r="L3484" s="4562">
        <f>XLOOKUP(B3484,'_Sys|Line_Map'!$A:$A,'_Sys|Line_Map'!$B:$B,"MISSING",0)</f>
        <v/>
      </c>
    </row>
    <row r="3485">
      <c r="A3485" s="4561" t="n"/>
      <c r="B3485" s="4561" t="n"/>
      <c r="C3485" s="4561" t="n"/>
      <c r="D3485" s="4561" t="n"/>
      <c r="E3485" s="4561" t="n"/>
      <c r="F3485" s="4561" t="n"/>
      <c r="G3485" s="4561" t="n"/>
      <c r="H3485" s="4561" t="n"/>
      <c r="I3485" s="4562">
        <f>XLOOKUP(B3485,'_Sys|Line_Map'!$A:$A,'_Sys|Line_Map'!$C:$C,"MISSING",0)</f>
        <v/>
      </c>
      <c r="J3485" s="4562">
        <f>XLOOKUP(B3485,'_Sys|Line_Map'!$A:$A,'_Sys|Line_Map'!$D:$D,1,0)</f>
        <v/>
      </c>
      <c r="K3485" s="4562">
        <f>IF(D3485="","",D3485*J3485)</f>
        <v/>
      </c>
      <c r="L3485" s="4562">
        <f>XLOOKUP(B3485,'_Sys|Line_Map'!$A:$A,'_Sys|Line_Map'!$B:$B,"MISSING",0)</f>
        <v/>
      </c>
    </row>
    <row r="3486">
      <c r="A3486" s="4561" t="n"/>
      <c r="B3486" s="4561" t="n"/>
      <c r="C3486" s="4561" t="n"/>
      <c r="D3486" s="4561" t="n"/>
      <c r="E3486" s="4561" t="n"/>
      <c r="F3486" s="4561" t="n"/>
      <c r="G3486" s="4561" t="n"/>
      <c r="H3486" s="4561" t="n"/>
      <c r="I3486" s="4562">
        <f>XLOOKUP(B3486,'_Sys|Line_Map'!$A:$A,'_Sys|Line_Map'!$C:$C,"MISSING",0)</f>
        <v/>
      </c>
      <c r="J3486" s="4562">
        <f>XLOOKUP(B3486,'_Sys|Line_Map'!$A:$A,'_Sys|Line_Map'!$D:$D,1,0)</f>
        <v/>
      </c>
      <c r="K3486" s="4562">
        <f>IF(D3486="","",D3486*J3486)</f>
        <v/>
      </c>
      <c r="L3486" s="4562">
        <f>XLOOKUP(B3486,'_Sys|Line_Map'!$A:$A,'_Sys|Line_Map'!$B:$B,"MISSING",0)</f>
        <v/>
      </c>
    </row>
    <row r="3487">
      <c r="A3487" s="4561" t="n"/>
      <c r="B3487" s="4561" t="n"/>
      <c r="C3487" s="4561" t="n"/>
      <c r="D3487" s="4561" t="n"/>
      <c r="E3487" s="4561" t="n"/>
      <c r="F3487" s="4561" t="n"/>
      <c r="G3487" s="4561" t="n"/>
      <c r="H3487" s="4561" t="n"/>
      <c r="I3487" s="4562">
        <f>XLOOKUP(B3487,'_Sys|Line_Map'!$A:$A,'_Sys|Line_Map'!$C:$C,"MISSING",0)</f>
        <v/>
      </c>
      <c r="J3487" s="4562">
        <f>XLOOKUP(B3487,'_Sys|Line_Map'!$A:$A,'_Sys|Line_Map'!$D:$D,1,0)</f>
        <v/>
      </c>
      <c r="K3487" s="4562">
        <f>IF(D3487="","",D3487*J3487)</f>
        <v/>
      </c>
      <c r="L3487" s="4562">
        <f>XLOOKUP(B3487,'_Sys|Line_Map'!$A:$A,'_Sys|Line_Map'!$B:$B,"MISSING",0)</f>
        <v/>
      </c>
    </row>
    <row r="3488">
      <c r="A3488" s="4561" t="n"/>
      <c r="B3488" s="4561" t="n"/>
      <c r="C3488" s="4561" t="n"/>
      <c r="D3488" s="4561" t="n"/>
      <c r="E3488" s="4561" t="n"/>
      <c r="F3488" s="4561" t="n"/>
      <c r="G3488" s="4561" t="n"/>
      <c r="H3488" s="4561" t="n"/>
      <c r="I3488" s="4562">
        <f>XLOOKUP(B3488,'_Sys|Line_Map'!$A:$A,'_Sys|Line_Map'!$C:$C,"MISSING",0)</f>
        <v/>
      </c>
      <c r="J3488" s="4562">
        <f>XLOOKUP(B3488,'_Sys|Line_Map'!$A:$A,'_Sys|Line_Map'!$D:$D,1,0)</f>
        <v/>
      </c>
      <c r="K3488" s="4562">
        <f>IF(D3488="","",D3488*J3488)</f>
        <v/>
      </c>
      <c r="L3488" s="4562">
        <f>XLOOKUP(B3488,'_Sys|Line_Map'!$A:$A,'_Sys|Line_Map'!$B:$B,"MISSING",0)</f>
        <v/>
      </c>
    </row>
    <row r="3489">
      <c r="A3489" s="4561" t="n"/>
      <c r="B3489" s="4561" t="n"/>
      <c r="C3489" s="4561" t="n"/>
      <c r="D3489" s="4561" t="n"/>
      <c r="E3489" s="4561" t="n"/>
      <c r="F3489" s="4561" t="n"/>
      <c r="G3489" s="4561" t="n"/>
      <c r="H3489" s="4561" t="n"/>
      <c r="I3489" s="4562">
        <f>XLOOKUP(B3489,'_Sys|Line_Map'!$A:$A,'_Sys|Line_Map'!$C:$C,"MISSING",0)</f>
        <v/>
      </c>
      <c r="J3489" s="4562">
        <f>XLOOKUP(B3489,'_Sys|Line_Map'!$A:$A,'_Sys|Line_Map'!$D:$D,1,0)</f>
        <v/>
      </c>
      <c r="K3489" s="4562">
        <f>IF(D3489="","",D3489*J3489)</f>
        <v/>
      </c>
      <c r="L3489" s="4562">
        <f>XLOOKUP(B3489,'_Sys|Line_Map'!$A:$A,'_Sys|Line_Map'!$B:$B,"MISSING",0)</f>
        <v/>
      </c>
    </row>
    <row r="3490">
      <c r="A3490" s="4561" t="n"/>
      <c r="B3490" s="4561" t="n"/>
      <c r="C3490" s="4561" t="n"/>
      <c r="D3490" s="4561" t="n"/>
      <c r="E3490" s="4561" t="n"/>
      <c r="F3490" s="4561" t="n"/>
      <c r="G3490" s="4561" t="n"/>
      <c r="H3490" s="4561" t="n"/>
      <c r="I3490" s="4562">
        <f>XLOOKUP(B3490,'_Sys|Line_Map'!$A:$A,'_Sys|Line_Map'!$C:$C,"MISSING",0)</f>
        <v/>
      </c>
      <c r="J3490" s="4562">
        <f>XLOOKUP(B3490,'_Sys|Line_Map'!$A:$A,'_Sys|Line_Map'!$D:$D,1,0)</f>
        <v/>
      </c>
      <c r="K3490" s="4562">
        <f>IF(D3490="","",D3490*J3490)</f>
        <v/>
      </c>
      <c r="L3490" s="4562">
        <f>XLOOKUP(B3490,'_Sys|Line_Map'!$A:$A,'_Sys|Line_Map'!$B:$B,"MISSING",0)</f>
        <v/>
      </c>
    </row>
    <row r="3491">
      <c r="A3491" s="4561" t="n"/>
      <c r="B3491" s="4561" t="n"/>
      <c r="C3491" s="4561" t="n"/>
      <c r="D3491" s="4561" t="n"/>
      <c r="E3491" s="4561" t="n"/>
      <c r="F3491" s="4561" t="n"/>
      <c r="G3491" s="4561" t="n"/>
      <c r="H3491" s="4561" t="n"/>
      <c r="I3491" s="4562">
        <f>XLOOKUP(B3491,'_Sys|Line_Map'!$A:$A,'_Sys|Line_Map'!$C:$C,"MISSING",0)</f>
        <v/>
      </c>
      <c r="J3491" s="4562">
        <f>XLOOKUP(B3491,'_Sys|Line_Map'!$A:$A,'_Sys|Line_Map'!$D:$D,1,0)</f>
        <v/>
      </c>
      <c r="K3491" s="4562">
        <f>IF(D3491="","",D3491*J3491)</f>
        <v/>
      </c>
      <c r="L3491" s="4562">
        <f>XLOOKUP(B3491,'_Sys|Line_Map'!$A:$A,'_Sys|Line_Map'!$B:$B,"MISSING",0)</f>
        <v/>
      </c>
    </row>
    <row r="3492">
      <c r="A3492" s="4561" t="n"/>
      <c r="B3492" s="4561" t="n"/>
      <c r="C3492" s="4561" t="n"/>
      <c r="D3492" s="4561" t="n"/>
      <c r="E3492" s="4561" t="n"/>
      <c r="F3492" s="4561" t="n"/>
      <c r="G3492" s="4561" t="n"/>
      <c r="H3492" s="4561" t="n"/>
      <c r="I3492" s="4562">
        <f>XLOOKUP(B3492,'_Sys|Line_Map'!$A:$A,'_Sys|Line_Map'!$C:$C,"MISSING",0)</f>
        <v/>
      </c>
      <c r="J3492" s="4562">
        <f>XLOOKUP(B3492,'_Sys|Line_Map'!$A:$A,'_Sys|Line_Map'!$D:$D,1,0)</f>
        <v/>
      </c>
      <c r="K3492" s="4562">
        <f>IF(D3492="","",D3492*J3492)</f>
        <v/>
      </c>
      <c r="L3492" s="4562">
        <f>XLOOKUP(B3492,'_Sys|Line_Map'!$A:$A,'_Sys|Line_Map'!$B:$B,"MISSING",0)</f>
        <v/>
      </c>
    </row>
    <row r="3493">
      <c r="A3493" s="4561" t="n"/>
      <c r="B3493" s="4561" t="n"/>
      <c r="C3493" s="4561" t="n"/>
      <c r="D3493" s="4561" t="n"/>
      <c r="E3493" s="4561" t="n"/>
      <c r="F3493" s="4561" t="n"/>
      <c r="G3493" s="4561" t="n"/>
      <c r="H3493" s="4561" t="n"/>
      <c r="I3493" s="4562">
        <f>XLOOKUP(B3493,'_Sys|Line_Map'!$A:$A,'_Sys|Line_Map'!$C:$C,"MISSING",0)</f>
        <v/>
      </c>
      <c r="J3493" s="4562">
        <f>XLOOKUP(B3493,'_Sys|Line_Map'!$A:$A,'_Sys|Line_Map'!$D:$D,1,0)</f>
        <v/>
      </c>
      <c r="K3493" s="4562">
        <f>IF(D3493="","",D3493*J3493)</f>
        <v/>
      </c>
      <c r="L3493" s="4562">
        <f>XLOOKUP(B3493,'_Sys|Line_Map'!$A:$A,'_Sys|Line_Map'!$B:$B,"MISSING",0)</f>
        <v/>
      </c>
    </row>
    <row r="3494">
      <c r="A3494" s="4561" t="n"/>
      <c r="B3494" s="4561" t="n"/>
      <c r="C3494" s="4561" t="n"/>
      <c r="D3494" s="4561" t="n"/>
      <c r="E3494" s="4561" t="n"/>
      <c r="F3494" s="4561" t="n"/>
      <c r="G3494" s="4561" t="n"/>
      <c r="H3494" s="4561" t="n"/>
      <c r="I3494" s="4562">
        <f>XLOOKUP(B3494,'_Sys|Line_Map'!$A:$A,'_Sys|Line_Map'!$C:$C,"MISSING",0)</f>
        <v/>
      </c>
      <c r="J3494" s="4562">
        <f>XLOOKUP(B3494,'_Sys|Line_Map'!$A:$A,'_Sys|Line_Map'!$D:$D,1,0)</f>
        <v/>
      </c>
      <c r="K3494" s="4562">
        <f>IF(D3494="","",D3494*J3494)</f>
        <v/>
      </c>
      <c r="L3494" s="4562">
        <f>XLOOKUP(B3494,'_Sys|Line_Map'!$A:$A,'_Sys|Line_Map'!$B:$B,"MISSING",0)</f>
        <v/>
      </c>
    </row>
    <row r="3495">
      <c r="A3495" s="4561" t="n"/>
      <c r="B3495" s="4561" t="n"/>
      <c r="C3495" s="4561" t="n"/>
      <c r="D3495" s="4561" t="n"/>
      <c r="E3495" s="4561" t="n"/>
      <c r="F3495" s="4561" t="n"/>
      <c r="G3495" s="4561" t="n"/>
      <c r="H3495" s="4561" t="n"/>
      <c r="I3495" s="4562">
        <f>XLOOKUP(B3495,'_Sys|Line_Map'!$A:$A,'_Sys|Line_Map'!$C:$C,"MISSING",0)</f>
        <v/>
      </c>
      <c r="J3495" s="4562">
        <f>XLOOKUP(B3495,'_Sys|Line_Map'!$A:$A,'_Sys|Line_Map'!$D:$D,1,0)</f>
        <v/>
      </c>
      <c r="K3495" s="4562">
        <f>IF(D3495="","",D3495*J3495)</f>
        <v/>
      </c>
      <c r="L3495" s="4562">
        <f>XLOOKUP(B3495,'_Sys|Line_Map'!$A:$A,'_Sys|Line_Map'!$B:$B,"MISSING",0)</f>
        <v/>
      </c>
    </row>
    <row r="3496">
      <c r="A3496" s="4561" t="n"/>
      <c r="B3496" s="4561" t="n"/>
      <c r="C3496" s="4561" t="n"/>
      <c r="D3496" s="4561" t="n"/>
      <c r="E3496" s="4561" t="n"/>
      <c r="F3496" s="4561" t="n"/>
      <c r="G3496" s="4561" t="n"/>
      <c r="H3496" s="4561" t="n"/>
      <c r="I3496" s="4562">
        <f>XLOOKUP(B3496,'_Sys|Line_Map'!$A:$A,'_Sys|Line_Map'!$C:$C,"MISSING",0)</f>
        <v/>
      </c>
      <c r="J3496" s="4562">
        <f>XLOOKUP(B3496,'_Sys|Line_Map'!$A:$A,'_Sys|Line_Map'!$D:$D,1,0)</f>
        <v/>
      </c>
      <c r="K3496" s="4562">
        <f>IF(D3496="","",D3496*J3496)</f>
        <v/>
      </c>
      <c r="L3496" s="4562">
        <f>XLOOKUP(B3496,'_Sys|Line_Map'!$A:$A,'_Sys|Line_Map'!$B:$B,"MISSING",0)</f>
        <v/>
      </c>
    </row>
    <row r="3497">
      <c r="A3497" s="4561" t="n"/>
      <c r="B3497" s="4561" t="n"/>
      <c r="C3497" s="4561" t="n"/>
      <c r="D3497" s="4561" t="n"/>
      <c r="E3497" s="4561" t="n"/>
      <c r="F3497" s="4561" t="n"/>
      <c r="G3497" s="4561" t="n"/>
      <c r="H3497" s="4561" t="n"/>
      <c r="I3497" s="4562">
        <f>XLOOKUP(B3497,'_Sys|Line_Map'!$A:$A,'_Sys|Line_Map'!$C:$C,"MISSING",0)</f>
        <v/>
      </c>
      <c r="J3497" s="4562">
        <f>XLOOKUP(B3497,'_Sys|Line_Map'!$A:$A,'_Sys|Line_Map'!$D:$D,1,0)</f>
        <v/>
      </c>
      <c r="K3497" s="4562">
        <f>IF(D3497="","",D3497*J3497)</f>
        <v/>
      </c>
      <c r="L3497" s="4562">
        <f>XLOOKUP(B3497,'_Sys|Line_Map'!$A:$A,'_Sys|Line_Map'!$B:$B,"MISSING",0)</f>
        <v/>
      </c>
    </row>
    <row r="3498">
      <c r="A3498" s="4561" t="n"/>
      <c r="B3498" s="4561" t="n"/>
      <c r="C3498" s="4561" t="n"/>
      <c r="D3498" s="4561" t="n"/>
      <c r="E3498" s="4561" t="n"/>
      <c r="F3498" s="4561" t="n"/>
      <c r="G3498" s="4561" t="n"/>
      <c r="H3498" s="4561" t="n"/>
      <c r="I3498" s="4562">
        <f>XLOOKUP(B3498,'_Sys|Line_Map'!$A:$A,'_Sys|Line_Map'!$C:$C,"MISSING",0)</f>
        <v/>
      </c>
      <c r="J3498" s="4562">
        <f>XLOOKUP(B3498,'_Sys|Line_Map'!$A:$A,'_Sys|Line_Map'!$D:$D,1,0)</f>
        <v/>
      </c>
      <c r="K3498" s="4562">
        <f>IF(D3498="","",D3498*J3498)</f>
        <v/>
      </c>
      <c r="L3498" s="4562">
        <f>XLOOKUP(B3498,'_Sys|Line_Map'!$A:$A,'_Sys|Line_Map'!$B:$B,"MISSING",0)</f>
        <v/>
      </c>
    </row>
    <row r="3499">
      <c r="A3499" s="4561" t="n"/>
      <c r="B3499" s="4561" t="n"/>
      <c r="C3499" s="4561" t="n"/>
      <c r="D3499" s="4561" t="n"/>
      <c r="E3499" s="4561" t="n"/>
      <c r="F3499" s="4561" t="n"/>
      <c r="G3499" s="4561" t="n"/>
      <c r="H3499" s="4561" t="n"/>
      <c r="I3499" s="4562">
        <f>XLOOKUP(B3499,'_Sys|Line_Map'!$A:$A,'_Sys|Line_Map'!$C:$C,"MISSING",0)</f>
        <v/>
      </c>
      <c r="J3499" s="4562">
        <f>XLOOKUP(B3499,'_Sys|Line_Map'!$A:$A,'_Sys|Line_Map'!$D:$D,1,0)</f>
        <v/>
      </c>
      <c r="K3499" s="4562">
        <f>IF(D3499="","",D3499*J3499)</f>
        <v/>
      </c>
      <c r="L3499" s="4562">
        <f>XLOOKUP(B3499,'_Sys|Line_Map'!$A:$A,'_Sys|Line_Map'!$B:$B,"MISSING",0)</f>
        <v/>
      </c>
    </row>
    <row r="3500">
      <c r="A3500" s="4561" t="n"/>
      <c r="B3500" s="4561" t="n"/>
      <c r="C3500" s="4561" t="n"/>
      <c r="D3500" s="4561" t="n"/>
      <c r="E3500" s="4561" t="n"/>
      <c r="F3500" s="4561" t="n"/>
      <c r="G3500" s="4561" t="n"/>
      <c r="H3500" s="4561" t="n"/>
      <c r="I3500" s="4562">
        <f>XLOOKUP(B3500,'_Sys|Line_Map'!$A:$A,'_Sys|Line_Map'!$C:$C,"MISSING",0)</f>
        <v/>
      </c>
      <c r="J3500" s="4562">
        <f>XLOOKUP(B3500,'_Sys|Line_Map'!$A:$A,'_Sys|Line_Map'!$D:$D,1,0)</f>
        <v/>
      </c>
      <c r="K3500" s="4562">
        <f>IF(D3500="","",D3500*J3500)</f>
        <v/>
      </c>
      <c r="L3500" s="4562">
        <f>XLOOKUP(B3500,'_Sys|Line_Map'!$A:$A,'_Sys|Line_Map'!$B:$B,"MISSING",0)</f>
        <v/>
      </c>
    </row>
    <row r="3501">
      <c r="A3501" s="4561" t="n"/>
      <c r="B3501" s="4561" t="n"/>
      <c r="C3501" s="4561" t="n"/>
      <c r="D3501" s="4561" t="n"/>
      <c r="E3501" s="4561" t="n"/>
      <c r="F3501" s="4561" t="n"/>
      <c r="G3501" s="4561" t="n"/>
      <c r="H3501" s="4561" t="n"/>
      <c r="I3501" s="4562">
        <f>XLOOKUP(B3501,'_Sys|Line_Map'!$A:$A,'_Sys|Line_Map'!$C:$C,"MISSING",0)</f>
        <v/>
      </c>
      <c r="J3501" s="4562">
        <f>XLOOKUP(B3501,'_Sys|Line_Map'!$A:$A,'_Sys|Line_Map'!$D:$D,1,0)</f>
        <v/>
      </c>
      <c r="K3501" s="4562">
        <f>IF(D3501="","",D3501*J3501)</f>
        <v/>
      </c>
      <c r="L3501" s="4562">
        <f>XLOOKUP(B3501,'_Sys|Line_Map'!$A:$A,'_Sys|Line_Map'!$B:$B,"MISSING",0)</f>
        <v/>
      </c>
    </row>
    <row r="3502">
      <c r="A3502" s="4561" t="n"/>
      <c r="B3502" s="4561" t="n"/>
      <c r="C3502" s="4561" t="n"/>
      <c r="D3502" s="4561" t="n"/>
      <c r="E3502" s="4561" t="n"/>
      <c r="F3502" s="4561" t="n"/>
      <c r="G3502" s="4561" t="n"/>
      <c r="H3502" s="4561" t="n"/>
      <c r="I3502" s="4562">
        <f>XLOOKUP(B3502,'_Sys|Line_Map'!$A:$A,'_Sys|Line_Map'!$C:$C,"MISSING",0)</f>
        <v/>
      </c>
      <c r="J3502" s="4562">
        <f>XLOOKUP(B3502,'_Sys|Line_Map'!$A:$A,'_Sys|Line_Map'!$D:$D,1,0)</f>
        <v/>
      </c>
      <c r="K3502" s="4562">
        <f>IF(D3502="","",D3502*J3502)</f>
        <v/>
      </c>
      <c r="L3502" s="4562">
        <f>XLOOKUP(B3502,'_Sys|Line_Map'!$A:$A,'_Sys|Line_Map'!$B:$B,"MISSING",0)</f>
        <v/>
      </c>
    </row>
    <row r="3503">
      <c r="A3503" s="4561" t="n"/>
      <c r="B3503" s="4561" t="n"/>
      <c r="C3503" s="4561" t="n"/>
      <c r="D3503" s="4561" t="n"/>
      <c r="E3503" s="4561" t="n"/>
      <c r="F3503" s="4561" t="n"/>
      <c r="G3503" s="4561" t="n"/>
      <c r="H3503" s="4561" t="n"/>
      <c r="I3503" s="4562">
        <f>XLOOKUP(B3503,'_Sys|Line_Map'!$A:$A,'_Sys|Line_Map'!$C:$C,"MISSING",0)</f>
        <v/>
      </c>
      <c r="J3503" s="4562">
        <f>XLOOKUP(B3503,'_Sys|Line_Map'!$A:$A,'_Sys|Line_Map'!$D:$D,1,0)</f>
        <v/>
      </c>
      <c r="K3503" s="4562">
        <f>IF(D3503="","",D3503*J3503)</f>
        <v/>
      </c>
      <c r="L3503" s="4562">
        <f>XLOOKUP(B3503,'_Sys|Line_Map'!$A:$A,'_Sys|Line_Map'!$B:$B,"MISSING",0)</f>
        <v/>
      </c>
    </row>
    <row r="3504">
      <c r="A3504" s="4561" t="n"/>
      <c r="B3504" s="4561" t="n"/>
      <c r="C3504" s="4561" t="n"/>
      <c r="D3504" s="4561" t="n"/>
      <c r="E3504" s="4561" t="n"/>
      <c r="F3504" s="4561" t="n"/>
      <c r="G3504" s="4561" t="n"/>
      <c r="H3504" s="4561" t="n"/>
      <c r="I3504" s="4562">
        <f>XLOOKUP(B3504,'_Sys|Line_Map'!$A:$A,'_Sys|Line_Map'!$C:$C,"MISSING",0)</f>
        <v/>
      </c>
      <c r="J3504" s="4562">
        <f>XLOOKUP(B3504,'_Sys|Line_Map'!$A:$A,'_Sys|Line_Map'!$D:$D,1,0)</f>
        <v/>
      </c>
      <c r="K3504" s="4562">
        <f>IF(D3504="","",D3504*J3504)</f>
        <v/>
      </c>
      <c r="L3504" s="4562">
        <f>XLOOKUP(B3504,'_Sys|Line_Map'!$A:$A,'_Sys|Line_Map'!$B:$B,"MISSING",0)</f>
        <v/>
      </c>
    </row>
    <row r="3505">
      <c r="A3505" s="4561" t="n"/>
      <c r="B3505" s="4561" t="n"/>
      <c r="C3505" s="4561" t="n"/>
      <c r="D3505" s="4561" t="n"/>
      <c r="E3505" s="4561" t="n"/>
      <c r="F3505" s="4561" t="n"/>
      <c r="G3505" s="4561" t="n"/>
      <c r="H3505" s="4561" t="n"/>
      <c r="I3505" s="4562">
        <f>XLOOKUP(B3505,'_Sys|Line_Map'!$A:$A,'_Sys|Line_Map'!$C:$C,"MISSING",0)</f>
        <v/>
      </c>
      <c r="J3505" s="4562">
        <f>XLOOKUP(B3505,'_Sys|Line_Map'!$A:$A,'_Sys|Line_Map'!$D:$D,1,0)</f>
        <v/>
      </c>
      <c r="K3505" s="4562">
        <f>IF(D3505="","",D3505*J3505)</f>
        <v/>
      </c>
      <c r="L3505" s="4562">
        <f>XLOOKUP(B3505,'_Sys|Line_Map'!$A:$A,'_Sys|Line_Map'!$B:$B,"MISSING",0)</f>
        <v/>
      </c>
    </row>
    <row r="3506">
      <c r="A3506" s="4561" t="n"/>
      <c r="B3506" s="4561" t="n"/>
      <c r="C3506" s="4561" t="n"/>
      <c r="D3506" s="4561" t="n"/>
      <c r="E3506" s="4561" t="n"/>
      <c r="F3506" s="4561" t="n"/>
      <c r="G3506" s="4561" t="n"/>
      <c r="H3506" s="4561" t="n"/>
      <c r="I3506" s="4562">
        <f>XLOOKUP(B3506,'_Sys|Line_Map'!$A:$A,'_Sys|Line_Map'!$C:$C,"MISSING",0)</f>
        <v/>
      </c>
      <c r="J3506" s="4562">
        <f>XLOOKUP(B3506,'_Sys|Line_Map'!$A:$A,'_Sys|Line_Map'!$D:$D,1,0)</f>
        <v/>
      </c>
      <c r="K3506" s="4562">
        <f>IF(D3506="","",D3506*J3506)</f>
        <v/>
      </c>
      <c r="L3506" s="4562">
        <f>XLOOKUP(B3506,'_Sys|Line_Map'!$A:$A,'_Sys|Line_Map'!$B:$B,"MISSING",0)</f>
        <v/>
      </c>
    </row>
    <row r="3507">
      <c r="A3507" s="4561" t="n"/>
      <c r="B3507" s="4561" t="n"/>
      <c r="C3507" s="4561" t="n"/>
      <c r="D3507" s="4561" t="n"/>
      <c r="E3507" s="4561" t="n"/>
      <c r="F3507" s="4561" t="n"/>
      <c r="G3507" s="4561" t="n"/>
      <c r="H3507" s="4561" t="n"/>
      <c r="I3507" s="4562">
        <f>XLOOKUP(B3507,'_Sys|Line_Map'!$A:$A,'_Sys|Line_Map'!$C:$C,"MISSING",0)</f>
        <v/>
      </c>
      <c r="J3507" s="4562">
        <f>XLOOKUP(B3507,'_Sys|Line_Map'!$A:$A,'_Sys|Line_Map'!$D:$D,1,0)</f>
        <v/>
      </c>
      <c r="K3507" s="4562">
        <f>IF(D3507="","",D3507*J3507)</f>
        <v/>
      </c>
      <c r="L3507" s="4562">
        <f>XLOOKUP(B3507,'_Sys|Line_Map'!$A:$A,'_Sys|Line_Map'!$B:$B,"MISSING",0)</f>
        <v/>
      </c>
    </row>
    <row r="3508">
      <c r="A3508" s="4561" t="n"/>
      <c r="B3508" s="4561" t="n"/>
      <c r="C3508" s="4561" t="n"/>
      <c r="D3508" s="4561" t="n"/>
      <c r="E3508" s="4561" t="n"/>
      <c r="F3508" s="4561" t="n"/>
      <c r="G3508" s="4561" t="n"/>
      <c r="H3508" s="4561" t="n"/>
      <c r="I3508" s="4562">
        <f>XLOOKUP(B3508,'_Sys|Line_Map'!$A:$A,'_Sys|Line_Map'!$C:$C,"MISSING",0)</f>
        <v/>
      </c>
      <c r="J3508" s="4562">
        <f>XLOOKUP(B3508,'_Sys|Line_Map'!$A:$A,'_Sys|Line_Map'!$D:$D,1,0)</f>
        <v/>
      </c>
      <c r="K3508" s="4562">
        <f>IF(D3508="","",D3508*J3508)</f>
        <v/>
      </c>
      <c r="L3508" s="4562">
        <f>XLOOKUP(B3508,'_Sys|Line_Map'!$A:$A,'_Sys|Line_Map'!$B:$B,"MISSING",0)</f>
        <v/>
      </c>
    </row>
    <row r="3509">
      <c r="A3509" s="4561" t="n"/>
      <c r="B3509" s="4561" t="n"/>
      <c r="C3509" s="4561" t="n"/>
      <c r="D3509" s="4561" t="n"/>
      <c r="E3509" s="4561" t="n"/>
      <c r="F3509" s="4561" t="n"/>
      <c r="G3509" s="4561" t="n"/>
      <c r="H3509" s="4561" t="n"/>
      <c r="I3509" s="4562">
        <f>XLOOKUP(B3509,'_Sys|Line_Map'!$A:$A,'_Sys|Line_Map'!$C:$C,"MISSING",0)</f>
        <v/>
      </c>
      <c r="J3509" s="4562">
        <f>XLOOKUP(B3509,'_Sys|Line_Map'!$A:$A,'_Sys|Line_Map'!$D:$D,1,0)</f>
        <v/>
      </c>
      <c r="K3509" s="4562">
        <f>IF(D3509="","",D3509*J3509)</f>
        <v/>
      </c>
      <c r="L3509" s="4562">
        <f>XLOOKUP(B3509,'_Sys|Line_Map'!$A:$A,'_Sys|Line_Map'!$B:$B,"MISSING",0)</f>
        <v/>
      </c>
    </row>
    <row r="3510">
      <c r="A3510" s="4561" t="n"/>
      <c r="B3510" s="4561" t="n"/>
      <c r="C3510" s="4561" t="n"/>
      <c r="D3510" s="4561" t="n"/>
      <c r="E3510" s="4561" t="n"/>
      <c r="F3510" s="4561" t="n"/>
      <c r="G3510" s="4561" t="n"/>
      <c r="H3510" s="4561" t="n"/>
      <c r="I3510" s="4562">
        <f>XLOOKUP(B3510,'_Sys|Line_Map'!$A:$A,'_Sys|Line_Map'!$C:$C,"MISSING",0)</f>
        <v/>
      </c>
      <c r="J3510" s="4562">
        <f>XLOOKUP(B3510,'_Sys|Line_Map'!$A:$A,'_Sys|Line_Map'!$D:$D,1,0)</f>
        <v/>
      </c>
      <c r="K3510" s="4562">
        <f>IF(D3510="","",D3510*J3510)</f>
        <v/>
      </c>
      <c r="L3510" s="4562">
        <f>XLOOKUP(B3510,'_Sys|Line_Map'!$A:$A,'_Sys|Line_Map'!$B:$B,"MISSING",0)</f>
        <v/>
      </c>
    </row>
    <row r="3511">
      <c r="A3511" s="4561" t="n"/>
      <c r="B3511" s="4561" t="n"/>
      <c r="C3511" s="4561" t="n"/>
      <c r="D3511" s="4561" t="n"/>
      <c r="E3511" s="4561" t="n"/>
      <c r="F3511" s="4561" t="n"/>
      <c r="G3511" s="4561" t="n"/>
      <c r="H3511" s="4561" t="n"/>
      <c r="I3511" s="4562">
        <f>XLOOKUP(B3511,'_Sys|Line_Map'!$A:$A,'_Sys|Line_Map'!$C:$C,"MISSING",0)</f>
        <v/>
      </c>
      <c r="J3511" s="4562">
        <f>XLOOKUP(B3511,'_Sys|Line_Map'!$A:$A,'_Sys|Line_Map'!$D:$D,1,0)</f>
        <v/>
      </c>
      <c r="K3511" s="4562">
        <f>IF(D3511="","",D3511*J3511)</f>
        <v/>
      </c>
      <c r="L3511" s="4562">
        <f>XLOOKUP(B3511,'_Sys|Line_Map'!$A:$A,'_Sys|Line_Map'!$B:$B,"MISSING",0)</f>
        <v/>
      </c>
    </row>
    <row r="3512">
      <c r="A3512" s="4561" t="n"/>
      <c r="B3512" s="4561" t="n"/>
      <c r="C3512" s="4561" t="n"/>
      <c r="D3512" s="4561" t="n"/>
      <c r="E3512" s="4561" t="n"/>
      <c r="F3512" s="4561" t="n"/>
      <c r="G3512" s="4561" t="n"/>
      <c r="H3512" s="4561" t="n"/>
      <c r="I3512" s="4562">
        <f>XLOOKUP(B3512,'_Sys|Line_Map'!$A:$A,'_Sys|Line_Map'!$C:$C,"MISSING",0)</f>
        <v/>
      </c>
      <c r="J3512" s="4562">
        <f>XLOOKUP(B3512,'_Sys|Line_Map'!$A:$A,'_Sys|Line_Map'!$D:$D,1,0)</f>
        <v/>
      </c>
      <c r="K3512" s="4562">
        <f>IF(D3512="","",D3512*J3512)</f>
        <v/>
      </c>
      <c r="L3512" s="4562">
        <f>XLOOKUP(B3512,'_Sys|Line_Map'!$A:$A,'_Sys|Line_Map'!$B:$B,"MISSING",0)</f>
        <v/>
      </c>
    </row>
    <row r="3513">
      <c r="A3513" s="4561" t="n"/>
      <c r="B3513" s="4561" t="n"/>
      <c r="C3513" s="4561" t="n"/>
      <c r="D3513" s="4561" t="n"/>
      <c r="E3513" s="4561" t="n"/>
      <c r="F3513" s="4561" t="n"/>
      <c r="G3513" s="4561" t="n"/>
      <c r="H3513" s="4561" t="n"/>
      <c r="I3513" s="4562">
        <f>XLOOKUP(B3513,'_Sys|Line_Map'!$A:$A,'_Sys|Line_Map'!$C:$C,"MISSING",0)</f>
        <v/>
      </c>
      <c r="J3513" s="4562">
        <f>XLOOKUP(B3513,'_Sys|Line_Map'!$A:$A,'_Sys|Line_Map'!$D:$D,1,0)</f>
        <v/>
      </c>
      <c r="K3513" s="4562">
        <f>IF(D3513="","",D3513*J3513)</f>
        <v/>
      </c>
      <c r="L3513" s="4562">
        <f>XLOOKUP(B3513,'_Sys|Line_Map'!$A:$A,'_Sys|Line_Map'!$B:$B,"MISSING",0)</f>
        <v/>
      </c>
    </row>
    <row r="3514">
      <c r="A3514" s="4561" t="n"/>
      <c r="B3514" s="4561" t="n"/>
      <c r="C3514" s="4561" t="n"/>
      <c r="D3514" s="4561" t="n"/>
      <c r="E3514" s="4561" t="n"/>
      <c r="F3514" s="4561" t="n"/>
      <c r="G3514" s="4561" t="n"/>
      <c r="H3514" s="4561" t="n"/>
      <c r="I3514" s="4562">
        <f>XLOOKUP(B3514,'_Sys|Line_Map'!$A:$A,'_Sys|Line_Map'!$C:$C,"MISSING",0)</f>
        <v/>
      </c>
      <c r="J3514" s="4562">
        <f>XLOOKUP(B3514,'_Sys|Line_Map'!$A:$A,'_Sys|Line_Map'!$D:$D,1,0)</f>
        <v/>
      </c>
      <c r="K3514" s="4562">
        <f>IF(D3514="","",D3514*J3514)</f>
        <v/>
      </c>
      <c r="L3514" s="4562">
        <f>XLOOKUP(B3514,'_Sys|Line_Map'!$A:$A,'_Sys|Line_Map'!$B:$B,"MISSING",0)</f>
        <v/>
      </c>
    </row>
    <row r="3515">
      <c r="A3515" s="4561" t="n"/>
      <c r="B3515" s="4561" t="n"/>
      <c r="C3515" s="4561" t="n"/>
      <c r="D3515" s="4561" t="n"/>
      <c r="E3515" s="4561" t="n"/>
      <c r="F3515" s="4561" t="n"/>
      <c r="G3515" s="4561" t="n"/>
      <c r="H3515" s="4561" t="n"/>
      <c r="I3515" s="4562">
        <f>XLOOKUP(B3515,'_Sys|Line_Map'!$A:$A,'_Sys|Line_Map'!$C:$C,"MISSING",0)</f>
        <v/>
      </c>
      <c r="J3515" s="4562">
        <f>XLOOKUP(B3515,'_Sys|Line_Map'!$A:$A,'_Sys|Line_Map'!$D:$D,1,0)</f>
        <v/>
      </c>
      <c r="K3515" s="4562">
        <f>IF(D3515="","",D3515*J3515)</f>
        <v/>
      </c>
      <c r="L3515" s="4562">
        <f>XLOOKUP(B3515,'_Sys|Line_Map'!$A:$A,'_Sys|Line_Map'!$B:$B,"MISSING",0)</f>
        <v/>
      </c>
    </row>
    <row r="3516">
      <c r="A3516" s="4561" t="n"/>
      <c r="B3516" s="4561" t="n"/>
      <c r="C3516" s="4561" t="n"/>
      <c r="D3516" s="4561" t="n"/>
      <c r="E3516" s="4561" t="n"/>
      <c r="F3516" s="4561" t="n"/>
      <c r="G3516" s="4561" t="n"/>
      <c r="H3516" s="4561" t="n"/>
      <c r="I3516" s="4562">
        <f>XLOOKUP(B3516,'_Sys|Line_Map'!$A:$A,'_Sys|Line_Map'!$C:$C,"MISSING",0)</f>
        <v/>
      </c>
      <c r="J3516" s="4562">
        <f>XLOOKUP(B3516,'_Sys|Line_Map'!$A:$A,'_Sys|Line_Map'!$D:$D,1,0)</f>
        <v/>
      </c>
      <c r="K3516" s="4562">
        <f>IF(D3516="","",D3516*J3516)</f>
        <v/>
      </c>
      <c r="L3516" s="4562">
        <f>XLOOKUP(B3516,'_Sys|Line_Map'!$A:$A,'_Sys|Line_Map'!$B:$B,"MISSING",0)</f>
        <v/>
      </c>
    </row>
    <row r="3517">
      <c r="A3517" s="4561" t="n"/>
      <c r="B3517" s="4561" t="n"/>
      <c r="C3517" s="4561" t="n"/>
      <c r="D3517" s="4561" t="n"/>
      <c r="E3517" s="4561" t="n"/>
      <c r="F3517" s="4561" t="n"/>
      <c r="G3517" s="4561" t="n"/>
      <c r="H3517" s="4561" t="n"/>
      <c r="I3517" s="4562">
        <f>XLOOKUP(B3517,'_Sys|Line_Map'!$A:$A,'_Sys|Line_Map'!$C:$C,"MISSING",0)</f>
        <v/>
      </c>
      <c r="J3517" s="4562">
        <f>XLOOKUP(B3517,'_Sys|Line_Map'!$A:$A,'_Sys|Line_Map'!$D:$D,1,0)</f>
        <v/>
      </c>
      <c r="K3517" s="4562">
        <f>IF(D3517="","",D3517*J3517)</f>
        <v/>
      </c>
      <c r="L3517" s="4562">
        <f>XLOOKUP(B3517,'_Sys|Line_Map'!$A:$A,'_Sys|Line_Map'!$B:$B,"MISSING",0)</f>
        <v/>
      </c>
    </row>
    <row r="3518">
      <c r="A3518" s="4561" t="n"/>
      <c r="B3518" s="4561" t="n"/>
      <c r="C3518" s="4561" t="n"/>
      <c r="D3518" s="4561" t="n"/>
      <c r="E3518" s="4561" t="n"/>
      <c r="F3518" s="4561" t="n"/>
      <c r="G3518" s="4561" t="n"/>
      <c r="H3518" s="4561" t="n"/>
      <c r="I3518" s="4562">
        <f>XLOOKUP(B3518,'_Sys|Line_Map'!$A:$A,'_Sys|Line_Map'!$C:$C,"MISSING",0)</f>
        <v/>
      </c>
      <c r="J3518" s="4562">
        <f>XLOOKUP(B3518,'_Sys|Line_Map'!$A:$A,'_Sys|Line_Map'!$D:$D,1,0)</f>
        <v/>
      </c>
      <c r="K3518" s="4562">
        <f>IF(D3518="","",D3518*J3518)</f>
        <v/>
      </c>
      <c r="L3518" s="4562">
        <f>XLOOKUP(B3518,'_Sys|Line_Map'!$A:$A,'_Sys|Line_Map'!$B:$B,"MISSING",0)</f>
        <v/>
      </c>
    </row>
    <row r="3519">
      <c r="A3519" s="4561" t="n"/>
      <c r="B3519" s="4561" t="n"/>
      <c r="C3519" s="4561" t="n"/>
      <c r="D3519" s="4561" t="n"/>
      <c r="E3519" s="4561" t="n"/>
      <c r="F3519" s="4561" t="n"/>
      <c r="G3519" s="4561" t="n"/>
      <c r="H3519" s="4561" t="n"/>
      <c r="I3519" s="4562">
        <f>XLOOKUP(B3519,'_Sys|Line_Map'!$A:$A,'_Sys|Line_Map'!$C:$C,"MISSING",0)</f>
        <v/>
      </c>
      <c r="J3519" s="4562">
        <f>XLOOKUP(B3519,'_Sys|Line_Map'!$A:$A,'_Sys|Line_Map'!$D:$D,1,0)</f>
        <v/>
      </c>
      <c r="K3519" s="4562">
        <f>IF(D3519="","",D3519*J3519)</f>
        <v/>
      </c>
      <c r="L3519" s="4562">
        <f>XLOOKUP(B3519,'_Sys|Line_Map'!$A:$A,'_Sys|Line_Map'!$B:$B,"MISSING",0)</f>
        <v/>
      </c>
    </row>
    <row r="3520">
      <c r="A3520" s="4561" t="n"/>
      <c r="B3520" s="4561" t="n"/>
      <c r="C3520" s="4561" t="n"/>
      <c r="D3520" s="4561" t="n"/>
      <c r="E3520" s="4561" t="n"/>
      <c r="F3520" s="4561" t="n"/>
      <c r="G3520" s="4561" t="n"/>
      <c r="H3520" s="4561" t="n"/>
      <c r="I3520" s="4562">
        <f>XLOOKUP(B3520,'_Sys|Line_Map'!$A:$A,'_Sys|Line_Map'!$C:$C,"MISSING",0)</f>
        <v/>
      </c>
      <c r="J3520" s="4562">
        <f>XLOOKUP(B3520,'_Sys|Line_Map'!$A:$A,'_Sys|Line_Map'!$D:$D,1,0)</f>
        <v/>
      </c>
      <c r="K3520" s="4562">
        <f>IF(D3520="","",D3520*J3520)</f>
        <v/>
      </c>
      <c r="L3520" s="4562">
        <f>XLOOKUP(B3520,'_Sys|Line_Map'!$A:$A,'_Sys|Line_Map'!$B:$B,"MISSING",0)</f>
        <v/>
      </c>
    </row>
    <row r="3521">
      <c r="A3521" s="4561" t="n"/>
      <c r="B3521" s="4561" t="n"/>
      <c r="C3521" s="4561" t="n"/>
      <c r="D3521" s="4561" t="n"/>
      <c r="E3521" s="4561" t="n"/>
      <c r="F3521" s="4561" t="n"/>
      <c r="G3521" s="4561" t="n"/>
      <c r="H3521" s="4561" t="n"/>
      <c r="I3521" s="4562">
        <f>XLOOKUP(B3521,'_Sys|Line_Map'!$A:$A,'_Sys|Line_Map'!$C:$C,"MISSING",0)</f>
        <v/>
      </c>
      <c r="J3521" s="4562">
        <f>XLOOKUP(B3521,'_Sys|Line_Map'!$A:$A,'_Sys|Line_Map'!$D:$D,1,0)</f>
        <v/>
      </c>
      <c r="K3521" s="4562">
        <f>IF(D3521="","",D3521*J3521)</f>
        <v/>
      </c>
      <c r="L3521" s="4562">
        <f>XLOOKUP(B3521,'_Sys|Line_Map'!$A:$A,'_Sys|Line_Map'!$B:$B,"MISSING",0)</f>
        <v/>
      </c>
    </row>
    <row r="3522">
      <c r="A3522" s="4561" t="n"/>
      <c r="B3522" s="4561" t="n"/>
      <c r="C3522" s="4561" t="n"/>
      <c r="D3522" s="4561" t="n"/>
      <c r="E3522" s="4561" t="n"/>
      <c r="F3522" s="4561" t="n"/>
      <c r="G3522" s="4561" t="n"/>
      <c r="H3522" s="4561" t="n"/>
      <c r="I3522" s="4562">
        <f>XLOOKUP(B3522,'_Sys|Line_Map'!$A:$A,'_Sys|Line_Map'!$C:$C,"MISSING",0)</f>
        <v/>
      </c>
      <c r="J3522" s="4562">
        <f>XLOOKUP(B3522,'_Sys|Line_Map'!$A:$A,'_Sys|Line_Map'!$D:$D,1,0)</f>
        <v/>
      </c>
      <c r="K3522" s="4562">
        <f>IF(D3522="","",D3522*J3522)</f>
        <v/>
      </c>
      <c r="L3522" s="4562">
        <f>XLOOKUP(B3522,'_Sys|Line_Map'!$A:$A,'_Sys|Line_Map'!$B:$B,"MISSING",0)</f>
        <v/>
      </c>
    </row>
    <row r="3523">
      <c r="A3523" s="4561" t="n"/>
      <c r="B3523" s="4561" t="n"/>
      <c r="C3523" s="4561" t="n"/>
      <c r="D3523" s="4561" t="n"/>
      <c r="E3523" s="4561" t="n"/>
      <c r="F3523" s="4561" t="n"/>
      <c r="G3523" s="4561" t="n"/>
      <c r="H3523" s="4561" t="n"/>
      <c r="I3523" s="4562">
        <f>XLOOKUP(B3523,'_Sys|Line_Map'!$A:$A,'_Sys|Line_Map'!$C:$C,"MISSING",0)</f>
        <v/>
      </c>
      <c r="J3523" s="4562">
        <f>XLOOKUP(B3523,'_Sys|Line_Map'!$A:$A,'_Sys|Line_Map'!$D:$D,1,0)</f>
        <v/>
      </c>
      <c r="K3523" s="4562">
        <f>IF(D3523="","",D3523*J3523)</f>
        <v/>
      </c>
      <c r="L3523" s="4562">
        <f>XLOOKUP(B3523,'_Sys|Line_Map'!$A:$A,'_Sys|Line_Map'!$B:$B,"MISSING",0)</f>
        <v/>
      </c>
    </row>
    <row r="3524">
      <c r="A3524" s="4561" t="n"/>
      <c r="B3524" s="4561" t="n"/>
      <c r="C3524" s="4561" t="n"/>
      <c r="D3524" s="4561" t="n"/>
      <c r="E3524" s="4561" t="n"/>
      <c r="F3524" s="4561" t="n"/>
      <c r="G3524" s="4561" t="n"/>
      <c r="H3524" s="4561" t="n"/>
      <c r="I3524" s="4562">
        <f>XLOOKUP(B3524,'_Sys|Line_Map'!$A:$A,'_Sys|Line_Map'!$C:$C,"MISSING",0)</f>
        <v/>
      </c>
      <c r="J3524" s="4562">
        <f>XLOOKUP(B3524,'_Sys|Line_Map'!$A:$A,'_Sys|Line_Map'!$D:$D,1,0)</f>
        <v/>
      </c>
      <c r="K3524" s="4562">
        <f>IF(D3524="","",D3524*J3524)</f>
        <v/>
      </c>
      <c r="L3524" s="4562">
        <f>XLOOKUP(B3524,'_Sys|Line_Map'!$A:$A,'_Sys|Line_Map'!$B:$B,"MISSING",0)</f>
        <v/>
      </c>
    </row>
    <row r="3525">
      <c r="A3525" s="4561" t="n"/>
      <c r="B3525" s="4561" t="n"/>
      <c r="C3525" s="4561" t="n"/>
      <c r="D3525" s="4561" t="n"/>
      <c r="E3525" s="4561" t="n"/>
      <c r="F3525" s="4561" t="n"/>
      <c r="G3525" s="4561" t="n"/>
      <c r="H3525" s="4561" t="n"/>
      <c r="I3525" s="4562">
        <f>XLOOKUP(B3525,'_Sys|Line_Map'!$A:$A,'_Sys|Line_Map'!$C:$C,"MISSING",0)</f>
        <v/>
      </c>
      <c r="J3525" s="4562">
        <f>XLOOKUP(B3525,'_Sys|Line_Map'!$A:$A,'_Sys|Line_Map'!$D:$D,1,0)</f>
        <v/>
      </c>
      <c r="K3525" s="4562">
        <f>IF(D3525="","",D3525*J3525)</f>
        <v/>
      </c>
      <c r="L3525" s="4562">
        <f>XLOOKUP(B3525,'_Sys|Line_Map'!$A:$A,'_Sys|Line_Map'!$B:$B,"MISSING",0)</f>
        <v/>
      </c>
    </row>
    <row r="3526">
      <c r="A3526" s="4561" t="n"/>
      <c r="B3526" s="4561" t="n"/>
      <c r="C3526" s="4561" t="n"/>
      <c r="D3526" s="4561" t="n"/>
      <c r="E3526" s="4561" t="n"/>
      <c r="F3526" s="4561" t="n"/>
      <c r="G3526" s="4561" t="n"/>
      <c r="H3526" s="4561" t="n"/>
      <c r="I3526" s="4562">
        <f>XLOOKUP(B3526,'_Sys|Line_Map'!$A:$A,'_Sys|Line_Map'!$C:$C,"MISSING",0)</f>
        <v/>
      </c>
      <c r="J3526" s="4562">
        <f>XLOOKUP(B3526,'_Sys|Line_Map'!$A:$A,'_Sys|Line_Map'!$D:$D,1,0)</f>
        <v/>
      </c>
      <c r="K3526" s="4562">
        <f>IF(D3526="","",D3526*J3526)</f>
        <v/>
      </c>
      <c r="L3526" s="4562">
        <f>XLOOKUP(B3526,'_Sys|Line_Map'!$A:$A,'_Sys|Line_Map'!$B:$B,"MISSING",0)</f>
        <v/>
      </c>
    </row>
    <row r="3527">
      <c r="A3527" s="4561" t="n"/>
      <c r="B3527" s="4561" t="n"/>
      <c r="C3527" s="4561" t="n"/>
      <c r="D3527" s="4561" t="n"/>
      <c r="E3527" s="4561" t="n"/>
      <c r="F3527" s="4561" t="n"/>
      <c r="G3527" s="4561" t="n"/>
      <c r="H3527" s="4561" t="n"/>
      <c r="I3527" s="4562">
        <f>XLOOKUP(B3527,'_Sys|Line_Map'!$A:$A,'_Sys|Line_Map'!$C:$C,"MISSING",0)</f>
        <v/>
      </c>
      <c r="J3527" s="4562">
        <f>XLOOKUP(B3527,'_Sys|Line_Map'!$A:$A,'_Sys|Line_Map'!$D:$D,1,0)</f>
        <v/>
      </c>
      <c r="K3527" s="4562">
        <f>IF(D3527="","",D3527*J3527)</f>
        <v/>
      </c>
      <c r="L3527" s="4562">
        <f>XLOOKUP(B3527,'_Sys|Line_Map'!$A:$A,'_Sys|Line_Map'!$B:$B,"MISSING",0)</f>
        <v/>
      </c>
    </row>
    <row r="3528">
      <c r="A3528" s="4561" t="n"/>
      <c r="B3528" s="4561" t="n"/>
      <c r="C3528" s="4561" t="n"/>
      <c r="D3528" s="4561" t="n"/>
      <c r="E3528" s="4561" t="n"/>
      <c r="F3528" s="4561" t="n"/>
      <c r="G3528" s="4561" t="n"/>
      <c r="H3528" s="4561" t="n"/>
      <c r="I3528" s="4562">
        <f>XLOOKUP(B3528,'_Sys|Line_Map'!$A:$A,'_Sys|Line_Map'!$C:$C,"MISSING",0)</f>
        <v/>
      </c>
      <c r="J3528" s="4562">
        <f>XLOOKUP(B3528,'_Sys|Line_Map'!$A:$A,'_Sys|Line_Map'!$D:$D,1,0)</f>
        <v/>
      </c>
      <c r="K3528" s="4562">
        <f>IF(D3528="","",D3528*J3528)</f>
        <v/>
      </c>
      <c r="L3528" s="4562">
        <f>XLOOKUP(B3528,'_Sys|Line_Map'!$A:$A,'_Sys|Line_Map'!$B:$B,"MISSING",0)</f>
        <v/>
      </c>
    </row>
    <row r="3529">
      <c r="A3529" s="4561" t="n"/>
      <c r="B3529" s="4561" t="n"/>
      <c r="C3529" s="4561" t="n"/>
      <c r="D3529" s="4561" t="n"/>
      <c r="E3529" s="4561" t="n"/>
      <c r="F3529" s="4561" t="n"/>
      <c r="G3529" s="4561" t="n"/>
      <c r="H3529" s="4561" t="n"/>
      <c r="I3529" s="4562">
        <f>XLOOKUP(B3529,'_Sys|Line_Map'!$A:$A,'_Sys|Line_Map'!$C:$C,"MISSING",0)</f>
        <v/>
      </c>
      <c r="J3529" s="4562">
        <f>XLOOKUP(B3529,'_Sys|Line_Map'!$A:$A,'_Sys|Line_Map'!$D:$D,1,0)</f>
        <v/>
      </c>
      <c r="K3529" s="4562">
        <f>IF(D3529="","",D3529*J3529)</f>
        <v/>
      </c>
      <c r="L3529" s="4562">
        <f>XLOOKUP(B3529,'_Sys|Line_Map'!$A:$A,'_Sys|Line_Map'!$B:$B,"MISSING",0)</f>
        <v/>
      </c>
    </row>
    <row r="3530">
      <c r="A3530" s="4561" t="n"/>
      <c r="B3530" s="4561" t="n"/>
      <c r="C3530" s="4561" t="n"/>
      <c r="D3530" s="4561" t="n"/>
      <c r="E3530" s="4561" t="n"/>
      <c r="F3530" s="4561" t="n"/>
      <c r="G3530" s="4561" t="n"/>
      <c r="H3530" s="4561" t="n"/>
      <c r="I3530" s="4562">
        <f>XLOOKUP(B3530,'_Sys|Line_Map'!$A:$A,'_Sys|Line_Map'!$C:$C,"MISSING",0)</f>
        <v/>
      </c>
      <c r="J3530" s="4562">
        <f>XLOOKUP(B3530,'_Sys|Line_Map'!$A:$A,'_Sys|Line_Map'!$D:$D,1,0)</f>
        <v/>
      </c>
      <c r="K3530" s="4562">
        <f>IF(D3530="","",D3530*J3530)</f>
        <v/>
      </c>
      <c r="L3530" s="4562">
        <f>XLOOKUP(B3530,'_Sys|Line_Map'!$A:$A,'_Sys|Line_Map'!$B:$B,"MISSING",0)</f>
        <v/>
      </c>
    </row>
    <row r="3531">
      <c r="A3531" s="4561" t="n"/>
      <c r="B3531" s="4561" t="n"/>
      <c r="C3531" s="4561" t="n"/>
      <c r="D3531" s="4561" t="n"/>
      <c r="E3531" s="4561" t="n"/>
      <c r="F3531" s="4561" t="n"/>
      <c r="G3531" s="4561" t="n"/>
      <c r="H3531" s="4561" t="n"/>
      <c r="I3531" s="4562">
        <f>XLOOKUP(B3531,'_Sys|Line_Map'!$A:$A,'_Sys|Line_Map'!$C:$C,"MISSING",0)</f>
        <v/>
      </c>
      <c r="J3531" s="4562">
        <f>XLOOKUP(B3531,'_Sys|Line_Map'!$A:$A,'_Sys|Line_Map'!$D:$D,1,0)</f>
        <v/>
      </c>
      <c r="K3531" s="4562">
        <f>IF(D3531="","",D3531*J3531)</f>
        <v/>
      </c>
      <c r="L3531" s="4562">
        <f>XLOOKUP(B3531,'_Sys|Line_Map'!$A:$A,'_Sys|Line_Map'!$B:$B,"MISSING",0)</f>
        <v/>
      </c>
    </row>
    <row r="3532">
      <c r="A3532" s="4561" t="n"/>
      <c r="B3532" s="4561" t="n"/>
      <c r="C3532" s="4561" t="n"/>
      <c r="D3532" s="4561" t="n"/>
      <c r="E3532" s="4561" t="n"/>
      <c r="F3532" s="4561" t="n"/>
      <c r="G3532" s="4561" t="n"/>
      <c r="H3532" s="4561" t="n"/>
      <c r="I3532" s="4562">
        <f>XLOOKUP(B3532,'_Sys|Line_Map'!$A:$A,'_Sys|Line_Map'!$C:$C,"MISSING",0)</f>
        <v/>
      </c>
      <c r="J3532" s="4562">
        <f>XLOOKUP(B3532,'_Sys|Line_Map'!$A:$A,'_Sys|Line_Map'!$D:$D,1,0)</f>
        <v/>
      </c>
      <c r="K3532" s="4562">
        <f>IF(D3532="","",D3532*J3532)</f>
        <v/>
      </c>
      <c r="L3532" s="4562">
        <f>XLOOKUP(B3532,'_Sys|Line_Map'!$A:$A,'_Sys|Line_Map'!$B:$B,"MISSING",0)</f>
        <v/>
      </c>
    </row>
    <row r="3533">
      <c r="A3533" s="4561" t="n"/>
      <c r="B3533" s="4561" t="n"/>
      <c r="C3533" s="4561" t="n"/>
      <c r="D3533" s="4561" t="n"/>
      <c r="E3533" s="4561" t="n"/>
      <c r="F3533" s="4561" t="n"/>
      <c r="G3533" s="4561" t="n"/>
      <c r="H3533" s="4561" t="n"/>
      <c r="I3533" s="4562">
        <f>XLOOKUP(B3533,'_Sys|Line_Map'!$A:$A,'_Sys|Line_Map'!$C:$C,"MISSING",0)</f>
        <v/>
      </c>
      <c r="J3533" s="4562">
        <f>XLOOKUP(B3533,'_Sys|Line_Map'!$A:$A,'_Sys|Line_Map'!$D:$D,1,0)</f>
        <v/>
      </c>
      <c r="K3533" s="4562">
        <f>IF(D3533="","",D3533*J3533)</f>
        <v/>
      </c>
      <c r="L3533" s="4562">
        <f>XLOOKUP(B3533,'_Sys|Line_Map'!$A:$A,'_Sys|Line_Map'!$B:$B,"MISSING",0)</f>
        <v/>
      </c>
    </row>
    <row r="3534">
      <c r="A3534" s="4561" t="n"/>
      <c r="B3534" s="4561" t="n"/>
      <c r="C3534" s="4561" t="n"/>
      <c r="D3534" s="4561" t="n"/>
      <c r="E3534" s="4561" t="n"/>
      <c r="F3534" s="4561" t="n"/>
      <c r="G3534" s="4561" t="n"/>
      <c r="H3534" s="4561" t="n"/>
      <c r="I3534" s="4562">
        <f>XLOOKUP(B3534,'_Sys|Line_Map'!$A:$A,'_Sys|Line_Map'!$C:$C,"MISSING",0)</f>
        <v/>
      </c>
      <c r="J3534" s="4562">
        <f>XLOOKUP(B3534,'_Sys|Line_Map'!$A:$A,'_Sys|Line_Map'!$D:$D,1,0)</f>
        <v/>
      </c>
      <c r="K3534" s="4562">
        <f>IF(D3534="","",D3534*J3534)</f>
        <v/>
      </c>
      <c r="L3534" s="4562">
        <f>XLOOKUP(B3534,'_Sys|Line_Map'!$A:$A,'_Sys|Line_Map'!$B:$B,"MISSING",0)</f>
        <v/>
      </c>
    </row>
    <row r="3535">
      <c r="A3535" s="4561" t="n"/>
      <c r="B3535" s="4561" t="n"/>
      <c r="C3535" s="4561" t="n"/>
      <c r="D3535" s="4561" t="n"/>
      <c r="E3535" s="4561" t="n"/>
      <c r="F3535" s="4561" t="n"/>
      <c r="G3535" s="4561" t="n"/>
      <c r="H3535" s="4561" t="n"/>
      <c r="I3535" s="4562">
        <f>XLOOKUP(B3535,'_Sys|Line_Map'!$A:$A,'_Sys|Line_Map'!$C:$C,"MISSING",0)</f>
        <v/>
      </c>
      <c r="J3535" s="4562">
        <f>XLOOKUP(B3535,'_Sys|Line_Map'!$A:$A,'_Sys|Line_Map'!$D:$D,1,0)</f>
        <v/>
      </c>
      <c r="K3535" s="4562">
        <f>IF(D3535="","",D3535*J3535)</f>
        <v/>
      </c>
      <c r="L3535" s="4562">
        <f>XLOOKUP(B3535,'_Sys|Line_Map'!$A:$A,'_Sys|Line_Map'!$B:$B,"MISSING",0)</f>
        <v/>
      </c>
    </row>
    <row r="3536">
      <c r="A3536" s="4561" t="n"/>
      <c r="B3536" s="4561" t="n"/>
      <c r="C3536" s="4561" t="n"/>
      <c r="D3536" s="4561" t="n"/>
      <c r="E3536" s="4561" t="n"/>
      <c r="F3536" s="4561" t="n"/>
      <c r="G3536" s="4561" t="n"/>
      <c r="H3536" s="4561" t="n"/>
      <c r="I3536" s="4562">
        <f>XLOOKUP(B3536,'_Sys|Line_Map'!$A:$A,'_Sys|Line_Map'!$C:$C,"MISSING",0)</f>
        <v/>
      </c>
      <c r="J3536" s="4562">
        <f>XLOOKUP(B3536,'_Sys|Line_Map'!$A:$A,'_Sys|Line_Map'!$D:$D,1,0)</f>
        <v/>
      </c>
      <c r="K3536" s="4562">
        <f>IF(D3536="","",D3536*J3536)</f>
        <v/>
      </c>
      <c r="L3536" s="4562">
        <f>XLOOKUP(B3536,'_Sys|Line_Map'!$A:$A,'_Sys|Line_Map'!$B:$B,"MISSING",0)</f>
        <v/>
      </c>
    </row>
    <row r="3537">
      <c r="A3537" s="4561" t="n"/>
      <c r="B3537" s="4561" t="n"/>
      <c r="C3537" s="4561" t="n"/>
      <c r="D3537" s="4561" t="n"/>
      <c r="E3537" s="4561" t="n"/>
      <c r="F3537" s="4561" t="n"/>
      <c r="G3537" s="4561" t="n"/>
      <c r="H3537" s="4561" t="n"/>
      <c r="I3537" s="4562">
        <f>XLOOKUP(B3537,'_Sys|Line_Map'!$A:$A,'_Sys|Line_Map'!$C:$C,"MISSING",0)</f>
        <v/>
      </c>
      <c r="J3537" s="4562">
        <f>XLOOKUP(B3537,'_Sys|Line_Map'!$A:$A,'_Sys|Line_Map'!$D:$D,1,0)</f>
        <v/>
      </c>
      <c r="K3537" s="4562">
        <f>IF(D3537="","",D3537*J3537)</f>
        <v/>
      </c>
      <c r="L3537" s="4562">
        <f>XLOOKUP(B3537,'_Sys|Line_Map'!$A:$A,'_Sys|Line_Map'!$B:$B,"MISSING",0)</f>
        <v/>
      </c>
    </row>
    <row r="3538">
      <c r="A3538" s="4561" t="n"/>
      <c r="B3538" s="4561" t="n"/>
      <c r="C3538" s="4561" t="n"/>
      <c r="D3538" s="4561" t="n"/>
      <c r="E3538" s="4561" t="n"/>
      <c r="F3538" s="4561" t="n"/>
      <c r="G3538" s="4561" t="n"/>
      <c r="H3538" s="4561" t="n"/>
      <c r="I3538" s="4562">
        <f>XLOOKUP(B3538,'_Sys|Line_Map'!$A:$A,'_Sys|Line_Map'!$C:$C,"MISSING",0)</f>
        <v/>
      </c>
      <c r="J3538" s="4562">
        <f>XLOOKUP(B3538,'_Sys|Line_Map'!$A:$A,'_Sys|Line_Map'!$D:$D,1,0)</f>
        <v/>
      </c>
      <c r="K3538" s="4562">
        <f>IF(D3538="","",D3538*J3538)</f>
        <v/>
      </c>
      <c r="L3538" s="4562">
        <f>XLOOKUP(B3538,'_Sys|Line_Map'!$A:$A,'_Sys|Line_Map'!$B:$B,"MISSING",0)</f>
        <v/>
      </c>
    </row>
    <row r="3539">
      <c r="A3539" s="4561" t="n"/>
      <c r="B3539" s="4561" t="n"/>
      <c r="C3539" s="4561" t="n"/>
      <c r="D3539" s="4561" t="n"/>
      <c r="E3539" s="4561" t="n"/>
      <c r="F3539" s="4561" t="n"/>
      <c r="G3539" s="4561" t="n"/>
      <c r="H3539" s="4561" t="n"/>
      <c r="I3539" s="4562">
        <f>XLOOKUP(B3539,'_Sys|Line_Map'!$A:$A,'_Sys|Line_Map'!$C:$C,"MISSING",0)</f>
        <v/>
      </c>
      <c r="J3539" s="4562">
        <f>XLOOKUP(B3539,'_Sys|Line_Map'!$A:$A,'_Sys|Line_Map'!$D:$D,1,0)</f>
        <v/>
      </c>
      <c r="K3539" s="4562">
        <f>IF(D3539="","",D3539*J3539)</f>
        <v/>
      </c>
      <c r="L3539" s="4562">
        <f>XLOOKUP(B3539,'_Sys|Line_Map'!$A:$A,'_Sys|Line_Map'!$B:$B,"MISSING",0)</f>
        <v/>
      </c>
    </row>
    <row r="3540">
      <c r="A3540" s="4561" t="n"/>
      <c r="B3540" s="4561" t="n"/>
      <c r="C3540" s="4561" t="n"/>
      <c r="D3540" s="4561" t="n"/>
      <c r="E3540" s="4561" t="n"/>
      <c r="F3540" s="4561" t="n"/>
      <c r="G3540" s="4561" t="n"/>
      <c r="H3540" s="4561" t="n"/>
      <c r="I3540" s="4562">
        <f>XLOOKUP(B3540,'_Sys|Line_Map'!$A:$A,'_Sys|Line_Map'!$C:$C,"MISSING",0)</f>
        <v/>
      </c>
      <c r="J3540" s="4562">
        <f>XLOOKUP(B3540,'_Sys|Line_Map'!$A:$A,'_Sys|Line_Map'!$D:$D,1,0)</f>
        <v/>
      </c>
      <c r="K3540" s="4562">
        <f>IF(D3540="","",D3540*J3540)</f>
        <v/>
      </c>
      <c r="L3540" s="4562">
        <f>XLOOKUP(B3540,'_Sys|Line_Map'!$A:$A,'_Sys|Line_Map'!$B:$B,"MISSING",0)</f>
        <v/>
      </c>
    </row>
    <row r="3541">
      <c r="A3541" s="4561" t="n"/>
      <c r="B3541" s="4561" t="n"/>
      <c r="C3541" s="4561" t="n"/>
      <c r="D3541" s="4561" t="n"/>
      <c r="E3541" s="4561" t="n"/>
      <c r="F3541" s="4561" t="n"/>
      <c r="G3541" s="4561" t="n"/>
      <c r="H3541" s="4561" t="n"/>
      <c r="I3541" s="4562">
        <f>XLOOKUP(B3541,'_Sys|Line_Map'!$A:$A,'_Sys|Line_Map'!$C:$C,"MISSING",0)</f>
        <v/>
      </c>
      <c r="J3541" s="4562">
        <f>XLOOKUP(B3541,'_Sys|Line_Map'!$A:$A,'_Sys|Line_Map'!$D:$D,1,0)</f>
        <v/>
      </c>
      <c r="K3541" s="4562">
        <f>IF(D3541="","",D3541*J3541)</f>
        <v/>
      </c>
      <c r="L3541" s="4562">
        <f>XLOOKUP(B3541,'_Sys|Line_Map'!$A:$A,'_Sys|Line_Map'!$B:$B,"MISSING",0)</f>
        <v/>
      </c>
    </row>
    <row r="3542">
      <c r="A3542" s="4561" t="n"/>
      <c r="B3542" s="4561" t="n"/>
      <c r="C3542" s="4561" t="n"/>
      <c r="D3542" s="4561" t="n"/>
      <c r="E3542" s="4561" t="n"/>
      <c r="F3542" s="4561" t="n"/>
      <c r="G3542" s="4561" t="n"/>
      <c r="H3542" s="4561" t="n"/>
      <c r="I3542" s="4562">
        <f>XLOOKUP(B3542,'_Sys|Line_Map'!$A:$A,'_Sys|Line_Map'!$C:$C,"MISSING",0)</f>
        <v/>
      </c>
      <c r="J3542" s="4562">
        <f>XLOOKUP(B3542,'_Sys|Line_Map'!$A:$A,'_Sys|Line_Map'!$D:$D,1,0)</f>
        <v/>
      </c>
      <c r="K3542" s="4562">
        <f>IF(D3542="","",D3542*J3542)</f>
        <v/>
      </c>
      <c r="L3542" s="4562">
        <f>XLOOKUP(B3542,'_Sys|Line_Map'!$A:$A,'_Sys|Line_Map'!$B:$B,"MISSING",0)</f>
        <v/>
      </c>
    </row>
    <row r="3543">
      <c r="A3543" s="4561" t="n"/>
      <c r="B3543" s="4561" t="n"/>
      <c r="C3543" s="4561" t="n"/>
      <c r="D3543" s="4561" t="n"/>
      <c r="E3543" s="4561" t="n"/>
      <c r="F3543" s="4561" t="n"/>
      <c r="G3543" s="4561" t="n"/>
      <c r="H3543" s="4561" t="n"/>
      <c r="I3543" s="4562">
        <f>XLOOKUP(B3543,'_Sys|Line_Map'!$A:$A,'_Sys|Line_Map'!$C:$C,"MISSING",0)</f>
        <v/>
      </c>
      <c r="J3543" s="4562">
        <f>XLOOKUP(B3543,'_Sys|Line_Map'!$A:$A,'_Sys|Line_Map'!$D:$D,1,0)</f>
        <v/>
      </c>
      <c r="K3543" s="4562">
        <f>IF(D3543="","",D3543*J3543)</f>
        <v/>
      </c>
      <c r="L3543" s="4562">
        <f>XLOOKUP(B3543,'_Sys|Line_Map'!$A:$A,'_Sys|Line_Map'!$B:$B,"MISSING",0)</f>
        <v/>
      </c>
    </row>
    <row r="3544">
      <c r="A3544" s="4561" t="n"/>
      <c r="B3544" s="4561" t="n"/>
      <c r="C3544" s="4561" t="n"/>
      <c r="D3544" s="4561" t="n"/>
      <c r="E3544" s="4561" t="n"/>
      <c r="F3544" s="4561" t="n"/>
      <c r="G3544" s="4561" t="n"/>
      <c r="H3544" s="4561" t="n"/>
      <c r="I3544" s="4562">
        <f>XLOOKUP(B3544,'_Sys|Line_Map'!$A:$A,'_Sys|Line_Map'!$C:$C,"MISSING",0)</f>
        <v/>
      </c>
      <c r="J3544" s="4562">
        <f>XLOOKUP(B3544,'_Sys|Line_Map'!$A:$A,'_Sys|Line_Map'!$D:$D,1,0)</f>
        <v/>
      </c>
      <c r="K3544" s="4562">
        <f>IF(D3544="","",D3544*J3544)</f>
        <v/>
      </c>
      <c r="L3544" s="4562">
        <f>XLOOKUP(B3544,'_Sys|Line_Map'!$A:$A,'_Sys|Line_Map'!$B:$B,"MISSING",0)</f>
        <v/>
      </c>
    </row>
    <row r="3545">
      <c r="A3545" s="4561" t="n"/>
      <c r="B3545" s="4561" t="n"/>
      <c r="C3545" s="4561" t="n"/>
      <c r="D3545" s="4561" t="n"/>
      <c r="E3545" s="4561" t="n"/>
      <c r="F3545" s="4561" t="n"/>
      <c r="G3545" s="4561" t="n"/>
      <c r="H3545" s="4561" t="n"/>
      <c r="I3545" s="4562">
        <f>XLOOKUP(B3545,'_Sys|Line_Map'!$A:$A,'_Sys|Line_Map'!$C:$C,"MISSING",0)</f>
        <v/>
      </c>
      <c r="J3545" s="4562">
        <f>XLOOKUP(B3545,'_Sys|Line_Map'!$A:$A,'_Sys|Line_Map'!$D:$D,1,0)</f>
        <v/>
      </c>
      <c r="K3545" s="4562">
        <f>IF(D3545="","",D3545*J3545)</f>
        <v/>
      </c>
      <c r="L3545" s="4562">
        <f>XLOOKUP(B3545,'_Sys|Line_Map'!$A:$A,'_Sys|Line_Map'!$B:$B,"MISSING",0)</f>
        <v/>
      </c>
    </row>
    <row r="3546">
      <c r="A3546" s="4561" t="n"/>
      <c r="B3546" s="4561" t="n"/>
      <c r="C3546" s="4561" t="n"/>
      <c r="D3546" s="4561" t="n"/>
      <c r="E3546" s="4561" t="n"/>
      <c r="F3546" s="4561" t="n"/>
      <c r="G3546" s="4561" t="n"/>
      <c r="H3546" s="4561" t="n"/>
      <c r="I3546" s="4562">
        <f>XLOOKUP(B3546,'_Sys|Line_Map'!$A:$A,'_Sys|Line_Map'!$C:$C,"MISSING",0)</f>
        <v/>
      </c>
      <c r="J3546" s="4562">
        <f>XLOOKUP(B3546,'_Sys|Line_Map'!$A:$A,'_Sys|Line_Map'!$D:$D,1,0)</f>
        <v/>
      </c>
      <c r="K3546" s="4562">
        <f>IF(D3546="","",D3546*J3546)</f>
        <v/>
      </c>
      <c r="L3546" s="4562">
        <f>XLOOKUP(B3546,'_Sys|Line_Map'!$A:$A,'_Sys|Line_Map'!$B:$B,"MISSING",0)</f>
        <v/>
      </c>
    </row>
    <row r="3547">
      <c r="A3547" s="4561" t="n"/>
      <c r="B3547" s="4561" t="n"/>
      <c r="C3547" s="4561" t="n"/>
      <c r="D3547" s="4561" t="n"/>
      <c r="E3547" s="4561" t="n"/>
      <c r="F3547" s="4561" t="n"/>
      <c r="G3547" s="4561" t="n"/>
      <c r="H3547" s="4561" t="n"/>
      <c r="I3547" s="4562">
        <f>XLOOKUP(B3547,'_Sys|Line_Map'!$A:$A,'_Sys|Line_Map'!$C:$C,"MISSING",0)</f>
        <v/>
      </c>
      <c r="J3547" s="4562">
        <f>XLOOKUP(B3547,'_Sys|Line_Map'!$A:$A,'_Sys|Line_Map'!$D:$D,1,0)</f>
        <v/>
      </c>
      <c r="K3547" s="4562">
        <f>IF(D3547="","",D3547*J3547)</f>
        <v/>
      </c>
      <c r="L3547" s="4562">
        <f>XLOOKUP(B3547,'_Sys|Line_Map'!$A:$A,'_Sys|Line_Map'!$B:$B,"MISSING",0)</f>
        <v/>
      </c>
    </row>
    <row r="3548">
      <c r="A3548" s="4561" t="n"/>
      <c r="B3548" s="4561" t="n"/>
      <c r="C3548" s="4561" t="n"/>
      <c r="D3548" s="4561" t="n"/>
      <c r="E3548" s="4561" t="n"/>
      <c r="F3548" s="4561" t="n"/>
      <c r="G3548" s="4561" t="n"/>
      <c r="H3548" s="4561" t="n"/>
      <c r="I3548" s="4562">
        <f>XLOOKUP(B3548,'_Sys|Line_Map'!$A:$A,'_Sys|Line_Map'!$C:$C,"MISSING",0)</f>
        <v/>
      </c>
      <c r="J3548" s="4562">
        <f>XLOOKUP(B3548,'_Sys|Line_Map'!$A:$A,'_Sys|Line_Map'!$D:$D,1,0)</f>
        <v/>
      </c>
      <c r="K3548" s="4562">
        <f>IF(D3548="","",D3548*J3548)</f>
        <v/>
      </c>
      <c r="L3548" s="4562">
        <f>XLOOKUP(B3548,'_Sys|Line_Map'!$A:$A,'_Sys|Line_Map'!$B:$B,"MISSING",0)</f>
        <v/>
      </c>
    </row>
    <row r="3549">
      <c r="A3549" s="4561" t="n"/>
      <c r="B3549" s="4561" t="n"/>
      <c r="C3549" s="4561" t="n"/>
      <c r="D3549" s="4561" t="n"/>
      <c r="E3549" s="4561" t="n"/>
      <c r="F3549" s="4561" t="n"/>
      <c r="G3549" s="4561" t="n"/>
      <c r="H3549" s="4561" t="n"/>
      <c r="I3549" s="4562">
        <f>XLOOKUP(B3549,'_Sys|Line_Map'!$A:$A,'_Sys|Line_Map'!$C:$C,"MISSING",0)</f>
        <v/>
      </c>
      <c r="J3549" s="4562">
        <f>XLOOKUP(B3549,'_Sys|Line_Map'!$A:$A,'_Sys|Line_Map'!$D:$D,1,0)</f>
        <v/>
      </c>
      <c r="K3549" s="4562">
        <f>IF(D3549="","",D3549*J3549)</f>
        <v/>
      </c>
      <c r="L3549" s="4562">
        <f>XLOOKUP(B3549,'_Sys|Line_Map'!$A:$A,'_Sys|Line_Map'!$B:$B,"MISSING",0)</f>
        <v/>
      </c>
    </row>
    <row r="3550">
      <c r="A3550" s="4561" t="n"/>
      <c r="B3550" s="4561" t="n"/>
      <c r="C3550" s="4561" t="n"/>
      <c r="D3550" s="4561" t="n"/>
      <c r="E3550" s="4561" t="n"/>
      <c r="F3550" s="4561" t="n"/>
      <c r="G3550" s="4561" t="n"/>
      <c r="H3550" s="4561" t="n"/>
      <c r="I3550" s="4562">
        <f>XLOOKUP(B3550,'_Sys|Line_Map'!$A:$A,'_Sys|Line_Map'!$C:$C,"MISSING",0)</f>
        <v/>
      </c>
      <c r="J3550" s="4562">
        <f>XLOOKUP(B3550,'_Sys|Line_Map'!$A:$A,'_Sys|Line_Map'!$D:$D,1,0)</f>
        <v/>
      </c>
      <c r="K3550" s="4562">
        <f>IF(D3550="","",D3550*J3550)</f>
        <v/>
      </c>
      <c r="L3550" s="4562">
        <f>XLOOKUP(B3550,'_Sys|Line_Map'!$A:$A,'_Sys|Line_Map'!$B:$B,"MISSING",0)</f>
        <v/>
      </c>
    </row>
    <row r="3551">
      <c r="A3551" s="4561" t="n"/>
      <c r="B3551" s="4561" t="n"/>
      <c r="C3551" s="4561" t="n"/>
      <c r="D3551" s="4561" t="n"/>
      <c r="E3551" s="4561" t="n"/>
      <c r="F3551" s="4561" t="n"/>
      <c r="G3551" s="4561" t="n"/>
      <c r="H3551" s="4561" t="n"/>
      <c r="I3551" s="4562">
        <f>XLOOKUP(B3551,'_Sys|Line_Map'!$A:$A,'_Sys|Line_Map'!$C:$C,"MISSING",0)</f>
        <v/>
      </c>
      <c r="J3551" s="4562">
        <f>XLOOKUP(B3551,'_Sys|Line_Map'!$A:$A,'_Sys|Line_Map'!$D:$D,1,0)</f>
        <v/>
      </c>
      <c r="K3551" s="4562">
        <f>IF(D3551="","",D3551*J3551)</f>
        <v/>
      </c>
      <c r="L3551" s="4562">
        <f>XLOOKUP(B3551,'_Sys|Line_Map'!$A:$A,'_Sys|Line_Map'!$B:$B,"MISSING",0)</f>
        <v/>
      </c>
    </row>
    <row r="3552">
      <c r="A3552" s="4561" t="n"/>
      <c r="B3552" s="4561" t="n"/>
      <c r="C3552" s="4561" t="n"/>
      <c r="D3552" s="4561" t="n"/>
      <c r="E3552" s="4561" t="n"/>
      <c r="F3552" s="4561" t="n"/>
      <c r="G3552" s="4561" t="n"/>
      <c r="H3552" s="4561" t="n"/>
      <c r="I3552" s="4562">
        <f>XLOOKUP(B3552,'_Sys|Line_Map'!$A:$A,'_Sys|Line_Map'!$C:$C,"MISSING",0)</f>
        <v/>
      </c>
      <c r="J3552" s="4562">
        <f>XLOOKUP(B3552,'_Sys|Line_Map'!$A:$A,'_Sys|Line_Map'!$D:$D,1,0)</f>
        <v/>
      </c>
      <c r="K3552" s="4562">
        <f>IF(D3552="","",D3552*J3552)</f>
        <v/>
      </c>
      <c r="L3552" s="4562">
        <f>XLOOKUP(B3552,'_Sys|Line_Map'!$A:$A,'_Sys|Line_Map'!$B:$B,"MISSING",0)</f>
        <v/>
      </c>
    </row>
    <row r="3553">
      <c r="A3553" s="4561" t="n"/>
      <c r="B3553" s="4561" t="n"/>
      <c r="C3553" s="4561" t="n"/>
      <c r="D3553" s="4561" t="n"/>
      <c r="E3553" s="4561" t="n"/>
      <c r="F3553" s="4561" t="n"/>
      <c r="G3553" s="4561" t="n"/>
      <c r="H3553" s="4561" t="n"/>
      <c r="I3553" s="4562">
        <f>XLOOKUP(B3553,'_Sys|Line_Map'!$A:$A,'_Sys|Line_Map'!$C:$C,"MISSING",0)</f>
        <v/>
      </c>
      <c r="J3553" s="4562">
        <f>XLOOKUP(B3553,'_Sys|Line_Map'!$A:$A,'_Sys|Line_Map'!$D:$D,1,0)</f>
        <v/>
      </c>
      <c r="K3553" s="4562">
        <f>IF(D3553="","",D3553*J3553)</f>
        <v/>
      </c>
      <c r="L3553" s="4562">
        <f>XLOOKUP(B3553,'_Sys|Line_Map'!$A:$A,'_Sys|Line_Map'!$B:$B,"MISSING",0)</f>
        <v/>
      </c>
    </row>
    <row r="3554">
      <c r="A3554" s="4561" t="n"/>
      <c r="B3554" s="4561" t="n"/>
      <c r="C3554" s="4561" t="n"/>
      <c r="D3554" s="4561" t="n"/>
      <c r="E3554" s="4561" t="n"/>
      <c r="F3554" s="4561" t="n"/>
      <c r="G3554" s="4561" t="n"/>
      <c r="H3554" s="4561" t="n"/>
      <c r="I3554" s="4562">
        <f>XLOOKUP(B3554,'_Sys|Line_Map'!$A:$A,'_Sys|Line_Map'!$C:$C,"MISSING",0)</f>
        <v/>
      </c>
      <c r="J3554" s="4562">
        <f>XLOOKUP(B3554,'_Sys|Line_Map'!$A:$A,'_Sys|Line_Map'!$D:$D,1,0)</f>
        <v/>
      </c>
      <c r="K3554" s="4562">
        <f>IF(D3554="","",D3554*J3554)</f>
        <v/>
      </c>
      <c r="L3554" s="4562">
        <f>XLOOKUP(B3554,'_Sys|Line_Map'!$A:$A,'_Sys|Line_Map'!$B:$B,"MISSING",0)</f>
        <v/>
      </c>
    </row>
    <row r="3555">
      <c r="A3555" s="4561" t="n"/>
      <c r="B3555" s="4561" t="n"/>
      <c r="C3555" s="4561" t="n"/>
      <c r="D3555" s="4561" t="n"/>
      <c r="E3555" s="4561" t="n"/>
      <c r="F3555" s="4561" t="n"/>
      <c r="G3555" s="4561" t="n"/>
      <c r="H3555" s="4561" t="n"/>
      <c r="I3555" s="4562">
        <f>XLOOKUP(B3555,'_Sys|Line_Map'!$A:$A,'_Sys|Line_Map'!$C:$C,"MISSING",0)</f>
        <v/>
      </c>
      <c r="J3555" s="4562">
        <f>XLOOKUP(B3555,'_Sys|Line_Map'!$A:$A,'_Sys|Line_Map'!$D:$D,1,0)</f>
        <v/>
      </c>
      <c r="K3555" s="4562">
        <f>IF(D3555="","",D3555*J3555)</f>
        <v/>
      </c>
      <c r="L3555" s="4562">
        <f>XLOOKUP(B3555,'_Sys|Line_Map'!$A:$A,'_Sys|Line_Map'!$B:$B,"MISSING",0)</f>
        <v/>
      </c>
    </row>
    <row r="3556">
      <c r="A3556" s="4561" t="n"/>
      <c r="B3556" s="4561" t="n"/>
      <c r="C3556" s="4561" t="n"/>
      <c r="D3556" s="4561" t="n"/>
      <c r="E3556" s="4561" t="n"/>
      <c r="F3556" s="4561" t="n"/>
      <c r="G3556" s="4561" t="n"/>
      <c r="H3556" s="4561" t="n"/>
      <c r="I3556" s="4562">
        <f>XLOOKUP(B3556,'_Sys|Line_Map'!$A:$A,'_Sys|Line_Map'!$C:$C,"MISSING",0)</f>
        <v/>
      </c>
      <c r="J3556" s="4562">
        <f>XLOOKUP(B3556,'_Sys|Line_Map'!$A:$A,'_Sys|Line_Map'!$D:$D,1,0)</f>
        <v/>
      </c>
      <c r="K3556" s="4562">
        <f>IF(D3556="","",D3556*J3556)</f>
        <v/>
      </c>
      <c r="L3556" s="4562">
        <f>XLOOKUP(B3556,'_Sys|Line_Map'!$A:$A,'_Sys|Line_Map'!$B:$B,"MISSING",0)</f>
        <v/>
      </c>
    </row>
    <row r="3557">
      <c r="A3557" s="4561" t="n"/>
      <c r="B3557" s="4561" t="n"/>
      <c r="C3557" s="4561" t="n"/>
      <c r="D3557" s="4561" t="n"/>
      <c r="E3557" s="4561" t="n"/>
      <c r="F3557" s="4561" t="n"/>
      <c r="G3557" s="4561" t="n"/>
      <c r="H3557" s="4561" t="n"/>
      <c r="I3557" s="4562">
        <f>XLOOKUP(B3557,'_Sys|Line_Map'!$A:$A,'_Sys|Line_Map'!$C:$C,"MISSING",0)</f>
        <v/>
      </c>
      <c r="J3557" s="4562">
        <f>XLOOKUP(B3557,'_Sys|Line_Map'!$A:$A,'_Sys|Line_Map'!$D:$D,1,0)</f>
        <v/>
      </c>
      <c r="K3557" s="4562">
        <f>IF(D3557="","",D3557*J3557)</f>
        <v/>
      </c>
      <c r="L3557" s="4562">
        <f>XLOOKUP(B3557,'_Sys|Line_Map'!$A:$A,'_Sys|Line_Map'!$B:$B,"MISSING",0)</f>
        <v/>
      </c>
    </row>
    <row r="3558">
      <c r="A3558" s="4561" t="n"/>
      <c r="B3558" s="4561" t="n"/>
      <c r="C3558" s="4561" t="n"/>
      <c r="D3558" s="4561" t="n"/>
      <c r="E3558" s="4561" t="n"/>
      <c r="F3558" s="4561" t="n"/>
      <c r="G3558" s="4561" t="n"/>
      <c r="H3558" s="4561" t="n"/>
      <c r="I3558" s="4562">
        <f>XLOOKUP(B3558,'_Sys|Line_Map'!$A:$A,'_Sys|Line_Map'!$C:$C,"MISSING",0)</f>
        <v/>
      </c>
      <c r="J3558" s="4562">
        <f>XLOOKUP(B3558,'_Sys|Line_Map'!$A:$A,'_Sys|Line_Map'!$D:$D,1,0)</f>
        <v/>
      </c>
      <c r="K3558" s="4562">
        <f>IF(D3558="","",D3558*J3558)</f>
        <v/>
      </c>
      <c r="L3558" s="4562">
        <f>XLOOKUP(B3558,'_Sys|Line_Map'!$A:$A,'_Sys|Line_Map'!$B:$B,"MISSING",0)</f>
        <v/>
      </c>
    </row>
    <row r="3559">
      <c r="A3559" s="4561" t="n"/>
      <c r="B3559" s="4561" t="n"/>
      <c r="C3559" s="4561" t="n"/>
      <c r="D3559" s="4561" t="n"/>
      <c r="E3559" s="4561" t="n"/>
      <c r="F3559" s="4561" t="n"/>
      <c r="G3559" s="4561" t="n"/>
      <c r="H3559" s="4561" t="n"/>
      <c r="I3559" s="4562">
        <f>XLOOKUP(B3559,'_Sys|Line_Map'!$A:$A,'_Sys|Line_Map'!$C:$C,"MISSING",0)</f>
        <v/>
      </c>
      <c r="J3559" s="4562">
        <f>XLOOKUP(B3559,'_Sys|Line_Map'!$A:$A,'_Sys|Line_Map'!$D:$D,1,0)</f>
        <v/>
      </c>
      <c r="K3559" s="4562">
        <f>IF(D3559="","",D3559*J3559)</f>
        <v/>
      </c>
      <c r="L3559" s="4562">
        <f>XLOOKUP(B3559,'_Sys|Line_Map'!$A:$A,'_Sys|Line_Map'!$B:$B,"MISSING",0)</f>
        <v/>
      </c>
    </row>
    <row r="3560">
      <c r="A3560" s="4561" t="n"/>
      <c r="B3560" s="4561" t="n"/>
      <c r="C3560" s="4561" t="n"/>
      <c r="D3560" s="4561" t="n"/>
      <c r="E3560" s="4561" t="n"/>
      <c r="F3560" s="4561" t="n"/>
      <c r="G3560" s="4561" t="n"/>
      <c r="H3560" s="4561" t="n"/>
      <c r="I3560" s="4562">
        <f>XLOOKUP(B3560,'_Sys|Line_Map'!$A:$A,'_Sys|Line_Map'!$C:$C,"MISSING",0)</f>
        <v/>
      </c>
      <c r="J3560" s="4562">
        <f>XLOOKUP(B3560,'_Sys|Line_Map'!$A:$A,'_Sys|Line_Map'!$D:$D,1,0)</f>
        <v/>
      </c>
      <c r="K3560" s="4562">
        <f>IF(D3560="","",D3560*J3560)</f>
        <v/>
      </c>
      <c r="L3560" s="4562">
        <f>XLOOKUP(B3560,'_Sys|Line_Map'!$A:$A,'_Sys|Line_Map'!$B:$B,"MISSING",0)</f>
        <v/>
      </c>
    </row>
    <row r="3561">
      <c r="A3561" s="4561" t="n"/>
      <c r="B3561" s="4561" t="n"/>
      <c r="C3561" s="4561" t="n"/>
      <c r="D3561" s="4561" t="n"/>
      <c r="E3561" s="4561" t="n"/>
      <c r="F3561" s="4561" t="n"/>
      <c r="G3561" s="4561" t="n"/>
      <c r="H3561" s="4561" t="n"/>
      <c r="I3561" s="4562">
        <f>XLOOKUP(B3561,'_Sys|Line_Map'!$A:$A,'_Sys|Line_Map'!$C:$C,"MISSING",0)</f>
        <v/>
      </c>
      <c r="J3561" s="4562">
        <f>XLOOKUP(B3561,'_Sys|Line_Map'!$A:$A,'_Sys|Line_Map'!$D:$D,1,0)</f>
        <v/>
      </c>
      <c r="K3561" s="4562">
        <f>IF(D3561="","",D3561*J3561)</f>
        <v/>
      </c>
      <c r="L3561" s="4562">
        <f>XLOOKUP(B3561,'_Sys|Line_Map'!$A:$A,'_Sys|Line_Map'!$B:$B,"MISSING",0)</f>
        <v/>
      </c>
    </row>
    <row r="3562">
      <c r="A3562" s="4561" t="n"/>
      <c r="B3562" s="4561" t="n"/>
      <c r="C3562" s="4561" t="n"/>
      <c r="D3562" s="4561" t="n"/>
      <c r="E3562" s="4561" t="n"/>
      <c r="F3562" s="4561" t="n"/>
      <c r="G3562" s="4561" t="n"/>
      <c r="H3562" s="4561" t="n"/>
      <c r="I3562" s="4562">
        <f>XLOOKUP(B3562,'_Sys|Line_Map'!$A:$A,'_Sys|Line_Map'!$C:$C,"MISSING",0)</f>
        <v/>
      </c>
      <c r="J3562" s="4562">
        <f>XLOOKUP(B3562,'_Sys|Line_Map'!$A:$A,'_Sys|Line_Map'!$D:$D,1,0)</f>
        <v/>
      </c>
      <c r="K3562" s="4562">
        <f>IF(D3562="","",D3562*J3562)</f>
        <v/>
      </c>
      <c r="L3562" s="4562">
        <f>XLOOKUP(B3562,'_Sys|Line_Map'!$A:$A,'_Sys|Line_Map'!$B:$B,"MISSING",0)</f>
        <v/>
      </c>
    </row>
    <row r="3563">
      <c r="A3563" s="4561" t="n"/>
      <c r="B3563" s="4561" t="n"/>
      <c r="C3563" s="4561" t="n"/>
      <c r="D3563" s="4561" t="n"/>
      <c r="E3563" s="4561" t="n"/>
      <c r="F3563" s="4561" t="n"/>
      <c r="G3563" s="4561" t="n"/>
      <c r="H3563" s="4561" t="n"/>
      <c r="I3563" s="4562">
        <f>XLOOKUP(B3563,'_Sys|Line_Map'!$A:$A,'_Sys|Line_Map'!$C:$C,"MISSING",0)</f>
        <v/>
      </c>
      <c r="J3563" s="4562">
        <f>XLOOKUP(B3563,'_Sys|Line_Map'!$A:$A,'_Sys|Line_Map'!$D:$D,1,0)</f>
        <v/>
      </c>
      <c r="K3563" s="4562">
        <f>IF(D3563="","",D3563*J3563)</f>
        <v/>
      </c>
      <c r="L3563" s="4562">
        <f>XLOOKUP(B3563,'_Sys|Line_Map'!$A:$A,'_Sys|Line_Map'!$B:$B,"MISSING",0)</f>
        <v/>
      </c>
    </row>
    <row r="3564">
      <c r="A3564" s="4561" t="n"/>
      <c r="B3564" s="4561" t="n"/>
      <c r="C3564" s="4561" t="n"/>
      <c r="D3564" s="4561" t="n"/>
      <c r="E3564" s="4561" t="n"/>
      <c r="F3564" s="4561" t="n"/>
      <c r="G3564" s="4561" t="n"/>
      <c r="H3564" s="4561" t="n"/>
      <c r="I3564" s="4562">
        <f>XLOOKUP(B3564,'_Sys|Line_Map'!$A:$A,'_Sys|Line_Map'!$C:$C,"MISSING",0)</f>
        <v/>
      </c>
      <c r="J3564" s="4562">
        <f>XLOOKUP(B3564,'_Sys|Line_Map'!$A:$A,'_Sys|Line_Map'!$D:$D,1,0)</f>
        <v/>
      </c>
      <c r="K3564" s="4562">
        <f>IF(D3564="","",D3564*J3564)</f>
        <v/>
      </c>
      <c r="L3564" s="4562">
        <f>XLOOKUP(B3564,'_Sys|Line_Map'!$A:$A,'_Sys|Line_Map'!$B:$B,"MISSING",0)</f>
        <v/>
      </c>
    </row>
    <row r="3565">
      <c r="A3565" s="4561" t="n"/>
      <c r="B3565" s="4561" t="n"/>
      <c r="C3565" s="4561" t="n"/>
      <c r="D3565" s="4561" t="n"/>
      <c r="E3565" s="4561" t="n"/>
      <c r="F3565" s="4561" t="n"/>
      <c r="G3565" s="4561" t="n"/>
      <c r="H3565" s="4561" t="n"/>
      <c r="I3565" s="4562">
        <f>XLOOKUP(B3565,'_Sys|Line_Map'!$A:$A,'_Sys|Line_Map'!$C:$C,"MISSING",0)</f>
        <v/>
      </c>
      <c r="J3565" s="4562">
        <f>XLOOKUP(B3565,'_Sys|Line_Map'!$A:$A,'_Sys|Line_Map'!$D:$D,1,0)</f>
        <v/>
      </c>
      <c r="K3565" s="4562">
        <f>IF(D3565="","",D3565*J3565)</f>
        <v/>
      </c>
      <c r="L3565" s="4562">
        <f>XLOOKUP(B3565,'_Sys|Line_Map'!$A:$A,'_Sys|Line_Map'!$B:$B,"MISSING",0)</f>
        <v/>
      </c>
    </row>
    <row r="3566">
      <c r="A3566" s="4561" t="n"/>
      <c r="B3566" s="4561" t="n"/>
      <c r="C3566" s="4561" t="n"/>
      <c r="D3566" s="4561" t="n"/>
      <c r="E3566" s="4561" t="n"/>
      <c r="F3566" s="4561" t="n"/>
      <c r="G3566" s="4561" t="n"/>
      <c r="H3566" s="4561" t="n"/>
      <c r="I3566" s="4562">
        <f>XLOOKUP(B3566,'_Sys|Line_Map'!$A:$A,'_Sys|Line_Map'!$C:$C,"MISSING",0)</f>
        <v/>
      </c>
      <c r="J3566" s="4562">
        <f>XLOOKUP(B3566,'_Sys|Line_Map'!$A:$A,'_Sys|Line_Map'!$D:$D,1,0)</f>
        <v/>
      </c>
      <c r="K3566" s="4562">
        <f>IF(D3566="","",D3566*J3566)</f>
        <v/>
      </c>
      <c r="L3566" s="4562">
        <f>XLOOKUP(B3566,'_Sys|Line_Map'!$A:$A,'_Sys|Line_Map'!$B:$B,"MISSING",0)</f>
        <v/>
      </c>
    </row>
    <row r="3567">
      <c r="A3567" s="4561" t="n"/>
      <c r="B3567" s="4561" t="n"/>
      <c r="C3567" s="4561" t="n"/>
      <c r="D3567" s="4561" t="n"/>
      <c r="E3567" s="4561" t="n"/>
      <c r="F3567" s="4561" t="n"/>
      <c r="G3567" s="4561" t="n"/>
      <c r="H3567" s="4561" t="n"/>
      <c r="I3567" s="4562">
        <f>XLOOKUP(B3567,'_Sys|Line_Map'!$A:$A,'_Sys|Line_Map'!$C:$C,"MISSING",0)</f>
        <v/>
      </c>
      <c r="J3567" s="4562">
        <f>XLOOKUP(B3567,'_Sys|Line_Map'!$A:$A,'_Sys|Line_Map'!$D:$D,1,0)</f>
        <v/>
      </c>
      <c r="K3567" s="4562">
        <f>IF(D3567="","",D3567*J3567)</f>
        <v/>
      </c>
      <c r="L3567" s="4562">
        <f>XLOOKUP(B3567,'_Sys|Line_Map'!$A:$A,'_Sys|Line_Map'!$B:$B,"MISSING",0)</f>
        <v/>
      </c>
    </row>
    <row r="3568">
      <c r="A3568" s="4561" t="n"/>
      <c r="B3568" s="4561" t="n"/>
      <c r="C3568" s="4561" t="n"/>
      <c r="D3568" s="4561" t="n"/>
      <c r="E3568" s="4561" t="n"/>
      <c r="F3568" s="4561" t="n"/>
      <c r="G3568" s="4561" t="n"/>
      <c r="H3568" s="4561" t="n"/>
      <c r="I3568" s="4562">
        <f>XLOOKUP(B3568,'_Sys|Line_Map'!$A:$A,'_Sys|Line_Map'!$C:$C,"MISSING",0)</f>
        <v/>
      </c>
      <c r="J3568" s="4562">
        <f>XLOOKUP(B3568,'_Sys|Line_Map'!$A:$A,'_Sys|Line_Map'!$D:$D,1,0)</f>
        <v/>
      </c>
      <c r="K3568" s="4562">
        <f>IF(D3568="","",D3568*J3568)</f>
        <v/>
      </c>
      <c r="L3568" s="4562">
        <f>XLOOKUP(B3568,'_Sys|Line_Map'!$A:$A,'_Sys|Line_Map'!$B:$B,"MISSING",0)</f>
        <v/>
      </c>
    </row>
    <row r="3569">
      <c r="A3569" s="4561" t="n"/>
      <c r="B3569" s="4561" t="n"/>
      <c r="C3569" s="4561" t="n"/>
      <c r="D3569" s="4561" t="n"/>
      <c r="E3569" s="4561" t="n"/>
      <c r="F3569" s="4561" t="n"/>
      <c r="G3569" s="4561" t="n"/>
      <c r="H3569" s="4561" t="n"/>
      <c r="I3569" s="4562">
        <f>XLOOKUP(B3569,'_Sys|Line_Map'!$A:$A,'_Sys|Line_Map'!$C:$C,"MISSING",0)</f>
        <v/>
      </c>
      <c r="J3569" s="4562">
        <f>XLOOKUP(B3569,'_Sys|Line_Map'!$A:$A,'_Sys|Line_Map'!$D:$D,1,0)</f>
        <v/>
      </c>
      <c r="K3569" s="4562">
        <f>IF(D3569="","",D3569*J3569)</f>
        <v/>
      </c>
      <c r="L3569" s="4562">
        <f>XLOOKUP(B3569,'_Sys|Line_Map'!$A:$A,'_Sys|Line_Map'!$B:$B,"MISSING",0)</f>
        <v/>
      </c>
    </row>
    <row r="3570">
      <c r="A3570" s="4561" t="n"/>
      <c r="B3570" s="4561" t="n"/>
      <c r="C3570" s="4561" t="n"/>
      <c r="D3570" s="4561" t="n"/>
      <c r="E3570" s="4561" t="n"/>
      <c r="F3570" s="4561" t="n"/>
      <c r="G3570" s="4561" t="n"/>
      <c r="H3570" s="4561" t="n"/>
      <c r="I3570" s="4562">
        <f>XLOOKUP(B3570,'_Sys|Line_Map'!$A:$A,'_Sys|Line_Map'!$C:$C,"MISSING",0)</f>
        <v/>
      </c>
      <c r="J3570" s="4562">
        <f>XLOOKUP(B3570,'_Sys|Line_Map'!$A:$A,'_Sys|Line_Map'!$D:$D,1,0)</f>
        <v/>
      </c>
      <c r="K3570" s="4562">
        <f>IF(D3570="","",D3570*J3570)</f>
        <v/>
      </c>
      <c r="L3570" s="4562">
        <f>XLOOKUP(B3570,'_Sys|Line_Map'!$A:$A,'_Sys|Line_Map'!$B:$B,"MISSING",0)</f>
        <v/>
      </c>
    </row>
    <row r="3571">
      <c r="A3571" s="4561" t="n"/>
      <c r="B3571" s="4561" t="n"/>
      <c r="C3571" s="4561" t="n"/>
      <c r="D3571" s="4561" t="n"/>
      <c r="E3571" s="4561" t="n"/>
      <c r="F3571" s="4561" t="n"/>
      <c r="G3571" s="4561" t="n"/>
      <c r="H3571" s="4561" t="n"/>
      <c r="I3571" s="4562">
        <f>XLOOKUP(B3571,'_Sys|Line_Map'!$A:$A,'_Sys|Line_Map'!$C:$C,"MISSING",0)</f>
        <v/>
      </c>
      <c r="J3571" s="4562">
        <f>XLOOKUP(B3571,'_Sys|Line_Map'!$A:$A,'_Sys|Line_Map'!$D:$D,1,0)</f>
        <v/>
      </c>
      <c r="K3571" s="4562">
        <f>IF(D3571="","",D3571*J3571)</f>
        <v/>
      </c>
      <c r="L3571" s="4562">
        <f>XLOOKUP(B3571,'_Sys|Line_Map'!$A:$A,'_Sys|Line_Map'!$B:$B,"MISSING",0)</f>
        <v/>
      </c>
    </row>
    <row r="3572">
      <c r="A3572" s="4561" t="n"/>
      <c r="B3572" s="4561" t="n"/>
      <c r="C3572" s="4561" t="n"/>
      <c r="D3572" s="4561" t="n"/>
      <c r="E3572" s="4561" t="n"/>
      <c r="F3572" s="4561" t="n"/>
      <c r="G3572" s="4561" t="n"/>
      <c r="H3572" s="4561" t="n"/>
      <c r="I3572" s="4562">
        <f>XLOOKUP(B3572,'_Sys|Line_Map'!$A:$A,'_Sys|Line_Map'!$C:$C,"MISSING",0)</f>
        <v/>
      </c>
      <c r="J3572" s="4562">
        <f>XLOOKUP(B3572,'_Sys|Line_Map'!$A:$A,'_Sys|Line_Map'!$D:$D,1,0)</f>
        <v/>
      </c>
      <c r="K3572" s="4562">
        <f>IF(D3572="","",D3572*J3572)</f>
        <v/>
      </c>
      <c r="L3572" s="4562">
        <f>XLOOKUP(B3572,'_Sys|Line_Map'!$A:$A,'_Sys|Line_Map'!$B:$B,"MISSING",0)</f>
        <v/>
      </c>
    </row>
    <row r="3573">
      <c r="A3573" s="4561" t="n"/>
      <c r="B3573" s="4561" t="n"/>
      <c r="C3573" s="4561" t="n"/>
      <c r="D3573" s="4561" t="n"/>
      <c r="E3573" s="4561" t="n"/>
      <c r="F3573" s="4561" t="n"/>
      <c r="G3573" s="4561" t="n"/>
      <c r="H3573" s="4561" t="n"/>
      <c r="I3573" s="4562">
        <f>XLOOKUP(B3573,'_Sys|Line_Map'!$A:$A,'_Sys|Line_Map'!$C:$C,"MISSING",0)</f>
        <v/>
      </c>
      <c r="J3573" s="4562">
        <f>XLOOKUP(B3573,'_Sys|Line_Map'!$A:$A,'_Sys|Line_Map'!$D:$D,1,0)</f>
        <v/>
      </c>
      <c r="K3573" s="4562">
        <f>IF(D3573="","",D3573*J3573)</f>
        <v/>
      </c>
      <c r="L3573" s="4562">
        <f>XLOOKUP(B3573,'_Sys|Line_Map'!$A:$A,'_Sys|Line_Map'!$B:$B,"MISSING",0)</f>
        <v/>
      </c>
    </row>
    <row r="3574">
      <c r="A3574" s="4561" t="n"/>
      <c r="B3574" s="4561" t="n"/>
      <c r="C3574" s="4561" t="n"/>
      <c r="D3574" s="4561" t="n"/>
      <c r="E3574" s="4561" t="n"/>
      <c r="F3574" s="4561" t="n"/>
      <c r="G3574" s="4561" t="n"/>
      <c r="H3574" s="4561" t="n"/>
      <c r="I3574" s="4562">
        <f>XLOOKUP(B3574,'_Sys|Line_Map'!$A:$A,'_Sys|Line_Map'!$C:$C,"MISSING",0)</f>
        <v/>
      </c>
      <c r="J3574" s="4562">
        <f>XLOOKUP(B3574,'_Sys|Line_Map'!$A:$A,'_Sys|Line_Map'!$D:$D,1,0)</f>
        <v/>
      </c>
      <c r="K3574" s="4562">
        <f>IF(D3574="","",D3574*J3574)</f>
        <v/>
      </c>
      <c r="L3574" s="4562">
        <f>XLOOKUP(B3574,'_Sys|Line_Map'!$A:$A,'_Sys|Line_Map'!$B:$B,"MISSING",0)</f>
        <v/>
      </c>
    </row>
    <row r="3575">
      <c r="A3575" s="4561" t="n"/>
      <c r="B3575" s="4561" t="n"/>
      <c r="C3575" s="4561" t="n"/>
      <c r="D3575" s="4561" t="n"/>
      <c r="E3575" s="4561" t="n"/>
      <c r="F3575" s="4561" t="n"/>
      <c r="G3575" s="4561" t="n"/>
      <c r="H3575" s="4561" t="n"/>
      <c r="I3575" s="4562">
        <f>XLOOKUP(B3575,'_Sys|Line_Map'!$A:$A,'_Sys|Line_Map'!$C:$C,"MISSING",0)</f>
        <v/>
      </c>
      <c r="J3575" s="4562">
        <f>XLOOKUP(B3575,'_Sys|Line_Map'!$A:$A,'_Sys|Line_Map'!$D:$D,1,0)</f>
        <v/>
      </c>
      <c r="K3575" s="4562">
        <f>IF(D3575="","",D3575*J3575)</f>
        <v/>
      </c>
      <c r="L3575" s="4562">
        <f>XLOOKUP(B3575,'_Sys|Line_Map'!$A:$A,'_Sys|Line_Map'!$B:$B,"MISSING",0)</f>
        <v/>
      </c>
    </row>
    <row r="3576">
      <c r="A3576" s="4561" t="n"/>
      <c r="B3576" s="4561" t="n"/>
      <c r="C3576" s="4561" t="n"/>
      <c r="D3576" s="4561" t="n"/>
      <c r="E3576" s="4561" t="n"/>
      <c r="F3576" s="4561" t="n"/>
      <c r="G3576" s="4561" t="n"/>
      <c r="H3576" s="4561" t="n"/>
      <c r="I3576" s="4562">
        <f>XLOOKUP(B3576,'_Sys|Line_Map'!$A:$A,'_Sys|Line_Map'!$C:$C,"MISSING",0)</f>
        <v/>
      </c>
      <c r="J3576" s="4562">
        <f>XLOOKUP(B3576,'_Sys|Line_Map'!$A:$A,'_Sys|Line_Map'!$D:$D,1,0)</f>
        <v/>
      </c>
      <c r="K3576" s="4562">
        <f>IF(D3576="","",D3576*J3576)</f>
        <v/>
      </c>
      <c r="L3576" s="4562">
        <f>XLOOKUP(B3576,'_Sys|Line_Map'!$A:$A,'_Sys|Line_Map'!$B:$B,"MISSING",0)</f>
        <v/>
      </c>
    </row>
    <row r="3577">
      <c r="A3577" s="4561" t="n"/>
      <c r="B3577" s="4561" t="n"/>
      <c r="C3577" s="4561" t="n"/>
      <c r="D3577" s="4561" t="n"/>
      <c r="E3577" s="4561" t="n"/>
      <c r="F3577" s="4561" t="n"/>
      <c r="G3577" s="4561" t="n"/>
      <c r="H3577" s="4561" t="n"/>
      <c r="I3577" s="4562">
        <f>XLOOKUP(B3577,'_Sys|Line_Map'!$A:$A,'_Sys|Line_Map'!$C:$C,"MISSING",0)</f>
        <v/>
      </c>
      <c r="J3577" s="4562">
        <f>XLOOKUP(B3577,'_Sys|Line_Map'!$A:$A,'_Sys|Line_Map'!$D:$D,1,0)</f>
        <v/>
      </c>
      <c r="K3577" s="4562">
        <f>IF(D3577="","",D3577*J3577)</f>
        <v/>
      </c>
      <c r="L3577" s="4562">
        <f>XLOOKUP(B3577,'_Sys|Line_Map'!$A:$A,'_Sys|Line_Map'!$B:$B,"MISSING",0)</f>
        <v/>
      </c>
    </row>
    <row r="3578">
      <c r="A3578" s="4561" t="n"/>
      <c r="B3578" s="4561" t="n"/>
      <c r="C3578" s="4561" t="n"/>
      <c r="D3578" s="4561" t="n"/>
      <c r="E3578" s="4561" t="n"/>
      <c r="F3578" s="4561" t="n"/>
      <c r="G3578" s="4561" t="n"/>
      <c r="H3578" s="4561" t="n"/>
      <c r="I3578" s="4562">
        <f>XLOOKUP(B3578,'_Sys|Line_Map'!$A:$A,'_Sys|Line_Map'!$C:$C,"MISSING",0)</f>
        <v/>
      </c>
      <c r="J3578" s="4562">
        <f>XLOOKUP(B3578,'_Sys|Line_Map'!$A:$A,'_Sys|Line_Map'!$D:$D,1,0)</f>
        <v/>
      </c>
      <c r="K3578" s="4562">
        <f>IF(D3578="","",D3578*J3578)</f>
        <v/>
      </c>
      <c r="L3578" s="4562">
        <f>XLOOKUP(B3578,'_Sys|Line_Map'!$A:$A,'_Sys|Line_Map'!$B:$B,"MISSING",0)</f>
        <v/>
      </c>
    </row>
    <row r="3579">
      <c r="A3579" s="4561" t="n"/>
      <c r="B3579" s="4561" t="n"/>
      <c r="C3579" s="4561" t="n"/>
      <c r="D3579" s="4561" t="n"/>
      <c r="E3579" s="4561" t="n"/>
      <c r="F3579" s="4561" t="n"/>
      <c r="G3579" s="4561" t="n"/>
      <c r="H3579" s="4561" t="n"/>
      <c r="I3579" s="4562">
        <f>XLOOKUP(B3579,'_Sys|Line_Map'!$A:$A,'_Sys|Line_Map'!$C:$C,"MISSING",0)</f>
        <v/>
      </c>
      <c r="J3579" s="4562">
        <f>XLOOKUP(B3579,'_Sys|Line_Map'!$A:$A,'_Sys|Line_Map'!$D:$D,1,0)</f>
        <v/>
      </c>
      <c r="K3579" s="4562">
        <f>IF(D3579="","",D3579*J3579)</f>
        <v/>
      </c>
      <c r="L3579" s="4562">
        <f>XLOOKUP(B3579,'_Sys|Line_Map'!$A:$A,'_Sys|Line_Map'!$B:$B,"MISSING",0)</f>
        <v/>
      </c>
    </row>
    <row r="3580">
      <c r="A3580" s="4561" t="n"/>
      <c r="B3580" s="4561" t="n"/>
      <c r="C3580" s="4561" t="n"/>
      <c r="D3580" s="4561" t="n"/>
      <c r="E3580" s="4561" t="n"/>
      <c r="F3580" s="4561" t="n"/>
      <c r="G3580" s="4561" t="n"/>
      <c r="H3580" s="4561" t="n"/>
      <c r="I3580" s="4562">
        <f>XLOOKUP(B3580,'_Sys|Line_Map'!$A:$A,'_Sys|Line_Map'!$C:$C,"MISSING",0)</f>
        <v/>
      </c>
      <c r="J3580" s="4562">
        <f>XLOOKUP(B3580,'_Sys|Line_Map'!$A:$A,'_Sys|Line_Map'!$D:$D,1,0)</f>
        <v/>
      </c>
      <c r="K3580" s="4562">
        <f>IF(D3580="","",D3580*J3580)</f>
        <v/>
      </c>
      <c r="L3580" s="4562">
        <f>XLOOKUP(B3580,'_Sys|Line_Map'!$A:$A,'_Sys|Line_Map'!$B:$B,"MISSING",0)</f>
        <v/>
      </c>
    </row>
    <row r="3581">
      <c r="A3581" s="4561" t="n"/>
      <c r="B3581" s="4561" t="n"/>
      <c r="C3581" s="4561" t="n"/>
      <c r="D3581" s="4561" t="n"/>
      <c r="E3581" s="4561" t="n"/>
      <c r="F3581" s="4561" t="n"/>
      <c r="G3581" s="4561" t="n"/>
      <c r="H3581" s="4561" t="n"/>
      <c r="I3581" s="4562">
        <f>XLOOKUP(B3581,'_Sys|Line_Map'!$A:$A,'_Sys|Line_Map'!$C:$C,"MISSING",0)</f>
        <v/>
      </c>
      <c r="J3581" s="4562">
        <f>XLOOKUP(B3581,'_Sys|Line_Map'!$A:$A,'_Sys|Line_Map'!$D:$D,1,0)</f>
        <v/>
      </c>
      <c r="K3581" s="4562">
        <f>IF(D3581="","",D3581*J3581)</f>
        <v/>
      </c>
      <c r="L3581" s="4562">
        <f>XLOOKUP(B3581,'_Sys|Line_Map'!$A:$A,'_Sys|Line_Map'!$B:$B,"MISSING",0)</f>
        <v/>
      </c>
    </row>
    <row r="3582">
      <c r="A3582" s="4561" t="n"/>
      <c r="B3582" s="4561" t="n"/>
      <c r="C3582" s="4561" t="n"/>
      <c r="D3582" s="4561" t="n"/>
      <c r="E3582" s="4561" t="n"/>
      <c r="F3582" s="4561" t="n"/>
      <c r="G3582" s="4561" t="n"/>
      <c r="H3582" s="4561" t="n"/>
      <c r="I3582" s="4562">
        <f>XLOOKUP(B3582,'_Sys|Line_Map'!$A:$A,'_Sys|Line_Map'!$C:$C,"MISSING",0)</f>
        <v/>
      </c>
      <c r="J3582" s="4562">
        <f>XLOOKUP(B3582,'_Sys|Line_Map'!$A:$A,'_Sys|Line_Map'!$D:$D,1,0)</f>
        <v/>
      </c>
      <c r="K3582" s="4562">
        <f>IF(D3582="","",D3582*J3582)</f>
        <v/>
      </c>
      <c r="L3582" s="4562">
        <f>XLOOKUP(B3582,'_Sys|Line_Map'!$A:$A,'_Sys|Line_Map'!$B:$B,"MISSING",0)</f>
        <v/>
      </c>
    </row>
    <row r="3583">
      <c r="A3583" s="4561" t="n"/>
      <c r="B3583" s="4561" t="n"/>
      <c r="C3583" s="4561" t="n"/>
      <c r="D3583" s="4561" t="n"/>
      <c r="E3583" s="4561" t="n"/>
      <c r="F3583" s="4561" t="n"/>
      <c r="G3583" s="4561" t="n"/>
      <c r="H3583" s="4561" t="n"/>
      <c r="I3583" s="4562">
        <f>XLOOKUP(B3583,'_Sys|Line_Map'!$A:$A,'_Sys|Line_Map'!$C:$C,"MISSING",0)</f>
        <v/>
      </c>
      <c r="J3583" s="4562">
        <f>XLOOKUP(B3583,'_Sys|Line_Map'!$A:$A,'_Sys|Line_Map'!$D:$D,1,0)</f>
        <v/>
      </c>
      <c r="K3583" s="4562">
        <f>IF(D3583="","",D3583*J3583)</f>
        <v/>
      </c>
      <c r="L3583" s="4562">
        <f>XLOOKUP(B3583,'_Sys|Line_Map'!$A:$A,'_Sys|Line_Map'!$B:$B,"MISSING",0)</f>
        <v/>
      </c>
    </row>
    <row r="3584">
      <c r="A3584" s="4561" t="n"/>
      <c r="B3584" s="4561" t="n"/>
      <c r="C3584" s="4561" t="n"/>
      <c r="D3584" s="4561" t="n"/>
      <c r="E3584" s="4561" t="n"/>
      <c r="F3584" s="4561" t="n"/>
      <c r="G3584" s="4561" t="n"/>
      <c r="H3584" s="4561" t="n"/>
      <c r="I3584" s="4562">
        <f>XLOOKUP(B3584,'_Sys|Line_Map'!$A:$A,'_Sys|Line_Map'!$C:$C,"MISSING",0)</f>
        <v/>
      </c>
      <c r="J3584" s="4562">
        <f>XLOOKUP(B3584,'_Sys|Line_Map'!$A:$A,'_Sys|Line_Map'!$D:$D,1,0)</f>
        <v/>
      </c>
      <c r="K3584" s="4562">
        <f>IF(D3584="","",D3584*J3584)</f>
        <v/>
      </c>
      <c r="L3584" s="4562">
        <f>XLOOKUP(B3584,'_Sys|Line_Map'!$A:$A,'_Sys|Line_Map'!$B:$B,"MISSING",0)</f>
        <v/>
      </c>
    </row>
    <row r="3585">
      <c r="A3585" s="4561" t="n"/>
      <c r="B3585" s="4561" t="n"/>
      <c r="C3585" s="4561" t="n"/>
      <c r="D3585" s="4561" t="n"/>
      <c r="E3585" s="4561" t="n"/>
      <c r="F3585" s="4561" t="n"/>
      <c r="G3585" s="4561" t="n"/>
      <c r="H3585" s="4561" t="n"/>
      <c r="I3585" s="4562">
        <f>XLOOKUP(B3585,'_Sys|Line_Map'!$A:$A,'_Sys|Line_Map'!$C:$C,"MISSING",0)</f>
        <v/>
      </c>
      <c r="J3585" s="4562">
        <f>XLOOKUP(B3585,'_Sys|Line_Map'!$A:$A,'_Sys|Line_Map'!$D:$D,1,0)</f>
        <v/>
      </c>
      <c r="K3585" s="4562">
        <f>IF(D3585="","",D3585*J3585)</f>
        <v/>
      </c>
      <c r="L3585" s="4562">
        <f>XLOOKUP(B3585,'_Sys|Line_Map'!$A:$A,'_Sys|Line_Map'!$B:$B,"MISSING",0)</f>
        <v/>
      </c>
    </row>
    <row r="3586">
      <c r="A3586" s="4561" t="n"/>
      <c r="B3586" s="4561" t="n"/>
      <c r="C3586" s="4561" t="n"/>
      <c r="D3586" s="4561" t="n"/>
      <c r="E3586" s="4561" t="n"/>
      <c r="F3586" s="4561" t="n"/>
      <c r="G3586" s="4561" t="n"/>
      <c r="H3586" s="4561" t="n"/>
      <c r="I3586" s="4562">
        <f>XLOOKUP(B3586,'_Sys|Line_Map'!$A:$A,'_Sys|Line_Map'!$C:$C,"MISSING",0)</f>
        <v/>
      </c>
      <c r="J3586" s="4562">
        <f>XLOOKUP(B3586,'_Sys|Line_Map'!$A:$A,'_Sys|Line_Map'!$D:$D,1,0)</f>
        <v/>
      </c>
      <c r="K3586" s="4562">
        <f>IF(D3586="","",D3586*J3586)</f>
        <v/>
      </c>
      <c r="L3586" s="4562">
        <f>XLOOKUP(B3586,'_Sys|Line_Map'!$A:$A,'_Sys|Line_Map'!$B:$B,"MISSING",0)</f>
        <v/>
      </c>
    </row>
    <row r="3587">
      <c r="A3587" s="4561" t="n"/>
      <c r="B3587" s="4561" t="n"/>
      <c r="C3587" s="4561" t="n"/>
      <c r="D3587" s="4561" t="n"/>
      <c r="E3587" s="4561" t="n"/>
      <c r="F3587" s="4561" t="n"/>
      <c r="G3587" s="4561" t="n"/>
      <c r="H3587" s="4561" t="n"/>
      <c r="I3587" s="4562">
        <f>XLOOKUP(B3587,'_Sys|Line_Map'!$A:$A,'_Sys|Line_Map'!$C:$C,"MISSING",0)</f>
        <v/>
      </c>
      <c r="J3587" s="4562">
        <f>XLOOKUP(B3587,'_Sys|Line_Map'!$A:$A,'_Sys|Line_Map'!$D:$D,1,0)</f>
        <v/>
      </c>
      <c r="K3587" s="4562">
        <f>IF(D3587="","",D3587*J3587)</f>
        <v/>
      </c>
      <c r="L3587" s="4562">
        <f>XLOOKUP(B3587,'_Sys|Line_Map'!$A:$A,'_Sys|Line_Map'!$B:$B,"MISSING",0)</f>
        <v/>
      </c>
    </row>
    <row r="3588">
      <c r="A3588" s="4561" t="n"/>
      <c r="B3588" s="4561" t="n"/>
      <c r="C3588" s="4561" t="n"/>
      <c r="D3588" s="4561" t="n"/>
      <c r="E3588" s="4561" t="n"/>
      <c r="F3588" s="4561" t="n"/>
      <c r="G3588" s="4561" t="n"/>
      <c r="H3588" s="4561" t="n"/>
      <c r="I3588" s="4562">
        <f>XLOOKUP(B3588,'_Sys|Line_Map'!$A:$A,'_Sys|Line_Map'!$C:$C,"MISSING",0)</f>
        <v/>
      </c>
      <c r="J3588" s="4562">
        <f>XLOOKUP(B3588,'_Sys|Line_Map'!$A:$A,'_Sys|Line_Map'!$D:$D,1,0)</f>
        <v/>
      </c>
      <c r="K3588" s="4562">
        <f>IF(D3588="","",D3588*J3588)</f>
        <v/>
      </c>
      <c r="L3588" s="4562">
        <f>XLOOKUP(B3588,'_Sys|Line_Map'!$A:$A,'_Sys|Line_Map'!$B:$B,"MISSING",0)</f>
        <v/>
      </c>
    </row>
    <row r="3589">
      <c r="A3589" s="4561" t="n"/>
      <c r="B3589" s="4561" t="n"/>
      <c r="C3589" s="4561" t="n"/>
      <c r="D3589" s="4561" t="n"/>
      <c r="E3589" s="4561" t="n"/>
      <c r="F3589" s="4561" t="n"/>
      <c r="G3589" s="4561" t="n"/>
      <c r="H3589" s="4561" t="n"/>
      <c r="I3589" s="4562">
        <f>XLOOKUP(B3589,'_Sys|Line_Map'!$A:$A,'_Sys|Line_Map'!$C:$C,"MISSING",0)</f>
        <v/>
      </c>
      <c r="J3589" s="4562">
        <f>XLOOKUP(B3589,'_Sys|Line_Map'!$A:$A,'_Sys|Line_Map'!$D:$D,1,0)</f>
        <v/>
      </c>
      <c r="K3589" s="4562">
        <f>IF(D3589="","",D3589*J3589)</f>
        <v/>
      </c>
      <c r="L3589" s="4562">
        <f>XLOOKUP(B3589,'_Sys|Line_Map'!$A:$A,'_Sys|Line_Map'!$B:$B,"MISSING",0)</f>
        <v/>
      </c>
    </row>
    <row r="3590">
      <c r="A3590" s="4561" t="n"/>
      <c r="B3590" s="4561" t="n"/>
      <c r="C3590" s="4561" t="n"/>
      <c r="D3590" s="4561" t="n"/>
      <c r="E3590" s="4561" t="n"/>
      <c r="F3590" s="4561" t="n"/>
      <c r="G3590" s="4561" t="n"/>
      <c r="H3590" s="4561" t="n"/>
      <c r="I3590" s="4562">
        <f>XLOOKUP(B3590,'_Sys|Line_Map'!$A:$A,'_Sys|Line_Map'!$C:$C,"MISSING",0)</f>
        <v/>
      </c>
      <c r="J3590" s="4562">
        <f>XLOOKUP(B3590,'_Sys|Line_Map'!$A:$A,'_Sys|Line_Map'!$D:$D,1,0)</f>
        <v/>
      </c>
      <c r="K3590" s="4562">
        <f>IF(D3590="","",D3590*J3590)</f>
        <v/>
      </c>
      <c r="L3590" s="4562">
        <f>XLOOKUP(B3590,'_Sys|Line_Map'!$A:$A,'_Sys|Line_Map'!$B:$B,"MISSING",0)</f>
        <v/>
      </c>
    </row>
    <row r="3591">
      <c r="A3591" s="4561" t="n"/>
      <c r="B3591" s="4561" t="n"/>
      <c r="C3591" s="4561" t="n"/>
      <c r="D3591" s="4561" t="n"/>
      <c r="E3591" s="4561" t="n"/>
      <c r="F3591" s="4561" t="n"/>
      <c r="G3591" s="4561" t="n"/>
      <c r="H3591" s="4561" t="n"/>
      <c r="I3591" s="4562">
        <f>XLOOKUP(B3591,'_Sys|Line_Map'!$A:$A,'_Sys|Line_Map'!$C:$C,"MISSING",0)</f>
        <v/>
      </c>
      <c r="J3591" s="4562">
        <f>XLOOKUP(B3591,'_Sys|Line_Map'!$A:$A,'_Sys|Line_Map'!$D:$D,1,0)</f>
        <v/>
      </c>
      <c r="K3591" s="4562">
        <f>IF(D3591="","",D3591*J3591)</f>
        <v/>
      </c>
      <c r="L3591" s="4562">
        <f>XLOOKUP(B3591,'_Sys|Line_Map'!$A:$A,'_Sys|Line_Map'!$B:$B,"MISSING",0)</f>
        <v/>
      </c>
    </row>
    <row r="3592">
      <c r="A3592" s="4561" t="n"/>
      <c r="B3592" s="4561" t="n"/>
      <c r="C3592" s="4561" t="n"/>
      <c r="D3592" s="4561" t="n"/>
      <c r="E3592" s="4561" t="n"/>
      <c r="F3592" s="4561" t="n"/>
      <c r="G3592" s="4561" t="n"/>
      <c r="H3592" s="4561" t="n"/>
      <c r="I3592" s="4562">
        <f>XLOOKUP(B3592,'_Sys|Line_Map'!$A:$A,'_Sys|Line_Map'!$C:$C,"MISSING",0)</f>
        <v/>
      </c>
      <c r="J3592" s="4562">
        <f>XLOOKUP(B3592,'_Sys|Line_Map'!$A:$A,'_Sys|Line_Map'!$D:$D,1,0)</f>
        <v/>
      </c>
      <c r="K3592" s="4562">
        <f>IF(D3592="","",D3592*J3592)</f>
        <v/>
      </c>
      <c r="L3592" s="4562">
        <f>XLOOKUP(B3592,'_Sys|Line_Map'!$A:$A,'_Sys|Line_Map'!$B:$B,"MISSING",0)</f>
        <v/>
      </c>
    </row>
    <row r="3593">
      <c r="A3593" s="4561" t="n"/>
      <c r="B3593" s="4561" t="n"/>
      <c r="C3593" s="4561" t="n"/>
      <c r="D3593" s="4561" t="n"/>
      <c r="E3593" s="4561" t="n"/>
      <c r="F3593" s="4561" t="n"/>
      <c r="G3593" s="4561" t="n"/>
      <c r="H3593" s="4561" t="n"/>
      <c r="I3593" s="4562">
        <f>XLOOKUP(B3593,'_Sys|Line_Map'!$A:$A,'_Sys|Line_Map'!$C:$C,"MISSING",0)</f>
        <v/>
      </c>
      <c r="J3593" s="4562">
        <f>XLOOKUP(B3593,'_Sys|Line_Map'!$A:$A,'_Sys|Line_Map'!$D:$D,1,0)</f>
        <v/>
      </c>
      <c r="K3593" s="4562">
        <f>IF(D3593="","",D3593*J3593)</f>
        <v/>
      </c>
      <c r="L3593" s="4562">
        <f>XLOOKUP(B3593,'_Sys|Line_Map'!$A:$A,'_Sys|Line_Map'!$B:$B,"MISSING",0)</f>
        <v/>
      </c>
    </row>
    <row r="3594">
      <c r="A3594" s="4561" t="n"/>
      <c r="B3594" s="4561" t="n"/>
      <c r="C3594" s="4561" t="n"/>
      <c r="D3594" s="4561" t="n"/>
      <c r="E3594" s="4561" t="n"/>
      <c r="F3594" s="4561" t="n"/>
      <c r="G3594" s="4561" t="n"/>
      <c r="H3594" s="4561" t="n"/>
      <c r="I3594" s="4562">
        <f>XLOOKUP(B3594,'_Sys|Line_Map'!$A:$A,'_Sys|Line_Map'!$C:$C,"MISSING",0)</f>
        <v/>
      </c>
      <c r="J3594" s="4562">
        <f>XLOOKUP(B3594,'_Sys|Line_Map'!$A:$A,'_Sys|Line_Map'!$D:$D,1,0)</f>
        <v/>
      </c>
      <c r="K3594" s="4562">
        <f>IF(D3594="","",D3594*J3594)</f>
        <v/>
      </c>
      <c r="L3594" s="4562">
        <f>XLOOKUP(B3594,'_Sys|Line_Map'!$A:$A,'_Sys|Line_Map'!$B:$B,"MISSING",0)</f>
        <v/>
      </c>
    </row>
    <row r="3595">
      <c r="A3595" s="4561" t="n"/>
      <c r="B3595" s="4561" t="n"/>
      <c r="C3595" s="4561" t="n"/>
      <c r="D3595" s="4561" t="n"/>
      <c r="E3595" s="4561" t="n"/>
      <c r="F3595" s="4561" t="n"/>
      <c r="G3595" s="4561" t="n"/>
      <c r="H3595" s="4561" t="n"/>
      <c r="I3595" s="4562">
        <f>XLOOKUP(B3595,'_Sys|Line_Map'!$A:$A,'_Sys|Line_Map'!$C:$C,"MISSING",0)</f>
        <v/>
      </c>
      <c r="J3595" s="4562">
        <f>XLOOKUP(B3595,'_Sys|Line_Map'!$A:$A,'_Sys|Line_Map'!$D:$D,1,0)</f>
        <v/>
      </c>
      <c r="K3595" s="4562">
        <f>IF(D3595="","",D3595*J3595)</f>
        <v/>
      </c>
      <c r="L3595" s="4562">
        <f>XLOOKUP(B3595,'_Sys|Line_Map'!$A:$A,'_Sys|Line_Map'!$B:$B,"MISSING",0)</f>
        <v/>
      </c>
    </row>
    <row r="3596">
      <c r="A3596" s="4561" t="n"/>
      <c r="B3596" s="4561" t="n"/>
      <c r="C3596" s="4561" t="n"/>
      <c r="D3596" s="4561" t="n"/>
      <c r="E3596" s="4561" t="n"/>
      <c r="F3596" s="4561" t="n"/>
      <c r="G3596" s="4561" t="n"/>
      <c r="H3596" s="4561" t="n"/>
      <c r="I3596" s="4562">
        <f>XLOOKUP(B3596,'_Sys|Line_Map'!$A:$A,'_Sys|Line_Map'!$C:$C,"MISSING",0)</f>
        <v/>
      </c>
      <c r="J3596" s="4562">
        <f>XLOOKUP(B3596,'_Sys|Line_Map'!$A:$A,'_Sys|Line_Map'!$D:$D,1,0)</f>
        <v/>
      </c>
      <c r="K3596" s="4562">
        <f>IF(D3596="","",D3596*J3596)</f>
        <v/>
      </c>
      <c r="L3596" s="4562">
        <f>XLOOKUP(B3596,'_Sys|Line_Map'!$A:$A,'_Sys|Line_Map'!$B:$B,"MISSING",0)</f>
        <v/>
      </c>
    </row>
    <row r="3597">
      <c r="A3597" s="4561" t="n"/>
      <c r="B3597" s="4561" t="n"/>
      <c r="C3597" s="4561" t="n"/>
      <c r="D3597" s="4561" t="n"/>
      <c r="E3597" s="4561" t="n"/>
      <c r="F3597" s="4561" t="n"/>
      <c r="G3597" s="4561" t="n"/>
      <c r="H3597" s="4561" t="n"/>
      <c r="I3597" s="4562">
        <f>XLOOKUP(B3597,'_Sys|Line_Map'!$A:$A,'_Sys|Line_Map'!$C:$C,"MISSING",0)</f>
        <v/>
      </c>
      <c r="J3597" s="4562">
        <f>XLOOKUP(B3597,'_Sys|Line_Map'!$A:$A,'_Sys|Line_Map'!$D:$D,1,0)</f>
        <v/>
      </c>
      <c r="K3597" s="4562">
        <f>IF(D3597="","",D3597*J3597)</f>
        <v/>
      </c>
      <c r="L3597" s="4562">
        <f>XLOOKUP(B3597,'_Sys|Line_Map'!$A:$A,'_Sys|Line_Map'!$B:$B,"MISSING",0)</f>
        <v/>
      </c>
    </row>
    <row r="3598">
      <c r="A3598" s="4561" t="n"/>
      <c r="B3598" s="4561" t="n"/>
      <c r="C3598" s="4561" t="n"/>
      <c r="D3598" s="4561" t="n"/>
      <c r="E3598" s="4561" t="n"/>
      <c r="F3598" s="4561" t="n"/>
      <c r="G3598" s="4561" t="n"/>
      <c r="H3598" s="4561" t="n"/>
      <c r="I3598" s="4562">
        <f>XLOOKUP(B3598,'_Sys|Line_Map'!$A:$A,'_Sys|Line_Map'!$C:$C,"MISSING",0)</f>
        <v/>
      </c>
      <c r="J3598" s="4562">
        <f>XLOOKUP(B3598,'_Sys|Line_Map'!$A:$A,'_Sys|Line_Map'!$D:$D,1,0)</f>
        <v/>
      </c>
      <c r="K3598" s="4562">
        <f>IF(D3598="","",D3598*J3598)</f>
        <v/>
      </c>
      <c r="L3598" s="4562">
        <f>XLOOKUP(B3598,'_Sys|Line_Map'!$A:$A,'_Sys|Line_Map'!$B:$B,"MISSING",0)</f>
        <v/>
      </c>
    </row>
    <row r="3599">
      <c r="A3599" s="4561" t="n"/>
      <c r="B3599" s="4561" t="n"/>
      <c r="C3599" s="4561" t="n"/>
      <c r="D3599" s="4561" t="n"/>
      <c r="E3599" s="4561" t="n"/>
      <c r="F3599" s="4561" t="n"/>
      <c r="G3599" s="4561" t="n"/>
      <c r="H3599" s="4561" t="n"/>
      <c r="I3599" s="4562">
        <f>XLOOKUP(B3599,'_Sys|Line_Map'!$A:$A,'_Sys|Line_Map'!$C:$C,"MISSING",0)</f>
        <v/>
      </c>
      <c r="J3599" s="4562">
        <f>XLOOKUP(B3599,'_Sys|Line_Map'!$A:$A,'_Sys|Line_Map'!$D:$D,1,0)</f>
        <v/>
      </c>
      <c r="K3599" s="4562">
        <f>IF(D3599="","",D3599*J3599)</f>
        <v/>
      </c>
      <c r="L3599" s="4562">
        <f>XLOOKUP(B3599,'_Sys|Line_Map'!$A:$A,'_Sys|Line_Map'!$B:$B,"MISSING",0)</f>
        <v/>
      </c>
    </row>
    <row r="3600">
      <c r="A3600" s="4561" t="n"/>
      <c r="B3600" s="4561" t="n"/>
      <c r="C3600" s="4561" t="n"/>
      <c r="D3600" s="4561" t="n"/>
      <c r="E3600" s="4561" t="n"/>
      <c r="F3600" s="4561" t="n"/>
      <c r="G3600" s="4561" t="n"/>
      <c r="H3600" s="4561" t="n"/>
      <c r="I3600" s="4562">
        <f>XLOOKUP(B3600,'_Sys|Line_Map'!$A:$A,'_Sys|Line_Map'!$C:$C,"MISSING",0)</f>
        <v/>
      </c>
      <c r="J3600" s="4562">
        <f>XLOOKUP(B3600,'_Sys|Line_Map'!$A:$A,'_Sys|Line_Map'!$D:$D,1,0)</f>
        <v/>
      </c>
      <c r="K3600" s="4562">
        <f>IF(D3600="","",D3600*J3600)</f>
        <v/>
      </c>
      <c r="L3600" s="4562">
        <f>XLOOKUP(B3600,'_Sys|Line_Map'!$A:$A,'_Sys|Line_Map'!$B:$B,"MISSING",0)</f>
        <v/>
      </c>
    </row>
    <row r="3601">
      <c r="A3601" s="4561" t="n"/>
      <c r="B3601" s="4561" t="n"/>
      <c r="C3601" s="4561" t="n"/>
      <c r="D3601" s="4561" t="n"/>
      <c r="E3601" s="4561" t="n"/>
      <c r="F3601" s="4561" t="n"/>
      <c r="G3601" s="4561" t="n"/>
      <c r="H3601" s="4561" t="n"/>
      <c r="I3601" s="4562">
        <f>XLOOKUP(B3601,'_Sys|Line_Map'!$A:$A,'_Sys|Line_Map'!$C:$C,"MISSING",0)</f>
        <v/>
      </c>
      <c r="J3601" s="4562">
        <f>XLOOKUP(B3601,'_Sys|Line_Map'!$A:$A,'_Sys|Line_Map'!$D:$D,1,0)</f>
        <v/>
      </c>
      <c r="K3601" s="4562">
        <f>IF(D3601="","",D3601*J3601)</f>
        <v/>
      </c>
      <c r="L3601" s="4562">
        <f>XLOOKUP(B3601,'_Sys|Line_Map'!$A:$A,'_Sys|Line_Map'!$B:$B,"MISSING",0)</f>
        <v/>
      </c>
    </row>
    <row r="3602">
      <c r="A3602" s="4561" t="n"/>
      <c r="B3602" s="4561" t="n"/>
      <c r="C3602" s="4561" t="n"/>
      <c r="D3602" s="4561" t="n"/>
      <c r="E3602" s="4561" t="n"/>
      <c r="F3602" s="4561" t="n"/>
      <c r="G3602" s="4561" t="n"/>
      <c r="H3602" s="4561" t="n"/>
      <c r="I3602" s="4562">
        <f>XLOOKUP(B3602,'_Sys|Line_Map'!$A:$A,'_Sys|Line_Map'!$C:$C,"MISSING",0)</f>
        <v/>
      </c>
      <c r="J3602" s="4562">
        <f>XLOOKUP(B3602,'_Sys|Line_Map'!$A:$A,'_Sys|Line_Map'!$D:$D,1,0)</f>
        <v/>
      </c>
      <c r="K3602" s="4562">
        <f>IF(D3602="","",D3602*J3602)</f>
        <v/>
      </c>
      <c r="L3602" s="4562">
        <f>XLOOKUP(B3602,'_Sys|Line_Map'!$A:$A,'_Sys|Line_Map'!$B:$B,"MISSING",0)</f>
        <v/>
      </c>
    </row>
    <row r="3603">
      <c r="A3603" s="4561" t="n"/>
      <c r="B3603" s="4561" t="n"/>
      <c r="C3603" s="4561" t="n"/>
      <c r="D3603" s="4561" t="n"/>
      <c r="E3603" s="4561" t="n"/>
      <c r="F3603" s="4561" t="n"/>
      <c r="G3603" s="4561" t="n"/>
      <c r="H3603" s="4561" t="n"/>
      <c r="I3603" s="4562">
        <f>XLOOKUP(B3603,'_Sys|Line_Map'!$A:$A,'_Sys|Line_Map'!$C:$C,"MISSING",0)</f>
        <v/>
      </c>
      <c r="J3603" s="4562">
        <f>XLOOKUP(B3603,'_Sys|Line_Map'!$A:$A,'_Sys|Line_Map'!$D:$D,1,0)</f>
        <v/>
      </c>
      <c r="K3603" s="4562">
        <f>IF(D3603="","",D3603*J3603)</f>
        <v/>
      </c>
      <c r="L3603" s="4562">
        <f>XLOOKUP(B3603,'_Sys|Line_Map'!$A:$A,'_Sys|Line_Map'!$B:$B,"MISSING",0)</f>
        <v/>
      </c>
    </row>
    <row r="3604">
      <c r="A3604" s="4561" t="n"/>
      <c r="B3604" s="4561" t="n"/>
      <c r="C3604" s="4561" t="n"/>
      <c r="D3604" s="4561" t="n"/>
      <c r="E3604" s="4561" t="n"/>
      <c r="F3604" s="4561" t="n"/>
      <c r="G3604" s="4561" t="n"/>
      <c r="H3604" s="4561" t="n"/>
      <c r="I3604" s="4562">
        <f>XLOOKUP(B3604,'_Sys|Line_Map'!$A:$A,'_Sys|Line_Map'!$C:$C,"MISSING",0)</f>
        <v/>
      </c>
      <c r="J3604" s="4562">
        <f>XLOOKUP(B3604,'_Sys|Line_Map'!$A:$A,'_Sys|Line_Map'!$D:$D,1,0)</f>
        <v/>
      </c>
      <c r="K3604" s="4562">
        <f>IF(D3604="","",D3604*J3604)</f>
        <v/>
      </c>
      <c r="L3604" s="4562">
        <f>XLOOKUP(B3604,'_Sys|Line_Map'!$A:$A,'_Sys|Line_Map'!$B:$B,"MISSING",0)</f>
        <v/>
      </c>
    </row>
    <row r="3605">
      <c r="A3605" s="4561" t="n"/>
      <c r="B3605" s="4561" t="n"/>
      <c r="C3605" s="4561" t="n"/>
      <c r="D3605" s="4561" t="n"/>
      <c r="E3605" s="4561" t="n"/>
      <c r="F3605" s="4561" t="n"/>
      <c r="G3605" s="4561" t="n"/>
      <c r="H3605" s="4561" t="n"/>
      <c r="I3605" s="4562">
        <f>XLOOKUP(B3605,'_Sys|Line_Map'!$A:$A,'_Sys|Line_Map'!$C:$C,"MISSING",0)</f>
        <v/>
      </c>
      <c r="J3605" s="4562">
        <f>XLOOKUP(B3605,'_Sys|Line_Map'!$A:$A,'_Sys|Line_Map'!$D:$D,1,0)</f>
        <v/>
      </c>
      <c r="K3605" s="4562">
        <f>IF(D3605="","",D3605*J3605)</f>
        <v/>
      </c>
      <c r="L3605" s="4562">
        <f>XLOOKUP(B3605,'_Sys|Line_Map'!$A:$A,'_Sys|Line_Map'!$B:$B,"MISSING",0)</f>
        <v/>
      </c>
    </row>
    <row r="3606">
      <c r="A3606" s="4561" t="n"/>
      <c r="B3606" s="4561" t="n"/>
      <c r="C3606" s="4561" t="n"/>
      <c r="D3606" s="4561" t="n"/>
      <c r="E3606" s="4561" t="n"/>
      <c r="F3606" s="4561" t="n"/>
      <c r="G3606" s="4561" t="n"/>
      <c r="H3606" s="4561" t="n"/>
      <c r="I3606" s="4562">
        <f>XLOOKUP(B3606,'_Sys|Line_Map'!$A:$A,'_Sys|Line_Map'!$C:$C,"MISSING",0)</f>
        <v/>
      </c>
      <c r="J3606" s="4562">
        <f>XLOOKUP(B3606,'_Sys|Line_Map'!$A:$A,'_Sys|Line_Map'!$D:$D,1,0)</f>
        <v/>
      </c>
      <c r="K3606" s="4562">
        <f>IF(D3606="","",D3606*J3606)</f>
        <v/>
      </c>
      <c r="L3606" s="4562">
        <f>XLOOKUP(B3606,'_Sys|Line_Map'!$A:$A,'_Sys|Line_Map'!$B:$B,"MISSING",0)</f>
        <v/>
      </c>
    </row>
    <row r="3607">
      <c r="A3607" s="4561" t="n"/>
      <c r="B3607" s="4561" t="n"/>
      <c r="C3607" s="4561" t="n"/>
      <c r="D3607" s="4561" t="n"/>
      <c r="E3607" s="4561" t="n"/>
      <c r="F3607" s="4561" t="n"/>
      <c r="G3607" s="4561" t="n"/>
      <c r="H3607" s="4561" t="n"/>
      <c r="I3607" s="4562">
        <f>XLOOKUP(B3607,'_Sys|Line_Map'!$A:$A,'_Sys|Line_Map'!$C:$C,"MISSING",0)</f>
        <v/>
      </c>
      <c r="J3607" s="4562">
        <f>XLOOKUP(B3607,'_Sys|Line_Map'!$A:$A,'_Sys|Line_Map'!$D:$D,1,0)</f>
        <v/>
      </c>
      <c r="K3607" s="4562">
        <f>IF(D3607="","",D3607*J3607)</f>
        <v/>
      </c>
      <c r="L3607" s="4562">
        <f>XLOOKUP(B3607,'_Sys|Line_Map'!$A:$A,'_Sys|Line_Map'!$B:$B,"MISSING",0)</f>
        <v/>
      </c>
    </row>
    <row r="3608">
      <c r="A3608" s="4561" t="n"/>
      <c r="B3608" s="4561" t="n"/>
      <c r="C3608" s="4561" t="n"/>
      <c r="D3608" s="4561" t="n"/>
      <c r="E3608" s="4561" t="n"/>
      <c r="F3608" s="4561" t="n"/>
      <c r="G3608" s="4561" t="n"/>
      <c r="H3608" s="4561" t="n"/>
      <c r="I3608" s="4562">
        <f>XLOOKUP(B3608,'_Sys|Line_Map'!$A:$A,'_Sys|Line_Map'!$C:$C,"MISSING",0)</f>
        <v/>
      </c>
      <c r="J3608" s="4562">
        <f>XLOOKUP(B3608,'_Sys|Line_Map'!$A:$A,'_Sys|Line_Map'!$D:$D,1,0)</f>
        <v/>
      </c>
      <c r="K3608" s="4562">
        <f>IF(D3608="","",D3608*J3608)</f>
        <v/>
      </c>
      <c r="L3608" s="4562">
        <f>XLOOKUP(B3608,'_Sys|Line_Map'!$A:$A,'_Sys|Line_Map'!$B:$B,"MISSING",0)</f>
        <v/>
      </c>
    </row>
    <row r="3609">
      <c r="A3609" s="4561" t="n"/>
      <c r="B3609" s="4561" t="n"/>
      <c r="C3609" s="4561" t="n"/>
      <c r="D3609" s="4561" t="n"/>
      <c r="E3609" s="4561" t="n"/>
      <c r="F3609" s="4561" t="n"/>
      <c r="G3609" s="4561" t="n"/>
      <c r="H3609" s="4561" t="n"/>
      <c r="I3609" s="4562">
        <f>XLOOKUP(B3609,'_Sys|Line_Map'!$A:$A,'_Sys|Line_Map'!$C:$C,"MISSING",0)</f>
        <v/>
      </c>
      <c r="J3609" s="4562">
        <f>XLOOKUP(B3609,'_Sys|Line_Map'!$A:$A,'_Sys|Line_Map'!$D:$D,1,0)</f>
        <v/>
      </c>
      <c r="K3609" s="4562">
        <f>IF(D3609="","",D3609*J3609)</f>
        <v/>
      </c>
      <c r="L3609" s="4562">
        <f>XLOOKUP(B3609,'_Sys|Line_Map'!$A:$A,'_Sys|Line_Map'!$B:$B,"MISSING",0)</f>
        <v/>
      </c>
    </row>
    <row r="3610">
      <c r="A3610" s="4561" t="n"/>
      <c r="B3610" s="4561" t="n"/>
      <c r="C3610" s="4561" t="n"/>
      <c r="D3610" s="4561" t="n"/>
      <c r="E3610" s="4561" t="n"/>
      <c r="F3610" s="4561" t="n"/>
      <c r="G3610" s="4561" t="n"/>
      <c r="H3610" s="4561" t="n"/>
      <c r="I3610" s="4562">
        <f>XLOOKUP(B3610,'_Sys|Line_Map'!$A:$A,'_Sys|Line_Map'!$C:$C,"MISSING",0)</f>
        <v/>
      </c>
      <c r="J3610" s="4562">
        <f>XLOOKUP(B3610,'_Sys|Line_Map'!$A:$A,'_Sys|Line_Map'!$D:$D,1,0)</f>
        <v/>
      </c>
      <c r="K3610" s="4562">
        <f>IF(D3610="","",D3610*J3610)</f>
        <v/>
      </c>
      <c r="L3610" s="4562">
        <f>XLOOKUP(B3610,'_Sys|Line_Map'!$A:$A,'_Sys|Line_Map'!$B:$B,"MISSING",0)</f>
        <v/>
      </c>
    </row>
    <row r="3611">
      <c r="A3611" s="4561" t="n"/>
      <c r="B3611" s="4561" t="n"/>
      <c r="C3611" s="4561" t="n"/>
      <c r="D3611" s="4561" t="n"/>
      <c r="E3611" s="4561" t="n"/>
      <c r="F3611" s="4561" t="n"/>
      <c r="G3611" s="4561" t="n"/>
      <c r="H3611" s="4561" t="n"/>
      <c r="I3611" s="4562">
        <f>XLOOKUP(B3611,'_Sys|Line_Map'!$A:$A,'_Sys|Line_Map'!$C:$C,"MISSING",0)</f>
        <v/>
      </c>
      <c r="J3611" s="4562">
        <f>XLOOKUP(B3611,'_Sys|Line_Map'!$A:$A,'_Sys|Line_Map'!$D:$D,1,0)</f>
        <v/>
      </c>
      <c r="K3611" s="4562">
        <f>IF(D3611="","",D3611*J3611)</f>
        <v/>
      </c>
      <c r="L3611" s="4562">
        <f>XLOOKUP(B3611,'_Sys|Line_Map'!$A:$A,'_Sys|Line_Map'!$B:$B,"MISSING",0)</f>
        <v/>
      </c>
    </row>
    <row r="3612">
      <c r="A3612" s="4561" t="n"/>
      <c r="B3612" s="4561" t="n"/>
      <c r="C3612" s="4561" t="n"/>
      <c r="D3612" s="4561" t="n"/>
      <c r="E3612" s="4561" t="n"/>
      <c r="F3612" s="4561" t="n"/>
      <c r="G3612" s="4561" t="n"/>
      <c r="H3612" s="4561" t="n"/>
      <c r="I3612" s="4562">
        <f>XLOOKUP(B3612,'_Sys|Line_Map'!$A:$A,'_Sys|Line_Map'!$C:$C,"MISSING",0)</f>
        <v/>
      </c>
      <c r="J3612" s="4562">
        <f>XLOOKUP(B3612,'_Sys|Line_Map'!$A:$A,'_Sys|Line_Map'!$D:$D,1,0)</f>
        <v/>
      </c>
      <c r="K3612" s="4562">
        <f>IF(D3612="","",D3612*J3612)</f>
        <v/>
      </c>
      <c r="L3612" s="4562">
        <f>XLOOKUP(B3612,'_Sys|Line_Map'!$A:$A,'_Sys|Line_Map'!$B:$B,"MISSING",0)</f>
        <v/>
      </c>
    </row>
    <row r="3613">
      <c r="A3613" s="4561" t="n"/>
      <c r="B3613" s="4561" t="n"/>
      <c r="C3613" s="4561" t="n"/>
      <c r="D3613" s="4561" t="n"/>
      <c r="E3613" s="4561" t="n"/>
      <c r="F3613" s="4561" t="n"/>
      <c r="G3613" s="4561" t="n"/>
      <c r="H3613" s="4561" t="n"/>
      <c r="I3613" s="4562">
        <f>XLOOKUP(B3613,'_Sys|Line_Map'!$A:$A,'_Sys|Line_Map'!$C:$C,"MISSING",0)</f>
        <v/>
      </c>
      <c r="J3613" s="4562">
        <f>XLOOKUP(B3613,'_Sys|Line_Map'!$A:$A,'_Sys|Line_Map'!$D:$D,1,0)</f>
        <v/>
      </c>
      <c r="K3613" s="4562">
        <f>IF(D3613="","",D3613*J3613)</f>
        <v/>
      </c>
      <c r="L3613" s="4562">
        <f>XLOOKUP(B3613,'_Sys|Line_Map'!$A:$A,'_Sys|Line_Map'!$B:$B,"MISSING",0)</f>
        <v/>
      </c>
    </row>
    <row r="3614">
      <c r="A3614" s="4561" t="n"/>
      <c r="B3614" s="4561" t="n"/>
      <c r="C3614" s="4561" t="n"/>
      <c r="D3614" s="4561" t="n"/>
      <c r="E3614" s="4561" t="n"/>
      <c r="F3614" s="4561" t="n"/>
      <c r="G3614" s="4561" t="n"/>
      <c r="H3614" s="4561" t="n"/>
      <c r="I3614" s="4562">
        <f>XLOOKUP(B3614,'_Sys|Line_Map'!$A:$A,'_Sys|Line_Map'!$C:$C,"MISSING",0)</f>
        <v/>
      </c>
      <c r="J3614" s="4562">
        <f>XLOOKUP(B3614,'_Sys|Line_Map'!$A:$A,'_Sys|Line_Map'!$D:$D,1,0)</f>
        <v/>
      </c>
      <c r="K3614" s="4562">
        <f>IF(D3614="","",D3614*J3614)</f>
        <v/>
      </c>
      <c r="L3614" s="4562">
        <f>XLOOKUP(B3614,'_Sys|Line_Map'!$A:$A,'_Sys|Line_Map'!$B:$B,"MISSING",0)</f>
        <v/>
      </c>
    </row>
    <row r="3615">
      <c r="A3615" s="4561" t="n"/>
      <c r="B3615" s="4561" t="n"/>
      <c r="C3615" s="4561" t="n"/>
      <c r="D3615" s="4561" t="n"/>
      <c r="E3615" s="4561" t="n"/>
      <c r="F3615" s="4561" t="n"/>
      <c r="G3615" s="4561" t="n"/>
      <c r="H3615" s="4561" t="n"/>
      <c r="I3615" s="4562">
        <f>XLOOKUP(B3615,'_Sys|Line_Map'!$A:$A,'_Sys|Line_Map'!$C:$C,"MISSING",0)</f>
        <v/>
      </c>
      <c r="J3615" s="4562">
        <f>XLOOKUP(B3615,'_Sys|Line_Map'!$A:$A,'_Sys|Line_Map'!$D:$D,1,0)</f>
        <v/>
      </c>
      <c r="K3615" s="4562">
        <f>IF(D3615="","",D3615*J3615)</f>
        <v/>
      </c>
      <c r="L3615" s="4562">
        <f>XLOOKUP(B3615,'_Sys|Line_Map'!$A:$A,'_Sys|Line_Map'!$B:$B,"MISSING",0)</f>
        <v/>
      </c>
    </row>
    <row r="3616">
      <c r="A3616" s="4561" t="n"/>
      <c r="B3616" s="4561" t="n"/>
      <c r="C3616" s="4561" t="n"/>
      <c r="D3616" s="4561" t="n"/>
      <c r="E3616" s="4561" t="n"/>
      <c r="F3616" s="4561" t="n"/>
      <c r="G3616" s="4561" t="n"/>
      <c r="H3616" s="4561" t="n"/>
      <c r="I3616" s="4562">
        <f>XLOOKUP(B3616,'_Sys|Line_Map'!$A:$A,'_Sys|Line_Map'!$C:$C,"MISSING",0)</f>
        <v/>
      </c>
      <c r="J3616" s="4562">
        <f>XLOOKUP(B3616,'_Sys|Line_Map'!$A:$A,'_Sys|Line_Map'!$D:$D,1,0)</f>
        <v/>
      </c>
      <c r="K3616" s="4562">
        <f>IF(D3616="","",D3616*J3616)</f>
        <v/>
      </c>
      <c r="L3616" s="4562">
        <f>XLOOKUP(B3616,'_Sys|Line_Map'!$A:$A,'_Sys|Line_Map'!$B:$B,"MISSING",0)</f>
        <v/>
      </c>
    </row>
    <row r="3617">
      <c r="A3617" s="4561" t="n"/>
      <c r="B3617" s="4561" t="n"/>
      <c r="C3617" s="4561" t="n"/>
      <c r="D3617" s="4561" t="n"/>
      <c r="E3617" s="4561" t="n"/>
      <c r="F3617" s="4561" t="n"/>
      <c r="G3617" s="4561" t="n"/>
      <c r="H3617" s="4561" t="n"/>
      <c r="I3617" s="4562">
        <f>XLOOKUP(B3617,'_Sys|Line_Map'!$A:$A,'_Sys|Line_Map'!$C:$C,"MISSING",0)</f>
        <v/>
      </c>
      <c r="J3617" s="4562">
        <f>XLOOKUP(B3617,'_Sys|Line_Map'!$A:$A,'_Sys|Line_Map'!$D:$D,1,0)</f>
        <v/>
      </c>
      <c r="K3617" s="4562">
        <f>IF(D3617="","",D3617*J3617)</f>
        <v/>
      </c>
      <c r="L3617" s="4562">
        <f>XLOOKUP(B3617,'_Sys|Line_Map'!$A:$A,'_Sys|Line_Map'!$B:$B,"MISSING",0)</f>
        <v/>
      </c>
    </row>
    <row r="3618">
      <c r="A3618" s="4561" t="n"/>
      <c r="B3618" s="4561" t="n"/>
      <c r="C3618" s="4561" t="n"/>
      <c r="D3618" s="4561" t="n"/>
      <c r="E3618" s="4561" t="n"/>
      <c r="F3618" s="4561" t="n"/>
      <c r="G3618" s="4561" t="n"/>
      <c r="H3618" s="4561" t="n"/>
      <c r="I3618" s="4562">
        <f>XLOOKUP(B3618,'_Sys|Line_Map'!$A:$A,'_Sys|Line_Map'!$C:$C,"MISSING",0)</f>
        <v/>
      </c>
      <c r="J3618" s="4562">
        <f>XLOOKUP(B3618,'_Sys|Line_Map'!$A:$A,'_Sys|Line_Map'!$D:$D,1,0)</f>
        <v/>
      </c>
      <c r="K3618" s="4562">
        <f>IF(D3618="","",D3618*J3618)</f>
        <v/>
      </c>
      <c r="L3618" s="4562">
        <f>XLOOKUP(B3618,'_Sys|Line_Map'!$A:$A,'_Sys|Line_Map'!$B:$B,"MISSING",0)</f>
        <v/>
      </c>
    </row>
    <row r="3619">
      <c r="A3619" s="4561" t="n"/>
      <c r="B3619" s="4561" t="n"/>
      <c r="C3619" s="4561" t="n"/>
      <c r="D3619" s="4561" t="n"/>
      <c r="E3619" s="4561" t="n"/>
      <c r="F3619" s="4561" t="n"/>
      <c r="G3619" s="4561" t="n"/>
      <c r="H3619" s="4561" t="n"/>
      <c r="I3619" s="4562">
        <f>XLOOKUP(B3619,'_Sys|Line_Map'!$A:$A,'_Sys|Line_Map'!$C:$C,"MISSING",0)</f>
        <v/>
      </c>
      <c r="J3619" s="4562">
        <f>XLOOKUP(B3619,'_Sys|Line_Map'!$A:$A,'_Sys|Line_Map'!$D:$D,1,0)</f>
        <v/>
      </c>
      <c r="K3619" s="4562">
        <f>IF(D3619="","",D3619*J3619)</f>
        <v/>
      </c>
      <c r="L3619" s="4562">
        <f>XLOOKUP(B3619,'_Sys|Line_Map'!$A:$A,'_Sys|Line_Map'!$B:$B,"MISSING",0)</f>
        <v/>
      </c>
    </row>
    <row r="3620">
      <c r="A3620" s="4561" t="n"/>
      <c r="B3620" s="4561" t="n"/>
      <c r="C3620" s="4561" t="n"/>
      <c r="D3620" s="4561" t="n"/>
      <c r="E3620" s="4561" t="n"/>
      <c r="F3620" s="4561" t="n"/>
      <c r="G3620" s="4561" t="n"/>
      <c r="H3620" s="4561" t="n"/>
      <c r="I3620" s="4562">
        <f>XLOOKUP(B3620,'_Sys|Line_Map'!$A:$A,'_Sys|Line_Map'!$C:$C,"MISSING",0)</f>
        <v/>
      </c>
      <c r="J3620" s="4562">
        <f>XLOOKUP(B3620,'_Sys|Line_Map'!$A:$A,'_Sys|Line_Map'!$D:$D,1,0)</f>
        <v/>
      </c>
      <c r="K3620" s="4562">
        <f>IF(D3620="","",D3620*J3620)</f>
        <v/>
      </c>
      <c r="L3620" s="4562">
        <f>XLOOKUP(B3620,'_Sys|Line_Map'!$A:$A,'_Sys|Line_Map'!$B:$B,"MISSING",0)</f>
        <v/>
      </c>
    </row>
    <row r="3621">
      <c r="A3621" s="4561" t="n"/>
      <c r="B3621" s="4561" t="n"/>
      <c r="C3621" s="4561" t="n"/>
      <c r="D3621" s="4561" t="n"/>
      <c r="E3621" s="4561" t="n"/>
      <c r="F3621" s="4561" t="n"/>
      <c r="G3621" s="4561" t="n"/>
      <c r="H3621" s="4561" t="n"/>
      <c r="I3621" s="4562">
        <f>XLOOKUP(B3621,'_Sys|Line_Map'!$A:$A,'_Sys|Line_Map'!$C:$C,"MISSING",0)</f>
        <v/>
      </c>
      <c r="J3621" s="4562">
        <f>XLOOKUP(B3621,'_Sys|Line_Map'!$A:$A,'_Sys|Line_Map'!$D:$D,1,0)</f>
        <v/>
      </c>
      <c r="K3621" s="4562">
        <f>IF(D3621="","",D3621*J3621)</f>
        <v/>
      </c>
      <c r="L3621" s="4562">
        <f>XLOOKUP(B3621,'_Sys|Line_Map'!$A:$A,'_Sys|Line_Map'!$B:$B,"MISSING",0)</f>
        <v/>
      </c>
    </row>
    <row r="3622">
      <c r="A3622" s="4561" t="n"/>
      <c r="B3622" s="4561" t="n"/>
      <c r="C3622" s="4561" t="n"/>
      <c r="D3622" s="4561" t="n"/>
      <c r="E3622" s="4561" t="n"/>
      <c r="F3622" s="4561" t="n"/>
      <c r="G3622" s="4561" t="n"/>
      <c r="H3622" s="4561" t="n"/>
      <c r="I3622" s="4562">
        <f>XLOOKUP(B3622,'_Sys|Line_Map'!$A:$A,'_Sys|Line_Map'!$C:$C,"MISSING",0)</f>
        <v/>
      </c>
      <c r="J3622" s="4562">
        <f>XLOOKUP(B3622,'_Sys|Line_Map'!$A:$A,'_Sys|Line_Map'!$D:$D,1,0)</f>
        <v/>
      </c>
      <c r="K3622" s="4562">
        <f>IF(D3622="","",D3622*J3622)</f>
        <v/>
      </c>
      <c r="L3622" s="4562">
        <f>XLOOKUP(B3622,'_Sys|Line_Map'!$A:$A,'_Sys|Line_Map'!$B:$B,"MISSING",0)</f>
        <v/>
      </c>
    </row>
    <row r="3623">
      <c r="A3623" s="4561" t="n"/>
      <c r="B3623" s="4561" t="n"/>
      <c r="C3623" s="4561" t="n"/>
      <c r="D3623" s="4561" t="n"/>
      <c r="E3623" s="4561" t="n"/>
      <c r="F3623" s="4561" t="n"/>
      <c r="G3623" s="4561" t="n"/>
      <c r="H3623" s="4561" t="n"/>
      <c r="I3623" s="4562">
        <f>XLOOKUP(B3623,'_Sys|Line_Map'!$A:$A,'_Sys|Line_Map'!$C:$C,"MISSING",0)</f>
        <v/>
      </c>
      <c r="J3623" s="4562">
        <f>XLOOKUP(B3623,'_Sys|Line_Map'!$A:$A,'_Sys|Line_Map'!$D:$D,1,0)</f>
        <v/>
      </c>
      <c r="K3623" s="4562">
        <f>IF(D3623="","",D3623*J3623)</f>
        <v/>
      </c>
      <c r="L3623" s="4562">
        <f>XLOOKUP(B3623,'_Sys|Line_Map'!$A:$A,'_Sys|Line_Map'!$B:$B,"MISSING",0)</f>
        <v/>
      </c>
    </row>
    <row r="3624">
      <c r="A3624" s="4561" t="n"/>
      <c r="B3624" s="4561" t="n"/>
      <c r="C3624" s="4561" t="n"/>
      <c r="D3624" s="4561" t="n"/>
      <c r="E3624" s="4561" t="n"/>
      <c r="F3624" s="4561" t="n"/>
      <c r="G3624" s="4561" t="n"/>
      <c r="H3624" s="4561" t="n"/>
      <c r="I3624" s="4562">
        <f>XLOOKUP(B3624,'_Sys|Line_Map'!$A:$A,'_Sys|Line_Map'!$C:$C,"MISSING",0)</f>
        <v/>
      </c>
      <c r="J3624" s="4562">
        <f>XLOOKUP(B3624,'_Sys|Line_Map'!$A:$A,'_Sys|Line_Map'!$D:$D,1,0)</f>
        <v/>
      </c>
      <c r="K3624" s="4562">
        <f>IF(D3624="","",D3624*J3624)</f>
        <v/>
      </c>
      <c r="L3624" s="4562">
        <f>XLOOKUP(B3624,'_Sys|Line_Map'!$A:$A,'_Sys|Line_Map'!$B:$B,"MISSING",0)</f>
        <v/>
      </c>
    </row>
    <row r="3625">
      <c r="A3625" s="4561" t="n"/>
      <c r="B3625" s="4561" t="n"/>
      <c r="C3625" s="4561" t="n"/>
      <c r="D3625" s="4561" t="n"/>
      <c r="E3625" s="4561" t="n"/>
      <c r="F3625" s="4561" t="n"/>
      <c r="G3625" s="4561" t="n"/>
      <c r="H3625" s="4561" t="n"/>
      <c r="I3625" s="4562">
        <f>XLOOKUP(B3625,'_Sys|Line_Map'!$A:$A,'_Sys|Line_Map'!$C:$C,"MISSING",0)</f>
        <v/>
      </c>
      <c r="J3625" s="4562">
        <f>XLOOKUP(B3625,'_Sys|Line_Map'!$A:$A,'_Sys|Line_Map'!$D:$D,1,0)</f>
        <v/>
      </c>
      <c r="K3625" s="4562">
        <f>IF(D3625="","",D3625*J3625)</f>
        <v/>
      </c>
      <c r="L3625" s="4562">
        <f>XLOOKUP(B3625,'_Sys|Line_Map'!$A:$A,'_Sys|Line_Map'!$B:$B,"MISSING",0)</f>
        <v/>
      </c>
    </row>
    <row r="3626">
      <c r="A3626" s="4561" t="n"/>
      <c r="B3626" s="4561" t="n"/>
      <c r="C3626" s="4561" t="n"/>
      <c r="D3626" s="4561" t="n"/>
      <c r="E3626" s="4561" t="n"/>
      <c r="F3626" s="4561" t="n"/>
      <c r="G3626" s="4561" t="n"/>
      <c r="H3626" s="4561" t="n"/>
      <c r="I3626" s="4562">
        <f>XLOOKUP(B3626,'_Sys|Line_Map'!$A:$A,'_Sys|Line_Map'!$C:$C,"MISSING",0)</f>
        <v/>
      </c>
      <c r="J3626" s="4562">
        <f>XLOOKUP(B3626,'_Sys|Line_Map'!$A:$A,'_Sys|Line_Map'!$D:$D,1,0)</f>
        <v/>
      </c>
      <c r="K3626" s="4562">
        <f>IF(D3626="","",D3626*J3626)</f>
        <v/>
      </c>
      <c r="L3626" s="4562">
        <f>XLOOKUP(B3626,'_Sys|Line_Map'!$A:$A,'_Sys|Line_Map'!$B:$B,"MISSING",0)</f>
        <v/>
      </c>
    </row>
    <row r="3627">
      <c r="A3627" s="4561" t="n"/>
      <c r="B3627" s="4561" t="n"/>
      <c r="C3627" s="4561" t="n"/>
      <c r="D3627" s="4561" t="n"/>
      <c r="E3627" s="4561" t="n"/>
      <c r="F3627" s="4561" t="n"/>
      <c r="G3627" s="4561" t="n"/>
      <c r="H3627" s="4561" t="n"/>
      <c r="I3627" s="4562">
        <f>XLOOKUP(B3627,'_Sys|Line_Map'!$A:$A,'_Sys|Line_Map'!$C:$C,"MISSING",0)</f>
        <v/>
      </c>
      <c r="J3627" s="4562">
        <f>XLOOKUP(B3627,'_Sys|Line_Map'!$A:$A,'_Sys|Line_Map'!$D:$D,1,0)</f>
        <v/>
      </c>
      <c r="K3627" s="4562">
        <f>IF(D3627="","",D3627*J3627)</f>
        <v/>
      </c>
      <c r="L3627" s="4562">
        <f>XLOOKUP(B3627,'_Sys|Line_Map'!$A:$A,'_Sys|Line_Map'!$B:$B,"MISSING",0)</f>
        <v/>
      </c>
    </row>
    <row r="3628">
      <c r="A3628" s="4561" t="n"/>
      <c r="B3628" s="4561" t="n"/>
      <c r="C3628" s="4561" t="n"/>
      <c r="D3628" s="4561" t="n"/>
      <c r="E3628" s="4561" t="n"/>
      <c r="F3628" s="4561" t="n"/>
      <c r="G3628" s="4561" t="n"/>
      <c r="H3628" s="4561" t="n"/>
      <c r="I3628" s="4562">
        <f>XLOOKUP(B3628,'_Sys|Line_Map'!$A:$A,'_Sys|Line_Map'!$C:$C,"MISSING",0)</f>
        <v/>
      </c>
      <c r="J3628" s="4562">
        <f>XLOOKUP(B3628,'_Sys|Line_Map'!$A:$A,'_Sys|Line_Map'!$D:$D,1,0)</f>
        <v/>
      </c>
      <c r="K3628" s="4562">
        <f>IF(D3628="","",D3628*J3628)</f>
        <v/>
      </c>
      <c r="L3628" s="4562">
        <f>XLOOKUP(B3628,'_Sys|Line_Map'!$A:$A,'_Sys|Line_Map'!$B:$B,"MISSING",0)</f>
        <v/>
      </c>
    </row>
    <row r="3629">
      <c r="A3629" s="4561" t="n"/>
      <c r="B3629" s="4561" t="n"/>
      <c r="C3629" s="4561" t="n"/>
      <c r="D3629" s="4561" t="n"/>
      <c r="E3629" s="4561" t="n"/>
      <c r="F3629" s="4561" t="n"/>
      <c r="G3629" s="4561" t="n"/>
      <c r="H3629" s="4561" t="n"/>
      <c r="I3629" s="4562">
        <f>XLOOKUP(B3629,'_Sys|Line_Map'!$A:$A,'_Sys|Line_Map'!$C:$C,"MISSING",0)</f>
        <v/>
      </c>
      <c r="J3629" s="4562">
        <f>XLOOKUP(B3629,'_Sys|Line_Map'!$A:$A,'_Sys|Line_Map'!$D:$D,1,0)</f>
        <v/>
      </c>
      <c r="K3629" s="4562">
        <f>IF(D3629="","",D3629*J3629)</f>
        <v/>
      </c>
      <c r="L3629" s="4562">
        <f>XLOOKUP(B3629,'_Sys|Line_Map'!$A:$A,'_Sys|Line_Map'!$B:$B,"MISSING",0)</f>
        <v/>
      </c>
    </row>
    <row r="3630">
      <c r="A3630" s="4561" t="n"/>
      <c r="B3630" s="4561" t="n"/>
      <c r="C3630" s="4561" t="n"/>
      <c r="D3630" s="4561" t="n"/>
      <c r="E3630" s="4561" t="n"/>
      <c r="F3630" s="4561" t="n"/>
      <c r="G3630" s="4561" t="n"/>
      <c r="H3630" s="4561" t="n"/>
      <c r="I3630" s="4562">
        <f>XLOOKUP(B3630,'_Sys|Line_Map'!$A:$A,'_Sys|Line_Map'!$C:$C,"MISSING",0)</f>
        <v/>
      </c>
      <c r="J3630" s="4562">
        <f>XLOOKUP(B3630,'_Sys|Line_Map'!$A:$A,'_Sys|Line_Map'!$D:$D,1,0)</f>
        <v/>
      </c>
      <c r="K3630" s="4562">
        <f>IF(D3630="","",D3630*J3630)</f>
        <v/>
      </c>
      <c r="L3630" s="4562">
        <f>XLOOKUP(B3630,'_Sys|Line_Map'!$A:$A,'_Sys|Line_Map'!$B:$B,"MISSING",0)</f>
        <v/>
      </c>
    </row>
    <row r="3631">
      <c r="A3631" s="4561" t="n"/>
      <c r="B3631" s="4561" t="n"/>
      <c r="C3631" s="4561" t="n"/>
      <c r="D3631" s="4561" t="n"/>
      <c r="E3631" s="4561" t="n"/>
      <c r="F3631" s="4561" t="n"/>
      <c r="G3631" s="4561" t="n"/>
      <c r="H3631" s="4561" t="n"/>
      <c r="I3631" s="4562">
        <f>XLOOKUP(B3631,'_Sys|Line_Map'!$A:$A,'_Sys|Line_Map'!$C:$C,"MISSING",0)</f>
        <v/>
      </c>
      <c r="J3631" s="4562">
        <f>XLOOKUP(B3631,'_Sys|Line_Map'!$A:$A,'_Sys|Line_Map'!$D:$D,1,0)</f>
        <v/>
      </c>
      <c r="K3631" s="4562">
        <f>IF(D3631="","",D3631*J3631)</f>
        <v/>
      </c>
      <c r="L3631" s="4562">
        <f>XLOOKUP(B3631,'_Sys|Line_Map'!$A:$A,'_Sys|Line_Map'!$B:$B,"MISSING",0)</f>
        <v/>
      </c>
    </row>
    <row r="3632">
      <c r="A3632" s="4561" t="n"/>
      <c r="B3632" s="4561" t="n"/>
      <c r="C3632" s="4561" t="n"/>
      <c r="D3632" s="4561" t="n"/>
      <c r="E3632" s="4561" t="n"/>
      <c r="F3632" s="4561" t="n"/>
      <c r="G3632" s="4561" t="n"/>
      <c r="H3632" s="4561" t="n"/>
      <c r="I3632" s="4562">
        <f>XLOOKUP(B3632,'_Sys|Line_Map'!$A:$A,'_Sys|Line_Map'!$C:$C,"MISSING",0)</f>
        <v/>
      </c>
      <c r="J3632" s="4562">
        <f>XLOOKUP(B3632,'_Sys|Line_Map'!$A:$A,'_Sys|Line_Map'!$D:$D,1,0)</f>
        <v/>
      </c>
      <c r="K3632" s="4562">
        <f>IF(D3632="","",D3632*J3632)</f>
        <v/>
      </c>
      <c r="L3632" s="4562">
        <f>XLOOKUP(B3632,'_Sys|Line_Map'!$A:$A,'_Sys|Line_Map'!$B:$B,"MISSING",0)</f>
        <v/>
      </c>
    </row>
    <row r="3633">
      <c r="A3633" s="4561" t="n"/>
      <c r="B3633" s="4561" t="n"/>
      <c r="C3633" s="4561" t="n"/>
      <c r="D3633" s="4561" t="n"/>
      <c r="E3633" s="4561" t="n"/>
      <c r="F3633" s="4561" t="n"/>
      <c r="G3633" s="4561" t="n"/>
      <c r="H3633" s="4561" t="n"/>
      <c r="I3633" s="4562">
        <f>XLOOKUP(B3633,'_Sys|Line_Map'!$A:$A,'_Sys|Line_Map'!$C:$C,"MISSING",0)</f>
        <v/>
      </c>
      <c r="J3633" s="4562">
        <f>XLOOKUP(B3633,'_Sys|Line_Map'!$A:$A,'_Sys|Line_Map'!$D:$D,1,0)</f>
        <v/>
      </c>
      <c r="K3633" s="4562">
        <f>IF(D3633="","",D3633*J3633)</f>
        <v/>
      </c>
      <c r="L3633" s="4562">
        <f>XLOOKUP(B3633,'_Sys|Line_Map'!$A:$A,'_Sys|Line_Map'!$B:$B,"MISSING",0)</f>
        <v/>
      </c>
    </row>
    <row r="3634">
      <c r="A3634" s="4561" t="n"/>
      <c r="B3634" s="4561" t="n"/>
      <c r="C3634" s="4561" t="n"/>
      <c r="D3634" s="4561" t="n"/>
      <c r="E3634" s="4561" t="n"/>
      <c r="F3634" s="4561" t="n"/>
      <c r="G3634" s="4561" t="n"/>
      <c r="H3634" s="4561" t="n"/>
      <c r="I3634" s="4562">
        <f>XLOOKUP(B3634,'_Sys|Line_Map'!$A:$A,'_Sys|Line_Map'!$C:$C,"MISSING",0)</f>
        <v/>
      </c>
      <c r="J3634" s="4562">
        <f>XLOOKUP(B3634,'_Sys|Line_Map'!$A:$A,'_Sys|Line_Map'!$D:$D,1,0)</f>
        <v/>
      </c>
      <c r="K3634" s="4562">
        <f>IF(D3634="","",D3634*J3634)</f>
        <v/>
      </c>
      <c r="L3634" s="4562">
        <f>XLOOKUP(B3634,'_Sys|Line_Map'!$A:$A,'_Sys|Line_Map'!$B:$B,"MISSING",0)</f>
        <v/>
      </c>
    </row>
    <row r="3635">
      <c r="A3635" s="4561" t="n"/>
      <c r="B3635" s="4561" t="n"/>
      <c r="C3635" s="4561" t="n"/>
      <c r="D3635" s="4561" t="n"/>
      <c r="E3635" s="4561" t="n"/>
      <c r="F3635" s="4561" t="n"/>
      <c r="G3635" s="4561" t="n"/>
      <c r="H3635" s="4561" t="n"/>
      <c r="I3635" s="4562">
        <f>XLOOKUP(B3635,'_Sys|Line_Map'!$A:$A,'_Sys|Line_Map'!$C:$C,"MISSING",0)</f>
        <v/>
      </c>
      <c r="J3635" s="4562">
        <f>XLOOKUP(B3635,'_Sys|Line_Map'!$A:$A,'_Sys|Line_Map'!$D:$D,1,0)</f>
        <v/>
      </c>
      <c r="K3635" s="4562">
        <f>IF(D3635="","",D3635*J3635)</f>
        <v/>
      </c>
      <c r="L3635" s="4562">
        <f>XLOOKUP(B3635,'_Sys|Line_Map'!$A:$A,'_Sys|Line_Map'!$B:$B,"MISSING",0)</f>
        <v/>
      </c>
    </row>
    <row r="3636">
      <c r="A3636" s="4561" t="n"/>
      <c r="B3636" s="4561" t="n"/>
      <c r="C3636" s="4561" t="n"/>
      <c r="D3636" s="4561" t="n"/>
      <c r="E3636" s="4561" t="n"/>
      <c r="F3636" s="4561" t="n"/>
      <c r="G3636" s="4561" t="n"/>
      <c r="H3636" s="4561" t="n"/>
      <c r="I3636" s="4562">
        <f>XLOOKUP(B3636,'_Sys|Line_Map'!$A:$A,'_Sys|Line_Map'!$C:$C,"MISSING",0)</f>
        <v/>
      </c>
      <c r="J3636" s="4562">
        <f>XLOOKUP(B3636,'_Sys|Line_Map'!$A:$A,'_Sys|Line_Map'!$D:$D,1,0)</f>
        <v/>
      </c>
      <c r="K3636" s="4562">
        <f>IF(D3636="","",D3636*J3636)</f>
        <v/>
      </c>
      <c r="L3636" s="4562">
        <f>XLOOKUP(B3636,'_Sys|Line_Map'!$A:$A,'_Sys|Line_Map'!$B:$B,"MISSING",0)</f>
        <v/>
      </c>
    </row>
    <row r="3637">
      <c r="A3637" s="4561" t="n"/>
      <c r="B3637" s="4561" t="n"/>
      <c r="C3637" s="4561" t="n"/>
      <c r="D3637" s="4561" t="n"/>
      <c r="E3637" s="4561" t="n"/>
      <c r="F3637" s="4561" t="n"/>
      <c r="G3637" s="4561" t="n"/>
      <c r="H3637" s="4561" t="n"/>
      <c r="I3637" s="4562">
        <f>XLOOKUP(B3637,'_Sys|Line_Map'!$A:$A,'_Sys|Line_Map'!$C:$C,"MISSING",0)</f>
        <v/>
      </c>
      <c r="J3637" s="4562">
        <f>XLOOKUP(B3637,'_Sys|Line_Map'!$A:$A,'_Sys|Line_Map'!$D:$D,1,0)</f>
        <v/>
      </c>
      <c r="K3637" s="4562">
        <f>IF(D3637="","",D3637*J3637)</f>
        <v/>
      </c>
      <c r="L3637" s="4562">
        <f>XLOOKUP(B3637,'_Sys|Line_Map'!$A:$A,'_Sys|Line_Map'!$B:$B,"MISSING",0)</f>
        <v/>
      </c>
    </row>
    <row r="3638">
      <c r="A3638" s="4561" t="n"/>
      <c r="B3638" s="4561" t="n"/>
      <c r="C3638" s="4561" t="n"/>
      <c r="D3638" s="4561" t="n"/>
      <c r="E3638" s="4561" t="n"/>
      <c r="F3638" s="4561" t="n"/>
      <c r="G3638" s="4561" t="n"/>
      <c r="H3638" s="4561" t="n"/>
      <c r="I3638" s="4562">
        <f>XLOOKUP(B3638,'_Sys|Line_Map'!$A:$A,'_Sys|Line_Map'!$C:$C,"MISSING",0)</f>
        <v/>
      </c>
      <c r="J3638" s="4562">
        <f>XLOOKUP(B3638,'_Sys|Line_Map'!$A:$A,'_Sys|Line_Map'!$D:$D,1,0)</f>
        <v/>
      </c>
      <c r="K3638" s="4562">
        <f>IF(D3638="","",D3638*J3638)</f>
        <v/>
      </c>
      <c r="L3638" s="4562">
        <f>XLOOKUP(B3638,'_Sys|Line_Map'!$A:$A,'_Sys|Line_Map'!$B:$B,"MISSING",0)</f>
        <v/>
      </c>
    </row>
    <row r="3639">
      <c r="A3639" s="4561" t="n"/>
      <c r="B3639" s="4561" t="n"/>
      <c r="C3639" s="4561" t="n"/>
      <c r="D3639" s="4561" t="n"/>
      <c r="E3639" s="4561" t="n"/>
      <c r="F3639" s="4561" t="n"/>
      <c r="G3639" s="4561" t="n"/>
      <c r="H3639" s="4561" t="n"/>
      <c r="I3639" s="4562">
        <f>XLOOKUP(B3639,'_Sys|Line_Map'!$A:$A,'_Sys|Line_Map'!$C:$C,"MISSING",0)</f>
        <v/>
      </c>
      <c r="J3639" s="4562">
        <f>XLOOKUP(B3639,'_Sys|Line_Map'!$A:$A,'_Sys|Line_Map'!$D:$D,1,0)</f>
        <v/>
      </c>
      <c r="K3639" s="4562">
        <f>IF(D3639="","",D3639*J3639)</f>
        <v/>
      </c>
      <c r="L3639" s="4562">
        <f>XLOOKUP(B3639,'_Sys|Line_Map'!$A:$A,'_Sys|Line_Map'!$B:$B,"MISSING",0)</f>
        <v/>
      </c>
    </row>
    <row r="3640">
      <c r="A3640" s="4561" t="n"/>
      <c r="B3640" s="4561" t="n"/>
      <c r="C3640" s="4561" t="n"/>
      <c r="D3640" s="4561" t="n"/>
      <c r="E3640" s="4561" t="n"/>
      <c r="F3640" s="4561" t="n"/>
      <c r="G3640" s="4561" t="n"/>
      <c r="H3640" s="4561" t="n"/>
      <c r="I3640" s="4562">
        <f>XLOOKUP(B3640,'_Sys|Line_Map'!$A:$A,'_Sys|Line_Map'!$C:$C,"MISSING",0)</f>
        <v/>
      </c>
      <c r="J3640" s="4562">
        <f>XLOOKUP(B3640,'_Sys|Line_Map'!$A:$A,'_Sys|Line_Map'!$D:$D,1,0)</f>
        <v/>
      </c>
      <c r="K3640" s="4562">
        <f>IF(D3640="","",D3640*J3640)</f>
        <v/>
      </c>
      <c r="L3640" s="4562">
        <f>XLOOKUP(B3640,'_Sys|Line_Map'!$A:$A,'_Sys|Line_Map'!$B:$B,"MISSING",0)</f>
        <v/>
      </c>
    </row>
    <row r="3641">
      <c r="A3641" s="4561" t="n"/>
      <c r="B3641" s="4561" t="n"/>
      <c r="C3641" s="4561" t="n"/>
      <c r="D3641" s="4561" t="n"/>
      <c r="E3641" s="4561" t="n"/>
      <c r="F3641" s="4561" t="n"/>
      <c r="G3641" s="4561" t="n"/>
      <c r="H3641" s="4561" t="n"/>
      <c r="I3641" s="4562">
        <f>XLOOKUP(B3641,'_Sys|Line_Map'!$A:$A,'_Sys|Line_Map'!$C:$C,"MISSING",0)</f>
        <v/>
      </c>
      <c r="J3641" s="4562">
        <f>XLOOKUP(B3641,'_Sys|Line_Map'!$A:$A,'_Sys|Line_Map'!$D:$D,1,0)</f>
        <v/>
      </c>
      <c r="K3641" s="4562">
        <f>IF(D3641="","",D3641*J3641)</f>
        <v/>
      </c>
      <c r="L3641" s="4562">
        <f>XLOOKUP(B3641,'_Sys|Line_Map'!$A:$A,'_Sys|Line_Map'!$B:$B,"MISSING",0)</f>
        <v/>
      </c>
    </row>
    <row r="3642">
      <c r="A3642" s="4561" t="n"/>
      <c r="B3642" s="4561" t="n"/>
      <c r="C3642" s="4561" t="n"/>
      <c r="D3642" s="4561" t="n"/>
      <c r="E3642" s="4561" t="n"/>
      <c r="F3642" s="4561" t="n"/>
      <c r="G3642" s="4561" t="n"/>
      <c r="H3642" s="4561" t="n"/>
      <c r="I3642" s="4562">
        <f>XLOOKUP(B3642,'_Sys|Line_Map'!$A:$A,'_Sys|Line_Map'!$C:$C,"MISSING",0)</f>
        <v/>
      </c>
      <c r="J3642" s="4562">
        <f>XLOOKUP(B3642,'_Sys|Line_Map'!$A:$A,'_Sys|Line_Map'!$D:$D,1,0)</f>
        <v/>
      </c>
      <c r="K3642" s="4562">
        <f>IF(D3642="","",D3642*J3642)</f>
        <v/>
      </c>
      <c r="L3642" s="4562">
        <f>XLOOKUP(B3642,'_Sys|Line_Map'!$A:$A,'_Sys|Line_Map'!$B:$B,"MISSING",0)</f>
        <v/>
      </c>
    </row>
    <row r="3643">
      <c r="A3643" s="4561" t="n"/>
      <c r="B3643" s="4561" t="n"/>
      <c r="C3643" s="4561" t="n"/>
      <c r="D3643" s="4561" t="n"/>
      <c r="E3643" s="4561" t="n"/>
      <c r="F3643" s="4561" t="n"/>
      <c r="G3643" s="4561" t="n"/>
      <c r="H3643" s="4561" t="n"/>
      <c r="I3643" s="4562">
        <f>XLOOKUP(B3643,'_Sys|Line_Map'!$A:$A,'_Sys|Line_Map'!$C:$C,"MISSING",0)</f>
        <v/>
      </c>
      <c r="J3643" s="4562">
        <f>XLOOKUP(B3643,'_Sys|Line_Map'!$A:$A,'_Sys|Line_Map'!$D:$D,1,0)</f>
        <v/>
      </c>
      <c r="K3643" s="4562">
        <f>IF(D3643="","",D3643*J3643)</f>
        <v/>
      </c>
      <c r="L3643" s="4562">
        <f>XLOOKUP(B3643,'_Sys|Line_Map'!$A:$A,'_Sys|Line_Map'!$B:$B,"MISSING",0)</f>
        <v/>
      </c>
    </row>
    <row r="3644">
      <c r="A3644" s="4561" t="n"/>
      <c r="B3644" s="4561" t="n"/>
      <c r="C3644" s="4561" t="n"/>
      <c r="D3644" s="4561" t="n"/>
      <c r="E3644" s="4561" t="n"/>
      <c r="F3644" s="4561" t="n"/>
      <c r="G3644" s="4561" t="n"/>
      <c r="H3644" s="4561" t="n"/>
      <c r="I3644" s="4562">
        <f>XLOOKUP(B3644,'_Sys|Line_Map'!$A:$A,'_Sys|Line_Map'!$C:$C,"MISSING",0)</f>
        <v/>
      </c>
      <c r="J3644" s="4562">
        <f>XLOOKUP(B3644,'_Sys|Line_Map'!$A:$A,'_Sys|Line_Map'!$D:$D,1,0)</f>
        <v/>
      </c>
      <c r="K3644" s="4562">
        <f>IF(D3644="","",D3644*J3644)</f>
        <v/>
      </c>
      <c r="L3644" s="4562">
        <f>XLOOKUP(B3644,'_Sys|Line_Map'!$A:$A,'_Sys|Line_Map'!$B:$B,"MISSING",0)</f>
        <v/>
      </c>
    </row>
    <row r="3645">
      <c r="A3645" s="4561" t="n"/>
      <c r="B3645" s="4561" t="n"/>
      <c r="C3645" s="4561" t="n"/>
      <c r="D3645" s="4561" t="n"/>
      <c r="E3645" s="4561" t="n"/>
      <c r="F3645" s="4561" t="n"/>
      <c r="G3645" s="4561" t="n"/>
      <c r="H3645" s="4561" t="n"/>
      <c r="I3645" s="4562">
        <f>XLOOKUP(B3645,'_Sys|Line_Map'!$A:$A,'_Sys|Line_Map'!$C:$C,"MISSING",0)</f>
        <v/>
      </c>
      <c r="J3645" s="4562">
        <f>XLOOKUP(B3645,'_Sys|Line_Map'!$A:$A,'_Sys|Line_Map'!$D:$D,1,0)</f>
        <v/>
      </c>
      <c r="K3645" s="4562">
        <f>IF(D3645="","",D3645*J3645)</f>
        <v/>
      </c>
      <c r="L3645" s="4562">
        <f>XLOOKUP(B3645,'_Sys|Line_Map'!$A:$A,'_Sys|Line_Map'!$B:$B,"MISSING",0)</f>
        <v/>
      </c>
    </row>
    <row r="3646">
      <c r="A3646" s="4561" t="n"/>
      <c r="B3646" s="4561" t="n"/>
      <c r="C3646" s="4561" t="n"/>
      <c r="D3646" s="4561" t="n"/>
      <c r="E3646" s="4561" t="n"/>
      <c r="F3646" s="4561" t="n"/>
      <c r="G3646" s="4561" t="n"/>
      <c r="H3646" s="4561" t="n"/>
      <c r="I3646" s="4562">
        <f>XLOOKUP(B3646,'_Sys|Line_Map'!$A:$A,'_Sys|Line_Map'!$C:$C,"MISSING",0)</f>
        <v/>
      </c>
      <c r="J3646" s="4562">
        <f>XLOOKUP(B3646,'_Sys|Line_Map'!$A:$A,'_Sys|Line_Map'!$D:$D,1,0)</f>
        <v/>
      </c>
      <c r="K3646" s="4562">
        <f>IF(D3646="","",D3646*J3646)</f>
        <v/>
      </c>
      <c r="L3646" s="4562">
        <f>XLOOKUP(B3646,'_Sys|Line_Map'!$A:$A,'_Sys|Line_Map'!$B:$B,"MISSING",0)</f>
        <v/>
      </c>
    </row>
    <row r="3647">
      <c r="A3647" s="4561" t="n"/>
      <c r="B3647" s="4561" t="n"/>
      <c r="C3647" s="4561" t="n"/>
      <c r="D3647" s="4561" t="n"/>
      <c r="E3647" s="4561" t="n"/>
      <c r="F3647" s="4561" t="n"/>
      <c r="G3647" s="4561" t="n"/>
      <c r="H3647" s="4561" t="n"/>
      <c r="I3647" s="4562">
        <f>XLOOKUP(B3647,'_Sys|Line_Map'!$A:$A,'_Sys|Line_Map'!$C:$C,"MISSING",0)</f>
        <v/>
      </c>
      <c r="J3647" s="4562">
        <f>XLOOKUP(B3647,'_Sys|Line_Map'!$A:$A,'_Sys|Line_Map'!$D:$D,1,0)</f>
        <v/>
      </c>
      <c r="K3647" s="4562">
        <f>IF(D3647="","",D3647*J3647)</f>
        <v/>
      </c>
      <c r="L3647" s="4562">
        <f>XLOOKUP(B3647,'_Sys|Line_Map'!$A:$A,'_Sys|Line_Map'!$B:$B,"MISSING",0)</f>
        <v/>
      </c>
    </row>
    <row r="3648">
      <c r="A3648" s="4561" t="n"/>
      <c r="B3648" s="4561" t="n"/>
      <c r="C3648" s="4561" t="n"/>
      <c r="D3648" s="4561" t="n"/>
      <c r="E3648" s="4561" t="n"/>
      <c r="F3648" s="4561" t="n"/>
      <c r="G3648" s="4561" t="n"/>
      <c r="H3648" s="4561" t="n"/>
      <c r="I3648" s="4562">
        <f>XLOOKUP(B3648,'_Sys|Line_Map'!$A:$A,'_Sys|Line_Map'!$C:$C,"MISSING",0)</f>
        <v/>
      </c>
      <c r="J3648" s="4562">
        <f>XLOOKUP(B3648,'_Sys|Line_Map'!$A:$A,'_Sys|Line_Map'!$D:$D,1,0)</f>
        <v/>
      </c>
      <c r="K3648" s="4562">
        <f>IF(D3648="","",D3648*J3648)</f>
        <v/>
      </c>
      <c r="L3648" s="4562">
        <f>XLOOKUP(B3648,'_Sys|Line_Map'!$A:$A,'_Sys|Line_Map'!$B:$B,"MISSING",0)</f>
        <v/>
      </c>
    </row>
    <row r="3649">
      <c r="A3649" s="4561" t="n"/>
      <c r="B3649" s="4561" t="n"/>
      <c r="C3649" s="4561" t="n"/>
      <c r="D3649" s="4561" t="n"/>
      <c r="E3649" s="4561" t="n"/>
      <c r="F3649" s="4561" t="n"/>
      <c r="G3649" s="4561" t="n"/>
      <c r="H3649" s="4561" t="n"/>
      <c r="I3649" s="4562">
        <f>XLOOKUP(B3649,'_Sys|Line_Map'!$A:$A,'_Sys|Line_Map'!$C:$C,"MISSING",0)</f>
        <v/>
      </c>
      <c r="J3649" s="4562">
        <f>XLOOKUP(B3649,'_Sys|Line_Map'!$A:$A,'_Sys|Line_Map'!$D:$D,1,0)</f>
        <v/>
      </c>
      <c r="K3649" s="4562">
        <f>IF(D3649="","",D3649*J3649)</f>
        <v/>
      </c>
      <c r="L3649" s="4562">
        <f>XLOOKUP(B3649,'_Sys|Line_Map'!$A:$A,'_Sys|Line_Map'!$B:$B,"MISSING",0)</f>
        <v/>
      </c>
    </row>
    <row r="3650">
      <c r="A3650" s="4561" t="n"/>
      <c r="B3650" s="4561" t="n"/>
      <c r="C3650" s="4561" t="n"/>
      <c r="D3650" s="4561" t="n"/>
      <c r="E3650" s="4561" t="n"/>
      <c r="F3650" s="4561" t="n"/>
      <c r="G3650" s="4561" t="n"/>
      <c r="H3650" s="4561" t="n"/>
      <c r="I3650" s="4562">
        <f>XLOOKUP(B3650,'_Sys|Line_Map'!$A:$A,'_Sys|Line_Map'!$C:$C,"MISSING",0)</f>
        <v/>
      </c>
      <c r="J3650" s="4562">
        <f>XLOOKUP(B3650,'_Sys|Line_Map'!$A:$A,'_Sys|Line_Map'!$D:$D,1,0)</f>
        <v/>
      </c>
      <c r="K3650" s="4562">
        <f>IF(D3650="","",D3650*J3650)</f>
        <v/>
      </c>
      <c r="L3650" s="4562">
        <f>XLOOKUP(B3650,'_Sys|Line_Map'!$A:$A,'_Sys|Line_Map'!$B:$B,"MISSING",0)</f>
        <v/>
      </c>
    </row>
    <row r="3651">
      <c r="A3651" s="4561" t="n"/>
      <c r="B3651" s="4561" t="n"/>
      <c r="C3651" s="4561" t="n"/>
      <c r="D3651" s="4561" t="n"/>
      <c r="E3651" s="4561" t="n"/>
      <c r="F3651" s="4561" t="n"/>
      <c r="G3651" s="4561" t="n"/>
      <c r="H3651" s="4561" t="n"/>
      <c r="I3651" s="4562">
        <f>XLOOKUP(B3651,'_Sys|Line_Map'!$A:$A,'_Sys|Line_Map'!$C:$C,"MISSING",0)</f>
        <v/>
      </c>
      <c r="J3651" s="4562">
        <f>XLOOKUP(B3651,'_Sys|Line_Map'!$A:$A,'_Sys|Line_Map'!$D:$D,1,0)</f>
        <v/>
      </c>
      <c r="K3651" s="4562">
        <f>IF(D3651="","",D3651*J3651)</f>
        <v/>
      </c>
      <c r="L3651" s="4562">
        <f>XLOOKUP(B3651,'_Sys|Line_Map'!$A:$A,'_Sys|Line_Map'!$B:$B,"MISSING",0)</f>
        <v/>
      </c>
    </row>
    <row r="3652">
      <c r="A3652" s="4561" t="n"/>
      <c r="B3652" s="4561" t="n"/>
      <c r="C3652" s="4561" t="n"/>
      <c r="D3652" s="4561" t="n"/>
      <c r="E3652" s="4561" t="n"/>
      <c r="F3652" s="4561" t="n"/>
      <c r="G3652" s="4561" t="n"/>
      <c r="H3652" s="4561" t="n"/>
      <c r="I3652" s="4562">
        <f>XLOOKUP(B3652,'_Sys|Line_Map'!$A:$A,'_Sys|Line_Map'!$C:$C,"MISSING",0)</f>
        <v/>
      </c>
      <c r="J3652" s="4562">
        <f>XLOOKUP(B3652,'_Sys|Line_Map'!$A:$A,'_Sys|Line_Map'!$D:$D,1,0)</f>
        <v/>
      </c>
      <c r="K3652" s="4562">
        <f>IF(D3652="","",D3652*J3652)</f>
        <v/>
      </c>
      <c r="L3652" s="4562">
        <f>XLOOKUP(B3652,'_Sys|Line_Map'!$A:$A,'_Sys|Line_Map'!$B:$B,"MISSING",0)</f>
        <v/>
      </c>
    </row>
    <row r="3653">
      <c r="A3653" s="4561" t="n"/>
      <c r="B3653" s="4561" t="n"/>
      <c r="C3653" s="4561" t="n"/>
      <c r="D3653" s="4561" t="n"/>
      <c r="E3653" s="4561" t="n"/>
      <c r="F3653" s="4561" t="n"/>
      <c r="G3653" s="4561" t="n"/>
      <c r="H3653" s="4561" t="n"/>
      <c r="I3653" s="4562">
        <f>XLOOKUP(B3653,'_Sys|Line_Map'!$A:$A,'_Sys|Line_Map'!$C:$C,"MISSING",0)</f>
        <v/>
      </c>
      <c r="J3653" s="4562">
        <f>XLOOKUP(B3653,'_Sys|Line_Map'!$A:$A,'_Sys|Line_Map'!$D:$D,1,0)</f>
        <v/>
      </c>
      <c r="K3653" s="4562">
        <f>IF(D3653="","",D3653*J3653)</f>
        <v/>
      </c>
      <c r="L3653" s="4562">
        <f>XLOOKUP(B3653,'_Sys|Line_Map'!$A:$A,'_Sys|Line_Map'!$B:$B,"MISSING",0)</f>
        <v/>
      </c>
    </row>
    <row r="3654">
      <c r="A3654" s="4561" t="n"/>
      <c r="B3654" s="4561" t="n"/>
      <c r="C3654" s="4561" t="n"/>
      <c r="D3654" s="4561" t="n"/>
      <c r="E3654" s="4561" t="n"/>
      <c r="F3654" s="4561" t="n"/>
      <c r="G3654" s="4561" t="n"/>
      <c r="H3654" s="4561" t="n"/>
      <c r="I3654" s="4562">
        <f>XLOOKUP(B3654,'_Sys|Line_Map'!$A:$A,'_Sys|Line_Map'!$C:$C,"MISSING",0)</f>
        <v/>
      </c>
      <c r="J3654" s="4562">
        <f>XLOOKUP(B3654,'_Sys|Line_Map'!$A:$A,'_Sys|Line_Map'!$D:$D,1,0)</f>
        <v/>
      </c>
      <c r="K3654" s="4562">
        <f>IF(D3654="","",D3654*J3654)</f>
        <v/>
      </c>
      <c r="L3654" s="4562">
        <f>XLOOKUP(B3654,'_Sys|Line_Map'!$A:$A,'_Sys|Line_Map'!$B:$B,"MISSING",0)</f>
        <v/>
      </c>
    </row>
    <row r="3655">
      <c r="A3655" s="4561" t="n"/>
      <c r="B3655" s="4561" t="n"/>
      <c r="C3655" s="4561" t="n"/>
      <c r="D3655" s="4561" t="n"/>
      <c r="E3655" s="4561" t="n"/>
      <c r="F3655" s="4561" t="n"/>
      <c r="G3655" s="4561" t="n"/>
      <c r="H3655" s="4561" t="n"/>
      <c r="I3655" s="4562">
        <f>XLOOKUP(B3655,'_Sys|Line_Map'!$A:$A,'_Sys|Line_Map'!$C:$C,"MISSING",0)</f>
        <v/>
      </c>
      <c r="J3655" s="4562">
        <f>XLOOKUP(B3655,'_Sys|Line_Map'!$A:$A,'_Sys|Line_Map'!$D:$D,1,0)</f>
        <v/>
      </c>
      <c r="K3655" s="4562">
        <f>IF(D3655="","",D3655*J3655)</f>
        <v/>
      </c>
      <c r="L3655" s="4562">
        <f>XLOOKUP(B3655,'_Sys|Line_Map'!$A:$A,'_Sys|Line_Map'!$B:$B,"MISSING",0)</f>
        <v/>
      </c>
    </row>
    <row r="3656">
      <c r="A3656" s="4561" t="n"/>
      <c r="B3656" s="4561" t="n"/>
      <c r="C3656" s="4561" t="n"/>
      <c r="D3656" s="4561" t="n"/>
      <c r="E3656" s="4561" t="n"/>
      <c r="F3656" s="4561" t="n"/>
      <c r="G3656" s="4561" t="n"/>
      <c r="H3656" s="4561" t="n"/>
      <c r="I3656" s="4562">
        <f>XLOOKUP(B3656,'_Sys|Line_Map'!$A:$A,'_Sys|Line_Map'!$C:$C,"MISSING",0)</f>
        <v/>
      </c>
      <c r="J3656" s="4562">
        <f>XLOOKUP(B3656,'_Sys|Line_Map'!$A:$A,'_Sys|Line_Map'!$D:$D,1,0)</f>
        <v/>
      </c>
      <c r="K3656" s="4562">
        <f>IF(D3656="","",D3656*J3656)</f>
        <v/>
      </c>
      <c r="L3656" s="4562">
        <f>XLOOKUP(B3656,'_Sys|Line_Map'!$A:$A,'_Sys|Line_Map'!$B:$B,"MISSING",0)</f>
        <v/>
      </c>
    </row>
    <row r="3657">
      <c r="A3657" s="4561" t="n"/>
      <c r="B3657" s="4561" t="n"/>
      <c r="C3657" s="4561" t="n"/>
      <c r="D3657" s="4561" t="n"/>
      <c r="E3657" s="4561" t="n"/>
      <c r="F3657" s="4561" t="n"/>
      <c r="G3657" s="4561" t="n"/>
      <c r="H3657" s="4561" t="n"/>
      <c r="I3657" s="4562">
        <f>XLOOKUP(B3657,'_Sys|Line_Map'!$A:$A,'_Sys|Line_Map'!$C:$C,"MISSING",0)</f>
        <v/>
      </c>
      <c r="J3657" s="4562">
        <f>XLOOKUP(B3657,'_Sys|Line_Map'!$A:$A,'_Sys|Line_Map'!$D:$D,1,0)</f>
        <v/>
      </c>
      <c r="K3657" s="4562">
        <f>IF(D3657="","",D3657*J3657)</f>
        <v/>
      </c>
      <c r="L3657" s="4562">
        <f>XLOOKUP(B3657,'_Sys|Line_Map'!$A:$A,'_Sys|Line_Map'!$B:$B,"MISSING",0)</f>
        <v/>
      </c>
    </row>
    <row r="3658">
      <c r="A3658" s="4561" t="n"/>
      <c r="B3658" s="4561" t="n"/>
      <c r="C3658" s="4561" t="n"/>
      <c r="D3658" s="4561" t="n"/>
      <c r="E3658" s="4561" t="n"/>
      <c r="F3658" s="4561" t="n"/>
      <c r="G3658" s="4561" t="n"/>
      <c r="H3658" s="4561" t="n"/>
      <c r="I3658" s="4562">
        <f>XLOOKUP(B3658,'_Sys|Line_Map'!$A:$A,'_Sys|Line_Map'!$C:$C,"MISSING",0)</f>
        <v/>
      </c>
      <c r="J3658" s="4562">
        <f>XLOOKUP(B3658,'_Sys|Line_Map'!$A:$A,'_Sys|Line_Map'!$D:$D,1,0)</f>
        <v/>
      </c>
      <c r="K3658" s="4562">
        <f>IF(D3658="","",D3658*J3658)</f>
        <v/>
      </c>
      <c r="L3658" s="4562">
        <f>XLOOKUP(B3658,'_Sys|Line_Map'!$A:$A,'_Sys|Line_Map'!$B:$B,"MISSING",0)</f>
        <v/>
      </c>
    </row>
    <row r="3659">
      <c r="A3659" s="4561" t="n"/>
      <c r="B3659" s="4561" t="n"/>
      <c r="C3659" s="4561" t="n"/>
      <c r="D3659" s="4561" t="n"/>
      <c r="E3659" s="4561" t="n"/>
      <c r="F3659" s="4561" t="n"/>
      <c r="G3659" s="4561" t="n"/>
      <c r="H3659" s="4561" t="n"/>
      <c r="I3659" s="4562">
        <f>XLOOKUP(B3659,'_Sys|Line_Map'!$A:$A,'_Sys|Line_Map'!$C:$C,"MISSING",0)</f>
        <v/>
      </c>
      <c r="J3659" s="4562">
        <f>XLOOKUP(B3659,'_Sys|Line_Map'!$A:$A,'_Sys|Line_Map'!$D:$D,1,0)</f>
        <v/>
      </c>
      <c r="K3659" s="4562">
        <f>IF(D3659="","",D3659*J3659)</f>
        <v/>
      </c>
      <c r="L3659" s="4562">
        <f>XLOOKUP(B3659,'_Sys|Line_Map'!$A:$A,'_Sys|Line_Map'!$B:$B,"MISSING",0)</f>
        <v/>
      </c>
    </row>
    <row r="3660">
      <c r="A3660" s="4561" t="n"/>
      <c r="B3660" s="4561" t="n"/>
      <c r="C3660" s="4561" t="n"/>
      <c r="D3660" s="4561" t="n"/>
      <c r="E3660" s="4561" t="n"/>
      <c r="F3660" s="4561" t="n"/>
      <c r="G3660" s="4561" t="n"/>
      <c r="H3660" s="4561" t="n"/>
      <c r="I3660" s="4562">
        <f>XLOOKUP(B3660,'_Sys|Line_Map'!$A:$A,'_Sys|Line_Map'!$C:$C,"MISSING",0)</f>
        <v/>
      </c>
      <c r="J3660" s="4562">
        <f>XLOOKUP(B3660,'_Sys|Line_Map'!$A:$A,'_Sys|Line_Map'!$D:$D,1,0)</f>
        <v/>
      </c>
      <c r="K3660" s="4562">
        <f>IF(D3660="","",D3660*J3660)</f>
        <v/>
      </c>
      <c r="L3660" s="4562">
        <f>XLOOKUP(B3660,'_Sys|Line_Map'!$A:$A,'_Sys|Line_Map'!$B:$B,"MISSING",0)</f>
        <v/>
      </c>
    </row>
    <row r="3661">
      <c r="A3661" s="4561" t="n"/>
      <c r="B3661" s="4561" t="n"/>
      <c r="C3661" s="4561" t="n"/>
      <c r="D3661" s="4561" t="n"/>
      <c r="E3661" s="4561" t="n"/>
      <c r="F3661" s="4561" t="n"/>
      <c r="G3661" s="4561" t="n"/>
      <c r="H3661" s="4561" t="n"/>
      <c r="I3661" s="4562">
        <f>XLOOKUP(B3661,'_Sys|Line_Map'!$A:$A,'_Sys|Line_Map'!$C:$C,"MISSING",0)</f>
        <v/>
      </c>
      <c r="J3661" s="4562">
        <f>XLOOKUP(B3661,'_Sys|Line_Map'!$A:$A,'_Sys|Line_Map'!$D:$D,1,0)</f>
        <v/>
      </c>
      <c r="K3661" s="4562">
        <f>IF(D3661="","",D3661*J3661)</f>
        <v/>
      </c>
      <c r="L3661" s="4562">
        <f>XLOOKUP(B3661,'_Sys|Line_Map'!$A:$A,'_Sys|Line_Map'!$B:$B,"MISSING",0)</f>
        <v/>
      </c>
    </row>
    <row r="3662">
      <c r="A3662" s="4561" t="n"/>
      <c r="B3662" s="4561" t="n"/>
      <c r="C3662" s="4561" t="n"/>
      <c r="D3662" s="4561" t="n"/>
      <c r="E3662" s="4561" t="n"/>
      <c r="F3662" s="4561" t="n"/>
      <c r="G3662" s="4561" t="n"/>
      <c r="H3662" s="4561" t="n"/>
      <c r="I3662" s="4562">
        <f>XLOOKUP(B3662,'_Sys|Line_Map'!$A:$A,'_Sys|Line_Map'!$C:$C,"MISSING",0)</f>
        <v/>
      </c>
      <c r="J3662" s="4562">
        <f>XLOOKUP(B3662,'_Sys|Line_Map'!$A:$A,'_Sys|Line_Map'!$D:$D,1,0)</f>
        <v/>
      </c>
      <c r="K3662" s="4562">
        <f>IF(D3662="","",D3662*J3662)</f>
        <v/>
      </c>
      <c r="L3662" s="4562">
        <f>XLOOKUP(B3662,'_Sys|Line_Map'!$A:$A,'_Sys|Line_Map'!$B:$B,"MISSING",0)</f>
        <v/>
      </c>
    </row>
    <row r="3663">
      <c r="A3663" s="4561" t="n"/>
      <c r="B3663" s="4561" t="n"/>
      <c r="C3663" s="4561" t="n"/>
      <c r="D3663" s="4561" t="n"/>
      <c r="E3663" s="4561" t="n"/>
      <c r="F3663" s="4561" t="n"/>
      <c r="G3663" s="4561" t="n"/>
      <c r="H3663" s="4561" t="n"/>
      <c r="I3663" s="4562">
        <f>XLOOKUP(B3663,'_Sys|Line_Map'!$A:$A,'_Sys|Line_Map'!$C:$C,"MISSING",0)</f>
        <v/>
      </c>
      <c r="J3663" s="4562">
        <f>XLOOKUP(B3663,'_Sys|Line_Map'!$A:$A,'_Sys|Line_Map'!$D:$D,1,0)</f>
        <v/>
      </c>
      <c r="K3663" s="4562">
        <f>IF(D3663="","",D3663*J3663)</f>
        <v/>
      </c>
      <c r="L3663" s="4562">
        <f>XLOOKUP(B3663,'_Sys|Line_Map'!$A:$A,'_Sys|Line_Map'!$B:$B,"MISSING",0)</f>
        <v/>
      </c>
    </row>
    <row r="3664">
      <c r="A3664" s="4561" t="n"/>
      <c r="B3664" s="4561" t="n"/>
      <c r="C3664" s="4561" t="n"/>
      <c r="D3664" s="4561" t="n"/>
      <c r="E3664" s="4561" t="n"/>
      <c r="F3664" s="4561" t="n"/>
      <c r="G3664" s="4561" t="n"/>
      <c r="H3664" s="4561" t="n"/>
      <c r="I3664" s="4562">
        <f>XLOOKUP(B3664,'_Sys|Line_Map'!$A:$A,'_Sys|Line_Map'!$C:$C,"MISSING",0)</f>
        <v/>
      </c>
      <c r="J3664" s="4562">
        <f>XLOOKUP(B3664,'_Sys|Line_Map'!$A:$A,'_Sys|Line_Map'!$D:$D,1,0)</f>
        <v/>
      </c>
      <c r="K3664" s="4562">
        <f>IF(D3664="","",D3664*J3664)</f>
        <v/>
      </c>
      <c r="L3664" s="4562">
        <f>XLOOKUP(B3664,'_Sys|Line_Map'!$A:$A,'_Sys|Line_Map'!$B:$B,"MISSING",0)</f>
        <v/>
      </c>
    </row>
    <row r="3665">
      <c r="A3665" s="4561" t="n"/>
      <c r="B3665" s="4561" t="n"/>
      <c r="C3665" s="4561" t="n"/>
      <c r="D3665" s="4561" t="n"/>
      <c r="E3665" s="4561" t="n"/>
      <c r="F3665" s="4561" t="n"/>
      <c r="G3665" s="4561" t="n"/>
      <c r="H3665" s="4561" t="n"/>
      <c r="I3665" s="4562">
        <f>XLOOKUP(B3665,'_Sys|Line_Map'!$A:$A,'_Sys|Line_Map'!$C:$C,"MISSING",0)</f>
        <v/>
      </c>
      <c r="J3665" s="4562">
        <f>XLOOKUP(B3665,'_Sys|Line_Map'!$A:$A,'_Sys|Line_Map'!$D:$D,1,0)</f>
        <v/>
      </c>
      <c r="K3665" s="4562">
        <f>IF(D3665="","",D3665*J3665)</f>
        <v/>
      </c>
      <c r="L3665" s="4562">
        <f>XLOOKUP(B3665,'_Sys|Line_Map'!$A:$A,'_Sys|Line_Map'!$B:$B,"MISSING",0)</f>
        <v/>
      </c>
    </row>
    <row r="3666">
      <c r="A3666" s="4561" t="n"/>
      <c r="B3666" s="4561" t="n"/>
      <c r="C3666" s="4561" t="n"/>
      <c r="D3666" s="4561" t="n"/>
      <c r="E3666" s="4561" t="n"/>
      <c r="F3666" s="4561" t="n"/>
      <c r="G3666" s="4561" t="n"/>
      <c r="H3666" s="4561" t="n"/>
      <c r="I3666" s="4562">
        <f>XLOOKUP(B3666,'_Sys|Line_Map'!$A:$A,'_Sys|Line_Map'!$C:$C,"MISSING",0)</f>
        <v/>
      </c>
      <c r="J3666" s="4562">
        <f>XLOOKUP(B3666,'_Sys|Line_Map'!$A:$A,'_Sys|Line_Map'!$D:$D,1,0)</f>
        <v/>
      </c>
      <c r="K3666" s="4562">
        <f>IF(D3666="","",D3666*J3666)</f>
        <v/>
      </c>
      <c r="L3666" s="4562">
        <f>XLOOKUP(B3666,'_Sys|Line_Map'!$A:$A,'_Sys|Line_Map'!$B:$B,"MISSING",0)</f>
        <v/>
      </c>
    </row>
    <row r="3667">
      <c r="A3667" s="4561" t="n"/>
      <c r="B3667" s="4561" t="n"/>
      <c r="C3667" s="4561" t="n"/>
      <c r="D3667" s="4561" t="n"/>
      <c r="E3667" s="4561" t="n"/>
      <c r="F3667" s="4561" t="n"/>
      <c r="G3667" s="4561" t="n"/>
      <c r="H3667" s="4561" t="n"/>
      <c r="I3667" s="4562">
        <f>XLOOKUP(B3667,'_Sys|Line_Map'!$A:$A,'_Sys|Line_Map'!$C:$C,"MISSING",0)</f>
        <v/>
      </c>
      <c r="J3667" s="4562">
        <f>XLOOKUP(B3667,'_Sys|Line_Map'!$A:$A,'_Sys|Line_Map'!$D:$D,1,0)</f>
        <v/>
      </c>
      <c r="K3667" s="4562">
        <f>IF(D3667="","",D3667*J3667)</f>
        <v/>
      </c>
      <c r="L3667" s="4562">
        <f>XLOOKUP(B3667,'_Sys|Line_Map'!$A:$A,'_Sys|Line_Map'!$B:$B,"MISSING",0)</f>
        <v/>
      </c>
    </row>
    <row r="3668">
      <c r="A3668" s="4561" t="n"/>
      <c r="B3668" s="4561" t="n"/>
      <c r="C3668" s="4561" t="n"/>
      <c r="D3668" s="4561" t="n"/>
      <c r="E3668" s="4561" t="n"/>
      <c r="F3668" s="4561" t="n"/>
      <c r="G3668" s="4561" t="n"/>
      <c r="H3668" s="4561" t="n"/>
      <c r="I3668" s="4562">
        <f>XLOOKUP(B3668,'_Sys|Line_Map'!$A:$A,'_Sys|Line_Map'!$C:$C,"MISSING",0)</f>
        <v/>
      </c>
      <c r="J3668" s="4562">
        <f>XLOOKUP(B3668,'_Sys|Line_Map'!$A:$A,'_Sys|Line_Map'!$D:$D,1,0)</f>
        <v/>
      </c>
      <c r="K3668" s="4562">
        <f>IF(D3668="","",D3668*J3668)</f>
        <v/>
      </c>
      <c r="L3668" s="4562">
        <f>XLOOKUP(B3668,'_Sys|Line_Map'!$A:$A,'_Sys|Line_Map'!$B:$B,"MISSING",0)</f>
        <v/>
      </c>
    </row>
    <row r="3669">
      <c r="A3669" s="4561" t="n"/>
      <c r="B3669" s="4561" t="n"/>
      <c r="C3669" s="4561" t="n"/>
      <c r="D3669" s="4561" t="n"/>
      <c r="E3669" s="4561" t="n"/>
      <c r="F3669" s="4561" t="n"/>
      <c r="G3669" s="4561" t="n"/>
      <c r="H3669" s="4561" t="n"/>
      <c r="I3669" s="4562">
        <f>XLOOKUP(B3669,'_Sys|Line_Map'!$A:$A,'_Sys|Line_Map'!$C:$C,"MISSING",0)</f>
        <v/>
      </c>
      <c r="J3669" s="4562">
        <f>XLOOKUP(B3669,'_Sys|Line_Map'!$A:$A,'_Sys|Line_Map'!$D:$D,1,0)</f>
        <v/>
      </c>
      <c r="K3669" s="4562">
        <f>IF(D3669="","",D3669*J3669)</f>
        <v/>
      </c>
      <c r="L3669" s="4562">
        <f>XLOOKUP(B3669,'_Sys|Line_Map'!$A:$A,'_Sys|Line_Map'!$B:$B,"MISSING",0)</f>
        <v/>
      </c>
    </row>
    <row r="3670">
      <c r="A3670" s="4561" t="n"/>
      <c r="B3670" s="4561" t="n"/>
      <c r="C3670" s="4561" t="n"/>
      <c r="D3670" s="4561" t="n"/>
      <c r="E3670" s="4561" t="n"/>
      <c r="F3670" s="4561" t="n"/>
      <c r="G3670" s="4561" t="n"/>
      <c r="H3670" s="4561" t="n"/>
      <c r="I3670" s="4562">
        <f>XLOOKUP(B3670,'_Sys|Line_Map'!$A:$A,'_Sys|Line_Map'!$C:$C,"MISSING",0)</f>
        <v/>
      </c>
      <c r="J3670" s="4562">
        <f>XLOOKUP(B3670,'_Sys|Line_Map'!$A:$A,'_Sys|Line_Map'!$D:$D,1,0)</f>
        <v/>
      </c>
      <c r="K3670" s="4562">
        <f>IF(D3670="","",D3670*J3670)</f>
        <v/>
      </c>
      <c r="L3670" s="4562">
        <f>XLOOKUP(B3670,'_Sys|Line_Map'!$A:$A,'_Sys|Line_Map'!$B:$B,"MISSING",0)</f>
        <v/>
      </c>
    </row>
    <row r="3671">
      <c r="A3671" s="4561" t="n"/>
      <c r="B3671" s="4561" t="n"/>
      <c r="C3671" s="4561" t="n"/>
      <c r="D3671" s="4561" t="n"/>
      <c r="E3671" s="4561" t="n"/>
      <c r="F3671" s="4561" t="n"/>
      <c r="G3671" s="4561" t="n"/>
      <c r="H3671" s="4561" t="n"/>
      <c r="I3671" s="4562">
        <f>XLOOKUP(B3671,'_Sys|Line_Map'!$A:$A,'_Sys|Line_Map'!$C:$C,"MISSING",0)</f>
        <v/>
      </c>
      <c r="J3671" s="4562">
        <f>XLOOKUP(B3671,'_Sys|Line_Map'!$A:$A,'_Sys|Line_Map'!$D:$D,1,0)</f>
        <v/>
      </c>
      <c r="K3671" s="4562">
        <f>IF(D3671="","",D3671*J3671)</f>
        <v/>
      </c>
      <c r="L3671" s="4562">
        <f>XLOOKUP(B3671,'_Sys|Line_Map'!$A:$A,'_Sys|Line_Map'!$B:$B,"MISSING",0)</f>
        <v/>
      </c>
    </row>
    <row r="3672">
      <c r="A3672" s="4561" t="n"/>
      <c r="B3672" s="4561" t="n"/>
      <c r="C3672" s="4561" t="n"/>
      <c r="D3672" s="4561" t="n"/>
      <c r="E3672" s="4561" t="n"/>
      <c r="F3672" s="4561" t="n"/>
      <c r="G3672" s="4561" t="n"/>
      <c r="H3672" s="4561" t="n"/>
      <c r="I3672" s="4562">
        <f>XLOOKUP(B3672,'_Sys|Line_Map'!$A:$A,'_Sys|Line_Map'!$C:$C,"MISSING",0)</f>
        <v/>
      </c>
      <c r="J3672" s="4562">
        <f>XLOOKUP(B3672,'_Sys|Line_Map'!$A:$A,'_Sys|Line_Map'!$D:$D,1,0)</f>
        <v/>
      </c>
      <c r="K3672" s="4562">
        <f>IF(D3672="","",D3672*J3672)</f>
        <v/>
      </c>
      <c r="L3672" s="4562">
        <f>XLOOKUP(B3672,'_Sys|Line_Map'!$A:$A,'_Sys|Line_Map'!$B:$B,"MISSING",0)</f>
        <v/>
      </c>
    </row>
    <row r="3673">
      <c r="A3673" s="4561" t="n"/>
      <c r="B3673" s="4561" t="n"/>
      <c r="C3673" s="4561" t="n"/>
      <c r="D3673" s="4561" t="n"/>
      <c r="E3673" s="4561" t="n"/>
      <c r="F3673" s="4561" t="n"/>
      <c r="G3673" s="4561" t="n"/>
      <c r="H3673" s="4561" t="n"/>
      <c r="I3673" s="4562">
        <f>XLOOKUP(B3673,'_Sys|Line_Map'!$A:$A,'_Sys|Line_Map'!$C:$C,"MISSING",0)</f>
        <v/>
      </c>
      <c r="J3673" s="4562">
        <f>XLOOKUP(B3673,'_Sys|Line_Map'!$A:$A,'_Sys|Line_Map'!$D:$D,1,0)</f>
        <v/>
      </c>
      <c r="K3673" s="4562">
        <f>IF(D3673="","",D3673*J3673)</f>
        <v/>
      </c>
      <c r="L3673" s="4562">
        <f>XLOOKUP(B3673,'_Sys|Line_Map'!$A:$A,'_Sys|Line_Map'!$B:$B,"MISSING",0)</f>
        <v/>
      </c>
    </row>
    <row r="3674">
      <c r="A3674" s="4561" t="n"/>
      <c r="B3674" s="4561" t="n"/>
      <c r="C3674" s="4561" t="n"/>
      <c r="D3674" s="4561" t="n"/>
      <c r="E3674" s="4561" t="n"/>
      <c r="F3674" s="4561" t="n"/>
      <c r="G3674" s="4561" t="n"/>
      <c r="H3674" s="4561" t="n"/>
      <c r="I3674" s="4562">
        <f>XLOOKUP(B3674,'_Sys|Line_Map'!$A:$A,'_Sys|Line_Map'!$C:$C,"MISSING",0)</f>
        <v/>
      </c>
      <c r="J3674" s="4562">
        <f>XLOOKUP(B3674,'_Sys|Line_Map'!$A:$A,'_Sys|Line_Map'!$D:$D,1,0)</f>
        <v/>
      </c>
      <c r="K3674" s="4562">
        <f>IF(D3674="","",D3674*J3674)</f>
        <v/>
      </c>
      <c r="L3674" s="4562">
        <f>XLOOKUP(B3674,'_Sys|Line_Map'!$A:$A,'_Sys|Line_Map'!$B:$B,"MISSING",0)</f>
        <v/>
      </c>
    </row>
    <row r="3675">
      <c r="A3675" s="4561" t="n"/>
      <c r="B3675" s="4561" t="n"/>
      <c r="C3675" s="4561" t="n"/>
      <c r="D3675" s="4561" t="n"/>
      <c r="E3675" s="4561" t="n"/>
      <c r="F3675" s="4561" t="n"/>
      <c r="G3675" s="4561" t="n"/>
      <c r="H3675" s="4561" t="n"/>
      <c r="I3675" s="4562">
        <f>XLOOKUP(B3675,'_Sys|Line_Map'!$A:$A,'_Sys|Line_Map'!$C:$C,"MISSING",0)</f>
        <v/>
      </c>
      <c r="J3675" s="4562">
        <f>XLOOKUP(B3675,'_Sys|Line_Map'!$A:$A,'_Sys|Line_Map'!$D:$D,1,0)</f>
        <v/>
      </c>
      <c r="K3675" s="4562">
        <f>IF(D3675="","",D3675*J3675)</f>
        <v/>
      </c>
      <c r="L3675" s="4562">
        <f>XLOOKUP(B3675,'_Sys|Line_Map'!$A:$A,'_Sys|Line_Map'!$B:$B,"MISSING",0)</f>
        <v/>
      </c>
    </row>
    <row r="3676">
      <c r="A3676" s="4561" t="n"/>
      <c r="B3676" s="4561" t="n"/>
      <c r="C3676" s="4561" t="n"/>
      <c r="D3676" s="4561" t="n"/>
      <c r="E3676" s="4561" t="n"/>
      <c r="F3676" s="4561" t="n"/>
      <c r="G3676" s="4561" t="n"/>
      <c r="H3676" s="4561" t="n"/>
      <c r="I3676" s="4562">
        <f>XLOOKUP(B3676,'_Sys|Line_Map'!$A:$A,'_Sys|Line_Map'!$C:$C,"MISSING",0)</f>
        <v/>
      </c>
      <c r="J3676" s="4562">
        <f>XLOOKUP(B3676,'_Sys|Line_Map'!$A:$A,'_Sys|Line_Map'!$D:$D,1,0)</f>
        <v/>
      </c>
      <c r="K3676" s="4562">
        <f>IF(D3676="","",D3676*J3676)</f>
        <v/>
      </c>
      <c r="L3676" s="4562">
        <f>XLOOKUP(B3676,'_Sys|Line_Map'!$A:$A,'_Sys|Line_Map'!$B:$B,"MISSING",0)</f>
        <v/>
      </c>
    </row>
    <row r="3677">
      <c r="A3677" s="4561" t="n"/>
      <c r="B3677" s="4561" t="n"/>
      <c r="C3677" s="4561" t="n"/>
      <c r="D3677" s="4561" t="n"/>
      <c r="E3677" s="4561" t="n"/>
      <c r="F3677" s="4561" t="n"/>
      <c r="G3677" s="4561" t="n"/>
      <c r="H3677" s="4561" t="n"/>
      <c r="I3677" s="4562">
        <f>XLOOKUP(B3677,'_Sys|Line_Map'!$A:$A,'_Sys|Line_Map'!$C:$C,"MISSING",0)</f>
        <v/>
      </c>
      <c r="J3677" s="4562">
        <f>XLOOKUP(B3677,'_Sys|Line_Map'!$A:$A,'_Sys|Line_Map'!$D:$D,1,0)</f>
        <v/>
      </c>
      <c r="K3677" s="4562">
        <f>IF(D3677="","",D3677*J3677)</f>
        <v/>
      </c>
      <c r="L3677" s="4562">
        <f>XLOOKUP(B3677,'_Sys|Line_Map'!$A:$A,'_Sys|Line_Map'!$B:$B,"MISSING",0)</f>
        <v/>
      </c>
    </row>
    <row r="3678">
      <c r="A3678" s="4561" t="n"/>
      <c r="B3678" s="4561" t="n"/>
      <c r="C3678" s="4561" t="n"/>
      <c r="D3678" s="4561" t="n"/>
      <c r="E3678" s="4561" t="n"/>
      <c r="F3678" s="4561" t="n"/>
      <c r="G3678" s="4561" t="n"/>
      <c r="H3678" s="4561" t="n"/>
      <c r="I3678" s="4562">
        <f>XLOOKUP(B3678,'_Sys|Line_Map'!$A:$A,'_Sys|Line_Map'!$C:$C,"MISSING",0)</f>
        <v/>
      </c>
      <c r="J3678" s="4562">
        <f>XLOOKUP(B3678,'_Sys|Line_Map'!$A:$A,'_Sys|Line_Map'!$D:$D,1,0)</f>
        <v/>
      </c>
      <c r="K3678" s="4562">
        <f>IF(D3678="","",D3678*J3678)</f>
        <v/>
      </c>
      <c r="L3678" s="4562">
        <f>XLOOKUP(B3678,'_Sys|Line_Map'!$A:$A,'_Sys|Line_Map'!$B:$B,"MISSING",0)</f>
        <v/>
      </c>
    </row>
    <row r="3679">
      <c r="A3679" s="4561" t="n"/>
      <c r="B3679" s="4561" t="n"/>
      <c r="C3679" s="4561" t="n"/>
      <c r="D3679" s="4561" t="n"/>
      <c r="E3679" s="4561" t="n"/>
      <c r="F3679" s="4561" t="n"/>
      <c r="G3679" s="4561" t="n"/>
      <c r="H3679" s="4561" t="n"/>
      <c r="I3679" s="4562">
        <f>XLOOKUP(B3679,'_Sys|Line_Map'!$A:$A,'_Sys|Line_Map'!$C:$C,"MISSING",0)</f>
        <v/>
      </c>
      <c r="J3679" s="4562">
        <f>XLOOKUP(B3679,'_Sys|Line_Map'!$A:$A,'_Sys|Line_Map'!$D:$D,1,0)</f>
        <v/>
      </c>
      <c r="K3679" s="4562">
        <f>IF(D3679="","",D3679*J3679)</f>
        <v/>
      </c>
      <c r="L3679" s="4562">
        <f>XLOOKUP(B3679,'_Sys|Line_Map'!$A:$A,'_Sys|Line_Map'!$B:$B,"MISSING",0)</f>
        <v/>
      </c>
    </row>
    <row r="3680">
      <c r="A3680" s="4561" t="n"/>
      <c r="B3680" s="4561" t="n"/>
      <c r="C3680" s="4561" t="n"/>
      <c r="D3680" s="4561" t="n"/>
      <c r="E3680" s="4561" t="n"/>
      <c r="F3680" s="4561" t="n"/>
      <c r="G3680" s="4561" t="n"/>
      <c r="H3680" s="4561" t="n"/>
      <c r="I3680" s="4562">
        <f>XLOOKUP(B3680,'_Sys|Line_Map'!$A:$A,'_Sys|Line_Map'!$C:$C,"MISSING",0)</f>
        <v/>
      </c>
      <c r="J3680" s="4562">
        <f>XLOOKUP(B3680,'_Sys|Line_Map'!$A:$A,'_Sys|Line_Map'!$D:$D,1,0)</f>
        <v/>
      </c>
      <c r="K3680" s="4562">
        <f>IF(D3680="","",D3680*J3680)</f>
        <v/>
      </c>
      <c r="L3680" s="4562">
        <f>XLOOKUP(B3680,'_Sys|Line_Map'!$A:$A,'_Sys|Line_Map'!$B:$B,"MISSING",0)</f>
        <v/>
      </c>
    </row>
    <row r="3681">
      <c r="A3681" s="4561" t="n"/>
      <c r="B3681" s="4561" t="n"/>
      <c r="C3681" s="4561" t="n"/>
      <c r="D3681" s="4561" t="n"/>
      <c r="E3681" s="4561" t="n"/>
      <c r="F3681" s="4561" t="n"/>
      <c r="G3681" s="4561" t="n"/>
      <c r="H3681" s="4561" t="n"/>
      <c r="I3681" s="4562">
        <f>XLOOKUP(B3681,'_Sys|Line_Map'!$A:$A,'_Sys|Line_Map'!$C:$C,"MISSING",0)</f>
        <v/>
      </c>
      <c r="J3681" s="4562">
        <f>XLOOKUP(B3681,'_Sys|Line_Map'!$A:$A,'_Sys|Line_Map'!$D:$D,1,0)</f>
        <v/>
      </c>
      <c r="K3681" s="4562">
        <f>IF(D3681="","",D3681*J3681)</f>
        <v/>
      </c>
      <c r="L3681" s="4562">
        <f>XLOOKUP(B3681,'_Sys|Line_Map'!$A:$A,'_Sys|Line_Map'!$B:$B,"MISSING",0)</f>
        <v/>
      </c>
    </row>
    <row r="3682">
      <c r="A3682" s="4561" t="n"/>
      <c r="B3682" s="4561" t="n"/>
      <c r="C3682" s="4561" t="n"/>
      <c r="D3682" s="4561" t="n"/>
      <c r="E3682" s="4561" t="n"/>
      <c r="F3682" s="4561" t="n"/>
      <c r="G3682" s="4561" t="n"/>
      <c r="H3682" s="4561" t="n"/>
      <c r="I3682" s="4562">
        <f>XLOOKUP(B3682,'_Sys|Line_Map'!$A:$A,'_Sys|Line_Map'!$C:$C,"MISSING",0)</f>
        <v/>
      </c>
      <c r="J3682" s="4562">
        <f>XLOOKUP(B3682,'_Sys|Line_Map'!$A:$A,'_Sys|Line_Map'!$D:$D,1,0)</f>
        <v/>
      </c>
      <c r="K3682" s="4562">
        <f>IF(D3682="","",D3682*J3682)</f>
        <v/>
      </c>
      <c r="L3682" s="4562">
        <f>XLOOKUP(B3682,'_Sys|Line_Map'!$A:$A,'_Sys|Line_Map'!$B:$B,"MISSING",0)</f>
        <v/>
      </c>
    </row>
    <row r="3683">
      <c r="A3683" s="4561" t="n"/>
      <c r="B3683" s="4561" t="n"/>
      <c r="C3683" s="4561" t="n"/>
      <c r="D3683" s="4561" t="n"/>
      <c r="E3683" s="4561" t="n"/>
      <c r="F3683" s="4561" t="n"/>
      <c r="G3683" s="4561" t="n"/>
      <c r="H3683" s="4561" t="n"/>
      <c r="I3683" s="4562">
        <f>XLOOKUP(B3683,'_Sys|Line_Map'!$A:$A,'_Sys|Line_Map'!$C:$C,"MISSING",0)</f>
        <v/>
      </c>
      <c r="J3683" s="4562">
        <f>XLOOKUP(B3683,'_Sys|Line_Map'!$A:$A,'_Sys|Line_Map'!$D:$D,1,0)</f>
        <v/>
      </c>
      <c r="K3683" s="4562">
        <f>IF(D3683="","",D3683*J3683)</f>
        <v/>
      </c>
      <c r="L3683" s="4562">
        <f>XLOOKUP(B3683,'_Sys|Line_Map'!$A:$A,'_Sys|Line_Map'!$B:$B,"MISSING",0)</f>
        <v/>
      </c>
    </row>
    <row r="3684">
      <c r="A3684" s="4561" t="n"/>
      <c r="B3684" s="4561" t="n"/>
      <c r="C3684" s="4561" t="n"/>
      <c r="D3684" s="4561" t="n"/>
      <c r="E3684" s="4561" t="n"/>
      <c r="F3684" s="4561" t="n"/>
      <c r="G3684" s="4561" t="n"/>
      <c r="H3684" s="4561" t="n"/>
      <c r="I3684" s="4562">
        <f>XLOOKUP(B3684,'_Sys|Line_Map'!$A:$A,'_Sys|Line_Map'!$C:$C,"MISSING",0)</f>
        <v/>
      </c>
      <c r="J3684" s="4562">
        <f>XLOOKUP(B3684,'_Sys|Line_Map'!$A:$A,'_Sys|Line_Map'!$D:$D,1,0)</f>
        <v/>
      </c>
      <c r="K3684" s="4562">
        <f>IF(D3684="","",D3684*J3684)</f>
        <v/>
      </c>
      <c r="L3684" s="4562">
        <f>XLOOKUP(B3684,'_Sys|Line_Map'!$A:$A,'_Sys|Line_Map'!$B:$B,"MISSING",0)</f>
        <v/>
      </c>
    </row>
    <row r="3685">
      <c r="A3685" s="4561" t="n"/>
      <c r="B3685" s="4561" t="n"/>
      <c r="C3685" s="4561" t="n"/>
      <c r="D3685" s="4561" t="n"/>
      <c r="E3685" s="4561" t="n"/>
      <c r="F3685" s="4561" t="n"/>
      <c r="G3685" s="4561" t="n"/>
      <c r="H3685" s="4561" t="n"/>
      <c r="I3685" s="4562">
        <f>XLOOKUP(B3685,'_Sys|Line_Map'!$A:$A,'_Sys|Line_Map'!$C:$C,"MISSING",0)</f>
        <v/>
      </c>
      <c r="J3685" s="4562">
        <f>XLOOKUP(B3685,'_Sys|Line_Map'!$A:$A,'_Sys|Line_Map'!$D:$D,1,0)</f>
        <v/>
      </c>
      <c r="K3685" s="4562">
        <f>IF(D3685="","",D3685*J3685)</f>
        <v/>
      </c>
      <c r="L3685" s="4562">
        <f>XLOOKUP(B3685,'_Sys|Line_Map'!$A:$A,'_Sys|Line_Map'!$B:$B,"MISSING",0)</f>
        <v/>
      </c>
    </row>
    <row r="3686">
      <c r="A3686" s="4561" t="n"/>
      <c r="B3686" s="4561" t="n"/>
      <c r="C3686" s="4561" t="n"/>
      <c r="D3686" s="4561" t="n"/>
      <c r="E3686" s="4561" t="n"/>
      <c r="F3686" s="4561" t="n"/>
      <c r="G3686" s="4561" t="n"/>
      <c r="H3686" s="4561" t="n"/>
      <c r="I3686" s="4562">
        <f>XLOOKUP(B3686,'_Sys|Line_Map'!$A:$A,'_Sys|Line_Map'!$C:$C,"MISSING",0)</f>
        <v/>
      </c>
      <c r="J3686" s="4562">
        <f>XLOOKUP(B3686,'_Sys|Line_Map'!$A:$A,'_Sys|Line_Map'!$D:$D,1,0)</f>
        <v/>
      </c>
      <c r="K3686" s="4562">
        <f>IF(D3686="","",D3686*J3686)</f>
        <v/>
      </c>
      <c r="L3686" s="4562">
        <f>XLOOKUP(B3686,'_Sys|Line_Map'!$A:$A,'_Sys|Line_Map'!$B:$B,"MISSING",0)</f>
        <v/>
      </c>
    </row>
    <row r="3687">
      <c r="A3687" s="4561" t="n"/>
      <c r="B3687" s="4561" t="n"/>
      <c r="C3687" s="4561" t="n"/>
      <c r="D3687" s="4561" t="n"/>
      <c r="E3687" s="4561" t="n"/>
      <c r="F3687" s="4561" t="n"/>
      <c r="G3687" s="4561" t="n"/>
      <c r="H3687" s="4561" t="n"/>
      <c r="I3687" s="4562">
        <f>XLOOKUP(B3687,'_Sys|Line_Map'!$A:$A,'_Sys|Line_Map'!$C:$C,"MISSING",0)</f>
        <v/>
      </c>
      <c r="J3687" s="4562">
        <f>XLOOKUP(B3687,'_Sys|Line_Map'!$A:$A,'_Sys|Line_Map'!$D:$D,1,0)</f>
        <v/>
      </c>
      <c r="K3687" s="4562">
        <f>IF(D3687="","",D3687*J3687)</f>
        <v/>
      </c>
      <c r="L3687" s="4562">
        <f>XLOOKUP(B3687,'_Sys|Line_Map'!$A:$A,'_Sys|Line_Map'!$B:$B,"MISSING",0)</f>
        <v/>
      </c>
    </row>
    <row r="3688">
      <c r="A3688" s="4561" t="n"/>
      <c r="B3688" s="4561" t="n"/>
      <c r="C3688" s="4561" t="n"/>
      <c r="D3688" s="4561" t="n"/>
      <c r="E3688" s="4561" t="n"/>
      <c r="F3688" s="4561" t="n"/>
      <c r="G3688" s="4561" t="n"/>
      <c r="H3688" s="4561" t="n"/>
      <c r="I3688" s="4562">
        <f>XLOOKUP(B3688,'_Sys|Line_Map'!$A:$A,'_Sys|Line_Map'!$C:$C,"MISSING",0)</f>
        <v/>
      </c>
      <c r="J3688" s="4562">
        <f>XLOOKUP(B3688,'_Sys|Line_Map'!$A:$A,'_Sys|Line_Map'!$D:$D,1,0)</f>
        <v/>
      </c>
      <c r="K3688" s="4562">
        <f>IF(D3688="","",D3688*J3688)</f>
        <v/>
      </c>
      <c r="L3688" s="4562">
        <f>XLOOKUP(B3688,'_Sys|Line_Map'!$A:$A,'_Sys|Line_Map'!$B:$B,"MISSING",0)</f>
        <v/>
      </c>
    </row>
    <row r="3689">
      <c r="A3689" s="4561" t="n"/>
      <c r="B3689" s="4561" t="n"/>
      <c r="C3689" s="4561" t="n"/>
      <c r="D3689" s="4561" t="n"/>
      <c r="E3689" s="4561" t="n"/>
      <c r="F3689" s="4561" t="n"/>
      <c r="G3689" s="4561" t="n"/>
      <c r="H3689" s="4561" t="n"/>
      <c r="I3689" s="4562">
        <f>XLOOKUP(B3689,'_Sys|Line_Map'!$A:$A,'_Sys|Line_Map'!$C:$C,"MISSING",0)</f>
        <v/>
      </c>
      <c r="J3689" s="4562">
        <f>XLOOKUP(B3689,'_Sys|Line_Map'!$A:$A,'_Sys|Line_Map'!$D:$D,1,0)</f>
        <v/>
      </c>
      <c r="K3689" s="4562">
        <f>IF(D3689="","",D3689*J3689)</f>
        <v/>
      </c>
      <c r="L3689" s="4562">
        <f>XLOOKUP(B3689,'_Sys|Line_Map'!$A:$A,'_Sys|Line_Map'!$B:$B,"MISSING",0)</f>
        <v/>
      </c>
    </row>
    <row r="3690">
      <c r="A3690" s="4561" t="n"/>
      <c r="B3690" s="4561" t="n"/>
      <c r="C3690" s="4561" t="n"/>
      <c r="D3690" s="4561" t="n"/>
      <c r="E3690" s="4561" t="n"/>
      <c r="F3690" s="4561" t="n"/>
      <c r="G3690" s="4561" t="n"/>
      <c r="H3690" s="4561" t="n"/>
      <c r="I3690" s="4562">
        <f>XLOOKUP(B3690,'_Sys|Line_Map'!$A:$A,'_Sys|Line_Map'!$C:$C,"MISSING",0)</f>
        <v/>
      </c>
      <c r="J3690" s="4562">
        <f>XLOOKUP(B3690,'_Sys|Line_Map'!$A:$A,'_Sys|Line_Map'!$D:$D,1,0)</f>
        <v/>
      </c>
      <c r="K3690" s="4562">
        <f>IF(D3690="","",D3690*J3690)</f>
        <v/>
      </c>
      <c r="L3690" s="4562">
        <f>XLOOKUP(B3690,'_Sys|Line_Map'!$A:$A,'_Sys|Line_Map'!$B:$B,"MISSING",0)</f>
        <v/>
      </c>
    </row>
    <row r="3691">
      <c r="A3691" s="4561" t="n"/>
      <c r="B3691" s="4561" t="n"/>
      <c r="C3691" s="4561" t="n"/>
      <c r="D3691" s="4561" t="n"/>
      <c r="E3691" s="4561" t="n"/>
      <c r="F3691" s="4561" t="n"/>
      <c r="G3691" s="4561" t="n"/>
      <c r="H3691" s="4561" t="n"/>
      <c r="I3691" s="4562">
        <f>XLOOKUP(B3691,'_Sys|Line_Map'!$A:$A,'_Sys|Line_Map'!$C:$C,"MISSING",0)</f>
        <v/>
      </c>
      <c r="J3691" s="4562">
        <f>XLOOKUP(B3691,'_Sys|Line_Map'!$A:$A,'_Sys|Line_Map'!$D:$D,1,0)</f>
        <v/>
      </c>
      <c r="K3691" s="4562">
        <f>IF(D3691="","",D3691*J3691)</f>
        <v/>
      </c>
      <c r="L3691" s="4562">
        <f>XLOOKUP(B3691,'_Sys|Line_Map'!$A:$A,'_Sys|Line_Map'!$B:$B,"MISSING",0)</f>
        <v/>
      </c>
    </row>
    <row r="3692">
      <c r="A3692" s="4561" t="n"/>
      <c r="B3692" s="4561" t="n"/>
      <c r="C3692" s="4561" t="n"/>
      <c r="D3692" s="4561" t="n"/>
      <c r="E3692" s="4561" t="n"/>
      <c r="F3692" s="4561" t="n"/>
      <c r="G3692" s="4561" t="n"/>
      <c r="H3692" s="4561" t="n"/>
      <c r="I3692" s="4562">
        <f>XLOOKUP(B3692,'_Sys|Line_Map'!$A:$A,'_Sys|Line_Map'!$C:$C,"MISSING",0)</f>
        <v/>
      </c>
      <c r="J3692" s="4562">
        <f>XLOOKUP(B3692,'_Sys|Line_Map'!$A:$A,'_Sys|Line_Map'!$D:$D,1,0)</f>
        <v/>
      </c>
      <c r="K3692" s="4562">
        <f>IF(D3692="","",D3692*J3692)</f>
        <v/>
      </c>
      <c r="L3692" s="4562">
        <f>XLOOKUP(B3692,'_Sys|Line_Map'!$A:$A,'_Sys|Line_Map'!$B:$B,"MISSING",0)</f>
        <v/>
      </c>
    </row>
    <row r="3693">
      <c r="A3693" s="4561" t="n"/>
      <c r="B3693" s="4561" t="n"/>
      <c r="C3693" s="4561" t="n"/>
      <c r="D3693" s="4561" t="n"/>
      <c r="E3693" s="4561" t="n"/>
      <c r="F3693" s="4561" t="n"/>
      <c r="G3693" s="4561" t="n"/>
      <c r="H3693" s="4561" t="n"/>
      <c r="I3693" s="4562">
        <f>XLOOKUP(B3693,'_Sys|Line_Map'!$A:$A,'_Sys|Line_Map'!$C:$C,"MISSING",0)</f>
        <v/>
      </c>
      <c r="J3693" s="4562">
        <f>XLOOKUP(B3693,'_Sys|Line_Map'!$A:$A,'_Sys|Line_Map'!$D:$D,1,0)</f>
        <v/>
      </c>
      <c r="K3693" s="4562">
        <f>IF(D3693="","",D3693*J3693)</f>
        <v/>
      </c>
      <c r="L3693" s="4562">
        <f>XLOOKUP(B3693,'_Sys|Line_Map'!$A:$A,'_Sys|Line_Map'!$B:$B,"MISSING",0)</f>
        <v/>
      </c>
    </row>
    <row r="3694">
      <c r="A3694" s="4561" t="n"/>
      <c r="B3694" s="4561" t="n"/>
      <c r="C3694" s="4561" t="n"/>
      <c r="D3694" s="4561" t="n"/>
      <c r="E3694" s="4561" t="n"/>
      <c r="F3694" s="4561" t="n"/>
      <c r="G3694" s="4561" t="n"/>
      <c r="H3694" s="4561" t="n"/>
      <c r="I3694" s="4562">
        <f>XLOOKUP(B3694,'_Sys|Line_Map'!$A:$A,'_Sys|Line_Map'!$C:$C,"MISSING",0)</f>
        <v/>
      </c>
      <c r="J3694" s="4562">
        <f>XLOOKUP(B3694,'_Sys|Line_Map'!$A:$A,'_Sys|Line_Map'!$D:$D,1,0)</f>
        <v/>
      </c>
      <c r="K3694" s="4562">
        <f>IF(D3694="","",D3694*J3694)</f>
        <v/>
      </c>
      <c r="L3694" s="4562">
        <f>XLOOKUP(B3694,'_Sys|Line_Map'!$A:$A,'_Sys|Line_Map'!$B:$B,"MISSING",0)</f>
        <v/>
      </c>
    </row>
    <row r="3695">
      <c r="A3695" s="4561" t="n"/>
      <c r="B3695" s="4561" t="n"/>
      <c r="C3695" s="4561" t="n"/>
      <c r="D3695" s="4561" t="n"/>
      <c r="E3695" s="4561" t="n"/>
      <c r="F3695" s="4561" t="n"/>
      <c r="G3695" s="4561" t="n"/>
      <c r="H3695" s="4561" t="n"/>
      <c r="I3695" s="4562">
        <f>XLOOKUP(B3695,'_Sys|Line_Map'!$A:$A,'_Sys|Line_Map'!$C:$C,"MISSING",0)</f>
        <v/>
      </c>
      <c r="J3695" s="4562">
        <f>XLOOKUP(B3695,'_Sys|Line_Map'!$A:$A,'_Sys|Line_Map'!$D:$D,1,0)</f>
        <v/>
      </c>
      <c r="K3695" s="4562">
        <f>IF(D3695="","",D3695*J3695)</f>
        <v/>
      </c>
      <c r="L3695" s="4562">
        <f>XLOOKUP(B3695,'_Sys|Line_Map'!$A:$A,'_Sys|Line_Map'!$B:$B,"MISSING",0)</f>
        <v/>
      </c>
    </row>
    <row r="3696">
      <c r="A3696" s="4561" t="n"/>
      <c r="B3696" s="4561" t="n"/>
      <c r="C3696" s="4561" t="n"/>
      <c r="D3696" s="4561" t="n"/>
      <c r="E3696" s="4561" t="n"/>
      <c r="F3696" s="4561" t="n"/>
      <c r="G3696" s="4561" t="n"/>
      <c r="H3696" s="4561" t="n"/>
      <c r="I3696" s="4562">
        <f>XLOOKUP(B3696,'_Sys|Line_Map'!$A:$A,'_Sys|Line_Map'!$C:$C,"MISSING",0)</f>
        <v/>
      </c>
      <c r="J3696" s="4562">
        <f>XLOOKUP(B3696,'_Sys|Line_Map'!$A:$A,'_Sys|Line_Map'!$D:$D,1,0)</f>
        <v/>
      </c>
      <c r="K3696" s="4562">
        <f>IF(D3696="","",D3696*J3696)</f>
        <v/>
      </c>
      <c r="L3696" s="4562">
        <f>XLOOKUP(B3696,'_Sys|Line_Map'!$A:$A,'_Sys|Line_Map'!$B:$B,"MISSING",0)</f>
        <v/>
      </c>
    </row>
    <row r="3697">
      <c r="A3697" s="4561" t="n"/>
      <c r="B3697" s="4561" t="n"/>
      <c r="C3697" s="4561" t="n"/>
      <c r="D3697" s="4561" t="n"/>
      <c r="E3697" s="4561" t="n"/>
      <c r="F3697" s="4561" t="n"/>
      <c r="G3697" s="4561" t="n"/>
      <c r="H3697" s="4561" t="n"/>
      <c r="I3697" s="4562">
        <f>XLOOKUP(B3697,'_Sys|Line_Map'!$A:$A,'_Sys|Line_Map'!$C:$C,"MISSING",0)</f>
        <v/>
      </c>
      <c r="J3697" s="4562">
        <f>XLOOKUP(B3697,'_Sys|Line_Map'!$A:$A,'_Sys|Line_Map'!$D:$D,1,0)</f>
        <v/>
      </c>
      <c r="K3697" s="4562">
        <f>IF(D3697="","",D3697*J3697)</f>
        <v/>
      </c>
      <c r="L3697" s="4562">
        <f>XLOOKUP(B3697,'_Sys|Line_Map'!$A:$A,'_Sys|Line_Map'!$B:$B,"MISSING",0)</f>
        <v/>
      </c>
    </row>
    <row r="3698">
      <c r="A3698" s="4561" t="n"/>
      <c r="B3698" s="4561" t="n"/>
      <c r="C3698" s="4561" t="n"/>
      <c r="D3698" s="4561" t="n"/>
      <c r="E3698" s="4561" t="n"/>
      <c r="F3698" s="4561" t="n"/>
      <c r="G3698" s="4561" t="n"/>
      <c r="H3698" s="4561" t="n"/>
      <c r="I3698" s="4562">
        <f>XLOOKUP(B3698,'_Sys|Line_Map'!$A:$A,'_Sys|Line_Map'!$C:$C,"MISSING",0)</f>
        <v/>
      </c>
      <c r="J3698" s="4562">
        <f>XLOOKUP(B3698,'_Sys|Line_Map'!$A:$A,'_Sys|Line_Map'!$D:$D,1,0)</f>
        <v/>
      </c>
      <c r="K3698" s="4562">
        <f>IF(D3698="","",D3698*J3698)</f>
        <v/>
      </c>
      <c r="L3698" s="4562">
        <f>XLOOKUP(B3698,'_Sys|Line_Map'!$A:$A,'_Sys|Line_Map'!$B:$B,"MISSING",0)</f>
        <v/>
      </c>
    </row>
    <row r="3699">
      <c r="A3699" s="4561" t="n"/>
      <c r="B3699" s="4561" t="n"/>
      <c r="C3699" s="4561" t="n"/>
      <c r="D3699" s="4561" t="n"/>
      <c r="E3699" s="4561" t="n"/>
      <c r="F3699" s="4561" t="n"/>
      <c r="G3699" s="4561" t="n"/>
      <c r="H3699" s="4561" t="n"/>
      <c r="I3699" s="4562">
        <f>XLOOKUP(B3699,'_Sys|Line_Map'!$A:$A,'_Sys|Line_Map'!$C:$C,"MISSING",0)</f>
        <v/>
      </c>
      <c r="J3699" s="4562">
        <f>XLOOKUP(B3699,'_Sys|Line_Map'!$A:$A,'_Sys|Line_Map'!$D:$D,1,0)</f>
        <v/>
      </c>
      <c r="K3699" s="4562">
        <f>IF(D3699="","",D3699*J3699)</f>
        <v/>
      </c>
      <c r="L3699" s="4562">
        <f>XLOOKUP(B3699,'_Sys|Line_Map'!$A:$A,'_Sys|Line_Map'!$B:$B,"MISSING",0)</f>
        <v/>
      </c>
    </row>
    <row r="3700">
      <c r="A3700" s="4561" t="n"/>
      <c r="B3700" s="4561" t="n"/>
      <c r="C3700" s="4561" t="n"/>
      <c r="D3700" s="4561" t="n"/>
      <c r="E3700" s="4561" t="n"/>
      <c r="F3700" s="4561" t="n"/>
      <c r="G3700" s="4561" t="n"/>
      <c r="H3700" s="4561" t="n"/>
      <c r="I3700" s="4562">
        <f>XLOOKUP(B3700,'_Sys|Line_Map'!$A:$A,'_Sys|Line_Map'!$C:$C,"MISSING",0)</f>
        <v/>
      </c>
      <c r="J3700" s="4562">
        <f>XLOOKUP(B3700,'_Sys|Line_Map'!$A:$A,'_Sys|Line_Map'!$D:$D,1,0)</f>
        <v/>
      </c>
      <c r="K3700" s="4562">
        <f>IF(D3700="","",D3700*J3700)</f>
        <v/>
      </c>
      <c r="L3700" s="4562">
        <f>XLOOKUP(B3700,'_Sys|Line_Map'!$A:$A,'_Sys|Line_Map'!$B:$B,"MISSING",0)</f>
        <v/>
      </c>
    </row>
    <row r="3701">
      <c r="A3701" s="4561" t="n"/>
      <c r="B3701" s="4561" t="n"/>
      <c r="C3701" s="4561" t="n"/>
      <c r="D3701" s="4561" t="n"/>
      <c r="E3701" s="4561" t="n"/>
      <c r="F3701" s="4561" t="n"/>
      <c r="G3701" s="4561" t="n"/>
      <c r="H3701" s="4561" t="n"/>
      <c r="I3701" s="4562">
        <f>XLOOKUP(B3701,'_Sys|Line_Map'!$A:$A,'_Sys|Line_Map'!$C:$C,"MISSING",0)</f>
        <v/>
      </c>
      <c r="J3701" s="4562">
        <f>XLOOKUP(B3701,'_Sys|Line_Map'!$A:$A,'_Sys|Line_Map'!$D:$D,1,0)</f>
        <v/>
      </c>
      <c r="K3701" s="4562">
        <f>IF(D3701="","",D3701*J3701)</f>
        <v/>
      </c>
      <c r="L3701" s="4562">
        <f>XLOOKUP(B3701,'_Sys|Line_Map'!$A:$A,'_Sys|Line_Map'!$B:$B,"MISSING",0)</f>
        <v/>
      </c>
    </row>
    <row r="3702">
      <c r="A3702" s="4561" t="n"/>
      <c r="B3702" s="4561" t="n"/>
      <c r="C3702" s="4561" t="n"/>
      <c r="D3702" s="4561" t="n"/>
      <c r="E3702" s="4561" t="n"/>
      <c r="F3702" s="4561" t="n"/>
      <c r="G3702" s="4561" t="n"/>
      <c r="H3702" s="4561" t="n"/>
      <c r="I3702" s="4562">
        <f>XLOOKUP(B3702,'_Sys|Line_Map'!$A:$A,'_Sys|Line_Map'!$C:$C,"MISSING",0)</f>
        <v/>
      </c>
      <c r="J3702" s="4562">
        <f>XLOOKUP(B3702,'_Sys|Line_Map'!$A:$A,'_Sys|Line_Map'!$D:$D,1,0)</f>
        <v/>
      </c>
      <c r="K3702" s="4562">
        <f>IF(D3702="","",D3702*J3702)</f>
        <v/>
      </c>
      <c r="L3702" s="4562">
        <f>XLOOKUP(B3702,'_Sys|Line_Map'!$A:$A,'_Sys|Line_Map'!$B:$B,"MISSING",0)</f>
        <v/>
      </c>
    </row>
    <row r="3703">
      <c r="A3703" s="4561" t="n"/>
      <c r="B3703" s="4561" t="n"/>
      <c r="C3703" s="4561" t="n"/>
      <c r="D3703" s="4561" t="n"/>
      <c r="E3703" s="4561" t="n"/>
      <c r="F3703" s="4561" t="n"/>
      <c r="G3703" s="4561" t="n"/>
      <c r="H3703" s="4561" t="n"/>
      <c r="I3703" s="4562">
        <f>XLOOKUP(B3703,'_Sys|Line_Map'!$A:$A,'_Sys|Line_Map'!$C:$C,"MISSING",0)</f>
        <v/>
      </c>
      <c r="J3703" s="4562">
        <f>XLOOKUP(B3703,'_Sys|Line_Map'!$A:$A,'_Sys|Line_Map'!$D:$D,1,0)</f>
        <v/>
      </c>
      <c r="K3703" s="4562">
        <f>IF(D3703="","",D3703*J3703)</f>
        <v/>
      </c>
      <c r="L3703" s="4562">
        <f>XLOOKUP(B3703,'_Sys|Line_Map'!$A:$A,'_Sys|Line_Map'!$B:$B,"MISSING",0)</f>
        <v/>
      </c>
    </row>
    <row r="3704">
      <c r="A3704" s="4561" t="n"/>
      <c r="B3704" s="4561" t="n"/>
      <c r="C3704" s="4561" t="n"/>
      <c r="D3704" s="4561" t="n"/>
      <c r="E3704" s="4561" t="n"/>
      <c r="F3704" s="4561" t="n"/>
      <c r="G3704" s="4561" t="n"/>
      <c r="H3704" s="4561" t="n"/>
      <c r="I3704" s="4562">
        <f>XLOOKUP(B3704,'_Sys|Line_Map'!$A:$A,'_Sys|Line_Map'!$C:$C,"MISSING",0)</f>
        <v/>
      </c>
      <c r="J3704" s="4562">
        <f>XLOOKUP(B3704,'_Sys|Line_Map'!$A:$A,'_Sys|Line_Map'!$D:$D,1,0)</f>
        <v/>
      </c>
      <c r="K3704" s="4562">
        <f>IF(D3704="","",D3704*J3704)</f>
        <v/>
      </c>
      <c r="L3704" s="4562">
        <f>XLOOKUP(B3704,'_Sys|Line_Map'!$A:$A,'_Sys|Line_Map'!$B:$B,"MISSING",0)</f>
        <v/>
      </c>
    </row>
    <row r="3705">
      <c r="A3705" s="4561" t="n"/>
      <c r="B3705" s="4561" t="n"/>
      <c r="C3705" s="4561" t="n"/>
      <c r="D3705" s="4561" t="n"/>
      <c r="E3705" s="4561" t="n"/>
      <c r="F3705" s="4561" t="n"/>
      <c r="G3705" s="4561" t="n"/>
      <c r="H3705" s="4561" t="n"/>
      <c r="I3705" s="4562">
        <f>XLOOKUP(B3705,'_Sys|Line_Map'!$A:$A,'_Sys|Line_Map'!$C:$C,"MISSING",0)</f>
        <v/>
      </c>
      <c r="J3705" s="4562">
        <f>XLOOKUP(B3705,'_Sys|Line_Map'!$A:$A,'_Sys|Line_Map'!$D:$D,1,0)</f>
        <v/>
      </c>
      <c r="K3705" s="4562">
        <f>IF(D3705="","",D3705*J3705)</f>
        <v/>
      </c>
      <c r="L3705" s="4562">
        <f>XLOOKUP(B3705,'_Sys|Line_Map'!$A:$A,'_Sys|Line_Map'!$B:$B,"MISSING",0)</f>
        <v/>
      </c>
    </row>
    <row r="3706">
      <c r="A3706" s="4561" t="n"/>
      <c r="B3706" s="4561" t="n"/>
      <c r="C3706" s="4561" t="n"/>
      <c r="D3706" s="4561" t="n"/>
      <c r="E3706" s="4561" t="n"/>
      <c r="F3706" s="4561" t="n"/>
      <c r="G3706" s="4561" t="n"/>
      <c r="H3706" s="4561" t="n"/>
      <c r="I3706" s="4562">
        <f>XLOOKUP(B3706,'_Sys|Line_Map'!$A:$A,'_Sys|Line_Map'!$C:$C,"MISSING",0)</f>
        <v/>
      </c>
      <c r="J3706" s="4562">
        <f>XLOOKUP(B3706,'_Sys|Line_Map'!$A:$A,'_Sys|Line_Map'!$D:$D,1,0)</f>
        <v/>
      </c>
      <c r="K3706" s="4562">
        <f>IF(D3706="","",D3706*J3706)</f>
        <v/>
      </c>
      <c r="L3706" s="4562">
        <f>XLOOKUP(B3706,'_Sys|Line_Map'!$A:$A,'_Sys|Line_Map'!$B:$B,"MISSING",0)</f>
        <v/>
      </c>
    </row>
    <row r="3707">
      <c r="A3707" s="4561" t="n"/>
      <c r="B3707" s="4561" t="n"/>
      <c r="C3707" s="4561" t="n"/>
      <c r="D3707" s="4561" t="n"/>
      <c r="E3707" s="4561" t="n"/>
      <c r="F3707" s="4561" t="n"/>
      <c r="G3707" s="4561" t="n"/>
      <c r="H3707" s="4561" t="n"/>
      <c r="I3707" s="4562">
        <f>XLOOKUP(B3707,'_Sys|Line_Map'!$A:$A,'_Sys|Line_Map'!$C:$C,"MISSING",0)</f>
        <v/>
      </c>
      <c r="J3707" s="4562">
        <f>XLOOKUP(B3707,'_Sys|Line_Map'!$A:$A,'_Sys|Line_Map'!$D:$D,1,0)</f>
        <v/>
      </c>
      <c r="K3707" s="4562">
        <f>IF(D3707="","",D3707*J3707)</f>
        <v/>
      </c>
      <c r="L3707" s="4562">
        <f>XLOOKUP(B3707,'_Sys|Line_Map'!$A:$A,'_Sys|Line_Map'!$B:$B,"MISSING",0)</f>
        <v/>
      </c>
    </row>
    <row r="3708">
      <c r="A3708" s="4561" t="n"/>
      <c r="B3708" s="4561" t="n"/>
      <c r="C3708" s="4561" t="n"/>
      <c r="D3708" s="4561" t="n"/>
      <c r="E3708" s="4561" t="n"/>
      <c r="F3708" s="4561" t="n"/>
      <c r="G3708" s="4561" t="n"/>
      <c r="H3708" s="4561" t="n"/>
      <c r="I3708" s="4562">
        <f>XLOOKUP(B3708,'_Sys|Line_Map'!$A:$A,'_Sys|Line_Map'!$C:$C,"MISSING",0)</f>
        <v/>
      </c>
      <c r="J3708" s="4562">
        <f>XLOOKUP(B3708,'_Sys|Line_Map'!$A:$A,'_Sys|Line_Map'!$D:$D,1,0)</f>
        <v/>
      </c>
      <c r="K3708" s="4562">
        <f>IF(D3708="","",D3708*J3708)</f>
        <v/>
      </c>
      <c r="L3708" s="4562">
        <f>XLOOKUP(B3708,'_Sys|Line_Map'!$A:$A,'_Sys|Line_Map'!$B:$B,"MISSING",0)</f>
        <v/>
      </c>
    </row>
    <row r="3709">
      <c r="A3709" s="4561" t="n"/>
      <c r="B3709" s="4561" t="n"/>
      <c r="C3709" s="4561" t="n"/>
      <c r="D3709" s="4561" t="n"/>
      <c r="E3709" s="4561" t="n"/>
      <c r="F3709" s="4561" t="n"/>
      <c r="G3709" s="4561" t="n"/>
      <c r="H3709" s="4561" t="n"/>
      <c r="I3709" s="4562">
        <f>XLOOKUP(B3709,'_Sys|Line_Map'!$A:$A,'_Sys|Line_Map'!$C:$C,"MISSING",0)</f>
        <v/>
      </c>
      <c r="J3709" s="4562">
        <f>XLOOKUP(B3709,'_Sys|Line_Map'!$A:$A,'_Sys|Line_Map'!$D:$D,1,0)</f>
        <v/>
      </c>
      <c r="K3709" s="4562">
        <f>IF(D3709="","",D3709*J3709)</f>
        <v/>
      </c>
      <c r="L3709" s="4562">
        <f>XLOOKUP(B3709,'_Sys|Line_Map'!$A:$A,'_Sys|Line_Map'!$B:$B,"MISSING",0)</f>
        <v/>
      </c>
    </row>
    <row r="3710">
      <c r="A3710" s="4561" t="n"/>
      <c r="B3710" s="4561" t="n"/>
      <c r="C3710" s="4561" t="n"/>
      <c r="D3710" s="4561" t="n"/>
      <c r="E3710" s="4561" t="n"/>
      <c r="F3710" s="4561" t="n"/>
      <c r="G3710" s="4561" t="n"/>
      <c r="H3710" s="4561" t="n"/>
      <c r="I3710" s="4562">
        <f>XLOOKUP(B3710,'_Sys|Line_Map'!$A:$A,'_Sys|Line_Map'!$C:$C,"MISSING",0)</f>
        <v/>
      </c>
      <c r="J3710" s="4562">
        <f>XLOOKUP(B3710,'_Sys|Line_Map'!$A:$A,'_Sys|Line_Map'!$D:$D,1,0)</f>
        <v/>
      </c>
      <c r="K3710" s="4562">
        <f>IF(D3710="","",D3710*J3710)</f>
        <v/>
      </c>
      <c r="L3710" s="4562">
        <f>XLOOKUP(B3710,'_Sys|Line_Map'!$A:$A,'_Sys|Line_Map'!$B:$B,"MISSING",0)</f>
        <v/>
      </c>
    </row>
    <row r="3711">
      <c r="A3711" s="4561" t="n"/>
      <c r="B3711" s="4561" t="n"/>
      <c r="C3711" s="4561" t="n"/>
      <c r="D3711" s="4561" t="n"/>
      <c r="E3711" s="4561" t="n"/>
      <c r="F3711" s="4561" t="n"/>
      <c r="G3711" s="4561" t="n"/>
      <c r="H3711" s="4561" t="n"/>
      <c r="I3711" s="4562">
        <f>XLOOKUP(B3711,'_Sys|Line_Map'!$A:$A,'_Sys|Line_Map'!$C:$C,"MISSING",0)</f>
        <v/>
      </c>
      <c r="J3711" s="4562">
        <f>XLOOKUP(B3711,'_Sys|Line_Map'!$A:$A,'_Sys|Line_Map'!$D:$D,1,0)</f>
        <v/>
      </c>
      <c r="K3711" s="4562">
        <f>IF(D3711="","",D3711*J3711)</f>
        <v/>
      </c>
      <c r="L3711" s="4562">
        <f>XLOOKUP(B3711,'_Sys|Line_Map'!$A:$A,'_Sys|Line_Map'!$B:$B,"MISSING",0)</f>
        <v/>
      </c>
    </row>
    <row r="3712">
      <c r="A3712" s="4561" t="n"/>
      <c r="B3712" s="4561" t="n"/>
      <c r="C3712" s="4561" t="n"/>
      <c r="D3712" s="4561" t="n"/>
      <c r="E3712" s="4561" t="n"/>
      <c r="F3712" s="4561" t="n"/>
      <c r="G3712" s="4561" t="n"/>
      <c r="H3712" s="4561" t="n"/>
      <c r="I3712" s="4562">
        <f>XLOOKUP(B3712,'_Sys|Line_Map'!$A:$A,'_Sys|Line_Map'!$C:$C,"MISSING",0)</f>
        <v/>
      </c>
      <c r="J3712" s="4562">
        <f>XLOOKUP(B3712,'_Sys|Line_Map'!$A:$A,'_Sys|Line_Map'!$D:$D,1,0)</f>
        <v/>
      </c>
      <c r="K3712" s="4562">
        <f>IF(D3712="","",D3712*J3712)</f>
        <v/>
      </c>
      <c r="L3712" s="4562">
        <f>XLOOKUP(B3712,'_Sys|Line_Map'!$A:$A,'_Sys|Line_Map'!$B:$B,"MISSING",0)</f>
        <v/>
      </c>
    </row>
    <row r="3713">
      <c r="A3713" s="4561" t="n"/>
      <c r="B3713" s="4561" t="n"/>
      <c r="C3713" s="4561" t="n"/>
      <c r="D3713" s="4561" t="n"/>
      <c r="E3713" s="4561" t="n"/>
      <c r="F3713" s="4561" t="n"/>
      <c r="G3713" s="4561" t="n"/>
      <c r="H3713" s="4561" t="n"/>
      <c r="I3713" s="4562">
        <f>XLOOKUP(B3713,'_Sys|Line_Map'!$A:$A,'_Sys|Line_Map'!$C:$C,"MISSING",0)</f>
        <v/>
      </c>
      <c r="J3713" s="4562">
        <f>XLOOKUP(B3713,'_Sys|Line_Map'!$A:$A,'_Sys|Line_Map'!$D:$D,1,0)</f>
        <v/>
      </c>
      <c r="K3713" s="4562">
        <f>IF(D3713="","",D3713*J3713)</f>
        <v/>
      </c>
      <c r="L3713" s="4562">
        <f>XLOOKUP(B3713,'_Sys|Line_Map'!$A:$A,'_Sys|Line_Map'!$B:$B,"MISSING",0)</f>
        <v/>
      </c>
    </row>
    <row r="3714">
      <c r="A3714" s="4561" t="n"/>
      <c r="B3714" s="4561" t="n"/>
      <c r="C3714" s="4561" t="n"/>
      <c r="D3714" s="4561" t="n"/>
      <c r="E3714" s="4561" t="n"/>
      <c r="F3714" s="4561" t="n"/>
      <c r="G3714" s="4561" t="n"/>
      <c r="H3714" s="4561" t="n"/>
      <c r="I3714" s="4562">
        <f>XLOOKUP(B3714,'_Sys|Line_Map'!$A:$A,'_Sys|Line_Map'!$C:$C,"MISSING",0)</f>
        <v/>
      </c>
      <c r="J3714" s="4562">
        <f>XLOOKUP(B3714,'_Sys|Line_Map'!$A:$A,'_Sys|Line_Map'!$D:$D,1,0)</f>
        <v/>
      </c>
      <c r="K3714" s="4562">
        <f>IF(D3714="","",D3714*J3714)</f>
        <v/>
      </c>
      <c r="L3714" s="4562">
        <f>XLOOKUP(B3714,'_Sys|Line_Map'!$A:$A,'_Sys|Line_Map'!$B:$B,"MISSING",0)</f>
        <v/>
      </c>
    </row>
    <row r="3715">
      <c r="A3715" s="4561" t="n"/>
      <c r="B3715" s="4561" t="n"/>
      <c r="C3715" s="4561" t="n"/>
      <c r="D3715" s="4561" t="n"/>
      <c r="E3715" s="4561" t="n"/>
      <c r="F3715" s="4561" t="n"/>
      <c r="G3715" s="4561" t="n"/>
      <c r="H3715" s="4561" t="n"/>
      <c r="I3715" s="4562">
        <f>XLOOKUP(B3715,'_Sys|Line_Map'!$A:$A,'_Sys|Line_Map'!$C:$C,"MISSING",0)</f>
        <v/>
      </c>
      <c r="J3715" s="4562">
        <f>XLOOKUP(B3715,'_Sys|Line_Map'!$A:$A,'_Sys|Line_Map'!$D:$D,1,0)</f>
        <v/>
      </c>
      <c r="K3715" s="4562">
        <f>IF(D3715="","",D3715*J3715)</f>
        <v/>
      </c>
      <c r="L3715" s="4562">
        <f>XLOOKUP(B3715,'_Sys|Line_Map'!$A:$A,'_Sys|Line_Map'!$B:$B,"MISSING",0)</f>
        <v/>
      </c>
    </row>
    <row r="3716">
      <c r="A3716" s="4561" t="n"/>
      <c r="B3716" s="4561" t="n"/>
      <c r="C3716" s="4561" t="n"/>
      <c r="D3716" s="4561" t="n"/>
      <c r="E3716" s="4561" t="n"/>
      <c r="F3716" s="4561" t="n"/>
      <c r="G3716" s="4561" t="n"/>
      <c r="H3716" s="4561" t="n"/>
      <c r="I3716" s="4562">
        <f>XLOOKUP(B3716,'_Sys|Line_Map'!$A:$A,'_Sys|Line_Map'!$C:$C,"MISSING",0)</f>
        <v/>
      </c>
      <c r="J3716" s="4562">
        <f>XLOOKUP(B3716,'_Sys|Line_Map'!$A:$A,'_Sys|Line_Map'!$D:$D,1,0)</f>
        <v/>
      </c>
      <c r="K3716" s="4562">
        <f>IF(D3716="","",D3716*J3716)</f>
        <v/>
      </c>
      <c r="L3716" s="4562">
        <f>XLOOKUP(B3716,'_Sys|Line_Map'!$A:$A,'_Sys|Line_Map'!$B:$B,"MISSING",0)</f>
        <v/>
      </c>
    </row>
    <row r="3717">
      <c r="A3717" s="4561" t="n"/>
      <c r="B3717" s="4561" t="n"/>
      <c r="C3717" s="4561" t="n"/>
      <c r="D3717" s="4561" t="n"/>
      <c r="E3717" s="4561" t="n"/>
      <c r="F3717" s="4561" t="n"/>
      <c r="G3717" s="4561" t="n"/>
      <c r="H3717" s="4561" t="n"/>
      <c r="I3717" s="4562">
        <f>XLOOKUP(B3717,'_Sys|Line_Map'!$A:$A,'_Sys|Line_Map'!$C:$C,"MISSING",0)</f>
        <v/>
      </c>
      <c r="J3717" s="4562">
        <f>XLOOKUP(B3717,'_Sys|Line_Map'!$A:$A,'_Sys|Line_Map'!$D:$D,1,0)</f>
        <v/>
      </c>
      <c r="K3717" s="4562">
        <f>IF(D3717="","",D3717*J3717)</f>
        <v/>
      </c>
      <c r="L3717" s="4562">
        <f>XLOOKUP(B3717,'_Sys|Line_Map'!$A:$A,'_Sys|Line_Map'!$B:$B,"MISSING",0)</f>
        <v/>
      </c>
    </row>
    <row r="3718">
      <c r="A3718" s="4561" t="n"/>
      <c r="B3718" s="4561" t="n"/>
      <c r="C3718" s="4561" t="n"/>
      <c r="D3718" s="4561" t="n"/>
      <c r="E3718" s="4561" t="n"/>
      <c r="F3718" s="4561" t="n"/>
      <c r="G3718" s="4561" t="n"/>
      <c r="H3718" s="4561" t="n"/>
      <c r="I3718" s="4562">
        <f>XLOOKUP(B3718,'_Sys|Line_Map'!$A:$A,'_Sys|Line_Map'!$C:$C,"MISSING",0)</f>
        <v/>
      </c>
      <c r="J3718" s="4562">
        <f>XLOOKUP(B3718,'_Sys|Line_Map'!$A:$A,'_Sys|Line_Map'!$D:$D,1,0)</f>
        <v/>
      </c>
      <c r="K3718" s="4562">
        <f>IF(D3718="","",D3718*J3718)</f>
        <v/>
      </c>
      <c r="L3718" s="4562">
        <f>XLOOKUP(B3718,'_Sys|Line_Map'!$A:$A,'_Sys|Line_Map'!$B:$B,"MISSING",0)</f>
        <v/>
      </c>
    </row>
    <row r="3719">
      <c r="A3719" s="4561" t="n"/>
      <c r="B3719" s="4561" t="n"/>
      <c r="C3719" s="4561" t="n"/>
      <c r="D3719" s="4561" t="n"/>
      <c r="E3719" s="4561" t="n"/>
      <c r="F3719" s="4561" t="n"/>
      <c r="G3719" s="4561" t="n"/>
      <c r="H3719" s="4561" t="n"/>
      <c r="I3719" s="4562">
        <f>XLOOKUP(B3719,'_Sys|Line_Map'!$A:$A,'_Sys|Line_Map'!$C:$C,"MISSING",0)</f>
        <v/>
      </c>
      <c r="J3719" s="4562">
        <f>XLOOKUP(B3719,'_Sys|Line_Map'!$A:$A,'_Sys|Line_Map'!$D:$D,1,0)</f>
        <v/>
      </c>
      <c r="K3719" s="4562">
        <f>IF(D3719="","",D3719*J3719)</f>
        <v/>
      </c>
      <c r="L3719" s="4562">
        <f>XLOOKUP(B3719,'_Sys|Line_Map'!$A:$A,'_Sys|Line_Map'!$B:$B,"MISSING",0)</f>
        <v/>
      </c>
    </row>
    <row r="3720">
      <c r="A3720" s="4561" t="n"/>
      <c r="B3720" s="4561" t="n"/>
      <c r="C3720" s="4561" t="n"/>
      <c r="D3720" s="4561" t="n"/>
      <c r="E3720" s="4561" t="n"/>
      <c r="F3720" s="4561" t="n"/>
      <c r="G3720" s="4561" t="n"/>
      <c r="H3720" s="4561" t="n"/>
      <c r="I3720" s="4562">
        <f>XLOOKUP(B3720,'_Sys|Line_Map'!$A:$A,'_Sys|Line_Map'!$C:$C,"MISSING",0)</f>
        <v/>
      </c>
      <c r="J3720" s="4562">
        <f>XLOOKUP(B3720,'_Sys|Line_Map'!$A:$A,'_Sys|Line_Map'!$D:$D,1,0)</f>
        <v/>
      </c>
      <c r="K3720" s="4562">
        <f>IF(D3720="","",D3720*J3720)</f>
        <v/>
      </c>
      <c r="L3720" s="4562">
        <f>XLOOKUP(B3720,'_Sys|Line_Map'!$A:$A,'_Sys|Line_Map'!$B:$B,"MISSING",0)</f>
        <v/>
      </c>
    </row>
    <row r="3721">
      <c r="A3721" s="4561" t="n"/>
      <c r="B3721" s="4561" t="n"/>
      <c r="C3721" s="4561" t="n"/>
      <c r="D3721" s="4561" t="n"/>
      <c r="E3721" s="4561" t="n"/>
      <c r="F3721" s="4561" t="n"/>
      <c r="G3721" s="4561" t="n"/>
      <c r="H3721" s="4561" t="n"/>
      <c r="I3721" s="4562">
        <f>XLOOKUP(B3721,'_Sys|Line_Map'!$A:$A,'_Sys|Line_Map'!$C:$C,"MISSING",0)</f>
        <v/>
      </c>
      <c r="J3721" s="4562">
        <f>XLOOKUP(B3721,'_Sys|Line_Map'!$A:$A,'_Sys|Line_Map'!$D:$D,1,0)</f>
        <v/>
      </c>
      <c r="K3721" s="4562">
        <f>IF(D3721="","",D3721*J3721)</f>
        <v/>
      </c>
      <c r="L3721" s="4562">
        <f>XLOOKUP(B3721,'_Sys|Line_Map'!$A:$A,'_Sys|Line_Map'!$B:$B,"MISSING",0)</f>
        <v/>
      </c>
    </row>
    <row r="3722">
      <c r="A3722" s="4561" t="n"/>
      <c r="B3722" s="4561" t="n"/>
      <c r="C3722" s="4561" t="n"/>
      <c r="D3722" s="4561" t="n"/>
      <c r="E3722" s="4561" t="n"/>
      <c r="F3722" s="4561" t="n"/>
      <c r="G3722" s="4561" t="n"/>
      <c r="H3722" s="4561" t="n"/>
      <c r="I3722" s="4562">
        <f>XLOOKUP(B3722,'_Sys|Line_Map'!$A:$A,'_Sys|Line_Map'!$C:$C,"MISSING",0)</f>
        <v/>
      </c>
      <c r="J3722" s="4562">
        <f>XLOOKUP(B3722,'_Sys|Line_Map'!$A:$A,'_Sys|Line_Map'!$D:$D,1,0)</f>
        <v/>
      </c>
      <c r="K3722" s="4562">
        <f>IF(D3722="","",D3722*J3722)</f>
        <v/>
      </c>
      <c r="L3722" s="4562">
        <f>XLOOKUP(B3722,'_Sys|Line_Map'!$A:$A,'_Sys|Line_Map'!$B:$B,"MISSING",0)</f>
        <v/>
      </c>
    </row>
    <row r="3723">
      <c r="A3723" s="4561" t="n"/>
      <c r="B3723" s="4561" t="n"/>
      <c r="C3723" s="4561" t="n"/>
      <c r="D3723" s="4561" t="n"/>
      <c r="E3723" s="4561" t="n"/>
      <c r="F3723" s="4561" t="n"/>
      <c r="G3723" s="4561" t="n"/>
      <c r="H3723" s="4561" t="n"/>
      <c r="I3723" s="4562">
        <f>XLOOKUP(B3723,'_Sys|Line_Map'!$A:$A,'_Sys|Line_Map'!$C:$C,"MISSING",0)</f>
        <v/>
      </c>
      <c r="J3723" s="4562">
        <f>XLOOKUP(B3723,'_Sys|Line_Map'!$A:$A,'_Sys|Line_Map'!$D:$D,1,0)</f>
        <v/>
      </c>
      <c r="K3723" s="4562">
        <f>IF(D3723="","",D3723*J3723)</f>
        <v/>
      </c>
      <c r="L3723" s="4562">
        <f>XLOOKUP(B3723,'_Sys|Line_Map'!$A:$A,'_Sys|Line_Map'!$B:$B,"MISSING",0)</f>
        <v/>
      </c>
    </row>
    <row r="3724">
      <c r="A3724" s="4561" t="n"/>
      <c r="B3724" s="4561" t="n"/>
      <c r="C3724" s="4561" t="n"/>
      <c r="D3724" s="4561" t="n"/>
      <c r="E3724" s="4561" t="n"/>
      <c r="F3724" s="4561" t="n"/>
      <c r="G3724" s="4561" t="n"/>
      <c r="H3724" s="4561" t="n"/>
      <c r="I3724" s="4562">
        <f>XLOOKUP(B3724,'_Sys|Line_Map'!$A:$A,'_Sys|Line_Map'!$C:$C,"MISSING",0)</f>
        <v/>
      </c>
      <c r="J3724" s="4562">
        <f>XLOOKUP(B3724,'_Sys|Line_Map'!$A:$A,'_Sys|Line_Map'!$D:$D,1,0)</f>
        <v/>
      </c>
      <c r="K3724" s="4562">
        <f>IF(D3724="","",D3724*J3724)</f>
        <v/>
      </c>
      <c r="L3724" s="4562">
        <f>XLOOKUP(B3724,'_Sys|Line_Map'!$A:$A,'_Sys|Line_Map'!$B:$B,"MISSING",0)</f>
        <v/>
      </c>
    </row>
    <row r="3725">
      <c r="A3725" s="4561" t="n"/>
      <c r="B3725" s="4561" t="n"/>
      <c r="C3725" s="4561" t="n"/>
      <c r="D3725" s="4561" t="n"/>
      <c r="E3725" s="4561" t="n"/>
      <c r="F3725" s="4561" t="n"/>
      <c r="G3725" s="4561" t="n"/>
      <c r="H3725" s="4561" t="n"/>
      <c r="I3725" s="4562">
        <f>XLOOKUP(B3725,'_Sys|Line_Map'!$A:$A,'_Sys|Line_Map'!$C:$C,"MISSING",0)</f>
        <v/>
      </c>
      <c r="J3725" s="4562">
        <f>XLOOKUP(B3725,'_Sys|Line_Map'!$A:$A,'_Sys|Line_Map'!$D:$D,1,0)</f>
        <v/>
      </c>
      <c r="K3725" s="4562">
        <f>IF(D3725="","",D3725*J3725)</f>
        <v/>
      </c>
      <c r="L3725" s="4562">
        <f>XLOOKUP(B3725,'_Sys|Line_Map'!$A:$A,'_Sys|Line_Map'!$B:$B,"MISSING",0)</f>
        <v/>
      </c>
    </row>
    <row r="3726">
      <c r="A3726" s="4561" t="n"/>
      <c r="B3726" s="4561" t="n"/>
      <c r="C3726" s="4561" t="n"/>
      <c r="D3726" s="4561" t="n"/>
      <c r="E3726" s="4561" t="n"/>
      <c r="F3726" s="4561" t="n"/>
      <c r="G3726" s="4561" t="n"/>
      <c r="H3726" s="4561" t="n"/>
      <c r="I3726" s="4562">
        <f>XLOOKUP(B3726,'_Sys|Line_Map'!$A:$A,'_Sys|Line_Map'!$C:$C,"MISSING",0)</f>
        <v/>
      </c>
      <c r="J3726" s="4562">
        <f>XLOOKUP(B3726,'_Sys|Line_Map'!$A:$A,'_Sys|Line_Map'!$D:$D,1,0)</f>
        <v/>
      </c>
      <c r="K3726" s="4562">
        <f>IF(D3726="","",D3726*J3726)</f>
        <v/>
      </c>
      <c r="L3726" s="4562">
        <f>XLOOKUP(B3726,'_Sys|Line_Map'!$A:$A,'_Sys|Line_Map'!$B:$B,"MISSING",0)</f>
        <v/>
      </c>
    </row>
    <row r="3727">
      <c r="A3727" s="4561" t="n"/>
      <c r="B3727" s="4561" t="n"/>
      <c r="C3727" s="4561" t="n"/>
      <c r="D3727" s="4561" t="n"/>
      <c r="E3727" s="4561" t="n"/>
      <c r="F3727" s="4561" t="n"/>
      <c r="G3727" s="4561" t="n"/>
      <c r="H3727" s="4561" t="n"/>
      <c r="I3727" s="4562">
        <f>XLOOKUP(B3727,'_Sys|Line_Map'!$A:$A,'_Sys|Line_Map'!$C:$C,"MISSING",0)</f>
        <v/>
      </c>
      <c r="J3727" s="4562">
        <f>XLOOKUP(B3727,'_Sys|Line_Map'!$A:$A,'_Sys|Line_Map'!$D:$D,1,0)</f>
        <v/>
      </c>
      <c r="K3727" s="4562">
        <f>IF(D3727="","",D3727*J3727)</f>
        <v/>
      </c>
      <c r="L3727" s="4562">
        <f>XLOOKUP(B3727,'_Sys|Line_Map'!$A:$A,'_Sys|Line_Map'!$B:$B,"MISSING",0)</f>
        <v/>
      </c>
    </row>
    <row r="3728">
      <c r="A3728" s="4561" t="n"/>
      <c r="B3728" s="4561" t="n"/>
      <c r="C3728" s="4561" t="n"/>
      <c r="D3728" s="4561" t="n"/>
      <c r="E3728" s="4561" t="n"/>
      <c r="F3728" s="4561" t="n"/>
      <c r="G3728" s="4561" t="n"/>
      <c r="H3728" s="4561" t="n"/>
      <c r="I3728" s="4562">
        <f>XLOOKUP(B3728,'_Sys|Line_Map'!$A:$A,'_Sys|Line_Map'!$C:$C,"MISSING",0)</f>
        <v/>
      </c>
      <c r="J3728" s="4562">
        <f>XLOOKUP(B3728,'_Sys|Line_Map'!$A:$A,'_Sys|Line_Map'!$D:$D,1,0)</f>
        <v/>
      </c>
      <c r="K3728" s="4562">
        <f>IF(D3728="","",D3728*J3728)</f>
        <v/>
      </c>
      <c r="L3728" s="4562">
        <f>XLOOKUP(B3728,'_Sys|Line_Map'!$A:$A,'_Sys|Line_Map'!$B:$B,"MISSING",0)</f>
        <v/>
      </c>
    </row>
    <row r="3729">
      <c r="A3729" s="4561" t="n"/>
      <c r="B3729" s="4561" t="n"/>
      <c r="C3729" s="4561" t="n"/>
      <c r="D3729" s="4561" t="n"/>
      <c r="E3729" s="4561" t="n"/>
      <c r="F3729" s="4561" t="n"/>
      <c r="G3729" s="4561" t="n"/>
      <c r="H3729" s="4561" t="n"/>
      <c r="I3729" s="4562">
        <f>XLOOKUP(B3729,'_Sys|Line_Map'!$A:$A,'_Sys|Line_Map'!$C:$C,"MISSING",0)</f>
        <v/>
      </c>
      <c r="J3729" s="4562">
        <f>XLOOKUP(B3729,'_Sys|Line_Map'!$A:$A,'_Sys|Line_Map'!$D:$D,1,0)</f>
        <v/>
      </c>
      <c r="K3729" s="4562">
        <f>IF(D3729="","",D3729*J3729)</f>
        <v/>
      </c>
      <c r="L3729" s="4562">
        <f>XLOOKUP(B3729,'_Sys|Line_Map'!$A:$A,'_Sys|Line_Map'!$B:$B,"MISSING",0)</f>
        <v/>
      </c>
    </row>
    <row r="3730">
      <c r="A3730" s="4561" t="n"/>
      <c r="B3730" s="4561" t="n"/>
      <c r="C3730" s="4561" t="n"/>
      <c r="D3730" s="4561" t="n"/>
      <c r="E3730" s="4561" t="n"/>
      <c r="F3730" s="4561" t="n"/>
      <c r="G3730" s="4561" t="n"/>
      <c r="H3730" s="4561" t="n"/>
      <c r="I3730" s="4562">
        <f>XLOOKUP(B3730,'_Sys|Line_Map'!$A:$A,'_Sys|Line_Map'!$C:$C,"MISSING",0)</f>
        <v/>
      </c>
      <c r="J3730" s="4562">
        <f>XLOOKUP(B3730,'_Sys|Line_Map'!$A:$A,'_Sys|Line_Map'!$D:$D,1,0)</f>
        <v/>
      </c>
      <c r="K3730" s="4562">
        <f>IF(D3730="","",D3730*J3730)</f>
        <v/>
      </c>
      <c r="L3730" s="4562">
        <f>XLOOKUP(B3730,'_Sys|Line_Map'!$A:$A,'_Sys|Line_Map'!$B:$B,"MISSING",0)</f>
        <v/>
      </c>
    </row>
    <row r="3731">
      <c r="A3731" s="4561" t="n"/>
      <c r="B3731" s="4561" t="n"/>
      <c r="C3731" s="4561" t="n"/>
      <c r="D3731" s="4561" t="n"/>
      <c r="E3731" s="4561" t="n"/>
      <c r="F3731" s="4561" t="n"/>
      <c r="G3731" s="4561" t="n"/>
      <c r="H3731" s="4561" t="n"/>
      <c r="I3731" s="4562">
        <f>XLOOKUP(B3731,'_Sys|Line_Map'!$A:$A,'_Sys|Line_Map'!$C:$C,"MISSING",0)</f>
        <v/>
      </c>
      <c r="J3731" s="4562">
        <f>XLOOKUP(B3731,'_Sys|Line_Map'!$A:$A,'_Sys|Line_Map'!$D:$D,1,0)</f>
        <v/>
      </c>
      <c r="K3731" s="4562">
        <f>IF(D3731="","",D3731*J3731)</f>
        <v/>
      </c>
      <c r="L3731" s="4562">
        <f>XLOOKUP(B3731,'_Sys|Line_Map'!$A:$A,'_Sys|Line_Map'!$B:$B,"MISSING",0)</f>
        <v/>
      </c>
    </row>
    <row r="3732">
      <c r="A3732" s="4561" t="n"/>
      <c r="B3732" s="4561" t="n"/>
      <c r="C3732" s="4561" t="n"/>
      <c r="D3732" s="4561" t="n"/>
      <c r="E3732" s="4561" t="n"/>
      <c r="F3732" s="4561" t="n"/>
      <c r="G3732" s="4561" t="n"/>
      <c r="H3732" s="4561" t="n"/>
      <c r="I3732" s="4562">
        <f>XLOOKUP(B3732,'_Sys|Line_Map'!$A:$A,'_Sys|Line_Map'!$C:$C,"MISSING",0)</f>
        <v/>
      </c>
      <c r="J3732" s="4562">
        <f>XLOOKUP(B3732,'_Sys|Line_Map'!$A:$A,'_Sys|Line_Map'!$D:$D,1,0)</f>
        <v/>
      </c>
      <c r="K3732" s="4562">
        <f>IF(D3732="","",D3732*J3732)</f>
        <v/>
      </c>
      <c r="L3732" s="4562">
        <f>XLOOKUP(B3732,'_Sys|Line_Map'!$A:$A,'_Sys|Line_Map'!$B:$B,"MISSING",0)</f>
        <v/>
      </c>
    </row>
    <row r="3733">
      <c r="A3733" s="4561" t="n"/>
      <c r="B3733" s="4561" t="n"/>
      <c r="C3733" s="4561" t="n"/>
      <c r="D3733" s="4561" t="n"/>
      <c r="E3733" s="4561" t="n"/>
      <c r="F3733" s="4561" t="n"/>
      <c r="G3733" s="4561" t="n"/>
      <c r="H3733" s="4561" t="n"/>
      <c r="I3733" s="4562">
        <f>XLOOKUP(B3733,'_Sys|Line_Map'!$A:$A,'_Sys|Line_Map'!$C:$C,"MISSING",0)</f>
        <v/>
      </c>
      <c r="J3733" s="4562">
        <f>XLOOKUP(B3733,'_Sys|Line_Map'!$A:$A,'_Sys|Line_Map'!$D:$D,1,0)</f>
        <v/>
      </c>
      <c r="K3733" s="4562">
        <f>IF(D3733="","",D3733*J3733)</f>
        <v/>
      </c>
      <c r="L3733" s="4562">
        <f>XLOOKUP(B3733,'_Sys|Line_Map'!$A:$A,'_Sys|Line_Map'!$B:$B,"MISSING",0)</f>
        <v/>
      </c>
    </row>
    <row r="3734">
      <c r="A3734" s="4561" t="n"/>
      <c r="B3734" s="4561" t="n"/>
      <c r="C3734" s="4561" t="n"/>
      <c r="D3734" s="4561" t="n"/>
      <c r="E3734" s="4561" t="n"/>
      <c r="F3734" s="4561" t="n"/>
      <c r="G3734" s="4561" t="n"/>
      <c r="H3734" s="4561" t="n"/>
      <c r="I3734" s="4562">
        <f>XLOOKUP(B3734,'_Sys|Line_Map'!$A:$A,'_Sys|Line_Map'!$C:$C,"MISSING",0)</f>
        <v/>
      </c>
      <c r="J3734" s="4562">
        <f>XLOOKUP(B3734,'_Sys|Line_Map'!$A:$A,'_Sys|Line_Map'!$D:$D,1,0)</f>
        <v/>
      </c>
      <c r="K3734" s="4562">
        <f>IF(D3734="","",D3734*J3734)</f>
        <v/>
      </c>
      <c r="L3734" s="4562">
        <f>XLOOKUP(B3734,'_Sys|Line_Map'!$A:$A,'_Sys|Line_Map'!$B:$B,"MISSING",0)</f>
        <v/>
      </c>
    </row>
    <row r="3735">
      <c r="A3735" s="4561" t="n"/>
      <c r="B3735" s="4561" t="n"/>
      <c r="C3735" s="4561" t="n"/>
      <c r="D3735" s="4561" t="n"/>
      <c r="E3735" s="4561" t="n"/>
      <c r="F3735" s="4561" t="n"/>
      <c r="G3735" s="4561" t="n"/>
      <c r="H3735" s="4561" t="n"/>
      <c r="I3735" s="4562">
        <f>XLOOKUP(B3735,'_Sys|Line_Map'!$A:$A,'_Sys|Line_Map'!$C:$C,"MISSING",0)</f>
        <v/>
      </c>
      <c r="J3735" s="4562">
        <f>XLOOKUP(B3735,'_Sys|Line_Map'!$A:$A,'_Sys|Line_Map'!$D:$D,1,0)</f>
        <v/>
      </c>
      <c r="K3735" s="4562">
        <f>IF(D3735="","",D3735*J3735)</f>
        <v/>
      </c>
      <c r="L3735" s="4562">
        <f>XLOOKUP(B3735,'_Sys|Line_Map'!$A:$A,'_Sys|Line_Map'!$B:$B,"MISSING",0)</f>
        <v/>
      </c>
    </row>
    <row r="3736">
      <c r="A3736" s="4561" t="n"/>
      <c r="B3736" s="4561" t="n"/>
      <c r="C3736" s="4561" t="n"/>
      <c r="D3736" s="4561" t="n"/>
      <c r="E3736" s="4561" t="n"/>
      <c r="F3736" s="4561" t="n"/>
      <c r="G3736" s="4561" t="n"/>
      <c r="H3736" s="4561" t="n"/>
      <c r="I3736" s="4562">
        <f>XLOOKUP(B3736,'_Sys|Line_Map'!$A:$A,'_Sys|Line_Map'!$C:$C,"MISSING",0)</f>
        <v/>
      </c>
      <c r="J3736" s="4562">
        <f>XLOOKUP(B3736,'_Sys|Line_Map'!$A:$A,'_Sys|Line_Map'!$D:$D,1,0)</f>
        <v/>
      </c>
      <c r="K3736" s="4562">
        <f>IF(D3736="","",D3736*J3736)</f>
        <v/>
      </c>
      <c r="L3736" s="4562">
        <f>XLOOKUP(B3736,'_Sys|Line_Map'!$A:$A,'_Sys|Line_Map'!$B:$B,"MISSING",0)</f>
        <v/>
      </c>
    </row>
    <row r="3737">
      <c r="A3737" s="4561" t="n"/>
      <c r="B3737" s="4561" t="n"/>
      <c r="C3737" s="4561" t="n"/>
      <c r="D3737" s="4561" t="n"/>
      <c r="E3737" s="4561" t="n"/>
      <c r="F3737" s="4561" t="n"/>
      <c r="G3737" s="4561" t="n"/>
      <c r="H3737" s="4561" t="n"/>
      <c r="I3737" s="4562">
        <f>XLOOKUP(B3737,'_Sys|Line_Map'!$A:$A,'_Sys|Line_Map'!$C:$C,"MISSING",0)</f>
        <v/>
      </c>
      <c r="J3737" s="4562">
        <f>XLOOKUP(B3737,'_Sys|Line_Map'!$A:$A,'_Sys|Line_Map'!$D:$D,1,0)</f>
        <v/>
      </c>
      <c r="K3737" s="4562">
        <f>IF(D3737="","",D3737*J3737)</f>
        <v/>
      </c>
      <c r="L3737" s="4562">
        <f>XLOOKUP(B3737,'_Sys|Line_Map'!$A:$A,'_Sys|Line_Map'!$B:$B,"MISSING",0)</f>
        <v/>
      </c>
    </row>
    <row r="3738">
      <c r="A3738" s="4561" t="n"/>
      <c r="B3738" s="4561" t="n"/>
      <c r="C3738" s="4561" t="n"/>
      <c r="D3738" s="4561" t="n"/>
      <c r="E3738" s="4561" t="n"/>
      <c r="F3738" s="4561" t="n"/>
      <c r="G3738" s="4561" t="n"/>
      <c r="H3738" s="4561" t="n"/>
      <c r="I3738" s="4562">
        <f>XLOOKUP(B3738,'_Sys|Line_Map'!$A:$A,'_Sys|Line_Map'!$C:$C,"MISSING",0)</f>
        <v/>
      </c>
      <c r="J3738" s="4562">
        <f>XLOOKUP(B3738,'_Sys|Line_Map'!$A:$A,'_Sys|Line_Map'!$D:$D,1,0)</f>
        <v/>
      </c>
      <c r="K3738" s="4562">
        <f>IF(D3738="","",D3738*J3738)</f>
        <v/>
      </c>
      <c r="L3738" s="4562">
        <f>XLOOKUP(B3738,'_Sys|Line_Map'!$A:$A,'_Sys|Line_Map'!$B:$B,"MISSING",0)</f>
        <v/>
      </c>
    </row>
    <row r="3739">
      <c r="A3739" s="4561" t="n"/>
      <c r="B3739" s="4561" t="n"/>
      <c r="C3739" s="4561" t="n"/>
      <c r="D3739" s="4561" t="n"/>
      <c r="E3739" s="4561" t="n"/>
      <c r="F3739" s="4561" t="n"/>
      <c r="G3739" s="4561" t="n"/>
      <c r="H3739" s="4561" t="n"/>
      <c r="I3739" s="4562">
        <f>XLOOKUP(B3739,'_Sys|Line_Map'!$A:$A,'_Sys|Line_Map'!$C:$C,"MISSING",0)</f>
        <v/>
      </c>
      <c r="J3739" s="4562">
        <f>XLOOKUP(B3739,'_Sys|Line_Map'!$A:$A,'_Sys|Line_Map'!$D:$D,1,0)</f>
        <v/>
      </c>
      <c r="K3739" s="4562">
        <f>IF(D3739="","",D3739*J3739)</f>
        <v/>
      </c>
      <c r="L3739" s="4562">
        <f>XLOOKUP(B3739,'_Sys|Line_Map'!$A:$A,'_Sys|Line_Map'!$B:$B,"MISSING",0)</f>
        <v/>
      </c>
    </row>
    <row r="3740">
      <c r="A3740" s="4561" t="n"/>
      <c r="B3740" s="4561" t="n"/>
      <c r="C3740" s="4561" t="n"/>
      <c r="D3740" s="4561" t="n"/>
      <c r="E3740" s="4561" t="n"/>
      <c r="F3740" s="4561" t="n"/>
      <c r="G3740" s="4561" t="n"/>
      <c r="H3740" s="4561" t="n"/>
      <c r="I3740" s="4562">
        <f>XLOOKUP(B3740,'_Sys|Line_Map'!$A:$A,'_Sys|Line_Map'!$C:$C,"MISSING",0)</f>
        <v/>
      </c>
      <c r="J3740" s="4562">
        <f>XLOOKUP(B3740,'_Sys|Line_Map'!$A:$A,'_Sys|Line_Map'!$D:$D,1,0)</f>
        <v/>
      </c>
      <c r="K3740" s="4562">
        <f>IF(D3740="","",D3740*J3740)</f>
        <v/>
      </c>
      <c r="L3740" s="4562">
        <f>XLOOKUP(B3740,'_Sys|Line_Map'!$A:$A,'_Sys|Line_Map'!$B:$B,"MISSING",0)</f>
        <v/>
      </c>
    </row>
    <row r="3741">
      <c r="A3741" s="4561" t="n"/>
      <c r="B3741" s="4561" t="n"/>
      <c r="C3741" s="4561" t="n"/>
      <c r="D3741" s="4561" t="n"/>
      <c r="E3741" s="4561" t="n"/>
      <c r="F3741" s="4561" t="n"/>
      <c r="G3741" s="4561" t="n"/>
      <c r="H3741" s="4561" t="n"/>
      <c r="I3741" s="4562">
        <f>XLOOKUP(B3741,'_Sys|Line_Map'!$A:$A,'_Sys|Line_Map'!$C:$C,"MISSING",0)</f>
        <v/>
      </c>
      <c r="J3741" s="4562">
        <f>XLOOKUP(B3741,'_Sys|Line_Map'!$A:$A,'_Sys|Line_Map'!$D:$D,1,0)</f>
        <v/>
      </c>
      <c r="K3741" s="4562">
        <f>IF(D3741="","",D3741*J3741)</f>
        <v/>
      </c>
      <c r="L3741" s="4562">
        <f>XLOOKUP(B3741,'_Sys|Line_Map'!$A:$A,'_Sys|Line_Map'!$B:$B,"MISSING",0)</f>
        <v/>
      </c>
    </row>
    <row r="3742">
      <c r="A3742" s="4561" t="n"/>
      <c r="B3742" s="4561" t="n"/>
      <c r="C3742" s="4561" t="n"/>
      <c r="D3742" s="4561" t="n"/>
      <c r="E3742" s="4561" t="n"/>
      <c r="F3742" s="4561" t="n"/>
      <c r="G3742" s="4561" t="n"/>
      <c r="H3742" s="4561" t="n"/>
      <c r="I3742" s="4562">
        <f>XLOOKUP(B3742,'_Sys|Line_Map'!$A:$A,'_Sys|Line_Map'!$C:$C,"MISSING",0)</f>
        <v/>
      </c>
      <c r="J3742" s="4562">
        <f>XLOOKUP(B3742,'_Sys|Line_Map'!$A:$A,'_Sys|Line_Map'!$D:$D,1,0)</f>
        <v/>
      </c>
      <c r="K3742" s="4562">
        <f>IF(D3742="","",D3742*J3742)</f>
        <v/>
      </c>
      <c r="L3742" s="4562">
        <f>XLOOKUP(B3742,'_Sys|Line_Map'!$A:$A,'_Sys|Line_Map'!$B:$B,"MISSING",0)</f>
        <v/>
      </c>
    </row>
    <row r="3743">
      <c r="A3743" s="4561" t="n"/>
      <c r="B3743" s="4561" t="n"/>
      <c r="C3743" s="4561" t="n"/>
      <c r="D3743" s="4561" t="n"/>
      <c r="E3743" s="4561" t="n"/>
      <c r="F3743" s="4561" t="n"/>
      <c r="G3743" s="4561" t="n"/>
      <c r="H3743" s="4561" t="n"/>
      <c r="I3743" s="4562">
        <f>XLOOKUP(B3743,'_Sys|Line_Map'!$A:$A,'_Sys|Line_Map'!$C:$C,"MISSING",0)</f>
        <v/>
      </c>
      <c r="J3743" s="4562">
        <f>XLOOKUP(B3743,'_Sys|Line_Map'!$A:$A,'_Sys|Line_Map'!$D:$D,1,0)</f>
        <v/>
      </c>
      <c r="K3743" s="4562">
        <f>IF(D3743="","",D3743*J3743)</f>
        <v/>
      </c>
      <c r="L3743" s="4562">
        <f>XLOOKUP(B3743,'_Sys|Line_Map'!$A:$A,'_Sys|Line_Map'!$B:$B,"MISSING",0)</f>
        <v/>
      </c>
    </row>
    <row r="3744">
      <c r="A3744" s="4561" t="n"/>
      <c r="B3744" s="4561" t="n"/>
      <c r="C3744" s="4561" t="n"/>
      <c r="D3744" s="4561" t="n"/>
      <c r="E3744" s="4561" t="n"/>
      <c r="F3744" s="4561" t="n"/>
      <c r="G3744" s="4561" t="n"/>
      <c r="H3744" s="4561" t="n"/>
      <c r="I3744" s="4562">
        <f>XLOOKUP(B3744,'_Sys|Line_Map'!$A:$A,'_Sys|Line_Map'!$C:$C,"MISSING",0)</f>
        <v/>
      </c>
      <c r="J3744" s="4562">
        <f>XLOOKUP(B3744,'_Sys|Line_Map'!$A:$A,'_Sys|Line_Map'!$D:$D,1,0)</f>
        <v/>
      </c>
      <c r="K3744" s="4562">
        <f>IF(D3744="","",D3744*J3744)</f>
        <v/>
      </c>
      <c r="L3744" s="4562">
        <f>XLOOKUP(B3744,'_Sys|Line_Map'!$A:$A,'_Sys|Line_Map'!$B:$B,"MISSING",0)</f>
        <v/>
      </c>
    </row>
    <row r="3745">
      <c r="A3745" s="4561" t="n"/>
      <c r="B3745" s="4561" t="n"/>
      <c r="C3745" s="4561" t="n"/>
      <c r="D3745" s="4561" t="n"/>
      <c r="E3745" s="4561" t="n"/>
      <c r="F3745" s="4561" t="n"/>
      <c r="G3745" s="4561" t="n"/>
      <c r="H3745" s="4561" t="n"/>
      <c r="I3745" s="4562">
        <f>XLOOKUP(B3745,'_Sys|Line_Map'!$A:$A,'_Sys|Line_Map'!$C:$C,"MISSING",0)</f>
        <v/>
      </c>
      <c r="J3745" s="4562">
        <f>XLOOKUP(B3745,'_Sys|Line_Map'!$A:$A,'_Sys|Line_Map'!$D:$D,1,0)</f>
        <v/>
      </c>
      <c r="K3745" s="4562">
        <f>IF(D3745="","",D3745*J3745)</f>
        <v/>
      </c>
      <c r="L3745" s="4562">
        <f>XLOOKUP(B3745,'_Sys|Line_Map'!$A:$A,'_Sys|Line_Map'!$B:$B,"MISSING",0)</f>
        <v/>
      </c>
    </row>
    <row r="3746">
      <c r="A3746" s="4561" t="n"/>
      <c r="B3746" s="4561" t="n"/>
      <c r="C3746" s="4561" t="n"/>
      <c r="D3746" s="4561" t="n"/>
      <c r="E3746" s="4561" t="n"/>
      <c r="F3746" s="4561" t="n"/>
      <c r="G3746" s="4561" t="n"/>
      <c r="H3746" s="4561" t="n"/>
      <c r="I3746" s="4562">
        <f>XLOOKUP(B3746,'_Sys|Line_Map'!$A:$A,'_Sys|Line_Map'!$C:$C,"MISSING",0)</f>
        <v/>
      </c>
      <c r="J3746" s="4562">
        <f>XLOOKUP(B3746,'_Sys|Line_Map'!$A:$A,'_Sys|Line_Map'!$D:$D,1,0)</f>
        <v/>
      </c>
      <c r="K3746" s="4562">
        <f>IF(D3746="","",D3746*J3746)</f>
        <v/>
      </c>
      <c r="L3746" s="4562">
        <f>XLOOKUP(B3746,'_Sys|Line_Map'!$A:$A,'_Sys|Line_Map'!$B:$B,"MISSING",0)</f>
        <v/>
      </c>
    </row>
    <row r="3747">
      <c r="A3747" s="4561" t="n"/>
      <c r="B3747" s="4561" t="n"/>
      <c r="C3747" s="4561" t="n"/>
      <c r="D3747" s="4561" t="n"/>
      <c r="E3747" s="4561" t="n"/>
      <c r="F3747" s="4561" t="n"/>
      <c r="G3747" s="4561" t="n"/>
      <c r="H3747" s="4561" t="n"/>
      <c r="I3747" s="4562">
        <f>XLOOKUP(B3747,'_Sys|Line_Map'!$A:$A,'_Sys|Line_Map'!$C:$C,"MISSING",0)</f>
        <v/>
      </c>
      <c r="J3747" s="4562">
        <f>XLOOKUP(B3747,'_Sys|Line_Map'!$A:$A,'_Sys|Line_Map'!$D:$D,1,0)</f>
        <v/>
      </c>
      <c r="K3747" s="4562">
        <f>IF(D3747="","",D3747*J3747)</f>
        <v/>
      </c>
      <c r="L3747" s="4562">
        <f>XLOOKUP(B3747,'_Sys|Line_Map'!$A:$A,'_Sys|Line_Map'!$B:$B,"MISSING",0)</f>
        <v/>
      </c>
    </row>
    <row r="3748">
      <c r="A3748" s="4561" t="n"/>
      <c r="B3748" s="4561" t="n"/>
      <c r="C3748" s="4561" t="n"/>
      <c r="D3748" s="4561" t="n"/>
      <c r="E3748" s="4561" t="n"/>
      <c r="F3748" s="4561" t="n"/>
      <c r="G3748" s="4561" t="n"/>
      <c r="H3748" s="4561" t="n"/>
      <c r="I3748" s="4562">
        <f>XLOOKUP(B3748,'_Sys|Line_Map'!$A:$A,'_Sys|Line_Map'!$C:$C,"MISSING",0)</f>
        <v/>
      </c>
      <c r="J3748" s="4562">
        <f>XLOOKUP(B3748,'_Sys|Line_Map'!$A:$A,'_Sys|Line_Map'!$D:$D,1,0)</f>
        <v/>
      </c>
      <c r="K3748" s="4562">
        <f>IF(D3748="","",D3748*J3748)</f>
        <v/>
      </c>
      <c r="L3748" s="4562">
        <f>XLOOKUP(B3748,'_Sys|Line_Map'!$A:$A,'_Sys|Line_Map'!$B:$B,"MISSING",0)</f>
        <v/>
      </c>
    </row>
    <row r="3749">
      <c r="A3749" s="4561" t="n"/>
      <c r="B3749" s="4561" t="n"/>
      <c r="C3749" s="4561" t="n"/>
      <c r="D3749" s="4561" t="n"/>
      <c r="E3749" s="4561" t="n"/>
      <c r="F3749" s="4561" t="n"/>
      <c r="G3749" s="4561" t="n"/>
      <c r="H3749" s="4561" t="n"/>
      <c r="I3749" s="4562">
        <f>XLOOKUP(B3749,'_Sys|Line_Map'!$A:$A,'_Sys|Line_Map'!$C:$C,"MISSING",0)</f>
        <v/>
      </c>
      <c r="J3749" s="4562">
        <f>XLOOKUP(B3749,'_Sys|Line_Map'!$A:$A,'_Sys|Line_Map'!$D:$D,1,0)</f>
        <v/>
      </c>
      <c r="K3749" s="4562">
        <f>IF(D3749="","",D3749*J3749)</f>
        <v/>
      </c>
      <c r="L3749" s="4562">
        <f>XLOOKUP(B3749,'_Sys|Line_Map'!$A:$A,'_Sys|Line_Map'!$B:$B,"MISSING",0)</f>
        <v/>
      </c>
    </row>
    <row r="3750">
      <c r="A3750" s="4561" t="n"/>
      <c r="B3750" s="4561" t="n"/>
      <c r="C3750" s="4561" t="n"/>
      <c r="D3750" s="4561" t="n"/>
      <c r="E3750" s="4561" t="n"/>
      <c r="F3750" s="4561" t="n"/>
      <c r="G3750" s="4561" t="n"/>
      <c r="H3750" s="4561" t="n"/>
      <c r="I3750" s="4562">
        <f>XLOOKUP(B3750,'_Sys|Line_Map'!$A:$A,'_Sys|Line_Map'!$C:$C,"MISSING",0)</f>
        <v/>
      </c>
      <c r="J3750" s="4562">
        <f>XLOOKUP(B3750,'_Sys|Line_Map'!$A:$A,'_Sys|Line_Map'!$D:$D,1,0)</f>
        <v/>
      </c>
      <c r="K3750" s="4562">
        <f>IF(D3750="","",D3750*J3750)</f>
        <v/>
      </c>
      <c r="L3750" s="4562">
        <f>XLOOKUP(B3750,'_Sys|Line_Map'!$A:$A,'_Sys|Line_Map'!$B:$B,"MISSING",0)</f>
        <v/>
      </c>
    </row>
    <row r="3751">
      <c r="A3751" s="4561" t="n"/>
      <c r="B3751" s="4561" t="n"/>
      <c r="C3751" s="4561" t="n"/>
      <c r="D3751" s="4561" t="n"/>
      <c r="E3751" s="4561" t="n"/>
      <c r="F3751" s="4561" t="n"/>
      <c r="G3751" s="4561" t="n"/>
      <c r="H3751" s="4561" t="n"/>
      <c r="I3751" s="4562">
        <f>XLOOKUP(B3751,'_Sys|Line_Map'!$A:$A,'_Sys|Line_Map'!$C:$C,"MISSING",0)</f>
        <v/>
      </c>
      <c r="J3751" s="4562">
        <f>XLOOKUP(B3751,'_Sys|Line_Map'!$A:$A,'_Sys|Line_Map'!$D:$D,1,0)</f>
        <v/>
      </c>
      <c r="K3751" s="4562">
        <f>IF(D3751="","",D3751*J3751)</f>
        <v/>
      </c>
      <c r="L3751" s="4562">
        <f>XLOOKUP(B3751,'_Sys|Line_Map'!$A:$A,'_Sys|Line_Map'!$B:$B,"MISSING",0)</f>
        <v/>
      </c>
    </row>
    <row r="3752">
      <c r="A3752" s="4561" t="n"/>
      <c r="B3752" s="4561" t="n"/>
      <c r="C3752" s="4561" t="n"/>
      <c r="D3752" s="4561" t="n"/>
      <c r="E3752" s="4561" t="n"/>
      <c r="F3752" s="4561" t="n"/>
      <c r="G3752" s="4561" t="n"/>
      <c r="H3752" s="4561" t="n"/>
      <c r="I3752" s="4562">
        <f>XLOOKUP(B3752,'_Sys|Line_Map'!$A:$A,'_Sys|Line_Map'!$C:$C,"MISSING",0)</f>
        <v/>
      </c>
      <c r="J3752" s="4562">
        <f>XLOOKUP(B3752,'_Sys|Line_Map'!$A:$A,'_Sys|Line_Map'!$D:$D,1,0)</f>
        <v/>
      </c>
      <c r="K3752" s="4562">
        <f>IF(D3752="","",D3752*J3752)</f>
        <v/>
      </c>
      <c r="L3752" s="4562">
        <f>XLOOKUP(B3752,'_Sys|Line_Map'!$A:$A,'_Sys|Line_Map'!$B:$B,"MISSING",0)</f>
        <v/>
      </c>
    </row>
    <row r="3753">
      <c r="A3753" s="4561" t="n"/>
      <c r="B3753" s="4561" t="n"/>
      <c r="C3753" s="4561" t="n"/>
      <c r="D3753" s="4561" t="n"/>
      <c r="E3753" s="4561" t="n"/>
      <c r="F3753" s="4561" t="n"/>
      <c r="G3753" s="4561" t="n"/>
      <c r="H3753" s="4561" t="n"/>
      <c r="I3753" s="4562">
        <f>XLOOKUP(B3753,'_Sys|Line_Map'!$A:$A,'_Sys|Line_Map'!$C:$C,"MISSING",0)</f>
        <v/>
      </c>
      <c r="J3753" s="4562">
        <f>XLOOKUP(B3753,'_Sys|Line_Map'!$A:$A,'_Sys|Line_Map'!$D:$D,1,0)</f>
        <v/>
      </c>
      <c r="K3753" s="4562">
        <f>IF(D3753="","",D3753*J3753)</f>
        <v/>
      </c>
      <c r="L3753" s="4562">
        <f>XLOOKUP(B3753,'_Sys|Line_Map'!$A:$A,'_Sys|Line_Map'!$B:$B,"MISSING",0)</f>
        <v/>
      </c>
    </row>
    <row r="3754">
      <c r="A3754" s="4561" t="n"/>
      <c r="B3754" s="4561" t="n"/>
      <c r="C3754" s="4561" t="n"/>
      <c r="D3754" s="4561" t="n"/>
      <c r="E3754" s="4561" t="n"/>
      <c r="F3754" s="4561" t="n"/>
      <c r="G3754" s="4561" t="n"/>
      <c r="H3754" s="4561" t="n"/>
      <c r="I3754" s="4562">
        <f>XLOOKUP(B3754,'_Sys|Line_Map'!$A:$A,'_Sys|Line_Map'!$C:$C,"MISSING",0)</f>
        <v/>
      </c>
      <c r="J3754" s="4562">
        <f>XLOOKUP(B3754,'_Sys|Line_Map'!$A:$A,'_Sys|Line_Map'!$D:$D,1,0)</f>
        <v/>
      </c>
      <c r="K3754" s="4562">
        <f>IF(D3754="","",D3754*J3754)</f>
        <v/>
      </c>
      <c r="L3754" s="4562">
        <f>XLOOKUP(B3754,'_Sys|Line_Map'!$A:$A,'_Sys|Line_Map'!$B:$B,"MISSING",0)</f>
        <v/>
      </c>
    </row>
    <row r="3755">
      <c r="A3755" s="4561" t="n"/>
      <c r="B3755" s="4561" t="n"/>
      <c r="C3755" s="4561" t="n"/>
      <c r="D3755" s="4561" t="n"/>
      <c r="E3755" s="4561" t="n"/>
      <c r="F3755" s="4561" t="n"/>
      <c r="G3755" s="4561" t="n"/>
      <c r="H3755" s="4561" t="n"/>
      <c r="I3755" s="4562">
        <f>XLOOKUP(B3755,'_Sys|Line_Map'!$A:$A,'_Sys|Line_Map'!$C:$C,"MISSING",0)</f>
        <v/>
      </c>
      <c r="J3755" s="4562">
        <f>XLOOKUP(B3755,'_Sys|Line_Map'!$A:$A,'_Sys|Line_Map'!$D:$D,1,0)</f>
        <v/>
      </c>
      <c r="K3755" s="4562">
        <f>IF(D3755="","",D3755*J3755)</f>
        <v/>
      </c>
      <c r="L3755" s="4562">
        <f>XLOOKUP(B3755,'_Sys|Line_Map'!$A:$A,'_Sys|Line_Map'!$B:$B,"MISSING",0)</f>
        <v/>
      </c>
    </row>
    <row r="3756">
      <c r="A3756" s="4561" t="n"/>
      <c r="B3756" s="4561" t="n"/>
      <c r="C3756" s="4561" t="n"/>
      <c r="D3756" s="4561" t="n"/>
      <c r="E3756" s="4561" t="n"/>
      <c r="F3756" s="4561" t="n"/>
      <c r="G3756" s="4561" t="n"/>
      <c r="H3756" s="4561" t="n"/>
      <c r="I3756" s="4562">
        <f>XLOOKUP(B3756,'_Sys|Line_Map'!$A:$A,'_Sys|Line_Map'!$C:$C,"MISSING",0)</f>
        <v/>
      </c>
      <c r="J3756" s="4562">
        <f>XLOOKUP(B3756,'_Sys|Line_Map'!$A:$A,'_Sys|Line_Map'!$D:$D,1,0)</f>
        <v/>
      </c>
      <c r="K3756" s="4562">
        <f>IF(D3756="","",D3756*J3756)</f>
        <v/>
      </c>
      <c r="L3756" s="4562">
        <f>XLOOKUP(B3756,'_Sys|Line_Map'!$A:$A,'_Sys|Line_Map'!$B:$B,"MISSING",0)</f>
        <v/>
      </c>
    </row>
    <row r="3757">
      <c r="A3757" s="4561" t="n"/>
      <c r="B3757" s="4561" t="n"/>
      <c r="C3757" s="4561" t="n"/>
      <c r="D3757" s="4561" t="n"/>
      <c r="E3757" s="4561" t="n"/>
      <c r="F3757" s="4561" t="n"/>
      <c r="G3757" s="4561" t="n"/>
      <c r="H3757" s="4561" t="n"/>
      <c r="I3757" s="4562">
        <f>XLOOKUP(B3757,'_Sys|Line_Map'!$A:$A,'_Sys|Line_Map'!$C:$C,"MISSING",0)</f>
        <v/>
      </c>
      <c r="J3757" s="4562">
        <f>XLOOKUP(B3757,'_Sys|Line_Map'!$A:$A,'_Sys|Line_Map'!$D:$D,1,0)</f>
        <v/>
      </c>
      <c r="K3757" s="4562">
        <f>IF(D3757="","",D3757*J3757)</f>
        <v/>
      </c>
      <c r="L3757" s="4562">
        <f>XLOOKUP(B3757,'_Sys|Line_Map'!$A:$A,'_Sys|Line_Map'!$B:$B,"MISSING",0)</f>
        <v/>
      </c>
    </row>
    <row r="3758">
      <c r="A3758" s="4561" t="n"/>
      <c r="B3758" s="4561" t="n"/>
      <c r="C3758" s="4561" t="n"/>
      <c r="D3758" s="4561" t="n"/>
      <c r="E3758" s="4561" t="n"/>
      <c r="F3758" s="4561" t="n"/>
      <c r="G3758" s="4561" t="n"/>
      <c r="H3758" s="4561" t="n"/>
      <c r="I3758" s="4562">
        <f>XLOOKUP(B3758,'_Sys|Line_Map'!$A:$A,'_Sys|Line_Map'!$C:$C,"MISSING",0)</f>
        <v/>
      </c>
      <c r="J3758" s="4562">
        <f>XLOOKUP(B3758,'_Sys|Line_Map'!$A:$A,'_Sys|Line_Map'!$D:$D,1,0)</f>
        <v/>
      </c>
      <c r="K3758" s="4562">
        <f>IF(D3758="","",D3758*J3758)</f>
        <v/>
      </c>
      <c r="L3758" s="4562">
        <f>XLOOKUP(B3758,'_Sys|Line_Map'!$A:$A,'_Sys|Line_Map'!$B:$B,"MISSING",0)</f>
        <v/>
      </c>
    </row>
    <row r="3759">
      <c r="A3759" s="4561" t="n"/>
      <c r="B3759" s="4561" t="n"/>
      <c r="C3759" s="4561" t="n"/>
      <c r="D3759" s="4561" t="n"/>
      <c r="E3759" s="4561" t="n"/>
      <c r="F3759" s="4561" t="n"/>
      <c r="G3759" s="4561" t="n"/>
      <c r="H3759" s="4561" t="n"/>
      <c r="I3759" s="4562">
        <f>XLOOKUP(B3759,'_Sys|Line_Map'!$A:$A,'_Sys|Line_Map'!$C:$C,"MISSING",0)</f>
        <v/>
      </c>
      <c r="J3759" s="4562">
        <f>XLOOKUP(B3759,'_Sys|Line_Map'!$A:$A,'_Sys|Line_Map'!$D:$D,1,0)</f>
        <v/>
      </c>
      <c r="K3759" s="4562">
        <f>IF(D3759="","",D3759*J3759)</f>
        <v/>
      </c>
      <c r="L3759" s="4562">
        <f>XLOOKUP(B3759,'_Sys|Line_Map'!$A:$A,'_Sys|Line_Map'!$B:$B,"MISSING",0)</f>
        <v/>
      </c>
    </row>
    <row r="3760">
      <c r="A3760" s="4561" t="n"/>
      <c r="B3760" s="4561" t="n"/>
      <c r="C3760" s="4561" t="n"/>
      <c r="D3760" s="4561" t="n"/>
      <c r="E3760" s="4561" t="n"/>
      <c r="F3760" s="4561" t="n"/>
      <c r="G3760" s="4561" t="n"/>
      <c r="H3760" s="4561" t="n"/>
      <c r="I3760" s="4562">
        <f>XLOOKUP(B3760,'_Sys|Line_Map'!$A:$A,'_Sys|Line_Map'!$C:$C,"MISSING",0)</f>
        <v/>
      </c>
      <c r="J3760" s="4562">
        <f>XLOOKUP(B3760,'_Sys|Line_Map'!$A:$A,'_Sys|Line_Map'!$D:$D,1,0)</f>
        <v/>
      </c>
      <c r="K3760" s="4562">
        <f>IF(D3760="","",D3760*J3760)</f>
        <v/>
      </c>
      <c r="L3760" s="4562">
        <f>XLOOKUP(B3760,'_Sys|Line_Map'!$A:$A,'_Sys|Line_Map'!$B:$B,"MISSING",0)</f>
        <v/>
      </c>
    </row>
    <row r="3761">
      <c r="A3761" s="4561" t="n"/>
      <c r="B3761" s="4561" t="n"/>
      <c r="C3761" s="4561" t="n"/>
      <c r="D3761" s="4561" t="n"/>
      <c r="E3761" s="4561" t="n"/>
      <c r="F3761" s="4561" t="n"/>
      <c r="G3761" s="4561" t="n"/>
      <c r="H3761" s="4561" t="n"/>
      <c r="I3761" s="4562">
        <f>XLOOKUP(B3761,'_Sys|Line_Map'!$A:$A,'_Sys|Line_Map'!$C:$C,"MISSING",0)</f>
        <v/>
      </c>
      <c r="J3761" s="4562">
        <f>XLOOKUP(B3761,'_Sys|Line_Map'!$A:$A,'_Sys|Line_Map'!$D:$D,1,0)</f>
        <v/>
      </c>
      <c r="K3761" s="4562">
        <f>IF(D3761="","",D3761*J3761)</f>
        <v/>
      </c>
      <c r="L3761" s="4562">
        <f>XLOOKUP(B3761,'_Sys|Line_Map'!$A:$A,'_Sys|Line_Map'!$B:$B,"MISSING",0)</f>
        <v/>
      </c>
    </row>
    <row r="3762">
      <c r="A3762" s="4561" t="n"/>
      <c r="B3762" s="4561" t="n"/>
      <c r="C3762" s="4561" t="n"/>
      <c r="D3762" s="4561" t="n"/>
      <c r="E3762" s="4561" t="n"/>
      <c r="F3762" s="4561" t="n"/>
      <c r="G3762" s="4561" t="n"/>
      <c r="H3762" s="4561" t="n"/>
      <c r="I3762" s="4562">
        <f>XLOOKUP(B3762,'_Sys|Line_Map'!$A:$A,'_Sys|Line_Map'!$C:$C,"MISSING",0)</f>
        <v/>
      </c>
      <c r="J3762" s="4562">
        <f>XLOOKUP(B3762,'_Sys|Line_Map'!$A:$A,'_Sys|Line_Map'!$D:$D,1,0)</f>
        <v/>
      </c>
      <c r="K3762" s="4562">
        <f>IF(D3762="","",D3762*J3762)</f>
        <v/>
      </c>
      <c r="L3762" s="4562">
        <f>XLOOKUP(B3762,'_Sys|Line_Map'!$A:$A,'_Sys|Line_Map'!$B:$B,"MISSING",0)</f>
        <v/>
      </c>
    </row>
    <row r="3763">
      <c r="A3763" s="4561" t="n"/>
      <c r="B3763" s="4561" t="n"/>
      <c r="C3763" s="4561" t="n"/>
      <c r="D3763" s="4561" t="n"/>
      <c r="E3763" s="4561" t="n"/>
      <c r="F3763" s="4561" t="n"/>
      <c r="G3763" s="4561" t="n"/>
      <c r="H3763" s="4561" t="n"/>
      <c r="I3763" s="4562">
        <f>XLOOKUP(B3763,'_Sys|Line_Map'!$A:$A,'_Sys|Line_Map'!$C:$C,"MISSING",0)</f>
        <v/>
      </c>
      <c r="J3763" s="4562">
        <f>XLOOKUP(B3763,'_Sys|Line_Map'!$A:$A,'_Sys|Line_Map'!$D:$D,1,0)</f>
        <v/>
      </c>
      <c r="K3763" s="4562">
        <f>IF(D3763="","",D3763*J3763)</f>
        <v/>
      </c>
      <c r="L3763" s="4562">
        <f>XLOOKUP(B3763,'_Sys|Line_Map'!$A:$A,'_Sys|Line_Map'!$B:$B,"MISSING",0)</f>
        <v/>
      </c>
    </row>
    <row r="3764">
      <c r="A3764" s="4561" t="n"/>
      <c r="B3764" s="4561" t="n"/>
      <c r="C3764" s="4561" t="n"/>
      <c r="D3764" s="4561" t="n"/>
      <c r="E3764" s="4561" t="n"/>
      <c r="F3764" s="4561" t="n"/>
      <c r="G3764" s="4561" t="n"/>
      <c r="H3764" s="4561" t="n"/>
      <c r="I3764" s="4562">
        <f>XLOOKUP(B3764,'_Sys|Line_Map'!$A:$A,'_Sys|Line_Map'!$C:$C,"MISSING",0)</f>
        <v/>
      </c>
      <c r="J3764" s="4562">
        <f>XLOOKUP(B3764,'_Sys|Line_Map'!$A:$A,'_Sys|Line_Map'!$D:$D,1,0)</f>
        <v/>
      </c>
      <c r="K3764" s="4562">
        <f>IF(D3764="","",D3764*J3764)</f>
        <v/>
      </c>
      <c r="L3764" s="4562">
        <f>XLOOKUP(B3764,'_Sys|Line_Map'!$A:$A,'_Sys|Line_Map'!$B:$B,"MISSING",0)</f>
        <v/>
      </c>
    </row>
    <row r="3765">
      <c r="A3765" s="4561" t="n"/>
      <c r="B3765" s="4561" t="n"/>
      <c r="C3765" s="4561" t="n"/>
      <c r="D3765" s="4561" t="n"/>
      <c r="E3765" s="4561" t="n"/>
      <c r="F3765" s="4561" t="n"/>
      <c r="G3765" s="4561" t="n"/>
      <c r="H3765" s="4561" t="n"/>
      <c r="I3765" s="4562">
        <f>XLOOKUP(B3765,'_Sys|Line_Map'!$A:$A,'_Sys|Line_Map'!$C:$C,"MISSING",0)</f>
        <v/>
      </c>
      <c r="J3765" s="4562">
        <f>XLOOKUP(B3765,'_Sys|Line_Map'!$A:$A,'_Sys|Line_Map'!$D:$D,1,0)</f>
        <v/>
      </c>
      <c r="K3765" s="4562">
        <f>IF(D3765="","",D3765*J3765)</f>
        <v/>
      </c>
      <c r="L3765" s="4562">
        <f>XLOOKUP(B3765,'_Sys|Line_Map'!$A:$A,'_Sys|Line_Map'!$B:$B,"MISSING",0)</f>
        <v/>
      </c>
    </row>
    <row r="3766">
      <c r="A3766" s="4561" t="n"/>
      <c r="B3766" s="4561" t="n"/>
      <c r="C3766" s="4561" t="n"/>
      <c r="D3766" s="4561" t="n"/>
      <c r="E3766" s="4561" t="n"/>
      <c r="F3766" s="4561" t="n"/>
      <c r="G3766" s="4561" t="n"/>
      <c r="H3766" s="4561" t="n"/>
      <c r="I3766" s="4562">
        <f>XLOOKUP(B3766,'_Sys|Line_Map'!$A:$A,'_Sys|Line_Map'!$C:$C,"MISSING",0)</f>
        <v/>
      </c>
      <c r="J3766" s="4562">
        <f>XLOOKUP(B3766,'_Sys|Line_Map'!$A:$A,'_Sys|Line_Map'!$D:$D,1,0)</f>
        <v/>
      </c>
      <c r="K3766" s="4562">
        <f>IF(D3766="","",D3766*J3766)</f>
        <v/>
      </c>
      <c r="L3766" s="4562">
        <f>XLOOKUP(B3766,'_Sys|Line_Map'!$A:$A,'_Sys|Line_Map'!$B:$B,"MISSING",0)</f>
        <v/>
      </c>
    </row>
    <row r="3767">
      <c r="A3767" s="4561" t="n"/>
      <c r="B3767" s="4561" t="n"/>
      <c r="C3767" s="4561" t="n"/>
      <c r="D3767" s="4561" t="n"/>
      <c r="E3767" s="4561" t="n"/>
      <c r="F3767" s="4561" t="n"/>
      <c r="G3767" s="4561" t="n"/>
      <c r="H3767" s="4561" t="n"/>
      <c r="I3767" s="4562">
        <f>XLOOKUP(B3767,'_Sys|Line_Map'!$A:$A,'_Sys|Line_Map'!$C:$C,"MISSING",0)</f>
        <v/>
      </c>
      <c r="J3767" s="4562">
        <f>XLOOKUP(B3767,'_Sys|Line_Map'!$A:$A,'_Sys|Line_Map'!$D:$D,1,0)</f>
        <v/>
      </c>
      <c r="K3767" s="4562">
        <f>IF(D3767="","",D3767*J3767)</f>
        <v/>
      </c>
      <c r="L3767" s="4562">
        <f>XLOOKUP(B3767,'_Sys|Line_Map'!$A:$A,'_Sys|Line_Map'!$B:$B,"MISSING",0)</f>
        <v/>
      </c>
    </row>
    <row r="3768">
      <c r="A3768" s="4561" t="n"/>
      <c r="B3768" s="4561" t="n"/>
      <c r="C3768" s="4561" t="n"/>
      <c r="D3768" s="4561" t="n"/>
      <c r="E3768" s="4561" t="n"/>
      <c r="F3768" s="4561" t="n"/>
      <c r="G3768" s="4561" t="n"/>
      <c r="H3768" s="4561" t="n"/>
      <c r="I3768" s="4562">
        <f>XLOOKUP(B3768,'_Sys|Line_Map'!$A:$A,'_Sys|Line_Map'!$C:$C,"MISSING",0)</f>
        <v/>
      </c>
      <c r="J3768" s="4562">
        <f>XLOOKUP(B3768,'_Sys|Line_Map'!$A:$A,'_Sys|Line_Map'!$D:$D,1,0)</f>
        <v/>
      </c>
      <c r="K3768" s="4562">
        <f>IF(D3768="","",D3768*J3768)</f>
        <v/>
      </c>
      <c r="L3768" s="4562">
        <f>XLOOKUP(B3768,'_Sys|Line_Map'!$A:$A,'_Sys|Line_Map'!$B:$B,"MISSING",0)</f>
        <v/>
      </c>
    </row>
    <row r="3769">
      <c r="A3769" s="4561" t="n"/>
      <c r="B3769" s="4561" t="n"/>
      <c r="C3769" s="4561" t="n"/>
      <c r="D3769" s="4561" t="n"/>
      <c r="E3769" s="4561" t="n"/>
      <c r="F3769" s="4561" t="n"/>
      <c r="G3769" s="4561" t="n"/>
      <c r="H3769" s="4561" t="n"/>
      <c r="I3769" s="4562">
        <f>XLOOKUP(B3769,'_Sys|Line_Map'!$A:$A,'_Sys|Line_Map'!$C:$C,"MISSING",0)</f>
        <v/>
      </c>
      <c r="J3769" s="4562">
        <f>XLOOKUP(B3769,'_Sys|Line_Map'!$A:$A,'_Sys|Line_Map'!$D:$D,1,0)</f>
        <v/>
      </c>
      <c r="K3769" s="4562">
        <f>IF(D3769="","",D3769*J3769)</f>
        <v/>
      </c>
      <c r="L3769" s="4562">
        <f>XLOOKUP(B3769,'_Sys|Line_Map'!$A:$A,'_Sys|Line_Map'!$B:$B,"MISSING",0)</f>
        <v/>
      </c>
    </row>
    <row r="3770">
      <c r="A3770" s="4561" t="n"/>
      <c r="B3770" s="4561" t="n"/>
      <c r="C3770" s="4561" t="n"/>
      <c r="D3770" s="4561" t="n"/>
      <c r="E3770" s="4561" t="n"/>
      <c r="F3770" s="4561" t="n"/>
      <c r="G3770" s="4561" t="n"/>
      <c r="H3770" s="4561" t="n"/>
      <c r="I3770" s="4562">
        <f>XLOOKUP(B3770,'_Sys|Line_Map'!$A:$A,'_Sys|Line_Map'!$C:$C,"MISSING",0)</f>
        <v/>
      </c>
      <c r="J3770" s="4562">
        <f>XLOOKUP(B3770,'_Sys|Line_Map'!$A:$A,'_Sys|Line_Map'!$D:$D,1,0)</f>
        <v/>
      </c>
      <c r="K3770" s="4562">
        <f>IF(D3770="","",D3770*J3770)</f>
        <v/>
      </c>
      <c r="L3770" s="4562">
        <f>XLOOKUP(B3770,'_Sys|Line_Map'!$A:$A,'_Sys|Line_Map'!$B:$B,"MISSING",0)</f>
        <v/>
      </c>
    </row>
    <row r="3771">
      <c r="A3771" s="4561" t="n"/>
      <c r="B3771" s="4561" t="n"/>
      <c r="C3771" s="4561" t="n"/>
      <c r="D3771" s="4561" t="n"/>
      <c r="E3771" s="4561" t="n"/>
      <c r="F3771" s="4561" t="n"/>
      <c r="G3771" s="4561" t="n"/>
      <c r="H3771" s="4561" t="n"/>
      <c r="I3771" s="4562">
        <f>XLOOKUP(B3771,'_Sys|Line_Map'!$A:$A,'_Sys|Line_Map'!$C:$C,"MISSING",0)</f>
        <v/>
      </c>
      <c r="J3771" s="4562">
        <f>XLOOKUP(B3771,'_Sys|Line_Map'!$A:$A,'_Sys|Line_Map'!$D:$D,1,0)</f>
        <v/>
      </c>
      <c r="K3771" s="4562">
        <f>IF(D3771="","",D3771*J3771)</f>
        <v/>
      </c>
      <c r="L3771" s="4562">
        <f>XLOOKUP(B3771,'_Sys|Line_Map'!$A:$A,'_Sys|Line_Map'!$B:$B,"MISSING",0)</f>
        <v/>
      </c>
    </row>
    <row r="3772">
      <c r="A3772" s="4561" t="n"/>
      <c r="B3772" s="4561" t="n"/>
      <c r="C3772" s="4561" t="n"/>
      <c r="D3772" s="4561" t="n"/>
      <c r="E3772" s="4561" t="n"/>
      <c r="F3772" s="4561" t="n"/>
      <c r="G3772" s="4561" t="n"/>
      <c r="H3772" s="4561" t="n"/>
      <c r="I3772" s="4562">
        <f>XLOOKUP(B3772,'_Sys|Line_Map'!$A:$A,'_Sys|Line_Map'!$C:$C,"MISSING",0)</f>
        <v/>
      </c>
      <c r="J3772" s="4562">
        <f>XLOOKUP(B3772,'_Sys|Line_Map'!$A:$A,'_Sys|Line_Map'!$D:$D,1,0)</f>
        <v/>
      </c>
      <c r="K3772" s="4562">
        <f>IF(D3772="","",D3772*J3772)</f>
        <v/>
      </c>
      <c r="L3772" s="4562">
        <f>XLOOKUP(B3772,'_Sys|Line_Map'!$A:$A,'_Sys|Line_Map'!$B:$B,"MISSING",0)</f>
        <v/>
      </c>
    </row>
    <row r="3773">
      <c r="A3773" s="4561" t="n"/>
      <c r="B3773" s="4561" t="n"/>
      <c r="C3773" s="4561" t="n"/>
      <c r="D3773" s="4561" t="n"/>
      <c r="E3773" s="4561" t="n"/>
      <c r="F3773" s="4561" t="n"/>
      <c r="G3773" s="4561" t="n"/>
      <c r="H3773" s="4561" t="n"/>
      <c r="I3773" s="4562">
        <f>XLOOKUP(B3773,'_Sys|Line_Map'!$A:$A,'_Sys|Line_Map'!$C:$C,"MISSING",0)</f>
        <v/>
      </c>
      <c r="J3773" s="4562">
        <f>XLOOKUP(B3773,'_Sys|Line_Map'!$A:$A,'_Sys|Line_Map'!$D:$D,1,0)</f>
        <v/>
      </c>
      <c r="K3773" s="4562">
        <f>IF(D3773="","",D3773*J3773)</f>
        <v/>
      </c>
      <c r="L3773" s="4562">
        <f>XLOOKUP(B3773,'_Sys|Line_Map'!$A:$A,'_Sys|Line_Map'!$B:$B,"MISSING",0)</f>
        <v/>
      </c>
    </row>
    <row r="3774">
      <c r="A3774" s="4561" t="n"/>
      <c r="B3774" s="4561" t="n"/>
      <c r="C3774" s="4561" t="n"/>
      <c r="D3774" s="4561" t="n"/>
      <c r="E3774" s="4561" t="n"/>
      <c r="F3774" s="4561" t="n"/>
      <c r="G3774" s="4561" t="n"/>
      <c r="H3774" s="4561" t="n"/>
      <c r="I3774" s="4562">
        <f>XLOOKUP(B3774,'_Sys|Line_Map'!$A:$A,'_Sys|Line_Map'!$C:$C,"MISSING",0)</f>
        <v/>
      </c>
      <c r="J3774" s="4562">
        <f>XLOOKUP(B3774,'_Sys|Line_Map'!$A:$A,'_Sys|Line_Map'!$D:$D,1,0)</f>
        <v/>
      </c>
      <c r="K3774" s="4562">
        <f>IF(D3774="","",D3774*J3774)</f>
        <v/>
      </c>
      <c r="L3774" s="4562">
        <f>XLOOKUP(B3774,'_Sys|Line_Map'!$A:$A,'_Sys|Line_Map'!$B:$B,"MISSING",0)</f>
        <v/>
      </c>
    </row>
    <row r="3775">
      <c r="A3775" s="4561" t="n"/>
      <c r="B3775" s="4561" t="n"/>
      <c r="C3775" s="4561" t="n"/>
      <c r="D3775" s="4561" t="n"/>
      <c r="E3775" s="4561" t="n"/>
      <c r="F3775" s="4561" t="n"/>
      <c r="G3775" s="4561" t="n"/>
      <c r="H3775" s="4561" t="n"/>
      <c r="I3775" s="4562">
        <f>XLOOKUP(B3775,'_Sys|Line_Map'!$A:$A,'_Sys|Line_Map'!$C:$C,"MISSING",0)</f>
        <v/>
      </c>
      <c r="J3775" s="4562">
        <f>XLOOKUP(B3775,'_Sys|Line_Map'!$A:$A,'_Sys|Line_Map'!$D:$D,1,0)</f>
        <v/>
      </c>
      <c r="K3775" s="4562">
        <f>IF(D3775="","",D3775*J3775)</f>
        <v/>
      </c>
      <c r="L3775" s="4562">
        <f>XLOOKUP(B3775,'_Sys|Line_Map'!$A:$A,'_Sys|Line_Map'!$B:$B,"MISSING",0)</f>
        <v/>
      </c>
    </row>
    <row r="3776">
      <c r="A3776" s="4561" t="n"/>
      <c r="B3776" s="4561" t="n"/>
      <c r="C3776" s="4561" t="n"/>
      <c r="D3776" s="4561" t="n"/>
      <c r="E3776" s="4561" t="n"/>
      <c r="F3776" s="4561" t="n"/>
      <c r="G3776" s="4561" t="n"/>
      <c r="H3776" s="4561" t="n"/>
      <c r="I3776" s="4562">
        <f>XLOOKUP(B3776,'_Sys|Line_Map'!$A:$A,'_Sys|Line_Map'!$C:$C,"MISSING",0)</f>
        <v/>
      </c>
      <c r="J3776" s="4562">
        <f>XLOOKUP(B3776,'_Sys|Line_Map'!$A:$A,'_Sys|Line_Map'!$D:$D,1,0)</f>
        <v/>
      </c>
      <c r="K3776" s="4562">
        <f>IF(D3776="","",D3776*J3776)</f>
        <v/>
      </c>
      <c r="L3776" s="4562">
        <f>XLOOKUP(B3776,'_Sys|Line_Map'!$A:$A,'_Sys|Line_Map'!$B:$B,"MISSING",0)</f>
        <v/>
      </c>
    </row>
    <row r="3777">
      <c r="A3777" s="4561" t="n"/>
      <c r="B3777" s="4561" t="n"/>
      <c r="C3777" s="4561" t="n"/>
      <c r="D3777" s="4561" t="n"/>
      <c r="E3777" s="4561" t="n"/>
      <c r="F3777" s="4561" t="n"/>
      <c r="G3777" s="4561" t="n"/>
      <c r="H3777" s="4561" t="n"/>
      <c r="I3777" s="4562">
        <f>XLOOKUP(B3777,'_Sys|Line_Map'!$A:$A,'_Sys|Line_Map'!$C:$C,"MISSING",0)</f>
        <v/>
      </c>
      <c r="J3777" s="4562">
        <f>XLOOKUP(B3777,'_Sys|Line_Map'!$A:$A,'_Sys|Line_Map'!$D:$D,1,0)</f>
        <v/>
      </c>
      <c r="K3777" s="4562">
        <f>IF(D3777="","",D3777*J3777)</f>
        <v/>
      </c>
      <c r="L3777" s="4562">
        <f>XLOOKUP(B3777,'_Sys|Line_Map'!$A:$A,'_Sys|Line_Map'!$B:$B,"MISSING",0)</f>
        <v/>
      </c>
    </row>
    <row r="3778">
      <c r="A3778" s="4561" t="n"/>
      <c r="B3778" s="4561" t="n"/>
      <c r="C3778" s="4561" t="n"/>
      <c r="D3778" s="4561" t="n"/>
      <c r="E3778" s="4561" t="n"/>
      <c r="F3778" s="4561" t="n"/>
      <c r="G3778" s="4561" t="n"/>
      <c r="H3778" s="4561" t="n"/>
      <c r="I3778" s="4562">
        <f>XLOOKUP(B3778,'_Sys|Line_Map'!$A:$A,'_Sys|Line_Map'!$C:$C,"MISSING",0)</f>
        <v/>
      </c>
      <c r="J3778" s="4562">
        <f>XLOOKUP(B3778,'_Sys|Line_Map'!$A:$A,'_Sys|Line_Map'!$D:$D,1,0)</f>
        <v/>
      </c>
      <c r="K3778" s="4562">
        <f>IF(D3778="","",D3778*J3778)</f>
        <v/>
      </c>
      <c r="L3778" s="4562">
        <f>XLOOKUP(B3778,'_Sys|Line_Map'!$A:$A,'_Sys|Line_Map'!$B:$B,"MISSING",0)</f>
        <v/>
      </c>
    </row>
    <row r="3779">
      <c r="A3779" s="4561" t="n"/>
      <c r="B3779" s="4561" t="n"/>
      <c r="C3779" s="4561" t="n"/>
      <c r="D3779" s="4561" t="n"/>
      <c r="E3779" s="4561" t="n"/>
      <c r="F3779" s="4561" t="n"/>
      <c r="G3779" s="4561" t="n"/>
      <c r="H3779" s="4561" t="n"/>
      <c r="I3779" s="4562">
        <f>XLOOKUP(B3779,'_Sys|Line_Map'!$A:$A,'_Sys|Line_Map'!$C:$C,"MISSING",0)</f>
        <v/>
      </c>
      <c r="J3779" s="4562">
        <f>XLOOKUP(B3779,'_Sys|Line_Map'!$A:$A,'_Sys|Line_Map'!$D:$D,1,0)</f>
        <v/>
      </c>
      <c r="K3779" s="4562">
        <f>IF(D3779="","",D3779*J3779)</f>
        <v/>
      </c>
      <c r="L3779" s="4562">
        <f>XLOOKUP(B3779,'_Sys|Line_Map'!$A:$A,'_Sys|Line_Map'!$B:$B,"MISSING",0)</f>
        <v/>
      </c>
    </row>
    <row r="3780">
      <c r="A3780" s="4561" t="n"/>
      <c r="B3780" s="4561" t="n"/>
      <c r="C3780" s="4561" t="n"/>
      <c r="D3780" s="4561" t="n"/>
      <c r="E3780" s="4561" t="n"/>
      <c r="F3780" s="4561" t="n"/>
      <c r="G3780" s="4561" t="n"/>
      <c r="H3780" s="4561" t="n"/>
      <c r="I3780" s="4562">
        <f>XLOOKUP(B3780,'_Sys|Line_Map'!$A:$A,'_Sys|Line_Map'!$C:$C,"MISSING",0)</f>
        <v/>
      </c>
      <c r="J3780" s="4562">
        <f>XLOOKUP(B3780,'_Sys|Line_Map'!$A:$A,'_Sys|Line_Map'!$D:$D,1,0)</f>
        <v/>
      </c>
      <c r="K3780" s="4562">
        <f>IF(D3780="","",D3780*J3780)</f>
        <v/>
      </c>
      <c r="L3780" s="4562">
        <f>XLOOKUP(B3780,'_Sys|Line_Map'!$A:$A,'_Sys|Line_Map'!$B:$B,"MISSING",0)</f>
        <v/>
      </c>
    </row>
    <row r="3781">
      <c r="A3781" s="4561" t="n"/>
      <c r="B3781" s="4561" t="n"/>
      <c r="C3781" s="4561" t="n"/>
      <c r="D3781" s="4561" t="n"/>
      <c r="E3781" s="4561" t="n"/>
      <c r="F3781" s="4561" t="n"/>
      <c r="G3781" s="4561" t="n"/>
      <c r="H3781" s="4561" t="n"/>
      <c r="I3781" s="4562">
        <f>XLOOKUP(B3781,'_Sys|Line_Map'!$A:$A,'_Sys|Line_Map'!$C:$C,"MISSING",0)</f>
        <v/>
      </c>
      <c r="J3781" s="4562">
        <f>XLOOKUP(B3781,'_Sys|Line_Map'!$A:$A,'_Sys|Line_Map'!$D:$D,1,0)</f>
        <v/>
      </c>
      <c r="K3781" s="4562">
        <f>IF(D3781="","",D3781*J3781)</f>
        <v/>
      </c>
      <c r="L3781" s="4562">
        <f>XLOOKUP(B3781,'_Sys|Line_Map'!$A:$A,'_Sys|Line_Map'!$B:$B,"MISSING",0)</f>
        <v/>
      </c>
    </row>
    <row r="3782">
      <c r="A3782" s="4561" t="n"/>
      <c r="B3782" s="4561" t="n"/>
      <c r="C3782" s="4561" t="n"/>
      <c r="D3782" s="4561" t="n"/>
      <c r="E3782" s="4561" t="n"/>
      <c r="F3782" s="4561" t="n"/>
      <c r="G3782" s="4561" t="n"/>
      <c r="H3782" s="4561" t="n"/>
      <c r="I3782" s="4562">
        <f>XLOOKUP(B3782,'_Sys|Line_Map'!$A:$A,'_Sys|Line_Map'!$C:$C,"MISSING",0)</f>
        <v/>
      </c>
      <c r="J3782" s="4562">
        <f>XLOOKUP(B3782,'_Sys|Line_Map'!$A:$A,'_Sys|Line_Map'!$D:$D,1,0)</f>
        <v/>
      </c>
      <c r="K3782" s="4562">
        <f>IF(D3782="","",D3782*J3782)</f>
        <v/>
      </c>
      <c r="L3782" s="4562">
        <f>XLOOKUP(B3782,'_Sys|Line_Map'!$A:$A,'_Sys|Line_Map'!$B:$B,"MISSING",0)</f>
        <v/>
      </c>
    </row>
    <row r="3783">
      <c r="A3783" s="4561" t="n"/>
      <c r="B3783" s="4561" t="n"/>
      <c r="C3783" s="4561" t="n"/>
      <c r="D3783" s="4561" t="n"/>
      <c r="E3783" s="4561" t="n"/>
      <c r="F3783" s="4561" t="n"/>
      <c r="G3783" s="4561" t="n"/>
      <c r="H3783" s="4561" t="n"/>
      <c r="I3783" s="4562">
        <f>XLOOKUP(B3783,'_Sys|Line_Map'!$A:$A,'_Sys|Line_Map'!$C:$C,"MISSING",0)</f>
        <v/>
      </c>
      <c r="J3783" s="4562">
        <f>XLOOKUP(B3783,'_Sys|Line_Map'!$A:$A,'_Sys|Line_Map'!$D:$D,1,0)</f>
        <v/>
      </c>
      <c r="K3783" s="4562">
        <f>IF(D3783="","",D3783*J3783)</f>
        <v/>
      </c>
      <c r="L3783" s="4562">
        <f>XLOOKUP(B3783,'_Sys|Line_Map'!$A:$A,'_Sys|Line_Map'!$B:$B,"MISSING",0)</f>
        <v/>
      </c>
    </row>
    <row r="3784">
      <c r="A3784" s="4561" t="n"/>
      <c r="B3784" s="4561" t="n"/>
      <c r="C3784" s="4561" t="n"/>
      <c r="D3784" s="4561" t="n"/>
      <c r="E3784" s="4561" t="n"/>
      <c r="F3784" s="4561" t="n"/>
      <c r="G3784" s="4561" t="n"/>
      <c r="H3784" s="4561" t="n"/>
      <c r="I3784" s="4562">
        <f>XLOOKUP(B3784,'_Sys|Line_Map'!$A:$A,'_Sys|Line_Map'!$C:$C,"MISSING",0)</f>
        <v/>
      </c>
      <c r="J3784" s="4562">
        <f>XLOOKUP(B3784,'_Sys|Line_Map'!$A:$A,'_Sys|Line_Map'!$D:$D,1,0)</f>
        <v/>
      </c>
      <c r="K3784" s="4562">
        <f>IF(D3784="","",D3784*J3784)</f>
        <v/>
      </c>
      <c r="L3784" s="4562">
        <f>XLOOKUP(B3784,'_Sys|Line_Map'!$A:$A,'_Sys|Line_Map'!$B:$B,"MISSING",0)</f>
        <v/>
      </c>
    </row>
    <row r="3785">
      <c r="A3785" s="4561" t="n"/>
      <c r="B3785" s="4561" t="n"/>
      <c r="C3785" s="4561" t="n"/>
      <c r="D3785" s="4561" t="n"/>
      <c r="E3785" s="4561" t="n"/>
      <c r="F3785" s="4561" t="n"/>
      <c r="G3785" s="4561" t="n"/>
      <c r="H3785" s="4561" t="n"/>
      <c r="I3785" s="4562">
        <f>XLOOKUP(B3785,'_Sys|Line_Map'!$A:$A,'_Sys|Line_Map'!$C:$C,"MISSING",0)</f>
        <v/>
      </c>
      <c r="J3785" s="4562">
        <f>XLOOKUP(B3785,'_Sys|Line_Map'!$A:$A,'_Sys|Line_Map'!$D:$D,1,0)</f>
        <v/>
      </c>
      <c r="K3785" s="4562">
        <f>IF(D3785="","",D3785*J3785)</f>
        <v/>
      </c>
      <c r="L3785" s="4562">
        <f>XLOOKUP(B3785,'_Sys|Line_Map'!$A:$A,'_Sys|Line_Map'!$B:$B,"MISSING",0)</f>
        <v/>
      </c>
    </row>
    <row r="3786">
      <c r="A3786" s="4561" t="n"/>
      <c r="B3786" s="4561" t="n"/>
      <c r="C3786" s="4561" t="n"/>
      <c r="D3786" s="4561" t="n"/>
      <c r="E3786" s="4561" t="n"/>
      <c r="F3786" s="4561" t="n"/>
      <c r="G3786" s="4561" t="n"/>
      <c r="H3786" s="4561" t="n"/>
      <c r="I3786" s="4562">
        <f>XLOOKUP(B3786,'_Sys|Line_Map'!$A:$A,'_Sys|Line_Map'!$C:$C,"MISSING",0)</f>
        <v/>
      </c>
      <c r="J3786" s="4562">
        <f>XLOOKUP(B3786,'_Sys|Line_Map'!$A:$A,'_Sys|Line_Map'!$D:$D,1,0)</f>
        <v/>
      </c>
      <c r="K3786" s="4562">
        <f>IF(D3786="","",D3786*J3786)</f>
        <v/>
      </c>
      <c r="L3786" s="4562">
        <f>XLOOKUP(B3786,'_Sys|Line_Map'!$A:$A,'_Sys|Line_Map'!$B:$B,"MISSING",0)</f>
        <v/>
      </c>
    </row>
    <row r="3787">
      <c r="A3787" s="4561" t="n"/>
      <c r="B3787" s="4561" t="n"/>
      <c r="C3787" s="4561" t="n"/>
      <c r="D3787" s="4561" t="n"/>
      <c r="E3787" s="4561" t="n"/>
      <c r="F3787" s="4561" t="n"/>
      <c r="G3787" s="4561" t="n"/>
      <c r="H3787" s="4561" t="n"/>
      <c r="I3787" s="4562">
        <f>XLOOKUP(B3787,'_Sys|Line_Map'!$A:$A,'_Sys|Line_Map'!$C:$C,"MISSING",0)</f>
        <v/>
      </c>
      <c r="J3787" s="4562">
        <f>XLOOKUP(B3787,'_Sys|Line_Map'!$A:$A,'_Sys|Line_Map'!$D:$D,1,0)</f>
        <v/>
      </c>
      <c r="K3787" s="4562">
        <f>IF(D3787="","",D3787*J3787)</f>
        <v/>
      </c>
      <c r="L3787" s="4562">
        <f>XLOOKUP(B3787,'_Sys|Line_Map'!$A:$A,'_Sys|Line_Map'!$B:$B,"MISSING",0)</f>
        <v/>
      </c>
    </row>
    <row r="3788">
      <c r="A3788" s="4561" t="n"/>
      <c r="B3788" s="4561" t="n"/>
      <c r="C3788" s="4561" t="n"/>
      <c r="D3788" s="4561" t="n"/>
      <c r="E3788" s="4561" t="n"/>
      <c r="F3788" s="4561" t="n"/>
      <c r="G3788" s="4561" t="n"/>
      <c r="H3788" s="4561" t="n"/>
      <c r="I3788" s="4562">
        <f>XLOOKUP(B3788,'_Sys|Line_Map'!$A:$A,'_Sys|Line_Map'!$C:$C,"MISSING",0)</f>
        <v/>
      </c>
      <c r="J3788" s="4562">
        <f>XLOOKUP(B3788,'_Sys|Line_Map'!$A:$A,'_Sys|Line_Map'!$D:$D,1,0)</f>
        <v/>
      </c>
      <c r="K3788" s="4562">
        <f>IF(D3788="","",D3788*J3788)</f>
        <v/>
      </c>
      <c r="L3788" s="4562">
        <f>XLOOKUP(B3788,'_Sys|Line_Map'!$A:$A,'_Sys|Line_Map'!$B:$B,"MISSING",0)</f>
        <v/>
      </c>
    </row>
    <row r="3789">
      <c r="A3789" s="4561" t="n"/>
      <c r="B3789" s="4561" t="n"/>
      <c r="C3789" s="4561" t="n"/>
      <c r="D3789" s="4561" t="n"/>
      <c r="E3789" s="4561" t="n"/>
      <c r="F3789" s="4561" t="n"/>
      <c r="G3789" s="4561" t="n"/>
      <c r="H3789" s="4561" t="n"/>
      <c r="I3789" s="4562">
        <f>XLOOKUP(B3789,'_Sys|Line_Map'!$A:$A,'_Sys|Line_Map'!$C:$C,"MISSING",0)</f>
        <v/>
      </c>
      <c r="J3789" s="4562">
        <f>XLOOKUP(B3789,'_Sys|Line_Map'!$A:$A,'_Sys|Line_Map'!$D:$D,1,0)</f>
        <v/>
      </c>
      <c r="K3789" s="4562">
        <f>IF(D3789="","",D3789*J3789)</f>
        <v/>
      </c>
      <c r="L3789" s="4562">
        <f>XLOOKUP(B3789,'_Sys|Line_Map'!$A:$A,'_Sys|Line_Map'!$B:$B,"MISSING",0)</f>
        <v/>
      </c>
    </row>
    <row r="3790">
      <c r="A3790" s="4561" t="n"/>
      <c r="B3790" s="4561" t="n"/>
      <c r="C3790" s="4561" t="n"/>
      <c r="D3790" s="4561" t="n"/>
      <c r="E3790" s="4561" t="n"/>
      <c r="F3790" s="4561" t="n"/>
      <c r="G3790" s="4561" t="n"/>
      <c r="H3790" s="4561" t="n"/>
      <c r="I3790" s="4562">
        <f>XLOOKUP(B3790,'_Sys|Line_Map'!$A:$A,'_Sys|Line_Map'!$C:$C,"MISSING",0)</f>
        <v/>
      </c>
      <c r="J3790" s="4562">
        <f>XLOOKUP(B3790,'_Sys|Line_Map'!$A:$A,'_Sys|Line_Map'!$D:$D,1,0)</f>
        <v/>
      </c>
      <c r="K3790" s="4562">
        <f>IF(D3790="","",D3790*J3790)</f>
        <v/>
      </c>
      <c r="L3790" s="4562">
        <f>XLOOKUP(B3790,'_Sys|Line_Map'!$A:$A,'_Sys|Line_Map'!$B:$B,"MISSING",0)</f>
        <v/>
      </c>
    </row>
    <row r="3791">
      <c r="A3791" s="4561" t="n"/>
      <c r="B3791" s="4561" t="n"/>
      <c r="C3791" s="4561" t="n"/>
      <c r="D3791" s="4561" t="n"/>
      <c r="E3791" s="4561" t="n"/>
      <c r="F3791" s="4561" t="n"/>
      <c r="G3791" s="4561" t="n"/>
      <c r="H3791" s="4561" t="n"/>
      <c r="I3791" s="4562">
        <f>XLOOKUP(B3791,'_Sys|Line_Map'!$A:$A,'_Sys|Line_Map'!$C:$C,"MISSING",0)</f>
        <v/>
      </c>
      <c r="J3791" s="4562">
        <f>XLOOKUP(B3791,'_Sys|Line_Map'!$A:$A,'_Sys|Line_Map'!$D:$D,1,0)</f>
        <v/>
      </c>
      <c r="K3791" s="4562">
        <f>IF(D3791="","",D3791*J3791)</f>
        <v/>
      </c>
      <c r="L3791" s="4562">
        <f>XLOOKUP(B3791,'_Sys|Line_Map'!$A:$A,'_Sys|Line_Map'!$B:$B,"MISSING",0)</f>
        <v/>
      </c>
    </row>
    <row r="3792">
      <c r="A3792" s="4561" t="n"/>
      <c r="B3792" s="4561" t="n"/>
      <c r="C3792" s="4561" t="n"/>
      <c r="D3792" s="4561" t="n"/>
      <c r="E3792" s="4561" t="n"/>
      <c r="F3792" s="4561" t="n"/>
      <c r="G3792" s="4561" t="n"/>
      <c r="H3792" s="4561" t="n"/>
      <c r="I3792" s="4562">
        <f>XLOOKUP(B3792,'_Sys|Line_Map'!$A:$A,'_Sys|Line_Map'!$C:$C,"MISSING",0)</f>
        <v/>
      </c>
      <c r="J3792" s="4562">
        <f>XLOOKUP(B3792,'_Sys|Line_Map'!$A:$A,'_Sys|Line_Map'!$D:$D,1,0)</f>
        <v/>
      </c>
      <c r="K3792" s="4562">
        <f>IF(D3792="","",D3792*J3792)</f>
        <v/>
      </c>
      <c r="L3792" s="4562">
        <f>XLOOKUP(B3792,'_Sys|Line_Map'!$A:$A,'_Sys|Line_Map'!$B:$B,"MISSING",0)</f>
        <v/>
      </c>
    </row>
    <row r="3793">
      <c r="A3793" s="4561" t="n"/>
      <c r="B3793" s="4561" t="n"/>
      <c r="C3793" s="4561" t="n"/>
      <c r="D3793" s="4561" t="n"/>
      <c r="E3793" s="4561" t="n"/>
      <c r="F3793" s="4561" t="n"/>
      <c r="G3793" s="4561" t="n"/>
      <c r="H3793" s="4561" t="n"/>
      <c r="I3793" s="4562">
        <f>XLOOKUP(B3793,'_Sys|Line_Map'!$A:$A,'_Sys|Line_Map'!$C:$C,"MISSING",0)</f>
        <v/>
      </c>
      <c r="J3793" s="4562">
        <f>XLOOKUP(B3793,'_Sys|Line_Map'!$A:$A,'_Sys|Line_Map'!$D:$D,1,0)</f>
        <v/>
      </c>
      <c r="K3793" s="4562">
        <f>IF(D3793="","",D3793*J3793)</f>
        <v/>
      </c>
      <c r="L3793" s="4562">
        <f>XLOOKUP(B3793,'_Sys|Line_Map'!$A:$A,'_Sys|Line_Map'!$B:$B,"MISSING",0)</f>
        <v/>
      </c>
    </row>
    <row r="3794">
      <c r="A3794" s="4561" t="n"/>
      <c r="B3794" s="4561" t="n"/>
      <c r="C3794" s="4561" t="n"/>
      <c r="D3794" s="4561" t="n"/>
      <c r="E3794" s="4561" t="n"/>
      <c r="F3794" s="4561" t="n"/>
      <c r="G3794" s="4561" t="n"/>
      <c r="H3794" s="4561" t="n"/>
      <c r="I3794" s="4562">
        <f>XLOOKUP(B3794,'_Sys|Line_Map'!$A:$A,'_Sys|Line_Map'!$C:$C,"MISSING",0)</f>
        <v/>
      </c>
      <c r="J3794" s="4562">
        <f>XLOOKUP(B3794,'_Sys|Line_Map'!$A:$A,'_Sys|Line_Map'!$D:$D,1,0)</f>
        <v/>
      </c>
      <c r="K3794" s="4562">
        <f>IF(D3794="","",D3794*J3794)</f>
        <v/>
      </c>
      <c r="L3794" s="4562">
        <f>XLOOKUP(B3794,'_Sys|Line_Map'!$A:$A,'_Sys|Line_Map'!$B:$B,"MISSING",0)</f>
        <v/>
      </c>
    </row>
    <row r="3795">
      <c r="A3795" s="4561" t="n"/>
      <c r="B3795" s="4561" t="n"/>
      <c r="C3795" s="4561" t="n"/>
      <c r="D3795" s="4561" t="n"/>
      <c r="E3795" s="4561" t="n"/>
      <c r="F3795" s="4561" t="n"/>
      <c r="G3795" s="4561" t="n"/>
      <c r="H3795" s="4561" t="n"/>
      <c r="I3795" s="4562">
        <f>XLOOKUP(B3795,'_Sys|Line_Map'!$A:$A,'_Sys|Line_Map'!$C:$C,"MISSING",0)</f>
        <v/>
      </c>
      <c r="J3795" s="4562">
        <f>XLOOKUP(B3795,'_Sys|Line_Map'!$A:$A,'_Sys|Line_Map'!$D:$D,1,0)</f>
        <v/>
      </c>
      <c r="K3795" s="4562">
        <f>IF(D3795="","",D3795*J3795)</f>
        <v/>
      </c>
      <c r="L3795" s="4562">
        <f>XLOOKUP(B3795,'_Sys|Line_Map'!$A:$A,'_Sys|Line_Map'!$B:$B,"MISSING",0)</f>
        <v/>
      </c>
    </row>
    <row r="3796">
      <c r="A3796" s="4561" t="n"/>
      <c r="B3796" s="4561" t="n"/>
      <c r="C3796" s="4561" t="n"/>
      <c r="D3796" s="4561" t="n"/>
      <c r="E3796" s="4561" t="n"/>
      <c r="F3796" s="4561" t="n"/>
      <c r="G3796" s="4561" t="n"/>
      <c r="H3796" s="4561" t="n"/>
      <c r="I3796" s="4562">
        <f>XLOOKUP(B3796,'_Sys|Line_Map'!$A:$A,'_Sys|Line_Map'!$C:$C,"MISSING",0)</f>
        <v/>
      </c>
      <c r="J3796" s="4562">
        <f>XLOOKUP(B3796,'_Sys|Line_Map'!$A:$A,'_Sys|Line_Map'!$D:$D,1,0)</f>
        <v/>
      </c>
      <c r="K3796" s="4562">
        <f>IF(D3796="","",D3796*J3796)</f>
        <v/>
      </c>
      <c r="L3796" s="4562">
        <f>XLOOKUP(B3796,'_Sys|Line_Map'!$A:$A,'_Sys|Line_Map'!$B:$B,"MISSING",0)</f>
        <v/>
      </c>
    </row>
    <row r="3797">
      <c r="A3797" s="4561" t="n"/>
      <c r="B3797" s="4561" t="n"/>
      <c r="C3797" s="4561" t="n"/>
      <c r="D3797" s="4561" t="n"/>
      <c r="E3797" s="4561" t="n"/>
      <c r="F3797" s="4561" t="n"/>
      <c r="G3797" s="4561" t="n"/>
      <c r="H3797" s="4561" t="n"/>
      <c r="I3797" s="4562">
        <f>XLOOKUP(B3797,'_Sys|Line_Map'!$A:$A,'_Sys|Line_Map'!$C:$C,"MISSING",0)</f>
        <v/>
      </c>
      <c r="J3797" s="4562">
        <f>XLOOKUP(B3797,'_Sys|Line_Map'!$A:$A,'_Sys|Line_Map'!$D:$D,1,0)</f>
        <v/>
      </c>
      <c r="K3797" s="4562">
        <f>IF(D3797="","",D3797*J3797)</f>
        <v/>
      </c>
      <c r="L3797" s="4562">
        <f>XLOOKUP(B3797,'_Sys|Line_Map'!$A:$A,'_Sys|Line_Map'!$B:$B,"MISSING",0)</f>
        <v/>
      </c>
    </row>
    <row r="3798">
      <c r="A3798" s="4561" t="n"/>
      <c r="B3798" s="4561" t="n"/>
      <c r="C3798" s="4561" t="n"/>
      <c r="D3798" s="4561" t="n"/>
      <c r="E3798" s="4561" t="n"/>
      <c r="F3798" s="4561" t="n"/>
      <c r="G3798" s="4561" t="n"/>
      <c r="H3798" s="4561" t="n"/>
      <c r="I3798" s="4562">
        <f>XLOOKUP(B3798,'_Sys|Line_Map'!$A:$A,'_Sys|Line_Map'!$C:$C,"MISSING",0)</f>
        <v/>
      </c>
      <c r="J3798" s="4562">
        <f>XLOOKUP(B3798,'_Sys|Line_Map'!$A:$A,'_Sys|Line_Map'!$D:$D,1,0)</f>
        <v/>
      </c>
      <c r="K3798" s="4562">
        <f>IF(D3798="","",D3798*J3798)</f>
        <v/>
      </c>
      <c r="L3798" s="4562">
        <f>XLOOKUP(B3798,'_Sys|Line_Map'!$A:$A,'_Sys|Line_Map'!$B:$B,"MISSING",0)</f>
        <v/>
      </c>
    </row>
    <row r="3799">
      <c r="A3799" s="4561" t="n"/>
      <c r="B3799" s="4561" t="n"/>
      <c r="C3799" s="4561" t="n"/>
      <c r="D3799" s="4561" t="n"/>
      <c r="E3799" s="4561" t="n"/>
      <c r="F3799" s="4561" t="n"/>
      <c r="G3799" s="4561" t="n"/>
      <c r="H3799" s="4561" t="n"/>
      <c r="I3799" s="4562">
        <f>XLOOKUP(B3799,'_Sys|Line_Map'!$A:$A,'_Sys|Line_Map'!$C:$C,"MISSING",0)</f>
        <v/>
      </c>
      <c r="J3799" s="4562">
        <f>XLOOKUP(B3799,'_Sys|Line_Map'!$A:$A,'_Sys|Line_Map'!$D:$D,1,0)</f>
        <v/>
      </c>
      <c r="K3799" s="4562">
        <f>IF(D3799="","",D3799*J3799)</f>
        <v/>
      </c>
      <c r="L3799" s="4562">
        <f>XLOOKUP(B3799,'_Sys|Line_Map'!$A:$A,'_Sys|Line_Map'!$B:$B,"MISSING",0)</f>
        <v/>
      </c>
    </row>
    <row r="3800">
      <c r="A3800" s="4561" t="n"/>
      <c r="B3800" s="4561" t="n"/>
      <c r="C3800" s="4561" t="n"/>
      <c r="D3800" s="4561" t="n"/>
      <c r="E3800" s="4561" t="n"/>
      <c r="F3800" s="4561" t="n"/>
      <c r="G3800" s="4561" t="n"/>
      <c r="H3800" s="4561" t="n"/>
      <c r="I3800" s="4562">
        <f>XLOOKUP(B3800,'_Sys|Line_Map'!$A:$A,'_Sys|Line_Map'!$C:$C,"MISSING",0)</f>
        <v/>
      </c>
      <c r="J3800" s="4562">
        <f>XLOOKUP(B3800,'_Sys|Line_Map'!$A:$A,'_Sys|Line_Map'!$D:$D,1,0)</f>
        <v/>
      </c>
      <c r="K3800" s="4562">
        <f>IF(D3800="","",D3800*J3800)</f>
        <v/>
      </c>
      <c r="L3800" s="4562">
        <f>XLOOKUP(B3800,'_Sys|Line_Map'!$A:$A,'_Sys|Line_Map'!$B:$B,"MISSING",0)</f>
        <v/>
      </c>
    </row>
    <row r="3801">
      <c r="A3801" s="4561" t="n"/>
      <c r="B3801" s="4561" t="n"/>
      <c r="C3801" s="4561" t="n"/>
      <c r="D3801" s="4561" t="n"/>
      <c r="E3801" s="4561" t="n"/>
      <c r="F3801" s="4561" t="n"/>
      <c r="G3801" s="4561" t="n"/>
      <c r="H3801" s="4561" t="n"/>
      <c r="I3801" s="4562">
        <f>XLOOKUP(B3801,'_Sys|Line_Map'!$A:$A,'_Sys|Line_Map'!$C:$C,"MISSING",0)</f>
        <v/>
      </c>
      <c r="J3801" s="4562">
        <f>XLOOKUP(B3801,'_Sys|Line_Map'!$A:$A,'_Sys|Line_Map'!$D:$D,1,0)</f>
        <v/>
      </c>
      <c r="K3801" s="4562">
        <f>IF(D3801="","",D3801*J3801)</f>
        <v/>
      </c>
      <c r="L3801" s="4562">
        <f>XLOOKUP(B3801,'_Sys|Line_Map'!$A:$A,'_Sys|Line_Map'!$B:$B,"MISSING",0)</f>
        <v/>
      </c>
    </row>
    <row r="3802">
      <c r="A3802" s="4561" t="n"/>
      <c r="B3802" s="4561" t="n"/>
      <c r="C3802" s="4561" t="n"/>
      <c r="D3802" s="4561" t="n"/>
      <c r="E3802" s="4561" t="n"/>
      <c r="F3802" s="4561" t="n"/>
      <c r="G3802" s="4561" t="n"/>
      <c r="H3802" s="4561" t="n"/>
      <c r="I3802" s="4562">
        <f>XLOOKUP(B3802,'_Sys|Line_Map'!$A:$A,'_Sys|Line_Map'!$C:$C,"MISSING",0)</f>
        <v/>
      </c>
      <c r="J3802" s="4562">
        <f>XLOOKUP(B3802,'_Sys|Line_Map'!$A:$A,'_Sys|Line_Map'!$D:$D,1,0)</f>
        <v/>
      </c>
      <c r="K3802" s="4562">
        <f>IF(D3802="","",D3802*J3802)</f>
        <v/>
      </c>
      <c r="L3802" s="4562">
        <f>XLOOKUP(B3802,'_Sys|Line_Map'!$A:$A,'_Sys|Line_Map'!$B:$B,"MISSING",0)</f>
        <v/>
      </c>
    </row>
    <row r="3803">
      <c r="A3803" s="4561" t="n"/>
      <c r="B3803" s="4561" t="n"/>
      <c r="C3803" s="4561" t="n"/>
      <c r="D3803" s="4561" t="n"/>
      <c r="E3803" s="4561" t="n"/>
      <c r="F3803" s="4561" t="n"/>
      <c r="G3803" s="4561" t="n"/>
      <c r="H3803" s="4561" t="n"/>
      <c r="I3803" s="4562">
        <f>XLOOKUP(B3803,'_Sys|Line_Map'!$A:$A,'_Sys|Line_Map'!$C:$C,"MISSING",0)</f>
        <v/>
      </c>
      <c r="J3803" s="4562">
        <f>XLOOKUP(B3803,'_Sys|Line_Map'!$A:$A,'_Sys|Line_Map'!$D:$D,1,0)</f>
        <v/>
      </c>
      <c r="K3803" s="4562">
        <f>IF(D3803="","",D3803*J3803)</f>
        <v/>
      </c>
      <c r="L3803" s="4562">
        <f>XLOOKUP(B3803,'_Sys|Line_Map'!$A:$A,'_Sys|Line_Map'!$B:$B,"MISSING",0)</f>
        <v/>
      </c>
    </row>
    <row r="3804">
      <c r="A3804" s="4561" t="n"/>
      <c r="B3804" s="4561" t="n"/>
      <c r="C3804" s="4561" t="n"/>
      <c r="D3804" s="4561" t="n"/>
      <c r="E3804" s="4561" t="n"/>
      <c r="F3804" s="4561" t="n"/>
      <c r="G3804" s="4561" t="n"/>
      <c r="H3804" s="4561" t="n"/>
      <c r="I3804" s="4562">
        <f>XLOOKUP(B3804,'_Sys|Line_Map'!$A:$A,'_Sys|Line_Map'!$C:$C,"MISSING",0)</f>
        <v/>
      </c>
      <c r="J3804" s="4562">
        <f>XLOOKUP(B3804,'_Sys|Line_Map'!$A:$A,'_Sys|Line_Map'!$D:$D,1,0)</f>
        <v/>
      </c>
      <c r="K3804" s="4562">
        <f>IF(D3804="","",D3804*J3804)</f>
        <v/>
      </c>
      <c r="L3804" s="4562">
        <f>XLOOKUP(B3804,'_Sys|Line_Map'!$A:$A,'_Sys|Line_Map'!$B:$B,"MISSING",0)</f>
        <v/>
      </c>
    </row>
    <row r="3805">
      <c r="A3805" s="4561" t="n"/>
      <c r="B3805" s="4561" t="n"/>
      <c r="C3805" s="4561" t="n"/>
      <c r="D3805" s="4561" t="n"/>
      <c r="E3805" s="4561" t="n"/>
      <c r="F3805" s="4561" t="n"/>
      <c r="G3805" s="4561" t="n"/>
      <c r="H3805" s="4561" t="n"/>
      <c r="I3805" s="4562">
        <f>XLOOKUP(B3805,'_Sys|Line_Map'!$A:$A,'_Sys|Line_Map'!$C:$C,"MISSING",0)</f>
        <v/>
      </c>
      <c r="J3805" s="4562">
        <f>XLOOKUP(B3805,'_Sys|Line_Map'!$A:$A,'_Sys|Line_Map'!$D:$D,1,0)</f>
        <v/>
      </c>
      <c r="K3805" s="4562">
        <f>IF(D3805="","",D3805*J3805)</f>
        <v/>
      </c>
      <c r="L3805" s="4562">
        <f>XLOOKUP(B3805,'_Sys|Line_Map'!$A:$A,'_Sys|Line_Map'!$B:$B,"MISSING",0)</f>
        <v/>
      </c>
    </row>
    <row r="3806">
      <c r="A3806" s="4561" t="n"/>
      <c r="B3806" s="4561" t="n"/>
      <c r="C3806" s="4561" t="n"/>
      <c r="D3806" s="4561" t="n"/>
      <c r="E3806" s="4561" t="n"/>
      <c r="F3806" s="4561" t="n"/>
      <c r="G3806" s="4561" t="n"/>
      <c r="H3806" s="4561" t="n"/>
      <c r="I3806" s="4562">
        <f>XLOOKUP(B3806,'_Sys|Line_Map'!$A:$A,'_Sys|Line_Map'!$C:$C,"MISSING",0)</f>
        <v/>
      </c>
      <c r="J3806" s="4562">
        <f>XLOOKUP(B3806,'_Sys|Line_Map'!$A:$A,'_Sys|Line_Map'!$D:$D,1,0)</f>
        <v/>
      </c>
      <c r="K3806" s="4562">
        <f>IF(D3806="","",D3806*J3806)</f>
        <v/>
      </c>
      <c r="L3806" s="4562">
        <f>XLOOKUP(B3806,'_Sys|Line_Map'!$A:$A,'_Sys|Line_Map'!$B:$B,"MISSING",0)</f>
        <v/>
      </c>
    </row>
    <row r="3807">
      <c r="A3807" s="4561" t="n"/>
      <c r="B3807" s="4561" t="n"/>
      <c r="C3807" s="4561" t="n"/>
      <c r="D3807" s="4561" t="n"/>
      <c r="E3807" s="4561" t="n"/>
      <c r="F3807" s="4561" t="n"/>
      <c r="G3807" s="4561" t="n"/>
      <c r="H3807" s="4561" t="n"/>
      <c r="I3807" s="4562">
        <f>XLOOKUP(B3807,'_Sys|Line_Map'!$A:$A,'_Sys|Line_Map'!$C:$C,"MISSING",0)</f>
        <v/>
      </c>
      <c r="J3807" s="4562">
        <f>XLOOKUP(B3807,'_Sys|Line_Map'!$A:$A,'_Sys|Line_Map'!$D:$D,1,0)</f>
        <v/>
      </c>
      <c r="K3807" s="4562">
        <f>IF(D3807="","",D3807*J3807)</f>
        <v/>
      </c>
      <c r="L3807" s="4562">
        <f>XLOOKUP(B3807,'_Sys|Line_Map'!$A:$A,'_Sys|Line_Map'!$B:$B,"MISSING",0)</f>
        <v/>
      </c>
    </row>
    <row r="3808">
      <c r="A3808" s="4561" t="n"/>
      <c r="B3808" s="4561" t="n"/>
      <c r="C3808" s="4561" t="n"/>
      <c r="D3808" s="4561" t="n"/>
      <c r="E3808" s="4561" t="n"/>
      <c r="F3808" s="4561" t="n"/>
      <c r="G3808" s="4561" t="n"/>
      <c r="H3808" s="4561" t="n"/>
      <c r="I3808" s="4562">
        <f>XLOOKUP(B3808,'_Sys|Line_Map'!$A:$A,'_Sys|Line_Map'!$C:$C,"MISSING",0)</f>
        <v/>
      </c>
      <c r="J3808" s="4562">
        <f>XLOOKUP(B3808,'_Sys|Line_Map'!$A:$A,'_Sys|Line_Map'!$D:$D,1,0)</f>
        <v/>
      </c>
      <c r="K3808" s="4562">
        <f>IF(D3808="","",D3808*J3808)</f>
        <v/>
      </c>
      <c r="L3808" s="4562">
        <f>XLOOKUP(B3808,'_Sys|Line_Map'!$A:$A,'_Sys|Line_Map'!$B:$B,"MISSING",0)</f>
        <v/>
      </c>
    </row>
    <row r="3809">
      <c r="A3809" s="4561" t="n"/>
      <c r="B3809" s="4561" t="n"/>
      <c r="C3809" s="4561" t="n"/>
      <c r="D3809" s="4561" t="n"/>
      <c r="E3809" s="4561" t="n"/>
      <c r="F3809" s="4561" t="n"/>
      <c r="G3809" s="4561" t="n"/>
      <c r="H3809" s="4561" t="n"/>
      <c r="I3809" s="4562">
        <f>XLOOKUP(B3809,'_Sys|Line_Map'!$A:$A,'_Sys|Line_Map'!$C:$C,"MISSING",0)</f>
        <v/>
      </c>
      <c r="J3809" s="4562">
        <f>XLOOKUP(B3809,'_Sys|Line_Map'!$A:$A,'_Sys|Line_Map'!$D:$D,1,0)</f>
        <v/>
      </c>
      <c r="K3809" s="4562">
        <f>IF(D3809="","",D3809*J3809)</f>
        <v/>
      </c>
      <c r="L3809" s="4562">
        <f>XLOOKUP(B3809,'_Sys|Line_Map'!$A:$A,'_Sys|Line_Map'!$B:$B,"MISSING",0)</f>
        <v/>
      </c>
    </row>
    <row r="3810">
      <c r="A3810" s="4561" t="n"/>
      <c r="B3810" s="4561" t="n"/>
      <c r="C3810" s="4561" t="n"/>
      <c r="D3810" s="4561" t="n"/>
      <c r="E3810" s="4561" t="n"/>
      <c r="F3810" s="4561" t="n"/>
      <c r="G3810" s="4561" t="n"/>
      <c r="H3810" s="4561" t="n"/>
      <c r="I3810" s="4562">
        <f>XLOOKUP(B3810,'_Sys|Line_Map'!$A:$A,'_Sys|Line_Map'!$C:$C,"MISSING",0)</f>
        <v/>
      </c>
      <c r="J3810" s="4562">
        <f>XLOOKUP(B3810,'_Sys|Line_Map'!$A:$A,'_Sys|Line_Map'!$D:$D,1,0)</f>
        <v/>
      </c>
      <c r="K3810" s="4562">
        <f>IF(D3810="","",D3810*J3810)</f>
        <v/>
      </c>
      <c r="L3810" s="4562">
        <f>XLOOKUP(B3810,'_Sys|Line_Map'!$A:$A,'_Sys|Line_Map'!$B:$B,"MISSING",0)</f>
        <v/>
      </c>
    </row>
    <row r="3811">
      <c r="A3811" s="4561" t="n"/>
      <c r="B3811" s="4561" t="n"/>
      <c r="C3811" s="4561" t="n"/>
      <c r="D3811" s="4561" t="n"/>
      <c r="E3811" s="4561" t="n"/>
      <c r="F3811" s="4561" t="n"/>
      <c r="G3811" s="4561" t="n"/>
      <c r="H3811" s="4561" t="n"/>
      <c r="I3811" s="4562">
        <f>XLOOKUP(B3811,'_Sys|Line_Map'!$A:$A,'_Sys|Line_Map'!$C:$C,"MISSING",0)</f>
        <v/>
      </c>
      <c r="J3811" s="4562">
        <f>XLOOKUP(B3811,'_Sys|Line_Map'!$A:$A,'_Sys|Line_Map'!$D:$D,1,0)</f>
        <v/>
      </c>
      <c r="K3811" s="4562">
        <f>IF(D3811="","",D3811*J3811)</f>
        <v/>
      </c>
      <c r="L3811" s="4562">
        <f>XLOOKUP(B3811,'_Sys|Line_Map'!$A:$A,'_Sys|Line_Map'!$B:$B,"MISSING",0)</f>
        <v/>
      </c>
    </row>
    <row r="3812">
      <c r="A3812" s="4561" t="n"/>
      <c r="B3812" s="4561" t="n"/>
      <c r="C3812" s="4561" t="n"/>
      <c r="D3812" s="4561" t="n"/>
      <c r="E3812" s="4561" t="n"/>
      <c r="F3812" s="4561" t="n"/>
      <c r="G3812" s="4561" t="n"/>
      <c r="H3812" s="4561" t="n"/>
      <c r="I3812" s="4562">
        <f>XLOOKUP(B3812,'_Sys|Line_Map'!$A:$A,'_Sys|Line_Map'!$C:$C,"MISSING",0)</f>
        <v/>
      </c>
      <c r="J3812" s="4562">
        <f>XLOOKUP(B3812,'_Sys|Line_Map'!$A:$A,'_Sys|Line_Map'!$D:$D,1,0)</f>
        <v/>
      </c>
      <c r="K3812" s="4562">
        <f>IF(D3812="","",D3812*J3812)</f>
        <v/>
      </c>
      <c r="L3812" s="4562">
        <f>XLOOKUP(B3812,'_Sys|Line_Map'!$A:$A,'_Sys|Line_Map'!$B:$B,"MISSING",0)</f>
        <v/>
      </c>
    </row>
    <row r="3813">
      <c r="A3813" s="4561" t="n"/>
      <c r="B3813" s="4561" t="n"/>
      <c r="C3813" s="4561" t="n"/>
      <c r="D3813" s="4561" t="n"/>
      <c r="E3813" s="4561" t="n"/>
      <c r="F3813" s="4561" t="n"/>
      <c r="G3813" s="4561" t="n"/>
      <c r="H3813" s="4561" t="n"/>
      <c r="I3813" s="4562">
        <f>XLOOKUP(B3813,'_Sys|Line_Map'!$A:$A,'_Sys|Line_Map'!$C:$C,"MISSING",0)</f>
        <v/>
      </c>
      <c r="J3813" s="4562">
        <f>XLOOKUP(B3813,'_Sys|Line_Map'!$A:$A,'_Sys|Line_Map'!$D:$D,1,0)</f>
        <v/>
      </c>
      <c r="K3813" s="4562">
        <f>IF(D3813="","",D3813*J3813)</f>
        <v/>
      </c>
      <c r="L3813" s="4562">
        <f>XLOOKUP(B3813,'_Sys|Line_Map'!$A:$A,'_Sys|Line_Map'!$B:$B,"MISSING",0)</f>
        <v/>
      </c>
    </row>
    <row r="3814">
      <c r="A3814" s="4561" t="n"/>
      <c r="B3814" s="4561" t="n"/>
      <c r="C3814" s="4561" t="n"/>
      <c r="D3814" s="4561" t="n"/>
      <c r="E3814" s="4561" t="n"/>
      <c r="F3814" s="4561" t="n"/>
      <c r="G3814" s="4561" t="n"/>
      <c r="H3814" s="4561" t="n"/>
      <c r="I3814" s="4562">
        <f>XLOOKUP(B3814,'_Sys|Line_Map'!$A:$A,'_Sys|Line_Map'!$C:$C,"MISSING",0)</f>
        <v/>
      </c>
      <c r="J3814" s="4562">
        <f>XLOOKUP(B3814,'_Sys|Line_Map'!$A:$A,'_Sys|Line_Map'!$D:$D,1,0)</f>
        <v/>
      </c>
      <c r="K3814" s="4562">
        <f>IF(D3814="","",D3814*J3814)</f>
        <v/>
      </c>
      <c r="L3814" s="4562">
        <f>XLOOKUP(B3814,'_Sys|Line_Map'!$A:$A,'_Sys|Line_Map'!$B:$B,"MISSING",0)</f>
        <v/>
      </c>
    </row>
    <row r="3815">
      <c r="A3815" s="4561" t="n"/>
      <c r="B3815" s="4561" t="n"/>
      <c r="C3815" s="4561" t="n"/>
      <c r="D3815" s="4561" t="n"/>
      <c r="E3815" s="4561" t="n"/>
      <c r="F3815" s="4561" t="n"/>
      <c r="G3815" s="4561" t="n"/>
      <c r="H3815" s="4561" t="n"/>
      <c r="I3815" s="4562">
        <f>XLOOKUP(B3815,'_Sys|Line_Map'!$A:$A,'_Sys|Line_Map'!$C:$C,"MISSING",0)</f>
        <v/>
      </c>
      <c r="J3815" s="4562">
        <f>XLOOKUP(B3815,'_Sys|Line_Map'!$A:$A,'_Sys|Line_Map'!$D:$D,1,0)</f>
        <v/>
      </c>
      <c r="K3815" s="4562">
        <f>IF(D3815="","",D3815*J3815)</f>
        <v/>
      </c>
      <c r="L3815" s="4562">
        <f>XLOOKUP(B3815,'_Sys|Line_Map'!$A:$A,'_Sys|Line_Map'!$B:$B,"MISSING",0)</f>
        <v/>
      </c>
    </row>
    <row r="3816">
      <c r="A3816" s="4561" t="n"/>
      <c r="B3816" s="4561" t="n"/>
      <c r="C3816" s="4561" t="n"/>
      <c r="D3816" s="4561" t="n"/>
      <c r="E3816" s="4561" t="n"/>
      <c r="F3816" s="4561" t="n"/>
      <c r="G3816" s="4561" t="n"/>
      <c r="H3816" s="4561" t="n"/>
      <c r="I3816" s="4562">
        <f>XLOOKUP(B3816,'_Sys|Line_Map'!$A:$A,'_Sys|Line_Map'!$C:$C,"MISSING",0)</f>
        <v/>
      </c>
      <c r="J3816" s="4562">
        <f>XLOOKUP(B3816,'_Sys|Line_Map'!$A:$A,'_Sys|Line_Map'!$D:$D,1,0)</f>
        <v/>
      </c>
      <c r="K3816" s="4562">
        <f>IF(D3816="","",D3816*J3816)</f>
        <v/>
      </c>
      <c r="L3816" s="4562">
        <f>XLOOKUP(B3816,'_Sys|Line_Map'!$A:$A,'_Sys|Line_Map'!$B:$B,"MISSING",0)</f>
        <v/>
      </c>
    </row>
    <row r="3817">
      <c r="A3817" s="4561" t="n"/>
      <c r="B3817" s="4561" t="n"/>
      <c r="C3817" s="4561" t="n"/>
      <c r="D3817" s="4561" t="n"/>
      <c r="E3817" s="4561" t="n"/>
      <c r="F3817" s="4561" t="n"/>
      <c r="G3817" s="4561" t="n"/>
      <c r="H3817" s="4561" t="n"/>
      <c r="I3817" s="4562">
        <f>XLOOKUP(B3817,'_Sys|Line_Map'!$A:$A,'_Sys|Line_Map'!$C:$C,"MISSING",0)</f>
        <v/>
      </c>
      <c r="J3817" s="4562">
        <f>XLOOKUP(B3817,'_Sys|Line_Map'!$A:$A,'_Sys|Line_Map'!$D:$D,1,0)</f>
        <v/>
      </c>
      <c r="K3817" s="4562">
        <f>IF(D3817="","",D3817*J3817)</f>
        <v/>
      </c>
      <c r="L3817" s="4562">
        <f>XLOOKUP(B3817,'_Sys|Line_Map'!$A:$A,'_Sys|Line_Map'!$B:$B,"MISSING",0)</f>
        <v/>
      </c>
    </row>
    <row r="3818">
      <c r="A3818" s="4561" t="n"/>
      <c r="B3818" s="4561" t="n"/>
      <c r="C3818" s="4561" t="n"/>
      <c r="D3818" s="4561" t="n"/>
      <c r="E3818" s="4561" t="n"/>
      <c r="F3818" s="4561" t="n"/>
      <c r="G3818" s="4561" t="n"/>
      <c r="H3818" s="4561" t="n"/>
      <c r="I3818" s="4562">
        <f>XLOOKUP(B3818,'_Sys|Line_Map'!$A:$A,'_Sys|Line_Map'!$C:$C,"MISSING",0)</f>
        <v/>
      </c>
      <c r="J3818" s="4562">
        <f>XLOOKUP(B3818,'_Sys|Line_Map'!$A:$A,'_Sys|Line_Map'!$D:$D,1,0)</f>
        <v/>
      </c>
      <c r="K3818" s="4562">
        <f>IF(D3818="","",D3818*J3818)</f>
        <v/>
      </c>
      <c r="L3818" s="4562">
        <f>XLOOKUP(B3818,'_Sys|Line_Map'!$A:$A,'_Sys|Line_Map'!$B:$B,"MISSING",0)</f>
        <v/>
      </c>
    </row>
    <row r="3819">
      <c r="A3819" s="4561" t="n"/>
      <c r="B3819" s="4561" t="n"/>
      <c r="C3819" s="4561" t="n"/>
      <c r="D3819" s="4561" t="n"/>
      <c r="E3819" s="4561" t="n"/>
      <c r="F3819" s="4561" t="n"/>
      <c r="G3819" s="4561" t="n"/>
      <c r="H3819" s="4561" t="n"/>
      <c r="I3819" s="4562">
        <f>XLOOKUP(B3819,'_Sys|Line_Map'!$A:$A,'_Sys|Line_Map'!$C:$C,"MISSING",0)</f>
        <v/>
      </c>
      <c r="J3819" s="4562">
        <f>XLOOKUP(B3819,'_Sys|Line_Map'!$A:$A,'_Sys|Line_Map'!$D:$D,1,0)</f>
        <v/>
      </c>
      <c r="K3819" s="4562">
        <f>IF(D3819="","",D3819*J3819)</f>
        <v/>
      </c>
      <c r="L3819" s="4562">
        <f>XLOOKUP(B3819,'_Sys|Line_Map'!$A:$A,'_Sys|Line_Map'!$B:$B,"MISSING",0)</f>
        <v/>
      </c>
    </row>
    <row r="3820">
      <c r="A3820" s="4561" t="n"/>
      <c r="B3820" s="4561" t="n"/>
      <c r="C3820" s="4561" t="n"/>
      <c r="D3820" s="4561" t="n"/>
      <c r="E3820" s="4561" t="n"/>
      <c r="F3820" s="4561" t="n"/>
      <c r="G3820" s="4561" t="n"/>
      <c r="H3820" s="4561" t="n"/>
      <c r="I3820" s="4562">
        <f>XLOOKUP(B3820,'_Sys|Line_Map'!$A:$A,'_Sys|Line_Map'!$C:$C,"MISSING",0)</f>
        <v/>
      </c>
      <c r="J3820" s="4562">
        <f>XLOOKUP(B3820,'_Sys|Line_Map'!$A:$A,'_Sys|Line_Map'!$D:$D,1,0)</f>
        <v/>
      </c>
      <c r="K3820" s="4562">
        <f>IF(D3820="","",D3820*J3820)</f>
        <v/>
      </c>
      <c r="L3820" s="4562">
        <f>XLOOKUP(B3820,'_Sys|Line_Map'!$A:$A,'_Sys|Line_Map'!$B:$B,"MISSING",0)</f>
        <v/>
      </c>
    </row>
    <row r="3821">
      <c r="A3821" s="4561" t="n"/>
      <c r="B3821" s="4561" t="n"/>
      <c r="C3821" s="4561" t="n"/>
      <c r="D3821" s="4561" t="n"/>
      <c r="E3821" s="4561" t="n"/>
      <c r="F3821" s="4561" t="n"/>
      <c r="G3821" s="4561" t="n"/>
      <c r="H3821" s="4561" t="n"/>
      <c r="I3821" s="4562">
        <f>XLOOKUP(B3821,'_Sys|Line_Map'!$A:$A,'_Sys|Line_Map'!$C:$C,"MISSING",0)</f>
        <v/>
      </c>
      <c r="J3821" s="4562">
        <f>XLOOKUP(B3821,'_Sys|Line_Map'!$A:$A,'_Sys|Line_Map'!$D:$D,1,0)</f>
        <v/>
      </c>
      <c r="K3821" s="4562">
        <f>IF(D3821="","",D3821*J3821)</f>
        <v/>
      </c>
      <c r="L3821" s="4562">
        <f>XLOOKUP(B3821,'_Sys|Line_Map'!$A:$A,'_Sys|Line_Map'!$B:$B,"MISSING",0)</f>
        <v/>
      </c>
    </row>
    <row r="3822">
      <c r="A3822" s="4561" t="n"/>
      <c r="B3822" s="4561" t="n"/>
      <c r="C3822" s="4561" t="n"/>
      <c r="D3822" s="4561" t="n"/>
      <c r="E3822" s="4561" t="n"/>
      <c r="F3822" s="4561" t="n"/>
      <c r="G3822" s="4561" t="n"/>
      <c r="H3822" s="4561" t="n"/>
      <c r="I3822" s="4562">
        <f>XLOOKUP(B3822,'_Sys|Line_Map'!$A:$A,'_Sys|Line_Map'!$C:$C,"MISSING",0)</f>
        <v/>
      </c>
      <c r="J3822" s="4562">
        <f>XLOOKUP(B3822,'_Sys|Line_Map'!$A:$A,'_Sys|Line_Map'!$D:$D,1,0)</f>
        <v/>
      </c>
      <c r="K3822" s="4562">
        <f>IF(D3822="","",D3822*J3822)</f>
        <v/>
      </c>
      <c r="L3822" s="4562">
        <f>XLOOKUP(B3822,'_Sys|Line_Map'!$A:$A,'_Sys|Line_Map'!$B:$B,"MISSING",0)</f>
        <v/>
      </c>
    </row>
    <row r="3823">
      <c r="A3823" s="4561" t="n"/>
      <c r="B3823" s="4561" t="n"/>
      <c r="C3823" s="4561" t="n"/>
      <c r="D3823" s="4561" t="n"/>
      <c r="E3823" s="4561" t="n"/>
      <c r="F3823" s="4561" t="n"/>
      <c r="G3823" s="4561" t="n"/>
      <c r="H3823" s="4561" t="n"/>
      <c r="I3823" s="4562">
        <f>XLOOKUP(B3823,'_Sys|Line_Map'!$A:$A,'_Sys|Line_Map'!$C:$C,"MISSING",0)</f>
        <v/>
      </c>
      <c r="J3823" s="4562">
        <f>XLOOKUP(B3823,'_Sys|Line_Map'!$A:$A,'_Sys|Line_Map'!$D:$D,1,0)</f>
        <v/>
      </c>
      <c r="K3823" s="4562">
        <f>IF(D3823="","",D3823*J3823)</f>
        <v/>
      </c>
      <c r="L3823" s="4562">
        <f>XLOOKUP(B3823,'_Sys|Line_Map'!$A:$A,'_Sys|Line_Map'!$B:$B,"MISSING",0)</f>
        <v/>
      </c>
    </row>
    <row r="3824">
      <c r="A3824" s="4561" t="n"/>
      <c r="B3824" s="4561" t="n"/>
      <c r="C3824" s="4561" t="n"/>
      <c r="D3824" s="4561" t="n"/>
      <c r="E3824" s="4561" t="n"/>
      <c r="F3824" s="4561" t="n"/>
      <c r="G3824" s="4561" t="n"/>
      <c r="H3824" s="4561" t="n"/>
      <c r="I3824" s="4562">
        <f>XLOOKUP(B3824,'_Sys|Line_Map'!$A:$A,'_Sys|Line_Map'!$C:$C,"MISSING",0)</f>
        <v/>
      </c>
      <c r="J3824" s="4562">
        <f>XLOOKUP(B3824,'_Sys|Line_Map'!$A:$A,'_Sys|Line_Map'!$D:$D,1,0)</f>
        <v/>
      </c>
      <c r="K3824" s="4562">
        <f>IF(D3824="","",D3824*J3824)</f>
        <v/>
      </c>
      <c r="L3824" s="4562">
        <f>XLOOKUP(B3824,'_Sys|Line_Map'!$A:$A,'_Sys|Line_Map'!$B:$B,"MISSING",0)</f>
        <v/>
      </c>
    </row>
    <row r="3825">
      <c r="A3825" s="4561" t="n"/>
      <c r="B3825" s="4561" t="n"/>
      <c r="C3825" s="4561" t="n"/>
      <c r="D3825" s="4561" t="n"/>
      <c r="E3825" s="4561" t="n"/>
      <c r="F3825" s="4561" t="n"/>
      <c r="G3825" s="4561" t="n"/>
      <c r="H3825" s="4561" t="n"/>
      <c r="I3825" s="4562">
        <f>XLOOKUP(B3825,'_Sys|Line_Map'!$A:$A,'_Sys|Line_Map'!$C:$C,"MISSING",0)</f>
        <v/>
      </c>
      <c r="J3825" s="4562">
        <f>XLOOKUP(B3825,'_Sys|Line_Map'!$A:$A,'_Sys|Line_Map'!$D:$D,1,0)</f>
        <v/>
      </c>
      <c r="K3825" s="4562">
        <f>IF(D3825="","",D3825*J3825)</f>
        <v/>
      </c>
      <c r="L3825" s="4562">
        <f>XLOOKUP(B3825,'_Sys|Line_Map'!$A:$A,'_Sys|Line_Map'!$B:$B,"MISSING",0)</f>
        <v/>
      </c>
    </row>
    <row r="3826">
      <c r="A3826" s="4561" t="n"/>
      <c r="B3826" s="4561" t="n"/>
      <c r="C3826" s="4561" t="n"/>
      <c r="D3826" s="4561" t="n"/>
      <c r="E3826" s="4561" t="n"/>
      <c r="F3826" s="4561" t="n"/>
      <c r="G3826" s="4561" t="n"/>
      <c r="H3826" s="4561" t="n"/>
      <c r="I3826" s="4562">
        <f>XLOOKUP(B3826,'_Sys|Line_Map'!$A:$A,'_Sys|Line_Map'!$C:$C,"MISSING",0)</f>
        <v/>
      </c>
      <c r="J3826" s="4562">
        <f>XLOOKUP(B3826,'_Sys|Line_Map'!$A:$A,'_Sys|Line_Map'!$D:$D,1,0)</f>
        <v/>
      </c>
      <c r="K3826" s="4562">
        <f>IF(D3826="","",D3826*J3826)</f>
        <v/>
      </c>
      <c r="L3826" s="4562">
        <f>XLOOKUP(B3826,'_Sys|Line_Map'!$A:$A,'_Sys|Line_Map'!$B:$B,"MISSING",0)</f>
        <v/>
      </c>
    </row>
    <row r="3827">
      <c r="A3827" s="4561" t="n"/>
      <c r="B3827" s="4561" t="n"/>
      <c r="C3827" s="4561" t="n"/>
      <c r="D3827" s="4561" t="n"/>
      <c r="E3827" s="4561" t="n"/>
      <c r="F3827" s="4561" t="n"/>
      <c r="G3827" s="4561" t="n"/>
      <c r="H3827" s="4561" t="n"/>
      <c r="I3827" s="4562">
        <f>XLOOKUP(B3827,'_Sys|Line_Map'!$A:$A,'_Sys|Line_Map'!$C:$C,"MISSING",0)</f>
        <v/>
      </c>
      <c r="J3827" s="4562">
        <f>XLOOKUP(B3827,'_Sys|Line_Map'!$A:$A,'_Sys|Line_Map'!$D:$D,1,0)</f>
        <v/>
      </c>
      <c r="K3827" s="4562">
        <f>IF(D3827="","",D3827*J3827)</f>
        <v/>
      </c>
      <c r="L3827" s="4562">
        <f>XLOOKUP(B3827,'_Sys|Line_Map'!$A:$A,'_Sys|Line_Map'!$B:$B,"MISSING",0)</f>
        <v/>
      </c>
    </row>
    <row r="3828">
      <c r="A3828" s="4561" t="n"/>
      <c r="B3828" s="4561" t="n"/>
      <c r="C3828" s="4561" t="n"/>
      <c r="D3828" s="4561" t="n"/>
      <c r="E3828" s="4561" t="n"/>
      <c r="F3828" s="4561" t="n"/>
      <c r="G3828" s="4561" t="n"/>
      <c r="H3828" s="4561" t="n"/>
      <c r="I3828" s="4562">
        <f>XLOOKUP(B3828,'_Sys|Line_Map'!$A:$A,'_Sys|Line_Map'!$C:$C,"MISSING",0)</f>
        <v/>
      </c>
      <c r="J3828" s="4562">
        <f>XLOOKUP(B3828,'_Sys|Line_Map'!$A:$A,'_Sys|Line_Map'!$D:$D,1,0)</f>
        <v/>
      </c>
      <c r="K3828" s="4562">
        <f>IF(D3828="","",D3828*J3828)</f>
        <v/>
      </c>
      <c r="L3828" s="4562">
        <f>XLOOKUP(B3828,'_Sys|Line_Map'!$A:$A,'_Sys|Line_Map'!$B:$B,"MISSING",0)</f>
        <v/>
      </c>
    </row>
    <row r="3829">
      <c r="A3829" s="4561" t="n"/>
      <c r="B3829" s="4561" t="n"/>
      <c r="C3829" s="4561" t="n"/>
      <c r="D3829" s="4561" t="n"/>
      <c r="E3829" s="4561" t="n"/>
      <c r="F3829" s="4561" t="n"/>
      <c r="G3829" s="4561" t="n"/>
      <c r="H3829" s="4561" t="n"/>
      <c r="I3829" s="4562">
        <f>XLOOKUP(B3829,'_Sys|Line_Map'!$A:$A,'_Sys|Line_Map'!$C:$C,"MISSING",0)</f>
        <v/>
      </c>
      <c r="J3829" s="4562">
        <f>XLOOKUP(B3829,'_Sys|Line_Map'!$A:$A,'_Sys|Line_Map'!$D:$D,1,0)</f>
        <v/>
      </c>
      <c r="K3829" s="4562">
        <f>IF(D3829="","",D3829*J3829)</f>
        <v/>
      </c>
      <c r="L3829" s="4562">
        <f>XLOOKUP(B3829,'_Sys|Line_Map'!$A:$A,'_Sys|Line_Map'!$B:$B,"MISSING",0)</f>
        <v/>
      </c>
    </row>
    <row r="3830">
      <c r="A3830" s="4561" t="n"/>
      <c r="B3830" s="4561" t="n"/>
      <c r="C3830" s="4561" t="n"/>
      <c r="D3830" s="4561" t="n"/>
      <c r="E3830" s="4561" t="n"/>
      <c r="F3830" s="4561" t="n"/>
      <c r="G3830" s="4561" t="n"/>
      <c r="H3830" s="4561" t="n"/>
      <c r="I3830" s="4562">
        <f>XLOOKUP(B3830,'_Sys|Line_Map'!$A:$A,'_Sys|Line_Map'!$C:$C,"MISSING",0)</f>
        <v/>
      </c>
      <c r="J3830" s="4562">
        <f>XLOOKUP(B3830,'_Sys|Line_Map'!$A:$A,'_Sys|Line_Map'!$D:$D,1,0)</f>
        <v/>
      </c>
      <c r="K3830" s="4562">
        <f>IF(D3830="","",D3830*J3830)</f>
        <v/>
      </c>
      <c r="L3830" s="4562">
        <f>XLOOKUP(B3830,'_Sys|Line_Map'!$A:$A,'_Sys|Line_Map'!$B:$B,"MISSING",0)</f>
        <v/>
      </c>
    </row>
    <row r="3831">
      <c r="A3831" s="4561" t="n"/>
      <c r="B3831" s="4561" t="n"/>
      <c r="C3831" s="4561" t="n"/>
      <c r="D3831" s="4561" t="n"/>
      <c r="E3831" s="4561" t="n"/>
      <c r="F3831" s="4561" t="n"/>
      <c r="G3831" s="4561" t="n"/>
      <c r="H3831" s="4561" t="n"/>
      <c r="I3831" s="4562">
        <f>XLOOKUP(B3831,'_Sys|Line_Map'!$A:$A,'_Sys|Line_Map'!$C:$C,"MISSING",0)</f>
        <v/>
      </c>
      <c r="J3831" s="4562">
        <f>XLOOKUP(B3831,'_Sys|Line_Map'!$A:$A,'_Sys|Line_Map'!$D:$D,1,0)</f>
        <v/>
      </c>
      <c r="K3831" s="4562">
        <f>IF(D3831="","",D3831*J3831)</f>
        <v/>
      </c>
      <c r="L3831" s="4562">
        <f>XLOOKUP(B3831,'_Sys|Line_Map'!$A:$A,'_Sys|Line_Map'!$B:$B,"MISSING",0)</f>
        <v/>
      </c>
    </row>
    <row r="3832">
      <c r="A3832" s="4561" t="n"/>
      <c r="B3832" s="4561" t="n"/>
      <c r="C3832" s="4561" t="n"/>
      <c r="D3832" s="4561" t="n"/>
      <c r="E3832" s="4561" t="n"/>
      <c r="F3832" s="4561" t="n"/>
      <c r="G3832" s="4561" t="n"/>
      <c r="H3832" s="4561" t="n"/>
      <c r="I3832" s="4562">
        <f>XLOOKUP(B3832,'_Sys|Line_Map'!$A:$A,'_Sys|Line_Map'!$C:$C,"MISSING",0)</f>
        <v/>
      </c>
      <c r="J3832" s="4562">
        <f>XLOOKUP(B3832,'_Sys|Line_Map'!$A:$A,'_Sys|Line_Map'!$D:$D,1,0)</f>
        <v/>
      </c>
      <c r="K3832" s="4562">
        <f>IF(D3832="","",D3832*J3832)</f>
        <v/>
      </c>
      <c r="L3832" s="4562">
        <f>XLOOKUP(B3832,'_Sys|Line_Map'!$A:$A,'_Sys|Line_Map'!$B:$B,"MISSING",0)</f>
        <v/>
      </c>
    </row>
    <row r="3833">
      <c r="A3833" s="4561" t="n"/>
      <c r="B3833" s="4561" t="n"/>
      <c r="C3833" s="4561" t="n"/>
      <c r="D3833" s="4561" t="n"/>
      <c r="E3833" s="4561" t="n"/>
      <c r="F3833" s="4561" t="n"/>
      <c r="G3833" s="4561" t="n"/>
      <c r="H3833" s="4561" t="n"/>
      <c r="I3833" s="4562">
        <f>XLOOKUP(B3833,'_Sys|Line_Map'!$A:$A,'_Sys|Line_Map'!$C:$C,"MISSING",0)</f>
        <v/>
      </c>
      <c r="J3833" s="4562">
        <f>XLOOKUP(B3833,'_Sys|Line_Map'!$A:$A,'_Sys|Line_Map'!$D:$D,1,0)</f>
        <v/>
      </c>
      <c r="K3833" s="4562">
        <f>IF(D3833="","",D3833*J3833)</f>
        <v/>
      </c>
      <c r="L3833" s="4562">
        <f>XLOOKUP(B3833,'_Sys|Line_Map'!$A:$A,'_Sys|Line_Map'!$B:$B,"MISSING",0)</f>
        <v/>
      </c>
    </row>
    <row r="3834">
      <c r="A3834" s="4561" t="n"/>
      <c r="B3834" s="4561" t="n"/>
      <c r="C3834" s="4561" t="n"/>
      <c r="D3834" s="4561" t="n"/>
      <c r="E3834" s="4561" t="n"/>
      <c r="F3834" s="4561" t="n"/>
      <c r="G3834" s="4561" t="n"/>
      <c r="H3834" s="4561" t="n"/>
      <c r="I3834" s="4562">
        <f>XLOOKUP(B3834,'_Sys|Line_Map'!$A:$A,'_Sys|Line_Map'!$C:$C,"MISSING",0)</f>
        <v/>
      </c>
      <c r="J3834" s="4562">
        <f>XLOOKUP(B3834,'_Sys|Line_Map'!$A:$A,'_Sys|Line_Map'!$D:$D,1,0)</f>
        <v/>
      </c>
      <c r="K3834" s="4562">
        <f>IF(D3834="","",D3834*J3834)</f>
        <v/>
      </c>
      <c r="L3834" s="4562">
        <f>XLOOKUP(B3834,'_Sys|Line_Map'!$A:$A,'_Sys|Line_Map'!$B:$B,"MISSING",0)</f>
        <v/>
      </c>
    </row>
    <row r="3835">
      <c r="A3835" s="4561" t="n"/>
      <c r="B3835" s="4561" t="n"/>
      <c r="C3835" s="4561" t="n"/>
      <c r="D3835" s="4561" t="n"/>
      <c r="E3835" s="4561" t="n"/>
      <c r="F3835" s="4561" t="n"/>
      <c r="G3835" s="4561" t="n"/>
      <c r="H3835" s="4561" t="n"/>
      <c r="I3835" s="4562">
        <f>XLOOKUP(B3835,'_Sys|Line_Map'!$A:$A,'_Sys|Line_Map'!$C:$C,"MISSING",0)</f>
        <v/>
      </c>
      <c r="J3835" s="4562">
        <f>XLOOKUP(B3835,'_Sys|Line_Map'!$A:$A,'_Sys|Line_Map'!$D:$D,1,0)</f>
        <v/>
      </c>
      <c r="K3835" s="4562">
        <f>IF(D3835="","",D3835*J3835)</f>
        <v/>
      </c>
      <c r="L3835" s="4562">
        <f>XLOOKUP(B3835,'_Sys|Line_Map'!$A:$A,'_Sys|Line_Map'!$B:$B,"MISSING",0)</f>
        <v/>
      </c>
    </row>
    <row r="3836">
      <c r="A3836" s="4561" t="n"/>
      <c r="B3836" s="4561" t="n"/>
      <c r="C3836" s="4561" t="n"/>
      <c r="D3836" s="4561" t="n"/>
      <c r="E3836" s="4561" t="n"/>
      <c r="F3836" s="4561" t="n"/>
      <c r="G3836" s="4561" t="n"/>
      <c r="H3836" s="4561" t="n"/>
      <c r="I3836" s="4562">
        <f>XLOOKUP(B3836,'_Sys|Line_Map'!$A:$A,'_Sys|Line_Map'!$C:$C,"MISSING",0)</f>
        <v/>
      </c>
      <c r="J3836" s="4562">
        <f>XLOOKUP(B3836,'_Sys|Line_Map'!$A:$A,'_Sys|Line_Map'!$D:$D,1,0)</f>
        <v/>
      </c>
      <c r="K3836" s="4562">
        <f>IF(D3836="","",D3836*J3836)</f>
        <v/>
      </c>
      <c r="L3836" s="4562">
        <f>XLOOKUP(B3836,'_Sys|Line_Map'!$A:$A,'_Sys|Line_Map'!$B:$B,"MISSING",0)</f>
        <v/>
      </c>
    </row>
    <row r="3837">
      <c r="A3837" s="4561" t="n"/>
      <c r="B3837" s="4561" t="n"/>
      <c r="C3837" s="4561" t="n"/>
      <c r="D3837" s="4561" t="n"/>
      <c r="E3837" s="4561" t="n"/>
      <c r="F3837" s="4561" t="n"/>
      <c r="G3837" s="4561" t="n"/>
      <c r="H3837" s="4561" t="n"/>
      <c r="I3837" s="4562">
        <f>XLOOKUP(B3837,'_Sys|Line_Map'!$A:$A,'_Sys|Line_Map'!$C:$C,"MISSING",0)</f>
        <v/>
      </c>
      <c r="J3837" s="4562">
        <f>XLOOKUP(B3837,'_Sys|Line_Map'!$A:$A,'_Sys|Line_Map'!$D:$D,1,0)</f>
        <v/>
      </c>
      <c r="K3837" s="4562">
        <f>IF(D3837="","",D3837*J3837)</f>
        <v/>
      </c>
      <c r="L3837" s="4562">
        <f>XLOOKUP(B3837,'_Sys|Line_Map'!$A:$A,'_Sys|Line_Map'!$B:$B,"MISSING",0)</f>
        <v/>
      </c>
    </row>
    <row r="3838">
      <c r="A3838" s="4561" t="n"/>
      <c r="B3838" s="4561" t="n"/>
      <c r="C3838" s="4561" t="n"/>
      <c r="D3838" s="4561" t="n"/>
      <c r="E3838" s="4561" t="n"/>
      <c r="F3838" s="4561" t="n"/>
      <c r="G3838" s="4561" t="n"/>
      <c r="H3838" s="4561" t="n"/>
      <c r="I3838" s="4562">
        <f>XLOOKUP(B3838,'_Sys|Line_Map'!$A:$A,'_Sys|Line_Map'!$C:$C,"MISSING",0)</f>
        <v/>
      </c>
      <c r="J3838" s="4562">
        <f>XLOOKUP(B3838,'_Sys|Line_Map'!$A:$A,'_Sys|Line_Map'!$D:$D,1,0)</f>
        <v/>
      </c>
      <c r="K3838" s="4562">
        <f>IF(D3838="","",D3838*J3838)</f>
        <v/>
      </c>
      <c r="L3838" s="4562">
        <f>XLOOKUP(B3838,'_Sys|Line_Map'!$A:$A,'_Sys|Line_Map'!$B:$B,"MISSING",0)</f>
        <v/>
      </c>
    </row>
    <row r="3839">
      <c r="A3839" s="4561" t="n"/>
      <c r="B3839" s="4561" t="n"/>
      <c r="C3839" s="4561" t="n"/>
      <c r="D3839" s="4561" t="n"/>
      <c r="E3839" s="4561" t="n"/>
      <c r="F3839" s="4561" t="n"/>
      <c r="G3839" s="4561" t="n"/>
      <c r="H3839" s="4561" t="n"/>
      <c r="I3839" s="4562">
        <f>XLOOKUP(B3839,'_Sys|Line_Map'!$A:$A,'_Sys|Line_Map'!$C:$C,"MISSING",0)</f>
        <v/>
      </c>
      <c r="J3839" s="4562">
        <f>XLOOKUP(B3839,'_Sys|Line_Map'!$A:$A,'_Sys|Line_Map'!$D:$D,1,0)</f>
        <v/>
      </c>
      <c r="K3839" s="4562">
        <f>IF(D3839="","",D3839*J3839)</f>
        <v/>
      </c>
      <c r="L3839" s="4562">
        <f>XLOOKUP(B3839,'_Sys|Line_Map'!$A:$A,'_Sys|Line_Map'!$B:$B,"MISSING",0)</f>
        <v/>
      </c>
    </row>
    <row r="3840">
      <c r="A3840" s="4561" t="n"/>
      <c r="B3840" s="4561" t="n"/>
      <c r="C3840" s="4561" t="n"/>
      <c r="D3840" s="4561" t="n"/>
      <c r="E3840" s="4561" t="n"/>
      <c r="F3840" s="4561" t="n"/>
      <c r="G3840" s="4561" t="n"/>
      <c r="H3840" s="4561" t="n"/>
      <c r="I3840" s="4562">
        <f>XLOOKUP(B3840,'_Sys|Line_Map'!$A:$A,'_Sys|Line_Map'!$C:$C,"MISSING",0)</f>
        <v/>
      </c>
      <c r="J3840" s="4562">
        <f>XLOOKUP(B3840,'_Sys|Line_Map'!$A:$A,'_Sys|Line_Map'!$D:$D,1,0)</f>
        <v/>
      </c>
      <c r="K3840" s="4562">
        <f>IF(D3840="","",D3840*J3840)</f>
        <v/>
      </c>
      <c r="L3840" s="4562">
        <f>XLOOKUP(B3840,'_Sys|Line_Map'!$A:$A,'_Sys|Line_Map'!$B:$B,"MISSING",0)</f>
        <v/>
      </c>
    </row>
    <row r="3841">
      <c r="A3841" s="4561" t="n"/>
      <c r="B3841" s="4561" t="n"/>
      <c r="C3841" s="4561" t="n"/>
      <c r="D3841" s="4561" t="n"/>
      <c r="E3841" s="4561" t="n"/>
      <c r="F3841" s="4561" t="n"/>
      <c r="G3841" s="4561" t="n"/>
      <c r="H3841" s="4561" t="n"/>
      <c r="I3841" s="4562">
        <f>XLOOKUP(B3841,'_Sys|Line_Map'!$A:$A,'_Sys|Line_Map'!$C:$C,"MISSING",0)</f>
        <v/>
      </c>
      <c r="J3841" s="4562">
        <f>XLOOKUP(B3841,'_Sys|Line_Map'!$A:$A,'_Sys|Line_Map'!$D:$D,1,0)</f>
        <v/>
      </c>
      <c r="K3841" s="4562">
        <f>IF(D3841="","",D3841*J3841)</f>
        <v/>
      </c>
      <c r="L3841" s="4562">
        <f>XLOOKUP(B3841,'_Sys|Line_Map'!$A:$A,'_Sys|Line_Map'!$B:$B,"MISSING",0)</f>
        <v/>
      </c>
    </row>
    <row r="3842">
      <c r="A3842" s="4561" t="n"/>
      <c r="B3842" s="4561" t="n"/>
      <c r="C3842" s="4561" t="n"/>
      <c r="D3842" s="4561" t="n"/>
      <c r="E3842" s="4561" t="n"/>
      <c r="F3842" s="4561" t="n"/>
      <c r="G3842" s="4561" t="n"/>
      <c r="H3842" s="4561" t="n"/>
      <c r="I3842" s="4562">
        <f>XLOOKUP(B3842,'_Sys|Line_Map'!$A:$A,'_Sys|Line_Map'!$C:$C,"MISSING",0)</f>
        <v/>
      </c>
      <c r="J3842" s="4562">
        <f>XLOOKUP(B3842,'_Sys|Line_Map'!$A:$A,'_Sys|Line_Map'!$D:$D,1,0)</f>
        <v/>
      </c>
      <c r="K3842" s="4562">
        <f>IF(D3842="","",D3842*J3842)</f>
        <v/>
      </c>
      <c r="L3842" s="4562">
        <f>XLOOKUP(B3842,'_Sys|Line_Map'!$A:$A,'_Sys|Line_Map'!$B:$B,"MISSING",0)</f>
        <v/>
      </c>
    </row>
    <row r="3843">
      <c r="A3843" s="4561" t="n"/>
      <c r="B3843" s="4561" t="n"/>
      <c r="C3843" s="4561" t="n"/>
      <c r="D3843" s="4561" t="n"/>
      <c r="E3843" s="4561" t="n"/>
      <c r="F3843" s="4561" t="n"/>
      <c r="G3843" s="4561" t="n"/>
      <c r="H3843" s="4561" t="n"/>
      <c r="I3843" s="4562">
        <f>XLOOKUP(B3843,'_Sys|Line_Map'!$A:$A,'_Sys|Line_Map'!$C:$C,"MISSING",0)</f>
        <v/>
      </c>
      <c r="J3843" s="4562">
        <f>XLOOKUP(B3843,'_Sys|Line_Map'!$A:$A,'_Sys|Line_Map'!$D:$D,1,0)</f>
        <v/>
      </c>
      <c r="K3843" s="4562">
        <f>IF(D3843="","",D3843*J3843)</f>
        <v/>
      </c>
      <c r="L3843" s="4562">
        <f>XLOOKUP(B3843,'_Sys|Line_Map'!$A:$A,'_Sys|Line_Map'!$B:$B,"MISSING",0)</f>
        <v/>
      </c>
    </row>
    <row r="3844">
      <c r="A3844" s="4561" t="n"/>
      <c r="B3844" s="4561" t="n"/>
      <c r="C3844" s="4561" t="n"/>
      <c r="D3844" s="4561" t="n"/>
      <c r="E3844" s="4561" t="n"/>
      <c r="F3844" s="4561" t="n"/>
      <c r="G3844" s="4561" t="n"/>
      <c r="H3844" s="4561" t="n"/>
      <c r="I3844" s="4562">
        <f>XLOOKUP(B3844,'_Sys|Line_Map'!$A:$A,'_Sys|Line_Map'!$C:$C,"MISSING",0)</f>
        <v/>
      </c>
      <c r="J3844" s="4562">
        <f>XLOOKUP(B3844,'_Sys|Line_Map'!$A:$A,'_Sys|Line_Map'!$D:$D,1,0)</f>
        <v/>
      </c>
      <c r="K3844" s="4562">
        <f>IF(D3844="","",D3844*J3844)</f>
        <v/>
      </c>
      <c r="L3844" s="4562">
        <f>XLOOKUP(B3844,'_Sys|Line_Map'!$A:$A,'_Sys|Line_Map'!$B:$B,"MISSING",0)</f>
        <v/>
      </c>
    </row>
    <row r="3845">
      <c r="A3845" s="4561" t="n"/>
      <c r="B3845" s="4561" t="n"/>
      <c r="C3845" s="4561" t="n"/>
      <c r="D3845" s="4561" t="n"/>
      <c r="E3845" s="4561" t="n"/>
      <c r="F3845" s="4561" t="n"/>
      <c r="G3845" s="4561" t="n"/>
      <c r="H3845" s="4561" t="n"/>
      <c r="I3845" s="4562">
        <f>XLOOKUP(B3845,'_Sys|Line_Map'!$A:$A,'_Sys|Line_Map'!$C:$C,"MISSING",0)</f>
        <v/>
      </c>
      <c r="J3845" s="4562">
        <f>XLOOKUP(B3845,'_Sys|Line_Map'!$A:$A,'_Sys|Line_Map'!$D:$D,1,0)</f>
        <v/>
      </c>
      <c r="K3845" s="4562">
        <f>IF(D3845="","",D3845*J3845)</f>
        <v/>
      </c>
      <c r="L3845" s="4562">
        <f>XLOOKUP(B3845,'_Sys|Line_Map'!$A:$A,'_Sys|Line_Map'!$B:$B,"MISSING",0)</f>
        <v/>
      </c>
    </row>
    <row r="3846">
      <c r="A3846" s="4561" t="n"/>
      <c r="B3846" s="4561" t="n"/>
      <c r="C3846" s="4561" t="n"/>
      <c r="D3846" s="4561" t="n"/>
      <c r="E3846" s="4561" t="n"/>
      <c r="F3846" s="4561" t="n"/>
      <c r="G3846" s="4561" t="n"/>
      <c r="H3846" s="4561" t="n"/>
      <c r="I3846" s="4562">
        <f>XLOOKUP(B3846,'_Sys|Line_Map'!$A:$A,'_Sys|Line_Map'!$C:$C,"MISSING",0)</f>
        <v/>
      </c>
      <c r="J3846" s="4562">
        <f>XLOOKUP(B3846,'_Sys|Line_Map'!$A:$A,'_Sys|Line_Map'!$D:$D,1,0)</f>
        <v/>
      </c>
      <c r="K3846" s="4562">
        <f>IF(D3846="","",D3846*J3846)</f>
        <v/>
      </c>
      <c r="L3846" s="4562">
        <f>XLOOKUP(B3846,'_Sys|Line_Map'!$A:$A,'_Sys|Line_Map'!$B:$B,"MISSING",0)</f>
        <v/>
      </c>
    </row>
    <row r="3847">
      <c r="A3847" s="4561" t="n"/>
      <c r="B3847" s="4561" t="n"/>
      <c r="C3847" s="4561" t="n"/>
      <c r="D3847" s="4561" t="n"/>
      <c r="E3847" s="4561" t="n"/>
      <c r="F3847" s="4561" t="n"/>
      <c r="G3847" s="4561" t="n"/>
      <c r="H3847" s="4561" t="n"/>
      <c r="I3847" s="4562">
        <f>XLOOKUP(B3847,'_Sys|Line_Map'!$A:$A,'_Sys|Line_Map'!$C:$C,"MISSING",0)</f>
        <v/>
      </c>
      <c r="J3847" s="4562">
        <f>XLOOKUP(B3847,'_Sys|Line_Map'!$A:$A,'_Sys|Line_Map'!$D:$D,1,0)</f>
        <v/>
      </c>
      <c r="K3847" s="4562">
        <f>IF(D3847="","",D3847*J3847)</f>
        <v/>
      </c>
      <c r="L3847" s="4562">
        <f>XLOOKUP(B3847,'_Sys|Line_Map'!$A:$A,'_Sys|Line_Map'!$B:$B,"MISSING",0)</f>
        <v/>
      </c>
    </row>
    <row r="3848">
      <c r="A3848" s="4561" t="n"/>
      <c r="B3848" s="4561" t="n"/>
      <c r="C3848" s="4561" t="n"/>
      <c r="D3848" s="4561" t="n"/>
      <c r="E3848" s="4561" t="n"/>
      <c r="F3848" s="4561" t="n"/>
      <c r="G3848" s="4561" t="n"/>
      <c r="H3848" s="4561" t="n"/>
      <c r="I3848" s="4562">
        <f>XLOOKUP(B3848,'_Sys|Line_Map'!$A:$A,'_Sys|Line_Map'!$C:$C,"MISSING",0)</f>
        <v/>
      </c>
      <c r="J3848" s="4562">
        <f>XLOOKUP(B3848,'_Sys|Line_Map'!$A:$A,'_Sys|Line_Map'!$D:$D,1,0)</f>
        <v/>
      </c>
      <c r="K3848" s="4562">
        <f>IF(D3848="","",D3848*J3848)</f>
        <v/>
      </c>
      <c r="L3848" s="4562">
        <f>XLOOKUP(B3848,'_Sys|Line_Map'!$A:$A,'_Sys|Line_Map'!$B:$B,"MISSING",0)</f>
        <v/>
      </c>
    </row>
    <row r="3849">
      <c r="A3849" s="4561" t="n"/>
      <c r="B3849" s="4561" t="n"/>
      <c r="C3849" s="4561" t="n"/>
      <c r="D3849" s="4561" t="n"/>
      <c r="E3849" s="4561" t="n"/>
      <c r="F3849" s="4561" t="n"/>
      <c r="G3849" s="4561" t="n"/>
      <c r="H3849" s="4561" t="n"/>
      <c r="I3849" s="4562">
        <f>XLOOKUP(B3849,'_Sys|Line_Map'!$A:$A,'_Sys|Line_Map'!$C:$C,"MISSING",0)</f>
        <v/>
      </c>
      <c r="J3849" s="4562">
        <f>XLOOKUP(B3849,'_Sys|Line_Map'!$A:$A,'_Sys|Line_Map'!$D:$D,1,0)</f>
        <v/>
      </c>
      <c r="K3849" s="4562">
        <f>IF(D3849="","",D3849*J3849)</f>
        <v/>
      </c>
      <c r="L3849" s="4562">
        <f>XLOOKUP(B3849,'_Sys|Line_Map'!$A:$A,'_Sys|Line_Map'!$B:$B,"MISSING",0)</f>
        <v/>
      </c>
    </row>
    <row r="3850">
      <c r="A3850" s="4561" t="n"/>
      <c r="B3850" s="4561" t="n"/>
      <c r="C3850" s="4561" t="n"/>
      <c r="D3850" s="4561" t="n"/>
      <c r="E3850" s="4561" t="n"/>
      <c r="F3850" s="4561" t="n"/>
      <c r="G3850" s="4561" t="n"/>
      <c r="H3850" s="4561" t="n"/>
      <c r="I3850" s="4562">
        <f>XLOOKUP(B3850,'_Sys|Line_Map'!$A:$A,'_Sys|Line_Map'!$C:$C,"MISSING",0)</f>
        <v/>
      </c>
      <c r="J3850" s="4562">
        <f>XLOOKUP(B3850,'_Sys|Line_Map'!$A:$A,'_Sys|Line_Map'!$D:$D,1,0)</f>
        <v/>
      </c>
      <c r="K3850" s="4562">
        <f>IF(D3850="","",D3850*J3850)</f>
        <v/>
      </c>
      <c r="L3850" s="4562">
        <f>XLOOKUP(B3850,'_Sys|Line_Map'!$A:$A,'_Sys|Line_Map'!$B:$B,"MISSING",0)</f>
        <v/>
      </c>
    </row>
    <row r="3851">
      <c r="A3851" s="4561" t="n"/>
      <c r="B3851" s="4561" t="n"/>
      <c r="C3851" s="4561" t="n"/>
      <c r="D3851" s="4561" t="n"/>
      <c r="E3851" s="4561" t="n"/>
      <c r="F3851" s="4561" t="n"/>
      <c r="G3851" s="4561" t="n"/>
      <c r="H3851" s="4561" t="n"/>
      <c r="I3851" s="4562">
        <f>XLOOKUP(B3851,'_Sys|Line_Map'!$A:$A,'_Sys|Line_Map'!$C:$C,"MISSING",0)</f>
        <v/>
      </c>
      <c r="J3851" s="4562">
        <f>XLOOKUP(B3851,'_Sys|Line_Map'!$A:$A,'_Sys|Line_Map'!$D:$D,1,0)</f>
        <v/>
      </c>
      <c r="K3851" s="4562">
        <f>IF(D3851="","",D3851*J3851)</f>
        <v/>
      </c>
      <c r="L3851" s="4562">
        <f>XLOOKUP(B3851,'_Sys|Line_Map'!$A:$A,'_Sys|Line_Map'!$B:$B,"MISSING",0)</f>
        <v/>
      </c>
    </row>
    <row r="3852">
      <c r="A3852" s="4561" t="n"/>
      <c r="B3852" s="4561" t="n"/>
      <c r="C3852" s="4561" t="n"/>
      <c r="D3852" s="4561" t="n"/>
      <c r="E3852" s="4561" t="n"/>
      <c r="F3852" s="4561" t="n"/>
      <c r="G3852" s="4561" t="n"/>
      <c r="H3852" s="4561" t="n"/>
      <c r="I3852" s="4562">
        <f>XLOOKUP(B3852,'_Sys|Line_Map'!$A:$A,'_Sys|Line_Map'!$C:$C,"MISSING",0)</f>
        <v/>
      </c>
      <c r="J3852" s="4562">
        <f>XLOOKUP(B3852,'_Sys|Line_Map'!$A:$A,'_Sys|Line_Map'!$D:$D,1,0)</f>
        <v/>
      </c>
      <c r="K3852" s="4562">
        <f>IF(D3852="","",D3852*J3852)</f>
        <v/>
      </c>
      <c r="L3852" s="4562">
        <f>XLOOKUP(B3852,'_Sys|Line_Map'!$A:$A,'_Sys|Line_Map'!$B:$B,"MISSING",0)</f>
        <v/>
      </c>
    </row>
    <row r="3853">
      <c r="A3853" s="4561" t="n"/>
      <c r="B3853" s="4561" t="n"/>
      <c r="C3853" s="4561" t="n"/>
      <c r="D3853" s="4561" t="n"/>
      <c r="E3853" s="4561" t="n"/>
      <c r="F3853" s="4561" t="n"/>
      <c r="G3853" s="4561" t="n"/>
      <c r="H3853" s="4561" t="n"/>
      <c r="I3853" s="4562">
        <f>XLOOKUP(B3853,'_Sys|Line_Map'!$A:$A,'_Sys|Line_Map'!$C:$C,"MISSING",0)</f>
        <v/>
      </c>
      <c r="J3853" s="4562">
        <f>XLOOKUP(B3853,'_Sys|Line_Map'!$A:$A,'_Sys|Line_Map'!$D:$D,1,0)</f>
        <v/>
      </c>
      <c r="K3853" s="4562">
        <f>IF(D3853="","",D3853*J3853)</f>
        <v/>
      </c>
      <c r="L3853" s="4562">
        <f>XLOOKUP(B3853,'_Sys|Line_Map'!$A:$A,'_Sys|Line_Map'!$B:$B,"MISSING",0)</f>
        <v/>
      </c>
    </row>
    <row r="3854">
      <c r="A3854" s="4561" t="n"/>
      <c r="B3854" s="4561" t="n"/>
      <c r="C3854" s="4561" t="n"/>
      <c r="D3854" s="4561" t="n"/>
      <c r="E3854" s="4561" t="n"/>
      <c r="F3854" s="4561" t="n"/>
      <c r="G3854" s="4561" t="n"/>
      <c r="H3854" s="4561" t="n"/>
      <c r="I3854" s="4562">
        <f>XLOOKUP(B3854,'_Sys|Line_Map'!$A:$A,'_Sys|Line_Map'!$C:$C,"MISSING",0)</f>
        <v/>
      </c>
      <c r="J3854" s="4562">
        <f>XLOOKUP(B3854,'_Sys|Line_Map'!$A:$A,'_Sys|Line_Map'!$D:$D,1,0)</f>
        <v/>
      </c>
      <c r="K3854" s="4562">
        <f>IF(D3854="","",D3854*J3854)</f>
        <v/>
      </c>
      <c r="L3854" s="4562">
        <f>XLOOKUP(B3854,'_Sys|Line_Map'!$A:$A,'_Sys|Line_Map'!$B:$B,"MISSING",0)</f>
        <v/>
      </c>
    </row>
    <row r="3855">
      <c r="A3855" s="4561" t="n"/>
      <c r="B3855" s="4561" t="n"/>
      <c r="C3855" s="4561" t="n"/>
      <c r="D3855" s="4561" t="n"/>
      <c r="E3855" s="4561" t="n"/>
      <c r="F3855" s="4561" t="n"/>
      <c r="G3855" s="4561" t="n"/>
      <c r="H3855" s="4561" t="n"/>
      <c r="I3855" s="4562">
        <f>XLOOKUP(B3855,'_Sys|Line_Map'!$A:$A,'_Sys|Line_Map'!$C:$C,"MISSING",0)</f>
        <v/>
      </c>
      <c r="J3855" s="4562">
        <f>XLOOKUP(B3855,'_Sys|Line_Map'!$A:$A,'_Sys|Line_Map'!$D:$D,1,0)</f>
        <v/>
      </c>
      <c r="K3855" s="4562">
        <f>IF(D3855="","",D3855*J3855)</f>
        <v/>
      </c>
      <c r="L3855" s="4562">
        <f>XLOOKUP(B3855,'_Sys|Line_Map'!$A:$A,'_Sys|Line_Map'!$B:$B,"MISSING",0)</f>
        <v/>
      </c>
    </row>
    <row r="3856">
      <c r="A3856" s="4561" t="n"/>
      <c r="B3856" s="4561" t="n"/>
      <c r="C3856" s="4561" t="n"/>
      <c r="D3856" s="4561" t="n"/>
      <c r="E3856" s="4561" t="n"/>
      <c r="F3856" s="4561" t="n"/>
      <c r="G3856" s="4561" t="n"/>
      <c r="H3856" s="4561" t="n"/>
      <c r="I3856" s="4562">
        <f>XLOOKUP(B3856,'_Sys|Line_Map'!$A:$A,'_Sys|Line_Map'!$C:$C,"MISSING",0)</f>
        <v/>
      </c>
      <c r="J3856" s="4562">
        <f>XLOOKUP(B3856,'_Sys|Line_Map'!$A:$A,'_Sys|Line_Map'!$D:$D,1,0)</f>
        <v/>
      </c>
      <c r="K3856" s="4562">
        <f>IF(D3856="","",D3856*J3856)</f>
        <v/>
      </c>
      <c r="L3856" s="4562">
        <f>XLOOKUP(B3856,'_Sys|Line_Map'!$A:$A,'_Sys|Line_Map'!$B:$B,"MISSING",0)</f>
        <v/>
      </c>
    </row>
    <row r="3857">
      <c r="A3857" s="4561" t="n"/>
      <c r="B3857" s="4561" t="n"/>
      <c r="C3857" s="4561" t="n"/>
      <c r="D3857" s="4561" t="n"/>
      <c r="E3857" s="4561" t="n"/>
      <c r="F3857" s="4561" t="n"/>
      <c r="G3857" s="4561" t="n"/>
      <c r="H3857" s="4561" t="n"/>
      <c r="I3857" s="4562">
        <f>XLOOKUP(B3857,'_Sys|Line_Map'!$A:$A,'_Sys|Line_Map'!$C:$C,"MISSING",0)</f>
        <v/>
      </c>
      <c r="J3857" s="4562">
        <f>XLOOKUP(B3857,'_Sys|Line_Map'!$A:$A,'_Sys|Line_Map'!$D:$D,1,0)</f>
        <v/>
      </c>
      <c r="K3857" s="4562">
        <f>IF(D3857="","",D3857*J3857)</f>
        <v/>
      </c>
      <c r="L3857" s="4562">
        <f>XLOOKUP(B3857,'_Sys|Line_Map'!$A:$A,'_Sys|Line_Map'!$B:$B,"MISSING",0)</f>
        <v/>
      </c>
    </row>
    <row r="3858">
      <c r="A3858" s="4561" t="n"/>
      <c r="B3858" s="4561" t="n"/>
      <c r="C3858" s="4561" t="n"/>
      <c r="D3858" s="4561" t="n"/>
      <c r="E3858" s="4561" t="n"/>
      <c r="F3858" s="4561" t="n"/>
      <c r="G3858" s="4561" t="n"/>
      <c r="H3858" s="4561" t="n"/>
      <c r="I3858" s="4562">
        <f>XLOOKUP(B3858,'_Sys|Line_Map'!$A:$A,'_Sys|Line_Map'!$C:$C,"MISSING",0)</f>
        <v/>
      </c>
      <c r="J3858" s="4562">
        <f>XLOOKUP(B3858,'_Sys|Line_Map'!$A:$A,'_Sys|Line_Map'!$D:$D,1,0)</f>
        <v/>
      </c>
      <c r="K3858" s="4562">
        <f>IF(D3858="","",D3858*J3858)</f>
        <v/>
      </c>
      <c r="L3858" s="4562">
        <f>XLOOKUP(B3858,'_Sys|Line_Map'!$A:$A,'_Sys|Line_Map'!$B:$B,"MISSING",0)</f>
        <v/>
      </c>
    </row>
    <row r="3859">
      <c r="A3859" s="4561" t="n"/>
      <c r="B3859" s="4561" t="n"/>
      <c r="C3859" s="4561" t="n"/>
      <c r="D3859" s="4561" t="n"/>
      <c r="E3859" s="4561" t="n"/>
      <c r="F3859" s="4561" t="n"/>
      <c r="G3859" s="4561" t="n"/>
      <c r="H3859" s="4561" t="n"/>
      <c r="I3859" s="4562">
        <f>XLOOKUP(B3859,'_Sys|Line_Map'!$A:$A,'_Sys|Line_Map'!$C:$C,"MISSING",0)</f>
        <v/>
      </c>
      <c r="J3859" s="4562">
        <f>XLOOKUP(B3859,'_Sys|Line_Map'!$A:$A,'_Sys|Line_Map'!$D:$D,1,0)</f>
        <v/>
      </c>
      <c r="K3859" s="4562">
        <f>IF(D3859="","",D3859*J3859)</f>
        <v/>
      </c>
      <c r="L3859" s="4562">
        <f>XLOOKUP(B3859,'_Sys|Line_Map'!$A:$A,'_Sys|Line_Map'!$B:$B,"MISSING",0)</f>
        <v/>
      </c>
    </row>
    <row r="3860">
      <c r="A3860" s="4561" t="n"/>
      <c r="B3860" s="4561" t="n"/>
      <c r="C3860" s="4561" t="n"/>
      <c r="D3860" s="4561" t="n"/>
      <c r="E3860" s="4561" t="n"/>
      <c r="F3860" s="4561" t="n"/>
      <c r="G3860" s="4561" t="n"/>
      <c r="H3860" s="4561" t="n"/>
      <c r="I3860" s="4562">
        <f>XLOOKUP(B3860,'_Sys|Line_Map'!$A:$A,'_Sys|Line_Map'!$C:$C,"MISSING",0)</f>
        <v/>
      </c>
      <c r="J3860" s="4562">
        <f>XLOOKUP(B3860,'_Sys|Line_Map'!$A:$A,'_Sys|Line_Map'!$D:$D,1,0)</f>
        <v/>
      </c>
      <c r="K3860" s="4562">
        <f>IF(D3860="","",D3860*J3860)</f>
        <v/>
      </c>
      <c r="L3860" s="4562">
        <f>XLOOKUP(B3860,'_Sys|Line_Map'!$A:$A,'_Sys|Line_Map'!$B:$B,"MISSING",0)</f>
        <v/>
      </c>
    </row>
    <row r="3861">
      <c r="A3861" s="4561" t="n"/>
      <c r="B3861" s="4561" t="n"/>
      <c r="C3861" s="4561" t="n"/>
      <c r="D3861" s="4561" t="n"/>
      <c r="E3861" s="4561" t="n"/>
      <c r="F3861" s="4561" t="n"/>
      <c r="G3861" s="4561" t="n"/>
      <c r="H3861" s="4561" t="n"/>
      <c r="I3861" s="4562">
        <f>XLOOKUP(B3861,'_Sys|Line_Map'!$A:$A,'_Sys|Line_Map'!$C:$C,"MISSING",0)</f>
        <v/>
      </c>
      <c r="J3861" s="4562">
        <f>XLOOKUP(B3861,'_Sys|Line_Map'!$A:$A,'_Sys|Line_Map'!$D:$D,1,0)</f>
        <v/>
      </c>
      <c r="K3861" s="4562">
        <f>IF(D3861="","",D3861*J3861)</f>
        <v/>
      </c>
      <c r="L3861" s="4562">
        <f>XLOOKUP(B3861,'_Sys|Line_Map'!$A:$A,'_Sys|Line_Map'!$B:$B,"MISSING",0)</f>
        <v/>
      </c>
    </row>
    <row r="3862">
      <c r="A3862" s="4561" t="n"/>
      <c r="B3862" s="4561" t="n"/>
      <c r="C3862" s="4561" t="n"/>
      <c r="D3862" s="4561" t="n"/>
      <c r="E3862" s="4561" t="n"/>
      <c r="F3862" s="4561" t="n"/>
      <c r="G3862" s="4561" t="n"/>
      <c r="H3862" s="4561" t="n"/>
      <c r="I3862" s="4562">
        <f>XLOOKUP(B3862,'_Sys|Line_Map'!$A:$A,'_Sys|Line_Map'!$C:$C,"MISSING",0)</f>
        <v/>
      </c>
      <c r="J3862" s="4562">
        <f>XLOOKUP(B3862,'_Sys|Line_Map'!$A:$A,'_Sys|Line_Map'!$D:$D,1,0)</f>
        <v/>
      </c>
      <c r="K3862" s="4562">
        <f>IF(D3862="","",D3862*J3862)</f>
        <v/>
      </c>
      <c r="L3862" s="4562">
        <f>XLOOKUP(B3862,'_Sys|Line_Map'!$A:$A,'_Sys|Line_Map'!$B:$B,"MISSING",0)</f>
        <v/>
      </c>
    </row>
    <row r="3863">
      <c r="A3863" s="4561" t="n"/>
      <c r="B3863" s="4561" t="n"/>
      <c r="C3863" s="4561" t="n"/>
      <c r="D3863" s="4561" t="n"/>
      <c r="E3863" s="4561" t="n"/>
      <c r="F3863" s="4561" t="n"/>
      <c r="G3863" s="4561" t="n"/>
      <c r="H3863" s="4561" t="n"/>
      <c r="I3863" s="4562">
        <f>XLOOKUP(B3863,'_Sys|Line_Map'!$A:$A,'_Sys|Line_Map'!$C:$C,"MISSING",0)</f>
        <v/>
      </c>
      <c r="J3863" s="4562">
        <f>XLOOKUP(B3863,'_Sys|Line_Map'!$A:$A,'_Sys|Line_Map'!$D:$D,1,0)</f>
        <v/>
      </c>
      <c r="K3863" s="4562">
        <f>IF(D3863="","",D3863*J3863)</f>
        <v/>
      </c>
      <c r="L3863" s="4562">
        <f>XLOOKUP(B3863,'_Sys|Line_Map'!$A:$A,'_Sys|Line_Map'!$B:$B,"MISSING",0)</f>
        <v/>
      </c>
    </row>
    <row r="3864">
      <c r="A3864" s="4561" t="n"/>
      <c r="B3864" s="4561" t="n"/>
      <c r="C3864" s="4561" t="n"/>
      <c r="D3864" s="4561" t="n"/>
      <c r="E3864" s="4561" t="n"/>
      <c r="F3864" s="4561" t="n"/>
      <c r="G3864" s="4561" t="n"/>
      <c r="H3864" s="4561" t="n"/>
      <c r="I3864" s="4562">
        <f>XLOOKUP(B3864,'_Sys|Line_Map'!$A:$A,'_Sys|Line_Map'!$C:$C,"MISSING",0)</f>
        <v/>
      </c>
      <c r="J3864" s="4562">
        <f>XLOOKUP(B3864,'_Sys|Line_Map'!$A:$A,'_Sys|Line_Map'!$D:$D,1,0)</f>
        <v/>
      </c>
      <c r="K3864" s="4562">
        <f>IF(D3864="","",D3864*J3864)</f>
        <v/>
      </c>
      <c r="L3864" s="4562">
        <f>XLOOKUP(B3864,'_Sys|Line_Map'!$A:$A,'_Sys|Line_Map'!$B:$B,"MISSING",0)</f>
        <v/>
      </c>
    </row>
    <row r="3865">
      <c r="A3865" s="4561" t="n"/>
      <c r="B3865" s="4561" t="n"/>
      <c r="C3865" s="4561" t="n"/>
      <c r="D3865" s="4561" t="n"/>
      <c r="E3865" s="4561" t="n"/>
      <c r="F3865" s="4561" t="n"/>
      <c r="G3865" s="4561" t="n"/>
      <c r="H3865" s="4561" t="n"/>
      <c r="I3865" s="4562">
        <f>XLOOKUP(B3865,'_Sys|Line_Map'!$A:$A,'_Sys|Line_Map'!$C:$C,"MISSING",0)</f>
        <v/>
      </c>
      <c r="J3865" s="4562">
        <f>XLOOKUP(B3865,'_Sys|Line_Map'!$A:$A,'_Sys|Line_Map'!$D:$D,1,0)</f>
        <v/>
      </c>
      <c r="K3865" s="4562">
        <f>IF(D3865="","",D3865*J3865)</f>
        <v/>
      </c>
      <c r="L3865" s="4562">
        <f>XLOOKUP(B3865,'_Sys|Line_Map'!$A:$A,'_Sys|Line_Map'!$B:$B,"MISSING",0)</f>
        <v/>
      </c>
    </row>
    <row r="3866">
      <c r="A3866" s="4561" t="n"/>
      <c r="B3866" s="4561" t="n"/>
      <c r="C3866" s="4561" t="n"/>
      <c r="D3866" s="4561" t="n"/>
      <c r="E3866" s="4561" t="n"/>
      <c r="F3866" s="4561" t="n"/>
      <c r="G3866" s="4561" t="n"/>
      <c r="H3866" s="4561" t="n"/>
      <c r="I3866" s="4562">
        <f>XLOOKUP(B3866,'_Sys|Line_Map'!$A:$A,'_Sys|Line_Map'!$C:$C,"MISSING",0)</f>
        <v/>
      </c>
      <c r="J3866" s="4562">
        <f>XLOOKUP(B3866,'_Sys|Line_Map'!$A:$A,'_Sys|Line_Map'!$D:$D,1,0)</f>
        <v/>
      </c>
      <c r="K3866" s="4562">
        <f>IF(D3866="","",D3866*J3866)</f>
        <v/>
      </c>
      <c r="L3866" s="4562">
        <f>XLOOKUP(B3866,'_Sys|Line_Map'!$A:$A,'_Sys|Line_Map'!$B:$B,"MISSING",0)</f>
        <v/>
      </c>
    </row>
    <row r="3867">
      <c r="A3867" s="4561" t="n"/>
      <c r="B3867" s="4561" t="n"/>
      <c r="C3867" s="4561" t="n"/>
      <c r="D3867" s="4561" t="n"/>
      <c r="E3867" s="4561" t="n"/>
      <c r="F3867" s="4561" t="n"/>
      <c r="G3867" s="4561" t="n"/>
      <c r="H3867" s="4561" t="n"/>
      <c r="I3867" s="4562">
        <f>XLOOKUP(B3867,'_Sys|Line_Map'!$A:$A,'_Sys|Line_Map'!$C:$C,"MISSING",0)</f>
        <v/>
      </c>
      <c r="J3867" s="4562">
        <f>XLOOKUP(B3867,'_Sys|Line_Map'!$A:$A,'_Sys|Line_Map'!$D:$D,1,0)</f>
        <v/>
      </c>
      <c r="K3867" s="4562">
        <f>IF(D3867="","",D3867*J3867)</f>
        <v/>
      </c>
      <c r="L3867" s="4562">
        <f>XLOOKUP(B3867,'_Sys|Line_Map'!$A:$A,'_Sys|Line_Map'!$B:$B,"MISSING",0)</f>
        <v/>
      </c>
    </row>
    <row r="3868">
      <c r="A3868" s="4561" t="n"/>
      <c r="B3868" s="4561" t="n"/>
      <c r="C3868" s="4561" t="n"/>
      <c r="D3868" s="4561" t="n"/>
      <c r="E3868" s="4561" t="n"/>
      <c r="F3868" s="4561" t="n"/>
      <c r="G3868" s="4561" t="n"/>
      <c r="H3868" s="4561" t="n"/>
      <c r="I3868" s="4562">
        <f>XLOOKUP(B3868,'_Sys|Line_Map'!$A:$A,'_Sys|Line_Map'!$C:$C,"MISSING",0)</f>
        <v/>
      </c>
      <c r="J3868" s="4562">
        <f>XLOOKUP(B3868,'_Sys|Line_Map'!$A:$A,'_Sys|Line_Map'!$D:$D,1,0)</f>
        <v/>
      </c>
      <c r="K3868" s="4562">
        <f>IF(D3868="","",D3868*J3868)</f>
        <v/>
      </c>
      <c r="L3868" s="4562">
        <f>XLOOKUP(B3868,'_Sys|Line_Map'!$A:$A,'_Sys|Line_Map'!$B:$B,"MISSING",0)</f>
        <v/>
      </c>
    </row>
    <row r="3869">
      <c r="A3869" s="4561" t="n"/>
      <c r="B3869" s="4561" t="n"/>
      <c r="C3869" s="4561" t="n"/>
      <c r="D3869" s="4561" t="n"/>
      <c r="E3869" s="4561" t="n"/>
      <c r="F3869" s="4561" t="n"/>
      <c r="G3869" s="4561" t="n"/>
      <c r="H3869" s="4561" t="n"/>
      <c r="I3869" s="4562">
        <f>XLOOKUP(B3869,'_Sys|Line_Map'!$A:$A,'_Sys|Line_Map'!$C:$C,"MISSING",0)</f>
        <v/>
      </c>
      <c r="J3869" s="4562">
        <f>XLOOKUP(B3869,'_Sys|Line_Map'!$A:$A,'_Sys|Line_Map'!$D:$D,1,0)</f>
        <v/>
      </c>
      <c r="K3869" s="4562">
        <f>IF(D3869="","",D3869*J3869)</f>
        <v/>
      </c>
      <c r="L3869" s="4562">
        <f>XLOOKUP(B3869,'_Sys|Line_Map'!$A:$A,'_Sys|Line_Map'!$B:$B,"MISSING",0)</f>
        <v/>
      </c>
    </row>
    <row r="3870">
      <c r="A3870" s="4561" t="n"/>
      <c r="B3870" s="4561" t="n"/>
      <c r="C3870" s="4561" t="n"/>
      <c r="D3870" s="4561" t="n"/>
      <c r="E3870" s="4561" t="n"/>
      <c r="F3870" s="4561" t="n"/>
      <c r="G3870" s="4561" t="n"/>
      <c r="H3870" s="4561" t="n"/>
      <c r="I3870" s="4562">
        <f>XLOOKUP(B3870,'_Sys|Line_Map'!$A:$A,'_Sys|Line_Map'!$C:$C,"MISSING",0)</f>
        <v/>
      </c>
      <c r="J3870" s="4562">
        <f>XLOOKUP(B3870,'_Sys|Line_Map'!$A:$A,'_Sys|Line_Map'!$D:$D,1,0)</f>
        <v/>
      </c>
      <c r="K3870" s="4562">
        <f>IF(D3870="","",D3870*J3870)</f>
        <v/>
      </c>
      <c r="L3870" s="4562">
        <f>XLOOKUP(B3870,'_Sys|Line_Map'!$A:$A,'_Sys|Line_Map'!$B:$B,"MISSING",0)</f>
        <v/>
      </c>
    </row>
    <row r="3871">
      <c r="A3871" s="4561" t="n"/>
      <c r="B3871" s="4561" t="n"/>
      <c r="C3871" s="4561" t="n"/>
      <c r="D3871" s="4561" t="n"/>
      <c r="E3871" s="4561" t="n"/>
      <c r="F3871" s="4561" t="n"/>
      <c r="G3871" s="4561" t="n"/>
      <c r="H3871" s="4561" t="n"/>
      <c r="I3871" s="4562">
        <f>XLOOKUP(B3871,'_Sys|Line_Map'!$A:$A,'_Sys|Line_Map'!$C:$C,"MISSING",0)</f>
        <v/>
      </c>
      <c r="J3871" s="4562">
        <f>XLOOKUP(B3871,'_Sys|Line_Map'!$A:$A,'_Sys|Line_Map'!$D:$D,1,0)</f>
        <v/>
      </c>
      <c r="K3871" s="4562">
        <f>IF(D3871="","",D3871*J3871)</f>
        <v/>
      </c>
      <c r="L3871" s="4562">
        <f>XLOOKUP(B3871,'_Sys|Line_Map'!$A:$A,'_Sys|Line_Map'!$B:$B,"MISSING",0)</f>
        <v/>
      </c>
    </row>
    <row r="3872">
      <c r="A3872" s="4561" t="n"/>
      <c r="B3872" s="4561" t="n"/>
      <c r="C3872" s="4561" t="n"/>
      <c r="D3872" s="4561" t="n"/>
      <c r="E3872" s="4561" t="n"/>
      <c r="F3872" s="4561" t="n"/>
      <c r="G3872" s="4561" t="n"/>
      <c r="H3872" s="4561" t="n"/>
      <c r="I3872" s="4562">
        <f>XLOOKUP(B3872,'_Sys|Line_Map'!$A:$A,'_Sys|Line_Map'!$C:$C,"MISSING",0)</f>
        <v/>
      </c>
      <c r="J3872" s="4562">
        <f>XLOOKUP(B3872,'_Sys|Line_Map'!$A:$A,'_Sys|Line_Map'!$D:$D,1,0)</f>
        <v/>
      </c>
      <c r="K3872" s="4562">
        <f>IF(D3872="","",D3872*J3872)</f>
        <v/>
      </c>
      <c r="L3872" s="4562">
        <f>XLOOKUP(B3872,'_Sys|Line_Map'!$A:$A,'_Sys|Line_Map'!$B:$B,"MISSING",0)</f>
        <v/>
      </c>
    </row>
    <row r="3873">
      <c r="A3873" s="4561" t="n"/>
      <c r="B3873" s="4561" t="n"/>
      <c r="C3873" s="4561" t="n"/>
      <c r="D3873" s="4561" t="n"/>
      <c r="E3873" s="4561" t="n"/>
      <c r="F3873" s="4561" t="n"/>
      <c r="G3873" s="4561" t="n"/>
      <c r="H3873" s="4561" t="n"/>
      <c r="I3873" s="4562">
        <f>XLOOKUP(B3873,'_Sys|Line_Map'!$A:$A,'_Sys|Line_Map'!$C:$C,"MISSING",0)</f>
        <v/>
      </c>
      <c r="J3873" s="4562">
        <f>XLOOKUP(B3873,'_Sys|Line_Map'!$A:$A,'_Sys|Line_Map'!$D:$D,1,0)</f>
        <v/>
      </c>
      <c r="K3873" s="4562">
        <f>IF(D3873="","",D3873*J3873)</f>
        <v/>
      </c>
      <c r="L3873" s="4562">
        <f>XLOOKUP(B3873,'_Sys|Line_Map'!$A:$A,'_Sys|Line_Map'!$B:$B,"MISSING",0)</f>
        <v/>
      </c>
    </row>
    <row r="3874">
      <c r="A3874" s="4561" t="n"/>
      <c r="B3874" s="4561" t="n"/>
      <c r="C3874" s="4561" t="n"/>
      <c r="D3874" s="4561" t="n"/>
      <c r="E3874" s="4561" t="n"/>
      <c r="F3874" s="4561" t="n"/>
      <c r="G3874" s="4561" t="n"/>
      <c r="H3874" s="4561" t="n"/>
      <c r="I3874" s="4562">
        <f>XLOOKUP(B3874,'_Sys|Line_Map'!$A:$A,'_Sys|Line_Map'!$C:$C,"MISSING",0)</f>
        <v/>
      </c>
      <c r="J3874" s="4562">
        <f>XLOOKUP(B3874,'_Sys|Line_Map'!$A:$A,'_Sys|Line_Map'!$D:$D,1,0)</f>
        <v/>
      </c>
      <c r="K3874" s="4562">
        <f>IF(D3874="","",D3874*J3874)</f>
        <v/>
      </c>
      <c r="L3874" s="4562">
        <f>XLOOKUP(B3874,'_Sys|Line_Map'!$A:$A,'_Sys|Line_Map'!$B:$B,"MISSING",0)</f>
        <v/>
      </c>
    </row>
    <row r="3875">
      <c r="A3875" s="4561" t="n"/>
      <c r="B3875" s="4561" t="n"/>
      <c r="C3875" s="4561" t="n"/>
      <c r="D3875" s="4561" t="n"/>
      <c r="E3875" s="4561" t="n"/>
      <c r="F3875" s="4561" t="n"/>
      <c r="G3875" s="4561" t="n"/>
      <c r="H3875" s="4561" t="n"/>
      <c r="I3875" s="4562">
        <f>XLOOKUP(B3875,'_Sys|Line_Map'!$A:$A,'_Sys|Line_Map'!$C:$C,"MISSING",0)</f>
        <v/>
      </c>
      <c r="J3875" s="4562">
        <f>XLOOKUP(B3875,'_Sys|Line_Map'!$A:$A,'_Sys|Line_Map'!$D:$D,1,0)</f>
        <v/>
      </c>
      <c r="K3875" s="4562">
        <f>IF(D3875="","",D3875*J3875)</f>
        <v/>
      </c>
      <c r="L3875" s="4562">
        <f>XLOOKUP(B3875,'_Sys|Line_Map'!$A:$A,'_Sys|Line_Map'!$B:$B,"MISSING",0)</f>
        <v/>
      </c>
    </row>
    <row r="3876">
      <c r="A3876" s="4561" t="n"/>
      <c r="B3876" s="4561" t="n"/>
      <c r="C3876" s="4561" t="n"/>
      <c r="D3876" s="4561" t="n"/>
      <c r="E3876" s="4561" t="n"/>
      <c r="F3876" s="4561" t="n"/>
      <c r="G3876" s="4561" t="n"/>
      <c r="H3876" s="4561" t="n"/>
      <c r="I3876" s="4562">
        <f>XLOOKUP(B3876,'_Sys|Line_Map'!$A:$A,'_Sys|Line_Map'!$C:$C,"MISSING",0)</f>
        <v/>
      </c>
      <c r="J3876" s="4562">
        <f>XLOOKUP(B3876,'_Sys|Line_Map'!$A:$A,'_Sys|Line_Map'!$D:$D,1,0)</f>
        <v/>
      </c>
      <c r="K3876" s="4562">
        <f>IF(D3876="","",D3876*J3876)</f>
        <v/>
      </c>
      <c r="L3876" s="4562">
        <f>XLOOKUP(B3876,'_Sys|Line_Map'!$A:$A,'_Sys|Line_Map'!$B:$B,"MISSING",0)</f>
        <v/>
      </c>
    </row>
    <row r="3877">
      <c r="A3877" s="4561" t="n"/>
      <c r="B3877" s="4561" t="n"/>
      <c r="C3877" s="4561" t="n"/>
      <c r="D3877" s="4561" t="n"/>
      <c r="E3877" s="4561" t="n"/>
      <c r="F3877" s="4561" t="n"/>
      <c r="G3877" s="4561" t="n"/>
      <c r="H3877" s="4561" t="n"/>
      <c r="I3877" s="4562">
        <f>XLOOKUP(B3877,'_Sys|Line_Map'!$A:$A,'_Sys|Line_Map'!$C:$C,"MISSING",0)</f>
        <v/>
      </c>
      <c r="J3877" s="4562">
        <f>XLOOKUP(B3877,'_Sys|Line_Map'!$A:$A,'_Sys|Line_Map'!$D:$D,1,0)</f>
        <v/>
      </c>
      <c r="K3877" s="4562">
        <f>IF(D3877="","",D3877*J3877)</f>
        <v/>
      </c>
      <c r="L3877" s="4562">
        <f>XLOOKUP(B3877,'_Sys|Line_Map'!$A:$A,'_Sys|Line_Map'!$B:$B,"MISSING",0)</f>
        <v/>
      </c>
    </row>
    <row r="3878">
      <c r="A3878" s="4561" t="n"/>
      <c r="B3878" s="4561" t="n"/>
      <c r="C3878" s="4561" t="n"/>
      <c r="D3878" s="4561" t="n"/>
      <c r="E3878" s="4561" t="n"/>
      <c r="F3878" s="4561" t="n"/>
      <c r="G3878" s="4561" t="n"/>
      <c r="H3878" s="4561" t="n"/>
      <c r="I3878" s="4562">
        <f>XLOOKUP(B3878,'_Sys|Line_Map'!$A:$A,'_Sys|Line_Map'!$C:$C,"MISSING",0)</f>
        <v/>
      </c>
      <c r="J3878" s="4562">
        <f>XLOOKUP(B3878,'_Sys|Line_Map'!$A:$A,'_Sys|Line_Map'!$D:$D,1,0)</f>
        <v/>
      </c>
      <c r="K3878" s="4562">
        <f>IF(D3878="","",D3878*J3878)</f>
        <v/>
      </c>
      <c r="L3878" s="4562">
        <f>XLOOKUP(B3878,'_Sys|Line_Map'!$A:$A,'_Sys|Line_Map'!$B:$B,"MISSING",0)</f>
        <v/>
      </c>
    </row>
    <row r="3879">
      <c r="A3879" s="4561" t="n"/>
      <c r="B3879" s="4561" t="n"/>
      <c r="C3879" s="4561" t="n"/>
      <c r="D3879" s="4561" t="n"/>
      <c r="E3879" s="4561" t="n"/>
      <c r="F3879" s="4561" t="n"/>
      <c r="G3879" s="4561" t="n"/>
      <c r="H3879" s="4561" t="n"/>
      <c r="I3879" s="4562">
        <f>XLOOKUP(B3879,'_Sys|Line_Map'!$A:$A,'_Sys|Line_Map'!$C:$C,"MISSING",0)</f>
        <v/>
      </c>
      <c r="J3879" s="4562">
        <f>XLOOKUP(B3879,'_Sys|Line_Map'!$A:$A,'_Sys|Line_Map'!$D:$D,1,0)</f>
        <v/>
      </c>
      <c r="K3879" s="4562">
        <f>IF(D3879="","",D3879*J3879)</f>
        <v/>
      </c>
      <c r="L3879" s="4562">
        <f>XLOOKUP(B3879,'_Sys|Line_Map'!$A:$A,'_Sys|Line_Map'!$B:$B,"MISSING",0)</f>
        <v/>
      </c>
    </row>
    <row r="3880">
      <c r="A3880" s="4561" t="n"/>
      <c r="B3880" s="4561" t="n"/>
      <c r="C3880" s="4561" t="n"/>
      <c r="D3880" s="4561" t="n"/>
      <c r="E3880" s="4561" t="n"/>
      <c r="F3880" s="4561" t="n"/>
      <c r="G3880" s="4561" t="n"/>
      <c r="H3880" s="4561" t="n"/>
      <c r="I3880" s="4562">
        <f>XLOOKUP(B3880,'_Sys|Line_Map'!$A:$A,'_Sys|Line_Map'!$C:$C,"MISSING",0)</f>
        <v/>
      </c>
      <c r="J3880" s="4562">
        <f>XLOOKUP(B3880,'_Sys|Line_Map'!$A:$A,'_Sys|Line_Map'!$D:$D,1,0)</f>
        <v/>
      </c>
      <c r="K3880" s="4562">
        <f>IF(D3880="","",D3880*J3880)</f>
        <v/>
      </c>
      <c r="L3880" s="4562">
        <f>XLOOKUP(B3880,'_Sys|Line_Map'!$A:$A,'_Sys|Line_Map'!$B:$B,"MISSING",0)</f>
        <v/>
      </c>
    </row>
    <row r="3881">
      <c r="A3881" s="4561" t="n"/>
      <c r="B3881" s="4561" t="n"/>
      <c r="C3881" s="4561" t="n"/>
      <c r="D3881" s="4561" t="n"/>
      <c r="E3881" s="4561" t="n"/>
      <c r="F3881" s="4561" t="n"/>
      <c r="G3881" s="4561" t="n"/>
      <c r="H3881" s="4561" t="n"/>
      <c r="I3881" s="4562">
        <f>XLOOKUP(B3881,'_Sys|Line_Map'!$A:$A,'_Sys|Line_Map'!$C:$C,"MISSING",0)</f>
        <v/>
      </c>
      <c r="J3881" s="4562">
        <f>XLOOKUP(B3881,'_Sys|Line_Map'!$A:$A,'_Sys|Line_Map'!$D:$D,1,0)</f>
        <v/>
      </c>
      <c r="K3881" s="4562">
        <f>IF(D3881="","",D3881*J3881)</f>
        <v/>
      </c>
      <c r="L3881" s="4562">
        <f>XLOOKUP(B3881,'_Sys|Line_Map'!$A:$A,'_Sys|Line_Map'!$B:$B,"MISSING",0)</f>
        <v/>
      </c>
    </row>
    <row r="3882">
      <c r="A3882" s="4561" t="n"/>
      <c r="B3882" s="4561" t="n"/>
      <c r="C3882" s="4561" t="n"/>
      <c r="D3882" s="4561" t="n"/>
      <c r="E3882" s="4561" t="n"/>
      <c r="F3882" s="4561" t="n"/>
      <c r="G3882" s="4561" t="n"/>
      <c r="H3882" s="4561" t="n"/>
      <c r="I3882" s="4562">
        <f>XLOOKUP(B3882,'_Sys|Line_Map'!$A:$A,'_Sys|Line_Map'!$C:$C,"MISSING",0)</f>
        <v/>
      </c>
      <c r="J3882" s="4562">
        <f>XLOOKUP(B3882,'_Sys|Line_Map'!$A:$A,'_Sys|Line_Map'!$D:$D,1,0)</f>
        <v/>
      </c>
      <c r="K3882" s="4562">
        <f>IF(D3882="","",D3882*J3882)</f>
        <v/>
      </c>
      <c r="L3882" s="4562">
        <f>XLOOKUP(B3882,'_Sys|Line_Map'!$A:$A,'_Sys|Line_Map'!$B:$B,"MISSING",0)</f>
        <v/>
      </c>
    </row>
    <row r="3883">
      <c r="A3883" s="4561" t="n"/>
      <c r="B3883" s="4561" t="n"/>
      <c r="C3883" s="4561" t="n"/>
      <c r="D3883" s="4561" t="n"/>
      <c r="E3883" s="4561" t="n"/>
      <c r="F3883" s="4561" t="n"/>
      <c r="G3883" s="4561" t="n"/>
      <c r="H3883" s="4561" t="n"/>
      <c r="I3883" s="4562">
        <f>XLOOKUP(B3883,'_Sys|Line_Map'!$A:$A,'_Sys|Line_Map'!$C:$C,"MISSING",0)</f>
        <v/>
      </c>
      <c r="J3883" s="4562">
        <f>XLOOKUP(B3883,'_Sys|Line_Map'!$A:$A,'_Sys|Line_Map'!$D:$D,1,0)</f>
        <v/>
      </c>
      <c r="K3883" s="4562">
        <f>IF(D3883="","",D3883*J3883)</f>
        <v/>
      </c>
      <c r="L3883" s="4562">
        <f>XLOOKUP(B3883,'_Sys|Line_Map'!$A:$A,'_Sys|Line_Map'!$B:$B,"MISSING",0)</f>
        <v/>
      </c>
    </row>
    <row r="3884">
      <c r="A3884" s="4561" t="n"/>
      <c r="B3884" s="4561" t="n"/>
      <c r="C3884" s="4561" t="n"/>
      <c r="D3884" s="4561" t="n"/>
      <c r="E3884" s="4561" t="n"/>
      <c r="F3884" s="4561" t="n"/>
      <c r="G3884" s="4561" t="n"/>
      <c r="H3884" s="4561" t="n"/>
      <c r="I3884" s="4562">
        <f>XLOOKUP(B3884,'_Sys|Line_Map'!$A:$A,'_Sys|Line_Map'!$C:$C,"MISSING",0)</f>
        <v/>
      </c>
      <c r="J3884" s="4562">
        <f>XLOOKUP(B3884,'_Sys|Line_Map'!$A:$A,'_Sys|Line_Map'!$D:$D,1,0)</f>
        <v/>
      </c>
      <c r="K3884" s="4562">
        <f>IF(D3884="","",D3884*J3884)</f>
        <v/>
      </c>
      <c r="L3884" s="4562">
        <f>XLOOKUP(B3884,'_Sys|Line_Map'!$A:$A,'_Sys|Line_Map'!$B:$B,"MISSING",0)</f>
        <v/>
      </c>
    </row>
    <row r="3885">
      <c r="A3885" s="4561" t="n"/>
      <c r="B3885" s="4561" t="n"/>
      <c r="C3885" s="4561" t="n"/>
      <c r="D3885" s="4561" t="n"/>
      <c r="E3885" s="4561" t="n"/>
      <c r="F3885" s="4561" t="n"/>
      <c r="G3885" s="4561" t="n"/>
      <c r="H3885" s="4561" t="n"/>
      <c r="I3885" s="4562">
        <f>XLOOKUP(B3885,'_Sys|Line_Map'!$A:$A,'_Sys|Line_Map'!$C:$C,"MISSING",0)</f>
        <v/>
      </c>
      <c r="J3885" s="4562">
        <f>XLOOKUP(B3885,'_Sys|Line_Map'!$A:$A,'_Sys|Line_Map'!$D:$D,1,0)</f>
        <v/>
      </c>
      <c r="K3885" s="4562">
        <f>IF(D3885="","",D3885*J3885)</f>
        <v/>
      </c>
      <c r="L3885" s="4562">
        <f>XLOOKUP(B3885,'_Sys|Line_Map'!$A:$A,'_Sys|Line_Map'!$B:$B,"MISSING",0)</f>
        <v/>
      </c>
    </row>
    <row r="3886">
      <c r="A3886" s="4561" t="n"/>
      <c r="B3886" s="4561" t="n"/>
      <c r="C3886" s="4561" t="n"/>
      <c r="D3886" s="4561" t="n"/>
      <c r="E3886" s="4561" t="n"/>
      <c r="F3886" s="4561" t="n"/>
      <c r="G3886" s="4561" t="n"/>
      <c r="H3886" s="4561" t="n"/>
      <c r="I3886" s="4562">
        <f>XLOOKUP(B3886,'_Sys|Line_Map'!$A:$A,'_Sys|Line_Map'!$C:$C,"MISSING",0)</f>
        <v/>
      </c>
      <c r="J3886" s="4562">
        <f>XLOOKUP(B3886,'_Sys|Line_Map'!$A:$A,'_Sys|Line_Map'!$D:$D,1,0)</f>
        <v/>
      </c>
      <c r="K3886" s="4562">
        <f>IF(D3886="","",D3886*J3886)</f>
        <v/>
      </c>
      <c r="L3886" s="4562">
        <f>XLOOKUP(B3886,'_Sys|Line_Map'!$A:$A,'_Sys|Line_Map'!$B:$B,"MISSING",0)</f>
        <v/>
      </c>
    </row>
    <row r="3887">
      <c r="A3887" s="4561" t="n"/>
      <c r="B3887" s="4561" t="n"/>
      <c r="C3887" s="4561" t="n"/>
      <c r="D3887" s="4561" t="n"/>
      <c r="E3887" s="4561" t="n"/>
      <c r="F3887" s="4561" t="n"/>
      <c r="G3887" s="4561" t="n"/>
      <c r="H3887" s="4561" t="n"/>
      <c r="I3887" s="4562">
        <f>XLOOKUP(B3887,'_Sys|Line_Map'!$A:$A,'_Sys|Line_Map'!$C:$C,"MISSING",0)</f>
        <v/>
      </c>
      <c r="J3887" s="4562">
        <f>XLOOKUP(B3887,'_Sys|Line_Map'!$A:$A,'_Sys|Line_Map'!$D:$D,1,0)</f>
        <v/>
      </c>
      <c r="K3887" s="4562">
        <f>IF(D3887="","",D3887*J3887)</f>
        <v/>
      </c>
      <c r="L3887" s="4562">
        <f>XLOOKUP(B3887,'_Sys|Line_Map'!$A:$A,'_Sys|Line_Map'!$B:$B,"MISSING",0)</f>
        <v/>
      </c>
    </row>
    <row r="3888">
      <c r="A3888" s="4561" t="n"/>
      <c r="B3888" s="4561" t="n"/>
      <c r="C3888" s="4561" t="n"/>
      <c r="D3888" s="4561" t="n"/>
      <c r="E3888" s="4561" t="n"/>
      <c r="F3888" s="4561" t="n"/>
      <c r="G3888" s="4561" t="n"/>
      <c r="H3888" s="4561" t="n"/>
      <c r="I3888" s="4562">
        <f>XLOOKUP(B3888,'_Sys|Line_Map'!$A:$A,'_Sys|Line_Map'!$C:$C,"MISSING",0)</f>
        <v/>
      </c>
      <c r="J3888" s="4562">
        <f>XLOOKUP(B3888,'_Sys|Line_Map'!$A:$A,'_Sys|Line_Map'!$D:$D,1,0)</f>
        <v/>
      </c>
      <c r="K3888" s="4562">
        <f>IF(D3888="","",D3888*J3888)</f>
        <v/>
      </c>
      <c r="L3888" s="4562">
        <f>XLOOKUP(B3888,'_Sys|Line_Map'!$A:$A,'_Sys|Line_Map'!$B:$B,"MISSING",0)</f>
        <v/>
      </c>
    </row>
    <row r="3889">
      <c r="A3889" s="4561" t="n"/>
      <c r="B3889" s="4561" t="n"/>
      <c r="C3889" s="4561" t="n"/>
      <c r="D3889" s="4561" t="n"/>
      <c r="E3889" s="4561" t="n"/>
      <c r="F3889" s="4561" t="n"/>
      <c r="G3889" s="4561" t="n"/>
      <c r="H3889" s="4561" t="n"/>
      <c r="I3889" s="4562">
        <f>XLOOKUP(B3889,'_Sys|Line_Map'!$A:$A,'_Sys|Line_Map'!$C:$C,"MISSING",0)</f>
        <v/>
      </c>
      <c r="J3889" s="4562">
        <f>XLOOKUP(B3889,'_Sys|Line_Map'!$A:$A,'_Sys|Line_Map'!$D:$D,1,0)</f>
        <v/>
      </c>
      <c r="K3889" s="4562">
        <f>IF(D3889="","",D3889*J3889)</f>
        <v/>
      </c>
      <c r="L3889" s="4562">
        <f>XLOOKUP(B3889,'_Sys|Line_Map'!$A:$A,'_Sys|Line_Map'!$B:$B,"MISSING",0)</f>
        <v/>
      </c>
    </row>
    <row r="3890">
      <c r="A3890" s="4561" t="n"/>
      <c r="B3890" s="4561" t="n"/>
      <c r="C3890" s="4561" t="n"/>
      <c r="D3890" s="4561" t="n"/>
      <c r="E3890" s="4561" t="n"/>
      <c r="F3890" s="4561" t="n"/>
      <c r="G3890" s="4561" t="n"/>
      <c r="H3890" s="4561" t="n"/>
      <c r="I3890" s="4562">
        <f>XLOOKUP(B3890,'_Sys|Line_Map'!$A:$A,'_Sys|Line_Map'!$C:$C,"MISSING",0)</f>
        <v/>
      </c>
      <c r="J3890" s="4562">
        <f>XLOOKUP(B3890,'_Sys|Line_Map'!$A:$A,'_Sys|Line_Map'!$D:$D,1,0)</f>
        <v/>
      </c>
      <c r="K3890" s="4562">
        <f>IF(D3890="","",D3890*J3890)</f>
        <v/>
      </c>
      <c r="L3890" s="4562">
        <f>XLOOKUP(B3890,'_Sys|Line_Map'!$A:$A,'_Sys|Line_Map'!$B:$B,"MISSING",0)</f>
        <v/>
      </c>
    </row>
    <row r="3891">
      <c r="A3891" s="4561" t="n"/>
      <c r="B3891" s="4561" t="n"/>
      <c r="C3891" s="4561" t="n"/>
      <c r="D3891" s="4561" t="n"/>
      <c r="E3891" s="4561" t="n"/>
      <c r="F3891" s="4561" t="n"/>
      <c r="G3891" s="4561" t="n"/>
      <c r="H3891" s="4561" t="n"/>
      <c r="I3891" s="4562">
        <f>XLOOKUP(B3891,'_Sys|Line_Map'!$A:$A,'_Sys|Line_Map'!$C:$C,"MISSING",0)</f>
        <v/>
      </c>
      <c r="J3891" s="4562">
        <f>XLOOKUP(B3891,'_Sys|Line_Map'!$A:$A,'_Sys|Line_Map'!$D:$D,1,0)</f>
        <v/>
      </c>
      <c r="K3891" s="4562">
        <f>IF(D3891="","",D3891*J3891)</f>
        <v/>
      </c>
      <c r="L3891" s="4562">
        <f>XLOOKUP(B3891,'_Sys|Line_Map'!$A:$A,'_Sys|Line_Map'!$B:$B,"MISSING",0)</f>
        <v/>
      </c>
    </row>
    <row r="3892">
      <c r="A3892" s="4561" t="n"/>
      <c r="B3892" s="4561" t="n"/>
      <c r="C3892" s="4561" t="n"/>
      <c r="D3892" s="4561" t="n"/>
      <c r="E3892" s="4561" t="n"/>
      <c r="F3892" s="4561" t="n"/>
      <c r="G3892" s="4561" t="n"/>
      <c r="H3892" s="4561" t="n"/>
      <c r="I3892" s="4562">
        <f>XLOOKUP(B3892,'_Sys|Line_Map'!$A:$A,'_Sys|Line_Map'!$C:$C,"MISSING",0)</f>
        <v/>
      </c>
      <c r="J3892" s="4562">
        <f>XLOOKUP(B3892,'_Sys|Line_Map'!$A:$A,'_Sys|Line_Map'!$D:$D,1,0)</f>
        <v/>
      </c>
      <c r="K3892" s="4562">
        <f>IF(D3892="","",D3892*J3892)</f>
        <v/>
      </c>
      <c r="L3892" s="4562">
        <f>XLOOKUP(B3892,'_Sys|Line_Map'!$A:$A,'_Sys|Line_Map'!$B:$B,"MISSING",0)</f>
        <v/>
      </c>
    </row>
    <row r="3893">
      <c r="A3893" s="4561" t="n"/>
      <c r="B3893" s="4561" t="n"/>
      <c r="C3893" s="4561" t="n"/>
      <c r="D3893" s="4561" t="n"/>
      <c r="E3893" s="4561" t="n"/>
      <c r="F3893" s="4561" t="n"/>
      <c r="G3893" s="4561" t="n"/>
      <c r="H3893" s="4561" t="n"/>
      <c r="I3893" s="4562">
        <f>XLOOKUP(B3893,'_Sys|Line_Map'!$A:$A,'_Sys|Line_Map'!$C:$C,"MISSING",0)</f>
        <v/>
      </c>
      <c r="J3893" s="4562">
        <f>XLOOKUP(B3893,'_Sys|Line_Map'!$A:$A,'_Sys|Line_Map'!$D:$D,1,0)</f>
        <v/>
      </c>
      <c r="K3893" s="4562">
        <f>IF(D3893="","",D3893*J3893)</f>
        <v/>
      </c>
      <c r="L3893" s="4562">
        <f>XLOOKUP(B3893,'_Sys|Line_Map'!$A:$A,'_Sys|Line_Map'!$B:$B,"MISSING",0)</f>
        <v/>
      </c>
    </row>
    <row r="3894">
      <c r="A3894" s="4561" t="n"/>
      <c r="B3894" s="4561" t="n"/>
      <c r="C3894" s="4561" t="n"/>
      <c r="D3894" s="4561" t="n"/>
      <c r="E3894" s="4561" t="n"/>
      <c r="F3894" s="4561" t="n"/>
      <c r="G3894" s="4561" t="n"/>
      <c r="H3894" s="4561" t="n"/>
      <c r="I3894" s="4562">
        <f>XLOOKUP(B3894,'_Sys|Line_Map'!$A:$A,'_Sys|Line_Map'!$C:$C,"MISSING",0)</f>
        <v/>
      </c>
      <c r="J3894" s="4562">
        <f>XLOOKUP(B3894,'_Sys|Line_Map'!$A:$A,'_Sys|Line_Map'!$D:$D,1,0)</f>
        <v/>
      </c>
      <c r="K3894" s="4562">
        <f>IF(D3894="","",D3894*J3894)</f>
        <v/>
      </c>
      <c r="L3894" s="4562">
        <f>XLOOKUP(B3894,'_Sys|Line_Map'!$A:$A,'_Sys|Line_Map'!$B:$B,"MISSING",0)</f>
        <v/>
      </c>
    </row>
    <row r="3895">
      <c r="A3895" s="4561" t="n"/>
      <c r="B3895" s="4561" t="n"/>
      <c r="C3895" s="4561" t="n"/>
      <c r="D3895" s="4561" t="n"/>
      <c r="E3895" s="4561" t="n"/>
      <c r="F3895" s="4561" t="n"/>
      <c r="G3895" s="4561" t="n"/>
      <c r="H3895" s="4561" t="n"/>
      <c r="I3895" s="4562">
        <f>XLOOKUP(B3895,'_Sys|Line_Map'!$A:$A,'_Sys|Line_Map'!$C:$C,"MISSING",0)</f>
        <v/>
      </c>
      <c r="J3895" s="4562">
        <f>XLOOKUP(B3895,'_Sys|Line_Map'!$A:$A,'_Sys|Line_Map'!$D:$D,1,0)</f>
        <v/>
      </c>
      <c r="K3895" s="4562">
        <f>IF(D3895="","",D3895*J3895)</f>
        <v/>
      </c>
      <c r="L3895" s="4562">
        <f>XLOOKUP(B3895,'_Sys|Line_Map'!$A:$A,'_Sys|Line_Map'!$B:$B,"MISSING",0)</f>
        <v/>
      </c>
    </row>
    <row r="3896">
      <c r="A3896" s="4561" t="n"/>
      <c r="B3896" s="4561" t="n"/>
      <c r="C3896" s="4561" t="n"/>
      <c r="D3896" s="4561" t="n"/>
      <c r="E3896" s="4561" t="n"/>
      <c r="F3896" s="4561" t="n"/>
      <c r="G3896" s="4561" t="n"/>
      <c r="H3896" s="4561" t="n"/>
      <c r="I3896" s="4562">
        <f>XLOOKUP(B3896,'_Sys|Line_Map'!$A:$A,'_Sys|Line_Map'!$C:$C,"MISSING",0)</f>
        <v/>
      </c>
      <c r="J3896" s="4562">
        <f>XLOOKUP(B3896,'_Sys|Line_Map'!$A:$A,'_Sys|Line_Map'!$D:$D,1,0)</f>
        <v/>
      </c>
      <c r="K3896" s="4562">
        <f>IF(D3896="","",D3896*J3896)</f>
        <v/>
      </c>
      <c r="L3896" s="4562">
        <f>XLOOKUP(B3896,'_Sys|Line_Map'!$A:$A,'_Sys|Line_Map'!$B:$B,"MISSING",0)</f>
        <v/>
      </c>
    </row>
    <row r="3897">
      <c r="A3897" s="4561" t="n"/>
      <c r="B3897" s="4561" t="n"/>
      <c r="C3897" s="4561" t="n"/>
      <c r="D3897" s="4561" t="n"/>
      <c r="E3897" s="4561" t="n"/>
      <c r="F3897" s="4561" t="n"/>
      <c r="G3897" s="4561" t="n"/>
      <c r="H3897" s="4561" t="n"/>
      <c r="I3897" s="4562">
        <f>XLOOKUP(B3897,'_Sys|Line_Map'!$A:$A,'_Sys|Line_Map'!$C:$C,"MISSING",0)</f>
        <v/>
      </c>
      <c r="J3897" s="4562">
        <f>XLOOKUP(B3897,'_Sys|Line_Map'!$A:$A,'_Sys|Line_Map'!$D:$D,1,0)</f>
        <v/>
      </c>
      <c r="K3897" s="4562">
        <f>IF(D3897="","",D3897*J3897)</f>
        <v/>
      </c>
      <c r="L3897" s="4562">
        <f>XLOOKUP(B3897,'_Sys|Line_Map'!$A:$A,'_Sys|Line_Map'!$B:$B,"MISSING",0)</f>
        <v/>
      </c>
    </row>
    <row r="3898">
      <c r="A3898" s="4561" t="n"/>
      <c r="B3898" s="4561" t="n"/>
      <c r="C3898" s="4561" t="n"/>
      <c r="D3898" s="4561" t="n"/>
      <c r="E3898" s="4561" t="n"/>
      <c r="F3898" s="4561" t="n"/>
      <c r="G3898" s="4561" t="n"/>
      <c r="H3898" s="4561" t="n"/>
      <c r="I3898" s="4562">
        <f>XLOOKUP(B3898,'_Sys|Line_Map'!$A:$A,'_Sys|Line_Map'!$C:$C,"MISSING",0)</f>
        <v/>
      </c>
      <c r="J3898" s="4562">
        <f>XLOOKUP(B3898,'_Sys|Line_Map'!$A:$A,'_Sys|Line_Map'!$D:$D,1,0)</f>
        <v/>
      </c>
      <c r="K3898" s="4562">
        <f>IF(D3898="","",D3898*J3898)</f>
        <v/>
      </c>
      <c r="L3898" s="4562">
        <f>XLOOKUP(B3898,'_Sys|Line_Map'!$A:$A,'_Sys|Line_Map'!$B:$B,"MISSING",0)</f>
        <v/>
      </c>
    </row>
    <row r="3899">
      <c r="A3899" s="4561" t="n"/>
      <c r="B3899" s="4561" t="n"/>
      <c r="C3899" s="4561" t="n"/>
      <c r="D3899" s="4561" t="n"/>
      <c r="E3899" s="4561" t="n"/>
      <c r="F3899" s="4561" t="n"/>
      <c r="G3899" s="4561" t="n"/>
      <c r="H3899" s="4561" t="n"/>
      <c r="I3899" s="4562">
        <f>XLOOKUP(B3899,'_Sys|Line_Map'!$A:$A,'_Sys|Line_Map'!$C:$C,"MISSING",0)</f>
        <v/>
      </c>
      <c r="J3899" s="4562">
        <f>XLOOKUP(B3899,'_Sys|Line_Map'!$A:$A,'_Sys|Line_Map'!$D:$D,1,0)</f>
        <v/>
      </c>
      <c r="K3899" s="4562">
        <f>IF(D3899="","",D3899*J3899)</f>
        <v/>
      </c>
      <c r="L3899" s="4562">
        <f>XLOOKUP(B3899,'_Sys|Line_Map'!$A:$A,'_Sys|Line_Map'!$B:$B,"MISSING",0)</f>
        <v/>
      </c>
    </row>
    <row r="3900">
      <c r="A3900" s="4561" t="n"/>
      <c r="B3900" s="4561" t="n"/>
      <c r="C3900" s="4561" t="n"/>
      <c r="D3900" s="4561" t="n"/>
      <c r="E3900" s="4561" t="n"/>
      <c r="F3900" s="4561" t="n"/>
      <c r="G3900" s="4561" t="n"/>
      <c r="H3900" s="4561" t="n"/>
      <c r="I3900" s="4562">
        <f>XLOOKUP(B3900,'_Sys|Line_Map'!$A:$A,'_Sys|Line_Map'!$C:$C,"MISSING",0)</f>
        <v/>
      </c>
      <c r="J3900" s="4562">
        <f>XLOOKUP(B3900,'_Sys|Line_Map'!$A:$A,'_Sys|Line_Map'!$D:$D,1,0)</f>
        <v/>
      </c>
      <c r="K3900" s="4562">
        <f>IF(D3900="","",D3900*J3900)</f>
        <v/>
      </c>
      <c r="L3900" s="4562">
        <f>XLOOKUP(B3900,'_Sys|Line_Map'!$A:$A,'_Sys|Line_Map'!$B:$B,"MISSING",0)</f>
        <v/>
      </c>
    </row>
    <row r="3901">
      <c r="A3901" s="4561" t="n"/>
      <c r="B3901" s="4561" t="n"/>
      <c r="C3901" s="4561" t="n"/>
      <c r="D3901" s="4561" t="n"/>
      <c r="E3901" s="4561" t="n"/>
      <c r="F3901" s="4561" t="n"/>
      <c r="G3901" s="4561" t="n"/>
      <c r="H3901" s="4561" t="n"/>
      <c r="I3901" s="4562">
        <f>XLOOKUP(B3901,'_Sys|Line_Map'!$A:$A,'_Sys|Line_Map'!$C:$C,"MISSING",0)</f>
        <v/>
      </c>
      <c r="J3901" s="4562">
        <f>XLOOKUP(B3901,'_Sys|Line_Map'!$A:$A,'_Sys|Line_Map'!$D:$D,1,0)</f>
        <v/>
      </c>
      <c r="K3901" s="4562">
        <f>IF(D3901="","",D3901*J3901)</f>
        <v/>
      </c>
      <c r="L3901" s="4562">
        <f>XLOOKUP(B3901,'_Sys|Line_Map'!$A:$A,'_Sys|Line_Map'!$B:$B,"MISSING",0)</f>
        <v/>
      </c>
    </row>
    <row r="3902">
      <c r="A3902" s="4561" t="n"/>
      <c r="B3902" s="4561" t="n"/>
      <c r="C3902" s="4561" t="n"/>
      <c r="D3902" s="4561" t="n"/>
      <c r="E3902" s="4561" t="n"/>
      <c r="F3902" s="4561" t="n"/>
      <c r="G3902" s="4561" t="n"/>
      <c r="H3902" s="4561" t="n"/>
      <c r="I3902" s="4562">
        <f>XLOOKUP(B3902,'_Sys|Line_Map'!$A:$A,'_Sys|Line_Map'!$C:$C,"MISSING",0)</f>
        <v/>
      </c>
      <c r="J3902" s="4562">
        <f>XLOOKUP(B3902,'_Sys|Line_Map'!$A:$A,'_Sys|Line_Map'!$D:$D,1,0)</f>
        <v/>
      </c>
      <c r="K3902" s="4562">
        <f>IF(D3902="","",D3902*J3902)</f>
        <v/>
      </c>
      <c r="L3902" s="4562">
        <f>XLOOKUP(B3902,'_Sys|Line_Map'!$A:$A,'_Sys|Line_Map'!$B:$B,"MISSING",0)</f>
        <v/>
      </c>
    </row>
    <row r="3903">
      <c r="A3903" s="4561" t="n"/>
      <c r="B3903" s="4561" t="n"/>
      <c r="C3903" s="4561" t="n"/>
      <c r="D3903" s="4561" t="n"/>
      <c r="E3903" s="4561" t="n"/>
      <c r="F3903" s="4561" t="n"/>
      <c r="G3903" s="4561" t="n"/>
      <c r="H3903" s="4561" t="n"/>
      <c r="I3903" s="4562">
        <f>XLOOKUP(B3903,'_Sys|Line_Map'!$A:$A,'_Sys|Line_Map'!$C:$C,"MISSING",0)</f>
        <v/>
      </c>
      <c r="J3903" s="4562">
        <f>XLOOKUP(B3903,'_Sys|Line_Map'!$A:$A,'_Sys|Line_Map'!$D:$D,1,0)</f>
        <v/>
      </c>
      <c r="K3903" s="4562">
        <f>IF(D3903="","",D3903*J3903)</f>
        <v/>
      </c>
      <c r="L3903" s="4562">
        <f>XLOOKUP(B3903,'_Sys|Line_Map'!$A:$A,'_Sys|Line_Map'!$B:$B,"MISSING",0)</f>
        <v/>
      </c>
    </row>
    <row r="3904">
      <c r="A3904" s="4561" t="n"/>
      <c r="B3904" s="4561" t="n"/>
      <c r="C3904" s="4561" t="n"/>
      <c r="D3904" s="4561" t="n"/>
      <c r="E3904" s="4561" t="n"/>
      <c r="F3904" s="4561" t="n"/>
      <c r="G3904" s="4561" t="n"/>
      <c r="H3904" s="4561" t="n"/>
      <c r="I3904" s="4562">
        <f>XLOOKUP(B3904,'_Sys|Line_Map'!$A:$A,'_Sys|Line_Map'!$C:$C,"MISSING",0)</f>
        <v/>
      </c>
      <c r="J3904" s="4562">
        <f>XLOOKUP(B3904,'_Sys|Line_Map'!$A:$A,'_Sys|Line_Map'!$D:$D,1,0)</f>
        <v/>
      </c>
      <c r="K3904" s="4562">
        <f>IF(D3904="","",D3904*J3904)</f>
        <v/>
      </c>
      <c r="L3904" s="4562">
        <f>XLOOKUP(B3904,'_Sys|Line_Map'!$A:$A,'_Sys|Line_Map'!$B:$B,"MISSING",0)</f>
        <v/>
      </c>
    </row>
    <row r="3905">
      <c r="A3905" s="4561" t="n"/>
      <c r="B3905" s="4561" t="n"/>
      <c r="C3905" s="4561" t="n"/>
      <c r="D3905" s="4561" t="n"/>
      <c r="E3905" s="4561" t="n"/>
      <c r="F3905" s="4561" t="n"/>
      <c r="G3905" s="4561" t="n"/>
      <c r="H3905" s="4561" t="n"/>
      <c r="I3905" s="4562">
        <f>XLOOKUP(B3905,'_Sys|Line_Map'!$A:$A,'_Sys|Line_Map'!$C:$C,"MISSING",0)</f>
        <v/>
      </c>
      <c r="J3905" s="4562">
        <f>XLOOKUP(B3905,'_Sys|Line_Map'!$A:$A,'_Sys|Line_Map'!$D:$D,1,0)</f>
        <v/>
      </c>
      <c r="K3905" s="4562">
        <f>IF(D3905="","",D3905*J3905)</f>
        <v/>
      </c>
      <c r="L3905" s="4562">
        <f>XLOOKUP(B3905,'_Sys|Line_Map'!$A:$A,'_Sys|Line_Map'!$B:$B,"MISSING",0)</f>
        <v/>
      </c>
    </row>
    <row r="3906">
      <c r="A3906" s="4561" t="n"/>
      <c r="B3906" s="4561" t="n"/>
      <c r="C3906" s="4561" t="n"/>
      <c r="D3906" s="4561" t="n"/>
      <c r="E3906" s="4561" t="n"/>
      <c r="F3906" s="4561" t="n"/>
      <c r="G3906" s="4561" t="n"/>
      <c r="H3906" s="4561" t="n"/>
      <c r="I3906" s="4562">
        <f>XLOOKUP(B3906,'_Sys|Line_Map'!$A:$A,'_Sys|Line_Map'!$C:$C,"MISSING",0)</f>
        <v/>
      </c>
      <c r="J3906" s="4562">
        <f>XLOOKUP(B3906,'_Sys|Line_Map'!$A:$A,'_Sys|Line_Map'!$D:$D,1,0)</f>
        <v/>
      </c>
      <c r="K3906" s="4562">
        <f>IF(D3906="","",D3906*J3906)</f>
        <v/>
      </c>
      <c r="L3906" s="4562">
        <f>XLOOKUP(B3906,'_Sys|Line_Map'!$A:$A,'_Sys|Line_Map'!$B:$B,"MISSING",0)</f>
        <v/>
      </c>
    </row>
    <row r="3907">
      <c r="A3907" s="4561" t="n"/>
      <c r="B3907" s="4561" t="n"/>
      <c r="C3907" s="4561" t="n"/>
      <c r="D3907" s="4561" t="n"/>
      <c r="E3907" s="4561" t="n"/>
      <c r="F3907" s="4561" t="n"/>
      <c r="G3907" s="4561" t="n"/>
      <c r="H3907" s="4561" t="n"/>
      <c r="I3907" s="4562">
        <f>XLOOKUP(B3907,'_Sys|Line_Map'!$A:$A,'_Sys|Line_Map'!$C:$C,"MISSING",0)</f>
        <v/>
      </c>
      <c r="J3907" s="4562">
        <f>XLOOKUP(B3907,'_Sys|Line_Map'!$A:$A,'_Sys|Line_Map'!$D:$D,1,0)</f>
        <v/>
      </c>
      <c r="K3907" s="4562">
        <f>IF(D3907="","",D3907*J3907)</f>
        <v/>
      </c>
      <c r="L3907" s="4562">
        <f>XLOOKUP(B3907,'_Sys|Line_Map'!$A:$A,'_Sys|Line_Map'!$B:$B,"MISSING",0)</f>
        <v/>
      </c>
    </row>
    <row r="3908">
      <c r="A3908" s="4561" t="n"/>
      <c r="B3908" s="4561" t="n"/>
      <c r="C3908" s="4561" t="n"/>
      <c r="D3908" s="4561" t="n"/>
      <c r="E3908" s="4561" t="n"/>
      <c r="F3908" s="4561" t="n"/>
      <c r="G3908" s="4561" t="n"/>
      <c r="H3908" s="4561" t="n"/>
      <c r="I3908" s="4562">
        <f>XLOOKUP(B3908,'_Sys|Line_Map'!$A:$A,'_Sys|Line_Map'!$C:$C,"MISSING",0)</f>
        <v/>
      </c>
      <c r="J3908" s="4562">
        <f>XLOOKUP(B3908,'_Sys|Line_Map'!$A:$A,'_Sys|Line_Map'!$D:$D,1,0)</f>
        <v/>
      </c>
      <c r="K3908" s="4562">
        <f>IF(D3908="","",D3908*J3908)</f>
        <v/>
      </c>
      <c r="L3908" s="4562">
        <f>XLOOKUP(B3908,'_Sys|Line_Map'!$A:$A,'_Sys|Line_Map'!$B:$B,"MISSING",0)</f>
        <v/>
      </c>
    </row>
    <row r="3909">
      <c r="A3909" s="4561" t="n"/>
      <c r="B3909" s="4561" t="n"/>
      <c r="C3909" s="4561" t="n"/>
      <c r="D3909" s="4561" t="n"/>
      <c r="E3909" s="4561" t="n"/>
      <c r="F3909" s="4561" t="n"/>
      <c r="G3909" s="4561" t="n"/>
      <c r="H3909" s="4561" t="n"/>
      <c r="I3909" s="4562">
        <f>XLOOKUP(B3909,'_Sys|Line_Map'!$A:$A,'_Sys|Line_Map'!$C:$C,"MISSING",0)</f>
        <v/>
      </c>
      <c r="J3909" s="4562">
        <f>XLOOKUP(B3909,'_Sys|Line_Map'!$A:$A,'_Sys|Line_Map'!$D:$D,1,0)</f>
        <v/>
      </c>
      <c r="K3909" s="4562">
        <f>IF(D3909="","",D3909*J3909)</f>
        <v/>
      </c>
      <c r="L3909" s="4562">
        <f>XLOOKUP(B3909,'_Sys|Line_Map'!$A:$A,'_Sys|Line_Map'!$B:$B,"MISSING",0)</f>
        <v/>
      </c>
    </row>
    <row r="3910">
      <c r="A3910" s="4561" t="n"/>
      <c r="B3910" s="4561" t="n"/>
      <c r="C3910" s="4561" t="n"/>
      <c r="D3910" s="4561" t="n"/>
      <c r="E3910" s="4561" t="n"/>
      <c r="F3910" s="4561" t="n"/>
      <c r="G3910" s="4561" t="n"/>
      <c r="H3910" s="4561" t="n"/>
      <c r="I3910" s="4562">
        <f>XLOOKUP(B3910,'_Sys|Line_Map'!$A:$A,'_Sys|Line_Map'!$C:$C,"MISSING",0)</f>
        <v/>
      </c>
      <c r="J3910" s="4562">
        <f>XLOOKUP(B3910,'_Sys|Line_Map'!$A:$A,'_Sys|Line_Map'!$D:$D,1,0)</f>
        <v/>
      </c>
      <c r="K3910" s="4562">
        <f>IF(D3910="","",D3910*J3910)</f>
        <v/>
      </c>
      <c r="L3910" s="4562">
        <f>XLOOKUP(B3910,'_Sys|Line_Map'!$A:$A,'_Sys|Line_Map'!$B:$B,"MISSING",0)</f>
        <v/>
      </c>
    </row>
    <row r="3911">
      <c r="A3911" s="4561" t="n"/>
      <c r="B3911" s="4561" t="n"/>
      <c r="C3911" s="4561" t="n"/>
      <c r="D3911" s="4561" t="n"/>
      <c r="E3911" s="4561" t="n"/>
      <c r="F3911" s="4561" t="n"/>
      <c r="G3911" s="4561" t="n"/>
      <c r="H3911" s="4561" t="n"/>
      <c r="I3911" s="4562">
        <f>XLOOKUP(B3911,'_Sys|Line_Map'!$A:$A,'_Sys|Line_Map'!$C:$C,"MISSING",0)</f>
        <v/>
      </c>
      <c r="J3911" s="4562">
        <f>XLOOKUP(B3911,'_Sys|Line_Map'!$A:$A,'_Sys|Line_Map'!$D:$D,1,0)</f>
        <v/>
      </c>
      <c r="K3911" s="4562">
        <f>IF(D3911="","",D3911*J3911)</f>
        <v/>
      </c>
      <c r="L3911" s="4562">
        <f>XLOOKUP(B3911,'_Sys|Line_Map'!$A:$A,'_Sys|Line_Map'!$B:$B,"MISSING",0)</f>
        <v/>
      </c>
    </row>
    <row r="3912">
      <c r="A3912" s="4561" t="n"/>
      <c r="B3912" s="4561" t="n"/>
      <c r="C3912" s="4561" t="n"/>
      <c r="D3912" s="4561" t="n"/>
      <c r="E3912" s="4561" t="n"/>
      <c r="F3912" s="4561" t="n"/>
      <c r="G3912" s="4561" t="n"/>
      <c r="H3912" s="4561" t="n"/>
      <c r="I3912" s="4562">
        <f>XLOOKUP(B3912,'_Sys|Line_Map'!$A:$A,'_Sys|Line_Map'!$C:$C,"MISSING",0)</f>
        <v/>
      </c>
      <c r="J3912" s="4562">
        <f>XLOOKUP(B3912,'_Sys|Line_Map'!$A:$A,'_Sys|Line_Map'!$D:$D,1,0)</f>
        <v/>
      </c>
      <c r="K3912" s="4562">
        <f>IF(D3912="","",D3912*J3912)</f>
        <v/>
      </c>
      <c r="L3912" s="4562">
        <f>XLOOKUP(B3912,'_Sys|Line_Map'!$A:$A,'_Sys|Line_Map'!$B:$B,"MISSING",0)</f>
        <v/>
      </c>
    </row>
    <row r="3913">
      <c r="A3913" s="4561" t="n"/>
      <c r="B3913" s="4561" t="n"/>
      <c r="C3913" s="4561" t="n"/>
      <c r="D3913" s="4561" t="n"/>
      <c r="E3913" s="4561" t="n"/>
      <c r="F3913" s="4561" t="n"/>
      <c r="G3913" s="4561" t="n"/>
      <c r="H3913" s="4561" t="n"/>
      <c r="I3913" s="4562">
        <f>XLOOKUP(B3913,'_Sys|Line_Map'!$A:$A,'_Sys|Line_Map'!$C:$C,"MISSING",0)</f>
        <v/>
      </c>
      <c r="J3913" s="4562">
        <f>XLOOKUP(B3913,'_Sys|Line_Map'!$A:$A,'_Sys|Line_Map'!$D:$D,1,0)</f>
        <v/>
      </c>
      <c r="K3913" s="4562">
        <f>IF(D3913="","",D3913*J3913)</f>
        <v/>
      </c>
      <c r="L3913" s="4562">
        <f>XLOOKUP(B3913,'_Sys|Line_Map'!$A:$A,'_Sys|Line_Map'!$B:$B,"MISSING",0)</f>
        <v/>
      </c>
    </row>
    <row r="3914">
      <c r="A3914" s="4561" t="n"/>
      <c r="B3914" s="4561" t="n"/>
      <c r="C3914" s="4561" t="n"/>
      <c r="D3914" s="4561" t="n"/>
      <c r="E3914" s="4561" t="n"/>
      <c r="F3914" s="4561" t="n"/>
      <c r="G3914" s="4561" t="n"/>
      <c r="H3914" s="4561" t="n"/>
      <c r="I3914" s="4562">
        <f>XLOOKUP(B3914,'_Sys|Line_Map'!$A:$A,'_Sys|Line_Map'!$C:$C,"MISSING",0)</f>
        <v/>
      </c>
      <c r="J3914" s="4562">
        <f>XLOOKUP(B3914,'_Sys|Line_Map'!$A:$A,'_Sys|Line_Map'!$D:$D,1,0)</f>
        <v/>
      </c>
      <c r="K3914" s="4562">
        <f>IF(D3914="","",D3914*J3914)</f>
        <v/>
      </c>
      <c r="L3914" s="4562">
        <f>XLOOKUP(B3914,'_Sys|Line_Map'!$A:$A,'_Sys|Line_Map'!$B:$B,"MISSING",0)</f>
        <v/>
      </c>
    </row>
    <row r="3915">
      <c r="A3915" s="4561" t="n"/>
      <c r="B3915" s="4561" t="n"/>
      <c r="C3915" s="4561" t="n"/>
      <c r="D3915" s="4561" t="n"/>
      <c r="E3915" s="4561" t="n"/>
      <c r="F3915" s="4561" t="n"/>
      <c r="G3915" s="4561" t="n"/>
      <c r="H3915" s="4561" t="n"/>
      <c r="I3915" s="4562">
        <f>XLOOKUP(B3915,'_Sys|Line_Map'!$A:$A,'_Sys|Line_Map'!$C:$C,"MISSING",0)</f>
        <v/>
      </c>
      <c r="J3915" s="4562">
        <f>XLOOKUP(B3915,'_Sys|Line_Map'!$A:$A,'_Sys|Line_Map'!$D:$D,1,0)</f>
        <v/>
      </c>
      <c r="K3915" s="4562">
        <f>IF(D3915="","",D3915*J3915)</f>
        <v/>
      </c>
      <c r="L3915" s="4562">
        <f>XLOOKUP(B3915,'_Sys|Line_Map'!$A:$A,'_Sys|Line_Map'!$B:$B,"MISSING",0)</f>
        <v/>
      </c>
    </row>
    <row r="3916">
      <c r="A3916" s="4561" t="n"/>
      <c r="B3916" s="4561" t="n"/>
      <c r="C3916" s="4561" t="n"/>
      <c r="D3916" s="4561" t="n"/>
      <c r="E3916" s="4561" t="n"/>
      <c r="F3916" s="4561" t="n"/>
      <c r="G3916" s="4561" t="n"/>
      <c r="H3916" s="4561" t="n"/>
      <c r="I3916" s="4562">
        <f>XLOOKUP(B3916,'_Sys|Line_Map'!$A:$A,'_Sys|Line_Map'!$C:$C,"MISSING",0)</f>
        <v/>
      </c>
      <c r="J3916" s="4562">
        <f>XLOOKUP(B3916,'_Sys|Line_Map'!$A:$A,'_Sys|Line_Map'!$D:$D,1,0)</f>
        <v/>
      </c>
      <c r="K3916" s="4562">
        <f>IF(D3916="","",D3916*J3916)</f>
        <v/>
      </c>
      <c r="L3916" s="4562">
        <f>XLOOKUP(B3916,'_Sys|Line_Map'!$A:$A,'_Sys|Line_Map'!$B:$B,"MISSING",0)</f>
        <v/>
      </c>
    </row>
    <row r="3917">
      <c r="A3917" s="4561" t="n"/>
      <c r="B3917" s="4561" t="n"/>
      <c r="C3917" s="4561" t="n"/>
      <c r="D3917" s="4561" t="n"/>
      <c r="E3917" s="4561" t="n"/>
      <c r="F3917" s="4561" t="n"/>
      <c r="G3917" s="4561" t="n"/>
      <c r="H3917" s="4561" t="n"/>
      <c r="I3917" s="4562">
        <f>XLOOKUP(B3917,'_Sys|Line_Map'!$A:$A,'_Sys|Line_Map'!$C:$C,"MISSING",0)</f>
        <v/>
      </c>
      <c r="J3917" s="4562">
        <f>XLOOKUP(B3917,'_Sys|Line_Map'!$A:$A,'_Sys|Line_Map'!$D:$D,1,0)</f>
        <v/>
      </c>
      <c r="K3917" s="4562">
        <f>IF(D3917="","",D3917*J3917)</f>
        <v/>
      </c>
      <c r="L3917" s="4562">
        <f>XLOOKUP(B3917,'_Sys|Line_Map'!$A:$A,'_Sys|Line_Map'!$B:$B,"MISSING",0)</f>
        <v/>
      </c>
    </row>
    <row r="3918">
      <c r="A3918" s="4561" t="n"/>
      <c r="B3918" s="4561" t="n"/>
      <c r="C3918" s="4561" t="n"/>
      <c r="D3918" s="4561" t="n"/>
      <c r="E3918" s="4561" t="n"/>
      <c r="F3918" s="4561" t="n"/>
      <c r="G3918" s="4561" t="n"/>
      <c r="H3918" s="4561" t="n"/>
      <c r="I3918" s="4562">
        <f>XLOOKUP(B3918,'_Sys|Line_Map'!$A:$A,'_Sys|Line_Map'!$C:$C,"MISSING",0)</f>
        <v/>
      </c>
      <c r="J3918" s="4562">
        <f>XLOOKUP(B3918,'_Sys|Line_Map'!$A:$A,'_Sys|Line_Map'!$D:$D,1,0)</f>
        <v/>
      </c>
      <c r="K3918" s="4562">
        <f>IF(D3918="","",D3918*J3918)</f>
        <v/>
      </c>
      <c r="L3918" s="4562">
        <f>XLOOKUP(B3918,'_Sys|Line_Map'!$A:$A,'_Sys|Line_Map'!$B:$B,"MISSING",0)</f>
        <v/>
      </c>
    </row>
    <row r="3919">
      <c r="A3919" s="4561" t="n"/>
      <c r="B3919" s="4561" t="n"/>
      <c r="C3919" s="4561" t="n"/>
      <c r="D3919" s="4561" t="n"/>
      <c r="E3919" s="4561" t="n"/>
      <c r="F3919" s="4561" t="n"/>
      <c r="G3919" s="4561" t="n"/>
      <c r="H3919" s="4561" t="n"/>
      <c r="I3919" s="4562">
        <f>XLOOKUP(B3919,'_Sys|Line_Map'!$A:$A,'_Sys|Line_Map'!$C:$C,"MISSING",0)</f>
        <v/>
      </c>
      <c r="J3919" s="4562">
        <f>XLOOKUP(B3919,'_Sys|Line_Map'!$A:$A,'_Sys|Line_Map'!$D:$D,1,0)</f>
        <v/>
      </c>
      <c r="K3919" s="4562">
        <f>IF(D3919="","",D3919*J3919)</f>
        <v/>
      </c>
      <c r="L3919" s="4562">
        <f>XLOOKUP(B3919,'_Sys|Line_Map'!$A:$A,'_Sys|Line_Map'!$B:$B,"MISSING",0)</f>
        <v/>
      </c>
    </row>
    <row r="3920">
      <c r="A3920" s="4561" t="n"/>
      <c r="B3920" s="4561" t="n"/>
      <c r="C3920" s="4561" t="n"/>
      <c r="D3920" s="4561" t="n"/>
      <c r="E3920" s="4561" t="n"/>
      <c r="F3920" s="4561" t="n"/>
      <c r="G3920" s="4561" t="n"/>
      <c r="H3920" s="4561" t="n"/>
      <c r="I3920" s="4562">
        <f>XLOOKUP(B3920,'_Sys|Line_Map'!$A:$A,'_Sys|Line_Map'!$C:$C,"MISSING",0)</f>
        <v/>
      </c>
      <c r="J3920" s="4562">
        <f>XLOOKUP(B3920,'_Sys|Line_Map'!$A:$A,'_Sys|Line_Map'!$D:$D,1,0)</f>
        <v/>
      </c>
      <c r="K3920" s="4562">
        <f>IF(D3920="","",D3920*J3920)</f>
        <v/>
      </c>
      <c r="L3920" s="4562">
        <f>XLOOKUP(B3920,'_Sys|Line_Map'!$A:$A,'_Sys|Line_Map'!$B:$B,"MISSING",0)</f>
        <v/>
      </c>
    </row>
    <row r="3921">
      <c r="A3921" s="4561" t="n"/>
      <c r="B3921" s="4561" t="n"/>
      <c r="C3921" s="4561" t="n"/>
      <c r="D3921" s="4561" t="n"/>
      <c r="E3921" s="4561" t="n"/>
      <c r="F3921" s="4561" t="n"/>
      <c r="G3921" s="4561" t="n"/>
      <c r="H3921" s="4561" t="n"/>
      <c r="I3921" s="4562">
        <f>XLOOKUP(B3921,'_Sys|Line_Map'!$A:$A,'_Sys|Line_Map'!$C:$C,"MISSING",0)</f>
        <v/>
      </c>
      <c r="J3921" s="4562">
        <f>XLOOKUP(B3921,'_Sys|Line_Map'!$A:$A,'_Sys|Line_Map'!$D:$D,1,0)</f>
        <v/>
      </c>
      <c r="K3921" s="4562">
        <f>IF(D3921="","",D3921*J3921)</f>
        <v/>
      </c>
      <c r="L3921" s="4562">
        <f>XLOOKUP(B3921,'_Sys|Line_Map'!$A:$A,'_Sys|Line_Map'!$B:$B,"MISSING",0)</f>
        <v/>
      </c>
    </row>
    <row r="3922">
      <c r="A3922" s="4561" t="n"/>
      <c r="B3922" s="4561" t="n"/>
      <c r="C3922" s="4561" t="n"/>
      <c r="D3922" s="4561" t="n"/>
      <c r="E3922" s="4561" t="n"/>
      <c r="F3922" s="4561" t="n"/>
      <c r="G3922" s="4561" t="n"/>
      <c r="H3922" s="4561" t="n"/>
      <c r="I3922" s="4562">
        <f>XLOOKUP(B3922,'_Sys|Line_Map'!$A:$A,'_Sys|Line_Map'!$C:$C,"MISSING",0)</f>
        <v/>
      </c>
      <c r="J3922" s="4562">
        <f>XLOOKUP(B3922,'_Sys|Line_Map'!$A:$A,'_Sys|Line_Map'!$D:$D,1,0)</f>
        <v/>
      </c>
      <c r="K3922" s="4562">
        <f>IF(D3922="","",D3922*J3922)</f>
        <v/>
      </c>
      <c r="L3922" s="4562">
        <f>XLOOKUP(B3922,'_Sys|Line_Map'!$A:$A,'_Sys|Line_Map'!$B:$B,"MISSING",0)</f>
        <v/>
      </c>
    </row>
    <row r="3923">
      <c r="A3923" s="4561" t="n"/>
      <c r="B3923" s="4561" t="n"/>
      <c r="C3923" s="4561" t="n"/>
      <c r="D3923" s="4561" t="n"/>
      <c r="E3923" s="4561" t="n"/>
      <c r="F3923" s="4561" t="n"/>
      <c r="G3923" s="4561" t="n"/>
      <c r="H3923" s="4561" t="n"/>
      <c r="I3923" s="4562">
        <f>XLOOKUP(B3923,'_Sys|Line_Map'!$A:$A,'_Sys|Line_Map'!$C:$C,"MISSING",0)</f>
        <v/>
      </c>
      <c r="J3923" s="4562">
        <f>XLOOKUP(B3923,'_Sys|Line_Map'!$A:$A,'_Sys|Line_Map'!$D:$D,1,0)</f>
        <v/>
      </c>
      <c r="K3923" s="4562">
        <f>IF(D3923="","",D3923*J3923)</f>
        <v/>
      </c>
      <c r="L3923" s="4562">
        <f>XLOOKUP(B3923,'_Sys|Line_Map'!$A:$A,'_Sys|Line_Map'!$B:$B,"MISSING",0)</f>
        <v/>
      </c>
    </row>
    <row r="3924">
      <c r="A3924" s="4561" t="n"/>
      <c r="B3924" s="4561" t="n"/>
      <c r="C3924" s="4561" t="n"/>
      <c r="D3924" s="4561" t="n"/>
      <c r="E3924" s="4561" t="n"/>
      <c r="F3924" s="4561" t="n"/>
      <c r="G3924" s="4561" t="n"/>
      <c r="H3924" s="4561" t="n"/>
      <c r="I3924" s="4562">
        <f>XLOOKUP(B3924,'_Sys|Line_Map'!$A:$A,'_Sys|Line_Map'!$C:$C,"MISSING",0)</f>
        <v/>
      </c>
      <c r="J3924" s="4562">
        <f>XLOOKUP(B3924,'_Sys|Line_Map'!$A:$A,'_Sys|Line_Map'!$D:$D,1,0)</f>
        <v/>
      </c>
      <c r="K3924" s="4562">
        <f>IF(D3924="","",D3924*J3924)</f>
        <v/>
      </c>
      <c r="L3924" s="4562">
        <f>XLOOKUP(B3924,'_Sys|Line_Map'!$A:$A,'_Sys|Line_Map'!$B:$B,"MISSING",0)</f>
        <v/>
      </c>
    </row>
    <row r="3925">
      <c r="A3925" s="4561" t="n"/>
      <c r="B3925" s="4561" t="n"/>
      <c r="C3925" s="4561" t="n"/>
      <c r="D3925" s="4561" t="n"/>
      <c r="E3925" s="4561" t="n"/>
      <c r="F3925" s="4561" t="n"/>
      <c r="G3925" s="4561" t="n"/>
      <c r="H3925" s="4561" t="n"/>
      <c r="I3925" s="4562">
        <f>XLOOKUP(B3925,'_Sys|Line_Map'!$A:$A,'_Sys|Line_Map'!$C:$C,"MISSING",0)</f>
        <v/>
      </c>
      <c r="J3925" s="4562">
        <f>XLOOKUP(B3925,'_Sys|Line_Map'!$A:$A,'_Sys|Line_Map'!$D:$D,1,0)</f>
        <v/>
      </c>
      <c r="K3925" s="4562">
        <f>IF(D3925="","",D3925*J3925)</f>
        <v/>
      </c>
      <c r="L3925" s="4562">
        <f>XLOOKUP(B3925,'_Sys|Line_Map'!$A:$A,'_Sys|Line_Map'!$B:$B,"MISSING",0)</f>
        <v/>
      </c>
    </row>
    <row r="3926">
      <c r="A3926" s="4561" t="n"/>
      <c r="B3926" s="4561" t="n"/>
      <c r="C3926" s="4561" t="n"/>
      <c r="D3926" s="4561" t="n"/>
      <c r="E3926" s="4561" t="n"/>
      <c r="F3926" s="4561" t="n"/>
      <c r="G3926" s="4561" t="n"/>
      <c r="H3926" s="4561" t="n"/>
      <c r="I3926" s="4562">
        <f>XLOOKUP(B3926,'_Sys|Line_Map'!$A:$A,'_Sys|Line_Map'!$C:$C,"MISSING",0)</f>
        <v/>
      </c>
      <c r="J3926" s="4562">
        <f>XLOOKUP(B3926,'_Sys|Line_Map'!$A:$A,'_Sys|Line_Map'!$D:$D,1,0)</f>
        <v/>
      </c>
      <c r="K3926" s="4562">
        <f>IF(D3926="","",D3926*J3926)</f>
        <v/>
      </c>
      <c r="L3926" s="4562">
        <f>XLOOKUP(B3926,'_Sys|Line_Map'!$A:$A,'_Sys|Line_Map'!$B:$B,"MISSING",0)</f>
        <v/>
      </c>
    </row>
    <row r="3927">
      <c r="A3927" s="4561" t="n"/>
      <c r="B3927" s="4561" t="n"/>
      <c r="C3927" s="4561" t="n"/>
      <c r="D3927" s="4561" t="n"/>
      <c r="E3927" s="4561" t="n"/>
      <c r="F3927" s="4561" t="n"/>
      <c r="G3927" s="4561" t="n"/>
      <c r="H3927" s="4561" t="n"/>
      <c r="I3927" s="4562">
        <f>XLOOKUP(B3927,'_Sys|Line_Map'!$A:$A,'_Sys|Line_Map'!$C:$C,"MISSING",0)</f>
        <v/>
      </c>
      <c r="J3927" s="4562">
        <f>XLOOKUP(B3927,'_Sys|Line_Map'!$A:$A,'_Sys|Line_Map'!$D:$D,1,0)</f>
        <v/>
      </c>
      <c r="K3927" s="4562">
        <f>IF(D3927="","",D3927*J3927)</f>
        <v/>
      </c>
      <c r="L3927" s="4562">
        <f>XLOOKUP(B3927,'_Sys|Line_Map'!$A:$A,'_Sys|Line_Map'!$B:$B,"MISSING",0)</f>
        <v/>
      </c>
    </row>
    <row r="3928">
      <c r="A3928" s="4561" t="n"/>
      <c r="B3928" s="4561" t="n"/>
      <c r="C3928" s="4561" t="n"/>
      <c r="D3928" s="4561" t="n"/>
      <c r="E3928" s="4561" t="n"/>
      <c r="F3928" s="4561" t="n"/>
      <c r="G3928" s="4561" t="n"/>
      <c r="H3928" s="4561" t="n"/>
      <c r="I3928" s="4562">
        <f>XLOOKUP(B3928,'_Sys|Line_Map'!$A:$A,'_Sys|Line_Map'!$C:$C,"MISSING",0)</f>
        <v/>
      </c>
      <c r="J3928" s="4562">
        <f>XLOOKUP(B3928,'_Sys|Line_Map'!$A:$A,'_Sys|Line_Map'!$D:$D,1,0)</f>
        <v/>
      </c>
      <c r="K3928" s="4562">
        <f>IF(D3928="","",D3928*J3928)</f>
        <v/>
      </c>
      <c r="L3928" s="4562">
        <f>XLOOKUP(B3928,'_Sys|Line_Map'!$A:$A,'_Sys|Line_Map'!$B:$B,"MISSING",0)</f>
        <v/>
      </c>
    </row>
    <row r="3929">
      <c r="A3929" s="4561" t="n"/>
      <c r="B3929" s="4561" t="n"/>
      <c r="C3929" s="4561" t="n"/>
      <c r="D3929" s="4561" t="n"/>
      <c r="E3929" s="4561" t="n"/>
      <c r="F3929" s="4561" t="n"/>
      <c r="G3929" s="4561" t="n"/>
      <c r="H3929" s="4561" t="n"/>
      <c r="I3929" s="4562">
        <f>XLOOKUP(B3929,'_Sys|Line_Map'!$A:$A,'_Sys|Line_Map'!$C:$C,"MISSING",0)</f>
        <v/>
      </c>
      <c r="J3929" s="4562">
        <f>XLOOKUP(B3929,'_Sys|Line_Map'!$A:$A,'_Sys|Line_Map'!$D:$D,1,0)</f>
        <v/>
      </c>
      <c r="K3929" s="4562">
        <f>IF(D3929="","",D3929*J3929)</f>
        <v/>
      </c>
      <c r="L3929" s="4562">
        <f>XLOOKUP(B3929,'_Sys|Line_Map'!$A:$A,'_Sys|Line_Map'!$B:$B,"MISSING",0)</f>
        <v/>
      </c>
    </row>
    <row r="3930">
      <c r="A3930" s="4561" t="n"/>
      <c r="B3930" s="4561" t="n"/>
      <c r="C3930" s="4561" t="n"/>
      <c r="D3930" s="4561" t="n"/>
      <c r="E3930" s="4561" t="n"/>
      <c r="F3930" s="4561" t="n"/>
      <c r="G3930" s="4561" t="n"/>
      <c r="H3930" s="4561" t="n"/>
      <c r="I3930" s="4562">
        <f>XLOOKUP(B3930,'_Sys|Line_Map'!$A:$A,'_Sys|Line_Map'!$C:$C,"MISSING",0)</f>
        <v/>
      </c>
      <c r="J3930" s="4562">
        <f>XLOOKUP(B3930,'_Sys|Line_Map'!$A:$A,'_Sys|Line_Map'!$D:$D,1,0)</f>
        <v/>
      </c>
      <c r="K3930" s="4562">
        <f>IF(D3930="","",D3930*J3930)</f>
        <v/>
      </c>
      <c r="L3930" s="4562">
        <f>XLOOKUP(B3930,'_Sys|Line_Map'!$A:$A,'_Sys|Line_Map'!$B:$B,"MISSING",0)</f>
        <v/>
      </c>
    </row>
    <row r="3931">
      <c r="A3931" s="4561" t="n"/>
      <c r="B3931" s="4561" t="n"/>
      <c r="C3931" s="4561" t="n"/>
      <c r="D3931" s="4561" t="n"/>
      <c r="E3931" s="4561" t="n"/>
      <c r="F3931" s="4561" t="n"/>
      <c r="G3931" s="4561" t="n"/>
      <c r="H3931" s="4561" t="n"/>
      <c r="I3931" s="4562">
        <f>XLOOKUP(B3931,'_Sys|Line_Map'!$A:$A,'_Sys|Line_Map'!$C:$C,"MISSING",0)</f>
        <v/>
      </c>
      <c r="J3931" s="4562">
        <f>XLOOKUP(B3931,'_Sys|Line_Map'!$A:$A,'_Sys|Line_Map'!$D:$D,1,0)</f>
        <v/>
      </c>
      <c r="K3931" s="4562">
        <f>IF(D3931="","",D3931*J3931)</f>
        <v/>
      </c>
      <c r="L3931" s="4562">
        <f>XLOOKUP(B3931,'_Sys|Line_Map'!$A:$A,'_Sys|Line_Map'!$B:$B,"MISSING",0)</f>
        <v/>
      </c>
    </row>
    <row r="3932">
      <c r="A3932" s="4561" t="n"/>
      <c r="B3932" s="4561" t="n"/>
      <c r="C3932" s="4561" t="n"/>
      <c r="D3932" s="4561" t="n"/>
      <c r="E3932" s="4561" t="n"/>
      <c r="F3932" s="4561" t="n"/>
      <c r="G3932" s="4561" t="n"/>
      <c r="H3932" s="4561" t="n"/>
      <c r="I3932" s="4562">
        <f>XLOOKUP(B3932,'_Sys|Line_Map'!$A:$A,'_Sys|Line_Map'!$C:$C,"MISSING",0)</f>
        <v/>
      </c>
      <c r="J3932" s="4562">
        <f>XLOOKUP(B3932,'_Sys|Line_Map'!$A:$A,'_Sys|Line_Map'!$D:$D,1,0)</f>
        <v/>
      </c>
      <c r="K3932" s="4562">
        <f>IF(D3932="","",D3932*J3932)</f>
        <v/>
      </c>
      <c r="L3932" s="4562">
        <f>XLOOKUP(B3932,'_Sys|Line_Map'!$A:$A,'_Sys|Line_Map'!$B:$B,"MISSING",0)</f>
        <v/>
      </c>
    </row>
    <row r="3933">
      <c r="A3933" s="4561" t="n"/>
      <c r="B3933" s="4561" t="n"/>
      <c r="C3933" s="4561" t="n"/>
      <c r="D3933" s="4561" t="n"/>
      <c r="E3933" s="4561" t="n"/>
      <c r="F3933" s="4561" t="n"/>
      <c r="G3933" s="4561" t="n"/>
      <c r="H3933" s="4561" t="n"/>
      <c r="I3933" s="4562">
        <f>XLOOKUP(B3933,'_Sys|Line_Map'!$A:$A,'_Sys|Line_Map'!$C:$C,"MISSING",0)</f>
        <v/>
      </c>
      <c r="J3933" s="4562">
        <f>XLOOKUP(B3933,'_Sys|Line_Map'!$A:$A,'_Sys|Line_Map'!$D:$D,1,0)</f>
        <v/>
      </c>
      <c r="K3933" s="4562">
        <f>IF(D3933="","",D3933*J3933)</f>
        <v/>
      </c>
      <c r="L3933" s="4562">
        <f>XLOOKUP(B3933,'_Sys|Line_Map'!$A:$A,'_Sys|Line_Map'!$B:$B,"MISSING",0)</f>
        <v/>
      </c>
    </row>
    <row r="3934">
      <c r="A3934" s="4561" t="n"/>
      <c r="B3934" s="4561" t="n"/>
      <c r="C3934" s="4561" t="n"/>
      <c r="D3934" s="4561" t="n"/>
      <c r="E3934" s="4561" t="n"/>
      <c r="F3934" s="4561" t="n"/>
      <c r="G3934" s="4561" t="n"/>
      <c r="H3934" s="4561" t="n"/>
      <c r="I3934" s="4562">
        <f>XLOOKUP(B3934,'_Sys|Line_Map'!$A:$A,'_Sys|Line_Map'!$C:$C,"MISSING",0)</f>
        <v/>
      </c>
      <c r="J3934" s="4562">
        <f>XLOOKUP(B3934,'_Sys|Line_Map'!$A:$A,'_Sys|Line_Map'!$D:$D,1,0)</f>
        <v/>
      </c>
      <c r="K3934" s="4562">
        <f>IF(D3934="","",D3934*J3934)</f>
        <v/>
      </c>
      <c r="L3934" s="4562">
        <f>XLOOKUP(B3934,'_Sys|Line_Map'!$A:$A,'_Sys|Line_Map'!$B:$B,"MISSING",0)</f>
        <v/>
      </c>
    </row>
    <row r="3935">
      <c r="A3935" s="4561" t="n"/>
      <c r="B3935" s="4561" t="n"/>
      <c r="C3935" s="4561" t="n"/>
      <c r="D3935" s="4561" t="n"/>
      <c r="E3935" s="4561" t="n"/>
      <c r="F3935" s="4561" t="n"/>
      <c r="G3935" s="4561" t="n"/>
      <c r="H3935" s="4561" t="n"/>
      <c r="I3935" s="4562">
        <f>XLOOKUP(B3935,'_Sys|Line_Map'!$A:$A,'_Sys|Line_Map'!$C:$C,"MISSING",0)</f>
        <v/>
      </c>
      <c r="J3935" s="4562">
        <f>XLOOKUP(B3935,'_Sys|Line_Map'!$A:$A,'_Sys|Line_Map'!$D:$D,1,0)</f>
        <v/>
      </c>
      <c r="K3935" s="4562">
        <f>IF(D3935="","",D3935*J3935)</f>
        <v/>
      </c>
      <c r="L3935" s="4562">
        <f>XLOOKUP(B3935,'_Sys|Line_Map'!$A:$A,'_Sys|Line_Map'!$B:$B,"MISSING",0)</f>
        <v/>
      </c>
    </row>
    <row r="3936">
      <c r="A3936" s="4561" t="n"/>
      <c r="B3936" s="4561" t="n"/>
      <c r="C3936" s="4561" t="n"/>
      <c r="D3936" s="4561" t="n"/>
      <c r="E3936" s="4561" t="n"/>
      <c r="F3936" s="4561" t="n"/>
      <c r="G3936" s="4561" t="n"/>
      <c r="H3936" s="4561" t="n"/>
      <c r="I3936" s="4562">
        <f>XLOOKUP(B3936,'_Sys|Line_Map'!$A:$A,'_Sys|Line_Map'!$C:$C,"MISSING",0)</f>
        <v/>
      </c>
      <c r="J3936" s="4562">
        <f>XLOOKUP(B3936,'_Sys|Line_Map'!$A:$A,'_Sys|Line_Map'!$D:$D,1,0)</f>
        <v/>
      </c>
      <c r="K3936" s="4562">
        <f>IF(D3936="","",D3936*J3936)</f>
        <v/>
      </c>
      <c r="L3936" s="4562">
        <f>XLOOKUP(B3936,'_Sys|Line_Map'!$A:$A,'_Sys|Line_Map'!$B:$B,"MISSING",0)</f>
        <v/>
      </c>
    </row>
    <row r="3937">
      <c r="A3937" s="4561" t="n"/>
      <c r="B3937" s="4561" t="n"/>
      <c r="C3937" s="4561" t="n"/>
      <c r="D3937" s="4561" t="n"/>
      <c r="E3937" s="4561" t="n"/>
      <c r="F3937" s="4561" t="n"/>
      <c r="G3937" s="4561" t="n"/>
      <c r="H3937" s="4561" t="n"/>
      <c r="I3937" s="4562">
        <f>XLOOKUP(B3937,'_Sys|Line_Map'!$A:$A,'_Sys|Line_Map'!$C:$C,"MISSING",0)</f>
        <v/>
      </c>
      <c r="J3937" s="4562">
        <f>XLOOKUP(B3937,'_Sys|Line_Map'!$A:$A,'_Sys|Line_Map'!$D:$D,1,0)</f>
        <v/>
      </c>
      <c r="K3937" s="4562">
        <f>IF(D3937="","",D3937*J3937)</f>
        <v/>
      </c>
      <c r="L3937" s="4562">
        <f>XLOOKUP(B3937,'_Sys|Line_Map'!$A:$A,'_Sys|Line_Map'!$B:$B,"MISSING",0)</f>
        <v/>
      </c>
    </row>
    <row r="3938">
      <c r="A3938" s="4561" t="n"/>
      <c r="B3938" s="4561" t="n"/>
      <c r="C3938" s="4561" t="n"/>
      <c r="D3938" s="4561" t="n"/>
      <c r="E3938" s="4561" t="n"/>
      <c r="F3938" s="4561" t="n"/>
      <c r="G3938" s="4561" t="n"/>
      <c r="H3938" s="4561" t="n"/>
      <c r="I3938" s="4562">
        <f>XLOOKUP(B3938,'_Sys|Line_Map'!$A:$A,'_Sys|Line_Map'!$C:$C,"MISSING",0)</f>
        <v/>
      </c>
      <c r="J3938" s="4562">
        <f>XLOOKUP(B3938,'_Sys|Line_Map'!$A:$A,'_Sys|Line_Map'!$D:$D,1,0)</f>
        <v/>
      </c>
      <c r="K3938" s="4562">
        <f>IF(D3938="","",D3938*J3938)</f>
        <v/>
      </c>
      <c r="L3938" s="4562">
        <f>XLOOKUP(B3938,'_Sys|Line_Map'!$A:$A,'_Sys|Line_Map'!$B:$B,"MISSING",0)</f>
        <v/>
      </c>
    </row>
    <row r="3939">
      <c r="A3939" s="4561" t="n"/>
      <c r="B3939" s="4561" t="n"/>
      <c r="C3939" s="4561" t="n"/>
      <c r="D3939" s="4561" t="n"/>
      <c r="E3939" s="4561" t="n"/>
      <c r="F3939" s="4561" t="n"/>
      <c r="G3939" s="4561" t="n"/>
      <c r="H3939" s="4561" t="n"/>
      <c r="I3939" s="4562">
        <f>XLOOKUP(B3939,'_Sys|Line_Map'!$A:$A,'_Sys|Line_Map'!$C:$C,"MISSING",0)</f>
        <v/>
      </c>
      <c r="J3939" s="4562">
        <f>XLOOKUP(B3939,'_Sys|Line_Map'!$A:$A,'_Sys|Line_Map'!$D:$D,1,0)</f>
        <v/>
      </c>
      <c r="K3939" s="4562">
        <f>IF(D3939="","",D3939*J3939)</f>
        <v/>
      </c>
      <c r="L3939" s="4562">
        <f>XLOOKUP(B3939,'_Sys|Line_Map'!$A:$A,'_Sys|Line_Map'!$B:$B,"MISSING",0)</f>
        <v/>
      </c>
    </row>
    <row r="3940">
      <c r="A3940" s="4561" t="n"/>
      <c r="B3940" s="4561" t="n"/>
      <c r="C3940" s="4561" t="n"/>
      <c r="D3940" s="4561" t="n"/>
      <c r="E3940" s="4561" t="n"/>
      <c r="F3940" s="4561" t="n"/>
      <c r="G3940" s="4561" t="n"/>
      <c r="H3940" s="4561" t="n"/>
      <c r="I3940" s="4562">
        <f>XLOOKUP(B3940,'_Sys|Line_Map'!$A:$A,'_Sys|Line_Map'!$C:$C,"MISSING",0)</f>
        <v/>
      </c>
      <c r="J3940" s="4562">
        <f>XLOOKUP(B3940,'_Sys|Line_Map'!$A:$A,'_Sys|Line_Map'!$D:$D,1,0)</f>
        <v/>
      </c>
      <c r="K3940" s="4562">
        <f>IF(D3940="","",D3940*J3940)</f>
        <v/>
      </c>
      <c r="L3940" s="4562">
        <f>XLOOKUP(B3940,'_Sys|Line_Map'!$A:$A,'_Sys|Line_Map'!$B:$B,"MISSING",0)</f>
        <v/>
      </c>
    </row>
    <row r="3941">
      <c r="A3941" s="4561" t="n"/>
      <c r="B3941" s="4561" t="n"/>
      <c r="C3941" s="4561" t="n"/>
      <c r="D3941" s="4561" t="n"/>
      <c r="E3941" s="4561" t="n"/>
      <c r="F3941" s="4561" t="n"/>
      <c r="G3941" s="4561" t="n"/>
      <c r="H3941" s="4561" t="n"/>
      <c r="I3941" s="4562">
        <f>XLOOKUP(B3941,'_Sys|Line_Map'!$A:$A,'_Sys|Line_Map'!$C:$C,"MISSING",0)</f>
        <v/>
      </c>
      <c r="J3941" s="4562">
        <f>XLOOKUP(B3941,'_Sys|Line_Map'!$A:$A,'_Sys|Line_Map'!$D:$D,1,0)</f>
        <v/>
      </c>
      <c r="K3941" s="4562">
        <f>IF(D3941="","",D3941*J3941)</f>
        <v/>
      </c>
      <c r="L3941" s="4562">
        <f>XLOOKUP(B3941,'_Sys|Line_Map'!$A:$A,'_Sys|Line_Map'!$B:$B,"MISSING",0)</f>
        <v/>
      </c>
    </row>
    <row r="3942">
      <c r="A3942" s="4561" t="n"/>
      <c r="B3942" s="4561" t="n"/>
      <c r="C3942" s="4561" t="n"/>
      <c r="D3942" s="4561" t="n"/>
      <c r="E3942" s="4561" t="n"/>
      <c r="F3942" s="4561" t="n"/>
      <c r="G3942" s="4561" t="n"/>
      <c r="H3942" s="4561" t="n"/>
      <c r="I3942" s="4562">
        <f>XLOOKUP(B3942,'_Sys|Line_Map'!$A:$A,'_Sys|Line_Map'!$C:$C,"MISSING",0)</f>
        <v/>
      </c>
      <c r="J3942" s="4562">
        <f>XLOOKUP(B3942,'_Sys|Line_Map'!$A:$A,'_Sys|Line_Map'!$D:$D,1,0)</f>
        <v/>
      </c>
      <c r="K3942" s="4562">
        <f>IF(D3942="","",D3942*J3942)</f>
        <v/>
      </c>
      <c r="L3942" s="4562">
        <f>XLOOKUP(B3942,'_Sys|Line_Map'!$A:$A,'_Sys|Line_Map'!$B:$B,"MISSING",0)</f>
        <v/>
      </c>
    </row>
    <row r="3943">
      <c r="A3943" s="4561" t="n"/>
      <c r="B3943" s="4561" t="n"/>
      <c r="C3943" s="4561" t="n"/>
      <c r="D3943" s="4561" t="n"/>
      <c r="E3943" s="4561" t="n"/>
      <c r="F3943" s="4561" t="n"/>
      <c r="G3943" s="4561" t="n"/>
      <c r="H3943" s="4561" t="n"/>
      <c r="I3943" s="4562">
        <f>XLOOKUP(B3943,'_Sys|Line_Map'!$A:$A,'_Sys|Line_Map'!$C:$C,"MISSING",0)</f>
        <v/>
      </c>
      <c r="J3943" s="4562">
        <f>XLOOKUP(B3943,'_Sys|Line_Map'!$A:$A,'_Sys|Line_Map'!$D:$D,1,0)</f>
        <v/>
      </c>
      <c r="K3943" s="4562">
        <f>IF(D3943="","",D3943*J3943)</f>
        <v/>
      </c>
      <c r="L3943" s="4562">
        <f>XLOOKUP(B3943,'_Sys|Line_Map'!$A:$A,'_Sys|Line_Map'!$B:$B,"MISSING",0)</f>
        <v/>
      </c>
    </row>
    <row r="3944">
      <c r="A3944" s="4561" t="n"/>
      <c r="B3944" s="4561" t="n"/>
      <c r="C3944" s="4561" t="n"/>
      <c r="D3944" s="4561" t="n"/>
      <c r="E3944" s="4561" t="n"/>
      <c r="F3944" s="4561" t="n"/>
      <c r="G3944" s="4561" t="n"/>
      <c r="H3944" s="4561" t="n"/>
      <c r="I3944" s="4562">
        <f>XLOOKUP(B3944,'_Sys|Line_Map'!$A:$A,'_Sys|Line_Map'!$C:$C,"MISSING",0)</f>
        <v/>
      </c>
      <c r="J3944" s="4562">
        <f>XLOOKUP(B3944,'_Sys|Line_Map'!$A:$A,'_Sys|Line_Map'!$D:$D,1,0)</f>
        <v/>
      </c>
      <c r="K3944" s="4562">
        <f>IF(D3944="","",D3944*J3944)</f>
        <v/>
      </c>
      <c r="L3944" s="4562">
        <f>XLOOKUP(B3944,'_Sys|Line_Map'!$A:$A,'_Sys|Line_Map'!$B:$B,"MISSING",0)</f>
        <v/>
      </c>
    </row>
    <row r="3945">
      <c r="A3945" s="4561" t="n"/>
      <c r="B3945" s="4561" t="n"/>
      <c r="C3945" s="4561" t="n"/>
      <c r="D3945" s="4561" t="n"/>
      <c r="E3945" s="4561" t="n"/>
      <c r="F3945" s="4561" t="n"/>
      <c r="G3945" s="4561" t="n"/>
      <c r="H3945" s="4561" t="n"/>
      <c r="I3945" s="4562">
        <f>XLOOKUP(B3945,'_Sys|Line_Map'!$A:$A,'_Sys|Line_Map'!$C:$C,"MISSING",0)</f>
        <v/>
      </c>
      <c r="J3945" s="4562">
        <f>XLOOKUP(B3945,'_Sys|Line_Map'!$A:$A,'_Sys|Line_Map'!$D:$D,1,0)</f>
        <v/>
      </c>
      <c r="K3945" s="4562">
        <f>IF(D3945="","",D3945*J3945)</f>
        <v/>
      </c>
      <c r="L3945" s="4562">
        <f>XLOOKUP(B3945,'_Sys|Line_Map'!$A:$A,'_Sys|Line_Map'!$B:$B,"MISSING",0)</f>
        <v/>
      </c>
    </row>
    <row r="3946">
      <c r="A3946" s="4561" t="n"/>
      <c r="B3946" s="4561" t="n"/>
      <c r="C3946" s="4561" t="n"/>
      <c r="D3946" s="4561" t="n"/>
      <c r="E3946" s="4561" t="n"/>
      <c r="F3946" s="4561" t="n"/>
      <c r="G3946" s="4561" t="n"/>
      <c r="H3946" s="4561" t="n"/>
      <c r="I3946" s="4562">
        <f>XLOOKUP(B3946,'_Sys|Line_Map'!$A:$A,'_Sys|Line_Map'!$C:$C,"MISSING",0)</f>
        <v/>
      </c>
      <c r="J3946" s="4562">
        <f>XLOOKUP(B3946,'_Sys|Line_Map'!$A:$A,'_Sys|Line_Map'!$D:$D,1,0)</f>
        <v/>
      </c>
      <c r="K3946" s="4562">
        <f>IF(D3946="","",D3946*J3946)</f>
        <v/>
      </c>
      <c r="L3946" s="4562">
        <f>XLOOKUP(B3946,'_Sys|Line_Map'!$A:$A,'_Sys|Line_Map'!$B:$B,"MISSING",0)</f>
        <v/>
      </c>
    </row>
    <row r="3947">
      <c r="A3947" s="4561" t="n"/>
      <c r="B3947" s="4561" t="n"/>
      <c r="C3947" s="4561" t="n"/>
      <c r="D3947" s="4561" t="n"/>
      <c r="E3947" s="4561" t="n"/>
      <c r="F3947" s="4561" t="n"/>
      <c r="G3947" s="4561" t="n"/>
      <c r="H3947" s="4561" t="n"/>
      <c r="I3947" s="4562">
        <f>XLOOKUP(B3947,'_Sys|Line_Map'!$A:$A,'_Sys|Line_Map'!$C:$C,"MISSING",0)</f>
        <v/>
      </c>
      <c r="J3947" s="4562">
        <f>XLOOKUP(B3947,'_Sys|Line_Map'!$A:$A,'_Sys|Line_Map'!$D:$D,1,0)</f>
        <v/>
      </c>
      <c r="K3947" s="4562">
        <f>IF(D3947="","",D3947*J3947)</f>
        <v/>
      </c>
      <c r="L3947" s="4562">
        <f>XLOOKUP(B3947,'_Sys|Line_Map'!$A:$A,'_Sys|Line_Map'!$B:$B,"MISSING",0)</f>
        <v/>
      </c>
    </row>
    <row r="3948">
      <c r="A3948" s="4561" t="n"/>
      <c r="B3948" s="4561" t="n"/>
      <c r="C3948" s="4561" t="n"/>
      <c r="D3948" s="4561" t="n"/>
      <c r="E3948" s="4561" t="n"/>
      <c r="F3948" s="4561" t="n"/>
      <c r="G3948" s="4561" t="n"/>
      <c r="H3948" s="4561" t="n"/>
      <c r="I3948" s="4562">
        <f>XLOOKUP(B3948,'_Sys|Line_Map'!$A:$A,'_Sys|Line_Map'!$C:$C,"MISSING",0)</f>
        <v/>
      </c>
      <c r="J3948" s="4562">
        <f>XLOOKUP(B3948,'_Sys|Line_Map'!$A:$A,'_Sys|Line_Map'!$D:$D,1,0)</f>
        <v/>
      </c>
      <c r="K3948" s="4562">
        <f>IF(D3948="","",D3948*J3948)</f>
        <v/>
      </c>
      <c r="L3948" s="4562">
        <f>XLOOKUP(B3948,'_Sys|Line_Map'!$A:$A,'_Sys|Line_Map'!$B:$B,"MISSING",0)</f>
        <v/>
      </c>
    </row>
    <row r="3949">
      <c r="A3949" s="4561" t="n"/>
      <c r="B3949" s="4561" t="n"/>
      <c r="C3949" s="4561" t="n"/>
      <c r="D3949" s="4561" t="n"/>
      <c r="E3949" s="4561" t="n"/>
      <c r="F3949" s="4561" t="n"/>
      <c r="G3949" s="4561" t="n"/>
      <c r="H3949" s="4561" t="n"/>
      <c r="I3949" s="4562">
        <f>XLOOKUP(B3949,'_Sys|Line_Map'!$A:$A,'_Sys|Line_Map'!$C:$C,"MISSING",0)</f>
        <v/>
      </c>
      <c r="J3949" s="4562">
        <f>XLOOKUP(B3949,'_Sys|Line_Map'!$A:$A,'_Sys|Line_Map'!$D:$D,1,0)</f>
        <v/>
      </c>
      <c r="K3949" s="4562">
        <f>IF(D3949="","",D3949*J3949)</f>
        <v/>
      </c>
      <c r="L3949" s="4562">
        <f>XLOOKUP(B3949,'_Sys|Line_Map'!$A:$A,'_Sys|Line_Map'!$B:$B,"MISSING",0)</f>
        <v/>
      </c>
    </row>
    <row r="3950">
      <c r="A3950" s="4561" t="n"/>
      <c r="B3950" s="4561" t="n"/>
      <c r="C3950" s="4561" t="n"/>
      <c r="D3950" s="4561" t="n"/>
      <c r="E3950" s="4561" t="n"/>
      <c r="F3950" s="4561" t="n"/>
      <c r="G3950" s="4561" t="n"/>
      <c r="H3950" s="4561" t="n"/>
      <c r="I3950" s="4562">
        <f>XLOOKUP(B3950,'_Sys|Line_Map'!$A:$A,'_Sys|Line_Map'!$C:$C,"MISSING",0)</f>
        <v/>
      </c>
      <c r="J3950" s="4562">
        <f>XLOOKUP(B3950,'_Sys|Line_Map'!$A:$A,'_Sys|Line_Map'!$D:$D,1,0)</f>
        <v/>
      </c>
      <c r="K3950" s="4562">
        <f>IF(D3950="","",D3950*J3950)</f>
        <v/>
      </c>
      <c r="L3950" s="4562">
        <f>XLOOKUP(B3950,'_Sys|Line_Map'!$A:$A,'_Sys|Line_Map'!$B:$B,"MISSING",0)</f>
        <v/>
      </c>
    </row>
    <row r="3951">
      <c r="A3951" s="4561" t="n"/>
      <c r="B3951" s="4561" t="n"/>
      <c r="C3951" s="4561" t="n"/>
      <c r="D3951" s="4561" t="n"/>
      <c r="E3951" s="4561" t="n"/>
      <c r="F3951" s="4561" t="n"/>
      <c r="G3951" s="4561" t="n"/>
      <c r="H3951" s="4561" t="n"/>
      <c r="I3951" s="4562">
        <f>XLOOKUP(B3951,'_Sys|Line_Map'!$A:$A,'_Sys|Line_Map'!$C:$C,"MISSING",0)</f>
        <v/>
      </c>
      <c r="J3951" s="4562">
        <f>XLOOKUP(B3951,'_Sys|Line_Map'!$A:$A,'_Sys|Line_Map'!$D:$D,1,0)</f>
        <v/>
      </c>
      <c r="K3951" s="4562">
        <f>IF(D3951="","",D3951*J3951)</f>
        <v/>
      </c>
      <c r="L3951" s="4562">
        <f>XLOOKUP(B3951,'_Sys|Line_Map'!$A:$A,'_Sys|Line_Map'!$B:$B,"MISSING",0)</f>
        <v/>
      </c>
    </row>
    <row r="3952">
      <c r="A3952" s="4561" t="n"/>
      <c r="B3952" s="4561" t="n"/>
      <c r="C3952" s="4561" t="n"/>
      <c r="D3952" s="4561" t="n"/>
      <c r="E3952" s="4561" t="n"/>
      <c r="F3952" s="4561" t="n"/>
      <c r="G3952" s="4561" t="n"/>
      <c r="H3952" s="4561" t="n"/>
      <c r="I3952" s="4562">
        <f>XLOOKUP(B3952,'_Sys|Line_Map'!$A:$A,'_Sys|Line_Map'!$C:$C,"MISSING",0)</f>
        <v/>
      </c>
      <c r="J3952" s="4562">
        <f>XLOOKUP(B3952,'_Sys|Line_Map'!$A:$A,'_Sys|Line_Map'!$D:$D,1,0)</f>
        <v/>
      </c>
      <c r="K3952" s="4562">
        <f>IF(D3952="","",D3952*J3952)</f>
        <v/>
      </c>
      <c r="L3952" s="4562">
        <f>XLOOKUP(B3952,'_Sys|Line_Map'!$A:$A,'_Sys|Line_Map'!$B:$B,"MISSING",0)</f>
        <v/>
      </c>
    </row>
    <row r="3953">
      <c r="A3953" s="4561" t="n"/>
      <c r="B3953" s="4561" t="n"/>
      <c r="C3953" s="4561" t="n"/>
      <c r="D3953" s="4561" t="n"/>
      <c r="E3953" s="4561" t="n"/>
      <c r="F3953" s="4561" t="n"/>
      <c r="G3953" s="4561" t="n"/>
      <c r="H3953" s="4561" t="n"/>
      <c r="I3953" s="4562">
        <f>XLOOKUP(B3953,'_Sys|Line_Map'!$A:$A,'_Sys|Line_Map'!$C:$C,"MISSING",0)</f>
        <v/>
      </c>
      <c r="J3953" s="4562">
        <f>XLOOKUP(B3953,'_Sys|Line_Map'!$A:$A,'_Sys|Line_Map'!$D:$D,1,0)</f>
        <v/>
      </c>
      <c r="K3953" s="4562">
        <f>IF(D3953="","",D3953*J3953)</f>
        <v/>
      </c>
      <c r="L3953" s="4562">
        <f>XLOOKUP(B3953,'_Sys|Line_Map'!$A:$A,'_Sys|Line_Map'!$B:$B,"MISSING",0)</f>
        <v/>
      </c>
    </row>
    <row r="3954">
      <c r="A3954" s="4561" t="n"/>
      <c r="B3954" s="4561" t="n"/>
      <c r="C3954" s="4561" t="n"/>
      <c r="D3954" s="4561" t="n"/>
      <c r="E3954" s="4561" t="n"/>
      <c r="F3954" s="4561" t="n"/>
      <c r="G3954" s="4561" t="n"/>
      <c r="H3954" s="4561" t="n"/>
      <c r="I3954" s="4562">
        <f>XLOOKUP(B3954,'_Sys|Line_Map'!$A:$A,'_Sys|Line_Map'!$C:$C,"MISSING",0)</f>
        <v/>
      </c>
      <c r="J3954" s="4562">
        <f>XLOOKUP(B3954,'_Sys|Line_Map'!$A:$A,'_Sys|Line_Map'!$D:$D,1,0)</f>
        <v/>
      </c>
      <c r="K3954" s="4562">
        <f>IF(D3954="","",D3954*J3954)</f>
        <v/>
      </c>
      <c r="L3954" s="4562">
        <f>XLOOKUP(B3954,'_Sys|Line_Map'!$A:$A,'_Sys|Line_Map'!$B:$B,"MISSING",0)</f>
        <v/>
      </c>
    </row>
    <row r="3955">
      <c r="A3955" s="4561" t="n"/>
      <c r="B3955" s="4561" t="n"/>
      <c r="C3955" s="4561" t="n"/>
      <c r="D3955" s="4561" t="n"/>
      <c r="E3955" s="4561" t="n"/>
      <c r="F3955" s="4561" t="n"/>
      <c r="G3955" s="4561" t="n"/>
      <c r="H3955" s="4561" t="n"/>
      <c r="I3955" s="4562">
        <f>XLOOKUP(B3955,'_Sys|Line_Map'!$A:$A,'_Sys|Line_Map'!$C:$C,"MISSING",0)</f>
        <v/>
      </c>
      <c r="J3955" s="4562">
        <f>XLOOKUP(B3955,'_Sys|Line_Map'!$A:$A,'_Sys|Line_Map'!$D:$D,1,0)</f>
        <v/>
      </c>
      <c r="K3955" s="4562">
        <f>IF(D3955="","",D3955*J3955)</f>
        <v/>
      </c>
      <c r="L3955" s="4562">
        <f>XLOOKUP(B3955,'_Sys|Line_Map'!$A:$A,'_Sys|Line_Map'!$B:$B,"MISSING",0)</f>
        <v/>
      </c>
    </row>
    <row r="3956">
      <c r="A3956" s="4561" t="n"/>
      <c r="B3956" s="4561" t="n"/>
      <c r="C3956" s="4561" t="n"/>
      <c r="D3956" s="4561" t="n"/>
      <c r="E3956" s="4561" t="n"/>
      <c r="F3956" s="4561" t="n"/>
      <c r="G3956" s="4561" t="n"/>
      <c r="H3956" s="4561" t="n"/>
      <c r="I3956" s="4562">
        <f>XLOOKUP(B3956,'_Sys|Line_Map'!$A:$A,'_Sys|Line_Map'!$C:$C,"MISSING",0)</f>
        <v/>
      </c>
      <c r="J3956" s="4562">
        <f>XLOOKUP(B3956,'_Sys|Line_Map'!$A:$A,'_Sys|Line_Map'!$D:$D,1,0)</f>
        <v/>
      </c>
      <c r="K3956" s="4562">
        <f>IF(D3956="","",D3956*J3956)</f>
        <v/>
      </c>
      <c r="L3956" s="4562">
        <f>XLOOKUP(B3956,'_Sys|Line_Map'!$A:$A,'_Sys|Line_Map'!$B:$B,"MISSING",0)</f>
        <v/>
      </c>
    </row>
    <row r="3957">
      <c r="A3957" s="4561" t="n"/>
      <c r="B3957" s="4561" t="n"/>
      <c r="C3957" s="4561" t="n"/>
      <c r="D3957" s="4561" t="n"/>
      <c r="E3957" s="4561" t="n"/>
      <c r="F3957" s="4561" t="n"/>
      <c r="G3957" s="4561" t="n"/>
      <c r="H3957" s="4561" t="n"/>
      <c r="I3957" s="4562">
        <f>XLOOKUP(B3957,'_Sys|Line_Map'!$A:$A,'_Sys|Line_Map'!$C:$C,"MISSING",0)</f>
        <v/>
      </c>
      <c r="J3957" s="4562">
        <f>XLOOKUP(B3957,'_Sys|Line_Map'!$A:$A,'_Sys|Line_Map'!$D:$D,1,0)</f>
        <v/>
      </c>
      <c r="K3957" s="4562">
        <f>IF(D3957="","",D3957*J3957)</f>
        <v/>
      </c>
      <c r="L3957" s="4562">
        <f>XLOOKUP(B3957,'_Sys|Line_Map'!$A:$A,'_Sys|Line_Map'!$B:$B,"MISSING",0)</f>
        <v/>
      </c>
    </row>
    <row r="3958">
      <c r="A3958" s="4561" t="n"/>
      <c r="B3958" s="4561" t="n"/>
      <c r="C3958" s="4561" t="n"/>
      <c r="D3958" s="4561" t="n"/>
      <c r="E3958" s="4561" t="n"/>
      <c r="F3958" s="4561" t="n"/>
      <c r="G3958" s="4561" t="n"/>
      <c r="H3958" s="4561" t="n"/>
      <c r="I3958" s="4562">
        <f>XLOOKUP(B3958,'_Sys|Line_Map'!$A:$A,'_Sys|Line_Map'!$C:$C,"MISSING",0)</f>
        <v/>
      </c>
      <c r="J3958" s="4562">
        <f>XLOOKUP(B3958,'_Sys|Line_Map'!$A:$A,'_Sys|Line_Map'!$D:$D,1,0)</f>
        <v/>
      </c>
      <c r="K3958" s="4562">
        <f>IF(D3958="","",D3958*J3958)</f>
        <v/>
      </c>
      <c r="L3958" s="4562">
        <f>XLOOKUP(B3958,'_Sys|Line_Map'!$A:$A,'_Sys|Line_Map'!$B:$B,"MISSING",0)</f>
        <v/>
      </c>
    </row>
    <row r="3959">
      <c r="A3959" s="4561" t="n"/>
      <c r="B3959" s="4561" t="n"/>
      <c r="C3959" s="4561" t="n"/>
      <c r="D3959" s="4561" t="n"/>
      <c r="E3959" s="4561" t="n"/>
      <c r="F3959" s="4561" t="n"/>
      <c r="G3959" s="4561" t="n"/>
      <c r="H3959" s="4561" t="n"/>
      <c r="I3959" s="4562">
        <f>XLOOKUP(B3959,'_Sys|Line_Map'!$A:$A,'_Sys|Line_Map'!$C:$C,"MISSING",0)</f>
        <v/>
      </c>
      <c r="J3959" s="4562">
        <f>XLOOKUP(B3959,'_Sys|Line_Map'!$A:$A,'_Sys|Line_Map'!$D:$D,1,0)</f>
        <v/>
      </c>
      <c r="K3959" s="4562">
        <f>IF(D3959="","",D3959*J3959)</f>
        <v/>
      </c>
      <c r="L3959" s="4562">
        <f>XLOOKUP(B3959,'_Sys|Line_Map'!$A:$A,'_Sys|Line_Map'!$B:$B,"MISSING",0)</f>
        <v/>
      </c>
    </row>
    <row r="3960">
      <c r="A3960" s="4561" t="n"/>
      <c r="B3960" s="4561" t="n"/>
      <c r="C3960" s="4561" t="n"/>
      <c r="D3960" s="4561" t="n"/>
      <c r="E3960" s="4561" t="n"/>
      <c r="F3960" s="4561" t="n"/>
      <c r="G3960" s="4561" t="n"/>
      <c r="H3960" s="4561" t="n"/>
      <c r="I3960" s="4562">
        <f>XLOOKUP(B3960,'_Sys|Line_Map'!$A:$A,'_Sys|Line_Map'!$C:$C,"MISSING",0)</f>
        <v/>
      </c>
      <c r="J3960" s="4562">
        <f>XLOOKUP(B3960,'_Sys|Line_Map'!$A:$A,'_Sys|Line_Map'!$D:$D,1,0)</f>
        <v/>
      </c>
      <c r="K3960" s="4562">
        <f>IF(D3960="","",D3960*J3960)</f>
        <v/>
      </c>
      <c r="L3960" s="4562">
        <f>XLOOKUP(B3960,'_Sys|Line_Map'!$A:$A,'_Sys|Line_Map'!$B:$B,"MISSING",0)</f>
        <v/>
      </c>
    </row>
    <row r="3961">
      <c r="A3961" s="4561" t="n"/>
      <c r="B3961" s="4561" t="n"/>
      <c r="C3961" s="4561" t="n"/>
      <c r="D3961" s="4561" t="n"/>
      <c r="E3961" s="4561" t="n"/>
      <c r="F3961" s="4561" t="n"/>
      <c r="G3961" s="4561" t="n"/>
      <c r="H3961" s="4561" t="n"/>
      <c r="I3961" s="4562">
        <f>XLOOKUP(B3961,'_Sys|Line_Map'!$A:$A,'_Sys|Line_Map'!$C:$C,"MISSING",0)</f>
        <v/>
      </c>
      <c r="J3961" s="4562">
        <f>XLOOKUP(B3961,'_Sys|Line_Map'!$A:$A,'_Sys|Line_Map'!$D:$D,1,0)</f>
        <v/>
      </c>
      <c r="K3961" s="4562">
        <f>IF(D3961="","",D3961*J3961)</f>
        <v/>
      </c>
      <c r="L3961" s="4562">
        <f>XLOOKUP(B3961,'_Sys|Line_Map'!$A:$A,'_Sys|Line_Map'!$B:$B,"MISSING",0)</f>
        <v/>
      </c>
    </row>
    <row r="3962">
      <c r="A3962" s="4561" t="n"/>
      <c r="B3962" s="4561" t="n"/>
      <c r="C3962" s="4561" t="n"/>
      <c r="D3962" s="4561" t="n"/>
      <c r="E3962" s="4561" t="n"/>
      <c r="F3962" s="4561" t="n"/>
      <c r="G3962" s="4561" t="n"/>
      <c r="H3962" s="4561" t="n"/>
      <c r="I3962" s="4562">
        <f>XLOOKUP(B3962,'_Sys|Line_Map'!$A:$A,'_Sys|Line_Map'!$C:$C,"MISSING",0)</f>
        <v/>
      </c>
      <c r="J3962" s="4562">
        <f>XLOOKUP(B3962,'_Sys|Line_Map'!$A:$A,'_Sys|Line_Map'!$D:$D,1,0)</f>
        <v/>
      </c>
      <c r="K3962" s="4562">
        <f>IF(D3962="","",D3962*J3962)</f>
        <v/>
      </c>
      <c r="L3962" s="4562">
        <f>XLOOKUP(B3962,'_Sys|Line_Map'!$A:$A,'_Sys|Line_Map'!$B:$B,"MISSING",0)</f>
        <v/>
      </c>
    </row>
    <row r="3963">
      <c r="A3963" s="4561" t="n"/>
      <c r="B3963" s="4561" t="n"/>
      <c r="C3963" s="4561" t="n"/>
      <c r="D3963" s="4561" t="n"/>
      <c r="E3963" s="4561" t="n"/>
      <c r="F3963" s="4561" t="n"/>
      <c r="G3963" s="4561" t="n"/>
      <c r="H3963" s="4561" t="n"/>
      <c r="I3963" s="4562">
        <f>XLOOKUP(B3963,'_Sys|Line_Map'!$A:$A,'_Sys|Line_Map'!$C:$C,"MISSING",0)</f>
        <v/>
      </c>
      <c r="J3963" s="4562">
        <f>XLOOKUP(B3963,'_Sys|Line_Map'!$A:$A,'_Sys|Line_Map'!$D:$D,1,0)</f>
        <v/>
      </c>
      <c r="K3963" s="4562">
        <f>IF(D3963="","",D3963*J3963)</f>
        <v/>
      </c>
      <c r="L3963" s="4562">
        <f>XLOOKUP(B3963,'_Sys|Line_Map'!$A:$A,'_Sys|Line_Map'!$B:$B,"MISSING",0)</f>
        <v/>
      </c>
    </row>
    <row r="3964">
      <c r="A3964" s="4561" t="n"/>
      <c r="B3964" s="4561" t="n"/>
      <c r="C3964" s="4561" t="n"/>
      <c r="D3964" s="4561" t="n"/>
      <c r="E3964" s="4561" t="n"/>
      <c r="F3964" s="4561" t="n"/>
      <c r="G3964" s="4561" t="n"/>
      <c r="H3964" s="4561" t="n"/>
      <c r="I3964" s="4562">
        <f>XLOOKUP(B3964,'_Sys|Line_Map'!$A:$A,'_Sys|Line_Map'!$C:$C,"MISSING",0)</f>
        <v/>
      </c>
      <c r="J3964" s="4562">
        <f>XLOOKUP(B3964,'_Sys|Line_Map'!$A:$A,'_Sys|Line_Map'!$D:$D,1,0)</f>
        <v/>
      </c>
      <c r="K3964" s="4562">
        <f>IF(D3964="","",D3964*J3964)</f>
        <v/>
      </c>
      <c r="L3964" s="4562">
        <f>XLOOKUP(B3964,'_Sys|Line_Map'!$A:$A,'_Sys|Line_Map'!$B:$B,"MISSING",0)</f>
        <v/>
      </c>
    </row>
    <row r="3965">
      <c r="A3965" s="4561" t="n"/>
      <c r="B3965" s="4561" t="n"/>
      <c r="C3965" s="4561" t="n"/>
      <c r="D3965" s="4561" t="n"/>
      <c r="E3965" s="4561" t="n"/>
      <c r="F3965" s="4561" t="n"/>
      <c r="G3965" s="4561" t="n"/>
      <c r="H3965" s="4561" t="n"/>
      <c r="I3965" s="4562">
        <f>XLOOKUP(B3965,'_Sys|Line_Map'!$A:$A,'_Sys|Line_Map'!$C:$C,"MISSING",0)</f>
        <v/>
      </c>
      <c r="J3965" s="4562">
        <f>XLOOKUP(B3965,'_Sys|Line_Map'!$A:$A,'_Sys|Line_Map'!$D:$D,1,0)</f>
        <v/>
      </c>
      <c r="K3965" s="4562">
        <f>IF(D3965="","",D3965*J3965)</f>
        <v/>
      </c>
      <c r="L3965" s="4562">
        <f>XLOOKUP(B3965,'_Sys|Line_Map'!$A:$A,'_Sys|Line_Map'!$B:$B,"MISSING",0)</f>
        <v/>
      </c>
    </row>
    <row r="3966">
      <c r="A3966" s="4561" t="n"/>
      <c r="B3966" s="4561" t="n"/>
      <c r="C3966" s="4561" t="n"/>
      <c r="D3966" s="4561" t="n"/>
      <c r="E3966" s="4561" t="n"/>
      <c r="F3966" s="4561" t="n"/>
      <c r="G3966" s="4561" t="n"/>
      <c r="H3966" s="4561" t="n"/>
      <c r="I3966" s="4562">
        <f>XLOOKUP(B3966,'_Sys|Line_Map'!$A:$A,'_Sys|Line_Map'!$C:$C,"MISSING",0)</f>
        <v/>
      </c>
      <c r="J3966" s="4562">
        <f>XLOOKUP(B3966,'_Sys|Line_Map'!$A:$A,'_Sys|Line_Map'!$D:$D,1,0)</f>
        <v/>
      </c>
      <c r="K3966" s="4562">
        <f>IF(D3966="","",D3966*J3966)</f>
        <v/>
      </c>
      <c r="L3966" s="4562">
        <f>XLOOKUP(B3966,'_Sys|Line_Map'!$A:$A,'_Sys|Line_Map'!$B:$B,"MISSING",0)</f>
        <v/>
      </c>
    </row>
    <row r="3967">
      <c r="A3967" s="4561" t="n"/>
      <c r="B3967" s="4561" t="n"/>
      <c r="C3967" s="4561" t="n"/>
      <c r="D3967" s="4561" t="n"/>
      <c r="E3967" s="4561" t="n"/>
      <c r="F3967" s="4561" t="n"/>
      <c r="G3967" s="4561" t="n"/>
      <c r="H3967" s="4561" t="n"/>
      <c r="I3967" s="4562">
        <f>XLOOKUP(B3967,'_Sys|Line_Map'!$A:$A,'_Sys|Line_Map'!$C:$C,"MISSING",0)</f>
        <v/>
      </c>
      <c r="J3967" s="4562">
        <f>XLOOKUP(B3967,'_Sys|Line_Map'!$A:$A,'_Sys|Line_Map'!$D:$D,1,0)</f>
        <v/>
      </c>
      <c r="K3967" s="4562">
        <f>IF(D3967="","",D3967*J3967)</f>
        <v/>
      </c>
      <c r="L3967" s="4562">
        <f>XLOOKUP(B3967,'_Sys|Line_Map'!$A:$A,'_Sys|Line_Map'!$B:$B,"MISSING",0)</f>
        <v/>
      </c>
    </row>
    <row r="3968">
      <c r="A3968" s="4561" t="n"/>
      <c r="B3968" s="4561" t="n"/>
      <c r="C3968" s="4561" t="n"/>
      <c r="D3968" s="4561" t="n"/>
      <c r="E3968" s="4561" t="n"/>
      <c r="F3968" s="4561" t="n"/>
      <c r="G3968" s="4561" t="n"/>
      <c r="H3968" s="4561" t="n"/>
      <c r="I3968" s="4562">
        <f>XLOOKUP(B3968,'_Sys|Line_Map'!$A:$A,'_Sys|Line_Map'!$C:$C,"MISSING",0)</f>
        <v/>
      </c>
      <c r="J3968" s="4562">
        <f>XLOOKUP(B3968,'_Sys|Line_Map'!$A:$A,'_Sys|Line_Map'!$D:$D,1,0)</f>
        <v/>
      </c>
      <c r="K3968" s="4562">
        <f>IF(D3968="","",D3968*J3968)</f>
        <v/>
      </c>
      <c r="L3968" s="4562">
        <f>XLOOKUP(B3968,'_Sys|Line_Map'!$A:$A,'_Sys|Line_Map'!$B:$B,"MISSING",0)</f>
        <v/>
      </c>
    </row>
    <row r="3969">
      <c r="A3969" s="4561" t="n"/>
      <c r="B3969" s="4561" t="n"/>
      <c r="C3969" s="4561" t="n"/>
      <c r="D3969" s="4561" t="n"/>
      <c r="E3969" s="4561" t="n"/>
      <c r="F3969" s="4561" t="n"/>
      <c r="G3969" s="4561" t="n"/>
      <c r="H3969" s="4561" t="n"/>
      <c r="I3969" s="4562">
        <f>XLOOKUP(B3969,'_Sys|Line_Map'!$A:$A,'_Sys|Line_Map'!$C:$C,"MISSING",0)</f>
        <v/>
      </c>
      <c r="J3969" s="4562">
        <f>XLOOKUP(B3969,'_Sys|Line_Map'!$A:$A,'_Sys|Line_Map'!$D:$D,1,0)</f>
        <v/>
      </c>
      <c r="K3969" s="4562">
        <f>IF(D3969="","",D3969*J3969)</f>
        <v/>
      </c>
      <c r="L3969" s="4562">
        <f>XLOOKUP(B3969,'_Sys|Line_Map'!$A:$A,'_Sys|Line_Map'!$B:$B,"MISSING",0)</f>
        <v/>
      </c>
    </row>
    <row r="3970">
      <c r="A3970" s="4561" t="n"/>
      <c r="B3970" s="4561" t="n"/>
      <c r="C3970" s="4561" t="n"/>
      <c r="D3970" s="4561" t="n"/>
      <c r="E3970" s="4561" t="n"/>
      <c r="F3970" s="4561" t="n"/>
      <c r="G3970" s="4561" t="n"/>
      <c r="H3970" s="4561" t="n"/>
      <c r="I3970" s="4562">
        <f>XLOOKUP(B3970,'_Sys|Line_Map'!$A:$A,'_Sys|Line_Map'!$C:$C,"MISSING",0)</f>
        <v/>
      </c>
      <c r="J3970" s="4562">
        <f>XLOOKUP(B3970,'_Sys|Line_Map'!$A:$A,'_Sys|Line_Map'!$D:$D,1,0)</f>
        <v/>
      </c>
      <c r="K3970" s="4562">
        <f>IF(D3970="","",D3970*J3970)</f>
        <v/>
      </c>
      <c r="L3970" s="4562">
        <f>XLOOKUP(B3970,'_Sys|Line_Map'!$A:$A,'_Sys|Line_Map'!$B:$B,"MISSING",0)</f>
        <v/>
      </c>
    </row>
    <row r="3971">
      <c r="A3971" s="4561" t="n"/>
      <c r="B3971" s="4561" t="n"/>
      <c r="C3971" s="4561" t="n"/>
      <c r="D3971" s="4561" t="n"/>
      <c r="E3971" s="4561" t="n"/>
      <c r="F3971" s="4561" t="n"/>
      <c r="G3971" s="4561" t="n"/>
      <c r="H3971" s="4561" t="n"/>
      <c r="I3971" s="4562">
        <f>XLOOKUP(B3971,'_Sys|Line_Map'!$A:$A,'_Sys|Line_Map'!$C:$C,"MISSING",0)</f>
        <v/>
      </c>
      <c r="J3971" s="4562">
        <f>XLOOKUP(B3971,'_Sys|Line_Map'!$A:$A,'_Sys|Line_Map'!$D:$D,1,0)</f>
        <v/>
      </c>
      <c r="K3971" s="4562">
        <f>IF(D3971="","",D3971*J3971)</f>
        <v/>
      </c>
      <c r="L3971" s="4562">
        <f>XLOOKUP(B3971,'_Sys|Line_Map'!$A:$A,'_Sys|Line_Map'!$B:$B,"MISSING",0)</f>
        <v/>
      </c>
    </row>
    <row r="3972">
      <c r="A3972" s="4561" t="n"/>
      <c r="B3972" s="4561" t="n"/>
      <c r="C3972" s="4561" t="n"/>
      <c r="D3972" s="4561" t="n"/>
      <c r="E3972" s="4561" t="n"/>
      <c r="F3972" s="4561" t="n"/>
      <c r="G3972" s="4561" t="n"/>
      <c r="H3972" s="4561" t="n"/>
      <c r="I3972" s="4562">
        <f>XLOOKUP(B3972,'_Sys|Line_Map'!$A:$A,'_Sys|Line_Map'!$C:$C,"MISSING",0)</f>
        <v/>
      </c>
      <c r="J3972" s="4562">
        <f>XLOOKUP(B3972,'_Sys|Line_Map'!$A:$A,'_Sys|Line_Map'!$D:$D,1,0)</f>
        <v/>
      </c>
      <c r="K3972" s="4562">
        <f>IF(D3972="","",D3972*J3972)</f>
        <v/>
      </c>
      <c r="L3972" s="4562">
        <f>XLOOKUP(B3972,'_Sys|Line_Map'!$A:$A,'_Sys|Line_Map'!$B:$B,"MISSING",0)</f>
        <v/>
      </c>
    </row>
    <row r="3973">
      <c r="A3973" s="4561" t="n"/>
      <c r="B3973" s="4561" t="n"/>
      <c r="C3973" s="4561" t="n"/>
      <c r="D3973" s="4561" t="n"/>
      <c r="E3973" s="4561" t="n"/>
      <c r="F3973" s="4561" t="n"/>
      <c r="G3973" s="4561" t="n"/>
      <c r="H3973" s="4561" t="n"/>
      <c r="I3973" s="4562">
        <f>XLOOKUP(B3973,'_Sys|Line_Map'!$A:$A,'_Sys|Line_Map'!$C:$C,"MISSING",0)</f>
        <v/>
      </c>
      <c r="J3973" s="4562">
        <f>XLOOKUP(B3973,'_Sys|Line_Map'!$A:$A,'_Sys|Line_Map'!$D:$D,1,0)</f>
        <v/>
      </c>
      <c r="K3973" s="4562">
        <f>IF(D3973="","",D3973*J3973)</f>
        <v/>
      </c>
      <c r="L3973" s="4562">
        <f>XLOOKUP(B3973,'_Sys|Line_Map'!$A:$A,'_Sys|Line_Map'!$B:$B,"MISSING",0)</f>
        <v/>
      </c>
    </row>
    <row r="3974">
      <c r="A3974" s="4561" t="n"/>
      <c r="B3974" s="4561" t="n"/>
      <c r="C3974" s="4561" t="n"/>
      <c r="D3974" s="4561" t="n"/>
      <c r="E3974" s="4561" t="n"/>
      <c r="F3974" s="4561" t="n"/>
      <c r="G3974" s="4561" t="n"/>
      <c r="H3974" s="4561" t="n"/>
      <c r="I3974" s="4562">
        <f>XLOOKUP(B3974,'_Sys|Line_Map'!$A:$A,'_Sys|Line_Map'!$C:$C,"MISSING",0)</f>
        <v/>
      </c>
      <c r="J3974" s="4562">
        <f>XLOOKUP(B3974,'_Sys|Line_Map'!$A:$A,'_Sys|Line_Map'!$D:$D,1,0)</f>
        <v/>
      </c>
      <c r="K3974" s="4562">
        <f>IF(D3974="","",D3974*J3974)</f>
        <v/>
      </c>
      <c r="L3974" s="4562">
        <f>XLOOKUP(B3974,'_Sys|Line_Map'!$A:$A,'_Sys|Line_Map'!$B:$B,"MISSING",0)</f>
        <v/>
      </c>
    </row>
    <row r="3975">
      <c r="A3975" s="4561" t="n"/>
      <c r="B3975" s="4561" t="n"/>
      <c r="C3975" s="4561" t="n"/>
      <c r="D3975" s="4561" t="n"/>
      <c r="E3975" s="4561" t="n"/>
      <c r="F3975" s="4561" t="n"/>
      <c r="G3975" s="4561" t="n"/>
      <c r="H3975" s="4561" t="n"/>
      <c r="I3975" s="4562">
        <f>XLOOKUP(B3975,'_Sys|Line_Map'!$A:$A,'_Sys|Line_Map'!$C:$C,"MISSING",0)</f>
        <v/>
      </c>
      <c r="J3975" s="4562">
        <f>XLOOKUP(B3975,'_Sys|Line_Map'!$A:$A,'_Sys|Line_Map'!$D:$D,1,0)</f>
        <v/>
      </c>
      <c r="K3975" s="4562">
        <f>IF(D3975="","",D3975*J3975)</f>
        <v/>
      </c>
      <c r="L3975" s="4562">
        <f>XLOOKUP(B3975,'_Sys|Line_Map'!$A:$A,'_Sys|Line_Map'!$B:$B,"MISSING",0)</f>
        <v/>
      </c>
    </row>
    <row r="3976">
      <c r="A3976" s="4561" t="n"/>
      <c r="B3976" s="4561" t="n"/>
      <c r="C3976" s="4561" t="n"/>
      <c r="D3976" s="4561" t="n"/>
      <c r="E3976" s="4561" t="n"/>
      <c r="F3976" s="4561" t="n"/>
      <c r="G3976" s="4561" t="n"/>
      <c r="H3976" s="4561" t="n"/>
      <c r="I3976" s="4562">
        <f>XLOOKUP(B3976,'_Sys|Line_Map'!$A:$A,'_Sys|Line_Map'!$C:$C,"MISSING",0)</f>
        <v/>
      </c>
      <c r="J3976" s="4562">
        <f>XLOOKUP(B3976,'_Sys|Line_Map'!$A:$A,'_Sys|Line_Map'!$D:$D,1,0)</f>
        <v/>
      </c>
      <c r="K3976" s="4562">
        <f>IF(D3976="","",D3976*J3976)</f>
        <v/>
      </c>
      <c r="L3976" s="4562">
        <f>XLOOKUP(B3976,'_Sys|Line_Map'!$A:$A,'_Sys|Line_Map'!$B:$B,"MISSING",0)</f>
        <v/>
      </c>
    </row>
    <row r="3977">
      <c r="A3977" s="4561" t="n"/>
      <c r="B3977" s="4561" t="n"/>
      <c r="C3977" s="4561" t="n"/>
      <c r="D3977" s="4561" t="n"/>
      <c r="E3977" s="4561" t="n"/>
      <c r="F3977" s="4561" t="n"/>
      <c r="G3977" s="4561" t="n"/>
      <c r="H3977" s="4561" t="n"/>
      <c r="I3977" s="4562">
        <f>XLOOKUP(B3977,'_Sys|Line_Map'!$A:$A,'_Sys|Line_Map'!$C:$C,"MISSING",0)</f>
        <v/>
      </c>
      <c r="J3977" s="4562">
        <f>XLOOKUP(B3977,'_Sys|Line_Map'!$A:$A,'_Sys|Line_Map'!$D:$D,1,0)</f>
        <v/>
      </c>
      <c r="K3977" s="4562">
        <f>IF(D3977="","",D3977*J3977)</f>
        <v/>
      </c>
      <c r="L3977" s="4562">
        <f>XLOOKUP(B3977,'_Sys|Line_Map'!$A:$A,'_Sys|Line_Map'!$B:$B,"MISSING",0)</f>
        <v/>
      </c>
    </row>
    <row r="3978">
      <c r="A3978" s="4561" t="n"/>
      <c r="B3978" s="4561" t="n"/>
      <c r="C3978" s="4561" t="n"/>
      <c r="D3978" s="4561" t="n"/>
      <c r="E3978" s="4561" t="n"/>
      <c r="F3978" s="4561" t="n"/>
      <c r="G3978" s="4561" t="n"/>
      <c r="H3978" s="4561" t="n"/>
      <c r="I3978" s="4562">
        <f>XLOOKUP(B3978,'_Sys|Line_Map'!$A:$A,'_Sys|Line_Map'!$C:$C,"MISSING",0)</f>
        <v/>
      </c>
      <c r="J3978" s="4562">
        <f>XLOOKUP(B3978,'_Sys|Line_Map'!$A:$A,'_Sys|Line_Map'!$D:$D,1,0)</f>
        <v/>
      </c>
      <c r="K3978" s="4562">
        <f>IF(D3978="","",D3978*J3978)</f>
        <v/>
      </c>
      <c r="L3978" s="4562">
        <f>XLOOKUP(B3978,'_Sys|Line_Map'!$A:$A,'_Sys|Line_Map'!$B:$B,"MISSING",0)</f>
        <v/>
      </c>
    </row>
    <row r="3979">
      <c r="A3979" s="4561" t="n"/>
      <c r="B3979" s="4561" t="n"/>
      <c r="C3979" s="4561" t="n"/>
      <c r="D3979" s="4561" t="n"/>
      <c r="E3979" s="4561" t="n"/>
      <c r="F3979" s="4561" t="n"/>
      <c r="G3979" s="4561" t="n"/>
      <c r="H3979" s="4561" t="n"/>
      <c r="I3979" s="4562">
        <f>XLOOKUP(B3979,'_Sys|Line_Map'!$A:$A,'_Sys|Line_Map'!$C:$C,"MISSING",0)</f>
        <v/>
      </c>
      <c r="J3979" s="4562">
        <f>XLOOKUP(B3979,'_Sys|Line_Map'!$A:$A,'_Sys|Line_Map'!$D:$D,1,0)</f>
        <v/>
      </c>
      <c r="K3979" s="4562">
        <f>IF(D3979="","",D3979*J3979)</f>
        <v/>
      </c>
      <c r="L3979" s="4562">
        <f>XLOOKUP(B3979,'_Sys|Line_Map'!$A:$A,'_Sys|Line_Map'!$B:$B,"MISSING",0)</f>
        <v/>
      </c>
    </row>
    <row r="3980">
      <c r="A3980" s="4561" t="n"/>
      <c r="B3980" s="4561" t="n"/>
      <c r="C3980" s="4561" t="n"/>
      <c r="D3980" s="4561" t="n"/>
      <c r="E3980" s="4561" t="n"/>
      <c r="F3980" s="4561" t="n"/>
      <c r="G3980" s="4561" t="n"/>
      <c r="H3980" s="4561" t="n"/>
      <c r="I3980" s="4562">
        <f>XLOOKUP(B3980,'_Sys|Line_Map'!$A:$A,'_Sys|Line_Map'!$C:$C,"MISSING",0)</f>
        <v/>
      </c>
      <c r="J3980" s="4562">
        <f>XLOOKUP(B3980,'_Sys|Line_Map'!$A:$A,'_Sys|Line_Map'!$D:$D,1,0)</f>
        <v/>
      </c>
      <c r="K3980" s="4562">
        <f>IF(D3980="","",D3980*J3980)</f>
        <v/>
      </c>
      <c r="L3980" s="4562">
        <f>XLOOKUP(B3980,'_Sys|Line_Map'!$A:$A,'_Sys|Line_Map'!$B:$B,"MISSING",0)</f>
        <v/>
      </c>
    </row>
    <row r="3981">
      <c r="A3981" s="4561" t="n"/>
      <c r="B3981" s="4561" t="n"/>
      <c r="C3981" s="4561" t="n"/>
      <c r="D3981" s="4561" t="n"/>
      <c r="E3981" s="4561" t="n"/>
      <c r="F3981" s="4561" t="n"/>
      <c r="G3981" s="4561" t="n"/>
      <c r="H3981" s="4561" t="n"/>
      <c r="I3981" s="4562">
        <f>XLOOKUP(B3981,'_Sys|Line_Map'!$A:$A,'_Sys|Line_Map'!$C:$C,"MISSING",0)</f>
        <v/>
      </c>
      <c r="J3981" s="4562">
        <f>XLOOKUP(B3981,'_Sys|Line_Map'!$A:$A,'_Sys|Line_Map'!$D:$D,1,0)</f>
        <v/>
      </c>
      <c r="K3981" s="4562">
        <f>IF(D3981="","",D3981*J3981)</f>
        <v/>
      </c>
      <c r="L3981" s="4562">
        <f>XLOOKUP(B3981,'_Sys|Line_Map'!$A:$A,'_Sys|Line_Map'!$B:$B,"MISSING",0)</f>
        <v/>
      </c>
    </row>
    <row r="3982">
      <c r="A3982" s="4561" t="n"/>
      <c r="B3982" s="4561" t="n"/>
      <c r="C3982" s="4561" t="n"/>
      <c r="D3982" s="4561" t="n"/>
      <c r="E3982" s="4561" t="n"/>
      <c r="F3982" s="4561" t="n"/>
      <c r="G3982" s="4561" t="n"/>
      <c r="H3982" s="4561" t="n"/>
      <c r="I3982" s="4562">
        <f>XLOOKUP(B3982,'_Sys|Line_Map'!$A:$A,'_Sys|Line_Map'!$C:$C,"MISSING",0)</f>
        <v/>
      </c>
      <c r="J3982" s="4562">
        <f>XLOOKUP(B3982,'_Sys|Line_Map'!$A:$A,'_Sys|Line_Map'!$D:$D,1,0)</f>
        <v/>
      </c>
      <c r="K3982" s="4562">
        <f>IF(D3982="","",D3982*J3982)</f>
        <v/>
      </c>
      <c r="L3982" s="4562">
        <f>XLOOKUP(B3982,'_Sys|Line_Map'!$A:$A,'_Sys|Line_Map'!$B:$B,"MISSING",0)</f>
        <v/>
      </c>
    </row>
    <row r="3983">
      <c r="A3983" s="4561" t="n"/>
      <c r="B3983" s="4561" t="n"/>
      <c r="C3983" s="4561" t="n"/>
      <c r="D3983" s="4561" t="n"/>
      <c r="E3983" s="4561" t="n"/>
      <c r="F3983" s="4561" t="n"/>
      <c r="G3983" s="4561" t="n"/>
      <c r="H3983" s="4561" t="n"/>
      <c r="I3983" s="4562">
        <f>XLOOKUP(B3983,'_Sys|Line_Map'!$A:$A,'_Sys|Line_Map'!$C:$C,"MISSING",0)</f>
        <v/>
      </c>
      <c r="J3983" s="4562">
        <f>XLOOKUP(B3983,'_Sys|Line_Map'!$A:$A,'_Sys|Line_Map'!$D:$D,1,0)</f>
        <v/>
      </c>
      <c r="K3983" s="4562">
        <f>IF(D3983="","",D3983*J3983)</f>
        <v/>
      </c>
      <c r="L3983" s="4562">
        <f>XLOOKUP(B3983,'_Sys|Line_Map'!$A:$A,'_Sys|Line_Map'!$B:$B,"MISSING",0)</f>
        <v/>
      </c>
    </row>
    <row r="3984">
      <c r="A3984" s="4561" t="n"/>
      <c r="B3984" s="4561" t="n"/>
      <c r="C3984" s="4561" t="n"/>
      <c r="D3984" s="4561" t="n"/>
      <c r="E3984" s="4561" t="n"/>
      <c r="F3984" s="4561" t="n"/>
      <c r="G3984" s="4561" t="n"/>
      <c r="H3984" s="4561" t="n"/>
      <c r="I3984" s="4562">
        <f>XLOOKUP(B3984,'_Sys|Line_Map'!$A:$A,'_Sys|Line_Map'!$C:$C,"MISSING",0)</f>
        <v/>
      </c>
      <c r="J3984" s="4562">
        <f>XLOOKUP(B3984,'_Sys|Line_Map'!$A:$A,'_Sys|Line_Map'!$D:$D,1,0)</f>
        <v/>
      </c>
      <c r="K3984" s="4562">
        <f>IF(D3984="","",D3984*J3984)</f>
        <v/>
      </c>
      <c r="L3984" s="4562">
        <f>XLOOKUP(B3984,'_Sys|Line_Map'!$A:$A,'_Sys|Line_Map'!$B:$B,"MISSING",0)</f>
        <v/>
      </c>
    </row>
    <row r="3985">
      <c r="A3985" s="4561" t="n"/>
      <c r="B3985" s="4561" t="n"/>
      <c r="C3985" s="4561" t="n"/>
      <c r="D3985" s="4561" t="n"/>
      <c r="E3985" s="4561" t="n"/>
      <c r="F3985" s="4561" t="n"/>
      <c r="G3985" s="4561" t="n"/>
      <c r="H3985" s="4561" t="n"/>
      <c r="I3985" s="4562">
        <f>XLOOKUP(B3985,'_Sys|Line_Map'!$A:$A,'_Sys|Line_Map'!$C:$C,"MISSING",0)</f>
        <v/>
      </c>
      <c r="J3985" s="4562">
        <f>XLOOKUP(B3985,'_Sys|Line_Map'!$A:$A,'_Sys|Line_Map'!$D:$D,1,0)</f>
        <v/>
      </c>
      <c r="K3985" s="4562">
        <f>IF(D3985="","",D3985*J3985)</f>
        <v/>
      </c>
      <c r="L3985" s="4562">
        <f>XLOOKUP(B3985,'_Sys|Line_Map'!$A:$A,'_Sys|Line_Map'!$B:$B,"MISSING",0)</f>
        <v/>
      </c>
    </row>
    <row r="3986">
      <c r="A3986" s="4561" t="n"/>
      <c r="B3986" s="4561" t="n"/>
      <c r="C3986" s="4561" t="n"/>
      <c r="D3986" s="4561" t="n"/>
      <c r="E3986" s="4561" t="n"/>
      <c r="F3986" s="4561" t="n"/>
      <c r="G3986" s="4561" t="n"/>
      <c r="H3986" s="4561" t="n"/>
      <c r="I3986" s="4562">
        <f>XLOOKUP(B3986,'_Sys|Line_Map'!$A:$A,'_Sys|Line_Map'!$C:$C,"MISSING",0)</f>
        <v/>
      </c>
      <c r="J3986" s="4562">
        <f>XLOOKUP(B3986,'_Sys|Line_Map'!$A:$A,'_Sys|Line_Map'!$D:$D,1,0)</f>
        <v/>
      </c>
      <c r="K3986" s="4562">
        <f>IF(D3986="","",D3986*J3986)</f>
        <v/>
      </c>
      <c r="L3986" s="4562">
        <f>XLOOKUP(B3986,'_Sys|Line_Map'!$A:$A,'_Sys|Line_Map'!$B:$B,"MISSING",0)</f>
        <v/>
      </c>
    </row>
    <row r="3987">
      <c r="A3987" s="4561" t="n"/>
      <c r="B3987" s="4561" t="n"/>
      <c r="C3987" s="4561" t="n"/>
      <c r="D3987" s="4561" t="n"/>
      <c r="E3987" s="4561" t="n"/>
      <c r="F3987" s="4561" t="n"/>
      <c r="G3987" s="4561" t="n"/>
      <c r="H3987" s="4561" t="n"/>
      <c r="I3987" s="4562">
        <f>XLOOKUP(B3987,'_Sys|Line_Map'!$A:$A,'_Sys|Line_Map'!$C:$C,"MISSING",0)</f>
        <v/>
      </c>
      <c r="J3987" s="4562">
        <f>XLOOKUP(B3987,'_Sys|Line_Map'!$A:$A,'_Sys|Line_Map'!$D:$D,1,0)</f>
        <v/>
      </c>
      <c r="K3987" s="4562">
        <f>IF(D3987="","",D3987*J3987)</f>
        <v/>
      </c>
      <c r="L3987" s="4562">
        <f>XLOOKUP(B3987,'_Sys|Line_Map'!$A:$A,'_Sys|Line_Map'!$B:$B,"MISSING",0)</f>
        <v/>
      </c>
    </row>
    <row r="3988">
      <c r="A3988" s="4561" t="n"/>
      <c r="B3988" s="4561" t="n"/>
      <c r="C3988" s="4561" t="n"/>
      <c r="D3988" s="4561" t="n"/>
      <c r="E3988" s="4561" t="n"/>
      <c r="F3988" s="4561" t="n"/>
      <c r="G3988" s="4561" t="n"/>
      <c r="H3988" s="4561" t="n"/>
      <c r="I3988" s="4562">
        <f>XLOOKUP(B3988,'_Sys|Line_Map'!$A:$A,'_Sys|Line_Map'!$C:$C,"MISSING",0)</f>
        <v/>
      </c>
      <c r="J3988" s="4562">
        <f>XLOOKUP(B3988,'_Sys|Line_Map'!$A:$A,'_Sys|Line_Map'!$D:$D,1,0)</f>
        <v/>
      </c>
      <c r="K3988" s="4562">
        <f>IF(D3988="","",D3988*J3988)</f>
        <v/>
      </c>
      <c r="L3988" s="4562">
        <f>XLOOKUP(B3988,'_Sys|Line_Map'!$A:$A,'_Sys|Line_Map'!$B:$B,"MISSING",0)</f>
        <v/>
      </c>
    </row>
    <row r="3989">
      <c r="A3989" s="4561" t="n"/>
      <c r="B3989" s="4561" t="n"/>
      <c r="C3989" s="4561" t="n"/>
      <c r="D3989" s="4561" t="n"/>
      <c r="E3989" s="4561" t="n"/>
      <c r="F3989" s="4561" t="n"/>
      <c r="G3989" s="4561" t="n"/>
      <c r="H3989" s="4561" t="n"/>
      <c r="I3989" s="4562">
        <f>XLOOKUP(B3989,'_Sys|Line_Map'!$A:$A,'_Sys|Line_Map'!$C:$C,"MISSING",0)</f>
        <v/>
      </c>
      <c r="J3989" s="4562">
        <f>XLOOKUP(B3989,'_Sys|Line_Map'!$A:$A,'_Sys|Line_Map'!$D:$D,1,0)</f>
        <v/>
      </c>
      <c r="K3989" s="4562">
        <f>IF(D3989="","",D3989*J3989)</f>
        <v/>
      </c>
      <c r="L3989" s="4562">
        <f>XLOOKUP(B3989,'_Sys|Line_Map'!$A:$A,'_Sys|Line_Map'!$B:$B,"MISSING",0)</f>
        <v/>
      </c>
    </row>
    <row r="3990">
      <c r="A3990" s="4561" t="n"/>
      <c r="B3990" s="4561" t="n"/>
      <c r="C3990" s="4561" t="n"/>
      <c r="D3990" s="4561" t="n"/>
      <c r="E3990" s="4561" t="n"/>
      <c r="F3990" s="4561" t="n"/>
      <c r="G3990" s="4561" t="n"/>
      <c r="H3990" s="4561" t="n"/>
      <c r="I3990" s="4562">
        <f>XLOOKUP(B3990,'_Sys|Line_Map'!$A:$A,'_Sys|Line_Map'!$C:$C,"MISSING",0)</f>
        <v/>
      </c>
      <c r="J3990" s="4562">
        <f>XLOOKUP(B3990,'_Sys|Line_Map'!$A:$A,'_Sys|Line_Map'!$D:$D,1,0)</f>
        <v/>
      </c>
      <c r="K3990" s="4562">
        <f>IF(D3990="","",D3990*J3990)</f>
        <v/>
      </c>
      <c r="L3990" s="4562">
        <f>XLOOKUP(B3990,'_Sys|Line_Map'!$A:$A,'_Sys|Line_Map'!$B:$B,"MISSING",0)</f>
        <v/>
      </c>
    </row>
    <row r="3991">
      <c r="A3991" s="4561" t="n"/>
      <c r="B3991" s="4561" t="n"/>
      <c r="C3991" s="4561" t="n"/>
      <c r="D3991" s="4561" t="n"/>
      <c r="E3991" s="4561" t="n"/>
      <c r="F3991" s="4561" t="n"/>
      <c r="G3991" s="4561" t="n"/>
      <c r="H3991" s="4561" t="n"/>
      <c r="I3991" s="4562">
        <f>XLOOKUP(B3991,'_Sys|Line_Map'!$A:$A,'_Sys|Line_Map'!$C:$C,"MISSING",0)</f>
        <v/>
      </c>
      <c r="J3991" s="4562">
        <f>XLOOKUP(B3991,'_Sys|Line_Map'!$A:$A,'_Sys|Line_Map'!$D:$D,1,0)</f>
        <v/>
      </c>
      <c r="K3991" s="4562">
        <f>IF(D3991="","",D3991*J3991)</f>
        <v/>
      </c>
      <c r="L3991" s="4562">
        <f>XLOOKUP(B3991,'_Sys|Line_Map'!$A:$A,'_Sys|Line_Map'!$B:$B,"MISSING",0)</f>
        <v/>
      </c>
    </row>
    <row r="3992">
      <c r="A3992" s="4561" t="n"/>
      <c r="B3992" s="4561" t="n"/>
      <c r="C3992" s="4561" t="n"/>
      <c r="D3992" s="4561" t="n"/>
      <c r="E3992" s="4561" t="n"/>
      <c r="F3992" s="4561" t="n"/>
      <c r="G3992" s="4561" t="n"/>
      <c r="H3992" s="4561" t="n"/>
      <c r="I3992" s="4562">
        <f>XLOOKUP(B3992,'_Sys|Line_Map'!$A:$A,'_Sys|Line_Map'!$C:$C,"MISSING",0)</f>
        <v/>
      </c>
      <c r="J3992" s="4562">
        <f>XLOOKUP(B3992,'_Sys|Line_Map'!$A:$A,'_Sys|Line_Map'!$D:$D,1,0)</f>
        <v/>
      </c>
      <c r="K3992" s="4562">
        <f>IF(D3992="","",D3992*J3992)</f>
        <v/>
      </c>
      <c r="L3992" s="4562">
        <f>XLOOKUP(B3992,'_Sys|Line_Map'!$A:$A,'_Sys|Line_Map'!$B:$B,"MISSING",0)</f>
        <v/>
      </c>
    </row>
    <row r="3993">
      <c r="A3993" s="4561" t="n"/>
      <c r="B3993" s="4561" t="n"/>
      <c r="C3993" s="4561" t="n"/>
      <c r="D3993" s="4561" t="n"/>
      <c r="E3993" s="4561" t="n"/>
      <c r="F3993" s="4561" t="n"/>
      <c r="G3993" s="4561" t="n"/>
      <c r="H3993" s="4561" t="n"/>
      <c r="I3993" s="4562">
        <f>XLOOKUP(B3993,'_Sys|Line_Map'!$A:$A,'_Sys|Line_Map'!$C:$C,"MISSING",0)</f>
        <v/>
      </c>
      <c r="J3993" s="4562">
        <f>XLOOKUP(B3993,'_Sys|Line_Map'!$A:$A,'_Sys|Line_Map'!$D:$D,1,0)</f>
        <v/>
      </c>
      <c r="K3993" s="4562">
        <f>IF(D3993="","",D3993*J3993)</f>
        <v/>
      </c>
      <c r="L3993" s="4562">
        <f>XLOOKUP(B3993,'_Sys|Line_Map'!$A:$A,'_Sys|Line_Map'!$B:$B,"MISSING",0)</f>
        <v/>
      </c>
    </row>
    <row r="3994">
      <c r="A3994" s="4561" t="n"/>
      <c r="B3994" s="4561" t="n"/>
      <c r="C3994" s="4561" t="n"/>
      <c r="D3994" s="4561" t="n"/>
      <c r="E3994" s="4561" t="n"/>
      <c r="F3994" s="4561" t="n"/>
      <c r="G3994" s="4561" t="n"/>
      <c r="H3994" s="4561" t="n"/>
      <c r="I3994" s="4562">
        <f>XLOOKUP(B3994,'_Sys|Line_Map'!$A:$A,'_Sys|Line_Map'!$C:$C,"MISSING",0)</f>
        <v/>
      </c>
      <c r="J3994" s="4562">
        <f>XLOOKUP(B3994,'_Sys|Line_Map'!$A:$A,'_Sys|Line_Map'!$D:$D,1,0)</f>
        <v/>
      </c>
      <c r="K3994" s="4562">
        <f>IF(D3994="","",D3994*J3994)</f>
        <v/>
      </c>
      <c r="L3994" s="4562">
        <f>XLOOKUP(B3994,'_Sys|Line_Map'!$A:$A,'_Sys|Line_Map'!$B:$B,"MISSING",0)</f>
        <v/>
      </c>
    </row>
    <row r="3995">
      <c r="A3995" s="4561" t="n"/>
      <c r="B3995" s="4561" t="n"/>
      <c r="C3995" s="4561" t="n"/>
      <c r="D3995" s="4561" t="n"/>
      <c r="E3995" s="4561" t="n"/>
      <c r="F3995" s="4561" t="n"/>
      <c r="G3995" s="4561" t="n"/>
      <c r="H3995" s="4561" t="n"/>
      <c r="I3995" s="4562">
        <f>XLOOKUP(B3995,'_Sys|Line_Map'!$A:$A,'_Sys|Line_Map'!$C:$C,"MISSING",0)</f>
        <v/>
      </c>
      <c r="J3995" s="4562">
        <f>XLOOKUP(B3995,'_Sys|Line_Map'!$A:$A,'_Sys|Line_Map'!$D:$D,1,0)</f>
        <v/>
      </c>
      <c r="K3995" s="4562">
        <f>IF(D3995="","",D3995*J3995)</f>
        <v/>
      </c>
      <c r="L3995" s="4562">
        <f>XLOOKUP(B3995,'_Sys|Line_Map'!$A:$A,'_Sys|Line_Map'!$B:$B,"MISSING",0)</f>
        <v/>
      </c>
    </row>
    <row r="3996">
      <c r="A3996" s="4561" t="n"/>
      <c r="B3996" s="4561" t="n"/>
      <c r="C3996" s="4561" t="n"/>
      <c r="D3996" s="4561" t="n"/>
      <c r="E3996" s="4561" t="n"/>
      <c r="F3996" s="4561" t="n"/>
      <c r="G3996" s="4561" t="n"/>
      <c r="H3996" s="4561" t="n"/>
      <c r="I3996" s="4562">
        <f>XLOOKUP(B3996,'_Sys|Line_Map'!$A:$A,'_Sys|Line_Map'!$C:$C,"MISSING",0)</f>
        <v/>
      </c>
      <c r="J3996" s="4562">
        <f>XLOOKUP(B3996,'_Sys|Line_Map'!$A:$A,'_Sys|Line_Map'!$D:$D,1,0)</f>
        <v/>
      </c>
      <c r="K3996" s="4562">
        <f>IF(D3996="","",D3996*J3996)</f>
        <v/>
      </c>
      <c r="L3996" s="4562">
        <f>XLOOKUP(B3996,'_Sys|Line_Map'!$A:$A,'_Sys|Line_Map'!$B:$B,"MISSING",0)</f>
        <v/>
      </c>
    </row>
    <row r="3997">
      <c r="A3997" s="4561" t="n"/>
      <c r="B3997" s="4561" t="n"/>
      <c r="C3997" s="4561" t="n"/>
      <c r="D3997" s="4561" t="n"/>
      <c r="E3997" s="4561" t="n"/>
      <c r="F3997" s="4561" t="n"/>
      <c r="G3997" s="4561" t="n"/>
      <c r="H3997" s="4561" t="n"/>
      <c r="I3997" s="4562">
        <f>XLOOKUP(B3997,'_Sys|Line_Map'!$A:$A,'_Sys|Line_Map'!$C:$C,"MISSING",0)</f>
        <v/>
      </c>
      <c r="J3997" s="4562">
        <f>XLOOKUP(B3997,'_Sys|Line_Map'!$A:$A,'_Sys|Line_Map'!$D:$D,1,0)</f>
        <v/>
      </c>
      <c r="K3997" s="4562">
        <f>IF(D3997="","",D3997*J3997)</f>
        <v/>
      </c>
      <c r="L3997" s="4562">
        <f>XLOOKUP(B3997,'_Sys|Line_Map'!$A:$A,'_Sys|Line_Map'!$B:$B,"MISSING",0)</f>
        <v/>
      </c>
    </row>
    <row r="3998">
      <c r="A3998" s="4561" t="n"/>
      <c r="B3998" s="4561" t="n"/>
      <c r="C3998" s="4561" t="n"/>
      <c r="D3998" s="4561" t="n"/>
      <c r="E3998" s="4561" t="n"/>
      <c r="F3998" s="4561" t="n"/>
      <c r="G3998" s="4561" t="n"/>
      <c r="H3998" s="4561" t="n"/>
      <c r="I3998" s="4562">
        <f>XLOOKUP(B3998,'_Sys|Line_Map'!$A:$A,'_Sys|Line_Map'!$C:$C,"MISSING",0)</f>
        <v/>
      </c>
      <c r="J3998" s="4562">
        <f>XLOOKUP(B3998,'_Sys|Line_Map'!$A:$A,'_Sys|Line_Map'!$D:$D,1,0)</f>
        <v/>
      </c>
      <c r="K3998" s="4562">
        <f>IF(D3998="","",D3998*J3998)</f>
        <v/>
      </c>
      <c r="L3998" s="4562">
        <f>XLOOKUP(B3998,'_Sys|Line_Map'!$A:$A,'_Sys|Line_Map'!$B:$B,"MISSING",0)</f>
        <v/>
      </c>
    </row>
    <row r="3999">
      <c r="A3999" s="4561" t="n"/>
      <c r="B3999" s="4561" t="n"/>
      <c r="C3999" s="4561" t="n"/>
      <c r="D3999" s="4561" t="n"/>
      <c r="E3999" s="4561" t="n"/>
      <c r="F3999" s="4561" t="n"/>
      <c r="G3999" s="4561" t="n"/>
      <c r="H3999" s="4561" t="n"/>
      <c r="I3999" s="4562">
        <f>XLOOKUP(B3999,'_Sys|Line_Map'!$A:$A,'_Sys|Line_Map'!$C:$C,"MISSING",0)</f>
        <v/>
      </c>
      <c r="J3999" s="4562">
        <f>XLOOKUP(B3999,'_Sys|Line_Map'!$A:$A,'_Sys|Line_Map'!$D:$D,1,0)</f>
        <v/>
      </c>
      <c r="K3999" s="4562">
        <f>IF(D3999="","",D3999*J3999)</f>
        <v/>
      </c>
      <c r="L3999" s="4562">
        <f>XLOOKUP(B3999,'_Sys|Line_Map'!$A:$A,'_Sys|Line_Map'!$B:$B,"MISSING",0)</f>
        <v/>
      </c>
    </row>
    <row r="4000">
      <c r="A4000" s="4561" t="n"/>
      <c r="B4000" s="4561" t="n"/>
      <c r="C4000" s="4561" t="n"/>
      <c r="D4000" s="4561" t="n"/>
      <c r="E4000" s="4561" t="n"/>
      <c r="F4000" s="4561" t="n"/>
      <c r="G4000" s="4561" t="n"/>
      <c r="H4000" s="4561" t="n"/>
      <c r="I4000" s="4562">
        <f>XLOOKUP(B4000,'_Sys|Line_Map'!$A:$A,'_Sys|Line_Map'!$C:$C,"MISSING",0)</f>
        <v/>
      </c>
      <c r="J4000" s="4562">
        <f>XLOOKUP(B4000,'_Sys|Line_Map'!$A:$A,'_Sys|Line_Map'!$D:$D,1,0)</f>
        <v/>
      </c>
      <c r="K4000" s="4562">
        <f>IF(D4000="","",D4000*J4000)</f>
        <v/>
      </c>
      <c r="L4000" s="4562">
        <f>XLOOKUP(B4000,'_Sys|Line_Map'!$A:$A,'_Sys|Line_Map'!$B:$B,"MISSING",0)</f>
        <v/>
      </c>
    </row>
    <row r="4001">
      <c r="A4001" s="4561" t="n"/>
      <c r="B4001" s="4561" t="n"/>
      <c r="C4001" s="4561" t="n"/>
      <c r="D4001" s="4561" t="n"/>
      <c r="E4001" s="4561" t="n"/>
      <c r="F4001" s="4561" t="n"/>
      <c r="G4001" s="4561" t="n"/>
      <c r="H4001" s="4561" t="n"/>
      <c r="I4001" s="4562">
        <f>XLOOKUP(B4001,'_Sys|Line_Map'!$A:$A,'_Sys|Line_Map'!$C:$C,"MISSING",0)</f>
        <v/>
      </c>
      <c r="J4001" s="4562">
        <f>XLOOKUP(B4001,'_Sys|Line_Map'!$A:$A,'_Sys|Line_Map'!$D:$D,1,0)</f>
        <v/>
      </c>
      <c r="K4001" s="4562">
        <f>IF(D4001="","",D4001*J4001)</f>
        <v/>
      </c>
      <c r="L4001" s="4562">
        <f>XLOOKUP(B4001,'_Sys|Line_Map'!$A:$A,'_Sys|Line_Map'!$B:$B,"MISSING",0)</f>
        <v/>
      </c>
    </row>
    <row r="4002">
      <c r="A4002" s="4561" t="n"/>
      <c r="B4002" s="4561" t="n"/>
      <c r="C4002" s="4561" t="n"/>
      <c r="D4002" s="4561" t="n"/>
      <c r="E4002" s="4561" t="n"/>
      <c r="F4002" s="4561" t="n"/>
      <c r="G4002" s="4561" t="n"/>
      <c r="H4002" s="4561" t="n"/>
      <c r="I4002" s="4562">
        <f>XLOOKUP(B4002,'_Sys|Line_Map'!$A:$A,'_Sys|Line_Map'!$C:$C,"MISSING",0)</f>
        <v/>
      </c>
      <c r="J4002" s="4562">
        <f>XLOOKUP(B4002,'_Sys|Line_Map'!$A:$A,'_Sys|Line_Map'!$D:$D,1,0)</f>
        <v/>
      </c>
      <c r="K4002" s="4562">
        <f>IF(D4002="","",D4002*J4002)</f>
        <v/>
      </c>
      <c r="L4002" s="4562">
        <f>XLOOKUP(B4002,'_Sys|Line_Map'!$A:$A,'_Sys|Line_Map'!$B:$B,"MISSING",0)</f>
        <v/>
      </c>
    </row>
    <row r="4003">
      <c r="A4003" s="4561" t="n"/>
      <c r="B4003" s="4561" t="n"/>
      <c r="C4003" s="4561" t="n"/>
      <c r="D4003" s="4561" t="n"/>
      <c r="E4003" s="4561" t="n"/>
      <c r="F4003" s="4561" t="n"/>
      <c r="G4003" s="4561" t="n"/>
      <c r="H4003" s="4561" t="n"/>
      <c r="I4003" s="4562">
        <f>XLOOKUP(B4003,'_Sys|Line_Map'!$A:$A,'_Sys|Line_Map'!$C:$C,"MISSING",0)</f>
        <v/>
      </c>
      <c r="J4003" s="4562">
        <f>XLOOKUP(B4003,'_Sys|Line_Map'!$A:$A,'_Sys|Line_Map'!$D:$D,1,0)</f>
        <v/>
      </c>
      <c r="K4003" s="4562">
        <f>IF(D4003="","",D4003*J4003)</f>
        <v/>
      </c>
      <c r="L4003" s="4562">
        <f>XLOOKUP(B4003,'_Sys|Line_Map'!$A:$A,'_Sys|Line_Map'!$B:$B,"MISSING",0)</f>
        <v/>
      </c>
    </row>
    <row r="4004">
      <c r="A4004" s="4561" t="n"/>
      <c r="B4004" s="4561" t="n"/>
      <c r="C4004" s="4561" t="n"/>
      <c r="D4004" s="4561" t="n"/>
      <c r="E4004" s="4561" t="n"/>
      <c r="F4004" s="4561" t="n"/>
      <c r="G4004" s="4561" t="n"/>
      <c r="H4004" s="4561" t="n"/>
      <c r="I4004" s="4562">
        <f>XLOOKUP(B4004,'_Sys|Line_Map'!$A:$A,'_Sys|Line_Map'!$C:$C,"MISSING",0)</f>
        <v/>
      </c>
      <c r="J4004" s="4562">
        <f>XLOOKUP(B4004,'_Sys|Line_Map'!$A:$A,'_Sys|Line_Map'!$D:$D,1,0)</f>
        <v/>
      </c>
      <c r="K4004" s="4562">
        <f>IF(D4004="","",D4004*J4004)</f>
        <v/>
      </c>
      <c r="L4004" s="4562">
        <f>XLOOKUP(B4004,'_Sys|Line_Map'!$A:$A,'_Sys|Line_Map'!$B:$B,"MISSING",0)</f>
        <v/>
      </c>
    </row>
    <row r="4005">
      <c r="A4005" s="4561" t="n"/>
      <c r="B4005" s="4561" t="n"/>
      <c r="C4005" s="4561" t="n"/>
      <c r="D4005" s="4561" t="n"/>
      <c r="E4005" s="4561" t="n"/>
      <c r="F4005" s="4561" t="n"/>
      <c r="G4005" s="4561" t="n"/>
      <c r="H4005" s="4561" t="n"/>
      <c r="I4005" s="4562">
        <f>XLOOKUP(B4005,'_Sys|Line_Map'!$A:$A,'_Sys|Line_Map'!$C:$C,"MISSING",0)</f>
        <v/>
      </c>
      <c r="J4005" s="4562">
        <f>XLOOKUP(B4005,'_Sys|Line_Map'!$A:$A,'_Sys|Line_Map'!$D:$D,1,0)</f>
        <v/>
      </c>
      <c r="K4005" s="4562">
        <f>IF(D4005="","",D4005*J4005)</f>
        <v/>
      </c>
      <c r="L4005" s="4562">
        <f>XLOOKUP(B4005,'_Sys|Line_Map'!$A:$A,'_Sys|Line_Map'!$B:$B,"MISSING",0)</f>
        <v/>
      </c>
    </row>
    <row r="4006">
      <c r="A4006" s="4561" t="n"/>
      <c r="B4006" s="4561" t="n"/>
      <c r="C4006" s="4561" t="n"/>
      <c r="D4006" s="4561" t="n"/>
      <c r="E4006" s="4561" t="n"/>
      <c r="F4006" s="4561" t="n"/>
      <c r="G4006" s="4561" t="n"/>
      <c r="H4006" s="4561" t="n"/>
      <c r="I4006" s="4562">
        <f>XLOOKUP(B4006,'_Sys|Line_Map'!$A:$A,'_Sys|Line_Map'!$C:$C,"MISSING",0)</f>
        <v/>
      </c>
      <c r="J4006" s="4562">
        <f>XLOOKUP(B4006,'_Sys|Line_Map'!$A:$A,'_Sys|Line_Map'!$D:$D,1,0)</f>
        <v/>
      </c>
      <c r="K4006" s="4562">
        <f>IF(D4006="","",D4006*J4006)</f>
        <v/>
      </c>
      <c r="L4006" s="4562">
        <f>XLOOKUP(B4006,'_Sys|Line_Map'!$A:$A,'_Sys|Line_Map'!$B:$B,"MISSING",0)</f>
        <v/>
      </c>
    </row>
    <row r="4007">
      <c r="A4007" s="4561" t="n"/>
      <c r="B4007" s="4561" t="n"/>
      <c r="C4007" s="4561" t="n"/>
      <c r="D4007" s="4561" t="n"/>
      <c r="E4007" s="4561" t="n"/>
      <c r="F4007" s="4561" t="n"/>
      <c r="G4007" s="4561" t="n"/>
      <c r="H4007" s="4561" t="n"/>
      <c r="I4007" s="4562">
        <f>XLOOKUP(B4007,'_Sys|Line_Map'!$A:$A,'_Sys|Line_Map'!$C:$C,"MISSING",0)</f>
        <v/>
      </c>
      <c r="J4007" s="4562">
        <f>XLOOKUP(B4007,'_Sys|Line_Map'!$A:$A,'_Sys|Line_Map'!$D:$D,1,0)</f>
        <v/>
      </c>
      <c r="K4007" s="4562">
        <f>IF(D4007="","",D4007*J4007)</f>
        <v/>
      </c>
      <c r="L4007" s="4562">
        <f>XLOOKUP(B4007,'_Sys|Line_Map'!$A:$A,'_Sys|Line_Map'!$B:$B,"MISSING",0)</f>
        <v/>
      </c>
    </row>
    <row r="4008">
      <c r="A4008" s="4561" t="n"/>
      <c r="B4008" s="4561" t="n"/>
      <c r="C4008" s="4561" t="n"/>
      <c r="D4008" s="4561" t="n"/>
      <c r="E4008" s="4561" t="n"/>
      <c r="F4008" s="4561" t="n"/>
      <c r="G4008" s="4561" t="n"/>
      <c r="H4008" s="4561" t="n"/>
      <c r="I4008" s="4562">
        <f>XLOOKUP(B4008,'_Sys|Line_Map'!$A:$A,'_Sys|Line_Map'!$C:$C,"MISSING",0)</f>
        <v/>
      </c>
      <c r="J4008" s="4562">
        <f>XLOOKUP(B4008,'_Sys|Line_Map'!$A:$A,'_Sys|Line_Map'!$D:$D,1,0)</f>
        <v/>
      </c>
      <c r="K4008" s="4562">
        <f>IF(D4008="","",D4008*J4008)</f>
        <v/>
      </c>
      <c r="L4008" s="4562">
        <f>XLOOKUP(B4008,'_Sys|Line_Map'!$A:$A,'_Sys|Line_Map'!$B:$B,"MISSING",0)</f>
        <v/>
      </c>
    </row>
    <row r="4009">
      <c r="A4009" s="4561" t="n"/>
      <c r="B4009" s="4561" t="n"/>
      <c r="C4009" s="4561" t="n"/>
      <c r="D4009" s="4561" t="n"/>
      <c r="E4009" s="4561" t="n"/>
      <c r="F4009" s="4561" t="n"/>
      <c r="G4009" s="4561" t="n"/>
      <c r="H4009" s="4561" t="n"/>
      <c r="I4009" s="4562">
        <f>XLOOKUP(B4009,'_Sys|Line_Map'!$A:$A,'_Sys|Line_Map'!$C:$C,"MISSING",0)</f>
        <v/>
      </c>
      <c r="J4009" s="4562">
        <f>XLOOKUP(B4009,'_Sys|Line_Map'!$A:$A,'_Sys|Line_Map'!$D:$D,1,0)</f>
        <v/>
      </c>
      <c r="K4009" s="4562">
        <f>IF(D4009="","",D4009*J4009)</f>
        <v/>
      </c>
      <c r="L4009" s="4562">
        <f>XLOOKUP(B4009,'_Sys|Line_Map'!$A:$A,'_Sys|Line_Map'!$B:$B,"MISSING",0)</f>
        <v/>
      </c>
    </row>
    <row r="4010">
      <c r="A4010" s="4561" t="n"/>
      <c r="B4010" s="4561" t="n"/>
      <c r="C4010" s="4561" t="n"/>
      <c r="D4010" s="4561" t="n"/>
      <c r="E4010" s="4561" t="n"/>
      <c r="F4010" s="4561" t="n"/>
      <c r="G4010" s="4561" t="n"/>
      <c r="H4010" s="4561" t="n"/>
      <c r="I4010" s="4562">
        <f>XLOOKUP(B4010,'_Sys|Line_Map'!$A:$A,'_Sys|Line_Map'!$C:$C,"MISSING",0)</f>
        <v/>
      </c>
      <c r="J4010" s="4562">
        <f>XLOOKUP(B4010,'_Sys|Line_Map'!$A:$A,'_Sys|Line_Map'!$D:$D,1,0)</f>
        <v/>
      </c>
      <c r="K4010" s="4562">
        <f>IF(D4010="","",D4010*J4010)</f>
        <v/>
      </c>
      <c r="L4010" s="4562">
        <f>XLOOKUP(B4010,'_Sys|Line_Map'!$A:$A,'_Sys|Line_Map'!$B:$B,"MISSING",0)</f>
        <v/>
      </c>
    </row>
    <row r="4011">
      <c r="A4011" s="4561" t="n"/>
      <c r="B4011" s="4561" t="n"/>
      <c r="C4011" s="4561" t="n"/>
      <c r="D4011" s="4561" t="n"/>
      <c r="E4011" s="4561" t="n"/>
      <c r="F4011" s="4561" t="n"/>
      <c r="G4011" s="4561" t="n"/>
      <c r="H4011" s="4561" t="n"/>
      <c r="I4011" s="4562">
        <f>XLOOKUP(B4011,'_Sys|Line_Map'!$A:$A,'_Sys|Line_Map'!$C:$C,"MISSING",0)</f>
        <v/>
      </c>
      <c r="J4011" s="4562">
        <f>XLOOKUP(B4011,'_Sys|Line_Map'!$A:$A,'_Sys|Line_Map'!$D:$D,1,0)</f>
        <v/>
      </c>
      <c r="K4011" s="4562">
        <f>IF(D4011="","",D4011*J4011)</f>
        <v/>
      </c>
      <c r="L4011" s="4562">
        <f>XLOOKUP(B4011,'_Sys|Line_Map'!$A:$A,'_Sys|Line_Map'!$B:$B,"MISSING",0)</f>
        <v/>
      </c>
    </row>
    <row r="4012">
      <c r="A4012" s="4561" t="n"/>
      <c r="B4012" s="4561" t="n"/>
      <c r="C4012" s="4561" t="n"/>
      <c r="D4012" s="4561" t="n"/>
      <c r="E4012" s="4561" t="n"/>
      <c r="F4012" s="4561" t="n"/>
      <c r="G4012" s="4561" t="n"/>
      <c r="H4012" s="4561" t="n"/>
      <c r="I4012" s="4562">
        <f>XLOOKUP(B4012,'_Sys|Line_Map'!$A:$A,'_Sys|Line_Map'!$C:$C,"MISSING",0)</f>
        <v/>
      </c>
      <c r="J4012" s="4562">
        <f>XLOOKUP(B4012,'_Sys|Line_Map'!$A:$A,'_Sys|Line_Map'!$D:$D,1,0)</f>
        <v/>
      </c>
      <c r="K4012" s="4562">
        <f>IF(D4012="","",D4012*J4012)</f>
        <v/>
      </c>
      <c r="L4012" s="4562">
        <f>XLOOKUP(B4012,'_Sys|Line_Map'!$A:$A,'_Sys|Line_Map'!$B:$B,"MISSING",0)</f>
        <v/>
      </c>
    </row>
    <row r="4013">
      <c r="A4013" s="4561" t="n"/>
      <c r="B4013" s="4561" t="n"/>
      <c r="C4013" s="4561" t="n"/>
      <c r="D4013" s="4561" t="n"/>
      <c r="E4013" s="4561" t="n"/>
      <c r="F4013" s="4561" t="n"/>
      <c r="G4013" s="4561" t="n"/>
      <c r="H4013" s="4561" t="n"/>
      <c r="I4013" s="4562">
        <f>XLOOKUP(B4013,'_Sys|Line_Map'!$A:$A,'_Sys|Line_Map'!$C:$C,"MISSING",0)</f>
        <v/>
      </c>
      <c r="J4013" s="4562">
        <f>XLOOKUP(B4013,'_Sys|Line_Map'!$A:$A,'_Sys|Line_Map'!$D:$D,1,0)</f>
        <v/>
      </c>
      <c r="K4013" s="4562">
        <f>IF(D4013="","",D4013*J4013)</f>
        <v/>
      </c>
      <c r="L4013" s="4562">
        <f>XLOOKUP(B4013,'_Sys|Line_Map'!$A:$A,'_Sys|Line_Map'!$B:$B,"MISSING",0)</f>
        <v/>
      </c>
    </row>
    <row r="4014">
      <c r="A4014" s="4561" t="n"/>
      <c r="B4014" s="4561" t="n"/>
      <c r="C4014" s="4561" t="n"/>
      <c r="D4014" s="4561" t="n"/>
      <c r="E4014" s="4561" t="n"/>
      <c r="F4014" s="4561" t="n"/>
      <c r="G4014" s="4561" t="n"/>
      <c r="H4014" s="4561" t="n"/>
      <c r="I4014" s="4562">
        <f>XLOOKUP(B4014,'_Sys|Line_Map'!$A:$A,'_Sys|Line_Map'!$C:$C,"MISSING",0)</f>
        <v/>
      </c>
      <c r="J4014" s="4562">
        <f>XLOOKUP(B4014,'_Sys|Line_Map'!$A:$A,'_Sys|Line_Map'!$D:$D,1,0)</f>
        <v/>
      </c>
      <c r="K4014" s="4562">
        <f>IF(D4014="","",D4014*J4014)</f>
        <v/>
      </c>
      <c r="L4014" s="4562">
        <f>XLOOKUP(B4014,'_Sys|Line_Map'!$A:$A,'_Sys|Line_Map'!$B:$B,"MISSING",0)</f>
        <v/>
      </c>
    </row>
    <row r="4015">
      <c r="A4015" s="4561" t="n"/>
      <c r="B4015" s="4561" t="n"/>
      <c r="C4015" s="4561" t="n"/>
      <c r="D4015" s="4561" t="n"/>
      <c r="E4015" s="4561" t="n"/>
      <c r="F4015" s="4561" t="n"/>
      <c r="G4015" s="4561" t="n"/>
      <c r="H4015" s="4561" t="n"/>
      <c r="I4015" s="4562">
        <f>XLOOKUP(B4015,'_Sys|Line_Map'!$A:$A,'_Sys|Line_Map'!$C:$C,"MISSING",0)</f>
        <v/>
      </c>
      <c r="J4015" s="4562">
        <f>XLOOKUP(B4015,'_Sys|Line_Map'!$A:$A,'_Sys|Line_Map'!$D:$D,1,0)</f>
        <v/>
      </c>
      <c r="K4015" s="4562">
        <f>IF(D4015="","",D4015*J4015)</f>
        <v/>
      </c>
      <c r="L4015" s="4562">
        <f>XLOOKUP(B4015,'_Sys|Line_Map'!$A:$A,'_Sys|Line_Map'!$B:$B,"MISSING",0)</f>
        <v/>
      </c>
    </row>
    <row r="4016">
      <c r="A4016" s="4561" t="n"/>
      <c r="B4016" s="4561" t="n"/>
      <c r="C4016" s="4561" t="n"/>
      <c r="D4016" s="4561" t="n"/>
      <c r="E4016" s="4561" t="n"/>
      <c r="F4016" s="4561" t="n"/>
      <c r="G4016" s="4561" t="n"/>
      <c r="H4016" s="4561" t="n"/>
      <c r="I4016" s="4562">
        <f>XLOOKUP(B4016,'_Sys|Line_Map'!$A:$A,'_Sys|Line_Map'!$C:$C,"MISSING",0)</f>
        <v/>
      </c>
      <c r="J4016" s="4562">
        <f>XLOOKUP(B4016,'_Sys|Line_Map'!$A:$A,'_Sys|Line_Map'!$D:$D,1,0)</f>
        <v/>
      </c>
      <c r="K4016" s="4562">
        <f>IF(D4016="","",D4016*J4016)</f>
        <v/>
      </c>
      <c r="L4016" s="4562">
        <f>XLOOKUP(B4016,'_Sys|Line_Map'!$A:$A,'_Sys|Line_Map'!$B:$B,"MISSING",0)</f>
        <v/>
      </c>
    </row>
    <row r="4017">
      <c r="A4017" s="4561" t="n"/>
      <c r="B4017" s="4561" t="n"/>
      <c r="C4017" s="4561" t="n"/>
      <c r="D4017" s="4561" t="n"/>
      <c r="E4017" s="4561" t="n"/>
      <c r="F4017" s="4561" t="n"/>
      <c r="G4017" s="4561" t="n"/>
      <c r="H4017" s="4561" t="n"/>
      <c r="I4017" s="4562">
        <f>XLOOKUP(B4017,'_Sys|Line_Map'!$A:$A,'_Sys|Line_Map'!$C:$C,"MISSING",0)</f>
        <v/>
      </c>
      <c r="J4017" s="4562">
        <f>XLOOKUP(B4017,'_Sys|Line_Map'!$A:$A,'_Sys|Line_Map'!$D:$D,1,0)</f>
        <v/>
      </c>
      <c r="K4017" s="4562">
        <f>IF(D4017="","",D4017*J4017)</f>
        <v/>
      </c>
      <c r="L4017" s="4562">
        <f>XLOOKUP(B4017,'_Sys|Line_Map'!$A:$A,'_Sys|Line_Map'!$B:$B,"MISSING",0)</f>
        <v/>
      </c>
    </row>
    <row r="4018">
      <c r="A4018" s="4561" t="n"/>
      <c r="B4018" s="4561" t="n"/>
      <c r="C4018" s="4561" t="n"/>
      <c r="D4018" s="4561" t="n"/>
      <c r="E4018" s="4561" t="n"/>
      <c r="F4018" s="4561" t="n"/>
      <c r="G4018" s="4561" t="n"/>
      <c r="H4018" s="4561" t="n"/>
      <c r="I4018" s="4562">
        <f>XLOOKUP(B4018,'_Sys|Line_Map'!$A:$A,'_Sys|Line_Map'!$C:$C,"MISSING",0)</f>
        <v/>
      </c>
      <c r="J4018" s="4562">
        <f>XLOOKUP(B4018,'_Sys|Line_Map'!$A:$A,'_Sys|Line_Map'!$D:$D,1,0)</f>
        <v/>
      </c>
      <c r="K4018" s="4562">
        <f>IF(D4018="","",D4018*J4018)</f>
        <v/>
      </c>
      <c r="L4018" s="4562">
        <f>XLOOKUP(B4018,'_Sys|Line_Map'!$A:$A,'_Sys|Line_Map'!$B:$B,"MISSING",0)</f>
        <v/>
      </c>
    </row>
    <row r="4019">
      <c r="A4019" s="4561" t="n"/>
      <c r="B4019" s="4561" t="n"/>
      <c r="C4019" s="4561" t="n"/>
      <c r="D4019" s="4561" t="n"/>
      <c r="E4019" s="4561" t="n"/>
      <c r="F4019" s="4561" t="n"/>
      <c r="G4019" s="4561" t="n"/>
      <c r="H4019" s="4561" t="n"/>
      <c r="I4019" s="4562">
        <f>XLOOKUP(B4019,'_Sys|Line_Map'!$A:$A,'_Sys|Line_Map'!$C:$C,"MISSING",0)</f>
        <v/>
      </c>
      <c r="J4019" s="4562">
        <f>XLOOKUP(B4019,'_Sys|Line_Map'!$A:$A,'_Sys|Line_Map'!$D:$D,1,0)</f>
        <v/>
      </c>
      <c r="K4019" s="4562">
        <f>IF(D4019="","",D4019*J4019)</f>
        <v/>
      </c>
      <c r="L4019" s="4562">
        <f>XLOOKUP(B4019,'_Sys|Line_Map'!$A:$A,'_Sys|Line_Map'!$B:$B,"MISSING",0)</f>
        <v/>
      </c>
    </row>
    <row r="4020">
      <c r="A4020" s="4561" t="n"/>
      <c r="B4020" s="4561" t="n"/>
      <c r="C4020" s="4561" t="n"/>
      <c r="D4020" s="4561" t="n"/>
      <c r="E4020" s="4561" t="n"/>
      <c r="F4020" s="4561" t="n"/>
      <c r="G4020" s="4561" t="n"/>
      <c r="H4020" s="4561" t="n"/>
      <c r="I4020" s="4562">
        <f>XLOOKUP(B4020,'_Sys|Line_Map'!$A:$A,'_Sys|Line_Map'!$C:$C,"MISSING",0)</f>
        <v/>
      </c>
      <c r="J4020" s="4562">
        <f>XLOOKUP(B4020,'_Sys|Line_Map'!$A:$A,'_Sys|Line_Map'!$D:$D,1,0)</f>
        <v/>
      </c>
      <c r="K4020" s="4562">
        <f>IF(D4020="","",D4020*J4020)</f>
        <v/>
      </c>
      <c r="L4020" s="4562">
        <f>XLOOKUP(B4020,'_Sys|Line_Map'!$A:$A,'_Sys|Line_Map'!$B:$B,"MISSING",0)</f>
        <v/>
      </c>
    </row>
    <row r="4021">
      <c r="A4021" s="4561" t="n"/>
      <c r="B4021" s="4561" t="n"/>
      <c r="C4021" s="4561" t="n"/>
      <c r="D4021" s="4561" t="n"/>
      <c r="E4021" s="4561" t="n"/>
      <c r="F4021" s="4561" t="n"/>
      <c r="G4021" s="4561" t="n"/>
      <c r="H4021" s="4561" t="n"/>
      <c r="I4021" s="4562">
        <f>XLOOKUP(B4021,'_Sys|Line_Map'!$A:$A,'_Sys|Line_Map'!$C:$C,"MISSING",0)</f>
        <v/>
      </c>
      <c r="J4021" s="4562">
        <f>XLOOKUP(B4021,'_Sys|Line_Map'!$A:$A,'_Sys|Line_Map'!$D:$D,1,0)</f>
        <v/>
      </c>
      <c r="K4021" s="4562">
        <f>IF(D4021="","",D4021*J4021)</f>
        <v/>
      </c>
      <c r="L4021" s="4562">
        <f>XLOOKUP(B4021,'_Sys|Line_Map'!$A:$A,'_Sys|Line_Map'!$B:$B,"MISSING",0)</f>
        <v/>
      </c>
    </row>
    <row r="4022">
      <c r="A4022" s="4561" t="n"/>
      <c r="B4022" s="4561" t="n"/>
      <c r="C4022" s="4561" t="n"/>
      <c r="D4022" s="4561" t="n"/>
      <c r="E4022" s="4561" t="n"/>
      <c r="F4022" s="4561" t="n"/>
      <c r="G4022" s="4561" t="n"/>
      <c r="H4022" s="4561" t="n"/>
      <c r="I4022" s="4562">
        <f>XLOOKUP(B4022,'_Sys|Line_Map'!$A:$A,'_Sys|Line_Map'!$C:$C,"MISSING",0)</f>
        <v/>
      </c>
      <c r="J4022" s="4562">
        <f>XLOOKUP(B4022,'_Sys|Line_Map'!$A:$A,'_Sys|Line_Map'!$D:$D,1,0)</f>
        <v/>
      </c>
      <c r="K4022" s="4562">
        <f>IF(D4022="","",D4022*J4022)</f>
        <v/>
      </c>
      <c r="L4022" s="4562">
        <f>XLOOKUP(B4022,'_Sys|Line_Map'!$A:$A,'_Sys|Line_Map'!$B:$B,"MISSING",0)</f>
        <v/>
      </c>
    </row>
    <row r="4023">
      <c r="A4023" s="4561" t="n"/>
      <c r="B4023" s="4561" t="n"/>
      <c r="C4023" s="4561" t="n"/>
      <c r="D4023" s="4561" t="n"/>
      <c r="E4023" s="4561" t="n"/>
      <c r="F4023" s="4561" t="n"/>
      <c r="G4023" s="4561" t="n"/>
      <c r="H4023" s="4561" t="n"/>
      <c r="I4023" s="4562">
        <f>XLOOKUP(B4023,'_Sys|Line_Map'!$A:$A,'_Sys|Line_Map'!$C:$C,"MISSING",0)</f>
        <v/>
      </c>
      <c r="J4023" s="4562">
        <f>XLOOKUP(B4023,'_Sys|Line_Map'!$A:$A,'_Sys|Line_Map'!$D:$D,1,0)</f>
        <v/>
      </c>
      <c r="K4023" s="4562">
        <f>IF(D4023="","",D4023*J4023)</f>
        <v/>
      </c>
      <c r="L4023" s="4562">
        <f>XLOOKUP(B4023,'_Sys|Line_Map'!$A:$A,'_Sys|Line_Map'!$B:$B,"MISSING",0)</f>
        <v/>
      </c>
    </row>
    <row r="4024">
      <c r="A4024" s="4561" t="n"/>
      <c r="B4024" s="4561" t="n"/>
      <c r="C4024" s="4561" t="n"/>
      <c r="D4024" s="4561" t="n"/>
      <c r="E4024" s="4561" t="n"/>
      <c r="F4024" s="4561" t="n"/>
      <c r="G4024" s="4561" t="n"/>
      <c r="H4024" s="4561" t="n"/>
      <c r="I4024" s="4562">
        <f>XLOOKUP(B4024,'_Sys|Line_Map'!$A:$A,'_Sys|Line_Map'!$C:$C,"MISSING",0)</f>
        <v/>
      </c>
      <c r="J4024" s="4562">
        <f>XLOOKUP(B4024,'_Sys|Line_Map'!$A:$A,'_Sys|Line_Map'!$D:$D,1,0)</f>
        <v/>
      </c>
      <c r="K4024" s="4562">
        <f>IF(D4024="","",D4024*J4024)</f>
        <v/>
      </c>
      <c r="L4024" s="4562">
        <f>XLOOKUP(B4024,'_Sys|Line_Map'!$A:$A,'_Sys|Line_Map'!$B:$B,"MISSING",0)</f>
        <v/>
      </c>
    </row>
    <row r="4025">
      <c r="A4025" s="4561" t="n"/>
      <c r="B4025" s="4561" t="n"/>
      <c r="C4025" s="4561" t="n"/>
      <c r="D4025" s="4561" t="n"/>
      <c r="E4025" s="4561" t="n"/>
      <c r="F4025" s="4561" t="n"/>
      <c r="G4025" s="4561" t="n"/>
      <c r="H4025" s="4561" t="n"/>
      <c r="I4025" s="4562">
        <f>XLOOKUP(B4025,'_Sys|Line_Map'!$A:$A,'_Sys|Line_Map'!$C:$C,"MISSING",0)</f>
        <v/>
      </c>
      <c r="J4025" s="4562">
        <f>XLOOKUP(B4025,'_Sys|Line_Map'!$A:$A,'_Sys|Line_Map'!$D:$D,1,0)</f>
        <v/>
      </c>
      <c r="K4025" s="4562">
        <f>IF(D4025="","",D4025*J4025)</f>
        <v/>
      </c>
      <c r="L4025" s="4562">
        <f>XLOOKUP(B4025,'_Sys|Line_Map'!$A:$A,'_Sys|Line_Map'!$B:$B,"MISSING",0)</f>
        <v/>
      </c>
    </row>
    <row r="4026">
      <c r="A4026" s="4561" t="n"/>
      <c r="B4026" s="4561" t="n"/>
      <c r="C4026" s="4561" t="n"/>
      <c r="D4026" s="4561" t="n"/>
      <c r="E4026" s="4561" t="n"/>
      <c r="F4026" s="4561" t="n"/>
      <c r="G4026" s="4561" t="n"/>
      <c r="H4026" s="4561" t="n"/>
      <c r="I4026" s="4562">
        <f>XLOOKUP(B4026,'_Sys|Line_Map'!$A:$A,'_Sys|Line_Map'!$C:$C,"MISSING",0)</f>
        <v/>
      </c>
      <c r="J4026" s="4562">
        <f>XLOOKUP(B4026,'_Sys|Line_Map'!$A:$A,'_Sys|Line_Map'!$D:$D,1,0)</f>
        <v/>
      </c>
      <c r="K4026" s="4562">
        <f>IF(D4026="","",D4026*J4026)</f>
        <v/>
      </c>
      <c r="L4026" s="4562">
        <f>XLOOKUP(B4026,'_Sys|Line_Map'!$A:$A,'_Sys|Line_Map'!$B:$B,"MISSING",0)</f>
        <v/>
      </c>
    </row>
    <row r="4027">
      <c r="A4027" s="4561" t="n"/>
      <c r="B4027" s="4561" t="n"/>
      <c r="C4027" s="4561" t="n"/>
      <c r="D4027" s="4561" t="n"/>
      <c r="E4027" s="4561" t="n"/>
      <c r="F4027" s="4561" t="n"/>
      <c r="G4027" s="4561" t="n"/>
      <c r="H4027" s="4561" t="n"/>
      <c r="I4027" s="4562">
        <f>XLOOKUP(B4027,'_Sys|Line_Map'!$A:$A,'_Sys|Line_Map'!$C:$C,"MISSING",0)</f>
        <v/>
      </c>
      <c r="J4027" s="4562">
        <f>XLOOKUP(B4027,'_Sys|Line_Map'!$A:$A,'_Sys|Line_Map'!$D:$D,1,0)</f>
        <v/>
      </c>
      <c r="K4027" s="4562">
        <f>IF(D4027="","",D4027*J4027)</f>
        <v/>
      </c>
      <c r="L4027" s="4562">
        <f>XLOOKUP(B4027,'_Sys|Line_Map'!$A:$A,'_Sys|Line_Map'!$B:$B,"MISSING",0)</f>
        <v/>
      </c>
    </row>
    <row r="4028">
      <c r="A4028" s="4561" t="n"/>
      <c r="B4028" s="4561" t="n"/>
      <c r="C4028" s="4561" t="n"/>
      <c r="D4028" s="4561" t="n"/>
      <c r="E4028" s="4561" t="n"/>
      <c r="F4028" s="4561" t="n"/>
      <c r="G4028" s="4561" t="n"/>
      <c r="H4028" s="4561" t="n"/>
      <c r="I4028" s="4562">
        <f>XLOOKUP(B4028,'_Sys|Line_Map'!$A:$A,'_Sys|Line_Map'!$C:$C,"MISSING",0)</f>
        <v/>
      </c>
      <c r="J4028" s="4562">
        <f>XLOOKUP(B4028,'_Sys|Line_Map'!$A:$A,'_Sys|Line_Map'!$D:$D,1,0)</f>
        <v/>
      </c>
      <c r="K4028" s="4562">
        <f>IF(D4028="","",D4028*J4028)</f>
        <v/>
      </c>
      <c r="L4028" s="4562">
        <f>XLOOKUP(B4028,'_Sys|Line_Map'!$A:$A,'_Sys|Line_Map'!$B:$B,"MISSING",0)</f>
        <v/>
      </c>
    </row>
    <row r="4029">
      <c r="A4029" s="4561" t="n"/>
      <c r="B4029" s="4561" t="n"/>
      <c r="C4029" s="4561" t="n"/>
      <c r="D4029" s="4561" t="n"/>
      <c r="E4029" s="4561" t="n"/>
      <c r="F4029" s="4561" t="n"/>
      <c r="G4029" s="4561" t="n"/>
      <c r="H4029" s="4561" t="n"/>
      <c r="I4029" s="4562">
        <f>XLOOKUP(B4029,'_Sys|Line_Map'!$A:$A,'_Sys|Line_Map'!$C:$C,"MISSING",0)</f>
        <v/>
      </c>
      <c r="J4029" s="4562">
        <f>XLOOKUP(B4029,'_Sys|Line_Map'!$A:$A,'_Sys|Line_Map'!$D:$D,1,0)</f>
        <v/>
      </c>
      <c r="K4029" s="4562">
        <f>IF(D4029="","",D4029*J4029)</f>
        <v/>
      </c>
      <c r="L4029" s="4562">
        <f>XLOOKUP(B4029,'_Sys|Line_Map'!$A:$A,'_Sys|Line_Map'!$B:$B,"MISSING",0)</f>
        <v/>
      </c>
    </row>
    <row r="4030">
      <c r="A4030" s="4561" t="n"/>
      <c r="B4030" s="4561" t="n"/>
      <c r="C4030" s="4561" t="n"/>
      <c r="D4030" s="4561" t="n"/>
      <c r="E4030" s="4561" t="n"/>
      <c r="F4030" s="4561" t="n"/>
      <c r="G4030" s="4561" t="n"/>
      <c r="H4030" s="4561" t="n"/>
      <c r="I4030" s="4562">
        <f>XLOOKUP(B4030,'_Sys|Line_Map'!$A:$A,'_Sys|Line_Map'!$C:$C,"MISSING",0)</f>
        <v/>
      </c>
      <c r="J4030" s="4562">
        <f>XLOOKUP(B4030,'_Sys|Line_Map'!$A:$A,'_Sys|Line_Map'!$D:$D,1,0)</f>
        <v/>
      </c>
      <c r="K4030" s="4562">
        <f>IF(D4030="","",D4030*J4030)</f>
        <v/>
      </c>
      <c r="L4030" s="4562">
        <f>XLOOKUP(B4030,'_Sys|Line_Map'!$A:$A,'_Sys|Line_Map'!$B:$B,"MISSING",0)</f>
        <v/>
      </c>
    </row>
    <row r="4031">
      <c r="A4031" s="4561" t="n"/>
      <c r="B4031" s="4561" t="n"/>
      <c r="C4031" s="4561" t="n"/>
      <c r="D4031" s="4561" t="n"/>
      <c r="E4031" s="4561" t="n"/>
      <c r="F4031" s="4561" t="n"/>
      <c r="G4031" s="4561" t="n"/>
      <c r="H4031" s="4561" t="n"/>
      <c r="I4031" s="4562">
        <f>XLOOKUP(B4031,'_Sys|Line_Map'!$A:$A,'_Sys|Line_Map'!$C:$C,"MISSING",0)</f>
        <v/>
      </c>
      <c r="J4031" s="4562">
        <f>XLOOKUP(B4031,'_Sys|Line_Map'!$A:$A,'_Sys|Line_Map'!$D:$D,1,0)</f>
        <v/>
      </c>
      <c r="K4031" s="4562">
        <f>IF(D4031="","",D4031*J4031)</f>
        <v/>
      </c>
      <c r="L4031" s="4562">
        <f>XLOOKUP(B4031,'_Sys|Line_Map'!$A:$A,'_Sys|Line_Map'!$B:$B,"MISSING",0)</f>
        <v/>
      </c>
    </row>
    <row r="4032">
      <c r="A4032" s="4561" t="n"/>
      <c r="B4032" s="4561" t="n"/>
      <c r="C4032" s="4561" t="n"/>
      <c r="D4032" s="4561" t="n"/>
      <c r="E4032" s="4561" t="n"/>
      <c r="F4032" s="4561" t="n"/>
      <c r="G4032" s="4561" t="n"/>
      <c r="H4032" s="4561" t="n"/>
      <c r="I4032" s="4562">
        <f>XLOOKUP(B4032,'_Sys|Line_Map'!$A:$A,'_Sys|Line_Map'!$C:$C,"MISSING",0)</f>
        <v/>
      </c>
      <c r="J4032" s="4562">
        <f>XLOOKUP(B4032,'_Sys|Line_Map'!$A:$A,'_Sys|Line_Map'!$D:$D,1,0)</f>
        <v/>
      </c>
      <c r="K4032" s="4562">
        <f>IF(D4032="","",D4032*J4032)</f>
        <v/>
      </c>
      <c r="L4032" s="4562">
        <f>XLOOKUP(B4032,'_Sys|Line_Map'!$A:$A,'_Sys|Line_Map'!$B:$B,"MISSING",0)</f>
        <v/>
      </c>
    </row>
    <row r="4033">
      <c r="A4033" s="4561" t="n"/>
      <c r="B4033" s="4561" t="n"/>
      <c r="C4033" s="4561" t="n"/>
      <c r="D4033" s="4561" t="n"/>
      <c r="E4033" s="4561" t="n"/>
      <c r="F4033" s="4561" t="n"/>
      <c r="G4033" s="4561" t="n"/>
      <c r="H4033" s="4561" t="n"/>
      <c r="I4033" s="4562">
        <f>XLOOKUP(B4033,'_Sys|Line_Map'!$A:$A,'_Sys|Line_Map'!$C:$C,"MISSING",0)</f>
        <v/>
      </c>
      <c r="J4033" s="4562">
        <f>XLOOKUP(B4033,'_Sys|Line_Map'!$A:$A,'_Sys|Line_Map'!$D:$D,1,0)</f>
        <v/>
      </c>
      <c r="K4033" s="4562">
        <f>IF(D4033="","",D4033*J4033)</f>
        <v/>
      </c>
      <c r="L4033" s="4562">
        <f>XLOOKUP(B4033,'_Sys|Line_Map'!$A:$A,'_Sys|Line_Map'!$B:$B,"MISSING",0)</f>
        <v/>
      </c>
    </row>
    <row r="4034">
      <c r="A4034" s="4561" t="n"/>
      <c r="B4034" s="4561" t="n"/>
      <c r="C4034" s="4561" t="n"/>
      <c r="D4034" s="4561" t="n"/>
      <c r="E4034" s="4561" t="n"/>
      <c r="F4034" s="4561" t="n"/>
      <c r="G4034" s="4561" t="n"/>
      <c r="H4034" s="4561" t="n"/>
      <c r="I4034" s="4562">
        <f>XLOOKUP(B4034,'_Sys|Line_Map'!$A:$A,'_Sys|Line_Map'!$C:$C,"MISSING",0)</f>
        <v/>
      </c>
      <c r="J4034" s="4562">
        <f>XLOOKUP(B4034,'_Sys|Line_Map'!$A:$A,'_Sys|Line_Map'!$D:$D,1,0)</f>
        <v/>
      </c>
      <c r="K4034" s="4562">
        <f>IF(D4034="","",D4034*J4034)</f>
        <v/>
      </c>
      <c r="L4034" s="4562">
        <f>XLOOKUP(B4034,'_Sys|Line_Map'!$A:$A,'_Sys|Line_Map'!$B:$B,"MISSING",0)</f>
        <v/>
      </c>
    </row>
    <row r="4035">
      <c r="A4035" s="4561" t="n"/>
      <c r="B4035" s="4561" t="n"/>
      <c r="C4035" s="4561" t="n"/>
      <c r="D4035" s="4561" t="n"/>
      <c r="E4035" s="4561" t="n"/>
      <c r="F4035" s="4561" t="n"/>
      <c r="G4035" s="4561" t="n"/>
      <c r="H4035" s="4561" t="n"/>
      <c r="I4035" s="4562">
        <f>XLOOKUP(B4035,'_Sys|Line_Map'!$A:$A,'_Sys|Line_Map'!$C:$C,"MISSING",0)</f>
        <v/>
      </c>
      <c r="J4035" s="4562">
        <f>XLOOKUP(B4035,'_Sys|Line_Map'!$A:$A,'_Sys|Line_Map'!$D:$D,1,0)</f>
        <v/>
      </c>
      <c r="K4035" s="4562">
        <f>IF(D4035="","",D4035*J4035)</f>
        <v/>
      </c>
      <c r="L4035" s="4562">
        <f>XLOOKUP(B4035,'_Sys|Line_Map'!$A:$A,'_Sys|Line_Map'!$B:$B,"MISSING",0)</f>
        <v/>
      </c>
    </row>
    <row r="4036">
      <c r="A4036" s="4561" t="n"/>
      <c r="B4036" s="4561" t="n"/>
      <c r="C4036" s="4561" t="n"/>
      <c r="D4036" s="4561" t="n"/>
      <c r="E4036" s="4561" t="n"/>
      <c r="F4036" s="4561" t="n"/>
      <c r="G4036" s="4561" t="n"/>
      <c r="H4036" s="4561" t="n"/>
      <c r="I4036" s="4562">
        <f>XLOOKUP(B4036,'_Sys|Line_Map'!$A:$A,'_Sys|Line_Map'!$C:$C,"MISSING",0)</f>
        <v/>
      </c>
      <c r="J4036" s="4562">
        <f>XLOOKUP(B4036,'_Sys|Line_Map'!$A:$A,'_Sys|Line_Map'!$D:$D,1,0)</f>
        <v/>
      </c>
      <c r="K4036" s="4562">
        <f>IF(D4036="","",D4036*J4036)</f>
        <v/>
      </c>
      <c r="L4036" s="4562">
        <f>XLOOKUP(B4036,'_Sys|Line_Map'!$A:$A,'_Sys|Line_Map'!$B:$B,"MISSING",0)</f>
        <v/>
      </c>
    </row>
    <row r="4037">
      <c r="A4037" s="4561" t="n"/>
      <c r="B4037" s="4561" t="n"/>
      <c r="C4037" s="4561" t="n"/>
      <c r="D4037" s="4561" t="n"/>
      <c r="E4037" s="4561" t="n"/>
      <c r="F4037" s="4561" t="n"/>
      <c r="G4037" s="4561" t="n"/>
      <c r="H4037" s="4561" t="n"/>
      <c r="I4037" s="4562">
        <f>XLOOKUP(B4037,'_Sys|Line_Map'!$A:$A,'_Sys|Line_Map'!$C:$C,"MISSING",0)</f>
        <v/>
      </c>
      <c r="J4037" s="4562">
        <f>XLOOKUP(B4037,'_Sys|Line_Map'!$A:$A,'_Sys|Line_Map'!$D:$D,1,0)</f>
        <v/>
      </c>
      <c r="K4037" s="4562">
        <f>IF(D4037="","",D4037*J4037)</f>
        <v/>
      </c>
      <c r="L4037" s="4562">
        <f>XLOOKUP(B4037,'_Sys|Line_Map'!$A:$A,'_Sys|Line_Map'!$B:$B,"MISSING",0)</f>
        <v/>
      </c>
    </row>
    <row r="4038">
      <c r="A4038" s="4561" t="n"/>
      <c r="B4038" s="4561" t="n"/>
      <c r="C4038" s="4561" t="n"/>
      <c r="D4038" s="4561" t="n"/>
      <c r="E4038" s="4561" t="n"/>
      <c r="F4038" s="4561" t="n"/>
      <c r="G4038" s="4561" t="n"/>
      <c r="H4038" s="4561" t="n"/>
      <c r="I4038" s="4562">
        <f>XLOOKUP(B4038,'_Sys|Line_Map'!$A:$A,'_Sys|Line_Map'!$C:$C,"MISSING",0)</f>
        <v/>
      </c>
      <c r="J4038" s="4562">
        <f>XLOOKUP(B4038,'_Sys|Line_Map'!$A:$A,'_Sys|Line_Map'!$D:$D,1,0)</f>
        <v/>
      </c>
      <c r="K4038" s="4562">
        <f>IF(D4038="","",D4038*J4038)</f>
        <v/>
      </c>
      <c r="L4038" s="4562">
        <f>XLOOKUP(B4038,'_Sys|Line_Map'!$A:$A,'_Sys|Line_Map'!$B:$B,"MISSING",0)</f>
        <v/>
      </c>
    </row>
    <row r="4039">
      <c r="A4039" s="4561" t="n"/>
      <c r="B4039" s="4561" t="n"/>
      <c r="C4039" s="4561" t="n"/>
      <c r="D4039" s="4561" t="n"/>
      <c r="E4039" s="4561" t="n"/>
      <c r="F4039" s="4561" t="n"/>
      <c r="G4039" s="4561" t="n"/>
      <c r="H4039" s="4561" t="n"/>
      <c r="I4039" s="4562">
        <f>XLOOKUP(B4039,'_Sys|Line_Map'!$A:$A,'_Sys|Line_Map'!$C:$C,"MISSING",0)</f>
        <v/>
      </c>
      <c r="J4039" s="4562">
        <f>XLOOKUP(B4039,'_Sys|Line_Map'!$A:$A,'_Sys|Line_Map'!$D:$D,1,0)</f>
        <v/>
      </c>
      <c r="K4039" s="4562">
        <f>IF(D4039="","",D4039*J4039)</f>
        <v/>
      </c>
      <c r="L4039" s="4562">
        <f>XLOOKUP(B4039,'_Sys|Line_Map'!$A:$A,'_Sys|Line_Map'!$B:$B,"MISSING",0)</f>
        <v/>
      </c>
    </row>
    <row r="4040">
      <c r="A4040" s="4561" t="n"/>
      <c r="B4040" s="4561" t="n"/>
      <c r="C4040" s="4561" t="n"/>
      <c r="D4040" s="4561" t="n"/>
      <c r="E4040" s="4561" t="n"/>
      <c r="F4040" s="4561" t="n"/>
      <c r="G4040" s="4561" t="n"/>
      <c r="H4040" s="4561" t="n"/>
      <c r="I4040" s="4562">
        <f>XLOOKUP(B4040,'_Sys|Line_Map'!$A:$A,'_Sys|Line_Map'!$C:$C,"MISSING",0)</f>
        <v/>
      </c>
      <c r="J4040" s="4562">
        <f>XLOOKUP(B4040,'_Sys|Line_Map'!$A:$A,'_Sys|Line_Map'!$D:$D,1,0)</f>
        <v/>
      </c>
      <c r="K4040" s="4562">
        <f>IF(D4040="","",D4040*J4040)</f>
        <v/>
      </c>
      <c r="L4040" s="4562">
        <f>XLOOKUP(B4040,'_Sys|Line_Map'!$A:$A,'_Sys|Line_Map'!$B:$B,"MISSING",0)</f>
        <v/>
      </c>
    </row>
    <row r="4041">
      <c r="A4041" s="4561" t="n"/>
      <c r="B4041" s="4561" t="n"/>
      <c r="C4041" s="4561" t="n"/>
      <c r="D4041" s="4561" t="n"/>
      <c r="E4041" s="4561" t="n"/>
      <c r="F4041" s="4561" t="n"/>
      <c r="G4041" s="4561" t="n"/>
      <c r="H4041" s="4561" t="n"/>
      <c r="I4041" s="4562">
        <f>XLOOKUP(B4041,'_Sys|Line_Map'!$A:$A,'_Sys|Line_Map'!$C:$C,"MISSING",0)</f>
        <v/>
      </c>
      <c r="J4041" s="4562">
        <f>XLOOKUP(B4041,'_Sys|Line_Map'!$A:$A,'_Sys|Line_Map'!$D:$D,1,0)</f>
        <v/>
      </c>
      <c r="K4041" s="4562">
        <f>IF(D4041="","",D4041*J4041)</f>
        <v/>
      </c>
      <c r="L4041" s="4562">
        <f>XLOOKUP(B4041,'_Sys|Line_Map'!$A:$A,'_Sys|Line_Map'!$B:$B,"MISSING",0)</f>
        <v/>
      </c>
    </row>
    <row r="4042">
      <c r="A4042" s="4561" t="n"/>
      <c r="B4042" s="4561" t="n"/>
      <c r="C4042" s="4561" t="n"/>
      <c r="D4042" s="4561" t="n"/>
      <c r="E4042" s="4561" t="n"/>
      <c r="F4042" s="4561" t="n"/>
      <c r="G4042" s="4561" t="n"/>
      <c r="H4042" s="4561" t="n"/>
      <c r="I4042" s="4562">
        <f>XLOOKUP(B4042,'_Sys|Line_Map'!$A:$A,'_Sys|Line_Map'!$C:$C,"MISSING",0)</f>
        <v/>
      </c>
      <c r="J4042" s="4562">
        <f>XLOOKUP(B4042,'_Sys|Line_Map'!$A:$A,'_Sys|Line_Map'!$D:$D,1,0)</f>
        <v/>
      </c>
      <c r="K4042" s="4562">
        <f>IF(D4042="","",D4042*J4042)</f>
        <v/>
      </c>
      <c r="L4042" s="4562">
        <f>XLOOKUP(B4042,'_Sys|Line_Map'!$A:$A,'_Sys|Line_Map'!$B:$B,"MISSING",0)</f>
        <v/>
      </c>
    </row>
    <row r="4043">
      <c r="A4043" s="4561" t="n"/>
      <c r="B4043" s="4561" t="n"/>
      <c r="C4043" s="4561" t="n"/>
      <c r="D4043" s="4561" t="n"/>
      <c r="E4043" s="4561" t="n"/>
      <c r="F4043" s="4561" t="n"/>
      <c r="G4043" s="4561" t="n"/>
      <c r="H4043" s="4561" t="n"/>
      <c r="I4043" s="4562">
        <f>XLOOKUP(B4043,'_Sys|Line_Map'!$A:$A,'_Sys|Line_Map'!$C:$C,"MISSING",0)</f>
        <v/>
      </c>
      <c r="J4043" s="4562">
        <f>XLOOKUP(B4043,'_Sys|Line_Map'!$A:$A,'_Sys|Line_Map'!$D:$D,1,0)</f>
        <v/>
      </c>
      <c r="K4043" s="4562">
        <f>IF(D4043="","",D4043*J4043)</f>
        <v/>
      </c>
      <c r="L4043" s="4562">
        <f>XLOOKUP(B4043,'_Sys|Line_Map'!$A:$A,'_Sys|Line_Map'!$B:$B,"MISSING",0)</f>
        <v/>
      </c>
    </row>
    <row r="4044">
      <c r="A4044" s="4561" t="n"/>
      <c r="B4044" s="4561" t="n"/>
      <c r="C4044" s="4561" t="n"/>
      <c r="D4044" s="4561" t="n"/>
      <c r="E4044" s="4561" t="n"/>
      <c r="F4044" s="4561" t="n"/>
      <c r="G4044" s="4561" t="n"/>
      <c r="H4044" s="4561" t="n"/>
      <c r="I4044" s="4562">
        <f>XLOOKUP(B4044,'_Sys|Line_Map'!$A:$A,'_Sys|Line_Map'!$C:$C,"MISSING",0)</f>
        <v/>
      </c>
      <c r="J4044" s="4562">
        <f>XLOOKUP(B4044,'_Sys|Line_Map'!$A:$A,'_Sys|Line_Map'!$D:$D,1,0)</f>
        <v/>
      </c>
      <c r="K4044" s="4562">
        <f>IF(D4044="","",D4044*J4044)</f>
        <v/>
      </c>
      <c r="L4044" s="4562">
        <f>XLOOKUP(B4044,'_Sys|Line_Map'!$A:$A,'_Sys|Line_Map'!$B:$B,"MISSING",0)</f>
        <v/>
      </c>
    </row>
    <row r="4045">
      <c r="A4045" s="4561" t="n"/>
      <c r="B4045" s="4561" t="n"/>
      <c r="C4045" s="4561" t="n"/>
      <c r="D4045" s="4561" t="n"/>
      <c r="E4045" s="4561" t="n"/>
      <c r="F4045" s="4561" t="n"/>
      <c r="G4045" s="4561" t="n"/>
      <c r="H4045" s="4561" t="n"/>
      <c r="I4045" s="4562">
        <f>XLOOKUP(B4045,'_Sys|Line_Map'!$A:$A,'_Sys|Line_Map'!$C:$C,"MISSING",0)</f>
        <v/>
      </c>
      <c r="J4045" s="4562">
        <f>XLOOKUP(B4045,'_Sys|Line_Map'!$A:$A,'_Sys|Line_Map'!$D:$D,1,0)</f>
        <v/>
      </c>
      <c r="K4045" s="4562">
        <f>IF(D4045="","",D4045*J4045)</f>
        <v/>
      </c>
      <c r="L4045" s="4562">
        <f>XLOOKUP(B4045,'_Sys|Line_Map'!$A:$A,'_Sys|Line_Map'!$B:$B,"MISSING",0)</f>
        <v/>
      </c>
    </row>
    <row r="4046">
      <c r="A4046" s="4561" t="n"/>
      <c r="B4046" s="4561" t="n"/>
      <c r="C4046" s="4561" t="n"/>
      <c r="D4046" s="4561" t="n"/>
      <c r="E4046" s="4561" t="n"/>
      <c r="F4046" s="4561" t="n"/>
      <c r="G4046" s="4561" t="n"/>
      <c r="H4046" s="4561" t="n"/>
      <c r="I4046" s="4562">
        <f>XLOOKUP(B4046,'_Sys|Line_Map'!$A:$A,'_Sys|Line_Map'!$C:$C,"MISSING",0)</f>
        <v/>
      </c>
      <c r="J4046" s="4562">
        <f>XLOOKUP(B4046,'_Sys|Line_Map'!$A:$A,'_Sys|Line_Map'!$D:$D,1,0)</f>
        <v/>
      </c>
      <c r="K4046" s="4562">
        <f>IF(D4046="","",D4046*J4046)</f>
        <v/>
      </c>
      <c r="L4046" s="4562">
        <f>XLOOKUP(B4046,'_Sys|Line_Map'!$A:$A,'_Sys|Line_Map'!$B:$B,"MISSING",0)</f>
        <v/>
      </c>
    </row>
    <row r="4047">
      <c r="A4047" s="4561" t="n"/>
      <c r="B4047" s="4561" t="n"/>
      <c r="C4047" s="4561" t="n"/>
      <c r="D4047" s="4561" t="n"/>
      <c r="E4047" s="4561" t="n"/>
      <c r="F4047" s="4561" t="n"/>
      <c r="G4047" s="4561" t="n"/>
      <c r="H4047" s="4561" t="n"/>
      <c r="I4047" s="4562">
        <f>XLOOKUP(B4047,'_Sys|Line_Map'!$A:$A,'_Sys|Line_Map'!$C:$C,"MISSING",0)</f>
        <v/>
      </c>
      <c r="J4047" s="4562">
        <f>XLOOKUP(B4047,'_Sys|Line_Map'!$A:$A,'_Sys|Line_Map'!$D:$D,1,0)</f>
        <v/>
      </c>
      <c r="K4047" s="4562">
        <f>IF(D4047="","",D4047*J4047)</f>
        <v/>
      </c>
      <c r="L4047" s="4562">
        <f>XLOOKUP(B4047,'_Sys|Line_Map'!$A:$A,'_Sys|Line_Map'!$B:$B,"MISSING",0)</f>
        <v/>
      </c>
    </row>
    <row r="4048">
      <c r="A4048" s="4561" t="n"/>
      <c r="B4048" s="4561" t="n"/>
      <c r="C4048" s="4561" t="n"/>
      <c r="D4048" s="4561" t="n"/>
      <c r="E4048" s="4561" t="n"/>
      <c r="F4048" s="4561" t="n"/>
      <c r="G4048" s="4561" t="n"/>
      <c r="H4048" s="4561" t="n"/>
      <c r="I4048" s="4562">
        <f>XLOOKUP(B4048,'_Sys|Line_Map'!$A:$A,'_Sys|Line_Map'!$C:$C,"MISSING",0)</f>
        <v/>
      </c>
      <c r="J4048" s="4562">
        <f>XLOOKUP(B4048,'_Sys|Line_Map'!$A:$A,'_Sys|Line_Map'!$D:$D,1,0)</f>
        <v/>
      </c>
      <c r="K4048" s="4562">
        <f>IF(D4048="","",D4048*J4048)</f>
        <v/>
      </c>
      <c r="L4048" s="4562">
        <f>XLOOKUP(B4048,'_Sys|Line_Map'!$A:$A,'_Sys|Line_Map'!$B:$B,"MISSING",0)</f>
        <v/>
      </c>
    </row>
    <row r="4049">
      <c r="A4049" s="4561" t="n"/>
      <c r="B4049" s="4561" t="n"/>
      <c r="C4049" s="4561" t="n"/>
      <c r="D4049" s="4561" t="n"/>
      <c r="E4049" s="4561" t="n"/>
      <c r="F4049" s="4561" t="n"/>
      <c r="G4049" s="4561" t="n"/>
      <c r="H4049" s="4561" t="n"/>
      <c r="I4049" s="4562">
        <f>XLOOKUP(B4049,'_Sys|Line_Map'!$A:$A,'_Sys|Line_Map'!$C:$C,"MISSING",0)</f>
        <v/>
      </c>
      <c r="J4049" s="4562">
        <f>XLOOKUP(B4049,'_Sys|Line_Map'!$A:$A,'_Sys|Line_Map'!$D:$D,1,0)</f>
        <v/>
      </c>
      <c r="K4049" s="4562">
        <f>IF(D4049="","",D4049*J4049)</f>
        <v/>
      </c>
      <c r="L4049" s="4562">
        <f>XLOOKUP(B4049,'_Sys|Line_Map'!$A:$A,'_Sys|Line_Map'!$B:$B,"MISSING",0)</f>
        <v/>
      </c>
    </row>
    <row r="4050">
      <c r="A4050" s="4561" t="n"/>
      <c r="B4050" s="4561" t="n"/>
      <c r="C4050" s="4561" t="n"/>
      <c r="D4050" s="4561" t="n"/>
      <c r="E4050" s="4561" t="n"/>
      <c r="F4050" s="4561" t="n"/>
      <c r="G4050" s="4561" t="n"/>
      <c r="H4050" s="4561" t="n"/>
      <c r="I4050" s="4562">
        <f>XLOOKUP(B4050,'_Sys|Line_Map'!$A:$A,'_Sys|Line_Map'!$C:$C,"MISSING",0)</f>
        <v/>
      </c>
      <c r="J4050" s="4562">
        <f>XLOOKUP(B4050,'_Sys|Line_Map'!$A:$A,'_Sys|Line_Map'!$D:$D,1,0)</f>
        <v/>
      </c>
      <c r="K4050" s="4562">
        <f>IF(D4050="","",D4050*J4050)</f>
        <v/>
      </c>
      <c r="L4050" s="4562">
        <f>XLOOKUP(B4050,'_Sys|Line_Map'!$A:$A,'_Sys|Line_Map'!$B:$B,"MISSING",0)</f>
        <v/>
      </c>
    </row>
    <row r="4051">
      <c r="A4051" s="4561" t="n"/>
      <c r="B4051" s="4561" t="n"/>
      <c r="C4051" s="4561" t="n"/>
      <c r="D4051" s="4561" t="n"/>
      <c r="E4051" s="4561" t="n"/>
      <c r="F4051" s="4561" t="n"/>
      <c r="G4051" s="4561" t="n"/>
      <c r="H4051" s="4561" t="n"/>
      <c r="I4051" s="4562">
        <f>XLOOKUP(B4051,'_Sys|Line_Map'!$A:$A,'_Sys|Line_Map'!$C:$C,"MISSING",0)</f>
        <v/>
      </c>
      <c r="J4051" s="4562">
        <f>XLOOKUP(B4051,'_Sys|Line_Map'!$A:$A,'_Sys|Line_Map'!$D:$D,1,0)</f>
        <v/>
      </c>
      <c r="K4051" s="4562">
        <f>IF(D4051="","",D4051*J4051)</f>
        <v/>
      </c>
      <c r="L4051" s="4562">
        <f>XLOOKUP(B4051,'_Sys|Line_Map'!$A:$A,'_Sys|Line_Map'!$B:$B,"MISSING",0)</f>
        <v/>
      </c>
    </row>
    <row r="4052">
      <c r="A4052" s="4561" t="n"/>
      <c r="B4052" s="4561" t="n"/>
      <c r="C4052" s="4561" t="n"/>
      <c r="D4052" s="4561" t="n"/>
      <c r="E4052" s="4561" t="n"/>
      <c r="F4052" s="4561" t="n"/>
      <c r="G4052" s="4561" t="n"/>
      <c r="H4052" s="4561" t="n"/>
      <c r="I4052" s="4562">
        <f>XLOOKUP(B4052,'_Sys|Line_Map'!$A:$A,'_Sys|Line_Map'!$C:$C,"MISSING",0)</f>
        <v/>
      </c>
      <c r="J4052" s="4562">
        <f>XLOOKUP(B4052,'_Sys|Line_Map'!$A:$A,'_Sys|Line_Map'!$D:$D,1,0)</f>
        <v/>
      </c>
      <c r="K4052" s="4562">
        <f>IF(D4052="","",D4052*J4052)</f>
        <v/>
      </c>
      <c r="L4052" s="4562">
        <f>XLOOKUP(B4052,'_Sys|Line_Map'!$A:$A,'_Sys|Line_Map'!$B:$B,"MISSING",0)</f>
        <v/>
      </c>
    </row>
    <row r="4053">
      <c r="A4053" s="4561" t="n"/>
      <c r="B4053" s="4561" t="n"/>
      <c r="C4053" s="4561" t="n"/>
      <c r="D4053" s="4561" t="n"/>
      <c r="E4053" s="4561" t="n"/>
      <c r="F4053" s="4561" t="n"/>
      <c r="G4053" s="4561" t="n"/>
      <c r="H4053" s="4561" t="n"/>
      <c r="I4053" s="4562">
        <f>XLOOKUP(B4053,'_Sys|Line_Map'!$A:$A,'_Sys|Line_Map'!$C:$C,"MISSING",0)</f>
        <v/>
      </c>
      <c r="J4053" s="4562">
        <f>XLOOKUP(B4053,'_Sys|Line_Map'!$A:$A,'_Sys|Line_Map'!$D:$D,1,0)</f>
        <v/>
      </c>
      <c r="K4053" s="4562">
        <f>IF(D4053="","",D4053*J4053)</f>
        <v/>
      </c>
      <c r="L4053" s="4562">
        <f>XLOOKUP(B4053,'_Sys|Line_Map'!$A:$A,'_Sys|Line_Map'!$B:$B,"MISSING",0)</f>
        <v/>
      </c>
    </row>
    <row r="4054">
      <c r="A4054" s="4561" t="n"/>
      <c r="B4054" s="4561" t="n"/>
      <c r="C4054" s="4561" t="n"/>
      <c r="D4054" s="4561" t="n"/>
      <c r="E4054" s="4561" t="n"/>
      <c r="F4054" s="4561" t="n"/>
      <c r="G4054" s="4561" t="n"/>
      <c r="H4054" s="4561" t="n"/>
      <c r="I4054" s="4562">
        <f>XLOOKUP(B4054,'_Sys|Line_Map'!$A:$A,'_Sys|Line_Map'!$C:$C,"MISSING",0)</f>
        <v/>
      </c>
      <c r="J4054" s="4562">
        <f>XLOOKUP(B4054,'_Sys|Line_Map'!$A:$A,'_Sys|Line_Map'!$D:$D,1,0)</f>
        <v/>
      </c>
      <c r="K4054" s="4562">
        <f>IF(D4054="","",D4054*J4054)</f>
        <v/>
      </c>
      <c r="L4054" s="4562">
        <f>XLOOKUP(B4054,'_Sys|Line_Map'!$A:$A,'_Sys|Line_Map'!$B:$B,"MISSING",0)</f>
        <v/>
      </c>
    </row>
    <row r="4055">
      <c r="A4055" s="4561" t="n"/>
      <c r="B4055" s="4561" t="n"/>
      <c r="C4055" s="4561" t="n"/>
      <c r="D4055" s="4561" t="n"/>
      <c r="E4055" s="4561" t="n"/>
      <c r="F4055" s="4561" t="n"/>
      <c r="G4055" s="4561" t="n"/>
      <c r="H4055" s="4561" t="n"/>
      <c r="I4055" s="4562">
        <f>XLOOKUP(B4055,'_Sys|Line_Map'!$A:$A,'_Sys|Line_Map'!$C:$C,"MISSING",0)</f>
        <v/>
      </c>
      <c r="J4055" s="4562">
        <f>XLOOKUP(B4055,'_Sys|Line_Map'!$A:$A,'_Sys|Line_Map'!$D:$D,1,0)</f>
        <v/>
      </c>
      <c r="K4055" s="4562">
        <f>IF(D4055="","",D4055*J4055)</f>
        <v/>
      </c>
      <c r="L4055" s="4562">
        <f>XLOOKUP(B4055,'_Sys|Line_Map'!$A:$A,'_Sys|Line_Map'!$B:$B,"MISSING",0)</f>
        <v/>
      </c>
    </row>
    <row r="4056">
      <c r="A4056" s="4561" t="n"/>
      <c r="B4056" s="4561" t="n"/>
      <c r="C4056" s="4561" t="n"/>
      <c r="D4056" s="4561" t="n"/>
      <c r="E4056" s="4561" t="n"/>
      <c r="F4056" s="4561" t="n"/>
      <c r="G4056" s="4561" t="n"/>
      <c r="H4056" s="4561" t="n"/>
      <c r="I4056" s="4562">
        <f>XLOOKUP(B4056,'_Sys|Line_Map'!$A:$A,'_Sys|Line_Map'!$C:$C,"MISSING",0)</f>
        <v/>
      </c>
      <c r="J4056" s="4562">
        <f>XLOOKUP(B4056,'_Sys|Line_Map'!$A:$A,'_Sys|Line_Map'!$D:$D,1,0)</f>
        <v/>
      </c>
      <c r="K4056" s="4562">
        <f>IF(D4056="","",D4056*J4056)</f>
        <v/>
      </c>
      <c r="L4056" s="4562">
        <f>XLOOKUP(B4056,'_Sys|Line_Map'!$A:$A,'_Sys|Line_Map'!$B:$B,"MISSING",0)</f>
        <v/>
      </c>
    </row>
    <row r="4057">
      <c r="A4057" s="4561" t="n"/>
      <c r="B4057" s="4561" t="n"/>
      <c r="C4057" s="4561" t="n"/>
      <c r="D4057" s="4561" t="n"/>
      <c r="E4057" s="4561" t="n"/>
      <c r="F4057" s="4561" t="n"/>
      <c r="G4057" s="4561" t="n"/>
      <c r="H4057" s="4561" t="n"/>
      <c r="I4057" s="4562">
        <f>XLOOKUP(B4057,'_Sys|Line_Map'!$A:$A,'_Sys|Line_Map'!$C:$C,"MISSING",0)</f>
        <v/>
      </c>
      <c r="J4057" s="4562">
        <f>XLOOKUP(B4057,'_Sys|Line_Map'!$A:$A,'_Sys|Line_Map'!$D:$D,1,0)</f>
        <v/>
      </c>
      <c r="K4057" s="4562">
        <f>IF(D4057="","",D4057*J4057)</f>
        <v/>
      </c>
      <c r="L4057" s="4562">
        <f>XLOOKUP(B4057,'_Sys|Line_Map'!$A:$A,'_Sys|Line_Map'!$B:$B,"MISSING",0)</f>
        <v/>
      </c>
    </row>
    <row r="4058">
      <c r="A4058" s="4561" t="n"/>
      <c r="B4058" s="4561" t="n"/>
      <c r="C4058" s="4561" t="n"/>
      <c r="D4058" s="4561" t="n"/>
      <c r="E4058" s="4561" t="n"/>
      <c r="F4058" s="4561" t="n"/>
      <c r="G4058" s="4561" t="n"/>
      <c r="H4058" s="4561" t="n"/>
      <c r="I4058" s="4562">
        <f>XLOOKUP(B4058,'_Sys|Line_Map'!$A:$A,'_Sys|Line_Map'!$C:$C,"MISSING",0)</f>
        <v/>
      </c>
      <c r="J4058" s="4562">
        <f>XLOOKUP(B4058,'_Sys|Line_Map'!$A:$A,'_Sys|Line_Map'!$D:$D,1,0)</f>
        <v/>
      </c>
      <c r="K4058" s="4562">
        <f>IF(D4058="","",D4058*J4058)</f>
        <v/>
      </c>
      <c r="L4058" s="4562">
        <f>XLOOKUP(B4058,'_Sys|Line_Map'!$A:$A,'_Sys|Line_Map'!$B:$B,"MISSING",0)</f>
        <v/>
      </c>
    </row>
    <row r="4059">
      <c r="A4059" s="4561" t="n"/>
      <c r="B4059" s="4561" t="n"/>
      <c r="C4059" s="4561" t="n"/>
      <c r="D4059" s="4561" t="n"/>
      <c r="E4059" s="4561" t="n"/>
      <c r="F4059" s="4561" t="n"/>
      <c r="G4059" s="4561" t="n"/>
      <c r="H4059" s="4561" t="n"/>
      <c r="I4059" s="4562">
        <f>XLOOKUP(B4059,'_Sys|Line_Map'!$A:$A,'_Sys|Line_Map'!$C:$C,"MISSING",0)</f>
        <v/>
      </c>
      <c r="J4059" s="4562">
        <f>XLOOKUP(B4059,'_Sys|Line_Map'!$A:$A,'_Sys|Line_Map'!$D:$D,1,0)</f>
        <v/>
      </c>
      <c r="K4059" s="4562">
        <f>IF(D4059="","",D4059*J4059)</f>
        <v/>
      </c>
      <c r="L4059" s="4562">
        <f>XLOOKUP(B4059,'_Sys|Line_Map'!$A:$A,'_Sys|Line_Map'!$B:$B,"MISSING",0)</f>
        <v/>
      </c>
    </row>
    <row r="4060">
      <c r="A4060" s="4561" t="n"/>
      <c r="B4060" s="4561" t="n"/>
      <c r="C4060" s="4561" t="n"/>
      <c r="D4060" s="4561" t="n"/>
      <c r="E4060" s="4561" t="n"/>
      <c r="F4060" s="4561" t="n"/>
      <c r="G4060" s="4561" t="n"/>
      <c r="H4060" s="4561" t="n"/>
      <c r="I4060" s="4562">
        <f>XLOOKUP(B4060,'_Sys|Line_Map'!$A:$A,'_Sys|Line_Map'!$C:$C,"MISSING",0)</f>
        <v/>
      </c>
      <c r="J4060" s="4562">
        <f>XLOOKUP(B4060,'_Sys|Line_Map'!$A:$A,'_Sys|Line_Map'!$D:$D,1,0)</f>
        <v/>
      </c>
      <c r="K4060" s="4562">
        <f>IF(D4060="","",D4060*J4060)</f>
        <v/>
      </c>
      <c r="L4060" s="4562">
        <f>XLOOKUP(B4060,'_Sys|Line_Map'!$A:$A,'_Sys|Line_Map'!$B:$B,"MISSING",0)</f>
        <v/>
      </c>
    </row>
    <row r="4061">
      <c r="A4061" s="4561" t="n"/>
      <c r="B4061" s="4561" t="n"/>
      <c r="C4061" s="4561" t="n"/>
      <c r="D4061" s="4561" t="n"/>
      <c r="E4061" s="4561" t="n"/>
      <c r="F4061" s="4561" t="n"/>
      <c r="G4061" s="4561" t="n"/>
      <c r="H4061" s="4561" t="n"/>
      <c r="I4061" s="4562">
        <f>XLOOKUP(B4061,'_Sys|Line_Map'!$A:$A,'_Sys|Line_Map'!$C:$C,"MISSING",0)</f>
        <v/>
      </c>
      <c r="J4061" s="4562">
        <f>XLOOKUP(B4061,'_Sys|Line_Map'!$A:$A,'_Sys|Line_Map'!$D:$D,1,0)</f>
        <v/>
      </c>
      <c r="K4061" s="4562">
        <f>IF(D4061="","",D4061*J4061)</f>
        <v/>
      </c>
      <c r="L4061" s="4562">
        <f>XLOOKUP(B4061,'_Sys|Line_Map'!$A:$A,'_Sys|Line_Map'!$B:$B,"MISSING",0)</f>
        <v/>
      </c>
    </row>
    <row r="4062">
      <c r="A4062" s="4561" t="n"/>
      <c r="B4062" s="4561" t="n"/>
      <c r="C4062" s="4561" t="n"/>
      <c r="D4062" s="4561" t="n"/>
      <c r="E4062" s="4561" t="n"/>
      <c r="F4062" s="4561" t="n"/>
      <c r="G4062" s="4561" t="n"/>
      <c r="H4062" s="4561" t="n"/>
      <c r="I4062" s="4562">
        <f>XLOOKUP(B4062,'_Sys|Line_Map'!$A:$A,'_Sys|Line_Map'!$C:$C,"MISSING",0)</f>
        <v/>
      </c>
      <c r="J4062" s="4562">
        <f>XLOOKUP(B4062,'_Sys|Line_Map'!$A:$A,'_Sys|Line_Map'!$D:$D,1,0)</f>
        <v/>
      </c>
      <c r="K4062" s="4562">
        <f>IF(D4062="","",D4062*J4062)</f>
        <v/>
      </c>
      <c r="L4062" s="4562">
        <f>XLOOKUP(B4062,'_Sys|Line_Map'!$A:$A,'_Sys|Line_Map'!$B:$B,"MISSING",0)</f>
        <v/>
      </c>
    </row>
    <row r="4063">
      <c r="A4063" s="4561" t="n"/>
      <c r="B4063" s="4561" t="n"/>
      <c r="C4063" s="4561" t="n"/>
      <c r="D4063" s="4561" t="n"/>
      <c r="E4063" s="4561" t="n"/>
      <c r="F4063" s="4561" t="n"/>
      <c r="G4063" s="4561" t="n"/>
      <c r="H4063" s="4561" t="n"/>
      <c r="I4063" s="4562">
        <f>XLOOKUP(B4063,'_Sys|Line_Map'!$A:$A,'_Sys|Line_Map'!$C:$C,"MISSING",0)</f>
        <v/>
      </c>
      <c r="J4063" s="4562">
        <f>XLOOKUP(B4063,'_Sys|Line_Map'!$A:$A,'_Sys|Line_Map'!$D:$D,1,0)</f>
        <v/>
      </c>
      <c r="K4063" s="4562">
        <f>IF(D4063="","",D4063*J4063)</f>
        <v/>
      </c>
      <c r="L4063" s="4562">
        <f>XLOOKUP(B4063,'_Sys|Line_Map'!$A:$A,'_Sys|Line_Map'!$B:$B,"MISSING",0)</f>
        <v/>
      </c>
    </row>
    <row r="4064">
      <c r="A4064" s="4561" t="n"/>
      <c r="B4064" s="4561" t="n"/>
      <c r="C4064" s="4561" t="n"/>
      <c r="D4064" s="4561" t="n"/>
      <c r="E4064" s="4561" t="n"/>
      <c r="F4064" s="4561" t="n"/>
      <c r="G4064" s="4561" t="n"/>
      <c r="H4064" s="4561" t="n"/>
      <c r="I4064" s="4562">
        <f>XLOOKUP(B4064,'_Sys|Line_Map'!$A:$A,'_Sys|Line_Map'!$C:$C,"MISSING",0)</f>
        <v/>
      </c>
      <c r="J4064" s="4562">
        <f>XLOOKUP(B4064,'_Sys|Line_Map'!$A:$A,'_Sys|Line_Map'!$D:$D,1,0)</f>
        <v/>
      </c>
      <c r="K4064" s="4562">
        <f>IF(D4064="","",D4064*J4064)</f>
        <v/>
      </c>
      <c r="L4064" s="4562">
        <f>XLOOKUP(B4064,'_Sys|Line_Map'!$A:$A,'_Sys|Line_Map'!$B:$B,"MISSING",0)</f>
        <v/>
      </c>
    </row>
    <row r="4065">
      <c r="A4065" s="4561" t="n"/>
      <c r="B4065" s="4561" t="n"/>
      <c r="C4065" s="4561" t="n"/>
      <c r="D4065" s="4561" t="n"/>
      <c r="E4065" s="4561" t="n"/>
      <c r="F4065" s="4561" t="n"/>
      <c r="G4065" s="4561" t="n"/>
      <c r="H4065" s="4561" t="n"/>
      <c r="I4065" s="4562">
        <f>XLOOKUP(B4065,'_Sys|Line_Map'!$A:$A,'_Sys|Line_Map'!$C:$C,"MISSING",0)</f>
        <v/>
      </c>
      <c r="J4065" s="4562">
        <f>XLOOKUP(B4065,'_Sys|Line_Map'!$A:$A,'_Sys|Line_Map'!$D:$D,1,0)</f>
        <v/>
      </c>
      <c r="K4065" s="4562">
        <f>IF(D4065="","",D4065*J4065)</f>
        <v/>
      </c>
      <c r="L4065" s="4562">
        <f>XLOOKUP(B4065,'_Sys|Line_Map'!$A:$A,'_Sys|Line_Map'!$B:$B,"MISSING",0)</f>
        <v/>
      </c>
    </row>
    <row r="4066">
      <c r="A4066" s="4561" t="n"/>
      <c r="B4066" s="4561" t="n"/>
      <c r="C4066" s="4561" t="n"/>
      <c r="D4066" s="4561" t="n"/>
      <c r="E4066" s="4561" t="n"/>
      <c r="F4066" s="4561" t="n"/>
      <c r="G4066" s="4561" t="n"/>
      <c r="H4066" s="4561" t="n"/>
      <c r="I4066" s="4562">
        <f>XLOOKUP(B4066,'_Sys|Line_Map'!$A:$A,'_Sys|Line_Map'!$C:$C,"MISSING",0)</f>
        <v/>
      </c>
      <c r="J4066" s="4562">
        <f>XLOOKUP(B4066,'_Sys|Line_Map'!$A:$A,'_Sys|Line_Map'!$D:$D,1,0)</f>
        <v/>
      </c>
      <c r="K4066" s="4562">
        <f>IF(D4066="","",D4066*J4066)</f>
        <v/>
      </c>
      <c r="L4066" s="4562">
        <f>XLOOKUP(B4066,'_Sys|Line_Map'!$A:$A,'_Sys|Line_Map'!$B:$B,"MISSING",0)</f>
        <v/>
      </c>
    </row>
    <row r="4067">
      <c r="A4067" s="4561" t="n"/>
      <c r="B4067" s="4561" t="n"/>
      <c r="C4067" s="4561" t="n"/>
      <c r="D4067" s="4561" t="n"/>
      <c r="E4067" s="4561" t="n"/>
      <c r="F4067" s="4561" t="n"/>
      <c r="G4067" s="4561" t="n"/>
      <c r="H4067" s="4561" t="n"/>
      <c r="I4067" s="4562">
        <f>XLOOKUP(B4067,'_Sys|Line_Map'!$A:$A,'_Sys|Line_Map'!$C:$C,"MISSING",0)</f>
        <v/>
      </c>
      <c r="J4067" s="4562">
        <f>XLOOKUP(B4067,'_Sys|Line_Map'!$A:$A,'_Sys|Line_Map'!$D:$D,1,0)</f>
        <v/>
      </c>
      <c r="K4067" s="4562">
        <f>IF(D4067="","",D4067*J4067)</f>
        <v/>
      </c>
      <c r="L4067" s="4562">
        <f>XLOOKUP(B4067,'_Sys|Line_Map'!$A:$A,'_Sys|Line_Map'!$B:$B,"MISSING",0)</f>
        <v/>
      </c>
    </row>
    <row r="4068">
      <c r="A4068" s="4561" t="n"/>
      <c r="B4068" s="4561" t="n"/>
      <c r="C4068" s="4561" t="n"/>
      <c r="D4068" s="4561" t="n"/>
      <c r="E4068" s="4561" t="n"/>
      <c r="F4068" s="4561" t="n"/>
      <c r="G4068" s="4561" t="n"/>
      <c r="H4068" s="4561" t="n"/>
      <c r="I4068" s="4562">
        <f>XLOOKUP(B4068,'_Sys|Line_Map'!$A:$A,'_Sys|Line_Map'!$C:$C,"MISSING",0)</f>
        <v/>
      </c>
      <c r="J4068" s="4562">
        <f>XLOOKUP(B4068,'_Sys|Line_Map'!$A:$A,'_Sys|Line_Map'!$D:$D,1,0)</f>
        <v/>
      </c>
      <c r="K4068" s="4562">
        <f>IF(D4068="","",D4068*J4068)</f>
        <v/>
      </c>
      <c r="L4068" s="4562">
        <f>XLOOKUP(B4068,'_Sys|Line_Map'!$A:$A,'_Sys|Line_Map'!$B:$B,"MISSING",0)</f>
        <v/>
      </c>
    </row>
    <row r="4069">
      <c r="A4069" s="4561" t="n"/>
      <c r="B4069" s="4561" t="n"/>
      <c r="C4069" s="4561" t="n"/>
      <c r="D4069" s="4561" t="n"/>
      <c r="E4069" s="4561" t="n"/>
      <c r="F4069" s="4561" t="n"/>
      <c r="G4069" s="4561" t="n"/>
      <c r="H4069" s="4561" t="n"/>
      <c r="I4069" s="4562">
        <f>XLOOKUP(B4069,'_Sys|Line_Map'!$A:$A,'_Sys|Line_Map'!$C:$C,"MISSING",0)</f>
        <v/>
      </c>
      <c r="J4069" s="4562">
        <f>XLOOKUP(B4069,'_Sys|Line_Map'!$A:$A,'_Sys|Line_Map'!$D:$D,1,0)</f>
        <v/>
      </c>
      <c r="K4069" s="4562">
        <f>IF(D4069="","",D4069*J4069)</f>
        <v/>
      </c>
      <c r="L4069" s="4562">
        <f>XLOOKUP(B4069,'_Sys|Line_Map'!$A:$A,'_Sys|Line_Map'!$B:$B,"MISSING",0)</f>
        <v/>
      </c>
    </row>
    <row r="4070">
      <c r="A4070" s="4561" t="n"/>
      <c r="B4070" s="4561" t="n"/>
      <c r="C4070" s="4561" t="n"/>
      <c r="D4070" s="4561" t="n"/>
      <c r="E4070" s="4561" t="n"/>
      <c r="F4070" s="4561" t="n"/>
      <c r="G4070" s="4561" t="n"/>
      <c r="H4070" s="4561" t="n"/>
      <c r="I4070" s="4562">
        <f>XLOOKUP(B4070,'_Sys|Line_Map'!$A:$A,'_Sys|Line_Map'!$C:$C,"MISSING",0)</f>
        <v/>
      </c>
      <c r="J4070" s="4562">
        <f>XLOOKUP(B4070,'_Sys|Line_Map'!$A:$A,'_Sys|Line_Map'!$D:$D,1,0)</f>
        <v/>
      </c>
      <c r="K4070" s="4562">
        <f>IF(D4070="","",D4070*J4070)</f>
        <v/>
      </c>
      <c r="L4070" s="4562">
        <f>XLOOKUP(B4070,'_Sys|Line_Map'!$A:$A,'_Sys|Line_Map'!$B:$B,"MISSING",0)</f>
        <v/>
      </c>
    </row>
    <row r="4071">
      <c r="A4071" s="4561" t="n"/>
      <c r="B4071" s="4561" t="n"/>
      <c r="C4071" s="4561" t="n"/>
      <c r="D4071" s="4561" t="n"/>
      <c r="E4071" s="4561" t="n"/>
      <c r="F4071" s="4561" t="n"/>
      <c r="G4071" s="4561" t="n"/>
      <c r="H4071" s="4561" t="n"/>
      <c r="I4071" s="4562">
        <f>XLOOKUP(B4071,'_Sys|Line_Map'!$A:$A,'_Sys|Line_Map'!$C:$C,"MISSING",0)</f>
        <v/>
      </c>
      <c r="J4071" s="4562">
        <f>XLOOKUP(B4071,'_Sys|Line_Map'!$A:$A,'_Sys|Line_Map'!$D:$D,1,0)</f>
        <v/>
      </c>
      <c r="K4071" s="4562">
        <f>IF(D4071="","",D4071*J4071)</f>
        <v/>
      </c>
      <c r="L4071" s="4562">
        <f>XLOOKUP(B4071,'_Sys|Line_Map'!$A:$A,'_Sys|Line_Map'!$B:$B,"MISSING",0)</f>
        <v/>
      </c>
    </row>
    <row r="4072">
      <c r="A4072" s="4561" t="n"/>
      <c r="B4072" s="4561" t="n"/>
      <c r="C4072" s="4561" t="n"/>
      <c r="D4072" s="4561" t="n"/>
      <c r="E4072" s="4561" t="n"/>
      <c r="F4072" s="4561" t="n"/>
      <c r="G4072" s="4561" t="n"/>
      <c r="H4072" s="4561" t="n"/>
      <c r="I4072" s="4562">
        <f>XLOOKUP(B4072,'_Sys|Line_Map'!$A:$A,'_Sys|Line_Map'!$C:$C,"MISSING",0)</f>
        <v/>
      </c>
      <c r="J4072" s="4562">
        <f>XLOOKUP(B4072,'_Sys|Line_Map'!$A:$A,'_Sys|Line_Map'!$D:$D,1,0)</f>
        <v/>
      </c>
      <c r="K4072" s="4562">
        <f>IF(D4072="","",D4072*J4072)</f>
        <v/>
      </c>
      <c r="L4072" s="4562">
        <f>XLOOKUP(B4072,'_Sys|Line_Map'!$A:$A,'_Sys|Line_Map'!$B:$B,"MISSING",0)</f>
        <v/>
      </c>
    </row>
    <row r="4073">
      <c r="A4073" s="4561" t="n"/>
      <c r="B4073" s="4561" t="n"/>
      <c r="C4073" s="4561" t="n"/>
      <c r="D4073" s="4561" t="n"/>
      <c r="E4073" s="4561" t="n"/>
      <c r="F4073" s="4561" t="n"/>
      <c r="G4073" s="4561" t="n"/>
      <c r="H4073" s="4561" t="n"/>
      <c r="I4073" s="4562">
        <f>XLOOKUP(B4073,'_Sys|Line_Map'!$A:$A,'_Sys|Line_Map'!$C:$C,"MISSING",0)</f>
        <v/>
      </c>
      <c r="J4073" s="4562">
        <f>XLOOKUP(B4073,'_Sys|Line_Map'!$A:$A,'_Sys|Line_Map'!$D:$D,1,0)</f>
        <v/>
      </c>
      <c r="K4073" s="4562">
        <f>IF(D4073="","",D4073*J4073)</f>
        <v/>
      </c>
      <c r="L4073" s="4562">
        <f>XLOOKUP(B4073,'_Sys|Line_Map'!$A:$A,'_Sys|Line_Map'!$B:$B,"MISSING",0)</f>
        <v/>
      </c>
    </row>
    <row r="4074">
      <c r="A4074" s="4561" t="n"/>
      <c r="B4074" s="4561" t="n"/>
      <c r="C4074" s="4561" t="n"/>
      <c r="D4074" s="4561" t="n"/>
      <c r="E4074" s="4561" t="n"/>
      <c r="F4074" s="4561" t="n"/>
      <c r="G4074" s="4561" t="n"/>
      <c r="H4074" s="4561" t="n"/>
      <c r="I4074" s="4562">
        <f>XLOOKUP(B4074,'_Sys|Line_Map'!$A:$A,'_Sys|Line_Map'!$C:$C,"MISSING",0)</f>
        <v/>
      </c>
      <c r="J4074" s="4562">
        <f>XLOOKUP(B4074,'_Sys|Line_Map'!$A:$A,'_Sys|Line_Map'!$D:$D,1,0)</f>
        <v/>
      </c>
      <c r="K4074" s="4562">
        <f>IF(D4074="","",D4074*J4074)</f>
        <v/>
      </c>
      <c r="L4074" s="4562">
        <f>XLOOKUP(B4074,'_Sys|Line_Map'!$A:$A,'_Sys|Line_Map'!$B:$B,"MISSING",0)</f>
        <v/>
      </c>
    </row>
    <row r="4075">
      <c r="A4075" s="4561" t="n"/>
      <c r="B4075" s="4561" t="n"/>
      <c r="C4075" s="4561" t="n"/>
      <c r="D4075" s="4561" t="n"/>
      <c r="E4075" s="4561" t="n"/>
      <c r="F4075" s="4561" t="n"/>
      <c r="G4075" s="4561" t="n"/>
      <c r="H4075" s="4561" t="n"/>
      <c r="I4075" s="4562">
        <f>XLOOKUP(B4075,'_Sys|Line_Map'!$A:$A,'_Sys|Line_Map'!$C:$C,"MISSING",0)</f>
        <v/>
      </c>
      <c r="J4075" s="4562">
        <f>XLOOKUP(B4075,'_Sys|Line_Map'!$A:$A,'_Sys|Line_Map'!$D:$D,1,0)</f>
        <v/>
      </c>
      <c r="K4075" s="4562">
        <f>IF(D4075="","",D4075*J4075)</f>
        <v/>
      </c>
      <c r="L4075" s="4562">
        <f>XLOOKUP(B4075,'_Sys|Line_Map'!$A:$A,'_Sys|Line_Map'!$B:$B,"MISSING",0)</f>
        <v/>
      </c>
    </row>
    <row r="4076">
      <c r="A4076" s="4561" t="n"/>
      <c r="B4076" s="4561" t="n"/>
      <c r="C4076" s="4561" t="n"/>
      <c r="D4076" s="4561" t="n"/>
      <c r="E4076" s="4561" t="n"/>
      <c r="F4076" s="4561" t="n"/>
      <c r="G4076" s="4561" t="n"/>
      <c r="H4076" s="4561" t="n"/>
      <c r="I4076" s="4562">
        <f>XLOOKUP(B4076,'_Sys|Line_Map'!$A:$A,'_Sys|Line_Map'!$C:$C,"MISSING",0)</f>
        <v/>
      </c>
      <c r="J4076" s="4562">
        <f>XLOOKUP(B4076,'_Sys|Line_Map'!$A:$A,'_Sys|Line_Map'!$D:$D,1,0)</f>
        <v/>
      </c>
      <c r="K4076" s="4562">
        <f>IF(D4076="","",D4076*J4076)</f>
        <v/>
      </c>
      <c r="L4076" s="4562">
        <f>XLOOKUP(B4076,'_Sys|Line_Map'!$A:$A,'_Sys|Line_Map'!$B:$B,"MISSING",0)</f>
        <v/>
      </c>
    </row>
    <row r="4077">
      <c r="A4077" s="4561" t="n"/>
      <c r="B4077" s="4561" t="n"/>
      <c r="C4077" s="4561" t="n"/>
      <c r="D4077" s="4561" t="n"/>
      <c r="E4077" s="4561" t="n"/>
      <c r="F4077" s="4561" t="n"/>
      <c r="G4077" s="4561" t="n"/>
      <c r="H4077" s="4561" t="n"/>
      <c r="I4077" s="4562">
        <f>XLOOKUP(B4077,'_Sys|Line_Map'!$A:$A,'_Sys|Line_Map'!$C:$C,"MISSING",0)</f>
        <v/>
      </c>
      <c r="J4077" s="4562">
        <f>XLOOKUP(B4077,'_Sys|Line_Map'!$A:$A,'_Sys|Line_Map'!$D:$D,1,0)</f>
        <v/>
      </c>
      <c r="K4077" s="4562">
        <f>IF(D4077="","",D4077*J4077)</f>
        <v/>
      </c>
      <c r="L4077" s="4562">
        <f>XLOOKUP(B4077,'_Sys|Line_Map'!$A:$A,'_Sys|Line_Map'!$B:$B,"MISSING",0)</f>
        <v/>
      </c>
    </row>
    <row r="4078">
      <c r="A4078" s="4561" t="n"/>
      <c r="B4078" s="4561" t="n"/>
      <c r="C4078" s="4561" t="n"/>
      <c r="D4078" s="4561" t="n"/>
      <c r="E4078" s="4561" t="n"/>
      <c r="F4078" s="4561" t="n"/>
      <c r="G4078" s="4561" t="n"/>
      <c r="H4078" s="4561" t="n"/>
      <c r="I4078" s="4562">
        <f>XLOOKUP(B4078,'_Sys|Line_Map'!$A:$A,'_Sys|Line_Map'!$C:$C,"MISSING",0)</f>
        <v/>
      </c>
      <c r="J4078" s="4562">
        <f>XLOOKUP(B4078,'_Sys|Line_Map'!$A:$A,'_Sys|Line_Map'!$D:$D,1,0)</f>
        <v/>
      </c>
      <c r="K4078" s="4562">
        <f>IF(D4078="","",D4078*J4078)</f>
        <v/>
      </c>
      <c r="L4078" s="4562">
        <f>XLOOKUP(B4078,'_Sys|Line_Map'!$A:$A,'_Sys|Line_Map'!$B:$B,"MISSING",0)</f>
        <v/>
      </c>
    </row>
    <row r="4079">
      <c r="A4079" s="4561" t="n"/>
      <c r="B4079" s="4561" t="n"/>
      <c r="C4079" s="4561" t="n"/>
      <c r="D4079" s="4561" t="n"/>
      <c r="E4079" s="4561" t="n"/>
      <c r="F4079" s="4561" t="n"/>
      <c r="G4079" s="4561" t="n"/>
      <c r="H4079" s="4561" t="n"/>
      <c r="I4079" s="4562">
        <f>XLOOKUP(B4079,'_Sys|Line_Map'!$A:$A,'_Sys|Line_Map'!$C:$C,"MISSING",0)</f>
        <v/>
      </c>
      <c r="J4079" s="4562">
        <f>XLOOKUP(B4079,'_Sys|Line_Map'!$A:$A,'_Sys|Line_Map'!$D:$D,1,0)</f>
        <v/>
      </c>
      <c r="K4079" s="4562">
        <f>IF(D4079="","",D4079*J4079)</f>
        <v/>
      </c>
      <c r="L4079" s="4562">
        <f>XLOOKUP(B4079,'_Sys|Line_Map'!$A:$A,'_Sys|Line_Map'!$B:$B,"MISSING",0)</f>
        <v/>
      </c>
    </row>
    <row r="4080">
      <c r="A4080" s="4561" t="n"/>
      <c r="B4080" s="4561" t="n"/>
      <c r="C4080" s="4561" t="n"/>
      <c r="D4080" s="4561" t="n"/>
      <c r="E4080" s="4561" t="n"/>
      <c r="F4080" s="4561" t="n"/>
      <c r="G4080" s="4561" t="n"/>
      <c r="H4080" s="4561" t="n"/>
      <c r="I4080" s="4562">
        <f>XLOOKUP(B4080,'_Sys|Line_Map'!$A:$A,'_Sys|Line_Map'!$C:$C,"MISSING",0)</f>
        <v/>
      </c>
      <c r="J4080" s="4562">
        <f>XLOOKUP(B4080,'_Sys|Line_Map'!$A:$A,'_Sys|Line_Map'!$D:$D,1,0)</f>
        <v/>
      </c>
      <c r="K4080" s="4562">
        <f>IF(D4080="","",D4080*J4080)</f>
        <v/>
      </c>
      <c r="L4080" s="4562">
        <f>XLOOKUP(B4080,'_Sys|Line_Map'!$A:$A,'_Sys|Line_Map'!$B:$B,"MISSING",0)</f>
        <v/>
      </c>
    </row>
    <row r="4081">
      <c r="A4081" s="4561" t="n"/>
      <c r="B4081" s="4561" t="n"/>
      <c r="C4081" s="4561" t="n"/>
      <c r="D4081" s="4561" t="n"/>
      <c r="E4081" s="4561" t="n"/>
      <c r="F4081" s="4561" t="n"/>
      <c r="G4081" s="4561" t="n"/>
      <c r="H4081" s="4561" t="n"/>
      <c r="I4081" s="4562">
        <f>XLOOKUP(B4081,'_Sys|Line_Map'!$A:$A,'_Sys|Line_Map'!$C:$C,"MISSING",0)</f>
        <v/>
      </c>
      <c r="J4081" s="4562">
        <f>XLOOKUP(B4081,'_Sys|Line_Map'!$A:$A,'_Sys|Line_Map'!$D:$D,1,0)</f>
        <v/>
      </c>
      <c r="K4081" s="4562">
        <f>IF(D4081="","",D4081*J4081)</f>
        <v/>
      </c>
      <c r="L4081" s="4562">
        <f>XLOOKUP(B4081,'_Sys|Line_Map'!$A:$A,'_Sys|Line_Map'!$B:$B,"MISSING",0)</f>
        <v/>
      </c>
    </row>
    <row r="4082">
      <c r="A4082" s="4561" t="n"/>
      <c r="B4082" s="4561" t="n"/>
      <c r="C4082" s="4561" t="n"/>
      <c r="D4082" s="4561" t="n"/>
      <c r="E4082" s="4561" t="n"/>
      <c r="F4082" s="4561" t="n"/>
      <c r="G4082" s="4561" t="n"/>
      <c r="H4082" s="4561" t="n"/>
      <c r="I4082" s="4562">
        <f>XLOOKUP(B4082,'_Sys|Line_Map'!$A:$A,'_Sys|Line_Map'!$C:$C,"MISSING",0)</f>
        <v/>
      </c>
      <c r="J4082" s="4562">
        <f>XLOOKUP(B4082,'_Sys|Line_Map'!$A:$A,'_Sys|Line_Map'!$D:$D,1,0)</f>
        <v/>
      </c>
      <c r="K4082" s="4562">
        <f>IF(D4082="","",D4082*J4082)</f>
        <v/>
      </c>
      <c r="L4082" s="4562">
        <f>XLOOKUP(B4082,'_Sys|Line_Map'!$A:$A,'_Sys|Line_Map'!$B:$B,"MISSING",0)</f>
        <v/>
      </c>
    </row>
    <row r="4083">
      <c r="A4083" s="4561" t="n"/>
      <c r="B4083" s="4561" t="n"/>
      <c r="C4083" s="4561" t="n"/>
      <c r="D4083" s="4561" t="n"/>
      <c r="E4083" s="4561" t="n"/>
      <c r="F4083" s="4561" t="n"/>
      <c r="G4083" s="4561" t="n"/>
      <c r="H4083" s="4561" t="n"/>
      <c r="I4083" s="4562">
        <f>XLOOKUP(B4083,'_Sys|Line_Map'!$A:$A,'_Sys|Line_Map'!$C:$C,"MISSING",0)</f>
        <v/>
      </c>
      <c r="J4083" s="4562">
        <f>XLOOKUP(B4083,'_Sys|Line_Map'!$A:$A,'_Sys|Line_Map'!$D:$D,1,0)</f>
        <v/>
      </c>
      <c r="K4083" s="4562">
        <f>IF(D4083="","",D4083*J4083)</f>
        <v/>
      </c>
      <c r="L4083" s="4562">
        <f>XLOOKUP(B4083,'_Sys|Line_Map'!$A:$A,'_Sys|Line_Map'!$B:$B,"MISSING",0)</f>
        <v/>
      </c>
    </row>
    <row r="4084">
      <c r="A4084" s="4561" t="n"/>
      <c r="B4084" s="4561" t="n"/>
      <c r="C4084" s="4561" t="n"/>
      <c r="D4084" s="4561" t="n"/>
      <c r="E4084" s="4561" t="n"/>
      <c r="F4084" s="4561" t="n"/>
      <c r="G4084" s="4561" t="n"/>
      <c r="H4084" s="4561" t="n"/>
      <c r="I4084" s="4562">
        <f>XLOOKUP(B4084,'_Sys|Line_Map'!$A:$A,'_Sys|Line_Map'!$C:$C,"MISSING",0)</f>
        <v/>
      </c>
      <c r="J4084" s="4562">
        <f>XLOOKUP(B4084,'_Sys|Line_Map'!$A:$A,'_Sys|Line_Map'!$D:$D,1,0)</f>
        <v/>
      </c>
      <c r="K4084" s="4562">
        <f>IF(D4084="","",D4084*J4084)</f>
        <v/>
      </c>
      <c r="L4084" s="4562">
        <f>XLOOKUP(B4084,'_Sys|Line_Map'!$A:$A,'_Sys|Line_Map'!$B:$B,"MISSING",0)</f>
        <v/>
      </c>
    </row>
    <row r="4085">
      <c r="A4085" s="4561" t="n"/>
      <c r="B4085" s="4561" t="n"/>
      <c r="C4085" s="4561" t="n"/>
      <c r="D4085" s="4561" t="n"/>
      <c r="E4085" s="4561" t="n"/>
      <c r="F4085" s="4561" t="n"/>
      <c r="G4085" s="4561" t="n"/>
      <c r="H4085" s="4561" t="n"/>
      <c r="I4085" s="4562">
        <f>XLOOKUP(B4085,'_Sys|Line_Map'!$A:$A,'_Sys|Line_Map'!$C:$C,"MISSING",0)</f>
        <v/>
      </c>
      <c r="J4085" s="4562">
        <f>XLOOKUP(B4085,'_Sys|Line_Map'!$A:$A,'_Sys|Line_Map'!$D:$D,1,0)</f>
        <v/>
      </c>
      <c r="K4085" s="4562">
        <f>IF(D4085="","",D4085*J4085)</f>
        <v/>
      </c>
      <c r="L4085" s="4562">
        <f>XLOOKUP(B4085,'_Sys|Line_Map'!$A:$A,'_Sys|Line_Map'!$B:$B,"MISSING",0)</f>
        <v/>
      </c>
    </row>
    <row r="4086">
      <c r="A4086" s="4561" t="n"/>
      <c r="B4086" s="4561" t="n"/>
      <c r="C4086" s="4561" t="n"/>
      <c r="D4086" s="4561" t="n"/>
      <c r="E4086" s="4561" t="n"/>
      <c r="F4086" s="4561" t="n"/>
      <c r="G4086" s="4561" t="n"/>
      <c r="H4086" s="4561" t="n"/>
      <c r="I4086" s="4562">
        <f>XLOOKUP(B4086,'_Sys|Line_Map'!$A:$A,'_Sys|Line_Map'!$C:$C,"MISSING",0)</f>
        <v/>
      </c>
      <c r="J4086" s="4562">
        <f>XLOOKUP(B4086,'_Sys|Line_Map'!$A:$A,'_Sys|Line_Map'!$D:$D,1,0)</f>
        <v/>
      </c>
      <c r="K4086" s="4562">
        <f>IF(D4086="","",D4086*J4086)</f>
        <v/>
      </c>
      <c r="L4086" s="4562">
        <f>XLOOKUP(B4086,'_Sys|Line_Map'!$A:$A,'_Sys|Line_Map'!$B:$B,"MISSING",0)</f>
        <v/>
      </c>
    </row>
    <row r="4087">
      <c r="A4087" s="4561" t="n"/>
      <c r="B4087" s="4561" t="n"/>
      <c r="C4087" s="4561" t="n"/>
      <c r="D4087" s="4561" t="n"/>
      <c r="E4087" s="4561" t="n"/>
      <c r="F4087" s="4561" t="n"/>
      <c r="G4087" s="4561" t="n"/>
      <c r="H4087" s="4561" t="n"/>
      <c r="I4087" s="4562">
        <f>XLOOKUP(B4087,'_Sys|Line_Map'!$A:$A,'_Sys|Line_Map'!$C:$C,"MISSING",0)</f>
        <v/>
      </c>
      <c r="J4087" s="4562">
        <f>XLOOKUP(B4087,'_Sys|Line_Map'!$A:$A,'_Sys|Line_Map'!$D:$D,1,0)</f>
        <v/>
      </c>
      <c r="K4087" s="4562">
        <f>IF(D4087="","",D4087*J4087)</f>
        <v/>
      </c>
      <c r="L4087" s="4562">
        <f>XLOOKUP(B4087,'_Sys|Line_Map'!$A:$A,'_Sys|Line_Map'!$B:$B,"MISSING",0)</f>
        <v/>
      </c>
    </row>
    <row r="4088">
      <c r="A4088" s="4561" t="n"/>
      <c r="B4088" s="4561" t="n"/>
      <c r="C4088" s="4561" t="n"/>
      <c r="D4088" s="4561" t="n"/>
      <c r="E4088" s="4561" t="n"/>
      <c r="F4088" s="4561" t="n"/>
      <c r="G4088" s="4561" t="n"/>
      <c r="H4088" s="4561" t="n"/>
      <c r="I4088" s="4562">
        <f>XLOOKUP(B4088,'_Sys|Line_Map'!$A:$A,'_Sys|Line_Map'!$C:$C,"MISSING",0)</f>
        <v/>
      </c>
      <c r="J4088" s="4562">
        <f>XLOOKUP(B4088,'_Sys|Line_Map'!$A:$A,'_Sys|Line_Map'!$D:$D,1,0)</f>
        <v/>
      </c>
      <c r="K4088" s="4562">
        <f>IF(D4088="","",D4088*J4088)</f>
        <v/>
      </c>
      <c r="L4088" s="4562">
        <f>XLOOKUP(B4088,'_Sys|Line_Map'!$A:$A,'_Sys|Line_Map'!$B:$B,"MISSING",0)</f>
        <v/>
      </c>
    </row>
    <row r="4089">
      <c r="A4089" s="4561" t="n"/>
      <c r="B4089" s="4561" t="n"/>
      <c r="C4089" s="4561" t="n"/>
      <c r="D4089" s="4561" t="n"/>
      <c r="E4089" s="4561" t="n"/>
      <c r="F4089" s="4561" t="n"/>
      <c r="G4089" s="4561" t="n"/>
      <c r="H4089" s="4561" t="n"/>
      <c r="I4089" s="4562">
        <f>XLOOKUP(B4089,'_Sys|Line_Map'!$A:$A,'_Sys|Line_Map'!$C:$C,"MISSING",0)</f>
        <v/>
      </c>
      <c r="J4089" s="4562">
        <f>XLOOKUP(B4089,'_Sys|Line_Map'!$A:$A,'_Sys|Line_Map'!$D:$D,1,0)</f>
        <v/>
      </c>
      <c r="K4089" s="4562">
        <f>IF(D4089="","",D4089*J4089)</f>
        <v/>
      </c>
      <c r="L4089" s="4562">
        <f>XLOOKUP(B4089,'_Sys|Line_Map'!$A:$A,'_Sys|Line_Map'!$B:$B,"MISSING",0)</f>
        <v/>
      </c>
    </row>
    <row r="4090">
      <c r="A4090" s="4561" t="n"/>
      <c r="B4090" s="4561" t="n"/>
      <c r="C4090" s="4561" t="n"/>
      <c r="D4090" s="4561" t="n"/>
      <c r="E4090" s="4561" t="n"/>
      <c r="F4090" s="4561" t="n"/>
      <c r="G4090" s="4561" t="n"/>
      <c r="H4090" s="4561" t="n"/>
      <c r="I4090" s="4562">
        <f>XLOOKUP(B4090,'_Sys|Line_Map'!$A:$A,'_Sys|Line_Map'!$C:$C,"MISSING",0)</f>
        <v/>
      </c>
      <c r="J4090" s="4562">
        <f>XLOOKUP(B4090,'_Sys|Line_Map'!$A:$A,'_Sys|Line_Map'!$D:$D,1,0)</f>
        <v/>
      </c>
      <c r="K4090" s="4562">
        <f>IF(D4090="","",D4090*J4090)</f>
        <v/>
      </c>
      <c r="L4090" s="4562">
        <f>XLOOKUP(B4090,'_Sys|Line_Map'!$A:$A,'_Sys|Line_Map'!$B:$B,"MISSING",0)</f>
        <v/>
      </c>
    </row>
    <row r="4091">
      <c r="A4091" s="4561" t="n"/>
      <c r="B4091" s="4561" t="n"/>
      <c r="C4091" s="4561" t="n"/>
      <c r="D4091" s="4561" t="n"/>
      <c r="E4091" s="4561" t="n"/>
      <c r="F4091" s="4561" t="n"/>
      <c r="G4091" s="4561" t="n"/>
      <c r="H4091" s="4561" t="n"/>
      <c r="I4091" s="4562">
        <f>XLOOKUP(B4091,'_Sys|Line_Map'!$A:$A,'_Sys|Line_Map'!$C:$C,"MISSING",0)</f>
        <v/>
      </c>
      <c r="J4091" s="4562">
        <f>XLOOKUP(B4091,'_Sys|Line_Map'!$A:$A,'_Sys|Line_Map'!$D:$D,1,0)</f>
        <v/>
      </c>
      <c r="K4091" s="4562">
        <f>IF(D4091="","",D4091*J4091)</f>
        <v/>
      </c>
      <c r="L4091" s="4562">
        <f>XLOOKUP(B4091,'_Sys|Line_Map'!$A:$A,'_Sys|Line_Map'!$B:$B,"MISSING",0)</f>
        <v/>
      </c>
    </row>
    <row r="4092">
      <c r="A4092" s="4561" t="n"/>
      <c r="B4092" s="4561" t="n"/>
      <c r="C4092" s="4561" t="n"/>
      <c r="D4092" s="4561" t="n"/>
      <c r="E4092" s="4561" t="n"/>
      <c r="F4092" s="4561" t="n"/>
      <c r="G4092" s="4561" t="n"/>
      <c r="H4092" s="4561" t="n"/>
      <c r="I4092" s="4562">
        <f>XLOOKUP(B4092,'_Sys|Line_Map'!$A:$A,'_Sys|Line_Map'!$C:$C,"MISSING",0)</f>
        <v/>
      </c>
      <c r="J4092" s="4562">
        <f>XLOOKUP(B4092,'_Sys|Line_Map'!$A:$A,'_Sys|Line_Map'!$D:$D,1,0)</f>
        <v/>
      </c>
      <c r="K4092" s="4562">
        <f>IF(D4092="","",D4092*J4092)</f>
        <v/>
      </c>
      <c r="L4092" s="4562">
        <f>XLOOKUP(B4092,'_Sys|Line_Map'!$A:$A,'_Sys|Line_Map'!$B:$B,"MISSING",0)</f>
        <v/>
      </c>
    </row>
    <row r="4093">
      <c r="A4093" s="4561" t="n"/>
      <c r="B4093" s="4561" t="n"/>
      <c r="C4093" s="4561" t="n"/>
      <c r="D4093" s="4561" t="n"/>
      <c r="E4093" s="4561" t="n"/>
      <c r="F4093" s="4561" t="n"/>
      <c r="G4093" s="4561" t="n"/>
      <c r="H4093" s="4561" t="n"/>
      <c r="I4093" s="4562">
        <f>XLOOKUP(B4093,'_Sys|Line_Map'!$A:$A,'_Sys|Line_Map'!$C:$C,"MISSING",0)</f>
        <v/>
      </c>
      <c r="J4093" s="4562">
        <f>XLOOKUP(B4093,'_Sys|Line_Map'!$A:$A,'_Sys|Line_Map'!$D:$D,1,0)</f>
        <v/>
      </c>
      <c r="K4093" s="4562">
        <f>IF(D4093="","",D4093*J4093)</f>
        <v/>
      </c>
      <c r="L4093" s="4562">
        <f>XLOOKUP(B4093,'_Sys|Line_Map'!$A:$A,'_Sys|Line_Map'!$B:$B,"MISSING",0)</f>
        <v/>
      </c>
    </row>
    <row r="4094">
      <c r="A4094" s="4561" t="n"/>
      <c r="B4094" s="4561" t="n"/>
      <c r="C4094" s="4561" t="n"/>
      <c r="D4094" s="4561" t="n"/>
      <c r="E4094" s="4561" t="n"/>
      <c r="F4094" s="4561" t="n"/>
      <c r="G4094" s="4561" t="n"/>
      <c r="H4094" s="4561" t="n"/>
      <c r="I4094" s="4562">
        <f>XLOOKUP(B4094,'_Sys|Line_Map'!$A:$A,'_Sys|Line_Map'!$C:$C,"MISSING",0)</f>
        <v/>
      </c>
      <c r="J4094" s="4562">
        <f>XLOOKUP(B4094,'_Sys|Line_Map'!$A:$A,'_Sys|Line_Map'!$D:$D,1,0)</f>
        <v/>
      </c>
      <c r="K4094" s="4562">
        <f>IF(D4094="","",D4094*J4094)</f>
        <v/>
      </c>
      <c r="L4094" s="4562">
        <f>XLOOKUP(B4094,'_Sys|Line_Map'!$A:$A,'_Sys|Line_Map'!$B:$B,"MISSING",0)</f>
        <v/>
      </c>
    </row>
    <row r="4095">
      <c r="A4095" s="4561" t="n"/>
      <c r="B4095" s="4561" t="n"/>
      <c r="C4095" s="4561" t="n"/>
      <c r="D4095" s="4561" t="n"/>
      <c r="E4095" s="4561" t="n"/>
      <c r="F4095" s="4561" t="n"/>
      <c r="G4095" s="4561" t="n"/>
      <c r="H4095" s="4561" t="n"/>
      <c r="I4095" s="4562">
        <f>XLOOKUP(B4095,'_Sys|Line_Map'!$A:$A,'_Sys|Line_Map'!$C:$C,"MISSING",0)</f>
        <v/>
      </c>
      <c r="J4095" s="4562">
        <f>XLOOKUP(B4095,'_Sys|Line_Map'!$A:$A,'_Sys|Line_Map'!$D:$D,1,0)</f>
        <v/>
      </c>
      <c r="K4095" s="4562">
        <f>IF(D4095="","",D4095*J4095)</f>
        <v/>
      </c>
      <c r="L4095" s="4562">
        <f>XLOOKUP(B4095,'_Sys|Line_Map'!$A:$A,'_Sys|Line_Map'!$B:$B,"MISSING",0)</f>
        <v/>
      </c>
    </row>
    <row r="4096">
      <c r="A4096" s="4561" t="n"/>
      <c r="B4096" s="4561" t="n"/>
      <c r="C4096" s="4561" t="n"/>
      <c r="D4096" s="4561" t="n"/>
      <c r="E4096" s="4561" t="n"/>
      <c r="F4096" s="4561" t="n"/>
      <c r="G4096" s="4561" t="n"/>
      <c r="H4096" s="4561" t="n"/>
      <c r="I4096" s="4562">
        <f>XLOOKUP(B4096,'_Sys|Line_Map'!$A:$A,'_Sys|Line_Map'!$C:$C,"MISSING",0)</f>
        <v/>
      </c>
      <c r="J4096" s="4562">
        <f>XLOOKUP(B4096,'_Sys|Line_Map'!$A:$A,'_Sys|Line_Map'!$D:$D,1,0)</f>
        <v/>
      </c>
      <c r="K4096" s="4562">
        <f>IF(D4096="","",D4096*J4096)</f>
        <v/>
      </c>
      <c r="L4096" s="4562">
        <f>XLOOKUP(B4096,'_Sys|Line_Map'!$A:$A,'_Sys|Line_Map'!$B:$B,"MISSING",0)</f>
        <v/>
      </c>
    </row>
    <row r="4097">
      <c r="A4097" s="4561" t="n"/>
      <c r="B4097" s="4561" t="n"/>
      <c r="C4097" s="4561" t="n"/>
      <c r="D4097" s="4561" t="n"/>
      <c r="E4097" s="4561" t="n"/>
      <c r="F4097" s="4561" t="n"/>
      <c r="G4097" s="4561" t="n"/>
      <c r="H4097" s="4561" t="n"/>
      <c r="I4097" s="4562">
        <f>XLOOKUP(B4097,'_Sys|Line_Map'!$A:$A,'_Sys|Line_Map'!$C:$C,"MISSING",0)</f>
        <v/>
      </c>
      <c r="J4097" s="4562">
        <f>XLOOKUP(B4097,'_Sys|Line_Map'!$A:$A,'_Sys|Line_Map'!$D:$D,1,0)</f>
        <v/>
      </c>
      <c r="K4097" s="4562">
        <f>IF(D4097="","",D4097*J4097)</f>
        <v/>
      </c>
      <c r="L4097" s="4562">
        <f>XLOOKUP(B4097,'_Sys|Line_Map'!$A:$A,'_Sys|Line_Map'!$B:$B,"MISSING",0)</f>
        <v/>
      </c>
    </row>
    <row r="4098">
      <c r="A4098" s="4561" t="n"/>
      <c r="B4098" s="4561" t="n"/>
      <c r="C4098" s="4561" t="n"/>
      <c r="D4098" s="4561" t="n"/>
      <c r="E4098" s="4561" t="n"/>
      <c r="F4098" s="4561" t="n"/>
      <c r="G4098" s="4561" t="n"/>
      <c r="H4098" s="4561" t="n"/>
      <c r="I4098" s="4562">
        <f>XLOOKUP(B4098,'_Sys|Line_Map'!$A:$A,'_Sys|Line_Map'!$C:$C,"MISSING",0)</f>
        <v/>
      </c>
      <c r="J4098" s="4562">
        <f>XLOOKUP(B4098,'_Sys|Line_Map'!$A:$A,'_Sys|Line_Map'!$D:$D,1,0)</f>
        <v/>
      </c>
      <c r="K4098" s="4562">
        <f>IF(D4098="","",D4098*J4098)</f>
        <v/>
      </c>
      <c r="L4098" s="4562">
        <f>XLOOKUP(B4098,'_Sys|Line_Map'!$A:$A,'_Sys|Line_Map'!$B:$B,"MISSING",0)</f>
        <v/>
      </c>
    </row>
    <row r="4099">
      <c r="A4099" s="4561" t="n"/>
      <c r="B4099" s="4561" t="n"/>
      <c r="C4099" s="4561" t="n"/>
      <c r="D4099" s="4561" t="n"/>
      <c r="E4099" s="4561" t="n"/>
      <c r="F4099" s="4561" t="n"/>
      <c r="G4099" s="4561" t="n"/>
      <c r="H4099" s="4561" t="n"/>
      <c r="I4099" s="4562">
        <f>XLOOKUP(B4099,'_Sys|Line_Map'!$A:$A,'_Sys|Line_Map'!$C:$C,"MISSING",0)</f>
        <v/>
      </c>
      <c r="J4099" s="4562">
        <f>XLOOKUP(B4099,'_Sys|Line_Map'!$A:$A,'_Sys|Line_Map'!$D:$D,1,0)</f>
        <v/>
      </c>
      <c r="K4099" s="4562">
        <f>IF(D4099="","",D4099*J4099)</f>
        <v/>
      </c>
      <c r="L4099" s="4562">
        <f>XLOOKUP(B4099,'_Sys|Line_Map'!$A:$A,'_Sys|Line_Map'!$B:$B,"MISSING",0)</f>
        <v/>
      </c>
    </row>
    <row r="4100">
      <c r="A4100" s="4561" t="n"/>
      <c r="B4100" s="4561" t="n"/>
      <c r="C4100" s="4561" t="n"/>
      <c r="D4100" s="4561" t="n"/>
      <c r="E4100" s="4561" t="n"/>
      <c r="F4100" s="4561" t="n"/>
      <c r="G4100" s="4561" t="n"/>
      <c r="H4100" s="4561" t="n"/>
      <c r="I4100" s="4562">
        <f>XLOOKUP(B4100,'_Sys|Line_Map'!$A:$A,'_Sys|Line_Map'!$C:$C,"MISSING",0)</f>
        <v/>
      </c>
      <c r="J4100" s="4562">
        <f>XLOOKUP(B4100,'_Sys|Line_Map'!$A:$A,'_Sys|Line_Map'!$D:$D,1,0)</f>
        <v/>
      </c>
      <c r="K4100" s="4562">
        <f>IF(D4100="","",D4100*J4100)</f>
        <v/>
      </c>
      <c r="L4100" s="4562">
        <f>XLOOKUP(B4100,'_Sys|Line_Map'!$A:$A,'_Sys|Line_Map'!$B:$B,"MISSING",0)</f>
        <v/>
      </c>
    </row>
    <row r="4101">
      <c r="A4101" s="4561" t="n"/>
      <c r="B4101" s="4561" t="n"/>
      <c r="C4101" s="4561" t="n"/>
      <c r="D4101" s="4561" t="n"/>
      <c r="E4101" s="4561" t="n"/>
      <c r="F4101" s="4561" t="n"/>
      <c r="G4101" s="4561" t="n"/>
      <c r="H4101" s="4561" t="n"/>
      <c r="I4101" s="4562">
        <f>XLOOKUP(B4101,'_Sys|Line_Map'!$A:$A,'_Sys|Line_Map'!$C:$C,"MISSING",0)</f>
        <v/>
      </c>
      <c r="J4101" s="4562">
        <f>XLOOKUP(B4101,'_Sys|Line_Map'!$A:$A,'_Sys|Line_Map'!$D:$D,1,0)</f>
        <v/>
      </c>
      <c r="K4101" s="4562">
        <f>IF(D4101="","",D4101*J4101)</f>
        <v/>
      </c>
      <c r="L4101" s="4562">
        <f>XLOOKUP(B4101,'_Sys|Line_Map'!$A:$A,'_Sys|Line_Map'!$B:$B,"MISSING",0)</f>
        <v/>
      </c>
    </row>
    <row r="4102">
      <c r="A4102" s="4561" t="n"/>
      <c r="B4102" s="4561" t="n"/>
      <c r="C4102" s="4561" t="n"/>
      <c r="D4102" s="4561" t="n"/>
      <c r="E4102" s="4561" t="n"/>
      <c r="F4102" s="4561" t="n"/>
      <c r="G4102" s="4561" t="n"/>
      <c r="H4102" s="4561" t="n"/>
      <c r="I4102" s="4562">
        <f>XLOOKUP(B4102,'_Sys|Line_Map'!$A:$A,'_Sys|Line_Map'!$C:$C,"MISSING",0)</f>
        <v/>
      </c>
      <c r="J4102" s="4562">
        <f>XLOOKUP(B4102,'_Sys|Line_Map'!$A:$A,'_Sys|Line_Map'!$D:$D,1,0)</f>
        <v/>
      </c>
      <c r="K4102" s="4562">
        <f>IF(D4102="","",D4102*J4102)</f>
        <v/>
      </c>
      <c r="L4102" s="4562">
        <f>XLOOKUP(B4102,'_Sys|Line_Map'!$A:$A,'_Sys|Line_Map'!$B:$B,"MISSING",0)</f>
        <v/>
      </c>
    </row>
    <row r="4103">
      <c r="A4103" s="4561" t="n"/>
      <c r="B4103" s="4561" t="n"/>
      <c r="C4103" s="4561" t="n"/>
      <c r="D4103" s="4561" t="n"/>
      <c r="E4103" s="4561" t="n"/>
      <c r="F4103" s="4561" t="n"/>
      <c r="G4103" s="4561" t="n"/>
      <c r="H4103" s="4561" t="n"/>
      <c r="I4103" s="4562">
        <f>XLOOKUP(B4103,'_Sys|Line_Map'!$A:$A,'_Sys|Line_Map'!$C:$C,"MISSING",0)</f>
        <v/>
      </c>
      <c r="J4103" s="4562">
        <f>XLOOKUP(B4103,'_Sys|Line_Map'!$A:$A,'_Sys|Line_Map'!$D:$D,1,0)</f>
        <v/>
      </c>
      <c r="K4103" s="4562">
        <f>IF(D4103="","",D4103*J4103)</f>
        <v/>
      </c>
      <c r="L4103" s="4562">
        <f>XLOOKUP(B4103,'_Sys|Line_Map'!$A:$A,'_Sys|Line_Map'!$B:$B,"MISSING",0)</f>
        <v/>
      </c>
    </row>
    <row r="4104">
      <c r="A4104" s="4561" t="n"/>
      <c r="B4104" s="4561" t="n"/>
      <c r="C4104" s="4561" t="n"/>
      <c r="D4104" s="4561" t="n"/>
      <c r="E4104" s="4561" t="n"/>
      <c r="F4104" s="4561" t="n"/>
      <c r="G4104" s="4561" t="n"/>
      <c r="H4104" s="4561" t="n"/>
      <c r="I4104" s="4562">
        <f>XLOOKUP(B4104,'_Sys|Line_Map'!$A:$A,'_Sys|Line_Map'!$C:$C,"MISSING",0)</f>
        <v/>
      </c>
      <c r="J4104" s="4562">
        <f>XLOOKUP(B4104,'_Sys|Line_Map'!$A:$A,'_Sys|Line_Map'!$D:$D,1,0)</f>
        <v/>
      </c>
      <c r="K4104" s="4562">
        <f>IF(D4104="","",D4104*J4104)</f>
        <v/>
      </c>
      <c r="L4104" s="4562">
        <f>XLOOKUP(B4104,'_Sys|Line_Map'!$A:$A,'_Sys|Line_Map'!$B:$B,"MISSING",0)</f>
        <v/>
      </c>
    </row>
    <row r="4105">
      <c r="A4105" s="4561" t="n"/>
      <c r="B4105" s="4561" t="n"/>
      <c r="C4105" s="4561" t="n"/>
      <c r="D4105" s="4561" t="n"/>
      <c r="E4105" s="4561" t="n"/>
      <c r="F4105" s="4561" t="n"/>
      <c r="G4105" s="4561" t="n"/>
      <c r="H4105" s="4561" t="n"/>
      <c r="I4105" s="4562">
        <f>XLOOKUP(B4105,'_Sys|Line_Map'!$A:$A,'_Sys|Line_Map'!$C:$C,"MISSING",0)</f>
        <v/>
      </c>
      <c r="J4105" s="4562">
        <f>XLOOKUP(B4105,'_Sys|Line_Map'!$A:$A,'_Sys|Line_Map'!$D:$D,1,0)</f>
        <v/>
      </c>
      <c r="K4105" s="4562">
        <f>IF(D4105="","",D4105*J4105)</f>
        <v/>
      </c>
      <c r="L4105" s="4562">
        <f>XLOOKUP(B4105,'_Sys|Line_Map'!$A:$A,'_Sys|Line_Map'!$B:$B,"MISSING",0)</f>
        <v/>
      </c>
    </row>
    <row r="4106">
      <c r="A4106" s="4561" t="n"/>
      <c r="B4106" s="4561" t="n"/>
      <c r="C4106" s="4561" t="n"/>
      <c r="D4106" s="4561" t="n"/>
      <c r="E4106" s="4561" t="n"/>
      <c r="F4106" s="4561" t="n"/>
      <c r="G4106" s="4561" t="n"/>
      <c r="H4106" s="4561" t="n"/>
      <c r="I4106" s="4562">
        <f>XLOOKUP(B4106,'_Sys|Line_Map'!$A:$A,'_Sys|Line_Map'!$C:$C,"MISSING",0)</f>
        <v/>
      </c>
      <c r="J4106" s="4562">
        <f>XLOOKUP(B4106,'_Sys|Line_Map'!$A:$A,'_Sys|Line_Map'!$D:$D,1,0)</f>
        <v/>
      </c>
      <c r="K4106" s="4562">
        <f>IF(D4106="","",D4106*J4106)</f>
        <v/>
      </c>
      <c r="L4106" s="4562">
        <f>XLOOKUP(B4106,'_Sys|Line_Map'!$A:$A,'_Sys|Line_Map'!$B:$B,"MISSING",0)</f>
        <v/>
      </c>
    </row>
    <row r="4107">
      <c r="A4107" s="4561" t="n"/>
      <c r="B4107" s="4561" t="n"/>
      <c r="C4107" s="4561" t="n"/>
      <c r="D4107" s="4561" t="n"/>
      <c r="E4107" s="4561" t="n"/>
      <c r="F4107" s="4561" t="n"/>
      <c r="G4107" s="4561" t="n"/>
      <c r="H4107" s="4561" t="n"/>
      <c r="I4107" s="4562">
        <f>XLOOKUP(B4107,'_Sys|Line_Map'!$A:$A,'_Sys|Line_Map'!$C:$C,"MISSING",0)</f>
        <v/>
      </c>
      <c r="J4107" s="4562">
        <f>XLOOKUP(B4107,'_Sys|Line_Map'!$A:$A,'_Sys|Line_Map'!$D:$D,1,0)</f>
        <v/>
      </c>
      <c r="K4107" s="4562">
        <f>IF(D4107="","",D4107*J4107)</f>
        <v/>
      </c>
      <c r="L4107" s="4562">
        <f>XLOOKUP(B4107,'_Sys|Line_Map'!$A:$A,'_Sys|Line_Map'!$B:$B,"MISSING",0)</f>
        <v/>
      </c>
    </row>
    <row r="4108">
      <c r="A4108" s="4561" t="n"/>
      <c r="B4108" s="4561" t="n"/>
      <c r="C4108" s="4561" t="n"/>
      <c r="D4108" s="4561" t="n"/>
      <c r="E4108" s="4561" t="n"/>
      <c r="F4108" s="4561" t="n"/>
      <c r="G4108" s="4561" t="n"/>
      <c r="H4108" s="4561" t="n"/>
      <c r="I4108" s="4562">
        <f>XLOOKUP(B4108,'_Sys|Line_Map'!$A:$A,'_Sys|Line_Map'!$C:$C,"MISSING",0)</f>
        <v/>
      </c>
      <c r="J4108" s="4562">
        <f>XLOOKUP(B4108,'_Sys|Line_Map'!$A:$A,'_Sys|Line_Map'!$D:$D,1,0)</f>
        <v/>
      </c>
      <c r="K4108" s="4562">
        <f>IF(D4108="","",D4108*J4108)</f>
        <v/>
      </c>
      <c r="L4108" s="4562">
        <f>XLOOKUP(B4108,'_Sys|Line_Map'!$A:$A,'_Sys|Line_Map'!$B:$B,"MISSING",0)</f>
        <v/>
      </c>
    </row>
    <row r="4109">
      <c r="A4109" s="4561" t="n"/>
      <c r="B4109" s="4561" t="n"/>
      <c r="C4109" s="4561" t="n"/>
      <c r="D4109" s="4561" t="n"/>
      <c r="E4109" s="4561" t="n"/>
      <c r="F4109" s="4561" t="n"/>
      <c r="G4109" s="4561" t="n"/>
      <c r="H4109" s="4561" t="n"/>
      <c r="I4109" s="4562">
        <f>XLOOKUP(B4109,'_Sys|Line_Map'!$A:$A,'_Sys|Line_Map'!$C:$C,"MISSING",0)</f>
        <v/>
      </c>
      <c r="J4109" s="4562">
        <f>XLOOKUP(B4109,'_Sys|Line_Map'!$A:$A,'_Sys|Line_Map'!$D:$D,1,0)</f>
        <v/>
      </c>
      <c r="K4109" s="4562">
        <f>IF(D4109="","",D4109*J4109)</f>
        <v/>
      </c>
      <c r="L4109" s="4562">
        <f>XLOOKUP(B4109,'_Sys|Line_Map'!$A:$A,'_Sys|Line_Map'!$B:$B,"MISSING",0)</f>
        <v/>
      </c>
    </row>
    <row r="4110">
      <c r="A4110" s="4561" t="n"/>
      <c r="B4110" s="4561" t="n"/>
      <c r="C4110" s="4561" t="n"/>
      <c r="D4110" s="4561" t="n"/>
      <c r="E4110" s="4561" t="n"/>
      <c r="F4110" s="4561" t="n"/>
      <c r="G4110" s="4561" t="n"/>
      <c r="H4110" s="4561" t="n"/>
      <c r="I4110" s="4562">
        <f>XLOOKUP(B4110,'_Sys|Line_Map'!$A:$A,'_Sys|Line_Map'!$C:$C,"MISSING",0)</f>
        <v/>
      </c>
      <c r="J4110" s="4562">
        <f>XLOOKUP(B4110,'_Sys|Line_Map'!$A:$A,'_Sys|Line_Map'!$D:$D,1,0)</f>
        <v/>
      </c>
      <c r="K4110" s="4562">
        <f>IF(D4110="","",D4110*J4110)</f>
        <v/>
      </c>
      <c r="L4110" s="4562">
        <f>XLOOKUP(B4110,'_Sys|Line_Map'!$A:$A,'_Sys|Line_Map'!$B:$B,"MISSING",0)</f>
        <v/>
      </c>
    </row>
    <row r="4111">
      <c r="A4111" s="4561" t="n"/>
      <c r="B4111" s="4561" t="n"/>
      <c r="C4111" s="4561" t="n"/>
      <c r="D4111" s="4561" t="n"/>
      <c r="E4111" s="4561" t="n"/>
      <c r="F4111" s="4561" t="n"/>
      <c r="G4111" s="4561" t="n"/>
      <c r="H4111" s="4561" t="n"/>
      <c r="I4111" s="4562">
        <f>XLOOKUP(B4111,'_Sys|Line_Map'!$A:$A,'_Sys|Line_Map'!$C:$C,"MISSING",0)</f>
        <v/>
      </c>
      <c r="J4111" s="4562">
        <f>XLOOKUP(B4111,'_Sys|Line_Map'!$A:$A,'_Sys|Line_Map'!$D:$D,1,0)</f>
        <v/>
      </c>
      <c r="K4111" s="4562">
        <f>IF(D4111="","",D4111*J4111)</f>
        <v/>
      </c>
      <c r="L4111" s="4562">
        <f>XLOOKUP(B4111,'_Sys|Line_Map'!$A:$A,'_Sys|Line_Map'!$B:$B,"MISSING",0)</f>
        <v/>
      </c>
    </row>
    <row r="4112">
      <c r="A4112" s="4561" t="n"/>
      <c r="B4112" s="4561" t="n"/>
      <c r="C4112" s="4561" t="n"/>
      <c r="D4112" s="4561" t="n"/>
      <c r="E4112" s="4561" t="n"/>
      <c r="F4112" s="4561" t="n"/>
      <c r="G4112" s="4561" t="n"/>
      <c r="H4112" s="4561" t="n"/>
      <c r="I4112" s="4562">
        <f>XLOOKUP(B4112,'_Sys|Line_Map'!$A:$A,'_Sys|Line_Map'!$C:$C,"MISSING",0)</f>
        <v/>
      </c>
      <c r="J4112" s="4562">
        <f>XLOOKUP(B4112,'_Sys|Line_Map'!$A:$A,'_Sys|Line_Map'!$D:$D,1,0)</f>
        <v/>
      </c>
      <c r="K4112" s="4562">
        <f>IF(D4112="","",D4112*J4112)</f>
        <v/>
      </c>
      <c r="L4112" s="4562">
        <f>XLOOKUP(B4112,'_Sys|Line_Map'!$A:$A,'_Sys|Line_Map'!$B:$B,"MISSING",0)</f>
        <v/>
      </c>
    </row>
    <row r="4113">
      <c r="A4113" s="4561" t="n"/>
      <c r="B4113" s="4561" t="n"/>
      <c r="C4113" s="4561" t="n"/>
      <c r="D4113" s="4561" t="n"/>
      <c r="E4113" s="4561" t="n"/>
      <c r="F4113" s="4561" t="n"/>
      <c r="G4113" s="4561" t="n"/>
      <c r="H4113" s="4561" t="n"/>
      <c r="I4113" s="4562">
        <f>XLOOKUP(B4113,'_Sys|Line_Map'!$A:$A,'_Sys|Line_Map'!$C:$C,"MISSING",0)</f>
        <v/>
      </c>
      <c r="J4113" s="4562">
        <f>XLOOKUP(B4113,'_Sys|Line_Map'!$A:$A,'_Sys|Line_Map'!$D:$D,1,0)</f>
        <v/>
      </c>
      <c r="K4113" s="4562">
        <f>IF(D4113="","",D4113*J4113)</f>
        <v/>
      </c>
      <c r="L4113" s="4562">
        <f>XLOOKUP(B4113,'_Sys|Line_Map'!$A:$A,'_Sys|Line_Map'!$B:$B,"MISSING",0)</f>
        <v/>
      </c>
    </row>
    <row r="4114">
      <c r="A4114" s="4561" t="n"/>
      <c r="B4114" s="4561" t="n"/>
      <c r="C4114" s="4561" t="n"/>
      <c r="D4114" s="4561" t="n"/>
      <c r="E4114" s="4561" t="n"/>
      <c r="F4114" s="4561" t="n"/>
      <c r="G4114" s="4561" t="n"/>
      <c r="H4114" s="4561" t="n"/>
      <c r="I4114" s="4562">
        <f>XLOOKUP(B4114,'_Sys|Line_Map'!$A:$A,'_Sys|Line_Map'!$C:$C,"MISSING",0)</f>
        <v/>
      </c>
      <c r="J4114" s="4562">
        <f>XLOOKUP(B4114,'_Sys|Line_Map'!$A:$A,'_Sys|Line_Map'!$D:$D,1,0)</f>
        <v/>
      </c>
      <c r="K4114" s="4562">
        <f>IF(D4114="","",D4114*J4114)</f>
        <v/>
      </c>
      <c r="L4114" s="4562">
        <f>XLOOKUP(B4114,'_Sys|Line_Map'!$A:$A,'_Sys|Line_Map'!$B:$B,"MISSING",0)</f>
        <v/>
      </c>
    </row>
    <row r="4115">
      <c r="A4115" s="4561" t="n"/>
      <c r="B4115" s="4561" t="n"/>
      <c r="C4115" s="4561" t="n"/>
      <c r="D4115" s="4561" t="n"/>
      <c r="E4115" s="4561" t="n"/>
      <c r="F4115" s="4561" t="n"/>
      <c r="G4115" s="4561" t="n"/>
      <c r="H4115" s="4561" t="n"/>
      <c r="I4115" s="4562">
        <f>XLOOKUP(B4115,'_Sys|Line_Map'!$A:$A,'_Sys|Line_Map'!$C:$C,"MISSING",0)</f>
        <v/>
      </c>
      <c r="J4115" s="4562">
        <f>XLOOKUP(B4115,'_Sys|Line_Map'!$A:$A,'_Sys|Line_Map'!$D:$D,1,0)</f>
        <v/>
      </c>
      <c r="K4115" s="4562">
        <f>IF(D4115="","",D4115*J4115)</f>
        <v/>
      </c>
      <c r="L4115" s="4562">
        <f>XLOOKUP(B4115,'_Sys|Line_Map'!$A:$A,'_Sys|Line_Map'!$B:$B,"MISSING",0)</f>
        <v/>
      </c>
    </row>
    <row r="4116">
      <c r="A4116" s="4561" t="n"/>
      <c r="B4116" s="4561" t="n"/>
      <c r="C4116" s="4561" t="n"/>
      <c r="D4116" s="4561" t="n"/>
      <c r="E4116" s="4561" t="n"/>
      <c r="F4116" s="4561" t="n"/>
      <c r="G4116" s="4561" t="n"/>
      <c r="H4116" s="4561" t="n"/>
      <c r="I4116" s="4562">
        <f>XLOOKUP(B4116,'_Sys|Line_Map'!$A:$A,'_Sys|Line_Map'!$C:$C,"MISSING",0)</f>
        <v/>
      </c>
      <c r="J4116" s="4562">
        <f>XLOOKUP(B4116,'_Sys|Line_Map'!$A:$A,'_Sys|Line_Map'!$D:$D,1,0)</f>
        <v/>
      </c>
      <c r="K4116" s="4562">
        <f>IF(D4116="","",D4116*J4116)</f>
        <v/>
      </c>
      <c r="L4116" s="4562">
        <f>XLOOKUP(B4116,'_Sys|Line_Map'!$A:$A,'_Sys|Line_Map'!$B:$B,"MISSING",0)</f>
        <v/>
      </c>
    </row>
    <row r="4117">
      <c r="A4117" s="4561" t="n"/>
      <c r="B4117" s="4561" t="n"/>
      <c r="C4117" s="4561" t="n"/>
      <c r="D4117" s="4561" t="n"/>
      <c r="E4117" s="4561" t="n"/>
      <c r="F4117" s="4561" t="n"/>
      <c r="G4117" s="4561" t="n"/>
      <c r="H4117" s="4561" t="n"/>
      <c r="I4117" s="4562">
        <f>XLOOKUP(B4117,'_Sys|Line_Map'!$A:$A,'_Sys|Line_Map'!$C:$C,"MISSING",0)</f>
        <v/>
      </c>
      <c r="J4117" s="4562">
        <f>XLOOKUP(B4117,'_Sys|Line_Map'!$A:$A,'_Sys|Line_Map'!$D:$D,1,0)</f>
        <v/>
      </c>
      <c r="K4117" s="4562">
        <f>IF(D4117="","",D4117*J4117)</f>
        <v/>
      </c>
      <c r="L4117" s="4562">
        <f>XLOOKUP(B4117,'_Sys|Line_Map'!$A:$A,'_Sys|Line_Map'!$B:$B,"MISSING",0)</f>
        <v/>
      </c>
    </row>
    <row r="4118">
      <c r="A4118" s="4561" t="n"/>
      <c r="B4118" s="4561" t="n"/>
      <c r="C4118" s="4561" t="n"/>
      <c r="D4118" s="4561" t="n"/>
      <c r="E4118" s="4561" t="n"/>
      <c r="F4118" s="4561" t="n"/>
      <c r="G4118" s="4561" t="n"/>
      <c r="H4118" s="4561" t="n"/>
      <c r="I4118" s="4562">
        <f>XLOOKUP(B4118,'_Sys|Line_Map'!$A:$A,'_Sys|Line_Map'!$C:$C,"MISSING",0)</f>
        <v/>
      </c>
      <c r="J4118" s="4562">
        <f>XLOOKUP(B4118,'_Sys|Line_Map'!$A:$A,'_Sys|Line_Map'!$D:$D,1,0)</f>
        <v/>
      </c>
      <c r="K4118" s="4562">
        <f>IF(D4118="","",D4118*J4118)</f>
        <v/>
      </c>
      <c r="L4118" s="4562">
        <f>XLOOKUP(B4118,'_Sys|Line_Map'!$A:$A,'_Sys|Line_Map'!$B:$B,"MISSING",0)</f>
        <v/>
      </c>
    </row>
    <row r="4119">
      <c r="A4119" s="4561" t="n"/>
      <c r="B4119" s="4561" t="n"/>
      <c r="C4119" s="4561" t="n"/>
      <c r="D4119" s="4561" t="n"/>
      <c r="E4119" s="4561" t="n"/>
      <c r="F4119" s="4561" t="n"/>
      <c r="G4119" s="4561" t="n"/>
      <c r="H4119" s="4561" t="n"/>
      <c r="I4119" s="4562">
        <f>XLOOKUP(B4119,'_Sys|Line_Map'!$A:$A,'_Sys|Line_Map'!$C:$C,"MISSING",0)</f>
        <v/>
      </c>
      <c r="J4119" s="4562">
        <f>XLOOKUP(B4119,'_Sys|Line_Map'!$A:$A,'_Sys|Line_Map'!$D:$D,1,0)</f>
        <v/>
      </c>
      <c r="K4119" s="4562">
        <f>IF(D4119="","",D4119*J4119)</f>
        <v/>
      </c>
      <c r="L4119" s="4562">
        <f>XLOOKUP(B4119,'_Sys|Line_Map'!$A:$A,'_Sys|Line_Map'!$B:$B,"MISSING",0)</f>
        <v/>
      </c>
    </row>
    <row r="4120">
      <c r="A4120" s="4561" t="n"/>
      <c r="B4120" s="4561" t="n"/>
      <c r="C4120" s="4561" t="n"/>
      <c r="D4120" s="4561" t="n"/>
      <c r="E4120" s="4561" t="n"/>
      <c r="F4120" s="4561" t="n"/>
      <c r="G4120" s="4561" t="n"/>
      <c r="H4120" s="4561" t="n"/>
      <c r="I4120" s="4562">
        <f>XLOOKUP(B4120,'_Sys|Line_Map'!$A:$A,'_Sys|Line_Map'!$C:$C,"MISSING",0)</f>
        <v/>
      </c>
      <c r="J4120" s="4562">
        <f>XLOOKUP(B4120,'_Sys|Line_Map'!$A:$A,'_Sys|Line_Map'!$D:$D,1,0)</f>
        <v/>
      </c>
      <c r="K4120" s="4562">
        <f>IF(D4120="","",D4120*J4120)</f>
        <v/>
      </c>
      <c r="L4120" s="4562">
        <f>XLOOKUP(B4120,'_Sys|Line_Map'!$A:$A,'_Sys|Line_Map'!$B:$B,"MISSING",0)</f>
        <v/>
      </c>
    </row>
    <row r="4121">
      <c r="A4121" s="4561" t="n"/>
      <c r="B4121" s="4561" t="n"/>
      <c r="C4121" s="4561" t="n"/>
      <c r="D4121" s="4561" t="n"/>
      <c r="E4121" s="4561" t="n"/>
      <c r="F4121" s="4561" t="n"/>
      <c r="G4121" s="4561" t="n"/>
      <c r="H4121" s="4561" t="n"/>
      <c r="I4121" s="4562">
        <f>XLOOKUP(B4121,'_Sys|Line_Map'!$A:$A,'_Sys|Line_Map'!$C:$C,"MISSING",0)</f>
        <v/>
      </c>
      <c r="J4121" s="4562">
        <f>XLOOKUP(B4121,'_Sys|Line_Map'!$A:$A,'_Sys|Line_Map'!$D:$D,1,0)</f>
        <v/>
      </c>
      <c r="K4121" s="4562">
        <f>IF(D4121="","",D4121*J4121)</f>
        <v/>
      </c>
      <c r="L4121" s="4562">
        <f>XLOOKUP(B4121,'_Sys|Line_Map'!$A:$A,'_Sys|Line_Map'!$B:$B,"MISSING",0)</f>
        <v/>
      </c>
    </row>
    <row r="4122">
      <c r="A4122" s="4561" t="n"/>
      <c r="B4122" s="4561" t="n"/>
      <c r="C4122" s="4561" t="n"/>
      <c r="D4122" s="4561" t="n"/>
      <c r="E4122" s="4561" t="n"/>
      <c r="F4122" s="4561" t="n"/>
      <c r="G4122" s="4561" t="n"/>
      <c r="H4122" s="4561" t="n"/>
      <c r="I4122" s="4562">
        <f>XLOOKUP(B4122,'_Sys|Line_Map'!$A:$A,'_Sys|Line_Map'!$C:$C,"MISSING",0)</f>
        <v/>
      </c>
      <c r="J4122" s="4562">
        <f>XLOOKUP(B4122,'_Sys|Line_Map'!$A:$A,'_Sys|Line_Map'!$D:$D,1,0)</f>
        <v/>
      </c>
      <c r="K4122" s="4562">
        <f>IF(D4122="","",D4122*J4122)</f>
        <v/>
      </c>
      <c r="L4122" s="4562">
        <f>XLOOKUP(B4122,'_Sys|Line_Map'!$A:$A,'_Sys|Line_Map'!$B:$B,"MISSING",0)</f>
        <v/>
      </c>
    </row>
    <row r="4123">
      <c r="A4123" s="4561" t="n"/>
      <c r="B4123" s="4561" t="n"/>
      <c r="C4123" s="4561" t="n"/>
      <c r="D4123" s="4561" t="n"/>
      <c r="E4123" s="4561" t="n"/>
      <c r="F4123" s="4561" t="n"/>
      <c r="G4123" s="4561" t="n"/>
      <c r="H4123" s="4561" t="n"/>
      <c r="I4123" s="4562">
        <f>XLOOKUP(B4123,'_Sys|Line_Map'!$A:$A,'_Sys|Line_Map'!$C:$C,"MISSING",0)</f>
        <v/>
      </c>
      <c r="J4123" s="4562">
        <f>XLOOKUP(B4123,'_Sys|Line_Map'!$A:$A,'_Sys|Line_Map'!$D:$D,1,0)</f>
        <v/>
      </c>
      <c r="K4123" s="4562">
        <f>IF(D4123="","",D4123*J4123)</f>
        <v/>
      </c>
      <c r="L4123" s="4562">
        <f>XLOOKUP(B4123,'_Sys|Line_Map'!$A:$A,'_Sys|Line_Map'!$B:$B,"MISSING",0)</f>
        <v/>
      </c>
    </row>
    <row r="4124">
      <c r="A4124" s="4561" t="n"/>
      <c r="B4124" s="4561" t="n"/>
      <c r="C4124" s="4561" t="n"/>
      <c r="D4124" s="4561" t="n"/>
      <c r="E4124" s="4561" t="n"/>
      <c r="F4124" s="4561" t="n"/>
      <c r="G4124" s="4561" t="n"/>
      <c r="H4124" s="4561" t="n"/>
      <c r="I4124" s="4562">
        <f>XLOOKUP(B4124,'_Sys|Line_Map'!$A:$A,'_Sys|Line_Map'!$C:$C,"MISSING",0)</f>
        <v/>
      </c>
      <c r="J4124" s="4562">
        <f>XLOOKUP(B4124,'_Sys|Line_Map'!$A:$A,'_Sys|Line_Map'!$D:$D,1,0)</f>
        <v/>
      </c>
      <c r="K4124" s="4562">
        <f>IF(D4124="","",D4124*J4124)</f>
        <v/>
      </c>
      <c r="L4124" s="4562">
        <f>XLOOKUP(B4124,'_Sys|Line_Map'!$A:$A,'_Sys|Line_Map'!$B:$B,"MISSING",0)</f>
        <v/>
      </c>
    </row>
    <row r="4125">
      <c r="A4125" s="4561" t="n"/>
      <c r="B4125" s="4561" t="n"/>
      <c r="C4125" s="4561" t="n"/>
      <c r="D4125" s="4561" t="n"/>
      <c r="E4125" s="4561" t="n"/>
      <c r="F4125" s="4561" t="n"/>
      <c r="G4125" s="4561" t="n"/>
      <c r="H4125" s="4561" t="n"/>
      <c r="I4125" s="4562">
        <f>XLOOKUP(B4125,'_Sys|Line_Map'!$A:$A,'_Sys|Line_Map'!$C:$C,"MISSING",0)</f>
        <v/>
      </c>
      <c r="J4125" s="4562">
        <f>XLOOKUP(B4125,'_Sys|Line_Map'!$A:$A,'_Sys|Line_Map'!$D:$D,1,0)</f>
        <v/>
      </c>
      <c r="K4125" s="4562">
        <f>IF(D4125="","",D4125*J4125)</f>
        <v/>
      </c>
      <c r="L4125" s="4562">
        <f>XLOOKUP(B4125,'_Sys|Line_Map'!$A:$A,'_Sys|Line_Map'!$B:$B,"MISSING",0)</f>
        <v/>
      </c>
    </row>
    <row r="4126">
      <c r="A4126" s="4561" t="n"/>
      <c r="B4126" s="4561" t="n"/>
      <c r="C4126" s="4561" t="n"/>
      <c r="D4126" s="4561" t="n"/>
      <c r="E4126" s="4561" t="n"/>
      <c r="F4126" s="4561" t="n"/>
      <c r="G4126" s="4561" t="n"/>
      <c r="H4126" s="4561" t="n"/>
      <c r="I4126" s="4562">
        <f>XLOOKUP(B4126,'_Sys|Line_Map'!$A:$A,'_Sys|Line_Map'!$C:$C,"MISSING",0)</f>
        <v/>
      </c>
      <c r="J4126" s="4562">
        <f>XLOOKUP(B4126,'_Sys|Line_Map'!$A:$A,'_Sys|Line_Map'!$D:$D,1,0)</f>
        <v/>
      </c>
      <c r="K4126" s="4562">
        <f>IF(D4126="","",D4126*J4126)</f>
        <v/>
      </c>
      <c r="L4126" s="4562">
        <f>XLOOKUP(B4126,'_Sys|Line_Map'!$A:$A,'_Sys|Line_Map'!$B:$B,"MISSING",0)</f>
        <v/>
      </c>
    </row>
    <row r="4127">
      <c r="A4127" s="4561" t="n"/>
      <c r="B4127" s="4561" t="n"/>
      <c r="C4127" s="4561" t="n"/>
      <c r="D4127" s="4561" t="n"/>
      <c r="E4127" s="4561" t="n"/>
      <c r="F4127" s="4561" t="n"/>
      <c r="G4127" s="4561" t="n"/>
      <c r="H4127" s="4561" t="n"/>
      <c r="I4127" s="4562">
        <f>XLOOKUP(B4127,'_Sys|Line_Map'!$A:$A,'_Sys|Line_Map'!$C:$C,"MISSING",0)</f>
        <v/>
      </c>
      <c r="J4127" s="4562">
        <f>XLOOKUP(B4127,'_Sys|Line_Map'!$A:$A,'_Sys|Line_Map'!$D:$D,1,0)</f>
        <v/>
      </c>
      <c r="K4127" s="4562">
        <f>IF(D4127="","",D4127*J4127)</f>
        <v/>
      </c>
      <c r="L4127" s="4562">
        <f>XLOOKUP(B4127,'_Sys|Line_Map'!$A:$A,'_Sys|Line_Map'!$B:$B,"MISSING",0)</f>
        <v/>
      </c>
    </row>
    <row r="4128">
      <c r="A4128" s="4561" t="n"/>
      <c r="B4128" s="4561" t="n"/>
      <c r="C4128" s="4561" t="n"/>
      <c r="D4128" s="4561" t="n"/>
      <c r="E4128" s="4561" t="n"/>
      <c r="F4128" s="4561" t="n"/>
      <c r="G4128" s="4561" t="n"/>
      <c r="H4128" s="4561" t="n"/>
      <c r="I4128" s="4562">
        <f>XLOOKUP(B4128,'_Sys|Line_Map'!$A:$A,'_Sys|Line_Map'!$C:$C,"MISSING",0)</f>
        <v/>
      </c>
      <c r="J4128" s="4562">
        <f>XLOOKUP(B4128,'_Sys|Line_Map'!$A:$A,'_Sys|Line_Map'!$D:$D,1,0)</f>
        <v/>
      </c>
      <c r="K4128" s="4562">
        <f>IF(D4128="","",D4128*J4128)</f>
        <v/>
      </c>
      <c r="L4128" s="4562">
        <f>XLOOKUP(B4128,'_Sys|Line_Map'!$A:$A,'_Sys|Line_Map'!$B:$B,"MISSING",0)</f>
        <v/>
      </c>
    </row>
    <row r="4129">
      <c r="A4129" s="4561" t="n"/>
      <c r="B4129" s="4561" t="n"/>
      <c r="C4129" s="4561" t="n"/>
      <c r="D4129" s="4561" t="n"/>
      <c r="E4129" s="4561" t="n"/>
      <c r="F4129" s="4561" t="n"/>
      <c r="G4129" s="4561" t="n"/>
      <c r="H4129" s="4561" t="n"/>
      <c r="I4129" s="4562">
        <f>XLOOKUP(B4129,'_Sys|Line_Map'!$A:$A,'_Sys|Line_Map'!$C:$C,"MISSING",0)</f>
        <v/>
      </c>
      <c r="J4129" s="4562">
        <f>XLOOKUP(B4129,'_Sys|Line_Map'!$A:$A,'_Sys|Line_Map'!$D:$D,1,0)</f>
        <v/>
      </c>
      <c r="K4129" s="4562">
        <f>IF(D4129="","",D4129*J4129)</f>
        <v/>
      </c>
      <c r="L4129" s="4562">
        <f>XLOOKUP(B4129,'_Sys|Line_Map'!$A:$A,'_Sys|Line_Map'!$B:$B,"MISSING",0)</f>
        <v/>
      </c>
    </row>
    <row r="4130">
      <c r="A4130" s="4561" t="n"/>
      <c r="B4130" s="4561" t="n"/>
      <c r="C4130" s="4561" t="n"/>
      <c r="D4130" s="4561" t="n"/>
      <c r="E4130" s="4561" t="n"/>
      <c r="F4130" s="4561" t="n"/>
      <c r="G4130" s="4561" t="n"/>
      <c r="H4130" s="4561" t="n"/>
      <c r="I4130" s="4562">
        <f>XLOOKUP(B4130,'_Sys|Line_Map'!$A:$A,'_Sys|Line_Map'!$C:$C,"MISSING",0)</f>
        <v/>
      </c>
      <c r="J4130" s="4562">
        <f>XLOOKUP(B4130,'_Sys|Line_Map'!$A:$A,'_Sys|Line_Map'!$D:$D,1,0)</f>
        <v/>
      </c>
      <c r="K4130" s="4562">
        <f>IF(D4130="","",D4130*J4130)</f>
        <v/>
      </c>
      <c r="L4130" s="4562">
        <f>XLOOKUP(B4130,'_Sys|Line_Map'!$A:$A,'_Sys|Line_Map'!$B:$B,"MISSING",0)</f>
        <v/>
      </c>
    </row>
    <row r="4131">
      <c r="A4131" s="4561" t="n"/>
      <c r="B4131" s="4561" t="n"/>
      <c r="C4131" s="4561" t="n"/>
      <c r="D4131" s="4561" t="n"/>
      <c r="E4131" s="4561" t="n"/>
      <c r="F4131" s="4561" t="n"/>
      <c r="G4131" s="4561" t="n"/>
      <c r="H4131" s="4561" t="n"/>
      <c r="I4131" s="4562">
        <f>XLOOKUP(B4131,'_Sys|Line_Map'!$A:$A,'_Sys|Line_Map'!$C:$C,"MISSING",0)</f>
        <v/>
      </c>
      <c r="J4131" s="4562">
        <f>XLOOKUP(B4131,'_Sys|Line_Map'!$A:$A,'_Sys|Line_Map'!$D:$D,1,0)</f>
        <v/>
      </c>
      <c r="K4131" s="4562">
        <f>IF(D4131="","",D4131*J4131)</f>
        <v/>
      </c>
      <c r="L4131" s="4562">
        <f>XLOOKUP(B4131,'_Sys|Line_Map'!$A:$A,'_Sys|Line_Map'!$B:$B,"MISSING",0)</f>
        <v/>
      </c>
    </row>
    <row r="4132">
      <c r="A4132" s="4561" t="n"/>
      <c r="B4132" s="4561" t="n"/>
      <c r="C4132" s="4561" t="n"/>
      <c r="D4132" s="4561" t="n"/>
      <c r="E4132" s="4561" t="n"/>
      <c r="F4132" s="4561" t="n"/>
      <c r="G4132" s="4561" t="n"/>
      <c r="H4132" s="4561" t="n"/>
      <c r="I4132" s="4562">
        <f>XLOOKUP(B4132,'_Sys|Line_Map'!$A:$A,'_Sys|Line_Map'!$C:$C,"MISSING",0)</f>
        <v/>
      </c>
      <c r="J4132" s="4562">
        <f>XLOOKUP(B4132,'_Sys|Line_Map'!$A:$A,'_Sys|Line_Map'!$D:$D,1,0)</f>
        <v/>
      </c>
      <c r="K4132" s="4562">
        <f>IF(D4132="","",D4132*J4132)</f>
        <v/>
      </c>
      <c r="L4132" s="4562">
        <f>XLOOKUP(B4132,'_Sys|Line_Map'!$A:$A,'_Sys|Line_Map'!$B:$B,"MISSING",0)</f>
        <v/>
      </c>
    </row>
    <row r="4133">
      <c r="A4133" s="4561" t="n"/>
      <c r="B4133" s="4561" t="n"/>
      <c r="C4133" s="4561" t="n"/>
      <c r="D4133" s="4561" t="n"/>
      <c r="E4133" s="4561" t="n"/>
      <c r="F4133" s="4561" t="n"/>
      <c r="G4133" s="4561" t="n"/>
      <c r="H4133" s="4561" t="n"/>
      <c r="I4133" s="4562">
        <f>XLOOKUP(B4133,'_Sys|Line_Map'!$A:$A,'_Sys|Line_Map'!$C:$C,"MISSING",0)</f>
        <v/>
      </c>
      <c r="J4133" s="4562">
        <f>XLOOKUP(B4133,'_Sys|Line_Map'!$A:$A,'_Sys|Line_Map'!$D:$D,1,0)</f>
        <v/>
      </c>
      <c r="K4133" s="4562">
        <f>IF(D4133="","",D4133*J4133)</f>
        <v/>
      </c>
      <c r="L4133" s="4562">
        <f>XLOOKUP(B4133,'_Sys|Line_Map'!$A:$A,'_Sys|Line_Map'!$B:$B,"MISSING",0)</f>
        <v/>
      </c>
    </row>
    <row r="4134">
      <c r="A4134" s="4561" t="n"/>
      <c r="B4134" s="4561" t="n"/>
      <c r="C4134" s="4561" t="n"/>
      <c r="D4134" s="4561" t="n"/>
      <c r="E4134" s="4561" t="n"/>
      <c r="F4134" s="4561" t="n"/>
      <c r="G4134" s="4561" t="n"/>
      <c r="H4134" s="4561" t="n"/>
      <c r="I4134" s="4562">
        <f>XLOOKUP(B4134,'_Sys|Line_Map'!$A:$A,'_Sys|Line_Map'!$C:$C,"MISSING",0)</f>
        <v/>
      </c>
      <c r="J4134" s="4562">
        <f>XLOOKUP(B4134,'_Sys|Line_Map'!$A:$A,'_Sys|Line_Map'!$D:$D,1,0)</f>
        <v/>
      </c>
      <c r="K4134" s="4562">
        <f>IF(D4134="","",D4134*J4134)</f>
        <v/>
      </c>
      <c r="L4134" s="4562">
        <f>XLOOKUP(B4134,'_Sys|Line_Map'!$A:$A,'_Sys|Line_Map'!$B:$B,"MISSING",0)</f>
        <v/>
      </c>
    </row>
    <row r="4135">
      <c r="A4135" s="4561" t="n"/>
      <c r="B4135" s="4561" t="n"/>
      <c r="C4135" s="4561" t="n"/>
      <c r="D4135" s="4561" t="n"/>
      <c r="E4135" s="4561" t="n"/>
      <c r="F4135" s="4561" t="n"/>
      <c r="G4135" s="4561" t="n"/>
      <c r="H4135" s="4561" t="n"/>
      <c r="I4135" s="4562">
        <f>XLOOKUP(B4135,'_Sys|Line_Map'!$A:$A,'_Sys|Line_Map'!$C:$C,"MISSING",0)</f>
        <v/>
      </c>
      <c r="J4135" s="4562">
        <f>XLOOKUP(B4135,'_Sys|Line_Map'!$A:$A,'_Sys|Line_Map'!$D:$D,1,0)</f>
        <v/>
      </c>
      <c r="K4135" s="4562">
        <f>IF(D4135="","",D4135*J4135)</f>
        <v/>
      </c>
      <c r="L4135" s="4562">
        <f>XLOOKUP(B4135,'_Sys|Line_Map'!$A:$A,'_Sys|Line_Map'!$B:$B,"MISSING",0)</f>
        <v/>
      </c>
    </row>
    <row r="4136">
      <c r="A4136" s="4561" t="n"/>
      <c r="B4136" s="4561" t="n"/>
      <c r="C4136" s="4561" t="n"/>
      <c r="D4136" s="4561" t="n"/>
      <c r="E4136" s="4561" t="n"/>
      <c r="F4136" s="4561" t="n"/>
      <c r="G4136" s="4561" t="n"/>
      <c r="H4136" s="4561" t="n"/>
      <c r="I4136" s="4562">
        <f>XLOOKUP(B4136,'_Sys|Line_Map'!$A:$A,'_Sys|Line_Map'!$C:$C,"MISSING",0)</f>
        <v/>
      </c>
      <c r="J4136" s="4562">
        <f>XLOOKUP(B4136,'_Sys|Line_Map'!$A:$A,'_Sys|Line_Map'!$D:$D,1,0)</f>
        <v/>
      </c>
      <c r="K4136" s="4562">
        <f>IF(D4136="","",D4136*J4136)</f>
        <v/>
      </c>
      <c r="L4136" s="4562">
        <f>XLOOKUP(B4136,'_Sys|Line_Map'!$A:$A,'_Sys|Line_Map'!$B:$B,"MISSING",0)</f>
        <v/>
      </c>
    </row>
    <row r="4137">
      <c r="A4137" s="4561" t="n"/>
      <c r="B4137" s="4561" t="n"/>
      <c r="C4137" s="4561" t="n"/>
      <c r="D4137" s="4561" t="n"/>
      <c r="E4137" s="4561" t="n"/>
      <c r="F4137" s="4561" t="n"/>
      <c r="G4137" s="4561" t="n"/>
      <c r="H4137" s="4561" t="n"/>
      <c r="I4137" s="4562">
        <f>XLOOKUP(B4137,'_Sys|Line_Map'!$A:$A,'_Sys|Line_Map'!$C:$C,"MISSING",0)</f>
        <v/>
      </c>
      <c r="J4137" s="4562">
        <f>XLOOKUP(B4137,'_Sys|Line_Map'!$A:$A,'_Sys|Line_Map'!$D:$D,1,0)</f>
        <v/>
      </c>
      <c r="K4137" s="4562">
        <f>IF(D4137="","",D4137*J4137)</f>
        <v/>
      </c>
      <c r="L4137" s="4562">
        <f>XLOOKUP(B4137,'_Sys|Line_Map'!$A:$A,'_Sys|Line_Map'!$B:$B,"MISSING",0)</f>
        <v/>
      </c>
    </row>
    <row r="4138">
      <c r="A4138" s="4561" t="n"/>
      <c r="B4138" s="4561" t="n"/>
      <c r="C4138" s="4561" t="n"/>
      <c r="D4138" s="4561" t="n"/>
      <c r="E4138" s="4561" t="n"/>
      <c r="F4138" s="4561" t="n"/>
      <c r="G4138" s="4561" t="n"/>
      <c r="H4138" s="4561" t="n"/>
      <c r="I4138" s="4562">
        <f>XLOOKUP(B4138,'_Sys|Line_Map'!$A:$A,'_Sys|Line_Map'!$C:$C,"MISSING",0)</f>
        <v/>
      </c>
      <c r="J4138" s="4562">
        <f>XLOOKUP(B4138,'_Sys|Line_Map'!$A:$A,'_Sys|Line_Map'!$D:$D,1,0)</f>
        <v/>
      </c>
      <c r="K4138" s="4562">
        <f>IF(D4138="","",D4138*J4138)</f>
        <v/>
      </c>
      <c r="L4138" s="4562">
        <f>XLOOKUP(B4138,'_Sys|Line_Map'!$A:$A,'_Sys|Line_Map'!$B:$B,"MISSING",0)</f>
        <v/>
      </c>
    </row>
    <row r="4139">
      <c r="A4139" s="4561" t="n"/>
      <c r="B4139" s="4561" t="n"/>
      <c r="C4139" s="4561" t="n"/>
      <c r="D4139" s="4561" t="n"/>
      <c r="E4139" s="4561" t="n"/>
      <c r="F4139" s="4561" t="n"/>
      <c r="G4139" s="4561" t="n"/>
      <c r="H4139" s="4561" t="n"/>
      <c r="I4139" s="4562">
        <f>XLOOKUP(B4139,'_Sys|Line_Map'!$A:$A,'_Sys|Line_Map'!$C:$C,"MISSING",0)</f>
        <v/>
      </c>
      <c r="J4139" s="4562">
        <f>XLOOKUP(B4139,'_Sys|Line_Map'!$A:$A,'_Sys|Line_Map'!$D:$D,1,0)</f>
        <v/>
      </c>
      <c r="K4139" s="4562">
        <f>IF(D4139="","",D4139*J4139)</f>
        <v/>
      </c>
      <c r="L4139" s="4562">
        <f>XLOOKUP(B4139,'_Sys|Line_Map'!$A:$A,'_Sys|Line_Map'!$B:$B,"MISSING",0)</f>
        <v/>
      </c>
    </row>
    <row r="4140">
      <c r="A4140" s="4561" t="n"/>
      <c r="B4140" s="4561" t="n"/>
      <c r="C4140" s="4561" t="n"/>
      <c r="D4140" s="4561" t="n"/>
      <c r="E4140" s="4561" t="n"/>
      <c r="F4140" s="4561" t="n"/>
      <c r="G4140" s="4561" t="n"/>
      <c r="H4140" s="4561" t="n"/>
      <c r="I4140" s="4562">
        <f>XLOOKUP(B4140,'_Sys|Line_Map'!$A:$A,'_Sys|Line_Map'!$C:$C,"MISSING",0)</f>
        <v/>
      </c>
      <c r="J4140" s="4562">
        <f>XLOOKUP(B4140,'_Sys|Line_Map'!$A:$A,'_Sys|Line_Map'!$D:$D,1,0)</f>
        <v/>
      </c>
      <c r="K4140" s="4562">
        <f>IF(D4140="","",D4140*J4140)</f>
        <v/>
      </c>
      <c r="L4140" s="4562">
        <f>XLOOKUP(B4140,'_Sys|Line_Map'!$A:$A,'_Sys|Line_Map'!$B:$B,"MISSING",0)</f>
        <v/>
      </c>
    </row>
    <row r="4141">
      <c r="A4141" s="4561" t="n"/>
      <c r="B4141" s="4561" t="n"/>
      <c r="C4141" s="4561" t="n"/>
      <c r="D4141" s="4561" t="n"/>
      <c r="E4141" s="4561" t="n"/>
      <c r="F4141" s="4561" t="n"/>
      <c r="G4141" s="4561" t="n"/>
      <c r="H4141" s="4561" t="n"/>
      <c r="I4141" s="4562">
        <f>XLOOKUP(B4141,'_Sys|Line_Map'!$A:$A,'_Sys|Line_Map'!$C:$C,"MISSING",0)</f>
        <v/>
      </c>
      <c r="J4141" s="4562">
        <f>XLOOKUP(B4141,'_Sys|Line_Map'!$A:$A,'_Sys|Line_Map'!$D:$D,1,0)</f>
        <v/>
      </c>
      <c r="K4141" s="4562">
        <f>IF(D4141="","",D4141*J4141)</f>
        <v/>
      </c>
      <c r="L4141" s="4562">
        <f>XLOOKUP(B4141,'_Sys|Line_Map'!$A:$A,'_Sys|Line_Map'!$B:$B,"MISSING",0)</f>
        <v/>
      </c>
    </row>
    <row r="4142">
      <c r="A4142" s="4561" t="n"/>
      <c r="B4142" s="4561" t="n"/>
      <c r="C4142" s="4561" t="n"/>
      <c r="D4142" s="4561" t="n"/>
      <c r="E4142" s="4561" t="n"/>
      <c r="F4142" s="4561" t="n"/>
      <c r="G4142" s="4561" t="n"/>
      <c r="H4142" s="4561" t="n"/>
      <c r="I4142" s="4562">
        <f>XLOOKUP(B4142,'_Sys|Line_Map'!$A:$A,'_Sys|Line_Map'!$C:$C,"MISSING",0)</f>
        <v/>
      </c>
      <c r="J4142" s="4562">
        <f>XLOOKUP(B4142,'_Sys|Line_Map'!$A:$A,'_Sys|Line_Map'!$D:$D,1,0)</f>
        <v/>
      </c>
      <c r="K4142" s="4562">
        <f>IF(D4142="","",D4142*J4142)</f>
        <v/>
      </c>
      <c r="L4142" s="4562">
        <f>XLOOKUP(B4142,'_Sys|Line_Map'!$A:$A,'_Sys|Line_Map'!$B:$B,"MISSING",0)</f>
        <v/>
      </c>
    </row>
    <row r="4143">
      <c r="A4143" s="4561" t="n"/>
      <c r="B4143" s="4561" t="n"/>
      <c r="C4143" s="4561" t="n"/>
      <c r="D4143" s="4561" t="n"/>
      <c r="E4143" s="4561" t="n"/>
      <c r="F4143" s="4561" t="n"/>
      <c r="G4143" s="4561" t="n"/>
      <c r="H4143" s="4561" t="n"/>
      <c r="I4143" s="4562">
        <f>XLOOKUP(B4143,'_Sys|Line_Map'!$A:$A,'_Sys|Line_Map'!$C:$C,"MISSING",0)</f>
        <v/>
      </c>
      <c r="J4143" s="4562">
        <f>XLOOKUP(B4143,'_Sys|Line_Map'!$A:$A,'_Sys|Line_Map'!$D:$D,1,0)</f>
        <v/>
      </c>
      <c r="K4143" s="4562">
        <f>IF(D4143="","",D4143*J4143)</f>
        <v/>
      </c>
      <c r="L4143" s="4562">
        <f>XLOOKUP(B4143,'_Sys|Line_Map'!$A:$A,'_Sys|Line_Map'!$B:$B,"MISSING",0)</f>
        <v/>
      </c>
    </row>
    <row r="4144">
      <c r="A4144" s="4561" t="n"/>
      <c r="B4144" s="4561" t="n"/>
      <c r="C4144" s="4561" t="n"/>
      <c r="D4144" s="4561" t="n"/>
      <c r="E4144" s="4561" t="n"/>
      <c r="F4144" s="4561" t="n"/>
      <c r="G4144" s="4561" t="n"/>
      <c r="H4144" s="4561" t="n"/>
      <c r="I4144" s="4562">
        <f>XLOOKUP(B4144,'_Sys|Line_Map'!$A:$A,'_Sys|Line_Map'!$C:$C,"MISSING",0)</f>
        <v/>
      </c>
      <c r="J4144" s="4562">
        <f>XLOOKUP(B4144,'_Sys|Line_Map'!$A:$A,'_Sys|Line_Map'!$D:$D,1,0)</f>
        <v/>
      </c>
      <c r="K4144" s="4562">
        <f>IF(D4144="","",D4144*J4144)</f>
        <v/>
      </c>
      <c r="L4144" s="4562">
        <f>XLOOKUP(B4144,'_Sys|Line_Map'!$A:$A,'_Sys|Line_Map'!$B:$B,"MISSING",0)</f>
        <v/>
      </c>
    </row>
    <row r="4145">
      <c r="A4145" s="4561" t="n"/>
      <c r="B4145" s="4561" t="n"/>
      <c r="C4145" s="4561" t="n"/>
      <c r="D4145" s="4561" t="n"/>
      <c r="E4145" s="4561" t="n"/>
      <c r="F4145" s="4561" t="n"/>
      <c r="G4145" s="4561" t="n"/>
      <c r="H4145" s="4561" t="n"/>
      <c r="I4145" s="4562">
        <f>XLOOKUP(B4145,'_Sys|Line_Map'!$A:$A,'_Sys|Line_Map'!$C:$C,"MISSING",0)</f>
        <v/>
      </c>
      <c r="J4145" s="4562">
        <f>XLOOKUP(B4145,'_Sys|Line_Map'!$A:$A,'_Sys|Line_Map'!$D:$D,1,0)</f>
        <v/>
      </c>
      <c r="K4145" s="4562">
        <f>IF(D4145="","",D4145*J4145)</f>
        <v/>
      </c>
      <c r="L4145" s="4562">
        <f>XLOOKUP(B4145,'_Sys|Line_Map'!$A:$A,'_Sys|Line_Map'!$B:$B,"MISSING",0)</f>
        <v/>
      </c>
    </row>
    <row r="4146">
      <c r="A4146" s="4561" t="n"/>
      <c r="B4146" s="4561" t="n"/>
      <c r="C4146" s="4561" t="n"/>
      <c r="D4146" s="4561" t="n"/>
      <c r="E4146" s="4561" t="n"/>
      <c r="F4146" s="4561" t="n"/>
      <c r="G4146" s="4561" t="n"/>
      <c r="H4146" s="4561" t="n"/>
      <c r="I4146" s="4562">
        <f>XLOOKUP(B4146,'_Sys|Line_Map'!$A:$A,'_Sys|Line_Map'!$C:$C,"MISSING",0)</f>
        <v/>
      </c>
      <c r="J4146" s="4562">
        <f>XLOOKUP(B4146,'_Sys|Line_Map'!$A:$A,'_Sys|Line_Map'!$D:$D,1,0)</f>
        <v/>
      </c>
      <c r="K4146" s="4562">
        <f>IF(D4146="","",D4146*J4146)</f>
        <v/>
      </c>
      <c r="L4146" s="4562">
        <f>XLOOKUP(B4146,'_Sys|Line_Map'!$A:$A,'_Sys|Line_Map'!$B:$B,"MISSING",0)</f>
        <v/>
      </c>
    </row>
    <row r="4147">
      <c r="A4147" s="4561" t="n"/>
      <c r="B4147" s="4561" t="n"/>
      <c r="C4147" s="4561" t="n"/>
      <c r="D4147" s="4561" t="n"/>
      <c r="E4147" s="4561" t="n"/>
      <c r="F4147" s="4561" t="n"/>
      <c r="G4147" s="4561" t="n"/>
      <c r="H4147" s="4561" t="n"/>
      <c r="I4147" s="4562">
        <f>XLOOKUP(B4147,'_Sys|Line_Map'!$A:$A,'_Sys|Line_Map'!$C:$C,"MISSING",0)</f>
        <v/>
      </c>
      <c r="J4147" s="4562">
        <f>XLOOKUP(B4147,'_Sys|Line_Map'!$A:$A,'_Sys|Line_Map'!$D:$D,1,0)</f>
        <v/>
      </c>
      <c r="K4147" s="4562">
        <f>IF(D4147="","",D4147*J4147)</f>
        <v/>
      </c>
      <c r="L4147" s="4562">
        <f>XLOOKUP(B4147,'_Sys|Line_Map'!$A:$A,'_Sys|Line_Map'!$B:$B,"MISSING",0)</f>
        <v/>
      </c>
    </row>
    <row r="4148">
      <c r="A4148" s="4561" t="n"/>
      <c r="B4148" s="4561" t="n"/>
      <c r="C4148" s="4561" t="n"/>
      <c r="D4148" s="4561" t="n"/>
      <c r="E4148" s="4561" t="n"/>
      <c r="F4148" s="4561" t="n"/>
      <c r="G4148" s="4561" t="n"/>
      <c r="H4148" s="4561" t="n"/>
      <c r="I4148" s="4562">
        <f>XLOOKUP(B4148,'_Sys|Line_Map'!$A:$A,'_Sys|Line_Map'!$C:$C,"MISSING",0)</f>
        <v/>
      </c>
      <c r="J4148" s="4562">
        <f>XLOOKUP(B4148,'_Sys|Line_Map'!$A:$A,'_Sys|Line_Map'!$D:$D,1,0)</f>
        <v/>
      </c>
      <c r="K4148" s="4562">
        <f>IF(D4148="","",D4148*J4148)</f>
        <v/>
      </c>
      <c r="L4148" s="4562">
        <f>XLOOKUP(B4148,'_Sys|Line_Map'!$A:$A,'_Sys|Line_Map'!$B:$B,"MISSING",0)</f>
        <v/>
      </c>
    </row>
    <row r="4149">
      <c r="A4149" s="4561" t="n"/>
      <c r="B4149" s="4561" t="n"/>
      <c r="C4149" s="4561" t="n"/>
      <c r="D4149" s="4561" t="n"/>
      <c r="E4149" s="4561" t="n"/>
      <c r="F4149" s="4561" t="n"/>
      <c r="G4149" s="4561" t="n"/>
      <c r="H4149" s="4561" t="n"/>
      <c r="I4149" s="4562">
        <f>XLOOKUP(B4149,'_Sys|Line_Map'!$A:$A,'_Sys|Line_Map'!$C:$C,"MISSING",0)</f>
        <v/>
      </c>
      <c r="J4149" s="4562">
        <f>XLOOKUP(B4149,'_Sys|Line_Map'!$A:$A,'_Sys|Line_Map'!$D:$D,1,0)</f>
        <v/>
      </c>
      <c r="K4149" s="4562">
        <f>IF(D4149="","",D4149*J4149)</f>
        <v/>
      </c>
      <c r="L4149" s="4562">
        <f>XLOOKUP(B4149,'_Sys|Line_Map'!$A:$A,'_Sys|Line_Map'!$B:$B,"MISSING",0)</f>
        <v/>
      </c>
    </row>
    <row r="4150">
      <c r="A4150" s="4561" t="n"/>
      <c r="B4150" s="4561" t="n"/>
      <c r="C4150" s="4561" t="n"/>
      <c r="D4150" s="4561" t="n"/>
      <c r="E4150" s="4561" t="n"/>
      <c r="F4150" s="4561" t="n"/>
      <c r="G4150" s="4561" t="n"/>
      <c r="H4150" s="4561" t="n"/>
      <c r="I4150" s="4562">
        <f>XLOOKUP(B4150,'_Sys|Line_Map'!$A:$A,'_Sys|Line_Map'!$C:$C,"MISSING",0)</f>
        <v/>
      </c>
      <c r="J4150" s="4562">
        <f>XLOOKUP(B4150,'_Sys|Line_Map'!$A:$A,'_Sys|Line_Map'!$D:$D,1,0)</f>
        <v/>
      </c>
      <c r="K4150" s="4562">
        <f>IF(D4150="","",D4150*J4150)</f>
        <v/>
      </c>
      <c r="L4150" s="4562">
        <f>XLOOKUP(B4150,'_Sys|Line_Map'!$A:$A,'_Sys|Line_Map'!$B:$B,"MISSING",0)</f>
        <v/>
      </c>
    </row>
    <row r="4151">
      <c r="A4151" s="4561" t="n"/>
      <c r="B4151" s="4561" t="n"/>
      <c r="C4151" s="4561" t="n"/>
      <c r="D4151" s="4561" t="n"/>
      <c r="E4151" s="4561" t="n"/>
      <c r="F4151" s="4561" t="n"/>
      <c r="G4151" s="4561" t="n"/>
      <c r="H4151" s="4561" t="n"/>
      <c r="I4151" s="4562">
        <f>XLOOKUP(B4151,'_Sys|Line_Map'!$A:$A,'_Sys|Line_Map'!$C:$C,"MISSING",0)</f>
        <v/>
      </c>
      <c r="J4151" s="4562">
        <f>XLOOKUP(B4151,'_Sys|Line_Map'!$A:$A,'_Sys|Line_Map'!$D:$D,1,0)</f>
        <v/>
      </c>
      <c r="K4151" s="4562">
        <f>IF(D4151="","",D4151*J4151)</f>
        <v/>
      </c>
      <c r="L4151" s="4562">
        <f>XLOOKUP(B4151,'_Sys|Line_Map'!$A:$A,'_Sys|Line_Map'!$B:$B,"MISSING",0)</f>
        <v/>
      </c>
    </row>
    <row r="4152">
      <c r="A4152" s="4561" t="n"/>
      <c r="B4152" s="4561" t="n"/>
      <c r="C4152" s="4561" t="n"/>
      <c r="D4152" s="4561" t="n"/>
      <c r="E4152" s="4561" t="n"/>
      <c r="F4152" s="4561" t="n"/>
      <c r="G4152" s="4561" t="n"/>
      <c r="H4152" s="4561" t="n"/>
      <c r="I4152" s="4562">
        <f>XLOOKUP(B4152,'_Sys|Line_Map'!$A:$A,'_Sys|Line_Map'!$C:$C,"MISSING",0)</f>
        <v/>
      </c>
      <c r="J4152" s="4562">
        <f>XLOOKUP(B4152,'_Sys|Line_Map'!$A:$A,'_Sys|Line_Map'!$D:$D,1,0)</f>
        <v/>
      </c>
      <c r="K4152" s="4562">
        <f>IF(D4152="","",D4152*J4152)</f>
        <v/>
      </c>
      <c r="L4152" s="4562">
        <f>XLOOKUP(B4152,'_Sys|Line_Map'!$A:$A,'_Sys|Line_Map'!$B:$B,"MISSING",0)</f>
        <v/>
      </c>
    </row>
    <row r="4153">
      <c r="A4153" s="4561" t="n"/>
      <c r="B4153" s="4561" t="n"/>
      <c r="C4153" s="4561" t="n"/>
      <c r="D4153" s="4561" t="n"/>
      <c r="E4153" s="4561" t="n"/>
      <c r="F4153" s="4561" t="n"/>
      <c r="G4153" s="4561" t="n"/>
      <c r="H4153" s="4561" t="n"/>
      <c r="I4153" s="4562">
        <f>XLOOKUP(B4153,'_Sys|Line_Map'!$A:$A,'_Sys|Line_Map'!$C:$C,"MISSING",0)</f>
        <v/>
      </c>
      <c r="J4153" s="4562">
        <f>XLOOKUP(B4153,'_Sys|Line_Map'!$A:$A,'_Sys|Line_Map'!$D:$D,1,0)</f>
        <v/>
      </c>
      <c r="K4153" s="4562">
        <f>IF(D4153="","",D4153*J4153)</f>
        <v/>
      </c>
      <c r="L4153" s="4562">
        <f>XLOOKUP(B4153,'_Sys|Line_Map'!$A:$A,'_Sys|Line_Map'!$B:$B,"MISSING",0)</f>
        <v/>
      </c>
    </row>
    <row r="4154">
      <c r="A4154" s="4561" t="n"/>
      <c r="B4154" s="4561" t="n"/>
      <c r="C4154" s="4561" t="n"/>
      <c r="D4154" s="4561" t="n"/>
      <c r="E4154" s="4561" t="n"/>
      <c r="F4154" s="4561" t="n"/>
      <c r="G4154" s="4561" t="n"/>
      <c r="H4154" s="4561" t="n"/>
      <c r="I4154" s="4562">
        <f>XLOOKUP(B4154,'_Sys|Line_Map'!$A:$A,'_Sys|Line_Map'!$C:$C,"MISSING",0)</f>
        <v/>
      </c>
      <c r="J4154" s="4562">
        <f>XLOOKUP(B4154,'_Sys|Line_Map'!$A:$A,'_Sys|Line_Map'!$D:$D,1,0)</f>
        <v/>
      </c>
      <c r="K4154" s="4562">
        <f>IF(D4154="","",D4154*J4154)</f>
        <v/>
      </c>
      <c r="L4154" s="4562">
        <f>XLOOKUP(B4154,'_Sys|Line_Map'!$A:$A,'_Sys|Line_Map'!$B:$B,"MISSING",0)</f>
        <v/>
      </c>
    </row>
    <row r="4155">
      <c r="A4155" s="4561" t="n"/>
      <c r="B4155" s="4561" t="n"/>
      <c r="C4155" s="4561" t="n"/>
      <c r="D4155" s="4561" t="n"/>
      <c r="E4155" s="4561" t="n"/>
      <c r="F4155" s="4561" t="n"/>
      <c r="G4155" s="4561" t="n"/>
      <c r="H4155" s="4561" t="n"/>
      <c r="I4155" s="4562">
        <f>XLOOKUP(B4155,'_Sys|Line_Map'!$A:$A,'_Sys|Line_Map'!$C:$C,"MISSING",0)</f>
        <v/>
      </c>
      <c r="J4155" s="4562">
        <f>XLOOKUP(B4155,'_Sys|Line_Map'!$A:$A,'_Sys|Line_Map'!$D:$D,1,0)</f>
        <v/>
      </c>
      <c r="K4155" s="4562">
        <f>IF(D4155="","",D4155*J4155)</f>
        <v/>
      </c>
      <c r="L4155" s="4562">
        <f>XLOOKUP(B4155,'_Sys|Line_Map'!$A:$A,'_Sys|Line_Map'!$B:$B,"MISSING",0)</f>
        <v/>
      </c>
    </row>
    <row r="4156">
      <c r="A4156" s="4561" t="n"/>
      <c r="B4156" s="4561" t="n"/>
      <c r="C4156" s="4561" t="n"/>
      <c r="D4156" s="4561" t="n"/>
      <c r="E4156" s="4561" t="n"/>
      <c r="F4156" s="4561" t="n"/>
      <c r="G4156" s="4561" t="n"/>
      <c r="H4156" s="4561" t="n"/>
      <c r="I4156" s="4562">
        <f>XLOOKUP(B4156,'_Sys|Line_Map'!$A:$A,'_Sys|Line_Map'!$C:$C,"MISSING",0)</f>
        <v/>
      </c>
      <c r="J4156" s="4562">
        <f>XLOOKUP(B4156,'_Sys|Line_Map'!$A:$A,'_Sys|Line_Map'!$D:$D,1,0)</f>
        <v/>
      </c>
      <c r="K4156" s="4562">
        <f>IF(D4156="","",D4156*J4156)</f>
        <v/>
      </c>
      <c r="L4156" s="4562">
        <f>XLOOKUP(B4156,'_Sys|Line_Map'!$A:$A,'_Sys|Line_Map'!$B:$B,"MISSING",0)</f>
        <v/>
      </c>
    </row>
    <row r="4157">
      <c r="A4157" s="4561" t="n"/>
      <c r="B4157" s="4561" t="n"/>
      <c r="C4157" s="4561" t="n"/>
      <c r="D4157" s="4561" t="n"/>
      <c r="E4157" s="4561" t="n"/>
      <c r="F4157" s="4561" t="n"/>
      <c r="G4157" s="4561" t="n"/>
      <c r="H4157" s="4561" t="n"/>
      <c r="I4157" s="4562">
        <f>XLOOKUP(B4157,'_Sys|Line_Map'!$A:$A,'_Sys|Line_Map'!$C:$C,"MISSING",0)</f>
        <v/>
      </c>
      <c r="J4157" s="4562">
        <f>XLOOKUP(B4157,'_Sys|Line_Map'!$A:$A,'_Sys|Line_Map'!$D:$D,1,0)</f>
        <v/>
      </c>
      <c r="K4157" s="4562">
        <f>IF(D4157="","",D4157*J4157)</f>
        <v/>
      </c>
      <c r="L4157" s="4562">
        <f>XLOOKUP(B4157,'_Sys|Line_Map'!$A:$A,'_Sys|Line_Map'!$B:$B,"MISSING",0)</f>
        <v/>
      </c>
    </row>
    <row r="4158">
      <c r="A4158" s="4561" t="n"/>
      <c r="B4158" s="4561" t="n"/>
      <c r="C4158" s="4561" t="n"/>
      <c r="D4158" s="4561" t="n"/>
      <c r="E4158" s="4561" t="n"/>
      <c r="F4158" s="4561" t="n"/>
      <c r="G4158" s="4561" t="n"/>
      <c r="H4158" s="4561" t="n"/>
      <c r="I4158" s="4562">
        <f>XLOOKUP(B4158,'_Sys|Line_Map'!$A:$A,'_Sys|Line_Map'!$C:$C,"MISSING",0)</f>
        <v/>
      </c>
      <c r="J4158" s="4562">
        <f>XLOOKUP(B4158,'_Sys|Line_Map'!$A:$A,'_Sys|Line_Map'!$D:$D,1,0)</f>
        <v/>
      </c>
      <c r="K4158" s="4562">
        <f>IF(D4158="","",D4158*J4158)</f>
        <v/>
      </c>
      <c r="L4158" s="4562">
        <f>XLOOKUP(B4158,'_Sys|Line_Map'!$A:$A,'_Sys|Line_Map'!$B:$B,"MISSING",0)</f>
        <v/>
      </c>
    </row>
    <row r="4159">
      <c r="A4159" s="4561" t="n"/>
      <c r="B4159" s="4561" t="n"/>
      <c r="C4159" s="4561" t="n"/>
      <c r="D4159" s="4561" t="n"/>
      <c r="E4159" s="4561" t="n"/>
      <c r="F4159" s="4561" t="n"/>
      <c r="G4159" s="4561" t="n"/>
      <c r="H4159" s="4561" t="n"/>
      <c r="I4159" s="4562">
        <f>XLOOKUP(B4159,'_Sys|Line_Map'!$A:$A,'_Sys|Line_Map'!$C:$C,"MISSING",0)</f>
        <v/>
      </c>
      <c r="J4159" s="4562">
        <f>XLOOKUP(B4159,'_Sys|Line_Map'!$A:$A,'_Sys|Line_Map'!$D:$D,1,0)</f>
        <v/>
      </c>
      <c r="K4159" s="4562">
        <f>IF(D4159="","",D4159*J4159)</f>
        <v/>
      </c>
      <c r="L4159" s="4562">
        <f>XLOOKUP(B4159,'_Sys|Line_Map'!$A:$A,'_Sys|Line_Map'!$B:$B,"MISSING",0)</f>
        <v/>
      </c>
    </row>
    <row r="4160">
      <c r="A4160" s="4561" t="n"/>
      <c r="B4160" s="4561" t="n"/>
      <c r="C4160" s="4561" t="n"/>
      <c r="D4160" s="4561" t="n"/>
      <c r="E4160" s="4561" t="n"/>
      <c r="F4160" s="4561" t="n"/>
      <c r="G4160" s="4561" t="n"/>
      <c r="H4160" s="4561" t="n"/>
      <c r="I4160" s="4562">
        <f>XLOOKUP(B4160,'_Sys|Line_Map'!$A:$A,'_Sys|Line_Map'!$C:$C,"MISSING",0)</f>
        <v/>
      </c>
      <c r="J4160" s="4562">
        <f>XLOOKUP(B4160,'_Sys|Line_Map'!$A:$A,'_Sys|Line_Map'!$D:$D,1,0)</f>
        <v/>
      </c>
      <c r="K4160" s="4562">
        <f>IF(D4160="","",D4160*J4160)</f>
        <v/>
      </c>
      <c r="L4160" s="4562">
        <f>XLOOKUP(B4160,'_Sys|Line_Map'!$A:$A,'_Sys|Line_Map'!$B:$B,"MISSING",0)</f>
        <v/>
      </c>
    </row>
    <row r="4161">
      <c r="A4161" s="4561" t="n"/>
      <c r="B4161" s="4561" t="n"/>
      <c r="C4161" s="4561" t="n"/>
      <c r="D4161" s="4561" t="n"/>
      <c r="E4161" s="4561" t="n"/>
      <c r="F4161" s="4561" t="n"/>
      <c r="G4161" s="4561" t="n"/>
      <c r="H4161" s="4561" t="n"/>
      <c r="I4161" s="4562">
        <f>XLOOKUP(B4161,'_Sys|Line_Map'!$A:$A,'_Sys|Line_Map'!$C:$C,"MISSING",0)</f>
        <v/>
      </c>
      <c r="J4161" s="4562">
        <f>XLOOKUP(B4161,'_Sys|Line_Map'!$A:$A,'_Sys|Line_Map'!$D:$D,1,0)</f>
        <v/>
      </c>
      <c r="K4161" s="4562">
        <f>IF(D4161="","",D4161*J4161)</f>
        <v/>
      </c>
      <c r="L4161" s="4562">
        <f>XLOOKUP(B4161,'_Sys|Line_Map'!$A:$A,'_Sys|Line_Map'!$B:$B,"MISSING",0)</f>
        <v/>
      </c>
    </row>
    <row r="4162">
      <c r="A4162" s="4561" t="n"/>
      <c r="B4162" s="4561" t="n"/>
      <c r="C4162" s="4561" t="n"/>
      <c r="D4162" s="4561" t="n"/>
      <c r="E4162" s="4561" t="n"/>
      <c r="F4162" s="4561" t="n"/>
      <c r="G4162" s="4561" t="n"/>
      <c r="H4162" s="4561" t="n"/>
      <c r="I4162" s="4562">
        <f>XLOOKUP(B4162,'_Sys|Line_Map'!$A:$A,'_Sys|Line_Map'!$C:$C,"MISSING",0)</f>
        <v/>
      </c>
      <c r="J4162" s="4562">
        <f>XLOOKUP(B4162,'_Sys|Line_Map'!$A:$A,'_Sys|Line_Map'!$D:$D,1,0)</f>
        <v/>
      </c>
      <c r="K4162" s="4562">
        <f>IF(D4162="","",D4162*J4162)</f>
        <v/>
      </c>
      <c r="L4162" s="4562">
        <f>XLOOKUP(B4162,'_Sys|Line_Map'!$A:$A,'_Sys|Line_Map'!$B:$B,"MISSING",0)</f>
        <v/>
      </c>
    </row>
    <row r="4163">
      <c r="A4163" s="4561" t="n"/>
      <c r="B4163" s="4561" t="n"/>
      <c r="C4163" s="4561" t="n"/>
      <c r="D4163" s="4561" t="n"/>
      <c r="E4163" s="4561" t="n"/>
      <c r="F4163" s="4561" t="n"/>
      <c r="G4163" s="4561" t="n"/>
      <c r="H4163" s="4561" t="n"/>
      <c r="I4163" s="4562">
        <f>XLOOKUP(B4163,'_Sys|Line_Map'!$A:$A,'_Sys|Line_Map'!$C:$C,"MISSING",0)</f>
        <v/>
      </c>
      <c r="J4163" s="4562">
        <f>XLOOKUP(B4163,'_Sys|Line_Map'!$A:$A,'_Sys|Line_Map'!$D:$D,1,0)</f>
        <v/>
      </c>
      <c r="K4163" s="4562">
        <f>IF(D4163="","",D4163*J4163)</f>
        <v/>
      </c>
      <c r="L4163" s="4562">
        <f>XLOOKUP(B4163,'_Sys|Line_Map'!$A:$A,'_Sys|Line_Map'!$B:$B,"MISSING",0)</f>
        <v/>
      </c>
    </row>
    <row r="4164">
      <c r="A4164" s="4561" t="n"/>
      <c r="B4164" s="4561" t="n"/>
      <c r="C4164" s="4561" t="n"/>
      <c r="D4164" s="4561" t="n"/>
      <c r="E4164" s="4561" t="n"/>
      <c r="F4164" s="4561" t="n"/>
      <c r="G4164" s="4561" t="n"/>
      <c r="H4164" s="4561" t="n"/>
      <c r="I4164" s="4562">
        <f>XLOOKUP(B4164,'_Sys|Line_Map'!$A:$A,'_Sys|Line_Map'!$C:$C,"MISSING",0)</f>
        <v/>
      </c>
      <c r="J4164" s="4562">
        <f>XLOOKUP(B4164,'_Sys|Line_Map'!$A:$A,'_Sys|Line_Map'!$D:$D,1,0)</f>
        <v/>
      </c>
      <c r="K4164" s="4562">
        <f>IF(D4164="","",D4164*J4164)</f>
        <v/>
      </c>
      <c r="L4164" s="4562">
        <f>XLOOKUP(B4164,'_Sys|Line_Map'!$A:$A,'_Sys|Line_Map'!$B:$B,"MISSING",0)</f>
        <v/>
      </c>
    </row>
    <row r="4165">
      <c r="A4165" s="4561" t="n"/>
      <c r="B4165" s="4561" t="n"/>
      <c r="C4165" s="4561" t="n"/>
      <c r="D4165" s="4561" t="n"/>
      <c r="E4165" s="4561" t="n"/>
      <c r="F4165" s="4561" t="n"/>
      <c r="G4165" s="4561" t="n"/>
      <c r="H4165" s="4561" t="n"/>
      <c r="I4165" s="4562">
        <f>XLOOKUP(B4165,'_Sys|Line_Map'!$A:$A,'_Sys|Line_Map'!$C:$C,"MISSING",0)</f>
        <v/>
      </c>
      <c r="J4165" s="4562">
        <f>XLOOKUP(B4165,'_Sys|Line_Map'!$A:$A,'_Sys|Line_Map'!$D:$D,1,0)</f>
        <v/>
      </c>
      <c r="K4165" s="4562">
        <f>IF(D4165="","",D4165*J4165)</f>
        <v/>
      </c>
      <c r="L4165" s="4562">
        <f>XLOOKUP(B4165,'_Sys|Line_Map'!$A:$A,'_Sys|Line_Map'!$B:$B,"MISSING",0)</f>
        <v/>
      </c>
    </row>
    <row r="4166">
      <c r="A4166" s="4561" t="n"/>
      <c r="B4166" s="4561" t="n"/>
      <c r="C4166" s="4561" t="n"/>
      <c r="D4166" s="4561" t="n"/>
      <c r="E4166" s="4561" t="n"/>
      <c r="F4166" s="4561" t="n"/>
      <c r="G4166" s="4561" t="n"/>
      <c r="H4166" s="4561" t="n"/>
      <c r="I4166" s="4562">
        <f>XLOOKUP(B4166,'_Sys|Line_Map'!$A:$A,'_Sys|Line_Map'!$C:$C,"MISSING",0)</f>
        <v/>
      </c>
      <c r="J4166" s="4562">
        <f>XLOOKUP(B4166,'_Sys|Line_Map'!$A:$A,'_Sys|Line_Map'!$D:$D,1,0)</f>
        <v/>
      </c>
      <c r="K4166" s="4562">
        <f>IF(D4166="","",D4166*J4166)</f>
        <v/>
      </c>
      <c r="L4166" s="4562">
        <f>XLOOKUP(B4166,'_Sys|Line_Map'!$A:$A,'_Sys|Line_Map'!$B:$B,"MISSING",0)</f>
        <v/>
      </c>
    </row>
    <row r="4167">
      <c r="A4167" s="4561" t="n"/>
      <c r="B4167" s="4561" t="n"/>
      <c r="C4167" s="4561" t="n"/>
      <c r="D4167" s="4561" t="n"/>
      <c r="E4167" s="4561" t="n"/>
      <c r="F4167" s="4561" t="n"/>
      <c r="G4167" s="4561" t="n"/>
      <c r="H4167" s="4561" t="n"/>
      <c r="I4167" s="4562">
        <f>XLOOKUP(B4167,'_Sys|Line_Map'!$A:$A,'_Sys|Line_Map'!$C:$C,"MISSING",0)</f>
        <v/>
      </c>
      <c r="J4167" s="4562">
        <f>XLOOKUP(B4167,'_Sys|Line_Map'!$A:$A,'_Sys|Line_Map'!$D:$D,1,0)</f>
        <v/>
      </c>
      <c r="K4167" s="4562">
        <f>IF(D4167="","",D4167*J4167)</f>
        <v/>
      </c>
      <c r="L4167" s="4562">
        <f>XLOOKUP(B4167,'_Sys|Line_Map'!$A:$A,'_Sys|Line_Map'!$B:$B,"MISSING",0)</f>
        <v/>
      </c>
    </row>
    <row r="4168">
      <c r="A4168" s="4561" t="n"/>
      <c r="B4168" s="4561" t="n"/>
      <c r="C4168" s="4561" t="n"/>
      <c r="D4168" s="4561" t="n"/>
      <c r="E4168" s="4561" t="n"/>
      <c r="F4168" s="4561" t="n"/>
      <c r="G4168" s="4561" t="n"/>
      <c r="H4168" s="4561" t="n"/>
      <c r="I4168" s="4562">
        <f>XLOOKUP(B4168,'_Sys|Line_Map'!$A:$A,'_Sys|Line_Map'!$C:$C,"MISSING",0)</f>
        <v/>
      </c>
      <c r="J4168" s="4562">
        <f>XLOOKUP(B4168,'_Sys|Line_Map'!$A:$A,'_Sys|Line_Map'!$D:$D,1,0)</f>
        <v/>
      </c>
      <c r="K4168" s="4562">
        <f>IF(D4168="","",D4168*J4168)</f>
        <v/>
      </c>
      <c r="L4168" s="4562">
        <f>XLOOKUP(B4168,'_Sys|Line_Map'!$A:$A,'_Sys|Line_Map'!$B:$B,"MISSING",0)</f>
        <v/>
      </c>
    </row>
    <row r="4169">
      <c r="A4169" s="4561" t="n"/>
      <c r="B4169" s="4561" t="n"/>
      <c r="C4169" s="4561" t="n"/>
      <c r="D4169" s="4561" t="n"/>
      <c r="E4169" s="4561" t="n"/>
      <c r="F4169" s="4561" t="n"/>
      <c r="G4169" s="4561" t="n"/>
      <c r="H4169" s="4561" t="n"/>
      <c r="I4169" s="4562">
        <f>XLOOKUP(B4169,'_Sys|Line_Map'!$A:$A,'_Sys|Line_Map'!$C:$C,"MISSING",0)</f>
        <v/>
      </c>
      <c r="J4169" s="4562">
        <f>XLOOKUP(B4169,'_Sys|Line_Map'!$A:$A,'_Sys|Line_Map'!$D:$D,1,0)</f>
        <v/>
      </c>
      <c r="K4169" s="4562">
        <f>IF(D4169="","",D4169*J4169)</f>
        <v/>
      </c>
      <c r="L4169" s="4562">
        <f>XLOOKUP(B4169,'_Sys|Line_Map'!$A:$A,'_Sys|Line_Map'!$B:$B,"MISSING",0)</f>
        <v/>
      </c>
    </row>
    <row r="4170">
      <c r="A4170" s="4561" t="n"/>
      <c r="B4170" s="4561" t="n"/>
      <c r="C4170" s="4561" t="n"/>
      <c r="D4170" s="4561" t="n"/>
      <c r="E4170" s="4561" t="n"/>
      <c r="F4170" s="4561" t="n"/>
      <c r="G4170" s="4561" t="n"/>
      <c r="H4170" s="4561" t="n"/>
      <c r="I4170" s="4562">
        <f>XLOOKUP(B4170,'_Sys|Line_Map'!$A:$A,'_Sys|Line_Map'!$C:$C,"MISSING",0)</f>
        <v/>
      </c>
      <c r="J4170" s="4562">
        <f>XLOOKUP(B4170,'_Sys|Line_Map'!$A:$A,'_Sys|Line_Map'!$D:$D,1,0)</f>
        <v/>
      </c>
      <c r="K4170" s="4562">
        <f>IF(D4170="","",D4170*J4170)</f>
        <v/>
      </c>
      <c r="L4170" s="4562">
        <f>XLOOKUP(B4170,'_Sys|Line_Map'!$A:$A,'_Sys|Line_Map'!$B:$B,"MISSING",0)</f>
        <v/>
      </c>
    </row>
    <row r="4171">
      <c r="A4171" s="4561" t="n"/>
      <c r="B4171" s="4561" t="n"/>
      <c r="C4171" s="4561" t="n"/>
      <c r="D4171" s="4561" t="n"/>
      <c r="E4171" s="4561" t="n"/>
      <c r="F4171" s="4561" t="n"/>
      <c r="G4171" s="4561" t="n"/>
      <c r="H4171" s="4561" t="n"/>
      <c r="I4171" s="4562">
        <f>XLOOKUP(B4171,'_Sys|Line_Map'!$A:$A,'_Sys|Line_Map'!$C:$C,"MISSING",0)</f>
        <v/>
      </c>
      <c r="J4171" s="4562">
        <f>XLOOKUP(B4171,'_Sys|Line_Map'!$A:$A,'_Sys|Line_Map'!$D:$D,1,0)</f>
        <v/>
      </c>
      <c r="K4171" s="4562">
        <f>IF(D4171="","",D4171*J4171)</f>
        <v/>
      </c>
      <c r="L4171" s="4562">
        <f>XLOOKUP(B4171,'_Sys|Line_Map'!$A:$A,'_Sys|Line_Map'!$B:$B,"MISSING",0)</f>
        <v/>
      </c>
    </row>
    <row r="4172">
      <c r="A4172" s="4561" t="n"/>
      <c r="B4172" s="4561" t="n"/>
      <c r="C4172" s="4561" t="n"/>
      <c r="D4172" s="4561" t="n"/>
      <c r="E4172" s="4561" t="n"/>
      <c r="F4172" s="4561" t="n"/>
      <c r="G4172" s="4561" t="n"/>
      <c r="H4172" s="4561" t="n"/>
      <c r="I4172" s="4562">
        <f>XLOOKUP(B4172,'_Sys|Line_Map'!$A:$A,'_Sys|Line_Map'!$C:$C,"MISSING",0)</f>
        <v/>
      </c>
      <c r="J4172" s="4562">
        <f>XLOOKUP(B4172,'_Sys|Line_Map'!$A:$A,'_Sys|Line_Map'!$D:$D,1,0)</f>
        <v/>
      </c>
      <c r="K4172" s="4562">
        <f>IF(D4172="","",D4172*J4172)</f>
        <v/>
      </c>
      <c r="L4172" s="4562">
        <f>XLOOKUP(B4172,'_Sys|Line_Map'!$A:$A,'_Sys|Line_Map'!$B:$B,"MISSING",0)</f>
        <v/>
      </c>
    </row>
    <row r="4173">
      <c r="A4173" s="4561" t="n"/>
      <c r="B4173" s="4561" t="n"/>
      <c r="C4173" s="4561" t="n"/>
      <c r="D4173" s="4561" t="n"/>
      <c r="E4173" s="4561" t="n"/>
      <c r="F4173" s="4561" t="n"/>
      <c r="G4173" s="4561" t="n"/>
      <c r="H4173" s="4561" t="n"/>
      <c r="I4173" s="4562">
        <f>XLOOKUP(B4173,'_Sys|Line_Map'!$A:$A,'_Sys|Line_Map'!$C:$C,"MISSING",0)</f>
        <v/>
      </c>
      <c r="J4173" s="4562">
        <f>XLOOKUP(B4173,'_Sys|Line_Map'!$A:$A,'_Sys|Line_Map'!$D:$D,1,0)</f>
        <v/>
      </c>
      <c r="K4173" s="4562">
        <f>IF(D4173="","",D4173*J4173)</f>
        <v/>
      </c>
      <c r="L4173" s="4562">
        <f>XLOOKUP(B4173,'_Sys|Line_Map'!$A:$A,'_Sys|Line_Map'!$B:$B,"MISSING",0)</f>
        <v/>
      </c>
    </row>
    <row r="4174">
      <c r="A4174" s="4561" t="n"/>
      <c r="B4174" s="4561" t="n"/>
      <c r="C4174" s="4561" t="n"/>
      <c r="D4174" s="4561" t="n"/>
      <c r="E4174" s="4561" t="n"/>
      <c r="F4174" s="4561" t="n"/>
      <c r="G4174" s="4561" t="n"/>
      <c r="H4174" s="4561" t="n"/>
      <c r="I4174" s="4562">
        <f>XLOOKUP(B4174,'_Sys|Line_Map'!$A:$A,'_Sys|Line_Map'!$C:$C,"MISSING",0)</f>
        <v/>
      </c>
      <c r="J4174" s="4562">
        <f>XLOOKUP(B4174,'_Sys|Line_Map'!$A:$A,'_Sys|Line_Map'!$D:$D,1,0)</f>
        <v/>
      </c>
      <c r="K4174" s="4562">
        <f>IF(D4174="","",D4174*J4174)</f>
        <v/>
      </c>
      <c r="L4174" s="4562">
        <f>XLOOKUP(B4174,'_Sys|Line_Map'!$A:$A,'_Sys|Line_Map'!$B:$B,"MISSING",0)</f>
        <v/>
      </c>
    </row>
    <row r="4175">
      <c r="A4175" s="4561" t="n"/>
      <c r="B4175" s="4561" t="n"/>
      <c r="C4175" s="4561" t="n"/>
      <c r="D4175" s="4561" t="n"/>
      <c r="E4175" s="4561" t="n"/>
      <c r="F4175" s="4561" t="n"/>
      <c r="G4175" s="4561" t="n"/>
      <c r="H4175" s="4561" t="n"/>
      <c r="I4175" s="4562">
        <f>XLOOKUP(B4175,'_Sys|Line_Map'!$A:$A,'_Sys|Line_Map'!$C:$C,"MISSING",0)</f>
        <v/>
      </c>
      <c r="J4175" s="4562">
        <f>XLOOKUP(B4175,'_Sys|Line_Map'!$A:$A,'_Sys|Line_Map'!$D:$D,1,0)</f>
        <v/>
      </c>
      <c r="K4175" s="4562">
        <f>IF(D4175="","",D4175*J4175)</f>
        <v/>
      </c>
      <c r="L4175" s="4562">
        <f>XLOOKUP(B4175,'_Sys|Line_Map'!$A:$A,'_Sys|Line_Map'!$B:$B,"MISSING",0)</f>
        <v/>
      </c>
    </row>
    <row r="4176">
      <c r="A4176" s="4561" t="n"/>
      <c r="B4176" s="4561" t="n"/>
      <c r="C4176" s="4561" t="n"/>
      <c r="D4176" s="4561" t="n"/>
      <c r="E4176" s="4561" t="n"/>
      <c r="F4176" s="4561" t="n"/>
      <c r="G4176" s="4561" t="n"/>
      <c r="H4176" s="4561" t="n"/>
      <c r="I4176" s="4562">
        <f>XLOOKUP(B4176,'_Sys|Line_Map'!$A:$A,'_Sys|Line_Map'!$C:$C,"MISSING",0)</f>
        <v/>
      </c>
      <c r="J4176" s="4562">
        <f>XLOOKUP(B4176,'_Sys|Line_Map'!$A:$A,'_Sys|Line_Map'!$D:$D,1,0)</f>
        <v/>
      </c>
      <c r="K4176" s="4562">
        <f>IF(D4176="","",D4176*J4176)</f>
        <v/>
      </c>
      <c r="L4176" s="4562">
        <f>XLOOKUP(B4176,'_Sys|Line_Map'!$A:$A,'_Sys|Line_Map'!$B:$B,"MISSING",0)</f>
        <v/>
      </c>
    </row>
    <row r="4177">
      <c r="A4177" s="4561" t="n"/>
      <c r="B4177" s="4561" t="n"/>
      <c r="C4177" s="4561" t="n"/>
      <c r="D4177" s="4561" t="n"/>
      <c r="E4177" s="4561" t="n"/>
      <c r="F4177" s="4561" t="n"/>
      <c r="G4177" s="4561" t="n"/>
      <c r="H4177" s="4561" t="n"/>
      <c r="I4177" s="4562">
        <f>XLOOKUP(B4177,'_Sys|Line_Map'!$A:$A,'_Sys|Line_Map'!$C:$C,"MISSING",0)</f>
        <v/>
      </c>
      <c r="J4177" s="4562">
        <f>XLOOKUP(B4177,'_Sys|Line_Map'!$A:$A,'_Sys|Line_Map'!$D:$D,1,0)</f>
        <v/>
      </c>
      <c r="K4177" s="4562">
        <f>IF(D4177="","",D4177*J4177)</f>
        <v/>
      </c>
      <c r="L4177" s="4562">
        <f>XLOOKUP(B4177,'_Sys|Line_Map'!$A:$A,'_Sys|Line_Map'!$B:$B,"MISSING",0)</f>
        <v/>
      </c>
    </row>
    <row r="4178">
      <c r="A4178" s="4561" t="n"/>
      <c r="B4178" s="4561" t="n"/>
      <c r="C4178" s="4561" t="n"/>
      <c r="D4178" s="4561" t="n"/>
      <c r="E4178" s="4561" t="n"/>
      <c r="F4178" s="4561" t="n"/>
      <c r="G4178" s="4561" t="n"/>
      <c r="H4178" s="4561" t="n"/>
      <c r="I4178" s="4562">
        <f>XLOOKUP(B4178,'_Sys|Line_Map'!$A:$A,'_Sys|Line_Map'!$C:$C,"MISSING",0)</f>
        <v/>
      </c>
      <c r="J4178" s="4562">
        <f>XLOOKUP(B4178,'_Sys|Line_Map'!$A:$A,'_Sys|Line_Map'!$D:$D,1,0)</f>
        <v/>
      </c>
      <c r="K4178" s="4562">
        <f>IF(D4178="","",D4178*J4178)</f>
        <v/>
      </c>
      <c r="L4178" s="4562">
        <f>XLOOKUP(B4178,'_Sys|Line_Map'!$A:$A,'_Sys|Line_Map'!$B:$B,"MISSING",0)</f>
        <v/>
      </c>
    </row>
    <row r="4179">
      <c r="A4179" s="4561" t="n"/>
      <c r="B4179" s="4561" t="n"/>
      <c r="C4179" s="4561" t="n"/>
      <c r="D4179" s="4561" t="n"/>
      <c r="E4179" s="4561" t="n"/>
      <c r="F4179" s="4561" t="n"/>
      <c r="G4179" s="4561" t="n"/>
      <c r="H4179" s="4561" t="n"/>
      <c r="I4179" s="4562">
        <f>XLOOKUP(B4179,'_Sys|Line_Map'!$A:$A,'_Sys|Line_Map'!$C:$C,"MISSING",0)</f>
        <v/>
      </c>
      <c r="J4179" s="4562">
        <f>XLOOKUP(B4179,'_Sys|Line_Map'!$A:$A,'_Sys|Line_Map'!$D:$D,1,0)</f>
        <v/>
      </c>
      <c r="K4179" s="4562">
        <f>IF(D4179="","",D4179*J4179)</f>
        <v/>
      </c>
      <c r="L4179" s="4562">
        <f>XLOOKUP(B4179,'_Sys|Line_Map'!$A:$A,'_Sys|Line_Map'!$B:$B,"MISSING",0)</f>
        <v/>
      </c>
    </row>
    <row r="4180">
      <c r="A4180" s="4561" t="n"/>
      <c r="B4180" s="4561" t="n"/>
      <c r="C4180" s="4561" t="n"/>
      <c r="D4180" s="4561" t="n"/>
      <c r="E4180" s="4561" t="n"/>
      <c r="F4180" s="4561" t="n"/>
      <c r="G4180" s="4561" t="n"/>
      <c r="H4180" s="4561" t="n"/>
      <c r="I4180" s="4562">
        <f>XLOOKUP(B4180,'_Sys|Line_Map'!$A:$A,'_Sys|Line_Map'!$C:$C,"MISSING",0)</f>
        <v/>
      </c>
      <c r="J4180" s="4562">
        <f>XLOOKUP(B4180,'_Sys|Line_Map'!$A:$A,'_Sys|Line_Map'!$D:$D,1,0)</f>
        <v/>
      </c>
      <c r="K4180" s="4562">
        <f>IF(D4180="","",D4180*J4180)</f>
        <v/>
      </c>
      <c r="L4180" s="4562">
        <f>XLOOKUP(B4180,'_Sys|Line_Map'!$A:$A,'_Sys|Line_Map'!$B:$B,"MISSING",0)</f>
        <v/>
      </c>
    </row>
    <row r="4181">
      <c r="A4181" s="4561" t="n"/>
      <c r="B4181" s="4561" t="n"/>
      <c r="C4181" s="4561" t="n"/>
      <c r="D4181" s="4561" t="n"/>
      <c r="E4181" s="4561" t="n"/>
      <c r="F4181" s="4561" t="n"/>
      <c r="G4181" s="4561" t="n"/>
      <c r="H4181" s="4561" t="n"/>
      <c r="I4181" s="4562">
        <f>XLOOKUP(B4181,'_Sys|Line_Map'!$A:$A,'_Sys|Line_Map'!$C:$C,"MISSING",0)</f>
        <v/>
      </c>
      <c r="J4181" s="4562">
        <f>XLOOKUP(B4181,'_Sys|Line_Map'!$A:$A,'_Sys|Line_Map'!$D:$D,1,0)</f>
        <v/>
      </c>
      <c r="K4181" s="4562">
        <f>IF(D4181="","",D4181*J4181)</f>
        <v/>
      </c>
      <c r="L4181" s="4562">
        <f>XLOOKUP(B4181,'_Sys|Line_Map'!$A:$A,'_Sys|Line_Map'!$B:$B,"MISSING",0)</f>
        <v/>
      </c>
    </row>
    <row r="4182">
      <c r="A4182" s="4561" t="n"/>
      <c r="B4182" s="4561" t="n"/>
      <c r="C4182" s="4561" t="n"/>
      <c r="D4182" s="4561" t="n"/>
      <c r="E4182" s="4561" t="n"/>
      <c r="F4182" s="4561" t="n"/>
      <c r="G4182" s="4561" t="n"/>
      <c r="H4182" s="4561" t="n"/>
      <c r="I4182" s="4562">
        <f>XLOOKUP(B4182,'_Sys|Line_Map'!$A:$A,'_Sys|Line_Map'!$C:$C,"MISSING",0)</f>
        <v/>
      </c>
      <c r="J4182" s="4562">
        <f>XLOOKUP(B4182,'_Sys|Line_Map'!$A:$A,'_Sys|Line_Map'!$D:$D,1,0)</f>
        <v/>
      </c>
      <c r="K4182" s="4562">
        <f>IF(D4182="","",D4182*J4182)</f>
        <v/>
      </c>
      <c r="L4182" s="4562">
        <f>XLOOKUP(B4182,'_Sys|Line_Map'!$A:$A,'_Sys|Line_Map'!$B:$B,"MISSING",0)</f>
        <v/>
      </c>
    </row>
    <row r="4183">
      <c r="A4183" s="4561" t="n"/>
      <c r="B4183" s="4561" t="n"/>
      <c r="C4183" s="4561" t="n"/>
      <c r="D4183" s="4561" t="n"/>
      <c r="E4183" s="4561" t="n"/>
      <c r="F4183" s="4561" t="n"/>
      <c r="G4183" s="4561" t="n"/>
      <c r="H4183" s="4561" t="n"/>
      <c r="I4183" s="4562">
        <f>XLOOKUP(B4183,'_Sys|Line_Map'!$A:$A,'_Sys|Line_Map'!$C:$C,"MISSING",0)</f>
        <v/>
      </c>
      <c r="J4183" s="4562">
        <f>XLOOKUP(B4183,'_Sys|Line_Map'!$A:$A,'_Sys|Line_Map'!$D:$D,1,0)</f>
        <v/>
      </c>
      <c r="K4183" s="4562">
        <f>IF(D4183="","",D4183*J4183)</f>
        <v/>
      </c>
      <c r="L4183" s="4562">
        <f>XLOOKUP(B4183,'_Sys|Line_Map'!$A:$A,'_Sys|Line_Map'!$B:$B,"MISSING",0)</f>
        <v/>
      </c>
    </row>
    <row r="4184">
      <c r="A4184" s="4561" t="n"/>
      <c r="B4184" s="4561" t="n"/>
      <c r="C4184" s="4561" t="n"/>
      <c r="D4184" s="4561" t="n"/>
      <c r="E4184" s="4561" t="n"/>
      <c r="F4184" s="4561" t="n"/>
      <c r="G4184" s="4561" t="n"/>
      <c r="H4184" s="4561" t="n"/>
      <c r="I4184" s="4562">
        <f>XLOOKUP(B4184,'_Sys|Line_Map'!$A:$A,'_Sys|Line_Map'!$C:$C,"MISSING",0)</f>
        <v/>
      </c>
      <c r="J4184" s="4562">
        <f>XLOOKUP(B4184,'_Sys|Line_Map'!$A:$A,'_Sys|Line_Map'!$D:$D,1,0)</f>
        <v/>
      </c>
      <c r="K4184" s="4562">
        <f>IF(D4184="","",D4184*J4184)</f>
        <v/>
      </c>
      <c r="L4184" s="4562">
        <f>XLOOKUP(B4184,'_Sys|Line_Map'!$A:$A,'_Sys|Line_Map'!$B:$B,"MISSING",0)</f>
        <v/>
      </c>
    </row>
    <row r="4185">
      <c r="A4185" s="4561" t="n"/>
      <c r="B4185" s="4561" t="n"/>
      <c r="C4185" s="4561" t="n"/>
      <c r="D4185" s="4561" t="n"/>
      <c r="E4185" s="4561" t="n"/>
      <c r="F4185" s="4561" t="n"/>
      <c r="G4185" s="4561" t="n"/>
      <c r="H4185" s="4561" t="n"/>
      <c r="I4185" s="4562">
        <f>XLOOKUP(B4185,'_Sys|Line_Map'!$A:$A,'_Sys|Line_Map'!$C:$C,"MISSING",0)</f>
        <v/>
      </c>
      <c r="J4185" s="4562">
        <f>XLOOKUP(B4185,'_Sys|Line_Map'!$A:$A,'_Sys|Line_Map'!$D:$D,1,0)</f>
        <v/>
      </c>
      <c r="K4185" s="4562">
        <f>IF(D4185="","",D4185*J4185)</f>
        <v/>
      </c>
      <c r="L4185" s="4562">
        <f>XLOOKUP(B4185,'_Sys|Line_Map'!$A:$A,'_Sys|Line_Map'!$B:$B,"MISSING",0)</f>
        <v/>
      </c>
    </row>
    <row r="4186">
      <c r="A4186" s="4561" t="n"/>
      <c r="B4186" s="4561" t="n"/>
      <c r="C4186" s="4561" t="n"/>
      <c r="D4186" s="4561" t="n"/>
      <c r="E4186" s="4561" t="n"/>
      <c r="F4186" s="4561" t="n"/>
      <c r="G4186" s="4561" t="n"/>
      <c r="H4186" s="4561" t="n"/>
      <c r="I4186" s="4562">
        <f>XLOOKUP(B4186,'_Sys|Line_Map'!$A:$A,'_Sys|Line_Map'!$C:$C,"MISSING",0)</f>
        <v/>
      </c>
      <c r="J4186" s="4562">
        <f>XLOOKUP(B4186,'_Sys|Line_Map'!$A:$A,'_Sys|Line_Map'!$D:$D,1,0)</f>
        <v/>
      </c>
      <c r="K4186" s="4562">
        <f>IF(D4186="","",D4186*J4186)</f>
        <v/>
      </c>
      <c r="L4186" s="4562">
        <f>XLOOKUP(B4186,'_Sys|Line_Map'!$A:$A,'_Sys|Line_Map'!$B:$B,"MISSING",0)</f>
        <v/>
      </c>
    </row>
    <row r="4187">
      <c r="A4187" s="4561" t="n"/>
      <c r="B4187" s="4561" t="n"/>
      <c r="C4187" s="4561" t="n"/>
      <c r="D4187" s="4561" t="n"/>
      <c r="E4187" s="4561" t="n"/>
      <c r="F4187" s="4561" t="n"/>
      <c r="G4187" s="4561" t="n"/>
      <c r="H4187" s="4561" t="n"/>
      <c r="I4187" s="4562">
        <f>XLOOKUP(B4187,'_Sys|Line_Map'!$A:$A,'_Sys|Line_Map'!$C:$C,"MISSING",0)</f>
        <v/>
      </c>
      <c r="J4187" s="4562">
        <f>XLOOKUP(B4187,'_Sys|Line_Map'!$A:$A,'_Sys|Line_Map'!$D:$D,1,0)</f>
        <v/>
      </c>
      <c r="K4187" s="4562">
        <f>IF(D4187="","",D4187*J4187)</f>
        <v/>
      </c>
      <c r="L4187" s="4562">
        <f>XLOOKUP(B4187,'_Sys|Line_Map'!$A:$A,'_Sys|Line_Map'!$B:$B,"MISSING",0)</f>
        <v/>
      </c>
    </row>
    <row r="4188">
      <c r="A4188" s="4561" t="n"/>
      <c r="B4188" s="4561" t="n"/>
      <c r="C4188" s="4561" t="n"/>
      <c r="D4188" s="4561" t="n"/>
      <c r="E4188" s="4561" t="n"/>
      <c r="F4188" s="4561" t="n"/>
      <c r="G4188" s="4561" t="n"/>
      <c r="H4188" s="4561" t="n"/>
      <c r="I4188" s="4562">
        <f>XLOOKUP(B4188,'_Sys|Line_Map'!$A:$A,'_Sys|Line_Map'!$C:$C,"MISSING",0)</f>
        <v/>
      </c>
      <c r="J4188" s="4562">
        <f>XLOOKUP(B4188,'_Sys|Line_Map'!$A:$A,'_Sys|Line_Map'!$D:$D,1,0)</f>
        <v/>
      </c>
      <c r="K4188" s="4562">
        <f>IF(D4188="","",D4188*J4188)</f>
        <v/>
      </c>
      <c r="L4188" s="4562">
        <f>XLOOKUP(B4188,'_Sys|Line_Map'!$A:$A,'_Sys|Line_Map'!$B:$B,"MISSING",0)</f>
        <v/>
      </c>
    </row>
    <row r="4189">
      <c r="A4189" s="4561" t="n"/>
      <c r="B4189" s="4561" t="n"/>
      <c r="C4189" s="4561" t="n"/>
      <c r="D4189" s="4561" t="n"/>
      <c r="E4189" s="4561" t="n"/>
      <c r="F4189" s="4561" t="n"/>
      <c r="G4189" s="4561" t="n"/>
      <c r="H4189" s="4561" t="n"/>
      <c r="I4189" s="4562">
        <f>XLOOKUP(B4189,'_Sys|Line_Map'!$A:$A,'_Sys|Line_Map'!$C:$C,"MISSING",0)</f>
        <v/>
      </c>
      <c r="J4189" s="4562">
        <f>XLOOKUP(B4189,'_Sys|Line_Map'!$A:$A,'_Sys|Line_Map'!$D:$D,1,0)</f>
        <v/>
      </c>
      <c r="K4189" s="4562">
        <f>IF(D4189="","",D4189*J4189)</f>
        <v/>
      </c>
      <c r="L4189" s="4562">
        <f>XLOOKUP(B4189,'_Sys|Line_Map'!$A:$A,'_Sys|Line_Map'!$B:$B,"MISSING",0)</f>
        <v/>
      </c>
    </row>
    <row r="4190">
      <c r="A4190" s="4561" t="n"/>
      <c r="B4190" s="4561" t="n"/>
      <c r="C4190" s="4561" t="n"/>
      <c r="D4190" s="4561" t="n"/>
      <c r="E4190" s="4561" t="n"/>
      <c r="F4190" s="4561" t="n"/>
      <c r="G4190" s="4561" t="n"/>
      <c r="H4190" s="4561" t="n"/>
      <c r="I4190" s="4562">
        <f>XLOOKUP(B4190,'_Sys|Line_Map'!$A:$A,'_Sys|Line_Map'!$C:$C,"MISSING",0)</f>
        <v/>
      </c>
      <c r="J4190" s="4562">
        <f>XLOOKUP(B4190,'_Sys|Line_Map'!$A:$A,'_Sys|Line_Map'!$D:$D,1,0)</f>
        <v/>
      </c>
      <c r="K4190" s="4562">
        <f>IF(D4190="","",D4190*J4190)</f>
        <v/>
      </c>
      <c r="L4190" s="4562">
        <f>XLOOKUP(B4190,'_Sys|Line_Map'!$A:$A,'_Sys|Line_Map'!$B:$B,"MISSING",0)</f>
        <v/>
      </c>
    </row>
    <row r="4191">
      <c r="A4191" s="4561" t="n"/>
      <c r="B4191" s="4561" t="n"/>
      <c r="C4191" s="4561" t="n"/>
      <c r="D4191" s="4561" t="n"/>
      <c r="E4191" s="4561" t="n"/>
      <c r="F4191" s="4561" t="n"/>
      <c r="G4191" s="4561" t="n"/>
      <c r="H4191" s="4561" t="n"/>
      <c r="I4191" s="4562">
        <f>XLOOKUP(B4191,'_Sys|Line_Map'!$A:$A,'_Sys|Line_Map'!$C:$C,"MISSING",0)</f>
        <v/>
      </c>
      <c r="J4191" s="4562">
        <f>XLOOKUP(B4191,'_Sys|Line_Map'!$A:$A,'_Sys|Line_Map'!$D:$D,1,0)</f>
        <v/>
      </c>
      <c r="K4191" s="4562">
        <f>IF(D4191="","",D4191*J4191)</f>
        <v/>
      </c>
      <c r="L4191" s="4562">
        <f>XLOOKUP(B4191,'_Sys|Line_Map'!$A:$A,'_Sys|Line_Map'!$B:$B,"MISSING",0)</f>
        <v/>
      </c>
    </row>
    <row r="4192">
      <c r="A4192" s="4561" t="n"/>
      <c r="B4192" s="4561" t="n"/>
      <c r="C4192" s="4561" t="n"/>
      <c r="D4192" s="4561" t="n"/>
      <c r="E4192" s="4561" t="n"/>
      <c r="F4192" s="4561" t="n"/>
      <c r="G4192" s="4561" t="n"/>
      <c r="H4192" s="4561" t="n"/>
      <c r="I4192" s="4562">
        <f>XLOOKUP(B4192,'_Sys|Line_Map'!$A:$A,'_Sys|Line_Map'!$C:$C,"MISSING",0)</f>
        <v/>
      </c>
      <c r="J4192" s="4562">
        <f>XLOOKUP(B4192,'_Sys|Line_Map'!$A:$A,'_Sys|Line_Map'!$D:$D,1,0)</f>
        <v/>
      </c>
      <c r="K4192" s="4562">
        <f>IF(D4192="","",D4192*J4192)</f>
        <v/>
      </c>
      <c r="L4192" s="4562">
        <f>XLOOKUP(B4192,'_Sys|Line_Map'!$A:$A,'_Sys|Line_Map'!$B:$B,"MISSING",0)</f>
        <v/>
      </c>
    </row>
    <row r="4193">
      <c r="A4193" s="4561" t="n"/>
      <c r="B4193" s="4561" t="n"/>
      <c r="C4193" s="4561" t="n"/>
      <c r="D4193" s="4561" t="n"/>
      <c r="E4193" s="4561" t="n"/>
      <c r="F4193" s="4561" t="n"/>
      <c r="G4193" s="4561" t="n"/>
      <c r="H4193" s="4561" t="n"/>
      <c r="I4193" s="4562">
        <f>XLOOKUP(B4193,'_Sys|Line_Map'!$A:$A,'_Sys|Line_Map'!$C:$C,"MISSING",0)</f>
        <v/>
      </c>
      <c r="J4193" s="4562">
        <f>XLOOKUP(B4193,'_Sys|Line_Map'!$A:$A,'_Sys|Line_Map'!$D:$D,1,0)</f>
        <v/>
      </c>
      <c r="K4193" s="4562">
        <f>IF(D4193="","",D4193*J4193)</f>
        <v/>
      </c>
      <c r="L4193" s="4562">
        <f>XLOOKUP(B4193,'_Sys|Line_Map'!$A:$A,'_Sys|Line_Map'!$B:$B,"MISSING",0)</f>
        <v/>
      </c>
    </row>
    <row r="4194">
      <c r="A4194" s="4561" t="n"/>
      <c r="B4194" s="4561" t="n"/>
      <c r="C4194" s="4561" t="n"/>
      <c r="D4194" s="4561" t="n"/>
      <c r="E4194" s="4561" t="n"/>
      <c r="F4194" s="4561" t="n"/>
      <c r="G4194" s="4561" t="n"/>
      <c r="H4194" s="4561" t="n"/>
      <c r="I4194" s="4562">
        <f>XLOOKUP(B4194,'_Sys|Line_Map'!$A:$A,'_Sys|Line_Map'!$C:$C,"MISSING",0)</f>
        <v/>
      </c>
      <c r="J4194" s="4562">
        <f>XLOOKUP(B4194,'_Sys|Line_Map'!$A:$A,'_Sys|Line_Map'!$D:$D,1,0)</f>
        <v/>
      </c>
      <c r="K4194" s="4562">
        <f>IF(D4194="","",D4194*J4194)</f>
        <v/>
      </c>
      <c r="L4194" s="4562">
        <f>XLOOKUP(B4194,'_Sys|Line_Map'!$A:$A,'_Sys|Line_Map'!$B:$B,"MISSING",0)</f>
        <v/>
      </c>
    </row>
    <row r="4195">
      <c r="A4195" s="4561" t="n"/>
      <c r="B4195" s="4561" t="n"/>
      <c r="C4195" s="4561" t="n"/>
      <c r="D4195" s="4561" t="n"/>
      <c r="E4195" s="4561" t="n"/>
      <c r="F4195" s="4561" t="n"/>
      <c r="G4195" s="4561" t="n"/>
      <c r="H4195" s="4561" t="n"/>
      <c r="I4195" s="4562">
        <f>XLOOKUP(B4195,'_Sys|Line_Map'!$A:$A,'_Sys|Line_Map'!$C:$C,"MISSING",0)</f>
        <v/>
      </c>
      <c r="J4195" s="4562">
        <f>XLOOKUP(B4195,'_Sys|Line_Map'!$A:$A,'_Sys|Line_Map'!$D:$D,1,0)</f>
        <v/>
      </c>
      <c r="K4195" s="4562">
        <f>IF(D4195="","",D4195*J4195)</f>
        <v/>
      </c>
      <c r="L4195" s="4562">
        <f>XLOOKUP(B4195,'_Sys|Line_Map'!$A:$A,'_Sys|Line_Map'!$B:$B,"MISSING",0)</f>
        <v/>
      </c>
    </row>
    <row r="4196">
      <c r="A4196" s="4561" t="n"/>
      <c r="B4196" s="4561" t="n"/>
      <c r="C4196" s="4561" t="n"/>
      <c r="D4196" s="4561" t="n"/>
      <c r="E4196" s="4561" t="n"/>
      <c r="F4196" s="4561" t="n"/>
      <c r="G4196" s="4561" t="n"/>
      <c r="H4196" s="4561" t="n"/>
      <c r="I4196" s="4562">
        <f>XLOOKUP(B4196,'_Sys|Line_Map'!$A:$A,'_Sys|Line_Map'!$C:$C,"MISSING",0)</f>
        <v/>
      </c>
      <c r="J4196" s="4562">
        <f>XLOOKUP(B4196,'_Sys|Line_Map'!$A:$A,'_Sys|Line_Map'!$D:$D,1,0)</f>
        <v/>
      </c>
      <c r="K4196" s="4562">
        <f>IF(D4196="","",D4196*J4196)</f>
        <v/>
      </c>
      <c r="L4196" s="4562">
        <f>XLOOKUP(B4196,'_Sys|Line_Map'!$A:$A,'_Sys|Line_Map'!$B:$B,"MISSING",0)</f>
        <v/>
      </c>
    </row>
    <row r="4197">
      <c r="A4197" s="4561" t="n"/>
      <c r="B4197" s="4561" t="n"/>
      <c r="C4197" s="4561" t="n"/>
      <c r="D4197" s="4561" t="n"/>
      <c r="E4197" s="4561" t="n"/>
      <c r="F4197" s="4561" t="n"/>
      <c r="G4197" s="4561" t="n"/>
      <c r="H4197" s="4561" t="n"/>
      <c r="I4197" s="4562">
        <f>XLOOKUP(B4197,'_Sys|Line_Map'!$A:$A,'_Sys|Line_Map'!$C:$C,"MISSING",0)</f>
        <v/>
      </c>
      <c r="J4197" s="4562">
        <f>XLOOKUP(B4197,'_Sys|Line_Map'!$A:$A,'_Sys|Line_Map'!$D:$D,1,0)</f>
        <v/>
      </c>
      <c r="K4197" s="4562">
        <f>IF(D4197="","",D4197*J4197)</f>
        <v/>
      </c>
      <c r="L4197" s="4562">
        <f>XLOOKUP(B4197,'_Sys|Line_Map'!$A:$A,'_Sys|Line_Map'!$B:$B,"MISSING",0)</f>
        <v/>
      </c>
    </row>
    <row r="4198">
      <c r="A4198" s="4561" t="n"/>
      <c r="B4198" s="4561" t="n"/>
      <c r="C4198" s="4561" t="n"/>
      <c r="D4198" s="4561" t="n"/>
      <c r="E4198" s="4561" t="n"/>
      <c r="F4198" s="4561" t="n"/>
      <c r="G4198" s="4561" t="n"/>
      <c r="H4198" s="4561" t="n"/>
      <c r="I4198" s="4562">
        <f>XLOOKUP(B4198,'_Sys|Line_Map'!$A:$A,'_Sys|Line_Map'!$C:$C,"MISSING",0)</f>
        <v/>
      </c>
      <c r="J4198" s="4562">
        <f>XLOOKUP(B4198,'_Sys|Line_Map'!$A:$A,'_Sys|Line_Map'!$D:$D,1,0)</f>
        <v/>
      </c>
      <c r="K4198" s="4562">
        <f>IF(D4198="","",D4198*J4198)</f>
        <v/>
      </c>
      <c r="L4198" s="4562">
        <f>XLOOKUP(B4198,'_Sys|Line_Map'!$A:$A,'_Sys|Line_Map'!$B:$B,"MISSING",0)</f>
        <v/>
      </c>
    </row>
    <row r="4199">
      <c r="A4199" s="4561" t="n"/>
      <c r="B4199" s="4561" t="n"/>
      <c r="C4199" s="4561" t="n"/>
      <c r="D4199" s="4561" t="n"/>
      <c r="E4199" s="4561" t="n"/>
      <c r="F4199" s="4561" t="n"/>
      <c r="G4199" s="4561" t="n"/>
      <c r="H4199" s="4561" t="n"/>
      <c r="I4199" s="4562">
        <f>XLOOKUP(B4199,'_Sys|Line_Map'!$A:$A,'_Sys|Line_Map'!$C:$C,"MISSING",0)</f>
        <v/>
      </c>
      <c r="J4199" s="4562">
        <f>XLOOKUP(B4199,'_Sys|Line_Map'!$A:$A,'_Sys|Line_Map'!$D:$D,1,0)</f>
        <v/>
      </c>
      <c r="K4199" s="4562">
        <f>IF(D4199="","",D4199*J4199)</f>
        <v/>
      </c>
      <c r="L4199" s="4562">
        <f>XLOOKUP(B4199,'_Sys|Line_Map'!$A:$A,'_Sys|Line_Map'!$B:$B,"MISSING",0)</f>
        <v/>
      </c>
    </row>
    <row r="4200">
      <c r="A4200" s="4561" t="n"/>
      <c r="B4200" s="4561" t="n"/>
      <c r="C4200" s="4561" t="n"/>
      <c r="D4200" s="4561" t="n"/>
      <c r="E4200" s="4561" t="n"/>
      <c r="F4200" s="4561" t="n"/>
      <c r="G4200" s="4561" t="n"/>
      <c r="H4200" s="4561" t="n"/>
      <c r="I4200" s="4562">
        <f>XLOOKUP(B4200,'_Sys|Line_Map'!$A:$A,'_Sys|Line_Map'!$C:$C,"MISSING",0)</f>
        <v/>
      </c>
      <c r="J4200" s="4562">
        <f>XLOOKUP(B4200,'_Sys|Line_Map'!$A:$A,'_Sys|Line_Map'!$D:$D,1,0)</f>
        <v/>
      </c>
      <c r="K4200" s="4562">
        <f>IF(D4200="","",D4200*J4200)</f>
        <v/>
      </c>
      <c r="L4200" s="4562">
        <f>XLOOKUP(B4200,'_Sys|Line_Map'!$A:$A,'_Sys|Line_Map'!$B:$B,"MISSING",0)</f>
        <v/>
      </c>
    </row>
    <row r="4201">
      <c r="A4201" s="4561" t="n"/>
      <c r="B4201" s="4561" t="n"/>
      <c r="C4201" s="4561" t="n"/>
      <c r="D4201" s="4561" t="n"/>
      <c r="E4201" s="4561" t="n"/>
      <c r="F4201" s="4561" t="n"/>
      <c r="G4201" s="4561" t="n"/>
      <c r="H4201" s="4561" t="n"/>
      <c r="I4201" s="4562">
        <f>XLOOKUP(B4201,'_Sys|Line_Map'!$A:$A,'_Sys|Line_Map'!$C:$C,"MISSING",0)</f>
        <v/>
      </c>
      <c r="J4201" s="4562">
        <f>XLOOKUP(B4201,'_Sys|Line_Map'!$A:$A,'_Sys|Line_Map'!$D:$D,1,0)</f>
        <v/>
      </c>
      <c r="K4201" s="4562">
        <f>IF(D4201="","",D4201*J4201)</f>
        <v/>
      </c>
      <c r="L4201" s="4562">
        <f>XLOOKUP(B4201,'_Sys|Line_Map'!$A:$A,'_Sys|Line_Map'!$B:$B,"MISSING",0)</f>
        <v/>
      </c>
    </row>
    <row r="4202">
      <c r="A4202" s="4561" t="n"/>
      <c r="B4202" s="4561" t="n"/>
      <c r="C4202" s="4561" t="n"/>
      <c r="D4202" s="4561" t="n"/>
      <c r="E4202" s="4561" t="n"/>
      <c r="F4202" s="4561" t="n"/>
      <c r="G4202" s="4561" t="n"/>
      <c r="H4202" s="4561" t="n"/>
      <c r="I4202" s="4562">
        <f>XLOOKUP(B4202,'_Sys|Line_Map'!$A:$A,'_Sys|Line_Map'!$C:$C,"MISSING",0)</f>
        <v/>
      </c>
      <c r="J4202" s="4562">
        <f>XLOOKUP(B4202,'_Sys|Line_Map'!$A:$A,'_Sys|Line_Map'!$D:$D,1,0)</f>
        <v/>
      </c>
      <c r="K4202" s="4562">
        <f>IF(D4202="","",D4202*J4202)</f>
        <v/>
      </c>
      <c r="L4202" s="4562">
        <f>XLOOKUP(B4202,'_Sys|Line_Map'!$A:$A,'_Sys|Line_Map'!$B:$B,"MISSING",0)</f>
        <v/>
      </c>
    </row>
    <row r="4203">
      <c r="A4203" s="4561" t="n"/>
      <c r="B4203" s="4561" t="n"/>
      <c r="C4203" s="4561" t="n"/>
      <c r="D4203" s="4561" t="n"/>
      <c r="E4203" s="4561" t="n"/>
      <c r="F4203" s="4561" t="n"/>
      <c r="G4203" s="4561" t="n"/>
      <c r="H4203" s="4561" t="n"/>
      <c r="I4203" s="4562">
        <f>XLOOKUP(B4203,'_Sys|Line_Map'!$A:$A,'_Sys|Line_Map'!$C:$C,"MISSING",0)</f>
        <v/>
      </c>
      <c r="J4203" s="4562">
        <f>XLOOKUP(B4203,'_Sys|Line_Map'!$A:$A,'_Sys|Line_Map'!$D:$D,1,0)</f>
        <v/>
      </c>
      <c r="K4203" s="4562">
        <f>IF(D4203="","",D4203*J4203)</f>
        <v/>
      </c>
      <c r="L4203" s="4562">
        <f>XLOOKUP(B4203,'_Sys|Line_Map'!$A:$A,'_Sys|Line_Map'!$B:$B,"MISSING",0)</f>
        <v/>
      </c>
    </row>
    <row r="4204">
      <c r="A4204" s="4561" t="n"/>
      <c r="B4204" s="4561" t="n"/>
      <c r="C4204" s="4561" t="n"/>
      <c r="D4204" s="4561" t="n"/>
      <c r="E4204" s="4561" t="n"/>
      <c r="F4204" s="4561" t="n"/>
      <c r="G4204" s="4561" t="n"/>
      <c r="H4204" s="4561" t="n"/>
      <c r="I4204" s="4562">
        <f>XLOOKUP(B4204,'_Sys|Line_Map'!$A:$A,'_Sys|Line_Map'!$C:$C,"MISSING",0)</f>
        <v/>
      </c>
      <c r="J4204" s="4562">
        <f>XLOOKUP(B4204,'_Sys|Line_Map'!$A:$A,'_Sys|Line_Map'!$D:$D,1,0)</f>
        <v/>
      </c>
      <c r="K4204" s="4562">
        <f>IF(D4204="","",D4204*J4204)</f>
        <v/>
      </c>
      <c r="L4204" s="4562">
        <f>XLOOKUP(B4204,'_Sys|Line_Map'!$A:$A,'_Sys|Line_Map'!$B:$B,"MISSING",0)</f>
        <v/>
      </c>
    </row>
    <row r="4205">
      <c r="A4205" s="4561" t="n"/>
      <c r="B4205" s="4561" t="n"/>
      <c r="C4205" s="4561" t="n"/>
      <c r="D4205" s="4561" t="n"/>
      <c r="E4205" s="4561" t="n"/>
      <c r="F4205" s="4561" t="n"/>
      <c r="G4205" s="4561" t="n"/>
      <c r="H4205" s="4561" t="n"/>
      <c r="I4205" s="4562">
        <f>XLOOKUP(B4205,'_Sys|Line_Map'!$A:$A,'_Sys|Line_Map'!$C:$C,"MISSING",0)</f>
        <v/>
      </c>
      <c r="J4205" s="4562">
        <f>XLOOKUP(B4205,'_Sys|Line_Map'!$A:$A,'_Sys|Line_Map'!$D:$D,1,0)</f>
        <v/>
      </c>
      <c r="K4205" s="4562">
        <f>IF(D4205="","",D4205*J4205)</f>
        <v/>
      </c>
      <c r="L4205" s="4562">
        <f>XLOOKUP(B4205,'_Sys|Line_Map'!$A:$A,'_Sys|Line_Map'!$B:$B,"MISSING",0)</f>
        <v/>
      </c>
    </row>
    <row r="4206">
      <c r="A4206" s="4561" t="n"/>
      <c r="B4206" s="4561" t="n"/>
      <c r="C4206" s="4561" t="n"/>
      <c r="D4206" s="4561" t="n"/>
      <c r="E4206" s="4561" t="n"/>
      <c r="F4206" s="4561" t="n"/>
      <c r="G4206" s="4561" t="n"/>
      <c r="H4206" s="4561" t="n"/>
      <c r="I4206" s="4562">
        <f>XLOOKUP(B4206,'_Sys|Line_Map'!$A:$A,'_Sys|Line_Map'!$C:$C,"MISSING",0)</f>
        <v/>
      </c>
      <c r="J4206" s="4562">
        <f>XLOOKUP(B4206,'_Sys|Line_Map'!$A:$A,'_Sys|Line_Map'!$D:$D,1,0)</f>
        <v/>
      </c>
      <c r="K4206" s="4562">
        <f>IF(D4206="","",D4206*J4206)</f>
        <v/>
      </c>
      <c r="L4206" s="4562">
        <f>XLOOKUP(B4206,'_Sys|Line_Map'!$A:$A,'_Sys|Line_Map'!$B:$B,"MISSING",0)</f>
        <v/>
      </c>
    </row>
    <row r="4207">
      <c r="A4207" s="4561" t="n"/>
      <c r="B4207" s="4561" t="n"/>
      <c r="C4207" s="4561" t="n"/>
      <c r="D4207" s="4561" t="n"/>
      <c r="E4207" s="4561" t="n"/>
      <c r="F4207" s="4561" t="n"/>
      <c r="G4207" s="4561" t="n"/>
      <c r="H4207" s="4561" t="n"/>
      <c r="I4207" s="4562">
        <f>XLOOKUP(B4207,'_Sys|Line_Map'!$A:$A,'_Sys|Line_Map'!$C:$C,"MISSING",0)</f>
        <v/>
      </c>
      <c r="J4207" s="4562">
        <f>XLOOKUP(B4207,'_Sys|Line_Map'!$A:$A,'_Sys|Line_Map'!$D:$D,1,0)</f>
        <v/>
      </c>
      <c r="K4207" s="4562">
        <f>IF(D4207="","",D4207*J4207)</f>
        <v/>
      </c>
      <c r="L4207" s="4562">
        <f>XLOOKUP(B4207,'_Sys|Line_Map'!$A:$A,'_Sys|Line_Map'!$B:$B,"MISSING",0)</f>
        <v/>
      </c>
    </row>
    <row r="4208">
      <c r="A4208" s="4561" t="n"/>
      <c r="B4208" s="4561" t="n"/>
      <c r="C4208" s="4561" t="n"/>
      <c r="D4208" s="4561" t="n"/>
      <c r="E4208" s="4561" t="n"/>
      <c r="F4208" s="4561" t="n"/>
      <c r="G4208" s="4561" t="n"/>
      <c r="H4208" s="4561" t="n"/>
      <c r="I4208" s="4562">
        <f>XLOOKUP(B4208,'_Sys|Line_Map'!$A:$A,'_Sys|Line_Map'!$C:$C,"MISSING",0)</f>
        <v/>
      </c>
      <c r="J4208" s="4562">
        <f>XLOOKUP(B4208,'_Sys|Line_Map'!$A:$A,'_Sys|Line_Map'!$D:$D,1,0)</f>
        <v/>
      </c>
      <c r="K4208" s="4562">
        <f>IF(D4208="","",D4208*J4208)</f>
        <v/>
      </c>
      <c r="L4208" s="4562">
        <f>XLOOKUP(B4208,'_Sys|Line_Map'!$A:$A,'_Sys|Line_Map'!$B:$B,"MISSING",0)</f>
        <v/>
      </c>
    </row>
    <row r="4209">
      <c r="A4209" s="4561" t="n"/>
      <c r="B4209" s="4561" t="n"/>
      <c r="C4209" s="4561" t="n"/>
      <c r="D4209" s="4561" t="n"/>
      <c r="E4209" s="4561" t="n"/>
      <c r="F4209" s="4561" t="n"/>
      <c r="G4209" s="4561" t="n"/>
      <c r="H4209" s="4561" t="n"/>
      <c r="I4209" s="4562">
        <f>XLOOKUP(B4209,'_Sys|Line_Map'!$A:$A,'_Sys|Line_Map'!$C:$C,"MISSING",0)</f>
        <v/>
      </c>
      <c r="J4209" s="4562">
        <f>XLOOKUP(B4209,'_Sys|Line_Map'!$A:$A,'_Sys|Line_Map'!$D:$D,1,0)</f>
        <v/>
      </c>
      <c r="K4209" s="4562">
        <f>IF(D4209="","",D4209*J4209)</f>
        <v/>
      </c>
      <c r="L4209" s="4562">
        <f>XLOOKUP(B4209,'_Sys|Line_Map'!$A:$A,'_Sys|Line_Map'!$B:$B,"MISSING",0)</f>
        <v/>
      </c>
    </row>
    <row r="4210">
      <c r="A4210" s="4561" t="n"/>
      <c r="B4210" s="4561" t="n"/>
      <c r="C4210" s="4561" t="n"/>
      <c r="D4210" s="4561" t="n"/>
      <c r="E4210" s="4561" t="n"/>
      <c r="F4210" s="4561" t="n"/>
      <c r="G4210" s="4561" t="n"/>
      <c r="H4210" s="4561" t="n"/>
      <c r="I4210" s="4562">
        <f>XLOOKUP(B4210,'_Sys|Line_Map'!$A:$A,'_Sys|Line_Map'!$C:$C,"MISSING",0)</f>
        <v/>
      </c>
      <c r="J4210" s="4562">
        <f>XLOOKUP(B4210,'_Sys|Line_Map'!$A:$A,'_Sys|Line_Map'!$D:$D,1,0)</f>
        <v/>
      </c>
      <c r="K4210" s="4562">
        <f>IF(D4210="","",D4210*J4210)</f>
        <v/>
      </c>
      <c r="L4210" s="4562">
        <f>XLOOKUP(B4210,'_Sys|Line_Map'!$A:$A,'_Sys|Line_Map'!$B:$B,"MISSING",0)</f>
        <v/>
      </c>
    </row>
    <row r="4211">
      <c r="A4211" s="4561" t="n"/>
      <c r="B4211" s="4561" t="n"/>
      <c r="C4211" s="4561" t="n"/>
      <c r="D4211" s="4561" t="n"/>
      <c r="E4211" s="4561" t="n"/>
      <c r="F4211" s="4561" t="n"/>
      <c r="G4211" s="4561" t="n"/>
      <c r="H4211" s="4561" t="n"/>
      <c r="I4211" s="4562">
        <f>XLOOKUP(B4211,'_Sys|Line_Map'!$A:$A,'_Sys|Line_Map'!$C:$C,"MISSING",0)</f>
        <v/>
      </c>
      <c r="J4211" s="4562">
        <f>XLOOKUP(B4211,'_Sys|Line_Map'!$A:$A,'_Sys|Line_Map'!$D:$D,1,0)</f>
        <v/>
      </c>
      <c r="K4211" s="4562">
        <f>IF(D4211="","",D4211*J4211)</f>
        <v/>
      </c>
      <c r="L4211" s="4562">
        <f>XLOOKUP(B4211,'_Sys|Line_Map'!$A:$A,'_Sys|Line_Map'!$B:$B,"MISSING",0)</f>
        <v/>
      </c>
    </row>
    <row r="4212">
      <c r="A4212" s="4561" t="n"/>
      <c r="B4212" s="4561" t="n"/>
      <c r="C4212" s="4561" t="n"/>
      <c r="D4212" s="4561" t="n"/>
      <c r="E4212" s="4561" t="n"/>
      <c r="F4212" s="4561" t="n"/>
      <c r="G4212" s="4561" t="n"/>
      <c r="H4212" s="4561" t="n"/>
      <c r="I4212" s="4562">
        <f>XLOOKUP(B4212,'_Sys|Line_Map'!$A:$A,'_Sys|Line_Map'!$C:$C,"MISSING",0)</f>
        <v/>
      </c>
      <c r="J4212" s="4562">
        <f>XLOOKUP(B4212,'_Sys|Line_Map'!$A:$A,'_Sys|Line_Map'!$D:$D,1,0)</f>
        <v/>
      </c>
      <c r="K4212" s="4562">
        <f>IF(D4212="","",D4212*J4212)</f>
        <v/>
      </c>
      <c r="L4212" s="4562">
        <f>XLOOKUP(B4212,'_Sys|Line_Map'!$A:$A,'_Sys|Line_Map'!$B:$B,"MISSING",0)</f>
        <v/>
      </c>
    </row>
    <row r="4213">
      <c r="A4213" s="4561" t="n"/>
      <c r="B4213" s="4561" t="n"/>
      <c r="C4213" s="4561" t="n"/>
      <c r="D4213" s="4561" t="n"/>
      <c r="E4213" s="4561" t="n"/>
      <c r="F4213" s="4561" t="n"/>
      <c r="G4213" s="4561" t="n"/>
      <c r="H4213" s="4561" t="n"/>
      <c r="I4213" s="4562">
        <f>XLOOKUP(B4213,'_Sys|Line_Map'!$A:$A,'_Sys|Line_Map'!$C:$C,"MISSING",0)</f>
        <v/>
      </c>
      <c r="J4213" s="4562">
        <f>XLOOKUP(B4213,'_Sys|Line_Map'!$A:$A,'_Sys|Line_Map'!$D:$D,1,0)</f>
        <v/>
      </c>
      <c r="K4213" s="4562">
        <f>IF(D4213="","",D4213*J4213)</f>
        <v/>
      </c>
      <c r="L4213" s="4562">
        <f>XLOOKUP(B4213,'_Sys|Line_Map'!$A:$A,'_Sys|Line_Map'!$B:$B,"MISSING",0)</f>
        <v/>
      </c>
    </row>
    <row r="4214">
      <c r="A4214" s="4561" t="n"/>
      <c r="B4214" s="4561" t="n"/>
      <c r="C4214" s="4561" t="n"/>
      <c r="D4214" s="4561" t="n"/>
      <c r="E4214" s="4561" t="n"/>
      <c r="F4214" s="4561" t="n"/>
      <c r="G4214" s="4561" t="n"/>
      <c r="H4214" s="4561" t="n"/>
      <c r="I4214" s="4562">
        <f>XLOOKUP(B4214,'_Sys|Line_Map'!$A:$A,'_Sys|Line_Map'!$C:$C,"MISSING",0)</f>
        <v/>
      </c>
      <c r="J4214" s="4562">
        <f>XLOOKUP(B4214,'_Sys|Line_Map'!$A:$A,'_Sys|Line_Map'!$D:$D,1,0)</f>
        <v/>
      </c>
      <c r="K4214" s="4562">
        <f>IF(D4214="","",D4214*J4214)</f>
        <v/>
      </c>
      <c r="L4214" s="4562">
        <f>XLOOKUP(B4214,'_Sys|Line_Map'!$A:$A,'_Sys|Line_Map'!$B:$B,"MISSING",0)</f>
        <v/>
      </c>
    </row>
    <row r="4215">
      <c r="A4215" s="4561" t="n"/>
      <c r="B4215" s="4561" t="n"/>
      <c r="C4215" s="4561" t="n"/>
      <c r="D4215" s="4561" t="n"/>
      <c r="E4215" s="4561" t="n"/>
      <c r="F4215" s="4561" t="n"/>
      <c r="G4215" s="4561" t="n"/>
      <c r="H4215" s="4561" t="n"/>
      <c r="I4215" s="4562">
        <f>XLOOKUP(B4215,'_Sys|Line_Map'!$A:$A,'_Sys|Line_Map'!$C:$C,"MISSING",0)</f>
        <v/>
      </c>
      <c r="J4215" s="4562">
        <f>XLOOKUP(B4215,'_Sys|Line_Map'!$A:$A,'_Sys|Line_Map'!$D:$D,1,0)</f>
        <v/>
      </c>
      <c r="K4215" s="4562">
        <f>IF(D4215="","",D4215*J4215)</f>
        <v/>
      </c>
      <c r="L4215" s="4562">
        <f>XLOOKUP(B4215,'_Sys|Line_Map'!$A:$A,'_Sys|Line_Map'!$B:$B,"MISSING",0)</f>
        <v/>
      </c>
    </row>
    <row r="4216">
      <c r="A4216" s="4561" t="n"/>
      <c r="B4216" s="4561" t="n"/>
      <c r="C4216" s="4561" t="n"/>
      <c r="D4216" s="4561" t="n"/>
      <c r="E4216" s="4561" t="n"/>
      <c r="F4216" s="4561" t="n"/>
      <c r="G4216" s="4561" t="n"/>
      <c r="H4216" s="4561" t="n"/>
      <c r="I4216" s="4562">
        <f>XLOOKUP(B4216,'_Sys|Line_Map'!$A:$A,'_Sys|Line_Map'!$C:$C,"MISSING",0)</f>
        <v/>
      </c>
      <c r="J4216" s="4562">
        <f>XLOOKUP(B4216,'_Sys|Line_Map'!$A:$A,'_Sys|Line_Map'!$D:$D,1,0)</f>
        <v/>
      </c>
      <c r="K4216" s="4562">
        <f>IF(D4216="","",D4216*J4216)</f>
        <v/>
      </c>
      <c r="L4216" s="4562">
        <f>XLOOKUP(B4216,'_Sys|Line_Map'!$A:$A,'_Sys|Line_Map'!$B:$B,"MISSING",0)</f>
        <v/>
      </c>
    </row>
    <row r="4217">
      <c r="A4217" s="4561" t="n"/>
      <c r="B4217" s="4561" t="n"/>
      <c r="C4217" s="4561" t="n"/>
      <c r="D4217" s="4561" t="n"/>
      <c r="E4217" s="4561" t="n"/>
      <c r="F4217" s="4561" t="n"/>
      <c r="G4217" s="4561" t="n"/>
      <c r="H4217" s="4561" t="n"/>
      <c r="I4217" s="4562">
        <f>XLOOKUP(B4217,'_Sys|Line_Map'!$A:$A,'_Sys|Line_Map'!$C:$C,"MISSING",0)</f>
        <v/>
      </c>
      <c r="J4217" s="4562">
        <f>XLOOKUP(B4217,'_Sys|Line_Map'!$A:$A,'_Sys|Line_Map'!$D:$D,1,0)</f>
        <v/>
      </c>
      <c r="K4217" s="4562">
        <f>IF(D4217="","",D4217*J4217)</f>
        <v/>
      </c>
      <c r="L4217" s="4562">
        <f>XLOOKUP(B4217,'_Sys|Line_Map'!$A:$A,'_Sys|Line_Map'!$B:$B,"MISSING",0)</f>
        <v/>
      </c>
    </row>
    <row r="4218">
      <c r="A4218" s="4561" t="n"/>
      <c r="B4218" s="4561" t="n"/>
      <c r="C4218" s="4561" t="n"/>
      <c r="D4218" s="4561" t="n"/>
      <c r="E4218" s="4561" t="n"/>
      <c r="F4218" s="4561" t="n"/>
      <c r="G4218" s="4561" t="n"/>
      <c r="H4218" s="4561" t="n"/>
      <c r="I4218" s="4562">
        <f>XLOOKUP(B4218,'_Sys|Line_Map'!$A:$A,'_Sys|Line_Map'!$C:$C,"MISSING",0)</f>
        <v/>
      </c>
      <c r="J4218" s="4562">
        <f>XLOOKUP(B4218,'_Sys|Line_Map'!$A:$A,'_Sys|Line_Map'!$D:$D,1,0)</f>
        <v/>
      </c>
      <c r="K4218" s="4562">
        <f>IF(D4218="","",D4218*J4218)</f>
        <v/>
      </c>
      <c r="L4218" s="4562">
        <f>XLOOKUP(B4218,'_Sys|Line_Map'!$A:$A,'_Sys|Line_Map'!$B:$B,"MISSING",0)</f>
        <v/>
      </c>
    </row>
    <row r="4219">
      <c r="A4219" s="4561" t="n"/>
      <c r="B4219" s="4561" t="n"/>
      <c r="C4219" s="4561" t="n"/>
      <c r="D4219" s="4561" t="n"/>
      <c r="E4219" s="4561" t="n"/>
      <c r="F4219" s="4561" t="n"/>
      <c r="G4219" s="4561" t="n"/>
      <c r="H4219" s="4561" t="n"/>
      <c r="I4219" s="4562">
        <f>XLOOKUP(B4219,'_Sys|Line_Map'!$A:$A,'_Sys|Line_Map'!$C:$C,"MISSING",0)</f>
        <v/>
      </c>
      <c r="J4219" s="4562">
        <f>XLOOKUP(B4219,'_Sys|Line_Map'!$A:$A,'_Sys|Line_Map'!$D:$D,1,0)</f>
        <v/>
      </c>
      <c r="K4219" s="4562">
        <f>IF(D4219="","",D4219*J4219)</f>
        <v/>
      </c>
      <c r="L4219" s="4562">
        <f>XLOOKUP(B4219,'_Sys|Line_Map'!$A:$A,'_Sys|Line_Map'!$B:$B,"MISSING",0)</f>
        <v/>
      </c>
    </row>
    <row r="4220">
      <c r="A4220" s="4561" t="n"/>
      <c r="B4220" s="4561" t="n"/>
      <c r="C4220" s="4561" t="n"/>
      <c r="D4220" s="4561" t="n"/>
      <c r="E4220" s="4561" t="n"/>
      <c r="F4220" s="4561" t="n"/>
      <c r="G4220" s="4561" t="n"/>
      <c r="H4220" s="4561" t="n"/>
      <c r="I4220" s="4562">
        <f>XLOOKUP(B4220,'_Sys|Line_Map'!$A:$A,'_Sys|Line_Map'!$C:$C,"MISSING",0)</f>
        <v/>
      </c>
      <c r="J4220" s="4562">
        <f>XLOOKUP(B4220,'_Sys|Line_Map'!$A:$A,'_Sys|Line_Map'!$D:$D,1,0)</f>
        <v/>
      </c>
      <c r="K4220" s="4562">
        <f>IF(D4220="","",D4220*J4220)</f>
        <v/>
      </c>
      <c r="L4220" s="4562">
        <f>XLOOKUP(B4220,'_Sys|Line_Map'!$A:$A,'_Sys|Line_Map'!$B:$B,"MISSING",0)</f>
        <v/>
      </c>
    </row>
    <row r="4221">
      <c r="A4221" s="4561" t="n"/>
      <c r="B4221" s="4561" t="n"/>
      <c r="C4221" s="4561" t="n"/>
      <c r="D4221" s="4561" t="n"/>
      <c r="E4221" s="4561" t="n"/>
      <c r="F4221" s="4561" t="n"/>
      <c r="G4221" s="4561" t="n"/>
      <c r="H4221" s="4561" t="n"/>
      <c r="I4221" s="4562">
        <f>XLOOKUP(B4221,'_Sys|Line_Map'!$A:$A,'_Sys|Line_Map'!$C:$C,"MISSING",0)</f>
        <v/>
      </c>
      <c r="J4221" s="4562">
        <f>XLOOKUP(B4221,'_Sys|Line_Map'!$A:$A,'_Sys|Line_Map'!$D:$D,1,0)</f>
        <v/>
      </c>
      <c r="K4221" s="4562">
        <f>IF(D4221="","",D4221*J4221)</f>
        <v/>
      </c>
      <c r="L4221" s="4562">
        <f>XLOOKUP(B4221,'_Sys|Line_Map'!$A:$A,'_Sys|Line_Map'!$B:$B,"MISSING",0)</f>
        <v/>
      </c>
    </row>
    <row r="4222">
      <c r="A4222" s="4561" t="n"/>
      <c r="B4222" s="4561" t="n"/>
      <c r="C4222" s="4561" t="n"/>
      <c r="D4222" s="4561" t="n"/>
      <c r="E4222" s="4561" t="n"/>
      <c r="F4222" s="4561" t="n"/>
      <c r="G4222" s="4561" t="n"/>
      <c r="H4222" s="4561" t="n"/>
      <c r="I4222" s="4562">
        <f>XLOOKUP(B4222,'_Sys|Line_Map'!$A:$A,'_Sys|Line_Map'!$C:$C,"MISSING",0)</f>
        <v/>
      </c>
      <c r="J4222" s="4562">
        <f>XLOOKUP(B4222,'_Sys|Line_Map'!$A:$A,'_Sys|Line_Map'!$D:$D,1,0)</f>
        <v/>
      </c>
      <c r="K4222" s="4562">
        <f>IF(D4222="","",D4222*J4222)</f>
        <v/>
      </c>
      <c r="L4222" s="4562">
        <f>XLOOKUP(B4222,'_Sys|Line_Map'!$A:$A,'_Sys|Line_Map'!$B:$B,"MISSING",0)</f>
        <v/>
      </c>
    </row>
    <row r="4223">
      <c r="A4223" s="4561" t="n"/>
      <c r="B4223" s="4561" t="n"/>
      <c r="C4223" s="4561" t="n"/>
      <c r="D4223" s="4561" t="n"/>
      <c r="E4223" s="4561" t="n"/>
      <c r="F4223" s="4561" t="n"/>
      <c r="G4223" s="4561" t="n"/>
      <c r="H4223" s="4561" t="n"/>
      <c r="I4223" s="4562">
        <f>XLOOKUP(B4223,'_Sys|Line_Map'!$A:$A,'_Sys|Line_Map'!$C:$C,"MISSING",0)</f>
        <v/>
      </c>
      <c r="J4223" s="4562">
        <f>XLOOKUP(B4223,'_Sys|Line_Map'!$A:$A,'_Sys|Line_Map'!$D:$D,1,0)</f>
        <v/>
      </c>
      <c r="K4223" s="4562">
        <f>IF(D4223="","",D4223*J4223)</f>
        <v/>
      </c>
      <c r="L4223" s="4562">
        <f>XLOOKUP(B4223,'_Sys|Line_Map'!$A:$A,'_Sys|Line_Map'!$B:$B,"MISSING",0)</f>
        <v/>
      </c>
    </row>
    <row r="4224">
      <c r="A4224" s="4561" t="n"/>
      <c r="B4224" s="4561" t="n"/>
      <c r="C4224" s="4561" t="n"/>
      <c r="D4224" s="4561" t="n"/>
      <c r="E4224" s="4561" t="n"/>
      <c r="F4224" s="4561" t="n"/>
      <c r="G4224" s="4561" t="n"/>
      <c r="H4224" s="4561" t="n"/>
      <c r="I4224" s="4562">
        <f>XLOOKUP(B4224,'_Sys|Line_Map'!$A:$A,'_Sys|Line_Map'!$C:$C,"MISSING",0)</f>
        <v/>
      </c>
      <c r="J4224" s="4562">
        <f>XLOOKUP(B4224,'_Sys|Line_Map'!$A:$A,'_Sys|Line_Map'!$D:$D,1,0)</f>
        <v/>
      </c>
      <c r="K4224" s="4562">
        <f>IF(D4224="","",D4224*J4224)</f>
        <v/>
      </c>
      <c r="L4224" s="4562">
        <f>XLOOKUP(B4224,'_Sys|Line_Map'!$A:$A,'_Sys|Line_Map'!$B:$B,"MISSING",0)</f>
        <v/>
      </c>
    </row>
    <row r="4225">
      <c r="A4225" s="4561" t="n"/>
      <c r="B4225" s="4561" t="n"/>
      <c r="C4225" s="4561" t="n"/>
      <c r="D4225" s="4561" t="n"/>
      <c r="E4225" s="4561" t="n"/>
      <c r="F4225" s="4561" t="n"/>
      <c r="G4225" s="4561" t="n"/>
      <c r="H4225" s="4561" t="n"/>
      <c r="I4225" s="4562">
        <f>XLOOKUP(B4225,'_Sys|Line_Map'!$A:$A,'_Sys|Line_Map'!$C:$C,"MISSING",0)</f>
        <v/>
      </c>
      <c r="J4225" s="4562">
        <f>XLOOKUP(B4225,'_Sys|Line_Map'!$A:$A,'_Sys|Line_Map'!$D:$D,1,0)</f>
        <v/>
      </c>
      <c r="K4225" s="4562">
        <f>IF(D4225="","",D4225*J4225)</f>
        <v/>
      </c>
      <c r="L4225" s="4562">
        <f>XLOOKUP(B4225,'_Sys|Line_Map'!$A:$A,'_Sys|Line_Map'!$B:$B,"MISSING",0)</f>
        <v/>
      </c>
    </row>
    <row r="4226">
      <c r="A4226" s="4561" t="n"/>
      <c r="B4226" s="4561" t="n"/>
      <c r="C4226" s="4561" t="n"/>
      <c r="D4226" s="4561" t="n"/>
      <c r="E4226" s="4561" t="n"/>
      <c r="F4226" s="4561" t="n"/>
      <c r="G4226" s="4561" t="n"/>
      <c r="H4226" s="4561" t="n"/>
      <c r="I4226" s="4562">
        <f>XLOOKUP(B4226,'_Sys|Line_Map'!$A:$A,'_Sys|Line_Map'!$C:$C,"MISSING",0)</f>
        <v/>
      </c>
      <c r="J4226" s="4562">
        <f>XLOOKUP(B4226,'_Sys|Line_Map'!$A:$A,'_Sys|Line_Map'!$D:$D,1,0)</f>
        <v/>
      </c>
      <c r="K4226" s="4562">
        <f>IF(D4226="","",D4226*J4226)</f>
        <v/>
      </c>
      <c r="L4226" s="4562">
        <f>XLOOKUP(B4226,'_Sys|Line_Map'!$A:$A,'_Sys|Line_Map'!$B:$B,"MISSING",0)</f>
        <v/>
      </c>
    </row>
    <row r="4227">
      <c r="A4227" s="4561" t="n"/>
      <c r="B4227" s="4561" t="n"/>
      <c r="C4227" s="4561" t="n"/>
      <c r="D4227" s="4561" t="n"/>
      <c r="E4227" s="4561" t="n"/>
      <c r="F4227" s="4561" t="n"/>
      <c r="G4227" s="4561" t="n"/>
      <c r="H4227" s="4561" t="n"/>
      <c r="I4227" s="4562">
        <f>XLOOKUP(B4227,'_Sys|Line_Map'!$A:$A,'_Sys|Line_Map'!$C:$C,"MISSING",0)</f>
        <v/>
      </c>
      <c r="J4227" s="4562">
        <f>XLOOKUP(B4227,'_Sys|Line_Map'!$A:$A,'_Sys|Line_Map'!$D:$D,1,0)</f>
        <v/>
      </c>
      <c r="K4227" s="4562">
        <f>IF(D4227="","",D4227*J4227)</f>
        <v/>
      </c>
      <c r="L4227" s="4562">
        <f>XLOOKUP(B4227,'_Sys|Line_Map'!$A:$A,'_Sys|Line_Map'!$B:$B,"MISSING",0)</f>
        <v/>
      </c>
    </row>
    <row r="4228">
      <c r="A4228" s="4561" t="n"/>
      <c r="B4228" s="4561" t="n"/>
      <c r="C4228" s="4561" t="n"/>
      <c r="D4228" s="4561" t="n"/>
      <c r="E4228" s="4561" t="n"/>
      <c r="F4228" s="4561" t="n"/>
      <c r="G4228" s="4561" t="n"/>
      <c r="H4228" s="4561" t="n"/>
      <c r="I4228" s="4562">
        <f>XLOOKUP(B4228,'_Sys|Line_Map'!$A:$A,'_Sys|Line_Map'!$C:$C,"MISSING",0)</f>
        <v/>
      </c>
      <c r="J4228" s="4562">
        <f>XLOOKUP(B4228,'_Sys|Line_Map'!$A:$A,'_Sys|Line_Map'!$D:$D,1,0)</f>
        <v/>
      </c>
      <c r="K4228" s="4562">
        <f>IF(D4228="","",D4228*J4228)</f>
        <v/>
      </c>
      <c r="L4228" s="4562">
        <f>XLOOKUP(B4228,'_Sys|Line_Map'!$A:$A,'_Sys|Line_Map'!$B:$B,"MISSING",0)</f>
        <v/>
      </c>
    </row>
    <row r="4229">
      <c r="A4229" s="4561" t="n"/>
      <c r="B4229" s="4561" t="n"/>
      <c r="C4229" s="4561" t="n"/>
      <c r="D4229" s="4561" t="n"/>
      <c r="E4229" s="4561" t="n"/>
      <c r="F4229" s="4561" t="n"/>
      <c r="G4229" s="4561" t="n"/>
      <c r="H4229" s="4561" t="n"/>
      <c r="I4229" s="4562">
        <f>XLOOKUP(B4229,'_Sys|Line_Map'!$A:$A,'_Sys|Line_Map'!$C:$C,"MISSING",0)</f>
        <v/>
      </c>
      <c r="J4229" s="4562">
        <f>XLOOKUP(B4229,'_Sys|Line_Map'!$A:$A,'_Sys|Line_Map'!$D:$D,1,0)</f>
        <v/>
      </c>
      <c r="K4229" s="4562">
        <f>IF(D4229="","",D4229*J4229)</f>
        <v/>
      </c>
      <c r="L4229" s="4562">
        <f>XLOOKUP(B4229,'_Sys|Line_Map'!$A:$A,'_Sys|Line_Map'!$B:$B,"MISSING",0)</f>
        <v/>
      </c>
    </row>
    <row r="4230">
      <c r="A4230" s="4561" t="n"/>
      <c r="B4230" s="4561" t="n"/>
      <c r="C4230" s="4561" t="n"/>
      <c r="D4230" s="4561" t="n"/>
      <c r="E4230" s="4561" t="n"/>
      <c r="F4230" s="4561" t="n"/>
      <c r="G4230" s="4561" t="n"/>
      <c r="H4230" s="4561" t="n"/>
      <c r="I4230" s="4562">
        <f>XLOOKUP(B4230,'_Sys|Line_Map'!$A:$A,'_Sys|Line_Map'!$C:$C,"MISSING",0)</f>
        <v/>
      </c>
      <c r="J4230" s="4562">
        <f>XLOOKUP(B4230,'_Sys|Line_Map'!$A:$A,'_Sys|Line_Map'!$D:$D,1,0)</f>
        <v/>
      </c>
      <c r="K4230" s="4562">
        <f>IF(D4230="","",D4230*J4230)</f>
        <v/>
      </c>
      <c r="L4230" s="4562">
        <f>XLOOKUP(B4230,'_Sys|Line_Map'!$A:$A,'_Sys|Line_Map'!$B:$B,"MISSING",0)</f>
        <v/>
      </c>
    </row>
    <row r="4231">
      <c r="A4231" s="4561" t="n"/>
      <c r="B4231" s="4561" t="n"/>
      <c r="C4231" s="4561" t="n"/>
      <c r="D4231" s="4561" t="n"/>
      <c r="E4231" s="4561" t="n"/>
      <c r="F4231" s="4561" t="n"/>
      <c r="G4231" s="4561" t="n"/>
      <c r="H4231" s="4561" t="n"/>
      <c r="I4231" s="4562">
        <f>XLOOKUP(B4231,'_Sys|Line_Map'!$A:$A,'_Sys|Line_Map'!$C:$C,"MISSING",0)</f>
        <v/>
      </c>
      <c r="J4231" s="4562">
        <f>XLOOKUP(B4231,'_Sys|Line_Map'!$A:$A,'_Sys|Line_Map'!$D:$D,1,0)</f>
        <v/>
      </c>
      <c r="K4231" s="4562">
        <f>IF(D4231="","",D4231*J4231)</f>
        <v/>
      </c>
      <c r="L4231" s="4562">
        <f>XLOOKUP(B4231,'_Sys|Line_Map'!$A:$A,'_Sys|Line_Map'!$B:$B,"MISSING",0)</f>
        <v/>
      </c>
    </row>
    <row r="4232">
      <c r="A4232" s="4561" t="n"/>
      <c r="B4232" s="4561" t="n"/>
      <c r="C4232" s="4561" t="n"/>
      <c r="D4232" s="4561" t="n"/>
      <c r="E4232" s="4561" t="n"/>
      <c r="F4232" s="4561" t="n"/>
      <c r="G4232" s="4561" t="n"/>
      <c r="H4232" s="4561" t="n"/>
      <c r="I4232" s="4562">
        <f>XLOOKUP(B4232,'_Sys|Line_Map'!$A:$A,'_Sys|Line_Map'!$C:$C,"MISSING",0)</f>
        <v/>
      </c>
      <c r="J4232" s="4562">
        <f>XLOOKUP(B4232,'_Sys|Line_Map'!$A:$A,'_Sys|Line_Map'!$D:$D,1,0)</f>
        <v/>
      </c>
      <c r="K4232" s="4562">
        <f>IF(D4232="","",D4232*J4232)</f>
        <v/>
      </c>
      <c r="L4232" s="4562">
        <f>XLOOKUP(B4232,'_Sys|Line_Map'!$A:$A,'_Sys|Line_Map'!$B:$B,"MISSING",0)</f>
        <v/>
      </c>
    </row>
    <row r="4233">
      <c r="A4233" s="4561" t="n"/>
      <c r="B4233" s="4561" t="n"/>
      <c r="C4233" s="4561" t="n"/>
      <c r="D4233" s="4561" t="n"/>
      <c r="E4233" s="4561" t="n"/>
      <c r="F4233" s="4561" t="n"/>
      <c r="G4233" s="4561" t="n"/>
      <c r="H4233" s="4561" t="n"/>
      <c r="I4233" s="4562">
        <f>XLOOKUP(B4233,'_Sys|Line_Map'!$A:$A,'_Sys|Line_Map'!$C:$C,"MISSING",0)</f>
        <v/>
      </c>
      <c r="J4233" s="4562">
        <f>XLOOKUP(B4233,'_Sys|Line_Map'!$A:$A,'_Sys|Line_Map'!$D:$D,1,0)</f>
        <v/>
      </c>
      <c r="K4233" s="4562">
        <f>IF(D4233="","",D4233*J4233)</f>
        <v/>
      </c>
      <c r="L4233" s="4562">
        <f>XLOOKUP(B4233,'_Sys|Line_Map'!$A:$A,'_Sys|Line_Map'!$B:$B,"MISSING",0)</f>
        <v/>
      </c>
    </row>
    <row r="4234">
      <c r="A4234" s="4561" t="n"/>
      <c r="B4234" s="4561" t="n"/>
      <c r="C4234" s="4561" t="n"/>
      <c r="D4234" s="4561" t="n"/>
      <c r="E4234" s="4561" t="n"/>
      <c r="F4234" s="4561" t="n"/>
      <c r="G4234" s="4561" t="n"/>
      <c r="H4234" s="4561" t="n"/>
      <c r="I4234" s="4562">
        <f>XLOOKUP(B4234,'_Sys|Line_Map'!$A:$A,'_Sys|Line_Map'!$C:$C,"MISSING",0)</f>
        <v/>
      </c>
      <c r="J4234" s="4562">
        <f>XLOOKUP(B4234,'_Sys|Line_Map'!$A:$A,'_Sys|Line_Map'!$D:$D,1,0)</f>
        <v/>
      </c>
      <c r="K4234" s="4562">
        <f>IF(D4234="","",D4234*J4234)</f>
        <v/>
      </c>
      <c r="L4234" s="4562">
        <f>XLOOKUP(B4234,'_Sys|Line_Map'!$A:$A,'_Sys|Line_Map'!$B:$B,"MISSING",0)</f>
        <v/>
      </c>
    </row>
    <row r="4235">
      <c r="A4235" s="4561" t="n"/>
      <c r="B4235" s="4561" t="n"/>
      <c r="C4235" s="4561" t="n"/>
      <c r="D4235" s="4561" t="n"/>
      <c r="E4235" s="4561" t="n"/>
      <c r="F4235" s="4561" t="n"/>
      <c r="G4235" s="4561" t="n"/>
      <c r="H4235" s="4561" t="n"/>
      <c r="I4235" s="4562">
        <f>XLOOKUP(B4235,'_Sys|Line_Map'!$A:$A,'_Sys|Line_Map'!$C:$C,"MISSING",0)</f>
        <v/>
      </c>
      <c r="J4235" s="4562">
        <f>XLOOKUP(B4235,'_Sys|Line_Map'!$A:$A,'_Sys|Line_Map'!$D:$D,1,0)</f>
        <v/>
      </c>
      <c r="K4235" s="4562">
        <f>IF(D4235="","",D4235*J4235)</f>
        <v/>
      </c>
      <c r="L4235" s="4562">
        <f>XLOOKUP(B4235,'_Sys|Line_Map'!$A:$A,'_Sys|Line_Map'!$B:$B,"MISSING",0)</f>
        <v/>
      </c>
    </row>
    <row r="4236">
      <c r="A4236" s="4561" t="n"/>
      <c r="B4236" s="4561" t="n"/>
      <c r="C4236" s="4561" t="n"/>
      <c r="D4236" s="4561" t="n"/>
      <c r="E4236" s="4561" t="n"/>
      <c r="F4236" s="4561" t="n"/>
      <c r="G4236" s="4561" t="n"/>
      <c r="H4236" s="4561" t="n"/>
      <c r="I4236" s="4562">
        <f>XLOOKUP(B4236,'_Sys|Line_Map'!$A:$A,'_Sys|Line_Map'!$C:$C,"MISSING",0)</f>
        <v/>
      </c>
      <c r="J4236" s="4562">
        <f>XLOOKUP(B4236,'_Sys|Line_Map'!$A:$A,'_Sys|Line_Map'!$D:$D,1,0)</f>
        <v/>
      </c>
      <c r="K4236" s="4562">
        <f>IF(D4236="","",D4236*J4236)</f>
        <v/>
      </c>
      <c r="L4236" s="4562">
        <f>XLOOKUP(B4236,'_Sys|Line_Map'!$A:$A,'_Sys|Line_Map'!$B:$B,"MISSING",0)</f>
        <v/>
      </c>
    </row>
    <row r="4237">
      <c r="A4237" s="4561" t="n"/>
      <c r="B4237" s="4561" t="n"/>
      <c r="C4237" s="4561" t="n"/>
      <c r="D4237" s="4561" t="n"/>
      <c r="E4237" s="4561" t="n"/>
      <c r="F4237" s="4561" t="n"/>
      <c r="G4237" s="4561" t="n"/>
      <c r="H4237" s="4561" t="n"/>
      <c r="I4237" s="4562">
        <f>XLOOKUP(B4237,'_Sys|Line_Map'!$A:$A,'_Sys|Line_Map'!$C:$C,"MISSING",0)</f>
        <v/>
      </c>
      <c r="J4237" s="4562">
        <f>XLOOKUP(B4237,'_Sys|Line_Map'!$A:$A,'_Sys|Line_Map'!$D:$D,1,0)</f>
        <v/>
      </c>
      <c r="K4237" s="4562">
        <f>IF(D4237="","",D4237*J4237)</f>
        <v/>
      </c>
      <c r="L4237" s="4562">
        <f>XLOOKUP(B4237,'_Sys|Line_Map'!$A:$A,'_Sys|Line_Map'!$B:$B,"MISSING",0)</f>
        <v/>
      </c>
    </row>
    <row r="4238">
      <c r="A4238" s="4561" t="n"/>
      <c r="B4238" s="4561" t="n"/>
      <c r="C4238" s="4561" t="n"/>
      <c r="D4238" s="4561" t="n"/>
      <c r="E4238" s="4561" t="n"/>
      <c r="F4238" s="4561" t="n"/>
      <c r="G4238" s="4561" t="n"/>
      <c r="H4238" s="4561" t="n"/>
      <c r="I4238" s="4562">
        <f>XLOOKUP(B4238,'_Sys|Line_Map'!$A:$A,'_Sys|Line_Map'!$C:$C,"MISSING",0)</f>
        <v/>
      </c>
      <c r="J4238" s="4562">
        <f>XLOOKUP(B4238,'_Sys|Line_Map'!$A:$A,'_Sys|Line_Map'!$D:$D,1,0)</f>
        <v/>
      </c>
      <c r="K4238" s="4562">
        <f>IF(D4238="","",D4238*J4238)</f>
        <v/>
      </c>
      <c r="L4238" s="4562">
        <f>XLOOKUP(B4238,'_Sys|Line_Map'!$A:$A,'_Sys|Line_Map'!$B:$B,"MISSING",0)</f>
        <v/>
      </c>
    </row>
    <row r="4239">
      <c r="A4239" s="4561" t="n"/>
      <c r="B4239" s="4561" t="n"/>
      <c r="C4239" s="4561" t="n"/>
      <c r="D4239" s="4561" t="n"/>
      <c r="E4239" s="4561" t="n"/>
      <c r="F4239" s="4561" t="n"/>
      <c r="G4239" s="4561" t="n"/>
      <c r="H4239" s="4561" t="n"/>
      <c r="I4239" s="4562">
        <f>XLOOKUP(B4239,'_Sys|Line_Map'!$A:$A,'_Sys|Line_Map'!$C:$C,"MISSING",0)</f>
        <v/>
      </c>
      <c r="J4239" s="4562">
        <f>XLOOKUP(B4239,'_Sys|Line_Map'!$A:$A,'_Sys|Line_Map'!$D:$D,1,0)</f>
        <v/>
      </c>
      <c r="K4239" s="4562">
        <f>IF(D4239="","",D4239*J4239)</f>
        <v/>
      </c>
      <c r="L4239" s="4562">
        <f>XLOOKUP(B4239,'_Sys|Line_Map'!$A:$A,'_Sys|Line_Map'!$B:$B,"MISSING",0)</f>
        <v/>
      </c>
    </row>
    <row r="4240">
      <c r="A4240" s="4561" t="n"/>
      <c r="B4240" s="4561" t="n"/>
      <c r="C4240" s="4561" t="n"/>
      <c r="D4240" s="4561" t="n"/>
      <c r="E4240" s="4561" t="n"/>
      <c r="F4240" s="4561" t="n"/>
      <c r="G4240" s="4561" t="n"/>
      <c r="H4240" s="4561" t="n"/>
      <c r="I4240" s="4562">
        <f>XLOOKUP(B4240,'_Sys|Line_Map'!$A:$A,'_Sys|Line_Map'!$C:$C,"MISSING",0)</f>
        <v/>
      </c>
      <c r="J4240" s="4562">
        <f>XLOOKUP(B4240,'_Sys|Line_Map'!$A:$A,'_Sys|Line_Map'!$D:$D,1,0)</f>
        <v/>
      </c>
      <c r="K4240" s="4562">
        <f>IF(D4240="","",D4240*J4240)</f>
        <v/>
      </c>
      <c r="L4240" s="4562">
        <f>XLOOKUP(B4240,'_Sys|Line_Map'!$A:$A,'_Sys|Line_Map'!$B:$B,"MISSING",0)</f>
        <v/>
      </c>
    </row>
    <row r="4241">
      <c r="A4241" s="4561" t="n"/>
      <c r="B4241" s="4561" t="n"/>
      <c r="C4241" s="4561" t="n"/>
      <c r="D4241" s="4561" t="n"/>
      <c r="E4241" s="4561" t="n"/>
      <c r="F4241" s="4561" t="n"/>
      <c r="G4241" s="4561" t="n"/>
      <c r="H4241" s="4561" t="n"/>
      <c r="I4241" s="4562">
        <f>XLOOKUP(B4241,'_Sys|Line_Map'!$A:$A,'_Sys|Line_Map'!$C:$C,"MISSING",0)</f>
        <v/>
      </c>
      <c r="J4241" s="4562">
        <f>XLOOKUP(B4241,'_Sys|Line_Map'!$A:$A,'_Sys|Line_Map'!$D:$D,1,0)</f>
        <v/>
      </c>
      <c r="K4241" s="4562">
        <f>IF(D4241="","",D4241*J4241)</f>
        <v/>
      </c>
      <c r="L4241" s="4562">
        <f>XLOOKUP(B4241,'_Sys|Line_Map'!$A:$A,'_Sys|Line_Map'!$B:$B,"MISSING",0)</f>
        <v/>
      </c>
    </row>
    <row r="4242">
      <c r="A4242" s="4561" t="n"/>
      <c r="B4242" s="4561" t="n"/>
      <c r="C4242" s="4561" t="n"/>
      <c r="D4242" s="4561" t="n"/>
      <c r="E4242" s="4561" t="n"/>
      <c r="F4242" s="4561" t="n"/>
      <c r="G4242" s="4561" t="n"/>
      <c r="H4242" s="4561" t="n"/>
      <c r="I4242" s="4562">
        <f>XLOOKUP(B4242,'_Sys|Line_Map'!$A:$A,'_Sys|Line_Map'!$C:$C,"MISSING",0)</f>
        <v/>
      </c>
      <c r="J4242" s="4562">
        <f>XLOOKUP(B4242,'_Sys|Line_Map'!$A:$A,'_Sys|Line_Map'!$D:$D,1,0)</f>
        <v/>
      </c>
      <c r="K4242" s="4562">
        <f>IF(D4242="","",D4242*J4242)</f>
        <v/>
      </c>
      <c r="L4242" s="4562">
        <f>XLOOKUP(B4242,'_Sys|Line_Map'!$A:$A,'_Sys|Line_Map'!$B:$B,"MISSING",0)</f>
        <v/>
      </c>
    </row>
    <row r="4243">
      <c r="A4243" s="4561" t="n"/>
      <c r="B4243" s="4561" t="n"/>
      <c r="C4243" s="4561" t="n"/>
      <c r="D4243" s="4561" t="n"/>
      <c r="E4243" s="4561" t="n"/>
      <c r="F4243" s="4561" t="n"/>
      <c r="G4243" s="4561" t="n"/>
      <c r="H4243" s="4561" t="n"/>
      <c r="I4243" s="4562">
        <f>XLOOKUP(B4243,'_Sys|Line_Map'!$A:$A,'_Sys|Line_Map'!$C:$C,"MISSING",0)</f>
        <v/>
      </c>
      <c r="J4243" s="4562">
        <f>XLOOKUP(B4243,'_Sys|Line_Map'!$A:$A,'_Sys|Line_Map'!$D:$D,1,0)</f>
        <v/>
      </c>
      <c r="K4243" s="4562">
        <f>IF(D4243="","",D4243*J4243)</f>
        <v/>
      </c>
      <c r="L4243" s="4562">
        <f>XLOOKUP(B4243,'_Sys|Line_Map'!$A:$A,'_Sys|Line_Map'!$B:$B,"MISSING",0)</f>
        <v/>
      </c>
    </row>
    <row r="4244">
      <c r="A4244" s="4561" t="n"/>
      <c r="B4244" s="4561" t="n"/>
      <c r="C4244" s="4561" t="n"/>
      <c r="D4244" s="4561" t="n"/>
      <c r="E4244" s="4561" t="n"/>
      <c r="F4244" s="4561" t="n"/>
      <c r="G4244" s="4561" t="n"/>
      <c r="H4244" s="4561" t="n"/>
      <c r="I4244" s="4562">
        <f>XLOOKUP(B4244,'_Sys|Line_Map'!$A:$A,'_Sys|Line_Map'!$C:$C,"MISSING",0)</f>
        <v/>
      </c>
      <c r="J4244" s="4562">
        <f>XLOOKUP(B4244,'_Sys|Line_Map'!$A:$A,'_Sys|Line_Map'!$D:$D,1,0)</f>
        <v/>
      </c>
      <c r="K4244" s="4562">
        <f>IF(D4244="","",D4244*J4244)</f>
        <v/>
      </c>
      <c r="L4244" s="4562">
        <f>XLOOKUP(B4244,'_Sys|Line_Map'!$A:$A,'_Sys|Line_Map'!$B:$B,"MISSING",0)</f>
        <v/>
      </c>
    </row>
    <row r="4245">
      <c r="A4245" s="4561" t="n"/>
      <c r="B4245" s="4561" t="n"/>
      <c r="C4245" s="4561" t="n"/>
      <c r="D4245" s="4561" t="n"/>
      <c r="E4245" s="4561" t="n"/>
      <c r="F4245" s="4561" t="n"/>
      <c r="G4245" s="4561" t="n"/>
      <c r="H4245" s="4561" t="n"/>
      <c r="I4245" s="4562">
        <f>XLOOKUP(B4245,'_Sys|Line_Map'!$A:$A,'_Sys|Line_Map'!$C:$C,"MISSING",0)</f>
        <v/>
      </c>
      <c r="J4245" s="4562">
        <f>XLOOKUP(B4245,'_Sys|Line_Map'!$A:$A,'_Sys|Line_Map'!$D:$D,1,0)</f>
        <v/>
      </c>
      <c r="K4245" s="4562">
        <f>IF(D4245="","",D4245*J4245)</f>
        <v/>
      </c>
      <c r="L4245" s="4562">
        <f>XLOOKUP(B4245,'_Sys|Line_Map'!$A:$A,'_Sys|Line_Map'!$B:$B,"MISSING",0)</f>
        <v/>
      </c>
    </row>
    <row r="4246">
      <c r="A4246" s="4561" t="n"/>
      <c r="B4246" s="4561" t="n"/>
      <c r="C4246" s="4561" t="n"/>
      <c r="D4246" s="4561" t="n"/>
      <c r="E4246" s="4561" t="n"/>
      <c r="F4246" s="4561" t="n"/>
      <c r="G4246" s="4561" t="n"/>
      <c r="H4246" s="4561" t="n"/>
      <c r="I4246" s="4562">
        <f>XLOOKUP(B4246,'_Sys|Line_Map'!$A:$A,'_Sys|Line_Map'!$C:$C,"MISSING",0)</f>
        <v/>
      </c>
      <c r="J4246" s="4562">
        <f>XLOOKUP(B4246,'_Sys|Line_Map'!$A:$A,'_Sys|Line_Map'!$D:$D,1,0)</f>
        <v/>
      </c>
      <c r="K4246" s="4562">
        <f>IF(D4246="","",D4246*J4246)</f>
        <v/>
      </c>
      <c r="L4246" s="4562">
        <f>XLOOKUP(B4246,'_Sys|Line_Map'!$A:$A,'_Sys|Line_Map'!$B:$B,"MISSING",0)</f>
        <v/>
      </c>
    </row>
    <row r="4247">
      <c r="A4247" s="4561" t="n"/>
      <c r="B4247" s="4561" t="n"/>
      <c r="C4247" s="4561" t="n"/>
      <c r="D4247" s="4561" t="n"/>
      <c r="E4247" s="4561" t="n"/>
      <c r="F4247" s="4561" t="n"/>
      <c r="G4247" s="4561" t="n"/>
      <c r="H4247" s="4561" t="n"/>
      <c r="I4247" s="4562">
        <f>XLOOKUP(B4247,'_Sys|Line_Map'!$A:$A,'_Sys|Line_Map'!$C:$C,"MISSING",0)</f>
        <v/>
      </c>
      <c r="J4247" s="4562">
        <f>XLOOKUP(B4247,'_Sys|Line_Map'!$A:$A,'_Sys|Line_Map'!$D:$D,1,0)</f>
        <v/>
      </c>
      <c r="K4247" s="4562">
        <f>IF(D4247="","",D4247*J4247)</f>
        <v/>
      </c>
      <c r="L4247" s="4562">
        <f>XLOOKUP(B4247,'_Sys|Line_Map'!$A:$A,'_Sys|Line_Map'!$B:$B,"MISSING",0)</f>
        <v/>
      </c>
    </row>
    <row r="4248">
      <c r="A4248" s="4561" t="n"/>
      <c r="B4248" s="4561" t="n"/>
      <c r="C4248" s="4561" t="n"/>
      <c r="D4248" s="4561" t="n"/>
      <c r="E4248" s="4561" t="n"/>
      <c r="F4248" s="4561" t="n"/>
      <c r="G4248" s="4561" t="n"/>
      <c r="H4248" s="4561" t="n"/>
      <c r="I4248" s="4562">
        <f>XLOOKUP(B4248,'_Sys|Line_Map'!$A:$A,'_Sys|Line_Map'!$C:$C,"MISSING",0)</f>
        <v/>
      </c>
      <c r="J4248" s="4562">
        <f>XLOOKUP(B4248,'_Sys|Line_Map'!$A:$A,'_Sys|Line_Map'!$D:$D,1,0)</f>
        <v/>
      </c>
      <c r="K4248" s="4562">
        <f>IF(D4248="","",D4248*J4248)</f>
        <v/>
      </c>
      <c r="L4248" s="4562">
        <f>XLOOKUP(B4248,'_Sys|Line_Map'!$A:$A,'_Sys|Line_Map'!$B:$B,"MISSING",0)</f>
        <v/>
      </c>
    </row>
    <row r="4249">
      <c r="A4249" s="4561" t="n"/>
      <c r="B4249" s="4561" t="n"/>
      <c r="C4249" s="4561" t="n"/>
      <c r="D4249" s="4561" t="n"/>
      <c r="E4249" s="4561" t="n"/>
      <c r="F4249" s="4561" t="n"/>
      <c r="G4249" s="4561" t="n"/>
      <c r="H4249" s="4561" t="n"/>
      <c r="I4249" s="4562">
        <f>XLOOKUP(B4249,'_Sys|Line_Map'!$A:$A,'_Sys|Line_Map'!$C:$C,"MISSING",0)</f>
        <v/>
      </c>
      <c r="J4249" s="4562">
        <f>XLOOKUP(B4249,'_Sys|Line_Map'!$A:$A,'_Sys|Line_Map'!$D:$D,1,0)</f>
        <v/>
      </c>
      <c r="K4249" s="4562">
        <f>IF(D4249="","",D4249*J4249)</f>
        <v/>
      </c>
      <c r="L4249" s="4562">
        <f>XLOOKUP(B4249,'_Sys|Line_Map'!$A:$A,'_Sys|Line_Map'!$B:$B,"MISSING",0)</f>
        <v/>
      </c>
    </row>
    <row r="4250">
      <c r="A4250" s="4561" t="n"/>
      <c r="B4250" s="4561" t="n"/>
      <c r="C4250" s="4561" t="n"/>
      <c r="D4250" s="4561" t="n"/>
      <c r="E4250" s="4561" t="n"/>
      <c r="F4250" s="4561" t="n"/>
      <c r="G4250" s="4561" t="n"/>
      <c r="H4250" s="4561" t="n"/>
      <c r="I4250" s="4562">
        <f>XLOOKUP(B4250,'_Sys|Line_Map'!$A:$A,'_Sys|Line_Map'!$C:$C,"MISSING",0)</f>
        <v/>
      </c>
      <c r="J4250" s="4562">
        <f>XLOOKUP(B4250,'_Sys|Line_Map'!$A:$A,'_Sys|Line_Map'!$D:$D,1,0)</f>
        <v/>
      </c>
      <c r="K4250" s="4562">
        <f>IF(D4250="","",D4250*J4250)</f>
        <v/>
      </c>
      <c r="L4250" s="4562">
        <f>XLOOKUP(B4250,'_Sys|Line_Map'!$A:$A,'_Sys|Line_Map'!$B:$B,"MISSING",0)</f>
        <v/>
      </c>
    </row>
    <row r="4251">
      <c r="A4251" s="4561" t="n"/>
      <c r="B4251" s="4561" t="n"/>
      <c r="C4251" s="4561" t="n"/>
      <c r="D4251" s="4561" t="n"/>
      <c r="E4251" s="4561" t="n"/>
      <c r="F4251" s="4561" t="n"/>
      <c r="G4251" s="4561" t="n"/>
      <c r="H4251" s="4561" t="n"/>
      <c r="I4251" s="4562">
        <f>XLOOKUP(B4251,'_Sys|Line_Map'!$A:$A,'_Sys|Line_Map'!$C:$C,"MISSING",0)</f>
        <v/>
      </c>
      <c r="J4251" s="4562">
        <f>XLOOKUP(B4251,'_Sys|Line_Map'!$A:$A,'_Sys|Line_Map'!$D:$D,1,0)</f>
        <v/>
      </c>
      <c r="K4251" s="4562">
        <f>IF(D4251="","",D4251*J4251)</f>
        <v/>
      </c>
      <c r="L4251" s="4562">
        <f>XLOOKUP(B4251,'_Sys|Line_Map'!$A:$A,'_Sys|Line_Map'!$B:$B,"MISSING",0)</f>
        <v/>
      </c>
    </row>
    <row r="4252">
      <c r="A4252" s="4561" t="n"/>
      <c r="B4252" s="4561" t="n"/>
      <c r="C4252" s="4561" t="n"/>
      <c r="D4252" s="4561" t="n"/>
      <c r="E4252" s="4561" t="n"/>
      <c r="F4252" s="4561" t="n"/>
      <c r="G4252" s="4561" t="n"/>
      <c r="H4252" s="4561" t="n"/>
      <c r="I4252" s="4562">
        <f>XLOOKUP(B4252,'_Sys|Line_Map'!$A:$A,'_Sys|Line_Map'!$C:$C,"MISSING",0)</f>
        <v/>
      </c>
      <c r="J4252" s="4562">
        <f>XLOOKUP(B4252,'_Sys|Line_Map'!$A:$A,'_Sys|Line_Map'!$D:$D,1,0)</f>
        <v/>
      </c>
      <c r="K4252" s="4562">
        <f>IF(D4252="","",D4252*J4252)</f>
        <v/>
      </c>
      <c r="L4252" s="4562">
        <f>XLOOKUP(B4252,'_Sys|Line_Map'!$A:$A,'_Sys|Line_Map'!$B:$B,"MISSING",0)</f>
        <v/>
      </c>
    </row>
    <row r="4253">
      <c r="A4253" s="4561" t="n"/>
      <c r="B4253" s="4561" t="n"/>
      <c r="C4253" s="4561" t="n"/>
      <c r="D4253" s="4561" t="n"/>
      <c r="E4253" s="4561" t="n"/>
      <c r="F4253" s="4561" t="n"/>
      <c r="G4253" s="4561" t="n"/>
      <c r="H4253" s="4561" t="n"/>
      <c r="I4253" s="4562">
        <f>XLOOKUP(B4253,'_Sys|Line_Map'!$A:$A,'_Sys|Line_Map'!$C:$C,"MISSING",0)</f>
        <v/>
      </c>
      <c r="J4253" s="4562">
        <f>XLOOKUP(B4253,'_Sys|Line_Map'!$A:$A,'_Sys|Line_Map'!$D:$D,1,0)</f>
        <v/>
      </c>
      <c r="K4253" s="4562">
        <f>IF(D4253="","",D4253*J4253)</f>
        <v/>
      </c>
      <c r="L4253" s="4562">
        <f>XLOOKUP(B4253,'_Sys|Line_Map'!$A:$A,'_Sys|Line_Map'!$B:$B,"MISSING",0)</f>
        <v/>
      </c>
    </row>
    <row r="4254">
      <c r="A4254" s="4561" t="n"/>
      <c r="B4254" s="4561" t="n"/>
      <c r="C4254" s="4561" t="n"/>
      <c r="D4254" s="4561" t="n"/>
      <c r="E4254" s="4561" t="n"/>
      <c r="F4254" s="4561" t="n"/>
      <c r="G4254" s="4561" t="n"/>
      <c r="H4254" s="4561" t="n"/>
      <c r="I4254" s="4562">
        <f>XLOOKUP(B4254,'_Sys|Line_Map'!$A:$A,'_Sys|Line_Map'!$C:$C,"MISSING",0)</f>
        <v/>
      </c>
      <c r="J4254" s="4562">
        <f>XLOOKUP(B4254,'_Sys|Line_Map'!$A:$A,'_Sys|Line_Map'!$D:$D,1,0)</f>
        <v/>
      </c>
      <c r="K4254" s="4562">
        <f>IF(D4254="","",D4254*J4254)</f>
        <v/>
      </c>
      <c r="L4254" s="4562">
        <f>XLOOKUP(B4254,'_Sys|Line_Map'!$A:$A,'_Sys|Line_Map'!$B:$B,"MISSING",0)</f>
        <v/>
      </c>
    </row>
    <row r="4255">
      <c r="A4255" s="4561" t="n"/>
      <c r="B4255" s="4561" t="n"/>
      <c r="C4255" s="4561" t="n"/>
      <c r="D4255" s="4561" t="n"/>
      <c r="E4255" s="4561" t="n"/>
      <c r="F4255" s="4561" t="n"/>
      <c r="G4255" s="4561" t="n"/>
      <c r="H4255" s="4561" t="n"/>
      <c r="I4255" s="4562">
        <f>XLOOKUP(B4255,'_Sys|Line_Map'!$A:$A,'_Sys|Line_Map'!$C:$C,"MISSING",0)</f>
        <v/>
      </c>
      <c r="J4255" s="4562">
        <f>XLOOKUP(B4255,'_Sys|Line_Map'!$A:$A,'_Sys|Line_Map'!$D:$D,1,0)</f>
        <v/>
      </c>
      <c r="K4255" s="4562">
        <f>IF(D4255="","",D4255*J4255)</f>
        <v/>
      </c>
      <c r="L4255" s="4562">
        <f>XLOOKUP(B4255,'_Sys|Line_Map'!$A:$A,'_Sys|Line_Map'!$B:$B,"MISSING",0)</f>
        <v/>
      </c>
    </row>
    <row r="4256">
      <c r="A4256" s="4561" t="n"/>
      <c r="B4256" s="4561" t="n"/>
      <c r="C4256" s="4561" t="n"/>
      <c r="D4256" s="4561" t="n"/>
      <c r="E4256" s="4561" t="n"/>
      <c r="F4256" s="4561" t="n"/>
      <c r="G4256" s="4561" t="n"/>
      <c r="H4256" s="4561" t="n"/>
      <c r="I4256" s="4562">
        <f>XLOOKUP(B4256,'_Sys|Line_Map'!$A:$A,'_Sys|Line_Map'!$C:$C,"MISSING",0)</f>
        <v/>
      </c>
      <c r="J4256" s="4562">
        <f>XLOOKUP(B4256,'_Sys|Line_Map'!$A:$A,'_Sys|Line_Map'!$D:$D,1,0)</f>
        <v/>
      </c>
      <c r="K4256" s="4562">
        <f>IF(D4256="","",D4256*J4256)</f>
        <v/>
      </c>
      <c r="L4256" s="4562">
        <f>XLOOKUP(B4256,'_Sys|Line_Map'!$A:$A,'_Sys|Line_Map'!$B:$B,"MISSING",0)</f>
        <v/>
      </c>
    </row>
    <row r="4257">
      <c r="A4257" s="4561" t="n"/>
      <c r="B4257" s="4561" t="n"/>
      <c r="C4257" s="4561" t="n"/>
      <c r="D4257" s="4561" t="n"/>
      <c r="E4257" s="4561" t="n"/>
      <c r="F4257" s="4561" t="n"/>
      <c r="G4257" s="4561" t="n"/>
      <c r="H4257" s="4561" t="n"/>
      <c r="I4257" s="4562">
        <f>XLOOKUP(B4257,'_Sys|Line_Map'!$A:$A,'_Sys|Line_Map'!$C:$C,"MISSING",0)</f>
        <v/>
      </c>
      <c r="J4257" s="4562">
        <f>XLOOKUP(B4257,'_Sys|Line_Map'!$A:$A,'_Sys|Line_Map'!$D:$D,1,0)</f>
        <v/>
      </c>
      <c r="K4257" s="4562">
        <f>IF(D4257="","",D4257*J4257)</f>
        <v/>
      </c>
      <c r="L4257" s="4562">
        <f>XLOOKUP(B4257,'_Sys|Line_Map'!$A:$A,'_Sys|Line_Map'!$B:$B,"MISSING",0)</f>
        <v/>
      </c>
    </row>
    <row r="4258">
      <c r="A4258" s="4561" t="n"/>
      <c r="B4258" s="4561" t="n"/>
      <c r="C4258" s="4561" t="n"/>
      <c r="D4258" s="4561" t="n"/>
      <c r="E4258" s="4561" t="n"/>
      <c r="F4258" s="4561" t="n"/>
      <c r="G4258" s="4561" t="n"/>
      <c r="H4258" s="4561" t="n"/>
      <c r="I4258" s="4562">
        <f>XLOOKUP(B4258,'_Sys|Line_Map'!$A:$A,'_Sys|Line_Map'!$C:$C,"MISSING",0)</f>
        <v/>
      </c>
      <c r="J4258" s="4562">
        <f>XLOOKUP(B4258,'_Sys|Line_Map'!$A:$A,'_Sys|Line_Map'!$D:$D,1,0)</f>
        <v/>
      </c>
      <c r="K4258" s="4562">
        <f>IF(D4258="","",D4258*J4258)</f>
        <v/>
      </c>
      <c r="L4258" s="4562">
        <f>XLOOKUP(B4258,'_Sys|Line_Map'!$A:$A,'_Sys|Line_Map'!$B:$B,"MISSING",0)</f>
        <v/>
      </c>
    </row>
    <row r="4259">
      <c r="A4259" s="4561" t="n"/>
      <c r="B4259" s="4561" t="n"/>
      <c r="C4259" s="4561" t="n"/>
      <c r="D4259" s="4561" t="n"/>
      <c r="E4259" s="4561" t="n"/>
      <c r="F4259" s="4561" t="n"/>
      <c r="G4259" s="4561" t="n"/>
      <c r="H4259" s="4561" t="n"/>
      <c r="I4259" s="4562">
        <f>XLOOKUP(B4259,'_Sys|Line_Map'!$A:$A,'_Sys|Line_Map'!$C:$C,"MISSING",0)</f>
        <v/>
      </c>
      <c r="J4259" s="4562">
        <f>XLOOKUP(B4259,'_Sys|Line_Map'!$A:$A,'_Sys|Line_Map'!$D:$D,1,0)</f>
        <v/>
      </c>
      <c r="K4259" s="4562">
        <f>IF(D4259="","",D4259*J4259)</f>
        <v/>
      </c>
      <c r="L4259" s="4562">
        <f>XLOOKUP(B4259,'_Sys|Line_Map'!$A:$A,'_Sys|Line_Map'!$B:$B,"MISSING",0)</f>
        <v/>
      </c>
    </row>
    <row r="4260">
      <c r="A4260" s="4561" t="n"/>
      <c r="B4260" s="4561" t="n"/>
      <c r="C4260" s="4561" t="n"/>
      <c r="D4260" s="4561" t="n"/>
      <c r="E4260" s="4561" t="n"/>
      <c r="F4260" s="4561" t="n"/>
      <c r="G4260" s="4561" t="n"/>
      <c r="H4260" s="4561" t="n"/>
      <c r="I4260" s="4562">
        <f>XLOOKUP(B4260,'_Sys|Line_Map'!$A:$A,'_Sys|Line_Map'!$C:$C,"MISSING",0)</f>
        <v/>
      </c>
      <c r="J4260" s="4562">
        <f>XLOOKUP(B4260,'_Sys|Line_Map'!$A:$A,'_Sys|Line_Map'!$D:$D,1,0)</f>
        <v/>
      </c>
      <c r="K4260" s="4562">
        <f>IF(D4260="","",D4260*J4260)</f>
        <v/>
      </c>
      <c r="L4260" s="4562">
        <f>XLOOKUP(B4260,'_Sys|Line_Map'!$A:$A,'_Sys|Line_Map'!$B:$B,"MISSING",0)</f>
        <v/>
      </c>
    </row>
    <row r="4261">
      <c r="A4261" s="4561" t="n"/>
      <c r="B4261" s="4561" t="n"/>
      <c r="C4261" s="4561" t="n"/>
      <c r="D4261" s="4561" t="n"/>
      <c r="E4261" s="4561" t="n"/>
      <c r="F4261" s="4561" t="n"/>
      <c r="G4261" s="4561" t="n"/>
      <c r="H4261" s="4561" t="n"/>
      <c r="I4261" s="4562">
        <f>XLOOKUP(B4261,'_Sys|Line_Map'!$A:$A,'_Sys|Line_Map'!$C:$C,"MISSING",0)</f>
        <v/>
      </c>
      <c r="J4261" s="4562">
        <f>XLOOKUP(B4261,'_Sys|Line_Map'!$A:$A,'_Sys|Line_Map'!$D:$D,1,0)</f>
        <v/>
      </c>
      <c r="K4261" s="4562">
        <f>IF(D4261="","",D4261*J4261)</f>
        <v/>
      </c>
      <c r="L4261" s="4562">
        <f>XLOOKUP(B4261,'_Sys|Line_Map'!$A:$A,'_Sys|Line_Map'!$B:$B,"MISSING",0)</f>
        <v/>
      </c>
    </row>
    <row r="4262">
      <c r="A4262" s="4561" t="n"/>
      <c r="B4262" s="4561" t="n"/>
      <c r="C4262" s="4561" t="n"/>
      <c r="D4262" s="4561" t="n"/>
      <c r="E4262" s="4561" t="n"/>
      <c r="F4262" s="4561" t="n"/>
      <c r="G4262" s="4561" t="n"/>
      <c r="H4262" s="4561" t="n"/>
      <c r="I4262" s="4562">
        <f>XLOOKUP(B4262,'_Sys|Line_Map'!$A:$A,'_Sys|Line_Map'!$C:$C,"MISSING",0)</f>
        <v/>
      </c>
      <c r="J4262" s="4562">
        <f>XLOOKUP(B4262,'_Sys|Line_Map'!$A:$A,'_Sys|Line_Map'!$D:$D,1,0)</f>
        <v/>
      </c>
      <c r="K4262" s="4562">
        <f>IF(D4262="","",D4262*J4262)</f>
        <v/>
      </c>
      <c r="L4262" s="4562">
        <f>XLOOKUP(B4262,'_Sys|Line_Map'!$A:$A,'_Sys|Line_Map'!$B:$B,"MISSING",0)</f>
        <v/>
      </c>
    </row>
    <row r="4263">
      <c r="A4263" s="4561" t="n"/>
      <c r="B4263" s="4561" t="n"/>
      <c r="C4263" s="4561" t="n"/>
      <c r="D4263" s="4561" t="n"/>
      <c r="E4263" s="4561" t="n"/>
      <c r="F4263" s="4561" t="n"/>
      <c r="G4263" s="4561" t="n"/>
      <c r="H4263" s="4561" t="n"/>
      <c r="I4263" s="4562">
        <f>XLOOKUP(B4263,'_Sys|Line_Map'!$A:$A,'_Sys|Line_Map'!$C:$C,"MISSING",0)</f>
        <v/>
      </c>
      <c r="J4263" s="4562">
        <f>XLOOKUP(B4263,'_Sys|Line_Map'!$A:$A,'_Sys|Line_Map'!$D:$D,1,0)</f>
        <v/>
      </c>
      <c r="K4263" s="4562">
        <f>IF(D4263="","",D4263*J4263)</f>
        <v/>
      </c>
      <c r="L4263" s="4562">
        <f>XLOOKUP(B4263,'_Sys|Line_Map'!$A:$A,'_Sys|Line_Map'!$B:$B,"MISSING",0)</f>
        <v/>
      </c>
    </row>
    <row r="4264">
      <c r="A4264" s="4561" t="n"/>
      <c r="B4264" s="4561" t="n"/>
      <c r="C4264" s="4561" t="n"/>
      <c r="D4264" s="4561" t="n"/>
      <c r="E4264" s="4561" t="n"/>
      <c r="F4264" s="4561" t="n"/>
      <c r="G4264" s="4561" t="n"/>
      <c r="H4264" s="4561" t="n"/>
      <c r="I4264" s="4562">
        <f>XLOOKUP(B4264,'_Sys|Line_Map'!$A:$A,'_Sys|Line_Map'!$C:$C,"MISSING",0)</f>
        <v/>
      </c>
      <c r="J4264" s="4562">
        <f>XLOOKUP(B4264,'_Sys|Line_Map'!$A:$A,'_Sys|Line_Map'!$D:$D,1,0)</f>
        <v/>
      </c>
      <c r="K4264" s="4562">
        <f>IF(D4264="","",D4264*J4264)</f>
        <v/>
      </c>
      <c r="L4264" s="4562">
        <f>XLOOKUP(B4264,'_Sys|Line_Map'!$A:$A,'_Sys|Line_Map'!$B:$B,"MISSING",0)</f>
        <v/>
      </c>
    </row>
    <row r="4265">
      <c r="A4265" s="4561" t="n"/>
      <c r="B4265" s="4561" t="n"/>
      <c r="C4265" s="4561" t="n"/>
      <c r="D4265" s="4561" t="n"/>
      <c r="E4265" s="4561" t="n"/>
      <c r="F4265" s="4561" t="n"/>
      <c r="G4265" s="4561" t="n"/>
      <c r="H4265" s="4561" t="n"/>
      <c r="I4265" s="4562">
        <f>XLOOKUP(B4265,'_Sys|Line_Map'!$A:$A,'_Sys|Line_Map'!$C:$C,"MISSING",0)</f>
        <v/>
      </c>
      <c r="J4265" s="4562">
        <f>XLOOKUP(B4265,'_Sys|Line_Map'!$A:$A,'_Sys|Line_Map'!$D:$D,1,0)</f>
        <v/>
      </c>
      <c r="K4265" s="4562">
        <f>IF(D4265="","",D4265*J4265)</f>
        <v/>
      </c>
      <c r="L4265" s="4562">
        <f>XLOOKUP(B4265,'_Sys|Line_Map'!$A:$A,'_Sys|Line_Map'!$B:$B,"MISSING",0)</f>
        <v/>
      </c>
    </row>
    <row r="4266">
      <c r="A4266" s="4561" t="n"/>
      <c r="B4266" s="4561" t="n"/>
      <c r="C4266" s="4561" t="n"/>
      <c r="D4266" s="4561" t="n"/>
      <c r="E4266" s="4561" t="n"/>
      <c r="F4266" s="4561" t="n"/>
      <c r="G4266" s="4561" t="n"/>
      <c r="H4266" s="4561" t="n"/>
      <c r="I4266" s="4562">
        <f>XLOOKUP(B4266,'_Sys|Line_Map'!$A:$A,'_Sys|Line_Map'!$C:$C,"MISSING",0)</f>
        <v/>
      </c>
      <c r="J4266" s="4562">
        <f>XLOOKUP(B4266,'_Sys|Line_Map'!$A:$A,'_Sys|Line_Map'!$D:$D,1,0)</f>
        <v/>
      </c>
      <c r="K4266" s="4562">
        <f>IF(D4266="","",D4266*J4266)</f>
        <v/>
      </c>
      <c r="L4266" s="4562">
        <f>XLOOKUP(B4266,'_Sys|Line_Map'!$A:$A,'_Sys|Line_Map'!$B:$B,"MISSING",0)</f>
        <v/>
      </c>
    </row>
    <row r="4267">
      <c r="A4267" s="4561" t="n"/>
      <c r="B4267" s="4561" t="n"/>
      <c r="C4267" s="4561" t="n"/>
      <c r="D4267" s="4561" t="n"/>
      <c r="E4267" s="4561" t="n"/>
      <c r="F4267" s="4561" t="n"/>
      <c r="G4267" s="4561" t="n"/>
      <c r="H4267" s="4561" t="n"/>
      <c r="I4267" s="4562">
        <f>XLOOKUP(B4267,'_Sys|Line_Map'!$A:$A,'_Sys|Line_Map'!$C:$C,"MISSING",0)</f>
        <v/>
      </c>
      <c r="J4267" s="4562">
        <f>XLOOKUP(B4267,'_Sys|Line_Map'!$A:$A,'_Sys|Line_Map'!$D:$D,1,0)</f>
        <v/>
      </c>
      <c r="K4267" s="4562">
        <f>IF(D4267="","",D4267*J4267)</f>
        <v/>
      </c>
      <c r="L4267" s="4562">
        <f>XLOOKUP(B4267,'_Sys|Line_Map'!$A:$A,'_Sys|Line_Map'!$B:$B,"MISSING",0)</f>
        <v/>
      </c>
    </row>
    <row r="4268">
      <c r="A4268" s="4561" t="n"/>
      <c r="B4268" s="4561" t="n"/>
      <c r="C4268" s="4561" t="n"/>
      <c r="D4268" s="4561" t="n"/>
      <c r="E4268" s="4561" t="n"/>
      <c r="F4268" s="4561" t="n"/>
      <c r="G4268" s="4561" t="n"/>
      <c r="H4268" s="4561" t="n"/>
      <c r="I4268" s="4562">
        <f>XLOOKUP(B4268,'_Sys|Line_Map'!$A:$A,'_Sys|Line_Map'!$C:$C,"MISSING",0)</f>
        <v/>
      </c>
      <c r="J4268" s="4562">
        <f>XLOOKUP(B4268,'_Sys|Line_Map'!$A:$A,'_Sys|Line_Map'!$D:$D,1,0)</f>
        <v/>
      </c>
      <c r="K4268" s="4562">
        <f>IF(D4268="","",D4268*J4268)</f>
        <v/>
      </c>
      <c r="L4268" s="4562">
        <f>XLOOKUP(B4268,'_Sys|Line_Map'!$A:$A,'_Sys|Line_Map'!$B:$B,"MISSING",0)</f>
        <v/>
      </c>
    </row>
    <row r="4269">
      <c r="A4269" s="4561" t="n"/>
      <c r="B4269" s="4561" t="n"/>
      <c r="C4269" s="4561" t="n"/>
      <c r="D4269" s="4561" t="n"/>
      <c r="E4269" s="4561" t="n"/>
      <c r="F4269" s="4561" t="n"/>
      <c r="G4269" s="4561" t="n"/>
      <c r="H4269" s="4561" t="n"/>
      <c r="I4269" s="4562">
        <f>XLOOKUP(B4269,'_Sys|Line_Map'!$A:$A,'_Sys|Line_Map'!$C:$C,"MISSING",0)</f>
        <v/>
      </c>
      <c r="J4269" s="4562">
        <f>XLOOKUP(B4269,'_Sys|Line_Map'!$A:$A,'_Sys|Line_Map'!$D:$D,1,0)</f>
        <v/>
      </c>
      <c r="K4269" s="4562">
        <f>IF(D4269="","",D4269*J4269)</f>
        <v/>
      </c>
      <c r="L4269" s="4562">
        <f>XLOOKUP(B4269,'_Sys|Line_Map'!$A:$A,'_Sys|Line_Map'!$B:$B,"MISSING",0)</f>
        <v/>
      </c>
    </row>
    <row r="4270">
      <c r="A4270" s="4561" t="n"/>
      <c r="B4270" s="4561" t="n"/>
      <c r="C4270" s="4561" t="n"/>
      <c r="D4270" s="4561" t="n"/>
      <c r="E4270" s="4561" t="n"/>
      <c r="F4270" s="4561" t="n"/>
      <c r="G4270" s="4561" t="n"/>
      <c r="H4270" s="4561" t="n"/>
      <c r="I4270" s="4562">
        <f>XLOOKUP(B4270,'_Sys|Line_Map'!$A:$A,'_Sys|Line_Map'!$C:$C,"MISSING",0)</f>
        <v/>
      </c>
      <c r="J4270" s="4562">
        <f>XLOOKUP(B4270,'_Sys|Line_Map'!$A:$A,'_Sys|Line_Map'!$D:$D,1,0)</f>
        <v/>
      </c>
      <c r="K4270" s="4562">
        <f>IF(D4270="","",D4270*J4270)</f>
        <v/>
      </c>
      <c r="L4270" s="4562">
        <f>XLOOKUP(B4270,'_Sys|Line_Map'!$A:$A,'_Sys|Line_Map'!$B:$B,"MISSING",0)</f>
        <v/>
      </c>
    </row>
    <row r="4271">
      <c r="A4271" s="4561" t="n"/>
      <c r="B4271" s="4561" t="n"/>
      <c r="C4271" s="4561" t="n"/>
      <c r="D4271" s="4561" t="n"/>
      <c r="E4271" s="4561" t="n"/>
      <c r="F4271" s="4561" t="n"/>
      <c r="G4271" s="4561" t="n"/>
      <c r="H4271" s="4561" t="n"/>
      <c r="I4271" s="4562">
        <f>XLOOKUP(B4271,'_Sys|Line_Map'!$A:$A,'_Sys|Line_Map'!$C:$C,"MISSING",0)</f>
        <v/>
      </c>
      <c r="J4271" s="4562">
        <f>XLOOKUP(B4271,'_Sys|Line_Map'!$A:$A,'_Sys|Line_Map'!$D:$D,1,0)</f>
        <v/>
      </c>
      <c r="K4271" s="4562">
        <f>IF(D4271="","",D4271*J4271)</f>
        <v/>
      </c>
      <c r="L4271" s="4562">
        <f>XLOOKUP(B4271,'_Sys|Line_Map'!$A:$A,'_Sys|Line_Map'!$B:$B,"MISSING",0)</f>
        <v/>
      </c>
    </row>
    <row r="4272">
      <c r="A4272" s="4561" t="n"/>
      <c r="B4272" s="4561" t="n"/>
      <c r="C4272" s="4561" t="n"/>
      <c r="D4272" s="4561" t="n"/>
      <c r="E4272" s="4561" t="n"/>
      <c r="F4272" s="4561" t="n"/>
      <c r="G4272" s="4561" t="n"/>
      <c r="H4272" s="4561" t="n"/>
      <c r="I4272" s="4562">
        <f>XLOOKUP(B4272,'_Sys|Line_Map'!$A:$A,'_Sys|Line_Map'!$C:$C,"MISSING",0)</f>
        <v/>
      </c>
      <c r="J4272" s="4562">
        <f>XLOOKUP(B4272,'_Sys|Line_Map'!$A:$A,'_Sys|Line_Map'!$D:$D,1,0)</f>
        <v/>
      </c>
      <c r="K4272" s="4562">
        <f>IF(D4272="","",D4272*J4272)</f>
        <v/>
      </c>
      <c r="L4272" s="4562">
        <f>XLOOKUP(B4272,'_Sys|Line_Map'!$A:$A,'_Sys|Line_Map'!$B:$B,"MISSING",0)</f>
        <v/>
      </c>
    </row>
    <row r="4273">
      <c r="A4273" s="4561" t="n"/>
      <c r="B4273" s="4561" t="n"/>
      <c r="C4273" s="4561" t="n"/>
      <c r="D4273" s="4561" t="n"/>
      <c r="E4273" s="4561" t="n"/>
      <c r="F4273" s="4561" t="n"/>
      <c r="G4273" s="4561" t="n"/>
      <c r="H4273" s="4561" t="n"/>
      <c r="I4273" s="4562">
        <f>XLOOKUP(B4273,'_Sys|Line_Map'!$A:$A,'_Sys|Line_Map'!$C:$C,"MISSING",0)</f>
        <v/>
      </c>
      <c r="J4273" s="4562">
        <f>XLOOKUP(B4273,'_Sys|Line_Map'!$A:$A,'_Sys|Line_Map'!$D:$D,1,0)</f>
        <v/>
      </c>
      <c r="K4273" s="4562">
        <f>IF(D4273="","",D4273*J4273)</f>
        <v/>
      </c>
      <c r="L4273" s="4562">
        <f>XLOOKUP(B4273,'_Sys|Line_Map'!$A:$A,'_Sys|Line_Map'!$B:$B,"MISSING",0)</f>
        <v/>
      </c>
    </row>
    <row r="4274">
      <c r="A4274" s="4561" t="n"/>
      <c r="B4274" s="4561" t="n"/>
      <c r="C4274" s="4561" t="n"/>
      <c r="D4274" s="4561" t="n"/>
      <c r="E4274" s="4561" t="n"/>
      <c r="F4274" s="4561" t="n"/>
      <c r="G4274" s="4561" t="n"/>
      <c r="H4274" s="4561" t="n"/>
      <c r="I4274" s="4562">
        <f>XLOOKUP(B4274,'_Sys|Line_Map'!$A:$A,'_Sys|Line_Map'!$C:$C,"MISSING",0)</f>
        <v/>
      </c>
      <c r="J4274" s="4562">
        <f>XLOOKUP(B4274,'_Sys|Line_Map'!$A:$A,'_Sys|Line_Map'!$D:$D,1,0)</f>
        <v/>
      </c>
      <c r="K4274" s="4562">
        <f>IF(D4274="","",D4274*J4274)</f>
        <v/>
      </c>
      <c r="L4274" s="4562">
        <f>XLOOKUP(B4274,'_Sys|Line_Map'!$A:$A,'_Sys|Line_Map'!$B:$B,"MISSING",0)</f>
        <v/>
      </c>
    </row>
    <row r="4275">
      <c r="A4275" s="4561" t="n"/>
      <c r="B4275" s="4561" t="n"/>
      <c r="C4275" s="4561" t="n"/>
      <c r="D4275" s="4561" t="n"/>
      <c r="E4275" s="4561" t="n"/>
      <c r="F4275" s="4561" t="n"/>
      <c r="G4275" s="4561" t="n"/>
      <c r="H4275" s="4561" t="n"/>
      <c r="I4275" s="4562">
        <f>XLOOKUP(B4275,'_Sys|Line_Map'!$A:$A,'_Sys|Line_Map'!$C:$C,"MISSING",0)</f>
        <v/>
      </c>
      <c r="J4275" s="4562">
        <f>XLOOKUP(B4275,'_Sys|Line_Map'!$A:$A,'_Sys|Line_Map'!$D:$D,1,0)</f>
        <v/>
      </c>
      <c r="K4275" s="4562">
        <f>IF(D4275="","",D4275*J4275)</f>
        <v/>
      </c>
      <c r="L4275" s="4562">
        <f>XLOOKUP(B4275,'_Sys|Line_Map'!$A:$A,'_Sys|Line_Map'!$B:$B,"MISSING",0)</f>
        <v/>
      </c>
    </row>
    <row r="4276">
      <c r="A4276" s="4561" t="n"/>
      <c r="B4276" s="4561" t="n"/>
      <c r="C4276" s="4561" t="n"/>
      <c r="D4276" s="4561" t="n"/>
      <c r="E4276" s="4561" t="n"/>
      <c r="F4276" s="4561" t="n"/>
      <c r="G4276" s="4561" t="n"/>
      <c r="H4276" s="4561" t="n"/>
      <c r="I4276" s="4562">
        <f>XLOOKUP(B4276,'_Sys|Line_Map'!$A:$A,'_Sys|Line_Map'!$C:$C,"MISSING",0)</f>
        <v/>
      </c>
      <c r="J4276" s="4562">
        <f>XLOOKUP(B4276,'_Sys|Line_Map'!$A:$A,'_Sys|Line_Map'!$D:$D,1,0)</f>
        <v/>
      </c>
      <c r="K4276" s="4562">
        <f>IF(D4276="","",D4276*J4276)</f>
        <v/>
      </c>
      <c r="L4276" s="4562">
        <f>XLOOKUP(B4276,'_Sys|Line_Map'!$A:$A,'_Sys|Line_Map'!$B:$B,"MISSING",0)</f>
        <v/>
      </c>
    </row>
    <row r="4277">
      <c r="A4277" s="4561" t="n"/>
      <c r="B4277" s="4561" t="n"/>
      <c r="C4277" s="4561" t="n"/>
      <c r="D4277" s="4561" t="n"/>
      <c r="E4277" s="4561" t="n"/>
      <c r="F4277" s="4561" t="n"/>
      <c r="G4277" s="4561" t="n"/>
      <c r="H4277" s="4561" t="n"/>
      <c r="I4277" s="4562">
        <f>XLOOKUP(B4277,'_Sys|Line_Map'!$A:$A,'_Sys|Line_Map'!$C:$C,"MISSING",0)</f>
        <v/>
      </c>
      <c r="J4277" s="4562">
        <f>XLOOKUP(B4277,'_Sys|Line_Map'!$A:$A,'_Sys|Line_Map'!$D:$D,1,0)</f>
        <v/>
      </c>
      <c r="K4277" s="4562">
        <f>IF(D4277="","",D4277*J4277)</f>
        <v/>
      </c>
      <c r="L4277" s="4562">
        <f>XLOOKUP(B4277,'_Sys|Line_Map'!$A:$A,'_Sys|Line_Map'!$B:$B,"MISSING",0)</f>
        <v/>
      </c>
    </row>
    <row r="4278">
      <c r="A4278" s="4561" t="n"/>
      <c r="B4278" s="4561" t="n"/>
      <c r="C4278" s="4561" t="n"/>
      <c r="D4278" s="4561" t="n"/>
      <c r="E4278" s="4561" t="n"/>
      <c r="F4278" s="4561" t="n"/>
      <c r="G4278" s="4561" t="n"/>
      <c r="H4278" s="4561" t="n"/>
      <c r="I4278" s="4562">
        <f>XLOOKUP(B4278,'_Sys|Line_Map'!$A:$A,'_Sys|Line_Map'!$C:$C,"MISSING",0)</f>
        <v/>
      </c>
      <c r="J4278" s="4562">
        <f>XLOOKUP(B4278,'_Sys|Line_Map'!$A:$A,'_Sys|Line_Map'!$D:$D,1,0)</f>
        <v/>
      </c>
      <c r="K4278" s="4562">
        <f>IF(D4278="","",D4278*J4278)</f>
        <v/>
      </c>
      <c r="L4278" s="4562">
        <f>XLOOKUP(B4278,'_Sys|Line_Map'!$A:$A,'_Sys|Line_Map'!$B:$B,"MISSING",0)</f>
        <v/>
      </c>
    </row>
    <row r="4279">
      <c r="A4279" s="4561" t="n"/>
      <c r="B4279" s="4561" t="n"/>
      <c r="C4279" s="4561" t="n"/>
      <c r="D4279" s="4561" t="n"/>
      <c r="E4279" s="4561" t="n"/>
      <c r="F4279" s="4561" t="n"/>
      <c r="G4279" s="4561" t="n"/>
      <c r="H4279" s="4561" t="n"/>
      <c r="I4279" s="4562">
        <f>XLOOKUP(B4279,'_Sys|Line_Map'!$A:$A,'_Sys|Line_Map'!$C:$C,"MISSING",0)</f>
        <v/>
      </c>
      <c r="J4279" s="4562">
        <f>XLOOKUP(B4279,'_Sys|Line_Map'!$A:$A,'_Sys|Line_Map'!$D:$D,1,0)</f>
        <v/>
      </c>
      <c r="K4279" s="4562">
        <f>IF(D4279="","",D4279*J4279)</f>
        <v/>
      </c>
      <c r="L4279" s="4562">
        <f>XLOOKUP(B4279,'_Sys|Line_Map'!$A:$A,'_Sys|Line_Map'!$B:$B,"MISSING",0)</f>
        <v/>
      </c>
    </row>
    <row r="4280">
      <c r="A4280" s="4561" t="n"/>
      <c r="B4280" s="4561" t="n"/>
      <c r="C4280" s="4561" t="n"/>
      <c r="D4280" s="4561" t="n"/>
      <c r="E4280" s="4561" t="n"/>
      <c r="F4280" s="4561" t="n"/>
      <c r="G4280" s="4561" t="n"/>
      <c r="H4280" s="4561" t="n"/>
      <c r="I4280" s="4562">
        <f>XLOOKUP(B4280,'_Sys|Line_Map'!$A:$A,'_Sys|Line_Map'!$C:$C,"MISSING",0)</f>
        <v/>
      </c>
      <c r="J4280" s="4562">
        <f>XLOOKUP(B4280,'_Sys|Line_Map'!$A:$A,'_Sys|Line_Map'!$D:$D,1,0)</f>
        <v/>
      </c>
      <c r="K4280" s="4562">
        <f>IF(D4280="","",D4280*J4280)</f>
        <v/>
      </c>
      <c r="L4280" s="4562">
        <f>XLOOKUP(B4280,'_Sys|Line_Map'!$A:$A,'_Sys|Line_Map'!$B:$B,"MISSING",0)</f>
        <v/>
      </c>
    </row>
    <row r="4281">
      <c r="A4281" s="4561" t="n"/>
      <c r="B4281" s="4561" t="n"/>
      <c r="C4281" s="4561" t="n"/>
      <c r="D4281" s="4561" t="n"/>
      <c r="E4281" s="4561" t="n"/>
      <c r="F4281" s="4561" t="n"/>
      <c r="G4281" s="4561" t="n"/>
      <c r="H4281" s="4561" t="n"/>
      <c r="I4281" s="4562">
        <f>XLOOKUP(B4281,'_Sys|Line_Map'!$A:$A,'_Sys|Line_Map'!$C:$C,"MISSING",0)</f>
        <v/>
      </c>
      <c r="J4281" s="4562">
        <f>XLOOKUP(B4281,'_Sys|Line_Map'!$A:$A,'_Sys|Line_Map'!$D:$D,1,0)</f>
        <v/>
      </c>
      <c r="K4281" s="4562">
        <f>IF(D4281="","",D4281*J4281)</f>
        <v/>
      </c>
      <c r="L4281" s="4562">
        <f>XLOOKUP(B4281,'_Sys|Line_Map'!$A:$A,'_Sys|Line_Map'!$B:$B,"MISSING",0)</f>
        <v/>
      </c>
    </row>
    <row r="4282">
      <c r="A4282" s="4561" t="n"/>
      <c r="B4282" s="4561" t="n"/>
      <c r="C4282" s="4561" t="n"/>
      <c r="D4282" s="4561" t="n"/>
      <c r="E4282" s="4561" t="n"/>
      <c r="F4282" s="4561" t="n"/>
      <c r="G4282" s="4561" t="n"/>
      <c r="H4282" s="4561" t="n"/>
      <c r="I4282" s="4562">
        <f>XLOOKUP(B4282,'_Sys|Line_Map'!$A:$A,'_Sys|Line_Map'!$C:$C,"MISSING",0)</f>
        <v/>
      </c>
      <c r="J4282" s="4562">
        <f>XLOOKUP(B4282,'_Sys|Line_Map'!$A:$A,'_Sys|Line_Map'!$D:$D,1,0)</f>
        <v/>
      </c>
      <c r="K4282" s="4562">
        <f>IF(D4282="","",D4282*J4282)</f>
        <v/>
      </c>
      <c r="L4282" s="4562">
        <f>XLOOKUP(B4282,'_Sys|Line_Map'!$A:$A,'_Sys|Line_Map'!$B:$B,"MISSING",0)</f>
        <v/>
      </c>
    </row>
    <row r="4283">
      <c r="A4283" s="4561" t="n"/>
      <c r="B4283" s="4561" t="n"/>
      <c r="C4283" s="4561" t="n"/>
      <c r="D4283" s="4561" t="n"/>
      <c r="E4283" s="4561" t="n"/>
      <c r="F4283" s="4561" t="n"/>
      <c r="G4283" s="4561" t="n"/>
      <c r="H4283" s="4561" t="n"/>
      <c r="I4283" s="4562">
        <f>XLOOKUP(B4283,'_Sys|Line_Map'!$A:$A,'_Sys|Line_Map'!$C:$C,"MISSING",0)</f>
        <v/>
      </c>
      <c r="J4283" s="4562">
        <f>XLOOKUP(B4283,'_Sys|Line_Map'!$A:$A,'_Sys|Line_Map'!$D:$D,1,0)</f>
        <v/>
      </c>
      <c r="K4283" s="4562">
        <f>IF(D4283="","",D4283*J4283)</f>
        <v/>
      </c>
      <c r="L4283" s="4562">
        <f>XLOOKUP(B4283,'_Sys|Line_Map'!$A:$A,'_Sys|Line_Map'!$B:$B,"MISSING",0)</f>
        <v/>
      </c>
    </row>
    <row r="4284">
      <c r="A4284" s="4561" t="n"/>
      <c r="B4284" s="4561" t="n"/>
      <c r="C4284" s="4561" t="n"/>
      <c r="D4284" s="4561" t="n"/>
      <c r="E4284" s="4561" t="n"/>
      <c r="F4284" s="4561" t="n"/>
      <c r="G4284" s="4561" t="n"/>
      <c r="H4284" s="4561" t="n"/>
      <c r="I4284" s="4562">
        <f>XLOOKUP(B4284,'_Sys|Line_Map'!$A:$A,'_Sys|Line_Map'!$C:$C,"MISSING",0)</f>
        <v/>
      </c>
      <c r="J4284" s="4562">
        <f>XLOOKUP(B4284,'_Sys|Line_Map'!$A:$A,'_Sys|Line_Map'!$D:$D,1,0)</f>
        <v/>
      </c>
      <c r="K4284" s="4562">
        <f>IF(D4284="","",D4284*J4284)</f>
        <v/>
      </c>
      <c r="L4284" s="4562">
        <f>XLOOKUP(B4284,'_Sys|Line_Map'!$A:$A,'_Sys|Line_Map'!$B:$B,"MISSING",0)</f>
        <v/>
      </c>
    </row>
    <row r="4285">
      <c r="A4285" s="4561" t="n"/>
      <c r="B4285" s="4561" t="n"/>
      <c r="C4285" s="4561" t="n"/>
      <c r="D4285" s="4561" t="n"/>
      <c r="E4285" s="4561" t="n"/>
      <c r="F4285" s="4561" t="n"/>
      <c r="G4285" s="4561" t="n"/>
      <c r="H4285" s="4561" t="n"/>
      <c r="I4285" s="4562">
        <f>XLOOKUP(B4285,'_Sys|Line_Map'!$A:$A,'_Sys|Line_Map'!$C:$C,"MISSING",0)</f>
        <v/>
      </c>
      <c r="J4285" s="4562">
        <f>XLOOKUP(B4285,'_Sys|Line_Map'!$A:$A,'_Sys|Line_Map'!$D:$D,1,0)</f>
        <v/>
      </c>
      <c r="K4285" s="4562">
        <f>IF(D4285="","",D4285*J4285)</f>
        <v/>
      </c>
      <c r="L4285" s="4562">
        <f>XLOOKUP(B4285,'_Sys|Line_Map'!$A:$A,'_Sys|Line_Map'!$B:$B,"MISSING",0)</f>
        <v/>
      </c>
    </row>
    <row r="4286">
      <c r="A4286" s="4561" t="n"/>
      <c r="B4286" s="4561" t="n"/>
      <c r="C4286" s="4561" t="n"/>
      <c r="D4286" s="4561" t="n"/>
      <c r="E4286" s="4561" t="n"/>
      <c r="F4286" s="4561" t="n"/>
      <c r="G4286" s="4561" t="n"/>
      <c r="H4286" s="4561" t="n"/>
      <c r="I4286" s="4562">
        <f>XLOOKUP(B4286,'_Sys|Line_Map'!$A:$A,'_Sys|Line_Map'!$C:$C,"MISSING",0)</f>
        <v/>
      </c>
      <c r="J4286" s="4562">
        <f>XLOOKUP(B4286,'_Sys|Line_Map'!$A:$A,'_Sys|Line_Map'!$D:$D,1,0)</f>
        <v/>
      </c>
      <c r="K4286" s="4562">
        <f>IF(D4286="","",D4286*J4286)</f>
        <v/>
      </c>
      <c r="L4286" s="4562">
        <f>XLOOKUP(B4286,'_Sys|Line_Map'!$A:$A,'_Sys|Line_Map'!$B:$B,"MISSING",0)</f>
        <v/>
      </c>
    </row>
    <row r="4287">
      <c r="A4287" s="4561" t="n"/>
      <c r="B4287" s="4561" t="n"/>
      <c r="C4287" s="4561" t="n"/>
      <c r="D4287" s="4561" t="n"/>
      <c r="E4287" s="4561" t="n"/>
      <c r="F4287" s="4561" t="n"/>
      <c r="G4287" s="4561" t="n"/>
      <c r="H4287" s="4561" t="n"/>
      <c r="I4287" s="4562">
        <f>XLOOKUP(B4287,'_Sys|Line_Map'!$A:$A,'_Sys|Line_Map'!$C:$C,"MISSING",0)</f>
        <v/>
      </c>
      <c r="J4287" s="4562">
        <f>XLOOKUP(B4287,'_Sys|Line_Map'!$A:$A,'_Sys|Line_Map'!$D:$D,1,0)</f>
        <v/>
      </c>
      <c r="K4287" s="4562">
        <f>IF(D4287="","",D4287*J4287)</f>
        <v/>
      </c>
      <c r="L4287" s="4562">
        <f>XLOOKUP(B4287,'_Sys|Line_Map'!$A:$A,'_Sys|Line_Map'!$B:$B,"MISSING",0)</f>
        <v/>
      </c>
    </row>
    <row r="4288">
      <c r="A4288" s="4561" t="n"/>
      <c r="B4288" s="4561" t="n"/>
      <c r="C4288" s="4561" t="n"/>
      <c r="D4288" s="4561" t="n"/>
      <c r="E4288" s="4561" t="n"/>
      <c r="F4288" s="4561" t="n"/>
      <c r="G4288" s="4561" t="n"/>
      <c r="H4288" s="4561" t="n"/>
      <c r="I4288" s="4562">
        <f>XLOOKUP(B4288,'_Sys|Line_Map'!$A:$A,'_Sys|Line_Map'!$C:$C,"MISSING",0)</f>
        <v/>
      </c>
      <c r="J4288" s="4562">
        <f>XLOOKUP(B4288,'_Sys|Line_Map'!$A:$A,'_Sys|Line_Map'!$D:$D,1,0)</f>
        <v/>
      </c>
      <c r="K4288" s="4562">
        <f>IF(D4288="","",D4288*J4288)</f>
        <v/>
      </c>
      <c r="L4288" s="4562">
        <f>XLOOKUP(B4288,'_Sys|Line_Map'!$A:$A,'_Sys|Line_Map'!$B:$B,"MISSING",0)</f>
        <v/>
      </c>
    </row>
    <row r="4289">
      <c r="A4289" s="4561" t="n"/>
      <c r="B4289" s="4561" t="n"/>
      <c r="C4289" s="4561" t="n"/>
      <c r="D4289" s="4561" t="n"/>
      <c r="E4289" s="4561" t="n"/>
      <c r="F4289" s="4561" t="n"/>
      <c r="G4289" s="4561" t="n"/>
      <c r="H4289" s="4561" t="n"/>
      <c r="I4289" s="4562">
        <f>XLOOKUP(B4289,'_Sys|Line_Map'!$A:$A,'_Sys|Line_Map'!$C:$C,"MISSING",0)</f>
        <v/>
      </c>
      <c r="J4289" s="4562">
        <f>XLOOKUP(B4289,'_Sys|Line_Map'!$A:$A,'_Sys|Line_Map'!$D:$D,1,0)</f>
        <v/>
      </c>
      <c r="K4289" s="4562">
        <f>IF(D4289="","",D4289*J4289)</f>
        <v/>
      </c>
      <c r="L4289" s="4562">
        <f>XLOOKUP(B4289,'_Sys|Line_Map'!$A:$A,'_Sys|Line_Map'!$B:$B,"MISSING",0)</f>
        <v/>
      </c>
    </row>
    <row r="4290">
      <c r="A4290" s="4561" t="n"/>
      <c r="B4290" s="4561" t="n"/>
      <c r="C4290" s="4561" t="n"/>
      <c r="D4290" s="4561" t="n"/>
      <c r="E4290" s="4561" t="n"/>
      <c r="F4290" s="4561" t="n"/>
      <c r="G4290" s="4561" t="n"/>
      <c r="H4290" s="4561" t="n"/>
      <c r="I4290" s="4562">
        <f>XLOOKUP(B4290,'_Sys|Line_Map'!$A:$A,'_Sys|Line_Map'!$C:$C,"MISSING",0)</f>
        <v/>
      </c>
      <c r="J4290" s="4562">
        <f>XLOOKUP(B4290,'_Sys|Line_Map'!$A:$A,'_Sys|Line_Map'!$D:$D,1,0)</f>
        <v/>
      </c>
      <c r="K4290" s="4562">
        <f>IF(D4290="","",D4290*J4290)</f>
        <v/>
      </c>
      <c r="L4290" s="4562">
        <f>XLOOKUP(B4290,'_Sys|Line_Map'!$A:$A,'_Sys|Line_Map'!$B:$B,"MISSING",0)</f>
        <v/>
      </c>
    </row>
    <row r="4291">
      <c r="A4291" s="4561" t="n"/>
      <c r="B4291" s="4561" t="n"/>
      <c r="C4291" s="4561" t="n"/>
      <c r="D4291" s="4561" t="n"/>
      <c r="E4291" s="4561" t="n"/>
      <c r="F4291" s="4561" t="n"/>
      <c r="G4291" s="4561" t="n"/>
      <c r="H4291" s="4561" t="n"/>
      <c r="I4291" s="4562">
        <f>XLOOKUP(B4291,'_Sys|Line_Map'!$A:$A,'_Sys|Line_Map'!$C:$C,"MISSING",0)</f>
        <v/>
      </c>
      <c r="J4291" s="4562">
        <f>XLOOKUP(B4291,'_Sys|Line_Map'!$A:$A,'_Sys|Line_Map'!$D:$D,1,0)</f>
        <v/>
      </c>
      <c r="K4291" s="4562">
        <f>IF(D4291="","",D4291*J4291)</f>
        <v/>
      </c>
      <c r="L4291" s="4562">
        <f>XLOOKUP(B4291,'_Sys|Line_Map'!$A:$A,'_Sys|Line_Map'!$B:$B,"MISSING",0)</f>
        <v/>
      </c>
    </row>
    <row r="4292">
      <c r="A4292" s="4561" t="n"/>
      <c r="B4292" s="4561" t="n"/>
      <c r="C4292" s="4561" t="n"/>
      <c r="D4292" s="4561" t="n"/>
      <c r="E4292" s="4561" t="n"/>
      <c r="F4292" s="4561" t="n"/>
      <c r="G4292" s="4561" t="n"/>
      <c r="H4292" s="4561" t="n"/>
      <c r="I4292" s="4562">
        <f>XLOOKUP(B4292,'_Sys|Line_Map'!$A:$A,'_Sys|Line_Map'!$C:$C,"MISSING",0)</f>
        <v/>
      </c>
      <c r="J4292" s="4562">
        <f>XLOOKUP(B4292,'_Sys|Line_Map'!$A:$A,'_Sys|Line_Map'!$D:$D,1,0)</f>
        <v/>
      </c>
      <c r="K4292" s="4562">
        <f>IF(D4292="","",D4292*J4292)</f>
        <v/>
      </c>
      <c r="L4292" s="4562">
        <f>XLOOKUP(B4292,'_Sys|Line_Map'!$A:$A,'_Sys|Line_Map'!$B:$B,"MISSING",0)</f>
        <v/>
      </c>
    </row>
    <row r="4293">
      <c r="A4293" s="4561" t="n"/>
      <c r="B4293" s="4561" t="n"/>
      <c r="C4293" s="4561" t="n"/>
      <c r="D4293" s="4561" t="n"/>
      <c r="E4293" s="4561" t="n"/>
      <c r="F4293" s="4561" t="n"/>
      <c r="G4293" s="4561" t="n"/>
      <c r="H4293" s="4561" t="n"/>
      <c r="I4293" s="4562">
        <f>XLOOKUP(B4293,'_Sys|Line_Map'!$A:$A,'_Sys|Line_Map'!$C:$C,"MISSING",0)</f>
        <v/>
      </c>
      <c r="J4293" s="4562">
        <f>XLOOKUP(B4293,'_Sys|Line_Map'!$A:$A,'_Sys|Line_Map'!$D:$D,1,0)</f>
        <v/>
      </c>
      <c r="K4293" s="4562">
        <f>IF(D4293="","",D4293*J4293)</f>
        <v/>
      </c>
      <c r="L4293" s="4562">
        <f>XLOOKUP(B4293,'_Sys|Line_Map'!$A:$A,'_Sys|Line_Map'!$B:$B,"MISSING",0)</f>
        <v/>
      </c>
    </row>
    <row r="4294">
      <c r="A4294" s="4561" t="n"/>
      <c r="B4294" s="4561" t="n"/>
      <c r="C4294" s="4561" t="n"/>
      <c r="D4294" s="4561" t="n"/>
      <c r="E4294" s="4561" t="n"/>
      <c r="F4294" s="4561" t="n"/>
      <c r="G4294" s="4561" t="n"/>
      <c r="H4294" s="4561" t="n"/>
      <c r="I4294" s="4562">
        <f>XLOOKUP(B4294,'_Sys|Line_Map'!$A:$A,'_Sys|Line_Map'!$C:$C,"MISSING",0)</f>
        <v/>
      </c>
      <c r="J4294" s="4562">
        <f>XLOOKUP(B4294,'_Sys|Line_Map'!$A:$A,'_Sys|Line_Map'!$D:$D,1,0)</f>
        <v/>
      </c>
      <c r="K4294" s="4562">
        <f>IF(D4294="","",D4294*J4294)</f>
        <v/>
      </c>
      <c r="L4294" s="4562">
        <f>XLOOKUP(B4294,'_Sys|Line_Map'!$A:$A,'_Sys|Line_Map'!$B:$B,"MISSING",0)</f>
        <v/>
      </c>
    </row>
    <row r="4295">
      <c r="A4295" s="4561" t="n"/>
      <c r="B4295" s="4561" t="n"/>
      <c r="C4295" s="4561" t="n"/>
      <c r="D4295" s="4561" t="n"/>
      <c r="E4295" s="4561" t="n"/>
      <c r="F4295" s="4561" t="n"/>
      <c r="G4295" s="4561" t="n"/>
      <c r="H4295" s="4561" t="n"/>
      <c r="I4295" s="4562">
        <f>XLOOKUP(B4295,'_Sys|Line_Map'!$A:$A,'_Sys|Line_Map'!$C:$C,"MISSING",0)</f>
        <v/>
      </c>
      <c r="J4295" s="4562">
        <f>XLOOKUP(B4295,'_Sys|Line_Map'!$A:$A,'_Sys|Line_Map'!$D:$D,1,0)</f>
        <v/>
      </c>
      <c r="K4295" s="4562">
        <f>IF(D4295="","",D4295*J4295)</f>
        <v/>
      </c>
      <c r="L4295" s="4562">
        <f>XLOOKUP(B4295,'_Sys|Line_Map'!$A:$A,'_Sys|Line_Map'!$B:$B,"MISSING",0)</f>
        <v/>
      </c>
    </row>
    <row r="4296">
      <c r="A4296" s="4561" t="n"/>
      <c r="B4296" s="4561" t="n"/>
      <c r="C4296" s="4561" t="n"/>
      <c r="D4296" s="4561" t="n"/>
      <c r="E4296" s="4561" t="n"/>
      <c r="F4296" s="4561" t="n"/>
      <c r="G4296" s="4561" t="n"/>
      <c r="H4296" s="4561" t="n"/>
      <c r="I4296" s="4562">
        <f>XLOOKUP(B4296,'_Sys|Line_Map'!$A:$A,'_Sys|Line_Map'!$C:$C,"MISSING",0)</f>
        <v/>
      </c>
      <c r="J4296" s="4562">
        <f>XLOOKUP(B4296,'_Sys|Line_Map'!$A:$A,'_Sys|Line_Map'!$D:$D,1,0)</f>
        <v/>
      </c>
      <c r="K4296" s="4562">
        <f>IF(D4296="","",D4296*J4296)</f>
        <v/>
      </c>
      <c r="L4296" s="4562">
        <f>XLOOKUP(B4296,'_Sys|Line_Map'!$A:$A,'_Sys|Line_Map'!$B:$B,"MISSING",0)</f>
        <v/>
      </c>
    </row>
    <row r="4297">
      <c r="A4297" s="4561" t="n"/>
      <c r="B4297" s="4561" t="n"/>
      <c r="C4297" s="4561" t="n"/>
      <c r="D4297" s="4561" t="n"/>
      <c r="E4297" s="4561" t="n"/>
      <c r="F4297" s="4561" t="n"/>
      <c r="G4297" s="4561" t="n"/>
      <c r="H4297" s="4561" t="n"/>
      <c r="I4297" s="4562">
        <f>XLOOKUP(B4297,'_Sys|Line_Map'!$A:$A,'_Sys|Line_Map'!$C:$C,"MISSING",0)</f>
        <v/>
      </c>
      <c r="J4297" s="4562">
        <f>XLOOKUP(B4297,'_Sys|Line_Map'!$A:$A,'_Sys|Line_Map'!$D:$D,1,0)</f>
        <v/>
      </c>
      <c r="K4297" s="4562">
        <f>IF(D4297="","",D4297*J4297)</f>
        <v/>
      </c>
      <c r="L4297" s="4562">
        <f>XLOOKUP(B4297,'_Sys|Line_Map'!$A:$A,'_Sys|Line_Map'!$B:$B,"MISSING",0)</f>
        <v/>
      </c>
    </row>
    <row r="4298">
      <c r="A4298" s="4561" t="n"/>
      <c r="B4298" s="4561" t="n"/>
      <c r="C4298" s="4561" t="n"/>
      <c r="D4298" s="4561" t="n"/>
      <c r="E4298" s="4561" t="n"/>
      <c r="F4298" s="4561" t="n"/>
      <c r="G4298" s="4561" t="n"/>
      <c r="H4298" s="4561" t="n"/>
      <c r="I4298" s="4562">
        <f>XLOOKUP(B4298,'_Sys|Line_Map'!$A:$A,'_Sys|Line_Map'!$C:$C,"MISSING",0)</f>
        <v/>
      </c>
      <c r="J4298" s="4562">
        <f>XLOOKUP(B4298,'_Sys|Line_Map'!$A:$A,'_Sys|Line_Map'!$D:$D,1,0)</f>
        <v/>
      </c>
      <c r="K4298" s="4562">
        <f>IF(D4298="","",D4298*J4298)</f>
        <v/>
      </c>
      <c r="L4298" s="4562">
        <f>XLOOKUP(B4298,'_Sys|Line_Map'!$A:$A,'_Sys|Line_Map'!$B:$B,"MISSING",0)</f>
        <v/>
      </c>
    </row>
    <row r="4299">
      <c r="A4299" s="4561" t="n"/>
      <c r="B4299" s="4561" t="n"/>
      <c r="C4299" s="4561" t="n"/>
      <c r="D4299" s="4561" t="n"/>
      <c r="E4299" s="4561" t="n"/>
      <c r="F4299" s="4561" t="n"/>
      <c r="G4299" s="4561" t="n"/>
      <c r="H4299" s="4561" t="n"/>
      <c r="I4299" s="4562">
        <f>XLOOKUP(B4299,'_Sys|Line_Map'!$A:$A,'_Sys|Line_Map'!$C:$C,"MISSING",0)</f>
        <v/>
      </c>
      <c r="J4299" s="4562">
        <f>XLOOKUP(B4299,'_Sys|Line_Map'!$A:$A,'_Sys|Line_Map'!$D:$D,1,0)</f>
        <v/>
      </c>
      <c r="K4299" s="4562">
        <f>IF(D4299="","",D4299*J4299)</f>
        <v/>
      </c>
      <c r="L4299" s="4562">
        <f>XLOOKUP(B4299,'_Sys|Line_Map'!$A:$A,'_Sys|Line_Map'!$B:$B,"MISSING",0)</f>
        <v/>
      </c>
    </row>
    <row r="4300">
      <c r="A4300" s="4561" t="n"/>
      <c r="B4300" s="4561" t="n"/>
      <c r="C4300" s="4561" t="n"/>
      <c r="D4300" s="4561" t="n"/>
      <c r="E4300" s="4561" t="n"/>
      <c r="F4300" s="4561" t="n"/>
      <c r="G4300" s="4561" t="n"/>
      <c r="H4300" s="4561" t="n"/>
      <c r="I4300" s="4562">
        <f>XLOOKUP(B4300,'_Sys|Line_Map'!$A:$A,'_Sys|Line_Map'!$C:$C,"MISSING",0)</f>
        <v/>
      </c>
      <c r="J4300" s="4562">
        <f>XLOOKUP(B4300,'_Sys|Line_Map'!$A:$A,'_Sys|Line_Map'!$D:$D,1,0)</f>
        <v/>
      </c>
      <c r="K4300" s="4562">
        <f>IF(D4300="","",D4300*J4300)</f>
        <v/>
      </c>
      <c r="L4300" s="4562">
        <f>XLOOKUP(B4300,'_Sys|Line_Map'!$A:$A,'_Sys|Line_Map'!$B:$B,"MISSING",0)</f>
        <v/>
      </c>
    </row>
    <row r="4301">
      <c r="A4301" s="4561" t="n"/>
      <c r="B4301" s="4561" t="n"/>
      <c r="C4301" s="4561" t="n"/>
      <c r="D4301" s="4561" t="n"/>
      <c r="E4301" s="4561" t="n"/>
      <c r="F4301" s="4561" t="n"/>
      <c r="G4301" s="4561" t="n"/>
      <c r="H4301" s="4561" t="n"/>
      <c r="I4301" s="4562">
        <f>XLOOKUP(B4301,'_Sys|Line_Map'!$A:$A,'_Sys|Line_Map'!$C:$C,"MISSING",0)</f>
        <v/>
      </c>
      <c r="J4301" s="4562">
        <f>XLOOKUP(B4301,'_Sys|Line_Map'!$A:$A,'_Sys|Line_Map'!$D:$D,1,0)</f>
        <v/>
      </c>
      <c r="K4301" s="4562">
        <f>IF(D4301="","",D4301*J4301)</f>
        <v/>
      </c>
      <c r="L4301" s="4562">
        <f>XLOOKUP(B4301,'_Sys|Line_Map'!$A:$A,'_Sys|Line_Map'!$B:$B,"MISSING",0)</f>
        <v/>
      </c>
    </row>
    <row r="4302">
      <c r="A4302" s="4561" t="n"/>
      <c r="B4302" s="4561" t="n"/>
      <c r="C4302" s="4561" t="n"/>
      <c r="D4302" s="4561" t="n"/>
      <c r="E4302" s="4561" t="n"/>
      <c r="F4302" s="4561" t="n"/>
      <c r="G4302" s="4561" t="n"/>
      <c r="H4302" s="4561" t="n"/>
      <c r="I4302" s="4562">
        <f>XLOOKUP(B4302,'_Sys|Line_Map'!$A:$A,'_Sys|Line_Map'!$C:$C,"MISSING",0)</f>
        <v/>
      </c>
      <c r="J4302" s="4562">
        <f>XLOOKUP(B4302,'_Sys|Line_Map'!$A:$A,'_Sys|Line_Map'!$D:$D,1,0)</f>
        <v/>
      </c>
      <c r="K4302" s="4562">
        <f>IF(D4302="","",D4302*J4302)</f>
        <v/>
      </c>
      <c r="L4302" s="4562">
        <f>XLOOKUP(B4302,'_Sys|Line_Map'!$A:$A,'_Sys|Line_Map'!$B:$B,"MISSING",0)</f>
        <v/>
      </c>
    </row>
    <row r="4303">
      <c r="A4303" s="4561" t="n"/>
      <c r="B4303" s="4561" t="n"/>
      <c r="C4303" s="4561" t="n"/>
      <c r="D4303" s="4561" t="n"/>
      <c r="E4303" s="4561" t="n"/>
      <c r="F4303" s="4561" t="n"/>
      <c r="G4303" s="4561" t="n"/>
      <c r="H4303" s="4561" t="n"/>
      <c r="I4303" s="4562">
        <f>XLOOKUP(B4303,'_Sys|Line_Map'!$A:$A,'_Sys|Line_Map'!$C:$C,"MISSING",0)</f>
        <v/>
      </c>
      <c r="J4303" s="4562">
        <f>XLOOKUP(B4303,'_Sys|Line_Map'!$A:$A,'_Sys|Line_Map'!$D:$D,1,0)</f>
        <v/>
      </c>
      <c r="K4303" s="4562">
        <f>IF(D4303="","",D4303*J4303)</f>
        <v/>
      </c>
      <c r="L4303" s="4562">
        <f>XLOOKUP(B4303,'_Sys|Line_Map'!$A:$A,'_Sys|Line_Map'!$B:$B,"MISSING",0)</f>
        <v/>
      </c>
    </row>
    <row r="4304">
      <c r="A4304" s="4561" t="n"/>
      <c r="B4304" s="4561" t="n"/>
      <c r="C4304" s="4561" t="n"/>
      <c r="D4304" s="4561" t="n"/>
      <c r="E4304" s="4561" t="n"/>
      <c r="F4304" s="4561" t="n"/>
      <c r="G4304" s="4561" t="n"/>
      <c r="H4304" s="4561" t="n"/>
      <c r="I4304" s="4562">
        <f>XLOOKUP(B4304,'_Sys|Line_Map'!$A:$A,'_Sys|Line_Map'!$C:$C,"MISSING",0)</f>
        <v/>
      </c>
      <c r="J4304" s="4562">
        <f>XLOOKUP(B4304,'_Sys|Line_Map'!$A:$A,'_Sys|Line_Map'!$D:$D,1,0)</f>
        <v/>
      </c>
      <c r="K4304" s="4562">
        <f>IF(D4304="","",D4304*J4304)</f>
        <v/>
      </c>
      <c r="L4304" s="4562">
        <f>XLOOKUP(B4304,'_Sys|Line_Map'!$A:$A,'_Sys|Line_Map'!$B:$B,"MISSING",0)</f>
        <v/>
      </c>
    </row>
    <row r="4305">
      <c r="A4305" s="4561" t="n"/>
      <c r="B4305" s="4561" t="n"/>
      <c r="C4305" s="4561" t="n"/>
      <c r="D4305" s="4561" t="n"/>
      <c r="E4305" s="4561" t="n"/>
      <c r="F4305" s="4561" t="n"/>
      <c r="G4305" s="4561" t="n"/>
      <c r="H4305" s="4561" t="n"/>
      <c r="I4305" s="4562">
        <f>XLOOKUP(B4305,'_Sys|Line_Map'!$A:$A,'_Sys|Line_Map'!$C:$C,"MISSING",0)</f>
        <v/>
      </c>
      <c r="J4305" s="4562">
        <f>XLOOKUP(B4305,'_Sys|Line_Map'!$A:$A,'_Sys|Line_Map'!$D:$D,1,0)</f>
        <v/>
      </c>
      <c r="K4305" s="4562">
        <f>IF(D4305="","",D4305*J4305)</f>
        <v/>
      </c>
      <c r="L4305" s="4562">
        <f>XLOOKUP(B4305,'_Sys|Line_Map'!$A:$A,'_Sys|Line_Map'!$B:$B,"MISSING",0)</f>
        <v/>
      </c>
    </row>
    <row r="4306">
      <c r="A4306" s="4561" t="n"/>
      <c r="B4306" s="4561" t="n"/>
      <c r="C4306" s="4561" t="n"/>
      <c r="D4306" s="4561" t="n"/>
      <c r="E4306" s="4561" t="n"/>
      <c r="F4306" s="4561" t="n"/>
      <c r="G4306" s="4561" t="n"/>
      <c r="H4306" s="4561" t="n"/>
      <c r="I4306" s="4562">
        <f>XLOOKUP(B4306,'_Sys|Line_Map'!$A:$A,'_Sys|Line_Map'!$C:$C,"MISSING",0)</f>
        <v/>
      </c>
      <c r="J4306" s="4562">
        <f>XLOOKUP(B4306,'_Sys|Line_Map'!$A:$A,'_Sys|Line_Map'!$D:$D,1,0)</f>
        <v/>
      </c>
      <c r="K4306" s="4562">
        <f>IF(D4306="","",D4306*J4306)</f>
        <v/>
      </c>
      <c r="L4306" s="4562">
        <f>XLOOKUP(B4306,'_Sys|Line_Map'!$A:$A,'_Sys|Line_Map'!$B:$B,"MISSING",0)</f>
        <v/>
      </c>
    </row>
    <row r="4307">
      <c r="A4307" s="4561" t="n"/>
      <c r="B4307" s="4561" t="n"/>
      <c r="C4307" s="4561" t="n"/>
      <c r="D4307" s="4561" t="n"/>
      <c r="E4307" s="4561" t="n"/>
      <c r="F4307" s="4561" t="n"/>
      <c r="G4307" s="4561" t="n"/>
      <c r="H4307" s="4561" t="n"/>
      <c r="I4307" s="4562">
        <f>XLOOKUP(B4307,'_Sys|Line_Map'!$A:$A,'_Sys|Line_Map'!$C:$C,"MISSING",0)</f>
        <v/>
      </c>
      <c r="J4307" s="4562">
        <f>XLOOKUP(B4307,'_Sys|Line_Map'!$A:$A,'_Sys|Line_Map'!$D:$D,1,0)</f>
        <v/>
      </c>
      <c r="K4307" s="4562">
        <f>IF(D4307="","",D4307*J4307)</f>
        <v/>
      </c>
      <c r="L4307" s="4562">
        <f>XLOOKUP(B4307,'_Sys|Line_Map'!$A:$A,'_Sys|Line_Map'!$B:$B,"MISSING",0)</f>
        <v/>
      </c>
    </row>
    <row r="4308">
      <c r="A4308" s="4561" t="n"/>
      <c r="B4308" s="4561" t="n"/>
      <c r="C4308" s="4561" t="n"/>
      <c r="D4308" s="4561" t="n"/>
      <c r="E4308" s="4561" t="n"/>
      <c r="F4308" s="4561" t="n"/>
      <c r="G4308" s="4561" t="n"/>
      <c r="H4308" s="4561" t="n"/>
      <c r="I4308" s="4562">
        <f>XLOOKUP(B4308,'_Sys|Line_Map'!$A:$A,'_Sys|Line_Map'!$C:$C,"MISSING",0)</f>
        <v/>
      </c>
      <c r="J4308" s="4562">
        <f>XLOOKUP(B4308,'_Sys|Line_Map'!$A:$A,'_Sys|Line_Map'!$D:$D,1,0)</f>
        <v/>
      </c>
      <c r="K4308" s="4562">
        <f>IF(D4308="","",D4308*J4308)</f>
        <v/>
      </c>
      <c r="L4308" s="4562">
        <f>XLOOKUP(B4308,'_Sys|Line_Map'!$A:$A,'_Sys|Line_Map'!$B:$B,"MISSING",0)</f>
        <v/>
      </c>
    </row>
    <row r="4309">
      <c r="A4309" s="4561" t="n"/>
      <c r="B4309" s="4561" t="n"/>
      <c r="C4309" s="4561" t="n"/>
      <c r="D4309" s="4561" t="n"/>
      <c r="E4309" s="4561" t="n"/>
      <c r="F4309" s="4561" t="n"/>
      <c r="G4309" s="4561" t="n"/>
      <c r="H4309" s="4561" t="n"/>
      <c r="I4309" s="4562">
        <f>XLOOKUP(B4309,'_Sys|Line_Map'!$A:$A,'_Sys|Line_Map'!$C:$C,"MISSING",0)</f>
        <v/>
      </c>
      <c r="J4309" s="4562">
        <f>XLOOKUP(B4309,'_Sys|Line_Map'!$A:$A,'_Sys|Line_Map'!$D:$D,1,0)</f>
        <v/>
      </c>
      <c r="K4309" s="4562">
        <f>IF(D4309="","",D4309*J4309)</f>
        <v/>
      </c>
      <c r="L4309" s="4562">
        <f>XLOOKUP(B4309,'_Sys|Line_Map'!$A:$A,'_Sys|Line_Map'!$B:$B,"MISSING",0)</f>
        <v/>
      </c>
    </row>
    <row r="4310">
      <c r="A4310" s="4561" t="n"/>
      <c r="B4310" s="4561" t="n"/>
      <c r="C4310" s="4561" t="n"/>
      <c r="D4310" s="4561" t="n"/>
      <c r="E4310" s="4561" t="n"/>
      <c r="F4310" s="4561" t="n"/>
      <c r="G4310" s="4561" t="n"/>
      <c r="H4310" s="4561" t="n"/>
      <c r="I4310" s="4562">
        <f>XLOOKUP(B4310,'_Sys|Line_Map'!$A:$A,'_Sys|Line_Map'!$C:$C,"MISSING",0)</f>
        <v/>
      </c>
      <c r="J4310" s="4562">
        <f>XLOOKUP(B4310,'_Sys|Line_Map'!$A:$A,'_Sys|Line_Map'!$D:$D,1,0)</f>
        <v/>
      </c>
      <c r="K4310" s="4562">
        <f>IF(D4310="","",D4310*J4310)</f>
        <v/>
      </c>
      <c r="L4310" s="4562">
        <f>XLOOKUP(B4310,'_Sys|Line_Map'!$A:$A,'_Sys|Line_Map'!$B:$B,"MISSING",0)</f>
        <v/>
      </c>
    </row>
    <row r="4311">
      <c r="A4311" s="4561" t="n"/>
      <c r="B4311" s="4561" t="n"/>
      <c r="C4311" s="4561" t="n"/>
      <c r="D4311" s="4561" t="n"/>
      <c r="E4311" s="4561" t="n"/>
      <c r="F4311" s="4561" t="n"/>
      <c r="G4311" s="4561" t="n"/>
      <c r="H4311" s="4561" t="n"/>
      <c r="I4311" s="4562">
        <f>XLOOKUP(B4311,'_Sys|Line_Map'!$A:$A,'_Sys|Line_Map'!$C:$C,"MISSING",0)</f>
        <v/>
      </c>
      <c r="J4311" s="4562">
        <f>XLOOKUP(B4311,'_Sys|Line_Map'!$A:$A,'_Sys|Line_Map'!$D:$D,1,0)</f>
        <v/>
      </c>
      <c r="K4311" s="4562">
        <f>IF(D4311="","",D4311*J4311)</f>
        <v/>
      </c>
      <c r="L4311" s="4562">
        <f>XLOOKUP(B4311,'_Sys|Line_Map'!$A:$A,'_Sys|Line_Map'!$B:$B,"MISSING",0)</f>
        <v/>
      </c>
    </row>
    <row r="4312">
      <c r="A4312" s="4561" t="n"/>
      <c r="B4312" s="4561" t="n"/>
      <c r="C4312" s="4561" t="n"/>
      <c r="D4312" s="4561" t="n"/>
      <c r="E4312" s="4561" t="n"/>
      <c r="F4312" s="4561" t="n"/>
      <c r="G4312" s="4561" t="n"/>
      <c r="H4312" s="4561" t="n"/>
      <c r="I4312" s="4562">
        <f>XLOOKUP(B4312,'_Sys|Line_Map'!$A:$A,'_Sys|Line_Map'!$C:$C,"MISSING",0)</f>
        <v/>
      </c>
      <c r="J4312" s="4562">
        <f>XLOOKUP(B4312,'_Sys|Line_Map'!$A:$A,'_Sys|Line_Map'!$D:$D,1,0)</f>
        <v/>
      </c>
      <c r="K4312" s="4562">
        <f>IF(D4312="","",D4312*J4312)</f>
        <v/>
      </c>
      <c r="L4312" s="4562">
        <f>XLOOKUP(B4312,'_Sys|Line_Map'!$A:$A,'_Sys|Line_Map'!$B:$B,"MISSING",0)</f>
        <v/>
      </c>
    </row>
    <row r="4313">
      <c r="A4313" s="4561" t="n"/>
      <c r="B4313" s="4561" t="n"/>
      <c r="C4313" s="4561" t="n"/>
      <c r="D4313" s="4561" t="n"/>
      <c r="E4313" s="4561" t="n"/>
      <c r="F4313" s="4561" t="n"/>
      <c r="G4313" s="4561" t="n"/>
      <c r="H4313" s="4561" t="n"/>
      <c r="I4313" s="4562">
        <f>XLOOKUP(B4313,'_Sys|Line_Map'!$A:$A,'_Sys|Line_Map'!$C:$C,"MISSING",0)</f>
        <v/>
      </c>
      <c r="J4313" s="4562">
        <f>XLOOKUP(B4313,'_Sys|Line_Map'!$A:$A,'_Sys|Line_Map'!$D:$D,1,0)</f>
        <v/>
      </c>
      <c r="K4313" s="4562">
        <f>IF(D4313="","",D4313*J4313)</f>
        <v/>
      </c>
      <c r="L4313" s="4562">
        <f>XLOOKUP(B4313,'_Sys|Line_Map'!$A:$A,'_Sys|Line_Map'!$B:$B,"MISSING",0)</f>
        <v/>
      </c>
    </row>
    <row r="4314">
      <c r="A4314" s="4561" t="n"/>
      <c r="B4314" s="4561" t="n"/>
      <c r="C4314" s="4561" t="n"/>
      <c r="D4314" s="4561" t="n"/>
      <c r="E4314" s="4561" t="n"/>
      <c r="F4314" s="4561" t="n"/>
      <c r="G4314" s="4561" t="n"/>
      <c r="H4314" s="4561" t="n"/>
      <c r="I4314" s="4562">
        <f>XLOOKUP(B4314,'_Sys|Line_Map'!$A:$A,'_Sys|Line_Map'!$C:$C,"MISSING",0)</f>
        <v/>
      </c>
      <c r="J4314" s="4562">
        <f>XLOOKUP(B4314,'_Sys|Line_Map'!$A:$A,'_Sys|Line_Map'!$D:$D,1,0)</f>
        <v/>
      </c>
      <c r="K4314" s="4562">
        <f>IF(D4314="","",D4314*J4314)</f>
        <v/>
      </c>
      <c r="L4314" s="4562">
        <f>XLOOKUP(B4314,'_Sys|Line_Map'!$A:$A,'_Sys|Line_Map'!$B:$B,"MISSING",0)</f>
        <v/>
      </c>
    </row>
    <row r="4315">
      <c r="A4315" s="4561" t="n"/>
      <c r="B4315" s="4561" t="n"/>
      <c r="C4315" s="4561" t="n"/>
      <c r="D4315" s="4561" t="n"/>
      <c r="E4315" s="4561" t="n"/>
      <c r="F4315" s="4561" t="n"/>
      <c r="G4315" s="4561" t="n"/>
      <c r="H4315" s="4561" t="n"/>
      <c r="I4315" s="4562">
        <f>XLOOKUP(B4315,'_Sys|Line_Map'!$A:$A,'_Sys|Line_Map'!$C:$C,"MISSING",0)</f>
        <v/>
      </c>
      <c r="J4315" s="4562">
        <f>XLOOKUP(B4315,'_Sys|Line_Map'!$A:$A,'_Sys|Line_Map'!$D:$D,1,0)</f>
        <v/>
      </c>
      <c r="K4315" s="4562">
        <f>IF(D4315="","",D4315*J4315)</f>
        <v/>
      </c>
      <c r="L4315" s="4562">
        <f>XLOOKUP(B4315,'_Sys|Line_Map'!$A:$A,'_Sys|Line_Map'!$B:$B,"MISSING",0)</f>
        <v/>
      </c>
    </row>
    <row r="4316">
      <c r="A4316" s="4561" t="n"/>
      <c r="B4316" s="4561" t="n"/>
      <c r="C4316" s="4561" t="n"/>
      <c r="D4316" s="4561" t="n"/>
      <c r="E4316" s="4561" t="n"/>
      <c r="F4316" s="4561" t="n"/>
      <c r="G4316" s="4561" t="n"/>
      <c r="H4316" s="4561" t="n"/>
      <c r="I4316" s="4562">
        <f>XLOOKUP(B4316,'_Sys|Line_Map'!$A:$A,'_Sys|Line_Map'!$C:$C,"MISSING",0)</f>
        <v/>
      </c>
      <c r="J4316" s="4562">
        <f>XLOOKUP(B4316,'_Sys|Line_Map'!$A:$A,'_Sys|Line_Map'!$D:$D,1,0)</f>
        <v/>
      </c>
      <c r="K4316" s="4562">
        <f>IF(D4316="","",D4316*J4316)</f>
        <v/>
      </c>
      <c r="L4316" s="4562">
        <f>XLOOKUP(B4316,'_Sys|Line_Map'!$A:$A,'_Sys|Line_Map'!$B:$B,"MISSING",0)</f>
        <v/>
      </c>
    </row>
    <row r="4317">
      <c r="A4317" s="4561" t="n"/>
      <c r="B4317" s="4561" t="n"/>
      <c r="C4317" s="4561" t="n"/>
      <c r="D4317" s="4561" t="n"/>
      <c r="E4317" s="4561" t="n"/>
      <c r="F4317" s="4561" t="n"/>
      <c r="G4317" s="4561" t="n"/>
      <c r="H4317" s="4561" t="n"/>
      <c r="I4317" s="4562">
        <f>XLOOKUP(B4317,'_Sys|Line_Map'!$A:$A,'_Sys|Line_Map'!$C:$C,"MISSING",0)</f>
        <v/>
      </c>
      <c r="J4317" s="4562">
        <f>XLOOKUP(B4317,'_Sys|Line_Map'!$A:$A,'_Sys|Line_Map'!$D:$D,1,0)</f>
        <v/>
      </c>
      <c r="K4317" s="4562">
        <f>IF(D4317="","",D4317*J4317)</f>
        <v/>
      </c>
      <c r="L4317" s="4562">
        <f>XLOOKUP(B4317,'_Sys|Line_Map'!$A:$A,'_Sys|Line_Map'!$B:$B,"MISSING",0)</f>
        <v/>
      </c>
    </row>
    <row r="4318">
      <c r="A4318" s="4561" t="n"/>
      <c r="B4318" s="4561" t="n"/>
      <c r="C4318" s="4561" t="n"/>
      <c r="D4318" s="4561" t="n"/>
      <c r="E4318" s="4561" t="n"/>
      <c r="F4318" s="4561" t="n"/>
      <c r="G4318" s="4561" t="n"/>
      <c r="H4318" s="4561" t="n"/>
      <c r="I4318" s="4562">
        <f>XLOOKUP(B4318,'_Sys|Line_Map'!$A:$A,'_Sys|Line_Map'!$C:$C,"MISSING",0)</f>
        <v/>
      </c>
      <c r="J4318" s="4562">
        <f>XLOOKUP(B4318,'_Sys|Line_Map'!$A:$A,'_Sys|Line_Map'!$D:$D,1,0)</f>
        <v/>
      </c>
      <c r="K4318" s="4562">
        <f>IF(D4318="","",D4318*J4318)</f>
        <v/>
      </c>
      <c r="L4318" s="4562">
        <f>XLOOKUP(B4318,'_Sys|Line_Map'!$A:$A,'_Sys|Line_Map'!$B:$B,"MISSING",0)</f>
        <v/>
      </c>
    </row>
    <row r="4319">
      <c r="A4319" s="4561" t="n"/>
      <c r="B4319" s="4561" t="n"/>
      <c r="C4319" s="4561" t="n"/>
      <c r="D4319" s="4561" t="n"/>
      <c r="E4319" s="4561" t="n"/>
      <c r="F4319" s="4561" t="n"/>
      <c r="G4319" s="4561" t="n"/>
      <c r="H4319" s="4561" t="n"/>
      <c r="I4319" s="4562">
        <f>XLOOKUP(B4319,'_Sys|Line_Map'!$A:$A,'_Sys|Line_Map'!$C:$C,"MISSING",0)</f>
        <v/>
      </c>
      <c r="J4319" s="4562">
        <f>XLOOKUP(B4319,'_Sys|Line_Map'!$A:$A,'_Sys|Line_Map'!$D:$D,1,0)</f>
        <v/>
      </c>
      <c r="K4319" s="4562">
        <f>IF(D4319="","",D4319*J4319)</f>
        <v/>
      </c>
      <c r="L4319" s="4562">
        <f>XLOOKUP(B4319,'_Sys|Line_Map'!$A:$A,'_Sys|Line_Map'!$B:$B,"MISSING",0)</f>
        <v/>
      </c>
    </row>
    <row r="4320">
      <c r="A4320" s="4561" t="n"/>
      <c r="B4320" s="4561" t="n"/>
      <c r="C4320" s="4561" t="n"/>
      <c r="D4320" s="4561" t="n"/>
      <c r="E4320" s="4561" t="n"/>
      <c r="F4320" s="4561" t="n"/>
      <c r="G4320" s="4561" t="n"/>
      <c r="H4320" s="4561" t="n"/>
      <c r="I4320" s="4562">
        <f>XLOOKUP(B4320,'_Sys|Line_Map'!$A:$A,'_Sys|Line_Map'!$C:$C,"MISSING",0)</f>
        <v/>
      </c>
      <c r="J4320" s="4562">
        <f>XLOOKUP(B4320,'_Sys|Line_Map'!$A:$A,'_Sys|Line_Map'!$D:$D,1,0)</f>
        <v/>
      </c>
      <c r="K4320" s="4562">
        <f>IF(D4320="","",D4320*J4320)</f>
        <v/>
      </c>
      <c r="L4320" s="4562">
        <f>XLOOKUP(B4320,'_Sys|Line_Map'!$A:$A,'_Sys|Line_Map'!$B:$B,"MISSING",0)</f>
        <v/>
      </c>
    </row>
    <row r="4321">
      <c r="A4321" s="4561" t="n"/>
      <c r="B4321" s="4561" t="n"/>
      <c r="C4321" s="4561" t="n"/>
      <c r="D4321" s="4561" t="n"/>
      <c r="E4321" s="4561" t="n"/>
      <c r="F4321" s="4561" t="n"/>
      <c r="G4321" s="4561" t="n"/>
      <c r="H4321" s="4561" t="n"/>
      <c r="I4321" s="4562">
        <f>XLOOKUP(B4321,'_Sys|Line_Map'!$A:$A,'_Sys|Line_Map'!$C:$C,"MISSING",0)</f>
        <v/>
      </c>
      <c r="J4321" s="4562">
        <f>XLOOKUP(B4321,'_Sys|Line_Map'!$A:$A,'_Sys|Line_Map'!$D:$D,1,0)</f>
        <v/>
      </c>
      <c r="K4321" s="4562">
        <f>IF(D4321="","",D4321*J4321)</f>
        <v/>
      </c>
      <c r="L4321" s="4562">
        <f>XLOOKUP(B4321,'_Sys|Line_Map'!$A:$A,'_Sys|Line_Map'!$B:$B,"MISSING",0)</f>
        <v/>
      </c>
    </row>
    <row r="4322">
      <c r="A4322" s="4561" t="n"/>
      <c r="B4322" s="4561" t="n"/>
      <c r="C4322" s="4561" t="n"/>
      <c r="D4322" s="4561" t="n"/>
      <c r="E4322" s="4561" t="n"/>
      <c r="F4322" s="4561" t="n"/>
      <c r="G4322" s="4561" t="n"/>
      <c r="H4322" s="4561" t="n"/>
      <c r="I4322" s="4562">
        <f>XLOOKUP(B4322,'_Sys|Line_Map'!$A:$A,'_Sys|Line_Map'!$C:$C,"MISSING",0)</f>
        <v/>
      </c>
      <c r="J4322" s="4562">
        <f>XLOOKUP(B4322,'_Sys|Line_Map'!$A:$A,'_Sys|Line_Map'!$D:$D,1,0)</f>
        <v/>
      </c>
      <c r="K4322" s="4562">
        <f>IF(D4322="","",D4322*J4322)</f>
        <v/>
      </c>
      <c r="L4322" s="4562">
        <f>XLOOKUP(B4322,'_Sys|Line_Map'!$A:$A,'_Sys|Line_Map'!$B:$B,"MISSING",0)</f>
        <v/>
      </c>
    </row>
    <row r="4323">
      <c r="A4323" s="4561" t="n"/>
      <c r="B4323" s="4561" t="n"/>
      <c r="C4323" s="4561" t="n"/>
      <c r="D4323" s="4561" t="n"/>
      <c r="E4323" s="4561" t="n"/>
      <c r="F4323" s="4561" t="n"/>
      <c r="G4323" s="4561" t="n"/>
      <c r="H4323" s="4561" t="n"/>
      <c r="I4323" s="4562">
        <f>XLOOKUP(B4323,'_Sys|Line_Map'!$A:$A,'_Sys|Line_Map'!$C:$C,"MISSING",0)</f>
        <v/>
      </c>
      <c r="J4323" s="4562">
        <f>XLOOKUP(B4323,'_Sys|Line_Map'!$A:$A,'_Sys|Line_Map'!$D:$D,1,0)</f>
        <v/>
      </c>
      <c r="K4323" s="4562">
        <f>IF(D4323="","",D4323*J4323)</f>
        <v/>
      </c>
      <c r="L4323" s="4562">
        <f>XLOOKUP(B4323,'_Sys|Line_Map'!$A:$A,'_Sys|Line_Map'!$B:$B,"MISSING",0)</f>
        <v/>
      </c>
    </row>
    <row r="4324">
      <c r="A4324" s="4561" t="n"/>
      <c r="B4324" s="4561" t="n"/>
      <c r="C4324" s="4561" t="n"/>
      <c r="D4324" s="4561" t="n"/>
      <c r="E4324" s="4561" t="n"/>
      <c r="F4324" s="4561" t="n"/>
      <c r="G4324" s="4561" t="n"/>
      <c r="H4324" s="4561" t="n"/>
      <c r="I4324" s="4562">
        <f>XLOOKUP(B4324,'_Sys|Line_Map'!$A:$A,'_Sys|Line_Map'!$C:$C,"MISSING",0)</f>
        <v/>
      </c>
      <c r="J4324" s="4562">
        <f>XLOOKUP(B4324,'_Sys|Line_Map'!$A:$A,'_Sys|Line_Map'!$D:$D,1,0)</f>
        <v/>
      </c>
      <c r="K4324" s="4562">
        <f>IF(D4324="","",D4324*J4324)</f>
        <v/>
      </c>
      <c r="L4324" s="4562">
        <f>XLOOKUP(B4324,'_Sys|Line_Map'!$A:$A,'_Sys|Line_Map'!$B:$B,"MISSING",0)</f>
        <v/>
      </c>
    </row>
    <row r="4325">
      <c r="A4325" s="4561" t="n"/>
      <c r="B4325" s="4561" t="n"/>
      <c r="C4325" s="4561" t="n"/>
      <c r="D4325" s="4561" t="n"/>
      <c r="E4325" s="4561" t="n"/>
      <c r="F4325" s="4561" t="n"/>
      <c r="G4325" s="4561" t="n"/>
      <c r="H4325" s="4561" t="n"/>
      <c r="I4325" s="4562">
        <f>XLOOKUP(B4325,'_Sys|Line_Map'!$A:$A,'_Sys|Line_Map'!$C:$C,"MISSING",0)</f>
        <v/>
      </c>
      <c r="J4325" s="4562">
        <f>XLOOKUP(B4325,'_Sys|Line_Map'!$A:$A,'_Sys|Line_Map'!$D:$D,1,0)</f>
        <v/>
      </c>
      <c r="K4325" s="4562">
        <f>IF(D4325="","",D4325*J4325)</f>
        <v/>
      </c>
      <c r="L4325" s="4562">
        <f>XLOOKUP(B4325,'_Sys|Line_Map'!$A:$A,'_Sys|Line_Map'!$B:$B,"MISSING",0)</f>
        <v/>
      </c>
    </row>
    <row r="4326">
      <c r="A4326" s="4561" t="n"/>
      <c r="B4326" s="4561" t="n"/>
      <c r="C4326" s="4561" t="n"/>
      <c r="D4326" s="4561" t="n"/>
      <c r="E4326" s="4561" t="n"/>
      <c r="F4326" s="4561" t="n"/>
      <c r="G4326" s="4561" t="n"/>
      <c r="H4326" s="4561" t="n"/>
      <c r="I4326" s="4562">
        <f>XLOOKUP(B4326,'_Sys|Line_Map'!$A:$A,'_Sys|Line_Map'!$C:$C,"MISSING",0)</f>
        <v/>
      </c>
      <c r="J4326" s="4562">
        <f>XLOOKUP(B4326,'_Sys|Line_Map'!$A:$A,'_Sys|Line_Map'!$D:$D,1,0)</f>
        <v/>
      </c>
      <c r="K4326" s="4562">
        <f>IF(D4326="","",D4326*J4326)</f>
        <v/>
      </c>
      <c r="L4326" s="4562">
        <f>XLOOKUP(B4326,'_Sys|Line_Map'!$A:$A,'_Sys|Line_Map'!$B:$B,"MISSING",0)</f>
        <v/>
      </c>
    </row>
    <row r="4327">
      <c r="A4327" s="4561" t="n"/>
      <c r="B4327" s="4561" t="n"/>
      <c r="C4327" s="4561" t="n"/>
      <c r="D4327" s="4561" t="n"/>
      <c r="E4327" s="4561" t="n"/>
      <c r="F4327" s="4561" t="n"/>
      <c r="G4327" s="4561" t="n"/>
      <c r="H4327" s="4561" t="n"/>
      <c r="I4327" s="4562">
        <f>XLOOKUP(B4327,'_Sys|Line_Map'!$A:$A,'_Sys|Line_Map'!$C:$C,"MISSING",0)</f>
        <v/>
      </c>
      <c r="J4327" s="4562">
        <f>XLOOKUP(B4327,'_Sys|Line_Map'!$A:$A,'_Sys|Line_Map'!$D:$D,1,0)</f>
        <v/>
      </c>
      <c r="K4327" s="4562">
        <f>IF(D4327="","",D4327*J4327)</f>
        <v/>
      </c>
      <c r="L4327" s="4562">
        <f>XLOOKUP(B4327,'_Sys|Line_Map'!$A:$A,'_Sys|Line_Map'!$B:$B,"MISSING",0)</f>
        <v/>
      </c>
    </row>
    <row r="4328">
      <c r="A4328" s="4561" t="n"/>
      <c r="B4328" s="4561" t="n"/>
      <c r="C4328" s="4561" t="n"/>
      <c r="D4328" s="4561" t="n"/>
      <c r="E4328" s="4561" t="n"/>
      <c r="F4328" s="4561" t="n"/>
      <c r="G4328" s="4561" t="n"/>
      <c r="H4328" s="4561" t="n"/>
      <c r="I4328" s="4562">
        <f>XLOOKUP(B4328,'_Sys|Line_Map'!$A:$A,'_Sys|Line_Map'!$C:$C,"MISSING",0)</f>
        <v/>
      </c>
      <c r="J4328" s="4562">
        <f>XLOOKUP(B4328,'_Sys|Line_Map'!$A:$A,'_Sys|Line_Map'!$D:$D,1,0)</f>
        <v/>
      </c>
      <c r="K4328" s="4562">
        <f>IF(D4328="","",D4328*J4328)</f>
        <v/>
      </c>
      <c r="L4328" s="4562">
        <f>XLOOKUP(B4328,'_Sys|Line_Map'!$A:$A,'_Sys|Line_Map'!$B:$B,"MISSING",0)</f>
        <v/>
      </c>
    </row>
    <row r="4329">
      <c r="A4329" s="4561" t="n"/>
      <c r="B4329" s="4561" t="n"/>
      <c r="C4329" s="4561" t="n"/>
      <c r="D4329" s="4561" t="n"/>
      <c r="E4329" s="4561" t="n"/>
      <c r="F4329" s="4561" t="n"/>
      <c r="G4329" s="4561" t="n"/>
      <c r="H4329" s="4561" t="n"/>
      <c r="I4329" s="4562">
        <f>XLOOKUP(B4329,'_Sys|Line_Map'!$A:$A,'_Sys|Line_Map'!$C:$C,"MISSING",0)</f>
        <v/>
      </c>
      <c r="J4329" s="4562">
        <f>XLOOKUP(B4329,'_Sys|Line_Map'!$A:$A,'_Sys|Line_Map'!$D:$D,1,0)</f>
        <v/>
      </c>
      <c r="K4329" s="4562">
        <f>IF(D4329="","",D4329*J4329)</f>
        <v/>
      </c>
      <c r="L4329" s="4562">
        <f>XLOOKUP(B4329,'_Sys|Line_Map'!$A:$A,'_Sys|Line_Map'!$B:$B,"MISSING",0)</f>
        <v/>
      </c>
    </row>
    <row r="4330">
      <c r="A4330" s="4561" t="n"/>
      <c r="B4330" s="4561" t="n"/>
      <c r="C4330" s="4561" t="n"/>
      <c r="D4330" s="4561" t="n"/>
      <c r="E4330" s="4561" t="n"/>
      <c r="F4330" s="4561" t="n"/>
      <c r="G4330" s="4561" t="n"/>
      <c r="H4330" s="4561" t="n"/>
      <c r="I4330" s="4562">
        <f>XLOOKUP(B4330,'_Sys|Line_Map'!$A:$A,'_Sys|Line_Map'!$C:$C,"MISSING",0)</f>
        <v/>
      </c>
      <c r="J4330" s="4562">
        <f>XLOOKUP(B4330,'_Sys|Line_Map'!$A:$A,'_Sys|Line_Map'!$D:$D,1,0)</f>
        <v/>
      </c>
      <c r="K4330" s="4562">
        <f>IF(D4330="","",D4330*J4330)</f>
        <v/>
      </c>
      <c r="L4330" s="4562">
        <f>XLOOKUP(B4330,'_Sys|Line_Map'!$A:$A,'_Sys|Line_Map'!$B:$B,"MISSING",0)</f>
        <v/>
      </c>
    </row>
    <row r="4331">
      <c r="A4331" s="4561" t="n"/>
      <c r="B4331" s="4561" t="n"/>
      <c r="C4331" s="4561" t="n"/>
      <c r="D4331" s="4561" t="n"/>
      <c r="E4331" s="4561" t="n"/>
      <c r="F4331" s="4561" t="n"/>
      <c r="G4331" s="4561" t="n"/>
      <c r="H4331" s="4561" t="n"/>
      <c r="I4331" s="4562">
        <f>XLOOKUP(B4331,'_Sys|Line_Map'!$A:$A,'_Sys|Line_Map'!$C:$C,"MISSING",0)</f>
        <v/>
      </c>
      <c r="J4331" s="4562">
        <f>XLOOKUP(B4331,'_Sys|Line_Map'!$A:$A,'_Sys|Line_Map'!$D:$D,1,0)</f>
        <v/>
      </c>
      <c r="K4331" s="4562">
        <f>IF(D4331="","",D4331*J4331)</f>
        <v/>
      </c>
      <c r="L4331" s="4562">
        <f>XLOOKUP(B4331,'_Sys|Line_Map'!$A:$A,'_Sys|Line_Map'!$B:$B,"MISSING",0)</f>
        <v/>
      </c>
    </row>
    <row r="4332">
      <c r="A4332" s="4561" t="n"/>
      <c r="B4332" s="4561" t="n"/>
      <c r="C4332" s="4561" t="n"/>
      <c r="D4332" s="4561" t="n"/>
      <c r="E4332" s="4561" t="n"/>
      <c r="F4332" s="4561" t="n"/>
      <c r="G4332" s="4561" t="n"/>
      <c r="H4332" s="4561" t="n"/>
      <c r="I4332" s="4562">
        <f>XLOOKUP(B4332,'_Sys|Line_Map'!$A:$A,'_Sys|Line_Map'!$C:$C,"MISSING",0)</f>
        <v/>
      </c>
      <c r="J4332" s="4562">
        <f>XLOOKUP(B4332,'_Sys|Line_Map'!$A:$A,'_Sys|Line_Map'!$D:$D,1,0)</f>
        <v/>
      </c>
      <c r="K4332" s="4562">
        <f>IF(D4332="","",D4332*J4332)</f>
        <v/>
      </c>
      <c r="L4332" s="4562">
        <f>XLOOKUP(B4332,'_Sys|Line_Map'!$A:$A,'_Sys|Line_Map'!$B:$B,"MISSING",0)</f>
        <v/>
      </c>
    </row>
    <row r="4333">
      <c r="A4333" s="4561" t="n"/>
      <c r="B4333" s="4561" t="n"/>
      <c r="C4333" s="4561" t="n"/>
      <c r="D4333" s="4561" t="n"/>
      <c r="E4333" s="4561" t="n"/>
      <c r="F4333" s="4561" t="n"/>
      <c r="G4333" s="4561" t="n"/>
      <c r="H4333" s="4561" t="n"/>
      <c r="I4333" s="4562">
        <f>XLOOKUP(B4333,'_Sys|Line_Map'!$A:$A,'_Sys|Line_Map'!$C:$C,"MISSING",0)</f>
        <v/>
      </c>
      <c r="J4333" s="4562">
        <f>XLOOKUP(B4333,'_Sys|Line_Map'!$A:$A,'_Sys|Line_Map'!$D:$D,1,0)</f>
        <v/>
      </c>
      <c r="K4333" s="4562">
        <f>IF(D4333="","",D4333*J4333)</f>
        <v/>
      </c>
      <c r="L4333" s="4562">
        <f>XLOOKUP(B4333,'_Sys|Line_Map'!$A:$A,'_Sys|Line_Map'!$B:$B,"MISSING",0)</f>
        <v/>
      </c>
    </row>
    <row r="4334">
      <c r="A4334" s="4561" t="n"/>
      <c r="B4334" s="4561" t="n"/>
      <c r="C4334" s="4561" t="n"/>
      <c r="D4334" s="4561" t="n"/>
      <c r="E4334" s="4561" t="n"/>
      <c r="F4334" s="4561" t="n"/>
      <c r="G4334" s="4561" t="n"/>
      <c r="H4334" s="4561" t="n"/>
      <c r="I4334" s="4562">
        <f>XLOOKUP(B4334,'_Sys|Line_Map'!$A:$A,'_Sys|Line_Map'!$C:$C,"MISSING",0)</f>
        <v/>
      </c>
      <c r="J4334" s="4562">
        <f>XLOOKUP(B4334,'_Sys|Line_Map'!$A:$A,'_Sys|Line_Map'!$D:$D,1,0)</f>
        <v/>
      </c>
      <c r="K4334" s="4562">
        <f>IF(D4334="","",D4334*J4334)</f>
        <v/>
      </c>
      <c r="L4334" s="4562">
        <f>XLOOKUP(B4334,'_Sys|Line_Map'!$A:$A,'_Sys|Line_Map'!$B:$B,"MISSING",0)</f>
        <v/>
      </c>
    </row>
    <row r="4335">
      <c r="A4335" s="4561" t="n"/>
      <c r="B4335" s="4561" t="n"/>
      <c r="C4335" s="4561" t="n"/>
      <c r="D4335" s="4561" t="n"/>
      <c r="E4335" s="4561" t="n"/>
      <c r="F4335" s="4561" t="n"/>
      <c r="G4335" s="4561" t="n"/>
      <c r="H4335" s="4561" t="n"/>
      <c r="I4335" s="4562">
        <f>XLOOKUP(B4335,'_Sys|Line_Map'!$A:$A,'_Sys|Line_Map'!$C:$C,"MISSING",0)</f>
        <v/>
      </c>
      <c r="J4335" s="4562">
        <f>XLOOKUP(B4335,'_Sys|Line_Map'!$A:$A,'_Sys|Line_Map'!$D:$D,1,0)</f>
        <v/>
      </c>
      <c r="K4335" s="4562">
        <f>IF(D4335="","",D4335*J4335)</f>
        <v/>
      </c>
      <c r="L4335" s="4562">
        <f>XLOOKUP(B4335,'_Sys|Line_Map'!$A:$A,'_Sys|Line_Map'!$B:$B,"MISSING",0)</f>
        <v/>
      </c>
    </row>
    <row r="4336">
      <c r="A4336" s="4561" t="n"/>
      <c r="B4336" s="4561" t="n"/>
      <c r="C4336" s="4561" t="n"/>
      <c r="D4336" s="4561" t="n"/>
      <c r="E4336" s="4561" t="n"/>
      <c r="F4336" s="4561" t="n"/>
      <c r="G4336" s="4561" t="n"/>
      <c r="H4336" s="4561" t="n"/>
      <c r="I4336" s="4562">
        <f>XLOOKUP(B4336,'_Sys|Line_Map'!$A:$A,'_Sys|Line_Map'!$C:$C,"MISSING",0)</f>
        <v/>
      </c>
      <c r="J4336" s="4562">
        <f>XLOOKUP(B4336,'_Sys|Line_Map'!$A:$A,'_Sys|Line_Map'!$D:$D,1,0)</f>
        <v/>
      </c>
      <c r="K4336" s="4562">
        <f>IF(D4336="","",D4336*J4336)</f>
        <v/>
      </c>
      <c r="L4336" s="4562">
        <f>XLOOKUP(B4336,'_Sys|Line_Map'!$A:$A,'_Sys|Line_Map'!$B:$B,"MISSING",0)</f>
        <v/>
      </c>
    </row>
    <row r="4337">
      <c r="A4337" s="4561" t="n"/>
      <c r="B4337" s="4561" t="n"/>
      <c r="C4337" s="4561" t="n"/>
      <c r="D4337" s="4561" t="n"/>
      <c r="E4337" s="4561" t="n"/>
      <c r="F4337" s="4561" t="n"/>
      <c r="G4337" s="4561" t="n"/>
      <c r="H4337" s="4561" t="n"/>
      <c r="I4337" s="4562">
        <f>XLOOKUP(B4337,'_Sys|Line_Map'!$A:$A,'_Sys|Line_Map'!$C:$C,"MISSING",0)</f>
        <v/>
      </c>
      <c r="J4337" s="4562">
        <f>XLOOKUP(B4337,'_Sys|Line_Map'!$A:$A,'_Sys|Line_Map'!$D:$D,1,0)</f>
        <v/>
      </c>
      <c r="K4337" s="4562">
        <f>IF(D4337="","",D4337*J4337)</f>
        <v/>
      </c>
      <c r="L4337" s="4562">
        <f>XLOOKUP(B4337,'_Sys|Line_Map'!$A:$A,'_Sys|Line_Map'!$B:$B,"MISSING",0)</f>
        <v/>
      </c>
    </row>
    <row r="4338">
      <c r="A4338" s="4561" t="n"/>
      <c r="B4338" s="4561" t="n"/>
      <c r="C4338" s="4561" t="n"/>
      <c r="D4338" s="4561" t="n"/>
      <c r="E4338" s="4561" t="n"/>
      <c r="F4338" s="4561" t="n"/>
      <c r="G4338" s="4561" t="n"/>
      <c r="H4338" s="4561" t="n"/>
      <c r="I4338" s="4562">
        <f>XLOOKUP(B4338,'_Sys|Line_Map'!$A:$A,'_Sys|Line_Map'!$C:$C,"MISSING",0)</f>
        <v/>
      </c>
      <c r="J4338" s="4562">
        <f>XLOOKUP(B4338,'_Sys|Line_Map'!$A:$A,'_Sys|Line_Map'!$D:$D,1,0)</f>
        <v/>
      </c>
      <c r="K4338" s="4562">
        <f>IF(D4338="","",D4338*J4338)</f>
        <v/>
      </c>
      <c r="L4338" s="4562">
        <f>XLOOKUP(B4338,'_Sys|Line_Map'!$A:$A,'_Sys|Line_Map'!$B:$B,"MISSING",0)</f>
        <v/>
      </c>
    </row>
    <row r="4339">
      <c r="A4339" s="4561" t="n"/>
      <c r="B4339" s="4561" t="n"/>
      <c r="C4339" s="4561" t="n"/>
      <c r="D4339" s="4561" t="n"/>
      <c r="E4339" s="4561" t="n"/>
      <c r="F4339" s="4561" t="n"/>
      <c r="G4339" s="4561" t="n"/>
      <c r="H4339" s="4561" t="n"/>
      <c r="I4339" s="4562">
        <f>XLOOKUP(B4339,'_Sys|Line_Map'!$A:$A,'_Sys|Line_Map'!$C:$C,"MISSING",0)</f>
        <v/>
      </c>
      <c r="J4339" s="4562">
        <f>XLOOKUP(B4339,'_Sys|Line_Map'!$A:$A,'_Sys|Line_Map'!$D:$D,1,0)</f>
        <v/>
      </c>
      <c r="K4339" s="4562">
        <f>IF(D4339="","",D4339*J4339)</f>
        <v/>
      </c>
      <c r="L4339" s="4562">
        <f>XLOOKUP(B4339,'_Sys|Line_Map'!$A:$A,'_Sys|Line_Map'!$B:$B,"MISSING",0)</f>
        <v/>
      </c>
    </row>
    <row r="4340">
      <c r="A4340" s="4561" t="n"/>
      <c r="B4340" s="4561" t="n"/>
      <c r="C4340" s="4561" t="n"/>
      <c r="D4340" s="4561" t="n"/>
      <c r="E4340" s="4561" t="n"/>
      <c r="F4340" s="4561" t="n"/>
      <c r="G4340" s="4561" t="n"/>
      <c r="H4340" s="4561" t="n"/>
      <c r="I4340" s="4562">
        <f>XLOOKUP(B4340,'_Sys|Line_Map'!$A:$A,'_Sys|Line_Map'!$C:$C,"MISSING",0)</f>
        <v/>
      </c>
      <c r="J4340" s="4562">
        <f>XLOOKUP(B4340,'_Sys|Line_Map'!$A:$A,'_Sys|Line_Map'!$D:$D,1,0)</f>
        <v/>
      </c>
      <c r="K4340" s="4562">
        <f>IF(D4340="","",D4340*J4340)</f>
        <v/>
      </c>
      <c r="L4340" s="4562">
        <f>XLOOKUP(B4340,'_Sys|Line_Map'!$A:$A,'_Sys|Line_Map'!$B:$B,"MISSING",0)</f>
        <v/>
      </c>
    </row>
    <row r="4341">
      <c r="A4341" s="4561" t="n"/>
      <c r="B4341" s="4561" t="n"/>
      <c r="C4341" s="4561" t="n"/>
      <c r="D4341" s="4561" t="n"/>
      <c r="E4341" s="4561" t="n"/>
      <c r="F4341" s="4561" t="n"/>
      <c r="G4341" s="4561" t="n"/>
      <c r="H4341" s="4561" t="n"/>
      <c r="I4341" s="4562">
        <f>XLOOKUP(B4341,'_Sys|Line_Map'!$A:$A,'_Sys|Line_Map'!$C:$C,"MISSING",0)</f>
        <v/>
      </c>
      <c r="J4341" s="4562">
        <f>XLOOKUP(B4341,'_Sys|Line_Map'!$A:$A,'_Sys|Line_Map'!$D:$D,1,0)</f>
        <v/>
      </c>
      <c r="K4341" s="4562">
        <f>IF(D4341="","",D4341*J4341)</f>
        <v/>
      </c>
      <c r="L4341" s="4562">
        <f>XLOOKUP(B4341,'_Sys|Line_Map'!$A:$A,'_Sys|Line_Map'!$B:$B,"MISSING",0)</f>
        <v/>
      </c>
    </row>
    <row r="4342">
      <c r="A4342" s="4561" t="n"/>
      <c r="B4342" s="4561" t="n"/>
      <c r="C4342" s="4561" t="n"/>
      <c r="D4342" s="4561" t="n"/>
      <c r="E4342" s="4561" t="n"/>
      <c r="F4342" s="4561" t="n"/>
      <c r="G4342" s="4561" t="n"/>
      <c r="H4342" s="4561" t="n"/>
      <c r="I4342" s="4562">
        <f>XLOOKUP(B4342,'_Sys|Line_Map'!$A:$A,'_Sys|Line_Map'!$C:$C,"MISSING",0)</f>
        <v/>
      </c>
      <c r="J4342" s="4562">
        <f>XLOOKUP(B4342,'_Sys|Line_Map'!$A:$A,'_Sys|Line_Map'!$D:$D,1,0)</f>
        <v/>
      </c>
      <c r="K4342" s="4562">
        <f>IF(D4342="","",D4342*J4342)</f>
        <v/>
      </c>
      <c r="L4342" s="4562">
        <f>XLOOKUP(B4342,'_Sys|Line_Map'!$A:$A,'_Sys|Line_Map'!$B:$B,"MISSING",0)</f>
        <v/>
      </c>
    </row>
    <row r="4343">
      <c r="A4343" s="4561" t="n"/>
      <c r="B4343" s="4561" t="n"/>
      <c r="C4343" s="4561" t="n"/>
      <c r="D4343" s="4561" t="n"/>
      <c r="E4343" s="4561" t="n"/>
      <c r="F4343" s="4561" t="n"/>
      <c r="G4343" s="4561" t="n"/>
      <c r="H4343" s="4561" t="n"/>
      <c r="I4343" s="4562">
        <f>XLOOKUP(B4343,'_Sys|Line_Map'!$A:$A,'_Sys|Line_Map'!$C:$C,"MISSING",0)</f>
        <v/>
      </c>
      <c r="J4343" s="4562">
        <f>XLOOKUP(B4343,'_Sys|Line_Map'!$A:$A,'_Sys|Line_Map'!$D:$D,1,0)</f>
        <v/>
      </c>
      <c r="K4343" s="4562">
        <f>IF(D4343="","",D4343*J4343)</f>
        <v/>
      </c>
      <c r="L4343" s="4562">
        <f>XLOOKUP(B4343,'_Sys|Line_Map'!$A:$A,'_Sys|Line_Map'!$B:$B,"MISSING",0)</f>
        <v/>
      </c>
    </row>
    <row r="4344">
      <c r="A4344" s="4561" t="n"/>
      <c r="B4344" s="4561" t="n"/>
      <c r="C4344" s="4561" t="n"/>
      <c r="D4344" s="4561" t="n"/>
      <c r="E4344" s="4561" t="n"/>
      <c r="F4344" s="4561" t="n"/>
      <c r="G4344" s="4561" t="n"/>
      <c r="H4344" s="4561" t="n"/>
      <c r="I4344" s="4562">
        <f>XLOOKUP(B4344,'_Sys|Line_Map'!$A:$A,'_Sys|Line_Map'!$C:$C,"MISSING",0)</f>
        <v/>
      </c>
      <c r="J4344" s="4562">
        <f>XLOOKUP(B4344,'_Sys|Line_Map'!$A:$A,'_Sys|Line_Map'!$D:$D,1,0)</f>
        <v/>
      </c>
      <c r="K4344" s="4562">
        <f>IF(D4344="","",D4344*J4344)</f>
        <v/>
      </c>
      <c r="L4344" s="4562">
        <f>XLOOKUP(B4344,'_Sys|Line_Map'!$A:$A,'_Sys|Line_Map'!$B:$B,"MISSING",0)</f>
        <v/>
      </c>
    </row>
    <row r="4345">
      <c r="A4345" s="4561" t="n"/>
      <c r="B4345" s="4561" t="n"/>
      <c r="C4345" s="4561" t="n"/>
      <c r="D4345" s="4561" t="n"/>
      <c r="E4345" s="4561" t="n"/>
      <c r="F4345" s="4561" t="n"/>
      <c r="G4345" s="4561" t="n"/>
      <c r="H4345" s="4561" t="n"/>
      <c r="I4345" s="4562">
        <f>XLOOKUP(B4345,'_Sys|Line_Map'!$A:$A,'_Sys|Line_Map'!$C:$C,"MISSING",0)</f>
        <v/>
      </c>
      <c r="J4345" s="4562">
        <f>XLOOKUP(B4345,'_Sys|Line_Map'!$A:$A,'_Sys|Line_Map'!$D:$D,1,0)</f>
        <v/>
      </c>
      <c r="K4345" s="4562">
        <f>IF(D4345="","",D4345*J4345)</f>
        <v/>
      </c>
      <c r="L4345" s="4562">
        <f>XLOOKUP(B4345,'_Sys|Line_Map'!$A:$A,'_Sys|Line_Map'!$B:$B,"MISSING",0)</f>
        <v/>
      </c>
    </row>
    <row r="4346">
      <c r="A4346" s="4561" t="n"/>
      <c r="B4346" s="4561" t="n"/>
      <c r="C4346" s="4561" t="n"/>
      <c r="D4346" s="4561" t="n"/>
      <c r="E4346" s="4561" t="n"/>
      <c r="F4346" s="4561" t="n"/>
      <c r="G4346" s="4561" t="n"/>
      <c r="H4346" s="4561" t="n"/>
      <c r="I4346" s="4562">
        <f>XLOOKUP(B4346,'_Sys|Line_Map'!$A:$A,'_Sys|Line_Map'!$C:$C,"MISSING",0)</f>
        <v/>
      </c>
      <c r="J4346" s="4562">
        <f>XLOOKUP(B4346,'_Sys|Line_Map'!$A:$A,'_Sys|Line_Map'!$D:$D,1,0)</f>
        <v/>
      </c>
      <c r="K4346" s="4562">
        <f>IF(D4346="","",D4346*J4346)</f>
        <v/>
      </c>
      <c r="L4346" s="4562">
        <f>XLOOKUP(B4346,'_Sys|Line_Map'!$A:$A,'_Sys|Line_Map'!$B:$B,"MISSING",0)</f>
        <v/>
      </c>
    </row>
    <row r="4347">
      <c r="A4347" s="4561" t="n"/>
      <c r="B4347" s="4561" t="n"/>
      <c r="C4347" s="4561" t="n"/>
      <c r="D4347" s="4561" t="n"/>
      <c r="E4347" s="4561" t="n"/>
      <c r="F4347" s="4561" t="n"/>
      <c r="G4347" s="4561" t="n"/>
      <c r="H4347" s="4561" t="n"/>
      <c r="I4347" s="4562">
        <f>XLOOKUP(B4347,'_Sys|Line_Map'!$A:$A,'_Sys|Line_Map'!$C:$C,"MISSING",0)</f>
        <v/>
      </c>
      <c r="J4347" s="4562">
        <f>XLOOKUP(B4347,'_Sys|Line_Map'!$A:$A,'_Sys|Line_Map'!$D:$D,1,0)</f>
        <v/>
      </c>
      <c r="K4347" s="4562">
        <f>IF(D4347="","",D4347*J4347)</f>
        <v/>
      </c>
      <c r="L4347" s="4562">
        <f>XLOOKUP(B4347,'_Sys|Line_Map'!$A:$A,'_Sys|Line_Map'!$B:$B,"MISSING",0)</f>
        <v/>
      </c>
    </row>
    <row r="4348">
      <c r="A4348" s="4561" t="n"/>
      <c r="B4348" s="4561" t="n"/>
      <c r="C4348" s="4561" t="n"/>
      <c r="D4348" s="4561" t="n"/>
      <c r="E4348" s="4561" t="n"/>
      <c r="F4348" s="4561" t="n"/>
      <c r="G4348" s="4561" t="n"/>
      <c r="H4348" s="4561" t="n"/>
      <c r="I4348" s="4562">
        <f>XLOOKUP(B4348,'_Sys|Line_Map'!$A:$A,'_Sys|Line_Map'!$C:$C,"MISSING",0)</f>
        <v/>
      </c>
      <c r="J4348" s="4562">
        <f>XLOOKUP(B4348,'_Sys|Line_Map'!$A:$A,'_Sys|Line_Map'!$D:$D,1,0)</f>
        <v/>
      </c>
      <c r="K4348" s="4562">
        <f>IF(D4348="","",D4348*J4348)</f>
        <v/>
      </c>
      <c r="L4348" s="4562">
        <f>XLOOKUP(B4348,'_Sys|Line_Map'!$A:$A,'_Sys|Line_Map'!$B:$B,"MISSING",0)</f>
        <v/>
      </c>
    </row>
    <row r="4349">
      <c r="A4349" s="4561" t="n"/>
      <c r="B4349" s="4561" t="n"/>
      <c r="C4349" s="4561" t="n"/>
      <c r="D4349" s="4561" t="n"/>
      <c r="E4349" s="4561" t="n"/>
      <c r="F4349" s="4561" t="n"/>
      <c r="G4349" s="4561" t="n"/>
      <c r="H4349" s="4561" t="n"/>
      <c r="I4349" s="4562">
        <f>XLOOKUP(B4349,'_Sys|Line_Map'!$A:$A,'_Sys|Line_Map'!$C:$C,"MISSING",0)</f>
        <v/>
      </c>
      <c r="J4349" s="4562">
        <f>XLOOKUP(B4349,'_Sys|Line_Map'!$A:$A,'_Sys|Line_Map'!$D:$D,1,0)</f>
        <v/>
      </c>
      <c r="K4349" s="4562">
        <f>IF(D4349="","",D4349*J4349)</f>
        <v/>
      </c>
      <c r="L4349" s="4562">
        <f>XLOOKUP(B4349,'_Sys|Line_Map'!$A:$A,'_Sys|Line_Map'!$B:$B,"MISSING",0)</f>
        <v/>
      </c>
    </row>
    <row r="4350">
      <c r="A4350" s="4561" t="n"/>
      <c r="B4350" s="4561" t="n"/>
      <c r="C4350" s="4561" t="n"/>
      <c r="D4350" s="4561" t="n"/>
      <c r="E4350" s="4561" t="n"/>
      <c r="F4350" s="4561" t="n"/>
      <c r="G4350" s="4561" t="n"/>
      <c r="H4350" s="4561" t="n"/>
      <c r="I4350" s="4562">
        <f>XLOOKUP(B4350,'_Sys|Line_Map'!$A:$A,'_Sys|Line_Map'!$C:$C,"MISSING",0)</f>
        <v/>
      </c>
      <c r="J4350" s="4562">
        <f>XLOOKUP(B4350,'_Sys|Line_Map'!$A:$A,'_Sys|Line_Map'!$D:$D,1,0)</f>
        <v/>
      </c>
      <c r="K4350" s="4562">
        <f>IF(D4350="","",D4350*J4350)</f>
        <v/>
      </c>
      <c r="L4350" s="4562">
        <f>XLOOKUP(B4350,'_Sys|Line_Map'!$A:$A,'_Sys|Line_Map'!$B:$B,"MISSING",0)</f>
        <v/>
      </c>
    </row>
    <row r="4351">
      <c r="A4351" s="4561" t="n"/>
      <c r="B4351" s="4561" t="n"/>
      <c r="C4351" s="4561" t="n"/>
      <c r="D4351" s="4561" t="n"/>
      <c r="E4351" s="4561" t="n"/>
      <c r="F4351" s="4561" t="n"/>
      <c r="G4351" s="4561" t="n"/>
      <c r="H4351" s="4561" t="n"/>
      <c r="I4351" s="4562">
        <f>XLOOKUP(B4351,'_Sys|Line_Map'!$A:$A,'_Sys|Line_Map'!$C:$C,"MISSING",0)</f>
        <v/>
      </c>
      <c r="J4351" s="4562">
        <f>XLOOKUP(B4351,'_Sys|Line_Map'!$A:$A,'_Sys|Line_Map'!$D:$D,1,0)</f>
        <v/>
      </c>
      <c r="K4351" s="4562">
        <f>IF(D4351="","",D4351*J4351)</f>
        <v/>
      </c>
      <c r="L4351" s="4562">
        <f>XLOOKUP(B4351,'_Sys|Line_Map'!$A:$A,'_Sys|Line_Map'!$B:$B,"MISSING",0)</f>
        <v/>
      </c>
    </row>
    <row r="4352">
      <c r="A4352" s="4561" t="n"/>
      <c r="B4352" s="4561" t="n"/>
      <c r="C4352" s="4561" t="n"/>
      <c r="D4352" s="4561" t="n"/>
      <c r="E4352" s="4561" t="n"/>
      <c r="F4352" s="4561" t="n"/>
      <c r="G4352" s="4561" t="n"/>
      <c r="H4352" s="4561" t="n"/>
      <c r="I4352" s="4562">
        <f>XLOOKUP(B4352,'_Sys|Line_Map'!$A:$A,'_Sys|Line_Map'!$C:$C,"MISSING",0)</f>
        <v/>
      </c>
      <c r="J4352" s="4562">
        <f>XLOOKUP(B4352,'_Sys|Line_Map'!$A:$A,'_Sys|Line_Map'!$D:$D,1,0)</f>
        <v/>
      </c>
      <c r="K4352" s="4562">
        <f>IF(D4352="","",D4352*J4352)</f>
        <v/>
      </c>
      <c r="L4352" s="4562">
        <f>XLOOKUP(B4352,'_Sys|Line_Map'!$A:$A,'_Sys|Line_Map'!$B:$B,"MISSING",0)</f>
        <v/>
      </c>
    </row>
    <row r="4353">
      <c r="A4353" s="4561" t="n"/>
      <c r="B4353" s="4561" t="n"/>
      <c r="C4353" s="4561" t="n"/>
      <c r="D4353" s="4561" t="n"/>
      <c r="E4353" s="4561" t="n"/>
      <c r="F4353" s="4561" t="n"/>
      <c r="G4353" s="4561" t="n"/>
      <c r="H4353" s="4561" t="n"/>
      <c r="I4353" s="4562">
        <f>XLOOKUP(B4353,'_Sys|Line_Map'!$A:$A,'_Sys|Line_Map'!$C:$C,"MISSING",0)</f>
        <v/>
      </c>
      <c r="J4353" s="4562">
        <f>XLOOKUP(B4353,'_Sys|Line_Map'!$A:$A,'_Sys|Line_Map'!$D:$D,1,0)</f>
        <v/>
      </c>
      <c r="K4353" s="4562">
        <f>IF(D4353="","",D4353*J4353)</f>
        <v/>
      </c>
      <c r="L4353" s="4562">
        <f>XLOOKUP(B4353,'_Sys|Line_Map'!$A:$A,'_Sys|Line_Map'!$B:$B,"MISSING",0)</f>
        <v/>
      </c>
    </row>
    <row r="4354">
      <c r="A4354" s="4561" t="n"/>
      <c r="B4354" s="4561" t="n"/>
      <c r="C4354" s="4561" t="n"/>
      <c r="D4354" s="4561" t="n"/>
      <c r="E4354" s="4561" t="n"/>
      <c r="F4354" s="4561" t="n"/>
      <c r="G4354" s="4561" t="n"/>
      <c r="H4354" s="4561" t="n"/>
      <c r="I4354" s="4562">
        <f>XLOOKUP(B4354,'_Sys|Line_Map'!$A:$A,'_Sys|Line_Map'!$C:$C,"MISSING",0)</f>
        <v/>
      </c>
      <c r="J4354" s="4562">
        <f>XLOOKUP(B4354,'_Sys|Line_Map'!$A:$A,'_Sys|Line_Map'!$D:$D,1,0)</f>
        <v/>
      </c>
      <c r="K4354" s="4562">
        <f>IF(D4354="","",D4354*J4354)</f>
        <v/>
      </c>
      <c r="L4354" s="4562">
        <f>XLOOKUP(B4354,'_Sys|Line_Map'!$A:$A,'_Sys|Line_Map'!$B:$B,"MISSING",0)</f>
        <v/>
      </c>
    </row>
    <row r="4355">
      <c r="A4355" s="4561" t="n"/>
      <c r="B4355" s="4561" t="n"/>
      <c r="C4355" s="4561" t="n"/>
      <c r="D4355" s="4561" t="n"/>
      <c r="E4355" s="4561" t="n"/>
      <c r="F4355" s="4561" t="n"/>
      <c r="G4355" s="4561" t="n"/>
      <c r="H4355" s="4561" t="n"/>
      <c r="I4355" s="4562">
        <f>XLOOKUP(B4355,'_Sys|Line_Map'!$A:$A,'_Sys|Line_Map'!$C:$C,"MISSING",0)</f>
        <v/>
      </c>
      <c r="J4355" s="4562">
        <f>XLOOKUP(B4355,'_Sys|Line_Map'!$A:$A,'_Sys|Line_Map'!$D:$D,1,0)</f>
        <v/>
      </c>
      <c r="K4355" s="4562">
        <f>IF(D4355="","",D4355*J4355)</f>
        <v/>
      </c>
      <c r="L4355" s="4562">
        <f>XLOOKUP(B4355,'_Sys|Line_Map'!$A:$A,'_Sys|Line_Map'!$B:$B,"MISSING",0)</f>
        <v/>
      </c>
    </row>
    <row r="4356">
      <c r="A4356" s="4561" t="n"/>
      <c r="B4356" s="4561" t="n"/>
      <c r="C4356" s="4561" t="n"/>
      <c r="D4356" s="4561" t="n"/>
      <c r="E4356" s="4561" t="n"/>
      <c r="F4356" s="4561" t="n"/>
      <c r="G4356" s="4561" t="n"/>
      <c r="H4356" s="4561" t="n"/>
      <c r="I4356" s="4562">
        <f>XLOOKUP(B4356,'_Sys|Line_Map'!$A:$A,'_Sys|Line_Map'!$C:$C,"MISSING",0)</f>
        <v/>
      </c>
      <c r="J4356" s="4562">
        <f>XLOOKUP(B4356,'_Sys|Line_Map'!$A:$A,'_Sys|Line_Map'!$D:$D,1,0)</f>
        <v/>
      </c>
      <c r="K4356" s="4562">
        <f>IF(D4356="","",D4356*J4356)</f>
        <v/>
      </c>
      <c r="L4356" s="4562">
        <f>XLOOKUP(B4356,'_Sys|Line_Map'!$A:$A,'_Sys|Line_Map'!$B:$B,"MISSING",0)</f>
        <v/>
      </c>
    </row>
    <row r="4357">
      <c r="A4357" s="4561" t="n"/>
      <c r="B4357" s="4561" t="n"/>
      <c r="C4357" s="4561" t="n"/>
      <c r="D4357" s="4561" t="n"/>
      <c r="E4357" s="4561" t="n"/>
      <c r="F4357" s="4561" t="n"/>
      <c r="G4357" s="4561" t="n"/>
      <c r="H4357" s="4561" t="n"/>
      <c r="I4357" s="4562">
        <f>XLOOKUP(B4357,'_Sys|Line_Map'!$A:$A,'_Sys|Line_Map'!$C:$C,"MISSING",0)</f>
        <v/>
      </c>
      <c r="J4357" s="4562">
        <f>XLOOKUP(B4357,'_Sys|Line_Map'!$A:$A,'_Sys|Line_Map'!$D:$D,1,0)</f>
        <v/>
      </c>
      <c r="K4357" s="4562">
        <f>IF(D4357="","",D4357*J4357)</f>
        <v/>
      </c>
      <c r="L4357" s="4562">
        <f>XLOOKUP(B4357,'_Sys|Line_Map'!$A:$A,'_Sys|Line_Map'!$B:$B,"MISSING",0)</f>
        <v/>
      </c>
    </row>
    <row r="4358">
      <c r="A4358" s="4561" t="n"/>
      <c r="B4358" s="4561" t="n"/>
      <c r="C4358" s="4561" t="n"/>
      <c r="D4358" s="4561" t="n"/>
      <c r="E4358" s="4561" t="n"/>
      <c r="F4358" s="4561" t="n"/>
      <c r="G4358" s="4561" t="n"/>
      <c r="H4358" s="4561" t="n"/>
      <c r="I4358" s="4562">
        <f>XLOOKUP(B4358,'_Sys|Line_Map'!$A:$A,'_Sys|Line_Map'!$C:$C,"MISSING",0)</f>
        <v/>
      </c>
      <c r="J4358" s="4562">
        <f>XLOOKUP(B4358,'_Sys|Line_Map'!$A:$A,'_Sys|Line_Map'!$D:$D,1,0)</f>
        <v/>
      </c>
      <c r="K4358" s="4562">
        <f>IF(D4358="","",D4358*J4358)</f>
        <v/>
      </c>
      <c r="L4358" s="4562">
        <f>XLOOKUP(B4358,'_Sys|Line_Map'!$A:$A,'_Sys|Line_Map'!$B:$B,"MISSING",0)</f>
        <v/>
      </c>
    </row>
    <row r="4359">
      <c r="A4359" s="4561" t="n"/>
      <c r="B4359" s="4561" t="n"/>
      <c r="C4359" s="4561" t="n"/>
      <c r="D4359" s="4561" t="n"/>
      <c r="E4359" s="4561" t="n"/>
      <c r="F4359" s="4561" t="n"/>
      <c r="G4359" s="4561" t="n"/>
      <c r="H4359" s="4561" t="n"/>
      <c r="I4359" s="4562">
        <f>XLOOKUP(B4359,'_Sys|Line_Map'!$A:$A,'_Sys|Line_Map'!$C:$C,"MISSING",0)</f>
        <v/>
      </c>
      <c r="J4359" s="4562">
        <f>XLOOKUP(B4359,'_Sys|Line_Map'!$A:$A,'_Sys|Line_Map'!$D:$D,1,0)</f>
        <v/>
      </c>
      <c r="K4359" s="4562">
        <f>IF(D4359="","",D4359*J4359)</f>
        <v/>
      </c>
      <c r="L4359" s="4562">
        <f>XLOOKUP(B4359,'_Sys|Line_Map'!$A:$A,'_Sys|Line_Map'!$B:$B,"MISSING",0)</f>
        <v/>
      </c>
    </row>
    <row r="4360">
      <c r="A4360" s="4561" t="n"/>
      <c r="B4360" s="4561" t="n"/>
      <c r="C4360" s="4561" t="n"/>
      <c r="D4360" s="4561" t="n"/>
      <c r="E4360" s="4561" t="n"/>
      <c r="F4360" s="4561" t="n"/>
      <c r="G4360" s="4561" t="n"/>
      <c r="H4360" s="4561" t="n"/>
      <c r="I4360" s="4562">
        <f>XLOOKUP(B4360,'_Sys|Line_Map'!$A:$A,'_Sys|Line_Map'!$C:$C,"MISSING",0)</f>
        <v/>
      </c>
      <c r="J4360" s="4562">
        <f>XLOOKUP(B4360,'_Sys|Line_Map'!$A:$A,'_Sys|Line_Map'!$D:$D,1,0)</f>
        <v/>
      </c>
      <c r="K4360" s="4562">
        <f>IF(D4360="","",D4360*J4360)</f>
        <v/>
      </c>
      <c r="L4360" s="4562">
        <f>XLOOKUP(B4360,'_Sys|Line_Map'!$A:$A,'_Sys|Line_Map'!$B:$B,"MISSING",0)</f>
        <v/>
      </c>
    </row>
    <row r="4361">
      <c r="A4361" s="4561" t="n"/>
      <c r="B4361" s="4561" t="n"/>
      <c r="C4361" s="4561" t="n"/>
      <c r="D4361" s="4561" t="n"/>
      <c r="E4361" s="4561" t="n"/>
      <c r="F4361" s="4561" t="n"/>
      <c r="G4361" s="4561" t="n"/>
      <c r="H4361" s="4561" t="n"/>
      <c r="I4361" s="4562">
        <f>XLOOKUP(B4361,'_Sys|Line_Map'!$A:$A,'_Sys|Line_Map'!$C:$C,"MISSING",0)</f>
        <v/>
      </c>
      <c r="J4361" s="4562">
        <f>XLOOKUP(B4361,'_Sys|Line_Map'!$A:$A,'_Sys|Line_Map'!$D:$D,1,0)</f>
        <v/>
      </c>
      <c r="K4361" s="4562">
        <f>IF(D4361="","",D4361*J4361)</f>
        <v/>
      </c>
      <c r="L4361" s="4562">
        <f>XLOOKUP(B4361,'_Sys|Line_Map'!$A:$A,'_Sys|Line_Map'!$B:$B,"MISSING",0)</f>
        <v/>
      </c>
    </row>
    <row r="4362">
      <c r="A4362" s="4561" t="n"/>
      <c r="B4362" s="4561" t="n"/>
      <c r="C4362" s="4561" t="n"/>
      <c r="D4362" s="4561" t="n"/>
      <c r="E4362" s="4561" t="n"/>
      <c r="F4362" s="4561" t="n"/>
      <c r="G4362" s="4561" t="n"/>
      <c r="H4362" s="4561" t="n"/>
      <c r="I4362" s="4562">
        <f>XLOOKUP(B4362,'_Sys|Line_Map'!$A:$A,'_Sys|Line_Map'!$C:$C,"MISSING",0)</f>
        <v/>
      </c>
      <c r="J4362" s="4562">
        <f>XLOOKUP(B4362,'_Sys|Line_Map'!$A:$A,'_Sys|Line_Map'!$D:$D,1,0)</f>
        <v/>
      </c>
      <c r="K4362" s="4562">
        <f>IF(D4362="","",D4362*J4362)</f>
        <v/>
      </c>
      <c r="L4362" s="4562">
        <f>XLOOKUP(B4362,'_Sys|Line_Map'!$A:$A,'_Sys|Line_Map'!$B:$B,"MISSING",0)</f>
        <v/>
      </c>
    </row>
    <row r="4363">
      <c r="A4363" s="4561" t="n"/>
      <c r="B4363" s="4561" t="n"/>
      <c r="C4363" s="4561" t="n"/>
      <c r="D4363" s="4561" t="n"/>
      <c r="E4363" s="4561" t="n"/>
      <c r="F4363" s="4561" t="n"/>
      <c r="G4363" s="4561" t="n"/>
      <c r="H4363" s="4561" t="n"/>
      <c r="I4363" s="4562">
        <f>XLOOKUP(B4363,'_Sys|Line_Map'!$A:$A,'_Sys|Line_Map'!$C:$C,"MISSING",0)</f>
        <v/>
      </c>
      <c r="J4363" s="4562">
        <f>XLOOKUP(B4363,'_Sys|Line_Map'!$A:$A,'_Sys|Line_Map'!$D:$D,1,0)</f>
        <v/>
      </c>
      <c r="K4363" s="4562">
        <f>IF(D4363="","",D4363*J4363)</f>
        <v/>
      </c>
      <c r="L4363" s="4562">
        <f>XLOOKUP(B4363,'_Sys|Line_Map'!$A:$A,'_Sys|Line_Map'!$B:$B,"MISSING",0)</f>
        <v/>
      </c>
    </row>
    <row r="4364">
      <c r="A4364" s="4561" t="n"/>
      <c r="B4364" s="4561" t="n"/>
      <c r="C4364" s="4561" t="n"/>
      <c r="D4364" s="4561" t="n"/>
      <c r="E4364" s="4561" t="n"/>
      <c r="F4364" s="4561" t="n"/>
      <c r="G4364" s="4561" t="n"/>
      <c r="H4364" s="4561" t="n"/>
      <c r="I4364" s="4562">
        <f>XLOOKUP(B4364,'_Sys|Line_Map'!$A:$A,'_Sys|Line_Map'!$C:$C,"MISSING",0)</f>
        <v/>
      </c>
      <c r="J4364" s="4562">
        <f>XLOOKUP(B4364,'_Sys|Line_Map'!$A:$A,'_Sys|Line_Map'!$D:$D,1,0)</f>
        <v/>
      </c>
      <c r="K4364" s="4562">
        <f>IF(D4364="","",D4364*J4364)</f>
        <v/>
      </c>
      <c r="L4364" s="4562">
        <f>XLOOKUP(B4364,'_Sys|Line_Map'!$A:$A,'_Sys|Line_Map'!$B:$B,"MISSING",0)</f>
        <v/>
      </c>
    </row>
    <row r="4365">
      <c r="A4365" s="4561" t="n"/>
      <c r="B4365" s="4561" t="n"/>
      <c r="C4365" s="4561" t="n"/>
      <c r="D4365" s="4561" t="n"/>
      <c r="E4365" s="4561" t="n"/>
      <c r="F4365" s="4561" t="n"/>
      <c r="G4365" s="4561" t="n"/>
      <c r="H4365" s="4561" t="n"/>
      <c r="I4365" s="4562">
        <f>XLOOKUP(B4365,'_Sys|Line_Map'!$A:$A,'_Sys|Line_Map'!$C:$C,"MISSING",0)</f>
        <v/>
      </c>
      <c r="J4365" s="4562">
        <f>XLOOKUP(B4365,'_Sys|Line_Map'!$A:$A,'_Sys|Line_Map'!$D:$D,1,0)</f>
        <v/>
      </c>
      <c r="K4365" s="4562">
        <f>IF(D4365="","",D4365*J4365)</f>
        <v/>
      </c>
      <c r="L4365" s="4562">
        <f>XLOOKUP(B4365,'_Sys|Line_Map'!$A:$A,'_Sys|Line_Map'!$B:$B,"MISSING",0)</f>
        <v/>
      </c>
    </row>
    <row r="4366">
      <c r="A4366" s="4561" t="n"/>
      <c r="B4366" s="4561" t="n"/>
      <c r="C4366" s="4561" t="n"/>
      <c r="D4366" s="4561" t="n"/>
      <c r="E4366" s="4561" t="n"/>
      <c r="F4366" s="4561" t="n"/>
      <c r="G4366" s="4561" t="n"/>
      <c r="H4366" s="4561" t="n"/>
      <c r="I4366" s="4562">
        <f>XLOOKUP(B4366,'_Sys|Line_Map'!$A:$A,'_Sys|Line_Map'!$C:$C,"MISSING",0)</f>
        <v/>
      </c>
      <c r="J4366" s="4562">
        <f>XLOOKUP(B4366,'_Sys|Line_Map'!$A:$A,'_Sys|Line_Map'!$D:$D,1,0)</f>
        <v/>
      </c>
      <c r="K4366" s="4562">
        <f>IF(D4366="","",D4366*J4366)</f>
        <v/>
      </c>
      <c r="L4366" s="4562">
        <f>XLOOKUP(B4366,'_Sys|Line_Map'!$A:$A,'_Sys|Line_Map'!$B:$B,"MISSING",0)</f>
        <v/>
      </c>
    </row>
    <row r="4367">
      <c r="A4367" s="4561" t="n"/>
      <c r="B4367" s="4561" t="n"/>
      <c r="C4367" s="4561" t="n"/>
      <c r="D4367" s="4561" t="n"/>
      <c r="E4367" s="4561" t="n"/>
      <c r="F4367" s="4561" t="n"/>
      <c r="G4367" s="4561" t="n"/>
      <c r="H4367" s="4561" t="n"/>
      <c r="I4367" s="4562">
        <f>XLOOKUP(B4367,'_Sys|Line_Map'!$A:$A,'_Sys|Line_Map'!$C:$C,"MISSING",0)</f>
        <v/>
      </c>
      <c r="J4367" s="4562">
        <f>XLOOKUP(B4367,'_Sys|Line_Map'!$A:$A,'_Sys|Line_Map'!$D:$D,1,0)</f>
        <v/>
      </c>
      <c r="K4367" s="4562">
        <f>IF(D4367="","",D4367*J4367)</f>
        <v/>
      </c>
      <c r="L4367" s="4562">
        <f>XLOOKUP(B4367,'_Sys|Line_Map'!$A:$A,'_Sys|Line_Map'!$B:$B,"MISSING",0)</f>
        <v/>
      </c>
    </row>
    <row r="4368">
      <c r="A4368" s="4561" t="n"/>
      <c r="B4368" s="4561" t="n"/>
      <c r="C4368" s="4561" t="n"/>
      <c r="D4368" s="4561" t="n"/>
      <c r="E4368" s="4561" t="n"/>
      <c r="F4368" s="4561" t="n"/>
      <c r="G4368" s="4561" t="n"/>
      <c r="H4368" s="4561" t="n"/>
      <c r="I4368" s="4562">
        <f>XLOOKUP(B4368,'_Sys|Line_Map'!$A:$A,'_Sys|Line_Map'!$C:$C,"MISSING",0)</f>
        <v/>
      </c>
      <c r="J4368" s="4562">
        <f>XLOOKUP(B4368,'_Sys|Line_Map'!$A:$A,'_Sys|Line_Map'!$D:$D,1,0)</f>
        <v/>
      </c>
      <c r="K4368" s="4562">
        <f>IF(D4368="","",D4368*J4368)</f>
        <v/>
      </c>
      <c r="L4368" s="4562">
        <f>XLOOKUP(B4368,'_Sys|Line_Map'!$A:$A,'_Sys|Line_Map'!$B:$B,"MISSING",0)</f>
        <v/>
      </c>
    </row>
    <row r="4369">
      <c r="A4369" s="4561" t="n"/>
      <c r="B4369" s="4561" t="n"/>
      <c r="C4369" s="4561" t="n"/>
      <c r="D4369" s="4561" t="n"/>
      <c r="E4369" s="4561" t="n"/>
      <c r="F4369" s="4561" t="n"/>
      <c r="G4369" s="4561" t="n"/>
      <c r="H4369" s="4561" t="n"/>
      <c r="I4369" s="4562">
        <f>XLOOKUP(B4369,'_Sys|Line_Map'!$A:$A,'_Sys|Line_Map'!$C:$C,"MISSING",0)</f>
        <v/>
      </c>
      <c r="J4369" s="4562">
        <f>XLOOKUP(B4369,'_Sys|Line_Map'!$A:$A,'_Sys|Line_Map'!$D:$D,1,0)</f>
        <v/>
      </c>
      <c r="K4369" s="4562">
        <f>IF(D4369="","",D4369*J4369)</f>
        <v/>
      </c>
      <c r="L4369" s="4562">
        <f>XLOOKUP(B4369,'_Sys|Line_Map'!$A:$A,'_Sys|Line_Map'!$B:$B,"MISSING",0)</f>
        <v/>
      </c>
    </row>
    <row r="4370">
      <c r="A4370" s="4561" t="n"/>
      <c r="B4370" s="4561" t="n"/>
      <c r="C4370" s="4561" t="n"/>
      <c r="D4370" s="4561" t="n"/>
      <c r="E4370" s="4561" t="n"/>
      <c r="F4370" s="4561" t="n"/>
      <c r="G4370" s="4561" t="n"/>
      <c r="H4370" s="4561" t="n"/>
      <c r="I4370" s="4562">
        <f>XLOOKUP(B4370,'_Sys|Line_Map'!$A:$A,'_Sys|Line_Map'!$C:$C,"MISSING",0)</f>
        <v/>
      </c>
      <c r="J4370" s="4562">
        <f>XLOOKUP(B4370,'_Sys|Line_Map'!$A:$A,'_Sys|Line_Map'!$D:$D,1,0)</f>
        <v/>
      </c>
      <c r="K4370" s="4562">
        <f>IF(D4370="","",D4370*J4370)</f>
        <v/>
      </c>
      <c r="L4370" s="4562">
        <f>XLOOKUP(B4370,'_Sys|Line_Map'!$A:$A,'_Sys|Line_Map'!$B:$B,"MISSING",0)</f>
        <v/>
      </c>
    </row>
    <row r="4371">
      <c r="A4371" s="4561" t="n"/>
      <c r="B4371" s="4561" t="n"/>
      <c r="C4371" s="4561" t="n"/>
      <c r="D4371" s="4561" t="n"/>
      <c r="E4371" s="4561" t="n"/>
      <c r="F4371" s="4561" t="n"/>
      <c r="G4371" s="4561" t="n"/>
      <c r="H4371" s="4561" t="n"/>
      <c r="I4371" s="4562">
        <f>XLOOKUP(B4371,'_Sys|Line_Map'!$A:$A,'_Sys|Line_Map'!$C:$C,"MISSING",0)</f>
        <v/>
      </c>
      <c r="J4371" s="4562">
        <f>XLOOKUP(B4371,'_Sys|Line_Map'!$A:$A,'_Sys|Line_Map'!$D:$D,1,0)</f>
        <v/>
      </c>
      <c r="K4371" s="4562">
        <f>IF(D4371="","",D4371*J4371)</f>
        <v/>
      </c>
      <c r="L4371" s="4562">
        <f>XLOOKUP(B4371,'_Sys|Line_Map'!$A:$A,'_Sys|Line_Map'!$B:$B,"MISSING",0)</f>
        <v/>
      </c>
    </row>
    <row r="4372">
      <c r="A4372" s="4561" t="n"/>
      <c r="B4372" s="4561" t="n"/>
      <c r="C4372" s="4561" t="n"/>
      <c r="D4372" s="4561" t="n"/>
      <c r="E4372" s="4561" t="n"/>
      <c r="F4372" s="4561" t="n"/>
      <c r="G4372" s="4561" t="n"/>
      <c r="H4372" s="4561" t="n"/>
      <c r="I4372" s="4562">
        <f>XLOOKUP(B4372,'_Sys|Line_Map'!$A:$A,'_Sys|Line_Map'!$C:$C,"MISSING",0)</f>
        <v/>
      </c>
      <c r="J4372" s="4562">
        <f>XLOOKUP(B4372,'_Sys|Line_Map'!$A:$A,'_Sys|Line_Map'!$D:$D,1,0)</f>
        <v/>
      </c>
      <c r="K4372" s="4562">
        <f>IF(D4372="","",D4372*J4372)</f>
        <v/>
      </c>
      <c r="L4372" s="4562">
        <f>XLOOKUP(B4372,'_Sys|Line_Map'!$A:$A,'_Sys|Line_Map'!$B:$B,"MISSING",0)</f>
        <v/>
      </c>
    </row>
    <row r="4373">
      <c r="A4373" s="4561" t="n"/>
      <c r="B4373" s="4561" t="n"/>
      <c r="C4373" s="4561" t="n"/>
      <c r="D4373" s="4561" t="n"/>
      <c r="E4373" s="4561" t="n"/>
      <c r="F4373" s="4561" t="n"/>
      <c r="G4373" s="4561" t="n"/>
      <c r="H4373" s="4561" t="n"/>
      <c r="I4373" s="4562">
        <f>XLOOKUP(B4373,'_Sys|Line_Map'!$A:$A,'_Sys|Line_Map'!$C:$C,"MISSING",0)</f>
        <v/>
      </c>
      <c r="J4373" s="4562">
        <f>XLOOKUP(B4373,'_Sys|Line_Map'!$A:$A,'_Sys|Line_Map'!$D:$D,1,0)</f>
        <v/>
      </c>
      <c r="K4373" s="4562">
        <f>IF(D4373="","",D4373*J4373)</f>
        <v/>
      </c>
      <c r="L4373" s="4562">
        <f>XLOOKUP(B4373,'_Sys|Line_Map'!$A:$A,'_Sys|Line_Map'!$B:$B,"MISSING",0)</f>
        <v/>
      </c>
    </row>
    <row r="4374">
      <c r="A4374" s="4561" t="n"/>
      <c r="B4374" s="4561" t="n"/>
      <c r="C4374" s="4561" t="n"/>
      <c r="D4374" s="4561" t="n"/>
      <c r="E4374" s="4561" t="n"/>
      <c r="F4374" s="4561" t="n"/>
      <c r="G4374" s="4561" t="n"/>
      <c r="H4374" s="4561" t="n"/>
      <c r="I4374" s="4562">
        <f>XLOOKUP(B4374,'_Sys|Line_Map'!$A:$A,'_Sys|Line_Map'!$C:$C,"MISSING",0)</f>
        <v/>
      </c>
      <c r="J4374" s="4562">
        <f>XLOOKUP(B4374,'_Sys|Line_Map'!$A:$A,'_Sys|Line_Map'!$D:$D,1,0)</f>
        <v/>
      </c>
      <c r="K4374" s="4562">
        <f>IF(D4374="","",D4374*J4374)</f>
        <v/>
      </c>
      <c r="L4374" s="4562">
        <f>XLOOKUP(B4374,'_Sys|Line_Map'!$A:$A,'_Sys|Line_Map'!$B:$B,"MISSING",0)</f>
        <v/>
      </c>
    </row>
    <row r="4375">
      <c r="A4375" s="4561" t="n"/>
      <c r="B4375" s="4561" t="n"/>
      <c r="C4375" s="4561" t="n"/>
      <c r="D4375" s="4561" t="n"/>
      <c r="E4375" s="4561" t="n"/>
      <c r="F4375" s="4561" t="n"/>
      <c r="G4375" s="4561" t="n"/>
      <c r="H4375" s="4561" t="n"/>
      <c r="I4375" s="4562">
        <f>XLOOKUP(B4375,'_Sys|Line_Map'!$A:$A,'_Sys|Line_Map'!$C:$C,"MISSING",0)</f>
        <v/>
      </c>
      <c r="J4375" s="4562">
        <f>XLOOKUP(B4375,'_Sys|Line_Map'!$A:$A,'_Sys|Line_Map'!$D:$D,1,0)</f>
        <v/>
      </c>
      <c r="K4375" s="4562">
        <f>IF(D4375="","",D4375*J4375)</f>
        <v/>
      </c>
      <c r="L4375" s="4562">
        <f>XLOOKUP(B4375,'_Sys|Line_Map'!$A:$A,'_Sys|Line_Map'!$B:$B,"MISSING",0)</f>
        <v/>
      </c>
    </row>
    <row r="4376">
      <c r="A4376" s="4561" t="n"/>
      <c r="B4376" s="4561" t="n"/>
      <c r="C4376" s="4561" t="n"/>
      <c r="D4376" s="4561" t="n"/>
      <c r="E4376" s="4561" t="n"/>
      <c r="F4376" s="4561" t="n"/>
      <c r="G4376" s="4561" t="n"/>
      <c r="H4376" s="4561" t="n"/>
      <c r="I4376" s="4562">
        <f>XLOOKUP(B4376,'_Sys|Line_Map'!$A:$A,'_Sys|Line_Map'!$C:$C,"MISSING",0)</f>
        <v/>
      </c>
      <c r="J4376" s="4562">
        <f>XLOOKUP(B4376,'_Sys|Line_Map'!$A:$A,'_Sys|Line_Map'!$D:$D,1,0)</f>
        <v/>
      </c>
      <c r="K4376" s="4562">
        <f>IF(D4376="","",D4376*J4376)</f>
        <v/>
      </c>
      <c r="L4376" s="4562">
        <f>XLOOKUP(B4376,'_Sys|Line_Map'!$A:$A,'_Sys|Line_Map'!$B:$B,"MISSING",0)</f>
        <v/>
      </c>
    </row>
    <row r="4377">
      <c r="A4377" s="4561" t="n"/>
      <c r="B4377" s="4561" t="n"/>
      <c r="C4377" s="4561" t="n"/>
      <c r="D4377" s="4561" t="n"/>
      <c r="E4377" s="4561" t="n"/>
      <c r="F4377" s="4561" t="n"/>
      <c r="G4377" s="4561" t="n"/>
      <c r="H4377" s="4561" t="n"/>
      <c r="I4377" s="4562">
        <f>XLOOKUP(B4377,'_Sys|Line_Map'!$A:$A,'_Sys|Line_Map'!$C:$C,"MISSING",0)</f>
        <v/>
      </c>
      <c r="J4377" s="4562">
        <f>XLOOKUP(B4377,'_Sys|Line_Map'!$A:$A,'_Sys|Line_Map'!$D:$D,1,0)</f>
        <v/>
      </c>
      <c r="K4377" s="4562">
        <f>IF(D4377="","",D4377*J4377)</f>
        <v/>
      </c>
      <c r="L4377" s="4562">
        <f>XLOOKUP(B4377,'_Sys|Line_Map'!$A:$A,'_Sys|Line_Map'!$B:$B,"MISSING",0)</f>
        <v/>
      </c>
    </row>
    <row r="4378">
      <c r="A4378" s="4561" t="n"/>
      <c r="B4378" s="4561" t="n"/>
      <c r="C4378" s="4561" t="n"/>
      <c r="D4378" s="4561" t="n"/>
      <c r="E4378" s="4561" t="n"/>
      <c r="F4378" s="4561" t="n"/>
      <c r="G4378" s="4561" t="n"/>
      <c r="H4378" s="4561" t="n"/>
      <c r="I4378" s="4562">
        <f>XLOOKUP(B4378,'_Sys|Line_Map'!$A:$A,'_Sys|Line_Map'!$C:$C,"MISSING",0)</f>
        <v/>
      </c>
      <c r="J4378" s="4562">
        <f>XLOOKUP(B4378,'_Sys|Line_Map'!$A:$A,'_Sys|Line_Map'!$D:$D,1,0)</f>
        <v/>
      </c>
      <c r="K4378" s="4562">
        <f>IF(D4378="","",D4378*J4378)</f>
        <v/>
      </c>
      <c r="L4378" s="4562">
        <f>XLOOKUP(B4378,'_Sys|Line_Map'!$A:$A,'_Sys|Line_Map'!$B:$B,"MISSING",0)</f>
        <v/>
      </c>
    </row>
    <row r="4379">
      <c r="A4379" s="4561" t="n"/>
      <c r="B4379" s="4561" t="n"/>
      <c r="C4379" s="4561" t="n"/>
      <c r="D4379" s="4561" t="n"/>
      <c r="E4379" s="4561" t="n"/>
      <c r="F4379" s="4561" t="n"/>
      <c r="G4379" s="4561" t="n"/>
      <c r="H4379" s="4561" t="n"/>
      <c r="I4379" s="4562">
        <f>XLOOKUP(B4379,'_Sys|Line_Map'!$A:$A,'_Sys|Line_Map'!$C:$C,"MISSING",0)</f>
        <v/>
      </c>
      <c r="J4379" s="4562">
        <f>XLOOKUP(B4379,'_Sys|Line_Map'!$A:$A,'_Sys|Line_Map'!$D:$D,1,0)</f>
        <v/>
      </c>
      <c r="K4379" s="4562">
        <f>IF(D4379="","",D4379*J4379)</f>
        <v/>
      </c>
      <c r="L4379" s="4562">
        <f>XLOOKUP(B4379,'_Sys|Line_Map'!$A:$A,'_Sys|Line_Map'!$B:$B,"MISSING",0)</f>
        <v/>
      </c>
    </row>
    <row r="4380">
      <c r="A4380" s="4561" t="n"/>
      <c r="B4380" s="4561" t="n"/>
      <c r="C4380" s="4561" t="n"/>
      <c r="D4380" s="4561" t="n"/>
      <c r="E4380" s="4561" t="n"/>
      <c r="F4380" s="4561" t="n"/>
      <c r="G4380" s="4561" t="n"/>
      <c r="H4380" s="4561" t="n"/>
      <c r="I4380" s="4562">
        <f>XLOOKUP(B4380,'_Sys|Line_Map'!$A:$A,'_Sys|Line_Map'!$C:$C,"MISSING",0)</f>
        <v/>
      </c>
      <c r="J4380" s="4562">
        <f>XLOOKUP(B4380,'_Sys|Line_Map'!$A:$A,'_Sys|Line_Map'!$D:$D,1,0)</f>
        <v/>
      </c>
      <c r="K4380" s="4562">
        <f>IF(D4380="","",D4380*J4380)</f>
        <v/>
      </c>
      <c r="L4380" s="4562">
        <f>XLOOKUP(B4380,'_Sys|Line_Map'!$A:$A,'_Sys|Line_Map'!$B:$B,"MISSING",0)</f>
        <v/>
      </c>
    </row>
    <row r="4381">
      <c r="A4381" s="4561" t="n"/>
      <c r="B4381" s="4561" t="n"/>
      <c r="C4381" s="4561" t="n"/>
      <c r="D4381" s="4561" t="n"/>
      <c r="E4381" s="4561" t="n"/>
      <c r="F4381" s="4561" t="n"/>
      <c r="G4381" s="4561" t="n"/>
      <c r="H4381" s="4561" t="n"/>
      <c r="I4381" s="4562">
        <f>XLOOKUP(B4381,'_Sys|Line_Map'!$A:$A,'_Sys|Line_Map'!$C:$C,"MISSING",0)</f>
        <v/>
      </c>
      <c r="J4381" s="4562">
        <f>XLOOKUP(B4381,'_Sys|Line_Map'!$A:$A,'_Sys|Line_Map'!$D:$D,1,0)</f>
        <v/>
      </c>
      <c r="K4381" s="4562">
        <f>IF(D4381="","",D4381*J4381)</f>
        <v/>
      </c>
      <c r="L4381" s="4562">
        <f>XLOOKUP(B4381,'_Sys|Line_Map'!$A:$A,'_Sys|Line_Map'!$B:$B,"MISSING",0)</f>
        <v/>
      </c>
    </row>
    <row r="4382">
      <c r="A4382" s="4561" t="n"/>
      <c r="B4382" s="4561" t="n"/>
      <c r="C4382" s="4561" t="n"/>
      <c r="D4382" s="4561" t="n"/>
      <c r="E4382" s="4561" t="n"/>
      <c r="F4382" s="4561" t="n"/>
      <c r="G4382" s="4561" t="n"/>
      <c r="H4382" s="4561" t="n"/>
      <c r="I4382" s="4562">
        <f>XLOOKUP(B4382,'_Sys|Line_Map'!$A:$A,'_Sys|Line_Map'!$C:$C,"MISSING",0)</f>
        <v/>
      </c>
      <c r="J4382" s="4562">
        <f>XLOOKUP(B4382,'_Sys|Line_Map'!$A:$A,'_Sys|Line_Map'!$D:$D,1,0)</f>
        <v/>
      </c>
      <c r="K4382" s="4562">
        <f>IF(D4382="","",D4382*J4382)</f>
        <v/>
      </c>
      <c r="L4382" s="4562">
        <f>XLOOKUP(B4382,'_Sys|Line_Map'!$A:$A,'_Sys|Line_Map'!$B:$B,"MISSING",0)</f>
        <v/>
      </c>
    </row>
    <row r="4383">
      <c r="A4383" s="4561" t="n"/>
      <c r="B4383" s="4561" t="n"/>
      <c r="C4383" s="4561" t="n"/>
      <c r="D4383" s="4561" t="n"/>
      <c r="E4383" s="4561" t="n"/>
      <c r="F4383" s="4561" t="n"/>
      <c r="G4383" s="4561" t="n"/>
      <c r="H4383" s="4561" t="n"/>
      <c r="I4383" s="4562">
        <f>XLOOKUP(B4383,'_Sys|Line_Map'!$A:$A,'_Sys|Line_Map'!$C:$C,"MISSING",0)</f>
        <v/>
      </c>
      <c r="J4383" s="4562">
        <f>XLOOKUP(B4383,'_Sys|Line_Map'!$A:$A,'_Sys|Line_Map'!$D:$D,1,0)</f>
        <v/>
      </c>
      <c r="K4383" s="4562">
        <f>IF(D4383="","",D4383*J4383)</f>
        <v/>
      </c>
      <c r="L4383" s="4562">
        <f>XLOOKUP(B4383,'_Sys|Line_Map'!$A:$A,'_Sys|Line_Map'!$B:$B,"MISSING",0)</f>
        <v/>
      </c>
    </row>
    <row r="4384">
      <c r="A4384" s="4561" t="n"/>
      <c r="B4384" s="4561" t="n"/>
      <c r="C4384" s="4561" t="n"/>
      <c r="D4384" s="4561" t="n"/>
      <c r="E4384" s="4561" t="n"/>
      <c r="F4384" s="4561" t="n"/>
      <c r="G4384" s="4561" t="n"/>
      <c r="H4384" s="4561" t="n"/>
      <c r="I4384" s="4562">
        <f>XLOOKUP(B4384,'_Sys|Line_Map'!$A:$A,'_Sys|Line_Map'!$C:$C,"MISSING",0)</f>
        <v/>
      </c>
      <c r="J4384" s="4562">
        <f>XLOOKUP(B4384,'_Sys|Line_Map'!$A:$A,'_Sys|Line_Map'!$D:$D,1,0)</f>
        <v/>
      </c>
      <c r="K4384" s="4562">
        <f>IF(D4384="","",D4384*J4384)</f>
        <v/>
      </c>
      <c r="L4384" s="4562">
        <f>XLOOKUP(B4384,'_Sys|Line_Map'!$A:$A,'_Sys|Line_Map'!$B:$B,"MISSING",0)</f>
        <v/>
      </c>
    </row>
    <row r="4385">
      <c r="A4385" s="4561" t="n"/>
      <c r="B4385" s="4561" t="n"/>
      <c r="C4385" s="4561" t="n"/>
      <c r="D4385" s="4561" t="n"/>
      <c r="E4385" s="4561" t="n"/>
      <c r="F4385" s="4561" t="n"/>
      <c r="G4385" s="4561" t="n"/>
      <c r="H4385" s="4561" t="n"/>
      <c r="I4385" s="4562">
        <f>XLOOKUP(B4385,'_Sys|Line_Map'!$A:$A,'_Sys|Line_Map'!$C:$C,"MISSING",0)</f>
        <v/>
      </c>
      <c r="J4385" s="4562">
        <f>XLOOKUP(B4385,'_Sys|Line_Map'!$A:$A,'_Sys|Line_Map'!$D:$D,1,0)</f>
        <v/>
      </c>
      <c r="K4385" s="4562">
        <f>IF(D4385="","",D4385*J4385)</f>
        <v/>
      </c>
      <c r="L4385" s="4562">
        <f>XLOOKUP(B4385,'_Sys|Line_Map'!$A:$A,'_Sys|Line_Map'!$B:$B,"MISSING",0)</f>
        <v/>
      </c>
    </row>
    <row r="4386">
      <c r="A4386" s="4561" t="n"/>
      <c r="B4386" s="4561" t="n"/>
      <c r="C4386" s="4561" t="n"/>
      <c r="D4386" s="4561" t="n"/>
      <c r="E4386" s="4561" t="n"/>
      <c r="F4386" s="4561" t="n"/>
      <c r="G4386" s="4561" t="n"/>
      <c r="H4386" s="4561" t="n"/>
      <c r="I4386" s="4562">
        <f>XLOOKUP(B4386,'_Sys|Line_Map'!$A:$A,'_Sys|Line_Map'!$C:$C,"MISSING",0)</f>
        <v/>
      </c>
      <c r="J4386" s="4562">
        <f>XLOOKUP(B4386,'_Sys|Line_Map'!$A:$A,'_Sys|Line_Map'!$D:$D,1,0)</f>
        <v/>
      </c>
      <c r="K4386" s="4562">
        <f>IF(D4386="","",D4386*J4386)</f>
        <v/>
      </c>
      <c r="L4386" s="4562">
        <f>XLOOKUP(B4386,'_Sys|Line_Map'!$A:$A,'_Sys|Line_Map'!$B:$B,"MISSING",0)</f>
        <v/>
      </c>
    </row>
    <row r="4387">
      <c r="A4387" s="4561" t="n"/>
      <c r="B4387" s="4561" t="n"/>
      <c r="C4387" s="4561" t="n"/>
      <c r="D4387" s="4561" t="n"/>
      <c r="E4387" s="4561" t="n"/>
      <c r="F4387" s="4561" t="n"/>
      <c r="G4387" s="4561" t="n"/>
      <c r="H4387" s="4561" t="n"/>
      <c r="I4387" s="4562">
        <f>XLOOKUP(B4387,'_Sys|Line_Map'!$A:$A,'_Sys|Line_Map'!$C:$C,"MISSING",0)</f>
        <v/>
      </c>
      <c r="J4387" s="4562">
        <f>XLOOKUP(B4387,'_Sys|Line_Map'!$A:$A,'_Sys|Line_Map'!$D:$D,1,0)</f>
        <v/>
      </c>
      <c r="K4387" s="4562">
        <f>IF(D4387="","",D4387*J4387)</f>
        <v/>
      </c>
      <c r="L4387" s="4562">
        <f>XLOOKUP(B4387,'_Sys|Line_Map'!$A:$A,'_Sys|Line_Map'!$B:$B,"MISSING",0)</f>
        <v/>
      </c>
    </row>
    <row r="4388">
      <c r="A4388" s="4561" t="n"/>
      <c r="B4388" s="4561" t="n"/>
      <c r="C4388" s="4561" t="n"/>
      <c r="D4388" s="4561" t="n"/>
      <c r="E4388" s="4561" t="n"/>
      <c r="F4388" s="4561" t="n"/>
      <c r="G4388" s="4561" t="n"/>
      <c r="H4388" s="4561" t="n"/>
      <c r="I4388" s="4562">
        <f>XLOOKUP(B4388,'_Sys|Line_Map'!$A:$A,'_Sys|Line_Map'!$C:$C,"MISSING",0)</f>
        <v/>
      </c>
      <c r="J4388" s="4562">
        <f>XLOOKUP(B4388,'_Sys|Line_Map'!$A:$A,'_Sys|Line_Map'!$D:$D,1,0)</f>
        <v/>
      </c>
      <c r="K4388" s="4562">
        <f>IF(D4388="","",D4388*J4388)</f>
        <v/>
      </c>
      <c r="L4388" s="4562">
        <f>XLOOKUP(B4388,'_Sys|Line_Map'!$A:$A,'_Sys|Line_Map'!$B:$B,"MISSING",0)</f>
        <v/>
      </c>
    </row>
    <row r="4389">
      <c r="A4389" s="4561" t="n"/>
      <c r="B4389" s="4561" t="n"/>
      <c r="C4389" s="4561" t="n"/>
      <c r="D4389" s="4561" t="n"/>
      <c r="E4389" s="4561" t="n"/>
      <c r="F4389" s="4561" t="n"/>
      <c r="G4389" s="4561" t="n"/>
      <c r="H4389" s="4561" t="n"/>
      <c r="I4389" s="4562">
        <f>XLOOKUP(B4389,'_Sys|Line_Map'!$A:$A,'_Sys|Line_Map'!$C:$C,"MISSING",0)</f>
        <v/>
      </c>
      <c r="J4389" s="4562">
        <f>XLOOKUP(B4389,'_Sys|Line_Map'!$A:$A,'_Sys|Line_Map'!$D:$D,1,0)</f>
        <v/>
      </c>
      <c r="K4389" s="4562">
        <f>IF(D4389="","",D4389*J4389)</f>
        <v/>
      </c>
      <c r="L4389" s="4562">
        <f>XLOOKUP(B4389,'_Sys|Line_Map'!$A:$A,'_Sys|Line_Map'!$B:$B,"MISSING",0)</f>
        <v/>
      </c>
    </row>
    <row r="4390">
      <c r="A4390" s="4561" t="n"/>
      <c r="B4390" s="4561" t="n"/>
      <c r="C4390" s="4561" t="n"/>
      <c r="D4390" s="4561" t="n"/>
      <c r="E4390" s="4561" t="n"/>
      <c r="F4390" s="4561" t="n"/>
      <c r="G4390" s="4561" t="n"/>
      <c r="H4390" s="4561" t="n"/>
      <c r="I4390" s="4562">
        <f>XLOOKUP(B4390,'_Sys|Line_Map'!$A:$A,'_Sys|Line_Map'!$C:$C,"MISSING",0)</f>
        <v/>
      </c>
      <c r="J4390" s="4562">
        <f>XLOOKUP(B4390,'_Sys|Line_Map'!$A:$A,'_Sys|Line_Map'!$D:$D,1,0)</f>
        <v/>
      </c>
      <c r="K4390" s="4562">
        <f>IF(D4390="","",D4390*J4390)</f>
        <v/>
      </c>
      <c r="L4390" s="4562">
        <f>XLOOKUP(B4390,'_Sys|Line_Map'!$A:$A,'_Sys|Line_Map'!$B:$B,"MISSING",0)</f>
        <v/>
      </c>
    </row>
    <row r="4391">
      <c r="A4391" s="4561" t="n"/>
      <c r="B4391" s="4561" t="n"/>
      <c r="C4391" s="4561" t="n"/>
      <c r="D4391" s="4561" t="n"/>
      <c r="E4391" s="4561" t="n"/>
      <c r="F4391" s="4561" t="n"/>
      <c r="G4391" s="4561" t="n"/>
      <c r="H4391" s="4561" t="n"/>
      <c r="I4391" s="4562">
        <f>XLOOKUP(B4391,'_Sys|Line_Map'!$A:$A,'_Sys|Line_Map'!$C:$C,"MISSING",0)</f>
        <v/>
      </c>
      <c r="J4391" s="4562">
        <f>XLOOKUP(B4391,'_Sys|Line_Map'!$A:$A,'_Sys|Line_Map'!$D:$D,1,0)</f>
        <v/>
      </c>
      <c r="K4391" s="4562">
        <f>IF(D4391="","",D4391*J4391)</f>
        <v/>
      </c>
      <c r="L4391" s="4562">
        <f>XLOOKUP(B4391,'_Sys|Line_Map'!$A:$A,'_Sys|Line_Map'!$B:$B,"MISSING",0)</f>
        <v/>
      </c>
    </row>
    <row r="4392">
      <c r="A4392" s="4561" t="n"/>
      <c r="B4392" s="4561" t="n"/>
      <c r="C4392" s="4561" t="n"/>
      <c r="D4392" s="4561" t="n"/>
      <c r="E4392" s="4561" t="n"/>
      <c r="F4392" s="4561" t="n"/>
      <c r="G4392" s="4561" t="n"/>
      <c r="H4392" s="4561" t="n"/>
      <c r="I4392" s="4562">
        <f>XLOOKUP(B4392,'_Sys|Line_Map'!$A:$A,'_Sys|Line_Map'!$C:$C,"MISSING",0)</f>
        <v/>
      </c>
      <c r="J4392" s="4562">
        <f>XLOOKUP(B4392,'_Sys|Line_Map'!$A:$A,'_Sys|Line_Map'!$D:$D,1,0)</f>
        <v/>
      </c>
      <c r="K4392" s="4562">
        <f>IF(D4392="","",D4392*J4392)</f>
        <v/>
      </c>
      <c r="L4392" s="4562">
        <f>XLOOKUP(B4392,'_Sys|Line_Map'!$A:$A,'_Sys|Line_Map'!$B:$B,"MISSING",0)</f>
        <v/>
      </c>
    </row>
    <row r="4393">
      <c r="A4393" s="4561" t="n"/>
      <c r="B4393" s="4561" t="n"/>
      <c r="C4393" s="4561" t="n"/>
      <c r="D4393" s="4561" t="n"/>
      <c r="E4393" s="4561" t="n"/>
      <c r="F4393" s="4561" t="n"/>
      <c r="G4393" s="4561" t="n"/>
      <c r="H4393" s="4561" t="n"/>
      <c r="I4393" s="4562">
        <f>XLOOKUP(B4393,'_Sys|Line_Map'!$A:$A,'_Sys|Line_Map'!$C:$C,"MISSING",0)</f>
        <v/>
      </c>
      <c r="J4393" s="4562">
        <f>XLOOKUP(B4393,'_Sys|Line_Map'!$A:$A,'_Sys|Line_Map'!$D:$D,1,0)</f>
        <v/>
      </c>
      <c r="K4393" s="4562">
        <f>IF(D4393="","",D4393*J4393)</f>
        <v/>
      </c>
      <c r="L4393" s="4562">
        <f>XLOOKUP(B4393,'_Sys|Line_Map'!$A:$A,'_Sys|Line_Map'!$B:$B,"MISSING",0)</f>
        <v/>
      </c>
    </row>
    <row r="4394">
      <c r="A4394" s="4561" t="n"/>
      <c r="B4394" s="4561" t="n"/>
      <c r="C4394" s="4561" t="n"/>
      <c r="D4394" s="4561" t="n"/>
      <c r="E4394" s="4561" t="n"/>
      <c r="F4394" s="4561" t="n"/>
      <c r="G4394" s="4561" t="n"/>
      <c r="H4394" s="4561" t="n"/>
      <c r="I4394" s="4562">
        <f>XLOOKUP(B4394,'_Sys|Line_Map'!$A:$A,'_Sys|Line_Map'!$C:$C,"MISSING",0)</f>
        <v/>
      </c>
      <c r="J4394" s="4562">
        <f>XLOOKUP(B4394,'_Sys|Line_Map'!$A:$A,'_Sys|Line_Map'!$D:$D,1,0)</f>
        <v/>
      </c>
      <c r="K4394" s="4562">
        <f>IF(D4394="","",D4394*J4394)</f>
        <v/>
      </c>
      <c r="L4394" s="4562">
        <f>XLOOKUP(B4394,'_Sys|Line_Map'!$A:$A,'_Sys|Line_Map'!$B:$B,"MISSING",0)</f>
        <v/>
      </c>
    </row>
    <row r="4395">
      <c r="A4395" s="4561" t="n"/>
      <c r="B4395" s="4561" t="n"/>
      <c r="C4395" s="4561" t="n"/>
      <c r="D4395" s="4561" t="n"/>
      <c r="E4395" s="4561" t="n"/>
      <c r="F4395" s="4561" t="n"/>
      <c r="G4395" s="4561" t="n"/>
      <c r="H4395" s="4561" t="n"/>
      <c r="I4395" s="4562">
        <f>XLOOKUP(B4395,'_Sys|Line_Map'!$A:$A,'_Sys|Line_Map'!$C:$C,"MISSING",0)</f>
        <v/>
      </c>
      <c r="J4395" s="4562">
        <f>XLOOKUP(B4395,'_Sys|Line_Map'!$A:$A,'_Sys|Line_Map'!$D:$D,1,0)</f>
        <v/>
      </c>
      <c r="K4395" s="4562">
        <f>IF(D4395="","",D4395*J4395)</f>
        <v/>
      </c>
      <c r="L4395" s="4562">
        <f>XLOOKUP(B4395,'_Sys|Line_Map'!$A:$A,'_Sys|Line_Map'!$B:$B,"MISSING",0)</f>
        <v/>
      </c>
    </row>
    <row r="4396">
      <c r="A4396" s="4561" t="n"/>
      <c r="B4396" s="4561" t="n"/>
      <c r="C4396" s="4561" t="n"/>
      <c r="D4396" s="4561" t="n"/>
      <c r="E4396" s="4561" t="n"/>
      <c r="F4396" s="4561" t="n"/>
      <c r="G4396" s="4561" t="n"/>
      <c r="H4396" s="4561" t="n"/>
      <c r="I4396" s="4562">
        <f>XLOOKUP(B4396,'_Sys|Line_Map'!$A:$A,'_Sys|Line_Map'!$C:$C,"MISSING",0)</f>
        <v/>
      </c>
      <c r="J4396" s="4562">
        <f>XLOOKUP(B4396,'_Sys|Line_Map'!$A:$A,'_Sys|Line_Map'!$D:$D,1,0)</f>
        <v/>
      </c>
      <c r="K4396" s="4562">
        <f>IF(D4396="","",D4396*J4396)</f>
        <v/>
      </c>
      <c r="L4396" s="4562">
        <f>XLOOKUP(B4396,'_Sys|Line_Map'!$A:$A,'_Sys|Line_Map'!$B:$B,"MISSING",0)</f>
        <v/>
      </c>
    </row>
    <row r="4397">
      <c r="A4397" s="4561" t="n"/>
      <c r="B4397" s="4561" t="n"/>
      <c r="C4397" s="4561" t="n"/>
      <c r="D4397" s="4561" t="n"/>
      <c r="E4397" s="4561" t="n"/>
      <c r="F4397" s="4561" t="n"/>
      <c r="G4397" s="4561" t="n"/>
      <c r="H4397" s="4561" t="n"/>
      <c r="I4397" s="4562">
        <f>XLOOKUP(B4397,'_Sys|Line_Map'!$A:$A,'_Sys|Line_Map'!$C:$C,"MISSING",0)</f>
        <v/>
      </c>
      <c r="J4397" s="4562">
        <f>XLOOKUP(B4397,'_Sys|Line_Map'!$A:$A,'_Sys|Line_Map'!$D:$D,1,0)</f>
        <v/>
      </c>
      <c r="K4397" s="4562">
        <f>IF(D4397="","",D4397*J4397)</f>
        <v/>
      </c>
      <c r="L4397" s="4562">
        <f>XLOOKUP(B4397,'_Sys|Line_Map'!$A:$A,'_Sys|Line_Map'!$B:$B,"MISSING",0)</f>
        <v/>
      </c>
    </row>
    <row r="4398">
      <c r="A4398" s="4561" t="n"/>
      <c r="B4398" s="4561" t="n"/>
      <c r="C4398" s="4561" t="n"/>
      <c r="D4398" s="4561" t="n"/>
      <c r="E4398" s="4561" t="n"/>
      <c r="F4398" s="4561" t="n"/>
      <c r="G4398" s="4561" t="n"/>
      <c r="H4398" s="4561" t="n"/>
      <c r="I4398" s="4562">
        <f>XLOOKUP(B4398,'_Sys|Line_Map'!$A:$A,'_Sys|Line_Map'!$C:$C,"MISSING",0)</f>
        <v/>
      </c>
      <c r="J4398" s="4562">
        <f>XLOOKUP(B4398,'_Sys|Line_Map'!$A:$A,'_Sys|Line_Map'!$D:$D,1,0)</f>
        <v/>
      </c>
      <c r="K4398" s="4562">
        <f>IF(D4398="","",D4398*J4398)</f>
        <v/>
      </c>
      <c r="L4398" s="4562">
        <f>XLOOKUP(B4398,'_Sys|Line_Map'!$A:$A,'_Sys|Line_Map'!$B:$B,"MISSING",0)</f>
        <v/>
      </c>
    </row>
    <row r="4399">
      <c r="A4399" s="4561" t="n"/>
      <c r="B4399" s="4561" t="n"/>
      <c r="C4399" s="4561" t="n"/>
      <c r="D4399" s="4561" t="n"/>
      <c r="E4399" s="4561" t="n"/>
      <c r="F4399" s="4561" t="n"/>
      <c r="G4399" s="4561" t="n"/>
      <c r="H4399" s="4561" t="n"/>
      <c r="I4399" s="4562">
        <f>XLOOKUP(B4399,'_Sys|Line_Map'!$A:$A,'_Sys|Line_Map'!$C:$C,"MISSING",0)</f>
        <v/>
      </c>
      <c r="J4399" s="4562">
        <f>XLOOKUP(B4399,'_Sys|Line_Map'!$A:$A,'_Sys|Line_Map'!$D:$D,1,0)</f>
        <v/>
      </c>
      <c r="K4399" s="4562">
        <f>IF(D4399="","",D4399*J4399)</f>
        <v/>
      </c>
      <c r="L4399" s="4562">
        <f>XLOOKUP(B4399,'_Sys|Line_Map'!$A:$A,'_Sys|Line_Map'!$B:$B,"MISSING",0)</f>
        <v/>
      </c>
    </row>
    <row r="4400">
      <c r="A4400" s="4561" t="n"/>
      <c r="B4400" s="4561" t="n"/>
      <c r="C4400" s="4561" t="n"/>
      <c r="D4400" s="4561" t="n"/>
      <c r="E4400" s="4561" t="n"/>
      <c r="F4400" s="4561" t="n"/>
      <c r="G4400" s="4561" t="n"/>
      <c r="H4400" s="4561" t="n"/>
      <c r="I4400" s="4562">
        <f>XLOOKUP(B4400,'_Sys|Line_Map'!$A:$A,'_Sys|Line_Map'!$C:$C,"MISSING",0)</f>
        <v/>
      </c>
      <c r="J4400" s="4562">
        <f>XLOOKUP(B4400,'_Sys|Line_Map'!$A:$A,'_Sys|Line_Map'!$D:$D,1,0)</f>
        <v/>
      </c>
      <c r="K4400" s="4562">
        <f>IF(D4400="","",D4400*J4400)</f>
        <v/>
      </c>
      <c r="L4400" s="4562">
        <f>XLOOKUP(B4400,'_Sys|Line_Map'!$A:$A,'_Sys|Line_Map'!$B:$B,"MISSING",0)</f>
        <v/>
      </c>
    </row>
    <row r="4401">
      <c r="A4401" s="4561" t="n"/>
      <c r="B4401" s="4561" t="n"/>
      <c r="C4401" s="4561" t="n"/>
      <c r="D4401" s="4561" t="n"/>
      <c r="E4401" s="4561" t="n"/>
      <c r="F4401" s="4561" t="n"/>
      <c r="G4401" s="4561" t="n"/>
      <c r="H4401" s="4561" t="n"/>
      <c r="I4401" s="4562">
        <f>XLOOKUP(B4401,'_Sys|Line_Map'!$A:$A,'_Sys|Line_Map'!$C:$C,"MISSING",0)</f>
        <v/>
      </c>
      <c r="J4401" s="4562">
        <f>XLOOKUP(B4401,'_Sys|Line_Map'!$A:$A,'_Sys|Line_Map'!$D:$D,1,0)</f>
        <v/>
      </c>
      <c r="K4401" s="4562">
        <f>IF(D4401="","",D4401*J4401)</f>
        <v/>
      </c>
      <c r="L4401" s="4562">
        <f>XLOOKUP(B4401,'_Sys|Line_Map'!$A:$A,'_Sys|Line_Map'!$B:$B,"MISSING",0)</f>
        <v/>
      </c>
    </row>
    <row r="4402">
      <c r="A4402" s="4561" t="n"/>
      <c r="B4402" s="4561" t="n"/>
      <c r="C4402" s="4561" t="n"/>
      <c r="D4402" s="4561" t="n"/>
      <c r="E4402" s="4561" t="n"/>
      <c r="F4402" s="4561" t="n"/>
      <c r="G4402" s="4561" t="n"/>
      <c r="H4402" s="4561" t="n"/>
      <c r="I4402" s="4562">
        <f>XLOOKUP(B4402,'_Sys|Line_Map'!$A:$A,'_Sys|Line_Map'!$C:$C,"MISSING",0)</f>
        <v/>
      </c>
      <c r="J4402" s="4562">
        <f>XLOOKUP(B4402,'_Sys|Line_Map'!$A:$A,'_Sys|Line_Map'!$D:$D,1,0)</f>
        <v/>
      </c>
      <c r="K4402" s="4562">
        <f>IF(D4402="","",D4402*J4402)</f>
        <v/>
      </c>
      <c r="L4402" s="4562">
        <f>XLOOKUP(B4402,'_Sys|Line_Map'!$A:$A,'_Sys|Line_Map'!$B:$B,"MISSING",0)</f>
        <v/>
      </c>
    </row>
    <row r="4403">
      <c r="A4403" s="4561" t="n"/>
      <c r="B4403" s="4561" t="n"/>
      <c r="C4403" s="4561" t="n"/>
      <c r="D4403" s="4561" t="n"/>
      <c r="E4403" s="4561" t="n"/>
      <c r="F4403" s="4561" t="n"/>
      <c r="G4403" s="4561" t="n"/>
      <c r="H4403" s="4561" t="n"/>
      <c r="I4403" s="4562">
        <f>XLOOKUP(B4403,'_Sys|Line_Map'!$A:$A,'_Sys|Line_Map'!$C:$C,"MISSING",0)</f>
        <v/>
      </c>
      <c r="J4403" s="4562">
        <f>XLOOKUP(B4403,'_Sys|Line_Map'!$A:$A,'_Sys|Line_Map'!$D:$D,1,0)</f>
        <v/>
      </c>
      <c r="K4403" s="4562">
        <f>IF(D4403="","",D4403*J4403)</f>
        <v/>
      </c>
      <c r="L4403" s="4562">
        <f>XLOOKUP(B4403,'_Sys|Line_Map'!$A:$A,'_Sys|Line_Map'!$B:$B,"MISSING",0)</f>
        <v/>
      </c>
    </row>
    <row r="4404">
      <c r="A4404" s="4561" t="n"/>
      <c r="B4404" s="4561" t="n"/>
      <c r="C4404" s="4561" t="n"/>
      <c r="D4404" s="4561" t="n"/>
      <c r="E4404" s="4561" t="n"/>
      <c r="F4404" s="4561" t="n"/>
      <c r="G4404" s="4561" t="n"/>
      <c r="H4404" s="4561" t="n"/>
      <c r="I4404" s="4562">
        <f>XLOOKUP(B4404,'_Sys|Line_Map'!$A:$A,'_Sys|Line_Map'!$C:$C,"MISSING",0)</f>
        <v/>
      </c>
      <c r="J4404" s="4562">
        <f>XLOOKUP(B4404,'_Sys|Line_Map'!$A:$A,'_Sys|Line_Map'!$D:$D,1,0)</f>
        <v/>
      </c>
      <c r="K4404" s="4562">
        <f>IF(D4404="","",D4404*J4404)</f>
        <v/>
      </c>
      <c r="L4404" s="4562">
        <f>XLOOKUP(B4404,'_Sys|Line_Map'!$A:$A,'_Sys|Line_Map'!$B:$B,"MISSING",0)</f>
        <v/>
      </c>
    </row>
    <row r="4405">
      <c r="A4405" s="4561" t="n"/>
      <c r="B4405" s="4561" t="n"/>
      <c r="C4405" s="4561" t="n"/>
      <c r="D4405" s="4561" t="n"/>
      <c r="E4405" s="4561" t="n"/>
      <c r="F4405" s="4561" t="n"/>
      <c r="G4405" s="4561" t="n"/>
      <c r="H4405" s="4561" t="n"/>
      <c r="I4405" s="4562">
        <f>XLOOKUP(B4405,'_Sys|Line_Map'!$A:$A,'_Sys|Line_Map'!$C:$C,"MISSING",0)</f>
        <v/>
      </c>
      <c r="J4405" s="4562">
        <f>XLOOKUP(B4405,'_Sys|Line_Map'!$A:$A,'_Sys|Line_Map'!$D:$D,1,0)</f>
        <v/>
      </c>
      <c r="K4405" s="4562">
        <f>IF(D4405="","",D4405*J4405)</f>
        <v/>
      </c>
      <c r="L4405" s="4562">
        <f>XLOOKUP(B4405,'_Sys|Line_Map'!$A:$A,'_Sys|Line_Map'!$B:$B,"MISSING",0)</f>
        <v/>
      </c>
    </row>
    <row r="4406">
      <c r="A4406" s="4561" t="n"/>
      <c r="B4406" s="4561" t="n"/>
      <c r="C4406" s="4561" t="n"/>
      <c r="D4406" s="4561" t="n"/>
      <c r="E4406" s="4561" t="n"/>
      <c r="F4406" s="4561" t="n"/>
      <c r="G4406" s="4561" t="n"/>
      <c r="H4406" s="4561" t="n"/>
      <c r="I4406" s="4562">
        <f>XLOOKUP(B4406,'_Sys|Line_Map'!$A:$A,'_Sys|Line_Map'!$C:$C,"MISSING",0)</f>
        <v/>
      </c>
      <c r="J4406" s="4562">
        <f>XLOOKUP(B4406,'_Sys|Line_Map'!$A:$A,'_Sys|Line_Map'!$D:$D,1,0)</f>
        <v/>
      </c>
      <c r="K4406" s="4562">
        <f>IF(D4406="","",D4406*J4406)</f>
        <v/>
      </c>
      <c r="L4406" s="4562">
        <f>XLOOKUP(B4406,'_Sys|Line_Map'!$A:$A,'_Sys|Line_Map'!$B:$B,"MISSING",0)</f>
        <v/>
      </c>
    </row>
    <row r="4407">
      <c r="A4407" s="4561" t="n"/>
      <c r="B4407" s="4561" t="n"/>
      <c r="C4407" s="4561" t="n"/>
      <c r="D4407" s="4561" t="n"/>
      <c r="E4407" s="4561" t="n"/>
      <c r="F4407" s="4561" t="n"/>
      <c r="G4407" s="4561" t="n"/>
      <c r="H4407" s="4561" t="n"/>
      <c r="I4407" s="4562">
        <f>XLOOKUP(B4407,'_Sys|Line_Map'!$A:$A,'_Sys|Line_Map'!$C:$C,"MISSING",0)</f>
        <v/>
      </c>
      <c r="J4407" s="4562">
        <f>XLOOKUP(B4407,'_Sys|Line_Map'!$A:$A,'_Sys|Line_Map'!$D:$D,1,0)</f>
        <v/>
      </c>
      <c r="K4407" s="4562">
        <f>IF(D4407="","",D4407*J4407)</f>
        <v/>
      </c>
      <c r="L4407" s="4562">
        <f>XLOOKUP(B4407,'_Sys|Line_Map'!$A:$A,'_Sys|Line_Map'!$B:$B,"MISSING",0)</f>
        <v/>
      </c>
    </row>
    <row r="4408">
      <c r="A4408" s="4561" t="n"/>
      <c r="B4408" s="4561" t="n"/>
      <c r="C4408" s="4561" t="n"/>
      <c r="D4408" s="4561" t="n"/>
      <c r="E4408" s="4561" t="n"/>
      <c r="F4408" s="4561" t="n"/>
      <c r="G4408" s="4561" t="n"/>
      <c r="H4408" s="4561" t="n"/>
      <c r="I4408" s="4562">
        <f>XLOOKUP(B4408,'_Sys|Line_Map'!$A:$A,'_Sys|Line_Map'!$C:$C,"MISSING",0)</f>
        <v/>
      </c>
      <c r="J4408" s="4562">
        <f>XLOOKUP(B4408,'_Sys|Line_Map'!$A:$A,'_Sys|Line_Map'!$D:$D,1,0)</f>
        <v/>
      </c>
      <c r="K4408" s="4562">
        <f>IF(D4408="","",D4408*J4408)</f>
        <v/>
      </c>
      <c r="L4408" s="4562">
        <f>XLOOKUP(B4408,'_Sys|Line_Map'!$A:$A,'_Sys|Line_Map'!$B:$B,"MISSING",0)</f>
        <v/>
      </c>
    </row>
    <row r="4409">
      <c r="A4409" s="4561" t="n"/>
      <c r="B4409" s="4561" t="n"/>
      <c r="C4409" s="4561" t="n"/>
      <c r="D4409" s="4561" t="n"/>
      <c r="E4409" s="4561" t="n"/>
      <c r="F4409" s="4561" t="n"/>
      <c r="G4409" s="4561" t="n"/>
      <c r="H4409" s="4561" t="n"/>
      <c r="I4409" s="4562">
        <f>XLOOKUP(B4409,'_Sys|Line_Map'!$A:$A,'_Sys|Line_Map'!$C:$C,"MISSING",0)</f>
        <v/>
      </c>
      <c r="J4409" s="4562">
        <f>XLOOKUP(B4409,'_Sys|Line_Map'!$A:$A,'_Sys|Line_Map'!$D:$D,1,0)</f>
        <v/>
      </c>
      <c r="K4409" s="4562">
        <f>IF(D4409="","",D4409*J4409)</f>
        <v/>
      </c>
      <c r="L4409" s="4562">
        <f>XLOOKUP(B4409,'_Sys|Line_Map'!$A:$A,'_Sys|Line_Map'!$B:$B,"MISSING",0)</f>
        <v/>
      </c>
    </row>
    <row r="4410">
      <c r="A4410" s="4561" t="n"/>
      <c r="B4410" s="4561" t="n"/>
      <c r="C4410" s="4561" t="n"/>
      <c r="D4410" s="4561" t="n"/>
      <c r="E4410" s="4561" t="n"/>
      <c r="F4410" s="4561" t="n"/>
      <c r="G4410" s="4561" t="n"/>
      <c r="H4410" s="4561" t="n"/>
      <c r="I4410" s="4562">
        <f>XLOOKUP(B4410,'_Sys|Line_Map'!$A:$A,'_Sys|Line_Map'!$C:$C,"MISSING",0)</f>
        <v/>
      </c>
      <c r="J4410" s="4562">
        <f>XLOOKUP(B4410,'_Sys|Line_Map'!$A:$A,'_Sys|Line_Map'!$D:$D,1,0)</f>
        <v/>
      </c>
      <c r="K4410" s="4562">
        <f>IF(D4410="","",D4410*J4410)</f>
        <v/>
      </c>
      <c r="L4410" s="4562">
        <f>XLOOKUP(B4410,'_Sys|Line_Map'!$A:$A,'_Sys|Line_Map'!$B:$B,"MISSING",0)</f>
        <v/>
      </c>
    </row>
    <row r="4411">
      <c r="A4411" s="4561" t="n"/>
      <c r="B4411" s="4561" t="n"/>
      <c r="C4411" s="4561" t="n"/>
      <c r="D4411" s="4561" t="n"/>
      <c r="E4411" s="4561" t="n"/>
      <c r="F4411" s="4561" t="n"/>
      <c r="G4411" s="4561" t="n"/>
      <c r="H4411" s="4561" t="n"/>
      <c r="I4411" s="4562">
        <f>XLOOKUP(B4411,'_Sys|Line_Map'!$A:$A,'_Sys|Line_Map'!$C:$C,"MISSING",0)</f>
        <v/>
      </c>
      <c r="J4411" s="4562">
        <f>XLOOKUP(B4411,'_Sys|Line_Map'!$A:$A,'_Sys|Line_Map'!$D:$D,1,0)</f>
        <v/>
      </c>
      <c r="K4411" s="4562">
        <f>IF(D4411="","",D4411*J4411)</f>
        <v/>
      </c>
      <c r="L4411" s="4562">
        <f>XLOOKUP(B4411,'_Sys|Line_Map'!$A:$A,'_Sys|Line_Map'!$B:$B,"MISSING",0)</f>
        <v/>
      </c>
    </row>
    <row r="4412">
      <c r="A4412" s="4561" t="n"/>
      <c r="B4412" s="4561" t="n"/>
      <c r="C4412" s="4561" t="n"/>
      <c r="D4412" s="4561" t="n"/>
      <c r="E4412" s="4561" t="n"/>
      <c r="F4412" s="4561" t="n"/>
      <c r="G4412" s="4561" t="n"/>
      <c r="H4412" s="4561" t="n"/>
      <c r="I4412" s="4562">
        <f>XLOOKUP(B4412,'_Sys|Line_Map'!$A:$A,'_Sys|Line_Map'!$C:$C,"MISSING",0)</f>
        <v/>
      </c>
      <c r="J4412" s="4562">
        <f>XLOOKUP(B4412,'_Sys|Line_Map'!$A:$A,'_Sys|Line_Map'!$D:$D,1,0)</f>
        <v/>
      </c>
      <c r="K4412" s="4562">
        <f>IF(D4412="","",D4412*J4412)</f>
        <v/>
      </c>
      <c r="L4412" s="4562">
        <f>XLOOKUP(B4412,'_Sys|Line_Map'!$A:$A,'_Sys|Line_Map'!$B:$B,"MISSING",0)</f>
        <v/>
      </c>
    </row>
    <row r="4413">
      <c r="A4413" s="4561" t="n"/>
      <c r="B4413" s="4561" t="n"/>
      <c r="C4413" s="4561" t="n"/>
      <c r="D4413" s="4561" t="n"/>
      <c r="E4413" s="4561" t="n"/>
      <c r="F4413" s="4561" t="n"/>
      <c r="G4413" s="4561" t="n"/>
      <c r="H4413" s="4561" t="n"/>
      <c r="I4413" s="4562">
        <f>XLOOKUP(B4413,'_Sys|Line_Map'!$A:$A,'_Sys|Line_Map'!$C:$C,"MISSING",0)</f>
        <v/>
      </c>
      <c r="J4413" s="4562">
        <f>XLOOKUP(B4413,'_Sys|Line_Map'!$A:$A,'_Sys|Line_Map'!$D:$D,1,0)</f>
        <v/>
      </c>
      <c r="K4413" s="4562">
        <f>IF(D4413="","",D4413*J4413)</f>
        <v/>
      </c>
      <c r="L4413" s="4562">
        <f>XLOOKUP(B4413,'_Sys|Line_Map'!$A:$A,'_Sys|Line_Map'!$B:$B,"MISSING",0)</f>
        <v/>
      </c>
    </row>
    <row r="4414">
      <c r="A4414" s="4561" t="n"/>
      <c r="B4414" s="4561" t="n"/>
      <c r="C4414" s="4561" t="n"/>
      <c r="D4414" s="4561" t="n"/>
      <c r="E4414" s="4561" t="n"/>
      <c r="F4414" s="4561" t="n"/>
      <c r="G4414" s="4561" t="n"/>
      <c r="H4414" s="4561" t="n"/>
      <c r="I4414" s="4562">
        <f>XLOOKUP(B4414,'_Sys|Line_Map'!$A:$A,'_Sys|Line_Map'!$C:$C,"MISSING",0)</f>
        <v/>
      </c>
      <c r="J4414" s="4562">
        <f>XLOOKUP(B4414,'_Sys|Line_Map'!$A:$A,'_Sys|Line_Map'!$D:$D,1,0)</f>
        <v/>
      </c>
      <c r="K4414" s="4562">
        <f>IF(D4414="","",D4414*J4414)</f>
        <v/>
      </c>
      <c r="L4414" s="4562">
        <f>XLOOKUP(B4414,'_Sys|Line_Map'!$A:$A,'_Sys|Line_Map'!$B:$B,"MISSING",0)</f>
        <v/>
      </c>
    </row>
    <row r="4415">
      <c r="A4415" s="4561" t="n"/>
      <c r="B4415" s="4561" t="n"/>
      <c r="C4415" s="4561" t="n"/>
      <c r="D4415" s="4561" t="n"/>
      <c r="E4415" s="4561" t="n"/>
      <c r="F4415" s="4561" t="n"/>
      <c r="G4415" s="4561" t="n"/>
      <c r="H4415" s="4561" t="n"/>
      <c r="I4415" s="4562">
        <f>XLOOKUP(B4415,'_Sys|Line_Map'!$A:$A,'_Sys|Line_Map'!$C:$C,"MISSING",0)</f>
        <v/>
      </c>
      <c r="J4415" s="4562">
        <f>XLOOKUP(B4415,'_Sys|Line_Map'!$A:$A,'_Sys|Line_Map'!$D:$D,1,0)</f>
        <v/>
      </c>
      <c r="K4415" s="4562">
        <f>IF(D4415="","",D4415*J4415)</f>
        <v/>
      </c>
      <c r="L4415" s="4562">
        <f>XLOOKUP(B4415,'_Sys|Line_Map'!$A:$A,'_Sys|Line_Map'!$B:$B,"MISSING",0)</f>
        <v/>
      </c>
    </row>
    <row r="4416">
      <c r="A4416" s="4561" t="n"/>
      <c r="B4416" s="4561" t="n"/>
      <c r="C4416" s="4561" t="n"/>
      <c r="D4416" s="4561" t="n"/>
      <c r="E4416" s="4561" t="n"/>
      <c r="F4416" s="4561" t="n"/>
      <c r="G4416" s="4561" t="n"/>
      <c r="H4416" s="4561" t="n"/>
      <c r="I4416" s="4562">
        <f>XLOOKUP(B4416,'_Sys|Line_Map'!$A:$A,'_Sys|Line_Map'!$C:$C,"MISSING",0)</f>
        <v/>
      </c>
      <c r="J4416" s="4562">
        <f>XLOOKUP(B4416,'_Sys|Line_Map'!$A:$A,'_Sys|Line_Map'!$D:$D,1,0)</f>
        <v/>
      </c>
      <c r="K4416" s="4562">
        <f>IF(D4416="","",D4416*J4416)</f>
        <v/>
      </c>
      <c r="L4416" s="4562">
        <f>XLOOKUP(B4416,'_Sys|Line_Map'!$A:$A,'_Sys|Line_Map'!$B:$B,"MISSING",0)</f>
        <v/>
      </c>
    </row>
    <row r="4417">
      <c r="A4417" s="4561" t="n"/>
      <c r="B4417" s="4561" t="n"/>
      <c r="C4417" s="4561" t="n"/>
      <c r="D4417" s="4561" t="n"/>
      <c r="E4417" s="4561" t="n"/>
      <c r="F4417" s="4561" t="n"/>
      <c r="G4417" s="4561" t="n"/>
      <c r="H4417" s="4561" t="n"/>
      <c r="I4417" s="4562">
        <f>XLOOKUP(B4417,'_Sys|Line_Map'!$A:$A,'_Sys|Line_Map'!$C:$C,"MISSING",0)</f>
        <v/>
      </c>
      <c r="J4417" s="4562">
        <f>XLOOKUP(B4417,'_Sys|Line_Map'!$A:$A,'_Sys|Line_Map'!$D:$D,1,0)</f>
        <v/>
      </c>
      <c r="K4417" s="4562">
        <f>IF(D4417="","",D4417*J4417)</f>
        <v/>
      </c>
      <c r="L4417" s="4562">
        <f>XLOOKUP(B4417,'_Sys|Line_Map'!$A:$A,'_Sys|Line_Map'!$B:$B,"MISSING",0)</f>
        <v/>
      </c>
    </row>
    <row r="4418">
      <c r="A4418" s="4561" t="n"/>
      <c r="B4418" s="4561" t="n"/>
      <c r="C4418" s="4561" t="n"/>
      <c r="D4418" s="4561" t="n"/>
      <c r="E4418" s="4561" t="n"/>
      <c r="F4418" s="4561" t="n"/>
      <c r="G4418" s="4561" t="n"/>
      <c r="H4418" s="4561" t="n"/>
      <c r="I4418" s="4562">
        <f>XLOOKUP(B4418,'_Sys|Line_Map'!$A:$A,'_Sys|Line_Map'!$C:$C,"MISSING",0)</f>
        <v/>
      </c>
      <c r="J4418" s="4562">
        <f>XLOOKUP(B4418,'_Sys|Line_Map'!$A:$A,'_Sys|Line_Map'!$D:$D,1,0)</f>
        <v/>
      </c>
      <c r="K4418" s="4562">
        <f>IF(D4418="","",D4418*J4418)</f>
        <v/>
      </c>
      <c r="L4418" s="4562">
        <f>XLOOKUP(B4418,'_Sys|Line_Map'!$A:$A,'_Sys|Line_Map'!$B:$B,"MISSING",0)</f>
        <v/>
      </c>
    </row>
    <row r="4419">
      <c r="A4419" s="4561" t="n"/>
      <c r="B4419" s="4561" t="n"/>
      <c r="C4419" s="4561" t="n"/>
      <c r="D4419" s="4561" t="n"/>
      <c r="E4419" s="4561" t="n"/>
      <c r="F4419" s="4561" t="n"/>
      <c r="G4419" s="4561" t="n"/>
      <c r="H4419" s="4561" t="n"/>
      <c r="I4419" s="4562">
        <f>XLOOKUP(B4419,'_Sys|Line_Map'!$A:$A,'_Sys|Line_Map'!$C:$C,"MISSING",0)</f>
        <v/>
      </c>
      <c r="J4419" s="4562">
        <f>XLOOKUP(B4419,'_Sys|Line_Map'!$A:$A,'_Sys|Line_Map'!$D:$D,1,0)</f>
        <v/>
      </c>
      <c r="K4419" s="4562">
        <f>IF(D4419="","",D4419*J4419)</f>
        <v/>
      </c>
      <c r="L4419" s="4562">
        <f>XLOOKUP(B4419,'_Sys|Line_Map'!$A:$A,'_Sys|Line_Map'!$B:$B,"MISSING",0)</f>
        <v/>
      </c>
    </row>
    <row r="4420">
      <c r="A4420" s="4561" t="n"/>
      <c r="B4420" s="4561" t="n"/>
      <c r="C4420" s="4561" t="n"/>
      <c r="D4420" s="4561" t="n"/>
      <c r="E4420" s="4561" t="n"/>
      <c r="F4420" s="4561" t="n"/>
      <c r="G4420" s="4561" t="n"/>
      <c r="H4420" s="4561" t="n"/>
      <c r="I4420" s="4562">
        <f>XLOOKUP(B4420,'_Sys|Line_Map'!$A:$A,'_Sys|Line_Map'!$C:$C,"MISSING",0)</f>
        <v/>
      </c>
      <c r="J4420" s="4562">
        <f>XLOOKUP(B4420,'_Sys|Line_Map'!$A:$A,'_Sys|Line_Map'!$D:$D,1,0)</f>
        <v/>
      </c>
      <c r="K4420" s="4562">
        <f>IF(D4420="","",D4420*J4420)</f>
        <v/>
      </c>
      <c r="L4420" s="4562">
        <f>XLOOKUP(B4420,'_Sys|Line_Map'!$A:$A,'_Sys|Line_Map'!$B:$B,"MISSING",0)</f>
        <v/>
      </c>
    </row>
    <row r="4421">
      <c r="A4421" s="4561" t="n"/>
      <c r="B4421" s="4561" t="n"/>
      <c r="C4421" s="4561" t="n"/>
      <c r="D4421" s="4561" t="n"/>
      <c r="E4421" s="4561" t="n"/>
      <c r="F4421" s="4561" t="n"/>
      <c r="G4421" s="4561" t="n"/>
      <c r="H4421" s="4561" t="n"/>
      <c r="I4421" s="4562">
        <f>XLOOKUP(B4421,'_Sys|Line_Map'!$A:$A,'_Sys|Line_Map'!$C:$C,"MISSING",0)</f>
        <v/>
      </c>
      <c r="J4421" s="4562">
        <f>XLOOKUP(B4421,'_Sys|Line_Map'!$A:$A,'_Sys|Line_Map'!$D:$D,1,0)</f>
        <v/>
      </c>
      <c r="K4421" s="4562">
        <f>IF(D4421="","",D4421*J4421)</f>
        <v/>
      </c>
      <c r="L4421" s="4562">
        <f>XLOOKUP(B4421,'_Sys|Line_Map'!$A:$A,'_Sys|Line_Map'!$B:$B,"MISSING",0)</f>
        <v/>
      </c>
    </row>
    <row r="4422">
      <c r="A4422" s="4561" t="n"/>
      <c r="B4422" s="4561" t="n"/>
      <c r="C4422" s="4561" t="n"/>
      <c r="D4422" s="4561" t="n"/>
      <c r="E4422" s="4561" t="n"/>
      <c r="F4422" s="4561" t="n"/>
      <c r="G4422" s="4561" t="n"/>
      <c r="H4422" s="4561" t="n"/>
      <c r="I4422" s="4562">
        <f>XLOOKUP(B4422,'_Sys|Line_Map'!$A:$A,'_Sys|Line_Map'!$C:$C,"MISSING",0)</f>
        <v/>
      </c>
      <c r="J4422" s="4562">
        <f>XLOOKUP(B4422,'_Sys|Line_Map'!$A:$A,'_Sys|Line_Map'!$D:$D,1,0)</f>
        <v/>
      </c>
      <c r="K4422" s="4562">
        <f>IF(D4422="","",D4422*J4422)</f>
        <v/>
      </c>
      <c r="L4422" s="4562">
        <f>XLOOKUP(B4422,'_Sys|Line_Map'!$A:$A,'_Sys|Line_Map'!$B:$B,"MISSING",0)</f>
        <v/>
      </c>
    </row>
    <row r="4423">
      <c r="A4423" s="4561" t="n"/>
      <c r="B4423" s="4561" t="n"/>
      <c r="C4423" s="4561" t="n"/>
      <c r="D4423" s="4561" t="n"/>
      <c r="E4423" s="4561" t="n"/>
      <c r="F4423" s="4561" t="n"/>
      <c r="G4423" s="4561" t="n"/>
      <c r="H4423" s="4561" t="n"/>
      <c r="I4423" s="4562">
        <f>XLOOKUP(B4423,'_Sys|Line_Map'!$A:$A,'_Sys|Line_Map'!$C:$C,"MISSING",0)</f>
        <v/>
      </c>
      <c r="J4423" s="4562">
        <f>XLOOKUP(B4423,'_Sys|Line_Map'!$A:$A,'_Sys|Line_Map'!$D:$D,1,0)</f>
        <v/>
      </c>
      <c r="K4423" s="4562">
        <f>IF(D4423="","",D4423*J4423)</f>
        <v/>
      </c>
      <c r="L4423" s="4562">
        <f>XLOOKUP(B4423,'_Sys|Line_Map'!$A:$A,'_Sys|Line_Map'!$B:$B,"MISSING",0)</f>
        <v/>
      </c>
    </row>
    <row r="4424">
      <c r="A4424" s="4561" t="n"/>
      <c r="B4424" s="4561" t="n"/>
      <c r="C4424" s="4561" t="n"/>
      <c r="D4424" s="4561" t="n"/>
      <c r="E4424" s="4561" t="n"/>
      <c r="F4424" s="4561" t="n"/>
      <c r="G4424" s="4561" t="n"/>
      <c r="H4424" s="4561" t="n"/>
      <c r="I4424" s="4562">
        <f>XLOOKUP(B4424,'_Sys|Line_Map'!$A:$A,'_Sys|Line_Map'!$C:$C,"MISSING",0)</f>
        <v/>
      </c>
      <c r="J4424" s="4562">
        <f>XLOOKUP(B4424,'_Sys|Line_Map'!$A:$A,'_Sys|Line_Map'!$D:$D,1,0)</f>
        <v/>
      </c>
      <c r="K4424" s="4562">
        <f>IF(D4424="","",D4424*J4424)</f>
        <v/>
      </c>
      <c r="L4424" s="4562">
        <f>XLOOKUP(B4424,'_Sys|Line_Map'!$A:$A,'_Sys|Line_Map'!$B:$B,"MISSING",0)</f>
        <v/>
      </c>
    </row>
    <row r="4425">
      <c r="A4425" s="4561" t="n"/>
      <c r="B4425" s="4561" t="n"/>
      <c r="C4425" s="4561" t="n"/>
      <c r="D4425" s="4561" t="n"/>
      <c r="E4425" s="4561" t="n"/>
      <c r="F4425" s="4561" t="n"/>
      <c r="G4425" s="4561" t="n"/>
      <c r="H4425" s="4561" t="n"/>
      <c r="I4425" s="4562">
        <f>XLOOKUP(B4425,'_Sys|Line_Map'!$A:$A,'_Sys|Line_Map'!$C:$C,"MISSING",0)</f>
        <v/>
      </c>
      <c r="J4425" s="4562">
        <f>XLOOKUP(B4425,'_Sys|Line_Map'!$A:$A,'_Sys|Line_Map'!$D:$D,1,0)</f>
        <v/>
      </c>
      <c r="K4425" s="4562">
        <f>IF(D4425="","",D4425*J4425)</f>
        <v/>
      </c>
      <c r="L4425" s="4562">
        <f>XLOOKUP(B4425,'_Sys|Line_Map'!$A:$A,'_Sys|Line_Map'!$B:$B,"MISSING",0)</f>
        <v/>
      </c>
    </row>
    <row r="4426">
      <c r="A4426" s="4561" t="n"/>
      <c r="B4426" s="4561" t="n"/>
      <c r="C4426" s="4561" t="n"/>
      <c r="D4426" s="4561" t="n"/>
      <c r="E4426" s="4561" t="n"/>
      <c r="F4426" s="4561" t="n"/>
      <c r="G4426" s="4561" t="n"/>
      <c r="H4426" s="4561" t="n"/>
      <c r="I4426" s="4562">
        <f>XLOOKUP(B4426,'_Sys|Line_Map'!$A:$A,'_Sys|Line_Map'!$C:$C,"MISSING",0)</f>
        <v/>
      </c>
      <c r="J4426" s="4562">
        <f>XLOOKUP(B4426,'_Sys|Line_Map'!$A:$A,'_Sys|Line_Map'!$D:$D,1,0)</f>
        <v/>
      </c>
      <c r="K4426" s="4562">
        <f>IF(D4426="","",D4426*J4426)</f>
        <v/>
      </c>
      <c r="L4426" s="4562">
        <f>XLOOKUP(B4426,'_Sys|Line_Map'!$A:$A,'_Sys|Line_Map'!$B:$B,"MISSING",0)</f>
        <v/>
      </c>
    </row>
    <row r="4427">
      <c r="A4427" s="4561" t="n"/>
      <c r="B4427" s="4561" t="n"/>
      <c r="C4427" s="4561" t="n"/>
      <c r="D4427" s="4561" t="n"/>
      <c r="E4427" s="4561" t="n"/>
      <c r="F4427" s="4561" t="n"/>
      <c r="G4427" s="4561" t="n"/>
      <c r="H4427" s="4561" t="n"/>
      <c r="I4427" s="4562">
        <f>XLOOKUP(B4427,'_Sys|Line_Map'!$A:$A,'_Sys|Line_Map'!$C:$C,"MISSING",0)</f>
        <v/>
      </c>
      <c r="J4427" s="4562">
        <f>XLOOKUP(B4427,'_Sys|Line_Map'!$A:$A,'_Sys|Line_Map'!$D:$D,1,0)</f>
        <v/>
      </c>
      <c r="K4427" s="4562">
        <f>IF(D4427="","",D4427*J4427)</f>
        <v/>
      </c>
      <c r="L4427" s="4562">
        <f>XLOOKUP(B4427,'_Sys|Line_Map'!$A:$A,'_Sys|Line_Map'!$B:$B,"MISSING",0)</f>
        <v/>
      </c>
    </row>
    <row r="4428">
      <c r="A4428" s="4561" t="n"/>
      <c r="B4428" s="4561" t="n"/>
      <c r="C4428" s="4561" t="n"/>
      <c r="D4428" s="4561" t="n"/>
      <c r="E4428" s="4561" t="n"/>
      <c r="F4428" s="4561" t="n"/>
      <c r="G4428" s="4561" t="n"/>
      <c r="H4428" s="4561" t="n"/>
      <c r="I4428" s="4562">
        <f>XLOOKUP(B4428,'_Sys|Line_Map'!$A:$A,'_Sys|Line_Map'!$C:$C,"MISSING",0)</f>
        <v/>
      </c>
      <c r="J4428" s="4562">
        <f>XLOOKUP(B4428,'_Sys|Line_Map'!$A:$A,'_Sys|Line_Map'!$D:$D,1,0)</f>
        <v/>
      </c>
      <c r="K4428" s="4562">
        <f>IF(D4428="","",D4428*J4428)</f>
        <v/>
      </c>
      <c r="L4428" s="4562">
        <f>XLOOKUP(B4428,'_Sys|Line_Map'!$A:$A,'_Sys|Line_Map'!$B:$B,"MISSING",0)</f>
        <v/>
      </c>
    </row>
    <row r="4429">
      <c r="A4429" s="4561" t="n"/>
      <c r="B4429" s="4561" t="n"/>
      <c r="C4429" s="4561" t="n"/>
      <c r="D4429" s="4561" t="n"/>
      <c r="E4429" s="4561" t="n"/>
      <c r="F4429" s="4561" t="n"/>
      <c r="G4429" s="4561" t="n"/>
      <c r="H4429" s="4561" t="n"/>
      <c r="I4429" s="4562">
        <f>XLOOKUP(B4429,'_Sys|Line_Map'!$A:$A,'_Sys|Line_Map'!$C:$C,"MISSING",0)</f>
        <v/>
      </c>
      <c r="J4429" s="4562">
        <f>XLOOKUP(B4429,'_Sys|Line_Map'!$A:$A,'_Sys|Line_Map'!$D:$D,1,0)</f>
        <v/>
      </c>
      <c r="K4429" s="4562">
        <f>IF(D4429="","",D4429*J4429)</f>
        <v/>
      </c>
      <c r="L4429" s="4562">
        <f>XLOOKUP(B4429,'_Sys|Line_Map'!$A:$A,'_Sys|Line_Map'!$B:$B,"MISSING",0)</f>
        <v/>
      </c>
    </row>
    <row r="4430">
      <c r="A4430" s="4561" t="n"/>
      <c r="B4430" s="4561" t="n"/>
      <c r="C4430" s="4561" t="n"/>
      <c r="D4430" s="4561" t="n"/>
      <c r="E4430" s="4561" t="n"/>
      <c r="F4430" s="4561" t="n"/>
      <c r="G4430" s="4561" t="n"/>
      <c r="H4430" s="4561" t="n"/>
      <c r="I4430" s="4562">
        <f>XLOOKUP(B4430,'_Sys|Line_Map'!$A:$A,'_Sys|Line_Map'!$C:$C,"MISSING",0)</f>
        <v/>
      </c>
      <c r="J4430" s="4562">
        <f>XLOOKUP(B4430,'_Sys|Line_Map'!$A:$A,'_Sys|Line_Map'!$D:$D,1,0)</f>
        <v/>
      </c>
      <c r="K4430" s="4562">
        <f>IF(D4430="","",D4430*J4430)</f>
        <v/>
      </c>
      <c r="L4430" s="4562">
        <f>XLOOKUP(B4430,'_Sys|Line_Map'!$A:$A,'_Sys|Line_Map'!$B:$B,"MISSING",0)</f>
        <v/>
      </c>
    </row>
    <row r="4431">
      <c r="A4431" s="4561" t="n"/>
      <c r="B4431" s="4561" t="n"/>
      <c r="C4431" s="4561" t="n"/>
      <c r="D4431" s="4561" t="n"/>
      <c r="E4431" s="4561" t="n"/>
      <c r="F4431" s="4561" t="n"/>
      <c r="G4431" s="4561" t="n"/>
      <c r="H4431" s="4561" t="n"/>
      <c r="I4431" s="4562">
        <f>XLOOKUP(B4431,'_Sys|Line_Map'!$A:$A,'_Sys|Line_Map'!$C:$C,"MISSING",0)</f>
        <v/>
      </c>
      <c r="J4431" s="4562">
        <f>XLOOKUP(B4431,'_Sys|Line_Map'!$A:$A,'_Sys|Line_Map'!$D:$D,1,0)</f>
        <v/>
      </c>
      <c r="K4431" s="4562">
        <f>IF(D4431="","",D4431*J4431)</f>
        <v/>
      </c>
      <c r="L4431" s="4562">
        <f>XLOOKUP(B4431,'_Sys|Line_Map'!$A:$A,'_Sys|Line_Map'!$B:$B,"MISSING",0)</f>
        <v/>
      </c>
    </row>
    <row r="4432">
      <c r="A4432" s="4561" t="n"/>
      <c r="B4432" s="4561" t="n"/>
      <c r="C4432" s="4561" t="n"/>
      <c r="D4432" s="4561" t="n"/>
      <c r="E4432" s="4561" t="n"/>
      <c r="F4432" s="4561" t="n"/>
      <c r="G4432" s="4561" t="n"/>
      <c r="H4432" s="4561" t="n"/>
      <c r="I4432" s="4562">
        <f>XLOOKUP(B4432,'_Sys|Line_Map'!$A:$A,'_Sys|Line_Map'!$C:$C,"MISSING",0)</f>
        <v/>
      </c>
      <c r="J4432" s="4562">
        <f>XLOOKUP(B4432,'_Sys|Line_Map'!$A:$A,'_Sys|Line_Map'!$D:$D,1,0)</f>
        <v/>
      </c>
      <c r="K4432" s="4562">
        <f>IF(D4432="","",D4432*J4432)</f>
        <v/>
      </c>
      <c r="L4432" s="4562">
        <f>XLOOKUP(B4432,'_Sys|Line_Map'!$A:$A,'_Sys|Line_Map'!$B:$B,"MISSING",0)</f>
        <v/>
      </c>
    </row>
    <row r="4433">
      <c r="A4433" s="4561" t="n"/>
      <c r="B4433" s="4561" t="n"/>
      <c r="C4433" s="4561" t="n"/>
      <c r="D4433" s="4561" t="n"/>
      <c r="E4433" s="4561" t="n"/>
      <c r="F4433" s="4561" t="n"/>
      <c r="G4433" s="4561" t="n"/>
      <c r="H4433" s="4561" t="n"/>
      <c r="I4433" s="4562">
        <f>XLOOKUP(B4433,'_Sys|Line_Map'!$A:$A,'_Sys|Line_Map'!$C:$C,"MISSING",0)</f>
        <v/>
      </c>
      <c r="J4433" s="4562">
        <f>XLOOKUP(B4433,'_Sys|Line_Map'!$A:$A,'_Sys|Line_Map'!$D:$D,1,0)</f>
        <v/>
      </c>
      <c r="K4433" s="4562">
        <f>IF(D4433="","",D4433*J4433)</f>
        <v/>
      </c>
      <c r="L4433" s="4562">
        <f>XLOOKUP(B4433,'_Sys|Line_Map'!$A:$A,'_Sys|Line_Map'!$B:$B,"MISSING",0)</f>
        <v/>
      </c>
    </row>
    <row r="4434">
      <c r="A4434" s="4561" t="n"/>
      <c r="B4434" s="4561" t="n"/>
      <c r="C4434" s="4561" t="n"/>
      <c r="D4434" s="4561" t="n"/>
      <c r="E4434" s="4561" t="n"/>
      <c r="F4434" s="4561" t="n"/>
      <c r="G4434" s="4561" t="n"/>
      <c r="H4434" s="4561" t="n"/>
      <c r="I4434" s="4562">
        <f>XLOOKUP(B4434,'_Sys|Line_Map'!$A:$A,'_Sys|Line_Map'!$C:$C,"MISSING",0)</f>
        <v/>
      </c>
      <c r="J4434" s="4562">
        <f>XLOOKUP(B4434,'_Sys|Line_Map'!$A:$A,'_Sys|Line_Map'!$D:$D,1,0)</f>
        <v/>
      </c>
      <c r="K4434" s="4562">
        <f>IF(D4434="","",D4434*J4434)</f>
        <v/>
      </c>
      <c r="L4434" s="4562">
        <f>XLOOKUP(B4434,'_Sys|Line_Map'!$A:$A,'_Sys|Line_Map'!$B:$B,"MISSING",0)</f>
        <v/>
      </c>
    </row>
    <row r="4435">
      <c r="A4435" s="4561" t="n"/>
      <c r="B4435" s="4561" t="n"/>
      <c r="C4435" s="4561" t="n"/>
      <c r="D4435" s="4561" t="n"/>
      <c r="E4435" s="4561" t="n"/>
      <c r="F4435" s="4561" t="n"/>
      <c r="G4435" s="4561" t="n"/>
      <c r="H4435" s="4561" t="n"/>
      <c r="I4435" s="4562">
        <f>XLOOKUP(B4435,'_Sys|Line_Map'!$A:$A,'_Sys|Line_Map'!$C:$C,"MISSING",0)</f>
        <v/>
      </c>
      <c r="J4435" s="4562">
        <f>XLOOKUP(B4435,'_Sys|Line_Map'!$A:$A,'_Sys|Line_Map'!$D:$D,1,0)</f>
        <v/>
      </c>
      <c r="K4435" s="4562">
        <f>IF(D4435="","",D4435*J4435)</f>
        <v/>
      </c>
      <c r="L4435" s="4562">
        <f>XLOOKUP(B4435,'_Sys|Line_Map'!$A:$A,'_Sys|Line_Map'!$B:$B,"MISSING",0)</f>
        <v/>
      </c>
    </row>
    <row r="4436">
      <c r="A4436" s="4561" t="n"/>
      <c r="B4436" s="4561" t="n"/>
      <c r="C4436" s="4561" t="n"/>
      <c r="D4436" s="4561" t="n"/>
      <c r="E4436" s="4561" t="n"/>
      <c r="F4436" s="4561" t="n"/>
      <c r="G4436" s="4561" t="n"/>
      <c r="H4436" s="4561" t="n"/>
      <c r="I4436" s="4562">
        <f>XLOOKUP(B4436,'_Sys|Line_Map'!$A:$A,'_Sys|Line_Map'!$C:$C,"MISSING",0)</f>
        <v/>
      </c>
      <c r="J4436" s="4562">
        <f>XLOOKUP(B4436,'_Sys|Line_Map'!$A:$A,'_Sys|Line_Map'!$D:$D,1,0)</f>
        <v/>
      </c>
      <c r="K4436" s="4562">
        <f>IF(D4436="","",D4436*J4436)</f>
        <v/>
      </c>
      <c r="L4436" s="4562">
        <f>XLOOKUP(B4436,'_Sys|Line_Map'!$A:$A,'_Sys|Line_Map'!$B:$B,"MISSING",0)</f>
        <v/>
      </c>
    </row>
    <row r="4437">
      <c r="A4437" s="4561" t="n"/>
      <c r="B4437" s="4561" t="n"/>
      <c r="C4437" s="4561" t="n"/>
      <c r="D4437" s="4561" t="n"/>
      <c r="E4437" s="4561" t="n"/>
      <c r="F4437" s="4561" t="n"/>
      <c r="G4437" s="4561" t="n"/>
      <c r="H4437" s="4561" t="n"/>
      <c r="I4437" s="4562">
        <f>XLOOKUP(B4437,'_Sys|Line_Map'!$A:$A,'_Sys|Line_Map'!$C:$C,"MISSING",0)</f>
        <v/>
      </c>
      <c r="J4437" s="4562">
        <f>XLOOKUP(B4437,'_Sys|Line_Map'!$A:$A,'_Sys|Line_Map'!$D:$D,1,0)</f>
        <v/>
      </c>
      <c r="K4437" s="4562">
        <f>IF(D4437="","",D4437*J4437)</f>
        <v/>
      </c>
      <c r="L4437" s="4562">
        <f>XLOOKUP(B4437,'_Sys|Line_Map'!$A:$A,'_Sys|Line_Map'!$B:$B,"MISSING",0)</f>
        <v/>
      </c>
    </row>
    <row r="4438">
      <c r="A4438" s="4561" t="n"/>
      <c r="B4438" s="4561" t="n"/>
      <c r="C4438" s="4561" t="n"/>
      <c r="D4438" s="4561" t="n"/>
      <c r="E4438" s="4561" t="n"/>
      <c r="F4438" s="4561" t="n"/>
      <c r="G4438" s="4561" t="n"/>
      <c r="H4438" s="4561" t="n"/>
      <c r="I4438" s="4562">
        <f>XLOOKUP(B4438,'_Sys|Line_Map'!$A:$A,'_Sys|Line_Map'!$C:$C,"MISSING",0)</f>
        <v/>
      </c>
      <c r="J4438" s="4562">
        <f>XLOOKUP(B4438,'_Sys|Line_Map'!$A:$A,'_Sys|Line_Map'!$D:$D,1,0)</f>
        <v/>
      </c>
      <c r="K4438" s="4562">
        <f>IF(D4438="","",D4438*J4438)</f>
        <v/>
      </c>
      <c r="L4438" s="4562">
        <f>XLOOKUP(B4438,'_Sys|Line_Map'!$A:$A,'_Sys|Line_Map'!$B:$B,"MISSING",0)</f>
        <v/>
      </c>
    </row>
    <row r="4439">
      <c r="A4439" s="4561" t="n"/>
      <c r="B4439" s="4561" t="n"/>
      <c r="C4439" s="4561" t="n"/>
      <c r="D4439" s="4561" t="n"/>
      <c r="E4439" s="4561" t="n"/>
      <c r="F4439" s="4561" t="n"/>
      <c r="G4439" s="4561" t="n"/>
      <c r="H4439" s="4561" t="n"/>
      <c r="I4439" s="4562">
        <f>XLOOKUP(B4439,'_Sys|Line_Map'!$A:$A,'_Sys|Line_Map'!$C:$C,"MISSING",0)</f>
        <v/>
      </c>
      <c r="J4439" s="4562">
        <f>XLOOKUP(B4439,'_Sys|Line_Map'!$A:$A,'_Sys|Line_Map'!$D:$D,1,0)</f>
        <v/>
      </c>
      <c r="K4439" s="4562">
        <f>IF(D4439="","",D4439*J4439)</f>
        <v/>
      </c>
      <c r="L4439" s="4562">
        <f>XLOOKUP(B4439,'_Sys|Line_Map'!$A:$A,'_Sys|Line_Map'!$B:$B,"MISSING",0)</f>
        <v/>
      </c>
    </row>
    <row r="4440">
      <c r="A4440" s="4561" t="n"/>
      <c r="B4440" s="4561" t="n"/>
      <c r="C4440" s="4561" t="n"/>
      <c r="D4440" s="4561" t="n"/>
      <c r="E4440" s="4561" t="n"/>
      <c r="F4440" s="4561" t="n"/>
      <c r="G4440" s="4561" t="n"/>
      <c r="H4440" s="4561" t="n"/>
      <c r="I4440" s="4562">
        <f>XLOOKUP(B4440,'_Sys|Line_Map'!$A:$A,'_Sys|Line_Map'!$C:$C,"MISSING",0)</f>
        <v/>
      </c>
      <c r="J4440" s="4562">
        <f>XLOOKUP(B4440,'_Sys|Line_Map'!$A:$A,'_Sys|Line_Map'!$D:$D,1,0)</f>
        <v/>
      </c>
      <c r="K4440" s="4562">
        <f>IF(D4440="","",D4440*J4440)</f>
        <v/>
      </c>
      <c r="L4440" s="4562">
        <f>XLOOKUP(B4440,'_Sys|Line_Map'!$A:$A,'_Sys|Line_Map'!$B:$B,"MISSING",0)</f>
        <v/>
      </c>
    </row>
    <row r="4441">
      <c r="A4441" s="4561" t="n"/>
      <c r="B4441" s="4561" t="n"/>
      <c r="C4441" s="4561" t="n"/>
      <c r="D4441" s="4561" t="n"/>
      <c r="E4441" s="4561" t="n"/>
      <c r="F4441" s="4561" t="n"/>
      <c r="G4441" s="4561" t="n"/>
      <c r="H4441" s="4561" t="n"/>
      <c r="I4441" s="4562">
        <f>XLOOKUP(B4441,'_Sys|Line_Map'!$A:$A,'_Sys|Line_Map'!$C:$C,"MISSING",0)</f>
        <v/>
      </c>
      <c r="J4441" s="4562">
        <f>XLOOKUP(B4441,'_Sys|Line_Map'!$A:$A,'_Sys|Line_Map'!$D:$D,1,0)</f>
        <v/>
      </c>
      <c r="K4441" s="4562">
        <f>IF(D4441="","",D4441*J4441)</f>
        <v/>
      </c>
      <c r="L4441" s="4562">
        <f>XLOOKUP(B4441,'_Sys|Line_Map'!$A:$A,'_Sys|Line_Map'!$B:$B,"MISSING",0)</f>
        <v/>
      </c>
    </row>
    <row r="4442">
      <c r="A4442" s="4561" t="n"/>
      <c r="B4442" s="4561" t="n"/>
      <c r="C4442" s="4561" t="n"/>
      <c r="D4442" s="4561" t="n"/>
      <c r="E4442" s="4561" t="n"/>
      <c r="F4442" s="4561" t="n"/>
      <c r="G4442" s="4561" t="n"/>
      <c r="H4442" s="4561" t="n"/>
      <c r="I4442" s="4562">
        <f>XLOOKUP(B4442,'_Sys|Line_Map'!$A:$A,'_Sys|Line_Map'!$C:$C,"MISSING",0)</f>
        <v/>
      </c>
      <c r="J4442" s="4562">
        <f>XLOOKUP(B4442,'_Sys|Line_Map'!$A:$A,'_Sys|Line_Map'!$D:$D,1,0)</f>
        <v/>
      </c>
      <c r="K4442" s="4562">
        <f>IF(D4442="","",D4442*J4442)</f>
        <v/>
      </c>
      <c r="L4442" s="4562">
        <f>XLOOKUP(B4442,'_Sys|Line_Map'!$A:$A,'_Sys|Line_Map'!$B:$B,"MISSING",0)</f>
        <v/>
      </c>
    </row>
    <row r="4443">
      <c r="A4443" s="4561" t="n"/>
      <c r="B4443" s="4561" t="n"/>
      <c r="C4443" s="4561" t="n"/>
      <c r="D4443" s="4561" t="n"/>
      <c r="E4443" s="4561" t="n"/>
      <c r="F4443" s="4561" t="n"/>
      <c r="G4443" s="4561" t="n"/>
      <c r="H4443" s="4561" t="n"/>
      <c r="I4443" s="4562">
        <f>XLOOKUP(B4443,'_Sys|Line_Map'!$A:$A,'_Sys|Line_Map'!$C:$C,"MISSING",0)</f>
        <v/>
      </c>
      <c r="J4443" s="4562">
        <f>XLOOKUP(B4443,'_Sys|Line_Map'!$A:$A,'_Sys|Line_Map'!$D:$D,1,0)</f>
        <v/>
      </c>
      <c r="K4443" s="4562">
        <f>IF(D4443="","",D4443*J4443)</f>
        <v/>
      </c>
      <c r="L4443" s="4562">
        <f>XLOOKUP(B4443,'_Sys|Line_Map'!$A:$A,'_Sys|Line_Map'!$B:$B,"MISSING",0)</f>
        <v/>
      </c>
    </row>
    <row r="4444">
      <c r="A4444" s="4561" t="n"/>
      <c r="B4444" s="4561" t="n"/>
      <c r="C4444" s="4561" t="n"/>
      <c r="D4444" s="4561" t="n"/>
      <c r="E4444" s="4561" t="n"/>
      <c r="F4444" s="4561" t="n"/>
      <c r="G4444" s="4561" t="n"/>
      <c r="H4444" s="4561" t="n"/>
      <c r="I4444" s="4562">
        <f>XLOOKUP(B4444,'_Sys|Line_Map'!$A:$A,'_Sys|Line_Map'!$C:$C,"MISSING",0)</f>
        <v/>
      </c>
      <c r="J4444" s="4562">
        <f>XLOOKUP(B4444,'_Sys|Line_Map'!$A:$A,'_Sys|Line_Map'!$D:$D,1,0)</f>
        <v/>
      </c>
      <c r="K4444" s="4562">
        <f>IF(D4444="","",D4444*J4444)</f>
        <v/>
      </c>
      <c r="L4444" s="4562">
        <f>XLOOKUP(B4444,'_Sys|Line_Map'!$A:$A,'_Sys|Line_Map'!$B:$B,"MISSING",0)</f>
        <v/>
      </c>
    </row>
    <row r="4445">
      <c r="A4445" s="4561" t="n"/>
      <c r="B4445" s="4561" t="n"/>
      <c r="C4445" s="4561" t="n"/>
      <c r="D4445" s="4561" t="n"/>
      <c r="E4445" s="4561" t="n"/>
      <c r="F4445" s="4561" t="n"/>
      <c r="G4445" s="4561" t="n"/>
      <c r="H4445" s="4561" t="n"/>
      <c r="I4445" s="4562">
        <f>XLOOKUP(B4445,'_Sys|Line_Map'!$A:$A,'_Sys|Line_Map'!$C:$C,"MISSING",0)</f>
        <v/>
      </c>
      <c r="J4445" s="4562">
        <f>XLOOKUP(B4445,'_Sys|Line_Map'!$A:$A,'_Sys|Line_Map'!$D:$D,1,0)</f>
        <v/>
      </c>
      <c r="K4445" s="4562">
        <f>IF(D4445="","",D4445*J4445)</f>
        <v/>
      </c>
      <c r="L4445" s="4562">
        <f>XLOOKUP(B4445,'_Sys|Line_Map'!$A:$A,'_Sys|Line_Map'!$B:$B,"MISSING",0)</f>
        <v/>
      </c>
    </row>
    <row r="4446">
      <c r="A4446" s="4561" t="n"/>
      <c r="B4446" s="4561" t="n"/>
      <c r="C4446" s="4561" t="n"/>
      <c r="D4446" s="4561" t="n"/>
      <c r="E4446" s="4561" t="n"/>
      <c r="F4446" s="4561" t="n"/>
      <c r="G4446" s="4561" t="n"/>
      <c r="H4446" s="4561" t="n"/>
      <c r="I4446" s="4562">
        <f>XLOOKUP(B4446,'_Sys|Line_Map'!$A:$A,'_Sys|Line_Map'!$C:$C,"MISSING",0)</f>
        <v/>
      </c>
      <c r="J4446" s="4562">
        <f>XLOOKUP(B4446,'_Sys|Line_Map'!$A:$A,'_Sys|Line_Map'!$D:$D,1,0)</f>
        <v/>
      </c>
      <c r="K4446" s="4562">
        <f>IF(D4446="","",D4446*J4446)</f>
        <v/>
      </c>
      <c r="L4446" s="4562">
        <f>XLOOKUP(B4446,'_Sys|Line_Map'!$A:$A,'_Sys|Line_Map'!$B:$B,"MISSING",0)</f>
        <v/>
      </c>
    </row>
    <row r="4447">
      <c r="A4447" s="4561" t="n"/>
      <c r="B4447" s="4561" t="n"/>
      <c r="C4447" s="4561" t="n"/>
      <c r="D4447" s="4561" t="n"/>
      <c r="E4447" s="4561" t="n"/>
      <c r="F4447" s="4561" t="n"/>
      <c r="G4447" s="4561" t="n"/>
      <c r="H4447" s="4561" t="n"/>
      <c r="I4447" s="4562">
        <f>XLOOKUP(B4447,'_Sys|Line_Map'!$A:$A,'_Sys|Line_Map'!$C:$C,"MISSING",0)</f>
        <v/>
      </c>
      <c r="J4447" s="4562">
        <f>XLOOKUP(B4447,'_Sys|Line_Map'!$A:$A,'_Sys|Line_Map'!$D:$D,1,0)</f>
        <v/>
      </c>
      <c r="K4447" s="4562">
        <f>IF(D4447="","",D4447*J4447)</f>
        <v/>
      </c>
      <c r="L4447" s="4562">
        <f>XLOOKUP(B4447,'_Sys|Line_Map'!$A:$A,'_Sys|Line_Map'!$B:$B,"MISSING",0)</f>
        <v/>
      </c>
    </row>
    <row r="4448">
      <c r="A4448" s="4561" t="n"/>
      <c r="B4448" s="4561" t="n"/>
      <c r="C4448" s="4561" t="n"/>
      <c r="D4448" s="4561" t="n"/>
      <c r="E4448" s="4561" t="n"/>
      <c r="F4448" s="4561" t="n"/>
      <c r="G4448" s="4561" t="n"/>
      <c r="H4448" s="4561" t="n"/>
      <c r="I4448" s="4562">
        <f>XLOOKUP(B4448,'_Sys|Line_Map'!$A:$A,'_Sys|Line_Map'!$C:$C,"MISSING",0)</f>
        <v/>
      </c>
      <c r="J4448" s="4562">
        <f>XLOOKUP(B4448,'_Sys|Line_Map'!$A:$A,'_Sys|Line_Map'!$D:$D,1,0)</f>
        <v/>
      </c>
      <c r="K4448" s="4562">
        <f>IF(D4448="","",D4448*J4448)</f>
        <v/>
      </c>
      <c r="L4448" s="4562">
        <f>XLOOKUP(B4448,'_Sys|Line_Map'!$A:$A,'_Sys|Line_Map'!$B:$B,"MISSING",0)</f>
        <v/>
      </c>
    </row>
    <row r="4449">
      <c r="A4449" s="4561" t="n"/>
      <c r="B4449" s="4561" t="n"/>
      <c r="C4449" s="4561" t="n"/>
      <c r="D4449" s="4561" t="n"/>
      <c r="E4449" s="4561" t="n"/>
      <c r="F4449" s="4561" t="n"/>
      <c r="G4449" s="4561" t="n"/>
      <c r="H4449" s="4561" t="n"/>
      <c r="I4449" s="4562">
        <f>XLOOKUP(B4449,'_Sys|Line_Map'!$A:$A,'_Sys|Line_Map'!$C:$C,"MISSING",0)</f>
        <v/>
      </c>
      <c r="J4449" s="4562">
        <f>XLOOKUP(B4449,'_Sys|Line_Map'!$A:$A,'_Sys|Line_Map'!$D:$D,1,0)</f>
        <v/>
      </c>
      <c r="K4449" s="4562">
        <f>IF(D4449="","",D4449*J4449)</f>
        <v/>
      </c>
      <c r="L4449" s="4562">
        <f>XLOOKUP(B4449,'_Sys|Line_Map'!$A:$A,'_Sys|Line_Map'!$B:$B,"MISSING",0)</f>
        <v/>
      </c>
    </row>
    <row r="4450">
      <c r="A4450" s="4561" t="n"/>
      <c r="B4450" s="4561" t="n"/>
      <c r="C4450" s="4561" t="n"/>
      <c r="D4450" s="4561" t="n"/>
      <c r="E4450" s="4561" t="n"/>
      <c r="F4450" s="4561" t="n"/>
      <c r="G4450" s="4561" t="n"/>
      <c r="H4450" s="4561" t="n"/>
      <c r="I4450" s="4562">
        <f>XLOOKUP(B4450,'_Sys|Line_Map'!$A:$A,'_Sys|Line_Map'!$C:$C,"MISSING",0)</f>
        <v/>
      </c>
      <c r="J4450" s="4562">
        <f>XLOOKUP(B4450,'_Sys|Line_Map'!$A:$A,'_Sys|Line_Map'!$D:$D,1,0)</f>
        <v/>
      </c>
      <c r="K4450" s="4562">
        <f>IF(D4450="","",D4450*J4450)</f>
        <v/>
      </c>
      <c r="L4450" s="4562">
        <f>XLOOKUP(B4450,'_Sys|Line_Map'!$A:$A,'_Sys|Line_Map'!$B:$B,"MISSING",0)</f>
        <v/>
      </c>
    </row>
    <row r="4451">
      <c r="A4451" s="4561" t="n"/>
      <c r="B4451" s="4561" t="n"/>
      <c r="C4451" s="4561" t="n"/>
      <c r="D4451" s="4561" t="n"/>
      <c r="E4451" s="4561" t="n"/>
      <c r="F4451" s="4561" t="n"/>
      <c r="G4451" s="4561" t="n"/>
      <c r="H4451" s="4561" t="n"/>
      <c r="I4451" s="4562">
        <f>XLOOKUP(B4451,'_Sys|Line_Map'!$A:$A,'_Sys|Line_Map'!$C:$C,"MISSING",0)</f>
        <v/>
      </c>
      <c r="J4451" s="4562">
        <f>XLOOKUP(B4451,'_Sys|Line_Map'!$A:$A,'_Sys|Line_Map'!$D:$D,1,0)</f>
        <v/>
      </c>
      <c r="K4451" s="4562">
        <f>IF(D4451="","",D4451*J4451)</f>
        <v/>
      </c>
      <c r="L4451" s="4562">
        <f>XLOOKUP(B4451,'_Sys|Line_Map'!$A:$A,'_Sys|Line_Map'!$B:$B,"MISSING",0)</f>
        <v/>
      </c>
    </row>
    <row r="4452">
      <c r="A4452" s="4561" t="n"/>
      <c r="B4452" s="4561" t="n"/>
      <c r="C4452" s="4561" t="n"/>
      <c r="D4452" s="4561" t="n"/>
      <c r="E4452" s="4561" t="n"/>
      <c r="F4452" s="4561" t="n"/>
      <c r="G4452" s="4561" t="n"/>
      <c r="H4452" s="4561" t="n"/>
      <c r="I4452" s="4562">
        <f>XLOOKUP(B4452,'_Sys|Line_Map'!$A:$A,'_Sys|Line_Map'!$C:$C,"MISSING",0)</f>
        <v/>
      </c>
      <c r="J4452" s="4562">
        <f>XLOOKUP(B4452,'_Sys|Line_Map'!$A:$A,'_Sys|Line_Map'!$D:$D,1,0)</f>
        <v/>
      </c>
      <c r="K4452" s="4562">
        <f>IF(D4452="","",D4452*J4452)</f>
        <v/>
      </c>
      <c r="L4452" s="4562">
        <f>XLOOKUP(B4452,'_Sys|Line_Map'!$A:$A,'_Sys|Line_Map'!$B:$B,"MISSING",0)</f>
        <v/>
      </c>
    </row>
    <row r="4453">
      <c r="A4453" s="4561" t="n"/>
      <c r="B4453" s="4561" t="n"/>
      <c r="C4453" s="4561" t="n"/>
      <c r="D4453" s="4561" t="n"/>
      <c r="E4453" s="4561" t="n"/>
      <c r="F4453" s="4561" t="n"/>
      <c r="G4453" s="4561" t="n"/>
      <c r="H4453" s="4561" t="n"/>
      <c r="I4453" s="4562">
        <f>XLOOKUP(B4453,'_Sys|Line_Map'!$A:$A,'_Sys|Line_Map'!$C:$C,"MISSING",0)</f>
        <v/>
      </c>
      <c r="J4453" s="4562">
        <f>XLOOKUP(B4453,'_Sys|Line_Map'!$A:$A,'_Sys|Line_Map'!$D:$D,1,0)</f>
        <v/>
      </c>
      <c r="K4453" s="4562">
        <f>IF(D4453="","",D4453*J4453)</f>
        <v/>
      </c>
      <c r="L4453" s="4562">
        <f>XLOOKUP(B4453,'_Sys|Line_Map'!$A:$A,'_Sys|Line_Map'!$B:$B,"MISSING",0)</f>
        <v/>
      </c>
    </row>
    <row r="4454">
      <c r="A4454" s="4561" t="n"/>
      <c r="B4454" s="4561" t="n"/>
      <c r="C4454" s="4561" t="n"/>
      <c r="D4454" s="4561" t="n"/>
      <c r="E4454" s="4561" t="n"/>
      <c r="F4454" s="4561" t="n"/>
      <c r="G4454" s="4561" t="n"/>
      <c r="H4454" s="4561" t="n"/>
      <c r="I4454" s="4562">
        <f>XLOOKUP(B4454,'_Sys|Line_Map'!$A:$A,'_Sys|Line_Map'!$C:$C,"MISSING",0)</f>
        <v/>
      </c>
      <c r="J4454" s="4562">
        <f>XLOOKUP(B4454,'_Sys|Line_Map'!$A:$A,'_Sys|Line_Map'!$D:$D,1,0)</f>
        <v/>
      </c>
      <c r="K4454" s="4562">
        <f>IF(D4454="","",D4454*J4454)</f>
        <v/>
      </c>
      <c r="L4454" s="4562">
        <f>XLOOKUP(B4454,'_Sys|Line_Map'!$A:$A,'_Sys|Line_Map'!$B:$B,"MISSING",0)</f>
        <v/>
      </c>
    </row>
    <row r="4455">
      <c r="A4455" s="4561" t="n"/>
      <c r="B4455" s="4561" t="n"/>
      <c r="C4455" s="4561" t="n"/>
      <c r="D4455" s="4561" t="n"/>
      <c r="E4455" s="4561" t="n"/>
      <c r="F4455" s="4561" t="n"/>
      <c r="G4455" s="4561" t="n"/>
      <c r="H4455" s="4561" t="n"/>
      <c r="I4455" s="4562">
        <f>XLOOKUP(B4455,'_Sys|Line_Map'!$A:$A,'_Sys|Line_Map'!$C:$C,"MISSING",0)</f>
        <v/>
      </c>
      <c r="J4455" s="4562">
        <f>XLOOKUP(B4455,'_Sys|Line_Map'!$A:$A,'_Sys|Line_Map'!$D:$D,1,0)</f>
        <v/>
      </c>
      <c r="K4455" s="4562">
        <f>IF(D4455="","",D4455*J4455)</f>
        <v/>
      </c>
      <c r="L4455" s="4562">
        <f>XLOOKUP(B4455,'_Sys|Line_Map'!$A:$A,'_Sys|Line_Map'!$B:$B,"MISSING",0)</f>
        <v/>
      </c>
    </row>
    <row r="4456">
      <c r="A4456" s="4561" t="n"/>
      <c r="B4456" s="4561" t="n"/>
      <c r="C4456" s="4561" t="n"/>
      <c r="D4456" s="4561" t="n"/>
      <c r="E4456" s="4561" t="n"/>
      <c r="F4456" s="4561" t="n"/>
      <c r="G4456" s="4561" t="n"/>
      <c r="H4456" s="4561" t="n"/>
      <c r="I4456" s="4562">
        <f>XLOOKUP(B4456,'_Sys|Line_Map'!$A:$A,'_Sys|Line_Map'!$C:$C,"MISSING",0)</f>
        <v/>
      </c>
      <c r="J4456" s="4562">
        <f>XLOOKUP(B4456,'_Sys|Line_Map'!$A:$A,'_Sys|Line_Map'!$D:$D,1,0)</f>
        <v/>
      </c>
      <c r="K4456" s="4562">
        <f>IF(D4456="","",D4456*J4456)</f>
        <v/>
      </c>
      <c r="L4456" s="4562">
        <f>XLOOKUP(B4456,'_Sys|Line_Map'!$A:$A,'_Sys|Line_Map'!$B:$B,"MISSING",0)</f>
        <v/>
      </c>
    </row>
    <row r="4457">
      <c r="A4457" s="4561" t="n"/>
      <c r="B4457" s="4561" t="n"/>
      <c r="C4457" s="4561" t="n"/>
      <c r="D4457" s="4561" t="n"/>
      <c r="E4457" s="4561" t="n"/>
      <c r="F4457" s="4561" t="n"/>
      <c r="G4457" s="4561" t="n"/>
      <c r="H4457" s="4561" t="n"/>
      <c r="I4457" s="4562">
        <f>XLOOKUP(B4457,'_Sys|Line_Map'!$A:$A,'_Sys|Line_Map'!$C:$C,"MISSING",0)</f>
        <v/>
      </c>
      <c r="J4457" s="4562">
        <f>XLOOKUP(B4457,'_Sys|Line_Map'!$A:$A,'_Sys|Line_Map'!$D:$D,1,0)</f>
        <v/>
      </c>
      <c r="K4457" s="4562">
        <f>IF(D4457="","",D4457*J4457)</f>
        <v/>
      </c>
      <c r="L4457" s="4562">
        <f>XLOOKUP(B4457,'_Sys|Line_Map'!$A:$A,'_Sys|Line_Map'!$B:$B,"MISSING",0)</f>
        <v/>
      </c>
    </row>
    <row r="4458">
      <c r="A4458" s="4561" t="n"/>
      <c r="B4458" s="4561" t="n"/>
      <c r="C4458" s="4561" t="n"/>
      <c r="D4458" s="4561" t="n"/>
      <c r="E4458" s="4561" t="n"/>
      <c r="F4458" s="4561" t="n"/>
      <c r="G4458" s="4561" t="n"/>
      <c r="H4458" s="4561" t="n"/>
      <c r="I4458" s="4562">
        <f>XLOOKUP(B4458,'_Sys|Line_Map'!$A:$A,'_Sys|Line_Map'!$C:$C,"MISSING",0)</f>
        <v/>
      </c>
      <c r="J4458" s="4562">
        <f>XLOOKUP(B4458,'_Sys|Line_Map'!$A:$A,'_Sys|Line_Map'!$D:$D,1,0)</f>
        <v/>
      </c>
      <c r="K4458" s="4562">
        <f>IF(D4458="","",D4458*J4458)</f>
        <v/>
      </c>
      <c r="L4458" s="4562">
        <f>XLOOKUP(B4458,'_Sys|Line_Map'!$A:$A,'_Sys|Line_Map'!$B:$B,"MISSING",0)</f>
        <v/>
      </c>
    </row>
    <row r="4459">
      <c r="A4459" s="4561" t="n"/>
      <c r="B4459" s="4561" t="n"/>
      <c r="C4459" s="4561" t="n"/>
      <c r="D4459" s="4561" t="n"/>
      <c r="E4459" s="4561" t="n"/>
      <c r="F4459" s="4561" t="n"/>
      <c r="G4459" s="4561" t="n"/>
      <c r="H4459" s="4561" t="n"/>
      <c r="I4459" s="4562">
        <f>XLOOKUP(B4459,'_Sys|Line_Map'!$A:$A,'_Sys|Line_Map'!$C:$C,"MISSING",0)</f>
        <v/>
      </c>
      <c r="J4459" s="4562">
        <f>XLOOKUP(B4459,'_Sys|Line_Map'!$A:$A,'_Sys|Line_Map'!$D:$D,1,0)</f>
        <v/>
      </c>
      <c r="K4459" s="4562">
        <f>IF(D4459="","",D4459*J4459)</f>
        <v/>
      </c>
      <c r="L4459" s="4562">
        <f>XLOOKUP(B4459,'_Sys|Line_Map'!$A:$A,'_Sys|Line_Map'!$B:$B,"MISSING",0)</f>
        <v/>
      </c>
    </row>
    <row r="4460">
      <c r="A4460" s="4561" t="n"/>
      <c r="B4460" s="4561" t="n"/>
      <c r="C4460" s="4561" t="n"/>
      <c r="D4460" s="4561" t="n"/>
      <c r="E4460" s="4561" t="n"/>
      <c r="F4460" s="4561" t="n"/>
      <c r="G4460" s="4561" t="n"/>
      <c r="H4460" s="4561" t="n"/>
      <c r="I4460" s="4562">
        <f>XLOOKUP(B4460,'_Sys|Line_Map'!$A:$A,'_Sys|Line_Map'!$C:$C,"MISSING",0)</f>
        <v/>
      </c>
      <c r="J4460" s="4562">
        <f>XLOOKUP(B4460,'_Sys|Line_Map'!$A:$A,'_Sys|Line_Map'!$D:$D,1,0)</f>
        <v/>
      </c>
      <c r="K4460" s="4562">
        <f>IF(D4460="","",D4460*J4460)</f>
        <v/>
      </c>
      <c r="L4460" s="4562">
        <f>XLOOKUP(B4460,'_Sys|Line_Map'!$A:$A,'_Sys|Line_Map'!$B:$B,"MISSING",0)</f>
        <v/>
      </c>
    </row>
    <row r="4461">
      <c r="A4461" s="4561" t="n"/>
      <c r="B4461" s="4561" t="n"/>
      <c r="C4461" s="4561" t="n"/>
      <c r="D4461" s="4561" t="n"/>
      <c r="E4461" s="4561" t="n"/>
      <c r="F4461" s="4561" t="n"/>
      <c r="G4461" s="4561" t="n"/>
      <c r="H4461" s="4561" t="n"/>
      <c r="I4461" s="4562">
        <f>XLOOKUP(B4461,'_Sys|Line_Map'!$A:$A,'_Sys|Line_Map'!$C:$C,"MISSING",0)</f>
        <v/>
      </c>
      <c r="J4461" s="4562">
        <f>XLOOKUP(B4461,'_Sys|Line_Map'!$A:$A,'_Sys|Line_Map'!$D:$D,1,0)</f>
        <v/>
      </c>
      <c r="K4461" s="4562">
        <f>IF(D4461="","",D4461*J4461)</f>
        <v/>
      </c>
      <c r="L4461" s="4562">
        <f>XLOOKUP(B4461,'_Sys|Line_Map'!$A:$A,'_Sys|Line_Map'!$B:$B,"MISSING",0)</f>
        <v/>
      </c>
    </row>
    <row r="4462">
      <c r="A4462" s="4561" t="n"/>
      <c r="B4462" s="4561" t="n"/>
      <c r="C4462" s="4561" t="n"/>
      <c r="D4462" s="4561" t="n"/>
      <c r="E4462" s="4561" t="n"/>
      <c r="F4462" s="4561" t="n"/>
      <c r="G4462" s="4561" t="n"/>
      <c r="H4462" s="4561" t="n"/>
      <c r="I4462" s="4562">
        <f>XLOOKUP(B4462,'_Sys|Line_Map'!$A:$A,'_Sys|Line_Map'!$C:$C,"MISSING",0)</f>
        <v/>
      </c>
      <c r="J4462" s="4562">
        <f>XLOOKUP(B4462,'_Sys|Line_Map'!$A:$A,'_Sys|Line_Map'!$D:$D,1,0)</f>
        <v/>
      </c>
      <c r="K4462" s="4562">
        <f>IF(D4462="","",D4462*J4462)</f>
        <v/>
      </c>
      <c r="L4462" s="4562">
        <f>XLOOKUP(B4462,'_Sys|Line_Map'!$A:$A,'_Sys|Line_Map'!$B:$B,"MISSING",0)</f>
        <v/>
      </c>
    </row>
    <row r="4463">
      <c r="A4463" s="4561" t="n"/>
      <c r="B4463" s="4561" t="n"/>
      <c r="C4463" s="4561" t="n"/>
      <c r="D4463" s="4561" t="n"/>
      <c r="E4463" s="4561" t="n"/>
      <c r="F4463" s="4561" t="n"/>
      <c r="G4463" s="4561" t="n"/>
      <c r="H4463" s="4561" t="n"/>
      <c r="I4463" s="4562">
        <f>XLOOKUP(B4463,'_Sys|Line_Map'!$A:$A,'_Sys|Line_Map'!$C:$C,"MISSING",0)</f>
        <v/>
      </c>
      <c r="J4463" s="4562">
        <f>XLOOKUP(B4463,'_Sys|Line_Map'!$A:$A,'_Sys|Line_Map'!$D:$D,1,0)</f>
        <v/>
      </c>
      <c r="K4463" s="4562">
        <f>IF(D4463="","",D4463*J4463)</f>
        <v/>
      </c>
      <c r="L4463" s="4562">
        <f>XLOOKUP(B4463,'_Sys|Line_Map'!$A:$A,'_Sys|Line_Map'!$B:$B,"MISSING",0)</f>
        <v/>
      </c>
    </row>
    <row r="4464">
      <c r="A4464" s="4561" t="n"/>
      <c r="B4464" s="4561" t="n"/>
      <c r="C4464" s="4561" t="n"/>
      <c r="D4464" s="4561" t="n"/>
      <c r="E4464" s="4561" t="n"/>
      <c r="F4464" s="4561" t="n"/>
      <c r="G4464" s="4561" t="n"/>
      <c r="H4464" s="4561" t="n"/>
      <c r="I4464" s="4562">
        <f>XLOOKUP(B4464,'_Sys|Line_Map'!$A:$A,'_Sys|Line_Map'!$C:$C,"MISSING",0)</f>
        <v/>
      </c>
      <c r="J4464" s="4562">
        <f>XLOOKUP(B4464,'_Sys|Line_Map'!$A:$A,'_Sys|Line_Map'!$D:$D,1,0)</f>
        <v/>
      </c>
      <c r="K4464" s="4562">
        <f>IF(D4464="","",D4464*J4464)</f>
        <v/>
      </c>
      <c r="L4464" s="4562">
        <f>XLOOKUP(B4464,'_Sys|Line_Map'!$A:$A,'_Sys|Line_Map'!$B:$B,"MISSING",0)</f>
        <v/>
      </c>
    </row>
    <row r="4465">
      <c r="A4465" s="4561" t="n"/>
      <c r="B4465" s="4561" t="n"/>
      <c r="C4465" s="4561" t="n"/>
      <c r="D4465" s="4561" t="n"/>
      <c r="E4465" s="4561" t="n"/>
      <c r="F4465" s="4561" t="n"/>
      <c r="G4465" s="4561" t="n"/>
      <c r="H4465" s="4561" t="n"/>
      <c r="I4465" s="4562">
        <f>XLOOKUP(B4465,'_Sys|Line_Map'!$A:$A,'_Sys|Line_Map'!$C:$C,"MISSING",0)</f>
        <v/>
      </c>
      <c r="J4465" s="4562">
        <f>XLOOKUP(B4465,'_Sys|Line_Map'!$A:$A,'_Sys|Line_Map'!$D:$D,1,0)</f>
        <v/>
      </c>
      <c r="K4465" s="4562">
        <f>IF(D4465="","",D4465*J4465)</f>
        <v/>
      </c>
      <c r="L4465" s="4562">
        <f>XLOOKUP(B4465,'_Sys|Line_Map'!$A:$A,'_Sys|Line_Map'!$B:$B,"MISSING",0)</f>
        <v/>
      </c>
    </row>
    <row r="4466">
      <c r="A4466" s="4561" t="n"/>
      <c r="B4466" s="4561" t="n"/>
      <c r="C4466" s="4561" t="n"/>
      <c r="D4466" s="4561" t="n"/>
      <c r="E4466" s="4561" t="n"/>
      <c r="F4466" s="4561" t="n"/>
      <c r="G4466" s="4561" t="n"/>
      <c r="H4466" s="4561" t="n"/>
      <c r="I4466" s="4562">
        <f>XLOOKUP(B4466,'_Sys|Line_Map'!$A:$A,'_Sys|Line_Map'!$C:$C,"MISSING",0)</f>
        <v/>
      </c>
      <c r="J4466" s="4562">
        <f>XLOOKUP(B4466,'_Sys|Line_Map'!$A:$A,'_Sys|Line_Map'!$D:$D,1,0)</f>
        <v/>
      </c>
      <c r="K4466" s="4562">
        <f>IF(D4466="","",D4466*J4466)</f>
        <v/>
      </c>
      <c r="L4466" s="4562">
        <f>XLOOKUP(B4466,'_Sys|Line_Map'!$A:$A,'_Sys|Line_Map'!$B:$B,"MISSING",0)</f>
        <v/>
      </c>
    </row>
    <row r="4467">
      <c r="A4467" s="4561" t="n"/>
      <c r="B4467" s="4561" t="n"/>
      <c r="C4467" s="4561" t="n"/>
      <c r="D4467" s="4561" t="n"/>
      <c r="E4467" s="4561" t="n"/>
      <c r="F4467" s="4561" t="n"/>
      <c r="G4467" s="4561" t="n"/>
      <c r="H4467" s="4561" t="n"/>
      <c r="I4467" s="4562">
        <f>XLOOKUP(B4467,'_Sys|Line_Map'!$A:$A,'_Sys|Line_Map'!$C:$C,"MISSING",0)</f>
        <v/>
      </c>
      <c r="J4467" s="4562">
        <f>XLOOKUP(B4467,'_Sys|Line_Map'!$A:$A,'_Sys|Line_Map'!$D:$D,1,0)</f>
        <v/>
      </c>
      <c r="K4467" s="4562">
        <f>IF(D4467="","",D4467*J4467)</f>
        <v/>
      </c>
      <c r="L4467" s="4562">
        <f>XLOOKUP(B4467,'_Sys|Line_Map'!$A:$A,'_Sys|Line_Map'!$B:$B,"MISSING",0)</f>
        <v/>
      </c>
    </row>
    <row r="4468">
      <c r="A4468" s="4561" t="n"/>
      <c r="B4468" s="4561" t="n"/>
      <c r="C4468" s="4561" t="n"/>
      <c r="D4468" s="4561" t="n"/>
      <c r="E4468" s="4561" t="n"/>
      <c r="F4468" s="4561" t="n"/>
      <c r="G4468" s="4561" t="n"/>
      <c r="H4468" s="4561" t="n"/>
      <c r="I4468" s="4562">
        <f>XLOOKUP(B4468,'_Sys|Line_Map'!$A:$A,'_Sys|Line_Map'!$C:$C,"MISSING",0)</f>
        <v/>
      </c>
      <c r="J4468" s="4562">
        <f>XLOOKUP(B4468,'_Sys|Line_Map'!$A:$A,'_Sys|Line_Map'!$D:$D,1,0)</f>
        <v/>
      </c>
      <c r="K4468" s="4562">
        <f>IF(D4468="","",D4468*J4468)</f>
        <v/>
      </c>
      <c r="L4468" s="4562">
        <f>XLOOKUP(B4468,'_Sys|Line_Map'!$A:$A,'_Sys|Line_Map'!$B:$B,"MISSING",0)</f>
        <v/>
      </c>
    </row>
    <row r="4469">
      <c r="A4469" s="4561" t="n"/>
      <c r="B4469" s="4561" t="n"/>
      <c r="C4469" s="4561" t="n"/>
      <c r="D4469" s="4561" t="n"/>
      <c r="E4469" s="4561" t="n"/>
      <c r="F4469" s="4561" t="n"/>
      <c r="G4469" s="4561" t="n"/>
      <c r="H4469" s="4561" t="n"/>
      <c r="I4469" s="4562">
        <f>XLOOKUP(B4469,'_Sys|Line_Map'!$A:$A,'_Sys|Line_Map'!$C:$C,"MISSING",0)</f>
        <v/>
      </c>
      <c r="J4469" s="4562">
        <f>XLOOKUP(B4469,'_Sys|Line_Map'!$A:$A,'_Sys|Line_Map'!$D:$D,1,0)</f>
        <v/>
      </c>
      <c r="K4469" s="4562">
        <f>IF(D4469="","",D4469*J4469)</f>
        <v/>
      </c>
      <c r="L4469" s="4562">
        <f>XLOOKUP(B4469,'_Sys|Line_Map'!$A:$A,'_Sys|Line_Map'!$B:$B,"MISSING",0)</f>
        <v/>
      </c>
    </row>
    <row r="4470">
      <c r="A4470" s="4561" t="n"/>
      <c r="B4470" s="4561" t="n"/>
      <c r="C4470" s="4561" t="n"/>
      <c r="D4470" s="4561" t="n"/>
      <c r="E4470" s="4561" t="n"/>
      <c r="F4470" s="4561" t="n"/>
      <c r="G4470" s="4561" t="n"/>
      <c r="H4470" s="4561" t="n"/>
      <c r="I4470" s="4562">
        <f>XLOOKUP(B4470,'_Sys|Line_Map'!$A:$A,'_Sys|Line_Map'!$C:$C,"MISSING",0)</f>
        <v/>
      </c>
      <c r="J4470" s="4562">
        <f>XLOOKUP(B4470,'_Sys|Line_Map'!$A:$A,'_Sys|Line_Map'!$D:$D,1,0)</f>
        <v/>
      </c>
      <c r="K4470" s="4562">
        <f>IF(D4470="","",D4470*J4470)</f>
        <v/>
      </c>
      <c r="L4470" s="4562">
        <f>XLOOKUP(B4470,'_Sys|Line_Map'!$A:$A,'_Sys|Line_Map'!$B:$B,"MISSING",0)</f>
        <v/>
      </c>
    </row>
    <row r="4471">
      <c r="A4471" s="4561" t="n"/>
      <c r="B4471" s="4561" t="n"/>
      <c r="C4471" s="4561" t="n"/>
      <c r="D4471" s="4561" t="n"/>
      <c r="E4471" s="4561" t="n"/>
      <c r="F4471" s="4561" t="n"/>
      <c r="G4471" s="4561" t="n"/>
      <c r="H4471" s="4561" t="n"/>
      <c r="I4471" s="4562">
        <f>XLOOKUP(B4471,'_Sys|Line_Map'!$A:$A,'_Sys|Line_Map'!$C:$C,"MISSING",0)</f>
        <v/>
      </c>
      <c r="J4471" s="4562">
        <f>XLOOKUP(B4471,'_Sys|Line_Map'!$A:$A,'_Sys|Line_Map'!$D:$D,1,0)</f>
        <v/>
      </c>
      <c r="K4471" s="4562">
        <f>IF(D4471="","",D4471*J4471)</f>
        <v/>
      </c>
      <c r="L4471" s="4562">
        <f>XLOOKUP(B4471,'_Sys|Line_Map'!$A:$A,'_Sys|Line_Map'!$B:$B,"MISSING",0)</f>
        <v/>
      </c>
    </row>
    <row r="4472">
      <c r="A4472" s="4561" t="n"/>
      <c r="B4472" s="4561" t="n"/>
      <c r="C4472" s="4561" t="n"/>
      <c r="D4472" s="4561" t="n"/>
      <c r="E4472" s="4561" t="n"/>
      <c r="F4472" s="4561" t="n"/>
      <c r="G4472" s="4561" t="n"/>
      <c r="H4472" s="4561" t="n"/>
      <c r="I4472" s="4562">
        <f>XLOOKUP(B4472,'_Sys|Line_Map'!$A:$A,'_Sys|Line_Map'!$C:$C,"MISSING",0)</f>
        <v/>
      </c>
      <c r="J4472" s="4562">
        <f>XLOOKUP(B4472,'_Sys|Line_Map'!$A:$A,'_Sys|Line_Map'!$D:$D,1,0)</f>
        <v/>
      </c>
      <c r="K4472" s="4562">
        <f>IF(D4472="","",D4472*J4472)</f>
        <v/>
      </c>
      <c r="L4472" s="4562">
        <f>XLOOKUP(B4472,'_Sys|Line_Map'!$A:$A,'_Sys|Line_Map'!$B:$B,"MISSING",0)</f>
        <v/>
      </c>
    </row>
    <row r="4473">
      <c r="A4473" s="4561" t="n"/>
      <c r="B4473" s="4561" t="n"/>
      <c r="C4473" s="4561" t="n"/>
      <c r="D4473" s="4561" t="n"/>
      <c r="E4473" s="4561" t="n"/>
      <c r="F4473" s="4561" t="n"/>
      <c r="G4473" s="4561" t="n"/>
      <c r="H4473" s="4561" t="n"/>
      <c r="I4473" s="4562">
        <f>XLOOKUP(B4473,'_Sys|Line_Map'!$A:$A,'_Sys|Line_Map'!$C:$C,"MISSING",0)</f>
        <v/>
      </c>
      <c r="J4473" s="4562">
        <f>XLOOKUP(B4473,'_Sys|Line_Map'!$A:$A,'_Sys|Line_Map'!$D:$D,1,0)</f>
        <v/>
      </c>
      <c r="K4473" s="4562">
        <f>IF(D4473="","",D4473*J4473)</f>
        <v/>
      </c>
      <c r="L4473" s="4562">
        <f>XLOOKUP(B4473,'_Sys|Line_Map'!$A:$A,'_Sys|Line_Map'!$B:$B,"MISSING",0)</f>
        <v/>
      </c>
    </row>
    <row r="4474">
      <c r="A4474" s="4561" t="n"/>
      <c r="B4474" s="4561" t="n"/>
      <c r="C4474" s="4561" t="n"/>
      <c r="D4474" s="4561" t="n"/>
      <c r="E4474" s="4561" t="n"/>
      <c r="F4474" s="4561" t="n"/>
      <c r="G4474" s="4561" t="n"/>
      <c r="H4474" s="4561" t="n"/>
      <c r="I4474" s="4562">
        <f>XLOOKUP(B4474,'_Sys|Line_Map'!$A:$A,'_Sys|Line_Map'!$C:$C,"MISSING",0)</f>
        <v/>
      </c>
      <c r="J4474" s="4562">
        <f>XLOOKUP(B4474,'_Sys|Line_Map'!$A:$A,'_Sys|Line_Map'!$D:$D,1,0)</f>
        <v/>
      </c>
      <c r="K4474" s="4562">
        <f>IF(D4474="","",D4474*J4474)</f>
        <v/>
      </c>
      <c r="L4474" s="4562">
        <f>XLOOKUP(B4474,'_Sys|Line_Map'!$A:$A,'_Sys|Line_Map'!$B:$B,"MISSING",0)</f>
        <v/>
      </c>
    </row>
    <row r="4475">
      <c r="A4475" s="4561" t="n"/>
      <c r="B4475" s="4561" t="n"/>
      <c r="C4475" s="4561" t="n"/>
      <c r="D4475" s="4561" t="n"/>
      <c r="E4475" s="4561" t="n"/>
      <c r="F4475" s="4561" t="n"/>
      <c r="G4475" s="4561" t="n"/>
      <c r="H4475" s="4561" t="n"/>
      <c r="I4475" s="4562">
        <f>XLOOKUP(B4475,'_Sys|Line_Map'!$A:$A,'_Sys|Line_Map'!$C:$C,"MISSING",0)</f>
        <v/>
      </c>
      <c r="J4475" s="4562">
        <f>XLOOKUP(B4475,'_Sys|Line_Map'!$A:$A,'_Sys|Line_Map'!$D:$D,1,0)</f>
        <v/>
      </c>
      <c r="K4475" s="4562">
        <f>IF(D4475="","",D4475*J4475)</f>
        <v/>
      </c>
      <c r="L4475" s="4562">
        <f>XLOOKUP(B4475,'_Sys|Line_Map'!$A:$A,'_Sys|Line_Map'!$B:$B,"MISSING",0)</f>
        <v/>
      </c>
    </row>
    <row r="4476">
      <c r="A4476" s="4561" t="n"/>
      <c r="B4476" s="4561" t="n"/>
      <c r="C4476" s="4561" t="n"/>
      <c r="D4476" s="4561" t="n"/>
      <c r="E4476" s="4561" t="n"/>
      <c r="F4476" s="4561" t="n"/>
      <c r="G4476" s="4561" t="n"/>
      <c r="H4476" s="4561" t="n"/>
      <c r="I4476" s="4562">
        <f>XLOOKUP(B4476,'_Sys|Line_Map'!$A:$A,'_Sys|Line_Map'!$C:$C,"MISSING",0)</f>
        <v/>
      </c>
      <c r="J4476" s="4562">
        <f>XLOOKUP(B4476,'_Sys|Line_Map'!$A:$A,'_Sys|Line_Map'!$D:$D,1,0)</f>
        <v/>
      </c>
      <c r="K4476" s="4562">
        <f>IF(D4476="","",D4476*J4476)</f>
        <v/>
      </c>
      <c r="L4476" s="4562">
        <f>XLOOKUP(B4476,'_Sys|Line_Map'!$A:$A,'_Sys|Line_Map'!$B:$B,"MISSING",0)</f>
        <v/>
      </c>
    </row>
    <row r="4477">
      <c r="A4477" s="4561" t="n"/>
      <c r="B4477" s="4561" t="n"/>
      <c r="C4477" s="4561" t="n"/>
      <c r="D4477" s="4561" t="n"/>
      <c r="E4477" s="4561" t="n"/>
      <c r="F4477" s="4561" t="n"/>
      <c r="G4477" s="4561" t="n"/>
      <c r="H4477" s="4561" t="n"/>
      <c r="I4477" s="4562">
        <f>XLOOKUP(B4477,'_Sys|Line_Map'!$A:$A,'_Sys|Line_Map'!$C:$C,"MISSING",0)</f>
        <v/>
      </c>
      <c r="J4477" s="4562">
        <f>XLOOKUP(B4477,'_Sys|Line_Map'!$A:$A,'_Sys|Line_Map'!$D:$D,1,0)</f>
        <v/>
      </c>
      <c r="K4477" s="4562">
        <f>IF(D4477="","",D4477*J4477)</f>
        <v/>
      </c>
      <c r="L4477" s="4562">
        <f>XLOOKUP(B4477,'_Sys|Line_Map'!$A:$A,'_Sys|Line_Map'!$B:$B,"MISSING",0)</f>
        <v/>
      </c>
    </row>
    <row r="4478">
      <c r="A4478" s="4561" t="n"/>
      <c r="B4478" s="4561" t="n"/>
      <c r="C4478" s="4561" t="n"/>
      <c r="D4478" s="4561" t="n"/>
      <c r="E4478" s="4561" t="n"/>
      <c r="F4478" s="4561" t="n"/>
      <c r="G4478" s="4561" t="n"/>
      <c r="H4478" s="4561" t="n"/>
      <c r="I4478" s="4562">
        <f>XLOOKUP(B4478,'_Sys|Line_Map'!$A:$A,'_Sys|Line_Map'!$C:$C,"MISSING",0)</f>
        <v/>
      </c>
      <c r="J4478" s="4562">
        <f>XLOOKUP(B4478,'_Sys|Line_Map'!$A:$A,'_Sys|Line_Map'!$D:$D,1,0)</f>
        <v/>
      </c>
      <c r="K4478" s="4562">
        <f>IF(D4478="","",D4478*J4478)</f>
        <v/>
      </c>
      <c r="L4478" s="4562">
        <f>XLOOKUP(B4478,'_Sys|Line_Map'!$A:$A,'_Sys|Line_Map'!$B:$B,"MISSING",0)</f>
        <v/>
      </c>
    </row>
    <row r="4479">
      <c r="A4479" s="4561" t="n"/>
      <c r="B4479" s="4561" t="n"/>
      <c r="C4479" s="4561" t="n"/>
      <c r="D4479" s="4561" t="n"/>
      <c r="E4479" s="4561" t="n"/>
      <c r="F4479" s="4561" t="n"/>
      <c r="G4479" s="4561" t="n"/>
      <c r="H4479" s="4561" t="n"/>
      <c r="I4479" s="4562">
        <f>XLOOKUP(B4479,'_Sys|Line_Map'!$A:$A,'_Sys|Line_Map'!$C:$C,"MISSING",0)</f>
        <v/>
      </c>
      <c r="J4479" s="4562">
        <f>XLOOKUP(B4479,'_Sys|Line_Map'!$A:$A,'_Sys|Line_Map'!$D:$D,1,0)</f>
        <v/>
      </c>
      <c r="K4479" s="4562">
        <f>IF(D4479="","",D4479*J4479)</f>
        <v/>
      </c>
      <c r="L4479" s="4562">
        <f>XLOOKUP(B4479,'_Sys|Line_Map'!$A:$A,'_Sys|Line_Map'!$B:$B,"MISSING",0)</f>
        <v/>
      </c>
    </row>
    <row r="4480">
      <c r="A4480" s="4561" t="n"/>
      <c r="B4480" s="4561" t="n"/>
      <c r="C4480" s="4561" t="n"/>
      <c r="D4480" s="4561" t="n"/>
      <c r="E4480" s="4561" t="n"/>
      <c r="F4480" s="4561" t="n"/>
      <c r="G4480" s="4561" t="n"/>
      <c r="H4480" s="4561" t="n"/>
      <c r="I4480" s="4562">
        <f>XLOOKUP(B4480,'_Sys|Line_Map'!$A:$A,'_Sys|Line_Map'!$C:$C,"MISSING",0)</f>
        <v/>
      </c>
      <c r="J4480" s="4562">
        <f>XLOOKUP(B4480,'_Sys|Line_Map'!$A:$A,'_Sys|Line_Map'!$D:$D,1,0)</f>
        <v/>
      </c>
      <c r="K4480" s="4562">
        <f>IF(D4480="","",D4480*J4480)</f>
        <v/>
      </c>
      <c r="L4480" s="4562">
        <f>XLOOKUP(B4480,'_Sys|Line_Map'!$A:$A,'_Sys|Line_Map'!$B:$B,"MISSING",0)</f>
        <v/>
      </c>
    </row>
    <row r="4481">
      <c r="A4481" s="4561" t="n"/>
      <c r="B4481" s="4561" t="n"/>
      <c r="C4481" s="4561" t="n"/>
      <c r="D4481" s="4561" t="n"/>
      <c r="E4481" s="4561" t="n"/>
      <c r="F4481" s="4561" t="n"/>
      <c r="G4481" s="4561" t="n"/>
      <c r="H4481" s="4561" t="n"/>
      <c r="I4481" s="4562">
        <f>XLOOKUP(B4481,'_Sys|Line_Map'!$A:$A,'_Sys|Line_Map'!$C:$C,"MISSING",0)</f>
        <v/>
      </c>
      <c r="J4481" s="4562">
        <f>XLOOKUP(B4481,'_Sys|Line_Map'!$A:$A,'_Sys|Line_Map'!$D:$D,1,0)</f>
        <v/>
      </c>
      <c r="K4481" s="4562">
        <f>IF(D4481="","",D4481*J4481)</f>
        <v/>
      </c>
      <c r="L4481" s="4562">
        <f>XLOOKUP(B4481,'_Sys|Line_Map'!$A:$A,'_Sys|Line_Map'!$B:$B,"MISSING",0)</f>
        <v/>
      </c>
    </row>
    <row r="4482">
      <c r="A4482" s="4561" t="n"/>
      <c r="B4482" s="4561" t="n"/>
      <c r="C4482" s="4561" t="n"/>
      <c r="D4482" s="4561" t="n"/>
      <c r="E4482" s="4561" t="n"/>
      <c r="F4482" s="4561" t="n"/>
      <c r="G4482" s="4561" t="n"/>
      <c r="H4482" s="4561" t="n"/>
      <c r="I4482" s="4562">
        <f>XLOOKUP(B4482,'_Sys|Line_Map'!$A:$A,'_Sys|Line_Map'!$C:$C,"MISSING",0)</f>
        <v/>
      </c>
      <c r="J4482" s="4562">
        <f>XLOOKUP(B4482,'_Sys|Line_Map'!$A:$A,'_Sys|Line_Map'!$D:$D,1,0)</f>
        <v/>
      </c>
      <c r="K4482" s="4562">
        <f>IF(D4482="","",D4482*J4482)</f>
        <v/>
      </c>
      <c r="L4482" s="4562">
        <f>XLOOKUP(B4482,'_Sys|Line_Map'!$A:$A,'_Sys|Line_Map'!$B:$B,"MISSING",0)</f>
        <v/>
      </c>
    </row>
    <row r="4483">
      <c r="A4483" s="4561" t="n"/>
      <c r="B4483" s="4561" t="n"/>
      <c r="C4483" s="4561" t="n"/>
      <c r="D4483" s="4561" t="n"/>
      <c r="E4483" s="4561" t="n"/>
      <c r="F4483" s="4561" t="n"/>
      <c r="G4483" s="4561" t="n"/>
      <c r="H4483" s="4561" t="n"/>
      <c r="I4483" s="4562">
        <f>XLOOKUP(B4483,'_Sys|Line_Map'!$A:$A,'_Sys|Line_Map'!$C:$C,"MISSING",0)</f>
        <v/>
      </c>
      <c r="J4483" s="4562">
        <f>XLOOKUP(B4483,'_Sys|Line_Map'!$A:$A,'_Sys|Line_Map'!$D:$D,1,0)</f>
        <v/>
      </c>
      <c r="K4483" s="4562">
        <f>IF(D4483="","",D4483*J4483)</f>
        <v/>
      </c>
      <c r="L4483" s="4562">
        <f>XLOOKUP(B4483,'_Sys|Line_Map'!$A:$A,'_Sys|Line_Map'!$B:$B,"MISSING",0)</f>
        <v/>
      </c>
    </row>
    <row r="4484">
      <c r="A4484" s="4561" t="n"/>
      <c r="B4484" s="4561" t="n"/>
      <c r="C4484" s="4561" t="n"/>
      <c r="D4484" s="4561" t="n"/>
      <c r="E4484" s="4561" t="n"/>
      <c r="F4484" s="4561" t="n"/>
      <c r="G4484" s="4561" t="n"/>
      <c r="H4484" s="4561" t="n"/>
      <c r="I4484" s="4562">
        <f>XLOOKUP(B4484,'_Sys|Line_Map'!$A:$A,'_Sys|Line_Map'!$C:$C,"MISSING",0)</f>
        <v/>
      </c>
      <c r="J4484" s="4562">
        <f>XLOOKUP(B4484,'_Sys|Line_Map'!$A:$A,'_Sys|Line_Map'!$D:$D,1,0)</f>
        <v/>
      </c>
      <c r="K4484" s="4562">
        <f>IF(D4484="","",D4484*J4484)</f>
        <v/>
      </c>
      <c r="L4484" s="4562">
        <f>XLOOKUP(B4484,'_Sys|Line_Map'!$A:$A,'_Sys|Line_Map'!$B:$B,"MISSING",0)</f>
        <v/>
      </c>
    </row>
    <row r="4485">
      <c r="A4485" s="4561" t="n"/>
      <c r="B4485" s="4561" t="n"/>
      <c r="C4485" s="4561" t="n"/>
      <c r="D4485" s="4561" t="n"/>
      <c r="E4485" s="4561" t="n"/>
      <c r="F4485" s="4561" t="n"/>
      <c r="G4485" s="4561" t="n"/>
      <c r="H4485" s="4561" t="n"/>
      <c r="I4485" s="4562">
        <f>XLOOKUP(B4485,'_Sys|Line_Map'!$A:$A,'_Sys|Line_Map'!$C:$C,"MISSING",0)</f>
        <v/>
      </c>
      <c r="J4485" s="4562">
        <f>XLOOKUP(B4485,'_Sys|Line_Map'!$A:$A,'_Sys|Line_Map'!$D:$D,1,0)</f>
        <v/>
      </c>
      <c r="K4485" s="4562">
        <f>IF(D4485="","",D4485*J4485)</f>
        <v/>
      </c>
      <c r="L4485" s="4562">
        <f>XLOOKUP(B4485,'_Sys|Line_Map'!$A:$A,'_Sys|Line_Map'!$B:$B,"MISSING",0)</f>
        <v/>
      </c>
    </row>
    <row r="4486">
      <c r="A4486" s="4561" t="n"/>
      <c r="B4486" s="4561" t="n"/>
      <c r="C4486" s="4561" t="n"/>
      <c r="D4486" s="4561" t="n"/>
      <c r="E4486" s="4561" t="n"/>
      <c r="F4486" s="4561" t="n"/>
      <c r="G4486" s="4561" t="n"/>
      <c r="H4486" s="4561" t="n"/>
      <c r="I4486" s="4562">
        <f>XLOOKUP(B4486,'_Sys|Line_Map'!$A:$A,'_Sys|Line_Map'!$C:$C,"MISSING",0)</f>
        <v/>
      </c>
      <c r="J4486" s="4562">
        <f>XLOOKUP(B4486,'_Sys|Line_Map'!$A:$A,'_Sys|Line_Map'!$D:$D,1,0)</f>
        <v/>
      </c>
      <c r="K4486" s="4562">
        <f>IF(D4486="","",D4486*J4486)</f>
        <v/>
      </c>
      <c r="L4486" s="4562">
        <f>XLOOKUP(B4486,'_Sys|Line_Map'!$A:$A,'_Sys|Line_Map'!$B:$B,"MISSING",0)</f>
        <v/>
      </c>
    </row>
    <row r="4487">
      <c r="A4487" s="4561" t="n"/>
      <c r="B4487" s="4561" t="n"/>
      <c r="C4487" s="4561" t="n"/>
      <c r="D4487" s="4561" t="n"/>
      <c r="E4487" s="4561" t="n"/>
      <c r="F4487" s="4561" t="n"/>
      <c r="G4487" s="4561" t="n"/>
      <c r="H4487" s="4561" t="n"/>
      <c r="I4487" s="4562">
        <f>XLOOKUP(B4487,'_Sys|Line_Map'!$A:$A,'_Sys|Line_Map'!$C:$C,"MISSING",0)</f>
        <v/>
      </c>
      <c r="J4487" s="4562">
        <f>XLOOKUP(B4487,'_Sys|Line_Map'!$A:$A,'_Sys|Line_Map'!$D:$D,1,0)</f>
        <v/>
      </c>
      <c r="K4487" s="4562">
        <f>IF(D4487="","",D4487*J4487)</f>
        <v/>
      </c>
      <c r="L4487" s="4562">
        <f>XLOOKUP(B4487,'_Sys|Line_Map'!$A:$A,'_Sys|Line_Map'!$B:$B,"MISSING",0)</f>
        <v/>
      </c>
    </row>
    <row r="4488">
      <c r="A4488" s="4561" t="n"/>
      <c r="B4488" s="4561" t="n"/>
      <c r="C4488" s="4561" t="n"/>
      <c r="D4488" s="4561" t="n"/>
      <c r="E4488" s="4561" t="n"/>
      <c r="F4488" s="4561" t="n"/>
      <c r="G4488" s="4561" t="n"/>
      <c r="H4488" s="4561" t="n"/>
      <c r="I4488" s="4562">
        <f>XLOOKUP(B4488,'_Sys|Line_Map'!$A:$A,'_Sys|Line_Map'!$C:$C,"MISSING",0)</f>
        <v/>
      </c>
      <c r="J4488" s="4562">
        <f>XLOOKUP(B4488,'_Sys|Line_Map'!$A:$A,'_Sys|Line_Map'!$D:$D,1,0)</f>
        <v/>
      </c>
      <c r="K4488" s="4562">
        <f>IF(D4488="","",D4488*J4488)</f>
        <v/>
      </c>
      <c r="L4488" s="4562">
        <f>XLOOKUP(B4488,'_Sys|Line_Map'!$A:$A,'_Sys|Line_Map'!$B:$B,"MISSING",0)</f>
        <v/>
      </c>
    </row>
    <row r="4489">
      <c r="A4489" s="4561" t="n"/>
      <c r="B4489" s="4561" t="n"/>
      <c r="C4489" s="4561" t="n"/>
      <c r="D4489" s="4561" t="n"/>
      <c r="E4489" s="4561" t="n"/>
      <c r="F4489" s="4561" t="n"/>
      <c r="G4489" s="4561" t="n"/>
      <c r="H4489" s="4561" t="n"/>
      <c r="I4489" s="4562">
        <f>XLOOKUP(B4489,'_Sys|Line_Map'!$A:$A,'_Sys|Line_Map'!$C:$C,"MISSING",0)</f>
        <v/>
      </c>
      <c r="J4489" s="4562">
        <f>XLOOKUP(B4489,'_Sys|Line_Map'!$A:$A,'_Sys|Line_Map'!$D:$D,1,0)</f>
        <v/>
      </c>
      <c r="K4489" s="4562">
        <f>IF(D4489="","",D4489*J4489)</f>
        <v/>
      </c>
      <c r="L4489" s="4562">
        <f>XLOOKUP(B4489,'_Sys|Line_Map'!$A:$A,'_Sys|Line_Map'!$B:$B,"MISSING",0)</f>
        <v/>
      </c>
    </row>
    <row r="4490">
      <c r="A4490" s="4561" t="n"/>
      <c r="B4490" s="4561" t="n"/>
      <c r="C4490" s="4561" t="n"/>
      <c r="D4490" s="4561" t="n"/>
      <c r="E4490" s="4561" t="n"/>
      <c r="F4490" s="4561" t="n"/>
      <c r="G4490" s="4561" t="n"/>
      <c r="H4490" s="4561" t="n"/>
      <c r="I4490" s="4562">
        <f>XLOOKUP(B4490,'_Sys|Line_Map'!$A:$A,'_Sys|Line_Map'!$C:$C,"MISSING",0)</f>
        <v/>
      </c>
      <c r="J4490" s="4562">
        <f>XLOOKUP(B4490,'_Sys|Line_Map'!$A:$A,'_Sys|Line_Map'!$D:$D,1,0)</f>
        <v/>
      </c>
      <c r="K4490" s="4562">
        <f>IF(D4490="","",D4490*J4490)</f>
        <v/>
      </c>
      <c r="L4490" s="4562">
        <f>XLOOKUP(B4490,'_Sys|Line_Map'!$A:$A,'_Sys|Line_Map'!$B:$B,"MISSING",0)</f>
        <v/>
      </c>
    </row>
    <row r="4491">
      <c r="A4491" s="4561" t="n"/>
      <c r="B4491" s="4561" t="n"/>
      <c r="C4491" s="4561" t="n"/>
      <c r="D4491" s="4561" t="n"/>
      <c r="E4491" s="4561" t="n"/>
      <c r="F4491" s="4561" t="n"/>
      <c r="G4491" s="4561" t="n"/>
      <c r="H4491" s="4561" t="n"/>
      <c r="I4491" s="4562">
        <f>XLOOKUP(B4491,'_Sys|Line_Map'!$A:$A,'_Sys|Line_Map'!$C:$C,"MISSING",0)</f>
        <v/>
      </c>
      <c r="J4491" s="4562">
        <f>XLOOKUP(B4491,'_Sys|Line_Map'!$A:$A,'_Sys|Line_Map'!$D:$D,1,0)</f>
        <v/>
      </c>
      <c r="K4491" s="4562">
        <f>IF(D4491="","",D4491*J4491)</f>
        <v/>
      </c>
      <c r="L4491" s="4562">
        <f>XLOOKUP(B4491,'_Sys|Line_Map'!$A:$A,'_Sys|Line_Map'!$B:$B,"MISSING",0)</f>
        <v/>
      </c>
    </row>
    <row r="4492">
      <c r="A4492" s="4561" t="n"/>
      <c r="B4492" s="4561" t="n"/>
      <c r="C4492" s="4561" t="n"/>
      <c r="D4492" s="4561" t="n"/>
      <c r="E4492" s="4561" t="n"/>
      <c r="F4492" s="4561" t="n"/>
      <c r="G4492" s="4561" t="n"/>
      <c r="H4492" s="4561" t="n"/>
      <c r="I4492" s="4562">
        <f>XLOOKUP(B4492,'_Sys|Line_Map'!$A:$A,'_Sys|Line_Map'!$C:$C,"MISSING",0)</f>
        <v/>
      </c>
      <c r="J4492" s="4562">
        <f>XLOOKUP(B4492,'_Sys|Line_Map'!$A:$A,'_Sys|Line_Map'!$D:$D,1,0)</f>
        <v/>
      </c>
      <c r="K4492" s="4562">
        <f>IF(D4492="","",D4492*J4492)</f>
        <v/>
      </c>
      <c r="L4492" s="4562">
        <f>XLOOKUP(B4492,'_Sys|Line_Map'!$A:$A,'_Sys|Line_Map'!$B:$B,"MISSING",0)</f>
        <v/>
      </c>
    </row>
    <row r="4493">
      <c r="A4493" s="4561" t="n"/>
      <c r="B4493" s="4561" t="n"/>
      <c r="C4493" s="4561" t="n"/>
      <c r="D4493" s="4561" t="n"/>
      <c r="E4493" s="4561" t="n"/>
      <c r="F4493" s="4561" t="n"/>
      <c r="G4493" s="4561" t="n"/>
      <c r="H4493" s="4561" t="n"/>
      <c r="I4493" s="4562">
        <f>XLOOKUP(B4493,'_Sys|Line_Map'!$A:$A,'_Sys|Line_Map'!$C:$C,"MISSING",0)</f>
        <v/>
      </c>
      <c r="J4493" s="4562">
        <f>XLOOKUP(B4493,'_Sys|Line_Map'!$A:$A,'_Sys|Line_Map'!$D:$D,1,0)</f>
        <v/>
      </c>
      <c r="K4493" s="4562">
        <f>IF(D4493="","",D4493*J4493)</f>
        <v/>
      </c>
      <c r="L4493" s="4562">
        <f>XLOOKUP(B4493,'_Sys|Line_Map'!$A:$A,'_Sys|Line_Map'!$B:$B,"MISSING",0)</f>
        <v/>
      </c>
    </row>
    <row r="4494">
      <c r="A4494" s="4561" t="n"/>
      <c r="B4494" s="4561" t="n"/>
      <c r="C4494" s="4561" t="n"/>
      <c r="D4494" s="4561" t="n"/>
      <c r="E4494" s="4561" t="n"/>
      <c r="F4494" s="4561" t="n"/>
      <c r="G4494" s="4561" t="n"/>
      <c r="H4494" s="4561" t="n"/>
      <c r="I4494" s="4562">
        <f>XLOOKUP(B4494,'_Sys|Line_Map'!$A:$A,'_Sys|Line_Map'!$C:$C,"MISSING",0)</f>
        <v/>
      </c>
      <c r="J4494" s="4562">
        <f>XLOOKUP(B4494,'_Sys|Line_Map'!$A:$A,'_Sys|Line_Map'!$D:$D,1,0)</f>
        <v/>
      </c>
      <c r="K4494" s="4562">
        <f>IF(D4494="","",D4494*J4494)</f>
        <v/>
      </c>
      <c r="L4494" s="4562">
        <f>XLOOKUP(B4494,'_Sys|Line_Map'!$A:$A,'_Sys|Line_Map'!$B:$B,"MISSING",0)</f>
        <v/>
      </c>
    </row>
    <row r="4495">
      <c r="A4495" s="4561" t="n"/>
      <c r="B4495" s="4561" t="n"/>
      <c r="C4495" s="4561" t="n"/>
      <c r="D4495" s="4561" t="n"/>
      <c r="E4495" s="4561" t="n"/>
      <c r="F4495" s="4561" t="n"/>
      <c r="G4495" s="4561" t="n"/>
      <c r="H4495" s="4561" t="n"/>
      <c r="I4495" s="4562">
        <f>XLOOKUP(B4495,'_Sys|Line_Map'!$A:$A,'_Sys|Line_Map'!$C:$C,"MISSING",0)</f>
        <v/>
      </c>
      <c r="J4495" s="4562">
        <f>XLOOKUP(B4495,'_Sys|Line_Map'!$A:$A,'_Sys|Line_Map'!$D:$D,1,0)</f>
        <v/>
      </c>
      <c r="K4495" s="4562">
        <f>IF(D4495="","",D4495*J4495)</f>
        <v/>
      </c>
      <c r="L4495" s="4562">
        <f>XLOOKUP(B4495,'_Sys|Line_Map'!$A:$A,'_Sys|Line_Map'!$B:$B,"MISSING",0)</f>
        <v/>
      </c>
    </row>
    <row r="4496">
      <c r="A4496" s="4561" t="n"/>
      <c r="B4496" s="4561" t="n"/>
      <c r="C4496" s="4561" t="n"/>
      <c r="D4496" s="4561" t="n"/>
      <c r="E4496" s="4561" t="n"/>
      <c r="F4496" s="4561" t="n"/>
      <c r="G4496" s="4561" t="n"/>
      <c r="H4496" s="4561" t="n"/>
      <c r="I4496" s="4562">
        <f>XLOOKUP(B4496,'_Sys|Line_Map'!$A:$A,'_Sys|Line_Map'!$C:$C,"MISSING",0)</f>
        <v/>
      </c>
      <c r="J4496" s="4562">
        <f>XLOOKUP(B4496,'_Sys|Line_Map'!$A:$A,'_Sys|Line_Map'!$D:$D,1,0)</f>
        <v/>
      </c>
      <c r="K4496" s="4562">
        <f>IF(D4496="","",D4496*J4496)</f>
        <v/>
      </c>
      <c r="L4496" s="4562">
        <f>XLOOKUP(B4496,'_Sys|Line_Map'!$A:$A,'_Sys|Line_Map'!$B:$B,"MISSING",0)</f>
        <v/>
      </c>
    </row>
    <row r="4497">
      <c r="A4497" s="4561" t="n"/>
      <c r="B4497" s="4561" t="n"/>
      <c r="C4497" s="4561" t="n"/>
      <c r="D4497" s="4561" t="n"/>
      <c r="E4497" s="4561" t="n"/>
      <c r="F4497" s="4561" t="n"/>
      <c r="G4497" s="4561" t="n"/>
      <c r="H4497" s="4561" t="n"/>
      <c r="I4497" s="4562">
        <f>XLOOKUP(B4497,'_Sys|Line_Map'!$A:$A,'_Sys|Line_Map'!$C:$C,"MISSING",0)</f>
        <v/>
      </c>
      <c r="J4497" s="4562">
        <f>XLOOKUP(B4497,'_Sys|Line_Map'!$A:$A,'_Sys|Line_Map'!$D:$D,1,0)</f>
        <v/>
      </c>
      <c r="K4497" s="4562">
        <f>IF(D4497="","",D4497*J4497)</f>
        <v/>
      </c>
      <c r="L4497" s="4562">
        <f>XLOOKUP(B4497,'_Sys|Line_Map'!$A:$A,'_Sys|Line_Map'!$B:$B,"MISSING",0)</f>
        <v/>
      </c>
    </row>
    <row r="4498">
      <c r="A4498" s="4561" t="n"/>
      <c r="B4498" s="4561" t="n"/>
      <c r="C4498" s="4561" t="n"/>
      <c r="D4498" s="4561" t="n"/>
      <c r="E4498" s="4561" t="n"/>
      <c r="F4498" s="4561" t="n"/>
      <c r="G4498" s="4561" t="n"/>
      <c r="H4498" s="4561" t="n"/>
      <c r="I4498" s="4562">
        <f>XLOOKUP(B4498,'_Sys|Line_Map'!$A:$A,'_Sys|Line_Map'!$C:$C,"MISSING",0)</f>
        <v/>
      </c>
      <c r="J4498" s="4562">
        <f>XLOOKUP(B4498,'_Sys|Line_Map'!$A:$A,'_Sys|Line_Map'!$D:$D,1,0)</f>
        <v/>
      </c>
      <c r="K4498" s="4562">
        <f>IF(D4498="","",D4498*J4498)</f>
        <v/>
      </c>
      <c r="L4498" s="4562">
        <f>XLOOKUP(B4498,'_Sys|Line_Map'!$A:$A,'_Sys|Line_Map'!$B:$B,"MISSING",0)</f>
        <v/>
      </c>
    </row>
    <row r="4499">
      <c r="A4499" s="4561" t="n"/>
      <c r="B4499" s="4561" t="n"/>
      <c r="C4499" s="4561" t="n"/>
      <c r="D4499" s="4561" t="n"/>
      <c r="E4499" s="4561" t="n"/>
      <c r="F4499" s="4561" t="n"/>
      <c r="G4499" s="4561" t="n"/>
      <c r="H4499" s="4561" t="n"/>
      <c r="I4499" s="4562">
        <f>XLOOKUP(B4499,'_Sys|Line_Map'!$A:$A,'_Sys|Line_Map'!$C:$C,"MISSING",0)</f>
        <v/>
      </c>
      <c r="J4499" s="4562">
        <f>XLOOKUP(B4499,'_Sys|Line_Map'!$A:$A,'_Sys|Line_Map'!$D:$D,1,0)</f>
        <v/>
      </c>
      <c r="K4499" s="4562">
        <f>IF(D4499="","",D4499*J4499)</f>
        <v/>
      </c>
      <c r="L4499" s="4562">
        <f>XLOOKUP(B4499,'_Sys|Line_Map'!$A:$A,'_Sys|Line_Map'!$B:$B,"MISSING",0)</f>
        <v/>
      </c>
    </row>
    <row r="4500">
      <c r="A4500" s="4561" t="n"/>
      <c r="B4500" s="4561" t="n"/>
      <c r="C4500" s="4561" t="n"/>
      <c r="D4500" s="4561" t="n"/>
      <c r="E4500" s="4561" t="n"/>
      <c r="F4500" s="4561" t="n"/>
      <c r="G4500" s="4561" t="n"/>
      <c r="H4500" s="4561" t="n"/>
      <c r="I4500" s="4562">
        <f>XLOOKUP(B4500,'_Sys|Line_Map'!$A:$A,'_Sys|Line_Map'!$C:$C,"MISSING",0)</f>
        <v/>
      </c>
      <c r="J4500" s="4562">
        <f>XLOOKUP(B4500,'_Sys|Line_Map'!$A:$A,'_Sys|Line_Map'!$D:$D,1,0)</f>
        <v/>
      </c>
      <c r="K4500" s="4562">
        <f>IF(D4500="","",D4500*J4500)</f>
        <v/>
      </c>
      <c r="L4500" s="4562">
        <f>XLOOKUP(B4500,'_Sys|Line_Map'!$A:$A,'_Sys|Line_Map'!$B:$B,"MISSING",0)</f>
        <v/>
      </c>
    </row>
    <row r="4501">
      <c r="A4501" s="4561" t="n"/>
      <c r="B4501" s="4561" t="n"/>
      <c r="C4501" s="4561" t="n"/>
      <c r="D4501" s="4561" t="n"/>
      <c r="E4501" s="4561" t="n"/>
      <c r="F4501" s="4561" t="n"/>
      <c r="G4501" s="4561" t="n"/>
      <c r="H4501" s="4561" t="n"/>
      <c r="I4501" s="4562">
        <f>XLOOKUP(B4501,'_Sys|Line_Map'!$A:$A,'_Sys|Line_Map'!$C:$C,"MISSING",0)</f>
        <v/>
      </c>
      <c r="J4501" s="4562">
        <f>XLOOKUP(B4501,'_Sys|Line_Map'!$A:$A,'_Sys|Line_Map'!$D:$D,1,0)</f>
        <v/>
      </c>
      <c r="K4501" s="4562">
        <f>IF(D4501="","",D4501*J4501)</f>
        <v/>
      </c>
      <c r="L4501" s="4562">
        <f>XLOOKUP(B4501,'_Sys|Line_Map'!$A:$A,'_Sys|Line_Map'!$B:$B,"MISSING",0)</f>
        <v/>
      </c>
    </row>
    <row r="4502">
      <c r="A4502" s="4561" t="n"/>
      <c r="B4502" s="4561" t="n"/>
      <c r="C4502" s="4561" t="n"/>
      <c r="D4502" s="4561" t="n"/>
      <c r="E4502" s="4561" t="n"/>
      <c r="F4502" s="4561" t="n"/>
      <c r="G4502" s="4561" t="n"/>
      <c r="H4502" s="4561" t="n"/>
      <c r="I4502" s="4562">
        <f>XLOOKUP(B4502,'_Sys|Line_Map'!$A:$A,'_Sys|Line_Map'!$C:$C,"MISSING",0)</f>
        <v/>
      </c>
      <c r="J4502" s="4562">
        <f>XLOOKUP(B4502,'_Sys|Line_Map'!$A:$A,'_Sys|Line_Map'!$D:$D,1,0)</f>
        <v/>
      </c>
      <c r="K4502" s="4562">
        <f>IF(D4502="","",D4502*J4502)</f>
        <v/>
      </c>
      <c r="L4502" s="4562">
        <f>XLOOKUP(B4502,'_Sys|Line_Map'!$A:$A,'_Sys|Line_Map'!$B:$B,"MISSING",0)</f>
        <v/>
      </c>
    </row>
    <row r="4503">
      <c r="A4503" s="4561" t="n"/>
      <c r="B4503" s="4561" t="n"/>
      <c r="C4503" s="4561" t="n"/>
      <c r="D4503" s="4561" t="n"/>
      <c r="E4503" s="4561" t="n"/>
      <c r="F4503" s="4561" t="n"/>
      <c r="G4503" s="4561" t="n"/>
      <c r="H4503" s="4561" t="n"/>
      <c r="I4503" s="4562">
        <f>XLOOKUP(B4503,'_Sys|Line_Map'!$A:$A,'_Sys|Line_Map'!$C:$C,"MISSING",0)</f>
        <v/>
      </c>
      <c r="J4503" s="4562">
        <f>XLOOKUP(B4503,'_Sys|Line_Map'!$A:$A,'_Sys|Line_Map'!$D:$D,1,0)</f>
        <v/>
      </c>
      <c r="K4503" s="4562">
        <f>IF(D4503="","",D4503*J4503)</f>
        <v/>
      </c>
      <c r="L4503" s="4562">
        <f>XLOOKUP(B4503,'_Sys|Line_Map'!$A:$A,'_Sys|Line_Map'!$B:$B,"MISSING",0)</f>
        <v/>
      </c>
    </row>
    <row r="4504">
      <c r="A4504" s="4561" t="n"/>
      <c r="B4504" s="4561" t="n"/>
      <c r="C4504" s="4561" t="n"/>
      <c r="D4504" s="4561" t="n"/>
      <c r="E4504" s="4561" t="n"/>
      <c r="F4504" s="4561" t="n"/>
      <c r="G4504" s="4561" t="n"/>
      <c r="H4504" s="4561" t="n"/>
      <c r="I4504" s="4562">
        <f>XLOOKUP(B4504,'_Sys|Line_Map'!$A:$A,'_Sys|Line_Map'!$C:$C,"MISSING",0)</f>
        <v/>
      </c>
      <c r="J4504" s="4562">
        <f>XLOOKUP(B4504,'_Sys|Line_Map'!$A:$A,'_Sys|Line_Map'!$D:$D,1,0)</f>
        <v/>
      </c>
      <c r="K4504" s="4562">
        <f>IF(D4504="","",D4504*J4504)</f>
        <v/>
      </c>
      <c r="L4504" s="4562">
        <f>XLOOKUP(B4504,'_Sys|Line_Map'!$A:$A,'_Sys|Line_Map'!$B:$B,"MISSING",0)</f>
        <v/>
      </c>
    </row>
    <row r="4505">
      <c r="A4505" s="4561" t="n"/>
      <c r="B4505" s="4561" t="n"/>
      <c r="C4505" s="4561" t="n"/>
      <c r="D4505" s="4561" t="n"/>
      <c r="E4505" s="4561" t="n"/>
      <c r="F4505" s="4561" t="n"/>
      <c r="G4505" s="4561" t="n"/>
      <c r="H4505" s="4561" t="n"/>
      <c r="I4505" s="4562">
        <f>XLOOKUP(B4505,'_Sys|Line_Map'!$A:$A,'_Sys|Line_Map'!$C:$C,"MISSING",0)</f>
        <v/>
      </c>
      <c r="J4505" s="4562">
        <f>XLOOKUP(B4505,'_Sys|Line_Map'!$A:$A,'_Sys|Line_Map'!$D:$D,1,0)</f>
        <v/>
      </c>
      <c r="K4505" s="4562">
        <f>IF(D4505="","",D4505*J4505)</f>
        <v/>
      </c>
      <c r="L4505" s="4562">
        <f>XLOOKUP(B4505,'_Sys|Line_Map'!$A:$A,'_Sys|Line_Map'!$B:$B,"MISSING",0)</f>
        <v/>
      </c>
    </row>
    <row r="4506">
      <c r="A4506" s="4561" t="n"/>
      <c r="B4506" s="4561" t="n"/>
      <c r="C4506" s="4561" t="n"/>
      <c r="D4506" s="4561" t="n"/>
      <c r="E4506" s="4561" t="n"/>
      <c r="F4506" s="4561" t="n"/>
      <c r="G4506" s="4561" t="n"/>
      <c r="H4506" s="4561" t="n"/>
      <c r="I4506" s="4562">
        <f>XLOOKUP(B4506,'_Sys|Line_Map'!$A:$A,'_Sys|Line_Map'!$C:$C,"MISSING",0)</f>
        <v/>
      </c>
      <c r="J4506" s="4562">
        <f>XLOOKUP(B4506,'_Sys|Line_Map'!$A:$A,'_Sys|Line_Map'!$D:$D,1,0)</f>
        <v/>
      </c>
      <c r="K4506" s="4562">
        <f>IF(D4506="","",D4506*J4506)</f>
        <v/>
      </c>
      <c r="L4506" s="4562">
        <f>XLOOKUP(B4506,'_Sys|Line_Map'!$A:$A,'_Sys|Line_Map'!$B:$B,"MISSING",0)</f>
        <v/>
      </c>
    </row>
    <row r="4507">
      <c r="A4507" s="4561" t="n"/>
      <c r="B4507" s="4561" t="n"/>
      <c r="C4507" s="4561" t="n"/>
      <c r="D4507" s="4561" t="n"/>
      <c r="E4507" s="4561" t="n"/>
      <c r="F4507" s="4561" t="n"/>
      <c r="G4507" s="4561" t="n"/>
      <c r="H4507" s="4561" t="n"/>
      <c r="I4507" s="4562">
        <f>XLOOKUP(B4507,'_Sys|Line_Map'!$A:$A,'_Sys|Line_Map'!$C:$C,"MISSING",0)</f>
        <v/>
      </c>
      <c r="J4507" s="4562">
        <f>XLOOKUP(B4507,'_Sys|Line_Map'!$A:$A,'_Sys|Line_Map'!$D:$D,1,0)</f>
        <v/>
      </c>
      <c r="K4507" s="4562">
        <f>IF(D4507="","",D4507*J4507)</f>
        <v/>
      </c>
      <c r="L4507" s="4562">
        <f>XLOOKUP(B4507,'_Sys|Line_Map'!$A:$A,'_Sys|Line_Map'!$B:$B,"MISSING",0)</f>
        <v/>
      </c>
    </row>
    <row r="4508">
      <c r="A4508" s="4561" t="n"/>
      <c r="B4508" s="4561" t="n"/>
      <c r="C4508" s="4561" t="n"/>
      <c r="D4508" s="4561" t="n"/>
      <c r="E4508" s="4561" t="n"/>
      <c r="F4508" s="4561" t="n"/>
      <c r="G4508" s="4561" t="n"/>
      <c r="H4508" s="4561" t="n"/>
      <c r="I4508" s="4562">
        <f>XLOOKUP(B4508,'_Sys|Line_Map'!$A:$A,'_Sys|Line_Map'!$C:$C,"MISSING",0)</f>
        <v/>
      </c>
      <c r="J4508" s="4562">
        <f>XLOOKUP(B4508,'_Sys|Line_Map'!$A:$A,'_Sys|Line_Map'!$D:$D,1,0)</f>
        <v/>
      </c>
      <c r="K4508" s="4562">
        <f>IF(D4508="","",D4508*J4508)</f>
        <v/>
      </c>
      <c r="L4508" s="4562">
        <f>XLOOKUP(B4508,'_Sys|Line_Map'!$A:$A,'_Sys|Line_Map'!$B:$B,"MISSING",0)</f>
        <v/>
      </c>
    </row>
    <row r="4509">
      <c r="A4509" s="4561" t="n"/>
      <c r="B4509" s="4561" t="n"/>
      <c r="C4509" s="4561" t="n"/>
      <c r="D4509" s="4561" t="n"/>
      <c r="E4509" s="4561" t="n"/>
      <c r="F4509" s="4561" t="n"/>
      <c r="G4509" s="4561" t="n"/>
      <c r="H4509" s="4561" t="n"/>
      <c r="I4509" s="4562">
        <f>XLOOKUP(B4509,'_Sys|Line_Map'!$A:$A,'_Sys|Line_Map'!$C:$C,"MISSING",0)</f>
        <v/>
      </c>
      <c r="J4509" s="4562">
        <f>XLOOKUP(B4509,'_Sys|Line_Map'!$A:$A,'_Sys|Line_Map'!$D:$D,1,0)</f>
        <v/>
      </c>
      <c r="K4509" s="4562">
        <f>IF(D4509="","",D4509*J4509)</f>
        <v/>
      </c>
      <c r="L4509" s="4562">
        <f>XLOOKUP(B4509,'_Sys|Line_Map'!$A:$A,'_Sys|Line_Map'!$B:$B,"MISSING",0)</f>
        <v/>
      </c>
    </row>
    <row r="4510">
      <c r="A4510" s="4561" t="n"/>
      <c r="B4510" s="4561" t="n"/>
      <c r="C4510" s="4561" t="n"/>
      <c r="D4510" s="4561" t="n"/>
      <c r="E4510" s="4561" t="n"/>
      <c r="F4510" s="4561" t="n"/>
      <c r="G4510" s="4561" t="n"/>
      <c r="H4510" s="4561" t="n"/>
      <c r="I4510" s="4562">
        <f>XLOOKUP(B4510,'_Sys|Line_Map'!$A:$A,'_Sys|Line_Map'!$C:$C,"MISSING",0)</f>
        <v/>
      </c>
      <c r="J4510" s="4562">
        <f>XLOOKUP(B4510,'_Sys|Line_Map'!$A:$A,'_Sys|Line_Map'!$D:$D,1,0)</f>
        <v/>
      </c>
      <c r="K4510" s="4562">
        <f>IF(D4510="","",D4510*J4510)</f>
        <v/>
      </c>
      <c r="L4510" s="4562">
        <f>XLOOKUP(B4510,'_Sys|Line_Map'!$A:$A,'_Sys|Line_Map'!$B:$B,"MISSING",0)</f>
        <v/>
      </c>
    </row>
    <row r="4511">
      <c r="A4511" s="4561" t="n"/>
      <c r="B4511" s="4561" t="n"/>
      <c r="C4511" s="4561" t="n"/>
      <c r="D4511" s="4561" t="n"/>
      <c r="E4511" s="4561" t="n"/>
      <c r="F4511" s="4561" t="n"/>
      <c r="G4511" s="4561" t="n"/>
      <c r="H4511" s="4561" t="n"/>
      <c r="I4511" s="4562">
        <f>XLOOKUP(B4511,'_Sys|Line_Map'!$A:$A,'_Sys|Line_Map'!$C:$C,"MISSING",0)</f>
        <v/>
      </c>
      <c r="J4511" s="4562">
        <f>XLOOKUP(B4511,'_Sys|Line_Map'!$A:$A,'_Sys|Line_Map'!$D:$D,1,0)</f>
        <v/>
      </c>
      <c r="K4511" s="4562">
        <f>IF(D4511="","",D4511*J4511)</f>
        <v/>
      </c>
      <c r="L4511" s="4562">
        <f>XLOOKUP(B4511,'_Sys|Line_Map'!$A:$A,'_Sys|Line_Map'!$B:$B,"MISSING",0)</f>
        <v/>
      </c>
    </row>
    <row r="4512">
      <c r="A4512" s="4561" t="n"/>
      <c r="B4512" s="4561" t="n"/>
      <c r="C4512" s="4561" t="n"/>
      <c r="D4512" s="4561" t="n"/>
      <c r="E4512" s="4561" t="n"/>
      <c r="F4512" s="4561" t="n"/>
      <c r="G4512" s="4561" t="n"/>
      <c r="H4512" s="4561" t="n"/>
      <c r="I4512" s="4562">
        <f>XLOOKUP(B4512,'_Sys|Line_Map'!$A:$A,'_Sys|Line_Map'!$C:$C,"MISSING",0)</f>
        <v/>
      </c>
      <c r="J4512" s="4562">
        <f>XLOOKUP(B4512,'_Sys|Line_Map'!$A:$A,'_Sys|Line_Map'!$D:$D,1,0)</f>
        <v/>
      </c>
      <c r="K4512" s="4562">
        <f>IF(D4512="","",D4512*J4512)</f>
        <v/>
      </c>
      <c r="L4512" s="4562">
        <f>XLOOKUP(B4512,'_Sys|Line_Map'!$A:$A,'_Sys|Line_Map'!$B:$B,"MISSING",0)</f>
        <v/>
      </c>
    </row>
    <row r="4513">
      <c r="A4513" s="4561" t="n"/>
      <c r="B4513" s="4561" t="n"/>
      <c r="C4513" s="4561" t="n"/>
      <c r="D4513" s="4561" t="n"/>
      <c r="E4513" s="4561" t="n"/>
      <c r="F4513" s="4561" t="n"/>
      <c r="G4513" s="4561" t="n"/>
      <c r="H4513" s="4561" t="n"/>
      <c r="I4513" s="4562">
        <f>XLOOKUP(B4513,'_Sys|Line_Map'!$A:$A,'_Sys|Line_Map'!$C:$C,"MISSING",0)</f>
        <v/>
      </c>
      <c r="J4513" s="4562">
        <f>XLOOKUP(B4513,'_Sys|Line_Map'!$A:$A,'_Sys|Line_Map'!$D:$D,1,0)</f>
        <v/>
      </c>
      <c r="K4513" s="4562">
        <f>IF(D4513="","",D4513*J4513)</f>
        <v/>
      </c>
      <c r="L4513" s="4562">
        <f>XLOOKUP(B4513,'_Sys|Line_Map'!$A:$A,'_Sys|Line_Map'!$B:$B,"MISSING",0)</f>
        <v/>
      </c>
    </row>
    <row r="4514">
      <c r="A4514" s="4561" t="n"/>
      <c r="B4514" s="4561" t="n"/>
      <c r="C4514" s="4561" t="n"/>
      <c r="D4514" s="4561" t="n"/>
      <c r="E4514" s="4561" t="n"/>
      <c r="F4514" s="4561" t="n"/>
      <c r="G4514" s="4561" t="n"/>
      <c r="H4514" s="4561" t="n"/>
      <c r="I4514" s="4562">
        <f>XLOOKUP(B4514,'_Sys|Line_Map'!$A:$A,'_Sys|Line_Map'!$C:$C,"MISSING",0)</f>
        <v/>
      </c>
      <c r="J4514" s="4562">
        <f>XLOOKUP(B4514,'_Sys|Line_Map'!$A:$A,'_Sys|Line_Map'!$D:$D,1,0)</f>
        <v/>
      </c>
      <c r="K4514" s="4562">
        <f>IF(D4514="","",D4514*J4514)</f>
        <v/>
      </c>
      <c r="L4514" s="4562">
        <f>XLOOKUP(B4514,'_Sys|Line_Map'!$A:$A,'_Sys|Line_Map'!$B:$B,"MISSING",0)</f>
        <v/>
      </c>
    </row>
    <row r="4515">
      <c r="A4515" s="4561" t="n"/>
      <c r="B4515" s="4561" t="n"/>
      <c r="C4515" s="4561" t="n"/>
      <c r="D4515" s="4561" t="n"/>
      <c r="E4515" s="4561" t="n"/>
      <c r="F4515" s="4561" t="n"/>
      <c r="G4515" s="4561" t="n"/>
      <c r="H4515" s="4561" t="n"/>
      <c r="I4515" s="4562">
        <f>XLOOKUP(B4515,'_Sys|Line_Map'!$A:$A,'_Sys|Line_Map'!$C:$C,"MISSING",0)</f>
        <v/>
      </c>
      <c r="J4515" s="4562">
        <f>XLOOKUP(B4515,'_Sys|Line_Map'!$A:$A,'_Sys|Line_Map'!$D:$D,1,0)</f>
        <v/>
      </c>
      <c r="K4515" s="4562">
        <f>IF(D4515="","",D4515*J4515)</f>
        <v/>
      </c>
      <c r="L4515" s="4562">
        <f>XLOOKUP(B4515,'_Sys|Line_Map'!$A:$A,'_Sys|Line_Map'!$B:$B,"MISSING",0)</f>
        <v/>
      </c>
    </row>
    <row r="4516">
      <c r="A4516" s="4561" t="n"/>
      <c r="B4516" s="4561" t="n"/>
      <c r="C4516" s="4561" t="n"/>
      <c r="D4516" s="4561" t="n"/>
      <c r="E4516" s="4561" t="n"/>
      <c r="F4516" s="4561" t="n"/>
      <c r="G4516" s="4561" t="n"/>
      <c r="H4516" s="4561" t="n"/>
      <c r="I4516" s="4562">
        <f>XLOOKUP(B4516,'_Sys|Line_Map'!$A:$A,'_Sys|Line_Map'!$C:$C,"MISSING",0)</f>
        <v/>
      </c>
      <c r="J4516" s="4562">
        <f>XLOOKUP(B4516,'_Sys|Line_Map'!$A:$A,'_Sys|Line_Map'!$D:$D,1,0)</f>
        <v/>
      </c>
      <c r="K4516" s="4562">
        <f>IF(D4516="","",D4516*J4516)</f>
        <v/>
      </c>
      <c r="L4516" s="4562">
        <f>XLOOKUP(B4516,'_Sys|Line_Map'!$A:$A,'_Sys|Line_Map'!$B:$B,"MISSING",0)</f>
        <v/>
      </c>
    </row>
    <row r="4517">
      <c r="A4517" s="4561" t="n"/>
      <c r="B4517" s="4561" t="n"/>
      <c r="C4517" s="4561" t="n"/>
      <c r="D4517" s="4561" t="n"/>
      <c r="E4517" s="4561" t="n"/>
      <c r="F4517" s="4561" t="n"/>
      <c r="G4517" s="4561" t="n"/>
      <c r="H4517" s="4561" t="n"/>
      <c r="I4517" s="4562">
        <f>XLOOKUP(B4517,'_Sys|Line_Map'!$A:$A,'_Sys|Line_Map'!$C:$C,"MISSING",0)</f>
        <v/>
      </c>
      <c r="J4517" s="4562">
        <f>XLOOKUP(B4517,'_Sys|Line_Map'!$A:$A,'_Sys|Line_Map'!$D:$D,1,0)</f>
        <v/>
      </c>
      <c r="K4517" s="4562">
        <f>IF(D4517="","",D4517*J4517)</f>
        <v/>
      </c>
      <c r="L4517" s="4562">
        <f>XLOOKUP(B4517,'_Sys|Line_Map'!$A:$A,'_Sys|Line_Map'!$B:$B,"MISSING",0)</f>
        <v/>
      </c>
    </row>
    <row r="4518">
      <c r="A4518" s="4561" t="n"/>
      <c r="B4518" s="4561" t="n"/>
      <c r="C4518" s="4561" t="n"/>
      <c r="D4518" s="4561" t="n"/>
      <c r="E4518" s="4561" t="n"/>
      <c r="F4518" s="4561" t="n"/>
      <c r="G4518" s="4561" t="n"/>
      <c r="H4518" s="4561" t="n"/>
      <c r="I4518" s="4562">
        <f>XLOOKUP(B4518,'_Sys|Line_Map'!$A:$A,'_Sys|Line_Map'!$C:$C,"MISSING",0)</f>
        <v/>
      </c>
      <c r="J4518" s="4562">
        <f>XLOOKUP(B4518,'_Sys|Line_Map'!$A:$A,'_Sys|Line_Map'!$D:$D,1,0)</f>
        <v/>
      </c>
      <c r="K4518" s="4562">
        <f>IF(D4518="","",D4518*J4518)</f>
        <v/>
      </c>
      <c r="L4518" s="4562">
        <f>XLOOKUP(B4518,'_Sys|Line_Map'!$A:$A,'_Sys|Line_Map'!$B:$B,"MISSING",0)</f>
        <v/>
      </c>
    </row>
    <row r="4519">
      <c r="A4519" s="4561" t="n"/>
      <c r="B4519" s="4561" t="n"/>
      <c r="C4519" s="4561" t="n"/>
      <c r="D4519" s="4561" t="n"/>
      <c r="E4519" s="4561" t="n"/>
      <c r="F4519" s="4561" t="n"/>
      <c r="G4519" s="4561" t="n"/>
      <c r="H4519" s="4561" t="n"/>
      <c r="I4519" s="4562">
        <f>XLOOKUP(B4519,'_Sys|Line_Map'!$A:$A,'_Sys|Line_Map'!$C:$C,"MISSING",0)</f>
        <v/>
      </c>
      <c r="J4519" s="4562">
        <f>XLOOKUP(B4519,'_Sys|Line_Map'!$A:$A,'_Sys|Line_Map'!$D:$D,1,0)</f>
        <v/>
      </c>
      <c r="K4519" s="4562">
        <f>IF(D4519="","",D4519*J4519)</f>
        <v/>
      </c>
      <c r="L4519" s="4562">
        <f>XLOOKUP(B4519,'_Sys|Line_Map'!$A:$A,'_Sys|Line_Map'!$B:$B,"MISSING",0)</f>
        <v/>
      </c>
    </row>
    <row r="4520">
      <c r="A4520" s="4561" t="n"/>
      <c r="B4520" s="4561" t="n"/>
      <c r="C4520" s="4561" t="n"/>
      <c r="D4520" s="4561" t="n"/>
      <c r="E4520" s="4561" t="n"/>
      <c r="F4520" s="4561" t="n"/>
      <c r="G4520" s="4561" t="n"/>
      <c r="H4520" s="4561" t="n"/>
      <c r="I4520" s="4562">
        <f>XLOOKUP(B4520,'_Sys|Line_Map'!$A:$A,'_Sys|Line_Map'!$C:$C,"MISSING",0)</f>
        <v/>
      </c>
      <c r="J4520" s="4562">
        <f>XLOOKUP(B4520,'_Sys|Line_Map'!$A:$A,'_Sys|Line_Map'!$D:$D,1,0)</f>
        <v/>
      </c>
      <c r="K4520" s="4562">
        <f>IF(D4520="","",D4520*J4520)</f>
        <v/>
      </c>
      <c r="L4520" s="4562">
        <f>XLOOKUP(B4520,'_Sys|Line_Map'!$A:$A,'_Sys|Line_Map'!$B:$B,"MISSING",0)</f>
        <v/>
      </c>
    </row>
    <row r="4521">
      <c r="A4521" s="4561" t="n"/>
      <c r="B4521" s="4561" t="n"/>
      <c r="C4521" s="4561" t="n"/>
      <c r="D4521" s="4561" t="n"/>
      <c r="E4521" s="4561" t="n"/>
      <c r="F4521" s="4561" t="n"/>
      <c r="G4521" s="4561" t="n"/>
      <c r="H4521" s="4561" t="n"/>
      <c r="I4521" s="4562">
        <f>XLOOKUP(B4521,'_Sys|Line_Map'!$A:$A,'_Sys|Line_Map'!$C:$C,"MISSING",0)</f>
        <v/>
      </c>
      <c r="J4521" s="4562">
        <f>XLOOKUP(B4521,'_Sys|Line_Map'!$A:$A,'_Sys|Line_Map'!$D:$D,1,0)</f>
        <v/>
      </c>
      <c r="K4521" s="4562">
        <f>IF(D4521="","",D4521*J4521)</f>
        <v/>
      </c>
      <c r="L4521" s="4562">
        <f>XLOOKUP(B4521,'_Sys|Line_Map'!$A:$A,'_Sys|Line_Map'!$B:$B,"MISSING",0)</f>
        <v/>
      </c>
    </row>
    <row r="4522">
      <c r="A4522" s="4561" t="n"/>
      <c r="B4522" s="4561" t="n"/>
      <c r="C4522" s="4561" t="n"/>
      <c r="D4522" s="4561" t="n"/>
      <c r="E4522" s="4561" t="n"/>
      <c r="F4522" s="4561" t="n"/>
      <c r="G4522" s="4561" t="n"/>
      <c r="H4522" s="4561" t="n"/>
      <c r="I4522" s="4562">
        <f>XLOOKUP(B4522,'_Sys|Line_Map'!$A:$A,'_Sys|Line_Map'!$C:$C,"MISSING",0)</f>
        <v/>
      </c>
      <c r="J4522" s="4562">
        <f>XLOOKUP(B4522,'_Sys|Line_Map'!$A:$A,'_Sys|Line_Map'!$D:$D,1,0)</f>
        <v/>
      </c>
      <c r="K4522" s="4562">
        <f>IF(D4522="","",D4522*J4522)</f>
        <v/>
      </c>
      <c r="L4522" s="4562">
        <f>XLOOKUP(B4522,'_Sys|Line_Map'!$A:$A,'_Sys|Line_Map'!$B:$B,"MISSING",0)</f>
        <v/>
      </c>
    </row>
    <row r="4523">
      <c r="A4523" s="4561" t="n"/>
      <c r="B4523" s="4561" t="n"/>
      <c r="C4523" s="4561" t="n"/>
      <c r="D4523" s="4561" t="n"/>
      <c r="E4523" s="4561" t="n"/>
      <c r="F4523" s="4561" t="n"/>
      <c r="G4523" s="4561" t="n"/>
      <c r="H4523" s="4561" t="n"/>
      <c r="I4523" s="4562">
        <f>XLOOKUP(B4523,'_Sys|Line_Map'!$A:$A,'_Sys|Line_Map'!$C:$C,"MISSING",0)</f>
        <v/>
      </c>
      <c r="J4523" s="4562">
        <f>XLOOKUP(B4523,'_Sys|Line_Map'!$A:$A,'_Sys|Line_Map'!$D:$D,1,0)</f>
        <v/>
      </c>
      <c r="K4523" s="4562">
        <f>IF(D4523="","",D4523*J4523)</f>
        <v/>
      </c>
      <c r="L4523" s="4562">
        <f>XLOOKUP(B4523,'_Sys|Line_Map'!$A:$A,'_Sys|Line_Map'!$B:$B,"MISSING",0)</f>
        <v/>
      </c>
    </row>
    <row r="4524">
      <c r="A4524" s="4561" t="n"/>
      <c r="B4524" s="4561" t="n"/>
      <c r="C4524" s="4561" t="n"/>
      <c r="D4524" s="4561" t="n"/>
      <c r="E4524" s="4561" t="n"/>
      <c r="F4524" s="4561" t="n"/>
      <c r="G4524" s="4561" t="n"/>
      <c r="H4524" s="4561" t="n"/>
      <c r="I4524" s="4562">
        <f>XLOOKUP(B4524,'_Sys|Line_Map'!$A:$A,'_Sys|Line_Map'!$C:$C,"MISSING",0)</f>
        <v/>
      </c>
      <c r="J4524" s="4562">
        <f>XLOOKUP(B4524,'_Sys|Line_Map'!$A:$A,'_Sys|Line_Map'!$D:$D,1,0)</f>
        <v/>
      </c>
      <c r="K4524" s="4562">
        <f>IF(D4524="","",D4524*J4524)</f>
        <v/>
      </c>
      <c r="L4524" s="4562">
        <f>XLOOKUP(B4524,'_Sys|Line_Map'!$A:$A,'_Sys|Line_Map'!$B:$B,"MISSING",0)</f>
        <v/>
      </c>
    </row>
    <row r="4525">
      <c r="A4525" s="4561" t="n"/>
      <c r="B4525" s="4561" t="n"/>
      <c r="C4525" s="4561" t="n"/>
      <c r="D4525" s="4561" t="n"/>
      <c r="E4525" s="4561" t="n"/>
      <c r="F4525" s="4561" t="n"/>
      <c r="G4525" s="4561" t="n"/>
      <c r="H4525" s="4561" t="n"/>
      <c r="I4525" s="4562">
        <f>XLOOKUP(B4525,'_Sys|Line_Map'!$A:$A,'_Sys|Line_Map'!$C:$C,"MISSING",0)</f>
        <v/>
      </c>
      <c r="J4525" s="4562">
        <f>XLOOKUP(B4525,'_Sys|Line_Map'!$A:$A,'_Sys|Line_Map'!$D:$D,1,0)</f>
        <v/>
      </c>
      <c r="K4525" s="4562">
        <f>IF(D4525="","",D4525*J4525)</f>
        <v/>
      </c>
      <c r="L4525" s="4562">
        <f>XLOOKUP(B4525,'_Sys|Line_Map'!$A:$A,'_Sys|Line_Map'!$B:$B,"MISSING",0)</f>
        <v/>
      </c>
    </row>
    <row r="4526">
      <c r="A4526" s="4561" t="n"/>
      <c r="B4526" s="4561" t="n"/>
      <c r="C4526" s="4561" t="n"/>
      <c r="D4526" s="4561" t="n"/>
      <c r="E4526" s="4561" t="n"/>
      <c r="F4526" s="4561" t="n"/>
      <c r="G4526" s="4561" t="n"/>
      <c r="H4526" s="4561" t="n"/>
      <c r="I4526" s="4562">
        <f>XLOOKUP(B4526,'_Sys|Line_Map'!$A:$A,'_Sys|Line_Map'!$C:$C,"MISSING",0)</f>
        <v/>
      </c>
      <c r="J4526" s="4562">
        <f>XLOOKUP(B4526,'_Sys|Line_Map'!$A:$A,'_Sys|Line_Map'!$D:$D,1,0)</f>
        <v/>
      </c>
      <c r="K4526" s="4562">
        <f>IF(D4526="","",D4526*J4526)</f>
        <v/>
      </c>
      <c r="L4526" s="4562">
        <f>XLOOKUP(B4526,'_Sys|Line_Map'!$A:$A,'_Sys|Line_Map'!$B:$B,"MISSING",0)</f>
        <v/>
      </c>
    </row>
    <row r="4527">
      <c r="A4527" s="4561" t="n"/>
      <c r="B4527" s="4561" t="n"/>
      <c r="C4527" s="4561" t="n"/>
      <c r="D4527" s="4561" t="n"/>
      <c r="E4527" s="4561" t="n"/>
      <c r="F4527" s="4561" t="n"/>
      <c r="G4527" s="4561" t="n"/>
      <c r="H4527" s="4561" t="n"/>
      <c r="I4527" s="4562">
        <f>XLOOKUP(B4527,'_Sys|Line_Map'!$A:$A,'_Sys|Line_Map'!$C:$C,"MISSING",0)</f>
        <v/>
      </c>
      <c r="J4527" s="4562">
        <f>XLOOKUP(B4527,'_Sys|Line_Map'!$A:$A,'_Sys|Line_Map'!$D:$D,1,0)</f>
        <v/>
      </c>
      <c r="K4527" s="4562">
        <f>IF(D4527="","",D4527*J4527)</f>
        <v/>
      </c>
      <c r="L4527" s="4562">
        <f>XLOOKUP(B4527,'_Sys|Line_Map'!$A:$A,'_Sys|Line_Map'!$B:$B,"MISSING",0)</f>
        <v/>
      </c>
    </row>
    <row r="4528">
      <c r="A4528" s="4561" t="n"/>
      <c r="B4528" s="4561" t="n"/>
      <c r="C4528" s="4561" t="n"/>
      <c r="D4528" s="4561" t="n"/>
      <c r="E4528" s="4561" t="n"/>
      <c r="F4528" s="4561" t="n"/>
      <c r="G4528" s="4561" t="n"/>
      <c r="H4528" s="4561" t="n"/>
      <c r="I4528" s="4562">
        <f>XLOOKUP(B4528,'_Sys|Line_Map'!$A:$A,'_Sys|Line_Map'!$C:$C,"MISSING",0)</f>
        <v/>
      </c>
      <c r="J4528" s="4562">
        <f>XLOOKUP(B4528,'_Sys|Line_Map'!$A:$A,'_Sys|Line_Map'!$D:$D,1,0)</f>
        <v/>
      </c>
      <c r="K4528" s="4562">
        <f>IF(D4528="","",D4528*J4528)</f>
        <v/>
      </c>
      <c r="L4528" s="4562">
        <f>XLOOKUP(B4528,'_Sys|Line_Map'!$A:$A,'_Sys|Line_Map'!$B:$B,"MISSING",0)</f>
        <v/>
      </c>
    </row>
    <row r="4529">
      <c r="A4529" s="4561" t="n"/>
      <c r="B4529" s="4561" t="n"/>
      <c r="C4529" s="4561" t="n"/>
      <c r="D4529" s="4561" t="n"/>
      <c r="E4529" s="4561" t="n"/>
      <c r="F4529" s="4561" t="n"/>
      <c r="G4529" s="4561" t="n"/>
      <c r="H4529" s="4561" t="n"/>
      <c r="I4529" s="4562">
        <f>XLOOKUP(B4529,'_Sys|Line_Map'!$A:$A,'_Sys|Line_Map'!$C:$C,"MISSING",0)</f>
        <v/>
      </c>
      <c r="J4529" s="4562">
        <f>XLOOKUP(B4529,'_Sys|Line_Map'!$A:$A,'_Sys|Line_Map'!$D:$D,1,0)</f>
        <v/>
      </c>
      <c r="K4529" s="4562">
        <f>IF(D4529="","",D4529*J4529)</f>
        <v/>
      </c>
      <c r="L4529" s="4562">
        <f>XLOOKUP(B4529,'_Sys|Line_Map'!$A:$A,'_Sys|Line_Map'!$B:$B,"MISSING",0)</f>
        <v/>
      </c>
    </row>
    <row r="4530">
      <c r="A4530" s="4561" t="n"/>
      <c r="B4530" s="4561" t="n"/>
      <c r="C4530" s="4561" t="n"/>
      <c r="D4530" s="4561" t="n"/>
      <c r="E4530" s="4561" t="n"/>
      <c r="F4530" s="4561" t="n"/>
      <c r="G4530" s="4561" t="n"/>
      <c r="H4530" s="4561" t="n"/>
      <c r="I4530" s="4562">
        <f>XLOOKUP(B4530,'_Sys|Line_Map'!$A:$A,'_Sys|Line_Map'!$C:$C,"MISSING",0)</f>
        <v/>
      </c>
      <c r="J4530" s="4562">
        <f>XLOOKUP(B4530,'_Sys|Line_Map'!$A:$A,'_Sys|Line_Map'!$D:$D,1,0)</f>
        <v/>
      </c>
      <c r="K4530" s="4562">
        <f>IF(D4530="","",D4530*J4530)</f>
        <v/>
      </c>
      <c r="L4530" s="4562">
        <f>XLOOKUP(B4530,'_Sys|Line_Map'!$A:$A,'_Sys|Line_Map'!$B:$B,"MISSING",0)</f>
        <v/>
      </c>
    </row>
    <row r="4531">
      <c r="A4531" s="4561" t="n"/>
      <c r="B4531" s="4561" t="n"/>
      <c r="C4531" s="4561" t="n"/>
      <c r="D4531" s="4561" t="n"/>
      <c r="E4531" s="4561" t="n"/>
      <c r="F4531" s="4561" t="n"/>
      <c r="G4531" s="4561" t="n"/>
      <c r="H4531" s="4561" t="n"/>
      <c r="I4531" s="4562">
        <f>XLOOKUP(B4531,'_Sys|Line_Map'!$A:$A,'_Sys|Line_Map'!$C:$C,"MISSING",0)</f>
        <v/>
      </c>
      <c r="J4531" s="4562">
        <f>XLOOKUP(B4531,'_Sys|Line_Map'!$A:$A,'_Sys|Line_Map'!$D:$D,1,0)</f>
        <v/>
      </c>
      <c r="K4531" s="4562">
        <f>IF(D4531="","",D4531*J4531)</f>
        <v/>
      </c>
      <c r="L4531" s="4562">
        <f>XLOOKUP(B4531,'_Sys|Line_Map'!$A:$A,'_Sys|Line_Map'!$B:$B,"MISSING",0)</f>
        <v/>
      </c>
    </row>
    <row r="4532">
      <c r="A4532" s="4561" t="n"/>
      <c r="B4532" s="4561" t="n"/>
      <c r="C4532" s="4561" t="n"/>
      <c r="D4532" s="4561" t="n"/>
      <c r="E4532" s="4561" t="n"/>
      <c r="F4532" s="4561" t="n"/>
      <c r="G4532" s="4561" t="n"/>
      <c r="H4532" s="4561" t="n"/>
      <c r="I4532" s="4562">
        <f>XLOOKUP(B4532,'_Sys|Line_Map'!$A:$A,'_Sys|Line_Map'!$C:$C,"MISSING",0)</f>
        <v/>
      </c>
      <c r="J4532" s="4562">
        <f>XLOOKUP(B4532,'_Sys|Line_Map'!$A:$A,'_Sys|Line_Map'!$D:$D,1,0)</f>
        <v/>
      </c>
      <c r="K4532" s="4562">
        <f>IF(D4532="","",D4532*J4532)</f>
        <v/>
      </c>
      <c r="L4532" s="4562">
        <f>XLOOKUP(B4532,'_Sys|Line_Map'!$A:$A,'_Sys|Line_Map'!$B:$B,"MISSING",0)</f>
        <v/>
      </c>
    </row>
    <row r="4533">
      <c r="A4533" s="4561" t="n"/>
      <c r="B4533" s="4561" t="n"/>
      <c r="C4533" s="4561" t="n"/>
      <c r="D4533" s="4561" t="n"/>
      <c r="E4533" s="4561" t="n"/>
      <c r="F4533" s="4561" t="n"/>
      <c r="G4533" s="4561" t="n"/>
      <c r="H4533" s="4561" t="n"/>
      <c r="I4533" s="4562">
        <f>XLOOKUP(B4533,'_Sys|Line_Map'!$A:$A,'_Sys|Line_Map'!$C:$C,"MISSING",0)</f>
        <v/>
      </c>
      <c r="J4533" s="4562">
        <f>XLOOKUP(B4533,'_Sys|Line_Map'!$A:$A,'_Sys|Line_Map'!$D:$D,1,0)</f>
        <v/>
      </c>
      <c r="K4533" s="4562">
        <f>IF(D4533="","",D4533*J4533)</f>
        <v/>
      </c>
      <c r="L4533" s="4562">
        <f>XLOOKUP(B4533,'_Sys|Line_Map'!$A:$A,'_Sys|Line_Map'!$B:$B,"MISSING",0)</f>
        <v/>
      </c>
    </row>
    <row r="4534">
      <c r="A4534" s="4561" t="n"/>
      <c r="B4534" s="4561" t="n"/>
      <c r="C4534" s="4561" t="n"/>
      <c r="D4534" s="4561" t="n"/>
      <c r="E4534" s="4561" t="n"/>
      <c r="F4534" s="4561" t="n"/>
      <c r="G4534" s="4561" t="n"/>
      <c r="H4534" s="4561" t="n"/>
      <c r="I4534" s="4562">
        <f>XLOOKUP(B4534,'_Sys|Line_Map'!$A:$A,'_Sys|Line_Map'!$C:$C,"MISSING",0)</f>
        <v/>
      </c>
      <c r="J4534" s="4562">
        <f>XLOOKUP(B4534,'_Sys|Line_Map'!$A:$A,'_Sys|Line_Map'!$D:$D,1,0)</f>
        <v/>
      </c>
      <c r="K4534" s="4562">
        <f>IF(D4534="","",D4534*J4534)</f>
        <v/>
      </c>
      <c r="L4534" s="4562">
        <f>XLOOKUP(B4534,'_Sys|Line_Map'!$A:$A,'_Sys|Line_Map'!$B:$B,"MISSING",0)</f>
        <v/>
      </c>
    </row>
    <row r="4535">
      <c r="A4535" s="4561" t="n"/>
      <c r="B4535" s="4561" t="n"/>
      <c r="C4535" s="4561" t="n"/>
      <c r="D4535" s="4561" t="n"/>
      <c r="E4535" s="4561" t="n"/>
      <c r="F4535" s="4561" t="n"/>
      <c r="G4535" s="4561" t="n"/>
      <c r="H4535" s="4561" t="n"/>
      <c r="I4535" s="4562">
        <f>XLOOKUP(B4535,'_Sys|Line_Map'!$A:$A,'_Sys|Line_Map'!$C:$C,"MISSING",0)</f>
        <v/>
      </c>
      <c r="J4535" s="4562">
        <f>XLOOKUP(B4535,'_Sys|Line_Map'!$A:$A,'_Sys|Line_Map'!$D:$D,1,0)</f>
        <v/>
      </c>
      <c r="K4535" s="4562">
        <f>IF(D4535="","",D4535*J4535)</f>
        <v/>
      </c>
      <c r="L4535" s="4562">
        <f>XLOOKUP(B4535,'_Sys|Line_Map'!$A:$A,'_Sys|Line_Map'!$B:$B,"MISSING",0)</f>
        <v/>
      </c>
    </row>
    <row r="4536">
      <c r="A4536" s="4561" t="n"/>
      <c r="B4536" s="4561" t="n"/>
      <c r="C4536" s="4561" t="n"/>
      <c r="D4536" s="4561" t="n"/>
      <c r="E4536" s="4561" t="n"/>
      <c r="F4536" s="4561" t="n"/>
      <c r="G4536" s="4561" t="n"/>
      <c r="H4536" s="4561" t="n"/>
      <c r="I4536" s="4562">
        <f>XLOOKUP(B4536,'_Sys|Line_Map'!$A:$A,'_Sys|Line_Map'!$C:$C,"MISSING",0)</f>
        <v/>
      </c>
      <c r="J4536" s="4562">
        <f>XLOOKUP(B4536,'_Sys|Line_Map'!$A:$A,'_Sys|Line_Map'!$D:$D,1,0)</f>
        <v/>
      </c>
      <c r="K4536" s="4562">
        <f>IF(D4536="","",D4536*J4536)</f>
        <v/>
      </c>
      <c r="L4536" s="4562">
        <f>XLOOKUP(B4536,'_Sys|Line_Map'!$A:$A,'_Sys|Line_Map'!$B:$B,"MISSING",0)</f>
        <v/>
      </c>
    </row>
    <row r="4537">
      <c r="A4537" s="4561" t="n"/>
      <c r="B4537" s="4561" t="n"/>
      <c r="C4537" s="4561" t="n"/>
      <c r="D4537" s="4561" t="n"/>
      <c r="E4537" s="4561" t="n"/>
      <c r="F4537" s="4561" t="n"/>
      <c r="G4537" s="4561" t="n"/>
      <c r="H4537" s="4561" t="n"/>
      <c r="I4537" s="4562">
        <f>XLOOKUP(B4537,'_Sys|Line_Map'!$A:$A,'_Sys|Line_Map'!$C:$C,"MISSING",0)</f>
        <v/>
      </c>
      <c r="J4537" s="4562">
        <f>XLOOKUP(B4537,'_Sys|Line_Map'!$A:$A,'_Sys|Line_Map'!$D:$D,1,0)</f>
        <v/>
      </c>
      <c r="K4537" s="4562">
        <f>IF(D4537="","",D4537*J4537)</f>
        <v/>
      </c>
      <c r="L4537" s="4562">
        <f>XLOOKUP(B4537,'_Sys|Line_Map'!$A:$A,'_Sys|Line_Map'!$B:$B,"MISSING",0)</f>
        <v/>
      </c>
    </row>
    <row r="4538">
      <c r="A4538" s="4561" t="n"/>
      <c r="B4538" s="4561" t="n"/>
      <c r="C4538" s="4561" t="n"/>
      <c r="D4538" s="4561" t="n"/>
      <c r="E4538" s="4561" t="n"/>
      <c r="F4538" s="4561" t="n"/>
      <c r="G4538" s="4561" t="n"/>
      <c r="H4538" s="4561" t="n"/>
      <c r="I4538" s="4562">
        <f>XLOOKUP(B4538,'_Sys|Line_Map'!$A:$A,'_Sys|Line_Map'!$C:$C,"MISSING",0)</f>
        <v/>
      </c>
      <c r="J4538" s="4562">
        <f>XLOOKUP(B4538,'_Sys|Line_Map'!$A:$A,'_Sys|Line_Map'!$D:$D,1,0)</f>
        <v/>
      </c>
      <c r="K4538" s="4562">
        <f>IF(D4538="","",D4538*J4538)</f>
        <v/>
      </c>
      <c r="L4538" s="4562">
        <f>XLOOKUP(B4538,'_Sys|Line_Map'!$A:$A,'_Sys|Line_Map'!$B:$B,"MISSING",0)</f>
        <v/>
      </c>
    </row>
    <row r="4539">
      <c r="A4539" s="4561" t="n"/>
      <c r="B4539" s="4561" t="n"/>
      <c r="C4539" s="4561" t="n"/>
      <c r="D4539" s="4561" t="n"/>
      <c r="E4539" s="4561" t="n"/>
      <c r="F4539" s="4561" t="n"/>
      <c r="G4539" s="4561" t="n"/>
      <c r="H4539" s="4561" t="n"/>
      <c r="I4539" s="4562">
        <f>XLOOKUP(B4539,'_Sys|Line_Map'!$A:$A,'_Sys|Line_Map'!$C:$C,"MISSING",0)</f>
        <v/>
      </c>
      <c r="J4539" s="4562">
        <f>XLOOKUP(B4539,'_Sys|Line_Map'!$A:$A,'_Sys|Line_Map'!$D:$D,1,0)</f>
        <v/>
      </c>
      <c r="K4539" s="4562">
        <f>IF(D4539="","",D4539*J4539)</f>
        <v/>
      </c>
      <c r="L4539" s="4562">
        <f>XLOOKUP(B4539,'_Sys|Line_Map'!$A:$A,'_Sys|Line_Map'!$B:$B,"MISSING",0)</f>
        <v/>
      </c>
    </row>
    <row r="4540">
      <c r="A4540" s="4561" t="n"/>
      <c r="B4540" s="4561" t="n"/>
      <c r="C4540" s="4561" t="n"/>
      <c r="D4540" s="4561" t="n"/>
      <c r="E4540" s="4561" t="n"/>
      <c r="F4540" s="4561" t="n"/>
      <c r="G4540" s="4561" t="n"/>
      <c r="H4540" s="4561" t="n"/>
      <c r="I4540" s="4562">
        <f>XLOOKUP(B4540,'_Sys|Line_Map'!$A:$A,'_Sys|Line_Map'!$C:$C,"MISSING",0)</f>
        <v/>
      </c>
      <c r="J4540" s="4562">
        <f>XLOOKUP(B4540,'_Sys|Line_Map'!$A:$A,'_Sys|Line_Map'!$D:$D,1,0)</f>
        <v/>
      </c>
      <c r="K4540" s="4562">
        <f>IF(D4540="","",D4540*J4540)</f>
        <v/>
      </c>
      <c r="L4540" s="4562">
        <f>XLOOKUP(B4540,'_Sys|Line_Map'!$A:$A,'_Sys|Line_Map'!$B:$B,"MISSING",0)</f>
        <v/>
      </c>
    </row>
    <row r="4541">
      <c r="A4541" s="4561" t="n"/>
      <c r="B4541" s="4561" t="n"/>
      <c r="C4541" s="4561" t="n"/>
      <c r="D4541" s="4561" t="n"/>
      <c r="E4541" s="4561" t="n"/>
      <c r="F4541" s="4561" t="n"/>
      <c r="G4541" s="4561" t="n"/>
      <c r="H4541" s="4561" t="n"/>
      <c r="I4541" s="4562">
        <f>XLOOKUP(B4541,'_Sys|Line_Map'!$A:$A,'_Sys|Line_Map'!$C:$C,"MISSING",0)</f>
        <v/>
      </c>
      <c r="J4541" s="4562">
        <f>XLOOKUP(B4541,'_Sys|Line_Map'!$A:$A,'_Sys|Line_Map'!$D:$D,1,0)</f>
        <v/>
      </c>
      <c r="K4541" s="4562">
        <f>IF(D4541="","",D4541*J4541)</f>
        <v/>
      </c>
      <c r="L4541" s="4562">
        <f>XLOOKUP(B4541,'_Sys|Line_Map'!$A:$A,'_Sys|Line_Map'!$B:$B,"MISSING",0)</f>
        <v/>
      </c>
    </row>
    <row r="4542">
      <c r="A4542" s="4561" t="n"/>
      <c r="B4542" s="4561" t="n"/>
      <c r="C4542" s="4561" t="n"/>
      <c r="D4542" s="4561" t="n"/>
      <c r="E4542" s="4561" t="n"/>
      <c r="F4542" s="4561" t="n"/>
      <c r="G4542" s="4561" t="n"/>
      <c r="H4542" s="4561" t="n"/>
      <c r="I4542" s="4562">
        <f>XLOOKUP(B4542,'_Sys|Line_Map'!$A:$A,'_Sys|Line_Map'!$C:$C,"MISSING",0)</f>
        <v/>
      </c>
      <c r="J4542" s="4562">
        <f>XLOOKUP(B4542,'_Sys|Line_Map'!$A:$A,'_Sys|Line_Map'!$D:$D,1,0)</f>
        <v/>
      </c>
      <c r="K4542" s="4562">
        <f>IF(D4542="","",D4542*J4542)</f>
        <v/>
      </c>
      <c r="L4542" s="4562">
        <f>XLOOKUP(B4542,'_Sys|Line_Map'!$A:$A,'_Sys|Line_Map'!$B:$B,"MISSING",0)</f>
        <v/>
      </c>
    </row>
    <row r="4543">
      <c r="A4543" s="4561" t="n"/>
      <c r="B4543" s="4561" t="n"/>
      <c r="C4543" s="4561" t="n"/>
      <c r="D4543" s="4561" t="n"/>
      <c r="E4543" s="4561" t="n"/>
      <c r="F4543" s="4561" t="n"/>
      <c r="G4543" s="4561" t="n"/>
      <c r="H4543" s="4561" t="n"/>
      <c r="I4543" s="4562">
        <f>XLOOKUP(B4543,'_Sys|Line_Map'!$A:$A,'_Sys|Line_Map'!$C:$C,"MISSING",0)</f>
        <v/>
      </c>
      <c r="J4543" s="4562">
        <f>XLOOKUP(B4543,'_Sys|Line_Map'!$A:$A,'_Sys|Line_Map'!$D:$D,1,0)</f>
        <v/>
      </c>
      <c r="K4543" s="4562">
        <f>IF(D4543="","",D4543*J4543)</f>
        <v/>
      </c>
      <c r="L4543" s="4562">
        <f>XLOOKUP(B4543,'_Sys|Line_Map'!$A:$A,'_Sys|Line_Map'!$B:$B,"MISSING",0)</f>
        <v/>
      </c>
    </row>
    <row r="4544">
      <c r="A4544" s="4561" t="n"/>
      <c r="B4544" s="4561" t="n"/>
      <c r="C4544" s="4561" t="n"/>
      <c r="D4544" s="4561" t="n"/>
      <c r="E4544" s="4561" t="n"/>
      <c r="F4544" s="4561" t="n"/>
      <c r="G4544" s="4561" t="n"/>
      <c r="H4544" s="4561" t="n"/>
      <c r="I4544" s="4562">
        <f>XLOOKUP(B4544,'_Sys|Line_Map'!$A:$A,'_Sys|Line_Map'!$C:$C,"MISSING",0)</f>
        <v/>
      </c>
      <c r="J4544" s="4562">
        <f>XLOOKUP(B4544,'_Sys|Line_Map'!$A:$A,'_Sys|Line_Map'!$D:$D,1,0)</f>
        <v/>
      </c>
      <c r="K4544" s="4562">
        <f>IF(D4544="","",D4544*J4544)</f>
        <v/>
      </c>
      <c r="L4544" s="4562">
        <f>XLOOKUP(B4544,'_Sys|Line_Map'!$A:$A,'_Sys|Line_Map'!$B:$B,"MISSING",0)</f>
        <v/>
      </c>
    </row>
    <row r="4545">
      <c r="A4545" s="4561" t="n"/>
      <c r="B4545" s="4561" t="n"/>
      <c r="C4545" s="4561" t="n"/>
      <c r="D4545" s="4561" t="n"/>
      <c r="E4545" s="4561" t="n"/>
      <c r="F4545" s="4561" t="n"/>
      <c r="G4545" s="4561" t="n"/>
      <c r="H4545" s="4561" t="n"/>
      <c r="I4545" s="4562">
        <f>XLOOKUP(B4545,'_Sys|Line_Map'!$A:$A,'_Sys|Line_Map'!$C:$C,"MISSING",0)</f>
        <v/>
      </c>
      <c r="J4545" s="4562">
        <f>XLOOKUP(B4545,'_Sys|Line_Map'!$A:$A,'_Sys|Line_Map'!$D:$D,1,0)</f>
        <v/>
      </c>
      <c r="K4545" s="4562">
        <f>IF(D4545="","",D4545*J4545)</f>
        <v/>
      </c>
      <c r="L4545" s="4562">
        <f>XLOOKUP(B4545,'_Sys|Line_Map'!$A:$A,'_Sys|Line_Map'!$B:$B,"MISSING",0)</f>
        <v/>
      </c>
    </row>
    <row r="4546">
      <c r="A4546" s="4561" t="n"/>
      <c r="B4546" s="4561" t="n"/>
      <c r="C4546" s="4561" t="n"/>
      <c r="D4546" s="4561" t="n"/>
      <c r="E4546" s="4561" t="n"/>
      <c r="F4546" s="4561" t="n"/>
      <c r="G4546" s="4561" t="n"/>
      <c r="H4546" s="4561" t="n"/>
      <c r="I4546" s="4562">
        <f>XLOOKUP(B4546,'_Sys|Line_Map'!$A:$A,'_Sys|Line_Map'!$C:$C,"MISSING",0)</f>
        <v/>
      </c>
      <c r="J4546" s="4562">
        <f>XLOOKUP(B4546,'_Sys|Line_Map'!$A:$A,'_Sys|Line_Map'!$D:$D,1,0)</f>
        <v/>
      </c>
      <c r="K4546" s="4562">
        <f>IF(D4546="","",D4546*J4546)</f>
        <v/>
      </c>
      <c r="L4546" s="4562">
        <f>XLOOKUP(B4546,'_Sys|Line_Map'!$A:$A,'_Sys|Line_Map'!$B:$B,"MISSING",0)</f>
        <v/>
      </c>
    </row>
    <row r="4547">
      <c r="A4547" s="4561" t="n"/>
      <c r="B4547" s="4561" t="n"/>
      <c r="C4547" s="4561" t="n"/>
      <c r="D4547" s="4561" t="n"/>
      <c r="E4547" s="4561" t="n"/>
      <c r="F4547" s="4561" t="n"/>
      <c r="G4547" s="4561" t="n"/>
      <c r="H4547" s="4561" t="n"/>
      <c r="I4547" s="4562">
        <f>XLOOKUP(B4547,'_Sys|Line_Map'!$A:$A,'_Sys|Line_Map'!$C:$C,"MISSING",0)</f>
        <v/>
      </c>
      <c r="J4547" s="4562">
        <f>XLOOKUP(B4547,'_Sys|Line_Map'!$A:$A,'_Sys|Line_Map'!$D:$D,1,0)</f>
        <v/>
      </c>
      <c r="K4547" s="4562">
        <f>IF(D4547="","",D4547*J4547)</f>
        <v/>
      </c>
      <c r="L4547" s="4562">
        <f>XLOOKUP(B4547,'_Sys|Line_Map'!$A:$A,'_Sys|Line_Map'!$B:$B,"MISSING",0)</f>
        <v/>
      </c>
    </row>
    <row r="4548">
      <c r="A4548" s="4561" t="n"/>
      <c r="B4548" s="4561" t="n"/>
      <c r="C4548" s="4561" t="n"/>
      <c r="D4548" s="4561" t="n"/>
      <c r="E4548" s="4561" t="n"/>
      <c r="F4548" s="4561" t="n"/>
      <c r="G4548" s="4561" t="n"/>
      <c r="H4548" s="4561" t="n"/>
      <c r="I4548" s="4562">
        <f>XLOOKUP(B4548,'_Sys|Line_Map'!$A:$A,'_Sys|Line_Map'!$C:$C,"MISSING",0)</f>
        <v/>
      </c>
      <c r="J4548" s="4562">
        <f>XLOOKUP(B4548,'_Sys|Line_Map'!$A:$A,'_Sys|Line_Map'!$D:$D,1,0)</f>
        <v/>
      </c>
      <c r="K4548" s="4562">
        <f>IF(D4548="","",D4548*J4548)</f>
        <v/>
      </c>
      <c r="L4548" s="4562">
        <f>XLOOKUP(B4548,'_Sys|Line_Map'!$A:$A,'_Sys|Line_Map'!$B:$B,"MISSING",0)</f>
        <v/>
      </c>
    </row>
    <row r="4549">
      <c r="A4549" s="4561" t="n"/>
      <c r="B4549" s="4561" t="n"/>
      <c r="C4549" s="4561" t="n"/>
      <c r="D4549" s="4561" t="n"/>
      <c r="E4549" s="4561" t="n"/>
      <c r="F4549" s="4561" t="n"/>
      <c r="G4549" s="4561" t="n"/>
      <c r="H4549" s="4561" t="n"/>
      <c r="I4549" s="4562">
        <f>XLOOKUP(B4549,'_Sys|Line_Map'!$A:$A,'_Sys|Line_Map'!$C:$C,"MISSING",0)</f>
        <v/>
      </c>
      <c r="J4549" s="4562">
        <f>XLOOKUP(B4549,'_Sys|Line_Map'!$A:$A,'_Sys|Line_Map'!$D:$D,1,0)</f>
        <v/>
      </c>
      <c r="K4549" s="4562">
        <f>IF(D4549="","",D4549*J4549)</f>
        <v/>
      </c>
      <c r="L4549" s="4562">
        <f>XLOOKUP(B4549,'_Sys|Line_Map'!$A:$A,'_Sys|Line_Map'!$B:$B,"MISSING",0)</f>
        <v/>
      </c>
    </row>
    <row r="4550">
      <c r="A4550" s="4561" t="n"/>
      <c r="B4550" s="4561" t="n"/>
      <c r="C4550" s="4561" t="n"/>
      <c r="D4550" s="4561" t="n"/>
      <c r="E4550" s="4561" t="n"/>
      <c r="F4550" s="4561" t="n"/>
      <c r="G4550" s="4561" t="n"/>
      <c r="H4550" s="4561" t="n"/>
      <c r="I4550" s="4562">
        <f>XLOOKUP(B4550,'_Sys|Line_Map'!$A:$A,'_Sys|Line_Map'!$C:$C,"MISSING",0)</f>
        <v/>
      </c>
      <c r="J4550" s="4562">
        <f>XLOOKUP(B4550,'_Sys|Line_Map'!$A:$A,'_Sys|Line_Map'!$D:$D,1,0)</f>
        <v/>
      </c>
      <c r="K4550" s="4562">
        <f>IF(D4550="","",D4550*J4550)</f>
        <v/>
      </c>
      <c r="L4550" s="4562">
        <f>XLOOKUP(B4550,'_Sys|Line_Map'!$A:$A,'_Sys|Line_Map'!$B:$B,"MISSING",0)</f>
        <v/>
      </c>
    </row>
    <row r="4551">
      <c r="A4551" s="4561" t="n"/>
      <c r="B4551" s="4561" t="n"/>
      <c r="C4551" s="4561" t="n"/>
      <c r="D4551" s="4561" t="n"/>
      <c r="E4551" s="4561" t="n"/>
      <c r="F4551" s="4561" t="n"/>
      <c r="G4551" s="4561" t="n"/>
      <c r="H4551" s="4561" t="n"/>
      <c r="I4551" s="4562">
        <f>XLOOKUP(B4551,'_Sys|Line_Map'!$A:$A,'_Sys|Line_Map'!$C:$C,"MISSING",0)</f>
        <v/>
      </c>
      <c r="J4551" s="4562">
        <f>XLOOKUP(B4551,'_Sys|Line_Map'!$A:$A,'_Sys|Line_Map'!$D:$D,1,0)</f>
        <v/>
      </c>
      <c r="K4551" s="4562">
        <f>IF(D4551="","",D4551*J4551)</f>
        <v/>
      </c>
      <c r="L4551" s="4562">
        <f>XLOOKUP(B4551,'_Sys|Line_Map'!$A:$A,'_Sys|Line_Map'!$B:$B,"MISSING",0)</f>
        <v/>
      </c>
    </row>
    <row r="4552">
      <c r="A4552" s="4561" t="n"/>
      <c r="B4552" s="4561" t="n"/>
      <c r="C4552" s="4561" t="n"/>
      <c r="D4552" s="4561" t="n"/>
      <c r="E4552" s="4561" t="n"/>
      <c r="F4552" s="4561" t="n"/>
      <c r="G4552" s="4561" t="n"/>
      <c r="H4552" s="4561" t="n"/>
      <c r="I4552" s="4562">
        <f>XLOOKUP(B4552,'_Sys|Line_Map'!$A:$A,'_Sys|Line_Map'!$C:$C,"MISSING",0)</f>
        <v/>
      </c>
      <c r="J4552" s="4562">
        <f>XLOOKUP(B4552,'_Sys|Line_Map'!$A:$A,'_Sys|Line_Map'!$D:$D,1,0)</f>
        <v/>
      </c>
      <c r="K4552" s="4562">
        <f>IF(D4552="","",D4552*J4552)</f>
        <v/>
      </c>
      <c r="L4552" s="4562">
        <f>XLOOKUP(B4552,'_Sys|Line_Map'!$A:$A,'_Sys|Line_Map'!$B:$B,"MISSING",0)</f>
        <v/>
      </c>
    </row>
    <row r="4553">
      <c r="A4553" s="4561" t="n"/>
      <c r="B4553" s="4561" t="n"/>
      <c r="C4553" s="4561" t="n"/>
      <c r="D4553" s="4561" t="n"/>
      <c r="E4553" s="4561" t="n"/>
      <c r="F4553" s="4561" t="n"/>
      <c r="G4553" s="4561" t="n"/>
      <c r="H4553" s="4561" t="n"/>
      <c r="I4553" s="4562">
        <f>XLOOKUP(B4553,'_Sys|Line_Map'!$A:$A,'_Sys|Line_Map'!$C:$C,"MISSING",0)</f>
        <v/>
      </c>
      <c r="J4553" s="4562">
        <f>XLOOKUP(B4553,'_Sys|Line_Map'!$A:$A,'_Sys|Line_Map'!$D:$D,1,0)</f>
        <v/>
      </c>
      <c r="K4553" s="4562">
        <f>IF(D4553="","",D4553*J4553)</f>
        <v/>
      </c>
      <c r="L4553" s="4562">
        <f>XLOOKUP(B4553,'_Sys|Line_Map'!$A:$A,'_Sys|Line_Map'!$B:$B,"MISSING",0)</f>
        <v/>
      </c>
    </row>
    <row r="4554">
      <c r="A4554" s="4561" t="n"/>
      <c r="B4554" s="4561" t="n"/>
      <c r="C4554" s="4561" t="n"/>
      <c r="D4554" s="4561" t="n"/>
      <c r="E4554" s="4561" t="n"/>
      <c r="F4554" s="4561" t="n"/>
      <c r="G4554" s="4561" t="n"/>
      <c r="H4554" s="4561" t="n"/>
      <c r="I4554" s="4562">
        <f>XLOOKUP(B4554,'_Sys|Line_Map'!$A:$A,'_Sys|Line_Map'!$C:$C,"MISSING",0)</f>
        <v/>
      </c>
      <c r="J4554" s="4562">
        <f>XLOOKUP(B4554,'_Sys|Line_Map'!$A:$A,'_Sys|Line_Map'!$D:$D,1,0)</f>
        <v/>
      </c>
      <c r="K4554" s="4562">
        <f>IF(D4554="","",D4554*J4554)</f>
        <v/>
      </c>
      <c r="L4554" s="4562">
        <f>XLOOKUP(B4554,'_Sys|Line_Map'!$A:$A,'_Sys|Line_Map'!$B:$B,"MISSING",0)</f>
        <v/>
      </c>
    </row>
    <row r="4555">
      <c r="A4555" s="4561" t="n"/>
      <c r="B4555" s="4561" t="n"/>
      <c r="C4555" s="4561" t="n"/>
      <c r="D4555" s="4561" t="n"/>
      <c r="E4555" s="4561" t="n"/>
      <c r="F4555" s="4561" t="n"/>
      <c r="G4555" s="4561" t="n"/>
      <c r="H4555" s="4561" t="n"/>
      <c r="I4555" s="4562">
        <f>XLOOKUP(B4555,'_Sys|Line_Map'!$A:$A,'_Sys|Line_Map'!$C:$C,"MISSING",0)</f>
        <v/>
      </c>
      <c r="J4555" s="4562">
        <f>XLOOKUP(B4555,'_Sys|Line_Map'!$A:$A,'_Sys|Line_Map'!$D:$D,1,0)</f>
        <v/>
      </c>
      <c r="K4555" s="4562">
        <f>IF(D4555="","",D4555*J4555)</f>
        <v/>
      </c>
      <c r="L4555" s="4562">
        <f>XLOOKUP(B4555,'_Sys|Line_Map'!$A:$A,'_Sys|Line_Map'!$B:$B,"MISSING",0)</f>
        <v/>
      </c>
    </row>
    <row r="4556">
      <c r="A4556" s="4561" t="n"/>
      <c r="B4556" s="4561" t="n"/>
      <c r="C4556" s="4561" t="n"/>
      <c r="D4556" s="4561" t="n"/>
      <c r="E4556" s="4561" t="n"/>
      <c r="F4556" s="4561" t="n"/>
      <c r="G4556" s="4561" t="n"/>
      <c r="H4556" s="4561" t="n"/>
      <c r="I4556" s="4562">
        <f>XLOOKUP(B4556,'_Sys|Line_Map'!$A:$A,'_Sys|Line_Map'!$C:$C,"MISSING",0)</f>
        <v/>
      </c>
      <c r="J4556" s="4562">
        <f>XLOOKUP(B4556,'_Sys|Line_Map'!$A:$A,'_Sys|Line_Map'!$D:$D,1,0)</f>
        <v/>
      </c>
      <c r="K4556" s="4562">
        <f>IF(D4556="","",D4556*J4556)</f>
        <v/>
      </c>
      <c r="L4556" s="4562">
        <f>XLOOKUP(B4556,'_Sys|Line_Map'!$A:$A,'_Sys|Line_Map'!$B:$B,"MISSING",0)</f>
        <v/>
      </c>
    </row>
    <row r="4557">
      <c r="A4557" s="4561" t="n"/>
      <c r="B4557" s="4561" t="n"/>
      <c r="C4557" s="4561" t="n"/>
      <c r="D4557" s="4561" t="n"/>
      <c r="E4557" s="4561" t="n"/>
      <c r="F4557" s="4561" t="n"/>
      <c r="G4557" s="4561" t="n"/>
      <c r="H4557" s="4561" t="n"/>
      <c r="I4557" s="4562">
        <f>XLOOKUP(B4557,'_Sys|Line_Map'!$A:$A,'_Sys|Line_Map'!$C:$C,"MISSING",0)</f>
        <v/>
      </c>
      <c r="J4557" s="4562">
        <f>XLOOKUP(B4557,'_Sys|Line_Map'!$A:$A,'_Sys|Line_Map'!$D:$D,1,0)</f>
        <v/>
      </c>
      <c r="K4557" s="4562">
        <f>IF(D4557="","",D4557*J4557)</f>
        <v/>
      </c>
      <c r="L4557" s="4562">
        <f>XLOOKUP(B4557,'_Sys|Line_Map'!$A:$A,'_Sys|Line_Map'!$B:$B,"MISSING",0)</f>
        <v/>
      </c>
    </row>
    <row r="4558">
      <c r="A4558" s="4561" t="n"/>
      <c r="B4558" s="4561" t="n"/>
      <c r="C4558" s="4561" t="n"/>
      <c r="D4558" s="4561" t="n"/>
      <c r="E4558" s="4561" t="n"/>
      <c r="F4558" s="4561" t="n"/>
      <c r="G4558" s="4561" t="n"/>
      <c r="H4558" s="4561" t="n"/>
      <c r="I4558" s="4562">
        <f>XLOOKUP(B4558,'_Sys|Line_Map'!$A:$A,'_Sys|Line_Map'!$C:$C,"MISSING",0)</f>
        <v/>
      </c>
      <c r="J4558" s="4562">
        <f>XLOOKUP(B4558,'_Sys|Line_Map'!$A:$A,'_Sys|Line_Map'!$D:$D,1,0)</f>
        <v/>
      </c>
      <c r="K4558" s="4562">
        <f>IF(D4558="","",D4558*J4558)</f>
        <v/>
      </c>
      <c r="L4558" s="4562">
        <f>XLOOKUP(B4558,'_Sys|Line_Map'!$A:$A,'_Sys|Line_Map'!$B:$B,"MISSING",0)</f>
        <v/>
      </c>
    </row>
    <row r="4559">
      <c r="A4559" s="4561" t="n"/>
      <c r="B4559" s="4561" t="n"/>
      <c r="C4559" s="4561" t="n"/>
      <c r="D4559" s="4561" t="n"/>
      <c r="E4559" s="4561" t="n"/>
      <c r="F4559" s="4561" t="n"/>
      <c r="G4559" s="4561" t="n"/>
      <c r="H4559" s="4561" t="n"/>
      <c r="I4559" s="4562">
        <f>XLOOKUP(B4559,'_Sys|Line_Map'!$A:$A,'_Sys|Line_Map'!$C:$C,"MISSING",0)</f>
        <v/>
      </c>
      <c r="J4559" s="4562">
        <f>XLOOKUP(B4559,'_Sys|Line_Map'!$A:$A,'_Sys|Line_Map'!$D:$D,1,0)</f>
        <v/>
      </c>
      <c r="K4559" s="4562">
        <f>IF(D4559="","",D4559*J4559)</f>
        <v/>
      </c>
      <c r="L4559" s="4562">
        <f>XLOOKUP(B4559,'_Sys|Line_Map'!$A:$A,'_Sys|Line_Map'!$B:$B,"MISSING",0)</f>
        <v/>
      </c>
    </row>
    <row r="4560">
      <c r="A4560" s="4561" t="n"/>
      <c r="B4560" s="4561" t="n"/>
      <c r="C4560" s="4561" t="n"/>
      <c r="D4560" s="4561" t="n"/>
      <c r="E4560" s="4561" t="n"/>
      <c r="F4560" s="4561" t="n"/>
      <c r="G4560" s="4561" t="n"/>
      <c r="H4560" s="4561" t="n"/>
      <c r="I4560" s="4562">
        <f>XLOOKUP(B4560,'_Sys|Line_Map'!$A:$A,'_Sys|Line_Map'!$C:$C,"MISSING",0)</f>
        <v/>
      </c>
      <c r="J4560" s="4562">
        <f>XLOOKUP(B4560,'_Sys|Line_Map'!$A:$A,'_Sys|Line_Map'!$D:$D,1,0)</f>
        <v/>
      </c>
      <c r="K4560" s="4562">
        <f>IF(D4560="","",D4560*J4560)</f>
        <v/>
      </c>
      <c r="L4560" s="4562">
        <f>XLOOKUP(B4560,'_Sys|Line_Map'!$A:$A,'_Sys|Line_Map'!$B:$B,"MISSING",0)</f>
        <v/>
      </c>
    </row>
    <row r="4561">
      <c r="A4561" s="4561" t="n"/>
      <c r="B4561" s="4561" t="n"/>
      <c r="C4561" s="4561" t="n"/>
      <c r="D4561" s="4561" t="n"/>
      <c r="E4561" s="4561" t="n"/>
      <c r="F4561" s="4561" t="n"/>
      <c r="G4561" s="4561" t="n"/>
      <c r="H4561" s="4561" t="n"/>
      <c r="I4561" s="4562">
        <f>XLOOKUP(B4561,'_Sys|Line_Map'!$A:$A,'_Sys|Line_Map'!$C:$C,"MISSING",0)</f>
        <v/>
      </c>
      <c r="J4561" s="4562">
        <f>XLOOKUP(B4561,'_Sys|Line_Map'!$A:$A,'_Sys|Line_Map'!$D:$D,1,0)</f>
        <v/>
      </c>
      <c r="K4561" s="4562">
        <f>IF(D4561="","",D4561*J4561)</f>
        <v/>
      </c>
      <c r="L4561" s="4562">
        <f>XLOOKUP(B4561,'_Sys|Line_Map'!$A:$A,'_Sys|Line_Map'!$B:$B,"MISSING",0)</f>
        <v/>
      </c>
    </row>
    <row r="4562">
      <c r="A4562" s="4561" t="n"/>
      <c r="B4562" s="4561" t="n"/>
      <c r="C4562" s="4561" t="n"/>
      <c r="D4562" s="4561" t="n"/>
      <c r="E4562" s="4561" t="n"/>
      <c r="F4562" s="4561" t="n"/>
      <c r="G4562" s="4561" t="n"/>
      <c r="H4562" s="4561" t="n"/>
      <c r="I4562" s="4562">
        <f>XLOOKUP(B4562,'_Sys|Line_Map'!$A:$A,'_Sys|Line_Map'!$C:$C,"MISSING",0)</f>
        <v/>
      </c>
      <c r="J4562" s="4562">
        <f>XLOOKUP(B4562,'_Sys|Line_Map'!$A:$A,'_Sys|Line_Map'!$D:$D,1,0)</f>
        <v/>
      </c>
      <c r="K4562" s="4562">
        <f>IF(D4562="","",D4562*J4562)</f>
        <v/>
      </c>
      <c r="L4562" s="4562">
        <f>XLOOKUP(B4562,'_Sys|Line_Map'!$A:$A,'_Sys|Line_Map'!$B:$B,"MISSING",0)</f>
        <v/>
      </c>
    </row>
    <row r="4563">
      <c r="A4563" s="4561" t="n"/>
      <c r="B4563" s="4561" t="n"/>
      <c r="C4563" s="4561" t="n"/>
      <c r="D4563" s="4561" t="n"/>
      <c r="E4563" s="4561" t="n"/>
      <c r="F4563" s="4561" t="n"/>
      <c r="G4563" s="4561" t="n"/>
      <c r="H4563" s="4561" t="n"/>
      <c r="I4563" s="4562">
        <f>XLOOKUP(B4563,'_Sys|Line_Map'!$A:$A,'_Sys|Line_Map'!$C:$C,"MISSING",0)</f>
        <v/>
      </c>
      <c r="J4563" s="4562">
        <f>XLOOKUP(B4563,'_Sys|Line_Map'!$A:$A,'_Sys|Line_Map'!$D:$D,1,0)</f>
        <v/>
      </c>
      <c r="K4563" s="4562">
        <f>IF(D4563="","",D4563*J4563)</f>
        <v/>
      </c>
      <c r="L4563" s="4562">
        <f>XLOOKUP(B4563,'_Sys|Line_Map'!$A:$A,'_Sys|Line_Map'!$B:$B,"MISSING",0)</f>
        <v/>
      </c>
    </row>
    <row r="4564">
      <c r="A4564" s="4561" t="n"/>
      <c r="B4564" s="4561" t="n"/>
      <c r="C4564" s="4561" t="n"/>
      <c r="D4564" s="4561" t="n"/>
      <c r="E4564" s="4561" t="n"/>
      <c r="F4564" s="4561" t="n"/>
      <c r="G4564" s="4561" t="n"/>
      <c r="H4564" s="4561" t="n"/>
      <c r="I4564" s="4562">
        <f>XLOOKUP(B4564,'_Sys|Line_Map'!$A:$A,'_Sys|Line_Map'!$C:$C,"MISSING",0)</f>
        <v/>
      </c>
      <c r="J4564" s="4562">
        <f>XLOOKUP(B4564,'_Sys|Line_Map'!$A:$A,'_Sys|Line_Map'!$D:$D,1,0)</f>
        <v/>
      </c>
      <c r="K4564" s="4562">
        <f>IF(D4564="","",D4564*J4564)</f>
        <v/>
      </c>
      <c r="L4564" s="4562">
        <f>XLOOKUP(B4564,'_Sys|Line_Map'!$A:$A,'_Sys|Line_Map'!$B:$B,"MISSING",0)</f>
        <v/>
      </c>
    </row>
    <row r="4565">
      <c r="A4565" s="4561" t="n"/>
      <c r="B4565" s="4561" t="n"/>
      <c r="C4565" s="4561" t="n"/>
      <c r="D4565" s="4561" t="n"/>
      <c r="E4565" s="4561" t="n"/>
      <c r="F4565" s="4561" t="n"/>
      <c r="G4565" s="4561" t="n"/>
      <c r="H4565" s="4561" t="n"/>
      <c r="I4565" s="4562">
        <f>XLOOKUP(B4565,'_Sys|Line_Map'!$A:$A,'_Sys|Line_Map'!$C:$C,"MISSING",0)</f>
        <v/>
      </c>
      <c r="J4565" s="4562">
        <f>XLOOKUP(B4565,'_Sys|Line_Map'!$A:$A,'_Sys|Line_Map'!$D:$D,1,0)</f>
        <v/>
      </c>
      <c r="K4565" s="4562">
        <f>IF(D4565="","",D4565*J4565)</f>
        <v/>
      </c>
      <c r="L4565" s="4562">
        <f>XLOOKUP(B4565,'_Sys|Line_Map'!$A:$A,'_Sys|Line_Map'!$B:$B,"MISSING",0)</f>
        <v/>
      </c>
    </row>
    <row r="4566">
      <c r="A4566" s="4561" t="n"/>
      <c r="B4566" s="4561" t="n"/>
      <c r="C4566" s="4561" t="n"/>
      <c r="D4566" s="4561" t="n"/>
      <c r="E4566" s="4561" t="n"/>
      <c r="F4566" s="4561" t="n"/>
      <c r="G4566" s="4561" t="n"/>
      <c r="H4566" s="4561" t="n"/>
      <c r="I4566" s="4562">
        <f>XLOOKUP(B4566,'_Sys|Line_Map'!$A:$A,'_Sys|Line_Map'!$C:$C,"MISSING",0)</f>
        <v/>
      </c>
      <c r="J4566" s="4562">
        <f>XLOOKUP(B4566,'_Sys|Line_Map'!$A:$A,'_Sys|Line_Map'!$D:$D,1,0)</f>
        <v/>
      </c>
      <c r="K4566" s="4562">
        <f>IF(D4566="","",D4566*J4566)</f>
        <v/>
      </c>
      <c r="L4566" s="4562">
        <f>XLOOKUP(B4566,'_Sys|Line_Map'!$A:$A,'_Sys|Line_Map'!$B:$B,"MISSING",0)</f>
        <v/>
      </c>
    </row>
    <row r="4567">
      <c r="A4567" s="4561" t="n"/>
      <c r="B4567" s="4561" t="n"/>
      <c r="C4567" s="4561" t="n"/>
      <c r="D4567" s="4561" t="n"/>
      <c r="E4567" s="4561" t="n"/>
      <c r="F4567" s="4561" t="n"/>
      <c r="G4567" s="4561" t="n"/>
      <c r="H4567" s="4561" t="n"/>
      <c r="I4567" s="4562">
        <f>XLOOKUP(B4567,'_Sys|Line_Map'!$A:$A,'_Sys|Line_Map'!$C:$C,"MISSING",0)</f>
        <v/>
      </c>
      <c r="J4567" s="4562">
        <f>XLOOKUP(B4567,'_Sys|Line_Map'!$A:$A,'_Sys|Line_Map'!$D:$D,1,0)</f>
        <v/>
      </c>
      <c r="K4567" s="4562">
        <f>IF(D4567="","",D4567*J4567)</f>
        <v/>
      </c>
      <c r="L4567" s="4562">
        <f>XLOOKUP(B4567,'_Sys|Line_Map'!$A:$A,'_Sys|Line_Map'!$B:$B,"MISSING",0)</f>
        <v/>
      </c>
    </row>
    <row r="4568">
      <c r="A4568" s="4561" t="n"/>
      <c r="B4568" s="4561" t="n"/>
      <c r="C4568" s="4561" t="n"/>
      <c r="D4568" s="4561" t="n"/>
      <c r="E4568" s="4561" t="n"/>
      <c r="F4568" s="4561" t="n"/>
      <c r="G4568" s="4561" t="n"/>
      <c r="H4568" s="4561" t="n"/>
      <c r="I4568" s="4562">
        <f>XLOOKUP(B4568,'_Sys|Line_Map'!$A:$A,'_Sys|Line_Map'!$C:$C,"MISSING",0)</f>
        <v/>
      </c>
      <c r="J4568" s="4562">
        <f>XLOOKUP(B4568,'_Sys|Line_Map'!$A:$A,'_Sys|Line_Map'!$D:$D,1,0)</f>
        <v/>
      </c>
      <c r="K4568" s="4562">
        <f>IF(D4568="","",D4568*J4568)</f>
        <v/>
      </c>
      <c r="L4568" s="4562">
        <f>XLOOKUP(B4568,'_Sys|Line_Map'!$A:$A,'_Sys|Line_Map'!$B:$B,"MISSING",0)</f>
        <v/>
      </c>
    </row>
    <row r="4569">
      <c r="A4569" s="4561" t="n"/>
      <c r="B4569" s="4561" t="n"/>
      <c r="C4569" s="4561" t="n"/>
      <c r="D4569" s="4561" t="n"/>
      <c r="E4569" s="4561" t="n"/>
      <c r="F4569" s="4561" t="n"/>
      <c r="G4569" s="4561" t="n"/>
      <c r="H4569" s="4561" t="n"/>
      <c r="I4569" s="4562">
        <f>XLOOKUP(B4569,'_Sys|Line_Map'!$A:$A,'_Sys|Line_Map'!$C:$C,"MISSING",0)</f>
        <v/>
      </c>
      <c r="J4569" s="4562">
        <f>XLOOKUP(B4569,'_Sys|Line_Map'!$A:$A,'_Sys|Line_Map'!$D:$D,1,0)</f>
        <v/>
      </c>
      <c r="K4569" s="4562">
        <f>IF(D4569="","",D4569*J4569)</f>
        <v/>
      </c>
      <c r="L4569" s="4562">
        <f>XLOOKUP(B4569,'_Sys|Line_Map'!$A:$A,'_Sys|Line_Map'!$B:$B,"MISSING",0)</f>
        <v/>
      </c>
    </row>
    <row r="4570">
      <c r="A4570" s="4561" t="n"/>
      <c r="B4570" s="4561" t="n"/>
      <c r="C4570" s="4561" t="n"/>
      <c r="D4570" s="4561" t="n"/>
      <c r="E4570" s="4561" t="n"/>
      <c r="F4570" s="4561" t="n"/>
      <c r="G4570" s="4561" t="n"/>
      <c r="H4570" s="4561" t="n"/>
      <c r="I4570" s="4562">
        <f>XLOOKUP(B4570,'_Sys|Line_Map'!$A:$A,'_Sys|Line_Map'!$C:$C,"MISSING",0)</f>
        <v/>
      </c>
      <c r="J4570" s="4562">
        <f>XLOOKUP(B4570,'_Sys|Line_Map'!$A:$A,'_Sys|Line_Map'!$D:$D,1,0)</f>
        <v/>
      </c>
      <c r="K4570" s="4562">
        <f>IF(D4570="","",D4570*J4570)</f>
        <v/>
      </c>
      <c r="L4570" s="4562">
        <f>XLOOKUP(B4570,'_Sys|Line_Map'!$A:$A,'_Sys|Line_Map'!$B:$B,"MISSING",0)</f>
        <v/>
      </c>
    </row>
    <row r="4571">
      <c r="A4571" s="4561" t="n"/>
      <c r="B4571" s="4561" t="n"/>
      <c r="C4571" s="4561" t="n"/>
      <c r="D4571" s="4561" t="n"/>
      <c r="E4571" s="4561" t="n"/>
      <c r="F4571" s="4561" t="n"/>
      <c r="G4571" s="4561" t="n"/>
      <c r="H4571" s="4561" t="n"/>
      <c r="I4571" s="4562">
        <f>XLOOKUP(B4571,'_Sys|Line_Map'!$A:$A,'_Sys|Line_Map'!$C:$C,"MISSING",0)</f>
        <v/>
      </c>
      <c r="J4571" s="4562">
        <f>XLOOKUP(B4571,'_Sys|Line_Map'!$A:$A,'_Sys|Line_Map'!$D:$D,1,0)</f>
        <v/>
      </c>
      <c r="K4571" s="4562">
        <f>IF(D4571="","",D4571*J4571)</f>
        <v/>
      </c>
      <c r="L4571" s="4562">
        <f>XLOOKUP(B4571,'_Sys|Line_Map'!$A:$A,'_Sys|Line_Map'!$B:$B,"MISSING",0)</f>
        <v/>
      </c>
    </row>
    <row r="4572">
      <c r="A4572" s="4561" t="n"/>
      <c r="B4572" s="4561" t="n"/>
      <c r="C4572" s="4561" t="n"/>
      <c r="D4572" s="4561" t="n"/>
      <c r="E4572" s="4561" t="n"/>
      <c r="F4572" s="4561" t="n"/>
      <c r="G4572" s="4561" t="n"/>
      <c r="H4572" s="4561" t="n"/>
      <c r="I4572" s="4562">
        <f>XLOOKUP(B4572,'_Sys|Line_Map'!$A:$A,'_Sys|Line_Map'!$C:$C,"MISSING",0)</f>
        <v/>
      </c>
      <c r="J4572" s="4562">
        <f>XLOOKUP(B4572,'_Sys|Line_Map'!$A:$A,'_Sys|Line_Map'!$D:$D,1,0)</f>
        <v/>
      </c>
      <c r="K4572" s="4562">
        <f>IF(D4572="","",D4572*J4572)</f>
        <v/>
      </c>
      <c r="L4572" s="4562">
        <f>XLOOKUP(B4572,'_Sys|Line_Map'!$A:$A,'_Sys|Line_Map'!$B:$B,"MISSING",0)</f>
        <v/>
      </c>
    </row>
    <row r="4573">
      <c r="A4573" s="4561" t="n"/>
      <c r="B4573" s="4561" t="n"/>
      <c r="C4573" s="4561" t="n"/>
      <c r="D4573" s="4561" t="n"/>
      <c r="E4573" s="4561" t="n"/>
      <c r="F4573" s="4561" t="n"/>
      <c r="G4573" s="4561" t="n"/>
      <c r="H4573" s="4561" t="n"/>
      <c r="I4573" s="4562">
        <f>XLOOKUP(B4573,'_Sys|Line_Map'!$A:$A,'_Sys|Line_Map'!$C:$C,"MISSING",0)</f>
        <v/>
      </c>
      <c r="J4573" s="4562">
        <f>XLOOKUP(B4573,'_Sys|Line_Map'!$A:$A,'_Sys|Line_Map'!$D:$D,1,0)</f>
        <v/>
      </c>
      <c r="K4573" s="4562">
        <f>IF(D4573="","",D4573*J4573)</f>
        <v/>
      </c>
      <c r="L4573" s="4562">
        <f>XLOOKUP(B4573,'_Sys|Line_Map'!$A:$A,'_Sys|Line_Map'!$B:$B,"MISSING",0)</f>
        <v/>
      </c>
    </row>
    <row r="4574">
      <c r="A4574" s="4561" t="n"/>
      <c r="B4574" s="4561" t="n"/>
      <c r="C4574" s="4561" t="n"/>
      <c r="D4574" s="4561" t="n"/>
      <c r="E4574" s="4561" t="n"/>
      <c r="F4574" s="4561" t="n"/>
      <c r="G4574" s="4561" t="n"/>
      <c r="H4574" s="4561" t="n"/>
      <c r="I4574" s="4562">
        <f>XLOOKUP(B4574,'_Sys|Line_Map'!$A:$A,'_Sys|Line_Map'!$C:$C,"MISSING",0)</f>
        <v/>
      </c>
      <c r="J4574" s="4562">
        <f>XLOOKUP(B4574,'_Sys|Line_Map'!$A:$A,'_Sys|Line_Map'!$D:$D,1,0)</f>
        <v/>
      </c>
      <c r="K4574" s="4562">
        <f>IF(D4574="","",D4574*J4574)</f>
        <v/>
      </c>
      <c r="L4574" s="4562">
        <f>XLOOKUP(B4574,'_Sys|Line_Map'!$A:$A,'_Sys|Line_Map'!$B:$B,"MISSING",0)</f>
        <v/>
      </c>
    </row>
    <row r="4575">
      <c r="A4575" s="4561" t="n"/>
      <c r="B4575" s="4561" t="n"/>
      <c r="C4575" s="4561" t="n"/>
      <c r="D4575" s="4561" t="n"/>
      <c r="E4575" s="4561" t="n"/>
      <c r="F4575" s="4561" t="n"/>
      <c r="G4575" s="4561" t="n"/>
      <c r="H4575" s="4561" t="n"/>
      <c r="I4575" s="4562">
        <f>XLOOKUP(B4575,'_Sys|Line_Map'!$A:$A,'_Sys|Line_Map'!$C:$C,"MISSING",0)</f>
        <v/>
      </c>
      <c r="J4575" s="4562">
        <f>XLOOKUP(B4575,'_Sys|Line_Map'!$A:$A,'_Sys|Line_Map'!$D:$D,1,0)</f>
        <v/>
      </c>
      <c r="K4575" s="4562">
        <f>IF(D4575="","",D4575*J4575)</f>
        <v/>
      </c>
      <c r="L4575" s="4562">
        <f>XLOOKUP(B4575,'_Sys|Line_Map'!$A:$A,'_Sys|Line_Map'!$B:$B,"MISSING",0)</f>
        <v/>
      </c>
    </row>
    <row r="4576">
      <c r="A4576" s="4561" t="n"/>
      <c r="B4576" s="4561" t="n"/>
      <c r="C4576" s="4561" t="n"/>
      <c r="D4576" s="4561" t="n"/>
      <c r="E4576" s="4561" t="n"/>
      <c r="F4576" s="4561" t="n"/>
      <c r="G4576" s="4561" t="n"/>
      <c r="H4576" s="4561" t="n"/>
      <c r="I4576" s="4562">
        <f>XLOOKUP(B4576,'_Sys|Line_Map'!$A:$A,'_Sys|Line_Map'!$C:$C,"MISSING",0)</f>
        <v/>
      </c>
      <c r="J4576" s="4562">
        <f>XLOOKUP(B4576,'_Sys|Line_Map'!$A:$A,'_Sys|Line_Map'!$D:$D,1,0)</f>
        <v/>
      </c>
      <c r="K4576" s="4562">
        <f>IF(D4576="","",D4576*J4576)</f>
        <v/>
      </c>
      <c r="L4576" s="4562">
        <f>XLOOKUP(B4576,'_Sys|Line_Map'!$A:$A,'_Sys|Line_Map'!$B:$B,"MISSING",0)</f>
        <v/>
      </c>
    </row>
    <row r="4577">
      <c r="A4577" s="4561" t="n"/>
      <c r="B4577" s="4561" t="n"/>
      <c r="C4577" s="4561" t="n"/>
      <c r="D4577" s="4561" t="n"/>
      <c r="E4577" s="4561" t="n"/>
      <c r="F4577" s="4561" t="n"/>
      <c r="G4577" s="4561" t="n"/>
      <c r="H4577" s="4561" t="n"/>
      <c r="I4577" s="4562">
        <f>XLOOKUP(B4577,'_Sys|Line_Map'!$A:$A,'_Sys|Line_Map'!$C:$C,"MISSING",0)</f>
        <v/>
      </c>
      <c r="J4577" s="4562">
        <f>XLOOKUP(B4577,'_Sys|Line_Map'!$A:$A,'_Sys|Line_Map'!$D:$D,1,0)</f>
        <v/>
      </c>
      <c r="K4577" s="4562">
        <f>IF(D4577="","",D4577*J4577)</f>
        <v/>
      </c>
      <c r="L4577" s="4562">
        <f>XLOOKUP(B4577,'_Sys|Line_Map'!$A:$A,'_Sys|Line_Map'!$B:$B,"MISSING",0)</f>
        <v/>
      </c>
    </row>
    <row r="4578">
      <c r="A4578" s="4561" t="n"/>
      <c r="B4578" s="4561" t="n"/>
      <c r="C4578" s="4561" t="n"/>
      <c r="D4578" s="4561" t="n"/>
      <c r="E4578" s="4561" t="n"/>
      <c r="F4578" s="4561" t="n"/>
      <c r="G4578" s="4561" t="n"/>
      <c r="H4578" s="4561" t="n"/>
      <c r="I4578" s="4562">
        <f>XLOOKUP(B4578,'_Sys|Line_Map'!$A:$A,'_Sys|Line_Map'!$C:$C,"MISSING",0)</f>
        <v/>
      </c>
      <c r="J4578" s="4562">
        <f>XLOOKUP(B4578,'_Sys|Line_Map'!$A:$A,'_Sys|Line_Map'!$D:$D,1,0)</f>
        <v/>
      </c>
      <c r="K4578" s="4562">
        <f>IF(D4578="","",D4578*J4578)</f>
        <v/>
      </c>
      <c r="L4578" s="4562">
        <f>XLOOKUP(B4578,'_Sys|Line_Map'!$A:$A,'_Sys|Line_Map'!$B:$B,"MISSING",0)</f>
        <v/>
      </c>
    </row>
    <row r="4579">
      <c r="A4579" s="4561" t="n"/>
      <c r="B4579" s="4561" t="n"/>
      <c r="C4579" s="4561" t="n"/>
      <c r="D4579" s="4561" t="n"/>
      <c r="E4579" s="4561" t="n"/>
      <c r="F4579" s="4561" t="n"/>
      <c r="G4579" s="4561" t="n"/>
      <c r="H4579" s="4561" t="n"/>
      <c r="I4579" s="4562">
        <f>XLOOKUP(B4579,'_Sys|Line_Map'!$A:$A,'_Sys|Line_Map'!$C:$C,"MISSING",0)</f>
        <v/>
      </c>
      <c r="J4579" s="4562">
        <f>XLOOKUP(B4579,'_Sys|Line_Map'!$A:$A,'_Sys|Line_Map'!$D:$D,1,0)</f>
        <v/>
      </c>
      <c r="K4579" s="4562">
        <f>IF(D4579="","",D4579*J4579)</f>
        <v/>
      </c>
      <c r="L4579" s="4562">
        <f>XLOOKUP(B4579,'_Sys|Line_Map'!$A:$A,'_Sys|Line_Map'!$B:$B,"MISSING",0)</f>
        <v/>
      </c>
    </row>
    <row r="4580">
      <c r="A4580" s="4561" t="n"/>
      <c r="B4580" s="4561" t="n"/>
      <c r="C4580" s="4561" t="n"/>
      <c r="D4580" s="4561" t="n"/>
      <c r="E4580" s="4561" t="n"/>
      <c r="F4580" s="4561" t="n"/>
      <c r="G4580" s="4561" t="n"/>
      <c r="H4580" s="4561" t="n"/>
      <c r="I4580" s="4562">
        <f>XLOOKUP(B4580,'_Sys|Line_Map'!$A:$A,'_Sys|Line_Map'!$C:$C,"MISSING",0)</f>
        <v/>
      </c>
      <c r="J4580" s="4562">
        <f>XLOOKUP(B4580,'_Sys|Line_Map'!$A:$A,'_Sys|Line_Map'!$D:$D,1,0)</f>
        <v/>
      </c>
      <c r="K4580" s="4562">
        <f>IF(D4580="","",D4580*J4580)</f>
        <v/>
      </c>
      <c r="L4580" s="4562">
        <f>XLOOKUP(B4580,'_Sys|Line_Map'!$A:$A,'_Sys|Line_Map'!$B:$B,"MISSING",0)</f>
        <v/>
      </c>
    </row>
    <row r="4581">
      <c r="A4581" s="4561" t="n"/>
      <c r="B4581" s="4561" t="n"/>
      <c r="C4581" s="4561" t="n"/>
      <c r="D4581" s="4561" t="n"/>
      <c r="E4581" s="4561" t="n"/>
      <c r="F4581" s="4561" t="n"/>
      <c r="G4581" s="4561" t="n"/>
      <c r="H4581" s="4561" t="n"/>
      <c r="I4581" s="4562">
        <f>XLOOKUP(B4581,'_Sys|Line_Map'!$A:$A,'_Sys|Line_Map'!$C:$C,"MISSING",0)</f>
        <v/>
      </c>
      <c r="J4581" s="4562">
        <f>XLOOKUP(B4581,'_Sys|Line_Map'!$A:$A,'_Sys|Line_Map'!$D:$D,1,0)</f>
        <v/>
      </c>
      <c r="K4581" s="4562">
        <f>IF(D4581="","",D4581*J4581)</f>
        <v/>
      </c>
      <c r="L4581" s="4562">
        <f>XLOOKUP(B4581,'_Sys|Line_Map'!$A:$A,'_Sys|Line_Map'!$B:$B,"MISSING",0)</f>
        <v/>
      </c>
    </row>
    <row r="4582">
      <c r="A4582" s="4561" t="n"/>
      <c r="B4582" s="4561" t="n"/>
      <c r="C4582" s="4561" t="n"/>
      <c r="D4582" s="4561" t="n"/>
      <c r="E4582" s="4561" t="n"/>
      <c r="F4582" s="4561" t="n"/>
      <c r="G4582" s="4561" t="n"/>
      <c r="H4582" s="4561" t="n"/>
      <c r="I4582" s="4562">
        <f>XLOOKUP(B4582,'_Sys|Line_Map'!$A:$A,'_Sys|Line_Map'!$C:$C,"MISSING",0)</f>
        <v/>
      </c>
      <c r="J4582" s="4562">
        <f>XLOOKUP(B4582,'_Sys|Line_Map'!$A:$A,'_Sys|Line_Map'!$D:$D,1,0)</f>
        <v/>
      </c>
      <c r="K4582" s="4562">
        <f>IF(D4582="","",D4582*J4582)</f>
        <v/>
      </c>
      <c r="L4582" s="4562">
        <f>XLOOKUP(B4582,'_Sys|Line_Map'!$A:$A,'_Sys|Line_Map'!$B:$B,"MISSING",0)</f>
        <v/>
      </c>
    </row>
    <row r="4583">
      <c r="A4583" s="4561" t="n"/>
      <c r="B4583" s="4561" t="n"/>
      <c r="C4583" s="4561" t="n"/>
      <c r="D4583" s="4561" t="n"/>
      <c r="E4583" s="4561" t="n"/>
      <c r="F4583" s="4561" t="n"/>
      <c r="G4583" s="4561" t="n"/>
      <c r="H4583" s="4561" t="n"/>
      <c r="I4583" s="4562">
        <f>XLOOKUP(B4583,'_Sys|Line_Map'!$A:$A,'_Sys|Line_Map'!$C:$C,"MISSING",0)</f>
        <v/>
      </c>
      <c r="J4583" s="4562">
        <f>XLOOKUP(B4583,'_Sys|Line_Map'!$A:$A,'_Sys|Line_Map'!$D:$D,1,0)</f>
        <v/>
      </c>
      <c r="K4583" s="4562">
        <f>IF(D4583="","",D4583*J4583)</f>
        <v/>
      </c>
      <c r="L4583" s="4562">
        <f>XLOOKUP(B4583,'_Sys|Line_Map'!$A:$A,'_Sys|Line_Map'!$B:$B,"MISSING",0)</f>
        <v/>
      </c>
    </row>
    <row r="4584">
      <c r="A4584" s="4561" t="n"/>
      <c r="B4584" s="4561" t="n"/>
      <c r="C4584" s="4561" t="n"/>
      <c r="D4584" s="4561" t="n"/>
      <c r="E4584" s="4561" t="n"/>
      <c r="F4584" s="4561" t="n"/>
      <c r="G4584" s="4561" t="n"/>
      <c r="H4584" s="4561" t="n"/>
      <c r="I4584" s="4562">
        <f>XLOOKUP(B4584,'_Sys|Line_Map'!$A:$A,'_Sys|Line_Map'!$C:$C,"MISSING",0)</f>
        <v/>
      </c>
      <c r="J4584" s="4562">
        <f>XLOOKUP(B4584,'_Sys|Line_Map'!$A:$A,'_Sys|Line_Map'!$D:$D,1,0)</f>
        <v/>
      </c>
      <c r="K4584" s="4562">
        <f>IF(D4584="","",D4584*J4584)</f>
        <v/>
      </c>
      <c r="L4584" s="4562">
        <f>XLOOKUP(B4584,'_Sys|Line_Map'!$A:$A,'_Sys|Line_Map'!$B:$B,"MISSING",0)</f>
        <v/>
      </c>
    </row>
    <row r="4585">
      <c r="A4585" s="4561" t="n"/>
      <c r="B4585" s="4561" t="n"/>
      <c r="C4585" s="4561" t="n"/>
      <c r="D4585" s="4561" t="n"/>
      <c r="E4585" s="4561" t="n"/>
      <c r="F4585" s="4561" t="n"/>
      <c r="G4585" s="4561" t="n"/>
      <c r="H4585" s="4561" t="n"/>
      <c r="I4585" s="4562">
        <f>XLOOKUP(B4585,'_Sys|Line_Map'!$A:$A,'_Sys|Line_Map'!$C:$C,"MISSING",0)</f>
        <v/>
      </c>
      <c r="J4585" s="4562">
        <f>XLOOKUP(B4585,'_Sys|Line_Map'!$A:$A,'_Sys|Line_Map'!$D:$D,1,0)</f>
        <v/>
      </c>
      <c r="K4585" s="4562">
        <f>IF(D4585="","",D4585*J4585)</f>
        <v/>
      </c>
      <c r="L4585" s="4562">
        <f>XLOOKUP(B4585,'_Sys|Line_Map'!$A:$A,'_Sys|Line_Map'!$B:$B,"MISSING",0)</f>
        <v/>
      </c>
    </row>
    <row r="4586">
      <c r="A4586" s="4561" t="n"/>
      <c r="B4586" s="4561" t="n"/>
      <c r="C4586" s="4561" t="n"/>
      <c r="D4586" s="4561" t="n"/>
      <c r="E4586" s="4561" t="n"/>
      <c r="F4586" s="4561" t="n"/>
      <c r="G4586" s="4561" t="n"/>
      <c r="H4586" s="4561" t="n"/>
      <c r="I4586" s="4562">
        <f>XLOOKUP(B4586,'_Sys|Line_Map'!$A:$A,'_Sys|Line_Map'!$C:$C,"MISSING",0)</f>
        <v/>
      </c>
      <c r="J4586" s="4562">
        <f>XLOOKUP(B4586,'_Sys|Line_Map'!$A:$A,'_Sys|Line_Map'!$D:$D,1,0)</f>
        <v/>
      </c>
      <c r="K4586" s="4562">
        <f>IF(D4586="","",D4586*J4586)</f>
        <v/>
      </c>
      <c r="L4586" s="4562">
        <f>XLOOKUP(B4586,'_Sys|Line_Map'!$A:$A,'_Sys|Line_Map'!$B:$B,"MISSING",0)</f>
        <v/>
      </c>
    </row>
    <row r="4587">
      <c r="A4587" s="4561" t="n"/>
      <c r="B4587" s="4561" t="n"/>
      <c r="C4587" s="4561" t="n"/>
      <c r="D4587" s="4561" t="n"/>
      <c r="E4587" s="4561" t="n"/>
      <c r="F4587" s="4561" t="n"/>
      <c r="G4587" s="4561" t="n"/>
      <c r="H4587" s="4561" t="n"/>
      <c r="I4587" s="4562">
        <f>XLOOKUP(B4587,'_Sys|Line_Map'!$A:$A,'_Sys|Line_Map'!$C:$C,"MISSING",0)</f>
        <v/>
      </c>
      <c r="J4587" s="4562">
        <f>XLOOKUP(B4587,'_Sys|Line_Map'!$A:$A,'_Sys|Line_Map'!$D:$D,1,0)</f>
        <v/>
      </c>
      <c r="K4587" s="4562">
        <f>IF(D4587="","",D4587*J4587)</f>
        <v/>
      </c>
      <c r="L4587" s="4562">
        <f>XLOOKUP(B4587,'_Sys|Line_Map'!$A:$A,'_Sys|Line_Map'!$B:$B,"MISSING",0)</f>
        <v/>
      </c>
    </row>
    <row r="4588">
      <c r="A4588" s="4561" t="n"/>
      <c r="B4588" s="4561" t="n"/>
      <c r="C4588" s="4561" t="n"/>
      <c r="D4588" s="4561" t="n"/>
      <c r="E4588" s="4561" t="n"/>
      <c r="F4588" s="4561" t="n"/>
      <c r="G4588" s="4561" t="n"/>
      <c r="H4588" s="4561" t="n"/>
      <c r="I4588" s="4562">
        <f>XLOOKUP(B4588,'_Sys|Line_Map'!$A:$A,'_Sys|Line_Map'!$C:$C,"MISSING",0)</f>
        <v/>
      </c>
      <c r="J4588" s="4562">
        <f>XLOOKUP(B4588,'_Sys|Line_Map'!$A:$A,'_Sys|Line_Map'!$D:$D,1,0)</f>
        <v/>
      </c>
      <c r="K4588" s="4562">
        <f>IF(D4588="","",D4588*J4588)</f>
        <v/>
      </c>
      <c r="L4588" s="4562">
        <f>XLOOKUP(B4588,'_Sys|Line_Map'!$A:$A,'_Sys|Line_Map'!$B:$B,"MISSING",0)</f>
        <v/>
      </c>
    </row>
    <row r="4589">
      <c r="A4589" s="4561" t="n"/>
      <c r="B4589" s="4561" t="n"/>
      <c r="C4589" s="4561" t="n"/>
      <c r="D4589" s="4561" t="n"/>
      <c r="E4589" s="4561" t="n"/>
      <c r="F4589" s="4561" t="n"/>
      <c r="G4589" s="4561" t="n"/>
      <c r="H4589" s="4561" t="n"/>
      <c r="I4589" s="4562">
        <f>XLOOKUP(B4589,'_Sys|Line_Map'!$A:$A,'_Sys|Line_Map'!$C:$C,"MISSING",0)</f>
        <v/>
      </c>
      <c r="J4589" s="4562">
        <f>XLOOKUP(B4589,'_Sys|Line_Map'!$A:$A,'_Sys|Line_Map'!$D:$D,1,0)</f>
        <v/>
      </c>
      <c r="K4589" s="4562">
        <f>IF(D4589="","",D4589*J4589)</f>
        <v/>
      </c>
      <c r="L4589" s="4562">
        <f>XLOOKUP(B4589,'_Sys|Line_Map'!$A:$A,'_Sys|Line_Map'!$B:$B,"MISSING",0)</f>
        <v/>
      </c>
    </row>
    <row r="4590">
      <c r="A4590" s="4561" t="n"/>
      <c r="B4590" s="4561" t="n"/>
      <c r="C4590" s="4561" t="n"/>
      <c r="D4590" s="4561" t="n"/>
      <c r="E4590" s="4561" t="n"/>
      <c r="F4590" s="4561" t="n"/>
      <c r="G4590" s="4561" t="n"/>
      <c r="H4590" s="4561" t="n"/>
      <c r="I4590" s="4562">
        <f>XLOOKUP(B4590,'_Sys|Line_Map'!$A:$A,'_Sys|Line_Map'!$C:$C,"MISSING",0)</f>
        <v/>
      </c>
      <c r="J4590" s="4562">
        <f>XLOOKUP(B4590,'_Sys|Line_Map'!$A:$A,'_Sys|Line_Map'!$D:$D,1,0)</f>
        <v/>
      </c>
      <c r="K4590" s="4562">
        <f>IF(D4590="","",D4590*J4590)</f>
        <v/>
      </c>
      <c r="L4590" s="4562">
        <f>XLOOKUP(B4590,'_Sys|Line_Map'!$A:$A,'_Sys|Line_Map'!$B:$B,"MISSING",0)</f>
        <v/>
      </c>
    </row>
    <row r="4591">
      <c r="A4591" s="4561" t="n"/>
      <c r="B4591" s="4561" t="n"/>
      <c r="C4591" s="4561" t="n"/>
      <c r="D4591" s="4561" t="n"/>
      <c r="E4591" s="4561" t="n"/>
      <c r="F4591" s="4561" t="n"/>
      <c r="G4591" s="4561" t="n"/>
      <c r="H4591" s="4561" t="n"/>
      <c r="I4591" s="4562">
        <f>XLOOKUP(B4591,'_Sys|Line_Map'!$A:$A,'_Sys|Line_Map'!$C:$C,"MISSING",0)</f>
        <v/>
      </c>
      <c r="J4591" s="4562">
        <f>XLOOKUP(B4591,'_Sys|Line_Map'!$A:$A,'_Sys|Line_Map'!$D:$D,1,0)</f>
        <v/>
      </c>
      <c r="K4591" s="4562">
        <f>IF(D4591="","",D4591*J4591)</f>
        <v/>
      </c>
      <c r="L4591" s="4562">
        <f>XLOOKUP(B4591,'_Sys|Line_Map'!$A:$A,'_Sys|Line_Map'!$B:$B,"MISSING",0)</f>
        <v/>
      </c>
    </row>
    <row r="4592">
      <c r="A4592" s="4561" t="n"/>
      <c r="B4592" s="4561" t="n"/>
      <c r="C4592" s="4561" t="n"/>
      <c r="D4592" s="4561" t="n"/>
      <c r="E4592" s="4561" t="n"/>
      <c r="F4592" s="4561" t="n"/>
      <c r="G4592" s="4561" t="n"/>
      <c r="H4592" s="4561" t="n"/>
      <c r="I4592" s="4562">
        <f>XLOOKUP(B4592,'_Sys|Line_Map'!$A:$A,'_Sys|Line_Map'!$C:$C,"MISSING",0)</f>
        <v/>
      </c>
      <c r="J4592" s="4562">
        <f>XLOOKUP(B4592,'_Sys|Line_Map'!$A:$A,'_Sys|Line_Map'!$D:$D,1,0)</f>
        <v/>
      </c>
      <c r="K4592" s="4562">
        <f>IF(D4592="","",D4592*J4592)</f>
        <v/>
      </c>
      <c r="L4592" s="4562">
        <f>XLOOKUP(B4592,'_Sys|Line_Map'!$A:$A,'_Sys|Line_Map'!$B:$B,"MISSING",0)</f>
        <v/>
      </c>
    </row>
    <row r="4593">
      <c r="A4593" s="4561" t="n"/>
      <c r="B4593" s="4561" t="n"/>
      <c r="C4593" s="4561" t="n"/>
      <c r="D4593" s="4561" t="n"/>
      <c r="E4593" s="4561" t="n"/>
      <c r="F4593" s="4561" t="n"/>
      <c r="G4593" s="4561" t="n"/>
      <c r="H4593" s="4561" t="n"/>
      <c r="I4593" s="4562">
        <f>XLOOKUP(B4593,'_Sys|Line_Map'!$A:$A,'_Sys|Line_Map'!$C:$C,"MISSING",0)</f>
        <v/>
      </c>
      <c r="J4593" s="4562">
        <f>XLOOKUP(B4593,'_Sys|Line_Map'!$A:$A,'_Sys|Line_Map'!$D:$D,1,0)</f>
        <v/>
      </c>
      <c r="K4593" s="4562">
        <f>IF(D4593="","",D4593*J4593)</f>
        <v/>
      </c>
      <c r="L4593" s="4562">
        <f>XLOOKUP(B4593,'_Sys|Line_Map'!$A:$A,'_Sys|Line_Map'!$B:$B,"MISSING",0)</f>
        <v/>
      </c>
    </row>
    <row r="4594">
      <c r="A4594" s="4561" t="n"/>
      <c r="B4594" s="4561" t="n"/>
      <c r="C4594" s="4561" t="n"/>
      <c r="D4594" s="4561" t="n"/>
      <c r="E4594" s="4561" t="n"/>
      <c r="F4594" s="4561" t="n"/>
      <c r="G4594" s="4561" t="n"/>
      <c r="H4594" s="4561" t="n"/>
      <c r="I4594" s="4562">
        <f>XLOOKUP(B4594,'_Sys|Line_Map'!$A:$A,'_Sys|Line_Map'!$C:$C,"MISSING",0)</f>
        <v/>
      </c>
      <c r="J4594" s="4562">
        <f>XLOOKUP(B4594,'_Sys|Line_Map'!$A:$A,'_Sys|Line_Map'!$D:$D,1,0)</f>
        <v/>
      </c>
      <c r="K4594" s="4562">
        <f>IF(D4594="","",D4594*J4594)</f>
        <v/>
      </c>
      <c r="L4594" s="4562">
        <f>XLOOKUP(B4594,'_Sys|Line_Map'!$A:$A,'_Sys|Line_Map'!$B:$B,"MISSING",0)</f>
        <v/>
      </c>
    </row>
    <row r="4595">
      <c r="A4595" s="4561" t="n"/>
      <c r="B4595" s="4561" t="n"/>
      <c r="C4595" s="4561" t="n"/>
      <c r="D4595" s="4561" t="n"/>
      <c r="E4595" s="4561" t="n"/>
      <c r="F4595" s="4561" t="n"/>
      <c r="G4595" s="4561" t="n"/>
      <c r="H4595" s="4561" t="n"/>
      <c r="I4595" s="4562">
        <f>XLOOKUP(B4595,'_Sys|Line_Map'!$A:$A,'_Sys|Line_Map'!$C:$C,"MISSING",0)</f>
        <v/>
      </c>
      <c r="J4595" s="4562">
        <f>XLOOKUP(B4595,'_Sys|Line_Map'!$A:$A,'_Sys|Line_Map'!$D:$D,1,0)</f>
        <v/>
      </c>
      <c r="K4595" s="4562">
        <f>IF(D4595="","",D4595*J4595)</f>
        <v/>
      </c>
      <c r="L4595" s="4562">
        <f>XLOOKUP(B4595,'_Sys|Line_Map'!$A:$A,'_Sys|Line_Map'!$B:$B,"MISSING",0)</f>
        <v/>
      </c>
    </row>
    <row r="4596">
      <c r="A4596" s="4561" t="n"/>
      <c r="B4596" s="4561" t="n"/>
      <c r="C4596" s="4561" t="n"/>
      <c r="D4596" s="4561" t="n"/>
      <c r="E4596" s="4561" t="n"/>
      <c r="F4596" s="4561" t="n"/>
      <c r="G4596" s="4561" t="n"/>
      <c r="H4596" s="4561" t="n"/>
      <c r="I4596" s="4562">
        <f>XLOOKUP(B4596,'_Sys|Line_Map'!$A:$A,'_Sys|Line_Map'!$C:$C,"MISSING",0)</f>
        <v/>
      </c>
      <c r="J4596" s="4562">
        <f>XLOOKUP(B4596,'_Sys|Line_Map'!$A:$A,'_Sys|Line_Map'!$D:$D,1,0)</f>
        <v/>
      </c>
      <c r="K4596" s="4562">
        <f>IF(D4596="","",D4596*J4596)</f>
        <v/>
      </c>
      <c r="L4596" s="4562">
        <f>XLOOKUP(B4596,'_Sys|Line_Map'!$A:$A,'_Sys|Line_Map'!$B:$B,"MISSING",0)</f>
        <v/>
      </c>
    </row>
    <row r="4597">
      <c r="A4597" s="4561" t="n"/>
      <c r="B4597" s="4561" t="n"/>
      <c r="C4597" s="4561" t="n"/>
      <c r="D4597" s="4561" t="n"/>
      <c r="E4597" s="4561" t="n"/>
      <c r="F4597" s="4561" t="n"/>
      <c r="G4597" s="4561" t="n"/>
      <c r="H4597" s="4561" t="n"/>
      <c r="I4597" s="4562">
        <f>XLOOKUP(B4597,'_Sys|Line_Map'!$A:$A,'_Sys|Line_Map'!$C:$C,"MISSING",0)</f>
        <v/>
      </c>
      <c r="J4597" s="4562">
        <f>XLOOKUP(B4597,'_Sys|Line_Map'!$A:$A,'_Sys|Line_Map'!$D:$D,1,0)</f>
        <v/>
      </c>
      <c r="K4597" s="4562">
        <f>IF(D4597="","",D4597*J4597)</f>
        <v/>
      </c>
      <c r="L4597" s="4562">
        <f>XLOOKUP(B4597,'_Sys|Line_Map'!$A:$A,'_Sys|Line_Map'!$B:$B,"MISSING",0)</f>
        <v/>
      </c>
    </row>
    <row r="4598">
      <c r="A4598" s="4561" t="n"/>
      <c r="B4598" s="4561" t="n"/>
      <c r="C4598" s="4561" t="n"/>
      <c r="D4598" s="4561" t="n"/>
      <c r="E4598" s="4561" t="n"/>
      <c r="F4598" s="4561" t="n"/>
      <c r="G4598" s="4561" t="n"/>
      <c r="H4598" s="4561" t="n"/>
      <c r="I4598" s="4562">
        <f>XLOOKUP(B4598,'_Sys|Line_Map'!$A:$A,'_Sys|Line_Map'!$C:$C,"MISSING",0)</f>
        <v/>
      </c>
      <c r="J4598" s="4562">
        <f>XLOOKUP(B4598,'_Sys|Line_Map'!$A:$A,'_Sys|Line_Map'!$D:$D,1,0)</f>
        <v/>
      </c>
      <c r="K4598" s="4562">
        <f>IF(D4598="","",D4598*J4598)</f>
        <v/>
      </c>
      <c r="L4598" s="4562">
        <f>XLOOKUP(B4598,'_Sys|Line_Map'!$A:$A,'_Sys|Line_Map'!$B:$B,"MISSING",0)</f>
        <v/>
      </c>
    </row>
    <row r="4599">
      <c r="A4599" s="4561" t="n"/>
      <c r="B4599" s="4561" t="n"/>
      <c r="C4599" s="4561" t="n"/>
      <c r="D4599" s="4561" t="n"/>
      <c r="E4599" s="4561" t="n"/>
      <c r="F4599" s="4561" t="n"/>
      <c r="G4599" s="4561" t="n"/>
      <c r="H4599" s="4561" t="n"/>
      <c r="I4599" s="4562">
        <f>XLOOKUP(B4599,'_Sys|Line_Map'!$A:$A,'_Sys|Line_Map'!$C:$C,"MISSING",0)</f>
        <v/>
      </c>
      <c r="J4599" s="4562">
        <f>XLOOKUP(B4599,'_Sys|Line_Map'!$A:$A,'_Sys|Line_Map'!$D:$D,1,0)</f>
        <v/>
      </c>
      <c r="K4599" s="4562">
        <f>IF(D4599="","",D4599*J4599)</f>
        <v/>
      </c>
      <c r="L4599" s="4562">
        <f>XLOOKUP(B4599,'_Sys|Line_Map'!$A:$A,'_Sys|Line_Map'!$B:$B,"MISSING",0)</f>
        <v/>
      </c>
    </row>
    <row r="4600">
      <c r="A4600" s="4561" t="n"/>
      <c r="B4600" s="4561" t="n"/>
      <c r="C4600" s="4561" t="n"/>
      <c r="D4600" s="4561" t="n"/>
      <c r="E4600" s="4561" t="n"/>
      <c r="F4600" s="4561" t="n"/>
      <c r="G4600" s="4561" t="n"/>
      <c r="H4600" s="4561" t="n"/>
      <c r="I4600" s="4562">
        <f>XLOOKUP(B4600,'_Sys|Line_Map'!$A:$A,'_Sys|Line_Map'!$C:$C,"MISSING",0)</f>
        <v/>
      </c>
      <c r="J4600" s="4562">
        <f>XLOOKUP(B4600,'_Sys|Line_Map'!$A:$A,'_Sys|Line_Map'!$D:$D,1,0)</f>
        <v/>
      </c>
      <c r="K4600" s="4562">
        <f>IF(D4600="","",D4600*J4600)</f>
        <v/>
      </c>
      <c r="L4600" s="4562">
        <f>XLOOKUP(B4600,'_Sys|Line_Map'!$A:$A,'_Sys|Line_Map'!$B:$B,"MISSING",0)</f>
        <v/>
      </c>
    </row>
    <row r="4601">
      <c r="A4601" s="4561" t="n"/>
      <c r="B4601" s="4561" t="n"/>
      <c r="C4601" s="4561" t="n"/>
      <c r="D4601" s="4561" t="n"/>
      <c r="E4601" s="4561" t="n"/>
      <c r="F4601" s="4561" t="n"/>
      <c r="G4601" s="4561" t="n"/>
      <c r="H4601" s="4561" t="n"/>
      <c r="I4601" s="4562">
        <f>XLOOKUP(B4601,'_Sys|Line_Map'!$A:$A,'_Sys|Line_Map'!$C:$C,"MISSING",0)</f>
        <v/>
      </c>
      <c r="J4601" s="4562">
        <f>XLOOKUP(B4601,'_Sys|Line_Map'!$A:$A,'_Sys|Line_Map'!$D:$D,1,0)</f>
        <v/>
      </c>
      <c r="K4601" s="4562">
        <f>IF(D4601="","",D4601*J4601)</f>
        <v/>
      </c>
      <c r="L4601" s="4562">
        <f>XLOOKUP(B4601,'_Sys|Line_Map'!$A:$A,'_Sys|Line_Map'!$B:$B,"MISSING",0)</f>
        <v/>
      </c>
    </row>
    <row r="4602">
      <c r="A4602" s="4561" t="n"/>
      <c r="B4602" s="4561" t="n"/>
      <c r="C4602" s="4561" t="n"/>
      <c r="D4602" s="4561" t="n"/>
      <c r="E4602" s="4561" t="n"/>
      <c r="F4602" s="4561" t="n"/>
      <c r="G4602" s="4561" t="n"/>
      <c r="H4602" s="4561" t="n"/>
      <c r="I4602" s="4562">
        <f>XLOOKUP(B4602,'_Sys|Line_Map'!$A:$A,'_Sys|Line_Map'!$C:$C,"MISSING",0)</f>
        <v/>
      </c>
      <c r="J4602" s="4562">
        <f>XLOOKUP(B4602,'_Sys|Line_Map'!$A:$A,'_Sys|Line_Map'!$D:$D,1,0)</f>
        <v/>
      </c>
      <c r="K4602" s="4562">
        <f>IF(D4602="","",D4602*J4602)</f>
        <v/>
      </c>
      <c r="L4602" s="4562">
        <f>XLOOKUP(B4602,'_Sys|Line_Map'!$A:$A,'_Sys|Line_Map'!$B:$B,"MISSING",0)</f>
        <v/>
      </c>
    </row>
    <row r="4603">
      <c r="A4603" s="4561" t="n"/>
      <c r="B4603" s="4561" t="n"/>
      <c r="C4603" s="4561" t="n"/>
      <c r="D4603" s="4561" t="n"/>
      <c r="E4603" s="4561" t="n"/>
      <c r="F4603" s="4561" t="n"/>
      <c r="G4603" s="4561" t="n"/>
      <c r="H4603" s="4561" t="n"/>
      <c r="I4603" s="4562">
        <f>XLOOKUP(B4603,'_Sys|Line_Map'!$A:$A,'_Sys|Line_Map'!$C:$C,"MISSING",0)</f>
        <v/>
      </c>
      <c r="J4603" s="4562">
        <f>XLOOKUP(B4603,'_Sys|Line_Map'!$A:$A,'_Sys|Line_Map'!$D:$D,1,0)</f>
        <v/>
      </c>
      <c r="K4603" s="4562">
        <f>IF(D4603="","",D4603*J4603)</f>
        <v/>
      </c>
      <c r="L4603" s="4562">
        <f>XLOOKUP(B4603,'_Sys|Line_Map'!$A:$A,'_Sys|Line_Map'!$B:$B,"MISSING",0)</f>
        <v/>
      </c>
    </row>
    <row r="4604">
      <c r="A4604" s="4561" t="n"/>
      <c r="B4604" s="4561" t="n"/>
      <c r="C4604" s="4561" t="n"/>
      <c r="D4604" s="4561" t="n"/>
      <c r="E4604" s="4561" t="n"/>
      <c r="F4604" s="4561" t="n"/>
      <c r="G4604" s="4561" t="n"/>
      <c r="H4604" s="4561" t="n"/>
      <c r="I4604" s="4562">
        <f>XLOOKUP(B4604,'_Sys|Line_Map'!$A:$A,'_Sys|Line_Map'!$C:$C,"MISSING",0)</f>
        <v/>
      </c>
      <c r="J4604" s="4562">
        <f>XLOOKUP(B4604,'_Sys|Line_Map'!$A:$A,'_Sys|Line_Map'!$D:$D,1,0)</f>
        <v/>
      </c>
      <c r="K4604" s="4562">
        <f>IF(D4604="","",D4604*J4604)</f>
        <v/>
      </c>
      <c r="L4604" s="4562">
        <f>XLOOKUP(B4604,'_Sys|Line_Map'!$A:$A,'_Sys|Line_Map'!$B:$B,"MISSING",0)</f>
        <v/>
      </c>
    </row>
    <row r="4605">
      <c r="A4605" s="4561" t="n"/>
      <c r="B4605" s="4561" t="n"/>
      <c r="C4605" s="4561" t="n"/>
      <c r="D4605" s="4561" t="n"/>
      <c r="E4605" s="4561" t="n"/>
      <c r="F4605" s="4561" t="n"/>
      <c r="G4605" s="4561" t="n"/>
      <c r="H4605" s="4561" t="n"/>
      <c r="I4605" s="4562">
        <f>XLOOKUP(B4605,'_Sys|Line_Map'!$A:$A,'_Sys|Line_Map'!$C:$C,"MISSING",0)</f>
        <v/>
      </c>
      <c r="J4605" s="4562">
        <f>XLOOKUP(B4605,'_Sys|Line_Map'!$A:$A,'_Sys|Line_Map'!$D:$D,1,0)</f>
        <v/>
      </c>
      <c r="K4605" s="4562">
        <f>IF(D4605="","",D4605*J4605)</f>
        <v/>
      </c>
      <c r="L4605" s="4562">
        <f>XLOOKUP(B4605,'_Sys|Line_Map'!$A:$A,'_Sys|Line_Map'!$B:$B,"MISSING",0)</f>
        <v/>
      </c>
    </row>
    <row r="4606">
      <c r="A4606" s="4561" t="n"/>
      <c r="B4606" s="4561" t="n"/>
      <c r="C4606" s="4561" t="n"/>
      <c r="D4606" s="4561" t="n"/>
      <c r="E4606" s="4561" t="n"/>
      <c r="F4606" s="4561" t="n"/>
      <c r="G4606" s="4561" t="n"/>
      <c r="H4606" s="4561" t="n"/>
      <c r="I4606" s="4562">
        <f>XLOOKUP(B4606,'_Sys|Line_Map'!$A:$A,'_Sys|Line_Map'!$C:$C,"MISSING",0)</f>
        <v/>
      </c>
      <c r="J4606" s="4562">
        <f>XLOOKUP(B4606,'_Sys|Line_Map'!$A:$A,'_Sys|Line_Map'!$D:$D,1,0)</f>
        <v/>
      </c>
      <c r="K4606" s="4562">
        <f>IF(D4606="","",D4606*J4606)</f>
        <v/>
      </c>
      <c r="L4606" s="4562">
        <f>XLOOKUP(B4606,'_Sys|Line_Map'!$A:$A,'_Sys|Line_Map'!$B:$B,"MISSING",0)</f>
        <v/>
      </c>
    </row>
    <row r="4607">
      <c r="A4607" s="4561" t="n"/>
      <c r="B4607" s="4561" t="n"/>
      <c r="C4607" s="4561" t="n"/>
      <c r="D4607" s="4561" t="n"/>
      <c r="E4607" s="4561" t="n"/>
      <c r="F4607" s="4561" t="n"/>
      <c r="G4607" s="4561" t="n"/>
      <c r="H4607" s="4561" t="n"/>
      <c r="I4607" s="4562">
        <f>XLOOKUP(B4607,'_Sys|Line_Map'!$A:$A,'_Sys|Line_Map'!$C:$C,"MISSING",0)</f>
        <v/>
      </c>
      <c r="J4607" s="4562">
        <f>XLOOKUP(B4607,'_Sys|Line_Map'!$A:$A,'_Sys|Line_Map'!$D:$D,1,0)</f>
        <v/>
      </c>
      <c r="K4607" s="4562">
        <f>IF(D4607="","",D4607*J4607)</f>
        <v/>
      </c>
      <c r="L4607" s="4562">
        <f>XLOOKUP(B4607,'_Sys|Line_Map'!$A:$A,'_Sys|Line_Map'!$B:$B,"MISSING",0)</f>
        <v/>
      </c>
    </row>
    <row r="4608">
      <c r="A4608" s="4561" t="n"/>
      <c r="B4608" s="4561" t="n"/>
      <c r="C4608" s="4561" t="n"/>
      <c r="D4608" s="4561" t="n"/>
      <c r="E4608" s="4561" t="n"/>
      <c r="F4608" s="4561" t="n"/>
      <c r="G4608" s="4561" t="n"/>
      <c r="H4608" s="4561" t="n"/>
      <c r="I4608" s="4562">
        <f>XLOOKUP(B4608,'_Sys|Line_Map'!$A:$A,'_Sys|Line_Map'!$C:$C,"MISSING",0)</f>
        <v/>
      </c>
      <c r="J4608" s="4562">
        <f>XLOOKUP(B4608,'_Sys|Line_Map'!$A:$A,'_Sys|Line_Map'!$D:$D,1,0)</f>
        <v/>
      </c>
      <c r="K4608" s="4562">
        <f>IF(D4608="","",D4608*J4608)</f>
        <v/>
      </c>
      <c r="L4608" s="4562">
        <f>XLOOKUP(B4608,'_Sys|Line_Map'!$A:$A,'_Sys|Line_Map'!$B:$B,"MISSING",0)</f>
        <v/>
      </c>
    </row>
    <row r="4609">
      <c r="A4609" s="4561" t="n"/>
      <c r="B4609" s="4561" t="n"/>
      <c r="C4609" s="4561" t="n"/>
      <c r="D4609" s="4561" t="n"/>
      <c r="E4609" s="4561" t="n"/>
      <c r="F4609" s="4561" t="n"/>
      <c r="G4609" s="4561" t="n"/>
      <c r="H4609" s="4561" t="n"/>
      <c r="I4609" s="4562">
        <f>XLOOKUP(B4609,'_Sys|Line_Map'!$A:$A,'_Sys|Line_Map'!$C:$C,"MISSING",0)</f>
        <v/>
      </c>
      <c r="J4609" s="4562">
        <f>XLOOKUP(B4609,'_Sys|Line_Map'!$A:$A,'_Sys|Line_Map'!$D:$D,1,0)</f>
        <v/>
      </c>
      <c r="K4609" s="4562">
        <f>IF(D4609="","",D4609*J4609)</f>
        <v/>
      </c>
      <c r="L4609" s="4562">
        <f>XLOOKUP(B4609,'_Sys|Line_Map'!$A:$A,'_Sys|Line_Map'!$B:$B,"MISSING",0)</f>
        <v/>
      </c>
    </row>
    <row r="4610">
      <c r="A4610" s="4561" t="n"/>
      <c r="B4610" s="4561" t="n"/>
      <c r="C4610" s="4561" t="n"/>
      <c r="D4610" s="4561" t="n"/>
      <c r="E4610" s="4561" t="n"/>
      <c r="F4610" s="4561" t="n"/>
      <c r="G4610" s="4561" t="n"/>
      <c r="H4610" s="4561" t="n"/>
      <c r="I4610" s="4562">
        <f>XLOOKUP(B4610,'_Sys|Line_Map'!$A:$A,'_Sys|Line_Map'!$C:$C,"MISSING",0)</f>
        <v/>
      </c>
      <c r="J4610" s="4562">
        <f>XLOOKUP(B4610,'_Sys|Line_Map'!$A:$A,'_Sys|Line_Map'!$D:$D,1,0)</f>
        <v/>
      </c>
      <c r="K4610" s="4562">
        <f>IF(D4610="","",D4610*J4610)</f>
        <v/>
      </c>
      <c r="L4610" s="4562">
        <f>XLOOKUP(B4610,'_Sys|Line_Map'!$A:$A,'_Sys|Line_Map'!$B:$B,"MISSING",0)</f>
        <v/>
      </c>
    </row>
    <row r="4611">
      <c r="A4611" s="4561" t="n"/>
      <c r="B4611" s="4561" t="n"/>
      <c r="C4611" s="4561" t="n"/>
      <c r="D4611" s="4561" t="n"/>
      <c r="E4611" s="4561" t="n"/>
      <c r="F4611" s="4561" t="n"/>
      <c r="G4611" s="4561" t="n"/>
      <c r="H4611" s="4561" t="n"/>
      <c r="I4611" s="4562">
        <f>XLOOKUP(B4611,'_Sys|Line_Map'!$A:$A,'_Sys|Line_Map'!$C:$C,"MISSING",0)</f>
        <v/>
      </c>
      <c r="J4611" s="4562">
        <f>XLOOKUP(B4611,'_Sys|Line_Map'!$A:$A,'_Sys|Line_Map'!$D:$D,1,0)</f>
        <v/>
      </c>
      <c r="K4611" s="4562">
        <f>IF(D4611="","",D4611*J4611)</f>
        <v/>
      </c>
      <c r="L4611" s="4562">
        <f>XLOOKUP(B4611,'_Sys|Line_Map'!$A:$A,'_Sys|Line_Map'!$B:$B,"MISSING",0)</f>
        <v/>
      </c>
    </row>
    <row r="4612">
      <c r="A4612" s="4561" t="n"/>
      <c r="B4612" s="4561" t="n"/>
      <c r="C4612" s="4561" t="n"/>
      <c r="D4612" s="4561" t="n"/>
      <c r="E4612" s="4561" t="n"/>
      <c r="F4612" s="4561" t="n"/>
      <c r="G4612" s="4561" t="n"/>
      <c r="H4612" s="4561" t="n"/>
      <c r="I4612" s="4562">
        <f>XLOOKUP(B4612,'_Sys|Line_Map'!$A:$A,'_Sys|Line_Map'!$C:$C,"MISSING",0)</f>
        <v/>
      </c>
      <c r="J4612" s="4562">
        <f>XLOOKUP(B4612,'_Sys|Line_Map'!$A:$A,'_Sys|Line_Map'!$D:$D,1,0)</f>
        <v/>
      </c>
      <c r="K4612" s="4562">
        <f>IF(D4612="","",D4612*J4612)</f>
        <v/>
      </c>
      <c r="L4612" s="4562">
        <f>XLOOKUP(B4612,'_Sys|Line_Map'!$A:$A,'_Sys|Line_Map'!$B:$B,"MISSING",0)</f>
        <v/>
      </c>
    </row>
    <row r="4613">
      <c r="A4613" s="4561" t="n"/>
      <c r="B4613" s="4561" t="n"/>
      <c r="C4613" s="4561" t="n"/>
      <c r="D4613" s="4561" t="n"/>
      <c r="E4613" s="4561" t="n"/>
      <c r="F4613" s="4561" t="n"/>
      <c r="G4613" s="4561" t="n"/>
      <c r="H4613" s="4561" t="n"/>
      <c r="I4613" s="4562">
        <f>XLOOKUP(B4613,'_Sys|Line_Map'!$A:$A,'_Sys|Line_Map'!$C:$C,"MISSING",0)</f>
        <v/>
      </c>
      <c r="J4613" s="4562">
        <f>XLOOKUP(B4613,'_Sys|Line_Map'!$A:$A,'_Sys|Line_Map'!$D:$D,1,0)</f>
        <v/>
      </c>
      <c r="K4613" s="4562">
        <f>IF(D4613="","",D4613*J4613)</f>
        <v/>
      </c>
      <c r="L4613" s="4562">
        <f>XLOOKUP(B4613,'_Sys|Line_Map'!$A:$A,'_Sys|Line_Map'!$B:$B,"MISSING",0)</f>
        <v/>
      </c>
    </row>
    <row r="4614">
      <c r="A4614" s="4561" t="n"/>
      <c r="B4614" s="4561" t="n"/>
      <c r="C4614" s="4561" t="n"/>
      <c r="D4614" s="4561" t="n"/>
      <c r="E4614" s="4561" t="n"/>
      <c r="F4614" s="4561" t="n"/>
      <c r="G4614" s="4561" t="n"/>
      <c r="H4614" s="4561" t="n"/>
      <c r="I4614" s="4562">
        <f>XLOOKUP(B4614,'_Sys|Line_Map'!$A:$A,'_Sys|Line_Map'!$C:$C,"MISSING",0)</f>
        <v/>
      </c>
      <c r="J4614" s="4562">
        <f>XLOOKUP(B4614,'_Sys|Line_Map'!$A:$A,'_Sys|Line_Map'!$D:$D,1,0)</f>
        <v/>
      </c>
      <c r="K4614" s="4562">
        <f>IF(D4614="","",D4614*J4614)</f>
        <v/>
      </c>
      <c r="L4614" s="4562">
        <f>XLOOKUP(B4614,'_Sys|Line_Map'!$A:$A,'_Sys|Line_Map'!$B:$B,"MISSING",0)</f>
        <v/>
      </c>
    </row>
    <row r="4615">
      <c r="A4615" s="4561" t="n"/>
      <c r="B4615" s="4561" t="n"/>
      <c r="C4615" s="4561" t="n"/>
      <c r="D4615" s="4561" t="n"/>
      <c r="E4615" s="4561" t="n"/>
      <c r="F4615" s="4561" t="n"/>
      <c r="G4615" s="4561" t="n"/>
      <c r="H4615" s="4561" t="n"/>
      <c r="I4615" s="4562">
        <f>XLOOKUP(B4615,'_Sys|Line_Map'!$A:$A,'_Sys|Line_Map'!$C:$C,"MISSING",0)</f>
        <v/>
      </c>
      <c r="J4615" s="4562">
        <f>XLOOKUP(B4615,'_Sys|Line_Map'!$A:$A,'_Sys|Line_Map'!$D:$D,1,0)</f>
        <v/>
      </c>
      <c r="K4615" s="4562">
        <f>IF(D4615="","",D4615*J4615)</f>
        <v/>
      </c>
      <c r="L4615" s="4562">
        <f>XLOOKUP(B4615,'_Sys|Line_Map'!$A:$A,'_Sys|Line_Map'!$B:$B,"MISSING",0)</f>
        <v/>
      </c>
    </row>
    <row r="4616">
      <c r="A4616" s="4561" t="n"/>
      <c r="B4616" s="4561" t="n"/>
      <c r="C4616" s="4561" t="n"/>
      <c r="D4616" s="4561" t="n"/>
      <c r="E4616" s="4561" t="n"/>
      <c r="F4616" s="4561" t="n"/>
      <c r="G4616" s="4561" t="n"/>
      <c r="H4616" s="4561" t="n"/>
      <c r="I4616" s="4562">
        <f>XLOOKUP(B4616,'_Sys|Line_Map'!$A:$A,'_Sys|Line_Map'!$C:$C,"MISSING",0)</f>
        <v/>
      </c>
      <c r="J4616" s="4562">
        <f>XLOOKUP(B4616,'_Sys|Line_Map'!$A:$A,'_Sys|Line_Map'!$D:$D,1,0)</f>
        <v/>
      </c>
      <c r="K4616" s="4562">
        <f>IF(D4616="","",D4616*J4616)</f>
        <v/>
      </c>
      <c r="L4616" s="4562">
        <f>XLOOKUP(B4616,'_Sys|Line_Map'!$A:$A,'_Sys|Line_Map'!$B:$B,"MISSING",0)</f>
        <v/>
      </c>
    </row>
    <row r="4617">
      <c r="A4617" s="4561" t="n"/>
      <c r="B4617" s="4561" t="n"/>
      <c r="C4617" s="4561" t="n"/>
      <c r="D4617" s="4561" t="n"/>
      <c r="E4617" s="4561" t="n"/>
      <c r="F4617" s="4561" t="n"/>
      <c r="G4617" s="4561" t="n"/>
      <c r="H4617" s="4561" t="n"/>
      <c r="I4617" s="4562">
        <f>XLOOKUP(B4617,'_Sys|Line_Map'!$A:$A,'_Sys|Line_Map'!$C:$C,"MISSING",0)</f>
        <v/>
      </c>
      <c r="J4617" s="4562">
        <f>XLOOKUP(B4617,'_Sys|Line_Map'!$A:$A,'_Sys|Line_Map'!$D:$D,1,0)</f>
        <v/>
      </c>
      <c r="K4617" s="4562">
        <f>IF(D4617="","",D4617*J4617)</f>
        <v/>
      </c>
      <c r="L4617" s="4562">
        <f>XLOOKUP(B4617,'_Sys|Line_Map'!$A:$A,'_Sys|Line_Map'!$B:$B,"MISSING",0)</f>
        <v/>
      </c>
    </row>
    <row r="4618">
      <c r="A4618" s="4561" t="n"/>
      <c r="B4618" s="4561" t="n"/>
      <c r="C4618" s="4561" t="n"/>
      <c r="D4618" s="4561" t="n"/>
      <c r="E4618" s="4561" t="n"/>
      <c r="F4618" s="4561" t="n"/>
      <c r="G4618" s="4561" t="n"/>
      <c r="H4618" s="4561" t="n"/>
      <c r="I4618" s="4562">
        <f>XLOOKUP(B4618,'_Sys|Line_Map'!$A:$A,'_Sys|Line_Map'!$C:$C,"MISSING",0)</f>
        <v/>
      </c>
      <c r="J4618" s="4562">
        <f>XLOOKUP(B4618,'_Sys|Line_Map'!$A:$A,'_Sys|Line_Map'!$D:$D,1,0)</f>
        <v/>
      </c>
      <c r="K4618" s="4562">
        <f>IF(D4618="","",D4618*J4618)</f>
        <v/>
      </c>
      <c r="L4618" s="4562">
        <f>XLOOKUP(B4618,'_Sys|Line_Map'!$A:$A,'_Sys|Line_Map'!$B:$B,"MISSING",0)</f>
        <v/>
      </c>
    </row>
    <row r="4619">
      <c r="A4619" s="4561" t="n"/>
      <c r="B4619" s="4561" t="n"/>
      <c r="C4619" s="4561" t="n"/>
      <c r="D4619" s="4561" t="n"/>
      <c r="E4619" s="4561" t="n"/>
      <c r="F4619" s="4561" t="n"/>
      <c r="G4619" s="4561" t="n"/>
      <c r="H4619" s="4561" t="n"/>
      <c r="I4619" s="4562">
        <f>XLOOKUP(B4619,'_Sys|Line_Map'!$A:$A,'_Sys|Line_Map'!$C:$C,"MISSING",0)</f>
        <v/>
      </c>
      <c r="J4619" s="4562">
        <f>XLOOKUP(B4619,'_Sys|Line_Map'!$A:$A,'_Sys|Line_Map'!$D:$D,1,0)</f>
        <v/>
      </c>
      <c r="K4619" s="4562">
        <f>IF(D4619="","",D4619*J4619)</f>
        <v/>
      </c>
      <c r="L4619" s="4562">
        <f>XLOOKUP(B4619,'_Sys|Line_Map'!$A:$A,'_Sys|Line_Map'!$B:$B,"MISSING",0)</f>
        <v/>
      </c>
    </row>
    <row r="4620">
      <c r="A4620" s="4561" t="n"/>
      <c r="B4620" s="4561" t="n"/>
      <c r="C4620" s="4561" t="n"/>
      <c r="D4620" s="4561" t="n"/>
      <c r="E4620" s="4561" t="n"/>
      <c r="F4620" s="4561" t="n"/>
      <c r="G4620" s="4561" t="n"/>
      <c r="H4620" s="4561" t="n"/>
      <c r="I4620" s="4562">
        <f>XLOOKUP(B4620,'_Sys|Line_Map'!$A:$A,'_Sys|Line_Map'!$C:$C,"MISSING",0)</f>
        <v/>
      </c>
      <c r="J4620" s="4562">
        <f>XLOOKUP(B4620,'_Sys|Line_Map'!$A:$A,'_Sys|Line_Map'!$D:$D,1,0)</f>
        <v/>
      </c>
      <c r="K4620" s="4562">
        <f>IF(D4620="","",D4620*J4620)</f>
        <v/>
      </c>
      <c r="L4620" s="4562">
        <f>XLOOKUP(B4620,'_Sys|Line_Map'!$A:$A,'_Sys|Line_Map'!$B:$B,"MISSING",0)</f>
        <v/>
      </c>
    </row>
    <row r="4621">
      <c r="A4621" s="4561" t="n"/>
      <c r="B4621" s="4561" t="n"/>
      <c r="C4621" s="4561" t="n"/>
      <c r="D4621" s="4561" t="n"/>
      <c r="E4621" s="4561" t="n"/>
      <c r="F4621" s="4561" t="n"/>
      <c r="G4621" s="4561" t="n"/>
      <c r="H4621" s="4561" t="n"/>
      <c r="I4621" s="4562">
        <f>XLOOKUP(B4621,'_Sys|Line_Map'!$A:$A,'_Sys|Line_Map'!$C:$C,"MISSING",0)</f>
        <v/>
      </c>
      <c r="J4621" s="4562">
        <f>XLOOKUP(B4621,'_Sys|Line_Map'!$A:$A,'_Sys|Line_Map'!$D:$D,1,0)</f>
        <v/>
      </c>
      <c r="K4621" s="4562">
        <f>IF(D4621="","",D4621*J4621)</f>
        <v/>
      </c>
      <c r="L4621" s="4562">
        <f>XLOOKUP(B4621,'_Sys|Line_Map'!$A:$A,'_Sys|Line_Map'!$B:$B,"MISSING",0)</f>
        <v/>
      </c>
    </row>
    <row r="4622">
      <c r="A4622" s="4561" t="n"/>
      <c r="B4622" s="4561" t="n"/>
      <c r="C4622" s="4561" t="n"/>
      <c r="D4622" s="4561" t="n"/>
      <c r="E4622" s="4561" t="n"/>
      <c r="F4622" s="4561" t="n"/>
      <c r="G4622" s="4561" t="n"/>
      <c r="H4622" s="4561" t="n"/>
      <c r="I4622" s="4562">
        <f>XLOOKUP(B4622,'_Sys|Line_Map'!$A:$A,'_Sys|Line_Map'!$C:$C,"MISSING",0)</f>
        <v/>
      </c>
      <c r="J4622" s="4562">
        <f>XLOOKUP(B4622,'_Sys|Line_Map'!$A:$A,'_Sys|Line_Map'!$D:$D,1,0)</f>
        <v/>
      </c>
      <c r="K4622" s="4562">
        <f>IF(D4622="","",D4622*J4622)</f>
        <v/>
      </c>
      <c r="L4622" s="4562">
        <f>XLOOKUP(B4622,'_Sys|Line_Map'!$A:$A,'_Sys|Line_Map'!$B:$B,"MISSING",0)</f>
        <v/>
      </c>
    </row>
    <row r="4623">
      <c r="A4623" s="4561" t="n"/>
      <c r="B4623" s="4561" t="n"/>
      <c r="C4623" s="4561" t="n"/>
      <c r="D4623" s="4561" t="n"/>
      <c r="E4623" s="4561" t="n"/>
      <c r="F4623" s="4561" t="n"/>
      <c r="G4623" s="4561" t="n"/>
      <c r="H4623" s="4561" t="n"/>
      <c r="I4623" s="4562">
        <f>XLOOKUP(B4623,'_Sys|Line_Map'!$A:$A,'_Sys|Line_Map'!$C:$C,"MISSING",0)</f>
        <v/>
      </c>
      <c r="J4623" s="4562">
        <f>XLOOKUP(B4623,'_Sys|Line_Map'!$A:$A,'_Sys|Line_Map'!$D:$D,1,0)</f>
        <v/>
      </c>
      <c r="K4623" s="4562">
        <f>IF(D4623="","",D4623*J4623)</f>
        <v/>
      </c>
      <c r="L4623" s="4562">
        <f>XLOOKUP(B4623,'_Sys|Line_Map'!$A:$A,'_Sys|Line_Map'!$B:$B,"MISSING",0)</f>
        <v/>
      </c>
    </row>
    <row r="4624">
      <c r="A4624" s="4561" t="n"/>
      <c r="B4624" s="4561" t="n"/>
      <c r="C4624" s="4561" t="n"/>
      <c r="D4624" s="4561" t="n"/>
      <c r="E4624" s="4561" t="n"/>
      <c r="F4624" s="4561" t="n"/>
      <c r="G4624" s="4561" t="n"/>
      <c r="H4624" s="4561" t="n"/>
      <c r="I4624" s="4562">
        <f>XLOOKUP(B4624,'_Sys|Line_Map'!$A:$A,'_Sys|Line_Map'!$C:$C,"MISSING",0)</f>
        <v/>
      </c>
      <c r="J4624" s="4562">
        <f>XLOOKUP(B4624,'_Sys|Line_Map'!$A:$A,'_Sys|Line_Map'!$D:$D,1,0)</f>
        <v/>
      </c>
      <c r="K4624" s="4562">
        <f>IF(D4624="","",D4624*J4624)</f>
        <v/>
      </c>
      <c r="L4624" s="4562">
        <f>XLOOKUP(B4624,'_Sys|Line_Map'!$A:$A,'_Sys|Line_Map'!$B:$B,"MISSING",0)</f>
        <v/>
      </c>
    </row>
    <row r="4625">
      <c r="A4625" s="4561" t="n"/>
      <c r="B4625" s="4561" t="n"/>
      <c r="C4625" s="4561" t="n"/>
      <c r="D4625" s="4561" t="n"/>
      <c r="E4625" s="4561" t="n"/>
      <c r="F4625" s="4561" t="n"/>
      <c r="G4625" s="4561" t="n"/>
      <c r="H4625" s="4561" t="n"/>
      <c r="I4625" s="4562">
        <f>XLOOKUP(B4625,'_Sys|Line_Map'!$A:$A,'_Sys|Line_Map'!$C:$C,"MISSING",0)</f>
        <v/>
      </c>
      <c r="J4625" s="4562">
        <f>XLOOKUP(B4625,'_Sys|Line_Map'!$A:$A,'_Sys|Line_Map'!$D:$D,1,0)</f>
        <v/>
      </c>
      <c r="K4625" s="4562">
        <f>IF(D4625="","",D4625*J4625)</f>
        <v/>
      </c>
      <c r="L4625" s="4562">
        <f>XLOOKUP(B4625,'_Sys|Line_Map'!$A:$A,'_Sys|Line_Map'!$B:$B,"MISSING",0)</f>
        <v/>
      </c>
    </row>
    <row r="4626">
      <c r="A4626" s="4561" t="n"/>
      <c r="B4626" s="4561" t="n"/>
      <c r="C4626" s="4561" t="n"/>
      <c r="D4626" s="4561" t="n"/>
      <c r="E4626" s="4561" t="n"/>
      <c r="F4626" s="4561" t="n"/>
      <c r="G4626" s="4561" t="n"/>
      <c r="H4626" s="4561" t="n"/>
      <c r="I4626" s="4562">
        <f>XLOOKUP(B4626,'_Sys|Line_Map'!$A:$A,'_Sys|Line_Map'!$C:$C,"MISSING",0)</f>
        <v/>
      </c>
      <c r="J4626" s="4562">
        <f>XLOOKUP(B4626,'_Sys|Line_Map'!$A:$A,'_Sys|Line_Map'!$D:$D,1,0)</f>
        <v/>
      </c>
      <c r="K4626" s="4562">
        <f>IF(D4626="","",D4626*J4626)</f>
        <v/>
      </c>
      <c r="L4626" s="4562">
        <f>XLOOKUP(B4626,'_Sys|Line_Map'!$A:$A,'_Sys|Line_Map'!$B:$B,"MISSING",0)</f>
        <v/>
      </c>
    </row>
    <row r="4627">
      <c r="A4627" s="4561" t="n"/>
      <c r="B4627" s="4561" t="n"/>
      <c r="C4627" s="4561" t="n"/>
      <c r="D4627" s="4561" t="n"/>
      <c r="E4627" s="4561" t="n"/>
      <c r="F4627" s="4561" t="n"/>
      <c r="G4627" s="4561" t="n"/>
      <c r="H4627" s="4561" t="n"/>
      <c r="I4627" s="4562">
        <f>XLOOKUP(B4627,'_Sys|Line_Map'!$A:$A,'_Sys|Line_Map'!$C:$C,"MISSING",0)</f>
        <v/>
      </c>
      <c r="J4627" s="4562">
        <f>XLOOKUP(B4627,'_Sys|Line_Map'!$A:$A,'_Sys|Line_Map'!$D:$D,1,0)</f>
        <v/>
      </c>
      <c r="K4627" s="4562">
        <f>IF(D4627="","",D4627*J4627)</f>
        <v/>
      </c>
      <c r="L4627" s="4562">
        <f>XLOOKUP(B4627,'_Sys|Line_Map'!$A:$A,'_Sys|Line_Map'!$B:$B,"MISSING",0)</f>
        <v/>
      </c>
    </row>
    <row r="4628">
      <c r="A4628" s="4561" t="n"/>
      <c r="B4628" s="4561" t="n"/>
      <c r="C4628" s="4561" t="n"/>
      <c r="D4628" s="4561" t="n"/>
      <c r="E4628" s="4561" t="n"/>
      <c r="F4628" s="4561" t="n"/>
      <c r="G4628" s="4561" t="n"/>
      <c r="H4628" s="4561" t="n"/>
      <c r="I4628" s="4562">
        <f>XLOOKUP(B4628,'_Sys|Line_Map'!$A:$A,'_Sys|Line_Map'!$C:$C,"MISSING",0)</f>
        <v/>
      </c>
      <c r="J4628" s="4562">
        <f>XLOOKUP(B4628,'_Sys|Line_Map'!$A:$A,'_Sys|Line_Map'!$D:$D,1,0)</f>
        <v/>
      </c>
      <c r="K4628" s="4562">
        <f>IF(D4628="","",D4628*J4628)</f>
        <v/>
      </c>
      <c r="L4628" s="4562">
        <f>XLOOKUP(B4628,'_Sys|Line_Map'!$A:$A,'_Sys|Line_Map'!$B:$B,"MISSING",0)</f>
        <v/>
      </c>
    </row>
    <row r="4629">
      <c r="A4629" s="4561" t="n"/>
      <c r="B4629" s="4561" t="n"/>
      <c r="C4629" s="4561" t="n"/>
      <c r="D4629" s="4561" t="n"/>
      <c r="E4629" s="4561" t="n"/>
      <c r="F4629" s="4561" t="n"/>
      <c r="G4629" s="4561" t="n"/>
      <c r="H4629" s="4561" t="n"/>
      <c r="I4629" s="4562">
        <f>XLOOKUP(B4629,'_Sys|Line_Map'!$A:$A,'_Sys|Line_Map'!$C:$C,"MISSING",0)</f>
        <v/>
      </c>
      <c r="J4629" s="4562">
        <f>XLOOKUP(B4629,'_Sys|Line_Map'!$A:$A,'_Sys|Line_Map'!$D:$D,1,0)</f>
        <v/>
      </c>
      <c r="K4629" s="4562">
        <f>IF(D4629="","",D4629*J4629)</f>
        <v/>
      </c>
      <c r="L4629" s="4562">
        <f>XLOOKUP(B4629,'_Sys|Line_Map'!$A:$A,'_Sys|Line_Map'!$B:$B,"MISSING",0)</f>
        <v/>
      </c>
    </row>
    <row r="4630">
      <c r="A4630" s="4561" t="n"/>
      <c r="B4630" s="4561" t="n"/>
      <c r="C4630" s="4561" t="n"/>
      <c r="D4630" s="4561" t="n"/>
      <c r="E4630" s="4561" t="n"/>
      <c r="F4630" s="4561" t="n"/>
      <c r="G4630" s="4561" t="n"/>
      <c r="H4630" s="4561" t="n"/>
      <c r="I4630" s="4562">
        <f>XLOOKUP(B4630,'_Sys|Line_Map'!$A:$A,'_Sys|Line_Map'!$C:$C,"MISSING",0)</f>
        <v/>
      </c>
      <c r="J4630" s="4562">
        <f>XLOOKUP(B4630,'_Sys|Line_Map'!$A:$A,'_Sys|Line_Map'!$D:$D,1,0)</f>
        <v/>
      </c>
      <c r="K4630" s="4562">
        <f>IF(D4630="","",D4630*J4630)</f>
        <v/>
      </c>
      <c r="L4630" s="4562">
        <f>XLOOKUP(B4630,'_Sys|Line_Map'!$A:$A,'_Sys|Line_Map'!$B:$B,"MISSING",0)</f>
        <v/>
      </c>
    </row>
    <row r="4631">
      <c r="A4631" s="4561" t="n"/>
      <c r="B4631" s="4561" t="n"/>
      <c r="C4631" s="4561" t="n"/>
      <c r="D4631" s="4561" t="n"/>
      <c r="E4631" s="4561" t="n"/>
      <c r="F4631" s="4561" t="n"/>
      <c r="G4631" s="4561" t="n"/>
      <c r="H4631" s="4561" t="n"/>
      <c r="I4631" s="4562">
        <f>XLOOKUP(B4631,'_Sys|Line_Map'!$A:$A,'_Sys|Line_Map'!$C:$C,"MISSING",0)</f>
        <v/>
      </c>
      <c r="J4631" s="4562">
        <f>XLOOKUP(B4631,'_Sys|Line_Map'!$A:$A,'_Sys|Line_Map'!$D:$D,1,0)</f>
        <v/>
      </c>
      <c r="K4631" s="4562">
        <f>IF(D4631="","",D4631*J4631)</f>
        <v/>
      </c>
      <c r="L4631" s="4562">
        <f>XLOOKUP(B4631,'_Sys|Line_Map'!$A:$A,'_Sys|Line_Map'!$B:$B,"MISSING",0)</f>
        <v/>
      </c>
    </row>
    <row r="4632">
      <c r="A4632" s="4561" t="n"/>
      <c r="B4632" s="4561" t="n"/>
      <c r="C4632" s="4561" t="n"/>
      <c r="D4632" s="4561" t="n"/>
      <c r="E4632" s="4561" t="n"/>
      <c r="F4632" s="4561" t="n"/>
      <c r="G4632" s="4561" t="n"/>
      <c r="H4632" s="4561" t="n"/>
      <c r="I4632" s="4562">
        <f>XLOOKUP(B4632,'_Sys|Line_Map'!$A:$A,'_Sys|Line_Map'!$C:$C,"MISSING",0)</f>
        <v/>
      </c>
      <c r="J4632" s="4562">
        <f>XLOOKUP(B4632,'_Sys|Line_Map'!$A:$A,'_Sys|Line_Map'!$D:$D,1,0)</f>
        <v/>
      </c>
      <c r="K4632" s="4562">
        <f>IF(D4632="","",D4632*J4632)</f>
        <v/>
      </c>
      <c r="L4632" s="4562">
        <f>XLOOKUP(B4632,'_Sys|Line_Map'!$A:$A,'_Sys|Line_Map'!$B:$B,"MISSING",0)</f>
        <v/>
      </c>
    </row>
    <row r="4633">
      <c r="A4633" s="4561" t="n"/>
      <c r="B4633" s="4561" t="n"/>
      <c r="C4633" s="4561" t="n"/>
      <c r="D4633" s="4561" t="n"/>
      <c r="E4633" s="4561" t="n"/>
      <c r="F4633" s="4561" t="n"/>
      <c r="G4633" s="4561" t="n"/>
      <c r="H4633" s="4561" t="n"/>
      <c r="I4633" s="4562">
        <f>XLOOKUP(B4633,'_Sys|Line_Map'!$A:$A,'_Sys|Line_Map'!$C:$C,"MISSING",0)</f>
        <v/>
      </c>
      <c r="J4633" s="4562">
        <f>XLOOKUP(B4633,'_Sys|Line_Map'!$A:$A,'_Sys|Line_Map'!$D:$D,1,0)</f>
        <v/>
      </c>
      <c r="K4633" s="4562">
        <f>IF(D4633="","",D4633*J4633)</f>
        <v/>
      </c>
      <c r="L4633" s="4562">
        <f>XLOOKUP(B4633,'_Sys|Line_Map'!$A:$A,'_Sys|Line_Map'!$B:$B,"MISSING",0)</f>
        <v/>
      </c>
    </row>
    <row r="4634">
      <c r="A4634" s="4561" t="n"/>
      <c r="B4634" s="4561" t="n"/>
      <c r="C4634" s="4561" t="n"/>
      <c r="D4634" s="4561" t="n"/>
      <c r="E4634" s="4561" t="n"/>
      <c r="F4634" s="4561" t="n"/>
      <c r="G4634" s="4561" t="n"/>
      <c r="H4634" s="4561" t="n"/>
      <c r="I4634" s="4562">
        <f>XLOOKUP(B4634,'_Sys|Line_Map'!$A:$A,'_Sys|Line_Map'!$C:$C,"MISSING",0)</f>
        <v/>
      </c>
      <c r="J4634" s="4562">
        <f>XLOOKUP(B4634,'_Sys|Line_Map'!$A:$A,'_Sys|Line_Map'!$D:$D,1,0)</f>
        <v/>
      </c>
      <c r="K4634" s="4562">
        <f>IF(D4634="","",D4634*J4634)</f>
        <v/>
      </c>
      <c r="L4634" s="4562">
        <f>XLOOKUP(B4634,'_Sys|Line_Map'!$A:$A,'_Sys|Line_Map'!$B:$B,"MISSING",0)</f>
        <v/>
      </c>
    </row>
    <row r="4635">
      <c r="A4635" s="4561" t="n"/>
      <c r="B4635" s="4561" t="n"/>
      <c r="C4635" s="4561" t="n"/>
      <c r="D4635" s="4561" t="n"/>
      <c r="E4635" s="4561" t="n"/>
      <c r="F4635" s="4561" t="n"/>
      <c r="G4635" s="4561" t="n"/>
      <c r="H4635" s="4561" t="n"/>
      <c r="I4635" s="4562">
        <f>XLOOKUP(B4635,'_Sys|Line_Map'!$A:$A,'_Sys|Line_Map'!$C:$C,"MISSING",0)</f>
        <v/>
      </c>
      <c r="J4635" s="4562">
        <f>XLOOKUP(B4635,'_Sys|Line_Map'!$A:$A,'_Sys|Line_Map'!$D:$D,1,0)</f>
        <v/>
      </c>
      <c r="K4635" s="4562">
        <f>IF(D4635="","",D4635*J4635)</f>
        <v/>
      </c>
      <c r="L4635" s="4562">
        <f>XLOOKUP(B4635,'_Sys|Line_Map'!$A:$A,'_Sys|Line_Map'!$B:$B,"MISSING",0)</f>
        <v/>
      </c>
    </row>
    <row r="4636">
      <c r="A4636" s="4561" t="n"/>
      <c r="B4636" s="4561" t="n"/>
      <c r="C4636" s="4561" t="n"/>
      <c r="D4636" s="4561" t="n"/>
      <c r="E4636" s="4561" t="n"/>
      <c r="F4636" s="4561" t="n"/>
      <c r="G4636" s="4561" t="n"/>
      <c r="H4636" s="4561" t="n"/>
      <c r="I4636" s="4562">
        <f>XLOOKUP(B4636,'_Sys|Line_Map'!$A:$A,'_Sys|Line_Map'!$C:$C,"MISSING",0)</f>
        <v/>
      </c>
      <c r="J4636" s="4562">
        <f>XLOOKUP(B4636,'_Sys|Line_Map'!$A:$A,'_Sys|Line_Map'!$D:$D,1,0)</f>
        <v/>
      </c>
      <c r="K4636" s="4562">
        <f>IF(D4636="","",D4636*J4636)</f>
        <v/>
      </c>
      <c r="L4636" s="4562">
        <f>XLOOKUP(B4636,'_Sys|Line_Map'!$A:$A,'_Sys|Line_Map'!$B:$B,"MISSING",0)</f>
        <v/>
      </c>
    </row>
    <row r="4637">
      <c r="A4637" s="4561" t="n"/>
      <c r="B4637" s="4561" t="n"/>
      <c r="C4637" s="4561" t="n"/>
      <c r="D4637" s="4561" t="n"/>
      <c r="E4637" s="4561" t="n"/>
      <c r="F4637" s="4561" t="n"/>
      <c r="G4637" s="4561" t="n"/>
      <c r="H4637" s="4561" t="n"/>
      <c r="I4637" s="4562">
        <f>XLOOKUP(B4637,'_Sys|Line_Map'!$A:$A,'_Sys|Line_Map'!$C:$C,"MISSING",0)</f>
        <v/>
      </c>
      <c r="J4637" s="4562">
        <f>XLOOKUP(B4637,'_Sys|Line_Map'!$A:$A,'_Sys|Line_Map'!$D:$D,1,0)</f>
        <v/>
      </c>
      <c r="K4637" s="4562">
        <f>IF(D4637="","",D4637*J4637)</f>
        <v/>
      </c>
      <c r="L4637" s="4562">
        <f>XLOOKUP(B4637,'_Sys|Line_Map'!$A:$A,'_Sys|Line_Map'!$B:$B,"MISSING",0)</f>
        <v/>
      </c>
    </row>
    <row r="4638">
      <c r="A4638" s="4561" t="n"/>
      <c r="B4638" s="4561" t="n"/>
      <c r="C4638" s="4561" t="n"/>
      <c r="D4638" s="4561" t="n"/>
      <c r="E4638" s="4561" t="n"/>
      <c r="F4638" s="4561" t="n"/>
      <c r="G4638" s="4561" t="n"/>
      <c r="H4638" s="4561" t="n"/>
      <c r="I4638" s="4562">
        <f>XLOOKUP(B4638,'_Sys|Line_Map'!$A:$A,'_Sys|Line_Map'!$C:$C,"MISSING",0)</f>
        <v/>
      </c>
      <c r="J4638" s="4562">
        <f>XLOOKUP(B4638,'_Sys|Line_Map'!$A:$A,'_Sys|Line_Map'!$D:$D,1,0)</f>
        <v/>
      </c>
      <c r="K4638" s="4562">
        <f>IF(D4638="","",D4638*J4638)</f>
        <v/>
      </c>
      <c r="L4638" s="4562">
        <f>XLOOKUP(B4638,'_Sys|Line_Map'!$A:$A,'_Sys|Line_Map'!$B:$B,"MISSING",0)</f>
        <v/>
      </c>
    </row>
    <row r="4639">
      <c r="A4639" s="4561" t="n"/>
      <c r="B4639" s="4561" t="n"/>
      <c r="C4639" s="4561" t="n"/>
      <c r="D4639" s="4561" t="n"/>
      <c r="E4639" s="4561" t="n"/>
      <c r="F4639" s="4561" t="n"/>
      <c r="G4639" s="4561" t="n"/>
      <c r="H4639" s="4561" t="n"/>
      <c r="I4639" s="4562">
        <f>XLOOKUP(B4639,'_Sys|Line_Map'!$A:$A,'_Sys|Line_Map'!$C:$C,"MISSING",0)</f>
        <v/>
      </c>
      <c r="J4639" s="4562">
        <f>XLOOKUP(B4639,'_Sys|Line_Map'!$A:$A,'_Sys|Line_Map'!$D:$D,1,0)</f>
        <v/>
      </c>
      <c r="K4639" s="4562">
        <f>IF(D4639="","",D4639*J4639)</f>
        <v/>
      </c>
      <c r="L4639" s="4562">
        <f>XLOOKUP(B4639,'_Sys|Line_Map'!$A:$A,'_Sys|Line_Map'!$B:$B,"MISSING",0)</f>
        <v/>
      </c>
    </row>
    <row r="4640">
      <c r="A4640" s="4561" t="n"/>
      <c r="B4640" s="4561" t="n"/>
      <c r="C4640" s="4561" t="n"/>
      <c r="D4640" s="4561" t="n"/>
      <c r="E4640" s="4561" t="n"/>
      <c r="F4640" s="4561" t="n"/>
      <c r="G4640" s="4561" t="n"/>
      <c r="H4640" s="4561" t="n"/>
      <c r="I4640" s="4562">
        <f>XLOOKUP(B4640,'_Sys|Line_Map'!$A:$A,'_Sys|Line_Map'!$C:$C,"MISSING",0)</f>
        <v/>
      </c>
      <c r="J4640" s="4562">
        <f>XLOOKUP(B4640,'_Sys|Line_Map'!$A:$A,'_Sys|Line_Map'!$D:$D,1,0)</f>
        <v/>
      </c>
      <c r="K4640" s="4562">
        <f>IF(D4640="","",D4640*J4640)</f>
        <v/>
      </c>
      <c r="L4640" s="4562">
        <f>XLOOKUP(B4640,'_Sys|Line_Map'!$A:$A,'_Sys|Line_Map'!$B:$B,"MISSING",0)</f>
        <v/>
      </c>
    </row>
    <row r="4641">
      <c r="A4641" s="4561" t="n"/>
      <c r="B4641" s="4561" t="n"/>
      <c r="C4641" s="4561" t="n"/>
      <c r="D4641" s="4561" t="n"/>
      <c r="E4641" s="4561" t="n"/>
      <c r="F4641" s="4561" t="n"/>
      <c r="G4641" s="4561" t="n"/>
      <c r="H4641" s="4561" t="n"/>
      <c r="I4641" s="4562">
        <f>XLOOKUP(B4641,'_Sys|Line_Map'!$A:$A,'_Sys|Line_Map'!$C:$C,"MISSING",0)</f>
        <v/>
      </c>
      <c r="J4641" s="4562">
        <f>XLOOKUP(B4641,'_Sys|Line_Map'!$A:$A,'_Sys|Line_Map'!$D:$D,1,0)</f>
        <v/>
      </c>
      <c r="K4641" s="4562">
        <f>IF(D4641="","",D4641*J4641)</f>
        <v/>
      </c>
      <c r="L4641" s="4562">
        <f>XLOOKUP(B4641,'_Sys|Line_Map'!$A:$A,'_Sys|Line_Map'!$B:$B,"MISSING",0)</f>
        <v/>
      </c>
    </row>
    <row r="4642">
      <c r="A4642" s="4561" t="n"/>
      <c r="B4642" s="4561" t="n"/>
      <c r="C4642" s="4561" t="n"/>
      <c r="D4642" s="4561" t="n"/>
      <c r="E4642" s="4561" t="n"/>
      <c r="F4642" s="4561" t="n"/>
      <c r="G4642" s="4561" t="n"/>
      <c r="H4642" s="4561" t="n"/>
      <c r="I4642" s="4562">
        <f>XLOOKUP(B4642,'_Sys|Line_Map'!$A:$A,'_Sys|Line_Map'!$C:$C,"MISSING",0)</f>
        <v/>
      </c>
      <c r="J4642" s="4562">
        <f>XLOOKUP(B4642,'_Sys|Line_Map'!$A:$A,'_Sys|Line_Map'!$D:$D,1,0)</f>
        <v/>
      </c>
      <c r="K4642" s="4562">
        <f>IF(D4642="","",D4642*J4642)</f>
        <v/>
      </c>
      <c r="L4642" s="4562">
        <f>XLOOKUP(B4642,'_Sys|Line_Map'!$A:$A,'_Sys|Line_Map'!$B:$B,"MISSING",0)</f>
        <v/>
      </c>
    </row>
    <row r="4643">
      <c r="A4643" s="4561" t="n"/>
      <c r="B4643" s="4561" t="n"/>
      <c r="C4643" s="4561" t="n"/>
      <c r="D4643" s="4561" t="n"/>
      <c r="E4643" s="4561" t="n"/>
      <c r="F4643" s="4561" t="n"/>
      <c r="G4643" s="4561" t="n"/>
      <c r="H4643" s="4561" t="n"/>
      <c r="I4643" s="4562">
        <f>XLOOKUP(B4643,'_Sys|Line_Map'!$A:$A,'_Sys|Line_Map'!$C:$C,"MISSING",0)</f>
        <v/>
      </c>
      <c r="J4643" s="4562">
        <f>XLOOKUP(B4643,'_Sys|Line_Map'!$A:$A,'_Sys|Line_Map'!$D:$D,1,0)</f>
        <v/>
      </c>
      <c r="K4643" s="4562">
        <f>IF(D4643="","",D4643*J4643)</f>
        <v/>
      </c>
      <c r="L4643" s="4562">
        <f>XLOOKUP(B4643,'_Sys|Line_Map'!$A:$A,'_Sys|Line_Map'!$B:$B,"MISSING",0)</f>
        <v/>
      </c>
    </row>
    <row r="4644">
      <c r="A4644" s="4561" t="n"/>
      <c r="B4644" s="4561" t="n"/>
      <c r="C4644" s="4561" t="n"/>
      <c r="D4644" s="4561" t="n"/>
      <c r="E4644" s="4561" t="n"/>
      <c r="F4644" s="4561" t="n"/>
      <c r="G4644" s="4561" t="n"/>
      <c r="H4644" s="4561" t="n"/>
      <c r="I4644" s="4562">
        <f>XLOOKUP(B4644,'_Sys|Line_Map'!$A:$A,'_Sys|Line_Map'!$C:$C,"MISSING",0)</f>
        <v/>
      </c>
      <c r="J4644" s="4562">
        <f>XLOOKUP(B4644,'_Sys|Line_Map'!$A:$A,'_Sys|Line_Map'!$D:$D,1,0)</f>
        <v/>
      </c>
      <c r="K4644" s="4562">
        <f>IF(D4644="","",D4644*J4644)</f>
        <v/>
      </c>
      <c r="L4644" s="4562">
        <f>XLOOKUP(B4644,'_Sys|Line_Map'!$A:$A,'_Sys|Line_Map'!$B:$B,"MISSING",0)</f>
        <v/>
      </c>
    </row>
    <row r="4645">
      <c r="A4645" s="4561" t="n"/>
      <c r="B4645" s="4561" t="n"/>
      <c r="C4645" s="4561" t="n"/>
      <c r="D4645" s="4561" t="n"/>
      <c r="E4645" s="4561" t="n"/>
      <c r="F4645" s="4561" t="n"/>
      <c r="G4645" s="4561" t="n"/>
      <c r="H4645" s="4561" t="n"/>
      <c r="I4645" s="4562">
        <f>XLOOKUP(B4645,'_Sys|Line_Map'!$A:$A,'_Sys|Line_Map'!$C:$C,"MISSING",0)</f>
        <v/>
      </c>
      <c r="J4645" s="4562">
        <f>XLOOKUP(B4645,'_Sys|Line_Map'!$A:$A,'_Sys|Line_Map'!$D:$D,1,0)</f>
        <v/>
      </c>
      <c r="K4645" s="4562">
        <f>IF(D4645="","",D4645*J4645)</f>
        <v/>
      </c>
      <c r="L4645" s="4562">
        <f>XLOOKUP(B4645,'_Sys|Line_Map'!$A:$A,'_Sys|Line_Map'!$B:$B,"MISSING",0)</f>
        <v/>
      </c>
    </row>
    <row r="4646">
      <c r="A4646" s="4561" t="n"/>
      <c r="B4646" s="4561" t="n"/>
      <c r="C4646" s="4561" t="n"/>
      <c r="D4646" s="4561" t="n"/>
      <c r="E4646" s="4561" t="n"/>
      <c r="F4646" s="4561" t="n"/>
      <c r="G4646" s="4561" t="n"/>
      <c r="H4646" s="4561" t="n"/>
      <c r="I4646" s="4562">
        <f>XLOOKUP(B4646,'_Sys|Line_Map'!$A:$A,'_Sys|Line_Map'!$C:$C,"MISSING",0)</f>
        <v/>
      </c>
      <c r="J4646" s="4562">
        <f>XLOOKUP(B4646,'_Sys|Line_Map'!$A:$A,'_Sys|Line_Map'!$D:$D,1,0)</f>
        <v/>
      </c>
      <c r="K4646" s="4562">
        <f>IF(D4646="","",D4646*J4646)</f>
        <v/>
      </c>
      <c r="L4646" s="4562">
        <f>XLOOKUP(B4646,'_Sys|Line_Map'!$A:$A,'_Sys|Line_Map'!$B:$B,"MISSING",0)</f>
        <v/>
      </c>
    </row>
    <row r="4647">
      <c r="A4647" s="4561" t="n"/>
      <c r="B4647" s="4561" t="n"/>
      <c r="C4647" s="4561" t="n"/>
      <c r="D4647" s="4561" t="n"/>
      <c r="E4647" s="4561" t="n"/>
      <c r="F4647" s="4561" t="n"/>
      <c r="G4647" s="4561" t="n"/>
      <c r="H4647" s="4561" t="n"/>
      <c r="I4647" s="4562">
        <f>XLOOKUP(B4647,'_Sys|Line_Map'!$A:$A,'_Sys|Line_Map'!$C:$C,"MISSING",0)</f>
        <v/>
      </c>
      <c r="J4647" s="4562">
        <f>XLOOKUP(B4647,'_Sys|Line_Map'!$A:$A,'_Sys|Line_Map'!$D:$D,1,0)</f>
        <v/>
      </c>
      <c r="K4647" s="4562">
        <f>IF(D4647="","",D4647*J4647)</f>
        <v/>
      </c>
      <c r="L4647" s="4562">
        <f>XLOOKUP(B4647,'_Sys|Line_Map'!$A:$A,'_Sys|Line_Map'!$B:$B,"MISSING",0)</f>
        <v/>
      </c>
    </row>
    <row r="4648">
      <c r="A4648" s="4561" t="n"/>
      <c r="B4648" s="4561" t="n"/>
      <c r="C4648" s="4561" t="n"/>
      <c r="D4648" s="4561" t="n"/>
      <c r="E4648" s="4561" t="n"/>
      <c r="F4648" s="4561" t="n"/>
      <c r="G4648" s="4561" t="n"/>
      <c r="H4648" s="4561" t="n"/>
      <c r="I4648" s="4562">
        <f>XLOOKUP(B4648,'_Sys|Line_Map'!$A:$A,'_Sys|Line_Map'!$C:$C,"MISSING",0)</f>
        <v/>
      </c>
      <c r="J4648" s="4562">
        <f>XLOOKUP(B4648,'_Sys|Line_Map'!$A:$A,'_Sys|Line_Map'!$D:$D,1,0)</f>
        <v/>
      </c>
      <c r="K4648" s="4562">
        <f>IF(D4648="","",D4648*J4648)</f>
        <v/>
      </c>
      <c r="L4648" s="4562">
        <f>XLOOKUP(B4648,'_Sys|Line_Map'!$A:$A,'_Sys|Line_Map'!$B:$B,"MISSING",0)</f>
        <v/>
      </c>
    </row>
    <row r="4649">
      <c r="A4649" s="4561" t="n"/>
      <c r="B4649" s="4561" t="n"/>
      <c r="C4649" s="4561" t="n"/>
      <c r="D4649" s="4561" t="n"/>
      <c r="E4649" s="4561" t="n"/>
      <c r="F4649" s="4561" t="n"/>
      <c r="G4649" s="4561" t="n"/>
      <c r="H4649" s="4561" t="n"/>
      <c r="I4649" s="4562">
        <f>XLOOKUP(B4649,'_Sys|Line_Map'!$A:$A,'_Sys|Line_Map'!$C:$C,"MISSING",0)</f>
        <v/>
      </c>
      <c r="J4649" s="4562">
        <f>XLOOKUP(B4649,'_Sys|Line_Map'!$A:$A,'_Sys|Line_Map'!$D:$D,1,0)</f>
        <v/>
      </c>
      <c r="K4649" s="4562">
        <f>IF(D4649="","",D4649*J4649)</f>
        <v/>
      </c>
      <c r="L4649" s="4562">
        <f>XLOOKUP(B4649,'_Sys|Line_Map'!$A:$A,'_Sys|Line_Map'!$B:$B,"MISSING",0)</f>
        <v/>
      </c>
    </row>
    <row r="4650">
      <c r="A4650" s="4561" t="n"/>
      <c r="B4650" s="4561" t="n"/>
      <c r="C4650" s="4561" t="n"/>
      <c r="D4650" s="4561" t="n"/>
      <c r="E4650" s="4561" t="n"/>
      <c r="F4650" s="4561" t="n"/>
      <c r="G4650" s="4561" t="n"/>
      <c r="H4650" s="4561" t="n"/>
      <c r="I4650" s="4562">
        <f>XLOOKUP(B4650,'_Sys|Line_Map'!$A:$A,'_Sys|Line_Map'!$C:$C,"MISSING",0)</f>
        <v/>
      </c>
      <c r="J4650" s="4562">
        <f>XLOOKUP(B4650,'_Sys|Line_Map'!$A:$A,'_Sys|Line_Map'!$D:$D,1,0)</f>
        <v/>
      </c>
      <c r="K4650" s="4562">
        <f>IF(D4650="","",D4650*J4650)</f>
        <v/>
      </c>
      <c r="L4650" s="4562">
        <f>XLOOKUP(B4650,'_Sys|Line_Map'!$A:$A,'_Sys|Line_Map'!$B:$B,"MISSING",0)</f>
        <v/>
      </c>
    </row>
    <row r="4651">
      <c r="A4651" s="4561" t="n"/>
      <c r="B4651" s="4561" t="n"/>
      <c r="C4651" s="4561" t="n"/>
      <c r="D4651" s="4561" t="n"/>
      <c r="E4651" s="4561" t="n"/>
      <c r="F4651" s="4561" t="n"/>
      <c r="G4651" s="4561" t="n"/>
      <c r="H4651" s="4561" t="n"/>
      <c r="I4651" s="4562">
        <f>XLOOKUP(B4651,'_Sys|Line_Map'!$A:$A,'_Sys|Line_Map'!$C:$C,"MISSING",0)</f>
        <v/>
      </c>
      <c r="J4651" s="4562">
        <f>XLOOKUP(B4651,'_Sys|Line_Map'!$A:$A,'_Sys|Line_Map'!$D:$D,1,0)</f>
        <v/>
      </c>
      <c r="K4651" s="4562">
        <f>IF(D4651="","",D4651*J4651)</f>
        <v/>
      </c>
      <c r="L4651" s="4562">
        <f>XLOOKUP(B4651,'_Sys|Line_Map'!$A:$A,'_Sys|Line_Map'!$B:$B,"MISSING",0)</f>
        <v/>
      </c>
    </row>
    <row r="4652">
      <c r="A4652" s="4561" t="n"/>
      <c r="B4652" s="4561" t="n"/>
      <c r="C4652" s="4561" t="n"/>
      <c r="D4652" s="4561" t="n"/>
      <c r="E4652" s="4561" t="n"/>
      <c r="F4652" s="4561" t="n"/>
      <c r="G4652" s="4561" t="n"/>
      <c r="H4652" s="4561" t="n"/>
      <c r="I4652" s="4562">
        <f>XLOOKUP(B4652,'_Sys|Line_Map'!$A:$A,'_Sys|Line_Map'!$C:$C,"MISSING",0)</f>
        <v/>
      </c>
      <c r="J4652" s="4562">
        <f>XLOOKUP(B4652,'_Sys|Line_Map'!$A:$A,'_Sys|Line_Map'!$D:$D,1,0)</f>
        <v/>
      </c>
      <c r="K4652" s="4562">
        <f>IF(D4652="","",D4652*J4652)</f>
        <v/>
      </c>
      <c r="L4652" s="4562">
        <f>XLOOKUP(B4652,'_Sys|Line_Map'!$A:$A,'_Sys|Line_Map'!$B:$B,"MISSING",0)</f>
        <v/>
      </c>
    </row>
    <row r="4653">
      <c r="A4653" s="4561" t="n"/>
      <c r="B4653" s="4561" t="n"/>
      <c r="C4653" s="4561" t="n"/>
      <c r="D4653" s="4561" t="n"/>
      <c r="E4653" s="4561" t="n"/>
      <c r="F4653" s="4561" t="n"/>
      <c r="G4653" s="4561" t="n"/>
      <c r="H4653" s="4561" t="n"/>
      <c r="I4653" s="4562">
        <f>XLOOKUP(B4653,'_Sys|Line_Map'!$A:$A,'_Sys|Line_Map'!$C:$C,"MISSING",0)</f>
        <v/>
      </c>
      <c r="J4653" s="4562">
        <f>XLOOKUP(B4653,'_Sys|Line_Map'!$A:$A,'_Sys|Line_Map'!$D:$D,1,0)</f>
        <v/>
      </c>
      <c r="K4653" s="4562">
        <f>IF(D4653="","",D4653*J4653)</f>
        <v/>
      </c>
      <c r="L4653" s="4562">
        <f>XLOOKUP(B4653,'_Sys|Line_Map'!$A:$A,'_Sys|Line_Map'!$B:$B,"MISSING",0)</f>
        <v/>
      </c>
    </row>
    <row r="4654">
      <c r="A4654" s="4561" t="n"/>
      <c r="B4654" s="4561" t="n"/>
      <c r="C4654" s="4561" t="n"/>
      <c r="D4654" s="4561" t="n"/>
      <c r="E4654" s="4561" t="n"/>
      <c r="F4654" s="4561" t="n"/>
      <c r="G4654" s="4561" t="n"/>
      <c r="H4654" s="4561" t="n"/>
      <c r="I4654" s="4562">
        <f>XLOOKUP(B4654,'_Sys|Line_Map'!$A:$A,'_Sys|Line_Map'!$C:$C,"MISSING",0)</f>
        <v/>
      </c>
      <c r="J4654" s="4562">
        <f>XLOOKUP(B4654,'_Sys|Line_Map'!$A:$A,'_Sys|Line_Map'!$D:$D,1,0)</f>
        <v/>
      </c>
      <c r="K4654" s="4562">
        <f>IF(D4654="","",D4654*J4654)</f>
        <v/>
      </c>
      <c r="L4654" s="4562">
        <f>XLOOKUP(B4654,'_Sys|Line_Map'!$A:$A,'_Sys|Line_Map'!$B:$B,"MISSING",0)</f>
        <v/>
      </c>
    </row>
    <row r="4655">
      <c r="A4655" s="4561" t="n"/>
      <c r="B4655" s="4561" t="n"/>
      <c r="C4655" s="4561" t="n"/>
      <c r="D4655" s="4561" t="n"/>
      <c r="E4655" s="4561" t="n"/>
      <c r="F4655" s="4561" t="n"/>
      <c r="G4655" s="4561" t="n"/>
      <c r="H4655" s="4561" t="n"/>
      <c r="I4655" s="4562">
        <f>XLOOKUP(B4655,'_Sys|Line_Map'!$A:$A,'_Sys|Line_Map'!$C:$C,"MISSING",0)</f>
        <v/>
      </c>
      <c r="J4655" s="4562">
        <f>XLOOKUP(B4655,'_Sys|Line_Map'!$A:$A,'_Sys|Line_Map'!$D:$D,1,0)</f>
        <v/>
      </c>
      <c r="K4655" s="4562">
        <f>IF(D4655="","",D4655*J4655)</f>
        <v/>
      </c>
      <c r="L4655" s="4562">
        <f>XLOOKUP(B4655,'_Sys|Line_Map'!$A:$A,'_Sys|Line_Map'!$B:$B,"MISSING",0)</f>
        <v/>
      </c>
    </row>
    <row r="4656">
      <c r="A4656" s="4561" t="n"/>
      <c r="B4656" s="4561" t="n"/>
      <c r="C4656" s="4561" t="n"/>
      <c r="D4656" s="4561" t="n"/>
      <c r="E4656" s="4561" t="n"/>
      <c r="F4656" s="4561" t="n"/>
      <c r="G4656" s="4561" t="n"/>
      <c r="H4656" s="4561" t="n"/>
      <c r="I4656" s="4562">
        <f>XLOOKUP(B4656,'_Sys|Line_Map'!$A:$A,'_Sys|Line_Map'!$C:$C,"MISSING",0)</f>
        <v/>
      </c>
      <c r="J4656" s="4562">
        <f>XLOOKUP(B4656,'_Sys|Line_Map'!$A:$A,'_Sys|Line_Map'!$D:$D,1,0)</f>
        <v/>
      </c>
      <c r="K4656" s="4562">
        <f>IF(D4656="","",D4656*J4656)</f>
        <v/>
      </c>
      <c r="L4656" s="4562">
        <f>XLOOKUP(B4656,'_Sys|Line_Map'!$A:$A,'_Sys|Line_Map'!$B:$B,"MISSING",0)</f>
        <v/>
      </c>
    </row>
    <row r="4657">
      <c r="A4657" s="4561" t="n"/>
      <c r="B4657" s="4561" t="n"/>
      <c r="C4657" s="4561" t="n"/>
      <c r="D4657" s="4561" t="n"/>
      <c r="E4657" s="4561" t="n"/>
      <c r="F4657" s="4561" t="n"/>
      <c r="G4657" s="4561" t="n"/>
      <c r="H4657" s="4561" t="n"/>
      <c r="I4657" s="4562">
        <f>XLOOKUP(B4657,'_Sys|Line_Map'!$A:$A,'_Sys|Line_Map'!$C:$C,"MISSING",0)</f>
        <v/>
      </c>
      <c r="J4657" s="4562">
        <f>XLOOKUP(B4657,'_Sys|Line_Map'!$A:$A,'_Sys|Line_Map'!$D:$D,1,0)</f>
        <v/>
      </c>
      <c r="K4657" s="4562">
        <f>IF(D4657="","",D4657*J4657)</f>
        <v/>
      </c>
      <c r="L4657" s="4562">
        <f>XLOOKUP(B4657,'_Sys|Line_Map'!$A:$A,'_Sys|Line_Map'!$B:$B,"MISSING",0)</f>
        <v/>
      </c>
    </row>
    <row r="4658">
      <c r="A4658" s="4561" t="n"/>
      <c r="B4658" s="4561" t="n"/>
      <c r="C4658" s="4561" t="n"/>
      <c r="D4658" s="4561" t="n"/>
      <c r="E4658" s="4561" t="n"/>
      <c r="F4658" s="4561" t="n"/>
      <c r="G4658" s="4561" t="n"/>
      <c r="H4658" s="4561" t="n"/>
      <c r="I4658" s="4562">
        <f>XLOOKUP(B4658,'_Sys|Line_Map'!$A:$A,'_Sys|Line_Map'!$C:$C,"MISSING",0)</f>
        <v/>
      </c>
      <c r="J4658" s="4562">
        <f>XLOOKUP(B4658,'_Sys|Line_Map'!$A:$A,'_Sys|Line_Map'!$D:$D,1,0)</f>
        <v/>
      </c>
      <c r="K4658" s="4562">
        <f>IF(D4658="","",D4658*J4658)</f>
        <v/>
      </c>
      <c r="L4658" s="4562">
        <f>XLOOKUP(B4658,'_Sys|Line_Map'!$A:$A,'_Sys|Line_Map'!$B:$B,"MISSING",0)</f>
        <v/>
      </c>
    </row>
    <row r="4659">
      <c r="A4659" s="4561" t="n"/>
      <c r="B4659" s="4561" t="n"/>
      <c r="C4659" s="4561" t="n"/>
      <c r="D4659" s="4561" t="n"/>
      <c r="E4659" s="4561" t="n"/>
      <c r="F4659" s="4561" t="n"/>
      <c r="G4659" s="4561" t="n"/>
      <c r="H4659" s="4561" t="n"/>
      <c r="I4659" s="4562">
        <f>XLOOKUP(B4659,'_Sys|Line_Map'!$A:$A,'_Sys|Line_Map'!$C:$C,"MISSING",0)</f>
        <v/>
      </c>
      <c r="J4659" s="4562">
        <f>XLOOKUP(B4659,'_Sys|Line_Map'!$A:$A,'_Sys|Line_Map'!$D:$D,1,0)</f>
        <v/>
      </c>
      <c r="K4659" s="4562">
        <f>IF(D4659="","",D4659*J4659)</f>
        <v/>
      </c>
      <c r="L4659" s="4562">
        <f>XLOOKUP(B4659,'_Sys|Line_Map'!$A:$A,'_Sys|Line_Map'!$B:$B,"MISSING",0)</f>
        <v/>
      </c>
    </row>
    <row r="4660">
      <c r="A4660" s="4561" t="n"/>
      <c r="B4660" s="4561" t="n"/>
      <c r="C4660" s="4561" t="n"/>
      <c r="D4660" s="4561" t="n"/>
      <c r="E4660" s="4561" t="n"/>
      <c r="F4660" s="4561" t="n"/>
      <c r="G4660" s="4561" t="n"/>
      <c r="H4660" s="4561" t="n"/>
      <c r="I4660" s="4562">
        <f>XLOOKUP(B4660,'_Sys|Line_Map'!$A:$A,'_Sys|Line_Map'!$C:$C,"MISSING",0)</f>
        <v/>
      </c>
      <c r="J4660" s="4562">
        <f>XLOOKUP(B4660,'_Sys|Line_Map'!$A:$A,'_Sys|Line_Map'!$D:$D,1,0)</f>
        <v/>
      </c>
      <c r="K4660" s="4562">
        <f>IF(D4660="","",D4660*J4660)</f>
        <v/>
      </c>
      <c r="L4660" s="4562">
        <f>XLOOKUP(B4660,'_Sys|Line_Map'!$A:$A,'_Sys|Line_Map'!$B:$B,"MISSING",0)</f>
        <v/>
      </c>
    </row>
    <row r="4661">
      <c r="A4661" s="4561" t="n"/>
      <c r="B4661" s="4561" t="n"/>
      <c r="C4661" s="4561" t="n"/>
      <c r="D4661" s="4561" t="n"/>
      <c r="E4661" s="4561" t="n"/>
      <c r="F4661" s="4561" t="n"/>
      <c r="G4661" s="4561" t="n"/>
      <c r="H4661" s="4561" t="n"/>
      <c r="I4661" s="4562">
        <f>XLOOKUP(B4661,'_Sys|Line_Map'!$A:$A,'_Sys|Line_Map'!$C:$C,"MISSING",0)</f>
        <v/>
      </c>
      <c r="J4661" s="4562">
        <f>XLOOKUP(B4661,'_Sys|Line_Map'!$A:$A,'_Sys|Line_Map'!$D:$D,1,0)</f>
        <v/>
      </c>
      <c r="K4661" s="4562">
        <f>IF(D4661="","",D4661*J4661)</f>
        <v/>
      </c>
      <c r="L4661" s="4562">
        <f>XLOOKUP(B4661,'_Sys|Line_Map'!$A:$A,'_Sys|Line_Map'!$B:$B,"MISSING",0)</f>
        <v/>
      </c>
    </row>
    <row r="4662">
      <c r="A4662" s="4561" t="n"/>
      <c r="B4662" s="4561" t="n"/>
      <c r="C4662" s="4561" t="n"/>
      <c r="D4662" s="4561" t="n"/>
      <c r="E4662" s="4561" t="n"/>
      <c r="F4662" s="4561" t="n"/>
      <c r="G4662" s="4561" t="n"/>
      <c r="H4662" s="4561" t="n"/>
      <c r="I4662" s="4562">
        <f>XLOOKUP(B4662,'_Sys|Line_Map'!$A:$A,'_Sys|Line_Map'!$C:$C,"MISSING",0)</f>
        <v/>
      </c>
      <c r="J4662" s="4562">
        <f>XLOOKUP(B4662,'_Sys|Line_Map'!$A:$A,'_Sys|Line_Map'!$D:$D,1,0)</f>
        <v/>
      </c>
      <c r="K4662" s="4562">
        <f>IF(D4662="","",D4662*J4662)</f>
        <v/>
      </c>
      <c r="L4662" s="4562">
        <f>XLOOKUP(B4662,'_Sys|Line_Map'!$A:$A,'_Sys|Line_Map'!$B:$B,"MISSING",0)</f>
        <v/>
      </c>
    </row>
    <row r="4663">
      <c r="A4663" s="4561" t="n"/>
      <c r="B4663" s="4561" t="n"/>
      <c r="C4663" s="4561" t="n"/>
      <c r="D4663" s="4561" t="n"/>
      <c r="E4663" s="4561" t="n"/>
      <c r="F4663" s="4561" t="n"/>
      <c r="G4663" s="4561" t="n"/>
      <c r="H4663" s="4561" t="n"/>
      <c r="I4663" s="4562">
        <f>XLOOKUP(B4663,'_Sys|Line_Map'!$A:$A,'_Sys|Line_Map'!$C:$C,"MISSING",0)</f>
        <v/>
      </c>
      <c r="J4663" s="4562">
        <f>XLOOKUP(B4663,'_Sys|Line_Map'!$A:$A,'_Sys|Line_Map'!$D:$D,1,0)</f>
        <v/>
      </c>
      <c r="K4663" s="4562">
        <f>IF(D4663="","",D4663*J4663)</f>
        <v/>
      </c>
      <c r="L4663" s="4562">
        <f>XLOOKUP(B4663,'_Sys|Line_Map'!$A:$A,'_Sys|Line_Map'!$B:$B,"MISSING",0)</f>
        <v/>
      </c>
    </row>
    <row r="4664">
      <c r="A4664" s="4561" t="n"/>
      <c r="B4664" s="4561" t="n"/>
      <c r="C4664" s="4561" t="n"/>
      <c r="D4664" s="4561" t="n"/>
      <c r="E4664" s="4561" t="n"/>
      <c r="F4664" s="4561" t="n"/>
      <c r="G4664" s="4561" t="n"/>
      <c r="H4664" s="4561" t="n"/>
      <c r="I4664" s="4562">
        <f>XLOOKUP(B4664,'_Sys|Line_Map'!$A:$A,'_Sys|Line_Map'!$C:$C,"MISSING",0)</f>
        <v/>
      </c>
      <c r="J4664" s="4562">
        <f>XLOOKUP(B4664,'_Sys|Line_Map'!$A:$A,'_Sys|Line_Map'!$D:$D,1,0)</f>
        <v/>
      </c>
      <c r="K4664" s="4562">
        <f>IF(D4664="","",D4664*J4664)</f>
        <v/>
      </c>
      <c r="L4664" s="4562">
        <f>XLOOKUP(B4664,'_Sys|Line_Map'!$A:$A,'_Sys|Line_Map'!$B:$B,"MISSING",0)</f>
        <v/>
      </c>
    </row>
    <row r="4665">
      <c r="A4665" s="4561" t="n"/>
      <c r="B4665" s="4561" t="n"/>
      <c r="C4665" s="4561" t="n"/>
      <c r="D4665" s="4561" t="n"/>
      <c r="E4665" s="4561" t="n"/>
      <c r="F4665" s="4561" t="n"/>
      <c r="G4665" s="4561" t="n"/>
      <c r="H4665" s="4561" t="n"/>
      <c r="I4665" s="4562">
        <f>XLOOKUP(B4665,'_Sys|Line_Map'!$A:$A,'_Sys|Line_Map'!$C:$C,"MISSING",0)</f>
        <v/>
      </c>
      <c r="J4665" s="4562">
        <f>XLOOKUP(B4665,'_Sys|Line_Map'!$A:$A,'_Sys|Line_Map'!$D:$D,1,0)</f>
        <v/>
      </c>
      <c r="K4665" s="4562">
        <f>IF(D4665="","",D4665*J4665)</f>
        <v/>
      </c>
      <c r="L4665" s="4562">
        <f>XLOOKUP(B4665,'_Sys|Line_Map'!$A:$A,'_Sys|Line_Map'!$B:$B,"MISSING",0)</f>
        <v/>
      </c>
    </row>
    <row r="4666">
      <c r="A4666" s="4561" t="n"/>
      <c r="B4666" s="4561" t="n"/>
      <c r="C4666" s="4561" t="n"/>
      <c r="D4666" s="4561" t="n"/>
      <c r="E4666" s="4561" t="n"/>
      <c r="F4666" s="4561" t="n"/>
      <c r="G4666" s="4561" t="n"/>
      <c r="H4666" s="4561" t="n"/>
      <c r="I4666" s="4562">
        <f>XLOOKUP(B4666,'_Sys|Line_Map'!$A:$A,'_Sys|Line_Map'!$C:$C,"MISSING",0)</f>
        <v/>
      </c>
      <c r="J4666" s="4562">
        <f>XLOOKUP(B4666,'_Sys|Line_Map'!$A:$A,'_Sys|Line_Map'!$D:$D,1,0)</f>
        <v/>
      </c>
      <c r="K4666" s="4562">
        <f>IF(D4666="","",D4666*J4666)</f>
        <v/>
      </c>
      <c r="L4666" s="4562">
        <f>XLOOKUP(B4666,'_Sys|Line_Map'!$A:$A,'_Sys|Line_Map'!$B:$B,"MISSING",0)</f>
        <v/>
      </c>
    </row>
    <row r="4667">
      <c r="A4667" s="4561" t="n"/>
      <c r="B4667" s="4561" t="n"/>
      <c r="C4667" s="4561" t="n"/>
      <c r="D4667" s="4561" t="n"/>
      <c r="E4667" s="4561" t="n"/>
      <c r="F4667" s="4561" t="n"/>
      <c r="G4667" s="4561" t="n"/>
      <c r="H4667" s="4561" t="n"/>
      <c r="I4667" s="4562">
        <f>XLOOKUP(B4667,'_Sys|Line_Map'!$A:$A,'_Sys|Line_Map'!$C:$C,"MISSING",0)</f>
        <v/>
      </c>
      <c r="J4667" s="4562">
        <f>XLOOKUP(B4667,'_Sys|Line_Map'!$A:$A,'_Sys|Line_Map'!$D:$D,1,0)</f>
        <v/>
      </c>
      <c r="K4667" s="4562">
        <f>IF(D4667="","",D4667*J4667)</f>
        <v/>
      </c>
      <c r="L4667" s="4562">
        <f>XLOOKUP(B4667,'_Sys|Line_Map'!$A:$A,'_Sys|Line_Map'!$B:$B,"MISSING",0)</f>
        <v/>
      </c>
    </row>
    <row r="4668">
      <c r="A4668" s="4561" t="n"/>
      <c r="B4668" s="4561" t="n"/>
      <c r="C4668" s="4561" t="n"/>
      <c r="D4668" s="4561" t="n"/>
      <c r="E4668" s="4561" t="n"/>
      <c r="F4668" s="4561" t="n"/>
      <c r="G4668" s="4561" t="n"/>
      <c r="H4668" s="4561" t="n"/>
      <c r="I4668" s="4562">
        <f>XLOOKUP(B4668,'_Sys|Line_Map'!$A:$A,'_Sys|Line_Map'!$C:$C,"MISSING",0)</f>
        <v/>
      </c>
      <c r="J4668" s="4562">
        <f>XLOOKUP(B4668,'_Sys|Line_Map'!$A:$A,'_Sys|Line_Map'!$D:$D,1,0)</f>
        <v/>
      </c>
      <c r="K4668" s="4562">
        <f>IF(D4668="","",D4668*J4668)</f>
        <v/>
      </c>
      <c r="L4668" s="4562">
        <f>XLOOKUP(B4668,'_Sys|Line_Map'!$A:$A,'_Sys|Line_Map'!$B:$B,"MISSING",0)</f>
        <v/>
      </c>
    </row>
    <row r="4669">
      <c r="A4669" s="4561" t="n"/>
      <c r="B4669" s="4561" t="n"/>
      <c r="C4669" s="4561" t="n"/>
      <c r="D4669" s="4561" t="n"/>
      <c r="E4669" s="4561" t="n"/>
      <c r="F4669" s="4561" t="n"/>
      <c r="G4669" s="4561" t="n"/>
      <c r="H4669" s="4561" t="n"/>
      <c r="I4669" s="4562">
        <f>XLOOKUP(B4669,'_Sys|Line_Map'!$A:$A,'_Sys|Line_Map'!$C:$C,"MISSING",0)</f>
        <v/>
      </c>
      <c r="J4669" s="4562">
        <f>XLOOKUP(B4669,'_Sys|Line_Map'!$A:$A,'_Sys|Line_Map'!$D:$D,1,0)</f>
        <v/>
      </c>
      <c r="K4669" s="4562">
        <f>IF(D4669="","",D4669*J4669)</f>
        <v/>
      </c>
      <c r="L4669" s="4562">
        <f>XLOOKUP(B4669,'_Sys|Line_Map'!$A:$A,'_Sys|Line_Map'!$B:$B,"MISSING",0)</f>
        <v/>
      </c>
    </row>
    <row r="4670">
      <c r="A4670" s="4561" t="n"/>
      <c r="B4670" s="4561" t="n"/>
      <c r="C4670" s="4561" t="n"/>
      <c r="D4670" s="4561" t="n"/>
      <c r="E4670" s="4561" t="n"/>
      <c r="F4670" s="4561" t="n"/>
      <c r="G4670" s="4561" t="n"/>
      <c r="H4670" s="4561" t="n"/>
      <c r="I4670" s="4562">
        <f>XLOOKUP(B4670,'_Sys|Line_Map'!$A:$A,'_Sys|Line_Map'!$C:$C,"MISSING",0)</f>
        <v/>
      </c>
      <c r="J4670" s="4562">
        <f>XLOOKUP(B4670,'_Sys|Line_Map'!$A:$A,'_Sys|Line_Map'!$D:$D,1,0)</f>
        <v/>
      </c>
      <c r="K4670" s="4562">
        <f>IF(D4670="","",D4670*J4670)</f>
        <v/>
      </c>
      <c r="L4670" s="4562">
        <f>XLOOKUP(B4670,'_Sys|Line_Map'!$A:$A,'_Sys|Line_Map'!$B:$B,"MISSING",0)</f>
        <v/>
      </c>
    </row>
    <row r="4671">
      <c r="A4671" s="4561" t="n"/>
      <c r="B4671" s="4561" t="n"/>
      <c r="C4671" s="4561" t="n"/>
      <c r="D4671" s="4561" t="n"/>
      <c r="E4671" s="4561" t="n"/>
      <c r="F4671" s="4561" t="n"/>
      <c r="G4671" s="4561" t="n"/>
      <c r="H4671" s="4561" t="n"/>
      <c r="I4671" s="4562">
        <f>XLOOKUP(B4671,'_Sys|Line_Map'!$A:$A,'_Sys|Line_Map'!$C:$C,"MISSING",0)</f>
        <v/>
      </c>
      <c r="J4671" s="4562">
        <f>XLOOKUP(B4671,'_Sys|Line_Map'!$A:$A,'_Sys|Line_Map'!$D:$D,1,0)</f>
        <v/>
      </c>
      <c r="K4671" s="4562">
        <f>IF(D4671="","",D4671*J4671)</f>
        <v/>
      </c>
      <c r="L4671" s="4562">
        <f>XLOOKUP(B4671,'_Sys|Line_Map'!$A:$A,'_Sys|Line_Map'!$B:$B,"MISSING",0)</f>
        <v/>
      </c>
    </row>
    <row r="4672">
      <c r="A4672" s="4561" t="n"/>
      <c r="B4672" s="4561" t="n"/>
      <c r="C4672" s="4561" t="n"/>
      <c r="D4672" s="4561" t="n"/>
      <c r="E4672" s="4561" t="n"/>
      <c r="F4672" s="4561" t="n"/>
      <c r="G4672" s="4561" t="n"/>
      <c r="H4672" s="4561" t="n"/>
      <c r="I4672" s="4562">
        <f>XLOOKUP(B4672,'_Sys|Line_Map'!$A:$A,'_Sys|Line_Map'!$C:$C,"MISSING",0)</f>
        <v/>
      </c>
      <c r="J4672" s="4562">
        <f>XLOOKUP(B4672,'_Sys|Line_Map'!$A:$A,'_Sys|Line_Map'!$D:$D,1,0)</f>
        <v/>
      </c>
      <c r="K4672" s="4562">
        <f>IF(D4672="","",D4672*J4672)</f>
        <v/>
      </c>
      <c r="L4672" s="4562">
        <f>XLOOKUP(B4672,'_Sys|Line_Map'!$A:$A,'_Sys|Line_Map'!$B:$B,"MISSING",0)</f>
        <v/>
      </c>
    </row>
    <row r="4673">
      <c r="A4673" s="4561" t="n"/>
      <c r="B4673" s="4561" t="n"/>
      <c r="C4673" s="4561" t="n"/>
      <c r="D4673" s="4561" t="n"/>
      <c r="E4673" s="4561" t="n"/>
      <c r="F4673" s="4561" t="n"/>
      <c r="G4673" s="4561" t="n"/>
      <c r="H4673" s="4561" t="n"/>
      <c r="I4673" s="4562">
        <f>XLOOKUP(B4673,'_Sys|Line_Map'!$A:$A,'_Sys|Line_Map'!$C:$C,"MISSING",0)</f>
        <v/>
      </c>
      <c r="J4673" s="4562">
        <f>XLOOKUP(B4673,'_Sys|Line_Map'!$A:$A,'_Sys|Line_Map'!$D:$D,1,0)</f>
        <v/>
      </c>
      <c r="K4673" s="4562">
        <f>IF(D4673="","",D4673*J4673)</f>
        <v/>
      </c>
      <c r="L4673" s="4562">
        <f>XLOOKUP(B4673,'_Sys|Line_Map'!$A:$A,'_Sys|Line_Map'!$B:$B,"MISSING",0)</f>
        <v/>
      </c>
    </row>
    <row r="4674">
      <c r="A4674" s="4561" t="n"/>
      <c r="B4674" s="4561" t="n"/>
      <c r="C4674" s="4561" t="n"/>
      <c r="D4674" s="4561" t="n"/>
      <c r="E4674" s="4561" t="n"/>
      <c r="F4674" s="4561" t="n"/>
      <c r="G4674" s="4561" t="n"/>
      <c r="H4674" s="4561" t="n"/>
      <c r="I4674" s="4562">
        <f>XLOOKUP(B4674,'_Sys|Line_Map'!$A:$A,'_Sys|Line_Map'!$C:$C,"MISSING",0)</f>
        <v/>
      </c>
      <c r="J4674" s="4562">
        <f>XLOOKUP(B4674,'_Sys|Line_Map'!$A:$A,'_Sys|Line_Map'!$D:$D,1,0)</f>
        <v/>
      </c>
      <c r="K4674" s="4562">
        <f>IF(D4674="","",D4674*J4674)</f>
        <v/>
      </c>
      <c r="L4674" s="4562">
        <f>XLOOKUP(B4674,'_Sys|Line_Map'!$A:$A,'_Sys|Line_Map'!$B:$B,"MISSING",0)</f>
        <v/>
      </c>
    </row>
    <row r="4675">
      <c r="A4675" s="4561" t="n"/>
      <c r="B4675" s="4561" t="n"/>
      <c r="C4675" s="4561" t="n"/>
      <c r="D4675" s="4561" t="n"/>
      <c r="E4675" s="4561" t="n"/>
      <c r="F4675" s="4561" t="n"/>
      <c r="G4675" s="4561" t="n"/>
      <c r="H4675" s="4561" t="n"/>
      <c r="I4675" s="4562">
        <f>XLOOKUP(B4675,'_Sys|Line_Map'!$A:$A,'_Sys|Line_Map'!$C:$C,"MISSING",0)</f>
        <v/>
      </c>
      <c r="J4675" s="4562">
        <f>XLOOKUP(B4675,'_Sys|Line_Map'!$A:$A,'_Sys|Line_Map'!$D:$D,1,0)</f>
        <v/>
      </c>
      <c r="K4675" s="4562">
        <f>IF(D4675="","",D4675*J4675)</f>
        <v/>
      </c>
      <c r="L4675" s="4562">
        <f>XLOOKUP(B4675,'_Sys|Line_Map'!$A:$A,'_Sys|Line_Map'!$B:$B,"MISSING",0)</f>
        <v/>
      </c>
    </row>
    <row r="4676">
      <c r="A4676" s="4561" t="n"/>
      <c r="B4676" s="4561" t="n"/>
      <c r="C4676" s="4561" t="n"/>
      <c r="D4676" s="4561" t="n"/>
      <c r="E4676" s="4561" t="n"/>
      <c r="F4676" s="4561" t="n"/>
      <c r="G4676" s="4561" t="n"/>
      <c r="H4676" s="4561" t="n"/>
      <c r="I4676" s="4562">
        <f>XLOOKUP(B4676,'_Sys|Line_Map'!$A:$A,'_Sys|Line_Map'!$C:$C,"MISSING",0)</f>
        <v/>
      </c>
      <c r="J4676" s="4562">
        <f>XLOOKUP(B4676,'_Sys|Line_Map'!$A:$A,'_Sys|Line_Map'!$D:$D,1,0)</f>
        <v/>
      </c>
      <c r="K4676" s="4562">
        <f>IF(D4676="","",D4676*J4676)</f>
        <v/>
      </c>
      <c r="L4676" s="4562">
        <f>XLOOKUP(B4676,'_Sys|Line_Map'!$A:$A,'_Sys|Line_Map'!$B:$B,"MISSING",0)</f>
        <v/>
      </c>
    </row>
    <row r="4677">
      <c r="A4677" s="4561" t="n"/>
      <c r="B4677" s="4561" t="n"/>
      <c r="C4677" s="4561" t="n"/>
      <c r="D4677" s="4561" t="n"/>
      <c r="E4677" s="4561" t="n"/>
      <c r="F4677" s="4561" t="n"/>
      <c r="G4677" s="4561" t="n"/>
      <c r="H4677" s="4561" t="n"/>
      <c r="I4677" s="4562">
        <f>XLOOKUP(B4677,'_Sys|Line_Map'!$A:$A,'_Sys|Line_Map'!$C:$C,"MISSING",0)</f>
        <v/>
      </c>
      <c r="J4677" s="4562">
        <f>XLOOKUP(B4677,'_Sys|Line_Map'!$A:$A,'_Sys|Line_Map'!$D:$D,1,0)</f>
        <v/>
      </c>
      <c r="K4677" s="4562">
        <f>IF(D4677="","",D4677*J4677)</f>
        <v/>
      </c>
      <c r="L4677" s="4562">
        <f>XLOOKUP(B4677,'_Sys|Line_Map'!$A:$A,'_Sys|Line_Map'!$B:$B,"MISSING",0)</f>
        <v/>
      </c>
    </row>
    <row r="4678">
      <c r="A4678" s="4561" t="n"/>
      <c r="B4678" s="4561" t="n"/>
      <c r="C4678" s="4561" t="n"/>
      <c r="D4678" s="4561" t="n"/>
      <c r="E4678" s="4561" t="n"/>
      <c r="F4678" s="4561" t="n"/>
      <c r="G4678" s="4561" t="n"/>
      <c r="H4678" s="4561" t="n"/>
      <c r="I4678" s="4562">
        <f>XLOOKUP(B4678,'_Sys|Line_Map'!$A:$A,'_Sys|Line_Map'!$C:$C,"MISSING",0)</f>
        <v/>
      </c>
      <c r="J4678" s="4562">
        <f>XLOOKUP(B4678,'_Sys|Line_Map'!$A:$A,'_Sys|Line_Map'!$D:$D,1,0)</f>
        <v/>
      </c>
      <c r="K4678" s="4562">
        <f>IF(D4678="","",D4678*J4678)</f>
        <v/>
      </c>
      <c r="L4678" s="4562">
        <f>XLOOKUP(B4678,'_Sys|Line_Map'!$A:$A,'_Sys|Line_Map'!$B:$B,"MISSING",0)</f>
        <v/>
      </c>
    </row>
    <row r="4679">
      <c r="A4679" s="4561" t="n"/>
      <c r="B4679" s="4561" t="n"/>
      <c r="C4679" s="4561" t="n"/>
      <c r="D4679" s="4561" t="n"/>
      <c r="E4679" s="4561" t="n"/>
      <c r="F4679" s="4561" t="n"/>
      <c r="G4679" s="4561" t="n"/>
      <c r="H4679" s="4561" t="n"/>
      <c r="I4679" s="4562">
        <f>XLOOKUP(B4679,'_Sys|Line_Map'!$A:$A,'_Sys|Line_Map'!$C:$C,"MISSING",0)</f>
        <v/>
      </c>
      <c r="J4679" s="4562">
        <f>XLOOKUP(B4679,'_Sys|Line_Map'!$A:$A,'_Sys|Line_Map'!$D:$D,1,0)</f>
        <v/>
      </c>
      <c r="K4679" s="4562">
        <f>IF(D4679="","",D4679*J4679)</f>
        <v/>
      </c>
      <c r="L4679" s="4562">
        <f>XLOOKUP(B4679,'_Sys|Line_Map'!$A:$A,'_Sys|Line_Map'!$B:$B,"MISSING",0)</f>
        <v/>
      </c>
    </row>
    <row r="4680">
      <c r="A4680" s="4561" t="n"/>
      <c r="B4680" s="4561" t="n"/>
      <c r="C4680" s="4561" t="n"/>
      <c r="D4680" s="4561" t="n"/>
      <c r="E4680" s="4561" t="n"/>
      <c r="F4680" s="4561" t="n"/>
      <c r="G4680" s="4561" t="n"/>
      <c r="H4680" s="4561" t="n"/>
      <c r="I4680" s="4562">
        <f>XLOOKUP(B4680,'_Sys|Line_Map'!$A:$A,'_Sys|Line_Map'!$C:$C,"MISSING",0)</f>
        <v/>
      </c>
      <c r="J4680" s="4562">
        <f>XLOOKUP(B4680,'_Sys|Line_Map'!$A:$A,'_Sys|Line_Map'!$D:$D,1,0)</f>
        <v/>
      </c>
      <c r="K4680" s="4562">
        <f>IF(D4680="","",D4680*J4680)</f>
        <v/>
      </c>
      <c r="L4680" s="4562">
        <f>XLOOKUP(B4680,'_Sys|Line_Map'!$A:$A,'_Sys|Line_Map'!$B:$B,"MISSING",0)</f>
        <v/>
      </c>
    </row>
    <row r="4681">
      <c r="A4681" s="4561" t="n"/>
      <c r="B4681" s="4561" t="n"/>
      <c r="C4681" s="4561" t="n"/>
      <c r="D4681" s="4561" t="n"/>
      <c r="E4681" s="4561" t="n"/>
      <c r="F4681" s="4561" t="n"/>
      <c r="G4681" s="4561" t="n"/>
      <c r="H4681" s="4561" t="n"/>
      <c r="I4681" s="4562">
        <f>XLOOKUP(B4681,'_Sys|Line_Map'!$A:$A,'_Sys|Line_Map'!$C:$C,"MISSING",0)</f>
        <v/>
      </c>
      <c r="J4681" s="4562">
        <f>XLOOKUP(B4681,'_Sys|Line_Map'!$A:$A,'_Sys|Line_Map'!$D:$D,1,0)</f>
        <v/>
      </c>
      <c r="K4681" s="4562">
        <f>IF(D4681="","",D4681*J4681)</f>
        <v/>
      </c>
      <c r="L4681" s="4562">
        <f>XLOOKUP(B4681,'_Sys|Line_Map'!$A:$A,'_Sys|Line_Map'!$B:$B,"MISSING",0)</f>
        <v/>
      </c>
    </row>
    <row r="4682">
      <c r="A4682" s="4561" t="n"/>
      <c r="B4682" s="4561" t="n"/>
      <c r="C4682" s="4561" t="n"/>
      <c r="D4682" s="4561" t="n"/>
      <c r="E4682" s="4561" t="n"/>
      <c r="F4682" s="4561" t="n"/>
      <c r="G4682" s="4561" t="n"/>
      <c r="H4682" s="4561" t="n"/>
      <c r="I4682" s="4562">
        <f>XLOOKUP(B4682,'_Sys|Line_Map'!$A:$A,'_Sys|Line_Map'!$C:$C,"MISSING",0)</f>
        <v/>
      </c>
      <c r="J4682" s="4562">
        <f>XLOOKUP(B4682,'_Sys|Line_Map'!$A:$A,'_Sys|Line_Map'!$D:$D,1,0)</f>
        <v/>
      </c>
      <c r="K4682" s="4562">
        <f>IF(D4682="","",D4682*J4682)</f>
        <v/>
      </c>
      <c r="L4682" s="4562">
        <f>XLOOKUP(B4682,'_Sys|Line_Map'!$A:$A,'_Sys|Line_Map'!$B:$B,"MISSING",0)</f>
        <v/>
      </c>
    </row>
    <row r="4683">
      <c r="A4683" s="4561" t="n"/>
      <c r="B4683" s="4561" t="n"/>
      <c r="C4683" s="4561" t="n"/>
      <c r="D4683" s="4561" t="n"/>
      <c r="E4683" s="4561" t="n"/>
      <c r="F4683" s="4561" t="n"/>
      <c r="G4683" s="4561" t="n"/>
      <c r="H4683" s="4561" t="n"/>
      <c r="I4683" s="4562">
        <f>XLOOKUP(B4683,'_Sys|Line_Map'!$A:$A,'_Sys|Line_Map'!$C:$C,"MISSING",0)</f>
        <v/>
      </c>
      <c r="J4683" s="4562">
        <f>XLOOKUP(B4683,'_Sys|Line_Map'!$A:$A,'_Sys|Line_Map'!$D:$D,1,0)</f>
        <v/>
      </c>
      <c r="K4683" s="4562">
        <f>IF(D4683="","",D4683*J4683)</f>
        <v/>
      </c>
      <c r="L4683" s="4562">
        <f>XLOOKUP(B4683,'_Sys|Line_Map'!$A:$A,'_Sys|Line_Map'!$B:$B,"MISSING",0)</f>
        <v/>
      </c>
    </row>
    <row r="4684">
      <c r="A4684" s="4561" t="n"/>
      <c r="B4684" s="4561" t="n"/>
      <c r="C4684" s="4561" t="n"/>
      <c r="D4684" s="4561" t="n"/>
      <c r="E4684" s="4561" t="n"/>
      <c r="F4684" s="4561" t="n"/>
      <c r="G4684" s="4561" t="n"/>
      <c r="H4684" s="4561" t="n"/>
      <c r="I4684" s="4562">
        <f>XLOOKUP(B4684,'_Sys|Line_Map'!$A:$A,'_Sys|Line_Map'!$C:$C,"MISSING",0)</f>
        <v/>
      </c>
      <c r="J4684" s="4562">
        <f>XLOOKUP(B4684,'_Sys|Line_Map'!$A:$A,'_Sys|Line_Map'!$D:$D,1,0)</f>
        <v/>
      </c>
      <c r="K4684" s="4562">
        <f>IF(D4684="","",D4684*J4684)</f>
        <v/>
      </c>
      <c r="L4684" s="4562">
        <f>XLOOKUP(B4684,'_Sys|Line_Map'!$A:$A,'_Sys|Line_Map'!$B:$B,"MISSING",0)</f>
        <v/>
      </c>
    </row>
    <row r="4685">
      <c r="A4685" s="4561" t="n"/>
      <c r="B4685" s="4561" t="n"/>
      <c r="C4685" s="4561" t="n"/>
      <c r="D4685" s="4561" t="n"/>
      <c r="E4685" s="4561" t="n"/>
      <c r="F4685" s="4561" t="n"/>
      <c r="G4685" s="4561" t="n"/>
      <c r="H4685" s="4561" t="n"/>
      <c r="I4685" s="4562">
        <f>XLOOKUP(B4685,'_Sys|Line_Map'!$A:$A,'_Sys|Line_Map'!$C:$C,"MISSING",0)</f>
        <v/>
      </c>
      <c r="J4685" s="4562">
        <f>XLOOKUP(B4685,'_Sys|Line_Map'!$A:$A,'_Sys|Line_Map'!$D:$D,1,0)</f>
        <v/>
      </c>
      <c r="K4685" s="4562">
        <f>IF(D4685="","",D4685*J4685)</f>
        <v/>
      </c>
      <c r="L4685" s="4562">
        <f>XLOOKUP(B4685,'_Sys|Line_Map'!$A:$A,'_Sys|Line_Map'!$B:$B,"MISSING",0)</f>
        <v/>
      </c>
    </row>
    <row r="4686">
      <c r="A4686" s="4561" t="n"/>
      <c r="B4686" s="4561" t="n"/>
      <c r="C4686" s="4561" t="n"/>
      <c r="D4686" s="4561" t="n"/>
      <c r="E4686" s="4561" t="n"/>
      <c r="F4686" s="4561" t="n"/>
      <c r="G4686" s="4561" t="n"/>
      <c r="H4686" s="4561" t="n"/>
      <c r="I4686" s="4562">
        <f>XLOOKUP(B4686,'_Sys|Line_Map'!$A:$A,'_Sys|Line_Map'!$C:$C,"MISSING",0)</f>
        <v/>
      </c>
      <c r="J4686" s="4562">
        <f>XLOOKUP(B4686,'_Sys|Line_Map'!$A:$A,'_Sys|Line_Map'!$D:$D,1,0)</f>
        <v/>
      </c>
      <c r="K4686" s="4562">
        <f>IF(D4686="","",D4686*J4686)</f>
        <v/>
      </c>
      <c r="L4686" s="4562">
        <f>XLOOKUP(B4686,'_Sys|Line_Map'!$A:$A,'_Sys|Line_Map'!$B:$B,"MISSING",0)</f>
        <v/>
      </c>
    </row>
    <row r="4687">
      <c r="A4687" s="4561" t="n"/>
      <c r="B4687" s="4561" t="n"/>
      <c r="C4687" s="4561" t="n"/>
      <c r="D4687" s="4561" t="n"/>
      <c r="E4687" s="4561" t="n"/>
      <c r="F4687" s="4561" t="n"/>
      <c r="G4687" s="4561" t="n"/>
      <c r="H4687" s="4561" t="n"/>
      <c r="I4687" s="4562">
        <f>XLOOKUP(B4687,'_Sys|Line_Map'!$A:$A,'_Sys|Line_Map'!$C:$C,"MISSING",0)</f>
        <v/>
      </c>
      <c r="J4687" s="4562">
        <f>XLOOKUP(B4687,'_Sys|Line_Map'!$A:$A,'_Sys|Line_Map'!$D:$D,1,0)</f>
        <v/>
      </c>
      <c r="K4687" s="4562">
        <f>IF(D4687="","",D4687*J4687)</f>
        <v/>
      </c>
      <c r="L4687" s="4562">
        <f>XLOOKUP(B4687,'_Sys|Line_Map'!$A:$A,'_Sys|Line_Map'!$B:$B,"MISSING",0)</f>
        <v/>
      </c>
    </row>
    <row r="4688">
      <c r="A4688" s="4561" t="n"/>
      <c r="B4688" s="4561" t="n"/>
      <c r="C4688" s="4561" t="n"/>
      <c r="D4688" s="4561" t="n"/>
      <c r="E4688" s="4561" t="n"/>
      <c r="F4688" s="4561" t="n"/>
      <c r="G4688" s="4561" t="n"/>
      <c r="H4688" s="4561" t="n"/>
      <c r="I4688" s="4562">
        <f>XLOOKUP(B4688,'_Sys|Line_Map'!$A:$A,'_Sys|Line_Map'!$C:$C,"MISSING",0)</f>
        <v/>
      </c>
      <c r="J4688" s="4562">
        <f>XLOOKUP(B4688,'_Sys|Line_Map'!$A:$A,'_Sys|Line_Map'!$D:$D,1,0)</f>
        <v/>
      </c>
      <c r="K4688" s="4562">
        <f>IF(D4688="","",D4688*J4688)</f>
        <v/>
      </c>
      <c r="L4688" s="4562">
        <f>XLOOKUP(B4688,'_Sys|Line_Map'!$A:$A,'_Sys|Line_Map'!$B:$B,"MISSING",0)</f>
        <v/>
      </c>
    </row>
    <row r="4689">
      <c r="A4689" s="4561" t="n"/>
      <c r="B4689" s="4561" t="n"/>
      <c r="C4689" s="4561" t="n"/>
      <c r="D4689" s="4561" t="n"/>
      <c r="E4689" s="4561" t="n"/>
      <c r="F4689" s="4561" t="n"/>
      <c r="G4689" s="4561" t="n"/>
      <c r="H4689" s="4561" t="n"/>
      <c r="I4689" s="4562">
        <f>XLOOKUP(B4689,'_Sys|Line_Map'!$A:$A,'_Sys|Line_Map'!$C:$C,"MISSING",0)</f>
        <v/>
      </c>
      <c r="J4689" s="4562">
        <f>XLOOKUP(B4689,'_Sys|Line_Map'!$A:$A,'_Sys|Line_Map'!$D:$D,1,0)</f>
        <v/>
      </c>
      <c r="K4689" s="4562">
        <f>IF(D4689="","",D4689*J4689)</f>
        <v/>
      </c>
      <c r="L4689" s="4562">
        <f>XLOOKUP(B4689,'_Sys|Line_Map'!$A:$A,'_Sys|Line_Map'!$B:$B,"MISSING",0)</f>
        <v/>
      </c>
    </row>
    <row r="4690">
      <c r="A4690" s="4561" t="n"/>
      <c r="B4690" s="4561" t="n"/>
      <c r="C4690" s="4561" t="n"/>
      <c r="D4690" s="4561" t="n"/>
      <c r="E4690" s="4561" t="n"/>
      <c r="F4690" s="4561" t="n"/>
      <c r="G4690" s="4561" t="n"/>
      <c r="H4690" s="4561" t="n"/>
      <c r="I4690" s="4562">
        <f>XLOOKUP(B4690,'_Sys|Line_Map'!$A:$A,'_Sys|Line_Map'!$C:$C,"MISSING",0)</f>
        <v/>
      </c>
      <c r="J4690" s="4562">
        <f>XLOOKUP(B4690,'_Sys|Line_Map'!$A:$A,'_Sys|Line_Map'!$D:$D,1,0)</f>
        <v/>
      </c>
      <c r="K4690" s="4562">
        <f>IF(D4690="","",D4690*J4690)</f>
        <v/>
      </c>
      <c r="L4690" s="4562">
        <f>XLOOKUP(B4690,'_Sys|Line_Map'!$A:$A,'_Sys|Line_Map'!$B:$B,"MISSING",0)</f>
        <v/>
      </c>
    </row>
    <row r="4691">
      <c r="A4691" s="4561" t="n"/>
      <c r="B4691" s="4561" t="n"/>
      <c r="C4691" s="4561" t="n"/>
      <c r="D4691" s="4561" t="n"/>
      <c r="E4691" s="4561" t="n"/>
      <c r="F4691" s="4561" t="n"/>
      <c r="G4691" s="4561" t="n"/>
      <c r="H4691" s="4561" t="n"/>
      <c r="I4691" s="4562">
        <f>XLOOKUP(B4691,'_Sys|Line_Map'!$A:$A,'_Sys|Line_Map'!$C:$C,"MISSING",0)</f>
        <v/>
      </c>
      <c r="J4691" s="4562">
        <f>XLOOKUP(B4691,'_Sys|Line_Map'!$A:$A,'_Sys|Line_Map'!$D:$D,1,0)</f>
        <v/>
      </c>
      <c r="K4691" s="4562">
        <f>IF(D4691="","",D4691*J4691)</f>
        <v/>
      </c>
      <c r="L4691" s="4562">
        <f>XLOOKUP(B4691,'_Sys|Line_Map'!$A:$A,'_Sys|Line_Map'!$B:$B,"MISSING",0)</f>
        <v/>
      </c>
    </row>
    <row r="4692">
      <c r="A4692" s="4561" t="n"/>
      <c r="B4692" s="4561" t="n"/>
      <c r="C4692" s="4561" t="n"/>
      <c r="D4692" s="4561" t="n"/>
      <c r="E4692" s="4561" t="n"/>
      <c r="F4692" s="4561" t="n"/>
      <c r="G4692" s="4561" t="n"/>
      <c r="H4692" s="4561" t="n"/>
      <c r="I4692" s="4562">
        <f>XLOOKUP(B4692,'_Sys|Line_Map'!$A:$A,'_Sys|Line_Map'!$C:$C,"MISSING",0)</f>
        <v/>
      </c>
      <c r="J4692" s="4562">
        <f>XLOOKUP(B4692,'_Sys|Line_Map'!$A:$A,'_Sys|Line_Map'!$D:$D,1,0)</f>
        <v/>
      </c>
      <c r="K4692" s="4562">
        <f>IF(D4692="","",D4692*J4692)</f>
        <v/>
      </c>
      <c r="L4692" s="4562">
        <f>XLOOKUP(B4692,'_Sys|Line_Map'!$A:$A,'_Sys|Line_Map'!$B:$B,"MISSING",0)</f>
        <v/>
      </c>
    </row>
    <row r="4693">
      <c r="A4693" s="4561" t="n"/>
      <c r="B4693" s="4561" t="n"/>
      <c r="C4693" s="4561" t="n"/>
      <c r="D4693" s="4561" t="n"/>
      <c r="E4693" s="4561" t="n"/>
      <c r="F4693" s="4561" t="n"/>
      <c r="G4693" s="4561" t="n"/>
      <c r="H4693" s="4561" t="n"/>
      <c r="I4693" s="4562">
        <f>XLOOKUP(B4693,'_Sys|Line_Map'!$A:$A,'_Sys|Line_Map'!$C:$C,"MISSING",0)</f>
        <v/>
      </c>
      <c r="J4693" s="4562">
        <f>XLOOKUP(B4693,'_Sys|Line_Map'!$A:$A,'_Sys|Line_Map'!$D:$D,1,0)</f>
        <v/>
      </c>
      <c r="K4693" s="4562">
        <f>IF(D4693="","",D4693*J4693)</f>
        <v/>
      </c>
      <c r="L4693" s="4562">
        <f>XLOOKUP(B4693,'_Sys|Line_Map'!$A:$A,'_Sys|Line_Map'!$B:$B,"MISSING",0)</f>
        <v/>
      </c>
    </row>
    <row r="4694">
      <c r="A4694" s="4561" t="n"/>
      <c r="B4694" s="4561" t="n"/>
      <c r="C4694" s="4561" t="n"/>
      <c r="D4694" s="4561" t="n"/>
      <c r="E4694" s="4561" t="n"/>
      <c r="F4694" s="4561" t="n"/>
      <c r="G4694" s="4561" t="n"/>
      <c r="H4694" s="4561" t="n"/>
      <c r="I4694" s="4562">
        <f>XLOOKUP(B4694,'_Sys|Line_Map'!$A:$A,'_Sys|Line_Map'!$C:$C,"MISSING",0)</f>
        <v/>
      </c>
      <c r="J4694" s="4562">
        <f>XLOOKUP(B4694,'_Sys|Line_Map'!$A:$A,'_Sys|Line_Map'!$D:$D,1,0)</f>
        <v/>
      </c>
      <c r="K4694" s="4562">
        <f>IF(D4694="","",D4694*J4694)</f>
        <v/>
      </c>
      <c r="L4694" s="4562">
        <f>XLOOKUP(B4694,'_Sys|Line_Map'!$A:$A,'_Sys|Line_Map'!$B:$B,"MISSING",0)</f>
        <v/>
      </c>
    </row>
    <row r="4695">
      <c r="A4695" s="4561" t="n"/>
      <c r="B4695" s="4561" t="n"/>
      <c r="C4695" s="4561" t="n"/>
      <c r="D4695" s="4561" t="n"/>
      <c r="E4695" s="4561" t="n"/>
      <c r="F4695" s="4561" t="n"/>
      <c r="G4695" s="4561" t="n"/>
      <c r="H4695" s="4561" t="n"/>
      <c r="I4695" s="4562">
        <f>XLOOKUP(B4695,'_Sys|Line_Map'!$A:$A,'_Sys|Line_Map'!$C:$C,"MISSING",0)</f>
        <v/>
      </c>
      <c r="J4695" s="4562">
        <f>XLOOKUP(B4695,'_Sys|Line_Map'!$A:$A,'_Sys|Line_Map'!$D:$D,1,0)</f>
        <v/>
      </c>
      <c r="K4695" s="4562">
        <f>IF(D4695="","",D4695*J4695)</f>
        <v/>
      </c>
      <c r="L4695" s="4562">
        <f>XLOOKUP(B4695,'_Sys|Line_Map'!$A:$A,'_Sys|Line_Map'!$B:$B,"MISSING",0)</f>
        <v/>
      </c>
    </row>
    <row r="4696">
      <c r="A4696" s="4561" t="n"/>
      <c r="B4696" s="4561" t="n"/>
      <c r="C4696" s="4561" t="n"/>
      <c r="D4696" s="4561" t="n"/>
      <c r="E4696" s="4561" t="n"/>
      <c r="F4696" s="4561" t="n"/>
      <c r="G4696" s="4561" t="n"/>
      <c r="H4696" s="4561" t="n"/>
      <c r="I4696" s="4562">
        <f>XLOOKUP(B4696,'_Sys|Line_Map'!$A:$A,'_Sys|Line_Map'!$C:$C,"MISSING",0)</f>
        <v/>
      </c>
      <c r="J4696" s="4562">
        <f>XLOOKUP(B4696,'_Sys|Line_Map'!$A:$A,'_Sys|Line_Map'!$D:$D,1,0)</f>
        <v/>
      </c>
      <c r="K4696" s="4562">
        <f>IF(D4696="","",D4696*J4696)</f>
        <v/>
      </c>
      <c r="L4696" s="4562">
        <f>XLOOKUP(B4696,'_Sys|Line_Map'!$A:$A,'_Sys|Line_Map'!$B:$B,"MISSING",0)</f>
        <v/>
      </c>
    </row>
    <row r="4697">
      <c r="A4697" s="4561" t="n"/>
      <c r="B4697" s="4561" t="n"/>
      <c r="C4697" s="4561" t="n"/>
      <c r="D4697" s="4561" t="n"/>
      <c r="E4697" s="4561" t="n"/>
      <c r="F4697" s="4561" t="n"/>
      <c r="G4697" s="4561" t="n"/>
      <c r="H4697" s="4561" t="n"/>
      <c r="I4697" s="4562">
        <f>XLOOKUP(B4697,'_Sys|Line_Map'!$A:$A,'_Sys|Line_Map'!$C:$C,"MISSING",0)</f>
        <v/>
      </c>
      <c r="J4697" s="4562">
        <f>XLOOKUP(B4697,'_Sys|Line_Map'!$A:$A,'_Sys|Line_Map'!$D:$D,1,0)</f>
        <v/>
      </c>
      <c r="K4697" s="4562">
        <f>IF(D4697="","",D4697*J4697)</f>
        <v/>
      </c>
      <c r="L4697" s="4562">
        <f>XLOOKUP(B4697,'_Sys|Line_Map'!$A:$A,'_Sys|Line_Map'!$B:$B,"MISSING",0)</f>
        <v/>
      </c>
    </row>
    <row r="4698">
      <c r="A4698" s="4561" t="n"/>
      <c r="B4698" s="4561" t="n"/>
      <c r="C4698" s="4561" t="n"/>
      <c r="D4698" s="4561" t="n"/>
      <c r="E4698" s="4561" t="n"/>
      <c r="F4698" s="4561" t="n"/>
      <c r="G4698" s="4561" t="n"/>
      <c r="H4698" s="4561" t="n"/>
      <c r="I4698" s="4562">
        <f>XLOOKUP(B4698,'_Sys|Line_Map'!$A:$A,'_Sys|Line_Map'!$C:$C,"MISSING",0)</f>
        <v/>
      </c>
      <c r="J4698" s="4562">
        <f>XLOOKUP(B4698,'_Sys|Line_Map'!$A:$A,'_Sys|Line_Map'!$D:$D,1,0)</f>
        <v/>
      </c>
      <c r="K4698" s="4562">
        <f>IF(D4698="","",D4698*J4698)</f>
        <v/>
      </c>
      <c r="L4698" s="4562">
        <f>XLOOKUP(B4698,'_Sys|Line_Map'!$A:$A,'_Sys|Line_Map'!$B:$B,"MISSING",0)</f>
        <v/>
      </c>
    </row>
    <row r="4699">
      <c r="A4699" s="4561" t="n"/>
      <c r="B4699" s="4561" t="n"/>
      <c r="C4699" s="4561" t="n"/>
      <c r="D4699" s="4561" t="n"/>
      <c r="E4699" s="4561" t="n"/>
      <c r="F4699" s="4561" t="n"/>
      <c r="G4699" s="4561" t="n"/>
      <c r="H4699" s="4561" t="n"/>
      <c r="I4699" s="4562">
        <f>XLOOKUP(B4699,'_Sys|Line_Map'!$A:$A,'_Sys|Line_Map'!$C:$C,"MISSING",0)</f>
        <v/>
      </c>
      <c r="J4699" s="4562">
        <f>XLOOKUP(B4699,'_Sys|Line_Map'!$A:$A,'_Sys|Line_Map'!$D:$D,1,0)</f>
        <v/>
      </c>
      <c r="K4699" s="4562">
        <f>IF(D4699="","",D4699*J4699)</f>
        <v/>
      </c>
      <c r="L4699" s="4562">
        <f>XLOOKUP(B4699,'_Sys|Line_Map'!$A:$A,'_Sys|Line_Map'!$B:$B,"MISSING",0)</f>
        <v/>
      </c>
    </row>
    <row r="4700">
      <c r="A4700" s="4561" t="n"/>
      <c r="B4700" s="4561" t="n"/>
      <c r="C4700" s="4561" t="n"/>
      <c r="D4700" s="4561" t="n"/>
      <c r="E4700" s="4561" t="n"/>
      <c r="F4700" s="4561" t="n"/>
      <c r="G4700" s="4561" t="n"/>
      <c r="H4700" s="4561" t="n"/>
      <c r="I4700" s="4562">
        <f>XLOOKUP(B4700,'_Sys|Line_Map'!$A:$A,'_Sys|Line_Map'!$C:$C,"MISSING",0)</f>
        <v/>
      </c>
      <c r="J4700" s="4562">
        <f>XLOOKUP(B4700,'_Sys|Line_Map'!$A:$A,'_Sys|Line_Map'!$D:$D,1,0)</f>
        <v/>
      </c>
      <c r="K4700" s="4562">
        <f>IF(D4700="","",D4700*J4700)</f>
        <v/>
      </c>
      <c r="L4700" s="4562">
        <f>XLOOKUP(B4700,'_Sys|Line_Map'!$A:$A,'_Sys|Line_Map'!$B:$B,"MISSING",0)</f>
        <v/>
      </c>
    </row>
    <row r="4701">
      <c r="A4701" s="4561" t="n"/>
      <c r="B4701" s="4561" t="n"/>
      <c r="C4701" s="4561" t="n"/>
      <c r="D4701" s="4561" t="n"/>
      <c r="E4701" s="4561" t="n"/>
      <c r="F4701" s="4561" t="n"/>
      <c r="G4701" s="4561" t="n"/>
      <c r="H4701" s="4561" t="n"/>
      <c r="I4701" s="4562">
        <f>XLOOKUP(B4701,'_Sys|Line_Map'!$A:$A,'_Sys|Line_Map'!$C:$C,"MISSING",0)</f>
        <v/>
      </c>
      <c r="J4701" s="4562">
        <f>XLOOKUP(B4701,'_Sys|Line_Map'!$A:$A,'_Sys|Line_Map'!$D:$D,1,0)</f>
        <v/>
      </c>
      <c r="K4701" s="4562">
        <f>IF(D4701="","",D4701*J4701)</f>
        <v/>
      </c>
      <c r="L4701" s="4562">
        <f>XLOOKUP(B4701,'_Sys|Line_Map'!$A:$A,'_Sys|Line_Map'!$B:$B,"MISSING",0)</f>
        <v/>
      </c>
    </row>
    <row r="4702">
      <c r="A4702" s="4561" t="n"/>
      <c r="B4702" s="4561" t="n"/>
      <c r="C4702" s="4561" t="n"/>
      <c r="D4702" s="4561" t="n"/>
      <c r="E4702" s="4561" t="n"/>
      <c r="F4702" s="4561" t="n"/>
      <c r="G4702" s="4561" t="n"/>
      <c r="H4702" s="4561" t="n"/>
      <c r="I4702" s="4562">
        <f>XLOOKUP(B4702,'_Sys|Line_Map'!$A:$A,'_Sys|Line_Map'!$C:$C,"MISSING",0)</f>
        <v/>
      </c>
      <c r="J4702" s="4562">
        <f>XLOOKUP(B4702,'_Sys|Line_Map'!$A:$A,'_Sys|Line_Map'!$D:$D,1,0)</f>
        <v/>
      </c>
      <c r="K4702" s="4562">
        <f>IF(D4702="","",D4702*J4702)</f>
        <v/>
      </c>
      <c r="L4702" s="4562">
        <f>XLOOKUP(B4702,'_Sys|Line_Map'!$A:$A,'_Sys|Line_Map'!$B:$B,"MISSING",0)</f>
        <v/>
      </c>
    </row>
    <row r="4703">
      <c r="A4703" s="4561" t="n"/>
      <c r="B4703" s="4561" t="n"/>
      <c r="C4703" s="4561" t="n"/>
      <c r="D4703" s="4561" t="n"/>
      <c r="E4703" s="4561" t="n"/>
      <c r="F4703" s="4561" t="n"/>
      <c r="G4703" s="4561" t="n"/>
      <c r="H4703" s="4561" t="n"/>
      <c r="I4703" s="4562">
        <f>XLOOKUP(B4703,'_Sys|Line_Map'!$A:$A,'_Sys|Line_Map'!$C:$C,"MISSING",0)</f>
        <v/>
      </c>
      <c r="J4703" s="4562">
        <f>XLOOKUP(B4703,'_Sys|Line_Map'!$A:$A,'_Sys|Line_Map'!$D:$D,1,0)</f>
        <v/>
      </c>
      <c r="K4703" s="4562">
        <f>IF(D4703="","",D4703*J4703)</f>
        <v/>
      </c>
      <c r="L4703" s="4562">
        <f>XLOOKUP(B4703,'_Sys|Line_Map'!$A:$A,'_Sys|Line_Map'!$B:$B,"MISSING",0)</f>
        <v/>
      </c>
    </row>
    <row r="4704">
      <c r="A4704" s="4561" t="n"/>
      <c r="B4704" s="4561" t="n"/>
      <c r="C4704" s="4561" t="n"/>
      <c r="D4704" s="4561" t="n"/>
      <c r="E4704" s="4561" t="n"/>
      <c r="F4704" s="4561" t="n"/>
      <c r="G4704" s="4561" t="n"/>
      <c r="H4704" s="4561" t="n"/>
      <c r="I4704" s="4562">
        <f>XLOOKUP(B4704,'_Sys|Line_Map'!$A:$A,'_Sys|Line_Map'!$C:$C,"MISSING",0)</f>
        <v/>
      </c>
      <c r="J4704" s="4562">
        <f>XLOOKUP(B4704,'_Sys|Line_Map'!$A:$A,'_Sys|Line_Map'!$D:$D,1,0)</f>
        <v/>
      </c>
      <c r="K4704" s="4562">
        <f>IF(D4704="","",D4704*J4704)</f>
        <v/>
      </c>
      <c r="L4704" s="4562">
        <f>XLOOKUP(B4704,'_Sys|Line_Map'!$A:$A,'_Sys|Line_Map'!$B:$B,"MISSING",0)</f>
        <v/>
      </c>
    </row>
    <row r="4705">
      <c r="A4705" s="4561" t="n"/>
      <c r="B4705" s="4561" t="n"/>
      <c r="C4705" s="4561" t="n"/>
      <c r="D4705" s="4561" t="n"/>
      <c r="E4705" s="4561" t="n"/>
      <c r="F4705" s="4561" t="n"/>
      <c r="G4705" s="4561" t="n"/>
      <c r="H4705" s="4561" t="n"/>
      <c r="I4705" s="4562">
        <f>XLOOKUP(B4705,'_Sys|Line_Map'!$A:$A,'_Sys|Line_Map'!$C:$C,"MISSING",0)</f>
        <v/>
      </c>
      <c r="J4705" s="4562">
        <f>XLOOKUP(B4705,'_Sys|Line_Map'!$A:$A,'_Sys|Line_Map'!$D:$D,1,0)</f>
        <v/>
      </c>
      <c r="K4705" s="4562">
        <f>IF(D4705="","",D4705*J4705)</f>
        <v/>
      </c>
      <c r="L4705" s="4562">
        <f>XLOOKUP(B4705,'_Sys|Line_Map'!$A:$A,'_Sys|Line_Map'!$B:$B,"MISSING",0)</f>
        <v/>
      </c>
    </row>
    <row r="4706">
      <c r="A4706" s="4561" t="n"/>
      <c r="B4706" s="4561" t="n"/>
      <c r="C4706" s="4561" t="n"/>
      <c r="D4706" s="4561" t="n"/>
      <c r="E4706" s="4561" t="n"/>
      <c r="F4706" s="4561" t="n"/>
      <c r="G4706" s="4561" t="n"/>
      <c r="H4706" s="4561" t="n"/>
      <c r="I4706" s="4562">
        <f>XLOOKUP(B4706,'_Sys|Line_Map'!$A:$A,'_Sys|Line_Map'!$C:$C,"MISSING",0)</f>
        <v/>
      </c>
      <c r="J4706" s="4562">
        <f>XLOOKUP(B4706,'_Sys|Line_Map'!$A:$A,'_Sys|Line_Map'!$D:$D,1,0)</f>
        <v/>
      </c>
      <c r="K4706" s="4562">
        <f>IF(D4706="","",D4706*J4706)</f>
        <v/>
      </c>
      <c r="L4706" s="4562">
        <f>XLOOKUP(B4706,'_Sys|Line_Map'!$A:$A,'_Sys|Line_Map'!$B:$B,"MISSING",0)</f>
        <v/>
      </c>
    </row>
    <row r="4707">
      <c r="A4707" s="4561" t="n"/>
      <c r="B4707" s="4561" t="n"/>
      <c r="C4707" s="4561" t="n"/>
      <c r="D4707" s="4561" t="n"/>
      <c r="E4707" s="4561" t="n"/>
      <c r="F4707" s="4561" t="n"/>
      <c r="G4707" s="4561" t="n"/>
      <c r="H4707" s="4561" t="n"/>
      <c r="I4707" s="4562">
        <f>XLOOKUP(B4707,'_Sys|Line_Map'!$A:$A,'_Sys|Line_Map'!$C:$C,"MISSING",0)</f>
        <v/>
      </c>
      <c r="J4707" s="4562">
        <f>XLOOKUP(B4707,'_Sys|Line_Map'!$A:$A,'_Sys|Line_Map'!$D:$D,1,0)</f>
        <v/>
      </c>
      <c r="K4707" s="4562">
        <f>IF(D4707="","",D4707*J4707)</f>
        <v/>
      </c>
      <c r="L4707" s="4562">
        <f>XLOOKUP(B4707,'_Sys|Line_Map'!$A:$A,'_Sys|Line_Map'!$B:$B,"MISSING",0)</f>
        <v/>
      </c>
    </row>
    <row r="4708">
      <c r="A4708" s="4561" t="n"/>
      <c r="B4708" s="4561" t="n"/>
      <c r="C4708" s="4561" t="n"/>
      <c r="D4708" s="4561" t="n"/>
      <c r="E4708" s="4561" t="n"/>
      <c r="F4708" s="4561" t="n"/>
      <c r="G4708" s="4561" t="n"/>
      <c r="H4708" s="4561" t="n"/>
      <c r="I4708" s="4562">
        <f>XLOOKUP(B4708,'_Sys|Line_Map'!$A:$A,'_Sys|Line_Map'!$C:$C,"MISSING",0)</f>
        <v/>
      </c>
      <c r="J4708" s="4562">
        <f>XLOOKUP(B4708,'_Sys|Line_Map'!$A:$A,'_Sys|Line_Map'!$D:$D,1,0)</f>
        <v/>
      </c>
      <c r="K4708" s="4562">
        <f>IF(D4708="","",D4708*J4708)</f>
        <v/>
      </c>
      <c r="L4708" s="4562">
        <f>XLOOKUP(B4708,'_Sys|Line_Map'!$A:$A,'_Sys|Line_Map'!$B:$B,"MISSING",0)</f>
        <v/>
      </c>
    </row>
    <row r="4709">
      <c r="A4709" s="4561" t="n"/>
      <c r="B4709" s="4561" t="n"/>
      <c r="C4709" s="4561" t="n"/>
      <c r="D4709" s="4561" t="n"/>
      <c r="E4709" s="4561" t="n"/>
      <c r="F4709" s="4561" t="n"/>
      <c r="G4709" s="4561" t="n"/>
      <c r="H4709" s="4561" t="n"/>
      <c r="I4709" s="4562">
        <f>XLOOKUP(B4709,'_Sys|Line_Map'!$A:$A,'_Sys|Line_Map'!$C:$C,"MISSING",0)</f>
        <v/>
      </c>
      <c r="J4709" s="4562">
        <f>XLOOKUP(B4709,'_Sys|Line_Map'!$A:$A,'_Sys|Line_Map'!$D:$D,1,0)</f>
        <v/>
      </c>
      <c r="K4709" s="4562">
        <f>IF(D4709="","",D4709*J4709)</f>
        <v/>
      </c>
      <c r="L4709" s="4562">
        <f>XLOOKUP(B4709,'_Sys|Line_Map'!$A:$A,'_Sys|Line_Map'!$B:$B,"MISSING",0)</f>
        <v/>
      </c>
    </row>
    <row r="4710">
      <c r="A4710" s="4561" t="n"/>
      <c r="B4710" s="4561" t="n"/>
      <c r="C4710" s="4561" t="n"/>
      <c r="D4710" s="4561" t="n"/>
      <c r="E4710" s="4561" t="n"/>
      <c r="F4710" s="4561" t="n"/>
      <c r="G4710" s="4561" t="n"/>
      <c r="H4710" s="4561" t="n"/>
      <c r="I4710" s="4562">
        <f>XLOOKUP(B4710,'_Sys|Line_Map'!$A:$A,'_Sys|Line_Map'!$C:$C,"MISSING",0)</f>
        <v/>
      </c>
      <c r="J4710" s="4562">
        <f>XLOOKUP(B4710,'_Sys|Line_Map'!$A:$A,'_Sys|Line_Map'!$D:$D,1,0)</f>
        <v/>
      </c>
      <c r="K4710" s="4562">
        <f>IF(D4710="","",D4710*J4710)</f>
        <v/>
      </c>
      <c r="L4710" s="4562">
        <f>XLOOKUP(B4710,'_Sys|Line_Map'!$A:$A,'_Sys|Line_Map'!$B:$B,"MISSING",0)</f>
        <v/>
      </c>
    </row>
    <row r="4711">
      <c r="A4711" s="4561" t="n"/>
      <c r="B4711" s="4561" t="n"/>
      <c r="C4711" s="4561" t="n"/>
      <c r="D4711" s="4561" t="n"/>
      <c r="E4711" s="4561" t="n"/>
      <c r="F4711" s="4561" t="n"/>
      <c r="G4711" s="4561" t="n"/>
      <c r="H4711" s="4561" t="n"/>
      <c r="I4711" s="4562">
        <f>XLOOKUP(B4711,'_Sys|Line_Map'!$A:$A,'_Sys|Line_Map'!$C:$C,"MISSING",0)</f>
        <v/>
      </c>
      <c r="J4711" s="4562">
        <f>XLOOKUP(B4711,'_Sys|Line_Map'!$A:$A,'_Sys|Line_Map'!$D:$D,1,0)</f>
        <v/>
      </c>
      <c r="K4711" s="4562">
        <f>IF(D4711="","",D4711*J4711)</f>
        <v/>
      </c>
      <c r="L4711" s="4562">
        <f>XLOOKUP(B4711,'_Sys|Line_Map'!$A:$A,'_Sys|Line_Map'!$B:$B,"MISSING",0)</f>
        <v/>
      </c>
    </row>
    <row r="4712">
      <c r="A4712" s="4561" t="n"/>
      <c r="B4712" s="4561" t="n"/>
      <c r="C4712" s="4561" t="n"/>
      <c r="D4712" s="4561" t="n"/>
      <c r="E4712" s="4561" t="n"/>
      <c r="F4712" s="4561" t="n"/>
      <c r="G4712" s="4561" t="n"/>
      <c r="H4712" s="4561" t="n"/>
      <c r="I4712" s="4562">
        <f>XLOOKUP(B4712,'_Sys|Line_Map'!$A:$A,'_Sys|Line_Map'!$C:$C,"MISSING",0)</f>
        <v/>
      </c>
      <c r="J4712" s="4562">
        <f>XLOOKUP(B4712,'_Sys|Line_Map'!$A:$A,'_Sys|Line_Map'!$D:$D,1,0)</f>
        <v/>
      </c>
      <c r="K4712" s="4562">
        <f>IF(D4712="","",D4712*J4712)</f>
        <v/>
      </c>
      <c r="L4712" s="4562">
        <f>XLOOKUP(B4712,'_Sys|Line_Map'!$A:$A,'_Sys|Line_Map'!$B:$B,"MISSING",0)</f>
        <v/>
      </c>
    </row>
    <row r="4713">
      <c r="A4713" s="4561" t="n"/>
      <c r="B4713" s="4561" t="n"/>
      <c r="C4713" s="4561" t="n"/>
      <c r="D4713" s="4561" t="n"/>
      <c r="E4713" s="4561" t="n"/>
      <c r="F4713" s="4561" t="n"/>
      <c r="G4713" s="4561" t="n"/>
      <c r="H4713" s="4561" t="n"/>
      <c r="I4713" s="4562">
        <f>XLOOKUP(B4713,'_Sys|Line_Map'!$A:$A,'_Sys|Line_Map'!$C:$C,"MISSING",0)</f>
        <v/>
      </c>
      <c r="J4713" s="4562">
        <f>XLOOKUP(B4713,'_Sys|Line_Map'!$A:$A,'_Sys|Line_Map'!$D:$D,1,0)</f>
        <v/>
      </c>
      <c r="K4713" s="4562">
        <f>IF(D4713="","",D4713*J4713)</f>
        <v/>
      </c>
      <c r="L4713" s="4562">
        <f>XLOOKUP(B4713,'_Sys|Line_Map'!$A:$A,'_Sys|Line_Map'!$B:$B,"MISSING",0)</f>
        <v/>
      </c>
    </row>
    <row r="4714">
      <c r="A4714" s="4561" t="n"/>
      <c r="B4714" s="4561" t="n"/>
      <c r="C4714" s="4561" t="n"/>
      <c r="D4714" s="4561" t="n"/>
      <c r="E4714" s="4561" t="n"/>
      <c r="F4714" s="4561" t="n"/>
      <c r="G4714" s="4561" t="n"/>
      <c r="H4714" s="4561" t="n"/>
      <c r="I4714" s="4562">
        <f>XLOOKUP(B4714,'_Sys|Line_Map'!$A:$A,'_Sys|Line_Map'!$C:$C,"MISSING",0)</f>
        <v/>
      </c>
      <c r="J4714" s="4562">
        <f>XLOOKUP(B4714,'_Sys|Line_Map'!$A:$A,'_Sys|Line_Map'!$D:$D,1,0)</f>
        <v/>
      </c>
      <c r="K4714" s="4562">
        <f>IF(D4714="","",D4714*J4714)</f>
        <v/>
      </c>
      <c r="L4714" s="4562">
        <f>XLOOKUP(B4714,'_Sys|Line_Map'!$A:$A,'_Sys|Line_Map'!$B:$B,"MISSING",0)</f>
        <v/>
      </c>
    </row>
    <row r="4715">
      <c r="A4715" s="4561" t="n"/>
      <c r="B4715" s="4561" t="n"/>
      <c r="C4715" s="4561" t="n"/>
      <c r="D4715" s="4561" t="n"/>
      <c r="E4715" s="4561" t="n"/>
      <c r="F4715" s="4561" t="n"/>
      <c r="G4715" s="4561" t="n"/>
      <c r="H4715" s="4561" t="n"/>
      <c r="I4715" s="4562">
        <f>XLOOKUP(B4715,'_Sys|Line_Map'!$A:$A,'_Sys|Line_Map'!$C:$C,"MISSING",0)</f>
        <v/>
      </c>
      <c r="J4715" s="4562">
        <f>XLOOKUP(B4715,'_Sys|Line_Map'!$A:$A,'_Sys|Line_Map'!$D:$D,1,0)</f>
        <v/>
      </c>
      <c r="K4715" s="4562">
        <f>IF(D4715="","",D4715*J4715)</f>
        <v/>
      </c>
      <c r="L4715" s="4562">
        <f>XLOOKUP(B4715,'_Sys|Line_Map'!$A:$A,'_Sys|Line_Map'!$B:$B,"MISSING",0)</f>
        <v/>
      </c>
    </row>
    <row r="4716">
      <c r="A4716" s="4561" t="n"/>
      <c r="B4716" s="4561" t="n"/>
      <c r="C4716" s="4561" t="n"/>
      <c r="D4716" s="4561" t="n"/>
      <c r="E4716" s="4561" t="n"/>
      <c r="F4716" s="4561" t="n"/>
      <c r="G4716" s="4561" t="n"/>
      <c r="H4716" s="4561" t="n"/>
      <c r="I4716" s="4562">
        <f>XLOOKUP(B4716,'_Sys|Line_Map'!$A:$A,'_Sys|Line_Map'!$C:$C,"MISSING",0)</f>
        <v/>
      </c>
      <c r="J4716" s="4562">
        <f>XLOOKUP(B4716,'_Sys|Line_Map'!$A:$A,'_Sys|Line_Map'!$D:$D,1,0)</f>
        <v/>
      </c>
      <c r="K4716" s="4562">
        <f>IF(D4716="","",D4716*J4716)</f>
        <v/>
      </c>
      <c r="L4716" s="4562">
        <f>XLOOKUP(B4716,'_Sys|Line_Map'!$A:$A,'_Sys|Line_Map'!$B:$B,"MISSING",0)</f>
        <v/>
      </c>
    </row>
    <row r="4717">
      <c r="A4717" s="4561" t="n"/>
      <c r="B4717" s="4561" t="n"/>
      <c r="C4717" s="4561" t="n"/>
      <c r="D4717" s="4561" t="n"/>
      <c r="E4717" s="4561" t="n"/>
      <c r="F4717" s="4561" t="n"/>
      <c r="G4717" s="4561" t="n"/>
      <c r="H4717" s="4561" t="n"/>
      <c r="I4717" s="4562">
        <f>XLOOKUP(B4717,'_Sys|Line_Map'!$A:$A,'_Sys|Line_Map'!$C:$C,"MISSING",0)</f>
        <v/>
      </c>
      <c r="J4717" s="4562">
        <f>XLOOKUP(B4717,'_Sys|Line_Map'!$A:$A,'_Sys|Line_Map'!$D:$D,1,0)</f>
        <v/>
      </c>
      <c r="K4717" s="4562">
        <f>IF(D4717="","",D4717*J4717)</f>
        <v/>
      </c>
      <c r="L4717" s="4562">
        <f>XLOOKUP(B4717,'_Sys|Line_Map'!$A:$A,'_Sys|Line_Map'!$B:$B,"MISSING",0)</f>
        <v/>
      </c>
    </row>
    <row r="4718">
      <c r="A4718" s="4561" t="n"/>
      <c r="B4718" s="4561" t="n"/>
      <c r="C4718" s="4561" t="n"/>
      <c r="D4718" s="4561" t="n"/>
      <c r="E4718" s="4561" t="n"/>
      <c r="F4718" s="4561" t="n"/>
      <c r="G4718" s="4561" t="n"/>
      <c r="H4718" s="4561" t="n"/>
      <c r="I4718" s="4562">
        <f>XLOOKUP(B4718,'_Sys|Line_Map'!$A:$A,'_Sys|Line_Map'!$C:$C,"MISSING",0)</f>
        <v/>
      </c>
      <c r="J4718" s="4562">
        <f>XLOOKUP(B4718,'_Sys|Line_Map'!$A:$A,'_Sys|Line_Map'!$D:$D,1,0)</f>
        <v/>
      </c>
      <c r="K4718" s="4562">
        <f>IF(D4718="","",D4718*J4718)</f>
        <v/>
      </c>
      <c r="L4718" s="4562">
        <f>XLOOKUP(B4718,'_Sys|Line_Map'!$A:$A,'_Sys|Line_Map'!$B:$B,"MISSING",0)</f>
        <v/>
      </c>
    </row>
    <row r="4719">
      <c r="A4719" s="4561" t="n"/>
      <c r="B4719" s="4561" t="n"/>
      <c r="C4719" s="4561" t="n"/>
      <c r="D4719" s="4561" t="n"/>
      <c r="E4719" s="4561" t="n"/>
      <c r="F4719" s="4561" t="n"/>
      <c r="G4719" s="4561" t="n"/>
      <c r="H4719" s="4561" t="n"/>
      <c r="I4719" s="4562">
        <f>XLOOKUP(B4719,'_Sys|Line_Map'!$A:$A,'_Sys|Line_Map'!$C:$C,"MISSING",0)</f>
        <v/>
      </c>
      <c r="J4719" s="4562">
        <f>XLOOKUP(B4719,'_Sys|Line_Map'!$A:$A,'_Sys|Line_Map'!$D:$D,1,0)</f>
        <v/>
      </c>
      <c r="K4719" s="4562">
        <f>IF(D4719="","",D4719*J4719)</f>
        <v/>
      </c>
      <c r="L4719" s="4562">
        <f>XLOOKUP(B4719,'_Sys|Line_Map'!$A:$A,'_Sys|Line_Map'!$B:$B,"MISSING",0)</f>
        <v/>
      </c>
    </row>
    <row r="4720">
      <c r="A4720" s="4561" t="n"/>
      <c r="B4720" s="4561" t="n"/>
      <c r="C4720" s="4561" t="n"/>
      <c r="D4720" s="4561" t="n"/>
      <c r="E4720" s="4561" t="n"/>
      <c r="F4720" s="4561" t="n"/>
      <c r="G4720" s="4561" t="n"/>
      <c r="H4720" s="4561" t="n"/>
      <c r="I4720" s="4562">
        <f>XLOOKUP(B4720,'_Sys|Line_Map'!$A:$A,'_Sys|Line_Map'!$C:$C,"MISSING",0)</f>
        <v/>
      </c>
      <c r="J4720" s="4562">
        <f>XLOOKUP(B4720,'_Sys|Line_Map'!$A:$A,'_Sys|Line_Map'!$D:$D,1,0)</f>
        <v/>
      </c>
      <c r="K4720" s="4562">
        <f>IF(D4720="","",D4720*J4720)</f>
        <v/>
      </c>
      <c r="L4720" s="4562">
        <f>XLOOKUP(B4720,'_Sys|Line_Map'!$A:$A,'_Sys|Line_Map'!$B:$B,"MISSING",0)</f>
        <v/>
      </c>
    </row>
    <row r="4721">
      <c r="A4721" s="4561" t="n"/>
      <c r="B4721" s="4561" t="n"/>
      <c r="C4721" s="4561" t="n"/>
      <c r="D4721" s="4561" t="n"/>
      <c r="E4721" s="4561" t="n"/>
      <c r="F4721" s="4561" t="n"/>
      <c r="G4721" s="4561" t="n"/>
      <c r="H4721" s="4561" t="n"/>
      <c r="I4721" s="4562">
        <f>XLOOKUP(B4721,'_Sys|Line_Map'!$A:$A,'_Sys|Line_Map'!$C:$C,"MISSING",0)</f>
        <v/>
      </c>
      <c r="J4721" s="4562">
        <f>XLOOKUP(B4721,'_Sys|Line_Map'!$A:$A,'_Sys|Line_Map'!$D:$D,1,0)</f>
        <v/>
      </c>
      <c r="K4721" s="4562">
        <f>IF(D4721="","",D4721*J4721)</f>
        <v/>
      </c>
      <c r="L4721" s="4562">
        <f>XLOOKUP(B4721,'_Sys|Line_Map'!$A:$A,'_Sys|Line_Map'!$B:$B,"MISSING",0)</f>
        <v/>
      </c>
    </row>
    <row r="4722">
      <c r="A4722" s="4561" t="n"/>
      <c r="B4722" s="4561" t="n"/>
      <c r="C4722" s="4561" t="n"/>
      <c r="D4722" s="4561" t="n"/>
      <c r="E4722" s="4561" t="n"/>
      <c r="F4722" s="4561" t="n"/>
      <c r="G4722" s="4561" t="n"/>
      <c r="H4722" s="4561" t="n"/>
      <c r="I4722" s="4562">
        <f>XLOOKUP(B4722,'_Sys|Line_Map'!$A:$A,'_Sys|Line_Map'!$C:$C,"MISSING",0)</f>
        <v/>
      </c>
      <c r="J4722" s="4562">
        <f>XLOOKUP(B4722,'_Sys|Line_Map'!$A:$A,'_Sys|Line_Map'!$D:$D,1,0)</f>
        <v/>
      </c>
      <c r="K4722" s="4562">
        <f>IF(D4722="","",D4722*J4722)</f>
        <v/>
      </c>
      <c r="L4722" s="4562">
        <f>XLOOKUP(B4722,'_Sys|Line_Map'!$A:$A,'_Sys|Line_Map'!$B:$B,"MISSING",0)</f>
        <v/>
      </c>
    </row>
    <row r="4723">
      <c r="A4723" s="4561" t="n"/>
      <c r="B4723" s="4561" t="n"/>
      <c r="C4723" s="4561" t="n"/>
      <c r="D4723" s="4561" t="n"/>
      <c r="E4723" s="4561" t="n"/>
      <c r="F4723" s="4561" t="n"/>
      <c r="G4723" s="4561" t="n"/>
      <c r="H4723" s="4561" t="n"/>
      <c r="I4723" s="4562">
        <f>XLOOKUP(B4723,'_Sys|Line_Map'!$A:$A,'_Sys|Line_Map'!$C:$C,"MISSING",0)</f>
        <v/>
      </c>
      <c r="J4723" s="4562">
        <f>XLOOKUP(B4723,'_Sys|Line_Map'!$A:$A,'_Sys|Line_Map'!$D:$D,1,0)</f>
        <v/>
      </c>
      <c r="K4723" s="4562">
        <f>IF(D4723="","",D4723*J4723)</f>
        <v/>
      </c>
      <c r="L4723" s="4562">
        <f>XLOOKUP(B4723,'_Sys|Line_Map'!$A:$A,'_Sys|Line_Map'!$B:$B,"MISSING",0)</f>
        <v/>
      </c>
    </row>
    <row r="4724">
      <c r="A4724" s="4561" t="n"/>
      <c r="B4724" s="4561" t="n"/>
      <c r="C4724" s="4561" t="n"/>
      <c r="D4724" s="4561" t="n"/>
      <c r="E4724" s="4561" t="n"/>
      <c r="F4724" s="4561" t="n"/>
      <c r="G4724" s="4561" t="n"/>
      <c r="H4724" s="4561" t="n"/>
      <c r="I4724" s="4562">
        <f>XLOOKUP(B4724,'_Sys|Line_Map'!$A:$A,'_Sys|Line_Map'!$C:$C,"MISSING",0)</f>
        <v/>
      </c>
      <c r="J4724" s="4562">
        <f>XLOOKUP(B4724,'_Sys|Line_Map'!$A:$A,'_Sys|Line_Map'!$D:$D,1,0)</f>
        <v/>
      </c>
      <c r="K4724" s="4562">
        <f>IF(D4724="","",D4724*J4724)</f>
        <v/>
      </c>
      <c r="L4724" s="4562">
        <f>XLOOKUP(B4724,'_Sys|Line_Map'!$A:$A,'_Sys|Line_Map'!$B:$B,"MISSING",0)</f>
        <v/>
      </c>
    </row>
    <row r="4725">
      <c r="A4725" s="4561" t="n"/>
      <c r="B4725" s="4561" t="n"/>
      <c r="C4725" s="4561" t="n"/>
      <c r="D4725" s="4561" t="n"/>
      <c r="E4725" s="4561" t="n"/>
      <c r="F4725" s="4561" t="n"/>
      <c r="G4725" s="4561" t="n"/>
      <c r="H4725" s="4561" t="n"/>
      <c r="I4725" s="4562">
        <f>XLOOKUP(B4725,'_Sys|Line_Map'!$A:$A,'_Sys|Line_Map'!$C:$C,"MISSING",0)</f>
        <v/>
      </c>
      <c r="J4725" s="4562">
        <f>XLOOKUP(B4725,'_Sys|Line_Map'!$A:$A,'_Sys|Line_Map'!$D:$D,1,0)</f>
        <v/>
      </c>
      <c r="K4725" s="4562">
        <f>IF(D4725="","",D4725*J4725)</f>
        <v/>
      </c>
      <c r="L4725" s="4562">
        <f>XLOOKUP(B4725,'_Sys|Line_Map'!$A:$A,'_Sys|Line_Map'!$B:$B,"MISSING",0)</f>
        <v/>
      </c>
    </row>
    <row r="4726">
      <c r="A4726" s="4561" t="n"/>
      <c r="B4726" s="4561" t="n"/>
      <c r="C4726" s="4561" t="n"/>
      <c r="D4726" s="4561" t="n"/>
      <c r="E4726" s="4561" t="n"/>
      <c r="F4726" s="4561" t="n"/>
      <c r="G4726" s="4561" t="n"/>
      <c r="H4726" s="4561" t="n"/>
      <c r="I4726" s="4562">
        <f>XLOOKUP(B4726,'_Sys|Line_Map'!$A:$A,'_Sys|Line_Map'!$C:$C,"MISSING",0)</f>
        <v/>
      </c>
      <c r="J4726" s="4562">
        <f>XLOOKUP(B4726,'_Sys|Line_Map'!$A:$A,'_Sys|Line_Map'!$D:$D,1,0)</f>
        <v/>
      </c>
      <c r="K4726" s="4562">
        <f>IF(D4726="","",D4726*J4726)</f>
        <v/>
      </c>
      <c r="L4726" s="4562">
        <f>XLOOKUP(B4726,'_Sys|Line_Map'!$A:$A,'_Sys|Line_Map'!$B:$B,"MISSING",0)</f>
        <v/>
      </c>
    </row>
    <row r="4727">
      <c r="A4727" s="4561" t="n"/>
      <c r="B4727" s="4561" t="n"/>
      <c r="C4727" s="4561" t="n"/>
      <c r="D4727" s="4561" t="n"/>
      <c r="E4727" s="4561" t="n"/>
      <c r="F4727" s="4561" t="n"/>
      <c r="G4727" s="4561" t="n"/>
      <c r="H4727" s="4561" t="n"/>
      <c r="I4727" s="4562">
        <f>XLOOKUP(B4727,'_Sys|Line_Map'!$A:$A,'_Sys|Line_Map'!$C:$C,"MISSING",0)</f>
        <v/>
      </c>
      <c r="J4727" s="4562">
        <f>XLOOKUP(B4727,'_Sys|Line_Map'!$A:$A,'_Sys|Line_Map'!$D:$D,1,0)</f>
        <v/>
      </c>
      <c r="K4727" s="4562">
        <f>IF(D4727="","",D4727*J4727)</f>
        <v/>
      </c>
      <c r="L4727" s="4562">
        <f>XLOOKUP(B4727,'_Sys|Line_Map'!$A:$A,'_Sys|Line_Map'!$B:$B,"MISSING",0)</f>
        <v/>
      </c>
    </row>
    <row r="4728">
      <c r="A4728" s="4561" t="n"/>
      <c r="B4728" s="4561" t="n"/>
      <c r="C4728" s="4561" t="n"/>
      <c r="D4728" s="4561" t="n"/>
      <c r="E4728" s="4561" t="n"/>
      <c r="F4728" s="4561" t="n"/>
      <c r="G4728" s="4561" t="n"/>
      <c r="H4728" s="4561" t="n"/>
      <c r="I4728" s="4562">
        <f>XLOOKUP(B4728,'_Sys|Line_Map'!$A:$A,'_Sys|Line_Map'!$C:$C,"MISSING",0)</f>
        <v/>
      </c>
      <c r="J4728" s="4562">
        <f>XLOOKUP(B4728,'_Sys|Line_Map'!$A:$A,'_Sys|Line_Map'!$D:$D,1,0)</f>
        <v/>
      </c>
      <c r="K4728" s="4562">
        <f>IF(D4728="","",D4728*J4728)</f>
        <v/>
      </c>
      <c r="L4728" s="4562">
        <f>XLOOKUP(B4728,'_Sys|Line_Map'!$A:$A,'_Sys|Line_Map'!$B:$B,"MISSING",0)</f>
        <v/>
      </c>
    </row>
    <row r="4729">
      <c r="A4729" s="4561" t="n"/>
      <c r="B4729" s="4561" t="n"/>
      <c r="C4729" s="4561" t="n"/>
      <c r="D4729" s="4561" t="n"/>
      <c r="E4729" s="4561" t="n"/>
      <c r="F4729" s="4561" t="n"/>
      <c r="G4729" s="4561" t="n"/>
      <c r="H4729" s="4561" t="n"/>
      <c r="I4729" s="4562">
        <f>XLOOKUP(B4729,'_Sys|Line_Map'!$A:$A,'_Sys|Line_Map'!$C:$C,"MISSING",0)</f>
        <v/>
      </c>
      <c r="J4729" s="4562">
        <f>XLOOKUP(B4729,'_Sys|Line_Map'!$A:$A,'_Sys|Line_Map'!$D:$D,1,0)</f>
        <v/>
      </c>
      <c r="K4729" s="4562">
        <f>IF(D4729="","",D4729*J4729)</f>
        <v/>
      </c>
      <c r="L4729" s="4562">
        <f>XLOOKUP(B4729,'_Sys|Line_Map'!$A:$A,'_Sys|Line_Map'!$B:$B,"MISSING",0)</f>
        <v/>
      </c>
    </row>
    <row r="4730">
      <c r="A4730" s="4561" t="n"/>
      <c r="B4730" s="4561" t="n"/>
      <c r="C4730" s="4561" t="n"/>
      <c r="D4730" s="4561" t="n"/>
      <c r="E4730" s="4561" t="n"/>
      <c r="F4730" s="4561" t="n"/>
      <c r="G4730" s="4561" t="n"/>
      <c r="H4730" s="4561" t="n"/>
      <c r="I4730" s="4562">
        <f>XLOOKUP(B4730,'_Sys|Line_Map'!$A:$A,'_Sys|Line_Map'!$C:$C,"MISSING",0)</f>
        <v/>
      </c>
      <c r="J4730" s="4562">
        <f>XLOOKUP(B4730,'_Sys|Line_Map'!$A:$A,'_Sys|Line_Map'!$D:$D,1,0)</f>
        <v/>
      </c>
      <c r="K4730" s="4562">
        <f>IF(D4730="","",D4730*J4730)</f>
        <v/>
      </c>
      <c r="L4730" s="4562">
        <f>XLOOKUP(B4730,'_Sys|Line_Map'!$A:$A,'_Sys|Line_Map'!$B:$B,"MISSING",0)</f>
        <v/>
      </c>
    </row>
    <row r="4731">
      <c r="A4731" s="4561" t="n"/>
      <c r="B4731" s="4561" t="n"/>
      <c r="C4731" s="4561" t="n"/>
      <c r="D4731" s="4561" t="n"/>
      <c r="E4731" s="4561" t="n"/>
      <c r="F4731" s="4561" t="n"/>
      <c r="G4731" s="4561" t="n"/>
      <c r="H4731" s="4561" t="n"/>
      <c r="I4731" s="4562">
        <f>XLOOKUP(B4731,'_Sys|Line_Map'!$A:$A,'_Sys|Line_Map'!$C:$C,"MISSING",0)</f>
        <v/>
      </c>
      <c r="J4731" s="4562">
        <f>XLOOKUP(B4731,'_Sys|Line_Map'!$A:$A,'_Sys|Line_Map'!$D:$D,1,0)</f>
        <v/>
      </c>
      <c r="K4731" s="4562">
        <f>IF(D4731="","",D4731*J4731)</f>
        <v/>
      </c>
      <c r="L4731" s="4562">
        <f>XLOOKUP(B4731,'_Sys|Line_Map'!$A:$A,'_Sys|Line_Map'!$B:$B,"MISSING",0)</f>
        <v/>
      </c>
    </row>
    <row r="4732">
      <c r="A4732" s="4561" t="n"/>
      <c r="B4732" s="4561" t="n"/>
      <c r="C4732" s="4561" t="n"/>
      <c r="D4732" s="4561" t="n"/>
      <c r="E4732" s="4561" t="n"/>
      <c r="F4732" s="4561" t="n"/>
      <c r="G4732" s="4561" t="n"/>
      <c r="H4732" s="4561" t="n"/>
      <c r="I4732" s="4562">
        <f>XLOOKUP(B4732,'_Sys|Line_Map'!$A:$A,'_Sys|Line_Map'!$C:$C,"MISSING",0)</f>
        <v/>
      </c>
      <c r="J4732" s="4562">
        <f>XLOOKUP(B4732,'_Sys|Line_Map'!$A:$A,'_Sys|Line_Map'!$D:$D,1,0)</f>
        <v/>
      </c>
      <c r="K4732" s="4562">
        <f>IF(D4732="","",D4732*J4732)</f>
        <v/>
      </c>
      <c r="L4732" s="4562">
        <f>XLOOKUP(B4732,'_Sys|Line_Map'!$A:$A,'_Sys|Line_Map'!$B:$B,"MISSING",0)</f>
        <v/>
      </c>
    </row>
    <row r="4733">
      <c r="A4733" s="4561" t="n"/>
      <c r="B4733" s="4561" t="n"/>
      <c r="C4733" s="4561" t="n"/>
      <c r="D4733" s="4561" t="n"/>
      <c r="E4733" s="4561" t="n"/>
      <c r="F4733" s="4561" t="n"/>
      <c r="G4733" s="4561" t="n"/>
      <c r="H4733" s="4561" t="n"/>
      <c r="I4733" s="4562">
        <f>XLOOKUP(B4733,'_Sys|Line_Map'!$A:$A,'_Sys|Line_Map'!$C:$C,"MISSING",0)</f>
        <v/>
      </c>
      <c r="J4733" s="4562">
        <f>XLOOKUP(B4733,'_Sys|Line_Map'!$A:$A,'_Sys|Line_Map'!$D:$D,1,0)</f>
        <v/>
      </c>
      <c r="K4733" s="4562">
        <f>IF(D4733="","",D4733*J4733)</f>
        <v/>
      </c>
      <c r="L4733" s="4562">
        <f>XLOOKUP(B4733,'_Sys|Line_Map'!$A:$A,'_Sys|Line_Map'!$B:$B,"MISSING",0)</f>
        <v/>
      </c>
    </row>
    <row r="4734">
      <c r="A4734" s="4561" t="n"/>
      <c r="B4734" s="4561" t="n"/>
      <c r="C4734" s="4561" t="n"/>
      <c r="D4734" s="4561" t="n"/>
      <c r="E4734" s="4561" t="n"/>
      <c r="F4734" s="4561" t="n"/>
      <c r="G4734" s="4561" t="n"/>
      <c r="H4734" s="4561" t="n"/>
      <c r="I4734" s="4562">
        <f>XLOOKUP(B4734,'_Sys|Line_Map'!$A:$A,'_Sys|Line_Map'!$C:$C,"MISSING",0)</f>
        <v/>
      </c>
      <c r="J4734" s="4562">
        <f>XLOOKUP(B4734,'_Sys|Line_Map'!$A:$A,'_Sys|Line_Map'!$D:$D,1,0)</f>
        <v/>
      </c>
      <c r="K4734" s="4562">
        <f>IF(D4734="","",D4734*J4734)</f>
        <v/>
      </c>
      <c r="L4734" s="4562">
        <f>XLOOKUP(B4734,'_Sys|Line_Map'!$A:$A,'_Sys|Line_Map'!$B:$B,"MISSING",0)</f>
        <v/>
      </c>
    </row>
    <row r="4735">
      <c r="A4735" s="4561" t="n"/>
      <c r="B4735" s="4561" t="n"/>
      <c r="C4735" s="4561" t="n"/>
      <c r="D4735" s="4561" t="n"/>
      <c r="E4735" s="4561" t="n"/>
      <c r="F4735" s="4561" t="n"/>
      <c r="G4735" s="4561" t="n"/>
      <c r="H4735" s="4561" t="n"/>
      <c r="I4735" s="4562">
        <f>XLOOKUP(B4735,'_Sys|Line_Map'!$A:$A,'_Sys|Line_Map'!$C:$C,"MISSING",0)</f>
        <v/>
      </c>
      <c r="J4735" s="4562">
        <f>XLOOKUP(B4735,'_Sys|Line_Map'!$A:$A,'_Sys|Line_Map'!$D:$D,1,0)</f>
        <v/>
      </c>
      <c r="K4735" s="4562">
        <f>IF(D4735="","",D4735*J4735)</f>
        <v/>
      </c>
      <c r="L4735" s="4562">
        <f>XLOOKUP(B4735,'_Sys|Line_Map'!$A:$A,'_Sys|Line_Map'!$B:$B,"MISSING",0)</f>
        <v/>
      </c>
    </row>
    <row r="4736">
      <c r="A4736" s="4561" t="n"/>
      <c r="B4736" s="4561" t="n"/>
      <c r="C4736" s="4561" t="n"/>
      <c r="D4736" s="4561" t="n"/>
      <c r="E4736" s="4561" t="n"/>
      <c r="F4736" s="4561" t="n"/>
      <c r="G4736" s="4561" t="n"/>
      <c r="H4736" s="4561" t="n"/>
      <c r="I4736" s="4562">
        <f>XLOOKUP(B4736,'_Sys|Line_Map'!$A:$A,'_Sys|Line_Map'!$C:$C,"MISSING",0)</f>
        <v/>
      </c>
      <c r="J4736" s="4562">
        <f>XLOOKUP(B4736,'_Sys|Line_Map'!$A:$A,'_Sys|Line_Map'!$D:$D,1,0)</f>
        <v/>
      </c>
      <c r="K4736" s="4562">
        <f>IF(D4736="","",D4736*J4736)</f>
        <v/>
      </c>
      <c r="L4736" s="4562">
        <f>XLOOKUP(B4736,'_Sys|Line_Map'!$A:$A,'_Sys|Line_Map'!$B:$B,"MISSING",0)</f>
        <v/>
      </c>
    </row>
    <row r="4737">
      <c r="A4737" s="4561" t="n"/>
      <c r="B4737" s="4561" t="n"/>
      <c r="C4737" s="4561" t="n"/>
      <c r="D4737" s="4561" t="n"/>
      <c r="E4737" s="4561" t="n"/>
      <c r="F4737" s="4561" t="n"/>
      <c r="G4737" s="4561" t="n"/>
      <c r="H4737" s="4561" t="n"/>
      <c r="I4737" s="4562">
        <f>XLOOKUP(B4737,'_Sys|Line_Map'!$A:$A,'_Sys|Line_Map'!$C:$C,"MISSING",0)</f>
        <v/>
      </c>
      <c r="J4737" s="4562">
        <f>XLOOKUP(B4737,'_Sys|Line_Map'!$A:$A,'_Sys|Line_Map'!$D:$D,1,0)</f>
        <v/>
      </c>
      <c r="K4737" s="4562">
        <f>IF(D4737="","",D4737*J4737)</f>
        <v/>
      </c>
      <c r="L4737" s="4562">
        <f>XLOOKUP(B4737,'_Sys|Line_Map'!$A:$A,'_Sys|Line_Map'!$B:$B,"MISSING",0)</f>
        <v/>
      </c>
    </row>
    <row r="4738">
      <c r="A4738" s="4561" t="n"/>
      <c r="B4738" s="4561" t="n"/>
      <c r="C4738" s="4561" t="n"/>
      <c r="D4738" s="4561" t="n"/>
      <c r="E4738" s="4561" t="n"/>
      <c r="F4738" s="4561" t="n"/>
      <c r="G4738" s="4561" t="n"/>
      <c r="H4738" s="4561" t="n"/>
      <c r="I4738" s="4562">
        <f>XLOOKUP(B4738,'_Sys|Line_Map'!$A:$A,'_Sys|Line_Map'!$C:$C,"MISSING",0)</f>
        <v/>
      </c>
      <c r="J4738" s="4562">
        <f>XLOOKUP(B4738,'_Sys|Line_Map'!$A:$A,'_Sys|Line_Map'!$D:$D,1,0)</f>
        <v/>
      </c>
      <c r="K4738" s="4562">
        <f>IF(D4738="","",D4738*J4738)</f>
        <v/>
      </c>
      <c r="L4738" s="4562">
        <f>XLOOKUP(B4738,'_Sys|Line_Map'!$A:$A,'_Sys|Line_Map'!$B:$B,"MISSING",0)</f>
        <v/>
      </c>
    </row>
    <row r="4739">
      <c r="A4739" s="4561" t="n"/>
      <c r="B4739" s="4561" t="n"/>
      <c r="C4739" s="4561" t="n"/>
      <c r="D4739" s="4561" t="n"/>
      <c r="E4739" s="4561" t="n"/>
      <c r="F4739" s="4561" t="n"/>
      <c r="G4739" s="4561" t="n"/>
      <c r="H4739" s="4561" t="n"/>
      <c r="I4739" s="4562">
        <f>XLOOKUP(B4739,'_Sys|Line_Map'!$A:$A,'_Sys|Line_Map'!$C:$C,"MISSING",0)</f>
        <v/>
      </c>
      <c r="J4739" s="4562">
        <f>XLOOKUP(B4739,'_Sys|Line_Map'!$A:$A,'_Sys|Line_Map'!$D:$D,1,0)</f>
        <v/>
      </c>
      <c r="K4739" s="4562">
        <f>IF(D4739="","",D4739*J4739)</f>
        <v/>
      </c>
      <c r="L4739" s="4562">
        <f>XLOOKUP(B4739,'_Sys|Line_Map'!$A:$A,'_Sys|Line_Map'!$B:$B,"MISSING",0)</f>
        <v/>
      </c>
    </row>
    <row r="4740">
      <c r="A4740" s="4561" t="n"/>
      <c r="B4740" s="4561" t="n"/>
      <c r="C4740" s="4561" t="n"/>
      <c r="D4740" s="4561" t="n"/>
      <c r="E4740" s="4561" t="n"/>
      <c r="F4740" s="4561" t="n"/>
      <c r="G4740" s="4561" t="n"/>
      <c r="H4740" s="4561" t="n"/>
      <c r="I4740" s="4562">
        <f>XLOOKUP(B4740,'_Sys|Line_Map'!$A:$A,'_Sys|Line_Map'!$C:$C,"MISSING",0)</f>
        <v/>
      </c>
      <c r="J4740" s="4562">
        <f>XLOOKUP(B4740,'_Sys|Line_Map'!$A:$A,'_Sys|Line_Map'!$D:$D,1,0)</f>
        <v/>
      </c>
      <c r="K4740" s="4562">
        <f>IF(D4740="","",D4740*J4740)</f>
        <v/>
      </c>
      <c r="L4740" s="4562">
        <f>XLOOKUP(B4740,'_Sys|Line_Map'!$A:$A,'_Sys|Line_Map'!$B:$B,"MISSING",0)</f>
        <v/>
      </c>
    </row>
    <row r="4741">
      <c r="A4741" s="4561" t="n"/>
      <c r="B4741" s="4561" t="n"/>
      <c r="C4741" s="4561" t="n"/>
      <c r="D4741" s="4561" t="n"/>
      <c r="E4741" s="4561" t="n"/>
      <c r="F4741" s="4561" t="n"/>
      <c r="G4741" s="4561" t="n"/>
      <c r="H4741" s="4561" t="n"/>
      <c r="I4741" s="4562">
        <f>XLOOKUP(B4741,'_Sys|Line_Map'!$A:$A,'_Sys|Line_Map'!$C:$C,"MISSING",0)</f>
        <v/>
      </c>
      <c r="J4741" s="4562">
        <f>XLOOKUP(B4741,'_Sys|Line_Map'!$A:$A,'_Sys|Line_Map'!$D:$D,1,0)</f>
        <v/>
      </c>
      <c r="K4741" s="4562">
        <f>IF(D4741="","",D4741*J4741)</f>
        <v/>
      </c>
      <c r="L4741" s="4562">
        <f>XLOOKUP(B4741,'_Sys|Line_Map'!$A:$A,'_Sys|Line_Map'!$B:$B,"MISSING",0)</f>
        <v/>
      </c>
    </row>
    <row r="4742">
      <c r="A4742" s="4561" t="n"/>
      <c r="B4742" s="4561" t="n"/>
      <c r="C4742" s="4561" t="n"/>
      <c r="D4742" s="4561" t="n"/>
      <c r="E4742" s="4561" t="n"/>
      <c r="F4742" s="4561" t="n"/>
      <c r="G4742" s="4561" t="n"/>
      <c r="H4742" s="4561" t="n"/>
      <c r="I4742" s="4562">
        <f>XLOOKUP(B4742,'_Sys|Line_Map'!$A:$A,'_Sys|Line_Map'!$C:$C,"MISSING",0)</f>
        <v/>
      </c>
      <c r="J4742" s="4562">
        <f>XLOOKUP(B4742,'_Sys|Line_Map'!$A:$A,'_Sys|Line_Map'!$D:$D,1,0)</f>
        <v/>
      </c>
      <c r="K4742" s="4562">
        <f>IF(D4742="","",D4742*J4742)</f>
        <v/>
      </c>
      <c r="L4742" s="4562">
        <f>XLOOKUP(B4742,'_Sys|Line_Map'!$A:$A,'_Sys|Line_Map'!$B:$B,"MISSING",0)</f>
        <v/>
      </c>
    </row>
    <row r="4743">
      <c r="A4743" s="4561" t="n"/>
      <c r="B4743" s="4561" t="n"/>
      <c r="C4743" s="4561" t="n"/>
      <c r="D4743" s="4561" t="n"/>
      <c r="E4743" s="4561" t="n"/>
      <c r="F4743" s="4561" t="n"/>
      <c r="G4743" s="4561" t="n"/>
      <c r="H4743" s="4561" t="n"/>
      <c r="I4743" s="4562">
        <f>XLOOKUP(B4743,'_Sys|Line_Map'!$A:$A,'_Sys|Line_Map'!$C:$C,"MISSING",0)</f>
        <v/>
      </c>
      <c r="J4743" s="4562">
        <f>XLOOKUP(B4743,'_Sys|Line_Map'!$A:$A,'_Sys|Line_Map'!$D:$D,1,0)</f>
        <v/>
      </c>
      <c r="K4743" s="4562">
        <f>IF(D4743="","",D4743*J4743)</f>
        <v/>
      </c>
      <c r="L4743" s="4562">
        <f>XLOOKUP(B4743,'_Sys|Line_Map'!$A:$A,'_Sys|Line_Map'!$B:$B,"MISSING",0)</f>
        <v/>
      </c>
    </row>
    <row r="4744">
      <c r="A4744" s="4561" t="n"/>
      <c r="B4744" s="4561" t="n"/>
      <c r="C4744" s="4561" t="n"/>
      <c r="D4744" s="4561" t="n"/>
      <c r="E4744" s="4561" t="n"/>
      <c r="F4744" s="4561" t="n"/>
      <c r="G4744" s="4561" t="n"/>
      <c r="H4744" s="4561" t="n"/>
      <c r="I4744" s="4562">
        <f>XLOOKUP(B4744,'_Sys|Line_Map'!$A:$A,'_Sys|Line_Map'!$C:$C,"MISSING",0)</f>
        <v/>
      </c>
      <c r="J4744" s="4562">
        <f>XLOOKUP(B4744,'_Sys|Line_Map'!$A:$A,'_Sys|Line_Map'!$D:$D,1,0)</f>
        <v/>
      </c>
      <c r="K4744" s="4562">
        <f>IF(D4744="","",D4744*J4744)</f>
        <v/>
      </c>
      <c r="L4744" s="4562">
        <f>XLOOKUP(B4744,'_Sys|Line_Map'!$A:$A,'_Sys|Line_Map'!$B:$B,"MISSING",0)</f>
        <v/>
      </c>
    </row>
    <row r="4745">
      <c r="A4745" s="4561" t="n"/>
      <c r="B4745" s="4561" t="n"/>
      <c r="C4745" s="4561" t="n"/>
      <c r="D4745" s="4561" t="n"/>
      <c r="E4745" s="4561" t="n"/>
      <c r="F4745" s="4561" t="n"/>
      <c r="G4745" s="4561" t="n"/>
      <c r="H4745" s="4561" t="n"/>
      <c r="I4745" s="4562">
        <f>XLOOKUP(B4745,'_Sys|Line_Map'!$A:$A,'_Sys|Line_Map'!$C:$C,"MISSING",0)</f>
        <v/>
      </c>
      <c r="J4745" s="4562">
        <f>XLOOKUP(B4745,'_Sys|Line_Map'!$A:$A,'_Sys|Line_Map'!$D:$D,1,0)</f>
        <v/>
      </c>
      <c r="K4745" s="4562">
        <f>IF(D4745="","",D4745*J4745)</f>
        <v/>
      </c>
      <c r="L4745" s="4562">
        <f>XLOOKUP(B4745,'_Sys|Line_Map'!$A:$A,'_Sys|Line_Map'!$B:$B,"MISSING",0)</f>
        <v/>
      </c>
    </row>
    <row r="4746">
      <c r="A4746" s="4561" t="n"/>
      <c r="B4746" s="4561" t="n"/>
      <c r="C4746" s="4561" t="n"/>
      <c r="D4746" s="4561" t="n"/>
      <c r="E4746" s="4561" t="n"/>
      <c r="F4746" s="4561" t="n"/>
      <c r="G4746" s="4561" t="n"/>
      <c r="H4746" s="4561" t="n"/>
      <c r="I4746" s="4562">
        <f>XLOOKUP(B4746,'_Sys|Line_Map'!$A:$A,'_Sys|Line_Map'!$C:$C,"MISSING",0)</f>
        <v/>
      </c>
      <c r="J4746" s="4562">
        <f>XLOOKUP(B4746,'_Sys|Line_Map'!$A:$A,'_Sys|Line_Map'!$D:$D,1,0)</f>
        <v/>
      </c>
      <c r="K4746" s="4562">
        <f>IF(D4746="","",D4746*J4746)</f>
        <v/>
      </c>
      <c r="L4746" s="4562">
        <f>XLOOKUP(B4746,'_Sys|Line_Map'!$A:$A,'_Sys|Line_Map'!$B:$B,"MISSING",0)</f>
        <v/>
      </c>
    </row>
    <row r="4747">
      <c r="A4747" s="4561" t="n"/>
      <c r="B4747" s="4561" t="n"/>
      <c r="C4747" s="4561" t="n"/>
      <c r="D4747" s="4561" t="n"/>
      <c r="E4747" s="4561" t="n"/>
      <c r="F4747" s="4561" t="n"/>
      <c r="G4747" s="4561" t="n"/>
      <c r="H4747" s="4561" t="n"/>
      <c r="I4747" s="4562">
        <f>XLOOKUP(B4747,'_Sys|Line_Map'!$A:$A,'_Sys|Line_Map'!$C:$C,"MISSING",0)</f>
        <v/>
      </c>
      <c r="J4747" s="4562">
        <f>XLOOKUP(B4747,'_Sys|Line_Map'!$A:$A,'_Sys|Line_Map'!$D:$D,1,0)</f>
        <v/>
      </c>
      <c r="K4747" s="4562">
        <f>IF(D4747="","",D4747*J4747)</f>
        <v/>
      </c>
      <c r="L4747" s="4562">
        <f>XLOOKUP(B4747,'_Sys|Line_Map'!$A:$A,'_Sys|Line_Map'!$B:$B,"MISSING",0)</f>
        <v/>
      </c>
    </row>
    <row r="4748">
      <c r="A4748" s="4561" t="n"/>
      <c r="B4748" s="4561" t="n"/>
      <c r="C4748" s="4561" t="n"/>
      <c r="D4748" s="4561" t="n"/>
      <c r="E4748" s="4561" t="n"/>
      <c r="F4748" s="4561" t="n"/>
      <c r="G4748" s="4561" t="n"/>
      <c r="H4748" s="4561" t="n"/>
      <c r="I4748" s="4562">
        <f>XLOOKUP(B4748,'_Sys|Line_Map'!$A:$A,'_Sys|Line_Map'!$C:$C,"MISSING",0)</f>
        <v/>
      </c>
      <c r="J4748" s="4562">
        <f>XLOOKUP(B4748,'_Sys|Line_Map'!$A:$A,'_Sys|Line_Map'!$D:$D,1,0)</f>
        <v/>
      </c>
      <c r="K4748" s="4562">
        <f>IF(D4748="","",D4748*J4748)</f>
        <v/>
      </c>
      <c r="L4748" s="4562">
        <f>XLOOKUP(B4748,'_Sys|Line_Map'!$A:$A,'_Sys|Line_Map'!$B:$B,"MISSING",0)</f>
        <v/>
      </c>
    </row>
    <row r="4749">
      <c r="A4749" s="4561" t="n"/>
      <c r="B4749" s="4561" t="n"/>
      <c r="C4749" s="4561" t="n"/>
      <c r="D4749" s="4561" t="n"/>
      <c r="E4749" s="4561" t="n"/>
      <c r="F4749" s="4561" t="n"/>
      <c r="G4749" s="4561" t="n"/>
      <c r="H4749" s="4561" t="n"/>
      <c r="I4749" s="4562">
        <f>XLOOKUP(B4749,'_Sys|Line_Map'!$A:$A,'_Sys|Line_Map'!$C:$C,"MISSING",0)</f>
        <v/>
      </c>
      <c r="J4749" s="4562">
        <f>XLOOKUP(B4749,'_Sys|Line_Map'!$A:$A,'_Sys|Line_Map'!$D:$D,1,0)</f>
        <v/>
      </c>
      <c r="K4749" s="4562">
        <f>IF(D4749="","",D4749*J4749)</f>
        <v/>
      </c>
      <c r="L4749" s="4562">
        <f>XLOOKUP(B4749,'_Sys|Line_Map'!$A:$A,'_Sys|Line_Map'!$B:$B,"MISSING",0)</f>
        <v/>
      </c>
    </row>
    <row r="4750">
      <c r="A4750" s="4561" t="n"/>
      <c r="B4750" s="4561" t="n"/>
      <c r="C4750" s="4561" t="n"/>
      <c r="D4750" s="4561" t="n"/>
      <c r="E4750" s="4561" t="n"/>
      <c r="F4750" s="4561" t="n"/>
      <c r="G4750" s="4561" t="n"/>
      <c r="H4750" s="4561" t="n"/>
      <c r="I4750" s="4562">
        <f>XLOOKUP(B4750,'_Sys|Line_Map'!$A:$A,'_Sys|Line_Map'!$C:$C,"MISSING",0)</f>
        <v/>
      </c>
      <c r="J4750" s="4562">
        <f>XLOOKUP(B4750,'_Sys|Line_Map'!$A:$A,'_Sys|Line_Map'!$D:$D,1,0)</f>
        <v/>
      </c>
      <c r="K4750" s="4562">
        <f>IF(D4750="","",D4750*J4750)</f>
        <v/>
      </c>
      <c r="L4750" s="4562">
        <f>XLOOKUP(B4750,'_Sys|Line_Map'!$A:$A,'_Sys|Line_Map'!$B:$B,"MISSING",0)</f>
        <v/>
      </c>
    </row>
    <row r="4751">
      <c r="A4751" s="4561" t="n"/>
      <c r="B4751" s="4561" t="n"/>
      <c r="C4751" s="4561" t="n"/>
      <c r="D4751" s="4561" t="n"/>
      <c r="E4751" s="4561" t="n"/>
      <c r="F4751" s="4561" t="n"/>
      <c r="G4751" s="4561" t="n"/>
      <c r="H4751" s="4561" t="n"/>
      <c r="I4751" s="4562">
        <f>XLOOKUP(B4751,'_Sys|Line_Map'!$A:$A,'_Sys|Line_Map'!$C:$C,"MISSING",0)</f>
        <v/>
      </c>
      <c r="J4751" s="4562">
        <f>XLOOKUP(B4751,'_Sys|Line_Map'!$A:$A,'_Sys|Line_Map'!$D:$D,1,0)</f>
        <v/>
      </c>
      <c r="K4751" s="4562">
        <f>IF(D4751="","",D4751*J4751)</f>
        <v/>
      </c>
      <c r="L4751" s="4562">
        <f>XLOOKUP(B4751,'_Sys|Line_Map'!$A:$A,'_Sys|Line_Map'!$B:$B,"MISSING",0)</f>
        <v/>
      </c>
    </row>
    <row r="4752">
      <c r="A4752" s="4561" t="n"/>
      <c r="B4752" s="4561" t="n"/>
      <c r="C4752" s="4561" t="n"/>
      <c r="D4752" s="4561" t="n"/>
      <c r="E4752" s="4561" t="n"/>
      <c r="F4752" s="4561" t="n"/>
      <c r="G4752" s="4561" t="n"/>
      <c r="H4752" s="4561" t="n"/>
      <c r="I4752" s="4562">
        <f>XLOOKUP(B4752,'_Sys|Line_Map'!$A:$A,'_Sys|Line_Map'!$C:$C,"MISSING",0)</f>
        <v/>
      </c>
      <c r="J4752" s="4562">
        <f>XLOOKUP(B4752,'_Sys|Line_Map'!$A:$A,'_Sys|Line_Map'!$D:$D,1,0)</f>
        <v/>
      </c>
      <c r="K4752" s="4562">
        <f>IF(D4752="","",D4752*J4752)</f>
        <v/>
      </c>
      <c r="L4752" s="4562">
        <f>XLOOKUP(B4752,'_Sys|Line_Map'!$A:$A,'_Sys|Line_Map'!$B:$B,"MISSING",0)</f>
        <v/>
      </c>
    </row>
    <row r="4753">
      <c r="A4753" s="4561" t="n"/>
      <c r="B4753" s="4561" t="n"/>
      <c r="C4753" s="4561" t="n"/>
      <c r="D4753" s="4561" t="n"/>
      <c r="E4753" s="4561" t="n"/>
      <c r="F4753" s="4561" t="n"/>
      <c r="G4753" s="4561" t="n"/>
      <c r="H4753" s="4561" t="n"/>
      <c r="I4753" s="4562">
        <f>XLOOKUP(B4753,'_Sys|Line_Map'!$A:$A,'_Sys|Line_Map'!$C:$C,"MISSING",0)</f>
        <v/>
      </c>
      <c r="J4753" s="4562">
        <f>XLOOKUP(B4753,'_Sys|Line_Map'!$A:$A,'_Sys|Line_Map'!$D:$D,1,0)</f>
        <v/>
      </c>
      <c r="K4753" s="4562">
        <f>IF(D4753="","",D4753*J4753)</f>
        <v/>
      </c>
      <c r="L4753" s="4562">
        <f>XLOOKUP(B4753,'_Sys|Line_Map'!$A:$A,'_Sys|Line_Map'!$B:$B,"MISSING",0)</f>
        <v/>
      </c>
    </row>
    <row r="4754">
      <c r="A4754" s="4561" t="n"/>
      <c r="B4754" s="4561" t="n"/>
      <c r="C4754" s="4561" t="n"/>
      <c r="D4754" s="4561" t="n"/>
      <c r="E4754" s="4561" t="n"/>
      <c r="F4754" s="4561" t="n"/>
      <c r="G4754" s="4561" t="n"/>
      <c r="H4754" s="4561" t="n"/>
      <c r="I4754" s="4562">
        <f>XLOOKUP(B4754,'_Sys|Line_Map'!$A:$A,'_Sys|Line_Map'!$C:$C,"MISSING",0)</f>
        <v/>
      </c>
      <c r="J4754" s="4562">
        <f>XLOOKUP(B4754,'_Sys|Line_Map'!$A:$A,'_Sys|Line_Map'!$D:$D,1,0)</f>
        <v/>
      </c>
      <c r="K4754" s="4562">
        <f>IF(D4754="","",D4754*J4754)</f>
        <v/>
      </c>
      <c r="L4754" s="4562">
        <f>XLOOKUP(B4754,'_Sys|Line_Map'!$A:$A,'_Sys|Line_Map'!$B:$B,"MISSING",0)</f>
        <v/>
      </c>
    </row>
    <row r="4755">
      <c r="A4755" s="4561" t="n"/>
      <c r="B4755" s="4561" t="n"/>
      <c r="C4755" s="4561" t="n"/>
      <c r="D4755" s="4561" t="n"/>
      <c r="E4755" s="4561" t="n"/>
      <c r="F4755" s="4561" t="n"/>
      <c r="G4755" s="4561" t="n"/>
      <c r="H4755" s="4561" t="n"/>
      <c r="I4755" s="4562">
        <f>XLOOKUP(B4755,'_Sys|Line_Map'!$A:$A,'_Sys|Line_Map'!$C:$C,"MISSING",0)</f>
        <v/>
      </c>
      <c r="J4755" s="4562">
        <f>XLOOKUP(B4755,'_Sys|Line_Map'!$A:$A,'_Sys|Line_Map'!$D:$D,1,0)</f>
        <v/>
      </c>
      <c r="K4755" s="4562">
        <f>IF(D4755="","",D4755*J4755)</f>
        <v/>
      </c>
      <c r="L4755" s="4562">
        <f>XLOOKUP(B4755,'_Sys|Line_Map'!$A:$A,'_Sys|Line_Map'!$B:$B,"MISSING",0)</f>
        <v/>
      </c>
    </row>
    <row r="4756">
      <c r="A4756" s="4561" t="n"/>
      <c r="B4756" s="4561" t="n"/>
      <c r="C4756" s="4561" t="n"/>
      <c r="D4756" s="4561" t="n"/>
      <c r="E4756" s="4561" t="n"/>
      <c r="F4756" s="4561" t="n"/>
      <c r="G4756" s="4561" t="n"/>
      <c r="H4756" s="4561" t="n"/>
      <c r="I4756" s="4562">
        <f>XLOOKUP(B4756,'_Sys|Line_Map'!$A:$A,'_Sys|Line_Map'!$C:$C,"MISSING",0)</f>
        <v/>
      </c>
      <c r="J4756" s="4562">
        <f>XLOOKUP(B4756,'_Sys|Line_Map'!$A:$A,'_Sys|Line_Map'!$D:$D,1,0)</f>
        <v/>
      </c>
      <c r="K4756" s="4562">
        <f>IF(D4756="","",D4756*J4756)</f>
        <v/>
      </c>
      <c r="L4756" s="4562">
        <f>XLOOKUP(B4756,'_Sys|Line_Map'!$A:$A,'_Sys|Line_Map'!$B:$B,"MISSING",0)</f>
        <v/>
      </c>
    </row>
    <row r="4757">
      <c r="A4757" s="4561" t="n"/>
      <c r="B4757" s="4561" t="n"/>
      <c r="C4757" s="4561" t="n"/>
      <c r="D4757" s="4561" t="n"/>
      <c r="E4757" s="4561" t="n"/>
      <c r="F4757" s="4561" t="n"/>
      <c r="G4757" s="4561" t="n"/>
      <c r="H4757" s="4561" t="n"/>
      <c r="I4757" s="4562">
        <f>XLOOKUP(B4757,'_Sys|Line_Map'!$A:$A,'_Sys|Line_Map'!$C:$C,"MISSING",0)</f>
        <v/>
      </c>
      <c r="J4757" s="4562">
        <f>XLOOKUP(B4757,'_Sys|Line_Map'!$A:$A,'_Sys|Line_Map'!$D:$D,1,0)</f>
        <v/>
      </c>
      <c r="K4757" s="4562">
        <f>IF(D4757="","",D4757*J4757)</f>
        <v/>
      </c>
      <c r="L4757" s="4562">
        <f>XLOOKUP(B4757,'_Sys|Line_Map'!$A:$A,'_Sys|Line_Map'!$B:$B,"MISSING",0)</f>
        <v/>
      </c>
    </row>
    <row r="4758">
      <c r="A4758" s="4561" t="n"/>
      <c r="B4758" s="4561" t="n"/>
      <c r="C4758" s="4561" t="n"/>
      <c r="D4758" s="4561" t="n"/>
      <c r="E4758" s="4561" t="n"/>
      <c r="F4758" s="4561" t="n"/>
      <c r="G4758" s="4561" t="n"/>
      <c r="H4758" s="4561" t="n"/>
      <c r="I4758" s="4562">
        <f>XLOOKUP(B4758,'_Sys|Line_Map'!$A:$A,'_Sys|Line_Map'!$C:$C,"MISSING",0)</f>
        <v/>
      </c>
      <c r="J4758" s="4562">
        <f>XLOOKUP(B4758,'_Sys|Line_Map'!$A:$A,'_Sys|Line_Map'!$D:$D,1,0)</f>
        <v/>
      </c>
      <c r="K4758" s="4562">
        <f>IF(D4758="","",D4758*J4758)</f>
        <v/>
      </c>
      <c r="L4758" s="4562">
        <f>XLOOKUP(B4758,'_Sys|Line_Map'!$A:$A,'_Sys|Line_Map'!$B:$B,"MISSING",0)</f>
        <v/>
      </c>
    </row>
    <row r="4759">
      <c r="A4759" s="4561" t="n"/>
      <c r="B4759" s="4561" t="n"/>
      <c r="C4759" s="4561" t="n"/>
      <c r="D4759" s="4561" t="n"/>
      <c r="E4759" s="4561" t="n"/>
      <c r="F4759" s="4561" t="n"/>
      <c r="G4759" s="4561" t="n"/>
      <c r="H4759" s="4561" t="n"/>
      <c r="I4759" s="4562">
        <f>XLOOKUP(B4759,'_Sys|Line_Map'!$A:$A,'_Sys|Line_Map'!$C:$C,"MISSING",0)</f>
        <v/>
      </c>
      <c r="J4759" s="4562">
        <f>XLOOKUP(B4759,'_Sys|Line_Map'!$A:$A,'_Sys|Line_Map'!$D:$D,1,0)</f>
        <v/>
      </c>
      <c r="K4759" s="4562">
        <f>IF(D4759="","",D4759*J4759)</f>
        <v/>
      </c>
      <c r="L4759" s="4562">
        <f>XLOOKUP(B4759,'_Sys|Line_Map'!$A:$A,'_Sys|Line_Map'!$B:$B,"MISSING",0)</f>
        <v/>
      </c>
    </row>
    <row r="4760">
      <c r="A4760" s="4561" t="n"/>
      <c r="B4760" s="4561" t="n"/>
      <c r="C4760" s="4561" t="n"/>
      <c r="D4760" s="4561" t="n"/>
      <c r="E4760" s="4561" t="n"/>
      <c r="F4760" s="4561" t="n"/>
      <c r="G4760" s="4561" t="n"/>
      <c r="H4760" s="4561" t="n"/>
      <c r="I4760" s="4562">
        <f>XLOOKUP(B4760,'_Sys|Line_Map'!$A:$A,'_Sys|Line_Map'!$C:$C,"MISSING",0)</f>
        <v/>
      </c>
      <c r="J4760" s="4562">
        <f>XLOOKUP(B4760,'_Sys|Line_Map'!$A:$A,'_Sys|Line_Map'!$D:$D,1,0)</f>
        <v/>
      </c>
      <c r="K4760" s="4562">
        <f>IF(D4760="","",D4760*J4760)</f>
        <v/>
      </c>
      <c r="L4760" s="4562">
        <f>XLOOKUP(B4760,'_Sys|Line_Map'!$A:$A,'_Sys|Line_Map'!$B:$B,"MISSING",0)</f>
        <v/>
      </c>
    </row>
    <row r="4761">
      <c r="A4761" s="4561" t="n"/>
      <c r="B4761" s="4561" t="n"/>
      <c r="C4761" s="4561" t="n"/>
      <c r="D4761" s="4561" t="n"/>
      <c r="E4761" s="4561" t="n"/>
      <c r="F4761" s="4561" t="n"/>
      <c r="G4761" s="4561" t="n"/>
      <c r="H4761" s="4561" t="n"/>
      <c r="I4761" s="4562">
        <f>XLOOKUP(B4761,'_Sys|Line_Map'!$A:$A,'_Sys|Line_Map'!$C:$C,"MISSING",0)</f>
        <v/>
      </c>
      <c r="J4761" s="4562">
        <f>XLOOKUP(B4761,'_Sys|Line_Map'!$A:$A,'_Sys|Line_Map'!$D:$D,1,0)</f>
        <v/>
      </c>
      <c r="K4761" s="4562">
        <f>IF(D4761="","",D4761*J4761)</f>
        <v/>
      </c>
      <c r="L4761" s="4562">
        <f>XLOOKUP(B4761,'_Sys|Line_Map'!$A:$A,'_Sys|Line_Map'!$B:$B,"MISSING",0)</f>
        <v/>
      </c>
    </row>
    <row r="4762">
      <c r="A4762" s="4561" t="n"/>
      <c r="B4762" s="4561" t="n"/>
      <c r="C4762" s="4561" t="n"/>
      <c r="D4762" s="4561" t="n"/>
      <c r="E4762" s="4561" t="n"/>
      <c r="F4762" s="4561" t="n"/>
      <c r="G4762" s="4561" t="n"/>
      <c r="H4762" s="4561" t="n"/>
      <c r="I4762" s="4562">
        <f>XLOOKUP(B4762,'_Sys|Line_Map'!$A:$A,'_Sys|Line_Map'!$C:$C,"MISSING",0)</f>
        <v/>
      </c>
      <c r="J4762" s="4562">
        <f>XLOOKUP(B4762,'_Sys|Line_Map'!$A:$A,'_Sys|Line_Map'!$D:$D,1,0)</f>
        <v/>
      </c>
      <c r="K4762" s="4562">
        <f>IF(D4762="","",D4762*J4762)</f>
        <v/>
      </c>
      <c r="L4762" s="4562">
        <f>XLOOKUP(B4762,'_Sys|Line_Map'!$A:$A,'_Sys|Line_Map'!$B:$B,"MISSING",0)</f>
        <v/>
      </c>
    </row>
    <row r="4763">
      <c r="A4763" s="4561" t="n"/>
      <c r="B4763" s="4561" t="n"/>
      <c r="C4763" s="4561" t="n"/>
      <c r="D4763" s="4561" t="n"/>
      <c r="E4763" s="4561" t="n"/>
      <c r="F4763" s="4561" t="n"/>
      <c r="G4763" s="4561" t="n"/>
      <c r="H4763" s="4561" t="n"/>
      <c r="I4763" s="4562">
        <f>XLOOKUP(B4763,'_Sys|Line_Map'!$A:$A,'_Sys|Line_Map'!$C:$C,"MISSING",0)</f>
        <v/>
      </c>
      <c r="J4763" s="4562">
        <f>XLOOKUP(B4763,'_Sys|Line_Map'!$A:$A,'_Sys|Line_Map'!$D:$D,1,0)</f>
        <v/>
      </c>
      <c r="K4763" s="4562">
        <f>IF(D4763="","",D4763*J4763)</f>
        <v/>
      </c>
      <c r="L4763" s="4562">
        <f>XLOOKUP(B4763,'_Sys|Line_Map'!$A:$A,'_Sys|Line_Map'!$B:$B,"MISSING",0)</f>
        <v/>
      </c>
    </row>
    <row r="4764">
      <c r="A4764" s="4561" t="n"/>
      <c r="B4764" s="4561" t="n"/>
      <c r="C4764" s="4561" t="n"/>
      <c r="D4764" s="4561" t="n"/>
      <c r="E4764" s="4561" t="n"/>
      <c r="F4764" s="4561" t="n"/>
      <c r="G4764" s="4561" t="n"/>
      <c r="H4764" s="4561" t="n"/>
      <c r="I4764" s="4562">
        <f>XLOOKUP(B4764,'_Sys|Line_Map'!$A:$A,'_Sys|Line_Map'!$C:$C,"MISSING",0)</f>
        <v/>
      </c>
      <c r="J4764" s="4562">
        <f>XLOOKUP(B4764,'_Sys|Line_Map'!$A:$A,'_Sys|Line_Map'!$D:$D,1,0)</f>
        <v/>
      </c>
      <c r="K4764" s="4562">
        <f>IF(D4764="","",D4764*J4764)</f>
        <v/>
      </c>
      <c r="L4764" s="4562">
        <f>XLOOKUP(B4764,'_Sys|Line_Map'!$A:$A,'_Sys|Line_Map'!$B:$B,"MISSING",0)</f>
        <v/>
      </c>
    </row>
    <row r="4765">
      <c r="A4765" s="4561" t="n"/>
      <c r="B4765" s="4561" t="n"/>
      <c r="C4765" s="4561" t="n"/>
      <c r="D4765" s="4561" t="n"/>
      <c r="E4765" s="4561" t="n"/>
      <c r="F4765" s="4561" t="n"/>
      <c r="G4765" s="4561" t="n"/>
      <c r="H4765" s="4561" t="n"/>
      <c r="I4765" s="4562">
        <f>XLOOKUP(B4765,'_Sys|Line_Map'!$A:$A,'_Sys|Line_Map'!$C:$C,"MISSING",0)</f>
        <v/>
      </c>
      <c r="J4765" s="4562">
        <f>XLOOKUP(B4765,'_Sys|Line_Map'!$A:$A,'_Sys|Line_Map'!$D:$D,1,0)</f>
        <v/>
      </c>
      <c r="K4765" s="4562">
        <f>IF(D4765="","",D4765*J4765)</f>
        <v/>
      </c>
      <c r="L4765" s="4562">
        <f>XLOOKUP(B4765,'_Sys|Line_Map'!$A:$A,'_Sys|Line_Map'!$B:$B,"MISSING",0)</f>
        <v/>
      </c>
    </row>
    <row r="4766">
      <c r="A4766" s="4561" t="n"/>
      <c r="B4766" s="4561" t="n"/>
      <c r="C4766" s="4561" t="n"/>
      <c r="D4766" s="4561" t="n"/>
      <c r="E4766" s="4561" t="n"/>
      <c r="F4766" s="4561" t="n"/>
      <c r="G4766" s="4561" t="n"/>
      <c r="H4766" s="4561" t="n"/>
      <c r="I4766" s="4562">
        <f>XLOOKUP(B4766,'_Sys|Line_Map'!$A:$A,'_Sys|Line_Map'!$C:$C,"MISSING",0)</f>
        <v/>
      </c>
      <c r="J4766" s="4562">
        <f>XLOOKUP(B4766,'_Sys|Line_Map'!$A:$A,'_Sys|Line_Map'!$D:$D,1,0)</f>
        <v/>
      </c>
      <c r="K4766" s="4562">
        <f>IF(D4766="","",D4766*J4766)</f>
        <v/>
      </c>
      <c r="L4766" s="4562">
        <f>XLOOKUP(B4766,'_Sys|Line_Map'!$A:$A,'_Sys|Line_Map'!$B:$B,"MISSING",0)</f>
        <v/>
      </c>
    </row>
    <row r="4767">
      <c r="A4767" s="4561" t="n"/>
      <c r="B4767" s="4561" t="n"/>
      <c r="C4767" s="4561" t="n"/>
      <c r="D4767" s="4561" t="n"/>
      <c r="E4767" s="4561" t="n"/>
      <c r="F4767" s="4561" t="n"/>
      <c r="G4767" s="4561" t="n"/>
      <c r="H4767" s="4561" t="n"/>
      <c r="I4767" s="4562">
        <f>XLOOKUP(B4767,'_Sys|Line_Map'!$A:$A,'_Sys|Line_Map'!$C:$C,"MISSING",0)</f>
        <v/>
      </c>
      <c r="J4767" s="4562">
        <f>XLOOKUP(B4767,'_Sys|Line_Map'!$A:$A,'_Sys|Line_Map'!$D:$D,1,0)</f>
        <v/>
      </c>
      <c r="K4767" s="4562">
        <f>IF(D4767="","",D4767*J4767)</f>
        <v/>
      </c>
      <c r="L4767" s="4562">
        <f>XLOOKUP(B4767,'_Sys|Line_Map'!$A:$A,'_Sys|Line_Map'!$B:$B,"MISSING",0)</f>
        <v/>
      </c>
    </row>
    <row r="4768">
      <c r="A4768" s="4561" t="n"/>
      <c r="B4768" s="4561" t="n"/>
      <c r="C4768" s="4561" t="n"/>
      <c r="D4768" s="4561" t="n"/>
      <c r="E4768" s="4561" t="n"/>
      <c r="F4768" s="4561" t="n"/>
      <c r="G4768" s="4561" t="n"/>
      <c r="H4768" s="4561" t="n"/>
      <c r="I4768" s="4562">
        <f>XLOOKUP(B4768,'_Sys|Line_Map'!$A:$A,'_Sys|Line_Map'!$C:$C,"MISSING",0)</f>
        <v/>
      </c>
      <c r="J4768" s="4562">
        <f>XLOOKUP(B4768,'_Sys|Line_Map'!$A:$A,'_Sys|Line_Map'!$D:$D,1,0)</f>
        <v/>
      </c>
      <c r="K4768" s="4562">
        <f>IF(D4768="","",D4768*J4768)</f>
        <v/>
      </c>
      <c r="L4768" s="4562">
        <f>XLOOKUP(B4768,'_Sys|Line_Map'!$A:$A,'_Sys|Line_Map'!$B:$B,"MISSING",0)</f>
        <v/>
      </c>
    </row>
    <row r="4769">
      <c r="A4769" s="4561" t="n"/>
      <c r="B4769" s="4561" t="n"/>
      <c r="C4769" s="4561" t="n"/>
      <c r="D4769" s="4561" t="n"/>
      <c r="E4769" s="4561" t="n"/>
      <c r="F4769" s="4561" t="n"/>
      <c r="G4769" s="4561" t="n"/>
      <c r="H4769" s="4561" t="n"/>
      <c r="I4769" s="4562">
        <f>XLOOKUP(B4769,'_Sys|Line_Map'!$A:$A,'_Sys|Line_Map'!$C:$C,"MISSING",0)</f>
        <v/>
      </c>
      <c r="J4769" s="4562">
        <f>XLOOKUP(B4769,'_Sys|Line_Map'!$A:$A,'_Sys|Line_Map'!$D:$D,1,0)</f>
        <v/>
      </c>
      <c r="K4769" s="4562">
        <f>IF(D4769="","",D4769*J4769)</f>
        <v/>
      </c>
      <c r="L4769" s="4562">
        <f>XLOOKUP(B4769,'_Sys|Line_Map'!$A:$A,'_Sys|Line_Map'!$B:$B,"MISSING",0)</f>
        <v/>
      </c>
    </row>
    <row r="4770">
      <c r="A4770" s="4561" t="n"/>
      <c r="B4770" s="4561" t="n"/>
      <c r="C4770" s="4561" t="n"/>
      <c r="D4770" s="4561" t="n"/>
      <c r="E4770" s="4561" t="n"/>
      <c r="F4770" s="4561" t="n"/>
      <c r="G4770" s="4561" t="n"/>
      <c r="H4770" s="4561" t="n"/>
      <c r="I4770" s="4562">
        <f>XLOOKUP(B4770,'_Sys|Line_Map'!$A:$A,'_Sys|Line_Map'!$C:$C,"MISSING",0)</f>
        <v/>
      </c>
      <c r="J4770" s="4562">
        <f>XLOOKUP(B4770,'_Sys|Line_Map'!$A:$A,'_Sys|Line_Map'!$D:$D,1,0)</f>
        <v/>
      </c>
      <c r="K4770" s="4562">
        <f>IF(D4770="","",D4770*J4770)</f>
        <v/>
      </c>
      <c r="L4770" s="4562">
        <f>XLOOKUP(B4770,'_Sys|Line_Map'!$A:$A,'_Sys|Line_Map'!$B:$B,"MISSING",0)</f>
        <v/>
      </c>
    </row>
    <row r="4771">
      <c r="A4771" s="4561" t="n"/>
      <c r="B4771" s="4561" t="n"/>
      <c r="C4771" s="4561" t="n"/>
      <c r="D4771" s="4561" t="n"/>
      <c r="E4771" s="4561" t="n"/>
      <c r="F4771" s="4561" t="n"/>
      <c r="G4771" s="4561" t="n"/>
      <c r="H4771" s="4561" t="n"/>
      <c r="I4771" s="4562">
        <f>XLOOKUP(B4771,'_Sys|Line_Map'!$A:$A,'_Sys|Line_Map'!$C:$C,"MISSING",0)</f>
        <v/>
      </c>
      <c r="J4771" s="4562">
        <f>XLOOKUP(B4771,'_Sys|Line_Map'!$A:$A,'_Sys|Line_Map'!$D:$D,1,0)</f>
        <v/>
      </c>
      <c r="K4771" s="4562">
        <f>IF(D4771="","",D4771*J4771)</f>
        <v/>
      </c>
      <c r="L4771" s="4562">
        <f>XLOOKUP(B4771,'_Sys|Line_Map'!$A:$A,'_Sys|Line_Map'!$B:$B,"MISSING",0)</f>
        <v/>
      </c>
    </row>
    <row r="4772">
      <c r="A4772" s="4561" t="n"/>
      <c r="B4772" s="4561" t="n"/>
      <c r="C4772" s="4561" t="n"/>
      <c r="D4772" s="4561" t="n"/>
      <c r="E4772" s="4561" t="n"/>
      <c r="F4772" s="4561" t="n"/>
      <c r="G4772" s="4561" t="n"/>
      <c r="H4772" s="4561" t="n"/>
      <c r="I4772" s="4562">
        <f>XLOOKUP(B4772,'_Sys|Line_Map'!$A:$A,'_Sys|Line_Map'!$C:$C,"MISSING",0)</f>
        <v/>
      </c>
      <c r="J4772" s="4562">
        <f>XLOOKUP(B4772,'_Sys|Line_Map'!$A:$A,'_Sys|Line_Map'!$D:$D,1,0)</f>
        <v/>
      </c>
      <c r="K4772" s="4562">
        <f>IF(D4772="","",D4772*J4772)</f>
        <v/>
      </c>
      <c r="L4772" s="4562">
        <f>XLOOKUP(B4772,'_Sys|Line_Map'!$A:$A,'_Sys|Line_Map'!$B:$B,"MISSING",0)</f>
        <v/>
      </c>
    </row>
    <row r="4773">
      <c r="A4773" s="4561" t="n"/>
      <c r="B4773" s="4561" t="n"/>
      <c r="C4773" s="4561" t="n"/>
      <c r="D4773" s="4561" t="n"/>
      <c r="E4773" s="4561" t="n"/>
      <c r="F4773" s="4561" t="n"/>
      <c r="G4773" s="4561" t="n"/>
      <c r="H4773" s="4561" t="n"/>
      <c r="I4773" s="4562">
        <f>XLOOKUP(B4773,'_Sys|Line_Map'!$A:$A,'_Sys|Line_Map'!$C:$C,"MISSING",0)</f>
        <v/>
      </c>
      <c r="J4773" s="4562">
        <f>XLOOKUP(B4773,'_Sys|Line_Map'!$A:$A,'_Sys|Line_Map'!$D:$D,1,0)</f>
        <v/>
      </c>
      <c r="K4773" s="4562">
        <f>IF(D4773="","",D4773*J4773)</f>
        <v/>
      </c>
      <c r="L4773" s="4562">
        <f>XLOOKUP(B4773,'_Sys|Line_Map'!$A:$A,'_Sys|Line_Map'!$B:$B,"MISSING",0)</f>
        <v/>
      </c>
    </row>
    <row r="4774">
      <c r="A4774" s="4561" t="n"/>
      <c r="B4774" s="4561" t="n"/>
      <c r="C4774" s="4561" t="n"/>
      <c r="D4774" s="4561" t="n"/>
      <c r="E4774" s="4561" t="n"/>
      <c r="F4774" s="4561" t="n"/>
      <c r="G4774" s="4561" t="n"/>
      <c r="H4774" s="4561" t="n"/>
      <c r="I4774" s="4562">
        <f>XLOOKUP(B4774,'_Sys|Line_Map'!$A:$A,'_Sys|Line_Map'!$C:$C,"MISSING",0)</f>
        <v/>
      </c>
      <c r="J4774" s="4562">
        <f>XLOOKUP(B4774,'_Sys|Line_Map'!$A:$A,'_Sys|Line_Map'!$D:$D,1,0)</f>
        <v/>
      </c>
      <c r="K4774" s="4562">
        <f>IF(D4774="","",D4774*J4774)</f>
        <v/>
      </c>
      <c r="L4774" s="4562">
        <f>XLOOKUP(B4774,'_Sys|Line_Map'!$A:$A,'_Sys|Line_Map'!$B:$B,"MISSING",0)</f>
        <v/>
      </c>
    </row>
    <row r="4775">
      <c r="A4775" s="4561" t="n"/>
      <c r="B4775" s="4561" t="n"/>
      <c r="C4775" s="4561" t="n"/>
      <c r="D4775" s="4561" t="n"/>
      <c r="E4775" s="4561" t="n"/>
      <c r="F4775" s="4561" t="n"/>
      <c r="G4775" s="4561" t="n"/>
      <c r="H4775" s="4561" t="n"/>
      <c r="I4775" s="4562">
        <f>XLOOKUP(B4775,'_Sys|Line_Map'!$A:$A,'_Sys|Line_Map'!$C:$C,"MISSING",0)</f>
        <v/>
      </c>
      <c r="J4775" s="4562">
        <f>XLOOKUP(B4775,'_Sys|Line_Map'!$A:$A,'_Sys|Line_Map'!$D:$D,1,0)</f>
        <v/>
      </c>
      <c r="K4775" s="4562">
        <f>IF(D4775="","",D4775*J4775)</f>
        <v/>
      </c>
      <c r="L4775" s="4562">
        <f>XLOOKUP(B4775,'_Sys|Line_Map'!$A:$A,'_Sys|Line_Map'!$B:$B,"MISSING",0)</f>
        <v/>
      </c>
    </row>
    <row r="4776">
      <c r="A4776" s="4561" t="n"/>
      <c r="B4776" s="4561" t="n"/>
      <c r="C4776" s="4561" t="n"/>
      <c r="D4776" s="4561" t="n"/>
      <c r="E4776" s="4561" t="n"/>
      <c r="F4776" s="4561" t="n"/>
      <c r="G4776" s="4561" t="n"/>
      <c r="H4776" s="4561" t="n"/>
      <c r="I4776" s="4562">
        <f>XLOOKUP(B4776,'_Sys|Line_Map'!$A:$A,'_Sys|Line_Map'!$C:$C,"MISSING",0)</f>
        <v/>
      </c>
      <c r="J4776" s="4562">
        <f>XLOOKUP(B4776,'_Sys|Line_Map'!$A:$A,'_Sys|Line_Map'!$D:$D,1,0)</f>
        <v/>
      </c>
      <c r="K4776" s="4562">
        <f>IF(D4776="","",D4776*J4776)</f>
        <v/>
      </c>
      <c r="L4776" s="4562">
        <f>XLOOKUP(B4776,'_Sys|Line_Map'!$A:$A,'_Sys|Line_Map'!$B:$B,"MISSING",0)</f>
        <v/>
      </c>
    </row>
    <row r="4777">
      <c r="A4777" s="4561" t="n"/>
      <c r="B4777" s="4561" t="n"/>
      <c r="C4777" s="4561" t="n"/>
      <c r="D4777" s="4561" t="n"/>
      <c r="E4777" s="4561" t="n"/>
      <c r="F4777" s="4561" t="n"/>
      <c r="G4777" s="4561" t="n"/>
      <c r="H4777" s="4561" t="n"/>
      <c r="I4777" s="4562">
        <f>XLOOKUP(B4777,'_Sys|Line_Map'!$A:$A,'_Sys|Line_Map'!$C:$C,"MISSING",0)</f>
        <v/>
      </c>
      <c r="J4777" s="4562">
        <f>XLOOKUP(B4777,'_Sys|Line_Map'!$A:$A,'_Sys|Line_Map'!$D:$D,1,0)</f>
        <v/>
      </c>
      <c r="K4777" s="4562">
        <f>IF(D4777="","",D4777*J4777)</f>
        <v/>
      </c>
      <c r="L4777" s="4562">
        <f>XLOOKUP(B4777,'_Sys|Line_Map'!$A:$A,'_Sys|Line_Map'!$B:$B,"MISSING",0)</f>
        <v/>
      </c>
    </row>
    <row r="4778">
      <c r="A4778" s="4561" t="n"/>
      <c r="B4778" s="4561" t="n"/>
      <c r="C4778" s="4561" t="n"/>
      <c r="D4778" s="4561" t="n"/>
      <c r="E4778" s="4561" t="n"/>
      <c r="F4778" s="4561" t="n"/>
      <c r="G4778" s="4561" t="n"/>
      <c r="H4778" s="4561" t="n"/>
      <c r="I4778" s="4562">
        <f>XLOOKUP(B4778,'_Sys|Line_Map'!$A:$A,'_Sys|Line_Map'!$C:$C,"MISSING",0)</f>
        <v/>
      </c>
      <c r="J4778" s="4562">
        <f>XLOOKUP(B4778,'_Sys|Line_Map'!$A:$A,'_Sys|Line_Map'!$D:$D,1,0)</f>
        <v/>
      </c>
      <c r="K4778" s="4562">
        <f>IF(D4778="","",D4778*J4778)</f>
        <v/>
      </c>
      <c r="L4778" s="4562">
        <f>XLOOKUP(B4778,'_Sys|Line_Map'!$A:$A,'_Sys|Line_Map'!$B:$B,"MISSING",0)</f>
        <v/>
      </c>
    </row>
    <row r="4779">
      <c r="A4779" s="4561" t="n"/>
      <c r="B4779" s="4561" t="n"/>
      <c r="C4779" s="4561" t="n"/>
      <c r="D4779" s="4561" t="n"/>
      <c r="E4779" s="4561" t="n"/>
      <c r="F4779" s="4561" t="n"/>
      <c r="G4779" s="4561" t="n"/>
      <c r="H4779" s="4561" t="n"/>
      <c r="I4779" s="4562">
        <f>XLOOKUP(B4779,'_Sys|Line_Map'!$A:$A,'_Sys|Line_Map'!$C:$C,"MISSING",0)</f>
        <v/>
      </c>
      <c r="J4779" s="4562">
        <f>XLOOKUP(B4779,'_Sys|Line_Map'!$A:$A,'_Sys|Line_Map'!$D:$D,1,0)</f>
        <v/>
      </c>
      <c r="K4779" s="4562">
        <f>IF(D4779="","",D4779*J4779)</f>
        <v/>
      </c>
      <c r="L4779" s="4562">
        <f>XLOOKUP(B4779,'_Sys|Line_Map'!$A:$A,'_Sys|Line_Map'!$B:$B,"MISSING",0)</f>
        <v/>
      </c>
    </row>
    <row r="4780">
      <c r="A4780" s="4561" t="n"/>
      <c r="B4780" s="4561" t="n"/>
      <c r="C4780" s="4561" t="n"/>
      <c r="D4780" s="4561" t="n"/>
      <c r="E4780" s="4561" t="n"/>
      <c r="F4780" s="4561" t="n"/>
      <c r="G4780" s="4561" t="n"/>
      <c r="H4780" s="4561" t="n"/>
      <c r="I4780" s="4562">
        <f>XLOOKUP(B4780,'_Sys|Line_Map'!$A:$A,'_Sys|Line_Map'!$C:$C,"MISSING",0)</f>
        <v/>
      </c>
      <c r="J4780" s="4562">
        <f>XLOOKUP(B4780,'_Sys|Line_Map'!$A:$A,'_Sys|Line_Map'!$D:$D,1,0)</f>
        <v/>
      </c>
      <c r="K4780" s="4562">
        <f>IF(D4780="","",D4780*J4780)</f>
        <v/>
      </c>
      <c r="L4780" s="4562">
        <f>XLOOKUP(B4780,'_Sys|Line_Map'!$A:$A,'_Sys|Line_Map'!$B:$B,"MISSING",0)</f>
        <v/>
      </c>
    </row>
    <row r="4781">
      <c r="A4781" s="4561" t="n"/>
      <c r="B4781" s="4561" t="n"/>
      <c r="C4781" s="4561" t="n"/>
      <c r="D4781" s="4561" t="n"/>
      <c r="E4781" s="4561" t="n"/>
      <c r="F4781" s="4561" t="n"/>
      <c r="G4781" s="4561" t="n"/>
      <c r="H4781" s="4561" t="n"/>
      <c r="I4781" s="4562">
        <f>XLOOKUP(B4781,'_Sys|Line_Map'!$A:$A,'_Sys|Line_Map'!$C:$C,"MISSING",0)</f>
        <v/>
      </c>
      <c r="J4781" s="4562">
        <f>XLOOKUP(B4781,'_Sys|Line_Map'!$A:$A,'_Sys|Line_Map'!$D:$D,1,0)</f>
        <v/>
      </c>
      <c r="K4781" s="4562">
        <f>IF(D4781="","",D4781*J4781)</f>
        <v/>
      </c>
      <c r="L4781" s="4562">
        <f>XLOOKUP(B4781,'_Sys|Line_Map'!$A:$A,'_Sys|Line_Map'!$B:$B,"MISSING",0)</f>
        <v/>
      </c>
    </row>
    <row r="4782">
      <c r="A4782" s="4561" t="n"/>
      <c r="B4782" s="4561" t="n"/>
      <c r="C4782" s="4561" t="n"/>
      <c r="D4782" s="4561" t="n"/>
      <c r="E4782" s="4561" t="n"/>
      <c r="F4782" s="4561" t="n"/>
      <c r="G4782" s="4561" t="n"/>
      <c r="H4782" s="4561" t="n"/>
      <c r="I4782" s="4562">
        <f>XLOOKUP(B4782,'_Sys|Line_Map'!$A:$A,'_Sys|Line_Map'!$C:$C,"MISSING",0)</f>
        <v/>
      </c>
      <c r="J4782" s="4562">
        <f>XLOOKUP(B4782,'_Sys|Line_Map'!$A:$A,'_Sys|Line_Map'!$D:$D,1,0)</f>
        <v/>
      </c>
      <c r="K4782" s="4562">
        <f>IF(D4782="","",D4782*J4782)</f>
        <v/>
      </c>
      <c r="L4782" s="4562">
        <f>XLOOKUP(B4782,'_Sys|Line_Map'!$A:$A,'_Sys|Line_Map'!$B:$B,"MISSING",0)</f>
        <v/>
      </c>
    </row>
    <row r="4783">
      <c r="A4783" s="4561" t="n"/>
      <c r="B4783" s="4561" t="n"/>
      <c r="C4783" s="4561" t="n"/>
      <c r="D4783" s="4561" t="n"/>
      <c r="E4783" s="4561" t="n"/>
      <c r="F4783" s="4561" t="n"/>
      <c r="G4783" s="4561" t="n"/>
      <c r="H4783" s="4561" t="n"/>
      <c r="I4783" s="4562">
        <f>XLOOKUP(B4783,'_Sys|Line_Map'!$A:$A,'_Sys|Line_Map'!$C:$C,"MISSING",0)</f>
        <v/>
      </c>
      <c r="J4783" s="4562">
        <f>XLOOKUP(B4783,'_Sys|Line_Map'!$A:$A,'_Sys|Line_Map'!$D:$D,1,0)</f>
        <v/>
      </c>
      <c r="K4783" s="4562">
        <f>IF(D4783="","",D4783*J4783)</f>
        <v/>
      </c>
      <c r="L4783" s="4562">
        <f>XLOOKUP(B4783,'_Sys|Line_Map'!$A:$A,'_Sys|Line_Map'!$B:$B,"MISSING",0)</f>
        <v/>
      </c>
    </row>
    <row r="4784">
      <c r="A4784" s="4561" t="n"/>
      <c r="B4784" s="4561" t="n"/>
      <c r="C4784" s="4561" t="n"/>
      <c r="D4784" s="4561" t="n"/>
      <c r="E4784" s="4561" t="n"/>
      <c r="F4784" s="4561" t="n"/>
      <c r="G4784" s="4561" t="n"/>
      <c r="H4784" s="4561" t="n"/>
      <c r="I4784" s="4562">
        <f>XLOOKUP(B4784,'_Sys|Line_Map'!$A:$A,'_Sys|Line_Map'!$C:$C,"MISSING",0)</f>
        <v/>
      </c>
      <c r="J4784" s="4562">
        <f>XLOOKUP(B4784,'_Sys|Line_Map'!$A:$A,'_Sys|Line_Map'!$D:$D,1,0)</f>
        <v/>
      </c>
      <c r="K4784" s="4562">
        <f>IF(D4784="","",D4784*J4784)</f>
        <v/>
      </c>
      <c r="L4784" s="4562">
        <f>XLOOKUP(B4784,'_Sys|Line_Map'!$A:$A,'_Sys|Line_Map'!$B:$B,"MISSING",0)</f>
        <v/>
      </c>
    </row>
    <row r="4785">
      <c r="A4785" s="4561" t="n"/>
      <c r="B4785" s="4561" t="n"/>
      <c r="C4785" s="4561" t="n"/>
      <c r="D4785" s="4561" t="n"/>
      <c r="E4785" s="4561" t="n"/>
      <c r="F4785" s="4561" t="n"/>
      <c r="G4785" s="4561" t="n"/>
      <c r="H4785" s="4561" t="n"/>
      <c r="I4785" s="4562">
        <f>XLOOKUP(B4785,'_Sys|Line_Map'!$A:$A,'_Sys|Line_Map'!$C:$C,"MISSING",0)</f>
        <v/>
      </c>
      <c r="J4785" s="4562">
        <f>XLOOKUP(B4785,'_Sys|Line_Map'!$A:$A,'_Sys|Line_Map'!$D:$D,1,0)</f>
        <v/>
      </c>
      <c r="K4785" s="4562">
        <f>IF(D4785="","",D4785*J4785)</f>
        <v/>
      </c>
      <c r="L4785" s="4562">
        <f>XLOOKUP(B4785,'_Sys|Line_Map'!$A:$A,'_Sys|Line_Map'!$B:$B,"MISSING",0)</f>
        <v/>
      </c>
    </row>
    <row r="4786">
      <c r="A4786" s="4561" t="n"/>
      <c r="B4786" s="4561" t="n"/>
      <c r="C4786" s="4561" t="n"/>
      <c r="D4786" s="4561" t="n"/>
      <c r="E4786" s="4561" t="n"/>
      <c r="F4786" s="4561" t="n"/>
      <c r="G4786" s="4561" t="n"/>
      <c r="H4786" s="4561" t="n"/>
      <c r="I4786" s="4562">
        <f>XLOOKUP(B4786,'_Sys|Line_Map'!$A:$A,'_Sys|Line_Map'!$C:$C,"MISSING",0)</f>
        <v/>
      </c>
      <c r="J4786" s="4562">
        <f>XLOOKUP(B4786,'_Sys|Line_Map'!$A:$A,'_Sys|Line_Map'!$D:$D,1,0)</f>
        <v/>
      </c>
      <c r="K4786" s="4562">
        <f>IF(D4786="","",D4786*J4786)</f>
        <v/>
      </c>
      <c r="L4786" s="4562">
        <f>XLOOKUP(B4786,'_Sys|Line_Map'!$A:$A,'_Sys|Line_Map'!$B:$B,"MISSING",0)</f>
        <v/>
      </c>
    </row>
    <row r="4787">
      <c r="A4787" s="4561" t="n"/>
      <c r="B4787" s="4561" t="n"/>
      <c r="C4787" s="4561" t="n"/>
      <c r="D4787" s="4561" t="n"/>
      <c r="E4787" s="4561" t="n"/>
      <c r="F4787" s="4561" t="n"/>
      <c r="G4787" s="4561" t="n"/>
      <c r="H4787" s="4561" t="n"/>
      <c r="I4787" s="4562">
        <f>XLOOKUP(B4787,'_Sys|Line_Map'!$A:$A,'_Sys|Line_Map'!$C:$C,"MISSING",0)</f>
        <v/>
      </c>
      <c r="J4787" s="4562">
        <f>XLOOKUP(B4787,'_Sys|Line_Map'!$A:$A,'_Sys|Line_Map'!$D:$D,1,0)</f>
        <v/>
      </c>
      <c r="K4787" s="4562">
        <f>IF(D4787="","",D4787*J4787)</f>
        <v/>
      </c>
      <c r="L4787" s="4562">
        <f>XLOOKUP(B4787,'_Sys|Line_Map'!$A:$A,'_Sys|Line_Map'!$B:$B,"MISSING",0)</f>
        <v/>
      </c>
    </row>
    <row r="4788">
      <c r="A4788" s="4561" t="n"/>
      <c r="B4788" s="4561" t="n"/>
      <c r="C4788" s="4561" t="n"/>
      <c r="D4788" s="4561" t="n"/>
      <c r="E4788" s="4561" t="n"/>
      <c r="F4788" s="4561" t="n"/>
      <c r="G4788" s="4561" t="n"/>
      <c r="H4788" s="4561" t="n"/>
      <c r="I4788" s="4562">
        <f>XLOOKUP(B4788,'_Sys|Line_Map'!$A:$A,'_Sys|Line_Map'!$C:$C,"MISSING",0)</f>
        <v/>
      </c>
      <c r="J4788" s="4562">
        <f>XLOOKUP(B4788,'_Sys|Line_Map'!$A:$A,'_Sys|Line_Map'!$D:$D,1,0)</f>
        <v/>
      </c>
      <c r="K4788" s="4562">
        <f>IF(D4788="","",D4788*J4788)</f>
        <v/>
      </c>
      <c r="L4788" s="4562">
        <f>XLOOKUP(B4788,'_Sys|Line_Map'!$A:$A,'_Sys|Line_Map'!$B:$B,"MISSING",0)</f>
        <v/>
      </c>
    </row>
    <row r="4789">
      <c r="A4789" s="4561" t="n"/>
      <c r="B4789" s="4561" t="n"/>
      <c r="C4789" s="4561" t="n"/>
      <c r="D4789" s="4561" t="n"/>
      <c r="E4789" s="4561" t="n"/>
      <c r="F4789" s="4561" t="n"/>
      <c r="G4789" s="4561" t="n"/>
      <c r="H4789" s="4561" t="n"/>
      <c r="I4789" s="4562">
        <f>XLOOKUP(B4789,'_Sys|Line_Map'!$A:$A,'_Sys|Line_Map'!$C:$C,"MISSING",0)</f>
        <v/>
      </c>
      <c r="J4789" s="4562">
        <f>XLOOKUP(B4789,'_Sys|Line_Map'!$A:$A,'_Sys|Line_Map'!$D:$D,1,0)</f>
        <v/>
      </c>
      <c r="K4789" s="4562">
        <f>IF(D4789="","",D4789*J4789)</f>
        <v/>
      </c>
      <c r="L4789" s="4562">
        <f>XLOOKUP(B4789,'_Sys|Line_Map'!$A:$A,'_Sys|Line_Map'!$B:$B,"MISSING",0)</f>
        <v/>
      </c>
    </row>
    <row r="4790">
      <c r="A4790" s="4561" t="n"/>
      <c r="B4790" s="4561" t="n"/>
      <c r="C4790" s="4561" t="n"/>
      <c r="D4790" s="4561" t="n"/>
      <c r="E4790" s="4561" t="n"/>
      <c r="F4790" s="4561" t="n"/>
      <c r="G4790" s="4561" t="n"/>
      <c r="H4790" s="4561" t="n"/>
      <c r="I4790" s="4562">
        <f>XLOOKUP(B4790,'_Sys|Line_Map'!$A:$A,'_Sys|Line_Map'!$C:$C,"MISSING",0)</f>
        <v/>
      </c>
      <c r="J4790" s="4562">
        <f>XLOOKUP(B4790,'_Sys|Line_Map'!$A:$A,'_Sys|Line_Map'!$D:$D,1,0)</f>
        <v/>
      </c>
      <c r="K4790" s="4562">
        <f>IF(D4790="","",D4790*J4790)</f>
        <v/>
      </c>
      <c r="L4790" s="4562">
        <f>XLOOKUP(B4790,'_Sys|Line_Map'!$A:$A,'_Sys|Line_Map'!$B:$B,"MISSING",0)</f>
        <v/>
      </c>
    </row>
    <row r="4791">
      <c r="A4791" s="4561" t="n"/>
      <c r="B4791" s="4561" t="n"/>
      <c r="C4791" s="4561" t="n"/>
      <c r="D4791" s="4561" t="n"/>
      <c r="E4791" s="4561" t="n"/>
      <c r="F4791" s="4561" t="n"/>
      <c r="G4791" s="4561" t="n"/>
      <c r="H4791" s="4561" t="n"/>
      <c r="I4791" s="4562">
        <f>XLOOKUP(B4791,'_Sys|Line_Map'!$A:$A,'_Sys|Line_Map'!$C:$C,"MISSING",0)</f>
        <v/>
      </c>
      <c r="J4791" s="4562">
        <f>XLOOKUP(B4791,'_Sys|Line_Map'!$A:$A,'_Sys|Line_Map'!$D:$D,1,0)</f>
        <v/>
      </c>
      <c r="K4791" s="4562">
        <f>IF(D4791="","",D4791*J4791)</f>
        <v/>
      </c>
      <c r="L4791" s="4562">
        <f>XLOOKUP(B4791,'_Sys|Line_Map'!$A:$A,'_Sys|Line_Map'!$B:$B,"MISSING",0)</f>
        <v/>
      </c>
    </row>
    <row r="4792">
      <c r="A4792" s="4561" t="n"/>
      <c r="B4792" s="4561" t="n"/>
      <c r="C4792" s="4561" t="n"/>
      <c r="D4792" s="4561" t="n"/>
      <c r="E4792" s="4561" t="n"/>
      <c r="F4792" s="4561" t="n"/>
      <c r="G4792" s="4561" t="n"/>
      <c r="H4792" s="4561" t="n"/>
      <c r="I4792" s="4562">
        <f>XLOOKUP(B4792,'_Sys|Line_Map'!$A:$A,'_Sys|Line_Map'!$C:$C,"MISSING",0)</f>
        <v/>
      </c>
      <c r="J4792" s="4562">
        <f>XLOOKUP(B4792,'_Sys|Line_Map'!$A:$A,'_Sys|Line_Map'!$D:$D,1,0)</f>
        <v/>
      </c>
      <c r="K4792" s="4562">
        <f>IF(D4792="","",D4792*J4792)</f>
        <v/>
      </c>
      <c r="L4792" s="4562">
        <f>XLOOKUP(B4792,'_Sys|Line_Map'!$A:$A,'_Sys|Line_Map'!$B:$B,"MISSING",0)</f>
        <v/>
      </c>
    </row>
    <row r="4793">
      <c r="A4793" s="4561" t="n"/>
      <c r="B4793" s="4561" t="n"/>
      <c r="C4793" s="4561" t="n"/>
      <c r="D4793" s="4561" t="n"/>
      <c r="E4793" s="4561" t="n"/>
      <c r="F4793" s="4561" t="n"/>
      <c r="G4793" s="4561" t="n"/>
      <c r="H4793" s="4561" t="n"/>
      <c r="I4793" s="4562">
        <f>XLOOKUP(B4793,'_Sys|Line_Map'!$A:$A,'_Sys|Line_Map'!$C:$C,"MISSING",0)</f>
        <v/>
      </c>
      <c r="J4793" s="4562">
        <f>XLOOKUP(B4793,'_Sys|Line_Map'!$A:$A,'_Sys|Line_Map'!$D:$D,1,0)</f>
        <v/>
      </c>
      <c r="K4793" s="4562">
        <f>IF(D4793="","",D4793*J4793)</f>
        <v/>
      </c>
      <c r="L4793" s="4562">
        <f>XLOOKUP(B4793,'_Sys|Line_Map'!$A:$A,'_Sys|Line_Map'!$B:$B,"MISSING",0)</f>
        <v/>
      </c>
    </row>
    <row r="4794">
      <c r="A4794" s="4561" t="n"/>
      <c r="B4794" s="4561" t="n"/>
      <c r="C4794" s="4561" t="n"/>
      <c r="D4794" s="4561" t="n"/>
      <c r="E4794" s="4561" t="n"/>
      <c r="F4794" s="4561" t="n"/>
      <c r="G4794" s="4561" t="n"/>
      <c r="H4794" s="4561" t="n"/>
      <c r="I4794" s="4562">
        <f>XLOOKUP(B4794,'_Sys|Line_Map'!$A:$A,'_Sys|Line_Map'!$C:$C,"MISSING",0)</f>
        <v/>
      </c>
      <c r="J4794" s="4562">
        <f>XLOOKUP(B4794,'_Sys|Line_Map'!$A:$A,'_Sys|Line_Map'!$D:$D,1,0)</f>
        <v/>
      </c>
      <c r="K4794" s="4562">
        <f>IF(D4794="","",D4794*J4794)</f>
        <v/>
      </c>
      <c r="L4794" s="4562">
        <f>XLOOKUP(B4794,'_Sys|Line_Map'!$A:$A,'_Sys|Line_Map'!$B:$B,"MISSING",0)</f>
        <v/>
      </c>
    </row>
    <row r="4795">
      <c r="A4795" s="4561" t="n"/>
      <c r="B4795" s="4561" t="n"/>
      <c r="C4795" s="4561" t="n"/>
      <c r="D4795" s="4561" t="n"/>
      <c r="E4795" s="4561" t="n"/>
      <c r="F4795" s="4561" t="n"/>
      <c r="G4795" s="4561" t="n"/>
      <c r="H4795" s="4561" t="n"/>
      <c r="I4795" s="4562">
        <f>XLOOKUP(B4795,'_Sys|Line_Map'!$A:$A,'_Sys|Line_Map'!$C:$C,"MISSING",0)</f>
        <v/>
      </c>
      <c r="J4795" s="4562">
        <f>XLOOKUP(B4795,'_Sys|Line_Map'!$A:$A,'_Sys|Line_Map'!$D:$D,1,0)</f>
        <v/>
      </c>
      <c r="K4795" s="4562">
        <f>IF(D4795="","",D4795*J4795)</f>
        <v/>
      </c>
      <c r="L4795" s="4562">
        <f>XLOOKUP(B4795,'_Sys|Line_Map'!$A:$A,'_Sys|Line_Map'!$B:$B,"MISSING",0)</f>
        <v/>
      </c>
    </row>
    <row r="4796">
      <c r="A4796" s="4561" t="n"/>
      <c r="B4796" s="4561" t="n"/>
      <c r="C4796" s="4561" t="n"/>
      <c r="D4796" s="4561" t="n"/>
      <c r="E4796" s="4561" t="n"/>
      <c r="F4796" s="4561" t="n"/>
      <c r="G4796" s="4561" t="n"/>
      <c r="H4796" s="4561" t="n"/>
      <c r="I4796" s="4562">
        <f>XLOOKUP(B4796,'_Sys|Line_Map'!$A:$A,'_Sys|Line_Map'!$C:$C,"MISSING",0)</f>
        <v/>
      </c>
      <c r="J4796" s="4562">
        <f>XLOOKUP(B4796,'_Sys|Line_Map'!$A:$A,'_Sys|Line_Map'!$D:$D,1,0)</f>
        <v/>
      </c>
      <c r="K4796" s="4562">
        <f>IF(D4796="","",D4796*J4796)</f>
        <v/>
      </c>
      <c r="L4796" s="4562">
        <f>XLOOKUP(B4796,'_Sys|Line_Map'!$A:$A,'_Sys|Line_Map'!$B:$B,"MISSING",0)</f>
        <v/>
      </c>
    </row>
    <row r="4797">
      <c r="A4797" s="4561" t="n"/>
      <c r="B4797" s="4561" t="n"/>
      <c r="C4797" s="4561" t="n"/>
      <c r="D4797" s="4561" t="n"/>
      <c r="E4797" s="4561" t="n"/>
      <c r="F4797" s="4561" t="n"/>
      <c r="G4797" s="4561" t="n"/>
      <c r="H4797" s="4561" t="n"/>
      <c r="I4797" s="4562">
        <f>XLOOKUP(B4797,'_Sys|Line_Map'!$A:$A,'_Sys|Line_Map'!$C:$C,"MISSING",0)</f>
        <v/>
      </c>
      <c r="J4797" s="4562">
        <f>XLOOKUP(B4797,'_Sys|Line_Map'!$A:$A,'_Sys|Line_Map'!$D:$D,1,0)</f>
        <v/>
      </c>
      <c r="K4797" s="4562">
        <f>IF(D4797="","",D4797*J4797)</f>
        <v/>
      </c>
      <c r="L4797" s="4562">
        <f>XLOOKUP(B4797,'_Sys|Line_Map'!$A:$A,'_Sys|Line_Map'!$B:$B,"MISSING",0)</f>
        <v/>
      </c>
    </row>
    <row r="4798">
      <c r="A4798" s="4561" t="n"/>
      <c r="B4798" s="4561" t="n"/>
      <c r="C4798" s="4561" t="n"/>
      <c r="D4798" s="4561" t="n"/>
      <c r="E4798" s="4561" t="n"/>
      <c r="F4798" s="4561" t="n"/>
      <c r="G4798" s="4561" t="n"/>
      <c r="H4798" s="4561" t="n"/>
      <c r="I4798" s="4562">
        <f>XLOOKUP(B4798,'_Sys|Line_Map'!$A:$A,'_Sys|Line_Map'!$C:$C,"MISSING",0)</f>
        <v/>
      </c>
      <c r="J4798" s="4562">
        <f>XLOOKUP(B4798,'_Sys|Line_Map'!$A:$A,'_Sys|Line_Map'!$D:$D,1,0)</f>
        <v/>
      </c>
      <c r="K4798" s="4562">
        <f>IF(D4798="","",D4798*J4798)</f>
        <v/>
      </c>
      <c r="L4798" s="4562">
        <f>XLOOKUP(B4798,'_Sys|Line_Map'!$A:$A,'_Sys|Line_Map'!$B:$B,"MISSING",0)</f>
        <v/>
      </c>
    </row>
    <row r="4799">
      <c r="A4799" s="4561" t="n"/>
      <c r="B4799" s="4561" t="n"/>
      <c r="C4799" s="4561" t="n"/>
      <c r="D4799" s="4561" t="n"/>
      <c r="E4799" s="4561" t="n"/>
      <c r="F4799" s="4561" t="n"/>
      <c r="G4799" s="4561" t="n"/>
      <c r="H4799" s="4561" t="n"/>
      <c r="I4799" s="4562">
        <f>XLOOKUP(B4799,'_Sys|Line_Map'!$A:$A,'_Sys|Line_Map'!$C:$C,"MISSING",0)</f>
        <v/>
      </c>
      <c r="J4799" s="4562">
        <f>XLOOKUP(B4799,'_Sys|Line_Map'!$A:$A,'_Sys|Line_Map'!$D:$D,1,0)</f>
        <v/>
      </c>
      <c r="K4799" s="4562">
        <f>IF(D4799="","",D4799*J4799)</f>
        <v/>
      </c>
      <c r="L4799" s="4562">
        <f>XLOOKUP(B4799,'_Sys|Line_Map'!$A:$A,'_Sys|Line_Map'!$B:$B,"MISSING",0)</f>
        <v/>
      </c>
    </row>
    <row r="4800">
      <c r="A4800" s="4561" t="n"/>
      <c r="B4800" s="4561" t="n"/>
      <c r="C4800" s="4561" t="n"/>
      <c r="D4800" s="4561" t="n"/>
      <c r="E4800" s="4561" t="n"/>
      <c r="F4800" s="4561" t="n"/>
      <c r="G4800" s="4561" t="n"/>
      <c r="H4800" s="4561" t="n"/>
      <c r="I4800" s="4562">
        <f>XLOOKUP(B4800,'_Sys|Line_Map'!$A:$A,'_Sys|Line_Map'!$C:$C,"MISSING",0)</f>
        <v/>
      </c>
      <c r="J4800" s="4562">
        <f>XLOOKUP(B4800,'_Sys|Line_Map'!$A:$A,'_Sys|Line_Map'!$D:$D,1,0)</f>
        <v/>
      </c>
      <c r="K4800" s="4562">
        <f>IF(D4800="","",D4800*J4800)</f>
        <v/>
      </c>
      <c r="L4800" s="4562">
        <f>XLOOKUP(B4800,'_Sys|Line_Map'!$A:$A,'_Sys|Line_Map'!$B:$B,"MISSING",0)</f>
        <v/>
      </c>
    </row>
    <row r="4801">
      <c r="A4801" s="4561" t="n"/>
      <c r="B4801" s="4561" t="n"/>
      <c r="C4801" s="4561" t="n"/>
      <c r="D4801" s="4561" t="n"/>
      <c r="E4801" s="4561" t="n"/>
      <c r="F4801" s="4561" t="n"/>
      <c r="G4801" s="4561" t="n"/>
      <c r="H4801" s="4561" t="n"/>
      <c r="I4801" s="4562">
        <f>XLOOKUP(B4801,'_Sys|Line_Map'!$A:$A,'_Sys|Line_Map'!$C:$C,"MISSING",0)</f>
        <v/>
      </c>
      <c r="J4801" s="4562">
        <f>XLOOKUP(B4801,'_Sys|Line_Map'!$A:$A,'_Sys|Line_Map'!$D:$D,1,0)</f>
        <v/>
      </c>
      <c r="K4801" s="4562">
        <f>IF(D4801="","",D4801*J4801)</f>
        <v/>
      </c>
      <c r="L4801" s="4562">
        <f>XLOOKUP(B4801,'_Sys|Line_Map'!$A:$A,'_Sys|Line_Map'!$B:$B,"MISSING",0)</f>
        <v/>
      </c>
    </row>
    <row r="4802">
      <c r="A4802" s="4561" t="n"/>
      <c r="B4802" s="4561" t="n"/>
      <c r="C4802" s="4561" t="n"/>
      <c r="D4802" s="4561" t="n"/>
      <c r="E4802" s="4561" t="n"/>
      <c r="F4802" s="4561" t="n"/>
      <c r="G4802" s="4561" t="n"/>
      <c r="H4802" s="4561" t="n"/>
      <c r="I4802" s="4562">
        <f>XLOOKUP(B4802,'_Sys|Line_Map'!$A:$A,'_Sys|Line_Map'!$C:$C,"MISSING",0)</f>
        <v/>
      </c>
      <c r="J4802" s="4562">
        <f>XLOOKUP(B4802,'_Sys|Line_Map'!$A:$A,'_Sys|Line_Map'!$D:$D,1,0)</f>
        <v/>
      </c>
      <c r="K4802" s="4562">
        <f>IF(D4802="","",D4802*J4802)</f>
        <v/>
      </c>
      <c r="L4802" s="4562">
        <f>XLOOKUP(B4802,'_Sys|Line_Map'!$A:$A,'_Sys|Line_Map'!$B:$B,"MISSING",0)</f>
        <v/>
      </c>
    </row>
    <row r="4803">
      <c r="A4803" s="4561" t="n"/>
      <c r="B4803" s="4561" t="n"/>
      <c r="C4803" s="4561" t="n"/>
      <c r="D4803" s="4561" t="n"/>
      <c r="E4803" s="4561" t="n"/>
      <c r="F4803" s="4561" t="n"/>
      <c r="G4803" s="4561" t="n"/>
      <c r="H4803" s="4561" t="n"/>
      <c r="I4803" s="4562">
        <f>XLOOKUP(B4803,'_Sys|Line_Map'!$A:$A,'_Sys|Line_Map'!$C:$C,"MISSING",0)</f>
        <v/>
      </c>
      <c r="J4803" s="4562">
        <f>XLOOKUP(B4803,'_Sys|Line_Map'!$A:$A,'_Sys|Line_Map'!$D:$D,1,0)</f>
        <v/>
      </c>
      <c r="K4803" s="4562">
        <f>IF(D4803="","",D4803*J4803)</f>
        <v/>
      </c>
      <c r="L4803" s="4562">
        <f>XLOOKUP(B4803,'_Sys|Line_Map'!$A:$A,'_Sys|Line_Map'!$B:$B,"MISSING",0)</f>
        <v/>
      </c>
    </row>
    <row r="4804">
      <c r="A4804" s="4561" t="n"/>
      <c r="B4804" s="4561" t="n"/>
      <c r="C4804" s="4561" t="n"/>
      <c r="D4804" s="4561" t="n"/>
      <c r="E4804" s="4561" t="n"/>
      <c r="F4804" s="4561" t="n"/>
      <c r="G4804" s="4561" t="n"/>
      <c r="H4804" s="4561" t="n"/>
      <c r="I4804" s="4562">
        <f>XLOOKUP(B4804,'_Sys|Line_Map'!$A:$A,'_Sys|Line_Map'!$C:$C,"MISSING",0)</f>
        <v/>
      </c>
      <c r="J4804" s="4562">
        <f>XLOOKUP(B4804,'_Sys|Line_Map'!$A:$A,'_Sys|Line_Map'!$D:$D,1,0)</f>
        <v/>
      </c>
      <c r="K4804" s="4562">
        <f>IF(D4804="","",D4804*J4804)</f>
        <v/>
      </c>
      <c r="L4804" s="4562">
        <f>XLOOKUP(B4804,'_Sys|Line_Map'!$A:$A,'_Sys|Line_Map'!$B:$B,"MISSING",0)</f>
        <v/>
      </c>
    </row>
    <row r="4805">
      <c r="A4805" s="4561" t="n"/>
      <c r="B4805" s="4561" t="n"/>
      <c r="C4805" s="4561" t="n"/>
      <c r="D4805" s="4561" t="n"/>
      <c r="E4805" s="4561" t="n"/>
      <c r="F4805" s="4561" t="n"/>
      <c r="G4805" s="4561" t="n"/>
      <c r="H4805" s="4561" t="n"/>
      <c r="I4805" s="4562">
        <f>XLOOKUP(B4805,'_Sys|Line_Map'!$A:$A,'_Sys|Line_Map'!$C:$C,"MISSING",0)</f>
        <v/>
      </c>
      <c r="J4805" s="4562">
        <f>XLOOKUP(B4805,'_Sys|Line_Map'!$A:$A,'_Sys|Line_Map'!$D:$D,1,0)</f>
        <v/>
      </c>
      <c r="K4805" s="4562">
        <f>IF(D4805="","",D4805*J4805)</f>
        <v/>
      </c>
      <c r="L4805" s="4562">
        <f>XLOOKUP(B4805,'_Sys|Line_Map'!$A:$A,'_Sys|Line_Map'!$B:$B,"MISSING",0)</f>
        <v/>
      </c>
    </row>
    <row r="4806">
      <c r="A4806" s="4561" t="n"/>
      <c r="B4806" s="4561" t="n"/>
      <c r="C4806" s="4561" t="n"/>
      <c r="D4806" s="4561" t="n"/>
      <c r="E4806" s="4561" t="n"/>
      <c r="F4806" s="4561" t="n"/>
      <c r="G4806" s="4561" t="n"/>
      <c r="H4806" s="4561" t="n"/>
      <c r="I4806" s="4562">
        <f>XLOOKUP(B4806,'_Sys|Line_Map'!$A:$A,'_Sys|Line_Map'!$C:$C,"MISSING",0)</f>
        <v/>
      </c>
      <c r="J4806" s="4562">
        <f>XLOOKUP(B4806,'_Sys|Line_Map'!$A:$A,'_Sys|Line_Map'!$D:$D,1,0)</f>
        <v/>
      </c>
      <c r="K4806" s="4562">
        <f>IF(D4806="","",D4806*J4806)</f>
        <v/>
      </c>
      <c r="L4806" s="4562">
        <f>XLOOKUP(B4806,'_Sys|Line_Map'!$A:$A,'_Sys|Line_Map'!$B:$B,"MISSING",0)</f>
        <v/>
      </c>
    </row>
    <row r="4807">
      <c r="A4807" s="4561" t="n"/>
      <c r="B4807" s="4561" t="n"/>
      <c r="C4807" s="4561" t="n"/>
      <c r="D4807" s="4561" t="n"/>
      <c r="E4807" s="4561" t="n"/>
      <c r="F4807" s="4561" t="n"/>
      <c r="G4807" s="4561" t="n"/>
      <c r="H4807" s="4561" t="n"/>
      <c r="I4807" s="4562">
        <f>XLOOKUP(B4807,'_Sys|Line_Map'!$A:$A,'_Sys|Line_Map'!$C:$C,"MISSING",0)</f>
        <v/>
      </c>
      <c r="J4807" s="4562">
        <f>XLOOKUP(B4807,'_Sys|Line_Map'!$A:$A,'_Sys|Line_Map'!$D:$D,1,0)</f>
        <v/>
      </c>
      <c r="K4807" s="4562">
        <f>IF(D4807="","",D4807*J4807)</f>
        <v/>
      </c>
      <c r="L4807" s="4562">
        <f>XLOOKUP(B4807,'_Sys|Line_Map'!$A:$A,'_Sys|Line_Map'!$B:$B,"MISSING",0)</f>
        <v/>
      </c>
    </row>
    <row r="4808">
      <c r="A4808" s="4561" t="n"/>
      <c r="B4808" s="4561" t="n"/>
      <c r="C4808" s="4561" t="n"/>
      <c r="D4808" s="4561" t="n"/>
      <c r="E4808" s="4561" t="n"/>
      <c r="F4808" s="4561" t="n"/>
      <c r="G4808" s="4561" t="n"/>
      <c r="H4808" s="4561" t="n"/>
      <c r="I4808" s="4562">
        <f>XLOOKUP(B4808,'_Sys|Line_Map'!$A:$A,'_Sys|Line_Map'!$C:$C,"MISSING",0)</f>
        <v/>
      </c>
      <c r="J4808" s="4562">
        <f>XLOOKUP(B4808,'_Sys|Line_Map'!$A:$A,'_Sys|Line_Map'!$D:$D,1,0)</f>
        <v/>
      </c>
      <c r="K4808" s="4562">
        <f>IF(D4808="","",D4808*J4808)</f>
        <v/>
      </c>
      <c r="L4808" s="4562">
        <f>XLOOKUP(B4808,'_Sys|Line_Map'!$A:$A,'_Sys|Line_Map'!$B:$B,"MISSING",0)</f>
        <v/>
      </c>
    </row>
    <row r="4809">
      <c r="A4809" s="4561" t="n"/>
      <c r="B4809" s="4561" t="n"/>
      <c r="C4809" s="4561" t="n"/>
      <c r="D4809" s="4561" t="n"/>
      <c r="E4809" s="4561" t="n"/>
      <c r="F4809" s="4561" t="n"/>
      <c r="G4809" s="4561" t="n"/>
      <c r="H4809" s="4561" t="n"/>
      <c r="I4809" s="4562">
        <f>XLOOKUP(B4809,'_Sys|Line_Map'!$A:$A,'_Sys|Line_Map'!$C:$C,"MISSING",0)</f>
        <v/>
      </c>
      <c r="J4809" s="4562">
        <f>XLOOKUP(B4809,'_Sys|Line_Map'!$A:$A,'_Sys|Line_Map'!$D:$D,1,0)</f>
        <v/>
      </c>
      <c r="K4809" s="4562">
        <f>IF(D4809="","",D4809*J4809)</f>
        <v/>
      </c>
      <c r="L4809" s="4562">
        <f>XLOOKUP(B4809,'_Sys|Line_Map'!$A:$A,'_Sys|Line_Map'!$B:$B,"MISSING",0)</f>
        <v/>
      </c>
    </row>
    <row r="4810">
      <c r="A4810" s="4561" t="n"/>
      <c r="B4810" s="4561" t="n"/>
      <c r="C4810" s="4561" t="n"/>
      <c r="D4810" s="4561" t="n"/>
      <c r="E4810" s="4561" t="n"/>
      <c r="F4810" s="4561" t="n"/>
      <c r="G4810" s="4561" t="n"/>
      <c r="H4810" s="4561" t="n"/>
      <c r="I4810" s="4562">
        <f>XLOOKUP(B4810,'_Sys|Line_Map'!$A:$A,'_Sys|Line_Map'!$C:$C,"MISSING",0)</f>
        <v/>
      </c>
      <c r="J4810" s="4562">
        <f>XLOOKUP(B4810,'_Sys|Line_Map'!$A:$A,'_Sys|Line_Map'!$D:$D,1,0)</f>
        <v/>
      </c>
      <c r="K4810" s="4562">
        <f>IF(D4810="","",D4810*J4810)</f>
        <v/>
      </c>
      <c r="L4810" s="4562">
        <f>XLOOKUP(B4810,'_Sys|Line_Map'!$A:$A,'_Sys|Line_Map'!$B:$B,"MISSING",0)</f>
        <v/>
      </c>
    </row>
    <row r="4811">
      <c r="A4811" s="4561" t="n"/>
      <c r="B4811" s="4561" t="n"/>
      <c r="C4811" s="4561" t="n"/>
      <c r="D4811" s="4561" t="n"/>
      <c r="E4811" s="4561" t="n"/>
      <c r="F4811" s="4561" t="n"/>
      <c r="G4811" s="4561" t="n"/>
      <c r="H4811" s="4561" t="n"/>
      <c r="I4811" s="4562">
        <f>XLOOKUP(B4811,'_Sys|Line_Map'!$A:$A,'_Sys|Line_Map'!$C:$C,"MISSING",0)</f>
        <v/>
      </c>
      <c r="J4811" s="4562">
        <f>XLOOKUP(B4811,'_Sys|Line_Map'!$A:$A,'_Sys|Line_Map'!$D:$D,1,0)</f>
        <v/>
      </c>
      <c r="K4811" s="4562">
        <f>IF(D4811="","",D4811*J4811)</f>
        <v/>
      </c>
      <c r="L4811" s="4562">
        <f>XLOOKUP(B4811,'_Sys|Line_Map'!$A:$A,'_Sys|Line_Map'!$B:$B,"MISSING",0)</f>
        <v/>
      </c>
    </row>
    <row r="4812">
      <c r="A4812" s="4561" t="n"/>
      <c r="B4812" s="4561" t="n"/>
      <c r="C4812" s="4561" t="n"/>
      <c r="D4812" s="4561" t="n"/>
      <c r="E4812" s="4561" t="n"/>
      <c r="F4812" s="4561" t="n"/>
      <c r="G4812" s="4561" t="n"/>
      <c r="H4812" s="4561" t="n"/>
      <c r="I4812" s="4562">
        <f>XLOOKUP(B4812,'_Sys|Line_Map'!$A:$A,'_Sys|Line_Map'!$C:$C,"MISSING",0)</f>
        <v/>
      </c>
      <c r="J4812" s="4562">
        <f>XLOOKUP(B4812,'_Sys|Line_Map'!$A:$A,'_Sys|Line_Map'!$D:$D,1,0)</f>
        <v/>
      </c>
      <c r="K4812" s="4562">
        <f>IF(D4812="","",D4812*J4812)</f>
        <v/>
      </c>
      <c r="L4812" s="4562">
        <f>XLOOKUP(B4812,'_Sys|Line_Map'!$A:$A,'_Sys|Line_Map'!$B:$B,"MISSING",0)</f>
        <v/>
      </c>
    </row>
    <row r="4813">
      <c r="A4813" s="4561" t="n"/>
      <c r="B4813" s="4561" t="n"/>
      <c r="C4813" s="4561" t="n"/>
      <c r="D4813" s="4561" t="n"/>
      <c r="E4813" s="4561" t="n"/>
      <c r="F4813" s="4561" t="n"/>
      <c r="G4813" s="4561" t="n"/>
      <c r="H4813" s="4561" t="n"/>
      <c r="I4813" s="4562">
        <f>XLOOKUP(B4813,'_Sys|Line_Map'!$A:$A,'_Sys|Line_Map'!$C:$C,"MISSING",0)</f>
        <v/>
      </c>
      <c r="J4813" s="4562">
        <f>XLOOKUP(B4813,'_Sys|Line_Map'!$A:$A,'_Sys|Line_Map'!$D:$D,1,0)</f>
        <v/>
      </c>
      <c r="K4813" s="4562">
        <f>IF(D4813="","",D4813*J4813)</f>
        <v/>
      </c>
      <c r="L4813" s="4562">
        <f>XLOOKUP(B4813,'_Sys|Line_Map'!$A:$A,'_Sys|Line_Map'!$B:$B,"MISSING",0)</f>
        <v/>
      </c>
    </row>
    <row r="4814">
      <c r="A4814" s="4561" t="n"/>
      <c r="B4814" s="4561" t="n"/>
      <c r="C4814" s="4561" t="n"/>
      <c r="D4814" s="4561" t="n"/>
      <c r="E4814" s="4561" t="n"/>
      <c r="F4814" s="4561" t="n"/>
      <c r="G4814" s="4561" t="n"/>
      <c r="H4814" s="4561" t="n"/>
      <c r="I4814" s="4562">
        <f>XLOOKUP(B4814,'_Sys|Line_Map'!$A:$A,'_Sys|Line_Map'!$C:$C,"MISSING",0)</f>
        <v/>
      </c>
      <c r="J4814" s="4562">
        <f>XLOOKUP(B4814,'_Sys|Line_Map'!$A:$A,'_Sys|Line_Map'!$D:$D,1,0)</f>
        <v/>
      </c>
      <c r="K4814" s="4562">
        <f>IF(D4814="","",D4814*J4814)</f>
        <v/>
      </c>
      <c r="L4814" s="4562">
        <f>XLOOKUP(B4814,'_Sys|Line_Map'!$A:$A,'_Sys|Line_Map'!$B:$B,"MISSING",0)</f>
        <v/>
      </c>
    </row>
    <row r="4815">
      <c r="A4815" s="4561" t="n"/>
      <c r="B4815" s="4561" t="n"/>
      <c r="C4815" s="4561" t="n"/>
      <c r="D4815" s="4561" t="n"/>
      <c r="E4815" s="4561" t="n"/>
      <c r="F4815" s="4561" t="n"/>
      <c r="G4815" s="4561" t="n"/>
      <c r="H4815" s="4561" t="n"/>
      <c r="I4815" s="4562">
        <f>XLOOKUP(B4815,'_Sys|Line_Map'!$A:$A,'_Sys|Line_Map'!$C:$C,"MISSING",0)</f>
        <v/>
      </c>
      <c r="J4815" s="4562">
        <f>XLOOKUP(B4815,'_Sys|Line_Map'!$A:$A,'_Sys|Line_Map'!$D:$D,1,0)</f>
        <v/>
      </c>
      <c r="K4815" s="4562">
        <f>IF(D4815="","",D4815*J4815)</f>
        <v/>
      </c>
      <c r="L4815" s="4562">
        <f>XLOOKUP(B4815,'_Sys|Line_Map'!$A:$A,'_Sys|Line_Map'!$B:$B,"MISSING",0)</f>
        <v/>
      </c>
    </row>
    <row r="4816">
      <c r="A4816" s="4561" t="n"/>
      <c r="B4816" s="4561" t="n"/>
      <c r="C4816" s="4561" t="n"/>
      <c r="D4816" s="4561" t="n"/>
      <c r="E4816" s="4561" t="n"/>
      <c r="F4816" s="4561" t="n"/>
      <c r="G4816" s="4561" t="n"/>
      <c r="H4816" s="4561" t="n"/>
      <c r="I4816" s="4562">
        <f>XLOOKUP(B4816,'_Sys|Line_Map'!$A:$A,'_Sys|Line_Map'!$C:$C,"MISSING",0)</f>
        <v/>
      </c>
      <c r="J4816" s="4562">
        <f>XLOOKUP(B4816,'_Sys|Line_Map'!$A:$A,'_Sys|Line_Map'!$D:$D,1,0)</f>
        <v/>
      </c>
      <c r="K4816" s="4562">
        <f>IF(D4816="","",D4816*J4816)</f>
        <v/>
      </c>
      <c r="L4816" s="4562">
        <f>XLOOKUP(B4816,'_Sys|Line_Map'!$A:$A,'_Sys|Line_Map'!$B:$B,"MISSING",0)</f>
        <v/>
      </c>
    </row>
    <row r="4817">
      <c r="A4817" s="4561" t="n"/>
      <c r="B4817" s="4561" t="n"/>
      <c r="C4817" s="4561" t="n"/>
      <c r="D4817" s="4561" t="n"/>
      <c r="E4817" s="4561" t="n"/>
      <c r="F4817" s="4561" t="n"/>
      <c r="G4817" s="4561" t="n"/>
      <c r="H4817" s="4561" t="n"/>
      <c r="I4817" s="4562">
        <f>XLOOKUP(B4817,'_Sys|Line_Map'!$A:$A,'_Sys|Line_Map'!$C:$C,"MISSING",0)</f>
        <v/>
      </c>
      <c r="J4817" s="4562">
        <f>XLOOKUP(B4817,'_Sys|Line_Map'!$A:$A,'_Sys|Line_Map'!$D:$D,1,0)</f>
        <v/>
      </c>
      <c r="K4817" s="4562">
        <f>IF(D4817="","",D4817*J4817)</f>
        <v/>
      </c>
      <c r="L4817" s="4562">
        <f>XLOOKUP(B4817,'_Sys|Line_Map'!$A:$A,'_Sys|Line_Map'!$B:$B,"MISSING",0)</f>
        <v/>
      </c>
    </row>
    <row r="4818">
      <c r="A4818" s="4561" t="n"/>
      <c r="B4818" s="4561" t="n"/>
      <c r="C4818" s="4561" t="n"/>
      <c r="D4818" s="4561" t="n"/>
      <c r="E4818" s="4561" t="n"/>
      <c r="F4818" s="4561" t="n"/>
      <c r="G4818" s="4561" t="n"/>
      <c r="H4818" s="4561" t="n"/>
      <c r="I4818" s="4562">
        <f>XLOOKUP(B4818,'_Sys|Line_Map'!$A:$A,'_Sys|Line_Map'!$C:$C,"MISSING",0)</f>
        <v/>
      </c>
      <c r="J4818" s="4562">
        <f>XLOOKUP(B4818,'_Sys|Line_Map'!$A:$A,'_Sys|Line_Map'!$D:$D,1,0)</f>
        <v/>
      </c>
      <c r="K4818" s="4562">
        <f>IF(D4818="","",D4818*J4818)</f>
        <v/>
      </c>
      <c r="L4818" s="4562">
        <f>XLOOKUP(B4818,'_Sys|Line_Map'!$A:$A,'_Sys|Line_Map'!$B:$B,"MISSING",0)</f>
        <v/>
      </c>
    </row>
    <row r="4819">
      <c r="A4819" s="4561" t="n"/>
      <c r="B4819" s="4561" t="n"/>
      <c r="C4819" s="4561" t="n"/>
      <c r="D4819" s="4561" t="n"/>
      <c r="E4819" s="4561" t="n"/>
      <c r="F4819" s="4561" t="n"/>
      <c r="G4819" s="4561" t="n"/>
      <c r="H4819" s="4561" t="n"/>
      <c r="I4819" s="4562">
        <f>XLOOKUP(B4819,'_Sys|Line_Map'!$A:$A,'_Sys|Line_Map'!$C:$C,"MISSING",0)</f>
        <v/>
      </c>
      <c r="J4819" s="4562">
        <f>XLOOKUP(B4819,'_Sys|Line_Map'!$A:$A,'_Sys|Line_Map'!$D:$D,1,0)</f>
        <v/>
      </c>
      <c r="K4819" s="4562">
        <f>IF(D4819="","",D4819*J4819)</f>
        <v/>
      </c>
      <c r="L4819" s="4562">
        <f>XLOOKUP(B4819,'_Sys|Line_Map'!$A:$A,'_Sys|Line_Map'!$B:$B,"MISSING",0)</f>
        <v/>
      </c>
    </row>
    <row r="4820">
      <c r="A4820" s="4561" t="n"/>
      <c r="B4820" s="4561" t="n"/>
      <c r="C4820" s="4561" t="n"/>
      <c r="D4820" s="4561" t="n"/>
      <c r="E4820" s="4561" t="n"/>
      <c r="F4820" s="4561" t="n"/>
      <c r="G4820" s="4561" t="n"/>
      <c r="H4820" s="4561" t="n"/>
      <c r="I4820" s="4562">
        <f>XLOOKUP(B4820,'_Sys|Line_Map'!$A:$A,'_Sys|Line_Map'!$C:$C,"MISSING",0)</f>
        <v/>
      </c>
      <c r="J4820" s="4562">
        <f>XLOOKUP(B4820,'_Sys|Line_Map'!$A:$A,'_Sys|Line_Map'!$D:$D,1,0)</f>
        <v/>
      </c>
      <c r="K4820" s="4562">
        <f>IF(D4820="","",D4820*J4820)</f>
        <v/>
      </c>
      <c r="L4820" s="4562">
        <f>XLOOKUP(B4820,'_Sys|Line_Map'!$A:$A,'_Sys|Line_Map'!$B:$B,"MISSING",0)</f>
        <v/>
      </c>
    </row>
    <row r="4821">
      <c r="A4821" s="4561" t="n"/>
      <c r="B4821" s="4561" t="n"/>
      <c r="C4821" s="4561" t="n"/>
      <c r="D4821" s="4561" t="n"/>
      <c r="E4821" s="4561" t="n"/>
      <c r="F4821" s="4561" t="n"/>
      <c r="G4821" s="4561" t="n"/>
      <c r="H4821" s="4561" t="n"/>
      <c r="I4821" s="4562">
        <f>XLOOKUP(B4821,'_Sys|Line_Map'!$A:$A,'_Sys|Line_Map'!$C:$C,"MISSING",0)</f>
        <v/>
      </c>
      <c r="J4821" s="4562">
        <f>XLOOKUP(B4821,'_Sys|Line_Map'!$A:$A,'_Sys|Line_Map'!$D:$D,1,0)</f>
        <v/>
      </c>
      <c r="K4821" s="4562">
        <f>IF(D4821="","",D4821*J4821)</f>
        <v/>
      </c>
      <c r="L4821" s="4562">
        <f>XLOOKUP(B4821,'_Sys|Line_Map'!$A:$A,'_Sys|Line_Map'!$B:$B,"MISSING",0)</f>
        <v/>
      </c>
    </row>
    <row r="4822">
      <c r="A4822" s="4561" t="n"/>
      <c r="B4822" s="4561" t="n"/>
      <c r="C4822" s="4561" t="n"/>
      <c r="D4822" s="4561" t="n"/>
      <c r="E4822" s="4561" t="n"/>
      <c r="F4822" s="4561" t="n"/>
      <c r="G4822" s="4561" t="n"/>
      <c r="H4822" s="4561" t="n"/>
      <c r="I4822" s="4562">
        <f>XLOOKUP(B4822,'_Sys|Line_Map'!$A:$A,'_Sys|Line_Map'!$C:$C,"MISSING",0)</f>
        <v/>
      </c>
      <c r="J4822" s="4562">
        <f>XLOOKUP(B4822,'_Sys|Line_Map'!$A:$A,'_Sys|Line_Map'!$D:$D,1,0)</f>
        <v/>
      </c>
      <c r="K4822" s="4562">
        <f>IF(D4822="","",D4822*J4822)</f>
        <v/>
      </c>
      <c r="L4822" s="4562">
        <f>XLOOKUP(B4822,'_Sys|Line_Map'!$A:$A,'_Sys|Line_Map'!$B:$B,"MISSING",0)</f>
        <v/>
      </c>
    </row>
    <row r="4823">
      <c r="A4823" s="4561" t="n"/>
      <c r="B4823" s="4561" t="n"/>
      <c r="C4823" s="4561" t="n"/>
      <c r="D4823" s="4561" t="n"/>
      <c r="E4823" s="4561" t="n"/>
      <c r="F4823" s="4561" t="n"/>
      <c r="G4823" s="4561" t="n"/>
      <c r="H4823" s="4561" t="n"/>
      <c r="I4823" s="4562">
        <f>XLOOKUP(B4823,'_Sys|Line_Map'!$A:$A,'_Sys|Line_Map'!$C:$C,"MISSING",0)</f>
        <v/>
      </c>
      <c r="J4823" s="4562">
        <f>XLOOKUP(B4823,'_Sys|Line_Map'!$A:$A,'_Sys|Line_Map'!$D:$D,1,0)</f>
        <v/>
      </c>
      <c r="K4823" s="4562">
        <f>IF(D4823="","",D4823*J4823)</f>
        <v/>
      </c>
      <c r="L4823" s="4562">
        <f>XLOOKUP(B4823,'_Sys|Line_Map'!$A:$A,'_Sys|Line_Map'!$B:$B,"MISSING",0)</f>
        <v/>
      </c>
    </row>
    <row r="4824">
      <c r="A4824" s="4561" t="n"/>
      <c r="B4824" s="4561" t="n"/>
      <c r="C4824" s="4561" t="n"/>
      <c r="D4824" s="4561" t="n"/>
      <c r="E4824" s="4561" t="n"/>
      <c r="F4824" s="4561" t="n"/>
      <c r="G4824" s="4561" t="n"/>
      <c r="H4824" s="4561" t="n"/>
      <c r="I4824" s="4562">
        <f>XLOOKUP(B4824,'_Sys|Line_Map'!$A:$A,'_Sys|Line_Map'!$C:$C,"MISSING",0)</f>
        <v/>
      </c>
      <c r="J4824" s="4562">
        <f>XLOOKUP(B4824,'_Sys|Line_Map'!$A:$A,'_Sys|Line_Map'!$D:$D,1,0)</f>
        <v/>
      </c>
      <c r="K4824" s="4562">
        <f>IF(D4824="","",D4824*J4824)</f>
        <v/>
      </c>
      <c r="L4824" s="4562">
        <f>XLOOKUP(B4824,'_Sys|Line_Map'!$A:$A,'_Sys|Line_Map'!$B:$B,"MISSING",0)</f>
        <v/>
      </c>
    </row>
    <row r="4825">
      <c r="A4825" s="4561" t="n"/>
      <c r="B4825" s="4561" t="n"/>
      <c r="C4825" s="4561" t="n"/>
      <c r="D4825" s="4561" t="n"/>
      <c r="E4825" s="4561" t="n"/>
      <c r="F4825" s="4561" t="n"/>
      <c r="G4825" s="4561" t="n"/>
      <c r="H4825" s="4561" t="n"/>
      <c r="I4825" s="4562">
        <f>XLOOKUP(B4825,'_Sys|Line_Map'!$A:$A,'_Sys|Line_Map'!$C:$C,"MISSING",0)</f>
        <v/>
      </c>
      <c r="J4825" s="4562">
        <f>XLOOKUP(B4825,'_Sys|Line_Map'!$A:$A,'_Sys|Line_Map'!$D:$D,1,0)</f>
        <v/>
      </c>
      <c r="K4825" s="4562">
        <f>IF(D4825="","",D4825*J4825)</f>
        <v/>
      </c>
      <c r="L4825" s="4562">
        <f>XLOOKUP(B4825,'_Sys|Line_Map'!$A:$A,'_Sys|Line_Map'!$B:$B,"MISSING",0)</f>
        <v/>
      </c>
    </row>
    <row r="4826">
      <c r="A4826" s="4561" t="n"/>
      <c r="B4826" s="4561" t="n"/>
      <c r="C4826" s="4561" t="n"/>
      <c r="D4826" s="4561" t="n"/>
      <c r="E4826" s="4561" t="n"/>
      <c r="F4826" s="4561" t="n"/>
      <c r="G4826" s="4561" t="n"/>
      <c r="H4826" s="4561" t="n"/>
      <c r="I4826" s="4562">
        <f>XLOOKUP(B4826,'_Sys|Line_Map'!$A:$A,'_Sys|Line_Map'!$C:$C,"MISSING",0)</f>
        <v/>
      </c>
      <c r="J4826" s="4562">
        <f>XLOOKUP(B4826,'_Sys|Line_Map'!$A:$A,'_Sys|Line_Map'!$D:$D,1,0)</f>
        <v/>
      </c>
      <c r="K4826" s="4562">
        <f>IF(D4826="","",D4826*J4826)</f>
        <v/>
      </c>
      <c r="L4826" s="4562">
        <f>XLOOKUP(B4826,'_Sys|Line_Map'!$A:$A,'_Sys|Line_Map'!$B:$B,"MISSING",0)</f>
        <v/>
      </c>
    </row>
    <row r="4827">
      <c r="A4827" s="4561" t="n"/>
      <c r="B4827" s="4561" t="n"/>
      <c r="C4827" s="4561" t="n"/>
      <c r="D4827" s="4561" t="n"/>
      <c r="E4827" s="4561" t="n"/>
      <c r="F4827" s="4561" t="n"/>
      <c r="G4827" s="4561" t="n"/>
      <c r="H4827" s="4561" t="n"/>
      <c r="I4827" s="4562">
        <f>XLOOKUP(B4827,'_Sys|Line_Map'!$A:$A,'_Sys|Line_Map'!$C:$C,"MISSING",0)</f>
        <v/>
      </c>
      <c r="J4827" s="4562">
        <f>XLOOKUP(B4827,'_Sys|Line_Map'!$A:$A,'_Sys|Line_Map'!$D:$D,1,0)</f>
        <v/>
      </c>
      <c r="K4827" s="4562">
        <f>IF(D4827="","",D4827*J4827)</f>
        <v/>
      </c>
      <c r="L4827" s="4562">
        <f>XLOOKUP(B4827,'_Sys|Line_Map'!$A:$A,'_Sys|Line_Map'!$B:$B,"MISSING",0)</f>
        <v/>
      </c>
    </row>
    <row r="4828">
      <c r="A4828" s="4561" t="n"/>
      <c r="B4828" s="4561" t="n"/>
      <c r="C4828" s="4561" t="n"/>
      <c r="D4828" s="4561" t="n"/>
      <c r="E4828" s="4561" t="n"/>
      <c r="F4828" s="4561" t="n"/>
      <c r="G4828" s="4561" t="n"/>
      <c r="H4828" s="4561" t="n"/>
      <c r="I4828" s="4562">
        <f>XLOOKUP(B4828,'_Sys|Line_Map'!$A:$A,'_Sys|Line_Map'!$C:$C,"MISSING",0)</f>
        <v/>
      </c>
      <c r="J4828" s="4562">
        <f>XLOOKUP(B4828,'_Sys|Line_Map'!$A:$A,'_Sys|Line_Map'!$D:$D,1,0)</f>
        <v/>
      </c>
      <c r="K4828" s="4562">
        <f>IF(D4828="","",D4828*J4828)</f>
        <v/>
      </c>
      <c r="L4828" s="4562">
        <f>XLOOKUP(B4828,'_Sys|Line_Map'!$A:$A,'_Sys|Line_Map'!$B:$B,"MISSING",0)</f>
        <v/>
      </c>
    </row>
    <row r="4829">
      <c r="A4829" s="4561" t="n"/>
      <c r="B4829" s="4561" t="n"/>
      <c r="C4829" s="4561" t="n"/>
      <c r="D4829" s="4561" t="n"/>
      <c r="E4829" s="4561" t="n"/>
      <c r="F4829" s="4561" t="n"/>
      <c r="G4829" s="4561" t="n"/>
      <c r="H4829" s="4561" t="n"/>
      <c r="I4829" s="4562">
        <f>XLOOKUP(B4829,'_Sys|Line_Map'!$A:$A,'_Sys|Line_Map'!$C:$C,"MISSING",0)</f>
        <v/>
      </c>
      <c r="J4829" s="4562">
        <f>XLOOKUP(B4829,'_Sys|Line_Map'!$A:$A,'_Sys|Line_Map'!$D:$D,1,0)</f>
        <v/>
      </c>
      <c r="K4829" s="4562">
        <f>IF(D4829="","",D4829*J4829)</f>
        <v/>
      </c>
      <c r="L4829" s="4562">
        <f>XLOOKUP(B4829,'_Sys|Line_Map'!$A:$A,'_Sys|Line_Map'!$B:$B,"MISSING",0)</f>
        <v/>
      </c>
    </row>
    <row r="4830">
      <c r="A4830" s="4561" t="n"/>
      <c r="B4830" s="4561" t="n"/>
      <c r="C4830" s="4561" t="n"/>
      <c r="D4830" s="4561" t="n"/>
      <c r="E4830" s="4561" t="n"/>
      <c r="F4830" s="4561" t="n"/>
      <c r="G4830" s="4561" t="n"/>
      <c r="H4830" s="4561" t="n"/>
      <c r="I4830" s="4562">
        <f>XLOOKUP(B4830,'_Sys|Line_Map'!$A:$A,'_Sys|Line_Map'!$C:$C,"MISSING",0)</f>
        <v/>
      </c>
      <c r="J4830" s="4562">
        <f>XLOOKUP(B4830,'_Sys|Line_Map'!$A:$A,'_Sys|Line_Map'!$D:$D,1,0)</f>
        <v/>
      </c>
      <c r="K4830" s="4562">
        <f>IF(D4830="","",D4830*J4830)</f>
        <v/>
      </c>
      <c r="L4830" s="4562">
        <f>XLOOKUP(B4830,'_Sys|Line_Map'!$A:$A,'_Sys|Line_Map'!$B:$B,"MISSING",0)</f>
        <v/>
      </c>
    </row>
    <row r="4831">
      <c r="A4831" s="4561" t="n"/>
      <c r="B4831" s="4561" t="n"/>
      <c r="C4831" s="4561" t="n"/>
      <c r="D4831" s="4561" t="n"/>
      <c r="E4831" s="4561" t="n"/>
      <c r="F4831" s="4561" t="n"/>
      <c r="G4831" s="4561" t="n"/>
      <c r="H4831" s="4561" t="n"/>
      <c r="I4831" s="4562">
        <f>XLOOKUP(B4831,'_Sys|Line_Map'!$A:$A,'_Sys|Line_Map'!$C:$C,"MISSING",0)</f>
        <v/>
      </c>
      <c r="J4831" s="4562">
        <f>XLOOKUP(B4831,'_Sys|Line_Map'!$A:$A,'_Sys|Line_Map'!$D:$D,1,0)</f>
        <v/>
      </c>
      <c r="K4831" s="4562">
        <f>IF(D4831="","",D4831*J4831)</f>
        <v/>
      </c>
      <c r="L4831" s="4562">
        <f>XLOOKUP(B4831,'_Sys|Line_Map'!$A:$A,'_Sys|Line_Map'!$B:$B,"MISSING",0)</f>
        <v/>
      </c>
    </row>
    <row r="4832">
      <c r="A4832" s="4561" t="n"/>
      <c r="B4832" s="4561" t="n"/>
      <c r="C4832" s="4561" t="n"/>
      <c r="D4832" s="4561" t="n"/>
      <c r="E4832" s="4561" t="n"/>
      <c r="F4832" s="4561" t="n"/>
      <c r="G4832" s="4561" t="n"/>
      <c r="H4832" s="4561" t="n"/>
      <c r="I4832" s="4562">
        <f>XLOOKUP(B4832,'_Sys|Line_Map'!$A:$A,'_Sys|Line_Map'!$C:$C,"MISSING",0)</f>
        <v/>
      </c>
      <c r="J4832" s="4562">
        <f>XLOOKUP(B4832,'_Sys|Line_Map'!$A:$A,'_Sys|Line_Map'!$D:$D,1,0)</f>
        <v/>
      </c>
      <c r="K4832" s="4562">
        <f>IF(D4832="","",D4832*J4832)</f>
        <v/>
      </c>
      <c r="L4832" s="4562">
        <f>XLOOKUP(B4832,'_Sys|Line_Map'!$A:$A,'_Sys|Line_Map'!$B:$B,"MISSING",0)</f>
        <v/>
      </c>
    </row>
    <row r="4833">
      <c r="A4833" s="4561" t="n"/>
      <c r="B4833" s="4561" t="n"/>
      <c r="C4833" s="4561" t="n"/>
      <c r="D4833" s="4561" t="n"/>
      <c r="E4833" s="4561" t="n"/>
      <c r="F4833" s="4561" t="n"/>
      <c r="G4833" s="4561" t="n"/>
      <c r="H4833" s="4561" t="n"/>
      <c r="I4833" s="4562">
        <f>XLOOKUP(B4833,'_Sys|Line_Map'!$A:$A,'_Sys|Line_Map'!$C:$C,"MISSING",0)</f>
        <v/>
      </c>
      <c r="J4833" s="4562">
        <f>XLOOKUP(B4833,'_Sys|Line_Map'!$A:$A,'_Sys|Line_Map'!$D:$D,1,0)</f>
        <v/>
      </c>
      <c r="K4833" s="4562">
        <f>IF(D4833="","",D4833*J4833)</f>
        <v/>
      </c>
      <c r="L4833" s="4562">
        <f>XLOOKUP(B4833,'_Sys|Line_Map'!$A:$A,'_Sys|Line_Map'!$B:$B,"MISSING",0)</f>
        <v/>
      </c>
    </row>
    <row r="4834">
      <c r="A4834" s="4561" t="n"/>
      <c r="B4834" s="4561" t="n"/>
      <c r="C4834" s="4561" t="n"/>
      <c r="D4834" s="4561" t="n"/>
      <c r="E4834" s="4561" t="n"/>
      <c r="F4834" s="4561" t="n"/>
      <c r="G4834" s="4561" t="n"/>
      <c r="H4834" s="4561" t="n"/>
      <c r="I4834" s="4562">
        <f>XLOOKUP(B4834,'_Sys|Line_Map'!$A:$A,'_Sys|Line_Map'!$C:$C,"MISSING",0)</f>
        <v/>
      </c>
      <c r="J4834" s="4562">
        <f>XLOOKUP(B4834,'_Sys|Line_Map'!$A:$A,'_Sys|Line_Map'!$D:$D,1,0)</f>
        <v/>
      </c>
      <c r="K4834" s="4562">
        <f>IF(D4834="","",D4834*J4834)</f>
        <v/>
      </c>
      <c r="L4834" s="4562">
        <f>XLOOKUP(B4834,'_Sys|Line_Map'!$A:$A,'_Sys|Line_Map'!$B:$B,"MISSING",0)</f>
        <v/>
      </c>
    </row>
    <row r="4835">
      <c r="A4835" s="4561" t="n"/>
      <c r="B4835" s="4561" t="n"/>
      <c r="C4835" s="4561" t="n"/>
      <c r="D4835" s="4561" t="n"/>
      <c r="E4835" s="4561" t="n"/>
      <c r="F4835" s="4561" t="n"/>
      <c r="G4835" s="4561" t="n"/>
      <c r="H4835" s="4561" t="n"/>
      <c r="I4835" s="4562">
        <f>XLOOKUP(B4835,'_Sys|Line_Map'!$A:$A,'_Sys|Line_Map'!$C:$C,"MISSING",0)</f>
        <v/>
      </c>
      <c r="J4835" s="4562">
        <f>XLOOKUP(B4835,'_Sys|Line_Map'!$A:$A,'_Sys|Line_Map'!$D:$D,1,0)</f>
        <v/>
      </c>
      <c r="K4835" s="4562">
        <f>IF(D4835="","",D4835*J4835)</f>
        <v/>
      </c>
      <c r="L4835" s="4562">
        <f>XLOOKUP(B4835,'_Sys|Line_Map'!$A:$A,'_Sys|Line_Map'!$B:$B,"MISSING",0)</f>
        <v/>
      </c>
    </row>
    <row r="4836">
      <c r="A4836" s="4561" t="n"/>
      <c r="B4836" s="4561" t="n"/>
      <c r="C4836" s="4561" t="n"/>
      <c r="D4836" s="4561" t="n"/>
      <c r="E4836" s="4561" t="n"/>
      <c r="F4836" s="4561" t="n"/>
      <c r="G4836" s="4561" t="n"/>
      <c r="H4836" s="4561" t="n"/>
      <c r="I4836" s="4562">
        <f>XLOOKUP(B4836,'_Sys|Line_Map'!$A:$A,'_Sys|Line_Map'!$C:$C,"MISSING",0)</f>
        <v/>
      </c>
      <c r="J4836" s="4562">
        <f>XLOOKUP(B4836,'_Sys|Line_Map'!$A:$A,'_Sys|Line_Map'!$D:$D,1,0)</f>
        <v/>
      </c>
      <c r="K4836" s="4562">
        <f>IF(D4836="","",D4836*J4836)</f>
        <v/>
      </c>
      <c r="L4836" s="4562">
        <f>XLOOKUP(B4836,'_Sys|Line_Map'!$A:$A,'_Sys|Line_Map'!$B:$B,"MISSING",0)</f>
        <v/>
      </c>
    </row>
    <row r="4837">
      <c r="A4837" s="4561" t="n"/>
      <c r="B4837" s="4561" t="n"/>
      <c r="C4837" s="4561" t="n"/>
      <c r="D4837" s="4561" t="n"/>
      <c r="E4837" s="4561" t="n"/>
      <c r="F4837" s="4561" t="n"/>
      <c r="G4837" s="4561" t="n"/>
      <c r="H4837" s="4561" t="n"/>
      <c r="I4837" s="4562">
        <f>XLOOKUP(B4837,'_Sys|Line_Map'!$A:$A,'_Sys|Line_Map'!$C:$C,"MISSING",0)</f>
        <v/>
      </c>
      <c r="J4837" s="4562">
        <f>XLOOKUP(B4837,'_Sys|Line_Map'!$A:$A,'_Sys|Line_Map'!$D:$D,1,0)</f>
        <v/>
      </c>
      <c r="K4837" s="4562">
        <f>IF(D4837="","",D4837*J4837)</f>
        <v/>
      </c>
      <c r="L4837" s="4562">
        <f>XLOOKUP(B4837,'_Sys|Line_Map'!$A:$A,'_Sys|Line_Map'!$B:$B,"MISSING",0)</f>
        <v/>
      </c>
    </row>
    <row r="4838">
      <c r="A4838" s="4561" t="n"/>
      <c r="B4838" s="4561" t="n"/>
      <c r="C4838" s="4561" t="n"/>
      <c r="D4838" s="4561" t="n"/>
      <c r="E4838" s="4561" t="n"/>
      <c r="F4838" s="4561" t="n"/>
      <c r="G4838" s="4561" t="n"/>
      <c r="H4838" s="4561" t="n"/>
      <c r="I4838" s="4562">
        <f>XLOOKUP(B4838,'_Sys|Line_Map'!$A:$A,'_Sys|Line_Map'!$C:$C,"MISSING",0)</f>
        <v/>
      </c>
      <c r="J4838" s="4562">
        <f>XLOOKUP(B4838,'_Sys|Line_Map'!$A:$A,'_Sys|Line_Map'!$D:$D,1,0)</f>
        <v/>
      </c>
      <c r="K4838" s="4562">
        <f>IF(D4838="","",D4838*J4838)</f>
        <v/>
      </c>
      <c r="L4838" s="4562">
        <f>XLOOKUP(B4838,'_Sys|Line_Map'!$A:$A,'_Sys|Line_Map'!$B:$B,"MISSING",0)</f>
        <v/>
      </c>
    </row>
    <row r="4839">
      <c r="A4839" s="4561" t="n"/>
      <c r="B4839" s="4561" t="n"/>
      <c r="C4839" s="4561" t="n"/>
      <c r="D4839" s="4561" t="n"/>
      <c r="E4839" s="4561" t="n"/>
      <c r="F4839" s="4561" t="n"/>
      <c r="G4839" s="4561" t="n"/>
      <c r="H4839" s="4561" t="n"/>
      <c r="I4839" s="4562">
        <f>XLOOKUP(B4839,'_Sys|Line_Map'!$A:$A,'_Sys|Line_Map'!$C:$C,"MISSING",0)</f>
        <v/>
      </c>
      <c r="J4839" s="4562">
        <f>XLOOKUP(B4839,'_Sys|Line_Map'!$A:$A,'_Sys|Line_Map'!$D:$D,1,0)</f>
        <v/>
      </c>
      <c r="K4839" s="4562">
        <f>IF(D4839="","",D4839*J4839)</f>
        <v/>
      </c>
      <c r="L4839" s="4562">
        <f>XLOOKUP(B4839,'_Sys|Line_Map'!$A:$A,'_Sys|Line_Map'!$B:$B,"MISSING",0)</f>
        <v/>
      </c>
    </row>
    <row r="4840">
      <c r="A4840" s="4561" t="n"/>
      <c r="B4840" s="4561" t="n"/>
      <c r="C4840" s="4561" t="n"/>
      <c r="D4840" s="4561" t="n"/>
      <c r="E4840" s="4561" t="n"/>
      <c r="F4840" s="4561" t="n"/>
      <c r="G4840" s="4561" t="n"/>
      <c r="H4840" s="4561" t="n"/>
      <c r="I4840" s="4562">
        <f>XLOOKUP(B4840,'_Sys|Line_Map'!$A:$A,'_Sys|Line_Map'!$C:$C,"MISSING",0)</f>
        <v/>
      </c>
      <c r="J4840" s="4562">
        <f>XLOOKUP(B4840,'_Sys|Line_Map'!$A:$A,'_Sys|Line_Map'!$D:$D,1,0)</f>
        <v/>
      </c>
      <c r="K4840" s="4562">
        <f>IF(D4840="","",D4840*J4840)</f>
        <v/>
      </c>
      <c r="L4840" s="4562">
        <f>XLOOKUP(B4840,'_Sys|Line_Map'!$A:$A,'_Sys|Line_Map'!$B:$B,"MISSING",0)</f>
        <v/>
      </c>
    </row>
    <row r="4841">
      <c r="A4841" s="4561" t="n"/>
      <c r="B4841" s="4561" t="n"/>
      <c r="C4841" s="4561" t="n"/>
      <c r="D4841" s="4561" t="n"/>
      <c r="E4841" s="4561" t="n"/>
      <c r="F4841" s="4561" t="n"/>
      <c r="G4841" s="4561" t="n"/>
      <c r="H4841" s="4561" t="n"/>
      <c r="I4841" s="4562">
        <f>XLOOKUP(B4841,'_Sys|Line_Map'!$A:$A,'_Sys|Line_Map'!$C:$C,"MISSING",0)</f>
        <v/>
      </c>
      <c r="J4841" s="4562">
        <f>XLOOKUP(B4841,'_Sys|Line_Map'!$A:$A,'_Sys|Line_Map'!$D:$D,1,0)</f>
        <v/>
      </c>
      <c r="K4841" s="4562">
        <f>IF(D4841="","",D4841*J4841)</f>
        <v/>
      </c>
      <c r="L4841" s="4562">
        <f>XLOOKUP(B4841,'_Sys|Line_Map'!$A:$A,'_Sys|Line_Map'!$B:$B,"MISSING",0)</f>
        <v/>
      </c>
    </row>
    <row r="4842">
      <c r="A4842" s="4561" t="n"/>
      <c r="B4842" s="4561" t="n"/>
      <c r="C4842" s="4561" t="n"/>
      <c r="D4842" s="4561" t="n"/>
      <c r="E4842" s="4561" t="n"/>
      <c r="F4842" s="4561" t="n"/>
      <c r="G4842" s="4561" t="n"/>
      <c r="H4842" s="4561" t="n"/>
      <c r="I4842" s="4562">
        <f>XLOOKUP(B4842,'_Sys|Line_Map'!$A:$A,'_Sys|Line_Map'!$C:$C,"MISSING",0)</f>
        <v/>
      </c>
      <c r="J4842" s="4562">
        <f>XLOOKUP(B4842,'_Sys|Line_Map'!$A:$A,'_Sys|Line_Map'!$D:$D,1,0)</f>
        <v/>
      </c>
      <c r="K4842" s="4562">
        <f>IF(D4842="","",D4842*J4842)</f>
        <v/>
      </c>
      <c r="L4842" s="4562">
        <f>XLOOKUP(B4842,'_Sys|Line_Map'!$A:$A,'_Sys|Line_Map'!$B:$B,"MISSING",0)</f>
        <v/>
      </c>
    </row>
    <row r="4843">
      <c r="A4843" s="4561" t="n"/>
      <c r="B4843" s="4561" t="n"/>
      <c r="C4843" s="4561" t="n"/>
      <c r="D4843" s="4561" t="n"/>
      <c r="E4843" s="4561" t="n"/>
      <c r="F4843" s="4561" t="n"/>
      <c r="G4843" s="4561" t="n"/>
      <c r="H4843" s="4561" t="n"/>
      <c r="I4843" s="4562">
        <f>XLOOKUP(B4843,'_Sys|Line_Map'!$A:$A,'_Sys|Line_Map'!$C:$C,"MISSING",0)</f>
        <v/>
      </c>
      <c r="J4843" s="4562">
        <f>XLOOKUP(B4843,'_Sys|Line_Map'!$A:$A,'_Sys|Line_Map'!$D:$D,1,0)</f>
        <v/>
      </c>
      <c r="K4843" s="4562">
        <f>IF(D4843="","",D4843*J4843)</f>
        <v/>
      </c>
      <c r="L4843" s="4562">
        <f>XLOOKUP(B4843,'_Sys|Line_Map'!$A:$A,'_Sys|Line_Map'!$B:$B,"MISSING",0)</f>
        <v/>
      </c>
    </row>
    <row r="4844">
      <c r="A4844" s="4561" t="n"/>
      <c r="B4844" s="4561" t="n"/>
      <c r="C4844" s="4561" t="n"/>
      <c r="D4844" s="4561" t="n"/>
      <c r="E4844" s="4561" t="n"/>
      <c r="F4844" s="4561" t="n"/>
      <c r="G4844" s="4561" t="n"/>
      <c r="H4844" s="4561" t="n"/>
      <c r="I4844" s="4562">
        <f>XLOOKUP(B4844,'_Sys|Line_Map'!$A:$A,'_Sys|Line_Map'!$C:$C,"MISSING",0)</f>
        <v/>
      </c>
      <c r="J4844" s="4562">
        <f>XLOOKUP(B4844,'_Sys|Line_Map'!$A:$A,'_Sys|Line_Map'!$D:$D,1,0)</f>
        <v/>
      </c>
      <c r="K4844" s="4562">
        <f>IF(D4844="","",D4844*J4844)</f>
        <v/>
      </c>
      <c r="L4844" s="4562">
        <f>XLOOKUP(B4844,'_Sys|Line_Map'!$A:$A,'_Sys|Line_Map'!$B:$B,"MISSING",0)</f>
        <v/>
      </c>
    </row>
    <row r="4845">
      <c r="A4845" s="4561" t="n"/>
      <c r="B4845" s="4561" t="n"/>
      <c r="C4845" s="4561" t="n"/>
      <c r="D4845" s="4561" t="n"/>
      <c r="E4845" s="4561" t="n"/>
      <c r="F4845" s="4561" t="n"/>
      <c r="G4845" s="4561" t="n"/>
      <c r="H4845" s="4561" t="n"/>
      <c r="I4845" s="4562">
        <f>XLOOKUP(B4845,'_Sys|Line_Map'!$A:$A,'_Sys|Line_Map'!$C:$C,"MISSING",0)</f>
        <v/>
      </c>
      <c r="J4845" s="4562">
        <f>XLOOKUP(B4845,'_Sys|Line_Map'!$A:$A,'_Sys|Line_Map'!$D:$D,1,0)</f>
        <v/>
      </c>
      <c r="K4845" s="4562">
        <f>IF(D4845="","",D4845*J4845)</f>
        <v/>
      </c>
      <c r="L4845" s="4562">
        <f>XLOOKUP(B4845,'_Sys|Line_Map'!$A:$A,'_Sys|Line_Map'!$B:$B,"MISSING",0)</f>
        <v/>
      </c>
    </row>
    <row r="4846">
      <c r="A4846" s="4561" t="n"/>
      <c r="B4846" s="4561" t="n"/>
      <c r="C4846" s="4561" t="n"/>
      <c r="D4846" s="4561" t="n"/>
      <c r="E4846" s="4561" t="n"/>
      <c r="F4846" s="4561" t="n"/>
      <c r="G4846" s="4561" t="n"/>
      <c r="H4846" s="4561" t="n"/>
      <c r="I4846" s="4562">
        <f>XLOOKUP(B4846,'_Sys|Line_Map'!$A:$A,'_Sys|Line_Map'!$C:$C,"MISSING",0)</f>
        <v/>
      </c>
      <c r="J4846" s="4562">
        <f>XLOOKUP(B4846,'_Sys|Line_Map'!$A:$A,'_Sys|Line_Map'!$D:$D,1,0)</f>
        <v/>
      </c>
      <c r="K4846" s="4562">
        <f>IF(D4846="","",D4846*J4846)</f>
        <v/>
      </c>
      <c r="L4846" s="4562">
        <f>XLOOKUP(B4846,'_Sys|Line_Map'!$A:$A,'_Sys|Line_Map'!$B:$B,"MISSING",0)</f>
        <v/>
      </c>
    </row>
    <row r="4847">
      <c r="A4847" s="4561" t="n"/>
      <c r="B4847" s="4561" t="n"/>
      <c r="C4847" s="4561" t="n"/>
      <c r="D4847" s="4561" t="n"/>
      <c r="E4847" s="4561" t="n"/>
      <c r="F4847" s="4561" t="n"/>
      <c r="G4847" s="4561" t="n"/>
      <c r="H4847" s="4561" t="n"/>
      <c r="I4847" s="4562">
        <f>XLOOKUP(B4847,'_Sys|Line_Map'!$A:$A,'_Sys|Line_Map'!$C:$C,"MISSING",0)</f>
        <v/>
      </c>
      <c r="J4847" s="4562">
        <f>XLOOKUP(B4847,'_Sys|Line_Map'!$A:$A,'_Sys|Line_Map'!$D:$D,1,0)</f>
        <v/>
      </c>
      <c r="K4847" s="4562">
        <f>IF(D4847="","",D4847*J4847)</f>
        <v/>
      </c>
      <c r="L4847" s="4562">
        <f>XLOOKUP(B4847,'_Sys|Line_Map'!$A:$A,'_Sys|Line_Map'!$B:$B,"MISSING",0)</f>
        <v/>
      </c>
    </row>
    <row r="4848">
      <c r="A4848" s="4561" t="n"/>
      <c r="B4848" s="4561" t="n"/>
      <c r="C4848" s="4561" t="n"/>
      <c r="D4848" s="4561" t="n"/>
      <c r="E4848" s="4561" t="n"/>
      <c r="F4848" s="4561" t="n"/>
      <c r="G4848" s="4561" t="n"/>
      <c r="H4848" s="4561" t="n"/>
      <c r="I4848" s="4562">
        <f>XLOOKUP(B4848,'_Sys|Line_Map'!$A:$A,'_Sys|Line_Map'!$C:$C,"MISSING",0)</f>
        <v/>
      </c>
      <c r="J4848" s="4562">
        <f>XLOOKUP(B4848,'_Sys|Line_Map'!$A:$A,'_Sys|Line_Map'!$D:$D,1,0)</f>
        <v/>
      </c>
      <c r="K4848" s="4562">
        <f>IF(D4848="","",D4848*J4848)</f>
        <v/>
      </c>
      <c r="L4848" s="4562">
        <f>XLOOKUP(B4848,'_Sys|Line_Map'!$A:$A,'_Sys|Line_Map'!$B:$B,"MISSING",0)</f>
        <v/>
      </c>
    </row>
    <row r="4849">
      <c r="A4849" s="4561" t="n"/>
      <c r="B4849" s="4561" t="n"/>
      <c r="C4849" s="4561" t="n"/>
      <c r="D4849" s="4561" t="n"/>
      <c r="E4849" s="4561" t="n"/>
      <c r="F4849" s="4561" t="n"/>
      <c r="G4849" s="4561" t="n"/>
      <c r="H4849" s="4561" t="n"/>
      <c r="I4849" s="4562">
        <f>XLOOKUP(B4849,'_Sys|Line_Map'!$A:$A,'_Sys|Line_Map'!$C:$C,"MISSING",0)</f>
        <v/>
      </c>
      <c r="J4849" s="4562">
        <f>XLOOKUP(B4849,'_Sys|Line_Map'!$A:$A,'_Sys|Line_Map'!$D:$D,1,0)</f>
        <v/>
      </c>
      <c r="K4849" s="4562">
        <f>IF(D4849="","",D4849*J4849)</f>
        <v/>
      </c>
      <c r="L4849" s="4562">
        <f>XLOOKUP(B4849,'_Sys|Line_Map'!$A:$A,'_Sys|Line_Map'!$B:$B,"MISSING",0)</f>
        <v/>
      </c>
    </row>
    <row r="4850">
      <c r="A4850" s="4561" t="n"/>
      <c r="B4850" s="4561" t="n"/>
      <c r="C4850" s="4561" t="n"/>
      <c r="D4850" s="4561" t="n"/>
      <c r="E4850" s="4561" t="n"/>
      <c r="F4850" s="4561" t="n"/>
      <c r="G4850" s="4561" t="n"/>
      <c r="H4850" s="4561" t="n"/>
      <c r="I4850" s="4562">
        <f>XLOOKUP(B4850,'_Sys|Line_Map'!$A:$A,'_Sys|Line_Map'!$C:$C,"MISSING",0)</f>
        <v/>
      </c>
      <c r="J4850" s="4562">
        <f>XLOOKUP(B4850,'_Sys|Line_Map'!$A:$A,'_Sys|Line_Map'!$D:$D,1,0)</f>
        <v/>
      </c>
      <c r="K4850" s="4562">
        <f>IF(D4850="","",D4850*J4850)</f>
        <v/>
      </c>
      <c r="L4850" s="4562">
        <f>XLOOKUP(B4850,'_Sys|Line_Map'!$A:$A,'_Sys|Line_Map'!$B:$B,"MISSING",0)</f>
        <v/>
      </c>
    </row>
    <row r="4851">
      <c r="A4851" s="4561" t="n"/>
      <c r="B4851" s="4561" t="n"/>
      <c r="C4851" s="4561" t="n"/>
      <c r="D4851" s="4561" t="n"/>
      <c r="E4851" s="4561" t="n"/>
      <c r="F4851" s="4561" t="n"/>
      <c r="G4851" s="4561" t="n"/>
      <c r="H4851" s="4561" t="n"/>
      <c r="I4851" s="4562">
        <f>XLOOKUP(B4851,'_Sys|Line_Map'!$A:$A,'_Sys|Line_Map'!$C:$C,"MISSING",0)</f>
        <v/>
      </c>
      <c r="J4851" s="4562">
        <f>XLOOKUP(B4851,'_Sys|Line_Map'!$A:$A,'_Sys|Line_Map'!$D:$D,1,0)</f>
        <v/>
      </c>
      <c r="K4851" s="4562">
        <f>IF(D4851="","",D4851*J4851)</f>
        <v/>
      </c>
      <c r="L4851" s="4562">
        <f>XLOOKUP(B4851,'_Sys|Line_Map'!$A:$A,'_Sys|Line_Map'!$B:$B,"MISSING",0)</f>
        <v/>
      </c>
    </row>
    <row r="4852">
      <c r="A4852" s="4561" t="n"/>
      <c r="B4852" s="4561" t="n"/>
      <c r="C4852" s="4561" t="n"/>
      <c r="D4852" s="4561" t="n"/>
      <c r="E4852" s="4561" t="n"/>
      <c r="F4852" s="4561" t="n"/>
      <c r="G4852" s="4561" t="n"/>
      <c r="H4852" s="4561" t="n"/>
      <c r="I4852" s="4562">
        <f>XLOOKUP(B4852,'_Sys|Line_Map'!$A:$A,'_Sys|Line_Map'!$C:$C,"MISSING",0)</f>
        <v/>
      </c>
      <c r="J4852" s="4562">
        <f>XLOOKUP(B4852,'_Sys|Line_Map'!$A:$A,'_Sys|Line_Map'!$D:$D,1,0)</f>
        <v/>
      </c>
      <c r="K4852" s="4562">
        <f>IF(D4852="","",D4852*J4852)</f>
        <v/>
      </c>
      <c r="L4852" s="4562">
        <f>XLOOKUP(B4852,'_Sys|Line_Map'!$A:$A,'_Sys|Line_Map'!$B:$B,"MISSING",0)</f>
        <v/>
      </c>
    </row>
    <row r="4853">
      <c r="A4853" s="4561" t="n"/>
      <c r="B4853" s="4561" t="n"/>
      <c r="C4853" s="4561" t="n"/>
      <c r="D4853" s="4561" t="n"/>
      <c r="E4853" s="4561" t="n"/>
      <c r="F4853" s="4561" t="n"/>
      <c r="G4853" s="4561" t="n"/>
      <c r="H4853" s="4561" t="n"/>
      <c r="I4853" s="4562">
        <f>XLOOKUP(B4853,'_Sys|Line_Map'!$A:$A,'_Sys|Line_Map'!$C:$C,"MISSING",0)</f>
        <v/>
      </c>
      <c r="J4853" s="4562">
        <f>XLOOKUP(B4853,'_Sys|Line_Map'!$A:$A,'_Sys|Line_Map'!$D:$D,1,0)</f>
        <v/>
      </c>
      <c r="K4853" s="4562">
        <f>IF(D4853="","",D4853*J4853)</f>
        <v/>
      </c>
      <c r="L4853" s="4562">
        <f>XLOOKUP(B4853,'_Sys|Line_Map'!$A:$A,'_Sys|Line_Map'!$B:$B,"MISSING",0)</f>
        <v/>
      </c>
    </row>
    <row r="4854">
      <c r="A4854" s="4561" t="n"/>
      <c r="B4854" s="4561" t="n"/>
      <c r="C4854" s="4561" t="n"/>
      <c r="D4854" s="4561" t="n"/>
      <c r="E4854" s="4561" t="n"/>
      <c r="F4854" s="4561" t="n"/>
      <c r="G4854" s="4561" t="n"/>
      <c r="H4854" s="4561" t="n"/>
      <c r="I4854" s="4562">
        <f>XLOOKUP(B4854,'_Sys|Line_Map'!$A:$A,'_Sys|Line_Map'!$C:$C,"MISSING",0)</f>
        <v/>
      </c>
      <c r="J4854" s="4562">
        <f>XLOOKUP(B4854,'_Sys|Line_Map'!$A:$A,'_Sys|Line_Map'!$D:$D,1,0)</f>
        <v/>
      </c>
      <c r="K4854" s="4562">
        <f>IF(D4854="","",D4854*J4854)</f>
        <v/>
      </c>
      <c r="L4854" s="4562">
        <f>XLOOKUP(B4854,'_Sys|Line_Map'!$A:$A,'_Sys|Line_Map'!$B:$B,"MISSING",0)</f>
        <v/>
      </c>
    </row>
    <row r="4855">
      <c r="A4855" s="4561" t="n"/>
      <c r="B4855" s="4561" t="n"/>
      <c r="C4855" s="4561" t="n"/>
      <c r="D4855" s="4561" t="n"/>
      <c r="E4855" s="4561" t="n"/>
      <c r="F4855" s="4561" t="n"/>
      <c r="G4855" s="4561" t="n"/>
      <c r="H4855" s="4561" t="n"/>
      <c r="I4855" s="4562">
        <f>XLOOKUP(B4855,'_Sys|Line_Map'!$A:$A,'_Sys|Line_Map'!$C:$C,"MISSING",0)</f>
        <v/>
      </c>
      <c r="J4855" s="4562">
        <f>XLOOKUP(B4855,'_Sys|Line_Map'!$A:$A,'_Sys|Line_Map'!$D:$D,1,0)</f>
        <v/>
      </c>
      <c r="K4855" s="4562">
        <f>IF(D4855="","",D4855*J4855)</f>
        <v/>
      </c>
      <c r="L4855" s="4562">
        <f>XLOOKUP(B4855,'_Sys|Line_Map'!$A:$A,'_Sys|Line_Map'!$B:$B,"MISSING",0)</f>
        <v/>
      </c>
    </row>
    <row r="4856">
      <c r="A4856" s="4561" t="n"/>
      <c r="B4856" s="4561" t="n"/>
      <c r="C4856" s="4561" t="n"/>
      <c r="D4856" s="4561" t="n"/>
      <c r="E4856" s="4561" t="n"/>
      <c r="F4856" s="4561" t="n"/>
      <c r="G4856" s="4561" t="n"/>
      <c r="H4856" s="4561" t="n"/>
      <c r="I4856" s="4562">
        <f>XLOOKUP(B4856,'_Sys|Line_Map'!$A:$A,'_Sys|Line_Map'!$C:$C,"MISSING",0)</f>
        <v/>
      </c>
      <c r="J4856" s="4562">
        <f>XLOOKUP(B4856,'_Sys|Line_Map'!$A:$A,'_Sys|Line_Map'!$D:$D,1,0)</f>
        <v/>
      </c>
      <c r="K4856" s="4562">
        <f>IF(D4856="","",D4856*J4856)</f>
        <v/>
      </c>
      <c r="L4856" s="4562">
        <f>XLOOKUP(B4856,'_Sys|Line_Map'!$A:$A,'_Sys|Line_Map'!$B:$B,"MISSING",0)</f>
        <v/>
      </c>
    </row>
    <row r="4857">
      <c r="A4857" s="4561" t="n"/>
      <c r="B4857" s="4561" t="n"/>
      <c r="C4857" s="4561" t="n"/>
      <c r="D4857" s="4561" t="n"/>
      <c r="E4857" s="4561" t="n"/>
      <c r="F4857" s="4561" t="n"/>
      <c r="G4857" s="4561" t="n"/>
      <c r="H4857" s="4561" t="n"/>
      <c r="I4857" s="4562">
        <f>XLOOKUP(B4857,'_Sys|Line_Map'!$A:$A,'_Sys|Line_Map'!$C:$C,"MISSING",0)</f>
        <v/>
      </c>
      <c r="J4857" s="4562">
        <f>XLOOKUP(B4857,'_Sys|Line_Map'!$A:$A,'_Sys|Line_Map'!$D:$D,1,0)</f>
        <v/>
      </c>
      <c r="K4857" s="4562">
        <f>IF(D4857="","",D4857*J4857)</f>
        <v/>
      </c>
      <c r="L4857" s="4562">
        <f>XLOOKUP(B4857,'_Sys|Line_Map'!$A:$A,'_Sys|Line_Map'!$B:$B,"MISSING",0)</f>
        <v/>
      </c>
    </row>
    <row r="4858">
      <c r="A4858" s="4561" t="n"/>
      <c r="B4858" s="4561" t="n"/>
      <c r="C4858" s="4561" t="n"/>
      <c r="D4858" s="4561" t="n"/>
      <c r="E4858" s="4561" t="n"/>
      <c r="F4858" s="4561" t="n"/>
      <c r="G4858" s="4561" t="n"/>
      <c r="H4858" s="4561" t="n"/>
      <c r="I4858" s="4562">
        <f>XLOOKUP(B4858,'_Sys|Line_Map'!$A:$A,'_Sys|Line_Map'!$C:$C,"MISSING",0)</f>
        <v/>
      </c>
      <c r="J4858" s="4562">
        <f>XLOOKUP(B4858,'_Sys|Line_Map'!$A:$A,'_Sys|Line_Map'!$D:$D,1,0)</f>
        <v/>
      </c>
      <c r="K4858" s="4562">
        <f>IF(D4858="","",D4858*J4858)</f>
        <v/>
      </c>
      <c r="L4858" s="4562">
        <f>XLOOKUP(B4858,'_Sys|Line_Map'!$A:$A,'_Sys|Line_Map'!$B:$B,"MISSING",0)</f>
        <v/>
      </c>
    </row>
    <row r="4859">
      <c r="A4859" s="4561" t="n"/>
      <c r="B4859" s="4561" t="n"/>
      <c r="C4859" s="4561" t="n"/>
      <c r="D4859" s="4561" t="n"/>
      <c r="E4859" s="4561" t="n"/>
      <c r="F4859" s="4561" t="n"/>
      <c r="G4859" s="4561" t="n"/>
      <c r="H4859" s="4561" t="n"/>
      <c r="I4859" s="4562">
        <f>XLOOKUP(B4859,'_Sys|Line_Map'!$A:$A,'_Sys|Line_Map'!$C:$C,"MISSING",0)</f>
        <v/>
      </c>
      <c r="J4859" s="4562">
        <f>XLOOKUP(B4859,'_Sys|Line_Map'!$A:$A,'_Sys|Line_Map'!$D:$D,1,0)</f>
        <v/>
      </c>
      <c r="K4859" s="4562">
        <f>IF(D4859="","",D4859*J4859)</f>
        <v/>
      </c>
      <c r="L4859" s="4562">
        <f>XLOOKUP(B4859,'_Sys|Line_Map'!$A:$A,'_Sys|Line_Map'!$B:$B,"MISSING",0)</f>
        <v/>
      </c>
    </row>
    <row r="4860">
      <c r="A4860" s="4561" t="n"/>
      <c r="B4860" s="4561" t="n"/>
      <c r="C4860" s="4561" t="n"/>
      <c r="D4860" s="4561" t="n"/>
      <c r="E4860" s="4561" t="n"/>
      <c r="F4860" s="4561" t="n"/>
      <c r="G4860" s="4561" t="n"/>
      <c r="H4860" s="4561" t="n"/>
      <c r="I4860" s="4562">
        <f>XLOOKUP(B4860,'_Sys|Line_Map'!$A:$A,'_Sys|Line_Map'!$C:$C,"MISSING",0)</f>
        <v/>
      </c>
      <c r="J4860" s="4562">
        <f>XLOOKUP(B4860,'_Sys|Line_Map'!$A:$A,'_Sys|Line_Map'!$D:$D,1,0)</f>
        <v/>
      </c>
      <c r="K4860" s="4562">
        <f>IF(D4860="","",D4860*J4860)</f>
        <v/>
      </c>
      <c r="L4860" s="4562">
        <f>XLOOKUP(B4860,'_Sys|Line_Map'!$A:$A,'_Sys|Line_Map'!$B:$B,"MISSING",0)</f>
        <v/>
      </c>
    </row>
    <row r="4861">
      <c r="A4861" s="4561" t="n"/>
      <c r="B4861" s="4561" t="n"/>
      <c r="C4861" s="4561" t="n"/>
      <c r="D4861" s="4561" t="n"/>
      <c r="E4861" s="4561" t="n"/>
      <c r="F4861" s="4561" t="n"/>
      <c r="G4861" s="4561" t="n"/>
      <c r="H4861" s="4561" t="n"/>
      <c r="I4861" s="4562">
        <f>XLOOKUP(B4861,'_Sys|Line_Map'!$A:$A,'_Sys|Line_Map'!$C:$C,"MISSING",0)</f>
        <v/>
      </c>
      <c r="J4861" s="4562">
        <f>XLOOKUP(B4861,'_Sys|Line_Map'!$A:$A,'_Sys|Line_Map'!$D:$D,1,0)</f>
        <v/>
      </c>
      <c r="K4861" s="4562">
        <f>IF(D4861="","",D4861*J4861)</f>
        <v/>
      </c>
      <c r="L4861" s="4562">
        <f>XLOOKUP(B4861,'_Sys|Line_Map'!$A:$A,'_Sys|Line_Map'!$B:$B,"MISSING",0)</f>
        <v/>
      </c>
    </row>
    <row r="4862">
      <c r="A4862" s="4561" t="n"/>
      <c r="B4862" s="4561" t="n"/>
      <c r="C4862" s="4561" t="n"/>
      <c r="D4862" s="4561" t="n"/>
      <c r="E4862" s="4561" t="n"/>
      <c r="F4862" s="4561" t="n"/>
      <c r="G4862" s="4561" t="n"/>
      <c r="H4862" s="4561" t="n"/>
      <c r="I4862" s="4562">
        <f>XLOOKUP(B4862,'_Sys|Line_Map'!$A:$A,'_Sys|Line_Map'!$C:$C,"MISSING",0)</f>
        <v/>
      </c>
      <c r="J4862" s="4562">
        <f>XLOOKUP(B4862,'_Sys|Line_Map'!$A:$A,'_Sys|Line_Map'!$D:$D,1,0)</f>
        <v/>
      </c>
      <c r="K4862" s="4562">
        <f>IF(D4862="","",D4862*J4862)</f>
        <v/>
      </c>
      <c r="L4862" s="4562">
        <f>XLOOKUP(B4862,'_Sys|Line_Map'!$A:$A,'_Sys|Line_Map'!$B:$B,"MISSING",0)</f>
        <v/>
      </c>
    </row>
    <row r="4863">
      <c r="A4863" s="4561" t="n"/>
      <c r="B4863" s="4561" t="n"/>
      <c r="C4863" s="4561" t="n"/>
      <c r="D4863" s="4561" t="n"/>
      <c r="E4863" s="4561" t="n"/>
      <c r="F4863" s="4561" t="n"/>
      <c r="G4863" s="4561" t="n"/>
      <c r="H4863" s="4561" t="n"/>
      <c r="I4863" s="4562">
        <f>XLOOKUP(B4863,'_Sys|Line_Map'!$A:$A,'_Sys|Line_Map'!$C:$C,"MISSING",0)</f>
        <v/>
      </c>
      <c r="J4863" s="4562">
        <f>XLOOKUP(B4863,'_Sys|Line_Map'!$A:$A,'_Sys|Line_Map'!$D:$D,1,0)</f>
        <v/>
      </c>
      <c r="K4863" s="4562">
        <f>IF(D4863="","",D4863*J4863)</f>
        <v/>
      </c>
      <c r="L4863" s="4562">
        <f>XLOOKUP(B4863,'_Sys|Line_Map'!$A:$A,'_Sys|Line_Map'!$B:$B,"MISSING",0)</f>
        <v/>
      </c>
    </row>
    <row r="4864">
      <c r="A4864" s="4561" t="n"/>
      <c r="B4864" s="4561" t="n"/>
      <c r="C4864" s="4561" t="n"/>
      <c r="D4864" s="4561" t="n"/>
      <c r="E4864" s="4561" t="n"/>
      <c r="F4864" s="4561" t="n"/>
      <c r="G4864" s="4561" t="n"/>
      <c r="H4864" s="4561" t="n"/>
      <c r="I4864" s="4562">
        <f>XLOOKUP(B4864,'_Sys|Line_Map'!$A:$A,'_Sys|Line_Map'!$C:$C,"MISSING",0)</f>
        <v/>
      </c>
      <c r="J4864" s="4562">
        <f>XLOOKUP(B4864,'_Sys|Line_Map'!$A:$A,'_Sys|Line_Map'!$D:$D,1,0)</f>
        <v/>
      </c>
      <c r="K4864" s="4562">
        <f>IF(D4864="","",D4864*J4864)</f>
        <v/>
      </c>
      <c r="L4864" s="4562">
        <f>XLOOKUP(B4864,'_Sys|Line_Map'!$A:$A,'_Sys|Line_Map'!$B:$B,"MISSING",0)</f>
        <v/>
      </c>
    </row>
    <row r="4865">
      <c r="A4865" s="4561" t="n"/>
      <c r="B4865" s="4561" t="n"/>
      <c r="C4865" s="4561" t="n"/>
      <c r="D4865" s="4561" t="n"/>
      <c r="E4865" s="4561" t="n"/>
      <c r="F4865" s="4561" t="n"/>
      <c r="G4865" s="4561" t="n"/>
      <c r="H4865" s="4561" t="n"/>
      <c r="I4865" s="4562">
        <f>XLOOKUP(B4865,'_Sys|Line_Map'!$A:$A,'_Sys|Line_Map'!$C:$C,"MISSING",0)</f>
        <v/>
      </c>
      <c r="J4865" s="4562">
        <f>XLOOKUP(B4865,'_Sys|Line_Map'!$A:$A,'_Sys|Line_Map'!$D:$D,1,0)</f>
        <v/>
      </c>
      <c r="K4865" s="4562">
        <f>IF(D4865="","",D4865*J4865)</f>
        <v/>
      </c>
      <c r="L4865" s="4562">
        <f>XLOOKUP(B4865,'_Sys|Line_Map'!$A:$A,'_Sys|Line_Map'!$B:$B,"MISSING",0)</f>
        <v/>
      </c>
    </row>
    <row r="4866">
      <c r="A4866" s="4561" t="n"/>
      <c r="B4866" s="4561" t="n"/>
      <c r="C4866" s="4561" t="n"/>
      <c r="D4866" s="4561" t="n"/>
      <c r="E4866" s="4561" t="n"/>
      <c r="F4866" s="4561" t="n"/>
      <c r="G4866" s="4561" t="n"/>
      <c r="H4866" s="4561" t="n"/>
      <c r="I4866" s="4562">
        <f>XLOOKUP(B4866,'_Sys|Line_Map'!$A:$A,'_Sys|Line_Map'!$C:$C,"MISSING",0)</f>
        <v/>
      </c>
      <c r="J4866" s="4562">
        <f>XLOOKUP(B4866,'_Sys|Line_Map'!$A:$A,'_Sys|Line_Map'!$D:$D,1,0)</f>
        <v/>
      </c>
      <c r="K4866" s="4562">
        <f>IF(D4866="","",D4866*J4866)</f>
        <v/>
      </c>
      <c r="L4866" s="4562">
        <f>XLOOKUP(B4866,'_Sys|Line_Map'!$A:$A,'_Sys|Line_Map'!$B:$B,"MISSING",0)</f>
        <v/>
      </c>
    </row>
    <row r="4867">
      <c r="A4867" s="4561" t="n"/>
      <c r="B4867" s="4561" t="n"/>
      <c r="C4867" s="4561" t="n"/>
      <c r="D4867" s="4561" t="n"/>
      <c r="E4867" s="4561" t="n"/>
      <c r="F4867" s="4561" t="n"/>
      <c r="G4867" s="4561" t="n"/>
      <c r="H4867" s="4561" t="n"/>
      <c r="I4867" s="4562">
        <f>XLOOKUP(B4867,'_Sys|Line_Map'!$A:$A,'_Sys|Line_Map'!$C:$C,"MISSING",0)</f>
        <v/>
      </c>
      <c r="J4867" s="4562">
        <f>XLOOKUP(B4867,'_Sys|Line_Map'!$A:$A,'_Sys|Line_Map'!$D:$D,1,0)</f>
        <v/>
      </c>
      <c r="K4867" s="4562">
        <f>IF(D4867="","",D4867*J4867)</f>
        <v/>
      </c>
      <c r="L4867" s="4562">
        <f>XLOOKUP(B4867,'_Sys|Line_Map'!$A:$A,'_Sys|Line_Map'!$B:$B,"MISSING",0)</f>
        <v/>
      </c>
    </row>
    <row r="4868">
      <c r="A4868" s="4561" t="n"/>
      <c r="B4868" s="4561" t="n"/>
      <c r="C4868" s="4561" t="n"/>
      <c r="D4868" s="4561" t="n"/>
      <c r="E4868" s="4561" t="n"/>
      <c r="F4868" s="4561" t="n"/>
      <c r="G4868" s="4561" t="n"/>
      <c r="H4868" s="4561" t="n"/>
      <c r="I4868" s="4562">
        <f>XLOOKUP(B4868,'_Sys|Line_Map'!$A:$A,'_Sys|Line_Map'!$C:$C,"MISSING",0)</f>
        <v/>
      </c>
      <c r="J4868" s="4562">
        <f>XLOOKUP(B4868,'_Sys|Line_Map'!$A:$A,'_Sys|Line_Map'!$D:$D,1,0)</f>
        <v/>
      </c>
      <c r="K4868" s="4562">
        <f>IF(D4868="","",D4868*J4868)</f>
        <v/>
      </c>
      <c r="L4868" s="4562">
        <f>XLOOKUP(B4868,'_Sys|Line_Map'!$A:$A,'_Sys|Line_Map'!$B:$B,"MISSING",0)</f>
        <v/>
      </c>
    </row>
    <row r="4869">
      <c r="A4869" s="4561" t="n"/>
      <c r="B4869" s="4561" t="n"/>
      <c r="C4869" s="4561" t="n"/>
      <c r="D4869" s="4561" t="n"/>
      <c r="E4869" s="4561" t="n"/>
      <c r="F4869" s="4561" t="n"/>
      <c r="G4869" s="4561" t="n"/>
      <c r="H4869" s="4561" t="n"/>
      <c r="I4869" s="4562">
        <f>XLOOKUP(B4869,'_Sys|Line_Map'!$A:$A,'_Sys|Line_Map'!$C:$C,"MISSING",0)</f>
        <v/>
      </c>
      <c r="J4869" s="4562">
        <f>XLOOKUP(B4869,'_Sys|Line_Map'!$A:$A,'_Sys|Line_Map'!$D:$D,1,0)</f>
        <v/>
      </c>
      <c r="K4869" s="4562">
        <f>IF(D4869="","",D4869*J4869)</f>
        <v/>
      </c>
      <c r="L4869" s="4562">
        <f>XLOOKUP(B4869,'_Sys|Line_Map'!$A:$A,'_Sys|Line_Map'!$B:$B,"MISSING",0)</f>
        <v/>
      </c>
    </row>
    <row r="4870">
      <c r="A4870" s="4561" t="n"/>
      <c r="B4870" s="4561" t="n"/>
      <c r="C4870" s="4561" t="n"/>
      <c r="D4870" s="4561" t="n"/>
      <c r="E4870" s="4561" t="n"/>
      <c r="F4870" s="4561" t="n"/>
      <c r="G4870" s="4561" t="n"/>
      <c r="H4870" s="4561" t="n"/>
      <c r="I4870" s="4562">
        <f>XLOOKUP(B4870,'_Sys|Line_Map'!$A:$A,'_Sys|Line_Map'!$C:$C,"MISSING",0)</f>
        <v/>
      </c>
      <c r="J4870" s="4562">
        <f>XLOOKUP(B4870,'_Sys|Line_Map'!$A:$A,'_Sys|Line_Map'!$D:$D,1,0)</f>
        <v/>
      </c>
      <c r="K4870" s="4562">
        <f>IF(D4870="","",D4870*J4870)</f>
        <v/>
      </c>
      <c r="L4870" s="4562">
        <f>XLOOKUP(B4870,'_Sys|Line_Map'!$A:$A,'_Sys|Line_Map'!$B:$B,"MISSING",0)</f>
        <v/>
      </c>
    </row>
    <row r="4871">
      <c r="A4871" s="4561" t="n"/>
      <c r="B4871" s="4561" t="n"/>
      <c r="C4871" s="4561" t="n"/>
      <c r="D4871" s="4561" t="n"/>
      <c r="E4871" s="4561" t="n"/>
      <c r="F4871" s="4561" t="n"/>
      <c r="G4871" s="4561" t="n"/>
      <c r="H4871" s="4561" t="n"/>
      <c r="I4871" s="4562">
        <f>XLOOKUP(B4871,'_Sys|Line_Map'!$A:$A,'_Sys|Line_Map'!$C:$C,"MISSING",0)</f>
        <v/>
      </c>
      <c r="J4871" s="4562">
        <f>XLOOKUP(B4871,'_Sys|Line_Map'!$A:$A,'_Sys|Line_Map'!$D:$D,1,0)</f>
        <v/>
      </c>
      <c r="K4871" s="4562">
        <f>IF(D4871="","",D4871*J4871)</f>
        <v/>
      </c>
      <c r="L4871" s="4562">
        <f>XLOOKUP(B4871,'_Sys|Line_Map'!$A:$A,'_Sys|Line_Map'!$B:$B,"MISSING",0)</f>
        <v/>
      </c>
    </row>
    <row r="4872">
      <c r="A4872" s="4561" t="n"/>
      <c r="B4872" s="4561" t="n"/>
      <c r="C4872" s="4561" t="n"/>
      <c r="D4872" s="4561" t="n"/>
      <c r="E4872" s="4561" t="n"/>
      <c r="F4872" s="4561" t="n"/>
      <c r="G4872" s="4561" t="n"/>
      <c r="H4872" s="4561" t="n"/>
      <c r="I4872" s="4562">
        <f>XLOOKUP(B4872,'_Sys|Line_Map'!$A:$A,'_Sys|Line_Map'!$C:$C,"MISSING",0)</f>
        <v/>
      </c>
      <c r="J4872" s="4562">
        <f>XLOOKUP(B4872,'_Sys|Line_Map'!$A:$A,'_Sys|Line_Map'!$D:$D,1,0)</f>
        <v/>
      </c>
      <c r="K4872" s="4562">
        <f>IF(D4872="","",D4872*J4872)</f>
        <v/>
      </c>
      <c r="L4872" s="4562">
        <f>XLOOKUP(B4872,'_Sys|Line_Map'!$A:$A,'_Sys|Line_Map'!$B:$B,"MISSING",0)</f>
        <v/>
      </c>
    </row>
    <row r="4873">
      <c r="A4873" s="4561" t="n"/>
      <c r="B4873" s="4561" t="n"/>
      <c r="C4873" s="4561" t="n"/>
      <c r="D4873" s="4561" t="n"/>
      <c r="E4873" s="4561" t="n"/>
      <c r="F4873" s="4561" t="n"/>
      <c r="G4873" s="4561" t="n"/>
      <c r="H4873" s="4561" t="n"/>
      <c r="I4873" s="4562">
        <f>XLOOKUP(B4873,'_Sys|Line_Map'!$A:$A,'_Sys|Line_Map'!$C:$C,"MISSING",0)</f>
        <v/>
      </c>
      <c r="J4873" s="4562">
        <f>XLOOKUP(B4873,'_Sys|Line_Map'!$A:$A,'_Sys|Line_Map'!$D:$D,1,0)</f>
        <v/>
      </c>
      <c r="K4873" s="4562">
        <f>IF(D4873="","",D4873*J4873)</f>
        <v/>
      </c>
      <c r="L4873" s="4562">
        <f>XLOOKUP(B4873,'_Sys|Line_Map'!$A:$A,'_Sys|Line_Map'!$B:$B,"MISSING",0)</f>
        <v/>
      </c>
    </row>
    <row r="4874">
      <c r="A4874" s="4561" t="n"/>
      <c r="B4874" s="4561" t="n"/>
      <c r="C4874" s="4561" t="n"/>
      <c r="D4874" s="4561" t="n"/>
      <c r="E4874" s="4561" t="n"/>
      <c r="F4874" s="4561" t="n"/>
      <c r="G4874" s="4561" t="n"/>
      <c r="H4874" s="4561" t="n"/>
      <c r="I4874" s="4562">
        <f>XLOOKUP(B4874,'_Sys|Line_Map'!$A:$A,'_Sys|Line_Map'!$C:$C,"MISSING",0)</f>
        <v/>
      </c>
      <c r="J4874" s="4562">
        <f>XLOOKUP(B4874,'_Sys|Line_Map'!$A:$A,'_Sys|Line_Map'!$D:$D,1,0)</f>
        <v/>
      </c>
      <c r="K4874" s="4562">
        <f>IF(D4874="","",D4874*J4874)</f>
        <v/>
      </c>
      <c r="L4874" s="4562">
        <f>XLOOKUP(B4874,'_Sys|Line_Map'!$A:$A,'_Sys|Line_Map'!$B:$B,"MISSING",0)</f>
        <v/>
      </c>
    </row>
    <row r="4875">
      <c r="A4875" s="4561" t="n"/>
      <c r="B4875" s="4561" t="n"/>
      <c r="C4875" s="4561" t="n"/>
      <c r="D4875" s="4561" t="n"/>
      <c r="E4875" s="4561" t="n"/>
      <c r="F4875" s="4561" t="n"/>
      <c r="G4875" s="4561" t="n"/>
      <c r="H4875" s="4561" t="n"/>
      <c r="I4875" s="4562">
        <f>XLOOKUP(B4875,'_Sys|Line_Map'!$A:$A,'_Sys|Line_Map'!$C:$C,"MISSING",0)</f>
        <v/>
      </c>
      <c r="J4875" s="4562">
        <f>XLOOKUP(B4875,'_Sys|Line_Map'!$A:$A,'_Sys|Line_Map'!$D:$D,1,0)</f>
        <v/>
      </c>
      <c r="K4875" s="4562">
        <f>IF(D4875="","",D4875*J4875)</f>
        <v/>
      </c>
      <c r="L4875" s="4562">
        <f>XLOOKUP(B4875,'_Sys|Line_Map'!$A:$A,'_Sys|Line_Map'!$B:$B,"MISSING",0)</f>
        <v/>
      </c>
    </row>
    <row r="4876">
      <c r="A4876" s="4561" t="n"/>
      <c r="B4876" s="4561" t="n"/>
      <c r="C4876" s="4561" t="n"/>
      <c r="D4876" s="4561" t="n"/>
      <c r="E4876" s="4561" t="n"/>
      <c r="F4876" s="4561" t="n"/>
      <c r="G4876" s="4561" t="n"/>
      <c r="H4876" s="4561" t="n"/>
      <c r="I4876" s="4562">
        <f>XLOOKUP(B4876,'_Sys|Line_Map'!$A:$A,'_Sys|Line_Map'!$C:$C,"MISSING",0)</f>
        <v/>
      </c>
      <c r="J4876" s="4562">
        <f>XLOOKUP(B4876,'_Sys|Line_Map'!$A:$A,'_Sys|Line_Map'!$D:$D,1,0)</f>
        <v/>
      </c>
      <c r="K4876" s="4562">
        <f>IF(D4876="","",D4876*J4876)</f>
        <v/>
      </c>
      <c r="L4876" s="4562">
        <f>XLOOKUP(B4876,'_Sys|Line_Map'!$A:$A,'_Sys|Line_Map'!$B:$B,"MISSING",0)</f>
        <v/>
      </c>
    </row>
    <row r="4877">
      <c r="A4877" s="4561" t="n"/>
      <c r="B4877" s="4561" t="n"/>
      <c r="C4877" s="4561" t="n"/>
      <c r="D4877" s="4561" t="n"/>
      <c r="E4877" s="4561" t="n"/>
      <c r="F4877" s="4561" t="n"/>
      <c r="G4877" s="4561" t="n"/>
      <c r="H4877" s="4561" t="n"/>
      <c r="I4877" s="4562">
        <f>XLOOKUP(B4877,'_Sys|Line_Map'!$A:$A,'_Sys|Line_Map'!$C:$C,"MISSING",0)</f>
        <v/>
      </c>
      <c r="J4877" s="4562">
        <f>XLOOKUP(B4877,'_Sys|Line_Map'!$A:$A,'_Sys|Line_Map'!$D:$D,1,0)</f>
        <v/>
      </c>
      <c r="K4877" s="4562">
        <f>IF(D4877="","",D4877*J4877)</f>
        <v/>
      </c>
      <c r="L4877" s="4562">
        <f>XLOOKUP(B4877,'_Sys|Line_Map'!$A:$A,'_Sys|Line_Map'!$B:$B,"MISSING",0)</f>
        <v/>
      </c>
    </row>
    <row r="4878">
      <c r="A4878" s="4561" t="n"/>
      <c r="B4878" s="4561" t="n"/>
      <c r="C4878" s="4561" t="n"/>
      <c r="D4878" s="4561" t="n"/>
      <c r="E4878" s="4561" t="n"/>
      <c r="F4878" s="4561" t="n"/>
      <c r="G4878" s="4561" t="n"/>
      <c r="H4878" s="4561" t="n"/>
      <c r="I4878" s="4562">
        <f>XLOOKUP(B4878,'_Sys|Line_Map'!$A:$A,'_Sys|Line_Map'!$C:$C,"MISSING",0)</f>
        <v/>
      </c>
      <c r="J4878" s="4562">
        <f>XLOOKUP(B4878,'_Sys|Line_Map'!$A:$A,'_Sys|Line_Map'!$D:$D,1,0)</f>
        <v/>
      </c>
      <c r="K4878" s="4562">
        <f>IF(D4878="","",D4878*J4878)</f>
        <v/>
      </c>
      <c r="L4878" s="4562">
        <f>XLOOKUP(B4878,'_Sys|Line_Map'!$A:$A,'_Sys|Line_Map'!$B:$B,"MISSING",0)</f>
        <v/>
      </c>
    </row>
    <row r="4879">
      <c r="A4879" s="4561" t="n"/>
      <c r="B4879" s="4561" t="n"/>
      <c r="C4879" s="4561" t="n"/>
      <c r="D4879" s="4561" t="n"/>
      <c r="E4879" s="4561" t="n"/>
      <c r="F4879" s="4561" t="n"/>
      <c r="G4879" s="4561" t="n"/>
      <c r="H4879" s="4561" t="n"/>
      <c r="I4879" s="4562">
        <f>XLOOKUP(B4879,'_Sys|Line_Map'!$A:$A,'_Sys|Line_Map'!$C:$C,"MISSING",0)</f>
        <v/>
      </c>
      <c r="J4879" s="4562">
        <f>XLOOKUP(B4879,'_Sys|Line_Map'!$A:$A,'_Sys|Line_Map'!$D:$D,1,0)</f>
        <v/>
      </c>
      <c r="K4879" s="4562">
        <f>IF(D4879="","",D4879*J4879)</f>
        <v/>
      </c>
      <c r="L4879" s="4562">
        <f>XLOOKUP(B4879,'_Sys|Line_Map'!$A:$A,'_Sys|Line_Map'!$B:$B,"MISSING",0)</f>
        <v/>
      </c>
    </row>
    <row r="4880">
      <c r="A4880" s="4561" t="n"/>
      <c r="B4880" s="4561" t="n"/>
      <c r="C4880" s="4561" t="n"/>
      <c r="D4880" s="4561" t="n"/>
      <c r="E4880" s="4561" t="n"/>
      <c r="F4880" s="4561" t="n"/>
      <c r="G4880" s="4561" t="n"/>
      <c r="H4880" s="4561" t="n"/>
      <c r="I4880" s="4562">
        <f>XLOOKUP(B4880,'_Sys|Line_Map'!$A:$A,'_Sys|Line_Map'!$C:$C,"MISSING",0)</f>
        <v/>
      </c>
      <c r="J4880" s="4562">
        <f>XLOOKUP(B4880,'_Sys|Line_Map'!$A:$A,'_Sys|Line_Map'!$D:$D,1,0)</f>
        <v/>
      </c>
      <c r="K4880" s="4562">
        <f>IF(D4880="","",D4880*J4880)</f>
        <v/>
      </c>
      <c r="L4880" s="4562">
        <f>XLOOKUP(B4880,'_Sys|Line_Map'!$A:$A,'_Sys|Line_Map'!$B:$B,"MISSING",0)</f>
        <v/>
      </c>
    </row>
    <row r="4881">
      <c r="A4881" s="4561" t="n"/>
      <c r="B4881" s="4561" t="n"/>
      <c r="C4881" s="4561" t="n"/>
      <c r="D4881" s="4561" t="n"/>
      <c r="E4881" s="4561" t="n"/>
      <c r="F4881" s="4561" t="n"/>
      <c r="G4881" s="4561" t="n"/>
      <c r="H4881" s="4561" t="n"/>
      <c r="I4881" s="4562">
        <f>XLOOKUP(B4881,'_Sys|Line_Map'!$A:$A,'_Sys|Line_Map'!$C:$C,"MISSING",0)</f>
        <v/>
      </c>
      <c r="J4881" s="4562">
        <f>XLOOKUP(B4881,'_Sys|Line_Map'!$A:$A,'_Sys|Line_Map'!$D:$D,1,0)</f>
        <v/>
      </c>
      <c r="K4881" s="4562">
        <f>IF(D4881="","",D4881*J4881)</f>
        <v/>
      </c>
      <c r="L4881" s="4562">
        <f>XLOOKUP(B4881,'_Sys|Line_Map'!$A:$A,'_Sys|Line_Map'!$B:$B,"MISSING",0)</f>
        <v/>
      </c>
    </row>
    <row r="4882">
      <c r="A4882" s="4561" t="n"/>
      <c r="B4882" s="4561" t="n"/>
      <c r="C4882" s="4561" t="n"/>
      <c r="D4882" s="4561" t="n"/>
      <c r="E4882" s="4561" t="n"/>
      <c r="F4882" s="4561" t="n"/>
      <c r="G4882" s="4561" t="n"/>
      <c r="H4882" s="4561" t="n"/>
      <c r="I4882" s="4562">
        <f>XLOOKUP(B4882,'_Sys|Line_Map'!$A:$A,'_Sys|Line_Map'!$C:$C,"MISSING",0)</f>
        <v/>
      </c>
      <c r="J4882" s="4562">
        <f>XLOOKUP(B4882,'_Sys|Line_Map'!$A:$A,'_Sys|Line_Map'!$D:$D,1,0)</f>
        <v/>
      </c>
      <c r="K4882" s="4562">
        <f>IF(D4882="","",D4882*J4882)</f>
        <v/>
      </c>
      <c r="L4882" s="4562">
        <f>XLOOKUP(B4882,'_Sys|Line_Map'!$A:$A,'_Sys|Line_Map'!$B:$B,"MISSING",0)</f>
        <v/>
      </c>
    </row>
    <row r="4883">
      <c r="A4883" s="4561" t="n"/>
      <c r="B4883" s="4561" t="n"/>
      <c r="C4883" s="4561" t="n"/>
      <c r="D4883" s="4561" t="n"/>
      <c r="E4883" s="4561" t="n"/>
      <c r="F4883" s="4561" t="n"/>
      <c r="G4883" s="4561" t="n"/>
      <c r="H4883" s="4561" t="n"/>
      <c r="I4883" s="4562">
        <f>XLOOKUP(B4883,'_Sys|Line_Map'!$A:$A,'_Sys|Line_Map'!$C:$C,"MISSING",0)</f>
        <v/>
      </c>
      <c r="J4883" s="4562">
        <f>XLOOKUP(B4883,'_Sys|Line_Map'!$A:$A,'_Sys|Line_Map'!$D:$D,1,0)</f>
        <v/>
      </c>
      <c r="K4883" s="4562">
        <f>IF(D4883="","",D4883*J4883)</f>
        <v/>
      </c>
      <c r="L4883" s="4562">
        <f>XLOOKUP(B4883,'_Sys|Line_Map'!$A:$A,'_Sys|Line_Map'!$B:$B,"MISSING",0)</f>
        <v/>
      </c>
    </row>
    <row r="4884">
      <c r="A4884" s="4561" t="n"/>
      <c r="B4884" s="4561" t="n"/>
      <c r="C4884" s="4561" t="n"/>
      <c r="D4884" s="4561" t="n"/>
      <c r="E4884" s="4561" t="n"/>
      <c r="F4884" s="4561" t="n"/>
      <c r="G4884" s="4561" t="n"/>
      <c r="H4884" s="4561" t="n"/>
      <c r="I4884" s="4562">
        <f>XLOOKUP(B4884,'_Sys|Line_Map'!$A:$A,'_Sys|Line_Map'!$C:$C,"MISSING",0)</f>
        <v/>
      </c>
      <c r="J4884" s="4562">
        <f>XLOOKUP(B4884,'_Sys|Line_Map'!$A:$A,'_Sys|Line_Map'!$D:$D,1,0)</f>
        <v/>
      </c>
      <c r="K4884" s="4562">
        <f>IF(D4884="","",D4884*J4884)</f>
        <v/>
      </c>
      <c r="L4884" s="4562">
        <f>XLOOKUP(B4884,'_Sys|Line_Map'!$A:$A,'_Sys|Line_Map'!$B:$B,"MISSING",0)</f>
        <v/>
      </c>
    </row>
    <row r="4885">
      <c r="A4885" s="4561" t="n"/>
      <c r="B4885" s="4561" t="n"/>
      <c r="C4885" s="4561" t="n"/>
      <c r="D4885" s="4561" t="n"/>
      <c r="E4885" s="4561" t="n"/>
      <c r="F4885" s="4561" t="n"/>
      <c r="G4885" s="4561" t="n"/>
      <c r="H4885" s="4561" t="n"/>
      <c r="I4885" s="4562">
        <f>XLOOKUP(B4885,'_Sys|Line_Map'!$A:$A,'_Sys|Line_Map'!$C:$C,"MISSING",0)</f>
        <v/>
      </c>
      <c r="J4885" s="4562">
        <f>XLOOKUP(B4885,'_Sys|Line_Map'!$A:$A,'_Sys|Line_Map'!$D:$D,1,0)</f>
        <v/>
      </c>
      <c r="K4885" s="4562">
        <f>IF(D4885="","",D4885*J4885)</f>
        <v/>
      </c>
      <c r="L4885" s="4562">
        <f>XLOOKUP(B4885,'_Sys|Line_Map'!$A:$A,'_Sys|Line_Map'!$B:$B,"MISSING",0)</f>
        <v/>
      </c>
    </row>
    <row r="4886">
      <c r="A4886" s="4561" t="n"/>
      <c r="B4886" s="4561" t="n"/>
      <c r="C4886" s="4561" t="n"/>
      <c r="D4886" s="4561" t="n"/>
      <c r="E4886" s="4561" t="n"/>
      <c r="F4886" s="4561" t="n"/>
      <c r="G4886" s="4561" t="n"/>
      <c r="H4886" s="4561" t="n"/>
      <c r="I4886" s="4562">
        <f>XLOOKUP(B4886,'_Sys|Line_Map'!$A:$A,'_Sys|Line_Map'!$C:$C,"MISSING",0)</f>
        <v/>
      </c>
      <c r="J4886" s="4562">
        <f>XLOOKUP(B4886,'_Sys|Line_Map'!$A:$A,'_Sys|Line_Map'!$D:$D,1,0)</f>
        <v/>
      </c>
      <c r="K4886" s="4562">
        <f>IF(D4886="","",D4886*J4886)</f>
        <v/>
      </c>
      <c r="L4886" s="4562">
        <f>XLOOKUP(B4886,'_Sys|Line_Map'!$A:$A,'_Sys|Line_Map'!$B:$B,"MISSING",0)</f>
        <v/>
      </c>
    </row>
    <row r="4887">
      <c r="A4887" s="4561" t="n"/>
      <c r="B4887" s="4561" t="n"/>
      <c r="C4887" s="4561" t="n"/>
      <c r="D4887" s="4561" t="n"/>
      <c r="E4887" s="4561" t="n"/>
      <c r="F4887" s="4561" t="n"/>
      <c r="G4887" s="4561" t="n"/>
      <c r="H4887" s="4561" t="n"/>
      <c r="I4887" s="4562">
        <f>XLOOKUP(B4887,'_Sys|Line_Map'!$A:$A,'_Sys|Line_Map'!$C:$C,"MISSING",0)</f>
        <v/>
      </c>
      <c r="J4887" s="4562">
        <f>XLOOKUP(B4887,'_Sys|Line_Map'!$A:$A,'_Sys|Line_Map'!$D:$D,1,0)</f>
        <v/>
      </c>
      <c r="K4887" s="4562">
        <f>IF(D4887="","",D4887*J4887)</f>
        <v/>
      </c>
      <c r="L4887" s="4562">
        <f>XLOOKUP(B4887,'_Sys|Line_Map'!$A:$A,'_Sys|Line_Map'!$B:$B,"MISSING",0)</f>
        <v/>
      </c>
    </row>
    <row r="4888">
      <c r="A4888" s="4561" t="n"/>
      <c r="B4888" s="4561" t="n"/>
      <c r="C4888" s="4561" t="n"/>
      <c r="D4888" s="4561" t="n"/>
      <c r="E4888" s="4561" t="n"/>
      <c r="F4888" s="4561" t="n"/>
      <c r="G4888" s="4561" t="n"/>
      <c r="H4888" s="4561" t="n"/>
      <c r="I4888" s="4562">
        <f>XLOOKUP(B4888,'_Sys|Line_Map'!$A:$A,'_Sys|Line_Map'!$C:$C,"MISSING",0)</f>
        <v/>
      </c>
      <c r="J4888" s="4562">
        <f>XLOOKUP(B4888,'_Sys|Line_Map'!$A:$A,'_Sys|Line_Map'!$D:$D,1,0)</f>
        <v/>
      </c>
      <c r="K4888" s="4562">
        <f>IF(D4888="","",D4888*J4888)</f>
        <v/>
      </c>
      <c r="L4888" s="4562">
        <f>XLOOKUP(B4888,'_Sys|Line_Map'!$A:$A,'_Sys|Line_Map'!$B:$B,"MISSING",0)</f>
        <v/>
      </c>
    </row>
    <row r="4889">
      <c r="A4889" s="4561" t="n"/>
      <c r="B4889" s="4561" t="n"/>
      <c r="C4889" s="4561" t="n"/>
      <c r="D4889" s="4561" t="n"/>
      <c r="E4889" s="4561" t="n"/>
      <c r="F4889" s="4561" t="n"/>
      <c r="G4889" s="4561" t="n"/>
      <c r="H4889" s="4561" t="n"/>
      <c r="I4889" s="4562">
        <f>XLOOKUP(B4889,'_Sys|Line_Map'!$A:$A,'_Sys|Line_Map'!$C:$C,"MISSING",0)</f>
        <v/>
      </c>
      <c r="J4889" s="4562">
        <f>XLOOKUP(B4889,'_Sys|Line_Map'!$A:$A,'_Sys|Line_Map'!$D:$D,1,0)</f>
        <v/>
      </c>
      <c r="K4889" s="4562">
        <f>IF(D4889="","",D4889*J4889)</f>
        <v/>
      </c>
      <c r="L4889" s="4562">
        <f>XLOOKUP(B4889,'_Sys|Line_Map'!$A:$A,'_Sys|Line_Map'!$B:$B,"MISSING",0)</f>
        <v/>
      </c>
    </row>
    <row r="4890">
      <c r="A4890" s="4561" t="n"/>
      <c r="B4890" s="4561" t="n"/>
      <c r="C4890" s="4561" t="n"/>
      <c r="D4890" s="4561" t="n"/>
      <c r="E4890" s="4561" t="n"/>
      <c r="F4890" s="4561" t="n"/>
      <c r="G4890" s="4561" t="n"/>
      <c r="H4890" s="4561" t="n"/>
      <c r="I4890" s="4562">
        <f>XLOOKUP(B4890,'_Sys|Line_Map'!$A:$A,'_Sys|Line_Map'!$C:$C,"MISSING",0)</f>
        <v/>
      </c>
      <c r="J4890" s="4562">
        <f>XLOOKUP(B4890,'_Sys|Line_Map'!$A:$A,'_Sys|Line_Map'!$D:$D,1,0)</f>
        <v/>
      </c>
      <c r="K4890" s="4562">
        <f>IF(D4890="","",D4890*J4890)</f>
        <v/>
      </c>
      <c r="L4890" s="4562">
        <f>XLOOKUP(B4890,'_Sys|Line_Map'!$A:$A,'_Sys|Line_Map'!$B:$B,"MISSING",0)</f>
        <v/>
      </c>
    </row>
    <row r="4891">
      <c r="A4891" s="4561" t="n"/>
      <c r="B4891" s="4561" t="n"/>
      <c r="C4891" s="4561" t="n"/>
      <c r="D4891" s="4561" t="n"/>
      <c r="E4891" s="4561" t="n"/>
      <c r="F4891" s="4561" t="n"/>
      <c r="G4891" s="4561" t="n"/>
      <c r="H4891" s="4561" t="n"/>
      <c r="I4891" s="4562">
        <f>XLOOKUP(B4891,'_Sys|Line_Map'!$A:$A,'_Sys|Line_Map'!$C:$C,"MISSING",0)</f>
        <v/>
      </c>
      <c r="J4891" s="4562">
        <f>XLOOKUP(B4891,'_Sys|Line_Map'!$A:$A,'_Sys|Line_Map'!$D:$D,1,0)</f>
        <v/>
      </c>
      <c r="K4891" s="4562">
        <f>IF(D4891="","",D4891*J4891)</f>
        <v/>
      </c>
      <c r="L4891" s="4562">
        <f>XLOOKUP(B4891,'_Sys|Line_Map'!$A:$A,'_Sys|Line_Map'!$B:$B,"MISSING",0)</f>
        <v/>
      </c>
    </row>
    <row r="4892">
      <c r="A4892" s="4561" t="n"/>
      <c r="B4892" s="4561" t="n"/>
      <c r="C4892" s="4561" t="n"/>
      <c r="D4892" s="4561" t="n"/>
      <c r="E4892" s="4561" t="n"/>
      <c r="F4892" s="4561" t="n"/>
      <c r="G4892" s="4561" t="n"/>
      <c r="H4892" s="4561" t="n"/>
      <c r="I4892" s="4562">
        <f>XLOOKUP(B4892,'_Sys|Line_Map'!$A:$A,'_Sys|Line_Map'!$C:$C,"MISSING",0)</f>
        <v/>
      </c>
      <c r="J4892" s="4562">
        <f>XLOOKUP(B4892,'_Sys|Line_Map'!$A:$A,'_Sys|Line_Map'!$D:$D,1,0)</f>
        <v/>
      </c>
      <c r="K4892" s="4562">
        <f>IF(D4892="","",D4892*J4892)</f>
        <v/>
      </c>
      <c r="L4892" s="4562">
        <f>XLOOKUP(B4892,'_Sys|Line_Map'!$A:$A,'_Sys|Line_Map'!$B:$B,"MISSING",0)</f>
        <v/>
      </c>
    </row>
    <row r="4893">
      <c r="A4893" s="4561" t="n"/>
      <c r="B4893" s="4561" t="n"/>
      <c r="C4893" s="4561" t="n"/>
      <c r="D4893" s="4561" t="n"/>
      <c r="E4893" s="4561" t="n"/>
      <c r="F4893" s="4561" t="n"/>
      <c r="G4893" s="4561" t="n"/>
      <c r="H4893" s="4561" t="n"/>
      <c r="I4893" s="4562">
        <f>XLOOKUP(B4893,'_Sys|Line_Map'!$A:$A,'_Sys|Line_Map'!$C:$C,"MISSING",0)</f>
        <v/>
      </c>
      <c r="J4893" s="4562">
        <f>XLOOKUP(B4893,'_Sys|Line_Map'!$A:$A,'_Sys|Line_Map'!$D:$D,1,0)</f>
        <v/>
      </c>
      <c r="K4893" s="4562">
        <f>IF(D4893="","",D4893*J4893)</f>
        <v/>
      </c>
      <c r="L4893" s="4562">
        <f>XLOOKUP(B4893,'_Sys|Line_Map'!$A:$A,'_Sys|Line_Map'!$B:$B,"MISSING",0)</f>
        <v/>
      </c>
    </row>
    <row r="4894">
      <c r="A4894" s="4561" t="n"/>
      <c r="B4894" s="4561" t="n"/>
      <c r="C4894" s="4561" t="n"/>
      <c r="D4894" s="4561" t="n"/>
      <c r="E4894" s="4561" t="n"/>
      <c r="F4894" s="4561" t="n"/>
      <c r="G4894" s="4561" t="n"/>
      <c r="H4894" s="4561" t="n"/>
      <c r="I4894" s="4562">
        <f>XLOOKUP(B4894,'_Sys|Line_Map'!$A:$A,'_Sys|Line_Map'!$C:$C,"MISSING",0)</f>
        <v/>
      </c>
      <c r="J4894" s="4562">
        <f>XLOOKUP(B4894,'_Sys|Line_Map'!$A:$A,'_Sys|Line_Map'!$D:$D,1,0)</f>
        <v/>
      </c>
      <c r="K4894" s="4562">
        <f>IF(D4894="","",D4894*J4894)</f>
        <v/>
      </c>
      <c r="L4894" s="4562">
        <f>XLOOKUP(B4894,'_Sys|Line_Map'!$A:$A,'_Sys|Line_Map'!$B:$B,"MISSING",0)</f>
        <v/>
      </c>
    </row>
    <row r="4895">
      <c r="A4895" s="4561" t="n"/>
      <c r="B4895" s="4561" t="n"/>
      <c r="C4895" s="4561" t="n"/>
      <c r="D4895" s="4561" t="n"/>
      <c r="E4895" s="4561" t="n"/>
      <c r="F4895" s="4561" t="n"/>
      <c r="G4895" s="4561" t="n"/>
      <c r="H4895" s="4561" t="n"/>
      <c r="I4895" s="4562">
        <f>XLOOKUP(B4895,'_Sys|Line_Map'!$A:$A,'_Sys|Line_Map'!$C:$C,"MISSING",0)</f>
        <v/>
      </c>
      <c r="J4895" s="4562">
        <f>XLOOKUP(B4895,'_Sys|Line_Map'!$A:$A,'_Sys|Line_Map'!$D:$D,1,0)</f>
        <v/>
      </c>
      <c r="K4895" s="4562">
        <f>IF(D4895="","",D4895*J4895)</f>
        <v/>
      </c>
      <c r="L4895" s="4562">
        <f>XLOOKUP(B4895,'_Sys|Line_Map'!$A:$A,'_Sys|Line_Map'!$B:$B,"MISSING",0)</f>
        <v/>
      </c>
    </row>
    <row r="4896">
      <c r="A4896" s="4561" t="n"/>
      <c r="B4896" s="4561" t="n"/>
      <c r="C4896" s="4561" t="n"/>
      <c r="D4896" s="4561" t="n"/>
      <c r="E4896" s="4561" t="n"/>
      <c r="F4896" s="4561" t="n"/>
      <c r="G4896" s="4561" t="n"/>
      <c r="H4896" s="4561" t="n"/>
      <c r="I4896" s="4562">
        <f>XLOOKUP(B4896,'_Sys|Line_Map'!$A:$A,'_Sys|Line_Map'!$C:$C,"MISSING",0)</f>
        <v/>
      </c>
      <c r="J4896" s="4562">
        <f>XLOOKUP(B4896,'_Sys|Line_Map'!$A:$A,'_Sys|Line_Map'!$D:$D,1,0)</f>
        <v/>
      </c>
      <c r="K4896" s="4562">
        <f>IF(D4896="","",D4896*J4896)</f>
        <v/>
      </c>
      <c r="L4896" s="4562">
        <f>XLOOKUP(B4896,'_Sys|Line_Map'!$A:$A,'_Sys|Line_Map'!$B:$B,"MISSING",0)</f>
        <v/>
      </c>
    </row>
    <row r="4897">
      <c r="A4897" s="4561" t="n"/>
      <c r="B4897" s="4561" t="n"/>
      <c r="C4897" s="4561" t="n"/>
      <c r="D4897" s="4561" t="n"/>
      <c r="E4897" s="4561" t="n"/>
      <c r="F4897" s="4561" t="n"/>
      <c r="G4897" s="4561" t="n"/>
      <c r="H4897" s="4561" t="n"/>
      <c r="I4897" s="4562">
        <f>XLOOKUP(B4897,'_Sys|Line_Map'!$A:$A,'_Sys|Line_Map'!$C:$C,"MISSING",0)</f>
        <v/>
      </c>
      <c r="J4897" s="4562">
        <f>XLOOKUP(B4897,'_Sys|Line_Map'!$A:$A,'_Sys|Line_Map'!$D:$D,1,0)</f>
        <v/>
      </c>
      <c r="K4897" s="4562">
        <f>IF(D4897="","",D4897*J4897)</f>
        <v/>
      </c>
      <c r="L4897" s="4562">
        <f>XLOOKUP(B4897,'_Sys|Line_Map'!$A:$A,'_Sys|Line_Map'!$B:$B,"MISSING",0)</f>
        <v/>
      </c>
    </row>
    <row r="4898">
      <c r="A4898" s="4561" t="n"/>
      <c r="B4898" s="4561" t="n"/>
      <c r="C4898" s="4561" t="n"/>
      <c r="D4898" s="4561" t="n"/>
      <c r="E4898" s="4561" t="n"/>
      <c r="F4898" s="4561" t="n"/>
      <c r="G4898" s="4561" t="n"/>
      <c r="H4898" s="4561" t="n"/>
      <c r="I4898" s="4562">
        <f>XLOOKUP(B4898,'_Sys|Line_Map'!$A:$A,'_Sys|Line_Map'!$C:$C,"MISSING",0)</f>
        <v/>
      </c>
      <c r="J4898" s="4562">
        <f>XLOOKUP(B4898,'_Sys|Line_Map'!$A:$A,'_Sys|Line_Map'!$D:$D,1,0)</f>
        <v/>
      </c>
      <c r="K4898" s="4562">
        <f>IF(D4898="","",D4898*J4898)</f>
        <v/>
      </c>
      <c r="L4898" s="4562">
        <f>XLOOKUP(B4898,'_Sys|Line_Map'!$A:$A,'_Sys|Line_Map'!$B:$B,"MISSING",0)</f>
        <v/>
      </c>
    </row>
    <row r="4899">
      <c r="A4899" s="4561" t="n"/>
      <c r="B4899" s="4561" t="n"/>
      <c r="C4899" s="4561" t="n"/>
      <c r="D4899" s="4561" t="n"/>
      <c r="E4899" s="4561" t="n"/>
      <c r="F4899" s="4561" t="n"/>
      <c r="G4899" s="4561" t="n"/>
      <c r="H4899" s="4561" t="n"/>
      <c r="I4899" s="4562">
        <f>XLOOKUP(B4899,'_Sys|Line_Map'!$A:$A,'_Sys|Line_Map'!$C:$C,"MISSING",0)</f>
        <v/>
      </c>
      <c r="J4899" s="4562">
        <f>XLOOKUP(B4899,'_Sys|Line_Map'!$A:$A,'_Sys|Line_Map'!$D:$D,1,0)</f>
        <v/>
      </c>
      <c r="K4899" s="4562">
        <f>IF(D4899="","",D4899*J4899)</f>
        <v/>
      </c>
      <c r="L4899" s="4562">
        <f>XLOOKUP(B4899,'_Sys|Line_Map'!$A:$A,'_Sys|Line_Map'!$B:$B,"MISSING",0)</f>
        <v/>
      </c>
    </row>
    <row r="4900">
      <c r="A4900" s="4561" t="n"/>
      <c r="B4900" s="4561" t="n"/>
      <c r="C4900" s="4561" t="n"/>
      <c r="D4900" s="4561" t="n"/>
      <c r="E4900" s="4561" t="n"/>
      <c r="F4900" s="4561" t="n"/>
      <c r="G4900" s="4561" t="n"/>
      <c r="H4900" s="4561" t="n"/>
      <c r="I4900" s="4562">
        <f>XLOOKUP(B4900,'_Sys|Line_Map'!$A:$A,'_Sys|Line_Map'!$C:$C,"MISSING",0)</f>
        <v/>
      </c>
      <c r="J4900" s="4562">
        <f>XLOOKUP(B4900,'_Sys|Line_Map'!$A:$A,'_Sys|Line_Map'!$D:$D,1,0)</f>
        <v/>
      </c>
      <c r="K4900" s="4562">
        <f>IF(D4900="","",D4900*J4900)</f>
        <v/>
      </c>
      <c r="L4900" s="4562">
        <f>XLOOKUP(B4900,'_Sys|Line_Map'!$A:$A,'_Sys|Line_Map'!$B:$B,"MISSING",0)</f>
        <v/>
      </c>
    </row>
    <row r="4901">
      <c r="A4901" s="4561" t="n"/>
      <c r="B4901" s="4561" t="n"/>
      <c r="C4901" s="4561" t="n"/>
      <c r="D4901" s="4561" t="n"/>
      <c r="E4901" s="4561" t="n"/>
      <c r="F4901" s="4561" t="n"/>
      <c r="G4901" s="4561" t="n"/>
      <c r="H4901" s="4561" t="n"/>
      <c r="I4901" s="4562">
        <f>XLOOKUP(B4901,'_Sys|Line_Map'!$A:$A,'_Sys|Line_Map'!$C:$C,"MISSING",0)</f>
        <v/>
      </c>
      <c r="J4901" s="4562">
        <f>XLOOKUP(B4901,'_Sys|Line_Map'!$A:$A,'_Sys|Line_Map'!$D:$D,1,0)</f>
        <v/>
      </c>
      <c r="K4901" s="4562">
        <f>IF(D4901="","",D4901*J4901)</f>
        <v/>
      </c>
      <c r="L4901" s="4562">
        <f>XLOOKUP(B4901,'_Sys|Line_Map'!$A:$A,'_Sys|Line_Map'!$B:$B,"MISSING",0)</f>
        <v/>
      </c>
    </row>
    <row r="4902">
      <c r="A4902" s="4561" t="n"/>
      <c r="B4902" s="4561" t="n"/>
      <c r="C4902" s="4561" t="n"/>
      <c r="D4902" s="4561" t="n"/>
      <c r="E4902" s="4561" t="n"/>
      <c r="F4902" s="4561" t="n"/>
      <c r="G4902" s="4561" t="n"/>
      <c r="H4902" s="4561" t="n"/>
      <c r="I4902" s="4562">
        <f>XLOOKUP(B4902,'_Sys|Line_Map'!$A:$A,'_Sys|Line_Map'!$C:$C,"MISSING",0)</f>
        <v/>
      </c>
      <c r="J4902" s="4562">
        <f>XLOOKUP(B4902,'_Sys|Line_Map'!$A:$A,'_Sys|Line_Map'!$D:$D,1,0)</f>
        <v/>
      </c>
      <c r="K4902" s="4562">
        <f>IF(D4902="","",D4902*J4902)</f>
        <v/>
      </c>
      <c r="L4902" s="4562">
        <f>XLOOKUP(B4902,'_Sys|Line_Map'!$A:$A,'_Sys|Line_Map'!$B:$B,"MISSING",0)</f>
        <v/>
      </c>
    </row>
    <row r="4903">
      <c r="A4903" s="4561" t="n"/>
      <c r="B4903" s="4561" t="n"/>
      <c r="C4903" s="4561" t="n"/>
      <c r="D4903" s="4561" t="n"/>
      <c r="E4903" s="4561" t="n"/>
      <c r="F4903" s="4561" t="n"/>
      <c r="G4903" s="4561" t="n"/>
      <c r="H4903" s="4561" t="n"/>
      <c r="I4903" s="4562">
        <f>XLOOKUP(B4903,'_Sys|Line_Map'!$A:$A,'_Sys|Line_Map'!$C:$C,"MISSING",0)</f>
        <v/>
      </c>
      <c r="J4903" s="4562">
        <f>XLOOKUP(B4903,'_Sys|Line_Map'!$A:$A,'_Sys|Line_Map'!$D:$D,1,0)</f>
        <v/>
      </c>
      <c r="K4903" s="4562">
        <f>IF(D4903="","",D4903*J4903)</f>
        <v/>
      </c>
      <c r="L4903" s="4562">
        <f>XLOOKUP(B4903,'_Sys|Line_Map'!$A:$A,'_Sys|Line_Map'!$B:$B,"MISSING",0)</f>
        <v/>
      </c>
    </row>
    <row r="4904">
      <c r="A4904" s="4561" t="n"/>
      <c r="B4904" s="4561" t="n"/>
      <c r="C4904" s="4561" t="n"/>
      <c r="D4904" s="4561" t="n"/>
      <c r="E4904" s="4561" t="n"/>
      <c r="F4904" s="4561" t="n"/>
      <c r="G4904" s="4561" t="n"/>
      <c r="H4904" s="4561" t="n"/>
      <c r="I4904" s="4562">
        <f>XLOOKUP(B4904,'_Sys|Line_Map'!$A:$A,'_Sys|Line_Map'!$C:$C,"MISSING",0)</f>
        <v/>
      </c>
      <c r="J4904" s="4562">
        <f>XLOOKUP(B4904,'_Sys|Line_Map'!$A:$A,'_Sys|Line_Map'!$D:$D,1,0)</f>
        <v/>
      </c>
      <c r="K4904" s="4562">
        <f>IF(D4904="","",D4904*J4904)</f>
        <v/>
      </c>
      <c r="L4904" s="4562">
        <f>XLOOKUP(B4904,'_Sys|Line_Map'!$A:$A,'_Sys|Line_Map'!$B:$B,"MISSING",0)</f>
        <v/>
      </c>
    </row>
    <row r="4905">
      <c r="A4905" s="4561" t="n"/>
      <c r="B4905" s="4561" t="n"/>
      <c r="C4905" s="4561" t="n"/>
      <c r="D4905" s="4561" t="n"/>
      <c r="E4905" s="4561" t="n"/>
      <c r="F4905" s="4561" t="n"/>
      <c r="G4905" s="4561" t="n"/>
      <c r="H4905" s="4561" t="n"/>
      <c r="I4905" s="4562">
        <f>XLOOKUP(B4905,'_Sys|Line_Map'!$A:$A,'_Sys|Line_Map'!$C:$C,"MISSING",0)</f>
        <v/>
      </c>
      <c r="J4905" s="4562">
        <f>XLOOKUP(B4905,'_Sys|Line_Map'!$A:$A,'_Sys|Line_Map'!$D:$D,1,0)</f>
        <v/>
      </c>
      <c r="K4905" s="4562">
        <f>IF(D4905="","",D4905*J4905)</f>
        <v/>
      </c>
      <c r="L4905" s="4562">
        <f>XLOOKUP(B4905,'_Sys|Line_Map'!$A:$A,'_Sys|Line_Map'!$B:$B,"MISSING",0)</f>
        <v/>
      </c>
    </row>
    <row r="4906">
      <c r="A4906" s="4561" t="n"/>
      <c r="B4906" s="4561" t="n"/>
      <c r="C4906" s="4561" t="n"/>
      <c r="D4906" s="4561" t="n"/>
      <c r="E4906" s="4561" t="n"/>
      <c r="F4906" s="4561" t="n"/>
      <c r="G4906" s="4561" t="n"/>
      <c r="H4906" s="4561" t="n"/>
      <c r="I4906" s="4562">
        <f>XLOOKUP(B4906,'_Sys|Line_Map'!$A:$A,'_Sys|Line_Map'!$C:$C,"MISSING",0)</f>
        <v/>
      </c>
      <c r="J4906" s="4562">
        <f>XLOOKUP(B4906,'_Sys|Line_Map'!$A:$A,'_Sys|Line_Map'!$D:$D,1,0)</f>
        <v/>
      </c>
      <c r="K4906" s="4562">
        <f>IF(D4906="","",D4906*J4906)</f>
        <v/>
      </c>
      <c r="L4906" s="4562">
        <f>XLOOKUP(B4906,'_Sys|Line_Map'!$A:$A,'_Sys|Line_Map'!$B:$B,"MISSING",0)</f>
        <v/>
      </c>
    </row>
    <row r="4907">
      <c r="A4907" s="4561" t="n"/>
      <c r="B4907" s="4561" t="n"/>
      <c r="C4907" s="4561" t="n"/>
      <c r="D4907" s="4561" t="n"/>
      <c r="E4907" s="4561" t="n"/>
      <c r="F4907" s="4561" t="n"/>
      <c r="G4907" s="4561" t="n"/>
      <c r="H4907" s="4561" t="n"/>
      <c r="I4907" s="4562">
        <f>XLOOKUP(B4907,'_Sys|Line_Map'!$A:$A,'_Sys|Line_Map'!$C:$C,"MISSING",0)</f>
        <v/>
      </c>
      <c r="J4907" s="4562">
        <f>XLOOKUP(B4907,'_Sys|Line_Map'!$A:$A,'_Sys|Line_Map'!$D:$D,1,0)</f>
        <v/>
      </c>
      <c r="K4907" s="4562">
        <f>IF(D4907="","",D4907*J4907)</f>
        <v/>
      </c>
      <c r="L4907" s="4562">
        <f>XLOOKUP(B4907,'_Sys|Line_Map'!$A:$A,'_Sys|Line_Map'!$B:$B,"MISSING",0)</f>
        <v/>
      </c>
    </row>
    <row r="4908">
      <c r="A4908" s="4561" t="n"/>
      <c r="B4908" s="4561" t="n"/>
      <c r="C4908" s="4561" t="n"/>
      <c r="D4908" s="4561" t="n"/>
      <c r="E4908" s="4561" t="n"/>
      <c r="F4908" s="4561" t="n"/>
      <c r="G4908" s="4561" t="n"/>
      <c r="H4908" s="4561" t="n"/>
      <c r="I4908" s="4562">
        <f>XLOOKUP(B4908,'_Sys|Line_Map'!$A:$A,'_Sys|Line_Map'!$C:$C,"MISSING",0)</f>
        <v/>
      </c>
      <c r="J4908" s="4562">
        <f>XLOOKUP(B4908,'_Sys|Line_Map'!$A:$A,'_Sys|Line_Map'!$D:$D,1,0)</f>
        <v/>
      </c>
      <c r="K4908" s="4562">
        <f>IF(D4908="","",D4908*J4908)</f>
        <v/>
      </c>
      <c r="L4908" s="4562">
        <f>XLOOKUP(B4908,'_Sys|Line_Map'!$A:$A,'_Sys|Line_Map'!$B:$B,"MISSING",0)</f>
        <v/>
      </c>
    </row>
    <row r="4909">
      <c r="A4909" s="4561" t="n"/>
      <c r="B4909" s="4561" t="n"/>
      <c r="C4909" s="4561" t="n"/>
      <c r="D4909" s="4561" t="n"/>
      <c r="E4909" s="4561" t="n"/>
      <c r="F4909" s="4561" t="n"/>
      <c r="G4909" s="4561" t="n"/>
      <c r="H4909" s="4561" t="n"/>
      <c r="I4909" s="4562">
        <f>XLOOKUP(B4909,'_Sys|Line_Map'!$A:$A,'_Sys|Line_Map'!$C:$C,"MISSING",0)</f>
        <v/>
      </c>
      <c r="J4909" s="4562">
        <f>XLOOKUP(B4909,'_Sys|Line_Map'!$A:$A,'_Sys|Line_Map'!$D:$D,1,0)</f>
        <v/>
      </c>
      <c r="K4909" s="4562">
        <f>IF(D4909="","",D4909*J4909)</f>
        <v/>
      </c>
      <c r="L4909" s="4562">
        <f>XLOOKUP(B4909,'_Sys|Line_Map'!$A:$A,'_Sys|Line_Map'!$B:$B,"MISSING",0)</f>
        <v/>
      </c>
    </row>
    <row r="4910">
      <c r="A4910" s="4561" t="n"/>
      <c r="B4910" s="4561" t="n"/>
      <c r="C4910" s="4561" t="n"/>
      <c r="D4910" s="4561" t="n"/>
      <c r="E4910" s="4561" t="n"/>
      <c r="F4910" s="4561" t="n"/>
      <c r="G4910" s="4561" t="n"/>
      <c r="H4910" s="4561" t="n"/>
      <c r="I4910" s="4562">
        <f>XLOOKUP(B4910,'_Sys|Line_Map'!$A:$A,'_Sys|Line_Map'!$C:$C,"MISSING",0)</f>
        <v/>
      </c>
      <c r="J4910" s="4562">
        <f>XLOOKUP(B4910,'_Sys|Line_Map'!$A:$A,'_Sys|Line_Map'!$D:$D,1,0)</f>
        <v/>
      </c>
      <c r="K4910" s="4562">
        <f>IF(D4910="","",D4910*J4910)</f>
        <v/>
      </c>
      <c r="L4910" s="4562">
        <f>XLOOKUP(B4910,'_Sys|Line_Map'!$A:$A,'_Sys|Line_Map'!$B:$B,"MISSING",0)</f>
        <v/>
      </c>
    </row>
    <row r="4911">
      <c r="A4911" s="4561" t="n"/>
      <c r="B4911" s="4561" t="n"/>
      <c r="C4911" s="4561" t="n"/>
      <c r="D4911" s="4561" t="n"/>
      <c r="E4911" s="4561" t="n"/>
      <c r="F4911" s="4561" t="n"/>
      <c r="G4911" s="4561" t="n"/>
      <c r="H4911" s="4561" t="n"/>
      <c r="I4911" s="4562">
        <f>XLOOKUP(B4911,'_Sys|Line_Map'!$A:$A,'_Sys|Line_Map'!$C:$C,"MISSING",0)</f>
        <v/>
      </c>
      <c r="J4911" s="4562">
        <f>XLOOKUP(B4911,'_Sys|Line_Map'!$A:$A,'_Sys|Line_Map'!$D:$D,1,0)</f>
        <v/>
      </c>
      <c r="K4911" s="4562">
        <f>IF(D4911="","",D4911*J4911)</f>
        <v/>
      </c>
      <c r="L4911" s="4562">
        <f>XLOOKUP(B4911,'_Sys|Line_Map'!$A:$A,'_Sys|Line_Map'!$B:$B,"MISSING",0)</f>
        <v/>
      </c>
    </row>
    <row r="4912">
      <c r="A4912" s="4561" t="n"/>
      <c r="B4912" s="4561" t="n"/>
      <c r="C4912" s="4561" t="n"/>
      <c r="D4912" s="4561" t="n"/>
      <c r="E4912" s="4561" t="n"/>
      <c r="F4912" s="4561" t="n"/>
      <c r="G4912" s="4561" t="n"/>
      <c r="H4912" s="4561" t="n"/>
      <c r="I4912" s="4562">
        <f>XLOOKUP(B4912,'_Sys|Line_Map'!$A:$A,'_Sys|Line_Map'!$C:$C,"MISSING",0)</f>
        <v/>
      </c>
      <c r="J4912" s="4562">
        <f>XLOOKUP(B4912,'_Sys|Line_Map'!$A:$A,'_Sys|Line_Map'!$D:$D,1,0)</f>
        <v/>
      </c>
      <c r="K4912" s="4562">
        <f>IF(D4912="","",D4912*J4912)</f>
        <v/>
      </c>
      <c r="L4912" s="4562">
        <f>XLOOKUP(B4912,'_Sys|Line_Map'!$A:$A,'_Sys|Line_Map'!$B:$B,"MISSING",0)</f>
        <v/>
      </c>
    </row>
    <row r="4913">
      <c r="A4913" s="4561" t="n"/>
      <c r="B4913" s="4561" t="n"/>
      <c r="C4913" s="4561" t="n"/>
      <c r="D4913" s="4561" t="n"/>
      <c r="E4913" s="4561" t="n"/>
      <c r="F4913" s="4561" t="n"/>
      <c r="G4913" s="4561" t="n"/>
      <c r="H4913" s="4561" t="n"/>
      <c r="I4913" s="4562">
        <f>XLOOKUP(B4913,'_Sys|Line_Map'!$A:$A,'_Sys|Line_Map'!$C:$C,"MISSING",0)</f>
        <v/>
      </c>
      <c r="J4913" s="4562">
        <f>XLOOKUP(B4913,'_Sys|Line_Map'!$A:$A,'_Sys|Line_Map'!$D:$D,1,0)</f>
        <v/>
      </c>
      <c r="K4913" s="4562">
        <f>IF(D4913="","",D4913*J4913)</f>
        <v/>
      </c>
      <c r="L4913" s="4562">
        <f>XLOOKUP(B4913,'_Sys|Line_Map'!$A:$A,'_Sys|Line_Map'!$B:$B,"MISSING",0)</f>
        <v/>
      </c>
    </row>
    <row r="4914">
      <c r="A4914" s="4561" t="n"/>
      <c r="B4914" s="4561" t="n"/>
      <c r="C4914" s="4561" t="n"/>
      <c r="D4914" s="4561" t="n"/>
      <c r="E4914" s="4561" t="n"/>
      <c r="F4914" s="4561" t="n"/>
      <c r="G4914" s="4561" t="n"/>
      <c r="H4914" s="4561" t="n"/>
      <c r="I4914" s="4562">
        <f>XLOOKUP(B4914,'_Sys|Line_Map'!$A:$A,'_Sys|Line_Map'!$C:$C,"MISSING",0)</f>
        <v/>
      </c>
      <c r="J4914" s="4562">
        <f>XLOOKUP(B4914,'_Sys|Line_Map'!$A:$A,'_Sys|Line_Map'!$D:$D,1,0)</f>
        <v/>
      </c>
      <c r="K4914" s="4562">
        <f>IF(D4914="","",D4914*J4914)</f>
        <v/>
      </c>
      <c r="L4914" s="4562">
        <f>XLOOKUP(B4914,'_Sys|Line_Map'!$A:$A,'_Sys|Line_Map'!$B:$B,"MISSING",0)</f>
        <v/>
      </c>
    </row>
    <row r="4915">
      <c r="A4915" s="4561" t="n"/>
      <c r="B4915" s="4561" t="n"/>
      <c r="C4915" s="4561" t="n"/>
      <c r="D4915" s="4561" t="n"/>
      <c r="E4915" s="4561" t="n"/>
      <c r="F4915" s="4561" t="n"/>
      <c r="G4915" s="4561" t="n"/>
      <c r="H4915" s="4561" t="n"/>
      <c r="I4915" s="4562">
        <f>XLOOKUP(B4915,'_Sys|Line_Map'!$A:$A,'_Sys|Line_Map'!$C:$C,"MISSING",0)</f>
        <v/>
      </c>
      <c r="J4915" s="4562">
        <f>XLOOKUP(B4915,'_Sys|Line_Map'!$A:$A,'_Sys|Line_Map'!$D:$D,1,0)</f>
        <v/>
      </c>
      <c r="K4915" s="4562">
        <f>IF(D4915="","",D4915*J4915)</f>
        <v/>
      </c>
      <c r="L4915" s="4562">
        <f>XLOOKUP(B4915,'_Sys|Line_Map'!$A:$A,'_Sys|Line_Map'!$B:$B,"MISSING",0)</f>
        <v/>
      </c>
    </row>
    <row r="4916">
      <c r="A4916" s="4561" t="n"/>
      <c r="B4916" s="4561" t="n"/>
      <c r="C4916" s="4561" t="n"/>
      <c r="D4916" s="4561" t="n"/>
      <c r="E4916" s="4561" t="n"/>
      <c r="F4916" s="4561" t="n"/>
      <c r="G4916" s="4561" t="n"/>
      <c r="H4916" s="4561" t="n"/>
      <c r="I4916" s="4562">
        <f>XLOOKUP(B4916,'_Sys|Line_Map'!$A:$A,'_Sys|Line_Map'!$C:$C,"MISSING",0)</f>
        <v/>
      </c>
      <c r="J4916" s="4562">
        <f>XLOOKUP(B4916,'_Sys|Line_Map'!$A:$A,'_Sys|Line_Map'!$D:$D,1,0)</f>
        <v/>
      </c>
      <c r="K4916" s="4562">
        <f>IF(D4916="","",D4916*J4916)</f>
        <v/>
      </c>
      <c r="L4916" s="4562">
        <f>XLOOKUP(B4916,'_Sys|Line_Map'!$A:$A,'_Sys|Line_Map'!$B:$B,"MISSING",0)</f>
        <v/>
      </c>
    </row>
    <row r="4917">
      <c r="A4917" s="4561" t="n"/>
      <c r="B4917" s="4561" t="n"/>
      <c r="C4917" s="4561" t="n"/>
      <c r="D4917" s="4561" t="n"/>
      <c r="E4917" s="4561" t="n"/>
      <c r="F4917" s="4561" t="n"/>
      <c r="G4917" s="4561" t="n"/>
      <c r="H4917" s="4561" t="n"/>
      <c r="I4917" s="4562">
        <f>XLOOKUP(B4917,'_Sys|Line_Map'!$A:$A,'_Sys|Line_Map'!$C:$C,"MISSING",0)</f>
        <v/>
      </c>
      <c r="J4917" s="4562">
        <f>XLOOKUP(B4917,'_Sys|Line_Map'!$A:$A,'_Sys|Line_Map'!$D:$D,1,0)</f>
        <v/>
      </c>
      <c r="K4917" s="4562">
        <f>IF(D4917="","",D4917*J4917)</f>
        <v/>
      </c>
      <c r="L4917" s="4562">
        <f>XLOOKUP(B4917,'_Sys|Line_Map'!$A:$A,'_Sys|Line_Map'!$B:$B,"MISSING",0)</f>
        <v/>
      </c>
    </row>
    <row r="4918">
      <c r="A4918" s="4561" t="n"/>
      <c r="B4918" s="4561" t="n"/>
      <c r="C4918" s="4561" t="n"/>
      <c r="D4918" s="4561" t="n"/>
      <c r="E4918" s="4561" t="n"/>
      <c r="F4918" s="4561" t="n"/>
      <c r="G4918" s="4561" t="n"/>
      <c r="H4918" s="4561" t="n"/>
      <c r="I4918" s="4562">
        <f>XLOOKUP(B4918,'_Sys|Line_Map'!$A:$A,'_Sys|Line_Map'!$C:$C,"MISSING",0)</f>
        <v/>
      </c>
      <c r="J4918" s="4562">
        <f>XLOOKUP(B4918,'_Sys|Line_Map'!$A:$A,'_Sys|Line_Map'!$D:$D,1,0)</f>
        <v/>
      </c>
      <c r="K4918" s="4562">
        <f>IF(D4918="","",D4918*J4918)</f>
        <v/>
      </c>
      <c r="L4918" s="4562">
        <f>XLOOKUP(B4918,'_Sys|Line_Map'!$A:$A,'_Sys|Line_Map'!$B:$B,"MISSING",0)</f>
        <v/>
      </c>
    </row>
    <row r="4919">
      <c r="A4919" s="4561" t="n"/>
      <c r="B4919" s="4561" t="n"/>
      <c r="C4919" s="4561" t="n"/>
      <c r="D4919" s="4561" t="n"/>
      <c r="E4919" s="4561" t="n"/>
      <c r="F4919" s="4561" t="n"/>
      <c r="G4919" s="4561" t="n"/>
      <c r="H4919" s="4561" t="n"/>
      <c r="I4919" s="4562">
        <f>XLOOKUP(B4919,'_Sys|Line_Map'!$A:$A,'_Sys|Line_Map'!$C:$C,"MISSING",0)</f>
        <v/>
      </c>
      <c r="J4919" s="4562">
        <f>XLOOKUP(B4919,'_Sys|Line_Map'!$A:$A,'_Sys|Line_Map'!$D:$D,1,0)</f>
        <v/>
      </c>
      <c r="K4919" s="4562">
        <f>IF(D4919="","",D4919*J4919)</f>
        <v/>
      </c>
      <c r="L4919" s="4562">
        <f>XLOOKUP(B4919,'_Sys|Line_Map'!$A:$A,'_Sys|Line_Map'!$B:$B,"MISSING",0)</f>
        <v/>
      </c>
    </row>
    <row r="4920">
      <c r="A4920" s="4561" t="n"/>
      <c r="B4920" s="4561" t="n"/>
      <c r="C4920" s="4561" t="n"/>
      <c r="D4920" s="4561" t="n"/>
      <c r="E4920" s="4561" t="n"/>
      <c r="F4920" s="4561" t="n"/>
      <c r="G4920" s="4561" t="n"/>
      <c r="H4920" s="4561" t="n"/>
      <c r="I4920" s="4562">
        <f>XLOOKUP(B4920,'_Sys|Line_Map'!$A:$A,'_Sys|Line_Map'!$C:$C,"MISSING",0)</f>
        <v/>
      </c>
      <c r="J4920" s="4562">
        <f>XLOOKUP(B4920,'_Sys|Line_Map'!$A:$A,'_Sys|Line_Map'!$D:$D,1,0)</f>
        <v/>
      </c>
      <c r="K4920" s="4562">
        <f>IF(D4920="","",D4920*J4920)</f>
        <v/>
      </c>
      <c r="L4920" s="4562">
        <f>XLOOKUP(B4920,'_Sys|Line_Map'!$A:$A,'_Sys|Line_Map'!$B:$B,"MISSING",0)</f>
        <v/>
      </c>
    </row>
    <row r="4921">
      <c r="A4921" s="4561" t="n"/>
      <c r="B4921" s="4561" t="n"/>
      <c r="C4921" s="4561" t="n"/>
      <c r="D4921" s="4561" t="n"/>
      <c r="E4921" s="4561" t="n"/>
      <c r="F4921" s="4561" t="n"/>
      <c r="G4921" s="4561" t="n"/>
      <c r="H4921" s="4561" t="n"/>
      <c r="I4921" s="4562">
        <f>XLOOKUP(B4921,'_Sys|Line_Map'!$A:$A,'_Sys|Line_Map'!$C:$C,"MISSING",0)</f>
        <v/>
      </c>
      <c r="J4921" s="4562">
        <f>XLOOKUP(B4921,'_Sys|Line_Map'!$A:$A,'_Sys|Line_Map'!$D:$D,1,0)</f>
        <v/>
      </c>
      <c r="K4921" s="4562">
        <f>IF(D4921="","",D4921*J4921)</f>
        <v/>
      </c>
      <c r="L4921" s="4562">
        <f>XLOOKUP(B4921,'_Sys|Line_Map'!$A:$A,'_Sys|Line_Map'!$B:$B,"MISSING",0)</f>
        <v/>
      </c>
    </row>
    <row r="4922">
      <c r="A4922" s="4561" t="n"/>
      <c r="B4922" s="4561" t="n"/>
      <c r="C4922" s="4561" t="n"/>
      <c r="D4922" s="4561" t="n"/>
      <c r="E4922" s="4561" t="n"/>
      <c r="F4922" s="4561" t="n"/>
      <c r="G4922" s="4561" t="n"/>
      <c r="H4922" s="4561" t="n"/>
      <c r="I4922" s="4562">
        <f>XLOOKUP(B4922,'_Sys|Line_Map'!$A:$A,'_Sys|Line_Map'!$C:$C,"MISSING",0)</f>
        <v/>
      </c>
      <c r="J4922" s="4562">
        <f>XLOOKUP(B4922,'_Sys|Line_Map'!$A:$A,'_Sys|Line_Map'!$D:$D,1,0)</f>
        <v/>
      </c>
      <c r="K4922" s="4562">
        <f>IF(D4922="","",D4922*J4922)</f>
        <v/>
      </c>
      <c r="L4922" s="4562">
        <f>XLOOKUP(B4922,'_Sys|Line_Map'!$A:$A,'_Sys|Line_Map'!$B:$B,"MISSING",0)</f>
        <v/>
      </c>
    </row>
    <row r="4923">
      <c r="A4923" s="4561" t="n"/>
      <c r="B4923" s="4561" t="n"/>
      <c r="C4923" s="4561" t="n"/>
      <c r="D4923" s="4561" t="n"/>
      <c r="E4923" s="4561" t="n"/>
      <c r="F4923" s="4561" t="n"/>
      <c r="G4923" s="4561" t="n"/>
      <c r="H4923" s="4561" t="n"/>
      <c r="I4923" s="4562">
        <f>XLOOKUP(B4923,'_Sys|Line_Map'!$A:$A,'_Sys|Line_Map'!$C:$C,"MISSING",0)</f>
        <v/>
      </c>
      <c r="J4923" s="4562">
        <f>XLOOKUP(B4923,'_Sys|Line_Map'!$A:$A,'_Sys|Line_Map'!$D:$D,1,0)</f>
        <v/>
      </c>
      <c r="K4923" s="4562">
        <f>IF(D4923="","",D4923*J4923)</f>
        <v/>
      </c>
      <c r="L4923" s="4562">
        <f>XLOOKUP(B4923,'_Sys|Line_Map'!$A:$A,'_Sys|Line_Map'!$B:$B,"MISSING",0)</f>
        <v/>
      </c>
    </row>
    <row r="4924">
      <c r="A4924" s="4561" t="n"/>
      <c r="B4924" s="4561" t="n"/>
      <c r="C4924" s="4561" t="n"/>
      <c r="D4924" s="4561" t="n"/>
      <c r="E4924" s="4561" t="n"/>
      <c r="F4924" s="4561" t="n"/>
      <c r="G4924" s="4561" t="n"/>
      <c r="H4924" s="4561" t="n"/>
      <c r="I4924" s="4562">
        <f>XLOOKUP(B4924,'_Sys|Line_Map'!$A:$A,'_Sys|Line_Map'!$C:$C,"MISSING",0)</f>
        <v/>
      </c>
      <c r="J4924" s="4562">
        <f>XLOOKUP(B4924,'_Sys|Line_Map'!$A:$A,'_Sys|Line_Map'!$D:$D,1,0)</f>
        <v/>
      </c>
      <c r="K4924" s="4562">
        <f>IF(D4924="","",D4924*J4924)</f>
        <v/>
      </c>
      <c r="L4924" s="4562">
        <f>XLOOKUP(B4924,'_Sys|Line_Map'!$A:$A,'_Sys|Line_Map'!$B:$B,"MISSING",0)</f>
        <v/>
      </c>
    </row>
    <row r="4925">
      <c r="A4925" s="4561" t="n"/>
      <c r="B4925" s="4561" t="n"/>
      <c r="C4925" s="4561" t="n"/>
      <c r="D4925" s="4561" t="n"/>
      <c r="E4925" s="4561" t="n"/>
      <c r="F4925" s="4561" t="n"/>
      <c r="G4925" s="4561" t="n"/>
      <c r="H4925" s="4561" t="n"/>
      <c r="I4925" s="4562">
        <f>XLOOKUP(B4925,'_Sys|Line_Map'!$A:$A,'_Sys|Line_Map'!$C:$C,"MISSING",0)</f>
        <v/>
      </c>
      <c r="J4925" s="4562">
        <f>XLOOKUP(B4925,'_Sys|Line_Map'!$A:$A,'_Sys|Line_Map'!$D:$D,1,0)</f>
        <v/>
      </c>
      <c r="K4925" s="4562">
        <f>IF(D4925="","",D4925*J4925)</f>
        <v/>
      </c>
      <c r="L4925" s="4562">
        <f>XLOOKUP(B4925,'_Sys|Line_Map'!$A:$A,'_Sys|Line_Map'!$B:$B,"MISSING",0)</f>
        <v/>
      </c>
    </row>
    <row r="4926">
      <c r="A4926" s="4561" t="n"/>
      <c r="B4926" s="4561" t="n"/>
      <c r="C4926" s="4561" t="n"/>
      <c r="D4926" s="4561" t="n"/>
      <c r="E4926" s="4561" t="n"/>
      <c r="F4926" s="4561" t="n"/>
      <c r="G4926" s="4561" t="n"/>
      <c r="H4926" s="4561" t="n"/>
      <c r="I4926" s="4562">
        <f>XLOOKUP(B4926,'_Sys|Line_Map'!$A:$A,'_Sys|Line_Map'!$C:$C,"MISSING",0)</f>
        <v/>
      </c>
      <c r="J4926" s="4562">
        <f>XLOOKUP(B4926,'_Sys|Line_Map'!$A:$A,'_Sys|Line_Map'!$D:$D,1,0)</f>
        <v/>
      </c>
      <c r="K4926" s="4562">
        <f>IF(D4926="","",D4926*J4926)</f>
        <v/>
      </c>
      <c r="L4926" s="4562">
        <f>XLOOKUP(B4926,'_Sys|Line_Map'!$A:$A,'_Sys|Line_Map'!$B:$B,"MISSING",0)</f>
        <v/>
      </c>
    </row>
    <row r="4927">
      <c r="A4927" s="4561" t="n"/>
      <c r="B4927" s="4561" t="n"/>
      <c r="C4927" s="4561" t="n"/>
      <c r="D4927" s="4561" t="n"/>
      <c r="E4927" s="4561" t="n"/>
      <c r="F4927" s="4561" t="n"/>
      <c r="G4927" s="4561" t="n"/>
      <c r="H4927" s="4561" t="n"/>
      <c r="I4927" s="4562">
        <f>XLOOKUP(B4927,'_Sys|Line_Map'!$A:$A,'_Sys|Line_Map'!$C:$C,"MISSING",0)</f>
        <v/>
      </c>
      <c r="J4927" s="4562">
        <f>XLOOKUP(B4927,'_Sys|Line_Map'!$A:$A,'_Sys|Line_Map'!$D:$D,1,0)</f>
        <v/>
      </c>
      <c r="K4927" s="4562">
        <f>IF(D4927="","",D4927*J4927)</f>
        <v/>
      </c>
      <c r="L4927" s="4562">
        <f>XLOOKUP(B4927,'_Sys|Line_Map'!$A:$A,'_Sys|Line_Map'!$B:$B,"MISSING",0)</f>
        <v/>
      </c>
    </row>
    <row r="4928">
      <c r="A4928" s="4561" t="n"/>
      <c r="B4928" s="4561" t="n"/>
      <c r="C4928" s="4561" t="n"/>
      <c r="D4928" s="4561" t="n"/>
      <c r="E4928" s="4561" t="n"/>
      <c r="F4928" s="4561" t="n"/>
      <c r="G4928" s="4561" t="n"/>
      <c r="H4928" s="4561" t="n"/>
      <c r="I4928" s="4562">
        <f>XLOOKUP(B4928,'_Sys|Line_Map'!$A:$A,'_Sys|Line_Map'!$C:$C,"MISSING",0)</f>
        <v/>
      </c>
      <c r="J4928" s="4562">
        <f>XLOOKUP(B4928,'_Sys|Line_Map'!$A:$A,'_Sys|Line_Map'!$D:$D,1,0)</f>
        <v/>
      </c>
      <c r="K4928" s="4562">
        <f>IF(D4928="","",D4928*J4928)</f>
        <v/>
      </c>
      <c r="L4928" s="4562">
        <f>XLOOKUP(B4928,'_Sys|Line_Map'!$A:$A,'_Sys|Line_Map'!$B:$B,"MISSING",0)</f>
        <v/>
      </c>
    </row>
    <row r="4929">
      <c r="A4929" s="4561" t="n"/>
      <c r="B4929" s="4561" t="n"/>
      <c r="C4929" s="4561" t="n"/>
      <c r="D4929" s="4561" t="n"/>
      <c r="E4929" s="4561" t="n"/>
      <c r="F4929" s="4561" t="n"/>
      <c r="G4929" s="4561" t="n"/>
      <c r="H4929" s="4561" t="n"/>
      <c r="I4929" s="4562">
        <f>XLOOKUP(B4929,'_Sys|Line_Map'!$A:$A,'_Sys|Line_Map'!$C:$C,"MISSING",0)</f>
        <v/>
      </c>
      <c r="J4929" s="4562">
        <f>XLOOKUP(B4929,'_Sys|Line_Map'!$A:$A,'_Sys|Line_Map'!$D:$D,1,0)</f>
        <v/>
      </c>
      <c r="K4929" s="4562">
        <f>IF(D4929="","",D4929*J4929)</f>
        <v/>
      </c>
      <c r="L4929" s="4562">
        <f>XLOOKUP(B4929,'_Sys|Line_Map'!$A:$A,'_Sys|Line_Map'!$B:$B,"MISSING",0)</f>
        <v/>
      </c>
    </row>
    <row r="4930">
      <c r="A4930" s="4561" t="n"/>
      <c r="B4930" s="4561" t="n"/>
      <c r="C4930" s="4561" t="n"/>
      <c r="D4930" s="4561" t="n"/>
      <c r="E4930" s="4561" t="n"/>
      <c r="F4930" s="4561" t="n"/>
      <c r="G4930" s="4561" t="n"/>
      <c r="H4930" s="4561" t="n"/>
      <c r="I4930" s="4562">
        <f>XLOOKUP(B4930,'_Sys|Line_Map'!$A:$A,'_Sys|Line_Map'!$C:$C,"MISSING",0)</f>
        <v/>
      </c>
      <c r="J4930" s="4562">
        <f>XLOOKUP(B4930,'_Sys|Line_Map'!$A:$A,'_Sys|Line_Map'!$D:$D,1,0)</f>
        <v/>
      </c>
      <c r="K4930" s="4562">
        <f>IF(D4930="","",D4930*J4930)</f>
        <v/>
      </c>
      <c r="L4930" s="4562">
        <f>XLOOKUP(B4930,'_Sys|Line_Map'!$A:$A,'_Sys|Line_Map'!$B:$B,"MISSING",0)</f>
        <v/>
      </c>
    </row>
    <row r="4931">
      <c r="A4931" s="4561" t="n"/>
      <c r="B4931" s="4561" t="n"/>
      <c r="C4931" s="4561" t="n"/>
      <c r="D4931" s="4561" t="n"/>
      <c r="E4931" s="4561" t="n"/>
      <c r="F4931" s="4561" t="n"/>
      <c r="G4931" s="4561" t="n"/>
      <c r="H4931" s="4561" t="n"/>
      <c r="I4931" s="4562">
        <f>XLOOKUP(B4931,'_Sys|Line_Map'!$A:$A,'_Sys|Line_Map'!$C:$C,"MISSING",0)</f>
        <v/>
      </c>
      <c r="J4931" s="4562">
        <f>XLOOKUP(B4931,'_Sys|Line_Map'!$A:$A,'_Sys|Line_Map'!$D:$D,1,0)</f>
        <v/>
      </c>
      <c r="K4931" s="4562">
        <f>IF(D4931="","",D4931*J4931)</f>
        <v/>
      </c>
      <c r="L4931" s="4562">
        <f>XLOOKUP(B4931,'_Sys|Line_Map'!$A:$A,'_Sys|Line_Map'!$B:$B,"MISSING",0)</f>
        <v/>
      </c>
    </row>
    <row r="4932">
      <c r="A4932" s="4561" t="n"/>
      <c r="B4932" s="4561" t="n"/>
      <c r="C4932" s="4561" t="n"/>
      <c r="D4932" s="4561" t="n"/>
      <c r="E4932" s="4561" t="n"/>
      <c r="F4932" s="4561" t="n"/>
      <c r="G4932" s="4561" t="n"/>
      <c r="H4932" s="4561" t="n"/>
      <c r="I4932" s="4562">
        <f>XLOOKUP(B4932,'_Sys|Line_Map'!$A:$A,'_Sys|Line_Map'!$C:$C,"MISSING",0)</f>
        <v/>
      </c>
      <c r="J4932" s="4562">
        <f>XLOOKUP(B4932,'_Sys|Line_Map'!$A:$A,'_Sys|Line_Map'!$D:$D,1,0)</f>
        <v/>
      </c>
      <c r="K4932" s="4562">
        <f>IF(D4932="","",D4932*J4932)</f>
        <v/>
      </c>
      <c r="L4932" s="4562">
        <f>XLOOKUP(B4932,'_Sys|Line_Map'!$A:$A,'_Sys|Line_Map'!$B:$B,"MISSING",0)</f>
        <v/>
      </c>
    </row>
    <row r="4933">
      <c r="A4933" s="4561" t="n"/>
      <c r="B4933" s="4561" t="n"/>
      <c r="C4933" s="4561" t="n"/>
      <c r="D4933" s="4561" t="n"/>
      <c r="E4933" s="4561" t="n"/>
      <c r="F4933" s="4561" t="n"/>
      <c r="G4933" s="4561" t="n"/>
      <c r="H4933" s="4561" t="n"/>
      <c r="I4933" s="4562">
        <f>XLOOKUP(B4933,'_Sys|Line_Map'!$A:$A,'_Sys|Line_Map'!$C:$C,"MISSING",0)</f>
        <v/>
      </c>
      <c r="J4933" s="4562">
        <f>XLOOKUP(B4933,'_Sys|Line_Map'!$A:$A,'_Sys|Line_Map'!$D:$D,1,0)</f>
        <v/>
      </c>
      <c r="K4933" s="4562">
        <f>IF(D4933="","",D4933*J4933)</f>
        <v/>
      </c>
      <c r="L4933" s="4562">
        <f>XLOOKUP(B4933,'_Sys|Line_Map'!$A:$A,'_Sys|Line_Map'!$B:$B,"MISSING",0)</f>
        <v/>
      </c>
    </row>
    <row r="4934">
      <c r="A4934" s="4561" t="n"/>
      <c r="B4934" s="4561" t="n"/>
      <c r="C4934" s="4561" t="n"/>
      <c r="D4934" s="4561" t="n"/>
      <c r="E4934" s="4561" t="n"/>
      <c r="F4934" s="4561" t="n"/>
      <c r="G4934" s="4561" t="n"/>
      <c r="H4934" s="4561" t="n"/>
      <c r="I4934" s="4562">
        <f>XLOOKUP(B4934,'_Sys|Line_Map'!$A:$A,'_Sys|Line_Map'!$C:$C,"MISSING",0)</f>
        <v/>
      </c>
      <c r="J4934" s="4562">
        <f>XLOOKUP(B4934,'_Sys|Line_Map'!$A:$A,'_Sys|Line_Map'!$D:$D,1,0)</f>
        <v/>
      </c>
      <c r="K4934" s="4562">
        <f>IF(D4934="","",D4934*J4934)</f>
        <v/>
      </c>
      <c r="L4934" s="4562">
        <f>XLOOKUP(B4934,'_Sys|Line_Map'!$A:$A,'_Sys|Line_Map'!$B:$B,"MISSING",0)</f>
        <v/>
      </c>
    </row>
    <row r="4935">
      <c r="A4935" s="4561" t="n"/>
      <c r="B4935" s="4561" t="n"/>
      <c r="C4935" s="4561" t="n"/>
      <c r="D4935" s="4561" t="n"/>
      <c r="E4935" s="4561" t="n"/>
      <c r="F4935" s="4561" t="n"/>
      <c r="G4935" s="4561" t="n"/>
      <c r="H4935" s="4561" t="n"/>
      <c r="I4935" s="4562">
        <f>XLOOKUP(B4935,'_Sys|Line_Map'!$A:$A,'_Sys|Line_Map'!$C:$C,"MISSING",0)</f>
        <v/>
      </c>
      <c r="J4935" s="4562">
        <f>XLOOKUP(B4935,'_Sys|Line_Map'!$A:$A,'_Sys|Line_Map'!$D:$D,1,0)</f>
        <v/>
      </c>
      <c r="K4935" s="4562">
        <f>IF(D4935="","",D4935*J4935)</f>
        <v/>
      </c>
      <c r="L4935" s="4562">
        <f>XLOOKUP(B4935,'_Sys|Line_Map'!$A:$A,'_Sys|Line_Map'!$B:$B,"MISSING",0)</f>
        <v/>
      </c>
    </row>
    <row r="4936">
      <c r="A4936" s="4561" t="n"/>
      <c r="B4936" s="4561" t="n"/>
      <c r="C4936" s="4561" t="n"/>
      <c r="D4936" s="4561" t="n"/>
      <c r="E4936" s="4561" t="n"/>
      <c r="F4936" s="4561" t="n"/>
      <c r="G4936" s="4561" t="n"/>
      <c r="H4936" s="4561" t="n"/>
      <c r="I4936" s="4562">
        <f>XLOOKUP(B4936,'_Sys|Line_Map'!$A:$A,'_Sys|Line_Map'!$C:$C,"MISSING",0)</f>
        <v/>
      </c>
      <c r="J4936" s="4562">
        <f>XLOOKUP(B4936,'_Sys|Line_Map'!$A:$A,'_Sys|Line_Map'!$D:$D,1,0)</f>
        <v/>
      </c>
      <c r="K4936" s="4562">
        <f>IF(D4936="","",D4936*J4936)</f>
        <v/>
      </c>
      <c r="L4936" s="4562">
        <f>XLOOKUP(B4936,'_Sys|Line_Map'!$A:$A,'_Sys|Line_Map'!$B:$B,"MISSING",0)</f>
        <v/>
      </c>
    </row>
    <row r="4937">
      <c r="A4937" s="4561" t="n"/>
      <c r="B4937" s="4561" t="n"/>
      <c r="C4937" s="4561" t="n"/>
      <c r="D4937" s="4561" t="n"/>
      <c r="E4937" s="4561" t="n"/>
      <c r="F4937" s="4561" t="n"/>
      <c r="G4937" s="4561" t="n"/>
      <c r="H4937" s="4561" t="n"/>
      <c r="I4937" s="4562">
        <f>XLOOKUP(B4937,'_Sys|Line_Map'!$A:$A,'_Sys|Line_Map'!$C:$C,"MISSING",0)</f>
        <v/>
      </c>
      <c r="J4937" s="4562">
        <f>XLOOKUP(B4937,'_Sys|Line_Map'!$A:$A,'_Sys|Line_Map'!$D:$D,1,0)</f>
        <v/>
      </c>
      <c r="K4937" s="4562">
        <f>IF(D4937="","",D4937*J4937)</f>
        <v/>
      </c>
      <c r="L4937" s="4562">
        <f>XLOOKUP(B4937,'_Sys|Line_Map'!$A:$A,'_Sys|Line_Map'!$B:$B,"MISSING",0)</f>
        <v/>
      </c>
    </row>
    <row r="4938">
      <c r="A4938" s="4561" t="n"/>
      <c r="B4938" s="4561" t="n"/>
      <c r="C4938" s="4561" t="n"/>
      <c r="D4938" s="4561" t="n"/>
      <c r="E4938" s="4561" t="n"/>
      <c r="F4938" s="4561" t="n"/>
      <c r="G4938" s="4561" t="n"/>
      <c r="H4938" s="4561" t="n"/>
      <c r="I4938" s="4562">
        <f>XLOOKUP(B4938,'_Sys|Line_Map'!$A:$A,'_Sys|Line_Map'!$C:$C,"MISSING",0)</f>
        <v/>
      </c>
      <c r="J4938" s="4562">
        <f>XLOOKUP(B4938,'_Sys|Line_Map'!$A:$A,'_Sys|Line_Map'!$D:$D,1,0)</f>
        <v/>
      </c>
      <c r="K4938" s="4562">
        <f>IF(D4938="","",D4938*J4938)</f>
        <v/>
      </c>
      <c r="L4938" s="4562">
        <f>XLOOKUP(B4938,'_Sys|Line_Map'!$A:$A,'_Sys|Line_Map'!$B:$B,"MISSING",0)</f>
        <v/>
      </c>
    </row>
    <row r="4939">
      <c r="A4939" s="4561" t="n"/>
      <c r="B4939" s="4561" t="n"/>
      <c r="C4939" s="4561" t="n"/>
      <c r="D4939" s="4561" t="n"/>
      <c r="E4939" s="4561" t="n"/>
      <c r="F4939" s="4561" t="n"/>
      <c r="G4939" s="4561" t="n"/>
      <c r="H4939" s="4561" t="n"/>
      <c r="I4939" s="4562">
        <f>XLOOKUP(B4939,'_Sys|Line_Map'!$A:$A,'_Sys|Line_Map'!$C:$C,"MISSING",0)</f>
        <v/>
      </c>
      <c r="J4939" s="4562">
        <f>XLOOKUP(B4939,'_Sys|Line_Map'!$A:$A,'_Sys|Line_Map'!$D:$D,1,0)</f>
        <v/>
      </c>
      <c r="K4939" s="4562">
        <f>IF(D4939="","",D4939*J4939)</f>
        <v/>
      </c>
      <c r="L4939" s="4562">
        <f>XLOOKUP(B4939,'_Sys|Line_Map'!$A:$A,'_Sys|Line_Map'!$B:$B,"MISSING",0)</f>
        <v/>
      </c>
    </row>
    <row r="4940">
      <c r="A4940" s="4561" t="n"/>
      <c r="B4940" s="4561" t="n"/>
      <c r="C4940" s="4561" t="n"/>
      <c r="D4940" s="4561" t="n"/>
      <c r="E4940" s="4561" t="n"/>
      <c r="F4940" s="4561" t="n"/>
      <c r="G4940" s="4561" t="n"/>
      <c r="H4940" s="4561" t="n"/>
      <c r="I4940" s="4562">
        <f>XLOOKUP(B4940,'_Sys|Line_Map'!$A:$A,'_Sys|Line_Map'!$C:$C,"MISSING",0)</f>
        <v/>
      </c>
      <c r="J4940" s="4562">
        <f>XLOOKUP(B4940,'_Sys|Line_Map'!$A:$A,'_Sys|Line_Map'!$D:$D,1,0)</f>
        <v/>
      </c>
      <c r="K4940" s="4562">
        <f>IF(D4940="","",D4940*J4940)</f>
        <v/>
      </c>
      <c r="L4940" s="4562">
        <f>XLOOKUP(B4940,'_Sys|Line_Map'!$A:$A,'_Sys|Line_Map'!$B:$B,"MISSING",0)</f>
        <v/>
      </c>
    </row>
    <row r="4941">
      <c r="A4941" s="4561" t="n"/>
      <c r="B4941" s="4561" t="n"/>
      <c r="C4941" s="4561" t="n"/>
      <c r="D4941" s="4561" t="n"/>
      <c r="E4941" s="4561" t="n"/>
      <c r="F4941" s="4561" t="n"/>
      <c r="G4941" s="4561" t="n"/>
      <c r="H4941" s="4561" t="n"/>
      <c r="I4941" s="4562">
        <f>XLOOKUP(B4941,'_Sys|Line_Map'!$A:$A,'_Sys|Line_Map'!$C:$C,"MISSING",0)</f>
        <v/>
      </c>
      <c r="J4941" s="4562">
        <f>XLOOKUP(B4941,'_Sys|Line_Map'!$A:$A,'_Sys|Line_Map'!$D:$D,1,0)</f>
        <v/>
      </c>
      <c r="K4941" s="4562">
        <f>IF(D4941="","",D4941*J4941)</f>
        <v/>
      </c>
      <c r="L4941" s="4562">
        <f>XLOOKUP(B4941,'_Sys|Line_Map'!$A:$A,'_Sys|Line_Map'!$B:$B,"MISSING",0)</f>
        <v/>
      </c>
    </row>
    <row r="4942">
      <c r="A4942" s="4561" t="n"/>
      <c r="B4942" s="4561" t="n"/>
      <c r="C4942" s="4561" t="n"/>
      <c r="D4942" s="4561" t="n"/>
      <c r="E4942" s="4561" t="n"/>
      <c r="F4942" s="4561" t="n"/>
      <c r="G4942" s="4561" t="n"/>
      <c r="H4942" s="4561" t="n"/>
      <c r="I4942" s="4562">
        <f>XLOOKUP(B4942,'_Sys|Line_Map'!$A:$A,'_Sys|Line_Map'!$C:$C,"MISSING",0)</f>
        <v/>
      </c>
      <c r="J4942" s="4562">
        <f>XLOOKUP(B4942,'_Sys|Line_Map'!$A:$A,'_Sys|Line_Map'!$D:$D,1,0)</f>
        <v/>
      </c>
      <c r="K4942" s="4562">
        <f>IF(D4942="","",D4942*J4942)</f>
        <v/>
      </c>
      <c r="L4942" s="4562">
        <f>XLOOKUP(B4942,'_Sys|Line_Map'!$A:$A,'_Sys|Line_Map'!$B:$B,"MISSING",0)</f>
        <v/>
      </c>
    </row>
    <row r="4943">
      <c r="A4943" s="4561" t="n"/>
      <c r="B4943" s="4561" t="n"/>
      <c r="C4943" s="4561" t="n"/>
      <c r="D4943" s="4561" t="n"/>
      <c r="E4943" s="4561" t="n"/>
      <c r="F4943" s="4561" t="n"/>
      <c r="G4943" s="4561" t="n"/>
      <c r="H4943" s="4561" t="n"/>
      <c r="I4943" s="4562">
        <f>XLOOKUP(B4943,'_Sys|Line_Map'!$A:$A,'_Sys|Line_Map'!$C:$C,"MISSING",0)</f>
        <v/>
      </c>
      <c r="J4943" s="4562">
        <f>XLOOKUP(B4943,'_Sys|Line_Map'!$A:$A,'_Sys|Line_Map'!$D:$D,1,0)</f>
        <v/>
      </c>
      <c r="K4943" s="4562">
        <f>IF(D4943="","",D4943*J4943)</f>
        <v/>
      </c>
      <c r="L4943" s="4562">
        <f>XLOOKUP(B4943,'_Sys|Line_Map'!$A:$A,'_Sys|Line_Map'!$B:$B,"MISSING",0)</f>
        <v/>
      </c>
    </row>
    <row r="4944">
      <c r="A4944" s="4561" t="n"/>
      <c r="B4944" s="4561" t="n"/>
      <c r="C4944" s="4561" t="n"/>
      <c r="D4944" s="4561" t="n"/>
      <c r="E4944" s="4561" t="n"/>
      <c r="F4944" s="4561" t="n"/>
      <c r="G4944" s="4561" t="n"/>
      <c r="H4944" s="4561" t="n"/>
      <c r="I4944" s="4562">
        <f>XLOOKUP(B4944,'_Sys|Line_Map'!$A:$A,'_Sys|Line_Map'!$C:$C,"MISSING",0)</f>
        <v/>
      </c>
      <c r="J4944" s="4562">
        <f>XLOOKUP(B4944,'_Sys|Line_Map'!$A:$A,'_Sys|Line_Map'!$D:$D,1,0)</f>
        <v/>
      </c>
      <c r="K4944" s="4562">
        <f>IF(D4944="","",D4944*J4944)</f>
        <v/>
      </c>
      <c r="L4944" s="4562">
        <f>XLOOKUP(B4944,'_Sys|Line_Map'!$A:$A,'_Sys|Line_Map'!$B:$B,"MISSING",0)</f>
        <v/>
      </c>
    </row>
    <row r="4945">
      <c r="A4945" s="4561" t="n"/>
      <c r="B4945" s="4561" t="n"/>
      <c r="C4945" s="4561" t="n"/>
      <c r="D4945" s="4561" t="n"/>
      <c r="E4945" s="4561" t="n"/>
      <c r="F4945" s="4561" t="n"/>
      <c r="G4945" s="4561" t="n"/>
      <c r="H4945" s="4561" t="n"/>
      <c r="I4945" s="4562">
        <f>XLOOKUP(B4945,'_Sys|Line_Map'!$A:$A,'_Sys|Line_Map'!$C:$C,"MISSING",0)</f>
        <v/>
      </c>
      <c r="J4945" s="4562">
        <f>XLOOKUP(B4945,'_Sys|Line_Map'!$A:$A,'_Sys|Line_Map'!$D:$D,1,0)</f>
        <v/>
      </c>
      <c r="K4945" s="4562">
        <f>IF(D4945="","",D4945*J4945)</f>
        <v/>
      </c>
      <c r="L4945" s="4562">
        <f>XLOOKUP(B4945,'_Sys|Line_Map'!$A:$A,'_Sys|Line_Map'!$B:$B,"MISSING",0)</f>
        <v/>
      </c>
    </row>
    <row r="4946">
      <c r="A4946" s="4561" t="n"/>
      <c r="B4946" s="4561" t="n"/>
      <c r="C4946" s="4561" t="n"/>
      <c r="D4946" s="4561" t="n"/>
      <c r="E4946" s="4561" t="n"/>
      <c r="F4946" s="4561" t="n"/>
      <c r="G4946" s="4561" t="n"/>
      <c r="H4946" s="4561" t="n"/>
      <c r="I4946" s="4562">
        <f>XLOOKUP(B4946,'_Sys|Line_Map'!$A:$A,'_Sys|Line_Map'!$C:$C,"MISSING",0)</f>
        <v/>
      </c>
      <c r="J4946" s="4562">
        <f>XLOOKUP(B4946,'_Sys|Line_Map'!$A:$A,'_Sys|Line_Map'!$D:$D,1,0)</f>
        <v/>
      </c>
      <c r="K4946" s="4562">
        <f>IF(D4946="","",D4946*J4946)</f>
        <v/>
      </c>
      <c r="L4946" s="4562">
        <f>XLOOKUP(B4946,'_Sys|Line_Map'!$A:$A,'_Sys|Line_Map'!$B:$B,"MISSING",0)</f>
        <v/>
      </c>
    </row>
    <row r="4947">
      <c r="A4947" s="4561" t="n"/>
      <c r="B4947" s="4561" t="n"/>
      <c r="C4947" s="4561" t="n"/>
      <c r="D4947" s="4561" t="n"/>
      <c r="E4947" s="4561" t="n"/>
      <c r="F4947" s="4561" t="n"/>
      <c r="G4947" s="4561" t="n"/>
      <c r="H4947" s="4561" t="n"/>
      <c r="I4947" s="4562">
        <f>XLOOKUP(B4947,'_Sys|Line_Map'!$A:$A,'_Sys|Line_Map'!$C:$C,"MISSING",0)</f>
        <v/>
      </c>
      <c r="J4947" s="4562">
        <f>XLOOKUP(B4947,'_Sys|Line_Map'!$A:$A,'_Sys|Line_Map'!$D:$D,1,0)</f>
        <v/>
      </c>
      <c r="K4947" s="4562">
        <f>IF(D4947="","",D4947*J4947)</f>
        <v/>
      </c>
      <c r="L4947" s="4562">
        <f>XLOOKUP(B4947,'_Sys|Line_Map'!$A:$A,'_Sys|Line_Map'!$B:$B,"MISSING",0)</f>
        <v/>
      </c>
    </row>
    <row r="4948">
      <c r="A4948" s="4561" t="n"/>
      <c r="B4948" s="4561" t="n"/>
      <c r="C4948" s="4561" t="n"/>
      <c r="D4948" s="4561" t="n"/>
      <c r="E4948" s="4561" t="n"/>
      <c r="F4948" s="4561" t="n"/>
      <c r="G4948" s="4561" t="n"/>
      <c r="H4948" s="4561" t="n"/>
      <c r="I4948" s="4562">
        <f>XLOOKUP(B4948,'_Sys|Line_Map'!$A:$A,'_Sys|Line_Map'!$C:$C,"MISSING",0)</f>
        <v/>
      </c>
      <c r="J4948" s="4562">
        <f>XLOOKUP(B4948,'_Sys|Line_Map'!$A:$A,'_Sys|Line_Map'!$D:$D,1,0)</f>
        <v/>
      </c>
      <c r="K4948" s="4562">
        <f>IF(D4948="","",D4948*J4948)</f>
        <v/>
      </c>
      <c r="L4948" s="4562">
        <f>XLOOKUP(B4948,'_Sys|Line_Map'!$A:$A,'_Sys|Line_Map'!$B:$B,"MISSING",0)</f>
        <v/>
      </c>
    </row>
    <row r="4949">
      <c r="A4949" s="4561" t="n"/>
      <c r="B4949" s="4561" t="n"/>
      <c r="C4949" s="4561" t="n"/>
      <c r="D4949" s="4561" t="n"/>
      <c r="E4949" s="4561" t="n"/>
      <c r="F4949" s="4561" t="n"/>
      <c r="G4949" s="4561" t="n"/>
      <c r="H4949" s="4561" t="n"/>
      <c r="I4949" s="4562">
        <f>XLOOKUP(B4949,'_Sys|Line_Map'!$A:$A,'_Sys|Line_Map'!$C:$C,"MISSING",0)</f>
        <v/>
      </c>
      <c r="J4949" s="4562">
        <f>XLOOKUP(B4949,'_Sys|Line_Map'!$A:$A,'_Sys|Line_Map'!$D:$D,1,0)</f>
        <v/>
      </c>
      <c r="K4949" s="4562">
        <f>IF(D4949="","",D4949*J4949)</f>
        <v/>
      </c>
      <c r="L4949" s="4562">
        <f>XLOOKUP(B4949,'_Sys|Line_Map'!$A:$A,'_Sys|Line_Map'!$B:$B,"MISSING",0)</f>
        <v/>
      </c>
    </row>
    <row r="4950">
      <c r="A4950" s="4561" t="n"/>
      <c r="B4950" s="4561" t="n"/>
      <c r="C4950" s="4561" t="n"/>
      <c r="D4950" s="4561" t="n"/>
      <c r="E4950" s="4561" t="n"/>
      <c r="F4950" s="4561" t="n"/>
      <c r="G4950" s="4561" t="n"/>
      <c r="H4950" s="4561" t="n"/>
      <c r="I4950" s="4562">
        <f>XLOOKUP(B4950,'_Sys|Line_Map'!$A:$A,'_Sys|Line_Map'!$C:$C,"MISSING",0)</f>
        <v/>
      </c>
      <c r="J4950" s="4562">
        <f>XLOOKUP(B4950,'_Sys|Line_Map'!$A:$A,'_Sys|Line_Map'!$D:$D,1,0)</f>
        <v/>
      </c>
      <c r="K4950" s="4562">
        <f>IF(D4950="","",D4950*J4950)</f>
        <v/>
      </c>
      <c r="L4950" s="4562">
        <f>XLOOKUP(B4950,'_Sys|Line_Map'!$A:$A,'_Sys|Line_Map'!$B:$B,"MISSING",0)</f>
        <v/>
      </c>
    </row>
    <row r="4951">
      <c r="A4951" s="4561" t="n"/>
      <c r="B4951" s="4561" t="n"/>
      <c r="C4951" s="4561" t="n"/>
      <c r="D4951" s="4561" t="n"/>
      <c r="E4951" s="4561" t="n"/>
      <c r="F4951" s="4561" t="n"/>
      <c r="G4951" s="4561" t="n"/>
      <c r="H4951" s="4561" t="n"/>
      <c r="I4951" s="4562">
        <f>XLOOKUP(B4951,'_Sys|Line_Map'!$A:$A,'_Sys|Line_Map'!$C:$C,"MISSING",0)</f>
        <v/>
      </c>
      <c r="J4951" s="4562">
        <f>XLOOKUP(B4951,'_Sys|Line_Map'!$A:$A,'_Sys|Line_Map'!$D:$D,1,0)</f>
        <v/>
      </c>
      <c r="K4951" s="4562">
        <f>IF(D4951="","",D4951*J4951)</f>
        <v/>
      </c>
      <c r="L4951" s="4562">
        <f>XLOOKUP(B4951,'_Sys|Line_Map'!$A:$A,'_Sys|Line_Map'!$B:$B,"MISSING",0)</f>
        <v/>
      </c>
    </row>
    <row r="4952">
      <c r="A4952" s="4561" t="n"/>
      <c r="B4952" s="4561" t="n"/>
      <c r="C4952" s="4561" t="n"/>
      <c r="D4952" s="4561" t="n"/>
      <c r="E4952" s="4561" t="n"/>
      <c r="F4952" s="4561" t="n"/>
      <c r="G4952" s="4561" t="n"/>
      <c r="H4952" s="4561" t="n"/>
      <c r="I4952" s="4562">
        <f>XLOOKUP(B4952,'_Sys|Line_Map'!$A:$A,'_Sys|Line_Map'!$C:$C,"MISSING",0)</f>
        <v/>
      </c>
      <c r="J4952" s="4562">
        <f>XLOOKUP(B4952,'_Sys|Line_Map'!$A:$A,'_Sys|Line_Map'!$D:$D,1,0)</f>
        <v/>
      </c>
      <c r="K4952" s="4562">
        <f>IF(D4952="","",D4952*J4952)</f>
        <v/>
      </c>
      <c r="L4952" s="4562">
        <f>XLOOKUP(B4952,'_Sys|Line_Map'!$A:$A,'_Sys|Line_Map'!$B:$B,"MISSING",0)</f>
        <v/>
      </c>
    </row>
    <row r="4953">
      <c r="A4953" s="4561" t="n"/>
      <c r="B4953" s="4561" t="n"/>
      <c r="C4953" s="4561" t="n"/>
      <c r="D4953" s="4561" t="n"/>
      <c r="E4953" s="4561" t="n"/>
      <c r="F4953" s="4561" t="n"/>
      <c r="G4953" s="4561" t="n"/>
      <c r="H4953" s="4561" t="n"/>
      <c r="I4953" s="4562">
        <f>XLOOKUP(B4953,'_Sys|Line_Map'!$A:$A,'_Sys|Line_Map'!$C:$C,"MISSING",0)</f>
        <v/>
      </c>
      <c r="J4953" s="4562">
        <f>XLOOKUP(B4953,'_Sys|Line_Map'!$A:$A,'_Sys|Line_Map'!$D:$D,1,0)</f>
        <v/>
      </c>
      <c r="K4953" s="4562">
        <f>IF(D4953="","",D4953*J4953)</f>
        <v/>
      </c>
      <c r="L4953" s="4562">
        <f>XLOOKUP(B4953,'_Sys|Line_Map'!$A:$A,'_Sys|Line_Map'!$B:$B,"MISSING",0)</f>
        <v/>
      </c>
    </row>
    <row r="4954">
      <c r="A4954" s="4561" t="n"/>
      <c r="B4954" s="4561" t="n"/>
      <c r="C4954" s="4561" t="n"/>
      <c r="D4954" s="4561" t="n"/>
      <c r="E4954" s="4561" t="n"/>
      <c r="F4954" s="4561" t="n"/>
      <c r="G4954" s="4561" t="n"/>
      <c r="H4954" s="4561" t="n"/>
      <c r="I4954" s="4562">
        <f>XLOOKUP(B4954,'_Sys|Line_Map'!$A:$A,'_Sys|Line_Map'!$C:$C,"MISSING",0)</f>
        <v/>
      </c>
      <c r="J4954" s="4562">
        <f>XLOOKUP(B4954,'_Sys|Line_Map'!$A:$A,'_Sys|Line_Map'!$D:$D,1,0)</f>
        <v/>
      </c>
      <c r="K4954" s="4562">
        <f>IF(D4954="","",D4954*J4954)</f>
        <v/>
      </c>
      <c r="L4954" s="4562">
        <f>XLOOKUP(B4954,'_Sys|Line_Map'!$A:$A,'_Sys|Line_Map'!$B:$B,"MISSING",0)</f>
        <v/>
      </c>
    </row>
    <row r="4955">
      <c r="A4955" s="4561" t="n"/>
      <c r="B4955" s="4561" t="n"/>
      <c r="C4955" s="4561" t="n"/>
      <c r="D4955" s="4561" t="n"/>
      <c r="E4955" s="4561" t="n"/>
      <c r="F4955" s="4561" t="n"/>
      <c r="G4955" s="4561" t="n"/>
      <c r="H4955" s="4561" t="n"/>
      <c r="I4955" s="4562">
        <f>XLOOKUP(B4955,'_Sys|Line_Map'!$A:$A,'_Sys|Line_Map'!$C:$C,"MISSING",0)</f>
        <v/>
      </c>
      <c r="J4955" s="4562">
        <f>XLOOKUP(B4955,'_Sys|Line_Map'!$A:$A,'_Sys|Line_Map'!$D:$D,1,0)</f>
        <v/>
      </c>
      <c r="K4955" s="4562">
        <f>IF(D4955="","",D4955*J4955)</f>
        <v/>
      </c>
      <c r="L4955" s="4562">
        <f>XLOOKUP(B4955,'_Sys|Line_Map'!$A:$A,'_Sys|Line_Map'!$B:$B,"MISSING",0)</f>
        <v/>
      </c>
    </row>
    <row r="4956">
      <c r="A4956" s="4561" t="n"/>
      <c r="B4956" s="4561" t="n"/>
      <c r="C4956" s="4561" t="n"/>
      <c r="D4956" s="4561" t="n"/>
      <c r="E4956" s="4561" t="n"/>
      <c r="F4956" s="4561" t="n"/>
      <c r="G4956" s="4561" t="n"/>
      <c r="H4956" s="4561" t="n"/>
      <c r="I4956" s="4562">
        <f>XLOOKUP(B4956,'_Sys|Line_Map'!$A:$A,'_Sys|Line_Map'!$C:$C,"MISSING",0)</f>
        <v/>
      </c>
      <c r="J4956" s="4562">
        <f>XLOOKUP(B4956,'_Sys|Line_Map'!$A:$A,'_Sys|Line_Map'!$D:$D,1,0)</f>
        <v/>
      </c>
      <c r="K4956" s="4562">
        <f>IF(D4956="","",D4956*J4956)</f>
        <v/>
      </c>
      <c r="L4956" s="4562">
        <f>XLOOKUP(B4956,'_Sys|Line_Map'!$A:$A,'_Sys|Line_Map'!$B:$B,"MISSING",0)</f>
        <v/>
      </c>
    </row>
    <row r="4957">
      <c r="A4957" s="4561" t="n"/>
      <c r="B4957" s="4561" t="n"/>
      <c r="C4957" s="4561" t="n"/>
      <c r="D4957" s="4561" t="n"/>
      <c r="E4957" s="4561" t="n"/>
      <c r="F4957" s="4561" t="n"/>
      <c r="G4957" s="4561" t="n"/>
      <c r="H4957" s="4561" t="n"/>
      <c r="I4957" s="4562">
        <f>XLOOKUP(B4957,'_Sys|Line_Map'!$A:$A,'_Sys|Line_Map'!$C:$C,"MISSING",0)</f>
        <v/>
      </c>
      <c r="J4957" s="4562">
        <f>XLOOKUP(B4957,'_Sys|Line_Map'!$A:$A,'_Sys|Line_Map'!$D:$D,1,0)</f>
        <v/>
      </c>
      <c r="K4957" s="4562">
        <f>IF(D4957="","",D4957*J4957)</f>
        <v/>
      </c>
      <c r="L4957" s="4562">
        <f>XLOOKUP(B4957,'_Sys|Line_Map'!$A:$A,'_Sys|Line_Map'!$B:$B,"MISSING",0)</f>
        <v/>
      </c>
    </row>
    <row r="4958">
      <c r="A4958" s="4561" t="n"/>
      <c r="B4958" s="4561" t="n"/>
      <c r="C4958" s="4561" t="n"/>
      <c r="D4958" s="4561" t="n"/>
      <c r="E4958" s="4561" t="n"/>
      <c r="F4958" s="4561" t="n"/>
      <c r="G4958" s="4561" t="n"/>
      <c r="H4958" s="4561" t="n"/>
      <c r="I4958" s="4562">
        <f>XLOOKUP(B4958,'_Sys|Line_Map'!$A:$A,'_Sys|Line_Map'!$C:$C,"MISSING",0)</f>
        <v/>
      </c>
      <c r="J4958" s="4562">
        <f>XLOOKUP(B4958,'_Sys|Line_Map'!$A:$A,'_Sys|Line_Map'!$D:$D,1,0)</f>
        <v/>
      </c>
      <c r="K4958" s="4562">
        <f>IF(D4958="","",D4958*J4958)</f>
        <v/>
      </c>
      <c r="L4958" s="4562">
        <f>XLOOKUP(B4958,'_Sys|Line_Map'!$A:$A,'_Sys|Line_Map'!$B:$B,"MISSING",0)</f>
        <v/>
      </c>
    </row>
    <row r="4959">
      <c r="A4959" s="4561" t="n"/>
      <c r="B4959" s="4561" t="n"/>
      <c r="C4959" s="4561" t="n"/>
      <c r="D4959" s="4561" t="n"/>
      <c r="E4959" s="4561" t="n"/>
      <c r="F4959" s="4561" t="n"/>
      <c r="G4959" s="4561" t="n"/>
      <c r="H4959" s="4561" t="n"/>
      <c r="I4959" s="4562">
        <f>XLOOKUP(B4959,'_Sys|Line_Map'!$A:$A,'_Sys|Line_Map'!$C:$C,"MISSING",0)</f>
        <v/>
      </c>
      <c r="J4959" s="4562">
        <f>XLOOKUP(B4959,'_Sys|Line_Map'!$A:$A,'_Sys|Line_Map'!$D:$D,1,0)</f>
        <v/>
      </c>
      <c r="K4959" s="4562">
        <f>IF(D4959="","",D4959*J4959)</f>
        <v/>
      </c>
      <c r="L4959" s="4562">
        <f>XLOOKUP(B4959,'_Sys|Line_Map'!$A:$A,'_Sys|Line_Map'!$B:$B,"MISSING",0)</f>
        <v/>
      </c>
    </row>
    <row r="4960">
      <c r="A4960" s="4561" t="n"/>
      <c r="B4960" s="4561" t="n"/>
      <c r="C4960" s="4561" t="n"/>
      <c r="D4960" s="4561" t="n"/>
      <c r="E4960" s="4561" t="n"/>
      <c r="F4960" s="4561" t="n"/>
      <c r="G4960" s="4561" t="n"/>
      <c r="H4960" s="4561" t="n"/>
      <c r="I4960" s="4562">
        <f>XLOOKUP(B4960,'_Sys|Line_Map'!$A:$A,'_Sys|Line_Map'!$C:$C,"MISSING",0)</f>
        <v/>
      </c>
      <c r="J4960" s="4562">
        <f>XLOOKUP(B4960,'_Sys|Line_Map'!$A:$A,'_Sys|Line_Map'!$D:$D,1,0)</f>
        <v/>
      </c>
      <c r="K4960" s="4562">
        <f>IF(D4960="","",D4960*J4960)</f>
        <v/>
      </c>
      <c r="L4960" s="4562">
        <f>XLOOKUP(B4960,'_Sys|Line_Map'!$A:$A,'_Sys|Line_Map'!$B:$B,"MISSING",0)</f>
        <v/>
      </c>
    </row>
    <row r="4961">
      <c r="A4961" s="4561" t="n"/>
      <c r="B4961" s="4561" t="n"/>
      <c r="C4961" s="4561" t="n"/>
      <c r="D4961" s="4561" t="n"/>
      <c r="E4961" s="4561" t="n"/>
      <c r="F4961" s="4561" t="n"/>
      <c r="G4961" s="4561" t="n"/>
      <c r="H4961" s="4561" t="n"/>
      <c r="I4961" s="4562">
        <f>XLOOKUP(B4961,'_Sys|Line_Map'!$A:$A,'_Sys|Line_Map'!$C:$C,"MISSING",0)</f>
        <v/>
      </c>
      <c r="J4961" s="4562">
        <f>XLOOKUP(B4961,'_Sys|Line_Map'!$A:$A,'_Sys|Line_Map'!$D:$D,1,0)</f>
        <v/>
      </c>
      <c r="K4961" s="4562">
        <f>IF(D4961="","",D4961*J4961)</f>
        <v/>
      </c>
      <c r="L4961" s="4562">
        <f>XLOOKUP(B4961,'_Sys|Line_Map'!$A:$A,'_Sys|Line_Map'!$B:$B,"MISSING",0)</f>
        <v/>
      </c>
    </row>
    <row r="4962">
      <c r="A4962" s="4561" t="n"/>
      <c r="B4962" s="4561" t="n"/>
      <c r="C4962" s="4561" t="n"/>
      <c r="D4962" s="4561" t="n"/>
      <c r="E4962" s="4561" t="n"/>
      <c r="F4962" s="4561" t="n"/>
      <c r="G4962" s="4561" t="n"/>
      <c r="H4962" s="4561" t="n"/>
      <c r="I4962" s="4562">
        <f>XLOOKUP(B4962,'_Sys|Line_Map'!$A:$A,'_Sys|Line_Map'!$C:$C,"MISSING",0)</f>
        <v/>
      </c>
      <c r="J4962" s="4562">
        <f>XLOOKUP(B4962,'_Sys|Line_Map'!$A:$A,'_Sys|Line_Map'!$D:$D,1,0)</f>
        <v/>
      </c>
      <c r="K4962" s="4562">
        <f>IF(D4962="","",D4962*J4962)</f>
        <v/>
      </c>
      <c r="L4962" s="4562">
        <f>XLOOKUP(B4962,'_Sys|Line_Map'!$A:$A,'_Sys|Line_Map'!$B:$B,"MISSING",0)</f>
        <v/>
      </c>
    </row>
    <row r="4963">
      <c r="A4963" s="4561" t="n"/>
      <c r="B4963" s="4561" t="n"/>
      <c r="C4963" s="4561" t="n"/>
      <c r="D4963" s="4561" t="n"/>
      <c r="E4963" s="4561" t="n"/>
      <c r="F4963" s="4561" t="n"/>
      <c r="G4963" s="4561" t="n"/>
      <c r="H4963" s="4561" t="n"/>
      <c r="I4963" s="4562">
        <f>XLOOKUP(B4963,'_Sys|Line_Map'!$A:$A,'_Sys|Line_Map'!$C:$C,"MISSING",0)</f>
        <v/>
      </c>
      <c r="J4963" s="4562">
        <f>XLOOKUP(B4963,'_Sys|Line_Map'!$A:$A,'_Sys|Line_Map'!$D:$D,1,0)</f>
        <v/>
      </c>
      <c r="K4963" s="4562">
        <f>IF(D4963="","",D4963*J4963)</f>
        <v/>
      </c>
      <c r="L4963" s="4562">
        <f>XLOOKUP(B4963,'_Sys|Line_Map'!$A:$A,'_Sys|Line_Map'!$B:$B,"MISSING",0)</f>
        <v/>
      </c>
    </row>
    <row r="4964">
      <c r="A4964" s="4561" t="n"/>
      <c r="B4964" s="4561" t="n"/>
      <c r="C4964" s="4561" t="n"/>
      <c r="D4964" s="4561" t="n"/>
      <c r="E4964" s="4561" t="n"/>
      <c r="F4964" s="4561" t="n"/>
      <c r="G4964" s="4561" t="n"/>
      <c r="H4964" s="4561" t="n"/>
      <c r="I4964" s="4562">
        <f>XLOOKUP(B4964,'_Sys|Line_Map'!$A:$A,'_Sys|Line_Map'!$C:$C,"MISSING",0)</f>
        <v/>
      </c>
      <c r="J4964" s="4562">
        <f>XLOOKUP(B4964,'_Sys|Line_Map'!$A:$A,'_Sys|Line_Map'!$D:$D,1,0)</f>
        <v/>
      </c>
      <c r="K4964" s="4562">
        <f>IF(D4964="","",D4964*J4964)</f>
        <v/>
      </c>
      <c r="L4964" s="4562">
        <f>XLOOKUP(B4964,'_Sys|Line_Map'!$A:$A,'_Sys|Line_Map'!$B:$B,"MISSING",0)</f>
        <v/>
      </c>
    </row>
    <row r="4965">
      <c r="A4965" s="4561" t="n"/>
      <c r="B4965" s="4561" t="n"/>
      <c r="C4965" s="4561" t="n"/>
      <c r="D4965" s="4561" t="n"/>
      <c r="E4965" s="4561" t="n"/>
      <c r="F4965" s="4561" t="n"/>
      <c r="G4965" s="4561" t="n"/>
      <c r="H4965" s="4561" t="n"/>
      <c r="I4965" s="4562">
        <f>XLOOKUP(B4965,'_Sys|Line_Map'!$A:$A,'_Sys|Line_Map'!$C:$C,"MISSING",0)</f>
        <v/>
      </c>
      <c r="J4965" s="4562">
        <f>XLOOKUP(B4965,'_Sys|Line_Map'!$A:$A,'_Sys|Line_Map'!$D:$D,1,0)</f>
        <v/>
      </c>
      <c r="K4965" s="4562">
        <f>IF(D4965="","",D4965*J4965)</f>
        <v/>
      </c>
      <c r="L4965" s="4562">
        <f>XLOOKUP(B4965,'_Sys|Line_Map'!$A:$A,'_Sys|Line_Map'!$B:$B,"MISSING",0)</f>
        <v/>
      </c>
    </row>
    <row r="4966">
      <c r="A4966" s="4561" t="n"/>
      <c r="B4966" s="4561" t="n"/>
      <c r="C4966" s="4561" t="n"/>
      <c r="D4966" s="4561" t="n"/>
      <c r="E4966" s="4561" t="n"/>
      <c r="F4966" s="4561" t="n"/>
      <c r="G4966" s="4561" t="n"/>
      <c r="H4966" s="4561" t="n"/>
      <c r="I4966" s="4562">
        <f>XLOOKUP(B4966,'_Sys|Line_Map'!$A:$A,'_Sys|Line_Map'!$C:$C,"MISSING",0)</f>
        <v/>
      </c>
      <c r="J4966" s="4562">
        <f>XLOOKUP(B4966,'_Sys|Line_Map'!$A:$A,'_Sys|Line_Map'!$D:$D,1,0)</f>
        <v/>
      </c>
      <c r="K4966" s="4562">
        <f>IF(D4966="","",D4966*J4966)</f>
        <v/>
      </c>
      <c r="L4966" s="4562">
        <f>XLOOKUP(B4966,'_Sys|Line_Map'!$A:$A,'_Sys|Line_Map'!$B:$B,"MISSING",0)</f>
        <v/>
      </c>
    </row>
    <row r="4967">
      <c r="A4967" s="4561" t="n"/>
      <c r="B4967" s="4561" t="n"/>
      <c r="C4967" s="4561" t="n"/>
      <c r="D4967" s="4561" t="n"/>
      <c r="E4967" s="4561" t="n"/>
      <c r="F4967" s="4561" t="n"/>
      <c r="G4967" s="4561" t="n"/>
      <c r="H4967" s="4561" t="n"/>
      <c r="I4967" s="4562">
        <f>XLOOKUP(B4967,'_Sys|Line_Map'!$A:$A,'_Sys|Line_Map'!$C:$C,"MISSING",0)</f>
        <v/>
      </c>
      <c r="J4967" s="4562">
        <f>XLOOKUP(B4967,'_Sys|Line_Map'!$A:$A,'_Sys|Line_Map'!$D:$D,1,0)</f>
        <v/>
      </c>
      <c r="K4967" s="4562">
        <f>IF(D4967="","",D4967*J4967)</f>
        <v/>
      </c>
      <c r="L4967" s="4562">
        <f>XLOOKUP(B4967,'_Sys|Line_Map'!$A:$A,'_Sys|Line_Map'!$B:$B,"MISSING",0)</f>
        <v/>
      </c>
    </row>
    <row r="4968">
      <c r="A4968" s="4561" t="n"/>
      <c r="B4968" s="4561" t="n"/>
      <c r="C4968" s="4561" t="n"/>
      <c r="D4968" s="4561" t="n"/>
      <c r="E4968" s="4561" t="n"/>
      <c r="F4968" s="4561" t="n"/>
      <c r="G4968" s="4561" t="n"/>
      <c r="H4968" s="4561" t="n"/>
      <c r="I4968" s="4562">
        <f>XLOOKUP(B4968,'_Sys|Line_Map'!$A:$A,'_Sys|Line_Map'!$C:$C,"MISSING",0)</f>
        <v/>
      </c>
      <c r="J4968" s="4562">
        <f>XLOOKUP(B4968,'_Sys|Line_Map'!$A:$A,'_Sys|Line_Map'!$D:$D,1,0)</f>
        <v/>
      </c>
      <c r="K4968" s="4562">
        <f>IF(D4968="","",D4968*J4968)</f>
        <v/>
      </c>
      <c r="L4968" s="4562">
        <f>XLOOKUP(B4968,'_Sys|Line_Map'!$A:$A,'_Sys|Line_Map'!$B:$B,"MISSING",0)</f>
        <v/>
      </c>
    </row>
    <row r="4969">
      <c r="A4969" s="4561" t="n"/>
      <c r="B4969" s="4561" t="n"/>
      <c r="C4969" s="4561" t="n"/>
      <c r="D4969" s="4561" t="n"/>
      <c r="E4969" s="4561" t="n"/>
      <c r="F4969" s="4561" t="n"/>
      <c r="G4969" s="4561" t="n"/>
      <c r="H4969" s="4561" t="n"/>
      <c r="I4969" s="4562">
        <f>XLOOKUP(B4969,'_Sys|Line_Map'!$A:$A,'_Sys|Line_Map'!$C:$C,"MISSING",0)</f>
        <v/>
      </c>
      <c r="J4969" s="4562">
        <f>XLOOKUP(B4969,'_Sys|Line_Map'!$A:$A,'_Sys|Line_Map'!$D:$D,1,0)</f>
        <v/>
      </c>
      <c r="K4969" s="4562">
        <f>IF(D4969="","",D4969*J4969)</f>
        <v/>
      </c>
      <c r="L4969" s="4562">
        <f>XLOOKUP(B4969,'_Sys|Line_Map'!$A:$A,'_Sys|Line_Map'!$B:$B,"MISSING",0)</f>
        <v/>
      </c>
    </row>
    <row r="4970">
      <c r="A4970" s="4561" t="n"/>
      <c r="B4970" s="4561" t="n"/>
      <c r="C4970" s="4561" t="n"/>
      <c r="D4970" s="4561" t="n"/>
      <c r="E4970" s="4561" t="n"/>
      <c r="F4970" s="4561" t="n"/>
      <c r="G4970" s="4561" t="n"/>
      <c r="H4970" s="4561" t="n"/>
      <c r="I4970" s="4562">
        <f>XLOOKUP(B4970,'_Sys|Line_Map'!$A:$A,'_Sys|Line_Map'!$C:$C,"MISSING",0)</f>
        <v/>
      </c>
      <c r="J4970" s="4562">
        <f>XLOOKUP(B4970,'_Sys|Line_Map'!$A:$A,'_Sys|Line_Map'!$D:$D,1,0)</f>
        <v/>
      </c>
      <c r="K4970" s="4562">
        <f>IF(D4970="","",D4970*J4970)</f>
        <v/>
      </c>
      <c r="L4970" s="4562">
        <f>XLOOKUP(B4970,'_Sys|Line_Map'!$A:$A,'_Sys|Line_Map'!$B:$B,"MISSING",0)</f>
        <v/>
      </c>
    </row>
    <row r="4971">
      <c r="A4971" s="4561" t="n"/>
      <c r="B4971" s="4561" t="n"/>
      <c r="C4971" s="4561" t="n"/>
      <c r="D4971" s="4561" t="n"/>
      <c r="E4971" s="4561" t="n"/>
      <c r="F4971" s="4561" t="n"/>
      <c r="G4971" s="4561" t="n"/>
      <c r="H4971" s="4561" t="n"/>
      <c r="I4971" s="4562">
        <f>XLOOKUP(B4971,'_Sys|Line_Map'!$A:$A,'_Sys|Line_Map'!$C:$C,"MISSING",0)</f>
        <v/>
      </c>
      <c r="J4971" s="4562">
        <f>XLOOKUP(B4971,'_Sys|Line_Map'!$A:$A,'_Sys|Line_Map'!$D:$D,1,0)</f>
        <v/>
      </c>
      <c r="K4971" s="4562">
        <f>IF(D4971="","",D4971*J4971)</f>
        <v/>
      </c>
      <c r="L4971" s="4562">
        <f>XLOOKUP(B4971,'_Sys|Line_Map'!$A:$A,'_Sys|Line_Map'!$B:$B,"MISSING",0)</f>
        <v/>
      </c>
    </row>
    <row r="4972">
      <c r="A4972" s="4561" t="n"/>
      <c r="B4972" s="4561" t="n"/>
      <c r="C4972" s="4561" t="n"/>
      <c r="D4972" s="4561" t="n"/>
      <c r="E4972" s="4561" t="n"/>
      <c r="F4972" s="4561" t="n"/>
      <c r="G4972" s="4561" t="n"/>
      <c r="H4972" s="4561" t="n"/>
      <c r="I4972" s="4562">
        <f>XLOOKUP(B4972,'_Sys|Line_Map'!$A:$A,'_Sys|Line_Map'!$C:$C,"MISSING",0)</f>
        <v/>
      </c>
      <c r="J4972" s="4562">
        <f>XLOOKUP(B4972,'_Sys|Line_Map'!$A:$A,'_Sys|Line_Map'!$D:$D,1,0)</f>
        <v/>
      </c>
      <c r="K4972" s="4562">
        <f>IF(D4972="","",D4972*J4972)</f>
        <v/>
      </c>
      <c r="L4972" s="4562">
        <f>XLOOKUP(B4972,'_Sys|Line_Map'!$A:$A,'_Sys|Line_Map'!$B:$B,"MISSING",0)</f>
        <v/>
      </c>
    </row>
    <row r="4973">
      <c r="A4973" s="4561" t="n"/>
      <c r="B4973" s="4561" t="n"/>
      <c r="C4973" s="4561" t="n"/>
      <c r="D4973" s="4561" t="n"/>
      <c r="E4973" s="4561" t="n"/>
      <c r="F4973" s="4561" t="n"/>
      <c r="G4973" s="4561" t="n"/>
      <c r="H4973" s="4561" t="n"/>
      <c r="I4973" s="4562">
        <f>XLOOKUP(B4973,'_Sys|Line_Map'!$A:$A,'_Sys|Line_Map'!$C:$C,"MISSING",0)</f>
        <v/>
      </c>
      <c r="J4973" s="4562">
        <f>XLOOKUP(B4973,'_Sys|Line_Map'!$A:$A,'_Sys|Line_Map'!$D:$D,1,0)</f>
        <v/>
      </c>
      <c r="K4973" s="4562">
        <f>IF(D4973="","",D4973*J4973)</f>
        <v/>
      </c>
      <c r="L4973" s="4562">
        <f>XLOOKUP(B4973,'_Sys|Line_Map'!$A:$A,'_Sys|Line_Map'!$B:$B,"MISSING",0)</f>
        <v/>
      </c>
    </row>
    <row r="4974">
      <c r="A4974" s="4561" t="n"/>
      <c r="B4974" s="4561" t="n"/>
      <c r="C4974" s="4561" t="n"/>
      <c r="D4974" s="4561" t="n"/>
      <c r="E4974" s="4561" t="n"/>
      <c r="F4974" s="4561" t="n"/>
      <c r="G4974" s="4561" t="n"/>
      <c r="H4974" s="4561" t="n"/>
      <c r="I4974" s="4562">
        <f>XLOOKUP(B4974,'_Sys|Line_Map'!$A:$A,'_Sys|Line_Map'!$C:$C,"MISSING",0)</f>
        <v/>
      </c>
      <c r="J4974" s="4562">
        <f>XLOOKUP(B4974,'_Sys|Line_Map'!$A:$A,'_Sys|Line_Map'!$D:$D,1,0)</f>
        <v/>
      </c>
      <c r="K4974" s="4562">
        <f>IF(D4974="","",D4974*J4974)</f>
        <v/>
      </c>
      <c r="L4974" s="4562">
        <f>XLOOKUP(B4974,'_Sys|Line_Map'!$A:$A,'_Sys|Line_Map'!$B:$B,"MISSING",0)</f>
        <v/>
      </c>
    </row>
    <row r="4975">
      <c r="A4975" s="4561" t="n"/>
      <c r="B4975" s="4561" t="n"/>
      <c r="C4975" s="4561" t="n"/>
      <c r="D4975" s="4561" t="n"/>
      <c r="E4975" s="4561" t="n"/>
      <c r="F4975" s="4561" t="n"/>
      <c r="G4975" s="4561" t="n"/>
      <c r="H4975" s="4561" t="n"/>
      <c r="I4975" s="4562">
        <f>XLOOKUP(B4975,'_Sys|Line_Map'!$A:$A,'_Sys|Line_Map'!$C:$C,"MISSING",0)</f>
        <v/>
      </c>
      <c r="J4975" s="4562">
        <f>XLOOKUP(B4975,'_Sys|Line_Map'!$A:$A,'_Sys|Line_Map'!$D:$D,1,0)</f>
        <v/>
      </c>
      <c r="K4975" s="4562">
        <f>IF(D4975="","",D4975*J4975)</f>
        <v/>
      </c>
      <c r="L4975" s="4562">
        <f>XLOOKUP(B4975,'_Sys|Line_Map'!$A:$A,'_Sys|Line_Map'!$B:$B,"MISSING",0)</f>
        <v/>
      </c>
    </row>
    <row r="4976">
      <c r="A4976" s="4561" t="n"/>
      <c r="B4976" s="4561" t="n"/>
      <c r="C4976" s="4561" t="n"/>
      <c r="D4976" s="4561" t="n"/>
      <c r="E4976" s="4561" t="n"/>
      <c r="F4976" s="4561" t="n"/>
      <c r="G4976" s="4561" t="n"/>
      <c r="H4976" s="4561" t="n"/>
      <c r="I4976" s="4562">
        <f>XLOOKUP(B4976,'_Sys|Line_Map'!$A:$A,'_Sys|Line_Map'!$C:$C,"MISSING",0)</f>
        <v/>
      </c>
      <c r="J4976" s="4562">
        <f>XLOOKUP(B4976,'_Sys|Line_Map'!$A:$A,'_Sys|Line_Map'!$D:$D,1,0)</f>
        <v/>
      </c>
      <c r="K4976" s="4562">
        <f>IF(D4976="","",D4976*J4976)</f>
        <v/>
      </c>
      <c r="L4976" s="4562">
        <f>XLOOKUP(B4976,'_Sys|Line_Map'!$A:$A,'_Sys|Line_Map'!$B:$B,"MISSING",0)</f>
        <v/>
      </c>
    </row>
    <row r="4977">
      <c r="A4977" s="4561" t="n"/>
      <c r="B4977" s="4561" t="n"/>
      <c r="C4977" s="4561" t="n"/>
      <c r="D4977" s="4561" t="n"/>
      <c r="E4977" s="4561" t="n"/>
      <c r="F4977" s="4561" t="n"/>
      <c r="G4977" s="4561" t="n"/>
      <c r="H4977" s="4561" t="n"/>
      <c r="I4977" s="4562">
        <f>XLOOKUP(B4977,'_Sys|Line_Map'!$A:$A,'_Sys|Line_Map'!$C:$C,"MISSING",0)</f>
        <v/>
      </c>
      <c r="J4977" s="4562">
        <f>XLOOKUP(B4977,'_Sys|Line_Map'!$A:$A,'_Sys|Line_Map'!$D:$D,1,0)</f>
        <v/>
      </c>
      <c r="K4977" s="4562">
        <f>IF(D4977="","",D4977*J4977)</f>
        <v/>
      </c>
      <c r="L4977" s="4562">
        <f>XLOOKUP(B4977,'_Sys|Line_Map'!$A:$A,'_Sys|Line_Map'!$B:$B,"MISSING",0)</f>
        <v/>
      </c>
    </row>
    <row r="4978">
      <c r="A4978" s="4561" t="n"/>
      <c r="B4978" s="4561" t="n"/>
      <c r="C4978" s="4561" t="n"/>
      <c r="D4978" s="4561" t="n"/>
      <c r="E4978" s="4561" t="n"/>
      <c r="F4978" s="4561" t="n"/>
      <c r="G4978" s="4561" t="n"/>
      <c r="H4978" s="4561" t="n"/>
      <c r="I4978" s="4562">
        <f>XLOOKUP(B4978,'_Sys|Line_Map'!$A:$A,'_Sys|Line_Map'!$C:$C,"MISSING",0)</f>
        <v/>
      </c>
      <c r="J4978" s="4562">
        <f>XLOOKUP(B4978,'_Sys|Line_Map'!$A:$A,'_Sys|Line_Map'!$D:$D,1,0)</f>
        <v/>
      </c>
      <c r="K4978" s="4562">
        <f>IF(D4978="","",D4978*J4978)</f>
        <v/>
      </c>
      <c r="L4978" s="4562">
        <f>XLOOKUP(B4978,'_Sys|Line_Map'!$A:$A,'_Sys|Line_Map'!$B:$B,"MISSING",0)</f>
        <v/>
      </c>
    </row>
    <row r="4979">
      <c r="A4979" s="4561" t="n"/>
      <c r="B4979" s="4561" t="n"/>
      <c r="C4979" s="4561" t="n"/>
      <c r="D4979" s="4561" t="n"/>
      <c r="E4979" s="4561" t="n"/>
      <c r="F4979" s="4561" t="n"/>
      <c r="G4979" s="4561" t="n"/>
      <c r="H4979" s="4561" t="n"/>
      <c r="I4979" s="4562">
        <f>XLOOKUP(B4979,'_Sys|Line_Map'!$A:$A,'_Sys|Line_Map'!$C:$C,"MISSING",0)</f>
        <v/>
      </c>
      <c r="J4979" s="4562">
        <f>XLOOKUP(B4979,'_Sys|Line_Map'!$A:$A,'_Sys|Line_Map'!$D:$D,1,0)</f>
        <v/>
      </c>
      <c r="K4979" s="4562">
        <f>IF(D4979="","",D4979*J4979)</f>
        <v/>
      </c>
      <c r="L4979" s="4562">
        <f>XLOOKUP(B4979,'_Sys|Line_Map'!$A:$A,'_Sys|Line_Map'!$B:$B,"MISSING",0)</f>
        <v/>
      </c>
    </row>
    <row r="4980">
      <c r="A4980" s="4561" t="n"/>
      <c r="B4980" s="4561" t="n"/>
      <c r="C4980" s="4561" t="n"/>
      <c r="D4980" s="4561" t="n"/>
      <c r="E4980" s="4561" t="n"/>
      <c r="F4980" s="4561" t="n"/>
      <c r="G4980" s="4561" t="n"/>
      <c r="H4980" s="4561" t="n"/>
      <c r="I4980" s="4562">
        <f>XLOOKUP(B4980,'_Sys|Line_Map'!$A:$A,'_Sys|Line_Map'!$C:$C,"MISSING",0)</f>
        <v/>
      </c>
      <c r="J4980" s="4562">
        <f>XLOOKUP(B4980,'_Sys|Line_Map'!$A:$A,'_Sys|Line_Map'!$D:$D,1,0)</f>
        <v/>
      </c>
      <c r="K4980" s="4562">
        <f>IF(D4980="","",D4980*J4980)</f>
        <v/>
      </c>
      <c r="L4980" s="4562">
        <f>XLOOKUP(B4980,'_Sys|Line_Map'!$A:$A,'_Sys|Line_Map'!$B:$B,"MISSING",0)</f>
        <v/>
      </c>
    </row>
    <row r="4981">
      <c r="A4981" s="4561" t="n"/>
      <c r="B4981" s="4561" t="n"/>
      <c r="C4981" s="4561" t="n"/>
      <c r="D4981" s="4561" t="n"/>
      <c r="E4981" s="4561" t="n"/>
      <c r="F4981" s="4561" t="n"/>
      <c r="G4981" s="4561" t="n"/>
      <c r="H4981" s="4561" t="n"/>
      <c r="I4981" s="4562">
        <f>XLOOKUP(B4981,'_Sys|Line_Map'!$A:$A,'_Sys|Line_Map'!$C:$C,"MISSING",0)</f>
        <v/>
      </c>
      <c r="J4981" s="4562">
        <f>XLOOKUP(B4981,'_Sys|Line_Map'!$A:$A,'_Sys|Line_Map'!$D:$D,1,0)</f>
        <v/>
      </c>
      <c r="K4981" s="4562">
        <f>IF(D4981="","",D4981*J4981)</f>
        <v/>
      </c>
      <c r="L4981" s="4562">
        <f>XLOOKUP(B4981,'_Sys|Line_Map'!$A:$A,'_Sys|Line_Map'!$B:$B,"MISSING",0)</f>
        <v/>
      </c>
    </row>
    <row r="4982">
      <c r="A4982" s="4561" t="n"/>
      <c r="B4982" s="4561" t="n"/>
      <c r="C4982" s="4561" t="n"/>
      <c r="D4982" s="4561" t="n"/>
      <c r="E4982" s="4561" t="n"/>
      <c r="F4982" s="4561" t="n"/>
      <c r="G4982" s="4561" t="n"/>
      <c r="H4982" s="4561" t="n"/>
      <c r="I4982" s="4562">
        <f>XLOOKUP(B4982,'_Sys|Line_Map'!$A:$A,'_Sys|Line_Map'!$C:$C,"MISSING",0)</f>
        <v/>
      </c>
      <c r="J4982" s="4562">
        <f>XLOOKUP(B4982,'_Sys|Line_Map'!$A:$A,'_Sys|Line_Map'!$D:$D,1,0)</f>
        <v/>
      </c>
      <c r="K4982" s="4562">
        <f>IF(D4982="","",D4982*J4982)</f>
        <v/>
      </c>
      <c r="L4982" s="4562">
        <f>XLOOKUP(B4982,'_Sys|Line_Map'!$A:$A,'_Sys|Line_Map'!$B:$B,"MISSING",0)</f>
        <v/>
      </c>
    </row>
    <row r="4983">
      <c r="A4983" s="4561" t="n"/>
      <c r="B4983" s="4561" t="n"/>
      <c r="C4983" s="4561" t="n"/>
      <c r="D4983" s="4561" t="n"/>
      <c r="E4983" s="4561" t="n"/>
      <c r="F4983" s="4561" t="n"/>
      <c r="G4983" s="4561" t="n"/>
      <c r="H4983" s="4561" t="n"/>
      <c r="I4983" s="4562">
        <f>XLOOKUP(B4983,'_Sys|Line_Map'!$A:$A,'_Sys|Line_Map'!$C:$C,"MISSING",0)</f>
        <v/>
      </c>
      <c r="J4983" s="4562">
        <f>XLOOKUP(B4983,'_Sys|Line_Map'!$A:$A,'_Sys|Line_Map'!$D:$D,1,0)</f>
        <v/>
      </c>
      <c r="K4983" s="4562">
        <f>IF(D4983="","",D4983*J4983)</f>
        <v/>
      </c>
      <c r="L4983" s="4562">
        <f>XLOOKUP(B4983,'_Sys|Line_Map'!$A:$A,'_Sys|Line_Map'!$B:$B,"MISSING",0)</f>
        <v/>
      </c>
    </row>
    <row r="4984">
      <c r="A4984" s="4561" t="n"/>
      <c r="B4984" s="4561" t="n"/>
      <c r="C4984" s="4561" t="n"/>
      <c r="D4984" s="4561" t="n"/>
      <c r="E4984" s="4561" t="n"/>
      <c r="F4984" s="4561" t="n"/>
      <c r="G4984" s="4561" t="n"/>
      <c r="H4984" s="4561" t="n"/>
      <c r="I4984" s="4562">
        <f>XLOOKUP(B4984,'_Sys|Line_Map'!$A:$A,'_Sys|Line_Map'!$C:$C,"MISSING",0)</f>
        <v/>
      </c>
      <c r="J4984" s="4562">
        <f>XLOOKUP(B4984,'_Sys|Line_Map'!$A:$A,'_Sys|Line_Map'!$D:$D,1,0)</f>
        <v/>
      </c>
      <c r="K4984" s="4562">
        <f>IF(D4984="","",D4984*J4984)</f>
        <v/>
      </c>
      <c r="L4984" s="4562">
        <f>XLOOKUP(B4984,'_Sys|Line_Map'!$A:$A,'_Sys|Line_Map'!$B:$B,"MISSING",0)</f>
        <v/>
      </c>
    </row>
    <row r="4985">
      <c r="A4985" s="4561" t="n"/>
      <c r="B4985" s="4561" t="n"/>
      <c r="C4985" s="4561" t="n"/>
      <c r="D4985" s="4561" t="n"/>
      <c r="E4985" s="4561" t="n"/>
      <c r="F4985" s="4561" t="n"/>
      <c r="G4985" s="4561" t="n"/>
      <c r="H4985" s="4561" t="n"/>
      <c r="I4985" s="4562">
        <f>XLOOKUP(B4985,'_Sys|Line_Map'!$A:$A,'_Sys|Line_Map'!$C:$C,"MISSING",0)</f>
        <v/>
      </c>
      <c r="J4985" s="4562">
        <f>XLOOKUP(B4985,'_Sys|Line_Map'!$A:$A,'_Sys|Line_Map'!$D:$D,1,0)</f>
        <v/>
      </c>
      <c r="K4985" s="4562">
        <f>IF(D4985="","",D4985*J4985)</f>
        <v/>
      </c>
      <c r="L4985" s="4562">
        <f>XLOOKUP(B4985,'_Sys|Line_Map'!$A:$A,'_Sys|Line_Map'!$B:$B,"MISSING",0)</f>
        <v/>
      </c>
    </row>
    <row r="4986">
      <c r="A4986" s="4561" t="n"/>
      <c r="B4986" s="4561" t="n"/>
      <c r="C4986" s="4561" t="n"/>
      <c r="D4986" s="4561" t="n"/>
      <c r="E4986" s="4561" t="n"/>
      <c r="F4986" s="4561" t="n"/>
      <c r="G4986" s="4561" t="n"/>
      <c r="H4986" s="4561" t="n"/>
      <c r="I4986" s="4562">
        <f>XLOOKUP(B4986,'_Sys|Line_Map'!$A:$A,'_Sys|Line_Map'!$C:$C,"MISSING",0)</f>
        <v/>
      </c>
      <c r="J4986" s="4562">
        <f>XLOOKUP(B4986,'_Sys|Line_Map'!$A:$A,'_Sys|Line_Map'!$D:$D,1,0)</f>
        <v/>
      </c>
      <c r="K4986" s="4562">
        <f>IF(D4986="","",D4986*J4986)</f>
        <v/>
      </c>
      <c r="L4986" s="4562">
        <f>XLOOKUP(B4986,'_Sys|Line_Map'!$A:$A,'_Sys|Line_Map'!$B:$B,"MISSING",0)</f>
        <v/>
      </c>
    </row>
    <row r="4987">
      <c r="A4987" s="4561" t="n"/>
      <c r="B4987" s="4561" t="n"/>
      <c r="C4987" s="4561" t="n"/>
      <c r="D4987" s="4561" t="n"/>
      <c r="E4987" s="4561" t="n"/>
      <c r="F4987" s="4561" t="n"/>
      <c r="G4987" s="4561" t="n"/>
      <c r="H4987" s="4561" t="n"/>
      <c r="I4987" s="4562">
        <f>XLOOKUP(B4987,'_Sys|Line_Map'!$A:$A,'_Sys|Line_Map'!$C:$C,"MISSING",0)</f>
        <v/>
      </c>
      <c r="J4987" s="4562">
        <f>XLOOKUP(B4987,'_Sys|Line_Map'!$A:$A,'_Sys|Line_Map'!$D:$D,1,0)</f>
        <v/>
      </c>
      <c r="K4987" s="4562">
        <f>IF(D4987="","",D4987*J4987)</f>
        <v/>
      </c>
      <c r="L4987" s="4562">
        <f>XLOOKUP(B4987,'_Sys|Line_Map'!$A:$A,'_Sys|Line_Map'!$B:$B,"MISSING",0)</f>
        <v/>
      </c>
    </row>
    <row r="4988">
      <c r="A4988" s="4561" t="n"/>
      <c r="B4988" s="4561" t="n"/>
      <c r="C4988" s="4561" t="n"/>
      <c r="D4988" s="4561" t="n"/>
      <c r="E4988" s="4561" t="n"/>
      <c r="F4988" s="4561" t="n"/>
      <c r="G4988" s="4561" t="n"/>
      <c r="H4988" s="4561" t="n"/>
      <c r="I4988" s="4562">
        <f>XLOOKUP(B4988,'_Sys|Line_Map'!$A:$A,'_Sys|Line_Map'!$C:$C,"MISSING",0)</f>
        <v/>
      </c>
      <c r="J4988" s="4562">
        <f>XLOOKUP(B4988,'_Sys|Line_Map'!$A:$A,'_Sys|Line_Map'!$D:$D,1,0)</f>
        <v/>
      </c>
      <c r="K4988" s="4562">
        <f>IF(D4988="","",D4988*J4988)</f>
        <v/>
      </c>
      <c r="L4988" s="4562">
        <f>XLOOKUP(B4988,'_Sys|Line_Map'!$A:$A,'_Sys|Line_Map'!$B:$B,"MISSING",0)</f>
        <v/>
      </c>
    </row>
    <row r="4989">
      <c r="A4989" s="4561" t="n"/>
      <c r="B4989" s="4561" t="n"/>
      <c r="C4989" s="4561" t="n"/>
      <c r="D4989" s="4561" t="n"/>
      <c r="E4989" s="4561" t="n"/>
      <c r="F4989" s="4561" t="n"/>
      <c r="G4989" s="4561" t="n"/>
      <c r="H4989" s="4561" t="n"/>
      <c r="I4989" s="4562">
        <f>XLOOKUP(B4989,'_Sys|Line_Map'!$A:$A,'_Sys|Line_Map'!$C:$C,"MISSING",0)</f>
        <v/>
      </c>
      <c r="J4989" s="4562">
        <f>XLOOKUP(B4989,'_Sys|Line_Map'!$A:$A,'_Sys|Line_Map'!$D:$D,1,0)</f>
        <v/>
      </c>
      <c r="K4989" s="4562">
        <f>IF(D4989="","",D4989*J4989)</f>
        <v/>
      </c>
      <c r="L4989" s="4562">
        <f>XLOOKUP(B4989,'_Sys|Line_Map'!$A:$A,'_Sys|Line_Map'!$B:$B,"MISSING",0)</f>
        <v/>
      </c>
    </row>
    <row r="4990">
      <c r="A4990" s="4561" t="n"/>
      <c r="B4990" s="4561" t="n"/>
      <c r="C4990" s="4561" t="n"/>
      <c r="D4990" s="4561" t="n"/>
      <c r="E4990" s="4561" t="n"/>
      <c r="F4990" s="4561" t="n"/>
      <c r="G4990" s="4561" t="n"/>
      <c r="H4990" s="4561" t="n"/>
      <c r="I4990" s="4562">
        <f>XLOOKUP(B4990,'_Sys|Line_Map'!$A:$A,'_Sys|Line_Map'!$C:$C,"MISSING",0)</f>
        <v/>
      </c>
      <c r="J4990" s="4562">
        <f>XLOOKUP(B4990,'_Sys|Line_Map'!$A:$A,'_Sys|Line_Map'!$D:$D,1,0)</f>
        <v/>
      </c>
      <c r="K4990" s="4562">
        <f>IF(D4990="","",D4990*J4990)</f>
        <v/>
      </c>
      <c r="L4990" s="4562">
        <f>XLOOKUP(B4990,'_Sys|Line_Map'!$A:$A,'_Sys|Line_Map'!$B:$B,"MISSING",0)</f>
        <v/>
      </c>
    </row>
    <row r="4991">
      <c r="A4991" s="4561" t="n"/>
      <c r="B4991" s="4561" t="n"/>
      <c r="C4991" s="4561" t="n"/>
      <c r="D4991" s="4561" t="n"/>
      <c r="E4991" s="4561" t="n"/>
      <c r="F4991" s="4561" t="n"/>
      <c r="G4991" s="4561" t="n"/>
      <c r="H4991" s="4561" t="n"/>
      <c r="I4991" s="4562">
        <f>XLOOKUP(B4991,'_Sys|Line_Map'!$A:$A,'_Sys|Line_Map'!$C:$C,"MISSING",0)</f>
        <v/>
      </c>
      <c r="J4991" s="4562">
        <f>XLOOKUP(B4991,'_Sys|Line_Map'!$A:$A,'_Sys|Line_Map'!$D:$D,1,0)</f>
        <v/>
      </c>
      <c r="K4991" s="4562">
        <f>IF(D4991="","",D4991*J4991)</f>
        <v/>
      </c>
      <c r="L4991" s="4562">
        <f>XLOOKUP(B4991,'_Sys|Line_Map'!$A:$A,'_Sys|Line_Map'!$B:$B,"MISSING",0)</f>
        <v/>
      </c>
    </row>
    <row r="4992">
      <c r="A4992" s="4561" t="n"/>
      <c r="B4992" s="4561" t="n"/>
      <c r="C4992" s="4561" t="n"/>
      <c r="D4992" s="4561" t="n"/>
      <c r="E4992" s="4561" t="n"/>
      <c r="F4992" s="4561" t="n"/>
      <c r="G4992" s="4561" t="n"/>
      <c r="H4992" s="4561" t="n"/>
      <c r="I4992" s="4562">
        <f>XLOOKUP(B4992,'_Sys|Line_Map'!$A:$A,'_Sys|Line_Map'!$C:$C,"MISSING",0)</f>
        <v/>
      </c>
      <c r="J4992" s="4562">
        <f>XLOOKUP(B4992,'_Sys|Line_Map'!$A:$A,'_Sys|Line_Map'!$D:$D,1,0)</f>
        <v/>
      </c>
      <c r="K4992" s="4562">
        <f>IF(D4992="","",D4992*J4992)</f>
        <v/>
      </c>
      <c r="L4992" s="4562">
        <f>XLOOKUP(B4992,'_Sys|Line_Map'!$A:$A,'_Sys|Line_Map'!$B:$B,"MISSING",0)</f>
        <v/>
      </c>
    </row>
    <row r="4993">
      <c r="A4993" s="4561" t="n"/>
      <c r="B4993" s="4561" t="n"/>
      <c r="C4993" s="4561" t="n"/>
      <c r="D4993" s="4561" t="n"/>
      <c r="E4993" s="4561" t="n"/>
      <c r="F4993" s="4561" t="n"/>
      <c r="G4993" s="4561" t="n"/>
      <c r="H4993" s="4561" t="n"/>
      <c r="I4993" s="4562">
        <f>XLOOKUP(B4993,'_Sys|Line_Map'!$A:$A,'_Sys|Line_Map'!$C:$C,"MISSING",0)</f>
        <v/>
      </c>
      <c r="J4993" s="4562">
        <f>XLOOKUP(B4993,'_Sys|Line_Map'!$A:$A,'_Sys|Line_Map'!$D:$D,1,0)</f>
        <v/>
      </c>
      <c r="K4993" s="4562">
        <f>IF(D4993="","",D4993*J4993)</f>
        <v/>
      </c>
      <c r="L4993" s="4562">
        <f>XLOOKUP(B4993,'_Sys|Line_Map'!$A:$A,'_Sys|Line_Map'!$B:$B,"MISSING",0)</f>
        <v/>
      </c>
    </row>
    <row r="4994">
      <c r="A4994" s="4561" t="n"/>
      <c r="B4994" s="4561" t="n"/>
      <c r="C4994" s="4561" t="n"/>
      <c r="D4994" s="4561" t="n"/>
      <c r="E4994" s="4561" t="n"/>
      <c r="F4994" s="4561" t="n"/>
      <c r="G4994" s="4561" t="n"/>
      <c r="H4994" s="4561" t="n"/>
      <c r="I4994" s="4562">
        <f>XLOOKUP(B4994,'_Sys|Line_Map'!$A:$A,'_Sys|Line_Map'!$C:$C,"MISSING",0)</f>
        <v/>
      </c>
      <c r="J4994" s="4562">
        <f>XLOOKUP(B4994,'_Sys|Line_Map'!$A:$A,'_Sys|Line_Map'!$D:$D,1,0)</f>
        <v/>
      </c>
      <c r="K4994" s="4562">
        <f>IF(D4994="","",D4994*J4994)</f>
        <v/>
      </c>
      <c r="L4994" s="4562">
        <f>XLOOKUP(B4994,'_Sys|Line_Map'!$A:$A,'_Sys|Line_Map'!$B:$B,"MISSING",0)</f>
        <v/>
      </c>
    </row>
    <row r="4995">
      <c r="A4995" s="4561" t="n"/>
      <c r="B4995" s="4561" t="n"/>
      <c r="C4995" s="4561" t="n"/>
      <c r="D4995" s="4561" t="n"/>
      <c r="E4995" s="4561" t="n"/>
      <c r="F4995" s="4561" t="n"/>
      <c r="G4995" s="4561" t="n"/>
      <c r="H4995" s="4561" t="n"/>
      <c r="I4995" s="4562">
        <f>XLOOKUP(B4995,'_Sys|Line_Map'!$A:$A,'_Sys|Line_Map'!$C:$C,"MISSING",0)</f>
        <v/>
      </c>
      <c r="J4995" s="4562">
        <f>XLOOKUP(B4995,'_Sys|Line_Map'!$A:$A,'_Sys|Line_Map'!$D:$D,1,0)</f>
        <v/>
      </c>
      <c r="K4995" s="4562">
        <f>IF(D4995="","",D4995*J4995)</f>
        <v/>
      </c>
      <c r="L4995" s="4562">
        <f>XLOOKUP(B4995,'_Sys|Line_Map'!$A:$A,'_Sys|Line_Map'!$B:$B,"MISSING",0)</f>
        <v/>
      </c>
    </row>
    <row r="4996">
      <c r="A4996" s="4561" t="n"/>
      <c r="B4996" s="4561" t="n"/>
      <c r="C4996" s="4561" t="n"/>
      <c r="D4996" s="4561" t="n"/>
      <c r="E4996" s="4561" t="n"/>
      <c r="F4996" s="4561" t="n"/>
      <c r="G4996" s="4561" t="n"/>
      <c r="H4996" s="4561" t="n"/>
      <c r="I4996" s="4562">
        <f>XLOOKUP(B4996,'_Sys|Line_Map'!$A:$A,'_Sys|Line_Map'!$C:$C,"MISSING",0)</f>
        <v/>
      </c>
      <c r="J4996" s="4562">
        <f>XLOOKUP(B4996,'_Sys|Line_Map'!$A:$A,'_Sys|Line_Map'!$D:$D,1,0)</f>
        <v/>
      </c>
      <c r="K4996" s="4562">
        <f>IF(D4996="","",D4996*J4996)</f>
        <v/>
      </c>
      <c r="L4996" s="4562">
        <f>XLOOKUP(B4996,'_Sys|Line_Map'!$A:$A,'_Sys|Line_Map'!$B:$B,"MISSING",0)</f>
        <v/>
      </c>
    </row>
    <row r="4997">
      <c r="A4997" s="4561" t="n"/>
      <c r="B4997" s="4561" t="n"/>
      <c r="C4997" s="4561" t="n"/>
      <c r="D4997" s="4561" t="n"/>
      <c r="E4997" s="4561" t="n"/>
      <c r="F4997" s="4561" t="n"/>
      <c r="G4997" s="4561" t="n"/>
      <c r="H4997" s="4561" t="n"/>
      <c r="I4997" s="4562">
        <f>XLOOKUP(B4997,'_Sys|Line_Map'!$A:$A,'_Sys|Line_Map'!$C:$C,"MISSING",0)</f>
        <v/>
      </c>
      <c r="J4997" s="4562">
        <f>XLOOKUP(B4997,'_Sys|Line_Map'!$A:$A,'_Sys|Line_Map'!$D:$D,1,0)</f>
        <v/>
      </c>
      <c r="K4997" s="4562">
        <f>IF(D4997="","",D4997*J4997)</f>
        <v/>
      </c>
      <c r="L4997" s="4562">
        <f>XLOOKUP(B4997,'_Sys|Line_Map'!$A:$A,'_Sys|Line_Map'!$B:$B,"MISSING",0)</f>
        <v/>
      </c>
    </row>
    <row r="4998">
      <c r="A4998" s="4561" t="n"/>
      <c r="B4998" s="4561" t="n"/>
      <c r="C4998" s="4561" t="n"/>
      <c r="D4998" s="4561" t="n"/>
      <c r="E4998" s="4561" t="n"/>
      <c r="F4998" s="4561" t="n"/>
      <c r="G4998" s="4561" t="n"/>
      <c r="H4998" s="4561" t="n"/>
      <c r="I4998" s="4562">
        <f>XLOOKUP(B4998,'_Sys|Line_Map'!$A:$A,'_Sys|Line_Map'!$C:$C,"MISSING",0)</f>
        <v/>
      </c>
      <c r="J4998" s="4562">
        <f>XLOOKUP(B4998,'_Sys|Line_Map'!$A:$A,'_Sys|Line_Map'!$D:$D,1,0)</f>
        <v/>
      </c>
      <c r="K4998" s="4562">
        <f>IF(D4998="","",D4998*J4998)</f>
        <v/>
      </c>
      <c r="L4998" s="4562">
        <f>XLOOKUP(B4998,'_Sys|Line_Map'!$A:$A,'_Sys|Line_Map'!$B:$B,"MISSING",0)</f>
        <v/>
      </c>
    </row>
    <row r="4999">
      <c r="A4999" s="4561" t="n"/>
      <c r="B4999" s="4561" t="n"/>
      <c r="C4999" s="4561" t="n"/>
      <c r="D4999" s="4561" t="n"/>
      <c r="E4999" s="4561" t="n"/>
      <c r="F4999" s="4561" t="n"/>
      <c r="G4999" s="4561" t="n"/>
      <c r="H4999" s="4561" t="n"/>
      <c r="I4999" s="4562">
        <f>XLOOKUP(B4999,'_Sys|Line_Map'!$A:$A,'_Sys|Line_Map'!$C:$C,"MISSING",0)</f>
        <v/>
      </c>
      <c r="J4999" s="4562">
        <f>XLOOKUP(B4999,'_Sys|Line_Map'!$A:$A,'_Sys|Line_Map'!$D:$D,1,0)</f>
        <v/>
      </c>
      <c r="K4999" s="4562">
        <f>IF(D4999="","",D4999*J4999)</f>
        <v/>
      </c>
      <c r="L4999" s="4562">
        <f>XLOOKUP(B4999,'_Sys|Line_Map'!$A:$A,'_Sys|Line_Map'!$B:$B,"MISSING",0)</f>
        <v/>
      </c>
    </row>
    <row r="5000">
      <c r="A5000" s="4561" t="n"/>
      <c r="B5000" s="4561" t="n"/>
      <c r="C5000" s="4561" t="n"/>
      <c r="D5000" s="4561" t="n"/>
      <c r="E5000" s="4561" t="n"/>
      <c r="F5000" s="4561" t="n"/>
      <c r="G5000" s="4561" t="n"/>
      <c r="H5000" s="4561" t="n"/>
      <c r="I5000" s="4562">
        <f>XLOOKUP(B5000,'_Sys|Line_Map'!$A:$A,'_Sys|Line_Map'!$C:$C,"MISSING",0)</f>
        <v/>
      </c>
      <c r="J5000" s="4562">
        <f>XLOOKUP(B5000,'_Sys|Line_Map'!$A:$A,'_Sys|Line_Map'!$D:$D,1,0)</f>
        <v/>
      </c>
      <c r="K5000" s="4562">
        <f>IF(D5000="","",D5000*J5000)</f>
        <v/>
      </c>
      <c r="L5000" s="4562">
        <f>XLOOKUP(B5000,'_Sys|Line_Map'!$A:$A,'_Sys|Line_Map'!$B:$B,"MISSING",0)</f>
        <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5000"/>
  <sheetViews>
    <sheetView workbookViewId="0">
      <pane ySplit="1" topLeftCell="A2" activePane="bottomLeft" state="frozen"/>
      <selection pane="bottomLeft" activeCell="A1" sqref="A1"/>
    </sheetView>
  </sheetViews>
  <sheetFormatPr baseColWidth="8" defaultRowHeight="15"/>
  <cols>
    <col width="16" customWidth="1" style="3710" min="1" max="1"/>
    <col width="18" customWidth="1" style="3710" min="2" max="2"/>
    <col width="28" customWidth="1" style="3710" min="3" max="3"/>
    <col width="12" customWidth="1" style="3710" min="4" max="4"/>
    <col width="12" customWidth="1" style="3710" min="5" max="5"/>
    <col width="34" customWidth="1" style="3710" min="6" max="6"/>
  </cols>
  <sheetData>
    <row r="1">
      <c r="A1" s="4560" t="inlineStr">
        <is>
          <t>account_code</t>
        </is>
      </c>
      <c r="B1" s="4560" t="inlineStr">
        <is>
          <t>statement_type</t>
        </is>
      </c>
      <c r="C1" s="4560" t="inlineStr">
        <is>
          <t>report_line</t>
        </is>
      </c>
      <c r="D1" s="4560" t="inlineStr">
        <is>
          <t>sign_factor</t>
        </is>
      </c>
      <c r="E1" s="4560" t="inlineStr">
        <is>
          <t>active_flag</t>
        </is>
      </c>
      <c r="F1" s="4560" t="inlineStr">
        <is>
          <t>notes</t>
        </is>
      </c>
    </row>
    <row r="2">
      <c r="A2" s="4561" t="inlineStr">
        <is>
          <t>4000</t>
        </is>
      </c>
      <c r="B2" s="4561" t="inlineStr">
        <is>
          <t>IS</t>
        </is>
      </c>
      <c r="C2" s="4561" t="inlineStr">
        <is>
          <t>Revenue</t>
        </is>
      </c>
      <c r="D2" s="4561" t="n">
        <v>1</v>
      </c>
      <c r="E2" s="4561" t="inlineStr">
        <is>
          <t>Y</t>
        </is>
      </c>
      <c r="F2" s="4561" t="inlineStr">
        <is>
          <t>seed mapping</t>
        </is>
      </c>
    </row>
    <row r="3">
      <c r="A3" s="4561" t="inlineStr">
        <is>
          <t>5000</t>
        </is>
      </c>
      <c r="B3" s="4561" t="inlineStr">
        <is>
          <t>IS</t>
        </is>
      </c>
      <c r="C3" s="4561" t="inlineStr">
        <is>
          <t>COGS</t>
        </is>
      </c>
      <c r="D3" s="4561" t="n">
        <v>-1</v>
      </c>
      <c r="E3" s="4561" t="inlineStr">
        <is>
          <t>Y</t>
        </is>
      </c>
      <c r="F3" s="4561" t="inlineStr">
        <is>
          <t>seed mapping</t>
        </is>
      </c>
    </row>
    <row r="4">
      <c r="A4" s="4561" t="inlineStr">
        <is>
          <t>6100</t>
        </is>
      </c>
      <c r="B4" s="4561" t="inlineStr">
        <is>
          <t>IS</t>
        </is>
      </c>
      <c r="C4" s="4561" t="inlineStr">
        <is>
          <t>Personnel_Costs</t>
        </is>
      </c>
      <c r="D4" s="4561" t="n">
        <v>-1</v>
      </c>
      <c r="E4" s="4561" t="inlineStr">
        <is>
          <t>Y</t>
        </is>
      </c>
      <c r="F4" s="4561" t="inlineStr">
        <is>
          <t>seed mapping</t>
        </is>
      </c>
    </row>
    <row r="5">
      <c r="A5" s="4561" t="inlineStr">
        <is>
          <t>1000</t>
        </is>
      </c>
      <c r="B5" s="4561" t="inlineStr">
        <is>
          <t>BS</t>
        </is>
      </c>
      <c r="C5" s="4561" t="inlineStr">
        <is>
          <t>Cash</t>
        </is>
      </c>
      <c r="D5" s="4561" t="n">
        <v>1</v>
      </c>
      <c r="E5" s="4561" t="inlineStr">
        <is>
          <t>Y</t>
        </is>
      </c>
      <c r="F5" s="4561" t="inlineStr">
        <is>
          <t>seed mapping</t>
        </is>
      </c>
    </row>
    <row r="6">
      <c r="A6" s="4561" t="inlineStr">
        <is>
          <t>2000</t>
        </is>
      </c>
      <c r="B6" s="4561" t="inlineStr">
        <is>
          <t>BS</t>
        </is>
      </c>
      <c r="C6" s="4561" t="inlineStr">
        <is>
          <t>AP</t>
        </is>
      </c>
      <c r="D6" s="4561" t="n">
        <v>-1</v>
      </c>
      <c r="E6" s="4561" t="inlineStr">
        <is>
          <t>Y</t>
        </is>
      </c>
      <c r="F6" s="4561" t="inlineStr">
        <is>
          <t>seed mapping</t>
        </is>
      </c>
    </row>
    <row r="7">
      <c r="A7" s="4561" t="n"/>
      <c r="B7" s="4561" t="n"/>
      <c r="C7" s="4561" t="n"/>
      <c r="D7" s="4561" t="n"/>
      <c r="E7" s="4561" t="n"/>
      <c r="F7" s="4561" t="n"/>
    </row>
    <row r="8">
      <c r="A8" s="4561" t="n"/>
      <c r="B8" s="4561" t="n"/>
      <c r="C8" s="4561" t="n"/>
      <c r="D8" s="4561" t="n"/>
      <c r="E8" s="4561" t="n"/>
      <c r="F8" s="4561" t="n"/>
    </row>
    <row r="9">
      <c r="A9" s="4561" t="n"/>
      <c r="B9" s="4561" t="n"/>
      <c r="C9" s="4561" t="n"/>
      <c r="D9" s="4561" t="n"/>
      <c r="E9" s="4561" t="n"/>
      <c r="F9" s="4561" t="n"/>
    </row>
    <row r="10">
      <c r="A10" s="4561" t="n"/>
      <c r="B10" s="4561" t="n"/>
      <c r="C10" s="4561" t="n"/>
      <c r="D10" s="4561" t="n"/>
      <c r="E10" s="4561" t="n"/>
      <c r="F10" s="4561" t="n"/>
    </row>
    <row r="11">
      <c r="A11" s="4561" t="n"/>
      <c r="B11" s="4561" t="n"/>
      <c r="C11" s="4561" t="n"/>
      <c r="D11" s="4561" t="n"/>
      <c r="E11" s="4561" t="n"/>
      <c r="F11" s="4561" t="n"/>
    </row>
    <row r="12">
      <c r="A12" s="4561" t="n"/>
      <c r="B12" s="4561" t="n"/>
      <c r="C12" s="4561" t="n"/>
      <c r="D12" s="4561" t="n"/>
      <c r="E12" s="4561" t="n"/>
      <c r="F12" s="4561" t="n"/>
    </row>
    <row r="13">
      <c r="A13" s="4561" t="n"/>
      <c r="B13" s="4561" t="n"/>
      <c r="C13" s="4561" t="n"/>
      <c r="D13" s="4561" t="n"/>
      <c r="E13" s="4561" t="n"/>
      <c r="F13" s="4561" t="n"/>
    </row>
    <row r="14">
      <c r="A14" s="4561" t="n"/>
      <c r="B14" s="4561" t="n"/>
      <c r="C14" s="4561" t="n"/>
      <c r="D14" s="4561" t="n"/>
      <c r="E14" s="4561" t="n"/>
      <c r="F14" s="4561" t="n"/>
    </row>
    <row r="15">
      <c r="A15" s="4561" t="n"/>
      <c r="B15" s="4561" t="n"/>
      <c r="C15" s="4561" t="n"/>
      <c r="D15" s="4561" t="n"/>
      <c r="E15" s="4561" t="n"/>
      <c r="F15" s="4561" t="n"/>
    </row>
    <row r="16">
      <c r="A16" s="4561" t="n"/>
      <c r="B16" s="4561" t="n"/>
      <c r="C16" s="4561" t="n"/>
      <c r="D16" s="4561" t="n"/>
      <c r="E16" s="4561" t="n"/>
      <c r="F16" s="4561" t="n"/>
    </row>
    <row r="17">
      <c r="A17" s="4561" t="n"/>
      <c r="B17" s="4561" t="n"/>
      <c r="C17" s="4561" t="n"/>
      <c r="D17" s="4561" t="n"/>
      <c r="E17" s="4561" t="n"/>
      <c r="F17" s="4561" t="n"/>
    </row>
    <row r="18">
      <c r="A18" s="4561" t="n"/>
      <c r="B18" s="4561" t="n"/>
      <c r="C18" s="4561" t="n"/>
      <c r="D18" s="4561" t="n"/>
      <c r="E18" s="4561" t="n"/>
      <c r="F18" s="4561" t="n"/>
    </row>
    <row r="19">
      <c r="A19" s="4561" t="n"/>
      <c r="B19" s="4561" t="n"/>
      <c r="C19" s="4561" t="n"/>
      <c r="D19" s="4561" t="n"/>
      <c r="E19" s="4561" t="n"/>
      <c r="F19" s="4561" t="n"/>
    </row>
    <row r="20">
      <c r="A20" s="4561" t="n"/>
      <c r="B20" s="4561" t="n"/>
      <c r="C20" s="4561" t="n"/>
      <c r="D20" s="4561" t="n"/>
      <c r="E20" s="4561" t="n"/>
      <c r="F20" s="4561" t="n"/>
    </row>
    <row r="21">
      <c r="A21" s="4561" t="n"/>
      <c r="B21" s="4561" t="n"/>
      <c r="C21" s="4561" t="n"/>
      <c r="D21" s="4561" t="n"/>
      <c r="E21" s="4561" t="n"/>
      <c r="F21" s="4561" t="n"/>
    </row>
    <row r="22">
      <c r="A22" s="4561" t="n"/>
      <c r="B22" s="4561" t="n"/>
      <c r="C22" s="4561" t="n"/>
      <c r="D22" s="4561" t="n"/>
      <c r="E22" s="4561" t="n"/>
      <c r="F22" s="4561" t="n"/>
    </row>
    <row r="23">
      <c r="A23" s="4561" t="n"/>
      <c r="B23" s="4561" t="n"/>
      <c r="C23" s="4561" t="n"/>
      <c r="D23" s="4561" t="n"/>
      <c r="E23" s="4561" t="n"/>
      <c r="F23" s="4561" t="n"/>
    </row>
    <row r="24">
      <c r="A24" s="4561" t="n"/>
      <c r="B24" s="4561" t="n"/>
      <c r="C24" s="4561" t="n"/>
      <c r="D24" s="4561" t="n"/>
      <c r="E24" s="4561" t="n"/>
      <c r="F24" s="4561" t="n"/>
    </row>
    <row r="25">
      <c r="A25" s="4561" t="n"/>
      <c r="B25" s="4561" t="n"/>
      <c r="C25" s="4561" t="n"/>
      <c r="D25" s="4561" t="n"/>
      <c r="E25" s="4561" t="n"/>
      <c r="F25" s="4561" t="n"/>
    </row>
    <row r="26">
      <c r="A26" s="4561" t="n"/>
      <c r="B26" s="4561" t="n"/>
      <c r="C26" s="4561" t="n"/>
      <c r="D26" s="4561" t="n"/>
      <c r="E26" s="4561" t="n"/>
      <c r="F26" s="4561" t="n"/>
    </row>
    <row r="27">
      <c r="A27" s="4561" t="n"/>
      <c r="B27" s="4561" t="n"/>
      <c r="C27" s="4561" t="n"/>
      <c r="D27" s="4561" t="n"/>
      <c r="E27" s="4561" t="n"/>
      <c r="F27" s="4561" t="n"/>
    </row>
    <row r="28">
      <c r="A28" s="4561" t="n"/>
      <c r="B28" s="4561" t="n"/>
      <c r="C28" s="4561" t="n"/>
      <c r="D28" s="4561" t="n"/>
      <c r="E28" s="4561" t="n"/>
      <c r="F28" s="4561" t="n"/>
    </row>
    <row r="29">
      <c r="A29" s="4561" t="n"/>
      <c r="B29" s="4561" t="n"/>
      <c r="C29" s="4561" t="n"/>
      <c r="D29" s="4561" t="n"/>
      <c r="E29" s="4561" t="n"/>
      <c r="F29" s="4561" t="n"/>
    </row>
    <row r="30">
      <c r="A30" s="4561" t="n"/>
      <c r="B30" s="4561" t="n"/>
      <c r="C30" s="4561" t="n"/>
      <c r="D30" s="4561" t="n"/>
      <c r="E30" s="4561" t="n"/>
      <c r="F30" s="4561" t="n"/>
    </row>
    <row r="31">
      <c r="A31" s="4561" t="n"/>
      <c r="B31" s="4561" t="n"/>
      <c r="C31" s="4561" t="n"/>
      <c r="D31" s="4561" t="n"/>
      <c r="E31" s="4561" t="n"/>
      <c r="F31" s="4561" t="n"/>
    </row>
    <row r="32">
      <c r="A32" s="4561" t="n"/>
      <c r="B32" s="4561" t="n"/>
      <c r="C32" s="4561" t="n"/>
      <c r="D32" s="4561" t="n"/>
      <c r="E32" s="4561" t="n"/>
      <c r="F32" s="4561" t="n"/>
    </row>
    <row r="33">
      <c r="A33" s="4561" t="n"/>
      <c r="B33" s="4561" t="n"/>
      <c r="C33" s="4561" t="n"/>
      <c r="D33" s="4561" t="n"/>
      <c r="E33" s="4561" t="n"/>
      <c r="F33" s="4561" t="n"/>
    </row>
    <row r="34">
      <c r="A34" s="4561" t="n"/>
      <c r="B34" s="4561" t="n"/>
      <c r="C34" s="4561" t="n"/>
      <c r="D34" s="4561" t="n"/>
      <c r="E34" s="4561" t="n"/>
      <c r="F34" s="4561" t="n"/>
    </row>
    <row r="35">
      <c r="A35" s="4561" t="n"/>
      <c r="B35" s="4561" t="n"/>
      <c r="C35" s="4561" t="n"/>
      <c r="D35" s="4561" t="n"/>
      <c r="E35" s="4561" t="n"/>
      <c r="F35" s="4561" t="n"/>
    </row>
    <row r="36">
      <c r="A36" s="4561" t="n"/>
      <c r="B36" s="4561" t="n"/>
      <c r="C36" s="4561" t="n"/>
      <c r="D36" s="4561" t="n"/>
      <c r="E36" s="4561" t="n"/>
      <c r="F36" s="4561" t="n"/>
    </row>
    <row r="37">
      <c r="A37" s="4561" t="n"/>
      <c r="B37" s="4561" t="n"/>
      <c r="C37" s="4561" t="n"/>
      <c r="D37" s="4561" t="n"/>
      <c r="E37" s="4561" t="n"/>
      <c r="F37" s="4561" t="n"/>
    </row>
    <row r="38">
      <c r="A38" s="4561" t="n"/>
      <c r="B38" s="4561" t="n"/>
      <c r="C38" s="4561" t="n"/>
      <c r="D38" s="4561" t="n"/>
      <c r="E38" s="4561" t="n"/>
      <c r="F38" s="4561" t="n"/>
    </row>
    <row r="39">
      <c r="A39" s="4561" t="n"/>
      <c r="B39" s="4561" t="n"/>
      <c r="C39" s="4561" t="n"/>
      <c r="D39" s="4561" t="n"/>
      <c r="E39" s="4561" t="n"/>
      <c r="F39" s="4561" t="n"/>
    </row>
    <row r="40">
      <c r="A40" s="4561" t="n"/>
      <c r="B40" s="4561" t="n"/>
      <c r="C40" s="4561" t="n"/>
      <c r="D40" s="4561" t="n"/>
      <c r="E40" s="4561" t="n"/>
      <c r="F40" s="4561" t="n"/>
    </row>
    <row r="41">
      <c r="A41" s="4561" t="n"/>
      <c r="B41" s="4561" t="n"/>
      <c r="C41" s="4561" t="n"/>
      <c r="D41" s="4561" t="n"/>
      <c r="E41" s="4561" t="n"/>
      <c r="F41" s="4561" t="n"/>
    </row>
    <row r="42">
      <c r="A42" s="4561" t="n"/>
      <c r="B42" s="4561" t="n"/>
      <c r="C42" s="4561" t="n"/>
      <c r="D42" s="4561" t="n"/>
      <c r="E42" s="4561" t="n"/>
      <c r="F42" s="4561" t="n"/>
    </row>
    <row r="43">
      <c r="A43" s="4561" t="n"/>
      <c r="B43" s="4561" t="n"/>
      <c r="C43" s="4561" t="n"/>
      <c r="D43" s="4561" t="n"/>
      <c r="E43" s="4561" t="n"/>
      <c r="F43" s="4561" t="n"/>
    </row>
    <row r="44">
      <c r="A44" s="4561" t="n"/>
      <c r="B44" s="4561" t="n"/>
      <c r="C44" s="4561" t="n"/>
      <c r="D44" s="4561" t="n"/>
      <c r="E44" s="4561" t="n"/>
      <c r="F44" s="4561" t="n"/>
    </row>
    <row r="45">
      <c r="A45" s="4561" t="n"/>
      <c r="B45" s="4561" t="n"/>
      <c r="C45" s="4561" t="n"/>
      <c r="D45" s="4561" t="n"/>
      <c r="E45" s="4561" t="n"/>
      <c r="F45" s="4561" t="n"/>
    </row>
    <row r="46">
      <c r="A46" s="4561" t="n"/>
      <c r="B46" s="4561" t="n"/>
      <c r="C46" s="4561" t="n"/>
      <c r="D46" s="4561" t="n"/>
      <c r="E46" s="4561" t="n"/>
      <c r="F46" s="4561" t="n"/>
    </row>
    <row r="47">
      <c r="A47" s="4561" t="n"/>
      <c r="B47" s="4561" t="n"/>
      <c r="C47" s="4561" t="n"/>
      <c r="D47" s="4561" t="n"/>
      <c r="E47" s="4561" t="n"/>
      <c r="F47" s="4561" t="n"/>
    </row>
    <row r="48">
      <c r="A48" s="4561" t="n"/>
      <c r="B48" s="4561" t="n"/>
      <c r="C48" s="4561" t="n"/>
      <c r="D48" s="4561" t="n"/>
      <c r="E48" s="4561" t="n"/>
      <c r="F48" s="4561" t="n"/>
    </row>
    <row r="49">
      <c r="A49" s="4561" t="n"/>
      <c r="B49" s="4561" t="n"/>
      <c r="C49" s="4561" t="n"/>
      <c r="D49" s="4561" t="n"/>
      <c r="E49" s="4561" t="n"/>
      <c r="F49" s="4561" t="n"/>
    </row>
    <row r="50">
      <c r="A50" s="4561" t="n"/>
      <c r="B50" s="4561" t="n"/>
      <c r="C50" s="4561" t="n"/>
      <c r="D50" s="4561" t="n"/>
      <c r="E50" s="4561" t="n"/>
      <c r="F50" s="4561" t="n"/>
    </row>
    <row r="51">
      <c r="A51" s="4561" t="n"/>
      <c r="B51" s="4561" t="n"/>
      <c r="C51" s="4561" t="n"/>
      <c r="D51" s="4561" t="n"/>
      <c r="E51" s="4561" t="n"/>
      <c r="F51" s="4561" t="n"/>
    </row>
    <row r="52">
      <c r="A52" s="4561" t="n"/>
      <c r="B52" s="4561" t="n"/>
      <c r="C52" s="4561" t="n"/>
      <c r="D52" s="4561" t="n"/>
      <c r="E52" s="4561" t="n"/>
      <c r="F52" s="4561" t="n"/>
    </row>
    <row r="53">
      <c r="A53" s="4561" t="n"/>
      <c r="B53" s="4561" t="n"/>
      <c r="C53" s="4561" t="n"/>
      <c r="D53" s="4561" t="n"/>
      <c r="E53" s="4561" t="n"/>
      <c r="F53" s="4561" t="n"/>
    </row>
    <row r="54">
      <c r="A54" s="4561" t="n"/>
      <c r="B54" s="4561" t="n"/>
      <c r="C54" s="4561" t="n"/>
      <c r="D54" s="4561" t="n"/>
      <c r="E54" s="4561" t="n"/>
      <c r="F54" s="4561" t="n"/>
    </row>
    <row r="55">
      <c r="A55" s="4561" t="n"/>
      <c r="B55" s="4561" t="n"/>
      <c r="C55" s="4561" t="n"/>
      <c r="D55" s="4561" t="n"/>
      <c r="E55" s="4561" t="n"/>
      <c r="F55" s="4561" t="n"/>
    </row>
    <row r="56">
      <c r="A56" s="4561" t="n"/>
      <c r="B56" s="4561" t="n"/>
      <c r="C56" s="4561" t="n"/>
      <c r="D56" s="4561" t="n"/>
      <c r="E56" s="4561" t="n"/>
      <c r="F56" s="4561" t="n"/>
    </row>
    <row r="57">
      <c r="A57" s="4561" t="n"/>
      <c r="B57" s="4561" t="n"/>
      <c r="C57" s="4561" t="n"/>
      <c r="D57" s="4561" t="n"/>
      <c r="E57" s="4561" t="n"/>
      <c r="F57" s="4561" t="n"/>
    </row>
    <row r="58">
      <c r="A58" s="4561" t="n"/>
      <c r="B58" s="4561" t="n"/>
      <c r="C58" s="4561" t="n"/>
      <c r="D58" s="4561" t="n"/>
      <c r="E58" s="4561" t="n"/>
      <c r="F58" s="4561" t="n"/>
    </row>
    <row r="59">
      <c r="A59" s="4561" t="n"/>
      <c r="B59" s="4561" t="n"/>
      <c r="C59" s="4561" t="n"/>
      <c r="D59" s="4561" t="n"/>
      <c r="E59" s="4561" t="n"/>
      <c r="F59" s="4561" t="n"/>
    </row>
    <row r="60">
      <c r="A60" s="4561" t="n"/>
      <c r="B60" s="4561" t="n"/>
      <c r="C60" s="4561" t="n"/>
      <c r="D60" s="4561" t="n"/>
      <c r="E60" s="4561" t="n"/>
      <c r="F60" s="4561" t="n"/>
    </row>
    <row r="61">
      <c r="A61" s="4561" t="n"/>
      <c r="B61" s="4561" t="n"/>
      <c r="C61" s="4561" t="n"/>
      <c r="D61" s="4561" t="n"/>
      <c r="E61" s="4561" t="n"/>
      <c r="F61" s="4561" t="n"/>
    </row>
    <row r="62">
      <c r="A62" s="4561" t="n"/>
      <c r="B62" s="4561" t="n"/>
      <c r="C62" s="4561" t="n"/>
      <c r="D62" s="4561" t="n"/>
      <c r="E62" s="4561" t="n"/>
      <c r="F62" s="4561" t="n"/>
    </row>
    <row r="63">
      <c r="A63" s="4561" t="n"/>
      <c r="B63" s="4561" t="n"/>
      <c r="C63" s="4561" t="n"/>
      <c r="D63" s="4561" t="n"/>
      <c r="E63" s="4561" t="n"/>
      <c r="F63" s="4561" t="n"/>
    </row>
    <row r="64">
      <c r="A64" s="4561" t="n"/>
      <c r="B64" s="4561" t="n"/>
      <c r="C64" s="4561" t="n"/>
      <c r="D64" s="4561" t="n"/>
      <c r="E64" s="4561" t="n"/>
      <c r="F64" s="4561" t="n"/>
    </row>
    <row r="65">
      <c r="A65" s="4561" t="n"/>
      <c r="B65" s="4561" t="n"/>
      <c r="C65" s="4561" t="n"/>
      <c r="D65" s="4561" t="n"/>
      <c r="E65" s="4561" t="n"/>
      <c r="F65" s="4561" t="n"/>
    </row>
    <row r="66">
      <c r="A66" s="4561" t="n"/>
      <c r="B66" s="4561" t="n"/>
      <c r="C66" s="4561" t="n"/>
      <c r="D66" s="4561" t="n"/>
      <c r="E66" s="4561" t="n"/>
      <c r="F66" s="4561" t="n"/>
    </row>
    <row r="67">
      <c r="A67" s="4561" t="n"/>
      <c r="B67" s="4561" t="n"/>
      <c r="C67" s="4561" t="n"/>
      <c r="D67" s="4561" t="n"/>
      <c r="E67" s="4561" t="n"/>
      <c r="F67" s="4561" t="n"/>
    </row>
    <row r="68">
      <c r="A68" s="4561" t="n"/>
      <c r="B68" s="4561" t="n"/>
      <c r="C68" s="4561" t="n"/>
      <c r="D68" s="4561" t="n"/>
      <c r="E68" s="4561" t="n"/>
      <c r="F68" s="4561" t="n"/>
    </row>
    <row r="69">
      <c r="A69" s="4561" t="n"/>
      <c r="B69" s="4561" t="n"/>
      <c r="C69" s="4561" t="n"/>
      <c r="D69" s="4561" t="n"/>
      <c r="E69" s="4561" t="n"/>
      <c r="F69" s="4561" t="n"/>
    </row>
    <row r="70">
      <c r="A70" s="4561" t="n"/>
      <c r="B70" s="4561" t="n"/>
      <c r="C70" s="4561" t="n"/>
      <c r="D70" s="4561" t="n"/>
      <c r="E70" s="4561" t="n"/>
      <c r="F70" s="4561" t="n"/>
    </row>
    <row r="71">
      <c r="A71" s="4561" t="n"/>
      <c r="B71" s="4561" t="n"/>
      <c r="C71" s="4561" t="n"/>
      <c r="D71" s="4561" t="n"/>
      <c r="E71" s="4561" t="n"/>
      <c r="F71" s="4561" t="n"/>
    </row>
    <row r="72">
      <c r="A72" s="4561" t="n"/>
      <c r="B72" s="4561" t="n"/>
      <c r="C72" s="4561" t="n"/>
      <c r="D72" s="4561" t="n"/>
      <c r="E72" s="4561" t="n"/>
      <c r="F72" s="4561" t="n"/>
    </row>
    <row r="73">
      <c r="A73" s="4561" t="n"/>
      <c r="B73" s="4561" t="n"/>
      <c r="C73" s="4561" t="n"/>
      <c r="D73" s="4561" t="n"/>
      <c r="E73" s="4561" t="n"/>
      <c r="F73" s="4561" t="n"/>
    </row>
    <row r="74">
      <c r="A74" s="4561" t="n"/>
      <c r="B74" s="4561" t="n"/>
      <c r="C74" s="4561" t="n"/>
      <c r="D74" s="4561" t="n"/>
      <c r="E74" s="4561" t="n"/>
      <c r="F74" s="4561" t="n"/>
    </row>
    <row r="75">
      <c r="A75" s="4561" t="n"/>
      <c r="B75" s="4561" t="n"/>
      <c r="C75" s="4561" t="n"/>
      <c r="D75" s="4561" t="n"/>
      <c r="E75" s="4561" t="n"/>
      <c r="F75" s="4561" t="n"/>
    </row>
    <row r="76">
      <c r="A76" s="4561" t="n"/>
      <c r="B76" s="4561" t="n"/>
      <c r="C76" s="4561" t="n"/>
      <c r="D76" s="4561" t="n"/>
      <c r="E76" s="4561" t="n"/>
      <c r="F76" s="4561" t="n"/>
    </row>
    <row r="77">
      <c r="A77" s="4561" t="n"/>
      <c r="B77" s="4561" t="n"/>
      <c r="C77" s="4561" t="n"/>
      <c r="D77" s="4561" t="n"/>
      <c r="E77" s="4561" t="n"/>
      <c r="F77" s="4561" t="n"/>
    </row>
    <row r="78">
      <c r="A78" s="4561" t="n"/>
      <c r="B78" s="4561" t="n"/>
      <c r="C78" s="4561" t="n"/>
      <c r="D78" s="4561" t="n"/>
      <c r="E78" s="4561" t="n"/>
      <c r="F78" s="4561" t="n"/>
    </row>
    <row r="79">
      <c r="A79" s="4561" t="n"/>
      <c r="B79" s="4561" t="n"/>
      <c r="C79" s="4561" t="n"/>
      <c r="D79" s="4561" t="n"/>
      <c r="E79" s="4561" t="n"/>
      <c r="F79" s="4561" t="n"/>
    </row>
    <row r="80">
      <c r="A80" s="4561" t="n"/>
      <c r="B80" s="4561" t="n"/>
      <c r="C80" s="4561" t="n"/>
      <c r="D80" s="4561" t="n"/>
      <c r="E80" s="4561" t="n"/>
      <c r="F80" s="4561" t="n"/>
    </row>
    <row r="81">
      <c r="A81" s="4561" t="n"/>
      <c r="B81" s="4561" t="n"/>
      <c r="C81" s="4561" t="n"/>
      <c r="D81" s="4561" t="n"/>
      <c r="E81" s="4561" t="n"/>
      <c r="F81" s="4561" t="n"/>
    </row>
    <row r="82">
      <c r="A82" s="4561" t="n"/>
      <c r="B82" s="4561" t="n"/>
      <c r="C82" s="4561" t="n"/>
      <c r="D82" s="4561" t="n"/>
      <c r="E82" s="4561" t="n"/>
      <c r="F82" s="4561" t="n"/>
    </row>
    <row r="83">
      <c r="A83" s="4561" t="n"/>
      <c r="B83" s="4561" t="n"/>
      <c r="C83" s="4561" t="n"/>
      <c r="D83" s="4561" t="n"/>
      <c r="E83" s="4561" t="n"/>
      <c r="F83" s="4561" t="n"/>
    </row>
    <row r="84">
      <c r="A84" s="4561" t="n"/>
      <c r="B84" s="4561" t="n"/>
      <c r="C84" s="4561" t="n"/>
      <c r="D84" s="4561" t="n"/>
      <c r="E84" s="4561" t="n"/>
      <c r="F84" s="4561" t="n"/>
    </row>
    <row r="85">
      <c r="A85" s="4561" t="n"/>
      <c r="B85" s="4561" t="n"/>
      <c r="C85" s="4561" t="n"/>
      <c r="D85" s="4561" t="n"/>
      <c r="E85" s="4561" t="n"/>
      <c r="F85" s="4561" t="n"/>
    </row>
    <row r="86">
      <c r="A86" s="4561" t="n"/>
      <c r="B86" s="4561" t="n"/>
      <c r="C86" s="4561" t="n"/>
      <c r="D86" s="4561" t="n"/>
      <c r="E86" s="4561" t="n"/>
      <c r="F86" s="4561" t="n"/>
    </row>
    <row r="87">
      <c r="A87" s="4561" t="n"/>
      <c r="B87" s="4561" t="n"/>
      <c r="C87" s="4561" t="n"/>
      <c r="D87" s="4561" t="n"/>
      <c r="E87" s="4561" t="n"/>
      <c r="F87" s="4561" t="n"/>
    </row>
    <row r="88">
      <c r="A88" s="4561" t="n"/>
      <c r="B88" s="4561" t="n"/>
      <c r="C88" s="4561" t="n"/>
      <c r="D88" s="4561" t="n"/>
      <c r="E88" s="4561" t="n"/>
      <c r="F88" s="4561" t="n"/>
    </row>
    <row r="89">
      <c r="A89" s="4561" t="n"/>
      <c r="B89" s="4561" t="n"/>
      <c r="C89" s="4561" t="n"/>
      <c r="D89" s="4561" t="n"/>
      <c r="E89" s="4561" t="n"/>
      <c r="F89" s="4561" t="n"/>
    </row>
    <row r="90">
      <c r="A90" s="4561" t="n"/>
      <c r="B90" s="4561" t="n"/>
      <c r="C90" s="4561" t="n"/>
      <c r="D90" s="4561" t="n"/>
      <c r="E90" s="4561" t="n"/>
      <c r="F90" s="4561" t="n"/>
    </row>
    <row r="91">
      <c r="A91" s="4561" t="n"/>
      <c r="B91" s="4561" t="n"/>
      <c r="C91" s="4561" t="n"/>
      <c r="D91" s="4561" t="n"/>
      <c r="E91" s="4561" t="n"/>
      <c r="F91" s="4561" t="n"/>
    </row>
    <row r="92">
      <c r="A92" s="4561" t="n"/>
      <c r="B92" s="4561" t="n"/>
      <c r="C92" s="4561" t="n"/>
      <c r="D92" s="4561" t="n"/>
      <c r="E92" s="4561" t="n"/>
      <c r="F92" s="4561" t="n"/>
    </row>
    <row r="93">
      <c r="A93" s="4561" t="n"/>
      <c r="B93" s="4561" t="n"/>
      <c r="C93" s="4561" t="n"/>
      <c r="D93" s="4561" t="n"/>
      <c r="E93" s="4561" t="n"/>
      <c r="F93" s="4561" t="n"/>
    </row>
    <row r="94">
      <c r="A94" s="4561" t="n"/>
      <c r="B94" s="4561" t="n"/>
      <c r="C94" s="4561" t="n"/>
      <c r="D94" s="4561" t="n"/>
      <c r="E94" s="4561" t="n"/>
      <c r="F94" s="4561" t="n"/>
    </row>
    <row r="95">
      <c r="A95" s="4561" t="n"/>
      <c r="B95" s="4561" t="n"/>
      <c r="C95" s="4561" t="n"/>
      <c r="D95" s="4561" t="n"/>
      <c r="E95" s="4561" t="n"/>
      <c r="F95" s="4561" t="n"/>
    </row>
    <row r="96">
      <c r="A96" s="4561" t="n"/>
      <c r="B96" s="4561" t="n"/>
      <c r="C96" s="4561" t="n"/>
      <c r="D96" s="4561" t="n"/>
      <c r="E96" s="4561" t="n"/>
      <c r="F96" s="4561" t="n"/>
    </row>
    <row r="97">
      <c r="A97" s="4561" t="n"/>
      <c r="B97" s="4561" t="n"/>
      <c r="C97" s="4561" t="n"/>
      <c r="D97" s="4561" t="n"/>
      <c r="E97" s="4561" t="n"/>
      <c r="F97" s="4561" t="n"/>
    </row>
    <row r="98">
      <c r="A98" s="4561" t="n"/>
      <c r="B98" s="4561" t="n"/>
      <c r="C98" s="4561" t="n"/>
      <c r="D98" s="4561" t="n"/>
      <c r="E98" s="4561" t="n"/>
      <c r="F98" s="4561" t="n"/>
    </row>
    <row r="99">
      <c r="A99" s="4561" t="n"/>
      <c r="B99" s="4561" t="n"/>
      <c r="C99" s="4561" t="n"/>
      <c r="D99" s="4561" t="n"/>
      <c r="E99" s="4561" t="n"/>
      <c r="F99" s="4561" t="n"/>
    </row>
    <row r="100">
      <c r="A100" s="4561" t="n"/>
      <c r="B100" s="4561" t="n"/>
      <c r="C100" s="4561" t="n"/>
      <c r="D100" s="4561" t="n"/>
      <c r="E100" s="4561" t="n"/>
      <c r="F100" s="4561" t="n"/>
    </row>
    <row r="101">
      <c r="A101" s="4561" t="n"/>
      <c r="B101" s="4561" t="n"/>
      <c r="C101" s="4561" t="n"/>
      <c r="D101" s="4561" t="n"/>
      <c r="E101" s="4561" t="n"/>
      <c r="F101" s="4561" t="n"/>
    </row>
    <row r="102">
      <c r="A102" s="4561" t="n"/>
      <c r="B102" s="4561" t="n"/>
      <c r="C102" s="4561" t="n"/>
      <c r="D102" s="4561" t="n"/>
      <c r="E102" s="4561" t="n"/>
      <c r="F102" s="4561" t="n"/>
    </row>
    <row r="103">
      <c r="A103" s="4561" t="n"/>
      <c r="B103" s="4561" t="n"/>
      <c r="C103" s="4561" t="n"/>
      <c r="D103" s="4561" t="n"/>
      <c r="E103" s="4561" t="n"/>
      <c r="F103" s="4561" t="n"/>
    </row>
    <row r="104">
      <c r="A104" s="4561" t="n"/>
      <c r="B104" s="4561" t="n"/>
      <c r="C104" s="4561" t="n"/>
      <c r="D104" s="4561" t="n"/>
      <c r="E104" s="4561" t="n"/>
      <c r="F104" s="4561" t="n"/>
    </row>
    <row r="105">
      <c r="A105" s="4561" t="n"/>
      <c r="B105" s="4561" t="n"/>
      <c r="C105" s="4561" t="n"/>
      <c r="D105" s="4561" t="n"/>
      <c r="E105" s="4561" t="n"/>
      <c r="F105" s="4561" t="n"/>
    </row>
    <row r="106">
      <c r="A106" s="4561" t="n"/>
      <c r="B106" s="4561" t="n"/>
      <c r="C106" s="4561" t="n"/>
      <c r="D106" s="4561" t="n"/>
      <c r="E106" s="4561" t="n"/>
      <c r="F106" s="4561" t="n"/>
    </row>
    <row r="107">
      <c r="A107" s="4561" t="n"/>
      <c r="B107" s="4561" t="n"/>
      <c r="C107" s="4561" t="n"/>
      <c r="D107" s="4561" t="n"/>
      <c r="E107" s="4561" t="n"/>
      <c r="F107" s="4561" t="n"/>
    </row>
    <row r="108">
      <c r="A108" s="4561" t="n"/>
      <c r="B108" s="4561" t="n"/>
      <c r="C108" s="4561" t="n"/>
      <c r="D108" s="4561" t="n"/>
      <c r="E108" s="4561" t="n"/>
      <c r="F108" s="4561" t="n"/>
    </row>
    <row r="109">
      <c r="A109" s="4561" t="n"/>
      <c r="B109" s="4561" t="n"/>
      <c r="C109" s="4561" t="n"/>
      <c r="D109" s="4561" t="n"/>
      <c r="E109" s="4561" t="n"/>
      <c r="F109" s="4561" t="n"/>
    </row>
    <row r="110">
      <c r="A110" s="4561" t="n"/>
      <c r="B110" s="4561" t="n"/>
      <c r="C110" s="4561" t="n"/>
      <c r="D110" s="4561" t="n"/>
      <c r="E110" s="4561" t="n"/>
      <c r="F110" s="4561" t="n"/>
    </row>
    <row r="111">
      <c r="A111" s="4561" t="n"/>
      <c r="B111" s="4561" t="n"/>
      <c r="C111" s="4561" t="n"/>
      <c r="D111" s="4561" t="n"/>
      <c r="E111" s="4561" t="n"/>
      <c r="F111" s="4561" t="n"/>
    </row>
    <row r="112">
      <c r="A112" s="4561" t="n"/>
      <c r="B112" s="4561" t="n"/>
      <c r="C112" s="4561" t="n"/>
      <c r="D112" s="4561" t="n"/>
      <c r="E112" s="4561" t="n"/>
      <c r="F112" s="4561" t="n"/>
    </row>
    <row r="113">
      <c r="A113" s="4561" t="n"/>
      <c r="B113" s="4561" t="n"/>
      <c r="C113" s="4561" t="n"/>
      <c r="D113" s="4561" t="n"/>
      <c r="E113" s="4561" t="n"/>
      <c r="F113" s="4561" t="n"/>
    </row>
    <row r="114">
      <c r="A114" s="4561" t="n"/>
      <c r="B114" s="4561" t="n"/>
      <c r="C114" s="4561" t="n"/>
      <c r="D114" s="4561" t="n"/>
      <c r="E114" s="4561" t="n"/>
      <c r="F114" s="4561" t="n"/>
    </row>
    <row r="115">
      <c r="A115" s="4561" t="n"/>
      <c r="B115" s="4561" t="n"/>
      <c r="C115" s="4561" t="n"/>
      <c r="D115" s="4561" t="n"/>
      <c r="E115" s="4561" t="n"/>
      <c r="F115" s="4561" t="n"/>
    </row>
    <row r="116">
      <c r="A116" s="4561" t="n"/>
      <c r="B116" s="4561" t="n"/>
      <c r="C116" s="4561" t="n"/>
      <c r="D116" s="4561" t="n"/>
      <c r="E116" s="4561" t="n"/>
      <c r="F116" s="4561" t="n"/>
    </row>
    <row r="117">
      <c r="A117" s="4561" t="n"/>
      <c r="B117" s="4561" t="n"/>
      <c r="C117" s="4561" t="n"/>
      <c r="D117" s="4561" t="n"/>
      <c r="E117" s="4561" t="n"/>
      <c r="F117" s="4561" t="n"/>
    </row>
    <row r="118">
      <c r="A118" s="4561" t="n"/>
      <c r="B118" s="4561" t="n"/>
      <c r="C118" s="4561" t="n"/>
      <c r="D118" s="4561" t="n"/>
      <c r="E118" s="4561" t="n"/>
      <c r="F118" s="4561" t="n"/>
    </row>
    <row r="119">
      <c r="A119" s="4561" t="n"/>
      <c r="B119" s="4561" t="n"/>
      <c r="C119" s="4561" t="n"/>
      <c r="D119" s="4561" t="n"/>
      <c r="E119" s="4561" t="n"/>
      <c r="F119" s="4561" t="n"/>
    </row>
    <row r="120">
      <c r="A120" s="4561" t="n"/>
      <c r="B120" s="4561" t="n"/>
      <c r="C120" s="4561" t="n"/>
      <c r="D120" s="4561" t="n"/>
      <c r="E120" s="4561" t="n"/>
      <c r="F120" s="4561" t="n"/>
    </row>
    <row r="121">
      <c r="A121" s="4561" t="n"/>
      <c r="B121" s="4561" t="n"/>
      <c r="C121" s="4561" t="n"/>
      <c r="D121" s="4561" t="n"/>
      <c r="E121" s="4561" t="n"/>
      <c r="F121" s="4561" t="n"/>
    </row>
    <row r="122">
      <c r="A122" s="4561" t="n"/>
      <c r="B122" s="4561" t="n"/>
      <c r="C122" s="4561" t="n"/>
      <c r="D122" s="4561" t="n"/>
      <c r="E122" s="4561" t="n"/>
      <c r="F122" s="4561" t="n"/>
    </row>
    <row r="123">
      <c r="A123" s="4561" t="n"/>
      <c r="B123" s="4561" t="n"/>
      <c r="C123" s="4561" t="n"/>
      <c r="D123" s="4561" t="n"/>
      <c r="E123" s="4561" t="n"/>
      <c r="F123" s="4561" t="n"/>
    </row>
    <row r="124">
      <c r="A124" s="4561" t="n"/>
      <c r="B124" s="4561" t="n"/>
      <c r="C124" s="4561" t="n"/>
      <c r="D124" s="4561" t="n"/>
      <c r="E124" s="4561" t="n"/>
      <c r="F124" s="4561" t="n"/>
    </row>
    <row r="125">
      <c r="A125" s="4561" t="n"/>
      <c r="B125" s="4561" t="n"/>
      <c r="C125" s="4561" t="n"/>
      <c r="D125" s="4561" t="n"/>
      <c r="E125" s="4561" t="n"/>
      <c r="F125" s="4561" t="n"/>
    </row>
    <row r="126">
      <c r="A126" s="4561" t="n"/>
      <c r="B126" s="4561" t="n"/>
      <c r="C126" s="4561" t="n"/>
      <c r="D126" s="4561" t="n"/>
      <c r="E126" s="4561" t="n"/>
      <c r="F126" s="4561" t="n"/>
    </row>
    <row r="127">
      <c r="A127" s="4561" t="n"/>
      <c r="B127" s="4561" t="n"/>
      <c r="C127" s="4561" t="n"/>
      <c r="D127" s="4561" t="n"/>
      <c r="E127" s="4561" t="n"/>
      <c r="F127" s="4561" t="n"/>
    </row>
    <row r="128">
      <c r="A128" s="4561" t="n"/>
      <c r="B128" s="4561" t="n"/>
      <c r="C128" s="4561" t="n"/>
      <c r="D128" s="4561" t="n"/>
      <c r="E128" s="4561" t="n"/>
      <c r="F128" s="4561" t="n"/>
    </row>
    <row r="129">
      <c r="A129" s="4561" t="n"/>
      <c r="B129" s="4561" t="n"/>
      <c r="C129" s="4561" t="n"/>
      <c r="D129" s="4561" t="n"/>
      <c r="E129" s="4561" t="n"/>
      <c r="F129" s="4561" t="n"/>
    </row>
    <row r="130">
      <c r="A130" s="4561" t="n"/>
      <c r="B130" s="4561" t="n"/>
      <c r="C130" s="4561" t="n"/>
      <c r="D130" s="4561" t="n"/>
      <c r="E130" s="4561" t="n"/>
      <c r="F130" s="4561" t="n"/>
    </row>
    <row r="131">
      <c r="A131" s="4561" t="n"/>
      <c r="B131" s="4561" t="n"/>
      <c r="C131" s="4561" t="n"/>
      <c r="D131" s="4561" t="n"/>
      <c r="E131" s="4561" t="n"/>
      <c r="F131" s="4561" t="n"/>
    </row>
    <row r="132">
      <c r="A132" s="4561" t="n"/>
      <c r="B132" s="4561" t="n"/>
      <c r="C132" s="4561" t="n"/>
      <c r="D132" s="4561" t="n"/>
      <c r="E132" s="4561" t="n"/>
      <c r="F132" s="4561" t="n"/>
    </row>
    <row r="133">
      <c r="A133" s="4561" t="n"/>
      <c r="B133" s="4561" t="n"/>
      <c r="C133" s="4561" t="n"/>
      <c r="D133" s="4561" t="n"/>
      <c r="E133" s="4561" t="n"/>
      <c r="F133" s="4561" t="n"/>
    </row>
    <row r="134">
      <c r="A134" s="4561" t="n"/>
      <c r="B134" s="4561" t="n"/>
      <c r="C134" s="4561" t="n"/>
      <c r="D134" s="4561" t="n"/>
      <c r="E134" s="4561" t="n"/>
      <c r="F134" s="4561" t="n"/>
    </row>
    <row r="135">
      <c r="A135" s="4561" t="n"/>
      <c r="B135" s="4561" t="n"/>
      <c r="C135" s="4561" t="n"/>
      <c r="D135" s="4561" t="n"/>
      <c r="E135" s="4561" t="n"/>
      <c r="F135" s="4561" t="n"/>
    </row>
    <row r="136">
      <c r="A136" s="4561" t="n"/>
      <c r="B136" s="4561" t="n"/>
      <c r="C136" s="4561" t="n"/>
      <c r="D136" s="4561" t="n"/>
      <c r="E136" s="4561" t="n"/>
      <c r="F136" s="4561" t="n"/>
    </row>
    <row r="137">
      <c r="A137" s="4561" t="n"/>
      <c r="B137" s="4561" t="n"/>
      <c r="C137" s="4561" t="n"/>
      <c r="D137" s="4561" t="n"/>
      <c r="E137" s="4561" t="n"/>
      <c r="F137" s="4561" t="n"/>
    </row>
    <row r="138">
      <c r="A138" s="4561" t="n"/>
      <c r="B138" s="4561" t="n"/>
      <c r="C138" s="4561" t="n"/>
      <c r="D138" s="4561" t="n"/>
      <c r="E138" s="4561" t="n"/>
      <c r="F138" s="4561" t="n"/>
    </row>
    <row r="139">
      <c r="A139" s="4561" t="n"/>
      <c r="B139" s="4561" t="n"/>
      <c r="C139" s="4561" t="n"/>
      <c r="D139" s="4561" t="n"/>
      <c r="E139" s="4561" t="n"/>
      <c r="F139" s="4561" t="n"/>
    </row>
    <row r="140">
      <c r="A140" s="4561" t="n"/>
      <c r="B140" s="4561" t="n"/>
      <c r="C140" s="4561" t="n"/>
      <c r="D140" s="4561" t="n"/>
      <c r="E140" s="4561" t="n"/>
      <c r="F140" s="4561" t="n"/>
    </row>
    <row r="141">
      <c r="A141" s="4561" t="n"/>
      <c r="B141" s="4561" t="n"/>
      <c r="C141" s="4561" t="n"/>
      <c r="D141" s="4561" t="n"/>
      <c r="E141" s="4561" t="n"/>
      <c r="F141" s="4561" t="n"/>
    </row>
    <row r="142">
      <c r="A142" s="4561" t="n"/>
      <c r="B142" s="4561" t="n"/>
      <c r="C142" s="4561" t="n"/>
      <c r="D142" s="4561" t="n"/>
      <c r="E142" s="4561" t="n"/>
      <c r="F142" s="4561" t="n"/>
    </row>
    <row r="143">
      <c r="A143" s="4561" t="n"/>
      <c r="B143" s="4561" t="n"/>
      <c r="C143" s="4561" t="n"/>
      <c r="D143" s="4561" t="n"/>
      <c r="E143" s="4561" t="n"/>
      <c r="F143" s="4561" t="n"/>
    </row>
    <row r="144">
      <c r="A144" s="4561" t="n"/>
      <c r="B144" s="4561" t="n"/>
      <c r="C144" s="4561" t="n"/>
      <c r="D144" s="4561" t="n"/>
      <c r="E144" s="4561" t="n"/>
      <c r="F144" s="4561" t="n"/>
    </row>
    <row r="145">
      <c r="A145" s="4561" t="n"/>
      <c r="B145" s="4561" t="n"/>
      <c r="C145" s="4561" t="n"/>
      <c r="D145" s="4561" t="n"/>
      <c r="E145" s="4561" t="n"/>
      <c r="F145" s="4561" t="n"/>
    </row>
    <row r="146">
      <c r="A146" s="4561" t="n"/>
      <c r="B146" s="4561" t="n"/>
      <c r="C146" s="4561" t="n"/>
      <c r="D146" s="4561" t="n"/>
      <c r="E146" s="4561" t="n"/>
      <c r="F146" s="4561" t="n"/>
    </row>
    <row r="147">
      <c r="A147" s="4561" t="n"/>
      <c r="B147" s="4561" t="n"/>
      <c r="C147" s="4561" t="n"/>
      <c r="D147" s="4561" t="n"/>
      <c r="E147" s="4561" t="n"/>
      <c r="F147" s="4561" t="n"/>
    </row>
    <row r="148">
      <c r="A148" s="4561" t="n"/>
      <c r="B148" s="4561" t="n"/>
      <c r="C148" s="4561" t="n"/>
      <c r="D148" s="4561" t="n"/>
      <c r="E148" s="4561" t="n"/>
      <c r="F148" s="4561" t="n"/>
    </row>
    <row r="149">
      <c r="A149" s="4561" t="n"/>
      <c r="B149" s="4561" t="n"/>
      <c r="C149" s="4561" t="n"/>
      <c r="D149" s="4561" t="n"/>
      <c r="E149" s="4561" t="n"/>
      <c r="F149" s="4561" t="n"/>
    </row>
    <row r="150">
      <c r="A150" s="4561" t="n"/>
      <c r="B150" s="4561" t="n"/>
      <c r="C150" s="4561" t="n"/>
      <c r="D150" s="4561" t="n"/>
      <c r="E150" s="4561" t="n"/>
      <c r="F150" s="4561" t="n"/>
    </row>
    <row r="151">
      <c r="A151" s="4561" t="n"/>
      <c r="B151" s="4561" t="n"/>
      <c r="C151" s="4561" t="n"/>
      <c r="D151" s="4561" t="n"/>
      <c r="E151" s="4561" t="n"/>
      <c r="F151" s="4561" t="n"/>
    </row>
    <row r="152">
      <c r="A152" s="4561" t="n"/>
      <c r="B152" s="4561" t="n"/>
      <c r="C152" s="4561" t="n"/>
      <c r="D152" s="4561" t="n"/>
      <c r="E152" s="4561" t="n"/>
      <c r="F152" s="4561" t="n"/>
    </row>
    <row r="153">
      <c r="A153" s="4561" t="n"/>
      <c r="B153" s="4561" t="n"/>
      <c r="C153" s="4561" t="n"/>
      <c r="D153" s="4561" t="n"/>
      <c r="E153" s="4561" t="n"/>
      <c r="F153" s="4561" t="n"/>
    </row>
    <row r="154">
      <c r="A154" s="4561" t="n"/>
      <c r="B154" s="4561" t="n"/>
      <c r="C154" s="4561" t="n"/>
      <c r="D154" s="4561" t="n"/>
      <c r="E154" s="4561" t="n"/>
      <c r="F154" s="4561" t="n"/>
    </row>
    <row r="155">
      <c r="A155" s="4561" t="n"/>
      <c r="B155" s="4561" t="n"/>
      <c r="C155" s="4561" t="n"/>
      <c r="D155" s="4561" t="n"/>
      <c r="E155" s="4561" t="n"/>
      <c r="F155" s="4561" t="n"/>
    </row>
    <row r="156">
      <c r="A156" s="4561" t="n"/>
      <c r="B156" s="4561" t="n"/>
      <c r="C156" s="4561" t="n"/>
      <c r="D156" s="4561" t="n"/>
      <c r="E156" s="4561" t="n"/>
      <c r="F156" s="4561" t="n"/>
    </row>
    <row r="157">
      <c r="A157" s="4561" t="n"/>
      <c r="B157" s="4561" t="n"/>
      <c r="C157" s="4561" t="n"/>
      <c r="D157" s="4561" t="n"/>
      <c r="E157" s="4561" t="n"/>
      <c r="F157" s="4561" t="n"/>
    </row>
    <row r="158">
      <c r="A158" s="4561" t="n"/>
      <c r="B158" s="4561" t="n"/>
      <c r="C158" s="4561" t="n"/>
      <c r="D158" s="4561" t="n"/>
      <c r="E158" s="4561" t="n"/>
      <c r="F158" s="4561" t="n"/>
    </row>
    <row r="159">
      <c r="A159" s="4561" t="n"/>
      <c r="B159" s="4561" t="n"/>
      <c r="C159" s="4561" t="n"/>
      <c r="D159" s="4561" t="n"/>
      <c r="E159" s="4561" t="n"/>
      <c r="F159" s="4561" t="n"/>
    </row>
    <row r="160">
      <c r="A160" s="4561" t="n"/>
      <c r="B160" s="4561" t="n"/>
      <c r="C160" s="4561" t="n"/>
      <c r="D160" s="4561" t="n"/>
      <c r="E160" s="4561" t="n"/>
      <c r="F160" s="4561" t="n"/>
    </row>
    <row r="161">
      <c r="A161" s="4561" t="n"/>
      <c r="B161" s="4561" t="n"/>
      <c r="C161" s="4561" t="n"/>
      <c r="D161" s="4561" t="n"/>
      <c r="E161" s="4561" t="n"/>
      <c r="F161" s="4561" t="n"/>
    </row>
    <row r="162">
      <c r="A162" s="4561" t="n"/>
      <c r="B162" s="4561" t="n"/>
      <c r="C162" s="4561" t="n"/>
      <c r="D162" s="4561" t="n"/>
      <c r="E162" s="4561" t="n"/>
      <c r="F162" s="4561" t="n"/>
    </row>
    <row r="163">
      <c r="A163" s="4561" t="n"/>
      <c r="B163" s="4561" t="n"/>
      <c r="C163" s="4561" t="n"/>
      <c r="D163" s="4561" t="n"/>
      <c r="E163" s="4561" t="n"/>
      <c r="F163" s="4561" t="n"/>
    </row>
    <row r="164">
      <c r="A164" s="4561" t="n"/>
      <c r="B164" s="4561" t="n"/>
      <c r="C164" s="4561" t="n"/>
      <c r="D164" s="4561" t="n"/>
      <c r="E164" s="4561" t="n"/>
      <c r="F164" s="4561" t="n"/>
    </row>
    <row r="165">
      <c r="A165" s="4561" t="n"/>
      <c r="B165" s="4561" t="n"/>
      <c r="C165" s="4561" t="n"/>
      <c r="D165" s="4561" t="n"/>
      <c r="E165" s="4561" t="n"/>
      <c r="F165" s="4561" t="n"/>
    </row>
    <row r="166">
      <c r="A166" s="4561" t="n"/>
      <c r="B166" s="4561" t="n"/>
      <c r="C166" s="4561" t="n"/>
      <c r="D166" s="4561" t="n"/>
      <c r="E166" s="4561" t="n"/>
      <c r="F166" s="4561" t="n"/>
    </row>
    <row r="167">
      <c r="A167" s="4561" t="n"/>
      <c r="B167" s="4561" t="n"/>
      <c r="C167" s="4561" t="n"/>
      <c r="D167" s="4561" t="n"/>
      <c r="E167" s="4561" t="n"/>
      <c r="F167" s="4561" t="n"/>
    </row>
    <row r="168">
      <c r="A168" s="4561" t="n"/>
      <c r="B168" s="4561" t="n"/>
      <c r="C168" s="4561" t="n"/>
      <c r="D168" s="4561" t="n"/>
      <c r="E168" s="4561" t="n"/>
      <c r="F168" s="4561" t="n"/>
    </row>
    <row r="169">
      <c r="A169" s="4561" t="n"/>
      <c r="B169" s="4561" t="n"/>
      <c r="C169" s="4561" t="n"/>
      <c r="D169" s="4561" t="n"/>
      <c r="E169" s="4561" t="n"/>
      <c r="F169" s="4561" t="n"/>
    </row>
    <row r="170">
      <c r="A170" s="4561" t="n"/>
      <c r="B170" s="4561" t="n"/>
      <c r="C170" s="4561" t="n"/>
      <c r="D170" s="4561" t="n"/>
      <c r="E170" s="4561" t="n"/>
      <c r="F170" s="4561" t="n"/>
    </row>
    <row r="171">
      <c r="A171" s="4561" t="n"/>
      <c r="B171" s="4561" t="n"/>
      <c r="C171" s="4561" t="n"/>
      <c r="D171" s="4561" t="n"/>
      <c r="E171" s="4561" t="n"/>
      <c r="F171" s="4561" t="n"/>
    </row>
    <row r="172">
      <c r="A172" s="4561" t="n"/>
      <c r="B172" s="4561" t="n"/>
      <c r="C172" s="4561" t="n"/>
      <c r="D172" s="4561" t="n"/>
      <c r="E172" s="4561" t="n"/>
      <c r="F172" s="4561" t="n"/>
    </row>
    <row r="173">
      <c r="A173" s="4561" t="n"/>
      <c r="B173" s="4561" t="n"/>
      <c r="C173" s="4561" t="n"/>
      <c r="D173" s="4561" t="n"/>
      <c r="E173" s="4561" t="n"/>
      <c r="F173" s="4561" t="n"/>
    </row>
    <row r="174">
      <c r="A174" s="4561" t="n"/>
      <c r="B174" s="4561" t="n"/>
      <c r="C174" s="4561" t="n"/>
      <c r="D174" s="4561" t="n"/>
      <c r="E174" s="4561" t="n"/>
      <c r="F174" s="4561" t="n"/>
    </row>
    <row r="175">
      <c r="A175" s="4561" t="n"/>
      <c r="B175" s="4561" t="n"/>
      <c r="C175" s="4561" t="n"/>
      <c r="D175" s="4561" t="n"/>
      <c r="E175" s="4561" t="n"/>
      <c r="F175" s="4561" t="n"/>
    </row>
    <row r="176">
      <c r="A176" s="4561" t="n"/>
      <c r="B176" s="4561" t="n"/>
      <c r="C176" s="4561" t="n"/>
      <c r="D176" s="4561" t="n"/>
      <c r="E176" s="4561" t="n"/>
      <c r="F176" s="4561" t="n"/>
    </row>
    <row r="177">
      <c r="A177" s="4561" t="n"/>
      <c r="B177" s="4561" t="n"/>
      <c r="C177" s="4561" t="n"/>
      <c r="D177" s="4561" t="n"/>
      <c r="E177" s="4561" t="n"/>
      <c r="F177" s="4561" t="n"/>
    </row>
    <row r="178">
      <c r="A178" s="4561" t="n"/>
      <c r="B178" s="4561" t="n"/>
      <c r="C178" s="4561" t="n"/>
      <c r="D178" s="4561" t="n"/>
      <c r="E178" s="4561" t="n"/>
      <c r="F178" s="4561" t="n"/>
    </row>
    <row r="179">
      <c r="A179" s="4561" t="n"/>
      <c r="B179" s="4561" t="n"/>
      <c r="C179" s="4561" t="n"/>
      <c r="D179" s="4561" t="n"/>
      <c r="E179" s="4561" t="n"/>
      <c r="F179" s="4561" t="n"/>
    </row>
    <row r="180">
      <c r="A180" s="4561" t="n"/>
      <c r="B180" s="4561" t="n"/>
      <c r="C180" s="4561" t="n"/>
      <c r="D180" s="4561" t="n"/>
      <c r="E180" s="4561" t="n"/>
      <c r="F180" s="4561" t="n"/>
    </row>
    <row r="181">
      <c r="A181" s="4561" t="n"/>
      <c r="B181" s="4561" t="n"/>
      <c r="C181" s="4561" t="n"/>
      <c r="D181" s="4561" t="n"/>
      <c r="E181" s="4561" t="n"/>
      <c r="F181" s="4561" t="n"/>
    </row>
    <row r="182">
      <c r="A182" s="4561" t="n"/>
      <c r="B182" s="4561" t="n"/>
      <c r="C182" s="4561" t="n"/>
      <c r="D182" s="4561" t="n"/>
      <c r="E182" s="4561" t="n"/>
      <c r="F182" s="4561" t="n"/>
    </row>
    <row r="183">
      <c r="A183" s="4561" t="n"/>
      <c r="B183" s="4561" t="n"/>
      <c r="C183" s="4561" t="n"/>
      <c r="D183" s="4561" t="n"/>
      <c r="E183" s="4561" t="n"/>
      <c r="F183" s="4561" t="n"/>
    </row>
    <row r="184">
      <c r="A184" s="4561" t="n"/>
      <c r="B184" s="4561" t="n"/>
      <c r="C184" s="4561" t="n"/>
      <c r="D184" s="4561" t="n"/>
      <c r="E184" s="4561" t="n"/>
      <c r="F184" s="4561" t="n"/>
    </row>
    <row r="185">
      <c r="A185" s="4561" t="n"/>
      <c r="B185" s="4561" t="n"/>
      <c r="C185" s="4561" t="n"/>
      <c r="D185" s="4561" t="n"/>
      <c r="E185" s="4561" t="n"/>
      <c r="F185" s="4561" t="n"/>
    </row>
    <row r="186">
      <c r="A186" s="4561" t="n"/>
      <c r="B186" s="4561" t="n"/>
      <c r="C186" s="4561" t="n"/>
      <c r="D186" s="4561" t="n"/>
      <c r="E186" s="4561" t="n"/>
      <c r="F186" s="4561" t="n"/>
    </row>
    <row r="187">
      <c r="A187" s="4561" t="n"/>
      <c r="B187" s="4561" t="n"/>
      <c r="C187" s="4561" t="n"/>
      <c r="D187" s="4561" t="n"/>
      <c r="E187" s="4561" t="n"/>
      <c r="F187" s="4561" t="n"/>
    </row>
    <row r="188">
      <c r="A188" s="4561" t="n"/>
      <c r="B188" s="4561" t="n"/>
      <c r="C188" s="4561" t="n"/>
      <c r="D188" s="4561" t="n"/>
      <c r="E188" s="4561" t="n"/>
      <c r="F188" s="4561" t="n"/>
    </row>
    <row r="189">
      <c r="A189" s="4561" t="n"/>
      <c r="B189" s="4561" t="n"/>
      <c r="C189" s="4561" t="n"/>
      <c r="D189" s="4561" t="n"/>
      <c r="E189" s="4561" t="n"/>
      <c r="F189" s="4561" t="n"/>
    </row>
    <row r="190">
      <c r="A190" s="4561" t="n"/>
      <c r="B190" s="4561" t="n"/>
      <c r="C190" s="4561" t="n"/>
      <c r="D190" s="4561" t="n"/>
      <c r="E190" s="4561" t="n"/>
      <c r="F190" s="4561" t="n"/>
    </row>
    <row r="191">
      <c r="A191" s="4561" t="n"/>
      <c r="B191" s="4561" t="n"/>
      <c r="C191" s="4561" t="n"/>
      <c r="D191" s="4561" t="n"/>
      <c r="E191" s="4561" t="n"/>
      <c r="F191" s="4561" t="n"/>
    </row>
    <row r="192">
      <c r="A192" s="4561" t="n"/>
      <c r="B192" s="4561" t="n"/>
      <c r="C192" s="4561" t="n"/>
      <c r="D192" s="4561" t="n"/>
      <c r="E192" s="4561" t="n"/>
      <c r="F192" s="4561" t="n"/>
    </row>
    <row r="193">
      <c r="A193" s="4561" t="n"/>
      <c r="B193" s="4561" t="n"/>
      <c r="C193" s="4561" t="n"/>
      <c r="D193" s="4561" t="n"/>
      <c r="E193" s="4561" t="n"/>
      <c r="F193" s="4561" t="n"/>
    </row>
    <row r="194">
      <c r="A194" s="4561" t="n"/>
      <c r="B194" s="4561" t="n"/>
      <c r="C194" s="4561" t="n"/>
      <c r="D194" s="4561" t="n"/>
      <c r="E194" s="4561" t="n"/>
      <c r="F194" s="4561" t="n"/>
    </row>
    <row r="195">
      <c r="A195" s="4561" t="n"/>
      <c r="B195" s="4561" t="n"/>
      <c r="C195" s="4561" t="n"/>
      <c r="D195" s="4561" t="n"/>
      <c r="E195" s="4561" t="n"/>
      <c r="F195" s="4561" t="n"/>
    </row>
    <row r="196">
      <c r="A196" s="4561" t="n"/>
      <c r="B196" s="4561" t="n"/>
      <c r="C196" s="4561" t="n"/>
      <c r="D196" s="4561" t="n"/>
      <c r="E196" s="4561" t="n"/>
      <c r="F196" s="4561" t="n"/>
    </row>
    <row r="197">
      <c r="A197" s="4561" t="n"/>
      <c r="B197" s="4561" t="n"/>
      <c r="C197" s="4561" t="n"/>
      <c r="D197" s="4561" t="n"/>
      <c r="E197" s="4561" t="n"/>
      <c r="F197" s="4561" t="n"/>
    </row>
    <row r="198">
      <c r="A198" s="4561" t="n"/>
      <c r="B198" s="4561" t="n"/>
      <c r="C198" s="4561" t="n"/>
      <c r="D198" s="4561" t="n"/>
      <c r="E198" s="4561" t="n"/>
      <c r="F198" s="4561" t="n"/>
    </row>
    <row r="199">
      <c r="A199" s="4561" t="n"/>
      <c r="B199" s="4561" t="n"/>
      <c r="C199" s="4561" t="n"/>
      <c r="D199" s="4561" t="n"/>
      <c r="E199" s="4561" t="n"/>
      <c r="F199" s="4561" t="n"/>
    </row>
    <row r="200">
      <c r="A200" s="4561" t="n"/>
      <c r="B200" s="4561" t="n"/>
      <c r="C200" s="4561" t="n"/>
      <c r="D200" s="4561" t="n"/>
      <c r="E200" s="4561" t="n"/>
      <c r="F200" s="4561" t="n"/>
    </row>
    <row r="201">
      <c r="A201" s="4561" t="n"/>
      <c r="B201" s="4561" t="n"/>
      <c r="C201" s="4561" t="n"/>
      <c r="D201" s="4561" t="n"/>
      <c r="E201" s="4561" t="n"/>
      <c r="F201" s="4561" t="n"/>
    </row>
    <row r="202">
      <c r="A202" s="4561" t="n"/>
      <c r="B202" s="4561" t="n"/>
      <c r="C202" s="4561" t="n"/>
      <c r="D202" s="4561" t="n"/>
      <c r="E202" s="4561" t="n"/>
      <c r="F202" s="4561" t="n"/>
    </row>
    <row r="203">
      <c r="A203" s="4561" t="n"/>
      <c r="B203" s="4561" t="n"/>
      <c r="C203" s="4561" t="n"/>
      <c r="D203" s="4561" t="n"/>
      <c r="E203" s="4561" t="n"/>
      <c r="F203" s="4561" t="n"/>
    </row>
    <row r="204">
      <c r="A204" s="4561" t="n"/>
      <c r="B204" s="4561" t="n"/>
      <c r="C204" s="4561" t="n"/>
      <c r="D204" s="4561" t="n"/>
      <c r="E204" s="4561" t="n"/>
      <c r="F204" s="4561" t="n"/>
    </row>
    <row r="205">
      <c r="A205" s="4561" t="n"/>
      <c r="B205" s="4561" t="n"/>
      <c r="C205" s="4561" t="n"/>
      <c r="D205" s="4561" t="n"/>
      <c r="E205" s="4561" t="n"/>
      <c r="F205" s="4561" t="n"/>
    </row>
    <row r="206">
      <c r="A206" s="4561" t="n"/>
      <c r="B206" s="4561" t="n"/>
      <c r="C206" s="4561" t="n"/>
      <c r="D206" s="4561" t="n"/>
      <c r="E206" s="4561" t="n"/>
      <c r="F206" s="4561" t="n"/>
    </row>
    <row r="207">
      <c r="A207" s="4561" t="n"/>
      <c r="B207" s="4561" t="n"/>
      <c r="C207" s="4561" t="n"/>
      <c r="D207" s="4561" t="n"/>
      <c r="E207" s="4561" t="n"/>
      <c r="F207" s="4561" t="n"/>
    </row>
    <row r="208">
      <c r="A208" s="4561" t="n"/>
      <c r="B208" s="4561" t="n"/>
      <c r="C208" s="4561" t="n"/>
      <c r="D208" s="4561" t="n"/>
      <c r="E208" s="4561" t="n"/>
      <c r="F208" s="4561" t="n"/>
    </row>
    <row r="209">
      <c r="A209" s="4561" t="n"/>
      <c r="B209" s="4561" t="n"/>
      <c r="C209" s="4561" t="n"/>
      <c r="D209" s="4561" t="n"/>
      <c r="E209" s="4561" t="n"/>
      <c r="F209" s="4561" t="n"/>
    </row>
    <row r="210">
      <c r="A210" s="4561" t="n"/>
      <c r="B210" s="4561" t="n"/>
      <c r="C210" s="4561" t="n"/>
      <c r="D210" s="4561" t="n"/>
      <c r="E210" s="4561" t="n"/>
      <c r="F210" s="4561" t="n"/>
    </row>
    <row r="211">
      <c r="A211" s="4561" t="n"/>
      <c r="B211" s="4561" t="n"/>
      <c r="C211" s="4561" t="n"/>
      <c r="D211" s="4561" t="n"/>
      <c r="E211" s="4561" t="n"/>
      <c r="F211" s="4561" t="n"/>
    </row>
    <row r="212">
      <c r="A212" s="4561" t="n"/>
      <c r="B212" s="4561" t="n"/>
      <c r="C212" s="4561" t="n"/>
      <c r="D212" s="4561" t="n"/>
      <c r="E212" s="4561" t="n"/>
      <c r="F212" s="4561" t="n"/>
    </row>
    <row r="213">
      <c r="A213" s="4561" t="n"/>
      <c r="B213" s="4561" t="n"/>
      <c r="C213" s="4561" t="n"/>
      <c r="D213" s="4561" t="n"/>
      <c r="E213" s="4561" t="n"/>
      <c r="F213" s="4561" t="n"/>
    </row>
    <row r="214">
      <c r="A214" s="4561" t="n"/>
      <c r="B214" s="4561" t="n"/>
      <c r="C214" s="4561" t="n"/>
      <c r="D214" s="4561" t="n"/>
      <c r="E214" s="4561" t="n"/>
      <c r="F214" s="4561" t="n"/>
    </row>
    <row r="215">
      <c r="A215" s="4561" t="n"/>
      <c r="B215" s="4561" t="n"/>
      <c r="C215" s="4561" t="n"/>
      <c r="D215" s="4561" t="n"/>
      <c r="E215" s="4561" t="n"/>
      <c r="F215" s="4561" t="n"/>
    </row>
    <row r="216">
      <c r="A216" s="4561" t="n"/>
      <c r="B216" s="4561" t="n"/>
      <c r="C216" s="4561" t="n"/>
      <c r="D216" s="4561" t="n"/>
      <c r="E216" s="4561" t="n"/>
      <c r="F216" s="4561" t="n"/>
    </row>
    <row r="217">
      <c r="A217" s="4561" t="n"/>
      <c r="B217" s="4561" t="n"/>
      <c r="C217" s="4561" t="n"/>
      <c r="D217" s="4561" t="n"/>
      <c r="E217" s="4561" t="n"/>
      <c r="F217" s="4561" t="n"/>
    </row>
    <row r="218">
      <c r="A218" s="4561" t="n"/>
      <c r="B218" s="4561" t="n"/>
      <c r="C218" s="4561" t="n"/>
      <c r="D218" s="4561" t="n"/>
      <c r="E218" s="4561" t="n"/>
      <c r="F218" s="4561" t="n"/>
    </row>
    <row r="219">
      <c r="A219" s="4561" t="n"/>
      <c r="B219" s="4561" t="n"/>
      <c r="C219" s="4561" t="n"/>
      <c r="D219" s="4561" t="n"/>
      <c r="E219" s="4561" t="n"/>
      <c r="F219" s="4561" t="n"/>
    </row>
    <row r="220">
      <c r="A220" s="4561" t="n"/>
      <c r="B220" s="4561" t="n"/>
      <c r="C220" s="4561" t="n"/>
      <c r="D220" s="4561" t="n"/>
      <c r="E220" s="4561" t="n"/>
      <c r="F220" s="4561" t="n"/>
    </row>
    <row r="221">
      <c r="A221" s="4561" t="n"/>
      <c r="B221" s="4561" t="n"/>
      <c r="C221" s="4561" t="n"/>
      <c r="D221" s="4561" t="n"/>
      <c r="E221" s="4561" t="n"/>
      <c r="F221" s="4561" t="n"/>
    </row>
    <row r="222">
      <c r="A222" s="4561" t="n"/>
      <c r="B222" s="4561" t="n"/>
      <c r="C222" s="4561" t="n"/>
      <c r="D222" s="4561" t="n"/>
      <c r="E222" s="4561" t="n"/>
      <c r="F222" s="4561" t="n"/>
    </row>
    <row r="223">
      <c r="A223" s="4561" t="n"/>
      <c r="B223" s="4561" t="n"/>
      <c r="C223" s="4561" t="n"/>
      <c r="D223" s="4561" t="n"/>
      <c r="E223" s="4561" t="n"/>
      <c r="F223" s="4561" t="n"/>
    </row>
    <row r="224">
      <c r="A224" s="4561" t="n"/>
      <c r="B224" s="4561" t="n"/>
      <c r="C224" s="4561" t="n"/>
      <c r="D224" s="4561" t="n"/>
      <c r="E224" s="4561" t="n"/>
      <c r="F224" s="4561" t="n"/>
    </row>
    <row r="225">
      <c r="A225" s="4561" t="n"/>
      <c r="B225" s="4561" t="n"/>
      <c r="C225" s="4561" t="n"/>
      <c r="D225" s="4561" t="n"/>
      <c r="E225" s="4561" t="n"/>
      <c r="F225" s="4561" t="n"/>
    </row>
    <row r="226">
      <c r="A226" s="4561" t="n"/>
      <c r="B226" s="4561" t="n"/>
      <c r="C226" s="4561" t="n"/>
      <c r="D226" s="4561" t="n"/>
      <c r="E226" s="4561" t="n"/>
      <c r="F226" s="4561" t="n"/>
    </row>
    <row r="227">
      <c r="A227" s="4561" t="n"/>
      <c r="B227" s="4561" t="n"/>
      <c r="C227" s="4561" t="n"/>
      <c r="D227" s="4561" t="n"/>
      <c r="E227" s="4561" t="n"/>
      <c r="F227" s="4561" t="n"/>
    </row>
    <row r="228">
      <c r="A228" s="4561" t="n"/>
      <c r="B228" s="4561" t="n"/>
      <c r="C228" s="4561" t="n"/>
      <c r="D228" s="4561" t="n"/>
      <c r="E228" s="4561" t="n"/>
      <c r="F228" s="4561" t="n"/>
    </row>
    <row r="229">
      <c r="A229" s="4561" t="n"/>
      <c r="B229" s="4561" t="n"/>
      <c r="C229" s="4561" t="n"/>
      <c r="D229" s="4561" t="n"/>
      <c r="E229" s="4561" t="n"/>
      <c r="F229" s="4561" t="n"/>
    </row>
    <row r="230">
      <c r="A230" s="4561" t="n"/>
      <c r="B230" s="4561" t="n"/>
      <c r="C230" s="4561" t="n"/>
      <c r="D230" s="4561" t="n"/>
      <c r="E230" s="4561" t="n"/>
      <c r="F230" s="4561" t="n"/>
    </row>
    <row r="231">
      <c r="A231" s="4561" t="n"/>
      <c r="B231" s="4561" t="n"/>
      <c r="C231" s="4561" t="n"/>
      <c r="D231" s="4561" t="n"/>
      <c r="E231" s="4561" t="n"/>
      <c r="F231" s="4561" t="n"/>
    </row>
    <row r="232">
      <c r="A232" s="4561" t="n"/>
      <c r="B232" s="4561" t="n"/>
      <c r="C232" s="4561" t="n"/>
      <c r="D232" s="4561" t="n"/>
      <c r="E232" s="4561" t="n"/>
      <c r="F232" s="4561" t="n"/>
    </row>
    <row r="233">
      <c r="A233" s="4561" t="n"/>
      <c r="B233" s="4561" t="n"/>
      <c r="C233" s="4561" t="n"/>
      <c r="D233" s="4561" t="n"/>
      <c r="E233" s="4561" t="n"/>
      <c r="F233" s="4561" t="n"/>
    </row>
    <row r="234">
      <c r="A234" s="4561" t="n"/>
      <c r="B234" s="4561" t="n"/>
      <c r="C234" s="4561" t="n"/>
      <c r="D234" s="4561" t="n"/>
      <c r="E234" s="4561" t="n"/>
      <c r="F234" s="4561" t="n"/>
    </row>
    <row r="235">
      <c r="A235" s="4561" t="n"/>
      <c r="B235" s="4561" t="n"/>
      <c r="C235" s="4561" t="n"/>
      <c r="D235" s="4561" t="n"/>
      <c r="E235" s="4561" t="n"/>
      <c r="F235" s="4561" t="n"/>
    </row>
    <row r="236">
      <c r="A236" s="4561" t="n"/>
      <c r="B236" s="4561" t="n"/>
      <c r="C236" s="4561" t="n"/>
      <c r="D236" s="4561" t="n"/>
      <c r="E236" s="4561" t="n"/>
      <c r="F236" s="4561" t="n"/>
    </row>
    <row r="237">
      <c r="A237" s="4561" t="n"/>
      <c r="B237" s="4561" t="n"/>
      <c r="C237" s="4561" t="n"/>
      <c r="D237" s="4561" t="n"/>
      <c r="E237" s="4561" t="n"/>
      <c r="F237" s="4561" t="n"/>
    </row>
    <row r="238">
      <c r="A238" s="4561" t="n"/>
      <c r="B238" s="4561" t="n"/>
      <c r="C238" s="4561" t="n"/>
      <c r="D238" s="4561" t="n"/>
      <c r="E238" s="4561" t="n"/>
      <c r="F238" s="4561" t="n"/>
    </row>
    <row r="239">
      <c r="A239" s="4561" t="n"/>
      <c r="B239" s="4561" t="n"/>
      <c r="C239" s="4561" t="n"/>
      <c r="D239" s="4561" t="n"/>
      <c r="E239" s="4561" t="n"/>
      <c r="F239" s="4561" t="n"/>
    </row>
    <row r="240">
      <c r="A240" s="4561" t="n"/>
      <c r="B240" s="4561" t="n"/>
      <c r="C240" s="4561" t="n"/>
      <c r="D240" s="4561" t="n"/>
      <c r="E240" s="4561" t="n"/>
      <c r="F240" s="4561" t="n"/>
    </row>
    <row r="241">
      <c r="A241" s="4561" t="n"/>
      <c r="B241" s="4561" t="n"/>
      <c r="C241" s="4561" t="n"/>
      <c r="D241" s="4561" t="n"/>
      <c r="E241" s="4561" t="n"/>
      <c r="F241" s="4561" t="n"/>
    </row>
    <row r="242">
      <c r="A242" s="4561" t="n"/>
      <c r="B242" s="4561" t="n"/>
      <c r="C242" s="4561" t="n"/>
      <c r="D242" s="4561" t="n"/>
      <c r="E242" s="4561" t="n"/>
      <c r="F242" s="4561" t="n"/>
    </row>
    <row r="243">
      <c r="A243" s="4561" t="n"/>
      <c r="B243" s="4561" t="n"/>
      <c r="C243" s="4561" t="n"/>
      <c r="D243" s="4561" t="n"/>
      <c r="E243" s="4561" t="n"/>
      <c r="F243" s="4561" t="n"/>
    </row>
    <row r="244">
      <c r="A244" s="4561" t="n"/>
      <c r="B244" s="4561" t="n"/>
      <c r="C244" s="4561" t="n"/>
      <c r="D244" s="4561" t="n"/>
      <c r="E244" s="4561" t="n"/>
      <c r="F244" s="4561" t="n"/>
    </row>
    <row r="245">
      <c r="A245" s="4561" t="n"/>
      <c r="B245" s="4561" t="n"/>
      <c r="C245" s="4561" t="n"/>
      <c r="D245" s="4561" t="n"/>
      <c r="E245" s="4561" t="n"/>
      <c r="F245" s="4561" t="n"/>
    </row>
    <row r="246">
      <c r="A246" s="4561" t="n"/>
      <c r="B246" s="4561" t="n"/>
      <c r="C246" s="4561" t="n"/>
      <c r="D246" s="4561" t="n"/>
      <c r="E246" s="4561" t="n"/>
      <c r="F246" s="4561" t="n"/>
    </row>
    <row r="247">
      <c r="A247" s="4561" t="n"/>
      <c r="B247" s="4561" t="n"/>
      <c r="C247" s="4561" t="n"/>
      <c r="D247" s="4561" t="n"/>
      <c r="E247" s="4561" t="n"/>
      <c r="F247" s="4561" t="n"/>
    </row>
    <row r="248">
      <c r="A248" s="4561" t="n"/>
      <c r="B248" s="4561" t="n"/>
      <c r="C248" s="4561" t="n"/>
      <c r="D248" s="4561" t="n"/>
      <c r="E248" s="4561" t="n"/>
      <c r="F248" s="4561" t="n"/>
    </row>
    <row r="249">
      <c r="A249" s="4561" t="n"/>
      <c r="B249" s="4561" t="n"/>
      <c r="C249" s="4561" t="n"/>
      <c r="D249" s="4561" t="n"/>
      <c r="E249" s="4561" t="n"/>
      <c r="F249" s="4561" t="n"/>
    </row>
    <row r="250">
      <c r="A250" s="4561" t="n"/>
      <c r="B250" s="4561" t="n"/>
      <c r="C250" s="4561" t="n"/>
      <c r="D250" s="4561" t="n"/>
      <c r="E250" s="4561" t="n"/>
      <c r="F250" s="4561" t="n"/>
    </row>
    <row r="251">
      <c r="A251" s="4561" t="n"/>
      <c r="B251" s="4561" t="n"/>
      <c r="C251" s="4561" t="n"/>
      <c r="D251" s="4561" t="n"/>
      <c r="E251" s="4561" t="n"/>
      <c r="F251" s="4561" t="n"/>
    </row>
    <row r="252">
      <c r="A252" s="4561" t="n"/>
      <c r="B252" s="4561" t="n"/>
      <c r="C252" s="4561" t="n"/>
      <c r="D252" s="4561" t="n"/>
      <c r="E252" s="4561" t="n"/>
      <c r="F252" s="4561" t="n"/>
    </row>
    <row r="253">
      <c r="A253" s="4561" t="n"/>
      <c r="B253" s="4561" t="n"/>
      <c r="C253" s="4561" t="n"/>
      <c r="D253" s="4561" t="n"/>
      <c r="E253" s="4561" t="n"/>
      <c r="F253" s="4561" t="n"/>
    </row>
    <row r="254">
      <c r="A254" s="4561" t="n"/>
      <c r="B254" s="4561" t="n"/>
      <c r="C254" s="4561" t="n"/>
      <c r="D254" s="4561" t="n"/>
      <c r="E254" s="4561" t="n"/>
      <c r="F254" s="4561" t="n"/>
    </row>
    <row r="255">
      <c r="A255" s="4561" t="n"/>
      <c r="B255" s="4561" t="n"/>
      <c r="C255" s="4561" t="n"/>
      <c r="D255" s="4561" t="n"/>
      <c r="E255" s="4561" t="n"/>
      <c r="F255" s="4561" t="n"/>
    </row>
    <row r="256">
      <c r="A256" s="4561" t="n"/>
      <c r="B256" s="4561" t="n"/>
      <c r="C256" s="4561" t="n"/>
      <c r="D256" s="4561" t="n"/>
      <c r="E256" s="4561" t="n"/>
      <c r="F256" s="4561" t="n"/>
    </row>
    <row r="257">
      <c r="A257" s="4561" t="n"/>
      <c r="B257" s="4561" t="n"/>
      <c r="C257" s="4561" t="n"/>
      <c r="D257" s="4561" t="n"/>
      <c r="E257" s="4561" t="n"/>
      <c r="F257" s="4561" t="n"/>
    </row>
    <row r="258">
      <c r="A258" s="4561" t="n"/>
      <c r="B258" s="4561" t="n"/>
      <c r="C258" s="4561" t="n"/>
      <c r="D258" s="4561" t="n"/>
      <c r="E258" s="4561" t="n"/>
      <c r="F258" s="4561" t="n"/>
    </row>
    <row r="259">
      <c r="A259" s="4561" t="n"/>
      <c r="B259" s="4561" t="n"/>
      <c r="C259" s="4561" t="n"/>
      <c r="D259" s="4561" t="n"/>
      <c r="E259" s="4561" t="n"/>
      <c r="F259" s="4561" t="n"/>
    </row>
    <row r="260">
      <c r="A260" s="4561" t="n"/>
      <c r="B260" s="4561" t="n"/>
      <c r="C260" s="4561" t="n"/>
      <c r="D260" s="4561" t="n"/>
      <c r="E260" s="4561" t="n"/>
      <c r="F260" s="4561" t="n"/>
    </row>
    <row r="261">
      <c r="A261" s="4561" t="n"/>
      <c r="B261" s="4561" t="n"/>
      <c r="C261" s="4561" t="n"/>
      <c r="D261" s="4561" t="n"/>
      <c r="E261" s="4561" t="n"/>
      <c r="F261" s="4561" t="n"/>
    </row>
    <row r="262">
      <c r="A262" s="4561" t="n"/>
      <c r="B262" s="4561" t="n"/>
      <c r="C262" s="4561" t="n"/>
      <c r="D262" s="4561" t="n"/>
      <c r="E262" s="4561" t="n"/>
      <c r="F262" s="4561" t="n"/>
    </row>
    <row r="263">
      <c r="A263" s="4561" t="n"/>
      <c r="B263" s="4561" t="n"/>
      <c r="C263" s="4561" t="n"/>
      <c r="D263" s="4561" t="n"/>
      <c r="E263" s="4561" t="n"/>
      <c r="F263" s="4561" t="n"/>
    </row>
    <row r="264">
      <c r="A264" s="4561" t="n"/>
      <c r="B264" s="4561" t="n"/>
      <c r="C264" s="4561" t="n"/>
      <c r="D264" s="4561" t="n"/>
      <c r="E264" s="4561" t="n"/>
      <c r="F264" s="4561" t="n"/>
    </row>
    <row r="265">
      <c r="A265" s="4561" t="n"/>
      <c r="B265" s="4561" t="n"/>
      <c r="C265" s="4561" t="n"/>
      <c r="D265" s="4561" t="n"/>
      <c r="E265" s="4561" t="n"/>
      <c r="F265" s="4561" t="n"/>
    </row>
    <row r="266">
      <c r="A266" s="4561" t="n"/>
      <c r="B266" s="4561" t="n"/>
      <c r="C266" s="4561" t="n"/>
      <c r="D266" s="4561" t="n"/>
      <c r="E266" s="4561" t="n"/>
      <c r="F266" s="4561" t="n"/>
    </row>
    <row r="267">
      <c r="A267" s="4561" t="n"/>
      <c r="B267" s="4561" t="n"/>
      <c r="C267" s="4561" t="n"/>
      <c r="D267" s="4561" t="n"/>
      <c r="E267" s="4561" t="n"/>
      <c r="F267" s="4561" t="n"/>
    </row>
    <row r="268">
      <c r="A268" s="4561" t="n"/>
      <c r="B268" s="4561" t="n"/>
      <c r="C268" s="4561" t="n"/>
      <c r="D268" s="4561" t="n"/>
      <c r="E268" s="4561" t="n"/>
      <c r="F268" s="4561" t="n"/>
    </row>
    <row r="269">
      <c r="A269" s="4561" t="n"/>
      <c r="B269" s="4561" t="n"/>
      <c r="C269" s="4561" t="n"/>
      <c r="D269" s="4561" t="n"/>
      <c r="E269" s="4561" t="n"/>
      <c r="F269" s="4561" t="n"/>
    </row>
    <row r="270">
      <c r="A270" s="4561" t="n"/>
      <c r="B270" s="4561" t="n"/>
      <c r="C270" s="4561" t="n"/>
      <c r="D270" s="4561" t="n"/>
      <c r="E270" s="4561" t="n"/>
      <c r="F270" s="4561" t="n"/>
    </row>
    <row r="271">
      <c r="A271" s="4561" t="n"/>
      <c r="B271" s="4561" t="n"/>
      <c r="C271" s="4561" t="n"/>
      <c r="D271" s="4561" t="n"/>
      <c r="E271" s="4561" t="n"/>
      <c r="F271" s="4561" t="n"/>
    </row>
    <row r="272">
      <c r="A272" s="4561" t="n"/>
      <c r="B272" s="4561" t="n"/>
      <c r="C272" s="4561" t="n"/>
      <c r="D272" s="4561" t="n"/>
      <c r="E272" s="4561" t="n"/>
      <c r="F272" s="4561" t="n"/>
    </row>
    <row r="273">
      <c r="A273" s="4561" t="n"/>
      <c r="B273" s="4561" t="n"/>
      <c r="C273" s="4561" t="n"/>
      <c r="D273" s="4561" t="n"/>
      <c r="E273" s="4561" t="n"/>
      <c r="F273" s="4561" t="n"/>
    </row>
    <row r="274">
      <c r="A274" s="4561" t="n"/>
      <c r="B274" s="4561" t="n"/>
      <c r="C274" s="4561" t="n"/>
      <c r="D274" s="4561" t="n"/>
      <c r="E274" s="4561" t="n"/>
      <c r="F274" s="4561" t="n"/>
    </row>
    <row r="275">
      <c r="A275" s="4561" t="n"/>
      <c r="B275" s="4561" t="n"/>
      <c r="C275" s="4561" t="n"/>
      <c r="D275" s="4561" t="n"/>
      <c r="E275" s="4561" t="n"/>
      <c r="F275" s="4561" t="n"/>
    </row>
    <row r="276">
      <c r="A276" s="4561" t="n"/>
      <c r="B276" s="4561" t="n"/>
      <c r="C276" s="4561" t="n"/>
      <c r="D276" s="4561" t="n"/>
      <c r="E276" s="4561" t="n"/>
      <c r="F276" s="4561" t="n"/>
    </row>
    <row r="277">
      <c r="A277" s="4561" t="n"/>
      <c r="B277" s="4561" t="n"/>
      <c r="C277" s="4561" t="n"/>
      <c r="D277" s="4561" t="n"/>
      <c r="E277" s="4561" t="n"/>
      <c r="F277" s="4561" t="n"/>
    </row>
    <row r="278">
      <c r="A278" s="4561" t="n"/>
      <c r="B278" s="4561" t="n"/>
      <c r="C278" s="4561" t="n"/>
      <c r="D278" s="4561" t="n"/>
      <c r="E278" s="4561" t="n"/>
      <c r="F278" s="4561" t="n"/>
    </row>
    <row r="279">
      <c r="A279" s="4561" t="n"/>
      <c r="B279" s="4561" t="n"/>
      <c r="C279" s="4561" t="n"/>
      <c r="D279" s="4561" t="n"/>
      <c r="E279" s="4561" t="n"/>
      <c r="F279" s="4561" t="n"/>
    </row>
    <row r="280">
      <c r="A280" s="4561" t="n"/>
      <c r="B280" s="4561" t="n"/>
      <c r="C280" s="4561" t="n"/>
      <c r="D280" s="4561" t="n"/>
      <c r="E280" s="4561" t="n"/>
      <c r="F280" s="4561" t="n"/>
    </row>
    <row r="281">
      <c r="A281" s="4561" t="n"/>
      <c r="B281" s="4561" t="n"/>
      <c r="C281" s="4561" t="n"/>
      <c r="D281" s="4561" t="n"/>
      <c r="E281" s="4561" t="n"/>
      <c r="F281" s="4561" t="n"/>
    </row>
    <row r="282">
      <c r="A282" s="4561" t="n"/>
      <c r="B282" s="4561" t="n"/>
      <c r="C282" s="4561" t="n"/>
      <c r="D282" s="4561" t="n"/>
      <c r="E282" s="4561" t="n"/>
      <c r="F282" s="4561" t="n"/>
    </row>
    <row r="283">
      <c r="A283" s="4561" t="n"/>
      <c r="B283" s="4561" t="n"/>
      <c r="C283" s="4561" t="n"/>
      <c r="D283" s="4561" t="n"/>
      <c r="E283" s="4561" t="n"/>
      <c r="F283" s="4561" t="n"/>
    </row>
    <row r="284">
      <c r="A284" s="4561" t="n"/>
      <c r="B284" s="4561" t="n"/>
      <c r="C284" s="4561" t="n"/>
      <c r="D284" s="4561" t="n"/>
      <c r="E284" s="4561" t="n"/>
      <c r="F284" s="4561" t="n"/>
    </row>
    <row r="285">
      <c r="A285" s="4561" t="n"/>
      <c r="B285" s="4561" t="n"/>
      <c r="C285" s="4561" t="n"/>
      <c r="D285" s="4561" t="n"/>
      <c r="E285" s="4561" t="n"/>
      <c r="F285" s="4561" t="n"/>
    </row>
    <row r="286">
      <c r="A286" s="4561" t="n"/>
      <c r="B286" s="4561" t="n"/>
      <c r="C286" s="4561" t="n"/>
      <c r="D286" s="4561" t="n"/>
      <c r="E286" s="4561" t="n"/>
      <c r="F286" s="4561" t="n"/>
    </row>
    <row r="287">
      <c r="A287" s="4561" t="n"/>
      <c r="B287" s="4561" t="n"/>
      <c r="C287" s="4561" t="n"/>
      <c r="D287" s="4561" t="n"/>
      <c r="E287" s="4561" t="n"/>
      <c r="F287" s="4561" t="n"/>
    </row>
    <row r="288">
      <c r="A288" s="4561" t="n"/>
      <c r="B288" s="4561" t="n"/>
      <c r="C288" s="4561" t="n"/>
      <c r="D288" s="4561" t="n"/>
      <c r="E288" s="4561" t="n"/>
      <c r="F288" s="4561" t="n"/>
    </row>
    <row r="289">
      <c r="A289" s="4561" t="n"/>
      <c r="B289" s="4561" t="n"/>
      <c r="C289" s="4561" t="n"/>
      <c r="D289" s="4561" t="n"/>
      <c r="E289" s="4561" t="n"/>
      <c r="F289" s="4561" t="n"/>
    </row>
    <row r="290">
      <c r="A290" s="4561" t="n"/>
      <c r="B290" s="4561" t="n"/>
      <c r="C290" s="4561" t="n"/>
      <c r="D290" s="4561" t="n"/>
      <c r="E290" s="4561" t="n"/>
      <c r="F290" s="4561" t="n"/>
    </row>
    <row r="291">
      <c r="A291" s="4561" t="n"/>
      <c r="B291" s="4561" t="n"/>
      <c r="C291" s="4561" t="n"/>
      <c r="D291" s="4561" t="n"/>
      <c r="E291" s="4561" t="n"/>
      <c r="F291" s="4561" t="n"/>
    </row>
    <row r="292">
      <c r="A292" s="4561" t="n"/>
      <c r="B292" s="4561" t="n"/>
      <c r="C292" s="4561" t="n"/>
      <c r="D292" s="4561" t="n"/>
      <c r="E292" s="4561" t="n"/>
      <c r="F292" s="4561" t="n"/>
    </row>
    <row r="293">
      <c r="A293" s="4561" t="n"/>
      <c r="B293" s="4561" t="n"/>
      <c r="C293" s="4561" t="n"/>
      <c r="D293" s="4561" t="n"/>
      <c r="E293" s="4561" t="n"/>
      <c r="F293" s="4561" t="n"/>
    </row>
    <row r="294">
      <c r="A294" s="4561" t="n"/>
      <c r="B294" s="4561" t="n"/>
      <c r="C294" s="4561" t="n"/>
      <c r="D294" s="4561" t="n"/>
      <c r="E294" s="4561" t="n"/>
      <c r="F294" s="4561" t="n"/>
    </row>
    <row r="295">
      <c r="A295" s="4561" t="n"/>
      <c r="B295" s="4561" t="n"/>
      <c r="C295" s="4561" t="n"/>
      <c r="D295" s="4561" t="n"/>
      <c r="E295" s="4561" t="n"/>
      <c r="F295" s="4561" t="n"/>
    </row>
    <row r="296">
      <c r="A296" s="4561" t="n"/>
      <c r="B296" s="4561" t="n"/>
      <c r="C296" s="4561" t="n"/>
      <c r="D296" s="4561" t="n"/>
      <c r="E296" s="4561" t="n"/>
      <c r="F296" s="4561" t="n"/>
    </row>
    <row r="297">
      <c r="A297" s="4561" t="n"/>
      <c r="B297" s="4561" t="n"/>
      <c r="C297" s="4561" t="n"/>
      <c r="D297" s="4561" t="n"/>
      <c r="E297" s="4561" t="n"/>
      <c r="F297" s="4561" t="n"/>
    </row>
    <row r="298">
      <c r="A298" s="4561" t="n"/>
      <c r="B298" s="4561" t="n"/>
      <c r="C298" s="4561" t="n"/>
      <c r="D298" s="4561" t="n"/>
      <c r="E298" s="4561" t="n"/>
      <c r="F298" s="4561" t="n"/>
    </row>
    <row r="299">
      <c r="A299" s="4561" t="n"/>
      <c r="B299" s="4561" t="n"/>
      <c r="C299" s="4561" t="n"/>
      <c r="D299" s="4561" t="n"/>
      <c r="E299" s="4561" t="n"/>
      <c r="F299" s="4561" t="n"/>
    </row>
    <row r="300">
      <c r="A300" s="4561" t="n"/>
      <c r="B300" s="4561" t="n"/>
      <c r="C300" s="4561" t="n"/>
      <c r="D300" s="4561" t="n"/>
      <c r="E300" s="4561" t="n"/>
      <c r="F300" s="4561" t="n"/>
    </row>
    <row r="301">
      <c r="A301" s="4561" t="n"/>
      <c r="B301" s="4561" t="n"/>
      <c r="C301" s="4561" t="n"/>
      <c r="D301" s="4561" t="n"/>
      <c r="E301" s="4561" t="n"/>
      <c r="F301" s="4561" t="n"/>
    </row>
    <row r="302">
      <c r="A302" s="4561" t="n"/>
      <c r="B302" s="4561" t="n"/>
      <c r="C302" s="4561" t="n"/>
      <c r="D302" s="4561" t="n"/>
      <c r="E302" s="4561" t="n"/>
      <c r="F302" s="4561" t="n"/>
    </row>
    <row r="303">
      <c r="A303" s="4561" t="n"/>
      <c r="B303" s="4561" t="n"/>
      <c r="C303" s="4561" t="n"/>
      <c r="D303" s="4561" t="n"/>
      <c r="E303" s="4561" t="n"/>
      <c r="F303" s="4561" t="n"/>
    </row>
    <row r="304">
      <c r="A304" s="4561" t="n"/>
      <c r="B304" s="4561" t="n"/>
      <c r="C304" s="4561" t="n"/>
      <c r="D304" s="4561" t="n"/>
      <c r="E304" s="4561" t="n"/>
      <c r="F304" s="4561" t="n"/>
    </row>
    <row r="305">
      <c r="A305" s="4561" t="n"/>
      <c r="B305" s="4561" t="n"/>
      <c r="C305" s="4561" t="n"/>
      <c r="D305" s="4561" t="n"/>
      <c r="E305" s="4561" t="n"/>
      <c r="F305" s="4561" t="n"/>
    </row>
    <row r="306">
      <c r="A306" s="4561" t="n"/>
      <c r="B306" s="4561" t="n"/>
      <c r="C306" s="4561" t="n"/>
      <c r="D306" s="4561" t="n"/>
      <c r="E306" s="4561" t="n"/>
      <c r="F306" s="4561" t="n"/>
    </row>
    <row r="307">
      <c r="A307" s="4561" t="n"/>
      <c r="B307" s="4561" t="n"/>
      <c r="C307" s="4561" t="n"/>
      <c r="D307" s="4561" t="n"/>
      <c r="E307" s="4561" t="n"/>
      <c r="F307" s="4561" t="n"/>
    </row>
    <row r="308">
      <c r="A308" s="4561" t="n"/>
      <c r="B308" s="4561" t="n"/>
      <c r="C308" s="4561" t="n"/>
      <c r="D308" s="4561" t="n"/>
      <c r="E308" s="4561" t="n"/>
      <c r="F308" s="4561" t="n"/>
    </row>
    <row r="309">
      <c r="A309" s="4561" t="n"/>
      <c r="B309" s="4561" t="n"/>
      <c r="C309" s="4561" t="n"/>
      <c r="D309" s="4561" t="n"/>
      <c r="E309" s="4561" t="n"/>
      <c r="F309" s="4561" t="n"/>
    </row>
    <row r="310">
      <c r="A310" s="4561" t="n"/>
      <c r="B310" s="4561" t="n"/>
      <c r="C310" s="4561" t="n"/>
      <c r="D310" s="4561" t="n"/>
      <c r="E310" s="4561" t="n"/>
      <c r="F310" s="4561" t="n"/>
    </row>
    <row r="311">
      <c r="A311" s="4561" t="n"/>
      <c r="B311" s="4561" t="n"/>
      <c r="C311" s="4561" t="n"/>
      <c r="D311" s="4561" t="n"/>
      <c r="E311" s="4561" t="n"/>
      <c r="F311" s="4561" t="n"/>
    </row>
    <row r="312">
      <c r="A312" s="4561" t="n"/>
      <c r="B312" s="4561" t="n"/>
      <c r="C312" s="4561" t="n"/>
      <c r="D312" s="4561" t="n"/>
      <c r="E312" s="4561" t="n"/>
      <c r="F312" s="4561" t="n"/>
    </row>
    <row r="313">
      <c r="A313" s="4561" t="n"/>
      <c r="B313" s="4561" t="n"/>
      <c r="C313" s="4561" t="n"/>
      <c r="D313" s="4561" t="n"/>
      <c r="E313" s="4561" t="n"/>
      <c r="F313" s="4561" t="n"/>
    </row>
    <row r="314">
      <c r="A314" s="4561" t="n"/>
      <c r="B314" s="4561" t="n"/>
      <c r="C314" s="4561" t="n"/>
      <c r="D314" s="4561" t="n"/>
      <c r="E314" s="4561" t="n"/>
      <c r="F314" s="4561" t="n"/>
    </row>
    <row r="315">
      <c r="A315" s="4561" t="n"/>
      <c r="B315" s="4561" t="n"/>
      <c r="C315" s="4561" t="n"/>
      <c r="D315" s="4561" t="n"/>
      <c r="E315" s="4561" t="n"/>
      <c r="F315" s="4561" t="n"/>
    </row>
    <row r="316">
      <c r="A316" s="4561" t="n"/>
      <c r="B316" s="4561" t="n"/>
      <c r="C316" s="4561" t="n"/>
      <c r="D316" s="4561" t="n"/>
      <c r="E316" s="4561" t="n"/>
      <c r="F316" s="4561" t="n"/>
    </row>
    <row r="317">
      <c r="A317" s="4561" t="n"/>
      <c r="B317" s="4561" t="n"/>
      <c r="C317" s="4561" t="n"/>
      <c r="D317" s="4561" t="n"/>
      <c r="E317" s="4561" t="n"/>
      <c r="F317" s="4561" t="n"/>
    </row>
    <row r="318">
      <c r="A318" s="4561" t="n"/>
      <c r="B318" s="4561" t="n"/>
      <c r="C318" s="4561" t="n"/>
      <c r="D318" s="4561" t="n"/>
      <c r="E318" s="4561" t="n"/>
      <c r="F318" s="4561" t="n"/>
    </row>
    <row r="319">
      <c r="A319" s="4561" t="n"/>
      <c r="B319" s="4561" t="n"/>
      <c r="C319" s="4561" t="n"/>
      <c r="D319" s="4561" t="n"/>
      <c r="E319" s="4561" t="n"/>
      <c r="F319" s="4561" t="n"/>
    </row>
    <row r="320">
      <c r="A320" s="4561" t="n"/>
      <c r="B320" s="4561" t="n"/>
      <c r="C320" s="4561" t="n"/>
      <c r="D320" s="4561" t="n"/>
      <c r="E320" s="4561" t="n"/>
      <c r="F320" s="4561" t="n"/>
    </row>
    <row r="321">
      <c r="A321" s="4561" t="n"/>
      <c r="B321" s="4561" t="n"/>
      <c r="C321" s="4561" t="n"/>
      <c r="D321" s="4561" t="n"/>
      <c r="E321" s="4561" t="n"/>
      <c r="F321" s="4561" t="n"/>
    </row>
    <row r="322">
      <c r="A322" s="4561" t="n"/>
      <c r="B322" s="4561" t="n"/>
      <c r="C322" s="4561" t="n"/>
      <c r="D322" s="4561" t="n"/>
      <c r="E322" s="4561" t="n"/>
      <c r="F322" s="4561" t="n"/>
    </row>
    <row r="323">
      <c r="A323" s="4561" t="n"/>
      <c r="B323" s="4561" t="n"/>
      <c r="C323" s="4561" t="n"/>
      <c r="D323" s="4561" t="n"/>
      <c r="E323" s="4561" t="n"/>
      <c r="F323" s="4561" t="n"/>
    </row>
    <row r="324">
      <c r="A324" s="4561" t="n"/>
      <c r="B324" s="4561" t="n"/>
      <c r="C324" s="4561" t="n"/>
      <c r="D324" s="4561" t="n"/>
      <c r="E324" s="4561" t="n"/>
      <c r="F324" s="4561" t="n"/>
    </row>
    <row r="325">
      <c r="A325" s="4561" t="n"/>
      <c r="B325" s="4561" t="n"/>
      <c r="C325" s="4561" t="n"/>
      <c r="D325" s="4561" t="n"/>
      <c r="E325" s="4561" t="n"/>
      <c r="F325" s="4561" t="n"/>
    </row>
    <row r="326">
      <c r="A326" s="4561" t="n"/>
      <c r="B326" s="4561" t="n"/>
      <c r="C326" s="4561" t="n"/>
      <c r="D326" s="4561" t="n"/>
      <c r="E326" s="4561" t="n"/>
      <c r="F326" s="4561" t="n"/>
    </row>
    <row r="327">
      <c r="A327" s="4561" t="n"/>
      <c r="B327" s="4561" t="n"/>
      <c r="C327" s="4561" t="n"/>
      <c r="D327" s="4561" t="n"/>
      <c r="E327" s="4561" t="n"/>
      <c r="F327" s="4561" t="n"/>
    </row>
    <row r="328">
      <c r="A328" s="4561" t="n"/>
      <c r="B328" s="4561" t="n"/>
      <c r="C328" s="4561" t="n"/>
      <c r="D328" s="4561" t="n"/>
      <c r="E328" s="4561" t="n"/>
      <c r="F328" s="4561" t="n"/>
    </row>
    <row r="329">
      <c r="A329" s="4561" t="n"/>
      <c r="B329" s="4561" t="n"/>
      <c r="C329" s="4561" t="n"/>
      <c r="D329" s="4561" t="n"/>
      <c r="E329" s="4561" t="n"/>
      <c r="F329" s="4561" t="n"/>
    </row>
    <row r="330">
      <c r="A330" s="4561" t="n"/>
      <c r="B330" s="4561" t="n"/>
      <c r="C330" s="4561" t="n"/>
      <c r="D330" s="4561" t="n"/>
      <c r="E330" s="4561" t="n"/>
      <c r="F330" s="4561" t="n"/>
    </row>
    <row r="331">
      <c r="A331" s="4561" t="n"/>
      <c r="B331" s="4561" t="n"/>
      <c r="C331" s="4561" t="n"/>
      <c r="D331" s="4561" t="n"/>
      <c r="E331" s="4561" t="n"/>
      <c r="F331" s="4561" t="n"/>
    </row>
    <row r="332">
      <c r="A332" s="4561" t="n"/>
      <c r="B332" s="4561" t="n"/>
      <c r="C332" s="4561" t="n"/>
      <c r="D332" s="4561" t="n"/>
      <c r="E332" s="4561" t="n"/>
      <c r="F332" s="4561" t="n"/>
    </row>
    <row r="333">
      <c r="A333" s="4561" t="n"/>
      <c r="B333" s="4561" t="n"/>
      <c r="C333" s="4561" t="n"/>
      <c r="D333" s="4561" t="n"/>
      <c r="E333" s="4561" t="n"/>
      <c r="F333" s="4561" t="n"/>
    </row>
    <row r="334">
      <c r="A334" s="4561" t="n"/>
      <c r="B334" s="4561" t="n"/>
      <c r="C334" s="4561" t="n"/>
      <c r="D334" s="4561" t="n"/>
      <c r="E334" s="4561" t="n"/>
      <c r="F334" s="4561" t="n"/>
    </row>
    <row r="335">
      <c r="A335" s="4561" t="n"/>
      <c r="B335" s="4561" t="n"/>
      <c r="C335" s="4561" t="n"/>
      <c r="D335" s="4561" t="n"/>
      <c r="E335" s="4561" t="n"/>
      <c r="F335" s="4561" t="n"/>
    </row>
    <row r="336">
      <c r="A336" s="4561" t="n"/>
      <c r="B336" s="4561" t="n"/>
      <c r="C336" s="4561" t="n"/>
      <c r="D336" s="4561" t="n"/>
      <c r="E336" s="4561" t="n"/>
      <c r="F336" s="4561" t="n"/>
    </row>
    <row r="337">
      <c r="A337" s="4561" t="n"/>
      <c r="B337" s="4561" t="n"/>
      <c r="C337" s="4561" t="n"/>
      <c r="D337" s="4561" t="n"/>
      <c r="E337" s="4561" t="n"/>
      <c r="F337" s="4561" t="n"/>
    </row>
    <row r="338">
      <c r="A338" s="4561" t="n"/>
      <c r="B338" s="4561" t="n"/>
      <c r="C338" s="4561" t="n"/>
      <c r="D338" s="4561" t="n"/>
      <c r="E338" s="4561" t="n"/>
      <c r="F338" s="4561" t="n"/>
    </row>
    <row r="339">
      <c r="A339" s="4561" t="n"/>
      <c r="B339" s="4561" t="n"/>
      <c r="C339" s="4561" t="n"/>
      <c r="D339" s="4561" t="n"/>
      <c r="E339" s="4561" t="n"/>
      <c r="F339" s="4561" t="n"/>
    </row>
    <row r="340">
      <c r="A340" s="4561" t="n"/>
      <c r="B340" s="4561" t="n"/>
      <c r="C340" s="4561" t="n"/>
      <c r="D340" s="4561" t="n"/>
      <c r="E340" s="4561" t="n"/>
      <c r="F340" s="4561" t="n"/>
    </row>
    <row r="341">
      <c r="A341" s="4561" t="n"/>
      <c r="B341" s="4561" t="n"/>
      <c r="C341" s="4561" t="n"/>
      <c r="D341" s="4561" t="n"/>
      <c r="E341" s="4561" t="n"/>
      <c r="F341" s="4561" t="n"/>
    </row>
    <row r="342">
      <c r="A342" s="4561" t="n"/>
      <c r="B342" s="4561" t="n"/>
      <c r="C342" s="4561" t="n"/>
      <c r="D342" s="4561" t="n"/>
      <c r="E342" s="4561" t="n"/>
      <c r="F342" s="4561" t="n"/>
    </row>
    <row r="343">
      <c r="A343" s="4561" t="n"/>
      <c r="B343" s="4561" t="n"/>
      <c r="C343" s="4561" t="n"/>
      <c r="D343" s="4561" t="n"/>
      <c r="E343" s="4561" t="n"/>
      <c r="F343" s="4561" t="n"/>
    </row>
    <row r="344">
      <c r="A344" s="4561" t="n"/>
      <c r="B344" s="4561" t="n"/>
      <c r="C344" s="4561" t="n"/>
      <c r="D344" s="4561" t="n"/>
      <c r="E344" s="4561" t="n"/>
      <c r="F344" s="4561" t="n"/>
    </row>
    <row r="345">
      <c r="A345" s="4561" t="n"/>
      <c r="B345" s="4561" t="n"/>
      <c r="C345" s="4561" t="n"/>
      <c r="D345" s="4561" t="n"/>
      <c r="E345" s="4561" t="n"/>
      <c r="F345" s="4561" t="n"/>
    </row>
    <row r="346">
      <c r="A346" s="4561" t="n"/>
      <c r="B346" s="4561" t="n"/>
      <c r="C346" s="4561" t="n"/>
      <c r="D346" s="4561" t="n"/>
      <c r="E346" s="4561" t="n"/>
      <c r="F346" s="4561" t="n"/>
    </row>
    <row r="347">
      <c r="A347" s="4561" t="n"/>
      <c r="B347" s="4561" t="n"/>
      <c r="C347" s="4561" t="n"/>
      <c r="D347" s="4561" t="n"/>
      <c r="E347" s="4561" t="n"/>
      <c r="F347" s="4561" t="n"/>
    </row>
    <row r="348">
      <c r="A348" s="4561" t="n"/>
      <c r="B348" s="4561" t="n"/>
      <c r="C348" s="4561" t="n"/>
      <c r="D348" s="4561" t="n"/>
      <c r="E348" s="4561" t="n"/>
      <c r="F348" s="4561" t="n"/>
    </row>
    <row r="349">
      <c r="A349" s="4561" t="n"/>
      <c r="B349" s="4561" t="n"/>
      <c r="C349" s="4561" t="n"/>
      <c r="D349" s="4561" t="n"/>
      <c r="E349" s="4561" t="n"/>
      <c r="F349" s="4561" t="n"/>
    </row>
    <row r="350">
      <c r="A350" s="4561" t="n"/>
      <c r="B350" s="4561" t="n"/>
      <c r="C350" s="4561" t="n"/>
      <c r="D350" s="4561" t="n"/>
      <c r="E350" s="4561" t="n"/>
      <c r="F350" s="4561" t="n"/>
    </row>
    <row r="351">
      <c r="A351" s="4561" t="n"/>
      <c r="B351" s="4561" t="n"/>
      <c r="C351" s="4561" t="n"/>
      <c r="D351" s="4561" t="n"/>
      <c r="E351" s="4561" t="n"/>
      <c r="F351" s="4561" t="n"/>
    </row>
    <row r="352">
      <c r="A352" s="4561" t="n"/>
      <c r="B352" s="4561" t="n"/>
      <c r="C352" s="4561" t="n"/>
      <c r="D352" s="4561" t="n"/>
      <c r="E352" s="4561" t="n"/>
      <c r="F352" s="4561" t="n"/>
    </row>
    <row r="353">
      <c r="A353" s="4561" t="n"/>
      <c r="B353" s="4561" t="n"/>
      <c r="C353" s="4561" t="n"/>
      <c r="D353" s="4561" t="n"/>
      <c r="E353" s="4561" t="n"/>
      <c r="F353" s="4561" t="n"/>
    </row>
    <row r="354">
      <c r="A354" s="4561" t="n"/>
      <c r="B354" s="4561" t="n"/>
      <c r="C354" s="4561" t="n"/>
      <c r="D354" s="4561" t="n"/>
      <c r="E354" s="4561" t="n"/>
      <c r="F354" s="4561" t="n"/>
    </row>
    <row r="355">
      <c r="A355" s="4561" t="n"/>
      <c r="B355" s="4561" t="n"/>
      <c r="C355" s="4561" t="n"/>
      <c r="D355" s="4561" t="n"/>
      <c r="E355" s="4561" t="n"/>
      <c r="F355" s="4561" t="n"/>
    </row>
    <row r="356">
      <c r="A356" s="4561" t="n"/>
      <c r="B356" s="4561" t="n"/>
      <c r="C356" s="4561" t="n"/>
      <c r="D356" s="4561" t="n"/>
      <c r="E356" s="4561" t="n"/>
      <c r="F356" s="4561" t="n"/>
    </row>
    <row r="357">
      <c r="A357" s="4561" t="n"/>
      <c r="B357" s="4561" t="n"/>
      <c r="C357" s="4561" t="n"/>
      <c r="D357" s="4561" t="n"/>
      <c r="E357" s="4561" t="n"/>
      <c r="F357" s="4561" t="n"/>
    </row>
    <row r="358">
      <c r="A358" s="4561" t="n"/>
      <c r="B358" s="4561" t="n"/>
      <c r="C358" s="4561" t="n"/>
      <c r="D358" s="4561" t="n"/>
      <c r="E358" s="4561" t="n"/>
      <c r="F358" s="4561" t="n"/>
    </row>
    <row r="359">
      <c r="A359" s="4561" t="n"/>
      <c r="B359" s="4561" t="n"/>
      <c r="C359" s="4561" t="n"/>
      <c r="D359" s="4561" t="n"/>
      <c r="E359" s="4561" t="n"/>
      <c r="F359" s="4561" t="n"/>
    </row>
    <row r="360">
      <c r="A360" s="4561" t="n"/>
      <c r="B360" s="4561" t="n"/>
      <c r="C360" s="4561" t="n"/>
      <c r="D360" s="4561" t="n"/>
      <c r="E360" s="4561" t="n"/>
      <c r="F360" s="4561" t="n"/>
    </row>
    <row r="361">
      <c r="A361" s="4561" t="n"/>
      <c r="B361" s="4561" t="n"/>
      <c r="C361" s="4561" t="n"/>
      <c r="D361" s="4561" t="n"/>
      <c r="E361" s="4561" t="n"/>
      <c r="F361" s="4561" t="n"/>
    </row>
    <row r="362">
      <c r="A362" s="4561" t="n"/>
      <c r="B362" s="4561" t="n"/>
      <c r="C362" s="4561" t="n"/>
      <c r="D362" s="4561" t="n"/>
      <c r="E362" s="4561" t="n"/>
      <c r="F362" s="4561" t="n"/>
    </row>
    <row r="363">
      <c r="A363" s="4561" t="n"/>
      <c r="B363" s="4561" t="n"/>
      <c r="C363" s="4561" t="n"/>
      <c r="D363" s="4561" t="n"/>
      <c r="E363" s="4561" t="n"/>
      <c r="F363" s="4561" t="n"/>
    </row>
    <row r="364">
      <c r="A364" s="4561" t="n"/>
      <c r="B364" s="4561" t="n"/>
      <c r="C364" s="4561" t="n"/>
      <c r="D364" s="4561" t="n"/>
      <c r="E364" s="4561" t="n"/>
      <c r="F364" s="4561" t="n"/>
    </row>
    <row r="365">
      <c r="A365" s="4561" t="n"/>
      <c r="B365" s="4561" t="n"/>
      <c r="C365" s="4561" t="n"/>
      <c r="D365" s="4561" t="n"/>
      <c r="E365" s="4561" t="n"/>
      <c r="F365" s="4561" t="n"/>
    </row>
    <row r="366">
      <c r="A366" s="4561" t="n"/>
      <c r="B366" s="4561" t="n"/>
      <c r="C366" s="4561" t="n"/>
      <c r="D366" s="4561" t="n"/>
      <c r="E366" s="4561" t="n"/>
      <c r="F366" s="4561" t="n"/>
    </row>
    <row r="367">
      <c r="A367" s="4561" t="n"/>
      <c r="B367" s="4561" t="n"/>
      <c r="C367" s="4561" t="n"/>
      <c r="D367" s="4561" t="n"/>
      <c r="E367" s="4561" t="n"/>
      <c r="F367" s="4561" t="n"/>
    </row>
    <row r="368">
      <c r="A368" s="4561" t="n"/>
      <c r="B368" s="4561" t="n"/>
      <c r="C368" s="4561" t="n"/>
      <c r="D368" s="4561" t="n"/>
      <c r="E368" s="4561" t="n"/>
      <c r="F368" s="4561" t="n"/>
    </row>
    <row r="369">
      <c r="A369" s="4561" t="n"/>
      <c r="B369" s="4561" t="n"/>
      <c r="C369" s="4561" t="n"/>
      <c r="D369" s="4561" t="n"/>
      <c r="E369" s="4561" t="n"/>
      <c r="F369" s="4561" t="n"/>
    </row>
    <row r="370">
      <c r="A370" s="4561" t="n"/>
      <c r="B370" s="4561" t="n"/>
      <c r="C370" s="4561" t="n"/>
      <c r="D370" s="4561" t="n"/>
      <c r="E370" s="4561" t="n"/>
      <c r="F370" s="4561" t="n"/>
    </row>
    <row r="371">
      <c r="A371" s="4561" t="n"/>
      <c r="B371" s="4561" t="n"/>
      <c r="C371" s="4561" t="n"/>
      <c r="D371" s="4561" t="n"/>
      <c r="E371" s="4561" t="n"/>
      <c r="F371" s="4561" t="n"/>
    </row>
    <row r="372">
      <c r="A372" s="4561" t="n"/>
      <c r="B372" s="4561" t="n"/>
      <c r="C372" s="4561" t="n"/>
      <c r="D372" s="4561" t="n"/>
      <c r="E372" s="4561" t="n"/>
      <c r="F372" s="4561" t="n"/>
    </row>
    <row r="373">
      <c r="A373" s="4561" t="n"/>
      <c r="B373" s="4561" t="n"/>
      <c r="C373" s="4561" t="n"/>
      <c r="D373" s="4561" t="n"/>
      <c r="E373" s="4561" t="n"/>
      <c r="F373" s="4561" t="n"/>
    </row>
    <row r="374">
      <c r="A374" s="4561" t="n"/>
      <c r="B374" s="4561" t="n"/>
      <c r="C374" s="4561" t="n"/>
      <c r="D374" s="4561" t="n"/>
      <c r="E374" s="4561" t="n"/>
      <c r="F374" s="4561" t="n"/>
    </row>
    <row r="375">
      <c r="A375" s="4561" t="n"/>
      <c r="B375" s="4561" t="n"/>
      <c r="C375" s="4561" t="n"/>
      <c r="D375" s="4561" t="n"/>
      <c r="E375" s="4561" t="n"/>
      <c r="F375" s="4561" t="n"/>
    </row>
    <row r="376">
      <c r="A376" s="4561" t="n"/>
      <c r="B376" s="4561" t="n"/>
      <c r="C376" s="4561" t="n"/>
      <c r="D376" s="4561" t="n"/>
      <c r="E376" s="4561" t="n"/>
      <c r="F376" s="4561" t="n"/>
    </row>
    <row r="377">
      <c r="A377" s="4561" t="n"/>
      <c r="B377" s="4561" t="n"/>
      <c r="C377" s="4561" t="n"/>
      <c r="D377" s="4561" t="n"/>
      <c r="E377" s="4561" t="n"/>
      <c r="F377" s="4561" t="n"/>
    </row>
    <row r="378">
      <c r="A378" s="4561" t="n"/>
      <c r="B378" s="4561" t="n"/>
      <c r="C378" s="4561" t="n"/>
      <c r="D378" s="4561" t="n"/>
      <c r="E378" s="4561" t="n"/>
      <c r="F378" s="4561" t="n"/>
    </row>
    <row r="379">
      <c r="A379" s="4561" t="n"/>
      <c r="B379" s="4561" t="n"/>
      <c r="C379" s="4561" t="n"/>
      <c r="D379" s="4561" t="n"/>
      <c r="E379" s="4561" t="n"/>
      <c r="F379" s="4561" t="n"/>
    </row>
    <row r="380">
      <c r="A380" s="4561" t="n"/>
      <c r="B380" s="4561" t="n"/>
      <c r="C380" s="4561" t="n"/>
      <c r="D380" s="4561" t="n"/>
      <c r="E380" s="4561" t="n"/>
      <c r="F380" s="4561" t="n"/>
    </row>
    <row r="381">
      <c r="A381" s="4561" t="n"/>
      <c r="B381" s="4561" t="n"/>
      <c r="C381" s="4561" t="n"/>
      <c r="D381" s="4561" t="n"/>
      <c r="E381" s="4561" t="n"/>
      <c r="F381" s="4561" t="n"/>
    </row>
    <row r="382">
      <c r="A382" s="4561" t="n"/>
      <c r="B382" s="4561" t="n"/>
      <c r="C382" s="4561" t="n"/>
      <c r="D382" s="4561" t="n"/>
      <c r="E382" s="4561" t="n"/>
      <c r="F382" s="4561" t="n"/>
    </row>
    <row r="383">
      <c r="A383" s="4561" t="n"/>
      <c r="B383" s="4561" t="n"/>
      <c r="C383" s="4561" t="n"/>
      <c r="D383" s="4561" t="n"/>
      <c r="E383" s="4561" t="n"/>
      <c r="F383" s="4561" t="n"/>
    </row>
    <row r="384">
      <c r="A384" s="4561" t="n"/>
      <c r="B384" s="4561" t="n"/>
      <c r="C384" s="4561" t="n"/>
      <c r="D384" s="4561" t="n"/>
      <c r="E384" s="4561" t="n"/>
      <c r="F384" s="4561" t="n"/>
    </row>
    <row r="385">
      <c r="A385" s="4561" t="n"/>
      <c r="B385" s="4561" t="n"/>
      <c r="C385" s="4561" t="n"/>
      <c r="D385" s="4561" t="n"/>
      <c r="E385" s="4561" t="n"/>
      <c r="F385" s="4561" t="n"/>
    </row>
    <row r="386">
      <c r="A386" s="4561" t="n"/>
      <c r="B386" s="4561" t="n"/>
      <c r="C386" s="4561" t="n"/>
      <c r="D386" s="4561" t="n"/>
      <c r="E386" s="4561" t="n"/>
      <c r="F386" s="4561" t="n"/>
    </row>
    <row r="387">
      <c r="A387" s="4561" t="n"/>
      <c r="B387" s="4561" t="n"/>
      <c r="C387" s="4561" t="n"/>
      <c r="D387" s="4561" t="n"/>
      <c r="E387" s="4561" t="n"/>
      <c r="F387" s="4561" t="n"/>
    </row>
    <row r="388">
      <c r="A388" s="4561" t="n"/>
      <c r="B388" s="4561" t="n"/>
      <c r="C388" s="4561" t="n"/>
      <c r="D388" s="4561" t="n"/>
      <c r="E388" s="4561" t="n"/>
      <c r="F388" s="4561" t="n"/>
    </row>
    <row r="389">
      <c r="A389" s="4561" t="n"/>
      <c r="B389" s="4561" t="n"/>
      <c r="C389" s="4561" t="n"/>
      <c r="D389" s="4561" t="n"/>
      <c r="E389" s="4561" t="n"/>
      <c r="F389" s="4561" t="n"/>
    </row>
    <row r="390">
      <c r="A390" s="4561" t="n"/>
      <c r="B390" s="4561" t="n"/>
      <c r="C390" s="4561" t="n"/>
      <c r="D390" s="4561" t="n"/>
      <c r="E390" s="4561" t="n"/>
      <c r="F390" s="4561" t="n"/>
    </row>
    <row r="391">
      <c r="A391" s="4561" t="n"/>
      <c r="B391" s="4561" t="n"/>
      <c r="C391" s="4561" t="n"/>
      <c r="D391" s="4561" t="n"/>
      <c r="E391" s="4561" t="n"/>
      <c r="F391" s="4561" t="n"/>
    </row>
    <row r="392">
      <c r="A392" s="4561" t="n"/>
      <c r="B392" s="4561" t="n"/>
      <c r="C392" s="4561" t="n"/>
      <c r="D392" s="4561" t="n"/>
      <c r="E392" s="4561" t="n"/>
      <c r="F392" s="4561" t="n"/>
    </row>
    <row r="393">
      <c r="A393" s="4561" t="n"/>
      <c r="B393" s="4561" t="n"/>
      <c r="C393" s="4561" t="n"/>
      <c r="D393" s="4561" t="n"/>
      <c r="E393" s="4561" t="n"/>
      <c r="F393" s="4561" t="n"/>
    </row>
    <row r="394">
      <c r="A394" s="4561" t="n"/>
      <c r="B394" s="4561" t="n"/>
      <c r="C394" s="4561" t="n"/>
      <c r="D394" s="4561" t="n"/>
      <c r="E394" s="4561" t="n"/>
      <c r="F394" s="4561" t="n"/>
    </row>
    <row r="395">
      <c r="A395" s="4561" t="n"/>
      <c r="B395" s="4561" t="n"/>
      <c r="C395" s="4561" t="n"/>
      <c r="D395" s="4561" t="n"/>
      <c r="E395" s="4561" t="n"/>
      <c r="F395" s="4561" t="n"/>
    </row>
    <row r="396">
      <c r="A396" s="4561" t="n"/>
      <c r="B396" s="4561" t="n"/>
      <c r="C396" s="4561" t="n"/>
      <c r="D396" s="4561" t="n"/>
      <c r="E396" s="4561" t="n"/>
      <c r="F396" s="4561" t="n"/>
    </row>
    <row r="397">
      <c r="A397" s="4561" t="n"/>
      <c r="B397" s="4561" t="n"/>
      <c r="C397" s="4561" t="n"/>
      <c r="D397" s="4561" t="n"/>
      <c r="E397" s="4561" t="n"/>
      <c r="F397" s="4561" t="n"/>
    </row>
    <row r="398">
      <c r="A398" s="4561" t="n"/>
      <c r="B398" s="4561" t="n"/>
      <c r="C398" s="4561" t="n"/>
      <c r="D398" s="4561" t="n"/>
      <c r="E398" s="4561" t="n"/>
      <c r="F398" s="4561" t="n"/>
    </row>
    <row r="399">
      <c r="A399" s="4561" t="n"/>
      <c r="B399" s="4561" t="n"/>
      <c r="C399" s="4561" t="n"/>
      <c r="D399" s="4561" t="n"/>
      <c r="E399" s="4561" t="n"/>
      <c r="F399" s="4561" t="n"/>
    </row>
    <row r="400">
      <c r="A400" s="4561" t="n"/>
      <c r="B400" s="4561" t="n"/>
      <c r="C400" s="4561" t="n"/>
      <c r="D400" s="4561" t="n"/>
      <c r="E400" s="4561" t="n"/>
      <c r="F400" s="4561" t="n"/>
    </row>
    <row r="401">
      <c r="A401" s="4561" t="n"/>
      <c r="B401" s="4561" t="n"/>
      <c r="C401" s="4561" t="n"/>
      <c r="D401" s="4561" t="n"/>
      <c r="E401" s="4561" t="n"/>
      <c r="F401" s="4561" t="n"/>
    </row>
    <row r="402">
      <c r="A402" s="4561" t="n"/>
      <c r="B402" s="4561" t="n"/>
      <c r="C402" s="4561" t="n"/>
      <c r="D402" s="4561" t="n"/>
      <c r="E402" s="4561" t="n"/>
      <c r="F402" s="4561" t="n"/>
    </row>
    <row r="403">
      <c r="A403" s="4561" t="n"/>
      <c r="B403" s="4561" t="n"/>
      <c r="C403" s="4561" t="n"/>
      <c r="D403" s="4561" t="n"/>
      <c r="E403" s="4561" t="n"/>
      <c r="F403" s="4561" t="n"/>
    </row>
    <row r="404">
      <c r="A404" s="4561" t="n"/>
      <c r="B404" s="4561" t="n"/>
      <c r="C404" s="4561" t="n"/>
      <c r="D404" s="4561" t="n"/>
      <c r="E404" s="4561" t="n"/>
      <c r="F404" s="4561" t="n"/>
    </row>
    <row r="405">
      <c r="A405" s="4561" t="n"/>
      <c r="B405" s="4561" t="n"/>
      <c r="C405" s="4561" t="n"/>
      <c r="D405" s="4561" t="n"/>
      <c r="E405" s="4561" t="n"/>
      <c r="F405" s="4561" t="n"/>
    </row>
    <row r="406">
      <c r="A406" s="4561" t="n"/>
      <c r="B406" s="4561" t="n"/>
      <c r="C406" s="4561" t="n"/>
      <c r="D406" s="4561" t="n"/>
      <c r="E406" s="4561" t="n"/>
      <c r="F406" s="4561" t="n"/>
    </row>
    <row r="407">
      <c r="A407" s="4561" t="n"/>
      <c r="B407" s="4561" t="n"/>
      <c r="C407" s="4561" t="n"/>
      <c r="D407" s="4561" t="n"/>
      <c r="E407" s="4561" t="n"/>
      <c r="F407" s="4561" t="n"/>
    </row>
    <row r="408">
      <c r="A408" s="4561" t="n"/>
      <c r="B408" s="4561" t="n"/>
      <c r="C408" s="4561" t="n"/>
      <c r="D408" s="4561" t="n"/>
      <c r="E408" s="4561" t="n"/>
      <c r="F408" s="4561" t="n"/>
    </row>
    <row r="409">
      <c r="A409" s="4561" t="n"/>
      <c r="B409" s="4561" t="n"/>
      <c r="C409" s="4561" t="n"/>
      <c r="D409" s="4561" t="n"/>
      <c r="E409" s="4561" t="n"/>
      <c r="F409" s="4561" t="n"/>
    </row>
    <row r="410">
      <c r="A410" s="4561" t="n"/>
      <c r="B410" s="4561" t="n"/>
      <c r="C410" s="4561" t="n"/>
      <c r="D410" s="4561" t="n"/>
      <c r="E410" s="4561" t="n"/>
      <c r="F410" s="4561" t="n"/>
    </row>
    <row r="411">
      <c r="A411" s="4561" t="n"/>
      <c r="B411" s="4561" t="n"/>
      <c r="C411" s="4561" t="n"/>
      <c r="D411" s="4561" t="n"/>
      <c r="E411" s="4561" t="n"/>
      <c r="F411" s="4561" t="n"/>
    </row>
    <row r="412">
      <c r="A412" s="4561" t="n"/>
      <c r="B412" s="4561" t="n"/>
      <c r="C412" s="4561" t="n"/>
      <c r="D412" s="4561" t="n"/>
      <c r="E412" s="4561" t="n"/>
      <c r="F412" s="4561" t="n"/>
    </row>
    <row r="413">
      <c r="A413" s="4561" t="n"/>
      <c r="B413" s="4561" t="n"/>
      <c r="C413" s="4561" t="n"/>
      <c r="D413" s="4561" t="n"/>
      <c r="E413" s="4561" t="n"/>
      <c r="F413" s="4561" t="n"/>
    </row>
    <row r="414">
      <c r="A414" s="4561" t="n"/>
      <c r="B414" s="4561" t="n"/>
      <c r="C414" s="4561" t="n"/>
      <c r="D414" s="4561" t="n"/>
      <c r="E414" s="4561" t="n"/>
      <c r="F414" s="4561" t="n"/>
    </row>
    <row r="415">
      <c r="A415" s="4561" t="n"/>
      <c r="B415" s="4561" t="n"/>
      <c r="C415" s="4561" t="n"/>
      <c r="D415" s="4561" t="n"/>
      <c r="E415" s="4561" t="n"/>
      <c r="F415" s="4561" t="n"/>
    </row>
    <row r="416">
      <c r="A416" s="4561" t="n"/>
      <c r="B416" s="4561" t="n"/>
      <c r="C416" s="4561" t="n"/>
      <c r="D416" s="4561" t="n"/>
      <c r="E416" s="4561" t="n"/>
      <c r="F416" s="4561" t="n"/>
    </row>
    <row r="417">
      <c r="A417" s="4561" t="n"/>
      <c r="B417" s="4561" t="n"/>
      <c r="C417" s="4561" t="n"/>
      <c r="D417" s="4561" t="n"/>
      <c r="E417" s="4561" t="n"/>
      <c r="F417" s="4561" t="n"/>
    </row>
    <row r="418">
      <c r="A418" s="4561" t="n"/>
      <c r="B418" s="4561" t="n"/>
      <c r="C418" s="4561" t="n"/>
      <c r="D418" s="4561" t="n"/>
      <c r="E418" s="4561" t="n"/>
      <c r="F418" s="4561" t="n"/>
    </row>
    <row r="419">
      <c r="A419" s="4561" t="n"/>
      <c r="B419" s="4561" t="n"/>
      <c r="C419" s="4561" t="n"/>
      <c r="D419" s="4561" t="n"/>
      <c r="E419" s="4561" t="n"/>
      <c r="F419" s="4561" t="n"/>
    </row>
    <row r="420">
      <c r="A420" s="4561" t="n"/>
      <c r="B420" s="4561" t="n"/>
      <c r="C420" s="4561" t="n"/>
      <c r="D420" s="4561" t="n"/>
      <c r="E420" s="4561" t="n"/>
      <c r="F420" s="4561" t="n"/>
    </row>
    <row r="421">
      <c r="A421" s="4561" t="n"/>
      <c r="B421" s="4561" t="n"/>
      <c r="C421" s="4561" t="n"/>
      <c r="D421" s="4561" t="n"/>
      <c r="E421" s="4561" t="n"/>
      <c r="F421" s="4561" t="n"/>
    </row>
    <row r="422">
      <c r="A422" s="4561" t="n"/>
      <c r="B422" s="4561" t="n"/>
      <c r="C422" s="4561" t="n"/>
      <c r="D422" s="4561" t="n"/>
      <c r="E422" s="4561" t="n"/>
      <c r="F422" s="4561" t="n"/>
    </row>
    <row r="423">
      <c r="A423" s="4561" t="n"/>
      <c r="B423" s="4561" t="n"/>
      <c r="C423" s="4561" t="n"/>
      <c r="D423" s="4561" t="n"/>
      <c r="E423" s="4561" t="n"/>
      <c r="F423" s="4561" t="n"/>
    </row>
    <row r="424">
      <c r="A424" s="4561" t="n"/>
      <c r="B424" s="4561" t="n"/>
      <c r="C424" s="4561" t="n"/>
      <c r="D424" s="4561" t="n"/>
      <c r="E424" s="4561" t="n"/>
      <c r="F424" s="4561" t="n"/>
    </row>
    <row r="425">
      <c r="A425" s="4561" t="n"/>
      <c r="B425" s="4561" t="n"/>
      <c r="C425" s="4561" t="n"/>
      <c r="D425" s="4561" t="n"/>
      <c r="E425" s="4561" t="n"/>
      <c r="F425" s="4561" t="n"/>
    </row>
    <row r="426">
      <c r="A426" s="4561" t="n"/>
      <c r="B426" s="4561" t="n"/>
      <c r="C426" s="4561" t="n"/>
      <c r="D426" s="4561" t="n"/>
      <c r="E426" s="4561" t="n"/>
      <c r="F426" s="4561" t="n"/>
    </row>
    <row r="427">
      <c r="A427" s="4561" t="n"/>
      <c r="B427" s="4561" t="n"/>
      <c r="C427" s="4561" t="n"/>
      <c r="D427" s="4561" t="n"/>
      <c r="E427" s="4561" t="n"/>
      <c r="F427" s="4561" t="n"/>
    </row>
    <row r="428">
      <c r="A428" s="4561" t="n"/>
      <c r="B428" s="4561" t="n"/>
      <c r="C428" s="4561" t="n"/>
      <c r="D428" s="4561" t="n"/>
      <c r="E428" s="4561" t="n"/>
      <c r="F428" s="4561" t="n"/>
    </row>
    <row r="429">
      <c r="A429" s="4561" t="n"/>
      <c r="B429" s="4561" t="n"/>
      <c r="C429" s="4561" t="n"/>
      <c r="D429" s="4561" t="n"/>
      <c r="E429" s="4561" t="n"/>
      <c r="F429" s="4561" t="n"/>
    </row>
    <row r="430">
      <c r="A430" s="4561" t="n"/>
      <c r="B430" s="4561" t="n"/>
      <c r="C430" s="4561" t="n"/>
      <c r="D430" s="4561" t="n"/>
      <c r="E430" s="4561" t="n"/>
      <c r="F430" s="4561" t="n"/>
    </row>
    <row r="431">
      <c r="A431" s="4561" t="n"/>
      <c r="B431" s="4561" t="n"/>
      <c r="C431" s="4561" t="n"/>
      <c r="D431" s="4561" t="n"/>
      <c r="E431" s="4561" t="n"/>
      <c r="F431" s="4561" t="n"/>
    </row>
    <row r="432">
      <c r="A432" s="4561" t="n"/>
      <c r="B432" s="4561" t="n"/>
      <c r="C432" s="4561" t="n"/>
      <c r="D432" s="4561" t="n"/>
      <c r="E432" s="4561" t="n"/>
      <c r="F432" s="4561" t="n"/>
    </row>
    <row r="433">
      <c r="A433" s="4561" t="n"/>
      <c r="B433" s="4561" t="n"/>
      <c r="C433" s="4561" t="n"/>
      <c r="D433" s="4561" t="n"/>
      <c r="E433" s="4561" t="n"/>
      <c r="F433" s="4561" t="n"/>
    </row>
    <row r="434">
      <c r="A434" s="4561" t="n"/>
      <c r="B434" s="4561" t="n"/>
      <c r="C434" s="4561" t="n"/>
      <c r="D434" s="4561" t="n"/>
      <c r="E434" s="4561" t="n"/>
      <c r="F434" s="4561" t="n"/>
    </row>
    <row r="435">
      <c r="A435" s="4561" t="n"/>
      <c r="B435" s="4561" t="n"/>
      <c r="C435" s="4561" t="n"/>
      <c r="D435" s="4561" t="n"/>
      <c r="E435" s="4561" t="n"/>
      <c r="F435" s="4561" t="n"/>
    </row>
    <row r="436">
      <c r="A436" s="4561" t="n"/>
      <c r="B436" s="4561" t="n"/>
      <c r="C436" s="4561" t="n"/>
      <c r="D436" s="4561" t="n"/>
      <c r="E436" s="4561" t="n"/>
      <c r="F436" s="4561" t="n"/>
    </row>
    <row r="437">
      <c r="A437" s="4561" t="n"/>
      <c r="B437" s="4561" t="n"/>
      <c r="C437" s="4561" t="n"/>
      <c r="D437" s="4561" t="n"/>
      <c r="E437" s="4561" t="n"/>
      <c r="F437" s="4561" t="n"/>
    </row>
    <row r="438">
      <c r="A438" s="4561" t="n"/>
      <c r="B438" s="4561" t="n"/>
      <c r="C438" s="4561" t="n"/>
      <c r="D438" s="4561" t="n"/>
      <c r="E438" s="4561" t="n"/>
      <c r="F438" s="4561" t="n"/>
    </row>
    <row r="439">
      <c r="A439" s="4561" t="n"/>
      <c r="B439" s="4561" t="n"/>
      <c r="C439" s="4561" t="n"/>
      <c r="D439" s="4561" t="n"/>
      <c r="E439" s="4561" t="n"/>
      <c r="F439" s="4561" t="n"/>
    </row>
    <row r="440">
      <c r="A440" s="4561" t="n"/>
      <c r="B440" s="4561" t="n"/>
      <c r="C440" s="4561" t="n"/>
      <c r="D440" s="4561" t="n"/>
      <c r="E440" s="4561" t="n"/>
      <c r="F440" s="4561" t="n"/>
    </row>
    <row r="441">
      <c r="A441" s="4561" t="n"/>
      <c r="B441" s="4561" t="n"/>
      <c r="C441" s="4561" t="n"/>
      <c r="D441" s="4561" t="n"/>
      <c r="E441" s="4561" t="n"/>
      <c r="F441" s="4561" t="n"/>
    </row>
    <row r="442">
      <c r="A442" s="4561" t="n"/>
      <c r="B442" s="4561" t="n"/>
      <c r="C442" s="4561" t="n"/>
      <c r="D442" s="4561" t="n"/>
      <c r="E442" s="4561" t="n"/>
      <c r="F442" s="4561" t="n"/>
    </row>
    <row r="443">
      <c r="A443" s="4561" t="n"/>
      <c r="B443" s="4561" t="n"/>
      <c r="C443" s="4561" t="n"/>
      <c r="D443" s="4561" t="n"/>
      <c r="E443" s="4561" t="n"/>
      <c r="F443" s="4561" t="n"/>
    </row>
    <row r="444">
      <c r="A444" s="4561" t="n"/>
      <c r="B444" s="4561" t="n"/>
      <c r="C444" s="4561" t="n"/>
      <c r="D444" s="4561" t="n"/>
      <c r="E444" s="4561" t="n"/>
      <c r="F444" s="4561" t="n"/>
    </row>
    <row r="445">
      <c r="A445" s="4561" t="n"/>
      <c r="B445" s="4561" t="n"/>
      <c r="C445" s="4561" t="n"/>
      <c r="D445" s="4561" t="n"/>
      <c r="E445" s="4561" t="n"/>
      <c r="F445" s="4561" t="n"/>
    </row>
    <row r="446">
      <c r="A446" s="4561" t="n"/>
      <c r="B446" s="4561" t="n"/>
      <c r="C446" s="4561" t="n"/>
      <c r="D446" s="4561" t="n"/>
      <c r="E446" s="4561" t="n"/>
      <c r="F446" s="4561" t="n"/>
    </row>
    <row r="447">
      <c r="A447" s="4561" t="n"/>
      <c r="B447" s="4561" t="n"/>
      <c r="C447" s="4561" t="n"/>
      <c r="D447" s="4561" t="n"/>
      <c r="E447" s="4561" t="n"/>
      <c r="F447" s="4561" t="n"/>
    </row>
    <row r="448">
      <c r="A448" s="4561" t="n"/>
      <c r="B448" s="4561" t="n"/>
      <c r="C448" s="4561" t="n"/>
      <c r="D448" s="4561" t="n"/>
      <c r="E448" s="4561" t="n"/>
      <c r="F448" s="4561" t="n"/>
    </row>
    <row r="449">
      <c r="A449" s="4561" t="n"/>
      <c r="B449" s="4561" t="n"/>
      <c r="C449" s="4561" t="n"/>
      <c r="D449" s="4561" t="n"/>
      <c r="E449" s="4561" t="n"/>
      <c r="F449" s="4561" t="n"/>
    </row>
    <row r="450">
      <c r="A450" s="4561" t="n"/>
      <c r="B450" s="4561" t="n"/>
      <c r="C450" s="4561" t="n"/>
      <c r="D450" s="4561" t="n"/>
      <c r="E450" s="4561" t="n"/>
      <c r="F450" s="4561" t="n"/>
    </row>
    <row r="451">
      <c r="A451" s="4561" t="n"/>
      <c r="B451" s="4561" t="n"/>
      <c r="C451" s="4561" t="n"/>
      <c r="D451" s="4561" t="n"/>
      <c r="E451" s="4561" t="n"/>
      <c r="F451" s="4561" t="n"/>
    </row>
    <row r="452">
      <c r="A452" s="4561" t="n"/>
      <c r="B452" s="4561" t="n"/>
      <c r="C452" s="4561" t="n"/>
      <c r="D452" s="4561" t="n"/>
      <c r="E452" s="4561" t="n"/>
      <c r="F452" s="4561" t="n"/>
    </row>
    <row r="453">
      <c r="A453" s="4561" t="n"/>
      <c r="B453" s="4561" t="n"/>
      <c r="C453" s="4561" t="n"/>
      <c r="D453" s="4561" t="n"/>
      <c r="E453" s="4561" t="n"/>
      <c r="F453" s="4561" t="n"/>
    </row>
    <row r="454">
      <c r="A454" s="4561" t="n"/>
      <c r="B454" s="4561" t="n"/>
      <c r="C454" s="4561" t="n"/>
      <c r="D454" s="4561" t="n"/>
      <c r="E454" s="4561" t="n"/>
      <c r="F454" s="4561" t="n"/>
    </row>
    <row r="455">
      <c r="A455" s="4561" t="n"/>
      <c r="B455" s="4561" t="n"/>
      <c r="C455" s="4561" t="n"/>
      <c r="D455" s="4561" t="n"/>
      <c r="E455" s="4561" t="n"/>
      <c r="F455" s="4561" t="n"/>
    </row>
    <row r="456">
      <c r="A456" s="4561" t="n"/>
      <c r="B456" s="4561" t="n"/>
      <c r="C456" s="4561" t="n"/>
      <c r="D456" s="4561" t="n"/>
      <c r="E456" s="4561" t="n"/>
      <c r="F456" s="4561" t="n"/>
    </row>
    <row r="457">
      <c r="A457" s="4561" t="n"/>
      <c r="B457" s="4561" t="n"/>
      <c r="C457" s="4561" t="n"/>
      <c r="D457" s="4561" t="n"/>
      <c r="E457" s="4561" t="n"/>
      <c r="F457" s="4561" t="n"/>
    </row>
    <row r="458">
      <c r="A458" s="4561" t="n"/>
      <c r="B458" s="4561" t="n"/>
      <c r="C458" s="4561" t="n"/>
      <c r="D458" s="4561" t="n"/>
      <c r="E458" s="4561" t="n"/>
      <c r="F458" s="4561" t="n"/>
    </row>
    <row r="459">
      <c r="A459" s="4561" t="n"/>
      <c r="B459" s="4561" t="n"/>
      <c r="C459" s="4561" t="n"/>
      <c r="D459" s="4561" t="n"/>
      <c r="E459" s="4561" t="n"/>
      <c r="F459" s="4561" t="n"/>
    </row>
    <row r="460">
      <c r="A460" s="4561" t="n"/>
      <c r="B460" s="4561" t="n"/>
      <c r="C460" s="4561" t="n"/>
      <c r="D460" s="4561" t="n"/>
      <c r="E460" s="4561" t="n"/>
      <c r="F460" s="4561" t="n"/>
    </row>
    <row r="461">
      <c r="A461" s="4561" t="n"/>
      <c r="B461" s="4561" t="n"/>
      <c r="C461" s="4561" t="n"/>
      <c r="D461" s="4561" t="n"/>
      <c r="E461" s="4561" t="n"/>
      <c r="F461" s="4561" t="n"/>
    </row>
    <row r="462">
      <c r="A462" s="4561" t="n"/>
      <c r="B462" s="4561" t="n"/>
      <c r="C462" s="4561" t="n"/>
      <c r="D462" s="4561" t="n"/>
      <c r="E462" s="4561" t="n"/>
      <c r="F462" s="4561" t="n"/>
    </row>
    <row r="463">
      <c r="A463" s="4561" t="n"/>
      <c r="B463" s="4561" t="n"/>
      <c r="C463" s="4561" t="n"/>
      <c r="D463" s="4561" t="n"/>
      <c r="E463" s="4561" t="n"/>
      <c r="F463" s="4561" t="n"/>
    </row>
    <row r="464">
      <c r="A464" s="4561" t="n"/>
      <c r="B464" s="4561" t="n"/>
      <c r="C464" s="4561" t="n"/>
      <c r="D464" s="4561" t="n"/>
      <c r="E464" s="4561" t="n"/>
      <c r="F464" s="4561" t="n"/>
    </row>
    <row r="465">
      <c r="A465" s="4561" t="n"/>
      <c r="B465" s="4561" t="n"/>
      <c r="C465" s="4561" t="n"/>
      <c r="D465" s="4561" t="n"/>
      <c r="E465" s="4561" t="n"/>
      <c r="F465" s="4561" t="n"/>
    </row>
    <row r="466">
      <c r="A466" s="4561" t="n"/>
      <c r="B466" s="4561" t="n"/>
      <c r="C466" s="4561" t="n"/>
      <c r="D466" s="4561" t="n"/>
      <c r="E466" s="4561" t="n"/>
      <c r="F466" s="4561" t="n"/>
    </row>
    <row r="467">
      <c r="A467" s="4561" t="n"/>
      <c r="B467" s="4561" t="n"/>
      <c r="C467" s="4561" t="n"/>
      <c r="D467" s="4561" t="n"/>
      <c r="E467" s="4561" t="n"/>
      <c r="F467" s="4561" t="n"/>
    </row>
    <row r="468">
      <c r="A468" s="4561" t="n"/>
      <c r="B468" s="4561" t="n"/>
      <c r="C468" s="4561" t="n"/>
      <c r="D468" s="4561" t="n"/>
      <c r="E468" s="4561" t="n"/>
      <c r="F468" s="4561" t="n"/>
    </row>
    <row r="469">
      <c r="A469" s="4561" t="n"/>
      <c r="B469" s="4561" t="n"/>
      <c r="C469" s="4561" t="n"/>
      <c r="D469" s="4561" t="n"/>
      <c r="E469" s="4561" t="n"/>
      <c r="F469" s="4561" t="n"/>
    </row>
    <row r="470">
      <c r="A470" s="4561" t="n"/>
      <c r="B470" s="4561" t="n"/>
      <c r="C470" s="4561" t="n"/>
      <c r="D470" s="4561" t="n"/>
      <c r="E470" s="4561" t="n"/>
      <c r="F470" s="4561" t="n"/>
    </row>
    <row r="471">
      <c r="A471" s="4561" t="n"/>
      <c r="B471" s="4561" t="n"/>
      <c r="C471" s="4561" t="n"/>
      <c r="D471" s="4561" t="n"/>
      <c r="E471" s="4561" t="n"/>
      <c r="F471" s="4561" t="n"/>
    </row>
    <row r="472">
      <c r="A472" s="4561" t="n"/>
      <c r="B472" s="4561" t="n"/>
      <c r="C472" s="4561" t="n"/>
      <c r="D472" s="4561" t="n"/>
      <c r="E472" s="4561" t="n"/>
      <c r="F472" s="4561" t="n"/>
    </row>
    <row r="473">
      <c r="A473" s="4561" t="n"/>
      <c r="B473" s="4561" t="n"/>
      <c r="C473" s="4561" t="n"/>
      <c r="D473" s="4561" t="n"/>
      <c r="E473" s="4561" t="n"/>
      <c r="F473" s="4561" t="n"/>
    </row>
    <row r="474">
      <c r="A474" s="4561" t="n"/>
      <c r="B474" s="4561" t="n"/>
      <c r="C474" s="4561" t="n"/>
      <c r="D474" s="4561" t="n"/>
      <c r="E474" s="4561" t="n"/>
      <c r="F474" s="4561" t="n"/>
    </row>
    <row r="475">
      <c r="A475" s="4561" t="n"/>
      <c r="B475" s="4561" t="n"/>
      <c r="C475" s="4561" t="n"/>
      <c r="D475" s="4561" t="n"/>
      <c r="E475" s="4561" t="n"/>
      <c r="F475" s="4561" t="n"/>
    </row>
    <row r="476">
      <c r="A476" s="4561" t="n"/>
      <c r="B476" s="4561" t="n"/>
      <c r="C476" s="4561" t="n"/>
      <c r="D476" s="4561" t="n"/>
      <c r="E476" s="4561" t="n"/>
      <c r="F476" s="4561" t="n"/>
    </row>
    <row r="477">
      <c r="A477" s="4561" t="n"/>
      <c r="B477" s="4561" t="n"/>
      <c r="C477" s="4561" t="n"/>
      <c r="D477" s="4561" t="n"/>
      <c r="E477" s="4561" t="n"/>
      <c r="F477" s="4561" t="n"/>
    </row>
    <row r="478">
      <c r="A478" s="4561" t="n"/>
      <c r="B478" s="4561" t="n"/>
      <c r="C478" s="4561" t="n"/>
      <c r="D478" s="4561" t="n"/>
      <c r="E478" s="4561" t="n"/>
      <c r="F478" s="4561" t="n"/>
    </row>
    <row r="479">
      <c r="A479" s="4561" t="n"/>
      <c r="B479" s="4561" t="n"/>
      <c r="C479" s="4561" t="n"/>
      <c r="D479" s="4561" t="n"/>
      <c r="E479" s="4561" t="n"/>
      <c r="F479" s="4561" t="n"/>
    </row>
    <row r="480">
      <c r="A480" s="4561" t="n"/>
      <c r="B480" s="4561" t="n"/>
      <c r="C480" s="4561" t="n"/>
      <c r="D480" s="4561" t="n"/>
      <c r="E480" s="4561" t="n"/>
      <c r="F480" s="4561" t="n"/>
    </row>
    <row r="481">
      <c r="A481" s="4561" t="n"/>
      <c r="B481" s="4561" t="n"/>
      <c r="C481" s="4561" t="n"/>
      <c r="D481" s="4561" t="n"/>
      <c r="E481" s="4561" t="n"/>
      <c r="F481" s="4561" t="n"/>
    </row>
    <row r="482">
      <c r="A482" s="4561" t="n"/>
      <c r="B482" s="4561" t="n"/>
      <c r="C482" s="4561" t="n"/>
      <c r="D482" s="4561" t="n"/>
      <c r="E482" s="4561" t="n"/>
      <c r="F482" s="4561" t="n"/>
    </row>
    <row r="483">
      <c r="A483" s="4561" t="n"/>
      <c r="B483" s="4561" t="n"/>
      <c r="C483" s="4561" t="n"/>
      <c r="D483" s="4561" t="n"/>
      <c r="E483" s="4561" t="n"/>
      <c r="F483" s="4561" t="n"/>
    </row>
    <row r="484">
      <c r="A484" s="4561" t="n"/>
      <c r="B484" s="4561" t="n"/>
      <c r="C484" s="4561" t="n"/>
      <c r="D484" s="4561" t="n"/>
      <c r="E484" s="4561" t="n"/>
      <c r="F484" s="4561" t="n"/>
    </row>
    <row r="485">
      <c r="A485" s="4561" t="n"/>
      <c r="B485" s="4561" t="n"/>
      <c r="C485" s="4561" t="n"/>
      <c r="D485" s="4561" t="n"/>
      <c r="E485" s="4561" t="n"/>
      <c r="F485" s="4561" t="n"/>
    </row>
    <row r="486">
      <c r="A486" s="4561" t="n"/>
      <c r="B486" s="4561" t="n"/>
      <c r="C486" s="4561" t="n"/>
      <c r="D486" s="4561" t="n"/>
      <c r="E486" s="4561" t="n"/>
      <c r="F486" s="4561" t="n"/>
    </row>
    <row r="487">
      <c r="A487" s="4561" t="n"/>
      <c r="B487" s="4561" t="n"/>
      <c r="C487" s="4561" t="n"/>
      <c r="D487" s="4561" t="n"/>
      <c r="E487" s="4561" t="n"/>
      <c r="F487" s="4561" t="n"/>
    </row>
    <row r="488">
      <c r="A488" s="4561" t="n"/>
      <c r="B488" s="4561" t="n"/>
      <c r="C488" s="4561" t="n"/>
      <c r="D488" s="4561" t="n"/>
      <c r="E488" s="4561" t="n"/>
      <c r="F488" s="4561" t="n"/>
    </row>
    <row r="489">
      <c r="A489" s="4561" t="n"/>
      <c r="B489" s="4561" t="n"/>
      <c r="C489" s="4561" t="n"/>
      <c r="D489" s="4561" t="n"/>
      <c r="E489" s="4561" t="n"/>
      <c r="F489" s="4561" t="n"/>
    </row>
    <row r="490">
      <c r="A490" s="4561" t="n"/>
      <c r="B490" s="4561" t="n"/>
      <c r="C490" s="4561" t="n"/>
      <c r="D490" s="4561" t="n"/>
      <c r="E490" s="4561" t="n"/>
      <c r="F490" s="4561" t="n"/>
    </row>
    <row r="491">
      <c r="A491" s="4561" t="n"/>
      <c r="B491" s="4561" t="n"/>
      <c r="C491" s="4561" t="n"/>
      <c r="D491" s="4561" t="n"/>
      <c r="E491" s="4561" t="n"/>
      <c r="F491" s="4561" t="n"/>
    </row>
    <row r="492">
      <c r="A492" s="4561" t="n"/>
      <c r="B492" s="4561" t="n"/>
      <c r="C492" s="4561" t="n"/>
      <c r="D492" s="4561" t="n"/>
      <c r="E492" s="4561" t="n"/>
      <c r="F492" s="4561" t="n"/>
    </row>
    <row r="493">
      <c r="A493" s="4561" t="n"/>
      <c r="B493" s="4561" t="n"/>
      <c r="C493" s="4561" t="n"/>
      <c r="D493" s="4561" t="n"/>
      <c r="E493" s="4561" t="n"/>
      <c r="F493" s="4561" t="n"/>
    </row>
    <row r="494">
      <c r="A494" s="4561" t="n"/>
      <c r="B494" s="4561" t="n"/>
      <c r="C494" s="4561" t="n"/>
      <c r="D494" s="4561" t="n"/>
      <c r="E494" s="4561" t="n"/>
      <c r="F494" s="4561" t="n"/>
    </row>
    <row r="495">
      <c r="A495" s="4561" t="n"/>
      <c r="B495" s="4561" t="n"/>
      <c r="C495" s="4561" t="n"/>
      <c r="D495" s="4561" t="n"/>
      <c r="E495" s="4561" t="n"/>
      <c r="F495" s="4561" t="n"/>
    </row>
    <row r="496">
      <c r="A496" s="4561" t="n"/>
      <c r="B496" s="4561" t="n"/>
      <c r="C496" s="4561" t="n"/>
      <c r="D496" s="4561" t="n"/>
      <c r="E496" s="4561" t="n"/>
      <c r="F496" s="4561" t="n"/>
    </row>
    <row r="497">
      <c r="A497" s="4561" t="n"/>
      <c r="B497" s="4561" t="n"/>
      <c r="C497" s="4561" t="n"/>
      <c r="D497" s="4561" t="n"/>
      <c r="E497" s="4561" t="n"/>
      <c r="F497" s="4561" t="n"/>
    </row>
    <row r="498">
      <c r="A498" s="4561" t="n"/>
      <c r="B498" s="4561" t="n"/>
      <c r="C498" s="4561" t="n"/>
      <c r="D498" s="4561" t="n"/>
      <c r="E498" s="4561" t="n"/>
      <c r="F498" s="4561" t="n"/>
    </row>
    <row r="499">
      <c r="A499" s="4561" t="n"/>
      <c r="B499" s="4561" t="n"/>
      <c r="C499" s="4561" t="n"/>
      <c r="D499" s="4561" t="n"/>
      <c r="E499" s="4561" t="n"/>
      <c r="F499" s="4561" t="n"/>
    </row>
    <row r="500">
      <c r="A500" s="4561" t="n"/>
      <c r="B500" s="4561" t="n"/>
      <c r="C500" s="4561" t="n"/>
      <c r="D500" s="4561" t="n"/>
      <c r="E500" s="4561" t="n"/>
      <c r="F500" s="4561" t="n"/>
    </row>
    <row r="501">
      <c r="A501" s="4561" t="n"/>
      <c r="B501" s="4561" t="n"/>
      <c r="C501" s="4561" t="n"/>
      <c r="D501" s="4561" t="n"/>
      <c r="E501" s="4561" t="n"/>
      <c r="F501" s="4561" t="n"/>
    </row>
    <row r="502">
      <c r="A502" s="4561" t="n"/>
      <c r="B502" s="4561" t="n"/>
      <c r="C502" s="4561" t="n"/>
      <c r="D502" s="4561" t="n"/>
      <c r="E502" s="4561" t="n"/>
      <c r="F502" s="4561" t="n"/>
    </row>
    <row r="503">
      <c r="A503" s="4561" t="n"/>
      <c r="B503" s="4561" t="n"/>
      <c r="C503" s="4561" t="n"/>
      <c r="D503" s="4561" t="n"/>
      <c r="E503" s="4561" t="n"/>
      <c r="F503" s="4561" t="n"/>
    </row>
    <row r="504">
      <c r="A504" s="4561" t="n"/>
      <c r="B504" s="4561" t="n"/>
      <c r="C504" s="4561" t="n"/>
      <c r="D504" s="4561" t="n"/>
      <c r="E504" s="4561" t="n"/>
      <c r="F504" s="4561" t="n"/>
    </row>
    <row r="505">
      <c r="A505" s="4561" t="n"/>
      <c r="B505" s="4561" t="n"/>
      <c r="C505" s="4561" t="n"/>
      <c r="D505" s="4561" t="n"/>
      <c r="E505" s="4561" t="n"/>
      <c r="F505" s="4561" t="n"/>
    </row>
    <row r="506">
      <c r="A506" s="4561" t="n"/>
      <c r="B506" s="4561" t="n"/>
      <c r="C506" s="4561" t="n"/>
      <c r="D506" s="4561" t="n"/>
      <c r="E506" s="4561" t="n"/>
      <c r="F506" s="4561" t="n"/>
    </row>
    <row r="507">
      <c r="A507" s="4561" t="n"/>
      <c r="B507" s="4561" t="n"/>
      <c r="C507" s="4561" t="n"/>
      <c r="D507" s="4561" t="n"/>
      <c r="E507" s="4561" t="n"/>
      <c r="F507" s="4561" t="n"/>
    </row>
    <row r="508">
      <c r="A508" s="4561" t="n"/>
      <c r="B508" s="4561" t="n"/>
      <c r="C508" s="4561" t="n"/>
      <c r="D508" s="4561" t="n"/>
      <c r="E508" s="4561" t="n"/>
      <c r="F508" s="4561" t="n"/>
    </row>
    <row r="509">
      <c r="A509" s="4561" t="n"/>
      <c r="B509" s="4561" t="n"/>
      <c r="C509" s="4561" t="n"/>
      <c r="D509" s="4561" t="n"/>
      <c r="E509" s="4561" t="n"/>
      <c r="F509" s="4561" t="n"/>
    </row>
    <row r="510">
      <c r="A510" s="4561" t="n"/>
      <c r="B510" s="4561" t="n"/>
      <c r="C510" s="4561" t="n"/>
      <c r="D510" s="4561" t="n"/>
      <c r="E510" s="4561" t="n"/>
      <c r="F510" s="4561" t="n"/>
    </row>
    <row r="511">
      <c r="A511" s="4561" t="n"/>
      <c r="B511" s="4561" t="n"/>
      <c r="C511" s="4561" t="n"/>
      <c r="D511" s="4561" t="n"/>
      <c r="E511" s="4561" t="n"/>
      <c r="F511" s="4561" t="n"/>
    </row>
    <row r="512">
      <c r="A512" s="4561" t="n"/>
      <c r="B512" s="4561" t="n"/>
      <c r="C512" s="4561" t="n"/>
      <c r="D512" s="4561" t="n"/>
      <c r="E512" s="4561" t="n"/>
      <c r="F512" s="4561" t="n"/>
    </row>
    <row r="513">
      <c r="A513" s="4561" t="n"/>
      <c r="B513" s="4561" t="n"/>
      <c r="C513" s="4561" t="n"/>
      <c r="D513" s="4561" t="n"/>
      <c r="E513" s="4561" t="n"/>
      <c r="F513" s="4561" t="n"/>
    </row>
    <row r="514">
      <c r="A514" s="4561" t="n"/>
      <c r="B514" s="4561" t="n"/>
      <c r="C514" s="4561" t="n"/>
      <c r="D514" s="4561" t="n"/>
      <c r="E514" s="4561" t="n"/>
      <c r="F514" s="4561" t="n"/>
    </row>
    <row r="515">
      <c r="A515" s="4561" t="n"/>
      <c r="B515" s="4561" t="n"/>
      <c r="C515" s="4561" t="n"/>
      <c r="D515" s="4561" t="n"/>
      <c r="E515" s="4561" t="n"/>
      <c r="F515" s="4561" t="n"/>
    </row>
    <row r="516">
      <c r="A516" s="4561" t="n"/>
      <c r="B516" s="4561" t="n"/>
      <c r="C516" s="4561" t="n"/>
      <c r="D516" s="4561" t="n"/>
      <c r="E516" s="4561" t="n"/>
      <c r="F516" s="4561" t="n"/>
    </row>
    <row r="517">
      <c r="A517" s="4561" t="n"/>
      <c r="B517" s="4561" t="n"/>
      <c r="C517" s="4561" t="n"/>
      <c r="D517" s="4561" t="n"/>
      <c r="E517" s="4561" t="n"/>
      <c r="F517" s="4561" t="n"/>
    </row>
    <row r="518">
      <c r="A518" s="4561" t="n"/>
      <c r="B518" s="4561" t="n"/>
      <c r="C518" s="4561" t="n"/>
      <c r="D518" s="4561" t="n"/>
      <c r="E518" s="4561" t="n"/>
      <c r="F518" s="4561" t="n"/>
    </row>
    <row r="519">
      <c r="A519" s="4561" t="n"/>
      <c r="B519" s="4561" t="n"/>
      <c r="C519" s="4561" t="n"/>
      <c r="D519" s="4561" t="n"/>
      <c r="E519" s="4561" t="n"/>
      <c r="F519" s="4561" t="n"/>
    </row>
    <row r="520">
      <c r="A520" s="4561" t="n"/>
      <c r="B520" s="4561" t="n"/>
      <c r="C520" s="4561" t="n"/>
      <c r="D520" s="4561" t="n"/>
      <c r="E520" s="4561" t="n"/>
      <c r="F520" s="4561" t="n"/>
    </row>
    <row r="521">
      <c r="A521" s="4561" t="n"/>
      <c r="B521" s="4561" t="n"/>
      <c r="C521" s="4561" t="n"/>
      <c r="D521" s="4561" t="n"/>
      <c r="E521" s="4561" t="n"/>
      <c r="F521" s="4561" t="n"/>
    </row>
    <row r="522">
      <c r="A522" s="4561" t="n"/>
      <c r="B522" s="4561" t="n"/>
      <c r="C522" s="4561" t="n"/>
      <c r="D522" s="4561" t="n"/>
      <c r="E522" s="4561" t="n"/>
      <c r="F522" s="4561" t="n"/>
    </row>
    <row r="523">
      <c r="A523" s="4561" t="n"/>
      <c r="B523" s="4561" t="n"/>
      <c r="C523" s="4561" t="n"/>
      <c r="D523" s="4561" t="n"/>
      <c r="E523" s="4561" t="n"/>
      <c r="F523" s="4561" t="n"/>
    </row>
    <row r="524">
      <c r="A524" s="4561" t="n"/>
      <c r="B524" s="4561" t="n"/>
      <c r="C524" s="4561" t="n"/>
      <c r="D524" s="4561" t="n"/>
      <c r="E524" s="4561" t="n"/>
      <c r="F524" s="4561" t="n"/>
    </row>
    <row r="525">
      <c r="A525" s="4561" t="n"/>
      <c r="B525" s="4561" t="n"/>
      <c r="C525" s="4561" t="n"/>
      <c r="D525" s="4561" t="n"/>
      <c r="E525" s="4561" t="n"/>
      <c r="F525" s="4561" t="n"/>
    </row>
    <row r="526">
      <c r="A526" s="4561" t="n"/>
      <c r="B526" s="4561" t="n"/>
      <c r="C526" s="4561" t="n"/>
      <c r="D526" s="4561" t="n"/>
      <c r="E526" s="4561" t="n"/>
      <c r="F526" s="4561" t="n"/>
    </row>
    <row r="527">
      <c r="A527" s="4561" t="n"/>
      <c r="B527" s="4561" t="n"/>
      <c r="C527" s="4561" t="n"/>
      <c r="D527" s="4561" t="n"/>
      <c r="E527" s="4561" t="n"/>
      <c r="F527" s="4561" t="n"/>
    </row>
    <row r="528">
      <c r="A528" s="4561" t="n"/>
      <c r="B528" s="4561" t="n"/>
      <c r="C528" s="4561" t="n"/>
      <c r="D528" s="4561" t="n"/>
      <c r="E528" s="4561" t="n"/>
      <c r="F528" s="4561" t="n"/>
    </row>
    <row r="529">
      <c r="A529" s="4561" t="n"/>
      <c r="B529" s="4561" t="n"/>
      <c r="C529" s="4561" t="n"/>
      <c r="D529" s="4561" t="n"/>
      <c r="E529" s="4561" t="n"/>
      <c r="F529" s="4561" t="n"/>
    </row>
    <row r="530">
      <c r="A530" s="4561" t="n"/>
      <c r="B530" s="4561" t="n"/>
      <c r="C530" s="4561" t="n"/>
      <c r="D530" s="4561" t="n"/>
      <c r="E530" s="4561" t="n"/>
      <c r="F530" s="4561" t="n"/>
    </row>
    <row r="531">
      <c r="A531" s="4561" t="n"/>
      <c r="B531" s="4561" t="n"/>
      <c r="C531" s="4561" t="n"/>
      <c r="D531" s="4561" t="n"/>
      <c r="E531" s="4561" t="n"/>
      <c r="F531" s="4561" t="n"/>
    </row>
    <row r="532">
      <c r="A532" s="4561" t="n"/>
      <c r="B532" s="4561" t="n"/>
      <c r="C532" s="4561" t="n"/>
      <c r="D532" s="4561" t="n"/>
      <c r="E532" s="4561" t="n"/>
      <c r="F532" s="4561" t="n"/>
    </row>
    <row r="533">
      <c r="A533" s="4561" t="n"/>
      <c r="B533" s="4561" t="n"/>
      <c r="C533" s="4561" t="n"/>
      <c r="D533" s="4561" t="n"/>
      <c r="E533" s="4561" t="n"/>
      <c r="F533" s="4561" t="n"/>
    </row>
    <row r="534">
      <c r="A534" s="4561" t="n"/>
      <c r="B534" s="4561" t="n"/>
      <c r="C534" s="4561" t="n"/>
      <c r="D534" s="4561" t="n"/>
      <c r="E534" s="4561" t="n"/>
      <c r="F534" s="4561" t="n"/>
    </row>
    <row r="535">
      <c r="A535" s="4561" t="n"/>
      <c r="B535" s="4561" t="n"/>
      <c r="C535" s="4561" t="n"/>
      <c r="D535" s="4561" t="n"/>
      <c r="E535" s="4561" t="n"/>
      <c r="F535" s="4561" t="n"/>
    </row>
    <row r="536">
      <c r="A536" s="4561" t="n"/>
      <c r="B536" s="4561" t="n"/>
      <c r="C536" s="4561" t="n"/>
      <c r="D536" s="4561" t="n"/>
      <c r="E536" s="4561" t="n"/>
      <c r="F536" s="4561" t="n"/>
    </row>
    <row r="537">
      <c r="A537" s="4561" t="n"/>
      <c r="B537" s="4561" t="n"/>
      <c r="C537" s="4561" t="n"/>
      <c r="D537" s="4561" t="n"/>
      <c r="E537" s="4561" t="n"/>
      <c r="F537" s="4561" t="n"/>
    </row>
    <row r="538">
      <c r="A538" s="4561" t="n"/>
      <c r="B538" s="4561" t="n"/>
      <c r="C538" s="4561" t="n"/>
      <c r="D538" s="4561" t="n"/>
      <c r="E538" s="4561" t="n"/>
      <c r="F538" s="4561" t="n"/>
    </row>
    <row r="539">
      <c r="A539" s="4561" t="n"/>
      <c r="B539" s="4561" t="n"/>
      <c r="C539" s="4561" t="n"/>
      <c r="D539" s="4561" t="n"/>
      <c r="E539" s="4561" t="n"/>
      <c r="F539" s="4561" t="n"/>
    </row>
    <row r="540">
      <c r="A540" s="4561" t="n"/>
      <c r="B540" s="4561" t="n"/>
      <c r="C540" s="4561" t="n"/>
      <c r="D540" s="4561" t="n"/>
      <c r="E540" s="4561" t="n"/>
      <c r="F540" s="4561" t="n"/>
    </row>
    <row r="541">
      <c r="A541" s="4561" t="n"/>
      <c r="B541" s="4561" t="n"/>
      <c r="C541" s="4561" t="n"/>
      <c r="D541" s="4561" t="n"/>
      <c r="E541" s="4561" t="n"/>
      <c r="F541" s="4561" t="n"/>
    </row>
    <row r="542">
      <c r="A542" s="4561" t="n"/>
      <c r="B542" s="4561" t="n"/>
      <c r="C542" s="4561" t="n"/>
      <c r="D542" s="4561" t="n"/>
      <c r="E542" s="4561" t="n"/>
      <c r="F542" s="4561" t="n"/>
    </row>
    <row r="543">
      <c r="A543" s="4561" t="n"/>
      <c r="B543" s="4561" t="n"/>
      <c r="C543" s="4561" t="n"/>
      <c r="D543" s="4561" t="n"/>
      <c r="E543" s="4561" t="n"/>
      <c r="F543" s="4561" t="n"/>
    </row>
    <row r="544">
      <c r="A544" s="4561" t="n"/>
      <c r="B544" s="4561" t="n"/>
      <c r="C544" s="4561" t="n"/>
      <c r="D544" s="4561" t="n"/>
      <c r="E544" s="4561" t="n"/>
      <c r="F544" s="4561" t="n"/>
    </row>
    <row r="545">
      <c r="A545" s="4561" t="n"/>
      <c r="B545" s="4561" t="n"/>
      <c r="C545" s="4561" t="n"/>
      <c r="D545" s="4561" t="n"/>
      <c r="E545" s="4561" t="n"/>
      <c r="F545" s="4561" t="n"/>
    </row>
    <row r="546">
      <c r="A546" s="4561" t="n"/>
      <c r="B546" s="4561" t="n"/>
      <c r="C546" s="4561" t="n"/>
      <c r="D546" s="4561" t="n"/>
      <c r="E546" s="4561" t="n"/>
      <c r="F546" s="4561" t="n"/>
    </row>
    <row r="547">
      <c r="A547" s="4561" t="n"/>
      <c r="B547" s="4561" t="n"/>
      <c r="C547" s="4561" t="n"/>
      <c r="D547" s="4561" t="n"/>
      <c r="E547" s="4561" t="n"/>
      <c r="F547" s="4561" t="n"/>
    </row>
    <row r="548">
      <c r="A548" s="4561" t="n"/>
      <c r="B548" s="4561" t="n"/>
      <c r="C548" s="4561" t="n"/>
      <c r="D548" s="4561" t="n"/>
      <c r="E548" s="4561" t="n"/>
      <c r="F548" s="4561" t="n"/>
    </row>
    <row r="549">
      <c r="A549" s="4561" t="n"/>
      <c r="B549" s="4561" t="n"/>
      <c r="C549" s="4561" t="n"/>
      <c r="D549" s="4561" t="n"/>
      <c r="E549" s="4561" t="n"/>
      <c r="F549" s="4561" t="n"/>
    </row>
    <row r="550">
      <c r="A550" s="4561" t="n"/>
      <c r="B550" s="4561" t="n"/>
      <c r="C550" s="4561" t="n"/>
      <c r="D550" s="4561" t="n"/>
      <c r="E550" s="4561" t="n"/>
      <c r="F550" s="4561" t="n"/>
    </row>
    <row r="551">
      <c r="A551" s="4561" t="n"/>
      <c r="B551" s="4561" t="n"/>
      <c r="C551" s="4561" t="n"/>
      <c r="D551" s="4561" t="n"/>
      <c r="E551" s="4561" t="n"/>
      <c r="F551" s="4561" t="n"/>
    </row>
    <row r="552">
      <c r="A552" s="4561" t="n"/>
      <c r="B552" s="4561" t="n"/>
      <c r="C552" s="4561" t="n"/>
      <c r="D552" s="4561" t="n"/>
      <c r="E552" s="4561" t="n"/>
      <c r="F552" s="4561" t="n"/>
    </row>
    <row r="553">
      <c r="A553" s="4561" t="n"/>
      <c r="B553" s="4561" t="n"/>
      <c r="C553" s="4561" t="n"/>
      <c r="D553" s="4561" t="n"/>
      <c r="E553" s="4561" t="n"/>
      <c r="F553" s="4561" t="n"/>
    </row>
    <row r="554">
      <c r="A554" s="4561" t="n"/>
      <c r="B554" s="4561" t="n"/>
      <c r="C554" s="4561" t="n"/>
      <c r="D554" s="4561" t="n"/>
      <c r="E554" s="4561" t="n"/>
      <c r="F554" s="4561" t="n"/>
    </row>
    <row r="555">
      <c r="A555" s="4561" t="n"/>
      <c r="B555" s="4561" t="n"/>
      <c r="C555" s="4561" t="n"/>
      <c r="D555" s="4561" t="n"/>
      <c r="E555" s="4561" t="n"/>
      <c r="F555" s="4561" t="n"/>
    </row>
    <row r="556">
      <c r="A556" s="4561" t="n"/>
      <c r="B556" s="4561" t="n"/>
      <c r="C556" s="4561" t="n"/>
      <c r="D556" s="4561" t="n"/>
      <c r="E556" s="4561" t="n"/>
      <c r="F556" s="4561" t="n"/>
    </row>
    <row r="557">
      <c r="A557" s="4561" t="n"/>
      <c r="B557" s="4561" t="n"/>
      <c r="C557" s="4561" t="n"/>
      <c r="D557" s="4561" t="n"/>
      <c r="E557" s="4561" t="n"/>
      <c r="F557" s="4561" t="n"/>
    </row>
    <row r="558">
      <c r="A558" s="4561" t="n"/>
      <c r="B558" s="4561" t="n"/>
      <c r="C558" s="4561" t="n"/>
      <c r="D558" s="4561" t="n"/>
      <c r="E558" s="4561" t="n"/>
      <c r="F558" s="4561" t="n"/>
    </row>
    <row r="559">
      <c r="A559" s="4561" t="n"/>
      <c r="B559" s="4561" t="n"/>
      <c r="C559" s="4561" t="n"/>
      <c r="D559" s="4561" t="n"/>
      <c r="E559" s="4561" t="n"/>
      <c r="F559" s="4561" t="n"/>
    </row>
    <row r="560">
      <c r="A560" s="4561" t="n"/>
      <c r="B560" s="4561" t="n"/>
      <c r="C560" s="4561" t="n"/>
      <c r="D560" s="4561" t="n"/>
      <c r="E560" s="4561" t="n"/>
      <c r="F560" s="4561" t="n"/>
    </row>
    <row r="561">
      <c r="A561" s="4561" t="n"/>
      <c r="B561" s="4561" t="n"/>
      <c r="C561" s="4561" t="n"/>
      <c r="D561" s="4561" t="n"/>
      <c r="E561" s="4561" t="n"/>
      <c r="F561" s="4561" t="n"/>
    </row>
    <row r="562">
      <c r="A562" s="4561" t="n"/>
      <c r="B562" s="4561" t="n"/>
      <c r="C562" s="4561" t="n"/>
      <c r="D562" s="4561" t="n"/>
      <c r="E562" s="4561" t="n"/>
      <c r="F562" s="4561" t="n"/>
    </row>
    <row r="563">
      <c r="A563" s="4561" t="n"/>
      <c r="B563" s="4561" t="n"/>
      <c r="C563" s="4561" t="n"/>
      <c r="D563" s="4561" t="n"/>
      <c r="E563" s="4561" t="n"/>
      <c r="F563" s="4561" t="n"/>
    </row>
    <row r="564">
      <c r="A564" s="4561" t="n"/>
      <c r="B564" s="4561" t="n"/>
      <c r="C564" s="4561" t="n"/>
      <c r="D564" s="4561" t="n"/>
      <c r="E564" s="4561" t="n"/>
      <c r="F564" s="4561" t="n"/>
    </row>
    <row r="565">
      <c r="A565" s="4561" t="n"/>
      <c r="B565" s="4561" t="n"/>
      <c r="C565" s="4561" t="n"/>
      <c r="D565" s="4561" t="n"/>
      <c r="E565" s="4561" t="n"/>
      <c r="F565" s="4561" t="n"/>
    </row>
    <row r="566">
      <c r="A566" s="4561" t="n"/>
      <c r="B566" s="4561" t="n"/>
      <c r="C566" s="4561" t="n"/>
      <c r="D566" s="4561" t="n"/>
      <c r="E566" s="4561" t="n"/>
      <c r="F566" s="4561" t="n"/>
    </row>
    <row r="567">
      <c r="A567" s="4561" t="n"/>
      <c r="B567" s="4561" t="n"/>
      <c r="C567" s="4561" t="n"/>
      <c r="D567" s="4561" t="n"/>
      <c r="E567" s="4561" t="n"/>
      <c r="F567" s="4561" t="n"/>
    </row>
    <row r="568">
      <c r="A568" s="4561" t="n"/>
      <c r="B568" s="4561" t="n"/>
      <c r="C568" s="4561" t="n"/>
      <c r="D568" s="4561" t="n"/>
      <c r="E568" s="4561" t="n"/>
      <c r="F568" s="4561" t="n"/>
    </row>
    <row r="569">
      <c r="A569" s="4561" t="n"/>
      <c r="B569" s="4561" t="n"/>
      <c r="C569" s="4561" t="n"/>
      <c r="D569" s="4561" t="n"/>
      <c r="E569" s="4561" t="n"/>
      <c r="F569" s="4561" t="n"/>
    </row>
    <row r="570">
      <c r="A570" s="4561" t="n"/>
      <c r="B570" s="4561" t="n"/>
      <c r="C570" s="4561" t="n"/>
      <c r="D570" s="4561" t="n"/>
      <c r="E570" s="4561" t="n"/>
      <c r="F570" s="4561" t="n"/>
    </row>
    <row r="571">
      <c r="A571" s="4561" t="n"/>
      <c r="B571" s="4561" t="n"/>
      <c r="C571" s="4561" t="n"/>
      <c r="D571" s="4561" t="n"/>
      <c r="E571" s="4561" t="n"/>
      <c r="F571" s="4561" t="n"/>
    </row>
    <row r="572">
      <c r="A572" s="4561" t="n"/>
      <c r="B572" s="4561" t="n"/>
      <c r="C572" s="4561" t="n"/>
      <c r="D572" s="4561" t="n"/>
      <c r="E572" s="4561" t="n"/>
      <c r="F572" s="4561" t="n"/>
    </row>
    <row r="573">
      <c r="A573" s="4561" t="n"/>
      <c r="B573" s="4561" t="n"/>
      <c r="C573" s="4561" t="n"/>
      <c r="D573" s="4561" t="n"/>
      <c r="E573" s="4561" t="n"/>
      <c r="F573" s="4561" t="n"/>
    </row>
    <row r="574">
      <c r="A574" s="4561" t="n"/>
      <c r="B574" s="4561" t="n"/>
      <c r="C574" s="4561" t="n"/>
      <c r="D574" s="4561" t="n"/>
      <c r="E574" s="4561" t="n"/>
      <c r="F574" s="4561" t="n"/>
    </row>
    <row r="575">
      <c r="A575" s="4561" t="n"/>
      <c r="B575" s="4561" t="n"/>
      <c r="C575" s="4561" t="n"/>
      <c r="D575" s="4561" t="n"/>
      <c r="E575" s="4561" t="n"/>
      <c r="F575" s="4561" t="n"/>
    </row>
    <row r="576">
      <c r="A576" s="4561" t="n"/>
      <c r="B576" s="4561" t="n"/>
      <c r="C576" s="4561" t="n"/>
      <c r="D576" s="4561" t="n"/>
      <c r="E576" s="4561" t="n"/>
      <c r="F576" s="4561" t="n"/>
    </row>
    <row r="577">
      <c r="A577" s="4561" t="n"/>
      <c r="B577" s="4561" t="n"/>
      <c r="C577" s="4561" t="n"/>
      <c r="D577" s="4561" t="n"/>
      <c r="E577" s="4561" t="n"/>
      <c r="F577" s="4561" t="n"/>
    </row>
    <row r="578">
      <c r="A578" s="4561" t="n"/>
      <c r="B578" s="4561" t="n"/>
      <c r="C578" s="4561" t="n"/>
      <c r="D578" s="4561" t="n"/>
      <c r="E578" s="4561" t="n"/>
      <c r="F578" s="4561" t="n"/>
    </row>
    <row r="579">
      <c r="A579" s="4561" t="n"/>
      <c r="B579" s="4561" t="n"/>
      <c r="C579" s="4561" t="n"/>
      <c r="D579" s="4561" t="n"/>
      <c r="E579" s="4561" t="n"/>
      <c r="F579" s="4561" t="n"/>
    </row>
    <row r="580">
      <c r="A580" s="4561" t="n"/>
      <c r="B580" s="4561" t="n"/>
      <c r="C580" s="4561" t="n"/>
      <c r="D580" s="4561" t="n"/>
      <c r="E580" s="4561" t="n"/>
      <c r="F580" s="4561" t="n"/>
    </row>
    <row r="581">
      <c r="A581" s="4561" t="n"/>
      <c r="B581" s="4561" t="n"/>
      <c r="C581" s="4561" t="n"/>
      <c r="D581" s="4561" t="n"/>
      <c r="E581" s="4561" t="n"/>
      <c r="F581" s="4561" t="n"/>
    </row>
    <row r="582">
      <c r="A582" s="4561" t="n"/>
      <c r="B582" s="4561" t="n"/>
      <c r="C582" s="4561" t="n"/>
      <c r="D582" s="4561" t="n"/>
      <c r="E582" s="4561" t="n"/>
      <c r="F582" s="4561" t="n"/>
    </row>
    <row r="583">
      <c r="A583" s="4561" t="n"/>
      <c r="B583" s="4561" t="n"/>
      <c r="C583" s="4561" t="n"/>
      <c r="D583" s="4561" t="n"/>
      <c r="E583" s="4561" t="n"/>
      <c r="F583" s="4561" t="n"/>
    </row>
    <row r="584">
      <c r="A584" s="4561" t="n"/>
      <c r="B584" s="4561" t="n"/>
      <c r="C584" s="4561" t="n"/>
      <c r="D584" s="4561" t="n"/>
      <c r="E584" s="4561" t="n"/>
      <c r="F584" s="4561" t="n"/>
    </row>
    <row r="585">
      <c r="A585" s="4561" t="n"/>
      <c r="B585" s="4561" t="n"/>
      <c r="C585" s="4561" t="n"/>
      <c r="D585" s="4561" t="n"/>
      <c r="E585" s="4561" t="n"/>
      <c r="F585" s="4561" t="n"/>
    </row>
    <row r="586">
      <c r="A586" s="4561" t="n"/>
      <c r="B586" s="4561" t="n"/>
      <c r="C586" s="4561" t="n"/>
      <c r="D586" s="4561" t="n"/>
      <c r="E586" s="4561" t="n"/>
      <c r="F586" s="4561" t="n"/>
    </row>
    <row r="587">
      <c r="A587" s="4561" t="n"/>
      <c r="B587" s="4561" t="n"/>
      <c r="C587" s="4561" t="n"/>
      <c r="D587" s="4561" t="n"/>
      <c r="E587" s="4561" t="n"/>
      <c r="F587" s="4561" t="n"/>
    </row>
    <row r="588">
      <c r="A588" s="4561" t="n"/>
      <c r="B588" s="4561" t="n"/>
      <c r="C588" s="4561" t="n"/>
      <c r="D588" s="4561" t="n"/>
      <c r="E588" s="4561" t="n"/>
      <c r="F588" s="4561" t="n"/>
    </row>
    <row r="589">
      <c r="A589" s="4561" t="n"/>
      <c r="B589" s="4561" t="n"/>
      <c r="C589" s="4561" t="n"/>
      <c r="D589" s="4561" t="n"/>
      <c r="E589" s="4561" t="n"/>
      <c r="F589" s="4561" t="n"/>
    </row>
    <row r="590">
      <c r="A590" s="4561" t="n"/>
      <c r="B590" s="4561" t="n"/>
      <c r="C590" s="4561" t="n"/>
      <c r="D590" s="4561" t="n"/>
      <c r="E590" s="4561" t="n"/>
      <c r="F590" s="4561" t="n"/>
    </row>
    <row r="591">
      <c r="A591" s="4561" t="n"/>
      <c r="B591" s="4561" t="n"/>
      <c r="C591" s="4561" t="n"/>
      <c r="D591" s="4561" t="n"/>
      <c r="E591" s="4561" t="n"/>
      <c r="F591" s="4561" t="n"/>
    </row>
    <row r="592">
      <c r="A592" s="4561" t="n"/>
      <c r="B592" s="4561" t="n"/>
      <c r="C592" s="4561" t="n"/>
      <c r="D592" s="4561" t="n"/>
      <c r="E592" s="4561" t="n"/>
      <c r="F592" s="4561" t="n"/>
    </row>
    <row r="593">
      <c r="A593" s="4561" t="n"/>
      <c r="B593" s="4561" t="n"/>
      <c r="C593" s="4561" t="n"/>
      <c r="D593" s="4561" t="n"/>
      <c r="E593" s="4561" t="n"/>
      <c r="F593" s="4561" t="n"/>
    </row>
    <row r="594">
      <c r="A594" s="4561" t="n"/>
      <c r="B594" s="4561" t="n"/>
      <c r="C594" s="4561" t="n"/>
      <c r="D594" s="4561" t="n"/>
      <c r="E594" s="4561" t="n"/>
      <c r="F594" s="4561" t="n"/>
    </row>
    <row r="595">
      <c r="A595" s="4561" t="n"/>
      <c r="B595" s="4561" t="n"/>
      <c r="C595" s="4561" t="n"/>
      <c r="D595" s="4561" t="n"/>
      <c r="E595" s="4561" t="n"/>
      <c r="F595" s="4561" t="n"/>
    </row>
    <row r="596">
      <c r="A596" s="4561" t="n"/>
      <c r="B596" s="4561" t="n"/>
      <c r="C596" s="4561" t="n"/>
      <c r="D596" s="4561" t="n"/>
      <c r="E596" s="4561" t="n"/>
      <c r="F596" s="4561" t="n"/>
    </row>
    <row r="597">
      <c r="A597" s="4561" t="n"/>
      <c r="B597" s="4561" t="n"/>
      <c r="C597" s="4561" t="n"/>
      <c r="D597" s="4561" t="n"/>
      <c r="E597" s="4561" t="n"/>
      <c r="F597" s="4561" t="n"/>
    </row>
    <row r="598">
      <c r="A598" s="4561" t="n"/>
      <c r="B598" s="4561" t="n"/>
      <c r="C598" s="4561" t="n"/>
      <c r="D598" s="4561" t="n"/>
      <c r="E598" s="4561" t="n"/>
      <c r="F598" s="4561" t="n"/>
    </row>
    <row r="599">
      <c r="A599" s="4561" t="n"/>
      <c r="B599" s="4561" t="n"/>
      <c r="C599" s="4561" t="n"/>
      <c r="D599" s="4561" t="n"/>
      <c r="E599" s="4561" t="n"/>
      <c r="F599" s="4561" t="n"/>
    </row>
    <row r="600">
      <c r="A600" s="4561" t="n"/>
      <c r="B600" s="4561" t="n"/>
      <c r="C600" s="4561" t="n"/>
      <c r="D600" s="4561" t="n"/>
      <c r="E600" s="4561" t="n"/>
      <c r="F600" s="4561" t="n"/>
    </row>
    <row r="601">
      <c r="A601" s="4561" t="n"/>
      <c r="B601" s="4561" t="n"/>
      <c r="C601" s="4561" t="n"/>
      <c r="D601" s="4561" t="n"/>
      <c r="E601" s="4561" t="n"/>
      <c r="F601" s="4561" t="n"/>
    </row>
    <row r="602">
      <c r="A602" s="4561" t="n"/>
      <c r="B602" s="4561" t="n"/>
      <c r="C602" s="4561" t="n"/>
      <c r="D602" s="4561" t="n"/>
      <c r="E602" s="4561" t="n"/>
      <c r="F602" s="4561" t="n"/>
    </row>
    <row r="603">
      <c r="A603" s="4561" t="n"/>
      <c r="B603" s="4561" t="n"/>
      <c r="C603" s="4561" t="n"/>
      <c r="D603" s="4561" t="n"/>
      <c r="E603" s="4561" t="n"/>
      <c r="F603" s="4561" t="n"/>
    </row>
    <row r="604">
      <c r="A604" s="4561" t="n"/>
      <c r="B604" s="4561" t="n"/>
      <c r="C604" s="4561" t="n"/>
      <c r="D604" s="4561" t="n"/>
      <c r="E604" s="4561" t="n"/>
      <c r="F604" s="4561" t="n"/>
    </row>
    <row r="605">
      <c r="A605" s="4561" t="n"/>
      <c r="B605" s="4561" t="n"/>
      <c r="C605" s="4561" t="n"/>
      <c r="D605" s="4561" t="n"/>
      <c r="E605" s="4561" t="n"/>
      <c r="F605" s="4561" t="n"/>
    </row>
    <row r="606">
      <c r="A606" s="4561" t="n"/>
      <c r="B606" s="4561" t="n"/>
      <c r="C606" s="4561" t="n"/>
      <c r="D606" s="4561" t="n"/>
      <c r="E606" s="4561" t="n"/>
      <c r="F606" s="4561" t="n"/>
    </row>
    <row r="607">
      <c r="A607" s="4561" t="n"/>
      <c r="B607" s="4561" t="n"/>
      <c r="C607" s="4561" t="n"/>
      <c r="D607" s="4561" t="n"/>
      <c r="E607" s="4561" t="n"/>
      <c r="F607" s="4561" t="n"/>
    </row>
    <row r="608">
      <c r="A608" s="4561" t="n"/>
      <c r="B608" s="4561" t="n"/>
      <c r="C608" s="4561" t="n"/>
      <c r="D608" s="4561" t="n"/>
      <c r="E608" s="4561" t="n"/>
      <c r="F608" s="4561" t="n"/>
    </row>
    <row r="609">
      <c r="A609" s="4561" t="n"/>
      <c r="B609" s="4561" t="n"/>
      <c r="C609" s="4561" t="n"/>
      <c r="D609" s="4561" t="n"/>
      <c r="E609" s="4561" t="n"/>
      <c r="F609" s="4561" t="n"/>
    </row>
    <row r="610">
      <c r="A610" s="4561" t="n"/>
      <c r="B610" s="4561" t="n"/>
      <c r="C610" s="4561" t="n"/>
      <c r="D610" s="4561" t="n"/>
      <c r="E610" s="4561" t="n"/>
      <c r="F610" s="4561" t="n"/>
    </row>
    <row r="611">
      <c r="A611" s="4561" t="n"/>
      <c r="B611" s="4561" t="n"/>
      <c r="C611" s="4561" t="n"/>
      <c r="D611" s="4561" t="n"/>
      <c r="E611" s="4561" t="n"/>
      <c r="F611" s="4561" t="n"/>
    </row>
    <row r="612">
      <c r="A612" s="4561" t="n"/>
      <c r="B612" s="4561" t="n"/>
      <c r="C612" s="4561" t="n"/>
      <c r="D612" s="4561" t="n"/>
      <c r="E612" s="4561" t="n"/>
      <c r="F612" s="4561" t="n"/>
    </row>
    <row r="613">
      <c r="A613" s="4561" t="n"/>
      <c r="B613" s="4561" t="n"/>
      <c r="C613" s="4561" t="n"/>
      <c r="D613" s="4561" t="n"/>
      <c r="E613" s="4561" t="n"/>
      <c r="F613" s="4561" t="n"/>
    </row>
    <row r="614">
      <c r="A614" s="4561" t="n"/>
      <c r="B614" s="4561" t="n"/>
      <c r="C614" s="4561" t="n"/>
      <c r="D614" s="4561" t="n"/>
      <c r="E614" s="4561" t="n"/>
      <c r="F614" s="4561" t="n"/>
    </row>
    <row r="615">
      <c r="A615" s="4561" t="n"/>
      <c r="B615" s="4561" t="n"/>
      <c r="C615" s="4561" t="n"/>
      <c r="D615" s="4561" t="n"/>
      <c r="E615" s="4561" t="n"/>
      <c r="F615" s="4561" t="n"/>
    </row>
    <row r="616">
      <c r="A616" s="4561" t="n"/>
      <c r="B616" s="4561" t="n"/>
      <c r="C616" s="4561" t="n"/>
      <c r="D616" s="4561" t="n"/>
      <c r="E616" s="4561" t="n"/>
      <c r="F616" s="4561" t="n"/>
    </row>
    <row r="617">
      <c r="A617" s="4561" t="n"/>
      <c r="B617" s="4561" t="n"/>
      <c r="C617" s="4561" t="n"/>
      <c r="D617" s="4561" t="n"/>
      <c r="E617" s="4561" t="n"/>
      <c r="F617" s="4561" t="n"/>
    </row>
    <row r="618">
      <c r="A618" s="4561" t="n"/>
      <c r="B618" s="4561" t="n"/>
      <c r="C618" s="4561" t="n"/>
      <c r="D618" s="4561" t="n"/>
      <c r="E618" s="4561" t="n"/>
      <c r="F618" s="4561" t="n"/>
    </row>
    <row r="619">
      <c r="A619" s="4561" t="n"/>
      <c r="B619" s="4561" t="n"/>
      <c r="C619" s="4561" t="n"/>
      <c r="D619" s="4561" t="n"/>
      <c r="E619" s="4561" t="n"/>
      <c r="F619" s="4561" t="n"/>
    </row>
    <row r="620">
      <c r="A620" s="4561" t="n"/>
      <c r="B620" s="4561" t="n"/>
      <c r="C620" s="4561" t="n"/>
      <c r="D620" s="4561" t="n"/>
      <c r="E620" s="4561" t="n"/>
      <c r="F620" s="4561" t="n"/>
    </row>
    <row r="621">
      <c r="A621" s="4561" t="n"/>
      <c r="B621" s="4561" t="n"/>
      <c r="C621" s="4561" t="n"/>
      <c r="D621" s="4561" t="n"/>
      <c r="E621" s="4561" t="n"/>
      <c r="F621" s="4561" t="n"/>
    </row>
    <row r="622">
      <c r="A622" s="4561" t="n"/>
      <c r="B622" s="4561" t="n"/>
      <c r="C622" s="4561" t="n"/>
      <c r="D622" s="4561" t="n"/>
      <c r="E622" s="4561" t="n"/>
      <c r="F622" s="4561" t="n"/>
    </row>
    <row r="623">
      <c r="A623" s="4561" t="n"/>
      <c r="B623" s="4561" t="n"/>
      <c r="C623" s="4561" t="n"/>
      <c r="D623" s="4561" t="n"/>
      <c r="E623" s="4561" t="n"/>
      <c r="F623" s="4561" t="n"/>
    </row>
    <row r="624">
      <c r="A624" s="4561" t="n"/>
      <c r="B624" s="4561" t="n"/>
      <c r="C624" s="4561" t="n"/>
      <c r="D624" s="4561" t="n"/>
      <c r="E624" s="4561" t="n"/>
      <c r="F624" s="4561" t="n"/>
    </row>
    <row r="625">
      <c r="A625" s="4561" t="n"/>
      <c r="B625" s="4561" t="n"/>
      <c r="C625" s="4561" t="n"/>
      <c r="D625" s="4561" t="n"/>
      <c r="E625" s="4561" t="n"/>
      <c r="F625" s="4561" t="n"/>
    </row>
    <row r="626">
      <c r="A626" s="4561" t="n"/>
      <c r="B626" s="4561" t="n"/>
      <c r="C626" s="4561" t="n"/>
      <c r="D626" s="4561" t="n"/>
      <c r="E626" s="4561" t="n"/>
      <c r="F626" s="4561" t="n"/>
    </row>
    <row r="627">
      <c r="A627" s="4561" t="n"/>
      <c r="B627" s="4561" t="n"/>
      <c r="C627" s="4561" t="n"/>
      <c r="D627" s="4561" t="n"/>
      <c r="E627" s="4561" t="n"/>
      <c r="F627" s="4561" t="n"/>
    </row>
    <row r="628">
      <c r="A628" s="4561" t="n"/>
      <c r="B628" s="4561" t="n"/>
      <c r="C628" s="4561" t="n"/>
      <c r="D628" s="4561" t="n"/>
      <c r="E628" s="4561" t="n"/>
      <c r="F628" s="4561" t="n"/>
    </row>
    <row r="629">
      <c r="A629" s="4561" t="n"/>
      <c r="B629" s="4561" t="n"/>
      <c r="C629" s="4561" t="n"/>
      <c r="D629" s="4561" t="n"/>
      <c r="E629" s="4561" t="n"/>
      <c r="F629" s="4561" t="n"/>
    </row>
    <row r="630">
      <c r="A630" s="4561" t="n"/>
      <c r="B630" s="4561" t="n"/>
      <c r="C630" s="4561" t="n"/>
      <c r="D630" s="4561" t="n"/>
      <c r="E630" s="4561" t="n"/>
      <c r="F630" s="4561" t="n"/>
    </row>
    <row r="631">
      <c r="A631" s="4561" t="n"/>
      <c r="B631" s="4561" t="n"/>
      <c r="C631" s="4561" t="n"/>
      <c r="D631" s="4561" t="n"/>
      <c r="E631" s="4561" t="n"/>
      <c r="F631" s="4561" t="n"/>
    </row>
    <row r="632">
      <c r="A632" s="4561" t="n"/>
      <c r="B632" s="4561" t="n"/>
      <c r="C632" s="4561" t="n"/>
      <c r="D632" s="4561" t="n"/>
      <c r="E632" s="4561" t="n"/>
      <c r="F632" s="4561" t="n"/>
    </row>
    <row r="633">
      <c r="A633" s="4561" t="n"/>
      <c r="B633" s="4561" t="n"/>
      <c r="C633" s="4561" t="n"/>
      <c r="D633" s="4561" t="n"/>
      <c r="E633" s="4561" t="n"/>
      <c r="F633" s="4561" t="n"/>
    </row>
    <row r="634">
      <c r="A634" s="4561" t="n"/>
      <c r="B634" s="4561" t="n"/>
      <c r="C634" s="4561" t="n"/>
      <c r="D634" s="4561" t="n"/>
      <c r="E634" s="4561" t="n"/>
      <c r="F634" s="4561" t="n"/>
    </row>
    <row r="635">
      <c r="A635" s="4561" t="n"/>
      <c r="B635" s="4561" t="n"/>
      <c r="C635" s="4561" t="n"/>
      <c r="D635" s="4561" t="n"/>
      <c r="E635" s="4561" t="n"/>
      <c r="F635" s="4561" t="n"/>
    </row>
    <row r="636">
      <c r="A636" s="4561" t="n"/>
      <c r="B636" s="4561" t="n"/>
      <c r="C636" s="4561" t="n"/>
      <c r="D636" s="4561" t="n"/>
      <c r="E636" s="4561" t="n"/>
      <c r="F636" s="4561" t="n"/>
    </row>
    <row r="637">
      <c r="A637" s="4561" t="n"/>
      <c r="B637" s="4561" t="n"/>
      <c r="C637" s="4561" t="n"/>
      <c r="D637" s="4561" t="n"/>
      <c r="E637" s="4561" t="n"/>
      <c r="F637" s="4561" t="n"/>
    </row>
    <row r="638">
      <c r="A638" s="4561" t="n"/>
      <c r="B638" s="4561" t="n"/>
      <c r="C638" s="4561" t="n"/>
      <c r="D638" s="4561" t="n"/>
      <c r="E638" s="4561" t="n"/>
      <c r="F638" s="4561" t="n"/>
    </row>
    <row r="639">
      <c r="A639" s="4561" t="n"/>
      <c r="B639" s="4561" t="n"/>
      <c r="C639" s="4561" t="n"/>
      <c r="D639" s="4561" t="n"/>
      <c r="E639" s="4561" t="n"/>
      <c r="F639" s="4561" t="n"/>
    </row>
    <row r="640">
      <c r="A640" s="4561" t="n"/>
      <c r="B640" s="4561" t="n"/>
      <c r="C640" s="4561" t="n"/>
      <c r="D640" s="4561" t="n"/>
      <c r="E640" s="4561" t="n"/>
      <c r="F640" s="4561" t="n"/>
    </row>
    <row r="641">
      <c r="A641" s="4561" t="n"/>
      <c r="B641" s="4561" t="n"/>
      <c r="C641" s="4561" t="n"/>
      <c r="D641" s="4561" t="n"/>
      <c r="E641" s="4561" t="n"/>
      <c r="F641" s="4561" t="n"/>
    </row>
    <row r="642">
      <c r="A642" s="4561" t="n"/>
      <c r="B642" s="4561" t="n"/>
      <c r="C642" s="4561" t="n"/>
      <c r="D642" s="4561" t="n"/>
      <c r="E642" s="4561" t="n"/>
      <c r="F642" s="4561" t="n"/>
    </row>
    <row r="643">
      <c r="A643" s="4561" t="n"/>
      <c r="B643" s="4561" t="n"/>
      <c r="C643" s="4561" t="n"/>
      <c r="D643" s="4561" t="n"/>
      <c r="E643" s="4561" t="n"/>
      <c r="F643" s="4561" t="n"/>
    </row>
    <row r="644">
      <c r="A644" s="4561" t="n"/>
      <c r="B644" s="4561" t="n"/>
      <c r="C644" s="4561" t="n"/>
      <c r="D644" s="4561" t="n"/>
      <c r="E644" s="4561" t="n"/>
      <c r="F644" s="4561" t="n"/>
    </row>
    <row r="645">
      <c r="A645" s="4561" t="n"/>
      <c r="B645" s="4561" t="n"/>
      <c r="C645" s="4561" t="n"/>
      <c r="D645" s="4561" t="n"/>
      <c r="E645" s="4561" t="n"/>
      <c r="F645" s="4561" t="n"/>
    </row>
    <row r="646">
      <c r="A646" s="4561" t="n"/>
      <c r="B646" s="4561" t="n"/>
      <c r="C646" s="4561" t="n"/>
      <c r="D646" s="4561" t="n"/>
      <c r="E646" s="4561" t="n"/>
      <c r="F646" s="4561" t="n"/>
    </row>
    <row r="647">
      <c r="A647" s="4561" t="n"/>
      <c r="B647" s="4561" t="n"/>
      <c r="C647" s="4561" t="n"/>
      <c r="D647" s="4561" t="n"/>
      <c r="E647" s="4561" t="n"/>
      <c r="F647" s="4561" t="n"/>
    </row>
    <row r="648">
      <c r="A648" s="4561" t="n"/>
      <c r="B648" s="4561" t="n"/>
      <c r="C648" s="4561" t="n"/>
      <c r="D648" s="4561" t="n"/>
      <c r="E648" s="4561" t="n"/>
      <c r="F648" s="4561" t="n"/>
    </row>
    <row r="649">
      <c r="A649" s="4561" t="n"/>
      <c r="B649" s="4561" t="n"/>
      <c r="C649" s="4561" t="n"/>
      <c r="D649" s="4561" t="n"/>
      <c r="E649" s="4561" t="n"/>
      <c r="F649" s="4561" t="n"/>
    </row>
    <row r="650">
      <c r="A650" s="4561" t="n"/>
      <c r="B650" s="4561" t="n"/>
      <c r="C650" s="4561" t="n"/>
      <c r="D650" s="4561" t="n"/>
      <c r="E650" s="4561" t="n"/>
      <c r="F650" s="4561" t="n"/>
    </row>
    <row r="651">
      <c r="A651" s="4561" t="n"/>
      <c r="B651" s="4561" t="n"/>
      <c r="C651" s="4561" t="n"/>
      <c r="D651" s="4561" t="n"/>
      <c r="E651" s="4561" t="n"/>
      <c r="F651" s="4561" t="n"/>
    </row>
    <row r="652">
      <c r="A652" s="4561" t="n"/>
      <c r="B652" s="4561" t="n"/>
      <c r="C652" s="4561" t="n"/>
      <c r="D652" s="4561" t="n"/>
      <c r="E652" s="4561" t="n"/>
      <c r="F652" s="4561" t="n"/>
    </row>
    <row r="653">
      <c r="A653" s="4561" t="n"/>
      <c r="B653" s="4561" t="n"/>
      <c r="C653" s="4561" t="n"/>
      <c r="D653" s="4561" t="n"/>
      <c r="E653" s="4561" t="n"/>
      <c r="F653" s="4561" t="n"/>
    </row>
    <row r="654">
      <c r="A654" s="4561" t="n"/>
      <c r="B654" s="4561" t="n"/>
      <c r="C654" s="4561" t="n"/>
      <c r="D654" s="4561" t="n"/>
      <c r="E654" s="4561" t="n"/>
      <c r="F654" s="4561" t="n"/>
    </row>
    <row r="655">
      <c r="A655" s="4561" t="n"/>
      <c r="B655" s="4561" t="n"/>
      <c r="C655" s="4561" t="n"/>
      <c r="D655" s="4561" t="n"/>
      <c r="E655" s="4561" t="n"/>
      <c r="F655" s="4561" t="n"/>
    </row>
    <row r="656">
      <c r="A656" s="4561" t="n"/>
      <c r="B656" s="4561" t="n"/>
      <c r="C656" s="4561" t="n"/>
      <c r="D656" s="4561" t="n"/>
      <c r="E656" s="4561" t="n"/>
      <c r="F656" s="4561" t="n"/>
    </row>
    <row r="657">
      <c r="A657" s="4561" t="n"/>
      <c r="B657" s="4561" t="n"/>
      <c r="C657" s="4561" t="n"/>
      <c r="D657" s="4561" t="n"/>
      <c r="E657" s="4561" t="n"/>
      <c r="F657" s="4561" t="n"/>
    </row>
    <row r="658">
      <c r="A658" s="4561" t="n"/>
      <c r="B658" s="4561" t="n"/>
      <c r="C658" s="4561" t="n"/>
      <c r="D658" s="4561" t="n"/>
      <c r="E658" s="4561" t="n"/>
      <c r="F658" s="4561" t="n"/>
    </row>
    <row r="659">
      <c r="A659" s="4561" t="n"/>
      <c r="B659" s="4561" t="n"/>
      <c r="C659" s="4561" t="n"/>
      <c r="D659" s="4561" t="n"/>
      <c r="E659" s="4561" t="n"/>
      <c r="F659" s="4561" t="n"/>
    </row>
    <row r="660">
      <c r="A660" s="4561" t="n"/>
      <c r="B660" s="4561" t="n"/>
      <c r="C660" s="4561" t="n"/>
      <c r="D660" s="4561" t="n"/>
      <c r="E660" s="4561" t="n"/>
      <c r="F660" s="4561" t="n"/>
    </row>
    <row r="661">
      <c r="A661" s="4561" t="n"/>
      <c r="B661" s="4561" t="n"/>
      <c r="C661" s="4561" t="n"/>
      <c r="D661" s="4561" t="n"/>
      <c r="E661" s="4561" t="n"/>
      <c r="F661" s="4561" t="n"/>
    </row>
    <row r="662">
      <c r="A662" s="4561" t="n"/>
      <c r="B662" s="4561" t="n"/>
      <c r="C662" s="4561" t="n"/>
      <c r="D662" s="4561" t="n"/>
      <c r="E662" s="4561" t="n"/>
      <c r="F662" s="4561" t="n"/>
    </row>
    <row r="663">
      <c r="A663" s="4561" t="n"/>
      <c r="B663" s="4561" t="n"/>
      <c r="C663" s="4561" t="n"/>
      <c r="D663" s="4561" t="n"/>
      <c r="E663" s="4561" t="n"/>
      <c r="F663" s="4561" t="n"/>
    </row>
    <row r="664">
      <c r="A664" s="4561" t="n"/>
      <c r="B664" s="4561" t="n"/>
      <c r="C664" s="4561" t="n"/>
      <c r="D664" s="4561" t="n"/>
      <c r="E664" s="4561" t="n"/>
      <c r="F664" s="4561" t="n"/>
    </row>
    <row r="665">
      <c r="A665" s="4561" t="n"/>
      <c r="B665" s="4561" t="n"/>
      <c r="C665" s="4561" t="n"/>
      <c r="D665" s="4561" t="n"/>
      <c r="E665" s="4561" t="n"/>
      <c r="F665" s="4561" t="n"/>
    </row>
    <row r="666">
      <c r="A666" s="4561" t="n"/>
      <c r="B666" s="4561" t="n"/>
      <c r="C666" s="4561" t="n"/>
      <c r="D666" s="4561" t="n"/>
      <c r="E666" s="4561" t="n"/>
      <c r="F666" s="4561" t="n"/>
    </row>
    <row r="667">
      <c r="A667" s="4561" t="n"/>
      <c r="B667" s="4561" t="n"/>
      <c r="C667" s="4561" t="n"/>
      <c r="D667" s="4561" t="n"/>
      <c r="E667" s="4561" t="n"/>
      <c r="F667" s="4561" t="n"/>
    </row>
    <row r="668">
      <c r="A668" s="4561" t="n"/>
      <c r="B668" s="4561" t="n"/>
      <c r="C668" s="4561" t="n"/>
      <c r="D668" s="4561" t="n"/>
      <c r="E668" s="4561" t="n"/>
      <c r="F668" s="4561" t="n"/>
    </row>
    <row r="669">
      <c r="A669" s="4561" t="n"/>
      <c r="B669" s="4561" t="n"/>
      <c r="C669" s="4561" t="n"/>
      <c r="D669" s="4561" t="n"/>
      <c r="E669" s="4561" t="n"/>
      <c r="F669" s="4561" t="n"/>
    </row>
    <row r="670">
      <c r="A670" s="4561" t="n"/>
      <c r="B670" s="4561" t="n"/>
      <c r="C670" s="4561" t="n"/>
      <c r="D670" s="4561" t="n"/>
      <c r="E670" s="4561" t="n"/>
      <c r="F670" s="4561" t="n"/>
    </row>
    <row r="671">
      <c r="A671" s="4561" t="n"/>
      <c r="B671" s="4561" t="n"/>
      <c r="C671" s="4561" t="n"/>
      <c r="D671" s="4561" t="n"/>
      <c r="E671" s="4561" t="n"/>
      <c r="F671" s="4561" t="n"/>
    </row>
    <row r="672">
      <c r="A672" s="4561" t="n"/>
      <c r="B672" s="4561" t="n"/>
      <c r="C672" s="4561" t="n"/>
      <c r="D672" s="4561" t="n"/>
      <c r="E672" s="4561" t="n"/>
      <c r="F672" s="4561" t="n"/>
    </row>
    <row r="673">
      <c r="A673" s="4561" t="n"/>
      <c r="B673" s="4561" t="n"/>
      <c r="C673" s="4561" t="n"/>
      <c r="D673" s="4561" t="n"/>
      <c r="E673" s="4561" t="n"/>
      <c r="F673" s="4561" t="n"/>
    </row>
    <row r="674">
      <c r="A674" s="4561" t="n"/>
      <c r="B674" s="4561" t="n"/>
      <c r="C674" s="4561" t="n"/>
      <c r="D674" s="4561" t="n"/>
      <c r="E674" s="4561" t="n"/>
      <c r="F674" s="4561" t="n"/>
    </row>
    <row r="675">
      <c r="A675" s="4561" t="n"/>
      <c r="B675" s="4561" t="n"/>
      <c r="C675" s="4561" t="n"/>
      <c r="D675" s="4561" t="n"/>
      <c r="E675" s="4561" t="n"/>
      <c r="F675" s="4561" t="n"/>
    </row>
    <row r="676">
      <c r="A676" s="4561" t="n"/>
      <c r="B676" s="4561" t="n"/>
      <c r="C676" s="4561" t="n"/>
      <c r="D676" s="4561" t="n"/>
      <c r="E676" s="4561" t="n"/>
      <c r="F676" s="4561" t="n"/>
    </row>
    <row r="677">
      <c r="A677" s="4561" t="n"/>
      <c r="B677" s="4561" t="n"/>
      <c r="C677" s="4561" t="n"/>
      <c r="D677" s="4561" t="n"/>
      <c r="E677" s="4561" t="n"/>
      <c r="F677" s="4561" t="n"/>
    </row>
    <row r="678">
      <c r="A678" s="4561" t="n"/>
      <c r="B678" s="4561" t="n"/>
      <c r="C678" s="4561" t="n"/>
      <c r="D678" s="4561" t="n"/>
      <c r="E678" s="4561" t="n"/>
      <c r="F678" s="4561" t="n"/>
    </row>
    <row r="679">
      <c r="A679" s="4561" t="n"/>
      <c r="B679" s="4561" t="n"/>
      <c r="C679" s="4561" t="n"/>
      <c r="D679" s="4561" t="n"/>
      <c r="E679" s="4561" t="n"/>
      <c r="F679" s="4561" t="n"/>
    </row>
    <row r="680">
      <c r="A680" s="4561" t="n"/>
      <c r="B680" s="4561" t="n"/>
      <c r="C680" s="4561" t="n"/>
      <c r="D680" s="4561" t="n"/>
      <c r="E680" s="4561" t="n"/>
      <c r="F680" s="4561" t="n"/>
    </row>
    <row r="681">
      <c r="A681" s="4561" t="n"/>
      <c r="B681" s="4561" t="n"/>
      <c r="C681" s="4561" t="n"/>
      <c r="D681" s="4561" t="n"/>
      <c r="E681" s="4561" t="n"/>
      <c r="F681" s="4561" t="n"/>
    </row>
    <row r="682">
      <c r="A682" s="4561" t="n"/>
      <c r="B682" s="4561" t="n"/>
      <c r="C682" s="4561" t="n"/>
      <c r="D682" s="4561" t="n"/>
      <c r="E682" s="4561" t="n"/>
      <c r="F682" s="4561" t="n"/>
    </row>
    <row r="683">
      <c r="A683" s="4561" t="n"/>
      <c r="B683" s="4561" t="n"/>
      <c r="C683" s="4561" t="n"/>
      <c r="D683" s="4561" t="n"/>
      <c r="E683" s="4561" t="n"/>
      <c r="F683" s="4561" t="n"/>
    </row>
    <row r="684">
      <c r="A684" s="4561" t="n"/>
      <c r="B684" s="4561" t="n"/>
      <c r="C684" s="4561" t="n"/>
      <c r="D684" s="4561" t="n"/>
      <c r="E684" s="4561" t="n"/>
      <c r="F684" s="4561" t="n"/>
    </row>
    <row r="685">
      <c r="A685" s="4561" t="n"/>
      <c r="B685" s="4561" t="n"/>
      <c r="C685" s="4561" t="n"/>
      <c r="D685" s="4561" t="n"/>
      <c r="E685" s="4561" t="n"/>
      <c r="F685" s="4561" t="n"/>
    </row>
    <row r="686">
      <c r="A686" s="4561" t="n"/>
      <c r="B686" s="4561" t="n"/>
      <c r="C686" s="4561" t="n"/>
      <c r="D686" s="4561" t="n"/>
      <c r="E686" s="4561" t="n"/>
      <c r="F686" s="4561" t="n"/>
    </row>
    <row r="687">
      <c r="A687" s="4561" t="n"/>
      <c r="B687" s="4561" t="n"/>
      <c r="C687" s="4561" t="n"/>
      <c r="D687" s="4561" t="n"/>
      <c r="E687" s="4561" t="n"/>
      <c r="F687" s="4561" t="n"/>
    </row>
    <row r="688">
      <c r="A688" s="4561" t="n"/>
      <c r="B688" s="4561" t="n"/>
      <c r="C688" s="4561" t="n"/>
      <c r="D688" s="4561" t="n"/>
      <c r="E688" s="4561" t="n"/>
      <c r="F688" s="4561" t="n"/>
    </row>
    <row r="689">
      <c r="A689" s="4561" t="n"/>
      <c r="B689" s="4561" t="n"/>
      <c r="C689" s="4561" t="n"/>
      <c r="D689" s="4561" t="n"/>
      <c r="E689" s="4561" t="n"/>
      <c r="F689" s="4561" t="n"/>
    </row>
    <row r="690">
      <c r="A690" s="4561" t="n"/>
      <c r="B690" s="4561" t="n"/>
      <c r="C690" s="4561" t="n"/>
      <c r="D690" s="4561" t="n"/>
      <c r="E690" s="4561" t="n"/>
      <c r="F690" s="4561" t="n"/>
    </row>
    <row r="691">
      <c r="A691" s="4561" t="n"/>
      <c r="B691" s="4561" t="n"/>
      <c r="C691" s="4561" t="n"/>
      <c r="D691" s="4561" t="n"/>
      <c r="E691" s="4561" t="n"/>
      <c r="F691" s="4561" t="n"/>
    </row>
    <row r="692">
      <c r="A692" s="4561" t="n"/>
      <c r="B692" s="4561" t="n"/>
      <c r="C692" s="4561" t="n"/>
      <c r="D692" s="4561" t="n"/>
      <c r="E692" s="4561" t="n"/>
      <c r="F692" s="4561" t="n"/>
    </row>
    <row r="693">
      <c r="A693" s="4561" t="n"/>
      <c r="B693" s="4561" t="n"/>
      <c r="C693" s="4561" t="n"/>
      <c r="D693" s="4561" t="n"/>
      <c r="E693" s="4561" t="n"/>
      <c r="F693" s="4561" t="n"/>
    </row>
    <row r="694">
      <c r="A694" s="4561" t="n"/>
      <c r="B694" s="4561" t="n"/>
      <c r="C694" s="4561" t="n"/>
      <c r="D694" s="4561" t="n"/>
      <c r="E694" s="4561" t="n"/>
      <c r="F694" s="4561" t="n"/>
    </row>
    <row r="695">
      <c r="A695" s="4561" t="n"/>
      <c r="B695" s="4561" t="n"/>
      <c r="C695" s="4561" t="n"/>
      <c r="D695" s="4561" t="n"/>
      <c r="E695" s="4561" t="n"/>
      <c r="F695" s="4561" t="n"/>
    </row>
    <row r="696">
      <c r="A696" s="4561" t="n"/>
      <c r="B696" s="4561" t="n"/>
      <c r="C696" s="4561" t="n"/>
      <c r="D696" s="4561" t="n"/>
      <c r="E696" s="4561" t="n"/>
      <c r="F696" s="4561" t="n"/>
    </row>
    <row r="697">
      <c r="A697" s="4561" t="n"/>
      <c r="B697" s="4561" t="n"/>
      <c r="C697" s="4561" t="n"/>
      <c r="D697" s="4561" t="n"/>
      <c r="E697" s="4561" t="n"/>
      <c r="F697" s="4561" t="n"/>
    </row>
    <row r="698">
      <c r="A698" s="4561" t="n"/>
      <c r="B698" s="4561" t="n"/>
      <c r="C698" s="4561" t="n"/>
      <c r="D698" s="4561" t="n"/>
      <c r="E698" s="4561" t="n"/>
      <c r="F698" s="4561" t="n"/>
    </row>
    <row r="699">
      <c r="A699" s="4561" t="n"/>
      <c r="B699" s="4561" t="n"/>
      <c r="C699" s="4561" t="n"/>
      <c r="D699" s="4561" t="n"/>
      <c r="E699" s="4561" t="n"/>
      <c r="F699" s="4561" t="n"/>
    </row>
    <row r="700">
      <c r="A700" s="4561" t="n"/>
      <c r="B700" s="4561" t="n"/>
      <c r="C700" s="4561" t="n"/>
      <c r="D700" s="4561" t="n"/>
      <c r="E700" s="4561" t="n"/>
      <c r="F700" s="4561" t="n"/>
    </row>
    <row r="701">
      <c r="A701" s="4561" t="n"/>
      <c r="B701" s="4561" t="n"/>
      <c r="C701" s="4561" t="n"/>
      <c r="D701" s="4561" t="n"/>
      <c r="E701" s="4561" t="n"/>
      <c r="F701" s="4561" t="n"/>
    </row>
    <row r="702">
      <c r="A702" s="4561" t="n"/>
      <c r="B702" s="4561" t="n"/>
      <c r="C702" s="4561" t="n"/>
      <c r="D702" s="4561" t="n"/>
      <c r="E702" s="4561" t="n"/>
      <c r="F702" s="4561" t="n"/>
    </row>
    <row r="703">
      <c r="A703" s="4561" t="n"/>
      <c r="B703" s="4561" t="n"/>
      <c r="C703" s="4561" t="n"/>
      <c r="D703" s="4561" t="n"/>
      <c r="E703" s="4561" t="n"/>
      <c r="F703" s="4561" t="n"/>
    </row>
    <row r="704">
      <c r="A704" s="4561" t="n"/>
      <c r="B704" s="4561" t="n"/>
      <c r="C704" s="4561" t="n"/>
      <c r="D704" s="4561" t="n"/>
      <c r="E704" s="4561" t="n"/>
      <c r="F704" s="4561" t="n"/>
    </row>
    <row r="705">
      <c r="A705" s="4561" t="n"/>
      <c r="B705" s="4561" t="n"/>
      <c r="C705" s="4561" t="n"/>
      <c r="D705" s="4561" t="n"/>
      <c r="E705" s="4561" t="n"/>
      <c r="F705" s="4561" t="n"/>
    </row>
    <row r="706">
      <c r="A706" s="4561" t="n"/>
      <c r="B706" s="4561" t="n"/>
      <c r="C706" s="4561" t="n"/>
      <c r="D706" s="4561" t="n"/>
      <c r="E706" s="4561" t="n"/>
      <c r="F706" s="4561" t="n"/>
    </row>
    <row r="707">
      <c r="A707" s="4561" t="n"/>
      <c r="B707" s="4561" t="n"/>
      <c r="C707" s="4561" t="n"/>
      <c r="D707" s="4561" t="n"/>
      <c r="E707" s="4561" t="n"/>
      <c r="F707" s="4561" t="n"/>
    </row>
    <row r="708">
      <c r="A708" s="4561" t="n"/>
      <c r="B708" s="4561" t="n"/>
      <c r="C708" s="4561" t="n"/>
      <c r="D708" s="4561" t="n"/>
      <c r="E708" s="4561" t="n"/>
      <c r="F708" s="4561" t="n"/>
    </row>
    <row r="709">
      <c r="A709" s="4561" t="n"/>
      <c r="B709" s="4561" t="n"/>
      <c r="C709" s="4561" t="n"/>
      <c r="D709" s="4561" t="n"/>
      <c r="E709" s="4561" t="n"/>
      <c r="F709" s="4561" t="n"/>
    </row>
    <row r="710">
      <c r="A710" s="4561" t="n"/>
      <c r="B710" s="4561" t="n"/>
      <c r="C710" s="4561" t="n"/>
      <c r="D710" s="4561" t="n"/>
      <c r="E710" s="4561" t="n"/>
      <c r="F710" s="4561" t="n"/>
    </row>
    <row r="711">
      <c r="A711" s="4561" t="n"/>
      <c r="B711" s="4561" t="n"/>
      <c r="C711" s="4561" t="n"/>
      <c r="D711" s="4561" t="n"/>
      <c r="E711" s="4561" t="n"/>
      <c r="F711" s="4561" t="n"/>
    </row>
    <row r="712">
      <c r="A712" s="4561" t="n"/>
      <c r="B712" s="4561" t="n"/>
      <c r="C712" s="4561" t="n"/>
      <c r="D712" s="4561" t="n"/>
      <c r="E712" s="4561" t="n"/>
      <c r="F712" s="4561" t="n"/>
    </row>
    <row r="713">
      <c r="A713" s="4561" t="n"/>
      <c r="B713" s="4561" t="n"/>
      <c r="C713" s="4561" t="n"/>
      <c r="D713" s="4561" t="n"/>
      <c r="E713" s="4561" t="n"/>
      <c r="F713" s="4561" t="n"/>
    </row>
    <row r="714">
      <c r="A714" s="4561" t="n"/>
      <c r="B714" s="4561" t="n"/>
      <c r="C714" s="4561" t="n"/>
      <c r="D714" s="4561" t="n"/>
      <c r="E714" s="4561" t="n"/>
      <c r="F714" s="4561" t="n"/>
    </row>
    <row r="715">
      <c r="A715" s="4561" t="n"/>
      <c r="B715" s="4561" t="n"/>
      <c r="C715" s="4561" t="n"/>
      <c r="D715" s="4561" t="n"/>
      <c r="E715" s="4561" t="n"/>
      <c r="F715" s="4561" t="n"/>
    </row>
    <row r="716">
      <c r="A716" s="4561" t="n"/>
      <c r="B716" s="4561" t="n"/>
      <c r="C716" s="4561" t="n"/>
      <c r="D716" s="4561" t="n"/>
      <c r="E716" s="4561" t="n"/>
      <c r="F716" s="4561" t="n"/>
    </row>
    <row r="717">
      <c r="A717" s="4561" t="n"/>
      <c r="B717" s="4561" t="n"/>
      <c r="C717" s="4561" t="n"/>
      <c r="D717" s="4561" t="n"/>
      <c r="E717" s="4561" t="n"/>
      <c r="F717" s="4561" t="n"/>
    </row>
    <row r="718">
      <c r="A718" s="4561" t="n"/>
      <c r="B718" s="4561" t="n"/>
      <c r="C718" s="4561" t="n"/>
      <c r="D718" s="4561" t="n"/>
      <c r="E718" s="4561" t="n"/>
      <c r="F718" s="4561" t="n"/>
    </row>
    <row r="719">
      <c r="A719" s="4561" t="n"/>
      <c r="B719" s="4561" t="n"/>
      <c r="C719" s="4561" t="n"/>
      <c r="D719" s="4561" t="n"/>
      <c r="E719" s="4561" t="n"/>
      <c r="F719" s="4561" t="n"/>
    </row>
    <row r="720">
      <c r="A720" s="4561" t="n"/>
      <c r="B720" s="4561" t="n"/>
      <c r="C720" s="4561" t="n"/>
      <c r="D720" s="4561" t="n"/>
      <c r="E720" s="4561" t="n"/>
      <c r="F720" s="4561" t="n"/>
    </row>
    <row r="721">
      <c r="A721" s="4561" t="n"/>
      <c r="B721" s="4561" t="n"/>
      <c r="C721" s="4561" t="n"/>
      <c r="D721" s="4561" t="n"/>
      <c r="E721" s="4561" t="n"/>
      <c r="F721" s="4561" t="n"/>
    </row>
    <row r="722">
      <c r="A722" s="4561" t="n"/>
      <c r="B722" s="4561" t="n"/>
      <c r="C722" s="4561" t="n"/>
      <c r="D722" s="4561" t="n"/>
      <c r="E722" s="4561" t="n"/>
      <c r="F722" s="4561" t="n"/>
    </row>
    <row r="723">
      <c r="A723" s="4561" t="n"/>
      <c r="B723" s="4561" t="n"/>
      <c r="C723" s="4561" t="n"/>
      <c r="D723" s="4561" t="n"/>
      <c r="E723" s="4561" t="n"/>
      <c r="F723" s="4561" t="n"/>
    </row>
    <row r="724">
      <c r="A724" s="4561" t="n"/>
      <c r="B724" s="4561" t="n"/>
      <c r="C724" s="4561" t="n"/>
      <c r="D724" s="4561" t="n"/>
      <c r="E724" s="4561" t="n"/>
      <c r="F724" s="4561" t="n"/>
    </row>
    <row r="725">
      <c r="A725" s="4561" t="n"/>
      <c r="B725" s="4561" t="n"/>
      <c r="C725" s="4561" t="n"/>
      <c r="D725" s="4561" t="n"/>
      <c r="E725" s="4561" t="n"/>
      <c r="F725" s="4561" t="n"/>
    </row>
    <row r="726">
      <c r="A726" s="4561" t="n"/>
      <c r="B726" s="4561" t="n"/>
      <c r="C726" s="4561" t="n"/>
      <c r="D726" s="4561" t="n"/>
      <c r="E726" s="4561" t="n"/>
      <c r="F726" s="4561" t="n"/>
    </row>
    <row r="727">
      <c r="A727" s="4561" t="n"/>
      <c r="B727" s="4561" t="n"/>
      <c r="C727" s="4561" t="n"/>
      <c r="D727" s="4561" t="n"/>
      <c r="E727" s="4561" t="n"/>
      <c r="F727" s="4561" t="n"/>
    </row>
    <row r="728">
      <c r="A728" s="4561" t="n"/>
      <c r="B728" s="4561" t="n"/>
      <c r="C728" s="4561" t="n"/>
      <c r="D728" s="4561" t="n"/>
      <c r="E728" s="4561" t="n"/>
      <c r="F728" s="4561" t="n"/>
    </row>
    <row r="729">
      <c r="A729" s="4561" t="n"/>
      <c r="B729" s="4561" t="n"/>
      <c r="C729" s="4561" t="n"/>
      <c r="D729" s="4561" t="n"/>
      <c r="E729" s="4561" t="n"/>
      <c r="F729" s="4561" t="n"/>
    </row>
    <row r="730">
      <c r="A730" s="4561" t="n"/>
      <c r="B730" s="4561" t="n"/>
      <c r="C730" s="4561" t="n"/>
      <c r="D730" s="4561" t="n"/>
      <c r="E730" s="4561" t="n"/>
      <c r="F730" s="4561" t="n"/>
    </row>
    <row r="731">
      <c r="A731" s="4561" t="n"/>
      <c r="B731" s="4561" t="n"/>
      <c r="C731" s="4561" t="n"/>
      <c r="D731" s="4561" t="n"/>
      <c r="E731" s="4561" t="n"/>
      <c r="F731" s="4561" t="n"/>
    </row>
    <row r="732">
      <c r="A732" s="4561" t="n"/>
      <c r="B732" s="4561" t="n"/>
      <c r="C732" s="4561" t="n"/>
      <c r="D732" s="4561" t="n"/>
      <c r="E732" s="4561" t="n"/>
      <c r="F732" s="4561" t="n"/>
    </row>
    <row r="733">
      <c r="A733" s="4561" t="n"/>
      <c r="B733" s="4561" t="n"/>
      <c r="C733" s="4561" t="n"/>
      <c r="D733" s="4561" t="n"/>
      <c r="E733" s="4561" t="n"/>
      <c r="F733" s="4561" t="n"/>
    </row>
    <row r="734">
      <c r="A734" s="4561" t="n"/>
      <c r="B734" s="4561" t="n"/>
      <c r="C734" s="4561" t="n"/>
      <c r="D734" s="4561" t="n"/>
      <c r="E734" s="4561" t="n"/>
      <c r="F734" s="4561" t="n"/>
    </row>
    <row r="735">
      <c r="A735" s="4561" t="n"/>
      <c r="B735" s="4561" t="n"/>
      <c r="C735" s="4561" t="n"/>
      <c r="D735" s="4561" t="n"/>
      <c r="E735" s="4561" t="n"/>
      <c r="F735" s="4561" t="n"/>
    </row>
    <row r="736">
      <c r="A736" s="4561" t="n"/>
      <c r="B736" s="4561" t="n"/>
      <c r="C736" s="4561" t="n"/>
      <c r="D736" s="4561" t="n"/>
      <c r="E736" s="4561" t="n"/>
      <c r="F736" s="4561" t="n"/>
    </row>
    <row r="737">
      <c r="A737" s="4561" t="n"/>
      <c r="B737" s="4561" t="n"/>
      <c r="C737" s="4561" t="n"/>
      <c r="D737" s="4561" t="n"/>
      <c r="E737" s="4561" t="n"/>
      <c r="F737" s="4561" t="n"/>
    </row>
    <row r="738">
      <c r="A738" s="4561" t="n"/>
      <c r="B738" s="4561" t="n"/>
      <c r="C738" s="4561" t="n"/>
      <c r="D738" s="4561" t="n"/>
      <c r="E738" s="4561" t="n"/>
      <c r="F738" s="4561" t="n"/>
    </row>
    <row r="739">
      <c r="A739" s="4561" t="n"/>
      <c r="B739" s="4561" t="n"/>
      <c r="C739" s="4561" t="n"/>
      <c r="D739" s="4561" t="n"/>
      <c r="E739" s="4561" t="n"/>
      <c r="F739" s="4561" t="n"/>
    </row>
    <row r="740">
      <c r="A740" s="4561" t="n"/>
      <c r="B740" s="4561" t="n"/>
      <c r="C740" s="4561" t="n"/>
      <c r="D740" s="4561" t="n"/>
      <c r="E740" s="4561" t="n"/>
      <c r="F740" s="4561" t="n"/>
    </row>
    <row r="741">
      <c r="A741" s="4561" t="n"/>
      <c r="B741" s="4561" t="n"/>
      <c r="C741" s="4561" t="n"/>
      <c r="D741" s="4561" t="n"/>
      <c r="E741" s="4561" t="n"/>
      <c r="F741" s="4561" t="n"/>
    </row>
    <row r="742">
      <c r="A742" s="4561" t="n"/>
      <c r="B742" s="4561" t="n"/>
      <c r="C742" s="4561" t="n"/>
      <c r="D742" s="4561" t="n"/>
      <c r="E742" s="4561" t="n"/>
      <c r="F742" s="4561" t="n"/>
    </row>
    <row r="743">
      <c r="A743" s="4561" t="n"/>
      <c r="B743" s="4561" t="n"/>
      <c r="C743" s="4561" t="n"/>
      <c r="D743" s="4561" t="n"/>
      <c r="E743" s="4561" t="n"/>
      <c r="F743" s="4561" t="n"/>
    </row>
    <row r="744">
      <c r="A744" s="4561" t="n"/>
      <c r="B744" s="4561" t="n"/>
      <c r="C744" s="4561" t="n"/>
      <c r="D744" s="4561" t="n"/>
      <c r="E744" s="4561" t="n"/>
      <c r="F744" s="4561" t="n"/>
    </row>
    <row r="745">
      <c r="A745" s="4561" t="n"/>
      <c r="B745" s="4561" t="n"/>
      <c r="C745" s="4561" t="n"/>
      <c r="D745" s="4561" t="n"/>
      <c r="E745" s="4561" t="n"/>
      <c r="F745" s="4561" t="n"/>
    </row>
    <row r="746">
      <c r="A746" s="4561" t="n"/>
      <c r="B746" s="4561" t="n"/>
      <c r="C746" s="4561" t="n"/>
      <c r="D746" s="4561" t="n"/>
      <c r="E746" s="4561" t="n"/>
      <c r="F746" s="4561" t="n"/>
    </row>
    <row r="747">
      <c r="A747" s="4561" t="n"/>
      <c r="B747" s="4561" t="n"/>
      <c r="C747" s="4561" t="n"/>
      <c r="D747" s="4561" t="n"/>
      <c r="E747" s="4561" t="n"/>
      <c r="F747" s="4561" t="n"/>
    </row>
    <row r="748">
      <c r="A748" s="4561" t="n"/>
      <c r="B748" s="4561" t="n"/>
      <c r="C748" s="4561" t="n"/>
      <c r="D748" s="4561" t="n"/>
      <c r="E748" s="4561" t="n"/>
      <c r="F748" s="4561" t="n"/>
    </row>
    <row r="749">
      <c r="A749" s="4561" t="n"/>
      <c r="B749" s="4561" t="n"/>
      <c r="C749" s="4561" t="n"/>
      <c r="D749" s="4561" t="n"/>
      <c r="E749" s="4561" t="n"/>
      <c r="F749" s="4561" t="n"/>
    </row>
    <row r="750">
      <c r="A750" s="4561" t="n"/>
      <c r="B750" s="4561" t="n"/>
      <c r="C750" s="4561" t="n"/>
      <c r="D750" s="4561" t="n"/>
      <c r="E750" s="4561" t="n"/>
      <c r="F750" s="4561" t="n"/>
    </row>
    <row r="751">
      <c r="A751" s="4561" t="n"/>
      <c r="B751" s="4561" t="n"/>
      <c r="C751" s="4561" t="n"/>
      <c r="D751" s="4561" t="n"/>
      <c r="E751" s="4561" t="n"/>
      <c r="F751" s="4561" t="n"/>
    </row>
    <row r="752">
      <c r="A752" s="4561" t="n"/>
      <c r="B752" s="4561" t="n"/>
      <c r="C752" s="4561" t="n"/>
      <c r="D752" s="4561" t="n"/>
      <c r="E752" s="4561" t="n"/>
      <c r="F752" s="4561" t="n"/>
    </row>
    <row r="753">
      <c r="A753" s="4561" t="n"/>
      <c r="B753" s="4561" t="n"/>
      <c r="C753" s="4561" t="n"/>
      <c r="D753" s="4561" t="n"/>
      <c r="E753" s="4561" t="n"/>
      <c r="F753" s="4561" t="n"/>
    </row>
    <row r="754">
      <c r="A754" s="4561" t="n"/>
      <c r="B754" s="4561" t="n"/>
      <c r="C754" s="4561" t="n"/>
      <c r="D754" s="4561" t="n"/>
      <c r="E754" s="4561" t="n"/>
      <c r="F754" s="4561" t="n"/>
    </row>
    <row r="755">
      <c r="A755" s="4561" t="n"/>
      <c r="B755" s="4561" t="n"/>
      <c r="C755" s="4561" t="n"/>
      <c r="D755" s="4561" t="n"/>
      <c r="E755" s="4561" t="n"/>
      <c r="F755" s="4561" t="n"/>
    </row>
    <row r="756">
      <c r="A756" s="4561" t="n"/>
      <c r="B756" s="4561" t="n"/>
      <c r="C756" s="4561" t="n"/>
      <c r="D756" s="4561" t="n"/>
      <c r="E756" s="4561" t="n"/>
      <c r="F756" s="4561" t="n"/>
    </row>
    <row r="757">
      <c r="A757" s="4561" t="n"/>
      <c r="B757" s="4561" t="n"/>
      <c r="C757" s="4561" t="n"/>
      <c r="D757" s="4561" t="n"/>
      <c r="E757" s="4561" t="n"/>
      <c r="F757" s="4561" t="n"/>
    </row>
    <row r="758">
      <c r="A758" s="4561" t="n"/>
      <c r="B758" s="4561" t="n"/>
      <c r="C758" s="4561" t="n"/>
      <c r="D758" s="4561" t="n"/>
      <c r="E758" s="4561" t="n"/>
      <c r="F758" s="4561" t="n"/>
    </row>
    <row r="759">
      <c r="A759" s="4561" t="n"/>
      <c r="B759" s="4561" t="n"/>
      <c r="C759" s="4561" t="n"/>
      <c r="D759" s="4561" t="n"/>
      <c r="E759" s="4561" t="n"/>
      <c r="F759" s="4561" t="n"/>
    </row>
    <row r="760">
      <c r="A760" s="4561" t="n"/>
      <c r="B760" s="4561" t="n"/>
      <c r="C760" s="4561" t="n"/>
      <c r="D760" s="4561" t="n"/>
      <c r="E760" s="4561" t="n"/>
      <c r="F760" s="4561" t="n"/>
    </row>
    <row r="761">
      <c r="A761" s="4561" t="n"/>
      <c r="B761" s="4561" t="n"/>
      <c r="C761" s="4561" t="n"/>
      <c r="D761" s="4561" t="n"/>
      <c r="E761" s="4561" t="n"/>
      <c r="F761" s="4561" t="n"/>
    </row>
    <row r="762">
      <c r="A762" s="4561" t="n"/>
      <c r="B762" s="4561" t="n"/>
      <c r="C762" s="4561" t="n"/>
      <c r="D762" s="4561" t="n"/>
      <c r="E762" s="4561" t="n"/>
      <c r="F762" s="4561" t="n"/>
    </row>
    <row r="763">
      <c r="A763" s="4561" t="n"/>
      <c r="B763" s="4561" t="n"/>
      <c r="C763" s="4561" t="n"/>
      <c r="D763" s="4561" t="n"/>
      <c r="E763" s="4561" t="n"/>
      <c r="F763" s="4561" t="n"/>
    </row>
    <row r="764">
      <c r="A764" s="4561" t="n"/>
      <c r="B764" s="4561" t="n"/>
      <c r="C764" s="4561" t="n"/>
      <c r="D764" s="4561" t="n"/>
      <c r="E764" s="4561" t="n"/>
      <c r="F764" s="4561" t="n"/>
    </row>
    <row r="765">
      <c r="A765" s="4561" t="n"/>
      <c r="B765" s="4561" t="n"/>
      <c r="C765" s="4561" t="n"/>
      <c r="D765" s="4561" t="n"/>
      <c r="E765" s="4561" t="n"/>
      <c r="F765" s="4561" t="n"/>
    </row>
    <row r="766">
      <c r="A766" s="4561" t="n"/>
      <c r="B766" s="4561" t="n"/>
      <c r="C766" s="4561" t="n"/>
      <c r="D766" s="4561" t="n"/>
      <c r="E766" s="4561" t="n"/>
      <c r="F766" s="4561" t="n"/>
    </row>
    <row r="767">
      <c r="A767" s="4561" t="n"/>
      <c r="B767" s="4561" t="n"/>
      <c r="C767" s="4561" t="n"/>
      <c r="D767" s="4561" t="n"/>
      <c r="E767" s="4561" t="n"/>
      <c r="F767" s="4561" t="n"/>
    </row>
    <row r="768">
      <c r="A768" s="4561" t="n"/>
      <c r="B768" s="4561" t="n"/>
      <c r="C768" s="4561" t="n"/>
      <c r="D768" s="4561" t="n"/>
      <c r="E768" s="4561" t="n"/>
      <c r="F768" s="4561" t="n"/>
    </row>
    <row r="769">
      <c r="A769" s="4561" t="n"/>
      <c r="B769" s="4561" t="n"/>
      <c r="C769" s="4561" t="n"/>
      <c r="D769" s="4561" t="n"/>
      <c r="E769" s="4561" t="n"/>
      <c r="F769" s="4561" t="n"/>
    </row>
    <row r="770">
      <c r="A770" s="4561" t="n"/>
      <c r="B770" s="4561" t="n"/>
      <c r="C770" s="4561" t="n"/>
      <c r="D770" s="4561" t="n"/>
      <c r="E770" s="4561" t="n"/>
      <c r="F770" s="4561" t="n"/>
    </row>
    <row r="771">
      <c r="A771" s="4561" t="n"/>
      <c r="B771" s="4561" t="n"/>
      <c r="C771" s="4561" t="n"/>
      <c r="D771" s="4561" t="n"/>
      <c r="E771" s="4561" t="n"/>
      <c r="F771" s="4561" t="n"/>
    </row>
    <row r="772">
      <c r="A772" s="4561" t="n"/>
      <c r="B772" s="4561" t="n"/>
      <c r="C772" s="4561" t="n"/>
      <c r="D772" s="4561" t="n"/>
      <c r="E772" s="4561" t="n"/>
      <c r="F772" s="4561" t="n"/>
    </row>
    <row r="773">
      <c r="A773" s="4561" t="n"/>
      <c r="B773" s="4561" t="n"/>
      <c r="C773" s="4561" t="n"/>
      <c r="D773" s="4561" t="n"/>
      <c r="E773" s="4561" t="n"/>
      <c r="F773" s="4561" t="n"/>
    </row>
    <row r="774">
      <c r="A774" s="4561" t="n"/>
      <c r="B774" s="4561" t="n"/>
      <c r="C774" s="4561" t="n"/>
      <c r="D774" s="4561" t="n"/>
      <c r="E774" s="4561" t="n"/>
      <c r="F774" s="4561" t="n"/>
    </row>
    <row r="775">
      <c r="A775" s="4561" t="n"/>
      <c r="B775" s="4561" t="n"/>
      <c r="C775" s="4561" t="n"/>
      <c r="D775" s="4561" t="n"/>
      <c r="E775" s="4561" t="n"/>
      <c r="F775" s="4561" t="n"/>
    </row>
    <row r="776">
      <c r="A776" s="4561" t="n"/>
      <c r="B776" s="4561" t="n"/>
      <c r="C776" s="4561" t="n"/>
      <c r="D776" s="4561" t="n"/>
      <c r="E776" s="4561" t="n"/>
      <c r="F776" s="4561" t="n"/>
    </row>
    <row r="777">
      <c r="A777" s="4561" t="n"/>
      <c r="B777" s="4561" t="n"/>
      <c r="C777" s="4561" t="n"/>
      <c r="D777" s="4561" t="n"/>
      <c r="E777" s="4561" t="n"/>
      <c r="F777" s="4561" t="n"/>
    </row>
    <row r="778">
      <c r="A778" s="4561" t="n"/>
      <c r="B778" s="4561" t="n"/>
      <c r="C778" s="4561" t="n"/>
      <c r="D778" s="4561" t="n"/>
      <c r="E778" s="4561" t="n"/>
      <c r="F778" s="4561" t="n"/>
    </row>
    <row r="779">
      <c r="A779" s="4561" t="n"/>
      <c r="B779" s="4561" t="n"/>
      <c r="C779" s="4561" t="n"/>
      <c r="D779" s="4561" t="n"/>
      <c r="E779" s="4561" t="n"/>
      <c r="F779" s="4561" t="n"/>
    </row>
    <row r="780">
      <c r="A780" s="4561" t="n"/>
      <c r="B780" s="4561" t="n"/>
      <c r="C780" s="4561" t="n"/>
      <c r="D780" s="4561" t="n"/>
      <c r="E780" s="4561" t="n"/>
      <c r="F780" s="4561" t="n"/>
    </row>
    <row r="781">
      <c r="A781" s="4561" t="n"/>
      <c r="B781" s="4561" t="n"/>
      <c r="C781" s="4561" t="n"/>
      <c r="D781" s="4561" t="n"/>
      <c r="E781" s="4561" t="n"/>
      <c r="F781" s="4561" t="n"/>
    </row>
    <row r="782">
      <c r="A782" s="4561" t="n"/>
      <c r="B782" s="4561" t="n"/>
      <c r="C782" s="4561" t="n"/>
      <c r="D782" s="4561" t="n"/>
      <c r="E782" s="4561" t="n"/>
      <c r="F782" s="4561" t="n"/>
    </row>
    <row r="783">
      <c r="A783" s="4561" t="n"/>
      <c r="B783" s="4561" t="n"/>
      <c r="C783" s="4561" t="n"/>
      <c r="D783" s="4561" t="n"/>
      <c r="E783" s="4561" t="n"/>
      <c r="F783" s="4561" t="n"/>
    </row>
    <row r="784">
      <c r="A784" s="4561" t="n"/>
      <c r="B784" s="4561" t="n"/>
      <c r="C784" s="4561" t="n"/>
      <c r="D784" s="4561" t="n"/>
      <c r="E784" s="4561" t="n"/>
      <c r="F784" s="4561" t="n"/>
    </row>
    <row r="785">
      <c r="A785" s="4561" t="n"/>
      <c r="B785" s="4561" t="n"/>
      <c r="C785" s="4561" t="n"/>
      <c r="D785" s="4561" t="n"/>
      <c r="E785" s="4561" t="n"/>
      <c r="F785" s="4561" t="n"/>
    </row>
    <row r="786">
      <c r="A786" s="4561" t="n"/>
      <c r="B786" s="4561" t="n"/>
      <c r="C786" s="4561" t="n"/>
      <c r="D786" s="4561" t="n"/>
      <c r="E786" s="4561" t="n"/>
      <c r="F786" s="4561" t="n"/>
    </row>
    <row r="787">
      <c r="A787" s="4561" t="n"/>
      <c r="B787" s="4561" t="n"/>
      <c r="C787" s="4561" t="n"/>
      <c r="D787" s="4561" t="n"/>
      <c r="E787" s="4561" t="n"/>
      <c r="F787" s="4561" t="n"/>
    </row>
    <row r="788">
      <c r="A788" s="4561" t="n"/>
      <c r="B788" s="4561" t="n"/>
      <c r="C788" s="4561" t="n"/>
      <c r="D788" s="4561" t="n"/>
      <c r="E788" s="4561" t="n"/>
      <c r="F788" s="4561" t="n"/>
    </row>
    <row r="789">
      <c r="A789" s="4561" t="n"/>
      <c r="B789" s="4561" t="n"/>
      <c r="C789" s="4561" t="n"/>
      <c r="D789" s="4561" t="n"/>
      <c r="E789" s="4561" t="n"/>
      <c r="F789" s="4561" t="n"/>
    </row>
    <row r="790">
      <c r="A790" s="4561" t="n"/>
      <c r="B790" s="4561" t="n"/>
      <c r="C790" s="4561" t="n"/>
      <c r="D790" s="4561" t="n"/>
      <c r="E790" s="4561" t="n"/>
      <c r="F790" s="4561" t="n"/>
    </row>
    <row r="791">
      <c r="A791" s="4561" t="n"/>
      <c r="B791" s="4561" t="n"/>
      <c r="C791" s="4561" t="n"/>
      <c r="D791" s="4561" t="n"/>
      <c r="E791" s="4561" t="n"/>
      <c r="F791" s="4561" t="n"/>
    </row>
    <row r="792">
      <c r="A792" s="4561" t="n"/>
      <c r="B792" s="4561" t="n"/>
      <c r="C792" s="4561" t="n"/>
      <c r="D792" s="4561" t="n"/>
      <c r="E792" s="4561" t="n"/>
      <c r="F792" s="4561" t="n"/>
    </row>
    <row r="793">
      <c r="A793" s="4561" t="n"/>
      <c r="B793" s="4561" t="n"/>
      <c r="C793" s="4561" t="n"/>
      <c r="D793" s="4561" t="n"/>
      <c r="E793" s="4561" t="n"/>
      <c r="F793" s="4561" t="n"/>
    </row>
    <row r="794">
      <c r="A794" s="4561" t="n"/>
      <c r="B794" s="4561" t="n"/>
      <c r="C794" s="4561" t="n"/>
      <c r="D794" s="4561" t="n"/>
      <c r="E794" s="4561" t="n"/>
      <c r="F794" s="4561" t="n"/>
    </row>
    <row r="795">
      <c r="A795" s="4561" t="n"/>
      <c r="B795" s="4561" t="n"/>
      <c r="C795" s="4561" t="n"/>
      <c r="D795" s="4561" t="n"/>
      <c r="E795" s="4561" t="n"/>
      <c r="F795" s="4561" t="n"/>
    </row>
    <row r="796">
      <c r="A796" s="4561" t="n"/>
      <c r="B796" s="4561" t="n"/>
      <c r="C796" s="4561" t="n"/>
      <c r="D796" s="4561" t="n"/>
      <c r="E796" s="4561" t="n"/>
      <c r="F796" s="4561" t="n"/>
    </row>
    <row r="797">
      <c r="A797" s="4561" t="n"/>
      <c r="B797" s="4561" t="n"/>
      <c r="C797" s="4561" t="n"/>
      <c r="D797" s="4561" t="n"/>
      <c r="E797" s="4561" t="n"/>
      <c r="F797" s="4561" t="n"/>
    </row>
    <row r="798">
      <c r="A798" s="4561" t="n"/>
      <c r="B798" s="4561" t="n"/>
      <c r="C798" s="4561" t="n"/>
      <c r="D798" s="4561" t="n"/>
      <c r="E798" s="4561" t="n"/>
      <c r="F798" s="4561" t="n"/>
    </row>
    <row r="799">
      <c r="A799" s="4561" t="n"/>
      <c r="B799" s="4561" t="n"/>
      <c r="C799" s="4561" t="n"/>
      <c r="D799" s="4561" t="n"/>
      <c r="E799" s="4561" t="n"/>
      <c r="F799" s="4561" t="n"/>
    </row>
    <row r="800">
      <c r="A800" s="4561" t="n"/>
      <c r="B800" s="4561" t="n"/>
      <c r="C800" s="4561" t="n"/>
      <c r="D800" s="4561" t="n"/>
      <c r="E800" s="4561" t="n"/>
      <c r="F800" s="4561" t="n"/>
    </row>
    <row r="801">
      <c r="A801" s="4561" t="n"/>
      <c r="B801" s="4561" t="n"/>
      <c r="C801" s="4561" t="n"/>
      <c r="D801" s="4561" t="n"/>
      <c r="E801" s="4561" t="n"/>
      <c r="F801" s="4561" t="n"/>
    </row>
    <row r="802">
      <c r="A802" s="4561" t="n"/>
      <c r="B802" s="4561" t="n"/>
      <c r="C802" s="4561" t="n"/>
      <c r="D802" s="4561" t="n"/>
      <c r="E802" s="4561" t="n"/>
      <c r="F802" s="4561" t="n"/>
    </row>
    <row r="803">
      <c r="A803" s="4561" t="n"/>
      <c r="B803" s="4561" t="n"/>
      <c r="C803" s="4561" t="n"/>
      <c r="D803" s="4561" t="n"/>
      <c r="E803" s="4561" t="n"/>
      <c r="F803" s="4561" t="n"/>
    </row>
    <row r="804">
      <c r="A804" s="4561" t="n"/>
      <c r="B804" s="4561" t="n"/>
      <c r="C804" s="4561" t="n"/>
      <c r="D804" s="4561" t="n"/>
      <c r="E804" s="4561" t="n"/>
      <c r="F804" s="4561" t="n"/>
    </row>
    <row r="805">
      <c r="A805" s="4561" t="n"/>
      <c r="B805" s="4561" t="n"/>
      <c r="C805" s="4561" t="n"/>
      <c r="D805" s="4561" t="n"/>
      <c r="E805" s="4561" t="n"/>
      <c r="F805" s="4561" t="n"/>
    </row>
    <row r="806">
      <c r="A806" s="4561" t="n"/>
      <c r="B806" s="4561" t="n"/>
      <c r="C806" s="4561" t="n"/>
      <c r="D806" s="4561" t="n"/>
      <c r="E806" s="4561" t="n"/>
      <c r="F806" s="4561" t="n"/>
    </row>
    <row r="807">
      <c r="A807" s="4561" t="n"/>
      <c r="B807" s="4561" t="n"/>
      <c r="C807" s="4561" t="n"/>
      <c r="D807" s="4561" t="n"/>
      <c r="E807" s="4561" t="n"/>
      <c r="F807" s="4561" t="n"/>
    </row>
    <row r="808">
      <c r="A808" s="4561" t="n"/>
      <c r="B808" s="4561" t="n"/>
      <c r="C808" s="4561" t="n"/>
      <c r="D808" s="4561" t="n"/>
      <c r="E808" s="4561" t="n"/>
      <c r="F808" s="4561" t="n"/>
    </row>
    <row r="809">
      <c r="A809" s="4561" t="n"/>
      <c r="B809" s="4561" t="n"/>
      <c r="C809" s="4561" t="n"/>
      <c r="D809" s="4561" t="n"/>
      <c r="E809" s="4561" t="n"/>
      <c r="F809" s="4561" t="n"/>
    </row>
    <row r="810">
      <c r="A810" s="4561" t="n"/>
      <c r="B810" s="4561" t="n"/>
      <c r="C810" s="4561" t="n"/>
      <c r="D810" s="4561" t="n"/>
      <c r="E810" s="4561" t="n"/>
      <c r="F810" s="4561" t="n"/>
    </row>
    <row r="811">
      <c r="A811" s="4561" t="n"/>
      <c r="B811" s="4561" t="n"/>
      <c r="C811" s="4561" t="n"/>
      <c r="D811" s="4561" t="n"/>
      <c r="E811" s="4561" t="n"/>
      <c r="F811" s="4561" t="n"/>
    </row>
    <row r="812">
      <c r="A812" s="4561" t="n"/>
      <c r="B812" s="4561" t="n"/>
      <c r="C812" s="4561" t="n"/>
      <c r="D812" s="4561" t="n"/>
      <c r="E812" s="4561" t="n"/>
      <c r="F812" s="4561" t="n"/>
    </row>
    <row r="813">
      <c r="A813" s="4561" t="n"/>
      <c r="B813" s="4561" t="n"/>
      <c r="C813" s="4561" t="n"/>
      <c r="D813" s="4561" t="n"/>
      <c r="E813" s="4561" t="n"/>
      <c r="F813" s="4561" t="n"/>
    </row>
    <row r="814">
      <c r="A814" s="4561" t="n"/>
      <c r="B814" s="4561" t="n"/>
      <c r="C814" s="4561" t="n"/>
      <c r="D814" s="4561" t="n"/>
      <c r="E814" s="4561" t="n"/>
      <c r="F814" s="4561" t="n"/>
    </row>
    <row r="815">
      <c r="A815" s="4561" t="n"/>
      <c r="B815" s="4561" t="n"/>
      <c r="C815" s="4561" t="n"/>
      <c r="D815" s="4561" t="n"/>
      <c r="E815" s="4561" t="n"/>
      <c r="F815" s="4561" t="n"/>
    </row>
    <row r="816">
      <c r="A816" s="4561" t="n"/>
      <c r="B816" s="4561" t="n"/>
      <c r="C816" s="4561" t="n"/>
      <c r="D816" s="4561" t="n"/>
      <c r="E816" s="4561" t="n"/>
      <c r="F816" s="4561" t="n"/>
    </row>
    <row r="817">
      <c r="A817" s="4561" t="n"/>
      <c r="B817" s="4561" t="n"/>
      <c r="C817" s="4561" t="n"/>
      <c r="D817" s="4561" t="n"/>
      <c r="E817" s="4561" t="n"/>
      <c r="F817" s="4561" t="n"/>
    </row>
    <row r="818">
      <c r="A818" s="4561" t="n"/>
      <c r="B818" s="4561" t="n"/>
      <c r="C818" s="4561" t="n"/>
      <c r="D818" s="4561" t="n"/>
      <c r="E818" s="4561" t="n"/>
      <c r="F818" s="4561" t="n"/>
    </row>
    <row r="819">
      <c r="A819" s="4561" t="n"/>
      <c r="B819" s="4561" t="n"/>
      <c r="C819" s="4561" t="n"/>
      <c r="D819" s="4561" t="n"/>
      <c r="E819" s="4561" t="n"/>
      <c r="F819" s="4561" t="n"/>
    </row>
    <row r="820">
      <c r="A820" s="4561" t="n"/>
      <c r="B820" s="4561" t="n"/>
      <c r="C820" s="4561" t="n"/>
      <c r="D820" s="4561" t="n"/>
      <c r="E820" s="4561" t="n"/>
      <c r="F820" s="4561" t="n"/>
    </row>
    <row r="821">
      <c r="A821" s="4561" t="n"/>
      <c r="B821" s="4561" t="n"/>
      <c r="C821" s="4561" t="n"/>
      <c r="D821" s="4561" t="n"/>
      <c r="E821" s="4561" t="n"/>
      <c r="F821" s="4561" t="n"/>
    </row>
    <row r="822">
      <c r="A822" s="4561" t="n"/>
      <c r="B822" s="4561" t="n"/>
      <c r="C822" s="4561" t="n"/>
      <c r="D822" s="4561" t="n"/>
      <c r="E822" s="4561" t="n"/>
      <c r="F822" s="4561" t="n"/>
    </row>
    <row r="823">
      <c r="A823" s="4561" t="n"/>
      <c r="B823" s="4561" t="n"/>
      <c r="C823" s="4561" t="n"/>
      <c r="D823" s="4561" t="n"/>
      <c r="E823" s="4561" t="n"/>
      <c r="F823" s="4561" t="n"/>
    </row>
    <row r="824">
      <c r="A824" s="4561" t="n"/>
      <c r="B824" s="4561" t="n"/>
      <c r="C824" s="4561" t="n"/>
      <c r="D824" s="4561" t="n"/>
      <c r="E824" s="4561" t="n"/>
      <c r="F824" s="4561" t="n"/>
    </row>
    <row r="825">
      <c r="A825" s="4561" t="n"/>
      <c r="B825" s="4561" t="n"/>
      <c r="C825" s="4561" t="n"/>
      <c r="D825" s="4561" t="n"/>
      <c r="E825" s="4561" t="n"/>
      <c r="F825" s="4561" t="n"/>
    </row>
    <row r="826">
      <c r="A826" s="4561" t="n"/>
      <c r="B826" s="4561" t="n"/>
      <c r="C826" s="4561" t="n"/>
      <c r="D826" s="4561" t="n"/>
      <c r="E826" s="4561" t="n"/>
      <c r="F826" s="4561" t="n"/>
    </row>
    <row r="827">
      <c r="A827" s="4561" t="n"/>
      <c r="B827" s="4561" t="n"/>
      <c r="C827" s="4561" t="n"/>
      <c r="D827" s="4561" t="n"/>
      <c r="E827" s="4561" t="n"/>
      <c r="F827" s="4561" t="n"/>
    </row>
    <row r="828">
      <c r="A828" s="4561" t="n"/>
      <c r="B828" s="4561" t="n"/>
      <c r="C828" s="4561" t="n"/>
      <c r="D828" s="4561" t="n"/>
      <c r="E828" s="4561" t="n"/>
      <c r="F828" s="4561" t="n"/>
    </row>
    <row r="829">
      <c r="A829" s="4561" t="n"/>
      <c r="B829" s="4561" t="n"/>
      <c r="C829" s="4561" t="n"/>
      <c r="D829" s="4561" t="n"/>
      <c r="E829" s="4561" t="n"/>
      <c r="F829" s="4561" t="n"/>
    </row>
    <row r="830">
      <c r="A830" s="4561" t="n"/>
      <c r="B830" s="4561" t="n"/>
      <c r="C830" s="4561" t="n"/>
      <c r="D830" s="4561" t="n"/>
      <c r="E830" s="4561" t="n"/>
      <c r="F830" s="4561" t="n"/>
    </row>
    <row r="831">
      <c r="A831" s="4561" t="n"/>
      <c r="B831" s="4561" t="n"/>
      <c r="C831" s="4561" t="n"/>
      <c r="D831" s="4561" t="n"/>
      <c r="E831" s="4561" t="n"/>
      <c r="F831" s="4561" t="n"/>
    </row>
    <row r="832">
      <c r="A832" s="4561" t="n"/>
      <c r="B832" s="4561" t="n"/>
      <c r="C832" s="4561" t="n"/>
      <c r="D832" s="4561" t="n"/>
      <c r="E832" s="4561" t="n"/>
      <c r="F832" s="4561" t="n"/>
    </row>
    <row r="833">
      <c r="A833" s="4561" t="n"/>
      <c r="B833" s="4561" t="n"/>
      <c r="C833" s="4561" t="n"/>
      <c r="D833" s="4561" t="n"/>
      <c r="E833" s="4561" t="n"/>
      <c r="F833" s="4561" t="n"/>
    </row>
    <row r="834">
      <c r="A834" s="4561" t="n"/>
      <c r="B834" s="4561" t="n"/>
      <c r="C834" s="4561" t="n"/>
      <c r="D834" s="4561" t="n"/>
      <c r="E834" s="4561" t="n"/>
      <c r="F834" s="4561" t="n"/>
    </row>
    <row r="835">
      <c r="A835" s="4561" t="n"/>
      <c r="B835" s="4561" t="n"/>
      <c r="C835" s="4561" t="n"/>
      <c r="D835" s="4561" t="n"/>
      <c r="E835" s="4561" t="n"/>
      <c r="F835" s="4561" t="n"/>
    </row>
    <row r="836">
      <c r="A836" s="4561" t="n"/>
      <c r="B836" s="4561" t="n"/>
      <c r="C836" s="4561" t="n"/>
      <c r="D836" s="4561" t="n"/>
      <c r="E836" s="4561" t="n"/>
      <c r="F836" s="4561" t="n"/>
    </row>
    <row r="837">
      <c r="A837" s="4561" t="n"/>
      <c r="B837" s="4561" t="n"/>
      <c r="C837" s="4561" t="n"/>
      <c r="D837" s="4561" t="n"/>
      <c r="E837" s="4561" t="n"/>
      <c r="F837" s="4561" t="n"/>
    </row>
    <row r="838">
      <c r="A838" s="4561" t="n"/>
      <c r="B838" s="4561" t="n"/>
      <c r="C838" s="4561" t="n"/>
      <c r="D838" s="4561" t="n"/>
      <c r="E838" s="4561" t="n"/>
      <c r="F838" s="4561" t="n"/>
    </row>
    <row r="839">
      <c r="A839" s="4561" t="n"/>
      <c r="B839" s="4561" t="n"/>
      <c r="C839" s="4561" t="n"/>
      <c r="D839" s="4561" t="n"/>
      <c r="E839" s="4561" t="n"/>
      <c r="F839" s="4561" t="n"/>
    </row>
    <row r="840">
      <c r="A840" s="4561" t="n"/>
      <c r="B840" s="4561" t="n"/>
      <c r="C840" s="4561" t="n"/>
      <c r="D840" s="4561" t="n"/>
      <c r="E840" s="4561" t="n"/>
      <c r="F840" s="4561" t="n"/>
    </row>
    <row r="841">
      <c r="A841" s="4561" t="n"/>
      <c r="B841" s="4561" t="n"/>
      <c r="C841" s="4561" t="n"/>
      <c r="D841" s="4561" t="n"/>
      <c r="E841" s="4561" t="n"/>
      <c r="F841" s="4561" t="n"/>
    </row>
    <row r="842">
      <c r="A842" s="4561" t="n"/>
      <c r="B842" s="4561" t="n"/>
      <c r="C842" s="4561" t="n"/>
      <c r="D842" s="4561" t="n"/>
      <c r="E842" s="4561" t="n"/>
      <c r="F842" s="4561" t="n"/>
    </row>
    <row r="843">
      <c r="A843" s="4561" t="n"/>
      <c r="B843" s="4561" t="n"/>
      <c r="C843" s="4561" t="n"/>
      <c r="D843" s="4561" t="n"/>
      <c r="E843" s="4561" t="n"/>
      <c r="F843" s="4561" t="n"/>
    </row>
    <row r="844">
      <c r="A844" s="4561" t="n"/>
      <c r="B844" s="4561" t="n"/>
      <c r="C844" s="4561" t="n"/>
      <c r="D844" s="4561" t="n"/>
      <c r="E844" s="4561" t="n"/>
      <c r="F844" s="4561" t="n"/>
    </row>
    <row r="845">
      <c r="A845" s="4561" t="n"/>
      <c r="B845" s="4561" t="n"/>
      <c r="C845" s="4561" t="n"/>
      <c r="D845" s="4561" t="n"/>
      <c r="E845" s="4561" t="n"/>
      <c r="F845" s="4561" t="n"/>
    </row>
    <row r="846">
      <c r="A846" s="4561" t="n"/>
      <c r="B846" s="4561" t="n"/>
      <c r="C846" s="4561" t="n"/>
      <c r="D846" s="4561" t="n"/>
      <c r="E846" s="4561" t="n"/>
      <c r="F846" s="4561" t="n"/>
    </row>
    <row r="847">
      <c r="A847" s="4561" t="n"/>
      <c r="B847" s="4561" t="n"/>
      <c r="C847" s="4561" t="n"/>
      <c r="D847" s="4561" t="n"/>
      <c r="E847" s="4561" t="n"/>
      <c r="F847" s="4561" t="n"/>
    </row>
    <row r="848">
      <c r="A848" s="4561" t="n"/>
      <c r="B848" s="4561" t="n"/>
      <c r="C848" s="4561" t="n"/>
      <c r="D848" s="4561" t="n"/>
      <c r="E848" s="4561" t="n"/>
      <c r="F848" s="4561" t="n"/>
    </row>
    <row r="849">
      <c r="A849" s="4561" t="n"/>
      <c r="B849" s="4561" t="n"/>
      <c r="C849" s="4561" t="n"/>
      <c r="D849" s="4561" t="n"/>
      <c r="E849" s="4561" t="n"/>
      <c r="F849" s="4561" t="n"/>
    </row>
    <row r="850">
      <c r="A850" s="4561" t="n"/>
      <c r="B850" s="4561" t="n"/>
      <c r="C850" s="4561" t="n"/>
      <c r="D850" s="4561" t="n"/>
      <c r="E850" s="4561" t="n"/>
      <c r="F850" s="4561" t="n"/>
    </row>
    <row r="851">
      <c r="A851" s="4561" t="n"/>
      <c r="B851" s="4561" t="n"/>
      <c r="C851" s="4561" t="n"/>
      <c r="D851" s="4561" t="n"/>
      <c r="E851" s="4561" t="n"/>
      <c r="F851" s="4561" t="n"/>
    </row>
    <row r="852">
      <c r="A852" s="4561" t="n"/>
      <c r="B852" s="4561" t="n"/>
      <c r="C852" s="4561" t="n"/>
      <c r="D852" s="4561" t="n"/>
      <c r="E852" s="4561" t="n"/>
      <c r="F852" s="4561" t="n"/>
    </row>
    <row r="853">
      <c r="A853" s="4561" t="n"/>
      <c r="B853" s="4561" t="n"/>
      <c r="C853" s="4561" t="n"/>
      <c r="D853" s="4561" t="n"/>
      <c r="E853" s="4561" t="n"/>
      <c r="F853" s="4561" t="n"/>
    </row>
    <row r="854">
      <c r="A854" s="4561" t="n"/>
      <c r="B854" s="4561" t="n"/>
      <c r="C854" s="4561" t="n"/>
      <c r="D854" s="4561" t="n"/>
      <c r="E854" s="4561" t="n"/>
      <c r="F854" s="4561" t="n"/>
    </row>
    <row r="855">
      <c r="A855" s="4561" t="n"/>
      <c r="B855" s="4561" t="n"/>
      <c r="C855" s="4561" t="n"/>
      <c r="D855" s="4561" t="n"/>
      <c r="E855" s="4561" t="n"/>
      <c r="F855" s="4561" t="n"/>
    </row>
    <row r="856">
      <c r="A856" s="4561" t="n"/>
      <c r="B856" s="4561" t="n"/>
      <c r="C856" s="4561" t="n"/>
      <c r="D856" s="4561" t="n"/>
      <c r="E856" s="4561" t="n"/>
      <c r="F856" s="4561" t="n"/>
    </row>
    <row r="857">
      <c r="A857" s="4561" t="n"/>
      <c r="B857" s="4561" t="n"/>
      <c r="C857" s="4561" t="n"/>
      <c r="D857" s="4561" t="n"/>
      <c r="E857" s="4561" t="n"/>
      <c r="F857" s="4561" t="n"/>
    </row>
    <row r="858">
      <c r="A858" s="4561" t="n"/>
      <c r="B858" s="4561" t="n"/>
      <c r="C858" s="4561" t="n"/>
      <c r="D858" s="4561" t="n"/>
      <c r="E858" s="4561" t="n"/>
      <c r="F858" s="4561" t="n"/>
    </row>
    <row r="859">
      <c r="A859" s="4561" t="n"/>
      <c r="B859" s="4561" t="n"/>
      <c r="C859" s="4561" t="n"/>
      <c r="D859" s="4561" t="n"/>
      <c r="E859" s="4561" t="n"/>
      <c r="F859" s="4561" t="n"/>
    </row>
    <row r="860">
      <c r="A860" s="4561" t="n"/>
      <c r="B860" s="4561" t="n"/>
      <c r="C860" s="4561" t="n"/>
      <c r="D860" s="4561" t="n"/>
      <c r="E860" s="4561" t="n"/>
      <c r="F860" s="4561" t="n"/>
    </row>
    <row r="861">
      <c r="A861" s="4561" t="n"/>
      <c r="B861" s="4561" t="n"/>
      <c r="C861" s="4561" t="n"/>
      <c r="D861" s="4561" t="n"/>
      <c r="E861" s="4561" t="n"/>
      <c r="F861" s="4561" t="n"/>
    </row>
    <row r="862">
      <c r="A862" s="4561" t="n"/>
      <c r="B862" s="4561" t="n"/>
      <c r="C862" s="4561" t="n"/>
      <c r="D862" s="4561" t="n"/>
      <c r="E862" s="4561" t="n"/>
      <c r="F862" s="4561" t="n"/>
    </row>
    <row r="863">
      <c r="A863" s="4561" t="n"/>
      <c r="B863" s="4561" t="n"/>
      <c r="C863" s="4561" t="n"/>
      <c r="D863" s="4561" t="n"/>
      <c r="E863" s="4561" t="n"/>
      <c r="F863" s="4561" t="n"/>
    </row>
    <row r="864">
      <c r="A864" s="4561" t="n"/>
      <c r="B864" s="4561" t="n"/>
      <c r="C864" s="4561" t="n"/>
      <c r="D864" s="4561" t="n"/>
      <c r="E864" s="4561" t="n"/>
      <c r="F864" s="4561" t="n"/>
    </row>
    <row r="865">
      <c r="A865" s="4561" t="n"/>
      <c r="B865" s="4561" t="n"/>
      <c r="C865" s="4561" t="n"/>
      <c r="D865" s="4561" t="n"/>
      <c r="E865" s="4561" t="n"/>
      <c r="F865" s="4561" t="n"/>
    </row>
    <row r="866">
      <c r="A866" s="4561" t="n"/>
      <c r="B866" s="4561" t="n"/>
      <c r="C866" s="4561" t="n"/>
      <c r="D866" s="4561" t="n"/>
      <c r="E866" s="4561" t="n"/>
      <c r="F866" s="4561" t="n"/>
    </row>
    <row r="867">
      <c r="A867" s="4561" t="n"/>
      <c r="B867" s="4561" t="n"/>
      <c r="C867" s="4561" t="n"/>
      <c r="D867" s="4561" t="n"/>
      <c r="E867" s="4561" t="n"/>
      <c r="F867" s="4561" t="n"/>
    </row>
    <row r="868">
      <c r="A868" s="4561" t="n"/>
      <c r="B868" s="4561" t="n"/>
      <c r="C868" s="4561" t="n"/>
      <c r="D868" s="4561" t="n"/>
      <c r="E868" s="4561" t="n"/>
      <c r="F868" s="4561" t="n"/>
    </row>
    <row r="869">
      <c r="A869" s="4561" t="n"/>
      <c r="B869" s="4561" t="n"/>
      <c r="C869" s="4561" t="n"/>
      <c r="D869" s="4561" t="n"/>
      <c r="E869" s="4561" t="n"/>
      <c r="F869" s="4561" t="n"/>
    </row>
    <row r="870">
      <c r="A870" s="4561" t="n"/>
      <c r="B870" s="4561" t="n"/>
      <c r="C870" s="4561" t="n"/>
      <c r="D870" s="4561" t="n"/>
      <c r="E870" s="4561" t="n"/>
      <c r="F870" s="4561" t="n"/>
    </row>
    <row r="871">
      <c r="A871" s="4561" t="n"/>
      <c r="B871" s="4561" t="n"/>
      <c r="C871" s="4561" t="n"/>
      <c r="D871" s="4561" t="n"/>
      <c r="E871" s="4561" t="n"/>
      <c r="F871" s="4561" t="n"/>
    </row>
    <row r="872">
      <c r="A872" s="4561" t="n"/>
      <c r="B872" s="4561" t="n"/>
      <c r="C872" s="4561" t="n"/>
      <c r="D872" s="4561" t="n"/>
      <c r="E872" s="4561" t="n"/>
      <c r="F872" s="4561" t="n"/>
    </row>
    <row r="873">
      <c r="A873" s="4561" t="n"/>
      <c r="B873" s="4561" t="n"/>
      <c r="C873" s="4561" t="n"/>
      <c r="D873" s="4561" t="n"/>
      <c r="E873" s="4561" t="n"/>
      <c r="F873" s="4561" t="n"/>
    </row>
    <row r="874">
      <c r="A874" s="4561" t="n"/>
      <c r="B874" s="4561" t="n"/>
      <c r="C874" s="4561" t="n"/>
      <c r="D874" s="4561" t="n"/>
      <c r="E874" s="4561" t="n"/>
      <c r="F874" s="4561" t="n"/>
    </row>
    <row r="875">
      <c r="A875" s="4561" t="n"/>
      <c r="B875" s="4561" t="n"/>
      <c r="C875" s="4561" t="n"/>
      <c r="D875" s="4561" t="n"/>
      <c r="E875" s="4561" t="n"/>
      <c r="F875" s="4561" t="n"/>
    </row>
    <row r="876">
      <c r="A876" s="4561" t="n"/>
      <c r="B876" s="4561" t="n"/>
      <c r="C876" s="4561" t="n"/>
      <c r="D876" s="4561" t="n"/>
      <c r="E876" s="4561" t="n"/>
      <c r="F876" s="4561" t="n"/>
    </row>
    <row r="877">
      <c r="A877" s="4561" t="n"/>
      <c r="B877" s="4561" t="n"/>
      <c r="C877" s="4561" t="n"/>
      <c r="D877" s="4561" t="n"/>
      <c r="E877" s="4561" t="n"/>
      <c r="F877" s="4561" t="n"/>
    </row>
    <row r="878">
      <c r="A878" s="4561" t="n"/>
      <c r="B878" s="4561" t="n"/>
      <c r="C878" s="4561" t="n"/>
      <c r="D878" s="4561" t="n"/>
      <c r="E878" s="4561" t="n"/>
      <c r="F878" s="4561" t="n"/>
    </row>
    <row r="879">
      <c r="A879" s="4561" t="n"/>
      <c r="B879" s="4561" t="n"/>
      <c r="C879" s="4561" t="n"/>
      <c r="D879" s="4561" t="n"/>
      <c r="E879" s="4561" t="n"/>
      <c r="F879" s="4561" t="n"/>
    </row>
    <row r="880">
      <c r="A880" s="4561" t="n"/>
      <c r="B880" s="4561" t="n"/>
      <c r="C880" s="4561" t="n"/>
      <c r="D880" s="4561" t="n"/>
      <c r="E880" s="4561" t="n"/>
      <c r="F880" s="4561" t="n"/>
    </row>
    <row r="881">
      <c r="A881" s="4561" t="n"/>
      <c r="B881" s="4561" t="n"/>
      <c r="C881" s="4561" t="n"/>
      <c r="D881" s="4561" t="n"/>
      <c r="E881" s="4561" t="n"/>
      <c r="F881" s="4561" t="n"/>
    </row>
    <row r="882">
      <c r="A882" s="4561" t="n"/>
      <c r="B882" s="4561" t="n"/>
      <c r="C882" s="4561" t="n"/>
      <c r="D882" s="4561" t="n"/>
      <c r="E882" s="4561" t="n"/>
      <c r="F882" s="4561" t="n"/>
    </row>
    <row r="883">
      <c r="A883" s="4561" t="n"/>
      <c r="B883" s="4561" t="n"/>
      <c r="C883" s="4561" t="n"/>
      <c r="D883" s="4561" t="n"/>
      <c r="E883" s="4561" t="n"/>
      <c r="F883" s="4561" t="n"/>
    </row>
    <row r="884">
      <c r="A884" s="4561" t="n"/>
      <c r="B884" s="4561" t="n"/>
      <c r="C884" s="4561" t="n"/>
      <c r="D884" s="4561" t="n"/>
      <c r="E884" s="4561" t="n"/>
      <c r="F884" s="4561" t="n"/>
    </row>
    <row r="885">
      <c r="A885" s="4561" t="n"/>
      <c r="B885" s="4561" t="n"/>
      <c r="C885" s="4561" t="n"/>
      <c r="D885" s="4561" t="n"/>
      <c r="E885" s="4561" t="n"/>
      <c r="F885" s="4561" t="n"/>
    </row>
    <row r="886">
      <c r="A886" s="4561" t="n"/>
      <c r="B886" s="4561" t="n"/>
      <c r="C886" s="4561" t="n"/>
      <c r="D886" s="4561" t="n"/>
      <c r="E886" s="4561" t="n"/>
      <c r="F886" s="4561" t="n"/>
    </row>
    <row r="887">
      <c r="A887" s="4561" t="n"/>
      <c r="B887" s="4561" t="n"/>
      <c r="C887" s="4561" t="n"/>
      <c r="D887" s="4561" t="n"/>
      <c r="E887" s="4561" t="n"/>
      <c r="F887" s="4561" t="n"/>
    </row>
    <row r="888">
      <c r="A888" s="4561" t="n"/>
      <c r="B888" s="4561" t="n"/>
      <c r="C888" s="4561" t="n"/>
      <c r="D888" s="4561" t="n"/>
      <c r="E888" s="4561" t="n"/>
      <c r="F888" s="4561" t="n"/>
    </row>
    <row r="889">
      <c r="A889" s="4561" t="n"/>
      <c r="B889" s="4561" t="n"/>
      <c r="C889" s="4561" t="n"/>
      <c r="D889" s="4561" t="n"/>
      <c r="E889" s="4561" t="n"/>
      <c r="F889" s="4561" t="n"/>
    </row>
    <row r="890">
      <c r="A890" s="4561" t="n"/>
      <c r="B890" s="4561" t="n"/>
      <c r="C890" s="4561" t="n"/>
      <c r="D890" s="4561" t="n"/>
      <c r="E890" s="4561" t="n"/>
      <c r="F890" s="4561" t="n"/>
    </row>
    <row r="891">
      <c r="A891" s="4561" t="n"/>
      <c r="B891" s="4561" t="n"/>
      <c r="C891" s="4561" t="n"/>
      <c r="D891" s="4561" t="n"/>
      <c r="E891" s="4561" t="n"/>
      <c r="F891" s="4561" t="n"/>
    </row>
    <row r="892">
      <c r="A892" s="4561" t="n"/>
      <c r="B892" s="4561" t="n"/>
      <c r="C892" s="4561" t="n"/>
      <c r="D892" s="4561" t="n"/>
      <c r="E892" s="4561" t="n"/>
      <c r="F892" s="4561" t="n"/>
    </row>
    <row r="893">
      <c r="A893" s="4561" t="n"/>
      <c r="B893" s="4561" t="n"/>
      <c r="C893" s="4561" t="n"/>
      <c r="D893" s="4561" t="n"/>
      <c r="E893" s="4561" t="n"/>
      <c r="F893" s="4561" t="n"/>
    </row>
    <row r="894">
      <c r="A894" s="4561" t="n"/>
      <c r="B894" s="4561" t="n"/>
      <c r="C894" s="4561" t="n"/>
      <c r="D894" s="4561" t="n"/>
      <c r="E894" s="4561" t="n"/>
      <c r="F894" s="4561" t="n"/>
    </row>
    <row r="895">
      <c r="A895" s="4561" t="n"/>
      <c r="B895" s="4561" t="n"/>
      <c r="C895" s="4561" t="n"/>
      <c r="D895" s="4561" t="n"/>
      <c r="E895" s="4561" t="n"/>
      <c r="F895" s="4561" t="n"/>
    </row>
    <row r="896">
      <c r="A896" s="4561" t="n"/>
      <c r="B896" s="4561" t="n"/>
      <c r="C896" s="4561" t="n"/>
      <c r="D896" s="4561" t="n"/>
      <c r="E896" s="4561" t="n"/>
      <c r="F896" s="4561" t="n"/>
    </row>
    <row r="897">
      <c r="A897" s="4561" t="n"/>
      <c r="B897" s="4561" t="n"/>
      <c r="C897" s="4561" t="n"/>
      <c r="D897" s="4561" t="n"/>
      <c r="E897" s="4561" t="n"/>
      <c r="F897" s="4561" t="n"/>
    </row>
    <row r="898">
      <c r="A898" s="4561" t="n"/>
      <c r="B898" s="4561" t="n"/>
      <c r="C898" s="4561" t="n"/>
      <c r="D898" s="4561" t="n"/>
      <c r="E898" s="4561" t="n"/>
      <c r="F898" s="4561" t="n"/>
    </row>
    <row r="899">
      <c r="A899" s="4561" t="n"/>
      <c r="B899" s="4561" t="n"/>
      <c r="C899" s="4561" t="n"/>
      <c r="D899" s="4561" t="n"/>
      <c r="E899" s="4561" t="n"/>
      <c r="F899" s="4561" t="n"/>
    </row>
    <row r="900">
      <c r="A900" s="4561" t="n"/>
      <c r="B900" s="4561" t="n"/>
      <c r="C900" s="4561" t="n"/>
      <c r="D900" s="4561" t="n"/>
      <c r="E900" s="4561" t="n"/>
      <c r="F900" s="4561" t="n"/>
    </row>
    <row r="901">
      <c r="A901" s="4561" t="n"/>
      <c r="B901" s="4561" t="n"/>
      <c r="C901" s="4561" t="n"/>
      <c r="D901" s="4561" t="n"/>
      <c r="E901" s="4561" t="n"/>
      <c r="F901" s="4561" t="n"/>
    </row>
    <row r="902">
      <c r="A902" s="4561" t="n"/>
      <c r="B902" s="4561" t="n"/>
      <c r="C902" s="4561" t="n"/>
      <c r="D902" s="4561" t="n"/>
      <c r="E902" s="4561" t="n"/>
      <c r="F902" s="4561" t="n"/>
    </row>
    <row r="903">
      <c r="A903" s="4561" t="n"/>
      <c r="B903" s="4561" t="n"/>
      <c r="C903" s="4561" t="n"/>
      <c r="D903" s="4561" t="n"/>
      <c r="E903" s="4561" t="n"/>
      <c r="F903" s="4561" t="n"/>
    </row>
    <row r="904">
      <c r="A904" s="4561" t="n"/>
      <c r="B904" s="4561" t="n"/>
      <c r="C904" s="4561" t="n"/>
      <c r="D904" s="4561" t="n"/>
      <c r="E904" s="4561" t="n"/>
      <c r="F904" s="4561" t="n"/>
    </row>
    <row r="905">
      <c r="A905" s="4561" t="n"/>
      <c r="B905" s="4561" t="n"/>
      <c r="C905" s="4561" t="n"/>
      <c r="D905" s="4561" t="n"/>
      <c r="E905" s="4561" t="n"/>
      <c r="F905" s="4561" t="n"/>
    </row>
    <row r="906">
      <c r="A906" s="4561" t="n"/>
      <c r="B906" s="4561" t="n"/>
      <c r="C906" s="4561" t="n"/>
      <c r="D906" s="4561" t="n"/>
      <c r="E906" s="4561" t="n"/>
      <c r="F906" s="4561" t="n"/>
    </row>
    <row r="907">
      <c r="A907" s="4561" t="n"/>
      <c r="B907" s="4561" t="n"/>
      <c r="C907" s="4561" t="n"/>
      <c r="D907" s="4561" t="n"/>
      <c r="E907" s="4561" t="n"/>
      <c r="F907" s="4561" t="n"/>
    </row>
    <row r="908">
      <c r="A908" s="4561" t="n"/>
      <c r="B908" s="4561" t="n"/>
      <c r="C908" s="4561" t="n"/>
      <c r="D908" s="4561" t="n"/>
      <c r="E908" s="4561" t="n"/>
      <c r="F908" s="4561" t="n"/>
    </row>
    <row r="909">
      <c r="A909" s="4561" t="n"/>
      <c r="B909" s="4561" t="n"/>
      <c r="C909" s="4561" t="n"/>
      <c r="D909" s="4561" t="n"/>
      <c r="E909" s="4561" t="n"/>
      <c r="F909" s="4561" t="n"/>
    </row>
    <row r="910">
      <c r="A910" s="4561" t="n"/>
      <c r="B910" s="4561" t="n"/>
      <c r="C910" s="4561" t="n"/>
      <c r="D910" s="4561" t="n"/>
      <c r="E910" s="4561" t="n"/>
      <c r="F910" s="4561" t="n"/>
    </row>
    <row r="911">
      <c r="A911" s="4561" t="n"/>
      <c r="B911" s="4561" t="n"/>
      <c r="C911" s="4561" t="n"/>
      <c r="D911" s="4561" t="n"/>
      <c r="E911" s="4561" t="n"/>
      <c r="F911" s="4561" t="n"/>
    </row>
    <row r="912">
      <c r="A912" s="4561" t="n"/>
      <c r="B912" s="4561" t="n"/>
      <c r="C912" s="4561" t="n"/>
      <c r="D912" s="4561" t="n"/>
      <c r="E912" s="4561" t="n"/>
      <c r="F912" s="4561" t="n"/>
    </row>
    <row r="913">
      <c r="A913" s="4561" t="n"/>
      <c r="B913" s="4561" t="n"/>
      <c r="C913" s="4561" t="n"/>
      <c r="D913" s="4561" t="n"/>
      <c r="E913" s="4561" t="n"/>
      <c r="F913" s="4561" t="n"/>
    </row>
    <row r="914">
      <c r="A914" s="4561" t="n"/>
      <c r="B914" s="4561" t="n"/>
      <c r="C914" s="4561" t="n"/>
      <c r="D914" s="4561" t="n"/>
      <c r="E914" s="4561" t="n"/>
      <c r="F914" s="4561" t="n"/>
    </row>
    <row r="915">
      <c r="A915" s="4561" t="n"/>
      <c r="B915" s="4561" t="n"/>
      <c r="C915" s="4561" t="n"/>
      <c r="D915" s="4561" t="n"/>
      <c r="E915" s="4561" t="n"/>
      <c r="F915" s="4561" t="n"/>
    </row>
    <row r="916">
      <c r="A916" s="4561" t="n"/>
      <c r="B916" s="4561" t="n"/>
      <c r="C916" s="4561" t="n"/>
      <c r="D916" s="4561" t="n"/>
      <c r="E916" s="4561" t="n"/>
      <c r="F916" s="4561" t="n"/>
    </row>
    <row r="917">
      <c r="A917" s="4561" t="n"/>
      <c r="B917" s="4561" t="n"/>
      <c r="C917" s="4561" t="n"/>
      <c r="D917" s="4561" t="n"/>
      <c r="E917" s="4561" t="n"/>
      <c r="F917" s="4561" t="n"/>
    </row>
    <row r="918">
      <c r="A918" s="4561" t="n"/>
      <c r="B918" s="4561" t="n"/>
      <c r="C918" s="4561" t="n"/>
      <c r="D918" s="4561" t="n"/>
      <c r="E918" s="4561" t="n"/>
      <c r="F918" s="4561" t="n"/>
    </row>
    <row r="919">
      <c r="A919" s="4561" t="n"/>
      <c r="B919" s="4561" t="n"/>
      <c r="C919" s="4561" t="n"/>
      <c r="D919" s="4561" t="n"/>
      <c r="E919" s="4561" t="n"/>
      <c r="F919" s="4561" t="n"/>
    </row>
    <row r="920">
      <c r="A920" s="4561" t="n"/>
      <c r="B920" s="4561" t="n"/>
      <c r="C920" s="4561" t="n"/>
      <c r="D920" s="4561" t="n"/>
      <c r="E920" s="4561" t="n"/>
      <c r="F920" s="4561" t="n"/>
    </row>
    <row r="921">
      <c r="A921" s="4561" t="n"/>
      <c r="B921" s="4561" t="n"/>
      <c r="C921" s="4561" t="n"/>
      <c r="D921" s="4561" t="n"/>
      <c r="E921" s="4561" t="n"/>
      <c r="F921" s="4561" t="n"/>
    </row>
    <row r="922">
      <c r="A922" s="4561" t="n"/>
      <c r="B922" s="4561" t="n"/>
      <c r="C922" s="4561" t="n"/>
      <c r="D922" s="4561" t="n"/>
      <c r="E922" s="4561" t="n"/>
      <c r="F922" s="4561" t="n"/>
    </row>
    <row r="923">
      <c r="A923" s="4561" t="n"/>
      <c r="B923" s="4561" t="n"/>
      <c r="C923" s="4561" t="n"/>
      <c r="D923" s="4561" t="n"/>
      <c r="E923" s="4561" t="n"/>
      <c r="F923" s="4561" t="n"/>
    </row>
    <row r="924">
      <c r="A924" s="4561" t="n"/>
      <c r="B924" s="4561" t="n"/>
      <c r="C924" s="4561" t="n"/>
      <c r="D924" s="4561" t="n"/>
      <c r="E924" s="4561" t="n"/>
      <c r="F924" s="4561" t="n"/>
    </row>
    <row r="925">
      <c r="A925" s="4561" t="n"/>
      <c r="B925" s="4561" t="n"/>
      <c r="C925" s="4561" t="n"/>
      <c r="D925" s="4561" t="n"/>
      <c r="E925" s="4561" t="n"/>
      <c r="F925" s="4561" t="n"/>
    </row>
    <row r="926">
      <c r="A926" s="4561" t="n"/>
      <c r="B926" s="4561" t="n"/>
      <c r="C926" s="4561" t="n"/>
      <c r="D926" s="4561" t="n"/>
      <c r="E926" s="4561" t="n"/>
      <c r="F926" s="4561" t="n"/>
    </row>
    <row r="927">
      <c r="A927" s="4561" t="n"/>
      <c r="B927" s="4561" t="n"/>
      <c r="C927" s="4561" t="n"/>
      <c r="D927" s="4561" t="n"/>
      <c r="E927" s="4561" t="n"/>
      <c r="F927" s="4561" t="n"/>
    </row>
    <row r="928">
      <c r="A928" s="4561" t="n"/>
      <c r="B928" s="4561" t="n"/>
      <c r="C928" s="4561" t="n"/>
      <c r="D928" s="4561" t="n"/>
      <c r="E928" s="4561" t="n"/>
      <c r="F928" s="4561" t="n"/>
    </row>
    <row r="929">
      <c r="A929" s="4561" t="n"/>
      <c r="B929" s="4561" t="n"/>
      <c r="C929" s="4561" t="n"/>
      <c r="D929" s="4561" t="n"/>
      <c r="E929" s="4561" t="n"/>
      <c r="F929" s="4561" t="n"/>
    </row>
    <row r="930">
      <c r="A930" s="4561" t="n"/>
      <c r="B930" s="4561" t="n"/>
      <c r="C930" s="4561" t="n"/>
      <c r="D930" s="4561" t="n"/>
      <c r="E930" s="4561" t="n"/>
      <c r="F930" s="4561" t="n"/>
    </row>
    <row r="931">
      <c r="A931" s="4561" t="n"/>
      <c r="B931" s="4561" t="n"/>
      <c r="C931" s="4561" t="n"/>
      <c r="D931" s="4561" t="n"/>
      <c r="E931" s="4561" t="n"/>
      <c r="F931" s="4561" t="n"/>
    </row>
    <row r="932">
      <c r="A932" s="4561" t="n"/>
      <c r="B932" s="4561" t="n"/>
      <c r="C932" s="4561" t="n"/>
      <c r="D932" s="4561" t="n"/>
      <c r="E932" s="4561" t="n"/>
      <c r="F932" s="4561" t="n"/>
    </row>
    <row r="933">
      <c r="A933" s="4561" t="n"/>
      <c r="B933" s="4561" t="n"/>
      <c r="C933" s="4561" t="n"/>
      <c r="D933" s="4561" t="n"/>
      <c r="E933" s="4561" t="n"/>
      <c r="F933" s="4561" t="n"/>
    </row>
    <row r="934">
      <c r="A934" s="4561" t="n"/>
      <c r="B934" s="4561" t="n"/>
      <c r="C934" s="4561" t="n"/>
      <c r="D934" s="4561" t="n"/>
      <c r="E934" s="4561" t="n"/>
      <c r="F934" s="4561" t="n"/>
    </row>
    <row r="935">
      <c r="A935" s="4561" t="n"/>
      <c r="B935" s="4561" t="n"/>
      <c r="C935" s="4561" t="n"/>
      <c r="D935" s="4561" t="n"/>
      <c r="E935" s="4561" t="n"/>
      <c r="F935" s="4561" t="n"/>
    </row>
    <row r="936">
      <c r="A936" s="4561" t="n"/>
      <c r="B936" s="4561" t="n"/>
      <c r="C936" s="4561" t="n"/>
      <c r="D936" s="4561" t="n"/>
      <c r="E936" s="4561" t="n"/>
      <c r="F936" s="4561" t="n"/>
    </row>
    <row r="937">
      <c r="A937" s="4561" t="n"/>
      <c r="B937" s="4561" t="n"/>
      <c r="C937" s="4561" t="n"/>
      <c r="D937" s="4561" t="n"/>
      <c r="E937" s="4561" t="n"/>
      <c r="F937" s="4561" t="n"/>
    </row>
    <row r="938">
      <c r="A938" s="4561" t="n"/>
      <c r="B938" s="4561" t="n"/>
      <c r="C938" s="4561" t="n"/>
      <c r="D938" s="4561" t="n"/>
      <c r="E938" s="4561" t="n"/>
      <c r="F938" s="4561" t="n"/>
    </row>
    <row r="939">
      <c r="A939" s="4561" t="n"/>
      <c r="B939" s="4561" t="n"/>
      <c r="C939" s="4561" t="n"/>
      <c r="D939" s="4561" t="n"/>
      <c r="E939" s="4561" t="n"/>
      <c r="F939" s="4561" t="n"/>
    </row>
    <row r="940">
      <c r="A940" s="4561" t="n"/>
      <c r="B940" s="4561" t="n"/>
      <c r="C940" s="4561" t="n"/>
      <c r="D940" s="4561" t="n"/>
      <c r="E940" s="4561" t="n"/>
      <c r="F940" s="4561" t="n"/>
    </row>
    <row r="941">
      <c r="A941" s="4561" t="n"/>
      <c r="B941" s="4561" t="n"/>
      <c r="C941" s="4561" t="n"/>
      <c r="D941" s="4561" t="n"/>
      <c r="E941" s="4561" t="n"/>
      <c r="F941" s="4561" t="n"/>
    </row>
    <row r="942">
      <c r="A942" s="4561" t="n"/>
      <c r="B942" s="4561" t="n"/>
      <c r="C942" s="4561" t="n"/>
      <c r="D942" s="4561" t="n"/>
      <c r="E942" s="4561" t="n"/>
      <c r="F942" s="4561" t="n"/>
    </row>
    <row r="943">
      <c r="A943" s="4561" t="n"/>
      <c r="B943" s="4561" t="n"/>
      <c r="C943" s="4561" t="n"/>
      <c r="D943" s="4561" t="n"/>
      <c r="E943" s="4561" t="n"/>
      <c r="F943" s="4561" t="n"/>
    </row>
    <row r="944">
      <c r="A944" s="4561" t="n"/>
      <c r="B944" s="4561" t="n"/>
      <c r="C944" s="4561" t="n"/>
      <c r="D944" s="4561" t="n"/>
      <c r="E944" s="4561" t="n"/>
      <c r="F944" s="4561" t="n"/>
    </row>
    <row r="945">
      <c r="A945" s="4561" t="n"/>
      <c r="B945" s="4561" t="n"/>
      <c r="C945" s="4561" t="n"/>
      <c r="D945" s="4561" t="n"/>
      <c r="E945" s="4561" t="n"/>
      <c r="F945" s="4561" t="n"/>
    </row>
    <row r="946">
      <c r="A946" s="4561" t="n"/>
      <c r="B946" s="4561" t="n"/>
      <c r="C946" s="4561" t="n"/>
      <c r="D946" s="4561" t="n"/>
      <c r="E946" s="4561" t="n"/>
      <c r="F946" s="4561" t="n"/>
    </row>
    <row r="947">
      <c r="A947" s="4561" t="n"/>
      <c r="B947" s="4561" t="n"/>
      <c r="C947" s="4561" t="n"/>
      <c r="D947" s="4561" t="n"/>
      <c r="E947" s="4561" t="n"/>
      <c r="F947" s="4561" t="n"/>
    </row>
    <row r="948">
      <c r="A948" s="4561" t="n"/>
      <c r="B948" s="4561" t="n"/>
      <c r="C948" s="4561" t="n"/>
      <c r="D948" s="4561" t="n"/>
      <c r="E948" s="4561" t="n"/>
      <c r="F948" s="4561" t="n"/>
    </row>
    <row r="949">
      <c r="A949" s="4561" t="n"/>
      <c r="B949" s="4561" t="n"/>
      <c r="C949" s="4561" t="n"/>
      <c r="D949" s="4561" t="n"/>
      <c r="E949" s="4561" t="n"/>
      <c r="F949" s="4561" t="n"/>
    </row>
    <row r="950">
      <c r="A950" s="4561" t="n"/>
      <c r="B950" s="4561" t="n"/>
      <c r="C950" s="4561" t="n"/>
      <c r="D950" s="4561" t="n"/>
      <c r="E950" s="4561" t="n"/>
      <c r="F950" s="4561" t="n"/>
    </row>
    <row r="951">
      <c r="A951" s="4561" t="n"/>
      <c r="B951" s="4561" t="n"/>
      <c r="C951" s="4561" t="n"/>
      <c r="D951" s="4561" t="n"/>
      <c r="E951" s="4561" t="n"/>
      <c r="F951" s="4561" t="n"/>
    </row>
    <row r="952">
      <c r="A952" s="4561" t="n"/>
      <c r="B952" s="4561" t="n"/>
      <c r="C952" s="4561" t="n"/>
      <c r="D952" s="4561" t="n"/>
      <c r="E952" s="4561" t="n"/>
      <c r="F952" s="4561" t="n"/>
    </row>
    <row r="953">
      <c r="A953" s="4561" t="n"/>
      <c r="B953" s="4561" t="n"/>
      <c r="C953" s="4561" t="n"/>
      <c r="D953" s="4561" t="n"/>
      <c r="E953" s="4561" t="n"/>
      <c r="F953" s="4561" t="n"/>
    </row>
    <row r="954">
      <c r="A954" s="4561" t="n"/>
      <c r="B954" s="4561" t="n"/>
      <c r="C954" s="4561" t="n"/>
      <c r="D954" s="4561" t="n"/>
      <c r="E954" s="4561" t="n"/>
      <c r="F954" s="4561" t="n"/>
    </row>
    <row r="955">
      <c r="A955" s="4561" t="n"/>
      <c r="B955" s="4561" t="n"/>
      <c r="C955" s="4561" t="n"/>
      <c r="D955" s="4561" t="n"/>
      <c r="E955" s="4561" t="n"/>
      <c r="F955" s="4561" t="n"/>
    </row>
    <row r="956">
      <c r="A956" s="4561" t="n"/>
      <c r="B956" s="4561" t="n"/>
      <c r="C956" s="4561" t="n"/>
      <c r="D956" s="4561" t="n"/>
      <c r="E956" s="4561" t="n"/>
      <c r="F956" s="4561" t="n"/>
    </row>
    <row r="957">
      <c r="A957" s="4561" t="n"/>
      <c r="B957" s="4561" t="n"/>
      <c r="C957" s="4561" t="n"/>
      <c r="D957" s="4561" t="n"/>
      <c r="E957" s="4561" t="n"/>
      <c r="F957" s="4561" t="n"/>
    </row>
    <row r="958">
      <c r="A958" s="4561" t="n"/>
      <c r="B958" s="4561" t="n"/>
      <c r="C958" s="4561" t="n"/>
      <c r="D958" s="4561" t="n"/>
      <c r="E958" s="4561" t="n"/>
      <c r="F958" s="4561" t="n"/>
    </row>
    <row r="959">
      <c r="A959" s="4561" t="n"/>
      <c r="B959" s="4561" t="n"/>
      <c r="C959" s="4561" t="n"/>
      <c r="D959" s="4561" t="n"/>
      <c r="E959" s="4561" t="n"/>
      <c r="F959" s="4561" t="n"/>
    </row>
    <row r="960">
      <c r="A960" s="4561" t="n"/>
      <c r="B960" s="4561" t="n"/>
      <c r="C960" s="4561" t="n"/>
      <c r="D960" s="4561" t="n"/>
      <c r="E960" s="4561" t="n"/>
      <c r="F960" s="4561" t="n"/>
    </row>
    <row r="961">
      <c r="A961" s="4561" t="n"/>
      <c r="B961" s="4561" t="n"/>
      <c r="C961" s="4561" t="n"/>
      <c r="D961" s="4561" t="n"/>
      <c r="E961" s="4561" t="n"/>
      <c r="F961" s="4561" t="n"/>
    </row>
    <row r="962">
      <c r="A962" s="4561" t="n"/>
      <c r="B962" s="4561" t="n"/>
      <c r="C962" s="4561" t="n"/>
      <c r="D962" s="4561" t="n"/>
      <c r="E962" s="4561" t="n"/>
      <c r="F962" s="4561" t="n"/>
    </row>
    <row r="963">
      <c r="A963" s="4561" t="n"/>
      <c r="B963" s="4561" t="n"/>
      <c r="C963" s="4561" t="n"/>
      <c r="D963" s="4561" t="n"/>
      <c r="E963" s="4561" t="n"/>
      <c r="F963" s="4561" t="n"/>
    </row>
    <row r="964">
      <c r="A964" s="4561" t="n"/>
      <c r="B964" s="4561" t="n"/>
      <c r="C964" s="4561" t="n"/>
      <c r="D964" s="4561" t="n"/>
      <c r="E964" s="4561" t="n"/>
      <c r="F964" s="4561" t="n"/>
    </row>
    <row r="965">
      <c r="A965" s="4561" t="n"/>
      <c r="B965" s="4561" t="n"/>
      <c r="C965" s="4561" t="n"/>
      <c r="D965" s="4561" t="n"/>
      <c r="E965" s="4561" t="n"/>
      <c r="F965" s="4561" t="n"/>
    </row>
    <row r="966">
      <c r="A966" s="4561" t="n"/>
      <c r="B966" s="4561" t="n"/>
      <c r="C966" s="4561" t="n"/>
      <c r="D966" s="4561" t="n"/>
      <c r="E966" s="4561" t="n"/>
      <c r="F966" s="4561" t="n"/>
    </row>
    <row r="967">
      <c r="A967" s="4561" t="n"/>
      <c r="B967" s="4561" t="n"/>
      <c r="C967" s="4561" t="n"/>
      <c r="D967" s="4561" t="n"/>
      <c r="E967" s="4561" t="n"/>
      <c r="F967" s="4561" t="n"/>
    </row>
    <row r="968">
      <c r="A968" s="4561" t="n"/>
      <c r="B968" s="4561" t="n"/>
      <c r="C968" s="4561" t="n"/>
      <c r="D968" s="4561" t="n"/>
      <c r="E968" s="4561" t="n"/>
      <c r="F968" s="4561" t="n"/>
    </row>
    <row r="969">
      <c r="A969" s="4561" t="n"/>
      <c r="B969" s="4561" t="n"/>
      <c r="C969" s="4561" t="n"/>
      <c r="D969" s="4561" t="n"/>
      <c r="E969" s="4561" t="n"/>
      <c r="F969" s="4561" t="n"/>
    </row>
    <row r="970">
      <c r="A970" s="4561" t="n"/>
      <c r="B970" s="4561" t="n"/>
      <c r="C970" s="4561" t="n"/>
      <c r="D970" s="4561" t="n"/>
      <c r="E970" s="4561" t="n"/>
      <c r="F970" s="4561" t="n"/>
    </row>
    <row r="971">
      <c r="A971" s="4561" t="n"/>
      <c r="B971" s="4561" t="n"/>
      <c r="C971" s="4561" t="n"/>
      <c r="D971" s="4561" t="n"/>
      <c r="E971" s="4561" t="n"/>
      <c r="F971" s="4561" t="n"/>
    </row>
    <row r="972">
      <c r="A972" s="4561" t="n"/>
      <c r="B972" s="4561" t="n"/>
      <c r="C972" s="4561" t="n"/>
      <c r="D972" s="4561" t="n"/>
      <c r="E972" s="4561" t="n"/>
      <c r="F972" s="4561" t="n"/>
    </row>
    <row r="973">
      <c r="A973" s="4561" t="n"/>
      <c r="B973" s="4561" t="n"/>
      <c r="C973" s="4561" t="n"/>
      <c r="D973" s="4561" t="n"/>
      <c r="E973" s="4561" t="n"/>
      <c r="F973" s="4561" t="n"/>
    </row>
    <row r="974">
      <c r="A974" s="4561" t="n"/>
      <c r="B974" s="4561" t="n"/>
      <c r="C974" s="4561" t="n"/>
      <c r="D974" s="4561" t="n"/>
      <c r="E974" s="4561" t="n"/>
      <c r="F974" s="4561" t="n"/>
    </row>
    <row r="975">
      <c r="A975" s="4561" t="n"/>
      <c r="B975" s="4561" t="n"/>
      <c r="C975" s="4561" t="n"/>
      <c r="D975" s="4561" t="n"/>
      <c r="E975" s="4561" t="n"/>
      <c r="F975" s="4561" t="n"/>
    </row>
    <row r="976">
      <c r="A976" s="4561" t="n"/>
      <c r="B976" s="4561" t="n"/>
      <c r="C976" s="4561" t="n"/>
      <c r="D976" s="4561" t="n"/>
      <c r="E976" s="4561" t="n"/>
      <c r="F976" s="4561" t="n"/>
    </row>
    <row r="977">
      <c r="A977" s="4561" t="n"/>
      <c r="B977" s="4561" t="n"/>
      <c r="C977" s="4561" t="n"/>
      <c r="D977" s="4561" t="n"/>
      <c r="E977" s="4561" t="n"/>
      <c r="F977" s="4561" t="n"/>
    </row>
    <row r="978">
      <c r="A978" s="4561" t="n"/>
      <c r="B978" s="4561" t="n"/>
      <c r="C978" s="4561" t="n"/>
      <c r="D978" s="4561" t="n"/>
      <c r="E978" s="4561" t="n"/>
      <c r="F978" s="4561" t="n"/>
    </row>
    <row r="979">
      <c r="A979" s="4561" t="n"/>
      <c r="B979" s="4561" t="n"/>
      <c r="C979" s="4561" t="n"/>
      <c r="D979" s="4561" t="n"/>
      <c r="E979" s="4561" t="n"/>
      <c r="F979" s="4561" t="n"/>
    </row>
    <row r="980">
      <c r="A980" s="4561" t="n"/>
      <c r="B980" s="4561" t="n"/>
      <c r="C980" s="4561" t="n"/>
      <c r="D980" s="4561" t="n"/>
      <c r="E980" s="4561" t="n"/>
      <c r="F980" s="4561" t="n"/>
    </row>
    <row r="981">
      <c r="A981" s="4561" t="n"/>
      <c r="B981" s="4561" t="n"/>
      <c r="C981" s="4561" t="n"/>
      <c r="D981" s="4561" t="n"/>
      <c r="E981" s="4561" t="n"/>
      <c r="F981" s="4561" t="n"/>
    </row>
    <row r="982">
      <c r="A982" s="4561" t="n"/>
      <c r="B982" s="4561" t="n"/>
      <c r="C982" s="4561" t="n"/>
      <c r="D982" s="4561" t="n"/>
      <c r="E982" s="4561" t="n"/>
      <c r="F982" s="4561" t="n"/>
    </row>
    <row r="983">
      <c r="A983" s="4561" t="n"/>
      <c r="B983" s="4561" t="n"/>
      <c r="C983" s="4561" t="n"/>
      <c r="D983" s="4561" t="n"/>
      <c r="E983" s="4561" t="n"/>
      <c r="F983" s="4561" t="n"/>
    </row>
    <row r="984">
      <c r="A984" s="4561" t="n"/>
      <c r="B984" s="4561" t="n"/>
      <c r="C984" s="4561" t="n"/>
      <c r="D984" s="4561" t="n"/>
      <c r="E984" s="4561" t="n"/>
      <c r="F984" s="4561" t="n"/>
    </row>
    <row r="985">
      <c r="A985" s="4561" t="n"/>
      <c r="B985" s="4561" t="n"/>
      <c r="C985" s="4561" t="n"/>
      <c r="D985" s="4561" t="n"/>
      <c r="E985" s="4561" t="n"/>
      <c r="F985" s="4561" t="n"/>
    </row>
    <row r="986">
      <c r="A986" s="4561" t="n"/>
      <c r="B986" s="4561" t="n"/>
      <c r="C986" s="4561" t="n"/>
      <c r="D986" s="4561" t="n"/>
      <c r="E986" s="4561" t="n"/>
      <c r="F986" s="4561" t="n"/>
    </row>
    <row r="987">
      <c r="A987" s="4561" t="n"/>
      <c r="B987" s="4561" t="n"/>
      <c r="C987" s="4561" t="n"/>
      <c r="D987" s="4561" t="n"/>
      <c r="E987" s="4561" t="n"/>
      <c r="F987" s="4561" t="n"/>
    </row>
    <row r="988">
      <c r="A988" s="4561" t="n"/>
      <c r="B988" s="4561" t="n"/>
      <c r="C988" s="4561" t="n"/>
      <c r="D988" s="4561" t="n"/>
      <c r="E988" s="4561" t="n"/>
      <c r="F988" s="4561" t="n"/>
    </row>
    <row r="989">
      <c r="A989" s="4561" t="n"/>
      <c r="B989" s="4561" t="n"/>
      <c r="C989" s="4561" t="n"/>
      <c r="D989" s="4561" t="n"/>
      <c r="E989" s="4561" t="n"/>
      <c r="F989" s="4561" t="n"/>
    </row>
    <row r="990">
      <c r="A990" s="4561" t="n"/>
      <c r="B990" s="4561" t="n"/>
      <c r="C990" s="4561" t="n"/>
      <c r="D990" s="4561" t="n"/>
      <c r="E990" s="4561" t="n"/>
      <c r="F990" s="4561" t="n"/>
    </row>
    <row r="991">
      <c r="A991" s="4561" t="n"/>
      <c r="B991" s="4561" t="n"/>
      <c r="C991" s="4561" t="n"/>
      <c r="D991" s="4561" t="n"/>
      <c r="E991" s="4561" t="n"/>
      <c r="F991" s="4561" t="n"/>
    </row>
    <row r="992">
      <c r="A992" s="4561" t="n"/>
      <c r="B992" s="4561" t="n"/>
      <c r="C992" s="4561" t="n"/>
      <c r="D992" s="4561" t="n"/>
      <c r="E992" s="4561" t="n"/>
      <c r="F992" s="4561" t="n"/>
    </row>
    <row r="993">
      <c r="A993" s="4561" t="n"/>
      <c r="B993" s="4561" t="n"/>
      <c r="C993" s="4561" t="n"/>
      <c r="D993" s="4561" t="n"/>
      <c r="E993" s="4561" t="n"/>
      <c r="F993" s="4561" t="n"/>
    </row>
    <row r="994">
      <c r="A994" s="4561" t="n"/>
      <c r="B994" s="4561" t="n"/>
      <c r="C994" s="4561" t="n"/>
      <c r="D994" s="4561" t="n"/>
      <c r="E994" s="4561" t="n"/>
      <c r="F994" s="4561" t="n"/>
    </row>
    <row r="995">
      <c r="A995" s="4561" t="n"/>
      <c r="B995" s="4561" t="n"/>
      <c r="C995" s="4561" t="n"/>
      <c r="D995" s="4561" t="n"/>
      <c r="E995" s="4561" t="n"/>
      <c r="F995" s="4561" t="n"/>
    </row>
    <row r="996">
      <c r="A996" s="4561" t="n"/>
      <c r="B996" s="4561" t="n"/>
      <c r="C996" s="4561" t="n"/>
      <c r="D996" s="4561" t="n"/>
      <c r="E996" s="4561" t="n"/>
      <c r="F996" s="4561" t="n"/>
    </row>
    <row r="997">
      <c r="A997" s="4561" t="n"/>
      <c r="B997" s="4561" t="n"/>
      <c r="C997" s="4561" t="n"/>
      <c r="D997" s="4561" t="n"/>
      <c r="E997" s="4561" t="n"/>
      <c r="F997" s="4561" t="n"/>
    </row>
    <row r="998">
      <c r="A998" s="4561" t="n"/>
      <c r="B998" s="4561" t="n"/>
      <c r="C998" s="4561" t="n"/>
      <c r="D998" s="4561" t="n"/>
      <c r="E998" s="4561" t="n"/>
      <c r="F998" s="4561" t="n"/>
    </row>
    <row r="999">
      <c r="A999" s="4561" t="n"/>
      <c r="B999" s="4561" t="n"/>
      <c r="C999" s="4561" t="n"/>
      <c r="D999" s="4561" t="n"/>
      <c r="E999" s="4561" t="n"/>
      <c r="F999" s="4561" t="n"/>
    </row>
    <row r="1000">
      <c r="A1000" s="4561" t="n"/>
      <c r="B1000" s="4561" t="n"/>
      <c r="C1000" s="4561" t="n"/>
      <c r="D1000" s="4561" t="n"/>
      <c r="E1000" s="4561" t="n"/>
      <c r="F1000" s="4561" t="n"/>
    </row>
    <row r="1001">
      <c r="A1001" s="4561" t="n"/>
      <c r="B1001" s="4561" t="n"/>
      <c r="C1001" s="4561" t="n"/>
      <c r="D1001" s="4561" t="n"/>
      <c r="E1001" s="4561" t="n"/>
      <c r="F1001" s="4561" t="n"/>
    </row>
    <row r="1002">
      <c r="A1002" s="4561" t="n"/>
      <c r="B1002" s="4561" t="n"/>
      <c r="C1002" s="4561" t="n"/>
      <c r="D1002" s="4561" t="n"/>
      <c r="E1002" s="4561" t="n"/>
      <c r="F1002" s="4561" t="n"/>
    </row>
    <row r="1003">
      <c r="A1003" s="4561" t="n"/>
      <c r="B1003" s="4561" t="n"/>
      <c r="C1003" s="4561" t="n"/>
      <c r="D1003" s="4561" t="n"/>
      <c r="E1003" s="4561" t="n"/>
      <c r="F1003" s="4561" t="n"/>
    </row>
    <row r="1004">
      <c r="A1004" s="4561" t="n"/>
      <c r="B1004" s="4561" t="n"/>
      <c r="C1004" s="4561" t="n"/>
      <c r="D1004" s="4561" t="n"/>
      <c r="E1004" s="4561" t="n"/>
      <c r="F1004" s="4561" t="n"/>
    </row>
    <row r="1005">
      <c r="A1005" s="4561" t="n"/>
      <c r="B1005" s="4561" t="n"/>
      <c r="C1005" s="4561" t="n"/>
      <c r="D1005" s="4561" t="n"/>
      <c r="E1005" s="4561" t="n"/>
      <c r="F1005" s="4561" t="n"/>
    </row>
    <row r="1006">
      <c r="A1006" s="4561" t="n"/>
      <c r="B1006" s="4561" t="n"/>
      <c r="C1006" s="4561" t="n"/>
      <c r="D1006" s="4561" t="n"/>
      <c r="E1006" s="4561" t="n"/>
      <c r="F1006" s="4561" t="n"/>
    </row>
    <row r="1007">
      <c r="A1007" s="4561" t="n"/>
      <c r="B1007" s="4561" t="n"/>
      <c r="C1007" s="4561" t="n"/>
      <c r="D1007" s="4561" t="n"/>
      <c r="E1007" s="4561" t="n"/>
      <c r="F1007" s="4561" t="n"/>
    </row>
    <row r="1008">
      <c r="A1008" s="4561" t="n"/>
      <c r="B1008" s="4561" t="n"/>
      <c r="C1008" s="4561" t="n"/>
      <c r="D1008" s="4561" t="n"/>
      <c r="E1008" s="4561" t="n"/>
      <c r="F1008" s="4561" t="n"/>
    </row>
    <row r="1009">
      <c r="A1009" s="4561" t="n"/>
      <c r="B1009" s="4561" t="n"/>
      <c r="C1009" s="4561" t="n"/>
      <c r="D1009" s="4561" t="n"/>
      <c r="E1009" s="4561" t="n"/>
      <c r="F1009" s="4561" t="n"/>
    </row>
    <row r="1010">
      <c r="A1010" s="4561" t="n"/>
      <c r="B1010" s="4561" t="n"/>
      <c r="C1010" s="4561" t="n"/>
      <c r="D1010" s="4561" t="n"/>
      <c r="E1010" s="4561" t="n"/>
      <c r="F1010" s="4561" t="n"/>
    </row>
    <row r="1011">
      <c r="A1011" s="4561" t="n"/>
      <c r="B1011" s="4561" t="n"/>
      <c r="C1011" s="4561" t="n"/>
      <c r="D1011" s="4561" t="n"/>
      <c r="E1011" s="4561" t="n"/>
      <c r="F1011" s="4561" t="n"/>
    </row>
    <row r="1012">
      <c r="A1012" s="4561" t="n"/>
      <c r="B1012" s="4561" t="n"/>
      <c r="C1012" s="4561" t="n"/>
      <c r="D1012" s="4561" t="n"/>
      <c r="E1012" s="4561" t="n"/>
      <c r="F1012" s="4561" t="n"/>
    </row>
    <row r="1013">
      <c r="A1013" s="4561" t="n"/>
      <c r="B1013" s="4561" t="n"/>
      <c r="C1013" s="4561" t="n"/>
      <c r="D1013" s="4561" t="n"/>
      <c r="E1013" s="4561" t="n"/>
      <c r="F1013" s="4561" t="n"/>
    </row>
    <row r="1014">
      <c r="A1014" s="4561" t="n"/>
      <c r="B1014" s="4561" t="n"/>
      <c r="C1014" s="4561" t="n"/>
      <c r="D1014" s="4561" t="n"/>
      <c r="E1014" s="4561" t="n"/>
      <c r="F1014" s="4561" t="n"/>
    </row>
    <row r="1015">
      <c r="A1015" s="4561" t="n"/>
      <c r="B1015" s="4561" t="n"/>
      <c r="C1015" s="4561" t="n"/>
      <c r="D1015" s="4561" t="n"/>
      <c r="E1015" s="4561" t="n"/>
      <c r="F1015" s="4561" t="n"/>
    </row>
    <row r="1016">
      <c r="A1016" s="4561" t="n"/>
      <c r="B1016" s="4561" t="n"/>
      <c r="C1016" s="4561" t="n"/>
      <c r="D1016" s="4561" t="n"/>
      <c r="E1016" s="4561" t="n"/>
      <c r="F1016" s="4561" t="n"/>
    </row>
    <row r="1017">
      <c r="A1017" s="4561" t="n"/>
      <c r="B1017" s="4561" t="n"/>
      <c r="C1017" s="4561" t="n"/>
      <c r="D1017" s="4561" t="n"/>
      <c r="E1017" s="4561" t="n"/>
      <c r="F1017" s="4561" t="n"/>
    </row>
    <row r="1018">
      <c r="A1018" s="4561" t="n"/>
      <c r="B1018" s="4561" t="n"/>
      <c r="C1018" s="4561" t="n"/>
      <c r="D1018" s="4561" t="n"/>
      <c r="E1018" s="4561" t="n"/>
      <c r="F1018" s="4561" t="n"/>
    </row>
    <row r="1019">
      <c r="A1019" s="4561" t="n"/>
      <c r="B1019" s="4561" t="n"/>
      <c r="C1019" s="4561" t="n"/>
      <c r="D1019" s="4561" t="n"/>
      <c r="E1019" s="4561" t="n"/>
      <c r="F1019" s="4561" t="n"/>
    </row>
    <row r="1020">
      <c r="A1020" s="4561" t="n"/>
      <c r="B1020" s="4561" t="n"/>
      <c r="C1020" s="4561" t="n"/>
      <c r="D1020" s="4561" t="n"/>
      <c r="E1020" s="4561" t="n"/>
      <c r="F1020" s="4561" t="n"/>
    </row>
    <row r="1021">
      <c r="A1021" s="4561" t="n"/>
      <c r="B1021" s="4561" t="n"/>
      <c r="C1021" s="4561" t="n"/>
      <c r="D1021" s="4561" t="n"/>
      <c r="E1021" s="4561" t="n"/>
      <c r="F1021" s="4561" t="n"/>
    </row>
    <row r="1022">
      <c r="A1022" s="4561" t="n"/>
      <c r="B1022" s="4561" t="n"/>
      <c r="C1022" s="4561" t="n"/>
      <c r="D1022" s="4561" t="n"/>
      <c r="E1022" s="4561" t="n"/>
      <c r="F1022" s="4561" t="n"/>
    </row>
    <row r="1023">
      <c r="A1023" s="4561" t="n"/>
      <c r="B1023" s="4561" t="n"/>
      <c r="C1023" s="4561" t="n"/>
      <c r="D1023" s="4561" t="n"/>
      <c r="E1023" s="4561" t="n"/>
      <c r="F1023" s="4561" t="n"/>
    </row>
    <row r="1024">
      <c r="A1024" s="4561" t="n"/>
      <c r="B1024" s="4561" t="n"/>
      <c r="C1024" s="4561" t="n"/>
      <c r="D1024" s="4561" t="n"/>
      <c r="E1024" s="4561" t="n"/>
      <c r="F1024" s="4561" t="n"/>
    </row>
    <row r="1025">
      <c r="A1025" s="4561" t="n"/>
      <c r="B1025" s="4561" t="n"/>
      <c r="C1025" s="4561" t="n"/>
      <c r="D1025" s="4561" t="n"/>
      <c r="E1025" s="4561" t="n"/>
      <c r="F1025" s="4561" t="n"/>
    </row>
    <row r="1026">
      <c r="A1026" s="4561" t="n"/>
      <c r="B1026" s="4561" t="n"/>
      <c r="C1026" s="4561" t="n"/>
      <c r="D1026" s="4561" t="n"/>
      <c r="E1026" s="4561" t="n"/>
      <c r="F1026" s="4561" t="n"/>
    </row>
    <row r="1027">
      <c r="A1027" s="4561" t="n"/>
      <c r="B1027" s="4561" t="n"/>
      <c r="C1027" s="4561" t="n"/>
      <c r="D1027" s="4561" t="n"/>
      <c r="E1027" s="4561" t="n"/>
      <c r="F1027" s="4561" t="n"/>
    </row>
    <row r="1028">
      <c r="A1028" s="4561" t="n"/>
      <c r="B1028" s="4561" t="n"/>
      <c r="C1028" s="4561" t="n"/>
      <c r="D1028" s="4561" t="n"/>
      <c r="E1028" s="4561" t="n"/>
      <c r="F1028" s="4561" t="n"/>
    </row>
    <row r="1029">
      <c r="A1029" s="4561" t="n"/>
      <c r="B1029" s="4561" t="n"/>
      <c r="C1029" s="4561" t="n"/>
      <c r="D1029" s="4561" t="n"/>
      <c r="E1029" s="4561" t="n"/>
      <c r="F1029" s="4561" t="n"/>
    </row>
    <row r="1030">
      <c r="A1030" s="4561" t="n"/>
      <c r="B1030" s="4561" t="n"/>
      <c r="C1030" s="4561" t="n"/>
      <c r="D1030" s="4561" t="n"/>
      <c r="E1030" s="4561" t="n"/>
      <c r="F1030" s="4561" t="n"/>
    </row>
    <row r="1031">
      <c r="A1031" s="4561" t="n"/>
      <c r="B1031" s="4561" t="n"/>
      <c r="C1031" s="4561" t="n"/>
      <c r="D1031" s="4561" t="n"/>
      <c r="E1031" s="4561" t="n"/>
      <c r="F1031" s="4561" t="n"/>
    </row>
    <row r="1032">
      <c r="A1032" s="4561" t="n"/>
      <c r="B1032" s="4561" t="n"/>
      <c r="C1032" s="4561" t="n"/>
      <c r="D1032" s="4561" t="n"/>
      <c r="E1032" s="4561" t="n"/>
      <c r="F1032" s="4561" t="n"/>
    </row>
    <row r="1033">
      <c r="A1033" s="4561" t="n"/>
      <c r="B1033" s="4561" t="n"/>
      <c r="C1033" s="4561" t="n"/>
      <c r="D1033" s="4561" t="n"/>
      <c r="E1033" s="4561" t="n"/>
      <c r="F1033" s="4561" t="n"/>
    </row>
    <row r="1034">
      <c r="A1034" s="4561" t="n"/>
      <c r="B1034" s="4561" t="n"/>
      <c r="C1034" s="4561" t="n"/>
      <c r="D1034" s="4561" t="n"/>
      <c r="E1034" s="4561" t="n"/>
      <c r="F1034" s="4561" t="n"/>
    </row>
    <row r="1035">
      <c r="A1035" s="4561" t="n"/>
      <c r="B1035" s="4561" t="n"/>
      <c r="C1035" s="4561" t="n"/>
      <c r="D1035" s="4561" t="n"/>
      <c r="E1035" s="4561" t="n"/>
      <c r="F1035" s="4561" t="n"/>
    </row>
    <row r="1036">
      <c r="A1036" s="4561" t="n"/>
      <c r="B1036" s="4561" t="n"/>
      <c r="C1036" s="4561" t="n"/>
      <c r="D1036" s="4561" t="n"/>
      <c r="E1036" s="4561" t="n"/>
      <c r="F1036" s="4561" t="n"/>
    </row>
    <row r="1037">
      <c r="A1037" s="4561" t="n"/>
      <c r="B1037" s="4561" t="n"/>
      <c r="C1037" s="4561" t="n"/>
      <c r="D1037" s="4561" t="n"/>
      <c r="E1037" s="4561" t="n"/>
      <c r="F1037" s="4561" t="n"/>
    </row>
    <row r="1038">
      <c r="A1038" s="4561" t="n"/>
      <c r="B1038" s="4561" t="n"/>
      <c r="C1038" s="4561" t="n"/>
      <c r="D1038" s="4561" t="n"/>
      <c r="E1038" s="4561" t="n"/>
      <c r="F1038" s="4561" t="n"/>
    </row>
    <row r="1039">
      <c r="A1039" s="4561" t="n"/>
      <c r="B1039" s="4561" t="n"/>
      <c r="C1039" s="4561" t="n"/>
      <c r="D1039" s="4561" t="n"/>
      <c r="E1039" s="4561" t="n"/>
      <c r="F1039" s="4561" t="n"/>
    </row>
    <row r="1040">
      <c r="A1040" s="4561" t="n"/>
      <c r="B1040" s="4561" t="n"/>
      <c r="C1040" s="4561" t="n"/>
      <c r="D1040" s="4561" t="n"/>
      <c r="E1040" s="4561" t="n"/>
      <c r="F1040" s="4561" t="n"/>
    </row>
    <row r="1041">
      <c r="A1041" s="4561" t="n"/>
      <c r="B1041" s="4561" t="n"/>
      <c r="C1041" s="4561" t="n"/>
      <c r="D1041" s="4561" t="n"/>
      <c r="E1041" s="4561" t="n"/>
      <c r="F1041" s="4561" t="n"/>
    </row>
    <row r="1042">
      <c r="A1042" s="4561" t="n"/>
      <c r="B1042" s="4561" t="n"/>
      <c r="C1042" s="4561" t="n"/>
      <c r="D1042" s="4561" t="n"/>
      <c r="E1042" s="4561" t="n"/>
      <c r="F1042" s="4561" t="n"/>
    </row>
    <row r="1043">
      <c r="A1043" s="4561" t="n"/>
      <c r="B1043" s="4561" t="n"/>
      <c r="C1043" s="4561" t="n"/>
      <c r="D1043" s="4561" t="n"/>
      <c r="E1043" s="4561" t="n"/>
      <c r="F1043" s="4561" t="n"/>
    </row>
    <row r="1044">
      <c r="A1044" s="4561" t="n"/>
      <c r="B1044" s="4561" t="n"/>
      <c r="C1044" s="4561" t="n"/>
      <c r="D1044" s="4561" t="n"/>
      <c r="E1044" s="4561" t="n"/>
      <c r="F1044" s="4561" t="n"/>
    </row>
    <row r="1045">
      <c r="A1045" s="4561" t="n"/>
      <c r="B1045" s="4561" t="n"/>
      <c r="C1045" s="4561" t="n"/>
      <c r="D1045" s="4561" t="n"/>
      <c r="E1045" s="4561" t="n"/>
      <c r="F1045" s="4561" t="n"/>
    </row>
    <row r="1046">
      <c r="A1046" s="4561" t="n"/>
      <c r="B1046" s="4561" t="n"/>
      <c r="C1046" s="4561" t="n"/>
      <c r="D1046" s="4561" t="n"/>
      <c r="E1046" s="4561" t="n"/>
      <c r="F1046" s="4561" t="n"/>
    </row>
    <row r="1047">
      <c r="A1047" s="4561" t="n"/>
      <c r="B1047" s="4561" t="n"/>
      <c r="C1047" s="4561" t="n"/>
      <c r="D1047" s="4561" t="n"/>
      <c r="E1047" s="4561" t="n"/>
      <c r="F1047" s="4561" t="n"/>
    </row>
    <row r="1048">
      <c r="A1048" s="4561" t="n"/>
      <c r="B1048" s="4561" t="n"/>
      <c r="C1048" s="4561" t="n"/>
      <c r="D1048" s="4561" t="n"/>
      <c r="E1048" s="4561" t="n"/>
      <c r="F1048" s="4561" t="n"/>
    </row>
    <row r="1049">
      <c r="A1049" s="4561" t="n"/>
      <c r="B1049" s="4561" t="n"/>
      <c r="C1049" s="4561" t="n"/>
      <c r="D1049" s="4561" t="n"/>
      <c r="E1049" s="4561" t="n"/>
      <c r="F1049" s="4561" t="n"/>
    </row>
    <row r="1050">
      <c r="A1050" s="4561" t="n"/>
      <c r="B1050" s="4561" t="n"/>
      <c r="C1050" s="4561" t="n"/>
      <c r="D1050" s="4561" t="n"/>
      <c r="E1050" s="4561" t="n"/>
      <c r="F1050" s="4561" t="n"/>
    </row>
    <row r="1051">
      <c r="A1051" s="4561" t="n"/>
      <c r="B1051" s="4561" t="n"/>
      <c r="C1051" s="4561" t="n"/>
      <c r="D1051" s="4561" t="n"/>
      <c r="E1051" s="4561" t="n"/>
      <c r="F1051" s="4561" t="n"/>
    </row>
    <row r="1052">
      <c r="A1052" s="4561" t="n"/>
      <c r="B1052" s="4561" t="n"/>
      <c r="C1052" s="4561" t="n"/>
      <c r="D1052" s="4561" t="n"/>
      <c r="E1052" s="4561" t="n"/>
      <c r="F1052" s="4561" t="n"/>
    </row>
    <row r="1053">
      <c r="A1053" s="4561" t="n"/>
      <c r="B1053" s="4561" t="n"/>
      <c r="C1053" s="4561" t="n"/>
      <c r="D1053" s="4561" t="n"/>
      <c r="E1053" s="4561" t="n"/>
      <c r="F1053" s="4561" t="n"/>
    </row>
    <row r="1054">
      <c r="A1054" s="4561" t="n"/>
      <c r="B1054" s="4561" t="n"/>
      <c r="C1054" s="4561" t="n"/>
      <c r="D1054" s="4561" t="n"/>
      <c r="E1054" s="4561" t="n"/>
      <c r="F1054" s="4561" t="n"/>
    </row>
    <row r="1055">
      <c r="A1055" s="4561" t="n"/>
      <c r="B1055" s="4561" t="n"/>
      <c r="C1055" s="4561" t="n"/>
      <c r="D1055" s="4561" t="n"/>
      <c r="E1055" s="4561" t="n"/>
      <c r="F1055" s="4561" t="n"/>
    </row>
    <row r="1056">
      <c r="A1056" s="4561" t="n"/>
      <c r="B1056" s="4561" t="n"/>
      <c r="C1056" s="4561" t="n"/>
      <c r="D1056" s="4561" t="n"/>
      <c r="E1056" s="4561" t="n"/>
      <c r="F1056" s="4561" t="n"/>
    </row>
    <row r="1057">
      <c r="A1057" s="4561" t="n"/>
      <c r="B1057" s="4561" t="n"/>
      <c r="C1057" s="4561" t="n"/>
      <c r="D1057" s="4561" t="n"/>
      <c r="E1057" s="4561" t="n"/>
      <c r="F1057" s="4561" t="n"/>
    </row>
    <row r="1058">
      <c r="A1058" s="4561" t="n"/>
      <c r="B1058" s="4561" t="n"/>
      <c r="C1058" s="4561" t="n"/>
      <c r="D1058" s="4561" t="n"/>
      <c r="E1058" s="4561" t="n"/>
      <c r="F1058" s="4561" t="n"/>
    </row>
    <row r="1059">
      <c r="A1059" s="4561" t="n"/>
      <c r="B1059" s="4561" t="n"/>
      <c r="C1059" s="4561" t="n"/>
      <c r="D1059" s="4561" t="n"/>
      <c r="E1059" s="4561" t="n"/>
      <c r="F1059" s="4561" t="n"/>
    </row>
    <row r="1060">
      <c r="A1060" s="4561" t="n"/>
      <c r="B1060" s="4561" t="n"/>
      <c r="C1060" s="4561" t="n"/>
      <c r="D1060" s="4561" t="n"/>
      <c r="E1060" s="4561" t="n"/>
      <c r="F1060" s="4561" t="n"/>
    </row>
    <row r="1061">
      <c r="A1061" s="4561" t="n"/>
      <c r="B1061" s="4561" t="n"/>
      <c r="C1061" s="4561" t="n"/>
      <c r="D1061" s="4561" t="n"/>
      <c r="E1061" s="4561" t="n"/>
      <c r="F1061" s="4561" t="n"/>
    </row>
    <row r="1062">
      <c r="A1062" s="4561" t="n"/>
      <c r="B1062" s="4561" t="n"/>
      <c r="C1062" s="4561" t="n"/>
      <c r="D1062" s="4561" t="n"/>
      <c r="E1062" s="4561" t="n"/>
      <c r="F1062" s="4561" t="n"/>
    </row>
    <row r="1063">
      <c r="A1063" s="4561" t="n"/>
      <c r="B1063" s="4561" t="n"/>
      <c r="C1063" s="4561" t="n"/>
      <c r="D1063" s="4561" t="n"/>
      <c r="E1063" s="4561" t="n"/>
      <c r="F1063" s="4561" t="n"/>
    </row>
    <row r="1064">
      <c r="A1064" s="4561" t="n"/>
      <c r="B1064" s="4561" t="n"/>
      <c r="C1064" s="4561" t="n"/>
      <c r="D1064" s="4561" t="n"/>
      <c r="E1064" s="4561" t="n"/>
      <c r="F1064" s="4561" t="n"/>
    </row>
    <row r="1065">
      <c r="A1065" s="4561" t="n"/>
      <c r="B1065" s="4561" t="n"/>
      <c r="C1065" s="4561" t="n"/>
      <c r="D1065" s="4561" t="n"/>
      <c r="E1065" s="4561" t="n"/>
      <c r="F1065" s="4561" t="n"/>
    </row>
    <row r="1066">
      <c r="A1066" s="4561" t="n"/>
      <c r="B1066" s="4561" t="n"/>
      <c r="C1066" s="4561" t="n"/>
      <c r="D1066" s="4561" t="n"/>
      <c r="E1066" s="4561" t="n"/>
      <c r="F1066" s="4561" t="n"/>
    </row>
    <row r="1067">
      <c r="A1067" s="4561" t="n"/>
      <c r="B1067" s="4561" t="n"/>
      <c r="C1067" s="4561" t="n"/>
      <c r="D1067" s="4561" t="n"/>
      <c r="E1067" s="4561" t="n"/>
      <c r="F1067" s="4561" t="n"/>
    </row>
    <row r="1068">
      <c r="A1068" s="4561" t="n"/>
      <c r="B1068" s="4561" t="n"/>
      <c r="C1068" s="4561" t="n"/>
      <c r="D1068" s="4561" t="n"/>
      <c r="E1068" s="4561" t="n"/>
      <c r="F1068" s="4561" t="n"/>
    </row>
    <row r="1069">
      <c r="A1069" s="4561" t="n"/>
      <c r="B1069" s="4561" t="n"/>
      <c r="C1069" s="4561" t="n"/>
      <c r="D1069" s="4561" t="n"/>
      <c r="E1069" s="4561" t="n"/>
      <c r="F1069" s="4561" t="n"/>
    </row>
    <row r="1070">
      <c r="A1070" s="4561" t="n"/>
      <c r="B1070" s="4561" t="n"/>
      <c r="C1070" s="4561" t="n"/>
      <c r="D1070" s="4561" t="n"/>
      <c r="E1070" s="4561" t="n"/>
      <c r="F1070" s="4561" t="n"/>
    </row>
    <row r="1071">
      <c r="A1071" s="4561" t="n"/>
      <c r="B1071" s="4561" t="n"/>
      <c r="C1071" s="4561" t="n"/>
      <c r="D1071" s="4561" t="n"/>
      <c r="E1071" s="4561" t="n"/>
      <c r="F1071" s="4561" t="n"/>
    </row>
    <row r="1072">
      <c r="A1072" s="4561" t="n"/>
      <c r="B1072" s="4561" t="n"/>
      <c r="C1072" s="4561" t="n"/>
      <c r="D1072" s="4561" t="n"/>
      <c r="E1072" s="4561" t="n"/>
      <c r="F1072" s="4561" t="n"/>
    </row>
    <row r="1073">
      <c r="A1073" s="4561" t="n"/>
      <c r="B1073" s="4561" t="n"/>
      <c r="C1073" s="4561" t="n"/>
      <c r="D1073" s="4561" t="n"/>
      <c r="E1073" s="4561" t="n"/>
      <c r="F1073" s="4561" t="n"/>
    </row>
    <row r="1074">
      <c r="A1074" s="4561" t="n"/>
      <c r="B1074" s="4561" t="n"/>
      <c r="C1074" s="4561" t="n"/>
      <c r="D1074" s="4561" t="n"/>
      <c r="E1074" s="4561" t="n"/>
      <c r="F1074" s="4561" t="n"/>
    </row>
    <row r="1075">
      <c r="A1075" s="4561" t="n"/>
      <c r="B1075" s="4561" t="n"/>
      <c r="C1075" s="4561" t="n"/>
      <c r="D1075" s="4561" t="n"/>
      <c r="E1075" s="4561" t="n"/>
      <c r="F1075" s="4561" t="n"/>
    </row>
    <row r="1076">
      <c r="A1076" s="4561" t="n"/>
      <c r="B1076" s="4561" t="n"/>
      <c r="C1076" s="4561" t="n"/>
      <c r="D1076" s="4561" t="n"/>
      <c r="E1076" s="4561" t="n"/>
      <c r="F1076" s="4561" t="n"/>
    </row>
    <row r="1077">
      <c r="A1077" s="4561" t="n"/>
      <c r="B1077" s="4561" t="n"/>
      <c r="C1077" s="4561" t="n"/>
      <c r="D1077" s="4561" t="n"/>
      <c r="E1077" s="4561" t="n"/>
      <c r="F1077" s="4561" t="n"/>
    </row>
    <row r="1078">
      <c r="A1078" s="4561" t="n"/>
      <c r="B1078" s="4561" t="n"/>
      <c r="C1078" s="4561" t="n"/>
      <c r="D1078" s="4561" t="n"/>
      <c r="E1078" s="4561" t="n"/>
      <c r="F1078" s="4561" t="n"/>
    </row>
    <row r="1079">
      <c r="A1079" s="4561" t="n"/>
      <c r="B1079" s="4561" t="n"/>
      <c r="C1079" s="4561" t="n"/>
      <c r="D1079" s="4561" t="n"/>
      <c r="E1079" s="4561" t="n"/>
      <c r="F1079" s="4561" t="n"/>
    </row>
    <row r="1080">
      <c r="A1080" s="4561" t="n"/>
      <c r="B1080" s="4561" t="n"/>
      <c r="C1080" s="4561" t="n"/>
      <c r="D1080" s="4561" t="n"/>
      <c r="E1080" s="4561" t="n"/>
      <c r="F1080" s="4561" t="n"/>
    </row>
    <row r="1081">
      <c r="A1081" s="4561" t="n"/>
      <c r="B1081" s="4561" t="n"/>
      <c r="C1081" s="4561" t="n"/>
      <c r="D1081" s="4561" t="n"/>
      <c r="E1081" s="4561" t="n"/>
      <c r="F1081" s="4561" t="n"/>
    </row>
    <row r="1082">
      <c r="A1082" s="4561" t="n"/>
      <c r="B1082" s="4561" t="n"/>
      <c r="C1082" s="4561" t="n"/>
      <c r="D1082" s="4561" t="n"/>
      <c r="E1082" s="4561" t="n"/>
      <c r="F1082" s="4561" t="n"/>
    </row>
    <row r="1083">
      <c r="A1083" s="4561" t="n"/>
      <c r="B1083" s="4561" t="n"/>
      <c r="C1083" s="4561" t="n"/>
      <c r="D1083" s="4561" t="n"/>
      <c r="E1083" s="4561" t="n"/>
      <c r="F1083" s="4561" t="n"/>
    </row>
    <row r="1084">
      <c r="A1084" s="4561" t="n"/>
      <c r="B1084" s="4561" t="n"/>
      <c r="C1084" s="4561" t="n"/>
      <c r="D1084" s="4561" t="n"/>
      <c r="E1084" s="4561" t="n"/>
      <c r="F1084" s="4561" t="n"/>
    </row>
    <row r="1085">
      <c r="A1085" s="4561" t="n"/>
      <c r="B1085" s="4561" t="n"/>
      <c r="C1085" s="4561" t="n"/>
      <c r="D1085" s="4561" t="n"/>
      <c r="E1085" s="4561" t="n"/>
      <c r="F1085" s="4561" t="n"/>
    </row>
    <row r="1086">
      <c r="A1086" s="4561" t="n"/>
      <c r="B1086" s="4561" t="n"/>
      <c r="C1086" s="4561" t="n"/>
      <c r="D1086" s="4561" t="n"/>
      <c r="E1086" s="4561" t="n"/>
      <c r="F1086" s="4561" t="n"/>
    </row>
    <row r="1087">
      <c r="A1087" s="4561" t="n"/>
      <c r="B1087" s="4561" t="n"/>
      <c r="C1087" s="4561" t="n"/>
      <c r="D1087" s="4561" t="n"/>
      <c r="E1087" s="4561" t="n"/>
      <c r="F1087" s="4561" t="n"/>
    </row>
    <row r="1088">
      <c r="A1088" s="4561" t="n"/>
      <c r="B1088" s="4561" t="n"/>
      <c r="C1088" s="4561" t="n"/>
      <c r="D1088" s="4561" t="n"/>
      <c r="E1088" s="4561" t="n"/>
      <c r="F1088" s="4561" t="n"/>
    </row>
    <row r="1089">
      <c r="A1089" s="4561" t="n"/>
      <c r="B1089" s="4561" t="n"/>
      <c r="C1089" s="4561" t="n"/>
      <c r="D1089" s="4561" t="n"/>
      <c r="E1089" s="4561" t="n"/>
      <c r="F1089" s="4561" t="n"/>
    </row>
    <row r="1090">
      <c r="A1090" s="4561" t="n"/>
      <c r="B1090" s="4561" t="n"/>
      <c r="C1090" s="4561" t="n"/>
      <c r="D1090" s="4561" t="n"/>
      <c r="E1090" s="4561" t="n"/>
      <c r="F1090" s="4561" t="n"/>
    </row>
    <row r="1091">
      <c r="A1091" s="4561" t="n"/>
      <c r="B1091" s="4561" t="n"/>
      <c r="C1091" s="4561" t="n"/>
      <c r="D1091" s="4561" t="n"/>
      <c r="E1091" s="4561" t="n"/>
      <c r="F1091" s="4561" t="n"/>
    </row>
    <row r="1092">
      <c r="A1092" s="4561" t="n"/>
      <c r="B1092" s="4561" t="n"/>
      <c r="C1092" s="4561" t="n"/>
      <c r="D1092" s="4561" t="n"/>
      <c r="E1092" s="4561" t="n"/>
      <c r="F1092" s="4561" t="n"/>
    </row>
    <row r="1093">
      <c r="A1093" s="4561" t="n"/>
      <c r="B1093" s="4561" t="n"/>
      <c r="C1093" s="4561" t="n"/>
      <c r="D1093" s="4561" t="n"/>
      <c r="E1093" s="4561" t="n"/>
      <c r="F1093" s="4561" t="n"/>
    </row>
    <row r="1094">
      <c r="A1094" s="4561" t="n"/>
      <c r="B1094" s="4561" t="n"/>
      <c r="C1094" s="4561" t="n"/>
      <c r="D1094" s="4561" t="n"/>
      <c r="E1094" s="4561" t="n"/>
      <c r="F1094" s="4561" t="n"/>
    </row>
    <row r="1095">
      <c r="A1095" s="4561" t="n"/>
      <c r="B1095" s="4561" t="n"/>
      <c r="C1095" s="4561" t="n"/>
      <c r="D1095" s="4561" t="n"/>
      <c r="E1095" s="4561" t="n"/>
      <c r="F1095" s="4561" t="n"/>
    </row>
    <row r="1096">
      <c r="A1096" s="4561" t="n"/>
      <c r="B1096" s="4561" t="n"/>
      <c r="C1096" s="4561" t="n"/>
      <c r="D1096" s="4561" t="n"/>
      <c r="E1096" s="4561" t="n"/>
      <c r="F1096" s="4561" t="n"/>
    </row>
    <row r="1097">
      <c r="A1097" s="4561" t="n"/>
      <c r="B1097" s="4561" t="n"/>
      <c r="C1097" s="4561" t="n"/>
      <c r="D1097" s="4561" t="n"/>
      <c r="E1097" s="4561" t="n"/>
      <c r="F1097" s="4561" t="n"/>
    </row>
    <row r="1098">
      <c r="A1098" s="4561" t="n"/>
      <c r="B1098" s="4561" t="n"/>
      <c r="C1098" s="4561" t="n"/>
      <c r="D1098" s="4561" t="n"/>
      <c r="E1098" s="4561" t="n"/>
      <c r="F1098" s="4561" t="n"/>
    </row>
    <row r="1099">
      <c r="A1099" s="4561" t="n"/>
      <c r="B1099" s="4561" t="n"/>
      <c r="C1099" s="4561" t="n"/>
      <c r="D1099" s="4561" t="n"/>
      <c r="E1099" s="4561" t="n"/>
      <c r="F1099" s="4561" t="n"/>
    </row>
    <row r="1100">
      <c r="A1100" s="4561" t="n"/>
      <c r="B1100" s="4561" t="n"/>
      <c r="C1100" s="4561" t="n"/>
      <c r="D1100" s="4561" t="n"/>
      <c r="E1100" s="4561" t="n"/>
      <c r="F1100" s="4561" t="n"/>
    </row>
    <row r="1101">
      <c r="A1101" s="4561" t="n"/>
      <c r="B1101" s="4561" t="n"/>
      <c r="C1101" s="4561" t="n"/>
      <c r="D1101" s="4561" t="n"/>
      <c r="E1101" s="4561" t="n"/>
      <c r="F1101" s="4561" t="n"/>
    </row>
    <row r="1102">
      <c r="A1102" s="4561" t="n"/>
      <c r="B1102" s="4561" t="n"/>
      <c r="C1102" s="4561" t="n"/>
      <c r="D1102" s="4561" t="n"/>
      <c r="E1102" s="4561" t="n"/>
      <c r="F1102" s="4561" t="n"/>
    </row>
    <row r="1103">
      <c r="A1103" s="4561" t="n"/>
      <c r="B1103" s="4561" t="n"/>
      <c r="C1103" s="4561" t="n"/>
      <c r="D1103" s="4561" t="n"/>
      <c r="E1103" s="4561" t="n"/>
      <c r="F1103" s="4561" t="n"/>
    </row>
    <row r="1104">
      <c r="A1104" s="4561" t="n"/>
      <c r="B1104" s="4561" t="n"/>
      <c r="C1104" s="4561" t="n"/>
      <c r="D1104" s="4561" t="n"/>
      <c r="E1104" s="4561" t="n"/>
      <c r="F1104" s="4561" t="n"/>
    </row>
    <row r="1105">
      <c r="A1105" s="4561" t="n"/>
      <c r="B1105" s="4561" t="n"/>
      <c r="C1105" s="4561" t="n"/>
      <c r="D1105" s="4561" t="n"/>
      <c r="E1105" s="4561" t="n"/>
      <c r="F1105" s="4561" t="n"/>
    </row>
    <row r="1106">
      <c r="A1106" s="4561" t="n"/>
      <c r="B1106" s="4561" t="n"/>
      <c r="C1106" s="4561" t="n"/>
      <c r="D1106" s="4561" t="n"/>
      <c r="E1106" s="4561" t="n"/>
      <c r="F1106" s="4561" t="n"/>
    </row>
    <row r="1107">
      <c r="A1107" s="4561" t="n"/>
      <c r="B1107" s="4561" t="n"/>
      <c r="C1107" s="4561" t="n"/>
      <c r="D1107" s="4561" t="n"/>
      <c r="E1107" s="4561" t="n"/>
      <c r="F1107" s="4561" t="n"/>
    </row>
    <row r="1108">
      <c r="A1108" s="4561" t="n"/>
      <c r="B1108" s="4561" t="n"/>
      <c r="C1108" s="4561" t="n"/>
      <c r="D1108" s="4561" t="n"/>
      <c r="E1108" s="4561" t="n"/>
      <c r="F1108" s="4561" t="n"/>
    </row>
    <row r="1109">
      <c r="A1109" s="4561" t="n"/>
      <c r="B1109" s="4561" t="n"/>
      <c r="C1109" s="4561" t="n"/>
      <c r="D1109" s="4561" t="n"/>
      <c r="E1109" s="4561" t="n"/>
      <c r="F1109" s="4561" t="n"/>
    </row>
    <row r="1110">
      <c r="A1110" s="4561" t="n"/>
      <c r="B1110" s="4561" t="n"/>
      <c r="C1110" s="4561" t="n"/>
      <c r="D1110" s="4561" t="n"/>
      <c r="E1110" s="4561" t="n"/>
      <c r="F1110" s="4561" t="n"/>
    </row>
    <row r="1111">
      <c r="A1111" s="4561" t="n"/>
      <c r="B1111" s="4561" t="n"/>
      <c r="C1111" s="4561" t="n"/>
      <c r="D1111" s="4561" t="n"/>
      <c r="E1111" s="4561" t="n"/>
      <c r="F1111" s="4561" t="n"/>
    </row>
    <row r="1112">
      <c r="A1112" s="4561" t="n"/>
      <c r="B1112" s="4561" t="n"/>
      <c r="C1112" s="4561" t="n"/>
      <c r="D1112" s="4561" t="n"/>
      <c r="E1112" s="4561" t="n"/>
      <c r="F1112" s="4561" t="n"/>
    </row>
    <row r="1113">
      <c r="A1113" s="4561" t="n"/>
      <c r="B1113" s="4561" t="n"/>
      <c r="C1113" s="4561" t="n"/>
      <c r="D1113" s="4561" t="n"/>
      <c r="E1113" s="4561" t="n"/>
      <c r="F1113" s="4561" t="n"/>
    </row>
    <row r="1114">
      <c r="A1114" s="4561" t="n"/>
      <c r="B1114" s="4561" t="n"/>
      <c r="C1114" s="4561" t="n"/>
      <c r="D1114" s="4561" t="n"/>
      <c r="E1114" s="4561" t="n"/>
      <c r="F1114" s="4561" t="n"/>
    </row>
    <row r="1115">
      <c r="A1115" s="4561" t="n"/>
      <c r="B1115" s="4561" t="n"/>
      <c r="C1115" s="4561" t="n"/>
      <c r="D1115" s="4561" t="n"/>
      <c r="E1115" s="4561" t="n"/>
      <c r="F1115" s="4561" t="n"/>
    </row>
    <row r="1116">
      <c r="A1116" s="4561" t="n"/>
      <c r="B1116" s="4561" t="n"/>
      <c r="C1116" s="4561" t="n"/>
      <c r="D1116" s="4561" t="n"/>
      <c r="E1116" s="4561" t="n"/>
      <c r="F1116" s="4561" t="n"/>
    </row>
    <row r="1117">
      <c r="A1117" s="4561" t="n"/>
      <c r="B1117" s="4561" t="n"/>
      <c r="C1117" s="4561" t="n"/>
      <c r="D1117" s="4561" t="n"/>
      <c r="E1117" s="4561" t="n"/>
      <c r="F1117" s="4561" t="n"/>
    </row>
    <row r="1118">
      <c r="A1118" s="4561" t="n"/>
      <c r="B1118" s="4561" t="n"/>
      <c r="C1118" s="4561" t="n"/>
      <c r="D1118" s="4561" t="n"/>
      <c r="E1118" s="4561" t="n"/>
      <c r="F1118" s="4561" t="n"/>
    </row>
    <row r="1119">
      <c r="A1119" s="4561" t="n"/>
      <c r="B1119" s="4561" t="n"/>
      <c r="C1119" s="4561" t="n"/>
      <c r="D1119" s="4561" t="n"/>
      <c r="E1119" s="4561" t="n"/>
      <c r="F1119" s="4561" t="n"/>
    </row>
    <row r="1120">
      <c r="A1120" s="4561" t="n"/>
      <c r="B1120" s="4561" t="n"/>
      <c r="C1120" s="4561" t="n"/>
      <c r="D1120" s="4561" t="n"/>
      <c r="E1120" s="4561" t="n"/>
      <c r="F1120" s="4561" t="n"/>
    </row>
    <row r="1121">
      <c r="A1121" s="4561" t="n"/>
      <c r="B1121" s="4561" t="n"/>
      <c r="C1121" s="4561" t="n"/>
      <c r="D1121" s="4561" t="n"/>
      <c r="E1121" s="4561" t="n"/>
      <c r="F1121" s="4561" t="n"/>
    </row>
    <row r="1122">
      <c r="A1122" s="4561" t="n"/>
      <c r="B1122" s="4561" t="n"/>
      <c r="C1122" s="4561" t="n"/>
      <c r="D1122" s="4561" t="n"/>
      <c r="E1122" s="4561" t="n"/>
      <c r="F1122" s="4561" t="n"/>
    </row>
    <row r="1123">
      <c r="A1123" s="4561" t="n"/>
      <c r="B1123" s="4561" t="n"/>
      <c r="C1123" s="4561" t="n"/>
      <c r="D1123" s="4561" t="n"/>
      <c r="E1123" s="4561" t="n"/>
      <c r="F1123" s="4561" t="n"/>
    </row>
    <row r="1124">
      <c r="A1124" s="4561" t="n"/>
      <c r="B1124" s="4561" t="n"/>
      <c r="C1124" s="4561" t="n"/>
      <c r="D1124" s="4561" t="n"/>
      <c r="E1124" s="4561" t="n"/>
      <c r="F1124" s="4561" t="n"/>
    </row>
    <row r="1125">
      <c r="A1125" s="4561" t="n"/>
      <c r="B1125" s="4561" t="n"/>
      <c r="C1125" s="4561" t="n"/>
      <c r="D1125" s="4561" t="n"/>
      <c r="E1125" s="4561" t="n"/>
      <c r="F1125" s="4561" t="n"/>
    </row>
    <row r="1126">
      <c r="A1126" s="4561" t="n"/>
      <c r="B1126" s="4561" t="n"/>
      <c r="C1126" s="4561" t="n"/>
      <c r="D1126" s="4561" t="n"/>
      <c r="E1126" s="4561" t="n"/>
      <c r="F1126" s="4561" t="n"/>
    </row>
    <row r="1127">
      <c r="A1127" s="4561" t="n"/>
      <c r="B1127" s="4561" t="n"/>
      <c r="C1127" s="4561" t="n"/>
      <c r="D1127" s="4561" t="n"/>
      <c r="E1127" s="4561" t="n"/>
      <c r="F1127" s="4561" t="n"/>
    </row>
    <row r="1128">
      <c r="A1128" s="4561" t="n"/>
      <c r="B1128" s="4561" t="n"/>
      <c r="C1128" s="4561" t="n"/>
      <c r="D1128" s="4561" t="n"/>
      <c r="E1128" s="4561" t="n"/>
      <c r="F1128" s="4561" t="n"/>
    </row>
    <row r="1129">
      <c r="A1129" s="4561" t="n"/>
      <c r="B1129" s="4561" t="n"/>
      <c r="C1129" s="4561" t="n"/>
      <c r="D1129" s="4561" t="n"/>
      <c r="E1129" s="4561" t="n"/>
      <c r="F1129" s="4561" t="n"/>
    </row>
    <row r="1130">
      <c r="A1130" s="4561" t="n"/>
      <c r="B1130" s="4561" t="n"/>
      <c r="C1130" s="4561" t="n"/>
      <c r="D1130" s="4561" t="n"/>
      <c r="E1130" s="4561" t="n"/>
      <c r="F1130" s="4561" t="n"/>
    </row>
    <row r="1131">
      <c r="A1131" s="4561" t="n"/>
      <c r="B1131" s="4561" t="n"/>
      <c r="C1131" s="4561" t="n"/>
      <c r="D1131" s="4561" t="n"/>
      <c r="E1131" s="4561" t="n"/>
      <c r="F1131" s="4561" t="n"/>
    </row>
    <row r="1132">
      <c r="A1132" s="4561" t="n"/>
      <c r="B1132" s="4561" t="n"/>
      <c r="C1132" s="4561" t="n"/>
      <c r="D1132" s="4561" t="n"/>
      <c r="E1132" s="4561" t="n"/>
      <c r="F1132" s="4561" t="n"/>
    </row>
    <row r="1133">
      <c r="A1133" s="4561" t="n"/>
      <c r="B1133" s="4561" t="n"/>
      <c r="C1133" s="4561" t="n"/>
      <c r="D1133" s="4561" t="n"/>
      <c r="E1133" s="4561" t="n"/>
      <c r="F1133" s="4561" t="n"/>
    </row>
    <row r="1134">
      <c r="A1134" s="4561" t="n"/>
      <c r="B1134" s="4561" t="n"/>
      <c r="C1134" s="4561" t="n"/>
      <c r="D1134" s="4561" t="n"/>
      <c r="E1134" s="4561" t="n"/>
      <c r="F1134" s="4561" t="n"/>
    </row>
    <row r="1135">
      <c r="A1135" s="4561" t="n"/>
      <c r="B1135" s="4561" t="n"/>
      <c r="C1135" s="4561" t="n"/>
      <c r="D1135" s="4561" t="n"/>
      <c r="E1135" s="4561" t="n"/>
      <c r="F1135" s="4561" t="n"/>
    </row>
    <row r="1136">
      <c r="A1136" s="4561" t="n"/>
      <c r="B1136" s="4561" t="n"/>
      <c r="C1136" s="4561" t="n"/>
      <c r="D1136" s="4561" t="n"/>
      <c r="E1136" s="4561" t="n"/>
      <c r="F1136" s="4561" t="n"/>
    </row>
    <row r="1137">
      <c r="A1137" s="4561" t="n"/>
      <c r="B1137" s="4561" t="n"/>
      <c r="C1137" s="4561" t="n"/>
      <c r="D1137" s="4561" t="n"/>
      <c r="E1137" s="4561" t="n"/>
      <c r="F1137" s="4561" t="n"/>
    </row>
    <row r="1138">
      <c r="A1138" s="4561" t="n"/>
      <c r="B1138" s="4561" t="n"/>
      <c r="C1138" s="4561" t="n"/>
      <c r="D1138" s="4561" t="n"/>
      <c r="E1138" s="4561" t="n"/>
      <c r="F1138" s="4561" t="n"/>
    </row>
    <row r="1139">
      <c r="A1139" s="4561" t="n"/>
      <c r="B1139" s="4561" t="n"/>
      <c r="C1139" s="4561" t="n"/>
      <c r="D1139" s="4561" t="n"/>
      <c r="E1139" s="4561" t="n"/>
      <c r="F1139" s="4561" t="n"/>
    </row>
    <row r="1140">
      <c r="A1140" s="4561" t="n"/>
      <c r="B1140" s="4561" t="n"/>
      <c r="C1140" s="4561" t="n"/>
      <c r="D1140" s="4561" t="n"/>
      <c r="E1140" s="4561" t="n"/>
      <c r="F1140" s="4561" t="n"/>
    </row>
    <row r="1141">
      <c r="A1141" s="4561" t="n"/>
      <c r="B1141" s="4561" t="n"/>
      <c r="C1141" s="4561" t="n"/>
      <c r="D1141" s="4561" t="n"/>
      <c r="E1141" s="4561" t="n"/>
      <c r="F1141" s="4561" t="n"/>
    </row>
    <row r="1142">
      <c r="A1142" s="4561" t="n"/>
      <c r="B1142" s="4561" t="n"/>
      <c r="C1142" s="4561" t="n"/>
      <c r="D1142" s="4561" t="n"/>
      <c r="E1142" s="4561" t="n"/>
      <c r="F1142" s="4561" t="n"/>
    </row>
    <row r="1143">
      <c r="A1143" s="4561" t="n"/>
      <c r="B1143" s="4561" t="n"/>
      <c r="C1143" s="4561" t="n"/>
      <c r="D1143" s="4561" t="n"/>
      <c r="E1143" s="4561" t="n"/>
      <c r="F1143" s="4561" t="n"/>
    </row>
    <row r="1144">
      <c r="A1144" s="4561" t="n"/>
      <c r="B1144" s="4561" t="n"/>
      <c r="C1144" s="4561" t="n"/>
      <c r="D1144" s="4561" t="n"/>
      <c r="E1144" s="4561" t="n"/>
      <c r="F1144" s="4561" t="n"/>
    </row>
    <row r="1145">
      <c r="A1145" s="4561" t="n"/>
      <c r="B1145" s="4561" t="n"/>
      <c r="C1145" s="4561" t="n"/>
      <c r="D1145" s="4561" t="n"/>
      <c r="E1145" s="4561" t="n"/>
      <c r="F1145" s="4561" t="n"/>
    </row>
    <row r="1146">
      <c r="A1146" s="4561" t="n"/>
      <c r="B1146" s="4561" t="n"/>
      <c r="C1146" s="4561" t="n"/>
      <c r="D1146" s="4561" t="n"/>
      <c r="E1146" s="4561" t="n"/>
      <c r="F1146" s="4561" t="n"/>
    </row>
    <row r="1147">
      <c r="A1147" s="4561" t="n"/>
      <c r="B1147" s="4561" t="n"/>
      <c r="C1147" s="4561" t="n"/>
      <c r="D1147" s="4561" t="n"/>
      <c r="E1147" s="4561" t="n"/>
      <c r="F1147" s="4561" t="n"/>
    </row>
    <row r="1148">
      <c r="A1148" s="4561" t="n"/>
      <c r="B1148" s="4561" t="n"/>
      <c r="C1148" s="4561" t="n"/>
      <c r="D1148" s="4561" t="n"/>
      <c r="E1148" s="4561" t="n"/>
      <c r="F1148" s="4561" t="n"/>
    </row>
    <row r="1149">
      <c r="A1149" s="4561" t="n"/>
      <c r="B1149" s="4561" t="n"/>
      <c r="C1149" s="4561" t="n"/>
      <c r="D1149" s="4561" t="n"/>
      <c r="E1149" s="4561" t="n"/>
      <c r="F1149" s="4561" t="n"/>
    </row>
    <row r="1150">
      <c r="A1150" s="4561" t="n"/>
      <c r="B1150" s="4561" t="n"/>
      <c r="C1150" s="4561" t="n"/>
      <c r="D1150" s="4561" t="n"/>
      <c r="E1150" s="4561" t="n"/>
      <c r="F1150" s="4561" t="n"/>
    </row>
    <row r="1151">
      <c r="A1151" s="4561" t="n"/>
      <c r="B1151" s="4561" t="n"/>
      <c r="C1151" s="4561" t="n"/>
      <c r="D1151" s="4561" t="n"/>
      <c r="E1151" s="4561" t="n"/>
      <c r="F1151" s="4561" t="n"/>
    </row>
    <row r="1152">
      <c r="A1152" s="4561" t="n"/>
      <c r="B1152" s="4561" t="n"/>
      <c r="C1152" s="4561" t="n"/>
      <c r="D1152" s="4561" t="n"/>
      <c r="E1152" s="4561" t="n"/>
      <c r="F1152" s="4561" t="n"/>
    </row>
    <row r="1153">
      <c r="A1153" s="4561" t="n"/>
      <c r="B1153" s="4561" t="n"/>
      <c r="C1153" s="4561" t="n"/>
      <c r="D1153" s="4561" t="n"/>
      <c r="E1153" s="4561" t="n"/>
      <c r="F1153" s="4561" t="n"/>
    </row>
    <row r="1154">
      <c r="A1154" s="4561" t="n"/>
      <c r="B1154" s="4561" t="n"/>
      <c r="C1154" s="4561" t="n"/>
      <c r="D1154" s="4561" t="n"/>
      <c r="E1154" s="4561" t="n"/>
      <c r="F1154" s="4561" t="n"/>
    </row>
    <row r="1155">
      <c r="A1155" s="4561" t="n"/>
      <c r="B1155" s="4561" t="n"/>
      <c r="C1155" s="4561" t="n"/>
      <c r="D1155" s="4561" t="n"/>
      <c r="E1155" s="4561" t="n"/>
      <c r="F1155" s="4561" t="n"/>
    </row>
    <row r="1156">
      <c r="A1156" s="4561" t="n"/>
      <c r="B1156" s="4561" t="n"/>
      <c r="C1156" s="4561" t="n"/>
      <c r="D1156" s="4561" t="n"/>
      <c r="E1156" s="4561" t="n"/>
      <c r="F1156" s="4561" t="n"/>
    </row>
    <row r="1157">
      <c r="A1157" s="4561" t="n"/>
      <c r="B1157" s="4561" t="n"/>
      <c r="C1157" s="4561" t="n"/>
      <c r="D1157" s="4561" t="n"/>
      <c r="E1157" s="4561" t="n"/>
      <c r="F1157" s="4561" t="n"/>
    </row>
    <row r="1158">
      <c r="A1158" s="4561" t="n"/>
      <c r="B1158" s="4561" t="n"/>
      <c r="C1158" s="4561" t="n"/>
      <c r="D1158" s="4561" t="n"/>
      <c r="E1158" s="4561" t="n"/>
      <c r="F1158" s="4561" t="n"/>
    </row>
    <row r="1159">
      <c r="A1159" s="4561" t="n"/>
      <c r="B1159" s="4561" t="n"/>
      <c r="C1159" s="4561" t="n"/>
      <c r="D1159" s="4561" t="n"/>
      <c r="E1159" s="4561" t="n"/>
      <c r="F1159" s="4561" t="n"/>
    </row>
    <row r="1160">
      <c r="A1160" s="4561" t="n"/>
      <c r="B1160" s="4561" t="n"/>
      <c r="C1160" s="4561" t="n"/>
      <c r="D1160" s="4561" t="n"/>
      <c r="E1160" s="4561" t="n"/>
      <c r="F1160" s="4561" t="n"/>
    </row>
    <row r="1161">
      <c r="A1161" s="4561" t="n"/>
      <c r="B1161" s="4561" t="n"/>
      <c r="C1161" s="4561" t="n"/>
      <c r="D1161" s="4561" t="n"/>
      <c r="E1161" s="4561" t="n"/>
      <c r="F1161" s="4561" t="n"/>
    </row>
    <row r="1162">
      <c r="A1162" s="4561" t="n"/>
      <c r="B1162" s="4561" t="n"/>
      <c r="C1162" s="4561" t="n"/>
      <c r="D1162" s="4561" t="n"/>
      <c r="E1162" s="4561" t="n"/>
      <c r="F1162" s="4561" t="n"/>
    </row>
    <row r="1163">
      <c r="A1163" s="4561" t="n"/>
      <c r="B1163" s="4561" t="n"/>
      <c r="C1163" s="4561" t="n"/>
      <c r="D1163" s="4561" t="n"/>
      <c r="E1163" s="4561" t="n"/>
      <c r="F1163" s="4561" t="n"/>
    </row>
    <row r="1164">
      <c r="A1164" s="4561" t="n"/>
      <c r="B1164" s="4561" t="n"/>
      <c r="C1164" s="4561" t="n"/>
      <c r="D1164" s="4561" t="n"/>
      <c r="E1164" s="4561" t="n"/>
      <c r="F1164" s="4561" t="n"/>
    </row>
    <row r="1165">
      <c r="A1165" s="4561" t="n"/>
      <c r="B1165" s="4561" t="n"/>
      <c r="C1165" s="4561" t="n"/>
      <c r="D1165" s="4561" t="n"/>
      <c r="E1165" s="4561" t="n"/>
      <c r="F1165" s="4561" t="n"/>
    </row>
    <row r="1166">
      <c r="A1166" s="4561" t="n"/>
      <c r="B1166" s="4561" t="n"/>
      <c r="C1166" s="4561" t="n"/>
      <c r="D1166" s="4561" t="n"/>
      <c r="E1166" s="4561" t="n"/>
      <c r="F1166" s="4561" t="n"/>
    </row>
    <row r="1167">
      <c r="A1167" s="4561" t="n"/>
      <c r="B1167" s="4561" t="n"/>
      <c r="C1167" s="4561" t="n"/>
      <c r="D1167" s="4561" t="n"/>
      <c r="E1167" s="4561" t="n"/>
      <c r="F1167" s="4561" t="n"/>
    </row>
    <row r="1168">
      <c r="A1168" s="4561" t="n"/>
      <c r="B1168" s="4561" t="n"/>
      <c r="C1168" s="4561" t="n"/>
      <c r="D1168" s="4561" t="n"/>
      <c r="E1168" s="4561" t="n"/>
      <c r="F1168" s="4561" t="n"/>
    </row>
    <row r="1169">
      <c r="A1169" s="4561" t="n"/>
      <c r="B1169" s="4561" t="n"/>
      <c r="C1169" s="4561" t="n"/>
      <c r="D1169" s="4561" t="n"/>
      <c r="E1169" s="4561" t="n"/>
      <c r="F1169" s="4561" t="n"/>
    </row>
    <row r="1170">
      <c r="A1170" s="4561" t="n"/>
      <c r="B1170" s="4561" t="n"/>
      <c r="C1170" s="4561" t="n"/>
      <c r="D1170" s="4561" t="n"/>
      <c r="E1170" s="4561" t="n"/>
      <c r="F1170" s="4561" t="n"/>
    </row>
    <row r="1171">
      <c r="A1171" s="4561" t="n"/>
      <c r="B1171" s="4561" t="n"/>
      <c r="C1171" s="4561" t="n"/>
      <c r="D1171" s="4561" t="n"/>
      <c r="E1171" s="4561" t="n"/>
      <c r="F1171" s="4561" t="n"/>
    </row>
    <row r="1172">
      <c r="A1172" s="4561" t="n"/>
      <c r="B1172" s="4561" t="n"/>
      <c r="C1172" s="4561" t="n"/>
      <c r="D1172" s="4561" t="n"/>
      <c r="E1172" s="4561" t="n"/>
      <c r="F1172" s="4561" t="n"/>
    </row>
    <row r="1173">
      <c r="A1173" s="4561" t="n"/>
      <c r="B1173" s="4561" t="n"/>
      <c r="C1173" s="4561" t="n"/>
      <c r="D1173" s="4561" t="n"/>
      <c r="E1173" s="4561" t="n"/>
      <c r="F1173" s="4561" t="n"/>
    </row>
    <row r="1174">
      <c r="A1174" s="4561" t="n"/>
      <c r="B1174" s="4561" t="n"/>
      <c r="C1174" s="4561" t="n"/>
      <c r="D1174" s="4561" t="n"/>
      <c r="E1174" s="4561" t="n"/>
      <c r="F1174" s="4561" t="n"/>
    </row>
    <row r="1175">
      <c r="A1175" s="4561" t="n"/>
      <c r="B1175" s="4561" t="n"/>
      <c r="C1175" s="4561" t="n"/>
      <c r="D1175" s="4561" t="n"/>
      <c r="E1175" s="4561" t="n"/>
      <c r="F1175" s="4561" t="n"/>
    </row>
    <row r="1176">
      <c r="A1176" s="4561" t="n"/>
      <c r="B1176" s="4561" t="n"/>
      <c r="C1176" s="4561" t="n"/>
      <c r="D1176" s="4561" t="n"/>
      <c r="E1176" s="4561" t="n"/>
      <c r="F1176" s="4561" t="n"/>
    </row>
    <row r="1177">
      <c r="A1177" s="4561" t="n"/>
      <c r="B1177" s="4561" t="n"/>
      <c r="C1177" s="4561" t="n"/>
      <c r="D1177" s="4561" t="n"/>
      <c r="E1177" s="4561" t="n"/>
      <c r="F1177" s="4561" t="n"/>
    </row>
    <row r="1178">
      <c r="A1178" s="4561" t="n"/>
      <c r="B1178" s="4561" t="n"/>
      <c r="C1178" s="4561" t="n"/>
      <c r="D1178" s="4561" t="n"/>
      <c r="E1178" s="4561" t="n"/>
      <c r="F1178" s="4561" t="n"/>
    </row>
    <row r="1179">
      <c r="A1179" s="4561" t="n"/>
      <c r="B1179" s="4561" t="n"/>
      <c r="C1179" s="4561" t="n"/>
      <c r="D1179" s="4561" t="n"/>
      <c r="E1179" s="4561" t="n"/>
      <c r="F1179" s="4561" t="n"/>
    </row>
    <row r="1180">
      <c r="A1180" s="4561" t="n"/>
      <c r="B1180" s="4561" t="n"/>
      <c r="C1180" s="4561" t="n"/>
      <c r="D1180" s="4561" t="n"/>
      <c r="E1180" s="4561" t="n"/>
      <c r="F1180" s="4561" t="n"/>
    </row>
    <row r="1181">
      <c r="A1181" s="4561" t="n"/>
      <c r="B1181" s="4561" t="n"/>
      <c r="C1181" s="4561" t="n"/>
      <c r="D1181" s="4561" t="n"/>
      <c r="E1181" s="4561" t="n"/>
      <c r="F1181" s="4561" t="n"/>
    </row>
    <row r="1182">
      <c r="A1182" s="4561" t="n"/>
      <c r="B1182" s="4561" t="n"/>
      <c r="C1182" s="4561" t="n"/>
      <c r="D1182" s="4561" t="n"/>
      <c r="E1182" s="4561" t="n"/>
      <c r="F1182" s="4561" t="n"/>
    </row>
    <row r="1183">
      <c r="A1183" s="4561" t="n"/>
      <c r="B1183" s="4561" t="n"/>
      <c r="C1183" s="4561" t="n"/>
      <c r="D1183" s="4561" t="n"/>
      <c r="E1183" s="4561" t="n"/>
      <c r="F1183" s="4561" t="n"/>
    </row>
    <row r="1184">
      <c r="A1184" s="4561" t="n"/>
      <c r="B1184" s="4561" t="n"/>
      <c r="C1184" s="4561" t="n"/>
      <c r="D1184" s="4561" t="n"/>
      <c r="E1184" s="4561" t="n"/>
      <c r="F1184" s="4561" t="n"/>
    </row>
    <row r="1185">
      <c r="A1185" s="4561" t="n"/>
      <c r="B1185" s="4561" t="n"/>
      <c r="C1185" s="4561" t="n"/>
      <c r="D1185" s="4561" t="n"/>
      <c r="E1185" s="4561" t="n"/>
      <c r="F1185" s="4561" t="n"/>
    </row>
    <row r="1186">
      <c r="A1186" s="4561" t="n"/>
      <c r="B1186" s="4561" t="n"/>
      <c r="C1186" s="4561" t="n"/>
      <c r="D1186" s="4561" t="n"/>
      <c r="E1186" s="4561" t="n"/>
      <c r="F1186" s="4561" t="n"/>
    </row>
    <row r="1187">
      <c r="A1187" s="4561" t="n"/>
      <c r="B1187" s="4561" t="n"/>
      <c r="C1187" s="4561" t="n"/>
      <c r="D1187" s="4561" t="n"/>
      <c r="E1187" s="4561" t="n"/>
      <c r="F1187" s="4561" t="n"/>
    </row>
    <row r="1188">
      <c r="A1188" s="4561" t="n"/>
      <c r="B1188" s="4561" t="n"/>
      <c r="C1188" s="4561" t="n"/>
      <c r="D1188" s="4561" t="n"/>
      <c r="E1188" s="4561" t="n"/>
      <c r="F1188" s="4561" t="n"/>
    </row>
    <row r="1189">
      <c r="A1189" s="4561" t="n"/>
      <c r="B1189" s="4561" t="n"/>
      <c r="C1189" s="4561" t="n"/>
      <c r="D1189" s="4561" t="n"/>
      <c r="E1189" s="4561" t="n"/>
      <c r="F1189" s="4561" t="n"/>
    </row>
    <row r="1190">
      <c r="A1190" s="4561" t="n"/>
      <c r="B1190" s="4561" t="n"/>
      <c r="C1190" s="4561" t="n"/>
      <c r="D1190" s="4561" t="n"/>
      <c r="E1190" s="4561" t="n"/>
      <c r="F1190" s="4561" t="n"/>
    </row>
    <row r="1191">
      <c r="A1191" s="4561" t="n"/>
      <c r="B1191" s="4561" t="n"/>
      <c r="C1191" s="4561" t="n"/>
      <c r="D1191" s="4561" t="n"/>
      <c r="E1191" s="4561" t="n"/>
      <c r="F1191" s="4561" t="n"/>
    </row>
    <row r="1192">
      <c r="A1192" s="4561" t="n"/>
      <c r="B1192" s="4561" t="n"/>
      <c r="C1192" s="4561" t="n"/>
      <c r="D1192" s="4561" t="n"/>
      <c r="E1192" s="4561" t="n"/>
      <c r="F1192" s="4561" t="n"/>
    </row>
    <row r="1193">
      <c r="A1193" s="4561" t="n"/>
      <c r="B1193" s="4561" t="n"/>
      <c r="C1193" s="4561" t="n"/>
      <c r="D1193" s="4561" t="n"/>
      <c r="E1193" s="4561" t="n"/>
      <c r="F1193" s="4561" t="n"/>
    </row>
    <row r="1194">
      <c r="A1194" s="4561" t="n"/>
      <c r="B1194" s="4561" t="n"/>
      <c r="C1194" s="4561" t="n"/>
      <c r="D1194" s="4561" t="n"/>
      <c r="E1194" s="4561" t="n"/>
      <c r="F1194" s="4561" t="n"/>
    </row>
    <row r="1195">
      <c r="A1195" s="4561" t="n"/>
      <c r="B1195" s="4561" t="n"/>
      <c r="C1195" s="4561" t="n"/>
      <c r="D1195" s="4561" t="n"/>
      <c r="E1195" s="4561" t="n"/>
      <c r="F1195" s="4561" t="n"/>
    </row>
    <row r="1196">
      <c r="A1196" s="4561" t="n"/>
      <c r="B1196" s="4561" t="n"/>
      <c r="C1196" s="4561" t="n"/>
      <c r="D1196" s="4561" t="n"/>
      <c r="E1196" s="4561" t="n"/>
      <c r="F1196" s="4561" t="n"/>
    </row>
    <row r="1197">
      <c r="A1197" s="4561" t="n"/>
      <c r="B1197" s="4561" t="n"/>
      <c r="C1197" s="4561" t="n"/>
      <c r="D1197" s="4561" t="n"/>
      <c r="E1197" s="4561" t="n"/>
      <c r="F1197" s="4561" t="n"/>
    </row>
    <row r="1198">
      <c r="A1198" s="4561" t="n"/>
      <c r="B1198" s="4561" t="n"/>
      <c r="C1198" s="4561" t="n"/>
      <c r="D1198" s="4561" t="n"/>
      <c r="E1198" s="4561" t="n"/>
      <c r="F1198" s="4561" t="n"/>
    </row>
    <row r="1199">
      <c r="A1199" s="4561" t="n"/>
      <c r="B1199" s="4561" t="n"/>
      <c r="C1199" s="4561" t="n"/>
      <c r="D1199" s="4561" t="n"/>
      <c r="E1199" s="4561" t="n"/>
      <c r="F1199" s="4561" t="n"/>
    </row>
    <row r="1200">
      <c r="A1200" s="4561" t="n"/>
      <c r="B1200" s="4561" t="n"/>
      <c r="C1200" s="4561" t="n"/>
      <c r="D1200" s="4561" t="n"/>
      <c r="E1200" s="4561" t="n"/>
      <c r="F1200" s="4561" t="n"/>
    </row>
    <row r="1201">
      <c r="A1201" s="4561" t="n"/>
      <c r="B1201" s="4561" t="n"/>
      <c r="C1201" s="4561" t="n"/>
      <c r="D1201" s="4561" t="n"/>
      <c r="E1201" s="4561" t="n"/>
      <c r="F1201" s="4561" t="n"/>
    </row>
    <row r="1202">
      <c r="A1202" s="4561" t="n"/>
      <c r="B1202" s="4561" t="n"/>
      <c r="C1202" s="4561" t="n"/>
      <c r="D1202" s="4561" t="n"/>
      <c r="E1202" s="4561" t="n"/>
      <c r="F1202" s="4561" t="n"/>
    </row>
    <row r="1203">
      <c r="A1203" s="4561" t="n"/>
      <c r="B1203" s="4561" t="n"/>
      <c r="C1203" s="4561" t="n"/>
      <c r="D1203" s="4561" t="n"/>
      <c r="E1203" s="4561" t="n"/>
      <c r="F1203" s="4561" t="n"/>
    </row>
    <row r="1204">
      <c r="A1204" s="4561" t="n"/>
      <c r="B1204" s="4561" t="n"/>
      <c r="C1204" s="4561" t="n"/>
      <c r="D1204" s="4561" t="n"/>
      <c r="E1204" s="4561" t="n"/>
      <c r="F1204" s="4561" t="n"/>
    </row>
    <row r="1205">
      <c r="A1205" s="4561" t="n"/>
      <c r="B1205" s="4561" t="n"/>
      <c r="C1205" s="4561" t="n"/>
      <c r="D1205" s="4561" t="n"/>
      <c r="E1205" s="4561" t="n"/>
      <c r="F1205" s="4561" t="n"/>
    </row>
    <row r="1206">
      <c r="A1206" s="4561" t="n"/>
      <c r="B1206" s="4561" t="n"/>
      <c r="C1206" s="4561" t="n"/>
      <c r="D1206" s="4561" t="n"/>
      <c r="E1206" s="4561" t="n"/>
      <c r="F1206" s="4561" t="n"/>
    </row>
    <row r="1207">
      <c r="A1207" s="4561" t="n"/>
      <c r="B1207" s="4561" t="n"/>
      <c r="C1207" s="4561" t="n"/>
      <c r="D1207" s="4561" t="n"/>
      <c r="E1207" s="4561" t="n"/>
      <c r="F1207" s="4561" t="n"/>
    </row>
    <row r="1208">
      <c r="A1208" s="4561" t="n"/>
      <c r="B1208" s="4561" t="n"/>
      <c r="C1208" s="4561" t="n"/>
      <c r="D1208" s="4561" t="n"/>
      <c r="E1208" s="4561" t="n"/>
      <c r="F1208" s="4561" t="n"/>
    </row>
    <row r="1209">
      <c r="A1209" s="4561" t="n"/>
      <c r="B1209" s="4561" t="n"/>
      <c r="C1209" s="4561" t="n"/>
      <c r="D1209" s="4561" t="n"/>
      <c r="E1209" s="4561" t="n"/>
      <c r="F1209" s="4561" t="n"/>
    </row>
    <row r="1210">
      <c r="A1210" s="4561" t="n"/>
      <c r="B1210" s="4561" t="n"/>
      <c r="C1210" s="4561" t="n"/>
      <c r="D1210" s="4561" t="n"/>
      <c r="E1210" s="4561" t="n"/>
      <c r="F1210" s="4561" t="n"/>
    </row>
    <row r="1211">
      <c r="A1211" s="4561" t="n"/>
      <c r="B1211" s="4561" t="n"/>
      <c r="C1211" s="4561" t="n"/>
      <c r="D1211" s="4561" t="n"/>
      <c r="E1211" s="4561" t="n"/>
      <c r="F1211" s="4561" t="n"/>
    </row>
    <row r="1212">
      <c r="A1212" s="4561" t="n"/>
      <c r="B1212" s="4561" t="n"/>
      <c r="C1212" s="4561" t="n"/>
      <c r="D1212" s="4561" t="n"/>
      <c r="E1212" s="4561" t="n"/>
      <c r="F1212" s="4561" t="n"/>
    </row>
    <row r="1213">
      <c r="A1213" s="4561" t="n"/>
      <c r="B1213" s="4561" t="n"/>
      <c r="C1213" s="4561" t="n"/>
      <c r="D1213" s="4561" t="n"/>
      <c r="E1213" s="4561" t="n"/>
      <c r="F1213" s="4561" t="n"/>
    </row>
    <row r="1214">
      <c r="A1214" s="4561" t="n"/>
      <c r="B1214" s="4561" t="n"/>
      <c r="C1214" s="4561" t="n"/>
      <c r="D1214" s="4561" t="n"/>
      <c r="E1214" s="4561" t="n"/>
      <c r="F1214" s="4561" t="n"/>
    </row>
    <row r="1215">
      <c r="A1215" s="4561" t="n"/>
      <c r="B1215" s="4561" t="n"/>
      <c r="C1215" s="4561" t="n"/>
      <c r="D1215" s="4561" t="n"/>
      <c r="E1215" s="4561" t="n"/>
      <c r="F1215" s="4561" t="n"/>
    </row>
    <row r="1216">
      <c r="A1216" s="4561" t="n"/>
      <c r="B1216" s="4561" t="n"/>
      <c r="C1216" s="4561" t="n"/>
      <c r="D1216" s="4561" t="n"/>
      <c r="E1216" s="4561" t="n"/>
      <c r="F1216" s="4561" t="n"/>
    </row>
    <row r="1217">
      <c r="A1217" s="4561" t="n"/>
      <c r="B1217" s="4561" t="n"/>
      <c r="C1217" s="4561" t="n"/>
      <c r="D1217" s="4561" t="n"/>
      <c r="E1217" s="4561" t="n"/>
      <c r="F1217" s="4561" t="n"/>
    </row>
    <row r="1218">
      <c r="A1218" s="4561" t="n"/>
      <c r="B1218" s="4561" t="n"/>
      <c r="C1218" s="4561" t="n"/>
      <c r="D1218" s="4561" t="n"/>
      <c r="E1218" s="4561" t="n"/>
      <c r="F1218" s="4561" t="n"/>
    </row>
    <row r="1219">
      <c r="A1219" s="4561" t="n"/>
      <c r="B1219" s="4561" t="n"/>
      <c r="C1219" s="4561" t="n"/>
      <c r="D1219" s="4561" t="n"/>
      <c r="E1219" s="4561" t="n"/>
      <c r="F1219" s="4561" t="n"/>
    </row>
    <row r="1220">
      <c r="A1220" s="4561" t="n"/>
      <c r="B1220" s="4561" t="n"/>
      <c r="C1220" s="4561" t="n"/>
      <c r="D1220" s="4561" t="n"/>
      <c r="E1220" s="4561" t="n"/>
      <c r="F1220" s="4561" t="n"/>
    </row>
    <row r="1221">
      <c r="A1221" s="4561" t="n"/>
      <c r="B1221" s="4561" t="n"/>
      <c r="C1221" s="4561" t="n"/>
      <c r="D1221" s="4561" t="n"/>
      <c r="E1221" s="4561" t="n"/>
      <c r="F1221" s="4561" t="n"/>
    </row>
    <row r="1222">
      <c r="A1222" s="4561" t="n"/>
      <c r="B1222" s="4561" t="n"/>
      <c r="C1222" s="4561" t="n"/>
      <c r="D1222" s="4561" t="n"/>
      <c r="E1222" s="4561" t="n"/>
      <c r="F1222" s="4561" t="n"/>
    </row>
    <row r="1223">
      <c r="A1223" s="4561" t="n"/>
      <c r="B1223" s="4561" t="n"/>
      <c r="C1223" s="4561" t="n"/>
      <c r="D1223" s="4561" t="n"/>
      <c r="E1223" s="4561" t="n"/>
      <c r="F1223" s="4561" t="n"/>
    </row>
    <row r="1224">
      <c r="A1224" s="4561" t="n"/>
      <c r="B1224" s="4561" t="n"/>
      <c r="C1224" s="4561" t="n"/>
      <c r="D1224" s="4561" t="n"/>
      <c r="E1224" s="4561" t="n"/>
      <c r="F1224" s="4561" t="n"/>
    </row>
    <row r="1225">
      <c r="A1225" s="4561" t="n"/>
      <c r="B1225" s="4561" t="n"/>
      <c r="C1225" s="4561" t="n"/>
      <c r="D1225" s="4561" t="n"/>
      <c r="E1225" s="4561" t="n"/>
      <c r="F1225" s="4561" t="n"/>
    </row>
    <row r="1226">
      <c r="A1226" s="4561" t="n"/>
      <c r="B1226" s="4561" t="n"/>
      <c r="C1226" s="4561" t="n"/>
      <c r="D1226" s="4561" t="n"/>
      <c r="E1226" s="4561" t="n"/>
      <c r="F1226" s="4561" t="n"/>
    </row>
    <row r="1227">
      <c r="A1227" s="4561" t="n"/>
      <c r="B1227" s="4561" t="n"/>
      <c r="C1227" s="4561" t="n"/>
      <c r="D1227" s="4561" t="n"/>
      <c r="E1227" s="4561" t="n"/>
      <c r="F1227" s="4561" t="n"/>
    </row>
    <row r="1228">
      <c r="A1228" s="4561" t="n"/>
      <c r="B1228" s="4561" t="n"/>
      <c r="C1228" s="4561" t="n"/>
      <c r="D1228" s="4561" t="n"/>
      <c r="E1228" s="4561" t="n"/>
      <c r="F1228" s="4561" t="n"/>
    </row>
    <row r="1229">
      <c r="A1229" s="4561" t="n"/>
      <c r="B1229" s="4561" t="n"/>
      <c r="C1229" s="4561" t="n"/>
      <c r="D1229" s="4561" t="n"/>
      <c r="E1229" s="4561" t="n"/>
      <c r="F1229" s="4561" t="n"/>
    </row>
    <row r="1230">
      <c r="A1230" s="4561" t="n"/>
      <c r="B1230" s="4561" t="n"/>
      <c r="C1230" s="4561" t="n"/>
      <c r="D1230" s="4561" t="n"/>
      <c r="E1230" s="4561" t="n"/>
      <c r="F1230" s="4561" t="n"/>
    </row>
    <row r="1231">
      <c r="A1231" s="4561" t="n"/>
      <c r="B1231" s="4561" t="n"/>
      <c r="C1231" s="4561" t="n"/>
      <c r="D1231" s="4561" t="n"/>
      <c r="E1231" s="4561" t="n"/>
      <c r="F1231" s="4561" t="n"/>
    </row>
    <row r="1232">
      <c r="A1232" s="4561" t="n"/>
      <c r="B1232" s="4561" t="n"/>
      <c r="C1232" s="4561" t="n"/>
      <c r="D1232" s="4561" t="n"/>
      <c r="E1232" s="4561" t="n"/>
      <c r="F1232" s="4561" t="n"/>
    </row>
    <row r="1233">
      <c r="A1233" s="4561" t="n"/>
      <c r="B1233" s="4561" t="n"/>
      <c r="C1233" s="4561" t="n"/>
      <c r="D1233" s="4561" t="n"/>
      <c r="E1233" s="4561" t="n"/>
      <c r="F1233" s="4561" t="n"/>
    </row>
    <row r="1234">
      <c r="A1234" s="4561" t="n"/>
      <c r="B1234" s="4561" t="n"/>
      <c r="C1234" s="4561" t="n"/>
      <c r="D1234" s="4561" t="n"/>
      <c r="E1234" s="4561" t="n"/>
      <c r="F1234" s="4561" t="n"/>
    </row>
    <row r="1235">
      <c r="A1235" s="4561" t="n"/>
      <c r="B1235" s="4561" t="n"/>
      <c r="C1235" s="4561" t="n"/>
      <c r="D1235" s="4561" t="n"/>
      <c r="E1235" s="4561" t="n"/>
      <c r="F1235" s="4561" t="n"/>
    </row>
    <row r="1236">
      <c r="A1236" s="4561" t="n"/>
      <c r="B1236" s="4561" t="n"/>
      <c r="C1236" s="4561" t="n"/>
      <c r="D1236" s="4561" t="n"/>
      <c r="E1236" s="4561" t="n"/>
      <c r="F1236" s="4561" t="n"/>
    </row>
    <row r="1237">
      <c r="A1237" s="4561" t="n"/>
      <c r="B1237" s="4561" t="n"/>
      <c r="C1237" s="4561" t="n"/>
      <c r="D1237" s="4561" t="n"/>
      <c r="E1237" s="4561" t="n"/>
      <c r="F1237" s="4561" t="n"/>
    </row>
    <row r="1238">
      <c r="A1238" s="4561" t="n"/>
      <c r="B1238" s="4561" t="n"/>
      <c r="C1238" s="4561" t="n"/>
      <c r="D1238" s="4561" t="n"/>
      <c r="E1238" s="4561" t="n"/>
      <c r="F1238" s="4561" t="n"/>
    </row>
    <row r="1239">
      <c r="A1239" s="4561" t="n"/>
      <c r="B1239" s="4561" t="n"/>
      <c r="C1239" s="4561" t="n"/>
      <c r="D1239" s="4561" t="n"/>
      <c r="E1239" s="4561" t="n"/>
      <c r="F1239" s="4561" t="n"/>
    </row>
    <row r="1240">
      <c r="A1240" s="4561" t="n"/>
      <c r="B1240" s="4561" t="n"/>
      <c r="C1240" s="4561" t="n"/>
      <c r="D1240" s="4561" t="n"/>
      <c r="E1240" s="4561" t="n"/>
      <c r="F1240" s="4561" t="n"/>
    </row>
    <row r="1241">
      <c r="A1241" s="4561" t="n"/>
      <c r="B1241" s="4561" t="n"/>
      <c r="C1241" s="4561" t="n"/>
      <c r="D1241" s="4561" t="n"/>
      <c r="E1241" s="4561" t="n"/>
      <c r="F1241" s="4561" t="n"/>
    </row>
    <row r="1242">
      <c r="A1242" s="4561" t="n"/>
      <c r="B1242" s="4561" t="n"/>
      <c r="C1242" s="4561" t="n"/>
      <c r="D1242" s="4561" t="n"/>
      <c r="E1242" s="4561" t="n"/>
      <c r="F1242" s="4561" t="n"/>
    </row>
    <row r="1243">
      <c r="A1243" s="4561" t="n"/>
      <c r="B1243" s="4561" t="n"/>
      <c r="C1243" s="4561" t="n"/>
      <c r="D1243" s="4561" t="n"/>
      <c r="E1243" s="4561" t="n"/>
      <c r="F1243" s="4561" t="n"/>
    </row>
    <row r="1244">
      <c r="A1244" s="4561" t="n"/>
      <c r="B1244" s="4561" t="n"/>
      <c r="C1244" s="4561" t="n"/>
      <c r="D1244" s="4561" t="n"/>
      <c r="E1244" s="4561" t="n"/>
      <c r="F1244" s="4561" t="n"/>
    </row>
    <row r="1245">
      <c r="A1245" s="4561" t="n"/>
      <c r="B1245" s="4561" t="n"/>
      <c r="C1245" s="4561" t="n"/>
      <c r="D1245" s="4561" t="n"/>
      <c r="E1245" s="4561" t="n"/>
      <c r="F1245" s="4561" t="n"/>
    </row>
    <row r="1246">
      <c r="A1246" s="4561" t="n"/>
      <c r="B1246" s="4561" t="n"/>
      <c r="C1246" s="4561" t="n"/>
      <c r="D1246" s="4561" t="n"/>
      <c r="E1246" s="4561" t="n"/>
      <c r="F1246" s="4561" t="n"/>
    </row>
    <row r="1247">
      <c r="A1247" s="4561" t="n"/>
      <c r="B1247" s="4561" t="n"/>
      <c r="C1247" s="4561" t="n"/>
      <c r="D1247" s="4561" t="n"/>
      <c r="E1247" s="4561" t="n"/>
      <c r="F1247" s="4561" t="n"/>
    </row>
    <row r="1248">
      <c r="A1248" s="4561" t="n"/>
      <c r="B1248" s="4561" t="n"/>
      <c r="C1248" s="4561" t="n"/>
      <c r="D1248" s="4561" t="n"/>
      <c r="E1248" s="4561" t="n"/>
      <c r="F1248" s="4561" t="n"/>
    </row>
    <row r="1249">
      <c r="A1249" s="4561" t="n"/>
      <c r="B1249" s="4561" t="n"/>
      <c r="C1249" s="4561" t="n"/>
      <c r="D1249" s="4561" t="n"/>
      <c r="E1249" s="4561" t="n"/>
      <c r="F1249" s="4561" t="n"/>
    </row>
    <row r="1250">
      <c r="A1250" s="4561" t="n"/>
      <c r="B1250" s="4561" t="n"/>
      <c r="C1250" s="4561" t="n"/>
      <c r="D1250" s="4561" t="n"/>
      <c r="E1250" s="4561" t="n"/>
      <c r="F1250" s="4561" t="n"/>
    </row>
    <row r="1251">
      <c r="A1251" s="4561" t="n"/>
      <c r="B1251" s="4561" t="n"/>
      <c r="C1251" s="4561" t="n"/>
      <c r="D1251" s="4561" t="n"/>
      <c r="E1251" s="4561" t="n"/>
      <c r="F1251" s="4561" t="n"/>
    </row>
    <row r="1252">
      <c r="A1252" s="4561" t="n"/>
      <c r="B1252" s="4561" t="n"/>
      <c r="C1252" s="4561" t="n"/>
      <c r="D1252" s="4561" t="n"/>
      <c r="E1252" s="4561" t="n"/>
      <c r="F1252" s="4561" t="n"/>
    </row>
    <row r="1253">
      <c r="A1253" s="4561" t="n"/>
      <c r="B1253" s="4561" t="n"/>
      <c r="C1253" s="4561" t="n"/>
      <c r="D1253" s="4561" t="n"/>
      <c r="E1253" s="4561" t="n"/>
      <c r="F1253" s="4561" t="n"/>
    </row>
    <row r="1254">
      <c r="A1254" s="4561" t="n"/>
      <c r="B1254" s="4561" t="n"/>
      <c r="C1254" s="4561" t="n"/>
      <c r="D1254" s="4561" t="n"/>
      <c r="E1254" s="4561" t="n"/>
      <c r="F1254" s="4561" t="n"/>
    </row>
    <row r="1255">
      <c r="A1255" s="4561" t="n"/>
      <c r="B1255" s="4561" t="n"/>
      <c r="C1255" s="4561" t="n"/>
      <c r="D1255" s="4561" t="n"/>
      <c r="E1255" s="4561" t="n"/>
      <c r="F1255" s="4561" t="n"/>
    </row>
    <row r="1256">
      <c r="A1256" s="4561" t="n"/>
      <c r="B1256" s="4561" t="n"/>
      <c r="C1256" s="4561" t="n"/>
      <c r="D1256" s="4561" t="n"/>
      <c r="E1256" s="4561" t="n"/>
      <c r="F1256" s="4561" t="n"/>
    </row>
    <row r="1257">
      <c r="A1257" s="4561" t="n"/>
      <c r="B1257" s="4561" t="n"/>
      <c r="C1257" s="4561" t="n"/>
      <c r="D1257" s="4561" t="n"/>
      <c r="E1257" s="4561" t="n"/>
      <c r="F1257" s="4561" t="n"/>
    </row>
    <row r="1258">
      <c r="A1258" s="4561" t="n"/>
      <c r="B1258" s="4561" t="n"/>
      <c r="C1258" s="4561" t="n"/>
      <c r="D1258" s="4561" t="n"/>
      <c r="E1258" s="4561" t="n"/>
      <c r="F1258" s="4561" t="n"/>
    </row>
    <row r="1259">
      <c r="A1259" s="4561" t="n"/>
      <c r="B1259" s="4561" t="n"/>
      <c r="C1259" s="4561" t="n"/>
      <c r="D1259" s="4561" t="n"/>
      <c r="E1259" s="4561" t="n"/>
      <c r="F1259" s="4561" t="n"/>
    </row>
    <row r="1260">
      <c r="A1260" s="4561" t="n"/>
      <c r="B1260" s="4561" t="n"/>
      <c r="C1260" s="4561" t="n"/>
      <c r="D1260" s="4561" t="n"/>
      <c r="E1260" s="4561" t="n"/>
      <c r="F1260" s="4561" t="n"/>
    </row>
    <row r="1261">
      <c r="A1261" s="4561" t="n"/>
      <c r="B1261" s="4561" t="n"/>
      <c r="C1261" s="4561" t="n"/>
      <c r="D1261" s="4561" t="n"/>
      <c r="E1261" s="4561" t="n"/>
      <c r="F1261" s="4561" t="n"/>
    </row>
    <row r="1262">
      <c r="A1262" s="4561" t="n"/>
      <c r="B1262" s="4561" t="n"/>
      <c r="C1262" s="4561" t="n"/>
      <c r="D1262" s="4561" t="n"/>
      <c r="E1262" s="4561" t="n"/>
      <c r="F1262" s="4561" t="n"/>
    </row>
    <row r="1263">
      <c r="A1263" s="4561" t="n"/>
      <c r="B1263" s="4561" t="n"/>
      <c r="C1263" s="4561" t="n"/>
      <c r="D1263" s="4561" t="n"/>
      <c r="E1263" s="4561" t="n"/>
      <c r="F1263" s="4561" t="n"/>
    </row>
    <row r="1264">
      <c r="A1264" s="4561" t="n"/>
      <c r="B1264" s="4561" t="n"/>
      <c r="C1264" s="4561" t="n"/>
      <c r="D1264" s="4561" t="n"/>
      <c r="E1264" s="4561" t="n"/>
      <c r="F1264" s="4561" t="n"/>
    </row>
    <row r="1265">
      <c r="A1265" s="4561" t="n"/>
      <c r="B1265" s="4561" t="n"/>
      <c r="C1265" s="4561" t="n"/>
      <c r="D1265" s="4561" t="n"/>
      <c r="E1265" s="4561" t="n"/>
      <c r="F1265" s="4561" t="n"/>
    </row>
    <row r="1266">
      <c r="A1266" s="4561" t="n"/>
      <c r="B1266" s="4561" t="n"/>
      <c r="C1266" s="4561" t="n"/>
      <c r="D1266" s="4561" t="n"/>
      <c r="E1266" s="4561" t="n"/>
      <c r="F1266" s="4561" t="n"/>
    </row>
    <row r="1267">
      <c r="A1267" s="4561" t="n"/>
      <c r="B1267" s="4561" t="n"/>
      <c r="C1267" s="4561" t="n"/>
      <c r="D1267" s="4561" t="n"/>
      <c r="E1267" s="4561" t="n"/>
      <c r="F1267" s="4561" t="n"/>
    </row>
    <row r="1268">
      <c r="A1268" s="4561" t="n"/>
      <c r="B1268" s="4561" t="n"/>
      <c r="C1268" s="4561" t="n"/>
      <c r="D1268" s="4561" t="n"/>
      <c r="E1268" s="4561" t="n"/>
      <c r="F1268" s="4561" t="n"/>
    </row>
    <row r="1269">
      <c r="A1269" s="4561" t="n"/>
      <c r="B1269" s="4561" t="n"/>
      <c r="C1269" s="4561" t="n"/>
      <c r="D1269" s="4561" t="n"/>
      <c r="E1269" s="4561" t="n"/>
      <c r="F1269" s="4561" t="n"/>
    </row>
    <row r="1270">
      <c r="A1270" s="4561" t="n"/>
      <c r="B1270" s="4561" t="n"/>
      <c r="C1270" s="4561" t="n"/>
      <c r="D1270" s="4561" t="n"/>
      <c r="E1270" s="4561" t="n"/>
      <c r="F1270" s="4561" t="n"/>
    </row>
    <row r="1271">
      <c r="A1271" s="4561" t="n"/>
      <c r="B1271" s="4561" t="n"/>
      <c r="C1271" s="4561" t="n"/>
      <c r="D1271" s="4561" t="n"/>
      <c r="E1271" s="4561" t="n"/>
      <c r="F1271" s="4561" t="n"/>
    </row>
    <row r="1272">
      <c r="A1272" s="4561" t="n"/>
      <c r="B1272" s="4561" t="n"/>
      <c r="C1272" s="4561" t="n"/>
      <c r="D1272" s="4561" t="n"/>
      <c r="E1272" s="4561" t="n"/>
      <c r="F1272" s="4561" t="n"/>
    </row>
    <row r="1273">
      <c r="A1273" s="4561" t="n"/>
      <c r="B1273" s="4561" t="n"/>
      <c r="C1273" s="4561" t="n"/>
      <c r="D1273" s="4561" t="n"/>
      <c r="E1273" s="4561" t="n"/>
      <c r="F1273" s="4561" t="n"/>
    </row>
    <row r="1274">
      <c r="A1274" s="4561" t="n"/>
      <c r="B1274" s="4561" t="n"/>
      <c r="C1274" s="4561" t="n"/>
      <c r="D1274" s="4561" t="n"/>
      <c r="E1274" s="4561" t="n"/>
      <c r="F1274" s="4561" t="n"/>
    </row>
    <row r="1275">
      <c r="A1275" s="4561" t="n"/>
      <c r="B1275" s="4561" t="n"/>
      <c r="C1275" s="4561" t="n"/>
      <c r="D1275" s="4561" t="n"/>
      <c r="E1275" s="4561" t="n"/>
      <c r="F1275" s="4561" t="n"/>
    </row>
    <row r="1276">
      <c r="A1276" s="4561" t="n"/>
      <c r="B1276" s="4561" t="n"/>
      <c r="C1276" s="4561" t="n"/>
      <c r="D1276" s="4561" t="n"/>
      <c r="E1276" s="4561" t="n"/>
      <c r="F1276" s="4561" t="n"/>
    </row>
    <row r="1277">
      <c r="A1277" s="4561" t="n"/>
      <c r="B1277" s="4561" t="n"/>
      <c r="C1277" s="4561" t="n"/>
      <c r="D1277" s="4561" t="n"/>
      <c r="E1277" s="4561" t="n"/>
      <c r="F1277" s="4561" t="n"/>
    </row>
    <row r="1278">
      <c r="A1278" s="4561" t="n"/>
      <c r="B1278" s="4561" t="n"/>
      <c r="C1278" s="4561" t="n"/>
      <c r="D1278" s="4561" t="n"/>
      <c r="E1278" s="4561" t="n"/>
      <c r="F1278" s="4561" t="n"/>
    </row>
    <row r="1279">
      <c r="A1279" s="4561" t="n"/>
      <c r="B1279" s="4561" t="n"/>
      <c r="C1279" s="4561" t="n"/>
      <c r="D1279" s="4561" t="n"/>
      <c r="E1279" s="4561" t="n"/>
      <c r="F1279" s="4561" t="n"/>
    </row>
    <row r="1280">
      <c r="A1280" s="4561" t="n"/>
      <c r="B1280" s="4561" t="n"/>
      <c r="C1280" s="4561" t="n"/>
      <c r="D1280" s="4561" t="n"/>
      <c r="E1280" s="4561" t="n"/>
      <c r="F1280" s="4561" t="n"/>
    </row>
    <row r="1281">
      <c r="A1281" s="4561" t="n"/>
      <c r="B1281" s="4561" t="n"/>
      <c r="C1281" s="4561" t="n"/>
      <c r="D1281" s="4561" t="n"/>
      <c r="E1281" s="4561" t="n"/>
      <c r="F1281" s="4561" t="n"/>
    </row>
    <row r="1282">
      <c r="A1282" s="4561" t="n"/>
      <c r="B1282" s="4561" t="n"/>
      <c r="C1282" s="4561" t="n"/>
      <c r="D1282" s="4561" t="n"/>
      <c r="E1282" s="4561" t="n"/>
      <c r="F1282" s="4561" t="n"/>
    </row>
    <row r="1283">
      <c r="A1283" s="4561" t="n"/>
      <c r="B1283" s="4561" t="n"/>
      <c r="C1283" s="4561" t="n"/>
      <c r="D1283" s="4561" t="n"/>
      <c r="E1283" s="4561" t="n"/>
      <c r="F1283" s="4561" t="n"/>
    </row>
    <row r="1284">
      <c r="A1284" s="4561" t="n"/>
      <c r="B1284" s="4561" t="n"/>
      <c r="C1284" s="4561" t="n"/>
      <c r="D1284" s="4561" t="n"/>
      <c r="E1284" s="4561" t="n"/>
      <c r="F1284" s="4561" t="n"/>
    </row>
    <row r="1285">
      <c r="A1285" s="4561" t="n"/>
      <c r="B1285" s="4561" t="n"/>
      <c r="C1285" s="4561" t="n"/>
      <c r="D1285" s="4561" t="n"/>
      <c r="E1285" s="4561" t="n"/>
      <c r="F1285" s="4561" t="n"/>
    </row>
    <row r="1286">
      <c r="A1286" s="4561" t="n"/>
      <c r="B1286" s="4561" t="n"/>
      <c r="C1286" s="4561" t="n"/>
      <c r="D1286" s="4561" t="n"/>
      <c r="E1286" s="4561" t="n"/>
      <c r="F1286" s="4561" t="n"/>
    </row>
    <row r="1287">
      <c r="A1287" s="4561" t="n"/>
      <c r="B1287" s="4561" t="n"/>
      <c r="C1287" s="4561" t="n"/>
      <c r="D1287" s="4561" t="n"/>
      <c r="E1287" s="4561" t="n"/>
      <c r="F1287" s="4561" t="n"/>
    </row>
    <row r="1288">
      <c r="A1288" s="4561" t="n"/>
      <c r="B1288" s="4561" t="n"/>
      <c r="C1288" s="4561" t="n"/>
      <c r="D1288" s="4561" t="n"/>
      <c r="E1288" s="4561" t="n"/>
      <c r="F1288" s="4561" t="n"/>
    </row>
    <row r="1289">
      <c r="A1289" s="4561" t="n"/>
      <c r="B1289" s="4561" t="n"/>
      <c r="C1289" s="4561" t="n"/>
      <c r="D1289" s="4561" t="n"/>
      <c r="E1289" s="4561" t="n"/>
      <c r="F1289" s="4561" t="n"/>
    </row>
    <row r="1290">
      <c r="A1290" s="4561" t="n"/>
      <c r="B1290" s="4561" t="n"/>
      <c r="C1290" s="4561" t="n"/>
      <c r="D1290" s="4561" t="n"/>
      <c r="E1290" s="4561" t="n"/>
      <c r="F1290" s="4561" t="n"/>
    </row>
    <row r="1291">
      <c r="A1291" s="4561" t="n"/>
      <c r="B1291" s="4561" t="n"/>
      <c r="C1291" s="4561" t="n"/>
      <c r="D1291" s="4561" t="n"/>
      <c r="E1291" s="4561" t="n"/>
      <c r="F1291" s="4561" t="n"/>
    </row>
    <row r="1292">
      <c r="A1292" s="4561" t="n"/>
      <c r="B1292" s="4561" t="n"/>
      <c r="C1292" s="4561" t="n"/>
      <c r="D1292" s="4561" t="n"/>
      <c r="E1292" s="4561" t="n"/>
      <c r="F1292" s="4561" t="n"/>
    </row>
    <row r="1293">
      <c r="A1293" s="4561" t="n"/>
      <c r="B1293" s="4561" t="n"/>
      <c r="C1293" s="4561" t="n"/>
      <c r="D1293" s="4561" t="n"/>
      <c r="E1293" s="4561" t="n"/>
      <c r="F1293" s="4561" t="n"/>
    </row>
    <row r="1294">
      <c r="A1294" s="4561" t="n"/>
      <c r="B1294" s="4561" t="n"/>
      <c r="C1294" s="4561" t="n"/>
      <c r="D1294" s="4561" t="n"/>
      <c r="E1294" s="4561" t="n"/>
      <c r="F1294" s="4561" t="n"/>
    </row>
    <row r="1295">
      <c r="A1295" s="4561" t="n"/>
      <c r="B1295" s="4561" t="n"/>
      <c r="C1295" s="4561" t="n"/>
      <c r="D1295" s="4561" t="n"/>
      <c r="E1295" s="4561" t="n"/>
      <c r="F1295" s="4561" t="n"/>
    </row>
    <row r="1296">
      <c r="A1296" s="4561" t="n"/>
      <c r="B1296" s="4561" t="n"/>
      <c r="C1296" s="4561" t="n"/>
      <c r="D1296" s="4561" t="n"/>
      <c r="E1296" s="4561" t="n"/>
      <c r="F1296" s="4561" t="n"/>
    </row>
    <row r="1297">
      <c r="A1297" s="4561" t="n"/>
      <c r="B1297" s="4561" t="n"/>
      <c r="C1297" s="4561" t="n"/>
      <c r="D1297" s="4561" t="n"/>
      <c r="E1297" s="4561" t="n"/>
      <c r="F1297" s="4561" t="n"/>
    </row>
    <row r="1298">
      <c r="A1298" s="4561" t="n"/>
      <c r="B1298" s="4561" t="n"/>
      <c r="C1298" s="4561" t="n"/>
      <c r="D1298" s="4561" t="n"/>
      <c r="E1298" s="4561" t="n"/>
      <c r="F1298" s="4561" t="n"/>
    </row>
    <row r="1299">
      <c r="A1299" s="4561" t="n"/>
      <c r="B1299" s="4561" t="n"/>
      <c r="C1299" s="4561" t="n"/>
      <c r="D1299" s="4561" t="n"/>
      <c r="E1299" s="4561" t="n"/>
      <c r="F1299" s="4561" t="n"/>
    </row>
    <row r="1300">
      <c r="A1300" s="4561" t="n"/>
      <c r="B1300" s="4561" t="n"/>
      <c r="C1300" s="4561" t="n"/>
      <c r="D1300" s="4561" t="n"/>
      <c r="E1300" s="4561" t="n"/>
      <c r="F1300" s="4561" t="n"/>
    </row>
    <row r="1301">
      <c r="A1301" s="4561" t="n"/>
      <c r="B1301" s="4561" t="n"/>
      <c r="C1301" s="4561" t="n"/>
      <c r="D1301" s="4561" t="n"/>
      <c r="E1301" s="4561" t="n"/>
      <c r="F1301" s="4561" t="n"/>
    </row>
    <row r="1302">
      <c r="A1302" s="4561" t="n"/>
      <c r="B1302" s="4561" t="n"/>
      <c r="C1302" s="4561" t="n"/>
      <c r="D1302" s="4561" t="n"/>
      <c r="E1302" s="4561" t="n"/>
      <c r="F1302" s="4561" t="n"/>
    </row>
    <row r="1303">
      <c r="A1303" s="4561" t="n"/>
      <c r="B1303" s="4561" t="n"/>
      <c r="C1303" s="4561" t="n"/>
      <c r="D1303" s="4561" t="n"/>
      <c r="E1303" s="4561" t="n"/>
      <c r="F1303" s="4561" t="n"/>
    </row>
    <row r="1304">
      <c r="A1304" s="4561" t="n"/>
      <c r="B1304" s="4561" t="n"/>
      <c r="C1304" s="4561" t="n"/>
      <c r="D1304" s="4561" t="n"/>
      <c r="E1304" s="4561" t="n"/>
      <c r="F1304" s="4561" t="n"/>
    </row>
    <row r="1305">
      <c r="A1305" s="4561" t="n"/>
      <c r="B1305" s="4561" t="n"/>
      <c r="C1305" s="4561" t="n"/>
      <c r="D1305" s="4561" t="n"/>
      <c r="E1305" s="4561" t="n"/>
      <c r="F1305" s="4561" t="n"/>
    </row>
    <row r="1306">
      <c r="A1306" s="4561" t="n"/>
      <c r="B1306" s="4561" t="n"/>
      <c r="C1306" s="4561" t="n"/>
      <c r="D1306" s="4561" t="n"/>
      <c r="E1306" s="4561" t="n"/>
      <c r="F1306" s="4561" t="n"/>
    </row>
    <row r="1307">
      <c r="A1307" s="4561" t="n"/>
      <c r="B1307" s="4561" t="n"/>
      <c r="C1307" s="4561" t="n"/>
      <c r="D1307" s="4561" t="n"/>
      <c r="E1307" s="4561" t="n"/>
      <c r="F1307" s="4561" t="n"/>
    </row>
    <row r="1308">
      <c r="A1308" s="4561" t="n"/>
      <c r="B1308" s="4561" t="n"/>
      <c r="C1308" s="4561" t="n"/>
      <c r="D1308" s="4561" t="n"/>
      <c r="E1308" s="4561" t="n"/>
      <c r="F1308" s="4561" t="n"/>
    </row>
    <row r="1309">
      <c r="A1309" s="4561" t="n"/>
      <c r="B1309" s="4561" t="n"/>
      <c r="C1309" s="4561" t="n"/>
      <c r="D1309" s="4561" t="n"/>
      <c r="E1309" s="4561" t="n"/>
      <c r="F1309" s="4561" t="n"/>
    </row>
    <row r="1310">
      <c r="A1310" s="4561" t="n"/>
      <c r="B1310" s="4561" t="n"/>
      <c r="C1310" s="4561" t="n"/>
      <c r="D1310" s="4561" t="n"/>
      <c r="E1310" s="4561" t="n"/>
      <c r="F1310" s="4561" t="n"/>
    </row>
    <row r="1311">
      <c r="A1311" s="4561" t="n"/>
      <c r="B1311" s="4561" t="n"/>
      <c r="C1311" s="4561" t="n"/>
      <c r="D1311" s="4561" t="n"/>
      <c r="E1311" s="4561" t="n"/>
      <c r="F1311" s="4561" t="n"/>
    </row>
    <row r="1312">
      <c r="A1312" s="4561" t="n"/>
      <c r="B1312" s="4561" t="n"/>
      <c r="C1312" s="4561" t="n"/>
      <c r="D1312" s="4561" t="n"/>
      <c r="E1312" s="4561" t="n"/>
      <c r="F1312" s="4561" t="n"/>
    </row>
    <row r="1313">
      <c r="A1313" s="4561" t="n"/>
      <c r="B1313" s="4561" t="n"/>
      <c r="C1313" s="4561" t="n"/>
      <c r="D1313" s="4561" t="n"/>
      <c r="E1313" s="4561" t="n"/>
      <c r="F1313" s="4561" t="n"/>
    </row>
    <row r="1314">
      <c r="A1314" s="4561" t="n"/>
      <c r="B1314" s="4561" t="n"/>
      <c r="C1314" s="4561" t="n"/>
      <c r="D1314" s="4561" t="n"/>
      <c r="E1314" s="4561" t="n"/>
      <c r="F1314" s="4561" t="n"/>
    </row>
    <row r="1315">
      <c r="A1315" s="4561" t="n"/>
      <c r="B1315" s="4561" t="n"/>
      <c r="C1315" s="4561" t="n"/>
      <c r="D1315" s="4561" t="n"/>
      <c r="E1315" s="4561" t="n"/>
      <c r="F1315" s="4561" t="n"/>
    </row>
    <row r="1316">
      <c r="A1316" s="4561" t="n"/>
      <c r="B1316" s="4561" t="n"/>
      <c r="C1316" s="4561" t="n"/>
      <c r="D1316" s="4561" t="n"/>
      <c r="E1316" s="4561" t="n"/>
      <c r="F1316" s="4561" t="n"/>
    </row>
    <row r="1317">
      <c r="A1317" s="4561" t="n"/>
      <c r="B1317" s="4561" t="n"/>
      <c r="C1317" s="4561" t="n"/>
      <c r="D1317" s="4561" t="n"/>
      <c r="E1317" s="4561" t="n"/>
      <c r="F1317" s="4561" t="n"/>
    </row>
    <row r="1318">
      <c r="A1318" s="4561" t="n"/>
      <c r="B1318" s="4561" t="n"/>
      <c r="C1318" s="4561" t="n"/>
      <c r="D1318" s="4561" t="n"/>
      <c r="E1318" s="4561" t="n"/>
      <c r="F1318" s="4561" t="n"/>
    </row>
    <row r="1319">
      <c r="A1319" s="4561" t="n"/>
      <c r="B1319" s="4561" t="n"/>
      <c r="C1319" s="4561" t="n"/>
      <c r="D1319" s="4561" t="n"/>
      <c r="E1319" s="4561" t="n"/>
      <c r="F1319" s="4561" t="n"/>
    </row>
    <row r="1320">
      <c r="A1320" s="4561" t="n"/>
      <c r="B1320" s="4561" t="n"/>
      <c r="C1320" s="4561" t="n"/>
      <c r="D1320" s="4561" t="n"/>
      <c r="E1320" s="4561" t="n"/>
      <c r="F1320" s="4561" t="n"/>
    </row>
    <row r="1321">
      <c r="A1321" s="4561" t="n"/>
      <c r="B1321" s="4561" t="n"/>
      <c r="C1321" s="4561" t="n"/>
      <c r="D1321" s="4561" t="n"/>
      <c r="E1321" s="4561" t="n"/>
      <c r="F1321" s="4561" t="n"/>
    </row>
    <row r="1322">
      <c r="A1322" s="4561" t="n"/>
      <c r="B1322" s="4561" t="n"/>
      <c r="C1322" s="4561" t="n"/>
      <c r="D1322" s="4561" t="n"/>
      <c r="E1322" s="4561" t="n"/>
      <c r="F1322" s="4561" t="n"/>
    </row>
    <row r="1323">
      <c r="A1323" s="4561" t="n"/>
      <c r="B1323" s="4561" t="n"/>
      <c r="C1323" s="4561" t="n"/>
      <c r="D1323" s="4561" t="n"/>
      <c r="E1323" s="4561" t="n"/>
      <c r="F1323" s="4561" t="n"/>
    </row>
    <row r="1324">
      <c r="A1324" s="4561" t="n"/>
      <c r="B1324" s="4561" t="n"/>
      <c r="C1324" s="4561" t="n"/>
      <c r="D1324" s="4561" t="n"/>
      <c r="E1324" s="4561" t="n"/>
      <c r="F1324" s="4561" t="n"/>
    </row>
    <row r="1325">
      <c r="A1325" s="4561" t="n"/>
      <c r="B1325" s="4561" t="n"/>
      <c r="C1325" s="4561" t="n"/>
      <c r="D1325" s="4561" t="n"/>
      <c r="E1325" s="4561" t="n"/>
      <c r="F1325" s="4561" t="n"/>
    </row>
    <row r="1326">
      <c r="A1326" s="4561" t="n"/>
      <c r="B1326" s="4561" t="n"/>
      <c r="C1326" s="4561" t="n"/>
      <c r="D1326" s="4561" t="n"/>
      <c r="E1326" s="4561" t="n"/>
      <c r="F1326" s="4561" t="n"/>
    </row>
    <row r="1327">
      <c r="A1327" s="4561" t="n"/>
      <c r="B1327" s="4561" t="n"/>
      <c r="C1327" s="4561" t="n"/>
      <c r="D1327" s="4561" t="n"/>
      <c r="E1327" s="4561" t="n"/>
      <c r="F1327" s="4561" t="n"/>
    </row>
    <row r="1328">
      <c r="A1328" s="4561" t="n"/>
      <c r="B1328" s="4561" t="n"/>
      <c r="C1328" s="4561" t="n"/>
      <c r="D1328" s="4561" t="n"/>
      <c r="E1328" s="4561" t="n"/>
      <c r="F1328" s="4561" t="n"/>
    </row>
    <row r="1329">
      <c r="A1329" s="4561" t="n"/>
      <c r="B1329" s="4561" t="n"/>
      <c r="C1329" s="4561" t="n"/>
      <c r="D1329" s="4561" t="n"/>
      <c r="E1329" s="4561" t="n"/>
      <c r="F1329" s="4561" t="n"/>
    </row>
    <row r="1330">
      <c r="A1330" s="4561" t="n"/>
      <c r="B1330" s="4561" t="n"/>
      <c r="C1330" s="4561" t="n"/>
      <c r="D1330" s="4561" t="n"/>
      <c r="E1330" s="4561" t="n"/>
      <c r="F1330" s="4561" t="n"/>
    </row>
    <row r="1331">
      <c r="A1331" s="4561" t="n"/>
      <c r="B1331" s="4561" t="n"/>
      <c r="C1331" s="4561" t="n"/>
      <c r="D1331" s="4561" t="n"/>
      <c r="E1331" s="4561" t="n"/>
      <c r="F1331" s="4561" t="n"/>
    </row>
    <row r="1332">
      <c r="A1332" s="4561" t="n"/>
      <c r="B1332" s="4561" t="n"/>
      <c r="C1332" s="4561" t="n"/>
      <c r="D1332" s="4561" t="n"/>
      <c r="E1332" s="4561" t="n"/>
      <c r="F1332" s="4561" t="n"/>
    </row>
    <row r="1333">
      <c r="A1333" s="4561" t="n"/>
      <c r="B1333" s="4561" t="n"/>
      <c r="C1333" s="4561" t="n"/>
      <c r="D1333" s="4561" t="n"/>
      <c r="E1333" s="4561" t="n"/>
      <c r="F1333" s="4561" t="n"/>
    </row>
    <row r="1334">
      <c r="A1334" s="4561" t="n"/>
      <c r="B1334" s="4561" t="n"/>
      <c r="C1334" s="4561" t="n"/>
      <c r="D1334" s="4561" t="n"/>
      <c r="E1334" s="4561" t="n"/>
      <c r="F1334" s="4561" t="n"/>
    </row>
    <row r="1335">
      <c r="A1335" s="4561" t="n"/>
      <c r="B1335" s="4561" t="n"/>
      <c r="C1335" s="4561" t="n"/>
      <c r="D1335" s="4561" t="n"/>
      <c r="E1335" s="4561" t="n"/>
      <c r="F1335" s="4561" t="n"/>
    </row>
    <row r="1336">
      <c r="A1336" s="4561" t="n"/>
      <c r="B1336" s="4561" t="n"/>
      <c r="C1336" s="4561" t="n"/>
      <c r="D1336" s="4561" t="n"/>
      <c r="E1336" s="4561" t="n"/>
      <c r="F1336" s="4561" t="n"/>
    </row>
    <row r="1337">
      <c r="A1337" s="4561" t="n"/>
      <c r="B1337" s="4561" t="n"/>
      <c r="C1337" s="4561" t="n"/>
      <c r="D1337" s="4561" t="n"/>
      <c r="E1337" s="4561" t="n"/>
      <c r="F1337" s="4561" t="n"/>
    </row>
    <row r="1338">
      <c r="A1338" s="4561" t="n"/>
      <c r="B1338" s="4561" t="n"/>
      <c r="C1338" s="4561" t="n"/>
      <c r="D1338" s="4561" t="n"/>
      <c r="E1338" s="4561" t="n"/>
      <c r="F1338" s="4561" t="n"/>
    </row>
    <row r="1339">
      <c r="A1339" s="4561" t="n"/>
      <c r="B1339" s="4561" t="n"/>
      <c r="C1339" s="4561" t="n"/>
      <c r="D1339" s="4561" t="n"/>
      <c r="E1339" s="4561" t="n"/>
      <c r="F1339" s="4561" t="n"/>
    </row>
    <row r="1340">
      <c r="A1340" s="4561" t="n"/>
      <c r="B1340" s="4561" t="n"/>
      <c r="C1340" s="4561" t="n"/>
      <c r="D1340" s="4561" t="n"/>
      <c r="E1340" s="4561" t="n"/>
      <c r="F1340" s="4561" t="n"/>
    </row>
    <row r="1341">
      <c r="A1341" s="4561" t="n"/>
      <c r="B1341" s="4561" t="n"/>
      <c r="C1341" s="4561" t="n"/>
      <c r="D1341" s="4561" t="n"/>
      <c r="E1341" s="4561" t="n"/>
      <c r="F1341" s="4561" t="n"/>
    </row>
    <row r="1342">
      <c r="A1342" s="4561" t="n"/>
      <c r="B1342" s="4561" t="n"/>
      <c r="C1342" s="4561" t="n"/>
      <c r="D1342" s="4561" t="n"/>
      <c r="E1342" s="4561" t="n"/>
      <c r="F1342" s="4561" t="n"/>
    </row>
    <row r="1343">
      <c r="A1343" s="4561" t="n"/>
      <c r="B1343" s="4561" t="n"/>
      <c r="C1343" s="4561" t="n"/>
      <c r="D1343" s="4561" t="n"/>
      <c r="E1343" s="4561" t="n"/>
      <c r="F1343" s="4561" t="n"/>
    </row>
    <row r="1344">
      <c r="A1344" s="4561" t="n"/>
      <c r="B1344" s="4561" t="n"/>
      <c r="C1344" s="4561" t="n"/>
      <c r="D1344" s="4561" t="n"/>
      <c r="E1344" s="4561" t="n"/>
      <c r="F1344" s="4561" t="n"/>
    </row>
    <row r="1345">
      <c r="A1345" s="4561" t="n"/>
      <c r="B1345" s="4561" t="n"/>
      <c r="C1345" s="4561" t="n"/>
      <c r="D1345" s="4561" t="n"/>
      <c r="E1345" s="4561" t="n"/>
      <c r="F1345" s="4561" t="n"/>
    </row>
    <row r="1346">
      <c r="A1346" s="4561" t="n"/>
      <c r="B1346" s="4561" t="n"/>
      <c r="C1346" s="4561" t="n"/>
      <c r="D1346" s="4561" t="n"/>
      <c r="E1346" s="4561" t="n"/>
      <c r="F1346" s="4561" t="n"/>
    </row>
    <row r="1347">
      <c r="A1347" s="4561" t="n"/>
      <c r="B1347" s="4561" t="n"/>
      <c r="C1347" s="4561" t="n"/>
      <c r="D1347" s="4561" t="n"/>
      <c r="E1347" s="4561" t="n"/>
      <c r="F1347" s="4561" t="n"/>
    </row>
    <row r="1348">
      <c r="A1348" s="4561" t="n"/>
      <c r="B1348" s="4561" t="n"/>
      <c r="C1348" s="4561" t="n"/>
      <c r="D1348" s="4561" t="n"/>
      <c r="E1348" s="4561" t="n"/>
      <c r="F1348" s="4561" t="n"/>
    </row>
    <row r="1349">
      <c r="A1349" s="4561" t="n"/>
      <c r="B1349" s="4561" t="n"/>
      <c r="C1349" s="4561" t="n"/>
      <c r="D1349" s="4561" t="n"/>
      <c r="E1349" s="4561" t="n"/>
      <c r="F1349" s="4561" t="n"/>
    </row>
    <row r="1350">
      <c r="A1350" s="4561" t="n"/>
      <c r="B1350" s="4561" t="n"/>
      <c r="C1350" s="4561" t="n"/>
      <c r="D1350" s="4561" t="n"/>
      <c r="E1350" s="4561" t="n"/>
      <c r="F1350" s="4561" t="n"/>
    </row>
    <row r="1351">
      <c r="A1351" s="4561" t="n"/>
      <c r="B1351" s="4561" t="n"/>
      <c r="C1351" s="4561" t="n"/>
      <c r="D1351" s="4561" t="n"/>
      <c r="E1351" s="4561" t="n"/>
      <c r="F1351" s="4561" t="n"/>
    </row>
    <row r="1352">
      <c r="A1352" s="4561" t="n"/>
      <c r="B1352" s="4561" t="n"/>
      <c r="C1352" s="4561" t="n"/>
      <c r="D1352" s="4561" t="n"/>
      <c r="E1352" s="4561" t="n"/>
      <c r="F1352" s="4561" t="n"/>
    </row>
    <row r="1353">
      <c r="A1353" s="4561" t="n"/>
      <c r="B1353" s="4561" t="n"/>
      <c r="C1353" s="4561" t="n"/>
      <c r="D1353" s="4561" t="n"/>
      <c r="E1353" s="4561" t="n"/>
      <c r="F1353" s="4561" t="n"/>
    </row>
    <row r="1354">
      <c r="A1354" s="4561" t="n"/>
      <c r="B1354" s="4561" t="n"/>
      <c r="C1354" s="4561" t="n"/>
      <c r="D1354" s="4561" t="n"/>
      <c r="E1354" s="4561" t="n"/>
      <c r="F1354" s="4561" t="n"/>
    </row>
    <row r="1355">
      <c r="A1355" s="4561" t="n"/>
      <c r="B1355" s="4561" t="n"/>
      <c r="C1355" s="4561" t="n"/>
      <c r="D1355" s="4561" t="n"/>
      <c r="E1355" s="4561" t="n"/>
      <c r="F1355" s="4561" t="n"/>
    </row>
    <row r="1356">
      <c r="A1356" s="4561" t="n"/>
      <c r="B1356" s="4561" t="n"/>
      <c r="C1356" s="4561" t="n"/>
      <c r="D1356" s="4561" t="n"/>
      <c r="E1356" s="4561" t="n"/>
      <c r="F1356" s="4561" t="n"/>
    </row>
    <row r="1357">
      <c r="A1357" s="4561" t="n"/>
      <c r="B1357" s="4561" t="n"/>
      <c r="C1357" s="4561" t="n"/>
      <c r="D1357" s="4561" t="n"/>
      <c r="E1357" s="4561" t="n"/>
      <c r="F1357" s="4561" t="n"/>
    </row>
    <row r="1358">
      <c r="A1358" s="4561" t="n"/>
      <c r="B1358" s="4561" t="n"/>
      <c r="C1358" s="4561" t="n"/>
      <c r="D1358" s="4561" t="n"/>
      <c r="E1358" s="4561" t="n"/>
      <c r="F1358" s="4561" t="n"/>
    </row>
    <row r="1359">
      <c r="A1359" s="4561" t="n"/>
      <c r="B1359" s="4561" t="n"/>
      <c r="C1359" s="4561" t="n"/>
      <c r="D1359" s="4561" t="n"/>
      <c r="E1359" s="4561" t="n"/>
      <c r="F1359" s="4561" t="n"/>
    </row>
    <row r="1360">
      <c r="A1360" s="4561" t="n"/>
      <c r="B1360" s="4561" t="n"/>
      <c r="C1360" s="4561" t="n"/>
      <c r="D1360" s="4561" t="n"/>
      <c r="E1360" s="4561" t="n"/>
      <c r="F1360" s="4561" t="n"/>
    </row>
    <row r="1361">
      <c r="A1361" s="4561" t="n"/>
      <c r="B1361" s="4561" t="n"/>
      <c r="C1361" s="4561" t="n"/>
      <c r="D1361" s="4561" t="n"/>
      <c r="E1361" s="4561" t="n"/>
      <c r="F1361" s="4561" t="n"/>
    </row>
    <row r="1362">
      <c r="A1362" s="4561" t="n"/>
      <c r="B1362" s="4561" t="n"/>
      <c r="C1362" s="4561" t="n"/>
      <c r="D1362" s="4561" t="n"/>
      <c r="E1362" s="4561" t="n"/>
      <c r="F1362" s="4561" t="n"/>
    </row>
    <row r="1363">
      <c r="A1363" s="4561" t="n"/>
      <c r="B1363" s="4561" t="n"/>
      <c r="C1363" s="4561" t="n"/>
      <c r="D1363" s="4561" t="n"/>
      <c r="E1363" s="4561" t="n"/>
      <c r="F1363" s="4561" t="n"/>
    </row>
    <row r="1364">
      <c r="A1364" s="4561" t="n"/>
      <c r="B1364" s="4561" t="n"/>
      <c r="C1364" s="4561" t="n"/>
      <c r="D1364" s="4561" t="n"/>
      <c r="E1364" s="4561" t="n"/>
      <c r="F1364" s="4561" t="n"/>
    </row>
    <row r="1365">
      <c r="A1365" s="4561" t="n"/>
      <c r="B1365" s="4561" t="n"/>
      <c r="C1365" s="4561" t="n"/>
      <c r="D1365" s="4561" t="n"/>
      <c r="E1365" s="4561" t="n"/>
      <c r="F1365" s="4561" t="n"/>
    </row>
    <row r="1366">
      <c r="A1366" s="4561" t="n"/>
      <c r="B1366" s="4561" t="n"/>
      <c r="C1366" s="4561" t="n"/>
      <c r="D1366" s="4561" t="n"/>
      <c r="E1366" s="4561" t="n"/>
      <c r="F1366" s="4561" t="n"/>
    </row>
    <row r="1367">
      <c r="A1367" s="4561" t="n"/>
      <c r="B1367" s="4561" t="n"/>
      <c r="C1367" s="4561" t="n"/>
      <c r="D1367" s="4561" t="n"/>
      <c r="E1367" s="4561" t="n"/>
      <c r="F1367" s="4561" t="n"/>
    </row>
    <row r="1368">
      <c r="A1368" s="4561" t="n"/>
      <c r="B1368" s="4561" t="n"/>
      <c r="C1368" s="4561" t="n"/>
      <c r="D1368" s="4561" t="n"/>
      <c r="E1368" s="4561" t="n"/>
      <c r="F1368" s="4561" t="n"/>
    </row>
    <row r="1369">
      <c r="A1369" s="4561" t="n"/>
      <c r="B1369" s="4561" t="n"/>
      <c r="C1369" s="4561" t="n"/>
      <c r="D1369" s="4561" t="n"/>
      <c r="E1369" s="4561" t="n"/>
      <c r="F1369" s="4561" t="n"/>
    </row>
    <row r="1370">
      <c r="A1370" s="4561" t="n"/>
      <c r="B1370" s="4561" t="n"/>
      <c r="C1370" s="4561" t="n"/>
      <c r="D1370" s="4561" t="n"/>
      <c r="E1370" s="4561" t="n"/>
      <c r="F1370" s="4561" t="n"/>
    </row>
    <row r="1371">
      <c r="A1371" s="4561" t="n"/>
      <c r="B1371" s="4561" t="n"/>
      <c r="C1371" s="4561" t="n"/>
      <c r="D1371" s="4561" t="n"/>
      <c r="E1371" s="4561" t="n"/>
      <c r="F1371" s="4561" t="n"/>
    </row>
    <row r="1372">
      <c r="A1372" s="4561" t="n"/>
      <c r="B1372" s="4561" t="n"/>
      <c r="C1372" s="4561" t="n"/>
      <c r="D1372" s="4561" t="n"/>
      <c r="E1372" s="4561" t="n"/>
      <c r="F1372" s="4561" t="n"/>
    </row>
    <row r="1373">
      <c r="A1373" s="4561" t="n"/>
      <c r="B1373" s="4561" t="n"/>
      <c r="C1373" s="4561" t="n"/>
      <c r="D1373" s="4561" t="n"/>
      <c r="E1373" s="4561" t="n"/>
      <c r="F1373" s="4561" t="n"/>
    </row>
    <row r="1374">
      <c r="A1374" s="4561" t="n"/>
      <c r="B1374" s="4561" t="n"/>
      <c r="C1374" s="4561" t="n"/>
      <c r="D1374" s="4561" t="n"/>
      <c r="E1374" s="4561" t="n"/>
      <c r="F1374" s="4561" t="n"/>
    </row>
    <row r="1375">
      <c r="A1375" s="4561" t="n"/>
      <c r="B1375" s="4561" t="n"/>
      <c r="C1375" s="4561" t="n"/>
      <c r="D1375" s="4561" t="n"/>
      <c r="E1375" s="4561" t="n"/>
      <c r="F1375" s="4561" t="n"/>
    </row>
    <row r="1376">
      <c r="A1376" s="4561" t="n"/>
      <c r="B1376" s="4561" t="n"/>
      <c r="C1376" s="4561" t="n"/>
      <c r="D1376" s="4561" t="n"/>
      <c r="E1376" s="4561" t="n"/>
      <c r="F1376" s="4561" t="n"/>
    </row>
    <row r="1377">
      <c r="A1377" s="4561" t="n"/>
      <c r="B1377" s="4561" t="n"/>
      <c r="C1377" s="4561" t="n"/>
      <c r="D1377" s="4561" t="n"/>
      <c r="E1377" s="4561" t="n"/>
      <c r="F1377" s="4561" t="n"/>
    </row>
    <row r="1378">
      <c r="A1378" s="4561" t="n"/>
      <c r="B1378" s="4561" t="n"/>
      <c r="C1378" s="4561" t="n"/>
      <c r="D1378" s="4561" t="n"/>
      <c r="E1378" s="4561" t="n"/>
      <c r="F1378" s="4561" t="n"/>
    </row>
    <row r="1379">
      <c r="A1379" s="4561" t="n"/>
      <c r="B1379" s="4561" t="n"/>
      <c r="C1379" s="4561" t="n"/>
      <c r="D1379" s="4561" t="n"/>
      <c r="E1379" s="4561" t="n"/>
      <c r="F1379" s="4561" t="n"/>
    </row>
    <row r="1380">
      <c r="A1380" s="4561" t="n"/>
      <c r="B1380" s="4561" t="n"/>
      <c r="C1380" s="4561" t="n"/>
      <c r="D1380" s="4561" t="n"/>
      <c r="E1380" s="4561" t="n"/>
      <c r="F1380" s="4561" t="n"/>
    </row>
    <row r="1381">
      <c r="A1381" s="4561" t="n"/>
      <c r="B1381" s="4561" t="n"/>
      <c r="C1381" s="4561" t="n"/>
      <c r="D1381" s="4561" t="n"/>
      <c r="E1381" s="4561" t="n"/>
      <c r="F1381" s="4561" t="n"/>
    </row>
    <row r="1382">
      <c r="A1382" s="4561" t="n"/>
      <c r="B1382" s="4561" t="n"/>
      <c r="C1382" s="4561" t="n"/>
      <c r="D1382" s="4561" t="n"/>
      <c r="E1382" s="4561" t="n"/>
      <c r="F1382" s="4561" t="n"/>
    </row>
    <row r="1383">
      <c r="A1383" s="4561" t="n"/>
      <c r="B1383" s="4561" t="n"/>
      <c r="C1383" s="4561" t="n"/>
      <c r="D1383" s="4561" t="n"/>
      <c r="E1383" s="4561" t="n"/>
      <c r="F1383" s="4561" t="n"/>
    </row>
    <row r="1384">
      <c r="A1384" s="4561" t="n"/>
      <c r="B1384" s="4561" t="n"/>
      <c r="C1384" s="4561" t="n"/>
      <c r="D1384" s="4561" t="n"/>
      <c r="E1384" s="4561" t="n"/>
      <c r="F1384" s="4561" t="n"/>
    </row>
    <row r="1385">
      <c r="A1385" s="4561" t="n"/>
      <c r="B1385" s="4561" t="n"/>
      <c r="C1385" s="4561" t="n"/>
      <c r="D1385" s="4561" t="n"/>
      <c r="E1385" s="4561" t="n"/>
      <c r="F1385" s="4561" t="n"/>
    </row>
    <row r="1386">
      <c r="A1386" s="4561" t="n"/>
      <c r="B1386" s="4561" t="n"/>
      <c r="C1386" s="4561" t="n"/>
      <c r="D1386" s="4561" t="n"/>
      <c r="E1386" s="4561" t="n"/>
      <c r="F1386" s="4561" t="n"/>
    </row>
    <row r="1387">
      <c r="A1387" s="4561" t="n"/>
      <c r="B1387" s="4561" t="n"/>
      <c r="C1387" s="4561" t="n"/>
      <c r="D1387" s="4561" t="n"/>
      <c r="E1387" s="4561" t="n"/>
      <c r="F1387" s="4561" t="n"/>
    </row>
    <row r="1388">
      <c r="A1388" s="4561" t="n"/>
      <c r="B1388" s="4561" t="n"/>
      <c r="C1388" s="4561" t="n"/>
      <c r="D1388" s="4561" t="n"/>
      <c r="E1388" s="4561" t="n"/>
      <c r="F1388" s="4561" t="n"/>
    </row>
    <row r="1389">
      <c r="A1389" s="4561" t="n"/>
      <c r="B1389" s="4561" t="n"/>
      <c r="C1389" s="4561" t="n"/>
      <c r="D1389" s="4561" t="n"/>
      <c r="E1389" s="4561" t="n"/>
      <c r="F1389" s="4561" t="n"/>
    </row>
    <row r="1390">
      <c r="A1390" s="4561" t="n"/>
      <c r="B1390" s="4561" t="n"/>
      <c r="C1390" s="4561" t="n"/>
      <c r="D1390" s="4561" t="n"/>
      <c r="E1390" s="4561" t="n"/>
      <c r="F1390" s="4561" t="n"/>
    </row>
    <row r="1391">
      <c r="A1391" s="4561" t="n"/>
      <c r="B1391" s="4561" t="n"/>
      <c r="C1391" s="4561" t="n"/>
      <c r="D1391" s="4561" t="n"/>
      <c r="E1391" s="4561" t="n"/>
      <c r="F1391" s="4561" t="n"/>
    </row>
    <row r="1392">
      <c r="A1392" s="4561" t="n"/>
      <c r="B1392" s="4561" t="n"/>
      <c r="C1392" s="4561" t="n"/>
      <c r="D1392" s="4561" t="n"/>
      <c r="E1392" s="4561" t="n"/>
      <c r="F1392" s="4561" t="n"/>
    </row>
    <row r="1393">
      <c r="A1393" s="4561" t="n"/>
      <c r="B1393" s="4561" t="n"/>
      <c r="C1393" s="4561" t="n"/>
      <c r="D1393" s="4561" t="n"/>
      <c r="E1393" s="4561" t="n"/>
      <c r="F1393" s="4561" t="n"/>
    </row>
    <row r="1394">
      <c r="A1394" s="4561" t="n"/>
      <c r="B1394" s="4561" t="n"/>
      <c r="C1394" s="4561" t="n"/>
      <c r="D1394" s="4561" t="n"/>
      <c r="E1394" s="4561" t="n"/>
      <c r="F1394" s="4561" t="n"/>
    </row>
    <row r="1395">
      <c r="A1395" s="4561" t="n"/>
      <c r="B1395" s="4561" t="n"/>
      <c r="C1395" s="4561" t="n"/>
      <c r="D1395" s="4561" t="n"/>
      <c r="E1395" s="4561" t="n"/>
      <c r="F1395" s="4561" t="n"/>
    </row>
    <row r="1396">
      <c r="A1396" s="4561" t="n"/>
      <c r="B1396" s="4561" t="n"/>
      <c r="C1396" s="4561" t="n"/>
      <c r="D1396" s="4561" t="n"/>
      <c r="E1396" s="4561" t="n"/>
      <c r="F1396" s="4561" t="n"/>
    </row>
    <row r="1397">
      <c r="A1397" s="4561" t="n"/>
      <c r="B1397" s="4561" t="n"/>
      <c r="C1397" s="4561" t="n"/>
      <c r="D1397" s="4561" t="n"/>
      <c r="E1397" s="4561" t="n"/>
      <c r="F1397" s="4561" t="n"/>
    </row>
    <row r="1398">
      <c r="A1398" s="4561" t="n"/>
      <c r="B1398" s="4561" t="n"/>
      <c r="C1398" s="4561" t="n"/>
      <c r="D1398" s="4561" t="n"/>
      <c r="E1398" s="4561" t="n"/>
      <c r="F1398" s="4561" t="n"/>
    </row>
    <row r="1399">
      <c r="A1399" s="4561" t="n"/>
      <c r="B1399" s="4561" t="n"/>
      <c r="C1399" s="4561" t="n"/>
      <c r="D1399" s="4561" t="n"/>
      <c r="E1399" s="4561" t="n"/>
      <c r="F1399" s="4561" t="n"/>
    </row>
    <row r="1400">
      <c r="A1400" s="4561" t="n"/>
      <c r="B1400" s="4561" t="n"/>
      <c r="C1400" s="4561" t="n"/>
      <c r="D1400" s="4561" t="n"/>
      <c r="E1400" s="4561" t="n"/>
      <c r="F1400" s="4561" t="n"/>
    </row>
    <row r="1401">
      <c r="A1401" s="4561" t="n"/>
      <c r="B1401" s="4561" t="n"/>
      <c r="C1401" s="4561" t="n"/>
      <c r="D1401" s="4561" t="n"/>
      <c r="E1401" s="4561" t="n"/>
      <c r="F1401" s="4561" t="n"/>
    </row>
    <row r="1402">
      <c r="A1402" s="4561" t="n"/>
      <c r="B1402" s="4561" t="n"/>
      <c r="C1402" s="4561" t="n"/>
      <c r="D1402" s="4561" t="n"/>
      <c r="E1402" s="4561" t="n"/>
      <c r="F1402" s="4561" t="n"/>
    </row>
    <row r="1403">
      <c r="A1403" s="4561" t="n"/>
      <c r="B1403" s="4561" t="n"/>
      <c r="C1403" s="4561" t="n"/>
      <c r="D1403" s="4561" t="n"/>
      <c r="E1403" s="4561" t="n"/>
      <c r="F1403" s="4561" t="n"/>
    </row>
    <row r="1404">
      <c r="A1404" s="4561" t="n"/>
      <c r="B1404" s="4561" t="n"/>
      <c r="C1404" s="4561" t="n"/>
      <c r="D1404" s="4561" t="n"/>
      <c r="E1404" s="4561" t="n"/>
      <c r="F1404" s="4561" t="n"/>
    </row>
    <row r="1405">
      <c r="A1405" s="4561" t="n"/>
      <c r="B1405" s="4561" t="n"/>
      <c r="C1405" s="4561" t="n"/>
      <c r="D1405" s="4561" t="n"/>
      <c r="E1405" s="4561" t="n"/>
      <c r="F1405" s="4561" t="n"/>
    </row>
    <row r="1406">
      <c r="A1406" s="4561" t="n"/>
      <c r="B1406" s="4561" t="n"/>
      <c r="C1406" s="4561" t="n"/>
      <c r="D1406" s="4561" t="n"/>
      <c r="E1406" s="4561" t="n"/>
      <c r="F1406" s="4561" t="n"/>
    </row>
    <row r="1407">
      <c r="A1407" s="4561" t="n"/>
      <c r="B1407" s="4561" t="n"/>
      <c r="C1407" s="4561" t="n"/>
      <c r="D1407" s="4561" t="n"/>
      <c r="E1407" s="4561" t="n"/>
      <c r="F1407" s="4561" t="n"/>
    </row>
    <row r="1408">
      <c r="A1408" s="4561" t="n"/>
      <c r="B1408" s="4561" t="n"/>
      <c r="C1408" s="4561" t="n"/>
      <c r="D1408" s="4561" t="n"/>
      <c r="E1408" s="4561" t="n"/>
      <c r="F1408" s="4561" t="n"/>
    </row>
    <row r="1409">
      <c r="A1409" s="4561" t="n"/>
      <c r="B1409" s="4561" t="n"/>
      <c r="C1409" s="4561" t="n"/>
      <c r="D1409" s="4561" t="n"/>
      <c r="E1409" s="4561" t="n"/>
      <c r="F1409" s="4561" t="n"/>
    </row>
    <row r="1410">
      <c r="A1410" s="4561" t="n"/>
      <c r="B1410" s="4561" t="n"/>
      <c r="C1410" s="4561" t="n"/>
      <c r="D1410" s="4561" t="n"/>
      <c r="E1410" s="4561" t="n"/>
      <c r="F1410" s="4561" t="n"/>
    </row>
    <row r="1411">
      <c r="A1411" s="4561" t="n"/>
      <c r="B1411" s="4561" t="n"/>
      <c r="C1411" s="4561" t="n"/>
      <c r="D1411" s="4561" t="n"/>
      <c r="E1411" s="4561" t="n"/>
      <c r="F1411" s="4561" t="n"/>
    </row>
    <row r="1412">
      <c r="A1412" s="4561" t="n"/>
      <c r="B1412" s="4561" t="n"/>
      <c r="C1412" s="4561" t="n"/>
      <c r="D1412" s="4561" t="n"/>
      <c r="E1412" s="4561" t="n"/>
      <c r="F1412" s="4561" t="n"/>
    </row>
    <row r="1413">
      <c r="A1413" s="4561" t="n"/>
      <c r="B1413" s="4561" t="n"/>
      <c r="C1413" s="4561" t="n"/>
      <c r="D1413" s="4561" t="n"/>
      <c r="E1413" s="4561" t="n"/>
      <c r="F1413" s="4561" t="n"/>
    </row>
    <row r="1414">
      <c r="A1414" s="4561" t="n"/>
      <c r="B1414" s="4561" t="n"/>
      <c r="C1414" s="4561" t="n"/>
      <c r="D1414" s="4561" t="n"/>
      <c r="E1414" s="4561" t="n"/>
      <c r="F1414" s="4561" t="n"/>
    </row>
    <row r="1415">
      <c r="A1415" s="4561" t="n"/>
      <c r="B1415" s="4561" t="n"/>
      <c r="C1415" s="4561" t="n"/>
      <c r="D1415" s="4561" t="n"/>
      <c r="E1415" s="4561" t="n"/>
      <c r="F1415" s="4561" t="n"/>
    </row>
    <row r="1416">
      <c r="A1416" s="4561" t="n"/>
      <c r="B1416" s="4561" t="n"/>
      <c r="C1416" s="4561" t="n"/>
      <c r="D1416" s="4561" t="n"/>
      <c r="E1416" s="4561" t="n"/>
      <c r="F1416" s="4561" t="n"/>
    </row>
    <row r="1417">
      <c r="A1417" s="4561" t="n"/>
      <c r="B1417" s="4561" t="n"/>
      <c r="C1417" s="4561" t="n"/>
      <c r="D1417" s="4561" t="n"/>
      <c r="E1417" s="4561" t="n"/>
      <c r="F1417" s="4561" t="n"/>
    </row>
    <row r="1418">
      <c r="A1418" s="4561" t="n"/>
      <c r="B1418" s="4561" t="n"/>
      <c r="C1418" s="4561" t="n"/>
      <c r="D1418" s="4561" t="n"/>
      <c r="E1418" s="4561" t="n"/>
      <c r="F1418" s="4561" t="n"/>
    </row>
    <row r="1419">
      <c r="A1419" s="4561" t="n"/>
      <c r="B1419" s="4561" t="n"/>
      <c r="C1419" s="4561" t="n"/>
      <c r="D1419" s="4561" t="n"/>
      <c r="E1419" s="4561" t="n"/>
      <c r="F1419" s="4561" t="n"/>
    </row>
    <row r="1420">
      <c r="A1420" s="4561" t="n"/>
      <c r="B1420" s="4561" t="n"/>
      <c r="C1420" s="4561" t="n"/>
      <c r="D1420" s="4561" t="n"/>
      <c r="E1420" s="4561" t="n"/>
      <c r="F1420" s="4561" t="n"/>
    </row>
    <row r="1421">
      <c r="A1421" s="4561" t="n"/>
      <c r="B1421" s="4561" t="n"/>
      <c r="C1421" s="4561" t="n"/>
      <c r="D1421" s="4561" t="n"/>
      <c r="E1421" s="4561" t="n"/>
      <c r="F1421" s="4561" t="n"/>
    </row>
    <row r="1422">
      <c r="A1422" s="4561" t="n"/>
      <c r="B1422" s="4561" t="n"/>
      <c r="C1422" s="4561" t="n"/>
      <c r="D1422" s="4561" t="n"/>
      <c r="E1422" s="4561" t="n"/>
      <c r="F1422" s="4561" t="n"/>
    </row>
    <row r="1423">
      <c r="A1423" s="4561" t="n"/>
      <c r="B1423" s="4561" t="n"/>
      <c r="C1423" s="4561" t="n"/>
      <c r="D1423" s="4561" t="n"/>
      <c r="E1423" s="4561" t="n"/>
      <c r="F1423" s="4561" t="n"/>
    </row>
    <row r="1424">
      <c r="A1424" s="4561" t="n"/>
      <c r="B1424" s="4561" t="n"/>
      <c r="C1424" s="4561" t="n"/>
      <c r="D1424" s="4561" t="n"/>
      <c r="E1424" s="4561" t="n"/>
      <c r="F1424" s="4561" t="n"/>
    </row>
    <row r="1425">
      <c r="A1425" s="4561" t="n"/>
      <c r="B1425" s="4561" t="n"/>
      <c r="C1425" s="4561" t="n"/>
      <c r="D1425" s="4561" t="n"/>
      <c r="E1425" s="4561" t="n"/>
      <c r="F1425" s="4561" t="n"/>
    </row>
    <row r="1426">
      <c r="A1426" s="4561" t="n"/>
      <c r="B1426" s="4561" t="n"/>
      <c r="C1426" s="4561" t="n"/>
      <c r="D1426" s="4561" t="n"/>
      <c r="E1426" s="4561" t="n"/>
      <c r="F1426" s="4561" t="n"/>
    </row>
    <row r="1427">
      <c r="A1427" s="4561" t="n"/>
      <c r="B1427" s="4561" t="n"/>
      <c r="C1427" s="4561" t="n"/>
      <c r="D1427" s="4561" t="n"/>
      <c r="E1427" s="4561" t="n"/>
      <c r="F1427" s="4561" t="n"/>
    </row>
    <row r="1428">
      <c r="A1428" s="4561" t="n"/>
      <c r="B1428" s="4561" t="n"/>
      <c r="C1428" s="4561" t="n"/>
      <c r="D1428" s="4561" t="n"/>
      <c r="E1428" s="4561" t="n"/>
      <c r="F1428" s="4561" t="n"/>
    </row>
    <row r="1429">
      <c r="A1429" s="4561" t="n"/>
      <c r="B1429" s="4561" t="n"/>
      <c r="C1429" s="4561" t="n"/>
      <c r="D1429" s="4561" t="n"/>
      <c r="E1429" s="4561" t="n"/>
      <c r="F1429" s="4561" t="n"/>
    </row>
    <row r="1430">
      <c r="A1430" s="4561" t="n"/>
      <c r="B1430" s="4561" t="n"/>
      <c r="C1430" s="4561" t="n"/>
      <c r="D1430" s="4561" t="n"/>
      <c r="E1430" s="4561" t="n"/>
      <c r="F1430" s="4561" t="n"/>
    </row>
    <row r="1431">
      <c r="A1431" s="4561" t="n"/>
      <c r="B1431" s="4561" t="n"/>
      <c r="C1431" s="4561" t="n"/>
      <c r="D1431" s="4561" t="n"/>
      <c r="E1431" s="4561" t="n"/>
      <c r="F1431" s="4561" t="n"/>
    </row>
    <row r="1432">
      <c r="A1432" s="4561" t="n"/>
      <c r="B1432" s="4561" t="n"/>
      <c r="C1432" s="4561" t="n"/>
      <c r="D1432" s="4561" t="n"/>
      <c r="E1432" s="4561" t="n"/>
      <c r="F1432" s="4561" t="n"/>
    </row>
    <row r="1433">
      <c r="A1433" s="4561" t="n"/>
      <c r="B1433" s="4561" t="n"/>
      <c r="C1433" s="4561" t="n"/>
      <c r="D1433" s="4561" t="n"/>
      <c r="E1433" s="4561" t="n"/>
      <c r="F1433" s="4561" t="n"/>
    </row>
    <row r="1434">
      <c r="A1434" s="4561" t="n"/>
      <c r="B1434" s="4561" t="n"/>
      <c r="C1434" s="4561" t="n"/>
      <c r="D1434" s="4561" t="n"/>
      <c r="E1434" s="4561" t="n"/>
      <c r="F1434" s="4561" t="n"/>
    </row>
    <row r="1435">
      <c r="A1435" s="4561" t="n"/>
      <c r="B1435" s="4561" t="n"/>
      <c r="C1435" s="4561" t="n"/>
      <c r="D1435" s="4561" t="n"/>
      <c r="E1435" s="4561" t="n"/>
      <c r="F1435" s="4561" t="n"/>
    </row>
    <row r="1436">
      <c r="A1436" s="4561" t="n"/>
      <c r="B1436" s="4561" t="n"/>
      <c r="C1436" s="4561" t="n"/>
      <c r="D1436" s="4561" t="n"/>
      <c r="E1436" s="4561" t="n"/>
      <c r="F1436" s="4561" t="n"/>
    </row>
    <row r="1437">
      <c r="A1437" s="4561" t="n"/>
      <c r="B1437" s="4561" t="n"/>
      <c r="C1437" s="4561" t="n"/>
      <c r="D1437" s="4561" t="n"/>
      <c r="E1437" s="4561" t="n"/>
      <c r="F1437" s="4561" t="n"/>
    </row>
    <row r="1438">
      <c r="A1438" s="4561" t="n"/>
      <c r="B1438" s="4561" t="n"/>
      <c r="C1438" s="4561" t="n"/>
      <c r="D1438" s="4561" t="n"/>
      <c r="E1438" s="4561" t="n"/>
      <c r="F1438" s="4561" t="n"/>
    </row>
    <row r="1439">
      <c r="A1439" s="4561" t="n"/>
      <c r="B1439" s="4561" t="n"/>
      <c r="C1439" s="4561" t="n"/>
      <c r="D1439" s="4561" t="n"/>
      <c r="E1439" s="4561" t="n"/>
      <c r="F1439" s="4561" t="n"/>
    </row>
    <row r="1440">
      <c r="A1440" s="4561" t="n"/>
      <c r="B1440" s="4561" t="n"/>
      <c r="C1440" s="4561" t="n"/>
      <c r="D1440" s="4561" t="n"/>
      <c r="E1440" s="4561" t="n"/>
      <c r="F1440" s="4561" t="n"/>
    </row>
    <row r="1441">
      <c r="A1441" s="4561" t="n"/>
      <c r="B1441" s="4561" t="n"/>
      <c r="C1441" s="4561" t="n"/>
      <c r="D1441" s="4561" t="n"/>
      <c r="E1441" s="4561" t="n"/>
      <c r="F1441" s="4561" t="n"/>
    </row>
    <row r="1442">
      <c r="A1442" s="4561" t="n"/>
      <c r="B1442" s="4561" t="n"/>
      <c r="C1442" s="4561" t="n"/>
      <c r="D1442" s="4561" t="n"/>
      <c r="E1442" s="4561" t="n"/>
      <c r="F1442" s="4561" t="n"/>
    </row>
    <row r="1443">
      <c r="A1443" s="4561" t="n"/>
      <c r="B1443" s="4561" t="n"/>
      <c r="C1443" s="4561" t="n"/>
      <c r="D1443" s="4561" t="n"/>
      <c r="E1443" s="4561" t="n"/>
      <c r="F1443" s="4561" t="n"/>
    </row>
    <row r="1444">
      <c r="A1444" s="4561" t="n"/>
      <c r="B1444" s="4561" t="n"/>
      <c r="C1444" s="4561" t="n"/>
      <c r="D1444" s="4561" t="n"/>
      <c r="E1444" s="4561" t="n"/>
      <c r="F1444" s="4561" t="n"/>
    </row>
    <row r="1445">
      <c r="A1445" s="4561" t="n"/>
      <c r="B1445" s="4561" t="n"/>
      <c r="C1445" s="4561" t="n"/>
      <c r="D1445" s="4561" t="n"/>
      <c r="E1445" s="4561" t="n"/>
      <c r="F1445" s="4561" t="n"/>
    </row>
    <row r="1446">
      <c r="A1446" s="4561" t="n"/>
      <c r="B1446" s="4561" t="n"/>
      <c r="C1446" s="4561" t="n"/>
      <c r="D1446" s="4561" t="n"/>
      <c r="E1446" s="4561" t="n"/>
      <c r="F1446" s="4561" t="n"/>
    </row>
    <row r="1447">
      <c r="A1447" s="4561" t="n"/>
      <c r="B1447" s="4561" t="n"/>
      <c r="C1447" s="4561" t="n"/>
      <c r="D1447" s="4561" t="n"/>
      <c r="E1447" s="4561" t="n"/>
      <c r="F1447" s="4561" t="n"/>
    </row>
    <row r="1448">
      <c r="A1448" s="4561" t="n"/>
      <c r="B1448" s="4561" t="n"/>
      <c r="C1448" s="4561" t="n"/>
      <c r="D1448" s="4561" t="n"/>
      <c r="E1448" s="4561" t="n"/>
      <c r="F1448" s="4561" t="n"/>
    </row>
    <row r="1449">
      <c r="A1449" s="4561" t="n"/>
      <c r="B1449" s="4561" t="n"/>
      <c r="C1449" s="4561" t="n"/>
      <c r="D1449" s="4561" t="n"/>
      <c r="E1449" s="4561" t="n"/>
      <c r="F1449" s="4561" t="n"/>
    </row>
    <row r="1450">
      <c r="A1450" s="4561" t="n"/>
      <c r="B1450" s="4561" t="n"/>
      <c r="C1450" s="4561" t="n"/>
      <c r="D1450" s="4561" t="n"/>
      <c r="E1450" s="4561" t="n"/>
      <c r="F1450" s="4561" t="n"/>
    </row>
    <row r="1451">
      <c r="A1451" s="4561" t="n"/>
      <c r="B1451" s="4561" t="n"/>
      <c r="C1451" s="4561" t="n"/>
      <c r="D1451" s="4561" t="n"/>
      <c r="E1451" s="4561" t="n"/>
      <c r="F1451" s="4561" t="n"/>
    </row>
    <row r="1452">
      <c r="A1452" s="4561" t="n"/>
      <c r="B1452" s="4561" t="n"/>
      <c r="C1452" s="4561" t="n"/>
      <c r="D1452" s="4561" t="n"/>
      <c r="E1452" s="4561" t="n"/>
      <c r="F1452" s="4561" t="n"/>
    </row>
    <row r="1453">
      <c r="A1453" s="4561" t="n"/>
      <c r="B1453" s="4561" t="n"/>
      <c r="C1453" s="4561" t="n"/>
      <c r="D1453" s="4561" t="n"/>
      <c r="E1453" s="4561" t="n"/>
      <c r="F1453" s="4561" t="n"/>
    </row>
    <row r="1454">
      <c r="A1454" s="4561" t="n"/>
      <c r="B1454" s="4561" t="n"/>
      <c r="C1454" s="4561" t="n"/>
      <c r="D1454" s="4561" t="n"/>
      <c r="E1454" s="4561" t="n"/>
      <c r="F1454" s="4561" t="n"/>
    </row>
    <row r="1455">
      <c r="A1455" s="4561" t="n"/>
      <c r="B1455" s="4561" t="n"/>
      <c r="C1455" s="4561" t="n"/>
      <c r="D1455" s="4561" t="n"/>
      <c r="E1455" s="4561" t="n"/>
      <c r="F1455" s="4561" t="n"/>
    </row>
    <row r="1456">
      <c r="A1456" s="4561" t="n"/>
      <c r="B1456" s="4561" t="n"/>
      <c r="C1456" s="4561" t="n"/>
      <c r="D1456" s="4561" t="n"/>
      <c r="E1456" s="4561" t="n"/>
      <c r="F1456" s="4561" t="n"/>
    </row>
    <row r="1457">
      <c r="A1457" s="4561" t="n"/>
      <c r="B1457" s="4561" t="n"/>
      <c r="C1457" s="4561" t="n"/>
      <c r="D1457" s="4561" t="n"/>
      <c r="E1457" s="4561" t="n"/>
      <c r="F1457" s="4561" t="n"/>
    </row>
    <row r="1458">
      <c r="A1458" s="4561" t="n"/>
      <c r="B1458" s="4561" t="n"/>
      <c r="C1458" s="4561" t="n"/>
      <c r="D1458" s="4561" t="n"/>
      <c r="E1458" s="4561" t="n"/>
      <c r="F1458" s="4561" t="n"/>
    </row>
    <row r="1459">
      <c r="A1459" s="4561" t="n"/>
      <c r="B1459" s="4561" t="n"/>
      <c r="C1459" s="4561" t="n"/>
      <c r="D1459" s="4561" t="n"/>
      <c r="E1459" s="4561" t="n"/>
      <c r="F1459" s="4561" t="n"/>
    </row>
    <row r="1460">
      <c r="A1460" s="4561" t="n"/>
      <c r="B1460" s="4561" t="n"/>
      <c r="C1460" s="4561" t="n"/>
      <c r="D1460" s="4561" t="n"/>
      <c r="E1460" s="4561" t="n"/>
      <c r="F1460" s="4561" t="n"/>
    </row>
    <row r="1461">
      <c r="A1461" s="4561" t="n"/>
      <c r="B1461" s="4561" t="n"/>
      <c r="C1461" s="4561" t="n"/>
      <c r="D1461" s="4561" t="n"/>
      <c r="E1461" s="4561" t="n"/>
      <c r="F1461" s="4561" t="n"/>
    </row>
    <row r="1462">
      <c r="A1462" s="4561" t="n"/>
      <c r="B1462" s="4561" t="n"/>
      <c r="C1462" s="4561" t="n"/>
      <c r="D1462" s="4561" t="n"/>
      <c r="E1462" s="4561" t="n"/>
      <c r="F1462" s="4561" t="n"/>
    </row>
    <row r="1463">
      <c r="A1463" s="4561" t="n"/>
      <c r="B1463" s="4561" t="n"/>
      <c r="C1463" s="4561" t="n"/>
      <c r="D1463" s="4561" t="n"/>
      <c r="E1463" s="4561" t="n"/>
      <c r="F1463" s="4561" t="n"/>
    </row>
    <row r="1464">
      <c r="A1464" s="4561" t="n"/>
      <c r="B1464" s="4561" t="n"/>
      <c r="C1464" s="4561" t="n"/>
      <c r="D1464" s="4561" t="n"/>
      <c r="E1464" s="4561" t="n"/>
      <c r="F1464" s="4561" t="n"/>
    </row>
    <row r="1465">
      <c r="A1465" s="4561" t="n"/>
      <c r="B1465" s="4561" t="n"/>
      <c r="C1465" s="4561" t="n"/>
      <c r="D1465" s="4561" t="n"/>
      <c r="E1465" s="4561" t="n"/>
      <c r="F1465" s="4561" t="n"/>
    </row>
    <row r="1466">
      <c r="A1466" s="4561" t="n"/>
      <c r="B1466" s="4561" t="n"/>
      <c r="C1466" s="4561" t="n"/>
      <c r="D1466" s="4561" t="n"/>
      <c r="E1466" s="4561" t="n"/>
      <c r="F1466" s="4561" t="n"/>
    </row>
    <row r="1467">
      <c r="A1467" s="4561" t="n"/>
      <c r="B1467" s="4561" t="n"/>
      <c r="C1467" s="4561" t="n"/>
      <c r="D1467" s="4561" t="n"/>
      <c r="E1467" s="4561" t="n"/>
      <c r="F1467" s="4561" t="n"/>
    </row>
    <row r="1468">
      <c r="A1468" s="4561" t="n"/>
      <c r="B1468" s="4561" t="n"/>
      <c r="C1468" s="4561" t="n"/>
      <c r="D1468" s="4561" t="n"/>
      <c r="E1468" s="4561" t="n"/>
      <c r="F1468" s="4561" t="n"/>
    </row>
    <row r="1469">
      <c r="A1469" s="4561" t="n"/>
      <c r="B1469" s="4561" t="n"/>
      <c r="C1469" s="4561" t="n"/>
      <c r="D1469" s="4561" t="n"/>
      <c r="E1469" s="4561" t="n"/>
      <c r="F1469" s="4561" t="n"/>
    </row>
    <row r="1470">
      <c r="A1470" s="4561" t="n"/>
      <c r="B1470" s="4561" t="n"/>
      <c r="C1470" s="4561" t="n"/>
      <c r="D1470" s="4561" t="n"/>
      <c r="E1470" s="4561" t="n"/>
      <c r="F1470" s="4561" t="n"/>
    </row>
    <row r="1471">
      <c r="A1471" s="4561" t="n"/>
      <c r="B1471" s="4561" t="n"/>
      <c r="C1471" s="4561" t="n"/>
      <c r="D1471" s="4561" t="n"/>
      <c r="E1471" s="4561" t="n"/>
      <c r="F1471" s="4561" t="n"/>
    </row>
    <row r="1472">
      <c r="A1472" s="4561" t="n"/>
      <c r="B1472" s="4561" t="n"/>
      <c r="C1472" s="4561" t="n"/>
      <c r="D1472" s="4561" t="n"/>
      <c r="E1472" s="4561" t="n"/>
      <c r="F1472" s="4561" t="n"/>
    </row>
    <row r="1473">
      <c r="A1473" s="4561" t="n"/>
      <c r="B1473" s="4561" t="n"/>
      <c r="C1473" s="4561" t="n"/>
      <c r="D1473" s="4561" t="n"/>
      <c r="E1473" s="4561" t="n"/>
      <c r="F1473" s="4561" t="n"/>
    </row>
    <row r="1474">
      <c r="A1474" s="4561" t="n"/>
      <c r="B1474" s="4561" t="n"/>
      <c r="C1474" s="4561" t="n"/>
      <c r="D1474" s="4561" t="n"/>
      <c r="E1474" s="4561" t="n"/>
      <c r="F1474" s="4561" t="n"/>
    </row>
    <row r="1475">
      <c r="A1475" s="4561" t="n"/>
      <c r="B1475" s="4561" t="n"/>
      <c r="C1475" s="4561" t="n"/>
      <c r="D1475" s="4561" t="n"/>
      <c r="E1475" s="4561" t="n"/>
      <c r="F1475" s="4561" t="n"/>
    </row>
    <row r="1476">
      <c r="A1476" s="4561" t="n"/>
      <c r="B1476" s="4561" t="n"/>
      <c r="C1476" s="4561" t="n"/>
      <c r="D1476" s="4561" t="n"/>
      <c r="E1476" s="4561" t="n"/>
      <c r="F1476" s="4561" t="n"/>
    </row>
    <row r="1477">
      <c r="A1477" s="4561" t="n"/>
      <c r="B1477" s="4561" t="n"/>
      <c r="C1477" s="4561" t="n"/>
      <c r="D1477" s="4561" t="n"/>
      <c r="E1477" s="4561" t="n"/>
      <c r="F1477" s="4561" t="n"/>
    </row>
    <row r="1478">
      <c r="A1478" s="4561" t="n"/>
      <c r="B1478" s="4561" t="n"/>
      <c r="C1478" s="4561" t="n"/>
      <c r="D1478" s="4561" t="n"/>
      <c r="E1478" s="4561" t="n"/>
      <c r="F1478" s="4561" t="n"/>
    </row>
    <row r="1479">
      <c r="A1479" s="4561" t="n"/>
      <c r="B1479" s="4561" t="n"/>
      <c r="C1479" s="4561" t="n"/>
      <c r="D1479" s="4561" t="n"/>
      <c r="E1479" s="4561" t="n"/>
      <c r="F1479" s="4561" t="n"/>
    </row>
    <row r="1480">
      <c r="A1480" s="4561" t="n"/>
      <c r="B1480" s="4561" t="n"/>
      <c r="C1480" s="4561" t="n"/>
      <c r="D1480" s="4561" t="n"/>
      <c r="E1480" s="4561" t="n"/>
      <c r="F1480" s="4561" t="n"/>
    </row>
    <row r="1481">
      <c r="A1481" s="4561" t="n"/>
      <c r="B1481" s="4561" t="n"/>
      <c r="C1481" s="4561" t="n"/>
      <c r="D1481" s="4561" t="n"/>
      <c r="E1481" s="4561" t="n"/>
      <c r="F1481" s="4561" t="n"/>
    </row>
    <row r="1482">
      <c r="A1482" s="4561" t="n"/>
      <c r="B1482" s="4561" t="n"/>
      <c r="C1482" s="4561" t="n"/>
      <c r="D1482" s="4561" t="n"/>
      <c r="E1482" s="4561" t="n"/>
      <c r="F1482" s="4561" t="n"/>
    </row>
    <row r="1483">
      <c r="A1483" s="4561" t="n"/>
      <c r="B1483" s="4561" t="n"/>
      <c r="C1483" s="4561" t="n"/>
      <c r="D1483" s="4561" t="n"/>
      <c r="E1483" s="4561" t="n"/>
      <c r="F1483" s="4561" t="n"/>
    </row>
    <row r="1484">
      <c r="A1484" s="4561" t="n"/>
      <c r="B1484" s="4561" t="n"/>
      <c r="C1484" s="4561" t="n"/>
      <c r="D1484" s="4561" t="n"/>
      <c r="E1484" s="4561" t="n"/>
      <c r="F1484" s="4561" t="n"/>
    </row>
    <row r="1485">
      <c r="A1485" s="4561" t="n"/>
      <c r="B1485" s="4561" t="n"/>
      <c r="C1485" s="4561" t="n"/>
      <c r="D1485" s="4561" t="n"/>
      <c r="E1485" s="4561" t="n"/>
      <c r="F1485" s="4561" t="n"/>
    </row>
    <row r="1486">
      <c r="A1486" s="4561" t="n"/>
      <c r="B1486" s="4561" t="n"/>
      <c r="C1486" s="4561" t="n"/>
      <c r="D1486" s="4561" t="n"/>
      <c r="E1486" s="4561" t="n"/>
      <c r="F1486" s="4561" t="n"/>
    </row>
    <row r="1487">
      <c r="A1487" s="4561" t="n"/>
      <c r="B1487" s="4561" t="n"/>
      <c r="C1487" s="4561" t="n"/>
      <c r="D1487" s="4561" t="n"/>
      <c r="E1487" s="4561" t="n"/>
      <c r="F1487" s="4561" t="n"/>
    </row>
    <row r="1488">
      <c r="A1488" s="4561" t="n"/>
      <c r="B1488" s="4561" t="n"/>
      <c r="C1488" s="4561" t="n"/>
      <c r="D1488" s="4561" t="n"/>
      <c r="E1488" s="4561" t="n"/>
      <c r="F1488" s="4561" t="n"/>
    </row>
    <row r="1489">
      <c r="A1489" s="4561" t="n"/>
      <c r="B1489" s="4561" t="n"/>
      <c r="C1489" s="4561" t="n"/>
      <c r="D1489" s="4561" t="n"/>
      <c r="E1489" s="4561" t="n"/>
      <c r="F1489" s="4561" t="n"/>
    </row>
    <row r="1490">
      <c r="A1490" s="4561" t="n"/>
      <c r="B1490" s="4561" t="n"/>
      <c r="C1490" s="4561" t="n"/>
      <c r="D1490" s="4561" t="n"/>
      <c r="E1490" s="4561" t="n"/>
      <c r="F1490" s="4561" t="n"/>
    </row>
    <row r="1491">
      <c r="A1491" s="4561" t="n"/>
      <c r="B1491" s="4561" t="n"/>
      <c r="C1491" s="4561" t="n"/>
      <c r="D1491" s="4561" t="n"/>
      <c r="E1491" s="4561" t="n"/>
      <c r="F1491" s="4561" t="n"/>
    </row>
    <row r="1492">
      <c r="A1492" s="4561" t="n"/>
      <c r="B1492" s="4561" t="n"/>
      <c r="C1492" s="4561" t="n"/>
      <c r="D1492" s="4561" t="n"/>
      <c r="E1492" s="4561" t="n"/>
      <c r="F1492" s="4561" t="n"/>
    </row>
    <row r="1493">
      <c r="A1493" s="4561" t="n"/>
      <c r="B1493" s="4561" t="n"/>
      <c r="C1493" s="4561" t="n"/>
      <c r="D1493" s="4561" t="n"/>
      <c r="E1493" s="4561" t="n"/>
      <c r="F1493" s="4561" t="n"/>
    </row>
    <row r="1494">
      <c r="A1494" s="4561" t="n"/>
      <c r="B1494" s="4561" t="n"/>
      <c r="C1494" s="4561" t="n"/>
      <c r="D1494" s="4561" t="n"/>
      <c r="E1494" s="4561" t="n"/>
      <c r="F1494" s="4561" t="n"/>
    </row>
    <row r="1495">
      <c r="A1495" s="4561" t="n"/>
      <c r="B1495" s="4561" t="n"/>
      <c r="C1495" s="4561" t="n"/>
      <c r="D1495" s="4561" t="n"/>
      <c r="E1495" s="4561" t="n"/>
      <c r="F1495" s="4561" t="n"/>
    </row>
    <row r="1496">
      <c r="A1496" s="4561" t="n"/>
      <c r="B1496" s="4561" t="n"/>
      <c r="C1496" s="4561" t="n"/>
      <c r="D1496" s="4561" t="n"/>
      <c r="E1496" s="4561" t="n"/>
      <c r="F1496" s="4561" t="n"/>
    </row>
    <row r="1497">
      <c r="A1497" s="4561" t="n"/>
      <c r="B1497" s="4561" t="n"/>
      <c r="C1497" s="4561" t="n"/>
      <c r="D1497" s="4561" t="n"/>
      <c r="E1497" s="4561" t="n"/>
      <c r="F1497" s="4561" t="n"/>
    </row>
    <row r="1498">
      <c r="A1498" s="4561" t="n"/>
      <c r="B1498" s="4561" t="n"/>
      <c r="C1498" s="4561" t="n"/>
      <c r="D1498" s="4561" t="n"/>
      <c r="E1498" s="4561" t="n"/>
      <c r="F1498" s="4561" t="n"/>
    </row>
    <row r="1499">
      <c r="A1499" s="4561" t="n"/>
      <c r="B1499" s="4561" t="n"/>
      <c r="C1499" s="4561" t="n"/>
      <c r="D1499" s="4561" t="n"/>
      <c r="E1499" s="4561" t="n"/>
      <c r="F1499" s="4561" t="n"/>
    </row>
    <row r="1500">
      <c r="A1500" s="4561" t="n"/>
      <c r="B1500" s="4561" t="n"/>
      <c r="C1500" s="4561" t="n"/>
      <c r="D1500" s="4561" t="n"/>
      <c r="E1500" s="4561" t="n"/>
      <c r="F1500" s="4561" t="n"/>
    </row>
    <row r="1501">
      <c r="A1501" s="4561" t="n"/>
      <c r="B1501" s="4561" t="n"/>
      <c r="C1501" s="4561" t="n"/>
      <c r="D1501" s="4561" t="n"/>
      <c r="E1501" s="4561" t="n"/>
      <c r="F1501" s="4561" t="n"/>
    </row>
    <row r="1502">
      <c r="A1502" s="4561" t="n"/>
      <c r="B1502" s="4561" t="n"/>
      <c r="C1502" s="4561" t="n"/>
      <c r="D1502" s="4561" t="n"/>
      <c r="E1502" s="4561" t="n"/>
      <c r="F1502" s="4561" t="n"/>
    </row>
    <row r="1503">
      <c r="A1503" s="4561" t="n"/>
      <c r="B1503" s="4561" t="n"/>
      <c r="C1503" s="4561" t="n"/>
      <c r="D1503" s="4561" t="n"/>
      <c r="E1503" s="4561" t="n"/>
      <c r="F1503" s="4561" t="n"/>
    </row>
    <row r="1504">
      <c r="A1504" s="4561" t="n"/>
      <c r="B1504" s="4561" t="n"/>
      <c r="C1504" s="4561" t="n"/>
      <c r="D1504" s="4561" t="n"/>
      <c r="E1504" s="4561" t="n"/>
      <c r="F1504" s="4561" t="n"/>
    </row>
    <row r="1505">
      <c r="A1505" s="4561" t="n"/>
      <c r="B1505" s="4561" t="n"/>
      <c r="C1505" s="4561" t="n"/>
      <c r="D1505" s="4561" t="n"/>
      <c r="E1505" s="4561" t="n"/>
      <c r="F1505" s="4561" t="n"/>
    </row>
    <row r="1506">
      <c r="A1506" s="4561" t="n"/>
      <c r="B1506" s="4561" t="n"/>
      <c r="C1506" s="4561" t="n"/>
      <c r="D1506" s="4561" t="n"/>
      <c r="E1506" s="4561" t="n"/>
      <c r="F1506" s="4561" t="n"/>
    </row>
    <row r="1507">
      <c r="A1507" s="4561" t="n"/>
      <c r="B1507" s="4561" t="n"/>
      <c r="C1507" s="4561" t="n"/>
      <c r="D1507" s="4561" t="n"/>
      <c r="E1507" s="4561" t="n"/>
      <c r="F1507" s="4561" t="n"/>
    </row>
    <row r="1508">
      <c r="A1508" s="4561" t="n"/>
      <c r="B1508" s="4561" t="n"/>
      <c r="C1508" s="4561" t="n"/>
      <c r="D1508" s="4561" t="n"/>
      <c r="E1508" s="4561" t="n"/>
      <c r="F1508" s="4561" t="n"/>
    </row>
    <row r="1509">
      <c r="A1509" s="4561" t="n"/>
      <c r="B1509" s="4561" t="n"/>
      <c r="C1509" s="4561" t="n"/>
      <c r="D1509" s="4561" t="n"/>
      <c r="E1509" s="4561" t="n"/>
      <c r="F1509" s="4561" t="n"/>
    </row>
    <row r="1510">
      <c r="A1510" s="4561" t="n"/>
      <c r="B1510" s="4561" t="n"/>
      <c r="C1510" s="4561" t="n"/>
      <c r="D1510" s="4561" t="n"/>
      <c r="E1510" s="4561" t="n"/>
      <c r="F1510" s="4561" t="n"/>
    </row>
    <row r="1511">
      <c r="A1511" s="4561" t="n"/>
      <c r="B1511" s="4561" t="n"/>
      <c r="C1511" s="4561" t="n"/>
      <c r="D1511" s="4561" t="n"/>
      <c r="E1511" s="4561" t="n"/>
      <c r="F1511" s="4561" t="n"/>
    </row>
    <row r="1512">
      <c r="A1512" s="4561" t="n"/>
      <c r="B1512" s="4561" t="n"/>
      <c r="C1512" s="4561" t="n"/>
      <c r="D1512" s="4561" t="n"/>
      <c r="E1512" s="4561" t="n"/>
      <c r="F1512" s="4561" t="n"/>
    </row>
    <row r="1513">
      <c r="A1513" s="4561" t="n"/>
      <c r="B1513" s="4561" t="n"/>
      <c r="C1513" s="4561" t="n"/>
      <c r="D1513" s="4561" t="n"/>
      <c r="E1513" s="4561" t="n"/>
      <c r="F1513" s="4561" t="n"/>
    </row>
    <row r="1514">
      <c r="A1514" s="4561" t="n"/>
      <c r="B1514" s="4561" t="n"/>
      <c r="C1514" s="4561" t="n"/>
      <c r="D1514" s="4561" t="n"/>
      <c r="E1514" s="4561" t="n"/>
      <c r="F1514" s="4561" t="n"/>
    </row>
    <row r="1515">
      <c r="A1515" s="4561" t="n"/>
      <c r="B1515" s="4561" t="n"/>
      <c r="C1515" s="4561" t="n"/>
      <c r="D1515" s="4561" t="n"/>
      <c r="E1515" s="4561" t="n"/>
      <c r="F1515" s="4561" t="n"/>
    </row>
    <row r="1516">
      <c r="A1516" s="4561" t="n"/>
      <c r="B1516" s="4561" t="n"/>
      <c r="C1516" s="4561" t="n"/>
      <c r="D1516" s="4561" t="n"/>
      <c r="E1516" s="4561" t="n"/>
      <c r="F1516" s="4561" t="n"/>
    </row>
    <row r="1517">
      <c r="A1517" s="4561" t="n"/>
      <c r="B1517" s="4561" t="n"/>
      <c r="C1517" s="4561" t="n"/>
      <c r="D1517" s="4561" t="n"/>
      <c r="E1517" s="4561" t="n"/>
      <c r="F1517" s="4561" t="n"/>
    </row>
    <row r="1518">
      <c r="A1518" s="4561" t="n"/>
      <c r="B1518" s="4561" t="n"/>
      <c r="C1518" s="4561" t="n"/>
      <c r="D1518" s="4561" t="n"/>
      <c r="E1518" s="4561" t="n"/>
      <c r="F1518" s="4561" t="n"/>
    </row>
    <row r="1519">
      <c r="A1519" s="4561" t="n"/>
      <c r="B1519" s="4561" t="n"/>
      <c r="C1519" s="4561" t="n"/>
      <c r="D1519" s="4561" t="n"/>
      <c r="E1519" s="4561" t="n"/>
      <c r="F1519" s="4561" t="n"/>
    </row>
    <row r="1520">
      <c r="A1520" s="4561" t="n"/>
      <c r="B1520" s="4561" t="n"/>
      <c r="C1520" s="4561" t="n"/>
      <c r="D1520" s="4561" t="n"/>
      <c r="E1520" s="4561" t="n"/>
      <c r="F1520" s="4561" t="n"/>
    </row>
    <row r="1521">
      <c r="A1521" s="4561" t="n"/>
      <c r="B1521" s="4561" t="n"/>
      <c r="C1521" s="4561" t="n"/>
      <c r="D1521" s="4561" t="n"/>
      <c r="E1521" s="4561" t="n"/>
      <c r="F1521" s="4561" t="n"/>
    </row>
    <row r="1522">
      <c r="A1522" s="4561" t="n"/>
      <c r="B1522" s="4561" t="n"/>
      <c r="C1522" s="4561" t="n"/>
      <c r="D1522" s="4561" t="n"/>
      <c r="E1522" s="4561" t="n"/>
      <c r="F1522" s="4561" t="n"/>
    </row>
    <row r="1523">
      <c r="A1523" s="4561" t="n"/>
      <c r="B1523" s="4561" t="n"/>
      <c r="C1523" s="4561" t="n"/>
      <c r="D1523" s="4561" t="n"/>
      <c r="E1523" s="4561" t="n"/>
      <c r="F1523" s="4561" t="n"/>
    </row>
    <row r="1524">
      <c r="A1524" s="4561" t="n"/>
      <c r="B1524" s="4561" t="n"/>
      <c r="C1524" s="4561" t="n"/>
      <c r="D1524" s="4561" t="n"/>
      <c r="E1524" s="4561" t="n"/>
      <c r="F1524" s="4561" t="n"/>
    </row>
    <row r="1525">
      <c r="A1525" s="4561" t="n"/>
      <c r="B1525" s="4561" t="n"/>
      <c r="C1525" s="4561" t="n"/>
      <c r="D1525" s="4561" t="n"/>
      <c r="E1525" s="4561" t="n"/>
      <c r="F1525" s="4561" t="n"/>
    </row>
    <row r="1526">
      <c r="A1526" s="4561" t="n"/>
      <c r="B1526" s="4561" t="n"/>
      <c r="C1526" s="4561" t="n"/>
      <c r="D1526" s="4561" t="n"/>
      <c r="E1526" s="4561" t="n"/>
      <c r="F1526" s="4561" t="n"/>
    </row>
    <row r="1527">
      <c r="A1527" s="4561" t="n"/>
      <c r="B1527" s="4561" t="n"/>
      <c r="C1527" s="4561" t="n"/>
      <c r="D1527" s="4561" t="n"/>
      <c r="E1527" s="4561" t="n"/>
      <c r="F1527" s="4561" t="n"/>
    </row>
    <row r="1528">
      <c r="A1528" s="4561" t="n"/>
      <c r="B1528" s="4561" t="n"/>
      <c r="C1528" s="4561" t="n"/>
      <c r="D1528" s="4561" t="n"/>
      <c r="E1528" s="4561" t="n"/>
      <c r="F1528" s="4561" t="n"/>
    </row>
    <row r="1529">
      <c r="A1529" s="4561" t="n"/>
      <c r="B1529" s="4561" t="n"/>
      <c r="C1529" s="4561" t="n"/>
      <c r="D1529" s="4561" t="n"/>
      <c r="E1529" s="4561" t="n"/>
      <c r="F1529" s="4561" t="n"/>
    </row>
    <row r="1530">
      <c r="A1530" s="4561" t="n"/>
      <c r="B1530" s="4561" t="n"/>
      <c r="C1530" s="4561" t="n"/>
      <c r="D1530" s="4561" t="n"/>
      <c r="E1530" s="4561" t="n"/>
      <c r="F1530" s="4561" t="n"/>
    </row>
    <row r="1531">
      <c r="A1531" s="4561" t="n"/>
      <c r="B1531" s="4561" t="n"/>
      <c r="C1531" s="4561" t="n"/>
      <c r="D1531" s="4561" t="n"/>
      <c r="E1531" s="4561" t="n"/>
      <c r="F1531" s="4561" t="n"/>
    </row>
    <row r="1532">
      <c r="A1532" s="4561" t="n"/>
      <c r="B1532" s="4561" t="n"/>
      <c r="C1532" s="4561" t="n"/>
      <c r="D1532" s="4561" t="n"/>
      <c r="E1532" s="4561" t="n"/>
      <c r="F1532" s="4561" t="n"/>
    </row>
    <row r="1533">
      <c r="A1533" s="4561" t="n"/>
      <c r="B1533" s="4561" t="n"/>
      <c r="C1533" s="4561" t="n"/>
      <c r="D1533" s="4561" t="n"/>
      <c r="E1533" s="4561" t="n"/>
      <c r="F1533" s="4561" t="n"/>
    </row>
    <row r="1534">
      <c r="A1534" s="4561" t="n"/>
      <c r="B1534" s="4561" t="n"/>
      <c r="C1534" s="4561" t="n"/>
      <c r="D1534" s="4561" t="n"/>
      <c r="E1534" s="4561" t="n"/>
      <c r="F1534" s="4561" t="n"/>
    </row>
    <row r="1535">
      <c r="A1535" s="4561" t="n"/>
      <c r="B1535" s="4561" t="n"/>
      <c r="C1535" s="4561" t="n"/>
      <c r="D1535" s="4561" t="n"/>
      <c r="E1535" s="4561" t="n"/>
      <c r="F1535" s="4561" t="n"/>
    </row>
    <row r="1536">
      <c r="A1536" s="4561" t="n"/>
      <c r="B1536" s="4561" t="n"/>
      <c r="C1536" s="4561" t="n"/>
      <c r="D1536" s="4561" t="n"/>
      <c r="E1536" s="4561" t="n"/>
      <c r="F1536" s="4561" t="n"/>
    </row>
    <row r="1537">
      <c r="A1537" s="4561" t="n"/>
      <c r="B1537" s="4561" t="n"/>
      <c r="C1537" s="4561" t="n"/>
      <c r="D1537" s="4561" t="n"/>
      <c r="E1537" s="4561" t="n"/>
      <c r="F1537" s="4561" t="n"/>
    </row>
    <row r="1538">
      <c r="A1538" s="4561" t="n"/>
      <c r="B1538" s="4561" t="n"/>
      <c r="C1538" s="4561" t="n"/>
      <c r="D1538" s="4561" t="n"/>
      <c r="E1538" s="4561" t="n"/>
      <c r="F1538" s="4561" t="n"/>
    </row>
    <row r="1539">
      <c r="A1539" s="4561" t="n"/>
      <c r="B1539" s="4561" t="n"/>
      <c r="C1539" s="4561" t="n"/>
      <c r="D1539" s="4561" t="n"/>
      <c r="E1539" s="4561" t="n"/>
      <c r="F1539" s="4561" t="n"/>
    </row>
    <row r="1540">
      <c r="A1540" s="4561" t="n"/>
      <c r="B1540" s="4561" t="n"/>
      <c r="C1540" s="4561" t="n"/>
      <c r="D1540" s="4561" t="n"/>
      <c r="E1540" s="4561" t="n"/>
      <c r="F1540" s="4561" t="n"/>
    </row>
    <row r="1541">
      <c r="A1541" s="4561" t="n"/>
      <c r="B1541" s="4561" t="n"/>
      <c r="C1541" s="4561" t="n"/>
      <c r="D1541" s="4561" t="n"/>
      <c r="E1541" s="4561" t="n"/>
      <c r="F1541" s="4561" t="n"/>
    </row>
    <row r="1542">
      <c r="A1542" s="4561" t="n"/>
      <c r="B1542" s="4561" t="n"/>
      <c r="C1542" s="4561" t="n"/>
      <c r="D1542" s="4561" t="n"/>
      <c r="E1542" s="4561" t="n"/>
      <c r="F1542" s="4561" t="n"/>
    </row>
    <row r="1543">
      <c r="A1543" s="4561" t="n"/>
      <c r="B1543" s="4561" t="n"/>
      <c r="C1543" s="4561" t="n"/>
      <c r="D1543" s="4561" t="n"/>
      <c r="E1543" s="4561" t="n"/>
      <c r="F1543" s="4561" t="n"/>
    </row>
    <row r="1544">
      <c r="A1544" s="4561" t="n"/>
      <c r="B1544" s="4561" t="n"/>
      <c r="C1544" s="4561" t="n"/>
      <c r="D1544" s="4561" t="n"/>
      <c r="E1544" s="4561" t="n"/>
      <c r="F1544" s="4561" t="n"/>
    </row>
    <row r="1545">
      <c r="A1545" s="4561" t="n"/>
      <c r="B1545" s="4561" t="n"/>
      <c r="C1545" s="4561" t="n"/>
      <c r="D1545" s="4561" t="n"/>
      <c r="E1545" s="4561" t="n"/>
      <c r="F1545" s="4561" t="n"/>
    </row>
    <row r="1546">
      <c r="A1546" s="4561" t="n"/>
      <c r="B1546" s="4561" t="n"/>
      <c r="C1546" s="4561" t="n"/>
      <c r="D1546" s="4561" t="n"/>
      <c r="E1546" s="4561" t="n"/>
      <c r="F1546" s="4561" t="n"/>
    </row>
    <row r="1547">
      <c r="A1547" s="4561" t="n"/>
      <c r="B1547" s="4561" t="n"/>
      <c r="C1547" s="4561" t="n"/>
      <c r="D1547" s="4561" t="n"/>
      <c r="E1547" s="4561" t="n"/>
      <c r="F1547" s="4561" t="n"/>
    </row>
    <row r="1548">
      <c r="A1548" s="4561" t="n"/>
      <c r="B1548" s="4561" t="n"/>
      <c r="C1548" s="4561" t="n"/>
      <c r="D1548" s="4561" t="n"/>
      <c r="E1548" s="4561" t="n"/>
      <c r="F1548" s="4561" t="n"/>
    </row>
    <row r="1549">
      <c r="A1549" s="4561" t="n"/>
      <c r="B1549" s="4561" t="n"/>
      <c r="C1549" s="4561" t="n"/>
      <c r="D1549" s="4561" t="n"/>
      <c r="E1549" s="4561" t="n"/>
      <c r="F1549" s="4561" t="n"/>
    </row>
    <row r="1550">
      <c r="A1550" s="4561" t="n"/>
      <c r="B1550" s="4561" t="n"/>
      <c r="C1550" s="4561" t="n"/>
      <c r="D1550" s="4561" t="n"/>
      <c r="E1550" s="4561" t="n"/>
      <c r="F1550" s="4561" t="n"/>
    </row>
    <row r="1551">
      <c r="A1551" s="4561" t="n"/>
      <c r="B1551" s="4561" t="n"/>
      <c r="C1551" s="4561" t="n"/>
      <c r="D1551" s="4561" t="n"/>
      <c r="E1551" s="4561" t="n"/>
      <c r="F1551" s="4561" t="n"/>
    </row>
    <row r="1552">
      <c r="A1552" s="4561" t="n"/>
      <c r="B1552" s="4561" t="n"/>
      <c r="C1552" s="4561" t="n"/>
      <c r="D1552" s="4561" t="n"/>
      <c r="E1552" s="4561" t="n"/>
      <c r="F1552" s="4561" t="n"/>
    </row>
    <row r="1553">
      <c r="A1553" s="4561" t="n"/>
      <c r="B1553" s="4561" t="n"/>
      <c r="C1553" s="4561" t="n"/>
      <c r="D1553" s="4561" t="n"/>
      <c r="E1553" s="4561" t="n"/>
      <c r="F1553" s="4561" t="n"/>
    </row>
    <row r="1554">
      <c r="A1554" s="4561" t="n"/>
      <c r="B1554" s="4561" t="n"/>
      <c r="C1554" s="4561" t="n"/>
      <c r="D1554" s="4561" t="n"/>
      <c r="E1554" s="4561" t="n"/>
      <c r="F1554" s="4561" t="n"/>
    </row>
    <row r="1555">
      <c r="A1555" s="4561" t="n"/>
      <c r="B1555" s="4561" t="n"/>
      <c r="C1555" s="4561" t="n"/>
      <c r="D1555" s="4561" t="n"/>
      <c r="E1555" s="4561" t="n"/>
      <c r="F1555" s="4561" t="n"/>
    </row>
    <row r="1556">
      <c r="A1556" s="4561" t="n"/>
      <c r="B1556" s="4561" t="n"/>
      <c r="C1556" s="4561" t="n"/>
      <c r="D1556" s="4561" t="n"/>
      <c r="E1556" s="4561" t="n"/>
      <c r="F1556" s="4561" t="n"/>
    </row>
    <row r="1557">
      <c r="A1557" s="4561" t="n"/>
      <c r="B1557" s="4561" t="n"/>
      <c r="C1557" s="4561" t="n"/>
      <c r="D1557" s="4561" t="n"/>
      <c r="E1557" s="4561" t="n"/>
      <c r="F1557" s="4561" t="n"/>
    </row>
    <row r="1558">
      <c r="A1558" s="4561" t="n"/>
      <c r="B1558" s="4561" t="n"/>
      <c r="C1558" s="4561" t="n"/>
      <c r="D1558" s="4561" t="n"/>
      <c r="E1558" s="4561" t="n"/>
      <c r="F1558" s="4561" t="n"/>
    </row>
    <row r="1559">
      <c r="A1559" s="4561" t="n"/>
      <c r="B1559" s="4561" t="n"/>
      <c r="C1559" s="4561" t="n"/>
      <c r="D1559" s="4561" t="n"/>
      <c r="E1559" s="4561" t="n"/>
      <c r="F1559" s="4561" t="n"/>
    </row>
    <row r="1560">
      <c r="A1560" s="4561" t="n"/>
      <c r="B1560" s="4561" t="n"/>
      <c r="C1560" s="4561" t="n"/>
      <c r="D1560" s="4561" t="n"/>
      <c r="E1560" s="4561" t="n"/>
      <c r="F1560" s="4561" t="n"/>
    </row>
    <row r="1561">
      <c r="A1561" s="4561" t="n"/>
      <c r="B1561" s="4561" t="n"/>
      <c r="C1561" s="4561" t="n"/>
      <c r="D1561" s="4561" t="n"/>
      <c r="E1561" s="4561" t="n"/>
      <c r="F1561" s="4561" t="n"/>
    </row>
    <row r="1562">
      <c r="A1562" s="4561" t="n"/>
      <c r="B1562" s="4561" t="n"/>
      <c r="C1562" s="4561" t="n"/>
      <c r="D1562" s="4561" t="n"/>
      <c r="E1562" s="4561" t="n"/>
      <c r="F1562" s="4561" t="n"/>
    </row>
    <row r="1563">
      <c r="A1563" s="4561" t="n"/>
      <c r="B1563" s="4561" t="n"/>
      <c r="C1563" s="4561" t="n"/>
      <c r="D1563" s="4561" t="n"/>
      <c r="E1563" s="4561" t="n"/>
      <c r="F1563" s="4561" t="n"/>
    </row>
    <row r="1564">
      <c r="A1564" s="4561" t="n"/>
      <c r="B1564" s="4561" t="n"/>
      <c r="C1564" s="4561" t="n"/>
      <c r="D1564" s="4561" t="n"/>
      <c r="E1564" s="4561" t="n"/>
      <c r="F1564" s="4561" t="n"/>
    </row>
    <row r="1565">
      <c r="A1565" s="4561" t="n"/>
      <c r="B1565" s="4561" t="n"/>
      <c r="C1565" s="4561" t="n"/>
      <c r="D1565" s="4561" t="n"/>
      <c r="E1565" s="4561" t="n"/>
      <c r="F1565" s="4561" t="n"/>
    </row>
    <row r="1566">
      <c r="A1566" s="4561" t="n"/>
      <c r="B1566" s="4561" t="n"/>
      <c r="C1566" s="4561" t="n"/>
      <c r="D1566" s="4561" t="n"/>
      <c r="E1566" s="4561" t="n"/>
      <c r="F1566" s="4561" t="n"/>
    </row>
    <row r="1567">
      <c r="A1567" s="4561" t="n"/>
      <c r="B1567" s="4561" t="n"/>
      <c r="C1567" s="4561" t="n"/>
      <c r="D1567" s="4561" t="n"/>
      <c r="E1567" s="4561" t="n"/>
      <c r="F1567" s="4561" t="n"/>
    </row>
    <row r="1568">
      <c r="A1568" s="4561" t="n"/>
      <c r="B1568" s="4561" t="n"/>
      <c r="C1568" s="4561" t="n"/>
      <c r="D1568" s="4561" t="n"/>
      <c r="E1568" s="4561" t="n"/>
      <c r="F1568" s="4561" t="n"/>
    </row>
    <row r="1569">
      <c r="A1569" s="4561" t="n"/>
      <c r="B1569" s="4561" t="n"/>
      <c r="C1569" s="4561" t="n"/>
      <c r="D1569" s="4561" t="n"/>
      <c r="E1569" s="4561" t="n"/>
      <c r="F1569" s="4561" t="n"/>
    </row>
    <row r="1570">
      <c r="A1570" s="4561" t="n"/>
      <c r="B1570" s="4561" t="n"/>
      <c r="C1570" s="4561" t="n"/>
      <c r="D1570" s="4561" t="n"/>
      <c r="E1570" s="4561" t="n"/>
      <c r="F1570" s="4561" t="n"/>
    </row>
    <row r="1571">
      <c r="A1571" s="4561" t="n"/>
      <c r="B1571" s="4561" t="n"/>
      <c r="C1571" s="4561" t="n"/>
      <c r="D1571" s="4561" t="n"/>
      <c r="E1571" s="4561" t="n"/>
      <c r="F1571" s="4561" t="n"/>
    </row>
    <row r="1572">
      <c r="A1572" s="4561" t="n"/>
      <c r="B1572" s="4561" t="n"/>
      <c r="C1572" s="4561" t="n"/>
      <c r="D1572" s="4561" t="n"/>
      <c r="E1572" s="4561" t="n"/>
      <c r="F1572" s="4561" t="n"/>
    </row>
    <row r="1573">
      <c r="A1573" s="4561" t="n"/>
      <c r="B1573" s="4561" t="n"/>
      <c r="C1573" s="4561" t="n"/>
      <c r="D1573" s="4561" t="n"/>
      <c r="E1573" s="4561" t="n"/>
      <c r="F1573" s="4561" t="n"/>
    </row>
    <row r="1574">
      <c r="A1574" s="4561" t="n"/>
      <c r="B1574" s="4561" t="n"/>
      <c r="C1574" s="4561" t="n"/>
      <c r="D1574" s="4561" t="n"/>
      <c r="E1574" s="4561" t="n"/>
      <c r="F1574" s="4561" t="n"/>
    </row>
    <row r="1575">
      <c r="A1575" s="4561" t="n"/>
      <c r="B1575" s="4561" t="n"/>
      <c r="C1575" s="4561" t="n"/>
      <c r="D1575" s="4561" t="n"/>
      <c r="E1575" s="4561" t="n"/>
      <c r="F1575" s="4561" t="n"/>
    </row>
    <row r="1576">
      <c r="A1576" s="4561" t="n"/>
      <c r="B1576" s="4561" t="n"/>
      <c r="C1576" s="4561" t="n"/>
      <c r="D1576" s="4561" t="n"/>
      <c r="E1576" s="4561" t="n"/>
      <c r="F1576" s="4561" t="n"/>
    </row>
    <row r="1577">
      <c r="A1577" s="4561" t="n"/>
      <c r="B1577" s="4561" t="n"/>
      <c r="C1577" s="4561" t="n"/>
      <c r="D1577" s="4561" t="n"/>
      <c r="E1577" s="4561" t="n"/>
      <c r="F1577" s="4561" t="n"/>
    </row>
    <row r="1578">
      <c r="A1578" s="4561" t="n"/>
      <c r="B1578" s="4561" t="n"/>
      <c r="C1578" s="4561" t="n"/>
      <c r="D1578" s="4561" t="n"/>
      <c r="E1578" s="4561" t="n"/>
      <c r="F1578" s="4561" t="n"/>
    </row>
    <row r="1579">
      <c r="A1579" s="4561" t="n"/>
      <c r="B1579" s="4561" t="n"/>
      <c r="C1579" s="4561" t="n"/>
      <c r="D1579" s="4561" t="n"/>
      <c r="E1579" s="4561" t="n"/>
      <c r="F1579" s="4561" t="n"/>
    </row>
    <row r="1580">
      <c r="A1580" s="4561" t="n"/>
      <c r="B1580" s="4561" t="n"/>
      <c r="C1580" s="4561" t="n"/>
      <c r="D1580" s="4561" t="n"/>
      <c r="E1580" s="4561" t="n"/>
      <c r="F1580" s="4561" t="n"/>
    </row>
    <row r="1581">
      <c r="A1581" s="4561" t="n"/>
      <c r="B1581" s="4561" t="n"/>
      <c r="C1581" s="4561" t="n"/>
      <c r="D1581" s="4561" t="n"/>
      <c r="E1581" s="4561" t="n"/>
      <c r="F1581" s="4561" t="n"/>
    </row>
    <row r="1582">
      <c r="A1582" s="4561" t="n"/>
      <c r="B1582" s="4561" t="n"/>
      <c r="C1582" s="4561" t="n"/>
      <c r="D1582" s="4561" t="n"/>
      <c r="E1582" s="4561" t="n"/>
      <c r="F1582" s="4561" t="n"/>
    </row>
    <row r="1583">
      <c r="A1583" s="4561" t="n"/>
      <c r="B1583" s="4561" t="n"/>
      <c r="C1583" s="4561" t="n"/>
      <c r="D1583" s="4561" t="n"/>
      <c r="E1583" s="4561" t="n"/>
      <c r="F1583" s="4561" t="n"/>
    </row>
    <row r="1584">
      <c r="A1584" s="4561" t="n"/>
      <c r="B1584" s="4561" t="n"/>
      <c r="C1584" s="4561" t="n"/>
      <c r="D1584" s="4561" t="n"/>
      <c r="E1584" s="4561" t="n"/>
      <c r="F1584" s="4561" t="n"/>
    </row>
    <row r="1585">
      <c r="A1585" s="4561" t="n"/>
      <c r="B1585" s="4561" t="n"/>
      <c r="C1585" s="4561" t="n"/>
      <c r="D1585" s="4561" t="n"/>
      <c r="E1585" s="4561" t="n"/>
      <c r="F1585" s="4561" t="n"/>
    </row>
    <row r="1586">
      <c r="A1586" s="4561" t="n"/>
      <c r="B1586" s="4561" t="n"/>
      <c r="C1586" s="4561" t="n"/>
      <c r="D1586" s="4561" t="n"/>
      <c r="E1586" s="4561" t="n"/>
      <c r="F1586" s="4561" t="n"/>
    </row>
    <row r="1587">
      <c r="A1587" s="4561" t="n"/>
      <c r="B1587" s="4561" t="n"/>
      <c r="C1587" s="4561" t="n"/>
      <c r="D1587" s="4561" t="n"/>
      <c r="E1587" s="4561" t="n"/>
      <c r="F1587" s="4561" t="n"/>
    </row>
    <row r="1588">
      <c r="A1588" s="4561" t="n"/>
      <c r="B1588" s="4561" t="n"/>
      <c r="C1588" s="4561" t="n"/>
      <c r="D1588" s="4561" t="n"/>
      <c r="E1588" s="4561" t="n"/>
      <c r="F1588" s="4561" t="n"/>
    </row>
    <row r="1589">
      <c r="A1589" s="4561" t="n"/>
      <c r="B1589" s="4561" t="n"/>
      <c r="C1589" s="4561" t="n"/>
      <c r="D1589" s="4561" t="n"/>
      <c r="E1589" s="4561" t="n"/>
      <c r="F1589" s="4561" t="n"/>
    </row>
    <row r="1590">
      <c r="A1590" s="4561" t="n"/>
      <c r="B1590" s="4561" t="n"/>
      <c r="C1590" s="4561" t="n"/>
      <c r="D1590" s="4561" t="n"/>
      <c r="E1590" s="4561" t="n"/>
      <c r="F1590" s="4561" t="n"/>
    </row>
    <row r="1591">
      <c r="A1591" s="4561" t="n"/>
      <c r="B1591" s="4561" t="n"/>
      <c r="C1591" s="4561" t="n"/>
      <c r="D1591" s="4561" t="n"/>
      <c r="E1591" s="4561" t="n"/>
      <c r="F1591" s="4561" t="n"/>
    </row>
    <row r="1592">
      <c r="A1592" s="4561" t="n"/>
      <c r="B1592" s="4561" t="n"/>
      <c r="C1592" s="4561" t="n"/>
      <c r="D1592" s="4561" t="n"/>
      <c r="E1592" s="4561" t="n"/>
      <c r="F1592" s="4561" t="n"/>
    </row>
    <row r="1593">
      <c r="A1593" s="4561" t="n"/>
      <c r="B1593" s="4561" t="n"/>
      <c r="C1593" s="4561" t="n"/>
      <c r="D1593" s="4561" t="n"/>
      <c r="E1593" s="4561" t="n"/>
      <c r="F1593" s="4561" t="n"/>
    </row>
    <row r="1594">
      <c r="A1594" s="4561" t="n"/>
      <c r="B1594" s="4561" t="n"/>
      <c r="C1594" s="4561" t="n"/>
      <c r="D1594" s="4561" t="n"/>
      <c r="E1594" s="4561" t="n"/>
      <c r="F1594" s="4561" t="n"/>
    </row>
    <row r="1595">
      <c r="A1595" s="4561" t="n"/>
      <c r="B1595" s="4561" t="n"/>
      <c r="C1595" s="4561" t="n"/>
      <c r="D1595" s="4561" t="n"/>
      <c r="E1595" s="4561" t="n"/>
      <c r="F1595" s="4561" t="n"/>
    </row>
    <row r="1596">
      <c r="A1596" s="4561" t="n"/>
      <c r="B1596" s="4561" t="n"/>
      <c r="C1596" s="4561" t="n"/>
      <c r="D1596" s="4561" t="n"/>
      <c r="E1596" s="4561" t="n"/>
      <c r="F1596" s="4561" t="n"/>
    </row>
    <row r="1597">
      <c r="A1597" s="4561" t="n"/>
      <c r="B1597" s="4561" t="n"/>
      <c r="C1597" s="4561" t="n"/>
      <c r="D1597" s="4561" t="n"/>
      <c r="E1597" s="4561" t="n"/>
      <c r="F1597" s="4561" t="n"/>
    </row>
    <row r="1598">
      <c r="A1598" s="4561" t="n"/>
      <c r="B1598" s="4561" t="n"/>
      <c r="C1598" s="4561" t="n"/>
      <c r="D1598" s="4561" t="n"/>
      <c r="E1598" s="4561" t="n"/>
      <c r="F1598" s="4561" t="n"/>
    </row>
    <row r="1599">
      <c r="A1599" s="4561" t="n"/>
      <c r="B1599" s="4561" t="n"/>
      <c r="C1599" s="4561" t="n"/>
      <c r="D1599" s="4561" t="n"/>
      <c r="E1599" s="4561" t="n"/>
      <c r="F1599" s="4561" t="n"/>
    </row>
    <row r="1600">
      <c r="A1600" s="4561" t="n"/>
      <c r="B1600" s="4561" t="n"/>
      <c r="C1600" s="4561" t="n"/>
      <c r="D1600" s="4561" t="n"/>
      <c r="E1600" s="4561" t="n"/>
      <c r="F1600" s="4561" t="n"/>
    </row>
    <row r="1601">
      <c r="A1601" s="4561" t="n"/>
      <c r="B1601" s="4561" t="n"/>
      <c r="C1601" s="4561" t="n"/>
      <c r="D1601" s="4561" t="n"/>
      <c r="E1601" s="4561" t="n"/>
      <c r="F1601" s="4561" t="n"/>
    </row>
    <row r="1602">
      <c r="A1602" s="4561" t="n"/>
      <c r="B1602" s="4561" t="n"/>
      <c r="C1602" s="4561" t="n"/>
      <c r="D1602" s="4561" t="n"/>
      <c r="E1602" s="4561" t="n"/>
      <c r="F1602" s="4561" t="n"/>
    </row>
    <row r="1603">
      <c r="A1603" s="4561" t="n"/>
      <c r="B1603" s="4561" t="n"/>
      <c r="C1603" s="4561" t="n"/>
      <c r="D1603" s="4561" t="n"/>
      <c r="E1603" s="4561" t="n"/>
      <c r="F1603" s="4561" t="n"/>
    </row>
    <row r="1604">
      <c r="A1604" s="4561" t="n"/>
      <c r="B1604" s="4561" t="n"/>
      <c r="C1604" s="4561" t="n"/>
      <c r="D1604" s="4561" t="n"/>
      <c r="E1604" s="4561" t="n"/>
      <c r="F1604" s="4561" t="n"/>
    </row>
    <row r="1605">
      <c r="A1605" s="4561" t="n"/>
      <c r="B1605" s="4561" t="n"/>
      <c r="C1605" s="4561" t="n"/>
      <c r="D1605" s="4561" t="n"/>
      <c r="E1605" s="4561" t="n"/>
      <c r="F1605" s="4561" t="n"/>
    </row>
    <row r="1606">
      <c r="A1606" s="4561" t="n"/>
      <c r="B1606" s="4561" t="n"/>
      <c r="C1606" s="4561" t="n"/>
      <c r="D1606" s="4561" t="n"/>
      <c r="E1606" s="4561" t="n"/>
      <c r="F1606" s="4561" t="n"/>
    </row>
    <row r="1607">
      <c r="A1607" s="4561" t="n"/>
      <c r="B1607" s="4561" t="n"/>
      <c r="C1607" s="4561" t="n"/>
      <c r="D1607" s="4561" t="n"/>
      <c r="E1607" s="4561" t="n"/>
      <c r="F1607" s="4561" t="n"/>
    </row>
    <row r="1608">
      <c r="A1608" s="4561" t="n"/>
      <c r="B1608" s="4561" t="n"/>
      <c r="C1608" s="4561" t="n"/>
      <c r="D1608" s="4561" t="n"/>
      <c r="E1608" s="4561" t="n"/>
      <c r="F1608" s="4561" t="n"/>
    </row>
    <row r="1609">
      <c r="A1609" s="4561" t="n"/>
      <c r="B1609" s="4561" t="n"/>
      <c r="C1609" s="4561" t="n"/>
      <c r="D1609" s="4561" t="n"/>
      <c r="E1609" s="4561" t="n"/>
      <c r="F1609" s="4561" t="n"/>
    </row>
    <row r="1610">
      <c r="A1610" s="4561" t="n"/>
      <c r="B1610" s="4561" t="n"/>
      <c r="C1610" s="4561" t="n"/>
      <c r="D1610" s="4561" t="n"/>
      <c r="E1610" s="4561" t="n"/>
      <c r="F1610" s="4561" t="n"/>
    </row>
    <row r="1611">
      <c r="A1611" s="4561" t="n"/>
      <c r="B1611" s="4561" t="n"/>
      <c r="C1611" s="4561" t="n"/>
      <c r="D1611" s="4561" t="n"/>
      <c r="E1611" s="4561" t="n"/>
      <c r="F1611" s="4561" t="n"/>
    </row>
    <row r="1612">
      <c r="A1612" s="4561" t="n"/>
      <c r="B1612" s="4561" t="n"/>
      <c r="C1612" s="4561" t="n"/>
      <c r="D1612" s="4561" t="n"/>
      <c r="E1612" s="4561" t="n"/>
      <c r="F1612" s="4561" t="n"/>
    </row>
    <row r="1613">
      <c r="A1613" s="4561" t="n"/>
      <c r="B1613" s="4561" t="n"/>
      <c r="C1613" s="4561" t="n"/>
      <c r="D1613" s="4561" t="n"/>
      <c r="E1613" s="4561" t="n"/>
      <c r="F1613" s="4561" t="n"/>
    </row>
    <row r="1614">
      <c r="A1614" s="4561" t="n"/>
      <c r="B1614" s="4561" t="n"/>
      <c r="C1614" s="4561" t="n"/>
      <c r="D1614" s="4561" t="n"/>
      <c r="E1614" s="4561" t="n"/>
      <c r="F1614" s="4561" t="n"/>
    </row>
    <row r="1615">
      <c r="A1615" s="4561" t="n"/>
      <c r="B1615" s="4561" t="n"/>
      <c r="C1615" s="4561" t="n"/>
      <c r="D1615" s="4561" t="n"/>
      <c r="E1615" s="4561" t="n"/>
      <c r="F1615" s="4561" t="n"/>
    </row>
    <row r="1616">
      <c r="A1616" s="4561" t="n"/>
      <c r="B1616" s="4561" t="n"/>
      <c r="C1616" s="4561" t="n"/>
      <c r="D1616" s="4561" t="n"/>
      <c r="E1616" s="4561" t="n"/>
      <c r="F1616" s="4561" t="n"/>
    </row>
    <row r="1617">
      <c r="A1617" s="4561" t="n"/>
      <c r="B1617" s="4561" t="n"/>
      <c r="C1617" s="4561" t="n"/>
      <c r="D1617" s="4561" t="n"/>
      <c r="E1617" s="4561" t="n"/>
      <c r="F1617" s="4561" t="n"/>
    </row>
    <row r="1618">
      <c r="A1618" s="4561" t="n"/>
      <c r="B1618" s="4561" t="n"/>
      <c r="C1618" s="4561" t="n"/>
      <c r="D1618" s="4561" t="n"/>
      <c r="E1618" s="4561" t="n"/>
      <c r="F1618" s="4561" t="n"/>
    </row>
    <row r="1619">
      <c r="A1619" s="4561" t="n"/>
      <c r="B1619" s="4561" t="n"/>
      <c r="C1619" s="4561" t="n"/>
      <c r="D1619" s="4561" t="n"/>
      <c r="E1619" s="4561" t="n"/>
      <c r="F1619" s="4561" t="n"/>
    </row>
    <row r="1620">
      <c r="A1620" s="4561" t="n"/>
      <c r="B1620" s="4561" t="n"/>
      <c r="C1620" s="4561" t="n"/>
      <c r="D1620" s="4561" t="n"/>
      <c r="E1620" s="4561" t="n"/>
      <c r="F1620" s="4561" t="n"/>
    </row>
    <row r="1621">
      <c r="A1621" s="4561" t="n"/>
      <c r="B1621" s="4561" t="n"/>
      <c r="C1621" s="4561" t="n"/>
      <c r="D1621" s="4561" t="n"/>
      <c r="E1621" s="4561" t="n"/>
      <c r="F1621" s="4561" t="n"/>
    </row>
    <row r="1622">
      <c r="A1622" s="4561" t="n"/>
      <c r="B1622" s="4561" t="n"/>
      <c r="C1622" s="4561" t="n"/>
      <c r="D1622" s="4561" t="n"/>
      <c r="E1622" s="4561" t="n"/>
      <c r="F1622" s="4561" t="n"/>
    </row>
    <row r="1623">
      <c r="A1623" s="4561" t="n"/>
      <c r="B1623" s="4561" t="n"/>
      <c r="C1623" s="4561" t="n"/>
      <c r="D1623" s="4561" t="n"/>
      <c r="E1623" s="4561" t="n"/>
      <c r="F1623" s="4561" t="n"/>
    </row>
    <row r="1624">
      <c r="A1624" s="4561" t="n"/>
      <c r="B1624" s="4561" t="n"/>
      <c r="C1624" s="4561" t="n"/>
      <c r="D1624" s="4561" t="n"/>
      <c r="E1624" s="4561" t="n"/>
      <c r="F1624" s="4561" t="n"/>
    </row>
    <row r="1625">
      <c r="A1625" s="4561" t="n"/>
      <c r="B1625" s="4561" t="n"/>
      <c r="C1625" s="4561" t="n"/>
      <c r="D1625" s="4561" t="n"/>
      <c r="E1625" s="4561" t="n"/>
      <c r="F1625" s="4561" t="n"/>
    </row>
    <row r="1626">
      <c r="A1626" s="4561" t="n"/>
      <c r="B1626" s="4561" t="n"/>
      <c r="C1626" s="4561" t="n"/>
      <c r="D1626" s="4561" t="n"/>
      <c r="E1626" s="4561" t="n"/>
      <c r="F1626" s="4561" t="n"/>
    </row>
    <row r="1627">
      <c r="A1627" s="4561" t="n"/>
      <c r="B1627" s="4561" t="n"/>
      <c r="C1627" s="4561" t="n"/>
      <c r="D1627" s="4561" t="n"/>
      <c r="E1627" s="4561" t="n"/>
      <c r="F1627" s="4561" t="n"/>
    </row>
    <row r="1628">
      <c r="A1628" s="4561" t="n"/>
      <c r="B1628" s="4561" t="n"/>
      <c r="C1628" s="4561" t="n"/>
      <c r="D1628" s="4561" t="n"/>
      <c r="E1628" s="4561" t="n"/>
      <c r="F1628" s="4561" t="n"/>
    </row>
    <row r="1629">
      <c r="A1629" s="4561" t="n"/>
      <c r="B1629" s="4561" t="n"/>
      <c r="C1629" s="4561" t="n"/>
      <c r="D1629" s="4561" t="n"/>
      <c r="E1629" s="4561" t="n"/>
      <c r="F1629" s="4561" t="n"/>
    </row>
    <row r="1630">
      <c r="A1630" s="4561" t="n"/>
      <c r="B1630" s="4561" t="n"/>
      <c r="C1630" s="4561" t="n"/>
      <c r="D1630" s="4561" t="n"/>
      <c r="E1630" s="4561" t="n"/>
      <c r="F1630" s="4561" t="n"/>
    </row>
    <row r="1631">
      <c r="A1631" s="4561" t="n"/>
      <c r="B1631" s="4561" t="n"/>
      <c r="C1631" s="4561" t="n"/>
      <c r="D1631" s="4561" t="n"/>
      <c r="E1631" s="4561" t="n"/>
      <c r="F1631" s="4561" t="n"/>
    </row>
    <row r="1632">
      <c r="A1632" s="4561" t="n"/>
      <c r="B1632" s="4561" t="n"/>
      <c r="C1632" s="4561" t="n"/>
      <c r="D1632" s="4561" t="n"/>
      <c r="E1632" s="4561" t="n"/>
      <c r="F1632" s="4561" t="n"/>
    </row>
    <row r="1633">
      <c r="A1633" s="4561" t="n"/>
      <c r="B1633" s="4561" t="n"/>
      <c r="C1633" s="4561" t="n"/>
      <c r="D1633" s="4561" t="n"/>
      <c r="E1633" s="4561" t="n"/>
      <c r="F1633" s="4561" t="n"/>
    </row>
    <row r="1634">
      <c r="A1634" s="4561" t="n"/>
      <c r="B1634" s="4561" t="n"/>
      <c r="C1634" s="4561" t="n"/>
      <c r="D1634" s="4561" t="n"/>
      <c r="E1634" s="4561" t="n"/>
      <c r="F1634" s="4561" t="n"/>
    </row>
    <row r="1635">
      <c r="A1635" s="4561" t="n"/>
      <c r="B1635" s="4561" t="n"/>
      <c r="C1635" s="4561" t="n"/>
      <c r="D1635" s="4561" t="n"/>
      <c r="E1635" s="4561" t="n"/>
      <c r="F1635" s="4561" t="n"/>
    </row>
    <row r="1636">
      <c r="A1636" s="4561" t="n"/>
      <c r="B1636" s="4561" t="n"/>
      <c r="C1636" s="4561" t="n"/>
      <c r="D1636" s="4561" t="n"/>
      <c r="E1636" s="4561" t="n"/>
      <c r="F1636" s="4561" t="n"/>
    </row>
    <row r="1637">
      <c r="A1637" s="4561" t="n"/>
      <c r="B1637" s="4561" t="n"/>
      <c r="C1637" s="4561" t="n"/>
      <c r="D1637" s="4561" t="n"/>
      <c r="E1637" s="4561" t="n"/>
      <c r="F1637" s="4561" t="n"/>
    </row>
    <row r="1638">
      <c r="A1638" s="4561" t="n"/>
      <c r="B1638" s="4561" t="n"/>
      <c r="C1638" s="4561" t="n"/>
      <c r="D1638" s="4561" t="n"/>
      <c r="E1638" s="4561" t="n"/>
      <c r="F1638" s="4561" t="n"/>
    </row>
    <row r="1639">
      <c r="A1639" s="4561" t="n"/>
      <c r="B1639" s="4561" t="n"/>
      <c r="C1639" s="4561" t="n"/>
      <c r="D1639" s="4561" t="n"/>
      <c r="E1639" s="4561" t="n"/>
      <c r="F1639" s="4561" t="n"/>
    </row>
    <row r="1640">
      <c r="A1640" s="4561" t="n"/>
      <c r="B1640" s="4561" t="n"/>
      <c r="C1640" s="4561" t="n"/>
      <c r="D1640" s="4561" t="n"/>
      <c r="E1640" s="4561" t="n"/>
      <c r="F1640" s="4561" t="n"/>
    </row>
    <row r="1641">
      <c r="A1641" s="4561" t="n"/>
      <c r="B1641" s="4561" t="n"/>
      <c r="C1641" s="4561" t="n"/>
      <c r="D1641" s="4561" t="n"/>
      <c r="E1641" s="4561" t="n"/>
      <c r="F1641" s="4561" t="n"/>
    </row>
    <row r="1642">
      <c r="A1642" s="4561" t="n"/>
      <c r="B1642" s="4561" t="n"/>
      <c r="C1642" s="4561" t="n"/>
      <c r="D1642" s="4561" t="n"/>
      <c r="E1642" s="4561" t="n"/>
      <c r="F1642" s="4561" t="n"/>
    </row>
    <row r="1643">
      <c r="A1643" s="4561" t="n"/>
      <c r="B1643" s="4561" t="n"/>
      <c r="C1643" s="4561" t="n"/>
      <c r="D1643" s="4561" t="n"/>
      <c r="E1643" s="4561" t="n"/>
      <c r="F1643" s="4561" t="n"/>
    </row>
    <row r="1644">
      <c r="A1644" s="4561" t="n"/>
      <c r="B1644" s="4561" t="n"/>
      <c r="C1644" s="4561" t="n"/>
      <c r="D1644" s="4561" t="n"/>
      <c r="E1644" s="4561" t="n"/>
      <c r="F1644" s="4561" t="n"/>
    </row>
    <row r="1645">
      <c r="A1645" s="4561" t="n"/>
      <c r="B1645" s="4561" t="n"/>
      <c r="C1645" s="4561" t="n"/>
      <c r="D1645" s="4561" t="n"/>
      <c r="E1645" s="4561" t="n"/>
      <c r="F1645" s="4561" t="n"/>
    </row>
    <row r="1646">
      <c r="A1646" s="4561" t="n"/>
      <c r="B1646" s="4561" t="n"/>
      <c r="C1646" s="4561" t="n"/>
      <c r="D1646" s="4561" t="n"/>
      <c r="E1646" s="4561" t="n"/>
      <c r="F1646" s="4561" t="n"/>
    </row>
    <row r="1647">
      <c r="A1647" s="4561" t="n"/>
      <c r="B1647" s="4561" t="n"/>
      <c r="C1647" s="4561" t="n"/>
      <c r="D1647" s="4561" t="n"/>
      <c r="E1647" s="4561" t="n"/>
      <c r="F1647" s="4561" t="n"/>
    </row>
    <row r="1648">
      <c r="A1648" s="4561" t="n"/>
      <c r="B1648" s="4561" t="n"/>
      <c r="C1648" s="4561" t="n"/>
      <c r="D1648" s="4561" t="n"/>
      <c r="E1648" s="4561" t="n"/>
      <c r="F1648" s="4561" t="n"/>
    </row>
    <row r="1649">
      <c r="A1649" s="4561" t="n"/>
      <c r="B1649" s="4561" t="n"/>
      <c r="C1649" s="4561" t="n"/>
      <c r="D1649" s="4561" t="n"/>
      <c r="E1649" s="4561" t="n"/>
      <c r="F1649" s="4561" t="n"/>
    </row>
    <row r="1650">
      <c r="A1650" s="4561" t="n"/>
      <c r="B1650" s="4561" t="n"/>
      <c r="C1650" s="4561" t="n"/>
      <c r="D1650" s="4561" t="n"/>
      <c r="E1650" s="4561" t="n"/>
      <c r="F1650" s="4561" t="n"/>
    </row>
    <row r="1651">
      <c r="A1651" s="4561" t="n"/>
      <c r="B1651" s="4561" t="n"/>
      <c r="C1651" s="4561" t="n"/>
      <c r="D1651" s="4561" t="n"/>
      <c r="E1651" s="4561" t="n"/>
      <c r="F1651" s="4561" t="n"/>
    </row>
    <row r="1652">
      <c r="A1652" s="4561" t="n"/>
      <c r="B1652" s="4561" t="n"/>
      <c r="C1652" s="4561" t="n"/>
      <c r="D1652" s="4561" t="n"/>
      <c r="E1652" s="4561" t="n"/>
      <c r="F1652" s="4561" t="n"/>
    </row>
    <row r="1653">
      <c r="A1653" s="4561" t="n"/>
      <c r="B1653" s="4561" t="n"/>
      <c r="C1653" s="4561" t="n"/>
      <c r="D1653" s="4561" t="n"/>
      <c r="E1653" s="4561" t="n"/>
      <c r="F1653" s="4561" t="n"/>
    </row>
    <row r="1654">
      <c r="A1654" s="4561" t="n"/>
      <c r="B1654" s="4561" t="n"/>
      <c r="C1654" s="4561" t="n"/>
      <c r="D1654" s="4561" t="n"/>
      <c r="E1654" s="4561" t="n"/>
      <c r="F1654" s="4561" t="n"/>
    </row>
    <row r="1655">
      <c r="A1655" s="4561" t="n"/>
      <c r="B1655" s="4561" t="n"/>
      <c r="C1655" s="4561" t="n"/>
      <c r="D1655" s="4561" t="n"/>
      <c r="E1655" s="4561" t="n"/>
      <c r="F1655" s="4561" t="n"/>
    </row>
    <row r="1656">
      <c r="A1656" s="4561" t="n"/>
      <c r="B1656" s="4561" t="n"/>
      <c r="C1656" s="4561" t="n"/>
      <c r="D1656" s="4561" t="n"/>
      <c r="E1656" s="4561" t="n"/>
      <c r="F1656" s="4561" t="n"/>
    </row>
    <row r="1657">
      <c r="A1657" s="4561" t="n"/>
      <c r="B1657" s="4561" t="n"/>
      <c r="C1657" s="4561" t="n"/>
      <c r="D1657" s="4561" t="n"/>
      <c r="E1657" s="4561" t="n"/>
      <c r="F1657" s="4561" t="n"/>
    </row>
    <row r="1658">
      <c r="A1658" s="4561" t="n"/>
      <c r="B1658" s="4561" t="n"/>
      <c r="C1658" s="4561" t="n"/>
      <c r="D1658" s="4561" t="n"/>
      <c r="E1658" s="4561" t="n"/>
      <c r="F1658" s="4561" t="n"/>
    </row>
    <row r="1659">
      <c r="A1659" s="4561" t="n"/>
      <c r="B1659" s="4561" t="n"/>
      <c r="C1659" s="4561" t="n"/>
      <c r="D1659" s="4561" t="n"/>
      <c r="E1659" s="4561" t="n"/>
      <c r="F1659" s="4561" t="n"/>
    </row>
    <row r="1660">
      <c r="A1660" s="4561" t="n"/>
      <c r="B1660" s="4561" t="n"/>
      <c r="C1660" s="4561" t="n"/>
      <c r="D1660" s="4561" t="n"/>
      <c r="E1660" s="4561" t="n"/>
      <c r="F1660" s="4561" t="n"/>
    </row>
    <row r="1661">
      <c r="A1661" s="4561" t="n"/>
      <c r="B1661" s="4561" t="n"/>
      <c r="C1661" s="4561" t="n"/>
      <c r="D1661" s="4561" t="n"/>
      <c r="E1661" s="4561" t="n"/>
      <c r="F1661" s="4561" t="n"/>
    </row>
    <row r="1662">
      <c r="A1662" s="4561" t="n"/>
      <c r="B1662" s="4561" t="n"/>
      <c r="C1662" s="4561" t="n"/>
      <c r="D1662" s="4561" t="n"/>
      <c r="E1662" s="4561" t="n"/>
      <c r="F1662" s="4561" t="n"/>
    </row>
    <row r="1663">
      <c r="A1663" s="4561" t="n"/>
      <c r="B1663" s="4561" t="n"/>
      <c r="C1663" s="4561" t="n"/>
      <c r="D1663" s="4561" t="n"/>
      <c r="E1663" s="4561" t="n"/>
      <c r="F1663" s="4561" t="n"/>
    </row>
    <row r="1664">
      <c r="A1664" s="4561" t="n"/>
      <c r="B1664" s="4561" t="n"/>
      <c r="C1664" s="4561" t="n"/>
      <c r="D1664" s="4561" t="n"/>
      <c r="E1664" s="4561" t="n"/>
      <c r="F1664" s="4561" t="n"/>
    </row>
    <row r="1665">
      <c r="A1665" s="4561" t="n"/>
      <c r="B1665" s="4561" t="n"/>
      <c r="C1665" s="4561" t="n"/>
      <c r="D1665" s="4561" t="n"/>
      <c r="E1665" s="4561" t="n"/>
      <c r="F1665" s="4561" t="n"/>
    </row>
    <row r="1666">
      <c r="A1666" s="4561" t="n"/>
      <c r="B1666" s="4561" t="n"/>
      <c r="C1666" s="4561" t="n"/>
      <c r="D1666" s="4561" t="n"/>
      <c r="E1666" s="4561" t="n"/>
      <c r="F1666" s="4561" t="n"/>
    </row>
    <row r="1667">
      <c r="A1667" s="4561" t="n"/>
      <c r="B1667" s="4561" t="n"/>
      <c r="C1667" s="4561" t="n"/>
      <c r="D1667" s="4561" t="n"/>
      <c r="E1667" s="4561" t="n"/>
      <c r="F1667" s="4561" t="n"/>
    </row>
    <row r="1668">
      <c r="A1668" s="4561" t="n"/>
      <c r="B1668" s="4561" t="n"/>
      <c r="C1668" s="4561" t="n"/>
      <c r="D1668" s="4561" t="n"/>
      <c r="E1668" s="4561" t="n"/>
      <c r="F1668" s="4561" t="n"/>
    </row>
    <row r="1669">
      <c r="A1669" s="4561" t="n"/>
      <c r="B1669" s="4561" t="n"/>
      <c r="C1669" s="4561" t="n"/>
      <c r="D1669" s="4561" t="n"/>
      <c r="E1669" s="4561" t="n"/>
      <c r="F1669" s="4561" t="n"/>
    </row>
    <row r="1670">
      <c r="A1670" s="4561" t="n"/>
      <c r="B1670" s="4561" t="n"/>
      <c r="C1670" s="4561" t="n"/>
      <c r="D1670" s="4561" t="n"/>
      <c r="E1670" s="4561" t="n"/>
      <c r="F1670" s="4561" t="n"/>
    </row>
    <row r="1671">
      <c r="A1671" s="4561" t="n"/>
      <c r="B1671" s="4561" t="n"/>
      <c r="C1671" s="4561" t="n"/>
      <c r="D1671" s="4561" t="n"/>
      <c r="E1671" s="4561" t="n"/>
      <c r="F1671" s="4561" t="n"/>
    </row>
    <row r="1672">
      <c r="A1672" s="4561" t="n"/>
      <c r="B1672" s="4561" t="n"/>
      <c r="C1672" s="4561" t="n"/>
      <c r="D1672" s="4561" t="n"/>
      <c r="E1672" s="4561" t="n"/>
      <c r="F1672" s="4561" t="n"/>
    </row>
    <row r="1673">
      <c r="A1673" s="4561" t="n"/>
      <c r="B1673" s="4561" t="n"/>
      <c r="C1673" s="4561" t="n"/>
      <c r="D1673" s="4561" t="n"/>
      <c r="E1673" s="4561" t="n"/>
      <c r="F1673" s="4561" t="n"/>
    </row>
    <row r="1674">
      <c r="A1674" s="4561" t="n"/>
      <c r="B1674" s="4561" t="n"/>
      <c r="C1674" s="4561" t="n"/>
      <c r="D1674" s="4561" t="n"/>
      <c r="E1674" s="4561" t="n"/>
      <c r="F1674" s="4561" t="n"/>
    </row>
    <row r="1675">
      <c r="A1675" s="4561" t="n"/>
      <c r="B1675" s="4561" t="n"/>
      <c r="C1675" s="4561" t="n"/>
      <c r="D1675" s="4561" t="n"/>
      <c r="E1675" s="4561" t="n"/>
      <c r="F1675" s="4561" t="n"/>
    </row>
    <row r="1676">
      <c r="A1676" s="4561" t="n"/>
      <c r="B1676" s="4561" t="n"/>
      <c r="C1676" s="4561" t="n"/>
      <c r="D1676" s="4561" t="n"/>
      <c r="E1676" s="4561" t="n"/>
      <c r="F1676" s="4561" t="n"/>
    </row>
    <row r="1677">
      <c r="A1677" s="4561" t="n"/>
      <c r="B1677" s="4561" t="n"/>
      <c r="C1677" s="4561" t="n"/>
      <c r="D1677" s="4561" t="n"/>
      <c r="E1677" s="4561" t="n"/>
      <c r="F1677" s="4561" t="n"/>
    </row>
    <row r="1678">
      <c r="A1678" s="4561" t="n"/>
      <c r="B1678" s="4561" t="n"/>
      <c r="C1678" s="4561" t="n"/>
      <c r="D1678" s="4561" t="n"/>
      <c r="E1678" s="4561" t="n"/>
      <c r="F1678" s="4561" t="n"/>
    </row>
    <row r="1679">
      <c r="A1679" s="4561" t="n"/>
      <c r="B1679" s="4561" t="n"/>
      <c r="C1679" s="4561" t="n"/>
      <c r="D1679" s="4561" t="n"/>
      <c r="E1679" s="4561" t="n"/>
      <c r="F1679" s="4561" t="n"/>
    </row>
    <row r="1680">
      <c r="A1680" s="4561" t="n"/>
      <c r="B1680" s="4561" t="n"/>
      <c r="C1680" s="4561" t="n"/>
      <c r="D1680" s="4561" t="n"/>
      <c r="E1680" s="4561" t="n"/>
      <c r="F1680" s="4561" t="n"/>
    </row>
    <row r="1681">
      <c r="A1681" s="4561" t="n"/>
      <c r="B1681" s="4561" t="n"/>
      <c r="C1681" s="4561" t="n"/>
      <c r="D1681" s="4561" t="n"/>
      <c r="E1681" s="4561" t="n"/>
      <c r="F1681" s="4561" t="n"/>
    </row>
    <row r="1682">
      <c r="A1682" s="4561" t="n"/>
      <c r="B1682" s="4561" t="n"/>
      <c r="C1682" s="4561" t="n"/>
      <c r="D1682" s="4561" t="n"/>
      <c r="E1682" s="4561" t="n"/>
      <c r="F1682" s="4561" t="n"/>
    </row>
    <row r="1683">
      <c r="A1683" s="4561" t="n"/>
      <c r="B1683" s="4561" t="n"/>
      <c r="C1683" s="4561" t="n"/>
      <c r="D1683" s="4561" t="n"/>
      <c r="E1683" s="4561" t="n"/>
      <c r="F1683" s="4561" t="n"/>
    </row>
    <row r="1684">
      <c r="A1684" s="4561" t="n"/>
      <c r="B1684" s="4561" t="n"/>
      <c r="C1684" s="4561" t="n"/>
      <c r="D1684" s="4561" t="n"/>
      <c r="E1684" s="4561" t="n"/>
      <c r="F1684" s="4561" t="n"/>
    </row>
    <row r="1685">
      <c r="A1685" s="4561" t="n"/>
      <c r="B1685" s="4561" t="n"/>
      <c r="C1685" s="4561" t="n"/>
      <c r="D1685" s="4561" t="n"/>
      <c r="E1685" s="4561" t="n"/>
      <c r="F1685" s="4561" t="n"/>
    </row>
    <row r="1686">
      <c r="A1686" s="4561" t="n"/>
      <c r="B1686" s="4561" t="n"/>
      <c r="C1686" s="4561" t="n"/>
      <c r="D1686" s="4561" t="n"/>
      <c r="E1686" s="4561" t="n"/>
      <c r="F1686" s="4561" t="n"/>
    </row>
    <row r="1687">
      <c r="A1687" s="4561" t="n"/>
      <c r="B1687" s="4561" t="n"/>
      <c r="C1687" s="4561" t="n"/>
      <c r="D1687" s="4561" t="n"/>
      <c r="E1687" s="4561" t="n"/>
      <c r="F1687" s="4561" t="n"/>
    </row>
    <row r="1688">
      <c r="A1688" s="4561" t="n"/>
      <c r="B1688" s="4561" t="n"/>
      <c r="C1688" s="4561" t="n"/>
      <c r="D1688" s="4561" t="n"/>
      <c r="E1688" s="4561" t="n"/>
      <c r="F1688" s="4561" t="n"/>
    </row>
    <row r="1689">
      <c r="A1689" s="4561" t="n"/>
      <c r="B1689" s="4561" t="n"/>
      <c r="C1689" s="4561" t="n"/>
      <c r="D1689" s="4561" t="n"/>
      <c r="E1689" s="4561" t="n"/>
      <c r="F1689" s="4561" t="n"/>
    </row>
    <row r="1690">
      <c r="A1690" s="4561" t="n"/>
      <c r="B1690" s="4561" t="n"/>
      <c r="C1690" s="4561" t="n"/>
      <c r="D1690" s="4561" t="n"/>
      <c r="E1690" s="4561" t="n"/>
      <c r="F1690" s="4561" t="n"/>
    </row>
    <row r="1691">
      <c r="A1691" s="4561" t="n"/>
      <c r="B1691" s="4561" t="n"/>
      <c r="C1691" s="4561" t="n"/>
      <c r="D1691" s="4561" t="n"/>
      <c r="E1691" s="4561" t="n"/>
      <c r="F1691" s="4561" t="n"/>
    </row>
    <row r="1692">
      <c r="A1692" s="4561" t="n"/>
      <c r="B1692" s="4561" t="n"/>
      <c r="C1692" s="4561" t="n"/>
      <c r="D1692" s="4561" t="n"/>
      <c r="E1692" s="4561" t="n"/>
      <c r="F1692" s="4561" t="n"/>
    </row>
    <row r="1693">
      <c r="A1693" s="4561" t="n"/>
      <c r="B1693" s="4561" t="n"/>
      <c r="C1693" s="4561" t="n"/>
      <c r="D1693" s="4561" t="n"/>
      <c r="E1693" s="4561" t="n"/>
      <c r="F1693" s="4561" t="n"/>
    </row>
    <row r="1694">
      <c r="A1694" s="4561" t="n"/>
      <c r="B1694" s="4561" t="n"/>
      <c r="C1694" s="4561" t="n"/>
      <c r="D1694" s="4561" t="n"/>
      <c r="E1694" s="4561" t="n"/>
      <c r="F1694" s="4561" t="n"/>
    </row>
    <row r="1695">
      <c r="A1695" s="4561" t="n"/>
      <c r="B1695" s="4561" t="n"/>
      <c r="C1695" s="4561" t="n"/>
      <c r="D1695" s="4561" t="n"/>
      <c r="E1695" s="4561" t="n"/>
      <c r="F1695" s="4561" t="n"/>
    </row>
    <row r="1696">
      <c r="A1696" s="4561" t="n"/>
      <c r="B1696" s="4561" t="n"/>
      <c r="C1696" s="4561" t="n"/>
      <c r="D1696" s="4561" t="n"/>
      <c r="E1696" s="4561" t="n"/>
      <c r="F1696" s="4561" t="n"/>
    </row>
    <row r="1697">
      <c r="A1697" s="4561" t="n"/>
      <c r="B1697" s="4561" t="n"/>
      <c r="C1697" s="4561" t="n"/>
      <c r="D1697" s="4561" t="n"/>
      <c r="E1697" s="4561" t="n"/>
      <c r="F1697" s="4561" t="n"/>
    </row>
    <row r="1698">
      <c r="A1698" s="4561" t="n"/>
      <c r="B1698" s="4561" t="n"/>
      <c r="C1698" s="4561" t="n"/>
      <c r="D1698" s="4561" t="n"/>
      <c r="E1698" s="4561" t="n"/>
      <c r="F1698" s="4561" t="n"/>
    </row>
    <row r="1699">
      <c r="A1699" s="4561" t="n"/>
      <c r="B1699" s="4561" t="n"/>
      <c r="C1699" s="4561" t="n"/>
      <c r="D1699" s="4561" t="n"/>
      <c r="E1699" s="4561" t="n"/>
      <c r="F1699" s="4561" t="n"/>
    </row>
    <row r="1700">
      <c r="A1700" s="4561" t="n"/>
      <c r="B1700" s="4561" t="n"/>
      <c r="C1700" s="4561" t="n"/>
      <c r="D1700" s="4561" t="n"/>
      <c r="E1700" s="4561" t="n"/>
      <c r="F1700" s="4561" t="n"/>
    </row>
    <row r="1701">
      <c r="A1701" s="4561" t="n"/>
      <c r="B1701" s="4561" t="n"/>
      <c r="C1701" s="4561" t="n"/>
      <c r="D1701" s="4561" t="n"/>
      <c r="E1701" s="4561" t="n"/>
      <c r="F1701" s="4561" t="n"/>
    </row>
    <row r="1702">
      <c r="A1702" s="4561" t="n"/>
      <c r="B1702" s="4561" t="n"/>
      <c r="C1702" s="4561" t="n"/>
      <c r="D1702" s="4561" t="n"/>
      <c r="E1702" s="4561" t="n"/>
      <c r="F1702" s="4561" t="n"/>
    </row>
    <row r="1703">
      <c r="A1703" s="4561" t="n"/>
      <c r="B1703" s="4561" t="n"/>
      <c r="C1703" s="4561" t="n"/>
      <c r="D1703" s="4561" t="n"/>
      <c r="E1703" s="4561" t="n"/>
      <c r="F1703" s="4561" t="n"/>
    </row>
    <row r="1704">
      <c r="A1704" s="4561" t="n"/>
      <c r="B1704" s="4561" t="n"/>
      <c r="C1704" s="4561" t="n"/>
      <c r="D1704" s="4561" t="n"/>
      <c r="E1704" s="4561" t="n"/>
      <c r="F1704" s="4561" t="n"/>
    </row>
    <row r="1705">
      <c r="A1705" s="4561" t="n"/>
      <c r="B1705" s="4561" t="n"/>
      <c r="C1705" s="4561" t="n"/>
      <c r="D1705" s="4561" t="n"/>
      <c r="E1705" s="4561" t="n"/>
      <c r="F1705" s="4561" t="n"/>
    </row>
    <row r="1706">
      <c r="A1706" s="4561" t="n"/>
      <c r="B1706" s="4561" t="n"/>
      <c r="C1706" s="4561" t="n"/>
      <c r="D1706" s="4561" t="n"/>
      <c r="E1706" s="4561" t="n"/>
      <c r="F1706" s="4561" t="n"/>
    </row>
    <row r="1707">
      <c r="A1707" s="4561" t="n"/>
      <c r="B1707" s="4561" t="n"/>
      <c r="C1707" s="4561" t="n"/>
      <c r="D1707" s="4561" t="n"/>
      <c r="E1707" s="4561" t="n"/>
      <c r="F1707" s="4561" t="n"/>
    </row>
    <row r="1708">
      <c r="A1708" s="4561" t="n"/>
      <c r="B1708" s="4561" t="n"/>
      <c r="C1708" s="4561" t="n"/>
      <c r="D1708" s="4561" t="n"/>
      <c r="E1708" s="4561" t="n"/>
      <c r="F1708" s="4561" t="n"/>
    </row>
    <row r="1709">
      <c r="A1709" s="4561" t="n"/>
      <c r="B1709" s="4561" t="n"/>
      <c r="C1709" s="4561" t="n"/>
      <c r="D1709" s="4561" t="n"/>
      <c r="E1709" s="4561" t="n"/>
      <c r="F1709" s="4561" t="n"/>
    </row>
    <row r="1710">
      <c r="A1710" s="4561" t="n"/>
      <c r="B1710" s="4561" t="n"/>
      <c r="C1710" s="4561" t="n"/>
      <c r="D1710" s="4561" t="n"/>
      <c r="E1710" s="4561" t="n"/>
      <c r="F1710" s="4561" t="n"/>
    </row>
    <row r="1711">
      <c r="A1711" s="4561" t="n"/>
      <c r="B1711" s="4561" t="n"/>
      <c r="C1711" s="4561" t="n"/>
      <c r="D1711" s="4561" t="n"/>
      <c r="E1711" s="4561" t="n"/>
      <c r="F1711" s="4561" t="n"/>
    </row>
    <row r="1712">
      <c r="A1712" s="4561" t="n"/>
      <c r="B1712" s="4561" t="n"/>
      <c r="C1712" s="4561" t="n"/>
      <c r="D1712" s="4561" t="n"/>
      <c r="E1712" s="4561" t="n"/>
      <c r="F1712" s="4561" t="n"/>
    </row>
    <row r="1713">
      <c r="A1713" s="4561" t="n"/>
      <c r="B1713" s="4561" t="n"/>
      <c r="C1713" s="4561" t="n"/>
      <c r="D1713" s="4561" t="n"/>
      <c r="E1713" s="4561" t="n"/>
      <c r="F1713" s="4561" t="n"/>
    </row>
    <row r="1714">
      <c r="A1714" s="4561" t="n"/>
      <c r="B1714" s="4561" t="n"/>
      <c r="C1714" s="4561" t="n"/>
      <c r="D1714" s="4561" t="n"/>
      <c r="E1714" s="4561" t="n"/>
      <c r="F1714" s="4561" t="n"/>
    </row>
    <row r="1715">
      <c r="A1715" s="4561" t="n"/>
      <c r="B1715" s="4561" t="n"/>
      <c r="C1715" s="4561" t="n"/>
      <c r="D1715" s="4561" t="n"/>
      <c r="E1715" s="4561" t="n"/>
      <c r="F1715" s="4561" t="n"/>
    </row>
    <row r="1716">
      <c r="A1716" s="4561" t="n"/>
      <c r="B1716" s="4561" t="n"/>
      <c r="C1716" s="4561" t="n"/>
      <c r="D1716" s="4561" t="n"/>
      <c r="E1716" s="4561" t="n"/>
      <c r="F1716" s="4561" t="n"/>
    </row>
    <row r="1717">
      <c r="A1717" s="4561" t="n"/>
      <c r="B1717" s="4561" t="n"/>
      <c r="C1717" s="4561" t="n"/>
      <c r="D1717" s="4561" t="n"/>
      <c r="E1717" s="4561" t="n"/>
      <c r="F1717" s="4561" t="n"/>
    </row>
    <row r="1718">
      <c r="A1718" s="4561" t="n"/>
      <c r="B1718" s="4561" t="n"/>
      <c r="C1718" s="4561" t="n"/>
      <c r="D1718" s="4561" t="n"/>
      <c r="E1718" s="4561" t="n"/>
      <c r="F1718" s="4561" t="n"/>
    </row>
    <row r="1719">
      <c r="A1719" s="4561" t="n"/>
      <c r="B1719" s="4561" t="n"/>
      <c r="C1719" s="4561" t="n"/>
      <c r="D1719" s="4561" t="n"/>
      <c r="E1719" s="4561" t="n"/>
      <c r="F1719" s="4561" t="n"/>
    </row>
    <row r="1720">
      <c r="A1720" s="4561" t="n"/>
      <c r="B1720" s="4561" t="n"/>
      <c r="C1720" s="4561" t="n"/>
      <c r="D1720" s="4561" t="n"/>
      <c r="E1720" s="4561" t="n"/>
      <c r="F1720" s="4561" t="n"/>
    </row>
    <row r="1721">
      <c r="A1721" s="4561" t="n"/>
      <c r="B1721" s="4561" t="n"/>
      <c r="C1721" s="4561" t="n"/>
      <c r="D1721" s="4561" t="n"/>
      <c r="E1721" s="4561" t="n"/>
      <c r="F1721" s="4561" t="n"/>
    </row>
    <row r="1722">
      <c r="A1722" s="4561" t="n"/>
      <c r="B1722" s="4561" t="n"/>
      <c r="C1722" s="4561" t="n"/>
      <c r="D1722" s="4561" t="n"/>
      <c r="E1722" s="4561" t="n"/>
      <c r="F1722" s="4561" t="n"/>
    </row>
    <row r="1723">
      <c r="A1723" s="4561" t="n"/>
      <c r="B1723" s="4561" t="n"/>
      <c r="C1723" s="4561" t="n"/>
      <c r="D1723" s="4561" t="n"/>
      <c r="E1723" s="4561" t="n"/>
      <c r="F1723" s="4561" t="n"/>
    </row>
    <row r="1724">
      <c r="A1724" s="4561" t="n"/>
      <c r="B1724" s="4561" t="n"/>
      <c r="C1724" s="4561" t="n"/>
      <c r="D1724" s="4561" t="n"/>
      <c r="E1724" s="4561" t="n"/>
      <c r="F1724" s="4561" t="n"/>
    </row>
    <row r="1725">
      <c r="A1725" s="4561" t="n"/>
      <c r="B1725" s="4561" t="n"/>
      <c r="C1725" s="4561" t="n"/>
      <c r="D1725" s="4561" t="n"/>
      <c r="E1725" s="4561" t="n"/>
      <c r="F1725" s="4561" t="n"/>
    </row>
    <row r="1726">
      <c r="A1726" s="4561" t="n"/>
      <c r="B1726" s="4561" t="n"/>
      <c r="C1726" s="4561" t="n"/>
      <c r="D1726" s="4561" t="n"/>
      <c r="E1726" s="4561" t="n"/>
      <c r="F1726" s="4561" t="n"/>
    </row>
    <row r="1727">
      <c r="A1727" s="4561" t="n"/>
      <c r="B1727" s="4561" t="n"/>
      <c r="C1727" s="4561" t="n"/>
      <c r="D1727" s="4561" t="n"/>
      <c r="E1727" s="4561" t="n"/>
      <c r="F1727" s="4561" t="n"/>
    </row>
    <row r="1728">
      <c r="A1728" s="4561" t="n"/>
      <c r="B1728" s="4561" t="n"/>
      <c r="C1728" s="4561" t="n"/>
      <c r="D1728" s="4561" t="n"/>
      <c r="E1728" s="4561" t="n"/>
      <c r="F1728" s="4561" t="n"/>
    </row>
    <row r="1729">
      <c r="A1729" s="4561" t="n"/>
      <c r="B1729" s="4561" t="n"/>
      <c r="C1729" s="4561" t="n"/>
      <c r="D1729" s="4561" t="n"/>
      <c r="E1729" s="4561" t="n"/>
      <c r="F1729" s="4561" t="n"/>
    </row>
    <row r="1730">
      <c r="A1730" s="4561" t="n"/>
      <c r="B1730" s="4561" t="n"/>
      <c r="C1730" s="4561" t="n"/>
      <c r="D1730" s="4561" t="n"/>
      <c r="E1730" s="4561" t="n"/>
      <c r="F1730" s="4561" t="n"/>
    </row>
    <row r="1731">
      <c r="A1731" s="4561" t="n"/>
      <c r="B1731" s="4561" t="n"/>
      <c r="C1731" s="4561" t="n"/>
      <c r="D1731" s="4561" t="n"/>
      <c r="E1731" s="4561" t="n"/>
      <c r="F1731" s="4561" t="n"/>
    </row>
    <row r="1732">
      <c r="A1732" s="4561" t="n"/>
      <c r="B1732" s="4561" t="n"/>
      <c r="C1732" s="4561" t="n"/>
      <c r="D1732" s="4561" t="n"/>
      <c r="E1732" s="4561" t="n"/>
      <c r="F1732" s="4561" t="n"/>
    </row>
    <row r="1733">
      <c r="A1733" s="4561" t="n"/>
      <c r="B1733" s="4561" t="n"/>
      <c r="C1733" s="4561" t="n"/>
      <c r="D1733" s="4561" t="n"/>
      <c r="E1733" s="4561" t="n"/>
      <c r="F1733" s="4561" t="n"/>
    </row>
    <row r="1734">
      <c r="A1734" s="4561" t="n"/>
      <c r="B1734" s="4561" t="n"/>
      <c r="C1734" s="4561" t="n"/>
      <c r="D1734" s="4561" t="n"/>
      <c r="E1734" s="4561" t="n"/>
      <c r="F1734" s="4561" t="n"/>
    </row>
    <row r="1735">
      <c r="A1735" s="4561" t="n"/>
      <c r="B1735" s="4561" t="n"/>
      <c r="C1735" s="4561" t="n"/>
      <c r="D1735" s="4561" t="n"/>
      <c r="E1735" s="4561" t="n"/>
      <c r="F1735" s="4561" t="n"/>
    </row>
    <row r="1736">
      <c r="A1736" s="4561" t="n"/>
      <c r="B1736" s="4561" t="n"/>
      <c r="C1736" s="4561" t="n"/>
      <c r="D1736" s="4561" t="n"/>
      <c r="E1736" s="4561" t="n"/>
      <c r="F1736" s="4561" t="n"/>
    </row>
    <row r="1737">
      <c r="A1737" s="4561" t="n"/>
      <c r="B1737" s="4561" t="n"/>
      <c r="C1737" s="4561" t="n"/>
      <c r="D1737" s="4561" t="n"/>
      <c r="E1737" s="4561" t="n"/>
      <c r="F1737" s="4561" t="n"/>
    </row>
    <row r="1738">
      <c r="A1738" s="4561" t="n"/>
      <c r="B1738" s="4561" t="n"/>
      <c r="C1738" s="4561" t="n"/>
      <c r="D1738" s="4561" t="n"/>
      <c r="E1738" s="4561" t="n"/>
      <c r="F1738" s="4561" t="n"/>
    </row>
    <row r="1739">
      <c r="A1739" s="4561" t="n"/>
      <c r="B1739" s="4561" t="n"/>
      <c r="C1739" s="4561" t="n"/>
      <c r="D1739" s="4561" t="n"/>
      <c r="E1739" s="4561" t="n"/>
      <c r="F1739" s="4561" t="n"/>
    </row>
    <row r="1740">
      <c r="A1740" s="4561" t="n"/>
      <c r="B1740" s="4561" t="n"/>
      <c r="C1740" s="4561" t="n"/>
      <c r="D1740" s="4561" t="n"/>
      <c r="E1740" s="4561" t="n"/>
      <c r="F1740" s="4561" t="n"/>
    </row>
    <row r="1741">
      <c r="A1741" s="4561" t="n"/>
      <c r="B1741" s="4561" t="n"/>
      <c r="C1741" s="4561" t="n"/>
      <c r="D1741" s="4561" t="n"/>
      <c r="E1741" s="4561" t="n"/>
      <c r="F1741" s="4561" t="n"/>
    </row>
    <row r="1742">
      <c r="A1742" s="4561" t="n"/>
      <c r="B1742" s="4561" t="n"/>
      <c r="C1742" s="4561" t="n"/>
      <c r="D1742" s="4561" t="n"/>
      <c r="E1742" s="4561" t="n"/>
      <c r="F1742" s="4561" t="n"/>
    </row>
    <row r="1743">
      <c r="A1743" s="4561" t="n"/>
      <c r="B1743" s="4561" t="n"/>
      <c r="C1743" s="4561" t="n"/>
      <c r="D1743" s="4561" t="n"/>
      <c r="E1743" s="4561" t="n"/>
      <c r="F1743" s="4561" t="n"/>
    </row>
    <row r="1744">
      <c r="A1744" s="4561" t="n"/>
      <c r="B1744" s="4561" t="n"/>
      <c r="C1744" s="4561" t="n"/>
      <c r="D1744" s="4561" t="n"/>
      <c r="E1744" s="4561" t="n"/>
      <c r="F1744" s="4561" t="n"/>
    </row>
    <row r="1745">
      <c r="A1745" s="4561" t="n"/>
      <c r="B1745" s="4561" t="n"/>
      <c r="C1745" s="4561" t="n"/>
      <c r="D1745" s="4561" t="n"/>
      <c r="E1745" s="4561" t="n"/>
      <c r="F1745" s="4561" t="n"/>
    </row>
    <row r="1746">
      <c r="A1746" s="4561" t="n"/>
      <c r="B1746" s="4561" t="n"/>
      <c r="C1746" s="4561" t="n"/>
      <c r="D1746" s="4561" t="n"/>
      <c r="E1746" s="4561" t="n"/>
      <c r="F1746" s="4561" t="n"/>
    </row>
    <row r="1747">
      <c r="A1747" s="4561" t="n"/>
      <c r="B1747" s="4561" t="n"/>
      <c r="C1747" s="4561" t="n"/>
      <c r="D1747" s="4561" t="n"/>
      <c r="E1747" s="4561" t="n"/>
      <c r="F1747" s="4561" t="n"/>
    </row>
    <row r="1748">
      <c r="A1748" s="4561" t="n"/>
      <c r="B1748" s="4561" t="n"/>
      <c r="C1748" s="4561" t="n"/>
      <c r="D1748" s="4561" t="n"/>
      <c r="E1748" s="4561" t="n"/>
      <c r="F1748" s="4561" t="n"/>
    </row>
    <row r="1749">
      <c r="A1749" s="4561" t="n"/>
      <c r="B1749" s="4561" t="n"/>
      <c r="C1749" s="4561" t="n"/>
      <c r="D1749" s="4561" t="n"/>
      <c r="E1749" s="4561" t="n"/>
      <c r="F1749" s="4561" t="n"/>
    </row>
    <row r="1750">
      <c r="A1750" s="4561" t="n"/>
      <c r="B1750" s="4561" t="n"/>
      <c r="C1750" s="4561" t="n"/>
      <c r="D1750" s="4561" t="n"/>
      <c r="E1750" s="4561" t="n"/>
      <c r="F1750" s="4561" t="n"/>
    </row>
    <row r="1751">
      <c r="A1751" s="4561" t="n"/>
      <c r="B1751" s="4561" t="n"/>
      <c r="C1751" s="4561" t="n"/>
      <c r="D1751" s="4561" t="n"/>
      <c r="E1751" s="4561" t="n"/>
      <c r="F1751" s="4561" t="n"/>
    </row>
    <row r="1752">
      <c r="A1752" s="4561" t="n"/>
      <c r="B1752" s="4561" t="n"/>
      <c r="C1752" s="4561" t="n"/>
      <c r="D1752" s="4561" t="n"/>
      <c r="E1752" s="4561" t="n"/>
      <c r="F1752" s="4561" t="n"/>
    </row>
    <row r="1753">
      <c r="A1753" s="4561" t="n"/>
      <c r="B1753" s="4561" t="n"/>
      <c r="C1753" s="4561" t="n"/>
      <c r="D1753" s="4561" t="n"/>
      <c r="E1753" s="4561" t="n"/>
      <c r="F1753" s="4561" t="n"/>
    </row>
    <row r="1754">
      <c r="A1754" s="4561" t="n"/>
      <c r="B1754" s="4561" t="n"/>
      <c r="C1754" s="4561" t="n"/>
      <c r="D1754" s="4561" t="n"/>
      <c r="E1754" s="4561" t="n"/>
      <c r="F1754" s="4561" t="n"/>
    </row>
    <row r="1755">
      <c r="A1755" s="4561" t="n"/>
      <c r="B1755" s="4561" t="n"/>
      <c r="C1755" s="4561" t="n"/>
      <c r="D1755" s="4561" t="n"/>
      <c r="E1755" s="4561" t="n"/>
      <c r="F1755" s="4561" t="n"/>
    </row>
    <row r="1756">
      <c r="A1756" s="4561" t="n"/>
      <c r="B1756" s="4561" t="n"/>
      <c r="C1756" s="4561" t="n"/>
      <c r="D1756" s="4561" t="n"/>
      <c r="E1756" s="4561" t="n"/>
      <c r="F1756" s="4561" t="n"/>
    </row>
    <row r="1757">
      <c r="A1757" s="4561" t="n"/>
      <c r="B1757" s="4561" t="n"/>
      <c r="C1757" s="4561" t="n"/>
      <c r="D1757" s="4561" t="n"/>
      <c r="E1757" s="4561" t="n"/>
      <c r="F1757" s="4561" t="n"/>
    </row>
    <row r="1758">
      <c r="A1758" s="4561" t="n"/>
      <c r="B1758" s="4561" t="n"/>
      <c r="C1758" s="4561" t="n"/>
      <c r="D1758" s="4561" t="n"/>
      <c r="E1758" s="4561" t="n"/>
      <c r="F1758" s="4561" t="n"/>
    </row>
    <row r="1759">
      <c r="A1759" s="4561" t="n"/>
      <c r="B1759" s="4561" t="n"/>
      <c r="C1759" s="4561" t="n"/>
      <c r="D1759" s="4561" t="n"/>
      <c r="E1759" s="4561" t="n"/>
      <c r="F1759" s="4561" t="n"/>
    </row>
    <row r="1760">
      <c r="A1760" s="4561" t="n"/>
      <c r="B1760" s="4561" t="n"/>
      <c r="C1760" s="4561" t="n"/>
      <c r="D1760" s="4561" t="n"/>
      <c r="E1760" s="4561" t="n"/>
      <c r="F1760" s="4561" t="n"/>
    </row>
    <row r="1761">
      <c r="A1761" s="4561" t="n"/>
      <c r="B1761" s="4561" t="n"/>
      <c r="C1761" s="4561" t="n"/>
      <c r="D1761" s="4561" t="n"/>
      <c r="E1761" s="4561" t="n"/>
      <c r="F1761" s="4561" t="n"/>
    </row>
    <row r="1762">
      <c r="A1762" s="4561" t="n"/>
      <c r="B1762" s="4561" t="n"/>
      <c r="C1762" s="4561" t="n"/>
      <c r="D1762" s="4561" t="n"/>
      <c r="E1762" s="4561" t="n"/>
      <c r="F1762" s="4561" t="n"/>
    </row>
    <row r="1763">
      <c r="A1763" s="4561" t="n"/>
      <c r="B1763" s="4561" t="n"/>
      <c r="C1763" s="4561" t="n"/>
      <c r="D1763" s="4561" t="n"/>
      <c r="E1763" s="4561" t="n"/>
      <c r="F1763" s="4561" t="n"/>
    </row>
    <row r="1764">
      <c r="A1764" s="4561" t="n"/>
      <c r="B1764" s="4561" t="n"/>
      <c r="C1764" s="4561" t="n"/>
      <c r="D1764" s="4561" t="n"/>
      <c r="E1764" s="4561" t="n"/>
      <c r="F1764" s="4561" t="n"/>
    </row>
    <row r="1765">
      <c r="A1765" s="4561" t="n"/>
      <c r="B1765" s="4561" t="n"/>
      <c r="C1765" s="4561" t="n"/>
      <c r="D1765" s="4561" t="n"/>
      <c r="E1765" s="4561" t="n"/>
      <c r="F1765" s="4561" t="n"/>
    </row>
    <row r="1766">
      <c r="A1766" s="4561" t="n"/>
      <c r="B1766" s="4561" t="n"/>
      <c r="C1766" s="4561" t="n"/>
      <c r="D1766" s="4561" t="n"/>
      <c r="E1766" s="4561" t="n"/>
      <c r="F1766" s="4561" t="n"/>
    </row>
    <row r="1767">
      <c r="A1767" s="4561" t="n"/>
      <c r="B1767" s="4561" t="n"/>
      <c r="C1767" s="4561" t="n"/>
      <c r="D1767" s="4561" t="n"/>
      <c r="E1767" s="4561" t="n"/>
      <c r="F1767" s="4561" t="n"/>
    </row>
    <row r="1768">
      <c r="A1768" s="4561" t="n"/>
      <c r="B1768" s="4561" t="n"/>
      <c r="C1768" s="4561" t="n"/>
      <c r="D1768" s="4561" t="n"/>
      <c r="E1768" s="4561" t="n"/>
      <c r="F1768" s="4561" t="n"/>
    </row>
    <row r="1769">
      <c r="A1769" s="4561" t="n"/>
      <c r="B1769" s="4561" t="n"/>
      <c r="C1769" s="4561" t="n"/>
      <c r="D1769" s="4561" t="n"/>
      <c r="E1769" s="4561" t="n"/>
      <c r="F1769" s="4561" t="n"/>
    </row>
    <row r="1770">
      <c r="A1770" s="4561" t="n"/>
      <c r="B1770" s="4561" t="n"/>
      <c r="C1770" s="4561" t="n"/>
      <c r="D1770" s="4561" t="n"/>
      <c r="E1770" s="4561" t="n"/>
      <c r="F1770" s="4561" t="n"/>
    </row>
    <row r="1771">
      <c r="A1771" s="4561" t="n"/>
      <c r="B1771" s="4561" t="n"/>
      <c r="C1771" s="4561" t="n"/>
      <c r="D1771" s="4561" t="n"/>
      <c r="E1771" s="4561" t="n"/>
      <c r="F1771" s="4561" t="n"/>
    </row>
    <row r="1772">
      <c r="A1772" s="4561" t="n"/>
      <c r="B1772" s="4561" t="n"/>
      <c r="C1772" s="4561" t="n"/>
      <c r="D1772" s="4561" t="n"/>
      <c r="E1772" s="4561" t="n"/>
      <c r="F1772" s="4561" t="n"/>
    </row>
    <row r="1773">
      <c r="A1773" s="4561" t="n"/>
      <c r="B1773" s="4561" t="n"/>
      <c r="C1773" s="4561" t="n"/>
      <c r="D1773" s="4561" t="n"/>
      <c r="E1773" s="4561" t="n"/>
      <c r="F1773" s="4561" t="n"/>
    </row>
    <row r="1774">
      <c r="A1774" s="4561" t="n"/>
      <c r="B1774" s="4561" t="n"/>
      <c r="C1774" s="4561" t="n"/>
      <c r="D1774" s="4561" t="n"/>
      <c r="E1774" s="4561" t="n"/>
      <c r="F1774" s="4561" t="n"/>
    </row>
    <row r="1775">
      <c r="A1775" s="4561" t="n"/>
      <c r="B1775" s="4561" t="n"/>
      <c r="C1775" s="4561" t="n"/>
      <c r="D1775" s="4561" t="n"/>
      <c r="E1775" s="4561" t="n"/>
      <c r="F1775" s="4561" t="n"/>
    </row>
    <row r="1776">
      <c r="A1776" s="4561" t="n"/>
      <c r="B1776" s="4561" t="n"/>
      <c r="C1776" s="4561" t="n"/>
      <c r="D1776" s="4561" t="n"/>
      <c r="E1776" s="4561" t="n"/>
      <c r="F1776" s="4561" t="n"/>
    </row>
    <row r="1777">
      <c r="A1777" s="4561" t="n"/>
      <c r="B1777" s="4561" t="n"/>
      <c r="C1777" s="4561" t="n"/>
      <c r="D1777" s="4561" t="n"/>
      <c r="E1777" s="4561" t="n"/>
      <c r="F1777" s="4561" t="n"/>
    </row>
    <row r="1778">
      <c r="A1778" s="4561" t="n"/>
      <c r="B1778" s="4561" t="n"/>
      <c r="C1778" s="4561" t="n"/>
      <c r="D1778" s="4561" t="n"/>
      <c r="E1778" s="4561" t="n"/>
      <c r="F1778" s="4561" t="n"/>
    </row>
    <row r="1779">
      <c r="A1779" s="4561" t="n"/>
      <c r="B1779" s="4561" t="n"/>
      <c r="C1779" s="4561" t="n"/>
      <c r="D1779" s="4561" t="n"/>
      <c r="E1779" s="4561" t="n"/>
      <c r="F1779" s="4561" t="n"/>
    </row>
    <row r="1780">
      <c r="A1780" s="4561" t="n"/>
      <c r="B1780" s="4561" t="n"/>
      <c r="C1780" s="4561" t="n"/>
      <c r="D1780" s="4561" t="n"/>
      <c r="E1780" s="4561" t="n"/>
      <c r="F1780" s="4561" t="n"/>
    </row>
    <row r="1781">
      <c r="A1781" s="4561" t="n"/>
      <c r="B1781" s="4561" t="n"/>
      <c r="C1781" s="4561" t="n"/>
      <c r="D1781" s="4561" t="n"/>
      <c r="E1781" s="4561" t="n"/>
      <c r="F1781" s="4561" t="n"/>
    </row>
    <row r="1782">
      <c r="A1782" s="4561" t="n"/>
      <c r="B1782" s="4561" t="n"/>
      <c r="C1782" s="4561" t="n"/>
      <c r="D1782" s="4561" t="n"/>
      <c r="E1782" s="4561" t="n"/>
      <c r="F1782" s="4561" t="n"/>
    </row>
    <row r="1783">
      <c r="A1783" s="4561" t="n"/>
      <c r="B1783" s="4561" t="n"/>
      <c r="C1783" s="4561" t="n"/>
      <c r="D1783" s="4561" t="n"/>
      <c r="E1783" s="4561" t="n"/>
      <c r="F1783" s="4561" t="n"/>
    </row>
    <row r="1784">
      <c r="A1784" s="4561" t="n"/>
      <c r="B1784" s="4561" t="n"/>
      <c r="C1784" s="4561" t="n"/>
      <c r="D1784" s="4561" t="n"/>
      <c r="E1784" s="4561" t="n"/>
      <c r="F1784" s="4561" t="n"/>
    </row>
    <row r="1785">
      <c r="A1785" s="4561" t="n"/>
      <c r="B1785" s="4561" t="n"/>
      <c r="C1785" s="4561" t="n"/>
      <c r="D1785" s="4561" t="n"/>
      <c r="E1785" s="4561" t="n"/>
      <c r="F1785" s="4561" t="n"/>
    </row>
    <row r="1786">
      <c r="A1786" s="4561" t="n"/>
      <c r="B1786" s="4561" t="n"/>
      <c r="C1786" s="4561" t="n"/>
      <c r="D1786" s="4561" t="n"/>
      <c r="E1786" s="4561" t="n"/>
      <c r="F1786" s="4561" t="n"/>
    </row>
    <row r="1787">
      <c r="A1787" s="4561" t="n"/>
      <c r="B1787" s="4561" t="n"/>
      <c r="C1787" s="4561" t="n"/>
      <c r="D1787" s="4561" t="n"/>
      <c r="E1787" s="4561" t="n"/>
      <c r="F1787" s="4561" t="n"/>
    </row>
    <row r="1788">
      <c r="A1788" s="4561" t="n"/>
      <c r="B1788" s="4561" t="n"/>
      <c r="C1788" s="4561" t="n"/>
      <c r="D1788" s="4561" t="n"/>
      <c r="E1788" s="4561" t="n"/>
      <c r="F1788" s="4561" t="n"/>
    </row>
    <row r="1789">
      <c r="A1789" s="4561" t="n"/>
      <c r="B1789" s="4561" t="n"/>
      <c r="C1789" s="4561" t="n"/>
      <c r="D1789" s="4561" t="n"/>
      <c r="E1789" s="4561" t="n"/>
      <c r="F1789" s="4561" t="n"/>
    </row>
    <row r="1790">
      <c r="A1790" s="4561" t="n"/>
      <c r="B1790" s="4561" t="n"/>
      <c r="C1790" s="4561" t="n"/>
      <c r="D1790" s="4561" t="n"/>
      <c r="E1790" s="4561" t="n"/>
      <c r="F1790" s="4561" t="n"/>
    </row>
    <row r="1791">
      <c r="A1791" s="4561" t="n"/>
      <c r="B1791" s="4561" t="n"/>
      <c r="C1791" s="4561" t="n"/>
      <c r="D1791" s="4561" t="n"/>
      <c r="E1791" s="4561" t="n"/>
      <c r="F1791" s="4561" t="n"/>
    </row>
    <row r="1792">
      <c r="A1792" s="4561" t="n"/>
      <c r="B1792" s="4561" t="n"/>
      <c r="C1792" s="4561" t="n"/>
      <c r="D1792" s="4561" t="n"/>
      <c r="E1792" s="4561" t="n"/>
      <c r="F1792" s="4561" t="n"/>
    </row>
    <row r="1793">
      <c r="A1793" s="4561" t="n"/>
      <c r="B1793" s="4561" t="n"/>
      <c r="C1793" s="4561" t="n"/>
      <c r="D1793" s="4561" t="n"/>
      <c r="E1793" s="4561" t="n"/>
      <c r="F1793" s="4561" t="n"/>
    </row>
    <row r="1794">
      <c r="A1794" s="4561" t="n"/>
      <c r="B1794" s="4561" t="n"/>
      <c r="C1794" s="4561" t="n"/>
      <c r="D1794" s="4561" t="n"/>
      <c r="E1794" s="4561" t="n"/>
      <c r="F1794" s="4561" t="n"/>
    </row>
    <row r="1795">
      <c r="A1795" s="4561" t="n"/>
      <c r="B1795" s="4561" t="n"/>
      <c r="C1795" s="4561" t="n"/>
      <c r="D1795" s="4561" t="n"/>
      <c r="E1795" s="4561" t="n"/>
      <c r="F1795" s="4561" t="n"/>
    </row>
    <row r="1796">
      <c r="A1796" s="4561" t="n"/>
      <c r="B1796" s="4561" t="n"/>
      <c r="C1796" s="4561" t="n"/>
      <c r="D1796" s="4561" t="n"/>
      <c r="E1796" s="4561" t="n"/>
      <c r="F1796" s="4561" t="n"/>
    </row>
    <row r="1797">
      <c r="A1797" s="4561" t="n"/>
      <c r="B1797" s="4561" t="n"/>
      <c r="C1797" s="4561" t="n"/>
      <c r="D1797" s="4561" t="n"/>
      <c r="E1797" s="4561" t="n"/>
      <c r="F1797" s="4561" t="n"/>
    </row>
    <row r="1798">
      <c r="A1798" s="4561" t="n"/>
      <c r="B1798" s="4561" t="n"/>
      <c r="C1798" s="4561" t="n"/>
      <c r="D1798" s="4561" t="n"/>
      <c r="E1798" s="4561" t="n"/>
      <c r="F1798" s="4561" t="n"/>
    </row>
    <row r="1799">
      <c r="A1799" s="4561" t="n"/>
      <c r="B1799" s="4561" t="n"/>
      <c r="C1799" s="4561" t="n"/>
      <c r="D1799" s="4561" t="n"/>
      <c r="E1799" s="4561" t="n"/>
      <c r="F1799" s="4561" t="n"/>
    </row>
    <row r="1800">
      <c r="A1800" s="4561" t="n"/>
      <c r="B1800" s="4561" t="n"/>
      <c r="C1800" s="4561" t="n"/>
      <c r="D1800" s="4561" t="n"/>
      <c r="E1800" s="4561" t="n"/>
      <c r="F1800" s="4561" t="n"/>
    </row>
    <row r="1801">
      <c r="A1801" s="4561" t="n"/>
      <c r="B1801" s="4561" t="n"/>
      <c r="C1801" s="4561" t="n"/>
      <c r="D1801" s="4561" t="n"/>
      <c r="E1801" s="4561" t="n"/>
      <c r="F1801" s="4561" t="n"/>
    </row>
    <row r="1802">
      <c r="A1802" s="4561" t="n"/>
      <c r="B1802" s="4561" t="n"/>
      <c r="C1802" s="4561" t="n"/>
      <c r="D1802" s="4561" t="n"/>
      <c r="E1802" s="4561" t="n"/>
      <c r="F1802" s="4561" t="n"/>
    </row>
    <row r="1803">
      <c r="A1803" s="4561" t="n"/>
      <c r="B1803" s="4561" t="n"/>
      <c r="C1803" s="4561" t="n"/>
      <c r="D1803" s="4561" t="n"/>
      <c r="E1803" s="4561" t="n"/>
      <c r="F1803" s="4561" t="n"/>
    </row>
    <row r="1804">
      <c r="A1804" s="4561" t="n"/>
      <c r="B1804" s="4561" t="n"/>
      <c r="C1804" s="4561" t="n"/>
      <c r="D1804" s="4561" t="n"/>
      <c r="E1804" s="4561" t="n"/>
      <c r="F1804" s="4561" t="n"/>
    </row>
    <row r="1805">
      <c r="A1805" s="4561" t="n"/>
      <c r="B1805" s="4561" t="n"/>
      <c r="C1805" s="4561" t="n"/>
      <c r="D1805" s="4561" t="n"/>
      <c r="E1805" s="4561" t="n"/>
      <c r="F1805" s="4561" t="n"/>
    </row>
    <row r="1806">
      <c r="A1806" s="4561" t="n"/>
      <c r="B1806" s="4561" t="n"/>
      <c r="C1806" s="4561" t="n"/>
      <c r="D1806" s="4561" t="n"/>
      <c r="E1806" s="4561" t="n"/>
      <c r="F1806" s="4561" t="n"/>
    </row>
    <row r="1807">
      <c r="A1807" s="4561" t="n"/>
      <c r="B1807" s="4561" t="n"/>
      <c r="C1807" s="4561" t="n"/>
      <c r="D1807" s="4561" t="n"/>
      <c r="E1807" s="4561" t="n"/>
      <c r="F1807" s="4561" t="n"/>
    </row>
    <row r="1808">
      <c r="A1808" s="4561" t="n"/>
      <c r="B1808" s="4561" t="n"/>
      <c r="C1808" s="4561" t="n"/>
      <c r="D1808" s="4561" t="n"/>
      <c r="E1808" s="4561" t="n"/>
      <c r="F1808" s="4561" t="n"/>
    </row>
    <row r="1809">
      <c r="A1809" s="4561" t="n"/>
      <c r="B1809" s="4561" t="n"/>
      <c r="C1809" s="4561" t="n"/>
      <c r="D1809" s="4561" t="n"/>
      <c r="E1809" s="4561" t="n"/>
      <c r="F1809" s="4561" t="n"/>
    </row>
    <row r="1810">
      <c r="A1810" s="4561" t="n"/>
      <c r="B1810" s="4561" t="n"/>
      <c r="C1810" s="4561" t="n"/>
      <c r="D1810" s="4561" t="n"/>
      <c r="E1810" s="4561" t="n"/>
      <c r="F1810" s="4561" t="n"/>
    </row>
    <row r="1811">
      <c r="A1811" s="4561" t="n"/>
      <c r="B1811" s="4561" t="n"/>
      <c r="C1811" s="4561" t="n"/>
      <c r="D1811" s="4561" t="n"/>
      <c r="E1811" s="4561" t="n"/>
      <c r="F1811" s="4561" t="n"/>
    </row>
    <row r="1812">
      <c r="A1812" s="4561" t="n"/>
      <c r="B1812" s="4561" t="n"/>
      <c r="C1812" s="4561" t="n"/>
      <c r="D1812" s="4561" t="n"/>
      <c r="E1812" s="4561" t="n"/>
      <c r="F1812" s="4561" t="n"/>
    </row>
    <row r="1813">
      <c r="A1813" s="4561" t="n"/>
      <c r="B1813" s="4561" t="n"/>
      <c r="C1813" s="4561" t="n"/>
      <c r="D1813" s="4561" t="n"/>
      <c r="E1813" s="4561" t="n"/>
      <c r="F1813" s="4561" t="n"/>
    </row>
    <row r="1814">
      <c r="A1814" s="4561" t="n"/>
      <c r="B1814" s="4561" t="n"/>
      <c r="C1814" s="4561" t="n"/>
      <c r="D1814" s="4561" t="n"/>
      <c r="E1814" s="4561" t="n"/>
      <c r="F1814" s="4561" t="n"/>
    </row>
    <row r="1815">
      <c r="A1815" s="4561" t="n"/>
      <c r="B1815" s="4561" t="n"/>
      <c r="C1815" s="4561" t="n"/>
      <c r="D1815" s="4561" t="n"/>
      <c r="E1815" s="4561" t="n"/>
      <c r="F1815" s="4561" t="n"/>
    </row>
    <row r="1816">
      <c r="A1816" s="4561" t="n"/>
      <c r="B1816" s="4561" t="n"/>
      <c r="C1816" s="4561" t="n"/>
      <c r="D1816" s="4561" t="n"/>
      <c r="E1816" s="4561" t="n"/>
      <c r="F1816" s="4561" t="n"/>
    </row>
    <row r="1817">
      <c r="A1817" s="4561" t="n"/>
      <c r="B1817" s="4561" t="n"/>
      <c r="C1817" s="4561" t="n"/>
      <c r="D1817" s="4561" t="n"/>
      <c r="E1817" s="4561" t="n"/>
      <c r="F1817" s="4561" t="n"/>
    </row>
    <row r="1818">
      <c r="A1818" s="4561" t="n"/>
      <c r="B1818" s="4561" t="n"/>
      <c r="C1818" s="4561" t="n"/>
      <c r="D1818" s="4561" t="n"/>
      <c r="E1818" s="4561" t="n"/>
      <c r="F1818" s="4561" t="n"/>
    </row>
    <row r="1819">
      <c r="A1819" s="4561" t="n"/>
      <c r="B1819" s="4561" t="n"/>
      <c r="C1819" s="4561" t="n"/>
      <c r="D1819" s="4561" t="n"/>
      <c r="E1819" s="4561" t="n"/>
      <c r="F1819" s="4561" t="n"/>
    </row>
    <row r="1820">
      <c r="A1820" s="4561" t="n"/>
      <c r="B1820" s="4561" t="n"/>
      <c r="C1820" s="4561" t="n"/>
      <c r="D1820" s="4561" t="n"/>
      <c r="E1820" s="4561" t="n"/>
      <c r="F1820" s="4561" t="n"/>
    </row>
    <row r="1821">
      <c r="A1821" s="4561" t="n"/>
      <c r="B1821" s="4561" t="n"/>
      <c r="C1821" s="4561" t="n"/>
      <c r="D1821" s="4561" t="n"/>
      <c r="E1821" s="4561" t="n"/>
      <c r="F1821" s="4561" t="n"/>
    </row>
    <row r="1822">
      <c r="A1822" s="4561" t="n"/>
      <c r="B1822" s="4561" t="n"/>
      <c r="C1822" s="4561" t="n"/>
      <c r="D1822" s="4561" t="n"/>
      <c r="E1822" s="4561" t="n"/>
      <c r="F1822" s="4561" t="n"/>
    </row>
    <row r="1823">
      <c r="A1823" s="4561" t="n"/>
      <c r="B1823" s="4561" t="n"/>
      <c r="C1823" s="4561" t="n"/>
      <c r="D1823" s="4561" t="n"/>
      <c r="E1823" s="4561" t="n"/>
      <c r="F1823" s="4561" t="n"/>
    </row>
    <row r="1824">
      <c r="A1824" s="4561" t="n"/>
      <c r="B1824" s="4561" t="n"/>
      <c r="C1824" s="4561" t="n"/>
      <c r="D1824" s="4561" t="n"/>
      <c r="E1824" s="4561" t="n"/>
      <c r="F1824" s="4561" t="n"/>
    </row>
    <row r="1825">
      <c r="A1825" s="4561" t="n"/>
      <c r="B1825" s="4561" t="n"/>
      <c r="C1825" s="4561" t="n"/>
      <c r="D1825" s="4561" t="n"/>
      <c r="E1825" s="4561" t="n"/>
      <c r="F1825" s="4561" t="n"/>
    </row>
    <row r="1826">
      <c r="A1826" s="4561" t="n"/>
      <c r="B1826" s="4561" t="n"/>
      <c r="C1826" s="4561" t="n"/>
      <c r="D1826" s="4561" t="n"/>
      <c r="E1826" s="4561" t="n"/>
      <c r="F1826" s="4561" t="n"/>
    </row>
    <row r="1827">
      <c r="A1827" s="4561" t="n"/>
      <c r="B1827" s="4561" t="n"/>
      <c r="C1827" s="4561" t="n"/>
      <c r="D1827" s="4561" t="n"/>
      <c r="E1827" s="4561" t="n"/>
      <c r="F1827" s="4561" t="n"/>
    </row>
    <row r="1828">
      <c r="A1828" s="4561" t="n"/>
      <c r="B1828" s="4561" t="n"/>
      <c r="C1828" s="4561" t="n"/>
      <c r="D1828" s="4561" t="n"/>
      <c r="E1828" s="4561" t="n"/>
      <c r="F1828" s="4561" t="n"/>
    </row>
    <row r="1829">
      <c r="A1829" s="4561" t="n"/>
      <c r="B1829" s="4561" t="n"/>
      <c r="C1829" s="4561" t="n"/>
      <c r="D1829" s="4561" t="n"/>
      <c r="E1829" s="4561" t="n"/>
      <c r="F1829" s="4561" t="n"/>
    </row>
    <row r="1830">
      <c r="A1830" s="4561" t="n"/>
      <c r="B1830" s="4561" t="n"/>
      <c r="C1830" s="4561" t="n"/>
      <c r="D1830" s="4561" t="n"/>
      <c r="E1830" s="4561" t="n"/>
      <c r="F1830" s="4561" t="n"/>
    </row>
    <row r="1831">
      <c r="A1831" s="4561" t="n"/>
      <c r="B1831" s="4561" t="n"/>
      <c r="C1831" s="4561" t="n"/>
      <c r="D1831" s="4561" t="n"/>
      <c r="E1831" s="4561" t="n"/>
      <c r="F1831" s="4561" t="n"/>
    </row>
    <row r="1832">
      <c r="A1832" s="4561" t="n"/>
      <c r="B1832" s="4561" t="n"/>
      <c r="C1832" s="4561" t="n"/>
      <c r="D1832" s="4561" t="n"/>
      <c r="E1832" s="4561" t="n"/>
      <c r="F1832" s="4561" t="n"/>
    </row>
    <row r="1833">
      <c r="A1833" s="4561" t="n"/>
      <c r="B1833" s="4561" t="n"/>
      <c r="C1833" s="4561" t="n"/>
      <c r="D1833" s="4561" t="n"/>
      <c r="E1833" s="4561" t="n"/>
      <c r="F1833" s="4561" t="n"/>
    </row>
    <row r="1834">
      <c r="A1834" s="4561" t="n"/>
      <c r="B1834" s="4561" t="n"/>
      <c r="C1834" s="4561" t="n"/>
      <c r="D1834" s="4561" t="n"/>
      <c r="E1834" s="4561" t="n"/>
      <c r="F1834" s="4561" t="n"/>
    </row>
    <row r="1835">
      <c r="A1835" s="4561" t="n"/>
      <c r="B1835" s="4561" t="n"/>
      <c r="C1835" s="4561" t="n"/>
      <c r="D1835" s="4561" t="n"/>
      <c r="E1835" s="4561" t="n"/>
      <c r="F1835" s="4561" t="n"/>
    </row>
    <row r="1836">
      <c r="A1836" s="4561" t="n"/>
      <c r="B1836" s="4561" t="n"/>
      <c r="C1836" s="4561" t="n"/>
      <c r="D1836" s="4561" t="n"/>
      <c r="E1836" s="4561" t="n"/>
      <c r="F1836" s="4561" t="n"/>
    </row>
    <row r="1837">
      <c r="A1837" s="4561" t="n"/>
      <c r="B1837" s="4561" t="n"/>
      <c r="C1837" s="4561" t="n"/>
      <c r="D1837" s="4561" t="n"/>
      <c r="E1837" s="4561" t="n"/>
      <c r="F1837" s="4561" t="n"/>
    </row>
    <row r="1838">
      <c r="A1838" s="4561" t="n"/>
      <c r="B1838" s="4561" t="n"/>
      <c r="C1838" s="4561" t="n"/>
      <c r="D1838" s="4561" t="n"/>
      <c r="E1838" s="4561" t="n"/>
      <c r="F1838" s="4561" t="n"/>
    </row>
    <row r="1839">
      <c r="A1839" s="4561" t="n"/>
      <c r="B1839" s="4561" t="n"/>
      <c r="C1839" s="4561" t="n"/>
      <c r="D1839" s="4561" t="n"/>
      <c r="E1839" s="4561" t="n"/>
      <c r="F1839" s="4561" t="n"/>
    </row>
    <row r="1840">
      <c r="A1840" s="4561" t="n"/>
      <c r="B1840" s="4561" t="n"/>
      <c r="C1840" s="4561" t="n"/>
      <c r="D1840" s="4561" t="n"/>
      <c r="E1840" s="4561" t="n"/>
      <c r="F1840" s="4561" t="n"/>
    </row>
    <row r="1841">
      <c r="A1841" s="4561" t="n"/>
      <c r="B1841" s="4561" t="n"/>
      <c r="C1841" s="4561" t="n"/>
      <c r="D1841" s="4561" t="n"/>
      <c r="E1841" s="4561" t="n"/>
      <c r="F1841" s="4561" t="n"/>
    </row>
    <row r="1842">
      <c r="A1842" s="4561" t="n"/>
      <c r="B1842" s="4561" t="n"/>
      <c r="C1842" s="4561" t="n"/>
      <c r="D1842" s="4561" t="n"/>
      <c r="E1842" s="4561" t="n"/>
      <c r="F1842" s="4561" t="n"/>
    </row>
    <row r="1843">
      <c r="A1843" s="4561" t="n"/>
      <c r="B1843" s="4561" t="n"/>
      <c r="C1843" s="4561" t="n"/>
      <c r="D1843" s="4561" t="n"/>
      <c r="E1843" s="4561" t="n"/>
      <c r="F1843" s="4561" t="n"/>
    </row>
    <row r="1844">
      <c r="A1844" s="4561" t="n"/>
      <c r="B1844" s="4561" t="n"/>
      <c r="C1844" s="4561" t="n"/>
      <c r="D1844" s="4561" t="n"/>
      <c r="E1844" s="4561" t="n"/>
      <c r="F1844" s="4561" t="n"/>
    </row>
    <row r="1845">
      <c r="A1845" s="4561" t="n"/>
      <c r="B1845" s="4561" t="n"/>
      <c r="C1845" s="4561" t="n"/>
      <c r="D1845" s="4561" t="n"/>
      <c r="E1845" s="4561" t="n"/>
      <c r="F1845" s="4561" t="n"/>
    </row>
    <row r="1846">
      <c r="A1846" s="4561" t="n"/>
      <c r="B1846" s="4561" t="n"/>
      <c r="C1846" s="4561" t="n"/>
      <c r="D1846" s="4561" t="n"/>
      <c r="E1846" s="4561" t="n"/>
      <c r="F1846" s="4561" t="n"/>
    </row>
    <row r="1847">
      <c r="A1847" s="4561" t="n"/>
      <c r="B1847" s="4561" t="n"/>
      <c r="C1847" s="4561" t="n"/>
      <c r="D1847" s="4561" t="n"/>
      <c r="E1847" s="4561" t="n"/>
      <c r="F1847" s="4561" t="n"/>
    </row>
    <row r="1848">
      <c r="A1848" s="4561" t="n"/>
      <c r="B1848" s="4561" t="n"/>
      <c r="C1848" s="4561" t="n"/>
      <c r="D1848" s="4561" t="n"/>
      <c r="E1848" s="4561" t="n"/>
      <c r="F1848" s="4561" t="n"/>
    </row>
    <row r="1849">
      <c r="A1849" s="4561" t="n"/>
      <c r="B1849" s="4561" t="n"/>
      <c r="C1849" s="4561" t="n"/>
      <c r="D1849" s="4561" t="n"/>
      <c r="E1849" s="4561" t="n"/>
      <c r="F1849" s="4561" t="n"/>
    </row>
    <row r="1850">
      <c r="A1850" s="4561" t="n"/>
      <c r="B1850" s="4561" t="n"/>
      <c r="C1850" s="4561" t="n"/>
      <c r="D1850" s="4561" t="n"/>
      <c r="E1850" s="4561" t="n"/>
      <c r="F1850" s="4561" t="n"/>
    </row>
    <row r="1851">
      <c r="A1851" s="4561" t="n"/>
      <c r="B1851" s="4561" t="n"/>
      <c r="C1851" s="4561" t="n"/>
      <c r="D1851" s="4561" t="n"/>
      <c r="E1851" s="4561" t="n"/>
      <c r="F1851" s="4561" t="n"/>
    </row>
    <row r="1852">
      <c r="A1852" s="4561" t="n"/>
      <c r="B1852" s="4561" t="n"/>
      <c r="C1852" s="4561" t="n"/>
      <c r="D1852" s="4561" t="n"/>
      <c r="E1852" s="4561" t="n"/>
      <c r="F1852" s="4561" t="n"/>
    </row>
    <row r="1853">
      <c r="A1853" s="4561" t="n"/>
      <c r="B1853" s="4561" t="n"/>
      <c r="C1853" s="4561" t="n"/>
      <c r="D1853" s="4561" t="n"/>
      <c r="E1853" s="4561" t="n"/>
      <c r="F1853" s="4561" t="n"/>
    </row>
    <row r="1854">
      <c r="A1854" s="4561" t="n"/>
      <c r="B1854" s="4561" t="n"/>
      <c r="C1854" s="4561" t="n"/>
      <c r="D1854" s="4561" t="n"/>
      <c r="E1854" s="4561" t="n"/>
      <c r="F1854" s="4561" t="n"/>
    </row>
    <row r="1855">
      <c r="A1855" s="4561" t="n"/>
      <c r="B1855" s="4561" t="n"/>
      <c r="C1855" s="4561" t="n"/>
      <c r="D1855" s="4561" t="n"/>
      <c r="E1855" s="4561" t="n"/>
      <c r="F1855" s="4561" t="n"/>
    </row>
    <row r="1856">
      <c r="A1856" s="4561" t="n"/>
      <c r="B1856" s="4561" t="n"/>
      <c r="C1856" s="4561" t="n"/>
      <c r="D1856" s="4561" t="n"/>
      <c r="E1856" s="4561" t="n"/>
      <c r="F1856" s="4561" t="n"/>
    </row>
    <row r="1857">
      <c r="A1857" s="4561" t="n"/>
      <c r="B1857" s="4561" t="n"/>
      <c r="C1857" s="4561" t="n"/>
      <c r="D1857" s="4561" t="n"/>
      <c r="E1857" s="4561" t="n"/>
      <c r="F1857" s="4561" t="n"/>
    </row>
    <row r="1858">
      <c r="A1858" s="4561" t="n"/>
      <c r="B1858" s="4561" t="n"/>
      <c r="C1858" s="4561" t="n"/>
      <c r="D1858" s="4561" t="n"/>
      <c r="E1858" s="4561" t="n"/>
      <c r="F1858" s="4561" t="n"/>
    </row>
    <row r="1859">
      <c r="A1859" s="4561" t="n"/>
      <c r="B1859" s="4561" t="n"/>
      <c r="C1859" s="4561" t="n"/>
      <c r="D1859" s="4561" t="n"/>
      <c r="E1859" s="4561" t="n"/>
      <c r="F1859" s="4561" t="n"/>
    </row>
    <row r="1860">
      <c r="A1860" s="4561" t="n"/>
      <c r="B1860" s="4561" t="n"/>
      <c r="C1860" s="4561" t="n"/>
      <c r="D1860" s="4561" t="n"/>
      <c r="E1860" s="4561" t="n"/>
      <c r="F1860" s="4561" t="n"/>
    </row>
    <row r="1861">
      <c r="A1861" s="4561" t="n"/>
      <c r="B1861" s="4561" t="n"/>
      <c r="C1861" s="4561" t="n"/>
      <c r="D1861" s="4561" t="n"/>
      <c r="E1861" s="4561" t="n"/>
      <c r="F1861" s="4561" t="n"/>
    </row>
    <row r="1862">
      <c r="A1862" s="4561" t="n"/>
      <c r="B1862" s="4561" t="n"/>
      <c r="C1862" s="4561" t="n"/>
      <c r="D1862" s="4561" t="n"/>
      <c r="E1862" s="4561" t="n"/>
      <c r="F1862" s="4561" t="n"/>
    </row>
    <row r="1863">
      <c r="A1863" s="4561" t="n"/>
      <c r="B1863" s="4561" t="n"/>
      <c r="C1863" s="4561" t="n"/>
      <c r="D1863" s="4561" t="n"/>
      <c r="E1863" s="4561" t="n"/>
      <c r="F1863" s="4561" t="n"/>
    </row>
    <row r="1864">
      <c r="A1864" s="4561" t="n"/>
      <c r="B1864" s="4561" t="n"/>
      <c r="C1864" s="4561" t="n"/>
      <c r="D1864" s="4561" t="n"/>
      <c r="E1864" s="4561" t="n"/>
      <c r="F1864" s="4561" t="n"/>
    </row>
    <row r="1865">
      <c r="A1865" s="4561" t="n"/>
      <c r="B1865" s="4561" t="n"/>
      <c r="C1865" s="4561" t="n"/>
      <c r="D1865" s="4561" t="n"/>
      <c r="E1865" s="4561" t="n"/>
      <c r="F1865" s="4561" t="n"/>
    </row>
    <row r="1866">
      <c r="A1866" s="4561" t="n"/>
      <c r="B1866" s="4561" t="n"/>
      <c r="C1866" s="4561" t="n"/>
      <c r="D1866" s="4561" t="n"/>
      <c r="E1866" s="4561" t="n"/>
      <c r="F1866" s="4561" t="n"/>
    </row>
    <row r="1867">
      <c r="A1867" s="4561" t="n"/>
      <c r="B1867" s="4561" t="n"/>
      <c r="C1867" s="4561" t="n"/>
      <c r="D1867" s="4561" t="n"/>
      <c r="E1867" s="4561" t="n"/>
      <c r="F1867" s="4561" t="n"/>
    </row>
    <row r="1868">
      <c r="A1868" s="4561" t="n"/>
      <c r="B1868" s="4561" t="n"/>
      <c r="C1868" s="4561" t="n"/>
      <c r="D1868" s="4561" t="n"/>
      <c r="E1868" s="4561" t="n"/>
      <c r="F1868" s="4561" t="n"/>
    </row>
    <row r="1869">
      <c r="A1869" s="4561" t="n"/>
      <c r="B1869" s="4561" t="n"/>
      <c r="C1869" s="4561" t="n"/>
      <c r="D1869" s="4561" t="n"/>
      <c r="E1869" s="4561" t="n"/>
      <c r="F1869" s="4561" t="n"/>
    </row>
    <row r="1870">
      <c r="A1870" s="4561" t="n"/>
      <c r="B1870" s="4561" t="n"/>
      <c r="C1870" s="4561" t="n"/>
      <c r="D1870" s="4561" t="n"/>
      <c r="E1870" s="4561" t="n"/>
      <c r="F1870" s="4561" t="n"/>
    </row>
    <row r="1871">
      <c r="A1871" s="4561" t="n"/>
      <c r="B1871" s="4561" t="n"/>
      <c r="C1871" s="4561" t="n"/>
      <c r="D1871" s="4561" t="n"/>
      <c r="E1871" s="4561" t="n"/>
      <c r="F1871" s="4561" t="n"/>
    </row>
    <row r="1872">
      <c r="A1872" s="4561" t="n"/>
      <c r="B1872" s="4561" t="n"/>
      <c r="C1872" s="4561" t="n"/>
      <c r="D1872" s="4561" t="n"/>
      <c r="E1872" s="4561" t="n"/>
      <c r="F1872" s="4561" t="n"/>
    </row>
    <row r="1873">
      <c r="A1873" s="4561" t="n"/>
      <c r="B1873" s="4561" t="n"/>
      <c r="C1873" s="4561" t="n"/>
      <c r="D1873" s="4561" t="n"/>
      <c r="E1873" s="4561" t="n"/>
      <c r="F1873" s="4561" t="n"/>
    </row>
    <row r="1874">
      <c r="A1874" s="4561" t="n"/>
      <c r="B1874" s="4561" t="n"/>
      <c r="C1874" s="4561" t="n"/>
      <c r="D1874" s="4561" t="n"/>
      <c r="E1874" s="4561" t="n"/>
      <c r="F1874" s="4561" t="n"/>
    </row>
    <row r="1875">
      <c r="A1875" s="4561" t="n"/>
      <c r="B1875" s="4561" t="n"/>
      <c r="C1875" s="4561" t="n"/>
      <c r="D1875" s="4561" t="n"/>
      <c r="E1875" s="4561" t="n"/>
      <c r="F1875" s="4561" t="n"/>
    </row>
    <row r="1876">
      <c r="A1876" s="4561" t="n"/>
      <c r="B1876" s="4561" t="n"/>
      <c r="C1876" s="4561" t="n"/>
      <c r="D1876" s="4561" t="n"/>
      <c r="E1876" s="4561" t="n"/>
      <c r="F1876" s="4561" t="n"/>
    </row>
    <row r="1877">
      <c r="A1877" s="4561" t="n"/>
      <c r="B1877" s="4561" t="n"/>
      <c r="C1877" s="4561" t="n"/>
      <c r="D1877" s="4561" t="n"/>
      <c r="E1877" s="4561" t="n"/>
      <c r="F1877" s="4561" t="n"/>
    </row>
    <row r="1878">
      <c r="A1878" s="4561" t="n"/>
      <c r="B1878" s="4561" t="n"/>
      <c r="C1878" s="4561" t="n"/>
      <c r="D1878" s="4561" t="n"/>
      <c r="E1878" s="4561" t="n"/>
      <c r="F1878" s="4561" t="n"/>
    </row>
    <row r="1879">
      <c r="A1879" s="4561" t="n"/>
      <c r="B1879" s="4561" t="n"/>
      <c r="C1879" s="4561" t="n"/>
      <c r="D1879" s="4561" t="n"/>
      <c r="E1879" s="4561" t="n"/>
      <c r="F1879" s="4561" t="n"/>
    </row>
    <row r="1880">
      <c r="A1880" s="4561" t="n"/>
      <c r="B1880" s="4561" t="n"/>
      <c r="C1880" s="4561" t="n"/>
      <c r="D1880" s="4561" t="n"/>
      <c r="E1880" s="4561" t="n"/>
      <c r="F1880" s="4561" t="n"/>
    </row>
    <row r="1881">
      <c r="A1881" s="4561" t="n"/>
      <c r="B1881" s="4561" t="n"/>
      <c r="C1881" s="4561" t="n"/>
      <c r="D1881" s="4561" t="n"/>
      <c r="E1881" s="4561" t="n"/>
      <c r="F1881" s="4561" t="n"/>
    </row>
    <row r="1882">
      <c r="A1882" s="4561" t="n"/>
      <c r="B1882" s="4561" t="n"/>
      <c r="C1882" s="4561" t="n"/>
      <c r="D1882" s="4561" t="n"/>
      <c r="E1882" s="4561" t="n"/>
      <c r="F1882" s="4561" t="n"/>
    </row>
    <row r="1883">
      <c r="A1883" s="4561" t="n"/>
      <c r="B1883" s="4561" t="n"/>
      <c r="C1883" s="4561" t="n"/>
      <c r="D1883" s="4561" t="n"/>
      <c r="E1883" s="4561" t="n"/>
      <c r="F1883" s="4561" t="n"/>
    </row>
    <row r="1884">
      <c r="A1884" s="4561" t="n"/>
      <c r="B1884" s="4561" t="n"/>
      <c r="C1884" s="4561" t="n"/>
      <c r="D1884" s="4561" t="n"/>
      <c r="E1884" s="4561" t="n"/>
      <c r="F1884" s="4561" t="n"/>
    </row>
    <row r="1885">
      <c r="A1885" s="4561" t="n"/>
      <c r="B1885" s="4561" t="n"/>
      <c r="C1885" s="4561" t="n"/>
      <c r="D1885" s="4561" t="n"/>
      <c r="E1885" s="4561" t="n"/>
      <c r="F1885" s="4561" t="n"/>
    </row>
    <row r="1886">
      <c r="A1886" s="4561" t="n"/>
      <c r="B1886" s="4561" t="n"/>
      <c r="C1886" s="4561" t="n"/>
      <c r="D1886" s="4561" t="n"/>
      <c r="E1886" s="4561" t="n"/>
      <c r="F1886" s="4561" t="n"/>
    </row>
    <row r="1887">
      <c r="A1887" s="4561" t="n"/>
      <c r="B1887" s="4561" t="n"/>
      <c r="C1887" s="4561" t="n"/>
      <c r="D1887" s="4561" t="n"/>
      <c r="E1887" s="4561" t="n"/>
      <c r="F1887" s="4561" t="n"/>
    </row>
    <row r="1888">
      <c r="A1888" s="4561" t="n"/>
      <c r="B1888" s="4561" t="n"/>
      <c r="C1888" s="4561" t="n"/>
      <c r="D1888" s="4561" t="n"/>
      <c r="E1888" s="4561" t="n"/>
      <c r="F1888" s="4561" t="n"/>
    </row>
    <row r="1889">
      <c r="A1889" s="4561" t="n"/>
      <c r="B1889" s="4561" t="n"/>
      <c r="C1889" s="4561" t="n"/>
      <c r="D1889" s="4561" t="n"/>
      <c r="E1889" s="4561" t="n"/>
      <c r="F1889" s="4561" t="n"/>
    </row>
    <row r="1890">
      <c r="A1890" s="4561" t="n"/>
      <c r="B1890" s="4561" t="n"/>
      <c r="C1890" s="4561" t="n"/>
      <c r="D1890" s="4561" t="n"/>
      <c r="E1890" s="4561" t="n"/>
      <c r="F1890" s="4561" t="n"/>
    </row>
    <row r="1891">
      <c r="A1891" s="4561" t="n"/>
      <c r="B1891" s="4561" t="n"/>
      <c r="C1891" s="4561" t="n"/>
      <c r="D1891" s="4561" t="n"/>
      <c r="E1891" s="4561" t="n"/>
      <c r="F1891" s="4561" t="n"/>
    </row>
    <row r="1892">
      <c r="A1892" s="4561" t="n"/>
      <c r="B1892" s="4561" t="n"/>
      <c r="C1892" s="4561" t="n"/>
      <c r="D1892" s="4561" t="n"/>
      <c r="E1892" s="4561" t="n"/>
      <c r="F1892" s="4561" t="n"/>
    </row>
    <row r="1893">
      <c r="A1893" s="4561" t="n"/>
      <c r="B1893" s="4561" t="n"/>
      <c r="C1893" s="4561" t="n"/>
      <c r="D1893" s="4561" t="n"/>
      <c r="E1893" s="4561" t="n"/>
      <c r="F1893" s="4561" t="n"/>
    </row>
    <row r="1894">
      <c r="A1894" s="4561" t="n"/>
      <c r="B1894" s="4561" t="n"/>
      <c r="C1894" s="4561" t="n"/>
      <c r="D1894" s="4561" t="n"/>
      <c r="E1894" s="4561" t="n"/>
      <c r="F1894" s="4561" t="n"/>
    </row>
    <row r="1895">
      <c r="A1895" s="4561" t="n"/>
      <c r="B1895" s="4561" t="n"/>
      <c r="C1895" s="4561" t="n"/>
      <c r="D1895" s="4561" t="n"/>
      <c r="E1895" s="4561" t="n"/>
      <c r="F1895" s="4561" t="n"/>
    </row>
    <row r="1896">
      <c r="A1896" s="4561" t="n"/>
      <c r="B1896" s="4561" t="n"/>
      <c r="C1896" s="4561" t="n"/>
      <c r="D1896" s="4561" t="n"/>
      <c r="E1896" s="4561" t="n"/>
      <c r="F1896" s="4561" t="n"/>
    </row>
    <row r="1897">
      <c r="A1897" s="4561" t="n"/>
      <c r="B1897" s="4561" t="n"/>
      <c r="C1897" s="4561" t="n"/>
      <c r="D1897" s="4561" t="n"/>
      <c r="E1897" s="4561" t="n"/>
      <c r="F1897" s="4561" t="n"/>
    </row>
    <row r="1898">
      <c r="A1898" s="4561" t="n"/>
      <c r="B1898" s="4561" t="n"/>
      <c r="C1898" s="4561" t="n"/>
      <c r="D1898" s="4561" t="n"/>
      <c r="E1898" s="4561" t="n"/>
      <c r="F1898" s="4561" t="n"/>
    </row>
    <row r="1899">
      <c r="A1899" s="4561" t="n"/>
      <c r="B1899" s="4561" t="n"/>
      <c r="C1899" s="4561" t="n"/>
      <c r="D1899" s="4561" t="n"/>
      <c r="E1899" s="4561" t="n"/>
      <c r="F1899" s="4561" t="n"/>
    </row>
    <row r="1900">
      <c r="A1900" s="4561" t="n"/>
      <c r="B1900" s="4561" t="n"/>
      <c r="C1900" s="4561" t="n"/>
      <c r="D1900" s="4561" t="n"/>
      <c r="E1900" s="4561" t="n"/>
      <c r="F1900" s="4561" t="n"/>
    </row>
    <row r="1901">
      <c r="A1901" s="4561" t="n"/>
      <c r="B1901" s="4561" t="n"/>
      <c r="C1901" s="4561" t="n"/>
      <c r="D1901" s="4561" t="n"/>
      <c r="E1901" s="4561" t="n"/>
      <c r="F1901" s="4561" t="n"/>
    </row>
    <row r="1902">
      <c r="A1902" s="4561" t="n"/>
      <c r="B1902" s="4561" t="n"/>
      <c r="C1902" s="4561" t="n"/>
      <c r="D1902" s="4561" t="n"/>
      <c r="E1902" s="4561" t="n"/>
      <c r="F1902" s="4561" t="n"/>
    </row>
    <row r="1903">
      <c r="A1903" s="4561" t="n"/>
      <c r="B1903" s="4561" t="n"/>
      <c r="C1903" s="4561" t="n"/>
      <c r="D1903" s="4561" t="n"/>
      <c r="E1903" s="4561" t="n"/>
      <c r="F1903" s="4561" t="n"/>
    </row>
    <row r="1904">
      <c r="A1904" s="4561" t="n"/>
      <c r="B1904" s="4561" t="n"/>
      <c r="C1904" s="4561" t="n"/>
      <c r="D1904" s="4561" t="n"/>
      <c r="E1904" s="4561" t="n"/>
      <c r="F1904" s="4561" t="n"/>
    </row>
    <row r="1905">
      <c r="A1905" s="4561" t="n"/>
      <c r="B1905" s="4561" t="n"/>
      <c r="C1905" s="4561" t="n"/>
      <c r="D1905" s="4561" t="n"/>
      <c r="E1905" s="4561" t="n"/>
      <c r="F1905" s="4561" t="n"/>
    </row>
    <row r="1906">
      <c r="A1906" s="4561" t="n"/>
      <c r="B1906" s="4561" t="n"/>
      <c r="C1906" s="4561" t="n"/>
      <c r="D1906" s="4561" t="n"/>
      <c r="E1906" s="4561" t="n"/>
      <c r="F1906" s="4561" t="n"/>
    </row>
    <row r="1907">
      <c r="A1907" s="4561" t="n"/>
      <c r="B1907" s="4561" t="n"/>
      <c r="C1907" s="4561" t="n"/>
      <c r="D1907" s="4561" t="n"/>
      <c r="E1907" s="4561" t="n"/>
      <c r="F1907" s="4561" t="n"/>
    </row>
    <row r="1908">
      <c r="A1908" s="4561" t="n"/>
      <c r="B1908" s="4561" t="n"/>
      <c r="C1908" s="4561" t="n"/>
      <c r="D1908" s="4561" t="n"/>
      <c r="E1908" s="4561" t="n"/>
      <c r="F1908" s="4561" t="n"/>
    </row>
    <row r="1909">
      <c r="A1909" s="4561" t="n"/>
      <c r="B1909" s="4561" t="n"/>
      <c r="C1909" s="4561" t="n"/>
      <c r="D1909" s="4561" t="n"/>
      <c r="E1909" s="4561" t="n"/>
      <c r="F1909" s="4561" t="n"/>
    </row>
    <row r="1910">
      <c r="A1910" s="4561" t="n"/>
      <c r="B1910" s="4561" t="n"/>
      <c r="C1910" s="4561" t="n"/>
      <c r="D1910" s="4561" t="n"/>
      <c r="E1910" s="4561" t="n"/>
      <c r="F1910" s="4561" t="n"/>
    </row>
    <row r="1911">
      <c r="A1911" s="4561" t="n"/>
      <c r="B1911" s="4561" t="n"/>
      <c r="C1911" s="4561" t="n"/>
      <c r="D1911" s="4561" t="n"/>
      <c r="E1911" s="4561" t="n"/>
      <c r="F1911" s="4561" t="n"/>
    </row>
    <row r="1912">
      <c r="A1912" s="4561" t="n"/>
      <c r="B1912" s="4561" t="n"/>
      <c r="C1912" s="4561" t="n"/>
      <c r="D1912" s="4561" t="n"/>
      <c r="E1912" s="4561" t="n"/>
      <c r="F1912" s="4561" t="n"/>
    </row>
    <row r="1913">
      <c r="A1913" s="4561" t="n"/>
      <c r="B1913" s="4561" t="n"/>
      <c r="C1913" s="4561" t="n"/>
      <c r="D1913" s="4561" t="n"/>
      <c r="E1913" s="4561" t="n"/>
      <c r="F1913" s="4561" t="n"/>
    </row>
    <row r="1914">
      <c r="A1914" s="4561" t="n"/>
      <c r="B1914" s="4561" t="n"/>
      <c r="C1914" s="4561" t="n"/>
      <c r="D1914" s="4561" t="n"/>
      <c r="E1914" s="4561" t="n"/>
      <c r="F1914" s="4561" t="n"/>
    </row>
    <row r="1915">
      <c r="A1915" s="4561" t="n"/>
      <c r="B1915" s="4561" t="n"/>
      <c r="C1915" s="4561" t="n"/>
      <c r="D1915" s="4561" t="n"/>
      <c r="E1915" s="4561" t="n"/>
      <c r="F1915" s="4561" t="n"/>
    </row>
    <row r="1916">
      <c r="A1916" s="4561" t="n"/>
      <c r="B1916" s="4561" t="n"/>
      <c r="C1916" s="4561" t="n"/>
      <c r="D1916" s="4561" t="n"/>
      <c r="E1916" s="4561" t="n"/>
      <c r="F1916" s="4561" t="n"/>
    </row>
    <row r="1917">
      <c r="A1917" s="4561" t="n"/>
      <c r="B1917" s="4561" t="n"/>
      <c r="C1917" s="4561" t="n"/>
      <c r="D1917" s="4561" t="n"/>
      <c r="E1917" s="4561" t="n"/>
      <c r="F1917" s="4561" t="n"/>
    </row>
    <row r="1918">
      <c r="A1918" s="4561" t="n"/>
      <c r="B1918" s="4561" t="n"/>
      <c r="C1918" s="4561" t="n"/>
      <c r="D1918" s="4561" t="n"/>
      <c r="E1918" s="4561" t="n"/>
      <c r="F1918" s="4561" t="n"/>
    </row>
    <row r="1919">
      <c r="A1919" s="4561" t="n"/>
      <c r="B1919" s="4561" t="n"/>
      <c r="C1919" s="4561" t="n"/>
      <c r="D1919" s="4561" t="n"/>
      <c r="E1919" s="4561" t="n"/>
      <c r="F1919" s="4561" t="n"/>
    </row>
    <row r="1920">
      <c r="A1920" s="4561" t="n"/>
      <c r="B1920" s="4561" t="n"/>
      <c r="C1920" s="4561" t="n"/>
      <c r="D1920" s="4561" t="n"/>
      <c r="E1920" s="4561" t="n"/>
      <c r="F1920" s="4561" t="n"/>
    </row>
    <row r="1921">
      <c r="A1921" s="4561" t="n"/>
      <c r="B1921" s="4561" t="n"/>
      <c r="C1921" s="4561" t="n"/>
      <c r="D1921" s="4561" t="n"/>
      <c r="E1921" s="4561" t="n"/>
      <c r="F1921" s="4561" t="n"/>
    </row>
    <row r="1922">
      <c r="A1922" s="4561" t="n"/>
      <c r="B1922" s="4561" t="n"/>
      <c r="C1922" s="4561" t="n"/>
      <c r="D1922" s="4561" t="n"/>
      <c r="E1922" s="4561" t="n"/>
      <c r="F1922" s="4561" t="n"/>
    </row>
    <row r="1923">
      <c r="A1923" s="4561" t="n"/>
      <c r="B1923" s="4561" t="n"/>
      <c r="C1923" s="4561" t="n"/>
      <c r="D1923" s="4561" t="n"/>
      <c r="E1923" s="4561" t="n"/>
      <c r="F1923" s="4561" t="n"/>
    </row>
    <row r="1924">
      <c r="A1924" s="4561" t="n"/>
      <c r="B1924" s="4561" t="n"/>
      <c r="C1924" s="4561" t="n"/>
      <c r="D1924" s="4561" t="n"/>
      <c r="E1924" s="4561" t="n"/>
      <c r="F1924" s="4561" t="n"/>
    </row>
    <row r="1925">
      <c r="A1925" s="4561" t="n"/>
      <c r="B1925" s="4561" t="n"/>
      <c r="C1925" s="4561" t="n"/>
      <c r="D1925" s="4561" t="n"/>
      <c r="E1925" s="4561" t="n"/>
      <c r="F1925" s="4561" t="n"/>
    </row>
    <row r="1926">
      <c r="A1926" s="4561" t="n"/>
      <c r="B1926" s="4561" t="n"/>
      <c r="C1926" s="4561" t="n"/>
      <c r="D1926" s="4561" t="n"/>
      <c r="E1926" s="4561" t="n"/>
      <c r="F1926" s="4561" t="n"/>
    </row>
    <row r="1927">
      <c r="A1927" s="4561" t="n"/>
      <c r="B1927" s="4561" t="n"/>
      <c r="C1927" s="4561" t="n"/>
      <c r="D1927" s="4561" t="n"/>
      <c r="E1927" s="4561" t="n"/>
      <c r="F1927" s="4561" t="n"/>
    </row>
    <row r="1928">
      <c r="A1928" s="4561" t="n"/>
      <c r="B1928" s="4561" t="n"/>
      <c r="C1928" s="4561" t="n"/>
      <c r="D1928" s="4561" t="n"/>
      <c r="E1928" s="4561" t="n"/>
      <c r="F1928" s="4561" t="n"/>
    </row>
    <row r="1929">
      <c r="A1929" s="4561" t="n"/>
      <c r="B1929" s="4561" t="n"/>
      <c r="C1929" s="4561" t="n"/>
      <c r="D1929" s="4561" t="n"/>
      <c r="E1929" s="4561" t="n"/>
      <c r="F1929" s="4561" t="n"/>
    </row>
    <row r="1930">
      <c r="A1930" s="4561" t="n"/>
      <c r="B1930" s="4561" t="n"/>
      <c r="C1930" s="4561" t="n"/>
      <c r="D1930" s="4561" t="n"/>
      <c r="E1930" s="4561" t="n"/>
      <c r="F1930" s="4561" t="n"/>
    </row>
    <row r="1931">
      <c r="A1931" s="4561" t="n"/>
      <c r="B1931" s="4561" t="n"/>
      <c r="C1931" s="4561" t="n"/>
      <c r="D1931" s="4561" t="n"/>
      <c r="E1931" s="4561" t="n"/>
      <c r="F1931" s="4561" t="n"/>
    </row>
    <row r="1932">
      <c r="A1932" s="4561" t="n"/>
      <c r="B1932" s="4561" t="n"/>
      <c r="C1932" s="4561" t="n"/>
      <c r="D1932" s="4561" t="n"/>
      <c r="E1932" s="4561" t="n"/>
      <c r="F1932" s="4561" t="n"/>
    </row>
    <row r="1933">
      <c r="A1933" s="4561" t="n"/>
      <c r="B1933" s="4561" t="n"/>
      <c r="C1933" s="4561" t="n"/>
      <c r="D1933" s="4561" t="n"/>
      <c r="E1933" s="4561" t="n"/>
      <c r="F1933" s="4561" t="n"/>
    </row>
    <row r="1934">
      <c r="A1934" s="4561" t="n"/>
      <c r="B1934" s="4561" t="n"/>
      <c r="C1934" s="4561" t="n"/>
      <c r="D1934" s="4561" t="n"/>
      <c r="E1934" s="4561" t="n"/>
      <c r="F1934" s="4561" t="n"/>
    </row>
    <row r="1935">
      <c r="A1935" s="4561" t="n"/>
      <c r="B1935" s="4561" t="n"/>
      <c r="C1935" s="4561" t="n"/>
      <c r="D1935" s="4561" t="n"/>
      <c r="E1935" s="4561" t="n"/>
      <c r="F1935" s="4561" t="n"/>
    </row>
    <row r="1936">
      <c r="A1936" s="4561" t="n"/>
      <c r="B1936" s="4561" t="n"/>
      <c r="C1936" s="4561" t="n"/>
      <c r="D1936" s="4561" t="n"/>
      <c r="E1936" s="4561" t="n"/>
      <c r="F1936" s="4561" t="n"/>
    </row>
    <row r="1937">
      <c r="A1937" s="4561" t="n"/>
      <c r="B1937" s="4561" t="n"/>
      <c r="C1937" s="4561" t="n"/>
      <c r="D1937" s="4561" t="n"/>
      <c r="E1937" s="4561" t="n"/>
      <c r="F1937" s="4561" t="n"/>
    </row>
    <row r="1938">
      <c r="A1938" s="4561" t="n"/>
      <c r="B1938" s="4561" t="n"/>
      <c r="C1938" s="4561" t="n"/>
      <c r="D1938" s="4561" t="n"/>
      <c r="E1938" s="4561" t="n"/>
      <c r="F1938" s="4561" t="n"/>
    </row>
    <row r="1939">
      <c r="A1939" s="4561" t="n"/>
      <c r="B1939" s="4561" t="n"/>
      <c r="C1939" s="4561" t="n"/>
      <c r="D1939" s="4561" t="n"/>
      <c r="E1939" s="4561" t="n"/>
      <c r="F1939" s="4561" t="n"/>
    </row>
    <row r="1940">
      <c r="A1940" s="4561" t="n"/>
      <c r="B1940" s="4561" t="n"/>
      <c r="C1940" s="4561" t="n"/>
      <c r="D1940" s="4561" t="n"/>
      <c r="E1940" s="4561" t="n"/>
      <c r="F1940" s="4561" t="n"/>
    </row>
    <row r="1941">
      <c r="A1941" s="4561" t="n"/>
      <c r="B1941" s="4561" t="n"/>
      <c r="C1941" s="4561" t="n"/>
      <c r="D1941" s="4561" t="n"/>
      <c r="E1941" s="4561" t="n"/>
      <c r="F1941" s="4561" t="n"/>
    </row>
    <row r="1942">
      <c r="A1942" s="4561" t="n"/>
      <c r="B1942" s="4561" t="n"/>
      <c r="C1942" s="4561" t="n"/>
      <c r="D1942" s="4561" t="n"/>
      <c r="E1942" s="4561" t="n"/>
      <c r="F1942" s="4561" t="n"/>
    </row>
    <row r="1943">
      <c r="A1943" s="4561" t="n"/>
      <c r="B1943" s="4561" t="n"/>
      <c r="C1943" s="4561" t="n"/>
      <c r="D1943" s="4561" t="n"/>
      <c r="E1943" s="4561" t="n"/>
      <c r="F1943" s="4561" t="n"/>
    </row>
    <row r="1944">
      <c r="A1944" s="4561" t="n"/>
      <c r="B1944" s="4561" t="n"/>
      <c r="C1944" s="4561" t="n"/>
      <c r="D1944" s="4561" t="n"/>
      <c r="E1944" s="4561" t="n"/>
      <c r="F1944" s="4561" t="n"/>
    </row>
    <row r="1945">
      <c r="A1945" s="4561" t="n"/>
      <c r="B1945" s="4561" t="n"/>
      <c r="C1945" s="4561" t="n"/>
      <c r="D1945" s="4561" t="n"/>
      <c r="E1945" s="4561" t="n"/>
      <c r="F1945" s="4561" t="n"/>
    </row>
    <row r="1946">
      <c r="A1946" s="4561" t="n"/>
      <c r="B1946" s="4561" t="n"/>
      <c r="C1946" s="4561" t="n"/>
      <c r="D1946" s="4561" t="n"/>
      <c r="E1946" s="4561" t="n"/>
      <c r="F1946" s="4561" t="n"/>
    </row>
    <row r="1947">
      <c r="A1947" s="4561" t="n"/>
      <c r="B1947" s="4561" t="n"/>
      <c r="C1947" s="4561" t="n"/>
      <c r="D1947" s="4561" t="n"/>
      <c r="E1947" s="4561" t="n"/>
      <c r="F1947" s="4561" t="n"/>
    </row>
    <row r="1948">
      <c r="A1948" s="4561" t="n"/>
      <c r="B1948" s="4561" t="n"/>
      <c r="C1948" s="4561" t="n"/>
      <c r="D1948" s="4561" t="n"/>
      <c r="E1948" s="4561" t="n"/>
      <c r="F1948" s="4561" t="n"/>
    </row>
    <row r="1949">
      <c r="A1949" s="4561" t="n"/>
      <c r="B1949" s="4561" t="n"/>
      <c r="C1949" s="4561" t="n"/>
      <c r="D1949" s="4561" t="n"/>
      <c r="E1949" s="4561" t="n"/>
      <c r="F1949" s="4561" t="n"/>
    </row>
    <row r="1950">
      <c r="A1950" s="4561" t="n"/>
      <c r="B1950" s="4561" t="n"/>
      <c r="C1950" s="4561" t="n"/>
      <c r="D1950" s="4561" t="n"/>
      <c r="E1950" s="4561" t="n"/>
      <c r="F1950" s="4561" t="n"/>
    </row>
    <row r="1951">
      <c r="A1951" s="4561" t="n"/>
      <c r="B1951" s="4561" t="n"/>
      <c r="C1951" s="4561" t="n"/>
      <c r="D1951" s="4561" t="n"/>
      <c r="E1951" s="4561" t="n"/>
      <c r="F1951" s="4561" t="n"/>
    </row>
    <row r="1952">
      <c r="A1952" s="4561" t="n"/>
      <c r="B1952" s="4561" t="n"/>
      <c r="C1952" s="4561" t="n"/>
      <c r="D1952" s="4561" t="n"/>
      <c r="E1952" s="4561" t="n"/>
      <c r="F1952" s="4561" t="n"/>
    </row>
    <row r="1953">
      <c r="A1953" s="4561" t="n"/>
      <c r="B1953" s="4561" t="n"/>
      <c r="C1953" s="4561" t="n"/>
      <c r="D1953" s="4561" t="n"/>
      <c r="E1953" s="4561" t="n"/>
      <c r="F1953" s="4561" t="n"/>
    </row>
    <row r="1954">
      <c r="A1954" s="4561" t="n"/>
      <c r="B1954" s="4561" t="n"/>
      <c r="C1954" s="4561" t="n"/>
      <c r="D1954" s="4561" t="n"/>
      <c r="E1954" s="4561" t="n"/>
      <c r="F1954" s="4561" t="n"/>
    </row>
    <row r="1955">
      <c r="A1955" s="4561" t="n"/>
      <c r="B1955" s="4561" t="n"/>
      <c r="C1955" s="4561" t="n"/>
      <c r="D1955" s="4561" t="n"/>
      <c r="E1955" s="4561" t="n"/>
      <c r="F1955" s="4561" t="n"/>
    </row>
    <row r="1956">
      <c r="A1956" s="4561" t="n"/>
      <c r="B1956" s="4561" t="n"/>
      <c r="C1956" s="4561" t="n"/>
      <c r="D1956" s="4561" t="n"/>
      <c r="E1956" s="4561" t="n"/>
      <c r="F1956" s="4561" t="n"/>
    </row>
    <row r="1957">
      <c r="A1957" s="4561" t="n"/>
      <c r="B1957" s="4561" t="n"/>
      <c r="C1957" s="4561" t="n"/>
      <c r="D1957" s="4561" t="n"/>
      <c r="E1957" s="4561" t="n"/>
      <c r="F1957" s="4561" t="n"/>
    </row>
    <row r="1958">
      <c r="A1958" s="4561" t="n"/>
      <c r="B1958" s="4561" t="n"/>
      <c r="C1958" s="4561" t="n"/>
      <c r="D1958" s="4561" t="n"/>
      <c r="E1958" s="4561" t="n"/>
      <c r="F1958" s="4561" t="n"/>
    </row>
    <row r="1959">
      <c r="A1959" s="4561" t="n"/>
      <c r="B1959" s="4561" t="n"/>
      <c r="C1959" s="4561" t="n"/>
      <c r="D1959" s="4561" t="n"/>
      <c r="E1959" s="4561" t="n"/>
      <c r="F1959" s="4561" t="n"/>
    </row>
    <row r="1960">
      <c r="A1960" s="4561" t="n"/>
      <c r="B1960" s="4561" t="n"/>
      <c r="C1960" s="4561" t="n"/>
      <c r="D1960" s="4561" t="n"/>
      <c r="E1960" s="4561" t="n"/>
      <c r="F1960" s="4561" t="n"/>
    </row>
    <row r="1961">
      <c r="A1961" s="4561" t="n"/>
      <c r="B1961" s="4561" t="n"/>
      <c r="C1961" s="4561" t="n"/>
      <c r="D1961" s="4561" t="n"/>
      <c r="E1961" s="4561" t="n"/>
      <c r="F1961" s="4561" t="n"/>
    </row>
    <row r="1962">
      <c r="A1962" s="4561" t="n"/>
      <c r="B1962" s="4561" t="n"/>
      <c r="C1962" s="4561" t="n"/>
      <c r="D1962" s="4561" t="n"/>
      <c r="E1962" s="4561" t="n"/>
      <c r="F1962" s="4561" t="n"/>
    </row>
    <row r="1963">
      <c r="A1963" s="4561" t="n"/>
      <c r="B1963" s="4561" t="n"/>
      <c r="C1963" s="4561" t="n"/>
      <c r="D1963" s="4561" t="n"/>
      <c r="E1963" s="4561" t="n"/>
      <c r="F1963" s="4561" t="n"/>
    </row>
    <row r="1964">
      <c r="A1964" s="4561" t="n"/>
      <c r="B1964" s="4561" t="n"/>
      <c r="C1964" s="4561" t="n"/>
      <c r="D1964" s="4561" t="n"/>
      <c r="E1964" s="4561" t="n"/>
      <c r="F1964" s="4561" t="n"/>
    </row>
    <row r="1965">
      <c r="A1965" s="4561" t="n"/>
      <c r="B1965" s="4561" t="n"/>
      <c r="C1965" s="4561" t="n"/>
      <c r="D1965" s="4561" t="n"/>
      <c r="E1965" s="4561" t="n"/>
      <c r="F1965" s="4561" t="n"/>
    </row>
    <row r="1966">
      <c r="A1966" s="4561" t="n"/>
      <c r="B1966" s="4561" t="n"/>
      <c r="C1966" s="4561" t="n"/>
      <c r="D1966" s="4561" t="n"/>
      <c r="E1966" s="4561" t="n"/>
      <c r="F1966" s="4561" t="n"/>
    </row>
    <row r="1967">
      <c r="A1967" s="4561" t="n"/>
      <c r="B1967" s="4561" t="n"/>
      <c r="C1967" s="4561" t="n"/>
      <c r="D1967" s="4561" t="n"/>
      <c r="E1967" s="4561" t="n"/>
      <c r="F1967" s="4561" t="n"/>
    </row>
    <row r="1968">
      <c r="A1968" s="4561" t="n"/>
      <c r="B1968" s="4561" t="n"/>
      <c r="C1968" s="4561" t="n"/>
      <c r="D1968" s="4561" t="n"/>
      <c r="E1968" s="4561" t="n"/>
      <c r="F1968" s="4561" t="n"/>
    </row>
    <row r="1969">
      <c r="A1969" s="4561" t="n"/>
      <c r="B1969" s="4561" t="n"/>
      <c r="C1969" s="4561" t="n"/>
      <c r="D1969" s="4561" t="n"/>
      <c r="E1969" s="4561" t="n"/>
      <c r="F1969" s="4561" t="n"/>
    </row>
    <row r="1970">
      <c r="A1970" s="4561" t="n"/>
      <c r="B1970" s="4561" t="n"/>
      <c r="C1970" s="4561" t="n"/>
      <c r="D1970" s="4561" t="n"/>
      <c r="E1970" s="4561" t="n"/>
      <c r="F1970" s="4561" t="n"/>
    </row>
    <row r="1971">
      <c r="A1971" s="4561" t="n"/>
      <c r="B1971" s="4561" t="n"/>
      <c r="C1971" s="4561" t="n"/>
      <c r="D1971" s="4561" t="n"/>
      <c r="E1971" s="4561" t="n"/>
      <c r="F1971" s="4561" t="n"/>
    </row>
    <row r="1972">
      <c r="A1972" s="4561" t="n"/>
      <c r="B1972" s="4561" t="n"/>
      <c r="C1972" s="4561" t="n"/>
      <c r="D1972" s="4561" t="n"/>
      <c r="E1972" s="4561" t="n"/>
      <c r="F1972" s="4561" t="n"/>
    </row>
    <row r="1973">
      <c r="A1973" s="4561" t="n"/>
      <c r="B1973" s="4561" t="n"/>
      <c r="C1973" s="4561" t="n"/>
      <c r="D1973" s="4561" t="n"/>
      <c r="E1973" s="4561" t="n"/>
      <c r="F1973" s="4561" t="n"/>
    </row>
    <row r="1974">
      <c r="A1974" s="4561" t="n"/>
      <c r="B1974" s="4561" t="n"/>
      <c r="C1974" s="4561" t="n"/>
      <c r="D1974" s="4561" t="n"/>
      <c r="E1974" s="4561" t="n"/>
      <c r="F1974" s="4561" t="n"/>
    </row>
    <row r="1975">
      <c r="A1975" s="4561" t="n"/>
      <c r="B1975" s="4561" t="n"/>
      <c r="C1975" s="4561" t="n"/>
      <c r="D1975" s="4561" t="n"/>
      <c r="E1975" s="4561" t="n"/>
      <c r="F1975" s="4561" t="n"/>
    </row>
    <row r="1976">
      <c r="A1976" s="4561" t="n"/>
      <c r="B1976" s="4561" t="n"/>
      <c r="C1976" s="4561" t="n"/>
      <c r="D1976" s="4561" t="n"/>
      <c r="E1976" s="4561" t="n"/>
      <c r="F1976" s="4561" t="n"/>
    </row>
    <row r="1977">
      <c r="A1977" s="4561" t="n"/>
      <c r="B1977" s="4561" t="n"/>
      <c r="C1977" s="4561" t="n"/>
      <c r="D1977" s="4561" t="n"/>
      <c r="E1977" s="4561" t="n"/>
      <c r="F1977" s="4561" t="n"/>
    </row>
    <row r="1978">
      <c r="A1978" s="4561" t="n"/>
      <c r="B1978" s="4561" t="n"/>
      <c r="C1978" s="4561" t="n"/>
      <c r="D1978" s="4561" t="n"/>
      <c r="E1978" s="4561" t="n"/>
      <c r="F1978" s="4561" t="n"/>
    </row>
    <row r="1979">
      <c r="A1979" s="4561" t="n"/>
      <c r="B1979" s="4561" t="n"/>
      <c r="C1979" s="4561" t="n"/>
      <c r="D1979" s="4561" t="n"/>
      <c r="E1979" s="4561" t="n"/>
      <c r="F1979" s="4561" t="n"/>
    </row>
    <row r="1980">
      <c r="A1980" s="4561" t="n"/>
      <c r="B1980" s="4561" t="n"/>
      <c r="C1980" s="4561" t="n"/>
      <c r="D1980" s="4561" t="n"/>
      <c r="E1980" s="4561" t="n"/>
      <c r="F1980" s="4561" t="n"/>
    </row>
    <row r="1981">
      <c r="A1981" s="4561" t="n"/>
      <c r="B1981" s="4561" t="n"/>
      <c r="C1981" s="4561" t="n"/>
      <c r="D1981" s="4561" t="n"/>
      <c r="E1981" s="4561" t="n"/>
      <c r="F1981" s="4561" t="n"/>
    </row>
    <row r="1982">
      <c r="A1982" s="4561" t="n"/>
      <c r="B1982" s="4561" t="n"/>
      <c r="C1982" s="4561" t="n"/>
      <c r="D1982" s="4561" t="n"/>
      <c r="E1982" s="4561" t="n"/>
      <c r="F1982" s="4561" t="n"/>
    </row>
    <row r="1983">
      <c r="A1983" s="4561" t="n"/>
      <c r="B1983" s="4561" t="n"/>
      <c r="C1983" s="4561" t="n"/>
      <c r="D1983" s="4561" t="n"/>
      <c r="E1983" s="4561" t="n"/>
      <c r="F1983" s="4561" t="n"/>
    </row>
    <row r="1984">
      <c r="A1984" s="4561" t="n"/>
      <c r="B1984" s="4561" t="n"/>
      <c r="C1984" s="4561" t="n"/>
      <c r="D1984" s="4561" t="n"/>
      <c r="E1984" s="4561" t="n"/>
      <c r="F1984" s="4561" t="n"/>
    </row>
    <row r="1985">
      <c r="A1985" s="4561" t="n"/>
      <c r="B1985" s="4561" t="n"/>
      <c r="C1985" s="4561" t="n"/>
      <c r="D1985" s="4561" t="n"/>
      <c r="E1985" s="4561" t="n"/>
      <c r="F1985" s="4561" t="n"/>
    </row>
    <row r="1986">
      <c r="A1986" s="4561" t="n"/>
      <c r="B1986" s="4561" t="n"/>
      <c r="C1986" s="4561" t="n"/>
      <c r="D1986" s="4561" t="n"/>
      <c r="E1986" s="4561" t="n"/>
      <c r="F1986" s="4561" t="n"/>
    </row>
    <row r="1987">
      <c r="A1987" s="4561" t="n"/>
      <c r="B1987" s="4561" t="n"/>
      <c r="C1987" s="4561" t="n"/>
      <c r="D1987" s="4561" t="n"/>
      <c r="E1987" s="4561" t="n"/>
      <c r="F1987" s="4561" t="n"/>
    </row>
    <row r="1988">
      <c r="A1988" s="4561" t="n"/>
      <c r="B1988" s="4561" t="n"/>
      <c r="C1988" s="4561" t="n"/>
      <c r="D1988" s="4561" t="n"/>
      <c r="E1988" s="4561" t="n"/>
      <c r="F1988" s="4561" t="n"/>
    </row>
    <row r="1989">
      <c r="A1989" s="4561" t="n"/>
      <c r="B1989" s="4561" t="n"/>
      <c r="C1989" s="4561" t="n"/>
      <c r="D1989" s="4561" t="n"/>
      <c r="E1989" s="4561" t="n"/>
      <c r="F1989" s="4561" t="n"/>
    </row>
    <row r="1990">
      <c r="A1990" s="4561" t="n"/>
      <c r="B1990" s="4561" t="n"/>
      <c r="C1990" s="4561" t="n"/>
      <c r="D1990" s="4561" t="n"/>
      <c r="E1990" s="4561" t="n"/>
      <c r="F1990" s="4561" t="n"/>
    </row>
    <row r="1991">
      <c r="A1991" s="4561" t="n"/>
      <c r="B1991" s="4561" t="n"/>
      <c r="C1991" s="4561" t="n"/>
      <c r="D1991" s="4561" t="n"/>
      <c r="E1991" s="4561" t="n"/>
      <c r="F1991" s="4561" t="n"/>
    </row>
    <row r="1992">
      <c r="A1992" s="4561" t="n"/>
      <c r="B1992" s="4561" t="n"/>
      <c r="C1992" s="4561" t="n"/>
      <c r="D1992" s="4561" t="n"/>
      <c r="E1992" s="4561" t="n"/>
      <c r="F1992" s="4561" t="n"/>
    </row>
    <row r="1993">
      <c r="A1993" s="4561" t="n"/>
      <c r="B1993" s="4561" t="n"/>
      <c r="C1993" s="4561" t="n"/>
      <c r="D1993" s="4561" t="n"/>
      <c r="E1993" s="4561" t="n"/>
      <c r="F1993" s="4561" t="n"/>
    </row>
    <row r="1994">
      <c r="A1994" s="4561" t="n"/>
      <c r="B1994" s="4561" t="n"/>
      <c r="C1994" s="4561" t="n"/>
      <c r="D1994" s="4561" t="n"/>
      <c r="E1994" s="4561" t="n"/>
      <c r="F1994" s="4561" t="n"/>
    </row>
    <row r="1995">
      <c r="A1995" s="4561" t="n"/>
      <c r="B1995" s="4561" t="n"/>
      <c r="C1995" s="4561" t="n"/>
      <c r="D1995" s="4561" t="n"/>
      <c r="E1995" s="4561" t="n"/>
      <c r="F1995" s="4561" t="n"/>
    </row>
    <row r="1996">
      <c r="A1996" s="4561" t="n"/>
      <c r="B1996" s="4561" t="n"/>
      <c r="C1996" s="4561" t="n"/>
      <c r="D1996" s="4561" t="n"/>
      <c r="E1996" s="4561" t="n"/>
      <c r="F1996" s="4561" t="n"/>
    </row>
    <row r="1997">
      <c r="A1997" s="4561" t="n"/>
      <c r="B1997" s="4561" t="n"/>
      <c r="C1997" s="4561" t="n"/>
      <c r="D1997" s="4561" t="n"/>
      <c r="E1997" s="4561" t="n"/>
      <c r="F1997" s="4561" t="n"/>
    </row>
    <row r="1998">
      <c r="A1998" s="4561" t="n"/>
      <c r="B1998" s="4561" t="n"/>
      <c r="C1998" s="4561" t="n"/>
      <c r="D1998" s="4561" t="n"/>
      <c r="E1998" s="4561" t="n"/>
      <c r="F1998" s="4561" t="n"/>
    </row>
    <row r="1999">
      <c r="A1999" s="4561" t="n"/>
      <c r="B1999" s="4561" t="n"/>
      <c r="C1999" s="4561" t="n"/>
      <c r="D1999" s="4561" t="n"/>
      <c r="E1999" s="4561" t="n"/>
      <c r="F1999" s="4561" t="n"/>
    </row>
    <row r="2000">
      <c r="A2000" s="4561" t="n"/>
      <c r="B2000" s="4561" t="n"/>
      <c r="C2000" s="4561" t="n"/>
      <c r="D2000" s="4561" t="n"/>
      <c r="E2000" s="4561" t="n"/>
      <c r="F2000" s="4561" t="n"/>
    </row>
    <row r="2001">
      <c r="A2001" s="4561" t="n"/>
      <c r="B2001" s="4561" t="n"/>
      <c r="C2001" s="4561" t="n"/>
      <c r="D2001" s="4561" t="n"/>
      <c r="E2001" s="4561" t="n"/>
      <c r="F2001" s="4561" t="n"/>
    </row>
    <row r="2002">
      <c r="A2002" s="4561" t="n"/>
      <c r="B2002" s="4561" t="n"/>
      <c r="C2002" s="4561" t="n"/>
      <c r="D2002" s="4561" t="n"/>
      <c r="E2002" s="4561" t="n"/>
      <c r="F2002" s="4561" t="n"/>
    </row>
    <row r="2003">
      <c r="A2003" s="4561" t="n"/>
      <c r="B2003" s="4561" t="n"/>
      <c r="C2003" s="4561" t="n"/>
      <c r="D2003" s="4561" t="n"/>
      <c r="E2003" s="4561" t="n"/>
      <c r="F2003" s="4561" t="n"/>
    </row>
    <row r="2004">
      <c r="A2004" s="4561" t="n"/>
      <c r="B2004" s="4561" t="n"/>
      <c r="C2004" s="4561" t="n"/>
      <c r="D2004" s="4561" t="n"/>
      <c r="E2004" s="4561" t="n"/>
      <c r="F2004" s="4561" t="n"/>
    </row>
    <row r="2005">
      <c r="A2005" s="4561" t="n"/>
      <c r="B2005" s="4561" t="n"/>
      <c r="C2005" s="4561" t="n"/>
      <c r="D2005" s="4561" t="n"/>
      <c r="E2005" s="4561" t="n"/>
      <c r="F2005" s="4561" t="n"/>
    </row>
    <row r="2006">
      <c r="A2006" s="4561" t="n"/>
      <c r="B2006" s="4561" t="n"/>
      <c r="C2006" s="4561" t="n"/>
      <c r="D2006" s="4561" t="n"/>
      <c r="E2006" s="4561" t="n"/>
      <c r="F2006" s="4561" t="n"/>
    </row>
    <row r="2007">
      <c r="A2007" s="4561" t="n"/>
      <c r="B2007" s="4561" t="n"/>
      <c r="C2007" s="4561" t="n"/>
      <c r="D2007" s="4561" t="n"/>
      <c r="E2007" s="4561" t="n"/>
      <c r="F2007" s="4561" t="n"/>
    </row>
    <row r="2008">
      <c r="A2008" s="4561" t="n"/>
      <c r="B2008" s="4561" t="n"/>
      <c r="C2008" s="4561" t="n"/>
      <c r="D2008" s="4561" t="n"/>
      <c r="E2008" s="4561" t="n"/>
      <c r="F2008" s="4561" t="n"/>
    </row>
    <row r="2009">
      <c r="A2009" s="4561" t="n"/>
      <c r="B2009" s="4561" t="n"/>
      <c r="C2009" s="4561" t="n"/>
      <c r="D2009" s="4561" t="n"/>
      <c r="E2009" s="4561" t="n"/>
      <c r="F2009" s="4561" t="n"/>
    </row>
    <row r="2010">
      <c r="A2010" s="4561" t="n"/>
      <c r="B2010" s="4561" t="n"/>
      <c r="C2010" s="4561" t="n"/>
      <c r="D2010" s="4561" t="n"/>
      <c r="E2010" s="4561" t="n"/>
      <c r="F2010" s="4561" t="n"/>
    </row>
    <row r="2011">
      <c r="A2011" s="4561" t="n"/>
      <c r="B2011" s="4561" t="n"/>
      <c r="C2011" s="4561" t="n"/>
      <c r="D2011" s="4561" t="n"/>
      <c r="E2011" s="4561" t="n"/>
      <c r="F2011" s="4561" t="n"/>
    </row>
    <row r="2012">
      <c r="A2012" s="4561" t="n"/>
      <c r="B2012" s="4561" t="n"/>
      <c r="C2012" s="4561" t="n"/>
      <c r="D2012" s="4561" t="n"/>
      <c r="E2012" s="4561" t="n"/>
      <c r="F2012" s="4561" t="n"/>
    </row>
    <row r="2013">
      <c r="A2013" s="4561" t="n"/>
      <c r="B2013" s="4561" t="n"/>
      <c r="C2013" s="4561" t="n"/>
      <c r="D2013" s="4561" t="n"/>
      <c r="E2013" s="4561" t="n"/>
      <c r="F2013" s="4561" t="n"/>
    </row>
    <row r="2014">
      <c r="A2014" s="4561" t="n"/>
      <c r="B2014" s="4561" t="n"/>
      <c r="C2014" s="4561" t="n"/>
      <c r="D2014" s="4561" t="n"/>
      <c r="E2014" s="4561" t="n"/>
      <c r="F2014" s="4561" t="n"/>
    </row>
    <row r="2015">
      <c r="A2015" s="4561" t="n"/>
      <c r="B2015" s="4561" t="n"/>
      <c r="C2015" s="4561" t="n"/>
      <c r="D2015" s="4561" t="n"/>
      <c r="E2015" s="4561" t="n"/>
      <c r="F2015" s="4561" t="n"/>
    </row>
    <row r="2016">
      <c r="A2016" s="4561" t="n"/>
      <c r="B2016" s="4561" t="n"/>
      <c r="C2016" s="4561" t="n"/>
      <c r="D2016" s="4561" t="n"/>
      <c r="E2016" s="4561" t="n"/>
      <c r="F2016" s="4561" t="n"/>
    </row>
    <row r="2017">
      <c r="A2017" s="4561" t="n"/>
      <c r="B2017" s="4561" t="n"/>
      <c r="C2017" s="4561" t="n"/>
      <c r="D2017" s="4561" t="n"/>
      <c r="E2017" s="4561" t="n"/>
      <c r="F2017" s="4561" t="n"/>
    </row>
    <row r="2018">
      <c r="A2018" s="4561" t="n"/>
      <c r="B2018" s="4561" t="n"/>
      <c r="C2018" s="4561" t="n"/>
      <c r="D2018" s="4561" t="n"/>
      <c r="E2018" s="4561" t="n"/>
      <c r="F2018" s="4561" t="n"/>
    </row>
    <row r="2019">
      <c r="A2019" s="4561" t="n"/>
      <c r="B2019" s="4561" t="n"/>
      <c r="C2019" s="4561" t="n"/>
      <c r="D2019" s="4561" t="n"/>
      <c r="E2019" s="4561" t="n"/>
      <c r="F2019" s="4561" t="n"/>
    </row>
    <row r="2020">
      <c r="A2020" s="4561" t="n"/>
      <c r="B2020" s="4561" t="n"/>
      <c r="C2020" s="4561" t="n"/>
      <c r="D2020" s="4561" t="n"/>
      <c r="E2020" s="4561" t="n"/>
      <c r="F2020" s="4561" t="n"/>
    </row>
    <row r="2021">
      <c r="A2021" s="4561" t="n"/>
      <c r="B2021" s="4561" t="n"/>
      <c r="C2021" s="4561" t="n"/>
      <c r="D2021" s="4561" t="n"/>
      <c r="E2021" s="4561" t="n"/>
      <c r="F2021" s="4561" t="n"/>
    </row>
    <row r="2022">
      <c r="A2022" s="4561" t="n"/>
      <c r="B2022" s="4561" t="n"/>
      <c r="C2022" s="4561" t="n"/>
      <c r="D2022" s="4561" t="n"/>
      <c r="E2022" s="4561" t="n"/>
      <c r="F2022" s="4561" t="n"/>
    </row>
    <row r="2023">
      <c r="A2023" s="4561" t="n"/>
      <c r="B2023" s="4561" t="n"/>
      <c r="C2023" s="4561" t="n"/>
      <c r="D2023" s="4561" t="n"/>
      <c r="E2023" s="4561" t="n"/>
      <c r="F2023" s="4561" t="n"/>
    </row>
    <row r="2024">
      <c r="A2024" s="4561" t="n"/>
      <c r="B2024" s="4561" t="n"/>
      <c r="C2024" s="4561" t="n"/>
      <c r="D2024" s="4561" t="n"/>
      <c r="E2024" s="4561" t="n"/>
      <c r="F2024" s="4561" t="n"/>
    </row>
    <row r="2025">
      <c r="A2025" s="4561" t="n"/>
      <c r="B2025" s="4561" t="n"/>
      <c r="C2025" s="4561" t="n"/>
      <c r="D2025" s="4561" t="n"/>
      <c r="E2025" s="4561" t="n"/>
      <c r="F2025" s="4561" t="n"/>
    </row>
    <row r="2026">
      <c r="A2026" s="4561" t="n"/>
      <c r="B2026" s="4561" t="n"/>
      <c r="C2026" s="4561" t="n"/>
      <c r="D2026" s="4561" t="n"/>
      <c r="E2026" s="4561" t="n"/>
      <c r="F2026" s="4561" t="n"/>
    </row>
    <row r="2027">
      <c r="A2027" s="4561" t="n"/>
      <c r="B2027" s="4561" t="n"/>
      <c r="C2027" s="4561" t="n"/>
      <c r="D2027" s="4561" t="n"/>
      <c r="E2027" s="4561" t="n"/>
      <c r="F2027" s="4561" t="n"/>
    </row>
    <row r="2028">
      <c r="A2028" s="4561" t="n"/>
      <c r="B2028" s="4561" t="n"/>
      <c r="C2028" s="4561" t="n"/>
      <c r="D2028" s="4561" t="n"/>
      <c r="E2028" s="4561" t="n"/>
      <c r="F2028" s="4561" t="n"/>
    </row>
    <row r="2029">
      <c r="A2029" s="4561" t="n"/>
      <c r="B2029" s="4561" t="n"/>
      <c r="C2029" s="4561" t="n"/>
      <c r="D2029" s="4561" t="n"/>
      <c r="E2029" s="4561" t="n"/>
      <c r="F2029" s="4561" t="n"/>
    </row>
    <row r="2030">
      <c r="A2030" s="4561" t="n"/>
      <c r="B2030" s="4561" t="n"/>
      <c r="C2030" s="4561" t="n"/>
      <c r="D2030" s="4561" t="n"/>
      <c r="E2030" s="4561" t="n"/>
      <c r="F2030" s="4561" t="n"/>
    </row>
    <row r="2031">
      <c r="A2031" s="4561" t="n"/>
      <c r="B2031" s="4561" t="n"/>
      <c r="C2031" s="4561" t="n"/>
      <c r="D2031" s="4561" t="n"/>
      <c r="E2031" s="4561" t="n"/>
      <c r="F2031" s="4561" t="n"/>
    </row>
    <row r="2032">
      <c r="A2032" s="4561" t="n"/>
      <c r="B2032" s="4561" t="n"/>
      <c r="C2032" s="4561" t="n"/>
      <c r="D2032" s="4561" t="n"/>
      <c r="E2032" s="4561" t="n"/>
      <c r="F2032" s="4561" t="n"/>
    </row>
    <row r="2033">
      <c r="A2033" s="4561" t="n"/>
      <c r="B2033" s="4561" t="n"/>
      <c r="C2033" s="4561" t="n"/>
      <c r="D2033" s="4561" t="n"/>
      <c r="E2033" s="4561" t="n"/>
      <c r="F2033" s="4561" t="n"/>
    </row>
    <row r="2034">
      <c r="A2034" s="4561" t="n"/>
      <c r="B2034" s="4561" t="n"/>
      <c r="C2034" s="4561" t="n"/>
      <c r="D2034" s="4561" t="n"/>
      <c r="E2034" s="4561" t="n"/>
      <c r="F2034" s="4561" t="n"/>
    </row>
    <row r="2035">
      <c r="A2035" s="4561" t="n"/>
      <c r="B2035" s="4561" t="n"/>
      <c r="C2035" s="4561" t="n"/>
      <c r="D2035" s="4561" t="n"/>
      <c r="E2035" s="4561" t="n"/>
      <c r="F2035" s="4561" t="n"/>
    </row>
    <row r="2036">
      <c r="A2036" s="4561" t="n"/>
      <c r="B2036" s="4561" t="n"/>
      <c r="C2036" s="4561" t="n"/>
      <c r="D2036" s="4561" t="n"/>
      <c r="E2036" s="4561" t="n"/>
      <c r="F2036" s="4561" t="n"/>
    </row>
    <row r="2037">
      <c r="A2037" s="4561" t="n"/>
      <c r="B2037" s="4561" t="n"/>
      <c r="C2037" s="4561" t="n"/>
      <c r="D2037" s="4561" t="n"/>
      <c r="E2037" s="4561" t="n"/>
      <c r="F2037" s="4561" t="n"/>
    </row>
    <row r="2038">
      <c r="A2038" s="4561" t="n"/>
      <c r="B2038" s="4561" t="n"/>
      <c r="C2038" s="4561" t="n"/>
      <c r="D2038" s="4561" t="n"/>
      <c r="E2038" s="4561" t="n"/>
      <c r="F2038" s="4561" t="n"/>
    </row>
    <row r="2039">
      <c r="A2039" s="4561" t="n"/>
      <c r="B2039" s="4561" t="n"/>
      <c r="C2039" s="4561" t="n"/>
      <c r="D2039" s="4561" t="n"/>
      <c r="E2039" s="4561" t="n"/>
      <c r="F2039" s="4561" t="n"/>
    </row>
    <row r="2040">
      <c r="A2040" s="4561" t="n"/>
      <c r="B2040" s="4561" t="n"/>
      <c r="C2040" s="4561" t="n"/>
      <c r="D2040" s="4561" t="n"/>
      <c r="E2040" s="4561" t="n"/>
      <c r="F2040" s="4561" t="n"/>
    </row>
    <row r="2041">
      <c r="A2041" s="4561" t="n"/>
      <c r="B2041" s="4561" t="n"/>
      <c r="C2041" s="4561" t="n"/>
      <c r="D2041" s="4561" t="n"/>
      <c r="E2041" s="4561" t="n"/>
      <c r="F2041" s="4561" t="n"/>
    </row>
    <row r="2042">
      <c r="A2042" s="4561" t="n"/>
      <c r="B2042" s="4561" t="n"/>
      <c r="C2042" s="4561" t="n"/>
      <c r="D2042" s="4561" t="n"/>
      <c r="E2042" s="4561" t="n"/>
      <c r="F2042" s="4561" t="n"/>
    </row>
    <row r="2043">
      <c r="A2043" s="4561" t="n"/>
      <c r="B2043" s="4561" t="n"/>
      <c r="C2043" s="4561" t="n"/>
      <c r="D2043" s="4561" t="n"/>
      <c r="E2043" s="4561" t="n"/>
      <c r="F2043" s="4561" t="n"/>
    </row>
    <row r="2044">
      <c r="A2044" s="4561" t="n"/>
      <c r="B2044" s="4561" t="n"/>
      <c r="C2044" s="4561" t="n"/>
      <c r="D2044" s="4561" t="n"/>
      <c r="E2044" s="4561" t="n"/>
      <c r="F2044" s="4561" t="n"/>
    </row>
    <row r="2045">
      <c r="A2045" s="4561" t="n"/>
      <c r="B2045" s="4561" t="n"/>
      <c r="C2045" s="4561" t="n"/>
      <c r="D2045" s="4561" t="n"/>
      <c r="E2045" s="4561" t="n"/>
      <c r="F2045" s="4561" t="n"/>
    </row>
    <row r="2046">
      <c r="A2046" s="4561" t="n"/>
      <c r="B2046" s="4561" t="n"/>
      <c r="C2046" s="4561" t="n"/>
      <c r="D2046" s="4561" t="n"/>
      <c r="E2046" s="4561" t="n"/>
      <c r="F2046" s="4561" t="n"/>
    </row>
    <row r="2047">
      <c r="A2047" s="4561" t="n"/>
      <c r="B2047" s="4561" t="n"/>
      <c r="C2047" s="4561" t="n"/>
      <c r="D2047" s="4561" t="n"/>
      <c r="E2047" s="4561" t="n"/>
      <c r="F2047" s="4561" t="n"/>
    </row>
    <row r="2048">
      <c r="A2048" s="4561" t="n"/>
      <c r="B2048" s="4561" t="n"/>
      <c r="C2048" s="4561" t="n"/>
      <c r="D2048" s="4561" t="n"/>
      <c r="E2048" s="4561" t="n"/>
      <c r="F2048" s="4561" t="n"/>
    </row>
    <row r="2049">
      <c r="A2049" s="4561" t="n"/>
      <c r="B2049" s="4561" t="n"/>
      <c r="C2049" s="4561" t="n"/>
      <c r="D2049" s="4561" t="n"/>
      <c r="E2049" s="4561" t="n"/>
      <c r="F2049" s="4561" t="n"/>
    </row>
    <row r="2050">
      <c r="A2050" s="4561" t="n"/>
      <c r="B2050" s="4561" t="n"/>
      <c r="C2050" s="4561" t="n"/>
      <c r="D2050" s="4561" t="n"/>
      <c r="E2050" s="4561" t="n"/>
      <c r="F2050" s="4561" t="n"/>
    </row>
    <row r="2051">
      <c r="A2051" s="4561" t="n"/>
      <c r="B2051" s="4561" t="n"/>
      <c r="C2051" s="4561" t="n"/>
      <c r="D2051" s="4561" t="n"/>
      <c r="E2051" s="4561" t="n"/>
      <c r="F2051" s="4561" t="n"/>
    </row>
    <row r="2052">
      <c r="A2052" s="4561" t="n"/>
      <c r="B2052" s="4561" t="n"/>
      <c r="C2052" s="4561" t="n"/>
      <c r="D2052" s="4561" t="n"/>
      <c r="E2052" s="4561" t="n"/>
      <c r="F2052" s="4561" t="n"/>
    </row>
    <row r="2053">
      <c r="A2053" s="4561" t="n"/>
      <c r="B2053" s="4561" t="n"/>
      <c r="C2053" s="4561" t="n"/>
      <c r="D2053" s="4561" t="n"/>
      <c r="E2053" s="4561" t="n"/>
      <c r="F2053" s="4561" t="n"/>
    </row>
    <row r="2054">
      <c r="A2054" s="4561" t="n"/>
      <c r="B2054" s="4561" t="n"/>
      <c r="C2054" s="4561" t="n"/>
      <c r="D2054" s="4561" t="n"/>
      <c r="E2054" s="4561" t="n"/>
      <c r="F2054" s="4561" t="n"/>
    </row>
    <row r="2055">
      <c r="A2055" s="4561" t="n"/>
      <c r="B2055" s="4561" t="n"/>
      <c r="C2055" s="4561" t="n"/>
      <c r="D2055" s="4561" t="n"/>
      <c r="E2055" s="4561" t="n"/>
      <c r="F2055" s="4561" t="n"/>
    </row>
    <row r="2056">
      <c r="A2056" s="4561" t="n"/>
      <c r="B2056" s="4561" t="n"/>
      <c r="C2056" s="4561" t="n"/>
      <c r="D2056" s="4561" t="n"/>
      <c r="E2056" s="4561" t="n"/>
      <c r="F2056" s="4561" t="n"/>
    </row>
    <row r="2057">
      <c r="A2057" s="4561" t="n"/>
      <c r="B2057" s="4561" t="n"/>
      <c r="C2057" s="4561" t="n"/>
      <c r="D2057" s="4561" t="n"/>
      <c r="E2057" s="4561" t="n"/>
      <c r="F2057" s="4561" t="n"/>
    </row>
    <row r="2058">
      <c r="A2058" s="4561" t="n"/>
      <c r="B2058" s="4561" t="n"/>
      <c r="C2058" s="4561" t="n"/>
      <c r="D2058" s="4561" t="n"/>
      <c r="E2058" s="4561" t="n"/>
      <c r="F2058" s="4561" t="n"/>
    </row>
    <row r="2059">
      <c r="A2059" s="4561" t="n"/>
      <c r="B2059" s="4561" t="n"/>
      <c r="C2059" s="4561" t="n"/>
      <c r="D2059" s="4561" t="n"/>
      <c r="E2059" s="4561" t="n"/>
      <c r="F2059" s="4561" t="n"/>
    </row>
    <row r="2060">
      <c r="A2060" s="4561" t="n"/>
      <c r="B2060" s="4561" t="n"/>
      <c r="C2060" s="4561" t="n"/>
      <c r="D2060" s="4561" t="n"/>
      <c r="E2060" s="4561" t="n"/>
      <c r="F2060" s="4561" t="n"/>
    </row>
    <row r="2061">
      <c r="A2061" s="4561" t="n"/>
      <c r="B2061" s="4561" t="n"/>
      <c r="C2061" s="4561" t="n"/>
      <c r="D2061" s="4561" t="n"/>
      <c r="E2061" s="4561" t="n"/>
      <c r="F2061" s="4561" t="n"/>
    </row>
    <row r="2062">
      <c r="A2062" s="4561" t="n"/>
      <c r="B2062" s="4561" t="n"/>
      <c r="C2062" s="4561" t="n"/>
      <c r="D2062" s="4561" t="n"/>
      <c r="E2062" s="4561" t="n"/>
      <c r="F2062" s="4561" t="n"/>
    </row>
    <row r="2063">
      <c r="A2063" s="4561" t="n"/>
      <c r="B2063" s="4561" t="n"/>
      <c r="C2063" s="4561" t="n"/>
      <c r="D2063" s="4561" t="n"/>
      <c r="E2063" s="4561" t="n"/>
      <c r="F2063" s="4561" t="n"/>
    </row>
    <row r="2064">
      <c r="A2064" s="4561" t="n"/>
      <c r="B2064" s="4561" t="n"/>
      <c r="C2064" s="4561" t="n"/>
      <c r="D2064" s="4561" t="n"/>
      <c r="E2064" s="4561" t="n"/>
      <c r="F2064" s="4561" t="n"/>
    </row>
    <row r="2065">
      <c r="A2065" s="4561" t="n"/>
      <c r="B2065" s="4561" t="n"/>
      <c r="C2065" s="4561" t="n"/>
      <c r="D2065" s="4561" t="n"/>
      <c r="E2065" s="4561" t="n"/>
      <c r="F2065" s="4561" t="n"/>
    </row>
    <row r="2066">
      <c r="A2066" s="4561" t="n"/>
      <c r="B2066" s="4561" t="n"/>
      <c r="C2066" s="4561" t="n"/>
      <c r="D2066" s="4561" t="n"/>
      <c r="E2066" s="4561" t="n"/>
      <c r="F2066" s="4561" t="n"/>
    </row>
    <row r="2067">
      <c r="A2067" s="4561" t="n"/>
      <c r="B2067" s="4561" t="n"/>
      <c r="C2067" s="4561" t="n"/>
      <c r="D2067" s="4561" t="n"/>
      <c r="E2067" s="4561" t="n"/>
      <c r="F2067" s="4561" t="n"/>
    </row>
    <row r="2068">
      <c r="A2068" s="4561" t="n"/>
      <c r="B2068" s="4561" t="n"/>
      <c r="C2068" s="4561" t="n"/>
      <c r="D2068" s="4561" t="n"/>
      <c r="E2068" s="4561" t="n"/>
      <c r="F2068" s="4561" t="n"/>
    </row>
    <row r="2069">
      <c r="A2069" s="4561" t="n"/>
      <c r="B2069" s="4561" t="n"/>
      <c r="C2069" s="4561" t="n"/>
      <c r="D2069" s="4561" t="n"/>
      <c r="E2069" s="4561" t="n"/>
      <c r="F2069" s="4561" t="n"/>
    </row>
    <row r="2070">
      <c r="A2070" s="4561" t="n"/>
      <c r="B2070" s="4561" t="n"/>
      <c r="C2070" s="4561" t="n"/>
      <c r="D2070" s="4561" t="n"/>
      <c r="E2070" s="4561" t="n"/>
      <c r="F2070" s="4561" t="n"/>
    </row>
    <row r="2071">
      <c r="A2071" s="4561" t="n"/>
      <c r="B2071" s="4561" t="n"/>
      <c r="C2071" s="4561" t="n"/>
      <c r="D2071" s="4561" t="n"/>
      <c r="E2071" s="4561" t="n"/>
      <c r="F2071" s="4561" t="n"/>
    </row>
    <row r="2072">
      <c r="A2072" s="4561" t="n"/>
      <c r="B2072" s="4561" t="n"/>
      <c r="C2072" s="4561" t="n"/>
      <c r="D2072" s="4561" t="n"/>
      <c r="E2072" s="4561" t="n"/>
      <c r="F2072" s="4561" t="n"/>
    </row>
    <row r="2073">
      <c r="A2073" s="4561" t="n"/>
      <c r="B2073" s="4561" t="n"/>
      <c r="C2073" s="4561" t="n"/>
      <c r="D2073" s="4561" t="n"/>
      <c r="E2073" s="4561" t="n"/>
      <c r="F2073" s="4561" t="n"/>
    </row>
    <row r="2074">
      <c r="A2074" s="4561" t="n"/>
      <c r="B2074" s="4561" t="n"/>
      <c r="C2074" s="4561" t="n"/>
      <c r="D2074" s="4561" t="n"/>
      <c r="E2074" s="4561" t="n"/>
      <c r="F2074" s="4561" t="n"/>
    </row>
    <row r="2075">
      <c r="A2075" s="4561" t="n"/>
      <c r="B2075" s="4561" t="n"/>
      <c r="C2075" s="4561" t="n"/>
      <c r="D2075" s="4561" t="n"/>
      <c r="E2075" s="4561" t="n"/>
      <c r="F2075" s="4561" t="n"/>
    </row>
    <row r="2076">
      <c r="A2076" s="4561" t="n"/>
      <c r="B2076" s="4561" t="n"/>
      <c r="C2076" s="4561" t="n"/>
      <c r="D2076" s="4561" t="n"/>
      <c r="E2076" s="4561" t="n"/>
      <c r="F2076" s="4561" t="n"/>
    </row>
    <row r="2077">
      <c r="A2077" s="4561" t="n"/>
      <c r="B2077" s="4561" t="n"/>
      <c r="C2077" s="4561" t="n"/>
      <c r="D2077" s="4561" t="n"/>
      <c r="E2077" s="4561" t="n"/>
      <c r="F2077" s="4561" t="n"/>
    </row>
    <row r="2078">
      <c r="A2078" s="4561" t="n"/>
      <c r="B2078" s="4561" t="n"/>
      <c r="C2078" s="4561" t="n"/>
      <c r="D2078" s="4561" t="n"/>
      <c r="E2078" s="4561" t="n"/>
      <c r="F2078" s="4561" t="n"/>
    </row>
    <row r="2079">
      <c r="A2079" s="4561" t="n"/>
      <c r="B2079" s="4561" t="n"/>
      <c r="C2079" s="4561" t="n"/>
      <c r="D2079" s="4561" t="n"/>
      <c r="E2079" s="4561" t="n"/>
      <c r="F2079" s="4561" t="n"/>
    </row>
    <row r="2080">
      <c r="A2080" s="4561" t="n"/>
      <c r="B2080" s="4561" t="n"/>
      <c r="C2080" s="4561" t="n"/>
      <c r="D2080" s="4561" t="n"/>
      <c r="E2080" s="4561" t="n"/>
      <c r="F2080" s="4561" t="n"/>
    </row>
    <row r="2081">
      <c r="A2081" s="4561" t="n"/>
      <c r="B2081" s="4561" t="n"/>
      <c r="C2081" s="4561" t="n"/>
      <c r="D2081" s="4561" t="n"/>
      <c r="E2081" s="4561" t="n"/>
      <c r="F2081" s="4561" t="n"/>
    </row>
    <row r="2082">
      <c r="A2082" s="4561" t="n"/>
      <c r="B2082" s="4561" t="n"/>
      <c r="C2082" s="4561" t="n"/>
      <c r="D2082" s="4561" t="n"/>
      <c r="E2082" s="4561" t="n"/>
      <c r="F2082" s="4561" t="n"/>
    </row>
    <row r="2083">
      <c r="A2083" s="4561" t="n"/>
      <c r="B2083" s="4561" t="n"/>
      <c r="C2083" s="4561" t="n"/>
      <c r="D2083" s="4561" t="n"/>
      <c r="E2083" s="4561" t="n"/>
      <c r="F2083" s="4561" t="n"/>
    </row>
    <row r="2084">
      <c r="A2084" s="4561" t="n"/>
      <c r="B2084" s="4561" t="n"/>
      <c r="C2084" s="4561" t="n"/>
      <c r="D2084" s="4561" t="n"/>
      <c r="E2084" s="4561" t="n"/>
      <c r="F2084" s="4561" t="n"/>
    </row>
    <row r="2085">
      <c r="A2085" s="4561" t="n"/>
      <c r="B2085" s="4561" t="n"/>
      <c r="C2085" s="4561" t="n"/>
      <c r="D2085" s="4561" t="n"/>
      <c r="E2085" s="4561" t="n"/>
      <c r="F2085" s="4561" t="n"/>
    </row>
    <row r="2086">
      <c r="A2086" s="4561" t="n"/>
      <c r="B2086" s="4561" t="n"/>
      <c r="C2086" s="4561" t="n"/>
      <c r="D2086" s="4561" t="n"/>
      <c r="E2086" s="4561" t="n"/>
      <c r="F2086" s="4561" t="n"/>
    </row>
    <row r="2087">
      <c r="A2087" s="4561" t="n"/>
      <c r="B2087" s="4561" t="n"/>
      <c r="C2087" s="4561" t="n"/>
      <c r="D2087" s="4561" t="n"/>
      <c r="E2087" s="4561" t="n"/>
      <c r="F2087" s="4561" t="n"/>
    </row>
    <row r="2088">
      <c r="A2088" s="4561" t="n"/>
      <c r="B2088" s="4561" t="n"/>
      <c r="C2088" s="4561" t="n"/>
      <c r="D2088" s="4561" t="n"/>
      <c r="E2088" s="4561" t="n"/>
      <c r="F2088" s="4561" t="n"/>
    </row>
    <row r="2089">
      <c r="A2089" s="4561" t="n"/>
      <c r="B2089" s="4561" t="n"/>
      <c r="C2089" s="4561" t="n"/>
      <c r="D2089" s="4561" t="n"/>
      <c r="E2089" s="4561" t="n"/>
      <c r="F2089" s="4561" t="n"/>
    </row>
    <row r="2090">
      <c r="A2090" s="4561" t="n"/>
      <c r="B2090" s="4561" t="n"/>
      <c r="C2090" s="4561" t="n"/>
      <c r="D2090" s="4561" t="n"/>
      <c r="E2090" s="4561" t="n"/>
      <c r="F2090" s="4561" t="n"/>
    </row>
    <row r="2091">
      <c r="A2091" s="4561" t="n"/>
      <c r="B2091" s="4561" t="n"/>
      <c r="C2091" s="4561" t="n"/>
      <c r="D2091" s="4561" t="n"/>
      <c r="E2091" s="4561" t="n"/>
      <c r="F2091" s="4561" t="n"/>
    </row>
    <row r="2092">
      <c r="A2092" s="4561" t="n"/>
      <c r="B2092" s="4561" t="n"/>
      <c r="C2092" s="4561" t="n"/>
      <c r="D2092" s="4561" t="n"/>
      <c r="E2092" s="4561" t="n"/>
      <c r="F2092" s="4561" t="n"/>
    </row>
    <row r="2093">
      <c r="A2093" s="4561" t="n"/>
      <c r="B2093" s="4561" t="n"/>
      <c r="C2093" s="4561" t="n"/>
      <c r="D2093" s="4561" t="n"/>
      <c r="E2093" s="4561" t="n"/>
      <c r="F2093" s="4561" t="n"/>
    </row>
    <row r="2094">
      <c r="A2094" s="4561" t="n"/>
      <c r="B2094" s="4561" t="n"/>
      <c r="C2094" s="4561" t="n"/>
      <c r="D2094" s="4561" t="n"/>
      <c r="E2094" s="4561" t="n"/>
      <c r="F2094" s="4561" t="n"/>
    </row>
    <row r="2095">
      <c r="A2095" s="4561" t="n"/>
      <c r="B2095" s="4561" t="n"/>
      <c r="C2095" s="4561" t="n"/>
      <c r="D2095" s="4561" t="n"/>
      <c r="E2095" s="4561" t="n"/>
      <c r="F2095" s="4561" t="n"/>
    </row>
    <row r="2096">
      <c r="A2096" s="4561" t="n"/>
      <c r="B2096" s="4561" t="n"/>
      <c r="C2096" s="4561" t="n"/>
      <c r="D2096" s="4561" t="n"/>
      <c r="E2096" s="4561" t="n"/>
      <c r="F2096" s="4561" t="n"/>
    </row>
    <row r="2097">
      <c r="A2097" s="4561" t="n"/>
      <c r="B2097" s="4561" t="n"/>
      <c r="C2097" s="4561" t="n"/>
      <c r="D2097" s="4561" t="n"/>
      <c r="E2097" s="4561" t="n"/>
      <c r="F2097" s="4561" t="n"/>
    </row>
    <row r="2098">
      <c r="A2098" s="4561" t="n"/>
      <c r="B2098" s="4561" t="n"/>
      <c r="C2098" s="4561" t="n"/>
      <c r="D2098" s="4561" t="n"/>
      <c r="E2098" s="4561" t="n"/>
      <c r="F2098" s="4561" t="n"/>
    </row>
    <row r="2099">
      <c r="A2099" s="4561" t="n"/>
      <c r="B2099" s="4561" t="n"/>
      <c r="C2099" s="4561" t="n"/>
      <c r="D2099" s="4561" t="n"/>
      <c r="E2099" s="4561" t="n"/>
      <c r="F2099" s="4561" t="n"/>
    </row>
    <row r="2100">
      <c r="A2100" s="4561" t="n"/>
      <c r="B2100" s="4561" t="n"/>
      <c r="C2100" s="4561" t="n"/>
      <c r="D2100" s="4561" t="n"/>
      <c r="E2100" s="4561" t="n"/>
      <c r="F2100" s="4561" t="n"/>
    </row>
    <row r="2101">
      <c r="A2101" s="4561" t="n"/>
      <c r="B2101" s="4561" t="n"/>
      <c r="C2101" s="4561" t="n"/>
      <c r="D2101" s="4561" t="n"/>
      <c r="E2101" s="4561" t="n"/>
      <c r="F2101" s="4561" t="n"/>
    </row>
    <row r="2102">
      <c r="A2102" s="4561" t="n"/>
      <c r="B2102" s="4561" t="n"/>
      <c r="C2102" s="4561" t="n"/>
      <c r="D2102" s="4561" t="n"/>
      <c r="E2102" s="4561" t="n"/>
      <c r="F2102" s="4561" t="n"/>
    </row>
    <row r="2103">
      <c r="A2103" s="4561" t="n"/>
      <c r="B2103" s="4561" t="n"/>
      <c r="C2103" s="4561" t="n"/>
      <c r="D2103" s="4561" t="n"/>
      <c r="E2103" s="4561" t="n"/>
      <c r="F2103" s="4561" t="n"/>
    </row>
    <row r="2104">
      <c r="A2104" s="4561" t="n"/>
      <c r="B2104" s="4561" t="n"/>
      <c r="C2104" s="4561" t="n"/>
      <c r="D2104" s="4561" t="n"/>
      <c r="E2104" s="4561" t="n"/>
      <c r="F2104" s="4561" t="n"/>
    </row>
    <row r="2105">
      <c r="A2105" s="4561" t="n"/>
      <c r="B2105" s="4561" t="n"/>
      <c r="C2105" s="4561" t="n"/>
      <c r="D2105" s="4561" t="n"/>
      <c r="E2105" s="4561" t="n"/>
      <c r="F2105" s="4561" t="n"/>
    </row>
    <row r="2106">
      <c r="A2106" s="4561" t="n"/>
      <c r="B2106" s="4561" t="n"/>
      <c r="C2106" s="4561" t="n"/>
      <c r="D2106" s="4561" t="n"/>
      <c r="E2106" s="4561" t="n"/>
      <c r="F2106" s="4561" t="n"/>
    </row>
    <row r="2107">
      <c r="A2107" s="4561" t="n"/>
      <c r="B2107" s="4561" t="n"/>
      <c r="C2107" s="4561" t="n"/>
      <c r="D2107" s="4561" t="n"/>
      <c r="E2107" s="4561" t="n"/>
      <c r="F2107" s="4561" t="n"/>
    </row>
    <row r="2108">
      <c r="A2108" s="4561" t="n"/>
      <c r="B2108" s="4561" t="n"/>
      <c r="C2108" s="4561" t="n"/>
      <c r="D2108" s="4561" t="n"/>
      <c r="E2108" s="4561" t="n"/>
      <c r="F2108" s="4561" t="n"/>
    </row>
    <row r="2109">
      <c r="A2109" s="4561" t="n"/>
      <c r="B2109" s="4561" t="n"/>
      <c r="C2109" s="4561" t="n"/>
      <c r="D2109" s="4561" t="n"/>
      <c r="E2109" s="4561" t="n"/>
      <c r="F2109" s="4561" t="n"/>
    </row>
    <row r="2110">
      <c r="A2110" s="4561" t="n"/>
      <c r="B2110" s="4561" t="n"/>
      <c r="C2110" s="4561" t="n"/>
      <c r="D2110" s="4561" t="n"/>
      <c r="E2110" s="4561" t="n"/>
      <c r="F2110" s="4561" t="n"/>
    </row>
    <row r="2111">
      <c r="A2111" s="4561" t="n"/>
      <c r="B2111" s="4561" t="n"/>
      <c r="C2111" s="4561" t="n"/>
      <c r="D2111" s="4561" t="n"/>
      <c r="E2111" s="4561" t="n"/>
      <c r="F2111" s="4561" t="n"/>
    </row>
    <row r="2112">
      <c r="A2112" s="4561" t="n"/>
      <c r="B2112" s="4561" t="n"/>
      <c r="C2112" s="4561" t="n"/>
      <c r="D2112" s="4561" t="n"/>
      <c r="E2112" s="4561" t="n"/>
      <c r="F2112" s="4561" t="n"/>
    </row>
    <row r="2113">
      <c r="A2113" s="4561" t="n"/>
      <c r="B2113" s="4561" t="n"/>
      <c r="C2113" s="4561" t="n"/>
      <c r="D2113" s="4561" t="n"/>
      <c r="E2113" s="4561" t="n"/>
      <c r="F2113" s="4561" t="n"/>
    </row>
    <row r="2114">
      <c r="A2114" s="4561" t="n"/>
      <c r="B2114" s="4561" t="n"/>
      <c r="C2114" s="4561" t="n"/>
      <c r="D2114" s="4561" t="n"/>
      <c r="E2114" s="4561" t="n"/>
      <c r="F2114" s="4561" t="n"/>
    </row>
    <row r="2115">
      <c r="A2115" s="4561" t="n"/>
      <c r="B2115" s="4561" t="n"/>
      <c r="C2115" s="4561" t="n"/>
      <c r="D2115" s="4561" t="n"/>
      <c r="E2115" s="4561" t="n"/>
      <c r="F2115" s="4561" t="n"/>
    </row>
    <row r="2116">
      <c r="A2116" s="4561" t="n"/>
      <c r="B2116" s="4561" t="n"/>
      <c r="C2116" s="4561" t="n"/>
      <c r="D2116" s="4561" t="n"/>
      <c r="E2116" s="4561" t="n"/>
      <c r="F2116" s="4561" t="n"/>
    </row>
    <row r="2117">
      <c r="A2117" s="4561" t="n"/>
      <c r="B2117" s="4561" t="n"/>
      <c r="C2117" s="4561" t="n"/>
      <c r="D2117" s="4561" t="n"/>
      <c r="E2117" s="4561" t="n"/>
      <c r="F2117" s="4561" t="n"/>
    </row>
    <row r="2118">
      <c r="A2118" s="4561" t="n"/>
      <c r="B2118" s="4561" t="n"/>
      <c r="C2118" s="4561" t="n"/>
      <c r="D2118" s="4561" t="n"/>
      <c r="E2118" s="4561" t="n"/>
      <c r="F2118" s="4561" t="n"/>
    </row>
    <row r="2119">
      <c r="A2119" s="4561" t="n"/>
      <c r="B2119" s="4561" t="n"/>
      <c r="C2119" s="4561" t="n"/>
      <c r="D2119" s="4561" t="n"/>
      <c r="E2119" s="4561" t="n"/>
      <c r="F2119" s="4561" t="n"/>
    </row>
    <row r="2120">
      <c r="A2120" s="4561" t="n"/>
      <c r="B2120" s="4561" t="n"/>
      <c r="C2120" s="4561" t="n"/>
      <c r="D2120" s="4561" t="n"/>
      <c r="E2120" s="4561" t="n"/>
      <c r="F2120" s="4561" t="n"/>
    </row>
    <row r="2121">
      <c r="A2121" s="4561" t="n"/>
      <c r="B2121" s="4561" t="n"/>
      <c r="C2121" s="4561" t="n"/>
      <c r="D2121" s="4561" t="n"/>
      <c r="E2121" s="4561" t="n"/>
      <c r="F2121" s="4561" t="n"/>
    </row>
    <row r="2122">
      <c r="A2122" s="4561" t="n"/>
      <c r="B2122" s="4561" t="n"/>
      <c r="C2122" s="4561" t="n"/>
      <c r="D2122" s="4561" t="n"/>
      <c r="E2122" s="4561" t="n"/>
      <c r="F2122" s="4561" t="n"/>
    </row>
    <row r="2123">
      <c r="A2123" s="4561" t="n"/>
      <c r="B2123" s="4561" t="n"/>
      <c r="C2123" s="4561" t="n"/>
      <c r="D2123" s="4561" t="n"/>
      <c r="E2123" s="4561" t="n"/>
      <c r="F2123" s="4561" t="n"/>
    </row>
    <row r="2124">
      <c r="A2124" s="4561" t="n"/>
      <c r="B2124" s="4561" t="n"/>
      <c r="C2124" s="4561" t="n"/>
      <c r="D2124" s="4561" t="n"/>
      <c r="E2124" s="4561" t="n"/>
      <c r="F2124" s="4561" t="n"/>
    </row>
    <row r="2125">
      <c r="A2125" s="4561" t="n"/>
      <c r="B2125" s="4561" t="n"/>
      <c r="C2125" s="4561" t="n"/>
      <c r="D2125" s="4561" t="n"/>
      <c r="E2125" s="4561" t="n"/>
      <c r="F2125" s="4561" t="n"/>
    </row>
    <row r="2126">
      <c r="A2126" s="4561" t="n"/>
      <c r="B2126" s="4561" t="n"/>
      <c r="C2126" s="4561" t="n"/>
      <c r="D2126" s="4561" t="n"/>
      <c r="E2126" s="4561" t="n"/>
      <c r="F2126" s="4561" t="n"/>
    </row>
    <row r="2127">
      <c r="A2127" s="4561" t="n"/>
      <c r="B2127" s="4561" t="n"/>
      <c r="C2127" s="4561" t="n"/>
      <c r="D2127" s="4561" t="n"/>
      <c r="E2127" s="4561" t="n"/>
      <c r="F2127" s="4561" t="n"/>
    </row>
    <row r="2128">
      <c r="A2128" s="4561" t="n"/>
      <c r="B2128" s="4561" t="n"/>
      <c r="C2128" s="4561" t="n"/>
      <c r="D2128" s="4561" t="n"/>
      <c r="E2128" s="4561" t="n"/>
      <c r="F2128" s="4561" t="n"/>
    </row>
    <row r="2129">
      <c r="A2129" s="4561" t="n"/>
      <c r="B2129" s="4561" t="n"/>
      <c r="C2129" s="4561" t="n"/>
      <c r="D2129" s="4561" t="n"/>
      <c r="E2129" s="4561" t="n"/>
      <c r="F2129" s="4561" t="n"/>
    </row>
    <row r="2130">
      <c r="A2130" s="4561" t="n"/>
      <c r="B2130" s="4561" t="n"/>
      <c r="C2130" s="4561" t="n"/>
      <c r="D2130" s="4561" t="n"/>
      <c r="E2130" s="4561" t="n"/>
      <c r="F2130" s="4561" t="n"/>
    </row>
    <row r="2131">
      <c r="A2131" s="4561" t="n"/>
      <c r="B2131" s="4561" t="n"/>
      <c r="C2131" s="4561" t="n"/>
      <c r="D2131" s="4561" t="n"/>
      <c r="E2131" s="4561" t="n"/>
      <c r="F2131" s="4561" t="n"/>
    </row>
    <row r="2132">
      <c r="A2132" s="4561" t="n"/>
      <c r="B2132" s="4561" t="n"/>
      <c r="C2132" s="4561" t="n"/>
      <c r="D2132" s="4561" t="n"/>
      <c r="E2132" s="4561" t="n"/>
      <c r="F2132" s="4561" t="n"/>
    </row>
    <row r="2133">
      <c r="A2133" s="4561" t="n"/>
      <c r="B2133" s="4561" t="n"/>
      <c r="C2133" s="4561" t="n"/>
      <c r="D2133" s="4561" t="n"/>
      <c r="E2133" s="4561" t="n"/>
      <c r="F2133" s="4561" t="n"/>
    </row>
    <row r="2134">
      <c r="A2134" s="4561" t="n"/>
      <c r="B2134" s="4561" t="n"/>
      <c r="C2134" s="4561" t="n"/>
      <c r="D2134" s="4561" t="n"/>
      <c r="E2134" s="4561" t="n"/>
      <c r="F2134" s="4561" t="n"/>
    </row>
    <row r="2135">
      <c r="A2135" s="4561" t="n"/>
      <c r="B2135" s="4561" t="n"/>
      <c r="C2135" s="4561" t="n"/>
      <c r="D2135" s="4561" t="n"/>
      <c r="E2135" s="4561" t="n"/>
      <c r="F2135" s="4561" t="n"/>
    </row>
    <row r="2136">
      <c r="A2136" s="4561" t="n"/>
      <c r="B2136" s="4561" t="n"/>
      <c r="C2136" s="4561" t="n"/>
      <c r="D2136" s="4561" t="n"/>
      <c r="E2136" s="4561" t="n"/>
      <c r="F2136" s="4561" t="n"/>
    </row>
    <row r="2137">
      <c r="A2137" s="4561" t="n"/>
      <c r="B2137" s="4561" t="n"/>
      <c r="C2137" s="4561" t="n"/>
      <c r="D2137" s="4561" t="n"/>
      <c r="E2137" s="4561" t="n"/>
      <c r="F2137" s="4561" t="n"/>
    </row>
    <row r="2138">
      <c r="A2138" s="4561" t="n"/>
      <c r="B2138" s="4561" t="n"/>
      <c r="C2138" s="4561" t="n"/>
      <c r="D2138" s="4561" t="n"/>
      <c r="E2138" s="4561" t="n"/>
      <c r="F2138" s="4561" t="n"/>
    </row>
    <row r="2139">
      <c r="A2139" s="4561" t="n"/>
      <c r="B2139" s="4561" t="n"/>
      <c r="C2139" s="4561" t="n"/>
      <c r="D2139" s="4561" t="n"/>
      <c r="E2139" s="4561" t="n"/>
      <c r="F2139" s="4561" t="n"/>
    </row>
    <row r="2140">
      <c r="A2140" s="4561" t="n"/>
      <c r="B2140" s="4561" t="n"/>
      <c r="C2140" s="4561" t="n"/>
      <c r="D2140" s="4561" t="n"/>
      <c r="E2140" s="4561" t="n"/>
      <c r="F2140" s="4561" t="n"/>
    </row>
    <row r="2141">
      <c r="A2141" s="4561" t="n"/>
      <c r="B2141" s="4561" t="n"/>
      <c r="C2141" s="4561" t="n"/>
      <c r="D2141" s="4561" t="n"/>
      <c r="E2141" s="4561" t="n"/>
      <c r="F2141" s="4561" t="n"/>
    </row>
    <row r="2142">
      <c r="A2142" s="4561" t="n"/>
      <c r="B2142" s="4561" t="n"/>
      <c r="C2142" s="4561" t="n"/>
      <c r="D2142" s="4561" t="n"/>
      <c r="E2142" s="4561" t="n"/>
      <c r="F2142" s="4561" t="n"/>
    </row>
    <row r="2143">
      <c r="A2143" s="4561" t="n"/>
      <c r="B2143" s="4561" t="n"/>
      <c r="C2143" s="4561" t="n"/>
      <c r="D2143" s="4561" t="n"/>
      <c r="E2143" s="4561" t="n"/>
      <c r="F2143" s="4561" t="n"/>
    </row>
    <row r="2144">
      <c r="A2144" s="4561" t="n"/>
      <c r="B2144" s="4561" t="n"/>
      <c r="C2144" s="4561" t="n"/>
      <c r="D2144" s="4561" t="n"/>
      <c r="E2144" s="4561" t="n"/>
      <c r="F2144" s="4561" t="n"/>
    </row>
    <row r="2145">
      <c r="A2145" s="4561" t="n"/>
      <c r="B2145" s="4561" t="n"/>
      <c r="C2145" s="4561" t="n"/>
      <c r="D2145" s="4561" t="n"/>
      <c r="E2145" s="4561" t="n"/>
      <c r="F2145" s="4561" t="n"/>
    </row>
    <row r="2146">
      <c r="A2146" s="4561" t="n"/>
      <c r="B2146" s="4561" t="n"/>
      <c r="C2146" s="4561" t="n"/>
      <c r="D2146" s="4561" t="n"/>
      <c r="E2146" s="4561" t="n"/>
      <c r="F2146" s="4561" t="n"/>
    </row>
    <row r="2147">
      <c r="A2147" s="4561" t="n"/>
      <c r="B2147" s="4561" t="n"/>
      <c r="C2147" s="4561" t="n"/>
      <c r="D2147" s="4561" t="n"/>
      <c r="E2147" s="4561" t="n"/>
      <c r="F2147" s="4561" t="n"/>
    </row>
    <row r="2148">
      <c r="A2148" s="4561" t="n"/>
      <c r="B2148" s="4561" t="n"/>
      <c r="C2148" s="4561" t="n"/>
      <c r="D2148" s="4561" t="n"/>
      <c r="E2148" s="4561" t="n"/>
      <c r="F2148" s="4561" t="n"/>
    </row>
    <row r="2149">
      <c r="A2149" s="4561" t="n"/>
      <c r="B2149" s="4561" t="n"/>
      <c r="C2149" s="4561" t="n"/>
      <c r="D2149" s="4561" t="n"/>
      <c r="E2149" s="4561" t="n"/>
      <c r="F2149" s="4561" t="n"/>
    </row>
    <row r="2150">
      <c r="A2150" s="4561" t="n"/>
      <c r="B2150" s="4561" t="n"/>
      <c r="C2150" s="4561" t="n"/>
      <c r="D2150" s="4561" t="n"/>
      <c r="E2150" s="4561" t="n"/>
      <c r="F2150" s="4561" t="n"/>
    </row>
    <row r="2151">
      <c r="A2151" s="4561" t="n"/>
      <c r="B2151" s="4561" t="n"/>
      <c r="C2151" s="4561" t="n"/>
      <c r="D2151" s="4561" t="n"/>
      <c r="E2151" s="4561" t="n"/>
      <c r="F2151" s="4561" t="n"/>
    </row>
    <row r="2152">
      <c r="A2152" s="4561" t="n"/>
      <c r="B2152" s="4561" t="n"/>
      <c r="C2152" s="4561" t="n"/>
      <c r="D2152" s="4561" t="n"/>
      <c r="E2152" s="4561" t="n"/>
      <c r="F2152" s="4561" t="n"/>
    </row>
    <row r="2153">
      <c r="A2153" s="4561" t="n"/>
      <c r="B2153" s="4561" t="n"/>
      <c r="C2153" s="4561" t="n"/>
      <c r="D2153" s="4561" t="n"/>
      <c r="E2153" s="4561" t="n"/>
      <c r="F2153" s="4561" t="n"/>
    </row>
    <row r="2154">
      <c r="A2154" s="4561" t="n"/>
      <c r="B2154" s="4561" t="n"/>
      <c r="C2154" s="4561" t="n"/>
      <c r="D2154" s="4561" t="n"/>
      <c r="E2154" s="4561" t="n"/>
      <c r="F2154" s="4561" t="n"/>
    </row>
    <row r="2155">
      <c r="A2155" s="4561" t="n"/>
      <c r="B2155" s="4561" t="n"/>
      <c r="C2155" s="4561" t="n"/>
      <c r="D2155" s="4561" t="n"/>
      <c r="E2155" s="4561" t="n"/>
      <c r="F2155" s="4561" t="n"/>
    </row>
    <row r="2156">
      <c r="A2156" s="4561" t="n"/>
      <c r="B2156" s="4561" t="n"/>
      <c r="C2156" s="4561" t="n"/>
      <c r="D2156" s="4561" t="n"/>
      <c r="E2156" s="4561" t="n"/>
      <c r="F2156" s="4561" t="n"/>
    </row>
    <row r="2157">
      <c r="A2157" s="4561" t="n"/>
      <c r="B2157" s="4561" t="n"/>
      <c r="C2157" s="4561" t="n"/>
      <c r="D2157" s="4561" t="n"/>
      <c r="E2157" s="4561" t="n"/>
      <c r="F2157" s="4561" t="n"/>
    </row>
    <row r="2158">
      <c r="A2158" s="4561" t="n"/>
      <c r="B2158" s="4561" t="n"/>
      <c r="C2158" s="4561" t="n"/>
      <c r="D2158" s="4561" t="n"/>
      <c r="E2158" s="4561" t="n"/>
      <c r="F2158" s="4561" t="n"/>
    </row>
    <row r="2159">
      <c r="A2159" s="4561" t="n"/>
      <c r="B2159" s="4561" t="n"/>
      <c r="C2159" s="4561" t="n"/>
      <c r="D2159" s="4561" t="n"/>
      <c r="E2159" s="4561" t="n"/>
      <c r="F2159" s="4561" t="n"/>
    </row>
    <row r="2160">
      <c r="A2160" s="4561" t="n"/>
      <c r="B2160" s="4561" t="n"/>
      <c r="C2160" s="4561" t="n"/>
      <c r="D2160" s="4561" t="n"/>
      <c r="E2160" s="4561" t="n"/>
      <c r="F2160" s="4561" t="n"/>
    </row>
    <row r="2161">
      <c r="A2161" s="4561" t="n"/>
      <c r="B2161" s="4561" t="n"/>
      <c r="C2161" s="4561" t="n"/>
      <c r="D2161" s="4561" t="n"/>
      <c r="E2161" s="4561" t="n"/>
      <c r="F2161" s="4561" t="n"/>
    </row>
    <row r="2162">
      <c r="A2162" s="4561" t="n"/>
      <c r="B2162" s="4561" t="n"/>
      <c r="C2162" s="4561" t="n"/>
      <c r="D2162" s="4561" t="n"/>
      <c r="E2162" s="4561" t="n"/>
      <c r="F2162" s="4561" t="n"/>
    </row>
    <row r="2163">
      <c r="A2163" s="4561" t="n"/>
      <c r="B2163" s="4561" t="n"/>
      <c r="C2163" s="4561" t="n"/>
      <c r="D2163" s="4561" t="n"/>
      <c r="E2163" s="4561" t="n"/>
      <c r="F2163" s="4561" t="n"/>
    </row>
    <row r="2164">
      <c r="A2164" s="4561" t="n"/>
      <c r="B2164" s="4561" t="n"/>
      <c r="C2164" s="4561" t="n"/>
      <c r="D2164" s="4561" t="n"/>
      <c r="E2164" s="4561" t="n"/>
      <c r="F2164" s="4561" t="n"/>
    </row>
    <row r="2165">
      <c r="A2165" s="4561" t="n"/>
      <c r="B2165" s="4561" t="n"/>
      <c r="C2165" s="4561" t="n"/>
      <c r="D2165" s="4561" t="n"/>
      <c r="E2165" s="4561" t="n"/>
      <c r="F2165" s="4561" t="n"/>
    </row>
    <row r="2166">
      <c r="A2166" s="4561" t="n"/>
      <c r="B2166" s="4561" t="n"/>
      <c r="C2166" s="4561" t="n"/>
      <c r="D2166" s="4561" t="n"/>
      <c r="E2166" s="4561" t="n"/>
      <c r="F2166" s="4561" t="n"/>
    </row>
    <row r="2167">
      <c r="A2167" s="4561" t="n"/>
      <c r="B2167" s="4561" t="n"/>
      <c r="C2167" s="4561" t="n"/>
      <c r="D2167" s="4561" t="n"/>
      <c r="E2167" s="4561" t="n"/>
      <c r="F2167" s="4561" t="n"/>
    </row>
    <row r="2168">
      <c r="A2168" s="4561" t="n"/>
      <c r="B2168" s="4561" t="n"/>
      <c r="C2168" s="4561" t="n"/>
      <c r="D2168" s="4561" t="n"/>
      <c r="E2168" s="4561" t="n"/>
      <c r="F2168" s="4561" t="n"/>
    </row>
    <row r="2169">
      <c r="A2169" s="4561" t="n"/>
      <c r="B2169" s="4561" t="n"/>
      <c r="C2169" s="4561" t="n"/>
      <c r="D2169" s="4561" t="n"/>
      <c r="E2169" s="4561" t="n"/>
      <c r="F2169" s="4561" t="n"/>
    </row>
    <row r="2170">
      <c r="A2170" s="4561" t="n"/>
      <c r="B2170" s="4561" t="n"/>
      <c r="C2170" s="4561" t="n"/>
      <c r="D2170" s="4561" t="n"/>
      <c r="E2170" s="4561" t="n"/>
      <c r="F2170" s="4561" t="n"/>
    </row>
    <row r="2171">
      <c r="A2171" s="4561" t="n"/>
      <c r="B2171" s="4561" t="n"/>
      <c r="C2171" s="4561" t="n"/>
      <c r="D2171" s="4561" t="n"/>
      <c r="E2171" s="4561" t="n"/>
      <c r="F2171" s="4561" t="n"/>
    </row>
    <row r="2172">
      <c r="A2172" s="4561" t="n"/>
      <c r="B2172" s="4561" t="n"/>
      <c r="C2172" s="4561" t="n"/>
      <c r="D2172" s="4561" t="n"/>
      <c r="E2172" s="4561" t="n"/>
      <c r="F2172" s="4561" t="n"/>
    </row>
    <row r="2173">
      <c r="A2173" s="4561" t="n"/>
      <c r="B2173" s="4561" t="n"/>
      <c r="C2173" s="4561" t="n"/>
      <c r="D2173" s="4561" t="n"/>
      <c r="E2173" s="4561" t="n"/>
      <c r="F2173" s="4561" t="n"/>
    </row>
    <row r="2174">
      <c r="A2174" s="4561" t="n"/>
      <c r="B2174" s="4561" t="n"/>
      <c r="C2174" s="4561" t="n"/>
      <c r="D2174" s="4561" t="n"/>
      <c r="E2174" s="4561" t="n"/>
      <c r="F2174" s="4561" t="n"/>
    </row>
    <row r="2175">
      <c r="A2175" s="4561" t="n"/>
      <c r="B2175" s="4561" t="n"/>
      <c r="C2175" s="4561" t="n"/>
      <c r="D2175" s="4561" t="n"/>
      <c r="E2175" s="4561" t="n"/>
      <c r="F2175" s="4561" t="n"/>
    </row>
    <row r="2176">
      <c r="A2176" s="4561" t="n"/>
      <c r="B2176" s="4561" t="n"/>
      <c r="C2176" s="4561" t="n"/>
      <c r="D2176" s="4561" t="n"/>
      <c r="E2176" s="4561" t="n"/>
      <c r="F2176" s="4561" t="n"/>
    </row>
    <row r="2177">
      <c r="A2177" s="4561" t="n"/>
      <c r="B2177" s="4561" t="n"/>
      <c r="C2177" s="4561" t="n"/>
      <c r="D2177" s="4561" t="n"/>
      <c r="E2177" s="4561" t="n"/>
      <c r="F2177" s="4561" t="n"/>
    </row>
    <row r="2178">
      <c r="A2178" s="4561" t="n"/>
      <c r="B2178" s="4561" t="n"/>
      <c r="C2178" s="4561" t="n"/>
      <c r="D2178" s="4561" t="n"/>
      <c r="E2178" s="4561" t="n"/>
      <c r="F2178" s="4561" t="n"/>
    </row>
    <row r="2179">
      <c r="A2179" s="4561" t="n"/>
      <c r="B2179" s="4561" t="n"/>
      <c r="C2179" s="4561" t="n"/>
      <c r="D2179" s="4561" t="n"/>
      <c r="E2179" s="4561" t="n"/>
      <c r="F2179" s="4561" t="n"/>
    </row>
    <row r="2180">
      <c r="A2180" s="4561" t="n"/>
      <c r="B2180" s="4561" t="n"/>
      <c r="C2180" s="4561" t="n"/>
      <c r="D2180" s="4561" t="n"/>
      <c r="E2180" s="4561" t="n"/>
      <c r="F2180" s="4561" t="n"/>
    </row>
    <row r="2181">
      <c r="A2181" s="4561" t="n"/>
      <c r="B2181" s="4561" t="n"/>
      <c r="C2181" s="4561" t="n"/>
      <c r="D2181" s="4561" t="n"/>
      <c r="E2181" s="4561" t="n"/>
      <c r="F2181" s="4561" t="n"/>
    </row>
    <row r="2182">
      <c r="A2182" s="4561" t="n"/>
      <c r="B2182" s="4561" t="n"/>
      <c r="C2182" s="4561" t="n"/>
      <c r="D2182" s="4561" t="n"/>
      <c r="E2182" s="4561" t="n"/>
      <c r="F2182" s="4561" t="n"/>
    </row>
    <row r="2183">
      <c r="A2183" s="4561" t="n"/>
      <c r="B2183" s="4561" t="n"/>
      <c r="C2183" s="4561" t="n"/>
      <c r="D2183" s="4561" t="n"/>
      <c r="E2183" s="4561" t="n"/>
      <c r="F2183" s="4561" t="n"/>
    </row>
    <row r="2184">
      <c r="A2184" s="4561" t="n"/>
      <c r="B2184" s="4561" t="n"/>
      <c r="C2184" s="4561" t="n"/>
      <c r="D2184" s="4561" t="n"/>
      <c r="E2184" s="4561" t="n"/>
      <c r="F2184" s="4561" t="n"/>
    </row>
    <row r="2185">
      <c r="A2185" s="4561" t="n"/>
      <c r="B2185" s="4561" t="n"/>
      <c r="C2185" s="4561" t="n"/>
      <c r="D2185" s="4561" t="n"/>
      <c r="E2185" s="4561" t="n"/>
      <c r="F2185" s="4561" t="n"/>
    </row>
    <row r="2186">
      <c r="A2186" s="4561" t="n"/>
      <c r="B2186" s="4561" t="n"/>
      <c r="C2186" s="4561" t="n"/>
      <c r="D2186" s="4561" t="n"/>
      <c r="E2186" s="4561" t="n"/>
      <c r="F2186" s="4561" t="n"/>
    </row>
    <row r="2187">
      <c r="A2187" s="4561" t="n"/>
      <c r="B2187" s="4561" t="n"/>
      <c r="C2187" s="4561" t="n"/>
      <c r="D2187" s="4561" t="n"/>
      <c r="E2187" s="4561" t="n"/>
      <c r="F2187" s="4561" t="n"/>
    </row>
    <row r="2188">
      <c r="A2188" s="4561" t="n"/>
      <c r="B2188" s="4561" t="n"/>
      <c r="C2188" s="4561" t="n"/>
      <c r="D2188" s="4561" t="n"/>
      <c r="E2188" s="4561" t="n"/>
      <c r="F2188" s="4561" t="n"/>
    </row>
    <row r="2189">
      <c r="A2189" s="4561" t="n"/>
      <c r="B2189" s="4561" t="n"/>
      <c r="C2189" s="4561" t="n"/>
      <c r="D2189" s="4561" t="n"/>
      <c r="E2189" s="4561" t="n"/>
      <c r="F2189" s="4561" t="n"/>
    </row>
    <row r="2190">
      <c r="A2190" s="4561" t="n"/>
      <c r="B2190" s="4561" t="n"/>
      <c r="C2190" s="4561" t="n"/>
      <c r="D2190" s="4561" t="n"/>
      <c r="E2190" s="4561" t="n"/>
      <c r="F2190" s="4561" t="n"/>
    </row>
    <row r="2191">
      <c r="A2191" s="4561" t="n"/>
      <c r="B2191" s="4561" t="n"/>
      <c r="C2191" s="4561" t="n"/>
      <c r="D2191" s="4561" t="n"/>
      <c r="E2191" s="4561" t="n"/>
      <c r="F2191" s="4561" t="n"/>
    </row>
    <row r="2192">
      <c r="A2192" s="4561" t="n"/>
      <c r="B2192" s="4561" t="n"/>
      <c r="C2192" s="4561" t="n"/>
      <c r="D2192" s="4561" t="n"/>
      <c r="E2192" s="4561" t="n"/>
      <c r="F2192" s="4561" t="n"/>
    </row>
    <row r="2193">
      <c r="A2193" s="4561" t="n"/>
      <c r="B2193" s="4561" t="n"/>
      <c r="C2193" s="4561" t="n"/>
      <c r="D2193" s="4561" t="n"/>
      <c r="E2193" s="4561" t="n"/>
      <c r="F2193" s="4561" t="n"/>
    </row>
    <row r="2194">
      <c r="A2194" s="4561" t="n"/>
      <c r="B2194" s="4561" t="n"/>
      <c r="C2194" s="4561" t="n"/>
      <c r="D2194" s="4561" t="n"/>
      <c r="E2194" s="4561" t="n"/>
      <c r="F2194" s="4561" t="n"/>
    </row>
    <row r="2195">
      <c r="A2195" s="4561" t="n"/>
      <c r="B2195" s="4561" t="n"/>
      <c r="C2195" s="4561" t="n"/>
      <c r="D2195" s="4561" t="n"/>
      <c r="E2195" s="4561" t="n"/>
      <c r="F2195" s="4561" t="n"/>
    </row>
    <row r="2196">
      <c r="A2196" s="4561" t="n"/>
      <c r="B2196" s="4561" t="n"/>
      <c r="C2196" s="4561" t="n"/>
      <c r="D2196" s="4561" t="n"/>
      <c r="E2196" s="4561" t="n"/>
      <c r="F2196" s="4561" t="n"/>
    </row>
    <row r="2197">
      <c r="A2197" s="4561" t="n"/>
      <c r="B2197" s="4561" t="n"/>
      <c r="C2197" s="4561" t="n"/>
      <c r="D2197" s="4561" t="n"/>
      <c r="E2197" s="4561" t="n"/>
      <c r="F2197" s="4561" t="n"/>
    </row>
    <row r="2198">
      <c r="A2198" s="4561" t="n"/>
      <c r="B2198" s="4561" t="n"/>
      <c r="C2198" s="4561" t="n"/>
      <c r="D2198" s="4561" t="n"/>
      <c r="E2198" s="4561" t="n"/>
      <c r="F2198" s="4561" t="n"/>
    </row>
    <row r="2199">
      <c r="A2199" s="4561" t="n"/>
      <c r="B2199" s="4561" t="n"/>
      <c r="C2199" s="4561" t="n"/>
      <c r="D2199" s="4561" t="n"/>
      <c r="E2199" s="4561" t="n"/>
      <c r="F2199" s="4561" t="n"/>
    </row>
    <row r="2200">
      <c r="A2200" s="4561" t="n"/>
      <c r="B2200" s="4561" t="n"/>
      <c r="C2200" s="4561" t="n"/>
      <c r="D2200" s="4561" t="n"/>
      <c r="E2200" s="4561" t="n"/>
      <c r="F2200" s="4561" t="n"/>
    </row>
    <row r="2201">
      <c r="A2201" s="4561" t="n"/>
      <c r="B2201" s="4561" t="n"/>
      <c r="C2201" s="4561" t="n"/>
      <c r="D2201" s="4561" t="n"/>
      <c r="E2201" s="4561" t="n"/>
      <c r="F2201" s="4561" t="n"/>
    </row>
    <row r="2202">
      <c r="A2202" s="4561" t="n"/>
      <c r="B2202" s="4561" t="n"/>
      <c r="C2202" s="4561" t="n"/>
      <c r="D2202" s="4561" t="n"/>
      <c r="E2202" s="4561" t="n"/>
      <c r="F2202" s="4561" t="n"/>
    </row>
    <row r="2203">
      <c r="A2203" s="4561" t="n"/>
      <c r="B2203" s="4561" t="n"/>
      <c r="C2203" s="4561" t="n"/>
      <c r="D2203" s="4561" t="n"/>
      <c r="E2203" s="4561" t="n"/>
      <c r="F2203" s="4561" t="n"/>
    </row>
    <row r="2204">
      <c r="A2204" s="4561" t="n"/>
      <c r="B2204" s="4561" t="n"/>
      <c r="C2204" s="4561" t="n"/>
      <c r="D2204" s="4561" t="n"/>
      <c r="E2204" s="4561" t="n"/>
      <c r="F2204" s="4561" t="n"/>
    </row>
    <row r="2205">
      <c r="A2205" s="4561" t="n"/>
      <c r="B2205" s="4561" t="n"/>
      <c r="C2205" s="4561" t="n"/>
      <c r="D2205" s="4561" t="n"/>
      <c r="E2205" s="4561" t="n"/>
      <c r="F2205" s="4561" t="n"/>
    </row>
    <row r="2206">
      <c r="A2206" s="4561" t="n"/>
      <c r="B2206" s="4561" t="n"/>
      <c r="C2206" s="4561" t="n"/>
      <c r="D2206" s="4561" t="n"/>
      <c r="E2206" s="4561" t="n"/>
      <c r="F2206" s="4561" t="n"/>
    </row>
    <row r="2207">
      <c r="A2207" s="4561" t="n"/>
      <c r="B2207" s="4561" t="n"/>
      <c r="C2207" s="4561" t="n"/>
      <c r="D2207" s="4561" t="n"/>
      <c r="E2207" s="4561" t="n"/>
      <c r="F2207" s="4561" t="n"/>
    </row>
    <row r="2208">
      <c r="A2208" s="4561" t="n"/>
      <c r="B2208" s="4561" t="n"/>
      <c r="C2208" s="4561" t="n"/>
      <c r="D2208" s="4561" t="n"/>
      <c r="E2208" s="4561" t="n"/>
      <c r="F2208" s="4561" t="n"/>
    </row>
    <row r="2209">
      <c r="A2209" s="4561" t="n"/>
      <c r="B2209" s="4561" t="n"/>
      <c r="C2209" s="4561" t="n"/>
      <c r="D2209" s="4561" t="n"/>
      <c r="E2209" s="4561" t="n"/>
      <c r="F2209" s="4561" t="n"/>
    </row>
    <row r="2210">
      <c r="A2210" s="4561" t="n"/>
      <c r="B2210" s="4561" t="n"/>
      <c r="C2210" s="4561" t="n"/>
      <c r="D2210" s="4561" t="n"/>
      <c r="E2210" s="4561" t="n"/>
      <c r="F2210" s="4561" t="n"/>
    </row>
    <row r="2211">
      <c r="A2211" s="4561" t="n"/>
      <c r="B2211" s="4561" t="n"/>
      <c r="C2211" s="4561" t="n"/>
      <c r="D2211" s="4561" t="n"/>
      <c r="E2211" s="4561" t="n"/>
      <c r="F2211" s="4561" t="n"/>
    </row>
    <row r="2212">
      <c r="A2212" s="4561" t="n"/>
      <c r="B2212" s="4561" t="n"/>
      <c r="C2212" s="4561" t="n"/>
      <c r="D2212" s="4561" t="n"/>
      <c r="E2212" s="4561" t="n"/>
      <c r="F2212" s="4561" t="n"/>
    </row>
    <row r="2213">
      <c r="A2213" s="4561" t="n"/>
      <c r="B2213" s="4561" t="n"/>
      <c r="C2213" s="4561" t="n"/>
      <c r="D2213" s="4561" t="n"/>
      <c r="E2213" s="4561" t="n"/>
      <c r="F2213" s="4561" t="n"/>
    </row>
    <row r="2214">
      <c r="A2214" s="4561" t="n"/>
      <c r="B2214" s="4561" t="n"/>
      <c r="C2214" s="4561" t="n"/>
      <c r="D2214" s="4561" t="n"/>
      <c r="E2214" s="4561" t="n"/>
      <c r="F2214" s="4561" t="n"/>
    </row>
    <row r="2215">
      <c r="A2215" s="4561" t="n"/>
      <c r="B2215" s="4561" t="n"/>
      <c r="C2215" s="4561" t="n"/>
      <c r="D2215" s="4561" t="n"/>
      <c r="E2215" s="4561" t="n"/>
      <c r="F2215" s="4561" t="n"/>
    </row>
    <row r="2216">
      <c r="A2216" s="4561" t="n"/>
      <c r="B2216" s="4561" t="n"/>
      <c r="C2216" s="4561" t="n"/>
      <c r="D2216" s="4561" t="n"/>
      <c r="E2216" s="4561" t="n"/>
      <c r="F2216" s="4561" t="n"/>
    </row>
    <row r="2217">
      <c r="A2217" s="4561" t="n"/>
      <c r="B2217" s="4561" t="n"/>
      <c r="C2217" s="4561" t="n"/>
      <c r="D2217" s="4561" t="n"/>
      <c r="E2217" s="4561" t="n"/>
      <c r="F2217" s="4561" t="n"/>
    </row>
    <row r="2218">
      <c r="A2218" s="4561" t="n"/>
      <c r="B2218" s="4561" t="n"/>
      <c r="C2218" s="4561" t="n"/>
      <c r="D2218" s="4561" t="n"/>
      <c r="E2218" s="4561" t="n"/>
      <c r="F2218" s="4561" t="n"/>
    </row>
    <row r="2219">
      <c r="A2219" s="4561" t="n"/>
      <c r="B2219" s="4561" t="n"/>
      <c r="C2219" s="4561" t="n"/>
      <c r="D2219" s="4561" t="n"/>
      <c r="E2219" s="4561" t="n"/>
      <c r="F2219" s="4561" t="n"/>
    </row>
    <row r="2220">
      <c r="A2220" s="4561" t="n"/>
      <c r="B2220" s="4561" t="n"/>
      <c r="C2220" s="4561" t="n"/>
      <c r="D2220" s="4561" t="n"/>
      <c r="E2220" s="4561" t="n"/>
      <c r="F2220" s="4561" t="n"/>
    </row>
    <row r="2221">
      <c r="A2221" s="4561" t="n"/>
      <c r="B2221" s="4561" t="n"/>
      <c r="C2221" s="4561" t="n"/>
      <c r="D2221" s="4561" t="n"/>
      <c r="E2221" s="4561" t="n"/>
      <c r="F2221" s="4561" t="n"/>
    </row>
    <row r="2222">
      <c r="A2222" s="4561" t="n"/>
      <c r="B2222" s="4561" t="n"/>
      <c r="C2222" s="4561" t="n"/>
      <c r="D2222" s="4561" t="n"/>
      <c r="E2222" s="4561" t="n"/>
      <c r="F2222" s="4561" t="n"/>
    </row>
    <row r="2223">
      <c r="A2223" s="4561" t="n"/>
      <c r="B2223" s="4561" t="n"/>
      <c r="C2223" s="4561" t="n"/>
      <c r="D2223" s="4561" t="n"/>
      <c r="E2223" s="4561" t="n"/>
      <c r="F2223" s="4561" t="n"/>
    </row>
    <row r="2224">
      <c r="A2224" s="4561" t="n"/>
      <c r="B2224" s="4561" t="n"/>
      <c r="C2224" s="4561" t="n"/>
      <c r="D2224" s="4561" t="n"/>
      <c r="E2224" s="4561" t="n"/>
      <c r="F2224" s="4561" t="n"/>
    </row>
    <row r="2225">
      <c r="A2225" s="4561" t="n"/>
      <c r="B2225" s="4561" t="n"/>
      <c r="C2225" s="4561" t="n"/>
      <c r="D2225" s="4561" t="n"/>
      <c r="E2225" s="4561" t="n"/>
      <c r="F2225" s="4561" t="n"/>
    </row>
    <row r="2226">
      <c r="A2226" s="4561" t="n"/>
      <c r="B2226" s="4561" t="n"/>
      <c r="C2226" s="4561" t="n"/>
      <c r="D2226" s="4561" t="n"/>
      <c r="E2226" s="4561" t="n"/>
      <c r="F2226" s="4561" t="n"/>
    </row>
    <row r="2227">
      <c r="A2227" s="4561" t="n"/>
      <c r="B2227" s="4561" t="n"/>
      <c r="C2227" s="4561" t="n"/>
      <c r="D2227" s="4561" t="n"/>
      <c r="E2227" s="4561" t="n"/>
      <c r="F2227" s="4561" t="n"/>
    </row>
    <row r="2228">
      <c r="A2228" s="4561" t="n"/>
      <c r="B2228" s="4561" t="n"/>
      <c r="C2228" s="4561" t="n"/>
      <c r="D2228" s="4561" t="n"/>
      <c r="E2228" s="4561" t="n"/>
      <c r="F2228" s="4561" t="n"/>
    </row>
    <row r="2229">
      <c r="A2229" s="4561" t="n"/>
      <c r="B2229" s="4561" t="n"/>
      <c r="C2229" s="4561" t="n"/>
      <c r="D2229" s="4561" t="n"/>
      <c r="E2229" s="4561" t="n"/>
      <c r="F2229" s="4561" t="n"/>
    </row>
    <row r="2230">
      <c r="A2230" s="4561" t="n"/>
      <c r="B2230" s="4561" t="n"/>
      <c r="C2230" s="4561" t="n"/>
      <c r="D2230" s="4561" t="n"/>
      <c r="E2230" s="4561" t="n"/>
      <c r="F2230" s="4561" t="n"/>
    </row>
    <row r="2231">
      <c r="A2231" s="4561" t="n"/>
      <c r="B2231" s="4561" t="n"/>
      <c r="C2231" s="4561" t="n"/>
      <c r="D2231" s="4561" t="n"/>
      <c r="E2231" s="4561" t="n"/>
      <c r="F2231" s="4561" t="n"/>
    </row>
    <row r="2232">
      <c r="A2232" s="4561" t="n"/>
      <c r="B2232" s="4561" t="n"/>
      <c r="C2232" s="4561" t="n"/>
      <c r="D2232" s="4561" t="n"/>
      <c r="E2232" s="4561" t="n"/>
      <c r="F2232" s="4561" t="n"/>
    </row>
    <row r="2233">
      <c r="A2233" s="4561" t="n"/>
      <c r="B2233" s="4561" t="n"/>
      <c r="C2233" s="4561" t="n"/>
      <c r="D2233" s="4561" t="n"/>
      <c r="E2233" s="4561" t="n"/>
      <c r="F2233" s="4561" t="n"/>
    </row>
    <row r="2234">
      <c r="A2234" s="4561" t="n"/>
      <c r="B2234" s="4561" t="n"/>
      <c r="C2234" s="4561" t="n"/>
      <c r="D2234" s="4561" t="n"/>
      <c r="E2234" s="4561" t="n"/>
      <c r="F2234" s="4561" t="n"/>
    </row>
    <row r="2235">
      <c r="A2235" s="4561" t="n"/>
      <c r="B2235" s="4561" t="n"/>
      <c r="C2235" s="4561" t="n"/>
      <c r="D2235" s="4561" t="n"/>
      <c r="E2235" s="4561" t="n"/>
      <c r="F2235" s="4561" t="n"/>
    </row>
    <row r="2236">
      <c r="A2236" s="4561" t="n"/>
      <c r="B2236" s="4561" t="n"/>
      <c r="C2236" s="4561" t="n"/>
      <c r="D2236" s="4561" t="n"/>
      <c r="E2236" s="4561" t="n"/>
      <c r="F2236" s="4561" t="n"/>
    </row>
    <row r="2237">
      <c r="A2237" s="4561" t="n"/>
      <c r="B2237" s="4561" t="n"/>
      <c r="C2237" s="4561" t="n"/>
      <c r="D2237" s="4561" t="n"/>
      <c r="E2237" s="4561" t="n"/>
      <c r="F2237" s="4561" t="n"/>
    </row>
    <row r="2238">
      <c r="A2238" s="4561" t="n"/>
      <c r="B2238" s="4561" t="n"/>
      <c r="C2238" s="4561" t="n"/>
      <c r="D2238" s="4561" t="n"/>
      <c r="E2238" s="4561" t="n"/>
      <c r="F2238" s="4561" t="n"/>
    </row>
    <row r="2239">
      <c r="A2239" s="4561" t="n"/>
      <c r="B2239" s="4561" t="n"/>
      <c r="C2239" s="4561" t="n"/>
      <c r="D2239" s="4561" t="n"/>
      <c r="E2239" s="4561" t="n"/>
      <c r="F2239" s="4561" t="n"/>
    </row>
    <row r="2240">
      <c r="A2240" s="4561" t="n"/>
      <c r="B2240" s="4561" t="n"/>
      <c r="C2240" s="4561" t="n"/>
      <c r="D2240" s="4561" t="n"/>
      <c r="E2240" s="4561" t="n"/>
      <c r="F2240" s="4561" t="n"/>
    </row>
    <row r="2241">
      <c r="A2241" s="4561" t="n"/>
      <c r="B2241" s="4561" t="n"/>
      <c r="C2241" s="4561" t="n"/>
      <c r="D2241" s="4561" t="n"/>
      <c r="E2241" s="4561" t="n"/>
      <c r="F2241" s="4561" t="n"/>
    </row>
    <row r="2242">
      <c r="A2242" s="4561" t="n"/>
      <c r="B2242" s="4561" t="n"/>
      <c r="C2242" s="4561" t="n"/>
      <c r="D2242" s="4561" t="n"/>
      <c r="E2242" s="4561" t="n"/>
      <c r="F2242" s="4561" t="n"/>
    </row>
    <row r="2243">
      <c r="A2243" s="4561" t="n"/>
      <c r="B2243" s="4561" t="n"/>
      <c r="C2243" s="4561" t="n"/>
      <c r="D2243" s="4561" t="n"/>
      <c r="E2243" s="4561" t="n"/>
      <c r="F2243" s="4561" t="n"/>
    </row>
    <row r="2244">
      <c r="A2244" s="4561" t="n"/>
      <c r="B2244" s="4561" t="n"/>
      <c r="C2244" s="4561" t="n"/>
      <c r="D2244" s="4561" t="n"/>
      <c r="E2244" s="4561" t="n"/>
      <c r="F2244" s="4561" t="n"/>
    </row>
    <row r="2245">
      <c r="A2245" s="4561" t="n"/>
      <c r="B2245" s="4561" t="n"/>
      <c r="C2245" s="4561" t="n"/>
      <c r="D2245" s="4561" t="n"/>
      <c r="E2245" s="4561" t="n"/>
      <c r="F2245" s="4561" t="n"/>
    </row>
    <row r="2246">
      <c r="A2246" s="4561" t="n"/>
      <c r="B2246" s="4561" t="n"/>
      <c r="C2246" s="4561" t="n"/>
      <c r="D2246" s="4561" t="n"/>
      <c r="E2246" s="4561" t="n"/>
      <c r="F2246" s="4561" t="n"/>
    </row>
    <row r="2247">
      <c r="A2247" s="4561" t="n"/>
      <c r="B2247" s="4561" t="n"/>
      <c r="C2247" s="4561" t="n"/>
      <c r="D2247" s="4561" t="n"/>
      <c r="E2247" s="4561" t="n"/>
      <c r="F2247" s="4561" t="n"/>
    </row>
    <row r="2248">
      <c r="A2248" s="4561" t="n"/>
      <c r="B2248" s="4561" t="n"/>
      <c r="C2248" s="4561" t="n"/>
      <c r="D2248" s="4561" t="n"/>
      <c r="E2248" s="4561" t="n"/>
      <c r="F2248" s="4561" t="n"/>
    </row>
    <row r="2249">
      <c r="A2249" s="4561" t="n"/>
      <c r="B2249" s="4561" t="n"/>
      <c r="C2249" s="4561" t="n"/>
      <c r="D2249" s="4561" t="n"/>
      <c r="E2249" s="4561" t="n"/>
      <c r="F2249" s="4561" t="n"/>
    </row>
    <row r="2250">
      <c r="A2250" s="4561" t="n"/>
      <c r="B2250" s="4561" t="n"/>
      <c r="C2250" s="4561" t="n"/>
      <c r="D2250" s="4561" t="n"/>
      <c r="E2250" s="4561" t="n"/>
      <c r="F2250" s="4561" t="n"/>
    </row>
    <row r="2251">
      <c r="A2251" s="4561" t="n"/>
      <c r="B2251" s="4561" t="n"/>
      <c r="C2251" s="4561" t="n"/>
      <c r="D2251" s="4561" t="n"/>
      <c r="E2251" s="4561" t="n"/>
      <c r="F2251" s="4561" t="n"/>
    </row>
    <row r="2252">
      <c r="A2252" s="4561" t="n"/>
      <c r="B2252" s="4561" t="n"/>
      <c r="C2252" s="4561" t="n"/>
      <c r="D2252" s="4561" t="n"/>
      <c r="E2252" s="4561" t="n"/>
      <c r="F2252" s="4561" t="n"/>
    </row>
    <row r="2253">
      <c r="A2253" s="4561" t="n"/>
      <c r="B2253" s="4561" t="n"/>
      <c r="C2253" s="4561" t="n"/>
      <c r="D2253" s="4561" t="n"/>
      <c r="E2253" s="4561" t="n"/>
      <c r="F2253" s="4561" t="n"/>
    </row>
    <row r="2254">
      <c r="A2254" s="4561" t="n"/>
      <c r="B2254" s="4561" t="n"/>
      <c r="C2254" s="4561" t="n"/>
      <c r="D2254" s="4561" t="n"/>
      <c r="E2254" s="4561" t="n"/>
      <c r="F2254" s="4561" t="n"/>
    </row>
    <row r="2255">
      <c r="A2255" s="4561" t="n"/>
      <c r="B2255" s="4561" t="n"/>
      <c r="C2255" s="4561" t="n"/>
      <c r="D2255" s="4561" t="n"/>
      <c r="E2255" s="4561" t="n"/>
      <c r="F2255" s="4561" t="n"/>
    </row>
    <row r="2256">
      <c r="A2256" s="4561" t="n"/>
      <c r="B2256" s="4561" t="n"/>
      <c r="C2256" s="4561" t="n"/>
      <c r="D2256" s="4561" t="n"/>
      <c r="E2256" s="4561" t="n"/>
      <c r="F2256" s="4561" t="n"/>
    </row>
    <row r="2257">
      <c r="A2257" s="4561" t="n"/>
      <c r="B2257" s="4561" t="n"/>
      <c r="C2257" s="4561" t="n"/>
      <c r="D2257" s="4561" t="n"/>
      <c r="E2257" s="4561" t="n"/>
      <c r="F2257" s="4561" t="n"/>
    </row>
    <row r="2258">
      <c r="A2258" s="4561" t="n"/>
      <c r="B2258" s="4561" t="n"/>
      <c r="C2258" s="4561" t="n"/>
      <c r="D2258" s="4561" t="n"/>
      <c r="E2258" s="4561" t="n"/>
      <c r="F2258" s="4561" t="n"/>
    </row>
    <row r="2259">
      <c r="A2259" s="4561" t="n"/>
      <c r="B2259" s="4561" t="n"/>
      <c r="C2259" s="4561" t="n"/>
      <c r="D2259" s="4561" t="n"/>
      <c r="E2259" s="4561" t="n"/>
      <c r="F2259" s="4561" t="n"/>
    </row>
    <row r="2260">
      <c r="A2260" s="4561" t="n"/>
      <c r="B2260" s="4561" t="n"/>
      <c r="C2260" s="4561" t="n"/>
      <c r="D2260" s="4561" t="n"/>
      <c r="E2260" s="4561" t="n"/>
      <c r="F2260" s="4561" t="n"/>
    </row>
    <row r="2261">
      <c r="A2261" s="4561" t="n"/>
      <c r="B2261" s="4561" t="n"/>
      <c r="C2261" s="4561" t="n"/>
      <c r="D2261" s="4561" t="n"/>
      <c r="E2261" s="4561" t="n"/>
      <c r="F2261" s="4561" t="n"/>
    </row>
    <row r="2262">
      <c r="A2262" s="4561" t="n"/>
      <c r="B2262" s="4561" t="n"/>
      <c r="C2262" s="4561" t="n"/>
      <c r="D2262" s="4561" t="n"/>
      <c r="E2262" s="4561" t="n"/>
      <c r="F2262" s="4561" t="n"/>
    </row>
    <row r="2263">
      <c r="A2263" s="4561" t="n"/>
      <c r="B2263" s="4561" t="n"/>
      <c r="C2263" s="4561" t="n"/>
      <c r="D2263" s="4561" t="n"/>
      <c r="E2263" s="4561" t="n"/>
      <c r="F2263" s="4561" t="n"/>
    </row>
    <row r="2264">
      <c r="A2264" s="4561" t="n"/>
      <c r="B2264" s="4561" t="n"/>
      <c r="C2264" s="4561" t="n"/>
      <c r="D2264" s="4561" t="n"/>
      <c r="E2264" s="4561" t="n"/>
      <c r="F2264" s="4561" t="n"/>
    </row>
    <row r="2265">
      <c r="A2265" s="4561" t="n"/>
      <c r="B2265" s="4561" t="n"/>
      <c r="C2265" s="4561" t="n"/>
      <c r="D2265" s="4561" t="n"/>
      <c r="E2265" s="4561" t="n"/>
      <c r="F2265" s="4561" t="n"/>
    </row>
    <row r="2266">
      <c r="A2266" s="4561" t="n"/>
      <c r="B2266" s="4561" t="n"/>
      <c r="C2266" s="4561" t="n"/>
      <c r="D2266" s="4561" t="n"/>
      <c r="E2266" s="4561" t="n"/>
      <c r="F2266" s="4561" t="n"/>
    </row>
    <row r="2267">
      <c r="A2267" s="4561" t="n"/>
      <c r="B2267" s="4561" t="n"/>
      <c r="C2267" s="4561" t="n"/>
      <c r="D2267" s="4561" t="n"/>
      <c r="E2267" s="4561" t="n"/>
      <c r="F2267" s="4561" t="n"/>
    </row>
    <row r="2268">
      <c r="A2268" s="4561" t="n"/>
      <c r="B2268" s="4561" t="n"/>
      <c r="C2268" s="4561" t="n"/>
      <c r="D2268" s="4561" t="n"/>
      <c r="E2268" s="4561" t="n"/>
      <c r="F2268" s="4561" t="n"/>
    </row>
    <row r="2269">
      <c r="A2269" s="4561" t="n"/>
      <c r="B2269" s="4561" t="n"/>
      <c r="C2269" s="4561" t="n"/>
      <c r="D2269" s="4561" t="n"/>
      <c r="E2269" s="4561" t="n"/>
      <c r="F2269" s="4561" t="n"/>
    </row>
    <row r="2270">
      <c r="A2270" s="4561" t="n"/>
      <c r="B2270" s="4561" t="n"/>
      <c r="C2270" s="4561" t="n"/>
      <c r="D2270" s="4561" t="n"/>
      <c r="E2270" s="4561" t="n"/>
      <c r="F2270" s="4561" t="n"/>
    </row>
    <row r="2271">
      <c r="A2271" s="4561" t="n"/>
      <c r="B2271" s="4561" t="n"/>
      <c r="C2271" s="4561" t="n"/>
      <c r="D2271" s="4561" t="n"/>
      <c r="E2271" s="4561" t="n"/>
      <c r="F2271" s="4561" t="n"/>
    </row>
    <row r="2272">
      <c r="A2272" s="4561" t="n"/>
      <c r="B2272" s="4561" t="n"/>
      <c r="C2272" s="4561" t="n"/>
      <c r="D2272" s="4561" t="n"/>
      <c r="E2272" s="4561" t="n"/>
      <c r="F2272" s="4561" t="n"/>
    </row>
    <row r="2273">
      <c r="A2273" s="4561" t="n"/>
      <c r="B2273" s="4561" t="n"/>
      <c r="C2273" s="4561" t="n"/>
      <c r="D2273" s="4561" t="n"/>
      <c r="E2273" s="4561" t="n"/>
      <c r="F2273" s="4561" t="n"/>
    </row>
    <row r="2274">
      <c r="A2274" s="4561" t="n"/>
      <c r="B2274" s="4561" t="n"/>
      <c r="C2274" s="4561" t="n"/>
      <c r="D2274" s="4561" t="n"/>
      <c r="E2274" s="4561" t="n"/>
      <c r="F2274" s="4561" t="n"/>
    </row>
    <row r="2275">
      <c r="A2275" s="4561" t="n"/>
      <c r="B2275" s="4561" t="n"/>
      <c r="C2275" s="4561" t="n"/>
      <c r="D2275" s="4561" t="n"/>
      <c r="E2275" s="4561" t="n"/>
      <c r="F2275" s="4561" t="n"/>
    </row>
    <row r="2276">
      <c r="A2276" s="4561" t="n"/>
      <c r="B2276" s="4561" t="n"/>
      <c r="C2276" s="4561" t="n"/>
      <c r="D2276" s="4561" t="n"/>
      <c r="E2276" s="4561" t="n"/>
      <c r="F2276" s="4561" t="n"/>
    </row>
    <row r="2277">
      <c r="A2277" s="4561" t="n"/>
      <c r="B2277" s="4561" t="n"/>
      <c r="C2277" s="4561" t="n"/>
      <c r="D2277" s="4561" t="n"/>
      <c r="E2277" s="4561" t="n"/>
      <c r="F2277" s="4561" t="n"/>
    </row>
    <row r="2278">
      <c r="A2278" s="4561" t="n"/>
      <c r="B2278" s="4561" t="n"/>
      <c r="C2278" s="4561" t="n"/>
      <c r="D2278" s="4561" t="n"/>
      <c r="E2278" s="4561" t="n"/>
      <c r="F2278" s="4561" t="n"/>
    </row>
    <row r="2279">
      <c r="A2279" s="4561" t="n"/>
      <c r="B2279" s="4561" t="n"/>
      <c r="C2279" s="4561" t="n"/>
      <c r="D2279" s="4561" t="n"/>
      <c r="E2279" s="4561" t="n"/>
      <c r="F2279" s="4561" t="n"/>
    </row>
    <row r="2280">
      <c r="A2280" s="4561" t="n"/>
      <c r="B2280" s="4561" t="n"/>
      <c r="C2280" s="4561" t="n"/>
      <c r="D2280" s="4561" t="n"/>
      <c r="E2280" s="4561" t="n"/>
      <c r="F2280" s="4561" t="n"/>
    </row>
    <row r="2281">
      <c r="A2281" s="4561" t="n"/>
      <c r="B2281" s="4561" t="n"/>
      <c r="C2281" s="4561" t="n"/>
      <c r="D2281" s="4561" t="n"/>
      <c r="E2281" s="4561" t="n"/>
      <c r="F2281" s="4561" t="n"/>
    </row>
    <row r="2282">
      <c r="A2282" s="4561" t="n"/>
      <c r="B2282" s="4561" t="n"/>
      <c r="C2282" s="4561" t="n"/>
      <c r="D2282" s="4561" t="n"/>
      <c r="E2282" s="4561" t="n"/>
      <c r="F2282" s="4561" t="n"/>
    </row>
    <row r="2283">
      <c r="A2283" s="4561" t="n"/>
      <c r="B2283" s="4561" t="n"/>
      <c r="C2283" s="4561" t="n"/>
      <c r="D2283" s="4561" t="n"/>
      <c r="E2283" s="4561" t="n"/>
      <c r="F2283" s="4561" t="n"/>
    </row>
    <row r="2284">
      <c r="A2284" s="4561" t="n"/>
      <c r="B2284" s="4561" t="n"/>
      <c r="C2284" s="4561" t="n"/>
      <c r="D2284" s="4561" t="n"/>
      <c r="E2284" s="4561" t="n"/>
      <c r="F2284" s="4561" t="n"/>
    </row>
    <row r="2285">
      <c r="A2285" s="4561" t="n"/>
      <c r="B2285" s="4561" t="n"/>
      <c r="C2285" s="4561" t="n"/>
      <c r="D2285" s="4561" t="n"/>
      <c r="E2285" s="4561" t="n"/>
      <c r="F2285" s="4561" t="n"/>
    </row>
    <row r="2286">
      <c r="A2286" s="4561" t="n"/>
      <c r="B2286" s="4561" t="n"/>
      <c r="C2286" s="4561" t="n"/>
      <c r="D2286" s="4561" t="n"/>
      <c r="E2286" s="4561" t="n"/>
      <c r="F2286" s="4561" t="n"/>
    </row>
    <row r="2287">
      <c r="A2287" s="4561" t="n"/>
      <c r="B2287" s="4561" t="n"/>
      <c r="C2287" s="4561" t="n"/>
      <c r="D2287" s="4561" t="n"/>
      <c r="E2287" s="4561" t="n"/>
      <c r="F2287" s="4561" t="n"/>
    </row>
    <row r="2288">
      <c r="A2288" s="4561" t="n"/>
      <c r="B2288" s="4561" t="n"/>
      <c r="C2288" s="4561" t="n"/>
      <c r="D2288" s="4561" t="n"/>
      <c r="E2288" s="4561" t="n"/>
      <c r="F2288" s="4561" t="n"/>
    </row>
    <row r="2289">
      <c r="A2289" s="4561" t="n"/>
      <c r="B2289" s="4561" t="n"/>
      <c r="C2289" s="4561" t="n"/>
      <c r="D2289" s="4561" t="n"/>
      <c r="E2289" s="4561" t="n"/>
      <c r="F2289" s="4561" t="n"/>
    </row>
    <row r="2290">
      <c r="A2290" s="4561" t="n"/>
      <c r="B2290" s="4561" t="n"/>
      <c r="C2290" s="4561" t="n"/>
      <c r="D2290" s="4561" t="n"/>
      <c r="E2290" s="4561" t="n"/>
      <c r="F2290" s="4561" t="n"/>
    </row>
    <row r="2291">
      <c r="A2291" s="4561" t="n"/>
      <c r="B2291" s="4561" t="n"/>
      <c r="C2291" s="4561" t="n"/>
      <c r="D2291" s="4561" t="n"/>
      <c r="E2291" s="4561" t="n"/>
      <c r="F2291" s="4561" t="n"/>
    </row>
    <row r="2292">
      <c r="A2292" s="4561" t="n"/>
      <c r="B2292" s="4561" t="n"/>
      <c r="C2292" s="4561" t="n"/>
      <c r="D2292" s="4561" t="n"/>
      <c r="E2292" s="4561" t="n"/>
      <c r="F2292" s="4561" t="n"/>
    </row>
    <row r="2293">
      <c r="A2293" s="4561" t="n"/>
      <c r="B2293" s="4561" t="n"/>
      <c r="C2293" s="4561" t="n"/>
      <c r="D2293" s="4561" t="n"/>
      <c r="E2293" s="4561" t="n"/>
      <c r="F2293" s="4561" t="n"/>
    </row>
    <row r="2294">
      <c r="A2294" s="4561" t="n"/>
      <c r="B2294" s="4561" t="n"/>
      <c r="C2294" s="4561" t="n"/>
      <c r="D2294" s="4561" t="n"/>
      <c r="E2294" s="4561" t="n"/>
      <c r="F2294" s="4561" t="n"/>
    </row>
    <row r="2295">
      <c r="A2295" s="4561" t="n"/>
      <c r="B2295" s="4561" t="n"/>
      <c r="C2295" s="4561" t="n"/>
      <c r="D2295" s="4561" t="n"/>
      <c r="E2295" s="4561" t="n"/>
      <c r="F2295" s="4561" t="n"/>
    </row>
    <row r="2296">
      <c r="A2296" s="4561" t="n"/>
      <c r="B2296" s="4561" t="n"/>
      <c r="C2296" s="4561" t="n"/>
      <c r="D2296" s="4561" t="n"/>
      <c r="E2296" s="4561" t="n"/>
      <c r="F2296" s="4561" t="n"/>
    </row>
    <row r="2297">
      <c r="A2297" s="4561" t="n"/>
      <c r="B2297" s="4561" t="n"/>
      <c r="C2297" s="4561" t="n"/>
      <c r="D2297" s="4561" t="n"/>
      <c r="E2297" s="4561" t="n"/>
      <c r="F2297" s="4561" t="n"/>
    </row>
    <row r="2298">
      <c r="A2298" s="4561" t="n"/>
      <c r="B2298" s="4561" t="n"/>
      <c r="C2298" s="4561" t="n"/>
      <c r="D2298" s="4561" t="n"/>
      <c r="E2298" s="4561" t="n"/>
      <c r="F2298" s="4561" t="n"/>
    </row>
    <row r="2299">
      <c r="A2299" s="4561" t="n"/>
      <c r="B2299" s="4561" t="n"/>
      <c r="C2299" s="4561" t="n"/>
      <c r="D2299" s="4561" t="n"/>
      <c r="E2299" s="4561" t="n"/>
      <c r="F2299" s="4561" t="n"/>
    </row>
    <row r="2300">
      <c r="A2300" s="4561" t="n"/>
      <c r="B2300" s="4561" t="n"/>
      <c r="C2300" s="4561" t="n"/>
      <c r="D2300" s="4561" t="n"/>
      <c r="E2300" s="4561" t="n"/>
      <c r="F2300" s="4561" t="n"/>
    </row>
    <row r="2301">
      <c r="A2301" s="4561" t="n"/>
      <c r="B2301" s="4561" t="n"/>
      <c r="C2301" s="4561" t="n"/>
      <c r="D2301" s="4561" t="n"/>
      <c r="E2301" s="4561" t="n"/>
      <c r="F2301" s="4561" t="n"/>
    </row>
    <row r="2302">
      <c r="A2302" s="4561" t="n"/>
      <c r="B2302" s="4561" t="n"/>
      <c r="C2302" s="4561" t="n"/>
      <c r="D2302" s="4561" t="n"/>
      <c r="E2302" s="4561" t="n"/>
      <c r="F2302" s="4561" t="n"/>
    </row>
    <row r="2303">
      <c r="A2303" s="4561" t="n"/>
      <c r="B2303" s="4561" t="n"/>
      <c r="C2303" s="4561" t="n"/>
      <c r="D2303" s="4561" t="n"/>
      <c r="E2303" s="4561" t="n"/>
      <c r="F2303" s="4561" t="n"/>
    </row>
    <row r="2304">
      <c r="A2304" s="4561" t="n"/>
      <c r="B2304" s="4561" t="n"/>
      <c r="C2304" s="4561" t="n"/>
      <c r="D2304" s="4561" t="n"/>
      <c r="E2304" s="4561" t="n"/>
      <c r="F2304" s="4561" t="n"/>
    </row>
    <row r="2305">
      <c r="A2305" s="4561" t="n"/>
      <c r="B2305" s="4561" t="n"/>
      <c r="C2305" s="4561" t="n"/>
      <c r="D2305" s="4561" t="n"/>
      <c r="E2305" s="4561" t="n"/>
      <c r="F2305" s="4561" t="n"/>
    </row>
    <row r="2306">
      <c r="A2306" s="4561" t="n"/>
      <c r="B2306" s="4561" t="n"/>
      <c r="C2306" s="4561" t="n"/>
      <c r="D2306" s="4561" t="n"/>
      <c r="E2306" s="4561" t="n"/>
      <c r="F2306" s="4561" t="n"/>
    </row>
    <row r="2307">
      <c r="A2307" s="4561" t="n"/>
      <c r="B2307" s="4561" t="n"/>
      <c r="C2307" s="4561" t="n"/>
      <c r="D2307" s="4561" t="n"/>
      <c r="E2307" s="4561" t="n"/>
      <c r="F2307" s="4561" t="n"/>
    </row>
    <row r="2308">
      <c r="A2308" s="4561" t="n"/>
      <c r="B2308" s="4561" t="n"/>
      <c r="C2308" s="4561" t="n"/>
      <c r="D2308" s="4561" t="n"/>
      <c r="E2308" s="4561" t="n"/>
      <c r="F2308" s="4561" t="n"/>
    </row>
    <row r="2309">
      <c r="A2309" s="4561" t="n"/>
      <c r="B2309" s="4561" t="n"/>
      <c r="C2309" s="4561" t="n"/>
      <c r="D2309" s="4561" t="n"/>
      <c r="E2309" s="4561" t="n"/>
      <c r="F2309" s="4561" t="n"/>
    </row>
    <row r="2310">
      <c r="A2310" s="4561" t="n"/>
      <c r="B2310" s="4561" t="n"/>
      <c r="C2310" s="4561" t="n"/>
      <c r="D2310" s="4561" t="n"/>
      <c r="E2310" s="4561" t="n"/>
      <c r="F2310" s="4561" t="n"/>
    </row>
    <row r="2311">
      <c r="A2311" s="4561" t="n"/>
      <c r="B2311" s="4561" t="n"/>
      <c r="C2311" s="4561" t="n"/>
      <c r="D2311" s="4561" t="n"/>
      <c r="E2311" s="4561" t="n"/>
      <c r="F2311" s="4561" t="n"/>
    </row>
    <row r="2312">
      <c r="A2312" s="4561" t="n"/>
      <c r="B2312" s="4561" t="n"/>
      <c r="C2312" s="4561" t="n"/>
      <c r="D2312" s="4561" t="n"/>
      <c r="E2312" s="4561" t="n"/>
      <c r="F2312" s="4561" t="n"/>
    </row>
    <row r="2313">
      <c r="A2313" s="4561" t="n"/>
      <c r="B2313" s="4561" t="n"/>
      <c r="C2313" s="4561" t="n"/>
      <c r="D2313" s="4561" t="n"/>
      <c r="E2313" s="4561" t="n"/>
      <c r="F2313" s="4561" t="n"/>
    </row>
    <row r="2314">
      <c r="A2314" s="4561" t="n"/>
      <c r="B2314" s="4561" t="n"/>
      <c r="C2314" s="4561" t="n"/>
      <c r="D2314" s="4561" t="n"/>
      <c r="E2314" s="4561" t="n"/>
      <c r="F2314" s="4561" t="n"/>
    </row>
    <row r="2315">
      <c r="A2315" s="4561" t="n"/>
      <c r="B2315" s="4561" t="n"/>
      <c r="C2315" s="4561" t="n"/>
      <c r="D2315" s="4561" t="n"/>
      <c r="E2315" s="4561" t="n"/>
      <c r="F2315" s="4561" t="n"/>
    </row>
    <row r="2316">
      <c r="A2316" s="4561" t="n"/>
      <c r="B2316" s="4561" t="n"/>
      <c r="C2316" s="4561" t="n"/>
      <c r="D2316" s="4561" t="n"/>
      <c r="E2316" s="4561" t="n"/>
      <c r="F2316" s="4561" t="n"/>
    </row>
    <row r="2317">
      <c r="A2317" s="4561" t="n"/>
      <c r="B2317" s="4561" t="n"/>
      <c r="C2317" s="4561" t="n"/>
      <c r="D2317" s="4561" t="n"/>
      <c r="E2317" s="4561" t="n"/>
      <c r="F2317" s="4561" t="n"/>
    </row>
    <row r="2318">
      <c r="A2318" s="4561" t="n"/>
      <c r="B2318" s="4561" t="n"/>
      <c r="C2318" s="4561" t="n"/>
      <c r="D2318" s="4561" t="n"/>
      <c r="E2318" s="4561" t="n"/>
      <c r="F2318" s="4561" t="n"/>
    </row>
    <row r="2319">
      <c r="A2319" s="4561" t="n"/>
      <c r="B2319" s="4561" t="n"/>
      <c r="C2319" s="4561" t="n"/>
      <c r="D2319" s="4561" t="n"/>
      <c r="E2319" s="4561" t="n"/>
      <c r="F2319" s="4561" t="n"/>
    </row>
    <row r="2320">
      <c r="A2320" s="4561" t="n"/>
      <c r="B2320" s="4561" t="n"/>
      <c r="C2320" s="4561" t="n"/>
      <c r="D2320" s="4561" t="n"/>
      <c r="E2320" s="4561" t="n"/>
      <c r="F2320" s="4561" t="n"/>
    </row>
    <row r="2321">
      <c r="A2321" s="4561" t="n"/>
      <c r="B2321" s="4561" t="n"/>
      <c r="C2321" s="4561" t="n"/>
      <c r="D2321" s="4561" t="n"/>
      <c r="E2321" s="4561" t="n"/>
      <c r="F2321" s="4561" t="n"/>
    </row>
    <row r="2322">
      <c r="A2322" s="4561" t="n"/>
      <c r="B2322" s="4561" t="n"/>
      <c r="C2322" s="4561" t="n"/>
      <c r="D2322" s="4561" t="n"/>
      <c r="E2322" s="4561" t="n"/>
      <c r="F2322" s="4561" t="n"/>
    </row>
    <row r="2323">
      <c r="A2323" s="4561" t="n"/>
      <c r="B2323" s="4561" t="n"/>
      <c r="C2323" s="4561" t="n"/>
      <c r="D2323" s="4561" t="n"/>
      <c r="E2323" s="4561" t="n"/>
      <c r="F2323" s="4561" t="n"/>
    </row>
    <row r="2324">
      <c r="A2324" s="4561" t="n"/>
      <c r="B2324" s="4561" t="n"/>
      <c r="C2324" s="4561" t="n"/>
      <c r="D2324" s="4561" t="n"/>
      <c r="E2324" s="4561" t="n"/>
      <c r="F2324" s="4561" t="n"/>
    </row>
    <row r="2325">
      <c r="A2325" s="4561" t="n"/>
      <c r="B2325" s="4561" t="n"/>
      <c r="C2325" s="4561" t="n"/>
      <c r="D2325" s="4561" t="n"/>
      <c r="E2325" s="4561" t="n"/>
      <c r="F2325" s="4561" t="n"/>
    </row>
    <row r="2326">
      <c r="A2326" s="4561" t="n"/>
      <c r="B2326" s="4561" t="n"/>
      <c r="C2326" s="4561" t="n"/>
      <c r="D2326" s="4561" t="n"/>
      <c r="E2326" s="4561" t="n"/>
      <c r="F2326" s="4561" t="n"/>
    </row>
    <row r="2327">
      <c r="A2327" s="4561" t="n"/>
      <c r="B2327" s="4561" t="n"/>
      <c r="C2327" s="4561" t="n"/>
      <c r="D2327" s="4561" t="n"/>
      <c r="E2327" s="4561" t="n"/>
      <c r="F2327" s="4561" t="n"/>
    </row>
    <row r="2328">
      <c r="A2328" s="4561" t="n"/>
      <c r="B2328" s="4561" t="n"/>
      <c r="C2328" s="4561" t="n"/>
      <c r="D2328" s="4561" t="n"/>
      <c r="E2328" s="4561" t="n"/>
      <c r="F2328" s="4561" t="n"/>
    </row>
    <row r="2329">
      <c r="A2329" s="4561" t="n"/>
      <c r="B2329" s="4561" t="n"/>
      <c r="C2329" s="4561" t="n"/>
      <c r="D2329" s="4561" t="n"/>
      <c r="E2329" s="4561" t="n"/>
      <c r="F2329" s="4561" t="n"/>
    </row>
    <row r="2330">
      <c r="A2330" s="4561" t="n"/>
      <c r="B2330" s="4561" t="n"/>
      <c r="C2330" s="4561" t="n"/>
      <c r="D2330" s="4561" t="n"/>
      <c r="E2330" s="4561" t="n"/>
      <c r="F2330" s="4561" t="n"/>
    </row>
    <row r="2331">
      <c r="A2331" s="4561" t="n"/>
      <c r="B2331" s="4561" t="n"/>
      <c r="C2331" s="4561" t="n"/>
      <c r="D2331" s="4561" t="n"/>
      <c r="E2331" s="4561" t="n"/>
      <c r="F2331" s="4561" t="n"/>
    </row>
    <row r="2332">
      <c r="A2332" s="4561" t="n"/>
      <c r="B2332" s="4561" t="n"/>
      <c r="C2332" s="4561" t="n"/>
      <c r="D2332" s="4561" t="n"/>
      <c r="E2332" s="4561" t="n"/>
      <c r="F2332" s="4561" t="n"/>
    </row>
    <row r="2333">
      <c r="A2333" s="4561" t="n"/>
      <c r="B2333" s="4561" t="n"/>
      <c r="C2333" s="4561" t="n"/>
      <c r="D2333" s="4561" t="n"/>
      <c r="E2333" s="4561" t="n"/>
      <c r="F2333" s="4561" t="n"/>
    </row>
    <row r="2334">
      <c r="A2334" s="4561" t="n"/>
      <c r="B2334" s="4561" t="n"/>
      <c r="C2334" s="4561" t="n"/>
      <c r="D2334" s="4561" t="n"/>
      <c r="E2334" s="4561" t="n"/>
      <c r="F2334" s="4561" t="n"/>
    </row>
    <row r="2335">
      <c r="A2335" s="4561" t="n"/>
      <c r="B2335" s="4561" t="n"/>
      <c r="C2335" s="4561" t="n"/>
      <c r="D2335" s="4561" t="n"/>
      <c r="E2335" s="4561" t="n"/>
      <c r="F2335" s="4561" t="n"/>
    </row>
    <row r="2336">
      <c r="A2336" s="4561" t="n"/>
      <c r="B2336" s="4561" t="n"/>
      <c r="C2336" s="4561" t="n"/>
      <c r="D2336" s="4561" t="n"/>
      <c r="E2336" s="4561" t="n"/>
      <c r="F2336" s="4561" t="n"/>
    </row>
    <row r="2337">
      <c r="A2337" s="4561" t="n"/>
      <c r="B2337" s="4561" t="n"/>
      <c r="C2337" s="4561" t="n"/>
      <c r="D2337" s="4561" t="n"/>
      <c r="E2337" s="4561" t="n"/>
      <c r="F2337" s="4561" t="n"/>
    </row>
    <row r="2338">
      <c r="A2338" s="4561" t="n"/>
      <c r="B2338" s="4561" t="n"/>
      <c r="C2338" s="4561" t="n"/>
      <c r="D2338" s="4561" t="n"/>
      <c r="E2338" s="4561" t="n"/>
      <c r="F2338" s="4561" t="n"/>
    </row>
    <row r="2339">
      <c r="A2339" s="4561" t="n"/>
      <c r="B2339" s="4561" t="n"/>
      <c r="C2339" s="4561" t="n"/>
      <c r="D2339" s="4561" t="n"/>
      <c r="E2339" s="4561" t="n"/>
      <c r="F2339" s="4561" t="n"/>
    </row>
    <row r="2340">
      <c r="A2340" s="4561" t="n"/>
      <c r="B2340" s="4561" t="n"/>
      <c r="C2340" s="4561" t="n"/>
      <c r="D2340" s="4561" t="n"/>
      <c r="E2340" s="4561" t="n"/>
      <c r="F2340" s="4561" t="n"/>
    </row>
    <row r="2341">
      <c r="A2341" s="4561" t="n"/>
      <c r="B2341" s="4561" t="n"/>
      <c r="C2341" s="4561" t="n"/>
      <c r="D2341" s="4561" t="n"/>
      <c r="E2341" s="4561" t="n"/>
      <c r="F2341" s="4561" t="n"/>
    </row>
    <row r="2342">
      <c r="A2342" s="4561" t="n"/>
      <c r="B2342" s="4561" t="n"/>
      <c r="C2342" s="4561" t="n"/>
      <c r="D2342" s="4561" t="n"/>
      <c r="E2342" s="4561" t="n"/>
      <c r="F2342" s="4561" t="n"/>
    </row>
    <row r="2343">
      <c r="A2343" s="4561" t="n"/>
      <c r="B2343" s="4561" t="n"/>
      <c r="C2343" s="4561" t="n"/>
      <c r="D2343" s="4561" t="n"/>
      <c r="E2343" s="4561" t="n"/>
      <c r="F2343" s="4561" t="n"/>
    </row>
    <row r="2344">
      <c r="A2344" s="4561" t="n"/>
      <c r="B2344" s="4561" t="n"/>
      <c r="C2344" s="4561" t="n"/>
      <c r="D2344" s="4561" t="n"/>
      <c r="E2344" s="4561" t="n"/>
      <c r="F2344" s="4561" t="n"/>
    </row>
    <row r="2345">
      <c r="A2345" s="4561" t="n"/>
      <c r="B2345" s="4561" t="n"/>
      <c r="C2345" s="4561" t="n"/>
      <c r="D2345" s="4561" t="n"/>
      <c r="E2345" s="4561" t="n"/>
      <c r="F2345" s="4561" t="n"/>
    </row>
    <row r="2346">
      <c r="A2346" s="4561" t="n"/>
      <c r="B2346" s="4561" t="n"/>
      <c r="C2346" s="4561" t="n"/>
      <c r="D2346" s="4561" t="n"/>
      <c r="E2346" s="4561" t="n"/>
      <c r="F2346" s="4561" t="n"/>
    </row>
    <row r="2347">
      <c r="A2347" s="4561" t="n"/>
      <c r="B2347" s="4561" t="n"/>
      <c r="C2347" s="4561" t="n"/>
      <c r="D2347" s="4561" t="n"/>
      <c r="E2347" s="4561" t="n"/>
      <c r="F2347" s="4561" t="n"/>
    </row>
    <row r="2348">
      <c r="A2348" s="4561" t="n"/>
      <c r="B2348" s="4561" t="n"/>
      <c r="C2348" s="4561" t="n"/>
      <c r="D2348" s="4561" t="n"/>
      <c r="E2348" s="4561" t="n"/>
      <c r="F2348" s="4561" t="n"/>
    </row>
    <row r="2349">
      <c r="A2349" s="4561" t="n"/>
      <c r="B2349" s="4561" t="n"/>
      <c r="C2349" s="4561" t="n"/>
      <c r="D2349" s="4561" t="n"/>
      <c r="E2349" s="4561" t="n"/>
      <c r="F2349" s="4561" t="n"/>
    </row>
    <row r="2350">
      <c r="A2350" s="4561" t="n"/>
      <c r="B2350" s="4561" t="n"/>
      <c r="C2350" s="4561" t="n"/>
      <c r="D2350" s="4561" t="n"/>
      <c r="E2350" s="4561" t="n"/>
      <c r="F2350" s="4561" t="n"/>
    </row>
    <row r="2351">
      <c r="A2351" s="4561" t="n"/>
      <c r="B2351" s="4561" t="n"/>
      <c r="C2351" s="4561" t="n"/>
      <c r="D2351" s="4561" t="n"/>
      <c r="E2351" s="4561" t="n"/>
      <c r="F2351" s="4561" t="n"/>
    </row>
    <row r="2352">
      <c r="A2352" s="4561" t="n"/>
      <c r="B2352" s="4561" t="n"/>
      <c r="C2352" s="4561" t="n"/>
      <c r="D2352" s="4561" t="n"/>
      <c r="E2352" s="4561" t="n"/>
      <c r="F2352" s="4561" t="n"/>
    </row>
    <row r="2353">
      <c r="A2353" s="4561" t="n"/>
      <c r="B2353" s="4561" t="n"/>
      <c r="C2353" s="4561" t="n"/>
      <c r="D2353" s="4561" t="n"/>
      <c r="E2353" s="4561" t="n"/>
      <c r="F2353" s="4561" t="n"/>
    </row>
    <row r="2354">
      <c r="A2354" s="4561" t="n"/>
      <c r="B2354" s="4561" t="n"/>
      <c r="C2354" s="4561" t="n"/>
      <c r="D2354" s="4561" t="n"/>
      <c r="E2354" s="4561" t="n"/>
      <c r="F2354" s="4561" t="n"/>
    </row>
    <row r="2355">
      <c r="A2355" s="4561" t="n"/>
      <c r="B2355" s="4561" t="n"/>
      <c r="C2355" s="4561" t="n"/>
      <c r="D2355" s="4561" t="n"/>
      <c r="E2355" s="4561" t="n"/>
      <c r="F2355" s="4561" t="n"/>
    </row>
    <row r="2356">
      <c r="A2356" s="4561" t="n"/>
      <c r="B2356" s="4561" t="n"/>
      <c r="C2356" s="4561" t="n"/>
      <c r="D2356" s="4561" t="n"/>
      <c r="E2356" s="4561" t="n"/>
      <c r="F2356" s="4561" t="n"/>
    </row>
    <row r="2357">
      <c r="A2357" s="4561" t="n"/>
      <c r="B2357" s="4561" t="n"/>
      <c r="C2357" s="4561" t="n"/>
      <c r="D2357" s="4561" t="n"/>
      <c r="E2357" s="4561" t="n"/>
      <c r="F2357" s="4561" t="n"/>
    </row>
    <row r="2358">
      <c r="A2358" s="4561" t="n"/>
      <c r="B2358" s="4561" t="n"/>
      <c r="C2358" s="4561" t="n"/>
      <c r="D2358" s="4561" t="n"/>
      <c r="E2358" s="4561" t="n"/>
      <c r="F2358" s="4561" t="n"/>
    </row>
    <row r="2359">
      <c r="A2359" s="4561" t="n"/>
      <c r="B2359" s="4561" t="n"/>
      <c r="C2359" s="4561" t="n"/>
      <c r="D2359" s="4561" t="n"/>
      <c r="E2359" s="4561" t="n"/>
      <c r="F2359" s="4561" t="n"/>
    </row>
    <row r="2360">
      <c r="A2360" s="4561" t="n"/>
      <c r="B2360" s="4561" t="n"/>
      <c r="C2360" s="4561" t="n"/>
      <c r="D2360" s="4561" t="n"/>
      <c r="E2360" s="4561" t="n"/>
      <c r="F2360" s="4561" t="n"/>
    </row>
    <row r="2361">
      <c r="A2361" s="4561" t="n"/>
      <c r="B2361" s="4561" t="n"/>
      <c r="C2361" s="4561" t="n"/>
      <c r="D2361" s="4561" t="n"/>
      <c r="E2361" s="4561" t="n"/>
      <c r="F2361" s="4561" t="n"/>
    </row>
    <row r="2362">
      <c r="A2362" s="4561" t="n"/>
      <c r="B2362" s="4561" t="n"/>
      <c r="C2362" s="4561" t="n"/>
      <c r="D2362" s="4561" t="n"/>
      <c r="E2362" s="4561" t="n"/>
      <c r="F2362" s="4561" t="n"/>
    </row>
    <row r="2363">
      <c r="A2363" s="4561" t="n"/>
      <c r="B2363" s="4561" t="n"/>
      <c r="C2363" s="4561" t="n"/>
      <c r="D2363" s="4561" t="n"/>
      <c r="E2363" s="4561" t="n"/>
      <c r="F2363" s="4561" t="n"/>
    </row>
    <row r="2364">
      <c r="A2364" s="4561" t="n"/>
      <c r="B2364" s="4561" t="n"/>
      <c r="C2364" s="4561" t="n"/>
      <c r="D2364" s="4561" t="n"/>
      <c r="E2364" s="4561" t="n"/>
      <c r="F2364" s="4561" t="n"/>
    </row>
    <row r="2365">
      <c r="A2365" s="4561" t="n"/>
      <c r="B2365" s="4561" t="n"/>
      <c r="C2365" s="4561" t="n"/>
      <c r="D2365" s="4561" t="n"/>
      <c r="E2365" s="4561" t="n"/>
      <c r="F2365" s="4561" t="n"/>
    </row>
    <row r="2366">
      <c r="A2366" s="4561" t="n"/>
      <c r="B2366" s="4561" t="n"/>
      <c r="C2366" s="4561" t="n"/>
      <c r="D2366" s="4561" t="n"/>
      <c r="E2366" s="4561" t="n"/>
      <c r="F2366" s="4561" t="n"/>
    </row>
    <row r="2367">
      <c r="A2367" s="4561" t="n"/>
      <c r="B2367" s="4561" t="n"/>
      <c r="C2367" s="4561" t="n"/>
      <c r="D2367" s="4561" t="n"/>
      <c r="E2367" s="4561" t="n"/>
      <c r="F2367" s="4561" t="n"/>
    </row>
    <row r="2368">
      <c r="A2368" s="4561" t="n"/>
      <c r="B2368" s="4561" t="n"/>
      <c r="C2368" s="4561" t="n"/>
      <c r="D2368" s="4561" t="n"/>
      <c r="E2368" s="4561" t="n"/>
      <c r="F2368" s="4561" t="n"/>
    </row>
    <row r="2369">
      <c r="A2369" s="4561" t="n"/>
      <c r="B2369" s="4561" t="n"/>
      <c r="C2369" s="4561" t="n"/>
      <c r="D2369" s="4561" t="n"/>
      <c r="E2369" s="4561" t="n"/>
      <c r="F2369" s="4561" t="n"/>
    </row>
    <row r="2370">
      <c r="A2370" s="4561" t="n"/>
      <c r="B2370" s="4561" t="n"/>
      <c r="C2370" s="4561" t="n"/>
      <c r="D2370" s="4561" t="n"/>
      <c r="E2370" s="4561" t="n"/>
      <c r="F2370" s="4561" t="n"/>
    </row>
    <row r="2371">
      <c r="A2371" s="4561" t="n"/>
      <c r="B2371" s="4561" t="n"/>
      <c r="C2371" s="4561" t="n"/>
      <c r="D2371" s="4561" t="n"/>
      <c r="E2371" s="4561" t="n"/>
      <c r="F2371" s="4561" t="n"/>
    </row>
    <row r="2372">
      <c r="A2372" s="4561" t="n"/>
      <c r="B2372" s="4561" t="n"/>
      <c r="C2372" s="4561" t="n"/>
      <c r="D2372" s="4561" t="n"/>
      <c r="E2372" s="4561" t="n"/>
      <c r="F2372" s="4561" t="n"/>
    </row>
    <row r="2373">
      <c r="A2373" s="4561" t="n"/>
      <c r="B2373" s="4561" t="n"/>
      <c r="C2373" s="4561" t="n"/>
      <c r="D2373" s="4561" t="n"/>
      <c r="E2373" s="4561" t="n"/>
      <c r="F2373" s="4561" t="n"/>
    </row>
    <row r="2374">
      <c r="A2374" s="4561" t="n"/>
      <c r="B2374" s="4561" t="n"/>
      <c r="C2374" s="4561" t="n"/>
      <c r="D2374" s="4561" t="n"/>
      <c r="E2374" s="4561" t="n"/>
      <c r="F2374" s="4561" t="n"/>
    </row>
    <row r="2375">
      <c r="A2375" s="4561" t="n"/>
      <c r="B2375" s="4561" t="n"/>
      <c r="C2375" s="4561" t="n"/>
      <c r="D2375" s="4561" t="n"/>
      <c r="E2375" s="4561" t="n"/>
      <c r="F2375" s="4561" t="n"/>
    </row>
    <row r="2376">
      <c r="A2376" s="4561" t="n"/>
      <c r="B2376" s="4561" t="n"/>
      <c r="C2376" s="4561" t="n"/>
      <c r="D2376" s="4561" t="n"/>
      <c r="E2376" s="4561" t="n"/>
      <c r="F2376" s="4561" t="n"/>
    </row>
    <row r="2377">
      <c r="A2377" s="4561" t="n"/>
      <c r="B2377" s="4561" t="n"/>
      <c r="C2377" s="4561" t="n"/>
      <c r="D2377" s="4561" t="n"/>
      <c r="E2377" s="4561" t="n"/>
      <c r="F2377" s="4561" t="n"/>
    </row>
    <row r="2378">
      <c r="A2378" s="4561" t="n"/>
      <c r="B2378" s="4561" t="n"/>
      <c r="C2378" s="4561" t="n"/>
      <c r="D2378" s="4561" t="n"/>
      <c r="E2378" s="4561" t="n"/>
      <c r="F2378" s="4561" t="n"/>
    </row>
    <row r="2379">
      <c r="A2379" s="4561" t="n"/>
      <c r="B2379" s="4561" t="n"/>
      <c r="C2379" s="4561" t="n"/>
      <c r="D2379" s="4561" t="n"/>
      <c r="E2379" s="4561" t="n"/>
      <c r="F2379" s="4561" t="n"/>
    </row>
    <row r="2380">
      <c r="A2380" s="4561" t="n"/>
      <c r="B2380" s="4561" t="n"/>
      <c r="C2380" s="4561" t="n"/>
      <c r="D2380" s="4561" t="n"/>
      <c r="E2380" s="4561" t="n"/>
      <c r="F2380" s="4561" t="n"/>
    </row>
    <row r="2381">
      <c r="A2381" s="4561" t="n"/>
      <c r="B2381" s="4561" t="n"/>
      <c r="C2381" s="4561" t="n"/>
      <c r="D2381" s="4561" t="n"/>
      <c r="E2381" s="4561" t="n"/>
      <c r="F2381" s="4561" t="n"/>
    </row>
    <row r="2382">
      <c r="A2382" s="4561" t="n"/>
      <c r="B2382" s="4561" t="n"/>
      <c r="C2382" s="4561" t="n"/>
      <c r="D2382" s="4561" t="n"/>
      <c r="E2382" s="4561" t="n"/>
      <c r="F2382" s="4561" t="n"/>
    </row>
    <row r="2383">
      <c r="A2383" s="4561" t="n"/>
      <c r="B2383" s="4561" t="n"/>
      <c r="C2383" s="4561" t="n"/>
      <c r="D2383" s="4561" t="n"/>
      <c r="E2383" s="4561" t="n"/>
      <c r="F2383" s="4561" t="n"/>
    </row>
    <row r="2384">
      <c r="A2384" s="4561" t="n"/>
      <c r="B2384" s="4561" t="n"/>
      <c r="C2384" s="4561" t="n"/>
      <c r="D2384" s="4561" t="n"/>
      <c r="E2384" s="4561" t="n"/>
      <c r="F2384" s="4561" t="n"/>
    </row>
    <row r="2385">
      <c r="A2385" s="4561" t="n"/>
      <c r="B2385" s="4561" t="n"/>
      <c r="C2385" s="4561" t="n"/>
      <c r="D2385" s="4561" t="n"/>
      <c r="E2385" s="4561" t="n"/>
      <c r="F2385" s="4561" t="n"/>
    </row>
    <row r="2386">
      <c r="A2386" s="4561" t="n"/>
      <c r="B2386" s="4561" t="n"/>
      <c r="C2386" s="4561" t="n"/>
      <c r="D2386" s="4561" t="n"/>
      <c r="E2386" s="4561" t="n"/>
      <c r="F2386" s="4561" t="n"/>
    </row>
    <row r="2387">
      <c r="A2387" s="4561" t="n"/>
      <c r="B2387" s="4561" t="n"/>
      <c r="C2387" s="4561" t="n"/>
      <c r="D2387" s="4561" t="n"/>
      <c r="E2387" s="4561" t="n"/>
      <c r="F2387" s="4561" t="n"/>
    </row>
    <row r="2388">
      <c r="A2388" s="4561" t="n"/>
      <c r="B2388" s="4561" t="n"/>
      <c r="C2388" s="4561" t="n"/>
      <c r="D2388" s="4561" t="n"/>
      <c r="E2388" s="4561" t="n"/>
      <c r="F2388" s="4561" t="n"/>
    </row>
    <row r="2389">
      <c r="A2389" s="4561" t="n"/>
      <c r="B2389" s="4561" t="n"/>
      <c r="C2389" s="4561" t="n"/>
      <c r="D2389" s="4561" t="n"/>
      <c r="E2389" s="4561" t="n"/>
      <c r="F2389" s="4561" t="n"/>
    </row>
    <row r="2390">
      <c r="A2390" s="4561" t="n"/>
      <c r="B2390" s="4561" t="n"/>
      <c r="C2390" s="4561" t="n"/>
      <c r="D2390" s="4561" t="n"/>
      <c r="E2390" s="4561" t="n"/>
      <c r="F2390" s="4561" t="n"/>
    </row>
    <row r="2391">
      <c r="A2391" s="4561" t="n"/>
      <c r="B2391" s="4561" t="n"/>
      <c r="C2391" s="4561" t="n"/>
      <c r="D2391" s="4561" t="n"/>
      <c r="E2391" s="4561" t="n"/>
      <c r="F2391" s="4561" t="n"/>
    </row>
    <row r="2392">
      <c r="A2392" s="4561" t="n"/>
      <c r="B2392" s="4561" t="n"/>
      <c r="C2392" s="4561" t="n"/>
      <c r="D2392" s="4561" t="n"/>
      <c r="E2392" s="4561" t="n"/>
      <c r="F2392" s="4561" t="n"/>
    </row>
    <row r="2393">
      <c r="A2393" s="4561" t="n"/>
      <c r="B2393" s="4561" t="n"/>
      <c r="C2393" s="4561" t="n"/>
      <c r="D2393" s="4561" t="n"/>
      <c r="E2393" s="4561" t="n"/>
      <c r="F2393" s="4561" t="n"/>
    </row>
    <row r="2394">
      <c r="A2394" s="4561" t="n"/>
      <c r="B2394" s="4561" t="n"/>
      <c r="C2394" s="4561" t="n"/>
      <c r="D2394" s="4561" t="n"/>
      <c r="E2394" s="4561" t="n"/>
      <c r="F2394" s="4561" t="n"/>
    </row>
    <row r="2395">
      <c r="A2395" s="4561" t="n"/>
      <c r="B2395" s="4561" t="n"/>
      <c r="C2395" s="4561" t="n"/>
      <c r="D2395" s="4561" t="n"/>
      <c r="E2395" s="4561" t="n"/>
      <c r="F2395" s="4561" t="n"/>
    </row>
    <row r="2396">
      <c r="A2396" s="4561" t="n"/>
      <c r="B2396" s="4561" t="n"/>
      <c r="C2396" s="4561" t="n"/>
      <c r="D2396" s="4561" t="n"/>
      <c r="E2396" s="4561" t="n"/>
      <c r="F2396" s="4561" t="n"/>
    </row>
    <row r="2397">
      <c r="A2397" s="4561" t="n"/>
      <c r="B2397" s="4561" t="n"/>
      <c r="C2397" s="4561" t="n"/>
      <c r="D2397" s="4561" t="n"/>
      <c r="E2397" s="4561" t="n"/>
      <c r="F2397" s="4561" t="n"/>
    </row>
    <row r="2398">
      <c r="A2398" s="4561" t="n"/>
      <c r="B2398" s="4561" t="n"/>
      <c r="C2398" s="4561" t="n"/>
      <c r="D2398" s="4561" t="n"/>
      <c r="E2398" s="4561" t="n"/>
      <c r="F2398" s="4561" t="n"/>
    </row>
    <row r="2399">
      <c r="A2399" s="4561" t="n"/>
      <c r="B2399" s="4561" t="n"/>
      <c r="C2399" s="4561" t="n"/>
      <c r="D2399" s="4561" t="n"/>
      <c r="E2399" s="4561" t="n"/>
      <c r="F2399" s="4561" t="n"/>
    </row>
    <row r="2400">
      <c r="A2400" s="4561" t="n"/>
      <c r="B2400" s="4561" t="n"/>
      <c r="C2400" s="4561" t="n"/>
      <c r="D2400" s="4561" t="n"/>
      <c r="E2400" s="4561" t="n"/>
      <c r="F2400" s="4561" t="n"/>
    </row>
    <row r="2401">
      <c r="A2401" s="4561" t="n"/>
      <c r="B2401" s="4561" t="n"/>
      <c r="C2401" s="4561" t="n"/>
      <c r="D2401" s="4561" t="n"/>
      <c r="E2401" s="4561" t="n"/>
      <c r="F2401" s="4561" t="n"/>
    </row>
    <row r="2402">
      <c r="A2402" s="4561" t="n"/>
      <c r="B2402" s="4561" t="n"/>
      <c r="C2402" s="4561" t="n"/>
      <c r="D2402" s="4561" t="n"/>
      <c r="E2402" s="4561" t="n"/>
      <c r="F2402" s="4561" t="n"/>
    </row>
    <row r="2403">
      <c r="A2403" s="4561" t="n"/>
      <c r="B2403" s="4561" t="n"/>
      <c r="C2403" s="4561" t="n"/>
      <c r="D2403" s="4561" t="n"/>
      <c r="E2403" s="4561" t="n"/>
      <c r="F2403" s="4561" t="n"/>
    </row>
    <row r="2404">
      <c r="A2404" s="4561" t="n"/>
      <c r="B2404" s="4561" t="n"/>
      <c r="C2404" s="4561" t="n"/>
      <c r="D2404" s="4561" t="n"/>
      <c r="E2404" s="4561" t="n"/>
      <c r="F2404" s="4561" t="n"/>
    </row>
    <row r="2405">
      <c r="A2405" s="4561" t="n"/>
      <c r="B2405" s="4561" t="n"/>
      <c r="C2405" s="4561" t="n"/>
      <c r="D2405" s="4561" t="n"/>
      <c r="E2405" s="4561" t="n"/>
      <c r="F2405" s="4561" t="n"/>
    </row>
    <row r="2406">
      <c r="A2406" s="4561" t="n"/>
      <c r="B2406" s="4561" t="n"/>
      <c r="C2406" s="4561" t="n"/>
      <c r="D2406" s="4561" t="n"/>
      <c r="E2406" s="4561" t="n"/>
      <c r="F2406" s="4561" t="n"/>
    </row>
    <row r="2407">
      <c r="A2407" s="4561" t="n"/>
      <c r="B2407" s="4561" t="n"/>
      <c r="C2407" s="4561" t="n"/>
      <c r="D2407" s="4561" t="n"/>
      <c r="E2407" s="4561" t="n"/>
      <c r="F2407" s="4561" t="n"/>
    </row>
    <row r="2408">
      <c r="A2408" s="4561" t="n"/>
      <c r="B2408" s="4561" t="n"/>
      <c r="C2408" s="4561" t="n"/>
      <c r="D2408" s="4561" t="n"/>
      <c r="E2408" s="4561" t="n"/>
      <c r="F2408" s="4561" t="n"/>
    </row>
    <row r="2409">
      <c r="A2409" s="4561" t="n"/>
      <c r="B2409" s="4561" t="n"/>
      <c r="C2409" s="4561" t="n"/>
      <c r="D2409" s="4561" t="n"/>
      <c r="E2409" s="4561" t="n"/>
      <c r="F2409" s="4561" t="n"/>
    </row>
    <row r="2410">
      <c r="A2410" s="4561" t="n"/>
      <c r="B2410" s="4561" t="n"/>
      <c r="C2410" s="4561" t="n"/>
      <c r="D2410" s="4561" t="n"/>
      <c r="E2410" s="4561" t="n"/>
      <c r="F2410" s="4561" t="n"/>
    </row>
    <row r="2411">
      <c r="A2411" s="4561" t="n"/>
      <c r="B2411" s="4561" t="n"/>
      <c r="C2411" s="4561" t="n"/>
      <c r="D2411" s="4561" t="n"/>
      <c r="E2411" s="4561" t="n"/>
      <c r="F2411" s="4561" t="n"/>
    </row>
    <row r="2412">
      <c r="A2412" s="4561" t="n"/>
      <c r="B2412" s="4561" t="n"/>
      <c r="C2412" s="4561" t="n"/>
      <c r="D2412" s="4561" t="n"/>
      <c r="E2412" s="4561" t="n"/>
      <c r="F2412" s="4561" t="n"/>
    </row>
    <row r="2413">
      <c r="A2413" s="4561" t="n"/>
      <c r="B2413" s="4561" t="n"/>
      <c r="C2413" s="4561" t="n"/>
      <c r="D2413" s="4561" t="n"/>
      <c r="E2413" s="4561" t="n"/>
      <c r="F2413" s="4561" t="n"/>
    </row>
    <row r="2414">
      <c r="A2414" s="4561" t="n"/>
      <c r="B2414" s="4561" t="n"/>
      <c r="C2414" s="4561" t="n"/>
      <c r="D2414" s="4561" t="n"/>
      <c r="E2414" s="4561" t="n"/>
      <c r="F2414" s="4561" t="n"/>
    </row>
    <row r="2415">
      <c r="A2415" s="4561" t="n"/>
      <c r="B2415" s="4561" t="n"/>
      <c r="C2415" s="4561" t="n"/>
      <c r="D2415" s="4561" t="n"/>
      <c r="E2415" s="4561" t="n"/>
      <c r="F2415" s="4561" t="n"/>
    </row>
    <row r="2416">
      <c r="A2416" s="4561" t="n"/>
      <c r="B2416" s="4561" t="n"/>
      <c r="C2416" s="4561" t="n"/>
      <c r="D2416" s="4561" t="n"/>
      <c r="E2416" s="4561" t="n"/>
      <c r="F2416" s="4561" t="n"/>
    </row>
    <row r="2417">
      <c r="A2417" s="4561" t="n"/>
      <c r="B2417" s="4561" t="n"/>
      <c r="C2417" s="4561" t="n"/>
      <c r="D2417" s="4561" t="n"/>
      <c r="E2417" s="4561" t="n"/>
      <c r="F2417" s="4561" t="n"/>
    </row>
    <row r="2418">
      <c r="A2418" s="4561" t="n"/>
      <c r="B2418" s="4561" t="n"/>
      <c r="C2418" s="4561" t="n"/>
      <c r="D2418" s="4561" t="n"/>
      <c r="E2418" s="4561" t="n"/>
      <c r="F2418" s="4561" t="n"/>
    </row>
    <row r="2419">
      <c r="A2419" s="4561" t="n"/>
      <c r="B2419" s="4561" t="n"/>
      <c r="C2419" s="4561" t="n"/>
      <c r="D2419" s="4561" t="n"/>
      <c r="E2419" s="4561" t="n"/>
      <c r="F2419" s="4561" t="n"/>
    </row>
    <row r="2420">
      <c r="A2420" s="4561" t="n"/>
      <c r="B2420" s="4561" t="n"/>
      <c r="C2420" s="4561" t="n"/>
      <c r="D2420" s="4561" t="n"/>
      <c r="E2420" s="4561" t="n"/>
      <c r="F2420" s="4561" t="n"/>
    </row>
    <row r="2421">
      <c r="A2421" s="4561" t="n"/>
      <c r="B2421" s="4561" t="n"/>
      <c r="C2421" s="4561" t="n"/>
      <c r="D2421" s="4561" t="n"/>
      <c r="E2421" s="4561" t="n"/>
      <c r="F2421" s="4561" t="n"/>
    </row>
    <row r="2422">
      <c r="A2422" s="4561" t="n"/>
      <c r="B2422" s="4561" t="n"/>
      <c r="C2422" s="4561" t="n"/>
      <c r="D2422" s="4561" t="n"/>
      <c r="E2422" s="4561" t="n"/>
      <c r="F2422" s="4561" t="n"/>
    </row>
    <row r="2423">
      <c r="A2423" s="4561" t="n"/>
      <c r="B2423" s="4561" t="n"/>
      <c r="C2423" s="4561" t="n"/>
      <c r="D2423" s="4561" t="n"/>
      <c r="E2423" s="4561" t="n"/>
      <c r="F2423" s="4561" t="n"/>
    </row>
    <row r="2424">
      <c r="A2424" s="4561" t="n"/>
      <c r="B2424" s="4561" t="n"/>
      <c r="C2424" s="4561" t="n"/>
      <c r="D2424" s="4561" t="n"/>
      <c r="E2424" s="4561" t="n"/>
      <c r="F2424" s="4561" t="n"/>
    </row>
    <row r="2425">
      <c r="A2425" s="4561" t="n"/>
      <c r="B2425" s="4561" t="n"/>
      <c r="C2425" s="4561" t="n"/>
      <c r="D2425" s="4561" t="n"/>
      <c r="E2425" s="4561" t="n"/>
      <c r="F2425" s="4561" t="n"/>
    </row>
    <row r="2426">
      <c r="A2426" s="4561" t="n"/>
      <c r="B2426" s="4561" t="n"/>
      <c r="C2426" s="4561" t="n"/>
      <c r="D2426" s="4561" t="n"/>
      <c r="E2426" s="4561" t="n"/>
      <c r="F2426" s="4561" t="n"/>
    </row>
    <row r="2427">
      <c r="A2427" s="4561" t="n"/>
      <c r="B2427" s="4561" t="n"/>
      <c r="C2427" s="4561" t="n"/>
      <c r="D2427" s="4561" t="n"/>
      <c r="E2427" s="4561" t="n"/>
      <c r="F2427" s="4561" t="n"/>
    </row>
    <row r="2428">
      <c r="A2428" s="4561" t="n"/>
      <c r="B2428" s="4561" t="n"/>
      <c r="C2428" s="4561" t="n"/>
      <c r="D2428" s="4561" t="n"/>
      <c r="E2428" s="4561" t="n"/>
      <c r="F2428" s="4561" t="n"/>
    </row>
    <row r="2429">
      <c r="A2429" s="4561" t="n"/>
      <c r="B2429" s="4561" t="n"/>
      <c r="C2429" s="4561" t="n"/>
      <c r="D2429" s="4561" t="n"/>
      <c r="E2429" s="4561" t="n"/>
      <c r="F2429" s="4561" t="n"/>
    </row>
    <row r="2430">
      <c r="A2430" s="4561" t="n"/>
      <c r="B2430" s="4561" t="n"/>
      <c r="C2430" s="4561" t="n"/>
      <c r="D2430" s="4561" t="n"/>
      <c r="E2430" s="4561" t="n"/>
      <c r="F2430" s="4561" t="n"/>
    </row>
    <row r="2431">
      <c r="A2431" s="4561" t="n"/>
      <c r="B2431" s="4561" t="n"/>
      <c r="C2431" s="4561" t="n"/>
      <c r="D2431" s="4561" t="n"/>
      <c r="E2431" s="4561" t="n"/>
      <c r="F2431" s="4561" t="n"/>
    </row>
    <row r="2432">
      <c r="A2432" s="4561" t="n"/>
      <c r="B2432" s="4561" t="n"/>
      <c r="C2432" s="4561" t="n"/>
      <c r="D2432" s="4561" t="n"/>
      <c r="E2432" s="4561" t="n"/>
      <c r="F2432" s="4561" t="n"/>
    </row>
    <row r="2433">
      <c r="A2433" s="4561" t="n"/>
      <c r="B2433" s="4561" t="n"/>
      <c r="C2433" s="4561" t="n"/>
      <c r="D2433" s="4561" t="n"/>
      <c r="E2433" s="4561" t="n"/>
      <c r="F2433" s="4561" t="n"/>
    </row>
    <row r="2434">
      <c r="A2434" s="4561" t="n"/>
      <c r="B2434" s="4561" t="n"/>
      <c r="C2434" s="4561" t="n"/>
      <c r="D2434" s="4561" t="n"/>
      <c r="E2434" s="4561" t="n"/>
      <c r="F2434" s="4561" t="n"/>
    </row>
    <row r="2435">
      <c r="A2435" s="4561" t="n"/>
      <c r="B2435" s="4561" t="n"/>
      <c r="C2435" s="4561" t="n"/>
      <c r="D2435" s="4561" t="n"/>
      <c r="E2435" s="4561" t="n"/>
      <c r="F2435" s="4561" t="n"/>
    </row>
    <row r="2436">
      <c r="A2436" s="4561" t="n"/>
      <c r="B2436" s="4561" t="n"/>
      <c r="C2436" s="4561" t="n"/>
      <c r="D2436" s="4561" t="n"/>
      <c r="E2436" s="4561" t="n"/>
      <c r="F2436" s="4561" t="n"/>
    </row>
    <row r="2437">
      <c r="A2437" s="4561" t="n"/>
      <c r="B2437" s="4561" t="n"/>
      <c r="C2437" s="4561" t="n"/>
      <c r="D2437" s="4561" t="n"/>
      <c r="E2437" s="4561" t="n"/>
      <c r="F2437" s="4561" t="n"/>
    </row>
    <row r="2438">
      <c r="A2438" s="4561" t="n"/>
      <c r="B2438" s="4561" t="n"/>
      <c r="C2438" s="4561" t="n"/>
      <c r="D2438" s="4561" t="n"/>
      <c r="E2438" s="4561" t="n"/>
      <c r="F2438" s="4561" t="n"/>
    </row>
    <row r="2439">
      <c r="A2439" s="4561" t="n"/>
      <c r="B2439" s="4561" t="n"/>
      <c r="C2439" s="4561" t="n"/>
      <c r="D2439" s="4561" t="n"/>
      <c r="E2439" s="4561" t="n"/>
      <c r="F2439" s="4561" t="n"/>
    </row>
    <row r="2440">
      <c r="A2440" s="4561" t="n"/>
      <c r="B2440" s="4561" t="n"/>
      <c r="C2440" s="4561" t="n"/>
      <c r="D2440" s="4561" t="n"/>
      <c r="E2440" s="4561" t="n"/>
      <c r="F2440" s="4561" t="n"/>
    </row>
    <row r="2441">
      <c r="A2441" s="4561" t="n"/>
      <c r="B2441" s="4561" t="n"/>
      <c r="C2441" s="4561" t="n"/>
      <c r="D2441" s="4561" t="n"/>
      <c r="E2441" s="4561" t="n"/>
      <c r="F2441" s="4561" t="n"/>
    </row>
    <row r="2442">
      <c r="A2442" s="4561" t="n"/>
      <c r="B2442" s="4561" t="n"/>
      <c r="C2442" s="4561" t="n"/>
      <c r="D2442" s="4561" t="n"/>
      <c r="E2442" s="4561" t="n"/>
      <c r="F2442" s="4561" t="n"/>
    </row>
    <row r="2443">
      <c r="A2443" s="4561" t="n"/>
      <c r="B2443" s="4561" t="n"/>
      <c r="C2443" s="4561" t="n"/>
      <c r="D2443" s="4561" t="n"/>
      <c r="E2443" s="4561" t="n"/>
      <c r="F2443" s="4561" t="n"/>
    </row>
    <row r="2444">
      <c r="A2444" s="4561" t="n"/>
      <c r="B2444" s="4561" t="n"/>
      <c r="C2444" s="4561" t="n"/>
      <c r="D2444" s="4561" t="n"/>
      <c r="E2444" s="4561" t="n"/>
      <c r="F2444" s="4561" t="n"/>
    </row>
    <row r="2445">
      <c r="A2445" s="4561" t="n"/>
      <c r="B2445" s="4561" t="n"/>
      <c r="C2445" s="4561" t="n"/>
      <c r="D2445" s="4561" t="n"/>
      <c r="E2445" s="4561" t="n"/>
      <c r="F2445" s="4561" t="n"/>
    </row>
    <row r="2446">
      <c r="A2446" s="4561" t="n"/>
      <c r="B2446" s="4561" t="n"/>
      <c r="C2446" s="4561" t="n"/>
      <c r="D2446" s="4561" t="n"/>
      <c r="E2446" s="4561" t="n"/>
      <c r="F2446" s="4561" t="n"/>
    </row>
    <row r="2447">
      <c r="A2447" s="4561" t="n"/>
      <c r="B2447" s="4561" t="n"/>
      <c r="C2447" s="4561" t="n"/>
      <c r="D2447" s="4561" t="n"/>
      <c r="E2447" s="4561" t="n"/>
      <c r="F2447" s="4561" t="n"/>
    </row>
    <row r="2448">
      <c r="A2448" s="4561" t="n"/>
      <c r="B2448" s="4561" t="n"/>
      <c r="C2448" s="4561" t="n"/>
      <c r="D2448" s="4561" t="n"/>
      <c r="E2448" s="4561" t="n"/>
      <c r="F2448" s="4561" t="n"/>
    </row>
    <row r="2449">
      <c r="A2449" s="4561" t="n"/>
      <c r="B2449" s="4561" t="n"/>
      <c r="C2449" s="4561" t="n"/>
      <c r="D2449" s="4561" t="n"/>
      <c r="E2449" s="4561" t="n"/>
      <c r="F2449" s="4561" t="n"/>
    </row>
    <row r="2450">
      <c r="A2450" s="4561" t="n"/>
      <c r="B2450" s="4561" t="n"/>
      <c r="C2450" s="4561" t="n"/>
      <c r="D2450" s="4561" t="n"/>
      <c r="E2450" s="4561" t="n"/>
      <c r="F2450" s="4561" t="n"/>
    </row>
    <row r="2451">
      <c r="A2451" s="4561" t="n"/>
      <c r="B2451" s="4561" t="n"/>
      <c r="C2451" s="4561" t="n"/>
      <c r="D2451" s="4561" t="n"/>
      <c r="E2451" s="4561" t="n"/>
      <c r="F2451" s="4561" t="n"/>
    </row>
    <row r="2452">
      <c r="A2452" s="4561" t="n"/>
      <c r="B2452" s="4561" t="n"/>
      <c r="C2452" s="4561" t="n"/>
      <c r="D2452" s="4561" t="n"/>
      <c r="E2452" s="4561" t="n"/>
      <c r="F2452" s="4561" t="n"/>
    </row>
    <row r="2453">
      <c r="A2453" s="4561" t="n"/>
      <c r="B2453" s="4561" t="n"/>
      <c r="C2453" s="4561" t="n"/>
      <c r="D2453" s="4561" t="n"/>
      <c r="E2453" s="4561" t="n"/>
      <c r="F2453" s="4561" t="n"/>
    </row>
    <row r="2454">
      <c r="A2454" s="4561" t="n"/>
      <c r="B2454" s="4561" t="n"/>
      <c r="C2454" s="4561" t="n"/>
      <c r="D2454" s="4561" t="n"/>
      <c r="E2454" s="4561" t="n"/>
      <c r="F2454" s="4561" t="n"/>
    </row>
    <row r="2455">
      <c r="A2455" s="4561" t="n"/>
      <c r="B2455" s="4561" t="n"/>
      <c r="C2455" s="4561" t="n"/>
      <c r="D2455" s="4561" t="n"/>
      <c r="E2455" s="4561" t="n"/>
      <c r="F2455" s="4561" t="n"/>
    </row>
    <row r="2456">
      <c r="A2456" s="4561" t="n"/>
      <c r="B2456" s="4561" t="n"/>
      <c r="C2456" s="4561" t="n"/>
      <c r="D2456" s="4561" t="n"/>
      <c r="E2456" s="4561" t="n"/>
      <c r="F2456" s="4561" t="n"/>
    </row>
    <row r="2457">
      <c r="A2457" s="4561" t="n"/>
      <c r="B2457" s="4561" t="n"/>
      <c r="C2457" s="4561" t="n"/>
      <c r="D2457" s="4561" t="n"/>
      <c r="E2457" s="4561" t="n"/>
      <c r="F2457" s="4561" t="n"/>
    </row>
    <row r="2458">
      <c r="A2458" s="4561" t="n"/>
      <c r="B2458" s="4561" t="n"/>
      <c r="C2458" s="4561" t="n"/>
      <c r="D2458" s="4561" t="n"/>
      <c r="E2458" s="4561" t="n"/>
      <c r="F2458" s="4561" t="n"/>
    </row>
    <row r="2459">
      <c r="A2459" s="4561" t="n"/>
      <c r="B2459" s="4561" t="n"/>
      <c r="C2459" s="4561" t="n"/>
      <c r="D2459" s="4561" t="n"/>
      <c r="E2459" s="4561" t="n"/>
      <c r="F2459" s="4561" t="n"/>
    </row>
    <row r="2460">
      <c r="A2460" s="4561" t="n"/>
      <c r="B2460" s="4561" t="n"/>
      <c r="C2460" s="4561" t="n"/>
      <c r="D2460" s="4561" t="n"/>
      <c r="E2460" s="4561" t="n"/>
      <c r="F2460" s="4561" t="n"/>
    </row>
    <row r="2461">
      <c r="A2461" s="4561" t="n"/>
      <c r="B2461" s="4561" t="n"/>
      <c r="C2461" s="4561" t="n"/>
      <c r="D2461" s="4561" t="n"/>
      <c r="E2461" s="4561" t="n"/>
      <c r="F2461" s="4561" t="n"/>
    </row>
    <row r="2462">
      <c r="A2462" s="4561" t="n"/>
      <c r="B2462" s="4561" t="n"/>
      <c r="C2462" s="4561" t="n"/>
      <c r="D2462" s="4561" t="n"/>
      <c r="E2462" s="4561" t="n"/>
      <c r="F2462" s="4561" t="n"/>
    </row>
    <row r="2463">
      <c r="A2463" s="4561" t="n"/>
      <c r="B2463" s="4561" t="n"/>
      <c r="C2463" s="4561" t="n"/>
      <c r="D2463" s="4561" t="n"/>
      <c r="E2463" s="4561" t="n"/>
      <c r="F2463" s="4561" t="n"/>
    </row>
    <row r="2464">
      <c r="A2464" s="4561" t="n"/>
      <c r="B2464" s="4561" t="n"/>
      <c r="C2464" s="4561" t="n"/>
      <c r="D2464" s="4561" t="n"/>
      <c r="E2464" s="4561" t="n"/>
      <c r="F2464" s="4561" t="n"/>
    </row>
    <row r="2465">
      <c r="A2465" s="4561" t="n"/>
      <c r="B2465" s="4561" t="n"/>
      <c r="C2465" s="4561" t="n"/>
      <c r="D2465" s="4561" t="n"/>
      <c r="E2465" s="4561" t="n"/>
      <c r="F2465" s="4561" t="n"/>
    </row>
    <row r="2466">
      <c r="A2466" s="4561" t="n"/>
      <c r="B2466" s="4561" t="n"/>
      <c r="C2466" s="4561" t="n"/>
      <c r="D2466" s="4561" t="n"/>
      <c r="E2466" s="4561" t="n"/>
      <c r="F2466" s="4561" t="n"/>
    </row>
    <row r="2467">
      <c r="A2467" s="4561" t="n"/>
      <c r="B2467" s="4561" t="n"/>
      <c r="C2467" s="4561" t="n"/>
      <c r="D2467" s="4561" t="n"/>
      <c r="E2467" s="4561" t="n"/>
      <c r="F2467" s="4561" t="n"/>
    </row>
    <row r="2468">
      <c r="A2468" s="4561" t="n"/>
      <c r="B2468" s="4561" t="n"/>
      <c r="C2468" s="4561" t="n"/>
      <c r="D2468" s="4561" t="n"/>
      <c r="E2468" s="4561" t="n"/>
      <c r="F2468" s="4561" t="n"/>
    </row>
    <row r="2469">
      <c r="A2469" s="4561" t="n"/>
      <c r="B2469" s="4561" t="n"/>
      <c r="C2469" s="4561" t="n"/>
      <c r="D2469" s="4561" t="n"/>
      <c r="E2469" s="4561" t="n"/>
      <c r="F2469" s="4561" t="n"/>
    </row>
    <row r="2470">
      <c r="A2470" s="4561" t="n"/>
      <c r="B2470" s="4561" t="n"/>
      <c r="C2470" s="4561" t="n"/>
      <c r="D2470" s="4561" t="n"/>
      <c r="E2470" s="4561" t="n"/>
      <c r="F2470" s="4561" t="n"/>
    </row>
    <row r="2471">
      <c r="A2471" s="4561" t="n"/>
      <c r="B2471" s="4561" t="n"/>
      <c r="C2471" s="4561" t="n"/>
      <c r="D2471" s="4561" t="n"/>
      <c r="E2471" s="4561" t="n"/>
      <c r="F2471" s="4561" t="n"/>
    </row>
    <row r="2472">
      <c r="A2472" s="4561" t="n"/>
      <c r="B2472" s="4561" t="n"/>
      <c r="C2472" s="4561" t="n"/>
      <c r="D2472" s="4561" t="n"/>
      <c r="E2472" s="4561" t="n"/>
      <c r="F2472" s="4561" t="n"/>
    </row>
    <row r="2473">
      <c r="A2473" s="4561" t="n"/>
      <c r="B2473" s="4561" t="n"/>
      <c r="C2473" s="4561" t="n"/>
      <c r="D2473" s="4561" t="n"/>
      <c r="E2473" s="4561" t="n"/>
      <c r="F2473" s="4561" t="n"/>
    </row>
    <row r="2474">
      <c r="A2474" s="4561" t="n"/>
      <c r="B2474" s="4561" t="n"/>
      <c r="C2474" s="4561" t="n"/>
      <c r="D2474" s="4561" t="n"/>
      <c r="E2474" s="4561" t="n"/>
      <c r="F2474" s="4561" t="n"/>
    </row>
    <row r="2475">
      <c r="A2475" s="4561" t="n"/>
      <c r="B2475" s="4561" t="n"/>
      <c r="C2475" s="4561" t="n"/>
      <c r="D2475" s="4561" t="n"/>
      <c r="E2475" s="4561" t="n"/>
      <c r="F2475" s="4561" t="n"/>
    </row>
    <row r="2476">
      <c r="A2476" s="4561" t="n"/>
      <c r="B2476" s="4561" t="n"/>
      <c r="C2476" s="4561" t="n"/>
      <c r="D2476" s="4561" t="n"/>
      <c r="E2476" s="4561" t="n"/>
      <c r="F2476" s="4561" t="n"/>
    </row>
    <row r="2477">
      <c r="A2477" s="4561" t="n"/>
      <c r="B2477" s="4561" t="n"/>
      <c r="C2477" s="4561" t="n"/>
      <c r="D2477" s="4561" t="n"/>
      <c r="E2477" s="4561" t="n"/>
      <c r="F2477" s="4561" t="n"/>
    </row>
    <row r="2478">
      <c r="A2478" s="4561" t="n"/>
      <c r="B2478" s="4561" t="n"/>
      <c r="C2478" s="4561" t="n"/>
      <c r="D2478" s="4561" t="n"/>
      <c r="E2478" s="4561" t="n"/>
      <c r="F2478" s="4561" t="n"/>
    </row>
    <row r="2479">
      <c r="A2479" s="4561" t="n"/>
      <c r="B2479" s="4561" t="n"/>
      <c r="C2479" s="4561" t="n"/>
      <c r="D2479" s="4561" t="n"/>
      <c r="E2479" s="4561" t="n"/>
      <c r="F2479" s="4561" t="n"/>
    </row>
    <row r="2480">
      <c r="A2480" s="4561" t="n"/>
      <c r="B2480" s="4561" t="n"/>
      <c r="C2480" s="4561" t="n"/>
      <c r="D2480" s="4561" t="n"/>
      <c r="E2480" s="4561" t="n"/>
      <c r="F2480" s="4561" t="n"/>
    </row>
    <row r="2481">
      <c r="A2481" s="4561" t="n"/>
      <c r="B2481" s="4561" t="n"/>
      <c r="C2481" s="4561" t="n"/>
      <c r="D2481" s="4561" t="n"/>
      <c r="E2481" s="4561" t="n"/>
      <c r="F2481" s="4561" t="n"/>
    </row>
    <row r="2482">
      <c r="A2482" s="4561" t="n"/>
      <c r="B2482" s="4561" t="n"/>
      <c r="C2482" s="4561" t="n"/>
      <c r="D2482" s="4561" t="n"/>
      <c r="E2482" s="4561" t="n"/>
      <c r="F2482" s="4561" t="n"/>
    </row>
    <row r="2483">
      <c r="A2483" s="4561" t="n"/>
      <c r="B2483" s="4561" t="n"/>
      <c r="C2483" s="4561" t="n"/>
      <c r="D2483" s="4561" t="n"/>
      <c r="E2483" s="4561" t="n"/>
      <c r="F2483" s="4561" t="n"/>
    </row>
    <row r="2484">
      <c r="A2484" s="4561" t="n"/>
      <c r="B2484" s="4561" t="n"/>
      <c r="C2484" s="4561" t="n"/>
      <c r="D2484" s="4561" t="n"/>
      <c r="E2484" s="4561" t="n"/>
      <c r="F2484" s="4561" t="n"/>
    </row>
    <row r="2485">
      <c r="A2485" s="4561" t="n"/>
      <c r="B2485" s="4561" t="n"/>
      <c r="C2485" s="4561" t="n"/>
      <c r="D2485" s="4561" t="n"/>
      <c r="E2485" s="4561" t="n"/>
      <c r="F2485" s="4561" t="n"/>
    </row>
    <row r="2486">
      <c r="A2486" s="4561" t="n"/>
      <c r="B2486" s="4561" t="n"/>
      <c r="C2486" s="4561" t="n"/>
      <c r="D2486" s="4561" t="n"/>
      <c r="E2486" s="4561" t="n"/>
      <c r="F2486" s="4561" t="n"/>
    </row>
    <row r="2487">
      <c r="A2487" s="4561" t="n"/>
      <c r="B2487" s="4561" t="n"/>
      <c r="C2487" s="4561" t="n"/>
      <c r="D2487" s="4561" t="n"/>
      <c r="E2487" s="4561" t="n"/>
      <c r="F2487" s="4561" t="n"/>
    </row>
    <row r="2488">
      <c r="A2488" s="4561" t="n"/>
      <c r="B2488" s="4561" t="n"/>
      <c r="C2488" s="4561" t="n"/>
      <c r="D2488" s="4561" t="n"/>
      <c r="E2488" s="4561" t="n"/>
      <c r="F2488" s="4561" t="n"/>
    </row>
    <row r="2489">
      <c r="A2489" s="4561" t="n"/>
      <c r="B2489" s="4561" t="n"/>
      <c r="C2489" s="4561" t="n"/>
      <c r="D2489" s="4561" t="n"/>
      <c r="E2489" s="4561" t="n"/>
      <c r="F2489" s="4561" t="n"/>
    </row>
    <row r="2490">
      <c r="A2490" s="4561" t="n"/>
      <c r="B2490" s="4561" t="n"/>
      <c r="C2490" s="4561" t="n"/>
      <c r="D2490" s="4561" t="n"/>
      <c r="E2490" s="4561" t="n"/>
      <c r="F2490" s="4561" t="n"/>
    </row>
    <row r="2491">
      <c r="A2491" s="4561" t="n"/>
      <c r="B2491" s="4561" t="n"/>
      <c r="C2491" s="4561" t="n"/>
      <c r="D2491" s="4561" t="n"/>
      <c r="E2491" s="4561" t="n"/>
      <c r="F2491" s="4561" t="n"/>
    </row>
    <row r="2492">
      <c r="A2492" s="4561" t="n"/>
      <c r="B2492" s="4561" t="n"/>
      <c r="C2492" s="4561" t="n"/>
      <c r="D2492" s="4561" t="n"/>
      <c r="E2492" s="4561" t="n"/>
      <c r="F2492" s="4561" t="n"/>
    </row>
    <row r="2493">
      <c r="A2493" s="4561" t="n"/>
      <c r="B2493" s="4561" t="n"/>
      <c r="C2493" s="4561" t="n"/>
      <c r="D2493" s="4561" t="n"/>
      <c r="E2493" s="4561" t="n"/>
      <c r="F2493" s="4561" t="n"/>
    </row>
    <row r="2494">
      <c r="A2494" s="4561" t="n"/>
      <c r="B2494" s="4561" t="n"/>
      <c r="C2494" s="4561" t="n"/>
      <c r="D2494" s="4561" t="n"/>
      <c r="E2494" s="4561" t="n"/>
      <c r="F2494" s="4561" t="n"/>
    </row>
    <row r="2495">
      <c r="A2495" s="4561" t="n"/>
      <c r="B2495" s="4561" t="n"/>
      <c r="C2495" s="4561" t="n"/>
      <c r="D2495" s="4561" t="n"/>
      <c r="E2495" s="4561" t="n"/>
      <c r="F2495" s="4561" t="n"/>
    </row>
    <row r="2496">
      <c r="A2496" s="4561" t="n"/>
      <c r="B2496" s="4561" t="n"/>
      <c r="C2496" s="4561" t="n"/>
      <c r="D2496" s="4561" t="n"/>
      <c r="E2496" s="4561" t="n"/>
      <c r="F2496" s="4561" t="n"/>
    </row>
    <row r="2497">
      <c r="A2497" s="4561" t="n"/>
      <c r="B2497" s="4561" t="n"/>
      <c r="C2497" s="4561" t="n"/>
      <c r="D2497" s="4561" t="n"/>
      <c r="E2497" s="4561" t="n"/>
      <c r="F2497" s="4561" t="n"/>
    </row>
    <row r="2498">
      <c r="A2498" s="4561" t="n"/>
      <c r="B2498" s="4561" t="n"/>
      <c r="C2498" s="4561" t="n"/>
      <c r="D2498" s="4561" t="n"/>
      <c r="E2498" s="4561" t="n"/>
      <c r="F2498" s="4561" t="n"/>
    </row>
    <row r="2499">
      <c r="A2499" s="4561" t="n"/>
      <c r="B2499" s="4561" t="n"/>
      <c r="C2499" s="4561" t="n"/>
      <c r="D2499" s="4561" t="n"/>
      <c r="E2499" s="4561" t="n"/>
      <c r="F2499" s="4561" t="n"/>
    </row>
    <row r="2500">
      <c r="A2500" s="4561" t="n"/>
      <c r="B2500" s="4561" t="n"/>
      <c r="C2500" s="4561" t="n"/>
      <c r="D2500" s="4561" t="n"/>
      <c r="E2500" s="4561" t="n"/>
      <c r="F2500" s="4561" t="n"/>
    </row>
    <row r="2501">
      <c r="A2501" s="4561" t="n"/>
      <c r="B2501" s="4561" t="n"/>
      <c r="C2501" s="4561" t="n"/>
      <c r="D2501" s="4561" t="n"/>
      <c r="E2501" s="4561" t="n"/>
      <c r="F2501" s="4561" t="n"/>
    </row>
    <row r="2502">
      <c r="A2502" s="4561" t="n"/>
      <c r="B2502" s="4561" t="n"/>
      <c r="C2502" s="4561" t="n"/>
      <c r="D2502" s="4561" t="n"/>
      <c r="E2502" s="4561" t="n"/>
      <c r="F2502" s="4561" t="n"/>
    </row>
    <row r="2503">
      <c r="A2503" s="4561" t="n"/>
      <c r="B2503" s="4561" t="n"/>
      <c r="C2503" s="4561" t="n"/>
      <c r="D2503" s="4561" t="n"/>
      <c r="E2503" s="4561" t="n"/>
      <c r="F2503" s="4561" t="n"/>
    </row>
    <row r="2504">
      <c r="A2504" s="4561" t="n"/>
      <c r="B2504" s="4561" t="n"/>
      <c r="C2504" s="4561" t="n"/>
      <c r="D2504" s="4561" t="n"/>
      <c r="E2504" s="4561" t="n"/>
      <c r="F2504" s="4561" t="n"/>
    </row>
    <row r="2505">
      <c r="A2505" s="4561" t="n"/>
      <c r="B2505" s="4561" t="n"/>
      <c r="C2505" s="4561" t="n"/>
      <c r="D2505" s="4561" t="n"/>
      <c r="E2505" s="4561" t="n"/>
      <c r="F2505" s="4561" t="n"/>
    </row>
    <row r="2506">
      <c r="A2506" s="4561" t="n"/>
      <c r="B2506" s="4561" t="n"/>
      <c r="C2506" s="4561" t="n"/>
      <c r="D2506" s="4561" t="n"/>
      <c r="E2506" s="4561" t="n"/>
      <c r="F2506" s="4561" t="n"/>
    </row>
    <row r="2507">
      <c r="A2507" s="4561" t="n"/>
      <c r="B2507" s="4561" t="n"/>
      <c r="C2507" s="4561" t="n"/>
      <c r="D2507" s="4561" t="n"/>
      <c r="E2507" s="4561" t="n"/>
      <c r="F2507" s="4561" t="n"/>
    </row>
    <row r="2508">
      <c r="A2508" s="4561" t="n"/>
      <c r="B2508" s="4561" t="n"/>
      <c r="C2508" s="4561" t="n"/>
      <c r="D2508" s="4561" t="n"/>
      <c r="E2508" s="4561" t="n"/>
      <c r="F2508" s="4561" t="n"/>
    </row>
    <row r="2509">
      <c r="A2509" s="4561" t="n"/>
      <c r="B2509" s="4561" t="n"/>
      <c r="C2509" s="4561" t="n"/>
      <c r="D2509" s="4561" t="n"/>
      <c r="E2509" s="4561" t="n"/>
      <c r="F2509" s="4561" t="n"/>
    </row>
    <row r="2510">
      <c r="A2510" s="4561" t="n"/>
      <c r="B2510" s="4561" t="n"/>
      <c r="C2510" s="4561" t="n"/>
      <c r="D2510" s="4561" t="n"/>
      <c r="E2510" s="4561" t="n"/>
      <c r="F2510" s="4561" t="n"/>
    </row>
    <row r="2511">
      <c r="A2511" s="4561" t="n"/>
      <c r="B2511" s="4561" t="n"/>
      <c r="C2511" s="4561" t="n"/>
      <c r="D2511" s="4561" t="n"/>
      <c r="E2511" s="4561" t="n"/>
      <c r="F2511" s="4561" t="n"/>
    </row>
    <row r="2512">
      <c r="A2512" s="4561" t="n"/>
      <c r="B2512" s="4561" t="n"/>
      <c r="C2512" s="4561" t="n"/>
      <c r="D2512" s="4561" t="n"/>
      <c r="E2512" s="4561" t="n"/>
      <c r="F2512" s="4561" t="n"/>
    </row>
    <row r="2513">
      <c r="A2513" s="4561" t="n"/>
      <c r="B2513" s="4561" t="n"/>
      <c r="C2513" s="4561" t="n"/>
      <c r="D2513" s="4561" t="n"/>
      <c r="E2513" s="4561" t="n"/>
      <c r="F2513" s="4561" t="n"/>
    </row>
    <row r="2514">
      <c r="A2514" s="4561" t="n"/>
      <c r="B2514" s="4561" t="n"/>
      <c r="C2514" s="4561" t="n"/>
      <c r="D2514" s="4561" t="n"/>
      <c r="E2514" s="4561" t="n"/>
      <c r="F2514" s="4561" t="n"/>
    </row>
    <row r="2515">
      <c r="A2515" s="4561" t="n"/>
      <c r="B2515" s="4561" t="n"/>
      <c r="C2515" s="4561" t="n"/>
      <c r="D2515" s="4561" t="n"/>
      <c r="E2515" s="4561" t="n"/>
      <c r="F2515" s="4561" t="n"/>
    </row>
    <row r="2516">
      <c r="A2516" s="4561" t="n"/>
      <c r="B2516" s="4561" t="n"/>
      <c r="C2516" s="4561" t="n"/>
      <c r="D2516" s="4561" t="n"/>
      <c r="E2516" s="4561" t="n"/>
      <c r="F2516" s="4561" t="n"/>
    </row>
    <row r="2517">
      <c r="A2517" s="4561" t="n"/>
      <c r="B2517" s="4561" t="n"/>
      <c r="C2517" s="4561" t="n"/>
      <c r="D2517" s="4561" t="n"/>
      <c r="E2517" s="4561" t="n"/>
      <c r="F2517" s="4561" t="n"/>
    </row>
    <row r="2518">
      <c r="A2518" s="4561" t="n"/>
      <c r="B2518" s="4561" t="n"/>
      <c r="C2518" s="4561" t="n"/>
      <c r="D2518" s="4561" t="n"/>
      <c r="E2518" s="4561" t="n"/>
      <c r="F2518" s="4561" t="n"/>
    </row>
    <row r="2519">
      <c r="A2519" s="4561" t="n"/>
      <c r="B2519" s="4561" t="n"/>
      <c r="C2519" s="4561" t="n"/>
      <c r="D2519" s="4561" t="n"/>
      <c r="E2519" s="4561" t="n"/>
      <c r="F2519" s="4561" t="n"/>
    </row>
    <row r="2520">
      <c r="A2520" s="4561" t="n"/>
      <c r="B2520" s="4561" t="n"/>
      <c r="C2520" s="4561" t="n"/>
      <c r="D2520" s="4561" t="n"/>
      <c r="E2520" s="4561" t="n"/>
      <c r="F2520" s="4561" t="n"/>
    </row>
    <row r="2521">
      <c r="A2521" s="4561" t="n"/>
      <c r="B2521" s="4561" t="n"/>
      <c r="C2521" s="4561" t="n"/>
      <c r="D2521" s="4561" t="n"/>
      <c r="E2521" s="4561" t="n"/>
      <c r="F2521" s="4561" t="n"/>
    </row>
    <row r="2522">
      <c r="A2522" s="4561" t="n"/>
      <c r="B2522" s="4561" t="n"/>
      <c r="C2522" s="4561" t="n"/>
      <c r="D2522" s="4561" t="n"/>
      <c r="E2522" s="4561" t="n"/>
      <c r="F2522" s="4561" t="n"/>
    </row>
    <row r="2523">
      <c r="A2523" s="4561" t="n"/>
      <c r="B2523" s="4561" t="n"/>
      <c r="C2523" s="4561" t="n"/>
      <c r="D2523" s="4561" t="n"/>
      <c r="E2523" s="4561" t="n"/>
      <c r="F2523" s="4561" t="n"/>
    </row>
    <row r="2524">
      <c r="A2524" s="4561" t="n"/>
      <c r="B2524" s="4561" t="n"/>
      <c r="C2524" s="4561" t="n"/>
      <c r="D2524" s="4561" t="n"/>
      <c r="E2524" s="4561" t="n"/>
      <c r="F2524" s="4561" t="n"/>
    </row>
    <row r="2525">
      <c r="A2525" s="4561" t="n"/>
      <c r="B2525" s="4561" t="n"/>
      <c r="C2525" s="4561" t="n"/>
      <c r="D2525" s="4561" t="n"/>
      <c r="E2525" s="4561" t="n"/>
      <c r="F2525" s="4561" t="n"/>
    </row>
    <row r="2526">
      <c r="A2526" s="4561" t="n"/>
      <c r="B2526" s="4561" t="n"/>
      <c r="C2526" s="4561" t="n"/>
      <c r="D2526" s="4561" t="n"/>
      <c r="E2526" s="4561" t="n"/>
      <c r="F2526" s="4561" t="n"/>
    </row>
    <row r="2527">
      <c r="A2527" s="4561" t="n"/>
      <c r="B2527" s="4561" t="n"/>
      <c r="C2527" s="4561" t="n"/>
      <c r="D2527" s="4561" t="n"/>
      <c r="E2527" s="4561" t="n"/>
      <c r="F2527" s="4561" t="n"/>
    </row>
    <row r="2528">
      <c r="A2528" s="4561" t="n"/>
      <c r="B2528" s="4561" t="n"/>
      <c r="C2528" s="4561" t="n"/>
      <c r="D2528" s="4561" t="n"/>
      <c r="E2528" s="4561" t="n"/>
      <c r="F2528" s="4561" t="n"/>
    </row>
    <row r="2529">
      <c r="A2529" s="4561" t="n"/>
      <c r="B2529" s="4561" t="n"/>
      <c r="C2529" s="4561" t="n"/>
      <c r="D2529" s="4561" t="n"/>
      <c r="E2529" s="4561" t="n"/>
      <c r="F2529" s="4561" t="n"/>
    </row>
    <row r="2530">
      <c r="A2530" s="4561" t="n"/>
      <c r="B2530" s="4561" t="n"/>
      <c r="C2530" s="4561" t="n"/>
      <c r="D2530" s="4561" t="n"/>
      <c r="E2530" s="4561" t="n"/>
      <c r="F2530" s="4561" t="n"/>
    </row>
    <row r="2531">
      <c r="A2531" s="4561" t="n"/>
      <c r="B2531" s="4561" t="n"/>
      <c r="C2531" s="4561" t="n"/>
      <c r="D2531" s="4561" t="n"/>
      <c r="E2531" s="4561" t="n"/>
      <c r="F2531" s="4561" t="n"/>
    </row>
    <row r="2532">
      <c r="A2532" s="4561" t="n"/>
      <c r="B2532" s="4561" t="n"/>
      <c r="C2532" s="4561" t="n"/>
      <c r="D2532" s="4561" t="n"/>
      <c r="E2532" s="4561" t="n"/>
      <c r="F2532" s="4561" t="n"/>
    </row>
    <row r="2533">
      <c r="A2533" s="4561" t="n"/>
      <c r="B2533" s="4561" t="n"/>
      <c r="C2533" s="4561" t="n"/>
      <c r="D2533" s="4561" t="n"/>
      <c r="E2533" s="4561" t="n"/>
      <c r="F2533" s="4561" t="n"/>
    </row>
    <row r="2534">
      <c r="A2534" s="4561" t="n"/>
      <c r="B2534" s="4561" t="n"/>
      <c r="C2534" s="4561" t="n"/>
      <c r="D2534" s="4561" t="n"/>
      <c r="E2534" s="4561" t="n"/>
      <c r="F2534" s="4561" t="n"/>
    </row>
    <row r="2535">
      <c r="A2535" s="4561" t="n"/>
      <c r="B2535" s="4561" t="n"/>
      <c r="C2535" s="4561" t="n"/>
      <c r="D2535" s="4561" t="n"/>
      <c r="E2535" s="4561" t="n"/>
      <c r="F2535" s="4561" t="n"/>
    </row>
    <row r="2536">
      <c r="A2536" s="4561" t="n"/>
      <c r="B2536" s="4561" t="n"/>
      <c r="C2536" s="4561" t="n"/>
      <c r="D2536" s="4561" t="n"/>
      <c r="E2536" s="4561" t="n"/>
      <c r="F2536" s="4561" t="n"/>
    </row>
    <row r="2537">
      <c r="A2537" s="4561" t="n"/>
      <c r="B2537" s="4561" t="n"/>
      <c r="C2537" s="4561" t="n"/>
      <c r="D2537" s="4561" t="n"/>
      <c r="E2537" s="4561" t="n"/>
      <c r="F2537" s="4561" t="n"/>
    </row>
    <row r="2538">
      <c r="A2538" s="4561" t="n"/>
      <c r="B2538" s="4561" t="n"/>
      <c r="C2538" s="4561" t="n"/>
      <c r="D2538" s="4561" t="n"/>
      <c r="E2538" s="4561" t="n"/>
      <c r="F2538" s="4561" t="n"/>
    </row>
    <row r="2539">
      <c r="A2539" s="4561" t="n"/>
      <c r="B2539" s="4561" t="n"/>
      <c r="C2539" s="4561" t="n"/>
      <c r="D2539" s="4561" t="n"/>
      <c r="E2539" s="4561" t="n"/>
      <c r="F2539" s="4561" t="n"/>
    </row>
    <row r="2540">
      <c r="A2540" s="4561" t="n"/>
      <c r="B2540" s="4561" t="n"/>
      <c r="C2540" s="4561" t="n"/>
      <c r="D2540" s="4561" t="n"/>
      <c r="E2540" s="4561" t="n"/>
      <c r="F2540" s="4561" t="n"/>
    </row>
    <row r="2541">
      <c r="A2541" s="4561" t="n"/>
      <c r="B2541" s="4561" t="n"/>
      <c r="C2541" s="4561" t="n"/>
      <c r="D2541" s="4561" t="n"/>
      <c r="E2541" s="4561" t="n"/>
      <c r="F2541" s="4561" t="n"/>
    </row>
    <row r="2542">
      <c r="A2542" s="4561" t="n"/>
      <c r="B2542" s="4561" t="n"/>
      <c r="C2542" s="4561" t="n"/>
      <c r="D2542" s="4561" t="n"/>
      <c r="E2542" s="4561" t="n"/>
      <c r="F2542" s="4561" t="n"/>
    </row>
    <row r="2543">
      <c r="A2543" s="4561" t="n"/>
      <c r="B2543" s="4561" t="n"/>
      <c r="C2543" s="4561" t="n"/>
      <c r="D2543" s="4561" t="n"/>
      <c r="E2543" s="4561" t="n"/>
      <c r="F2543" s="4561" t="n"/>
    </row>
    <row r="2544">
      <c r="A2544" s="4561" t="n"/>
      <c r="B2544" s="4561" t="n"/>
      <c r="C2544" s="4561" t="n"/>
      <c r="D2544" s="4561" t="n"/>
      <c r="E2544" s="4561" t="n"/>
      <c r="F2544" s="4561" t="n"/>
    </row>
    <row r="2545">
      <c r="A2545" s="4561" t="n"/>
      <c r="B2545" s="4561" t="n"/>
      <c r="C2545" s="4561" t="n"/>
      <c r="D2545" s="4561" t="n"/>
      <c r="E2545" s="4561" t="n"/>
      <c r="F2545" s="4561" t="n"/>
    </row>
    <row r="2546">
      <c r="A2546" s="4561" t="n"/>
      <c r="B2546" s="4561" t="n"/>
      <c r="C2546" s="4561" t="n"/>
      <c r="D2546" s="4561" t="n"/>
      <c r="E2546" s="4561" t="n"/>
      <c r="F2546" s="4561" t="n"/>
    </row>
    <row r="2547">
      <c r="A2547" s="4561" t="n"/>
      <c r="B2547" s="4561" t="n"/>
      <c r="C2547" s="4561" t="n"/>
      <c r="D2547" s="4561" t="n"/>
      <c r="E2547" s="4561" t="n"/>
      <c r="F2547" s="4561" t="n"/>
    </row>
    <row r="2548">
      <c r="A2548" s="4561" t="n"/>
      <c r="B2548" s="4561" t="n"/>
      <c r="C2548" s="4561" t="n"/>
      <c r="D2548" s="4561" t="n"/>
      <c r="E2548" s="4561" t="n"/>
      <c r="F2548" s="4561" t="n"/>
    </row>
    <row r="2549">
      <c r="A2549" s="4561" t="n"/>
      <c r="B2549" s="4561" t="n"/>
      <c r="C2549" s="4561" t="n"/>
      <c r="D2549" s="4561" t="n"/>
      <c r="E2549" s="4561" t="n"/>
      <c r="F2549" s="4561" t="n"/>
    </row>
    <row r="2550">
      <c r="A2550" s="4561" t="n"/>
      <c r="B2550" s="4561" t="n"/>
      <c r="C2550" s="4561" t="n"/>
      <c r="D2550" s="4561" t="n"/>
      <c r="E2550" s="4561" t="n"/>
      <c r="F2550" s="4561" t="n"/>
    </row>
    <row r="2551">
      <c r="A2551" s="4561" t="n"/>
      <c r="B2551" s="4561" t="n"/>
      <c r="C2551" s="4561" t="n"/>
      <c r="D2551" s="4561" t="n"/>
      <c r="E2551" s="4561" t="n"/>
      <c r="F2551" s="4561" t="n"/>
    </row>
    <row r="2552">
      <c r="A2552" s="4561" t="n"/>
      <c r="B2552" s="4561" t="n"/>
      <c r="C2552" s="4561" t="n"/>
      <c r="D2552" s="4561" t="n"/>
      <c r="E2552" s="4561" t="n"/>
      <c r="F2552" s="4561" t="n"/>
    </row>
    <row r="2553">
      <c r="A2553" s="4561" t="n"/>
      <c r="B2553" s="4561" t="n"/>
      <c r="C2553" s="4561" t="n"/>
      <c r="D2553" s="4561" t="n"/>
      <c r="E2553" s="4561" t="n"/>
      <c r="F2553" s="4561" t="n"/>
    </row>
    <row r="2554">
      <c r="A2554" s="4561" t="n"/>
      <c r="B2554" s="4561" t="n"/>
      <c r="C2554" s="4561" t="n"/>
      <c r="D2554" s="4561" t="n"/>
      <c r="E2554" s="4561" t="n"/>
      <c r="F2554" s="4561" t="n"/>
    </row>
    <row r="2555">
      <c r="A2555" s="4561" t="n"/>
      <c r="B2555" s="4561" t="n"/>
      <c r="C2555" s="4561" t="n"/>
      <c r="D2555" s="4561" t="n"/>
      <c r="E2555" s="4561" t="n"/>
      <c r="F2555" s="4561" t="n"/>
    </row>
    <row r="2556">
      <c r="A2556" s="4561" t="n"/>
      <c r="B2556" s="4561" t="n"/>
      <c r="C2556" s="4561" t="n"/>
      <c r="D2556" s="4561" t="n"/>
      <c r="E2556" s="4561" t="n"/>
      <c r="F2556" s="4561" t="n"/>
    </row>
    <row r="2557">
      <c r="A2557" s="4561" t="n"/>
      <c r="B2557" s="4561" t="n"/>
      <c r="C2557" s="4561" t="n"/>
      <c r="D2557" s="4561" t="n"/>
      <c r="E2557" s="4561" t="n"/>
      <c r="F2557" s="4561" t="n"/>
    </row>
    <row r="2558">
      <c r="A2558" s="4561" t="n"/>
      <c r="B2558" s="4561" t="n"/>
      <c r="C2558" s="4561" t="n"/>
      <c r="D2558" s="4561" t="n"/>
      <c r="E2558" s="4561" t="n"/>
      <c r="F2558" s="4561" t="n"/>
    </row>
    <row r="2559">
      <c r="A2559" s="4561" t="n"/>
      <c r="B2559" s="4561" t="n"/>
      <c r="C2559" s="4561" t="n"/>
      <c r="D2559" s="4561" t="n"/>
      <c r="E2559" s="4561" t="n"/>
      <c r="F2559" s="4561" t="n"/>
    </row>
    <row r="2560">
      <c r="A2560" s="4561" t="n"/>
      <c r="B2560" s="4561" t="n"/>
      <c r="C2560" s="4561" t="n"/>
      <c r="D2560" s="4561" t="n"/>
      <c r="E2560" s="4561" t="n"/>
      <c r="F2560" s="4561" t="n"/>
    </row>
    <row r="2561">
      <c r="A2561" s="4561" t="n"/>
      <c r="B2561" s="4561" t="n"/>
      <c r="C2561" s="4561" t="n"/>
      <c r="D2561" s="4561" t="n"/>
      <c r="E2561" s="4561" t="n"/>
      <c r="F2561" s="4561" t="n"/>
    </row>
    <row r="2562">
      <c r="A2562" s="4561" t="n"/>
      <c r="B2562" s="4561" t="n"/>
      <c r="C2562" s="4561" t="n"/>
      <c r="D2562" s="4561" t="n"/>
      <c r="E2562" s="4561" t="n"/>
      <c r="F2562" s="4561" t="n"/>
    </row>
    <row r="2563">
      <c r="A2563" s="4561" t="n"/>
      <c r="B2563" s="4561" t="n"/>
      <c r="C2563" s="4561" t="n"/>
      <c r="D2563" s="4561" t="n"/>
      <c r="E2563" s="4561" t="n"/>
      <c r="F2563" s="4561" t="n"/>
    </row>
    <row r="2564">
      <c r="A2564" s="4561" t="n"/>
      <c r="B2564" s="4561" t="n"/>
      <c r="C2564" s="4561" t="n"/>
      <c r="D2564" s="4561" t="n"/>
      <c r="E2564" s="4561" t="n"/>
      <c r="F2564" s="4561" t="n"/>
    </row>
    <row r="2565">
      <c r="A2565" s="4561" t="n"/>
      <c r="B2565" s="4561" t="n"/>
      <c r="C2565" s="4561" t="n"/>
      <c r="D2565" s="4561" t="n"/>
      <c r="E2565" s="4561" t="n"/>
      <c r="F2565" s="4561" t="n"/>
    </row>
    <row r="2566">
      <c r="A2566" s="4561" t="n"/>
      <c r="B2566" s="4561" t="n"/>
      <c r="C2566" s="4561" t="n"/>
      <c r="D2566" s="4561" t="n"/>
      <c r="E2566" s="4561" t="n"/>
      <c r="F2566" s="4561" t="n"/>
    </row>
    <row r="2567">
      <c r="A2567" s="4561" t="n"/>
      <c r="B2567" s="4561" t="n"/>
      <c r="C2567" s="4561" t="n"/>
      <c r="D2567" s="4561" t="n"/>
      <c r="E2567" s="4561" t="n"/>
      <c r="F2567" s="4561" t="n"/>
    </row>
    <row r="2568">
      <c r="A2568" s="4561" t="n"/>
      <c r="B2568" s="4561" t="n"/>
      <c r="C2568" s="4561" t="n"/>
      <c r="D2568" s="4561" t="n"/>
      <c r="E2568" s="4561" t="n"/>
      <c r="F2568" s="4561" t="n"/>
    </row>
    <row r="2569">
      <c r="A2569" s="4561" t="n"/>
      <c r="B2569" s="4561" t="n"/>
      <c r="C2569" s="4561" t="n"/>
      <c r="D2569" s="4561" t="n"/>
      <c r="E2569" s="4561" t="n"/>
      <c r="F2569" s="4561" t="n"/>
    </row>
    <row r="2570">
      <c r="A2570" s="4561" t="n"/>
      <c r="B2570" s="4561" t="n"/>
      <c r="C2570" s="4561" t="n"/>
      <c r="D2570" s="4561" t="n"/>
      <c r="E2570" s="4561" t="n"/>
      <c r="F2570" s="4561" t="n"/>
    </row>
    <row r="2571">
      <c r="A2571" s="4561" t="n"/>
      <c r="B2571" s="4561" t="n"/>
      <c r="C2571" s="4561" t="n"/>
      <c r="D2571" s="4561" t="n"/>
      <c r="E2571" s="4561" t="n"/>
      <c r="F2571" s="4561" t="n"/>
    </row>
    <row r="2572">
      <c r="A2572" s="4561" t="n"/>
      <c r="B2572" s="4561" t="n"/>
      <c r="C2572" s="4561" t="n"/>
      <c r="D2572" s="4561" t="n"/>
      <c r="E2572" s="4561" t="n"/>
      <c r="F2572" s="4561" t="n"/>
    </row>
    <row r="2573">
      <c r="A2573" s="4561" t="n"/>
      <c r="B2573" s="4561" t="n"/>
      <c r="C2573" s="4561" t="n"/>
      <c r="D2573" s="4561" t="n"/>
      <c r="E2573" s="4561" t="n"/>
      <c r="F2573" s="4561" t="n"/>
    </row>
    <row r="2574">
      <c r="A2574" s="4561" t="n"/>
      <c r="B2574" s="4561" t="n"/>
      <c r="C2574" s="4561" t="n"/>
      <c r="D2574" s="4561" t="n"/>
      <c r="E2574" s="4561" t="n"/>
      <c r="F2574" s="4561" t="n"/>
    </row>
    <row r="2575">
      <c r="A2575" s="4561" t="n"/>
      <c r="B2575" s="4561" t="n"/>
      <c r="C2575" s="4561" t="n"/>
      <c r="D2575" s="4561" t="n"/>
      <c r="E2575" s="4561" t="n"/>
      <c r="F2575" s="4561" t="n"/>
    </row>
    <row r="2576">
      <c r="A2576" s="4561" t="n"/>
      <c r="B2576" s="4561" t="n"/>
      <c r="C2576" s="4561" t="n"/>
      <c r="D2576" s="4561" t="n"/>
      <c r="E2576" s="4561" t="n"/>
      <c r="F2576" s="4561" t="n"/>
    </row>
    <row r="2577">
      <c r="A2577" s="4561" t="n"/>
      <c r="B2577" s="4561" t="n"/>
      <c r="C2577" s="4561" t="n"/>
      <c r="D2577" s="4561" t="n"/>
      <c r="E2577" s="4561" t="n"/>
      <c r="F2577" s="4561" t="n"/>
    </row>
    <row r="2578">
      <c r="A2578" s="4561" t="n"/>
      <c r="B2578" s="4561" t="n"/>
      <c r="C2578" s="4561" t="n"/>
      <c r="D2578" s="4561" t="n"/>
      <c r="E2578" s="4561" t="n"/>
      <c r="F2578" s="4561" t="n"/>
    </row>
    <row r="2579">
      <c r="A2579" s="4561" t="n"/>
      <c r="B2579" s="4561" t="n"/>
      <c r="C2579" s="4561" t="n"/>
      <c r="D2579" s="4561" t="n"/>
      <c r="E2579" s="4561" t="n"/>
      <c r="F2579" s="4561" t="n"/>
    </row>
    <row r="2580">
      <c r="A2580" s="4561" t="n"/>
      <c r="B2580" s="4561" t="n"/>
      <c r="C2580" s="4561" t="n"/>
      <c r="D2580" s="4561" t="n"/>
      <c r="E2580" s="4561" t="n"/>
      <c r="F2580" s="4561" t="n"/>
    </row>
    <row r="2581">
      <c r="A2581" s="4561" t="n"/>
      <c r="B2581" s="4561" t="n"/>
      <c r="C2581" s="4561" t="n"/>
      <c r="D2581" s="4561" t="n"/>
      <c r="E2581" s="4561" t="n"/>
      <c r="F2581" s="4561" t="n"/>
    </row>
    <row r="2582">
      <c r="A2582" s="4561" t="n"/>
      <c r="B2582" s="4561" t="n"/>
      <c r="C2582" s="4561" t="n"/>
      <c r="D2582" s="4561" t="n"/>
      <c r="E2582" s="4561" t="n"/>
      <c r="F2582" s="4561" t="n"/>
    </row>
    <row r="2583">
      <c r="A2583" s="4561" t="n"/>
      <c r="B2583" s="4561" t="n"/>
      <c r="C2583" s="4561" t="n"/>
      <c r="D2583" s="4561" t="n"/>
      <c r="E2583" s="4561" t="n"/>
      <c r="F2583" s="4561" t="n"/>
    </row>
    <row r="2584">
      <c r="A2584" s="4561" t="n"/>
      <c r="B2584" s="4561" t="n"/>
      <c r="C2584" s="4561" t="n"/>
      <c r="D2584" s="4561" t="n"/>
      <c r="E2584" s="4561" t="n"/>
      <c r="F2584" s="4561" t="n"/>
    </row>
    <row r="2585">
      <c r="A2585" s="4561" t="n"/>
      <c r="B2585" s="4561" t="n"/>
      <c r="C2585" s="4561" t="n"/>
      <c r="D2585" s="4561" t="n"/>
      <c r="E2585" s="4561" t="n"/>
      <c r="F2585" s="4561" t="n"/>
    </row>
    <row r="2586">
      <c r="A2586" s="4561" t="n"/>
      <c r="B2586" s="4561" t="n"/>
      <c r="C2586" s="4561" t="n"/>
      <c r="D2586" s="4561" t="n"/>
      <c r="E2586" s="4561" t="n"/>
      <c r="F2586" s="4561" t="n"/>
    </row>
    <row r="2587">
      <c r="A2587" s="4561" t="n"/>
      <c r="B2587" s="4561" t="n"/>
      <c r="C2587" s="4561" t="n"/>
      <c r="D2587" s="4561" t="n"/>
      <c r="E2587" s="4561" t="n"/>
      <c r="F2587" s="4561" t="n"/>
    </row>
    <row r="2588">
      <c r="A2588" s="4561" t="n"/>
      <c r="B2588" s="4561" t="n"/>
      <c r="C2588" s="4561" t="n"/>
      <c r="D2588" s="4561" t="n"/>
      <c r="E2588" s="4561" t="n"/>
      <c r="F2588" s="4561" t="n"/>
    </row>
    <row r="2589">
      <c r="A2589" s="4561" t="n"/>
      <c r="B2589" s="4561" t="n"/>
      <c r="C2589" s="4561" t="n"/>
      <c r="D2589" s="4561" t="n"/>
      <c r="E2589" s="4561" t="n"/>
      <c r="F2589" s="4561" t="n"/>
    </row>
    <row r="2590">
      <c r="A2590" s="4561" t="n"/>
      <c r="B2590" s="4561" t="n"/>
      <c r="C2590" s="4561" t="n"/>
      <c r="D2590" s="4561" t="n"/>
      <c r="E2590" s="4561" t="n"/>
      <c r="F2590" s="4561" t="n"/>
    </row>
    <row r="2591">
      <c r="A2591" s="4561" t="n"/>
      <c r="B2591" s="4561" t="n"/>
      <c r="C2591" s="4561" t="n"/>
      <c r="D2591" s="4561" t="n"/>
      <c r="E2591" s="4561" t="n"/>
      <c r="F2591" s="4561" t="n"/>
    </row>
    <row r="2592">
      <c r="A2592" s="4561" t="n"/>
      <c r="B2592" s="4561" t="n"/>
      <c r="C2592" s="4561" t="n"/>
      <c r="D2592" s="4561" t="n"/>
      <c r="E2592" s="4561" t="n"/>
      <c r="F2592" s="4561" t="n"/>
    </row>
    <row r="2593">
      <c r="A2593" s="4561" t="n"/>
      <c r="B2593" s="4561" t="n"/>
      <c r="C2593" s="4561" t="n"/>
      <c r="D2593" s="4561" t="n"/>
      <c r="E2593" s="4561" t="n"/>
      <c r="F2593" s="4561" t="n"/>
    </row>
    <row r="2594">
      <c r="A2594" s="4561" t="n"/>
      <c r="B2594" s="4561" t="n"/>
      <c r="C2594" s="4561" t="n"/>
      <c r="D2594" s="4561" t="n"/>
      <c r="E2594" s="4561" t="n"/>
      <c r="F2594" s="4561" t="n"/>
    </row>
    <row r="2595">
      <c r="A2595" s="4561" t="n"/>
      <c r="B2595" s="4561" t="n"/>
      <c r="C2595" s="4561" t="n"/>
      <c r="D2595" s="4561" t="n"/>
      <c r="E2595" s="4561" t="n"/>
      <c r="F2595" s="4561" t="n"/>
    </row>
    <row r="2596">
      <c r="A2596" s="4561" t="n"/>
      <c r="B2596" s="4561" t="n"/>
      <c r="C2596" s="4561" t="n"/>
      <c r="D2596" s="4561" t="n"/>
      <c r="E2596" s="4561" t="n"/>
      <c r="F2596" s="4561" t="n"/>
    </row>
    <row r="2597">
      <c r="A2597" s="4561" t="n"/>
      <c r="B2597" s="4561" t="n"/>
      <c r="C2597" s="4561" t="n"/>
      <c r="D2597" s="4561" t="n"/>
      <c r="E2597" s="4561" t="n"/>
      <c r="F2597" s="4561" t="n"/>
    </row>
    <row r="2598">
      <c r="A2598" s="4561" t="n"/>
      <c r="B2598" s="4561" t="n"/>
      <c r="C2598" s="4561" t="n"/>
      <c r="D2598" s="4561" t="n"/>
      <c r="E2598" s="4561" t="n"/>
      <c r="F2598" s="4561" t="n"/>
    </row>
    <row r="2599">
      <c r="A2599" s="4561" t="n"/>
      <c r="B2599" s="4561" t="n"/>
      <c r="C2599" s="4561" t="n"/>
      <c r="D2599" s="4561" t="n"/>
      <c r="E2599" s="4561" t="n"/>
      <c r="F2599" s="4561" t="n"/>
    </row>
    <row r="2600">
      <c r="A2600" s="4561" t="n"/>
      <c r="B2600" s="4561" t="n"/>
      <c r="C2600" s="4561" t="n"/>
      <c r="D2600" s="4561" t="n"/>
      <c r="E2600" s="4561" t="n"/>
      <c r="F2600" s="4561" t="n"/>
    </row>
    <row r="2601">
      <c r="A2601" s="4561" t="n"/>
      <c r="B2601" s="4561" t="n"/>
      <c r="C2601" s="4561" t="n"/>
      <c r="D2601" s="4561" t="n"/>
      <c r="E2601" s="4561" t="n"/>
      <c r="F2601" s="4561" t="n"/>
    </row>
    <row r="2602">
      <c r="A2602" s="4561" t="n"/>
      <c r="B2602" s="4561" t="n"/>
      <c r="C2602" s="4561" t="n"/>
      <c r="D2602" s="4561" t="n"/>
      <c r="E2602" s="4561" t="n"/>
      <c r="F2602" s="4561" t="n"/>
    </row>
    <row r="2603">
      <c r="A2603" s="4561" t="n"/>
      <c r="B2603" s="4561" t="n"/>
      <c r="C2603" s="4561" t="n"/>
      <c r="D2603" s="4561" t="n"/>
      <c r="E2603" s="4561" t="n"/>
      <c r="F2603" s="4561" t="n"/>
    </row>
    <row r="2604">
      <c r="A2604" s="4561" t="n"/>
      <c r="B2604" s="4561" t="n"/>
      <c r="C2604" s="4561" t="n"/>
      <c r="D2604" s="4561" t="n"/>
      <c r="E2604" s="4561" t="n"/>
      <c r="F2604" s="4561" t="n"/>
    </row>
    <row r="2605">
      <c r="A2605" s="4561" t="n"/>
      <c r="B2605" s="4561" t="n"/>
      <c r="C2605" s="4561" t="n"/>
      <c r="D2605" s="4561" t="n"/>
      <c r="E2605" s="4561" t="n"/>
      <c r="F2605" s="4561" t="n"/>
    </row>
    <row r="2606">
      <c r="A2606" s="4561" t="n"/>
      <c r="B2606" s="4561" t="n"/>
      <c r="C2606" s="4561" t="n"/>
      <c r="D2606" s="4561" t="n"/>
      <c r="E2606" s="4561" t="n"/>
      <c r="F2606" s="4561" t="n"/>
    </row>
    <row r="2607">
      <c r="A2607" s="4561" t="n"/>
      <c r="B2607" s="4561" t="n"/>
      <c r="C2607" s="4561" t="n"/>
      <c r="D2607" s="4561" t="n"/>
      <c r="E2607" s="4561" t="n"/>
      <c r="F2607" s="4561" t="n"/>
    </row>
    <row r="2608">
      <c r="A2608" s="4561" t="n"/>
      <c r="B2608" s="4561" t="n"/>
      <c r="C2608" s="4561" t="n"/>
      <c r="D2608" s="4561" t="n"/>
      <c r="E2608" s="4561" t="n"/>
      <c r="F2608" s="4561" t="n"/>
    </row>
    <row r="2609">
      <c r="A2609" s="4561" t="n"/>
      <c r="B2609" s="4561" t="n"/>
      <c r="C2609" s="4561" t="n"/>
      <c r="D2609" s="4561" t="n"/>
      <c r="E2609" s="4561" t="n"/>
      <c r="F2609" s="4561" t="n"/>
    </row>
    <row r="2610">
      <c r="A2610" s="4561" t="n"/>
      <c r="B2610" s="4561" t="n"/>
      <c r="C2610" s="4561" t="n"/>
      <c r="D2610" s="4561" t="n"/>
      <c r="E2610" s="4561" t="n"/>
      <c r="F2610" s="4561" t="n"/>
    </row>
    <row r="2611">
      <c r="A2611" s="4561" t="n"/>
      <c r="B2611" s="4561" t="n"/>
      <c r="C2611" s="4561" t="n"/>
      <c r="D2611" s="4561" t="n"/>
      <c r="E2611" s="4561" t="n"/>
      <c r="F2611" s="4561" t="n"/>
    </row>
    <row r="2612">
      <c r="A2612" s="4561" t="n"/>
      <c r="B2612" s="4561" t="n"/>
      <c r="C2612" s="4561" t="n"/>
      <c r="D2612" s="4561" t="n"/>
      <c r="E2612" s="4561" t="n"/>
      <c r="F2612" s="4561" t="n"/>
    </row>
    <row r="2613">
      <c r="A2613" s="4561" t="n"/>
      <c r="B2613" s="4561" t="n"/>
      <c r="C2613" s="4561" t="n"/>
      <c r="D2613" s="4561" t="n"/>
      <c r="E2613" s="4561" t="n"/>
      <c r="F2613" s="4561" t="n"/>
    </row>
    <row r="2614">
      <c r="A2614" s="4561" t="n"/>
      <c r="B2614" s="4561" t="n"/>
      <c r="C2614" s="4561" t="n"/>
      <c r="D2614" s="4561" t="n"/>
      <c r="E2614" s="4561" t="n"/>
      <c r="F2614" s="4561" t="n"/>
    </row>
    <row r="2615">
      <c r="A2615" s="4561" t="n"/>
      <c r="B2615" s="4561" t="n"/>
      <c r="C2615" s="4561" t="n"/>
      <c r="D2615" s="4561" t="n"/>
      <c r="E2615" s="4561" t="n"/>
      <c r="F2615" s="4561" t="n"/>
    </row>
    <row r="2616">
      <c r="A2616" s="4561" t="n"/>
      <c r="B2616" s="4561" t="n"/>
      <c r="C2616" s="4561" t="n"/>
      <c r="D2616" s="4561" t="n"/>
      <c r="E2616" s="4561" t="n"/>
      <c r="F2616" s="4561" t="n"/>
    </row>
    <row r="2617">
      <c r="A2617" s="4561" t="n"/>
      <c r="B2617" s="4561" t="n"/>
      <c r="C2617" s="4561" t="n"/>
      <c r="D2617" s="4561" t="n"/>
      <c r="E2617" s="4561" t="n"/>
      <c r="F2617" s="4561" t="n"/>
    </row>
    <row r="2618">
      <c r="A2618" s="4561" t="n"/>
      <c r="B2618" s="4561" t="n"/>
      <c r="C2618" s="4561" t="n"/>
      <c r="D2618" s="4561" t="n"/>
      <c r="E2618" s="4561" t="n"/>
      <c r="F2618" s="4561" t="n"/>
    </row>
    <row r="2619">
      <c r="A2619" s="4561" t="n"/>
      <c r="B2619" s="4561" t="n"/>
      <c r="C2619" s="4561" t="n"/>
      <c r="D2619" s="4561" t="n"/>
      <c r="E2619" s="4561" t="n"/>
      <c r="F2619" s="4561" t="n"/>
    </row>
    <row r="2620">
      <c r="A2620" s="4561" t="n"/>
      <c r="B2620" s="4561" t="n"/>
      <c r="C2620" s="4561" t="n"/>
      <c r="D2620" s="4561" t="n"/>
      <c r="E2620" s="4561" t="n"/>
      <c r="F2620" s="4561" t="n"/>
    </row>
    <row r="2621">
      <c r="A2621" s="4561" t="n"/>
      <c r="B2621" s="4561" t="n"/>
      <c r="C2621" s="4561" t="n"/>
      <c r="D2621" s="4561" t="n"/>
      <c r="E2621" s="4561" t="n"/>
      <c r="F2621" s="4561" t="n"/>
    </row>
    <row r="2622">
      <c r="A2622" s="4561" t="n"/>
      <c r="B2622" s="4561" t="n"/>
      <c r="C2622" s="4561" t="n"/>
      <c r="D2622" s="4561" t="n"/>
      <c r="E2622" s="4561" t="n"/>
      <c r="F2622" s="4561" t="n"/>
    </row>
    <row r="2623">
      <c r="A2623" s="4561" t="n"/>
      <c r="B2623" s="4561" t="n"/>
      <c r="C2623" s="4561" t="n"/>
      <c r="D2623" s="4561" t="n"/>
      <c r="E2623" s="4561" t="n"/>
      <c r="F2623" s="4561" t="n"/>
    </row>
    <row r="2624">
      <c r="A2624" s="4561" t="n"/>
      <c r="B2624" s="4561" t="n"/>
      <c r="C2624" s="4561" t="n"/>
      <c r="D2624" s="4561" t="n"/>
      <c r="E2624" s="4561" t="n"/>
      <c r="F2624" s="4561" t="n"/>
    </row>
    <row r="2625">
      <c r="A2625" s="4561" t="n"/>
      <c r="B2625" s="4561" t="n"/>
      <c r="C2625" s="4561" t="n"/>
      <c r="D2625" s="4561" t="n"/>
      <c r="E2625" s="4561" t="n"/>
      <c r="F2625" s="4561" t="n"/>
    </row>
    <row r="2626">
      <c r="A2626" s="4561" t="n"/>
      <c r="B2626" s="4561" t="n"/>
      <c r="C2626" s="4561" t="n"/>
      <c r="D2626" s="4561" t="n"/>
      <c r="E2626" s="4561" t="n"/>
      <c r="F2626" s="4561" t="n"/>
    </row>
    <row r="2627">
      <c r="A2627" s="4561" t="n"/>
      <c r="B2627" s="4561" t="n"/>
      <c r="C2627" s="4561" t="n"/>
      <c r="D2627" s="4561" t="n"/>
      <c r="E2627" s="4561" t="n"/>
      <c r="F2627" s="4561" t="n"/>
    </row>
    <row r="2628">
      <c r="A2628" s="4561" t="n"/>
      <c r="B2628" s="4561" t="n"/>
      <c r="C2628" s="4561" t="n"/>
      <c r="D2628" s="4561" t="n"/>
      <c r="E2628" s="4561" t="n"/>
      <c r="F2628" s="4561" t="n"/>
    </row>
    <row r="2629">
      <c r="A2629" s="4561" t="n"/>
      <c r="B2629" s="4561" t="n"/>
      <c r="C2629" s="4561" t="n"/>
      <c r="D2629" s="4561" t="n"/>
      <c r="E2629" s="4561" t="n"/>
      <c r="F2629" s="4561" t="n"/>
    </row>
    <row r="2630">
      <c r="A2630" s="4561" t="n"/>
      <c r="B2630" s="4561" t="n"/>
      <c r="C2630" s="4561" t="n"/>
      <c r="D2630" s="4561" t="n"/>
      <c r="E2630" s="4561" t="n"/>
      <c r="F2630" s="4561" t="n"/>
    </row>
    <row r="2631">
      <c r="A2631" s="4561" t="n"/>
      <c r="B2631" s="4561" t="n"/>
      <c r="C2631" s="4561" t="n"/>
      <c r="D2631" s="4561" t="n"/>
      <c r="E2631" s="4561" t="n"/>
      <c r="F2631" s="4561" t="n"/>
    </row>
    <row r="2632">
      <c r="A2632" s="4561" t="n"/>
      <c r="B2632" s="4561" t="n"/>
      <c r="C2632" s="4561" t="n"/>
      <c r="D2632" s="4561" t="n"/>
      <c r="E2632" s="4561" t="n"/>
      <c r="F2632" s="4561" t="n"/>
    </row>
    <row r="2633">
      <c r="A2633" s="4561" t="n"/>
      <c r="B2633" s="4561" t="n"/>
      <c r="C2633" s="4561" t="n"/>
      <c r="D2633" s="4561" t="n"/>
      <c r="E2633" s="4561" t="n"/>
      <c r="F2633" s="4561" t="n"/>
    </row>
    <row r="2634">
      <c r="A2634" s="4561" t="n"/>
      <c r="B2634" s="4561" t="n"/>
      <c r="C2634" s="4561" t="n"/>
      <c r="D2634" s="4561" t="n"/>
      <c r="E2634" s="4561" t="n"/>
      <c r="F2634" s="4561" t="n"/>
    </row>
    <row r="2635">
      <c r="A2635" s="4561" t="n"/>
      <c r="B2635" s="4561" t="n"/>
      <c r="C2635" s="4561" t="n"/>
      <c r="D2635" s="4561" t="n"/>
      <c r="E2635" s="4561" t="n"/>
      <c r="F2635" s="4561" t="n"/>
    </row>
    <row r="2636">
      <c r="A2636" s="4561" t="n"/>
      <c r="B2636" s="4561" t="n"/>
      <c r="C2636" s="4561" t="n"/>
      <c r="D2636" s="4561" t="n"/>
      <c r="E2636" s="4561" t="n"/>
      <c r="F2636" s="4561" t="n"/>
    </row>
    <row r="2637">
      <c r="A2637" s="4561" t="n"/>
      <c r="B2637" s="4561" t="n"/>
      <c r="C2637" s="4561" t="n"/>
      <c r="D2637" s="4561" t="n"/>
      <c r="E2637" s="4561" t="n"/>
      <c r="F2637" s="4561" t="n"/>
    </row>
    <row r="2638">
      <c r="A2638" s="4561" t="n"/>
      <c r="B2638" s="4561" t="n"/>
      <c r="C2638" s="4561" t="n"/>
      <c r="D2638" s="4561" t="n"/>
      <c r="E2638" s="4561" t="n"/>
      <c r="F2638" s="4561" t="n"/>
    </row>
    <row r="2639">
      <c r="A2639" s="4561" t="n"/>
      <c r="B2639" s="4561" t="n"/>
      <c r="C2639" s="4561" t="n"/>
      <c r="D2639" s="4561" t="n"/>
      <c r="E2639" s="4561" t="n"/>
      <c r="F2639" s="4561" t="n"/>
    </row>
    <row r="2640">
      <c r="A2640" s="4561" t="n"/>
      <c r="B2640" s="4561" t="n"/>
      <c r="C2640" s="4561" t="n"/>
      <c r="D2640" s="4561" t="n"/>
      <c r="E2640" s="4561" t="n"/>
      <c r="F2640" s="4561" t="n"/>
    </row>
    <row r="2641">
      <c r="A2641" s="4561" t="n"/>
      <c r="B2641" s="4561" t="n"/>
      <c r="C2641" s="4561" t="n"/>
      <c r="D2641" s="4561" t="n"/>
      <c r="E2641" s="4561" t="n"/>
      <c r="F2641" s="4561" t="n"/>
    </row>
    <row r="2642">
      <c r="A2642" s="4561" t="n"/>
      <c r="B2642" s="4561" t="n"/>
      <c r="C2642" s="4561" t="n"/>
      <c r="D2642" s="4561" t="n"/>
      <c r="E2642" s="4561" t="n"/>
      <c r="F2642" s="4561" t="n"/>
    </row>
    <row r="2643">
      <c r="A2643" s="4561" t="n"/>
      <c r="B2643" s="4561" t="n"/>
      <c r="C2643" s="4561" t="n"/>
      <c r="D2643" s="4561" t="n"/>
      <c r="E2643" s="4561" t="n"/>
      <c r="F2643" s="4561" t="n"/>
    </row>
    <row r="2644">
      <c r="A2644" s="4561" t="n"/>
      <c r="B2644" s="4561" t="n"/>
      <c r="C2644" s="4561" t="n"/>
      <c r="D2644" s="4561" t="n"/>
      <c r="E2644" s="4561" t="n"/>
      <c r="F2644" s="4561" t="n"/>
    </row>
    <row r="2645">
      <c r="A2645" s="4561" t="n"/>
      <c r="B2645" s="4561" t="n"/>
      <c r="C2645" s="4561" t="n"/>
      <c r="D2645" s="4561" t="n"/>
      <c r="E2645" s="4561" t="n"/>
      <c r="F2645" s="4561" t="n"/>
    </row>
    <row r="2646">
      <c r="A2646" s="4561" t="n"/>
      <c r="B2646" s="4561" t="n"/>
      <c r="C2646" s="4561" t="n"/>
      <c r="D2646" s="4561" t="n"/>
      <c r="E2646" s="4561" t="n"/>
      <c r="F2646" s="4561" t="n"/>
    </row>
    <row r="2647">
      <c r="A2647" s="4561" t="n"/>
      <c r="B2647" s="4561" t="n"/>
      <c r="C2647" s="4561" t="n"/>
      <c r="D2647" s="4561" t="n"/>
      <c r="E2647" s="4561" t="n"/>
      <c r="F2647" s="4561" t="n"/>
    </row>
    <row r="2648">
      <c r="A2648" s="4561" t="n"/>
      <c r="B2648" s="4561" t="n"/>
      <c r="C2648" s="4561" t="n"/>
      <c r="D2648" s="4561" t="n"/>
      <c r="E2648" s="4561" t="n"/>
      <c r="F2648" s="4561" t="n"/>
    </row>
    <row r="2649">
      <c r="A2649" s="4561" t="n"/>
      <c r="B2649" s="4561" t="n"/>
      <c r="C2649" s="4561" t="n"/>
      <c r="D2649" s="4561" t="n"/>
      <c r="E2649" s="4561" t="n"/>
      <c r="F2649" s="4561" t="n"/>
    </row>
    <row r="2650">
      <c r="A2650" s="4561" t="n"/>
      <c r="B2650" s="4561" t="n"/>
      <c r="C2650" s="4561" t="n"/>
      <c r="D2650" s="4561" t="n"/>
      <c r="E2650" s="4561" t="n"/>
      <c r="F2650" s="4561" t="n"/>
    </row>
    <row r="2651">
      <c r="A2651" s="4561" t="n"/>
      <c r="B2651" s="4561" t="n"/>
      <c r="C2651" s="4561" t="n"/>
      <c r="D2651" s="4561" t="n"/>
      <c r="E2651" s="4561" t="n"/>
      <c r="F2651" s="4561" t="n"/>
    </row>
    <row r="2652">
      <c r="A2652" s="4561" t="n"/>
      <c r="B2652" s="4561" t="n"/>
      <c r="C2652" s="4561" t="n"/>
      <c r="D2652" s="4561" t="n"/>
      <c r="E2652" s="4561" t="n"/>
      <c r="F2652" s="4561" t="n"/>
    </row>
    <row r="2653">
      <c r="A2653" s="4561" t="n"/>
      <c r="B2653" s="4561" t="n"/>
      <c r="C2653" s="4561" t="n"/>
      <c r="D2653" s="4561" t="n"/>
      <c r="E2653" s="4561" t="n"/>
      <c r="F2653" s="4561" t="n"/>
    </row>
    <row r="2654">
      <c r="A2654" s="4561" t="n"/>
      <c r="B2654" s="4561" t="n"/>
      <c r="C2654" s="4561" t="n"/>
      <c r="D2654" s="4561" t="n"/>
      <c r="E2654" s="4561" t="n"/>
      <c r="F2654" s="4561" t="n"/>
    </row>
    <row r="2655">
      <c r="A2655" s="4561" t="n"/>
      <c r="B2655" s="4561" t="n"/>
      <c r="C2655" s="4561" t="n"/>
      <c r="D2655" s="4561" t="n"/>
      <c r="E2655" s="4561" t="n"/>
      <c r="F2655" s="4561" t="n"/>
    </row>
    <row r="2656">
      <c r="A2656" s="4561" t="n"/>
      <c r="B2656" s="4561" t="n"/>
      <c r="C2656" s="4561" t="n"/>
      <c r="D2656" s="4561" t="n"/>
      <c r="E2656" s="4561" t="n"/>
      <c r="F2656" s="4561" t="n"/>
    </row>
    <row r="2657">
      <c r="A2657" s="4561" t="n"/>
      <c r="B2657" s="4561" t="n"/>
      <c r="C2657" s="4561" t="n"/>
      <c r="D2657" s="4561" t="n"/>
      <c r="E2657" s="4561" t="n"/>
      <c r="F2657" s="4561" t="n"/>
    </row>
    <row r="2658">
      <c r="A2658" s="4561" t="n"/>
      <c r="B2658" s="4561" t="n"/>
      <c r="C2658" s="4561" t="n"/>
      <c r="D2658" s="4561" t="n"/>
      <c r="E2658" s="4561" t="n"/>
      <c r="F2658" s="4561" t="n"/>
    </row>
    <row r="2659">
      <c r="A2659" s="4561" t="n"/>
      <c r="B2659" s="4561" t="n"/>
      <c r="C2659" s="4561" t="n"/>
      <c r="D2659" s="4561" t="n"/>
      <c r="E2659" s="4561" t="n"/>
      <c r="F2659" s="4561" t="n"/>
    </row>
    <row r="2660">
      <c r="A2660" s="4561" t="n"/>
      <c r="B2660" s="4561" t="n"/>
      <c r="C2660" s="4561" t="n"/>
      <c r="D2660" s="4561" t="n"/>
      <c r="E2660" s="4561" t="n"/>
      <c r="F2660" s="4561" t="n"/>
    </row>
    <row r="2661">
      <c r="A2661" s="4561" t="n"/>
      <c r="B2661" s="4561" t="n"/>
      <c r="C2661" s="4561" t="n"/>
      <c r="D2661" s="4561" t="n"/>
      <c r="E2661" s="4561" t="n"/>
      <c r="F2661" s="4561" t="n"/>
    </row>
    <row r="2662">
      <c r="A2662" s="4561" t="n"/>
      <c r="B2662" s="4561" t="n"/>
      <c r="C2662" s="4561" t="n"/>
      <c r="D2662" s="4561" t="n"/>
      <c r="E2662" s="4561" t="n"/>
      <c r="F2662" s="4561" t="n"/>
    </row>
    <row r="2663">
      <c r="A2663" s="4561" t="n"/>
      <c r="B2663" s="4561" t="n"/>
      <c r="C2663" s="4561" t="n"/>
      <c r="D2663" s="4561" t="n"/>
      <c r="E2663" s="4561" t="n"/>
      <c r="F2663" s="4561" t="n"/>
    </row>
    <row r="2664">
      <c r="A2664" s="4561" t="n"/>
      <c r="B2664" s="4561" t="n"/>
      <c r="C2664" s="4561" t="n"/>
      <c r="D2664" s="4561" t="n"/>
      <c r="E2664" s="4561" t="n"/>
      <c r="F2664" s="4561" t="n"/>
    </row>
    <row r="2665">
      <c r="A2665" s="4561" t="n"/>
      <c r="B2665" s="4561" t="n"/>
      <c r="C2665" s="4561" t="n"/>
      <c r="D2665" s="4561" t="n"/>
      <c r="E2665" s="4561" t="n"/>
      <c r="F2665" s="4561" t="n"/>
    </row>
    <row r="2666">
      <c r="A2666" s="4561" t="n"/>
      <c r="B2666" s="4561" t="n"/>
      <c r="C2666" s="4561" t="n"/>
      <c r="D2666" s="4561" t="n"/>
      <c r="E2666" s="4561" t="n"/>
      <c r="F2666" s="4561" t="n"/>
    </row>
    <row r="2667">
      <c r="A2667" s="4561" t="n"/>
      <c r="B2667" s="4561" t="n"/>
      <c r="C2667" s="4561" t="n"/>
      <c r="D2667" s="4561" t="n"/>
      <c r="E2667" s="4561" t="n"/>
      <c r="F2667" s="4561" t="n"/>
    </row>
    <row r="2668">
      <c r="A2668" s="4561" t="n"/>
      <c r="B2668" s="4561" t="n"/>
      <c r="C2668" s="4561" t="n"/>
      <c r="D2668" s="4561" t="n"/>
      <c r="E2668" s="4561" t="n"/>
      <c r="F2668" s="4561" t="n"/>
    </row>
    <row r="2669">
      <c r="A2669" s="4561" t="n"/>
      <c r="B2669" s="4561" t="n"/>
      <c r="C2669" s="4561" t="n"/>
      <c r="D2669" s="4561" t="n"/>
      <c r="E2669" s="4561" t="n"/>
      <c r="F2669" s="4561" t="n"/>
    </row>
    <row r="2670">
      <c r="A2670" s="4561" t="n"/>
      <c r="B2670" s="4561" t="n"/>
      <c r="C2670" s="4561" t="n"/>
      <c r="D2670" s="4561" t="n"/>
      <c r="E2670" s="4561" t="n"/>
      <c r="F2670" s="4561" t="n"/>
    </row>
    <row r="2671">
      <c r="A2671" s="4561" t="n"/>
      <c r="B2671" s="4561" t="n"/>
      <c r="C2671" s="4561" t="n"/>
      <c r="D2671" s="4561" t="n"/>
      <c r="E2671" s="4561" t="n"/>
      <c r="F2671" s="4561" t="n"/>
    </row>
    <row r="2672">
      <c r="A2672" s="4561" t="n"/>
      <c r="B2672" s="4561" t="n"/>
      <c r="C2672" s="4561" t="n"/>
      <c r="D2672" s="4561" t="n"/>
      <c r="E2672" s="4561" t="n"/>
      <c r="F2672" s="4561" t="n"/>
    </row>
    <row r="2673">
      <c r="A2673" s="4561" t="n"/>
      <c r="B2673" s="4561" t="n"/>
      <c r="C2673" s="4561" t="n"/>
      <c r="D2673" s="4561" t="n"/>
      <c r="E2673" s="4561" t="n"/>
      <c r="F2673" s="4561" t="n"/>
    </row>
    <row r="2674">
      <c r="A2674" s="4561" t="n"/>
      <c r="B2674" s="4561" t="n"/>
      <c r="C2674" s="4561" t="n"/>
      <c r="D2674" s="4561" t="n"/>
      <c r="E2674" s="4561" t="n"/>
      <c r="F2674" s="4561" t="n"/>
    </row>
    <row r="2675">
      <c r="A2675" s="4561" t="n"/>
      <c r="B2675" s="4561" t="n"/>
      <c r="C2675" s="4561" t="n"/>
      <c r="D2675" s="4561" t="n"/>
      <c r="E2675" s="4561" t="n"/>
      <c r="F2675" s="4561" t="n"/>
    </row>
    <row r="2676">
      <c r="A2676" s="4561" t="n"/>
      <c r="B2676" s="4561" t="n"/>
      <c r="C2676" s="4561" t="n"/>
      <c r="D2676" s="4561" t="n"/>
      <c r="E2676" s="4561" t="n"/>
      <c r="F2676" s="4561" t="n"/>
    </row>
    <row r="2677">
      <c r="A2677" s="4561" t="n"/>
      <c r="B2677" s="4561" t="n"/>
      <c r="C2677" s="4561" t="n"/>
      <c r="D2677" s="4561" t="n"/>
      <c r="E2677" s="4561" t="n"/>
      <c r="F2677" s="4561" t="n"/>
    </row>
    <row r="2678">
      <c r="A2678" s="4561" t="n"/>
      <c r="B2678" s="4561" t="n"/>
      <c r="C2678" s="4561" t="n"/>
      <c r="D2678" s="4561" t="n"/>
      <c r="E2678" s="4561" t="n"/>
      <c r="F2678" s="4561" t="n"/>
    </row>
    <row r="2679">
      <c r="A2679" s="4561" t="n"/>
      <c r="B2679" s="4561" t="n"/>
      <c r="C2679" s="4561" t="n"/>
      <c r="D2679" s="4561" t="n"/>
      <c r="E2679" s="4561" t="n"/>
      <c r="F2679" s="4561" t="n"/>
    </row>
    <row r="2680">
      <c r="A2680" s="4561" t="n"/>
      <c r="B2680" s="4561" t="n"/>
      <c r="C2680" s="4561" t="n"/>
      <c r="D2680" s="4561" t="n"/>
      <c r="E2680" s="4561" t="n"/>
      <c r="F2680" s="4561" t="n"/>
    </row>
    <row r="2681">
      <c r="A2681" s="4561" t="n"/>
      <c r="B2681" s="4561" t="n"/>
      <c r="C2681" s="4561" t="n"/>
      <c r="D2681" s="4561" t="n"/>
      <c r="E2681" s="4561" t="n"/>
      <c r="F2681" s="4561" t="n"/>
    </row>
    <row r="2682">
      <c r="A2682" s="4561" t="n"/>
      <c r="B2682" s="4561" t="n"/>
      <c r="C2682" s="4561" t="n"/>
      <c r="D2682" s="4561" t="n"/>
      <c r="E2682" s="4561" t="n"/>
      <c r="F2682" s="4561" t="n"/>
    </row>
    <row r="2683">
      <c r="A2683" s="4561" t="n"/>
      <c r="B2683" s="4561" t="n"/>
      <c r="C2683" s="4561" t="n"/>
      <c r="D2683" s="4561" t="n"/>
      <c r="E2683" s="4561" t="n"/>
      <c r="F2683" s="4561" t="n"/>
    </row>
    <row r="2684">
      <c r="A2684" s="4561" t="n"/>
      <c r="B2684" s="4561" t="n"/>
      <c r="C2684" s="4561" t="n"/>
      <c r="D2684" s="4561" t="n"/>
      <c r="E2684" s="4561" t="n"/>
      <c r="F2684" s="4561" t="n"/>
    </row>
    <row r="2685">
      <c r="A2685" s="4561" t="n"/>
      <c r="B2685" s="4561" t="n"/>
      <c r="C2685" s="4561" t="n"/>
      <c r="D2685" s="4561" t="n"/>
      <c r="E2685" s="4561" t="n"/>
      <c r="F2685" s="4561" t="n"/>
    </row>
    <row r="2686">
      <c r="A2686" s="4561" t="n"/>
      <c r="B2686" s="4561" t="n"/>
      <c r="C2686" s="4561" t="n"/>
      <c r="D2686" s="4561" t="n"/>
      <c r="E2686" s="4561" t="n"/>
      <c r="F2686" s="4561" t="n"/>
    </row>
    <row r="2687">
      <c r="A2687" s="4561" t="n"/>
      <c r="B2687" s="4561" t="n"/>
      <c r="C2687" s="4561" t="n"/>
      <c r="D2687" s="4561" t="n"/>
      <c r="E2687" s="4561" t="n"/>
      <c r="F2687" s="4561" t="n"/>
    </row>
    <row r="2688">
      <c r="A2688" s="4561" t="n"/>
      <c r="B2688" s="4561" t="n"/>
      <c r="C2688" s="4561" t="n"/>
      <c r="D2688" s="4561" t="n"/>
      <c r="E2688" s="4561" t="n"/>
      <c r="F2688" s="4561" t="n"/>
    </row>
    <row r="2689">
      <c r="A2689" s="4561" t="n"/>
      <c r="B2689" s="4561" t="n"/>
      <c r="C2689" s="4561" t="n"/>
      <c r="D2689" s="4561" t="n"/>
      <c r="E2689" s="4561" t="n"/>
      <c r="F2689" s="4561" t="n"/>
    </row>
    <row r="2690">
      <c r="A2690" s="4561" t="n"/>
      <c r="B2690" s="4561" t="n"/>
      <c r="C2690" s="4561" t="n"/>
      <c r="D2690" s="4561" t="n"/>
      <c r="E2690" s="4561" t="n"/>
      <c r="F2690" s="4561" t="n"/>
    </row>
    <row r="2691">
      <c r="A2691" s="4561" t="n"/>
      <c r="B2691" s="4561" t="n"/>
      <c r="C2691" s="4561" t="n"/>
      <c r="D2691" s="4561" t="n"/>
      <c r="E2691" s="4561" t="n"/>
      <c r="F2691" s="4561" t="n"/>
    </row>
    <row r="2692">
      <c r="A2692" s="4561" t="n"/>
      <c r="B2692" s="4561" t="n"/>
      <c r="C2692" s="4561" t="n"/>
      <c r="D2692" s="4561" t="n"/>
      <c r="E2692" s="4561" t="n"/>
      <c r="F2692" s="4561" t="n"/>
    </row>
    <row r="2693">
      <c r="A2693" s="4561" t="n"/>
      <c r="B2693" s="4561" t="n"/>
      <c r="C2693" s="4561" t="n"/>
      <c r="D2693" s="4561" t="n"/>
      <c r="E2693" s="4561" t="n"/>
      <c r="F2693" s="4561" t="n"/>
    </row>
    <row r="2694">
      <c r="A2694" s="4561" t="n"/>
      <c r="B2694" s="4561" t="n"/>
      <c r="C2694" s="4561" t="n"/>
      <c r="D2694" s="4561" t="n"/>
      <c r="E2694" s="4561" t="n"/>
      <c r="F2694" s="4561" t="n"/>
    </row>
    <row r="2695">
      <c r="A2695" s="4561" t="n"/>
      <c r="B2695" s="4561" t="n"/>
      <c r="C2695" s="4561" t="n"/>
      <c r="D2695" s="4561" t="n"/>
      <c r="E2695" s="4561" t="n"/>
      <c r="F2695" s="4561" t="n"/>
    </row>
    <row r="2696">
      <c r="A2696" s="4561" t="n"/>
      <c r="B2696" s="4561" t="n"/>
      <c r="C2696" s="4561" t="n"/>
      <c r="D2696" s="4561" t="n"/>
      <c r="E2696" s="4561" t="n"/>
      <c r="F2696" s="4561" t="n"/>
    </row>
    <row r="2697">
      <c r="A2697" s="4561" t="n"/>
      <c r="B2697" s="4561" t="n"/>
      <c r="C2697" s="4561" t="n"/>
      <c r="D2697" s="4561" t="n"/>
      <c r="E2697" s="4561" t="n"/>
      <c r="F2697" s="4561" t="n"/>
    </row>
    <row r="2698">
      <c r="A2698" s="4561" t="n"/>
      <c r="B2698" s="4561" t="n"/>
      <c r="C2698" s="4561" t="n"/>
      <c r="D2698" s="4561" t="n"/>
      <c r="E2698" s="4561" t="n"/>
      <c r="F2698" s="4561" t="n"/>
    </row>
    <row r="2699">
      <c r="A2699" s="4561" t="n"/>
      <c r="B2699" s="4561" t="n"/>
      <c r="C2699" s="4561" t="n"/>
      <c r="D2699" s="4561" t="n"/>
      <c r="E2699" s="4561" t="n"/>
      <c r="F2699" s="4561" t="n"/>
    </row>
    <row r="2700">
      <c r="A2700" s="4561" t="n"/>
      <c r="B2700" s="4561" t="n"/>
      <c r="C2700" s="4561" t="n"/>
      <c r="D2700" s="4561" t="n"/>
      <c r="E2700" s="4561" t="n"/>
      <c r="F2700" s="4561" t="n"/>
    </row>
    <row r="2701">
      <c r="A2701" s="4561" t="n"/>
      <c r="B2701" s="4561" t="n"/>
      <c r="C2701" s="4561" t="n"/>
      <c r="D2701" s="4561" t="n"/>
      <c r="E2701" s="4561" t="n"/>
      <c r="F2701" s="4561" t="n"/>
    </row>
    <row r="2702">
      <c r="A2702" s="4561" t="n"/>
      <c r="B2702" s="4561" t="n"/>
      <c r="C2702" s="4561" t="n"/>
      <c r="D2702" s="4561" t="n"/>
      <c r="E2702" s="4561" t="n"/>
      <c r="F2702" s="4561" t="n"/>
    </row>
    <row r="2703">
      <c r="A2703" s="4561" t="n"/>
      <c r="B2703" s="4561" t="n"/>
      <c r="C2703" s="4561" t="n"/>
      <c r="D2703" s="4561" t="n"/>
      <c r="E2703" s="4561" t="n"/>
      <c r="F2703" s="4561" t="n"/>
    </row>
    <row r="2704">
      <c r="A2704" s="4561" t="n"/>
      <c r="B2704" s="4561" t="n"/>
      <c r="C2704" s="4561" t="n"/>
      <c r="D2704" s="4561" t="n"/>
      <c r="E2704" s="4561" t="n"/>
      <c r="F2704" s="4561" t="n"/>
    </row>
    <row r="2705">
      <c r="A2705" s="4561" t="n"/>
      <c r="B2705" s="4561" t="n"/>
      <c r="C2705" s="4561" t="n"/>
      <c r="D2705" s="4561" t="n"/>
      <c r="E2705" s="4561" t="n"/>
      <c r="F2705" s="4561" t="n"/>
    </row>
    <row r="2706">
      <c r="A2706" s="4561" t="n"/>
      <c r="B2706" s="4561" t="n"/>
      <c r="C2706" s="4561" t="n"/>
      <c r="D2706" s="4561" t="n"/>
      <c r="E2706" s="4561" t="n"/>
      <c r="F2706" s="4561" t="n"/>
    </row>
    <row r="2707">
      <c r="A2707" s="4561" t="n"/>
      <c r="B2707" s="4561" t="n"/>
      <c r="C2707" s="4561" t="n"/>
      <c r="D2707" s="4561" t="n"/>
      <c r="E2707" s="4561" t="n"/>
      <c r="F2707" s="4561" t="n"/>
    </row>
    <row r="2708">
      <c r="A2708" s="4561" t="n"/>
      <c r="B2708" s="4561" t="n"/>
      <c r="C2708" s="4561" t="n"/>
      <c r="D2708" s="4561" t="n"/>
      <c r="E2708" s="4561" t="n"/>
      <c r="F2708" s="4561" t="n"/>
    </row>
    <row r="2709">
      <c r="A2709" s="4561" t="n"/>
      <c r="B2709" s="4561" t="n"/>
      <c r="C2709" s="4561" t="n"/>
      <c r="D2709" s="4561" t="n"/>
      <c r="E2709" s="4561" t="n"/>
      <c r="F2709" s="4561" t="n"/>
    </row>
    <row r="2710">
      <c r="A2710" s="4561" t="n"/>
      <c r="B2710" s="4561" t="n"/>
      <c r="C2710" s="4561" t="n"/>
      <c r="D2710" s="4561" t="n"/>
      <c r="E2710" s="4561" t="n"/>
      <c r="F2710" s="4561" t="n"/>
    </row>
    <row r="2711">
      <c r="A2711" s="4561" t="n"/>
      <c r="B2711" s="4561" t="n"/>
      <c r="C2711" s="4561" t="n"/>
      <c r="D2711" s="4561" t="n"/>
      <c r="E2711" s="4561" t="n"/>
      <c r="F2711" s="4561" t="n"/>
    </row>
    <row r="2712">
      <c r="A2712" s="4561" t="n"/>
      <c r="B2712" s="4561" t="n"/>
      <c r="C2712" s="4561" t="n"/>
      <c r="D2712" s="4561" t="n"/>
      <c r="E2712" s="4561" t="n"/>
      <c r="F2712" s="4561" t="n"/>
    </row>
    <row r="2713">
      <c r="A2713" s="4561" t="n"/>
      <c r="B2713" s="4561" t="n"/>
      <c r="C2713" s="4561" t="n"/>
      <c r="D2713" s="4561" t="n"/>
      <c r="E2713" s="4561" t="n"/>
      <c r="F2713" s="4561" t="n"/>
    </row>
    <row r="2714">
      <c r="A2714" s="4561" t="n"/>
      <c r="B2714" s="4561" t="n"/>
      <c r="C2714" s="4561" t="n"/>
      <c r="D2714" s="4561" t="n"/>
      <c r="E2714" s="4561" t="n"/>
      <c r="F2714" s="4561" t="n"/>
    </row>
    <row r="2715">
      <c r="A2715" s="4561" t="n"/>
      <c r="B2715" s="4561" t="n"/>
      <c r="C2715" s="4561" t="n"/>
      <c r="D2715" s="4561" t="n"/>
      <c r="E2715" s="4561" t="n"/>
      <c r="F2715" s="4561" t="n"/>
    </row>
    <row r="2716">
      <c r="A2716" s="4561" t="n"/>
      <c r="B2716" s="4561" t="n"/>
      <c r="C2716" s="4561" t="n"/>
      <c r="D2716" s="4561" t="n"/>
      <c r="E2716" s="4561" t="n"/>
      <c r="F2716" s="4561" t="n"/>
    </row>
    <row r="2717">
      <c r="A2717" s="4561" t="n"/>
      <c r="B2717" s="4561" t="n"/>
      <c r="C2717" s="4561" t="n"/>
      <c r="D2717" s="4561" t="n"/>
      <c r="E2717" s="4561" t="n"/>
      <c r="F2717" s="4561" t="n"/>
    </row>
    <row r="2718">
      <c r="A2718" s="4561" t="n"/>
      <c r="B2718" s="4561" t="n"/>
      <c r="C2718" s="4561" t="n"/>
      <c r="D2718" s="4561" t="n"/>
      <c r="E2718" s="4561" t="n"/>
      <c r="F2718" s="4561" t="n"/>
    </row>
    <row r="2719">
      <c r="A2719" s="4561" t="n"/>
      <c r="B2719" s="4561" t="n"/>
      <c r="C2719" s="4561" t="n"/>
      <c r="D2719" s="4561" t="n"/>
      <c r="E2719" s="4561" t="n"/>
      <c r="F2719" s="4561" t="n"/>
    </row>
    <row r="2720">
      <c r="A2720" s="4561" t="n"/>
      <c r="B2720" s="4561" t="n"/>
      <c r="C2720" s="4561" t="n"/>
      <c r="D2720" s="4561" t="n"/>
      <c r="E2720" s="4561" t="n"/>
      <c r="F2720" s="4561" t="n"/>
    </row>
    <row r="2721">
      <c r="A2721" s="4561" t="n"/>
      <c r="B2721" s="4561" t="n"/>
      <c r="C2721" s="4561" t="n"/>
      <c r="D2721" s="4561" t="n"/>
      <c r="E2721" s="4561" t="n"/>
      <c r="F2721" s="4561" t="n"/>
    </row>
    <row r="2722">
      <c r="A2722" s="4561" t="n"/>
      <c r="B2722" s="4561" t="n"/>
      <c r="C2722" s="4561" t="n"/>
      <c r="D2722" s="4561" t="n"/>
      <c r="E2722" s="4561" t="n"/>
      <c r="F2722" s="4561" t="n"/>
    </row>
    <row r="2723">
      <c r="A2723" s="4561" t="n"/>
      <c r="B2723" s="4561" t="n"/>
      <c r="C2723" s="4561" t="n"/>
      <c r="D2723" s="4561" t="n"/>
      <c r="E2723" s="4561" t="n"/>
      <c r="F2723" s="4561" t="n"/>
    </row>
    <row r="2724">
      <c r="A2724" s="4561" t="n"/>
      <c r="B2724" s="4561" t="n"/>
      <c r="C2724" s="4561" t="n"/>
      <c r="D2724" s="4561" t="n"/>
      <c r="E2724" s="4561" t="n"/>
      <c r="F2724" s="4561" t="n"/>
    </row>
    <row r="2725">
      <c r="A2725" s="4561" t="n"/>
      <c r="B2725" s="4561" t="n"/>
      <c r="C2725" s="4561" t="n"/>
      <c r="D2725" s="4561" t="n"/>
      <c r="E2725" s="4561" t="n"/>
      <c r="F2725" s="4561" t="n"/>
    </row>
    <row r="2726">
      <c r="A2726" s="4561" t="n"/>
      <c r="B2726" s="4561" t="n"/>
      <c r="C2726" s="4561" t="n"/>
      <c r="D2726" s="4561" t="n"/>
      <c r="E2726" s="4561" t="n"/>
      <c r="F2726" s="4561" t="n"/>
    </row>
    <row r="2727">
      <c r="A2727" s="4561" t="n"/>
      <c r="B2727" s="4561" t="n"/>
      <c r="C2727" s="4561" t="n"/>
      <c r="D2727" s="4561" t="n"/>
      <c r="E2727" s="4561" t="n"/>
      <c r="F2727" s="4561" t="n"/>
    </row>
    <row r="2728">
      <c r="A2728" s="4561" t="n"/>
      <c r="B2728" s="4561" t="n"/>
      <c r="C2728" s="4561" t="n"/>
      <c r="D2728" s="4561" t="n"/>
      <c r="E2728" s="4561" t="n"/>
      <c r="F2728" s="4561" t="n"/>
    </row>
    <row r="2729">
      <c r="A2729" s="4561" t="n"/>
      <c r="B2729" s="4561" t="n"/>
      <c r="C2729" s="4561" t="n"/>
      <c r="D2729" s="4561" t="n"/>
      <c r="E2729" s="4561" t="n"/>
      <c r="F2729" s="4561" t="n"/>
    </row>
    <row r="2730">
      <c r="A2730" s="4561" t="n"/>
      <c r="B2730" s="4561" t="n"/>
      <c r="C2730" s="4561" t="n"/>
      <c r="D2730" s="4561" t="n"/>
      <c r="E2730" s="4561" t="n"/>
      <c r="F2730" s="4561" t="n"/>
    </row>
    <row r="2731">
      <c r="A2731" s="4561" t="n"/>
      <c r="B2731" s="4561" t="n"/>
      <c r="C2731" s="4561" t="n"/>
      <c r="D2731" s="4561" t="n"/>
      <c r="E2731" s="4561" t="n"/>
      <c r="F2731" s="4561" t="n"/>
    </row>
    <row r="2732">
      <c r="A2732" s="4561" t="n"/>
      <c r="B2732" s="4561" t="n"/>
      <c r="C2732" s="4561" t="n"/>
      <c r="D2732" s="4561" t="n"/>
      <c r="E2732" s="4561" t="n"/>
      <c r="F2732" s="4561" t="n"/>
    </row>
    <row r="2733">
      <c r="A2733" s="4561" t="n"/>
      <c r="B2733" s="4561" t="n"/>
      <c r="C2733" s="4561" t="n"/>
      <c r="D2733" s="4561" t="n"/>
      <c r="E2733" s="4561" t="n"/>
      <c r="F2733" s="4561" t="n"/>
    </row>
    <row r="2734">
      <c r="A2734" s="4561" t="n"/>
      <c r="B2734" s="4561" t="n"/>
      <c r="C2734" s="4561" t="n"/>
      <c r="D2734" s="4561" t="n"/>
      <c r="E2734" s="4561" t="n"/>
      <c r="F2734" s="4561" t="n"/>
    </row>
    <row r="2735">
      <c r="A2735" s="4561" t="n"/>
      <c r="B2735" s="4561" t="n"/>
      <c r="C2735" s="4561" t="n"/>
      <c r="D2735" s="4561" t="n"/>
      <c r="E2735" s="4561" t="n"/>
      <c r="F2735" s="4561" t="n"/>
    </row>
    <row r="2736">
      <c r="A2736" s="4561" t="n"/>
      <c r="B2736" s="4561" t="n"/>
      <c r="C2736" s="4561" t="n"/>
      <c r="D2736" s="4561" t="n"/>
      <c r="E2736" s="4561" t="n"/>
      <c r="F2736" s="4561" t="n"/>
    </row>
    <row r="2737">
      <c r="A2737" s="4561" t="n"/>
      <c r="B2737" s="4561" t="n"/>
      <c r="C2737" s="4561" t="n"/>
      <c r="D2737" s="4561" t="n"/>
      <c r="E2737" s="4561" t="n"/>
      <c r="F2737" s="4561" t="n"/>
    </row>
    <row r="2738">
      <c r="A2738" s="4561" t="n"/>
      <c r="B2738" s="4561" t="n"/>
      <c r="C2738" s="4561" t="n"/>
      <c r="D2738" s="4561" t="n"/>
      <c r="E2738" s="4561" t="n"/>
      <c r="F2738" s="4561" t="n"/>
    </row>
    <row r="2739">
      <c r="A2739" s="4561" t="n"/>
      <c r="B2739" s="4561" t="n"/>
      <c r="C2739" s="4561" t="n"/>
      <c r="D2739" s="4561" t="n"/>
      <c r="E2739" s="4561" t="n"/>
      <c r="F2739" s="4561" t="n"/>
    </row>
    <row r="2740">
      <c r="A2740" s="4561" t="n"/>
      <c r="B2740" s="4561" t="n"/>
      <c r="C2740" s="4561" t="n"/>
      <c r="D2740" s="4561" t="n"/>
      <c r="E2740" s="4561" t="n"/>
      <c r="F2740" s="4561" t="n"/>
    </row>
    <row r="2741">
      <c r="A2741" s="4561" t="n"/>
      <c r="B2741" s="4561" t="n"/>
      <c r="C2741" s="4561" t="n"/>
      <c r="D2741" s="4561" t="n"/>
      <c r="E2741" s="4561" t="n"/>
      <c r="F2741" s="4561" t="n"/>
    </row>
    <row r="2742">
      <c r="A2742" s="4561" t="n"/>
      <c r="B2742" s="4561" t="n"/>
      <c r="C2742" s="4561" t="n"/>
      <c r="D2742" s="4561" t="n"/>
      <c r="E2742" s="4561" t="n"/>
      <c r="F2742" s="4561" t="n"/>
    </row>
    <row r="2743">
      <c r="A2743" s="4561" t="n"/>
      <c r="B2743" s="4561" t="n"/>
      <c r="C2743" s="4561" t="n"/>
      <c r="D2743" s="4561" t="n"/>
      <c r="E2743" s="4561" t="n"/>
      <c r="F2743" s="4561" t="n"/>
    </row>
    <row r="2744">
      <c r="A2744" s="4561" t="n"/>
      <c r="B2744" s="4561" t="n"/>
      <c r="C2744" s="4561" t="n"/>
      <c r="D2744" s="4561" t="n"/>
      <c r="E2744" s="4561" t="n"/>
      <c r="F2744" s="4561" t="n"/>
    </row>
    <row r="2745">
      <c r="A2745" s="4561" t="n"/>
      <c r="B2745" s="4561" t="n"/>
      <c r="C2745" s="4561" t="n"/>
      <c r="D2745" s="4561" t="n"/>
      <c r="E2745" s="4561" t="n"/>
      <c r="F2745" s="4561" t="n"/>
    </row>
    <row r="2746">
      <c r="A2746" s="4561" t="n"/>
      <c r="B2746" s="4561" t="n"/>
      <c r="C2746" s="4561" t="n"/>
      <c r="D2746" s="4561" t="n"/>
      <c r="E2746" s="4561" t="n"/>
      <c r="F2746" s="4561" t="n"/>
    </row>
    <row r="2747">
      <c r="A2747" s="4561" t="n"/>
      <c r="B2747" s="4561" t="n"/>
      <c r="C2747" s="4561" t="n"/>
      <c r="D2747" s="4561" t="n"/>
      <c r="E2747" s="4561" t="n"/>
      <c r="F2747" s="4561" t="n"/>
    </row>
    <row r="2748">
      <c r="A2748" s="4561" t="n"/>
      <c r="B2748" s="4561" t="n"/>
      <c r="C2748" s="4561" t="n"/>
      <c r="D2748" s="4561" t="n"/>
      <c r="E2748" s="4561" t="n"/>
      <c r="F2748" s="4561" t="n"/>
    </row>
    <row r="2749">
      <c r="A2749" s="4561" t="n"/>
      <c r="B2749" s="4561" t="n"/>
      <c r="C2749" s="4561" t="n"/>
      <c r="D2749" s="4561" t="n"/>
      <c r="E2749" s="4561" t="n"/>
      <c r="F2749" s="4561" t="n"/>
    </row>
    <row r="2750">
      <c r="A2750" s="4561" t="n"/>
      <c r="B2750" s="4561" t="n"/>
      <c r="C2750" s="4561" t="n"/>
      <c r="D2750" s="4561" t="n"/>
      <c r="E2750" s="4561" t="n"/>
      <c r="F2750" s="4561" t="n"/>
    </row>
    <row r="2751">
      <c r="A2751" s="4561" t="n"/>
      <c r="B2751" s="4561" t="n"/>
      <c r="C2751" s="4561" t="n"/>
      <c r="D2751" s="4561" t="n"/>
      <c r="E2751" s="4561" t="n"/>
      <c r="F2751" s="4561" t="n"/>
    </row>
    <row r="2752">
      <c r="A2752" s="4561" t="n"/>
      <c r="B2752" s="4561" t="n"/>
      <c r="C2752" s="4561" t="n"/>
      <c r="D2752" s="4561" t="n"/>
      <c r="E2752" s="4561" t="n"/>
      <c r="F2752" s="4561" t="n"/>
    </row>
    <row r="2753">
      <c r="A2753" s="4561" t="n"/>
      <c r="B2753" s="4561" t="n"/>
      <c r="C2753" s="4561" t="n"/>
      <c r="D2753" s="4561" t="n"/>
      <c r="E2753" s="4561" t="n"/>
      <c r="F2753" s="4561" t="n"/>
    </row>
    <row r="2754">
      <c r="A2754" s="4561" t="n"/>
      <c r="B2754" s="4561" t="n"/>
      <c r="C2754" s="4561" t="n"/>
      <c r="D2754" s="4561" t="n"/>
      <c r="E2754" s="4561" t="n"/>
      <c r="F2754" s="4561" t="n"/>
    </row>
    <row r="2755">
      <c r="A2755" s="4561" t="n"/>
      <c r="B2755" s="4561" t="n"/>
      <c r="C2755" s="4561" t="n"/>
      <c r="D2755" s="4561" t="n"/>
      <c r="E2755" s="4561" t="n"/>
      <c r="F2755" s="4561" t="n"/>
    </row>
    <row r="2756">
      <c r="A2756" s="4561" t="n"/>
      <c r="B2756" s="4561" t="n"/>
      <c r="C2756" s="4561" t="n"/>
      <c r="D2756" s="4561" t="n"/>
      <c r="E2756" s="4561" t="n"/>
      <c r="F2756" s="4561" t="n"/>
    </row>
    <row r="2757">
      <c r="A2757" s="4561" t="n"/>
      <c r="B2757" s="4561" t="n"/>
      <c r="C2757" s="4561" t="n"/>
      <c r="D2757" s="4561" t="n"/>
      <c r="E2757" s="4561" t="n"/>
      <c r="F2757" s="4561" t="n"/>
    </row>
    <row r="2758">
      <c r="A2758" s="4561" t="n"/>
      <c r="B2758" s="4561" t="n"/>
      <c r="C2758" s="4561" t="n"/>
      <c r="D2758" s="4561" t="n"/>
      <c r="E2758" s="4561" t="n"/>
      <c r="F2758" s="4561" t="n"/>
    </row>
    <row r="2759">
      <c r="A2759" s="4561" t="n"/>
      <c r="B2759" s="4561" t="n"/>
      <c r="C2759" s="4561" t="n"/>
      <c r="D2759" s="4561" t="n"/>
      <c r="E2759" s="4561" t="n"/>
      <c r="F2759" s="4561" t="n"/>
    </row>
    <row r="2760">
      <c r="A2760" s="4561" t="n"/>
      <c r="B2760" s="4561" t="n"/>
      <c r="C2760" s="4561" t="n"/>
      <c r="D2760" s="4561" t="n"/>
      <c r="E2760" s="4561" t="n"/>
      <c r="F2760" s="4561" t="n"/>
    </row>
    <row r="2761">
      <c r="A2761" s="4561" t="n"/>
      <c r="B2761" s="4561" t="n"/>
      <c r="C2761" s="4561" t="n"/>
      <c r="D2761" s="4561" t="n"/>
      <c r="E2761" s="4561" t="n"/>
      <c r="F2761" s="4561" t="n"/>
    </row>
    <row r="2762">
      <c r="A2762" s="4561" t="n"/>
      <c r="B2762" s="4561" t="n"/>
      <c r="C2762" s="4561" t="n"/>
      <c r="D2762" s="4561" t="n"/>
      <c r="E2762" s="4561" t="n"/>
      <c r="F2762" s="4561" t="n"/>
    </row>
    <row r="2763">
      <c r="A2763" s="4561" t="n"/>
      <c r="B2763" s="4561" t="n"/>
      <c r="C2763" s="4561" t="n"/>
      <c r="D2763" s="4561" t="n"/>
      <c r="E2763" s="4561" t="n"/>
      <c r="F2763" s="4561" t="n"/>
    </row>
    <row r="2764">
      <c r="A2764" s="4561" t="n"/>
      <c r="B2764" s="4561" t="n"/>
      <c r="C2764" s="4561" t="n"/>
      <c r="D2764" s="4561" t="n"/>
      <c r="E2764" s="4561" t="n"/>
      <c r="F2764" s="4561" t="n"/>
    </row>
    <row r="2765">
      <c r="A2765" s="4561" t="n"/>
      <c r="B2765" s="4561" t="n"/>
      <c r="C2765" s="4561" t="n"/>
      <c r="D2765" s="4561" t="n"/>
      <c r="E2765" s="4561" t="n"/>
      <c r="F2765" s="4561" t="n"/>
    </row>
    <row r="2766">
      <c r="A2766" s="4561" t="n"/>
      <c r="B2766" s="4561" t="n"/>
      <c r="C2766" s="4561" t="n"/>
      <c r="D2766" s="4561" t="n"/>
      <c r="E2766" s="4561" t="n"/>
      <c r="F2766" s="4561" t="n"/>
    </row>
    <row r="2767">
      <c r="A2767" s="4561" t="n"/>
      <c r="B2767" s="4561" t="n"/>
      <c r="C2767" s="4561" t="n"/>
      <c r="D2767" s="4561" t="n"/>
      <c r="E2767" s="4561" t="n"/>
      <c r="F2767" s="4561" t="n"/>
    </row>
    <row r="2768">
      <c r="A2768" s="4561" t="n"/>
      <c r="B2768" s="4561" t="n"/>
      <c r="C2768" s="4561" t="n"/>
      <c r="D2768" s="4561" t="n"/>
      <c r="E2768" s="4561" t="n"/>
      <c r="F2768" s="4561" t="n"/>
    </row>
    <row r="2769">
      <c r="A2769" s="4561" t="n"/>
      <c r="B2769" s="4561" t="n"/>
      <c r="C2769" s="4561" t="n"/>
      <c r="D2769" s="4561" t="n"/>
      <c r="E2769" s="4561" t="n"/>
      <c r="F2769" s="4561" t="n"/>
    </row>
    <row r="2770">
      <c r="A2770" s="4561" t="n"/>
      <c r="B2770" s="4561" t="n"/>
      <c r="C2770" s="4561" t="n"/>
      <c r="D2770" s="4561" t="n"/>
      <c r="E2770" s="4561" t="n"/>
      <c r="F2770" s="4561" t="n"/>
    </row>
    <row r="2771">
      <c r="A2771" s="4561" t="n"/>
      <c r="B2771" s="4561" t="n"/>
      <c r="C2771" s="4561" t="n"/>
      <c r="D2771" s="4561" t="n"/>
      <c r="E2771" s="4561" t="n"/>
      <c r="F2771" s="4561" t="n"/>
    </row>
    <row r="2772">
      <c r="A2772" s="4561" t="n"/>
      <c r="B2772" s="4561" t="n"/>
      <c r="C2772" s="4561" t="n"/>
      <c r="D2772" s="4561" t="n"/>
      <c r="E2772" s="4561" t="n"/>
      <c r="F2772" s="4561" t="n"/>
    </row>
    <row r="2773">
      <c r="A2773" s="4561" t="n"/>
      <c r="B2773" s="4561" t="n"/>
      <c r="C2773" s="4561" t="n"/>
      <c r="D2773" s="4561" t="n"/>
      <c r="E2773" s="4561" t="n"/>
      <c r="F2773" s="4561" t="n"/>
    </row>
    <row r="2774">
      <c r="A2774" s="4561" t="n"/>
      <c r="B2774" s="4561" t="n"/>
      <c r="C2774" s="4561" t="n"/>
      <c r="D2774" s="4561" t="n"/>
      <c r="E2774" s="4561" t="n"/>
      <c r="F2774" s="4561" t="n"/>
    </row>
    <row r="2775">
      <c r="A2775" s="4561" t="n"/>
      <c r="B2775" s="4561" t="n"/>
      <c r="C2775" s="4561" t="n"/>
      <c r="D2775" s="4561" t="n"/>
      <c r="E2775" s="4561" t="n"/>
      <c r="F2775" s="4561" t="n"/>
    </row>
    <row r="2776">
      <c r="A2776" s="4561" t="n"/>
      <c r="B2776" s="4561" t="n"/>
      <c r="C2776" s="4561" t="n"/>
      <c r="D2776" s="4561" t="n"/>
      <c r="E2776" s="4561" t="n"/>
      <c r="F2776" s="4561" t="n"/>
    </row>
    <row r="2777">
      <c r="A2777" s="4561" t="n"/>
      <c r="B2777" s="4561" t="n"/>
      <c r="C2777" s="4561" t="n"/>
      <c r="D2777" s="4561" t="n"/>
      <c r="E2777" s="4561" t="n"/>
      <c r="F2777" s="4561" t="n"/>
    </row>
    <row r="2778">
      <c r="A2778" s="4561" t="n"/>
      <c r="B2778" s="4561" t="n"/>
      <c r="C2778" s="4561" t="n"/>
      <c r="D2778" s="4561" t="n"/>
      <c r="E2778" s="4561" t="n"/>
      <c r="F2778" s="4561" t="n"/>
    </row>
    <row r="2779">
      <c r="A2779" s="4561" t="n"/>
      <c r="B2779" s="4561" t="n"/>
      <c r="C2779" s="4561" t="n"/>
      <c r="D2779" s="4561" t="n"/>
      <c r="E2779" s="4561" t="n"/>
      <c r="F2779" s="4561" t="n"/>
    </row>
    <row r="2780">
      <c r="A2780" s="4561" t="n"/>
      <c r="B2780" s="4561" t="n"/>
      <c r="C2780" s="4561" t="n"/>
      <c r="D2780" s="4561" t="n"/>
      <c r="E2780" s="4561" t="n"/>
      <c r="F2780" s="4561" t="n"/>
    </row>
    <row r="2781">
      <c r="A2781" s="4561" t="n"/>
      <c r="B2781" s="4561" t="n"/>
      <c r="C2781" s="4561" t="n"/>
      <c r="D2781" s="4561" t="n"/>
      <c r="E2781" s="4561" t="n"/>
      <c r="F2781" s="4561" t="n"/>
    </row>
    <row r="2782">
      <c r="A2782" s="4561" t="n"/>
      <c r="B2782" s="4561" t="n"/>
      <c r="C2782" s="4561" t="n"/>
      <c r="D2782" s="4561" t="n"/>
      <c r="E2782" s="4561" t="n"/>
      <c r="F2782" s="4561" t="n"/>
    </row>
    <row r="2783">
      <c r="A2783" s="4561" t="n"/>
      <c r="B2783" s="4561" t="n"/>
      <c r="C2783" s="4561" t="n"/>
      <c r="D2783" s="4561" t="n"/>
      <c r="E2783" s="4561" t="n"/>
      <c r="F2783" s="4561" t="n"/>
    </row>
    <row r="2784">
      <c r="A2784" s="4561" t="n"/>
      <c r="B2784" s="4561" t="n"/>
      <c r="C2784" s="4561" t="n"/>
      <c r="D2784" s="4561" t="n"/>
      <c r="E2784" s="4561" t="n"/>
      <c r="F2784" s="4561" t="n"/>
    </row>
    <row r="2785">
      <c r="A2785" s="4561" t="n"/>
      <c r="B2785" s="4561" t="n"/>
      <c r="C2785" s="4561" t="n"/>
      <c r="D2785" s="4561" t="n"/>
      <c r="E2785" s="4561" t="n"/>
      <c r="F2785" s="4561" t="n"/>
    </row>
    <row r="2786">
      <c r="A2786" s="4561" t="n"/>
      <c r="B2786" s="4561" t="n"/>
      <c r="C2786" s="4561" t="n"/>
      <c r="D2786" s="4561" t="n"/>
      <c r="E2786" s="4561" t="n"/>
      <c r="F2786" s="4561" t="n"/>
    </row>
    <row r="2787">
      <c r="A2787" s="4561" t="n"/>
      <c r="B2787" s="4561" t="n"/>
      <c r="C2787" s="4561" t="n"/>
      <c r="D2787" s="4561" t="n"/>
      <c r="E2787" s="4561" t="n"/>
      <c r="F2787" s="4561" t="n"/>
    </row>
    <row r="2788">
      <c r="A2788" s="4561" t="n"/>
      <c r="B2788" s="4561" t="n"/>
      <c r="C2788" s="4561" t="n"/>
      <c r="D2788" s="4561" t="n"/>
      <c r="E2788" s="4561" t="n"/>
      <c r="F2788" s="4561" t="n"/>
    </row>
    <row r="2789">
      <c r="A2789" s="4561" t="n"/>
      <c r="B2789" s="4561" t="n"/>
      <c r="C2789" s="4561" t="n"/>
      <c r="D2789" s="4561" t="n"/>
      <c r="E2789" s="4561" t="n"/>
      <c r="F2789" s="4561" t="n"/>
    </row>
    <row r="2790">
      <c r="A2790" s="4561" t="n"/>
      <c r="B2790" s="4561" t="n"/>
      <c r="C2790" s="4561" t="n"/>
      <c r="D2790" s="4561" t="n"/>
      <c r="E2790" s="4561" t="n"/>
      <c r="F2790" s="4561" t="n"/>
    </row>
    <row r="2791">
      <c r="A2791" s="4561" t="n"/>
      <c r="B2791" s="4561" t="n"/>
      <c r="C2791" s="4561" t="n"/>
      <c r="D2791" s="4561" t="n"/>
      <c r="E2791" s="4561" t="n"/>
      <c r="F2791" s="4561" t="n"/>
    </row>
    <row r="2792">
      <c r="A2792" s="4561" t="n"/>
      <c r="B2792" s="4561" t="n"/>
      <c r="C2792" s="4561" t="n"/>
      <c r="D2792" s="4561" t="n"/>
      <c r="E2792" s="4561" t="n"/>
      <c r="F2792" s="4561" t="n"/>
    </row>
    <row r="2793">
      <c r="A2793" s="4561" t="n"/>
      <c r="B2793" s="4561" t="n"/>
      <c r="C2793" s="4561" t="n"/>
      <c r="D2793" s="4561" t="n"/>
      <c r="E2793" s="4561" t="n"/>
      <c r="F2793" s="4561" t="n"/>
    </row>
    <row r="2794">
      <c r="A2794" s="4561" t="n"/>
      <c r="B2794" s="4561" t="n"/>
      <c r="C2794" s="4561" t="n"/>
      <c r="D2794" s="4561" t="n"/>
      <c r="E2794" s="4561" t="n"/>
      <c r="F2794" s="4561" t="n"/>
    </row>
    <row r="2795">
      <c r="A2795" s="4561" t="n"/>
      <c r="B2795" s="4561" t="n"/>
      <c r="C2795" s="4561" t="n"/>
      <c r="D2795" s="4561" t="n"/>
      <c r="E2795" s="4561" t="n"/>
      <c r="F2795" s="4561" t="n"/>
    </row>
    <row r="2796">
      <c r="A2796" s="4561" t="n"/>
      <c r="B2796" s="4561" t="n"/>
      <c r="C2796" s="4561" t="n"/>
      <c r="D2796" s="4561" t="n"/>
      <c r="E2796" s="4561" t="n"/>
      <c r="F2796" s="4561" t="n"/>
    </row>
    <row r="2797">
      <c r="A2797" s="4561" t="n"/>
      <c r="B2797" s="4561" t="n"/>
      <c r="C2797" s="4561" t="n"/>
      <c r="D2797" s="4561" t="n"/>
      <c r="E2797" s="4561" t="n"/>
      <c r="F2797" s="4561" t="n"/>
    </row>
    <row r="2798">
      <c r="A2798" s="4561" t="n"/>
      <c r="B2798" s="4561" t="n"/>
      <c r="C2798" s="4561" t="n"/>
      <c r="D2798" s="4561" t="n"/>
      <c r="E2798" s="4561" t="n"/>
      <c r="F2798" s="4561" t="n"/>
    </row>
    <row r="2799">
      <c r="A2799" s="4561" t="n"/>
      <c r="B2799" s="4561" t="n"/>
      <c r="C2799" s="4561" t="n"/>
      <c r="D2799" s="4561" t="n"/>
      <c r="E2799" s="4561" t="n"/>
      <c r="F2799" s="4561" t="n"/>
    </row>
    <row r="2800">
      <c r="A2800" s="4561" t="n"/>
      <c r="B2800" s="4561" t="n"/>
      <c r="C2800" s="4561" t="n"/>
      <c r="D2800" s="4561" t="n"/>
      <c r="E2800" s="4561" t="n"/>
      <c r="F2800" s="4561" t="n"/>
    </row>
    <row r="2801">
      <c r="A2801" s="4561" t="n"/>
      <c r="B2801" s="4561" t="n"/>
      <c r="C2801" s="4561" t="n"/>
      <c r="D2801" s="4561" t="n"/>
      <c r="E2801" s="4561" t="n"/>
      <c r="F2801" s="4561" t="n"/>
    </row>
    <row r="2802">
      <c r="A2802" s="4561" t="n"/>
      <c r="B2802" s="4561" t="n"/>
      <c r="C2802" s="4561" t="n"/>
      <c r="D2802" s="4561" t="n"/>
      <c r="E2802" s="4561" t="n"/>
      <c r="F2802" s="4561" t="n"/>
    </row>
    <row r="2803">
      <c r="A2803" s="4561" t="n"/>
      <c r="B2803" s="4561" t="n"/>
      <c r="C2803" s="4561" t="n"/>
      <c r="D2803" s="4561" t="n"/>
      <c r="E2803" s="4561" t="n"/>
      <c r="F2803" s="4561" t="n"/>
    </row>
    <row r="2804">
      <c r="A2804" s="4561" t="n"/>
      <c r="B2804" s="4561" t="n"/>
      <c r="C2804" s="4561" t="n"/>
      <c r="D2804" s="4561" t="n"/>
      <c r="E2804" s="4561" t="n"/>
      <c r="F2804" s="4561" t="n"/>
    </row>
    <row r="2805">
      <c r="A2805" s="4561" t="n"/>
      <c r="B2805" s="4561" t="n"/>
      <c r="C2805" s="4561" t="n"/>
      <c r="D2805" s="4561" t="n"/>
      <c r="E2805" s="4561" t="n"/>
      <c r="F2805" s="4561" t="n"/>
    </row>
    <row r="2806">
      <c r="A2806" s="4561" t="n"/>
      <c r="B2806" s="4561" t="n"/>
      <c r="C2806" s="4561" t="n"/>
      <c r="D2806" s="4561" t="n"/>
      <c r="E2806" s="4561" t="n"/>
      <c r="F2806" s="4561" t="n"/>
    </row>
    <row r="2807">
      <c r="A2807" s="4561" t="n"/>
      <c r="B2807" s="4561" t="n"/>
      <c r="C2807" s="4561" t="n"/>
      <c r="D2807" s="4561" t="n"/>
      <c r="E2807" s="4561" t="n"/>
      <c r="F2807" s="4561" t="n"/>
    </row>
    <row r="2808">
      <c r="A2808" s="4561" t="n"/>
      <c r="B2808" s="4561" t="n"/>
      <c r="C2808" s="4561" t="n"/>
      <c r="D2808" s="4561" t="n"/>
      <c r="E2808" s="4561" t="n"/>
      <c r="F2808" s="4561" t="n"/>
    </row>
    <row r="2809">
      <c r="A2809" s="4561" t="n"/>
      <c r="B2809" s="4561" t="n"/>
      <c r="C2809" s="4561" t="n"/>
      <c r="D2809" s="4561" t="n"/>
      <c r="E2809" s="4561" t="n"/>
      <c r="F2809" s="4561" t="n"/>
    </row>
    <row r="2810">
      <c r="A2810" s="4561" t="n"/>
      <c r="B2810" s="4561" t="n"/>
      <c r="C2810" s="4561" t="n"/>
      <c r="D2810" s="4561" t="n"/>
      <c r="E2810" s="4561" t="n"/>
      <c r="F2810" s="4561" t="n"/>
    </row>
    <row r="2811">
      <c r="A2811" s="4561" t="n"/>
      <c r="B2811" s="4561" t="n"/>
      <c r="C2811" s="4561" t="n"/>
      <c r="D2811" s="4561" t="n"/>
      <c r="E2811" s="4561" t="n"/>
      <c r="F2811" s="4561" t="n"/>
    </row>
    <row r="2812">
      <c r="A2812" s="4561" t="n"/>
      <c r="B2812" s="4561" t="n"/>
      <c r="C2812" s="4561" t="n"/>
      <c r="D2812" s="4561" t="n"/>
      <c r="E2812" s="4561" t="n"/>
      <c r="F2812" s="4561" t="n"/>
    </row>
    <row r="2813">
      <c r="A2813" s="4561" t="n"/>
      <c r="B2813" s="4561" t="n"/>
      <c r="C2813" s="4561" t="n"/>
      <c r="D2813" s="4561" t="n"/>
      <c r="E2813" s="4561" t="n"/>
      <c r="F2813" s="4561" t="n"/>
    </row>
    <row r="2814">
      <c r="A2814" s="4561" t="n"/>
      <c r="B2814" s="4561" t="n"/>
      <c r="C2814" s="4561" t="n"/>
      <c r="D2814" s="4561" t="n"/>
      <c r="E2814" s="4561" t="n"/>
      <c r="F2814" s="4561" t="n"/>
    </row>
    <row r="2815">
      <c r="A2815" s="4561" t="n"/>
      <c r="B2815" s="4561" t="n"/>
      <c r="C2815" s="4561" t="n"/>
      <c r="D2815" s="4561" t="n"/>
      <c r="E2815" s="4561" t="n"/>
      <c r="F2815" s="4561" t="n"/>
    </row>
    <row r="2816">
      <c r="A2816" s="4561" t="n"/>
      <c r="B2816" s="4561" t="n"/>
      <c r="C2816" s="4561" t="n"/>
      <c r="D2816" s="4561" t="n"/>
      <c r="E2816" s="4561" t="n"/>
      <c r="F2816" s="4561" t="n"/>
    </row>
    <row r="2817">
      <c r="A2817" s="4561" t="n"/>
      <c r="B2817" s="4561" t="n"/>
      <c r="C2817" s="4561" t="n"/>
      <c r="D2817" s="4561" t="n"/>
      <c r="E2817" s="4561" t="n"/>
      <c r="F2817" s="4561" t="n"/>
    </row>
    <row r="2818">
      <c r="A2818" s="4561" t="n"/>
      <c r="B2818" s="4561" t="n"/>
      <c r="C2818" s="4561" t="n"/>
      <c r="D2818" s="4561" t="n"/>
      <c r="E2818" s="4561" t="n"/>
      <c r="F2818" s="4561" t="n"/>
    </row>
    <row r="2819">
      <c r="A2819" s="4561" t="n"/>
      <c r="B2819" s="4561" t="n"/>
      <c r="C2819" s="4561" t="n"/>
      <c r="D2819" s="4561" t="n"/>
      <c r="E2819" s="4561" t="n"/>
      <c r="F2819" s="4561" t="n"/>
    </row>
    <row r="2820">
      <c r="A2820" s="4561" t="n"/>
      <c r="B2820" s="4561" t="n"/>
      <c r="C2820" s="4561" t="n"/>
      <c r="D2820" s="4561" t="n"/>
      <c r="E2820" s="4561" t="n"/>
      <c r="F2820" s="4561" t="n"/>
    </row>
    <row r="2821">
      <c r="A2821" s="4561" t="n"/>
      <c r="B2821" s="4561" t="n"/>
      <c r="C2821" s="4561" t="n"/>
      <c r="D2821" s="4561" t="n"/>
      <c r="E2821" s="4561" t="n"/>
      <c r="F2821" s="4561" t="n"/>
    </row>
    <row r="2822">
      <c r="A2822" s="4561" t="n"/>
      <c r="B2822" s="4561" t="n"/>
      <c r="C2822" s="4561" t="n"/>
      <c r="D2822" s="4561" t="n"/>
      <c r="E2822" s="4561" t="n"/>
      <c r="F2822" s="4561" t="n"/>
    </row>
    <row r="2823">
      <c r="A2823" s="4561" t="n"/>
      <c r="B2823" s="4561" t="n"/>
      <c r="C2823" s="4561" t="n"/>
      <c r="D2823" s="4561" t="n"/>
      <c r="E2823" s="4561" t="n"/>
      <c r="F2823" s="4561" t="n"/>
    </row>
    <row r="2824">
      <c r="A2824" s="4561" t="n"/>
      <c r="B2824" s="4561" t="n"/>
      <c r="C2824" s="4561" t="n"/>
      <c r="D2824" s="4561" t="n"/>
      <c r="E2824" s="4561" t="n"/>
      <c r="F2824" s="4561" t="n"/>
    </row>
    <row r="2825">
      <c r="A2825" s="4561" t="n"/>
      <c r="B2825" s="4561" t="n"/>
      <c r="C2825" s="4561" t="n"/>
      <c r="D2825" s="4561" t="n"/>
      <c r="E2825" s="4561" t="n"/>
      <c r="F2825" s="4561" t="n"/>
    </row>
    <row r="2826">
      <c r="A2826" s="4561" t="n"/>
      <c r="B2826" s="4561" t="n"/>
      <c r="C2826" s="4561" t="n"/>
      <c r="D2826" s="4561" t="n"/>
      <c r="E2826" s="4561" t="n"/>
      <c r="F2826" s="4561" t="n"/>
    </row>
    <row r="2827">
      <c r="A2827" s="4561" t="n"/>
      <c r="B2827" s="4561" t="n"/>
      <c r="C2827" s="4561" t="n"/>
      <c r="D2827" s="4561" t="n"/>
      <c r="E2827" s="4561" t="n"/>
      <c r="F2827" s="4561" t="n"/>
    </row>
    <row r="2828">
      <c r="A2828" s="4561" t="n"/>
      <c r="B2828" s="4561" t="n"/>
      <c r="C2828" s="4561" t="n"/>
      <c r="D2828" s="4561" t="n"/>
      <c r="E2828" s="4561" t="n"/>
      <c r="F2828" s="4561" t="n"/>
    </row>
    <row r="2829">
      <c r="A2829" s="4561" t="n"/>
      <c r="B2829" s="4561" t="n"/>
      <c r="C2829" s="4561" t="n"/>
      <c r="D2829" s="4561" t="n"/>
      <c r="E2829" s="4561" t="n"/>
      <c r="F2829" s="4561" t="n"/>
    </row>
    <row r="2830">
      <c r="A2830" s="4561" t="n"/>
      <c r="B2830" s="4561" t="n"/>
      <c r="C2830" s="4561" t="n"/>
      <c r="D2830" s="4561" t="n"/>
      <c r="E2830" s="4561" t="n"/>
      <c r="F2830" s="4561" t="n"/>
    </row>
    <row r="2831">
      <c r="A2831" s="4561" t="n"/>
      <c r="B2831" s="4561" t="n"/>
      <c r="C2831" s="4561" t="n"/>
      <c r="D2831" s="4561" t="n"/>
      <c r="E2831" s="4561" t="n"/>
      <c r="F2831" s="4561" t="n"/>
    </row>
    <row r="2832">
      <c r="A2832" s="4561" t="n"/>
      <c r="B2832" s="4561" t="n"/>
      <c r="C2832" s="4561" t="n"/>
      <c r="D2832" s="4561" t="n"/>
      <c r="E2832" s="4561" t="n"/>
      <c r="F2832" s="4561" t="n"/>
    </row>
    <row r="2833">
      <c r="A2833" s="4561" t="n"/>
      <c r="B2833" s="4561" t="n"/>
      <c r="C2833" s="4561" t="n"/>
      <c r="D2833" s="4561" t="n"/>
      <c r="E2833" s="4561" t="n"/>
      <c r="F2833" s="4561" t="n"/>
    </row>
    <row r="2834">
      <c r="A2834" s="4561" t="n"/>
      <c r="B2834" s="4561" t="n"/>
      <c r="C2834" s="4561" t="n"/>
      <c r="D2834" s="4561" t="n"/>
      <c r="E2834" s="4561" t="n"/>
      <c r="F2834" s="4561" t="n"/>
    </row>
    <row r="2835">
      <c r="A2835" s="4561" t="n"/>
      <c r="B2835" s="4561" t="n"/>
      <c r="C2835" s="4561" t="n"/>
      <c r="D2835" s="4561" t="n"/>
      <c r="E2835" s="4561" t="n"/>
      <c r="F2835" s="4561" t="n"/>
    </row>
    <row r="2836">
      <c r="A2836" s="4561" t="n"/>
      <c r="B2836" s="4561" t="n"/>
      <c r="C2836" s="4561" t="n"/>
      <c r="D2836" s="4561" t="n"/>
      <c r="E2836" s="4561" t="n"/>
      <c r="F2836" s="4561" t="n"/>
    </row>
    <row r="2837">
      <c r="A2837" s="4561" t="n"/>
      <c r="B2837" s="4561" t="n"/>
      <c r="C2837" s="4561" t="n"/>
      <c r="D2837" s="4561" t="n"/>
      <c r="E2837" s="4561" t="n"/>
      <c r="F2837" s="4561" t="n"/>
    </row>
    <row r="2838">
      <c r="A2838" s="4561" t="n"/>
      <c r="B2838" s="4561" t="n"/>
      <c r="C2838" s="4561" t="n"/>
      <c r="D2838" s="4561" t="n"/>
      <c r="E2838" s="4561" t="n"/>
      <c r="F2838" s="4561" t="n"/>
    </row>
    <row r="2839">
      <c r="A2839" s="4561" t="n"/>
      <c r="B2839" s="4561" t="n"/>
      <c r="C2839" s="4561" t="n"/>
      <c r="D2839" s="4561" t="n"/>
      <c r="E2839" s="4561" t="n"/>
      <c r="F2839" s="4561" t="n"/>
    </row>
    <row r="2840">
      <c r="A2840" s="4561" t="n"/>
      <c r="B2840" s="4561" t="n"/>
      <c r="C2840" s="4561" t="n"/>
      <c r="D2840" s="4561" t="n"/>
      <c r="E2840" s="4561" t="n"/>
      <c r="F2840" s="4561" t="n"/>
    </row>
    <row r="2841">
      <c r="A2841" s="4561" t="n"/>
      <c r="B2841" s="4561" t="n"/>
      <c r="C2841" s="4561" t="n"/>
      <c r="D2841" s="4561" t="n"/>
      <c r="E2841" s="4561" t="n"/>
      <c r="F2841" s="4561" t="n"/>
    </row>
    <row r="2842">
      <c r="A2842" s="4561" t="n"/>
      <c r="B2842" s="4561" t="n"/>
      <c r="C2842" s="4561" t="n"/>
      <c r="D2842" s="4561" t="n"/>
      <c r="E2842" s="4561" t="n"/>
      <c r="F2842" s="4561" t="n"/>
    </row>
    <row r="2843">
      <c r="A2843" s="4561" t="n"/>
      <c r="B2843" s="4561" t="n"/>
      <c r="C2843" s="4561" t="n"/>
      <c r="D2843" s="4561" t="n"/>
      <c r="E2843" s="4561" t="n"/>
      <c r="F2843" s="4561" t="n"/>
    </row>
    <row r="2844">
      <c r="A2844" s="4561" t="n"/>
      <c r="B2844" s="4561" t="n"/>
      <c r="C2844" s="4561" t="n"/>
      <c r="D2844" s="4561" t="n"/>
      <c r="E2844" s="4561" t="n"/>
      <c r="F2844" s="4561" t="n"/>
    </row>
    <row r="2845">
      <c r="A2845" s="4561" t="n"/>
      <c r="B2845" s="4561" t="n"/>
      <c r="C2845" s="4561" t="n"/>
      <c r="D2845" s="4561" t="n"/>
      <c r="E2845" s="4561" t="n"/>
      <c r="F2845" s="4561" t="n"/>
    </row>
    <row r="2846">
      <c r="A2846" s="4561" t="n"/>
      <c r="B2846" s="4561" t="n"/>
      <c r="C2846" s="4561" t="n"/>
      <c r="D2846" s="4561" t="n"/>
      <c r="E2846" s="4561" t="n"/>
      <c r="F2846" s="4561" t="n"/>
    </row>
    <row r="2847">
      <c r="A2847" s="4561" t="n"/>
      <c r="B2847" s="4561" t="n"/>
      <c r="C2847" s="4561" t="n"/>
      <c r="D2847" s="4561" t="n"/>
      <c r="E2847" s="4561" t="n"/>
      <c r="F2847" s="4561" t="n"/>
    </row>
    <row r="2848">
      <c r="A2848" s="4561" t="n"/>
      <c r="B2848" s="4561" t="n"/>
      <c r="C2848" s="4561" t="n"/>
      <c r="D2848" s="4561" t="n"/>
      <c r="E2848" s="4561" t="n"/>
      <c r="F2848" s="4561" t="n"/>
    </row>
    <row r="2849">
      <c r="A2849" s="4561" t="n"/>
      <c r="B2849" s="4561" t="n"/>
      <c r="C2849" s="4561" t="n"/>
      <c r="D2849" s="4561" t="n"/>
      <c r="E2849" s="4561" t="n"/>
      <c r="F2849" s="4561" t="n"/>
    </row>
    <row r="2850">
      <c r="A2850" s="4561" t="n"/>
      <c r="B2850" s="4561" t="n"/>
      <c r="C2850" s="4561" t="n"/>
      <c r="D2850" s="4561" t="n"/>
      <c r="E2850" s="4561" t="n"/>
      <c r="F2850" s="4561" t="n"/>
    </row>
    <row r="2851">
      <c r="A2851" s="4561" t="n"/>
      <c r="B2851" s="4561" t="n"/>
      <c r="C2851" s="4561" t="n"/>
      <c r="D2851" s="4561" t="n"/>
      <c r="E2851" s="4561" t="n"/>
      <c r="F2851" s="4561" t="n"/>
    </row>
    <row r="2852">
      <c r="A2852" s="4561" t="n"/>
      <c r="B2852" s="4561" t="n"/>
      <c r="C2852" s="4561" t="n"/>
      <c r="D2852" s="4561" t="n"/>
      <c r="E2852" s="4561" t="n"/>
      <c r="F2852" s="4561" t="n"/>
    </row>
    <row r="2853">
      <c r="A2853" s="4561" t="n"/>
      <c r="B2853" s="4561" t="n"/>
      <c r="C2853" s="4561" t="n"/>
      <c r="D2853" s="4561" t="n"/>
      <c r="E2853" s="4561" t="n"/>
      <c r="F2853" s="4561" t="n"/>
    </row>
    <row r="2854">
      <c r="A2854" s="4561" t="n"/>
      <c r="B2854" s="4561" t="n"/>
      <c r="C2854" s="4561" t="n"/>
      <c r="D2854" s="4561" t="n"/>
      <c r="E2854" s="4561" t="n"/>
      <c r="F2854" s="4561" t="n"/>
    </row>
    <row r="2855">
      <c r="A2855" s="4561" t="n"/>
      <c r="B2855" s="4561" t="n"/>
      <c r="C2855" s="4561" t="n"/>
      <c r="D2855" s="4561" t="n"/>
      <c r="E2855" s="4561" t="n"/>
      <c r="F2855" s="4561" t="n"/>
    </row>
    <row r="2856">
      <c r="A2856" s="4561" t="n"/>
      <c r="B2856" s="4561" t="n"/>
      <c r="C2856" s="4561" t="n"/>
      <c r="D2856" s="4561" t="n"/>
      <c r="E2856" s="4561" t="n"/>
      <c r="F2856" s="4561" t="n"/>
    </row>
    <row r="2857">
      <c r="A2857" s="4561" t="n"/>
      <c r="B2857" s="4561" t="n"/>
      <c r="C2857" s="4561" t="n"/>
      <c r="D2857" s="4561" t="n"/>
      <c r="E2857" s="4561" t="n"/>
      <c r="F2857" s="4561" t="n"/>
    </row>
    <row r="2858">
      <c r="A2858" s="4561" t="n"/>
      <c r="B2858" s="4561" t="n"/>
      <c r="C2858" s="4561" t="n"/>
      <c r="D2858" s="4561" t="n"/>
      <c r="E2858" s="4561" t="n"/>
      <c r="F2858" s="4561" t="n"/>
    </row>
    <row r="2859">
      <c r="A2859" s="4561" t="n"/>
      <c r="B2859" s="4561" t="n"/>
      <c r="C2859" s="4561" t="n"/>
      <c r="D2859" s="4561" t="n"/>
      <c r="E2859" s="4561" t="n"/>
      <c r="F2859" s="4561" t="n"/>
    </row>
    <row r="2860">
      <c r="A2860" s="4561" t="n"/>
      <c r="B2860" s="4561" t="n"/>
      <c r="C2860" s="4561" t="n"/>
      <c r="D2860" s="4561" t="n"/>
      <c r="E2860" s="4561" t="n"/>
      <c r="F2860" s="4561" t="n"/>
    </row>
    <row r="2861">
      <c r="A2861" s="4561" t="n"/>
      <c r="B2861" s="4561" t="n"/>
      <c r="C2861" s="4561" t="n"/>
      <c r="D2861" s="4561" t="n"/>
      <c r="E2861" s="4561" t="n"/>
      <c r="F2861" s="4561" t="n"/>
    </row>
    <row r="2862">
      <c r="A2862" s="4561" t="n"/>
      <c r="B2862" s="4561" t="n"/>
      <c r="C2862" s="4561" t="n"/>
      <c r="D2862" s="4561" t="n"/>
      <c r="E2862" s="4561" t="n"/>
      <c r="F2862" s="4561" t="n"/>
    </row>
    <row r="2863">
      <c r="A2863" s="4561" t="n"/>
      <c r="B2863" s="4561" t="n"/>
      <c r="C2863" s="4561" t="n"/>
      <c r="D2863" s="4561" t="n"/>
      <c r="E2863" s="4561" t="n"/>
      <c r="F2863" s="4561" t="n"/>
    </row>
    <row r="2864">
      <c r="A2864" s="4561" t="n"/>
      <c r="B2864" s="4561" t="n"/>
      <c r="C2864" s="4561" t="n"/>
      <c r="D2864" s="4561" t="n"/>
      <c r="E2864" s="4561" t="n"/>
      <c r="F2864" s="4561" t="n"/>
    </row>
    <row r="2865">
      <c r="A2865" s="4561" t="n"/>
      <c r="B2865" s="4561" t="n"/>
      <c r="C2865" s="4561" t="n"/>
      <c r="D2865" s="4561" t="n"/>
      <c r="E2865" s="4561" t="n"/>
      <c r="F2865" s="4561" t="n"/>
    </row>
    <row r="2866">
      <c r="A2866" s="4561" t="n"/>
      <c r="B2866" s="4561" t="n"/>
      <c r="C2866" s="4561" t="n"/>
      <c r="D2866" s="4561" t="n"/>
      <c r="E2866" s="4561" t="n"/>
      <c r="F2866" s="4561" t="n"/>
    </row>
    <row r="2867">
      <c r="A2867" s="4561" t="n"/>
      <c r="B2867" s="4561" t="n"/>
      <c r="C2867" s="4561" t="n"/>
      <c r="D2867" s="4561" t="n"/>
      <c r="E2867" s="4561" t="n"/>
      <c r="F2867" s="4561" t="n"/>
    </row>
    <row r="2868">
      <c r="A2868" s="4561" t="n"/>
      <c r="B2868" s="4561" t="n"/>
      <c r="C2868" s="4561" t="n"/>
      <c r="D2868" s="4561" t="n"/>
      <c r="E2868" s="4561" t="n"/>
      <c r="F2868" s="4561" t="n"/>
    </row>
    <row r="2869">
      <c r="A2869" s="4561" t="n"/>
      <c r="B2869" s="4561" t="n"/>
      <c r="C2869" s="4561" t="n"/>
      <c r="D2869" s="4561" t="n"/>
      <c r="E2869" s="4561" t="n"/>
      <c r="F2869" s="4561" t="n"/>
    </row>
    <row r="2870">
      <c r="A2870" s="4561" t="n"/>
      <c r="B2870" s="4561" t="n"/>
      <c r="C2870" s="4561" t="n"/>
      <c r="D2870" s="4561" t="n"/>
      <c r="E2870" s="4561" t="n"/>
      <c r="F2870" s="4561" t="n"/>
    </row>
    <row r="2871">
      <c r="A2871" s="4561" t="n"/>
      <c r="B2871" s="4561" t="n"/>
      <c r="C2871" s="4561" t="n"/>
      <c r="D2871" s="4561" t="n"/>
      <c r="E2871" s="4561" t="n"/>
      <c r="F2871" s="4561" t="n"/>
    </row>
    <row r="2872">
      <c r="A2872" s="4561" t="n"/>
      <c r="B2872" s="4561" t="n"/>
      <c r="C2872" s="4561" t="n"/>
      <c r="D2872" s="4561" t="n"/>
      <c r="E2872" s="4561" t="n"/>
      <c r="F2872" s="4561" t="n"/>
    </row>
    <row r="2873">
      <c r="A2873" s="4561" t="n"/>
      <c r="B2873" s="4561" t="n"/>
      <c r="C2873" s="4561" t="n"/>
      <c r="D2873" s="4561" t="n"/>
      <c r="E2873" s="4561" t="n"/>
      <c r="F2873" s="4561" t="n"/>
    </row>
    <row r="2874">
      <c r="A2874" s="4561" t="n"/>
      <c r="B2874" s="4561" t="n"/>
      <c r="C2874" s="4561" t="n"/>
      <c r="D2874" s="4561" t="n"/>
      <c r="E2874" s="4561" t="n"/>
      <c r="F2874" s="4561" t="n"/>
    </row>
    <row r="2875">
      <c r="A2875" s="4561" t="n"/>
      <c r="B2875" s="4561" t="n"/>
      <c r="C2875" s="4561" t="n"/>
      <c r="D2875" s="4561" t="n"/>
      <c r="E2875" s="4561" t="n"/>
      <c r="F2875" s="4561" t="n"/>
    </row>
    <row r="2876">
      <c r="A2876" s="4561" t="n"/>
      <c r="B2876" s="4561" t="n"/>
      <c r="C2876" s="4561" t="n"/>
      <c r="D2876" s="4561" t="n"/>
      <c r="E2876" s="4561" t="n"/>
      <c r="F2876" s="4561" t="n"/>
    </row>
    <row r="2877">
      <c r="A2877" s="4561" t="n"/>
      <c r="B2877" s="4561" t="n"/>
      <c r="C2877" s="4561" t="n"/>
      <c r="D2877" s="4561" t="n"/>
      <c r="E2877" s="4561" t="n"/>
      <c r="F2877" s="4561" t="n"/>
    </row>
    <row r="2878">
      <c r="A2878" s="4561" t="n"/>
      <c r="B2878" s="4561" t="n"/>
      <c r="C2878" s="4561" t="n"/>
      <c r="D2878" s="4561" t="n"/>
      <c r="E2878" s="4561" t="n"/>
      <c r="F2878" s="4561" t="n"/>
    </row>
    <row r="2879">
      <c r="A2879" s="4561" t="n"/>
      <c r="B2879" s="4561" t="n"/>
      <c r="C2879" s="4561" t="n"/>
      <c r="D2879" s="4561" t="n"/>
      <c r="E2879" s="4561" t="n"/>
      <c r="F2879" s="4561" t="n"/>
    </row>
    <row r="2880">
      <c r="A2880" s="4561" t="n"/>
      <c r="B2880" s="4561" t="n"/>
      <c r="C2880" s="4561" t="n"/>
      <c r="D2880" s="4561" t="n"/>
      <c r="E2880" s="4561" t="n"/>
      <c r="F2880" s="4561" t="n"/>
    </row>
    <row r="2881">
      <c r="A2881" s="4561" t="n"/>
      <c r="B2881" s="4561" t="n"/>
      <c r="C2881" s="4561" t="n"/>
      <c r="D2881" s="4561" t="n"/>
      <c r="E2881" s="4561" t="n"/>
      <c r="F2881" s="4561" t="n"/>
    </row>
    <row r="2882">
      <c r="A2882" s="4561" t="n"/>
      <c r="B2882" s="4561" t="n"/>
      <c r="C2882" s="4561" t="n"/>
      <c r="D2882" s="4561" t="n"/>
      <c r="E2882" s="4561" t="n"/>
      <c r="F2882" s="4561" t="n"/>
    </row>
    <row r="2883">
      <c r="A2883" s="4561" t="n"/>
      <c r="B2883" s="4561" t="n"/>
      <c r="C2883" s="4561" t="n"/>
      <c r="D2883" s="4561" t="n"/>
      <c r="E2883" s="4561" t="n"/>
      <c r="F2883" s="4561" t="n"/>
    </row>
    <row r="2884">
      <c r="A2884" s="4561" t="n"/>
      <c r="B2884" s="4561" t="n"/>
      <c r="C2884" s="4561" t="n"/>
      <c r="D2884" s="4561" t="n"/>
      <c r="E2884" s="4561" t="n"/>
      <c r="F2884" s="4561" t="n"/>
    </row>
    <row r="2885">
      <c r="A2885" s="4561" t="n"/>
      <c r="B2885" s="4561" t="n"/>
      <c r="C2885" s="4561" t="n"/>
      <c r="D2885" s="4561" t="n"/>
      <c r="E2885" s="4561" t="n"/>
      <c r="F2885" s="4561" t="n"/>
    </row>
    <row r="2886">
      <c r="A2886" s="4561" t="n"/>
      <c r="B2886" s="4561" t="n"/>
      <c r="C2886" s="4561" t="n"/>
      <c r="D2886" s="4561" t="n"/>
      <c r="E2886" s="4561" t="n"/>
      <c r="F2886" s="4561" t="n"/>
    </row>
    <row r="2887">
      <c r="A2887" s="4561" t="n"/>
      <c r="B2887" s="4561" t="n"/>
      <c r="C2887" s="4561" t="n"/>
      <c r="D2887" s="4561" t="n"/>
      <c r="E2887" s="4561" t="n"/>
      <c r="F2887" s="4561" t="n"/>
    </row>
    <row r="2888">
      <c r="A2888" s="4561" t="n"/>
      <c r="B2888" s="4561" t="n"/>
      <c r="C2888" s="4561" t="n"/>
      <c r="D2888" s="4561" t="n"/>
      <c r="E2888" s="4561" t="n"/>
      <c r="F2888" s="4561" t="n"/>
    </row>
    <row r="2889">
      <c r="A2889" s="4561" t="n"/>
      <c r="B2889" s="4561" t="n"/>
      <c r="C2889" s="4561" t="n"/>
      <c r="D2889" s="4561" t="n"/>
      <c r="E2889" s="4561" t="n"/>
      <c r="F2889" s="4561" t="n"/>
    </row>
    <row r="2890">
      <c r="A2890" s="4561" t="n"/>
      <c r="B2890" s="4561" t="n"/>
      <c r="C2890" s="4561" t="n"/>
      <c r="D2890" s="4561" t="n"/>
      <c r="E2890" s="4561" t="n"/>
      <c r="F2890" s="4561" t="n"/>
    </row>
    <row r="2891">
      <c r="A2891" s="4561" t="n"/>
      <c r="B2891" s="4561" t="n"/>
      <c r="C2891" s="4561" t="n"/>
      <c r="D2891" s="4561" t="n"/>
      <c r="E2891" s="4561" t="n"/>
      <c r="F2891" s="4561" t="n"/>
    </row>
    <row r="2892">
      <c r="A2892" s="4561" t="n"/>
      <c r="B2892" s="4561" t="n"/>
      <c r="C2892" s="4561" t="n"/>
      <c r="D2892" s="4561" t="n"/>
      <c r="E2892" s="4561" t="n"/>
      <c r="F2892" s="4561" t="n"/>
    </row>
    <row r="2893">
      <c r="A2893" s="4561" t="n"/>
      <c r="B2893" s="4561" t="n"/>
      <c r="C2893" s="4561" t="n"/>
      <c r="D2893" s="4561" t="n"/>
      <c r="E2893" s="4561" t="n"/>
      <c r="F2893" s="4561" t="n"/>
    </row>
    <row r="2894">
      <c r="A2894" s="4561" t="n"/>
      <c r="B2894" s="4561" t="n"/>
      <c r="C2894" s="4561" t="n"/>
      <c r="D2894" s="4561" t="n"/>
      <c r="E2894" s="4561" t="n"/>
      <c r="F2894" s="4561" t="n"/>
    </row>
    <row r="2895">
      <c r="A2895" s="4561" t="n"/>
      <c r="B2895" s="4561" t="n"/>
      <c r="C2895" s="4561" t="n"/>
      <c r="D2895" s="4561" t="n"/>
      <c r="E2895" s="4561" t="n"/>
      <c r="F2895" s="4561" t="n"/>
    </row>
    <row r="2896">
      <c r="A2896" s="4561" t="n"/>
      <c r="B2896" s="4561" t="n"/>
      <c r="C2896" s="4561" t="n"/>
      <c r="D2896" s="4561" t="n"/>
      <c r="E2896" s="4561" t="n"/>
      <c r="F2896" s="4561" t="n"/>
    </row>
    <row r="2897">
      <c r="A2897" s="4561" t="n"/>
      <c r="B2897" s="4561" t="n"/>
      <c r="C2897" s="4561" t="n"/>
      <c r="D2897" s="4561" t="n"/>
      <c r="E2897" s="4561" t="n"/>
      <c r="F2897" s="4561" t="n"/>
    </row>
    <row r="2898">
      <c r="A2898" s="4561" t="n"/>
      <c r="B2898" s="4561" t="n"/>
      <c r="C2898" s="4561" t="n"/>
      <c r="D2898" s="4561" t="n"/>
      <c r="E2898" s="4561" t="n"/>
      <c r="F2898" s="4561" t="n"/>
    </row>
    <row r="2899">
      <c r="A2899" s="4561" t="n"/>
      <c r="B2899" s="4561" t="n"/>
      <c r="C2899" s="4561" t="n"/>
      <c r="D2899" s="4561" t="n"/>
      <c r="E2899" s="4561" t="n"/>
      <c r="F2899" s="4561" t="n"/>
    </row>
    <row r="2900">
      <c r="A2900" s="4561" t="n"/>
      <c r="B2900" s="4561" t="n"/>
      <c r="C2900" s="4561" t="n"/>
      <c r="D2900" s="4561" t="n"/>
      <c r="E2900" s="4561" t="n"/>
      <c r="F2900" s="4561" t="n"/>
    </row>
    <row r="2901">
      <c r="A2901" s="4561" t="n"/>
      <c r="B2901" s="4561" t="n"/>
      <c r="C2901" s="4561" t="n"/>
      <c r="D2901" s="4561" t="n"/>
      <c r="E2901" s="4561" t="n"/>
      <c r="F2901" s="4561" t="n"/>
    </row>
    <row r="2902">
      <c r="A2902" s="4561" t="n"/>
      <c r="B2902" s="4561" t="n"/>
      <c r="C2902" s="4561" t="n"/>
      <c r="D2902" s="4561" t="n"/>
      <c r="E2902" s="4561" t="n"/>
      <c r="F2902" s="4561" t="n"/>
    </row>
    <row r="2903">
      <c r="A2903" s="4561" t="n"/>
      <c r="B2903" s="4561" t="n"/>
      <c r="C2903" s="4561" t="n"/>
      <c r="D2903" s="4561" t="n"/>
      <c r="E2903" s="4561" t="n"/>
      <c r="F2903" s="4561" t="n"/>
    </row>
    <row r="2904">
      <c r="A2904" s="4561" t="n"/>
      <c r="B2904" s="4561" t="n"/>
      <c r="C2904" s="4561" t="n"/>
      <c r="D2904" s="4561" t="n"/>
      <c r="E2904" s="4561" t="n"/>
      <c r="F2904" s="4561" t="n"/>
    </row>
    <row r="2905">
      <c r="A2905" s="4561" t="n"/>
      <c r="B2905" s="4561" t="n"/>
      <c r="C2905" s="4561" t="n"/>
      <c r="D2905" s="4561" t="n"/>
      <c r="E2905" s="4561" t="n"/>
      <c r="F2905" s="4561" t="n"/>
    </row>
    <row r="2906">
      <c r="A2906" s="4561" t="n"/>
      <c r="B2906" s="4561" t="n"/>
      <c r="C2906" s="4561" t="n"/>
      <c r="D2906" s="4561" t="n"/>
      <c r="E2906" s="4561" t="n"/>
      <c r="F2906" s="4561" t="n"/>
    </row>
    <row r="2907">
      <c r="A2907" s="4561" t="n"/>
      <c r="B2907" s="4561" t="n"/>
      <c r="C2907" s="4561" t="n"/>
      <c r="D2907" s="4561" t="n"/>
      <c r="E2907" s="4561" t="n"/>
      <c r="F2907" s="4561" t="n"/>
    </row>
    <row r="2908">
      <c r="A2908" s="4561" t="n"/>
      <c r="B2908" s="4561" t="n"/>
      <c r="C2908" s="4561" t="n"/>
      <c r="D2908" s="4561" t="n"/>
      <c r="E2908" s="4561" t="n"/>
      <c r="F2908" s="4561" t="n"/>
    </row>
    <row r="2909">
      <c r="A2909" s="4561" t="n"/>
      <c r="B2909" s="4561" t="n"/>
      <c r="C2909" s="4561" t="n"/>
      <c r="D2909" s="4561" t="n"/>
      <c r="E2909" s="4561" t="n"/>
      <c r="F2909" s="4561" t="n"/>
    </row>
    <row r="2910">
      <c r="A2910" s="4561" t="n"/>
      <c r="B2910" s="4561" t="n"/>
      <c r="C2910" s="4561" t="n"/>
      <c r="D2910" s="4561" t="n"/>
      <c r="E2910" s="4561" t="n"/>
      <c r="F2910" s="4561" t="n"/>
    </row>
    <row r="2911">
      <c r="A2911" s="4561" t="n"/>
      <c r="B2911" s="4561" t="n"/>
      <c r="C2911" s="4561" t="n"/>
      <c r="D2911" s="4561" t="n"/>
      <c r="E2911" s="4561" t="n"/>
      <c r="F2911" s="4561" t="n"/>
    </row>
    <row r="2912">
      <c r="A2912" s="4561" t="n"/>
      <c r="B2912" s="4561" t="n"/>
      <c r="C2912" s="4561" t="n"/>
      <c r="D2912" s="4561" t="n"/>
      <c r="E2912" s="4561" t="n"/>
      <c r="F2912" s="4561" t="n"/>
    </row>
    <row r="2913">
      <c r="A2913" s="4561" t="n"/>
      <c r="B2913" s="4561" t="n"/>
      <c r="C2913" s="4561" t="n"/>
      <c r="D2913" s="4561" t="n"/>
      <c r="E2913" s="4561" t="n"/>
      <c r="F2913" s="4561" t="n"/>
    </row>
    <row r="2914">
      <c r="A2914" s="4561" t="n"/>
      <c r="B2914" s="4561" t="n"/>
      <c r="C2914" s="4561" t="n"/>
      <c r="D2914" s="4561" t="n"/>
      <c r="E2914" s="4561" t="n"/>
      <c r="F2914" s="4561" t="n"/>
    </row>
    <row r="2915">
      <c r="A2915" s="4561" t="n"/>
      <c r="B2915" s="4561" t="n"/>
      <c r="C2915" s="4561" t="n"/>
      <c r="D2915" s="4561" t="n"/>
      <c r="E2915" s="4561" t="n"/>
      <c r="F2915" s="4561" t="n"/>
    </row>
    <row r="2916">
      <c r="A2916" s="4561" t="n"/>
      <c r="B2916" s="4561" t="n"/>
      <c r="C2916" s="4561" t="n"/>
      <c r="D2916" s="4561" t="n"/>
      <c r="E2916" s="4561" t="n"/>
      <c r="F2916" s="4561" t="n"/>
    </row>
    <row r="2917">
      <c r="A2917" s="4561" t="n"/>
      <c r="B2917" s="4561" t="n"/>
      <c r="C2917" s="4561" t="n"/>
      <c r="D2917" s="4561" t="n"/>
      <c r="E2917" s="4561" t="n"/>
      <c r="F2917" s="4561" t="n"/>
    </row>
    <row r="2918">
      <c r="A2918" s="4561" t="n"/>
      <c r="B2918" s="4561" t="n"/>
      <c r="C2918" s="4561" t="n"/>
      <c r="D2918" s="4561" t="n"/>
      <c r="E2918" s="4561" t="n"/>
      <c r="F2918" s="4561" t="n"/>
    </row>
    <row r="2919">
      <c r="A2919" s="4561" t="n"/>
      <c r="B2919" s="4561" t="n"/>
      <c r="C2919" s="4561" t="n"/>
      <c r="D2919" s="4561" t="n"/>
      <c r="E2919" s="4561" t="n"/>
      <c r="F2919" s="4561" t="n"/>
    </row>
    <row r="2920">
      <c r="A2920" s="4561" t="n"/>
      <c r="B2920" s="4561" t="n"/>
      <c r="C2920" s="4561" t="n"/>
      <c r="D2920" s="4561" t="n"/>
      <c r="E2920" s="4561" t="n"/>
      <c r="F2920" s="4561" t="n"/>
    </row>
    <row r="2921">
      <c r="A2921" s="4561" t="n"/>
      <c r="B2921" s="4561" t="n"/>
      <c r="C2921" s="4561" t="n"/>
      <c r="D2921" s="4561" t="n"/>
      <c r="E2921" s="4561" t="n"/>
      <c r="F2921" s="4561" t="n"/>
    </row>
    <row r="2922">
      <c r="A2922" s="4561" t="n"/>
      <c r="B2922" s="4561" t="n"/>
      <c r="C2922" s="4561" t="n"/>
      <c r="D2922" s="4561" t="n"/>
      <c r="E2922" s="4561" t="n"/>
      <c r="F2922" s="4561" t="n"/>
    </row>
    <row r="2923">
      <c r="A2923" s="4561" t="n"/>
      <c r="B2923" s="4561" t="n"/>
      <c r="C2923" s="4561" t="n"/>
      <c r="D2923" s="4561" t="n"/>
      <c r="E2923" s="4561" t="n"/>
      <c r="F2923" s="4561" t="n"/>
    </row>
    <row r="2924">
      <c r="A2924" s="4561" t="n"/>
      <c r="B2924" s="4561" t="n"/>
      <c r="C2924" s="4561" t="n"/>
      <c r="D2924" s="4561" t="n"/>
      <c r="E2924" s="4561" t="n"/>
      <c r="F2924" s="4561" t="n"/>
    </row>
    <row r="2925">
      <c r="A2925" s="4561" t="n"/>
      <c r="B2925" s="4561" t="n"/>
      <c r="C2925" s="4561" t="n"/>
      <c r="D2925" s="4561" t="n"/>
      <c r="E2925" s="4561" t="n"/>
      <c r="F2925" s="4561" t="n"/>
    </row>
    <row r="2926">
      <c r="A2926" s="4561" t="n"/>
      <c r="B2926" s="4561" t="n"/>
      <c r="C2926" s="4561" t="n"/>
      <c r="D2926" s="4561" t="n"/>
      <c r="E2926" s="4561" t="n"/>
      <c r="F2926" s="4561" t="n"/>
    </row>
    <row r="2927">
      <c r="A2927" s="4561" t="n"/>
      <c r="B2927" s="4561" t="n"/>
      <c r="C2927" s="4561" t="n"/>
      <c r="D2927" s="4561" t="n"/>
      <c r="E2927" s="4561" t="n"/>
      <c r="F2927" s="4561" t="n"/>
    </row>
    <row r="2928">
      <c r="A2928" s="4561" t="n"/>
      <c r="B2928" s="4561" t="n"/>
      <c r="C2928" s="4561" t="n"/>
      <c r="D2928" s="4561" t="n"/>
      <c r="E2928" s="4561" t="n"/>
      <c r="F2928" s="4561" t="n"/>
    </row>
    <row r="2929">
      <c r="A2929" s="4561" t="n"/>
      <c r="B2929" s="4561" t="n"/>
      <c r="C2929" s="4561" t="n"/>
      <c r="D2929" s="4561" t="n"/>
      <c r="E2929" s="4561" t="n"/>
      <c r="F2929" s="4561" t="n"/>
    </row>
    <row r="2930">
      <c r="A2930" s="4561" t="n"/>
      <c r="B2930" s="4561" t="n"/>
      <c r="C2930" s="4561" t="n"/>
      <c r="D2930" s="4561" t="n"/>
      <c r="E2930" s="4561" t="n"/>
      <c r="F2930" s="4561" t="n"/>
    </row>
    <row r="2931">
      <c r="A2931" s="4561" t="n"/>
      <c r="B2931" s="4561" t="n"/>
      <c r="C2931" s="4561" t="n"/>
      <c r="D2931" s="4561" t="n"/>
      <c r="E2931" s="4561" t="n"/>
      <c r="F2931" s="4561" t="n"/>
    </row>
    <row r="2932">
      <c r="A2932" s="4561" t="n"/>
      <c r="B2932" s="4561" t="n"/>
      <c r="C2932" s="4561" t="n"/>
      <c r="D2932" s="4561" t="n"/>
      <c r="E2932" s="4561" t="n"/>
      <c r="F2932" s="4561" t="n"/>
    </row>
    <row r="2933">
      <c r="A2933" s="4561" t="n"/>
      <c r="B2933" s="4561" t="n"/>
      <c r="C2933" s="4561" t="n"/>
      <c r="D2933" s="4561" t="n"/>
      <c r="E2933" s="4561" t="n"/>
      <c r="F2933" s="4561" t="n"/>
    </row>
    <row r="2934">
      <c r="A2934" s="4561" t="n"/>
      <c r="B2934" s="4561" t="n"/>
      <c r="C2934" s="4561" t="n"/>
      <c r="D2934" s="4561" t="n"/>
      <c r="E2934" s="4561" t="n"/>
      <c r="F2934" s="4561" t="n"/>
    </row>
    <row r="2935">
      <c r="A2935" s="4561" t="n"/>
      <c r="B2935" s="4561" t="n"/>
      <c r="C2935" s="4561" t="n"/>
      <c r="D2935" s="4561" t="n"/>
      <c r="E2935" s="4561" t="n"/>
      <c r="F2935" s="4561" t="n"/>
    </row>
    <row r="2936">
      <c r="A2936" s="4561" t="n"/>
      <c r="B2936" s="4561" t="n"/>
      <c r="C2936" s="4561" t="n"/>
      <c r="D2936" s="4561" t="n"/>
      <c r="E2936" s="4561" t="n"/>
      <c r="F2936" s="4561" t="n"/>
    </row>
    <row r="2937">
      <c r="A2937" s="4561" t="n"/>
      <c r="B2937" s="4561" t="n"/>
      <c r="C2937" s="4561" t="n"/>
      <c r="D2937" s="4561" t="n"/>
      <c r="E2937" s="4561" t="n"/>
      <c r="F2937" s="4561" t="n"/>
    </row>
    <row r="2938">
      <c r="A2938" s="4561" t="n"/>
      <c r="B2938" s="4561" t="n"/>
      <c r="C2938" s="4561" t="n"/>
      <c r="D2938" s="4561" t="n"/>
      <c r="E2938" s="4561" t="n"/>
      <c r="F2938" s="4561" t="n"/>
    </row>
    <row r="2939">
      <c r="A2939" s="4561" t="n"/>
      <c r="B2939" s="4561" t="n"/>
      <c r="C2939" s="4561" t="n"/>
      <c r="D2939" s="4561" t="n"/>
      <c r="E2939" s="4561" t="n"/>
      <c r="F2939" s="4561" t="n"/>
    </row>
    <row r="2940">
      <c r="A2940" s="4561" t="n"/>
      <c r="B2940" s="4561" t="n"/>
      <c r="C2940" s="4561" t="n"/>
      <c r="D2940" s="4561" t="n"/>
      <c r="E2940" s="4561" t="n"/>
      <c r="F2940" s="4561" t="n"/>
    </row>
    <row r="2941">
      <c r="A2941" s="4561" t="n"/>
      <c r="B2941" s="4561" t="n"/>
      <c r="C2941" s="4561" t="n"/>
      <c r="D2941" s="4561" t="n"/>
      <c r="E2941" s="4561" t="n"/>
      <c r="F2941" s="4561" t="n"/>
    </row>
    <row r="2942">
      <c r="A2942" s="4561" t="n"/>
      <c r="B2942" s="4561" t="n"/>
      <c r="C2942" s="4561" t="n"/>
      <c r="D2942" s="4561" t="n"/>
      <c r="E2942" s="4561" t="n"/>
      <c r="F2942" s="4561" t="n"/>
    </row>
    <row r="2943">
      <c r="A2943" s="4561" t="n"/>
      <c r="B2943" s="4561" t="n"/>
      <c r="C2943" s="4561" t="n"/>
      <c r="D2943" s="4561" t="n"/>
      <c r="E2943" s="4561" t="n"/>
      <c r="F2943" s="4561" t="n"/>
    </row>
    <row r="2944">
      <c r="A2944" s="4561" t="n"/>
      <c r="B2944" s="4561" t="n"/>
      <c r="C2944" s="4561" t="n"/>
      <c r="D2944" s="4561" t="n"/>
      <c r="E2944" s="4561" t="n"/>
      <c r="F2944" s="4561" t="n"/>
    </row>
    <row r="2945">
      <c r="A2945" s="4561" t="n"/>
      <c r="B2945" s="4561" t="n"/>
      <c r="C2945" s="4561" t="n"/>
      <c r="D2945" s="4561" t="n"/>
      <c r="E2945" s="4561" t="n"/>
      <c r="F2945" s="4561" t="n"/>
    </row>
    <row r="2946">
      <c r="A2946" s="4561" t="n"/>
      <c r="B2946" s="4561" t="n"/>
      <c r="C2946" s="4561" t="n"/>
      <c r="D2946" s="4561" t="n"/>
      <c r="E2946" s="4561" t="n"/>
      <c r="F2946" s="4561" t="n"/>
    </row>
    <row r="2947">
      <c r="A2947" s="4561" t="n"/>
      <c r="B2947" s="4561" t="n"/>
      <c r="C2947" s="4561" t="n"/>
      <c r="D2947" s="4561" t="n"/>
      <c r="E2947" s="4561" t="n"/>
      <c r="F2947" s="4561" t="n"/>
    </row>
    <row r="2948">
      <c r="A2948" s="4561" t="n"/>
      <c r="B2948" s="4561" t="n"/>
      <c r="C2948" s="4561" t="n"/>
      <c r="D2948" s="4561" t="n"/>
      <c r="E2948" s="4561" t="n"/>
      <c r="F2948" s="4561" t="n"/>
    </row>
    <row r="2949">
      <c r="A2949" s="4561" t="n"/>
      <c r="B2949" s="4561" t="n"/>
      <c r="C2949" s="4561" t="n"/>
      <c r="D2949" s="4561" t="n"/>
      <c r="E2949" s="4561" t="n"/>
      <c r="F2949" s="4561" t="n"/>
    </row>
    <row r="2950">
      <c r="A2950" s="4561" t="n"/>
      <c r="B2950" s="4561" t="n"/>
      <c r="C2950" s="4561" t="n"/>
      <c r="D2950" s="4561" t="n"/>
      <c r="E2950" s="4561" t="n"/>
      <c r="F2950" s="4561" t="n"/>
    </row>
    <row r="2951">
      <c r="A2951" s="4561" t="n"/>
      <c r="B2951" s="4561" t="n"/>
      <c r="C2951" s="4561" t="n"/>
      <c r="D2951" s="4561" t="n"/>
      <c r="E2951" s="4561" t="n"/>
      <c r="F2951" s="4561" t="n"/>
    </row>
    <row r="2952">
      <c r="A2952" s="4561" t="n"/>
      <c r="B2952" s="4561" t="n"/>
      <c r="C2952" s="4561" t="n"/>
      <c r="D2952" s="4561" t="n"/>
      <c r="E2952" s="4561" t="n"/>
      <c r="F2952" s="4561" t="n"/>
    </row>
    <row r="2953">
      <c r="A2953" s="4561" t="n"/>
      <c r="B2953" s="4561" t="n"/>
      <c r="C2953" s="4561" t="n"/>
      <c r="D2953" s="4561" t="n"/>
      <c r="E2953" s="4561" t="n"/>
      <c r="F2953" s="4561" t="n"/>
    </row>
    <row r="2954">
      <c r="A2954" s="4561" t="n"/>
      <c r="B2954" s="4561" t="n"/>
      <c r="C2954" s="4561" t="n"/>
      <c r="D2954" s="4561" t="n"/>
      <c r="E2954" s="4561" t="n"/>
      <c r="F2954" s="4561" t="n"/>
    </row>
    <row r="2955">
      <c r="A2955" s="4561" t="n"/>
      <c r="B2955" s="4561" t="n"/>
      <c r="C2955" s="4561" t="n"/>
      <c r="D2955" s="4561" t="n"/>
      <c r="E2955" s="4561" t="n"/>
      <c r="F2955" s="4561" t="n"/>
    </row>
    <row r="2956">
      <c r="A2956" s="4561" t="n"/>
      <c r="B2956" s="4561" t="n"/>
      <c r="C2956" s="4561" t="n"/>
      <c r="D2956" s="4561" t="n"/>
      <c r="E2956" s="4561" t="n"/>
      <c r="F2956" s="4561" t="n"/>
    </row>
    <row r="2957">
      <c r="A2957" s="4561" t="n"/>
      <c r="B2957" s="4561" t="n"/>
      <c r="C2957" s="4561" t="n"/>
      <c r="D2957" s="4561" t="n"/>
      <c r="E2957" s="4561" t="n"/>
      <c r="F2957" s="4561" t="n"/>
    </row>
    <row r="2958">
      <c r="A2958" s="4561" t="n"/>
      <c r="B2958" s="4561" t="n"/>
      <c r="C2958" s="4561" t="n"/>
      <c r="D2958" s="4561" t="n"/>
      <c r="E2958" s="4561" t="n"/>
      <c r="F2958" s="4561" t="n"/>
    </row>
    <row r="2959">
      <c r="A2959" s="4561" t="n"/>
      <c r="B2959" s="4561" t="n"/>
      <c r="C2959" s="4561" t="n"/>
      <c r="D2959" s="4561" t="n"/>
      <c r="E2959" s="4561" t="n"/>
      <c r="F2959" s="4561" t="n"/>
    </row>
    <row r="2960">
      <c r="A2960" s="4561" t="n"/>
      <c r="B2960" s="4561" t="n"/>
      <c r="C2960" s="4561" t="n"/>
      <c r="D2960" s="4561" t="n"/>
      <c r="E2960" s="4561" t="n"/>
      <c r="F2960" s="4561" t="n"/>
    </row>
    <row r="2961">
      <c r="A2961" s="4561" t="n"/>
      <c r="B2961" s="4561" t="n"/>
      <c r="C2961" s="4561" t="n"/>
      <c r="D2961" s="4561" t="n"/>
      <c r="E2961" s="4561" t="n"/>
      <c r="F2961" s="4561" t="n"/>
    </row>
    <row r="2962">
      <c r="A2962" s="4561" t="n"/>
      <c r="B2962" s="4561" t="n"/>
      <c r="C2962" s="4561" t="n"/>
      <c r="D2962" s="4561" t="n"/>
      <c r="E2962" s="4561" t="n"/>
      <c r="F2962" s="4561" t="n"/>
    </row>
    <row r="2963">
      <c r="A2963" s="4561" t="n"/>
      <c r="B2963" s="4561" t="n"/>
      <c r="C2963" s="4561" t="n"/>
      <c r="D2963" s="4561" t="n"/>
      <c r="E2963" s="4561" t="n"/>
      <c r="F2963" s="4561" t="n"/>
    </row>
    <row r="2964">
      <c r="A2964" s="4561" t="n"/>
      <c r="B2964" s="4561" t="n"/>
      <c r="C2964" s="4561" t="n"/>
      <c r="D2964" s="4561" t="n"/>
      <c r="E2964" s="4561" t="n"/>
      <c r="F2964" s="4561" t="n"/>
    </row>
    <row r="2965">
      <c r="A2965" s="4561" t="n"/>
      <c r="B2965" s="4561" t="n"/>
      <c r="C2965" s="4561" t="n"/>
      <c r="D2965" s="4561" t="n"/>
      <c r="E2965" s="4561" t="n"/>
      <c r="F2965" s="4561" t="n"/>
    </row>
    <row r="2966">
      <c r="A2966" s="4561" t="n"/>
      <c r="B2966" s="4561" t="n"/>
      <c r="C2966" s="4561" t="n"/>
      <c r="D2966" s="4561" t="n"/>
      <c r="E2966" s="4561" t="n"/>
      <c r="F2966" s="4561" t="n"/>
    </row>
    <row r="2967">
      <c r="A2967" s="4561" t="n"/>
      <c r="B2967" s="4561" t="n"/>
      <c r="C2967" s="4561" t="n"/>
      <c r="D2967" s="4561" t="n"/>
      <c r="E2967" s="4561" t="n"/>
      <c r="F2967" s="4561" t="n"/>
    </row>
    <row r="2968">
      <c r="A2968" s="4561" t="n"/>
      <c r="B2968" s="4561" t="n"/>
      <c r="C2968" s="4561" t="n"/>
      <c r="D2968" s="4561" t="n"/>
      <c r="E2968" s="4561" t="n"/>
      <c r="F2968" s="4561" t="n"/>
    </row>
    <row r="2969">
      <c r="A2969" s="4561" t="n"/>
      <c r="B2969" s="4561" t="n"/>
      <c r="C2969" s="4561" t="n"/>
      <c r="D2969" s="4561" t="n"/>
      <c r="E2969" s="4561" t="n"/>
      <c r="F2969" s="4561" t="n"/>
    </row>
    <row r="2970">
      <c r="A2970" s="4561" t="n"/>
      <c r="B2970" s="4561" t="n"/>
      <c r="C2970" s="4561" t="n"/>
      <c r="D2970" s="4561" t="n"/>
      <c r="E2970" s="4561" t="n"/>
      <c r="F2970" s="4561" t="n"/>
    </row>
    <row r="2971">
      <c r="A2971" s="4561" t="n"/>
      <c r="B2971" s="4561" t="n"/>
      <c r="C2971" s="4561" t="n"/>
      <c r="D2971" s="4561" t="n"/>
      <c r="E2971" s="4561" t="n"/>
      <c r="F2971" s="4561" t="n"/>
    </row>
    <row r="2972">
      <c r="A2972" s="4561" t="n"/>
      <c r="B2972" s="4561" t="n"/>
      <c r="C2972" s="4561" t="n"/>
      <c r="D2972" s="4561" t="n"/>
      <c r="E2972" s="4561" t="n"/>
      <c r="F2972" s="4561" t="n"/>
    </row>
    <row r="2973">
      <c r="A2973" s="4561" t="n"/>
      <c r="B2973" s="4561" t="n"/>
      <c r="C2973" s="4561" t="n"/>
      <c r="D2973" s="4561" t="n"/>
      <c r="E2973" s="4561" t="n"/>
      <c r="F2973" s="4561" t="n"/>
    </row>
    <row r="2974">
      <c r="A2974" s="4561" t="n"/>
      <c r="B2974" s="4561" t="n"/>
      <c r="C2974" s="4561" t="n"/>
      <c r="D2974" s="4561" t="n"/>
      <c r="E2974" s="4561" t="n"/>
      <c r="F2974" s="4561" t="n"/>
    </row>
    <row r="2975">
      <c r="A2975" s="4561" t="n"/>
      <c r="B2975" s="4561" t="n"/>
      <c r="C2975" s="4561" t="n"/>
      <c r="D2975" s="4561" t="n"/>
      <c r="E2975" s="4561" t="n"/>
      <c r="F2975" s="4561" t="n"/>
    </row>
    <row r="2976">
      <c r="A2976" s="4561" t="n"/>
      <c r="B2976" s="4561" t="n"/>
      <c r="C2976" s="4561" t="n"/>
      <c r="D2976" s="4561" t="n"/>
      <c r="E2976" s="4561" t="n"/>
      <c r="F2976" s="4561" t="n"/>
    </row>
    <row r="2977">
      <c r="A2977" s="4561" t="n"/>
      <c r="B2977" s="4561" t="n"/>
      <c r="C2977" s="4561" t="n"/>
      <c r="D2977" s="4561" t="n"/>
      <c r="E2977" s="4561" t="n"/>
      <c r="F2977" s="4561" t="n"/>
    </row>
    <row r="2978">
      <c r="A2978" s="4561" t="n"/>
      <c r="B2978" s="4561" t="n"/>
      <c r="C2978" s="4561" t="n"/>
      <c r="D2978" s="4561" t="n"/>
      <c r="E2978" s="4561" t="n"/>
      <c r="F2978" s="4561" t="n"/>
    </row>
    <row r="2979">
      <c r="A2979" s="4561" t="n"/>
      <c r="B2979" s="4561" t="n"/>
      <c r="C2979" s="4561" t="n"/>
      <c r="D2979" s="4561" t="n"/>
      <c r="E2979" s="4561" t="n"/>
      <c r="F2979" s="4561" t="n"/>
    </row>
    <row r="2980">
      <c r="A2980" s="4561" t="n"/>
      <c r="B2980" s="4561" t="n"/>
      <c r="C2980" s="4561" t="n"/>
      <c r="D2980" s="4561" t="n"/>
      <c r="E2980" s="4561" t="n"/>
      <c r="F2980" s="4561" t="n"/>
    </row>
    <row r="2981">
      <c r="A2981" s="4561" t="n"/>
      <c r="B2981" s="4561" t="n"/>
      <c r="C2981" s="4561" t="n"/>
      <c r="D2981" s="4561" t="n"/>
      <c r="E2981" s="4561" t="n"/>
      <c r="F2981" s="4561" t="n"/>
    </row>
    <row r="2982">
      <c r="A2982" s="4561" t="n"/>
      <c r="B2982" s="4561" t="n"/>
      <c r="C2982" s="4561" t="n"/>
      <c r="D2982" s="4561" t="n"/>
      <c r="E2982" s="4561" t="n"/>
      <c r="F2982" s="4561" t="n"/>
    </row>
    <row r="2983">
      <c r="A2983" s="4561" t="n"/>
      <c r="B2983" s="4561" t="n"/>
      <c r="C2983" s="4561" t="n"/>
      <c r="D2983" s="4561" t="n"/>
      <c r="E2983" s="4561" t="n"/>
      <c r="F2983" s="4561" t="n"/>
    </row>
    <row r="2984">
      <c r="A2984" s="4561" t="n"/>
      <c r="B2984" s="4561" t="n"/>
      <c r="C2984" s="4561" t="n"/>
      <c r="D2984" s="4561" t="n"/>
      <c r="E2984" s="4561" t="n"/>
      <c r="F2984" s="4561" t="n"/>
    </row>
    <row r="2985">
      <c r="A2985" s="4561" t="n"/>
      <c r="B2985" s="4561" t="n"/>
      <c r="C2985" s="4561" t="n"/>
      <c r="D2985" s="4561" t="n"/>
      <c r="E2985" s="4561" t="n"/>
      <c r="F2985" s="4561" t="n"/>
    </row>
    <row r="2986">
      <c r="A2986" s="4561" t="n"/>
      <c r="B2986" s="4561" t="n"/>
      <c r="C2986" s="4561" t="n"/>
      <c r="D2986" s="4561" t="n"/>
      <c r="E2986" s="4561" t="n"/>
      <c r="F2986" s="4561" t="n"/>
    </row>
    <row r="2987">
      <c r="A2987" s="4561" t="n"/>
      <c r="B2987" s="4561" t="n"/>
      <c r="C2987" s="4561" t="n"/>
      <c r="D2987" s="4561" t="n"/>
      <c r="E2987" s="4561" t="n"/>
      <c r="F2987" s="4561" t="n"/>
    </row>
    <row r="2988">
      <c r="A2988" s="4561" t="n"/>
      <c r="B2988" s="4561" t="n"/>
      <c r="C2988" s="4561" t="n"/>
      <c r="D2988" s="4561" t="n"/>
      <c r="E2988" s="4561" t="n"/>
      <c r="F2988" s="4561" t="n"/>
    </row>
    <row r="2989">
      <c r="A2989" s="4561" t="n"/>
      <c r="B2989" s="4561" t="n"/>
      <c r="C2989" s="4561" t="n"/>
      <c r="D2989" s="4561" t="n"/>
      <c r="E2989" s="4561" t="n"/>
      <c r="F2989" s="4561" t="n"/>
    </row>
    <row r="2990">
      <c r="A2990" s="4561" t="n"/>
      <c r="B2990" s="4561" t="n"/>
      <c r="C2990" s="4561" t="n"/>
      <c r="D2990" s="4561" t="n"/>
      <c r="E2990" s="4561" t="n"/>
      <c r="F2990" s="4561" t="n"/>
    </row>
    <row r="2991">
      <c r="A2991" s="4561" t="n"/>
      <c r="B2991" s="4561" t="n"/>
      <c r="C2991" s="4561" t="n"/>
      <c r="D2991" s="4561" t="n"/>
      <c r="E2991" s="4561" t="n"/>
      <c r="F2991" s="4561" t="n"/>
    </row>
    <row r="2992">
      <c r="A2992" s="4561" t="n"/>
      <c r="B2992" s="4561" t="n"/>
      <c r="C2992" s="4561" t="n"/>
      <c r="D2992" s="4561" t="n"/>
      <c r="E2992" s="4561" t="n"/>
      <c r="F2992" s="4561" t="n"/>
    </row>
    <row r="2993">
      <c r="A2993" s="4561" t="n"/>
      <c r="B2993" s="4561" t="n"/>
      <c r="C2993" s="4561" t="n"/>
      <c r="D2993" s="4561" t="n"/>
      <c r="E2993" s="4561" t="n"/>
      <c r="F2993" s="4561" t="n"/>
    </row>
    <row r="2994">
      <c r="A2994" s="4561" t="n"/>
      <c r="B2994" s="4561" t="n"/>
      <c r="C2994" s="4561" t="n"/>
      <c r="D2994" s="4561" t="n"/>
      <c r="E2994" s="4561" t="n"/>
      <c r="F2994" s="4561" t="n"/>
    </row>
    <row r="2995">
      <c r="A2995" s="4561" t="n"/>
      <c r="B2995" s="4561" t="n"/>
      <c r="C2995" s="4561" t="n"/>
      <c r="D2995" s="4561" t="n"/>
      <c r="E2995" s="4561" t="n"/>
      <c r="F2995" s="4561" t="n"/>
    </row>
    <row r="2996">
      <c r="A2996" s="4561" t="n"/>
      <c r="B2996" s="4561" t="n"/>
      <c r="C2996" s="4561" t="n"/>
      <c r="D2996" s="4561" t="n"/>
      <c r="E2996" s="4561" t="n"/>
      <c r="F2996" s="4561" t="n"/>
    </row>
    <row r="2997">
      <c r="A2997" s="4561" t="n"/>
      <c r="B2997" s="4561" t="n"/>
      <c r="C2997" s="4561" t="n"/>
      <c r="D2997" s="4561" t="n"/>
      <c r="E2997" s="4561" t="n"/>
      <c r="F2997" s="4561" t="n"/>
    </row>
    <row r="2998">
      <c r="A2998" s="4561" t="n"/>
      <c r="B2998" s="4561" t="n"/>
      <c r="C2998" s="4561" t="n"/>
      <c r="D2998" s="4561" t="n"/>
      <c r="E2998" s="4561" t="n"/>
      <c r="F2998" s="4561" t="n"/>
    </row>
    <row r="2999">
      <c r="A2999" s="4561" t="n"/>
      <c r="B2999" s="4561" t="n"/>
      <c r="C2999" s="4561" t="n"/>
      <c r="D2999" s="4561" t="n"/>
      <c r="E2999" s="4561" t="n"/>
      <c r="F2999" s="4561" t="n"/>
    </row>
    <row r="3000">
      <c r="A3000" s="4561" t="n"/>
      <c r="B3000" s="4561" t="n"/>
      <c r="C3000" s="4561" t="n"/>
      <c r="D3000" s="4561" t="n"/>
      <c r="E3000" s="4561" t="n"/>
      <c r="F3000" s="4561" t="n"/>
    </row>
    <row r="3001">
      <c r="A3001" s="4561" t="n"/>
      <c r="B3001" s="4561" t="n"/>
      <c r="C3001" s="4561" t="n"/>
      <c r="D3001" s="4561" t="n"/>
      <c r="E3001" s="4561" t="n"/>
      <c r="F3001" s="4561" t="n"/>
    </row>
    <row r="3002">
      <c r="A3002" s="4561" t="n"/>
      <c r="B3002" s="4561" t="n"/>
      <c r="C3002" s="4561" t="n"/>
      <c r="D3002" s="4561" t="n"/>
      <c r="E3002" s="4561" t="n"/>
      <c r="F3002" s="4561" t="n"/>
    </row>
    <row r="3003">
      <c r="A3003" s="4561" t="n"/>
      <c r="B3003" s="4561" t="n"/>
      <c r="C3003" s="4561" t="n"/>
      <c r="D3003" s="4561" t="n"/>
      <c r="E3003" s="4561" t="n"/>
      <c r="F3003" s="4561" t="n"/>
    </row>
    <row r="3004">
      <c r="A3004" s="4561" t="n"/>
      <c r="B3004" s="4561" t="n"/>
      <c r="C3004" s="4561" t="n"/>
      <c r="D3004" s="4561" t="n"/>
      <c r="E3004" s="4561" t="n"/>
      <c r="F3004" s="4561" t="n"/>
    </row>
    <row r="3005">
      <c r="A3005" s="4561" t="n"/>
      <c r="B3005" s="4561" t="n"/>
      <c r="C3005" s="4561" t="n"/>
      <c r="D3005" s="4561" t="n"/>
      <c r="E3005" s="4561" t="n"/>
      <c r="F3005" s="4561" t="n"/>
    </row>
    <row r="3006">
      <c r="A3006" s="4561" t="n"/>
      <c r="B3006" s="4561" t="n"/>
      <c r="C3006" s="4561" t="n"/>
      <c r="D3006" s="4561" t="n"/>
      <c r="E3006" s="4561" t="n"/>
      <c r="F3006" s="4561" t="n"/>
    </row>
    <row r="3007">
      <c r="A3007" s="4561" t="n"/>
      <c r="B3007" s="4561" t="n"/>
      <c r="C3007" s="4561" t="n"/>
      <c r="D3007" s="4561" t="n"/>
      <c r="E3007" s="4561" t="n"/>
      <c r="F3007" s="4561" t="n"/>
    </row>
    <row r="3008">
      <c r="A3008" s="4561" t="n"/>
      <c r="B3008" s="4561" t="n"/>
      <c r="C3008" s="4561" t="n"/>
      <c r="D3008" s="4561" t="n"/>
      <c r="E3008" s="4561" t="n"/>
      <c r="F3008" s="4561" t="n"/>
    </row>
    <row r="3009">
      <c r="A3009" s="4561" t="n"/>
      <c r="B3009" s="4561" t="n"/>
      <c r="C3009" s="4561" t="n"/>
      <c r="D3009" s="4561" t="n"/>
      <c r="E3009" s="4561" t="n"/>
      <c r="F3009" s="4561" t="n"/>
    </row>
    <row r="3010">
      <c r="A3010" s="4561" t="n"/>
      <c r="B3010" s="4561" t="n"/>
      <c r="C3010" s="4561" t="n"/>
      <c r="D3010" s="4561" t="n"/>
      <c r="E3010" s="4561" t="n"/>
      <c r="F3010" s="4561" t="n"/>
    </row>
    <row r="3011">
      <c r="A3011" s="4561" t="n"/>
      <c r="B3011" s="4561" t="n"/>
      <c r="C3011" s="4561" t="n"/>
      <c r="D3011" s="4561" t="n"/>
      <c r="E3011" s="4561" t="n"/>
      <c r="F3011" s="4561" t="n"/>
    </row>
    <row r="3012">
      <c r="A3012" s="4561" t="n"/>
      <c r="B3012" s="4561" t="n"/>
      <c r="C3012" s="4561" t="n"/>
      <c r="D3012" s="4561" t="n"/>
      <c r="E3012" s="4561" t="n"/>
      <c r="F3012" s="4561" t="n"/>
    </row>
    <row r="3013">
      <c r="A3013" s="4561" t="n"/>
      <c r="B3013" s="4561" t="n"/>
      <c r="C3013" s="4561" t="n"/>
      <c r="D3013" s="4561" t="n"/>
      <c r="E3013" s="4561" t="n"/>
      <c r="F3013" s="4561" t="n"/>
    </row>
    <row r="3014">
      <c r="A3014" s="4561" t="n"/>
      <c r="B3014" s="4561" t="n"/>
      <c r="C3014" s="4561" t="n"/>
      <c r="D3014" s="4561" t="n"/>
      <c r="E3014" s="4561" t="n"/>
      <c r="F3014" s="4561" t="n"/>
    </row>
    <row r="3015">
      <c r="A3015" s="4561" t="n"/>
      <c r="B3015" s="4561" t="n"/>
      <c r="C3015" s="4561" t="n"/>
      <c r="D3015" s="4561" t="n"/>
      <c r="E3015" s="4561" t="n"/>
      <c r="F3015" s="4561" t="n"/>
    </row>
    <row r="3016">
      <c r="A3016" s="4561" t="n"/>
      <c r="B3016" s="4561" t="n"/>
      <c r="C3016" s="4561" t="n"/>
      <c r="D3016" s="4561" t="n"/>
      <c r="E3016" s="4561" t="n"/>
      <c r="F3016" s="4561" t="n"/>
    </row>
    <row r="3017">
      <c r="A3017" s="4561" t="n"/>
      <c r="B3017" s="4561" t="n"/>
      <c r="C3017" s="4561" t="n"/>
      <c r="D3017" s="4561" t="n"/>
      <c r="E3017" s="4561" t="n"/>
      <c r="F3017" s="4561" t="n"/>
    </row>
    <row r="3018">
      <c r="A3018" s="4561" t="n"/>
      <c r="B3018" s="4561" t="n"/>
      <c r="C3018" s="4561" t="n"/>
      <c r="D3018" s="4561" t="n"/>
      <c r="E3018" s="4561" t="n"/>
      <c r="F3018" s="4561" t="n"/>
    </row>
    <row r="3019">
      <c r="A3019" s="4561" t="n"/>
      <c r="B3019" s="4561" t="n"/>
      <c r="C3019" s="4561" t="n"/>
      <c r="D3019" s="4561" t="n"/>
      <c r="E3019" s="4561" t="n"/>
      <c r="F3019" s="4561" t="n"/>
    </row>
    <row r="3020">
      <c r="A3020" s="4561" t="n"/>
      <c r="B3020" s="4561" t="n"/>
      <c r="C3020" s="4561" t="n"/>
      <c r="D3020" s="4561" t="n"/>
      <c r="E3020" s="4561" t="n"/>
      <c r="F3020" s="4561" t="n"/>
    </row>
    <row r="3021">
      <c r="A3021" s="4561" t="n"/>
      <c r="B3021" s="4561" t="n"/>
      <c r="C3021" s="4561" t="n"/>
      <c r="D3021" s="4561" t="n"/>
      <c r="E3021" s="4561" t="n"/>
      <c r="F3021" s="4561" t="n"/>
    </row>
    <row r="3022">
      <c r="A3022" s="4561" t="n"/>
      <c r="B3022" s="4561" t="n"/>
      <c r="C3022" s="4561" t="n"/>
      <c r="D3022" s="4561" t="n"/>
      <c r="E3022" s="4561" t="n"/>
      <c r="F3022" s="4561" t="n"/>
    </row>
    <row r="3023">
      <c r="A3023" s="4561" t="n"/>
      <c r="B3023" s="4561" t="n"/>
      <c r="C3023" s="4561" t="n"/>
      <c r="D3023" s="4561" t="n"/>
      <c r="E3023" s="4561" t="n"/>
      <c r="F3023" s="4561" t="n"/>
    </row>
    <row r="3024">
      <c r="A3024" s="4561" t="n"/>
      <c r="B3024" s="4561" t="n"/>
      <c r="C3024" s="4561" t="n"/>
      <c r="D3024" s="4561" t="n"/>
      <c r="E3024" s="4561" t="n"/>
      <c r="F3024" s="4561" t="n"/>
    </row>
    <row r="3025">
      <c r="A3025" s="4561" t="n"/>
      <c r="B3025" s="4561" t="n"/>
      <c r="C3025" s="4561" t="n"/>
      <c r="D3025" s="4561" t="n"/>
      <c r="E3025" s="4561" t="n"/>
      <c r="F3025" s="4561" t="n"/>
    </row>
    <row r="3026">
      <c r="A3026" s="4561" t="n"/>
      <c r="B3026" s="4561" t="n"/>
      <c r="C3026" s="4561" t="n"/>
      <c r="D3026" s="4561" t="n"/>
      <c r="E3026" s="4561" t="n"/>
      <c r="F3026" s="4561" t="n"/>
    </row>
    <row r="3027">
      <c r="A3027" s="4561" t="n"/>
      <c r="B3027" s="4561" t="n"/>
      <c r="C3027" s="4561" t="n"/>
      <c r="D3027" s="4561" t="n"/>
      <c r="E3027" s="4561" t="n"/>
      <c r="F3027" s="4561" t="n"/>
    </row>
    <row r="3028">
      <c r="A3028" s="4561" t="n"/>
      <c r="B3028" s="4561" t="n"/>
      <c r="C3028" s="4561" t="n"/>
      <c r="D3028" s="4561" t="n"/>
      <c r="E3028" s="4561" t="n"/>
      <c r="F3028" s="4561" t="n"/>
    </row>
    <row r="3029">
      <c r="A3029" s="4561" t="n"/>
      <c r="B3029" s="4561" t="n"/>
      <c r="C3029" s="4561" t="n"/>
      <c r="D3029" s="4561" t="n"/>
      <c r="E3029" s="4561" t="n"/>
      <c r="F3029" s="4561" t="n"/>
    </row>
    <row r="3030">
      <c r="A3030" s="4561" t="n"/>
      <c r="B3030" s="4561" t="n"/>
      <c r="C3030" s="4561" t="n"/>
      <c r="D3030" s="4561" t="n"/>
      <c r="E3030" s="4561" t="n"/>
      <c r="F3030" s="4561" t="n"/>
    </row>
    <row r="3031">
      <c r="A3031" s="4561" t="n"/>
      <c r="B3031" s="4561" t="n"/>
      <c r="C3031" s="4561" t="n"/>
      <c r="D3031" s="4561" t="n"/>
      <c r="E3031" s="4561" t="n"/>
      <c r="F3031" s="4561" t="n"/>
    </row>
    <row r="3032">
      <c r="A3032" s="4561" t="n"/>
      <c r="B3032" s="4561" t="n"/>
      <c r="C3032" s="4561" t="n"/>
      <c r="D3032" s="4561" t="n"/>
      <c r="E3032" s="4561" t="n"/>
      <c r="F3032" s="4561" t="n"/>
    </row>
    <row r="3033">
      <c r="A3033" s="4561" t="n"/>
      <c r="B3033" s="4561" t="n"/>
      <c r="C3033" s="4561" t="n"/>
      <c r="D3033" s="4561" t="n"/>
      <c r="E3033" s="4561" t="n"/>
      <c r="F3033" s="4561" t="n"/>
    </row>
    <row r="3034">
      <c r="A3034" s="4561" t="n"/>
      <c r="B3034" s="4561" t="n"/>
      <c r="C3034" s="4561" t="n"/>
      <c r="D3034" s="4561" t="n"/>
      <c r="E3034" s="4561" t="n"/>
      <c r="F3034" s="4561" t="n"/>
    </row>
    <row r="3035">
      <c r="A3035" s="4561" t="n"/>
      <c r="B3035" s="4561" t="n"/>
      <c r="C3035" s="4561" t="n"/>
      <c r="D3035" s="4561" t="n"/>
      <c r="E3035" s="4561" t="n"/>
      <c r="F3035" s="4561" t="n"/>
    </row>
    <row r="3036">
      <c r="A3036" s="4561" t="n"/>
      <c r="B3036" s="4561" t="n"/>
      <c r="C3036" s="4561" t="n"/>
      <c r="D3036" s="4561" t="n"/>
      <c r="E3036" s="4561" t="n"/>
      <c r="F3036" s="4561" t="n"/>
    </row>
    <row r="3037">
      <c r="A3037" s="4561" t="n"/>
      <c r="B3037" s="4561" t="n"/>
      <c r="C3037" s="4561" t="n"/>
      <c r="D3037" s="4561" t="n"/>
      <c r="E3037" s="4561" t="n"/>
      <c r="F3037" s="4561" t="n"/>
    </row>
    <row r="3038">
      <c r="A3038" s="4561" t="n"/>
      <c r="B3038" s="4561" t="n"/>
      <c r="C3038" s="4561" t="n"/>
      <c r="D3038" s="4561" t="n"/>
      <c r="E3038" s="4561" t="n"/>
      <c r="F3038" s="4561" t="n"/>
    </row>
    <row r="3039">
      <c r="A3039" s="4561" t="n"/>
      <c r="B3039" s="4561" t="n"/>
      <c r="C3039" s="4561" t="n"/>
      <c r="D3039" s="4561" t="n"/>
      <c r="E3039" s="4561" t="n"/>
      <c r="F3039" s="4561" t="n"/>
    </row>
    <row r="3040">
      <c r="A3040" s="4561" t="n"/>
      <c r="B3040" s="4561" t="n"/>
      <c r="C3040" s="4561" t="n"/>
      <c r="D3040" s="4561" t="n"/>
      <c r="E3040" s="4561" t="n"/>
      <c r="F3040" s="4561" t="n"/>
    </row>
    <row r="3041">
      <c r="A3041" s="4561" t="n"/>
      <c r="B3041" s="4561" t="n"/>
      <c r="C3041" s="4561" t="n"/>
      <c r="D3041" s="4561" t="n"/>
      <c r="E3041" s="4561" t="n"/>
      <c r="F3041" s="4561" t="n"/>
    </row>
    <row r="3042">
      <c r="A3042" s="4561" t="n"/>
      <c r="B3042" s="4561" t="n"/>
      <c r="C3042" s="4561" t="n"/>
      <c r="D3042" s="4561" t="n"/>
      <c r="E3042" s="4561" t="n"/>
      <c r="F3042" s="4561" t="n"/>
    </row>
    <row r="3043">
      <c r="A3043" s="4561" t="n"/>
      <c r="B3043" s="4561" t="n"/>
      <c r="C3043" s="4561" t="n"/>
      <c r="D3043" s="4561" t="n"/>
      <c r="E3043" s="4561" t="n"/>
      <c r="F3043" s="4561" t="n"/>
    </row>
    <row r="3044">
      <c r="A3044" s="4561" t="n"/>
      <c r="B3044" s="4561" t="n"/>
      <c r="C3044" s="4561" t="n"/>
      <c r="D3044" s="4561" t="n"/>
      <c r="E3044" s="4561" t="n"/>
      <c r="F3044" s="4561" t="n"/>
    </row>
    <row r="3045">
      <c r="A3045" s="4561" t="n"/>
      <c r="B3045" s="4561" t="n"/>
      <c r="C3045" s="4561" t="n"/>
      <c r="D3045" s="4561" t="n"/>
      <c r="E3045" s="4561" t="n"/>
      <c r="F3045" s="4561" t="n"/>
    </row>
    <row r="3046">
      <c r="A3046" s="4561" t="n"/>
      <c r="B3046" s="4561" t="n"/>
      <c r="C3046" s="4561" t="n"/>
      <c r="D3046" s="4561" t="n"/>
      <c r="E3046" s="4561" t="n"/>
      <c r="F3046" s="4561" t="n"/>
    </row>
    <row r="3047">
      <c r="A3047" s="4561" t="n"/>
      <c r="B3047" s="4561" t="n"/>
      <c r="C3047" s="4561" t="n"/>
      <c r="D3047" s="4561" t="n"/>
      <c r="E3047" s="4561" t="n"/>
      <c r="F3047" s="4561" t="n"/>
    </row>
    <row r="3048">
      <c r="A3048" s="4561" t="n"/>
      <c r="B3048" s="4561" t="n"/>
      <c r="C3048" s="4561" t="n"/>
      <c r="D3048" s="4561" t="n"/>
      <c r="E3048" s="4561" t="n"/>
      <c r="F3048" s="4561" t="n"/>
    </row>
    <row r="3049">
      <c r="A3049" s="4561" t="n"/>
      <c r="B3049" s="4561" t="n"/>
      <c r="C3049" s="4561" t="n"/>
      <c r="D3049" s="4561" t="n"/>
      <c r="E3049" s="4561" t="n"/>
      <c r="F3049" s="4561" t="n"/>
    </row>
    <row r="3050">
      <c r="A3050" s="4561" t="n"/>
      <c r="B3050" s="4561" t="n"/>
      <c r="C3050" s="4561" t="n"/>
      <c r="D3050" s="4561" t="n"/>
      <c r="E3050" s="4561" t="n"/>
      <c r="F3050" s="4561" t="n"/>
    </row>
    <row r="3051">
      <c r="A3051" s="4561" t="n"/>
      <c r="B3051" s="4561" t="n"/>
      <c r="C3051" s="4561" t="n"/>
      <c r="D3051" s="4561" t="n"/>
      <c r="E3051" s="4561" t="n"/>
      <c r="F3051" s="4561" t="n"/>
    </row>
    <row r="3052">
      <c r="A3052" s="4561" t="n"/>
      <c r="B3052" s="4561" t="n"/>
      <c r="C3052" s="4561" t="n"/>
      <c r="D3052" s="4561" t="n"/>
      <c r="E3052" s="4561" t="n"/>
      <c r="F3052" s="4561" t="n"/>
    </row>
    <row r="3053">
      <c r="A3053" s="4561" t="n"/>
      <c r="B3053" s="4561" t="n"/>
      <c r="C3053" s="4561" t="n"/>
      <c r="D3053" s="4561" t="n"/>
      <c r="E3053" s="4561" t="n"/>
      <c r="F3053" s="4561" t="n"/>
    </row>
    <row r="3054">
      <c r="A3054" s="4561" t="n"/>
      <c r="B3054" s="4561" t="n"/>
      <c r="C3054" s="4561" t="n"/>
      <c r="D3054" s="4561" t="n"/>
      <c r="E3054" s="4561" t="n"/>
      <c r="F3054" s="4561" t="n"/>
    </row>
    <row r="3055">
      <c r="A3055" s="4561" t="n"/>
      <c r="B3055" s="4561" t="n"/>
      <c r="C3055" s="4561" t="n"/>
      <c r="D3055" s="4561" t="n"/>
      <c r="E3055" s="4561" t="n"/>
      <c r="F3055" s="4561" t="n"/>
    </row>
    <row r="3056">
      <c r="A3056" s="4561" t="n"/>
      <c r="B3056" s="4561" t="n"/>
      <c r="C3056" s="4561" t="n"/>
      <c r="D3056" s="4561" t="n"/>
      <c r="E3056" s="4561" t="n"/>
      <c r="F3056" s="4561" t="n"/>
    </row>
    <row r="3057">
      <c r="A3057" s="4561" t="n"/>
      <c r="B3057" s="4561" t="n"/>
      <c r="C3057" s="4561" t="n"/>
      <c r="D3057" s="4561" t="n"/>
      <c r="E3057" s="4561" t="n"/>
      <c r="F3057" s="4561" t="n"/>
    </row>
    <row r="3058">
      <c r="A3058" s="4561" t="n"/>
      <c r="B3058" s="4561" t="n"/>
      <c r="C3058" s="4561" t="n"/>
      <c r="D3058" s="4561" t="n"/>
      <c r="E3058" s="4561" t="n"/>
      <c r="F3058" s="4561" t="n"/>
    </row>
    <row r="3059">
      <c r="A3059" s="4561" t="n"/>
      <c r="B3059" s="4561" t="n"/>
      <c r="C3059" s="4561" t="n"/>
      <c r="D3059" s="4561" t="n"/>
      <c r="E3059" s="4561" t="n"/>
      <c r="F3059" s="4561" t="n"/>
    </row>
    <row r="3060">
      <c r="A3060" s="4561" t="n"/>
      <c r="B3060" s="4561" t="n"/>
      <c r="C3060" s="4561" t="n"/>
      <c r="D3060" s="4561" t="n"/>
      <c r="E3060" s="4561" t="n"/>
      <c r="F3060" s="4561" t="n"/>
    </row>
    <row r="3061">
      <c r="A3061" s="4561" t="n"/>
      <c r="B3061" s="4561" t="n"/>
      <c r="C3061" s="4561" t="n"/>
      <c r="D3061" s="4561" t="n"/>
      <c r="E3061" s="4561" t="n"/>
      <c r="F3061" s="4561" t="n"/>
    </row>
    <row r="3062">
      <c r="A3062" s="4561" t="n"/>
      <c r="B3062" s="4561" t="n"/>
      <c r="C3062" s="4561" t="n"/>
      <c r="D3062" s="4561" t="n"/>
      <c r="E3062" s="4561" t="n"/>
      <c r="F3062" s="4561" t="n"/>
    </row>
    <row r="3063">
      <c r="A3063" s="4561" t="n"/>
      <c r="B3063" s="4561" t="n"/>
      <c r="C3063" s="4561" t="n"/>
      <c r="D3063" s="4561" t="n"/>
      <c r="E3063" s="4561" t="n"/>
      <c r="F3063" s="4561" t="n"/>
    </row>
    <row r="3064">
      <c r="A3064" s="4561" t="n"/>
      <c r="B3064" s="4561" t="n"/>
      <c r="C3064" s="4561" t="n"/>
      <c r="D3064" s="4561" t="n"/>
      <c r="E3064" s="4561" t="n"/>
      <c r="F3064" s="4561" t="n"/>
    </row>
    <row r="3065">
      <c r="A3065" s="4561" t="n"/>
      <c r="B3065" s="4561" t="n"/>
      <c r="C3065" s="4561" t="n"/>
      <c r="D3065" s="4561" t="n"/>
      <c r="E3065" s="4561" t="n"/>
      <c r="F3065" s="4561" t="n"/>
    </row>
    <row r="3066">
      <c r="A3066" s="4561" t="n"/>
      <c r="B3066" s="4561" t="n"/>
      <c r="C3066" s="4561" t="n"/>
      <c r="D3066" s="4561" t="n"/>
      <c r="E3066" s="4561" t="n"/>
      <c r="F3066" s="4561" t="n"/>
    </row>
    <row r="3067">
      <c r="A3067" s="4561" t="n"/>
      <c r="B3067" s="4561" t="n"/>
      <c r="C3067" s="4561" t="n"/>
      <c r="D3067" s="4561" t="n"/>
      <c r="E3067" s="4561" t="n"/>
      <c r="F3067" s="4561" t="n"/>
    </row>
    <row r="3068">
      <c r="A3068" s="4561" t="n"/>
      <c r="B3068" s="4561" t="n"/>
      <c r="C3068" s="4561" t="n"/>
      <c r="D3068" s="4561" t="n"/>
      <c r="E3068" s="4561" t="n"/>
      <c r="F3068" s="4561" t="n"/>
    </row>
    <row r="3069">
      <c r="A3069" s="4561" t="n"/>
      <c r="B3069" s="4561" t="n"/>
      <c r="C3069" s="4561" t="n"/>
      <c r="D3069" s="4561" t="n"/>
      <c r="E3069" s="4561" t="n"/>
      <c r="F3069" s="4561" t="n"/>
    </row>
    <row r="3070">
      <c r="A3070" s="4561" t="n"/>
      <c r="B3070" s="4561" t="n"/>
      <c r="C3070" s="4561" t="n"/>
      <c r="D3070" s="4561" t="n"/>
      <c r="E3070" s="4561" t="n"/>
      <c r="F3070" s="4561" t="n"/>
    </row>
    <row r="3071">
      <c r="A3071" s="4561" t="n"/>
      <c r="B3071" s="4561" t="n"/>
      <c r="C3071" s="4561" t="n"/>
      <c r="D3071" s="4561" t="n"/>
      <c r="E3071" s="4561" t="n"/>
      <c r="F3071" s="4561" t="n"/>
    </row>
    <row r="3072">
      <c r="A3072" s="4561" t="n"/>
      <c r="B3072" s="4561" t="n"/>
      <c r="C3072" s="4561" t="n"/>
      <c r="D3072" s="4561" t="n"/>
      <c r="E3072" s="4561" t="n"/>
      <c r="F3072" s="4561" t="n"/>
    </row>
    <row r="3073">
      <c r="A3073" s="4561" t="n"/>
      <c r="B3073" s="4561" t="n"/>
      <c r="C3073" s="4561" t="n"/>
      <c r="D3073" s="4561" t="n"/>
      <c r="E3073" s="4561" t="n"/>
      <c r="F3073" s="4561" t="n"/>
    </row>
    <row r="3074">
      <c r="A3074" s="4561" t="n"/>
      <c r="B3074" s="4561" t="n"/>
      <c r="C3074" s="4561" t="n"/>
      <c r="D3074" s="4561" t="n"/>
      <c r="E3074" s="4561" t="n"/>
      <c r="F3074" s="4561" t="n"/>
    </row>
    <row r="3075">
      <c r="A3075" s="4561" t="n"/>
      <c r="B3075" s="4561" t="n"/>
      <c r="C3075" s="4561" t="n"/>
      <c r="D3075" s="4561" t="n"/>
      <c r="E3075" s="4561" t="n"/>
      <c r="F3075" s="4561" t="n"/>
    </row>
    <row r="3076">
      <c r="A3076" s="4561" t="n"/>
      <c r="B3076" s="4561" t="n"/>
      <c r="C3076" s="4561" t="n"/>
      <c r="D3076" s="4561" t="n"/>
      <c r="E3076" s="4561" t="n"/>
      <c r="F3076" s="4561" t="n"/>
    </row>
    <row r="3077">
      <c r="A3077" s="4561" t="n"/>
      <c r="B3077" s="4561" t="n"/>
      <c r="C3077" s="4561" t="n"/>
      <c r="D3077" s="4561" t="n"/>
      <c r="E3077" s="4561" t="n"/>
      <c r="F3077" s="4561" t="n"/>
    </row>
    <row r="3078">
      <c r="A3078" s="4561" t="n"/>
      <c r="B3078" s="4561" t="n"/>
      <c r="C3078" s="4561" t="n"/>
      <c r="D3078" s="4561" t="n"/>
      <c r="E3078" s="4561" t="n"/>
      <c r="F3078" s="4561" t="n"/>
    </row>
    <row r="3079">
      <c r="A3079" s="4561" t="n"/>
      <c r="B3079" s="4561" t="n"/>
      <c r="C3079" s="4561" t="n"/>
      <c r="D3079" s="4561" t="n"/>
      <c r="E3079" s="4561" t="n"/>
      <c r="F3079" s="4561" t="n"/>
    </row>
    <row r="3080">
      <c r="A3080" s="4561" t="n"/>
      <c r="B3080" s="4561" t="n"/>
      <c r="C3080" s="4561" t="n"/>
      <c r="D3080" s="4561" t="n"/>
      <c r="E3080" s="4561" t="n"/>
      <c r="F3080" s="4561" t="n"/>
    </row>
    <row r="3081">
      <c r="A3081" s="4561" t="n"/>
      <c r="B3081" s="4561" t="n"/>
      <c r="C3081" s="4561" t="n"/>
      <c r="D3081" s="4561" t="n"/>
      <c r="E3081" s="4561" t="n"/>
      <c r="F3081" s="4561" t="n"/>
    </row>
    <row r="3082">
      <c r="A3082" s="4561" t="n"/>
      <c r="B3082" s="4561" t="n"/>
      <c r="C3082" s="4561" t="n"/>
      <c r="D3082" s="4561" t="n"/>
      <c r="E3082" s="4561" t="n"/>
      <c r="F3082" s="4561" t="n"/>
    </row>
    <row r="3083">
      <c r="A3083" s="4561" t="n"/>
      <c r="B3083" s="4561" t="n"/>
      <c r="C3083" s="4561" t="n"/>
      <c r="D3083" s="4561" t="n"/>
      <c r="E3083" s="4561" t="n"/>
      <c r="F3083" s="4561" t="n"/>
    </row>
    <row r="3084">
      <c r="A3084" s="4561" t="n"/>
      <c r="B3084" s="4561" t="n"/>
      <c r="C3084" s="4561" t="n"/>
      <c r="D3084" s="4561" t="n"/>
      <c r="E3084" s="4561" t="n"/>
      <c r="F3084" s="4561" t="n"/>
    </row>
    <row r="3085">
      <c r="A3085" s="4561" t="n"/>
      <c r="B3085" s="4561" t="n"/>
      <c r="C3085" s="4561" t="n"/>
      <c r="D3085" s="4561" t="n"/>
      <c r="E3085" s="4561" t="n"/>
      <c r="F3085" s="4561" t="n"/>
    </row>
    <row r="3086">
      <c r="A3086" s="4561" t="n"/>
      <c r="B3086" s="4561" t="n"/>
      <c r="C3086" s="4561" t="n"/>
      <c r="D3086" s="4561" t="n"/>
      <c r="E3086" s="4561" t="n"/>
      <c r="F3086" s="4561" t="n"/>
    </row>
    <row r="3087">
      <c r="A3087" s="4561" t="n"/>
      <c r="B3087" s="4561" t="n"/>
      <c r="C3087" s="4561" t="n"/>
      <c r="D3087" s="4561" t="n"/>
      <c r="E3087" s="4561" t="n"/>
      <c r="F3087" s="4561" t="n"/>
    </row>
    <row r="3088">
      <c r="A3088" s="4561" t="n"/>
      <c r="B3088" s="4561" t="n"/>
      <c r="C3088" s="4561" t="n"/>
      <c r="D3088" s="4561" t="n"/>
      <c r="E3088" s="4561" t="n"/>
      <c r="F3088" s="4561" t="n"/>
    </row>
    <row r="3089">
      <c r="A3089" s="4561" t="n"/>
      <c r="B3089" s="4561" t="n"/>
      <c r="C3089" s="4561" t="n"/>
      <c r="D3089" s="4561" t="n"/>
      <c r="E3089" s="4561" t="n"/>
      <c r="F3089" s="4561" t="n"/>
    </row>
    <row r="3090">
      <c r="A3090" s="4561" t="n"/>
      <c r="B3090" s="4561" t="n"/>
      <c r="C3090" s="4561" t="n"/>
      <c r="D3090" s="4561" t="n"/>
      <c r="E3090" s="4561" t="n"/>
      <c r="F3090" s="4561" t="n"/>
    </row>
    <row r="3091">
      <c r="A3091" s="4561" t="n"/>
      <c r="B3091" s="4561" t="n"/>
      <c r="C3091" s="4561" t="n"/>
      <c r="D3091" s="4561" t="n"/>
      <c r="E3091" s="4561" t="n"/>
      <c r="F3091" s="4561" t="n"/>
    </row>
    <row r="3092">
      <c r="A3092" s="4561" t="n"/>
      <c r="B3092" s="4561" t="n"/>
      <c r="C3092" s="4561" t="n"/>
      <c r="D3092" s="4561" t="n"/>
      <c r="E3092" s="4561" t="n"/>
      <c r="F3092" s="4561" t="n"/>
    </row>
    <row r="3093">
      <c r="A3093" s="4561" t="n"/>
      <c r="B3093" s="4561" t="n"/>
      <c r="C3093" s="4561" t="n"/>
      <c r="D3093" s="4561" t="n"/>
      <c r="E3093" s="4561" t="n"/>
      <c r="F3093" s="4561" t="n"/>
    </row>
    <row r="3094">
      <c r="A3094" s="4561" t="n"/>
      <c r="B3094" s="4561" t="n"/>
      <c r="C3094" s="4561" t="n"/>
      <c r="D3094" s="4561" t="n"/>
      <c r="E3094" s="4561" t="n"/>
      <c r="F3094" s="4561" t="n"/>
    </row>
    <row r="3095">
      <c r="A3095" s="4561" t="n"/>
      <c r="B3095" s="4561" t="n"/>
      <c r="C3095" s="4561" t="n"/>
      <c r="D3095" s="4561" t="n"/>
      <c r="E3095" s="4561" t="n"/>
      <c r="F3095" s="4561" t="n"/>
    </row>
    <row r="3096">
      <c r="A3096" s="4561" t="n"/>
      <c r="B3096" s="4561" t="n"/>
      <c r="C3096" s="4561" t="n"/>
      <c r="D3096" s="4561" t="n"/>
      <c r="E3096" s="4561" t="n"/>
      <c r="F3096" s="4561" t="n"/>
    </row>
    <row r="3097">
      <c r="A3097" s="4561" t="n"/>
      <c r="B3097" s="4561" t="n"/>
      <c r="C3097" s="4561" t="n"/>
      <c r="D3097" s="4561" t="n"/>
      <c r="E3097" s="4561" t="n"/>
      <c r="F3097" s="4561" t="n"/>
    </row>
    <row r="3098">
      <c r="A3098" s="4561" t="n"/>
      <c r="B3098" s="4561" t="n"/>
      <c r="C3098" s="4561" t="n"/>
      <c r="D3098" s="4561" t="n"/>
      <c r="E3098" s="4561" t="n"/>
      <c r="F3098" s="4561" t="n"/>
    </row>
    <row r="3099">
      <c r="A3099" s="4561" t="n"/>
      <c r="B3099" s="4561" t="n"/>
      <c r="C3099" s="4561" t="n"/>
      <c r="D3099" s="4561" t="n"/>
      <c r="E3099" s="4561" t="n"/>
      <c r="F3099" s="4561" t="n"/>
    </row>
    <row r="3100">
      <c r="A3100" s="4561" t="n"/>
      <c r="B3100" s="4561" t="n"/>
      <c r="C3100" s="4561" t="n"/>
      <c r="D3100" s="4561" t="n"/>
      <c r="E3100" s="4561" t="n"/>
      <c r="F3100" s="4561" t="n"/>
    </row>
    <row r="3101">
      <c r="A3101" s="4561" t="n"/>
      <c r="B3101" s="4561" t="n"/>
      <c r="C3101" s="4561" t="n"/>
      <c r="D3101" s="4561" t="n"/>
      <c r="E3101" s="4561" t="n"/>
      <c r="F3101" s="4561" t="n"/>
    </row>
    <row r="3102">
      <c r="A3102" s="4561" t="n"/>
      <c r="B3102" s="4561" t="n"/>
      <c r="C3102" s="4561" t="n"/>
      <c r="D3102" s="4561" t="n"/>
      <c r="E3102" s="4561" t="n"/>
      <c r="F3102" s="4561" t="n"/>
    </row>
    <row r="3103">
      <c r="A3103" s="4561" t="n"/>
      <c r="B3103" s="4561" t="n"/>
      <c r="C3103" s="4561" t="n"/>
      <c r="D3103" s="4561" t="n"/>
      <c r="E3103" s="4561" t="n"/>
      <c r="F3103" s="4561" t="n"/>
    </row>
    <row r="3104">
      <c r="A3104" s="4561" t="n"/>
      <c r="B3104" s="4561" t="n"/>
      <c r="C3104" s="4561" t="n"/>
      <c r="D3104" s="4561" t="n"/>
      <c r="E3104" s="4561" t="n"/>
      <c r="F3104" s="4561" t="n"/>
    </row>
    <row r="3105">
      <c r="A3105" s="4561" t="n"/>
      <c r="B3105" s="4561" t="n"/>
      <c r="C3105" s="4561" t="n"/>
      <c r="D3105" s="4561" t="n"/>
      <c r="E3105" s="4561" t="n"/>
      <c r="F3105" s="4561" t="n"/>
    </row>
    <row r="3106">
      <c r="A3106" s="4561" t="n"/>
      <c r="B3106" s="4561" t="n"/>
      <c r="C3106" s="4561" t="n"/>
      <c r="D3106" s="4561" t="n"/>
      <c r="E3106" s="4561" t="n"/>
      <c r="F3106" s="4561" t="n"/>
    </row>
    <row r="3107">
      <c r="A3107" s="4561" t="n"/>
      <c r="B3107" s="4561" t="n"/>
      <c r="C3107" s="4561" t="n"/>
      <c r="D3107" s="4561" t="n"/>
      <c r="E3107" s="4561" t="n"/>
      <c r="F3107" s="4561" t="n"/>
    </row>
    <row r="3108">
      <c r="A3108" s="4561" t="n"/>
      <c r="B3108" s="4561" t="n"/>
      <c r="C3108" s="4561" t="n"/>
      <c r="D3108" s="4561" t="n"/>
      <c r="E3108" s="4561" t="n"/>
      <c r="F3108" s="4561" t="n"/>
    </row>
    <row r="3109">
      <c r="A3109" s="4561" t="n"/>
      <c r="B3109" s="4561" t="n"/>
      <c r="C3109" s="4561" t="n"/>
      <c r="D3109" s="4561" t="n"/>
      <c r="E3109" s="4561" t="n"/>
      <c r="F3109" s="4561" t="n"/>
    </row>
    <row r="3110">
      <c r="A3110" s="4561" t="n"/>
      <c r="B3110" s="4561" t="n"/>
      <c r="C3110" s="4561" t="n"/>
      <c r="D3110" s="4561" t="n"/>
      <c r="E3110" s="4561" t="n"/>
      <c r="F3110" s="4561" t="n"/>
    </row>
    <row r="3111">
      <c r="A3111" s="4561" t="n"/>
      <c r="B3111" s="4561" t="n"/>
      <c r="C3111" s="4561" t="n"/>
      <c r="D3111" s="4561" t="n"/>
      <c r="E3111" s="4561" t="n"/>
      <c r="F3111" s="4561" t="n"/>
    </row>
    <row r="3112">
      <c r="A3112" s="4561" t="n"/>
      <c r="B3112" s="4561" t="n"/>
      <c r="C3112" s="4561" t="n"/>
      <c r="D3112" s="4561" t="n"/>
      <c r="E3112" s="4561" t="n"/>
      <c r="F3112" s="4561" t="n"/>
    </row>
    <row r="3113">
      <c r="A3113" s="4561" t="n"/>
      <c r="B3113" s="4561" t="n"/>
      <c r="C3113" s="4561" t="n"/>
      <c r="D3113" s="4561" t="n"/>
      <c r="E3113" s="4561" t="n"/>
      <c r="F3113" s="4561" t="n"/>
    </row>
    <row r="3114">
      <c r="A3114" s="4561" t="n"/>
      <c r="B3114" s="4561" t="n"/>
      <c r="C3114" s="4561" t="n"/>
      <c r="D3114" s="4561" t="n"/>
      <c r="E3114" s="4561" t="n"/>
      <c r="F3114" s="4561" t="n"/>
    </row>
    <row r="3115">
      <c r="A3115" s="4561" t="n"/>
      <c r="B3115" s="4561" t="n"/>
      <c r="C3115" s="4561" t="n"/>
      <c r="D3115" s="4561" t="n"/>
      <c r="E3115" s="4561" t="n"/>
      <c r="F3115" s="4561" t="n"/>
    </row>
    <row r="3116">
      <c r="A3116" s="4561" t="n"/>
      <c r="B3116" s="4561" t="n"/>
      <c r="C3116" s="4561" t="n"/>
      <c r="D3116" s="4561" t="n"/>
      <c r="E3116" s="4561" t="n"/>
      <c r="F3116" s="4561" t="n"/>
    </row>
    <row r="3117">
      <c r="A3117" s="4561" t="n"/>
      <c r="B3117" s="4561" t="n"/>
      <c r="C3117" s="4561" t="n"/>
      <c r="D3117" s="4561" t="n"/>
      <c r="E3117" s="4561" t="n"/>
      <c r="F3117" s="4561" t="n"/>
    </row>
    <row r="3118">
      <c r="A3118" s="4561" t="n"/>
      <c r="B3118" s="4561" t="n"/>
      <c r="C3118" s="4561" t="n"/>
      <c r="D3118" s="4561" t="n"/>
      <c r="E3118" s="4561" t="n"/>
      <c r="F3118" s="4561" t="n"/>
    </row>
    <row r="3119">
      <c r="A3119" s="4561" t="n"/>
      <c r="B3119" s="4561" t="n"/>
      <c r="C3119" s="4561" t="n"/>
      <c r="D3119" s="4561" t="n"/>
      <c r="E3119" s="4561" t="n"/>
      <c r="F3119" s="4561" t="n"/>
    </row>
    <row r="3120">
      <c r="A3120" s="4561" t="n"/>
      <c r="B3120" s="4561" t="n"/>
      <c r="C3120" s="4561" t="n"/>
      <c r="D3120" s="4561" t="n"/>
      <c r="E3120" s="4561" t="n"/>
      <c r="F3120" s="4561" t="n"/>
    </row>
    <row r="3121">
      <c r="A3121" s="4561" t="n"/>
      <c r="B3121" s="4561" t="n"/>
      <c r="C3121" s="4561" t="n"/>
      <c r="D3121" s="4561" t="n"/>
      <c r="E3121" s="4561" t="n"/>
      <c r="F3121" s="4561" t="n"/>
    </row>
    <row r="3122">
      <c r="A3122" s="4561" t="n"/>
      <c r="B3122" s="4561" t="n"/>
      <c r="C3122" s="4561" t="n"/>
      <c r="D3122" s="4561" t="n"/>
      <c r="E3122" s="4561" t="n"/>
      <c r="F3122" s="4561" t="n"/>
    </row>
    <row r="3123">
      <c r="A3123" s="4561" t="n"/>
      <c r="B3123" s="4561" t="n"/>
      <c r="C3123" s="4561" t="n"/>
      <c r="D3123" s="4561" t="n"/>
      <c r="E3123" s="4561" t="n"/>
      <c r="F3123" s="4561" t="n"/>
    </row>
    <row r="3124">
      <c r="A3124" s="4561" t="n"/>
      <c r="B3124" s="4561" t="n"/>
      <c r="C3124" s="4561" t="n"/>
      <c r="D3124" s="4561" t="n"/>
      <c r="E3124" s="4561" t="n"/>
      <c r="F3124" s="4561" t="n"/>
    </row>
    <row r="3125">
      <c r="A3125" s="4561" t="n"/>
      <c r="B3125" s="4561" t="n"/>
      <c r="C3125" s="4561" t="n"/>
      <c r="D3125" s="4561" t="n"/>
      <c r="E3125" s="4561" t="n"/>
      <c r="F3125" s="4561" t="n"/>
    </row>
    <row r="3126">
      <c r="A3126" s="4561" t="n"/>
      <c r="B3126" s="4561" t="n"/>
      <c r="C3126" s="4561" t="n"/>
      <c r="D3126" s="4561" t="n"/>
      <c r="E3126" s="4561" t="n"/>
      <c r="F3126" s="4561" t="n"/>
    </row>
    <row r="3127">
      <c r="A3127" s="4561" t="n"/>
      <c r="B3127" s="4561" t="n"/>
      <c r="C3127" s="4561" t="n"/>
      <c r="D3127" s="4561" t="n"/>
      <c r="E3127" s="4561" t="n"/>
      <c r="F3127" s="4561" t="n"/>
    </row>
    <row r="3128">
      <c r="A3128" s="4561" t="n"/>
      <c r="B3128" s="4561" t="n"/>
      <c r="C3128" s="4561" t="n"/>
      <c r="D3128" s="4561" t="n"/>
      <c r="E3128" s="4561" t="n"/>
      <c r="F3128" s="4561" t="n"/>
    </row>
    <row r="3129">
      <c r="A3129" s="4561" t="n"/>
      <c r="B3129" s="4561" t="n"/>
      <c r="C3129" s="4561" t="n"/>
      <c r="D3129" s="4561" t="n"/>
      <c r="E3129" s="4561" t="n"/>
      <c r="F3129" s="4561" t="n"/>
    </row>
    <row r="3130">
      <c r="A3130" s="4561" t="n"/>
      <c r="B3130" s="4561" t="n"/>
      <c r="C3130" s="4561" t="n"/>
      <c r="D3130" s="4561" t="n"/>
      <c r="E3130" s="4561" t="n"/>
      <c r="F3130" s="4561" t="n"/>
    </row>
    <row r="3131">
      <c r="A3131" s="4561" t="n"/>
      <c r="B3131" s="4561" t="n"/>
      <c r="C3131" s="4561" t="n"/>
      <c r="D3131" s="4561" t="n"/>
      <c r="E3131" s="4561" t="n"/>
      <c r="F3131" s="4561" t="n"/>
    </row>
    <row r="3132">
      <c r="A3132" s="4561" t="n"/>
      <c r="B3132" s="4561" t="n"/>
      <c r="C3132" s="4561" t="n"/>
      <c r="D3132" s="4561" t="n"/>
      <c r="E3132" s="4561" t="n"/>
      <c r="F3132" s="4561" t="n"/>
    </row>
    <row r="3133">
      <c r="A3133" s="4561" t="n"/>
      <c r="B3133" s="4561" t="n"/>
      <c r="C3133" s="4561" t="n"/>
      <c r="D3133" s="4561" t="n"/>
      <c r="E3133" s="4561" t="n"/>
      <c r="F3133" s="4561" t="n"/>
    </row>
    <row r="3134">
      <c r="A3134" s="4561" t="n"/>
      <c r="B3134" s="4561" t="n"/>
      <c r="C3134" s="4561" t="n"/>
      <c r="D3134" s="4561" t="n"/>
      <c r="E3134" s="4561" t="n"/>
      <c r="F3134" s="4561" t="n"/>
    </row>
    <row r="3135">
      <c r="A3135" s="4561" t="n"/>
      <c r="B3135" s="4561" t="n"/>
      <c r="C3135" s="4561" t="n"/>
      <c r="D3135" s="4561" t="n"/>
      <c r="E3135" s="4561" t="n"/>
      <c r="F3135" s="4561" t="n"/>
    </row>
    <row r="3136">
      <c r="A3136" s="4561" t="n"/>
      <c r="B3136" s="4561" t="n"/>
      <c r="C3136" s="4561" t="n"/>
      <c r="D3136" s="4561" t="n"/>
      <c r="E3136" s="4561" t="n"/>
      <c r="F3136" s="4561" t="n"/>
    </row>
    <row r="3137">
      <c r="A3137" s="4561" t="n"/>
      <c r="B3137" s="4561" t="n"/>
      <c r="C3137" s="4561" t="n"/>
      <c r="D3137" s="4561" t="n"/>
      <c r="E3137" s="4561" t="n"/>
      <c r="F3137" s="4561" t="n"/>
    </row>
    <row r="3138">
      <c r="A3138" s="4561" t="n"/>
      <c r="B3138" s="4561" t="n"/>
      <c r="C3138" s="4561" t="n"/>
      <c r="D3138" s="4561" t="n"/>
      <c r="E3138" s="4561" t="n"/>
      <c r="F3138" s="4561" t="n"/>
    </row>
    <row r="3139">
      <c r="A3139" s="4561" t="n"/>
      <c r="B3139" s="4561" t="n"/>
      <c r="C3139" s="4561" t="n"/>
      <c r="D3139" s="4561" t="n"/>
      <c r="E3139" s="4561" t="n"/>
      <c r="F3139" s="4561" t="n"/>
    </row>
    <row r="3140">
      <c r="A3140" s="4561" t="n"/>
      <c r="B3140" s="4561" t="n"/>
      <c r="C3140" s="4561" t="n"/>
      <c r="D3140" s="4561" t="n"/>
      <c r="E3140" s="4561" t="n"/>
      <c r="F3140" s="4561" t="n"/>
    </row>
    <row r="3141">
      <c r="A3141" s="4561" t="n"/>
      <c r="B3141" s="4561" t="n"/>
      <c r="C3141" s="4561" t="n"/>
      <c r="D3141" s="4561" t="n"/>
      <c r="E3141" s="4561" t="n"/>
      <c r="F3141" s="4561" t="n"/>
    </row>
    <row r="3142">
      <c r="A3142" s="4561" t="n"/>
      <c r="B3142" s="4561" t="n"/>
      <c r="C3142" s="4561" t="n"/>
      <c r="D3142" s="4561" t="n"/>
      <c r="E3142" s="4561" t="n"/>
      <c r="F3142" s="4561" t="n"/>
    </row>
    <row r="3143">
      <c r="A3143" s="4561" t="n"/>
      <c r="B3143" s="4561" t="n"/>
      <c r="C3143" s="4561" t="n"/>
      <c r="D3143" s="4561" t="n"/>
      <c r="E3143" s="4561" t="n"/>
      <c r="F3143" s="4561" t="n"/>
    </row>
    <row r="3144">
      <c r="A3144" s="4561" t="n"/>
      <c r="B3144" s="4561" t="n"/>
      <c r="C3144" s="4561" t="n"/>
      <c r="D3144" s="4561" t="n"/>
      <c r="E3144" s="4561" t="n"/>
      <c r="F3144" s="4561" t="n"/>
    </row>
    <row r="3145">
      <c r="A3145" s="4561" t="n"/>
      <c r="B3145" s="4561" t="n"/>
      <c r="C3145" s="4561" t="n"/>
      <c r="D3145" s="4561" t="n"/>
      <c r="E3145" s="4561" t="n"/>
      <c r="F3145" s="4561" t="n"/>
    </row>
    <row r="3146">
      <c r="A3146" s="4561" t="n"/>
      <c r="B3146" s="4561" t="n"/>
      <c r="C3146" s="4561" t="n"/>
      <c r="D3146" s="4561" t="n"/>
      <c r="E3146" s="4561" t="n"/>
      <c r="F3146" s="4561" t="n"/>
    </row>
    <row r="3147">
      <c r="A3147" s="4561" t="n"/>
      <c r="B3147" s="4561" t="n"/>
      <c r="C3147" s="4561" t="n"/>
      <c r="D3147" s="4561" t="n"/>
      <c r="E3147" s="4561" t="n"/>
      <c r="F3147" s="4561" t="n"/>
    </row>
    <row r="3148">
      <c r="A3148" s="4561" t="n"/>
      <c r="B3148" s="4561" t="n"/>
      <c r="C3148" s="4561" t="n"/>
      <c r="D3148" s="4561" t="n"/>
      <c r="E3148" s="4561" t="n"/>
      <c r="F3148" s="4561" t="n"/>
    </row>
    <row r="3149">
      <c r="A3149" s="4561" t="n"/>
      <c r="B3149" s="4561" t="n"/>
      <c r="C3149" s="4561" t="n"/>
      <c r="D3149" s="4561" t="n"/>
      <c r="E3149" s="4561" t="n"/>
      <c r="F3149" s="4561" t="n"/>
    </row>
    <row r="3150">
      <c r="A3150" s="4561" t="n"/>
      <c r="B3150" s="4561" t="n"/>
      <c r="C3150" s="4561" t="n"/>
      <c r="D3150" s="4561" t="n"/>
      <c r="E3150" s="4561" t="n"/>
      <c r="F3150" s="4561" t="n"/>
    </row>
    <row r="3151">
      <c r="A3151" s="4561" t="n"/>
      <c r="B3151" s="4561" t="n"/>
      <c r="C3151" s="4561" t="n"/>
      <c r="D3151" s="4561" t="n"/>
      <c r="E3151" s="4561" t="n"/>
      <c r="F3151" s="4561" t="n"/>
    </row>
    <row r="3152">
      <c r="A3152" s="4561" t="n"/>
      <c r="B3152" s="4561" t="n"/>
      <c r="C3152" s="4561" t="n"/>
      <c r="D3152" s="4561" t="n"/>
      <c r="E3152" s="4561" t="n"/>
      <c r="F3152" s="4561" t="n"/>
    </row>
    <row r="3153">
      <c r="A3153" s="4561" t="n"/>
      <c r="B3153" s="4561" t="n"/>
      <c r="C3153" s="4561" t="n"/>
      <c r="D3153" s="4561" t="n"/>
      <c r="E3153" s="4561" t="n"/>
      <c r="F3153" s="4561" t="n"/>
    </row>
    <row r="3154">
      <c r="A3154" s="4561" t="n"/>
      <c r="B3154" s="4561" t="n"/>
      <c r="C3154" s="4561" t="n"/>
      <c r="D3154" s="4561" t="n"/>
      <c r="E3154" s="4561" t="n"/>
      <c r="F3154" s="4561" t="n"/>
    </row>
    <row r="3155">
      <c r="A3155" s="4561" t="n"/>
      <c r="B3155" s="4561" t="n"/>
      <c r="C3155" s="4561" t="n"/>
      <c r="D3155" s="4561" t="n"/>
      <c r="E3155" s="4561" t="n"/>
      <c r="F3155" s="4561" t="n"/>
    </row>
    <row r="3156">
      <c r="A3156" s="4561" t="n"/>
      <c r="B3156" s="4561" t="n"/>
      <c r="C3156" s="4561" t="n"/>
      <c r="D3156" s="4561" t="n"/>
      <c r="E3156" s="4561" t="n"/>
      <c r="F3156" s="4561" t="n"/>
    </row>
    <row r="3157">
      <c r="A3157" s="4561" t="n"/>
      <c r="B3157" s="4561" t="n"/>
      <c r="C3157" s="4561" t="n"/>
      <c r="D3157" s="4561" t="n"/>
      <c r="E3157" s="4561" t="n"/>
      <c r="F3157" s="4561" t="n"/>
    </row>
    <row r="3158">
      <c r="A3158" s="4561" t="n"/>
      <c r="B3158" s="4561" t="n"/>
      <c r="C3158" s="4561" t="n"/>
      <c r="D3158" s="4561" t="n"/>
      <c r="E3158" s="4561" t="n"/>
      <c r="F3158" s="4561" t="n"/>
    </row>
    <row r="3159">
      <c r="A3159" s="4561" t="n"/>
      <c r="B3159" s="4561" t="n"/>
      <c r="C3159" s="4561" t="n"/>
      <c r="D3159" s="4561" t="n"/>
      <c r="E3159" s="4561" t="n"/>
      <c r="F3159" s="4561" t="n"/>
    </row>
    <row r="3160">
      <c r="A3160" s="4561" t="n"/>
      <c r="B3160" s="4561" t="n"/>
      <c r="C3160" s="4561" t="n"/>
      <c r="D3160" s="4561" t="n"/>
      <c r="E3160" s="4561" t="n"/>
      <c r="F3160" s="4561" t="n"/>
    </row>
    <row r="3161">
      <c r="A3161" s="4561" t="n"/>
      <c r="B3161" s="4561" t="n"/>
      <c r="C3161" s="4561" t="n"/>
      <c r="D3161" s="4561" t="n"/>
      <c r="E3161" s="4561" t="n"/>
      <c r="F3161" s="4561" t="n"/>
    </row>
    <row r="3162">
      <c r="A3162" s="4561" t="n"/>
      <c r="B3162" s="4561" t="n"/>
      <c r="C3162" s="4561" t="n"/>
      <c r="D3162" s="4561" t="n"/>
      <c r="E3162" s="4561" t="n"/>
      <c r="F3162" s="4561" t="n"/>
    </row>
    <row r="3163">
      <c r="A3163" s="4561" t="n"/>
      <c r="B3163" s="4561" t="n"/>
      <c r="C3163" s="4561" t="n"/>
      <c r="D3163" s="4561" t="n"/>
      <c r="E3163" s="4561" t="n"/>
      <c r="F3163" s="4561" t="n"/>
    </row>
    <row r="3164">
      <c r="A3164" s="4561" t="n"/>
      <c r="B3164" s="4561" t="n"/>
      <c r="C3164" s="4561" t="n"/>
      <c r="D3164" s="4561" t="n"/>
      <c r="E3164" s="4561" t="n"/>
      <c r="F3164" s="4561" t="n"/>
    </row>
    <row r="3165">
      <c r="A3165" s="4561" t="n"/>
      <c r="B3165" s="4561" t="n"/>
      <c r="C3165" s="4561" t="n"/>
      <c r="D3165" s="4561" t="n"/>
      <c r="E3165" s="4561" t="n"/>
      <c r="F3165" s="4561" t="n"/>
    </row>
    <row r="3166">
      <c r="A3166" s="4561" t="n"/>
      <c r="B3166" s="4561" t="n"/>
      <c r="C3166" s="4561" t="n"/>
      <c r="D3166" s="4561" t="n"/>
      <c r="E3166" s="4561" t="n"/>
      <c r="F3166" s="4561" t="n"/>
    </row>
    <row r="3167">
      <c r="A3167" s="4561" t="n"/>
      <c r="B3167" s="4561" t="n"/>
      <c r="C3167" s="4561" t="n"/>
      <c r="D3167" s="4561" t="n"/>
      <c r="E3167" s="4561" t="n"/>
      <c r="F3167" s="4561" t="n"/>
    </row>
    <row r="3168">
      <c r="A3168" s="4561" t="n"/>
      <c r="B3168" s="4561" t="n"/>
      <c r="C3168" s="4561" t="n"/>
      <c r="D3168" s="4561" t="n"/>
      <c r="E3168" s="4561" t="n"/>
      <c r="F3168" s="4561" t="n"/>
    </row>
    <row r="3169">
      <c r="A3169" s="4561" t="n"/>
      <c r="B3169" s="4561" t="n"/>
      <c r="C3169" s="4561" t="n"/>
      <c r="D3169" s="4561" t="n"/>
      <c r="E3169" s="4561" t="n"/>
      <c r="F3169" s="4561" t="n"/>
    </row>
    <row r="3170">
      <c r="A3170" s="4561" t="n"/>
      <c r="B3170" s="4561" t="n"/>
      <c r="C3170" s="4561" t="n"/>
      <c r="D3170" s="4561" t="n"/>
      <c r="E3170" s="4561" t="n"/>
      <c r="F3170" s="4561" t="n"/>
    </row>
    <row r="3171">
      <c r="A3171" s="4561" t="n"/>
      <c r="B3171" s="4561" t="n"/>
      <c r="C3171" s="4561" t="n"/>
      <c r="D3171" s="4561" t="n"/>
      <c r="E3171" s="4561" t="n"/>
      <c r="F3171" s="4561" t="n"/>
    </row>
    <row r="3172">
      <c r="A3172" s="4561" t="n"/>
      <c r="B3172" s="4561" t="n"/>
      <c r="C3172" s="4561" t="n"/>
      <c r="D3172" s="4561" t="n"/>
      <c r="E3172" s="4561" t="n"/>
      <c r="F3172" s="4561" t="n"/>
    </row>
    <row r="3173">
      <c r="A3173" s="4561" t="n"/>
      <c r="B3173" s="4561" t="n"/>
      <c r="C3173" s="4561" t="n"/>
      <c r="D3173" s="4561" t="n"/>
      <c r="E3173" s="4561" t="n"/>
      <c r="F3173" s="4561" t="n"/>
    </row>
    <row r="3174">
      <c r="A3174" s="4561" t="n"/>
      <c r="B3174" s="4561" t="n"/>
      <c r="C3174" s="4561" t="n"/>
      <c r="D3174" s="4561" t="n"/>
      <c r="E3174" s="4561" t="n"/>
      <c r="F3174" s="4561" t="n"/>
    </row>
    <row r="3175">
      <c r="A3175" s="4561" t="n"/>
      <c r="B3175" s="4561" t="n"/>
      <c r="C3175" s="4561" t="n"/>
      <c r="D3175" s="4561" t="n"/>
      <c r="E3175" s="4561" t="n"/>
      <c r="F3175" s="4561" t="n"/>
    </row>
    <row r="3176">
      <c r="A3176" s="4561" t="n"/>
      <c r="B3176" s="4561" t="n"/>
      <c r="C3176" s="4561" t="n"/>
      <c r="D3176" s="4561" t="n"/>
      <c r="E3176" s="4561" t="n"/>
      <c r="F3176" s="4561" t="n"/>
    </row>
    <row r="3177">
      <c r="A3177" s="4561" t="n"/>
      <c r="B3177" s="4561" t="n"/>
      <c r="C3177" s="4561" t="n"/>
      <c r="D3177" s="4561" t="n"/>
      <c r="E3177" s="4561" t="n"/>
      <c r="F3177" s="4561" t="n"/>
    </row>
    <row r="3178">
      <c r="A3178" s="4561" t="n"/>
      <c r="B3178" s="4561" t="n"/>
      <c r="C3178" s="4561" t="n"/>
      <c r="D3178" s="4561" t="n"/>
      <c r="E3178" s="4561" t="n"/>
      <c r="F3178" s="4561" t="n"/>
    </row>
    <row r="3179">
      <c r="A3179" s="4561" t="n"/>
      <c r="B3179" s="4561" t="n"/>
      <c r="C3179" s="4561" t="n"/>
      <c r="D3179" s="4561" t="n"/>
      <c r="E3179" s="4561" t="n"/>
      <c r="F3179" s="4561" t="n"/>
    </row>
    <row r="3180">
      <c r="A3180" s="4561" t="n"/>
      <c r="B3180" s="4561" t="n"/>
      <c r="C3180" s="4561" t="n"/>
      <c r="D3180" s="4561" t="n"/>
      <c r="E3180" s="4561" t="n"/>
      <c r="F3180" s="4561" t="n"/>
    </row>
    <row r="3181">
      <c r="A3181" s="4561" t="n"/>
      <c r="B3181" s="4561" t="n"/>
      <c r="C3181" s="4561" t="n"/>
      <c r="D3181" s="4561" t="n"/>
      <c r="E3181" s="4561" t="n"/>
      <c r="F3181" s="4561" t="n"/>
    </row>
    <row r="3182">
      <c r="A3182" s="4561" t="n"/>
      <c r="B3182" s="4561" t="n"/>
      <c r="C3182" s="4561" t="n"/>
      <c r="D3182" s="4561" t="n"/>
      <c r="E3182" s="4561" t="n"/>
      <c r="F3182" s="4561" t="n"/>
    </row>
    <row r="3183">
      <c r="A3183" s="4561" t="n"/>
      <c r="B3183" s="4561" t="n"/>
      <c r="C3183" s="4561" t="n"/>
      <c r="D3183" s="4561" t="n"/>
      <c r="E3183" s="4561" t="n"/>
      <c r="F3183" s="4561" t="n"/>
    </row>
    <row r="3184">
      <c r="A3184" s="4561" t="n"/>
      <c r="B3184" s="4561" t="n"/>
      <c r="C3184" s="4561" t="n"/>
      <c r="D3184" s="4561" t="n"/>
      <c r="E3184" s="4561" t="n"/>
      <c r="F3184" s="4561" t="n"/>
    </row>
    <row r="3185">
      <c r="A3185" s="4561" t="n"/>
      <c r="B3185" s="4561" t="n"/>
      <c r="C3185" s="4561" t="n"/>
      <c r="D3185" s="4561" t="n"/>
      <c r="E3185" s="4561" t="n"/>
      <c r="F3185" s="4561" t="n"/>
    </row>
    <row r="3186">
      <c r="A3186" s="4561" t="n"/>
      <c r="B3186" s="4561" t="n"/>
      <c r="C3186" s="4561" t="n"/>
      <c r="D3186" s="4561" t="n"/>
      <c r="E3186" s="4561" t="n"/>
      <c r="F3186" s="4561" t="n"/>
    </row>
    <row r="3187">
      <c r="A3187" s="4561" t="n"/>
      <c r="B3187" s="4561" t="n"/>
      <c r="C3187" s="4561" t="n"/>
      <c r="D3187" s="4561" t="n"/>
      <c r="E3187" s="4561" t="n"/>
      <c r="F3187" s="4561" t="n"/>
    </row>
    <row r="3188">
      <c r="A3188" s="4561" t="n"/>
      <c r="B3188" s="4561" t="n"/>
      <c r="C3188" s="4561" t="n"/>
      <c r="D3188" s="4561" t="n"/>
      <c r="E3188" s="4561" t="n"/>
      <c r="F3188" s="4561" t="n"/>
    </row>
    <row r="3189">
      <c r="A3189" s="4561" t="n"/>
      <c r="B3189" s="4561" t="n"/>
      <c r="C3189" s="4561" t="n"/>
      <c r="D3189" s="4561" t="n"/>
      <c r="E3189" s="4561" t="n"/>
      <c r="F3189" s="4561" t="n"/>
    </row>
    <row r="3190">
      <c r="A3190" s="4561" t="n"/>
      <c r="B3190" s="4561" t="n"/>
      <c r="C3190" s="4561" t="n"/>
      <c r="D3190" s="4561" t="n"/>
      <c r="E3190" s="4561" t="n"/>
      <c r="F3190" s="4561" t="n"/>
    </row>
    <row r="3191">
      <c r="A3191" s="4561" t="n"/>
      <c r="B3191" s="4561" t="n"/>
      <c r="C3191" s="4561" t="n"/>
      <c r="D3191" s="4561" t="n"/>
      <c r="E3191" s="4561" t="n"/>
      <c r="F3191" s="4561" t="n"/>
    </row>
    <row r="3192">
      <c r="A3192" s="4561" t="n"/>
      <c r="B3192" s="4561" t="n"/>
      <c r="C3192" s="4561" t="n"/>
      <c r="D3192" s="4561" t="n"/>
      <c r="E3192" s="4561" t="n"/>
      <c r="F3192" s="4561" t="n"/>
    </row>
    <row r="3193">
      <c r="A3193" s="4561" t="n"/>
      <c r="B3193" s="4561" t="n"/>
      <c r="C3193" s="4561" t="n"/>
      <c r="D3193" s="4561" t="n"/>
      <c r="E3193" s="4561" t="n"/>
      <c r="F3193" s="4561" t="n"/>
    </row>
    <row r="3194">
      <c r="A3194" s="4561" t="n"/>
      <c r="B3194" s="4561" t="n"/>
      <c r="C3194" s="4561" t="n"/>
      <c r="D3194" s="4561" t="n"/>
      <c r="E3194" s="4561" t="n"/>
      <c r="F3194" s="4561" t="n"/>
    </row>
    <row r="3195">
      <c r="A3195" s="4561" t="n"/>
      <c r="B3195" s="4561" t="n"/>
      <c r="C3195" s="4561" t="n"/>
      <c r="D3195" s="4561" t="n"/>
      <c r="E3195" s="4561" t="n"/>
      <c r="F3195" s="4561" t="n"/>
    </row>
    <row r="3196">
      <c r="A3196" s="4561" t="n"/>
      <c r="B3196" s="4561" t="n"/>
      <c r="C3196" s="4561" t="n"/>
      <c r="D3196" s="4561" t="n"/>
      <c r="E3196" s="4561" t="n"/>
      <c r="F3196" s="4561" t="n"/>
    </row>
    <row r="3197">
      <c r="A3197" s="4561" t="n"/>
      <c r="B3197" s="4561" t="n"/>
      <c r="C3197" s="4561" t="n"/>
      <c r="D3197" s="4561" t="n"/>
      <c r="E3197" s="4561" t="n"/>
      <c r="F3197" s="4561" t="n"/>
    </row>
    <row r="3198">
      <c r="A3198" s="4561" t="n"/>
      <c r="B3198" s="4561" t="n"/>
      <c r="C3198" s="4561" t="n"/>
      <c r="D3198" s="4561" t="n"/>
      <c r="E3198" s="4561" t="n"/>
      <c r="F3198" s="4561" t="n"/>
    </row>
    <row r="3199">
      <c r="A3199" s="4561" t="n"/>
      <c r="B3199" s="4561" t="n"/>
      <c r="C3199" s="4561" t="n"/>
      <c r="D3199" s="4561" t="n"/>
      <c r="E3199" s="4561" t="n"/>
      <c r="F3199" s="4561" t="n"/>
    </row>
    <row r="3200">
      <c r="A3200" s="4561" t="n"/>
      <c r="B3200" s="4561" t="n"/>
      <c r="C3200" s="4561" t="n"/>
      <c r="D3200" s="4561" t="n"/>
      <c r="E3200" s="4561" t="n"/>
      <c r="F3200" s="4561" t="n"/>
    </row>
    <row r="3201">
      <c r="A3201" s="4561" t="n"/>
      <c r="B3201" s="4561" t="n"/>
      <c r="C3201" s="4561" t="n"/>
      <c r="D3201" s="4561" t="n"/>
      <c r="E3201" s="4561" t="n"/>
      <c r="F3201" s="4561" t="n"/>
    </row>
    <row r="3202">
      <c r="A3202" s="4561" t="n"/>
      <c r="B3202" s="4561" t="n"/>
      <c r="C3202" s="4561" t="n"/>
      <c r="D3202" s="4561" t="n"/>
      <c r="E3202" s="4561" t="n"/>
      <c r="F3202" s="4561" t="n"/>
    </row>
    <row r="3203">
      <c r="A3203" s="4561" t="n"/>
      <c r="B3203" s="4561" t="n"/>
      <c r="C3203" s="4561" t="n"/>
      <c r="D3203" s="4561" t="n"/>
      <c r="E3203" s="4561" t="n"/>
      <c r="F3203" s="4561" t="n"/>
    </row>
    <row r="3204">
      <c r="A3204" s="4561" t="n"/>
      <c r="B3204" s="4561" t="n"/>
      <c r="C3204" s="4561" t="n"/>
      <c r="D3204" s="4561" t="n"/>
      <c r="E3204" s="4561" t="n"/>
      <c r="F3204" s="4561" t="n"/>
    </row>
    <row r="3205">
      <c r="A3205" s="4561" t="n"/>
      <c r="B3205" s="4561" t="n"/>
      <c r="C3205" s="4561" t="n"/>
      <c r="D3205" s="4561" t="n"/>
      <c r="E3205" s="4561" t="n"/>
      <c r="F3205" s="4561" t="n"/>
    </row>
    <row r="3206">
      <c r="A3206" s="4561" t="n"/>
      <c r="B3206" s="4561" t="n"/>
      <c r="C3206" s="4561" t="n"/>
      <c r="D3206" s="4561" t="n"/>
      <c r="E3206" s="4561" t="n"/>
      <c r="F3206" s="4561" t="n"/>
    </row>
    <row r="3207">
      <c r="A3207" s="4561" t="n"/>
      <c r="B3207" s="4561" t="n"/>
      <c r="C3207" s="4561" t="n"/>
      <c r="D3207" s="4561" t="n"/>
      <c r="E3207" s="4561" t="n"/>
      <c r="F3207" s="4561" t="n"/>
    </row>
    <row r="3208">
      <c r="A3208" s="4561" t="n"/>
      <c r="B3208" s="4561" t="n"/>
      <c r="C3208" s="4561" t="n"/>
      <c r="D3208" s="4561" t="n"/>
      <c r="E3208" s="4561" t="n"/>
      <c r="F3208" s="4561" t="n"/>
    </row>
    <row r="3209">
      <c r="A3209" s="4561" t="n"/>
      <c r="B3209" s="4561" t="n"/>
      <c r="C3209" s="4561" t="n"/>
      <c r="D3209" s="4561" t="n"/>
      <c r="E3209" s="4561" t="n"/>
      <c r="F3209" s="4561" t="n"/>
    </row>
    <row r="3210">
      <c r="A3210" s="4561" t="n"/>
      <c r="B3210" s="4561" t="n"/>
      <c r="C3210" s="4561" t="n"/>
      <c r="D3210" s="4561" t="n"/>
      <c r="E3210" s="4561" t="n"/>
      <c r="F3210" s="4561" t="n"/>
    </row>
    <row r="3211">
      <c r="A3211" s="4561" t="n"/>
      <c r="B3211" s="4561" t="n"/>
      <c r="C3211" s="4561" t="n"/>
      <c r="D3211" s="4561" t="n"/>
      <c r="E3211" s="4561" t="n"/>
      <c r="F3211" s="4561" t="n"/>
    </row>
    <row r="3212">
      <c r="A3212" s="4561" t="n"/>
      <c r="B3212" s="4561" t="n"/>
      <c r="C3212" s="4561" t="n"/>
      <c r="D3212" s="4561" t="n"/>
      <c r="E3212" s="4561" t="n"/>
      <c r="F3212" s="4561" t="n"/>
    </row>
    <row r="3213">
      <c r="A3213" s="4561" t="n"/>
      <c r="B3213" s="4561" t="n"/>
      <c r="C3213" s="4561" t="n"/>
      <c r="D3213" s="4561" t="n"/>
      <c r="E3213" s="4561" t="n"/>
      <c r="F3213" s="4561" t="n"/>
    </row>
    <row r="3214">
      <c r="A3214" s="4561" t="n"/>
      <c r="B3214" s="4561" t="n"/>
      <c r="C3214" s="4561" t="n"/>
      <c r="D3214" s="4561" t="n"/>
      <c r="E3214" s="4561" t="n"/>
      <c r="F3214" s="4561" t="n"/>
    </row>
    <row r="3215">
      <c r="A3215" s="4561" t="n"/>
      <c r="B3215" s="4561" t="n"/>
      <c r="C3215" s="4561" t="n"/>
      <c r="D3215" s="4561" t="n"/>
      <c r="E3215" s="4561" t="n"/>
      <c r="F3215" s="4561" t="n"/>
    </row>
    <row r="3216">
      <c r="A3216" s="4561" t="n"/>
      <c r="B3216" s="4561" t="n"/>
      <c r="C3216" s="4561" t="n"/>
      <c r="D3216" s="4561" t="n"/>
      <c r="E3216" s="4561" t="n"/>
      <c r="F3216" s="4561" t="n"/>
    </row>
    <row r="3217">
      <c r="A3217" s="4561" t="n"/>
      <c r="B3217" s="4561" t="n"/>
      <c r="C3217" s="4561" t="n"/>
      <c r="D3217" s="4561" t="n"/>
      <c r="E3217" s="4561" t="n"/>
      <c r="F3217" s="4561" t="n"/>
    </row>
    <row r="3218">
      <c r="A3218" s="4561" t="n"/>
      <c r="B3218" s="4561" t="n"/>
      <c r="C3218" s="4561" t="n"/>
      <c r="D3218" s="4561" t="n"/>
      <c r="E3218" s="4561" t="n"/>
      <c r="F3218" s="4561" t="n"/>
    </row>
    <row r="3219">
      <c r="A3219" s="4561" t="n"/>
      <c r="B3219" s="4561" t="n"/>
      <c r="C3219" s="4561" t="n"/>
      <c r="D3219" s="4561" t="n"/>
      <c r="E3219" s="4561" t="n"/>
      <c r="F3219" s="4561" t="n"/>
    </row>
    <row r="3220">
      <c r="A3220" s="4561" t="n"/>
      <c r="B3220" s="4561" t="n"/>
      <c r="C3220" s="4561" t="n"/>
      <c r="D3220" s="4561" t="n"/>
      <c r="E3220" s="4561" t="n"/>
      <c r="F3220" s="4561" t="n"/>
    </row>
    <row r="3221">
      <c r="A3221" s="4561" t="n"/>
      <c r="B3221" s="4561" t="n"/>
      <c r="C3221" s="4561" t="n"/>
      <c r="D3221" s="4561" t="n"/>
      <c r="E3221" s="4561" t="n"/>
      <c r="F3221" s="4561" t="n"/>
    </row>
    <row r="3222">
      <c r="A3222" s="4561" t="n"/>
      <c r="B3222" s="4561" t="n"/>
      <c r="C3222" s="4561" t="n"/>
      <c r="D3222" s="4561" t="n"/>
      <c r="E3222" s="4561" t="n"/>
      <c r="F3222" s="4561" t="n"/>
    </row>
    <row r="3223">
      <c r="A3223" s="4561" t="n"/>
      <c r="B3223" s="4561" t="n"/>
      <c r="C3223" s="4561" t="n"/>
      <c r="D3223" s="4561" t="n"/>
      <c r="E3223" s="4561" t="n"/>
      <c r="F3223" s="4561" t="n"/>
    </row>
    <row r="3224">
      <c r="A3224" s="4561" t="n"/>
      <c r="B3224" s="4561" t="n"/>
      <c r="C3224" s="4561" t="n"/>
      <c r="D3224" s="4561" t="n"/>
      <c r="E3224" s="4561" t="n"/>
      <c r="F3224" s="4561" t="n"/>
    </row>
    <row r="3225">
      <c r="A3225" s="4561" t="n"/>
      <c r="B3225" s="4561" t="n"/>
      <c r="C3225" s="4561" t="n"/>
      <c r="D3225" s="4561" t="n"/>
      <c r="E3225" s="4561" t="n"/>
      <c r="F3225" s="4561" t="n"/>
    </row>
    <row r="3226">
      <c r="A3226" s="4561" t="n"/>
      <c r="B3226" s="4561" t="n"/>
      <c r="C3226" s="4561" t="n"/>
      <c r="D3226" s="4561" t="n"/>
      <c r="E3226" s="4561" t="n"/>
      <c r="F3226" s="4561" t="n"/>
    </row>
    <row r="3227">
      <c r="A3227" s="4561" t="n"/>
      <c r="B3227" s="4561" t="n"/>
      <c r="C3227" s="4561" t="n"/>
      <c r="D3227" s="4561" t="n"/>
      <c r="E3227" s="4561" t="n"/>
      <c r="F3227" s="4561" t="n"/>
    </row>
    <row r="3228">
      <c r="A3228" s="4561" t="n"/>
      <c r="B3228" s="4561" t="n"/>
      <c r="C3228" s="4561" t="n"/>
      <c r="D3228" s="4561" t="n"/>
      <c r="E3228" s="4561" t="n"/>
      <c r="F3228" s="4561" t="n"/>
    </row>
    <row r="3229">
      <c r="A3229" s="4561" t="n"/>
      <c r="B3229" s="4561" t="n"/>
      <c r="C3229" s="4561" t="n"/>
      <c r="D3229" s="4561" t="n"/>
      <c r="E3229" s="4561" t="n"/>
      <c r="F3229" s="4561" t="n"/>
    </row>
    <row r="3230">
      <c r="A3230" s="4561" t="n"/>
      <c r="B3230" s="4561" t="n"/>
      <c r="C3230" s="4561" t="n"/>
      <c r="D3230" s="4561" t="n"/>
      <c r="E3230" s="4561" t="n"/>
      <c r="F3230" s="4561" t="n"/>
    </row>
    <row r="3231">
      <c r="A3231" s="4561" t="n"/>
      <c r="B3231" s="4561" t="n"/>
      <c r="C3231" s="4561" t="n"/>
      <c r="D3231" s="4561" t="n"/>
      <c r="E3231" s="4561" t="n"/>
      <c r="F3231" s="4561" t="n"/>
    </row>
    <row r="3232">
      <c r="A3232" s="4561" t="n"/>
      <c r="B3232" s="4561" t="n"/>
      <c r="C3232" s="4561" t="n"/>
      <c r="D3232" s="4561" t="n"/>
      <c r="E3232" s="4561" t="n"/>
      <c r="F3232" s="4561" t="n"/>
    </row>
    <row r="3233">
      <c r="A3233" s="4561" t="n"/>
      <c r="B3233" s="4561" t="n"/>
      <c r="C3233" s="4561" t="n"/>
      <c r="D3233" s="4561" t="n"/>
      <c r="E3233" s="4561" t="n"/>
      <c r="F3233" s="4561" t="n"/>
    </row>
    <row r="3234">
      <c r="A3234" s="4561" t="n"/>
      <c r="B3234" s="4561" t="n"/>
      <c r="C3234" s="4561" t="n"/>
      <c r="D3234" s="4561" t="n"/>
      <c r="E3234" s="4561" t="n"/>
      <c r="F3234" s="4561" t="n"/>
    </row>
    <row r="3235">
      <c r="A3235" s="4561" t="n"/>
      <c r="B3235" s="4561" t="n"/>
      <c r="C3235" s="4561" t="n"/>
      <c r="D3235" s="4561" t="n"/>
      <c r="E3235" s="4561" t="n"/>
      <c r="F3235" s="4561" t="n"/>
    </row>
    <row r="3236">
      <c r="A3236" s="4561" t="n"/>
      <c r="B3236" s="4561" t="n"/>
      <c r="C3236" s="4561" t="n"/>
      <c r="D3236" s="4561" t="n"/>
      <c r="E3236" s="4561" t="n"/>
      <c r="F3236" s="4561" t="n"/>
    </row>
    <row r="3237">
      <c r="A3237" s="4561" t="n"/>
      <c r="B3237" s="4561" t="n"/>
      <c r="C3237" s="4561" t="n"/>
      <c r="D3237" s="4561" t="n"/>
      <c r="E3237" s="4561" t="n"/>
      <c r="F3237" s="4561" t="n"/>
    </row>
    <row r="3238">
      <c r="A3238" s="4561" t="n"/>
      <c r="B3238" s="4561" t="n"/>
      <c r="C3238" s="4561" t="n"/>
      <c r="D3238" s="4561" t="n"/>
      <c r="E3238" s="4561" t="n"/>
      <c r="F3238" s="4561" t="n"/>
    </row>
    <row r="3239">
      <c r="A3239" s="4561" t="n"/>
      <c r="B3239" s="4561" t="n"/>
      <c r="C3239" s="4561" t="n"/>
      <c r="D3239" s="4561" t="n"/>
      <c r="E3239" s="4561" t="n"/>
      <c r="F3239" s="4561" t="n"/>
    </row>
    <row r="3240">
      <c r="A3240" s="4561" t="n"/>
      <c r="B3240" s="4561" t="n"/>
      <c r="C3240" s="4561" t="n"/>
      <c r="D3240" s="4561" t="n"/>
      <c r="E3240" s="4561" t="n"/>
      <c r="F3240" s="4561" t="n"/>
    </row>
    <row r="3241">
      <c r="A3241" s="4561" t="n"/>
      <c r="B3241" s="4561" t="n"/>
      <c r="C3241" s="4561" t="n"/>
      <c r="D3241" s="4561" t="n"/>
      <c r="E3241" s="4561" t="n"/>
      <c r="F3241" s="4561" t="n"/>
    </row>
    <row r="3242">
      <c r="A3242" s="4561" t="n"/>
      <c r="B3242" s="4561" t="n"/>
      <c r="C3242" s="4561" t="n"/>
      <c r="D3242" s="4561" t="n"/>
      <c r="E3242" s="4561" t="n"/>
      <c r="F3242" s="4561" t="n"/>
    </row>
    <row r="3243">
      <c r="A3243" s="4561" t="n"/>
      <c r="B3243" s="4561" t="n"/>
      <c r="C3243" s="4561" t="n"/>
      <c r="D3243" s="4561" t="n"/>
      <c r="E3243" s="4561" t="n"/>
      <c r="F3243" s="4561" t="n"/>
    </row>
    <row r="3244">
      <c r="A3244" s="4561" t="n"/>
      <c r="B3244" s="4561" t="n"/>
      <c r="C3244" s="4561" t="n"/>
      <c r="D3244" s="4561" t="n"/>
      <c r="E3244" s="4561" t="n"/>
      <c r="F3244" s="4561" t="n"/>
    </row>
    <row r="3245">
      <c r="A3245" s="4561" t="n"/>
      <c r="B3245" s="4561" t="n"/>
      <c r="C3245" s="4561" t="n"/>
      <c r="D3245" s="4561" t="n"/>
      <c r="E3245" s="4561" t="n"/>
      <c r="F3245" s="4561" t="n"/>
    </row>
    <row r="3246">
      <c r="A3246" s="4561" t="n"/>
      <c r="B3246" s="4561" t="n"/>
      <c r="C3246" s="4561" t="n"/>
      <c r="D3246" s="4561" t="n"/>
      <c r="E3246" s="4561" t="n"/>
      <c r="F3246" s="4561" t="n"/>
    </row>
    <row r="3247">
      <c r="A3247" s="4561" t="n"/>
      <c r="B3247" s="4561" t="n"/>
      <c r="C3247" s="4561" t="n"/>
      <c r="D3247" s="4561" t="n"/>
      <c r="E3247" s="4561" t="n"/>
      <c r="F3247" s="4561" t="n"/>
    </row>
    <row r="3248">
      <c r="A3248" s="4561" t="n"/>
      <c r="B3248" s="4561" t="n"/>
      <c r="C3248" s="4561" t="n"/>
      <c r="D3248" s="4561" t="n"/>
      <c r="E3248" s="4561" t="n"/>
      <c r="F3248" s="4561" t="n"/>
    </row>
    <row r="3249">
      <c r="A3249" s="4561" t="n"/>
      <c r="B3249" s="4561" t="n"/>
      <c r="C3249" s="4561" t="n"/>
      <c r="D3249" s="4561" t="n"/>
      <c r="E3249" s="4561" t="n"/>
      <c r="F3249" s="4561" t="n"/>
    </row>
    <row r="3250">
      <c r="A3250" s="4561" t="n"/>
      <c r="B3250" s="4561" t="n"/>
      <c r="C3250" s="4561" t="n"/>
      <c r="D3250" s="4561" t="n"/>
      <c r="E3250" s="4561" t="n"/>
      <c r="F3250" s="4561" t="n"/>
    </row>
    <row r="3251">
      <c r="A3251" s="4561" t="n"/>
      <c r="B3251" s="4561" t="n"/>
      <c r="C3251" s="4561" t="n"/>
      <c r="D3251" s="4561" t="n"/>
      <c r="E3251" s="4561" t="n"/>
      <c r="F3251" s="4561" t="n"/>
    </row>
    <row r="3252">
      <c r="A3252" s="4561" t="n"/>
      <c r="B3252" s="4561" t="n"/>
      <c r="C3252" s="4561" t="n"/>
      <c r="D3252" s="4561" t="n"/>
      <c r="E3252" s="4561" t="n"/>
      <c r="F3252" s="4561" t="n"/>
    </row>
    <row r="3253">
      <c r="A3253" s="4561" t="n"/>
      <c r="B3253" s="4561" t="n"/>
      <c r="C3253" s="4561" t="n"/>
      <c r="D3253" s="4561" t="n"/>
      <c r="E3253" s="4561" t="n"/>
      <c r="F3253" s="4561" t="n"/>
    </row>
    <row r="3254">
      <c r="A3254" s="4561" t="n"/>
      <c r="B3254" s="4561" t="n"/>
      <c r="C3254" s="4561" t="n"/>
      <c r="D3254" s="4561" t="n"/>
      <c r="E3254" s="4561" t="n"/>
      <c r="F3254" s="4561" t="n"/>
    </row>
    <row r="3255">
      <c r="A3255" s="4561" t="n"/>
      <c r="B3255" s="4561" t="n"/>
      <c r="C3255" s="4561" t="n"/>
      <c r="D3255" s="4561" t="n"/>
      <c r="E3255" s="4561" t="n"/>
      <c r="F3255" s="4561" t="n"/>
    </row>
    <row r="3256">
      <c r="A3256" s="4561" t="n"/>
      <c r="B3256" s="4561" t="n"/>
      <c r="C3256" s="4561" t="n"/>
      <c r="D3256" s="4561" t="n"/>
      <c r="E3256" s="4561" t="n"/>
      <c r="F3256" s="4561" t="n"/>
    </row>
    <row r="3257">
      <c r="A3257" s="4561" t="n"/>
      <c r="B3257" s="4561" t="n"/>
      <c r="C3257" s="4561" t="n"/>
      <c r="D3257" s="4561" t="n"/>
      <c r="E3257" s="4561" t="n"/>
      <c r="F3257" s="4561" t="n"/>
    </row>
    <row r="3258">
      <c r="A3258" s="4561" t="n"/>
      <c r="B3258" s="4561" t="n"/>
      <c r="C3258" s="4561" t="n"/>
      <c r="D3258" s="4561" t="n"/>
      <c r="E3258" s="4561" t="n"/>
      <c r="F3258" s="4561" t="n"/>
    </row>
    <row r="3259">
      <c r="A3259" s="4561" t="n"/>
      <c r="B3259" s="4561" t="n"/>
      <c r="C3259" s="4561" t="n"/>
      <c r="D3259" s="4561" t="n"/>
      <c r="E3259" s="4561" t="n"/>
      <c r="F3259" s="4561" t="n"/>
    </row>
    <row r="3260">
      <c r="A3260" s="4561" t="n"/>
      <c r="B3260" s="4561" t="n"/>
      <c r="C3260" s="4561" t="n"/>
      <c r="D3260" s="4561" t="n"/>
      <c r="E3260" s="4561" t="n"/>
      <c r="F3260" s="4561" t="n"/>
    </row>
    <row r="3261">
      <c r="A3261" s="4561" t="n"/>
      <c r="B3261" s="4561" t="n"/>
      <c r="C3261" s="4561" t="n"/>
      <c r="D3261" s="4561" t="n"/>
      <c r="E3261" s="4561" t="n"/>
      <c r="F3261" s="4561" t="n"/>
    </row>
    <row r="3262">
      <c r="A3262" s="4561" t="n"/>
      <c r="B3262" s="4561" t="n"/>
      <c r="C3262" s="4561" t="n"/>
      <c r="D3262" s="4561" t="n"/>
      <c r="E3262" s="4561" t="n"/>
      <c r="F3262" s="4561" t="n"/>
    </row>
    <row r="3263">
      <c r="A3263" s="4561" t="n"/>
      <c r="B3263" s="4561" t="n"/>
      <c r="C3263" s="4561" t="n"/>
      <c r="D3263" s="4561" t="n"/>
      <c r="E3263" s="4561" t="n"/>
      <c r="F3263" s="4561" t="n"/>
    </row>
    <row r="3264">
      <c r="A3264" s="4561" t="n"/>
      <c r="B3264" s="4561" t="n"/>
      <c r="C3264" s="4561" t="n"/>
      <c r="D3264" s="4561" t="n"/>
      <c r="E3264" s="4561" t="n"/>
      <c r="F3264" s="4561" t="n"/>
    </row>
    <row r="3265">
      <c r="A3265" s="4561" t="n"/>
      <c r="B3265" s="4561" t="n"/>
      <c r="C3265" s="4561" t="n"/>
      <c r="D3265" s="4561" t="n"/>
      <c r="E3265" s="4561" t="n"/>
      <c r="F3265" s="4561" t="n"/>
    </row>
    <row r="3266">
      <c r="A3266" s="4561" t="n"/>
      <c r="B3266" s="4561" t="n"/>
      <c r="C3266" s="4561" t="n"/>
      <c r="D3266" s="4561" t="n"/>
      <c r="E3266" s="4561" t="n"/>
      <c r="F3266" s="4561" t="n"/>
    </row>
    <row r="3267">
      <c r="A3267" s="4561" t="n"/>
      <c r="B3267" s="4561" t="n"/>
      <c r="C3267" s="4561" t="n"/>
      <c r="D3267" s="4561" t="n"/>
      <c r="E3267" s="4561" t="n"/>
      <c r="F3267" s="4561" t="n"/>
    </row>
    <row r="3268">
      <c r="A3268" s="4561" t="n"/>
      <c r="B3268" s="4561" t="n"/>
      <c r="C3268" s="4561" t="n"/>
      <c r="D3268" s="4561" t="n"/>
      <c r="E3268" s="4561" t="n"/>
      <c r="F3268" s="4561" t="n"/>
    </row>
    <row r="3269">
      <c r="A3269" s="4561" t="n"/>
      <c r="B3269" s="4561" t="n"/>
      <c r="C3269" s="4561" t="n"/>
      <c r="D3269" s="4561" t="n"/>
      <c r="E3269" s="4561" t="n"/>
      <c r="F3269" s="4561" t="n"/>
    </row>
    <row r="3270">
      <c r="A3270" s="4561" t="n"/>
      <c r="B3270" s="4561" t="n"/>
      <c r="C3270" s="4561" t="n"/>
      <c r="D3270" s="4561" t="n"/>
      <c r="E3270" s="4561" t="n"/>
      <c r="F3270" s="4561" t="n"/>
    </row>
    <row r="3271">
      <c r="A3271" s="4561" t="n"/>
      <c r="B3271" s="4561" t="n"/>
      <c r="C3271" s="4561" t="n"/>
      <c r="D3271" s="4561" t="n"/>
      <c r="E3271" s="4561" t="n"/>
      <c r="F3271" s="4561" t="n"/>
    </row>
    <row r="3272">
      <c r="A3272" s="4561" t="n"/>
      <c r="B3272" s="4561" t="n"/>
      <c r="C3272" s="4561" t="n"/>
      <c r="D3272" s="4561" t="n"/>
      <c r="E3272" s="4561" t="n"/>
      <c r="F3272" s="4561" t="n"/>
    </row>
    <row r="3273">
      <c r="A3273" s="4561" t="n"/>
      <c r="B3273" s="4561" t="n"/>
      <c r="C3273" s="4561" t="n"/>
      <c r="D3273" s="4561" t="n"/>
      <c r="E3273" s="4561" t="n"/>
      <c r="F3273" s="4561" t="n"/>
    </row>
    <row r="3274">
      <c r="A3274" s="4561" t="n"/>
      <c r="B3274" s="4561" t="n"/>
      <c r="C3274" s="4561" t="n"/>
      <c r="D3274" s="4561" t="n"/>
      <c r="E3274" s="4561" t="n"/>
      <c r="F3274" s="4561" t="n"/>
    </row>
    <row r="3275">
      <c r="A3275" s="4561" t="n"/>
      <c r="B3275" s="4561" t="n"/>
      <c r="C3275" s="4561" t="n"/>
      <c r="D3275" s="4561" t="n"/>
      <c r="E3275" s="4561" t="n"/>
      <c r="F3275" s="4561" t="n"/>
    </row>
    <row r="3276">
      <c r="A3276" s="4561" t="n"/>
      <c r="B3276" s="4561" t="n"/>
      <c r="C3276" s="4561" t="n"/>
      <c r="D3276" s="4561" t="n"/>
      <c r="E3276" s="4561" t="n"/>
      <c r="F3276" s="4561" t="n"/>
    </row>
    <row r="3277">
      <c r="A3277" s="4561" t="n"/>
      <c r="B3277" s="4561" t="n"/>
      <c r="C3277" s="4561" t="n"/>
      <c r="D3277" s="4561" t="n"/>
      <c r="E3277" s="4561" t="n"/>
      <c r="F3277" s="4561" t="n"/>
    </row>
    <row r="3278">
      <c r="A3278" s="4561" t="n"/>
      <c r="B3278" s="4561" t="n"/>
      <c r="C3278" s="4561" t="n"/>
      <c r="D3278" s="4561" t="n"/>
      <c r="E3278" s="4561" t="n"/>
      <c r="F3278" s="4561" t="n"/>
    </row>
    <row r="3279">
      <c r="A3279" s="4561" t="n"/>
      <c r="B3279" s="4561" t="n"/>
      <c r="C3279" s="4561" t="n"/>
      <c r="D3279" s="4561" t="n"/>
      <c r="E3279" s="4561" t="n"/>
      <c r="F3279" s="4561" t="n"/>
    </row>
    <row r="3280">
      <c r="A3280" s="4561" t="n"/>
      <c r="B3280" s="4561" t="n"/>
      <c r="C3280" s="4561" t="n"/>
      <c r="D3280" s="4561" t="n"/>
      <c r="E3280" s="4561" t="n"/>
      <c r="F3280" s="4561" t="n"/>
    </row>
    <row r="3281">
      <c r="A3281" s="4561" t="n"/>
      <c r="B3281" s="4561" t="n"/>
      <c r="C3281" s="4561" t="n"/>
      <c r="D3281" s="4561" t="n"/>
      <c r="E3281" s="4561" t="n"/>
      <c r="F3281" s="4561" t="n"/>
    </row>
    <row r="3282">
      <c r="A3282" s="4561" t="n"/>
      <c r="B3282" s="4561" t="n"/>
      <c r="C3282" s="4561" t="n"/>
      <c r="D3282" s="4561" t="n"/>
      <c r="E3282" s="4561" t="n"/>
      <c r="F3282" s="4561" t="n"/>
    </row>
    <row r="3283">
      <c r="A3283" s="4561" t="n"/>
      <c r="B3283" s="4561" t="n"/>
      <c r="C3283" s="4561" t="n"/>
      <c r="D3283" s="4561" t="n"/>
      <c r="E3283" s="4561" t="n"/>
      <c r="F3283" s="4561" t="n"/>
    </row>
    <row r="3284">
      <c r="A3284" s="4561" t="n"/>
      <c r="B3284" s="4561" t="n"/>
      <c r="C3284" s="4561" t="n"/>
      <c r="D3284" s="4561" t="n"/>
      <c r="E3284" s="4561" t="n"/>
      <c r="F3284" s="4561" t="n"/>
    </row>
    <row r="3285">
      <c r="A3285" s="4561" t="n"/>
      <c r="B3285" s="4561" t="n"/>
      <c r="C3285" s="4561" t="n"/>
      <c r="D3285" s="4561" t="n"/>
      <c r="E3285" s="4561" t="n"/>
      <c r="F3285" s="4561" t="n"/>
    </row>
    <row r="3286">
      <c r="A3286" s="4561" t="n"/>
      <c r="B3286" s="4561" t="n"/>
      <c r="C3286" s="4561" t="n"/>
      <c r="D3286" s="4561" t="n"/>
      <c r="E3286" s="4561" t="n"/>
      <c r="F3286" s="4561" t="n"/>
    </row>
    <row r="3287">
      <c r="A3287" s="4561" t="n"/>
      <c r="B3287" s="4561" t="n"/>
      <c r="C3287" s="4561" t="n"/>
      <c r="D3287" s="4561" t="n"/>
      <c r="E3287" s="4561" t="n"/>
      <c r="F3287" s="4561" t="n"/>
    </row>
    <row r="3288">
      <c r="A3288" s="4561" t="n"/>
      <c r="B3288" s="4561" t="n"/>
      <c r="C3288" s="4561" t="n"/>
      <c r="D3288" s="4561" t="n"/>
      <c r="E3288" s="4561" t="n"/>
      <c r="F3288" s="4561" t="n"/>
    </row>
    <row r="3289">
      <c r="A3289" s="4561" t="n"/>
      <c r="B3289" s="4561" t="n"/>
      <c r="C3289" s="4561" t="n"/>
      <c r="D3289" s="4561" t="n"/>
      <c r="E3289" s="4561" t="n"/>
      <c r="F3289" s="4561" t="n"/>
    </row>
    <row r="3290">
      <c r="A3290" s="4561" t="n"/>
      <c r="B3290" s="4561" t="n"/>
      <c r="C3290" s="4561" t="n"/>
      <c r="D3290" s="4561" t="n"/>
      <c r="E3290" s="4561" t="n"/>
      <c r="F3290" s="4561" t="n"/>
    </row>
    <row r="3291">
      <c r="A3291" s="4561" t="n"/>
      <c r="B3291" s="4561" t="n"/>
      <c r="C3291" s="4561" t="n"/>
      <c r="D3291" s="4561" t="n"/>
      <c r="E3291" s="4561" t="n"/>
      <c r="F3291" s="4561" t="n"/>
    </row>
    <row r="3292">
      <c r="A3292" s="4561" t="n"/>
      <c r="B3292" s="4561" t="n"/>
      <c r="C3292" s="4561" t="n"/>
      <c r="D3292" s="4561" t="n"/>
      <c r="E3292" s="4561" t="n"/>
      <c r="F3292" s="4561" t="n"/>
    </row>
    <row r="3293">
      <c r="A3293" s="4561" t="n"/>
      <c r="B3293" s="4561" t="n"/>
      <c r="C3293" s="4561" t="n"/>
      <c r="D3293" s="4561" t="n"/>
      <c r="E3293" s="4561" t="n"/>
      <c r="F3293" s="4561" t="n"/>
    </row>
    <row r="3294">
      <c r="A3294" s="4561" t="n"/>
      <c r="B3294" s="4561" t="n"/>
      <c r="C3294" s="4561" t="n"/>
      <c r="D3294" s="4561" t="n"/>
      <c r="E3294" s="4561" t="n"/>
      <c r="F3294" s="4561" t="n"/>
    </row>
    <row r="3295">
      <c r="A3295" s="4561" t="n"/>
      <c r="B3295" s="4561" t="n"/>
      <c r="C3295" s="4561" t="n"/>
      <c r="D3295" s="4561" t="n"/>
      <c r="E3295" s="4561" t="n"/>
      <c r="F3295" s="4561" t="n"/>
    </row>
    <row r="3296">
      <c r="A3296" s="4561" t="n"/>
      <c r="B3296" s="4561" t="n"/>
      <c r="C3296" s="4561" t="n"/>
      <c r="D3296" s="4561" t="n"/>
      <c r="E3296" s="4561" t="n"/>
      <c r="F3296" s="4561" t="n"/>
    </row>
    <row r="3297">
      <c r="A3297" s="4561" t="n"/>
      <c r="B3297" s="4561" t="n"/>
      <c r="C3297" s="4561" t="n"/>
      <c r="D3297" s="4561" t="n"/>
      <c r="E3297" s="4561" t="n"/>
      <c r="F3297" s="4561" t="n"/>
    </row>
    <row r="3298">
      <c r="A3298" s="4561" t="n"/>
      <c r="B3298" s="4561" t="n"/>
      <c r="C3298" s="4561" t="n"/>
      <c r="D3298" s="4561" t="n"/>
      <c r="E3298" s="4561" t="n"/>
      <c r="F3298" s="4561" t="n"/>
    </row>
    <row r="3299">
      <c r="A3299" s="4561" t="n"/>
      <c r="B3299" s="4561" t="n"/>
      <c r="C3299" s="4561" t="n"/>
      <c r="D3299" s="4561" t="n"/>
      <c r="E3299" s="4561" t="n"/>
      <c r="F3299" s="4561" t="n"/>
    </row>
    <row r="3300">
      <c r="A3300" s="4561" t="n"/>
      <c r="B3300" s="4561" t="n"/>
      <c r="C3300" s="4561" t="n"/>
      <c r="D3300" s="4561" t="n"/>
      <c r="E3300" s="4561" t="n"/>
      <c r="F3300" s="4561" t="n"/>
    </row>
    <row r="3301">
      <c r="A3301" s="4561" t="n"/>
      <c r="B3301" s="4561" t="n"/>
      <c r="C3301" s="4561" t="n"/>
      <c r="D3301" s="4561" t="n"/>
      <c r="E3301" s="4561" t="n"/>
      <c r="F3301" s="4561" t="n"/>
    </row>
    <row r="3302">
      <c r="A3302" s="4561" t="n"/>
      <c r="B3302" s="4561" t="n"/>
      <c r="C3302" s="4561" t="n"/>
      <c r="D3302" s="4561" t="n"/>
      <c r="E3302" s="4561" t="n"/>
      <c r="F3302" s="4561" t="n"/>
    </row>
    <row r="3303">
      <c r="A3303" s="4561" t="n"/>
      <c r="B3303" s="4561" t="n"/>
      <c r="C3303" s="4561" t="n"/>
      <c r="D3303" s="4561" t="n"/>
      <c r="E3303" s="4561" t="n"/>
      <c r="F3303" s="4561" t="n"/>
    </row>
    <row r="3304">
      <c r="A3304" s="4561" t="n"/>
      <c r="B3304" s="4561" t="n"/>
      <c r="C3304" s="4561" t="n"/>
      <c r="D3304" s="4561" t="n"/>
      <c r="E3304" s="4561" t="n"/>
      <c r="F3304" s="4561" t="n"/>
    </row>
    <row r="3305">
      <c r="A3305" s="4561" t="n"/>
      <c r="B3305" s="4561" t="n"/>
      <c r="C3305" s="4561" t="n"/>
      <c r="D3305" s="4561" t="n"/>
      <c r="E3305" s="4561" t="n"/>
      <c r="F3305" s="4561" t="n"/>
    </row>
    <row r="3306">
      <c r="A3306" s="4561" t="n"/>
      <c r="B3306" s="4561" t="n"/>
      <c r="C3306" s="4561" t="n"/>
      <c r="D3306" s="4561" t="n"/>
      <c r="E3306" s="4561" t="n"/>
      <c r="F3306" s="4561" t="n"/>
    </row>
    <row r="3307">
      <c r="A3307" s="4561" t="n"/>
      <c r="B3307" s="4561" t="n"/>
      <c r="C3307" s="4561" t="n"/>
      <c r="D3307" s="4561" t="n"/>
      <c r="E3307" s="4561" t="n"/>
      <c r="F3307" s="4561" t="n"/>
    </row>
    <row r="3308">
      <c r="A3308" s="4561" t="n"/>
      <c r="B3308" s="4561" t="n"/>
      <c r="C3308" s="4561" t="n"/>
      <c r="D3308" s="4561" t="n"/>
      <c r="E3308" s="4561" t="n"/>
      <c r="F3308" s="4561" t="n"/>
    </row>
    <row r="3309">
      <c r="A3309" s="4561" t="n"/>
      <c r="B3309" s="4561" t="n"/>
      <c r="C3309" s="4561" t="n"/>
      <c r="D3309" s="4561" t="n"/>
      <c r="E3309" s="4561" t="n"/>
      <c r="F3309" s="4561" t="n"/>
    </row>
    <row r="3310">
      <c r="A3310" s="4561" t="n"/>
      <c r="B3310" s="4561" t="n"/>
      <c r="C3310" s="4561" t="n"/>
      <c r="D3310" s="4561" t="n"/>
      <c r="E3310" s="4561" t="n"/>
      <c r="F3310" s="4561" t="n"/>
    </row>
    <row r="3311">
      <c r="A3311" s="4561" t="n"/>
      <c r="B3311" s="4561" t="n"/>
      <c r="C3311" s="4561" t="n"/>
      <c r="D3311" s="4561" t="n"/>
      <c r="E3311" s="4561" t="n"/>
      <c r="F3311" s="4561" t="n"/>
    </row>
    <row r="3312">
      <c r="A3312" s="4561" t="n"/>
      <c r="B3312" s="4561" t="n"/>
      <c r="C3312" s="4561" t="n"/>
      <c r="D3312" s="4561" t="n"/>
      <c r="E3312" s="4561" t="n"/>
      <c r="F3312" s="4561" t="n"/>
    </row>
    <row r="3313">
      <c r="A3313" s="4561" t="n"/>
      <c r="B3313" s="4561" t="n"/>
      <c r="C3313" s="4561" t="n"/>
      <c r="D3313" s="4561" t="n"/>
      <c r="E3313" s="4561" t="n"/>
      <c r="F3313" s="4561" t="n"/>
    </row>
    <row r="3314">
      <c r="A3314" s="4561" t="n"/>
      <c r="B3314" s="4561" t="n"/>
      <c r="C3314" s="4561" t="n"/>
      <c r="D3314" s="4561" t="n"/>
      <c r="E3314" s="4561" t="n"/>
      <c r="F3314" s="4561" t="n"/>
    </row>
    <row r="3315">
      <c r="A3315" s="4561" t="n"/>
      <c r="B3315" s="4561" t="n"/>
      <c r="C3315" s="4561" t="n"/>
      <c r="D3315" s="4561" t="n"/>
      <c r="E3315" s="4561" t="n"/>
      <c r="F3315" s="4561" t="n"/>
    </row>
    <row r="3316">
      <c r="A3316" s="4561" t="n"/>
      <c r="B3316" s="4561" t="n"/>
      <c r="C3316" s="4561" t="n"/>
      <c r="D3316" s="4561" t="n"/>
      <c r="E3316" s="4561" t="n"/>
      <c r="F3316" s="4561" t="n"/>
    </row>
    <row r="3317">
      <c r="A3317" s="4561" t="n"/>
      <c r="B3317" s="4561" t="n"/>
      <c r="C3317" s="4561" t="n"/>
      <c r="D3317" s="4561" t="n"/>
      <c r="E3317" s="4561" t="n"/>
      <c r="F3317" s="4561" t="n"/>
    </row>
    <row r="3318">
      <c r="A3318" s="4561" t="n"/>
      <c r="B3318" s="4561" t="n"/>
      <c r="C3318" s="4561" t="n"/>
      <c r="D3318" s="4561" t="n"/>
      <c r="E3318" s="4561" t="n"/>
      <c r="F3318" s="4561" t="n"/>
    </row>
    <row r="3319">
      <c r="A3319" s="4561" t="n"/>
      <c r="B3319" s="4561" t="n"/>
      <c r="C3319" s="4561" t="n"/>
      <c r="D3319" s="4561" t="n"/>
      <c r="E3319" s="4561" t="n"/>
      <c r="F3319" s="4561" t="n"/>
    </row>
    <row r="3320">
      <c r="A3320" s="4561" t="n"/>
      <c r="B3320" s="4561" t="n"/>
      <c r="C3320" s="4561" t="n"/>
      <c r="D3320" s="4561" t="n"/>
      <c r="E3320" s="4561" t="n"/>
      <c r="F3320" s="4561" t="n"/>
    </row>
    <row r="3321">
      <c r="A3321" s="4561" t="n"/>
      <c r="B3321" s="4561" t="n"/>
      <c r="C3321" s="4561" t="n"/>
      <c r="D3321" s="4561" t="n"/>
      <c r="E3321" s="4561" t="n"/>
      <c r="F3321" s="4561" t="n"/>
    </row>
    <row r="3322">
      <c r="A3322" s="4561" t="n"/>
      <c r="B3322" s="4561" t="n"/>
      <c r="C3322" s="4561" t="n"/>
      <c r="D3322" s="4561" t="n"/>
      <c r="E3322" s="4561" t="n"/>
      <c r="F3322" s="4561" t="n"/>
    </row>
    <row r="3323">
      <c r="A3323" s="4561" t="n"/>
      <c r="B3323" s="4561" t="n"/>
      <c r="C3323" s="4561" t="n"/>
      <c r="D3323" s="4561" t="n"/>
      <c r="E3323" s="4561" t="n"/>
      <c r="F3323" s="4561" t="n"/>
    </row>
    <row r="3324">
      <c r="A3324" s="4561" t="n"/>
      <c r="B3324" s="4561" t="n"/>
      <c r="C3324" s="4561" t="n"/>
      <c r="D3324" s="4561" t="n"/>
      <c r="E3324" s="4561" t="n"/>
      <c r="F3324" s="4561" t="n"/>
    </row>
    <row r="3325">
      <c r="A3325" s="4561" t="n"/>
      <c r="B3325" s="4561" t="n"/>
      <c r="C3325" s="4561" t="n"/>
      <c r="D3325" s="4561" t="n"/>
      <c r="E3325" s="4561" t="n"/>
      <c r="F3325" s="4561" t="n"/>
    </row>
    <row r="3326">
      <c r="A3326" s="4561" t="n"/>
      <c r="B3326" s="4561" t="n"/>
      <c r="C3326" s="4561" t="n"/>
      <c r="D3326" s="4561" t="n"/>
      <c r="E3326" s="4561" t="n"/>
      <c r="F3326" s="4561" t="n"/>
    </row>
    <row r="3327">
      <c r="A3327" s="4561" t="n"/>
      <c r="B3327" s="4561" t="n"/>
      <c r="C3327" s="4561" t="n"/>
      <c r="D3327" s="4561" t="n"/>
      <c r="E3327" s="4561" t="n"/>
      <c r="F3327" s="4561" t="n"/>
    </row>
    <row r="3328">
      <c r="A3328" s="4561" t="n"/>
      <c r="B3328" s="4561" t="n"/>
      <c r="C3328" s="4561" t="n"/>
      <c r="D3328" s="4561" t="n"/>
      <c r="E3328" s="4561" t="n"/>
      <c r="F3328" s="4561" t="n"/>
    </row>
    <row r="3329">
      <c r="A3329" s="4561" t="n"/>
      <c r="B3329" s="4561" t="n"/>
      <c r="C3329" s="4561" t="n"/>
      <c r="D3329" s="4561" t="n"/>
      <c r="E3329" s="4561" t="n"/>
      <c r="F3329" s="4561" t="n"/>
    </row>
    <row r="3330">
      <c r="A3330" s="4561" t="n"/>
      <c r="B3330" s="4561" t="n"/>
      <c r="C3330" s="4561" t="n"/>
      <c r="D3330" s="4561" t="n"/>
      <c r="E3330" s="4561" t="n"/>
      <c r="F3330" s="4561" t="n"/>
    </row>
    <row r="3331">
      <c r="A3331" s="4561" t="n"/>
      <c r="B3331" s="4561" t="n"/>
      <c r="C3331" s="4561" t="n"/>
      <c r="D3331" s="4561" t="n"/>
      <c r="E3331" s="4561" t="n"/>
      <c r="F3331" s="4561" t="n"/>
    </row>
    <row r="3332">
      <c r="A3332" s="4561" t="n"/>
      <c r="B3332" s="4561" t="n"/>
      <c r="C3332" s="4561" t="n"/>
      <c r="D3332" s="4561" t="n"/>
      <c r="E3332" s="4561" t="n"/>
      <c r="F3332" s="4561" t="n"/>
    </row>
    <row r="3333">
      <c r="A3333" s="4561" t="n"/>
      <c r="B3333" s="4561" t="n"/>
      <c r="C3333" s="4561" t="n"/>
      <c r="D3333" s="4561" t="n"/>
      <c r="E3333" s="4561" t="n"/>
      <c r="F3333" s="4561" t="n"/>
    </row>
    <row r="3334">
      <c r="A3334" s="4561" t="n"/>
      <c r="B3334" s="4561" t="n"/>
      <c r="C3334" s="4561" t="n"/>
      <c r="D3334" s="4561" t="n"/>
      <c r="E3334" s="4561" t="n"/>
      <c r="F3334" s="4561" t="n"/>
    </row>
    <row r="3335">
      <c r="A3335" s="4561" t="n"/>
      <c r="B3335" s="4561" t="n"/>
      <c r="C3335" s="4561" t="n"/>
      <c r="D3335" s="4561" t="n"/>
      <c r="E3335" s="4561" t="n"/>
      <c r="F3335" s="4561" t="n"/>
    </row>
    <row r="3336">
      <c r="A3336" s="4561" t="n"/>
      <c r="B3336" s="4561" t="n"/>
      <c r="C3336" s="4561" t="n"/>
      <c r="D3336" s="4561" t="n"/>
      <c r="E3336" s="4561" t="n"/>
      <c r="F3336" s="4561" t="n"/>
    </row>
    <row r="3337">
      <c r="A3337" s="4561" t="n"/>
      <c r="B3337" s="4561" t="n"/>
      <c r="C3337" s="4561" t="n"/>
      <c r="D3337" s="4561" t="n"/>
      <c r="E3337" s="4561" t="n"/>
      <c r="F3337" s="4561" t="n"/>
    </row>
    <row r="3338">
      <c r="A3338" s="4561" t="n"/>
      <c r="B3338" s="4561" t="n"/>
      <c r="C3338" s="4561" t="n"/>
      <c r="D3338" s="4561" t="n"/>
      <c r="E3338" s="4561" t="n"/>
      <c r="F3338" s="4561" t="n"/>
    </row>
    <row r="3339">
      <c r="A3339" s="4561" t="n"/>
      <c r="B3339" s="4561" t="n"/>
      <c r="C3339" s="4561" t="n"/>
      <c r="D3339" s="4561" t="n"/>
      <c r="E3339" s="4561" t="n"/>
      <c r="F3339" s="4561" t="n"/>
    </row>
    <row r="3340">
      <c r="A3340" s="4561" t="n"/>
      <c r="B3340" s="4561" t="n"/>
      <c r="C3340" s="4561" t="n"/>
      <c r="D3340" s="4561" t="n"/>
      <c r="E3340" s="4561" t="n"/>
      <c r="F3340" s="4561" t="n"/>
    </row>
    <row r="3341">
      <c r="A3341" s="4561" t="n"/>
      <c r="B3341" s="4561" t="n"/>
      <c r="C3341" s="4561" t="n"/>
      <c r="D3341" s="4561" t="n"/>
      <c r="E3341" s="4561" t="n"/>
      <c r="F3341" s="4561" t="n"/>
    </row>
    <row r="3342">
      <c r="A3342" s="4561" t="n"/>
      <c r="B3342" s="4561" t="n"/>
      <c r="C3342" s="4561" t="n"/>
      <c r="D3342" s="4561" t="n"/>
      <c r="E3342" s="4561" t="n"/>
      <c r="F3342" s="4561" t="n"/>
    </row>
    <row r="3343">
      <c r="A3343" s="4561" t="n"/>
      <c r="B3343" s="4561" t="n"/>
      <c r="C3343" s="4561" t="n"/>
      <c r="D3343" s="4561" t="n"/>
      <c r="E3343" s="4561" t="n"/>
      <c r="F3343" s="4561" t="n"/>
    </row>
    <row r="3344">
      <c r="A3344" s="4561" t="n"/>
      <c r="B3344" s="4561" t="n"/>
      <c r="C3344" s="4561" t="n"/>
      <c r="D3344" s="4561" t="n"/>
      <c r="E3344" s="4561" t="n"/>
      <c r="F3344" s="4561" t="n"/>
    </row>
    <row r="3345">
      <c r="A3345" s="4561" t="n"/>
      <c r="B3345" s="4561" t="n"/>
      <c r="C3345" s="4561" t="n"/>
      <c r="D3345" s="4561" t="n"/>
      <c r="E3345" s="4561" t="n"/>
      <c r="F3345" s="4561" t="n"/>
    </row>
    <row r="3346">
      <c r="A3346" s="4561" t="n"/>
      <c r="B3346" s="4561" t="n"/>
      <c r="C3346" s="4561" t="n"/>
      <c r="D3346" s="4561" t="n"/>
      <c r="E3346" s="4561" t="n"/>
      <c r="F3346" s="4561" t="n"/>
    </row>
    <row r="3347">
      <c r="A3347" s="4561" t="n"/>
      <c r="B3347" s="4561" t="n"/>
      <c r="C3347" s="4561" t="n"/>
      <c r="D3347" s="4561" t="n"/>
      <c r="E3347" s="4561" t="n"/>
      <c r="F3347" s="4561" t="n"/>
    </row>
    <row r="3348">
      <c r="A3348" s="4561" t="n"/>
      <c r="B3348" s="4561" t="n"/>
      <c r="C3348" s="4561" t="n"/>
      <c r="D3348" s="4561" t="n"/>
      <c r="E3348" s="4561" t="n"/>
      <c r="F3348" s="4561" t="n"/>
    </row>
    <row r="3349">
      <c r="A3349" s="4561" t="n"/>
      <c r="B3349" s="4561" t="n"/>
      <c r="C3349" s="4561" t="n"/>
      <c r="D3349" s="4561" t="n"/>
      <c r="E3349" s="4561" t="n"/>
      <c r="F3349" s="4561" t="n"/>
    </row>
    <row r="3350">
      <c r="A3350" s="4561" t="n"/>
      <c r="B3350" s="4561" t="n"/>
      <c r="C3350" s="4561" t="n"/>
      <c r="D3350" s="4561" t="n"/>
      <c r="E3350" s="4561" t="n"/>
      <c r="F3350" s="4561" t="n"/>
    </row>
    <row r="3351">
      <c r="A3351" s="4561" t="n"/>
      <c r="B3351" s="4561" t="n"/>
      <c r="C3351" s="4561" t="n"/>
      <c r="D3351" s="4561" t="n"/>
      <c r="E3351" s="4561" t="n"/>
      <c r="F3351" s="4561" t="n"/>
    </row>
    <row r="3352">
      <c r="A3352" s="4561" t="n"/>
      <c r="B3352" s="4561" t="n"/>
      <c r="C3352" s="4561" t="n"/>
      <c r="D3352" s="4561" t="n"/>
      <c r="E3352" s="4561" t="n"/>
      <c r="F3352" s="4561" t="n"/>
    </row>
    <row r="3353">
      <c r="A3353" s="4561" t="n"/>
      <c r="B3353" s="4561" t="n"/>
      <c r="C3353" s="4561" t="n"/>
      <c r="D3353" s="4561" t="n"/>
      <c r="E3353" s="4561" t="n"/>
      <c r="F3353" s="4561" t="n"/>
    </row>
    <row r="3354">
      <c r="A3354" s="4561" t="n"/>
      <c r="B3354" s="4561" t="n"/>
      <c r="C3354" s="4561" t="n"/>
      <c r="D3354" s="4561" t="n"/>
      <c r="E3354" s="4561" t="n"/>
      <c r="F3354" s="4561" t="n"/>
    </row>
    <row r="3355">
      <c r="A3355" s="4561" t="n"/>
      <c r="B3355" s="4561" t="n"/>
      <c r="C3355" s="4561" t="n"/>
      <c r="D3355" s="4561" t="n"/>
      <c r="E3355" s="4561" t="n"/>
      <c r="F3355" s="4561" t="n"/>
    </row>
    <row r="3356">
      <c r="A3356" s="4561" t="n"/>
      <c r="B3356" s="4561" t="n"/>
      <c r="C3356" s="4561" t="n"/>
      <c r="D3356" s="4561" t="n"/>
      <c r="E3356" s="4561" t="n"/>
      <c r="F3356" s="4561" t="n"/>
    </row>
    <row r="3357">
      <c r="A3357" s="4561" t="n"/>
      <c r="B3357" s="4561" t="n"/>
      <c r="C3357" s="4561" t="n"/>
      <c r="D3357" s="4561" t="n"/>
      <c r="E3357" s="4561" t="n"/>
      <c r="F3357" s="4561" t="n"/>
    </row>
    <row r="3358">
      <c r="A3358" s="4561" t="n"/>
      <c r="B3358" s="4561" t="n"/>
      <c r="C3358" s="4561" t="n"/>
      <c r="D3358" s="4561" t="n"/>
      <c r="E3358" s="4561" t="n"/>
      <c r="F3358" s="4561" t="n"/>
    </row>
    <row r="3359">
      <c r="A3359" s="4561" t="n"/>
      <c r="B3359" s="4561" t="n"/>
      <c r="C3359" s="4561" t="n"/>
      <c r="D3359" s="4561" t="n"/>
      <c r="E3359" s="4561" t="n"/>
      <c r="F3359" s="4561" t="n"/>
    </row>
    <row r="3360">
      <c r="A3360" s="4561" t="n"/>
      <c r="B3360" s="4561" t="n"/>
      <c r="C3360" s="4561" t="n"/>
      <c r="D3360" s="4561" t="n"/>
      <c r="E3360" s="4561" t="n"/>
      <c r="F3360" s="4561" t="n"/>
    </row>
    <row r="3361">
      <c r="A3361" s="4561" t="n"/>
      <c r="B3361" s="4561" t="n"/>
      <c r="C3361" s="4561" t="n"/>
      <c r="D3361" s="4561" t="n"/>
      <c r="E3361" s="4561" t="n"/>
      <c r="F3361" s="4561" t="n"/>
    </row>
    <row r="3362">
      <c r="A3362" s="4561" t="n"/>
      <c r="B3362" s="4561" t="n"/>
      <c r="C3362" s="4561" t="n"/>
      <c r="D3362" s="4561" t="n"/>
      <c r="E3362" s="4561" t="n"/>
      <c r="F3362" s="4561" t="n"/>
    </row>
    <row r="3363">
      <c r="A3363" s="4561" t="n"/>
      <c r="B3363" s="4561" t="n"/>
      <c r="C3363" s="4561" t="n"/>
      <c r="D3363" s="4561" t="n"/>
      <c r="E3363" s="4561" t="n"/>
      <c r="F3363" s="4561" t="n"/>
    </row>
    <row r="3364">
      <c r="A3364" s="4561" t="n"/>
      <c r="B3364" s="4561" t="n"/>
      <c r="C3364" s="4561" t="n"/>
      <c r="D3364" s="4561" t="n"/>
      <c r="E3364" s="4561" t="n"/>
      <c r="F3364" s="4561" t="n"/>
    </row>
    <row r="3365">
      <c r="A3365" s="4561" t="n"/>
      <c r="B3365" s="4561" t="n"/>
      <c r="C3365" s="4561" t="n"/>
      <c r="D3365" s="4561" t="n"/>
      <c r="E3365" s="4561" t="n"/>
      <c r="F3365" s="4561" t="n"/>
    </row>
    <row r="3366">
      <c r="A3366" s="4561" t="n"/>
      <c r="B3366" s="4561" t="n"/>
      <c r="C3366" s="4561" t="n"/>
      <c r="D3366" s="4561" t="n"/>
      <c r="E3366" s="4561" t="n"/>
      <c r="F3366" s="4561" t="n"/>
    </row>
    <row r="3367">
      <c r="A3367" s="4561" t="n"/>
      <c r="B3367" s="4561" t="n"/>
      <c r="C3367" s="4561" t="n"/>
      <c r="D3367" s="4561" t="n"/>
      <c r="E3367" s="4561" t="n"/>
      <c r="F3367" s="4561" t="n"/>
    </row>
    <row r="3368">
      <c r="A3368" s="4561" t="n"/>
      <c r="B3368" s="4561" t="n"/>
      <c r="C3368" s="4561" t="n"/>
      <c r="D3368" s="4561" t="n"/>
      <c r="E3368" s="4561" t="n"/>
      <c r="F3368" s="4561" t="n"/>
    </row>
    <row r="3369">
      <c r="A3369" s="4561" t="n"/>
      <c r="B3369" s="4561" t="n"/>
      <c r="C3369" s="4561" t="n"/>
      <c r="D3369" s="4561" t="n"/>
      <c r="E3369" s="4561" t="n"/>
      <c r="F3369" s="4561" t="n"/>
    </row>
    <row r="3370">
      <c r="A3370" s="4561" t="n"/>
      <c r="B3370" s="4561" t="n"/>
      <c r="C3370" s="4561" t="n"/>
      <c r="D3370" s="4561" t="n"/>
      <c r="E3370" s="4561" t="n"/>
      <c r="F3370" s="4561" t="n"/>
    </row>
    <row r="3371">
      <c r="A3371" s="4561" t="n"/>
      <c r="B3371" s="4561" t="n"/>
      <c r="C3371" s="4561" t="n"/>
      <c r="D3371" s="4561" t="n"/>
      <c r="E3371" s="4561" t="n"/>
      <c r="F3371" s="4561" t="n"/>
    </row>
    <row r="3372">
      <c r="A3372" s="4561" t="n"/>
      <c r="B3372" s="4561" t="n"/>
      <c r="C3372" s="4561" t="n"/>
      <c r="D3372" s="4561" t="n"/>
      <c r="E3372" s="4561" t="n"/>
      <c r="F3372" s="4561" t="n"/>
    </row>
    <row r="3373">
      <c r="A3373" s="4561" t="n"/>
      <c r="B3373" s="4561" t="n"/>
      <c r="C3373" s="4561" t="n"/>
      <c r="D3373" s="4561" t="n"/>
      <c r="E3373" s="4561" t="n"/>
      <c r="F3373" s="4561" t="n"/>
    </row>
    <row r="3374">
      <c r="A3374" s="4561" t="n"/>
      <c r="B3374" s="4561" t="n"/>
      <c r="C3374" s="4561" t="n"/>
      <c r="D3374" s="4561" t="n"/>
      <c r="E3374" s="4561" t="n"/>
      <c r="F3374" s="4561" t="n"/>
    </row>
    <row r="3375">
      <c r="A3375" s="4561" t="n"/>
      <c r="B3375" s="4561" t="n"/>
      <c r="C3375" s="4561" t="n"/>
      <c r="D3375" s="4561" t="n"/>
      <c r="E3375" s="4561" t="n"/>
      <c r="F3375" s="4561" t="n"/>
    </row>
    <row r="3376">
      <c r="A3376" s="4561" t="n"/>
      <c r="B3376" s="4561" t="n"/>
      <c r="C3376" s="4561" t="n"/>
      <c r="D3376" s="4561" t="n"/>
      <c r="E3376" s="4561" t="n"/>
      <c r="F3376" s="4561" t="n"/>
    </row>
    <row r="3377">
      <c r="A3377" s="4561" t="n"/>
      <c r="B3377" s="4561" t="n"/>
      <c r="C3377" s="4561" t="n"/>
      <c r="D3377" s="4561" t="n"/>
      <c r="E3377" s="4561" t="n"/>
      <c r="F3377" s="4561" t="n"/>
    </row>
    <row r="3378">
      <c r="A3378" s="4561" t="n"/>
      <c r="B3378" s="4561" t="n"/>
      <c r="C3378" s="4561" t="n"/>
      <c r="D3378" s="4561" t="n"/>
      <c r="E3378" s="4561" t="n"/>
      <c r="F3378" s="4561" t="n"/>
    </row>
    <row r="3379">
      <c r="A3379" s="4561" t="n"/>
      <c r="B3379" s="4561" t="n"/>
      <c r="C3379" s="4561" t="n"/>
      <c r="D3379" s="4561" t="n"/>
      <c r="E3379" s="4561" t="n"/>
      <c r="F3379" s="4561" t="n"/>
    </row>
    <row r="3380">
      <c r="A3380" s="4561" t="n"/>
      <c r="B3380" s="4561" t="n"/>
      <c r="C3380" s="4561" t="n"/>
      <c r="D3380" s="4561" t="n"/>
      <c r="E3380" s="4561" t="n"/>
      <c r="F3380" s="4561" t="n"/>
    </row>
    <row r="3381">
      <c r="A3381" s="4561" t="n"/>
      <c r="B3381" s="4561" t="n"/>
      <c r="C3381" s="4561" t="n"/>
      <c r="D3381" s="4561" t="n"/>
      <c r="E3381" s="4561" t="n"/>
      <c r="F3381" s="4561" t="n"/>
    </row>
    <row r="3382">
      <c r="A3382" s="4561" t="n"/>
      <c r="B3382" s="4561" t="n"/>
      <c r="C3382" s="4561" t="n"/>
      <c r="D3382" s="4561" t="n"/>
      <c r="E3382" s="4561" t="n"/>
      <c r="F3382" s="4561" t="n"/>
    </row>
    <row r="3383">
      <c r="A3383" s="4561" t="n"/>
      <c r="B3383" s="4561" t="n"/>
      <c r="C3383" s="4561" t="n"/>
      <c r="D3383" s="4561" t="n"/>
      <c r="E3383" s="4561" t="n"/>
      <c r="F3383" s="4561" t="n"/>
    </row>
    <row r="3384">
      <c r="A3384" s="4561" t="n"/>
      <c r="B3384" s="4561" t="n"/>
      <c r="C3384" s="4561" t="n"/>
      <c r="D3384" s="4561" t="n"/>
      <c r="E3384" s="4561" t="n"/>
      <c r="F3384" s="4561" t="n"/>
    </row>
    <row r="3385">
      <c r="A3385" s="4561" t="n"/>
      <c r="B3385" s="4561" t="n"/>
      <c r="C3385" s="4561" t="n"/>
      <c r="D3385" s="4561" t="n"/>
      <c r="E3385" s="4561" t="n"/>
      <c r="F3385" s="4561" t="n"/>
    </row>
    <row r="3386">
      <c r="A3386" s="4561" t="n"/>
      <c r="B3386" s="4561" t="n"/>
      <c r="C3386" s="4561" t="n"/>
      <c r="D3386" s="4561" t="n"/>
      <c r="E3386" s="4561" t="n"/>
      <c r="F3386" s="4561" t="n"/>
    </row>
    <row r="3387">
      <c r="A3387" s="4561" t="n"/>
      <c r="B3387" s="4561" t="n"/>
      <c r="C3387" s="4561" t="n"/>
      <c r="D3387" s="4561" t="n"/>
      <c r="E3387" s="4561" t="n"/>
      <c r="F3387" s="4561" t="n"/>
    </row>
    <row r="3388">
      <c r="A3388" s="4561" t="n"/>
      <c r="B3388" s="4561" t="n"/>
      <c r="C3388" s="4561" t="n"/>
      <c r="D3388" s="4561" t="n"/>
      <c r="E3388" s="4561" t="n"/>
      <c r="F3388" s="4561" t="n"/>
    </row>
    <row r="3389">
      <c r="A3389" s="4561" t="n"/>
      <c r="B3389" s="4561" t="n"/>
      <c r="C3389" s="4561" t="n"/>
      <c r="D3389" s="4561" t="n"/>
      <c r="E3389" s="4561" t="n"/>
      <c r="F3389" s="4561" t="n"/>
    </row>
    <row r="3390">
      <c r="A3390" s="4561" t="n"/>
      <c r="B3390" s="4561" t="n"/>
      <c r="C3390" s="4561" t="n"/>
      <c r="D3390" s="4561" t="n"/>
      <c r="E3390" s="4561" t="n"/>
      <c r="F3390" s="4561" t="n"/>
    </row>
    <row r="3391">
      <c r="A3391" s="4561" t="n"/>
      <c r="B3391" s="4561" t="n"/>
      <c r="C3391" s="4561" t="n"/>
      <c r="D3391" s="4561" t="n"/>
      <c r="E3391" s="4561" t="n"/>
      <c r="F3391" s="4561" t="n"/>
    </row>
    <row r="3392">
      <c r="A3392" s="4561" t="n"/>
      <c r="B3392" s="4561" t="n"/>
      <c r="C3392" s="4561" t="n"/>
      <c r="D3392" s="4561" t="n"/>
      <c r="E3392" s="4561" t="n"/>
      <c r="F3392" s="4561" t="n"/>
    </row>
    <row r="3393">
      <c r="A3393" s="4561" t="n"/>
      <c r="B3393" s="4561" t="n"/>
      <c r="C3393" s="4561" t="n"/>
      <c r="D3393" s="4561" t="n"/>
      <c r="E3393" s="4561" t="n"/>
      <c r="F3393" s="4561" t="n"/>
    </row>
    <row r="3394">
      <c r="A3394" s="4561" t="n"/>
      <c r="B3394" s="4561" t="n"/>
      <c r="C3394" s="4561" t="n"/>
      <c r="D3394" s="4561" t="n"/>
      <c r="E3394" s="4561" t="n"/>
      <c r="F3394" s="4561" t="n"/>
    </row>
    <row r="3395">
      <c r="A3395" s="4561" t="n"/>
      <c r="B3395" s="4561" t="n"/>
      <c r="C3395" s="4561" t="n"/>
      <c r="D3395" s="4561" t="n"/>
      <c r="E3395" s="4561" t="n"/>
      <c r="F3395" s="4561" t="n"/>
    </row>
    <row r="3396">
      <c r="A3396" s="4561" t="n"/>
      <c r="B3396" s="4561" t="n"/>
      <c r="C3396" s="4561" t="n"/>
      <c r="D3396" s="4561" t="n"/>
      <c r="E3396" s="4561" t="n"/>
      <c r="F3396" s="4561" t="n"/>
    </row>
    <row r="3397">
      <c r="A3397" s="4561" t="n"/>
      <c r="B3397" s="4561" t="n"/>
      <c r="C3397" s="4561" t="n"/>
      <c r="D3397" s="4561" t="n"/>
      <c r="E3397" s="4561" t="n"/>
      <c r="F3397" s="4561" t="n"/>
    </row>
    <row r="3398">
      <c r="A3398" s="4561" t="n"/>
      <c r="B3398" s="4561" t="n"/>
      <c r="C3398" s="4561" t="n"/>
      <c r="D3398" s="4561" t="n"/>
      <c r="E3398" s="4561" t="n"/>
      <c r="F3398" s="4561" t="n"/>
    </row>
    <row r="3399">
      <c r="A3399" s="4561" t="n"/>
      <c r="B3399" s="4561" t="n"/>
      <c r="C3399" s="4561" t="n"/>
      <c r="D3399" s="4561" t="n"/>
      <c r="E3399" s="4561" t="n"/>
      <c r="F3399" s="4561" t="n"/>
    </row>
    <row r="3400">
      <c r="A3400" s="4561" t="n"/>
      <c r="B3400" s="4561" t="n"/>
      <c r="C3400" s="4561" t="n"/>
      <c r="D3400" s="4561" t="n"/>
      <c r="E3400" s="4561" t="n"/>
      <c r="F3400" s="4561" t="n"/>
    </row>
    <row r="3401">
      <c r="A3401" s="4561" t="n"/>
      <c r="B3401" s="4561" t="n"/>
      <c r="C3401" s="4561" t="n"/>
      <c r="D3401" s="4561" t="n"/>
      <c r="E3401" s="4561" t="n"/>
      <c r="F3401" s="4561" t="n"/>
    </row>
    <row r="3402">
      <c r="A3402" s="4561" t="n"/>
      <c r="B3402" s="4561" t="n"/>
      <c r="C3402" s="4561" t="n"/>
      <c r="D3402" s="4561" t="n"/>
      <c r="E3402" s="4561" t="n"/>
      <c r="F3402" s="4561" t="n"/>
    </row>
    <row r="3403">
      <c r="A3403" s="4561" t="n"/>
      <c r="B3403" s="4561" t="n"/>
      <c r="C3403" s="4561" t="n"/>
      <c r="D3403" s="4561" t="n"/>
      <c r="E3403" s="4561" t="n"/>
      <c r="F3403" s="4561" t="n"/>
    </row>
    <row r="3404">
      <c r="A3404" s="4561" t="n"/>
      <c r="B3404" s="4561" t="n"/>
      <c r="C3404" s="4561" t="n"/>
      <c r="D3404" s="4561" t="n"/>
      <c r="E3404" s="4561" t="n"/>
      <c r="F3404" s="4561" t="n"/>
    </row>
    <row r="3405">
      <c r="A3405" s="4561" t="n"/>
      <c r="B3405" s="4561" t="n"/>
      <c r="C3405" s="4561" t="n"/>
      <c r="D3405" s="4561" t="n"/>
      <c r="E3405" s="4561" t="n"/>
      <c r="F3405" s="4561" t="n"/>
    </row>
    <row r="3406">
      <c r="A3406" s="4561" t="n"/>
      <c r="B3406" s="4561" t="n"/>
      <c r="C3406" s="4561" t="n"/>
      <c r="D3406" s="4561" t="n"/>
      <c r="E3406" s="4561" t="n"/>
      <c r="F3406" s="4561" t="n"/>
    </row>
    <row r="3407">
      <c r="A3407" s="4561" t="n"/>
      <c r="B3407" s="4561" t="n"/>
      <c r="C3407" s="4561" t="n"/>
      <c r="D3407" s="4561" t="n"/>
      <c r="E3407" s="4561" t="n"/>
      <c r="F3407" s="4561" t="n"/>
    </row>
    <row r="3408">
      <c r="A3408" s="4561" t="n"/>
      <c r="B3408" s="4561" t="n"/>
      <c r="C3408" s="4561" t="n"/>
      <c r="D3408" s="4561" t="n"/>
      <c r="E3408" s="4561" t="n"/>
      <c r="F3408" s="4561" t="n"/>
    </row>
    <row r="3409">
      <c r="A3409" s="4561" t="n"/>
      <c r="B3409" s="4561" t="n"/>
      <c r="C3409" s="4561" t="n"/>
      <c r="D3409" s="4561" t="n"/>
      <c r="E3409" s="4561" t="n"/>
      <c r="F3409" s="4561" t="n"/>
    </row>
    <row r="3410">
      <c r="A3410" s="4561" t="n"/>
      <c r="B3410" s="4561" t="n"/>
      <c r="C3410" s="4561" t="n"/>
      <c r="D3410" s="4561" t="n"/>
      <c r="E3410" s="4561" t="n"/>
      <c r="F3410" s="4561" t="n"/>
    </row>
    <row r="3411">
      <c r="A3411" s="4561" t="n"/>
      <c r="B3411" s="4561" t="n"/>
      <c r="C3411" s="4561" t="n"/>
      <c r="D3411" s="4561" t="n"/>
      <c r="E3411" s="4561" t="n"/>
      <c r="F3411" s="4561" t="n"/>
    </row>
    <row r="3412">
      <c r="A3412" s="4561" t="n"/>
      <c r="B3412" s="4561" t="n"/>
      <c r="C3412" s="4561" t="n"/>
      <c r="D3412" s="4561" t="n"/>
      <c r="E3412" s="4561" t="n"/>
      <c r="F3412" s="4561" t="n"/>
    </row>
    <row r="3413">
      <c r="A3413" s="4561" t="n"/>
      <c r="B3413" s="4561" t="n"/>
      <c r="C3413" s="4561" t="n"/>
      <c r="D3413" s="4561" t="n"/>
      <c r="E3413" s="4561" t="n"/>
      <c r="F3413" s="4561" t="n"/>
    </row>
    <row r="3414">
      <c r="A3414" s="4561" t="n"/>
      <c r="B3414" s="4561" t="n"/>
      <c r="C3414" s="4561" t="n"/>
      <c r="D3414" s="4561" t="n"/>
      <c r="E3414" s="4561" t="n"/>
      <c r="F3414" s="4561" t="n"/>
    </row>
    <row r="3415">
      <c r="A3415" s="4561" t="n"/>
      <c r="B3415" s="4561" t="n"/>
      <c r="C3415" s="4561" t="n"/>
      <c r="D3415" s="4561" t="n"/>
      <c r="E3415" s="4561" t="n"/>
      <c r="F3415" s="4561" t="n"/>
    </row>
    <row r="3416">
      <c r="A3416" s="4561" t="n"/>
      <c r="B3416" s="4561" t="n"/>
      <c r="C3416" s="4561" t="n"/>
      <c r="D3416" s="4561" t="n"/>
      <c r="E3416" s="4561" t="n"/>
      <c r="F3416" s="4561" t="n"/>
    </row>
    <row r="3417">
      <c r="A3417" s="4561" t="n"/>
      <c r="B3417" s="4561" t="n"/>
      <c r="C3417" s="4561" t="n"/>
      <c r="D3417" s="4561" t="n"/>
      <c r="E3417" s="4561" t="n"/>
      <c r="F3417" s="4561" t="n"/>
    </row>
    <row r="3418">
      <c r="A3418" s="4561" t="n"/>
      <c r="B3418" s="4561" t="n"/>
      <c r="C3418" s="4561" t="n"/>
      <c r="D3418" s="4561" t="n"/>
      <c r="E3418" s="4561" t="n"/>
      <c r="F3418" s="4561" t="n"/>
    </row>
    <row r="3419">
      <c r="A3419" s="4561" t="n"/>
      <c r="B3419" s="4561" t="n"/>
      <c r="C3419" s="4561" t="n"/>
      <c r="D3419" s="4561" t="n"/>
      <c r="E3419" s="4561" t="n"/>
      <c r="F3419" s="4561" t="n"/>
    </row>
    <row r="3420">
      <c r="A3420" s="4561" t="n"/>
      <c r="B3420" s="4561" t="n"/>
      <c r="C3420" s="4561" t="n"/>
      <c r="D3420" s="4561" t="n"/>
      <c r="E3420" s="4561" t="n"/>
      <c r="F3420" s="4561" t="n"/>
    </row>
    <row r="3421">
      <c r="A3421" s="4561" t="n"/>
      <c r="B3421" s="4561" t="n"/>
      <c r="C3421" s="4561" t="n"/>
      <c r="D3421" s="4561" t="n"/>
      <c r="E3421" s="4561" t="n"/>
      <c r="F3421" s="4561" t="n"/>
    </row>
    <row r="3422">
      <c r="A3422" s="4561" t="n"/>
      <c r="B3422" s="4561" t="n"/>
      <c r="C3422" s="4561" t="n"/>
      <c r="D3422" s="4561" t="n"/>
      <c r="E3422" s="4561" t="n"/>
      <c r="F3422" s="4561" t="n"/>
    </row>
    <row r="3423">
      <c r="A3423" s="4561" t="n"/>
      <c r="B3423" s="4561" t="n"/>
      <c r="C3423" s="4561" t="n"/>
      <c r="D3423" s="4561" t="n"/>
      <c r="E3423" s="4561" t="n"/>
      <c r="F3423" s="4561" t="n"/>
    </row>
    <row r="3424">
      <c r="A3424" s="4561" t="n"/>
      <c r="B3424" s="4561" t="n"/>
      <c r="C3424" s="4561" t="n"/>
      <c r="D3424" s="4561" t="n"/>
      <c r="E3424" s="4561" t="n"/>
      <c r="F3424" s="4561" t="n"/>
    </row>
    <row r="3425">
      <c r="A3425" s="4561" t="n"/>
      <c r="B3425" s="4561" t="n"/>
      <c r="C3425" s="4561" t="n"/>
      <c r="D3425" s="4561" t="n"/>
      <c r="E3425" s="4561" t="n"/>
      <c r="F3425" s="4561" t="n"/>
    </row>
    <row r="3426">
      <c r="A3426" s="4561" t="n"/>
      <c r="B3426" s="4561" t="n"/>
      <c r="C3426" s="4561" t="n"/>
      <c r="D3426" s="4561" t="n"/>
      <c r="E3426" s="4561" t="n"/>
      <c r="F3426" s="4561" t="n"/>
    </row>
    <row r="3427">
      <c r="A3427" s="4561" t="n"/>
      <c r="B3427" s="4561" t="n"/>
      <c r="C3427" s="4561" t="n"/>
      <c r="D3427" s="4561" t="n"/>
      <c r="E3427" s="4561" t="n"/>
      <c r="F3427" s="4561" t="n"/>
    </row>
    <row r="3428">
      <c r="A3428" s="4561" t="n"/>
      <c r="B3428" s="4561" t="n"/>
      <c r="C3428" s="4561" t="n"/>
      <c r="D3428" s="4561" t="n"/>
      <c r="E3428" s="4561" t="n"/>
      <c r="F3428" s="4561" t="n"/>
    </row>
    <row r="3429">
      <c r="A3429" s="4561" t="n"/>
      <c r="B3429" s="4561" t="n"/>
      <c r="C3429" s="4561" t="n"/>
      <c r="D3429" s="4561" t="n"/>
      <c r="E3429" s="4561" t="n"/>
      <c r="F3429" s="4561" t="n"/>
    </row>
    <row r="3430">
      <c r="A3430" s="4561" t="n"/>
      <c r="B3430" s="4561" t="n"/>
      <c r="C3430" s="4561" t="n"/>
      <c r="D3430" s="4561" t="n"/>
      <c r="E3430" s="4561" t="n"/>
      <c r="F3430" s="4561" t="n"/>
    </row>
    <row r="3431">
      <c r="A3431" s="4561" t="n"/>
      <c r="B3431" s="4561" t="n"/>
      <c r="C3431" s="4561" t="n"/>
      <c r="D3431" s="4561" t="n"/>
      <c r="E3431" s="4561" t="n"/>
      <c r="F3431" s="4561" t="n"/>
    </row>
    <row r="3432">
      <c r="A3432" s="4561" t="n"/>
      <c r="B3432" s="4561" t="n"/>
      <c r="C3432" s="4561" t="n"/>
      <c r="D3432" s="4561" t="n"/>
      <c r="E3432" s="4561" t="n"/>
      <c r="F3432" s="4561" t="n"/>
    </row>
    <row r="3433">
      <c r="A3433" s="4561" t="n"/>
      <c r="B3433" s="4561" t="n"/>
      <c r="C3433" s="4561" t="n"/>
      <c r="D3433" s="4561" t="n"/>
      <c r="E3433" s="4561" t="n"/>
      <c r="F3433" s="4561" t="n"/>
    </row>
    <row r="3434">
      <c r="A3434" s="4561" t="n"/>
      <c r="B3434" s="4561" t="n"/>
      <c r="C3434" s="4561" t="n"/>
      <c r="D3434" s="4561" t="n"/>
      <c r="E3434" s="4561" t="n"/>
      <c r="F3434" s="4561" t="n"/>
    </row>
    <row r="3435">
      <c r="A3435" s="4561" t="n"/>
      <c r="B3435" s="4561" t="n"/>
      <c r="C3435" s="4561" t="n"/>
      <c r="D3435" s="4561" t="n"/>
      <c r="E3435" s="4561" t="n"/>
      <c r="F3435" s="4561" t="n"/>
    </row>
    <row r="3436">
      <c r="A3436" s="4561" t="n"/>
      <c r="B3436" s="4561" t="n"/>
      <c r="C3436" s="4561" t="n"/>
      <c r="D3436" s="4561" t="n"/>
      <c r="E3436" s="4561" t="n"/>
      <c r="F3436" s="4561" t="n"/>
    </row>
    <row r="3437">
      <c r="A3437" s="4561" t="n"/>
      <c r="B3437" s="4561" t="n"/>
      <c r="C3437" s="4561" t="n"/>
      <c r="D3437" s="4561" t="n"/>
      <c r="E3437" s="4561" t="n"/>
      <c r="F3437" s="4561" t="n"/>
    </row>
    <row r="3438">
      <c r="A3438" s="4561" t="n"/>
      <c r="B3438" s="4561" t="n"/>
      <c r="C3438" s="4561" t="n"/>
      <c r="D3438" s="4561" t="n"/>
      <c r="E3438" s="4561" t="n"/>
      <c r="F3438" s="4561" t="n"/>
    </row>
    <row r="3439">
      <c r="A3439" s="4561" t="n"/>
      <c r="B3439" s="4561" t="n"/>
      <c r="C3439" s="4561" t="n"/>
      <c r="D3439" s="4561" t="n"/>
      <c r="E3439" s="4561" t="n"/>
      <c r="F3439" s="4561" t="n"/>
    </row>
    <row r="3440">
      <c r="A3440" s="4561" t="n"/>
      <c r="B3440" s="4561" t="n"/>
      <c r="C3440" s="4561" t="n"/>
      <c r="D3440" s="4561" t="n"/>
      <c r="E3440" s="4561" t="n"/>
      <c r="F3440" s="4561" t="n"/>
    </row>
    <row r="3441">
      <c r="A3441" s="4561" t="n"/>
      <c r="B3441" s="4561" t="n"/>
      <c r="C3441" s="4561" t="n"/>
      <c r="D3441" s="4561" t="n"/>
      <c r="E3441" s="4561" t="n"/>
      <c r="F3441" s="4561" t="n"/>
    </row>
    <row r="3442">
      <c r="A3442" s="4561" t="n"/>
      <c r="B3442" s="4561" t="n"/>
      <c r="C3442" s="4561" t="n"/>
      <c r="D3442" s="4561" t="n"/>
      <c r="E3442" s="4561" t="n"/>
      <c r="F3442" s="4561" t="n"/>
    </row>
    <row r="3443">
      <c r="A3443" s="4561" t="n"/>
      <c r="B3443" s="4561" t="n"/>
      <c r="C3443" s="4561" t="n"/>
      <c r="D3443" s="4561" t="n"/>
      <c r="E3443" s="4561" t="n"/>
      <c r="F3443" s="4561" t="n"/>
    </row>
    <row r="3444">
      <c r="A3444" s="4561" t="n"/>
      <c r="B3444" s="4561" t="n"/>
      <c r="C3444" s="4561" t="n"/>
      <c r="D3444" s="4561" t="n"/>
      <c r="E3444" s="4561" t="n"/>
      <c r="F3444" s="4561" t="n"/>
    </row>
    <row r="3445">
      <c r="A3445" s="4561" t="n"/>
      <c r="B3445" s="4561" t="n"/>
      <c r="C3445" s="4561" t="n"/>
      <c r="D3445" s="4561" t="n"/>
      <c r="E3445" s="4561" t="n"/>
      <c r="F3445" s="4561" t="n"/>
    </row>
    <row r="3446">
      <c r="A3446" s="4561" t="n"/>
      <c r="B3446" s="4561" t="n"/>
      <c r="C3446" s="4561" t="n"/>
      <c r="D3446" s="4561" t="n"/>
      <c r="E3446" s="4561" t="n"/>
      <c r="F3446" s="4561" t="n"/>
    </row>
    <row r="3447">
      <c r="A3447" s="4561" t="n"/>
      <c r="B3447" s="4561" t="n"/>
      <c r="C3447" s="4561" t="n"/>
      <c r="D3447" s="4561" t="n"/>
      <c r="E3447" s="4561" t="n"/>
      <c r="F3447" s="4561" t="n"/>
    </row>
    <row r="3448">
      <c r="A3448" s="4561" t="n"/>
      <c r="B3448" s="4561" t="n"/>
      <c r="C3448" s="4561" t="n"/>
      <c r="D3448" s="4561" t="n"/>
      <c r="E3448" s="4561" t="n"/>
      <c r="F3448" s="4561" t="n"/>
    </row>
    <row r="3449">
      <c r="A3449" s="4561" t="n"/>
      <c r="B3449" s="4561" t="n"/>
      <c r="C3449" s="4561" t="n"/>
      <c r="D3449" s="4561" t="n"/>
      <c r="E3449" s="4561" t="n"/>
      <c r="F3449" s="4561" t="n"/>
    </row>
    <row r="3450">
      <c r="A3450" s="4561" t="n"/>
      <c r="B3450" s="4561" t="n"/>
      <c r="C3450" s="4561" t="n"/>
      <c r="D3450" s="4561" t="n"/>
      <c r="E3450" s="4561" t="n"/>
      <c r="F3450" s="4561" t="n"/>
    </row>
    <row r="3451">
      <c r="A3451" s="4561" t="n"/>
      <c r="B3451" s="4561" t="n"/>
      <c r="C3451" s="4561" t="n"/>
      <c r="D3451" s="4561" t="n"/>
      <c r="E3451" s="4561" t="n"/>
      <c r="F3451" s="4561" t="n"/>
    </row>
    <row r="3452">
      <c r="A3452" s="4561" t="n"/>
      <c r="B3452" s="4561" t="n"/>
      <c r="C3452" s="4561" t="n"/>
      <c r="D3452" s="4561" t="n"/>
      <c r="E3452" s="4561" t="n"/>
      <c r="F3452" s="4561" t="n"/>
    </row>
    <row r="3453">
      <c r="A3453" s="4561" t="n"/>
      <c r="B3453" s="4561" t="n"/>
      <c r="C3453" s="4561" t="n"/>
      <c r="D3453" s="4561" t="n"/>
      <c r="E3453" s="4561" t="n"/>
      <c r="F3453" s="4561" t="n"/>
    </row>
    <row r="3454">
      <c r="A3454" s="4561" t="n"/>
      <c r="B3454" s="4561" t="n"/>
      <c r="C3454" s="4561" t="n"/>
      <c r="D3454" s="4561" t="n"/>
      <c r="E3454" s="4561" t="n"/>
      <c r="F3454" s="4561" t="n"/>
    </row>
    <row r="3455">
      <c r="A3455" s="4561" t="n"/>
      <c r="B3455" s="4561" t="n"/>
      <c r="C3455" s="4561" t="n"/>
      <c r="D3455" s="4561" t="n"/>
      <c r="E3455" s="4561" t="n"/>
      <c r="F3455" s="4561" t="n"/>
    </row>
    <row r="3456">
      <c r="A3456" s="4561" t="n"/>
      <c r="B3456" s="4561" t="n"/>
      <c r="C3456" s="4561" t="n"/>
      <c r="D3456" s="4561" t="n"/>
      <c r="E3456" s="4561" t="n"/>
      <c r="F3456" s="4561" t="n"/>
    </row>
    <row r="3457">
      <c r="A3457" s="4561" t="n"/>
      <c r="B3457" s="4561" t="n"/>
      <c r="C3457" s="4561" t="n"/>
      <c r="D3457" s="4561" t="n"/>
      <c r="E3457" s="4561" t="n"/>
      <c r="F3457" s="4561" t="n"/>
    </row>
    <row r="3458">
      <c r="A3458" s="4561" t="n"/>
      <c r="B3458" s="4561" t="n"/>
      <c r="C3458" s="4561" t="n"/>
      <c r="D3458" s="4561" t="n"/>
      <c r="E3458" s="4561" t="n"/>
      <c r="F3458" s="4561" t="n"/>
    </row>
    <row r="3459">
      <c r="A3459" s="4561" t="n"/>
      <c r="B3459" s="4561" t="n"/>
      <c r="C3459" s="4561" t="n"/>
      <c r="D3459" s="4561" t="n"/>
      <c r="E3459" s="4561" t="n"/>
      <c r="F3459" s="4561" t="n"/>
    </row>
    <row r="3460">
      <c r="A3460" s="4561" t="n"/>
      <c r="B3460" s="4561" t="n"/>
      <c r="C3460" s="4561" t="n"/>
      <c r="D3460" s="4561" t="n"/>
      <c r="E3460" s="4561" t="n"/>
      <c r="F3460" s="4561" t="n"/>
    </row>
    <row r="3461">
      <c r="A3461" s="4561" t="n"/>
      <c r="B3461" s="4561" t="n"/>
      <c r="C3461" s="4561" t="n"/>
      <c r="D3461" s="4561" t="n"/>
      <c r="E3461" s="4561" t="n"/>
      <c r="F3461" s="4561" t="n"/>
    </row>
    <row r="3462">
      <c r="A3462" s="4561" t="n"/>
      <c r="B3462" s="4561" t="n"/>
      <c r="C3462" s="4561" t="n"/>
      <c r="D3462" s="4561" t="n"/>
      <c r="E3462" s="4561" t="n"/>
      <c r="F3462" s="4561" t="n"/>
    </row>
    <row r="3463">
      <c r="A3463" s="4561" t="n"/>
      <c r="B3463" s="4561" t="n"/>
      <c r="C3463" s="4561" t="n"/>
      <c r="D3463" s="4561" t="n"/>
      <c r="E3463" s="4561" t="n"/>
      <c r="F3463" s="4561" t="n"/>
    </row>
    <row r="3464">
      <c r="A3464" s="4561" t="n"/>
      <c r="B3464" s="4561" t="n"/>
      <c r="C3464" s="4561" t="n"/>
      <c r="D3464" s="4561" t="n"/>
      <c r="E3464" s="4561" t="n"/>
      <c r="F3464" s="4561" t="n"/>
    </row>
    <row r="3465">
      <c r="A3465" s="4561" t="n"/>
      <c r="B3465" s="4561" t="n"/>
      <c r="C3465" s="4561" t="n"/>
      <c r="D3465" s="4561" t="n"/>
      <c r="E3465" s="4561" t="n"/>
      <c r="F3465" s="4561" t="n"/>
    </row>
    <row r="3466">
      <c r="A3466" s="4561" t="n"/>
      <c r="B3466" s="4561" t="n"/>
      <c r="C3466" s="4561" t="n"/>
      <c r="D3466" s="4561" t="n"/>
      <c r="E3466" s="4561" t="n"/>
      <c r="F3466" s="4561" t="n"/>
    </row>
    <row r="3467">
      <c r="A3467" s="4561" t="n"/>
      <c r="B3467" s="4561" t="n"/>
      <c r="C3467" s="4561" t="n"/>
      <c r="D3467" s="4561" t="n"/>
      <c r="E3467" s="4561" t="n"/>
      <c r="F3467" s="4561" t="n"/>
    </row>
    <row r="3468">
      <c r="A3468" s="4561" t="n"/>
      <c r="B3468" s="4561" t="n"/>
      <c r="C3468" s="4561" t="n"/>
      <c r="D3468" s="4561" t="n"/>
      <c r="E3468" s="4561" t="n"/>
      <c r="F3468" s="4561" t="n"/>
    </row>
    <row r="3469">
      <c r="A3469" s="4561" t="n"/>
      <c r="B3469" s="4561" t="n"/>
      <c r="C3469" s="4561" t="n"/>
      <c r="D3469" s="4561" t="n"/>
      <c r="E3469" s="4561" t="n"/>
      <c r="F3469" s="4561" t="n"/>
    </row>
    <row r="3470">
      <c r="A3470" s="4561" t="n"/>
      <c r="B3470" s="4561" t="n"/>
      <c r="C3470" s="4561" t="n"/>
      <c r="D3470" s="4561" t="n"/>
      <c r="E3470" s="4561" t="n"/>
      <c r="F3470" s="4561" t="n"/>
    </row>
    <row r="3471">
      <c r="A3471" s="4561" t="n"/>
      <c r="B3471" s="4561" t="n"/>
      <c r="C3471" s="4561" t="n"/>
      <c r="D3471" s="4561" t="n"/>
      <c r="E3471" s="4561" t="n"/>
      <c r="F3471" s="4561" t="n"/>
    </row>
    <row r="3472">
      <c r="A3472" s="4561" t="n"/>
      <c r="B3472" s="4561" t="n"/>
      <c r="C3472" s="4561" t="n"/>
      <c r="D3472" s="4561" t="n"/>
      <c r="E3472" s="4561" t="n"/>
      <c r="F3472" s="4561" t="n"/>
    </row>
    <row r="3473">
      <c r="A3473" s="4561" t="n"/>
      <c r="B3473" s="4561" t="n"/>
      <c r="C3473" s="4561" t="n"/>
      <c r="D3473" s="4561" t="n"/>
      <c r="E3473" s="4561" t="n"/>
      <c r="F3473" s="4561" t="n"/>
    </row>
    <row r="3474">
      <c r="A3474" s="4561" t="n"/>
      <c r="B3474" s="4561" t="n"/>
      <c r="C3474" s="4561" t="n"/>
      <c r="D3474" s="4561" t="n"/>
      <c r="E3474" s="4561" t="n"/>
      <c r="F3474" s="4561" t="n"/>
    </row>
    <row r="3475">
      <c r="A3475" s="4561" t="n"/>
      <c r="B3475" s="4561" t="n"/>
      <c r="C3475" s="4561" t="n"/>
      <c r="D3475" s="4561" t="n"/>
      <c r="E3475" s="4561" t="n"/>
      <c r="F3475" s="4561" t="n"/>
    </row>
    <row r="3476">
      <c r="A3476" s="4561" t="n"/>
      <c r="B3476" s="4561" t="n"/>
      <c r="C3476" s="4561" t="n"/>
      <c r="D3476" s="4561" t="n"/>
      <c r="E3476" s="4561" t="n"/>
      <c r="F3476" s="4561" t="n"/>
    </row>
    <row r="3477">
      <c r="A3477" s="4561" t="n"/>
      <c r="B3477" s="4561" t="n"/>
      <c r="C3477" s="4561" t="n"/>
      <c r="D3477" s="4561" t="n"/>
      <c r="E3477" s="4561" t="n"/>
      <c r="F3477" s="4561" t="n"/>
    </row>
    <row r="3478">
      <c r="A3478" s="4561" t="n"/>
      <c r="B3478" s="4561" t="n"/>
      <c r="C3478" s="4561" t="n"/>
      <c r="D3478" s="4561" t="n"/>
      <c r="E3478" s="4561" t="n"/>
      <c r="F3478" s="4561" t="n"/>
    </row>
    <row r="3479">
      <c r="A3479" s="4561" t="n"/>
      <c r="B3479" s="4561" t="n"/>
      <c r="C3479" s="4561" t="n"/>
      <c r="D3479" s="4561" t="n"/>
      <c r="E3479" s="4561" t="n"/>
      <c r="F3479" s="4561" t="n"/>
    </row>
    <row r="3480">
      <c r="A3480" s="4561" t="n"/>
      <c r="B3480" s="4561" t="n"/>
      <c r="C3480" s="4561" t="n"/>
      <c r="D3480" s="4561" t="n"/>
      <c r="E3480" s="4561" t="n"/>
      <c r="F3480" s="4561" t="n"/>
    </row>
    <row r="3481">
      <c r="A3481" s="4561" t="n"/>
      <c r="B3481" s="4561" t="n"/>
      <c r="C3481" s="4561" t="n"/>
      <c r="D3481" s="4561" t="n"/>
      <c r="E3481" s="4561" t="n"/>
      <c r="F3481" s="4561" t="n"/>
    </row>
    <row r="3482">
      <c r="A3482" s="4561" t="n"/>
      <c r="B3482" s="4561" t="n"/>
      <c r="C3482" s="4561" t="n"/>
      <c r="D3482" s="4561" t="n"/>
      <c r="E3482" s="4561" t="n"/>
      <c r="F3482" s="4561" t="n"/>
    </row>
    <row r="3483">
      <c r="A3483" s="4561" t="n"/>
      <c r="B3483" s="4561" t="n"/>
      <c r="C3483" s="4561" t="n"/>
      <c r="D3483" s="4561" t="n"/>
      <c r="E3483" s="4561" t="n"/>
      <c r="F3483" s="4561" t="n"/>
    </row>
    <row r="3484">
      <c r="A3484" s="4561" t="n"/>
      <c r="B3484" s="4561" t="n"/>
      <c r="C3484" s="4561" t="n"/>
      <c r="D3484" s="4561" t="n"/>
      <c r="E3484" s="4561" t="n"/>
      <c r="F3484" s="4561" t="n"/>
    </row>
    <row r="3485">
      <c r="A3485" s="4561" t="n"/>
      <c r="B3485" s="4561" t="n"/>
      <c r="C3485" s="4561" t="n"/>
      <c r="D3485" s="4561" t="n"/>
      <c r="E3485" s="4561" t="n"/>
      <c r="F3485" s="4561" t="n"/>
    </row>
    <row r="3486">
      <c r="A3486" s="4561" t="n"/>
      <c r="B3486" s="4561" t="n"/>
      <c r="C3486" s="4561" t="n"/>
      <c r="D3486" s="4561" t="n"/>
      <c r="E3486" s="4561" t="n"/>
      <c r="F3486" s="4561" t="n"/>
    </row>
    <row r="3487">
      <c r="A3487" s="4561" t="n"/>
      <c r="B3487" s="4561" t="n"/>
      <c r="C3487" s="4561" t="n"/>
      <c r="D3487" s="4561" t="n"/>
      <c r="E3487" s="4561" t="n"/>
      <c r="F3487" s="4561" t="n"/>
    </row>
    <row r="3488">
      <c r="A3488" s="4561" t="n"/>
      <c r="B3488" s="4561" t="n"/>
      <c r="C3488" s="4561" t="n"/>
      <c r="D3488" s="4561" t="n"/>
      <c r="E3488" s="4561" t="n"/>
      <c r="F3488" s="4561" t="n"/>
    </row>
    <row r="3489">
      <c r="A3489" s="4561" t="n"/>
      <c r="B3489" s="4561" t="n"/>
      <c r="C3489" s="4561" t="n"/>
      <c r="D3489" s="4561" t="n"/>
      <c r="E3489" s="4561" t="n"/>
      <c r="F3489" s="4561" t="n"/>
    </row>
    <row r="3490">
      <c r="A3490" s="4561" t="n"/>
      <c r="B3490" s="4561" t="n"/>
      <c r="C3490" s="4561" t="n"/>
      <c r="D3490" s="4561" t="n"/>
      <c r="E3490" s="4561" t="n"/>
      <c r="F3490" s="4561" t="n"/>
    </row>
    <row r="3491">
      <c r="A3491" s="4561" t="n"/>
      <c r="B3491" s="4561" t="n"/>
      <c r="C3491" s="4561" t="n"/>
      <c r="D3491" s="4561" t="n"/>
      <c r="E3491" s="4561" t="n"/>
      <c r="F3491" s="4561" t="n"/>
    </row>
    <row r="3492">
      <c r="A3492" s="4561" t="n"/>
      <c r="B3492" s="4561" t="n"/>
      <c r="C3492" s="4561" t="n"/>
      <c r="D3492" s="4561" t="n"/>
      <c r="E3492" s="4561" t="n"/>
      <c r="F3492" s="4561" t="n"/>
    </row>
    <row r="3493">
      <c r="A3493" s="4561" t="n"/>
      <c r="B3493" s="4561" t="n"/>
      <c r="C3493" s="4561" t="n"/>
      <c r="D3493" s="4561" t="n"/>
      <c r="E3493" s="4561" t="n"/>
      <c r="F3493" s="4561" t="n"/>
    </row>
    <row r="3494">
      <c r="A3494" s="4561" t="n"/>
      <c r="B3494" s="4561" t="n"/>
      <c r="C3494" s="4561" t="n"/>
      <c r="D3494" s="4561" t="n"/>
      <c r="E3494" s="4561" t="n"/>
      <c r="F3494" s="4561" t="n"/>
    </row>
    <row r="3495">
      <c r="A3495" s="4561" t="n"/>
      <c r="B3495" s="4561" t="n"/>
      <c r="C3495" s="4561" t="n"/>
      <c r="D3495" s="4561" t="n"/>
      <c r="E3495" s="4561" t="n"/>
      <c r="F3495" s="4561" t="n"/>
    </row>
    <row r="3496">
      <c r="A3496" s="4561" t="n"/>
      <c r="B3496" s="4561" t="n"/>
      <c r="C3496" s="4561" t="n"/>
      <c r="D3496" s="4561" t="n"/>
      <c r="E3496" s="4561" t="n"/>
      <c r="F3496" s="4561" t="n"/>
    </row>
    <row r="3497">
      <c r="A3497" s="4561" t="n"/>
      <c r="B3497" s="4561" t="n"/>
      <c r="C3497" s="4561" t="n"/>
      <c r="D3497" s="4561" t="n"/>
      <c r="E3497" s="4561" t="n"/>
      <c r="F3497" s="4561" t="n"/>
    </row>
    <row r="3498">
      <c r="A3498" s="4561" t="n"/>
      <c r="B3498" s="4561" t="n"/>
      <c r="C3498" s="4561" t="n"/>
      <c r="D3498" s="4561" t="n"/>
      <c r="E3498" s="4561" t="n"/>
      <c r="F3498" s="4561" t="n"/>
    </row>
    <row r="3499">
      <c r="A3499" s="4561" t="n"/>
      <c r="B3499" s="4561" t="n"/>
      <c r="C3499" s="4561" t="n"/>
      <c r="D3499" s="4561" t="n"/>
      <c r="E3499" s="4561" t="n"/>
      <c r="F3499" s="4561" t="n"/>
    </row>
    <row r="3500">
      <c r="A3500" s="4561" t="n"/>
      <c r="B3500" s="4561" t="n"/>
      <c r="C3500" s="4561" t="n"/>
      <c r="D3500" s="4561" t="n"/>
      <c r="E3500" s="4561" t="n"/>
      <c r="F3500" s="4561" t="n"/>
    </row>
    <row r="3501">
      <c r="A3501" s="4561" t="n"/>
      <c r="B3501" s="4561" t="n"/>
      <c r="C3501" s="4561" t="n"/>
      <c r="D3501" s="4561" t="n"/>
      <c r="E3501" s="4561" t="n"/>
      <c r="F3501" s="4561" t="n"/>
    </row>
    <row r="3502">
      <c r="A3502" s="4561" t="n"/>
      <c r="B3502" s="4561" t="n"/>
      <c r="C3502" s="4561" t="n"/>
      <c r="D3502" s="4561" t="n"/>
      <c r="E3502" s="4561" t="n"/>
      <c r="F3502" s="4561" t="n"/>
    </row>
    <row r="3503">
      <c r="A3503" s="4561" t="n"/>
      <c r="B3503" s="4561" t="n"/>
      <c r="C3503" s="4561" t="n"/>
      <c r="D3503" s="4561" t="n"/>
      <c r="E3503" s="4561" t="n"/>
      <c r="F3503" s="4561" t="n"/>
    </row>
    <row r="3504">
      <c r="A3504" s="4561" t="n"/>
      <c r="B3504" s="4561" t="n"/>
      <c r="C3504" s="4561" t="n"/>
      <c r="D3504" s="4561" t="n"/>
      <c r="E3504" s="4561" t="n"/>
      <c r="F3504" s="4561" t="n"/>
    </row>
    <row r="3505">
      <c r="A3505" s="4561" t="n"/>
      <c r="B3505" s="4561" t="n"/>
      <c r="C3505" s="4561" t="n"/>
      <c r="D3505" s="4561" t="n"/>
      <c r="E3505" s="4561" t="n"/>
      <c r="F3505" s="4561" t="n"/>
    </row>
    <row r="3506">
      <c r="A3506" s="4561" t="n"/>
      <c r="B3506" s="4561" t="n"/>
      <c r="C3506" s="4561" t="n"/>
      <c r="D3506" s="4561" t="n"/>
      <c r="E3506" s="4561" t="n"/>
      <c r="F3506" s="4561" t="n"/>
    </row>
    <row r="3507">
      <c r="A3507" s="4561" t="n"/>
      <c r="B3507" s="4561" t="n"/>
      <c r="C3507" s="4561" t="n"/>
      <c r="D3507" s="4561" t="n"/>
      <c r="E3507" s="4561" t="n"/>
      <c r="F3507" s="4561" t="n"/>
    </row>
    <row r="3508">
      <c r="A3508" s="4561" t="n"/>
      <c r="B3508" s="4561" t="n"/>
      <c r="C3508" s="4561" t="n"/>
      <c r="D3508" s="4561" t="n"/>
      <c r="E3508" s="4561" t="n"/>
      <c r="F3508" s="4561" t="n"/>
    </row>
    <row r="3509">
      <c r="A3509" s="4561" t="n"/>
      <c r="B3509" s="4561" t="n"/>
      <c r="C3509" s="4561" t="n"/>
      <c r="D3509" s="4561" t="n"/>
      <c r="E3509" s="4561" t="n"/>
      <c r="F3509" s="4561" t="n"/>
    </row>
    <row r="3510">
      <c r="A3510" s="4561" t="n"/>
      <c r="B3510" s="4561" t="n"/>
      <c r="C3510" s="4561" t="n"/>
      <c r="D3510" s="4561" t="n"/>
      <c r="E3510" s="4561" t="n"/>
      <c r="F3510" s="4561" t="n"/>
    </row>
    <row r="3511">
      <c r="A3511" s="4561" t="n"/>
      <c r="B3511" s="4561" t="n"/>
      <c r="C3511" s="4561" t="n"/>
      <c r="D3511" s="4561" t="n"/>
      <c r="E3511" s="4561" t="n"/>
      <c r="F3511" s="4561" t="n"/>
    </row>
    <row r="3512">
      <c r="A3512" s="4561" t="n"/>
      <c r="B3512" s="4561" t="n"/>
      <c r="C3512" s="4561" t="n"/>
      <c r="D3512" s="4561" t="n"/>
      <c r="E3512" s="4561" t="n"/>
      <c r="F3512" s="4561" t="n"/>
    </row>
    <row r="3513">
      <c r="A3513" s="4561" t="n"/>
      <c r="B3513" s="4561" t="n"/>
      <c r="C3513" s="4561" t="n"/>
      <c r="D3513" s="4561" t="n"/>
      <c r="E3513" s="4561" t="n"/>
      <c r="F3513" s="4561" t="n"/>
    </row>
    <row r="3514">
      <c r="A3514" s="4561" t="n"/>
      <c r="B3514" s="4561" t="n"/>
      <c r="C3514" s="4561" t="n"/>
      <c r="D3514" s="4561" t="n"/>
      <c r="E3514" s="4561" t="n"/>
      <c r="F3514" s="4561" t="n"/>
    </row>
    <row r="3515">
      <c r="A3515" s="4561" t="n"/>
      <c r="B3515" s="4561" t="n"/>
      <c r="C3515" s="4561" t="n"/>
      <c r="D3515" s="4561" t="n"/>
      <c r="E3515" s="4561" t="n"/>
      <c r="F3515" s="4561" t="n"/>
    </row>
    <row r="3516">
      <c r="A3516" s="4561" t="n"/>
      <c r="B3516" s="4561" t="n"/>
      <c r="C3516" s="4561" t="n"/>
      <c r="D3516" s="4561" t="n"/>
      <c r="E3516" s="4561" t="n"/>
      <c r="F3516" s="4561" t="n"/>
    </row>
    <row r="3517">
      <c r="A3517" s="4561" t="n"/>
      <c r="B3517" s="4561" t="n"/>
      <c r="C3517" s="4561" t="n"/>
      <c r="D3517" s="4561" t="n"/>
      <c r="E3517" s="4561" t="n"/>
      <c r="F3517" s="4561" t="n"/>
    </row>
    <row r="3518">
      <c r="A3518" s="4561" t="n"/>
      <c r="B3518" s="4561" t="n"/>
      <c r="C3518" s="4561" t="n"/>
      <c r="D3518" s="4561" t="n"/>
      <c r="E3518" s="4561" t="n"/>
      <c r="F3518" s="4561" t="n"/>
    </row>
    <row r="3519">
      <c r="A3519" s="4561" t="n"/>
      <c r="B3519" s="4561" t="n"/>
      <c r="C3519" s="4561" t="n"/>
      <c r="D3519" s="4561" t="n"/>
      <c r="E3519" s="4561" t="n"/>
      <c r="F3519" s="4561" t="n"/>
    </row>
    <row r="3520">
      <c r="A3520" s="4561" t="n"/>
      <c r="B3520" s="4561" t="n"/>
      <c r="C3520" s="4561" t="n"/>
      <c r="D3520" s="4561" t="n"/>
      <c r="E3520" s="4561" t="n"/>
      <c r="F3520" s="4561" t="n"/>
    </row>
    <row r="3521">
      <c r="A3521" s="4561" t="n"/>
      <c r="B3521" s="4561" t="n"/>
      <c r="C3521" s="4561" t="n"/>
      <c r="D3521" s="4561" t="n"/>
      <c r="E3521" s="4561" t="n"/>
      <c r="F3521" s="4561" t="n"/>
    </row>
    <row r="3522">
      <c r="A3522" s="4561" t="n"/>
      <c r="B3522" s="4561" t="n"/>
      <c r="C3522" s="4561" t="n"/>
      <c r="D3522" s="4561" t="n"/>
      <c r="E3522" s="4561" t="n"/>
      <c r="F3522" s="4561" t="n"/>
    </row>
    <row r="3523">
      <c r="A3523" s="4561" t="n"/>
      <c r="B3523" s="4561" t="n"/>
      <c r="C3523" s="4561" t="n"/>
      <c r="D3523" s="4561" t="n"/>
      <c r="E3523" s="4561" t="n"/>
      <c r="F3523" s="4561" t="n"/>
    </row>
    <row r="3524">
      <c r="A3524" s="4561" t="n"/>
      <c r="B3524" s="4561" t="n"/>
      <c r="C3524" s="4561" t="n"/>
      <c r="D3524" s="4561" t="n"/>
      <c r="E3524" s="4561" t="n"/>
      <c r="F3524" s="4561" t="n"/>
    </row>
    <row r="3525">
      <c r="A3525" s="4561" t="n"/>
      <c r="B3525" s="4561" t="n"/>
      <c r="C3525" s="4561" t="n"/>
      <c r="D3525" s="4561" t="n"/>
      <c r="E3525" s="4561" t="n"/>
      <c r="F3525" s="4561" t="n"/>
    </row>
    <row r="3526">
      <c r="A3526" s="4561" t="n"/>
      <c r="B3526" s="4561" t="n"/>
      <c r="C3526" s="4561" t="n"/>
      <c r="D3526" s="4561" t="n"/>
      <c r="E3526" s="4561" t="n"/>
      <c r="F3526" s="4561" t="n"/>
    </row>
    <row r="3527">
      <c r="A3527" s="4561" t="n"/>
      <c r="B3527" s="4561" t="n"/>
      <c r="C3527" s="4561" t="n"/>
      <c r="D3527" s="4561" t="n"/>
      <c r="E3527" s="4561" t="n"/>
      <c r="F3527" s="4561" t="n"/>
    </row>
    <row r="3528">
      <c r="A3528" s="4561" t="n"/>
      <c r="B3528" s="4561" t="n"/>
      <c r="C3528" s="4561" t="n"/>
      <c r="D3528" s="4561" t="n"/>
      <c r="E3528" s="4561" t="n"/>
      <c r="F3528" s="4561" t="n"/>
    </row>
    <row r="3529">
      <c r="A3529" s="4561" t="n"/>
      <c r="B3529" s="4561" t="n"/>
      <c r="C3529" s="4561" t="n"/>
      <c r="D3529" s="4561" t="n"/>
      <c r="E3529" s="4561" t="n"/>
      <c r="F3529" s="4561" t="n"/>
    </row>
    <row r="3530">
      <c r="A3530" s="4561" t="n"/>
      <c r="B3530" s="4561" t="n"/>
      <c r="C3530" s="4561" t="n"/>
      <c r="D3530" s="4561" t="n"/>
      <c r="E3530" s="4561" t="n"/>
      <c r="F3530" s="4561" t="n"/>
    </row>
    <row r="3531">
      <c r="A3531" s="4561" t="n"/>
      <c r="B3531" s="4561" t="n"/>
      <c r="C3531" s="4561" t="n"/>
      <c r="D3531" s="4561" t="n"/>
      <c r="E3531" s="4561" t="n"/>
      <c r="F3531" s="4561" t="n"/>
    </row>
    <row r="3532">
      <c r="A3532" s="4561" t="n"/>
      <c r="B3532" s="4561" t="n"/>
      <c r="C3532" s="4561" t="n"/>
      <c r="D3532" s="4561" t="n"/>
      <c r="E3532" s="4561" t="n"/>
      <c r="F3532" s="4561" t="n"/>
    </row>
    <row r="3533">
      <c r="A3533" s="4561" t="n"/>
      <c r="B3533" s="4561" t="n"/>
      <c r="C3533" s="4561" t="n"/>
      <c r="D3533" s="4561" t="n"/>
      <c r="E3533" s="4561" t="n"/>
      <c r="F3533" s="4561" t="n"/>
    </row>
    <row r="3534">
      <c r="A3534" s="4561" t="n"/>
      <c r="B3534" s="4561" t="n"/>
      <c r="C3534" s="4561" t="n"/>
      <c r="D3534" s="4561" t="n"/>
      <c r="E3534" s="4561" t="n"/>
      <c r="F3534" s="4561" t="n"/>
    </row>
    <row r="3535">
      <c r="A3535" s="4561" t="n"/>
      <c r="B3535" s="4561" t="n"/>
      <c r="C3535" s="4561" t="n"/>
      <c r="D3535" s="4561" t="n"/>
      <c r="E3535" s="4561" t="n"/>
      <c r="F3535" s="4561" t="n"/>
    </row>
    <row r="3536">
      <c r="A3536" s="4561" t="n"/>
      <c r="B3536" s="4561" t="n"/>
      <c r="C3536" s="4561" t="n"/>
      <c r="D3536" s="4561" t="n"/>
      <c r="E3536" s="4561" t="n"/>
      <c r="F3536" s="4561" t="n"/>
    </row>
    <row r="3537">
      <c r="A3537" s="4561" t="n"/>
      <c r="B3537" s="4561" t="n"/>
      <c r="C3537" s="4561" t="n"/>
      <c r="D3537" s="4561" t="n"/>
      <c r="E3537" s="4561" t="n"/>
      <c r="F3537" s="4561" t="n"/>
    </row>
    <row r="3538">
      <c r="A3538" s="4561" t="n"/>
      <c r="B3538" s="4561" t="n"/>
      <c r="C3538" s="4561" t="n"/>
      <c r="D3538" s="4561" t="n"/>
      <c r="E3538" s="4561" t="n"/>
      <c r="F3538" s="4561" t="n"/>
    </row>
    <row r="3539">
      <c r="A3539" s="4561" t="n"/>
      <c r="B3539" s="4561" t="n"/>
      <c r="C3539" s="4561" t="n"/>
      <c r="D3539" s="4561" t="n"/>
      <c r="E3539" s="4561" t="n"/>
      <c r="F3539" s="4561" t="n"/>
    </row>
    <row r="3540">
      <c r="A3540" s="4561" t="n"/>
      <c r="B3540" s="4561" t="n"/>
      <c r="C3540" s="4561" t="n"/>
      <c r="D3540" s="4561" t="n"/>
      <c r="E3540" s="4561" t="n"/>
      <c r="F3540" s="4561" t="n"/>
    </row>
    <row r="3541">
      <c r="A3541" s="4561" t="n"/>
      <c r="B3541" s="4561" t="n"/>
      <c r="C3541" s="4561" t="n"/>
      <c r="D3541" s="4561" t="n"/>
      <c r="E3541" s="4561" t="n"/>
      <c r="F3541" s="4561" t="n"/>
    </row>
    <row r="3542">
      <c r="A3542" s="4561" t="n"/>
      <c r="B3542" s="4561" t="n"/>
      <c r="C3542" s="4561" t="n"/>
      <c r="D3542" s="4561" t="n"/>
      <c r="E3542" s="4561" t="n"/>
      <c r="F3542" s="4561" t="n"/>
    </row>
    <row r="3543">
      <c r="A3543" s="4561" t="n"/>
      <c r="B3543" s="4561" t="n"/>
      <c r="C3543" s="4561" t="n"/>
      <c r="D3543" s="4561" t="n"/>
      <c r="E3543" s="4561" t="n"/>
      <c r="F3543" s="4561" t="n"/>
    </row>
    <row r="3544">
      <c r="A3544" s="4561" t="n"/>
      <c r="B3544" s="4561" t="n"/>
      <c r="C3544" s="4561" t="n"/>
      <c r="D3544" s="4561" t="n"/>
      <c r="E3544" s="4561" t="n"/>
      <c r="F3544" s="4561" t="n"/>
    </row>
    <row r="3545">
      <c r="A3545" s="4561" t="n"/>
      <c r="B3545" s="4561" t="n"/>
      <c r="C3545" s="4561" t="n"/>
      <c r="D3545" s="4561" t="n"/>
      <c r="E3545" s="4561" t="n"/>
      <c r="F3545" s="4561" t="n"/>
    </row>
    <row r="3546">
      <c r="A3546" s="4561" t="n"/>
      <c r="B3546" s="4561" t="n"/>
      <c r="C3546" s="4561" t="n"/>
      <c r="D3546" s="4561" t="n"/>
      <c r="E3546" s="4561" t="n"/>
      <c r="F3546" s="4561" t="n"/>
    </row>
    <row r="3547">
      <c r="A3547" s="4561" t="n"/>
      <c r="B3547" s="4561" t="n"/>
      <c r="C3547" s="4561" t="n"/>
      <c r="D3547" s="4561" t="n"/>
      <c r="E3547" s="4561" t="n"/>
      <c r="F3547" s="4561" t="n"/>
    </row>
    <row r="3548">
      <c r="A3548" s="4561" t="n"/>
      <c r="B3548" s="4561" t="n"/>
      <c r="C3548" s="4561" t="n"/>
      <c r="D3548" s="4561" t="n"/>
      <c r="E3548" s="4561" t="n"/>
      <c r="F3548" s="4561" t="n"/>
    </row>
    <row r="3549">
      <c r="A3549" s="4561" t="n"/>
      <c r="B3549" s="4561" t="n"/>
      <c r="C3549" s="4561" t="n"/>
      <c r="D3549" s="4561" t="n"/>
      <c r="E3549" s="4561" t="n"/>
      <c r="F3549" s="4561" t="n"/>
    </row>
    <row r="3550">
      <c r="A3550" s="4561" t="n"/>
      <c r="B3550" s="4561" t="n"/>
      <c r="C3550" s="4561" t="n"/>
      <c r="D3550" s="4561" t="n"/>
      <c r="E3550" s="4561" t="n"/>
      <c r="F3550" s="4561" t="n"/>
    </row>
    <row r="3551">
      <c r="A3551" s="4561" t="n"/>
      <c r="B3551" s="4561" t="n"/>
      <c r="C3551" s="4561" t="n"/>
      <c r="D3551" s="4561" t="n"/>
      <c r="E3551" s="4561" t="n"/>
      <c r="F3551" s="4561" t="n"/>
    </row>
    <row r="3552">
      <c r="A3552" s="4561" t="n"/>
      <c r="B3552" s="4561" t="n"/>
      <c r="C3552" s="4561" t="n"/>
      <c r="D3552" s="4561" t="n"/>
      <c r="E3552" s="4561" t="n"/>
      <c r="F3552" s="4561" t="n"/>
    </row>
    <row r="3553">
      <c r="A3553" s="4561" t="n"/>
      <c r="B3553" s="4561" t="n"/>
      <c r="C3553" s="4561" t="n"/>
      <c r="D3553" s="4561" t="n"/>
      <c r="E3553" s="4561" t="n"/>
      <c r="F3553" s="4561" t="n"/>
    </row>
    <row r="3554">
      <c r="A3554" s="4561" t="n"/>
      <c r="B3554" s="4561" t="n"/>
      <c r="C3554" s="4561" t="n"/>
      <c r="D3554" s="4561" t="n"/>
      <c r="E3554" s="4561" t="n"/>
      <c r="F3554" s="4561" t="n"/>
    </row>
    <row r="3555">
      <c r="A3555" s="4561" t="n"/>
      <c r="B3555" s="4561" t="n"/>
      <c r="C3555" s="4561" t="n"/>
      <c r="D3555" s="4561" t="n"/>
      <c r="E3555" s="4561" t="n"/>
      <c r="F3555" s="4561" t="n"/>
    </row>
    <row r="3556">
      <c r="A3556" s="4561" t="n"/>
      <c r="B3556" s="4561" t="n"/>
      <c r="C3556" s="4561" t="n"/>
      <c r="D3556" s="4561" t="n"/>
      <c r="E3556" s="4561" t="n"/>
      <c r="F3556" s="4561" t="n"/>
    </row>
    <row r="3557">
      <c r="A3557" s="4561" t="n"/>
      <c r="B3557" s="4561" t="n"/>
      <c r="C3557" s="4561" t="n"/>
      <c r="D3557" s="4561" t="n"/>
      <c r="E3557" s="4561" t="n"/>
      <c r="F3557" s="4561" t="n"/>
    </row>
    <row r="3558">
      <c r="A3558" s="4561" t="n"/>
      <c r="B3558" s="4561" t="n"/>
      <c r="C3558" s="4561" t="n"/>
      <c r="D3558" s="4561" t="n"/>
      <c r="E3558" s="4561" t="n"/>
      <c r="F3558" s="4561" t="n"/>
    </row>
    <row r="3559">
      <c r="A3559" s="4561" t="n"/>
      <c r="B3559" s="4561" t="n"/>
      <c r="C3559" s="4561" t="n"/>
      <c r="D3559" s="4561" t="n"/>
      <c r="E3559" s="4561" t="n"/>
      <c r="F3559" s="4561" t="n"/>
    </row>
    <row r="3560">
      <c r="A3560" s="4561" t="n"/>
      <c r="B3560" s="4561" t="n"/>
      <c r="C3560" s="4561" t="n"/>
      <c r="D3560" s="4561" t="n"/>
      <c r="E3560" s="4561" t="n"/>
      <c r="F3560" s="4561" t="n"/>
    </row>
    <row r="3561">
      <c r="A3561" s="4561" t="n"/>
      <c r="B3561" s="4561" t="n"/>
      <c r="C3561" s="4561" t="n"/>
      <c r="D3561" s="4561" t="n"/>
      <c r="E3561" s="4561" t="n"/>
      <c r="F3561" s="4561" t="n"/>
    </row>
    <row r="3562">
      <c r="A3562" s="4561" t="n"/>
      <c r="B3562" s="4561" t="n"/>
      <c r="C3562" s="4561" t="n"/>
      <c r="D3562" s="4561" t="n"/>
      <c r="E3562" s="4561" t="n"/>
      <c r="F3562" s="4561" t="n"/>
    </row>
    <row r="3563">
      <c r="A3563" s="4561" t="n"/>
      <c r="B3563" s="4561" t="n"/>
      <c r="C3563" s="4561" t="n"/>
      <c r="D3563" s="4561" t="n"/>
      <c r="E3563" s="4561" t="n"/>
      <c r="F3563" s="4561" t="n"/>
    </row>
    <row r="3564">
      <c r="A3564" s="4561" t="n"/>
      <c r="B3564" s="4561" t="n"/>
      <c r="C3564" s="4561" t="n"/>
      <c r="D3564" s="4561" t="n"/>
      <c r="E3564" s="4561" t="n"/>
      <c r="F3564" s="4561" t="n"/>
    </row>
    <row r="3565">
      <c r="A3565" s="4561" t="n"/>
      <c r="B3565" s="4561" t="n"/>
      <c r="C3565" s="4561" t="n"/>
      <c r="D3565" s="4561" t="n"/>
      <c r="E3565" s="4561" t="n"/>
      <c r="F3565" s="4561" t="n"/>
    </row>
    <row r="3566">
      <c r="A3566" s="4561" t="n"/>
      <c r="B3566" s="4561" t="n"/>
      <c r="C3566" s="4561" t="n"/>
      <c r="D3566" s="4561" t="n"/>
      <c r="E3566" s="4561" t="n"/>
      <c r="F3566" s="4561" t="n"/>
    </row>
    <row r="3567">
      <c r="A3567" s="4561" t="n"/>
      <c r="B3567" s="4561" t="n"/>
      <c r="C3567" s="4561" t="n"/>
      <c r="D3567" s="4561" t="n"/>
      <c r="E3567" s="4561" t="n"/>
      <c r="F3567" s="4561" t="n"/>
    </row>
    <row r="3568">
      <c r="A3568" s="4561" t="n"/>
      <c r="B3568" s="4561" t="n"/>
      <c r="C3568" s="4561" t="n"/>
      <c r="D3568" s="4561" t="n"/>
      <c r="E3568" s="4561" t="n"/>
      <c r="F3568" s="4561" t="n"/>
    </row>
    <row r="3569">
      <c r="A3569" s="4561" t="n"/>
      <c r="B3569" s="4561" t="n"/>
      <c r="C3569" s="4561" t="n"/>
      <c r="D3569" s="4561" t="n"/>
      <c r="E3569" s="4561" t="n"/>
      <c r="F3569" s="4561" t="n"/>
    </row>
    <row r="3570">
      <c r="A3570" s="4561" t="n"/>
      <c r="B3570" s="4561" t="n"/>
      <c r="C3570" s="4561" t="n"/>
      <c r="D3570" s="4561" t="n"/>
      <c r="E3570" s="4561" t="n"/>
      <c r="F3570" s="4561" t="n"/>
    </row>
    <row r="3571">
      <c r="A3571" s="4561" t="n"/>
      <c r="B3571" s="4561" t="n"/>
      <c r="C3571" s="4561" t="n"/>
      <c r="D3571" s="4561" t="n"/>
      <c r="E3571" s="4561" t="n"/>
      <c r="F3571" s="4561" t="n"/>
    </row>
    <row r="3572">
      <c r="A3572" s="4561" t="n"/>
      <c r="B3572" s="4561" t="n"/>
      <c r="C3572" s="4561" t="n"/>
      <c r="D3572" s="4561" t="n"/>
      <c r="E3572" s="4561" t="n"/>
      <c r="F3572" s="4561" t="n"/>
    </row>
    <row r="3573">
      <c r="A3573" s="4561" t="n"/>
      <c r="B3573" s="4561" t="n"/>
      <c r="C3573" s="4561" t="n"/>
      <c r="D3573" s="4561" t="n"/>
      <c r="E3573" s="4561" t="n"/>
      <c r="F3573" s="4561" t="n"/>
    </row>
    <row r="3574">
      <c r="A3574" s="4561" t="n"/>
      <c r="B3574" s="4561" t="n"/>
      <c r="C3574" s="4561" t="n"/>
      <c r="D3574" s="4561" t="n"/>
      <c r="E3574" s="4561" t="n"/>
      <c r="F3574" s="4561" t="n"/>
    </row>
    <row r="3575">
      <c r="A3575" s="4561" t="n"/>
      <c r="B3575" s="4561" t="n"/>
      <c r="C3575" s="4561" t="n"/>
      <c r="D3575" s="4561" t="n"/>
      <c r="E3575" s="4561" t="n"/>
      <c r="F3575" s="4561" t="n"/>
    </row>
    <row r="3576">
      <c r="A3576" s="4561" t="n"/>
      <c r="B3576" s="4561" t="n"/>
      <c r="C3576" s="4561" t="n"/>
      <c r="D3576" s="4561" t="n"/>
      <c r="E3576" s="4561" t="n"/>
      <c r="F3576" s="4561" t="n"/>
    </row>
    <row r="3577">
      <c r="A3577" s="4561" t="n"/>
      <c r="B3577" s="4561" t="n"/>
      <c r="C3577" s="4561" t="n"/>
      <c r="D3577" s="4561" t="n"/>
      <c r="E3577" s="4561" t="n"/>
      <c r="F3577" s="4561" t="n"/>
    </row>
    <row r="3578">
      <c r="A3578" s="4561" t="n"/>
      <c r="B3578" s="4561" t="n"/>
      <c r="C3578" s="4561" t="n"/>
      <c r="D3578" s="4561" t="n"/>
      <c r="E3578" s="4561" t="n"/>
      <c r="F3578" s="4561" t="n"/>
    </row>
    <row r="3579">
      <c r="A3579" s="4561" t="n"/>
      <c r="B3579" s="4561" t="n"/>
      <c r="C3579" s="4561" t="n"/>
      <c r="D3579" s="4561" t="n"/>
      <c r="E3579" s="4561" t="n"/>
      <c r="F3579" s="4561" t="n"/>
    </row>
    <row r="3580">
      <c r="A3580" s="4561" t="n"/>
      <c r="B3580" s="4561" t="n"/>
      <c r="C3580" s="4561" t="n"/>
      <c r="D3580" s="4561" t="n"/>
      <c r="E3580" s="4561" t="n"/>
      <c r="F3580" s="4561" t="n"/>
    </row>
    <row r="3581">
      <c r="A3581" s="4561" t="n"/>
      <c r="B3581" s="4561" t="n"/>
      <c r="C3581" s="4561" t="n"/>
      <c r="D3581" s="4561" t="n"/>
      <c r="E3581" s="4561" t="n"/>
      <c r="F3581" s="4561" t="n"/>
    </row>
    <row r="3582">
      <c r="A3582" s="4561" t="n"/>
      <c r="B3582" s="4561" t="n"/>
      <c r="C3582" s="4561" t="n"/>
      <c r="D3582" s="4561" t="n"/>
      <c r="E3582" s="4561" t="n"/>
      <c r="F3582" s="4561" t="n"/>
    </row>
    <row r="3583">
      <c r="A3583" s="4561" t="n"/>
      <c r="B3583" s="4561" t="n"/>
      <c r="C3583" s="4561" t="n"/>
      <c r="D3583" s="4561" t="n"/>
      <c r="E3583" s="4561" t="n"/>
      <c r="F3583" s="4561" t="n"/>
    </row>
    <row r="3584">
      <c r="A3584" s="4561" t="n"/>
      <c r="B3584" s="4561" t="n"/>
      <c r="C3584" s="4561" t="n"/>
      <c r="D3584" s="4561" t="n"/>
      <c r="E3584" s="4561" t="n"/>
      <c r="F3584" s="4561" t="n"/>
    </row>
    <row r="3585">
      <c r="A3585" s="4561" t="n"/>
      <c r="B3585" s="4561" t="n"/>
      <c r="C3585" s="4561" t="n"/>
      <c r="D3585" s="4561" t="n"/>
      <c r="E3585" s="4561" t="n"/>
      <c r="F3585" s="4561" t="n"/>
    </row>
    <row r="3586">
      <c r="A3586" s="4561" t="n"/>
      <c r="B3586" s="4561" t="n"/>
      <c r="C3586" s="4561" t="n"/>
      <c r="D3586" s="4561" t="n"/>
      <c r="E3586" s="4561" t="n"/>
      <c r="F3586" s="4561" t="n"/>
    </row>
    <row r="3587">
      <c r="A3587" s="4561" t="n"/>
      <c r="B3587" s="4561" t="n"/>
      <c r="C3587" s="4561" t="n"/>
      <c r="D3587" s="4561" t="n"/>
      <c r="E3587" s="4561" t="n"/>
      <c r="F3587" s="4561" t="n"/>
    </row>
    <row r="3588">
      <c r="A3588" s="4561" t="n"/>
      <c r="B3588" s="4561" t="n"/>
      <c r="C3588" s="4561" t="n"/>
      <c r="D3588" s="4561" t="n"/>
      <c r="E3588" s="4561" t="n"/>
      <c r="F3588" s="4561" t="n"/>
    </row>
    <row r="3589">
      <c r="A3589" s="4561" t="n"/>
      <c r="B3589" s="4561" t="n"/>
      <c r="C3589" s="4561" t="n"/>
      <c r="D3589" s="4561" t="n"/>
      <c r="E3589" s="4561" t="n"/>
      <c r="F3589" s="4561" t="n"/>
    </row>
    <row r="3590">
      <c r="A3590" s="4561" t="n"/>
      <c r="B3590" s="4561" t="n"/>
      <c r="C3590" s="4561" t="n"/>
      <c r="D3590" s="4561" t="n"/>
      <c r="E3590" s="4561" t="n"/>
      <c r="F3590" s="4561" t="n"/>
    </row>
    <row r="3591">
      <c r="A3591" s="4561" t="n"/>
      <c r="B3591" s="4561" t="n"/>
      <c r="C3591" s="4561" t="n"/>
      <c r="D3591" s="4561" t="n"/>
      <c r="E3591" s="4561" t="n"/>
      <c r="F3591" s="4561" t="n"/>
    </row>
    <row r="3592">
      <c r="A3592" s="4561" t="n"/>
      <c r="B3592" s="4561" t="n"/>
      <c r="C3592" s="4561" t="n"/>
      <c r="D3592" s="4561" t="n"/>
      <c r="E3592" s="4561" t="n"/>
      <c r="F3592" s="4561" t="n"/>
    </row>
    <row r="3593">
      <c r="A3593" s="4561" t="n"/>
      <c r="B3593" s="4561" t="n"/>
      <c r="C3593" s="4561" t="n"/>
      <c r="D3593" s="4561" t="n"/>
      <c r="E3593" s="4561" t="n"/>
      <c r="F3593" s="4561" t="n"/>
    </row>
    <row r="3594">
      <c r="A3594" s="4561" t="n"/>
      <c r="B3594" s="4561" t="n"/>
      <c r="C3594" s="4561" t="n"/>
      <c r="D3594" s="4561" t="n"/>
      <c r="E3594" s="4561" t="n"/>
      <c r="F3594" s="4561" t="n"/>
    </row>
    <row r="3595">
      <c r="A3595" s="4561" t="n"/>
      <c r="B3595" s="4561" t="n"/>
      <c r="C3595" s="4561" t="n"/>
      <c r="D3595" s="4561" t="n"/>
      <c r="E3595" s="4561" t="n"/>
      <c r="F3595" s="4561" t="n"/>
    </row>
    <row r="3596">
      <c r="A3596" s="4561" t="n"/>
      <c r="B3596" s="4561" t="n"/>
      <c r="C3596" s="4561" t="n"/>
      <c r="D3596" s="4561" t="n"/>
      <c r="E3596" s="4561" t="n"/>
      <c r="F3596" s="4561" t="n"/>
    </row>
    <row r="3597">
      <c r="A3597" s="4561" t="n"/>
      <c r="B3597" s="4561" t="n"/>
      <c r="C3597" s="4561" t="n"/>
      <c r="D3597" s="4561" t="n"/>
      <c r="E3597" s="4561" t="n"/>
      <c r="F3597" s="4561" t="n"/>
    </row>
    <row r="3598">
      <c r="A3598" s="4561" t="n"/>
      <c r="B3598" s="4561" t="n"/>
      <c r="C3598" s="4561" t="n"/>
      <c r="D3598" s="4561" t="n"/>
      <c r="E3598" s="4561" t="n"/>
      <c r="F3598" s="4561" t="n"/>
    </row>
    <row r="3599">
      <c r="A3599" s="4561" t="n"/>
      <c r="B3599" s="4561" t="n"/>
      <c r="C3599" s="4561" t="n"/>
      <c r="D3599" s="4561" t="n"/>
      <c r="E3599" s="4561" t="n"/>
      <c r="F3599" s="4561" t="n"/>
    </row>
    <row r="3600">
      <c r="A3600" s="4561" t="n"/>
      <c r="B3600" s="4561" t="n"/>
      <c r="C3600" s="4561" t="n"/>
      <c r="D3600" s="4561" t="n"/>
      <c r="E3600" s="4561" t="n"/>
      <c r="F3600" s="4561" t="n"/>
    </row>
    <row r="3601">
      <c r="A3601" s="4561" t="n"/>
      <c r="B3601" s="4561" t="n"/>
      <c r="C3601" s="4561" t="n"/>
      <c r="D3601" s="4561" t="n"/>
      <c r="E3601" s="4561" t="n"/>
      <c r="F3601" s="4561" t="n"/>
    </row>
    <row r="3602">
      <c r="A3602" s="4561" t="n"/>
      <c r="B3602" s="4561" t="n"/>
      <c r="C3602" s="4561" t="n"/>
      <c r="D3602" s="4561" t="n"/>
      <c r="E3602" s="4561" t="n"/>
      <c r="F3602" s="4561" t="n"/>
    </row>
    <row r="3603">
      <c r="A3603" s="4561" t="n"/>
      <c r="B3603" s="4561" t="n"/>
      <c r="C3603" s="4561" t="n"/>
      <c r="D3603" s="4561" t="n"/>
      <c r="E3603" s="4561" t="n"/>
      <c r="F3603" s="4561" t="n"/>
    </row>
    <row r="3604">
      <c r="A3604" s="4561" t="n"/>
      <c r="B3604" s="4561" t="n"/>
      <c r="C3604" s="4561" t="n"/>
      <c r="D3604" s="4561" t="n"/>
      <c r="E3604" s="4561" t="n"/>
      <c r="F3604" s="4561" t="n"/>
    </row>
    <row r="3605">
      <c r="A3605" s="4561" t="n"/>
      <c r="B3605" s="4561" t="n"/>
      <c r="C3605" s="4561" t="n"/>
      <c r="D3605" s="4561" t="n"/>
      <c r="E3605" s="4561" t="n"/>
      <c r="F3605" s="4561" t="n"/>
    </row>
    <row r="3606">
      <c r="A3606" s="4561" t="n"/>
      <c r="B3606" s="4561" t="n"/>
      <c r="C3606" s="4561" t="n"/>
      <c r="D3606" s="4561" t="n"/>
      <c r="E3606" s="4561" t="n"/>
      <c r="F3606" s="4561" t="n"/>
    </row>
    <row r="3607">
      <c r="A3607" s="4561" t="n"/>
      <c r="B3607" s="4561" t="n"/>
      <c r="C3607" s="4561" t="n"/>
      <c r="D3607" s="4561" t="n"/>
      <c r="E3607" s="4561" t="n"/>
      <c r="F3607" s="4561" t="n"/>
    </row>
    <row r="3608">
      <c r="A3608" s="4561" t="n"/>
      <c r="B3608" s="4561" t="n"/>
      <c r="C3608" s="4561" t="n"/>
      <c r="D3608" s="4561" t="n"/>
      <c r="E3608" s="4561" t="n"/>
      <c r="F3608" s="4561" t="n"/>
    </row>
    <row r="3609">
      <c r="A3609" s="4561" t="n"/>
      <c r="B3609" s="4561" t="n"/>
      <c r="C3609" s="4561" t="n"/>
      <c r="D3609" s="4561" t="n"/>
      <c r="E3609" s="4561" t="n"/>
      <c r="F3609" s="4561" t="n"/>
    </row>
    <row r="3610">
      <c r="A3610" s="4561" t="n"/>
      <c r="B3610" s="4561" t="n"/>
      <c r="C3610" s="4561" t="n"/>
      <c r="D3610" s="4561" t="n"/>
      <c r="E3610" s="4561" t="n"/>
      <c r="F3610" s="4561" t="n"/>
    </row>
    <row r="3611">
      <c r="A3611" s="4561" t="n"/>
      <c r="B3611" s="4561" t="n"/>
      <c r="C3611" s="4561" t="n"/>
      <c r="D3611" s="4561" t="n"/>
      <c r="E3611" s="4561" t="n"/>
      <c r="F3611" s="4561" t="n"/>
    </row>
    <row r="3612">
      <c r="A3612" s="4561" t="n"/>
      <c r="B3612" s="4561" t="n"/>
      <c r="C3612" s="4561" t="n"/>
      <c r="D3612" s="4561" t="n"/>
      <c r="E3612" s="4561" t="n"/>
      <c r="F3612" s="4561" t="n"/>
    </row>
    <row r="3613">
      <c r="A3613" s="4561" t="n"/>
      <c r="B3613" s="4561" t="n"/>
      <c r="C3613" s="4561" t="n"/>
      <c r="D3613" s="4561" t="n"/>
      <c r="E3613" s="4561" t="n"/>
      <c r="F3613" s="4561" t="n"/>
    </row>
    <row r="3614">
      <c r="A3614" s="4561" t="n"/>
      <c r="B3614" s="4561" t="n"/>
      <c r="C3614" s="4561" t="n"/>
      <c r="D3614" s="4561" t="n"/>
      <c r="E3614" s="4561" t="n"/>
      <c r="F3614" s="4561" t="n"/>
    </row>
    <row r="3615">
      <c r="A3615" s="4561" t="n"/>
      <c r="B3615" s="4561" t="n"/>
      <c r="C3615" s="4561" t="n"/>
      <c r="D3615" s="4561" t="n"/>
      <c r="E3615" s="4561" t="n"/>
      <c r="F3615" s="4561" t="n"/>
    </row>
    <row r="3616">
      <c r="A3616" s="4561" t="n"/>
      <c r="B3616" s="4561" t="n"/>
      <c r="C3616" s="4561" t="n"/>
      <c r="D3616" s="4561" t="n"/>
      <c r="E3616" s="4561" t="n"/>
      <c r="F3616" s="4561" t="n"/>
    </row>
    <row r="3617">
      <c r="A3617" s="4561" t="n"/>
      <c r="B3617" s="4561" t="n"/>
      <c r="C3617" s="4561" t="n"/>
      <c r="D3617" s="4561" t="n"/>
      <c r="E3617" s="4561" t="n"/>
      <c r="F3617" s="4561" t="n"/>
    </row>
    <row r="3618">
      <c r="A3618" s="4561" t="n"/>
      <c r="B3618" s="4561" t="n"/>
      <c r="C3618" s="4561" t="n"/>
      <c r="D3618" s="4561" t="n"/>
      <c r="E3618" s="4561" t="n"/>
      <c r="F3618" s="4561" t="n"/>
    </row>
    <row r="3619">
      <c r="A3619" s="4561" t="n"/>
      <c r="B3619" s="4561" t="n"/>
      <c r="C3619" s="4561" t="n"/>
      <c r="D3619" s="4561" t="n"/>
      <c r="E3619" s="4561" t="n"/>
      <c r="F3619" s="4561" t="n"/>
    </row>
    <row r="3620">
      <c r="A3620" s="4561" t="n"/>
      <c r="B3620" s="4561" t="n"/>
      <c r="C3620" s="4561" t="n"/>
      <c r="D3620" s="4561" t="n"/>
      <c r="E3620" s="4561" t="n"/>
      <c r="F3620" s="4561" t="n"/>
    </row>
    <row r="3621">
      <c r="A3621" s="4561" t="n"/>
      <c r="B3621" s="4561" t="n"/>
      <c r="C3621" s="4561" t="n"/>
      <c r="D3621" s="4561" t="n"/>
      <c r="E3621" s="4561" t="n"/>
      <c r="F3621" s="4561" t="n"/>
    </row>
    <row r="3622">
      <c r="A3622" s="4561" t="n"/>
      <c r="B3622" s="4561" t="n"/>
      <c r="C3622" s="4561" t="n"/>
      <c r="D3622" s="4561" t="n"/>
      <c r="E3622" s="4561" t="n"/>
      <c r="F3622" s="4561" t="n"/>
    </row>
    <row r="3623">
      <c r="A3623" s="4561" t="n"/>
      <c r="B3623" s="4561" t="n"/>
      <c r="C3623" s="4561" t="n"/>
      <c r="D3623" s="4561" t="n"/>
      <c r="E3623" s="4561" t="n"/>
      <c r="F3623" s="4561" t="n"/>
    </row>
    <row r="3624">
      <c r="A3624" s="4561" t="n"/>
      <c r="B3624" s="4561" t="n"/>
      <c r="C3624" s="4561" t="n"/>
      <c r="D3624" s="4561" t="n"/>
      <c r="E3624" s="4561" t="n"/>
      <c r="F3624" s="4561" t="n"/>
    </row>
    <row r="3625">
      <c r="A3625" s="4561" t="n"/>
      <c r="B3625" s="4561" t="n"/>
      <c r="C3625" s="4561" t="n"/>
      <c r="D3625" s="4561" t="n"/>
      <c r="E3625" s="4561" t="n"/>
      <c r="F3625" s="4561" t="n"/>
    </row>
    <row r="3626">
      <c r="A3626" s="4561" t="n"/>
      <c r="B3626" s="4561" t="n"/>
      <c r="C3626" s="4561" t="n"/>
      <c r="D3626" s="4561" t="n"/>
      <c r="E3626" s="4561" t="n"/>
      <c r="F3626" s="4561" t="n"/>
    </row>
    <row r="3627">
      <c r="A3627" s="4561" t="n"/>
      <c r="B3627" s="4561" t="n"/>
      <c r="C3627" s="4561" t="n"/>
      <c r="D3627" s="4561" t="n"/>
      <c r="E3627" s="4561" t="n"/>
      <c r="F3627" s="4561" t="n"/>
    </row>
    <row r="3628">
      <c r="A3628" s="4561" t="n"/>
      <c r="B3628" s="4561" t="n"/>
      <c r="C3628" s="4561" t="n"/>
      <c r="D3628" s="4561" t="n"/>
      <c r="E3628" s="4561" t="n"/>
      <c r="F3628" s="4561" t="n"/>
    </row>
    <row r="3629">
      <c r="A3629" s="4561" t="n"/>
      <c r="B3629" s="4561" t="n"/>
      <c r="C3629" s="4561" t="n"/>
      <c r="D3629" s="4561" t="n"/>
      <c r="E3629" s="4561" t="n"/>
      <c r="F3629" s="4561" t="n"/>
    </row>
    <row r="3630">
      <c r="A3630" s="4561" t="n"/>
      <c r="B3630" s="4561" t="n"/>
      <c r="C3630" s="4561" t="n"/>
      <c r="D3630" s="4561" t="n"/>
      <c r="E3630" s="4561" t="n"/>
      <c r="F3630" s="4561" t="n"/>
    </row>
    <row r="3631">
      <c r="A3631" s="4561" t="n"/>
      <c r="B3631" s="4561" t="n"/>
      <c r="C3631" s="4561" t="n"/>
      <c r="D3631" s="4561" t="n"/>
      <c r="E3631" s="4561" t="n"/>
      <c r="F3631" s="4561" t="n"/>
    </row>
    <row r="3632">
      <c r="A3632" s="4561" t="n"/>
      <c r="B3632" s="4561" t="n"/>
      <c r="C3632" s="4561" t="n"/>
      <c r="D3632" s="4561" t="n"/>
      <c r="E3632" s="4561" t="n"/>
      <c r="F3632" s="4561" t="n"/>
    </row>
    <row r="3633">
      <c r="A3633" s="4561" t="n"/>
      <c r="B3633" s="4561" t="n"/>
      <c r="C3633" s="4561" t="n"/>
      <c r="D3633" s="4561" t="n"/>
      <c r="E3633" s="4561" t="n"/>
      <c r="F3633" s="4561" t="n"/>
    </row>
    <row r="3634">
      <c r="A3634" s="4561" t="n"/>
      <c r="B3634" s="4561" t="n"/>
      <c r="C3634" s="4561" t="n"/>
      <c r="D3634" s="4561" t="n"/>
      <c r="E3634" s="4561" t="n"/>
      <c r="F3634" s="4561" t="n"/>
    </row>
    <row r="3635">
      <c r="A3635" s="4561" t="n"/>
      <c r="B3635" s="4561" t="n"/>
      <c r="C3635" s="4561" t="n"/>
      <c r="D3635" s="4561" t="n"/>
      <c r="E3635" s="4561" t="n"/>
      <c r="F3635" s="4561" t="n"/>
    </row>
    <row r="3636">
      <c r="A3636" s="4561" t="n"/>
      <c r="B3636" s="4561" t="n"/>
      <c r="C3636" s="4561" t="n"/>
      <c r="D3636" s="4561" t="n"/>
      <c r="E3636" s="4561" t="n"/>
      <c r="F3636" s="4561" t="n"/>
    </row>
    <row r="3637">
      <c r="A3637" s="4561" t="n"/>
      <c r="B3637" s="4561" t="n"/>
      <c r="C3637" s="4561" t="n"/>
      <c r="D3637" s="4561" t="n"/>
      <c r="E3637" s="4561" t="n"/>
      <c r="F3637" s="4561" t="n"/>
    </row>
    <row r="3638">
      <c r="A3638" s="4561" t="n"/>
      <c r="B3638" s="4561" t="n"/>
      <c r="C3638" s="4561" t="n"/>
      <c r="D3638" s="4561" t="n"/>
      <c r="E3638" s="4561" t="n"/>
      <c r="F3638" s="4561" t="n"/>
    </row>
    <row r="3639">
      <c r="A3639" s="4561" t="n"/>
      <c r="B3639" s="4561" t="n"/>
      <c r="C3639" s="4561" t="n"/>
      <c r="D3639" s="4561" t="n"/>
      <c r="E3639" s="4561" t="n"/>
      <c r="F3639" s="4561" t="n"/>
    </row>
    <row r="3640">
      <c r="A3640" s="4561" t="n"/>
      <c r="B3640" s="4561" t="n"/>
      <c r="C3640" s="4561" t="n"/>
      <c r="D3640" s="4561" t="n"/>
      <c r="E3640" s="4561" t="n"/>
      <c r="F3640" s="4561" t="n"/>
    </row>
    <row r="3641">
      <c r="A3641" s="4561" t="n"/>
      <c r="B3641" s="4561" t="n"/>
      <c r="C3641" s="4561" t="n"/>
      <c r="D3641" s="4561" t="n"/>
      <c r="E3641" s="4561" t="n"/>
      <c r="F3641" s="4561" t="n"/>
    </row>
    <row r="3642">
      <c r="A3642" s="4561" t="n"/>
      <c r="B3642" s="4561" t="n"/>
      <c r="C3642" s="4561" t="n"/>
      <c r="D3642" s="4561" t="n"/>
      <c r="E3642" s="4561" t="n"/>
      <c r="F3642" s="4561" t="n"/>
    </row>
    <row r="3643">
      <c r="A3643" s="4561" t="n"/>
      <c r="B3643" s="4561" t="n"/>
      <c r="C3643" s="4561" t="n"/>
      <c r="D3643" s="4561" t="n"/>
      <c r="E3643" s="4561" t="n"/>
      <c r="F3643" s="4561" t="n"/>
    </row>
    <row r="3644">
      <c r="A3644" s="4561" t="n"/>
      <c r="B3644" s="4561" t="n"/>
      <c r="C3644" s="4561" t="n"/>
      <c r="D3644" s="4561" t="n"/>
      <c r="E3644" s="4561" t="n"/>
      <c r="F3644" s="4561" t="n"/>
    </row>
    <row r="3645">
      <c r="A3645" s="4561" t="n"/>
      <c r="B3645" s="4561" t="n"/>
      <c r="C3645" s="4561" t="n"/>
      <c r="D3645" s="4561" t="n"/>
      <c r="E3645" s="4561" t="n"/>
      <c r="F3645" s="4561" t="n"/>
    </row>
    <row r="3646">
      <c r="A3646" s="4561" t="n"/>
      <c r="B3646" s="4561" t="n"/>
      <c r="C3646" s="4561" t="n"/>
      <c r="D3646" s="4561" t="n"/>
      <c r="E3646" s="4561" t="n"/>
      <c r="F3646" s="4561" t="n"/>
    </row>
    <row r="3647">
      <c r="A3647" s="4561" t="n"/>
      <c r="B3647" s="4561" t="n"/>
      <c r="C3647" s="4561" t="n"/>
      <c r="D3647" s="4561" t="n"/>
      <c r="E3647" s="4561" t="n"/>
      <c r="F3647" s="4561" t="n"/>
    </row>
    <row r="3648">
      <c r="A3648" s="4561" t="n"/>
      <c r="B3648" s="4561" t="n"/>
      <c r="C3648" s="4561" t="n"/>
      <c r="D3648" s="4561" t="n"/>
      <c r="E3648" s="4561" t="n"/>
      <c r="F3648" s="4561" t="n"/>
    </row>
    <row r="3649">
      <c r="A3649" s="4561" t="n"/>
      <c r="B3649" s="4561" t="n"/>
      <c r="C3649" s="4561" t="n"/>
      <c r="D3649" s="4561" t="n"/>
      <c r="E3649" s="4561" t="n"/>
      <c r="F3649" s="4561" t="n"/>
    </row>
    <row r="3650">
      <c r="A3650" s="4561" t="n"/>
      <c r="B3650" s="4561" t="n"/>
      <c r="C3650" s="4561" t="n"/>
      <c r="D3650" s="4561" t="n"/>
      <c r="E3650" s="4561" t="n"/>
      <c r="F3650" s="4561" t="n"/>
    </row>
    <row r="3651">
      <c r="A3651" s="4561" t="n"/>
      <c r="B3651" s="4561" t="n"/>
      <c r="C3651" s="4561" t="n"/>
      <c r="D3651" s="4561" t="n"/>
      <c r="E3651" s="4561" t="n"/>
      <c r="F3651" s="4561" t="n"/>
    </row>
    <row r="3652">
      <c r="A3652" s="4561" t="n"/>
      <c r="B3652" s="4561" t="n"/>
      <c r="C3652" s="4561" t="n"/>
      <c r="D3652" s="4561" t="n"/>
      <c r="E3652" s="4561" t="n"/>
      <c r="F3652" s="4561" t="n"/>
    </row>
    <row r="3653">
      <c r="A3653" s="4561" t="n"/>
      <c r="B3653" s="4561" t="n"/>
      <c r="C3653" s="4561" t="n"/>
      <c r="D3653" s="4561" t="n"/>
      <c r="E3653" s="4561" t="n"/>
      <c r="F3653" s="4561" t="n"/>
    </row>
    <row r="3654">
      <c r="A3654" s="4561" t="n"/>
      <c r="B3654" s="4561" t="n"/>
      <c r="C3654" s="4561" t="n"/>
      <c r="D3654" s="4561" t="n"/>
      <c r="E3654" s="4561" t="n"/>
      <c r="F3654" s="4561" t="n"/>
    </row>
    <row r="3655">
      <c r="A3655" s="4561" t="n"/>
      <c r="B3655" s="4561" t="n"/>
      <c r="C3655" s="4561" t="n"/>
      <c r="D3655" s="4561" t="n"/>
      <c r="E3655" s="4561" t="n"/>
      <c r="F3655" s="4561" t="n"/>
    </row>
    <row r="3656">
      <c r="A3656" s="4561" t="n"/>
      <c r="B3656" s="4561" t="n"/>
      <c r="C3656" s="4561" t="n"/>
      <c r="D3656" s="4561" t="n"/>
      <c r="E3656" s="4561" t="n"/>
      <c r="F3656" s="4561" t="n"/>
    </row>
    <row r="3657">
      <c r="A3657" s="4561" t="n"/>
      <c r="B3657" s="4561" t="n"/>
      <c r="C3657" s="4561" t="n"/>
      <c r="D3657" s="4561" t="n"/>
      <c r="E3657" s="4561" t="n"/>
      <c r="F3657" s="4561" t="n"/>
    </row>
    <row r="3658">
      <c r="A3658" s="4561" t="n"/>
      <c r="B3658" s="4561" t="n"/>
      <c r="C3658" s="4561" t="n"/>
      <c r="D3658" s="4561" t="n"/>
      <c r="E3658" s="4561" t="n"/>
      <c r="F3658" s="4561" t="n"/>
    </row>
    <row r="3659">
      <c r="A3659" s="4561" t="n"/>
      <c r="B3659" s="4561" t="n"/>
      <c r="C3659" s="4561" t="n"/>
      <c r="D3659" s="4561" t="n"/>
      <c r="E3659" s="4561" t="n"/>
      <c r="F3659" s="4561" t="n"/>
    </row>
    <row r="3660">
      <c r="A3660" s="4561" t="n"/>
      <c r="B3660" s="4561" t="n"/>
      <c r="C3660" s="4561" t="n"/>
      <c r="D3660" s="4561" t="n"/>
      <c r="E3660" s="4561" t="n"/>
      <c r="F3660" s="4561" t="n"/>
    </row>
    <row r="3661">
      <c r="A3661" s="4561" t="n"/>
      <c r="B3661" s="4561" t="n"/>
      <c r="C3661" s="4561" t="n"/>
      <c r="D3661" s="4561" t="n"/>
      <c r="E3661" s="4561" t="n"/>
      <c r="F3661" s="4561" t="n"/>
    </row>
    <row r="3662">
      <c r="A3662" s="4561" t="n"/>
      <c r="B3662" s="4561" t="n"/>
      <c r="C3662" s="4561" t="n"/>
      <c r="D3662" s="4561" t="n"/>
      <c r="E3662" s="4561" t="n"/>
      <c r="F3662" s="4561" t="n"/>
    </row>
    <row r="3663">
      <c r="A3663" s="4561" t="n"/>
      <c r="B3663" s="4561" t="n"/>
      <c r="C3663" s="4561" t="n"/>
      <c r="D3663" s="4561" t="n"/>
      <c r="E3663" s="4561" t="n"/>
      <c r="F3663" s="4561" t="n"/>
    </row>
    <row r="3664">
      <c r="A3664" s="4561" t="n"/>
      <c r="B3664" s="4561" t="n"/>
      <c r="C3664" s="4561" t="n"/>
      <c r="D3664" s="4561" t="n"/>
      <c r="E3664" s="4561" t="n"/>
      <c r="F3664" s="4561" t="n"/>
    </row>
    <row r="3665">
      <c r="A3665" s="4561" t="n"/>
      <c r="B3665" s="4561" t="n"/>
      <c r="C3665" s="4561" t="n"/>
      <c r="D3665" s="4561" t="n"/>
      <c r="E3665" s="4561" t="n"/>
      <c r="F3665" s="4561" t="n"/>
    </row>
    <row r="3666">
      <c r="A3666" s="4561" t="n"/>
      <c r="B3666" s="4561" t="n"/>
      <c r="C3666" s="4561" t="n"/>
      <c r="D3666" s="4561" t="n"/>
      <c r="E3666" s="4561" t="n"/>
      <c r="F3666" s="4561" t="n"/>
    </row>
    <row r="3667">
      <c r="A3667" s="4561" t="n"/>
      <c r="B3667" s="4561" t="n"/>
      <c r="C3667" s="4561" t="n"/>
      <c r="D3667" s="4561" t="n"/>
      <c r="E3667" s="4561" t="n"/>
      <c r="F3667" s="4561" t="n"/>
    </row>
    <row r="3668">
      <c r="A3668" s="4561" t="n"/>
      <c r="B3668" s="4561" t="n"/>
      <c r="C3668" s="4561" t="n"/>
      <c r="D3668" s="4561" t="n"/>
      <c r="E3668" s="4561" t="n"/>
      <c r="F3668" s="4561" t="n"/>
    </row>
    <row r="3669">
      <c r="A3669" s="4561" t="n"/>
      <c r="B3669" s="4561" t="n"/>
      <c r="C3669" s="4561" t="n"/>
      <c r="D3669" s="4561" t="n"/>
      <c r="E3669" s="4561" t="n"/>
      <c r="F3669" s="4561" t="n"/>
    </row>
    <row r="3670">
      <c r="A3670" s="4561" t="n"/>
      <c r="B3670" s="4561" t="n"/>
      <c r="C3670" s="4561" t="n"/>
      <c r="D3670" s="4561" t="n"/>
      <c r="E3670" s="4561" t="n"/>
      <c r="F3670" s="4561" t="n"/>
    </row>
    <row r="3671">
      <c r="A3671" s="4561" t="n"/>
      <c r="B3671" s="4561" t="n"/>
      <c r="C3671" s="4561" t="n"/>
      <c r="D3671" s="4561" t="n"/>
      <c r="E3671" s="4561" t="n"/>
      <c r="F3671" s="4561" t="n"/>
    </row>
    <row r="3672">
      <c r="A3672" s="4561" t="n"/>
      <c r="B3672" s="4561" t="n"/>
      <c r="C3672" s="4561" t="n"/>
      <c r="D3672" s="4561" t="n"/>
      <c r="E3672" s="4561" t="n"/>
      <c r="F3672" s="4561" t="n"/>
    </row>
    <row r="3673">
      <c r="A3673" s="4561" t="n"/>
      <c r="B3673" s="4561" t="n"/>
      <c r="C3673" s="4561" t="n"/>
      <c r="D3673" s="4561" t="n"/>
      <c r="E3673" s="4561" t="n"/>
      <c r="F3673" s="4561" t="n"/>
    </row>
    <row r="3674">
      <c r="A3674" s="4561" t="n"/>
      <c r="B3674" s="4561" t="n"/>
      <c r="C3674" s="4561" t="n"/>
      <c r="D3674" s="4561" t="n"/>
      <c r="E3674" s="4561" t="n"/>
      <c r="F3674" s="4561" t="n"/>
    </row>
    <row r="3675">
      <c r="A3675" s="4561" t="n"/>
      <c r="B3675" s="4561" t="n"/>
      <c r="C3675" s="4561" t="n"/>
      <c r="D3675" s="4561" t="n"/>
      <c r="E3675" s="4561" t="n"/>
      <c r="F3675" s="4561" t="n"/>
    </row>
    <row r="3676">
      <c r="A3676" s="4561" t="n"/>
      <c r="B3676" s="4561" t="n"/>
      <c r="C3676" s="4561" t="n"/>
      <c r="D3676" s="4561" t="n"/>
      <c r="E3676" s="4561" t="n"/>
      <c r="F3676" s="4561" t="n"/>
    </row>
    <row r="3677">
      <c r="A3677" s="4561" t="n"/>
      <c r="B3677" s="4561" t="n"/>
      <c r="C3677" s="4561" t="n"/>
      <c r="D3677" s="4561" t="n"/>
      <c r="E3677" s="4561" t="n"/>
      <c r="F3677" s="4561" t="n"/>
    </row>
    <row r="3678">
      <c r="A3678" s="4561" t="n"/>
      <c r="B3678" s="4561" t="n"/>
      <c r="C3678" s="4561" t="n"/>
      <c r="D3678" s="4561" t="n"/>
      <c r="E3678" s="4561" t="n"/>
      <c r="F3678" s="4561" t="n"/>
    </row>
    <row r="3679">
      <c r="A3679" s="4561" t="n"/>
      <c r="B3679" s="4561" t="n"/>
      <c r="C3679" s="4561" t="n"/>
      <c r="D3679" s="4561" t="n"/>
      <c r="E3679" s="4561" t="n"/>
      <c r="F3679" s="4561" t="n"/>
    </row>
    <row r="3680">
      <c r="A3680" s="4561" t="n"/>
      <c r="B3680" s="4561" t="n"/>
      <c r="C3680" s="4561" t="n"/>
      <c r="D3680" s="4561" t="n"/>
      <c r="E3680" s="4561" t="n"/>
      <c r="F3680" s="4561" t="n"/>
    </row>
    <row r="3681">
      <c r="A3681" s="4561" t="n"/>
      <c r="B3681" s="4561" t="n"/>
      <c r="C3681" s="4561" t="n"/>
      <c r="D3681" s="4561" t="n"/>
      <c r="E3681" s="4561" t="n"/>
      <c r="F3681" s="4561" t="n"/>
    </row>
    <row r="3682">
      <c r="A3682" s="4561" t="n"/>
      <c r="B3682" s="4561" t="n"/>
      <c r="C3682" s="4561" t="n"/>
      <c r="D3682" s="4561" t="n"/>
      <c r="E3682" s="4561" t="n"/>
      <c r="F3682" s="4561" t="n"/>
    </row>
    <row r="3683">
      <c r="A3683" s="4561" t="n"/>
      <c r="B3683" s="4561" t="n"/>
      <c r="C3683" s="4561" t="n"/>
      <c r="D3683" s="4561" t="n"/>
      <c r="E3683" s="4561" t="n"/>
      <c r="F3683" s="4561" t="n"/>
    </row>
    <row r="3684">
      <c r="A3684" s="4561" t="n"/>
      <c r="B3684" s="4561" t="n"/>
      <c r="C3684" s="4561" t="n"/>
      <c r="D3684" s="4561" t="n"/>
      <c r="E3684" s="4561" t="n"/>
      <c r="F3684" s="4561" t="n"/>
    </row>
    <row r="3685">
      <c r="A3685" s="4561" t="n"/>
      <c r="B3685" s="4561" t="n"/>
      <c r="C3685" s="4561" t="n"/>
      <c r="D3685" s="4561" t="n"/>
      <c r="E3685" s="4561" t="n"/>
      <c r="F3685" s="4561" t="n"/>
    </row>
    <row r="3686">
      <c r="A3686" s="4561" t="n"/>
      <c r="B3686" s="4561" t="n"/>
      <c r="C3686" s="4561" t="n"/>
      <c r="D3686" s="4561" t="n"/>
      <c r="E3686" s="4561" t="n"/>
      <c r="F3686" s="4561" t="n"/>
    </row>
    <row r="3687">
      <c r="A3687" s="4561" t="n"/>
      <c r="B3687" s="4561" t="n"/>
      <c r="C3687" s="4561" t="n"/>
      <c r="D3687" s="4561" t="n"/>
      <c r="E3687" s="4561" t="n"/>
      <c r="F3687" s="4561" t="n"/>
    </row>
    <row r="3688">
      <c r="A3688" s="4561" t="n"/>
      <c r="B3688" s="4561" t="n"/>
      <c r="C3688" s="4561" t="n"/>
      <c r="D3688" s="4561" t="n"/>
      <c r="E3688" s="4561" t="n"/>
      <c r="F3688" s="4561" t="n"/>
    </row>
    <row r="3689">
      <c r="A3689" s="4561" t="n"/>
      <c r="B3689" s="4561" t="n"/>
      <c r="C3689" s="4561" t="n"/>
      <c r="D3689" s="4561" t="n"/>
      <c r="E3689" s="4561" t="n"/>
      <c r="F3689" s="4561" t="n"/>
    </row>
    <row r="3690">
      <c r="A3690" s="4561" t="n"/>
      <c r="B3690" s="4561" t="n"/>
      <c r="C3690" s="4561" t="n"/>
      <c r="D3690" s="4561" t="n"/>
      <c r="E3690" s="4561" t="n"/>
      <c r="F3690" s="4561" t="n"/>
    </row>
    <row r="3691">
      <c r="A3691" s="4561" t="n"/>
      <c r="B3691" s="4561" t="n"/>
      <c r="C3691" s="4561" t="n"/>
      <c r="D3691" s="4561" t="n"/>
      <c r="E3691" s="4561" t="n"/>
      <c r="F3691" s="4561" t="n"/>
    </row>
    <row r="3692">
      <c r="A3692" s="4561" t="n"/>
      <c r="B3692" s="4561" t="n"/>
      <c r="C3692" s="4561" t="n"/>
      <c r="D3692" s="4561" t="n"/>
      <c r="E3692" s="4561" t="n"/>
      <c r="F3692" s="4561" t="n"/>
    </row>
    <row r="3693">
      <c r="A3693" s="4561" t="n"/>
      <c r="B3693" s="4561" t="n"/>
      <c r="C3693" s="4561" t="n"/>
      <c r="D3693" s="4561" t="n"/>
      <c r="E3693" s="4561" t="n"/>
      <c r="F3693" s="4561" t="n"/>
    </row>
    <row r="3694">
      <c r="A3694" s="4561" t="n"/>
      <c r="B3694" s="4561" t="n"/>
      <c r="C3694" s="4561" t="n"/>
      <c r="D3694" s="4561" t="n"/>
      <c r="E3694" s="4561" t="n"/>
      <c r="F3694" s="4561" t="n"/>
    </row>
    <row r="3695">
      <c r="A3695" s="4561" t="n"/>
      <c r="B3695" s="4561" t="n"/>
      <c r="C3695" s="4561" t="n"/>
      <c r="D3695" s="4561" t="n"/>
      <c r="E3695" s="4561" t="n"/>
      <c r="F3695" s="4561" t="n"/>
    </row>
    <row r="3696">
      <c r="A3696" s="4561" t="n"/>
      <c r="B3696" s="4561" t="n"/>
      <c r="C3696" s="4561" t="n"/>
      <c r="D3696" s="4561" t="n"/>
      <c r="E3696" s="4561" t="n"/>
      <c r="F3696" s="4561" t="n"/>
    </row>
    <row r="3697">
      <c r="A3697" s="4561" t="n"/>
      <c r="B3697" s="4561" t="n"/>
      <c r="C3697" s="4561" t="n"/>
      <c r="D3697" s="4561" t="n"/>
      <c r="E3697" s="4561" t="n"/>
      <c r="F3697" s="4561" t="n"/>
    </row>
    <row r="3698">
      <c r="A3698" s="4561" t="n"/>
      <c r="B3698" s="4561" t="n"/>
      <c r="C3698" s="4561" t="n"/>
      <c r="D3698" s="4561" t="n"/>
      <c r="E3698" s="4561" t="n"/>
      <c r="F3698" s="4561" t="n"/>
    </row>
    <row r="3699">
      <c r="A3699" s="4561" t="n"/>
      <c r="B3699" s="4561" t="n"/>
      <c r="C3699" s="4561" t="n"/>
      <c r="D3699" s="4561" t="n"/>
      <c r="E3699" s="4561" t="n"/>
      <c r="F3699" s="4561" t="n"/>
    </row>
    <row r="3700">
      <c r="A3700" s="4561" t="n"/>
      <c r="B3700" s="4561" t="n"/>
      <c r="C3700" s="4561" t="n"/>
      <c r="D3700" s="4561" t="n"/>
      <c r="E3700" s="4561" t="n"/>
      <c r="F3700" s="4561" t="n"/>
    </row>
    <row r="3701">
      <c r="A3701" s="4561" t="n"/>
      <c r="B3701" s="4561" t="n"/>
      <c r="C3701" s="4561" t="n"/>
      <c r="D3701" s="4561" t="n"/>
      <c r="E3701" s="4561" t="n"/>
      <c r="F3701" s="4561" t="n"/>
    </row>
    <row r="3702">
      <c r="A3702" s="4561" t="n"/>
      <c r="B3702" s="4561" t="n"/>
      <c r="C3702" s="4561" t="n"/>
      <c r="D3702" s="4561" t="n"/>
      <c r="E3702" s="4561" t="n"/>
      <c r="F3702" s="4561" t="n"/>
    </row>
    <row r="3703">
      <c r="A3703" s="4561" t="n"/>
      <c r="B3703" s="4561" t="n"/>
      <c r="C3703" s="4561" t="n"/>
      <c r="D3703" s="4561" t="n"/>
      <c r="E3703" s="4561" t="n"/>
      <c r="F3703" s="4561" t="n"/>
    </row>
    <row r="3704">
      <c r="A3704" s="4561" t="n"/>
      <c r="B3704" s="4561" t="n"/>
      <c r="C3704" s="4561" t="n"/>
      <c r="D3704" s="4561" t="n"/>
      <c r="E3704" s="4561" t="n"/>
      <c r="F3704" s="4561" t="n"/>
    </row>
    <row r="3705">
      <c r="A3705" s="4561" t="n"/>
      <c r="B3705" s="4561" t="n"/>
      <c r="C3705" s="4561" t="n"/>
      <c r="D3705" s="4561" t="n"/>
      <c r="E3705" s="4561" t="n"/>
      <c r="F3705" s="4561" t="n"/>
    </row>
    <row r="3706">
      <c r="A3706" s="4561" t="n"/>
      <c r="B3706" s="4561" t="n"/>
      <c r="C3706" s="4561" t="n"/>
      <c r="D3706" s="4561" t="n"/>
      <c r="E3706" s="4561" t="n"/>
      <c r="F3706" s="4561" t="n"/>
    </row>
    <row r="3707">
      <c r="A3707" s="4561" t="n"/>
      <c r="B3707" s="4561" t="n"/>
      <c r="C3707" s="4561" t="n"/>
      <c r="D3707" s="4561" t="n"/>
      <c r="E3707" s="4561" t="n"/>
      <c r="F3707" s="4561" t="n"/>
    </row>
    <row r="3708">
      <c r="A3708" s="4561" t="n"/>
      <c r="B3708" s="4561" t="n"/>
      <c r="C3708" s="4561" t="n"/>
      <c r="D3708" s="4561" t="n"/>
      <c r="E3708" s="4561" t="n"/>
      <c r="F3708" s="4561" t="n"/>
    </row>
    <row r="3709">
      <c r="A3709" s="4561" t="n"/>
      <c r="B3709" s="4561" t="n"/>
      <c r="C3709" s="4561" t="n"/>
      <c r="D3709" s="4561" t="n"/>
      <c r="E3709" s="4561" t="n"/>
      <c r="F3709" s="4561" t="n"/>
    </row>
    <row r="3710">
      <c r="A3710" s="4561" t="n"/>
      <c r="B3710" s="4561" t="n"/>
      <c r="C3710" s="4561" t="n"/>
      <c r="D3710" s="4561" t="n"/>
      <c r="E3710" s="4561" t="n"/>
      <c r="F3710" s="4561" t="n"/>
    </row>
    <row r="3711">
      <c r="A3711" s="4561" t="n"/>
      <c r="B3711" s="4561" t="n"/>
      <c r="C3711" s="4561" t="n"/>
      <c r="D3711" s="4561" t="n"/>
      <c r="E3711" s="4561" t="n"/>
      <c r="F3711" s="4561" t="n"/>
    </row>
    <row r="3712">
      <c r="A3712" s="4561" t="n"/>
      <c r="B3712" s="4561" t="n"/>
      <c r="C3712" s="4561" t="n"/>
      <c r="D3712" s="4561" t="n"/>
      <c r="E3712" s="4561" t="n"/>
      <c r="F3712" s="4561" t="n"/>
    </row>
    <row r="3713">
      <c r="A3713" s="4561" t="n"/>
      <c r="B3713" s="4561" t="n"/>
      <c r="C3713" s="4561" t="n"/>
      <c r="D3713" s="4561" t="n"/>
      <c r="E3713" s="4561" t="n"/>
      <c r="F3713" s="4561" t="n"/>
    </row>
    <row r="3714">
      <c r="A3714" s="4561" t="n"/>
      <c r="B3714" s="4561" t="n"/>
      <c r="C3714" s="4561" t="n"/>
      <c r="D3714" s="4561" t="n"/>
      <c r="E3714" s="4561" t="n"/>
      <c r="F3714" s="4561" t="n"/>
    </row>
    <row r="3715">
      <c r="A3715" s="4561" t="n"/>
      <c r="B3715" s="4561" t="n"/>
      <c r="C3715" s="4561" t="n"/>
      <c r="D3715" s="4561" t="n"/>
      <c r="E3715" s="4561" t="n"/>
      <c r="F3715" s="4561" t="n"/>
    </row>
    <row r="3716">
      <c r="A3716" s="4561" t="n"/>
      <c r="B3716" s="4561" t="n"/>
      <c r="C3716" s="4561" t="n"/>
      <c r="D3716" s="4561" t="n"/>
      <c r="E3716" s="4561" t="n"/>
      <c r="F3716" s="4561" t="n"/>
    </row>
    <row r="3717">
      <c r="A3717" s="4561" t="n"/>
      <c r="B3717" s="4561" t="n"/>
      <c r="C3717" s="4561" t="n"/>
      <c r="D3717" s="4561" t="n"/>
      <c r="E3717" s="4561" t="n"/>
      <c r="F3717" s="4561" t="n"/>
    </row>
    <row r="3718">
      <c r="A3718" s="4561" t="n"/>
      <c r="B3718" s="4561" t="n"/>
      <c r="C3718" s="4561" t="n"/>
      <c r="D3718" s="4561" t="n"/>
      <c r="E3718" s="4561" t="n"/>
      <c r="F3718" s="4561" t="n"/>
    </row>
    <row r="3719">
      <c r="A3719" s="4561" t="n"/>
      <c r="B3719" s="4561" t="n"/>
      <c r="C3719" s="4561" t="n"/>
      <c r="D3719" s="4561" t="n"/>
      <c r="E3719" s="4561" t="n"/>
      <c r="F3719" s="4561" t="n"/>
    </row>
    <row r="3720">
      <c r="A3720" s="4561" t="n"/>
      <c r="B3720" s="4561" t="n"/>
      <c r="C3720" s="4561" t="n"/>
      <c r="D3720" s="4561" t="n"/>
      <c r="E3720" s="4561" t="n"/>
      <c r="F3720" s="4561" t="n"/>
    </row>
    <row r="3721">
      <c r="A3721" s="4561" t="n"/>
      <c r="B3721" s="4561" t="n"/>
      <c r="C3721" s="4561" t="n"/>
      <c r="D3721" s="4561" t="n"/>
      <c r="E3721" s="4561" t="n"/>
      <c r="F3721" s="4561" t="n"/>
    </row>
    <row r="3722">
      <c r="A3722" s="4561" t="n"/>
      <c r="B3722" s="4561" t="n"/>
      <c r="C3722" s="4561" t="n"/>
      <c r="D3722" s="4561" t="n"/>
      <c r="E3722" s="4561" t="n"/>
      <c r="F3722" s="4561" t="n"/>
    </row>
    <row r="3723">
      <c r="A3723" s="4561" t="n"/>
      <c r="B3723" s="4561" t="n"/>
      <c r="C3723" s="4561" t="n"/>
      <c r="D3723" s="4561" t="n"/>
      <c r="E3723" s="4561" t="n"/>
      <c r="F3723" s="4561" t="n"/>
    </row>
    <row r="3724">
      <c r="A3724" s="4561" t="n"/>
      <c r="B3724" s="4561" t="n"/>
      <c r="C3724" s="4561" t="n"/>
      <c r="D3724" s="4561" t="n"/>
      <c r="E3724" s="4561" t="n"/>
      <c r="F3724" s="4561" t="n"/>
    </row>
    <row r="3725">
      <c r="A3725" s="4561" t="n"/>
      <c r="B3725" s="4561" t="n"/>
      <c r="C3725" s="4561" t="n"/>
      <c r="D3725" s="4561" t="n"/>
      <c r="E3725" s="4561" t="n"/>
      <c r="F3725" s="4561" t="n"/>
    </row>
    <row r="3726">
      <c r="A3726" s="4561" t="n"/>
      <c r="B3726" s="4561" t="n"/>
      <c r="C3726" s="4561" t="n"/>
      <c r="D3726" s="4561" t="n"/>
      <c r="E3726" s="4561" t="n"/>
      <c r="F3726" s="4561" t="n"/>
    </row>
    <row r="3727">
      <c r="A3727" s="4561" t="n"/>
      <c r="B3727" s="4561" t="n"/>
      <c r="C3727" s="4561" t="n"/>
      <c r="D3727" s="4561" t="n"/>
      <c r="E3727" s="4561" t="n"/>
      <c r="F3727" s="4561" t="n"/>
    </row>
    <row r="3728">
      <c r="A3728" s="4561" t="n"/>
      <c r="B3728" s="4561" t="n"/>
      <c r="C3728" s="4561" t="n"/>
      <c r="D3728" s="4561" t="n"/>
      <c r="E3728" s="4561" t="n"/>
      <c r="F3728" s="4561" t="n"/>
    </row>
    <row r="3729">
      <c r="A3729" s="4561" t="n"/>
      <c r="B3729" s="4561" t="n"/>
      <c r="C3729" s="4561" t="n"/>
      <c r="D3729" s="4561" t="n"/>
      <c r="E3729" s="4561" t="n"/>
      <c r="F3729" s="4561" t="n"/>
    </row>
    <row r="3730">
      <c r="A3730" s="4561" t="n"/>
      <c r="B3730" s="4561" t="n"/>
      <c r="C3730" s="4561" t="n"/>
      <c r="D3730" s="4561" t="n"/>
      <c r="E3730" s="4561" t="n"/>
      <c r="F3730" s="4561" t="n"/>
    </row>
    <row r="3731">
      <c r="A3731" s="4561" t="n"/>
      <c r="B3731" s="4561" t="n"/>
      <c r="C3731" s="4561" t="n"/>
      <c r="D3731" s="4561" t="n"/>
      <c r="E3731" s="4561" t="n"/>
      <c r="F3731" s="4561" t="n"/>
    </row>
    <row r="3732">
      <c r="A3732" s="4561" t="n"/>
      <c r="B3732" s="4561" t="n"/>
      <c r="C3732" s="4561" t="n"/>
      <c r="D3732" s="4561" t="n"/>
      <c r="E3732" s="4561" t="n"/>
      <c r="F3732" s="4561" t="n"/>
    </row>
    <row r="3733">
      <c r="A3733" s="4561" t="n"/>
      <c r="B3733" s="4561" t="n"/>
      <c r="C3733" s="4561" t="n"/>
      <c r="D3733" s="4561" t="n"/>
      <c r="E3733" s="4561" t="n"/>
      <c r="F3733" s="4561" t="n"/>
    </row>
    <row r="3734">
      <c r="A3734" s="4561" t="n"/>
      <c r="B3734" s="4561" t="n"/>
      <c r="C3734" s="4561" t="n"/>
      <c r="D3734" s="4561" t="n"/>
      <c r="E3734" s="4561" t="n"/>
      <c r="F3734" s="4561" t="n"/>
    </row>
    <row r="3735">
      <c r="A3735" s="4561" t="n"/>
      <c r="B3735" s="4561" t="n"/>
      <c r="C3735" s="4561" t="n"/>
      <c r="D3735" s="4561" t="n"/>
      <c r="E3735" s="4561" t="n"/>
      <c r="F3735" s="4561" t="n"/>
    </row>
    <row r="3736">
      <c r="A3736" s="4561" t="n"/>
      <c r="B3736" s="4561" t="n"/>
      <c r="C3736" s="4561" t="n"/>
      <c r="D3736" s="4561" t="n"/>
      <c r="E3736" s="4561" t="n"/>
      <c r="F3736" s="4561" t="n"/>
    </row>
    <row r="3737">
      <c r="A3737" s="4561" t="n"/>
      <c r="B3737" s="4561" t="n"/>
      <c r="C3737" s="4561" t="n"/>
      <c r="D3737" s="4561" t="n"/>
      <c r="E3737" s="4561" t="n"/>
      <c r="F3737" s="4561" t="n"/>
    </row>
    <row r="3738">
      <c r="A3738" s="4561" t="n"/>
      <c r="B3738" s="4561" t="n"/>
      <c r="C3738" s="4561" t="n"/>
      <c r="D3738" s="4561" t="n"/>
      <c r="E3738" s="4561" t="n"/>
      <c r="F3738" s="4561" t="n"/>
    </row>
    <row r="3739">
      <c r="A3739" s="4561" t="n"/>
      <c r="B3739" s="4561" t="n"/>
      <c r="C3739" s="4561" t="n"/>
      <c r="D3739" s="4561" t="n"/>
      <c r="E3739" s="4561" t="n"/>
      <c r="F3739" s="4561" t="n"/>
    </row>
    <row r="3740">
      <c r="A3740" s="4561" t="n"/>
      <c r="B3740" s="4561" t="n"/>
      <c r="C3740" s="4561" t="n"/>
      <c r="D3740" s="4561" t="n"/>
      <c r="E3740" s="4561" t="n"/>
      <c r="F3740" s="4561" t="n"/>
    </row>
    <row r="3741">
      <c r="A3741" s="4561" t="n"/>
      <c r="B3741" s="4561" t="n"/>
      <c r="C3741" s="4561" t="n"/>
      <c r="D3741" s="4561" t="n"/>
      <c r="E3741" s="4561" t="n"/>
      <c r="F3741" s="4561" t="n"/>
    </row>
    <row r="3742">
      <c r="A3742" s="4561" t="n"/>
      <c r="B3742" s="4561" t="n"/>
      <c r="C3742" s="4561" t="n"/>
      <c r="D3742" s="4561" t="n"/>
      <c r="E3742" s="4561" t="n"/>
      <c r="F3742" s="4561" t="n"/>
    </row>
    <row r="3743">
      <c r="A3743" s="4561" t="n"/>
      <c r="B3743" s="4561" t="n"/>
      <c r="C3743" s="4561" t="n"/>
      <c r="D3743" s="4561" t="n"/>
      <c r="E3743" s="4561" t="n"/>
      <c r="F3743" s="4561" t="n"/>
    </row>
    <row r="3744">
      <c r="A3744" s="4561" t="n"/>
      <c r="B3744" s="4561" t="n"/>
      <c r="C3744" s="4561" t="n"/>
      <c r="D3744" s="4561" t="n"/>
      <c r="E3744" s="4561" t="n"/>
      <c r="F3744" s="4561" t="n"/>
    </row>
    <row r="3745">
      <c r="A3745" s="4561" t="n"/>
      <c r="B3745" s="4561" t="n"/>
      <c r="C3745" s="4561" t="n"/>
      <c r="D3745" s="4561" t="n"/>
      <c r="E3745" s="4561" t="n"/>
      <c r="F3745" s="4561" t="n"/>
    </row>
    <row r="3746">
      <c r="A3746" s="4561" t="n"/>
      <c r="B3746" s="4561" t="n"/>
      <c r="C3746" s="4561" t="n"/>
      <c r="D3746" s="4561" t="n"/>
      <c r="E3746" s="4561" t="n"/>
      <c r="F3746" s="4561" t="n"/>
    </row>
    <row r="3747">
      <c r="A3747" s="4561" t="n"/>
      <c r="B3747" s="4561" t="n"/>
      <c r="C3747" s="4561" t="n"/>
      <c r="D3747" s="4561" t="n"/>
      <c r="E3747" s="4561" t="n"/>
      <c r="F3747" s="4561" t="n"/>
    </row>
    <row r="3748">
      <c r="A3748" s="4561" t="n"/>
      <c r="B3748" s="4561" t="n"/>
      <c r="C3748" s="4561" t="n"/>
      <c r="D3748" s="4561" t="n"/>
      <c r="E3748" s="4561" t="n"/>
      <c r="F3748" s="4561" t="n"/>
    </row>
    <row r="3749">
      <c r="A3749" s="4561" t="n"/>
      <c r="B3749" s="4561" t="n"/>
      <c r="C3749" s="4561" t="n"/>
      <c r="D3749" s="4561" t="n"/>
      <c r="E3749" s="4561" t="n"/>
      <c r="F3749" s="4561" t="n"/>
    </row>
    <row r="3750">
      <c r="A3750" s="4561" t="n"/>
      <c r="B3750" s="4561" t="n"/>
      <c r="C3750" s="4561" t="n"/>
      <c r="D3750" s="4561" t="n"/>
      <c r="E3750" s="4561" t="n"/>
      <c r="F3750" s="4561" t="n"/>
    </row>
    <row r="3751">
      <c r="A3751" s="4561" t="n"/>
      <c r="B3751" s="4561" t="n"/>
      <c r="C3751" s="4561" t="n"/>
      <c r="D3751" s="4561" t="n"/>
      <c r="E3751" s="4561" t="n"/>
      <c r="F3751" s="4561" t="n"/>
    </row>
    <row r="3752">
      <c r="A3752" s="4561" t="n"/>
      <c r="B3752" s="4561" t="n"/>
      <c r="C3752" s="4561" t="n"/>
      <c r="D3752" s="4561" t="n"/>
      <c r="E3752" s="4561" t="n"/>
      <c r="F3752" s="4561" t="n"/>
    </row>
    <row r="3753">
      <c r="A3753" s="4561" t="n"/>
      <c r="B3753" s="4561" t="n"/>
      <c r="C3753" s="4561" t="n"/>
      <c r="D3753" s="4561" t="n"/>
      <c r="E3753" s="4561" t="n"/>
      <c r="F3753" s="4561" t="n"/>
    </row>
    <row r="3754">
      <c r="A3754" s="4561" t="n"/>
      <c r="B3754" s="4561" t="n"/>
      <c r="C3754" s="4561" t="n"/>
      <c r="D3754" s="4561" t="n"/>
      <c r="E3754" s="4561" t="n"/>
      <c r="F3754" s="4561" t="n"/>
    </row>
    <row r="3755">
      <c r="A3755" s="4561" t="n"/>
      <c r="B3755" s="4561" t="n"/>
      <c r="C3755" s="4561" t="n"/>
      <c r="D3755" s="4561" t="n"/>
      <c r="E3755" s="4561" t="n"/>
      <c r="F3755" s="4561" t="n"/>
    </row>
    <row r="3756">
      <c r="A3756" s="4561" t="n"/>
      <c r="B3756" s="4561" t="n"/>
      <c r="C3756" s="4561" t="n"/>
      <c r="D3756" s="4561" t="n"/>
      <c r="E3756" s="4561" t="n"/>
      <c r="F3756" s="4561" t="n"/>
    </row>
    <row r="3757">
      <c r="A3757" s="4561" t="n"/>
      <c r="B3757" s="4561" t="n"/>
      <c r="C3757" s="4561" t="n"/>
      <c r="D3757" s="4561" t="n"/>
      <c r="E3757" s="4561" t="n"/>
      <c r="F3757" s="4561" t="n"/>
    </row>
    <row r="3758">
      <c r="A3758" s="4561" t="n"/>
      <c r="B3758" s="4561" t="n"/>
      <c r="C3758" s="4561" t="n"/>
      <c r="D3758" s="4561" t="n"/>
      <c r="E3758" s="4561" t="n"/>
      <c r="F3758" s="4561" t="n"/>
    </row>
    <row r="3759">
      <c r="A3759" s="4561" t="n"/>
      <c r="B3759" s="4561" t="n"/>
      <c r="C3759" s="4561" t="n"/>
      <c r="D3759" s="4561" t="n"/>
      <c r="E3759" s="4561" t="n"/>
      <c r="F3759" s="4561" t="n"/>
    </row>
    <row r="3760">
      <c r="A3760" s="4561" t="n"/>
      <c r="B3760" s="4561" t="n"/>
      <c r="C3760" s="4561" t="n"/>
      <c r="D3760" s="4561" t="n"/>
      <c r="E3760" s="4561" t="n"/>
      <c r="F3760" s="4561" t="n"/>
    </row>
    <row r="3761">
      <c r="A3761" s="4561" t="n"/>
      <c r="B3761" s="4561" t="n"/>
      <c r="C3761" s="4561" t="n"/>
      <c r="D3761" s="4561" t="n"/>
      <c r="E3761" s="4561" t="n"/>
      <c r="F3761" s="4561" t="n"/>
    </row>
    <row r="3762">
      <c r="A3762" s="4561" t="n"/>
      <c r="B3762" s="4561" t="n"/>
      <c r="C3762" s="4561" t="n"/>
      <c r="D3762" s="4561" t="n"/>
      <c r="E3762" s="4561" t="n"/>
      <c r="F3762" s="4561" t="n"/>
    </row>
    <row r="3763">
      <c r="A3763" s="4561" t="n"/>
      <c r="B3763" s="4561" t="n"/>
      <c r="C3763" s="4561" t="n"/>
      <c r="D3763" s="4561" t="n"/>
      <c r="E3763" s="4561" t="n"/>
      <c r="F3763" s="4561" t="n"/>
    </row>
    <row r="3764">
      <c r="A3764" s="4561" t="n"/>
      <c r="B3764" s="4561" t="n"/>
      <c r="C3764" s="4561" t="n"/>
      <c r="D3764" s="4561" t="n"/>
      <c r="E3764" s="4561" t="n"/>
      <c r="F3764" s="4561" t="n"/>
    </row>
    <row r="3765">
      <c r="A3765" s="4561" t="n"/>
      <c r="B3765" s="4561" t="n"/>
      <c r="C3765" s="4561" t="n"/>
      <c r="D3765" s="4561" t="n"/>
      <c r="E3765" s="4561" t="n"/>
      <c r="F3765" s="4561" t="n"/>
    </row>
    <row r="3766">
      <c r="A3766" s="4561" t="n"/>
      <c r="B3766" s="4561" t="n"/>
      <c r="C3766" s="4561" t="n"/>
      <c r="D3766" s="4561" t="n"/>
      <c r="E3766" s="4561" t="n"/>
      <c r="F3766" s="4561" t="n"/>
    </row>
    <row r="3767">
      <c r="A3767" s="4561" t="n"/>
      <c r="B3767" s="4561" t="n"/>
      <c r="C3767" s="4561" t="n"/>
      <c r="D3767" s="4561" t="n"/>
      <c r="E3767" s="4561" t="n"/>
      <c r="F3767" s="4561" t="n"/>
    </row>
    <row r="3768">
      <c r="A3768" s="4561" t="n"/>
      <c r="B3768" s="4561" t="n"/>
      <c r="C3768" s="4561" t="n"/>
      <c r="D3768" s="4561" t="n"/>
      <c r="E3768" s="4561" t="n"/>
      <c r="F3768" s="4561" t="n"/>
    </row>
    <row r="3769">
      <c r="A3769" s="4561" t="n"/>
      <c r="B3769" s="4561" t="n"/>
      <c r="C3769" s="4561" t="n"/>
      <c r="D3769" s="4561" t="n"/>
      <c r="E3769" s="4561" t="n"/>
      <c r="F3769" s="4561" t="n"/>
    </row>
    <row r="3770">
      <c r="A3770" s="4561" t="n"/>
      <c r="B3770" s="4561" t="n"/>
      <c r="C3770" s="4561" t="n"/>
      <c r="D3770" s="4561" t="n"/>
      <c r="E3770" s="4561" t="n"/>
      <c r="F3770" s="4561" t="n"/>
    </row>
    <row r="3771">
      <c r="A3771" s="4561" t="n"/>
      <c r="B3771" s="4561" t="n"/>
      <c r="C3771" s="4561" t="n"/>
      <c r="D3771" s="4561" t="n"/>
      <c r="E3771" s="4561" t="n"/>
      <c r="F3771" s="4561" t="n"/>
    </row>
    <row r="3772">
      <c r="A3772" s="4561" t="n"/>
      <c r="B3772" s="4561" t="n"/>
      <c r="C3772" s="4561" t="n"/>
      <c r="D3772" s="4561" t="n"/>
      <c r="E3772" s="4561" t="n"/>
      <c r="F3772" s="4561" t="n"/>
    </row>
    <row r="3773">
      <c r="A3773" s="4561" t="n"/>
      <c r="B3773" s="4561" t="n"/>
      <c r="C3773" s="4561" t="n"/>
      <c r="D3773" s="4561" t="n"/>
      <c r="E3773" s="4561" t="n"/>
      <c r="F3773" s="4561" t="n"/>
    </row>
    <row r="3774">
      <c r="A3774" s="4561" t="n"/>
      <c r="B3774" s="4561" t="n"/>
      <c r="C3774" s="4561" t="n"/>
      <c r="D3774" s="4561" t="n"/>
      <c r="E3774" s="4561" t="n"/>
      <c r="F3774" s="4561" t="n"/>
    </row>
    <row r="3775">
      <c r="A3775" s="4561" t="n"/>
      <c r="B3775" s="4561" t="n"/>
      <c r="C3775" s="4561" t="n"/>
      <c r="D3775" s="4561" t="n"/>
      <c r="E3775" s="4561" t="n"/>
      <c r="F3775" s="4561" t="n"/>
    </row>
    <row r="3776">
      <c r="A3776" s="4561" t="n"/>
      <c r="B3776" s="4561" t="n"/>
      <c r="C3776" s="4561" t="n"/>
      <c r="D3776" s="4561" t="n"/>
      <c r="E3776" s="4561" t="n"/>
      <c r="F3776" s="4561" t="n"/>
    </row>
    <row r="3777">
      <c r="A3777" s="4561" t="n"/>
      <c r="B3777" s="4561" t="n"/>
      <c r="C3777" s="4561" t="n"/>
      <c r="D3777" s="4561" t="n"/>
      <c r="E3777" s="4561" t="n"/>
      <c r="F3777" s="4561" t="n"/>
    </row>
    <row r="3778">
      <c r="A3778" s="4561" t="n"/>
      <c r="B3778" s="4561" t="n"/>
      <c r="C3778" s="4561" t="n"/>
      <c r="D3778" s="4561" t="n"/>
      <c r="E3778" s="4561" t="n"/>
      <c r="F3778" s="4561" t="n"/>
    </row>
    <row r="3779">
      <c r="A3779" s="4561" t="n"/>
      <c r="B3779" s="4561" t="n"/>
      <c r="C3779" s="4561" t="n"/>
      <c r="D3779" s="4561" t="n"/>
      <c r="E3779" s="4561" t="n"/>
      <c r="F3779" s="4561" t="n"/>
    </row>
    <row r="3780">
      <c r="A3780" s="4561" t="n"/>
      <c r="B3780" s="4561" t="n"/>
      <c r="C3780" s="4561" t="n"/>
      <c r="D3780" s="4561" t="n"/>
      <c r="E3780" s="4561" t="n"/>
      <c r="F3780" s="4561" t="n"/>
    </row>
    <row r="3781">
      <c r="A3781" s="4561" t="n"/>
      <c r="B3781" s="4561" t="n"/>
      <c r="C3781" s="4561" t="n"/>
      <c r="D3781" s="4561" t="n"/>
      <c r="E3781" s="4561" t="n"/>
      <c r="F3781" s="4561" t="n"/>
    </row>
    <row r="3782">
      <c r="A3782" s="4561" t="n"/>
      <c r="B3782" s="4561" t="n"/>
      <c r="C3782" s="4561" t="n"/>
      <c r="D3782" s="4561" t="n"/>
      <c r="E3782" s="4561" t="n"/>
      <c r="F3782" s="4561" t="n"/>
    </row>
    <row r="3783">
      <c r="A3783" s="4561" t="n"/>
      <c r="B3783" s="4561" t="n"/>
      <c r="C3783" s="4561" t="n"/>
      <c r="D3783" s="4561" t="n"/>
      <c r="E3783" s="4561" t="n"/>
      <c r="F3783" s="4561" t="n"/>
    </row>
    <row r="3784">
      <c r="A3784" s="4561" t="n"/>
      <c r="B3784" s="4561" t="n"/>
      <c r="C3784" s="4561" t="n"/>
      <c r="D3784" s="4561" t="n"/>
      <c r="E3784" s="4561" t="n"/>
      <c r="F3784" s="4561" t="n"/>
    </row>
    <row r="3785">
      <c r="A3785" s="4561" t="n"/>
      <c r="B3785" s="4561" t="n"/>
      <c r="C3785" s="4561" t="n"/>
      <c r="D3785" s="4561" t="n"/>
      <c r="E3785" s="4561" t="n"/>
      <c r="F3785" s="4561" t="n"/>
    </row>
    <row r="3786">
      <c r="A3786" s="4561" t="n"/>
      <c r="B3786" s="4561" t="n"/>
      <c r="C3786" s="4561" t="n"/>
      <c r="D3786" s="4561" t="n"/>
      <c r="E3786" s="4561" t="n"/>
      <c r="F3786" s="4561" t="n"/>
    </row>
    <row r="3787">
      <c r="A3787" s="4561" t="n"/>
      <c r="B3787" s="4561" t="n"/>
      <c r="C3787" s="4561" t="n"/>
      <c r="D3787" s="4561" t="n"/>
      <c r="E3787" s="4561" t="n"/>
      <c r="F3787" s="4561" t="n"/>
    </row>
    <row r="3788">
      <c r="A3788" s="4561" t="n"/>
      <c r="B3788" s="4561" t="n"/>
      <c r="C3788" s="4561" t="n"/>
      <c r="D3788" s="4561" t="n"/>
      <c r="E3788" s="4561" t="n"/>
      <c r="F3788" s="4561" t="n"/>
    </row>
    <row r="3789">
      <c r="A3789" s="4561" t="n"/>
      <c r="B3789" s="4561" t="n"/>
      <c r="C3789" s="4561" t="n"/>
      <c r="D3789" s="4561" t="n"/>
      <c r="E3789" s="4561" t="n"/>
      <c r="F3789" s="4561" t="n"/>
    </row>
    <row r="3790">
      <c r="A3790" s="4561" t="n"/>
      <c r="B3790" s="4561" t="n"/>
      <c r="C3790" s="4561" t="n"/>
      <c r="D3790" s="4561" t="n"/>
      <c r="E3790" s="4561" t="n"/>
      <c r="F3790" s="4561" t="n"/>
    </row>
    <row r="3791">
      <c r="A3791" s="4561" t="n"/>
      <c r="B3791" s="4561" t="n"/>
      <c r="C3791" s="4561" t="n"/>
      <c r="D3791" s="4561" t="n"/>
      <c r="E3791" s="4561" t="n"/>
      <c r="F3791" s="4561" t="n"/>
    </row>
    <row r="3792">
      <c r="A3792" s="4561" t="n"/>
      <c r="B3792" s="4561" t="n"/>
      <c r="C3792" s="4561" t="n"/>
      <c r="D3792" s="4561" t="n"/>
      <c r="E3792" s="4561" t="n"/>
      <c r="F3792" s="4561" t="n"/>
    </row>
    <row r="3793">
      <c r="A3793" s="4561" t="n"/>
      <c r="B3793" s="4561" t="n"/>
      <c r="C3793" s="4561" t="n"/>
      <c r="D3793" s="4561" t="n"/>
      <c r="E3793" s="4561" t="n"/>
      <c r="F3793" s="4561" t="n"/>
    </row>
    <row r="3794">
      <c r="A3794" s="4561" t="n"/>
      <c r="B3794" s="4561" t="n"/>
      <c r="C3794" s="4561" t="n"/>
      <c r="D3794" s="4561" t="n"/>
      <c r="E3794" s="4561" t="n"/>
      <c r="F3794" s="4561" t="n"/>
    </row>
    <row r="3795">
      <c r="A3795" s="4561" t="n"/>
      <c r="B3795" s="4561" t="n"/>
      <c r="C3795" s="4561" t="n"/>
      <c r="D3795" s="4561" t="n"/>
      <c r="E3795" s="4561" t="n"/>
      <c r="F3795" s="4561" t="n"/>
    </row>
    <row r="3796">
      <c r="A3796" s="4561" t="n"/>
      <c r="B3796" s="4561" t="n"/>
      <c r="C3796" s="4561" t="n"/>
      <c r="D3796" s="4561" t="n"/>
      <c r="E3796" s="4561" t="n"/>
      <c r="F3796" s="4561" t="n"/>
    </row>
    <row r="3797">
      <c r="A3797" s="4561" t="n"/>
      <c r="B3797" s="4561" t="n"/>
      <c r="C3797" s="4561" t="n"/>
      <c r="D3797" s="4561" t="n"/>
      <c r="E3797" s="4561" t="n"/>
      <c r="F3797" s="4561" t="n"/>
    </row>
    <row r="3798">
      <c r="A3798" s="4561" t="n"/>
      <c r="B3798" s="4561" t="n"/>
      <c r="C3798" s="4561" t="n"/>
      <c r="D3798" s="4561" t="n"/>
      <c r="E3798" s="4561" t="n"/>
      <c r="F3798" s="4561" t="n"/>
    </row>
    <row r="3799">
      <c r="A3799" s="4561" t="n"/>
      <c r="B3799" s="4561" t="n"/>
      <c r="C3799" s="4561" t="n"/>
      <c r="D3799" s="4561" t="n"/>
      <c r="E3799" s="4561" t="n"/>
      <c r="F3799" s="4561" t="n"/>
    </row>
    <row r="3800">
      <c r="A3800" s="4561" t="n"/>
      <c r="B3800" s="4561" t="n"/>
      <c r="C3800" s="4561" t="n"/>
      <c r="D3800" s="4561" t="n"/>
      <c r="E3800" s="4561" t="n"/>
      <c r="F3800" s="4561" t="n"/>
    </row>
    <row r="3801">
      <c r="A3801" s="4561" t="n"/>
      <c r="B3801" s="4561" t="n"/>
      <c r="C3801" s="4561" t="n"/>
      <c r="D3801" s="4561" t="n"/>
      <c r="E3801" s="4561" t="n"/>
      <c r="F3801" s="4561" t="n"/>
    </row>
    <row r="3802">
      <c r="A3802" s="4561" t="n"/>
      <c r="B3802" s="4561" t="n"/>
      <c r="C3802" s="4561" t="n"/>
      <c r="D3802" s="4561" t="n"/>
      <c r="E3802" s="4561" t="n"/>
      <c r="F3802" s="4561" t="n"/>
    </row>
    <row r="3803">
      <c r="A3803" s="4561" t="n"/>
      <c r="B3803" s="4561" t="n"/>
      <c r="C3803" s="4561" t="n"/>
      <c r="D3803" s="4561" t="n"/>
      <c r="E3803" s="4561" t="n"/>
      <c r="F3803" s="4561" t="n"/>
    </row>
    <row r="3804">
      <c r="A3804" s="4561" t="n"/>
      <c r="B3804" s="4561" t="n"/>
      <c r="C3804" s="4561" t="n"/>
      <c r="D3804" s="4561" t="n"/>
      <c r="E3804" s="4561" t="n"/>
      <c r="F3804" s="4561" t="n"/>
    </row>
    <row r="3805">
      <c r="A3805" s="4561" t="n"/>
      <c r="B3805" s="4561" t="n"/>
      <c r="C3805" s="4561" t="n"/>
      <c r="D3805" s="4561" t="n"/>
      <c r="E3805" s="4561" t="n"/>
      <c r="F3805" s="4561" t="n"/>
    </row>
    <row r="3806">
      <c r="A3806" s="4561" t="n"/>
      <c r="B3806" s="4561" t="n"/>
      <c r="C3806" s="4561" t="n"/>
      <c r="D3806" s="4561" t="n"/>
      <c r="E3806" s="4561" t="n"/>
      <c r="F3806" s="4561" t="n"/>
    </row>
    <row r="3807">
      <c r="A3807" s="4561" t="n"/>
      <c r="B3807" s="4561" t="n"/>
      <c r="C3807" s="4561" t="n"/>
      <c r="D3807" s="4561" t="n"/>
      <c r="E3807" s="4561" t="n"/>
      <c r="F3807" s="4561" t="n"/>
    </row>
    <row r="3808">
      <c r="A3808" s="4561" t="n"/>
      <c r="B3808" s="4561" t="n"/>
      <c r="C3808" s="4561" t="n"/>
      <c r="D3808" s="4561" t="n"/>
      <c r="E3808" s="4561" t="n"/>
      <c r="F3808" s="4561" t="n"/>
    </row>
    <row r="3809">
      <c r="A3809" s="4561" t="n"/>
      <c r="B3809" s="4561" t="n"/>
      <c r="C3809" s="4561" t="n"/>
      <c r="D3809" s="4561" t="n"/>
      <c r="E3809" s="4561" t="n"/>
      <c r="F3809" s="4561" t="n"/>
    </row>
    <row r="3810">
      <c r="A3810" s="4561" t="n"/>
      <c r="B3810" s="4561" t="n"/>
      <c r="C3810" s="4561" t="n"/>
      <c r="D3810" s="4561" t="n"/>
      <c r="E3810" s="4561" t="n"/>
      <c r="F3810" s="4561" t="n"/>
    </row>
    <row r="3811">
      <c r="A3811" s="4561" t="n"/>
      <c r="B3811" s="4561" t="n"/>
      <c r="C3811" s="4561" t="n"/>
      <c r="D3811" s="4561" t="n"/>
      <c r="E3811" s="4561" t="n"/>
      <c r="F3811" s="4561" t="n"/>
    </row>
    <row r="3812">
      <c r="A3812" s="4561" t="n"/>
      <c r="B3812" s="4561" t="n"/>
      <c r="C3812" s="4561" t="n"/>
      <c r="D3812" s="4561" t="n"/>
      <c r="E3812" s="4561" t="n"/>
      <c r="F3812" s="4561" t="n"/>
    </row>
    <row r="3813">
      <c r="A3813" s="4561" t="n"/>
      <c r="B3813" s="4561" t="n"/>
      <c r="C3813" s="4561" t="n"/>
      <c r="D3813" s="4561" t="n"/>
      <c r="E3813" s="4561" t="n"/>
      <c r="F3813" s="4561" t="n"/>
    </row>
    <row r="3814">
      <c r="A3814" s="4561" t="n"/>
      <c r="B3814" s="4561" t="n"/>
      <c r="C3814" s="4561" t="n"/>
      <c r="D3814" s="4561" t="n"/>
      <c r="E3814" s="4561" t="n"/>
      <c r="F3814" s="4561" t="n"/>
    </row>
    <row r="3815">
      <c r="A3815" s="4561" t="n"/>
      <c r="B3815" s="4561" t="n"/>
      <c r="C3815" s="4561" t="n"/>
      <c r="D3815" s="4561" t="n"/>
      <c r="E3815" s="4561" t="n"/>
      <c r="F3815" s="4561" t="n"/>
    </row>
    <row r="3816">
      <c r="A3816" s="4561" t="n"/>
      <c r="B3816" s="4561" t="n"/>
      <c r="C3816" s="4561" t="n"/>
      <c r="D3816" s="4561" t="n"/>
      <c r="E3816" s="4561" t="n"/>
      <c r="F3816" s="4561" t="n"/>
    </row>
    <row r="3817">
      <c r="A3817" s="4561" t="n"/>
      <c r="B3817" s="4561" t="n"/>
      <c r="C3817" s="4561" t="n"/>
      <c r="D3817" s="4561" t="n"/>
      <c r="E3817" s="4561" t="n"/>
      <c r="F3817" s="4561" t="n"/>
    </row>
    <row r="3818">
      <c r="A3818" s="4561" t="n"/>
      <c r="B3818" s="4561" t="n"/>
      <c r="C3818" s="4561" t="n"/>
      <c r="D3818" s="4561" t="n"/>
      <c r="E3818" s="4561" t="n"/>
      <c r="F3818" s="4561" t="n"/>
    </row>
    <row r="3819">
      <c r="A3819" s="4561" t="n"/>
      <c r="B3819" s="4561" t="n"/>
      <c r="C3819" s="4561" t="n"/>
      <c r="D3819" s="4561" t="n"/>
      <c r="E3819" s="4561" t="n"/>
      <c r="F3819" s="4561" t="n"/>
    </row>
    <row r="3820">
      <c r="A3820" s="4561" t="n"/>
      <c r="B3820" s="4561" t="n"/>
      <c r="C3820" s="4561" t="n"/>
      <c r="D3820" s="4561" t="n"/>
      <c r="E3820" s="4561" t="n"/>
      <c r="F3820" s="4561" t="n"/>
    </row>
    <row r="3821">
      <c r="A3821" s="4561" t="n"/>
      <c r="B3821" s="4561" t="n"/>
      <c r="C3821" s="4561" t="n"/>
      <c r="D3821" s="4561" t="n"/>
      <c r="E3821" s="4561" t="n"/>
      <c r="F3821" s="4561" t="n"/>
    </row>
    <row r="3822">
      <c r="A3822" s="4561" t="n"/>
      <c r="B3822" s="4561" t="n"/>
      <c r="C3822" s="4561" t="n"/>
      <c r="D3822" s="4561" t="n"/>
      <c r="E3822" s="4561" t="n"/>
      <c r="F3822" s="4561" t="n"/>
    </row>
    <row r="3823">
      <c r="A3823" s="4561" t="n"/>
      <c r="B3823" s="4561" t="n"/>
      <c r="C3823" s="4561" t="n"/>
      <c r="D3823" s="4561" t="n"/>
      <c r="E3823" s="4561" t="n"/>
      <c r="F3823" s="4561" t="n"/>
    </row>
    <row r="3824">
      <c r="A3824" s="4561" t="n"/>
      <c r="B3824" s="4561" t="n"/>
      <c r="C3824" s="4561" t="n"/>
      <c r="D3824" s="4561" t="n"/>
      <c r="E3824" s="4561" t="n"/>
      <c r="F3824" s="4561" t="n"/>
    </row>
    <row r="3825">
      <c r="A3825" s="4561" t="n"/>
      <c r="B3825" s="4561" t="n"/>
      <c r="C3825" s="4561" t="n"/>
      <c r="D3825" s="4561" t="n"/>
      <c r="E3825" s="4561" t="n"/>
      <c r="F3825" s="4561" t="n"/>
    </row>
    <row r="3826">
      <c r="A3826" s="4561" t="n"/>
      <c r="B3826" s="4561" t="n"/>
      <c r="C3826" s="4561" t="n"/>
      <c r="D3826" s="4561" t="n"/>
      <c r="E3826" s="4561" t="n"/>
      <c r="F3826" s="4561" t="n"/>
    </row>
    <row r="3827">
      <c r="A3827" s="4561" t="n"/>
      <c r="B3827" s="4561" t="n"/>
      <c r="C3827" s="4561" t="n"/>
      <c r="D3827" s="4561" t="n"/>
      <c r="E3827" s="4561" t="n"/>
      <c r="F3827" s="4561" t="n"/>
    </row>
    <row r="3828">
      <c r="A3828" s="4561" t="n"/>
      <c r="B3828" s="4561" t="n"/>
      <c r="C3828" s="4561" t="n"/>
      <c r="D3828" s="4561" t="n"/>
      <c r="E3828" s="4561" t="n"/>
      <c r="F3828" s="4561" t="n"/>
    </row>
    <row r="3829">
      <c r="A3829" s="4561" t="n"/>
      <c r="B3829" s="4561" t="n"/>
      <c r="C3829" s="4561" t="n"/>
      <c r="D3829" s="4561" t="n"/>
      <c r="E3829" s="4561" t="n"/>
      <c r="F3829" s="4561" t="n"/>
    </row>
    <row r="3830">
      <c r="A3830" s="4561" t="n"/>
      <c r="B3830" s="4561" t="n"/>
      <c r="C3830" s="4561" t="n"/>
      <c r="D3830" s="4561" t="n"/>
      <c r="E3830" s="4561" t="n"/>
      <c r="F3830" s="4561" t="n"/>
    </row>
    <row r="3831">
      <c r="A3831" s="4561" t="n"/>
      <c r="B3831" s="4561" t="n"/>
      <c r="C3831" s="4561" t="n"/>
      <c r="D3831" s="4561" t="n"/>
      <c r="E3831" s="4561" t="n"/>
      <c r="F3831" s="4561" t="n"/>
    </row>
    <row r="3832">
      <c r="A3832" s="4561" t="n"/>
      <c r="B3832" s="4561" t="n"/>
      <c r="C3832" s="4561" t="n"/>
      <c r="D3832" s="4561" t="n"/>
      <c r="E3832" s="4561" t="n"/>
      <c r="F3832" s="4561" t="n"/>
    </row>
    <row r="3833">
      <c r="A3833" s="4561" t="n"/>
      <c r="B3833" s="4561" t="n"/>
      <c r="C3833" s="4561" t="n"/>
      <c r="D3833" s="4561" t="n"/>
      <c r="E3833" s="4561" t="n"/>
      <c r="F3833" s="4561" t="n"/>
    </row>
    <row r="3834">
      <c r="A3834" s="4561" t="n"/>
      <c r="B3834" s="4561" t="n"/>
      <c r="C3834" s="4561" t="n"/>
      <c r="D3834" s="4561" t="n"/>
      <c r="E3834" s="4561" t="n"/>
      <c r="F3834" s="4561" t="n"/>
    </row>
    <row r="3835">
      <c r="A3835" s="4561" t="n"/>
      <c r="B3835" s="4561" t="n"/>
      <c r="C3835" s="4561" t="n"/>
      <c r="D3835" s="4561" t="n"/>
      <c r="E3835" s="4561" t="n"/>
      <c r="F3835" s="4561" t="n"/>
    </row>
    <row r="3836">
      <c r="A3836" s="4561" t="n"/>
      <c r="B3836" s="4561" t="n"/>
      <c r="C3836" s="4561" t="n"/>
      <c r="D3836" s="4561" t="n"/>
      <c r="E3836" s="4561" t="n"/>
      <c r="F3836" s="4561" t="n"/>
    </row>
    <row r="3837">
      <c r="A3837" s="4561" t="n"/>
      <c r="B3837" s="4561" t="n"/>
      <c r="C3837" s="4561" t="n"/>
      <c r="D3837" s="4561" t="n"/>
      <c r="E3837" s="4561" t="n"/>
      <c r="F3837" s="4561" t="n"/>
    </row>
    <row r="3838">
      <c r="A3838" s="4561" t="n"/>
      <c r="B3838" s="4561" t="n"/>
      <c r="C3838" s="4561" t="n"/>
      <c r="D3838" s="4561" t="n"/>
      <c r="E3838" s="4561" t="n"/>
      <c r="F3838" s="4561" t="n"/>
    </row>
    <row r="3839">
      <c r="A3839" s="4561" t="n"/>
      <c r="B3839" s="4561" t="n"/>
      <c r="C3839" s="4561" t="n"/>
      <c r="D3839" s="4561" t="n"/>
      <c r="E3839" s="4561" t="n"/>
      <c r="F3839" s="4561" t="n"/>
    </row>
    <row r="3840">
      <c r="A3840" s="4561" t="n"/>
      <c r="B3840" s="4561" t="n"/>
      <c r="C3840" s="4561" t="n"/>
      <c r="D3840" s="4561" t="n"/>
      <c r="E3840" s="4561" t="n"/>
      <c r="F3840" s="4561" t="n"/>
    </row>
    <row r="3841">
      <c r="A3841" s="4561" t="n"/>
      <c r="B3841" s="4561" t="n"/>
      <c r="C3841" s="4561" t="n"/>
      <c r="D3841" s="4561" t="n"/>
      <c r="E3841" s="4561" t="n"/>
      <c r="F3841" s="4561" t="n"/>
    </row>
    <row r="3842">
      <c r="A3842" s="4561" t="n"/>
      <c r="B3842" s="4561" t="n"/>
      <c r="C3842" s="4561" t="n"/>
      <c r="D3842" s="4561" t="n"/>
      <c r="E3842" s="4561" t="n"/>
      <c r="F3842" s="4561" t="n"/>
    </row>
    <row r="3843">
      <c r="A3843" s="4561" t="n"/>
      <c r="B3843" s="4561" t="n"/>
      <c r="C3843" s="4561" t="n"/>
      <c r="D3843" s="4561" t="n"/>
      <c r="E3843" s="4561" t="n"/>
      <c r="F3843" s="4561" t="n"/>
    </row>
    <row r="3844">
      <c r="A3844" s="4561" t="n"/>
      <c r="B3844" s="4561" t="n"/>
      <c r="C3844" s="4561" t="n"/>
      <c r="D3844" s="4561" t="n"/>
      <c r="E3844" s="4561" t="n"/>
      <c r="F3844" s="4561" t="n"/>
    </row>
    <row r="3845">
      <c r="A3845" s="4561" t="n"/>
      <c r="B3845" s="4561" t="n"/>
      <c r="C3845" s="4561" t="n"/>
      <c r="D3845" s="4561" t="n"/>
      <c r="E3845" s="4561" t="n"/>
      <c r="F3845" s="4561" t="n"/>
    </row>
    <row r="3846">
      <c r="A3846" s="4561" t="n"/>
      <c r="B3846" s="4561" t="n"/>
      <c r="C3846" s="4561" t="n"/>
      <c r="D3846" s="4561" t="n"/>
      <c r="E3846" s="4561" t="n"/>
      <c r="F3846" s="4561" t="n"/>
    </row>
    <row r="3847">
      <c r="A3847" s="4561" t="n"/>
      <c r="B3847" s="4561" t="n"/>
      <c r="C3847" s="4561" t="n"/>
      <c r="D3847" s="4561" t="n"/>
      <c r="E3847" s="4561" t="n"/>
      <c r="F3847" s="4561" t="n"/>
    </row>
    <row r="3848">
      <c r="A3848" s="4561" t="n"/>
      <c r="B3848" s="4561" t="n"/>
      <c r="C3848" s="4561" t="n"/>
      <c r="D3848" s="4561" t="n"/>
      <c r="E3848" s="4561" t="n"/>
      <c r="F3848" s="4561" t="n"/>
    </row>
    <row r="3849">
      <c r="A3849" s="4561" t="n"/>
      <c r="B3849" s="4561" t="n"/>
      <c r="C3849" s="4561" t="n"/>
      <c r="D3849" s="4561" t="n"/>
      <c r="E3849" s="4561" t="n"/>
      <c r="F3849" s="4561" t="n"/>
    </row>
    <row r="3850">
      <c r="A3850" s="4561" t="n"/>
      <c r="B3850" s="4561" t="n"/>
      <c r="C3850" s="4561" t="n"/>
      <c r="D3850" s="4561" t="n"/>
      <c r="E3850" s="4561" t="n"/>
      <c r="F3850" s="4561" t="n"/>
    </row>
    <row r="3851">
      <c r="A3851" s="4561" t="n"/>
      <c r="B3851" s="4561" t="n"/>
      <c r="C3851" s="4561" t="n"/>
      <c r="D3851" s="4561" t="n"/>
      <c r="E3851" s="4561" t="n"/>
      <c r="F3851" s="4561" t="n"/>
    </row>
    <row r="3852">
      <c r="A3852" s="4561" t="n"/>
      <c r="B3852" s="4561" t="n"/>
      <c r="C3852" s="4561" t="n"/>
      <c r="D3852" s="4561" t="n"/>
      <c r="E3852" s="4561" t="n"/>
      <c r="F3852" s="4561" t="n"/>
    </row>
    <row r="3853">
      <c r="A3853" s="4561" t="n"/>
      <c r="B3853" s="4561" t="n"/>
      <c r="C3853" s="4561" t="n"/>
      <c r="D3853" s="4561" t="n"/>
      <c r="E3853" s="4561" t="n"/>
      <c r="F3853" s="4561" t="n"/>
    </row>
    <row r="3854">
      <c r="A3854" s="4561" t="n"/>
      <c r="B3854" s="4561" t="n"/>
      <c r="C3854" s="4561" t="n"/>
      <c r="D3854" s="4561" t="n"/>
      <c r="E3854" s="4561" t="n"/>
      <c r="F3854" s="4561" t="n"/>
    </row>
    <row r="3855">
      <c r="A3855" s="4561" t="n"/>
      <c r="B3855" s="4561" t="n"/>
      <c r="C3855" s="4561" t="n"/>
      <c r="D3855" s="4561" t="n"/>
      <c r="E3855" s="4561" t="n"/>
      <c r="F3855" s="4561" t="n"/>
    </row>
    <row r="3856">
      <c r="A3856" s="4561" t="n"/>
      <c r="B3856" s="4561" t="n"/>
      <c r="C3856" s="4561" t="n"/>
      <c r="D3856" s="4561" t="n"/>
      <c r="E3856" s="4561" t="n"/>
      <c r="F3856" s="4561" t="n"/>
    </row>
    <row r="3857">
      <c r="A3857" s="4561" t="n"/>
      <c r="B3857" s="4561" t="n"/>
      <c r="C3857" s="4561" t="n"/>
      <c r="D3857" s="4561" t="n"/>
      <c r="E3857" s="4561" t="n"/>
      <c r="F3857" s="4561" t="n"/>
    </row>
    <row r="3858">
      <c r="A3858" s="4561" t="n"/>
      <c r="B3858" s="4561" t="n"/>
      <c r="C3858" s="4561" t="n"/>
      <c r="D3858" s="4561" t="n"/>
      <c r="E3858" s="4561" t="n"/>
      <c r="F3858" s="4561" t="n"/>
    </row>
    <row r="3859">
      <c r="A3859" s="4561" t="n"/>
      <c r="B3859" s="4561" t="n"/>
      <c r="C3859" s="4561" t="n"/>
      <c r="D3859" s="4561" t="n"/>
      <c r="E3859" s="4561" t="n"/>
      <c r="F3859" s="4561" t="n"/>
    </row>
    <row r="3860">
      <c r="A3860" s="4561" t="n"/>
      <c r="B3860" s="4561" t="n"/>
      <c r="C3860" s="4561" t="n"/>
      <c r="D3860" s="4561" t="n"/>
      <c r="E3860" s="4561" t="n"/>
      <c r="F3860" s="4561" t="n"/>
    </row>
    <row r="3861">
      <c r="A3861" s="4561" t="n"/>
      <c r="B3861" s="4561" t="n"/>
      <c r="C3861" s="4561" t="n"/>
      <c r="D3861" s="4561" t="n"/>
      <c r="E3861" s="4561" t="n"/>
      <c r="F3861" s="4561" t="n"/>
    </row>
    <row r="3862">
      <c r="A3862" s="4561" t="n"/>
      <c r="B3862" s="4561" t="n"/>
      <c r="C3862" s="4561" t="n"/>
      <c r="D3862" s="4561" t="n"/>
      <c r="E3862" s="4561" t="n"/>
      <c r="F3862" s="4561" t="n"/>
    </row>
    <row r="3863">
      <c r="A3863" s="4561" t="n"/>
      <c r="B3863" s="4561" t="n"/>
      <c r="C3863" s="4561" t="n"/>
      <c r="D3863" s="4561" t="n"/>
      <c r="E3863" s="4561" t="n"/>
      <c r="F3863" s="4561" t="n"/>
    </row>
    <row r="3864">
      <c r="A3864" s="4561" t="n"/>
      <c r="B3864" s="4561" t="n"/>
      <c r="C3864" s="4561" t="n"/>
      <c r="D3864" s="4561" t="n"/>
      <c r="E3864" s="4561" t="n"/>
      <c r="F3864" s="4561" t="n"/>
    </row>
    <row r="3865">
      <c r="A3865" s="4561" t="n"/>
      <c r="B3865" s="4561" t="n"/>
      <c r="C3865" s="4561" t="n"/>
      <c r="D3865" s="4561" t="n"/>
      <c r="E3865" s="4561" t="n"/>
      <c r="F3865" s="4561" t="n"/>
    </row>
    <row r="3866">
      <c r="A3866" s="4561" t="n"/>
      <c r="B3866" s="4561" t="n"/>
      <c r="C3866" s="4561" t="n"/>
      <c r="D3866" s="4561" t="n"/>
      <c r="E3866" s="4561" t="n"/>
      <c r="F3866" s="4561" t="n"/>
    </row>
    <row r="3867">
      <c r="A3867" s="4561" t="n"/>
      <c r="B3867" s="4561" t="n"/>
      <c r="C3867" s="4561" t="n"/>
      <c r="D3867" s="4561" t="n"/>
      <c r="E3867" s="4561" t="n"/>
      <c r="F3867" s="4561" t="n"/>
    </row>
    <row r="3868">
      <c r="A3868" s="4561" t="n"/>
      <c r="B3868" s="4561" t="n"/>
      <c r="C3868" s="4561" t="n"/>
      <c r="D3868" s="4561" t="n"/>
      <c r="E3868" s="4561" t="n"/>
      <c r="F3868" s="4561" t="n"/>
    </row>
    <row r="3869">
      <c r="A3869" s="4561" t="n"/>
      <c r="B3869" s="4561" t="n"/>
      <c r="C3869" s="4561" t="n"/>
      <c r="D3869" s="4561" t="n"/>
      <c r="E3869" s="4561" t="n"/>
      <c r="F3869" s="4561" t="n"/>
    </row>
    <row r="3870">
      <c r="A3870" s="4561" t="n"/>
      <c r="B3870" s="4561" t="n"/>
      <c r="C3870" s="4561" t="n"/>
      <c r="D3870" s="4561" t="n"/>
      <c r="E3870" s="4561" t="n"/>
      <c r="F3870" s="4561" t="n"/>
    </row>
    <row r="3871">
      <c r="A3871" s="4561" t="n"/>
      <c r="B3871" s="4561" t="n"/>
      <c r="C3871" s="4561" t="n"/>
      <c r="D3871" s="4561" t="n"/>
      <c r="E3871" s="4561" t="n"/>
      <c r="F3871" s="4561" t="n"/>
    </row>
    <row r="3872">
      <c r="A3872" s="4561" t="n"/>
      <c r="B3872" s="4561" t="n"/>
      <c r="C3872" s="4561" t="n"/>
      <c r="D3872" s="4561" t="n"/>
      <c r="E3872" s="4561" t="n"/>
      <c r="F3872" s="4561" t="n"/>
    </row>
    <row r="3873">
      <c r="A3873" s="4561" t="n"/>
      <c r="B3873" s="4561" t="n"/>
      <c r="C3873" s="4561" t="n"/>
      <c r="D3873" s="4561" t="n"/>
      <c r="E3873" s="4561" t="n"/>
      <c r="F3873" s="4561" t="n"/>
    </row>
    <row r="3874">
      <c r="A3874" s="4561" t="n"/>
      <c r="B3874" s="4561" t="n"/>
      <c r="C3874" s="4561" t="n"/>
      <c r="D3874" s="4561" t="n"/>
      <c r="E3874" s="4561" t="n"/>
      <c r="F3874" s="4561" t="n"/>
    </row>
    <row r="3875">
      <c r="A3875" s="4561" t="n"/>
      <c r="B3875" s="4561" t="n"/>
      <c r="C3875" s="4561" t="n"/>
      <c r="D3875" s="4561" t="n"/>
      <c r="E3875" s="4561" t="n"/>
      <c r="F3875" s="4561" t="n"/>
    </row>
    <row r="3876">
      <c r="A3876" s="4561" t="n"/>
      <c r="B3876" s="4561" t="n"/>
      <c r="C3876" s="4561" t="n"/>
      <c r="D3876" s="4561" t="n"/>
      <c r="E3876" s="4561" t="n"/>
      <c r="F3876" s="4561" t="n"/>
    </row>
    <row r="3877">
      <c r="A3877" s="4561" t="n"/>
      <c r="B3877" s="4561" t="n"/>
      <c r="C3877" s="4561" t="n"/>
      <c r="D3877" s="4561" t="n"/>
      <c r="E3877" s="4561" t="n"/>
      <c r="F3877" s="4561" t="n"/>
    </row>
    <row r="3878">
      <c r="A3878" s="4561" t="n"/>
      <c r="B3878" s="4561" t="n"/>
      <c r="C3878" s="4561" t="n"/>
      <c r="D3878" s="4561" t="n"/>
      <c r="E3878" s="4561" t="n"/>
      <c r="F3878" s="4561" t="n"/>
    </row>
    <row r="3879">
      <c r="A3879" s="4561" t="n"/>
      <c r="B3879" s="4561" t="n"/>
      <c r="C3879" s="4561" t="n"/>
      <c r="D3879" s="4561" t="n"/>
      <c r="E3879" s="4561" t="n"/>
      <c r="F3879" s="4561" t="n"/>
    </row>
    <row r="3880">
      <c r="A3880" s="4561" t="n"/>
      <c r="B3880" s="4561" t="n"/>
      <c r="C3880" s="4561" t="n"/>
      <c r="D3880" s="4561" t="n"/>
      <c r="E3880" s="4561" t="n"/>
      <c r="F3880" s="4561" t="n"/>
    </row>
    <row r="3881">
      <c r="A3881" s="4561" t="n"/>
      <c r="B3881" s="4561" t="n"/>
      <c r="C3881" s="4561" t="n"/>
      <c r="D3881" s="4561" t="n"/>
      <c r="E3881" s="4561" t="n"/>
      <c r="F3881" s="4561" t="n"/>
    </row>
    <row r="3882">
      <c r="A3882" s="4561" t="n"/>
      <c r="B3882" s="4561" t="n"/>
      <c r="C3882" s="4561" t="n"/>
      <c r="D3882" s="4561" t="n"/>
      <c r="E3882" s="4561" t="n"/>
      <c r="F3882" s="4561" t="n"/>
    </row>
    <row r="3883">
      <c r="A3883" s="4561" t="n"/>
      <c r="B3883" s="4561" t="n"/>
      <c r="C3883" s="4561" t="n"/>
      <c r="D3883" s="4561" t="n"/>
      <c r="E3883" s="4561" t="n"/>
      <c r="F3883" s="4561" t="n"/>
    </row>
    <row r="3884">
      <c r="A3884" s="4561" t="n"/>
      <c r="B3884" s="4561" t="n"/>
      <c r="C3884" s="4561" t="n"/>
      <c r="D3884" s="4561" t="n"/>
      <c r="E3884" s="4561" t="n"/>
      <c r="F3884" s="4561" t="n"/>
    </row>
    <row r="3885">
      <c r="A3885" s="4561" t="n"/>
      <c r="B3885" s="4561" t="n"/>
      <c r="C3885" s="4561" t="n"/>
      <c r="D3885" s="4561" t="n"/>
      <c r="E3885" s="4561" t="n"/>
      <c r="F3885" s="4561" t="n"/>
    </row>
    <row r="3886">
      <c r="A3886" s="4561" t="n"/>
      <c r="B3886" s="4561" t="n"/>
      <c r="C3886" s="4561" t="n"/>
      <c r="D3886" s="4561" t="n"/>
      <c r="E3886" s="4561" t="n"/>
      <c r="F3886" s="4561" t="n"/>
    </row>
    <row r="3887">
      <c r="A3887" s="4561" t="n"/>
      <c r="B3887" s="4561" t="n"/>
      <c r="C3887" s="4561" t="n"/>
      <c r="D3887" s="4561" t="n"/>
      <c r="E3887" s="4561" t="n"/>
      <c r="F3887" s="4561" t="n"/>
    </row>
    <row r="3888">
      <c r="A3888" s="4561" t="n"/>
      <c r="B3888" s="4561" t="n"/>
      <c r="C3888" s="4561" t="n"/>
      <c r="D3888" s="4561" t="n"/>
      <c r="E3888" s="4561" t="n"/>
      <c r="F3888" s="4561" t="n"/>
    </row>
    <row r="3889">
      <c r="A3889" s="4561" t="n"/>
      <c r="B3889" s="4561" t="n"/>
      <c r="C3889" s="4561" t="n"/>
      <c r="D3889" s="4561" t="n"/>
      <c r="E3889" s="4561" t="n"/>
      <c r="F3889" s="4561" t="n"/>
    </row>
    <row r="3890">
      <c r="A3890" s="4561" t="n"/>
      <c r="B3890" s="4561" t="n"/>
      <c r="C3890" s="4561" t="n"/>
      <c r="D3890" s="4561" t="n"/>
      <c r="E3890" s="4561" t="n"/>
      <c r="F3890" s="4561" t="n"/>
    </row>
    <row r="3891">
      <c r="A3891" s="4561" t="n"/>
      <c r="B3891" s="4561" t="n"/>
      <c r="C3891" s="4561" t="n"/>
      <c r="D3891" s="4561" t="n"/>
      <c r="E3891" s="4561" t="n"/>
      <c r="F3891" s="4561" t="n"/>
    </row>
    <row r="3892">
      <c r="A3892" s="4561" t="n"/>
      <c r="B3892" s="4561" t="n"/>
      <c r="C3892" s="4561" t="n"/>
      <c r="D3892" s="4561" t="n"/>
      <c r="E3892" s="4561" t="n"/>
      <c r="F3892" s="4561" t="n"/>
    </row>
    <row r="3893">
      <c r="A3893" s="4561" t="n"/>
      <c r="B3893" s="4561" t="n"/>
      <c r="C3893" s="4561" t="n"/>
      <c r="D3893" s="4561" t="n"/>
      <c r="E3893" s="4561" t="n"/>
      <c r="F3893" s="4561" t="n"/>
    </row>
    <row r="3894">
      <c r="A3894" s="4561" t="n"/>
      <c r="B3894" s="4561" t="n"/>
      <c r="C3894" s="4561" t="n"/>
      <c r="D3894" s="4561" t="n"/>
      <c r="E3894" s="4561" t="n"/>
      <c r="F3894" s="4561" t="n"/>
    </row>
    <row r="3895">
      <c r="A3895" s="4561" t="n"/>
      <c r="B3895" s="4561" t="n"/>
      <c r="C3895" s="4561" t="n"/>
      <c r="D3895" s="4561" t="n"/>
      <c r="E3895" s="4561" t="n"/>
      <c r="F3895" s="4561" t="n"/>
    </row>
    <row r="3896">
      <c r="A3896" s="4561" t="n"/>
      <c r="B3896" s="4561" t="n"/>
      <c r="C3896" s="4561" t="n"/>
      <c r="D3896" s="4561" t="n"/>
      <c r="E3896" s="4561" t="n"/>
      <c r="F3896" s="4561" t="n"/>
    </row>
    <row r="3897">
      <c r="A3897" s="4561" t="n"/>
      <c r="B3897" s="4561" t="n"/>
      <c r="C3897" s="4561" t="n"/>
      <c r="D3897" s="4561" t="n"/>
      <c r="E3897" s="4561" t="n"/>
      <c r="F3897" s="4561" t="n"/>
    </row>
    <row r="3898">
      <c r="A3898" s="4561" t="n"/>
      <c r="B3898" s="4561" t="n"/>
      <c r="C3898" s="4561" t="n"/>
      <c r="D3898" s="4561" t="n"/>
      <c r="E3898" s="4561" t="n"/>
      <c r="F3898" s="4561" t="n"/>
    </row>
    <row r="3899">
      <c r="A3899" s="4561" t="n"/>
      <c r="B3899" s="4561" t="n"/>
      <c r="C3899" s="4561" t="n"/>
      <c r="D3899" s="4561" t="n"/>
      <c r="E3899" s="4561" t="n"/>
      <c r="F3899" s="4561" t="n"/>
    </row>
    <row r="3900">
      <c r="A3900" s="4561" t="n"/>
      <c r="B3900" s="4561" t="n"/>
      <c r="C3900" s="4561" t="n"/>
      <c r="D3900" s="4561" t="n"/>
      <c r="E3900" s="4561" t="n"/>
      <c r="F3900" s="4561" t="n"/>
    </row>
    <row r="3901">
      <c r="A3901" s="4561" t="n"/>
      <c r="B3901" s="4561" t="n"/>
      <c r="C3901" s="4561" t="n"/>
      <c r="D3901" s="4561" t="n"/>
      <c r="E3901" s="4561" t="n"/>
      <c r="F3901" s="4561" t="n"/>
    </row>
    <row r="3902">
      <c r="A3902" s="4561" t="n"/>
      <c r="B3902" s="4561" t="n"/>
      <c r="C3902" s="4561" t="n"/>
      <c r="D3902" s="4561" t="n"/>
      <c r="E3902" s="4561" t="n"/>
      <c r="F3902" s="4561" t="n"/>
    </row>
    <row r="3903">
      <c r="A3903" s="4561" t="n"/>
      <c r="B3903" s="4561" t="n"/>
      <c r="C3903" s="4561" t="n"/>
      <c r="D3903" s="4561" t="n"/>
      <c r="E3903" s="4561" t="n"/>
      <c r="F3903" s="4561" t="n"/>
    </row>
    <row r="3904">
      <c r="A3904" s="4561" t="n"/>
      <c r="B3904" s="4561" t="n"/>
      <c r="C3904" s="4561" t="n"/>
      <c r="D3904" s="4561" t="n"/>
      <c r="E3904" s="4561" t="n"/>
      <c r="F3904" s="4561" t="n"/>
    </row>
    <row r="3905">
      <c r="A3905" s="4561" t="n"/>
      <c r="B3905" s="4561" t="n"/>
      <c r="C3905" s="4561" t="n"/>
      <c r="D3905" s="4561" t="n"/>
      <c r="E3905" s="4561" t="n"/>
      <c r="F3905" s="4561" t="n"/>
    </row>
    <row r="3906">
      <c r="A3906" s="4561" t="n"/>
      <c r="B3906" s="4561" t="n"/>
      <c r="C3906" s="4561" t="n"/>
      <c r="D3906" s="4561" t="n"/>
      <c r="E3906" s="4561" t="n"/>
      <c r="F3906" s="4561" t="n"/>
    </row>
    <row r="3907">
      <c r="A3907" s="4561" t="n"/>
      <c r="B3907" s="4561" t="n"/>
      <c r="C3907" s="4561" t="n"/>
      <c r="D3907" s="4561" t="n"/>
      <c r="E3907" s="4561" t="n"/>
      <c r="F3907" s="4561" t="n"/>
    </row>
    <row r="3908">
      <c r="A3908" s="4561" t="n"/>
      <c r="B3908" s="4561" t="n"/>
      <c r="C3908" s="4561" t="n"/>
      <c r="D3908" s="4561" t="n"/>
      <c r="E3908" s="4561" t="n"/>
      <c r="F3908" s="4561" t="n"/>
    </row>
    <row r="3909">
      <c r="A3909" s="4561" t="n"/>
      <c r="B3909" s="4561" t="n"/>
      <c r="C3909" s="4561" t="n"/>
      <c r="D3909" s="4561" t="n"/>
      <c r="E3909" s="4561" t="n"/>
      <c r="F3909" s="4561" t="n"/>
    </row>
    <row r="3910">
      <c r="A3910" s="4561" t="n"/>
      <c r="B3910" s="4561" t="n"/>
      <c r="C3910" s="4561" t="n"/>
      <c r="D3910" s="4561" t="n"/>
      <c r="E3910" s="4561" t="n"/>
      <c r="F3910" s="4561" t="n"/>
    </row>
    <row r="3911">
      <c r="A3911" s="4561" t="n"/>
      <c r="B3911" s="4561" t="n"/>
      <c r="C3911" s="4561" t="n"/>
      <c r="D3911" s="4561" t="n"/>
      <c r="E3911" s="4561" t="n"/>
      <c r="F3911" s="4561" t="n"/>
    </row>
    <row r="3912">
      <c r="A3912" s="4561" t="n"/>
      <c r="B3912" s="4561" t="n"/>
      <c r="C3912" s="4561" t="n"/>
      <c r="D3912" s="4561" t="n"/>
      <c r="E3912" s="4561" t="n"/>
      <c r="F3912" s="4561" t="n"/>
    </row>
    <row r="3913">
      <c r="A3913" s="4561" t="n"/>
      <c r="B3913" s="4561" t="n"/>
      <c r="C3913" s="4561" t="n"/>
      <c r="D3913" s="4561" t="n"/>
      <c r="E3913" s="4561" t="n"/>
      <c r="F3913" s="4561" t="n"/>
    </row>
    <row r="3914">
      <c r="A3914" s="4561" t="n"/>
      <c r="B3914" s="4561" t="n"/>
      <c r="C3914" s="4561" t="n"/>
      <c r="D3914" s="4561" t="n"/>
      <c r="E3914" s="4561" t="n"/>
      <c r="F3914" s="4561" t="n"/>
    </row>
    <row r="3915">
      <c r="A3915" s="4561" t="n"/>
      <c r="B3915" s="4561" t="n"/>
      <c r="C3915" s="4561" t="n"/>
      <c r="D3915" s="4561" t="n"/>
      <c r="E3915" s="4561" t="n"/>
      <c r="F3915" s="4561" t="n"/>
    </row>
    <row r="3916">
      <c r="A3916" s="4561" t="n"/>
      <c r="B3916" s="4561" t="n"/>
      <c r="C3916" s="4561" t="n"/>
      <c r="D3916" s="4561" t="n"/>
      <c r="E3916" s="4561" t="n"/>
      <c r="F3916" s="4561" t="n"/>
    </row>
    <row r="3917">
      <c r="A3917" s="4561" t="n"/>
      <c r="B3917" s="4561" t="n"/>
      <c r="C3917" s="4561" t="n"/>
      <c r="D3917" s="4561" t="n"/>
      <c r="E3917" s="4561" t="n"/>
      <c r="F3917" s="4561" t="n"/>
    </row>
    <row r="3918">
      <c r="A3918" s="4561" t="n"/>
      <c r="B3918" s="4561" t="n"/>
      <c r="C3918" s="4561" t="n"/>
      <c r="D3918" s="4561" t="n"/>
      <c r="E3918" s="4561" t="n"/>
      <c r="F3918" s="4561" t="n"/>
    </row>
    <row r="3919">
      <c r="A3919" s="4561" t="n"/>
      <c r="B3919" s="4561" t="n"/>
      <c r="C3919" s="4561" t="n"/>
      <c r="D3919" s="4561" t="n"/>
      <c r="E3919" s="4561" t="n"/>
      <c r="F3919" s="4561" t="n"/>
    </row>
    <row r="3920">
      <c r="A3920" s="4561" t="n"/>
      <c r="B3920" s="4561" t="n"/>
      <c r="C3920" s="4561" t="n"/>
      <c r="D3920" s="4561" t="n"/>
      <c r="E3920" s="4561" t="n"/>
      <c r="F3920" s="4561" t="n"/>
    </row>
    <row r="3921">
      <c r="A3921" s="4561" t="n"/>
      <c r="B3921" s="4561" t="n"/>
      <c r="C3921" s="4561" t="n"/>
      <c r="D3921" s="4561" t="n"/>
      <c r="E3921" s="4561" t="n"/>
      <c r="F3921" s="4561" t="n"/>
    </row>
    <row r="3922">
      <c r="A3922" s="4561" t="n"/>
      <c r="B3922" s="4561" t="n"/>
      <c r="C3922" s="4561" t="n"/>
      <c r="D3922" s="4561" t="n"/>
      <c r="E3922" s="4561" t="n"/>
      <c r="F3922" s="4561" t="n"/>
    </row>
    <row r="3923">
      <c r="A3923" s="4561" t="n"/>
      <c r="B3923" s="4561" t="n"/>
      <c r="C3923" s="4561" t="n"/>
      <c r="D3923" s="4561" t="n"/>
      <c r="E3923" s="4561" t="n"/>
      <c r="F3923" s="4561" t="n"/>
    </row>
    <row r="3924">
      <c r="A3924" s="4561" t="n"/>
      <c r="B3924" s="4561" t="n"/>
      <c r="C3924" s="4561" t="n"/>
      <c r="D3924" s="4561" t="n"/>
      <c r="E3924" s="4561" t="n"/>
      <c r="F3924" s="4561" t="n"/>
    </row>
    <row r="3925">
      <c r="A3925" s="4561" t="n"/>
      <c r="B3925" s="4561" t="n"/>
      <c r="C3925" s="4561" t="n"/>
      <c r="D3925" s="4561" t="n"/>
      <c r="E3925" s="4561" t="n"/>
      <c r="F3925" s="4561" t="n"/>
    </row>
    <row r="3926">
      <c r="A3926" s="4561" t="n"/>
      <c r="B3926" s="4561" t="n"/>
      <c r="C3926" s="4561" t="n"/>
      <c r="D3926" s="4561" t="n"/>
      <c r="E3926" s="4561" t="n"/>
      <c r="F3926" s="4561" t="n"/>
    </row>
    <row r="3927">
      <c r="A3927" s="4561" t="n"/>
      <c r="B3927" s="4561" t="n"/>
      <c r="C3927" s="4561" t="n"/>
      <c r="D3927" s="4561" t="n"/>
      <c r="E3927" s="4561" t="n"/>
      <c r="F3927" s="4561" t="n"/>
    </row>
    <row r="3928">
      <c r="A3928" s="4561" t="n"/>
      <c r="B3928" s="4561" t="n"/>
      <c r="C3928" s="4561" t="n"/>
      <c r="D3928" s="4561" t="n"/>
      <c r="E3928" s="4561" t="n"/>
      <c r="F3928" s="4561" t="n"/>
    </row>
    <row r="3929">
      <c r="A3929" s="4561" t="n"/>
      <c r="B3929" s="4561" t="n"/>
      <c r="C3929" s="4561" t="n"/>
      <c r="D3929" s="4561" t="n"/>
      <c r="E3929" s="4561" t="n"/>
      <c r="F3929" s="4561" t="n"/>
    </row>
    <row r="3930">
      <c r="A3930" s="4561" t="n"/>
      <c r="B3930" s="4561" t="n"/>
      <c r="C3930" s="4561" t="n"/>
      <c r="D3930" s="4561" t="n"/>
      <c r="E3930" s="4561" t="n"/>
      <c r="F3930" s="4561" t="n"/>
    </row>
    <row r="3931">
      <c r="A3931" s="4561" t="n"/>
      <c r="B3931" s="4561" t="n"/>
      <c r="C3931" s="4561" t="n"/>
      <c r="D3931" s="4561" t="n"/>
      <c r="E3931" s="4561" t="n"/>
      <c r="F3931" s="4561" t="n"/>
    </row>
    <row r="3932">
      <c r="A3932" s="4561" t="n"/>
      <c r="B3932" s="4561" t="n"/>
      <c r="C3932" s="4561" t="n"/>
      <c r="D3932" s="4561" t="n"/>
      <c r="E3932" s="4561" t="n"/>
      <c r="F3932" s="4561" t="n"/>
    </row>
    <row r="3933">
      <c r="A3933" s="4561" t="n"/>
      <c r="B3933" s="4561" t="n"/>
      <c r="C3933" s="4561" t="n"/>
      <c r="D3933" s="4561" t="n"/>
      <c r="E3933" s="4561" t="n"/>
      <c r="F3933" s="4561" t="n"/>
    </row>
    <row r="3934">
      <c r="A3934" s="4561" t="n"/>
      <c r="B3934" s="4561" t="n"/>
      <c r="C3934" s="4561" t="n"/>
      <c r="D3934" s="4561" t="n"/>
      <c r="E3934" s="4561" t="n"/>
      <c r="F3934" s="4561" t="n"/>
    </row>
    <row r="3935">
      <c r="A3935" s="4561" t="n"/>
      <c r="B3935" s="4561" t="n"/>
      <c r="C3935" s="4561" t="n"/>
      <c r="D3935" s="4561" t="n"/>
      <c r="E3935" s="4561" t="n"/>
      <c r="F3935" s="4561" t="n"/>
    </row>
    <row r="3936">
      <c r="A3936" s="4561" t="n"/>
      <c r="B3936" s="4561" t="n"/>
      <c r="C3936" s="4561" t="n"/>
      <c r="D3936" s="4561" t="n"/>
      <c r="E3936" s="4561" t="n"/>
      <c r="F3936" s="4561" t="n"/>
    </row>
    <row r="3937">
      <c r="A3937" s="4561" t="n"/>
      <c r="B3937" s="4561" t="n"/>
      <c r="C3937" s="4561" t="n"/>
      <c r="D3937" s="4561" t="n"/>
      <c r="E3937" s="4561" t="n"/>
      <c r="F3937" s="4561" t="n"/>
    </row>
    <row r="3938">
      <c r="A3938" s="4561" t="n"/>
      <c r="B3938" s="4561" t="n"/>
      <c r="C3938" s="4561" t="n"/>
      <c r="D3938" s="4561" t="n"/>
      <c r="E3938" s="4561" t="n"/>
      <c r="F3938" s="4561" t="n"/>
    </row>
    <row r="3939">
      <c r="A3939" s="4561" t="n"/>
      <c r="B3939" s="4561" t="n"/>
      <c r="C3939" s="4561" t="n"/>
      <c r="D3939" s="4561" t="n"/>
      <c r="E3939" s="4561" t="n"/>
      <c r="F3939" s="4561" t="n"/>
    </row>
    <row r="3940">
      <c r="A3940" s="4561" t="n"/>
      <c r="B3940" s="4561" t="n"/>
      <c r="C3940" s="4561" t="n"/>
      <c r="D3940" s="4561" t="n"/>
      <c r="E3940" s="4561" t="n"/>
      <c r="F3940" s="4561" t="n"/>
    </row>
    <row r="3941">
      <c r="A3941" s="4561" t="n"/>
      <c r="B3941" s="4561" t="n"/>
      <c r="C3941" s="4561" t="n"/>
      <c r="D3941" s="4561" t="n"/>
      <c r="E3941" s="4561" t="n"/>
      <c r="F3941" s="4561" t="n"/>
    </row>
    <row r="3942">
      <c r="A3942" s="4561" t="n"/>
      <c r="B3942" s="4561" t="n"/>
      <c r="C3942" s="4561" t="n"/>
      <c r="D3942" s="4561" t="n"/>
      <c r="E3942" s="4561" t="n"/>
      <c r="F3942" s="4561" t="n"/>
    </row>
    <row r="3943">
      <c r="A3943" s="4561" t="n"/>
      <c r="B3943" s="4561" t="n"/>
      <c r="C3943" s="4561" t="n"/>
      <c r="D3943" s="4561" t="n"/>
      <c r="E3943" s="4561" t="n"/>
      <c r="F3943" s="4561" t="n"/>
    </row>
    <row r="3944">
      <c r="A3944" s="4561" t="n"/>
      <c r="B3944" s="4561" t="n"/>
      <c r="C3944" s="4561" t="n"/>
      <c r="D3944" s="4561" t="n"/>
      <c r="E3944" s="4561" t="n"/>
      <c r="F3944" s="4561" t="n"/>
    </row>
    <row r="3945">
      <c r="A3945" s="4561" t="n"/>
      <c r="B3945" s="4561" t="n"/>
      <c r="C3945" s="4561" t="n"/>
      <c r="D3945" s="4561" t="n"/>
      <c r="E3945" s="4561" t="n"/>
      <c r="F3945" s="4561" t="n"/>
    </row>
    <row r="3946">
      <c r="A3946" s="4561" t="n"/>
      <c r="B3946" s="4561" t="n"/>
      <c r="C3946" s="4561" t="n"/>
      <c r="D3946" s="4561" t="n"/>
      <c r="E3946" s="4561" t="n"/>
      <c r="F3946" s="4561" t="n"/>
    </row>
    <row r="3947">
      <c r="A3947" s="4561" t="n"/>
      <c r="B3947" s="4561" t="n"/>
      <c r="C3947" s="4561" t="n"/>
      <c r="D3947" s="4561" t="n"/>
      <c r="E3947" s="4561" t="n"/>
      <c r="F3947" s="4561" t="n"/>
    </row>
    <row r="3948">
      <c r="A3948" s="4561" t="n"/>
      <c r="B3948" s="4561" t="n"/>
      <c r="C3948" s="4561" t="n"/>
      <c r="D3948" s="4561" t="n"/>
      <c r="E3948" s="4561" t="n"/>
      <c r="F3948" s="4561" t="n"/>
    </row>
    <row r="3949">
      <c r="A3949" s="4561" t="n"/>
      <c r="B3949" s="4561" t="n"/>
      <c r="C3949" s="4561" t="n"/>
      <c r="D3949" s="4561" t="n"/>
      <c r="E3949" s="4561" t="n"/>
      <c r="F3949" s="4561" t="n"/>
    </row>
    <row r="3950">
      <c r="A3950" s="4561" t="n"/>
      <c r="B3950" s="4561" t="n"/>
      <c r="C3950" s="4561" t="n"/>
      <c r="D3950" s="4561" t="n"/>
      <c r="E3950" s="4561" t="n"/>
      <c r="F3950" s="4561" t="n"/>
    </row>
    <row r="3951">
      <c r="A3951" s="4561" t="n"/>
      <c r="B3951" s="4561" t="n"/>
      <c r="C3951" s="4561" t="n"/>
      <c r="D3951" s="4561" t="n"/>
      <c r="E3951" s="4561" t="n"/>
      <c r="F3951" s="4561" t="n"/>
    </row>
    <row r="3952">
      <c r="A3952" s="4561" t="n"/>
      <c r="B3952" s="4561" t="n"/>
      <c r="C3952" s="4561" t="n"/>
      <c r="D3952" s="4561" t="n"/>
      <c r="E3952" s="4561" t="n"/>
      <c r="F3952" s="4561" t="n"/>
    </row>
    <row r="3953">
      <c r="A3953" s="4561" t="n"/>
      <c r="B3953" s="4561" t="n"/>
      <c r="C3953" s="4561" t="n"/>
      <c r="D3953" s="4561" t="n"/>
      <c r="E3953" s="4561" t="n"/>
      <c r="F3953" s="4561" t="n"/>
    </row>
    <row r="3954">
      <c r="A3954" s="4561" t="n"/>
      <c r="B3954" s="4561" t="n"/>
      <c r="C3954" s="4561" t="n"/>
      <c r="D3954" s="4561" t="n"/>
      <c r="E3954" s="4561" t="n"/>
      <c r="F3954" s="4561" t="n"/>
    </row>
    <row r="3955">
      <c r="A3955" s="4561" t="n"/>
      <c r="B3955" s="4561" t="n"/>
      <c r="C3955" s="4561" t="n"/>
      <c r="D3955" s="4561" t="n"/>
      <c r="E3955" s="4561" t="n"/>
      <c r="F3955" s="4561" t="n"/>
    </row>
    <row r="3956">
      <c r="A3956" s="4561" t="n"/>
      <c r="B3956" s="4561" t="n"/>
      <c r="C3956" s="4561" t="n"/>
      <c r="D3956" s="4561" t="n"/>
      <c r="E3956" s="4561" t="n"/>
      <c r="F3956" s="4561" t="n"/>
    </row>
    <row r="3957">
      <c r="A3957" s="4561" t="n"/>
      <c r="B3957" s="4561" t="n"/>
      <c r="C3957" s="4561" t="n"/>
      <c r="D3957" s="4561" t="n"/>
      <c r="E3957" s="4561" t="n"/>
      <c r="F3957" s="4561" t="n"/>
    </row>
    <row r="3958">
      <c r="A3958" s="4561" t="n"/>
      <c r="B3958" s="4561" t="n"/>
      <c r="C3958" s="4561" t="n"/>
      <c r="D3958" s="4561" t="n"/>
      <c r="E3958" s="4561" t="n"/>
      <c r="F3958" s="4561" t="n"/>
    </row>
    <row r="3959">
      <c r="A3959" s="4561" t="n"/>
      <c r="B3959" s="4561" t="n"/>
      <c r="C3959" s="4561" t="n"/>
      <c r="D3959" s="4561" t="n"/>
      <c r="E3959" s="4561" t="n"/>
      <c r="F3959" s="4561" t="n"/>
    </row>
    <row r="3960">
      <c r="A3960" s="4561" t="n"/>
      <c r="B3960" s="4561" t="n"/>
      <c r="C3960" s="4561" t="n"/>
      <c r="D3960" s="4561" t="n"/>
      <c r="E3960" s="4561" t="n"/>
      <c r="F3960" s="4561" t="n"/>
    </row>
    <row r="3961">
      <c r="A3961" s="4561" t="n"/>
      <c r="B3961" s="4561" t="n"/>
      <c r="C3961" s="4561" t="n"/>
      <c r="D3961" s="4561" t="n"/>
      <c r="E3961" s="4561" t="n"/>
      <c r="F3961" s="4561" t="n"/>
    </row>
    <row r="3962">
      <c r="A3962" s="4561" t="n"/>
      <c r="B3962" s="4561" t="n"/>
      <c r="C3962" s="4561" t="n"/>
      <c r="D3962" s="4561" t="n"/>
      <c r="E3962" s="4561" t="n"/>
      <c r="F3962" s="4561" t="n"/>
    </row>
    <row r="3963">
      <c r="A3963" s="4561" t="n"/>
      <c r="B3963" s="4561" t="n"/>
      <c r="C3963" s="4561" t="n"/>
      <c r="D3963" s="4561" t="n"/>
      <c r="E3963" s="4561" t="n"/>
      <c r="F3963" s="4561" t="n"/>
    </row>
    <row r="3964">
      <c r="A3964" s="4561" t="n"/>
      <c r="B3964" s="4561" t="n"/>
      <c r="C3964" s="4561" t="n"/>
      <c r="D3964" s="4561" t="n"/>
      <c r="E3964" s="4561" t="n"/>
      <c r="F3964" s="4561" t="n"/>
    </row>
    <row r="3965">
      <c r="A3965" s="4561" t="n"/>
      <c r="B3965" s="4561" t="n"/>
      <c r="C3965" s="4561" t="n"/>
      <c r="D3965" s="4561" t="n"/>
      <c r="E3965" s="4561" t="n"/>
      <c r="F3965" s="4561" t="n"/>
    </row>
    <row r="3966">
      <c r="A3966" s="4561" t="n"/>
      <c r="B3966" s="4561" t="n"/>
      <c r="C3966" s="4561" t="n"/>
      <c r="D3966" s="4561" t="n"/>
      <c r="E3966" s="4561" t="n"/>
      <c r="F3966" s="4561" t="n"/>
    </row>
    <row r="3967">
      <c r="A3967" s="4561" t="n"/>
      <c r="B3967" s="4561" t="n"/>
      <c r="C3967" s="4561" t="n"/>
      <c r="D3967" s="4561" t="n"/>
      <c r="E3967" s="4561" t="n"/>
      <c r="F3967" s="4561" t="n"/>
    </row>
    <row r="3968">
      <c r="A3968" s="4561" t="n"/>
      <c r="B3968" s="4561" t="n"/>
      <c r="C3968" s="4561" t="n"/>
      <c r="D3968" s="4561" t="n"/>
      <c r="E3968" s="4561" t="n"/>
      <c r="F3968" s="4561" t="n"/>
    </row>
    <row r="3969">
      <c r="A3969" s="4561" t="n"/>
      <c r="B3969" s="4561" t="n"/>
      <c r="C3969" s="4561" t="n"/>
      <c r="D3969" s="4561" t="n"/>
      <c r="E3969" s="4561" t="n"/>
      <c r="F3969" s="4561" t="n"/>
    </row>
    <row r="3970">
      <c r="A3970" s="4561" t="n"/>
      <c r="B3970" s="4561" t="n"/>
      <c r="C3970" s="4561" t="n"/>
      <c r="D3970" s="4561" t="n"/>
      <c r="E3970" s="4561" t="n"/>
      <c r="F3970" s="4561" t="n"/>
    </row>
    <row r="3971">
      <c r="A3971" s="4561" t="n"/>
      <c r="B3971" s="4561" t="n"/>
      <c r="C3971" s="4561" t="n"/>
      <c r="D3971" s="4561" t="n"/>
      <c r="E3971" s="4561" t="n"/>
      <c r="F3971" s="4561" t="n"/>
    </row>
    <row r="3972">
      <c r="A3972" s="4561" t="n"/>
      <c r="B3972" s="4561" t="n"/>
      <c r="C3972" s="4561" t="n"/>
      <c r="D3972" s="4561" t="n"/>
      <c r="E3972" s="4561" t="n"/>
      <c r="F3972" s="4561" t="n"/>
    </row>
    <row r="3973">
      <c r="A3973" s="4561" t="n"/>
      <c r="B3973" s="4561" t="n"/>
      <c r="C3973" s="4561" t="n"/>
      <c r="D3973" s="4561" t="n"/>
      <c r="E3973" s="4561" t="n"/>
      <c r="F3973" s="4561" t="n"/>
    </row>
    <row r="3974">
      <c r="A3974" s="4561" t="n"/>
      <c r="B3974" s="4561" t="n"/>
      <c r="C3974" s="4561" t="n"/>
      <c r="D3974" s="4561" t="n"/>
      <c r="E3974" s="4561" t="n"/>
      <c r="F3974" s="4561" t="n"/>
    </row>
    <row r="3975">
      <c r="A3975" s="4561" t="n"/>
      <c r="B3975" s="4561" t="n"/>
      <c r="C3975" s="4561" t="n"/>
      <c r="D3975" s="4561" t="n"/>
      <c r="E3975" s="4561" t="n"/>
      <c r="F3975" s="4561" t="n"/>
    </row>
    <row r="3976">
      <c r="A3976" s="4561" t="n"/>
      <c r="B3976" s="4561" t="n"/>
      <c r="C3976" s="4561" t="n"/>
      <c r="D3976" s="4561" t="n"/>
      <c r="E3976" s="4561" t="n"/>
      <c r="F3976" s="4561" t="n"/>
    </row>
    <row r="3977">
      <c r="A3977" s="4561" t="n"/>
      <c r="B3977" s="4561" t="n"/>
      <c r="C3977" s="4561" t="n"/>
      <c r="D3977" s="4561" t="n"/>
      <c r="E3977" s="4561" t="n"/>
      <c r="F3977" s="4561" t="n"/>
    </row>
    <row r="3978">
      <c r="A3978" s="4561" t="n"/>
      <c r="B3978" s="4561" t="n"/>
      <c r="C3978" s="4561" t="n"/>
      <c r="D3978" s="4561" t="n"/>
      <c r="E3978" s="4561" t="n"/>
      <c r="F3978" s="4561" t="n"/>
    </row>
    <row r="3979">
      <c r="A3979" s="4561" t="n"/>
      <c r="B3979" s="4561" t="n"/>
      <c r="C3979" s="4561" t="n"/>
      <c r="D3979" s="4561" t="n"/>
      <c r="E3979" s="4561" t="n"/>
      <c r="F3979" s="4561" t="n"/>
    </row>
    <row r="3980">
      <c r="A3980" s="4561" t="n"/>
      <c r="B3980" s="4561" t="n"/>
      <c r="C3980" s="4561" t="n"/>
      <c r="D3980" s="4561" t="n"/>
      <c r="E3980" s="4561" t="n"/>
      <c r="F3980" s="4561" t="n"/>
    </row>
    <row r="3981">
      <c r="A3981" s="4561" t="n"/>
      <c r="B3981" s="4561" t="n"/>
      <c r="C3981" s="4561" t="n"/>
      <c r="D3981" s="4561" t="n"/>
      <c r="E3981" s="4561" t="n"/>
      <c r="F3981" s="4561" t="n"/>
    </row>
    <row r="3982">
      <c r="A3982" s="4561" t="n"/>
      <c r="B3982" s="4561" t="n"/>
      <c r="C3982" s="4561" t="n"/>
      <c r="D3982" s="4561" t="n"/>
      <c r="E3982" s="4561" t="n"/>
      <c r="F3982" s="4561" t="n"/>
    </row>
    <row r="3983">
      <c r="A3983" s="4561" t="n"/>
      <c r="B3983" s="4561" t="n"/>
      <c r="C3983" s="4561" t="n"/>
      <c r="D3983" s="4561" t="n"/>
      <c r="E3983" s="4561" t="n"/>
      <c r="F3983" s="4561" t="n"/>
    </row>
    <row r="3984">
      <c r="A3984" s="4561" t="n"/>
      <c r="B3984" s="4561" t="n"/>
      <c r="C3984" s="4561" t="n"/>
      <c r="D3984" s="4561" t="n"/>
      <c r="E3984" s="4561" t="n"/>
      <c r="F3984" s="4561" t="n"/>
    </row>
    <row r="3985">
      <c r="A3985" s="4561" t="n"/>
      <c r="B3985" s="4561" t="n"/>
      <c r="C3985" s="4561" t="n"/>
      <c r="D3985" s="4561" t="n"/>
      <c r="E3985" s="4561" t="n"/>
      <c r="F3985" s="4561" t="n"/>
    </row>
    <row r="3986">
      <c r="A3986" s="4561" t="n"/>
      <c r="B3986" s="4561" t="n"/>
      <c r="C3986" s="4561" t="n"/>
      <c r="D3986" s="4561" t="n"/>
      <c r="E3986" s="4561" t="n"/>
      <c r="F3986" s="4561" t="n"/>
    </row>
    <row r="3987">
      <c r="A3987" s="4561" t="n"/>
      <c r="B3987" s="4561" t="n"/>
      <c r="C3987" s="4561" t="n"/>
      <c r="D3987" s="4561" t="n"/>
      <c r="E3987" s="4561" t="n"/>
      <c r="F3987" s="4561" t="n"/>
    </row>
    <row r="3988">
      <c r="A3988" s="4561" t="n"/>
      <c r="B3988" s="4561" t="n"/>
      <c r="C3988" s="4561" t="n"/>
      <c r="D3988" s="4561" t="n"/>
      <c r="E3988" s="4561" t="n"/>
      <c r="F3988" s="4561" t="n"/>
    </row>
    <row r="3989">
      <c r="A3989" s="4561" t="n"/>
      <c r="B3989" s="4561" t="n"/>
      <c r="C3989" s="4561" t="n"/>
      <c r="D3989" s="4561" t="n"/>
      <c r="E3989" s="4561" t="n"/>
      <c r="F3989" s="4561" t="n"/>
    </row>
    <row r="3990">
      <c r="A3990" s="4561" t="n"/>
      <c r="B3990" s="4561" t="n"/>
      <c r="C3990" s="4561" t="n"/>
      <c r="D3990" s="4561" t="n"/>
      <c r="E3990" s="4561" t="n"/>
      <c r="F3990" s="4561" t="n"/>
    </row>
    <row r="3991">
      <c r="A3991" s="4561" t="n"/>
      <c r="B3991" s="4561" t="n"/>
      <c r="C3991" s="4561" t="n"/>
      <c r="D3991" s="4561" t="n"/>
      <c r="E3991" s="4561" t="n"/>
      <c r="F3991" s="4561" t="n"/>
    </row>
    <row r="3992">
      <c r="A3992" s="4561" t="n"/>
      <c r="B3992" s="4561" t="n"/>
      <c r="C3992" s="4561" t="n"/>
      <c r="D3992" s="4561" t="n"/>
      <c r="E3992" s="4561" t="n"/>
      <c r="F3992" s="4561" t="n"/>
    </row>
    <row r="3993">
      <c r="A3993" s="4561" t="n"/>
      <c r="B3993" s="4561" t="n"/>
      <c r="C3993" s="4561" t="n"/>
      <c r="D3993" s="4561" t="n"/>
      <c r="E3993" s="4561" t="n"/>
      <c r="F3993" s="4561" t="n"/>
    </row>
    <row r="3994">
      <c r="A3994" s="4561" t="n"/>
      <c r="B3994" s="4561" t="n"/>
      <c r="C3994" s="4561" t="n"/>
      <c r="D3994" s="4561" t="n"/>
      <c r="E3994" s="4561" t="n"/>
      <c r="F3994" s="4561" t="n"/>
    </row>
    <row r="3995">
      <c r="A3995" s="4561" t="n"/>
      <c r="B3995" s="4561" t="n"/>
      <c r="C3995" s="4561" t="n"/>
      <c r="D3995" s="4561" t="n"/>
      <c r="E3995" s="4561" t="n"/>
      <c r="F3995" s="4561" t="n"/>
    </row>
    <row r="3996">
      <c r="A3996" s="4561" t="n"/>
      <c r="B3996" s="4561" t="n"/>
      <c r="C3996" s="4561" t="n"/>
      <c r="D3996" s="4561" t="n"/>
      <c r="E3996" s="4561" t="n"/>
      <c r="F3996" s="4561" t="n"/>
    </row>
    <row r="3997">
      <c r="A3997" s="4561" t="n"/>
      <c r="B3997" s="4561" t="n"/>
      <c r="C3997" s="4561" t="n"/>
      <c r="D3997" s="4561" t="n"/>
      <c r="E3997" s="4561" t="n"/>
      <c r="F3997" s="4561" t="n"/>
    </row>
    <row r="3998">
      <c r="A3998" s="4561" t="n"/>
      <c r="B3998" s="4561" t="n"/>
      <c r="C3998" s="4561" t="n"/>
      <c r="D3998" s="4561" t="n"/>
      <c r="E3998" s="4561" t="n"/>
      <c r="F3998" s="4561" t="n"/>
    </row>
    <row r="3999">
      <c r="A3999" s="4561" t="n"/>
      <c r="B3999" s="4561" t="n"/>
      <c r="C3999" s="4561" t="n"/>
      <c r="D3999" s="4561" t="n"/>
      <c r="E3999" s="4561" t="n"/>
      <c r="F3999" s="4561" t="n"/>
    </row>
    <row r="4000">
      <c r="A4000" s="4561" t="n"/>
      <c r="B4000" s="4561" t="n"/>
      <c r="C4000" s="4561" t="n"/>
      <c r="D4000" s="4561" t="n"/>
      <c r="E4000" s="4561" t="n"/>
      <c r="F4000" s="4561" t="n"/>
    </row>
    <row r="4001">
      <c r="A4001" s="4561" t="n"/>
      <c r="B4001" s="4561" t="n"/>
      <c r="C4001" s="4561" t="n"/>
      <c r="D4001" s="4561" t="n"/>
      <c r="E4001" s="4561" t="n"/>
      <c r="F4001" s="4561" t="n"/>
    </row>
    <row r="4002">
      <c r="A4002" s="4561" t="n"/>
      <c r="B4002" s="4561" t="n"/>
      <c r="C4002" s="4561" t="n"/>
      <c r="D4002" s="4561" t="n"/>
      <c r="E4002" s="4561" t="n"/>
      <c r="F4002" s="4561" t="n"/>
    </row>
    <row r="4003">
      <c r="A4003" s="4561" t="n"/>
      <c r="B4003" s="4561" t="n"/>
      <c r="C4003" s="4561" t="n"/>
      <c r="D4003" s="4561" t="n"/>
      <c r="E4003" s="4561" t="n"/>
      <c r="F4003" s="4561" t="n"/>
    </row>
    <row r="4004">
      <c r="A4004" s="4561" t="n"/>
      <c r="B4004" s="4561" t="n"/>
      <c r="C4004" s="4561" t="n"/>
      <c r="D4004" s="4561" t="n"/>
      <c r="E4004" s="4561" t="n"/>
      <c r="F4004" s="4561" t="n"/>
    </row>
    <row r="4005">
      <c r="A4005" s="4561" t="n"/>
      <c r="B4005" s="4561" t="n"/>
      <c r="C4005" s="4561" t="n"/>
      <c r="D4005" s="4561" t="n"/>
      <c r="E4005" s="4561" t="n"/>
      <c r="F4005" s="4561" t="n"/>
    </row>
    <row r="4006">
      <c r="A4006" s="4561" t="n"/>
      <c r="B4006" s="4561" t="n"/>
      <c r="C4006" s="4561" t="n"/>
      <c r="D4006" s="4561" t="n"/>
      <c r="E4006" s="4561" t="n"/>
      <c r="F4006" s="4561" t="n"/>
    </row>
    <row r="4007">
      <c r="A4007" s="4561" t="n"/>
      <c r="B4007" s="4561" t="n"/>
      <c r="C4007" s="4561" t="n"/>
      <c r="D4007" s="4561" t="n"/>
      <c r="E4007" s="4561" t="n"/>
      <c r="F4007" s="4561" t="n"/>
    </row>
    <row r="4008">
      <c r="A4008" s="4561" t="n"/>
      <c r="B4008" s="4561" t="n"/>
      <c r="C4008" s="4561" t="n"/>
      <c r="D4008" s="4561" t="n"/>
      <c r="E4008" s="4561" t="n"/>
      <c r="F4008" s="4561" t="n"/>
    </row>
    <row r="4009">
      <c r="A4009" s="4561" t="n"/>
      <c r="B4009" s="4561" t="n"/>
      <c r="C4009" s="4561" t="n"/>
      <c r="D4009" s="4561" t="n"/>
      <c r="E4009" s="4561" t="n"/>
      <c r="F4009" s="4561" t="n"/>
    </row>
    <row r="4010">
      <c r="A4010" s="4561" t="n"/>
      <c r="B4010" s="4561" t="n"/>
      <c r="C4010" s="4561" t="n"/>
      <c r="D4010" s="4561" t="n"/>
      <c r="E4010" s="4561" t="n"/>
      <c r="F4010" s="4561" t="n"/>
    </row>
    <row r="4011">
      <c r="A4011" s="4561" t="n"/>
      <c r="B4011" s="4561" t="n"/>
      <c r="C4011" s="4561" t="n"/>
      <c r="D4011" s="4561" t="n"/>
      <c r="E4011" s="4561" t="n"/>
      <c r="F4011" s="4561" t="n"/>
    </row>
    <row r="4012">
      <c r="A4012" s="4561" t="n"/>
      <c r="B4012" s="4561" t="n"/>
      <c r="C4012" s="4561" t="n"/>
      <c r="D4012" s="4561" t="n"/>
      <c r="E4012" s="4561" t="n"/>
      <c r="F4012" s="4561" t="n"/>
    </row>
    <row r="4013">
      <c r="A4013" s="4561" t="n"/>
      <c r="B4013" s="4561" t="n"/>
      <c r="C4013" s="4561" t="n"/>
      <c r="D4013" s="4561" t="n"/>
      <c r="E4013" s="4561" t="n"/>
      <c r="F4013" s="4561" t="n"/>
    </row>
    <row r="4014">
      <c r="A4014" s="4561" t="n"/>
      <c r="B4014" s="4561" t="n"/>
      <c r="C4014" s="4561" t="n"/>
      <c r="D4014" s="4561" t="n"/>
      <c r="E4014" s="4561" t="n"/>
      <c r="F4014" s="4561" t="n"/>
    </row>
    <row r="4015">
      <c r="A4015" s="4561" t="n"/>
      <c r="B4015" s="4561" t="n"/>
      <c r="C4015" s="4561" t="n"/>
      <c r="D4015" s="4561" t="n"/>
      <c r="E4015" s="4561" t="n"/>
      <c r="F4015" s="4561" t="n"/>
    </row>
    <row r="4016">
      <c r="A4016" s="4561" t="n"/>
      <c r="B4016" s="4561" t="n"/>
      <c r="C4016" s="4561" t="n"/>
      <c r="D4016" s="4561" t="n"/>
      <c r="E4016" s="4561" t="n"/>
      <c r="F4016" s="4561" t="n"/>
    </row>
    <row r="4017">
      <c r="A4017" s="4561" t="n"/>
      <c r="B4017" s="4561" t="n"/>
      <c r="C4017" s="4561" t="n"/>
      <c r="D4017" s="4561" t="n"/>
      <c r="E4017" s="4561" t="n"/>
      <c r="F4017" s="4561" t="n"/>
    </row>
    <row r="4018">
      <c r="A4018" s="4561" t="n"/>
      <c r="B4018" s="4561" t="n"/>
      <c r="C4018" s="4561" t="n"/>
      <c r="D4018" s="4561" t="n"/>
      <c r="E4018" s="4561" t="n"/>
      <c r="F4018" s="4561" t="n"/>
    </row>
    <row r="4019">
      <c r="A4019" s="4561" t="n"/>
      <c r="B4019" s="4561" t="n"/>
      <c r="C4019" s="4561" t="n"/>
      <c r="D4019" s="4561" t="n"/>
      <c r="E4019" s="4561" t="n"/>
      <c r="F4019" s="4561" t="n"/>
    </row>
    <row r="4020">
      <c r="A4020" s="4561" t="n"/>
      <c r="B4020" s="4561" t="n"/>
      <c r="C4020" s="4561" t="n"/>
      <c r="D4020" s="4561" t="n"/>
      <c r="E4020" s="4561" t="n"/>
      <c r="F4020" s="4561" t="n"/>
    </row>
    <row r="4021">
      <c r="A4021" s="4561" t="n"/>
      <c r="B4021" s="4561" t="n"/>
      <c r="C4021" s="4561" t="n"/>
      <c r="D4021" s="4561" t="n"/>
      <c r="E4021" s="4561" t="n"/>
      <c r="F4021" s="4561" t="n"/>
    </row>
    <row r="4022">
      <c r="A4022" s="4561" t="n"/>
      <c r="B4022" s="4561" t="n"/>
      <c r="C4022" s="4561" t="n"/>
      <c r="D4022" s="4561" t="n"/>
      <c r="E4022" s="4561" t="n"/>
      <c r="F4022" s="4561" t="n"/>
    </row>
    <row r="4023">
      <c r="A4023" s="4561" t="n"/>
      <c r="B4023" s="4561" t="n"/>
      <c r="C4023" s="4561" t="n"/>
      <c r="D4023" s="4561" t="n"/>
      <c r="E4023" s="4561" t="n"/>
      <c r="F4023" s="4561" t="n"/>
    </row>
    <row r="4024">
      <c r="A4024" s="4561" t="n"/>
      <c r="B4024" s="4561" t="n"/>
      <c r="C4024" s="4561" t="n"/>
      <c r="D4024" s="4561" t="n"/>
      <c r="E4024" s="4561" t="n"/>
      <c r="F4024" s="4561" t="n"/>
    </row>
    <row r="4025">
      <c r="A4025" s="4561" t="n"/>
      <c r="B4025" s="4561" t="n"/>
      <c r="C4025" s="4561" t="n"/>
      <c r="D4025" s="4561" t="n"/>
      <c r="E4025" s="4561" t="n"/>
      <c r="F4025" s="4561" t="n"/>
    </row>
    <row r="4026">
      <c r="A4026" s="4561" t="n"/>
      <c r="B4026" s="4561" t="n"/>
      <c r="C4026" s="4561" t="n"/>
      <c r="D4026" s="4561" t="n"/>
      <c r="E4026" s="4561" t="n"/>
      <c r="F4026" s="4561" t="n"/>
    </row>
    <row r="4027">
      <c r="A4027" s="4561" t="n"/>
      <c r="B4027" s="4561" t="n"/>
      <c r="C4027" s="4561" t="n"/>
      <c r="D4027" s="4561" t="n"/>
      <c r="E4027" s="4561" t="n"/>
      <c r="F4027" s="4561" t="n"/>
    </row>
    <row r="4028">
      <c r="A4028" s="4561" t="n"/>
      <c r="B4028" s="4561" t="n"/>
      <c r="C4028" s="4561" t="n"/>
      <c r="D4028" s="4561" t="n"/>
      <c r="E4028" s="4561" t="n"/>
      <c r="F4028" s="4561" t="n"/>
    </row>
    <row r="4029">
      <c r="A4029" s="4561" t="n"/>
      <c r="B4029" s="4561" t="n"/>
      <c r="C4029" s="4561" t="n"/>
      <c r="D4029" s="4561" t="n"/>
      <c r="E4029" s="4561" t="n"/>
      <c r="F4029" s="4561" t="n"/>
    </row>
    <row r="4030">
      <c r="A4030" s="4561" t="n"/>
      <c r="B4030" s="4561" t="n"/>
      <c r="C4030" s="4561" t="n"/>
      <c r="D4030" s="4561" t="n"/>
      <c r="E4030" s="4561" t="n"/>
      <c r="F4030" s="4561" t="n"/>
    </row>
    <row r="4031">
      <c r="A4031" s="4561" t="n"/>
      <c r="B4031" s="4561" t="n"/>
      <c r="C4031" s="4561" t="n"/>
      <c r="D4031" s="4561" t="n"/>
      <c r="E4031" s="4561" t="n"/>
      <c r="F4031" s="4561" t="n"/>
    </row>
    <row r="4032">
      <c r="A4032" s="4561" t="n"/>
      <c r="B4032" s="4561" t="n"/>
      <c r="C4032" s="4561" t="n"/>
      <c r="D4032" s="4561" t="n"/>
      <c r="E4032" s="4561" t="n"/>
      <c r="F4032" s="4561" t="n"/>
    </row>
    <row r="4033">
      <c r="A4033" s="4561" t="n"/>
      <c r="B4033" s="4561" t="n"/>
      <c r="C4033" s="4561" t="n"/>
      <c r="D4033" s="4561" t="n"/>
      <c r="E4033" s="4561" t="n"/>
      <c r="F4033" s="4561" t="n"/>
    </row>
    <row r="4034">
      <c r="A4034" s="4561" t="n"/>
      <c r="B4034" s="4561" t="n"/>
      <c r="C4034" s="4561" t="n"/>
      <c r="D4034" s="4561" t="n"/>
      <c r="E4034" s="4561" t="n"/>
      <c r="F4034" s="4561" t="n"/>
    </row>
    <row r="4035">
      <c r="A4035" s="4561" t="n"/>
      <c r="B4035" s="4561" t="n"/>
      <c r="C4035" s="4561" t="n"/>
      <c r="D4035" s="4561" t="n"/>
      <c r="E4035" s="4561" t="n"/>
      <c r="F4035" s="4561" t="n"/>
    </row>
    <row r="4036">
      <c r="A4036" s="4561" t="n"/>
      <c r="B4036" s="4561" t="n"/>
      <c r="C4036" s="4561" t="n"/>
      <c r="D4036" s="4561" t="n"/>
      <c r="E4036" s="4561" t="n"/>
      <c r="F4036" s="4561" t="n"/>
    </row>
    <row r="4037">
      <c r="A4037" s="4561" t="n"/>
      <c r="B4037" s="4561" t="n"/>
      <c r="C4037" s="4561" t="n"/>
      <c r="D4037" s="4561" t="n"/>
      <c r="E4037" s="4561" t="n"/>
      <c r="F4037" s="4561" t="n"/>
    </row>
    <row r="4038">
      <c r="A4038" s="4561" t="n"/>
      <c r="B4038" s="4561" t="n"/>
      <c r="C4038" s="4561" t="n"/>
      <c r="D4038" s="4561" t="n"/>
      <c r="E4038" s="4561" t="n"/>
      <c r="F4038" s="4561" t="n"/>
    </row>
    <row r="4039">
      <c r="A4039" s="4561" t="n"/>
      <c r="B4039" s="4561" t="n"/>
      <c r="C4039" s="4561" t="n"/>
      <c r="D4039" s="4561" t="n"/>
      <c r="E4039" s="4561" t="n"/>
      <c r="F4039" s="4561" t="n"/>
    </row>
    <row r="4040">
      <c r="A4040" s="4561" t="n"/>
      <c r="B4040" s="4561" t="n"/>
      <c r="C4040" s="4561" t="n"/>
      <c r="D4040" s="4561" t="n"/>
      <c r="E4040" s="4561" t="n"/>
      <c r="F4040" s="4561" t="n"/>
    </row>
    <row r="4041">
      <c r="A4041" s="4561" t="n"/>
      <c r="B4041" s="4561" t="n"/>
      <c r="C4041" s="4561" t="n"/>
      <c r="D4041" s="4561" t="n"/>
      <c r="E4041" s="4561" t="n"/>
      <c r="F4041" s="4561" t="n"/>
    </row>
    <row r="4042">
      <c r="A4042" s="4561" t="n"/>
      <c r="B4042" s="4561" t="n"/>
      <c r="C4042" s="4561" t="n"/>
      <c r="D4042" s="4561" t="n"/>
      <c r="E4042" s="4561" t="n"/>
      <c r="F4042" s="4561" t="n"/>
    </row>
    <row r="4043">
      <c r="A4043" s="4561" t="n"/>
      <c r="B4043" s="4561" t="n"/>
      <c r="C4043" s="4561" t="n"/>
      <c r="D4043" s="4561" t="n"/>
      <c r="E4043" s="4561" t="n"/>
      <c r="F4043" s="4561" t="n"/>
    </row>
    <row r="4044">
      <c r="A4044" s="4561" t="n"/>
      <c r="B4044" s="4561" t="n"/>
      <c r="C4044" s="4561" t="n"/>
      <c r="D4044" s="4561" t="n"/>
      <c r="E4044" s="4561" t="n"/>
      <c r="F4044" s="4561" t="n"/>
    </row>
    <row r="4045">
      <c r="A4045" s="4561" t="n"/>
      <c r="B4045" s="4561" t="n"/>
      <c r="C4045" s="4561" t="n"/>
      <c r="D4045" s="4561" t="n"/>
      <c r="E4045" s="4561" t="n"/>
      <c r="F4045" s="4561" t="n"/>
    </row>
    <row r="4046">
      <c r="A4046" s="4561" t="n"/>
      <c r="B4046" s="4561" t="n"/>
      <c r="C4046" s="4561" t="n"/>
      <c r="D4046" s="4561" t="n"/>
      <c r="E4046" s="4561" t="n"/>
      <c r="F4046" s="4561" t="n"/>
    </row>
    <row r="4047">
      <c r="A4047" s="4561" t="n"/>
      <c r="B4047" s="4561" t="n"/>
      <c r="C4047" s="4561" t="n"/>
      <c r="D4047" s="4561" t="n"/>
      <c r="E4047" s="4561" t="n"/>
      <c r="F4047" s="4561" t="n"/>
    </row>
    <row r="4048">
      <c r="A4048" s="4561" t="n"/>
      <c r="B4048" s="4561" t="n"/>
      <c r="C4048" s="4561" t="n"/>
      <c r="D4048" s="4561" t="n"/>
      <c r="E4048" s="4561" t="n"/>
      <c r="F4048" s="4561" t="n"/>
    </row>
    <row r="4049">
      <c r="A4049" s="4561" t="n"/>
      <c r="B4049" s="4561" t="n"/>
      <c r="C4049" s="4561" t="n"/>
      <c r="D4049" s="4561" t="n"/>
      <c r="E4049" s="4561" t="n"/>
      <c r="F4049" s="4561" t="n"/>
    </row>
    <row r="4050">
      <c r="A4050" s="4561" t="n"/>
      <c r="B4050" s="4561" t="n"/>
      <c r="C4050" s="4561" t="n"/>
      <c r="D4050" s="4561" t="n"/>
      <c r="E4050" s="4561" t="n"/>
      <c r="F4050" s="4561" t="n"/>
    </row>
    <row r="4051">
      <c r="A4051" s="4561" t="n"/>
      <c r="B4051" s="4561" t="n"/>
      <c r="C4051" s="4561" t="n"/>
      <c r="D4051" s="4561" t="n"/>
      <c r="E4051" s="4561" t="n"/>
      <c r="F4051" s="4561" t="n"/>
    </row>
    <row r="4052">
      <c r="A4052" s="4561" t="n"/>
      <c r="B4052" s="4561" t="n"/>
      <c r="C4052" s="4561" t="n"/>
      <c r="D4052" s="4561" t="n"/>
      <c r="E4052" s="4561" t="n"/>
      <c r="F4052" s="4561" t="n"/>
    </row>
    <row r="4053">
      <c r="A4053" s="4561" t="n"/>
      <c r="B4053" s="4561" t="n"/>
      <c r="C4053" s="4561" t="n"/>
      <c r="D4053" s="4561" t="n"/>
      <c r="E4053" s="4561" t="n"/>
      <c r="F4053" s="4561" t="n"/>
    </row>
    <row r="4054">
      <c r="A4054" s="4561" t="n"/>
      <c r="B4054" s="4561" t="n"/>
      <c r="C4054" s="4561" t="n"/>
      <c r="D4054" s="4561" t="n"/>
      <c r="E4054" s="4561" t="n"/>
      <c r="F4054" s="4561" t="n"/>
    </row>
    <row r="4055">
      <c r="A4055" s="4561" t="n"/>
      <c r="B4055" s="4561" t="n"/>
      <c r="C4055" s="4561" t="n"/>
      <c r="D4055" s="4561" t="n"/>
      <c r="E4055" s="4561" t="n"/>
      <c r="F4055" s="4561" t="n"/>
    </row>
    <row r="4056">
      <c r="A4056" s="4561" t="n"/>
      <c r="B4056" s="4561" t="n"/>
      <c r="C4056" s="4561" t="n"/>
      <c r="D4056" s="4561" t="n"/>
      <c r="E4056" s="4561" t="n"/>
      <c r="F4056" s="4561" t="n"/>
    </row>
    <row r="4057">
      <c r="A4057" s="4561" t="n"/>
      <c r="B4057" s="4561" t="n"/>
      <c r="C4057" s="4561" t="n"/>
      <c r="D4057" s="4561" t="n"/>
      <c r="E4057" s="4561" t="n"/>
      <c r="F4057" s="4561" t="n"/>
    </row>
    <row r="4058">
      <c r="A4058" s="4561" t="n"/>
      <c r="B4058" s="4561" t="n"/>
      <c r="C4058" s="4561" t="n"/>
      <c r="D4058" s="4561" t="n"/>
      <c r="E4058" s="4561" t="n"/>
      <c r="F4058" s="4561" t="n"/>
    </row>
    <row r="4059">
      <c r="A4059" s="4561" t="n"/>
      <c r="B4059" s="4561" t="n"/>
      <c r="C4059" s="4561" t="n"/>
      <c r="D4059" s="4561" t="n"/>
      <c r="E4059" s="4561" t="n"/>
      <c r="F4059" s="4561" t="n"/>
    </row>
    <row r="4060">
      <c r="A4060" s="4561" t="n"/>
      <c r="B4060" s="4561" t="n"/>
      <c r="C4060" s="4561" t="n"/>
      <c r="D4060" s="4561" t="n"/>
      <c r="E4060" s="4561" t="n"/>
      <c r="F4060" s="4561" t="n"/>
    </row>
    <row r="4061">
      <c r="A4061" s="4561" t="n"/>
      <c r="B4061" s="4561" t="n"/>
      <c r="C4061" s="4561" t="n"/>
      <c r="D4061" s="4561" t="n"/>
      <c r="E4061" s="4561" t="n"/>
      <c r="F4061" s="4561" t="n"/>
    </row>
    <row r="4062">
      <c r="A4062" s="4561" t="n"/>
      <c r="B4062" s="4561" t="n"/>
      <c r="C4062" s="4561" t="n"/>
      <c r="D4062" s="4561" t="n"/>
      <c r="E4062" s="4561" t="n"/>
      <c r="F4062" s="4561" t="n"/>
    </row>
    <row r="4063">
      <c r="A4063" s="4561" t="n"/>
      <c r="B4063" s="4561" t="n"/>
      <c r="C4063" s="4561" t="n"/>
      <c r="D4063" s="4561" t="n"/>
      <c r="E4063" s="4561" t="n"/>
      <c r="F4063" s="4561" t="n"/>
    </row>
    <row r="4064">
      <c r="A4064" s="4561" t="n"/>
      <c r="B4064" s="4561" t="n"/>
      <c r="C4064" s="4561" t="n"/>
      <c r="D4064" s="4561" t="n"/>
      <c r="E4064" s="4561" t="n"/>
      <c r="F4064" s="4561" t="n"/>
    </row>
    <row r="4065">
      <c r="A4065" s="4561" t="n"/>
      <c r="B4065" s="4561" t="n"/>
      <c r="C4065" s="4561" t="n"/>
      <c r="D4065" s="4561" t="n"/>
      <c r="E4065" s="4561" t="n"/>
      <c r="F4065" s="4561" t="n"/>
    </row>
    <row r="4066">
      <c r="A4066" s="4561" t="n"/>
      <c r="B4066" s="4561" t="n"/>
      <c r="C4066" s="4561" t="n"/>
      <c r="D4066" s="4561" t="n"/>
      <c r="E4066" s="4561" t="n"/>
      <c r="F4066" s="4561" t="n"/>
    </row>
    <row r="4067">
      <c r="A4067" s="4561" t="n"/>
      <c r="B4067" s="4561" t="n"/>
      <c r="C4067" s="4561" t="n"/>
      <c r="D4067" s="4561" t="n"/>
      <c r="E4067" s="4561" t="n"/>
      <c r="F4067" s="4561" t="n"/>
    </row>
    <row r="4068">
      <c r="A4068" s="4561" t="n"/>
      <c r="B4068" s="4561" t="n"/>
      <c r="C4068" s="4561" t="n"/>
      <c r="D4068" s="4561" t="n"/>
      <c r="E4068" s="4561" t="n"/>
      <c r="F4068" s="4561" t="n"/>
    </row>
    <row r="4069">
      <c r="A4069" s="4561" t="n"/>
      <c r="B4069" s="4561" t="n"/>
      <c r="C4069" s="4561" t="n"/>
      <c r="D4069" s="4561" t="n"/>
      <c r="E4069" s="4561" t="n"/>
      <c r="F4069" s="4561" t="n"/>
    </row>
    <row r="4070">
      <c r="A4070" s="4561" t="n"/>
      <c r="B4070" s="4561" t="n"/>
      <c r="C4070" s="4561" t="n"/>
      <c r="D4070" s="4561" t="n"/>
      <c r="E4070" s="4561" t="n"/>
      <c r="F4070" s="4561" t="n"/>
    </row>
    <row r="4071">
      <c r="A4071" s="4561" t="n"/>
      <c r="B4071" s="4561" t="n"/>
      <c r="C4071" s="4561" t="n"/>
      <c r="D4071" s="4561" t="n"/>
      <c r="E4071" s="4561" t="n"/>
      <c r="F4071" s="4561" t="n"/>
    </row>
    <row r="4072">
      <c r="A4072" s="4561" t="n"/>
      <c r="B4072" s="4561" t="n"/>
      <c r="C4072" s="4561" t="n"/>
      <c r="D4072" s="4561" t="n"/>
      <c r="E4072" s="4561" t="n"/>
      <c r="F4072" s="4561" t="n"/>
    </row>
    <row r="4073">
      <c r="A4073" s="4561" t="n"/>
      <c r="B4073" s="4561" t="n"/>
      <c r="C4073" s="4561" t="n"/>
      <c r="D4073" s="4561" t="n"/>
      <c r="E4073" s="4561" t="n"/>
      <c r="F4073" s="4561" t="n"/>
    </row>
    <row r="4074">
      <c r="A4074" s="4561" t="n"/>
      <c r="B4074" s="4561" t="n"/>
      <c r="C4074" s="4561" t="n"/>
      <c r="D4074" s="4561" t="n"/>
      <c r="E4074" s="4561" t="n"/>
      <c r="F4074" s="4561" t="n"/>
    </row>
    <row r="4075">
      <c r="A4075" s="4561" t="n"/>
      <c r="B4075" s="4561" t="n"/>
      <c r="C4075" s="4561" t="n"/>
      <c r="D4075" s="4561" t="n"/>
      <c r="E4075" s="4561" t="n"/>
      <c r="F4075" s="4561" t="n"/>
    </row>
    <row r="4076">
      <c r="A4076" s="4561" t="n"/>
      <c r="B4076" s="4561" t="n"/>
      <c r="C4076" s="4561" t="n"/>
      <c r="D4076" s="4561" t="n"/>
      <c r="E4076" s="4561" t="n"/>
      <c r="F4076" s="4561" t="n"/>
    </row>
    <row r="4077">
      <c r="A4077" s="4561" t="n"/>
      <c r="B4077" s="4561" t="n"/>
      <c r="C4077" s="4561" t="n"/>
      <c r="D4077" s="4561" t="n"/>
      <c r="E4077" s="4561" t="n"/>
      <c r="F4077" s="4561" t="n"/>
    </row>
    <row r="4078">
      <c r="A4078" s="4561" t="n"/>
      <c r="B4078" s="4561" t="n"/>
      <c r="C4078" s="4561" t="n"/>
      <c r="D4078" s="4561" t="n"/>
      <c r="E4078" s="4561" t="n"/>
      <c r="F4078" s="4561" t="n"/>
    </row>
    <row r="4079">
      <c r="A4079" s="4561" t="n"/>
      <c r="B4079" s="4561" t="n"/>
      <c r="C4079" s="4561" t="n"/>
      <c r="D4079" s="4561" t="n"/>
      <c r="E4079" s="4561" t="n"/>
      <c r="F4079" s="4561" t="n"/>
    </row>
    <row r="4080">
      <c r="A4080" s="4561" t="n"/>
      <c r="B4080" s="4561" t="n"/>
      <c r="C4080" s="4561" t="n"/>
      <c r="D4080" s="4561" t="n"/>
      <c r="E4080" s="4561" t="n"/>
      <c r="F4080" s="4561" t="n"/>
    </row>
    <row r="4081">
      <c r="A4081" s="4561" t="n"/>
      <c r="B4081" s="4561" t="n"/>
      <c r="C4081" s="4561" t="n"/>
      <c r="D4081" s="4561" t="n"/>
      <c r="E4081" s="4561" t="n"/>
      <c r="F4081" s="4561" t="n"/>
    </row>
    <row r="4082">
      <c r="A4082" s="4561" t="n"/>
      <c r="B4082" s="4561" t="n"/>
      <c r="C4082" s="4561" t="n"/>
      <c r="D4082" s="4561" t="n"/>
      <c r="E4082" s="4561" t="n"/>
      <c r="F4082" s="4561" t="n"/>
    </row>
    <row r="4083">
      <c r="A4083" s="4561" t="n"/>
      <c r="B4083" s="4561" t="n"/>
      <c r="C4083" s="4561" t="n"/>
      <c r="D4083" s="4561" t="n"/>
      <c r="E4083" s="4561" t="n"/>
      <c r="F4083" s="4561" t="n"/>
    </row>
    <row r="4084">
      <c r="A4084" s="4561" t="n"/>
      <c r="B4084" s="4561" t="n"/>
      <c r="C4084" s="4561" t="n"/>
      <c r="D4084" s="4561" t="n"/>
      <c r="E4084" s="4561" t="n"/>
      <c r="F4084" s="4561" t="n"/>
    </row>
    <row r="4085">
      <c r="A4085" s="4561" t="n"/>
      <c r="B4085" s="4561" t="n"/>
      <c r="C4085" s="4561" t="n"/>
      <c r="D4085" s="4561" t="n"/>
      <c r="E4085" s="4561" t="n"/>
      <c r="F4085" s="4561" t="n"/>
    </row>
    <row r="4086">
      <c r="A4086" s="4561" t="n"/>
      <c r="B4086" s="4561" t="n"/>
      <c r="C4086" s="4561" t="n"/>
      <c r="D4086" s="4561" t="n"/>
      <c r="E4086" s="4561" t="n"/>
      <c r="F4086" s="4561" t="n"/>
    </row>
    <row r="4087">
      <c r="A4087" s="4561" t="n"/>
      <c r="B4087" s="4561" t="n"/>
      <c r="C4087" s="4561" t="n"/>
      <c r="D4087" s="4561" t="n"/>
      <c r="E4087" s="4561" t="n"/>
      <c r="F4087" s="4561" t="n"/>
    </row>
    <row r="4088">
      <c r="A4088" s="4561" t="n"/>
      <c r="B4088" s="4561" t="n"/>
      <c r="C4088" s="4561" t="n"/>
      <c r="D4088" s="4561" t="n"/>
      <c r="E4088" s="4561" t="n"/>
      <c r="F4088" s="4561" t="n"/>
    </row>
    <row r="4089">
      <c r="A4089" s="4561" t="n"/>
      <c r="B4089" s="4561" t="n"/>
      <c r="C4089" s="4561" t="n"/>
      <c r="D4089" s="4561" t="n"/>
      <c r="E4089" s="4561" t="n"/>
      <c r="F4089" s="4561" t="n"/>
    </row>
    <row r="4090">
      <c r="A4090" s="4561" t="n"/>
      <c r="B4090" s="4561" t="n"/>
      <c r="C4090" s="4561" t="n"/>
      <c r="D4090" s="4561" t="n"/>
      <c r="E4090" s="4561" t="n"/>
      <c r="F4090" s="4561" t="n"/>
    </row>
    <row r="4091">
      <c r="A4091" s="4561" t="n"/>
      <c r="B4091" s="4561" t="n"/>
      <c r="C4091" s="4561" t="n"/>
      <c r="D4091" s="4561" t="n"/>
      <c r="E4091" s="4561" t="n"/>
      <c r="F4091" s="4561" t="n"/>
    </row>
    <row r="4092">
      <c r="A4092" s="4561" t="n"/>
      <c r="B4092" s="4561" t="n"/>
      <c r="C4092" s="4561" t="n"/>
      <c r="D4092" s="4561" t="n"/>
      <c r="E4092" s="4561" t="n"/>
      <c r="F4092" s="4561" t="n"/>
    </row>
    <row r="4093">
      <c r="A4093" s="4561" t="n"/>
      <c r="B4093" s="4561" t="n"/>
      <c r="C4093" s="4561" t="n"/>
      <c r="D4093" s="4561" t="n"/>
      <c r="E4093" s="4561" t="n"/>
      <c r="F4093" s="4561" t="n"/>
    </row>
    <row r="4094">
      <c r="A4094" s="4561" t="n"/>
      <c r="B4094" s="4561" t="n"/>
      <c r="C4094" s="4561" t="n"/>
      <c r="D4094" s="4561" t="n"/>
      <c r="E4094" s="4561" t="n"/>
      <c r="F4094" s="4561" t="n"/>
    </row>
    <row r="4095">
      <c r="A4095" s="4561" t="n"/>
      <c r="B4095" s="4561" t="n"/>
      <c r="C4095" s="4561" t="n"/>
      <c r="D4095" s="4561" t="n"/>
      <c r="E4095" s="4561" t="n"/>
      <c r="F4095" s="4561" t="n"/>
    </row>
    <row r="4096">
      <c r="A4096" s="4561" t="n"/>
      <c r="B4096" s="4561" t="n"/>
      <c r="C4096" s="4561" t="n"/>
      <c r="D4096" s="4561" t="n"/>
      <c r="E4096" s="4561" t="n"/>
      <c r="F4096" s="4561" t="n"/>
    </row>
    <row r="4097">
      <c r="A4097" s="4561" t="n"/>
      <c r="B4097" s="4561" t="n"/>
      <c r="C4097" s="4561" t="n"/>
      <c r="D4097" s="4561" t="n"/>
      <c r="E4097" s="4561" t="n"/>
      <c r="F4097" s="4561" t="n"/>
    </row>
    <row r="4098">
      <c r="A4098" s="4561" t="n"/>
      <c r="B4098" s="4561" t="n"/>
      <c r="C4098" s="4561" t="n"/>
      <c r="D4098" s="4561" t="n"/>
      <c r="E4098" s="4561" t="n"/>
      <c r="F4098" s="4561" t="n"/>
    </row>
    <row r="4099">
      <c r="A4099" s="4561" t="n"/>
      <c r="B4099" s="4561" t="n"/>
      <c r="C4099" s="4561" t="n"/>
      <c r="D4099" s="4561" t="n"/>
      <c r="E4099" s="4561" t="n"/>
      <c r="F4099" s="4561" t="n"/>
    </row>
    <row r="4100">
      <c r="A4100" s="4561" t="n"/>
      <c r="B4100" s="4561" t="n"/>
      <c r="C4100" s="4561" t="n"/>
      <c r="D4100" s="4561" t="n"/>
      <c r="E4100" s="4561" t="n"/>
      <c r="F4100" s="4561" t="n"/>
    </row>
    <row r="4101">
      <c r="A4101" s="4561" t="n"/>
      <c r="B4101" s="4561" t="n"/>
      <c r="C4101" s="4561" t="n"/>
      <c r="D4101" s="4561" t="n"/>
      <c r="E4101" s="4561" t="n"/>
      <c r="F4101" s="4561" t="n"/>
    </row>
    <row r="4102">
      <c r="A4102" s="4561" t="n"/>
      <c r="B4102" s="4561" t="n"/>
      <c r="C4102" s="4561" t="n"/>
      <c r="D4102" s="4561" t="n"/>
      <c r="E4102" s="4561" t="n"/>
      <c r="F4102" s="4561" t="n"/>
    </row>
    <row r="4103">
      <c r="A4103" s="4561" t="n"/>
      <c r="B4103" s="4561" t="n"/>
      <c r="C4103" s="4561" t="n"/>
      <c r="D4103" s="4561" t="n"/>
      <c r="E4103" s="4561" t="n"/>
      <c r="F4103" s="4561" t="n"/>
    </row>
    <row r="4104">
      <c r="A4104" s="4561" t="n"/>
      <c r="B4104" s="4561" t="n"/>
      <c r="C4104" s="4561" t="n"/>
      <c r="D4104" s="4561" t="n"/>
      <c r="E4104" s="4561" t="n"/>
      <c r="F4104" s="4561" t="n"/>
    </row>
    <row r="4105">
      <c r="A4105" s="4561" t="n"/>
      <c r="B4105" s="4561" t="n"/>
      <c r="C4105" s="4561" t="n"/>
      <c r="D4105" s="4561" t="n"/>
      <c r="E4105" s="4561" t="n"/>
      <c r="F4105" s="4561" t="n"/>
    </row>
    <row r="4106">
      <c r="A4106" s="4561" t="n"/>
      <c r="B4106" s="4561" t="n"/>
      <c r="C4106" s="4561" t="n"/>
      <c r="D4106" s="4561" t="n"/>
      <c r="E4106" s="4561" t="n"/>
      <c r="F4106" s="4561" t="n"/>
    </row>
    <row r="4107">
      <c r="A4107" s="4561" t="n"/>
      <c r="B4107" s="4561" t="n"/>
      <c r="C4107" s="4561" t="n"/>
      <c r="D4107" s="4561" t="n"/>
      <c r="E4107" s="4561" t="n"/>
      <c r="F4107" s="4561" t="n"/>
    </row>
    <row r="4108">
      <c r="A4108" s="4561" t="n"/>
      <c r="B4108" s="4561" t="n"/>
      <c r="C4108" s="4561" t="n"/>
      <c r="D4108" s="4561" t="n"/>
      <c r="E4108" s="4561" t="n"/>
      <c r="F4108" s="4561" t="n"/>
    </row>
    <row r="4109">
      <c r="A4109" s="4561" t="n"/>
      <c r="B4109" s="4561" t="n"/>
      <c r="C4109" s="4561" t="n"/>
      <c r="D4109" s="4561" t="n"/>
      <c r="E4109" s="4561" t="n"/>
      <c r="F4109" s="4561" t="n"/>
    </row>
    <row r="4110">
      <c r="A4110" s="4561" t="n"/>
      <c r="B4110" s="4561" t="n"/>
      <c r="C4110" s="4561" t="n"/>
      <c r="D4110" s="4561" t="n"/>
      <c r="E4110" s="4561" t="n"/>
      <c r="F4110" s="4561" t="n"/>
    </row>
    <row r="4111">
      <c r="A4111" s="4561" t="n"/>
      <c r="B4111" s="4561" t="n"/>
      <c r="C4111" s="4561" t="n"/>
      <c r="D4111" s="4561" t="n"/>
      <c r="E4111" s="4561" t="n"/>
      <c r="F4111" s="4561" t="n"/>
    </row>
    <row r="4112">
      <c r="A4112" s="4561" t="n"/>
      <c r="B4112" s="4561" t="n"/>
      <c r="C4112" s="4561" t="n"/>
      <c r="D4112" s="4561" t="n"/>
      <c r="E4112" s="4561" t="n"/>
      <c r="F4112" s="4561" t="n"/>
    </row>
    <row r="4113">
      <c r="A4113" s="4561" t="n"/>
      <c r="B4113" s="4561" t="n"/>
      <c r="C4113" s="4561" t="n"/>
      <c r="D4113" s="4561" t="n"/>
      <c r="E4113" s="4561" t="n"/>
      <c r="F4113" s="4561" t="n"/>
    </row>
    <row r="4114">
      <c r="A4114" s="4561" t="n"/>
      <c r="B4114" s="4561" t="n"/>
      <c r="C4114" s="4561" t="n"/>
      <c r="D4114" s="4561" t="n"/>
      <c r="E4114" s="4561" t="n"/>
      <c r="F4114" s="4561" t="n"/>
    </row>
    <row r="4115">
      <c r="A4115" s="4561" t="n"/>
      <c r="B4115" s="4561" t="n"/>
      <c r="C4115" s="4561" t="n"/>
      <c r="D4115" s="4561" t="n"/>
      <c r="E4115" s="4561" t="n"/>
      <c r="F4115" s="4561" t="n"/>
    </row>
    <row r="4116">
      <c r="A4116" s="4561" t="n"/>
      <c r="B4116" s="4561" t="n"/>
      <c r="C4116" s="4561" t="n"/>
      <c r="D4116" s="4561" t="n"/>
      <c r="E4116" s="4561" t="n"/>
      <c r="F4116" s="4561" t="n"/>
    </row>
    <row r="4117">
      <c r="A4117" s="4561" t="n"/>
      <c r="B4117" s="4561" t="n"/>
      <c r="C4117" s="4561" t="n"/>
      <c r="D4117" s="4561" t="n"/>
      <c r="E4117" s="4561" t="n"/>
      <c r="F4117" s="4561" t="n"/>
    </row>
    <row r="4118">
      <c r="A4118" s="4561" t="n"/>
      <c r="B4118" s="4561" t="n"/>
      <c r="C4118" s="4561" t="n"/>
      <c r="D4118" s="4561" t="n"/>
      <c r="E4118" s="4561" t="n"/>
      <c r="F4118" s="4561" t="n"/>
    </row>
    <row r="4119">
      <c r="A4119" s="4561" t="n"/>
      <c r="B4119" s="4561" t="n"/>
      <c r="C4119" s="4561" t="n"/>
      <c r="D4119" s="4561" t="n"/>
      <c r="E4119" s="4561" t="n"/>
      <c r="F4119" s="4561" t="n"/>
    </row>
    <row r="4120">
      <c r="A4120" s="4561" t="n"/>
      <c r="B4120" s="4561" t="n"/>
      <c r="C4120" s="4561" t="n"/>
      <c r="D4120" s="4561" t="n"/>
      <c r="E4120" s="4561" t="n"/>
      <c r="F4120" s="4561" t="n"/>
    </row>
    <row r="4121">
      <c r="A4121" s="4561" t="n"/>
      <c r="B4121" s="4561" t="n"/>
      <c r="C4121" s="4561" t="n"/>
      <c r="D4121" s="4561" t="n"/>
      <c r="E4121" s="4561" t="n"/>
      <c r="F4121" s="4561" t="n"/>
    </row>
    <row r="4122">
      <c r="A4122" s="4561" t="n"/>
      <c r="B4122" s="4561" t="n"/>
      <c r="C4122" s="4561" t="n"/>
      <c r="D4122" s="4561" t="n"/>
      <c r="E4122" s="4561" t="n"/>
      <c r="F4122" s="4561" t="n"/>
    </row>
    <row r="4123">
      <c r="A4123" s="4561" t="n"/>
      <c r="B4123" s="4561" t="n"/>
      <c r="C4123" s="4561" t="n"/>
      <c r="D4123" s="4561" t="n"/>
      <c r="E4123" s="4561" t="n"/>
      <c r="F4123" s="4561" t="n"/>
    </row>
    <row r="4124">
      <c r="A4124" s="4561" t="n"/>
      <c r="B4124" s="4561" t="n"/>
      <c r="C4124" s="4561" t="n"/>
      <c r="D4124" s="4561" t="n"/>
      <c r="E4124" s="4561" t="n"/>
      <c r="F4124" s="4561" t="n"/>
    </row>
    <row r="4125">
      <c r="A4125" s="4561" t="n"/>
      <c r="B4125" s="4561" t="n"/>
      <c r="C4125" s="4561" t="n"/>
      <c r="D4125" s="4561" t="n"/>
      <c r="E4125" s="4561" t="n"/>
      <c r="F4125" s="4561" t="n"/>
    </row>
    <row r="4126">
      <c r="A4126" s="4561" t="n"/>
      <c r="B4126" s="4561" t="n"/>
      <c r="C4126" s="4561" t="n"/>
      <c r="D4126" s="4561" t="n"/>
      <c r="E4126" s="4561" t="n"/>
      <c r="F4126" s="4561" t="n"/>
    </row>
    <row r="4127">
      <c r="A4127" s="4561" t="n"/>
      <c r="B4127" s="4561" t="n"/>
      <c r="C4127" s="4561" t="n"/>
      <c r="D4127" s="4561" t="n"/>
      <c r="E4127" s="4561" t="n"/>
      <c r="F4127" s="4561" t="n"/>
    </row>
    <row r="4128">
      <c r="A4128" s="4561" t="n"/>
      <c r="B4128" s="4561" t="n"/>
      <c r="C4128" s="4561" t="n"/>
      <c r="D4128" s="4561" t="n"/>
      <c r="E4128" s="4561" t="n"/>
      <c r="F4128" s="4561" t="n"/>
    </row>
    <row r="4129">
      <c r="A4129" s="4561" t="n"/>
      <c r="B4129" s="4561" t="n"/>
      <c r="C4129" s="4561" t="n"/>
      <c r="D4129" s="4561" t="n"/>
      <c r="E4129" s="4561" t="n"/>
      <c r="F4129" s="4561" t="n"/>
    </row>
    <row r="4130">
      <c r="A4130" s="4561" t="n"/>
      <c r="B4130" s="4561" t="n"/>
      <c r="C4130" s="4561" t="n"/>
      <c r="D4130" s="4561" t="n"/>
      <c r="E4130" s="4561" t="n"/>
      <c r="F4130" s="4561" t="n"/>
    </row>
    <row r="4131">
      <c r="A4131" s="4561" t="n"/>
      <c r="B4131" s="4561" t="n"/>
      <c r="C4131" s="4561" t="n"/>
      <c r="D4131" s="4561" t="n"/>
      <c r="E4131" s="4561" t="n"/>
      <c r="F4131" s="4561" t="n"/>
    </row>
    <row r="4132">
      <c r="A4132" s="4561" t="n"/>
      <c r="B4132" s="4561" t="n"/>
      <c r="C4132" s="4561" t="n"/>
      <c r="D4132" s="4561" t="n"/>
      <c r="E4132" s="4561" t="n"/>
      <c r="F4132" s="4561" t="n"/>
    </row>
    <row r="4133">
      <c r="A4133" s="4561" t="n"/>
      <c r="B4133" s="4561" t="n"/>
      <c r="C4133" s="4561" t="n"/>
      <c r="D4133" s="4561" t="n"/>
      <c r="E4133" s="4561" t="n"/>
      <c r="F4133" s="4561" t="n"/>
    </row>
    <row r="4134">
      <c r="A4134" s="4561" t="n"/>
      <c r="B4134" s="4561" t="n"/>
      <c r="C4134" s="4561" t="n"/>
      <c r="D4134" s="4561" t="n"/>
      <c r="E4134" s="4561" t="n"/>
      <c r="F4134" s="4561" t="n"/>
    </row>
    <row r="4135">
      <c r="A4135" s="4561" t="n"/>
      <c r="B4135" s="4561" t="n"/>
      <c r="C4135" s="4561" t="n"/>
      <c r="D4135" s="4561" t="n"/>
      <c r="E4135" s="4561" t="n"/>
      <c r="F4135" s="4561" t="n"/>
    </row>
    <row r="4136">
      <c r="A4136" s="4561" t="n"/>
      <c r="B4136" s="4561" t="n"/>
      <c r="C4136" s="4561" t="n"/>
      <c r="D4136" s="4561" t="n"/>
      <c r="E4136" s="4561" t="n"/>
      <c r="F4136" s="4561" t="n"/>
    </row>
    <row r="4137">
      <c r="A4137" s="4561" t="n"/>
      <c r="B4137" s="4561" t="n"/>
      <c r="C4137" s="4561" t="n"/>
      <c r="D4137" s="4561" t="n"/>
      <c r="E4137" s="4561" t="n"/>
      <c r="F4137" s="4561" t="n"/>
    </row>
    <row r="4138">
      <c r="A4138" s="4561" t="n"/>
      <c r="B4138" s="4561" t="n"/>
      <c r="C4138" s="4561" t="n"/>
      <c r="D4138" s="4561" t="n"/>
      <c r="E4138" s="4561" t="n"/>
      <c r="F4138" s="4561" t="n"/>
    </row>
    <row r="4139">
      <c r="A4139" s="4561" t="n"/>
      <c r="B4139" s="4561" t="n"/>
      <c r="C4139" s="4561" t="n"/>
      <c r="D4139" s="4561" t="n"/>
      <c r="E4139" s="4561" t="n"/>
      <c r="F4139" s="4561" t="n"/>
    </row>
    <row r="4140">
      <c r="A4140" s="4561" t="n"/>
      <c r="B4140" s="4561" t="n"/>
      <c r="C4140" s="4561" t="n"/>
      <c r="D4140" s="4561" t="n"/>
      <c r="E4140" s="4561" t="n"/>
      <c r="F4140" s="4561" t="n"/>
    </row>
    <row r="4141">
      <c r="A4141" s="4561" t="n"/>
      <c r="B4141" s="4561" t="n"/>
      <c r="C4141" s="4561" t="n"/>
      <c r="D4141" s="4561" t="n"/>
      <c r="E4141" s="4561" t="n"/>
      <c r="F4141" s="4561" t="n"/>
    </row>
    <row r="4142">
      <c r="A4142" s="4561" t="n"/>
      <c r="B4142" s="4561" t="n"/>
      <c r="C4142" s="4561" t="n"/>
      <c r="D4142" s="4561" t="n"/>
      <c r="E4142" s="4561" t="n"/>
      <c r="F4142" s="4561" t="n"/>
    </row>
    <row r="4143">
      <c r="A4143" s="4561" t="n"/>
      <c r="B4143" s="4561" t="n"/>
      <c r="C4143" s="4561" t="n"/>
      <c r="D4143" s="4561" t="n"/>
      <c r="E4143" s="4561" t="n"/>
      <c r="F4143" s="4561" t="n"/>
    </row>
    <row r="4144">
      <c r="A4144" s="4561" t="n"/>
      <c r="B4144" s="4561" t="n"/>
      <c r="C4144" s="4561" t="n"/>
      <c r="D4144" s="4561" t="n"/>
      <c r="E4144" s="4561" t="n"/>
      <c r="F4144" s="4561" t="n"/>
    </row>
    <row r="4145">
      <c r="A4145" s="4561" t="n"/>
      <c r="B4145" s="4561" t="n"/>
      <c r="C4145" s="4561" t="n"/>
      <c r="D4145" s="4561" t="n"/>
      <c r="E4145" s="4561" t="n"/>
      <c r="F4145" s="4561" t="n"/>
    </row>
    <row r="4146">
      <c r="A4146" s="4561" t="n"/>
      <c r="B4146" s="4561" t="n"/>
      <c r="C4146" s="4561" t="n"/>
      <c r="D4146" s="4561" t="n"/>
      <c r="E4146" s="4561" t="n"/>
      <c r="F4146" s="4561" t="n"/>
    </row>
    <row r="4147">
      <c r="A4147" s="4561" t="n"/>
      <c r="B4147" s="4561" t="n"/>
      <c r="C4147" s="4561" t="n"/>
      <c r="D4147" s="4561" t="n"/>
      <c r="E4147" s="4561" t="n"/>
      <c r="F4147" s="4561" t="n"/>
    </row>
    <row r="4148">
      <c r="A4148" s="4561" t="n"/>
      <c r="B4148" s="4561" t="n"/>
      <c r="C4148" s="4561" t="n"/>
      <c r="D4148" s="4561" t="n"/>
      <c r="E4148" s="4561" t="n"/>
      <c r="F4148" s="4561" t="n"/>
    </row>
    <row r="4149">
      <c r="A4149" s="4561" t="n"/>
      <c r="B4149" s="4561" t="n"/>
      <c r="C4149" s="4561" t="n"/>
      <c r="D4149" s="4561" t="n"/>
      <c r="E4149" s="4561" t="n"/>
      <c r="F4149" s="4561" t="n"/>
    </row>
    <row r="4150">
      <c r="A4150" s="4561" t="n"/>
      <c r="B4150" s="4561" t="n"/>
      <c r="C4150" s="4561" t="n"/>
      <c r="D4150" s="4561" t="n"/>
      <c r="E4150" s="4561" t="n"/>
      <c r="F4150" s="4561" t="n"/>
    </row>
    <row r="4151">
      <c r="A4151" s="4561" t="n"/>
      <c r="B4151" s="4561" t="n"/>
      <c r="C4151" s="4561" t="n"/>
      <c r="D4151" s="4561" t="n"/>
      <c r="E4151" s="4561" t="n"/>
      <c r="F4151" s="4561" t="n"/>
    </row>
    <row r="4152">
      <c r="A4152" s="4561" t="n"/>
      <c r="B4152" s="4561" t="n"/>
      <c r="C4152" s="4561" t="n"/>
      <c r="D4152" s="4561" t="n"/>
      <c r="E4152" s="4561" t="n"/>
      <c r="F4152" s="4561" t="n"/>
    </row>
    <row r="4153">
      <c r="A4153" s="4561" t="n"/>
      <c r="B4153" s="4561" t="n"/>
      <c r="C4153" s="4561" t="n"/>
      <c r="D4153" s="4561" t="n"/>
      <c r="E4153" s="4561" t="n"/>
      <c r="F4153" s="4561" t="n"/>
    </row>
    <row r="4154">
      <c r="A4154" s="4561" t="n"/>
      <c r="B4154" s="4561" t="n"/>
      <c r="C4154" s="4561" t="n"/>
      <c r="D4154" s="4561" t="n"/>
      <c r="E4154" s="4561" t="n"/>
      <c r="F4154" s="4561" t="n"/>
    </row>
    <row r="4155">
      <c r="A4155" s="4561" t="n"/>
      <c r="B4155" s="4561" t="n"/>
      <c r="C4155" s="4561" t="n"/>
      <c r="D4155" s="4561" t="n"/>
      <c r="E4155" s="4561" t="n"/>
      <c r="F4155" s="4561" t="n"/>
    </row>
    <row r="4156">
      <c r="A4156" s="4561" t="n"/>
      <c r="B4156" s="4561" t="n"/>
      <c r="C4156" s="4561" t="n"/>
      <c r="D4156" s="4561" t="n"/>
      <c r="E4156" s="4561" t="n"/>
      <c r="F4156" s="4561" t="n"/>
    </row>
    <row r="4157">
      <c r="A4157" s="4561" t="n"/>
      <c r="B4157" s="4561" t="n"/>
      <c r="C4157" s="4561" t="n"/>
      <c r="D4157" s="4561" t="n"/>
      <c r="E4157" s="4561" t="n"/>
      <c r="F4157" s="4561" t="n"/>
    </row>
    <row r="4158">
      <c r="A4158" s="4561" t="n"/>
      <c r="B4158" s="4561" t="n"/>
      <c r="C4158" s="4561" t="n"/>
      <c r="D4158" s="4561" t="n"/>
      <c r="E4158" s="4561" t="n"/>
      <c r="F4158" s="4561" t="n"/>
    </row>
    <row r="4159">
      <c r="A4159" s="4561" t="n"/>
      <c r="B4159" s="4561" t="n"/>
      <c r="C4159" s="4561" t="n"/>
      <c r="D4159" s="4561" t="n"/>
      <c r="E4159" s="4561" t="n"/>
      <c r="F4159" s="4561" t="n"/>
    </row>
    <row r="4160">
      <c r="A4160" s="4561" t="n"/>
      <c r="B4160" s="4561" t="n"/>
      <c r="C4160" s="4561" t="n"/>
      <c r="D4160" s="4561" t="n"/>
      <c r="E4160" s="4561" t="n"/>
      <c r="F4160" s="4561" t="n"/>
    </row>
    <row r="4161">
      <c r="A4161" s="4561" t="n"/>
      <c r="B4161" s="4561" t="n"/>
      <c r="C4161" s="4561" t="n"/>
      <c r="D4161" s="4561" t="n"/>
      <c r="E4161" s="4561" t="n"/>
      <c r="F4161" s="4561" t="n"/>
    </row>
    <row r="4162">
      <c r="A4162" s="4561" t="n"/>
      <c r="B4162" s="4561" t="n"/>
      <c r="C4162" s="4561" t="n"/>
      <c r="D4162" s="4561" t="n"/>
      <c r="E4162" s="4561" t="n"/>
      <c r="F4162" s="4561" t="n"/>
    </row>
    <row r="4163">
      <c r="A4163" s="4561" t="n"/>
      <c r="B4163" s="4561" t="n"/>
      <c r="C4163" s="4561" t="n"/>
      <c r="D4163" s="4561" t="n"/>
      <c r="E4163" s="4561" t="n"/>
      <c r="F4163" s="4561" t="n"/>
    </row>
    <row r="4164">
      <c r="A4164" s="4561" t="n"/>
      <c r="B4164" s="4561" t="n"/>
      <c r="C4164" s="4561" t="n"/>
      <c r="D4164" s="4561" t="n"/>
      <c r="E4164" s="4561" t="n"/>
      <c r="F4164" s="4561" t="n"/>
    </row>
    <row r="4165">
      <c r="A4165" s="4561" t="n"/>
      <c r="B4165" s="4561" t="n"/>
      <c r="C4165" s="4561" t="n"/>
      <c r="D4165" s="4561" t="n"/>
      <c r="E4165" s="4561" t="n"/>
      <c r="F4165" s="4561" t="n"/>
    </row>
    <row r="4166">
      <c r="A4166" s="4561" t="n"/>
      <c r="B4166" s="4561" t="n"/>
      <c r="C4166" s="4561" t="n"/>
      <c r="D4166" s="4561" t="n"/>
      <c r="E4166" s="4561" t="n"/>
      <c r="F4166" s="4561" t="n"/>
    </row>
    <row r="4167">
      <c r="A4167" s="4561" t="n"/>
      <c r="B4167" s="4561" t="n"/>
      <c r="C4167" s="4561" t="n"/>
      <c r="D4167" s="4561" t="n"/>
      <c r="E4167" s="4561" t="n"/>
      <c r="F4167" s="4561" t="n"/>
    </row>
    <row r="4168">
      <c r="A4168" s="4561" t="n"/>
      <c r="B4168" s="4561" t="n"/>
      <c r="C4168" s="4561" t="n"/>
      <c r="D4168" s="4561" t="n"/>
      <c r="E4168" s="4561" t="n"/>
      <c r="F4168" s="4561" t="n"/>
    </row>
    <row r="4169">
      <c r="A4169" s="4561" t="n"/>
      <c r="B4169" s="4561" t="n"/>
      <c r="C4169" s="4561" t="n"/>
      <c r="D4169" s="4561" t="n"/>
      <c r="E4169" s="4561" t="n"/>
      <c r="F4169" s="4561" t="n"/>
    </row>
    <row r="4170">
      <c r="A4170" s="4561" t="n"/>
      <c r="B4170" s="4561" t="n"/>
      <c r="C4170" s="4561" t="n"/>
      <c r="D4170" s="4561" t="n"/>
      <c r="E4170" s="4561" t="n"/>
      <c r="F4170" s="4561" t="n"/>
    </row>
    <row r="4171">
      <c r="A4171" s="4561" t="n"/>
      <c r="B4171" s="4561" t="n"/>
      <c r="C4171" s="4561" t="n"/>
      <c r="D4171" s="4561" t="n"/>
      <c r="E4171" s="4561" t="n"/>
      <c r="F4171" s="4561" t="n"/>
    </row>
    <row r="4172">
      <c r="A4172" s="4561" t="n"/>
      <c r="B4172" s="4561" t="n"/>
      <c r="C4172" s="4561" t="n"/>
      <c r="D4172" s="4561" t="n"/>
      <c r="E4172" s="4561" t="n"/>
      <c r="F4172" s="4561" t="n"/>
    </row>
    <row r="4173">
      <c r="A4173" s="4561" t="n"/>
      <c r="B4173" s="4561" t="n"/>
      <c r="C4173" s="4561" t="n"/>
      <c r="D4173" s="4561" t="n"/>
      <c r="E4173" s="4561" t="n"/>
      <c r="F4173" s="4561" t="n"/>
    </row>
    <row r="4174">
      <c r="A4174" s="4561" t="n"/>
      <c r="B4174" s="4561" t="n"/>
      <c r="C4174" s="4561" t="n"/>
      <c r="D4174" s="4561" t="n"/>
      <c r="E4174" s="4561" t="n"/>
      <c r="F4174" s="4561" t="n"/>
    </row>
    <row r="4175">
      <c r="A4175" s="4561" t="n"/>
      <c r="B4175" s="4561" t="n"/>
      <c r="C4175" s="4561" t="n"/>
      <c r="D4175" s="4561" t="n"/>
      <c r="E4175" s="4561" t="n"/>
      <c r="F4175" s="4561" t="n"/>
    </row>
    <row r="4176">
      <c r="A4176" s="4561" t="n"/>
      <c r="B4176" s="4561" t="n"/>
      <c r="C4176" s="4561" t="n"/>
      <c r="D4176" s="4561" t="n"/>
      <c r="E4176" s="4561" t="n"/>
      <c r="F4176" s="4561" t="n"/>
    </row>
    <row r="4177">
      <c r="A4177" s="4561" t="n"/>
      <c r="B4177" s="4561" t="n"/>
      <c r="C4177" s="4561" t="n"/>
      <c r="D4177" s="4561" t="n"/>
      <c r="E4177" s="4561" t="n"/>
      <c r="F4177" s="4561" t="n"/>
    </row>
    <row r="4178">
      <c r="A4178" s="4561" t="n"/>
      <c r="B4178" s="4561" t="n"/>
      <c r="C4178" s="4561" t="n"/>
      <c r="D4178" s="4561" t="n"/>
      <c r="E4178" s="4561" t="n"/>
      <c r="F4178" s="4561" t="n"/>
    </row>
    <row r="4179">
      <c r="A4179" s="4561" t="n"/>
      <c r="B4179" s="4561" t="n"/>
      <c r="C4179" s="4561" t="n"/>
      <c r="D4179" s="4561" t="n"/>
      <c r="E4179" s="4561" t="n"/>
      <c r="F4179" s="4561" t="n"/>
    </row>
    <row r="4180">
      <c r="A4180" s="4561" t="n"/>
      <c r="B4180" s="4561" t="n"/>
      <c r="C4180" s="4561" t="n"/>
      <c r="D4180" s="4561" t="n"/>
      <c r="E4180" s="4561" t="n"/>
      <c r="F4180" s="4561" t="n"/>
    </row>
    <row r="4181">
      <c r="A4181" s="4561" t="n"/>
      <c r="B4181" s="4561" t="n"/>
      <c r="C4181" s="4561" t="n"/>
      <c r="D4181" s="4561" t="n"/>
      <c r="E4181" s="4561" t="n"/>
      <c r="F4181" s="4561" t="n"/>
    </row>
    <row r="4182">
      <c r="A4182" s="4561" t="n"/>
      <c r="B4182" s="4561" t="n"/>
      <c r="C4182" s="4561" t="n"/>
      <c r="D4182" s="4561" t="n"/>
      <c r="E4182" s="4561" t="n"/>
      <c r="F4182" s="4561" t="n"/>
    </row>
    <row r="4183">
      <c r="A4183" s="4561" t="n"/>
      <c r="B4183" s="4561" t="n"/>
      <c r="C4183" s="4561" t="n"/>
      <c r="D4183" s="4561" t="n"/>
      <c r="E4183" s="4561" t="n"/>
      <c r="F4183" s="4561" t="n"/>
    </row>
    <row r="4184">
      <c r="A4184" s="4561" t="n"/>
      <c r="B4184" s="4561" t="n"/>
      <c r="C4184" s="4561" t="n"/>
      <c r="D4184" s="4561" t="n"/>
      <c r="E4184" s="4561" t="n"/>
      <c r="F4184" s="4561" t="n"/>
    </row>
    <row r="4185">
      <c r="A4185" s="4561" t="n"/>
      <c r="B4185" s="4561" t="n"/>
      <c r="C4185" s="4561" t="n"/>
      <c r="D4185" s="4561" t="n"/>
      <c r="E4185" s="4561" t="n"/>
      <c r="F4185" s="4561" t="n"/>
    </row>
    <row r="4186">
      <c r="A4186" s="4561" t="n"/>
      <c r="B4186" s="4561" t="n"/>
      <c r="C4186" s="4561" t="n"/>
      <c r="D4186" s="4561" t="n"/>
      <c r="E4186" s="4561" t="n"/>
      <c r="F4186" s="4561" t="n"/>
    </row>
    <row r="4187">
      <c r="A4187" s="4561" t="n"/>
      <c r="B4187" s="4561" t="n"/>
      <c r="C4187" s="4561" t="n"/>
      <c r="D4187" s="4561" t="n"/>
      <c r="E4187" s="4561" t="n"/>
      <c r="F4187" s="4561" t="n"/>
    </row>
    <row r="4188">
      <c r="A4188" s="4561" t="n"/>
      <c r="B4188" s="4561" t="n"/>
      <c r="C4188" s="4561" t="n"/>
      <c r="D4188" s="4561" t="n"/>
      <c r="E4188" s="4561" t="n"/>
      <c r="F4188" s="4561" t="n"/>
    </row>
    <row r="4189">
      <c r="A4189" s="4561" t="n"/>
      <c r="B4189" s="4561" t="n"/>
      <c r="C4189" s="4561" t="n"/>
      <c r="D4189" s="4561" t="n"/>
      <c r="E4189" s="4561" t="n"/>
      <c r="F4189" s="4561" t="n"/>
    </row>
    <row r="4190">
      <c r="A4190" s="4561" t="n"/>
      <c r="B4190" s="4561" t="n"/>
      <c r="C4190" s="4561" t="n"/>
      <c r="D4190" s="4561" t="n"/>
      <c r="E4190" s="4561" t="n"/>
      <c r="F4190" s="4561" t="n"/>
    </row>
    <row r="4191">
      <c r="A4191" s="4561" t="n"/>
      <c r="B4191" s="4561" t="n"/>
      <c r="C4191" s="4561" t="n"/>
      <c r="D4191" s="4561" t="n"/>
      <c r="E4191" s="4561" t="n"/>
      <c r="F4191" s="4561" t="n"/>
    </row>
    <row r="4192">
      <c r="A4192" s="4561" t="n"/>
      <c r="B4192" s="4561" t="n"/>
      <c r="C4192" s="4561" t="n"/>
      <c r="D4192" s="4561" t="n"/>
      <c r="E4192" s="4561" t="n"/>
      <c r="F4192" s="4561" t="n"/>
    </row>
    <row r="4193">
      <c r="A4193" s="4561" t="n"/>
      <c r="B4193" s="4561" t="n"/>
      <c r="C4193" s="4561" t="n"/>
      <c r="D4193" s="4561" t="n"/>
      <c r="E4193" s="4561" t="n"/>
      <c r="F4193" s="4561" t="n"/>
    </row>
    <row r="4194">
      <c r="A4194" s="4561" t="n"/>
      <c r="B4194" s="4561" t="n"/>
      <c r="C4194" s="4561" t="n"/>
      <c r="D4194" s="4561" t="n"/>
      <c r="E4194" s="4561" t="n"/>
      <c r="F4194" s="4561" t="n"/>
    </row>
    <row r="4195">
      <c r="A4195" s="4561" t="n"/>
      <c r="B4195" s="4561" t="n"/>
      <c r="C4195" s="4561" t="n"/>
      <c r="D4195" s="4561" t="n"/>
      <c r="E4195" s="4561" t="n"/>
      <c r="F4195" s="4561" t="n"/>
    </row>
    <row r="4196">
      <c r="A4196" s="4561" t="n"/>
      <c r="B4196" s="4561" t="n"/>
      <c r="C4196" s="4561" t="n"/>
      <c r="D4196" s="4561" t="n"/>
      <c r="E4196" s="4561" t="n"/>
      <c r="F4196" s="4561" t="n"/>
    </row>
    <row r="4197">
      <c r="A4197" s="4561" t="n"/>
      <c r="B4197" s="4561" t="n"/>
      <c r="C4197" s="4561" t="n"/>
      <c r="D4197" s="4561" t="n"/>
      <c r="E4197" s="4561" t="n"/>
      <c r="F4197" s="4561" t="n"/>
    </row>
    <row r="4198">
      <c r="A4198" s="4561" t="n"/>
      <c r="B4198" s="4561" t="n"/>
      <c r="C4198" s="4561" t="n"/>
      <c r="D4198" s="4561" t="n"/>
      <c r="E4198" s="4561" t="n"/>
      <c r="F4198" s="4561" t="n"/>
    </row>
    <row r="4199">
      <c r="A4199" s="4561" t="n"/>
      <c r="B4199" s="4561" t="n"/>
      <c r="C4199" s="4561" t="n"/>
      <c r="D4199" s="4561" t="n"/>
      <c r="E4199" s="4561" t="n"/>
      <c r="F4199" s="4561" t="n"/>
    </row>
    <row r="4200">
      <c r="A4200" s="4561" t="n"/>
      <c r="B4200" s="4561" t="n"/>
      <c r="C4200" s="4561" t="n"/>
      <c r="D4200" s="4561" t="n"/>
      <c r="E4200" s="4561" t="n"/>
      <c r="F4200" s="4561" t="n"/>
    </row>
    <row r="4201">
      <c r="A4201" s="4561" t="n"/>
      <c r="B4201" s="4561" t="n"/>
      <c r="C4201" s="4561" t="n"/>
      <c r="D4201" s="4561" t="n"/>
      <c r="E4201" s="4561" t="n"/>
      <c r="F4201" s="4561" t="n"/>
    </row>
    <row r="4202">
      <c r="A4202" s="4561" t="n"/>
      <c r="B4202" s="4561" t="n"/>
      <c r="C4202" s="4561" t="n"/>
      <c r="D4202" s="4561" t="n"/>
      <c r="E4202" s="4561" t="n"/>
      <c r="F4202" s="4561" t="n"/>
    </row>
    <row r="4203">
      <c r="A4203" s="4561" t="n"/>
      <c r="B4203" s="4561" t="n"/>
      <c r="C4203" s="4561" t="n"/>
      <c r="D4203" s="4561" t="n"/>
      <c r="E4203" s="4561" t="n"/>
      <c r="F4203" s="4561" t="n"/>
    </row>
    <row r="4204">
      <c r="A4204" s="4561" t="n"/>
      <c r="B4204" s="4561" t="n"/>
      <c r="C4204" s="4561" t="n"/>
      <c r="D4204" s="4561" t="n"/>
      <c r="E4204" s="4561" t="n"/>
      <c r="F4204" s="4561" t="n"/>
    </row>
    <row r="4205">
      <c r="A4205" s="4561" t="n"/>
      <c r="B4205" s="4561" t="n"/>
      <c r="C4205" s="4561" t="n"/>
      <c r="D4205" s="4561" t="n"/>
      <c r="E4205" s="4561" t="n"/>
      <c r="F4205" s="4561" t="n"/>
    </row>
    <row r="4206">
      <c r="A4206" s="4561" t="n"/>
      <c r="B4206" s="4561" t="n"/>
      <c r="C4206" s="4561" t="n"/>
      <c r="D4206" s="4561" t="n"/>
      <c r="E4206" s="4561" t="n"/>
      <c r="F4206" s="4561" t="n"/>
    </row>
    <row r="4207">
      <c r="A4207" s="4561" t="n"/>
      <c r="B4207" s="4561" t="n"/>
      <c r="C4207" s="4561" t="n"/>
      <c r="D4207" s="4561" t="n"/>
      <c r="E4207" s="4561" t="n"/>
      <c r="F4207" s="4561" t="n"/>
    </row>
    <row r="4208">
      <c r="A4208" s="4561" t="n"/>
      <c r="B4208" s="4561" t="n"/>
      <c r="C4208" s="4561" t="n"/>
      <c r="D4208" s="4561" t="n"/>
      <c r="E4208" s="4561" t="n"/>
      <c r="F4208" s="4561" t="n"/>
    </row>
    <row r="4209">
      <c r="A4209" s="4561" t="n"/>
      <c r="B4209" s="4561" t="n"/>
      <c r="C4209" s="4561" t="n"/>
      <c r="D4209" s="4561" t="n"/>
      <c r="E4209" s="4561" t="n"/>
      <c r="F4209" s="4561" t="n"/>
    </row>
    <row r="4210">
      <c r="A4210" s="4561" t="n"/>
      <c r="B4210" s="4561" t="n"/>
      <c r="C4210" s="4561" t="n"/>
      <c r="D4210" s="4561" t="n"/>
      <c r="E4210" s="4561" t="n"/>
      <c r="F4210" s="4561" t="n"/>
    </row>
    <row r="4211">
      <c r="A4211" s="4561" t="n"/>
      <c r="B4211" s="4561" t="n"/>
      <c r="C4211" s="4561" t="n"/>
      <c r="D4211" s="4561" t="n"/>
      <c r="E4211" s="4561" t="n"/>
      <c r="F4211" s="4561" t="n"/>
    </row>
    <row r="4212">
      <c r="A4212" s="4561" t="n"/>
      <c r="B4212" s="4561" t="n"/>
      <c r="C4212" s="4561" t="n"/>
      <c r="D4212" s="4561" t="n"/>
      <c r="E4212" s="4561" t="n"/>
      <c r="F4212" s="4561" t="n"/>
    </row>
    <row r="4213">
      <c r="A4213" s="4561" t="n"/>
      <c r="B4213" s="4561" t="n"/>
      <c r="C4213" s="4561" t="n"/>
      <c r="D4213" s="4561" t="n"/>
      <c r="E4213" s="4561" t="n"/>
      <c r="F4213" s="4561" t="n"/>
    </row>
    <row r="4214">
      <c r="A4214" s="4561" t="n"/>
      <c r="B4214" s="4561" t="n"/>
      <c r="C4214" s="4561" t="n"/>
      <c r="D4214" s="4561" t="n"/>
      <c r="E4214" s="4561" t="n"/>
      <c r="F4214" s="4561" t="n"/>
    </row>
    <row r="4215">
      <c r="A4215" s="4561" t="n"/>
      <c r="B4215" s="4561" t="n"/>
      <c r="C4215" s="4561" t="n"/>
      <c r="D4215" s="4561" t="n"/>
      <c r="E4215" s="4561" t="n"/>
      <c r="F4215" s="4561" t="n"/>
    </row>
    <row r="4216">
      <c r="A4216" s="4561" t="n"/>
      <c r="B4216" s="4561" t="n"/>
      <c r="C4216" s="4561" t="n"/>
      <c r="D4216" s="4561" t="n"/>
      <c r="E4216" s="4561" t="n"/>
      <c r="F4216" s="4561" t="n"/>
    </row>
    <row r="4217">
      <c r="A4217" s="4561" t="n"/>
      <c r="B4217" s="4561" t="n"/>
      <c r="C4217" s="4561" t="n"/>
      <c r="D4217" s="4561" t="n"/>
      <c r="E4217" s="4561" t="n"/>
      <c r="F4217" s="4561" t="n"/>
    </row>
    <row r="4218">
      <c r="A4218" s="4561" t="n"/>
      <c r="B4218" s="4561" t="n"/>
      <c r="C4218" s="4561" t="n"/>
      <c r="D4218" s="4561" t="n"/>
      <c r="E4218" s="4561" t="n"/>
      <c r="F4218" s="4561" t="n"/>
    </row>
    <row r="4219">
      <c r="A4219" s="4561" t="n"/>
      <c r="B4219" s="4561" t="n"/>
      <c r="C4219" s="4561" t="n"/>
      <c r="D4219" s="4561" t="n"/>
      <c r="E4219" s="4561" t="n"/>
      <c r="F4219" s="4561" t="n"/>
    </row>
    <row r="4220">
      <c r="A4220" s="4561" t="n"/>
      <c r="B4220" s="4561" t="n"/>
      <c r="C4220" s="4561" t="n"/>
      <c r="D4220" s="4561" t="n"/>
      <c r="E4220" s="4561" t="n"/>
      <c r="F4220" s="4561" t="n"/>
    </row>
    <row r="4221">
      <c r="A4221" s="4561" t="n"/>
      <c r="B4221" s="4561" t="n"/>
      <c r="C4221" s="4561" t="n"/>
      <c r="D4221" s="4561" t="n"/>
      <c r="E4221" s="4561" t="n"/>
      <c r="F4221" s="4561" t="n"/>
    </row>
    <row r="4222">
      <c r="A4222" s="4561" t="n"/>
      <c r="B4222" s="4561" t="n"/>
      <c r="C4222" s="4561" t="n"/>
      <c r="D4222" s="4561" t="n"/>
      <c r="E4222" s="4561" t="n"/>
      <c r="F4222" s="4561" t="n"/>
    </row>
    <row r="4223">
      <c r="A4223" s="4561" t="n"/>
      <c r="B4223" s="4561" t="n"/>
      <c r="C4223" s="4561" t="n"/>
      <c r="D4223" s="4561" t="n"/>
      <c r="E4223" s="4561" t="n"/>
      <c r="F4223" s="4561" t="n"/>
    </row>
    <row r="4224">
      <c r="A4224" s="4561" t="n"/>
      <c r="B4224" s="4561" t="n"/>
      <c r="C4224" s="4561" t="n"/>
      <c r="D4224" s="4561" t="n"/>
      <c r="E4224" s="4561" t="n"/>
      <c r="F4224" s="4561" t="n"/>
    </row>
    <row r="4225">
      <c r="A4225" s="4561" t="n"/>
      <c r="B4225" s="4561" t="n"/>
      <c r="C4225" s="4561" t="n"/>
      <c r="D4225" s="4561" t="n"/>
      <c r="E4225" s="4561" t="n"/>
      <c r="F4225" s="4561" t="n"/>
    </row>
    <row r="4226">
      <c r="A4226" s="4561" t="n"/>
      <c r="B4226" s="4561" t="n"/>
      <c r="C4226" s="4561" t="n"/>
      <c r="D4226" s="4561" t="n"/>
      <c r="E4226" s="4561" t="n"/>
      <c r="F4226" s="4561" t="n"/>
    </row>
    <row r="4227">
      <c r="A4227" s="4561" t="n"/>
      <c r="B4227" s="4561" t="n"/>
      <c r="C4227" s="4561" t="n"/>
      <c r="D4227" s="4561" t="n"/>
      <c r="E4227" s="4561" t="n"/>
      <c r="F4227" s="4561" t="n"/>
    </row>
    <row r="4228">
      <c r="A4228" s="4561" t="n"/>
      <c r="B4228" s="4561" t="n"/>
      <c r="C4228" s="4561" t="n"/>
      <c r="D4228" s="4561" t="n"/>
      <c r="E4228" s="4561" t="n"/>
      <c r="F4228" s="4561" t="n"/>
    </row>
    <row r="4229">
      <c r="A4229" s="4561" t="n"/>
      <c r="B4229" s="4561" t="n"/>
      <c r="C4229" s="4561" t="n"/>
      <c r="D4229" s="4561" t="n"/>
      <c r="E4229" s="4561" t="n"/>
      <c r="F4229" s="4561" t="n"/>
    </row>
    <row r="4230">
      <c r="A4230" s="4561" t="n"/>
      <c r="B4230" s="4561" t="n"/>
      <c r="C4230" s="4561" t="n"/>
      <c r="D4230" s="4561" t="n"/>
      <c r="E4230" s="4561" t="n"/>
      <c r="F4230" s="4561" t="n"/>
    </row>
    <row r="4231">
      <c r="A4231" s="4561" t="n"/>
      <c r="B4231" s="4561" t="n"/>
      <c r="C4231" s="4561" t="n"/>
      <c r="D4231" s="4561" t="n"/>
      <c r="E4231" s="4561" t="n"/>
      <c r="F4231" s="4561" t="n"/>
    </row>
    <row r="4232">
      <c r="A4232" s="4561" t="n"/>
      <c r="B4232" s="4561" t="n"/>
      <c r="C4232" s="4561" t="n"/>
      <c r="D4232" s="4561" t="n"/>
      <c r="E4232" s="4561" t="n"/>
      <c r="F4232" s="4561" t="n"/>
    </row>
    <row r="4233">
      <c r="A4233" s="4561" t="n"/>
      <c r="B4233" s="4561" t="n"/>
      <c r="C4233" s="4561" t="n"/>
      <c r="D4233" s="4561" t="n"/>
      <c r="E4233" s="4561" t="n"/>
      <c r="F4233" s="4561" t="n"/>
    </row>
    <row r="4234">
      <c r="A4234" s="4561" t="n"/>
      <c r="B4234" s="4561" t="n"/>
      <c r="C4234" s="4561" t="n"/>
      <c r="D4234" s="4561" t="n"/>
      <c r="E4234" s="4561" t="n"/>
      <c r="F4234" s="4561" t="n"/>
    </row>
    <row r="4235">
      <c r="A4235" s="4561" t="n"/>
      <c r="B4235" s="4561" t="n"/>
      <c r="C4235" s="4561" t="n"/>
      <c r="D4235" s="4561" t="n"/>
      <c r="E4235" s="4561" t="n"/>
      <c r="F4235" s="4561" t="n"/>
    </row>
    <row r="4236">
      <c r="A4236" s="4561" t="n"/>
      <c r="B4236" s="4561" t="n"/>
      <c r="C4236" s="4561" t="n"/>
      <c r="D4236" s="4561" t="n"/>
      <c r="E4236" s="4561" t="n"/>
      <c r="F4236" s="4561" t="n"/>
    </row>
    <row r="4237">
      <c r="A4237" s="4561" t="n"/>
      <c r="B4237" s="4561" t="n"/>
      <c r="C4237" s="4561" t="n"/>
      <c r="D4237" s="4561" t="n"/>
      <c r="E4237" s="4561" t="n"/>
      <c r="F4237" s="4561" t="n"/>
    </row>
    <row r="4238">
      <c r="A4238" s="4561" t="n"/>
      <c r="B4238" s="4561" t="n"/>
      <c r="C4238" s="4561" t="n"/>
      <c r="D4238" s="4561" t="n"/>
      <c r="E4238" s="4561" t="n"/>
      <c r="F4238" s="4561" t="n"/>
    </row>
    <row r="4239">
      <c r="A4239" s="4561" t="n"/>
      <c r="B4239" s="4561" t="n"/>
      <c r="C4239" s="4561" t="n"/>
      <c r="D4239" s="4561" t="n"/>
      <c r="E4239" s="4561" t="n"/>
      <c r="F4239" s="4561" t="n"/>
    </row>
    <row r="4240">
      <c r="A4240" s="4561" t="n"/>
      <c r="B4240" s="4561" t="n"/>
      <c r="C4240" s="4561" t="n"/>
      <c r="D4240" s="4561" t="n"/>
      <c r="E4240" s="4561" t="n"/>
      <c r="F4240" s="4561" t="n"/>
    </row>
    <row r="4241">
      <c r="A4241" s="4561" t="n"/>
      <c r="B4241" s="4561" t="n"/>
      <c r="C4241" s="4561" t="n"/>
      <c r="D4241" s="4561" t="n"/>
      <c r="E4241" s="4561" t="n"/>
      <c r="F4241" s="4561" t="n"/>
    </row>
    <row r="4242">
      <c r="A4242" s="4561" t="n"/>
      <c r="B4242" s="4561" t="n"/>
      <c r="C4242" s="4561" t="n"/>
      <c r="D4242" s="4561" t="n"/>
      <c r="E4242" s="4561" t="n"/>
      <c r="F4242" s="4561" t="n"/>
    </row>
    <row r="4243">
      <c r="A4243" s="4561" t="n"/>
      <c r="B4243" s="4561" t="n"/>
      <c r="C4243" s="4561" t="n"/>
      <c r="D4243" s="4561" t="n"/>
      <c r="E4243" s="4561" t="n"/>
      <c r="F4243" s="4561" t="n"/>
    </row>
    <row r="4244">
      <c r="A4244" s="4561" t="n"/>
      <c r="B4244" s="4561" t="n"/>
      <c r="C4244" s="4561" t="n"/>
      <c r="D4244" s="4561" t="n"/>
      <c r="E4244" s="4561" t="n"/>
      <c r="F4244" s="4561" t="n"/>
    </row>
    <row r="4245">
      <c r="A4245" s="4561" t="n"/>
      <c r="B4245" s="4561" t="n"/>
      <c r="C4245" s="4561" t="n"/>
      <c r="D4245" s="4561" t="n"/>
      <c r="E4245" s="4561" t="n"/>
      <c r="F4245" s="4561" t="n"/>
    </row>
    <row r="4246">
      <c r="A4246" s="4561" t="n"/>
      <c r="B4246" s="4561" t="n"/>
      <c r="C4246" s="4561" t="n"/>
      <c r="D4246" s="4561" t="n"/>
      <c r="E4246" s="4561" t="n"/>
      <c r="F4246" s="4561" t="n"/>
    </row>
    <row r="4247">
      <c r="A4247" s="4561" t="n"/>
      <c r="B4247" s="4561" t="n"/>
      <c r="C4247" s="4561" t="n"/>
      <c r="D4247" s="4561" t="n"/>
      <c r="E4247" s="4561" t="n"/>
      <c r="F4247" s="4561" t="n"/>
    </row>
    <row r="4248">
      <c r="A4248" s="4561" t="n"/>
      <c r="B4248" s="4561" t="n"/>
      <c r="C4248" s="4561" t="n"/>
      <c r="D4248" s="4561" t="n"/>
      <c r="E4248" s="4561" t="n"/>
      <c r="F4248" s="4561" t="n"/>
    </row>
    <row r="4249">
      <c r="A4249" s="4561" t="n"/>
      <c r="B4249" s="4561" t="n"/>
      <c r="C4249" s="4561" t="n"/>
      <c r="D4249" s="4561" t="n"/>
      <c r="E4249" s="4561" t="n"/>
      <c r="F4249" s="4561" t="n"/>
    </row>
    <row r="4250">
      <c r="A4250" s="4561" t="n"/>
      <c r="B4250" s="4561" t="n"/>
      <c r="C4250" s="4561" t="n"/>
      <c r="D4250" s="4561" t="n"/>
      <c r="E4250" s="4561" t="n"/>
      <c r="F4250" s="4561" t="n"/>
    </row>
    <row r="4251">
      <c r="A4251" s="4561" t="n"/>
      <c r="B4251" s="4561" t="n"/>
      <c r="C4251" s="4561" t="n"/>
      <c r="D4251" s="4561" t="n"/>
      <c r="E4251" s="4561" t="n"/>
      <c r="F4251" s="4561" t="n"/>
    </row>
    <row r="4252">
      <c r="A4252" s="4561" t="n"/>
      <c r="B4252" s="4561" t="n"/>
      <c r="C4252" s="4561" t="n"/>
      <c r="D4252" s="4561" t="n"/>
      <c r="E4252" s="4561" t="n"/>
      <c r="F4252" s="4561" t="n"/>
    </row>
    <row r="4253">
      <c r="A4253" s="4561" t="n"/>
      <c r="B4253" s="4561" t="n"/>
      <c r="C4253" s="4561" t="n"/>
      <c r="D4253" s="4561" t="n"/>
      <c r="E4253" s="4561" t="n"/>
      <c r="F4253" s="4561" t="n"/>
    </row>
    <row r="4254">
      <c r="A4254" s="4561" t="n"/>
      <c r="B4254" s="4561" t="n"/>
      <c r="C4254" s="4561" t="n"/>
      <c r="D4254" s="4561" t="n"/>
      <c r="E4254" s="4561" t="n"/>
      <c r="F4254" s="4561" t="n"/>
    </row>
    <row r="4255">
      <c r="A4255" s="4561" t="n"/>
      <c r="B4255" s="4561" t="n"/>
      <c r="C4255" s="4561" t="n"/>
      <c r="D4255" s="4561" t="n"/>
      <c r="E4255" s="4561" t="n"/>
      <c r="F4255" s="4561" t="n"/>
    </row>
    <row r="4256">
      <c r="A4256" s="4561" t="n"/>
      <c r="B4256" s="4561" t="n"/>
      <c r="C4256" s="4561" t="n"/>
      <c r="D4256" s="4561" t="n"/>
      <c r="E4256" s="4561" t="n"/>
      <c r="F4256" s="4561" t="n"/>
    </row>
    <row r="4257">
      <c r="A4257" s="4561" t="n"/>
      <c r="B4257" s="4561" t="n"/>
      <c r="C4257" s="4561" t="n"/>
      <c r="D4257" s="4561" t="n"/>
      <c r="E4257" s="4561" t="n"/>
      <c r="F4257" s="4561" t="n"/>
    </row>
    <row r="4258">
      <c r="A4258" s="4561" t="n"/>
      <c r="B4258" s="4561" t="n"/>
      <c r="C4258" s="4561" t="n"/>
      <c r="D4258" s="4561" t="n"/>
      <c r="E4258" s="4561" t="n"/>
      <c r="F4258" s="4561" t="n"/>
    </row>
    <row r="4259">
      <c r="A4259" s="4561" t="n"/>
      <c r="B4259" s="4561" t="n"/>
      <c r="C4259" s="4561" t="n"/>
      <c r="D4259" s="4561" t="n"/>
      <c r="E4259" s="4561" t="n"/>
      <c r="F4259" s="4561" t="n"/>
    </row>
    <row r="4260">
      <c r="A4260" s="4561" t="n"/>
      <c r="B4260" s="4561" t="n"/>
      <c r="C4260" s="4561" t="n"/>
      <c r="D4260" s="4561" t="n"/>
      <c r="E4260" s="4561" t="n"/>
      <c r="F4260" s="4561" t="n"/>
    </row>
    <row r="4261">
      <c r="A4261" s="4561" t="n"/>
      <c r="B4261" s="4561" t="n"/>
      <c r="C4261" s="4561" t="n"/>
      <c r="D4261" s="4561" t="n"/>
      <c r="E4261" s="4561" t="n"/>
      <c r="F4261" s="4561" t="n"/>
    </row>
    <row r="4262">
      <c r="A4262" s="4561" t="n"/>
      <c r="B4262" s="4561" t="n"/>
      <c r="C4262" s="4561" t="n"/>
      <c r="D4262" s="4561" t="n"/>
      <c r="E4262" s="4561" t="n"/>
      <c r="F4262" s="4561" t="n"/>
    </row>
    <row r="4263">
      <c r="A4263" s="4561" t="n"/>
      <c r="B4263" s="4561" t="n"/>
      <c r="C4263" s="4561" t="n"/>
      <c r="D4263" s="4561" t="n"/>
      <c r="E4263" s="4561" t="n"/>
      <c r="F4263" s="4561" t="n"/>
    </row>
    <row r="4264">
      <c r="A4264" s="4561" t="n"/>
      <c r="B4264" s="4561" t="n"/>
      <c r="C4264" s="4561" t="n"/>
      <c r="D4264" s="4561" t="n"/>
      <c r="E4264" s="4561" t="n"/>
      <c r="F4264" s="4561" t="n"/>
    </row>
    <row r="4265">
      <c r="A4265" s="4561" t="n"/>
      <c r="B4265" s="4561" t="n"/>
      <c r="C4265" s="4561" t="n"/>
      <c r="D4265" s="4561" t="n"/>
      <c r="E4265" s="4561" t="n"/>
      <c r="F4265" s="4561" t="n"/>
    </row>
    <row r="4266">
      <c r="A4266" s="4561" t="n"/>
      <c r="B4266" s="4561" t="n"/>
      <c r="C4266" s="4561" t="n"/>
      <c r="D4266" s="4561" t="n"/>
      <c r="E4266" s="4561" t="n"/>
      <c r="F4266" s="4561" t="n"/>
    </row>
    <row r="4267">
      <c r="A4267" s="4561" t="n"/>
      <c r="B4267" s="4561" t="n"/>
      <c r="C4267" s="4561" t="n"/>
      <c r="D4267" s="4561" t="n"/>
      <c r="E4267" s="4561" t="n"/>
      <c r="F4267" s="4561" t="n"/>
    </row>
    <row r="4268">
      <c r="A4268" s="4561" t="n"/>
      <c r="B4268" s="4561" t="n"/>
      <c r="C4268" s="4561" t="n"/>
      <c r="D4268" s="4561" t="n"/>
      <c r="E4268" s="4561" t="n"/>
      <c r="F4268" s="4561" t="n"/>
    </row>
    <row r="4269">
      <c r="A4269" s="4561" t="n"/>
      <c r="B4269" s="4561" t="n"/>
      <c r="C4269" s="4561" t="n"/>
      <c r="D4269" s="4561" t="n"/>
      <c r="E4269" s="4561" t="n"/>
      <c r="F4269" s="4561" t="n"/>
    </row>
    <row r="4270">
      <c r="A4270" s="4561" t="n"/>
      <c r="B4270" s="4561" t="n"/>
      <c r="C4270" s="4561" t="n"/>
      <c r="D4270" s="4561" t="n"/>
      <c r="E4270" s="4561" t="n"/>
      <c r="F4270" s="4561" t="n"/>
    </row>
    <row r="4271">
      <c r="A4271" s="4561" t="n"/>
      <c r="B4271" s="4561" t="n"/>
      <c r="C4271" s="4561" t="n"/>
      <c r="D4271" s="4561" t="n"/>
      <c r="E4271" s="4561" t="n"/>
      <c r="F4271" s="4561" t="n"/>
    </row>
    <row r="4272">
      <c r="A4272" s="4561" t="n"/>
      <c r="B4272" s="4561" t="n"/>
      <c r="C4272" s="4561" t="n"/>
      <c r="D4272" s="4561" t="n"/>
      <c r="E4272" s="4561" t="n"/>
      <c r="F4272" s="4561" t="n"/>
    </row>
    <row r="4273">
      <c r="A4273" s="4561" t="n"/>
      <c r="B4273" s="4561" t="n"/>
      <c r="C4273" s="4561" t="n"/>
      <c r="D4273" s="4561" t="n"/>
      <c r="E4273" s="4561" t="n"/>
      <c r="F4273" s="4561" t="n"/>
    </row>
    <row r="4274">
      <c r="A4274" s="4561" t="n"/>
      <c r="B4274" s="4561" t="n"/>
      <c r="C4274" s="4561" t="n"/>
      <c r="D4274" s="4561" t="n"/>
      <c r="E4274" s="4561" t="n"/>
      <c r="F4274" s="4561" t="n"/>
    </row>
    <row r="4275">
      <c r="A4275" s="4561" t="n"/>
      <c r="B4275" s="4561" t="n"/>
      <c r="C4275" s="4561" t="n"/>
      <c r="D4275" s="4561" t="n"/>
      <c r="E4275" s="4561" t="n"/>
      <c r="F4275" s="4561" t="n"/>
    </row>
    <row r="4276">
      <c r="A4276" s="4561" t="n"/>
      <c r="B4276" s="4561" t="n"/>
      <c r="C4276" s="4561" t="n"/>
      <c r="D4276" s="4561" t="n"/>
      <c r="E4276" s="4561" t="n"/>
      <c r="F4276" s="4561" t="n"/>
    </row>
    <row r="4277">
      <c r="A4277" s="4561" t="n"/>
      <c r="B4277" s="4561" t="n"/>
      <c r="C4277" s="4561" t="n"/>
      <c r="D4277" s="4561" t="n"/>
      <c r="E4277" s="4561" t="n"/>
      <c r="F4277" s="4561" t="n"/>
    </row>
    <row r="4278">
      <c r="A4278" s="4561" t="n"/>
      <c r="B4278" s="4561" t="n"/>
      <c r="C4278" s="4561" t="n"/>
      <c r="D4278" s="4561" t="n"/>
      <c r="E4278" s="4561" t="n"/>
      <c r="F4278" s="4561" t="n"/>
    </row>
    <row r="4279">
      <c r="A4279" s="4561" t="n"/>
      <c r="B4279" s="4561" t="n"/>
      <c r="C4279" s="4561" t="n"/>
      <c r="D4279" s="4561" t="n"/>
      <c r="E4279" s="4561" t="n"/>
      <c r="F4279" s="4561" t="n"/>
    </row>
    <row r="4280">
      <c r="A4280" s="4561" t="n"/>
      <c r="B4280" s="4561" t="n"/>
      <c r="C4280" s="4561" t="n"/>
      <c r="D4280" s="4561" t="n"/>
      <c r="E4280" s="4561" t="n"/>
      <c r="F4280" s="4561" t="n"/>
    </row>
    <row r="4281">
      <c r="A4281" s="4561" t="n"/>
      <c r="B4281" s="4561" t="n"/>
      <c r="C4281" s="4561" t="n"/>
      <c r="D4281" s="4561" t="n"/>
      <c r="E4281" s="4561" t="n"/>
      <c r="F4281" s="4561" t="n"/>
    </row>
    <row r="4282">
      <c r="A4282" s="4561" t="n"/>
      <c r="B4282" s="4561" t="n"/>
      <c r="C4282" s="4561" t="n"/>
      <c r="D4282" s="4561" t="n"/>
      <c r="E4282" s="4561" t="n"/>
      <c r="F4282" s="4561" t="n"/>
    </row>
    <row r="4283">
      <c r="A4283" s="4561" t="n"/>
      <c r="B4283" s="4561" t="n"/>
      <c r="C4283" s="4561" t="n"/>
      <c r="D4283" s="4561" t="n"/>
      <c r="E4283" s="4561" t="n"/>
      <c r="F4283" s="4561" t="n"/>
    </row>
    <row r="4284">
      <c r="A4284" s="4561" t="n"/>
      <c r="B4284" s="4561" t="n"/>
      <c r="C4284" s="4561" t="n"/>
      <c r="D4284" s="4561" t="n"/>
      <c r="E4284" s="4561" t="n"/>
      <c r="F4284" s="4561" t="n"/>
    </row>
    <row r="4285">
      <c r="A4285" s="4561" t="n"/>
      <c r="B4285" s="4561" t="n"/>
      <c r="C4285" s="4561" t="n"/>
      <c r="D4285" s="4561" t="n"/>
      <c r="E4285" s="4561" t="n"/>
      <c r="F4285" s="4561" t="n"/>
    </row>
    <row r="4286">
      <c r="A4286" s="4561" t="n"/>
      <c r="B4286" s="4561" t="n"/>
      <c r="C4286" s="4561" t="n"/>
      <c r="D4286" s="4561" t="n"/>
      <c r="E4286" s="4561" t="n"/>
      <c r="F4286" s="4561" t="n"/>
    </row>
    <row r="4287">
      <c r="A4287" s="4561" t="n"/>
      <c r="B4287" s="4561" t="n"/>
      <c r="C4287" s="4561" t="n"/>
      <c r="D4287" s="4561" t="n"/>
      <c r="E4287" s="4561" t="n"/>
      <c r="F4287" s="4561" t="n"/>
    </row>
    <row r="4288">
      <c r="A4288" s="4561" t="n"/>
      <c r="B4288" s="4561" t="n"/>
      <c r="C4288" s="4561" t="n"/>
      <c r="D4288" s="4561" t="n"/>
      <c r="E4288" s="4561" t="n"/>
      <c r="F4288" s="4561" t="n"/>
    </row>
    <row r="4289">
      <c r="A4289" s="4561" t="n"/>
      <c r="B4289" s="4561" t="n"/>
      <c r="C4289" s="4561" t="n"/>
      <c r="D4289" s="4561" t="n"/>
      <c r="E4289" s="4561" t="n"/>
      <c r="F4289" s="4561" t="n"/>
    </row>
    <row r="4290">
      <c r="A4290" s="4561" t="n"/>
      <c r="B4290" s="4561" t="n"/>
      <c r="C4290" s="4561" t="n"/>
      <c r="D4290" s="4561" t="n"/>
      <c r="E4290" s="4561" t="n"/>
      <c r="F4290" s="4561" t="n"/>
    </row>
    <row r="4291">
      <c r="A4291" s="4561" t="n"/>
      <c r="B4291" s="4561" t="n"/>
      <c r="C4291" s="4561" t="n"/>
      <c r="D4291" s="4561" t="n"/>
      <c r="E4291" s="4561" t="n"/>
      <c r="F4291" s="4561" t="n"/>
    </row>
    <row r="4292">
      <c r="A4292" s="4561" t="n"/>
      <c r="B4292" s="4561" t="n"/>
      <c r="C4292" s="4561" t="n"/>
      <c r="D4292" s="4561" t="n"/>
      <c r="E4292" s="4561" t="n"/>
      <c r="F4292" s="4561" t="n"/>
    </row>
    <row r="4293">
      <c r="A4293" s="4561" t="n"/>
      <c r="B4293" s="4561" t="n"/>
      <c r="C4293" s="4561" t="n"/>
      <c r="D4293" s="4561" t="n"/>
      <c r="E4293" s="4561" t="n"/>
      <c r="F4293" s="4561" t="n"/>
    </row>
    <row r="4294">
      <c r="A4294" s="4561" t="n"/>
      <c r="B4294" s="4561" t="n"/>
      <c r="C4294" s="4561" t="n"/>
      <c r="D4294" s="4561" t="n"/>
      <c r="E4294" s="4561" t="n"/>
      <c r="F4294" s="4561" t="n"/>
    </row>
    <row r="4295">
      <c r="A4295" s="4561" t="n"/>
      <c r="B4295" s="4561" t="n"/>
      <c r="C4295" s="4561" t="n"/>
      <c r="D4295" s="4561" t="n"/>
      <c r="E4295" s="4561" t="n"/>
      <c r="F4295" s="4561" t="n"/>
    </row>
    <row r="4296">
      <c r="A4296" s="4561" t="n"/>
      <c r="B4296" s="4561" t="n"/>
      <c r="C4296" s="4561" t="n"/>
      <c r="D4296" s="4561" t="n"/>
      <c r="E4296" s="4561" t="n"/>
      <c r="F4296" s="4561" t="n"/>
    </row>
    <row r="4297">
      <c r="A4297" s="4561" t="n"/>
      <c r="B4297" s="4561" t="n"/>
      <c r="C4297" s="4561" t="n"/>
      <c r="D4297" s="4561" t="n"/>
      <c r="E4297" s="4561" t="n"/>
      <c r="F4297" s="4561" t="n"/>
    </row>
    <row r="4298">
      <c r="A4298" s="4561" t="n"/>
      <c r="B4298" s="4561" t="n"/>
      <c r="C4298" s="4561" t="n"/>
      <c r="D4298" s="4561" t="n"/>
      <c r="E4298" s="4561" t="n"/>
      <c r="F4298" s="4561" t="n"/>
    </row>
    <row r="4299">
      <c r="A4299" s="4561" t="n"/>
      <c r="B4299" s="4561" t="n"/>
      <c r="C4299" s="4561" t="n"/>
      <c r="D4299" s="4561" t="n"/>
      <c r="E4299" s="4561" t="n"/>
      <c r="F4299" s="4561" t="n"/>
    </row>
    <row r="4300">
      <c r="A4300" s="4561" t="n"/>
      <c r="B4300" s="4561" t="n"/>
      <c r="C4300" s="4561" t="n"/>
      <c r="D4300" s="4561" t="n"/>
      <c r="E4300" s="4561" t="n"/>
      <c r="F4300" s="4561" t="n"/>
    </row>
    <row r="4301">
      <c r="A4301" s="4561" t="n"/>
      <c r="B4301" s="4561" t="n"/>
      <c r="C4301" s="4561" t="n"/>
      <c r="D4301" s="4561" t="n"/>
      <c r="E4301" s="4561" t="n"/>
      <c r="F4301" s="4561" t="n"/>
    </row>
    <row r="4302">
      <c r="A4302" s="4561" t="n"/>
      <c r="B4302" s="4561" t="n"/>
      <c r="C4302" s="4561" t="n"/>
      <c r="D4302" s="4561" t="n"/>
      <c r="E4302" s="4561" t="n"/>
      <c r="F4302" s="4561" t="n"/>
    </row>
    <row r="4303">
      <c r="A4303" s="4561" t="n"/>
      <c r="B4303" s="4561" t="n"/>
      <c r="C4303" s="4561" t="n"/>
      <c r="D4303" s="4561" t="n"/>
      <c r="E4303" s="4561" t="n"/>
      <c r="F4303" s="4561" t="n"/>
    </row>
    <row r="4304">
      <c r="A4304" s="4561" t="n"/>
      <c r="B4304" s="4561" t="n"/>
      <c r="C4304" s="4561" t="n"/>
      <c r="D4304" s="4561" t="n"/>
      <c r="E4304" s="4561" t="n"/>
      <c r="F4304" s="4561" t="n"/>
    </row>
    <row r="4305">
      <c r="A4305" s="4561" t="n"/>
      <c r="B4305" s="4561" t="n"/>
      <c r="C4305" s="4561" t="n"/>
      <c r="D4305" s="4561" t="n"/>
      <c r="E4305" s="4561" t="n"/>
      <c r="F4305" s="4561" t="n"/>
    </row>
    <row r="4306">
      <c r="A4306" s="4561" t="n"/>
      <c r="B4306" s="4561" t="n"/>
      <c r="C4306" s="4561" t="n"/>
      <c r="D4306" s="4561" t="n"/>
      <c r="E4306" s="4561" t="n"/>
      <c r="F4306" s="4561" t="n"/>
    </row>
    <row r="4307">
      <c r="A4307" s="4561" t="n"/>
      <c r="B4307" s="4561" t="n"/>
      <c r="C4307" s="4561" t="n"/>
      <c r="D4307" s="4561" t="n"/>
      <c r="E4307" s="4561" t="n"/>
      <c r="F4307" s="4561" t="n"/>
    </row>
    <row r="4308">
      <c r="A4308" s="4561" t="n"/>
      <c r="B4308" s="4561" t="n"/>
      <c r="C4308" s="4561" t="n"/>
      <c r="D4308" s="4561" t="n"/>
      <c r="E4308" s="4561" t="n"/>
      <c r="F4308" s="4561" t="n"/>
    </row>
    <row r="4309">
      <c r="A4309" s="4561" t="n"/>
      <c r="B4309" s="4561" t="n"/>
      <c r="C4309" s="4561" t="n"/>
      <c r="D4309" s="4561" t="n"/>
      <c r="E4309" s="4561" t="n"/>
      <c r="F4309" s="4561" t="n"/>
    </row>
    <row r="4310">
      <c r="A4310" s="4561" t="n"/>
      <c r="B4310" s="4561" t="n"/>
      <c r="C4310" s="4561" t="n"/>
      <c r="D4310" s="4561" t="n"/>
      <c r="E4310" s="4561" t="n"/>
      <c r="F4310" s="4561" t="n"/>
    </row>
    <row r="4311">
      <c r="A4311" s="4561" t="n"/>
      <c r="B4311" s="4561" t="n"/>
      <c r="C4311" s="4561" t="n"/>
      <c r="D4311" s="4561" t="n"/>
      <c r="E4311" s="4561" t="n"/>
      <c r="F4311" s="4561" t="n"/>
    </row>
    <row r="4312">
      <c r="A4312" s="4561" t="n"/>
      <c r="B4312" s="4561" t="n"/>
      <c r="C4312" s="4561" t="n"/>
      <c r="D4312" s="4561" t="n"/>
      <c r="E4312" s="4561" t="n"/>
      <c r="F4312" s="4561" t="n"/>
    </row>
    <row r="4313">
      <c r="A4313" s="4561" t="n"/>
      <c r="B4313" s="4561" t="n"/>
      <c r="C4313" s="4561" t="n"/>
      <c r="D4313" s="4561" t="n"/>
      <c r="E4313" s="4561" t="n"/>
      <c r="F4313" s="4561" t="n"/>
    </row>
    <row r="4314">
      <c r="A4314" s="4561" t="n"/>
      <c r="B4314" s="4561" t="n"/>
      <c r="C4314" s="4561" t="n"/>
      <c r="D4314" s="4561" t="n"/>
      <c r="E4314" s="4561" t="n"/>
      <c r="F4314" s="4561" t="n"/>
    </row>
    <row r="4315">
      <c r="A4315" s="4561" t="n"/>
      <c r="B4315" s="4561" t="n"/>
      <c r="C4315" s="4561" t="n"/>
      <c r="D4315" s="4561" t="n"/>
      <c r="E4315" s="4561" t="n"/>
      <c r="F4315" s="4561" t="n"/>
    </row>
    <row r="4316">
      <c r="A4316" s="4561" t="n"/>
      <c r="B4316" s="4561" t="n"/>
      <c r="C4316" s="4561" t="n"/>
      <c r="D4316" s="4561" t="n"/>
      <c r="E4316" s="4561" t="n"/>
      <c r="F4316" s="4561" t="n"/>
    </row>
    <row r="4317">
      <c r="A4317" s="4561" t="n"/>
      <c r="B4317" s="4561" t="n"/>
      <c r="C4317" s="4561" t="n"/>
      <c r="D4317" s="4561" t="n"/>
      <c r="E4317" s="4561" t="n"/>
      <c r="F4317" s="4561" t="n"/>
    </row>
    <row r="4318">
      <c r="A4318" s="4561" t="n"/>
      <c r="B4318" s="4561" t="n"/>
      <c r="C4318" s="4561" t="n"/>
      <c r="D4318" s="4561" t="n"/>
      <c r="E4318" s="4561" t="n"/>
      <c r="F4318" s="4561" t="n"/>
    </row>
    <row r="4319">
      <c r="A4319" s="4561" t="n"/>
      <c r="B4319" s="4561" t="n"/>
      <c r="C4319" s="4561" t="n"/>
      <c r="D4319" s="4561" t="n"/>
      <c r="E4319" s="4561" t="n"/>
      <c r="F4319" s="4561" t="n"/>
    </row>
    <row r="4320">
      <c r="A4320" s="4561" t="n"/>
      <c r="B4320" s="4561" t="n"/>
      <c r="C4320" s="4561" t="n"/>
      <c r="D4320" s="4561" t="n"/>
      <c r="E4320" s="4561" t="n"/>
      <c r="F4320" s="4561" t="n"/>
    </row>
    <row r="4321">
      <c r="A4321" s="4561" t="n"/>
      <c r="B4321" s="4561" t="n"/>
      <c r="C4321" s="4561" t="n"/>
      <c r="D4321" s="4561" t="n"/>
      <c r="E4321" s="4561" t="n"/>
      <c r="F4321" s="4561" t="n"/>
    </row>
    <row r="4322">
      <c r="A4322" s="4561" t="n"/>
      <c r="B4322" s="4561" t="n"/>
      <c r="C4322" s="4561" t="n"/>
      <c r="D4322" s="4561" t="n"/>
      <c r="E4322" s="4561" t="n"/>
      <c r="F4322" s="4561" t="n"/>
    </row>
    <row r="4323">
      <c r="A4323" s="4561" t="n"/>
      <c r="B4323" s="4561" t="n"/>
      <c r="C4323" s="4561" t="n"/>
      <c r="D4323" s="4561" t="n"/>
      <c r="E4323" s="4561" t="n"/>
      <c r="F4323" s="4561" t="n"/>
    </row>
    <row r="4324">
      <c r="A4324" s="4561" t="n"/>
      <c r="B4324" s="4561" t="n"/>
      <c r="C4324" s="4561" t="n"/>
      <c r="D4324" s="4561" t="n"/>
      <c r="E4324" s="4561" t="n"/>
      <c r="F4324" s="4561" t="n"/>
    </row>
    <row r="4325">
      <c r="A4325" s="4561" t="n"/>
      <c r="B4325" s="4561" t="n"/>
      <c r="C4325" s="4561" t="n"/>
      <c r="D4325" s="4561" t="n"/>
      <c r="E4325" s="4561" t="n"/>
      <c r="F4325" s="4561" t="n"/>
    </row>
    <row r="4326">
      <c r="A4326" s="4561" t="n"/>
      <c r="B4326" s="4561" t="n"/>
      <c r="C4326" s="4561" t="n"/>
      <c r="D4326" s="4561" t="n"/>
      <c r="E4326" s="4561" t="n"/>
      <c r="F4326" s="4561" t="n"/>
    </row>
    <row r="4327">
      <c r="A4327" s="4561" t="n"/>
      <c r="B4327" s="4561" t="n"/>
      <c r="C4327" s="4561" t="n"/>
      <c r="D4327" s="4561" t="n"/>
      <c r="E4327" s="4561" t="n"/>
      <c r="F4327" s="4561" t="n"/>
    </row>
    <row r="4328">
      <c r="A4328" s="4561" t="n"/>
      <c r="B4328" s="4561" t="n"/>
      <c r="C4328" s="4561" t="n"/>
      <c r="D4328" s="4561" t="n"/>
      <c r="E4328" s="4561" t="n"/>
      <c r="F4328" s="4561" t="n"/>
    </row>
    <row r="4329">
      <c r="A4329" s="4561" t="n"/>
      <c r="B4329" s="4561" t="n"/>
      <c r="C4329" s="4561" t="n"/>
      <c r="D4329" s="4561" t="n"/>
      <c r="E4329" s="4561" t="n"/>
      <c r="F4329" s="4561" t="n"/>
    </row>
    <row r="4330">
      <c r="A4330" s="4561" t="n"/>
      <c r="B4330" s="4561" t="n"/>
      <c r="C4330" s="4561" t="n"/>
      <c r="D4330" s="4561" t="n"/>
      <c r="E4330" s="4561" t="n"/>
      <c r="F4330" s="4561" t="n"/>
    </row>
    <row r="4331">
      <c r="A4331" s="4561" t="n"/>
      <c r="B4331" s="4561" t="n"/>
      <c r="C4331" s="4561" t="n"/>
      <c r="D4331" s="4561" t="n"/>
      <c r="E4331" s="4561" t="n"/>
      <c r="F4331" s="4561" t="n"/>
    </row>
    <row r="4332">
      <c r="A4332" s="4561" t="n"/>
      <c r="B4332" s="4561" t="n"/>
      <c r="C4332" s="4561" t="n"/>
      <c r="D4332" s="4561" t="n"/>
      <c r="E4332" s="4561" t="n"/>
      <c r="F4332" s="4561" t="n"/>
    </row>
    <row r="4333">
      <c r="A4333" s="4561" t="n"/>
      <c r="B4333" s="4561" t="n"/>
      <c r="C4333" s="4561" t="n"/>
      <c r="D4333" s="4561" t="n"/>
      <c r="E4333" s="4561" t="n"/>
      <c r="F4333" s="4561" t="n"/>
    </row>
    <row r="4334">
      <c r="A4334" s="4561" t="n"/>
      <c r="B4334" s="4561" t="n"/>
      <c r="C4334" s="4561" t="n"/>
      <c r="D4334" s="4561" t="n"/>
      <c r="E4334" s="4561" t="n"/>
      <c r="F4334" s="4561" t="n"/>
    </row>
    <row r="4335">
      <c r="A4335" s="4561" t="n"/>
      <c r="B4335" s="4561" t="n"/>
      <c r="C4335" s="4561" t="n"/>
      <c r="D4335" s="4561" t="n"/>
      <c r="E4335" s="4561" t="n"/>
      <c r="F4335" s="4561" t="n"/>
    </row>
    <row r="4336">
      <c r="A4336" s="4561" t="n"/>
      <c r="B4336" s="4561" t="n"/>
      <c r="C4336" s="4561" t="n"/>
      <c r="D4336" s="4561" t="n"/>
      <c r="E4336" s="4561" t="n"/>
      <c r="F4336" s="4561" t="n"/>
    </row>
    <row r="4337">
      <c r="A4337" s="4561" t="n"/>
      <c r="B4337" s="4561" t="n"/>
      <c r="C4337" s="4561" t="n"/>
      <c r="D4337" s="4561" t="n"/>
      <c r="E4337" s="4561" t="n"/>
      <c r="F4337" s="4561" t="n"/>
    </row>
    <row r="4338">
      <c r="A4338" s="4561" t="n"/>
      <c r="B4338" s="4561" t="n"/>
      <c r="C4338" s="4561" t="n"/>
      <c r="D4338" s="4561" t="n"/>
      <c r="E4338" s="4561" t="n"/>
      <c r="F4338" s="4561" t="n"/>
    </row>
    <row r="4339">
      <c r="A4339" s="4561" t="n"/>
      <c r="B4339" s="4561" t="n"/>
      <c r="C4339" s="4561" t="n"/>
      <c r="D4339" s="4561" t="n"/>
      <c r="E4339" s="4561" t="n"/>
      <c r="F4339" s="4561" t="n"/>
    </row>
    <row r="4340">
      <c r="A4340" s="4561" t="n"/>
      <c r="B4340" s="4561" t="n"/>
      <c r="C4340" s="4561" t="n"/>
      <c r="D4340" s="4561" t="n"/>
      <c r="E4340" s="4561" t="n"/>
      <c r="F4340" s="4561" t="n"/>
    </row>
    <row r="4341">
      <c r="A4341" s="4561" t="n"/>
      <c r="B4341" s="4561" t="n"/>
      <c r="C4341" s="4561" t="n"/>
      <c r="D4341" s="4561" t="n"/>
      <c r="E4341" s="4561" t="n"/>
      <c r="F4341" s="4561" t="n"/>
    </row>
    <row r="4342">
      <c r="A4342" s="4561" t="n"/>
      <c r="B4342" s="4561" t="n"/>
      <c r="C4342" s="4561" t="n"/>
      <c r="D4342" s="4561" t="n"/>
      <c r="E4342" s="4561" t="n"/>
      <c r="F4342" s="4561" t="n"/>
    </row>
    <row r="4343">
      <c r="A4343" s="4561" t="n"/>
      <c r="B4343" s="4561" t="n"/>
      <c r="C4343" s="4561" t="n"/>
      <c r="D4343" s="4561" t="n"/>
      <c r="E4343" s="4561" t="n"/>
      <c r="F4343" s="4561" t="n"/>
    </row>
    <row r="4344">
      <c r="A4344" s="4561" t="n"/>
      <c r="B4344" s="4561" t="n"/>
      <c r="C4344" s="4561" t="n"/>
      <c r="D4344" s="4561" t="n"/>
      <c r="E4344" s="4561" t="n"/>
      <c r="F4344" s="4561" t="n"/>
    </row>
    <row r="4345">
      <c r="A4345" s="4561" t="n"/>
      <c r="B4345" s="4561" t="n"/>
      <c r="C4345" s="4561" t="n"/>
      <c r="D4345" s="4561" t="n"/>
      <c r="E4345" s="4561" t="n"/>
      <c r="F4345" s="4561" t="n"/>
    </row>
    <row r="4346">
      <c r="A4346" s="4561" t="n"/>
      <c r="B4346" s="4561" t="n"/>
      <c r="C4346" s="4561" t="n"/>
      <c r="D4346" s="4561" t="n"/>
      <c r="E4346" s="4561" t="n"/>
      <c r="F4346" s="4561" t="n"/>
    </row>
    <row r="4347">
      <c r="A4347" s="4561" t="n"/>
      <c r="B4347" s="4561" t="n"/>
      <c r="C4347" s="4561" t="n"/>
      <c r="D4347" s="4561" t="n"/>
      <c r="E4347" s="4561" t="n"/>
      <c r="F4347" s="4561" t="n"/>
    </row>
    <row r="4348">
      <c r="A4348" s="4561" t="n"/>
      <c r="B4348" s="4561" t="n"/>
      <c r="C4348" s="4561" t="n"/>
      <c r="D4348" s="4561" t="n"/>
      <c r="E4348" s="4561" t="n"/>
      <c r="F4348" s="4561" t="n"/>
    </row>
    <row r="4349">
      <c r="A4349" s="4561" t="n"/>
      <c r="B4349" s="4561" t="n"/>
      <c r="C4349" s="4561" t="n"/>
      <c r="D4349" s="4561" t="n"/>
      <c r="E4349" s="4561" t="n"/>
      <c r="F4349" s="4561" t="n"/>
    </row>
    <row r="4350">
      <c r="A4350" s="4561" t="n"/>
      <c r="B4350" s="4561" t="n"/>
      <c r="C4350" s="4561" t="n"/>
      <c r="D4350" s="4561" t="n"/>
      <c r="E4350" s="4561" t="n"/>
      <c r="F4350" s="4561" t="n"/>
    </row>
    <row r="4351">
      <c r="A4351" s="4561" t="n"/>
      <c r="B4351" s="4561" t="n"/>
      <c r="C4351" s="4561" t="n"/>
      <c r="D4351" s="4561" t="n"/>
      <c r="E4351" s="4561" t="n"/>
      <c r="F4351" s="4561" t="n"/>
    </row>
    <row r="4352">
      <c r="A4352" s="4561" t="n"/>
      <c r="B4352" s="4561" t="n"/>
      <c r="C4352" s="4561" t="n"/>
      <c r="D4352" s="4561" t="n"/>
      <c r="E4352" s="4561" t="n"/>
      <c r="F4352" s="4561" t="n"/>
    </row>
    <row r="4353">
      <c r="A4353" s="4561" t="n"/>
      <c r="B4353" s="4561" t="n"/>
      <c r="C4353" s="4561" t="n"/>
      <c r="D4353" s="4561" t="n"/>
      <c r="E4353" s="4561" t="n"/>
      <c r="F4353" s="4561" t="n"/>
    </row>
    <row r="4354">
      <c r="A4354" s="4561" t="n"/>
      <c r="B4354" s="4561" t="n"/>
      <c r="C4354" s="4561" t="n"/>
      <c r="D4354" s="4561" t="n"/>
      <c r="E4354" s="4561" t="n"/>
      <c r="F4354" s="4561" t="n"/>
    </row>
    <row r="4355">
      <c r="A4355" s="4561" t="n"/>
      <c r="B4355" s="4561" t="n"/>
      <c r="C4355" s="4561" t="n"/>
      <c r="D4355" s="4561" t="n"/>
      <c r="E4355" s="4561" t="n"/>
      <c r="F4355" s="4561" t="n"/>
    </row>
    <row r="4356">
      <c r="A4356" s="4561" t="n"/>
      <c r="B4356" s="4561" t="n"/>
      <c r="C4356" s="4561" t="n"/>
      <c r="D4356" s="4561" t="n"/>
      <c r="E4356" s="4561" t="n"/>
      <c r="F4356" s="4561" t="n"/>
    </row>
    <row r="4357">
      <c r="A4357" s="4561" t="n"/>
      <c r="B4357" s="4561" t="n"/>
      <c r="C4357" s="4561" t="n"/>
      <c r="D4357" s="4561" t="n"/>
      <c r="E4357" s="4561" t="n"/>
      <c r="F4357" s="4561" t="n"/>
    </row>
    <row r="4358">
      <c r="A4358" s="4561" t="n"/>
      <c r="B4358" s="4561" t="n"/>
      <c r="C4358" s="4561" t="n"/>
      <c r="D4358" s="4561" t="n"/>
      <c r="E4358" s="4561" t="n"/>
      <c r="F4358" s="4561" t="n"/>
    </row>
    <row r="4359">
      <c r="A4359" s="4561" t="n"/>
      <c r="B4359" s="4561" t="n"/>
      <c r="C4359" s="4561" t="n"/>
      <c r="D4359" s="4561" t="n"/>
      <c r="E4359" s="4561" t="n"/>
      <c r="F4359" s="4561" t="n"/>
    </row>
    <row r="4360">
      <c r="A4360" s="4561" t="n"/>
      <c r="B4360" s="4561" t="n"/>
      <c r="C4360" s="4561" t="n"/>
      <c r="D4360" s="4561" t="n"/>
      <c r="E4360" s="4561" t="n"/>
      <c r="F4360" s="4561" t="n"/>
    </row>
    <row r="4361">
      <c r="A4361" s="4561" t="n"/>
      <c r="B4361" s="4561" t="n"/>
      <c r="C4361" s="4561" t="n"/>
      <c r="D4361" s="4561" t="n"/>
      <c r="E4361" s="4561" t="n"/>
      <c r="F4361" s="4561" t="n"/>
    </row>
    <row r="4362">
      <c r="A4362" s="4561" t="n"/>
      <c r="B4362" s="4561" t="n"/>
      <c r="C4362" s="4561" t="n"/>
      <c r="D4362" s="4561" t="n"/>
      <c r="E4362" s="4561" t="n"/>
      <c r="F4362" s="4561" t="n"/>
    </row>
    <row r="4363">
      <c r="A4363" s="4561" t="n"/>
      <c r="B4363" s="4561" t="n"/>
      <c r="C4363" s="4561" t="n"/>
      <c r="D4363" s="4561" t="n"/>
      <c r="E4363" s="4561" t="n"/>
      <c r="F4363" s="4561" t="n"/>
    </row>
    <row r="4364">
      <c r="A4364" s="4561" t="n"/>
      <c r="B4364" s="4561" t="n"/>
      <c r="C4364" s="4561" t="n"/>
      <c r="D4364" s="4561" t="n"/>
      <c r="E4364" s="4561" t="n"/>
      <c r="F4364" s="4561" t="n"/>
    </row>
    <row r="4365">
      <c r="A4365" s="4561" t="n"/>
      <c r="B4365" s="4561" t="n"/>
      <c r="C4365" s="4561" t="n"/>
      <c r="D4365" s="4561" t="n"/>
      <c r="E4365" s="4561" t="n"/>
      <c r="F4365" s="4561" t="n"/>
    </row>
    <row r="4366">
      <c r="A4366" s="4561" t="n"/>
      <c r="B4366" s="4561" t="n"/>
      <c r="C4366" s="4561" t="n"/>
      <c r="D4366" s="4561" t="n"/>
      <c r="E4366" s="4561" t="n"/>
      <c r="F4366" s="4561" t="n"/>
    </row>
    <row r="4367">
      <c r="A4367" s="4561" t="n"/>
      <c r="B4367" s="4561" t="n"/>
      <c r="C4367" s="4561" t="n"/>
      <c r="D4367" s="4561" t="n"/>
      <c r="E4367" s="4561" t="n"/>
      <c r="F4367" s="4561" t="n"/>
    </row>
    <row r="4368">
      <c r="A4368" s="4561" t="n"/>
      <c r="B4368" s="4561" t="n"/>
      <c r="C4368" s="4561" t="n"/>
      <c r="D4368" s="4561" t="n"/>
      <c r="E4368" s="4561" t="n"/>
      <c r="F4368" s="4561" t="n"/>
    </row>
    <row r="4369">
      <c r="A4369" s="4561" t="n"/>
      <c r="B4369" s="4561" t="n"/>
      <c r="C4369" s="4561" t="n"/>
      <c r="D4369" s="4561" t="n"/>
      <c r="E4369" s="4561" t="n"/>
      <c r="F4369" s="4561" t="n"/>
    </row>
    <row r="4370">
      <c r="A4370" s="4561" t="n"/>
      <c r="B4370" s="4561" t="n"/>
      <c r="C4370" s="4561" t="n"/>
      <c r="D4370" s="4561" t="n"/>
      <c r="E4370" s="4561" t="n"/>
      <c r="F4370" s="4561" t="n"/>
    </row>
    <row r="4371">
      <c r="A4371" s="4561" t="n"/>
      <c r="B4371" s="4561" t="n"/>
      <c r="C4371" s="4561" t="n"/>
      <c r="D4371" s="4561" t="n"/>
      <c r="E4371" s="4561" t="n"/>
      <c r="F4371" s="4561" t="n"/>
    </row>
    <row r="4372">
      <c r="A4372" s="4561" t="n"/>
      <c r="B4372" s="4561" t="n"/>
      <c r="C4372" s="4561" t="n"/>
      <c r="D4372" s="4561" t="n"/>
      <c r="E4372" s="4561" t="n"/>
      <c r="F4372" s="4561" t="n"/>
    </row>
    <row r="4373">
      <c r="A4373" s="4561" t="n"/>
      <c r="B4373" s="4561" t="n"/>
      <c r="C4373" s="4561" t="n"/>
      <c r="D4373" s="4561" t="n"/>
      <c r="E4373" s="4561" t="n"/>
      <c r="F4373" s="4561" t="n"/>
    </row>
    <row r="4374">
      <c r="A4374" s="4561" t="n"/>
      <c r="B4374" s="4561" t="n"/>
      <c r="C4374" s="4561" t="n"/>
      <c r="D4374" s="4561" t="n"/>
      <c r="E4374" s="4561" t="n"/>
      <c r="F4374" s="4561" t="n"/>
    </row>
    <row r="4375">
      <c r="A4375" s="4561" t="n"/>
      <c r="B4375" s="4561" t="n"/>
      <c r="C4375" s="4561" t="n"/>
      <c r="D4375" s="4561" t="n"/>
      <c r="E4375" s="4561" t="n"/>
      <c r="F4375" s="4561" t="n"/>
    </row>
    <row r="4376">
      <c r="A4376" s="4561" t="n"/>
      <c r="B4376" s="4561" t="n"/>
      <c r="C4376" s="4561" t="n"/>
      <c r="D4376" s="4561" t="n"/>
      <c r="E4376" s="4561" t="n"/>
      <c r="F4376" s="4561" t="n"/>
    </row>
    <row r="4377">
      <c r="A4377" s="4561" t="n"/>
      <c r="B4377" s="4561" t="n"/>
      <c r="C4377" s="4561" t="n"/>
      <c r="D4377" s="4561" t="n"/>
      <c r="E4377" s="4561" t="n"/>
      <c r="F4377" s="4561" t="n"/>
    </row>
    <row r="4378">
      <c r="A4378" s="4561" t="n"/>
      <c r="B4378" s="4561" t="n"/>
      <c r="C4378" s="4561" t="n"/>
      <c r="D4378" s="4561" t="n"/>
      <c r="E4378" s="4561" t="n"/>
      <c r="F4378" s="4561" t="n"/>
    </row>
    <row r="4379">
      <c r="A4379" s="4561" t="n"/>
      <c r="B4379" s="4561" t="n"/>
      <c r="C4379" s="4561" t="n"/>
      <c r="D4379" s="4561" t="n"/>
      <c r="E4379" s="4561" t="n"/>
      <c r="F4379" s="4561" t="n"/>
    </row>
    <row r="4380">
      <c r="A4380" s="4561" t="n"/>
      <c r="B4380" s="4561" t="n"/>
      <c r="C4380" s="4561" t="n"/>
      <c r="D4380" s="4561" t="n"/>
      <c r="E4380" s="4561" t="n"/>
      <c r="F4380" s="4561" t="n"/>
    </row>
    <row r="4381">
      <c r="A4381" s="4561" t="n"/>
      <c r="B4381" s="4561" t="n"/>
      <c r="C4381" s="4561" t="n"/>
      <c r="D4381" s="4561" t="n"/>
      <c r="E4381" s="4561" t="n"/>
      <c r="F4381" s="4561" t="n"/>
    </row>
    <row r="4382">
      <c r="A4382" s="4561" t="n"/>
      <c r="B4382" s="4561" t="n"/>
      <c r="C4382" s="4561" t="n"/>
      <c r="D4382" s="4561" t="n"/>
      <c r="E4382" s="4561" t="n"/>
      <c r="F4382" s="4561" t="n"/>
    </row>
    <row r="4383">
      <c r="A4383" s="4561" t="n"/>
      <c r="B4383" s="4561" t="n"/>
      <c r="C4383" s="4561" t="n"/>
      <c r="D4383" s="4561" t="n"/>
      <c r="E4383" s="4561" t="n"/>
      <c r="F4383" s="4561" t="n"/>
    </row>
    <row r="4384">
      <c r="A4384" s="4561" t="n"/>
      <c r="B4384" s="4561" t="n"/>
      <c r="C4384" s="4561" t="n"/>
      <c r="D4384" s="4561" t="n"/>
      <c r="E4384" s="4561" t="n"/>
      <c r="F4384" s="4561" t="n"/>
    </row>
    <row r="4385">
      <c r="A4385" s="4561" t="n"/>
      <c r="B4385" s="4561" t="n"/>
      <c r="C4385" s="4561" t="n"/>
      <c r="D4385" s="4561" t="n"/>
      <c r="E4385" s="4561" t="n"/>
      <c r="F4385" s="4561" t="n"/>
    </row>
    <row r="4386">
      <c r="A4386" s="4561" t="n"/>
      <c r="B4386" s="4561" t="n"/>
      <c r="C4386" s="4561" t="n"/>
      <c r="D4386" s="4561" t="n"/>
      <c r="E4386" s="4561" t="n"/>
      <c r="F4386" s="4561" t="n"/>
    </row>
    <row r="4387">
      <c r="A4387" s="4561" t="n"/>
      <c r="B4387" s="4561" t="n"/>
      <c r="C4387" s="4561" t="n"/>
      <c r="D4387" s="4561" t="n"/>
      <c r="E4387" s="4561" t="n"/>
      <c r="F4387" s="4561" t="n"/>
    </row>
    <row r="4388">
      <c r="A4388" s="4561" t="n"/>
      <c r="B4388" s="4561" t="n"/>
      <c r="C4388" s="4561" t="n"/>
      <c r="D4388" s="4561" t="n"/>
      <c r="E4388" s="4561" t="n"/>
      <c r="F4388" s="4561" t="n"/>
    </row>
    <row r="4389">
      <c r="A4389" s="4561" t="n"/>
      <c r="B4389" s="4561" t="n"/>
      <c r="C4389" s="4561" t="n"/>
      <c r="D4389" s="4561" t="n"/>
      <c r="E4389" s="4561" t="n"/>
      <c r="F4389" s="4561" t="n"/>
    </row>
    <row r="4390">
      <c r="A4390" s="4561" t="n"/>
      <c r="B4390" s="4561" t="n"/>
      <c r="C4390" s="4561" t="n"/>
      <c r="D4390" s="4561" t="n"/>
      <c r="E4390" s="4561" t="n"/>
      <c r="F4390" s="4561" t="n"/>
    </row>
    <row r="4391">
      <c r="A4391" s="4561" t="n"/>
      <c r="B4391" s="4561" t="n"/>
      <c r="C4391" s="4561" t="n"/>
      <c r="D4391" s="4561" t="n"/>
      <c r="E4391" s="4561" t="n"/>
      <c r="F4391" s="4561" t="n"/>
    </row>
    <row r="4392">
      <c r="A4392" s="4561" t="n"/>
      <c r="B4392" s="4561" t="n"/>
      <c r="C4392" s="4561" t="n"/>
      <c r="D4392" s="4561" t="n"/>
      <c r="E4392" s="4561" t="n"/>
      <c r="F4392" s="4561" t="n"/>
    </row>
    <row r="4393">
      <c r="A4393" s="4561" t="n"/>
      <c r="B4393" s="4561" t="n"/>
      <c r="C4393" s="4561" t="n"/>
      <c r="D4393" s="4561" t="n"/>
      <c r="E4393" s="4561" t="n"/>
      <c r="F4393" s="4561" t="n"/>
    </row>
    <row r="4394">
      <c r="A4394" s="4561" t="n"/>
      <c r="B4394" s="4561" t="n"/>
      <c r="C4394" s="4561" t="n"/>
      <c r="D4394" s="4561" t="n"/>
      <c r="E4394" s="4561" t="n"/>
      <c r="F4394" s="4561" t="n"/>
    </row>
    <row r="4395">
      <c r="A4395" s="4561" t="n"/>
      <c r="B4395" s="4561" t="n"/>
      <c r="C4395" s="4561" t="n"/>
      <c r="D4395" s="4561" t="n"/>
      <c r="E4395" s="4561" t="n"/>
      <c r="F4395" s="4561" t="n"/>
    </row>
    <row r="4396">
      <c r="A4396" s="4561" t="n"/>
      <c r="B4396" s="4561" t="n"/>
      <c r="C4396" s="4561" t="n"/>
      <c r="D4396" s="4561" t="n"/>
      <c r="E4396" s="4561" t="n"/>
      <c r="F4396" s="4561" t="n"/>
    </row>
    <row r="4397">
      <c r="A4397" s="4561" t="n"/>
      <c r="B4397" s="4561" t="n"/>
      <c r="C4397" s="4561" t="n"/>
      <c r="D4397" s="4561" t="n"/>
      <c r="E4397" s="4561" t="n"/>
      <c r="F4397" s="4561" t="n"/>
    </row>
    <row r="4398">
      <c r="A4398" s="4561" t="n"/>
      <c r="B4398" s="4561" t="n"/>
      <c r="C4398" s="4561" t="n"/>
      <c r="D4398" s="4561" t="n"/>
      <c r="E4398" s="4561" t="n"/>
      <c r="F4398" s="4561" t="n"/>
    </row>
    <row r="4399">
      <c r="A4399" s="4561" t="n"/>
      <c r="B4399" s="4561" t="n"/>
      <c r="C4399" s="4561" t="n"/>
      <c r="D4399" s="4561" t="n"/>
      <c r="E4399" s="4561" t="n"/>
      <c r="F4399" s="4561" t="n"/>
    </row>
    <row r="4400">
      <c r="A4400" s="4561" t="n"/>
      <c r="B4400" s="4561" t="n"/>
      <c r="C4400" s="4561" t="n"/>
      <c r="D4400" s="4561" t="n"/>
      <c r="E4400" s="4561" t="n"/>
      <c r="F4400" s="4561" t="n"/>
    </row>
    <row r="4401">
      <c r="A4401" s="4561" t="n"/>
      <c r="B4401" s="4561" t="n"/>
      <c r="C4401" s="4561" t="n"/>
      <c r="D4401" s="4561" t="n"/>
      <c r="E4401" s="4561" t="n"/>
      <c r="F4401" s="4561" t="n"/>
    </row>
    <row r="4402">
      <c r="A4402" s="4561" t="n"/>
      <c r="B4402" s="4561" t="n"/>
      <c r="C4402" s="4561" t="n"/>
      <c r="D4402" s="4561" t="n"/>
      <c r="E4402" s="4561" t="n"/>
      <c r="F4402" s="4561" t="n"/>
    </row>
    <row r="4403">
      <c r="A4403" s="4561" t="n"/>
      <c r="B4403" s="4561" t="n"/>
      <c r="C4403" s="4561" t="n"/>
      <c r="D4403" s="4561" t="n"/>
      <c r="E4403" s="4561" t="n"/>
      <c r="F4403" s="4561" t="n"/>
    </row>
    <row r="4404">
      <c r="A4404" s="4561" t="n"/>
      <c r="B4404" s="4561" t="n"/>
      <c r="C4404" s="4561" t="n"/>
      <c r="D4404" s="4561" t="n"/>
      <c r="E4404" s="4561" t="n"/>
      <c r="F4404" s="4561" t="n"/>
    </row>
    <row r="4405">
      <c r="A4405" s="4561" t="n"/>
      <c r="B4405" s="4561" t="n"/>
      <c r="C4405" s="4561" t="n"/>
      <c r="D4405" s="4561" t="n"/>
      <c r="E4405" s="4561" t="n"/>
      <c r="F4405" s="4561" t="n"/>
    </row>
    <row r="4406">
      <c r="A4406" s="4561" t="n"/>
      <c r="B4406" s="4561" t="n"/>
      <c r="C4406" s="4561" t="n"/>
      <c r="D4406" s="4561" t="n"/>
      <c r="E4406" s="4561" t="n"/>
      <c r="F4406" s="4561" t="n"/>
    </row>
    <row r="4407">
      <c r="A4407" s="4561" t="n"/>
      <c r="B4407" s="4561" t="n"/>
      <c r="C4407" s="4561" t="n"/>
      <c r="D4407" s="4561" t="n"/>
      <c r="E4407" s="4561" t="n"/>
      <c r="F4407" s="4561" t="n"/>
    </row>
    <row r="4408">
      <c r="A4408" s="4561" t="n"/>
      <c r="B4408" s="4561" t="n"/>
      <c r="C4408" s="4561" t="n"/>
      <c r="D4408" s="4561" t="n"/>
      <c r="E4408" s="4561" t="n"/>
      <c r="F4408" s="4561" t="n"/>
    </row>
    <row r="4409">
      <c r="A4409" s="4561" t="n"/>
      <c r="B4409" s="4561" t="n"/>
      <c r="C4409" s="4561" t="n"/>
      <c r="D4409" s="4561" t="n"/>
      <c r="E4409" s="4561" t="n"/>
      <c r="F4409" s="4561" t="n"/>
    </row>
    <row r="4410">
      <c r="A4410" s="4561" t="n"/>
      <c r="B4410" s="4561" t="n"/>
      <c r="C4410" s="4561" t="n"/>
      <c r="D4410" s="4561" t="n"/>
      <c r="E4410" s="4561" t="n"/>
      <c r="F4410" s="4561" t="n"/>
    </row>
    <row r="4411">
      <c r="A4411" s="4561" t="n"/>
      <c r="B4411" s="4561" t="n"/>
      <c r="C4411" s="4561" t="n"/>
      <c r="D4411" s="4561" t="n"/>
      <c r="E4411" s="4561" t="n"/>
      <c r="F4411" s="4561" t="n"/>
    </row>
    <row r="4412">
      <c r="A4412" s="4561" t="n"/>
      <c r="B4412" s="4561" t="n"/>
      <c r="C4412" s="4561" t="n"/>
      <c r="D4412" s="4561" t="n"/>
      <c r="E4412" s="4561" t="n"/>
      <c r="F4412" s="4561" t="n"/>
    </row>
    <row r="4413">
      <c r="A4413" s="4561" t="n"/>
      <c r="B4413" s="4561" t="n"/>
      <c r="C4413" s="4561" t="n"/>
      <c r="D4413" s="4561" t="n"/>
      <c r="E4413" s="4561" t="n"/>
      <c r="F4413" s="4561" t="n"/>
    </row>
    <row r="4414">
      <c r="A4414" s="4561" t="n"/>
      <c r="B4414" s="4561" t="n"/>
      <c r="C4414" s="4561" t="n"/>
      <c r="D4414" s="4561" t="n"/>
      <c r="E4414" s="4561" t="n"/>
      <c r="F4414" s="4561" t="n"/>
    </row>
    <row r="4415">
      <c r="A4415" s="4561" t="n"/>
      <c r="B4415" s="4561" t="n"/>
      <c r="C4415" s="4561" t="n"/>
      <c r="D4415" s="4561" t="n"/>
      <c r="E4415" s="4561" t="n"/>
      <c r="F4415" s="4561" t="n"/>
    </row>
    <row r="4416">
      <c r="A4416" s="4561" t="n"/>
      <c r="B4416" s="4561" t="n"/>
      <c r="C4416" s="4561" t="n"/>
      <c r="D4416" s="4561" t="n"/>
      <c r="E4416" s="4561" t="n"/>
      <c r="F4416" s="4561" t="n"/>
    </row>
    <row r="4417">
      <c r="A4417" s="4561" t="n"/>
      <c r="B4417" s="4561" t="n"/>
      <c r="C4417" s="4561" t="n"/>
      <c r="D4417" s="4561" t="n"/>
      <c r="E4417" s="4561" t="n"/>
      <c r="F4417" s="4561" t="n"/>
    </row>
    <row r="4418">
      <c r="A4418" s="4561" t="n"/>
      <c r="B4418" s="4561" t="n"/>
      <c r="C4418" s="4561" t="n"/>
      <c r="D4418" s="4561" t="n"/>
      <c r="E4418" s="4561" t="n"/>
      <c r="F4418" s="4561" t="n"/>
    </row>
    <row r="4419">
      <c r="A4419" s="4561" t="n"/>
      <c r="B4419" s="4561" t="n"/>
      <c r="C4419" s="4561" t="n"/>
      <c r="D4419" s="4561" t="n"/>
      <c r="E4419" s="4561" t="n"/>
      <c r="F4419" s="4561" t="n"/>
    </row>
    <row r="4420">
      <c r="A4420" s="4561" t="n"/>
      <c r="B4420" s="4561" t="n"/>
      <c r="C4420" s="4561" t="n"/>
      <c r="D4420" s="4561" t="n"/>
      <c r="E4420" s="4561" t="n"/>
      <c r="F4420" s="4561" t="n"/>
    </row>
    <row r="4421">
      <c r="A4421" s="4561" t="n"/>
      <c r="B4421" s="4561" t="n"/>
      <c r="C4421" s="4561" t="n"/>
      <c r="D4421" s="4561" t="n"/>
      <c r="E4421" s="4561" t="n"/>
      <c r="F4421" s="4561" t="n"/>
    </row>
    <row r="4422">
      <c r="A4422" s="4561" t="n"/>
      <c r="B4422" s="4561" t="n"/>
      <c r="C4422" s="4561" t="n"/>
      <c r="D4422" s="4561" t="n"/>
      <c r="E4422" s="4561" t="n"/>
      <c r="F4422" s="4561" t="n"/>
    </row>
    <row r="4423">
      <c r="A4423" s="4561" t="n"/>
      <c r="B4423" s="4561" t="n"/>
      <c r="C4423" s="4561" t="n"/>
      <c r="D4423" s="4561" t="n"/>
      <c r="E4423" s="4561" t="n"/>
      <c r="F4423" s="4561" t="n"/>
    </row>
    <row r="4424">
      <c r="A4424" s="4561" t="n"/>
      <c r="B4424" s="4561" t="n"/>
      <c r="C4424" s="4561" t="n"/>
      <c r="D4424" s="4561" t="n"/>
      <c r="E4424" s="4561" t="n"/>
      <c r="F4424" s="4561" t="n"/>
    </row>
    <row r="4425">
      <c r="A4425" s="4561" t="n"/>
      <c r="B4425" s="4561" t="n"/>
      <c r="C4425" s="4561" t="n"/>
      <c r="D4425" s="4561" t="n"/>
      <c r="E4425" s="4561" t="n"/>
      <c r="F4425" s="4561" t="n"/>
    </row>
    <row r="4426">
      <c r="A4426" s="4561" t="n"/>
      <c r="B4426" s="4561" t="n"/>
      <c r="C4426" s="4561" t="n"/>
      <c r="D4426" s="4561" t="n"/>
      <c r="E4426" s="4561" t="n"/>
      <c r="F4426" s="4561" t="n"/>
    </row>
    <row r="4427">
      <c r="A4427" s="4561" t="n"/>
      <c r="B4427" s="4561" t="n"/>
      <c r="C4427" s="4561" t="n"/>
      <c r="D4427" s="4561" t="n"/>
      <c r="E4427" s="4561" t="n"/>
      <c r="F4427" s="4561" t="n"/>
    </row>
    <row r="4428">
      <c r="A4428" s="4561" t="n"/>
      <c r="B4428" s="4561" t="n"/>
      <c r="C4428" s="4561" t="n"/>
      <c r="D4428" s="4561" t="n"/>
      <c r="E4428" s="4561" t="n"/>
      <c r="F4428" s="4561" t="n"/>
    </row>
    <row r="4429">
      <c r="A4429" s="4561" t="n"/>
      <c r="B4429" s="4561" t="n"/>
      <c r="C4429" s="4561" t="n"/>
      <c r="D4429" s="4561" t="n"/>
      <c r="E4429" s="4561" t="n"/>
      <c r="F4429" s="4561" t="n"/>
    </row>
    <row r="4430">
      <c r="A4430" s="4561" t="n"/>
      <c r="B4430" s="4561" t="n"/>
      <c r="C4430" s="4561" t="n"/>
      <c r="D4430" s="4561" t="n"/>
      <c r="E4430" s="4561" t="n"/>
      <c r="F4430" s="4561" t="n"/>
    </row>
    <row r="4431">
      <c r="A4431" s="4561" t="n"/>
      <c r="B4431" s="4561" t="n"/>
      <c r="C4431" s="4561" t="n"/>
      <c r="D4431" s="4561" t="n"/>
      <c r="E4431" s="4561" t="n"/>
      <c r="F4431" s="4561" t="n"/>
    </row>
    <row r="4432">
      <c r="A4432" s="4561" t="n"/>
      <c r="B4432" s="4561" t="n"/>
      <c r="C4432" s="4561" t="n"/>
      <c r="D4432" s="4561" t="n"/>
      <c r="E4432" s="4561" t="n"/>
      <c r="F4432" s="4561" t="n"/>
    </row>
    <row r="4433">
      <c r="A4433" s="4561" t="n"/>
      <c r="B4433" s="4561" t="n"/>
      <c r="C4433" s="4561" t="n"/>
      <c r="D4433" s="4561" t="n"/>
      <c r="E4433" s="4561" t="n"/>
      <c r="F4433" s="4561" t="n"/>
    </row>
    <row r="4434">
      <c r="A4434" s="4561" t="n"/>
      <c r="B4434" s="4561" t="n"/>
      <c r="C4434" s="4561" t="n"/>
      <c r="D4434" s="4561" t="n"/>
      <c r="E4434" s="4561" t="n"/>
      <c r="F4434" s="4561" t="n"/>
    </row>
    <row r="4435">
      <c r="A4435" s="4561" t="n"/>
      <c r="B4435" s="4561" t="n"/>
      <c r="C4435" s="4561" t="n"/>
      <c r="D4435" s="4561" t="n"/>
      <c r="E4435" s="4561" t="n"/>
      <c r="F4435" s="4561" t="n"/>
    </row>
    <row r="4436">
      <c r="A4436" s="4561" t="n"/>
      <c r="B4436" s="4561" t="n"/>
      <c r="C4436" s="4561" t="n"/>
      <c r="D4436" s="4561" t="n"/>
      <c r="E4436" s="4561" t="n"/>
      <c r="F4436" s="4561" t="n"/>
    </row>
    <row r="4437">
      <c r="A4437" s="4561" t="n"/>
      <c r="B4437" s="4561" t="n"/>
      <c r="C4437" s="4561" t="n"/>
      <c r="D4437" s="4561" t="n"/>
      <c r="E4437" s="4561" t="n"/>
      <c r="F4437" s="4561" t="n"/>
    </row>
    <row r="4438">
      <c r="A4438" s="4561" t="n"/>
      <c r="B4438" s="4561" t="n"/>
      <c r="C4438" s="4561" t="n"/>
      <c r="D4438" s="4561" t="n"/>
      <c r="E4438" s="4561" t="n"/>
      <c r="F4438" s="4561" t="n"/>
    </row>
    <row r="4439">
      <c r="A4439" s="4561" t="n"/>
      <c r="B4439" s="4561" t="n"/>
      <c r="C4439" s="4561" t="n"/>
      <c r="D4439" s="4561" t="n"/>
      <c r="E4439" s="4561" t="n"/>
      <c r="F4439" s="4561" t="n"/>
    </row>
    <row r="4440">
      <c r="A4440" s="4561" t="n"/>
      <c r="B4440" s="4561" t="n"/>
      <c r="C4440" s="4561" t="n"/>
      <c r="D4440" s="4561" t="n"/>
      <c r="E4440" s="4561" t="n"/>
      <c r="F4440" s="4561" t="n"/>
    </row>
    <row r="4441">
      <c r="A4441" s="4561" t="n"/>
      <c r="B4441" s="4561" t="n"/>
      <c r="C4441" s="4561" t="n"/>
      <c r="D4441" s="4561" t="n"/>
      <c r="E4441" s="4561" t="n"/>
      <c r="F4441" s="4561" t="n"/>
    </row>
    <row r="4442">
      <c r="A4442" s="4561" t="n"/>
      <c r="B4442" s="4561" t="n"/>
      <c r="C4442" s="4561" t="n"/>
      <c r="D4442" s="4561" t="n"/>
      <c r="E4442" s="4561" t="n"/>
      <c r="F4442" s="4561" t="n"/>
    </row>
    <row r="4443">
      <c r="A4443" s="4561" t="n"/>
      <c r="B4443" s="4561" t="n"/>
      <c r="C4443" s="4561" t="n"/>
      <c r="D4443" s="4561" t="n"/>
      <c r="E4443" s="4561" t="n"/>
      <c r="F4443" s="4561" t="n"/>
    </row>
    <row r="4444">
      <c r="A4444" s="4561" t="n"/>
      <c r="B4444" s="4561" t="n"/>
      <c r="C4444" s="4561" t="n"/>
      <c r="D4444" s="4561" t="n"/>
      <c r="E4444" s="4561" t="n"/>
      <c r="F4444" s="4561" t="n"/>
    </row>
    <row r="4445">
      <c r="A4445" s="4561" t="n"/>
      <c r="B4445" s="4561" t="n"/>
      <c r="C4445" s="4561" t="n"/>
      <c r="D4445" s="4561" t="n"/>
      <c r="E4445" s="4561" t="n"/>
      <c r="F4445" s="4561" t="n"/>
    </row>
    <row r="4446">
      <c r="A4446" s="4561" t="n"/>
      <c r="B4446" s="4561" t="n"/>
      <c r="C4446" s="4561" t="n"/>
      <c r="D4446" s="4561" t="n"/>
      <c r="E4446" s="4561" t="n"/>
      <c r="F4446" s="4561" t="n"/>
    </row>
    <row r="4447">
      <c r="A4447" s="4561" t="n"/>
      <c r="B4447" s="4561" t="n"/>
      <c r="C4447" s="4561" t="n"/>
      <c r="D4447" s="4561" t="n"/>
      <c r="E4447" s="4561" t="n"/>
      <c r="F4447" s="4561" t="n"/>
    </row>
    <row r="4448">
      <c r="A4448" s="4561" t="n"/>
      <c r="B4448" s="4561" t="n"/>
      <c r="C4448" s="4561" t="n"/>
      <c r="D4448" s="4561" t="n"/>
      <c r="E4448" s="4561" t="n"/>
      <c r="F4448" s="4561" t="n"/>
    </row>
    <row r="4449">
      <c r="A4449" s="4561" t="n"/>
      <c r="B4449" s="4561" t="n"/>
      <c r="C4449" s="4561" t="n"/>
      <c r="D4449" s="4561" t="n"/>
      <c r="E4449" s="4561" t="n"/>
      <c r="F4449" s="4561" t="n"/>
    </row>
    <row r="4450">
      <c r="A4450" s="4561" t="n"/>
      <c r="B4450" s="4561" t="n"/>
      <c r="C4450" s="4561" t="n"/>
      <c r="D4450" s="4561" t="n"/>
      <c r="E4450" s="4561" t="n"/>
      <c r="F4450" s="4561" t="n"/>
    </row>
    <row r="4451">
      <c r="A4451" s="4561" t="n"/>
      <c r="B4451" s="4561" t="n"/>
      <c r="C4451" s="4561" t="n"/>
      <c r="D4451" s="4561" t="n"/>
      <c r="E4451" s="4561" t="n"/>
      <c r="F4451" s="4561" t="n"/>
    </row>
    <row r="4452">
      <c r="A4452" s="4561" t="n"/>
      <c r="B4452" s="4561" t="n"/>
      <c r="C4452" s="4561" t="n"/>
      <c r="D4452" s="4561" t="n"/>
      <c r="E4452" s="4561" t="n"/>
      <c r="F4452" s="4561" t="n"/>
    </row>
    <row r="4453">
      <c r="A4453" s="4561" t="n"/>
      <c r="B4453" s="4561" t="n"/>
      <c r="C4453" s="4561" t="n"/>
      <c r="D4453" s="4561" t="n"/>
      <c r="E4453" s="4561" t="n"/>
      <c r="F4453" s="4561" t="n"/>
    </row>
    <row r="4454">
      <c r="A4454" s="4561" t="n"/>
      <c r="B4454" s="4561" t="n"/>
      <c r="C4454" s="4561" t="n"/>
      <c r="D4454" s="4561" t="n"/>
      <c r="E4454" s="4561" t="n"/>
      <c r="F4454" s="4561" t="n"/>
    </row>
    <row r="4455">
      <c r="A4455" s="4561" t="n"/>
      <c r="B4455" s="4561" t="n"/>
      <c r="C4455" s="4561" t="n"/>
      <c r="D4455" s="4561" t="n"/>
      <c r="E4455" s="4561" t="n"/>
      <c r="F4455" s="4561" t="n"/>
    </row>
    <row r="4456">
      <c r="A4456" s="4561" t="n"/>
      <c r="B4456" s="4561" t="n"/>
      <c r="C4456" s="4561" t="n"/>
      <c r="D4456" s="4561" t="n"/>
      <c r="E4456" s="4561" t="n"/>
      <c r="F4456" s="4561" t="n"/>
    </row>
    <row r="4457">
      <c r="A4457" s="4561" t="n"/>
      <c r="B4457" s="4561" t="n"/>
      <c r="C4457" s="4561" t="n"/>
      <c r="D4457" s="4561" t="n"/>
      <c r="E4457" s="4561" t="n"/>
      <c r="F4457" s="4561" t="n"/>
    </row>
    <row r="4458">
      <c r="A4458" s="4561" t="n"/>
      <c r="B4458" s="4561" t="n"/>
      <c r="C4458" s="4561" t="n"/>
      <c r="D4458" s="4561" t="n"/>
      <c r="E4458" s="4561" t="n"/>
      <c r="F4458" s="4561" t="n"/>
    </row>
    <row r="4459">
      <c r="A4459" s="4561" t="n"/>
      <c r="B4459" s="4561" t="n"/>
      <c r="C4459" s="4561" t="n"/>
      <c r="D4459" s="4561" t="n"/>
      <c r="E4459" s="4561" t="n"/>
      <c r="F4459" s="4561" t="n"/>
    </row>
    <row r="4460">
      <c r="A4460" s="4561" t="n"/>
      <c r="B4460" s="4561" t="n"/>
      <c r="C4460" s="4561" t="n"/>
      <c r="D4460" s="4561" t="n"/>
      <c r="E4460" s="4561" t="n"/>
      <c r="F4460" s="4561" t="n"/>
    </row>
    <row r="4461">
      <c r="A4461" s="4561" t="n"/>
      <c r="B4461" s="4561" t="n"/>
      <c r="C4461" s="4561" t="n"/>
      <c r="D4461" s="4561" t="n"/>
      <c r="E4461" s="4561" t="n"/>
      <c r="F4461" s="4561" t="n"/>
    </row>
    <row r="4462">
      <c r="A4462" s="4561" t="n"/>
      <c r="B4462" s="4561" t="n"/>
      <c r="C4462" s="4561" t="n"/>
      <c r="D4462" s="4561" t="n"/>
      <c r="E4462" s="4561" t="n"/>
      <c r="F4462" s="4561" t="n"/>
    </row>
    <row r="4463">
      <c r="A4463" s="4561" t="n"/>
      <c r="B4463" s="4561" t="n"/>
      <c r="C4463" s="4561" t="n"/>
      <c r="D4463" s="4561" t="n"/>
      <c r="E4463" s="4561" t="n"/>
      <c r="F4463" s="4561" t="n"/>
    </row>
    <row r="4464">
      <c r="A4464" s="4561" t="n"/>
      <c r="B4464" s="4561" t="n"/>
      <c r="C4464" s="4561" t="n"/>
      <c r="D4464" s="4561" t="n"/>
      <c r="E4464" s="4561" t="n"/>
      <c r="F4464" s="4561" t="n"/>
    </row>
    <row r="4465">
      <c r="A4465" s="4561" t="n"/>
      <c r="B4465" s="4561" t="n"/>
      <c r="C4465" s="4561" t="n"/>
      <c r="D4465" s="4561" t="n"/>
      <c r="E4465" s="4561" t="n"/>
      <c r="F4465" s="4561" t="n"/>
    </row>
    <row r="4466">
      <c r="A4466" s="4561" t="n"/>
      <c r="B4466" s="4561" t="n"/>
      <c r="C4466" s="4561" t="n"/>
      <c r="D4466" s="4561" t="n"/>
      <c r="E4466" s="4561" t="n"/>
      <c r="F4466" s="4561" t="n"/>
    </row>
    <row r="4467">
      <c r="A4467" s="4561" t="n"/>
      <c r="B4467" s="4561" t="n"/>
      <c r="C4467" s="4561" t="n"/>
      <c r="D4467" s="4561" t="n"/>
      <c r="E4467" s="4561" t="n"/>
      <c r="F4467" s="4561" t="n"/>
    </row>
    <row r="4468">
      <c r="A4468" s="4561" t="n"/>
      <c r="B4468" s="4561" t="n"/>
      <c r="C4468" s="4561" t="n"/>
      <c r="D4468" s="4561" t="n"/>
      <c r="E4468" s="4561" t="n"/>
      <c r="F4468" s="4561" t="n"/>
    </row>
    <row r="4469">
      <c r="A4469" s="4561" t="n"/>
      <c r="B4469" s="4561" t="n"/>
      <c r="C4469" s="4561" t="n"/>
      <c r="D4469" s="4561" t="n"/>
      <c r="E4469" s="4561" t="n"/>
      <c r="F4469" s="4561" t="n"/>
    </row>
    <row r="4470">
      <c r="A4470" s="4561" t="n"/>
      <c r="B4470" s="4561" t="n"/>
      <c r="C4470" s="4561" t="n"/>
      <c r="D4470" s="4561" t="n"/>
      <c r="E4470" s="4561" t="n"/>
      <c r="F4470" s="4561" t="n"/>
    </row>
    <row r="4471">
      <c r="A4471" s="4561" t="n"/>
      <c r="B4471" s="4561" t="n"/>
      <c r="C4471" s="4561" t="n"/>
      <c r="D4471" s="4561" t="n"/>
      <c r="E4471" s="4561" t="n"/>
      <c r="F4471" s="4561" t="n"/>
    </row>
    <row r="4472">
      <c r="A4472" s="4561" t="n"/>
      <c r="B4472" s="4561" t="n"/>
      <c r="C4472" s="4561" t="n"/>
      <c r="D4472" s="4561" t="n"/>
      <c r="E4472" s="4561" t="n"/>
      <c r="F4472" s="4561" t="n"/>
    </row>
    <row r="4473">
      <c r="A4473" s="4561" t="n"/>
      <c r="B4473" s="4561" t="n"/>
      <c r="C4473" s="4561" t="n"/>
      <c r="D4473" s="4561" t="n"/>
      <c r="E4473" s="4561" t="n"/>
      <c r="F4473" s="4561" t="n"/>
    </row>
    <row r="4474">
      <c r="A4474" s="4561" t="n"/>
      <c r="B4474" s="4561" t="n"/>
      <c r="C4474" s="4561" t="n"/>
      <c r="D4474" s="4561" t="n"/>
      <c r="E4474" s="4561" t="n"/>
      <c r="F4474" s="4561" t="n"/>
    </row>
    <row r="4475">
      <c r="A4475" s="4561" t="n"/>
      <c r="B4475" s="4561" t="n"/>
      <c r="C4475" s="4561" t="n"/>
      <c r="D4475" s="4561" t="n"/>
      <c r="E4475" s="4561" t="n"/>
      <c r="F4475" s="4561" t="n"/>
    </row>
    <row r="4476">
      <c r="A4476" s="4561" t="n"/>
      <c r="B4476" s="4561" t="n"/>
      <c r="C4476" s="4561" t="n"/>
      <c r="D4476" s="4561" t="n"/>
      <c r="E4476" s="4561" t="n"/>
      <c r="F4476" s="4561" t="n"/>
    </row>
    <row r="4477">
      <c r="A4477" s="4561" t="n"/>
      <c r="B4477" s="4561" t="n"/>
      <c r="C4477" s="4561" t="n"/>
      <c r="D4477" s="4561" t="n"/>
      <c r="E4477" s="4561" t="n"/>
      <c r="F4477" s="4561" t="n"/>
    </row>
    <row r="4478">
      <c r="A4478" s="4561" t="n"/>
      <c r="B4478" s="4561" t="n"/>
      <c r="C4478" s="4561" t="n"/>
      <c r="D4478" s="4561" t="n"/>
      <c r="E4478" s="4561" t="n"/>
      <c r="F4478" s="4561" t="n"/>
    </row>
    <row r="4479">
      <c r="A4479" s="4561" t="n"/>
      <c r="B4479" s="4561" t="n"/>
      <c r="C4479" s="4561" t="n"/>
      <c r="D4479" s="4561" t="n"/>
      <c r="E4479" s="4561" t="n"/>
      <c r="F4479" s="4561" t="n"/>
    </row>
    <row r="4480">
      <c r="A4480" s="4561" t="n"/>
      <c r="B4480" s="4561" t="n"/>
      <c r="C4480" s="4561" t="n"/>
      <c r="D4480" s="4561" t="n"/>
      <c r="E4480" s="4561" t="n"/>
      <c r="F4480" s="4561" t="n"/>
    </row>
    <row r="4481">
      <c r="A4481" s="4561" t="n"/>
      <c r="B4481" s="4561" t="n"/>
      <c r="C4481" s="4561" t="n"/>
      <c r="D4481" s="4561" t="n"/>
      <c r="E4481" s="4561" t="n"/>
      <c r="F4481" s="4561" t="n"/>
    </row>
    <row r="4482">
      <c r="A4482" s="4561" t="n"/>
      <c r="B4482" s="4561" t="n"/>
      <c r="C4482" s="4561" t="n"/>
      <c r="D4482" s="4561" t="n"/>
      <c r="E4482" s="4561" t="n"/>
      <c r="F4482" s="4561" t="n"/>
    </row>
    <row r="4483">
      <c r="A4483" s="4561" t="n"/>
      <c r="B4483" s="4561" t="n"/>
      <c r="C4483" s="4561" t="n"/>
      <c r="D4483" s="4561" t="n"/>
      <c r="E4483" s="4561" t="n"/>
      <c r="F4483" s="4561" t="n"/>
    </row>
    <row r="4484">
      <c r="A4484" s="4561" t="n"/>
      <c r="B4484" s="4561" t="n"/>
      <c r="C4484" s="4561" t="n"/>
      <c r="D4484" s="4561" t="n"/>
      <c r="E4484" s="4561" t="n"/>
      <c r="F4484" s="4561" t="n"/>
    </row>
    <row r="4485">
      <c r="A4485" s="4561" t="n"/>
      <c r="B4485" s="4561" t="n"/>
      <c r="C4485" s="4561" t="n"/>
      <c r="D4485" s="4561" t="n"/>
      <c r="E4485" s="4561" t="n"/>
      <c r="F4485" s="4561" t="n"/>
    </row>
    <row r="4486">
      <c r="A4486" s="4561" t="n"/>
      <c r="B4486" s="4561" t="n"/>
      <c r="C4486" s="4561" t="n"/>
      <c r="D4486" s="4561" t="n"/>
      <c r="E4486" s="4561" t="n"/>
      <c r="F4486" s="4561" t="n"/>
    </row>
    <row r="4487">
      <c r="A4487" s="4561" t="n"/>
      <c r="B4487" s="4561" t="n"/>
      <c r="C4487" s="4561" t="n"/>
      <c r="D4487" s="4561" t="n"/>
      <c r="E4487" s="4561" t="n"/>
      <c r="F4487" s="4561" t="n"/>
    </row>
    <row r="4488">
      <c r="A4488" s="4561" t="n"/>
      <c r="B4488" s="4561" t="n"/>
      <c r="C4488" s="4561" t="n"/>
      <c r="D4488" s="4561" t="n"/>
      <c r="E4488" s="4561" t="n"/>
      <c r="F4488" s="4561" t="n"/>
    </row>
    <row r="4489">
      <c r="A4489" s="4561" t="n"/>
      <c r="B4489" s="4561" t="n"/>
      <c r="C4489" s="4561" t="n"/>
      <c r="D4489" s="4561" t="n"/>
      <c r="E4489" s="4561" t="n"/>
      <c r="F4489" s="4561" t="n"/>
    </row>
    <row r="4490">
      <c r="A4490" s="4561" t="n"/>
      <c r="B4490" s="4561" t="n"/>
      <c r="C4490" s="4561" t="n"/>
      <c r="D4490" s="4561" t="n"/>
      <c r="E4490" s="4561" t="n"/>
      <c r="F4490" s="4561" t="n"/>
    </row>
    <row r="4491">
      <c r="A4491" s="4561" t="n"/>
      <c r="B4491" s="4561" t="n"/>
      <c r="C4491" s="4561" t="n"/>
      <c r="D4491" s="4561" t="n"/>
      <c r="E4491" s="4561" t="n"/>
      <c r="F4491" s="4561" t="n"/>
    </row>
    <row r="4492">
      <c r="A4492" s="4561" t="n"/>
      <c r="B4492" s="4561" t="n"/>
      <c r="C4492" s="4561" t="n"/>
      <c r="D4492" s="4561" t="n"/>
      <c r="E4492" s="4561" t="n"/>
      <c r="F4492" s="4561" t="n"/>
    </row>
    <row r="4493">
      <c r="A4493" s="4561" t="n"/>
      <c r="B4493" s="4561" t="n"/>
      <c r="C4493" s="4561" t="n"/>
      <c r="D4493" s="4561" t="n"/>
      <c r="E4493" s="4561" t="n"/>
      <c r="F4493" s="4561" t="n"/>
    </row>
    <row r="4494">
      <c r="A4494" s="4561" t="n"/>
      <c r="B4494" s="4561" t="n"/>
      <c r="C4494" s="4561" t="n"/>
      <c r="D4494" s="4561" t="n"/>
      <c r="E4494" s="4561" t="n"/>
      <c r="F4494" s="4561" t="n"/>
    </row>
    <row r="4495">
      <c r="A4495" s="4561" t="n"/>
      <c r="B4495" s="4561" t="n"/>
      <c r="C4495" s="4561" t="n"/>
      <c r="D4495" s="4561" t="n"/>
      <c r="E4495" s="4561" t="n"/>
      <c r="F4495" s="4561" t="n"/>
    </row>
    <row r="4496">
      <c r="A4496" s="4561" t="n"/>
      <c r="B4496" s="4561" t="n"/>
      <c r="C4496" s="4561" t="n"/>
      <c r="D4496" s="4561" t="n"/>
      <c r="E4496" s="4561" t="n"/>
      <c r="F4496" s="4561" t="n"/>
    </row>
    <row r="4497">
      <c r="A4497" s="4561" t="n"/>
      <c r="B4497" s="4561" t="n"/>
      <c r="C4497" s="4561" t="n"/>
      <c r="D4497" s="4561" t="n"/>
      <c r="E4497" s="4561" t="n"/>
      <c r="F4497" s="4561" t="n"/>
    </row>
    <row r="4498">
      <c r="A4498" s="4561" t="n"/>
      <c r="B4498" s="4561" t="n"/>
      <c r="C4498" s="4561" t="n"/>
      <c r="D4498" s="4561" t="n"/>
      <c r="E4498" s="4561" t="n"/>
      <c r="F4498" s="4561" t="n"/>
    </row>
    <row r="4499">
      <c r="A4499" s="4561" t="n"/>
      <c r="B4499" s="4561" t="n"/>
      <c r="C4499" s="4561" t="n"/>
      <c r="D4499" s="4561" t="n"/>
      <c r="E4499" s="4561" t="n"/>
      <c r="F4499" s="4561" t="n"/>
    </row>
    <row r="4500">
      <c r="A4500" s="4561" t="n"/>
      <c r="B4500" s="4561" t="n"/>
      <c r="C4500" s="4561" t="n"/>
      <c r="D4500" s="4561" t="n"/>
      <c r="E4500" s="4561" t="n"/>
      <c r="F4500" s="4561" t="n"/>
    </row>
    <row r="4501">
      <c r="A4501" s="4561" t="n"/>
      <c r="B4501" s="4561" t="n"/>
      <c r="C4501" s="4561" t="n"/>
      <c r="D4501" s="4561" t="n"/>
      <c r="E4501" s="4561" t="n"/>
      <c r="F4501" s="4561" t="n"/>
    </row>
    <row r="4502">
      <c r="A4502" s="4561" t="n"/>
      <c r="B4502" s="4561" t="n"/>
      <c r="C4502" s="4561" t="n"/>
      <c r="D4502" s="4561" t="n"/>
      <c r="E4502" s="4561" t="n"/>
      <c r="F4502" s="4561" t="n"/>
    </row>
    <row r="4503">
      <c r="A4503" s="4561" t="n"/>
      <c r="B4503" s="4561" t="n"/>
      <c r="C4503" s="4561" t="n"/>
      <c r="D4503" s="4561" t="n"/>
      <c r="E4503" s="4561" t="n"/>
      <c r="F4503" s="4561" t="n"/>
    </row>
    <row r="4504">
      <c r="A4504" s="4561" t="n"/>
      <c r="B4504" s="4561" t="n"/>
      <c r="C4504" s="4561" t="n"/>
      <c r="D4504" s="4561" t="n"/>
      <c r="E4504" s="4561" t="n"/>
      <c r="F4504" s="4561" t="n"/>
    </row>
    <row r="4505">
      <c r="A4505" s="4561" t="n"/>
      <c r="B4505" s="4561" t="n"/>
      <c r="C4505" s="4561" t="n"/>
      <c r="D4505" s="4561" t="n"/>
      <c r="E4505" s="4561" t="n"/>
      <c r="F4505" s="4561" t="n"/>
    </row>
    <row r="4506">
      <c r="A4506" s="4561" t="n"/>
      <c r="B4506" s="4561" t="n"/>
      <c r="C4506" s="4561" t="n"/>
      <c r="D4506" s="4561" t="n"/>
      <c r="E4506" s="4561" t="n"/>
      <c r="F4506" s="4561" t="n"/>
    </row>
    <row r="4507">
      <c r="A4507" s="4561" t="n"/>
      <c r="B4507" s="4561" t="n"/>
      <c r="C4507" s="4561" t="n"/>
      <c r="D4507" s="4561" t="n"/>
      <c r="E4507" s="4561" t="n"/>
      <c r="F4507" s="4561" t="n"/>
    </row>
    <row r="4508">
      <c r="A4508" s="4561" t="n"/>
      <c r="B4508" s="4561" t="n"/>
      <c r="C4508" s="4561" t="n"/>
      <c r="D4508" s="4561" t="n"/>
      <c r="E4508" s="4561" t="n"/>
      <c r="F4508" s="4561" t="n"/>
    </row>
    <row r="4509">
      <c r="A4509" s="4561" t="n"/>
      <c r="B4509" s="4561" t="n"/>
      <c r="C4509" s="4561" t="n"/>
      <c r="D4509" s="4561" t="n"/>
      <c r="E4509" s="4561" t="n"/>
      <c r="F4509" s="4561" t="n"/>
    </row>
    <row r="4510">
      <c r="A4510" s="4561" t="n"/>
      <c r="B4510" s="4561" t="n"/>
      <c r="C4510" s="4561" t="n"/>
      <c r="D4510" s="4561" t="n"/>
      <c r="E4510" s="4561" t="n"/>
      <c r="F4510" s="4561" t="n"/>
    </row>
    <row r="4511">
      <c r="A4511" s="4561" t="n"/>
      <c r="B4511" s="4561" t="n"/>
      <c r="C4511" s="4561" t="n"/>
      <c r="D4511" s="4561" t="n"/>
      <c r="E4511" s="4561" t="n"/>
      <c r="F4511" s="4561" t="n"/>
    </row>
    <row r="4512">
      <c r="A4512" s="4561" t="n"/>
      <c r="B4512" s="4561" t="n"/>
      <c r="C4512" s="4561" t="n"/>
      <c r="D4512" s="4561" t="n"/>
      <c r="E4512" s="4561" t="n"/>
      <c r="F4512" s="4561" t="n"/>
    </row>
    <row r="4513">
      <c r="A4513" s="4561" t="n"/>
      <c r="B4513" s="4561" t="n"/>
      <c r="C4513" s="4561" t="n"/>
      <c r="D4513" s="4561" t="n"/>
      <c r="E4513" s="4561" t="n"/>
      <c r="F4513" s="4561" t="n"/>
    </row>
    <row r="4514">
      <c r="A4514" s="4561" t="n"/>
      <c r="B4514" s="4561" t="n"/>
      <c r="C4514" s="4561" t="n"/>
      <c r="D4514" s="4561" t="n"/>
      <c r="E4514" s="4561" t="n"/>
      <c r="F4514" s="4561" t="n"/>
    </row>
    <row r="4515">
      <c r="A4515" s="4561" t="n"/>
      <c r="B4515" s="4561" t="n"/>
      <c r="C4515" s="4561" t="n"/>
      <c r="D4515" s="4561" t="n"/>
      <c r="E4515" s="4561" t="n"/>
      <c r="F4515" s="4561" t="n"/>
    </row>
    <row r="4516">
      <c r="A4516" s="4561" t="n"/>
      <c r="B4516" s="4561" t="n"/>
      <c r="C4516" s="4561" t="n"/>
      <c r="D4516" s="4561" t="n"/>
      <c r="E4516" s="4561" t="n"/>
      <c r="F4516" s="4561" t="n"/>
    </row>
    <row r="4517">
      <c r="A4517" s="4561" t="n"/>
      <c r="B4517" s="4561" t="n"/>
      <c r="C4517" s="4561" t="n"/>
      <c r="D4517" s="4561" t="n"/>
      <c r="E4517" s="4561" t="n"/>
      <c r="F4517" s="4561" t="n"/>
    </row>
    <row r="4518">
      <c r="A4518" s="4561" t="n"/>
      <c r="B4518" s="4561" t="n"/>
      <c r="C4518" s="4561" t="n"/>
      <c r="D4518" s="4561" t="n"/>
      <c r="E4518" s="4561" t="n"/>
      <c r="F4518" s="4561" t="n"/>
    </row>
    <row r="4519">
      <c r="A4519" s="4561" t="n"/>
      <c r="B4519" s="4561" t="n"/>
      <c r="C4519" s="4561" t="n"/>
      <c r="D4519" s="4561" t="n"/>
      <c r="E4519" s="4561" t="n"/>
      <c r="F4519" s="4561" t="n"/>
    </row>
    <row r="4520">
      <c r="A4520" s="4561" t="n"/>
      <c r="B4520" s="4561" t="n"/>
      <c r="C4520" s="4561" t="n"/>
      <c r="D4520" s="4561" t="n"/>
      <c r="E4520" s="4561" t="n"/>
      <c r="F4520" s="4561" t="n"/>
    </row>
    <row r="4521">
      <c r="A4521" s="4561" t="n"/>
      <c r="B4521" s="4561" t="n"/>
      <c r="C4521" s="4561" t="n"/>
      <c r="D4521" s="4561" t="n"/>
      <c r="E4521" s="4561" t="n"/>
      <c r="F4521" s="4561" t="n"/>
    </row>
    <row r="4522">
      <c r="A4522" s="4561" t="n"/>
      <c r="B4522" s="4561" t="n"/>
      <c r="C4522" s="4561" t="n"/>
      <c r="D4522" s="4561" t="n"/>
      <c r="E4522" s="4561" t="n"/>
      <c r="F4522" s="4561" t="n"/>
    </row>
    <row r="4523">
      <c r="A4523" s="4561" t="n"/>
      <c r="B4523" s="4561" t="n"/>
      <c r="C4523" s="4561" t="n"/>
      <c r="D4523" s="4561" t="n"/>
      <c r="E4523" s="4561" t="n"/>
      <c r="F4523" s="4561" t="n"/>
    </row>
    <row r="4524">
      <c r="A4524" s="4561" t="n"/>
      <c r="B4524" s="4561" t="n"/>
      <c r="C4524" s="4561" t="n"/>
      <c r="D4524" s="4561" t="n"/>
      <c r="E4524" s="4561" t="n"/>
      <c r="F4524" s="4561" t="n"/>
    </row>
    <row r="4525">
      <c r="A4525" s="4561" t="n"/>
      <c r="B4525" s="4561" t="n"/>
      <c r="C4525" s="4561" t="n"/>
      <c r="D4525" s="4561" t="n"/>
      <c r="E4525" s="4561" t="n"/>
      <c r="F4525" s="4561" t="n"/>
    </row>
    <row r="4526">
      <c r="A4526" s="4561" t="n"/>
      <c r="B4526" s="4561" t="n"/>
      <c r="C4526" s="4561" t="n"/>
      <c r="D4526" s="4561" t="n"/>
      <c r="E4526" s="4561" t="n"/>
      <c r="F4526" s="4561" t="n"/>
    </row>
    <row r="4527">
      <c r="A4527" s="4561" t="n"/>
      <c r="B4527" s="4561" t="n"/>
      <c r="C4527" s="4561" t="n"/>
      <c r="D4527" s="4561" t="n"/>
      <c r="E4527" s="4561" t="n"/>
      <c r="F4527" s="4561" t="n"/>
    </row>
    <row r="4528">
      <c r="A4528" s="4561" t="n"/>
      <c r="B4528" s="4561" t="n"/>
      <c r="C4528" s="4561" t="n"/>
      <c r="D4528" s="4561" t="n"/>
      <c r="E4528" s="4561" t="n"/>
      <c r="F4528" s="4561" t="n"/>
    </row>
    <row r="4529">
      <c r="A4529" s="4561" t="n"/>
      <c r="B4529" s="4561" t="n"/>
      <c r="C4529" s="4561" t="n"/>
      <c r="D4529" s="4561" t="n"/>
      <c r="E4529" s="4561" t="n"/>
      <c r="F4529" s="4561" t="n"/>
    </row>
    <row r="4530">
      <c r="A4530" s="4561" t="n"/>
      <c r="B4530" s="4561" t="n"/>
      <c r="C4530" s="4561" t="n"/>
      <c r="D4530" s="4561" t="n"/>
      <c r="E4530" s="4561" t="n"/>
      <c r="F4530" s="4561" t="n"/>
    </row>
    <row r="4531">
      <c r="A4531" s="4561" t="n"/>
      <c r="B4531" s="4561" t="n"/>
      <c r="C4531" s="4561" t="n"/>
      <c r="D4531" s="4561" t="n"/>
      <c r="E4531" s="4561" t="n"/>
      <c r="F4531" s="4561" t="n"/>
    </row>
    <row r="4532">
      <c r="A4532" s="4561" t="n"/>
      <c r="B4532" s="4561" t="n"/>
      <c r="C4532" s="4561" t="n"/>
      <c r="D4532" s="4561" t="n"/>
      <c r="E4532" s="4561" t="n"/>
      <c r="F4532" s="4561" t="n"/>
    </row>
    <row r="4533">
      <c r="A4533" s="4561" t="n"/>
      <c r="B4533" s="4561" t="n"/>
      <c r="C4533" s="4561" t="n"/>
      <c r="D4533" s="4561" t="n"/>
      <c r="E4533" s="4561" t="n"/>
      <c r="F4533" s="4561" t="n"/>
    </row>
    <row r="4534">
      <c r="A4534" s="4561" t="n"/>
      <c r="B4534" s="4561" t="n"/>
      <c r="C4534" s="4561" t="n"/>
      <c r="D4534" s="4561" t="n"/>
      <c r="E4534" s="4561" t="n"/>
      <c r="F4534" s="4561" t="n"/>
    </row>
    <row r="4535">
      <c r="A4535" s="4561" t="n"/>
      <c r="B4535" s="4561" t="n"/>
      <c r="C4535" s="4561" t="n"/>
      <c r="D4535" s="4561" t="n"/>
      <c r="E4535" s="4561" t="n"/>
      <c r="F4535" s="4561" t="n"/>
    </row>
    <row r="4536">
      <c r="A4536" s="4561" t="n"/>
      <c r="B4536" s="4561" t="n"/>
      <c r="C4536" s="4561" t="n"/>
      <c r="D4536" s="4561" t="n"/>
      <c r="E4536" s="4561" t="n"/>
      <c r="F4536" s="4561" t="n"/>
    </row>
    <row r="4537">
      <c r="A4537" s="4561" t="n"/>
      <c r="B4537" s="4561" t="n"/>
      <c r="C4537" s="4561" t="n"/>
      <c r="D4537" s="4561" t="n"/>
      <c r="E4537" s="4561" t="n"/>
      <c r="F4537" s="4561" t="n"/>
    </row>
    <row r="4538">
      <c r="A4538" s="4561" t="n"/>
      <c r="B4538" s="4561" t="n"/>
      <c r="C4538" s="4561" t="n"/>
      <c r="D4538" s="4561" t="n"/>
      <c r="E4538" s="4561" t="n"/>
      <c r="F4538" s="4561" t="n"/>
    </row>
    <row r="4539">
      <c r="A4539" s="4561" t="n"/>
      <c r="B4539" s="4561" t="n"/>
      <c r="C4539" s="4561" t="n"/>
      <c r="D4539" s="4561" t="n"/>
      <c r="E4539" s="4561" t="n"/>
      <c r="F4539" s="4561" t="n"/>
    </row>
    <row r="4540">
      <c r="A4540" s="4561" t="n"/>
      <c r="B4540" s="4561" t="n"/>
      <c r="C4540" s="4561" t="n"/>
      <c r="D4540" s="4561" t="n"/>
      <c r="E4540" s="4561" t="n"/>
      <c r="F4540" s="4561" t="n"/>
    </row>
    <row r="4541">
      <c r="A4541" s="4561" t="n"/>
      <c r="B4541" s="4561" t="n"/>
      <c r="C4541" s="4561" t="n"/>
      <c r="D4541" s="4561" t="n"/>
      <c r="E4541" s="4561" t="n"/>
      <c r="F4541" s="4561" t="n"/>
    </row>
    <row r="4542">
      <c r="A4542" s="4561" t="n"/>
      <c r="B4542" s="4561" t="n"/>
      <c r="C4542" s="4561" t="n"/>
      <c r="D4542" s="4561" t="n"/>
      <c r="E4542" s="4561" t="n"/>
      <c r="F4542" s="4561" t="n"/>
    </row>
    <row r="4543">
      <c r="A4543" s="4561" t="n"/>
      <c r="B4543" s="4561" t="n"/>
      <c r="C4543" s="4561" t="n"/>
      <c r="D4543" s="4561" t="n"/>
      <c r="E4543" s="4561" t="n"/>
      <c r="F4543" s="4561" t="n"/>
    </row>
    <row r="4544">
      <c r="A4544" s="4561" t="n"/>
      <c r="B4544" s="4561" t="n"/>
      <c r="C4544" s="4561" t="n"/>
      <c r="D4544" s="4561" t="n"/>
      <c r="E4544" s="4561" t="n"/>
      <c r="F4544" s="4561" t="n"/>
    </row>
    <row r="4545">
      <c r="A4545" s="4561" t="n"/>
      <c r="B4545" s="4561" t="n"/>
      <c r="C4545" s="4561" t="n"/>
      <c r="D4545" s="4561" t="n"/>
      <c r="E4545" s="4561" t="n"/>
      <c r="F4545" s="4561" t="n"/>
    </row>
    <row r="4546">
      <c r="A4546" s="4561" t="n"/>
      <c r="B4546" s="4561" t="n"/>
      <c r="C4546" s="4561" t="n"/>
      <c r="D4546" s="4561" t="n"/>
      <c r="E4546" s="4561" t="n"/>
      <c r="F4546" s="4561" t="n"/>
    </row>
    <row r="4547">
      <c r="A4547" s="4561" t="n"/>
      <c r="B4547" s="4561" t="n"/>
      <c r="C4547" s="4561" t="n"/>
      <c r="D4547" s="4561" t="n"/>
      <c r="E4547" s="4561" t="n"/>
      <c r="F4547" s="4561" t="n"/>
    </row>
    <row r="4548">
      <c r="A4548" s="4561" t="n"/>
      <c r="B4548" s="4561" t="n"/>
      <c r="C4548" s="4561" t="n"/>
      <c r="D4548" s="4561" t="n"/>
      <c r="E4548" s="4561" t="n"/>
      <c r="F4548" s="4561" t="n"/>
    </row>
    <row r="4549">
      <c r="A4549" s="4561" t="n"/>
      <c r="B4549" s="4561" t="n"/>
      <c r="C4549" s="4561" t="n"/>
      <c r="D4549" s="4561" t="n"/>
      <c r="E4549" s="4561" t="n"/>
      <c r="F4549" s="4561" t="n"/>
    </row>
    <row r="4550">
      <c r="A4550" s="4561" t="n"/>
      <c r="B4550" s="4561" t="n"/>
      <c r="C4550" s="4561" t="n"/>
      <c r="D4550" s="4561" t="n"/>
      <c r="E4550" s="4561" t="n"/>
      <c r="F4550" s="4561" t="n"/>
    </row>
    <row r="4551">
      <c r="A4551" s="4561" t="n"/>
      <c r="B4551" s="4561" t="n"/>
      <c r="C4551" s="4561" t="n"/>
      <c r="D4551" s="4561" t="n"/>
      <c r="E4551" s="4561" t="n"/>
      <c r="F4551" s="4561" t="n"/>
    </row>
    <row r="4552">
      <c r="A4552" s="4561" t="n"/>
      <c r="B4552" s="4561" t="n"/>
      <c r="C4552" s="4561" t="n"/>
      <c r="D4552" s="4561" t="n"/>
      <c r="E4552" s="4561" t="n"/>
      <c r="F4552" s="4561" t="n"/>
    </row>
    <row r="4553">
      <c r="A4553" s="4561" t="n"/>
      <c r="B4553" s="4561" t="n"/>
      <c r="C4553" s="4561" t="n"/>
      <c r="D4553" s="4561" t="n"/>
      <c r="E4553" s="4561" t="n"/>
      <c r="F4553" s="4561" t="n"/>
    </row>
    <row r="4554">
      <c r="A4554" s="4561" t="n"/>
      <c r="B4554" s="4561" t="n"/>
      <c r="C4554" s="4561" t="n"/>
      <c r="D4554" s="4561" t="n"/>
      <c r="E4554" s="4561" t="n"/>
      <c r="F4554" s="4561" t="n"/>
    </row>
    <row r="4555">
      <c r="A4555" s="4561" t="n"/>
      <c r="B4555" s="4561" t="n"/>
      <c r="C4555" s="4561" t="n"/>
      <c r="D4555" s="4561" t="n"/>
      <c r="E4555" s="4561" t="n"/>
      <c r="F4555" s="4561" t="n"/>
    </row>
    <row r="4556">
      <c r="A4556" s="4561" t="n"/>
      <c r="B4556" s="4561" t="n"/>
      <c r="C4556" s="4561" t="n"/>
      <c r="D4556" s="4561" t="n"/>
      <c r="E4556" s="4561" t="n"/>
      <c r="F4556" s="4561" t="n"/>
    </row>
    <row r="4557">
      <c r="A4557" s="4561" t="n"/>
      <c r="B4557" s="4561" t="n"/>
      <c r="C4557" s="4561" t="n"/>
      <c r="D4557" s="4561" t="n"/>
      <c r="E4557" s="4561" t="n"/>
      <c r="F4557" s="4561" t="n"/>
    </row>
    <row r="4558">
      <c r="A4558" s="4561" t="n"/>
      <c r="B4558" s="4561" t="n"/>
      <c r="C4558" s="4561" t="n"/>
      <c r="D4558" s="4561" t="n"/>
      <c r="E4558" s="4561" t="n"/>
      <c r="F4558" s="4561" t="n"/>
    </row>
    <row r="4559">
      <c r="A4559" s="4561" t="n"/>
      <c r="B4559" s="4561" t="n"/>
      <c r="C4559" s="4561" t="n"/>
      <c r="D4559" s="4561" t="n"/>
      <c r="E4559" s="4561" t="n"/>
      <c r="F4559" s="4561" t="n"/>
    </row>
    <row r="4560">
      <c r="A4560" s="4561" t="n"/>
      <c r="B4560" s="4561" t="n"/>
      <c r="C4560" s="4561" t="n"/>
      <c r="D4560" s="4561" t="n"/>
      <c r="E4560" s="4561" t="n"/>
      <c r="F4560" s="4561" t="n"/>
    </row>
    <row r="4561">
      <c r="A4561" s="4561" t="n"/>
      <c r="B4561" s="4561" t="n"/>
      <c r="C4561" s="4561" t="n"/>
      <c r="D4561" s="4561" t="n"/>
      <c r="E4561" s="4561" t="n"/>
      <c r="F4561" s="4561" t="n"/>
    </row>
    <row r="4562">
      <c r="A4562" s="4561" t="n"/>
      <c r="B4562" s="4561" t="n"/>
      <c r="C4562" s="4561" t="n"/>
      <c r="D4562" s="4561" t="n"/>
      <c r="E4562" s="4561" t="n"/>
      <c r="F4562" s="4561" t="n"/>
    </row>
    <row r="4563">
      <c r="A4563" s="4561" t="n"/>
      <c r="B4563" s="4561" t="n"/>
      <c r="C4563" s="4561" t="n"/>
      <c r="D4563" s="4561" t="n"/>
      <c r="E4563" s="4561" t="n"/>
      <c r="F4563" s="4561" t="n"/>
    </row>
    <row r="4564">
      <c r="A4564" s="4561" t="n"/>
      <c r="B4564" s="4561" t="n"/>
      <c r="C4564" s="4561" t="n"/>
      <c r="D4564" s="4561" t="n"/>
      <c r="E4564" s="4561" t="n"/>
      <c r="F4564" s="4561" t="n"/>
    </row>
    <row r="4565">
      <c r="A4565" s="4561" t="n"/>
      <c r="B4565" s="4561" t="n"/>
      <c r="C4565" s="4561" t="n"/>
      <c r="D4565" s="4561" t="n"/>
      <c r="E4565" s="4561" t="n"/>
      <c r="F4565" s="4561" t="n"/>
    </row>
    <row r="4566">
      <c r="A4566" s="4561" t="n"/>
      <c r="B4566" s="4561" t="n"/>
      <c r="C4566" s="4561" t="n"/>
      <c r="D4566" s="4561" t="n"/>
      <c r="E4566" s="4561" t="n"/>
      <c r="F4566" s="4561" t="n"/>
    </row>
    <row r="4567">
      <c r="A4567" s="4561" t="n"/>
      <c r="B4567" s="4561" t="n"/>
      <c r="C4567" s="4561" t="n"/>
      <c r="D4567" s="4561" t="n"/>
      <c r="E4567" s="4561" t="n"/>
      <c r="F4567" s="4561" t="n"/>
    </row>
    <row r="4568">
      <c r="A4568" s="4561" t="n"/>
      <c r="B4568" s="4561" t="n"/>
      <c r="C4568" s="4561" t="n"/>
      <c r="D4568" s="4561" t="n"/>
      <c r="E4568" s="4561" t="n"/>
      <c r="F4568" s="4561" t="n"/>
    </row>
    <row r="4569">
      <c r="A4569" s="4561" t="n"/>
      <c r="B4569" s="4561" t="n"/>
      <c r="C4569" s="4561" t="n"/>
      <c r="D4569" s="4561" t="n"/>
      <c r="E4569" s="4561" t="n"/>
      <c r="F4569" s="4561" t="n"/>
    </row>
    <row r="4570">
      <c r="A4570" s="4561" t="n"/>
      <c r="B4570" s="4561" t="n"/>
      <c r="C4570" s="4561" t="n"/>
      <c r="D4570" s="4561" t="n"/>
      <c r="E4570" s="4561" t="n"/>
      <c r="F4570" s="4561" t="n"/>
    </row>
    <row r="4571">
      <c r="A4571" s="4561" t="n"/>
      <c r="B4571" s="4561" t="n"/>
      <c r="C4571" s="4561" t="n"/>
      <c r="D4571" s="4561" t="n"/>
      <c r="E4571" s="4561" t="n"/>
      <c r="F4571" s="4561" t="n"/>
    </row>
    <row r="4572">
      <c r="A4572" s="4561" t="n"/>
      <c r="B4572" s="4561" t="n"/>
      <c r="C4572" s="4561" t="n"/>
      <c r="D4572" s="4561" t="n"/>
      <c r="E4572" s="4561" t="n"/>
      <c r="F4572" s="4561" t="n"/>
    </row>
    <row r="4573">
      <c r="A4573" s="4561" t="n"/>
      <c r="B4573" s="4561" t="n"/>
      <c r="C4573" s="4561" t="n"/>
      <c r="D4573" s="4561" t="n"/>
      <c r="E4573" s="4561" t="n"/>
      <c r="F4573" s="4561" t="n"/>
    </row>
    <row r="4574">
      <c r="A4574" s="4561" t="n"/>
      <c r="B4574" s="4561" t="n"/>
      <c r="C4574" s="4561" t="n"/>
      <c r="D4574" s="4561" t="n"/>
      <c r="E4574" s="4561" t="n"/>
      <c r="F4574" s="4561" t="n"/>
    </row>
    <row r="4575">
      <c r="A4575" s="4561" t="n"/>
      <c r="B4575" s="4561" t="n"/>
      <c r="C4575" s="4561" t="n"/>
      <c r="D4575" s="4561" t="n"/>
      <c r="E4575" s="4561" t="n"/>
      <c r="F4575" s="4561" t="n"/>
    </row>
    <row r="4576">
      <c r="A4576" s="4561" t="n"/>
      <c r="B4576" s="4561" t="n"/>
      <c r="C4576" s="4561" t="n"/>
      <c r="D4576" s="4561" t="n"/>
      <c r="E4576" s="4561" t="n"/>
      <c r="F4576" s="4561" t="n"/>
    </row>
    <row r="4577">
      <c r="A4577" s="4561" t="n"/>
      <c r="B4577" s="4561" t="n"/>
      <c r="C4577" s="4561" t="n"/>
      <c r="D4577" s="4561" t="n"/>
      <c r="E4577" s="4561" t="n"/>
      <c r="F4577" s="4561" t="n"/>
    </row>
    <row r="4578">
      <c r="A4578" s="4561" t="n"/>
      <c r="B4578" s="4561" t="n"/>
      <c r="C4578" s="4561" t="n"/>
      <c r="D4578" s="4561" t="n"/>
      <c r="E4578" s="4561" t="n"/>
      <c r="F4578" s="4561" t="n"/>
    </row>
    <row r="4579">
      <c r="A4579" s="4561" t="n"/>
      <c r="B4579" s="4561" t="n"/>
      <c r="C4579" s="4561" t="n"/>
      <c r="D4579" s="4561" t="n"/>
      <c r="E4579" s="4561" t="n"/>
      <c r="F4579" s="4561" t="n"/>
    </row>
    <row r="4580">
      <c r="A4580" s="4561" t="n"/>
      <c r="B4580" s="4561" t="n"/>
      <c r="C4580" s="4561" t="n"/>
      <c r="D4580" s="4561" t="n"/>
      <c r="E4580" s="4561" t="n"/>
      <c r="F4580" s="4561" t="n"/>
    </row>
    <row r="4581">
      <c r="A4581" s="4561" t="n"/>
      <c r="B4581" s="4561" t="n"/>
      <c r="C4581" s="4561" t="n"/>
      <c r="D4581" s="4561" t="n"/>
      <c r="E4581" s="4561" t="n"/>
      <c r="F4581" s="4561" t="n"/>
    </row>
    <row r="4582">
      <c r="A4582" s="4561" t="n"/>
      <c r="B4582" s="4561" t="n"/>
      <c r="C4582" s="4561" t="n"/>
      <c r="D4582" s="4561" t="n"/>
      <c r="E4582" s="4561" t="n"/>
      <c r="F4582" s="4561" t="n"/>
    </row>
    <row r="4583">
      <c r="A4583" s="4561" t="n"/>
      <c r="B4583" s="4561" t="n"/>
      <c r="C4583" s="4561" t="n"/>
      <c r="D4583" s="4561" t="n"/>
      <c r="E4583" s="4561" t="n"/>
      <c r="F4583" s="4561" t="n"/>
    </row>
    <row r="4584">
      <c r="A4584" s="4561" t="n"/>
      <c r="B4584" s="4561" t="n"/>
      <c r="C4584" s="4561" t="n"/>
      <c r="D4584" s="4561" t="n"/>
      <c r="E4584" s="4561" t="n"/>
      <c r="F4584" s="4561" t="n"/>
    </row>
    <row r="4585">
      <c r="A4585" s="4561" t="n"/>
      <c r="B4585" s="4561" t="n"/>
      <c r="C4585" s="4561" t="n"/>
      <c r="D4585" s="4561" t="n"/>
      <c r="E4585" s="4561" t="n"/>
      <c r="F4585" s="4561" t="n"/>
    </row>
    <row r="4586">
      <c r="A4586" s="4561" t="n"/>
      <c r="B4586" s="4561" t="n"/>
      <c r="C4586" s="4561" t="n"/>
      <c r="D4586" s="4561" t="n"/>
      <c r="E4586" s="4561" t="n"/>
      <c r="F4586" s="4561" t="n"/>
    </row>
    <row r="4587">
      <c r="A4587" s="4561" t="n"/>
      <c r="B4587" s="4561" t="n"/>
      <c r="C4587" s="4561" t="n"/>
      <c r="D4587" s="4561" t="n"/>
      <c r="E4587" s="4561" t="n"/>
      <c r="F4587" s="4561" t="n"/>
    </row>
    <row r="4588">
      <c r="A4588" s="4561" t="n"/>
      <c r="B4588" s="4561" t="n"/>
      <c r="C4588" s="4561" t="n"/>
      <c r="D4588" s="4561" t="n"/>
      <c r="E4588" s="4561" t="n"/>
      <c r="F4588" s="4561" t="n"/>
    </row>
    <row r="4589">
      <c r="A4589" s="4561" t="n"/>
      <c r="B4589" s="4561" t="n"/>
      <c r="C4589" s="4561" t="n"/>
      <c r="D4589" s="4561" t="n"/>
      <c r="E4589" s="4561" t="n"/>
      <c r="F4589" s="4561" t="n"/>
    </row>
    <row r="4590">
      <c r="A4590" s="4561" t="n"/>
      <c r="B4590" s="4561" t="n"/>
      <c r="C4590" s="4561" t="n"/>
      <c r="D4590" s="4561" t="n"/>
      <c r="E4590" s="4561" t="n"/>
      <c r="F4590" s="4561" t="n"/>
    </row>
    <row r="4591">
      <c r="A4591" s="4561" t="n"/>
      <c r="B4591" s="4561" t="n"/>
      <c r="C4591" s="4561" t="n"/>
      <c r="D4591" s="4561" t="n"/>
      <c r="E4591" s="4561" t="n"/>
      <c r="F4591" s="4561" t="n"/>
    </row>
    <row r="4592">
      <c r="A4592" s="4561" t="n"/>
      <c r="B4592" s="4561" t="n"/>
      <c r="C4592" s="4561" t="n"/>
      <c r="D4592" s="4561" t="n"/>
      <c r="E4592" s="4561" t="n"/>
      <c r="F4592" s="4561" t="n"/>
    </row>
    <row r="4593">
      <c r="A4593" s="4561" t="n"/>
      <c r="B4593" s="4561" t="n"/>
      <c r="C4593" s="4561" t="n"/>
      <c r="D4593" s="4561" t="n"/>
      <c r="E4593" s="4561" t="n"/>
      <c r="F4593" s="4561" t="n"/>
    </row>
    <row r="4594">
      <c r="A4594" s="4561" t="n"/>
      <c r="B4594" s="4561" t="n"/>
      <c r="C4594" s="4561" t="n"/>
      <c r="D4594" s="4561" t="n"/>
      <c r="E4594" s="4561" t="n"/>
      <c r="F4594" s="4561" t="n"/>
    </row>
    <row r="4595">
      <c r="A4595" s="4561" t="n"/>
      <c r="B4595" s="4561" t="n"/>
      <c r="C4595" s="4561" t="n"/>
      <c r="D4595" s="4561" t="n"/>
      <c r="E4595" s="4561" t="n"/>
      <c r="F4595" s="4561" t="n"/>
    </row>
    <row r="4596">
      <c r="A4596" s="4561" t="n"/>
      <c r="B4596" s="4561" t="n"/>
      <c r="C4596" s="4561" t="n"/>
      <c r="D4596" s="4561" t="n"/>
      <c r="E4596" s="4561" t="n"/>
      <c r="F4596" s="4561" t="n"/>
    </row>
    <row r="4597">
      <c r="A4597" s="4561" t="n"/>
      <c r="B4597" s="4561" t="n"/>
      <c r="C4597" s="4561" t="n"/>
      <c r="D4597" s="4561" t="n"/>
      <c r="E4597" s="4561" t="n"/>
      <c r="F4597" s="4561" t="n"/>
    </row>
    <row r="4598">
      <c r="A4598" s="4561" t="n"/>
      <c r="B4598" s="4561" t="n"/>
      <c r="C4598" s="4561" t="n"/>
      <c r="D4598" s="4561" t="n"/>
      <c r="E4598" s="4561" t="n"/>
      <c r="F4598" s="4561" t="n"/>
    </row>
    <row r="4599">
      <c r="A4599" s="4561" t="n"/>
      <c r="B4599" s="4561" t="n"/>
      <c r="C4599" s="4561" t="n"/>
      <c r="D4599" s="4561" t="n"/>
      <c r="E4599" s="4561" t="n"/>
      <c r="F4599" s="4561" t="n"/>
    </row>
    <row r="4600">
      <c r="A4600" s="4561" t="n"/>
      <c r="B4600" s="4561" t="n"/>
      <c r="C4600" s="4561" t="n"/>
      <c r="D4600" s="4561" t="n"/>
      <c r="E4600" s="4561" t="n"/>
      <c r="F4600" s="4561" t="n"/>
    </row>
    <row r="4601">
      <c r="A4601" s="4561" t="n"/>
      <c r="B4601" s="4561" t="n"/>
      <c r="C4601" s="4561" t="n"/>
      <c r="D4601" s="4561" t="n"/>
      <c r="E4601" s="4561" t="n"/>
      <c r="F4601" s="4561" t="n"/>
    </row>
    <row r="4602">
      <c r="A4602" s="4561" t="n"/>
      <c r="B4602" s="4561" t="n"/>
      <c r="C4602" s="4561" t="n"/>
      <c r="D4602" s="4561" t="n"/>
      <c r="E4602" s="4561" t="n"/>
      <c r="F4602" s="4561" t="n"/>
    </row>
    <row r="4603">
      <c r="A4603" s="4561" t="n"/>
      <c r="B4603" s="4561" t="n"/>
      <c r="C4603" s="4561" t="n"/>
      <c r="D4603" s="4561" t="n"/>
      <c r="E4603" s="4561" t="n"/>
      <c r="F4603" s="4561" t="n"/>
    </row>
    <row r="4604">
      <c r="A4604" s="4561" t="n"/>
      <c r="B4604" s="4561" t="n"/>
      <c r="C4604" s="4561" t="n"/>
      <c r="D4604" s="4561" t="n"/>
      <c r="E4604" s="4561" t="n"/>
      <c r="F4604" s="4561" t="n"/>
    </row>
    <row r="4605">
      <c r="A4605" s="4561" t="n"/>
      <c r="B4605" s="4561" t="n"/>
      <c r="C4605" s="4561" t="n"/>
      <c r="D4605" s="4561" t="n"/>
      <c r="E4605" s="4561" t="n"/>
      <c r="F4605" s="4561" t="n"/>
    </row>
    <row r="4606">
      <c r="A4606" s="4561" t="n"/>
      <c r="B4606" s="4561" t="n"/>
      <c r="C4606" s="4561" t="n"/>
      <c r="D4606" s="4561" t="n"/>
      <c r="E4606" s="4561" t="n"/>
      <c r="F4606" s="4561" t="n"/>
    </row>
    <row r="4607">
      <c r="A4607" s="4561" t="n"/>
      <c r="B4607" s="4561" t="n"/>
      <c r="C4607" s="4561" t="n"/>
      <c r="D4607" s="4561" t="n"/>
      <c r="E4607" s="4561" t="n"/>
      <c r="F4607" s="4561" t="n"/>
    </row>
    <row r="4608">
      <c r="A4608" s="4561" t="n"/>
      <c r="B4608" s="4561" t="n"/>
      <c r="C4608" s="4561" t="n"/>
      <c r="D4608" s="4561" t="n"/>
      <c r="E4608" s="4561" t="n"/>
      <c r="F4608" s="4561" t="n"/>
    </row>
    <row r="4609">
      <c r="A4609" s="4561" t="n"/>
      <c r="B4609" s="4561" t="n"/>
      <c r="C4609" s="4561" t="n"/>
      <c r="D4609" s="4561" t="n"/>
      <c r="E4609" s="4561" t="n"/>
      <c r="F4609" s="4561" t="n"/>
    </row>
    <row r="4610">
      <c r="A4610" s="4561" t="n"/>
      <c r="B4610" s="4561" t="n"/>
      <c r="C4610" s="4561" t="n"/>
      <c r="D4610" s="4561" t="n"/>
      <c r="E4610" s="4561" t="n"/>
      <c r="F4610" s="4561" t="n"/>
    </row>
    <row r="4611">
      <c r="A4611" s="4561" t="n"/>
      <c r="B4611" s="4561" t="n"/>
      <c r="C4611" s="4561" t="n"/>
      <c r="D4611" s="4561" t="n"/>
      <c r="E4611" s="4561" t="n"/>
      <c r="F4611" s="4561" t="n"/>
    </row>
    <row r="4612">
      <c r="A4612" s="4561" t="n"/>
      <c r="B4612" s="4561" t="n"/>
      <c r="C4612" s="4561" t="n"/>
      <c r="D4612" s="4561" t="n"/>
      <c r="E4612" s="4561" t="n"/>
      <c r="F4612" s="4561" t="n"/>
    </row>
    <row r="4613">
      <c r="A4613" s="4561" t="n"/>
      <c r="B4613" s="4561" t="n"/>
      <c r="C4613" s="4561" t="n"/>
      <c r="D4613" s="4561" t="n"/>
      <c r="E4613" s="4561" t="n"/>
      <c r="F4613" s="4561" t="n"/>
    </row>
    <row r="4614">
      <c r="A4614" s="4561" t="n"/>
      <c r="B4614" s="4561" t="n"/>
      <c r="C4614" s="4561" t="n"/>
      <c r="D4614" s="4561" t="n"/>
      <c r="E4614" s="4561" t="n"/>
      <c r="F4614" s="4561" t="n"/>
    </row>
    <row r="4615">
      <c r="A4615" s="4561" t="n"/>
      <c r="B4615" s="4561" t="n"/>
      <c r="C4615" s="4561" t="n"/>
      <c r="D4615" s="4561" t="n"/>
      <c r="E4615" s="4561" t="n"/>
      <c r="F4615" s="4561" t="n"/>
    </row>
    <row r="4616">
      <c r="A4616" s="4561" t="n"/>
      <c r="B4616" s="4561" t="n"/>
      <c r="C4616" s="4561" t="n"/>
      <c r="D4616" s="4561" t="n"/>
      <c r="E4616" s="4561" t="n"/>
      <c r="F4616" s="4561" t="n"/>
    </row>
    <row r="4617">
      <c r="A4617" s="4561" t="n"/>
      <c r="B4617" s="4561" t="n"/>
      <c r="C4617" s="4561" t="n"/>
      <c r="D4617" s="4561" t="n"/>
      <c r="E4617" s="4561" t="n"/>
      <c r="F4617" s="4561" t="n"/>
    </row>
    <row r="4618">
      <c r="A4618" s="4561" t="n"/>
      <c r="B4618" s="4561" t="n"/>
      <c r="C4618" s="4561" t="n"/>
      <c r="D4618" s="4561" t="n"/>
      <c r="E4618" s="4561" t="n"/>
      <c r="F4618" s="4561" t="n"/>
    </row>
    <row r="4619">
      <c r="A4619" s="4561" t="n"/>
      <c r="B4619" s="4561" t="n"/>
      <c r="C4619" s="4561" t="n"/>
      <c r="D4619" s="4561" t="n"/>
      <c r="E4619" s="4561" t="n"/>
      <c r="F4619" s="4561" t="n"/>
    </row>
    <row r="4620">
      <c r="A4620" s="4561" t="n"/>
      <c r="B4620" s="4561" t="n"/>
      <c r="C4620" s="4561" t="n"/>
      <c r="D4620" s="4561" t="n"/>
      <c r="E4620" s="4561" t="n"/>
      <c r="F4620" s="4561" t="n"/>
    </row>
    <row r="4621">
      <c r="A4621" s="4561" t="n"/>
      <c r="B4621" s="4561" t="n"/>
      <c r="C4621" s="4561" t="n"/>
      <c r="D4621" s="4561" t="n"/>
      <c r="E4621" s="4561" t="n"/>
      <c r="F4621" s="4561" t="n"/>
    </row>
    <row r="4622">
      <c r="A4622" s="4561" t="n"/>
      <c r="B4622" s="4561" t="n"/>
      <c r="C4622" s="4561" t="n"/>
      <c r="D4622" s="4561" t="n"/>
      <c r="E4622" s="4561" t="n"/>
      <c r="F4622" s="4561" t="n"/>
    </row>
    <row r="4623">
      <c r="A4623" s="4561" t="n"/>
      <c r="B4623" s="4561" t="n"/>
      <c r="C4623" s="4561" t="n"/>
      <c r="D4623" s="4561" t="n"/>
      <c r="E4623" s="4561" t="n"/>
      <c r="F4623" s="4561" t="n"/>
    </row>
    <row r="4624">
      <c r="A4624" s="4561" t="n"/>
      <c r="B4624" s="4561" t="n"/>
      <c r="C4624" s="4561" t="n"/>
      <c r="D4624" s="4561" t="n"/>
      <c r="E4624" s="4561" t="n"/>
      <c r="F4624" s="4561" t="n"/>
    </row>
    <row r="4625">
      <c r="A4625" s="4561" t="n"/>
      <c r="B4625" s="4561" t="n"/>
      <c r="C4625" s="4561" t="n"/>
      <c r="D4625" s="4561" t="n"/>
      <c r="E4625" s="4561" t="n"/>
      <c r="F4625" s="4561" t="n"/>
    </row>
    <row r="4626">
      <c r="A4626" s="4561" t="n"/>
      <c r="B4626" s="4561" t="n"/>
      <c r="C4626" s="4561" t="n"/>
      <c r="D4626" s="4561" t="n"/>
      <c r="E4626" s="4561" t="n"/>
      <c r="F4626" s="4561" t="n"/>
    </row>
    <row r="4627">
      <c r="A4627" s="4561" t="n"/>
      <c r="B4627" s="4561" t="n"/>
      <c r="C4627" s="4561" t="n"/>
      <c r="D4627" s="4561" t="n"/>
      <c r="E4627" s="4561" t="n"/>
      <c r="F4627" s="4561" t="n"/>
    </row>
    <row r="4628">
      <c r="A4628" s="4561" t="n"/>
      <c r="B4628" s="4561" t="n"/>
      <c r="C4628" s="4561" t="n"/>
      <c r="D4628" s="4561" t="n"/>
      <c r="E4628" s="4561" t="n"/>
      <c r="F4628" s="4561" t="n"/>
    </row>
    <row r="4629">
      <c r="A4629" s="4561" t="n"/>
      <c r="B4629" s="4561" t="n"/>
      <c r="C4629" s="4561" t="n"/>
      <c r="D4629" s="4561" t="n"/>
      <c r="E4629" s="4561" t="n"/>
      <c r="F4629" s="4561" t="n"/>
    </row>
    <row r="4630">
      <c r="A4630" s="4561" t="n"/>
      <c r="B4630" s="4561" t="n"/>
      <c r="C4630" s="4561" t="n"/>
      <c r="D4630" s="4561" t="n"/>
      <c r="E4630" s="4561" t="n"/>
      <c r="F4630" s="4561" t="n"/>
    </row>
    <row r="4631">
      <c r="A4631" s="4561" t="n"/>
      <c r="B4631" s="4561" t="n"/>
      <c r="C4631" s="4561" t="n"/>
      <c r="D4631" s="4561" t="n"/>
      <c r="E4631" s="4561" t="n"/>
      <c r="F4631" s="4561" t="n"/>
    </row>
    <row r="4632">
      <c r="A4632" s="4561" t="n"/>
      <c r="B4632" s="4561" t="n"/>
      <c r="C4632" s="4561" t="n"/>
      <c r="D4632" s="4561" t="n"/>
      <c r="E4632" s="4561" t="n"/>
      <c r="F4632" s="4561" t="n"/>
    </row>
    <row r="4633">
      <c r="A4633" s="4561" t="n"/>
      <c r="B4633" s="4561" t="n"/>
      <c r="C4633" s="4561" t="n"/>
      <c r="D4633" s="4561" t="n"/>
      <c r="E4633" s="4561" t="n"/>
      <c r="F4633" s="4561" t="n"/>
    </row>
    <row r="4634">
      <c r="A4634" s="4561" t="n"/>
      <c r="B4634" s="4561" t="n"/>
      <c r="C4634" s="4561" t="n"/>
      <c r="D4634" s="4561" t="n"/>
      <c r="E4634" s="4561" t="n"/>
      <c r="F4634" s="4561" t="n"/>
    </row>
    <row r="4635">
      <c r="A4635" s="4561" t="n"/>
      <c r="B4635" s="4561" t="n"/>
      <c r="C4635" s="4561" t="n"/>
      <c r="D4635" s="4561" t="n"/>
      <c r="E4635" s="4561" t="n"/>
      <c r="F4635" s="4561" t="n"/>
    </row>
    <row r="4636">
      <c r="A4636" s="4561" t="n"/>
      <c r="B4636" s="4561" t="n"/>
      <c r="C4636" s="4561" t="n"/>
      <c r="D4636" s="4561" t="n"/>
      <c r="E4636" s="4561" t="n"/>
      <c r="F4636" s="4561" t="n"/>
    </row>
    <row r="4637">
      <c r="A4637" s="4561" t="n"/>
      <c r="B4637" s="4561" t="n"/>
      <c r="C4637" s="4561" t="n"/>
      <c r="D4637" s="4561" t="n"/>
      <c r="E4637" s="4561" t="n"/>
      <c r="F4637" s="4561" t="n"/>
    </row>
    <row r="4638">
      <c r="A4638" s="4561" t="n"/>
      <c r="B4638" s="4561" t="n"/>
      <c r="C4638" s="4561" t="n"/>
      <c r="D4638" s="4561" t="n"/>
      <c r="E4638" s="4561" t="n"/>
      <c r="F4638" s="4561" t="n"/>
    </row>
    <row r="4639">
      <c r="A4639" s="4561" t="n"/>
      <c r="B4639" s="4561" t="n"/>
      <c r="C4639" s="4561" t="n"/>
      <c r="D4639" s="4561" t="n"/>
      <c r="E4639" s="4561" t="n"/>
      <c r="F4639" s="4561" t="n"/>
    </row>
    <row r="4640">
      <c r="A4640" s="4561" t="n"/>
      <c r="B4640" s="4561" t="n"/>
      <c r="C4640" s="4561" t="n"/>
      <c r="D4640" s="4561" t="n"/>
      <c r="E4640" s="4561" t="n"/>
      <c r="F4640" s="4561" t="n"/>
    </row>
    <row r="4641">
      <c r="A4641" s="4561" t="n"/>
      <c r="B4641" s="4561" t="n"/>
      <c r="C4641" s="4561" t="n"/>
      <c r="D4641" s="4561" t="n"/>
      <c r="E4641" s="4561" t="n"/>
      <c r="F4641" s="4561" t="n"/>
    </row>
    <row r="4642">
      <c r="A4642" s="4561" t="n"/>
      <c r="B4642" s="4561" t="n"/>
      <c r="C4642" s="4561" t="n"/>
      <c r="D4642" s="4561" t="n"/>
      <c r="E4642" s="4561" t="n"/>
      <c r="F4642" s="4561" t="n"/>
    </row>
    <row r="4643">
      <c r="A4643" s="4561" t="n"/>
      <c r="B4643" s="4561" t="n"/>
      <c r="C4643" s="4561" t="n"/>
      <c r="D4643" s="4561" t="n"/>
      <c r="E4643" s="4561" t="n"/>
      <c r="F4643" s="4561" t="n"/>
    </row>
    <row r="4644">
      <c r="A4644" s="4561" t="n"/>
      <c r="B4644" s="4561" t="n"/>
      <c r="C4644" s="4561" t="n"/>
      <c r="D4644" s="4561" t="n"/>
      <c r="E4644" s="4561" t="n"/>
      <c r="F4644" s="4561" t="n"/>
    </row>
    <row r="4645">
      <c r="A4645" s="4561" t="n"/>
      <c r="B4645" s="4561" t="n"/>
      <c r="C4645" s="4561" t="n"/>
      <c r="D4645" s="4561" t="n"/>
      <c r="E4645" s="4561" t="n"/>
      <c r="F4645" s="4561" t="n"/>
    </row>
    <row r="4646">
      <c r="A4646" s="4561" t="n"/>
      <c r="B4646" s="4561" t="n"/>
      <c r="C4646" s="4561" t="n"/>
      <c r="D4646" s="4561" t="n"/>
      <c r="E4646" s="4561" t="n"/>
      <c r="F4646" s="4561" t="n"/>
    </row>
    <row r="4647">
      <c r="A4647" s="4561" t="n"/>
      <c r="B4647" s="4561" t="n"/>
      <c r="C4647" s="4561" t="n"/>
      <c r="D4647" s="4561" t="n"/>
      <c r="E4647" s="4561" t="n"/>
      <c r="F4647" s="4561" t="n"/>
    </row>
    <row r="4648">
      <c r="A4648" s="4561" t="n"/>
      <c r="B4648" s="4561" t="n"/>
      <c r="C4648" s="4561" t="n"/>
      <c r="D4648" s="4561" t="n"/>
      <c r="E4648" s="4561" t="n"/>
      <c r="F4648" s="4561" t="n"/>
    </row>
    <row r="4649">
      <c r="A4649" s="4561" t="n"/>
      <c r="B4649" s="4561" t="n"/>
      <c r="C4649" s="4561" t="n"/>
      <c r="D4649" s="4561" t="n"/>
      <c r="E4649" s="4561" t="n"/>
      <c r="F4649" s="4561" t="n"/>
    </row>
    <row r="4650">
      <c r="A4650" s="4561" t="n"/>
      <c r="B4650" s="4561" t="n"/>
      <c r="C4650" s="4561" t="n"/>
      <c r="D4650" s="4561" t="n"/>
      <c r="E4650" s="4561" t="n"/>
      <c r="F4650" s="4561" t="n"/>
    </row>
    <row r="4651">
      <c r="A4651" s="4561" t="n"/>
      <c r="B4651" s="4561" t="n"/>
      <c r="C4651" s="4561" t="n"/>
      <c r="D4651" s="4561" t="n"/>
      <c r="E4651" s="4561" t="n"/>
      <c r="F4651" s="4561" t="n"/>
    </row>
    <row r="4652">
      <c r="A4652" s="4561" t="n"/>
      <c r="B4652" s="4561" t="n"/>
      <c r="C4652" s="4561" t="n"/>
      <c r="D4652" s="4561" t="n"/>
      <c r="E4652" s="4561" t="n"/>
      <c r="F4652" s="4561" t="n"/>
    </row>
    <row r="4653">
      <c r="A4653" s="4561" t="n"/>
      <c r="B4653" s="4561" t="n"/>
      <c r="C4653" s="4561" t="n"/>
      <c r="D4653" s="4561" t="n"/>
      <c r="E4653" s="4561" t="n"/>
      <c r="F4653" s="4561" t="n"/>
    </row>
    <row r="4654">
      <c r="A4654" s="4561" t="n"/>
      <c r="B4654" s="4561" t="n"/>
      <c r="C4654" s="4561" t="n"/>
      <c r="D4654" s="4561" t="n"/>
      <c r="E4654" s="4561" t="n"/>
      <c r="F4654" s="4561" t="n"/>
    </row>
    <row r="4655">
      <c r="A4655" s="4561" t="n"/>
      <c r="B4655" s="4561" t="n"/>
      <c r="C4655" s="4561" t="n"/>
      <c r="D4655" s="4561" t="n"/>
      <c r="E4655" s="4561" t="n"/>
      <c r="F4655" s="4561" t="n"/>
    </row>
    <row r="4656">
      <c r="A4656" s="4561" t="n"/>
      <c r="B4656" s="4561" t="n"/>
      <c r="C4656" s="4561" t="n"/>
      <c r="D4656" s="4561" t="n"/>
      <c r="E4656" s="4561" t="n"/>
      <c r="F4656" s="4561" t="n"/>
    </row>
    <row r="4657">
      <c r="A4657" s="4561" t="n"/>
      <c r="B4657" s="4561" t="n"/>
      <c r="C4657" s="4561" t="n"/>
      <c r="D4657" s="4561" t="n"/>
      <c r="E4657" s="4561" t="n"/>
      <c r="F4657" s="4561" t="n"/>
    </row>
    <row r="4658">
      <c r="A4658" s="4561" t="n"/>
      <c r="B4658" s="4561" t="n"/>
      <c r="C4658" s="4561" t="n"/>
      <c r="D4658" s="4561" t="n"/>
      <c r="E4658" s="4561" t="n"/>
      <c r="F4658" s="4561" t="n"/>
    </row>
    <row r="4659">
      <c r="A4659" s="4561" t="n"/>
      <c r="B4659" s="4561" t="n"/>
      <c r="C4659" s="4561" t="n"/>
      <c r="D4659" s="4561" t="n"/>
      <c r="E4659" s="4561" t="n"/>
      <c r="F4659" s="4561" t="n"/>
    </row>
    <row r="4660">
      <c r="A4660" s="4561" t="n"/>
      <c r="B4660" s="4561" t="n"/>
      <c r="C4660" s="4561" t="n"/>
      <c r="D4660" s="4561" t="n"/>
      <c r="E4660" s="4561" t="n"/>
      <c r="F4660" s="4561" t="n"/>
    </row>
    <row r="4661">
      <c r="A4661" s="4561" t="n"/>
      <c r="B4661" s="4561" t="n"/>
      <c r="C4661" s="4561" t="n"/>
      <c r="D4661" s="4561" t="n"/>
      <c r="E4661" s="4561" t="n"/>
      <c r="F4661" s="4561" t="n"/>
    </row>
    <row r="4662">
      <c r="A4662" s="4561" t="n"/>
      <c r="B4662" s="4561" t="n"/>
      <c r="C4662" s="4561" t="n"/>
      <c r="D4662" s="4561" t="n"/>
      <c r="E4662" s="4561" t="n"/>
      <c r="F4662" s="4561" t="n"/>
    </row>
    <row r="4663">
      <c r="A4663" s="4561" t="n"/>
      <c r="B4663" s="4561" t="n"/>
      <c r="C4663" s="4561" t="n"/>
      <c r="D4663" s="4561" t="n"/>
      <c r="E4663" s="4561" t="n"/>
      <c r="F4663" s="4561" t="n"/>
    </row>
    <row r="4664">
      <c r="A4664" s="4561" t="n"/>
      <c r="B4664" s="4561" t="n"/>
      <c r="C4664" s="4561" t="n"/>
      <c r="D4664" s="4561" t="n"/>
      <c r="E4664" s="4561" t="n"/>
      <c r="F4664" s="4561" t="n"/>
    </row>
    <row r="4665">
      <c r="A4665" s="4561" t="n"/>
      <c r="B4665" s="4561" t="n"/>
      <c r="C4665" s="4561" t="n"/>
      <c r="D4665" s="4561" t="n"/>
      <c r="E4665" s="4561" t="n"/>
      <c r="F4665" s="4561" t="n"/>
    </row>
    <row r="4666">
      <c r="A4666" s="4561" t="n"/>
      <c r="B4666" s="4561" t="n"/>
      <c r="C4666" s="4561" t="n"/>
      <c r="D4666" s="4561" t="n"/>
      <c r="E4666" s="4561" t="n"/>
      <c r="F4666" s="4561" t="n"/>
    </row>
    <row r="4667">
      <c r="A4667" s="4561" t="n"/>
      <c r="B4667" s="4561" t="n"/>
      <c r="C4667" s="4561" t="n"/>
      <c r="D4667" s="4561" t="n"/>
      <c r="E4667" s="4561" t="n"/>
      <c r="F4667" s="4561" t="n"/>
    </row>
    <row r="4668">
      <c r="A4668" s="4561" t="n"/>
      <c r="B4668" s="4561" t="n"/>
      <c r="C4668" s="4561" t="n"/>
      <c r="D4668" s="4561" t="n"/>
      <c r="E4668" s="4561" t="n"/>
      <c r="F4668" s="4561" t="n"/>
    </row>
    <row r="4669">
      <c r="A4669" s="4561" t="n"/>
      <c r="B4669" s="4561" t="n"/>
      <c r="C4669" s="4561" t="n"/>
      <c r="D4669" s="4561" t="n"/>
      <c r="E4669" s="4561" t="n"/>
      <c r="F4669" s="4561" t="n"/>
    </row>
    <row r="4670">
      <c r="A4670" s="4561" t="n"/>
      <c r="B4670" s="4561" t="n"/>
      <c r="C4670" s="4561" t="n"/>
      <c r="D4670" s="4561" t="n"/>
      <c r="E4670" s="4561" t="n"/>
      <c r="F4670" s="4561" t="n"/>
    </row>
    <row r="4671">
      <c r="A4671" s="4561" t="n"/>
      <c r="B4671" s="4561" t="n"/>
      <c r="C4671" s="4561" t="n"/>
      <c r="D4671" s="4561" t="n"/>
      <c r="E4671" s="4561" t="n"/>
      <c r="F4671" s="4561" t="n"/>
    </row>
    <row r="4672">
      <c r="A4672" s="4561" t="n"/>
      <c r="B4672" s="4561" t="n"/>
      <c r="C4672" s="4561" t="n"/>
      <c r="D4672" s="4561" t="n"/>
      <c r="E4672" s="4561" t="n"/>
      <c r="F4672" s="4561" t="n"/>
    </row>
    <row r="4673">
      <c r="A4673" s="4561" t="n"/>
      <c r="B4673" s="4561" t="n"/>
      <c r="C4673" s="4561" t="n"/>
      <c r="D4673" s="4561" t="n"/>
      <c r="E4673" s="4561" t="n"/>
      <c r="F4673" s="4561" t="n"/>
    </row>
    <row r="4674">
      <c r="A4674" s="4561" t="n"/>
      <c r="B4674" s="4561" t="n"/>
      <c r="C4674" s="4561" t="n"/>
      <c r="D4674" s="4561" t="n"/>
      <c r="E4674" s="4561" t="n"/>
      <c r="F4674" s="4561" t="n"/>
    </row>
    <row r="4675">
      <c r="A4675" s="4561" t="n"/>
      <c r="B4675" s="4561" t="n"/>
      <c r="C4675" s="4561" t="n"/>
      <c r="D4675" s="4561" t="n"/>
      <c r="E4675" s="4561" t="n"/>
      <c r="F4675" s="4561" t="n"/>
    </row>
    <row r="4676">
      <c r="A4676" s="4561" t="n"/>
      <c r="B4676" s="4561" t="n"/>
      <c r="C4676" s="4561" t="n"/>
      <c r="D4676" s="4561" t="n"/>
      <c r="E4676" s="4561" t="n"/>
      <c r="F4676" s="4561" t="n"/>
    </row>
    <row r="4677">
      <c r="A4677" s="4561" t="n"/>
      <c r="B4677" s="4561" t="n"/>
      <c r="C4677" s="4561" t="n"/>
      <c r="D4677" s="4561" t="n"/>
      <c r="E4677" s="4561" t="n"/>
      <c r="F4677" s="4561" t="n"/>
    </row>
    <row r="4678">
      <c r="A4678" s="4561" t="n"/>
      <c r="B4678" s="4561" t="n"/>
      <c r="C4678" s="4561" t="n"/>
      <c r="D4678" s="4561" t="n"/>
      <c r="E4678" s="4561" t="n"/>
      <c r="F4678" s="4561" t="n"/>
    </row>
    <row r="4679">
      <c r="A4679" s="4561" t="n"/>
      <c r="B4679" s="4561" t="n"/>
      <c r="C4679" s="4561" t="n"/>
      <c r="D4679" s="4561" t="n"/>
      <c r="E4679" s="4561" t="n"/>
      <c r="F4679" s="4561" t="n"/>
    </row>
    <row r="4680">
      <c r="A4680" s="4561" t="n"/>
      <c r="B4680" s="4561" t="n"/>
      <c r="C4680" s="4561" t="n"/>
      <c r="D4680" s="4561" t="n"/>
      <c r="E4680" s="4561" t="n"/>
      <c r="F4680" s="4561" t="n"/>
    </row>
    <row r="4681">
      <c r="A4681" s="4561" t="n"/>
      <c r="B4681" s="4561" t="n"/>
      <c r="C4681" s="4561" t="n"/>
      <c r="D4681" s="4561" t="n"/>
      <c r="E4681" s="4561" t="n"/>
      <c r="F4681" s="4561" t="n"/>
    </row>
    <row r="4682">
      <c r="A4682" s="4561" t="n"/>
      <c r="B4682" s="4561" t="n"/>
      <c r="C4682" s="4561" t="n"/>
      <c r="D4682" s="4561" t="n"/>
      <c r="E4682" s="4561" t="n"/>
      <c r="F4682" s="4561" t="n"/>
    </row>
    <row r="4683">
      <c r="A4683" s="4561" t="n"/>
      <c r="B4683" s="4561" t="n"/>
      <c r="C4683" s="4561" t="n"/>
      <c r="D4683" s="4561" t="n"/>
      <c r="E4683" s="4561" t="n"/>
      <c r="F4683" s="4561" t="n"/>
    </row>
    <row r="4684">
      <c r="A4684" s="4561" t="n"/>
      <c r="B4684" s="4561" t="n"/>
      <c r="C4684" s="4561" t="n"/>
      <c r="D4684" s="4561" t="n"/>
      <c r="E4684" s="4561" t="n"/>
      <c r="F4684" s="4561" t="n"/>
    </row>
    <row r="4685">
      <c r="A4685" s="4561" t="n"/>
      <c r="B4685" s="4561" t="n"/>
      <c r="C4685" s="4561" t="n"/>
      <c r="D4685" s="4561" t="n"/>
      <c r="E4685" s="4561" t="n"/>
      <c r="F4685" s="4561" t="n"/>
    </row>
    <row r="4686">
      <c r="A4686" s="4561" t="n"/>
      <c r="B4686" s="4561" t="n"/>
      <c r="C4686" s="4561" t="n"/>
      <c r="D4686" s="4561" t="n"/>
      <c r="E4686" s="4561" t="n"/>
      <c r="F4686" s="4561" t="n"/>
    </row>
    <row r="4687">
      <c r="A4687" s="4561" t="n"/>
      <c r="B4687" s="4561" t="n"/>
      <c r="C4687" s="4561" t="n"/>
      <c r="D4687" s="4561" t="n"/>
      <c r="E4687" s="4561" t="n"/>
      <c r="F4687" s="4561" t="n"/>
    </row>
    <row r="4688">
      <c r="A4688" s="4561" t="n"/>
      <c r="B4688" s="4561" t="n"/>
      <c r="C4688" s="4561" t="n"/>
      <c r="D4688" s="4561" t="n"/>
      <c r="E4688" s="4561" t="n"/>
      <c r="F4688" s="4561" t="n"/>
    </row>
    <row r="4689">
      <c r="A4689" s="4561" t="n"/>
      <c r="B4689" s="4561" t="n"/>
      <c r="C4689" s="4561" t="n"/>
      <c r="D4689" s="4561" t="n"/>
      <c r="E4689" s="4561" t="n"/>
      <c r="F4689" s="4561" t="n"/>
    </row>
    <row r="4690">
      <c r="A4690" s="4561" t="n"/>
      <c r="B4690" s="4561" t="n"/>
      <c r="C4690" s="4561" t="n"/>
      <c r="D4690" s="4561" t="n"/>
      <c r="E4690" s="4561" t="n"/>
      <c r="F4690" s="4561" t="n"/>
    </row>
    <row r="4691">
      <c r="A4691" s="4561" t="n"/>
      <c r="B4691" s="4561" t="n"/>
      <c r="C4691" s="4561" t="n"/>
      <c r="D4691" s="4561" t="n"/>
      <c r="E4691" s="4561" t="n"/>
      <c r="F4691" s="4561" t="n"/>
    </row>
    <row r="4692">
      <c r="A4692" s="4561" t="n"/>
      <c r="B4692" s="4561" t="n"/>
      <c r="C4692" s="4561" t="n"/>
      <c r="D4692" s="4561" t="n"/>
      <c r="E4692" s="4561" t="n"/>
      <c r="F4692" s="4561" t="n"/>
    </row>
    <row r="4693">
      <c r="A4693" s="4561" t="n"/>
      <c r="B4693" s="4561" t="n"/>
      <c r="C4693" s="4561" t="n"/>
      <c r="D4693" s="4561" t="n"/>
      <c r="E4693" s="4561" t="n"/>
      <c r="F4693" s="4561" t="n"/>
    </row>
    <row r="4694">
      <c r="A4694" s="4561" t="n"/>
      <c r="B4694" s="4561" t="n"/>
      <c r="C4694" s="4561" t="n"/>
      <c r="D4694" s="4561" t="n"/>
      <c r="E4694" s="4561" t="n"/>
      <c r="F4694" s="4561" t="n"/>
    </row>
    <row r="4695">
      <c r="A4695" s="4561" t="n"/>
      <c r="B4695" s="4561" t="n"/>
      <c r="C4695" s="4561" t="n"/>
      <c r="D4695" s="4561" t="n"/>
      <c r="E4695" s="4561" t="n"/>
      <c r="F4695" s="4561" t="n"/>
    </row>
    <row r="4696">
      <c r="A4696" s="4561" t="n"/>
      <c r="B4696" s="4561" t="n"/>
      <c r="C4696" s="4561" t="n"/>
      <c r="D4696" s="4561" t="n"/>
      <c r="E4696" s="4561" t="n"/>
      <c r="F4696" s="4561" t="n"/>
    </row>
    <row r="4697">
      <c r="A4697" s="4561" t="n"/>
      <c r="B4697" s="4561" t="n"/>
      <c r="C4697" s="4561" t="n"/>
      <c r="D4697" s="4561" t="n"/>
      <c r="E4697" s="4561" t="n"/>
      <c r="F4697" s="4561" t="n"/>
    </row>
    <row r="4698">
      <c r="A4698" s="4561" t="n"/>
      <c r="B4698" s="4561" t="n"/>
      <c r="C4698" s="4561" t="n"/>
      <c r="D4698" s="4561" t="n"/>
      <c r="E4698" s="4561" t="n"/>
      <c r="F4698" s="4561" t="n"/>
    </row>
    <row r="4699">
      <c r="A4699" s="4561" t="n"/>
      <c r="B4699" s="4561" t="n"/>
      <c r="C4699" s="4561" t="n"/>
      <c r="D4699" s="4561" t="n"/>
      <c r="E4699" s="4561" t="n"/>
      <c r="F4699" s="4561" t="n"/>
    </row>
    <row r="4700">
      <c r="A4700" s="4561" t="n"/>
      <c r="B4700" s="4561" t="n"/>
      <c r="C4700" s="4561" t="n"/>
      <c r="D4700" s="4561" t="n"/>
      <c r="E4700" s="4561" t="n"/>
      <c r="F4700" s="4561" t="n"/>
    </row>
    <row r="4701">
      <c r="A4701" s="4561" t="n"/>
      <c r="B4701" s="4561" t="n"/>
      <c r="C4701" s="4561" t="n"/>
      <c r="D4701" s="4561" t="n"/>
      <c r="E4701" s="4561" t="n"/>
      <c r="F4701" s="4561" t="n"/>
    </row>
    <row r="4702">
      <c r="A4702" s="4561" t="n"/>
      <c r="B4702" s="4561" t="n"/>
      <c r="C4702" s="4561" t="n"/>
      <c r="D4702" s="4561" t="n"/>
      <c r="E4702" s="4561" t="n"/>
      <c r="F4702" s="4561" t="n"/>
    </row>
    <row r="4703">
      <c r="A4703" s="4561" t="n"/>
      <c r="B4703" s="4561" t="n"/>
      <c r="C4703" s="4561" t="n"/>
      <c r="D4703" s="4561" t="n"/>
      <c r="E4703" s="4561" t="n"/>
      <c r="F4703" s="4561" t="n"/>
    </row>
    <row r="4704">
      <c r="A4704" s="4561" t="n"/>
      <c r="B4704" s="4561" t="n"/>
      <c r="C4704" s="4561" t="n"/>
      <c r="D4704" s="4561" t="n"/>
      <c r="E4704" s="4561" t="n"/>
      <c r="F4704" s="4561" t="n"/>
    </row>
    <row r="4705">
      <c r="A4705" s="4561" t="n"/>
      <c r="B4705" s="4561" t="n"/>
      <c r="C4705" s="4561" t="n"/>
      <c r="D4705" s="4561" t="n"/>
      <c r="E4705" s="4561" t="n"/>
      <c r="F4705" s="4561" t="n"/>
    </row>
    <row r="4706">
      <c r="A4706" s="4561" t="n"/>
      <c r="B4706" s="4561" t="n"/>
      <c r="C4706" s="4561" t="n"/>
      <c r="D4706" s="4561" t="n"/>
      <c r="E4706" s="4561" t="n"/>
      <c r="F4706" s="4561" t="n"/>
    </row>
    <row r="4707">
      <c r="A4707" s="4561" t="n"/>
      <c r="B4707" s="4561" t="n"/>
      <c r="C4707" s="4561" t="n"/>
      <c r="D4707" s="4561" t="n"/>
      <c r="E4707" s="4561" t="n"/>
      <c r="F4707" s="4561" t="n"/>
    </row>
    <row r="4708">
      <c r="A4708" s="4561" t="n"/>
      <c r="B4708" s="4561" t="n"/>
      <c r="C4708" s="4561" t="n"/>
      <c r="D4708" s="4561" t="n"/>
      <c r="E4708" s="4561" t="n"/>
      <c r="F4708" s="4561" t="n"/>
    </row>
    <row r="4709">
      <c r="A4709" s="4561" t="n"/>
      <c r="B4709" s="4561" t="n"/>
      <c r="C4709" s="4561" t="n"/>
      <c r="D4709" s="4561" t="n"/>
      <c r="E4709" s="4561" t="n"/>
      <c r="F4709" s="4561" t="n"/>
    </row>
    <row r="4710">
      <c r="A4710" s="4561" t="n"/>
      <c r="B4710" s="4561" t="n"/>
      <c r="C4710" s="4561" t="n"/>
      <c r="D4710" s="4561" t="n"/>
      <c r="E4710" s="4561" t="n"/>
      <c r="F4710" s="4561" t="n"/>
    </row>
    <row r="4711">
      <c r="A4711" s="4561" t="n"/>
      <c r="B4711" s="4561" t="n"/>
      <c r="C4711" s="4561" t="n"/>
      <c r="D4711" s="4561" t="n"/>
      <c r="E4711" s="4561" t="n"/>
      <c r="F4711" s="4561" t="n"/>
    </row>
    <row r="4712">
      <c r="A4712" s="4561" t="n"/>
      <c r="B4712" s="4561" t="n"/>
      <c r="C4712" s="4561" t="n"/>
      <c r="D4712" s="4561" t="n"/>
      <c r="E4712" s="4561" t="n"/>
      <c r="F4712" s="4561" t="n"/>
    </row>
    <row r="4713">
      <c r="A4713" s="4561" t="n"/>
      <c r="B4713" s="4561" t="n"/>
      <c r="C4713" s="4561" t="n"/>
      <c r="D4713" s="4561" t="n"/>
      <c r="E4713" s="4561" t="n"/>
      <c r="F4713" s="4561" t="n"/>
    </row>
    <row r="4714">
      <c r="A4714" s="4561" t="n"/>
      <c r="B4714" s="4561" t="n"/>
      <c r="C4714" s="4561" t="n"/>
      <c r="D4714" s="4561" t="n"/>
      <c r="E4714" s="4561" t="n"/>
      <c r="F4714" s="4561" t="n"/>
    </row>
    <row r="4715">
      <c r="A4715" s="4561" t="n"/>
      <c r="B4715" s="4561" t="n"/>
      <c r="C4715" s="4561" t="n"/>
      <c r="D4715" s="4561" t="n"/>
      <c r="E4715" s="4561" t="n"/>
      <c r="F4715" s="4561" t="n"/>
    </row>
    <row r="4716">
      <c r="A4716" s="4561" t="n"/>
      <c r="B4716" s="4561" t="n"/>
      <c r="C4716" s="4561" t="n"/>
      <c r="D4716" s="4561" t="n"/>
      <c r="E4716" s="4561" t="n"/>
      <c r="F4716" s="4561" t="n"/>
    </row>
    <row r="4717">
      <c r="A4717" s="4561" t="n"/>
      <c r="B4717" s="4561" t="n"/>
      <c r="C4717" s="4561" t="n"/>
      <c r="D4717" s="4561" t="n"/>
      <c r="E4717" s="4561" t="n"/>
      <c r="F4717" s="4561" t="n"/>
    </row>
    <row r="4718">
      <c r="A4718" s="4561" t="n"/>
      <c r="B4718" s="4561" t="n"/>
      <c r="C4718" s="4561" t="n"/>
      <c r="D4718" s="4561" t="n"/>
      <c r="E4718" s="4561" t="n"/>
      <c r="F4718" s="4561" t="n"/>
    </row>
    <row r="4719">
      <c r="A4719" s="4561" t="n"/>
      <c r="B4719" s="4561" t="n"/>
      <c r="C4719" s="4561" t="n"/>
      <c r="D4719" s="4561" t="n"/>
      <c r="E4719" s="4561" t="n"/>
      <c r="F4719" s="4561" t="n"/>
    </row>
    <row r="4720">
      <c r="A4720" s="4561" t="n"/>
      <c r="B4720" s="4561" t="n"/>
      <c r="C4720" s="4561" t="n"/>
      <c r="D4720" s="4561" t="n"/>
      <c r="E4720" s="4561" t="n"/>
      <c r="F4720" s="4561" t="n"/>
    </row>
    <row r="4721">
      <c r="A4721" s="4561" t="n"/>
      <c r="B4721" s="4561" t="n"/>
      <c r="C4721" s="4561" t="n"/>
      <c r="D4721" s="4561" t="n"/>
      <c r="E4721" s="4561" t="n"/>
      <c r="F4721" s="4561" t="n"/>
    </row>
    <row r="4722">
      <c r="A4722" s="4561" t="n"/>
      <c r="B4722" s="4561" t="n"/>
      <c r="C4722" s="4561" t="n"/>
      <c r="D4722" s="4561" t="n"/>
      <c r="E4722" s="4561" t="n"/>
      <c r="F4722" s="4561" t="n"/>
    </row>
    <row r="4723">
      <c r="A4723" s="4561" t="n"/>
      <c r="B4723" s="4561" t="n"/>
      <c r="C4723" s="4561" t="n"/>
      <c r="D4723" s="4561" t="n"/>
      <c r="E4723" s="4561" t="n"/>
      <c r="F4723" s="4561" t="n"/>
    </row>
    <row r="4724">
      <c r="A4724" s="4561" t="n"/>
      <c r="B4724" s="4561" t="n"/>
      <c r="C4724" s="4561" t="n"/>
      <c r="D4724" s="4561" t="n"/>
      <c r="E4724" s="4561" t="n"/>
      <c r="F4724" s="4561" t="n"/>
    </row>
    <row r="4725">
      <c r="A4725" s="4561" t="n"/>
      <c r="B4725" s="4561" t="n"/>
      <c r="C4725" s="4561" t="n"/>
      <c r="D4725" s="4561" t="n"/>
      <c r="E4725" s="4561" t="n"/>
      <c r="F4725" s="4561" t="n"/>
    </row>
    <row r="4726">
      <c r="A4726" s="4561" t="n"/>
      <c r="B4726" s="4561" t="n"/>
      <c r="C4726" s="4561" t="n"/>
      <c r="D4726" s="4561" t="n"/>
      <c r="E4726" s="4561" t="n"/>
      <c r="F4726" s="4561" t="n"/>
    </row>
    <row r="4727">
      <c r="A4727" s="4561" t="n"/>
      <c r="B4727" s="4561" t="n"/>
      <c r="C4727" s="4561" t="n"/>
      <c r="D4727" s="4561" t="n"/>
      <c r="E4727" s="4561" t="n"/>
      <c r="F4727" s="4561" t="n"/>
    </row>
    <row r="4728">
      <c r="A4728" s="4561" t="n"/>
      <c r="B4728" s="4561" t="n"/>
      <c r="C4728" s="4561" t="n"/>
      <c r="D4728" s="4561" t="n"/>
      <c r="E4728" s="4561" t="n"/>
      <c r="F4728" s="4561" t="n"/>
    </row>
    <row r="4729">
      <c r="A4729" s="4561" t="n"/>
      <c r="B4729" s="4561" t="n"/>
      <c r="C4729" s="4561" t="n"/>
      <c r="D4729" s="4561" t="n"/>
      <c r="E4729" s="4561" t="n"/>
      <c r="F4729" s="4561" t="n"/>
    </row>
    <row r="4730">
      <c r="A4730" s="4561" t="n"/>
      <c r="B4730" s="4561" t="n"/>
      <c r="C4730" s="4561" t="n"/>
      <c r="D4730" s="4561" t="n"/>
      <c r="E4730" s="4561" t="n"/>
      <c r="F4730" s="4561" t="n"/>
    </row>
    <row r="4731">
      <c r="A4731" s="4561" t="n"/>
      <c r="B4731" s="4561" t="n"/>
      <c r="C4731" s="4561" t="n"/>
      <c r="D4731" s="4561" t="n"/>
      <c r="E4731" s="4561" t="n"/>
      <c r="F4731" s="4561" t="n"/>
    </row>
    <row r="4732">
      <c r="A4732" s="4561" t="n"/>
      <c r="B4732" s="4561" t="n"/>
      <c r="C4732" s="4561" t="n"/>
      <c r="D4732" s="4561" t="n"/>
      <c r="E4732" s="4561" t="n"/>
      <c r="F4732" s="4561" t="n"/>
    </row>
    <row r="4733">
      <c r="A4733" s="4561" t="n"/>
      <c r="B4733" s="4561" t="n"/>
      <c r="C4733" s="4561" t="n"/>
      <c r="D4733" s="4561" t="n"/>
      <c r="E4733" s="4561" t="n"/>
      <c r="F4733" s="4561" t="n"/>
    </row>
    <row r="4734">
      <c r="A4734" s="4561" t="n"/>
      <c r="B4734" s="4561" t="n"/>
      <c r="C4734" s="4561" t="n"/>
      <c r="D4734" s="4561" t="n"/>
      <c r="E4734" s="4561" t="n"/>
      <c r="F4734" s="4561" t="n"/>
    </row>
    <row r="4735">
      <c r="A4735" s="4561" t="n"/>
      <c r="B4735" s="4561" t="n"/>
      <c r="C4735" s="4561" t="n"/>
      <c r="D4735" s="4561" t="n"/>
      <c r="E4735" s="4561" t="n"/>
      <c r="F4735" s="4561" t="n"/>
    </row>
    <row r="4736">
      <c r="A4736" s="4561" t="n"/>
      <c r="B4736" s="4561" t="n"/>
      <c r="C4736" s="4561" t="n"/>
      <c r="D4736" s="4561" t="n"/>
      <c r="E4736" s="4561" t="n"/>
      <c r="F4736" s="4561" t="n"/>
    </row>
    <row r="4737">
      <c r="A4737" s="4561" t="n"/>
      <c r="B4737" s="4561" t="n"/>
      <c r="C4737" s="4561" t="n"/>
      <c r="D4737" s="4561" t="n"/>
      <c r="E4737" s="4561" t="n"/>
      <c r="F4737" s="4561" t="n"/>
    </row>
    <row r="4738">
      <c r="A4738" s="4561" t="n"/>
      <c r="B4738" s="4561" t="n"/>
      <c r="C4738" s="4561" t="n"/>
      <c r="D4738" s="4561" t="n"/>
      <c r="E4738" s="4561" t="n"/>
      <c r="F4738" s="4561" t="n"/>
    </row>
    <row r="4739">
      <c r="A4739" s="4561" t="n"/>
      <c r="B4739" s="4561" t="n"/>
      <c r="C4739" s="4561" t="n"/>
      <c r="D4739" s="4561" t="n"/>
      <c r="E4739" s="4561" t="n"/>
      <c r="F4739" s="4561" t="n"/>
    </row>
    <row r="4740">
      <c r="A4740" s="4561" t="n"/>
      <c r="B4740" s="4561" t="n"/>
      <c r="C4740" s="4561" t="n"/>
      <c r="D4740" s="4561" t="n"/>
      <c r="E4740" s="4561" t="n"/>
      <c r="F4740" s="4561" t="n"/>
    </row>
    <row r="4741">
      <c r="A4741" s="4561" t="n"/>
      <c r="B4741" s="4561" t="n"/>
      <c r="C4741" s="4561" t="n"/>
      <c r="D4741" s="4561" t="n"/>
      <c r="E4741" s="4561" t="n"/>
      <c r="F4741" s="4561" t="n"/>
    </row>
    <row r="4742">
      <c r="A4742" s="4561" t="n"/>
      <c r="B4742" s="4561" t="n"/>
      <c r="C4742" s="4561" t="n"/>
      <c r="D4742" s="4561" t="n"/>
      <c r="E4742" s="4561" t="n"/>
      <c r="F4742" s="4561" t="n"/>
    </row>
    <row r="4743">
      <c r="A4743" s="4561" t="n"/>
      <c r="B4743" s="4561" t="n"/>
      <c r="C4743" s="4561" t="n"/>
      <c r="D4743" s="4561" t="n"/>
      <c r="E4743" s="4561" t="n"/>
      <c r="F4743" s="4561" t="n"/>
    </row>
    <row r="4744">
      <c r="A4744" s="4561" t="n"/>
      <c r="B4744" s="4561" t="n"/>
      <c r="C4744" s="4561" t="n"/>
      <c r="D4744" s="4561" t="n"/>
      <c r="E4744" s="4561" t="n"/>
      <c r="F4744" s="4561" t="n"/>
    </row>
    <row r="4745">
      <c r="A4745" s="4561" t="n"/>
      <c r="B4745" s="4561" t="n"/>
      <c r="C4745" s="4561" t="n"/>
      <c r="D4745" s="4561" t="n"/>
      <c r="E4745" s="4561" t="n"/>
      <c r="F4745" s="4561" t="n"/>
    </row>
    <row r="4746">
      <c r="A4746" s="4561" t="n"/>
      <c r="B4746" s="4561" t="n"/>
      <c r="C4746" s="4561" t="n"/>
      <c r="D4746" s="4561" t="n"/>
      <c r="E4746" s="4561" t="n"/>
      <c r="F4746" s="4561" t="n"/>
    </row>
    <row r="4747">
      <c r="A4747" s="4561" t="n"/>
      <c r="B4747" s="4561" t="n"/>
      <c r="C4747" s="4561" t="n"/>
      <c r="D4747" s="4561" t="n"/>
      <c r="E4747" s="4561" t="n"/>
      <c r="F4747" s="4561" t="n"/>
    </row>
    <row r="4748">
      <c r="A4748" s="4561" t="n"/>
      <c r="B4748" s="4561" t="n"/>
      <c r="C4748" s="4561" t="n"/>
      <c r="D4748" s="4561" t="n"/>
      <c r="E4748" s="4561" t="n"/>
      <c r="F4748" s="4561" t="n"/>
    </row>
    <row r="4749">
      <c r="A4749" s="4561" t="n"/>
      <c r="B4749" s="4561" t="n"/>
      <c r="C4749" s="4561" t="n"/>
      <c r="D4749" s="4561" t="n"/>
      <c r="E4749" s="4561" t="n"/>
      <c r="F4749" s="4561" t="n"/>
    </row>
    <row r="4750">
      <c r="A4750" s="4561" t="n"/>
      <c r="B4750" s="4561" t="n"/>
      <c r="C4750" s="4561" t="n"/>
      <c r="D4750" s="4561" t="n"/>
      <c r="E4750" s="4561" t="n"/>
      <c r="F4750" s="4561" t="n"/>
    </row>
    <row r="4751">
      <c r="A4751" s="4561" t="n"/>
      <c r="B4751" s="4561" t="n"/>
      <c r="C4751" s="4561" t="n"/>
      <c r="D4751" s="4561" t="n"/>
      <c r="E4751" s="4561" t="n"/>
      <c r="F4751" s="4561" t="n"/>
    </row>
    <row r="4752">
      <c r="A4752" s="4561" t="n"/>
      <c r="B4752" s="4561" t="n"/>
      <c r="C4752" s="4561" t="n"/>
      <c r="D4752" s="4561" t="n"/>
      <c r="E4752" s="4561" t="n"/>
      <c r="F4752" s="4561" t="n"/>
    </row>
    <row r="4753">
      <c r="A4753" s="4561" t="n"/>
      <c r="B4753" s="4561" t="n"/>
      <c r="C4753" s="4561" t="n"/>
      <c r="D4753" s="4561" t="n"/>
      <c r="E4753" s="4561" t="n"/>
      <c r="F4753" s="4561" t="n"/>
    </row>
    <row r="4754">
      <c r="A4754" s="4561" t="n"/>
      <c r="B4754" s="4561" t="n"/>
      <c r="C4754" s="4561" t="n"/>
      <c r="D4754" s="4561" t="n"/>
      <c r="E4754" s="4561" t="n"/>
      <c r="F4754" s="4561" t="n"/>
    </row>
    <row r="4755">
      <c r="A4755" s="4561" t="n"/>
      <c r="B4755" s="4561" t="n"/>
      <c r="C4755" s="4561" t="n"/>
      <c r="D4755" s="4561" t="n"/>
      <c r="E4755" s="4561" t="n"/>
      <c r="F4755" s="4561" t="n"/>
    </row>
    <row r="4756">
      <c r="A4756" s="4561" t="n"/>
      <c r="B4756" s="4561" t="n"/>
      <c r="C4756" s="4561" t="n"/>
      <c r="D4756" s="4561" t="n"/>
      <c r="E4756" s="4561" t="n"/>
      <c r="F4756" s="4561" t="n"/>
    </row>
    <row r="4757">
      <c r="A4757" s="4561" t="n"/>
      <c r="B4757" s="4561" t="n"/>
      <c r="C4757" s="4561" t="n"/>
      <c r="D4757" s="4561" t="n"/>
      <c r="E4757" s="4561" t="n"/>
      <c r="F4757" s="4561" t="n"/>
    </row>
    <row r="4758">
      <c r="A4758" s="4561" t="n"/>
      <c r="B4758" s="4561" t="n"/>
      <c r="C4758" s="4561" t="n"/>
      <c r="D4758" s="4561" t="n"/>
      <c r="E4758" s="4561" t="n"/>
      <c r="F4758" s="4561" t="n"/>
    </row>
    <row r="4759">
      <c r="A4759" s="4561" t="n"/>
      <c r="B4759" s="4561" t="n"/>
      <c r="C4759" s="4561" t="n"/>
      <c r="D4759" s="4561" t="n"/>
      <c r="E4759" s="4561" t="n"/>
      <c r="F4759" s="4561" t="n"/>
    </row>
    <row r="4760">
      <c r="A4760" s="4561" t="n"/>
      <c r="B4760" s="4561" t="n"/>
      <c r="C4760" s="4561" t="n"/>
      <c r="D4760" s="4561" t="n"/>
      <c r="E4760" s="4561" t="n"/>
      <c r="F4760" s="4561" t="n"/>
    </row>
    <row r="4761">
      <c r="A4761" s="4561" t="n"/>
      <c r="B4761" s="4561" t="n"/>
      <c r="C4761" s="4561" t="n"/>
      <c r="D4761" s="4561" t="n"/>
      <c r="E4761" s="4561" t="n"/>
      <c r="F4761" s="4561" t="n"/>
    </row>
    <row r="4762">
      <c r="A4762" s="4561" t="n"/>
      <c r="B4762" s="4561" t="n"/>
      <c r="C4762" s="4561" t="n"/>
      <c r="D4762" s="4561" t="n"/>
      <c r="E4762" s="4561" t="n"/>
      <c r="F4762" s="4561" t="n"/>
    </row>
    <row r="4763">
      <c r="A4763" s="4561" t="n"/>
      <c r="B4763" s="4561" t="n"/>
      <c r="C4763" s="4561" t="n"/>
      <c r="D4763" s="4561" t="n"/>
      <c r="E4763" s="4561" t="n"/>
      <c r="F4763" s="4561" t="n"/>
    </row>
    <row r="4764">
      <c r="A4764" s="4561" t="n"/>
      <c r="B4764" s="4561" t="n"/>
      <c r="C4764" s="4561" t="n"/>
      <c r="D4764" s="4561" t="n"/>
      <c r="E4764" s="4561" t="n"/>
      <c r="F4764" s="4561" t="n"/>
    </row>
    <row r="4765">
      <c r="A4765" s="4561" t="n"/>
      <c r="B4765" s="4561" t="n"/>
      <c r="C4765" s="4561" t="n"/>
      <c r="D4765" s="4561" t="n"/>
      <c r="E4765" s="4561" t="n"/>
      <c r="F4765" s="4561" t="n"/>
    </row>
    <row r="4766">
      <c r="A4766" s="4561" t="n"/>
      <c r="B4766" s="4561" t="n"/>
      <c r="C4766" s="4561" t="n"/>
      <c r="D4766" s="4561" t="n"/>
      <c r="E4766" s="4561" t="n"/>
      <c r="F4766" s="4561" t="n"/>
    </row>
    <row r="4767">
      <c r="A4767" s="4561" t="n"/>
      <c r="B4767" s="4561" t="n"/>
      <c r="C4767" s="4561" t="n"/>
      <c r="D4767" s="4561" t="n"/>
      <c r="E4767" s="4561" t="n"/>
      <c r="F4767" s="4561" t="n"/>
    </row>
    <row r="4768">
      <c r="A4768" s="4561" t="n"/>
      <c r="B4768" s="4561" t="n"/>
      <c r="C4768" s="4561" t="n"/>
      <c r="D4768" s="4561" t="n"/>
      <c r="E4768" s="4561" t="n"/>
      <c r="F4768" s="4561" t="n"/>
    </row>
    <row r="4769">
      <c r="A4769" s="4561" t="n"/>
      <c r="B4769" s="4561" t="n"/>
      <c r="C4769" s="4561" t="n"/>
      <c r="D4769" s="4561" t="n"/>
      <c r="E4769" s="4561" t="n"/>
      <c r="F4769" s="4561" t="n"/>
    </row>
    <row r="4770">
      <c r="A4770" s="4561" t="n"/>
      <c r="B4770" s="4561" t="n"/>
      <c r="C4770" s="4561" t="n"/>
      <c r="D4770" s="4561" t="n"/>
      <c r="E4770" s="4561" t="n"/>
      <c r="F4770" s="4561" t="n"/>
    </row>
    <row r="4771">
      <c r="A4771" s="4561" t="n"/>
      <c r="B4771" s="4561" t="n"/>
      <c r="C4771" s="4561" t="n"/>
      <c r="D4771" s="4561" t="n"/>
      <c r="E4771" s="4561" t="n"/>
      <c r="F4771" s="4561" t="n"/>
    </row>
    <row r="4772">
      <c r="A4772" s="4561" t="n"/>
      <c r="B4772" s="4561" t="n"/>
      <c r="C4772" s="4561" t="n"/>
      <c r="D4772" s="4561" t="n"/>
      <c r="E4772" s="4561" t="n"/>
      <c r="F4772" s="4561" t="n"/>
    </row>
    <row r="4773">
      <c r="A4773" s="4561" t="n"/>
      <c r="B4773" s="4561" t="n"/>
      <c r="C4773" s="4561" t="n"/>
      <c r="D4773" s="4561" t="n"/>
      <c r="E4773" s="4561" t="n"/>
      <c r="F4773" s="4561" t="n"/>
    </row>
    <row r="4774">
      <c r="A4774" s="4561" t="n"/>
      <c r="B4774" s="4561" t="n"/>
      <c r="C4774" s="4561" t="n"/>
      <c r="D4774" s="4561" t="n"/>
      <c r="E4774" s="4561" t="n"/>
      <c r="F4774" s="4561" t="n"/>
    </row>
    <row r="4775">
      <c r="A4775" s="4561" t="n"/>
      <c r="B4775" s="4561" t="n"/>
      <c r="C4775" s="4561" t="n"/>
      <c r="D4775" s="4561" t="n"/>
      <c r="E4775" s="4561" t="n"/>
      <c r="F4775" s="4561" t="n"/>
    </row>
    <row r="4776">
      <c r="A4776" s="4561" t="n"/>
      <c r="B4776" s="4561" t="n"/>
      <c r="C4776" s="4561" t="n"/>
      <c r="D4776" s="4561" t="n"/>
      <c r="E4776" s="4561" t="n"/>
      <c r="F4776" s="4561" t="n"/>
    </row>
    <row r="4777">
      <c r="A4777" s="4561" t="n"/>
      <c r="B4777" s="4561" t="n"/>
      <c r="C4777" s="4561" t="n"/>
      <c r="D4777" s="4561" t="n"/>
      <c r="E4777" s="4561" t="n"/>
      <c r="F4777" s="4561" t="n"/>
    </row>
    <row r="4778">
      <c r="A4778" s="4561" t="n"/>
      <c r="B4778" s="4561" t="n"/>
      <c r="C4778" s="4561" t="n"/>
      <c r="D4778" s="4561" t="n"/>
      <c r="E4778" s="4561" t="n"/>
      <c r="F4778" s="4561" t="n"/>
    </row>
    <row r="4779">
      <c r="A4779" s="4561" t="n"/>
      <c r="B4779" s="4561" t="n"/>
      <c r="C4779" s="4561" t="n"/>
      <c r="D4779" s="4561" t="n"/>
      <c r="E4779" s="4561" t="n"/>
      <c r="F4779" s="4561" t="n"/>
    </row>
    <row r="4780">
      <c r="A4780" s="4561" t="n"/>
      <c r="B4780" s="4561" t="n"/>
      <c r="C4780" s="4561" t="n"/>
      <c r="D4780" s="4561" t="n"/>
      <c r="E4780" s="4561" t="n"/>
      <c r="F4780" s="4561" t="n"/>
    </row>
    <row r="4781">
      <c r="A4781" s="4561" t="n"/>
      <c r="B4781" s="4561" t="n"/>
      <c r="C4781" s="4561" t="n"/>
      <c r="D4781" s="4561" t="n"/>
      <c r="E4781" s="4561" t="n"/>
      <c r="F4781" s="4561" t="n"/>
    </row>
    <row r="4782">
      <c r="A4782" s="4561" t="n"/>
      <c r="B4782" s="4561" t="n"/>
      <c r="C4782" s="4561" t="n"/>
      <c r="D4782" s="4561" t="n"/>
      <c r="E4782" s="4561" t="n"/>
      <c r="F4782" s="4561" t="n"/>
    </row>
    <row r="4783">
      <c r="A4783" s="4561" t="n"/>
      <c r="B4783" s="4561" t="n"/>
      <c r="C4783" s="4561" t="n"/>
      <c r="D4783" s="4561" t="n"/>
      <c r="E4783" s="4561" t="n"/>
      <c r="F4783" s="4561" t="n"/>
    </row>
    <row r="4784">
      <c r="A4784" s="4561" t="n"/>
      <c r="B4784" s="4561" t="n"/>
      <c r="C4784" s="4561" t="n"/>
      <c r="D4784" s="4561" t="n"/>
      <c r="E4784" s="4561" t="n"/>
      <c r="F4784" s="4561" t="n"/>
    </row>
    <row r="4785">
      <c r="A4785" s="4561" t="n"/>
      <c r="B4785" s="4561" t="n"/>
      <c r="C4785" s="4561" t="n"/>
      <c r="D4785" s="4561" t="n"/>
      <c r="E4785" s="4561" t="n"/>
      <c r="F4785" s="4561" t="n"/>
    </row>
    <row r="4786">
      <c r="A4786" s="4561" t="n"/>
      <c r="B4786" s="4561" t="n"/>
      <c r="C4786" s="4561" t="n"/>
      <c r="D4786" s="4561" t="n"/>
      <c r="E4786" s="4561" t="n"/>
      <c r="F4786" s="4561" t="n"/>
    </row>
    <row r="4787">
      <c r="A4787" s="4561" t="n"/>
      <c r="B4787" s="4561" t="n"/>
      <c r="C4787" s="4561" t="n"/>
      <c r="D4787" s="4561" t="n"/>
      <c r="E4787" s="4561" t="n"/>
      <c r="F4787" s="4561" t="n"/>
    </row>
    <row r="4788">
      <c r="A4788" s="4561" t="n"/>
      <c r="B4788" s="4561" t="n"/>
      <c r="C4788" s="4561" t="n"/>
      <c r="D4788" s="4561" t="n"/>
      <c r="E4788" s="4561" t="n"/>
      <c r="F4788" s="4561" t="n"/>
    </row>
    <row r="4789">
      <c r="A4789" s="4561" t="n"/>
      <c r="B4789" s="4561" t="n"/>
      <c r="C4789" s="4561" t="n"/>
      <c r="D4789" s="4561" t="n"/>
      <c r="E4789" s="4561" t="n"/>
      <c r="F4789" s="4561" t="n"/>
    </row>
    <row r="4790">
      <c r="A4790" s="4561" t="n"/>
      <c r="B4790" s="4561" t="n"/>
      <c r="C4790" s="4561" t="n"/>
      <c r="D4790" s="4561" t="n"/>
      <c r="E4790" s="4561" t="n"/>
      <c r="F4790" s="4561" t="n"/>
    </row>
    <row r="4791">
      <c r="A4791" s="4561" t="n"/>
      <c r="B4791" s="4561" t="n"/>
      <c r="C4791" s="4561" t="n"/>
      <c r="D4791" s="4561" t="n"/>
      <c r="E4791" s="4561" t="n"/>
      <c r="F4791" s="4561" t="n"/>
    </row>
    <row r="4792">
      <c r="A4792" s="4561" t="n"/>
      <c r="B4792" s="4561" t="n"/>
      <c r="C4792" s="4561" t="n"/>
      <c r="D4792" s="4561" t="n"/>
      <c r="E4792" s="4561" t="n"/>
      <c r="F4792" s="4561" t="n"/>
    </row>
    <row r="4793">
      <c r="A4793" s="4561" t="n"/>
      <c r="B4793" s="4561" t="n"/>
      <c r="C4793" s="4561" t="n"/>
      <c r="D4793" s="4561" t="n"/>
      <c r="E4793" s="4561" t="n"/>
      <c r="F4793" s="4561" t="n"/>
    </row>
    <row r="4794">
      <c r="A4794" s="4561" t="n"/>
      <c r="B4794" s="4561" t="n"/>
      <c r="C4794" s="4561" t="n"/>
      <c r="D4794" s="4561" t="n"/>
      <c r="E4794" s="4561" t="n"/>
      <c r="F4794" s="4561" t="n"/>
    </row>
    <row r="4795">
      <c r="A4795" s="4561" t="n"/>
      <c r="B4795" s="4561" t="n"/>
      <c r="C4795" s="4561" t="n"/>
      <c r="D4795" s="4561" t="n"/>
      <c r="E4795" s="4561" t="n"/>
      <c r="F4795" s="4561" t="n"/>
    </row>
    <row r="4796">
      <c r="A4796" s="4561" t="n"/>
      <c r="B4796" s="4561" t="n"/>
      <c r="C4796" s="4561" t="n"/>
      <c r="D4796" s="4561" t="n"/>
      <c r="E4796" s="4561" t="n"/>
      <c r="F4796" s="4561" t="n"/>
    </row>
    <row r="4797">
      <c r="A4797" s="4561" t="n"/>
      <c r="B4797" s="4561" t="n"/>
      <c r="C4797" s="4561" t="n"/>
      <c r="D4797" s="4561" t="n"/>
      <c r="E4797" s="4561" t="n"/>
      <c r="F4797" s="4561" t="n"/>
    </row>
    <row r="4798">
      <c r="A4798" s="4561" t="n"/>
      <c r="B4798" s="4561" t="n"/>
      <c r="C4798" s="4561" t="n"/>
      <c r="D4798" s="4561" t="n"/>
      <c r="E4798" s="4561" t="n"/>
      <c r="F4798" s="4561" t="n"/>
    </row>
    <row r="4799">
      <c r="A4799" s="4561" t="n"/>
      <c r="B4799" s="4561" t="n"/>
      <c r="C4799" s="4561" t="n"/>
      <c r="D4799" s="4561" t="n"/>
      <c r="E4799" s="4561" t="n"/>
      <c r="F4799" s="4561" t="n"/>
    </row>
    <row r="4800">
      <c r="A4800" s="4561" t="n"/>
      <c r="B4800" s="4561" t="n"/>
      <c r="C4800" s="4561" t="n"/>
      <c r="D4800" s="4561" t="n"/>
      <c r="E4800" s="4561" t="n"/>
      <c r="F4800" s="4561" t="n"/>
    </row>
    <row r="4801">
      <c r="A4801" s="4561" t="n"/>
      <c r="B4801" s="4561" t="n"/>
      <c r="C4801" s="4561" t="n"/>
      <c r="D4801" s="4561" t="n"/>
      <c r="E4801" s="4561" t="n"/>
      <c r="F4801" s="4561" t="n"/>
    </row>
    <row r="4802">
      <c r="A4802" s="4561" t="n"/>
      <c r="B4802" s="4561" t="n"/>
      <c r="C4802" s="4561" t="n"/>
      <c r="D4802" s="4561" t="n"/>
      <c r="E4802" s="4561" t="n"/>
      <c r="F4802" s="4561" t="n"/>
    </row>
    <row r="4803">
      <c r="A4803" s="4561" t="n"/>
      <c r="B4803" s="4561" t="n"/>
      <c r="C4803" s="4561" t="n"/>
      <c r="D4803" s="4561" t="n"/>
      <c r="E4803" s="4561" t="n"/>
      <c r="F4803" s="4561" t="n"/>
    </row>
    <row r="4804">
      <c r="A4804" s="4561" t="n"/>
      <c r="B4804" s="4561" t="n"/>
      <c r="C4804" s="4561" t="n"/>
      <c r="D4804" s="4561" t="n"/>
      <c r="E4804" s="4561" t="n"/>
      <c r="F4804" s="4561" t="n"/>
    </row>
    <row r="4805">
      <c r="A4805" s="4561" t="n"/>
      <c r="B4805" s="4561" t="n"/>
      <c r="C4805" s="4561" t="n"/>
      <c r="D4805" s="4561" t="n"/>
      <c r="E4805" s="4561" t="n"/>
      <c r="F4805" s="4561" t="n"/>
    </row>
    <row r="4806">
      <c r="A4806" s="4561" t="n"/>
      <c r="B4806" s="4561" t="n"/>
      <c r="C4806" s="4561" t="n"/>
      <c r="D4806" s="4561" t="n"/>
      <c r="E4806" s="4561" t="n"/>
      <c r="F4806" s="4561" t="n"/>
    </row>
    <row r="4807">
      <c r="A4807" s="4561" t="n"/>
      <c r="B4807" s="4561" t="n"/>
      <c r="C4807" s="4561" t="n"/>
      <c r="D4807" s="4561" t="n"/>
      <c r="E4807" s="4561" t="n"/>
      <c r="F4807" s="4561" t="n"/>
    </row>
    <row r="4808">
      <c r="A4808" s="4561" t="n"/>
      <c r="B4808" s="4561" t="n"/>
      <c r="C4808" s="4561" t="n"/>
      <c r="D4808" s="4561" t="n"/>
      <c r="E4808" s="4561" t="n"/>
      <c r="F4808" s="4561" t="n"/>
    </row>
    <row r="4809">
      <c r="A4809" s="4561" t="n"/>
      <c r="B4809" s="4561" t="n"/>
      <c r="C4809" s="4561" t="n"/>
      <c r="D4809" s="4561" t="n"/>
      <c r="E4809" s="4561" t="n"/>
      <c r="F4809" s="4561" t="n"/>
    </row>
    <row r="4810">
      <c r="A4810" s="4561" t="n"/>
      <c r="B4810" s="4561" t="n"/>
      <c r="C4810" s="4561" t="n"/>
      <c r="D4810" s="4561" t="n"/>
      <c r="E4810" s="4561" t="n"/>
      <c r="F4810" s="4561" t="n"/>
    </row>
    <row r="4811">
      <c r="A4811" s="4561" t="n"/>
      <c r="B4811" s="4561" t="n"/>
      <c r="C4811" s="4561" t="n"/>
      <c r="D4811" s="4561" t="n"/>
      <c r="E4811" s="4561" t="n"/>
      <c r="F4811" s="4561" t="n"/>
    </row>
    <row r="4812">
      <c r="A4812" s="4561" t="n"/>
      <c r="B4812" s="4561" t="n"/>
      <c r="C4812" s="4561" t="n"/>
      <c r="D4812" s="4561" t="n"/>
      <c r="E4812" s="4561" t="n"/>
      <c r="F4812" s="4561" t="n"/>
    </row>
    <row r="4813">
      <c r="A4813" s="4561" t="n"/>
      <c r="B4813" s="4561" t="n"/>
      <c r="C4813" s="4561" t="n"/>
      <c r="D4813" s="4561" t="n"/>
      <c r="E4813" s="4561" t="n"/>
      <c r="F4813" s="4561" t="n"/>
    </row>
    <row r="4814">
      <c r="A4814" s="4561" t="n"/>
      <c r="B4814" s="4561" t="n"/>
      <c r="C4814" s="4561" t="n"/>
      <c r="D4814" s="4561" t="n"/>
      <c r="E4814" s="4561" t="n"/>
      <c r="F4814" s="4561" t="n"/>
    </row>
    <row r="4815">
      <c r="A4815" s="4561" t="n"/>
      <c r="B4815" s="4561" t="n"/>
      <c r="C4815" s="4561" t="n"/>
      <c r="D4815" s="4561" t="n"/>
      <c r="E4815" s="4561" t="n"/>
      <c r="F4815" s="4561" t="n"/>
    </row>
    <row r="4816">
      <c r="A4816" s="4561" t="n"/>
      <c r="B4816" s="4561" t="n"/>
      <c r="C4816" s="4561" t="n"/>
      <c r="D4816" s="4561" t="n"/>
      <c r="E4816" s="4561" t="n"/>
      <c r="F4816" s="4561" t="n"/>
    </row>
    <row r="4817">
      <c r="A4817" s="4561" t="n"/>
      <c r="B4817" s="4561" t="n"/>
      <c r="C4817" s="4561" t="n"/>
      <c r="D4817" s="4561" t="n"/>
      <c r="E4817" s="4561" t="n"/>
      <c r="F4817" s="4561" t="n"/>
    </row>
    <row r="4818">
      <c r="A4818" s="4561" t="n"/>
      <c r="B4818" s="4561" t="n"/>
      <c r="C4818" s="4561" t="n"/>
      <c r="D4818" s="4561" t="n"/>
      <c r="E4818" s="4561" t="n"/>
      <c r="F4818" s="4561" t="n"/>
    </row>
    <row r="4819">
      <c r="A4819" s="4561" t="n"/>
      <c r="B4819" s="4561" t="n"/>
      <c r="C4819" s="4561" t="n"/>
      <c r="D4819" s="4561" t="n"/>
      <c r="E4819" s="4561" t="n"/>
      <c r="F4819" s="4561" t="n"/>
    </row>
    <row r="4820">
      <c r="A4820" s="4561" t="n"/>
      <c r="B4820" s="4561" t="n"/>
      <c r="C4820" s="4561" t="n"/>
      <c r="D4820" s="4561" t="n"/>
      <c r="E4820" s="4561" t="n"/>
      <c r="F4820" s="4561" t="n"/>
    </row>
    <row r="4821">
      <c r="A4821" s="4561" t="n"/>
      <c r="B4821" s="4561" t="n"/>
      <c r="C4821" s="4561" t="n"/>
      <c r="D4821" s="4561" t="n"/>
      <c r="E4821" s="4561" t="n"/>
      <c r="F4821" s="4561" t="n"/>
    </row>
    <row r="4822">
      <c r="A4822" s="4561" t="n"/>
      <c r="B4822" s="4561" t="n"/>
      <c r="C4822" s="4561" t="n"/>
      <c r="D4822" s="4561" t="n"/>
      <c r="E4822" s="4561" t="n"/>
      <c r="F4822" s="4561" t="n"/>
    </row>
    <row r="4823">
      <c r="A4823" s="4561" t="n"/>
      <c r="B4823" s="4561" t="n"/>
      <c r="C4823" s="4561" t="n"/>
      <c r="D4823" s="4561" t="n"/>
      <c r="E4823" s="4561" t="n"/>
      <c r="F4823" s="4561" t="n"/>
    </row>
    <row r="4824">
      <c r="A4824" s="4561" t="n"/>
      <c r="B4824" s="4561" t="n"/>
      <c r="C4824" s="4561" t="n"/>
      <c r="D4824" s="4561" t="n"/>
      <c r="E4824" s="4561" t="n"/>
      <c r="F4824" s="4561" t="n"/>
    </row>
    <row r="4825">
      <c r="A4825" s="4561" t="n"/>
      <c r="B4825" s="4561" t="n"/>
      <c r="C4825" s="4561" t="n"/>
      <c r="D4825" s="4561" t="n"/>
      <c r="E4825" s="4561" t="n"/>
      <c r="F4825" s="4561" t="n"/>
    </row>
    <row r="4826">
      <c r="A4826" s="4561" t="n"/>
      <c r="B4826" s="4561" t="n"/>
      <c r="C4826" s="4561" t="n"/>
      <c r="D4826" s="4561" t="n"/>
      <c r="E4826" s="4561" t="n"/>
      <c r="F4826" s="4561" t="n"/>
    </row>
    <row r="4827">
      <c r="A4827" s="4561" t="n"/>
      <c r="B4827" s="4561" t="n"/>
      <c r="C4827" s="4561" t="n"/>
      <c r="D4827" s="4561" t="n"/>
      <c r="E4827" s="4561" t="n"/>
      <c r="F4827" s="4561" t="n"/>
    </row>
    <row r="4828">
      <c r="A4828" s="4561" t="n"/>
      <c r="B4828" s="4561" t="n"/>
      <c r="C4828" s="4561" t="n"/>
      <c r="D4828" s="4561" t="n"/>
      <c r="E4828" s="4561" t="n"/>
      <c r="F4828" s="4561" t="n"/>
    </row>
    <row r="4829">
      <c r="A4829" s="4561" t="n"/>
      <c r="B4829" s="4561" t="n"/>
      <c r="C4829" s="4561" t="n"/>
      <c r="D4829" s="4561" t="n"/>
      <c r="E4829" s="4561" t="n"/>
      <c r="F4829" s="4561" t="n"/>
    </row>
    <row r="4830">
      <c r="A4830" s="4561" t="n"/>
      <c r="B4830" s="4561" t="n"/>
      <c r="C4830" s="4561" t="n"/>
      <c r="D4830" s="4561" t="n"/>
      <c r="E4830" s="4561" t="n"/>
      <c r="F4830" s="4561" t="n"/>
    </row>
    <row r="4831">
      <c r="A4831" s="4561" t="n"/>
      <c r="B4831" s="4561" t="n"/>
      <c r="C4831" s="4561" t="n"/>
      <c r="D4831" s="4561" t="n"/>
      <c r="E4831" s="4561" t="n"/>
      <c r="F4831" s="4561" t="n"/>
    </row>
    <row r="4832">
      <c r="A4832" s="4561" t="n"/>
      <c r="B4832" s="4561" t="n"/>
      <c r="C4832" s="4561" t="n"/>
      <c r="D4832" s="4561" t="n"/>
      <c r="E4832" s="4561" t="n"/>
      <c r="F4832" s="4561" t="n"/>
    </row>
    <row r="4833">
      <c r="A4833" s="4561" t="n"/>
      <c r="B4833" s="4561" t="n"/>
      <c r="C4833" s="4561" t="n"/>
      <c r="D4833" s="4561" t="n"/>
      <c r="E4833" s="4561" t="n"/>
      <c r="F4833" s="4561" t="n"/>
    </row>
    <row r="4834">
      <c r="A4834" s="4561" t="n"/>
      <c r="B4834" s="4561" t="n"/>
      <c r="C4834" s="4561" t="n"/>
      <c r="D4834" s="4561" t="n"/>
      <c r="E4834" s="4561" t="n"/>
      <c r="F4834" s="4561" t="n"/>
    </row>
    <row r="4835">
      <c r="A4835" s="4561" t="n"/>
      <c r="B4835" s="4561" t="n"/>
      <c r="C4835" s="4561" t="n"/>
      <c r="D4835" s="4561" t="n"/>
      <c r="E4835" s="4561" t="n"/>
      <c r="F4835" s="4561" t="n"/>
    </row>
    <row r="4836">
      <c r="A4836" s="4561" t="n"/>
      <c r="B4836" s="4561" t="n"/>
      <c r="C4836" s="4561" t="n"/>
      <c r="D4836" s="4561" t="n"/>
      <c r="E4836" s="4561" t="n"/>
      <c r="F4836" s="4561" t="n"/>
    </row>
    <row r="4837">
      <c r="A4837" s="4561" t="n"/>
      <c r="B4837" s="4561" t="n"/>
      <c r="C4837" s="4561" t="n"/>
      <c r="D4837" s="4561" t="n"/>
      <c r="E4837" s="4561" t="n"/>
      <c r="F4837" s="4561" t="n"/>
    </row>
    <row r="4838">
      <c r="A4838" s="4561" t="n"/>
      <c r="B4838" s="4561" t="n"/>
      <c r="C4838" s="4561" t="n"/>
      <c r="D4838" s="4561" t="n"/>
      <c r="E4838" s="4561" t="n"/>
      <c r="F4838" s="4561" t="n"/>
    </row>
    <row r="4839">
      <c r="A4839" s="4561" t="n"/>
      <c r="B4839" s="4561" t="n"/>
      <c r="C4839" s="4561" t="n"/>
      <c r="D4839" s="4561" t="n"/>
      <c r="E4839" s="4561" t="n"/>
      <c r="F4839" s="4561" t="n"/>
    </row>
    <row r="4840">
      <c r="A4840" s="4561" t="n"/>
      <c r="B4840" s="4561" t="n"/>
      <c r="C4840" s="4561" t="n"/>
      <c r="D4840" s="4561" t="n"/>
      <c r="E4840" s="4561" t="n"/>
      <c r="F4840" s="4561" t="n"/>
    </row>
    <row r="4841">
      <c r="A4841" s="4561" t="n"/>
      <c r="B4841" s="4561" t="n"/>
      <c r="C4841" s="4561" t="n"/>
      <c r="D4841" s="4561" t="n"/>
      <c r="E4841" s="4561" t="n"/>
      <c r="F4841" s="4561" t="n"/>
    </row>
    <row r="4842">
      <c r="A4842" s="4561" t="n"/>
      <c r="B4842" s="4561" t="n"/>
      <c r="C4842" s="4561" t="n"/>
      <c r="D4842" s="4561" t="n"/>
      <c r="E4842" s="4561" t="n"/>
      <c r="F4842" s="4561" t="n"/>
    </row>
    <row r="4843">
      <c r="A4843" s="4561" t="n"/>
      <c r="B4843" s="4561" t="n"/>
      <c r="C4843" s="4561" t="n"/>
      <c r="D4843" s="4561" t="n"/>
      <c r="E4843" s="4561" t="n"/>
      <c r="F4843" s="4561" t="n"/>
    </row>
    <row r="4844">
      <c r="A4844" s="4561" t="n"/>
      <c r="B4844" s="4561" t="n"/>
      <c r="C4844" s="4561" t="n"/>
      <c r="D4844" s="4561" t="n"/>
      <c r="E4844" s="4561" t="n"/>
      <c r="F4844" s="4561" t="n"/>
    </row>
    <row r="4845">
      <c r="A4845" s="4561" t="n"/>
      <c r="B4845" s="4561" t="n"/>
      <c r="C4845" s="4561" t="n"/>
      <c r="D4845" s="4561" t="n"/>
      <c r="E4845" s="4561" t="n"/>
      <c r="F4845" s="4561" t="n"/>
    </row>
    <row r="4846">
      <c r="A4846" s="4561" t="n"/>
      <c r="B4846" s="4561" t="n"/>
      <c r="C4846" s="4561" t="n"/>
      <c r="D4846" s="4561" t="n"/>
      <c r="E4846" s="4561" t="n"/>
      <c r="F4846" s="4561" t="n"/>
    </row>
    <row r="4847">
      <c r="A4847" s="4561" t="n"/>
      <c r="B4847" s="4561" t="n"/>
      <c r="C4847" s="4561" t="n"/>
      <c r="D4847" s="4561" t="n"/>
      <c r="E4847" s="4561" t="n"/>
      <c r="F4847" s="4561" t="n"/>
    </row>
    <row r="4848">
      <c r="A4848" s="4561" t="n"/>
      <c r="B4848" s="4561" t="n"/>
      <c r="C4848" s="4561" t="n"/>
      <c r="D4848" s="4561" t="n"/>
      <c r="E4848" s="4561" t="n"/>
      <c r="F4848" s="4561" t="n"/>
    </row>
    <row r="4849">
      <c r="A4849" s="4561" t="n"/>
      <c r="B4849" s="4561" t="n"/>
      <c r="C4849" s="4561" t="n"/>
      <c r="D4849" s="4561" t="n"/>
      <c r="E4849" s="4561" t="n"/>
      <c r="F4849" s="4561" t="n"/>
    </row>
    <row r="4850">
      <c r="A4850" s="4561" t="n"/>
      <c r="B4850" s="4561" t="n"/>
      <c r="C4850" s="4561" t="n"/>
      <c r="D4850" s="4561" t="n"/>
      <c r="E4850" s="4561" t="n"/>
      <c r="F4850" s="4561" t="n"/>
    </row>
    <row r="4851">
      <c r="A4851" s="4561" t="n"/>
      <c r="B4851" s="4561" t="n"/>
      <c r="C4851" s="4561" t="n"/>
      <c r="D4851" s="4561" t="n"/>
      <c r="E4851" s="4561" t="n"/>
      <c r="F4851" s="4561" t="n"/>
    </row>
    <row r="4852">
      <c r="A4852" s="4561" t="n"/>
      <c r="B4852" s="4561" t="n"/>
      <c r="C4852" s="4561" t="n"/>
      <c r="D4852" s="4561" t="n"/>
      <c r="E4852" s="4561" t="n"/>
      <c r="F4852" s="4561" t="n"/>
    </row>
    <row r="4853">
      <c r="A4853" s="4561" t="n"/>
      <c r="B4853" s="4561" t="n"/>
      <c r="C4853" s="4561" t="n"/>
      <c r="D4853" s="4561" t="n"/>
      <c r="E4853" s="4561" t="n"/>
      <c r="F4853" s="4561" t="n"/>
    </row>
    <row r="4854">
      <c r="A4854" s="4561" t="n"/>
      <c r="B4854" s="4561" t="n"/>
      <c r="C4854" s="4561" t="n"/>
      <c r="D4854" s="4561" t="n"/>
      <c r="E4854" s="4561" t="n"/>
      <c r="F4854" s="4561" t="n"/>
    </row>
    <row r="4855">
      <c r="A4855" s="4561" t="n"/>
      <c r="B4855" s="4561" t="n"/>
      <c r="C4855" s="4561" t="n"/>
      <c r="D4855" s="4561" t="n"/>
      <c r="E4855" s="4561" t="n"/>
      <c r="F4855" s="4561" t="n"/>
    </row>
    <row r="4856">
      <c r="A4856" s="4561" t="n"/>
      <c r="B4856" s="4561" t="n"/>
      <c r="C4856" s="4561" t="n"/>
      <c r="D4856" s="4561" t="n"/>
      <c r="E4856" s="4561" t="n"/>
      <c r="F4856" s="4561" t="n"/>
    </row>
    <row r="4857">
      <c r="A4857" s="4561" t="n"/>
      <c r="B4857" s="4561" t="n"/>
      <c r="C4857" s="4561" t="n"/>
      <c r="D4857" s="4561" t="n"/>
      <c r="E4857" s="4561" t="n"/>
      <c r="F4857" s="4561" t="n"/>
    </row>
    <row r="4858">
      <c r="A4858" s="4561" t="n"/>
      <c r="B4858" s="4561" t="n"/>
      <c r="C4858" s="4561" t="n"/>
      <c r="D4858" s="4561" t="n"/>
      <c r="E4858" s="4561" t="n"/>
      <c r="F4858" s="4561" t="n"/>
    </row>
    <row r="4859">
      <c r="A4859" s="4561" t="n"/>
      <c r="B4859" s="4561" t="n"/>
      <c r="C4859" s="4561" t="n"/>
      <c r="D4859" s="4561" t="n"/>
      <c r="E4859" s="4561" t="n"/>
      <c r="F4859" s="4561" t="n"/>
    </row>
    <row r="4860">
      <c r="A4860" s="4561" t="n"/>
      <c r="B4860" s="4561" t="n"/>
      <c r="C4860" s="4561" t="n"/>
      <c r="D4860" s="4561" t="n"/>
      <c r="E4860" s="4561" t="n"/>
      <c r="F4860" s="4561" t="n"/>
    </row>
    <row r="4861">
      <c r="A4861" s="4561" t="n"/>
      <c r="B4861" s="4561" t="n"/>
      <c r="C4861" s="4561" t="n"/>
      <c r="D4861" s="4561" t="n"/>
      <c r="E4861" s="4561" t="n"/>
      <c r="F4861" s="4561" t="n"/>
    </row>
    <row r="4862">
      <c r="A4862" s="4561" t="n"/>
      <c r="B4862" s="4561" t="n"/>
      <c r="C4862" s="4561" t="n"/>
      <c r="D4862" s="4561" t="n"/>
      <c r="E4862" s="4561" t="n"/>
      <c r="F4862" s="4561" t="n"/>
    </row>
    <row r="4863">
      <c r="A4863" s="4561" t="n"/>
      <c r="B4863" s="4561" t="n"/>
      <c r="C4863" s="4561" t="n"/>
      <c r="D4863" s="4561" t="n"/>
      <c r="E4863" s="4561" t="n"/>
      <c r="F4863" s="4561" t="n"/>
    </row>
    <row r="4864">
      <c r="A4864" s="4561" t="n"/>
      <c r="B4864" s="4561" t="n"/>
      <c r="C4864" s="4561" t="n"/>
      <c r="D4864" s="4561" t="n"/>
      <c r="E4864" s="4561" t="n"/>
      <c r="F4864" s="4561" t="n"/>
    </row>
    <row r="4865">
      <c r="A4865" s="4561" t="n"/>
      <c r="B4865" s="4561" t="n"/>
      <c r="C4865" s="4561" t="n"/>
      <c r="D4865" s="4561" t="n"/>
      <c r="E4865" s="4561" t="n"/>
      <c r="F4865" s="4561" t="n"/>
    </row>
    <row r="4866">
      <c r="A4866" s="4561" t="n"/>
      <c r="B4866" s="4561" t="n"/>
      <c r="C4866" s="4561" t="n"/>
      <c r="D4866" s="4561" t="n"/>
      <c r="E4866" s="4561" t="n"/>
      <c r="F4866" s="4561" t="n"/>
    </row>
    <row r="4867">
      <c r="A4867" s="4561" t="n"/>
      <c r="B4867" s="4561" t="n"/>
      <c r="C4867" s="4561" t="n"/>
      <c r="D4867" s="4561" t="n"/>
      <c r="E4867" s="4561" t="n"/>
      <c r="F4867" s="4561" t="n"/>
    </row>
    <row r="4868">
      <c r="A4868" s="4561" t="n"/>
      <c r="B4868" s="4561" t="n"/>
      <c r="C4868" s="4561" t="n"/>
      <c r="D4868" s="4561" t="n"/>
      <c r="E4868" s="4561" t="n"/>
      <c r="F4868" s="4561" t="n"/>
    </row>
    <row r="4869">
      <c r="A4869" s="4561" t="n"/>
      <c r="B4869" s="4561" t="n"/>
      <c r="C4869" s="4561" t="n"/>
      <c r="D4869" s="4561" t="n"/>
      <c r="E4869" s="4561" t="n"/>
      <c r="F4869" s="4561" t="n"/>
    </row>
    <row r="4870">
      <c r="A4870" s="4561" t="n"/>
      <c r="B4870" s="4561" t="n"/>
      <c r="C4870" s="4561" t="n"/>
      <c r="D4870" s="4561" t="n"/>
      <c r="E4870" s="4561" t="n"/>
      <c r="F4870" s="4561" t="n"/>
    </row>
    <row r="4871">
      <c r="A4871" s="4561" t="n"/>
      <c r="B4871" s="4561" t="n"/>
      <c r="C4871" s="4561" t="n"/>
      <c r="D4871" s="4561" t="n"/>
      <c r="E4871" s="4561" t="n"/>
      <c r="F4871" s="4561" t="n"/>
    </row>
    <row r="4872">
      <c r="A4872" s="4561" t="n"/>
      <c r="B4872" s="4561" t="n"/>
      <c r="C4872" s="4561" t="n"/>
      <c r="D4872" s="4561" t="n"/>
      <c r="E4872" s="4561" t="n"/>
      <c r="F4872" s="4561" t="n"/>
    </row>
    <row r="4873">
      <c r="A4873" s="4561" t="n"/>
      <c r="B4873" s="4561" t="n"/>
      <c r="C4873" s="4561" t="n"/>
      <c r="D4873" s="4561" t="n"/>
      <c r="E4873" s="4561" t="n"/>
      <c r="F4873" s="4561" t="n"/>
    </row>
    <row r="4874">
      <c r="A4874" s="4561" t="n"/>
      <c r="B4874" s="4561" t="n"/>
      <c r="C4874" s="4561" t="n"/>
      <c r="D4874" s="4561" t="n"/>
      <c r="E4874" s="4561" t="n"/>
      <c r="F4874" s="4561" t="n"/>
    </row>
    <row r="4875">
      <c r="A4875" s="4561" t="n"/>
      <c r="B4875" s="4561" t="n"/>
      <c r="C4875" s="4561" t="n"/>
      <c r="D4875" s="4561" t="n"/>
      <c r="E4875" s="4561" t="n"/>
      <c r="F4875" s="4561" t="n"/>
    </row>
    <row r="4876">
      <c r="A4876" s="4561" t="n"/>
      <c r="B4876" s="4561" t="n"/>
      <c r="C4876" s="4561" t="n"/>
      <c r="D4876" s="4561" t="n"/>
      <c r="E4876" s="4561" t="n"/>
      <c r="F4876" s="4561" t="n"/>
    </row>
    <row r="4877">
      <c r="A4877" s="4561" t="n"/>
      <c r="B4877" s="4561" t="n"/>
      <c r="C4877" s="4561" t="n"/>
      <c r="D4877" s="4561" t="n"/>
      <c r="E4877" s="4561" t="n"/>
      <c r="F4877" s="4561" t="n"/>
    </row>
    <row r="4878">
      <c r="A4878" s="4561" t="n"/>
      <c r="B4878" s="4561" t="n"/>
      <c r="C4878" s="4561" t="n"/>
      <c r="D4878" s="4561" t="n"/>
      <c r="E4878" s="4561" t="n"/>
      <c r="F4878" s="4561" t="n"/>
    </row>
    <row r="4879">
      <c r="A4879" s="4561" t="n"/>
      <c r="B4879" s="4561" t="n"/>
      <c r="C4879" s="4561" t="n"/>
      <c r="D4879" s="4561" t="n"/>
      <c r="E4879" s="4561" t="n"/>
      <c r="F4879" s="4561" t="n"/>
    </row>
    <row r="4880">
      <c r="A4880" s="4561" t="n"/>
      <c r="B4880" s="4561" t="n"/>
      <c r="C4880" s="4561" t="n"/>
      <c r="D4880" s="4561" t="n"/>
      <c r="E4880" s="4561" t="n"/>
      <c r="F4880" s="4561" t="n"/>
    </row>
    <row r="4881">
      <c r="A4881" s="4561" t="n"/>
      <c r="B4881" s="4561" t="n"/>
      <c r="C4881" s="4561" t="n"/>
      <c r="D4881" s="4561" t="n"/>
      <c r="E4881" s="4561" t="n"/>
      <c r="F4881" s="4561" t="n"/>
    </row>
    <row r="4882">
      <c r="A4882" s="4561" t="n"/>
      <c r="B4882" s="4561" t="n"/>
      <c r="C4882" s="4561" t="n"/>
      <c r="D4882" s="4561" t="n"/>
      <c r="E4882" s="4561" t="n"/>
      <c r="F4882" s="4561" t="n"/>
    </row>
    <row r="4883">
      <c r="A4883" s="4561" t="n"/>
      <c r="B4883" s="4561" t="n"/>
      <c r="C4883" s="4561" t="n"/>
      <c r="D4883" s="4561" t="n"/>
      <c r="E4883" s="4561" t="n"/>
      <c r="F4883" s="4561" t="n"/>
    </row>
    <row r="4884">
      <c r="A4884" s="4561" t="n"/>
      <c r="B4884" s="4561" t="n"/>
      <c r="C4884" s="4561" t="n"/>
      <c r="D4884" s="4561" t="n"/>
      <c r="E4884" s="4561" t="n"/>
      <c r="F4884" s="4561" t="n"/>
    </row>
    <row r="4885">
      <c r="A4885" s="4561" t="n"/>
      <c r="B4885" s="4561" t="n"/>
      <c r="C4885" s="4561" t="n"/>
      <c r="D4885" s="4561" t="n"/>
      <c r="E4885" s="4561" t="n"/>
      <c r="F4885" s="4561" t="n"/>
    </row>
    <row r="4886">
      <c r="A4886" s="4561" t="n"/>
      <c r="B4886" s="4561" t="n"/>
      <c r="C4886" s="4561" t="n"/>
      <c r="D4886" s="4561" t="n"/>
      <c r="E4886" s="4561" t="n"/>
      <c r="F4886" s="4561" t="n"/>
    </row>
    <row r="4887">
      <c r="A4887" s="4561" t="n"/>
      <c r="B4887" s="4561" t="n"/>
      <c r="C4887" s="4561" t="n"/>
      <c r="D4887" s="4561" t="n"/>
      <c r="E4887" s="4561" t="n"/>
      <c r="F4887" s="4561" t="n"/>
    </row>
    <row r="4888">
      <c r="A4888" s="4561" t="n"/>
      <c r="B4888" s="4561" t="n"/>
      <c r="C4888" s="4561" t="n"/>
      <c r="D4888" s="4561" t="n"/>
      <c r="E4888" s="4561" t="n"/>
      <c r="F4888" s="4561" t="n"/>
    </row>
    <row r="4889">
      <c r="A4889" s="4561" t="n"/>
      <c r="B4889" s="4561" t="n"/>
      <c r="C4889" s="4561" t="n"/>
      <c r="D4889" s="4561" t="n"/>
      <c r="E4889" s="4561" t="n"/>
      <c r="F4889" s="4561" t="n"/>
    </row>
    <row r="4890">
      <c r="A4890" s="4561" t="n"/>
      <c r="B4890" s="4561" t="n"/>
      <c r="C4890" s="4561" t="n"/>
      <c r="D4890" s="4561" t="n"/>
      <c r="E4890" s="4561" t="n"/>
      <c r="F4890" s="4561" t="n"/>
    </row>
    <row r="4891">
      <c r="A4891" s="4561" t="n"/>
      <c r="B4891" s="4561" t="n"/>
      <c r="C4891" s="4561" t="n"/>
      <c r="D4891" s="4561" t="n"/>
      <c r="E4891" s="4561" t="n"/>
      <c r="F4891" s="4561" t="n"/>
    </row>
    <row r="4892">
      <c r="A4892" s="4561" t="n"/>
      <c r="B4892" s="4561" t="n"/>
      <c r="C4892" s="4561" t="n"/>
      <c r="D4892" s="4561" t="n"/>
      <c r="E4892" s="4561" t="n"/>
      <c r="F4892" s="4561" t="n"/>
    </row>
    <row r="4893">
      <c r="A4893" s="4561" t="n"/>
      <c r="B4893" s="4561" t="n"/>
      <c r="C4893" s="4561" t="n"/>
      <c r="D4893" s="4561" t="n"/>
      <c r="E4893" s="4561" t="n"/>
      <c r="F4893" s="4561" t="n"/>
    </row>
    <row r="4894">
      <c r="A4894" s="4561" t="n"/>
      <c r="B4894" s="4561" t="n"/>
      <c r="C4894" s="4561" t="n"/>
      <c r="D4894" s="4561" t="n"/>
      <c r="E4894" s="4561" t="n"/>
      <c r="F4894" s="4561" t="n"/>
    </row>
    <row r="4895">
      <c r="A4895" s="4561" t="n"/>
      <c r="B4895" s="4561" t="n"/>
      <c r="C4895" s="4561" t="n"/>
      <c r="D4895" s="4561" t="n"/>
      <c r="E4895" s="4561" t="n"/>
      <c r="F4895" s="4561" t="n"/>
    </row>
    <row r="4896">
      <c r="A4896" s="4561" t="n"/>
      <c r="B4896" s="4561" t="n"/>
      <c r="C4896" s="4561" t="n"/>
      <c r="D4896" s="4561" t="n"/>
      <c r="E4896" s="4561" t="n"/>
      <c r="F4896" s="4561" t="n"/>
    </row>
    <row r="4897">
      <c r="A4897" s="4561" t="n"/>
      <c r="B4897" s="4561" t="n"/>
      <c r="C4897" s="4561" t="n"/>
      <c r="D4897" s="4561" t="n"/>
      <c r="E4897" s="4561" t="n"/>
      <c r="F4897" s="4561" t="n"/>
    </row>
    <row r="4898">
      <c r="A4898" s="4561" t="n"/>
      <c r="B4898" s="4561" t="n"/>
      <c r="C4898" s="4561" t="n"/>
      <c r="D4898" s="4561" t="n"/>
      <c r="E4898" s="4561" t="n"/>
      <c r="F4898" s="4561" t="n"/>
    </row>
    <row r="4899">
      <c r="A4899" s="4561" t="n"/>
      <c r="B4899" s="4561" t="n"/>
      <c r="C4899" s="4561" t="n"/>
      <c r="D4899" s="4561" t="n"/>
      <c r="E4899" s="4561" t="n"/>
      <c r="F4899" s="4561" t="n"/>
    </row>
    <row r="4900">
      <c r="A4900" s="4561" t="n"/>
      <c r="B4900" s="4561" t="n"/>
      <c r="C4900" s="4561" t="n"/>
      <c r="D4900" s="4561" t="n"/>
      <c r="E4900" s="4561" t="n"/>
      <c r="F4900" s="4561" t="n"/>
    </row>
    <row r="4901">
      <c r="A4901" s="4561" t="n"/>
      <c r="B4901" s="4561" t="n"/>
      <c r="C4901" s="4561" t="n"/>
      <c r="D4901" s="4561" t="n"/>
      <c r="E4901" s="4561" t="n"/>
      <c r="F4901" s="4561" t="n"/>
    </row>
    <row r="4902">
      <c r="A4902" s="4561" t="n"/>
      <c r="B4902" s="4561" t="n"/>
      <c r="C4902" s="4561" t="n"/>
      <c r="D4902" s="4561" t="n"/>
      <c r="E4902" s="4561" t="n"/>
      <c r="F4902" s="4561" t="n"/>
    </row>
    <row r="4903">
      <c r="A4903" s="4561" t="n"/>
      <c r="B4903" s="4561" t="n"/>
      <c r="C4903" s="4561" t="n"/>
      <c r="D4903" s="4561" t="n"/>
      <c r="E4903" s="4561" t="n"/>
      <c r="F4903" s="4561" t="n"/>
    </row>
    <row r="4904">
      <c r="A4904" s="4561" t="n"/>
      <c r="B4904" s="4561" t="n"/>
      <c r="C4904" s="4561" t="n"/>
      <c r="D4904" s="4561" t="n"/>
      <c r="E4904" s="4561" t="n"/>
      <c r="F4904" s="4561" t="n"/>
    </row>
    <row r="4905">
      <c r="A4905" s="4561" t="n"/>
      <c r="B4905" s="4561" t="n"/>
      <c r="C4905" s="4561" t="n"/>
      <c r="D4905" s="4561" t="n"/>
      <c r="E4905" s="4561" t="n"/>
      <c r="F4905" s="4561" t="n"/>
    </row>
    <row r="4906">
      <c r="A4906" s="4561" t="n"/>
      <c r="B4906" s="4561" t="n"/>
      <c r="C4906" s="4561" t="n"/>
      <c r="D4906" s="4561" t="n"/>
      <c r="E4906" s="4561" t="n"/>
      <c r="F4906" s="4561" t="n"/>
    </row>
    <row r="4907">
      <c r="A4907" s="4561" t="n"/>
      <c r="B4907" s="4561" t="n"/>
      <c r="C4907" s="4561" t="n"/>
      <c r="D4907" s="4561" t="n"/>
      <c r="E4907" s="4561" t="n"/>
      <c r="F4907" s="4561" t="n"/>
    </row>
    <row r="4908">
      <c r="A4908" s="4561" t="n"/>
      <c r="B4908" s="4561" t="n"/>
      <c r="C4908" s="4561" t="n"/>
      <c r="D4908" s="4561" t="n"/>
      <c r="E4908" s="4561" t="n"/>
      <c r="F4908" s="4561" t="n"/>
    </row>
    <row r="4909">
      <c r="A4909" s="4561" t="n"/>
      <c r="B4909" s="4561" t="n"/>
      <c r="C4909" s="4561" t="n"/>
      <c r="D4909" s="4561" t="n"/>
      <c r="E4909" s="4561" t="n"/>
      <c r="F4909" s="4561" t="n"/>
    </row>
    <row r="4910">
      <c r="A4910" s="4561" t="n"/>
      <c r="B4910" s="4561" t="n"/>
      <c r="C4910" s="4561" t="n"/>
      <c r="D4910" s="4561" t="n"/>
      <c r="E4910" s="4561" t="n"/>
      <c r="F4910" s="4561" t="n"/>
    </row>
    <row r="4911">
      <c r="A4911" s="4561" t="n"/>
      <c r="B4911" s="4561" t="n"/>
      <c r="C4911" s="4561" t="n"/>
      <c r="D4911" s="4561" t="n"/>
      <c r="E4911" s="4561" t="n"/>
      <c r="F4911" s="4561" t="n"/>
    </row>
    <row r="4912">
      <c r="A4912" s="4561" t="n"/>
      <c r="B4912" s="4561" t="n"/>
      <c r="C4912" s="4561" t="n"/>
      <c r="D4912" s="4561" t="n"/>
      <c r="E4912" s="4561" t="n"/>
      <c r="F4912" s="4561" t="n"/>
    </row>
    <row r="4913">
      <c r="A4913" s="4561" t="n"/>
      <c r="B4913" s="4561" t="n"/>
      <c r="C4913" s="4561" t="n"/>
      <c r="D4913" s="4561" t="n"/>
      <c r="E4913" s="4561" t="n"/>
      <c r="F4913" s="4561" t="n"/>
    </row>
    <row r="4914">
      <c r="A4914" s="4561" t="n"/>
      <c r="B4914" s="4561" t="n"/>
      <c r="C4914" s="4561" t="n"/>
      <c r="D4914" s="4561" t="n"/>
      <c r="E4914" s="4561" t="n"/>
      <c r="F4914" s="4561" t="n"/>
    </row>
    <row r="4915">
      <c r="A4915" s="4561" t="n"/>
      <c r="B4915" s="4561" t="n"/>
      <c r="C4915" s="4561" t="n"/>
      <c r="D4915" s="4561" t="n"/>
      <c r="E4915" s="4561" t="n"/>
      <c r="F4915" s="4561" t="n"/>
    </row>
    <row r="4916">
      <c r="A4916" s="4561" t="n"/>
      <c r="B4916" s="4561" t="n"/>
      <c r="C4916" s="4561" t="n"/>
      <c r="D4916" s="4561" t="n"/>
      <c r="E4916" s="4561" t="n"/>
      <c r="F4916" s="4561" t="n"/>
    </row>
    <row r="4917">
      <c r="A4917" s="4561" t="n"/>
      <c r="B4917" s="4561" t="n"/>
      <c r="C4917" s="4561" t="n"/>
      <c r="D4917" s="4561" t="n"/>
      <c r="E4917" s="4561" t="n"/>
      <c r="F4917" s="4561" t="n"/>
    </row>
    <row r="4918">
      <c r="A4918" s="4561" t="n"/>
      <c r="B4918" s="4561" t="n"/>
      <c r="C4918" s="4561" t="n"/>
      <c r="D4918" s="4561" t="n"/>
      <c r="E4918" s="4561" t="n"/>
      <c r="F4918" s="4561" t="n"/>
    </row>
    <row r="4919">
      <c r="A4919" s="4561" t="n"/>
      <c r="B4919" s="4561" t="n"/>
      <c r="C4919" s="4561" t="n"/>
      <c r="D4919" s="4561" t="n"/>
      <c r="E4919" s="4561" t="n"/>
      <c r="F4919" s="4561" t="n"/>
    </row>
    <row r="4920">
      <c r="A4920" s="4561" t="n"/>
      <c r="B4920" s="4561" t="n"/>
      <c r="C4920" s="4561" t="n"/>
      <c r="D4920" s="4561" t="n"/>
      <c r="E4920" s="4561" t="n"/>
      <c r="F4920" s="4561" t="n"/>
    </row>
    <row r="4921">
      <c r="A4921" s="4561" t="n"/>
      <c r="B4921" s="4561" t="n"/>
      <c r="C4921" s="4561" t="n"/>
      <c r="D4921" s="4561" t="n"/>
      <c r="E4921" s="4561" t="n"/>
      <c r="F4921" s="4561" t="n"/>
    </row>
    <row r="4922">
      <c r="A4922" s="4561" t="n"/>
      <c r="B4922" s="4561" t="n"/>
      <c r="C4922" s="4561" t="n"/>
      <c r="D4922" s="4561" t="n"/>
      <c r="E4922" s="4561" t="n"/>
      <c r="F4922" s="4561" t="n"/>
    </row>
    <row r="4923">
      <c r="A4923" s="4561" t="n"/>
      <c r="B4923" s="4561" t="n"/>
      <c r="C4923" s="4561" t="n"/>
      <c r="D4923" s="4561" t="n"/>
      <c r="E4923" s="4561" t="n"/>
      <c r="F4923" s="4561" t="n"/>
    </row>
    <row r="4924">
      <c r="A4924" s="4561" t="n"/>
      <c r="B4924" s="4561" t="n"/>
      <c r="C4924" s="4561" t="n"/>
      <c r="D4924" s="4561" t="n"/>
      <c r="E4924" s="4561" t="n"/>
      <c r="F4924" s="4561" t="n"/>
    </row>
    <row r="4925">
      <c r="A4925" s="4561" t="n"/>
      <c r="B4925" s="4561" t="n"/>
      <c r="C4925" s="4561" t="n"/>
      <c r="D4925" s="4561" t="n"/>
      <c r="E4925" s="4561" t="n"/>
      <c r="F4925" s="4561" t="n"/>
    </row>
    <row r="4926">
      <c r="A4926" s="4561" t="n"/>
      <c r="B4926" s="4561" t="n"/>
      <c r="C4926" s="4561" t="n"/>
      <c r="D4926" s="4561" t="n"/>
      <c r="E4926" s="4561" t="n"/>
      <c r="F4926" s="4561" t="n"/>
    </row>
    <row r="4927">
      <c r="A4927" s="4561" t="n"/>
      <c r="B4927" s="4561" t="n"/>
      <c r="C4927" s="4561" t="n"/>
      <c r="D4927" s="4561" t="n"/>
      <c r="E4927" s="4561" t="n"/>
      <c r="F4927" s="4561" t="n"/>
    </row>
    <row r="4928">
      <c r="A4928" s="4561" t="n"/>
      <c r="B4928" s="4561" t="n"/>
      <c r="C4928" s="4561" t="n"/>
      <c r="D4928" s="4561" t="n"/>
      <c r="E4928" s="4561" t="n"/>
      <c r="F4928" s="4561" t="n"/>
    </row>
    <row r="4929">
      <c r="A4929" s="4561" t="n"/>
      <c r="B4929" s="4561" t="n"/>
      <c r="C4929" s="4561" t="n"/>
      <c r="D4929" s="4561" t="n"/>
      <c r="E4929" s="4561" t="n"/>
      <c r="F4929" s="4561" t="n"/>
    </row>
    <row r="4930">
      <c r="A4930" s="4561" t="n"/>
      <c r="B4930" s="4561" t="n"/>
      <c r="C4930" s="4561" t="n"/>
      <c r="D4930" s="4561" t="n"/>
      <c r="E4930" s="4561" t="n"/>
      <c r="F4930" s="4561" t="n"/>
    </row>
    <row r="4931">
      <c r="A4931" s="4561" t="n"/>
      <c r="B4931" s="4561" t="n"/>
      <c r="C4931" s="4561" t="n"/>
      <c r="D4931" s="4561" t="n"/>
      <c r="E4931" s="4561" t="n"/>
      <c r="F4931" s="4561" t="n"/>
    </row>
    <row r="4932">
      <c r="A4932" s="4561" t="n"/>
      <c r="B4932" s="4561" t="n"/>
      <c r="C4932" s="4561" t="n"/>
      <c r="D4932" s="4561" t="n"/>
      <c r="E4932" s="4561" t="n"/>
      <c r="F4932" s="4561" t="n"/>
    </row>
    <row r="4933">
      <c r="A4933" s="4561" t="n"/>
      <c r="B4933" s="4561" t="n"/>
      <c r="C4933" s="4561" t="n"/>
      <c r="D4933" s="4561" t="n"/>
      <c r="E4933" s="4561" t="n"/>
      <c r="F4933" s="4561" t="n"/>
    </row>
    <row r="4934">
      <c r="A4934" s="4561" t="n"/>
      <c r="B4934" s="4561" t="n"/>
      <c r="C4934" s="4561" t="n"/>
      <c r="D4934" s="4561" t="n"/>
      <c r="E4934" s="4561" t="n"/>
      <c r="F4934" s="4561" t="n"/>
    </row>
    <row r="4935">
      <c r="A4935" s="4561" t="n"/>
      <c r="B4935" s="4561" t="n"/>
      <c r="C4935" s="4561" t="n"/>
      <c r="D4935" s="4561" t="n"/>
      <c r="E4935" s="4561" t="n"/>
      <c r="F4935" s="4561" t="n"/>
    </row>
    <row r="4936">
      <c r="A4936" s="4561" t="n"/>
      <c r="B4936" s="4561" t="n"/>
      <c r="C4936" s="4561" t="n"/>
      <c r="D4936" s="4561" t="n"/>
      <c r="E4936" s="4561" t="n"/>
      <c r="F4936" s="4561" t="n"/>
    </row>
    <row r="4937">
      <c r="A4937" s="4561" t="n"/>
      <c r="B4937" s="4561" t="n"/>
      <c r="C4937" s="4561" t="n"/>
      <c r="D4937" s="4561" t="n"/>
      <c r="E4937" s="4561" t="n"/>
      <c r="F4937" s="4561" t="n"/>
    </row>
    <row r="4938">
      <c r="A4938" s="4561" t="n"/>
      <c r="B4938" s="4561" t="n"/>
      <c r="C4938" s="4561" t="n"/>
      <c r="D4938" s="4561" t="n"/>
      <c r="E4938" s="4561" t="n"/>
      <c r="F4938" s="4561" t="n"/>
    </row>
    <row r="4939">
      <c r="A4939" s="4561" t="n"/>
      <c r="B4939" s="4561" t="n"/>
      <c r="C4939" s="4561" t="n"/>
      <c r="D4939" s="4561" t="n"/>
      <c r="E4939" s="4561" t="n"/>
      <c r="F4939" s="4561" t="n"/>
    </row>
    <row r="4940">
      <c r="A4940" s="4561" t="n"/>
      <c r="B4940" s="4561" t="n"/>
      <c r="C4940" s="4561" t="n"/>
      <c r="D4940" s="4561" t="n"/>
      <c r="E4940" s="4561" t="n"/>
      <c r="F4940" s="4561" t="n"/>
    </row>
    <row r="4941">
      <c r="A4941" s="4561" t="n"/>
      <c r="B4941" s="4561" t="n"/>
      <c r="C4941" s="4561" t="n"/>
      <c r="D4941" s="4561" t="n"/>
      <c r="E4941" s="4561" t="n"/>
      <c r="F4941" s="4561" t="n"/>
    </row>
    <row r="4942">
      <c r="A4942" s="4561" t="n"/>
      <c r="B4942" s="4561" t="n"/>
      <c r="C4942" s="4561" t="n"/>
      <c r="D4942" s="4561" t="n"/>
      <c r="E4942" s="4561" t="n"/>
      <c r="F4942" s="4561" t="n"/>
    </row>
    <row r="4943">
      <c r="A4943" s="4561" t="n"/>
      <c r="B4943" s="4561" t="n"/>
      <c r="C4943" s="4561" t="n"/>
      <c r="D4943" s="4561" t="n"/>
      <c r="E4943" s="4561" t="n"/>
      <c r="F4943" s="4561" t="n"/>
    </row>
    <row r="4944">
      <c r="A4944" s="4561" t="n"/>
      <c r="B4944" s="4561" t="n"/>
      <c r="C4944" s="4561" t="n"/>
      <c r="D4944" s="4561" t="n"/>
      <c r="E4944" s="4561" t="n"/>
      <c r="F4944" s="4561" t="n"/>
    </row>
    <row r="4945">
      <c r="A4945" s="4561" t="n"/>
      <c r="B4945" s="4561" t="n"/>
      <c r="C4945" s="4561" t="n"/>
      <c r="D4945" s="4561" t="n"/>
      <c r="E4945" s="4561" t="n"/>
      <c r="F4945" s="4561" t="n"/>
    </row>
    <row r="4946">
      <c r="A4946" s="4561" t="n"/>
      <c r="B4946" s="4561" t="n"/>
      <c r="C4946" s="4561" t="n"/>
      <c r="D4946" s="4561" t="n"/>
      <c r="E4946" s="4561" t="n"/>
      <c r="F4946" s="4561" t="n"/>
    </row>
    <row r="4947">
      <c r="A4947" s="4561" t="n"/>
      <c r="B4947" s="4561" t="n"/>
      <c r="C4947" s="4561" t="n"/>
      <c r="D4947" s="4561" t="n"/>
      <c r="E4947" s="4561" t="n"/>
      <c r="F4947" s="4561" t="n"/>
    </row>
    <row r="4948">
      <c r="A4948" s="4561" t="n"/>
      <c r="B4948" s="4561" t="n"/>
      <c r="C4948" s="4561" t="n"/>
      <c r="D4948" s="4561" t="n"/>
      <c r="E4948" s="4561" t="n"/>
      <c r="F4948" s="4561" t="n"/>
    </row>
    <row r="4949">
      <c r="A4949" s="4561" t="n"/>
      <c r="B4949" s="4561" t="n"/>
      <c r="C4949" s="4561" t="n"/>
      <c r="D4949" s="4561" t="n"/>
      <c r="E4949" s="4561" t="n"/>
      <c r="F4949" s="4561" t="n"/>
    </row>
    <row r="4950">
      <c r="A4950" s="4561" t="n"/>
      <c r="B4950" s="4561" t="n"/>
      <c r="C4950" s="4561" t="n"/>
      <c r="D4950" s="4561" t="n"/>
      <c r="E4950" s="4561" t="n"/>
      <c r="F4950" s="4561" t="n"/>
    </row>
    <row r="4951">
      <c r="A4951" s="4561" t="n"/>
      <c r="B4951" s="4561" t="n"/>
      <c r="C4951" s="4561" t="n"/>
      <c r="D4951" s="4561" t="n"/>
      <c r="E4951" s="4561" t="n"/>
      <c r="F4951" s="4561" t="n"/>
    </row>
    <row r="4952">
      <c r="A4952" s="4561" t="n"/>
      <c r="B4952" s="4561" t="n"/>
      <c r="C4952" s="4561" t="n"/>
      <c r="D4952" s="4561" t="n"/>
      <c r="E4952" s="4561" t="n"/>
      <c r="F4952" s="4561" t="n"/>
    </row>
    <row r="4953">
      <c r="A4953" s="4561" t="n"/>
      <c r="B4953" s="4561" t="n"/>
      <c r="C4953" s="4561" t="n"/>
      <c r="D4953" s="4561" t="n"/>
      <c r="E4953" s="4561" t="n"/>
      <c r="F4953" s="4561" t="n"/>
    </row>
    <row r="4954">
      <c r="A4954" s="4561" t="n"/>
      <c r="B4954" s="4561" t="n"/>
      <c r="C4954" s="4561" t="n"/>
      <c r="D4954" s="4561" t="n"/>
      <c r="E4954" s="4561" t="n"/>
      <c r="F4954" s="4561" t="n"/>
    </row>
    <row r="4955">
      <c r="A4955" s="4561" t="n"/>
      <c r="B4955" s="4561" t="n"/>
      <c r="C4955" s="4561" t="n"/>
      <c r="D4955" s="4561" t="n"/>
      <c r="E4955" s="4561" t="n"/>
      <c r="F4955" s="4561" t="n"/>
    </row>
    <row r="4956">
      <c r="A4956" s="4561" t="n"/>
      <c r="B4956" s="4561" t="n"/>
      <c r="C4956" s="4561" t="n"/>
      <c r="D4956" s="4561" t="n"/>
      <c r="E4956" s="4561" t="n"/>
      <c r="F4956" s="4561" t="n"/>
    </row>
    <row r="4957">
      <c r="A4957" s="4561" t="n"/>
      <c r="B4957" s="4561" t="n"/>
      <c r="C4957" s="4561" t="n"/>
      <c r="D4957" s="4561" t="n"/>
      <c r="E4957" s="4561" t="n"/>
      <c r="F4957" s="4561" t="n"/>
    </row>
    <row r="4958">
      <c r="A4958" s="4561" t="n"/>
      <c r="B4958" s="4561" t="n"/>
      <c r="C4958" s="4561" t="n"/>
      <c r="D4958" s="4561" t="n"/>
      <c r="E4958" s="4561" t="n"/>
      <c r="F4958" s="4561" t="n"/>
    </row>
    <row r="4959">
      <c r="A4959" s="4561" t="n"/>
      <c r="B4959" s="4561" t="n"/>
      <c r="C4959" s="4561" t="n"/>
      <c r="D4959" s="4561" t="n"/>
      <c r="E4959" s="4561" t="n"/>
      <c r="F4959" s="4561" t="n"/>
    </row>
    <row r="4960">
      <c r="A4960" s="4561" t="n"/>
      <c r="B4960" s="4561" t="n"/>
      <c r="C4960" s="4561" t="n"/>
      <c r="D4960" s="4561" t="n"/>
      <c r="E4960" s="4561" t="n"/>
      <c r="F4960" s="4561" t="n"/>
    </row>
    <row r="4961">
      <c r="A4961" s="4561" t="n"/>
      <c r="B4961" s="4561" t="n"/>
      <c r="C4961" s="4561" t="n"/>
      <c r="D4961" s="4561" t="n"/>
      <c r="E4961" s="4561" t="n"/>
      <c r="F4961" s="4561" t="n"/>
    </row>
    <row r="4962">
      <c r="A4962" s="4561" t="n"/>
      <c r="B4962" s="4561" t="n"/>
      <c r="C4962" s="4561" t="n"/>
      <c r="D4962" s="4561" t="n"/>
      <c r="E4962" s="4561" t="n"/>
      <c r="F4962" s="4561" t="n"/>
    </row>
    <row r="4963">
      <c r="A4963" s="4561" t="n"/>
      <c r="B4963" s="4561" t="n"/>
      <c r="C4963" s="4561" t="n"/>
      <c r="D4963" s="4561" t="n"/>
      <c r="E4963" s="4561" t="n"/>
      <c r="F4963" s="4561" t="n"/>
    </row>
    <row r="4964">
      <c r="A4964" s="4561" t="n"/>
      <c r="B4964" s="4561" t="n"/>
      <c r="C4964" s="4561" t="n"/>
      <c r="D4964" s="4561" t="n"/>
      <c r="E4964" s="4561" t="n"/>
      <c r="F4964" s="4561" t="n"/>
    </row>
    <row r="4965">
      <c r="A4965" s="4561" t="n"/>
      <c r="B4965" s="4561" t="n"/>
      <c r="C4965" s="4561" t="n"/>
      <c r="D4965" s="4561" t="n"/>
      <c r="E4965" s="4561" t="n"/>
      <c r="F4965" s="4561" t="n"/>
    </row>
    <row r="4966">
      <c r="A4966" s="4561" t="n"/>
      <c r="B4966" s="4561" t="n"/>
      <c r="C4966" s="4561" t="n"/>
      <c r="D4966" s="4561" t="n"/>
      <c r="E4966" s="4561" t="n"/>
      <c r="F4966" s="4561" t="n"/>
    </row>
    <row r="4967">
      <c r="A4967" s="4561" t="n"/>
      <c r="B4967" s="4561" t="n"/>
      <c r="C4967" s="4561" t="n"/>
      <c r="D4967" s="4561" t="n"/>
      <c r="E4967" s="4561" t="n"/>
      <c r="F4967" s="4561" t="n"/>
    </row>
    <row r="4968">
      <c r="A4968" s="4561" t="n"/>
      <c r="B4968" s="4561" t="n"/>
      <c r="C4968" s="4561" t="n"/>
      <c r="D4968" s="4561" t="n"/>
      <c r="E4968" s="4561" t="n"/>
      <c r="F4968" s="4561" t="n"/>
    </row>
    <row r="4969">
      <c r="A4969" s="4561" t="n"/>
      <c r="B4969" s="4561" t="n"/>
      <c r="C4969" s="4561" t="n"/>
      <c r="D4969" s="4561" t="n"/>
      <c r="E4969" s="4561" t="n"/>
      <c r="F4969" s="4561" t="n"/>
    </row>
    <row r="4970">
      <c r="A4970" s="4561" t="n"/>
      <c r="B4970" s="4561" t="n"/>
      <c r="C4970" s="4561" t="n"/>
      <c r="D4970" s="4561" t="n"/>
      <c r="E4970" s="4561" t="n"/>
      <c r="F4970" s="4561" t="n"/>
    </row>
    <row r="4971">
      <c r="A4971" s="4561" t="n"/>
      <c r="B4971" s="4561" t="n"/>
      <c r="C4971" s="4561" t="n"/>
      <c r="D4971" s="4561" t="n"/>
      <c r="E4971" s="4561" t="n"/>
      <c r="F4971" s="4561" t="n"/>
    </row>
    <row r="4972">
      <c r="A4972" s="4561" t="n"/>
      <c r="B4972" s="4561" t="n"/>
      <c r="C4972" s="4561" t="n"/>
      <c r="D4972" s="4561" t="n"/>
      <c r="E4972" s="4561" t="n"/>
      <c r="F4972" s="4561" t="n"/>
    </row>
    <row r="4973">
      <c r="A4973" s="4561" t="n"/>
      <c r="B4973" s="4561" t="n"/>
      <c r="C4973" s="4561" t="n"/>
      <c r="D4973" s="4561" t="n"/>
      <c r="E4973" s="4561" t="n"/>
      <c r="F4973" s="4561" t="n"/>
    </row>
    <row r="4974">
      <c r="A4974" s="4561" t="n"/>
      <c r="B4974" s="4561" t="n"/>
      <c r="C4974" s="4561" t="n"/>
      <c r="D4974" s="4561" t="n"/>
      <c r="E4974" s="4561" t="n"/>
      <c r="F4974" s="4561" t="n"/>
    </row>
    <row r="4975">
      <c r="A4975" s="4561" t="n"/>
      <c r="B4975" s="4561" t="n"/>
      <c r="C4975" s="4561" t="n"/>
      <c r="D4975" s="4561" t="n"/>
      <c r="E4975" s="4561" t="n"/>
      <c r="F4975" s="4561" t="n"/>
    </row>
    <row r="4976">
      <c r="A4976" s="4561" t="n"/>
      <c r="B4976" s="4561" t="n"/>
      <c r="C4976" s="4561" t="n"/>
      <c r="D4976" s="4561" t="n"/>
      <c r="E4976" s="4561" t="n"/>
      <c r="F4976" s="4561" t="n"/>
    </row>
    <row r="4977">
      <c r="A4977" s="4561" t="n"/>
      <c r="B4977" s="4561" t="n"/>
      <c r="C4977" s="4561" t="n"/>
      <c r="D4977" s="4561" t="n"/>
      <c r="E4977" s="4561" t="n"/>
      <c r="F4977" s="4561" t="n"/>
    </row>
    <row r="4978">
      <c r="A4978" s="4561" t="n"/>
      <c r="B4978" s="4561" t="n"/>
      <c r="C4978" s="4561" t="n"/>
      <c r="D4978" s="4561" t="n"/>
      <c r="E4978" s="4561" t="n"/>
      <c r="F4978" s="4561" t="n"/>
    </row>
    <row r="4979">
      <c r="A4979" s="4561" t="n"/>
      <c r="B4979" s="4561" t="n"/>
      <c r="C4979" s="4561" t="n"/>
      <c r="D4979" s="4561" t="n"/>
      <c r="E4979" s="4561" t="n"/>
      <c r="F4979" s="4561" t="n"/>
    </row>
    <row r="4980">
      <c r="A4980" s="4561" t="n"/>
      <c r="B4980" s="4561" t="n"/>
      <c r="C4980" s="4561" t="n"/>
      <c r="D4980" s="4561" t="n"/>
      <c r="E4980" s="4561" t="n"/>
      <c r="F4980" s="4561" t="n"/>
    </row>
    <row r="4981">
      <c r="A4981" s="4561" t="n"/>
      <c r="B4981" s="4561" t="n"/>
      <c r="C4981" s="4561" t="n"/>
      <c r="D4981" s="4561" t="n"/>
      <c r="E4981" s="4561" t="n"/>
      <c r="F4981" s="4561" t="n"/>
    </row>
    <row r="4982">
      <c r="A4982" s="4561" t="n"/>
      <c r="B4982" s="4561" t="n"/>
      <c r="C4982" s="4561" t="n"/>
      <c r="D4982" s="4561" t="n"/>
      <c r="E4982" s="4561" t="n"/>
      <c r="F4982" s="4561" t="n"/>
    </row>
    <row r="4983">
      <c r="A4983" s="4561" t="n"/>
      <c r="B4983" s="4561" t="n"/>
      <c r="C4983" s="4561" t="n"/>
      <c r="D4983" s="4561" t="n"/>
      <c r="E4983" s="4561" t="n"/>
      <c r="F4983" s="4561" t="n"/>
    </row>
    <row r="4984">
      <c r="A4984" s="4561" t="n"/>
      <c r="B4984" s="4561" t="n"/>
      <c r="C4984" s="4561" t="n"/>
      <c r="D4984" s="4561" t="n"/>
      <c r="E4984" s="4561" t="n"/>
      <c r="F4984" s="4561" t="n"/>
    </row>
    <row r="4985">
      <c r="A4985" s="4561" t="n"/>
      <c r="B4985" s="4561" t="n"/>
      <c r="C4985" s="4561" t="n"/>
      <c r="D4985" s="4561" t="n"/>
      <c r="E4985" s="4561" t="n"/>
      <c r="F4985" s="4561" t="n"/>
    </row>
    <row r="4986">
      <c r="A4986" s="4561" t="n"/>
      <c r="B4986" s="4561" t="n"/>
      <c r="C4986" s="4561" t="n"/>
      <c r="D4986" s="4561" t="n"/>
      <c r="E4986" s="4561" t="n"/>
      <c r="F4986" s="4561" t="n"/>
    </row>
    <row r="4987">
      <c r="A4987" s="4561" t="n"/>
      <c r="B4987" s="4561" t="n"/>
      <c r="C4987" s="4561" t="n"/>
      <c r="D4987" s="4561" t="n"/>
      <c r="E4987" s="4561" t="n"/>
      <c r="F4987" s="4561" t="n"/>
    </row>
    <row r="4988">
      <c r="A4988" s="4561" t="n"/>
      <c r="B4988" s="4561" t="n"/>
      <c r="C4988" s="4561" t="n"/>
      <c r="D4988" s="4561" t="n"/>
      <c r="E4988" s="4561" t="n"/>
      <c r="F4988" s="4561" t="n"/>
    </row>
    <row r="4989">
      <c r="A4989" s="4561" t="n"/>
      <c r="B4989" s="4561" t="n"/>
      <c r="C4989" s="4561" t="n"/>
      <c r="D4989" s="4561" t="n"/>
      <c r="E4989" s="4561" t="n"/>
      <c r="F4989" s="4561" t="n"/>
    </row>
    <row r="4990">
      <c r="A4990" s="4561" t="n"/>
      <c r="B4990" s="4561" t="n"/>
      <c r="C4990" s="4561" t="n"/>
      <c r="D4990" s="4561" t="n"/>
      <c r="E4990" s="4561" t="n"/>
      <c r="F4990" s="4561" t="n"/>
    </row>
    <row r="4991">
      <c r="A4991" s="4561" t="n"/>
      <c r="B4991" s="4561" t="n"/>
      <c r="C4991" s="4561" t="n"/>
      <c r="D4991" s="4561" t="n"/>
      <c r="E4991" s="4561" t="n"/>
      <c r="F4991" s="4561" t="n"/>
    </row>
    <row r="4992">
      <c r="A4992" s="4561" t="n"/>
      <c r="B4992" s="4561" t="n"/>
      <c r="C4992" s="4561" t="n"/>
      <c r="D4992" s="4561" t="n"/>
      <c r="E4992" s="4561" t="n"/>
      <c r="F4992" s="4561" t="n"/>
    </row>
    <row r="4993">
      <c r="A4993" s="4561" t="n"/>
      <c r="B4993" s="4561" t="n"/>
      <c r="C4993" s="4561" t="n"/>
      <c r="D4993" s="4561" t="n"/>
      <c r="E4993" s="4561" t="n"/>
      <c r="F4993" s="4561" t="n"/>
    </row>
    <row r="4994">
      <c r="A4994" s="4561" t="n"/>
      <c r="B4994" s="4561" t="n"/>
      <c r="C4994" s="4561" t="n"/>
      <c r="D4994" s="4561" t="n"/>
      <c r="E4994" s="4561" t="n"/>
      <c r="F4994" s="4561" t="n"/>
    </row>
    <row r="4995">
      <c r="A4995" s="4561" t="n"/>
      <c r="B4995" s="4561" t="n"/>
      <c r="C4995" s="4561" t="n"/>
      <c r="D4995" s="4561" t="n"/>
      <c r="E4995" s="4561" t="n"/>
      <c r="F4995" s="4561" t="n"/>
    </row>
    <row r="4996">
      <c r="A4996" s="4561" t="n"/>
      <c r="B4996" s="4561" t="n"/>
      <c r="C4996" s="4561" t="n"/>
      <c r="D4996" s="4561" t="n"/>
      <c r="E4996" s="4561" t="n"/>
      <c r="F4996" s="4561" t="n"/>
    </row>
    <row r="4997">
      <c r="A4997" s="4561" t="n"/>
      <c r="B4997" s="4561" t="n"/>
      <c r="C4997" s="4561" t="n"/>
      <c r="D4997" s="4561" t="n"/>
      <c r="E4997" s="4561" t="n"/>
      <c r="F4997" s="4561" t="n"/>
    </row>
    <row r="4998">
      <c r="A4998" s="4561" t="n"/>
      <c r="B4998" s="4561" t="n"/>
      <c r="C4998" s="4561" t="n"/>
      <c r="D4998" s="4561" t="n"/>
      <c r="E4998" s="4561" t="n"/>
      <c r="F4998" s="4561" t="n"/>
    </row>
    <row r="4999">
      <c r="A4999" s="4561" t="n"/>
      <c r="B4999" s="4561" t="n"/>
      <c r="C4999" s="4561" t="n"/>
      <c r="D4999" s="4561" t="n"/>
      <c r="E4999" s="4561" t="n"/>
      <c r="F4999" s="4561" t="n"/>
    </row>
    <row r="5000">
      <c r="A5000" s="4561" t="n"/>
      <c r="B5000" s="4561" t="n"/>
      <c r="C5000" s="4561" t="n"/>
      <c r="D5000" s="4561" t="n"/>
      <c r="E5000" s="4561" t="n"/>
      <c r="F5000" s="4561" t="n"/>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30" customWidth="1" style="3710" min="1" max="1"/>
    <col width="14" customWidth="1" style="3710" min="2" max="2"/>
    <col width="18" customWidth="1" style="3710" min="3" max="3"/>
    <col width="16" customWidth="1" style="3710" min="4" max="4"/>
    <col width="16" customWidth="1" style="3710" min="5" max="5"/>
    <col width="20" customWidth="1" style="3710" min="6" max="6"/>
    <col width="20" customWidth="1" style="3710" min="7" max="7"/>
    <col width="30" customWidth="1" style="3710" min="8" max="8"/>
  </cols>
  <sheetData>
    <row r="1">
      <c r="A1" s="4560" t="inlineStr">
        <is>
          <t>tab_name</t>
        </is>
      </c>
      <c r="B1" s="4560" t="inlineStr">
        <is>
          <t>is_visible_scope</t>
        </is>
      </c>
      <c r="C1" s="4560" t="inlineStr">
        <is>
          <t>is_monthly_enforced</t>
        </is>
      </c>
      <c r="D1" s="4560" t="inlineStr">
        <is>
          <t>period_header_row</t>
        </is>
      </c>
      <c r="E1" s="4560" t="inlineStr">
        <is>
          <t>period_start_col</t>
        </is>
      </c>
      <c r="F1" s="4560" t="inlineStr">
        <is>
          <t>period_count_required</t>
        </is>
      </c>
      <c r="G1" s="4560" t="inlineStr">
        <is>
          <t>comments_header_cell</t>
        </is>
      </c>
      <c r="H1" s="4560" t="inlineStr">
        <is>
          <t>write_scope</t>
        </is>
      </c>
    </row>
    <row r="2">
      <c r="A2" s="4562" t="inlineStr">
        <is>
          <t>Project North &gt;&gt;&gt;</t>
        </is>
      </c>
      <c r="B2" s="4562" t="inlineStr">
        <is>
          <t>TRUE</t>
        </is>
      </c>
      <c r="C2" s="4562" t="inlineStr">
        <is>
          <t>FALSE</t>
        </is>
      </c>
      <c r="D2" s="4562" t="inlineStr"/>
      <c r="E2" s="4562" t="inlineStr"/>
      <c r="F2" s="4562" t="inlineStr"/>
      <c r="G2" s="4562" t="inlineStr"/>
      <c r="H2" s="4562" t="inlineStr">
        <is>
          <t>comments-only</t>
        </is>
      </c>
    </row>
    <row r="3">
      <c r="A3" s="4562" t="inlineStr">
        <is>
          <t>Disclaimer</t>
        </is>
      </c>
      <c r="B3" s="4562" t="inlineStr">
        <is>
          <t>TRUE</t>
        </is>
      </c>
      <c r="C3" s="4562" t="inlineStr">
        <is>
          <t>FALSE</t>
        </is>
      </c>
      <c r="D3" s="4562" t="inlineStr"/>
      <c r="E3" s="4562" t="inlineStr"/>
      <c r="F3" s="4562" t="inlineStr"/>
      <c r="G3" s="4562" t="inlineStr"/>
      <c r="H3" s="4562" t="inlineStr">
        <is>
          <t>comments-only</t>
        </is>
      </c>
    </row>
    <row r="4">
      <c r="A4" s="4562" t="inlineStr">
        <is>
          <t>QofE &gt;&gt;</t>
        </is>
      </c>
      <c r="B4" s="4562" t="inlineStr">
        <is>
          <t>TRUE</t>
        </is>
      </c>
      <c r="C4" s="4562" t="inlineStr">
        <is>
          <t>FALSE</t>
        </is>
      </c>
      <c r="D4" s="4562" t="inlineStr"/>
      <c r="E4" s="4562" t="inlineStr"/>
      <c r="F4" s="4562" t="inlineStr"/>
      <c r="G4" s="4562" t="inlineStr"/>
      <c r="H4" s="4562" t="inlineStr">
        <is>
          <t>comments-only</t>
        </is>
      </c>
    </row>
    <row r="5">
      <c r="A5" s="4562" t="inlineStr">
        <is>
          <t>QofE | Bridge</t>
        </is>
      </c>
      <c r="B5" s="4562" t="inlineStr">
        <is>
          <t>TRUE</t>
        </is>
      </c>
      <c r="C5" s="4562" t="inlineStr">
        <is>
          <t>FALSE</t>
        </is>
      </c>
      <c r="D5" s="4562" t="inlineStr"/>
      <c r="E5" s="4562" t="inlineStr"/>
      <c r="F5" s="4562" t="inlineStr"/>
      <c r="G5" s="4562" t="inlineStr">
        <is>
          <t>AI7</t>
        </is>
      </c>
      <c r="H5" s="4562" t="inlineStr">
        <is>
          <t>comments-only</t>
        </is>
      </c>
    </row>
    <row r="6">
      <c r="A6" s="4562" t="inlineStr">
        <is>
          <t>QofE | Summary</t>
        </is>
      </c>
      <c r="B6" s="4562" t="inlineStr">
        <is>
          <t>TRUE</t>
        </is>
      </c>
      <c r="C6" s="4562" t="inlineStr">
        <is>
          <t>FALSE</t>
        </is>
      </c>
      <c r="D6" s="4562" t="inlineStr"/>
      <c r="E6" s="4562" t="inlineStr"/>
      <c r="F6" s="4562" t="inlineStr"/>
      <c r="G6" s="4562" t="inlineStr"/>
      <c r="H6" s="4562" t="inlineStr">
        <is>
          <t>comments-only</t>
        </is>
      </c>
    </row>
    <row r="7">
      <c r="A7" s="4562" t="inlineStr">
        <is>
          <t>QofE | Detail</t>
        </is>
      </c>
      <c r="B7" s="4562" t="inlineStr">
        <is>
          <t>TRUE</t>
        </is>
      </c>
      <c r="C7" s="4562" t="inlineStr">
        <is>
          <t>TRUE</t>
        </is>
      </c>
      <c r="D7" s="4562" t="n">
        <v>8</v>
      </c>
      <c r="E7" s="4562" t="inlineStr">
        <is>
          <t>E</t>
        </is>
      </c>
      <c r="F7" s="4562" t="n">
        <v>36</v>
      </c>
      <c r="G7" s="4562" t="inlineStr">
        <is>
          <t>BA7</t>
        </is>
      </c>
      <c r="H7" s="4562" t="inlineStr">
        <is>
          <t>monthly-grid + comments</t>
        </is>
      </c>
    </row>
    <row r="8">
      <c r="A8" s="4562" t="inlineStr">
        <is>
          <t>Net debt&gt;&gt;</t>
        </is>
      </c>
      <c r="B8" s="4562" t="inlineStr">
        <is>
          <t>TRUE</t>
        </is>
      </c>
      <c r="C8" s="4562" t="inlineStr">
        <is>
          <t>FALSE</t>
        </is>
      </c>
      <c r="D8" s="4562" t="inlineStr"/>
      <c r="E8" s="4562" t="inlineStr"/>
      <c r="F8" s="4562" t="inlineStr"/>
      <c r="G8" s="4562" t="inlineStr"/>
      <c r="H8" s="4562" t="inlineStr">
        <is>
          <t>comments-only</t>
        </is>
      </c>
    </row>
    <row r="9">
      <c r="A9" s="4562" t="inlineStr">
        <is>
          <t>Net debt</t>
        </is>
      </c>
      <c r="B9" s="4562" t="inlineStr">
        <is>
          <t>TRUE</t>
        </is>
      </c>
      <c r="C9" s="4562" t="inlineStr">
        <is>
          <t>TRUE</t>
        </is>
      </c>
      <c r="D9" s="4562" t="n">
        <v>9</v>
      </c>
      <c r="E9" s="4562" t="inlineStr">
        <is>
          <t>E</t>
        </is>
      </c>
      <c r="F9" s="4562" t="n">
        <v>36</v>
      </c>
      <c r="G9" s="4562" t="inlineStr">
        <is>
          <t>M7</t>
        </is>
      </c>
      <c r="H9" s="4562" t="inlineStr">
        <is>
          <t>monthly-grid + comments</t>
        </is>
      </c>
    </row>
    <row r="10">
      <c r="A10" s="4562" t="inlineStr">
        <is>
          <t>Financials&gt;&gt;</t>
        </is>
      </c>
      <c r="B10" s="4562" t="inlineStr">
        <is>
          <t>TRUE</t>
        </is>
      </c>
      <c r="C10" s="4562" t="inlineStr">
        <is>
          <t>FALSE</t>
        </is>
      </c>
      <c r="D10" s="4562" t="inlineStr"/>
      <c r="E10" s="4562" t="inlineStr"/>
      <c r="F10" s="4562" t="inlineStr"/>
      <c r="G10" s="4562" t="inlineStr"/>
      <c r="H10" s="4562" t="inlineStr">
        <is>
          <t>comments-only</t>
        </is>
      </c>
    </row>
    <row r="11">
      <c r="A11" s="4562" t="inlineStr">
        <is>
          <t>Income statement</t>
        </is>
      </c>
      <c r="B11" s="4562" t="inlineStr">
        <is>
          <t>TRUE</t>
        </is>
      </c>
      <c r="C11" s="4562" t="inlineStr">
        <is>
          <t>TRUE</t>
        </is>
      </c>
      <c r="D11" s="4562" t="n">
        <v>9</v>
      </c>
      <c r="E11" s="4562" t="inlineStr">
        <is>
          <t>F</t>
        </is>
      </c>
      <c r="F11" s="4562" t="n">
        <v>36</v>
      </c>
      <c r="G11" s="4562" t="inlineStr"/>
      <c r="H11" s="4562" t="inlineStr">
        <is>
          <t>monthly-grid + comments</t>
        </is>
      </c>
    </row>
    <row r="12">
      <c r="A12" s="4562" t="inlineStr">
        <is>
          <t>Balance sheet</t>
        </is>
      </c>
      <c r="B12" s="4562" t="inlineStr">
        <is>
          <t>TRUE</t>
        </is>
      </c>
      <c r="C12" s="4562" t="inlineStr">
        <is>
          <t>TRUE</t>
        </is>
      </c>
      <c r="D12" s="4562" t="n">
        <v>9</v>
      </c>
      <c r="E12" s="4562" t="inlineStr">
        <is>
          <t>F</t>
        </is>
      </c>
      <c r="F12" s="4562" t="n">
        <v>36</v>
      </c>
      <c r="G12" s="4562" t="inlineStr"/>
      <c r="H12" s="4562" t="inlineStr">
        <is>
          <t>monthly-grid + comments</t>
        </is>
      </c>
    </row>
    <row r="13">
      <c r="A13" s="4562" t="inlineStr">
        <is>
          <t>Cash flow</t>
        </is>
      </c>
      <c r="B13" s="4562" t="inlineStr">
        <is>
          <t>TRUE</t>
        </is>
      </c>
      <c r="C13" s="4562" t="inlineStr">
        <is>
          <t>FALSE</t>
        </is>
      </c>
      <c r="D13" s="4562" t="inlineStr"/>
      <c r="E13" s="4562" t="inlineStr"/>
      <c r="F13" s="4562" t="inlineStr"/>
      <c r="G13" s="4562" t="inlineStr"/>
      <c r="H13" s="4562" t="inlineStr">
        <is>
          <t>comments-only</t>
        </is>
      </c>
    </row>
    <row r="14">
      <c r="A14" s="4562" t="inlineStr">
        <is>
          <t>Personnel&gt;&gt;</t>
        </is>
      </c>
      <c r="B14" s="4562" t="inlineStr">
        <is>
          <t>TRUE</t>
        </is>
      </c>
      <c r="C14" s="4562" t="inlineStr">
        <is>
          <t>FALSE</t>
        </is>
      </c>
      <c r="D14" s="4562" t="inlineStr"/>
      <c r="E14" s="4562" t="inlineStr"/>
      <c r="F14" s="4562" t="inlineStr"/>
      <c r="G14" s="4562" t="inlineStr"/>
      <c r="H14" s="4562" t="inlineStr">
        <is>
          <t>comments-only</t>
        </is>
      </c>
    </row>
    <row r="15">
      <c r="A15" s="4562" t="inlineStr">
        <is>
          <t>IS | Payroll costs</t>
        </is>
      </c>
      <c r="B15" s="4562" t="inlineStr">
        <is>
          <t>TRUE</t>
        </is>
      </c>
      <c r="C15" s="4562" t="inlineStr">
        <is>
          <t>FALSE</t>
        </is>
      </c>
      <c r="D15" s="4562" t="inlineStr"/>
      <c r="E15" s="4562" t="inlineStr"/>
      <c r="F15" s="4562" t="inlineStr"/>
      <c r="G15" s="4562" t="inlineStr"/>
      <c r="H15" s="4562" t="inlineStr">
        <is>
          <t>comments-only</t>
        </is>
      </c>
    </row>
    <row r="16">
      <c r="A16" s="4562" t="inlineStr">
        <is>
          <t>Headcount census</t>
        </is>
      </c>
      <c r="B16" s="4562" t="inlineStr">
        <is>
          <t>TRUE</t>
        </is>
      </c>
      <c r="C16" s="4562" t="inlineStr">
        <is>
          <t>FALSE</t>
        </is>
      </c>
      <c r="D16" s="4562" t="inlineStr"/>
      <c r="E16" s="4562" t="inlineStr"/>
      <c r="F16" s="4562" t="inlineStr"/>
      <c r="G16" s="4562" t="inlineStr"/>
      <c r="H16" s="4562" t="inlineStr">
        <is>
          <t>comments-only</t>
        </is>
      </c>
    </row>
    <row r="17">
      <c r="A17" s="4562" t="inlineStr">
        <is>
          <t>Other analysis&gt;&gt;</t>
        </is>
      </c>
      <c r="B17" s="4562" t="inlineStr">
        <is>
          <t>TRUE</t>
        </is>
      </c>
      <c r="C17" s="4562" t="inlineStr">
        <is>
          <t>FALSE</t>
        </is>
      </c>
      <c r="D17" s="4562" t="inlineStr"/>
      <c r="E17" s="4562" t="inlineStr"/>
      <c r="F17" s="4562" t="inlineStr"/>
      <c r="G17" s="4562" t="inlineStr"/>
      <c r="H17" s="4562" t="inlineStr">
        <is>
          <t>comments-only</t>
        </is>
      </c>
    </row>
    <row r="18">
      <c r="A18" s="4562" t="inlineStr">
        <is>
          <t>Top customers</t>
        </is>
      </c>
      <c r="B18" s="4562" t="inlineStr">
        <is>
          <t>TRUE</t>
        </is>
      </c>
      <c r="C18" s="4562" t="inlineStr">
        <is>
          <t>FALSE</t>
        </is>
      </c>
      <c r="D18" s="4562" t="inlineStr"/>
      <c r="E18" s="4562" t="inlineStr"/>
      <c r="F18" s="4562" t="inlineStr"/>
      <c r="G18" s="4562" t="inlineStr"/>
      <c r="H18" s="4562" t="inlineStr">
        <is>
          <t>comments-only</t>
        </is>
      </c>
    </row>
    <row r="19">
      <c r="A19" s="4562" t="inlineStr">
        <is>
          <t>Revenue by customer group</t>
        </is>
      </c>
      <c r="B19" s="4562" t="inlineStr">
        <is>
          <t>TRUE</t>
        </is>
      </c>
      <c r="C19" s="4562" t="inlineStr">
        <is>
          <t>FALSE</t>
        </is>
      </c>
      <c r="D19" s="4562" t="inlineStr"/>
      <c r="E19" s="4562" t="inlineStr"/>
      <c r="F19" s="4562" t="inlineStr"/>
      <c r="G19" s="4562" t="inlineStr"/>
      <c r="H19" s="4562" t="inlineStr">
        <is>
          <t>comments-only</t>
        </is>
      </c>
    </row>
    <row r="20">
      <c r="A20" s="4562" t="inlineStr">
        <is>
          <t>Recons &gt;&gt;</t>
        </is>
      </c>
      <c r="B20" s="4562" t="inlineStr">
        <is>
          <t>TRUE</t>
        </is>
      </c>
      <c r="C20" s="4562" t="inlineStr">
        <is>
          <t>FALSE</t>
        </is>
      </c>
      <c r="D20" s="4562" t="inlineStr"/>
      <c r="E20" s="4562" t="inlineStr"/>
      <c r="F20" s="4562" t="inlineStr"/>
      <c r="G20" s="4562" t="inlineStr"/>
      <c r="H20" s="4562" t="inlineStr">
        <is>
          <t>comments-only</t>
        </is>
      </c>
    </row>
    <row r="21">
      <c r="A21" s="4562" t="inlineStr">
        <is>
          <t>Recons | IS</t>
        </is>
      </c>
      <c r="B21" s="4562" t="inlineStr">
        <is>
          <t>TRUE</t>
        </is>
      </c>
      <c r="C21" s="4562" t="inlineStr">
        <is>
          <t>FALSE</t>
        </is>
      </c>
      <c r="D21" s="4562" t="inlineStr"/>
      <c r="E21" s="4562" t="inlineStr"/>
      <c r="F21" s="4562" t="inlineStr"/>
      <c r="G21" s="4562" t="inlineStr"/>
      <c r="H21" s="4562" t="inlineStr">
        <is>
          <t>comments-only</t>
        </is>
      </c>
    </row>
    <row r="22">
      <c r="A22" s="4562" t="inlineStr">
        <is>
          <t>Recons | BS</t>
        </is>
      </c>
      <c r="B22" s="4562" t="inlineStr">
        <is>
          <t>TRUE</t>
        </is>
      </c>
      <c r="C22" s="4562" t="inlineStr">
        <is>
          <t>FALSE</t>
        </is>
      </c>
      <c r="D22" s="4562" t="inlineStr"/>
      <c r="E22" s="4562" t="inlineStr"/>
      <c r="F22" s="4562" t="inlineStr"/>
      <c r="G22" s="4562" t="inlineStr"/>
      <c r="H22" s="4562" t="inlineStr">
        <is>
          <t>comments-only</t>
        </is>
      </c>
    </row>
    <row r="23">
      <c r="A23" s="4562" t="inlineStr">
        <is>
          <t>Recon | Cash flow</t>
        </is>
      </c>
      <c r="B23" s="4562" t="inlineStr">
        <is>
          <t>TRUE</t>
        </is>
      </c>
      <c r="C23" s="4562" t="inlineStr">
        <is>
          <t>FALSE</t>
        </is>
      </c>
      <c r="D23" s="4562" t="inlineStr"/>
      <c r="E23" s="4562" t="inlineStr"/>
      <c r="F23" s="4562" t="inlineStr"/>
      <c r="G23" s="4562" t="inlineStr">
        <is>
          <t>AF7</t>
        </is>
      </c>
      <c r="H23" s="4562" t="inlineStr">
        <is>
          <t>comments-only</t>
        </is>
      </c>
    </row>
    <row r="24">
      <c r="A24" s="4562" t="inlineStr">
        <is>
          <t>Recon | Billings</t>
        </is>
      </c>
      <c r="B24" s="4562" t="inlineStr">
        <is>
          <t>TRUE</t>
        </is>
      </c>
      <c r="C24" s="4562" t="inlineStr">
        <is>
          <t>TRUE</t>
        </is>
      </c>
      <c r="D24" s="4562" t="n">
        <v>8</v>
      </c>
      <c r="E24" s="4562" t="inlineStr">
        <is>
          <t>F</t>
        </is>
      </c>
      <c r="F24" s="4562" t="n">
        <v>36</v>
      </c>
      <c r="G24" s="4562" t="inlineStr">
        <is>
          <t>BB7</t>
        </is>
      </c>
      <c r="H24" s="4562" t="inlineStr">
        <is>
          <t>monthly-grid + comments</t>
        </is>
      </c>
    </row>
    <row r="25">
      <c r="A25" s="4562" t="inlineStr">
        <is>
          <t>Checks&gt;&gt;</t>
        </is>
      </c>
      <c r="B25" s="4562" t="inlineStr">
        <is>
          <t>TRUE</t>
        </is>
      </c>
      <c r="C25" s="4562" t="inlineStr">
        <is>
          <t>FALSE</t>
        </is>
      </c>
      <c r="D25" s="4562" t="inlineStr"/>
      <c r="E25" s="4562" t="inlineStr"/>
      <c r="F25" s="4562" t="inlineStr"/>
      <c r="G25" s="4562" t="inlineStr"/>
      <c r="H25" s="4562" t="inlineStr">
        <is>
          <t>comments-only</t>
        </is>
      </c>
    </row>
    <row r="26">
      <c r="A26" s="4562" t="inlineStr">
        <is>
          <t>Checks | Core</t>
        </is>
      </c>
      <c r="B26" s="4562" t="inlineStr">
        <is>
          <t>TRUE</t>
        </is>
      </c>
      <c r="C26" s="4562" t="inlineStr">
        <is>
          <t>FALSE</t>
        </is>
      </c>
      <c r="D26" s="4562" t="inlineStr"/>
      <c r="E26" s="4562" t="inlineStr"/>
      <c r="F26" s="4562" t="inlineStr"/>
      <c r="G26" s="4562" t="inlineStr"/>
      <c r="H26" s="4562" t="inlineStr"/>
    </row>
    <row r="27">
      <c r="A27" s="4562" t="inlineStr">
        <is>
          <t>Audit&gt;&gt;</t>
        </is>
      </c>
      <c r="B27" s="4562" t="inlineStr">
        <is>
          <t>TRUE</t>
        </is>
      </c>
      <c r="C27" s="4562" t="inlineStr">
        <is>
          <t>FALSE</t>
        </is>
      </c>
      <c r="D27" s="4562" t="inlineStr"/>
      <c r="E27" s="4562" t="inlineStr"/>
      <c r="F27" s="4562" t="inlineStr"/>
      <c r="G27" s="4562" t="inlineStr"/>
      <c r="H27" s="4562" t="inlineStr">
        <is>
          <t>comments-only</t>
        </is>
      </c>
    </row>
    <row r="28">
      <c r="A28" s="4562" t="inlineStr">
        <is>
          <t>Audit | Issues_Index</t>
        </is>
      </c>
      <c r="B28" s="4562" t="inlineStr">
        <is>
          <t>TRUE</t>
        </is>
      </c>
      <c r="C28" s="4562" t="inlineStr">
        <is>
          <t>FALSE</t>
        </is>
      </c>
      <c r="D28" s="4562" t="inlineStr"/>
      <c r="E28" s="4562" t="inlineStr"/>
      <c r="F28" s="4562" t="inlineStr"/>
      <c r="G28" s="4562" t="inlineStr"/>
      <c r="H28" s="4562" t="inlineStr">
        <is>
          <t>C10:J5000</t>
        </is>
      </c>
    </row>
    <row r="29">
      <c r="A29" s="4562" t="inlineStr">
        <is>
          <t>Audit | Run_Log</t>
        </is>
      </c>
      <c r="B29" s="4562" t="inlineStr">
        <is>
          <t>TRUE</t>
        </is>
      </c>
      <c r="C29" s="4562" t="inlineStr">
        <is>
          <t>FALSE</t>
        </is>
      </c>
      <c r="D29" s="4562" t="inlineStr"/>
      <c r="E29" s="4562" t="inlineStr"/>
      <c r="F29" s="4562" t="inlineStr"/>
      <c r="G29" s="4562" t="inlineStr"/>
      <c r="H29" s="4562" t="inlineStr">
        <is>
          <t>C10:J5000</t>
        </is>
      </c>
    </row>
    <row r="30">
      <c r="A30" s="4562" t="inlineStr">
        <is>
          <t>_Sys|Trial_Balance</t>
        </is>
      </c>
      <c r="B30" s="4562" t="inlineStr">
        <is>
          <t>FALSE</t>
        </is>
      </c>
      <c r="C30" s="4562" t="inlineStr">
        <is>
          <t>FALSE</t>
        </is>
      </c>
      <c r="D30" s="4562" t="inlineStr"/>
      <c r="E30" s="4562" t="inlineStr"/>
      <c r="F30" s="4562" t="inlineStr"/>
      <c r="G30" s="4562" t="inlineStr"/>
      <c r="H30" s="4562" t="inlineStr">
        <is>
          <t>A2:H5000</t>
        </is>
      </c>
    </row>
    <row r="31">
      <c r="A31" s="4562" t="inlineStr">
        <is>
          <t>_Sys|Line_Map</t>
        </is>
      </c>
      <c r="B31" s="4562" t="inlineStr">
        <is>
          <t>FALSE</t>
        </is>
      </c>
      <c r="C31" s="4562" t="inlineStr">
        <is>
          <t>FALSE</t>
        </is>
      </c>
      <c r="D31" s="4562" t="inlineStr"/>
      <c r="E31" s="4562" t="inlineStr"/>
      <c r="F31" s="4562" t="inlineStr"/>
      <c r="G31" s="4562" t="inlineStr"/>
      <c r="H31" s="4562" t="inlineStr">
        <is>
          <t>A2:F5000</t>
        </is>
      </c>
    </row>
    <row r="32">
      <c r="A32" s="4562" t="inlineStr">
        <is>
          <t>_Sys|Tab_Manifest</t>
        </is>
      </c>
      <c r="B32" s="4562" t="inlineStr">
        <is>
          <t>FALSE</t>
        </is>
      </c>
      <c r="C32" s="4562" t="inlineStr">
        <is>
          <t>FALSE</t>
        </is>
      </c>
      <c r="D32" s="4562" t="inlineStr"/>
      <c r="E32" s="4562" t="inlineStr"/>
      <c r="F32" s="4562" t="inlineStr"/>
      <c r="G32" s="4562" t="inlineStr"/>
      <c r="H32" s="4562" t="inlineStr"/>
    </row>
    <row r="33">
      <c r="A33" s="4562" t="inlineStr">
        <is>
          <t>_Sys|Config</t>
        </is>
      </c>
      <c r="B33" s="4562" t="inlineStr">
        <is>
          <t>FALSE</t>
        </is>
      </c>
      <c r="C33" s="4562" t="inlineStr">
        <is>
          <t>FALSE</t>
        </is>
      </c>
      <c r="D33" s="4562" t="inlineStr"/>
      <c r="E33" s="4562" t="inlineStr"/>
      <c r="F33" s="4562" t="inlineStr"/>
      <c r="G33" s="4562" t="inlineStr"/>
      <c r="H33" s="4562"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style="3710" min="1" max="1"/>
    <col width="22" customWidth="1" style="3710" min="2" max="2"/>
  </cols>
  <sheetData>
    <row r="1">
      <c r="A1" s="4563" t="inlineStr">
        <is>
          <t>config_key</t>
        </is>
      </c>
      <c r="B1" s="4563" t="inlineStr">
        <is>
          <t>config_value</t>
        </is>
      </c>
    </row>
    <row r="2">
      <c r="A2" s="4562" t="inlineStr">
        <is>
          <t>ctl_monthly_period_count</t>
        </is>
      </c>
      <c r="B2" s="4561" t="n">
        <v>36</v>
      </c>
    </row>
    <row r="3">
      <c r="A3" s="4562" t="inlineStr">
        <is>
          <t>ctl_month_start</t>
        </is>
      </c>
      <c r="B3" s="6793" t="n">
        <v>44227</v>
      </c>
    </row>
    <row r="4">
      <c r="A4" s="4562" t="inlineStr">
        <is>
          <t>ctl_tolerance_abs</t>
        </is>
      </c>
      <c r="B4" s="4561" t="n">
        <v>1</v>
      </c>
    </row>
    <row r="5">
      <c r="A5" s="4562" t="inlineStr">
        <is>
          <t>ctl_tolerance_pct</t>
        </is>
      </c>
      <c r="B5" s="4565" t="n">
        <v>0.001</v>
      </c>
    </row>
    <row r="6">
      <c r="A6" s="4562" t="inlineStr">
        <is>
          <t>ctl_project_name</t>
        </is>
      </c>
      <c r="B6" s="4561" t="inlineStr">
        <is>
          <t>Project Name</t>
        </is>
      </c>
    </row>
    <row r="7"/>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dc:title>Databook Template V2</dc:title>
  <dc:subject>North-based core scope template</dc:subject>
  <dc:language>en-CA</dc:language>
  <dcterms:created xsi:type="dcterms:W3CDTF">2015-06-05T18:17:20Z</dcterms:created>
  <dcterms:modified xsi:type="dcterms:W3CDTF">2026-02-17T17:09:05Z</dcterms:modified>
  <cp:lastModifiedBy>Rishi</cp:lastModifiedBy>
  <cp:revision>0</cp:revision>
  <cp:lastPrinted>2024-08-21T22:51:39Z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0x010100B50ACECE49572E49B9E2B6EEF15646F3</vt:lpwstr>
  </property>
  <property name="UpSlide_1102456073377.55421[DESTINATION]" fmtid="{D5CDD505-2E9C-101B-9397-08002B2CF9AE}" pid="3">
    <vt:lpwstr>Powerpoint, 874</vt:lpwstr>
  </property>
  <property name="UpSlide_1102456073377.55421[PATH]" fmtid="{D5CDD505-2E9C-101B-9397-08002B2CF9AE}" pid="4">
    <vt:lpwstr>https://kpmgcan.sharepoint.com/sites/CA-KGSCanada-ProjectNorth/Shared Documents/Project North/Staff Files/Project North_Draft report_14-Jun-24.pptx</vt:lpwstr>
  </property>
  <property name="UpSlide_1119456016671.759474[DESTINATION]" fmtid="{D5CDD505-2E9C-101B-9397-08002B2CF9AE}" pid="5">
    <vt:lpwstr>Powerpoint, 874</vt:lpwstr>
  </property>
  <property name="UpSlide_1119456016671.759474[PATH]" fmtid="{D5CDD505-2E9C-101B-9397-08002B2CF9AE}" pid="6">
    <vt:lpwstr>https://kpmgcan.sharepoint.com/sites/CA-KGSCanada-ProjectNorth/Shared Documents/Project North/Staff Files/Project North_(Jun-24) RF Draft report_23-Jul-24.pptx</vt:lpwstr>
  </property>
  <property name="UpSlide_1136459450972.636196[DESTINATION]" fmtid="{D5CDD505-2E9C-101B-9397-08002B2CF9AE}" pid="7">
    <vt:lpwstr>Powerpoint, 4759</vt:lpwstr>
  </property>
  <property name="UpSlide_1136459450972.636196[PATH]" fmtid="{D5CDD505-2E9C-101B-9397-08002B2CF9AE}" pid="8">
    <vt:lpwstr>https://kpmgcan.sharepoint.com/sites/CA-KGSCanada-ProjectNorth/Shared Documents/Project North/Staff Files/Project North_(Jun-24) RF Draft report_31-Jul-24.pptx</vt:lpwstr>
  </property>
  <property name="UpSlide_1221459457516.504832[DESTINATION]" fmtid="{D5CDD505-2E9C-101B-9397-08002B2CF9AE}" pid="9">
    <vt:lpwstr>Powerpoint, 4764</vt:lpwstr>
  </property>
  <property name="UpSlide_1221459457516.504832[PATH]" fmtid="{D5CDD505-2E9C-101B-9397-08002B2CF9AE}" pid="10">
    <vt:lpwstr>https://kpmgcan.sharepoint.com/sites/CA-KGSCanada-ProjectNorth/Shared Documents/Project North/Staff Files/Project North_(Jun-24) RF Draft report_07-Aug-24.pptx</vt:lpwstr>
  </property>
  <property name="UpSlide_12456066589.056641[DESTINATION]" fmtid="{D5CDD505-2E9C-101B-9397-08002B2CF9AE}" pid="11">
    <vt:lpwstr>Powerpoint, 4768</vt:lpwstr>
  </property>
  <property name="UpSlide_12456066589.056641[PATH]" fmtid="{D5CDD505-2E9C-101B-9397-08002B2CF9AE}" pid="12">
    <vt:lpwstr>https://kpmgcan.sharepoint.com/sites/CA-KGSCanada-ProjectNorth/Shared Documents/Project North/Staff Files/Project North_Draft report_14-Jun-24.pptx</vt:lpwstr>
  </property>
  <property name="UpSlide_1379456332002.359629[DESTINATION]" fmtid="{D5CDD505-2E9C-101B-9397-08002B2CF9AE}" pid="13">
    <vt:lpwstr>Powerpoint, 916</vt:lpwstr>
  </property>
  <property name="UpSlide_1379456332002.359629[PATH]" fmtid="{D5CDD505-2E9C-101B-9397-08002B2CF9AE}" pid="14">
    <vt:lpwstr>https://kpmgcan.sharepoint.com/sites/CA-KGSCanada-ProjectNorth/Shared Documents/Project North/Staff Files/Project North_Draft report_11-Jul-24.pptx</vt:lpwstr>
  </property>
  <property name="UpSlide_1380459455960.441981[DESTINATION]" fmtid="{D5CDD505-2E9C-101B-9397-08002B2CF9AE}" pid="15">
    <vt:lpwstr>Powerpoint, 4753</vt:lpwstr>
  </property>
  <property name="UpSlide_1380459455960.441981[PATH]" fmtid="{D5CDD505-2E9C-101B-9397-08002B2CF9AE}" pid="16">
    <vt:lpwstr>https://kpmgcan.sharepoint.com/sites/CA-KGSCanada-ProjectNorth/Shared Documents/Project North/Staff Files/Project North_(Jun-24) RF Draft report_31-Jul-24.pptx</vt:lpwstr>
  </property>
  <property name="UpSlide_1423459454888.826195[DESTINATION]" fmtid="{D5CDD505-2E9C-101B-9397-08002B2CF9AE}" pid="17">
    <vt:lpwstr>Powerpoint, 4747</vt:lpwstr>
  </property>
  <property name="UpSlide_1423459454888.826195[PATH]" fmtid="{D5CDD505-2E9C-101B-9397-08002B2CF9AE}" pid="18">
    <vt:lpwstr>https://kpmgcan.sharepoint.com/sites/CA-KGSCanada-ProjectNorth/Shared Documents/Project North/Staff Files/Project North_(Jun-24) RF Draft report_31-Jul-24.pptx</vt:lpwstr>
  </property>
  <property name="UpSlide_1454461536982.730292[DESTINATION]" fmtid="{D5CDD505-2E9C-101B-9397-08002B2CF9AE}" pid="19">
    <vt:lpwstr>Powerpoint, 912</vt:lpwstr>
  </property>
  <property name="UpSlide_1454461536982.730292[PATH]" fmtid="{D5CDD505-2E9C-101B-9397-08002B2CF9AE}" pid="20">
    <vt:lpwstr>https://kpmgcan.sharepoint.com/sites/CA-KGSCanada-ProjectNorth/Shared Documents/Project North/Staff Files/Project North_(Jun-24) RF Draft report_21-Aug-24.pptx</vt:lpwstr>
  </property>
  <property name="UpSlide_1502456028272.036038[DESTINATION]" fmtid="{D5CDD505-2E9C-101B-9397-08002B2CF9AE}" pid="21">
    <vt:lpwstr>Powerpoint, 4753</vt:lpwstr>
  </property>
  <property name="UpSlide_1502456028272.036038[PATH]" fmtid="{D5CDD505-2E9C-101B-9397-08002B2CF9AE}" pid="22">
    <vt:lpwstr>https://kpmgcan.sharepoint.com/sites/CA-KGSCanada-ProjectNorth/Shared Documents/Project North/Staff Files/Project North_Draft report_14-Jun-24.pptx</vt:lpwstr>
  </property>
  <property name="UpSlide_1604456074366.221811[DESTINATION]" fmtid="{D5CDD505-2E9C-101B-9397-08002B2CF9AE}" pid="23">
    <vt:lpwstr>Powerpoint, 4763</vt:lpwstr>
  </property>
  <property name="UpSlide_1604456074366.221811[PATH]" fmtid="{D5CDD505-2E9C-101B-9397-08002B2CF9AE}" pid="24">
    <vt:lpwstr>https://kpmgcan.sharepoint.com/sites/CA-KGSCanada-ProjectNorth/Shared Documents/Project North/Staff Files/Project North_Draft report_14-Jun-24.pptx</vt:lpwstr>
  </property>
  <property name="UpSlide_1632461445333.781375[DESTINATION]" fmtid="{D5CDD505-2E9C-101B-9397-08002B2CF9AE}" pid="25">
    <vt:lpwstr>Powerpoint, 4711</vt:lpwstr>
  </property>
  <property name="UpSlide_1632461445333.781375[PATH]" fmtid="{D5CDD505-2E9C-101B-9397-08002B2CF9AE}" pid="26">
    <vt:lpwstr>https://kpmgcan.sharepoint.com/sites/CA-KGSCanada-ProjectNorth/Shared Documents/Project North/Staff Files/Project North_(Jun-24) RF Draft report_15-Aug-24.pptx</vt:lpwstr>
  </property>
  <property name="UpSlide_1638455879732.84961[DESTINATION]" fmtid="{D5CDD505-2E9C-101B-9397-08002B2CF9AE}" pid="27">
    <vt:lpwstr>Powerpoint, 866</vt:lpwstr>
  </property>
  <property name="UpSlide_1638455879732.84961[PATH]" fmtid="{D5CDD505-2E9C-101B-9397-08002B2CF9AE}" pid="28">
    <vt:lpwstr>C:\Users\priyankaparihar\OneDrive - KPMG\Documents\Work\Projects\ADHOC\North\12-Jun-24\WIP\Project North_Draft report_11-Jun-24 v1.pptx</vt:lpwstr>
  </property>
  <property name="UpSlide_1643456343918.090083[DESTINATION]" fmtid="{D5CDD505-2E9C-101B-9397-08002B2CF9AE}" pid="29">
    <vt:lpwstr>Powerpoint, 4769</vt:lpwstr>
  </property>
  <property name="UpSlide_1643456343918.090083[PATH]" fmtid="{D5CDD505-2E9C-101B-9397-08002B2CF9AE}" pid="30">
    <vt:lpwstr>C:\Users\arushi1\Documents\my projects\ongoing\North\JUn 19\Project North_Draft report_18-Jun-24.pptx</vt:lpwstr>
  </property>
  <property name="UpSlide_171459638652.078828[DESTINATION]" fmtid="{D5CDD505-2E9C-101B-9397-08002B2CF9AE}" pid="31">
    <vt:lpwstr>Powerpoint, 4796</vt:lpwstr>
  </property>
  <property name="UpSlide_171459638652.078828[PATH]" fmtid="{D5CDD505-2E9C-101B-9397-08002B2CF9AE}" pid="32">
    <vt:lpwstr>https://kpmgcan.sharepoint.com/sites/CA-KGSCanada-ProjectNorth/Shared Documents/Project North/Staff Files/Project North_(Jun-24) RF Draft report_25-Jul-24.pptx</vt:lpwstr>
  </property>
  <property name="UpSlide_1749455883402.957515[DESTINATION]" fmtid="{D5CDD505-2E9C-101B-9397-08002B2CF9AE}" pid="33">
    <vt:lpwstr>Powerpoint, 897</vt:lpwstr>
  </property>
  <property name="UpSlide_1749455883402.957515[PATH]" fmtid="{D5CDD505-2E9C-101B-9397-08002B2CF9AE}" pid="34">
    <vt:lpwstr>C:\Users\priyankaparihar\OneDrive - KPMG\Documents\Work\Projects\ADHOC\North\12-Jun-24\WIP\Project North_Draft report_11-Jun-24 v1.pptx</vt:lpwstr>
  </property>
  <property name="UpSlide_1868455883778.283589[DESTINATION]" fmtid="{D5CDD505-2E9C-101B-9397-08002B2CF9AE}" pid="35">
    <vt:lpwstr>Powerpoint, 4711</vt:lpwstr>
  </property>
  <property name="UpSlide_1868455883778.283589[PATH]" fmtid="{D5CDD505-2E9C-101B-9397-08002B2CF9AE}" pid="36">
    <vt:lpwstr>C:\Users\priyankaparihar\OneDrive - KPMG\Documents\Work\Projects\ADHOC\North\12-Jun-24\WIP\Project North_Draft report_11-Jun-24 v1.pptx</vt:lpwstr>
  </property>
  <property name="UpSlide_188456494620.911234[DESTINATION]" fmtid="{D5CDD505-2E9C-101B-9397-08002B2CF9AE}" pid="37">
    <vt:lpwstr>Powerpoint, 916</vt:lpwstr>
  </property>
  <property name="UpSlide_188456494620.911234[PATH]" fmtid="{D5CDD505-2E9C-101B-9397-08002B2CF9AE}" pid="38">
    <vt:lpwstr>C:\Users\arushi1\Documents\my projects\ongoing\North\Jun 19\Project North_Draft report_19-Jun-24_KGS.pptx</vt:lpwstr>
  </property>
  <property name="UpSlide_1889458332214.44613[DESTINATION]" fmtid="{D5CDD505-2E9C-101B-9397-08002B2CF9AE}" pid="39">
    <vt:lpwstr>Powerpoint, 4772</vt:lpwstr>
  </property>
  <property name="UpSlide_1889458332214.44613[PATH]" fmtid="{D5CDD505-2E9C-101B-9397-08002B2CF9AE}" pid="40">
    <vt:lpwstr>https://kpmgcan.sharepoint.com/sites/CA-KGSCanada-ProjectNorth/Shared Documents/Project North/Staff Files/Project North_Draft report_10-Jul-24.pptx</vt:lpwstr>
  </property>
  <property name="UpSlide_192455117408.047343[DESTINATION]" fmtid="{D5CDD505-2E9C-101B-9397-08002B2CF9AE}" pid="41">
    <vt:lpwstr>Powerpoint, 4720</vt:lpwstr>
  </property>
  <property name="UpSlide_192455117408.047343[PATH]" fmtid="{D5CDD505-2E9C-101B-9397-08002B2CF9AE}" pid="42">
    <vt:lpwstr>C:\Users\arushi1\Documents\my projects\ongoing\North\June 3\Project North_Draft report_28-May-24.pptx</vt:lpwstr>
  </property>
  <property name="UpSlide_1939459460932.260441[DESTINATION]" fmtid="{D5CDD505-2E9C-101B-9397-08002B2CF9AE}" pid="43">
    <vt:lpwstr>Powerpoint, 911</vt:lpwstr>
  </property>
  <property name="UpSlide_1939459460932.260441[PATH]" fmtid="{D5CDD505-2E9C-101B-9397-08002B2CF9AE}" pid="44">
    <vt:lpwstr>https://kpmgcan.sharepoint.com/sites/CA-KGSCanada-ProjectNorth/Shared Documents/Project North/Staff Files/Project North_(Jun-24) RF Draft report_31-Jul-24.pptx</vt:lpwstr>
  </property>
  <property name="UpSlide_2020456034331.49979[DESTINATION]" fmtid="{D5CDD505-2E9C-101B-9397-08002B2CF9AE}" pid="45">
    <vt:lpwstr>Powerpoint, 4755</vt:lpwstr>
  </property>
  <property name="UpSlide_2020456034331.49979[PATH]" fmtid="{D5CDD505-2E9C-101B-9397-08002B2CF9AE}" pid="46">
    <vt:lpwstr>https://kpmgcan.sharepoint.com/sites/CA-KGSCanada-ProjectNorth/Shared Documents/Project North/Staff Files/Project North_Draft report_24-Jun-24.pptx</vt:lpwstr>
  </property>
  <property name="UpSlide_2041461444608.509369[DESTINATION]" fmtid="{D5CDD505-2E9C-101B-9397-08002B2CF9AE}" pid="47">
    <vt:lpwstr>Powerpoint, 4796</vt:lpwstr>
  </property>
  <property name="UpSlide_2041461444608.509369[PATH]" fmtid="{D5CDD505-2E9C-101B-9397-08002B2CF9AE}" pid="48">
    <vt:lpwstr>https://kpmgcan.sharepoint.com/sites/CA-KGSCanada-ProjectNorth/Shared Documents/Project North/Staff Files/Project North_(Jun-24) RF Draft report_15-Aug-24.pptx</vt:lpwstr>
  </property>
  <property name="UpSlide_222459449772.266551[DESTINATION]" fmtid="{D5CDD505-2E9C-101B-9397-08002B2CF9AE}" pid="49">
    <vt:lpwstr>Powerpoint, 926</vt:lpwstr>
  </property>
  <property name="UpSlide_222459449772.266551[PATH]" fmtid="{D5CDD505-2E9C-101B-9397-08002B2CF9AE}" pid="50">
    <vt:lpwstr>https://kpmgcan.sharepoint.com/sites/CA-KGSCanada-ProjectNorth/Shared Documents/Project North/Staff Files/Project North_(Jun-24) RF Draft report_17-Aug-24.pptx</vt:lpwstr>
  </property>
  <property name="UpSlide_2393456373724.700018[DESTINATION]" fmtid="{D5CDD505-2E9C-101B-9397-08002B2CF9AE}" pid="51">
    <vt:lpwstr>Powerpoint, 911</vt:lpwstr>
  </property>
  <property name="UpSlide_2393456373724.700018[PATH]" fmtid="{D5CDD505-2E9C-101B-9397-08002B2CF9AE}" pid="52">
    <vt:lpwstr>https://kpmgcan.sharepoint.com/sites/CA-KGSCanada-ProjectNorth/Shared Documents/Project North/Staff Files/Project North_Draft report_20-Jun-24.pptx</vt:lpwstr>
  </property>
  <property name="UpSlide_2440458332333.715755[DESTINATION]" fmtid="{D5CDD505-2E9C-101B-9397-08002B2CF9AE}" pid="53">
    <vt:lpwstr>Powerpoint, 4793</vt:lpwstr>
  </property>
  <property name="UpSlide_2440458332333.715755[PATH]" fmtid="{D5CDD505-2E9C-101B-9397-08002B2CF9AE}" pid="54">
    <vt:lpwstr>https://kpmgcan.sharepoint.com/sites/CA-KGSCanada-ProjectNorth/Shared Documents/Project North/Staff Files/Project North_Draft report_10-Jul-24.pptx</vt:lpwstr>
  </property>
  <property name="UpSlide_2459459442073.161405[DESTINATION]" fmtid="{D5CDD505-2E9C-101B-9397-08002B2CF9AE}" pid="55">
    <vt:lpwstr>Powerpoint, 874</vt:lpwstr>
  </property>
  <property name="UpSlide_2459459442073.161405[PATH]" fmtid="{D5CDD505-2E9C-101B-9397-08002B2CF9AE}" pid="56">
    <vt:lpwstr>https://kpmgcan.sharepoint.com/sites/CA-KGSCanada-ProjectNorth/Shared Documents/Project North/Staff Files/Project North_(Jun-24) RF Draft report_21-Aug-24.pptx</vt:lpwstr>
  </property>
  <property name="UpSlide_2491456680022.035343[DESTINATION]" fmtid="{D5CDD505-2E9C-101B-9397-08002B2CF9AE}" pid="57">
    <vt:lpwstr>Powerpoint, 4793</vt:lpwstr>
  </property>
  <property name="UpSlide_2491456680022.035343[PATH]" fmtid="{D5CDD505-2E9C-101B-9397-08002B2CF9AE}" pid="58">
    <vt:lpwstr>https://kpmgcan.sharepoint.com/sites/CA-KGSCanada-ProjectNorth/Shared Documents/Project North/Staff Files/Project North_Draft report_20-Jun-24.pptx</vt:lpwstr>
  </property>
  <property name="UpSlide_2493459454209.394299[DESTINATION]" fmtid="{D5CDD505-2E9C-101B-9397-08002B2CF9AE}" pid="59">
    <vt:lpwstr>Powerpoint, 4760</vt:lpwstr>
  </property>
  <property name="UpSlide_2493459454209.394299[PATH]" fmtid="{D5CDD505-2E9C-101B-9397-08002B2CF9AE}" pid="60">
    <vt:lpwstr>https://kpmgcan.sharepoint.com/sites/CA-KGSCanada-ProjectNorth/Shared Documents/Project North/Staff Files/Project North_(Jun-24) RF Draft report_31-Jul-24.pptx</vt:lpwstr>
  </property>
  <property name="UpSlide_2533459457312.093633[DESTINATION]" fmtid="{D5CDD505-2E9C-101B-9397-08002B2CF9AE}" pid="61">
    <vt:lpwstr>Powerpoint, 4764</vt:lpwstr>
  </property>
  <property name="UpSlide_2533459457312.093633[PATH]" fmtid="{D5CDD505-2E9C-101B-9397-08002B2CF9AE}" pid="62">
    <vt:lpwstr>https://kpmgcan.sharepoint.com/sites/CA-KGSCanada-ProjectNorth/Shared Documents/Project North/Staff Files/Project North_(Jun-24) RF Draft report_07-Aug-24.pptx</vt:lpwstr>
  </property>
  <property name="UpSlide_2548459638424.873868[DESTINATION]" fmtid="{D5CDD505-2E9C-101B-9397-08002B2CF9AE}" pid="63">
    <vt:lpwstr>Powerpoint, 919</vt:lpwstr>
  </property>
  <property name="UpSlide_2548459638424.873868[PATH]" fmtid="{D5CDD505-2E9C-101B-9397-08002B2CF9AE}" pid="64">
    <vt:lpwstr>https://kpmgcan.sharepoint.com/sites/CA-KGSCanada-ProjectNorth/Shared Documents/Project North/Staff Files/Project North_(Jun-24) RF Draft report_17-Aug-24.pptx</vt:lpwstr>
  </property>
  <property name="UpSlide_2565455883087.858917[DESTINATION]" fmtid="{D5CDD505-2E9C-101B-9397-08002B2CF9AE}" pid="65">
    <vt:lpwstr>Powerpoint, 4718</vt:lpwstr>
  </property>
  <property name="UpSlide_2565455883087.858917[PATH]" fmtid="{D5CDD505-2E9C-101B-9397-08002B2CF9AE}" pid="66">
    <vt:lpwstr>C:\Users\priyankaparihar\OneDrive - KPMG\Documents\Work\Projects\ADHOC\North\12-Jun-24\WIP\Project North_Draft report_11-Jun-24 v1.pptx</vt:lpwstr>
  </property>
  <property name="UpSlide_2587456454933.024681[DESTINATION]" fmtid="{D5CDD505-2E9C-101B-9397-08002B2CF9AE}" pid="67">
    <vt:lpwstr>Powerpoint, 4782</vt:lpwstr>
  </property>
  <property name="UpSlide_2587456454933.024681[PATH]" fmtid="{D5CDD505-2E9C-101B-9397-08002B2CF9AE}" pid="68">
    <vt:lpwstr>https://kpmgcan.sharepoint.com/sites/CA-KGSCanada-ProjectNorth/Shared Documents/Project North/Staff Files/Project North_Draft report_20-Jun-24.pptx</vt:lpwstr>
  </property>
  <property name="UpSlide_2646458411945.315036[DESTINATION]" fmtid="{D5CDD505-2E9C-101B-9397-08002B2CF9AE}" pid="69">
    <vt:lpwstr>Powerpoint, 4721</vt:lpwstr>
  </property>
  <property name="UpSlide_2646458411945.315036[PATH]" fmtid="{D5CDD505-2E9C-101B-9397-08002B2CF9AE}" pid="70">
    <vt:lpwstr>https://kpmgcan.sharepoint.com/sites/CA-KGSCanada-ProjectNorth/Shared Documents/Project North/Staff Files/Project North_Draft report_11-Jul-24.pptx</vt:lpwstr>
  </property>
  <property name="UpSlide_2709456354959.773099[DESTINATION]" fmtid="{D5CDD505-2E9C-101B-9397-08002B2CF9AE}" pid="71">
    <vt:lpwstr>Powerpoint, 4751</vt:lpwstr>
  </property>
  <property name="UpSlide_2709456354959.773099[PATH]" fmtid="{D5CDD505-2E9C-101B-9397-08002B2CF9AE}" pid="72">
    <vt:lpwstr>https://kpmgcan.sharepoint.com/sites/CA-KGSCanada-ProjectNorth/Shared Documents/Project North/Staff Files/Project North_(Jun-24) RF Draft report_31-Jul-24.pptx</vt:lpwstr>
  </property>
  <property name="UpSlide_2723453903027.634093[DESTINATION]" fmtid="{D5CDD505-2E9C-101B-9397-08002B2CF9AE}" pid="73">
    <vt:lpwstr>Powerpoint, 916</vt:lpwstr>
  </property>
  <property name="UpSlide_2723453903027.634093[PATH]" fmtid="{D5CDD505-2E9C-101B-9397-08002B2CF9AE}" pid="74">
    <vt:lpwstr>C:\Users\arushi1\Documents\my projects\ongoing\North\May 20\Project Jupiter_Draft Report 05.02.2024.pptx</vt:lpwstr>
  </property>
  <property name="UpSlide_2731456677350.415136[DESTINATION]" fmtid="{D5CDD505-2E9C-101B-9397-08002B2CF9AE}" pid="75">
    <vt:lpwstr>Powerpoint, 4796</vt:lpwstr>
  </property>
  <property name="UpSlide_2731456677350.415136[PATH]" fmtid="{D5CDD505-2E9C-101B-9397-08002B2CF9AE}" pid="76">
    <vt:lpwstr>https://kpmgcan.sharepoint.com/sites/CA-KGSCanada-ProjectNorth/Shared Documents/Project North/Staff Files/Project North_Draft report_10-Jul-24.pptx</vt:lpwstr>
  </property>
  <property name="UpSlide_2755454614933.893047[DESTINATION]" fmtid="{D5CDD505-2E9C-101B-9397-08002B2CF9AE}" pid="77">
    <vt:lpwstr>Powerpoint, 4712</vt:lpwstr>
  </property>
  <property name="UpSlide_2755454614933.893047[PATH]" fmtid="{D5CDD505-2E9C-101B-9397-08002B2CF9AE}" pid="78">
    <vt:lpwstr>C:\Users\arushi1\Documents\my projects\ongoing\North\June 3\Project North_Draft report_28-May-24.pptx</vt:lpwstr>
  </property>
  <property name="UpSlide_2814456424789.841904[DESTINATION]" fmtid="{D5CDD505-2E9C-101B-9397-08002B2CF9AE}" pid="79">
    <vt:lpwstr>Powerpoint, 1214</vt:lpwstr>
  </property>
  <property name="UpSlide_2814456424789.841904[PATH]" fmtid="{D5CDD505-2E9C-101B-9397-08002B2CF9AE}" pid="80">
    <vt:lpwstr>https://kpmgcan.sharepoint.com/sites/CA-KGSCanada-ProjectNorth/Shared Documents/Project North/Staff Files/Project North_Draft report_18-Jun-24.pptx</vt:lpwstr>
  </property>
  <property name="UpSlide_285459457687.063318[DESTINATION]" fmtid="{D5CDD505-2E9C-101B-9397-08002B2CF9AE}" pid="81">
    <vt:lpwstr>Powerpoint, 4768</vt:lpwstr>
  </property>
  <property name="UpSlide_285459457687.063318[PATH]" fmtid="{D5CDD505-2E9C-101B-9397-08002B2CF9AE}" pid="82">
    <vt:lpwstr>https://kpmgcan.sharepoint.com/sites/CA-KGSCanada-ProjectNorth/Shared Documents/Project North/Staff Files/Project North_(Jun-24) RF Draft report_31-Jul-24.pptx</vt:lpwstr>
  </property>
  <property name="UpSlide_2878455912644.499085[DESTINATION]" fmtid="{D5CDD505-2E9C-101B-9397-08002B2CF9AE}" pid="83">
    <vt:lpwstr>Powerpoint, 909</vt:lpwstr>
  </property>
  <property name="UpSlide_2878455912644.499085[PATH]" fmtid="{D5CDD505-2E9C-101B-9397-08002B2CF9AE}" pid="84">
    <vt:lpwstr>https://kpmgcan.sharepoint.com/sites/CA-KGSCanada-ProjectNorth/Shared Documents/Project North/Staff Files/Project North_Draft report_12-Jun-24.pptx</vt:lpwstr>
  </property>
  <property name="UpSlide_2883455879974.556075[DESTINATION]" fmtid="{D5CDD505-2E9C-101B-9397-08002B2CF9AE}" pid="85">
    <vt:lpwstr>Powerpoint, 916</vt:lpwstr>
  </property>
  <property name="UpSlide_2883455879974.556075[PATH]" fmtid="{D5CDD505-2E9C-101B-9397-08002B2CF9AE}" pid="86">
    <vt:lpwstr>C:\Users\priyankaparihar\OneDrive - KPMG\Documents\Work\Projects\ADHOC\North\12-Jun-24\WIP\Project North_Draft report_11-Jun-24 v1.pptx</vt:lpwstr>
  </property>
  <property name="UpSlide_2934459463626.443661[DESTINATION]" fmtid="{D5CDD505-2E9C-101B-9397-08002B2CF9AE}" pid="87">
    <vt:lpwstr>Powerpoint, 4793</vt:lpwstr>
  </property>
  <property name="UpSlide_2934459463626.443661[PATH]" fmtid="{D5CDD505-2E9C-101B-9397-08002B2CF9AE}" pid="88">
    <vt:lpwstr>https://kpmgcan.sharepoint.com/sites/CA-KGSCanada-ProjectNorth/Shared Documents/Project North/Staff Files/Project North_(Jun-24) RF Draft report_21-Aug-24.pptx</vt:lpwstr>
  </property>
  <property name="UpSlide_2944455108354.656794[DESTINATION]" fmtid="{D5CDD505-2E9C-101B-9397-08002B2CF9AE}" pid="89">
    <vt:lpwstr>Powerpoint, 4713</vt:lpwstr>
  </property>
  <property name="UpSlide_2944455108354.656794[PATH]" fmtid="{D5CDD505-2E9C-101B-9397-08002B2CF9AE}" pid="90">
    <vt:lpwstr>C:\Users\arushi1\Documents\my projects\ongoing\North\Jun 10\Project North_Draft report_09-Jun-24.pptx</vt:lpwstr>
  </property>
  <property name="UpSlide_2951459638495.276198[DESTINATION]" fmtid="{D5CDD505-2E9C-101B-9397-08002B2CF9AE}" pid="91">
    <vt:lpwstr>Powerpoint, 4774</vt:lpwstr>
  </property>
  <property name="UpSlide_2951459638495.276198[PATH]" fmtid="{D5CDD505-2E9C-101B-9397-08002B2CF9AE}" pid="92">
    <vt:lpwstr>https://kpmgcan.sharepoint.com/sites/CA-KGSCanada-ProjectNorth/Shared Documents/Project North/Staff Files/Project North_(Jun-24) RF Draft report_17-Aug-24.pptx</vt:lpwstr>
  </property>
  <property name="UpSlide_3013456063015.833213[DESTINATION]" fmtid="{D5CDD505-2E9C-101B-9397-08002B2CF9AE}" pid="93">
    <vt:lpwstr>Powerpoint, 4757</vt:lpwstr>
  </property>
  <property name="UpSlide_3013456063015.833213[PATH]" fmtid="{D5CDD505-2E9C-101B-9397-08002B2CF9AE}" pid="94">
    <vt:lpwstr>https://kpmgcan.sharepoint.com/sites/CA-KGSCanada-ProjectNorth/Shared Documents/Project North/Staff Files/Project North_Draft report_20-Jun-24.pptx</vt:lpwstr>
  </property>
  <property name="UpSlide_306456331745.077004[DESTINATION]" fmtid="{D5CDD505-2E9C-101B-9397-08002B2CF9AE}" pid="95">
    <vt:lpwstr>Powerpoint, 916</vt:lpwstr>
  </property>
  <property name="UpSlide_306456331745.077004[PATH]" fmtid="{D5CDD505-2E9C-101B-9397-08002B2CF9AE}" pid="96">
    <vt:lpwstr>https://kpmgcan.sharepoint.com/sites/CA-KGSCanada-ProjectNorth/Shared Documents/Project North/Staff Files/Project North_Draft report_10-Jul-24.pptx</vt:lpwstr>
  </property>
  <property name="UpSlide_3073456331643.517452[DESTINATION]" fmtid="{D5CDD505-2E9C-101B-9397-08002B2CF9AE}" pid="97">
    <vt:lpwstr>Powerpoint, 916</vt:lpwstr>
  </property>
  <property name="UpSlide_3073456331643.517452[PATH]" fmtid="{D5CDD505-2E9C-101B-9397-08002B2CF9AE}" pid="98">
    <vt:lpwstr>https://kpmgcan.sharepoint.com/sites/CA-KGSCanada-ProjectNorth/Shared Documents/Project North/Staff Files/Project North_(Jun-24) RF Draft report_23-Jul-24.pptx</vt:lpwstr>
  </property>
  <property name="UpSlide_3075455190189.121969[DESTINATION]" fmtid="{D5CDD505-2E9C-101B-9397-08002B2CF9AE}" pid="99">
    <vt:lpwstr>Powerpoint, 926</vt:lpwstr>
  </property>
  <property name="UpSlide_3075455190189.121969[PATH]" fmtid="{D5CDD505-2E9C-101B-9397-08002B2CF9AE}" pid="100">
    <vt:lpwstr>C:\Users\arushi1\Documents\my projects\ongoing\North\Jun 10\Project North_Draft report_09-Jun-24.pptx</vt:lpwstr>
  </property>
  <property name="UpSlide_311461980084.080147[DESTINATION]" fmtid="{D5CDD505-2E9C-101B-9397-08002B2CF9AE}" pid="101">
    <vt:lpwstr>Powerpoint, 4753</vt:lpwstr>
  </property>
  <property name="UpSlide_311461980084.080147[PATH]" fmtid="{D5CDD505-2E9C-101B-9397-08002B2CF9AE}" pid="102">
    <vt:lpwstr>https://kpmgcan.sharepoint.com/sites/CA-KGSCanada-ProjectNorth/Shared Documents/Project North/Staff Files/Project North_(Jun-24) RF Draft report_21-Aug-24 vS.pptx</vt:lpwstr>
  </property>
  <property name="UpSlide_3236455881832.850582[DESTINATION]" fmtid="{D5CDD505-2E9C-101B-9397-08002B2CF9AE}" pid="103">
    <vt:lpwstr>Powerpoint, 4725</vt:lpwstr>
  </property>
  <property name="UpSlide_3236455881832.850582[PATH]" fmtid="{D5CDD505-2E9C-101B-9397-08002B2CF9AE}" pid="104">
    <vt:lpwstr>C:\Users\priyankaparihar\OneDrive - KPMG\Documents\Work\Projects\ADHOC\North\12-Jun-24\WIP\Project North_Draft report_11-Jun-24 v1.pptx</vt:lpwstr>
  </property>
  <property name="UpSlide_3246459463671.354052[DESTINATION]" fmtid="{D5CDD505-2E9C-101B-9397-08002B2CF9AE}" pid="105">
    <vt:lpwstr>Powerpoint, 4793</vt:lpwstr>
  </property>
  <property name="UpSlide_3246459463671.354052[PATH]" fmtid="{D5CDD505-2E9C-101B-9397-08002B2CF9AE}" pid="106">
    <vt:lpwstr>https://kpmgcan.sharepoint.com/sites/CA-KGSCanada-ProjectNorth/Shared Documents/Project North/Staff Files/Project North_(Jun-24) RF Draft report_31-Jul-24.pptx</vt:lpwstr>
  </property>
  <property name="UpSlide_3263454542442.120997[DESTINATION]" fmtid="{D5CDD505-2E9C-101B-9397-08002B2CF9AE}" pid="107">
    <vt:lpwstr>Powerpoint, 4710</vt:lpwstr>
  </property>
  <property name="UpSlide_3263454542442.120997[PATH]" fmtid="{D5CDD505-2E9C-101B-9397-08002B2CF9AE}" pid="108">
    <vt:lpwstr>https://kpmgcan.sharepoint.com/sites/CA-KGSCanada-ProjectNorth/Shared Documents/Project North/Staff Files/Project North_Draft report_27-May-24.pptx</vt:lpwstr>
  </property>
  <property name="UpSlide_33459622664.177303[DESTINATION]" fmtid="{D5CDD505-2E9C-101B-9397-08002B2CF9AE}" pid="109">
    <vt:lpwstr>Powerpoint, 4782</vt:lpwstr>
  </property>
  <property name="UpSlide_33459622664.177303[PATH]" fmtid="{D5CDD505-2E9C-101B-9397-08002B2CF9AE}" pid="110">
    <vt:lpwstr>https://kpmgcan.sharepoint.com/sites/CA-KGSCanada-ProjectNorth/Shared Documents/Project North/Staff Files/Project North_(Jun-24) RF Draft report_21-Aug-24.pptx</vt:lpwstr>
  </property>
  <property name="UpSlide_3457461446275.386074[DESTINATION]" fmtid="{D5CDD505-2E9C-101B-9397-08002B2CF9AE}" pid="111">
    <vt:lpwstr>Powerpoint, 4710</vt:lpwstr>
  </property>
  <property name="UpSlide_3457461446275.386074[PATH]" fmtid="{D5CDD505-2E9C-101B-9397-08002B2CF9AE}" pid="112">
    <vt:lpwstr>https://kpmgcan.sharepoint.com/sites/CA-KGSCanada-ProjectNorth/Shared Documents/Project North/Staff Files/Project North_(Jun-24) RF Draft report_15-Aug-24.pptx</vt:lpwstr>
  </property>
  <property name="UpSlide_347459457730.101505[DESTINATION]" fmtid="{D5CDD505-2E9C-101B-9397-08002B2CF9AE}" pid="113">
    <vt:lpwstr>Powerpoint, 4768</vt:lpwstr>
  </property>
  <property name="UpSlide_347459457730.101505[PATH]" fmtid="{D5CDD505-2E9C-101B-9397-08002B2CF9AE}" pid="114">
    <vt:lpwstr>https://kpmgcan.sharepoint.com/sites/CA-KGSCanada-ProjectNorth/Shared Documents/Project North/Staff Files/Project North_(Jun-24) RF Draft report_31-Jul-24.pptx</vt:lpwstr>
  </property>
  <property name="UpSlide_3491457113311.140477[DESTINATION]" fmtid="{D5CDD505-2E9C-101B-9397-08002B2CF9AE}" pid="115">
    <vt:lpwstr>Powerpoint, 4768</vt:lpwstr>
  </property>
  <property name="UpSlide_3491457113311.140477[PATH]" fmtid="{D5CDD505-2E9C-101B-9397-08002B2CF9AE}" pid="116">
    <vt:lpwstr>https://kpmgcan.sharepoint.com/sites/CA-KGSCanada-ProjectNorth/Shared Documents/Project North/Staff Files/Project North_Draft report_26-Jun-24.pptx</vt:lpwstr>
  </property>
  <property name="UpSlide_3519454607766.901368[DESTINATION]" fmtid="{D5CDD505-2E9C-101B-9397-08002B2CF9AE}" pid="117">
    <vt:lpwstr>Powerpoint, 916</vt:lpwstr>
  </property>
  <property name="UpSlide_3519454607766.901368[PATH]" fmtid="{D5CDD505-2E9C-101B-9397-08002B2CF9AE}" pid="118">
    <vt:lpwstr>https://kpmgcan.sharepoint.com/sites/CA-KGSCanada-ProjectNorth/Shared Documents/Project North/Staff Files/Project North_Draft report_28-May-24.pptx</vt:lpwstr>
  </property>
  <property name="UpSlide_3521459456979.010318[DESTINATION]" fmtid="{D5CDD505-2E9C-101B-9397-08002B2CF9AE}" pid="119">
    <vt:lpwstr>Powerpoint, 4757</vt:lpwstr>
  </property>
  <property name="UpSlide_3521459456979.010318[PATH]" fmtid="{D5CDD505-2E9C-101B-9397-08002B2CF9AE}" pid="120">
    <vt:lpwstr>https://kpmgcan.sharepoint.com/sites/CA-KGSCanada-ProjectNorth/Shared Documents/Project North/Staff Files/Project North_(Jun-24) RF Draft report_02-Aug-24.pptx</vt:lpwstr>
  </property>
  <property name="UpSlide_3632456377047.670149[DESTINATION]" fmtid="{D5CDD505-2E9C-101B-9397-08002B2CF9AE}" pid="121">
    <vt:lpwstr>Powerpoint, 4770</vt:lpwstr>
  </property>
  <property name="UpSlide_3632456377047.670149[PATH]" fmtid="{D5CDD505-2E9C-101B-9397-08002B2CF9AE}" pid="122">
    <vt:lpwstr>https://kpmgcan.sharepoint.com/sites/CA-KGSCanada-ProjectNorth/Shared Documents/Project North/Staff Files/Project North_Draft report_17-Jun-24.pptx</vt:lpwstr>
  </property>
  <property name="UpSlide_3638455912472.227542[DESTINATION]" fmtid="{D5CDD505-2E9C-101B-9397-08002B2CF9AE}" pid="123">
    <vt:lpwstr>Powerpoint, 4694</vt:lpwstr>
  </property>
  <property name="UpSlide_3638455912472.227542[PATH]" fmtid="{D5CDD505-2E9C-101B-9397-08002B2CF9AE}" pid="124">
    <vt:lpwstr>https://kpmgcan.sharepoint.com/sites/CA-KGSCanada-ProjectNorth/Shared Documents/Project North/Staff Files/Project North_Draft report_10-Jul-24.pptx</vt:lpwstr>
  </property>
  <property name="UpSlide_3642455902977.999003[DESTINATION]" fmtid="{D5CDD505-2E9C-101B-9397-08002B2CF9AE}" pid="125">
    <vt:lpwstr>Powerpoint, 926</vt:lpwstr>
  </property>
  <property name="UpSlide_3642455902977.999003[PATH]" fmtid="{D5CDD505-2E9C-101B-9397-08002B2CF9AE}" pid="126">
    <vt:lpwstr>https://kpmgcan.sharepoint.com/sites/CA-KGSCanada-ProjectNorth/Shared Documents/Project North/Staff Files/Project North_Draft report_20-Jun-24.pptx</vt:lpwstr>
  </property>
  <property name="UpSlide_3669456615648.902427[DESTINATION]" fmtid="{D5CDD505-2E9C-101B-9397-08002B2CF9AE}" pid="127">
    <vt:lpwstr>Powerpoint, 4715</vt:lpwstr>
  </property>
  <property name="UpSlide_3669456615648.902427[PATH]" fmtid="{D5CDD505-2E9C-101B-9397-08002B2CF9AE}" pid="128">
    <vt:lpwstr>https://kpmgcan.sharepoint.com/sites/CA-KGSCanada-ProjectNorth/Shared Documents/Project North/Staff Files/Project North_Draft report_28-Jun-24 vS.pptx</vt:lpwstr>
  </property>
  <property name="UpSlide_3669458397332.432167[DESTINATION]" fmtid="{D5CDD505-2E9C-101B-9397-08002B2CF9AE}" pid="129">
    <vt:lpwstr>Powerpoint, 1045</vt:lpwstr>
  </property>
  <property name="UpSlide_3669458397332.432167[PATH]" fmtid="{D5CDD505-2E9C-101B-9397-08002B2CF9AE}" pid="130">
    <vt:lpwstr>C:\Users\arushi1\Documents\my projects\ongoing\North\Phase II\Jul 11\Project North_Draft report_20-Jun-24.pptx</vt:lpwstr>
  </property>
  <property name="UpSlide_3748454273706.834861[DESTINATION]" fmtid="{D5CDD505-2E9C-101B-9397-08002B2CF9AE}" pid="131">
    <vt:lpwstr>Powerpoint, 796</vt:lpwstr>
  </property>
  <property name="UpSlide_3748454273706.834861[PATH]" fmtid="{D5CDD505-2E9C-101B-9397-08002B2CF9AE}" pid="132">
    <vt:lpwstr>https://kpmgcan.sharepoint.com/sites/CA-KGSCanada-ProjectNorth/Shared Documents/Project North/Staff Files/Project North_Draft report_23-May-24.pptx</vt:lpwstr>
  </property>
  <property name="UpSlide_3753456543246.398424[DESTINATION]" fmtid="{D5CDD505-2E9C-101B-9397-08002B2CF9AE}" pid="133">
    <vt:lpwstr>Powerpoint, 4772</vt:lpwstr>
  </property>
  <property name="UpSlide_3753456543246.398424[PATH]" fmtid="{D5CDD505-2E9C-101B-9397-08002B2CF9AE}" pid="134">
    <vt:lpwstr>https://kpmgcan.sharepoint.com/sites/CA-KGSCanada-ProjectNorth/Shared Documents/Project North/Staff Files/Project North_Draft report_24-Jun-24.pptx</vt:lpwstr>
  </property>
  <property name="UpSlide_3771459621501.946437[DESTINATION]" fmtid="{D5CDD505-2E9C-101B-9397-08002B2CF9AE}" pid="135">
    <vt:lpwstr>Powerpoint, 4717</vt:lpwstr>
  </property>
  <property name="UpSlide_3771459621501.946437[PATH]" fmtid="{D5CDD505-2E9C-101B-9397-08002B2CF9AE}" pid="136">
    <vt:lpwstr>https://kpmgcan.sharepoint.com/sites/CA-KGSCanada-ProjectNorth/Shared Documents/Project North/Staff Files/Project North_(Jun-24) RF Draft report_25-Jul-24.pptx</vt:lpwstr>
  </property>
  <property name="UpSlide_3803458331875.038211[DESTINATION]" fmtid="{D5CDD505-2E9C-101B-9397-08002B2CF9AE}" pid="137">
    <vt:lpwstr>Powerpoint, 911</vt:lpwstr>
  </property>
  <property name="UpSlide_3803458331875.038211[PATH]" fmtid="{D5CDD505-2E9C-101B-9397-08002B2CF9AE}" pid="138">
    <vt:lpwstr>https://kpmgcan.sharepoint.com/sites/CA-KGSCanada-ProjectNorth/Shared Documents/Project North/Staff Files/Project North_Draft report_10-Jul-24.pptx</vt:lpwstr>
  </property>
  <property name="UpSlide_380456678984.724335[DESTINATION]" fmtid="{D5CDD505-2E9C-101B-9397-08002B2CF9AE}" pid="139">
    <vt:lpwstr>Powerpoint, 4737</vt:lpwstr>
  </property>
  <property name="UpSlide_380456678984.724335[PATH]" fmtid="{D5CDD505-2E9C-101B-9397-08002B2CF9AE}" pid="140">
    <vt:lpwstr>https://kpmgcan.sharepoint.com/sites/CA-KGSCanada-ProjectNorth/Shared Documents/Project North/Staff Files/Archive/Project North_Draft report_10-Jul-24.pptx</vt:lpwstr>
  </property>
  <property name="UpSlide_3828456025015.869228[DESTINATION]" fmtid="{D5CDD505-2E9C-101B-9397-08002B2CF9AE}" pid="141">
    <vt:lpwstr>Powerpoint, 4749</vt:lpwstr>
  </property>
  <property name="UpSlide_3828456025015.869228[PATH]" fmtid="{D5CDD505-2E9C-101B-9397-08002B2CF9AE}" pid="142">
    <vt:lpwstr>https://kpmgcan.sharepoint.com/sites/CA-KGSCanada-ProjectNorth/Shared Documents/Project North/Staff Files/Project North_Draft report_24-Jun-24.pptx</vt:lpwstr>
  </property>
  <property name="UpSlide_384455111431.876633[DESTINATION]" fmtid="{D5CDD505-2E9C-101B-9397-08002B2CF9AE}" pid="143">
    <vt:lpwstr>Powerpoint, 4715</vt:lpwstr>
  </property>
  <property name="UpSlide_384455111431.876633[PATH]" fmtid="{D5CDD505-2E9C-101B-9397-08002B2CF9AE}" pid="144">
    <vt:lpwstr>C:\Users\arushi1\Documents\my projects\ongoing\North\June 3\Project North_Draft report_28-May-24.pptx</vt:lpwstr>
  </property>
  <property name="UpSlide_3874455887361.732891[DESTINATION]" fmtid="{D5CDD505-2E9C-101B-9397-08002B2CF9AE}" pid="145">
    <vt:lpwstr>Powerpoint, 912</vt:lpwstr>
  </property>
  <property name="UpSlide_3874455887361.732891[PATH]" fmtid="{D5CDD505-2E9C-101B-9397-08002B2CF9AE}" pid="146">
    <vt:lpwstr>C:\Users\priyankaparihar\OneDrive - KPMG\Documents\Work\Projects\ADHOC\North\12-Jun-24\WIP\Project North_Draft report_11-Jun-24 v1.pptx</vt:lpwstr>
  </property>
  <property name="UpSlide_3897455886681.925004[DESTINATION]" fmtid="{D5CDD505-2E9C-101B-9397-08002B2CF9AE}" pid="147">
    <vt:lpwstr>Powerpoint, 909</vt:lpwstr>
  </property>
  <property name="UpSlide_3897455886681.925004[PATH]" fmtid="{D5CDD505-2E9C-101B-9397-08002B2CF9AE}" pid="148">
    <vt:lpwstr>C:\Users\priyankaparihar\OneDrive - KPMG\Documents\Work\Projects\ADHOC\North\12-Jun-24\WIP\Project North_Draft report_11-Jun-24 v1.pptx</vt:lpwstr>
  </property>
  <property name="UpSlide_3916458332277.982692[DESTINATION]" fmtid="{D5CDD505-2E9C-101B-9397-08002B2CF9AE}" pid="149">
    <vt:lpwstr>Powerpoint, 4793</vt:lpwstr>
  </property>
  <property name="UpSlide_3916458332277.982692[PATH]" fmtid="{D5CDD505-2E9C-101B-9397-08002B2CF9AE}" pid="150">
    <vt:lpwstr>https://kpmgcan.sharepoint.com/sites/CA-KGSCanada-ProjectNorth/Shared Documents/Project North/Staff Files/Project North_Draft report_10-Jul-24.pptx</vt:lpwstr>
  </property>
  <property name="UpSlide_3929455881877.177754[DESTINATION]" fmtid="{D5CDD505-2E9C-101B-9397-08002B2CF9AE}" pid="151">
    <vt:lpwstr>Powerpoint, 4725</vt:lpwstr>
  </property>
  <property name="UpSlide_3929455881877.177754[PATH]" fmtid="{D5CDD505-2E9C-101B-9397-08002B2CF9AE}" pid="152">
    <vt:lpwstr>C:\Users\priyankaparihar\OneDrive - KPMG\Documents\Work\Projects\ADHOC\North\12-Jun-24\WIP\Project North_Draft report_11-Jun-24 v1.pptx</vt:lpwstr>
  </property>
  <property name="UpSlide_394456456836.59389[DESTINATION]" fmtid="{D5CDD505-2E9C-101B-9397-08002B2CF9AE}" pid="153">
    <vt:lpwstr>Powerpoint, 4775</vt:lpwstr>
  </property>
  <property name="UpSlide_394456456836.59389[PATH]" fmtid="{D5CDD505-2E9C-101B-9397-08002B2CF9AE}" pid="154">
    <vt:lpwstr>https://kpmgcan.sharepoint.com/sites/CA-KGSCanada-ProjectNorth/Shared Documents/Project North/Staff Files/Project North_Draft report_20-Jun-24.pptx</vt:lpwstr>
  </property>
  <property name="UpSlide_4089456033170.815999[DESTINATION]" fmtid="{D5CDD505-2E9C-101B-9397-08002B2CF9AE}" pid="155">
    <vt:lpwstr>Powerpoint, 4755</vt:lpwstr>
  </property>
  <property name="UpSlide_4089456033170.815999[PATH]" fmtid="{D5CDD505-2E9C-101B-9397-08002B2CF9AE}" pid="156">
    <vt:lpwstr>https://kpmgcan.sharepoint.com/sites/CA-KGSCanada-ProjectNorth/Shared Documents/Project North/Staff Files/Project North_Draft report_24-Jun-24.pptx</vt:lpwstr>
  </property>
  <property name="UpSlide_4156458330987.365124[DESTINATION]" fmtid="{D5CDD505-2E9C-101B-9397-08002B2CF9AE}" pid="157">
    <vt:lpwstr>Powerpoint, 4773</vt:lpwstr>
  </property>
  <property name="UpSlide_4156458330987.365124[PATH]" fmtid="{D5CDD505-2E9C-101B-9397-08002B2CF9AE}" pid="158">
    <vt:lpwstr>https://kpmgcan.sharepoint.com/sites/CA-KGSCanada-ProjectNorth/Shared Documents/Project North/Staff Files/Project North_Draft report_10-Jul-24.pptx</vt:lpwstr>
  </property>
  <property name="UpSlide_4168456025104.129237[DESTINATION]" fmtid="{D5CDD505-2E9C-101B-9397-08002B2CF9AE}" pid="159">
    <vt:lpwstr>Powerpoint, 4742</vt:lpwstr>
  </property>
  <property name="UpSlide_4168456025104.129237[PATH]" fmtid="{D5CDD505-2E9C-101B-9397-08002B2CF9AE}" pid="160">
    <vt:lpwstr>https://kpmgcan.sharepoint.com/sites/CA-KGSCanada-ProjectNorth/Shared Documents/Project North/Staff Files/Project North_Draft report_14-Jun-24.pptx</vt:lpwstr>
  </property>
  <property name="UpSlide_4173456454587.928334[DESTINATION]" fmtid="{D5CDD505-2E9C-101B-9397-08002B2CF9AE}" pid="161">
    <vt:lpwstr>Powerpoint, 4780</vt:lpwstr>
  </property>
  <property name="UpSlide_4173456454587.928334[PATH]" fmtid="{D5CDD505-2E9C-101B-9397-08002B2CF9AE}" pid="162">
    <vt:lpwstr>https://kpmgcan.sharepoint.com/sites/CA-KGSCanada-ProjectNorth/Shared Documents/Project North/Staff Files/Project North_(Jun-24) RF Draft report_07-Aug-24.pptx</vt:lpwstr>
  </property>
  <property name="UpSlide_4243455883918.467318[DESTINATION]" fmtid="{D5CDD505-2E9C-101B-9397-08002B2CF9AE}" pid="163">
    <vt:lpwstr>Powerpoint, 4710</vt:lpwstr>
  </property>
  <property name="UpSlide_4243455883918.467318[PATH]" fmtid="{D5CDD505-2E9C-101B-9397-08002B2CF9AE}" pid="164">
    <vt:lpwstr>C:\Users\priyankaparihar\OneDrive - KPMG\Documents\Work\Projects\ADHOC\North\12-Jun-24\WIP\Project North_Draft report_11-Jun-24 v1.pptx</vt:lpwstr>
  </property>
  <property name="UpSlide_4263456455364.202695[DESTINATION]" fmtid="{D5CDD505-2E9C-101B-9397-08002B2CF9AE}" pid="165">
    <vt:lpwstr>Powerpoint, 4713</vt:lpwstr>
  </property>
  <property name="UpSlide_4263456455364.202695[PATH]" fmtid="{D5CDD505-2E9C-101B-9397-08002B2CF9AE}" pid="166">
    <vt:lpwstr>https://kpmgcan.sharepoint.com/sites/CA-KGSCanada-ProjectNorth/Shared Documents/Project North/Staff Files/Project North_Draft report_18-Jun-24.pptx</vt:lpwstr>
  </property>
  <property name="UpSlide_4373458411586.164723[DESTINATION]" fmtid="{D5CDD505-2E9C-101B-9397-08002B2CF9AE}" pid="167">
    <vt:lpwstr>Powerpoint, 4783</vt:lpwstr>
  </property>
  <property name="UpSlide_4373458411586.164723[PATH]" fmtid="{D5CDD505-2E9C-101B-9397-08002B2CF9AE}" pid="168">
    <vt:lpwstr>https://kpmgcan.sharepoint.com/sites/CA-KGSCanada-ProjectNorth/Shared Documents/Project North/Staff Files/Project North_Draft report_11-Jul-24.pptx</vt:lpwstr>
  </property>
  <property name="UpSlide_4391455916533.645626[DESTINATION]" fmtid="{D5CDD505-2E9C-101B-9397-08002B2CF9AE}" pid="169">
    <vt:lpwstr>Powerpoint, 4761</vt:lpwstr>
  </property>
  <property name="UpSlide_4391455916533.645626[PATH]" fmtid="{D5CDD505-2E9C-101B-9397-08002B2CF9AE}" pid="170">
    <vt:lpwstr>https://kpmgcan.sharepoint.com/sites/CA-KGSCanada-ProjectNorth/Shared Documents/Project North/Staff Files/Project North_Draft report_14-Jun-24.pptx</vt:lpwstr>
  </property>
  <property name="UpSlide_439456065917.537741[DESTINATION]" fmtid="{D5CDD505-2E9C-101B-9397-08002B2CF9AE}" pid="171">
    <vt:lpwstr>Powerpoint, 4764</vt:lpwstr>
  </property>
  <property name="UpSlide_439456065917.537741[PATH]" fmtid="{D5CDD505-2E9C-101B-9397-08002B2CF9AE}" pid="172">
    <vt:lpwstr>C:\Users\arushi1\Documents\my projects\ongoing\North\Jun 14\Project North_Draft report_13-Jun-24 .pptx</vt:lpwstr>
  </property>
  <property name="UpSlide_4434459450169.794886[DESTINATION]" fmtid="{D5CDD505-2E9C-101B-9397-08002B2CF9AE}" pid="173">
    <vt:lpwstr>Powerpoint, 4749</vt:lpwstr>
  </property>
  <property name="UpSlide_4434459450169.794886[PATH]" fmtid="{D5CDD505-2E9C-101B-9397-08002B2CF9AE}" pid="174">
    <vt:lpwstr>https://kpmgcan.sharepoint.com/sites/CA-KGSCanada-ProjectNorth/Shared Documents/Project North/Staff Files/Project North_(Jun-24) RF Draft report_23-Jul-24.pptx</vt:lpwstr>
  </property>
  <property name="UpSlide_4439456455149.937591[DESTINATION]" fmtid="{D5CDD505-2E9C-101B-9397-08002B2CF9AE}" pid="175">
    <vt:lpwstr>Powerpoint, 4711</vt:lpwstr>
  </property>
  <property name="UpSlide_4439456455149.937591[PATH]" fmtid="{D5CDD505-2E9C-101B-9397-08002B2CF9AE}" pid="176">
    <vt:lpwstr>https://kpmgcan.sharepoint.com/sites/CA-KGSCanada-ProjectNorth/Shared Documents/Project North/Staff Files/Project North_Draft report_10-Jul-24.pptx</vt:lpwstr>
  </property>
  <property name="UpSlide_4442455107771.750739[DESTINATION]" fmtid="{D5CDD505-2E9C-101B-9397-08002B2CF9AE}" pid="177">
    <vt:lpwstr>Powerpoint, 4713</vt:lpwstr>
  </property>
  <property name="UpSlide_4442455107771.750739[PATH]" fmtid="{D5CDD505-2E9C-101B-9397-08002B2CF9AE}" pid="178">
    <vt:lpwstr>C:\Users\arushi1\Documents\my projects\ongoing\North\June 3\Project North_Draft report_28-May-24.pptx</vt:lpwstr>
  </property>
  <property name="UpSlide_4453456066150.658438[DESTINATION]" fmtid="{D5CDD505-2E9C-101B-9397-08002B2CF9AE}" pid="179">
    <vt:lpwstr>Powerpoint, 4764</vt:lpwstr>
  </property>
  <property name="UpSlide_4453456066150.658438[PATH]" fmtid="{D5CDD505-2E9C-101B-9397-08002B2CF9AE}" pid="180">
    <vt:lpwstr>https://kpmgcan.sharepoint.com/sites/CA-KGSCanada-ProjectNorth/Shared Documents/Project North/Staff Files/Project North_Draft report_20-Jun-24.pptx</vt:lpwstr>
  </property>
  <property name="UpSlide_4458455916378.264466[DESTINATION]" fmtid="{D5CDD505-2E9C-101B-9397-08002B2CF9AE}" pid="181">
    <vt:lpwstr>Powerpoint, 912</vt:lpwstr>
  </property>
  <property name="UpSlide_4458455916378.264466[PATH]" fmtid="{D5CDD505-2E9C-101B-9397-08002B2CF9AE}" pid="182">
    <vt:lpwstr>https://kpmgcan.sharepoint.com/sites/CA-KGSCanada-ProjectNorth/Shared Documents/Project North/Staff Files/Project North_Draft report_12-Jun-24.pptx</vt:lpwstr>
  </property>
  <property name="UpSlide_4481459629747.401254[DESTINATION]" fmtid="{D5CDD505-2E9C-101B-9397-08002B2CF9AE}" pid="183">
    <vt:lpwstr>Powerpoint, 4797</vt:lpwstr>
  </property>
  <property name="UpSlide_4481459629747.401254[PATH]" fmtid="{D5CDD505-2E9C-101B-9397-08002B2CF9AE}" pid="184">
    <vt:lpwstr>https://kpmgcan.sharepoint.com/sites/CA-KGSCanada-ProjectNorth/Shared Documents/Project North/Staff Files/Project North_(Jun-24) RF Draft report_25-Jul-24.pptx</vt:lpwstr>
  </property>
  <property name="UpSlide_451456029235.957318[DESTINATION]" fmtid="{D5CDD505-2E9C-101B-9397-08002B2CF9AE}" pid="185">
    <vt:lpwstr>Powerpoint, 4753</vt:lpwstr>
  </property>
  <property name="UpSlide_451456029235.957318[PATH]" fmtid="{D5CDD505-2E9C-101B-9397-08002B2CF9AE}" pid="186">
    <vt:lpwstr>https://kpmgcan.sharepoint.com/sites/CA-KGSCanada-ProjectNorth/Shared Documents/Project North/Staff Files/Project North_Draft report_14-Jun-24.pptx</vt:lpwstr>
  </property>
  <property name="UpSlide_4536458412195.168227[DESTINATION]" fmtid="{D5CDD505-2E9C-101B-9397-08002B2CF9AE}" pid="187">
    <vt:lpwstr>Powerpoint, 4717</vt:lpwstr>
  </property>
  <property name="UpSlide_4536458412195.168227[PATH]" fmtid="{D5CDD505-2E9C-101B-9397-08002B2CF9AE}" pid="188">
    <vt:lpwstr>https://kpmgcan.sharepoint.com/sites/CA-KGSCanada-ProjectNorth/Shared Documents/Project North/Staff Files/Project North_Draft report_11-Jul-24.pptx</vt:lpwstr>
  </property>
  <property name="UpSlide_4603458397375.405362[DESTINATION]" fmtid="{D5CDD505-2E9C-101B-9397-08002B2CF9AE}" pid="189">
    <vt:lpwstr>Powerpoint, 1045</vt:lpwstr>
  </property>
  <property name="UpSlide_4603458397375.405362[PATH]" fmtid="{D5CDD505-2E9C-101B-9397-08002B2CF9AE}" pid="190">
    <vt:lpwstr>C:\Users\arushi1\Documents\my projects\ongoing\North\Phase II\Jul 11\Project North_Draft report_20-Jun-24.pptx</vt:lpwstr>
  </property>
  <property name="UpSlide_4603460232598.763499[DESTINATION]" fmtid="{D5CDD505-2E9C-101B-9397-08002B2CF9AE}" pid="191">
    <vt:lpwstr>Powerpoint, 4697</vt:lpwstr>
  </property>
  <property name="UpSlide_4603460232598.763499[PATH]" fmtid="{D5CDD505-2E9C-101B-9397-08002B2CF9AE}" pid="192">
    <vt:lpwstr>https://kpmgcan.sharepoint.com/sites/CA-KGSCanada-ProjectNorth/Shared Documents/Project North/Staff Files/Project North_(Jun-24) RF Draft report_21-Aug-24.pptx</vt:lpwstr>
  </property>
  <property name="UpSlide_466459639196.541452[DESTINATION]" fmtid="{D5CDD505-2E9C-101B-9397-08002B2CF9AE}" pid="193">
    <vt:lpwstr>Powerpoint, 4777</vt:lpwstr>
  </property>
  <property name="UpSlide_466459639196.541452[PATH]" fmtid="{D5CDD505-2E9C-101B-9397-08002B2CF9AE}" pid="194">
    <vt:lpwstr>https://kpmgcan.sharepoint.com/sites/CA-KGSCanada-ProjectNorth/Shared Documents/Project North/Staff Files/Project North_(Jun-24) RF Draft report_25-Jul-24.pptx</vt:lpwstr>
  </property>
  <property name="UpSlide_4724459456465.80881[DESTINATION]" fmtid="{D5CDD505-2E9C-101B-9397-08002B2CF9AE}" pid="195">
    <vt:lpwstr>Powerpoint, 4755</vt:lpwstr>
  </property>
  <property name="UpSlide_4724459456465.80881[PATH]" fmtid="{D5CDD505-2E9C-101B-9397-08002B2CF9AE}" pid="196">
    <vt:lpwstr>https://kpmgcan.sharepoint.com/sites/CA-KGSCanada-ProjectNorth/Shared Documents/Project North/Staff Files/Project North_(Jun-24) RF Draft report_17-Aug-24.pptx</vt:lpwstr>
  </property>
  <property name="UpSlide_47456614728.503293[DESTINATION]" fmtid="{D5CDD505-2E9C-101B-9397-08002B2CF9AE}" pid="197">
    <vt:lpwstr>Powerpoint, 4785</vt:lpwstr>
  </property>
  <property name="UpSlide_47456614728.503293[PATH]" fmtid="{D5CDD505-2E9C-101B-9397-08002B2CF9AE}" pid="198">
    <vt:lpwstr>https://kpmgcan.sharepoint.com/sites/CA-KGSCanada-ProjectNorth/Shared Documents/Project North/Staff Files/Project North_(Jun-24) RF Draft report_15-Aug-24.pptx</vt:lpwstr>
  </property>
  <property name="UpSlide_4778459456612.179112[DESTINATION]" fmtid="{D5CDD505-2E9C-101B-9397-08002B2CF9AE}" pid="199">
    <vt:lpwstr>Powerpoint, 4756</vt:lpwstr>
  </property>
  <property name="UpSlide_4778459456612.179112[PATH]" fmtid="{D5CDD505-2E9C-101B-9397-08002B2CF9AE}" pid="200">
    <vt:lpwstr>https://kpmgcan.sharepoint.com/sites/CA-KGSCanada-ProjectNorth/Shared Documents/Project North/Staff Files/Project North_(Jun-24) RF Draft report_31-Jul-24.pptx</vt:lpwstr>
  </property>
  <property name="UpSlide_479454274338.274045[DESTINATION]" fmtid="{D5CDD505-2E9C-101B-9397-08002B2CF9AE}" pid="201">
    <vt:lpwstr>Powerpoint, 4709</vt:lpwstr>
  </property>
  <property name="UpSlide_479454274338.274045[PATH]" fmtid="{D5CDD505-2E9C-101B-9397-08002B2CF9AE}" pid="202">
    <vt:lpwstr>https://kpmgcan.sharepoint.com/sites/CA-KGSCanada-ProjectNorth/Shared Documents/Project North/Staff Files/Project North_Draft report_23-May-24.pptx</vt:lpwstr>
  </property>
  <property name="UpSlide_4809455196676.457236[DESTINATION]" fmtid="{D5CDD505-2E9C-101B-9397-08002B2CF9AE}" pid="203">
    <vt:lpwstr>Powerpoint, 4694</vt:lpwstr>
  </property>
  <property name="UpSlide_4809455196676.457236[PATH]" fmtid="{D5CDD505-2E9C-101B-9397-08002B2CF9AE}" pid="204">
    <vt:lpwstr>C:\Users\arushi1\Documents\my projects\ongoing\North\Jun 10\Project North_Draft report_09-Jun-24.pptx</vt:lpwstr>
  </property>
  <property name="UpSlide_4849455879919.348801[DESTINATION]" fmtid="{D5CDD505-2E9C-101B-9397-08002B2CF9AE}" pid="205">
    <vt:lpwstr>Powerpoint, 916</vt:lpwstr>
  </property>
  <property name="UpSlide_4849455879919.348801[PATH]" fmtid="{D5CDD505-2E9C-101B-9397-08002B2CF9AE}" pid="206">
    <vt:lpwstr>C:\Users\priyankaparihar\OneDrive - KPMG\Documents\Work\Projects\ADHOC\North\12-Jun-24\WIP\Project North_Draft report_11-Jun-24 v1.pptx</vt:lpwstr>
  </property>
  <property name="UpSlide_4913459457254.784648[DESTINATION]" fmtid="{D5CDD505-2E9C-101B-9397-08002B2CF9AE}" pid="207">
    <vt:lpwstr>Powerpoint, 4764</vt:lpwstr>
  </property>
  <property name="UpSlide_4913459457254.784648[PATH]" fmtid="{D5CDD505-2E9C-101B-9397-08002B2CF9AE}" pid="208">
    <vt:lpwstr>https://kpmgcan.sharepoint.com/sites/CA-KGSCanada-ProjectNorth/Shared Documents/Project North/Staff Files/Project North_(Jun-24) RF Draft report_23-Jul-24.pptx</vt:lpwstr>
  </property>
  <property name="UpSlide_4926459441333.005865[DESTINATION]" fmtid="{D5CDD505-2E9C-101B-9397-08002B2CF9AE}" pid="209">
    <vt:lpwstr>Powerpoint, 916</vt:lpwstr>
  </property>
  <property name="UpSlide_4926459441333.005865[PATH]" fmtid="{D5CDD505-2E9C-101B-9397-08002B2CF9AE}" pid="210">
    <vt:lpwstr>https://kpmgcan.sharepoint.com/sites/CA-KGSCanada-ProjectNorth/Shared Documents/Project North/Staff Files/Project North_(Jun-24) RF Draft report_31-Jul-24.pptx</vt:lpwstr>
  </property>
  <property name="UpSlide_5001455883192.943184[DESTINATION]" fmtid="{D5CDD505-2E9C-101B-9397-08002B2CF9AE}" pid="211">
    <vt:lpwstr>Powerpoint, 4717</vt:lpwstr>
  </property>
  <property name="UpSlide_5001455883192.943184[PATH]" fmtid="{D5CDD505-2E9C-101B-9397-08002B2CF9AE}" pid="212">
    <vt:lpwstr>C:\Users\priyankaparihar\OneDrive - KPMG\Documents\Work\Projects\ADHOC\North\12-Jun-24\WIP\Project North_Draft report_11-Jun-24 v1.pptx</vt:lpwstr>
  </property>
  <property name="UpSlide_5033460175586.554926[DESTINATION]" fmtid="{D5CDD505-2E9C-101B-9397-08002B2CF9AE}" pid="213">
    <vt:lpwstr>Powerpoint, 4711</vt:lpwstr>
  </property>
  <property name="UpSlide_5033460175586.554926[PATH]" fmtid="{D5CDD505-2E9C-101B-9397-08002B2CF9AE}" pid="214">
    <vt:lpwstr>https://kpmgcan.sharepoint.com/sites/CA-KGSCanada-ProjectNorth/Shared Documents/Project North/Staff Files/Project North_(Jun-24) RF Draft report_31-Jul-24.pptx</vt:lpwstr>
  </property>
  <property name="UpSlide_5037456615913.392471[DESTINATION]" fmtid="{D5CDD505-2E9C-101B-9397-08002B2CF9AE}" pid="215">
    <vt:lpwstr>Powerpoint, 4718</vt:lpwstr>
  </property>
  <property name="UpSlide_5037456615913.392471[PATH]" fmtid="{D5CDD505-2E9C-101B-9397-08002B2CF9AE}" pid="216">
    <vt:lpwstr>https://kpmgcan.sharepoint.com/sites/CA-KGSCanada-ProjectNorth/Shared Documents/Project North/Staff Files/Project North_Draft report_28-Jun-24 vS.pptx</vt:lpwstr>
  </property>
  <property name="UpSlide_5055459639406.38255[DESTINATION]" fmtid="{D5CDD505-2E9C-101B-9397-08002B2CF9AE}" pid="217">
    <vt:lpwstr>Powerpoint, 4712</vt:lpwstr>
  </property>
  <property name="UpSlide_5055459639406.38255[PATH]" fmtid="{D5CDD505-2E9C-101B-9397-08002B2CF9AE}" pid="218">
    <vt:lpwstr>https://kpmgcan.sharepoint.com/sites/CA-KGSCanada-ProjectNorth/Shared Documents/Project North/Staff Files/Project North_(Jun-24) RF Draft report_02-Aug-24.pptx</vt:lpwstr>
  </property>
  <property name="UpSlide_5090455702373.754522[DESTINATION]" fmtid="{D5CDD505-2E9C-101B-9397-08002B2CF9AE}" pid="219">
    <vt:lpwstr>Powerpoint, 4725</vt:lpwstr>
  </property>
  <property name="UpSlide_5090455702373.754522[PATH]" fmtid="{D5CDD505-2E9C-101B-9397-08002B2CF9AE}" pid="220">
    <vt:lpwstr>C:\Users\arushi1\Documents\my projects\ongoing\North\Jun 10\Project North_Draft report_09-Jun-24.pptx</vt:lpwstr>
  </property>
  <property name="UpSlide_5155456615136.060451[DESTINATION]" fmtid="{D5CDD505-2E9C-101B-9397-08002B2CF9AE}" pid="221">
    <vt:lpwstr>Powerpoint, 4783</vt:lpwstr>
  </property>
  <property name="UpSlide_5155456615136.060451[PATH]" fmtid="{D5CDD505-2E9C-101B-9397-08002B2CF9AE}" pid="222">
    <vt:lpwstr>https://kpmgcan.sharepoint.com/sites/CA-KGSCanada-ProjectNorth/Shared Documents/Project North/Staff Files/Project North_Draft report_28-Jun-24 vS.pptx</vt:lpwstr>
  </property>
  <property name="UpSlide_5159460176086.890185[DESTINATION]" fmtid="{D5CDD505-2E9C-101B-9397-08002B2CF9AE}" pid="223">
    <vt:lpwstr>Powerpoint, 4713</vt:lpwstr>
  </property>
  <property name="UpSlide_5159460176086.890185[PATH]" fmtid="{D5CDD505-2E9C-101B-9397-08002B2CF9AE}" pid="224">
    <vt:lpwstr>https://kpmgcan.sharepoint.com/sites/CA-KGSCanada-ProjectNorth/Shared Documents/Project North/Staff Files/Project North_(Jun-24) RF Draft report_31-Jul-24.pptx</vt:lpwstr>
  </property>
  <property name="UpSlide_5186459617061.447117[DESTINATION]" fmtid="{D5CDD505-2E9C-101B-9397-08002B2CF9AE}" pid="225">
    <vt:lpwstr>Powerpoint, 4716</vt:lpwstr>
  </property>
  <property name="UpSlide_5186459617061.447117[PATH]" fmtid="{D5CDD505-2E9C-101B-9397-08002B2CF9AE}" pid="226">
    <vt:lpwstr>https://kpmgcan.sharepoint.com/sites/CA-KGSCanada-ProjectNorth/Shared Documents/Project North/Staff Files/Project North_(Jun-24) RF Draft report_25-Jul-24.pptx</vt:lpwstr>
  </property>
  <property name="UpSlide_522459456057.893003[DESTINATION]" fmtid="{D5CDD505-2E9C-101B-9397-08002B2CF9AE}" pid="227">
    <vt:lpwstr>Powerpoint, 4753</vt:lpwstr>
  </property>
  <property name="UpSlide_522459456057.893003[PATH]" fmtid="{D5CDD505-2E9C-101B-9397-08002B2CF9AE}" pid="228">
    <vt:lpwstr>https://kpmgcan.sharepoint.com/sites/CA-KGSCanada-ProjectNorth/Shared Documents/Project North/Staff Files/Project North_(Jun-24) RF Draft report_31-Jul-24.pptx</vt:lpwstr>
  </property>
  <property name="UpSlide_5228456602986.019564[DESTINATION]" fmtid="{D5CDD505-2E9C-101B-9397-08002B2CF9AE}" pid="229">
    <vt:lpwstr>Powerpoint, 915</vt:lpwstr>
  </property>
  <property name="UpSlide_5228456602986.019564[PATH]" fmtid="{D5CDD505-2E9C-101B-9397-08002B2CF9AE}" pid="230">
    <vt:lpwstr>https://kpmgcan.sharepoint.com/sites/CA-KGSCanada-ProjectNorth/Shared Documents/Project North/Staff Files/Project North_Draft report_24-Jun-24.pptx</vt:lpwstr>
  </property>
  <property name="UpSlide_5254455884271.728316[DESTINATION]" fmtid="{D5CDD505-2E9C-101B-9397-08002B2CF9AE}" pid="231">
    <vt:lpwstr>Powerpoint, 4713</vt:lpwstr>
  </property>
  <property name="UpSlide_5254455884271.728316[PATH]" fmtid="{D5CDD505-2E9C-101B-9397-08002B2CF9AE}" pid="232">
    <vt:lpwstr>C:\Users\priyankaparihar\OneDrive - KPMG\Documents\Work\Projects\ADHOC\North\12-Jun-24\WIP\Project North_Draft report_11-Jun-24 v1.pptx</vt:lpwstr>
  </property>
  <property name="UpSlide_5316456026345.587209[DESTINATION]" fmtid="{D5CDD505-2E9C-101B-9397-08002B2CF9AE}" pid="233">
    <vt:lpwstr>Powerpoint, 4747</vt:lpwstr>
  </property>
  <property name="UpSlide_5316456026345.587209[PATH]" fmtid="{D5CDD505-2E9C-101B-9397-08002B2CF9AE}" pid="234">
    <vt:lpwstr>https://kpmgcan.sharepoint.com/sites/CA-KGSCanada-ProjectNorth/Shared Documents/Project North/Staff Files/Project North_Draft report_24-Jun-24.pptx</vt:lpwstr>
  </property>
  <property name="UpSlide_5472459463454.963139[DESTINATION]" fmtid="{D5CDD505-2E9C-101B-9397-08002B2CF9AE}" pid="235">
    <vt:lpwstr>Powerpoint, 4772</vt:lpwstr>
  </property>
  <property name="UpSlide_5472459463454.963139[PATH]" fmtid="{D5CDD505-2E9C-101B-9397-08002B2CF9AE}" pid="236">
    <vt:lpwstr>https://kpmgcan.sharepoint.com/sites/CA-KGSCanada-ProjectNorth/Shared Documents/Project North/Staff Files/Project North_(Jun-24) RF Draft report_21-Aug-24.pptx</vt:lpwstr>
  </property>
  <property name="UpSlide_5519459450278.870967[DESTINATION]" fmtid="{D5CDD505-2E9C-101B-9397-08002B2CF9AE}" pid="237">
    <vt:lpwstr>Powerpoint, 4742</vt:lpwstr>
  </property>
  <property name="UpSlide_5519459450278.870967[PATH]" fmtid="{D5CDD505-2E9C-101B-9397-08002B2CF9AE}" pid="238">
    <vt:lpwstr>https://kpmgcan.sharepoint.com/sites/CA-KGSCanada-ProjectNorth/Shared Documents/Project North/Staff Files/Project North_(Jun-24) RF Draft report_31-Jul-24.pptx</vt:lpwstr>
  </property>
  <property name="UpSlide_5562455880172.455196[DESTINATION]" fmtid="{D5CDD505-2E9C-101B-9397-08002B2CF9AE}" pid="239">
    <vt:lpwstr>Powerpoint, 874</vt:lpwstr>
  </property>
  <property name="UpSlide_5562455880172.455196[PATH]" fmtid="{D5CDD505-2E9C-101B-9397-08002B2CF9AE}" pid="240">
    <vt:lpwstr>C:\Users\priyankaparihar\OneDrive - KPMG\Documents\Work\Projects\ADHOC\North\12-Jun-24\WIP\Project North_Draft report_11-Jun-24 v1.pptx</vt:lpwstr>
  </property>
  <property name="UpSlide_5582456455592.510763[DESTINATION]" fmtid="{D5CDD505-2E9C-101B-9397-08002B2CF9AE}" pid="241">
    <vt:lpwstr>Powerpoint, 919</vt:lpwstr>
  </property>
  <property name="UpSlide_5582456455592.510763[PATH]" fmtid="{D5CDD505-2E9C-101B-9397-08002B2CF9AE}" pid="242">
    <vt:lpwstr>https://kpmgcan.sharepoint.com/sites/CA-KGSCanada-ProjectNorth/Shared Documents/Project North/Staff Files/Project North_Draft report_20-Jun-24.pptx</vt:lpwstr>
  </property>
  <property name="UpSlide_5594455186680.702484[DESTINATION]" fmtid="{D5CDD505-2E9C-101B-9397-08002B2CF9AE}" pid="243">
    <vt:lpwstr>Powerpoint, 4723</vt:lpwstr>
  </property>
  <property name="UpSlide_5594455186680.702484[PATH]" fmtid="{D5CDD505-2E9C-101B-9397-08002B2CF9AE}" pid="244">
    <vt:lpwstr>C:\Users\arushi1\Documents\my projects\ongoing\North\Jun 10\Project North_Draft report_09-Jun-24.pptx</vt:lpwstr>
  </property>
  <property name="UpSlide_561456067306.475098[DESTINATION]" fmtid="{D5CDD505-2E9C-101B-9397-08002B2CF9AE}" pid="245">
    <vt:lpwstr>Powerpoint, 4768</vt:lpwstr>
  </property>
  <property name="UpSlide_561456067306.475098[PATH]" fmtid="{D5CDD505-2E9C-101B-9397-08002B2CF9AE}" pid="246">
    <vt:lpwstr>https://kpmgcan.sharepoint.com/sites/CA-KGSCanada-ProjectNorth/Shared Documents/Project North/Staff Files/Project North_Draft report_26-Jun-24.pptx</vt:lpwstr>
  </property>
  <property name="UpSlide_5744456457183.083366[DESTINATION]" fmtid="{D5CDD505-2E9C-101B-9397-08002B2CF9AE}" pid="247">
    <vt:lpwstr>Powerpoint, 4777</vt:lpwstr>
  </property>
  <property name="UpSlide_5744456457183.083366[PATH]" fmtid="{D5CDD505-2E9C-101B-9397-08002B2CF9AE}" pid="248">
    <vt:lpwstr>https://kpmgcan.sharepoint.com/sites/CA-KGSCanada-ProjectNorth/Shared Documents/Project North/Staff Files/Project North_Draft report_20-Jun-24.pptx</vt:lpwstr>
  </property>
  <property name="UpSlide_5773456455399.907411[DESTINATION]" fmtid="{D5CDD505-2E9C-101B-9397-08002B2CF9AE}" pid="249">
    <vt:lpwstr>Powerpoint, 4713</vt:lpwstr>
  </property>
  <property name="UpSlide_5773456455399.907411[PATH]" fmtid="{D5CDD505-2E9C-101B-9397-08002B2CF9AE}" pid="250">
    <vt:lpwstr>https://kpmgcan.sharepoint.com/sites/CA-KGSCanada-ProjectNorth/Shared Documents/Project North/Staff Files/Project North_Draft report_20-Jun-24.pptx</vt:lpwstr>
  </property>
  <property name="UpSlide_5773457281352.121476[DESTINATION]" fmtid="{D5CDD505-2E9C-101B-9397-08002B2CF9AE}" pid="251">
    <vt:lpwstr>Powerpoint, 4775</vt:lpwstr>
  </property>
  <property name="UpSlide_5773457281352.121476[PATH]" fmtid="{D5CDD505-2E9C-101B-9397-08002B2CF9AE}" pid="252">
    <vt:lpwstr>https://kpmgcan.sharepoint.com/sites/CA-KGSCanada-ProjectNorth/Shared Documents/Project North/Staff Files/Project North_Draft report_28-Jun-24.pptx</vt:lpwstr>
  </property>
  <property name="UpSlide_5809456065950.38587[DESTINATION]" fmtid="{D5CDD505-2E9C-101B-9397-08002B2CF9AE}" pid="253">
    <vt:lpwstr>Powerpoint, 4764</vt:lpwstr>
  </property>
  <property name="UpSlide_5809456065950.38587[PATH]" fmtid="{D5CDD505-2E9C-101B-9397-08002B2CF9AE}" pid="254">
    <vt:lpwstr>https://kpmgcan.sharepoint.com/sites/CA-KGSCanada-ProjectNorth/Shared Documents/Project North/Staff Files/Project North_Draft report_20-Jun-24.pptx</vt:lpwstr>
  </property>
  <property name="UpSlide_5814458332054.708936[DESTINATION]" fmtid="{D5CDD505-2E9C-101B-9397-08002B2CF9AE}" pid="255">
    <vt:lpwstr>Powerpoint, 4772</vt:lpwstr>
  </property>
  <property name="UpSlide_5814458332054.708936[PATH]" fmtid="{D5CDD505-2E9C-101B-9397-08002B2CF9AE}" pid="256">
    <vt:lpwstr>https://kpmgcan.sharepoint.com/sites/CA-KGSCanada-ProjectNorth/Shared Documents/Project North/Staff Files/Project North_Draft report_10-Jul-24.pptx</vt:lpwstr>
  </property>
  <property name="UpSlide_5836458397228.079538[DESTINATION]" fmtid="{D5CDD505-2E9C-101B-9397-08002B2CF9AE}" pid="257">
    <vt:lpwstr>Powerpoint, 4798</vt:lpwstr>
  </property>
  <property name="UpSlide_5836458397228.079538[PATH]" fmtid="{D5CDD505-2E9C-101B-9397-08002B2CF9AE}" pid="258">
    <vt:lpwstr>https://kpmgcan.sharepoint.com/sites/CA-KGSCanada-ProjectNorth/Shared Documents/Project North/Staff Files/Project North_(Jun-24) RF Draft report_25-Jul-24.pptx</vt:lpwstr>
  </property>
  <property name="UpSlide_5889459620685.10638[DESTINATION]" fmtid="{D5CDD505-2E9C-101B-9397-08002B2CF9AE}" pid="259">
    <vt:lpwstr>Powerpoint, 4718</vt:lpwstr>
  </property>
  <property name="UpSlide_5889459620685.10638[PATH]" fmtid="{D5CDD505-2E9C-101B-9397-08002B2CF9AE}" pid="260">
    <vt:lpwstr>https://kpmgcan.sharepoint.com/sites/CA-KGSCanada-ProjectNorth/Shared Documents/Project North/Staff Files/Project North_(Jun-24) RF Draft report_25-Jul-24.pptx</vt:lpwstr>
  </property>
  <property name="UpSlide_5897455197646.514908[DESTINATION]" fmtid="{D5CDD505-2E9C-101B-9397-08002B2CF9AE}" pid="261">
    <vt:lpwstr>Powerpoint, 4697</vt:lpwstr>
  </property>
  <property name="UpSlide_5897455197646.514908[PATH]" fmtid="{D5CDD505-2E9C-101B-9397-08002B2CF9AE}" pid="262">
    <vt:lpwstr>C:\Users\arushi1\Documents\my projects\ongoing\North\Jun 10\Project North_Draft report_09-Jun-24.pptx</vt:lpwstr>
  </property>
  <property name="UpSlide_5909456064889.761654[DESTINATION]" fmtid="{D5CDD505-2E9C-101B-9397-08002B2CF9AE}" pid="263">
    <vt:lpwstr>Powerpoint, 4762</vt:lpwstr>
  </property>
  <property name="UpSlide_5909456064889.761654[PATH]" fmtid="{D5CDD505-2E9C-101B-9397-08002B2CF9AE}" pid="264">
    <vt:lpwstr>https://kpmgcan.sharepoint.com/sites/CA-KGSCanada-ProjectNorth/Shared Documents/Project North/Staff Files/Project North_Draft report_14-Jun-24.pptx</vt:lpwstr>
  </property>
  <property name="UpSlide_5910459463770.644195[DESTINATION]" fmtid="{D5CDD505-2E9C-101B-9397-08002B2CF9AE}" pid="265">
    <vt:lpwstr>Powerpoint, 4773</vt:lpwstr>
  </property>
  <property name="UpSlide_5910459463770.644195[PATH]" fmtid="{D5CDD505-2E9C-101B-9397-08002B2CF9AE}" pid="266">
    <vt:lpwstr>https://kpmgcan.sharepoint.com/sites/CA-KGSCanada-ProjectNorth/Shared Documents/Project North/Staff Files/Project North_(Jun-24) RF Draft report_17-Aug-24.pptx</vt:lpwstr>
  </property>
  <property name="UpSlide_5953459457130.171389[DESTINATION]" fmtid="{D5CDD505-2E9C-101B-9397-08002B2CF9AE}" pid="267">
    <vt:lpwstr>Powerpoint, 4762</vt:lpwstr>
  </property>
  <property name="UpSlide_5953459457130.171389[PATH]" fmtid="{D5CDD505-2E9C-101B-9397-08002B2CF9AE}" pid="268">
    <vt:lpwstr>https://kpmgcan.sharepoint.com/sites/CA-KGSCanada-ProjectNorth/Shared Documents/Project North/Staff Files/Project North_(Jun-24) RF Draft report_02-Aug-24.pptx</vt:lpwstr>
  </property>
  <property name="UpSlide_5998455195604.346362[DESTINATION]" fmtid="{D5CDD505-2E9C-101B-9397-08002B2CF9AE}" pid="269">
    <vt:lpwstr>Powerpoint, 4725</vt:lpwstr>
  </property>
  <property name="UpSlide_5998455195604.346362[PATH]" fmtid="{D5CDD505-2E9C-101B-9397-08002B2CF9AE}" pid="270">
    <vt:lpwstr>C:\Users\arushi1\Documents\my projects\ongoing\North\Jun 10\Project North_Draft report_09-Jun-24.pptx</vt:lpwstr>
  </property>
  <property name="UpSlide_613456456534.69128[DESTINATION]" fmtid="{D5CDD505-2E9C-101B-9397-08002B2CF9AE}" pid="271">
    <vt:lpwstr>Powerpoint, 4774</vt:lpwstr>
  </property>
  <property name="UpSlide_613456456534.69128[PATH]" fmtid="{D5CDD505-2E9C-101B-9397-08002B2CF9AE}" pid="272">
    <vt:lpwstr>https://kpmgcan.sharepoint.com/sites/CA-KGSCanada-ProjectNorth/Shared Documents/Project North/Staff Files/Project North_(Jun-24) RF Draft report_25-Jul-24.pptx</vt:lpwstr>
  </property>
  <property name="UpSlide_6150455882610.299965[DESTINATION]" fmtid="{D5CDD505-2E9C-101B-9397-08002B2CF9AE}" pid="273">
    <vt:lpwstr>Powerpoint, 4720</vt:lpwstr>
  </property>
  <property name="UpSlide_6150455882610.299965[PATH]" fmtid="{D5CDD505-2E9C-101B-9397-08002B2CF9AE}" pid="274">
    <vt:lpwstr>C:\Users\priyankaparihar\OneDrive - KPMG\Documents\Work\Projects\ADHOC\North\12-Jun-24\WIP\Project North_Draft report_11-Jun-24 v1.pptx</vt:lpwstr>
  </property>
  <property name="UpSlide_6184456027387.97523[DESTINATION]" fmtid="{D5CDD505-2E9C-101B-9397-08002B2CF9AE}" pid="275">
    <vt:lpwstr>Powerpoint, 4747</vt:lpwstr>
  </property>
  <property name="UpSlide_6184456027387.97523[PATH]" fmtid="{D5CDD505-2E9C-101B-9397-08002B2CF9AE}" pid="276">
    <vt:lpwstr>https://kpmgcan.sharepoint.com/sites/CA-KGSCanada-ProjectNorth/Shared Documents/Project North/Staff Files/Project North_Draft report_24-Jun-24.pptx</vt:lpwstr>
  </property>
  <property name="UpSlide_6222455196638.57186[DESTINATION]" fmtid="{D5CDD505-2E9C-101B-9397-08002B2CF9AE}" pid="277">
    <vt:lpwstr>Powerpoint, 4694</vt:lpwstr>
  </property>
  <property name="UpSlide_6222455196638.57186[PATH]" fmtid="{D5CDD505-2E9C-101B-9397-08002B2CF9AE}" pid="278">
    <vt:lpwstr>C:\Users\arushi1\Documents\my projects\ongoing\North\Jun 10\Project North_Draft report_09-Jun-24.pptx</vt:lpwstr>
  </property>
  <property name="UpSlide_6233454183555.655246[DESTINATION]" fmtid="{D5CDD505-2E9C-101B-9397-08002B2CF9AE}" pid="279">
    <vt:lpwstr>Powerpoint, 897</vt:lpwstr>
  </property>
  <property name="UpSlide_6233454183555.655246[PATH]" fmtid="{D5CDD505-2E9C-101B-9397-08002B2CF9AE}" pid="280">
    <vt:lpwstr>https://kpmgcan.sharepoint.com/sites/CA-KGSCanada-ProjectNorth/Shared Documents/Project North/Staff Files/Project North_Draft report_23-May-24.pptx</vt:lpwstr>
  </property>
  <property name="UpSlide_6299459441093.500116[DESTINATION]" fmtid="{D5CDD505-2E9C-101B-9397-08002B2CF9AE}" pid="281">
    <vt:lpwstr>Powerpoint, 916</vt:lpwstr>
  </property>
  <property name="UpSlide_6299459441093.500116[PATH]" fmtid="{D5CDD505-2E9C-101B-9397-08002B2CF9AE}" pid="282">
    <vt:lpwstr>https://kpmgcan.sharepoint.com/sites/CA-KGSCanada-ProjectNorth/Shared Documents/Project North/Staff Files/Project North_(Jun-24) RF Draft report_12-Aug-24.pptx</vt:lpwstr>
  </property>
  <property name="UpSlide_6334455913722.385645[DESTINATION]" fmtid="{D5CDD505-2E9C-101B-9397-08002B2CF9AE}" pid="283">
    <vt:lpwstr>Powerpoint, 4760</vt:lpwstr>
  </property>
  <property name="UpSlide_6334455913722.385645[PATH]" fmtid="{D5CDD505-2E9C-101B-9397-08002B2CF9AE}" pid="284">
    <vt:lpwstr>https://kpmgcan.sharepoint.com/sites/CA-KGSCanada-ProjectNorth/Shared Documents/Project North/Staff Files/Project North_Draft report_14-Jun-24.pptx</vt:lpwstr>
  </property>
  <property name="UpSlide_6336461708171.217096[DESTINATION]" fmtid="{D5CDD505-2E9C-101B-9397-08002B2CF9AE}" pid="285">
    <vt:lpwstr>Powerpoint, 886</vt:lpwstr>
  </property>
  <property name="UpSlide_6336461708171.217096[PATH]" fmtid="{D5CDD505-2E9C-101B-9397-08002B2CF9AE}" pid="286">
    <vt:lpwstr>https://kpmgcan.sharepoint.com/sites/CA-KGSCanada-ProjectNorth/Shared Documents/Project North/Staff Files/Project North_(Jun-24) RF Draft report_17-Aug-24.pptx</vt:lpwstr>
  </property>
  <property name="UpSlide_6367455107437.977043[DESTINATION]" fmtid="{D5CDD505-2E9C-101B-9397-08002B2CF9AE}" pid="287">
    <vt:lpwstr>Powerpoint, 4712</vt:lpwstr>
  </property>
  <property name="UpSlide_6367455107437.977043[PATH]" fmtid="{D5CDD505-2E9C-101B-9397-08002B2CF9AE}" pid="288">
    <vt:lpwstr>C:\Users\arushi1\Documents\my projects\ongoing\North\June 3\Project North_Draft report_28-May-24.pptx</vt:lpwstr>
  </property>
  <property name="UpSlide_6367455880772.367305[DESTINATION]" fmtid="{D5CDD505-2E9C-101B-9397-08002B2CF9AE}" pid="289">
    <vt:lpwstr>Powerpoint, 4723</vt:lpwstr>
  </property>
  <property name="UpSlide_6367455880772.367305[PATH]" fmtid="{D5CDD505-2E9C-101B-9397-08002B2CF9AE}" pid="290">
    <vt:lpwstr>C:\Users\priyankaparihar\OneDrive - KPMG\Documents\Work\Projects\ADHOC\North\12-Jun-24\WIP\Project North_Draft report_11-Jun-24 v1.pptx</vt:lpwstr>
  </property>
  <property name="UpSlide_639455117251.793015[DESTINATION]" fmtid="{D5CDD505-2E9C-101B-9397-08002B2CF9AE}" pid="291">
    <vt:lpwstr>Powerpoint, 4719</vt:lpwstr>
  </property>
  <property name="UpSlide_639455117251.793015[PATH]" fmtid="{D5CDD505-2E9C-101B-9397-08002B2CF9AE}" pid="292">
    <vt:lpwstr>C:\Users\arushi1\Documents\my projects\ongoing\North\June 3\Project North_Draft report_28-May-24.pptx</vt:lpwstr>
  </property>
  <property name="UpSlide_6510456499322.884378[DESTINATION]" fmtid="{D5CDD505-2E9C-101B-9397-08002B2CF9AE}" pid="293">
    <vt:lpwstr>Powerpoint, 4712</vt:lpwstr>
  </property>
  <property name="UpSlide_6510456499322.884378[PATH]" fmtid="{D5CDD505-2E9C-101B-9397-08002B2CF9AE}" pid="294">
    <vt:lpwstr>https://kpmgcan.sharepoint.com/sites/CA-KGSCanada-ProjectNorth/Shared Documents/Project North/Staff Files/Project North_Draft report_20-Jun-24.pptx</vt:lpwstr>
  </property>
  <property name="UpSlide_6533456457131.112734[DESTINATION]" fmtid="{D5CDD505-2E9C-101B-9397-08002B2CF9AE}" pid="295">
    <vt:lpwstr>Powerpoint, 4776</vt:lpwstr>
  </property>
  <property name="UpSlide_6533456457131.112734[PATH]" fmtid="{D5CDD505-2E9C-101B-9397-08002B2CF9AE}" pid="296">
    <vt:lpwstr>https://kpmgcan.sharepoint.com/sites/CA-KGSCanada-ProjectNorth/Shared Documents/Project North/Staff Files/Project North_Draft report_20-Jun-24.pptx</vt:lpwstr>
  </property>
  <property name="UpSlide_6534455912982.128263[DESTINATION]" fmtid="{D5CDD505-2E9C-101B-9397-08002B2CF9AE}" pid="297">
    <vt:lpwstr>Powerpoint, 4759</vt:lpwstr>
  </property>
  <property name="UpSlide_6534455912982.128263[PATH]" fmtid="{D5CDD505-2E9C-101B-9397-08002B2CF9AE}" pid="298">
    <vt:lpwstr>https://kpmgcan.sharepoint.com/sites/CA-KGSCanada-ProjectNorth/Shared Documents/Project North/Staff Files/Project North_Draft report_20-Jun-24.pptx</vt:lpwstr>
  </property>
  <property name="UpSlide_6547456065769.276456[DESTINATION]" fmtid="{D5CDD505-2E9C-101B-9397-08002B2CF9AE}" pid="299">
    <vt:lpwstr>Powerpoint, 4763</vt:lpwstr>
  </property>
  <property name="UpSlide_6547456065769.276456[PATH]" fmtid="{D5CDD505-2E9C-101B-9397-08002B2CF9AE}" pid="300">
    <vt:lpwstr>https://kpmgcan.sharepoint.com/sites/CA-KGSCanada-ProjectNorth/Shared Documents/Project North/Staff Files/Project North_Draft report_14-Jun-24.pptx</vt:lpwstr>
  </property>
  <property name="UpSlide_6566455116839.025503[DESTINATION]" fmtid="{D5CDD505-2E9C-101B-9397-08002B2CF9AE}" pid="301">
    <vt:lpwstr>Powerpoint, 4717</vt:lpwstr>
  </property>
  <property name="UpSlide_6566455116839.025503[PATH]" fmtid="{D5CDD505-2E9C-101B-9397-08002B2CF9AE}" pid="302">
    <vt:lpwstr>C:\Users\arushi1\Documents\my projects\ongoing\North\June 3\Project North_Draft report_28-May-24.pptx</vt:lpwstr>
  </property>
  <property name="UpSlide_6631456615848.349834[DESTINATION]" fmtid="{D5CDD505-2E9C-101B-9397-08002B2CF9AE}" pid="303">
    <vt:lpwstr>Powerpoint, 4721</vt:lpwstr>
  </property>
  <property name="UpSlide_6631456615848.349834[PATH]" fmtid="{D5CDD505-2E9C-101B-9397-08002B2CF9AE}" pid="304">
    <vt:lpwstr>https://kpmgcan.sharepoint.com/sites/CA-KGSCanada-ProjectNorth/Shared Documents/Project North/Staff Files/Project North_Draft report_11-Jul-24.pptx</vt:lpwstr>
  </property>
  <property name="UpSlide_6640455886493.377921[DESTINATION]" fmtid="{D5CDD505-2E9C-101B-9397-08002B2CF9AE}" pid="305">
    <vt:lpwstr>Powerpoint, 886</vt:lpwstr>
  </property>
  <property name="UpSlide_6640455886493.377921[PATH]" fmtid="{D5CDD505-2E9C-101B-9397-08002B2CF9AE}" pid="306">
    <vt:lpwstr>C:\Users\priyankaparihar\OneDrive - KPMG\Documents\Work\Projects\ADHOC\North\12-Jun-24\WIP\Project North_Draft report_11-Jun-24 v1.pptx</vt:lpwstr>
  </property>
  <property name="UpSlide_6642455914426.341193[DESTINATION]" fmtid="{D5CDD505-2E9C-101B-9397-08002B2CF9AE}" pid="307">
    <vt:lpwstr>Powerpoint, 4760</vt:lpwstr>
  </property>
  <property name="UpSlide_6642455914426.341193[PATH]" fmtid="{D5CDD505-2E9C-101B-9397-08002B2CF9AE}" pid="308">
    <vt:lpwstr>https://kpmgcan.sharepoint.com/sites/CA-KGSCanada-ProjectNorth/Shared Documents/Project North/Staff Files/Project North_Draft report_14-Jun-24.pptx</vt:lpwstr>
  </property>
  <property name="UpSlide_6649461952296.870365[DESTINATION]" fmtid="{D5CDD505-2E9C-101B-9397-08002B2CF9AE}" pid="309">
    <vt:lpwstr>Powerpoint, 886</vt:lpwstr>
  </property>
  <property name="UpSlide_6649461952296.870365[PATH]" fmtid="{D5CDD505-2E9C-101B-9397-08002B2CF9AE}" pid="310">
    <vt:lpwstr>https://kpmgcan.sharepoint.com/sites/CA-KGSCanada-ProjectNorth/Shared Documents/Project North/Staff Files/Project North_(Jun-24) RF Draft report_21-Aug-24.pptx</vt:lpwstr>
  </property>
  <property name="UpSlide_6670455881059.626045[DESTINATION]" fmtid="{D5CDD505-2E9C-101B-9397-08002B2CF9AE}" pid="311">
    <vt:lpwstr>Powerpoint, 926</vt:lpwstr>
  </property>
  <property name="UpSlide_6670455881059.626045[PATH]" fmtid="{D5CDD505-2E9C-101B-9397-08002B2CF9AE}" pid="312">
    <vt:lpwstr>C:\Users\priyankaparihar\OneDrive - KPMG\Documents\Work\Projects\ADHOC\North\12-Jun-24\WIP\Project North_Draft report_11-Jun-24 v1.pptx</vt:lpwstr>
  </property>
  <property name="UpSlide_6672455882977.88619[DESTINATION]" fmtid="{D5CDD505-2E9C-101B-9397-08002B2CF9AE}" pid="313">
    <vt:lpwstr>Powerpoint, 4721</vt:lpwstr>
  </property>
  <property name="UpSlide_6672455882977.88619[PATH]" fmtid="{D5CDD505-2E9C-101B-9397-08002B2CF9AE}" pid="314">
    <vt:lpwstr>C:\Users\priyankaparihar\OneDrive - KPMG\Documents\Work\Projects\ADHOC\North\12-Jun-24\WIP\Project North_Draft report_11-Jun-24 v1.pptx</vt:lpwstr>
  </property>
  <property name="UpSlide_6715460155167.510482[DESTINATION]" fmtid="{D5CDD505-2E9C-101B-9397-08002B2CF9AE}" pid="315">
    <vt:lpwstr>Powerpoint, 4749</vt:lpwstr>
  </property>
  <property name="UpSlide_6715460155167.510482[PATH]" fmtid="{D5CDD505-2E9C-101B-9397-08002B2CF9AE}" pid="316">
    <vt:lpwstr>https://kpmgcan.sharepoint.com/sites/CA-KGSCanada-ProjectNorth/Shared Documents/Project North/Staff Files/Project North_(Jun-24) RF Draft report_21-Aug-24.pptx</vt:lpwstr>
  </property>
  <property name="UpSlide_674458396443.387284[DESTINATION]" fmtid="{D5CDD505-2E9C-101B-9397-08002B2CF9AE}" pid="317">
    <vt:lpwstr>Powerpoint, 4798</vt:lpwstr>
  </property>
  <property name="UpSlide_674458396443.387284[PATH]" fmtid="{D5CDD505-2E9C-101B-9397-08002B2CF9AE}" pid="318">
    <vt:lpwstr>https://kpmgcan.sharepoint.com/sites/CA-KGSCanada-ProjectNorth/Shared Documents/Project North/Staff Files/Project North_(Jun-24) RF Draft report_25-Jul-24.pptx</vt:lpwstr>
  </property>
  <property name="UpSlide_6768459614474.34348[DESTINATION]" fmtid="{D5CDD505-2E9C-101B-9397-08002B2CF9AE}" pid="319">
    <vt:lpwstr>Powerpoint, 4719</vt:lpwstr>
  </property>
  <property name="UpSlide_6768459614474.34348[PATH]" fmtid="{D5CDD505-2E9C-101B-9397-08002B2CF9AE}" pid="320">
    <vt:lpwstr>https://kpmgcan.sharepoint.com/sites/CA-KGSCanada-ProjectNorth/Shared Documents/Project North/Staff Files/Project North_(Jun-24) RF Draft report_25-Jul-24.pptx</vt:lpwstr>
  </property>
  <property name="UpSlide_6783455913106.084779[DESTINATION]" fmtid="{D5CDD505-2E9C-101B-9397-08002B2CF9AE}" pid="321">
    <vt:lpwstr>Powerpoint, 4773</vt:lpwstr>
  </property>
  <property name="UpSlide_6783455913106.084779[PATH]" fmtid="{D5CDD505-2E9C-101B-9397-08002B2CF9AE}" pid="322">
    <vt:lpwstr>https://kpmgcan.sharepoint.com/sites/CA-KGSCanada-ProjectNorth/Shared Documents/Project North/Staff Files/Project North_Draft report_28-Jun-24.pptx</vt:lpwstr>
  </property>
  <property name="UpSlide_6802455194209.081523[DESTINATION]" fmtid="{D5CDD505-2E9C-101B-9397-08002B2CF9AE}" pid="323">
    <vt:lpwstr>Powerpoint, 4723</vt:lpwstr>
  </property>
  <property name="UpSlide_6802455194209.081523[PATH]" fmtid="{D5CDD505-2E9C-101B-9397-08002B2CF9AE}" pid="324">
    <vt:lpwstr>C:\Users\arushi1\Documents\my projects\ongoing\North\Jun 10\Project North_Draft report_09-Jun-24.pptx</vt:lpwstr>
  </property>
  <property name="UpSlide_6893459639601.62007[DESTINATION]" fmtid="{D5CDD505-2E9C-101B-9397-08002B2CF9AE}" pid="325">
    <vt:lpwstr>Powerpoint, 915</vt:lpwstr>
  </property>
  <property name="UpSlide_6893459639601.62007[PATH]" fmtid="{D5CDD505-2E9C-101B-9397-08002B2CF9AE}" pid="326">
    <vt:lpwstr>https://kpmgcan.sharepoint.com/sites/CA-KGSCanada-ProjectNorth/Shared Documents/Project North/Staff Files/Project North_(Jun-24) RF Draft report_31-Jul-24.pptx</vt:lpwstr>
  </property>
  <property name="UpSlide_6922455880233.804766[DESTINATION]" fmtid="{D5CDD505-2E9C-101B-9397-08002B2CF9AE}" pid="327">
    <vt:lpwstr>Powerpoint, 909</vt:lpwstr>
  </property>
  <property name="UpSlide_6922455880233.804766[PATH]" fmtid="{D5CDD505-2E9C-101B-9397-08002B2CF9AE}" pid="328">
    <vt:lpwstr>C:\Users\priyankaparihar\OneDrive - KPMG\Documents\Work\Projects\ADHOC\North\12-Jun-24\WIP\Project North_Draft report_11-Jun-24 v1.pptx</vt:lpwstr>
  </property>
  <property name="UpSlide_700460175488.780593[DESTINATION]" fmtid="{D5CDD505-2E9C-101B-9397-08002B2CF9AE}" pid="329">
    <vt:lpwstr>Powerpoint, 4698</vt:lpwstr>
  </property>
  <property name="UpSlide_700460175488.780593[PATH]" fmtid="{D5CDD505-2E9C-101B-9397-08002B2CF9AE}" pid="330">
    <vt:lpwstr>https://kpmgcan.sharepoint.com/sites/CA-KGSCanada-ProjectNorth/Shared Documents/Project North/Staff Files/Project North_(Jun-24) RF Draft report_31-Jul-24.pptx</vt:lpwstr>
  </property>
  <property name="UpSlide_7008459622866.000846[DESTINATION]" fmtid="{D5CDD505-2E9C-101B-9397-08002B2CF9AE}" pid="331">
    <vt:lpwstr>Powerpoint, 4734</vt:lpwstr>
  </property>
  <property name="UpSlide_7008459622866.000846[PATH]" fmtid="{D5CDD505-2E9C-101B-9397-08002B2CF9AE}" pid="332">
    <vt:lpwstr>https://kpmgcan.sharepoint.com/sites/CA-KGSCanada-ProjectNorth/Shared Documents/Project North/Staff Files/Project North_(Jun-24) RF Draft report_21-Aug-24.pptx</vt:lpwstr>
  </property>
  <property name="UpSlide_7017456615419.493863[DESTINATION]" fmtid="{D5CDD505-2E9C-101B-9397-08002B2CF9AE}" pid="333">
    <vt:lpwstr>Powerpoint, 4716</vt:lpwstr>
  </property>
  <property name="UpSlide_7017456615419.493863[PATH]" fmtid="{D5CDD505-2E9C-101B-9397-08002B2CF9AE}" pid="334">
    <vt:lpwstr>https://kpmgcan.sharepoint.com/sites/CA-KGSCanada-ProjectNorth/Shared Documents/Project North/Staff Files/Project North_Draft report_28-Jun-24 vS.pptx</vt:lpwstr>
  </property>
  <property name="UpSlide_7039455915981.063776[DESTINATION]" fmtid="{D5CDD505-2E9C-101B-9397-08002B2CF9AE}" pid="335">
    <vt:lpwstr>Powerpoint, 4746</vt:lpwstr>
  </property>
  <property name="UpSlide_7039455915981.063776[PATH]" fmtid="{D5CDD505-2E9C-101B-9397-08002B2CF9AE}" pid="336">
    <vt:lpwstr>https://kpmgcan.sharepoint.com/sites/CA-KGSCanada-ProjectNorth/Shared Documents/Project North/Staff Files/Project North_Draft report_12-Jun-24.pptx</vt:lpwstr>
  </property>
  <property name="UpSlide_7049455883712.059311[DESTINATION]" fmtid="{D5CDD505-2E9C-101B-9397-08002B2CF9AE}" pid="337">
    <vt:lpwstr>Powerpoint, 4698</vt:lpwstr>
  </property>
  <property name="UpSlide_7049455883712.059311[PATH]" fmtid="{D5CDD505-2E9C-101B-9397-08002B2CF9AE}" pid="338">
    <vt:lpwstr>C:\Users\priyankaparihar\OneDrive - KPMG\Documents\Work\Projects\ADHOC\North\12-Jun-24\WIP\Project North_Draft report_11-Jun-24 v1.pptx</vt:lpwstr>
  </property>
  <property name="UpSlide_7049459449925.215056[DESTINATION]" fmtid="{D5CDD505-2E9C-101B-9397-08002B2CF9AE}" pid="339">
    <vt:lpwstr>Powerpoint, 926</vt:lpwstr>
  </property>
  <property name="UpSlide_7049459449925.215056[PATH]" fmtid="{D5CDD505-2E9C-101B-9397-08002B2CF9AE}" pid="340">
    <vt:lpwstr>https://kpmgcan.sharepoint.com/sites/CA-KGSCanada-ProjectNorth/Shared Documents/Project North/Staff Files/Project North_(Jun-24) RF Draft report_31-Jul-24.pptx</vt:lpwstr>
  </property>
  <property name="UpSlide_7055455882916.405073[DESTINATION]" fmtid="{D5CDD505-2E9C-101B-9397-08002B2CF9AE}" pid="341">
    <vt:lpwstr>Powerpoint, 4715</vt:lpwstr>
  </property>
  <property name="UpSlide_7055455882916.405073[PATH]" fmtid="{D5CDD505-2E9C-101B-9397-08002B2CF9AE}" pid="342">
    <vt:lpwstr>C:\Users\priyankaparihar\OneDrive - KPMG\Documents\Work\Projects\ADHOC\North\12-Jun-24\WIP\Project North_Draft report_11-Jun-24 v1.pptx</vt:lpwstr>
  </property>
  <property name="UpSlide_7084459619814.933538[DESTINATION]" fmtid="{D5CDD505-2E9C-101B-9397-08002B2CF9AE}" pid="343">
    <vt:lpwstr>Powerpoint, 4721</vt:lpwstr>
  </property>
  <property name="UpSlide_7084459619814.933538[PATH]" fmtid="{D5CDD505-2E9C-101B-9397-08002B2CF9AE}" pid="344">
    <vt:lpwstr>https://kpmgcan.sharepoint.com/sites/CA-KGSCanada-ProjectNorth/Shared Documents/Project North/Staff Files/Project North_(Jun-24) RF Draft report_25-Jul-24.pptx</vt:lpwstr>
  </property>
  <property name="UpSlide_7090455916402.160618[DESTINATION]" fmtid="{D5CDD505-2E9C-101B-9397-08002B2CF9AE}" pid="345">
    <vt:lpwstr>Powerpoint, 912</vt:lpwstr>
  </property>
  <property name="UpSlide_7090455916402.160618[PATH]" fmtid="{D5CDD505-2E9C-101B-9397-08002B2CF9AE}" pid="346">
    <vt:lpwstr>https://kpmgcan.sharepoint.com/sites/CA-KGSCanada-ProjectNorth/Shared Documents/Project North/Staff Files/Project North_Draft report_12-Jun-24.pptx</vt:lpwstr>
  </property>
  <property name="UpSlide_7092456066838.016598[DESTINATION]" fmtid="{D5CDD505-2E9C-101B-9397-08002B2CF9AE}" pid="347">
    <vt:lpwstr>Powerpoint, 4768</vt:lpwstr>
  </property>
  <property name="UpSlide_7092456066838.016598[PATH]" fmtid="{D5CDD505-2E9C-101B-9397-08002B2CF9AE}" pid="348">
    <vt:lpwstr>https://kpmgcan.sharepoint.com/sites/CA-KGSCanada-ProjectNorth/Shared Documents/Project North/Staff Files/Project North_Draft report_24-Jun-24.pptx</vt:lpwstr>
  </property>
  <property name="UpSlide_7102455883473.82207[DESTINATION]" fmtid="{D5CDD505-2E9C-101B-9397-08002B2CF9AE}" pid="349">
    <vt:lpwstr>Powerpoint, 918</vt:lpwstr>
  </property>
  <property name="UpSlide_7102455883473.82207[PATH]" fmtid="{D5CDD505-2E9C-101B-9397-08002B2CF9AE}" pid="350">
    <vt:lpwstr>C:\Users\priyankaparihar\OneDrive - KPMG\Documents\Work\Projects\ADHOC\North\12-Jun-24\WIP\Project North_Draft report_11-Jun-24 v1.pptx</vt:lpwstr>
  </property>
  <property name="UpSlide_7154454601005.845073[DESTINATION]" fmtid="{D5CDD505-2E9C-101B-9397-08002B2CF9AE}" pid="351">
    <vt:lpwstr>Powerpoint, 4710</vt:lpwstr>
  </property>
  <property name="UpSlide_7154454601005.845073[PATH]" fmtid="{D5CDD505-2E9C-101B-9397-08002B2CF9AE}" pid="352">
    <vt:lpwstr>https://kpmgcan.sharepoint.com/sites/CA-KGSCanada-ProjectNorth/Shared Documents/Project North/Staff Files/Project North_Draft report_28-May-24.pptx</vt:lpwstr>
  </property>
  <property name="UpSlide_7253455117525.149579[DESTINATION]" fmtid="{D5CDD505-2E9C-101B-9397-08002B2CF9AE}" pid="353">
    <vt:lpwstr>Powerpoint, 4721</vt:lpwstr>
  </property>
  <property name="UpSlide_7253455117525.149579[PATH]" fmtid="{D5CDD505-2E9C-101B-9397-08002B2CF9AE}" pid="354">
    <vt:lpwstr>C:\Users\arushi1\Documents\my projects\ongoing\North\June 3\Project North_Draft report_28-May-24.pptx</vt:lpwstr>
  </property>
  <property name="UpSlide_7271456415689.627203[DESTINATION]" fmtid="{D5CDD505-2E9C-101B-9397-08002B2CF9AE}" pid="355">
    <vt:lpwstr>Powerpoint, 4772</vt:lpwstr>
  </property>
  <property name="UpSlide_7271456415689.627203[PATH]" fmtid="{D5CDD505-2E9C-101B-9397-08002B2CF9AE}" pid="356">
    <vt:lpwstr>https://kpmgcan.sharepoint.com/sites/CA-KGSCanada-ProjectNorth/Shared Documents/Project North/Staff Files/Project North_Draft report_24-Jun-24.pptx</vt:lpwstr>
  </property>
  <property name="UpSlide_7317459460722.746073[DESTINATION]" fmtid="{D5CDD505-2E9C-101B-9397-08002B2CF9AE}" pid="357">
    <vt:lpwstr>Powerpoint, 4773</vt:lpwstr>
  </property>
  <property name="UpSlide_7317459460722.746073[PATH]" fmtid="{D5CDD505-2E9C-101B-9397-08002B2CF9AE}" pid="358">
    <vt:lpwstr>https://kpmgcan.sharepoint.com/sites/CA-KGSCanada-ProjectNorth/Shared Documents/Project North/Staff Files/Project North_(Jun-24) RF Draft report_21-Aug-24.pptx</vt:lpwstr>
  </property>
  <property name="UpSlide_7366456616033.413823[DESTINATION]" fmtid="{D5CDD505-2E9C-101B-9397-08002B2CF9AE}" pid="359">
    <vt:lpwstr>Powerpoint, 4717</vt:lpwstr>
  </property>
  <property name="UpSlide_7366456616033.413823[PATH]" fmtid="{D5CDD505-2E9C-101B-9397-08002B2CF9AE}" pid="360">
    <vt:lpwstr>https://kpmgcan.sharepoint.com/sites/CA-KGSCanada-ProjectNorth/Shared Documents/Project North/Staff Files/Project North_Draft report_28-Jun-24 vS.pptx</vt:lpwstr>
  </property>
  <property name="UpSlide_7391458411718.472788[DESTINATION]" fmtid="{D5CDD505-2E9C-101B-9397-08002B2CF9AE}" pid="361">
    <vt:lpwstr>Powerpoint, 4720</vt:lpwstr>
  </property>
  <property name="UpSlide_7391458411718.472788[PATH]" fmtid="{D5CDD505-2E9C-101B-9397-08002B2CF9AE}" pid="362">
    <vt:lpwstr>https://kpmgcan.sharepoint.com/sites/CA-KGSCanada-ProjectNorth/Shared Documents/Project North/Staff Files/Project North_Draft report_11-Jul-24.pptx</vt:lpwstr>
  </property>
  <property name="UpSlide_7421456453885.498373[DESTINATION]" fmtid="{D5CDD505-2E9C-101B-9397-08002B2CF9AE}" pid="363">
    <vt:lpwstr>Powerpoint, 4719</vt:lpwstr>
  </property>
  <property name="UpSlide_7421456453885.498373[PATH]" fmtid="{D5CDD505-2E9C-101B-9397-08002B2CF9AE}" pid="364">
    <vt:lpwstr>https://kpmgcan.sharepoint.com/sites/CA-KGSCanada-ProjectNorth/Shared Documents/Project North/Staff Files/Project North_(Jun-24) RF Draft report_02-Aug-24.pptx</vt:lpwstr>
  </property>
  <property name="UpSlide_7448458411819.988599[DESTINATION]" fmtid="{D5CDD505-2E9C-101B-9397-08002B2CF9AE}" pid="365">
    <vt:lpwstr>Powerpoint, 4716</vt:lpwstr>
  </property>
  <property name="UpSlide_7448458411819.988599[PATH]" fmtid="{D5CDD505-2E9C-101B-9397-08002B2CF9AE}" pid="366">
    <vt:lpwstr>https://kpmgcan.sharepoint.com/sites/CA-KGSCanada-ProjectNorth/Shared Documents/Project North/Staff Files/Project North_Draft report_11-Jul-24.pptx</vt:lpwstr>
  </property>
  <property name="UpSlide_7483459615126.90295[DESTINATION]" fmtid="{D5CDD505-2E9C-101B-9397-08002B2CF9AE}" pid="367">
    <vt:lpwstr>Powerpoint, 4720</vt:lpwstr>
  </property>
  <property name="UpSlide_7483459615126.90295[PATH]" fmtid="{D5CDD505-2E9C-101B-9397-08002B2CF9AE}" pid="368">
    <vt:lpwstr>https://kpmgcan.sharepoint.com/sites/CA-KGSCanada-ProjectNorth/Shared Documents/Project North/Staff Files/Project North_(Jun-24) RF Draft report_25-Jul-24.pptx</vt:lpwstr>
  </property>
  <property name="UpSlide_7525459639066.847418[DESTINATION]" fmtid="{D5CDD505-2E9C-101B-9397-08002B2CF9AE}" pid="369">
    <vt:lpwstr>Powerpoint, 4776</vt:lpwstr>
  </property>
  <property name="UpSlide_7525459639066.847418[PATH]" fmtid="{D5CDD505-2E9C-101B-9397-08002B2CF9AE}" pid="370">
    <vt:lpwstr>https://kpmgcan.sharepoint.com/sites/CA-KGSCanada-ProjectNorth/Shared Documents/Project North/Staff Files/Project North_(Jun-24) RF Draft report_15-Aug-24.pptx</vt:lpwstr>
  </property>
  <property name="UpSlide_7534459638825.687523[DESTINATION]" fmtid="{D5CDD505-2E9C-101B-9397-08002B2CF9AE}" pid="371">
    <vt:lpwstr>Powerpoint, 4796</vt:lpwstr>
  </property>
  <property name="UpSlide_7534459638825.687523[PATH]" fmtid="{D5CDD505-2E9C-101B-9397-08002B2CF9AE}" pid="372">
    <vt:lpwstr>https://kpmgcan.sharepoint.com/sites/CA-KGSCanada-ProjectNorth/Shared Documents/Project North/Staff Files/Project North_(Jun-24) RF Draft report_25-Jul-24.pptx</vt:lpwstr>
  </property>
  <property name="UpSlide_7568458412118.382209[DESTINATION]" fmtid="{D5CDD505-2E9C-101B-9397-08002B2CF9AE}" pid="373">
    <vt:lpwstr>Powerpoint, 4718</vt:lpwstr>
  </property>
  <property name="UpSlide_7568458412118.382209[PATH]" fmtid="{D5CDD505-2E9C-101B-9397-08002B2CF9AE}" pid="374">
    <vt:lpwstr>https://kpmgcan.sharepoint.com/sites/CA-KGSCanada-ProjectNorth/Shared Documents/Project North/Staff Files/Project North_Draft report_11-Jul-24.pptx</vt:lpwstr>
  </property>
  <property name="UpSlide_7585459638725.258244[DESTINATION]" fmtid="{D5CDD505-2E9C-101B-9397-08002B2CF9AE}" pid="375">
    <vt:lpwstr>Powerpoint, 4796</vt:lpwstr>
  </property>
  <property name="UpSlide_7585459638725.258244[PATH]" fmtid="{D5CDD505-2E9C-101B-9397-08002B2CF9AE}" pid="376">
    <vt:lpwstr>https://kpmgcan.sharepoint.com/sites/CA-KGSCanada-ProjectNorth/Shared Documents/Project North/Staff Files/Project North_(Jun-24) RF Draft report_25-Jul-24.pptx</vt:lpwstr>
  </property>
  <property name="UpSlide_7613456953423.286336[DESTINATION]" fmtid="{D5CDD505-2E9C-101B-9397-08002B2CF9AE}" pid="377">
    <vt:lpwstr>Powerpoint, 918</vt:lpwstr>
  </property>
  <property name="UpSlide_7613456953423.286336[PATH]" fmtid="{D5CDD505-2E9C-101B-9397-08002B2CF9AE}" pid="378">
    <vt:lpwstr>https://kpmgcan.sharepoint.com/sites/CA-KGSCanada-ProjectNorth/Shared Documents/Project North/Staff Files/Project North_Draft report_26-Jun-24.pptx</vt:lpwstr>
  </property>
  <property name="UpSlide_7689456675497.931683[DESTINATION]" fmtid="{D5CDD505-2E9C-101B-9397-08002B2CF9AE}" pid="379">
    <vt:lpwstr>Powerpoint, 4796</vt:lpwstr>
  </property>
  <property name="UpSlide_7689456675497.931683[PATH]" fmtid="{D5CDD505-2E9C-101B-9397-08002B2CF9AE}" pid="380">
    <vt:lpwstr>https://kpmgcan.sharepoint.com/sites/CA-KGSCanada-ProjectNorth/Shared Documents/Project North/Staff Files/Project North_Draft report_10-Jul-24.pptx</vt:lpwstr>
  </property>
  <property name="UpSlide_7739459453911.785388[DESTINATION]" fmtid="{D5CDD505-2E9C-101B-9397-08002B2CF9AE}" pid="381">
    <vt:lpwstr>Powerpoint, 4760</vt:lpwstr>
  </property>
  <property name="UpSlide_7739459453911.785388[PATH]" fmtid="{D5CDD505-2E9C-101B-9397-08002B2CF9AE}" pid="382">
    <vt:lpwstr>https://kpmgcan.sharepoint.com/sites/CA-KGSCanada-ProjectNorth/Shared Documents/Project North/Staff Files/Project North_(Jun-24) RF Draft report_31-Jul-24.pptx</vt:lpwstr>
  </property>
  <property name="UpSlide_77456548654.278178[DESTINATION]" fmtid="{D5CDD505-2E9C-101B-9397-08002B2CF9AE}" pid="383">
    <vt:lpwstr>Powerpoint, 796</vt:lpwstr>
  </property>
  <property name="UpSlide_77456548654.278178[PATH]" fmtid="{D5CDD505-2E9C-101B-9397-08002B2CF9AE}" pid="384">
    <vt:lpwstr>https://kpmgcan.sharepoint.com/sites/CA-KGSCanada-ProjectNorth/Shared Documents/Project North/Staff Files/Project North_Draft report_19-Jun-24.pptx</vt:lpwstr>
  </property>
  <property name="UpSlide_7750459443236.391225[DESTINATION]" fmtid="{D5CDD505-2E9C-101B-9397-08002B2CF9AE}" pid="385">
    <vt:lpwstr>Powerpoint, 4694</vt:lpwstr>
  </property>
  <property name="UpSlide_7750459443236.391225[PATH]" fmtid="{D5CDD505-2E9C-101B-9397-08002B2CF9AE}" pid="386">
    <vt:lpwstr>https://kpmgcan.sharepoint.com/sites/CA-KGSCanada-ProjectNorth/Shared Documents/Project North/Staff Files/Project North_(Jun-24) RF Draft report_21-Aug-24.pptx</vt:lpwstr>
  </property>
  <property name="UpSlide_7802453903008.402533[DESTINATION]" fmtid="{D5CDD505-2E9C-101B-9397-08002B2CF9AE}" pid="387">
    <vt:lpwstr>Powerpoint, 916</vt:lpwstr>
  </property>
  <property name="UpSlide_7802453903008.402533[PATH]" fmtid="{D5CDD505-2E9C-101B-9397-08002B2CF9AE}" pid="388">
    <vt:lpwstr>C:\Users\arushi1\Documents\my projects\ongoing\North\May 20\Project Jupiter_Draft Report 05.02.2024.pptx</vt:lpwstr>
  </property>
  <property name="UpSlide_7829455703902.717526[DESTINATION]" fmtid="{D5CDD505-2E9C-101B-9397-08002B2CF9AE}" pid="389">
    <vt:lpwstr>Powerpoint, 4711</vt:lpwstr>
  </property>
  <property name="UpSlide_7829455703902.717526[PATH]" fmtid="{D5CDD505-2E9C-101B-9397-08002B2CF9AE}" pid="390">
    <vt:lpwstr>C:\Users\arushi1\Documents\my projects\ongoing\North\Jun 10\Project North_Draft report_09-Jun-24.pptx</vt:lpwstr>
  </property>
  <property name="UpSlide_785455882456.880848[DESTINATION]" fmtid="{D5CDD505-2E9C-101B-9397-08002B2CF9AE}" pid="391">
    <vt:lpwstr>Powerpoint, 4719</vt:lpwstr>
  </property>
  <property name="UpSlide_785455882456.880848[PATH]" fmtid="{D5CDD505-2E9C-101B-9397-08002B2CF9AE}" pid="392">
    <vt:lpwstr>C:\Users\priyankaparihar\OneDrive - KPMG\Documents\Work\Projects\ADHOC\North\12-Jun-24\WIP\Project North_Draft report_11-Jun-24 v1.pptx</vt:lpwstr>
  </property>
  <property name="UpSlide_7865454544806.626238[DESTINATION]" fmtid="{D5CDD505-2E9C-101B-9397-08002B2CF9AE}" pid="393">
    <vt:lpwstr>Powerpoint, 4711</vt:lpwstr>
  </property>
  <property name="UpSlide_7865454544806.626238[PATH]" fmtid="{D5CDD505-2E9C-101B-9397-08002B2CF9AE}" pid="394">
    <vt:lpwstr>https://kpmgcan.sharepoint.com/sites/CA-KGSCanada-ProjectNorth/Shared Documents/Project North/Staff Files/Project North_Draft report_28-May-24.pptx</vt:lpwstr>
  </property>
  <property name="UpSlide_7871458332408.389495[DESTINATION]" fmtid="{D5CDD505-2E9C-101B-9397-08002B2CF9AE}" pid="395">
    <vt:lpwstr>Powerpoint, 4773</vt:lpwstr>
  </property>
  <property name="UpSlide_7871458332408.389495[PATH]" fmtid="{D5CDD505-2E9C-101B-9397-08002B2CF9AE}" pid="396">
    <vt:lpwstr>https://kpmgcan.sharepoint.com/sites/CA-KGSCanada-ProjectNorth/Shared Documents/Project North/Staff Files/Project North_Draft report_10-Jul-24.pptx</vt:lpwstr>
  </property>
  <property name="UpSlide_7932454608053.193632[DESTINATION]" fmtid="{D5CDD505-2E9C-101B-9397-08002B2CF9AE}" pid="397">
    <vt:lpwstr>Powerpoint, 866</vt:lpwstr>
  </property>
  <property name="UpSlide_7932454608053.193632[PATH]" fmtid="{D5CDD505-2E9C-101B-9397-08002B2CF9AE}" pid="398">
    <vt:lpwstr>C:\Users\arushi1\Documents\my projects\ongoing\North\Jun 4\Project North_Draft report_03-Jun-24.pptx</vt:lpwstr>
  </property>
  <property name="UpSlide_7968456511019.586891[DESTINATION]" fmtid="{D5CDD505-2E9C-101B-9397-08002B2CF9AE}" pid="399">
    <vt:lpwstr>Powerpoint, 792</vt:lpwstr>
  </property>
  <property name="UpSlide_7968456511019.586891[PATH]" fmtid="{D5CDD505-2E9C-101B-9397-08002B2CF9AE}" pid="400">
    <vt:lpwstr>https://kpmgcan.sharepoint.com/sites/CA-KGSCanada-ProjectNorth/Shared Documents/Project North/Staff Files/Project North_Draft report_20-Jun-24.pptx</vt:lpwstr>
  </property>
  <property name="UpSlide_8004453903511.357921[DESTINATION]" fmtid="{D5CDD505-2E9C-101B-9397-08002B2CF9AE}" pid="401">
    <vt:lpwstr>Powerpoint, 897</vt:lpwstr>
  </property>
  <property name="UpSlide_8004453903511.357921[PATH]" fmtid="{D5CDD505-2E9C-101B-9397-08002B2CF9AE}" pid="402">
    <vt:lpwstr>C:\Users\arushi1\Documents\my projects\ongoing\North\May 20\Project Jupiter_Draft Report 05.02.2024.pptx</vt:lpwstr>
  </property>
  <property name="UpSlide_8043460162165.423056[DESTINATION]" fmtid="{D5CDD505-2E9C-101B-9397-08002B2CF9AE}" pid="403">
    <vt:lpwstr>Powerpoint, 4768</vt:lpwstr>
  </property>
  <property name="UpSlide_8043460162165.423056[PATH]" fmtid="{D5CDD505-2E9C-101B-9397-08002B2CF9AE}" pid="404">
    <vt:lpwstr>https://kpmgcan.sharepoint.com/sites/CA-KGSCanada-ProjectNorth/Shared Documents/Project North/Staff Files/Project North_(Jun-24) RF Draft report_31-Jul-24.pptx</vt:lpwstr>
  </property>
  <property name="UpSlide_8095455886903.926697[DESTINATION]" fmtid="{D5CDD505-2E9C-101B-9397-08002B2CF9AE}" pid="405">
    <vt:lpwstr>Powerpoint, 912</vt:lpwstr>
  </property>
  <property name="UpSlide_8095455886903.926697[PATH]" fmtid="{D5CDD505-2E9C-101B-9397-08002B2CF9AE}" pid="406">
    <vt:lpwstr>C:\Users\priyankaparihar\OneDrive - KPMG\Documents\Work\Projects\ADHOC\North\12-Jun-24\WIP\Project North_Draft report_11-Jun-24 v1.pptx</vt:lpwstr>
  </property>
  <property name="UpSlide_8156456457278.095482[DESTINATION]" fmtid="{D5CDD505-2E9C-101B-9397-08002B2CF9AE}" pid="407">
    <vt:lpwstr>Powerpoint, 4777</vt:lpwstr>
  </property>
  <property name="UpSlide_8156456457278.095482[PATH]" fmtid="{D5CDD505-2E9C-101B-9397-08002B2CF9AE}" pid="408">
    <vt:lpwstr>https://kpmgcan.sharepoint.com/sites/CA-KGSCanada-ProjectNorth/Shared Documents/Project North/Staff Files/Project North_Draft report_20-Jun-24.pptx</vt:lpwstr>
  </property>
  <property name="UpSlide_816455883974.175834[DESTINATION]" fmtid="{D5CDD505-2E9C-101B-9397-08002B2CF9AE}" pid="409">
    <vt:lpwstr>Powerpoint, 4712</vt:lpwstr>
  </property>
  <property name="UpSlide_816455883974.175834[PATH]" fmtid="{D5CDD505-2E9C-101B-9397-08002B2CF9AE}" pid="410">
    <vt:lpwstr>C:\Users\priyankaparihar\OneDrive - KPMG\Documents\Work\Projects\ADHOC\North\12-Jun-24\WIP\Project North_Draft report_11-Jun-24 v1.pptx</vt:lpwstr>
  </property>
  <property name="UpSlide_8189456456663.611805[DESTINATION]" fmtid="{D5CDD505-2E9C-101B-9397-08002B2CF9AE}" pid="411">
    <vt:lpwstr>Powerpoint, 4775</vt:lpwstr>
  </property>
  <property name="UpSlide_8189456456663.611805[PATH]" fmtid="{D5CDD505-2E9C-101B-9397-08002B2CF9AE}" pid="412">
    <vt:lpwstr>https://kpmgcan.sharepoint.com/sites/CA-KGSCanada-ProjectNorth/Shared Documents/Project North/Staff Files/Project North_Draft report_20-Jun-24.pptx</vt:lpwstr>
  </property>
  <property name="UpSlide_8198459639118.341285[DESTINATION]" fmtid="{D5CDD505-2E9C-101B-9397-08002B2CF9AE}" pid="413">
    <vt:lpwstr>Powerpoint, 4776</vt:lpwstr>
  </property>
  <property name="UpSlide_8198459639118.341285[PATH]" fmtid="{D5CDD505-2E9C-101B-9397-08002B2CF9AE}" pid="414">
    <vt:lpwstr>https://kpmgcan.sharepoint.com/sites/CA-KGSCanada-ProjectNorth/Shared Documents/Project North/Staff Files/Project North_(Jun-24) RF Draft report_25-Jul-24.pptx</vt:lpwstr>
  </property>
  <property name="UpSlide_8220456615289.709762[DESTINATION]" fmtid="{D5CDD505-2E9C-101B-9397-08002B2CF9AE}" pid="415">
    <vt:lpwstr>Powerpoint, 4720</vt:lpwstr>
  </property>
  <property name="UpSlide_8220456615289.709762[PATH]" fmtid="{D5CDD505-2E9C-101B-9397-08002B2CF9AE}" pid="416">
    <vt:lpwstr>https://kpmgcan.sharepoint.com/sites/CA-KGSCanada-ProjectNorth/Shared Documents/Project North/Staff Files/Project North_Draft report_28-Jun-24 vS.pptx</vt:lpwstr>
  </property>
  <property name="UpSlide_8310456587140.094589[DESTINATION]" fmtid="{D5CDD505-2E9C-101B-9397-08002B2CF9AE}" pid="417">
    <vt:lpwstr>Powerpoint, 886</vt:lpwstr>
  </property>
  <property name="UpSlide_8310456587140.094589[PATH]" fmtid="{D5CDD505-2E9C-101B-9397-08002B2CF9AE}" pid="418">
    <vt:lpwstr>https://kpmgcan.sharepoint.com/sites/CA-KGSCanada-ProjectNorth/Shared Documents/Project North/Staff Files/Project North_Draft report_20-Jun-24.pptx</vt:lpwstr>
  </property>
  <property name="UpSlide_8339455907685.712179[DESTINATION]" fmtid="{D5CDD505-2E9C-101B-9397-08002B2CF9AE}" pid="419">
    <vt:lpwstr>Powerpoint, 4758</vt:lpwstr>
  </property>
  <property name="UpSlide_8339455907685.712179[PATH]" fmtid="{D5CDD505-2E9C-101B-9397-08002B2CF9AE}" pid="420">
    <vt:lpwstr>https://kpmgcan.sharepoint.com/sites/CA-KGSCanada-ProjectNorth/Shared Documents/Project North/Staff Files/Project North_Draft report_20-Jun-24.pptx</vt:lpwstr>
  </property>
  <property name="UpSlide_8353456009377.884982[DESTINATION]" fmtid="{D5CDD505-2E9C-101B-9397-08002B2CF9AE}" pid="421">
    <vt:lpwstr>Powerpoint, 4749</vt:lpwstr>
  </property>
  <property name="UpSlide_8353456009377.884982[PATH]" fmtid="{D5CDD505-2E9C-101B-9397-08002B2CF9AE}" pid="422">
    <vt:lpwstr>https://kpmgcan.sharepoint.com/sites/CA-KGSCanada-ProjectNorth/Shared Documents/Project North/Staff Files/Project North_Draft report_14-Jun-24.pptx</vt:lpwstr>
  </property>
  <property name="UpSlide_8364456522183.615719[DESTINATION]" fmtid="{D5CDD505-2E9C-101B-9397-08002B2CF9AE}" pid="423">
    <vt:lpwstr>Powerpoint, 792</vt:lpwstr>
  </property>
  <property name="UpSlide_8364456522183.615719[PATH]" fmtid="{D5CDD505-2E9C-101B-9397-08002B2CF9AE}" pid="424">
    <vt:lpwstr>https://kpmgcan.sharepoint.com/sites/CA-KGSCanada-ProjectNorth/Shared Documents/Project North/Staff Files/Project North_Draft report_19-Jun-24.pptx</vt:lpwstr>
  </property>
  <property name="UpSlide_8396456010132.831278[DESTINATION]" fmtid="{D5CDD505-2E9C-101B-9397-08002B2CF9AE}" pid="425">
    <vt:lpwstr>Powerpoint, 926</vt:lpwstr>
  </property>
  <property name="UpSlide_8396456010132.831278[PATH]" fmtid="{D5CDD505-2E9C-101B-9397-08002B2CF9AE}" pid="426">
    <vt:lpwstr>https://kpmgcan.sharepoint.com/sites/CA-KGSCanada-ProjectNorth/Shared Documents/Project North/Staff Files/Project North_Draft report_20-Jun-24.pptx</vt:lpwstr>
  </property>
  <property name="UpSlide_8420455884223.339899[DESTINATION]" fmtid="{D5CDD505-2E9C-101B-9397-08002B2CF9AE}" pid="427">
    <vt:lpwstr>Powerpoint, 4713</vt:lpwstr>
  </property>
  <property name="UpSlide_8420455884223.339899[PATH]" fmtid="{D5CDD505-2E9C-101B-9397-08002B2CF9AE}" pid="428">
    <vt:lpwstr>C:\Users\priyankaparihar\OneDrive - KPMG\Documents\Work\Projects\ADHOC\North\12-Jun-24\WIP\Project North_Draft report_11-Jun-24 v1.pptx</vt:lpwstr>
  </property>
  <property name="UpSlide_8421458323137.03885[DESTINATION]" fmtid="{D5CDD505-2E9C-101B-9397-08002B2CF9AE}" pid="429">
    <vt:lpwstr>Powerpoint, 909</vt:lpwstr>
  </property>
  <property name="UpSlide_8421458323137.03885[PATH]" fmtid="{D5CDD505-2E9C-101B-9397-08002B2CF9AE}" pid="430">
    <vt:lpwstr>https://kpmgcan.sharepoint.com/sites/CA-KGSCanada-ProjectNorth/Shared Documents/Project North/Staff Files/Project North_Draft report_10-Jul-24.pptx</vt:lpwstr>
  </property>
  <property name="UpSlide_8453454607423.191877[DESTINATION]" fmtid="{D5CDD505-2E9C-101B-9397-08002B2CF9AE}" pid="431">
    <vt:lpwstr>Powerpoint, 4698</vt:lpwstr>
  </property>
  <property name="UpSlide_8453454607423.191877[PATH]" fmtid="{D5CDD505-2E9C-101B-9397-08002B2CF9AE}" pid="432">
    <vt:lpwstr>https://kpmgcan.sharepoint.com/sites/CA-KGSCanada-ProjectNorth/Shared Documents/Project North/Staff Files/Project North_Draft report_28-May-24.pptx</vt:lpwstr>
  </property>
  <property name="UpSlide_8458455884485.860153[DESTINATION]" fmtid="{D5CDD505-2E9C-101B-9397-08002B2CF9AE}" pid="433">
    <vt:lpwstr>Powerpoint, 4697</vt:lpwstr>
  </property>
  <property name="UpSlide_8458455884485.860153[PATH]" fmtid="{D5CDD505-2E9C-101B-9397-08002B2CF9AE}" pid="434">
    <vt:lpwstr>C:\Users\priyankaparihar\OneDrive - KPMG\Documents\Work\Projects\ADHOC\North\12-Jun-24\WIP\Project North_Draft report_11-Jun-24 v1.pptx</vt:lpwstr>
  </property>
  <property name="UpSlide_8541455912744.233086[DESTINATION]" fmtid="{D5CDD505-2E9C-101B-9397-08002B2CF9AE}" pid="435">
    <vt:lpwstr>Powerpoint, 909</vt:lpwstr>
  </property>
  <property name="UpSlide_8541455912744.233086[PATH]" fmtid="{D5CDD505-2E9C-101B-9397-08002B2CF9AE}" pid="436">
    <vt:lpwstr>https://kpmgcan.sharepoint.com/sites/CA-KGSCanada-ProjectNorth/Shared Documents/Project North/Staff Files/Project North_Draft report_12-Jun-24.pptx</vt:lpwstr>
  </property>
  <property name="UpSlide_8551456696469.753049[DESTINATION]" fmtid="{D5CDD505-2E9C-101B-9397-08002B2CF9AE}" pid="437">
    <vt:lpwstr>Powerpoint, 897</vt:lpwstr>
  </property>
  <property name="UpSlide_8551456696469.753049[PATH]" fmtid="{D5CDD505-2E9C-101B-9397-08002B2CF9AE}" pid="438">
    <vt:lpwstr>https://kpmgcan.sharepoint.com/sites/CA-KGSCanada-ProjectNorth/Shared Documents/Project North/Staff Files/Project North_Draft report_26-Jun-24.pptx</vt:lpwstr>
  </property>
  <property name="UpSlide_8573458396545.918468[DESTINATION]" fmtid="{D5CDD505-2E9C-101B-9397-08002B2CF9AE}" pid="439">
    <vt:lpwstr>Powerpoint, 1044</vt:lpwstr>
  </property>
  <property name="UpSlide_8573458396545.918468[PATH]" fmtid="{D5CDD505-2E9C-101B-9397-08002B2CF9AE}" pid="440">
    <vt:lpwstr>C:\Users\arushi1\Documents\my projects\ongoing\North\Phase II\Jul 11\Project North_Draft report_20-Jun-24.pptx</vt:lpwstr>
  </property>
  <property name="UpSlide_8579459614781.300886[DESTINATION]" fmtid="{D5CDD505-2E9C-101B-9397-08002B2CF9AE}" pid="441">
    <vt:lpwstr>Powerpoint, 4783</vt:lpwstr>
  </property>
  <property name="UpSlide_8579459614781.300886[PATH]" fmtid="{D5CDD505-2E9C-101B-9397-08002B2CF9AE}" pid="442">
    <vt:lpwstr>https://kpmgcan.sharepoint.com/sites/CA-KGSCanada-ProjectNorth/Shared Documents/Project North/Staff Files/Project North_(Jun-24) RF Draft report_25-Jul-24.pptx</vt:lpwstr>
  </property>
  <property name="UpSlide_8595459458523.465223[DESTINATION]" fmtid="{D5CDD505-2E9C-101B-9397-08002B2CF9AE}" pid="443">
    <vt:lpwstr>Powerpoint, 4737</vt:lpwstr>
  </property>
  <property name="UpSlide_8595459458523.465223[PATH]" fmtid="{D5CDD505-2E9C-101B-9397-08002B2CF9AE}" pid="444">
    <vt:lpwstr>https://kpmgcan.sharepoint.com/sites/CA-KGSCanada-ProjectNorth/Shared Documents/Project North/Staff Files/Project North_(Jun-24) RF Draft report_16-Aug-24.pptx</vt:lpwstr>
  </property>
  <property name="UpSlide_8699456676003.862565[DESTINATION]" fmtid="{D5CDD505-2E9C-101B-9397-08002B2CF9AE}" pid="445">
    <vt:lpwstr>Powerpoint, 4796</vt:lpwstr>
  </property>
  <property name="UpSlide_8699456676003.862565[PATH]" fmtid="{D5CDD505-2E9C-101B-9397-08002B2CF9AE}" pid="446">
    <vt:lpwstr>https://kpmgcan.sharepoint.com/sites/CA-KGSCanada-ProjectNorth/Shared Documents/Project North/Staff Files/Project North_Draft report_10-Jul-24.pptx</vt:lpwstr>
  </property>
  <property name="UpSlide_8737455910391.890918[DESTINATION]" fmtid="{D5CDD505-2E9C-101B-9397-08002B2CF9AE}" pid="447">
    <vt:lpwstr>Powerpoint, 4742</vt:lpwstr>
  </property>
  <property name="UpSlide_8737455910391.890918[PATH]" fmtid="{D5CDD505-2E9C-101B-9397-08002B2CF9AE}" pid="448">
    <vt:lpwstr>https://kpmgcan.sharepoint.com/sites/CA-KGSCanada-ProjectNorth/Shared Documents/Project North/Staff Files/Project North_Draft report_17-Jun-24.pptx</vt:lpwstr>
  </property>
  <property name="UpSlide_8792456589855.36297[DESTINATION]" fmtid="{D5CDD505-2E9C-101B-9397-08002B2CF9AE}" pid="449">
    <vt:lpwstr>Powerpoint, 4734</vt:lpwstr>
  </property>
  <property name="UpSlide_8792456589855.36297[PATH]" fmtid="{D5CDD505-2E9C-101B-9397-08002B2CF9AE}" pid="450">
    <vt:lpwstr>https://kpmgcan.sharepoint.com/sites/CA-KGSCanada-ProjectNorth/Shared Documents/Project North/Staff Files/Project North_Draft report_10-Jul-24.pptx</vt:lpwstr>
  </property>
  <property name="UpSlide_8819454607845.227372[DESTINATION]" fmtid="{D5CDD505-2E9C-101B-9397-08002B2CF9AE}" pid="451">
    <vt:lpwstr>Powerpoint, 916</vt:lpwstr>
  </property>
  <property name="UpSlide_8819454607845.227372[PATH]" fmtid="{D5CDD505-2E9C-101B-9397-08002B2CF9AE}" pid="452">
    <vt:lpwstr>https://kpmgcan.sharepoint.com/sites/CA-KGSCanada-ProjectNorth/Shared Documents/Project North/Staff Files/Project North_Draft report_28-May-24.pptx</vt:lpwstr>
  </property>
  <property name="UpSlide_8847455916255.030769[DESTINATION]" fmtid="{D5CDD505-2E9C-101B-9397-08002B2CF9AE}" pid="453">
    <vt:lpwstr>Powerpoint, 912</vt:lpwstr>
  </property>
  <property name="UpSlide_8847455916255.030769[PATH]" fmtid="{D5CDD505-2E9C-101B-9397-08002B2CF9AE}" pid="454">
    <vt:lpwstr>C:\Users\arushi1\Documents\my projects\ongoing\North\JUn 19\Project North_Draft report_18-Jun-24.pptx</vt:lpwstr>
  </property>
  <property name="UpSlide_8864459463306.625652[DESTINATION]" fmtid="{D5CDD505-2E9C-101B-9397-08002B2CF9AE}" pid="455">
    <vt:lpwstr>Powerpoint, 4772</vt:lpwstr>
  </property>
  <property name="UpSlide_8864459463306.625652[PATH]" fmtid="{D5CDD505-2E9C-101B-9397-08002B2CF9AE}" pid="456">
    <vt:lpwstr>https://kpmgcan.sharepoint.com/sites/CA-KGSCanada-ProjectNorth/Shared Documents/Project North/Staff Files/Project North_(Jun-24) RF Draft report_21-Aug-24.pptx</vt:lpwstr>
  </property>
  <property name="UpSlide_888459449697.535785[DESTINATION]" fmtid="{D5CDD505-2E9C-101B-9397-08002B2CF9AE}" pid="457">
    <vt:lpwstr>Powerpoint, 4762</vt:lpwstr>
  </property>
  <property name="UpSlide_888459449697.535785[PATH]" fmtid="{D5CDD505-2E9C-101B-9397-08002B2CF9AE}" pid="458">
    <vt:lpwstr>https://kpmgcan.sharepoint.com/sites/CA-KGSCanada-ProjectNorth/Shared Documents/Project North/Staff Files/Project North_(Jun-24) RF Draft report_21-Aug-24.pptx</vt:lpwstr>
  </property>
  <property name="UpSlide_8907459450329.233964[DESTINATION]" fmtid="{D5CDD505-2E9C-101B-9397-08002B2CF9AE}" pid="459">
    <vt:lpwstr>Powerpoint, 4742</vt:lpwstr>
  </property>
  <property name="UpSlide_8907459450329.233964[PATH]" fmtid="{D5CDD505-2E9C-101B-9397-08002B2CF9AE}" pid="460">
    <vt:lpwstr>https://kpmgcan.sharepoint.com/sites/CA-KGSCanada-ProjectNorth/Shared Documents/Project North/Staff Files/Project North_(Jun-24) RF Draft report_31-Jul-24.pptx</vt:lpwstr>
  </property>
  <property name="UpSlide_9003459639180.995802[DESTINATION]" fmtid="{D5CDD505-2E9C-101B-9397-08002B2CF9AE}" pid="461">
    <vt:lpwstr>Powerpoint, 4777</vt:lpwstr>
  </property>
  <property name="UpSlide_9003459639180.995802[PATH]" fmtid="{D5CDD505-2E9C-101B-9397-08002B2CF9AE}" pid="462">
    <vt:lpwstr>https://kpmgcan.sharepoint.com/sites/CA-KGSCanada-ProjectNorth/Shared Documents/Project North/Staff Files/Project North_(Jun-24) RF Draft report_15-Aug-24.pptx</vt:lpwstr>
  </property>
  <property name="UpSlide_9093455881604.585868[DESTINATION]" fmtid="{D5CDD505-2E9C-101B-9397-08002B2CF9AE}" pid="463">
    <vt:lpwstr>Powerpoint, 4723</vt:lpwstr>
  </property>
  <property name="UpSlide_9093455881604.585868[PATH]" fmtid="{D5CDD505-2E9C-101B-9397-08002B2CF9AE}" pid="464">
    <vt:lpwstr>C:\Users\priyankaparihar\OneDrive - KPMG\Documents\Work\Projects\ADHOC\North\12-Jun-24\WIP\Project North_Draft report_11-Jun-24 v1.pptx</vt:lpwstr>
  </property>
  <property name="UpSlide_9164458396330.762034[DESTINATION]" fmtid="{D5CDD505-2E9C-101B-9397-08002B2CF9AE}" pid="465">
    <vt:lpwstr>Powerpoint, 1044</vt:lpwstr>
  </property>
  <property name="UpSlide_9164458396330.762034[PATH]" fmtid="{D5CDD505-2E9C-101B-9397-08002B2CF9AE}" pid="466">
    <vt:lpwstr>C:\Users\arushi1\Documents\my projects\ongoing\North\Phase II\Jul 11\Project North_Draft report_20-Jun-24.pptx</vt:lpwstr>
  </property>
  <property name="UpSlide_9249456034553.633474[DESTINATION]" fmtid="{D5CDD505-2E9C-101B-9397-08002B2CF9AE}" pid="467">
    <vt:lpwstr>Powerpoint, 4757</vt:lpwstr>
  </property>
  <property name="UpSlide_9249456034553.633474[PATH]" fmtid="{D5CDD505-2E9C-101B-9397-08002B2CF9AE}" pid="468">
    <vt:lpwstr>https://kpmgcan.sharepoint.com/sites/CA-KGSCanada-ProjectNorth/Shared Documents/Project North/Staff Files/Project North_Draft report_17-Jun-24.pptx</vt:lpwstr>
  </property>
  <property name="UpSlide_925456030335.400969[DESTINATION]" fmtid="{D5CDD505-2E9C-101B-9397-08002B2CF9AE}" pid="469">
    <vt:lpwstr>Powerpoint, 4753</vt:lpwstr>
  </property>
  <property name="UpSlide_925456030335.400969[PATH]" fmtid="{D5CDD505-2E9C-101B-9397-08002B2CF9AE}" pid="470">
    <vt:lpwstr>https://kpmgcan.sharepoint.com/sites/CA-KGSCanada-ProjectNorth/Shared Documents/Project North/Staff Files/Project North_Draft report_24-Jun-24.pptx</vt:lpwstr>
  </property>
  <property name="UpSlide_9315459450216.95082[DESTINATION]" fmtid="{D5CDD505-2E9C-101B-9397-08002B2CF9AE}" pid="471">
    <vt:lpwstr>Powerpoint, 4749</vt:lpwstr>
  </property>
  <property name="UpSlide_9315459450216.95082[PATH]" fmtid="{D5CDD505-2E9C-101B-9397-08002B2CF9AE}" pid="472">
    <vt:lpwstr>https://kpmgcan.sharepoint.com/sites/CA-KGSCanada-ProjectNorth/Shared Documents/Project North/Staff Files/Project North_(Jun-24) RF Draft report_31-Jul-24.pptx</vt:lpwstr>
  </property>
  <property name="UpSlide_9345459441269.142114[DESTINATION]" fmtid="{D5CDD505-2E9C-101B-9397-08002B2CF9AE}" pid="473">
    <vt:lpwstr>Powerpoint, 916</vt:lpwstr>
  </property>
  <property name="UpSlide_9345459441269.142114[PATH]" fmtid="{D5CDD505-2E9C-101B-9397-08002B2CF9AE}" pid="474">
    <vt:lpwstr>https://kpmgcan.sharepoint.com/sites/CA-KGSCanada-ProjectNorth/Shared Documents/Project North/Staff Files/Project North_(Jun-24) RF Draft report_31-Jul-24.pptx</vt:lpwstr>
  </property>
  <property name="UpSlide_9347456416173.977365[DESTINATION]" fmtid="{D5CDD505-2E9C-101B-9397-08002B2CF9AE}" pid="475">
    <vt:lpwstr>Powerpoint, 4793</vt:lpwstr>
  </property>
  <property name="UpSlide_9347456416173.977365[PATH]" fmtid="{D5CDD505-2E9C-101B-9397-08002B2CF9AE}" pid="476">
    <vt:lpwstr>https://kpmgcan.sharepoint.com/sites/CA-KGSCanada-ProjectNorth/Shared Documents/Project North/Staff Files/Project North_Draft report_10-Jul-24.pptx</vt:lpwstr>
  </property>
  <property name="UpSlide_9394459456405.021591[DESTINATION]" fmtid="{D5CDD505-2E9C-101B-9397-08002B2CF9AE}" pid="477">
    <vt:lpwstr>Powerpoint, 4755</vt:lpwstr>
  </property>
  <property name="UpSlide_9394459456405.021591[PATH]" fmtid="{D5CDD505-2E9C-101B-9397-08002B2CF9AE}" pid="478">
    <vt:lpwstr>https://kpmgcan.sharepoint.com/sites/CA-KGSCanada-ProjectNorth/Shared Documents/Project North/Staff Files/Project North_(Jun-24) RF Draft report_21-Aug-24.pptx</vt:lpwstr>
  </property>
  <property name="UpSlide_9412453903672.186011[DESTINATION]" fmtid="{D5CDD505-2E9C-101B-9397-08002B2CF9AE}" pid="479">
    <vt:lpwstr>Powerpoint, 918</vt:lpwstr>
  </property>
  <property name="UpSlide_9412453903672.186011[PATH]" fmtid="{D5CDD505-2E9C-101B-9397-08002B2CF9AE}" pid="480">
    <vt:lpwstr>https://kpmgcan.sharepoint.com/sites/CA-KGSCanada-ProjectNorth/Shared Documents/Project North/Staff Files/Project North_Draft report_23-May-24.pptx</vt:lpwstr>
  </property>
  <property name="UpSlide_9429458412017.197666[DESTINATION]" fmtid="{D5CDD505-2E9C-101B-9397-08002B2CF9AE}" pid="481">
    <vt:lpwstr>Powerpoint, 4715</vt:lpwstr>
  </property>
  <property name="UpSlide_9429458412017.197666[PATH]" fmtid="{D5CDD505-2E9C-101B-9397-08002B2CF9AE}" pid="482">
    <vt:lpwstr>https://kpmgcan.sharepoint.com/sites/CA-KGSCanada-ProjectNorth/Shared Documents/Project North/Staff Files/Project North_(Jun-24) RF Draft report_25-Jul-24.pptx</vt:lpwstr>
  </property>
  <property name="UpSlide_9444456029207.617559[DESTINATION]" fmtid="{D5CDD505-2E9C-101B-9397-08002B2CF9AE}" pid="483">
    <vt:lpwstr>Powerpoint, 4754</vt:lpwstr>
  </property>
  <property name="UpSlide_9444456029207.617559[PATH]" fmtid="{D5CDD505-2E9C-101B-9397-08002B2CF9AE}" pid="484">
    <vt:lpwstr>https://kpmgcan.sharepoint.com/sites/CA-KGSCanada-ProjectNorth/Shared Documents/Project North/Staff Files/Project North_Draft report_13-Jun-24 .pptx</vt:lpwstr>
  </property>
  <property name="UpSlide_9472456544429.188224[DESTINATION]" fmtid="{D5CDD505-2E9C-101B-9397-08002B2CF9AE}" pid="485">
    <vt:lpwstr>Powerpoint, 4769</vt:lpwstr>
  </property>
  <property name="UpSlide_9472456544429.188224[PATH]" fmtid="{D5CDD505-2E9C-101B-9397-08002B2CF9AE}" pid="486">
    <vt:lpwstr>https://kpmgcan.sharepoint.com/sites/CA-KGSCanada-ProjectNorth/Shared Documents/Project North/Staff Files/Project North_Draft report_19-Jun-24.pptx</vt:lpwstr>
  </property>
  <property name="UpSlide_9481459638179.454463[DESTINATION]" fmtid="{D5CDD505-2E9C-101B-9397-08002B2CF9AE}" pid="487">
    <vt:lpwstr>Powerpoint, 4775</vt:lpwstr>
  </property>
  <property name="UpSlide_9481459638179.454463[PATH]" fmtid="{D5CDD505-2E9C-101B-9397-08002B2CF9AE}" pid="488">
    <vt:lpwstr>https://kpmgcan.sharepoint.com/sites/CA-KGSCanada-ProjectNorth/Shared Documents/Project North/Staff Files/Project North_(Jun-24) RF Draft report_31-Jul-24.pptx</vt:lpwstr>
  </property>
  <property name="UpSlide_9508459454766.701603[DESTINATION]" fmtid="{D5CDD505-2E9C-101B-9397-08002B2CF9AE}" pid="489">
    <vt:lpwstr>Powerpoint, 4747</vt:lpwstr>
  </property>
  <property name="UpSlide_9508459454766.701603[PATH]" fmtid="{D5CDD505-2E9C-101B-9397-08002B2CF9AE}" pid="490">
    <vt:lpwstr>https://kpmgcan.sharepoint.com/sites/CA-KGSCanada-ProjectNorth/Shared Documents/Project North/Staff Files/Project North_(Jun-24) RF Draft report_31-Jul-24.pptx</vt:lpwstr>
  </property>
  <property name="UpSlide_9551456457494.175425[DESTINATION]" fmtid="{D5CDD505-2E9C-101B-9397-08002B2CF9AE}" pid="491">
    <vt:lpwstr>Powerpoint, 4778</vt:lpwstr>
  </property>
  <property name="UpSlide_9551456457494.175425[PATH]" fmtid="{D5CDD505-2E9C-101B-9397-08002B2CF9AE}" pid="492">
    <vt:lpwstr>https://kpmgcan.sharepoint.com/sites/CA-KGSCanada-ProjectNorth/Shared Documents/Project North/Staff Files/Project North_Draft report_18-Jun-24.pptx</vt:lpwstr>
  </property>
  <property name="UpSlide_960455883838.347959[DESTINATION]" fmtid="{D5CDD505-2E9C-101B-9397-08002B2CF9AE}" pid="493">
    <vt:lpwstr>Powerpoint, 4711</vt:lpwstr>
  </property>
  <property name="UpSlide_960455883838.347959[PATH]" fmtid="{D5CDD505-2E9C-101B-9397-08002B2CF9AE}" pid="494">
    <vt:lpwstr>C:\Users\priyankaparihar\OneDrive - KPMG\Documents\Work\Projects\ADHOC\North\12-Jun-24\WIP\Project North_Draft report_11-Jun-24 v1.pptx</vt:lpwstr>
  </property>
  <property name="UpSlide_9613456514217.060624[DESTINATION]" fmtid="{D5CDD505-2E9C-101B-9397-08002B2CF9AE}" pid="495">
    <vt:lpwstr>Powerpoint, 792</vt:lpwstr>
  </property>
  <property name="UpSlide_9613456514217.060624[PATH]" fmtid="{D5CDD505-2E9C-101B-9397-08002B2CF9AE}" pid="496">
    <vt:lpwstr>https://kpmgcan.sharepoint.com/sites/CA-KGSCanada-ProjectNorth/Shared Documents/Project North/Staff Files/Project North_Draft report_20-Jun-24.pptx</vt:lpwstr>
  </property>
  <property name="UpSlide_9635459450925.337505[DESTINATION]" fmtid="{D5CDD505-2E9C-101B-9397-08002B2CF9AE}" pid="497">
    <vt:lpwstr>Powerpoint, 4759</vt:lpwstr>
  </property>
  <property name="UpSlide_9635459450925.337505[PATH]" fmtid="{D5CDD505-2E9C-101B-9397-08002B2CF9AE}" pid="498">
    <vt:lpwstr>https://kpmgcan.sharepoint.com/sites/CA-KGSCanada-ProjectNorth/Shared Documents/Project North/Staff Files/Project North_(Jun-24) RF Draft report_31-Jul-24.pptx</vt:lpwstr>
  </property>
  <property name="UpSlide_9667456418417.222109[DESTINATION]" fmtid="{D5CDD505-2E9C-101B-9397-08002B2CF9AE}" pid="499">
    <vt:lpwstr>Powerpoint, 4773</vt:lpwstr>
  </property>
  <property name="UpSlide_9667456418417.222109[PATH]" fmtid="{D5CDD505-2E9C-101B-9397-08002B2CF9AE}" pid="500">
    <vt:lpwstr>https://kpmgcan.sharepoint.com/sites/CA-KGSCanada-ProjectNorth/Shared Documents/Project North/Staff Files/Project North_Draft report_20-Jun-24.pptx</vt:lpwstr>
  </property>
  <property name="UpSlide_9749455116598.7686[DESTINATION]" fmtid="{D5CDD505-2E9C-101B-9397-08002B2CF9AE}" pid="501">
    <vt:lpwstr>Powerpoint, 4716</vt:lpwstr>
  </property>
  <property name="UpSlide_9749455116598.7686[PATH]" fmtid="{D5CDD505-2E9C-101B-9397-08002B2CF9AE}" pid="502">
    <vt:lpwstr>C:\Users\arushi1\Documents\my projects\ongoing\North\June 3\Project North_Draft report_28-May-24.pptx</vt:lpwstr>
  </property>
  <property name="UpSlide_9796455900563.019806[DESTINATION]" fmtid="{D5CDD505-2E9C-101B-9397-08002B2CF9AE}" pid="503">
    <vt:lpwstr>Powerpoint, 4760</vt:lpwstr>
  </property>
  <property name="UpSlide_9796455900563.019806[PATH]" fmtid="{D5CDD505-2E9C-101B-9397-08002B2CF9AE}" pid="504">
    <vt:lpwstr>https://kpmgcan.sharepoint.com/sites/CA-KGSCanada-ProjectNorth/Shared Documents/Project North/Staff Files/Project North_Draft report_27-Jun-24.pptx</vt:lpwstr>
  </property>
  <property name="UpSlide_9808456457008.087525[DESTINATION]" fmtid="{D5CDD505-2E9C-101B-9397-08002B2CF9AE}" pid="505">
    <vt:lpwstr>Powerpoint, 4776</vt:lpwstr>
  </property>
  <property name="UpSlide_9808456457008.087525[PATH]" fmtid="{D5CDD505-2E9C-101B-9397-08002B2CF9AE}" pid="506">
    <vt:lpwstr>https://kpmgcan.sharepoint.com/sites/CA-KGSCanada-ProjectNorth/Shared Documents/Project North/Staff Files/Project North_Draft report_20-Jun-24.pptx</vt:lpwstr>
  </property>
  <property name="UpSlide_9840453903077.584699[DESTINATION]" fmtid="{D5CDD505-2E9C-101B-9397-08002B2CF9AE}" pid="507">
    <vt:lpwstr>Powerpoint, 916</vt:lpwstr>
  </property>
  <property name="UpSlide_9840453903077.584699[PATH]" fmtid="{D5CDD505-2E9C-101B-9397-08002B2CF9AE}" pid="508">
    <vt:lpwstr>C:\Users\arushi1\Documents\my projects\ongoing\North\May 20\Project Jupiter_Draft Report 05.02.2024.pptx</vt:lpwstr>
  </property>
  <property name="UpSlide_9843455195578.602867[DESTINATION]" fmtid="{D5CDD505-2E9C-101B-9397-08002B2CF9AE}" pid="509">
    <vt:lpwstr>Powerpoint, 4725</vt:lpwstr>
  </property>
  <property name="UpSlide_9843455195578.602867[PATH]" fmtid="{D5CDD505-2E9C-101B-9397-08002B2CF9AE}" pid="510">
    <vt:lpwstr>C:\Users\arushi1\Documents\my projects\ongoing\North\Jun 4\Project North_Draft report_03-Jun-24.pptx</vt:lpwstr>
  </property>
  <property name="UpSlide_9894459457161.97368[DESTINATION]" fmtid="{D5CDD505-2E9C-101B-9397-08002B2CF9AE}" pid="511">
    <vt:lpwstr>Powerpoint, 4762</vt:lpwstr>
  </property>
  <property name="UpSlide_9894459457161.97368[PATH]" fmtid="{D5CDD505-2E9C-101B-9397-08002B2CF9AE}" pid="512">
    <vt:lpwstr>https://kpmgcan.sharepoint.com/sites/CA-KGSCanada-ProjectNorth/Shared Documents/Project North/Staff Files/Project North_(Jun-24) RF Draft report_02-Aug-24.pptx</vt:lpwstr>
  </property>
  <property name="UpSlide_990455117037.98879[DESTINATION]" fmtid="{D5CDD505-2E9C-101B-9397-08002B2CF9AE}" pid="513">
    <vt:lpwstr>Powerpoint, 4717</vt:lpwstr>
  </property>
  <property name="UpSlide_990455117037.98879[PATH]" fmtid="{D5CDD505-2E9C-101B-9397-08002B2CF9AE}" pid="514">
    <vt:lpwstr>C:\Users\arushi1\Documents\my projects\ongoing\North\June 3\Project North_Draft report_28-May-24.pptx</vt:lpwstr>
  </property>
  <property name="UpSlide_9910459456893.190606[DESTINATION]" fmtid="{D5CDD505-2E9C-101B-9397-08002B2CF9AE}" pid="515">
    <vt:lpwstr>Powerpoint, 4757</vt:lpwstr>
  </property>
  <property name="UpSlide_9910459456893.190606[PATH]" fmtid="{D5CDD505-2E9C-101B-9397-08002B2CF9AE}" pid="516">
    <vt:lpwstr>https://kpmgcan.sharepoint.com/sites/CA-KGSCanada-ProjectNorth/Shared Documents/Project North/Staff Files/Project North_(Jun-24) RF Draft report_02-Aug-24.pptx</vt:lpwstr>
  </property>
  <property name="UpSlide_9917455882719.774909[DESTINATION]" fmtid="{D5CDD505-2E9C-101B-9397-08002B2CF9AE}" pid="517">
    <vt:lpwstr>Powerpoint, 4716</vt:lpwstr>
  </property>
  <property name="UpSlide_9917455882719.774909[PATH]" fmtid="{D5CDD505-2E9C-101B-9397-08002B2CF9AE}" pid="518">
    <vt:lpwstr>C:\Users\priyankaparihar\OneDrive - KPMG\Documents\Work\Projects\ADHOC\North\12-Jun-24\WIP\Project North_Draft report_11-Jun-24 v1.pptx</vt:lpwstr>
  </property>
  <property name="UpSlide_9962457114028.033734[DESTINATION]" fmtid="{D5CDD505-2E9C-101B-9397-08002B2CF9AE}" pid="519">
    <vt:lpwstr>Powerpoint, 4772</vt:lpwstr>
  </property>
  <property name="UpSlide_9962457114028.033734[PATH]" fmtid="{D5CDD505-2E9C-101B-9397-08002B2CF9AE}" pid="520">
    <vt:lpwstr>https://kpmgcan.sharepoint.com/sites/CA-KGSCanada-ProjectNorth/Shared Documents/Project North/Staff Files/Project North_Draft report_26-Jun-24.pptx</vt:lpwstr>
  </property>
  <property name="UpSlide_9979455884142.591518[DESTINATION]" fmtid="{D5CDD505-2E9C-101B-9397-08002B2CF9AE}" pid="521">
    <vt:lpwstr>Powerpoint, 4712</vt:lpwstr>
  </property>
  <property name="UpSlide_9979455884142.591518[PATH]" fmtid="{D5CDD505-2E9C-101B-9397-08002B2CF9AE}" pid="522">
    <vt:lpwstr>C:\Users\priyankaparihar\OneDrive - KPMG\Documents\Work\Projects\ADHOC\North\12-Jun-24\WIP\Project North_Draft report_11-Jun-24 v1.pptx</vt:lpwstr>
  </property>
</Properties>
</file>